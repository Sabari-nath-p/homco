
<file path=[Content_Types].xml><?xml version="1.0" encoding="utf-8"?>
<Types xmlns="http://schemas.openxmlformats.org/package/2006/content-types">
  <Default Extension="vml" ContentType="application/vnd.openxmlformats-officedocument.vmlDrawing"/>
  <Default Extension="emf" ContentType="image/x-e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468" windowHeight="8892" tabRatio="836" firstSheet="2" activeTab="8"/>
  </bookViews>
  <sheets>
    <sheet name="final by sr" sheetId="16" r:id="rId1"/>
    <sheet name="Final" sheetId="7" r:id="rId2"/>
    <sheet name="Mothertincture" sheetId="12" r:id="rId3"/>
    <sheet name="Ingredient List - Mother Tinctu" sheetId="8" r:id="rId4"/>
    <sheet name="RM Price list" sheetId="4" r:id="rId5"/>
    <sheet name="Packing Material - Cost" sheetId="9" r:id="rId6"/>
    <sheet name="Manpower Details" sheetId="19" r:id="rId7"/>
    <sheet name="Energy Cost" sheetId="11" r:id="rId8"/>
    <sheet name="pack" sheetId="20" r:id="rId9"/>
  </sheets>
  <definedNames>
    <definedName name="_xlnm._FilterDatabase" localSheetId="1" hidden="1">Final!$B$2:$N$36</definedName>
    <definedName name="_xlnm._FilterDatabase" localSheetId="0" hidden="1">'final by sr'!$A$1:$I$1</definedName>
    <definedName name="_xlnm._FilterDatabase" localSheetId="3" hidden="1">'Ingredient List - Mother Tinctu'!$A$3:$P$2034</definedName>
    <definedName name="_xlnm._FilterDatabase" localSheetId="2" hidden="1">Mothertincture!$B$2:$P$24</definedName>
    <definedName name="DropDownList">Final!$AD$3:INDEX(Final!$AD$3:$AD$10000,MAX(Final!$AC$3:$AC$10000),1)</definedName>
    <definedName name="Medicine">Final!$Q$4:$Q$11</definedName>
    <definedName name="Potency">Final!$Q$14:$Q$16</definedName>
    <definedName name="_xlnm.Print_Area" localSheetId="7">'Energy Cost'!$A$1:$D$15</definedName>
    <definedName name="_xlnm.Print_Area" localSheetId="1">Final!$B$1:$J$30</definedName>
    <definedName name="_xlnm.Print_Area" localSheetId="0">'final by sr'!$C$12:$H$73,'final by sr'!$D$1:$F$10</definedName>
    <definedName name="_xlnm.Print_Area" localSheetId="3">'Ingredient List - Mother Tinctu'!$A$1:$P$2034</definedName>
    <definedName name="_xlnm.Print_Area" localSheetId="6">'Manpower Details'!$A$1:$AH$16</definedName>
    <definedName name="_xlnm.Print_Area" localSheetId="2">Mothertincture!$B$2:$P$25</definedName>
    <definedName name="_xlnm.Print_Area" localSheetId="5">'Packing Material - Cost'!$A$1:$U$23</definedName>
    <definedName name="_xlnm.Print_Area" localSheetId="4">'RM Price list'!$A$1:$C$327</definedName>
    <definedName name="_xlnm.Print_Titles" localSheetId="0">'final by sr'!$17:$17</definedName>
  </definedNames>
  <calcPr calcId="144525"/>
</workbook>
</file>

<file path=xl/sharedStrings.xml><?xml version="1.0" encoding="utf-8"?>
<sst xmlns="http://schemas.openxmlformats.org/spreadsheetml/2006/main" count="8127" uniqueCount="1053">
  <si>
    <t>CATERGORY/ OVERHEAD</t>
  </si>
  <si>
    <t>Particulars</t>
  </si>
  <si>
    <t>RM</t>
  </si>
  <si>
    <t>Farm Expenses</t>
  </si>
  <si>
    <t>FO</t>
  </si>
  <si>
    <t>AO</t>
  </si>
  <si>
    <t>SO</t>
  </si>
  <si>
    <t>Input Tax (CST) &amp; Entry Tax</t>
  </si>
  <si>
    <t>Rent Paid to Excise Staff</t>
  </si>
  <si>
    <t>Salary to Excise Staff</t>
  </si>
  <si>
    <t>Cost of goods sold</t>
  </si>
  <si>
    <t>DL</t>
  </si>
  <si>
    <t>Wages to Daily Workers</t>
  </si>
  <si>
    <t>Wages to Workers</t>
  </si>
  <si>
    <t xml:space="preserve">Over Time Wages </t>
  </si>
  <si>
    <t>Sub Total</t>
  </si>
  <si>
    <t>CALCULATION OF OVERHEAD</t>
  </si>
  <si>
    <t>a</t>
  </si>
  <si>
    <t>Direct Labour Charges</t>
  </si>
  <si>
    <t>b</t>
  </si>
  <si>
    <t>Direct Material Charges</t>
  </si>
  <si>
    <t>c</t>
  </si>
  <si>
    <t>Prime Cost (c=a+b)</t>
  </si>
  <si>
    <t>DISTRIBUTION OF OVERHEADS</t>
  </si>
  <si>
    <t xml:space="preserve">Sl. No: </t>
  </si>
  <si>
    <t>PARTICULARS</t>
  </si>
  <si>
    <t>FACTORY O/H</t>
  </si>
  <si>
    <t>ADMIN O/H</t>
  </si>
  <si>
    <t>SALES &amp; DIST. O/H</t>
  </si>
  <si>
    <t>Fuel Charges</t>
  </si>
  <si>
    <t>Misc. Purchase ( Store)</t>
  </si>
  <si>
    <t>Uniform Allowances</t>
  </si>
  <si>
    <t>Testing Fee</t>
  </si>
  <si>
    <t>Stipend</t>
  </si>
  <si>
    <t>ESI Contrn.</t>
  </si>
  <si>
    <t>Annual Maintenance Cost</t>
  </si>
  <si>
    <t>Building Maintenances</t>
  </si>
  <si>
    <t>Lease Paid for Land</t>
  </si>
  <si>
    <t>Repairs &amp; Maintenances</t>
  </si>
  <si>
    <t>Training Expenses</t>
  </si>
  <si>
    <t>AO &amp; FO</t>
  </si>
  <si>
    <t>Arrear DA &amp; Salary</t>
  </si>
  <si>
    <t>Bonus &amp; Exgratia to Staff</t>
  </si>
  <si>
    <t>Earned Leave surrender</t>
  </si>
  <si>
    <t>Education Allowances</t>
  </si>
  <si>
    <t>Festival Allowance</t>
  </si>
  <si>
    <t>Gratuity</t>
  </si>
  <si>
    <t>LWF Contribution</t>
  </si>
  <si>
    <t>P.F.Contrn.</t>
  </si>
  <si>
    <t>Professional Tax</t>
  </si>
  <si>
    <t>Salary to Staff</t>
  </si>
  <si>
    <t>Staff Welfare Expenses</t>
  </si>
  <si>
    <t>Misc. Expenses</t>
  </si>
  <si>
    <t>Current Charges</t>
  </si>
  <si>
    <t>License, Fees &amp; Taxes</t>
  </si>
  <si>
    <t>FO &amp; SO</t>
  </si>
  <si>
    <t>Printing &amp; Stationery</t>
  </si>
  <si>
    <t>SO &amp; FO</t>
  </si>
  <si>
    <t>Godown Rent</t>
  </si>
  <si>
    <t>Audit Fees</t>
  </si>
  <si>
    <t>Consultancy &amp; Liaison Charges</t>
  </si>
  <si>
    <t>Co-operative Audit Fee</t>
  </si>
  <si>
    <t>Security Service Charges</t>
  </si>
  <si>
    <t>Service Tax Paid</t>
  </si>
  <si>
    <t>Telephone Charges</t>
  </si>
  <si>
    <t>T.A to Staff</t>
  </si>
  <si>
    <t>Office Expenses</t>
  </si>
  <si>
    <t xml:space="preserve">Postage &amp; Courier </t>
  </si>
  <si>
    <t>Subscription &amp; Periodicals</t>
  </si>
  <si>
    <t>Travelling &amp; Conveyance Expenses</t>
  </si>
  <si>
    <t>Tender Cost</t>
  </si>
  <si>
    <t xml:space="preserve">State Excise Duty </t>
  </si>
  <si>
    <t>Freight &amp; Insurance</t>
  </si>
  <si>
    <t>Transportation charges less Freight Charges Collected</t>
  </si>
  <si>
    <t>Vehicle Running &amp; Maintenances</t>
  </si>
  <si>
    <t>Soukhyam Clinical Expenses</t>
  </si>
  <si>
    <t>Sundry Balances W/off</t>
  </si>
  <si>
    <t>Advertisment &amp; Sales Promotion</t>
  </si>
  <si>
    <t xml:space="preserve">Discount Allowed </t>
  </si>
  <si>
    <t>Sales Commission &amp; Liaison Charges</t>
  </si>
  <si>
    <t>d</t>
  </si>
  <si>
    <t>Total Factory Overhead (Rs)</t>
  </si>
  <si>
    <t>e</t>
  </si>
  <si>
    <t>Factory Overhead (%) [ e= (d/c) x 100]</t>
  </si>
  <si>
    <t>f</t>
  </si>
  <si>
    <t>Factory Cost (f = c+d)</t>
  </si>
  <si>
    <t>g</t>
  </si>
  <si>
    <t>Total Administrative Overhead (Rs)</t>
  </si>
  <si>
    <t>h</t>
  </si>
  <si>
    <t>Administrative Overhead (%) [h= (g/f) x 100]</t>
  </si>
  <si>
    <t>i</t>
  </si>
  <si>
    <t>Cost of Production (i =f+g)</t>
  </si>
  <si>
    <t>j</t>
  </si>
  <si>
    <t>Total Sales &amp; Distribution Overhead (Rs.)</t>
  </si>
  <si>
    <t>k</t>
  </si>
  <si>
    <t>Sales &amp; Distribution Overhead (%) [k = (j/i) x 100]</t>
  </si>
  <si>
    <t>l</t>
  </si>
  <si>
    <t>Cost of Sales (l = i+j)</t>
  </si>
  <si>
    <t>Select Medicine Category</t>
  </si>
  <si>
    <t>Oinment</t>
  </si>
  <si>
    <t>*Don’t Delete</t>
  </si>
  <si>
    <t>Enter Product Code</t>
  </si>
  <si>
    <t>Belladonna</t>
  </si>
  <si>
    <t>Category</t>
  </si>
  <si>
    <t>Unit of Batch</t>
  </si>
  <si>
    <t>Unit of Packing</t>
  </si>
  <si>
    <t>Enter Batch Size</t>
  </si>
  <si>
    <t>Mother Tincture</t>
  </si>
  <si>
    <t>L</t>
  </si>
  <si>
    <t>ml</t>
  </si>
  <si>
    <t>Ingredients</t>
  </si>
  <si>
    <t>Name</t>
  </si>
  <si>
    <t>Quanity (%)</t>
  </si>
  <si>
    <t xml:space="preserve">Rate/ unit </t>
  </si>
  <si>
    <t>Cost/ Batch</t>
  </si>
  <si>
    <t>Dilution</t>
  </si>
  <si>
    <t>%</t>
  </si>
  <si>
    <t>Rs.</t>
  </si>
  <si>
    <t>Kg</t>
  </si>
  <si>
    <t>Oil</t>
  </si>
  <si>
    <t>Syrup</t>
  </si>
  <si>
    <t>Tituration</t>
  </si>
  <si>
    <t>Bio Chemic</t>
  </si>
  <si>
    <t>Globule</t>
  </si>
  <si>
    <t>Total  Material Cost</t>
  </si>
  <si>
    <t>/-</t>
  </si>
  <si>
    <t>Back Potency</t>
  </si>
  <si>
    <t>Potency</t>
  </si>
  <si>
    <t>Price</t>
  </si>
  <si>
    <t>Price per L</t>
  </si>
  <si>
    <t>Qty (ml)</t>
  </si>
  <si>
    <t xml:space="preserve">Packing </t>
  </si>
  <si>
    <t>Select type of Pack</t>
  </si>
  <si>
    <t>Tube 10g</t>
  </si>
  <si>
    <t>Enter  Packing Denomination</t>
  </si>
  <si>
    <t>Tolerance for Material Loss:</t>
  </si>
  <si>
    <t>nos.</t>
  </si>
  <si>
    <t>Packing Cost/ Pack</t>
  </si>
  <si>
    <t>Packing Expenses per Batch (Rs.)</t>
  </si>
  <si>
    <t>Labour Cost</t>
  </si>
  <si>
    <t>Rate per M.hr (Rs.)</t>
  </si>
  <si>
    <t>Direct Labour Cost (Rs.)</t>
  </si>
  <si>
    <t>Energy Cost per Unit (Rs./ kWh)</t>
  </si>
  <si>
    <t>Direct Energy Cost per Batch (Rs.)</t>
  </si>
  <si>
    <t>Prime Cost per Batch (Rs.)</t>
  </si>
  <si>
    <t>Factory Overhead</t>
  </si>
  <si>
    <t>Factory Cost per Batch (Rs.)</t>
  </si>
  <si>
    <t>Administrative Overheads</t>
  </si>
  <si>
    <t>Cost of Production per Batch (Rs.)</t>
  </si>
  <si>
    <t>Selling &amp; Distribution Overheads</t>
  </si>
  <si>
    <t>Cost of Sales per Batch (Rs.)</t>
  </si>
  <si>
    <t>* Note: Enter Relevant Data in the Shaded Cells Only</t>
  </si>
  <si>
    <t>Medicine Category</t>
  </si>
  <si>
    <t>Product Code</t>
  </si>
  <si>
    <t>Product</t>
  </si>
  <si>
    <t>Batch Size</t>
  </si>
  <si>
    <t>Tablets</t>
  </si>
  <si>
    <t>Globules</t>
  </si>
  <si>
    <t>% Quanity</t>
  </si>
  <si>
    <t>Rate per unit</t>
  </si>
  <si>
    <t>Cost per Batch</t>
  </si>
  <si>
    <t>Total Direct Material Cost</t>
  </si>
  <si>
    <t>Size</t>
  </si>
  <si>
    <t>Glass Bottle  100ml</t>
  </si>
  <si>
    <t>No of Packs</t>
  </si>
  <si>
    <t>Packing Cost</t>
  </si>
  <si>
    <t>Packing Expenses</t>
  </si>
  <si>
    <t>Rate per M.hr</t>
  </si>
  <si>
    <t>Direct labor cost</t>
  </si>
  <si>
    <t>Energy Cost</t>
  </si>
  <si>
    <t>PRIME  COST</t>
  </si>
  <si>
    <t>FACTORY COST</t>
  </si>
  <si>
    <t>COST OF PRODUCTION</t>
  </si>
  <si>
    <t>Insurance &amp; Forwarding</t>
  </si>
  <si>
    <t>SELLING COST</t>
  </si>
  <si>
    <t>Cost per Litre</t>
  </si>
  <si>
    <t>Sl. No.</t>
  </si>
  <si>
    <t>Lookup Value</t>
  </si>
  <si>
    <t>Product Name</t>
  </si>
  <si>
    <t>% Content</t>
  </si>
  <si>
    <t>Herb/ Ingredient 1</t>
  </si>
  <si>
    <t>Ingredient 2</t>
  </si>
  <si>
    <t>Ingredient 3</t>
  </si>
  <si>
    <t>Ingredient 4</t>
  </si>
  <si>
    <t>Ingredient 5</t>
  </si>
  <si>
    <t>Ingredient 6</t>
  </si>
  <si>
    <t>% Content of Ingredient 1</t>
  </si>
  <si>
    <t>% Content of Ingredient 2</t>
  </si>
  <si>
    <t>% Content of Ingredient 3</t>
  </si>
  <si>
    <t>% Content of Ingredient 4</t>
  </si>
  <si>
    <t>% Content of Ingredient 5</t>
  </si>
  <si>
    <t>% Content of Ingredient 6</t>
  </si>
  <si>
    <t>Abies Can.</t>
  </si>
  <si>
    <t>Alchohol</t>
  </si>
  <si>
    <t>DM Water</t>
  </si>
  <si>
    <t>Abroma Aug.</t>
  </si>
  <si>
    <t>Abroma Radix.</t>
  </si>
  <si>
    <t>Acid Benz.</t>
  </si>
  <si>
    <t>Acid Citric</t>
  </si>
  <si>
    <t>Acid Formic</t>
  </si>
  <si>
    <t>Acid Gallic</t>
  </si>
  <si>
    <t>Acid Hydrochl (Acid Mur)</t>
  </si>
  <si>
    <t>Acid Mur (Acid Hydrochlo)</t>
  </si>
  <si>
    <t>Acid Nit.</t>
  </si>
  <si>
    <t>Acid Oxalic</t>
  </si>
  <si>
    <t>Acid Phos</t>
  </si>
  <si>
    <t>Acid Picric</t>
  </si>
  <si>
    <t>Acid Salicyl</t>
  </si>
  <si>
    <t>Acid Sulph.</t>
  </si>
  <si>
    <t>Aconite Nap.</t>
  </si>
  <si>
    <t>Actaea Rac (Cimicifuga)</t>
  </si>
  <si>
    <t>Actaea Spic</t>
  </si>
  <si>
    <t>Adonis Vern.</t>
  </si>
  <si>
    <t>Aegle Fol.</t>
  </si>
  <si>
    <t>Aegle Marm.</t>
  </si>
  <si>
    <t>Aesculus Hipp.</t>
  </si>
  <si>
    <t>Aethusa Cyn.</t>
  </si>
  <si>
    <t>Agraphis Nut.</t>
  </si>
  <si>
    <t>Ailanthus. G.</t>
  </si>
  <si>
    <t>Aletris F.</t>
  </si>
  <si>
    <t>Alfalfa</t>
  </si>
  <si>
    <t>Allium Cepa</t>
  </si>
  <si>
    <t>Allium Sat.</t>
  </si>
  <si>
    <t>Aloe Soc. (Aloes)</t>
  </si>
  <si>
    <t>Alstonia Sch.</t>
  </si>
  <si>
    <t>Amly. Nit.</t>
  </si>
  <si>
    <t>Ammon Benz.</t>
  </si>
  <si>
    <t>Anacard. Occ.</t>
  </si>
  <si>
    <t>Anacard. Ori.</t>
  </si>
  <si>
    <t>Andrographis Pan(Kalmegh)</t>
  </si>
  <si>
    <t>Angustura. V</t>
  </si>
  <si>
    <t>Apis Mel.</t>
  </si>
  <si>
    <t>Apocynum. Can.</t>
  </si>
  <si>
    <t>Aralia Rac.</t>
  </si>
  <si>
    <t>Arania. Dia.</t>
  </si>
  <si>
    <t>Arjuna (Term. Arjuna)</t>
  </si>
  <si>
    <t>Arnica Mont.</t>
  </si>
  <si>
    <t>Arnica Mont. Radix.</t>
  </si>
  <si>
    <t>Artemisia Vulg</t>
  </si>
  <si>
    <t>Arum Triph.</t>
  </si>
  <si>
    <t>Arundo M.</t>
  </si>
  <si>
    <t>Asafoetida</t>
  </si>
  <si>
    <t>Asarum Europ.</t>
  </si>
  <si>
    <t>Asclep. Tub.</t>
  </si>
  <si>
    <t>Ashoka (Jan. Ashoka)</t>
  </si>
  <si>
    <t>Ashwagandha (Withana S)</t>
  </si>
  <si>
    <t>Asparagus O.</t>
  </si>
  <si>
    <t>Aspidosperma</t>
  </si>
  <si>
    <t>Asterias Rub.</t>
  </si>
  <si>
    <t>Atista Ind.</t>
  </si>
  <si>
    <t>Atista Radix</t>
  </si>
  <si>
    <t>Avena Sat.</t>
  </si>
  <si>
    <t>Azadirachta. Ind</t>
  </si>
  <si>
    <t>Bacopa Moneiri (Brahmi)</t>
  </si>
  <si>
    <t>Badiaga</t>
  </si>
  <si>
    <t>Balsamum P</t>
  </si>
  <si>
    <t>Baptisia Tinct.</t>
  </si>
  <si>
    <t>Bellis Per.</t>
  </si>
  <si>
    <t>Berb Vulg.</t>
  </si>
  <si>
    <t>Berb-Aqui.</t>
  </si>
  <si>
    <t>Blatta Orient.</t>
  </si>
  <si>
    <t>Blumea Odo.</t>
  </si>
  <si>
    <t>Boerhaavia. Dif. (Punarnava)</t>
  </si>
  <si>
    <t>Bryonia Alb</t>
  </si>
  <si>
    <t>Cactus Grand.</t>
  </si>
  <si>
    <t>Caesalpinia</t>
  </si>
  <si>
    <t>Calendula Off.</t>
  </si>
  <si>
    <t>Calotropis Gig.</t>
  </si>
  <si>
    <t>Camphora Off.</t>
  </si>
  <si>
    <t>Cantharis</t>
  </si>
  <si>
    <t>Capsicum</t>
  </si>
  <si>
    <t>Carduus Mar.</t>
  </si>
  <si>
    <t>Carica Papaya</t>
  </si>
  <si>
    <t>Cascarilla</t>
  </si>
  <si>
    <t>Cassia Soph.</t>
  </si>
  <si>
    <t>Castella Tex (Chaparro A)</t>
  </si>
  <si>
    <t>Catharanthus Roseus (Vinca Ros)</t>
  </si>
  <si>
    <t>Caulophylum</t>
  </si>
  <si>
    <t>Ceanothus Amer.</t>
  </si>
  <si>
    <t>Cedron.</t>
  </si>
  <si>
    <t>Cephalandra Ind.</t>
  </si>
  <si>
    <t>Chamomilla</t>
  </si>
  <si>
    <t>Chaparro Amar (Castella T)</t>
  </si>
  <si>
    <t>Chelidonium Maj</t>
  </si>
  <si>
    <t>Chelone Glab.</t>
  </si>
  <si>
    <t>Chenopod Anth</t>
  </si>
  <si>
    <t>Chimaphila Umb.</t>
  </si>
  <si>
    <t>China Off. (Cinchona Off.)</t>
  </si>
  <si>
    <t>Chionanthus Virg.</t>
  </si>
  <si>
    <t>Cicuta Virosa.</t>
  </si>
  <si>
    <t>Cimicifugua (Actea Rac)</t>
  </si>
  <si>
    <t>Cina</t>
  </si>
  <si>
    <t>Cineraria Mar</t>
  </si>
  <si>
    <t>Cocculus Ind.</t>
  </si>
  <si>
    <t>Coccus Cacti.</t>
  </si>
  <si>
    <t>Coffea Crud.</t>
  </si>
  <si>
    <t>Colchicum</t>
  </si>
  <si>
    <t>Collinsonia</t>
  </si>
  <si>
    <t>Colocynthis</t>
  </si>
  <si>
    <t>Condurango</t>
  </si>
  <si>
    <t>Convallaria M.</t>
  </si>
  <si>
    <t>Copaiva Off.</t>
  </si>
  <si>
    <t>Crataegus Ox.</t>
  </si>
  <si>
    <t>Croton Tig.</t>
  </si>
  <si>
    <t>Curcuma Longa</t>
  </si>
  <si>
    <t>Cynadon Da.</t>
  </si>
  <si>
    <t>Daminana (Turnera)</t>
  </si>
  <si>
    <t>Digitalis Purp.</t>
  </si>
  <si>
    <t>Dioscorea V.</t>
  </si>
  <si>
    <t>Dolichos Pru.</t>
  </si>
  <si>
    <t>Drosera Rot.</t>
  </si>
  <si>
    <t>Dulcamara</t>
  </si>
  <si>
    <t>Echinacea Ang.</t>
  </si>
  <si>
    <t>Equisetum Hym</t>
  </si>
  <si>
    <t>Erigeron can</t>
  </si>
  <si>
    <t>Eriodictyon G (Yerba Santha)</t>
  </si>
  <si>
    <t>Eucalypt. Glob</t>
  </si>
  <si>
    <t>Eupator. Perf.</t>
  </si>
  <si>
    <t>Euphorbia Cor</t>
  </si>
  <si>
    <t>Euphorbium</t>
  </si>
  <si>
    <t>Euphrasia off</t>
  </si>
  <si>
    <t>Ferrum Mur.</t>
  </si>
  <si>
    <t>Ficus Ind.</t>
  </si>
  <si>
    <t>Ficus Rel.</t>
  </si>
  <si>
    <t>Filix Mas.</t>
  </si>
  <si>
    <t>Formica Rufa</t>
  </si>
  <si>
    <t>Fraxinus Amer.</t>
  </si>
  <si>
    <t>Fucus Ves.</t>
  </si>
  <si>
    <t>Gambogia</t>
  </si>
  <si>
    <t>Gaultheria</t>
  </si>
  <si>
    <t>Gelsemium Semp.</t>
  </si>
  <si>
    <t>Gentiana Lut</t>
  </si>
  <si>
    <t>Geranium Mac.</t>
  </si>
  <si>
    <t>Ginseng</t>
  </si>
  <si>
    <t>Glycerinum</t>
  </si>
  <si>
    <t>Gnaphalium P</t>
  </si>
  <si>
    <t>Gossypiun Herb</t>
  </si>
  <si>
    <t>Granatum</t>
  </si>
  <si>
    <t>Grindelia Rob.</t>
  </si>
  <si>
    <t>Guaiacum</t>
  </si>
  <si>
    <t>Gymnema. Syl</t>
  </si>
  <si>
    <t>Hamamelis Virg.</t>
  </si>
  <si>
    <t>Hedera Helix</t>
  </si>
  <si>
    <t>Helianthus. A.</t>
  </si>
  <si>
    <t>Helleborus Nig.</t>
  </si>
  <si>
    <t>Helonias Dio</t>
  </si>
  <si>
    <t>Holarrhena Ant. D (Kurchi)</t>
  </si>
  <si>
    <t>Hydrastis Can.</t>
  </si>
  <si>
    <t>Hydrocotyle Asi.</t>
  </si>
  <si>
    <t>Hyoscyamus. N.</t>
  </si>
  <si>
    <t>Hypericum Perf.</t>
  </si>
  <si>
    <t>Ignatia Amara</t>
  </si>
  <si>
    <t>Illicium A.</t>
  </si>
  <si>
    <t>Iodium</t>
  </si>
  <si>
    <t>Ipecac</t>
  </si>
  <si>
    <t>Iris Ver.</t>
  </si>
  <si>
    <t>Jaborandi (Pilcarpus)</t>
  </si>
  <si>
    <t>Jacaranda C.</t>
  </si>
  <si>
    <t>Jalappa</t>
  </si>
  <si>
    <t>Jatropha C.</t>
  </si>
  <si>
    <t>Jon. Ashoka (Ashoka)</t>
  </si>
  <si>
    <t>Justicia Adh.</t>
  </si>
  <si>
    <t>Kali Bich.</t>
  </si>
  <si>
    <t>Kalmia Lat.</t>
  </si>
  <si>
    <t>Kreosotum</t>
  </si>
  <si>
    <t>Kurchi (Holarrhena Anti D)</t>
  </si>
  <si>
    <t>Lachnanthes</t>
  </si>
  <si>
    <t>Laurocerasus</t>
  </si>
  <si>
    <t>Ledum Pal.</t>
  </si>
  <si>
    <t>Lemna Minor.</t>
  </si>
  <si>
    <t>Leptandra V.</t>
  </si>
  <si>
    <t>Leucas Asp.</t>
  </si>
  <si>
    <t>Liatris Spic.</t>
  </si>
  <si>
    <t>Lobelia Infl.</t>
  </si>
  <si>
    <t>Luffa Oper</t>
  </si>
  <si>
    <t>Lycopodium Clav</t>
  </si>
  <si>
    <t>Lycopus V</t>
  </si>
  <si>
    <t>Mangifera Ind.</t>
  </si>
  <si>
    <t>Melilotus A.</t>
  </si>
  <si>
    <t>Mentha Pip.</t>
  </si>
  <si>
    <t>Menthol</t>
  </si>
  <si>
    <t>Menyanthus.</t>
  </si>
  <si>
    <t>Mezereum</t>
  </si>
  <si>
    <t>Millefolium</t>
  </si>
  <si>
    <t>Mimosa Pud</t>
  </si>
  <si>
    <t>Mullein Oil</t>
  </si>
  <si>
    <t>Negundium</t>
  </si>
  <si>
    <t>Nuphar Lut.</t>
  </si>
  <si>
    <t>Nux Mosch</t>
  </si>
  <si>
    <t>Nux Vomica</t>
  </si>
  <si>
    <t>Nymphoea O</t>
  </si>
  <si>
    <t>Ocimum Can.</t>
  </si>
  <si>
    <t>Ocimum Sanct.</t>
  </si>
  <si>
    <t>Oenanthe Croc</t>
  </si>
  <si>
    <t>Oleander</t>
  </si>
  <si>
    <t>Ornithogalum</t>
  </si>
  <si>
    <t>Paeonia Off</t>
  </si>
  <si>
    <t>Pareira Brav.</t>
  </si>
  <si>
    <t>Passiflora. Inc.</t>
  </si>
  <si>
    <t>Phosph. Acid (Acid Phos)</t>
  </si>
  <si>
    <t>Physostigma</t>
  </si>
  <si>
    <t>Phytolacca. Berry.</t>
  </si>
  <si>
    <t>Phytolacca. Dec.</t>
  </si>
  <si>
    <t>Pilocarpus (Jaborandi)</t>
  </si>
  <si>
    <t>Pinus Lamb</t>
  </si>
  <si>
    <t>Pinus Syl.</t>
  </si>
  <si>
    <t>Piper Meth.</t>
  </si>
  <si>
    <t>Piper Nig.</t>
  </si>
  <si>
    <t>Piscidia E</t>
  </si>
  <si>
    <t>Plantago M</t>
  </si>
  <si>
    <t>Podophyllum</t>
  </si>
  <si>
    <t>Populus Can.</t>
  </si>
  <si>
    <t>Pothos Foet.</t>
  </si>
  <si>
    <t>Psoralea Cor.</t>
  </si>
  <si>
    <t>Pulsatilla Nig.</t>
  </si>
  <si>
    <t>Punarnava (Boerhavia Dif.)</t>
  </si>
  <si>
    <t>Ranuncul Scl.</t>
  </si>
  <si>
    <t>Raphanus Sat.</t>
  </si>
  <si>
    <t>Ratanhia</t>
  </si>
  <si>
    <t>Rauwolfia Serp.</t>
  </si>
  <si>
    <t>Rhododendron</t>
  </si>
  <si>
    <t>Rhus Tox</t>
  </si>
  <si>
    <t>Rhus Ven</t>
  </si>
  <si>
    <t>Ricinus Com</t>
  </si>
  <si>
    <t>Robinia</t>
  </si>
  <si>
    <t>Ruta Grav.</t>
  </si>
  <si>
    <t>Sabadilla</t>
  </si>
  <si>
    <t>Sabal Serr.</t>
  </si>
  <si>
    <t>Sabina</t>
  </si>
  <si>
    <t>Salix Nig.</t>
  </si>
  <si>
    <t>Sambucus Nig.</t>
  </si>
  <si>
    <t>Sanguinar Can.</t>
  </si>
  <si>
    <t>Sarasaparilla</t>
  </si>
  <si>
    <t>Scrophularia Nodosa</t>
  </si>
  <si>
    <t>Scutellar. L</t>
  </si>
  <si>
    <t>Secale Cor.</t>
  </si>
  <si>
    <t>Senecio Aur</t>
  </si>
  <si>
    <t>Senega</t>
  </si>
  <si>
    <t>Senna</t>
  </si>
  <si>
    <t>Solanum Nig.</t>
  </si>
  <si>
    <t>Solidago V.</t>
  </si>
  <si>
    <t>Spartium Scop.</t>
  </si>
  <si>
    <t>Spigelia</t>
  </si>
  <si>
    <t>Spongia T.</t>
  </si>
  <si>
    <t>Squilla M</t>
  </si>
  <si>
    <t>Staphysagria</t>
  </si>
  <si>
    <t>Stellaria M</t>
  </si>
  <si>
    <t>Sterculia A</t>
  </si>
  <si>
    <t>Sticta Pul.</t>
  </si>
  <si>
    <t>Stillingia S.</t>
  </si>
  <si>
    <t>Stramonium</t>
  </si>
  <si>
    <t>Strophanthus  Hisp.</t>
  </si>
  <si>
    <t>Sulphur</t>
  </si>
  <si>
    <t>Symphoricar.</t>
  </si>
  <si>
    <t>Symphytum</t>
  </si>
  <si>
    <t>Syzygium J.</t>
  </si>
  <si>
    <t>Tabacum</t>
  </si>
  <si>
    <t>Taraxacum</t>
  </si>
  <si>
    <t>Terminalia Arjuna (Arjuna)</t>
  </si>
  <si>
    <t>Terminalia C.</t>
  </si>
  <si>
    <t>Teucri M. V.</t>
  </si>
  <si>
    <t>Thea Chinensis</t>
  </si>
  <si>
    <t>Thlaspi B. P.</t>
  </si>
  <si>
    <t>Thuja Occi.</t>
  </si>
  <si>
    <t>Thymol</t>
  </si>
  <si>
    <t>Tinospora C.</t>
  </si>
  <si>
    <t>Tribulus Terr.</t>
  </si>
  <si>
    <t>Trillium Pend.</t>
  </si>
  <si>
    <t>Turnera. A (Damiana)</t>
  </si>
  <si>
    <t>Tylophora Ind</t>
  </si>
  <si>
    <t>Urtica Urens</t>
  </si>
  <si>
    <t>Usnea Bar.</t>
  </si>
  <si>
    <t>Ustilago M.</t>
  </si>
  <si>
    <t>Uva Ursi</t>
  </si>
  <si>
    <t>Valeriana 0.</t>
  </si>
  <si>
    <t>Veratrum Vir.</t>
  </si>
  <si>
    <t>Verbascum T.</t>
  </si>
  <si>
    <t>Vesicaria C.</t>
  </si>
  <si>
    <t>Viburnum Op.</t>
  </si>
  <si>
    <t>Viburnum Pru.</t>
  </si>
  <si>
    <t>Vinca Minor</t>
  </si>
  <si>
    <t>Vinca Ros (Catharanthus Roseus)</t>
  </si>
  <si>
    <t>Viola Odo.</t>
  </si>
  <si>
    <t>Viola Tric.</t>
  </si>
  <si>
    <t>Viscum Alb</t>
  </si>
  <si>
    <t>Withania Som (Aswagandha)</t>
  </si>
  <si>
    <t>Xanthoxyllum</t>
  </si>
  <si>
    <t>Yerba Santa (Eriodictyon)</t>
  </si>
  <si>
    <t>Yohimbinum</t>
  </si>
  <si>
    <t>Yucca Filam</t>
  </si>
  <si>
    <t>Zingiber.</t>
  </si>
  <si>
    <t>Coconut Oil</t>
  </si>
  <si>
    <t>Arnica</t>
  </si>
  <si>
    <t>Arnica Hair Oil Grade I (Perfurmed)</t>
  </si>
  <si>
    <t>Jaborandi</t>
  </si>
  <si>
    <t>Bryonia</t>
  </si>
  <si>
    <t>Calendula</t>
  </si>
  <si>
    <t>Echinacea</t>
  </si>
  <si>
    <t>Eucaliptus</t>
  </si>
  <si>
    <t>Hamamelis</t>
  </si>
  <si>
    <t>Hydrastis</t>
  </si>
  <si>
    <t>Ledum Pal</t>
  </si>
  <si>
    <t>Rhustox</t>
  </si>
  <si>
    <t>Thuja</t>
  </si>
  <si>
    <t>Camphor Oil</t>
  </si>
  <si>
    <t>Aesculus Hip</t>
  </si>
  <si>
    <t>White Petroleum Jelly</t>
  </si>
  <si>
    <t>Bees Wax</t>
  </si>
  <si>
    <t>Apis Mel</t>
  </si>
  <si>
    <t>Berberis</t>
  </si>
  <si>
    <t>Chrysorobinum</t>
  </si>
  <si>
    <t>Graphites</t>
  </si>
  <si>
    <t>Hepar Sulph.</t>
  </si>
  <si>
    <t>Petroleum</t>
  </si>
  <si>
    <t>Silicea</t>
  </si>
  <si>
    <t>Scookum Chuck</t>
  </si>
  <si>
    <t>Thuja Occ</t>
  </si>
  <si>
    <t>Sugar</t>
  </si>
  <si>
    <t>Gycerine</t>
  </si>
  <si>
    <t>Preservative</t>
  </si>
  <si>
    <t xml:space="preserve">Aralia </t>
  </si>
  <si>
    <t xml:space="preserve">Baptisia </t>
  </si>
  <si>
    <t>Blatta</t>
  </si>
  <si>
    <t>Flavor</t>
  </si>
  <si>
    <t>Berberis Velgaris</t>
  </si>
  <si>
    <t>Brahmi</t>
  </si>
  <si>
    <t>Janosia Asokha</t>
  </si>
  <si>
    <t>Chelidonium</t>
  </si>
  <si>
    <t>Abies Nig.</t>
  </si>
  <si>
    <t>Abrotanum</t>
  </si>
  <si>
    <t>Absinthium</t>
  </si>
  <si>
    <t>Acalypha Ind.</t>
  </si>
  <si>
    <t>Acid Acet.</t>
  </si>
  <si>
    <t>Acid Boric.</t>
  </si>
  <si>
    <t>Acid Brom</t>
  </si>
  <si>
    <t>Acid Butyric</t>
  </si>
  <si>
    <t>Acid Carb</t>
  </si>
  <si>
    <t>Acid Chromic</t>
  </si>
  <si>
    <t>Acid Chry</t>
  </si>
  <si>
    <t>Acid Fluor.</t>
  </si>
  <si>
    <t>Acid Hydrocy</t>
  </si>
  <si>
    <t>Acid Lactic</t>
  </si>
  <si>
    <t>Acid Sarcolact</t>
  </si>
  <si>
    <t>Acid Succinic</t>
  </si>
  <si>
    <t>Acid Tannic.</t>
  </si>
  <si>
    <t>Acid Tart.</t>
  </si>
  <si>
    <t>Acid Uric.</t>
  </si>
  <si>
    <t>Aconite Lyco.</t>
  </si>
  <si>
    <t>Actaea Spicata</t>
  </si>
  <si>
    <t>Adrenalin</t>
  </si>
  <si>
    <t>Aescul. Glab.</t>
  </si>
  <si>
    <t>Agaricus Musc.</t>
  </si>
  <si>
    <t>Agave Amer.</t>
  </si>
  <si>
    <t>Agnus Cast.</t>
  </si>
  <si>
    <t>Alnus Rub.</t>
  </si>
  <si>
    <t>Alumen</t>
  </si>
  <si>
    <t>Alumina</t>
  </si>
  <si>
    <t>Alumina Ph.</t>
  </si>
  <si>
    <t>Alumina Sil.</t>
  </si>
  <si>
    <t>Ambra Gris.</t>
  </si>
  <si>
    <t>Ambrosia A</t>
  </si>
  <si>
    <t>Ammon Brom.</t>
  </si>
  <si>
    <t>Ammon Carb.</t>
  </si>
  <si>
    <t>Ammon Caust.</t>
  </si>
  <si>
    <t>Ammon Mur.</t>
  </si>
  <si>
    <t>Ammon Nit.</t>
  </si>
  <si>
    <t>Ammon Phos.</t>
  </si>
  <si>
    <t>Ammon Pic.</t>
  </si>
  <si>
    <t>Ammon Sulph.</t>
  </si>
  <si>
    <t>Ammon. Acet</t>
  </si>
  <si>
    <t>Amoniacum G.</t>
  </si>
  <si>
    <t>Amygdal. Am.</t>
  </si>
  <si>
    <t>Amygdal. Per.</t>
  </si>
  <si>
    <t>Anatherum. M</t>
  </si>
  <si>
    <t>Andrographis Pan (Kalmegh)</t>
  </si>
  <si>
    <t>Anilinum</t>
  </si>
  <si>
    <t>Anthra Kokali</t>
  </si>
  <si>
    <t>Anthracinum</t>
  </si>
  <si>
    <t>Antim. Ars.</t>
  </si>
  <si>
    <t>Antim. Crud.</t>
  </si>
  <si>
    <t>Antim. Iod.</t>
  </si>
  <si>
    <t>Antim. Sulph.</t>
  </si>
  <si>
    <t>Antim. Tart.</t>
  </si>
  <si>
    <t>Antipyrine</t>
  </si>
  <si>
    <t>Antitoxin</t>
  </si>
  <si>
    <t>Apium Virus.</t>
  </si>
  <si>
    <t>Apium. Grav.</t>
  </si>
  <si>
    <t>Apormorphin. M.</t>
  </si>
  <si>
    <t>Aqua Marina</t>
  </si>
  <si>
    <t>Argent. Iod.</t>
  </si>
  <si>
    <t>Argent. Met.</t>
  </si>
  <si>
    <t>Argent. Nit.</t>
  </si>
  <si>
    <t>Aristoloch. Ser</t>
  </si>
  <si>
    <t>Arsenic Stib.</t>
  </si>
  <si>
    <t>Arsenic. Alb</t>
  </si>
  <si>
    <t>Arsenic. Brom.</t>
  </si>
  <si>
    <t>Arsenic. Iod.</t>
  </si>
  <si>
    <t>Arsenic. Met.</t>
  </si>
  <si>
    <t>Arsenic. Sul. Flav</t>
  </si>
  <si>
    <t>Arsenic. Sul. Rub.</t>
  </si>
  <si>
    <t>Arsenic. Sulph</t>
  </si>
  <si>
    <t>Arum Mac.</t>
  </si>
  <si>
    <t>Asparagus Off.</t>
  </si>
  <si>
    <t>Astacus FL</t>
  </si>
  <si>
    <t>Athamanta. O.</t>
  </si>
  <si>
    <t>Atropin.</t>
  </si>
  <si>
    <t>Aurum Ars.</t>
  </si>
  <si>
    <t>Aurum Brom</t>
  </si>
  <si>
    <t>Aurum lod.</t>
  </si>
  <si>
    <t>Aurum Met.</t>
  </si>
  <si>
    <t>Aurum Mur Nat</t>
  </si>
  <si>
    <t>Aurum Sulph.</t>
  </si>
  <si>
    <t>Aurum. Mur.</t>
  </si>
  <si>
    <t>Aviare</t>
  </si>
  <si>
    <t>Bacillimum</t>
  </si>
  <si>
    <t>Baryta Acet.</t>
  </si>
  <si>
    <t>Baryta Carb.</t>
  </si>
  <si>
    <t>Baryta Iod.</t>
  </si>
  <si>
    <t>Baryta Mur.</t>
  </si>
  <si>
    <t>Baryta Phos.</t>
  </si>
  <si>
    <t>Benzenum</t>
  </si>
  <si>
    <t>Benzenum Nit.</t>
  </si>
  <si>
    <t>Benzol</t>
  </si>
  <si>
    <t>Bismuthum Met</t>
  </si>
  <si>
    <t>Bismuthum.</t>
  </si>
  <si>
    <t>Blatta Am.</t>
  </si>
  <si>
    <t>Bone Tissue</t>
  </si>
  <si>
    <t>Borax</t>
  </si>
  <si>
    <t>Bothrop. La</t>
  </si>
  <si>
    <t>Bovista.</t>
  </si>
  <si>
    <t>Bromium</t>
  </si>
  <si>
    <t>Bryonia Alba.</t>
  </si>
  <si>
    <t>Bufo Rana</t>
  </si>
  <si>
    <t>Bungarus</t>
  </si>
  <si>
    <t>Cadmium Brom</t>
  </si>
  <si>
    <t>Cadmium Iod.</t>
  </si>
  <si>
    <t>Cadmium Met.</t>
  </si>
  <si>
    <t>Cadmium Sulph.</t>
  </si>
  <si>
    <t>Caladium Seg.</t>
  </si>
  <si>
    <t>Calc. Acet.</t>
  </si>
  <si>
    <t>Calc. Ars.</t>
  </si>
  <si>
    <t>Calc. Brom.</t>
  </si>
  <si>
    <t>Calc. Carb.</t>
  </si>
  <si>
    <t>Calc. Caust.</t>
  </si>
  <si>
    <t>Calc. Fluor.</t>
  </si>
  <si>
    <t>Calc. Hyp. Ph.</t>
  </si>
  <si>
    <t>Calc. Iod.</t>
  </si>
  <si>
    <t>Calc. Ova tosta (Ova Tosta)</t>
  </si>
  <si>
    <t>Calc. Oxal.</t>
  </si>
  <si>
    <t>Calc. Phos.</t>
  </si>
  <si>
    <t>Calc. Picr.</t>
  </si>
  <si>
    <t>Calc. Renalis</t>
  </si>
  <si>
    <t>Calc. Sillic</t>
  </si>
  <si>
    <t>Calc. Sulph.</t>
  </si>
  <si>
    <t>Caltha Pal.</t>
  </si>
  <si>
    <t>Camphora Mono.</t>
  </si>
  <si>
    <t>Cannabis Ind.</t>
  </si>
  <si>
    <t>Cannabis Sat.</t>
  </si>
  <si>
    <t>Carbo Anim.</t>
  </si>
  <si>
    <t>Carbo Veg.</t>
  </si>
  <si>
    <t>Carbon Sulph.</t>
  </si>
  <si>
    <t>Carbon Tetra</t>
  </si>
  <si>
    <t>Carcinosin</t>
  </si>
  <si>
    <t>Cascara Sag.</t>
  </si>
  <si>
    <t>Castor Equi</t>
  </si>
  <si>
    <t>Catharanthus  Roseus (Vinca Ros)</t>
  </si>
  <si>
    <t>Causticum</t>
  </si>
  <si>
    <t>Cenchris</t>
  </si>
  <si>
    <t>Cherianthus</t>
  </si>
  <si>
    <t>Chimaphila Mac.</t>
  </si>
  <si>
    <t>Chininum Ars.</t>
  </si>
  <si>
    <t>Chininum Mur.</t>
  </si>
  <si>
    <t>Chininum Ph.</t>
  </si>
  <si>
    <t>Chininuum Sulph.</t>
  </si>
  <si>
    <t>Chloralum</t>
  </si>
  <si>
    <t>Chloroform</t>
  </si>
  <si>
    <t>Chlorum</t>
  </si>
  <si>
    <t>Cholesterinum</t>
  </si>
  <si>
    <t>Chromium Sulph.</t>
  </si>
  <si>
    <t>Chrysarobinum</t>
  </si>
  <si>
    <t>Cicuta Mac.</t>
  </si>
  <si>
    <t>Cimex</t>
  </si>
  <si>
    <t>Cinnabaris</t>
  </si>
  <si>
    <t>Cinnamonum</t>
  </si>
  <si>
    <t>Cistus Can.</t>
  </si>
  <si>
    <t>Citrus Vulg.</t>
  </si>
  <si>
    <t>Clematis Erect.</t>
  </si>
  <si>
    <t>Cobaltum Met.</t>
  </si>
  <si>
    <t>Coca</t>
  </si>
  <si>
    <t>Cochlearia</t>
  </si>
  <si>
    <t>Codeinum</t>
  </si>
  <si>
    <t>Comoclad. Dent.</t>
  </si>
  <si>
    <t>Conium Mac.</t>
  </si>
  <si>
    <t>Corallium Rub.</t>
  </si>
  <si>
    <t>Corpus L.</t>
  </si>
  <si>
    <t>Coryza</t>
  </si>
  <si>
    <t>Cotyledon</t>
  </si>
  <si>
    <t>Crocus Sat.</t>
  </si>
  <si>
    <t>Crotalus Hor.</t>
  </si>
  <si>
    <t>Cubeba Off.</t>
  </si>
  <si>
    <t>Cucurbita</t>
  </si>
  <si>
    <t>Cuprum Ars</t>
  </si>
  <si>
    <t>Cuprum Acet.</t>
  </si>
  <si>
    <t>Cuprum Met.</t>
  </si>
  <si>
    <t>Curare</t>
  </si>
  <si>
    <t>Cyclamen Eu.</t>
  </si>
  <si>
    <t>Daminana (Turnera)</t>
  </si>
  <si>
    <t>Daphne Ind.</t>
  </si>
  <si>
    <t>Diphtherinum</t>
  </si>
  <si>
    <t>Dolichos Pru. (Mucuna)</t>
  </si>
  <si>
    <t>Dysentery</t>
  </si>
  <si>
    <t>Eel Serum (Ser. Ang lcth)</t>
  </si>
  <si>
    <t>Elaps Cor.</t>
  </si>
  <si>
    <t>Elaterium</t>
  </si>
  <si>
    <t>Epigea Rep.</t>
  </si>
  <si>
    <t>Epiphegus V.</t>
  </si>
  <si>
    <t>Eryngium A</t>
  </si>
  <si>
    <t>Eupaor. Purp</t>
  </si>
  <si>
    <t>Eupion</t>
  </si>
  <si>
    <t>Fagopyrum</t>
  </si>
  <si>
    <t>Fel. Tauri</t>
  </si>
  <si>
    <t>Ferrum Acet.</t>
  </si>
  <si>
    <t>Ferrum Ars.</t>
  </si>
  <si>
    <t>Ferrum Iod.</t>
  </si>
  <si>
    <t>Ferrum Met.</t>
  </si>
  <si>
    <t>Ferrum Phos.</t>
  </si>
  <si>
    <t>Ferrum Sulph.</t>
  </si>
  <si>
    <t>Ferrum. Picr.</t>
  </si>
  <si>
    <t>Formalinum</t>
  </si>
  <si>
    <t>Fragaria V.</t>
  </si>
  <si>
    <t>Galium</t>
  </si>
  <si>
    <t>Glonoinum</t>
  </si>
  <si>
    <t>Golondrina</t>
  </si>
  <si>
    <t>Gratioia O</t>
  </si>
  <si>
    <t>Gun-Powder</t>
  </si>
  <si>
    <t>Haematoxylon</t>
  </si>
  <si>
    <t>Hekla Lava</t>
  </si>
  <si>
    <t>Helleborus Foet.</t>
  </si>
  <si>
    <t>Heloderma H.</t>
  </si>
  <si>
    <t>Hippozaenium</t>
  </si>
  <si>
    <t>Histamin</t>
  </si>
  <si>
    <t>Hydrangea A.</t>
  </si>
  <si>
    <t>Hydrastin Mur.</t>
  </si>
  <si>
    <t>Hydrophobin (Lyssin)</t>
  </si>
  <si>
    <t>Iberis Amara</t>
  </si>
  <si>
    <t>Ichthyolum</t>
  </si>
  <si>
    <t>Indigo</t>
  </si>
  <si>
    <t>Influenzinum</t>
  </si>
  <si>
    <t>Insulin</t>
  </si>
  <si>
    <t>Iodoformum</t>
  </si>
  <si>
    <t>Ipomoea</t>
  </si>
  <si>
    <t>Iridium</t>
  </si>
  <si>
    <t>Iris Tenax</t>
  </si>
  <si>
    <t>Junglans Cin.</t>
  </si>
  <si>
    <t>Junglans Regia.</t>
  </si>
  <si>
    <t>Juniperus Com.</t>
  </si>
  <si>
    <t>Juniperus Virg.</t>
  </si>
  <si>
    <t>Kali Acet.</t>
  </si>
  <si>
    <t>Kali Ars.</t>
  </si>
  <si>
    <t>Kali Brom.</t>
  </si>
  <si>
    <t xml:space="preserve"> </t>
  </si>
  <si>
    <t>Kali Carb.</t>
  </si>
  <si>
    <t>Kali Caust</t>
  </si>
  <si>
    <t>Kali Chlor.</t>
  </si>
  <si>
    <t>Kali Cyan</t>
  </si>
  <si>
    <t>Kali Iod. (Kali Hydro. Iod)</t>
  </si>
  <si>
    <t>Kali Mur.</t>
  </si>
  <si>
    <t>Kali Nit.</t>
  </si>
  <si>
    <t>Kali Oxal.</t>
  </si>
  <si>
    <t>Kali Perm</t>
  </si>
  <si>
    <t>Kali Phos.</t>
  </si>
  <si>
    <t>Kali Sulph.</t>
  </si>
  <si>
    <t>Kaolin</t>
  </si>
  <si>
    <t>Kurchi(Holarrhena Anti D)</t>
  </si>
  <si>
    <t>Lac. Can</t>
  </si>
  <si>
    <t>Lac. Def.</t>
  </si>
  <si>
    <t>Lac. Fel.</t>
  </si>
  <si>
    <t>Lac. Vac.</t>
  </si>
  <si>
    <t>Lachesis</t>
  </si>
  <si>
    <t>Lapis Alb.</t>
  </si>
  <si>
    <t>Lappa Major</t>
  </si>
  <si>
    <t>Lathyrus S.</t>
  </si>
  <si>
    <t>Latrodect M.</t>
  </si>
  <si>
    <t>Lecithin</t>
  </si>
  <si>
    <t>Lillium Tig.</t>
  </si>
  <si>
    <t>Lithium Carb.</t>
  </si>
  <si>
    <t>Lobellia Er.</t>
  </si>
  <si>
    <t>Lupulus</t>
  </si>
  <si>
    <t>Lycopersicum</t>
  </si>
  <si>
    <t>Lyssin (Hydrophobinum)</t>
  </si>
  <si>
    <t>Mag. Acet.</t>
  </si>
  <si>
    <t>Mag. Carb.</t>
  </si>
  <si>
    <t>Mag. Flour.</t>
  </si>
  <si>
    <t>Mag. Mur.</t>
  </si>
  <si>
    <t>Mag. Phos.</t>
  </si>
  <si>
    <t>Mag. Sulph.</t>
  </si>
  <si>
    <t>Magn. Pol. Au.</t>
  </si>
  <si>
    <t>Malandrinum</t>
  </si>
  <si>
    <t>Malaria Off.</t>
  </si>
  <si>
    <t>Mancinella</t>
  </si>
  <si>
    <t>Mang. Acet.</t>
  </si>
  <si>
    <t>Medorrhinum</t>
  </si>
  <si>
    <t>Menisper. C.</t>
  </si>
  <si>
    <t>Mephitis</t>
  </si>
  <si>
    <t>Mephitis Putur.</t>
  </si>
  <si>
    <t>Merc. Bin. Iod (MIR)</t>
  </si>
  <si>
    <t>Merc. Cor.</t>
  </si>
  <si>
    <t>Merc. Cyan</t>
  </si>
  <si>
    <t>Merc. Dulc.</t>
  </si>
  <si>
    <t>Merc. Iod. Flav. (MPI)</t>
  </si>
  <si>
    <t>Merc. Iod. Rub. (MBI)</t>
  </si>
  <si>
    <t>Merc. Pr. Iod. (MIF)</t>
  </si>
  <si>
    <t>Merc. Sol.</t>
  </si>
  <si>
    <t>Mere. Sulph.</t>
  </si>
  <si>
    <t>Mere. Viv.</t>
  </si>
  <si>
    <t>Methyle. Bl.</t>
  </si>
  <si>
    <t>Morbillinum</t>
  </si>
  <si>
    <t>Morphinum</t>
  </si>
  <si>
    <t>Moschus</t>
  </si>
  <si>
    <t>Murex</t>
  </si>
  <si>
    <t>Mygale</t>
  </si>
  <si>
    <t>Myristica Seb.</t>
  </si>
  <si>
    <t>Myrtus Co.</t>
  </si>
  <si>
    <t>Naja Trip.</t>
  </si>
  <si>
    <t>Naphthalin</t>
  </si>
  <si>
    <t>Nat. Ars.</t>
  </si>
  <si>
    <t>Nat. Carb.</t>
  </si>
  <si>
    <t>Nat. Chior.</t>
  </si>
  <si>
    <t>Nat. Iod.</t>
  </si>
  <si>
    <t>Nat. Mur.</t>
  </si>
  <si>
    <t>Nat. Nit.</t>
  </si>
  <si>
    <t>Nat. Phos.</t>
  </si>
  <si>
    <t>Nat. Salic</t>
  </si>
  <si>
    <t>Nat. Silic</t>
  </si>
  <si>
    <t>Nat. Sulph.</t>
  </si>
  <si>
    <t>Nux Juglans</t>
  </si>
  <si>
    <t>Nyctanthes</t>
  </si>
  <si>
    <t>Oleum Anim</t>
  </si>
  <si>
    <t>Oleum Caj.</t>
  </si>
  <si>
    <t>Oleum Je. As.</t>
  </si>
  <si>
    <t>Oleum Sant.</t>
  </si>
  <si>
    <t>Onosmodium</t>
  </si>
  <si>
    <t>Oophorinum</t>
  </si>
  <si>
    <t>Opium</t>
  </si>
  <si>
    <t>Osmium</t>
  </si>
  <si>
    <t>OvaTosta (Cale. Ova. Tost)</t>
  </si>
  <si>
    <t>Oxydendron</t>
  </si>
  <si>
    <t>Palladium</t>
  </si>
  <si>
    <t>Pancreatin</t>
  </si>
  <si>
    <t>Paraffine</t>
  </si>
  <si>
    <t>Parathyroid</t>
  </si>
  <si>
    <t>Paris Quad.</t>
  </si>
  <si>
    <t>Parotidinum</t>
  </si>
  <si>
    <t>Paullinia</t>
  </si>
  <si>
    <t>Pediculus C.</t>
  </si>
  <si>
    <t>Pencillin</t>
  </si>
  <si>
    <t>Penthorum S</t>
  </si>
  <si>
    <t>Pepsin</t>
  </si>
  <si>
    <t>Pertussin</t>
  </si>
  <si>
    <t>Petroselinum</t>
  </si>
  <si>
    <t>Phaseolus</t>
  </si>
  <si>
    <t>Phellandrin</t>
  </si>
  <si>
    <t>Phosphorus</t>
  </si>
  <si>
    <t>Physalis</t>
  </si>
  <si>
    <t>Pichi</t>
  </si>
  <si>
    <t>Piperizinum</t>
  </si>
  <si>
    <t>Pituitarin</t>
  </si>
  <si>
    <t>Pix. Liq.</t>
  </si>
  <si>
    <t>Placenta</t>
  </si>
  <si>
    <t>Platinum Met.</t>
  </si>
  <si>
    <t>Platinum Mur.</t>
  </si>
  <si>
    <t>Plumbum Ace.</t>
  </si>
  <si>
    <t>Plumbum Iod.</t>
  </si>
  <si>
    <t>Plumbum Met.</t>
  </si>
  <si>
    <t>Plumbum Phos.</t>
  </si>
  <si>
    <t>Pneumococcin</t>
  </si>
  <si>
    <t>Polygonum P.</t>
  </si>
  <si>
    <t>Primula Ob.</t>
  </si>
  <si>
    <t>Primula Ve.</t>
  </si>
  <si>
    <t>Prunus Spin.</t>
  </si>
  <si>
    <t>Psorinum</t>
  </si>
  <si>
    <t>Pulmo Vul.</t>
  </si>
  <si>
    <t>Pyrogenium</t>
  </si>
  <si>
    <t>Quassia</t>
  </si>
  <si>
    <t>Quercus  Gland  Spirit</t>
  </si>
  <si>
    <t>Quillaya S</t>
  </si>
  <si>
    <t>Radium Brom.</t>
  </si>
  <si>
    <t>Ranuncul Bulb.</t>
  </si>
  <si>
    <t>Rhamnus Cali.</t>
  </si>
  <si>
    <t>Rheum</t>
  </si>
  <si>
    <t>Rhus Arom</t>
  </si>
  <si>
    <t>Rhus Glab</t>
  </si>
  <si>
    <t>Rumex Crisp.</t>
  </si>
  <si>
    <t>Sacc. Lac.</t>
  </si>
  <si>
    <t>Sacc. Off.</t>
  </si>
  <si>
    <t>Sambucus Can.</t>
  </si>
  <si>
    <t>Sanguinar Nit.</t>
  </si>
  <si>
    <t>Sanicula</t>
  </si>
  <si>
    <t>Santoninum</t>
  </si>
  <si>
    <t>Saponaria</t>
  </si>
  <si>
    <t>Saraca Ind.</t>
  </si>
  <si>
    <t>Saracenia</t>
  </si>
  <si>
    <t>Scirrhinum</t>
  </si>
  <si>
    <t>Selenium</t>
  </si>
  <si>
    <t>Sempervivum</t>
  </si>
  <si>
    <t>Sepia</t>
  </si>
  <si>
    <t>Sepsin</t>
  </si>
  <si>
    <t>Serum Angs. Ich (Eelserum) </t>
  </si>
  <si>
    <t>Silica Marina.</t>
  </si>
  <si>
    <t>Sinapis  Alb.</t>
  </si>
  <si>
    <t>Sinapis Nig.</t>
  </si>
  <si>
    <t>Skookum Chuk.</t>
  </si>
  <si>
    <t>Solanum Lyco.</t>
  </si>
  <si>
    <t>Spiranthes</t>
  </si>
  <si>
    <t>Spirit Qu. Gl. (Querc Gland Spirit)</t>
  </si>
  <si>
    <t>Stannum Iod.</t>
  </si>
  <si>
    <t>Stannum Met.</t>
  </si>
  <si>
    <t>Staphyloco.</t>
  </si>
  <si>
    <t>Stigmata M.</t>
  </si>
  <si>
    <t>Streptococ.</t>
  </si>
  <si>
    <t>Streptomycin</t>
  </si>
  <si>
    <t>Strontium C.</t>
  </si>
  <si>
    <t>Strontium Iod.</t>
  </si>
  <si>
    <t>Strych. Ars.</t>
  </si>
  <si>
    <t>Strych. Mur.</t>
  </si>
  <si>
    <t>Strych. Nit.</t>
  </si>
  <si>
    <t>Strych. Phos</t>
  </si>
  <si>
    <t>Strych. Sulph.</t>
  </si>
  <si>
    <t>Strychninum</t>
  </si>
  <si>
    <t>Succinum</t>
  </si>
  <si>
    <t>Sulphur Iod.</t>
  </si>
  <si>
    <t>Sumbul</t>
  </si>
  <si>
    <t>Syphilinum</t>
  </si>
  <si>
    <t>Tarentul Hisp.</t>
  </si>
  <si>
    <t>Tarentul. Cub.</t>
  </si>
  <si>
    <t>Tellurium</t>
  </si>
  <si>
    <t>Terebinth</t>
  </si>
  <si>
    <t>Thallium</t>
  </si>
  <si>
    <t>Theridion C.</t>
  </si>
  <si>
    <t>Thiosinamin</t>
  </si>
  <si>
    <t>Thyroidinum</t>
  </si>
  <si>
    <t>Titanium</t>
  </si>
  <si>
    <t>Trinitrotolu</t>
  </si>
  <si>
    <t>Tuberculin Koch.</t>
  </si>
  <si>
    <t>Tuberculinum</t>
  </si>
  <si>
    <t>Typhoidinum</t>
  </si>
  <si>
    <t>Uranium Met.</t>
  </si>
  <si>
    <t>Uranium Nit.</t>
  </si>
  <si>
    <t>Urea</t>
  </si>
  <si>
    <t>Vaccinium</t>
  </si>
  <si>
    <t>Vanadium</t>
  </si>
  <si>
    <t>Vanila</t>
  </si>
  <si>
    <t>Variolinum</t>
  </si>
  <si>
    <t>Veratrum Alb.</t>
  </si>
  <si>
    <t>Vespa Carbo.</t>
  </si>
  <si>
    <t>Vipera</t>
  </si>
  <si>
    <t>Wiesbaden</t>
  </si>
  <si>
    <t>Wyethia</t>
  </si>
  <si>
    <t>X-Ray</t>
  </si>
  <si>
    <t>Zinc. Met.</t>
  </si>
  <si>
    <t>Zinc. Phos.</t>
  </si>
  <si>
    <t>Zincum  Valerianum</t>
  </si>
  <si>
    <t>Lactose</t>
  </si>
  <si>
    <t>Magnesium Sterate</t>
  </si>
  <si>
    <t>Starch</t>
  </si>
  <si>
    <t>Arsenic. Sul. Flav.</t>
  </si>
  <si>
    <t>Chinnium Sulf</t>
  </si>
  <si>
    <t>Cupurm Ars.</t>
  </si>
  <si>
    <t>Cuprum Met</t>
  </si>
  <si>
    <t>Merc. Pr. Iod (MIF)</t>
  </si>
  <si>
    <t>Strychnium Nit.</t>
  </si>
  <si>
    <t>Strychninum Pho</t>
  </si>
  <si>
    <t>Calcarea Fluor</t>
  </si>
  <si>
    <t>Calcarea Phos</t>
  </si>
  <si>
    <t>Calcarea Sulph</t>
  </si>
  <si>
    <t>Ferrum Phos</t>
  </si>
  <si>
    <t>Kali Mur</t>
  </si>
  <si>
    <t>Kali Sulph</t>
  </si>
  <si>
    <t>Nat. Phos</t>
  </si>
  <si>
    <t>Nat. Sulph</t>
  </si>
  <si>
    <t>Nat. Mur</t>
  </si>
  <si>
    <t>Mag. Phos</t>
  </si>
  <si>
    <t>Column No:</t>
  </si>
  <si>
    <t>Sl.
No.</t>
  </si>
  <si>
    <t>Name of Herb/ Raw Material</t>
  </si>
  <si>
    <t>Price/ Unit Weight</t>
  </si>
  <si>
    <t>nil</t>
  </si>
  <si>
    <t>direct back potency is purchased</t>
  </si>
  <si>
    <t>Artimisia Vulg.</t>
  </si>
  <si>
    <t>Alnus Ser.</t>
  </si>
  <si>
    <t>Chimaphila Umbillata</t>
  </si>
  <si>
    <t>Ergot</t>
  </si>
  <si>
    <t>Myrica Ceri</t>
  </si>
  <si>
    <t>Prunus Virg</t>
  </si>
  <si>
    <t>Raffanus Sativus</t>
  </si>
  <si>
    <t>Rubina Psudacassia</t>
  </si>
  <si>
    <t>Ranunculus Bulbosus</t>
  </si>
  <si>
    <t>Symphytum offi</t>
  </si>
  <si>
    <t>Achilia Millefolium</t>
  </si>
  <si>
    <t>Nil</t>
  </si>
  <si>
    <t>Glycerine</t>
  </si>
  <si>
    <t xml:space="preserve">Camphor </t>
  </si>
  <si>
    <t>Graphites Powder</t>
  </si>
  <si>
    <t>Magnesium Stearate</t>
  </si>
  <si>
    <t>Santoninum 1x</t>
  </si>
  <si>
    <t>Column No: 1</t>
  </si>
  <si>
    <t>Lookup value</t>
  </si>
  <si>
    <t>Type of Pack</t>
  </si>
  <si>
    <t>Qty</t>
  </si>
  <si>
    <t>Unit</t>
  </si>
  <si>
    <t>Price of carton</t>
  </si>
  <si>
    <t>No of Units/ Carton</t>
  </si>
  <si>
    <t xml:space="preserve">Price of Carton/Pack </t>
  </si>
  <si>
    <t>Price of Bottle</t>
  </si>
  <si>
    <t>Price of Plug</t>
  </si>
  <si>
    <t>Price of Cap</t>
  </si>
  <si>
    <t>Price of Label</t>
  </si>
  <si>
    <t>Price of liner</t>
  </si>
  <si>
    <t>Price of Strip</t>
  </si>
  <si>
    <t>Price of Paper Box</t>
  </si>
  <si>
    <t>Add new component</t>
  </si>
  <si>
    <t>Total</t>
  </si>
  <si>
    <t xml:space="preserve">Glass Bottle </t>
  </si>
  <si>
    <t>Glass Bottle</t>
  </si>
  <si>
    <t>Tube</t>
  </si>
  <si>
    <t>Blister</t>
  </si>
  <si>
    <t>Container</t>
  </si>
  <si>
    <t>Paper Box</t>
  </si>
  <si>
    <t>Section</t>
  </si>
  <si>
    <t>Available Time/ Shift</t>
  </si>
  <si>
    <t>Output/ Shift</t>
  </si>
  <si>
    <t>Allocated Manpower</t>
  </si>
  <si>
    <t>Man. Minute For Production</t>
  </si>
  <si>
    <t>Packing O/P (No: of packs)</t>
  </si>
  <si>
    <t>Man Minute for Packing</t>
  </si>
  <si>
    <t>Total man minute per Pack</t>
  </si>
  <si>
    <t>Production</t>
  </si>
  <si>
    <t>Packing</t>
  </si>
  <si>
    <t>Add Qty</t>
  </si>
  <si>
    <t xml:space="preserve"> (mins)</t>
  </si>
  <si>
    <t>(Kg, L)</t>
  </si>
  <si>
    <t>m.min</t>
  </si>
  <si>
    <t>Add Unit</t>
  </si>
  <si>
    <t>Add</t>
  </si>
  <si>
    <t>Coloumn No:1</t>
  </si>
  <si>
    <t>kWh/ Month</t>
  </si>
  <si>
    <t>Batch Per day</t>
  </si>
  <si>
    <t>kWh/Batch</t>
  </si>
  <si>
    <t>Glass Bottle 30ml</t>
  </si>
  <si>
    <t>Blister 3g</t>
  </si>
  <si>
    <t>Container 20g</t>
  </si>
  <si>
    <t>Container 500g</t>
  </si>
  <si>
    <t>Paper Box 500g</t>
  </si>
</sst>
</file>

<file path=xl/styles.xml><?xml version="1.0" encoding="utf-8"?>
<styleSheet xmlns="http://schemas.openxmlformats.org/spreadsheetml/2006/main">
  <numFmts count="8">
    <numFmt numFmtId="176" formatCode="_ &quot;₹&quot;* #,##0.00_ ;_ &quot;₹&quot;* \-#,##0.00_ ;_ &quot;₹&quot;* &quot;-&quot;??_ ;_ @_ "/>
    <numFmt numFmtId="177" formatCode="_ * #,##0_ ;_ * \-#,##0_ ;_ * &quot;-&quot;_ ;_ @_ "/>
    <numFmt numFmtId="178" formatCode="_ * #,##0.00_ ;_ * \-#,##0.00_ ;_ * &quot;-&quot;??_ ;_ @_ "/>
    <numFmt numFmtId="179" formatCode="_ &quot;₹&quot;* #,##0_ ;_ &quot;₹&quot;* \-#,##0_ ;_ &quot;₹&quot;* &quot;-&quot;_ ;_ @_ "/>
    <numFmt numFmtId="180" formatCode="_(* #,##0.00_);_(* \(#,##0.00\);_(* &quot;-&quot;??_);_(@_)"/>
    <numFmt numFmtId="181" formatCode="0.0"/>
    <numFmt numFmtId="182" formatCode="0.0%"/>
    <numFmt numFmtId="183" formatCode="0.000%"/>
  </numFmts>
  <fonts count="43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1"/>
      <name val="Calibri"/>
      <charset val="134"/>
      <scheme val="minor"/>
    </font>
    <font>
      <b/>
      <sz val="12"/>
      <color theme="0"/>
      <name val="Calibri"/>
      <charset val="134"/>
      <scheme val="minor"/>
    </font>
    <font>
      <b/>
      <sz val="10"/>
      <color theme="0"/>
      <name val="Calibri"/>
      <charset val="134"/>
      <scheme val="minor"/>
    </font>
    <font>
      <sz val="12"/>
      <color theme="1"/>
      <name val="Calibri"/>
      <charset val="134"/>
      <scheme val="minor"/>
    </font>
    <font>
      <sz val="12"/>
      <name val="Calibri"/>
      <charset val="134"/>
      <scheme val="minor"/>
    </font>
    <font>
      <sz val="9"/>
      <color rgb="FF000000"/>
      <name val="Verdana"/>
      <charset val="134"/>
    </font>
    <font>
      <sz val="9"/>
      <color theme="1"/>
      <name val="Verdana"/>
      <charset val="134"/>
    </font>
    <font>
      <sz val="9"/>
      <name val="Verdana"/>
      <charset val="134"/>
    </font>
    <font>
      <b/>
      <sz val="11"/>
      <color theme="1"/>
      <name val="Calibri"/>
      <charset val="134"/>
      <scheme val="minor"/>
    </font>
    <font>
      <sz val="7"/>
      <color rgb="FF000000"/>
      <name val="Verdana"/>
      <charset val="134"/>
    </font>
    <font>
      <i/>
      <sz val="11"/>
      <color theme="1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b/>
      <i/>
      <sz val="12"/>
      <color rgb="FFFF0000"/>
      <name val="Calibri"/>
      <charset val="134"/>
      <scheme val="minor"/>
    </font>
    <font>
      <b/>
      <sz val="18"/>
      <color theme="1"/>
      <name val="Calibri"/>
      <charset val="134"/>
      <scheme val="minor"/>
    </font>
    <font>
      <b/>
      <u/>
      <sz val="10"/>
      <name val="Ebrima"/>
      <charset val="134"/>
    </font>
    <font>
      <sz val="10"/>
      <name val="Ebrima"/>
      <charset val="134"/>
    </font>
    <font>
      <b/>
      <sz val="10"/>
      <name val="Ebrima"/>
      <charset val="134"/>
    </font>
    <font>
      <u/>
      <sz val="11"/>
      <color rgb="FF0000F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0"/>
      <name val="Arial"/>
      <charset val="134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0"/>
      <color rgb="FF000000"/>
      <name val="Times New Roman"/>
      <charset val="134"/>
    </font>
    <font>
      <sz val="11"/>
      <color rgb="FF9C65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gradientFill degree="90">
        <stop position="0">
          <color theme="3" tint="0.80001220740379"/>
        </stop>
        <stop position="1">
          <color theme="0"/>
        </stop>
      </gradientFill>
    </fill>
    <fill>
      <gradientFill degree="45">
        <stop position="0">
          <color theme="0"/>
        </stop>
        <stop position="1">
          <color theme="4" tint="0.599993896298105"/>
        </stop>
      </gradient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</fills>
  <borders count="88">
    <border>
      <left/>
      <right/>
      <top/>
      <bottom/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249946592608417"/>
      </left>
      <right style="thin">
        <color theme="0" tint="-0.249946592608417"/>
      </right>
      <top/>
      <bottom style="thin">
        <color theme="0" tint="-0.249946592608417"/>
      </bottom>
      <diagonal/>
    </border>
    <border>
      <left/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thin">
        <color theme="0"/>
      </right>
      <top style="thin">
        <color theme="0" tint="-0.249946592608417"/>
      </top>
      <bottom/>
      <diagonal/>
    </border>
    <border>
      <left style="thin">
        <color theme="0"/>
      </left>
      <right style="thin">
        <color theme="0"/>
      </right>
      <top style="thin">
        <color theme="0" tint="-0.249946592608417"/>
      </top>
      <bottom/>
      <diagonal/>
    </border>
    <border>
      <left style="thin">
        <color theme="0"/>
      </left>
      <right style="thin">
        <color theme="0"/>
      </right>
      <top style="thin">
        <color theme="0" tint="-0.249946592608417"/>
      </top>
      <bottom style="thin">
        <color theme="0" tint="-0.0499893185216834"/>
      </bottom>
      <diagonal/>
    </border>
    <border>
      <left style="thin">
        <color theme="0"/>
      </left>
      <right/>
      <top style="thin">
        <color theme="0" tint="-0.249946592608417"/>
      </top>
      <bottom style="thin">
        <color theme="0" tint="-0.0499893185216834"/>
      </bottom>
      <diagonal/>
    </border>
    <border>
      <left style="thin">
        <color theme="0" tint="-0.249946592608417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 tint="-0.249946592608417"/>
      </bottom>
      <diagonal/>
    </border>
    <border>
      <left style="thin">
        <color theme="0"/>
      </left>
      <right style="thin">
        <color theme="0"/>
      </right>
      <top style="thin">
        <color theme="0" tint="-0.0499893185216834"/>
      </top>
      <bottom/>
      <diagonal/>
    </border>
    <border>
      <left style="thin">
        <color theme="0"/>
      </left>
      <right style="thin">
        <color theme="0"/>
      </right>
      <top style="thin">
        <color theme="0" tint="-0.0499893185216834"/>
      </top>
      <bottom style="thin">
        <color theme="0" tint="-0.249946592608417"/>
      </bottom>
      <diagonal/>
    </border>
    <border>
      <left style="thin">
        <color theme="0" tint="-0.249946592608417"/>
      </left>
      <right style="thin">
        <color theme="0"/>
      </right>
      <top/>
      <bottom style="thin">
        <color theme="0" tint="-0.249946592608417"/>
      </bottom>
      <diagonal/>
    </border>
    <border>
      <left style="thin">
        <color theme="0" tint="-0.249946592608417"/>
      </left>
      <right/>
      <top/>
      <bottom style="thin">
        <color theme="0" tint="-0.249946592608417"/>
      </bottom>
      <diagonal/>
    </border>
    <border>
      <left/>
      <right/>
      <top/>
      <bottom style="thin">
        <color theme="0" tint="-0.249946592608417"/>
      </bottom>
      <diagonal/>
    </border>
    <border>
      <left/>
      <right/>
      <top style="thin">
        <color theme="0" tint="-0.249946592608417"/>
      </top>
      <bottom style="thin">
        <color theme="0" tint="-0.0499893185216834"/>
      </bottom>
      <diagonal/>
    </border>
    <border>
      <left/>
      <right style="thin">
        <color theme="0"/>
      </right>
      <top style="thin">
        <color theme="0" tint="-0.249946592608417"/>
      </top>
      <bottom style="thin">
        <color theme="0" tint="-0.0499893185216834"/>
      </bottom>
      <diagonal/>
    </border>
    <border>
      <left style="thin">
        <color theme="0"/>
      </left>
      <right/>
      <top/>
      <bottom/>
      <diagonal/>
    </border>
    <border>
      <left style="thin">
        <color theme="0" tint="-0.249946592608417"/>
      </left>
      <right style="thin">
        <color theme="0" tint="-0.249946592608417"/>
      </right>
      <top style="medium">
        <color auto="1"/>
      </top>
      <bottom style="thin">
        <color theme="0" tint="-0.249946592608417"/>
      </bottom>
      <diagonal/>
    </border>
    <border>
      <left style="medium">
        <color auto="1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thin">
        <color theme="0" tint="-0.249946592608417"/>
      </right>
      <top style="medium">
        <color auto="1"/>
      </top>
      <bottom style="thin">
        <color theme="0" tint="-0.249946592608417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theme="0" tint="-0.249946592608417"/>
      </right>
      <top style="thin">
        <color auto="1"/>
      </top>
      <bottom style="thin">
        <color theme="0" tint="-0.249946592608417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auto="1"/>
      </top>
      <bottom style="thin">
        <color theme="0" tint="-0.249946592608417"/>
      </bottom>
      <diagonal/>
    </border>
    <border>
      <left style="thin">
        <color theme="0" tint="-0.249946592608417"/>
      </left>
      <right/>
      <top style="thin">
        <color theme="0" tint="-0.249946592608417"/>
      </top>
      <bottom style="thin">
        <color theme="0" tint="-0.249946592608417"/>
      </bottom>
      <diagonal/>
    </border>
    <border>
      <left/>
      <right/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14996795556505"/>
      </left>
      <right style="thin">
        <color theme="0" tint="-0.14996795556505"/>
      </right>
      <top style="thin">
        <color theme="0" tint="-0.14996795556505"/>
      </top>
      <bottom style="thin">
        <color theme="0" tint="-0.1499679555650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14996795556505"/>
      </right>
      <top style="thin">
        <color auto="1"/>
      </top>
      <bottom style="thin">
        <color theme="0" tint="-0.14996795556505"/>
      </bottom>
      <diagonal/>
    </border>
    <border>
      <left style="thin">
        <color theme="0" tint="-0.14996795556505"/>
      </left>
      <right style="thin">
        <color theme="0" tint="-0.14996795556505"/>
      </right>
      <top style="thin">
        <color auto="1"/>
      </top>
      <bottom style="thin">
        <color theme="0" tint="-0.14996795556505"/>
      </bottom>
      <diagonal/>
    </border>
    <border>
      <left style="thin">
        <color auto="1"/>
      </left>
      <right style="thin">
        <color theme="0" tint="-0.14996795556505"/>
      </right>
      <top style="thin">
        <color theme="0" tint="-0.14996795556505"/>
      </top>
      <bottom style="thin">
        <color theme="0" tint="-0.14996795556505"/>
      </bottom>
      <diagonal/>
    </border>
    <border>
      <left style="thin">
        <color theme="0" tint="-0.14996795556505"/>
      </left>
      <right/>
      <top style="thin">
        <color theme="0" tint="-0.14996795556505"/>
      </top>
      <bottom style="thin">
        <color theme="0" tint="-0.14996795556505"/>
      </bottom>
      <diagonal/>
    </border>
    <border>
      <left style="thin">
        <color auto="1"/>
      </left>
      <right/>
      <top style="thin">
        <color theme="0" tint="-0.14996795556505"/>
      </top>
      <bottom style="thin">
        <color theme="0" tint="-0.14996795556505"/>
      </bottom>
      <diagonal/>
    </border>
    <border>
      <left/>
      <right style="thin">
        <color theme="0" tint="-0.14996795556505"/>
      </right>
      <top style="thin">
        <color theme="0" tint="-0.14996795556505"/>
      </top>
      <bottom style="thin">
        <color theme="0" tint="-0.14996795556505"/>
      </bottom>
      <diagonal/>
    </border>
    <border>
      <left style="thin">
        <color auto="1"/>
      </left>
      <right style="thin">
        <color theme="0" tint="-0.14996795556505"/>
      </right>
      <top style="thin">
        <color theme="0" tint="-0.14996795556505"/>
      </top>
      <bottom/>
      <diagonal/>
    </border>
    <border>
      <left style="thin">
        <color auto="1"/>
      </left>
      <right style="thin">
        <color theme="0" tint="-0.14996795556505"/>
      </right>
      <top/>
      <bottom/>
      <diagonal/>
    </border>
    <border>
      <left style="thin">
        <color auto="1"/>
      </left>
      <right style="thin">
        <color theme="0" tint="-0.14996795556505"/>
      </right>
      <top/>
      <bottom style="thin">
        <color theme="0" tint="-0.14996795556505"/>
      </bottom>
      <diagonal/>
    </border>
    <border>
      <left style="thin">
        <color theme="0" tint="-0.14996795556505"/>
      </left>
      <right/>
      <top style="thin">
        <color theme="0" tint="-0.14996795556505"/>
      </top>
      <bottom/>
      <diagonal/>
    </border>
    <border>
      <left/>
      <right style="thin">
        <color theme="0" tint="-0.14996795556505"/>
      </right>
      <top style="thin">
        <color theme="0" tint="-0.14996795556505"/>
      </top>
      <bottom/>
      <diagonal/>
    </border>
    <border>
      <left style="thin">
        <color theme="0" tint="-0.14996795556505"/>
      </left>
      <right/>
      <top/>
      <bottom style="thin">
        <color theme="0" tint="-0.14996795556505"/>
      </bottom>
      <diagonal/>
    </border>
    <border>
      <left/>
      <right style="thin">
        <color theme="0" tint="-0.14996795556505"/>
      </right>
      <top/>
      <bottom style="thin">
        <color theme="0" tint="-0.14996795556505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theme="0" tint="-0.14996795556505"/>
      </top>
      <bottom style="thin">
        <color theme="0" tint="-0.14996795556505"/>
      </bottom>
      <diagonal/>
    </border>
    <border>
      <left style="thin">
        <color auto="1"/>
      </left>
      <right style="thin">
        <color theme="0" tint="-0.14996795556505"/>
      </right>
      <top style="thin">
        <color theme="0" tint="-0.14996795556505"/>
      </top>
      <bottom style="thin">
        <color auto="1"/>
      </bottom>
      <diagonal/>
    </border>
    <border>
      <left style="thin">
        <color theme="0" tint="-0.14996795556505"/>
      </left>
      <right style="thin">
        <color theme="0" tint="-0.14996795556505"/>
      </right>
      <top style="thin">
        <color theme="0" tint="-0.14996795556505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14996795556505"/>
      </left>
      <right style="thin">
        <color auto="1"/>
      </right>
      <top style="thin">
        <color auto="1"/>
      </top>
      <bottom style="thin">
        <color theme="0" tint="-0.14996795556505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theme="0" tint="-0.14996795556505"/>
      </left>
      <right style="thin">
        <color auto="1"/>
      </right>
      <top style="thin">
        <color theme="0" tint="-0.14996795556505"/>
      </top>
      <bottom style="thin">
        <color theme="0" tint="-0.14996795556505"/>
      </bottom>
      <diagonal/>
    </border>
    <border>
      <left style="medium">
        <color auto="1"/>
      </left>
      <right/>
      <top/>
      <bottom/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/>
      <diagonal/>
    </border>
    <border>
      <left/>
      <right style="thin">
        <color theme="0" tint="-0.249946592608417"/>
      </right>
      <top style="thin">
        <color theme="0" tint="-0.249946592608417"/>
      </top>
      <bottom/>
      <diagonal/>
    </border>
    <border>
      <left/>
      <right/>
      <top style="thin">
        <color theme="0" tint="-0.249946592608417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14996795556505"/>
      </left>
      <right style="thin">
        <color theme="0" tint="-0.14996795556505"/>
      </right>
      <top style="thin">
        <color theme="0" tint="-0.14996795556505"/>
      </top>
      <bottom/>
      <diagonal/>
    </border>
    <border>
      <left style="thin">
        <color theme="0" tint="-0.14996795556505"/>
      </left>
      <right style="thin">
        <color theme="0" tint="-0.14996795556505"/>
      </right>
      <top/>
      <bottom style="thin">
        <color theme="0" tint="-0.14996795556505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theme="0" tint="-0.14996795556505"/>
      </left>
      <right style="thin">
        <color auto="1"/>
      </right>
      <top style="thin">
        <color theme="0" tint="-0.14996795556505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249946592608417"/>
      </left>
      <right style="thin">
        <color auto="1"/>
      </right>
      <top style="thin">
        <color auto="1"/>
      </top>
      <bottom style="thin">
        <color theme="0" tint="-0.249946592608417"/>
      </bottom>
      <diagonal/>
    </border>
    <border>
      <left style="thin">
        <color theme="0" tint="-0.249946592608417"/>
      </left>
      <right style="thin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auto="1"/>
      </left>
      <right style="thin">
        <color theme="0" tint="-0.249946592608417"/>
      </right>
      <top style="thin">
        <color theme="0" tint="-0.249946592608417"/>
      </top>
      <bottom style="thin">
        <color auto="1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auto="1"/>
      </bottom>
      <diagonal/>
    </border>
    <border>
      <left style="thin">
        <color theme="0" tint="-0.249946592608417"/>
      </left>
      <right style="thin">
        <color auto="1"/>
      </right>
      <top style="thin">
        <color theme="0" tint="-0.249946592608417"/>
      </top>
      <bottom style="thin">
        <color auto="1"/>
      </bottom>
      <diagonal/>
    </border>
    <border>
      <left style="thin">
        <color theme="0" tint="-0.249946592608417"/>
      </left>
      <right style="thin">
        <color theme="0" tint="-0.249946592608417"/>
      </right>
      <top/>
      <bottom/>
      <diagonal/>
    </border>
    <border>
      <left style="thin">
        <color theme="0" tint="-0.249946592608417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/>
    <xf numFmtId="0" fontId="24" fillId="8" borderId="0" applyNumberFormat="0" applyBorder="0" applyAlignment="0" applyProtection="0">
      <alignment vertical="center"/>
    </xf>
    <xf numFmtId="178" fontId="26" fillId="0" borderId="0" applyFont="0" applyFill="0" applyBorder="0" applyAlignment="0" applyProtection="0">
      <alignment vertical="center"/>
    </xf>
    <xf numFmtId="177" fontId="26" fillId="0" borderId="0" applyFont="0" applyFill="0" applyBorder="0" applyAlignment="0" applyProtection="0">
      <alignment vertical="center"/>
    </xf>
    <xf numFmtId="179" fontId="26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5" fillId="9" borderId="81" applyNumberFormat="0" applyAlignment="0" applyProtection="0">
      <alignment vertical="center"/>
    </xf>
    <xf numFmtId="0" fontId="30" fillId="0" borderId="80" applyNumberFormat="0" applyFill="0" applyAlignment="0" applyProtection="0">
      <alignment vertical="center"/>
    </xf>
    <xf numFmtId="0" fontId="26" fillId="18" borderId="82" applyNumberFormat="0" applyFont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3" fillId="0" borderId="80" applyNumberFormat="0" applyFill="0" applyAlignment="0" applyProtection="0">
      <alignment vertical="center"/>
    </xf>
    <xf numFmtId="0" fontId="34" fillId="0" borderId="83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6" fillId="27" borderId="84" applyNumberFormat="0" applyAlignment="0" applyProtection="0">
      <alignment vertical="center"/>
    </xf>
    <xf numFmtId="0" fontId="29" fillId="0" borderId="0"/>
    <xf numFmtId="0" fontId="27" fillId="25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39" fillId="26" borderId="85" applyNumberFormat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35" fillId="26" borderId="84" applyNumberFormat="0" applyAlignment="0" applyProtection="0">
      <alignment vertical="center"/>
    </xf>
    <xf numFmtId="0" fontId="40" fillId="0" borderId="86" applyNumberFormat="0" applyFill="0" applyAlignment="0" applyProtection="0">
      <alignment vertical="center"/>
    </xf>
    <xf numFmtId="0" fontId="41" fillId="0" borderId="87" applyNumberFormat="0" applyFill="0" applyAlignment="0" applyProtection="0">
      <alignment vertical="center"/>
    </xf>
    <xf numFmtId="0" fontId="29" fillId="0" borderId="0"/>
    <xf numFmtId="0" fontId="42" fillId="30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37" fillId="0" borderId="0"/>
    <xf numFmtId="0" fontId="24" fillId="15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9" fillId="0" borderId="0"/>
    <xf numFmtId="0" fontId="24" fillId="3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180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0" fontId="0" fillId="0" borderId="0"/>
  </cellStyleXfs>
  <cellXfs count="242">
    <xf numFmtId="0" fontId="0" fillId="0" borderId="0" xfId="0"/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2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0" fontId="3" fillId="3" borderId="4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1" fontId="3" fillId="3" borderId="1" xfId="0" applyNumberFormat="1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0" fillId="3" borderId="20" xfId="0" applyFill="1" applyBorder="1"/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2" fillId="2" borderId="21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3" borderId="20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 wrapText="1"/>
    </xf>
    <xf numFmtId="2" fontId="6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2" fontId="0" fillId="3" borderId="1" xfId="0" applyNumberFormat="1" applyFill="1" applyBorder="1" applyAlignment="1">
      <alignment wrapText="1"/>
    </xf>
    <xf numFmtId="0" fontId="7" fillId="3" borderId="1" xfId="0" applyFont="1" applyFill="1" applyBorder="1" applyAlignment="1">
      <alignment horizontal="center" vertical="center" wrapText="1"/>
    </xf>
    <xf numFmtId="181" fontId="6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22" xfId="0" applyFont="1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2" xfId="0" applyFill="1" applyBorder="1" applyAlignment="1">
      <alignment horizontal="left" vertical="center"/>
    </xf>
    <xf numFmtId="0" fontId="2" fillId="2" borderId="22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/>
    </xf>
    <xf numFmtId="0" fontId="8" fillId="3" borderId="22" xfId="0" applyFont="1" applyFill="1" applyBorder="1" applyAlignment="1">
      <alignment horizontal="left" vertical="center"/>
    </xf>
    <xf numFmtId="0" fontId="9" fillId="3" borderId="22" xfId="0" applyFont="1" applyFill="1" applyBorder="1" applyAlignment="1">
      <alignment horizontal="left" vertical="center"/>
    </xf>
    <xf numFmtId="0" fontId="10" fillId="3" borderId="22" xfId="0" applyFont="1" applyFill="1" applyBorder="1" applyAlignment="1">
      <alignment horizontal="left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left" vertical="center"/>
    </xf>
    <xf numFmtId="0" fontId="8" fillId="3" borderId="22" xfId="0" applyFont="1" applyFill="1" applyBorder="1" applyAlignment="1">
      <alignment horizontal="left" vertical="center" wrapText="1"/>
    </xf>
    <xf numFmtId="0" fontId="1" fillId="2" borderId="23" xfId="0" applyFont="1" applyFill="1" applyBorder="1" applyAlignment="1">
      <alignment vertical="center"/>
    </xf>
    <xf numFmtId="0" fontId="1" fillId="2" borderId="24" xfId="0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9" fontId="0" fillId="0" borderId="1" xfId="6" applyFont="1" applyBorder="1" applyAlignment="1">
      <alignment vertical="center"/>
    </xf>
    <xf numFmtId="0" fontId="2" fillId="2" borderId="26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center" vertical="center" wrapText="1"/>
    </xf>
    <xf numFmtId="0" fontId="2" fillId="2" borderId="29" xfId="0" applyFont="1" applyFill="1" applyBorder="1" applyAlignment="1">
      <alignment horizontal="center" vertical="center" wrapText="1"/>
    </xf>
    <xf numFmtId="0" fontId="2" fillId="2" borderId="29" xfId="0" applyFont="1" applyFill="1" applyBorder="1" applyAlignment="1">
      <alignment horizontal="center" vertical="center" textRotation="90" wrapText="1"/>
    </xf>
    <xf numFmtId="0" fontId="2" fillId="2" borderId="29" xfId="0" applyFont="1" applyFill="1" applyBorder="1" applyAlignment="1">
      <alignment horizontal="center" vertical="center" textRotation="90"/>
    </xf>
    <xf numFmtId="0" fontId="11" fillId="4" borderId="30" xfId="0" applyFont="1" applyFill="1" applyBorder="1" applyAlignment="1">
      <alignment horizontal="center" vertical="center" wrapText="1"/>
    </xf>
    <xf numFmtId="0" fontId="11" fillId="4" borderId="31" xfId="0" applyFont="1" applyFill="1" applyBorder="1" applyAlignment="1">
      <alignment horizontal="center" vertical="center" wrapText="1"/>
    </xf>
    <xf numFmtId="0" fontId="8" fillId="4" borderId="2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vertical="center" wrapText="1"/>
    </xf>
    <xf numFmtId="0" fontId="2" fillId="2" borderId="27" xfId="0" applyFont="1" applyFill="1" applyBorder="1" applyAlignment="1">
      <alignment horizontal="center" vertical="center"/>
    </xf>
    <xf numFmtId="9" fontId="0" fillId="4" borderId="1" xfId="6" applyFont="1" applyFill="1" applyBorder="1" applyAlignment="1">
      <alignment horizontal="center" vertical="center"/>
    </xf>
    <xf numFmtId="182" fontId="0" fillId="4" borderId="1" xfId="6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top" wrapText="1"/>
    </xf>
    <xf numFmtId="0" fontId="3" fillId="4" borderId="1" xfId="0" applyFont="1" applyFill="1" applyBorder="1" applyAlignment="1">
      <alignment vertical="center"/>
    </xf>
    <xf numFmtId="10" fontId="0" fillId="4" borderId="1" xfId="6" applyNumberFormat="1" applyFont="1" applyFill="1" applyBorder="1" applyAlignment="1">
      <alignment horizontal="center" vertical="center"/>
    </xf>
    <xf numFmtId="183" fontId="0" fillId="4" borderId="1" xfId="6" applyNumberFormat="1" applyFont="1" applyFill="1" applyBorder="1" applyAlignment="1">
      <alignment vertical="center"/>
    </xf>
    <xf numFmtId="9" fontId="0" fillId="4" borderId="1" xfId="6" applyFont="1" applyFill="1" applyBorder="1" applyAlignment="1">
      <alignment vertical="center"/>
    </xf>
    <xf numFmtId="0" fontId="8" fillId="4" borderId="1" xfId="0" applyFont="1" applyFill="1" applyBorder="1" applyAlignment="1">
      <alignment horizontal="left" wrapText="1"/>
    </xf>
    <xf numFmtId="0" fontId="9" fillId="4" borderId="1" xfId="0" applyFont="1" applyFill="1" applyBorder="1" applyAlignment="1">
      <alignment horizontal="left" vertical="center" wrapText="1"/>
    </xf>
    <xf numFmtId="0" fontId="12" fillId="4" borderId="1" xfId="0" applyFont="1" applyFill="1" applyBorder="1" applyAlignment="1">
      <alignment horizontal="left" vertical="top" wrapText="1"/>
    </xf>
    <xf numFmtId="182" fontId="0" fillId="4" borderId="1" xfId="6" applyNumberFormat="1" applyFont="1" applyFill="1" applyBorder="1" applyAlignment="1">
      <alignment vertical="center"/>
    </xf>
    <xf numFmtId="0" fontId="11" fillId="0" borderId="1" xfId="0" applyFont="1" applyBorder="1"/>
    <xf numFmtId="0" fontId="0" fillId="0" borderId="32" xfId="0" applyBorder="1"/>
    <xf numFmtId="0" fontId="0" fillId="0" borderId="4" xfId="0" applyBorder="1"/>
    <xf numFmtId="0" fontId="11" fillId="0" borderId="32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5" borderId="34" xfId="0" applyFont="1" applyFill="1" applyBorder="1" applyAlignment="1">
      <alignment horizontal="center" vertical="center"/>
    </xf>
    <xf numFmtId="0" fontId="11" fillId="0" borderId="32" xfId="0" applyFont="1" applyBorder="1"/>
    <xf numFmtId="0" fontId="0" fillId="0" borderId="1" xfId="0" applyBorder="1"/>
    <xf numFmtId="0" fontId="11" fillId="0" borderId="1" xfId="0" applyFont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/>
    </xf>
    <xf numFmtId="9" fontId="0" fillId="0" borderId="32" xfId="6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1" fillId="0" borderId="1" xfId="0" applyFont="1" applyBorder="1" applyAlignment="1">
      <alignment horizontal="left"/>
    </xf>
    <xf numFmtId="0" fontId="11" fillId="0" borderId="32" xfId="0" applyFont="1" applyBorder="1" applyAlignment="1">
      <alignment horizontal="left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0" fillId="0" borderId="35" xfId="0" applyBorder="1" applyAlignment="1">
      <alignment vertical="center"/>
    </xf>
    <xf numFmtId="181" fontId="0" fillId="0" borderId="32" xfId="0" applyNumberFormat="1" applyBorder="1"/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9" fontId="0" fillId="0" borderId="4" xfId="6" applyFont="1" applyBorder="1"/>
    <xf numFmtId="0" fontId="11" fillId="0" borderId="4" xfId="0" applyFont="1" applyBorder="1"/>
    <xf numFmtId="2" fontId="11" fillId="0" borderId="32" xfId="0" applyNumberFormat="1" applyFont="1" applyBorder="1"/>
    <xf numFmtId="2" fontId="0" fillId="0" borderId="32" xfId="0" applyNumberFormat="1" applyBorder="1"/>
    <xf numFmtId="0" fontId="0" fillId="0" borderId="0" xfId="0" applyAlignment="1">
      <alignment vertical="center"/>
    </xf>
    <xf numFmtId="0" fontId="11" fillId="6" borderId="36" xfId="0" applyFont="1" applyFill="1" applyBorder="1" applyAlignment="1">
      <alignment horizontal="center" vertical="center"/>
    </xf>
    <xf numFmtId="0" fontId="11" fillId="6" borderId="37" xfId="0" applyFont="1" applyFill="1" applyBorder="1" applyAlignment="1">
      <alignment horizontal="center" vertical="center"/>
    </xf>
    <xf numFmtId="0" fontId="11" fillId="0" borderId="38" xfId="0" applyFont="1" applyBorder="1" applyAlignment="1">
      <alignment vertical="center"/>
    </xf>
    <xf numFmtId="0" fontId="11" fillId="0" borderId="39" xfId="0" applyFont="1" applyBorder="1" applyAlignment="1">
      <alignment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vertical="center"/>
    </xf>
    <xf numFmtId="0" fontId="11" fillId="0" borderId="34" xfId="0" applyFont="1" applyBorder="1" applyAlignment="1">
      <alignment vertical="center"/>
    </xf>
    <xf numFmtId="0" fontId="13" fillId="0" borderId="41" xfId="0" applyFont="1" applyBorder="1" applyAlignment="1">
      <alignment vertical="center"/>
    </xf>
    <xf numFmtId="0" fontId="11" fillId="0" borderId="34" xfId="0" applyFont="1" applyBorder="1" applyAlignment="1">
      <alignment horizontal="center" vertical="center"/>
    </xf>
    <xf numFmtId="0" fontId="11" fillId="0" borderId="42" xfId="0" applyFont="1" applyBorder="1" applyAlignment="1">
      <alignment horizontal="left" vertical="center"/>
    </xf>
    <xf numFmtId="0" fontId="11" fillId="0" borderId="43" xfId="0" applyFont="1" applyBorder="1" applyAlignment="1">
      <alignment horizontal="left" vertical="center"/>
    </xf>
    <xf numFmtId="0" fontId="0" fillId="6" borderId="34" xfId="0" applyFill="1" applyBorder="1" applyAlignment="1">
      <alignment vertical="center"/>
    </xf>
    <xf numFmtId="0" fontId="0" fillId="0" borderId="34" xfId="0" applyBorder="1" applyAlignment="1">
      <alignment vertical="center"/>
    </xf>
    <xf numFmtId="0" fontId="11" fillId="0" borderId="44" xfId="0" applyFont="1" applyBorder="1" applyAlignment="1">
      <alignment horizontal="center" vertical="center" textRotation="90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11" fillId="0" borderId="45" xfId="0" applyFont="1" applyBorder="1" applyAlignment="1">
      <alignment horizontal="center" vertical="center" textRotation="90"/>
    </xf>
    <xf numFmtId="0" fontId="0" fillId="0" borderId="34" xfId="0" applyBorder="1" applyAlignment="1">
      <alignment horizontal="left" vertical="center"/>
    </xf>
    <xf numFmtId="9" fontId="0" fillId="0" borderId="41" xfId="6" applyFont="1" applyBorder="1" applyAlignment="1">
      <alignment horizontal="center" vertical="center"/>
    </xf>
    <xf numFmtId="9" fontId="0" fillId="0" borderId="43" xfId="6" applyFont="1" applyBorder="1" applyAlignment="1">
      <alignment horizontal="center" vertical="center"/>
    </xf>
    <xf numFmtId="1" fontId="0" fillId="0" borderId="34" xfId="0" applyNumberFormat="1" applyBorder="1" applyAlignment="1">
      <alignment horizontal="right" vertical="center"/>
    </xf>
    <xf numFmtId="9" fontId="0" fillId="0" borderId="34" xfId="6" applyFont="1" applyBorder="1" applyAlignment="1">
      <alignment horizontal="center" vertical="center"/>
    </xf>
    <xf numFmtId="0" fontId="0" fillId="0" borderId="34" xfId="0" applyBorder="1" applyAlignment="1">
      <alignment horizontal="right" vertical="center"/>
    </xf>
    <xf numFmtId="0" fontId="11" fillId="0" borderId="46" xfId="0" applyFont="1" applyBorder="1" applyAlignment="1">
      <alignment horizontal="center" vertical="center" textRotation="90"/>
    </xf>
    <xf numFmtId="0" fontId="11" fillId="0" borderId="40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 textRotation="90"/>
    </xf>
    <xf numFmtId="2" fontId="14" fillId="0" borderId="34" xfId="0" applyNumberFormat="1" applyFont="1" applyBorder="1" applyAlignment="1">
      <alignment horizontal="center" vertical="center"/>
    </xf>
    <xf numFmtId="0" fontId="0" fillId="6" borderId="34" xfId="0" applyFill="1" applyBorder="1" applyAlignment="1">
      <alignment horizontal="right" vertical="center"/>
    </xf>
    <xf numFmtId="0" fontId="15" fillId="0" borderId="47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5" fillId="0" borderId="49" xfId="0" applyFont="1" applyBorder="1" applyAlignment="1">
      <alignment horizontal="left" vertical="center" wrapText="1"/>
    </xf>
    <xf numFmtId="0" fontId="15" fillId="0" borderId="50" xfId="0" applyFont="1" applyBorder="1" applyAlignment="1">
      <alignment horizontal="left" vertical="center" wrapText="1"/>
    </xf>
    <xf numFmtId="2" fontId="0" fillId="0" borderId="34" xfId="0" applyNumberFormat="1" applyBorder="1" applyAlignment="1">
      <alignment horizontal="right" vertical="center"/>
    </xf>
    <xf numFmtId="0" fontId="11" fillId="0" borderId="40" xfId="0" applyFont="1" applyBorder="1" applyAlignment="1">
      <alignment horizontal="center" vertical="center" textRotation="90" wrapText="1"/>
    </xf>
    <xf numFmtId="0" fontId="0" fillId="0" borderId="51" xfId="0" applyBorder="1" applyAlignment="1">
      <alignment vertical="center"/>
    </xf>
    <xf numFmtId="0" fontId="0" fillId="0" borderId="52" xfId="0" applyBorder="1"/>
    <xf numFmtId="0" fontId="0" fillId="0" borderId="43" xfId="0" applyBorder="1"/>
    <xf numFmtId="0" fontId="11" fillId="0" borderId="40" xfId="0" applyFont="1" applyBorder="1" applyAlignment="1">
      <alignment horizontal="left" vertical="center"/>
    </xf>
    <xf numFmtId="0" fontId="11" fillId="0" borderId="34" xfId="0" applyFont="1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9" fontId="0" fillId="0" borderId="34" xfId="6" applyFont="1" applyBorder="1" applyAlignment="1">
      <alignment horizontal="left" vertical="center"/>
    </xf>
    <xf numFmtId="0" fontId="11" fillId="0" borderId="53" xfId="0" applyFont="1" applyBorder="1" applyAlignment="1">
      <alignment horizontal="left" vertical="center"/>
    </xf>
    <xf numFmtId="0" fontId="11" fillId="0" borderId="54" xfId="0" applyFont="1" applyBorder="1" applyAlignment="1">
      <alignment horizontal="left" vertical="center"/>
    </xf>
    <xf numFmtId="0" fontId="0" fillId="0" borderId="54" xfId="0" applyBorder="1"/>
    <xf numFmtId="0" fontId="13" fillId="0" borderId="0" xfId="0" applyFont="1"/>
    <xf numFmtId="0" fontId="11" fillId="6" borderId="55" xfId="0" applyFont="1" applyFill="1" applyBorder="1" applyAlignment="1">
      <alignment horizontal="center" vertical="center"/>
    </xf>
    <xf numFmtId="0" fontId="11" fillId="0" borderId="56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60" xfId="0" applyBorder="1" applyAlignment="1">
      <alignment vertical="center"/>
    </xf>
    <xf numFmtId="0" fontId="0" fillId="0" borderId="58" xfId="0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0" fillId="5" borderId="61" xfId="0" applyFill="1" applyBorder="1" applyAlignment="1">
      <alignment vertical="center"/>
    </xf>
    <xf numFmtId="0" fontId="0" fillId="0" borderId="60" xfId="0" applyBorder="1" applyAlignment="1">
      <alignment vertical="center" wrapText="1"/>
    </xf>
    <xf numFmtId="0" fontId="0" fillId="0" borderId="61" xfId="0" applyBorder="1" applyAlignment="1">
      <alignment vertical="center"/>
    </xf>
    <xf numFmtId="0" fontId="0" fillId="0" borderId="33" xfId="0" applyBorder="1" applyAlignment="1">
      <alignment vertical="center" wrapText="1"/>
    </xf>
    <xf numFmtId="2" fontId="11" fillId="0" borderId="62" xfId="0" applyNumberFormat="1" applyFont="1" applyBorder="1" applyAlignment="1">
      <alignment vertical="center"/>
    </xf>
    <xf numFmtId="1" fontId="11" fillId="0" borderId="34" xfId="0" applyNumberFormat="1" applyFont="1" applyBorder="1" applyAlignment="1">
      <alignment horizontal="right" vertical="center"/>
    </xf>
    <xf numFmtId="2" fontId="11" fillId="0" borderId="0" xfId="0" applyNumberFormat="1" applyFont="1" applyAlignment="1">
      <alignment vertical="center"/>
    </xf>
    <xf numFmtId="2" fontId="11" fillId="0" borderId="15" xfId="0" applyNumberFormat="1" applyFont="1" applyBorder="1" applyAlignment="1">
      <alignment horizontal="center" vertical="center"/>
    </xf>
    <xf numFmtId="1" fontId="0" fillId="6" borderId="34" xfId="0" applyNumberFormat="1" applyFill="1" applyBorder="1" applyAlignment="1">
      <alignment horizontal="center" vertical="center"/>
    </xf>
    <xf numFmtId="2" fontId="11" fillId="0" borderId="58" xfId="0" applyNumberFormat="1" applyFont="1" applyBorder="1" applyAlignment="1">
      <alignment horizontal="center" vertical="center"/>
    </xf>
    <xf numFmtId="0" fontId="0" fillId="0" borderId="63" xfId="0" applyBorder="1" applyAlignment="1">
      <alignment vertical="center"/>
    </xf>
    <xf numFmtId="9" fontId="0" fillId="0" borderId="64" xfId="6" applyFont="1" applyBorder="1" applyAlignment="1">
      <alignment horizontal="center" vertical="center"/>
    </xf>
    <xf numFmtId="9" fontId="0" fillId="0" borderId="65" xfId="6" applyFont="1" applyBorder="1" applyAlignment="1">
      <alignment horizontal="center" vertical="center"/>
    </xf>
    <xf numFmtId="2" fontId="11" fillId="0" borderId="15" xfId="0" applyNumberFormat="1" applyFont="1" applyBorder="1" applyAlignment="1">
      <alignment vertical="center"/>
    </xf>
    <xf numFmtId="0" fontId="0" fillId="0" borderId="66" xfId="0" applyBorder="1" applyAlignment="1">
      <alignment vertical="center"/>
    </xf>
    <xf numFmtId="1" fontId="11" fillId="0" borderId="34" xfId="0" applyNumberFormat="1" applyFont="1" applyBorder="1" applyAlignment="1">
      <alignment vertical="center"/>
    </xf>
    <xf numFmtId="0" fontId="11" fillId="0" borderId="58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6" borderId="0" xfId="0" applyFill="1" applyAlignment="1">
      <alignment vertical="center"/>
    </xf>
    <xf numFmtId="1" fontId="0" fillId="0" borderId="34" xfId="0" applyNumberFormat="1" applyBorder="1" applyAlignment="1">
      <alignment vertical="center"/>
    </xf>
    <xf numFmtId="0" fontId="11" fillId="0" borderId="33" xfId="0" applyFont="1" applyBorder="1" applyAlignment="1">
      <alignment vertical="center"/>
    </xf>
    <xf numFmtId="0" fontId="11" fillId="0" borderId="54" xfId="0" applyFont="1" applyBorder="1" applyAlignment="1">
      <alignment horizontal="right" vertical="center"/>
    </xf>
    <xf numFmtId="0" fontId="11" fillId="0" borderId="67" xfId="0" applyFont="1" applyBorder="1" applyAlignment="1">
      <alignment horizontal="center" vertical="center"/>
    </xf>
    <xf numFmtId="9" fontId="0" fillId="0" borderId="0" xfId="6" applyFont="1"/>
    <xf numFmtId="0" fontId="0" fillId="0" borderId="68" xfId="0" applyBorder="1" applyAlignment="1">
      <alignment vertical="center"/>
    </xf>
    <xf numFmtId="0" fontId="17" fillId="0" borderId="68" xfId="0" applyFont="1" applyBorder="1" applyAlignment="1">
      <alignment vertical="center"/>
    </xf>
    <xf numFmtId="0" fontId="0" fillId="0" borderId="69" xfId="0" applyBorder="1" applyAlignment="1">
      <alignment vertical="center"/>
    </xf>
    <xf numFmtId="0" fontId="0" fillId="0" borderId="35" xfId="0" applyBorder="1" applyAlignment="1">
      <alignment vertical="center" wrapText="1"/>
    </xf>
    <xf numFmtId="0" fontId="0" fillId="0" borderId="51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70" xfId="0" applyBorder="1" applyAlignment="1">
      <alignment vertical="center"/>
    </xf>
    <xf numFmtId="0" fontId="0" fillId="0" borderId="71" xfId="0" applyBorder="1" applyAlignment="1">
      <alignment vertical="center"/>
    </xf>
    <xf numFmtId="0" fontId="0" fillId="0" borderId="72" xfId="0" applyBorder="1" applyAlignment="1">
      <alignment vertical="center"/>
    </xf>
    <xf numFmtId="1" fontId="18" fillId="0" borderId="0" xfId="0" applyNumberFormat="1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1" fontId="19" fillId="0" borderId="0" xfId="39" applyNumberFormat="1" applyFont="1" applyAlignment="1">
      <alignment horizontal="center" vertical="center"/>
    </xf>
    <xf numFmtId="1" fontId="19" fillId="0" borderId="0" xfId="53" applyNumberFormat="1" applyFont="1" applyFill="1" applyAlignment="1">
      <alignment horizontal="center" vertical="center"/>
    </xf>
    <xf numFmtId="1" fontId="20" fillId="0" borderId="0" xfId="0" applyNumberFormat="1" applyFont="1" applyAlignment="1">
      <alignment horizontal="center" vertical="center"/>
    </xf>
    <xf numFmtId="1" fontId="20" fillId="0" borderId="0" xfId="53" applyNumberFormat="1" applyFont="1" applyFill="1" applyAlignment="1">
      <alignment horizontal="center" vertical="center"/>
    </xf>
    <xf numFmtId="1" fontId="20" fillId="0" borderId="30" xfId="0" applyNumberFormat="1" applyFont="1" applyBorder="1" applyAlignment="1">
      <alignment horizontal="center" vertical="center"/>
    </xf>
    <xf numFmtId="1" fontId="20" fillId="0" borderId="31" xfId="0" applyNumberFormat="1" applyFont="1" applyBorder="1" applyAlignment="1">
      <alignment horizontal="center" vertical="center"/>
    </xf>
    <xf numFmtId="1" fontId="20" fillId="0" borderId="73" xfId="0" applyNumberFormat="1" applyFont="1" applyBorder="1" applyAlignment="1">
      <alignment horizontal="center" vertical="center"/>
    </xf>
    <xf numFmtId="1" fontId="20" fillId="0" borderId="25" xfId="0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left" vertical="center"/>
    </xf>
    <xf numFmtId="1" fontId="20" fillId="0" borderId="74" xfId="0" applyNumberFormat="1" applyFont="1" applyBorder="1" applyAlignment="1">
      <alignment horizontal="center" vertical="center"/>
    </xf>
    <xf numFmtId="1" fontId="20" fillId="0" borderId="32" xfId="0" applyNumberFormat="1" applyFont="1" applyBorder="1" applyAlignment="1">
      <alignment horizontal="left" vertical="center"/>
    </xf>
    <xf numFmtId="1" fontId="20" fillId="0" borderId="33" xfId="0" applyNumberFormat="1" applyFont="1" applyBorder="1" applyAlignment="1">
      <alignment horizontal="left" vertical="center"/>
    </xf>
    <xf numFmtId="1" fontId="20" fillId="0" borderId="4" xfId="0" applyNumberFormat="1" applyFont="1" applyBorder="1" applyAlignment="1">
      <alignment horizontal="left" vertical="center"/>
    </xf>
    <xf numFmtId="1" fontId="19" fillId="0" borderId="25" xfId="0" applyNumberFormat="1" applyFont="1" applyBorder="1" applyAlignment="1">
      <alignment horizontal="center" vertical="center"/>
    </xf>
    <xf numFmtId="1" fontId="19" fillId="0" borderId="1" xfId="0" applyNumberFormat="1" applyFont="1" applyBorder="1" applyAlignment="1">
      <alignment horizontal="center" vertical="center"/>
    </xf>
    <xf numFmtId="1" fontId="19" fillId="0" borderId="74" xfId="0" applyNumberFormat="1" applyFont="1" applyBorder="1" applyAlignment="1">
      <alignment horizontal="center" vertical="center"/>
    </xf>
    <xf numFmtId="1" fontId="20" fillId="0" borderId="25" xfId="0" applyNumberFormat="1" applyFont="1" applyBorder="1" applyAlignment="1">
      <alignment horizontal="center" vertical="center" wrapText="1"/>
    </xf>
    <xf numFmtId="1" fontId="20" fillId="0" borderId="1" xfId="0" applyNumberFormat="1" applyFont="1" applyBorder="1" applyAlignment="1">
      <alignment horizontal="center" vertical="center" wrapText="1"/>
    </xf>
    <xf numFmtId="1" fontId="20" fillId="0" borderId="1" xfId="53" applyNumberFormat="1" applyFont="1" applyFill="1" applyBorder="1" applyAlignment="1">
      <alignment horizontal="center" vertical="center" wrapText="1"/>
    </xf>
    <xf numFmtId="1" fontId="20" fillId="0" borderId="74" xfId="0" applyNumberFormat="1" applyFont="1" applyBorder="1" applyAlignment="1">
      <alignment horizontal="center" vertical="center" wrapText="1"/>
    </xf>
    <xf numFmtId="1" fontId="19" fillId="0" borderId="1" xfId="0" applyNumberFormat="1" applyFont="1" applyBorder="1" applyAlignment="1">
      <alignment horizontal="left" vertical="center"/>
    </xf>
    <xf numFmtId="1" fontId="19" fillId="0" borderId="1" xfId="53" applyNumberFormat="1" applyFont="1" applyFill="1" applyBorder="1" applyAlignment="1">
      <alignment horizontal="center" vertical="center"/>
    </xf>
    <xf numFmtId="1" fontId="19" fillId="0" borderId="1" xfId="6" applyNumberFormat="1" applyFont="1" applyFill="1" applyBorder="1" applyAlignment="1">
      <alignment horizontal="center" vertical="center"/>
    </xf>
    <xf numFmtId="9" fontId="20" fillId="0" borderId="1" xfId="6" applyFont="1" applyFill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center"/>
    </xf>
    <xf numFmtId="0" fontId="20" fillId="0" borderId="1" xfId="6" applyNumberFormat="1" applyFont="1" applyFill="1" applyBorder="1" applyAlignment="1">
      <alignment horizontal="center" vertical="center"/>
    </xf>
    <xf numFmtId="1" fontId="19" fillId="0" borderId="75" xfId="0" applyNumberFormat="1" applyFont="1" applyBorder="1" applyAlignment="1">
      <alignment horizontal="center" vertical="center"/>
    </xf>
    <xf numFmtId="1" fontId="20" fillId="0" borderId="76" xfId="0" applyNumberFormat="1" applyFont="1" applyBorder="1" applyAlignment="1">
      <alignment horizontal="left" vertical="center"/>
    </xf>
    <xf numFmtId="1" fontId="19" fillId="0" borderId="76" xfId="53" applyNumberFormat="1" applyFont="1" applyFill="1" applyBorder="1" applyAlignment="1">
      <alignment horizontal="center" vertical="center"/>
    </xf>
    <xf numFmtId="1" fontId="20" fillId="0" borderId="76" xfId="0" applyNumberFormat="1" applyFont="1" applyBorder="1" applyAlignment="1">
      <alignment horizontal="center" vertical="center"/>
    </xf>
    <xf numFmtId="9" fontId="20" fillId="0" borderId="77" xfId="6" applyFont="1" applyFill="1" applyBorder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1" fontId="20" fillId="0" borderId="78" xfId="0" applyNumberFormat="1" applyFont="1" applyBorder="1" applyAlignment="1">
      <alignment horizontal="center" vertical="center"/>
    </xf>
    <xf numFmtId="1" fontId="20" fillId="0" borderId="79" xfId="0" applyNumberFormat="1" applyFont="1" applyBorder="1" applyAlignment="1">
      <alignment horizontal="center" vertical="center"/>
    </xf>
    <xf numFmtId="9" fontId="20" fillId="0" borderId="0" xfId="6" applyFont="1" applyFill="1" applyAlignment="1">
      <alignment horizontal="center" vertical="center"/>
    </xf>
  </cellXfs>
  <cellStyles count="57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Normal 4" xfId="22"/>
    <cellStyle name="60% - Accent3" xfId="23" builtinId="40"/>
    <cellStyle name="Good" xfId="24" builtinId="26"/>
    <cellStyle name="Output" xfId="25" builtinId="21"/>
    <cellStyle name="20% - Accent1" xfId="26" builtinId="30"/>
    <cellStyle name="Calculation" xfId="27" builtinId="22"/>
    <cellStyle name="Linked Cell" xfId="28" builtinId="24"/>
    <cellStyle name="Total" xfId="29" builtinId="25"/>
    <cellStyle name="Normal 4 2" xfId="30"/>
    <cellStyle name="Bad" xfId="31" builtinId="27"/>
    <cellStyle name="Neutral" xfId="32" builtinId="28"/>
    <cellStyle name="Accent1" xfId="33" builtinId="29"/>
    <cellStyle name="Normal 2" xfId="34"/>
    <cellStyle name="20% - Accent5" xfId="35" builtinId="46"/>
    <cellStyle name="60% - Accent1" xfId="36" builtinId="32"/>
    <cellStyle name="Accent2" xfId="37" builtinId="33"/>
    <cellStyle name="20% - Accent2" xfId="38" builtinId="34"/>
    <cellStyle name="Normal 3" xfId="39"/>
    <cellStyle name="20% - Accent6" xfId="40" builtinId="50"/>
    <cellStyle name="60% - Accent2" xfId="41" builtinId="36"/>
    <cellStyle name="Accent3" xfId="42" builtinId="37"/>
    <cellStyle name="20% - Accent3" xfId="43" builtinId="38"/>
    <cellStyle name="Accent4" xfId="44" builtinId="41"/>
    <cellStyle name="20% - Accent4" xfId="45" builtinId="42"/>
    <cellStyle name="40% - Accent4" xfId="46" builtinId="43"/>
    <cellStyle name="Accent5" xfId="47" builtinId="45"/>
    <cellStyle name="40% - Accent5" xfId="48" builtinId="47"/>
    <cellStyle name="60% - Accent5" xfId="49" builtinId="48"/>
    <cellStyle name="Accent6" xfId="50" builtinId="49"/>
    <cellStyle name="40% - Accent6" xfId="51" builtinId="51"/>
    <cellStyle name="60% - Accent6" xfId="52" builtinId="52"/>
    <cellStyle name="Comma 2" xfId="53"/>
    <cellStyle name="Comma 3" xfId="54"/>
    <cellStyle name="Comma 3 2" xfId="55"/>
    <cellStyle name="Normal 2 2" xfId="56"/>
  </cellStyles>
  <dxfs count="1">
    <dxf>
      <font>
        <color theme="0"/>
      </font>
      <fill>
        <patternFill patternType="none"/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6</xdr:col>
      <xdr:colOff>322580</xdr:colOff>
      <xdr:row>0</xdr:row>
      <xdr:rowOff>0</xdr:rowOff>
    </xdr:to>
    <xdr:sp>
      <xdr:nvSpPr>
        <xdr:cNvPr id="2" name="Shape 23"/>
        <xdr:cNvSpPr/>
      </xdr:nvSpPr>
      <xdr:spPr>
        <a:xfrm>
          <a:off x="5173980" y="0"/>
          <a:ext cx="1389380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322580</xdr:colOff>
      <xdr:row>0</xdr:row>
      <xdr:rowOff>0</xdr:rowOff>
    </xdr:to>
    <xdr:sp>
      <xdr:nvSpPr>
        <xdr:cNvPr id="3" name="Shape 24"/>
        <xdr:cNvSpPr/>
      </xdr:nvSpPr>
      <xdr:spPr>
        <a:xfrm>
          <a:off x="5173980" y="0"/>
          <a:ext cx="1389380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274955</xdr:colOff>
      <xdr:row>0</xdr:row>
      <xdr:rowOff>0</xdr:rowOff>
    </xdr:to>
    <xdr:sp>
      <xdr:nvSpPr>
        <xdr:cNvPr id="4" name="Shape 27"/>
        <xdr:cNvSpPr/>
      </xdr:nvSpPr>
      <xdr:spPr>
        <a:xfrm>
          <a:off x="5173980" y="0"/>
          <a:ext cx="1341755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274955</xdr:colOff>
      <xdr:row>0</xdr:row>
      <xdr:rowOff>0</xdr:rowOff>
    </xdr:to>
    <xdr:sp>
      <xdr:nvSpPr>
        <xdr:cNvPr id="5" name="Shape 28"/>
        <xdr:cNvSpPr/>
      </xdr:nvSpPr>
      <xdr:spPr>
        <a:xfrm>
          <a:off x="5173980" y="0"/>
          <a:ext cx="1341755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322580</xdr:colOff>
      <xdr:row>0</xdr:row>
      <xdr:rowOff>0</xdr:rowOff>
    </xdr:to>
    <xdr:sp>
      <xdr:nvSpPr>
        <xdr:cNvPr id="6" name="Shape 25"/>
        <xdr:cNvSpPr/>
      </xdr:nvSpPr>
      <xdr:spPr>
        <a:xfrm>
          <a:off x="5173980" y="0"/>
          <a:ext cx="1389380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3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274955</xdr:colOff>
      <xdr:row>0</xdr:row>
      <xdr:rowOff>0</xdr:rowOff>
    </xdr:to>
    <xdr:sp>
      <xdr:nvSpPr>
        <xdr:cNvPr id="7" name="Shape 29"/>
        <xdr:cNvSpPr/>
      </xdr:nvSpPr>
      <xdr:spPr>
        <a:xfrm>
          <a:off x="5173980" y="0"/>
          <a:ext cx="1341755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3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322580</xdr:colOff>
      <xdr:row>0</xdr:row>
      <xdr:rowOff>0</xdr:rowOff>
    </xdr:to>
    <xdr:sp>
      <xdr:nvSpPr>
        <xdr:cNvPr id="8" name="Shape 26"/>
        <xdr:cNvSpPr/>
      </xdr:nvSpPr>
      <xdr:spPr>
        <a:xfrm>
          <a:off x="5173980" y="0"/>
          <a:ext cx="1389380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3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274955</xdr:colOff>
      <xdr:row>0</xdr:row>
      <xdr:rowOff>0</xdr:rowOff>
    </xdr:to>
    <xdr:sp>
      <xdr:nvSpPr>
        <xdr:cNvPr id="9" name="Shape 30"/>
        <xdr:cNvSpPr/>
      </xdr:nvSpPr>
      <xdr:spPr>
        <a:xfrm>
          <a:off x="5173980" y="0"/>
          <a:ext cx="1341755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3">
          <a:solidFill>
            <a:srgbClr val="000000"/>
          </a:solidFill>
        </a:ln>
      </xdr:spPr>
    </xdr:sp>
    <xdr:clientData/>
  </xdr:twoCellAnchor>
  <xdr:twoCellAnchor editAs="oneCell">
    <xdr:from>
      <xdr:col>7</xdr:col>
      <xdr:colOff>0</xdr:colOff>
      <xdr:row>1</xdr:row>
      <xdr:rowOff>0</xdr:rowOff>
    </xdr:from>
    <xdr:to>
      <xdr:col>9</xdr:col>
      <xdr:colOff>10795</xdr:colOff>
      <xdr:row>1</xdr:row>
      <xdr:rowOff>28575</xdr:rowOff>
    </xdr:to>
    <xdr:sp>
      <xdr:nvSpPr>
        <xdr:cNvPr id="10" name="Shape 31"/>
        <xdr:cNvSpPr/>
      </xdr:nvSpPr>
      <xdr:spPr>
        <a:xfrm>
          <a:off x="7231380" y="285750"/>
          <a:ext cx="1618615" cy="28575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7</xdr:col>
      <xdr:colOff>0</xdr:colOff>
      <xdr:row>1</xdr:row>
      <xdr:rowOff>0</xdr:rowOff>
    </xdr:from>
    <xdr:to>
      <xdr:col>9</xdr:col>
      <xdr:colOff>10795</xdr:colOff>
      <xdr:row>1</xdr:row>
      <xdr:rowOff>28575</xdr:rowOff>
    </xdr:to>
    <xdr:sp>
      <xdr:nvSpPr>
        <xdr:cNvPr id="11" name="Shape 33"/>
        <xdr:cNvSpPr/>
      </xdr:nvSpPr>
      <xdr:spPr>
        <a:xfrm>
          <a:off x="7231380" y="285750"/>
          <a:ext cx="1618615" cy="28575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534670</xdr:colOff>
      <xdr:row>0</xdr:row>
      <xdr:rowOff>0</xdr:rowOff>
    </xdr:to>
    <xdr:sp>
      <xdr:nvSpPr>
        <xdr:cNvPr id="12" name="Shape 34"/>
        <xdr:cNvSpPr/>
      </xdr:nvSpPr>
      <xdr:spPr>
        <a:xfrm>
          <a:off x="5173980" y="0"/>
          <a:ext cx="1601470" cy="0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7</xdr:col>
      <xdr:colOff>0</xdr:colOff>
      <xdr:row>1</xdr:row>
      <xdr:rowOff>0</xdr:rowOff>
    </xdr:from>
    <xdr:to>
      <xdr:col>9</xdr:col>
      <xdr:colOff>10795</xdr:colOff>
      <xdr:row>1</xdr:row>
      <xdr:rowOff>9525</xdr:rowOff>
    </xdr:to>
    <xdr:sp>
      <xdr:nvSpPr>
        <xdr:cNvPr id="13" name="Shape 35"/>
        <xdr:cNvSpPr/>
      </xdr:nvSpPr>
      <xdr:spPr>
        <a:xfrm>
          <a:off x="7231380" y="285750"/>
          <a:ext cx="1618615" cy="9525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7</xdr:col>
      <xdr:colOff>0</xdr:colOff>
      <xdr:row>1</xdr:row>
      <xdr:rowOff>0</xdr:rowOff>
    </xdr:from>
    <xdr:to>
      <xdr:col>8</xdr:col>
      <xdr:colOff>585470</xdr:colOff>
      <xdr:row>1</xdr:row>
      <xdr:rowOff>28575</xdr:rowOff>
    </xdr:to>
    <xdr:sp>
      <xdr:nvSpPr>
        <xdr:cNvPr id="14" name="Shape 41"/>
        <xdr:cNvSpPr/>
      </xdr:nvSpPr>
      <xdr:spPr>
        <a:xfrm>
          <a:off x="7231380" y="285750"/>
          <a:ext cx="1568450" cy="28575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7</xdr:col>
      <xdr:colOff>0</xdr:colOff>
      <xdr:row>1</xdr:row>
      <xdr:rowOff>0</xdr:rowOff>
    </xdr:from>
    <xdr:to>
      <xdr:col>8</xdr:col>
      <xdr:colOff>585470</xdr:colOff>
      <xdr:row>1</xdr:row>
      <xdr:rowOff>28575</xdr:rowOff>
    </xdr:to>
    <xdr:sp>
      <xdr:nvSpPr>
        <xdr:cNvPr id="15" name="Shape 43"/>
        <xdr:cNvSpPr/>
      </xdr:nvSpPr>
      <xdr:spPr>
        <a:xfrm>
          <a:off x="7231380" y="285750"/>
          <a:ext cx="1568450" cy="28575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499745</xdr:colOff>
      <xdr:row>0</xdr:row>
      <xdr:rowOff>0</xdr:rowOff>
    </xdr:to>
    <xdr:sp>
      <xdr:nvSpPr>
        <xdr:cNvPr id="16" name="Shape 44"/>
        <xdr:cNvSpPr/>
      </xdr:nvSpPr>
      <xdr:spPr>
        <a:xfrm>
          <a:off x="5173980" y="0"/>
          <a:ext cx="1566545" cy="0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7</xdr:col>
      <xdr:colOff>0</xdr:colOff>
      <xdr:row>1</xdr:row>
      <xdr:rowOff>0</xdr:rowOff>
    </xdr:from>
    <xdr:to>
      <xdr:col>8</xdr:col>
      <xdr:colOff>585470</xdr:colOff>
      <xdr:row>1</xdr:row>
      <xdr:rowOff>9525</xdr:rowOff>
    </xdr:to>
    <xdr:sp>
      <xdr:nvSpPr>
        <xdr:cNvPr id="17" name="Shape 45"/>
        <xdr:cNvSpPr/>
      </xdr:nvSpPr>
      <xdr:spPr>
        <a:xfrm>
          <a:off x="7231380" y="285750"/>
          <a:ext cx="1568450" cy="9525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1051560</xdr:colOff>
          <xdr:row>2</xdr:row>
          <xdr:rowOff>7620</xdr:rowOff>
        </xdr:from>
        <xdr:to>
          <xdr:col>4</xdr:col>
          <xdr:colOff>495300</xdr:colOff>
          <xdr:row>3</xdr:row>
          <xdr:rowOff>0</xdr:rowOff>
        </xdr:to>
        <xdr:sp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103120" y="607695"/>
              <a:ext cx="1424940" cy="25908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e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00B050"/>
  </sheetPr>
  <dimension ref="A1:K75"/>
  <sheetViews>
    <sheetView view="pageBreakPreview" zoomScaleNormal="100" topLeftCell="A64" workbookViewId="0">
      <selection activeCell="J17" sqref="J17"/>
    </sheetView>
  </sheetViews>
  <sheetFormatPr defaultColWidth="9" defaultRowHeight="15"/>
  <cols>
    <col min="1" max="1" width="9.11111111111111" style="207"/>
    <col min="2" max="2" width="22.6666666666667" style="207" customWidth="1"/>
    <col min="3" max="3" width="4.55555555555556" style="207" customWidth="1"/>
    <col min="4" max="4" width="39.1111111111111" style="207" customWidth="1"/>
    <col min="5" max="5" width="20.5555555555556" style="208" hidden="1" customWidth="1"/>
    <col min="6" max="6" width="15.5555555555556" style="207" customWidth="1"/>
    <col min="7" max="7" width="14.4444444444444" style="207" customWidth="1"/>
    <col min="8" max="8" width="14.3333333333333" style="207" customWidth="1"/>
    <col min="9" max="10" width="9.11111111111111" style="207"/>
    <col min="11" max="11" width="13.5555555555556" style="207" customWidth="1"/>
    <col min="12" max="250" width="9.11111111111111" style="207"/>
    <col min="251" max="251" width="8.44444444444444" style="207" customWidth="1"/>
    <col min="252" max="252" width="47.3333333333333" style="207" customWidth="1"/>
    <col min="253" max="253" width="14.8888888888889" style="207" customWidth="1"/>
    <col min="254" max="254" width="19.4444444444444" style="207" customWidth="1"/>
    <col min="255" max="255" width="5.33333333333333" style="207" customWidth="1"/>
    <col min="256" max="256" width="19.4444444444444" style="207" customWidth="1"/>
    <col min="257" max="257" width="13.3333333333333" style="207" customWidth="1"/>
    <col min="258" max="258" width="16.1111111111111" style="207" customWidth="1"/>
    <col min="259" max="259" width="13.8888888888889" style="207" customWidth="1"/>
    <col min="260" max="260" width="13.4444444444444" style="207" customWidth="1"/>
    <col min="261" max="506" width="9.11111111111111" style="207"/>
    <col min="507" max="507" width="8.44444444444444" style="207" customWidth="1"/>
    <col min="508" max="508" width="47.3333333333333" style="207" customWidth="1"/>
    <col min="509" max="509" width="14.8888888888889" style="207" customWidth="1"/>
    <col min="510" max="510" width="19.4444444444444" style="207" customWidth="1"/>
    <col min="511" max="511" width="5.33333333333333" style="207" customWidth="1"/>
    <col min="512" max="512" width="19.4444444444444" style="207" customWidth="1"/>
    <col min="513" max="513" width="13.3333333333333" style="207" customWidth="1"/>
    <col min="514" max="514" width="16.1111111111111" style="207" customWidth="1"/>
    <col min="515" max="515" width="13.8888888888889" style="207" customWidth="1"/>
    <col min="516" max="516" width="13.4444444444444" style="207" customWidth="1"/>
    <col min="517" max="762" width="9.11111111111111" style="207"/>
    <col min="763" max="763" width="8.44444444444444" style="207" customWidth="1"/>
    <col min="764" max="764" width="47.3333333333333" style="207" customWidth="1"/>
    <col min="765" max="765" width="14.8888888888889" style="207" customWidth="1"/>
    <col min="766" max="766" width="19.4444444444444" style="207" customWidth="1"/>
    <col min="767" max="767" width="5.33333333333333" style="207" customWidth="1"/>
    <col min="768" max="768" width="19.4444444444444" style="207" customWidth="1"/>
    <col min="769" max="769" width="13.3333333333333" style="207" customWidth="1"/>
    <col min="770" max="770" width="16.1111111111111" style="207" customWidth="1"/>
    <col min="771" max="771" width="13.8888888888889" style="207" customWidth="1"/>
    <col min="772" max="772" width="13.4444444444444" style="207" customWidth="1"/>
    <col min="773" max="1018" width="9.11111111111111" style="207"/>
    <col min="1019" max="1019" width="8.44444444444444" style="207" customWidth="1"/>
    <col min="1020" max="1020" width="47.3333333333333" style="207" customWidth="1"/>
    <col min="1021" max="1021" width="14.8888888888889" style="207" customWidth="1"/>
    <col min="1022" max="1022" width="19.4444444444444" style="207" customWidth="1"/>
    <col min="1023" max="1023" width="5.33333333333333" style="207" customWidth="1"/>
    <col min="1024" max="1024" width="19.4444444444444" style="207" customWidth="1"/>
    <col min="1025" max="1025" width="13.3333333333333" style="207" customWidth="1"/>
    <col min="1026" max="1026" width="16.1111111111111" style="207" customWidth="1"/>
    <col min="1027" max="1027" width="13.8888888888889" style="207" customWidth="1"/>
    <col min="1028" max="1028" width="13.4444444444444" style="207" customWidth="1"/>
    <col min="1029" max="1274" width="9.11111111111111" style="207"/>
    <col min="1275" max="1275" width="8.44444444444444" style="207" customWidth="1"/>
    <col min="1276" max="1276" width="47.3333333333333" style="207" customWidth="1"/>
    <col min="1277" max="1277" width="14.8888888888889" style="207" customWidth="1"/>
    <col min="1278" max="1278" width="19.4444444444444" style="207" customWidth="1"/>
    <col min="1279" max="1279" width="5.33333333333333" style="207" customWidth="1"/>
    <col min="1280" max="1280" width="19.4444444444444" style="207" customWidth="1"/>
    <col min="1281" max="1281" width="13.3333333333333" style="207" customWidth="1"/>
    <col min="1282" max="1282" width="16.1111111111111" style="207" customWidth="1"/>
    <col min="1283" max="1283" width="13.8888888888889" style="207" customWidth="1"/>
    <col min="1284" max="1284" width="13.4444444444444" style="207" customWidth="1"/>
    <col min="1285" max="1530" width="9.11111111111111" style="207"/>
    <col min="1531" max="1531" width="8.44444444444444" style="207" customWidth="1"/>
    <col min="1532" max="1532" width="47.3333333333333" style="207" customWidth="1"/>
    <col min="1533" max="1533" width="14.8888888888889" style="207" customWidth="1"/>
    <col min="1534" max="1534" width="19.4444444444444" style="207" customWidth="1"/>
    <col min="1535" max="1535" width="5.33333333333333" style="207" customWidth="1"/>
    <col min="1536" max="1536" width="19.4444444444444" style="207" customWidth="1"/>
    <col min="1537" max="1537" width="13.3333333333333" style="207" customWidth="1"/>
    <col min="1538" max="1538" width="16.1111111111111" style="207" customWidth="1"/>
    <col min="1539" max="1539" width="13.8888888888889" style="207" customWidth="1"/>
    <col min="1540" max="1540" width="13.4444444444444" style="207" customWidth="1"/>
    <col min="1541" max="1786" width="9.11111111111111" style="207"/>
    <col min="1787" max="1787" width="8.44444444444444" style="207" customWidth="1"/>
    <col min="1788" max="1788" width="47.3333333333333" style="207" customWidth="1"/>
    <col min="1789" max="1789" width="14.8888888888889" style="207" customWidth="1"/>
    <col min="1790" max="1790" width="19.4444444444444" style="207" customWidth="1"/>
    <col min="1791" max="1791" width="5.33333333333333" style="207" customWidth="1"/>
    <col min="1792" max="1792" width="19.4444444444444" style="207" customWidth="1"/>
    <col min="1793" max="1793" width="13.3333333333333" style="207" customWidth="1"/>
    <col min="1794" max="1794" width="16.1111111111111" style="207" customWidth="1"/>
    <col min="1795" max="1795" width="13.8888888888889" style="207" customWidth="1"/>
    <col min="1796" max="1796" width="13.4444444444444" style="207" customWidth="1"/>
    <col min="1797" max="2042" width="9.11111111111111" style="207"/>
    <col min="2043" max="2043" width="8.44444444444444" style="207" customWidth="1"/>
    <col min="2044" max="2044" width="47.3333333333333" style="207" customWidth="1"/>
    <col min="2045" max="2045" width="14.8888888888889" style="207" customWidth="1"/>
    <col min="2046" max="2046" width="19.4444444444444" style="207" customWidth="1"/>
    <col min="2047" max="2047" width="5.33333333333333" style="207" customWidth="1"/>
    <col min="2048" max="2048" width="19.4444444444444" style="207" customWidth="1"/>
    <col min="2049" max="2049" width="13.3333333333333" style="207" customWidth="1"/>
    <col min="2050" max="2050" width="16.1111111111111" style="207" customWidth="1"/>
    <col min="2051" max="2051" width="13.8888888888889" style="207" customWidth="1"/>
    <col min="2052" max="2052" width="13.4444444444444" style="207" customWidth="1"/>
    <col min="2053" max="2298" width="9.11111111111111" style="207"/>
    <col min="2299" max="2299" width="8.44444444444444" style="207" customWidth="1"/>
    <col min="2300" max="2300" width="47.3333333333333" style="207" customWidth="1"/>
    <col min="2301" max="2301" width="14.8888888888889" style="207" customWidth="1"/>
    <col min="2302" max="2302" width="19.4444444444444" style="207" customWidth="1"/>
    <col min="2303" max="2303" width="5.33333333333333" style="207" customWidth="1"/>
    <col min="2304" max="2304" width="19.4444444444444" style="207" customWidth="1"/>
    <col min="2305" max="2305" width="13.3333333333333" style="207" customWidth="1"/>
    <col min="2306" max="2306" width="16.1111111111111" style="207" customWidth="1"/>
    <col min="2307" max="2307" width="13.8888888888889" style="207" customWidth="1"/>
    <col min="2308" max="2308" width="13.4444444444444" style="207" customWidth="1"/>
    <col min="2309" max="2554" width="9.11111111111111" style="207"/>
    <col min="2555" max="2555" width="8.44444444444444" style="207" customWidth="1"/>
    <col min="2556" max="2556" width="47.3333333333333" style="207" customWidth="1"/>
    <col min="2557" max="2557" width="14.8888888888889" style="207" customWidth="1"/>
    <col min="2558" max="2558" width="19.4444444444444" style="207" customWidth="1"/>
    <col min="2559" max="2559" width="5.33333333333333" style="207" customWidth="1"/>
    <col min="2560" max="2560" width="19.4444444444444" style="207" customWidth="1"/>
    <col min="2561" max="2561" width="13.3333333333333" style="207" customWidth="1"/>
    <col min="2562" max="2562" width="16.1111111111111" style="207" customWidth="1"/>
    <col min="2563" max="2563" width="13.8888888888889" style="207" customWidth="1"/>
    <col min="2564" max="2564" width="13.4444444444444" style="207" customWidth="1"/>
    <col min="2565" max="2810" width="9.11111111111111" style="207"/>
    <col min="2811" max="2811" width="8.44444444444444" style="207" customWidth="1"/>
    <col min="2812" max="2812" width="47.3333333333333" style="207" customWidth="1"/>
    <col min="2813" max="2813" width="14.8888888888889" style="207" customWidth="1"/>
    <col min="2814" max="2814" width="19.4444444444444" style="207" customWidth="1"/>
    <col min="2815" max="2815" width="5.33333333333333" style="207" customWidth="1"/>
    <col min="2816" max="2816" width="19.4444444444444" style="207" customWidth="1"/>
    <col min="2817" max="2817" width="13.3333333333333" style="207" customWidth="1"/>
    <col min="2818" max="2818" width="16.1111111111111" style="207" customWidth="1"/>
    <col min="2819" max="2819" width="13.8888888888889" style="207" customWidth="1"/>
    <col min="2820" max="2820" width="13.4444444444444" style="207" customWidth="1"/>
    <col min="2821" max="3066" width="9.11111111111111" style="207"/>
    <col min="3067" max="3067" width="8.44444444444444" style="207" customWidth="1"/>
    <col min="3068" max="3068" width="47.3333333333333" style="207" customWidth="1"/>
    <col min="3069" max="3069" width="14.8888888888889" style="207" customWidth="1"/>
    <col min="3070" max="3070" width="19.4444444444444" style="207" customWidth="1"/>
    <col min="3071" max="3071" width="5.33333333333333" style="207" customWidth="1"/>
    <col min="3072" max="3072" width="19.4444444444444" style="207" customWidth="1"/>
    <col min="3073" max="3073" width="13.3333333333333" style="207" customWidth="1"/>
    <col min="3074" max="3074" width="16.1111111111111" style="207" customWidth="1"/>
    <col min="3075" max="3075" width="13.8888888888889" style="207" customWidth="1"/>
    <col min="3076" max="3076" width="13.4444444444444" style="207" customWidth="1"/>
    <col min="3077" max="3322" width="9.11111111111111" style="207"/>
    <col min="3323" max="3323" width="8.44444444444444" style="207" customWidth="1"/>
    <col min="3324" max="3324" width="47.3333333333333" style="207" customWidth="1"/>
    <col min="3325" max="3325" width="14.8888888888889" style="207" customWidth="1"/>
    <col min="3326" max="3326" width="19.4444444444444" style="207" customWidth="1"/>
    <col min="3327" max="3327" width="5.33333333333333" style="207" customWidth="1"/>
    <col min="3328" max="3328" width="19.4444444444444" style="207" customWidth="1"/>
    <col min="3329" max="3329" width="13.3333333333333" style="207" customWidth="1"/>
    <col min="3330" max="3330" width="16.1111111111111" style="207" customWidth="1"/>
    <col min="3331" max="3331" width="13.8888888888889" style="207" customWidth="1"/>
    <col min="3332" max="3332" width="13.4444444444444" style="207" customWidth="1"/>
    <col min="3333" max="3578" width="9.11111111111111" style="207"/>
    <col min="3579" max="3579" width="8.44444444444444" style="207" customWidth="1"/>
    <col min="3580" max="3580" width="47.3333333333333" style="207" customWidth="1"/>
    <col min="3581" max="3581" width="14.8888888888889" style="207" customWidth="1"/>
    <col min="3582" max="3582" width="19.4444444444444" style="207" customWidth="1"/>
    <col min="3583" max="3583" width="5.33333333333333" style="207" customWidth="1"/>
    <col min="3584" max="3584" width="19.4444444444444" style="207" customWidth="1"/>
    <col min="3585" max="3585" width="13.3333333333333" style="207" customWidth="1"/>
    <col min="3586" max="3586" width="16.1111111111111" style="207" customWidth="1"/>
    <col min="3587" max="3587" width="13.8888888888889" style="207" customWidth="1"/>
    <col min="3588" max="3588" width="13.4444444444444" style="207" customWidth="1"/>
    <col min="3589" max="3834" width="9.11111111111111" style="207"/>
    <col min="3835" max="3835" width="8.44444444444444" style="207" customWidth="1"/>
    <col min="3836" max="3836" width="47.3333333333333" style="207" customWidth="1"/>
    <col min="3837" max="3837" width="14.8888888888889" style="207" customWidth="1"/>
    <col min="3838" max="3838" width="19.4444444444444" style="207" customWidth="1"/>
    <col min="3839" max="3839" width="5.33333333333333" style="207" customWidth="1"/>
    <col min="3840" max="3840" width="19.4444444444444" style="207" customWidth="1"/>
    <col min="3841" max="3841" width="13.3333333333333" style="207" customWidth="1"/>
    <col min="3842" max="3842" width="16.1111111111111" style="207" customWidth="1"/>
    <col min="3843" max="3843" width="13.8888888888889" style="207" customWidth="1"/>
    <col min="3844" max="3844" width="13.4444444444444" style="207" customWidth="1"/>
    <col min="3845" max="4090" width="9.11111111111111" style="207"/>
    <col min="4091" max="4091" width="8.44444444444444" style="207" customWidth="1"/>
    <col min="4092" max="4092" width="47.3333333333333" style="207" customWidth="1"/>
    <col min="4093" max="4093" width="14.8888888888889" style="207" customWidth="1"/>
    <col min="4094" max="4094" width="19.4444444444444" style="207" customWidth="1"/>
    <col min="4095" max="4095" width="5.33333333333333" style="207" customWidth="1"/>
    <col min="4096" max="4096" width="19.4444444444444" style="207" customWidth="1"/>
    <col min="4097" max="4097" width="13.3333333333333" style="207" customWidth="1"/>
    <col min="4098" max="4098" width="16.1111111111111" style="207" customWidth="1"/>
    <col min="4099" max="4099" width="13.8888888888889" style="207" customWidth="1"/>
    <col min="4100" max="4100" width="13.4444444444444" style="207" customWidth="1"/>
    <col min="4101" max="4346" width="9.11111111111111" style="207"/>
    <col min="4347" max="4347" width="8.44444444444444" style="207" customWidth="1"/>
    <col min="4348" max="4348" width="47.3333333333333" style="207" customWidth="1"/>
    <col min="4349" max="4349" width="14.8888888888889" style="207" customWidth="1"/>
    <col min="4350" max="4350" width="19.4444444444444" style="207" customWidth="1"/>
    <col min="4351" max="4351" width="5.33333333333333" style="207" customWidth="1"/>
    <col min="4352" max="4352" width="19.4444444444444" style="207" customWidth="1"/>
    <col min="4353" max="4353" width="13.3333333333333" style="207" customWidth="1"/>
    <col min="4354" max="4354" width="16.1111111111111" style="207" customWidth="1"/>
    <col min="4355" max="4355" width="13.8888888888889" style="207" customWidth="1"/>
    <col min="4356" max="4356" width="13.4444444444444" style="207" customWidth="1"/>
    <col min="4357" max="4602" width="9.11111111111111" style="207"/>
    <col min="4603" max="4603" width="8.44444444444444" style="207" customWidth="1"/>
    <col min="4604" max="4604" width="47.3333333333333" style="207" customWidth="1"/>
    <col min="4605" max="4605" width="14.8888888888889" style="207" customWidth="1"/>
    <col min="4606" max="4606" width="19.4444444444444" style="207" customWidth="1"/>
    <col min="4607" max="4607" width="5.33333333333333" style="207" customWidth="1"/>
    <col min="4608" max="4608" width="19.4444444444444" style="207" customWidth="1"/>
    <col min="4609" max="4609" width="13.3333333333333" style="207" customWidth="1"/>
    <col min="4610" max="4610" width="16.1111111111111" style="207" customWidth="1"/>
    <col min="4611" max="4611" width="13.8888888888889" style="207" customWidth="1"/>
    <col min="4612" max="4612" width="13.4444444444444" style="207" customWidth="1"/>
    <col min="4613" max="4858" width="9.11111111111111" style="207"/>
    <col min="4859" max="4859" width="8.44444444444444" style="207" customWidth="1"/>
    <col min="4860" max="4860" width="47.3333333333333" style="207" customWidth="1"/>
    <col min="4861" max="4861" width="14.8888888888889" style="207" customWidth="1"/>
    <col min="4862" max="4862" width="19.4444444444444" style="207" customWidth="1"/>
    <col min="4863" max="4863" width="5.33333333333333" style="207" customWidth="1"/>
    <col min="4864" max="4864" width="19.4444444444444" style="207" customWidth="1"/>
    <col min="4865" max="4865" width="13.3333333333333" style="207" customWidth="1"/>
    <col min="4866" max="4866" width="16.1111111111111" style="207" customWidth="1"/>
    <col min="4867" max="4867" width="13.8888888888889" style="207" customWidth="1"/>
    <col min="4868" max="4868" width="13.4444444444444" style="207" customWidth="1"/>
    <col min="4869" max="5114" width="9.11111111111111" style="207"/>
    <col min="5115" max="5115" width="8.44444444444444" style="207" customWidth="1"/>
    <col min="5116" max="5116" width="47.3333333333333" style="207" customWidth="1"/>
    <col min="5117" max="5117" width="14.8888888888889" style="207" customWidth="1"/>
    <col min="5118" max="5118" width="19.4444444444444" style="207" customWidth="1"/>
    <col min="5119" max="5119" width="5.33333333333333" style="207" customWidth="1"/>
    <col min="5120" max="5120" width="19.4444444444444" style="207" customWidth="1"/>
    <col min="5121" max="5121" width="13.3333333333333" style="207" customWidth="1"/>
    <col min="5122" max="5122" width="16.1111111111111" style="207" customWidth="1"/>
    <col min="5123" max="5123" width="13.8888888888889" style="207" customWidth="1"/>
    <col min="5124" max="5124" width="13.4444444444444" style="207" customWidth="1"/>
    <col min="5125" max="5370" width="9.11111111111111" style="207"/>
    <col min="5371" max="5371" width="8.44444444444444" style="207" customWidth="1"/>
    <col min="5372" max="5372" width="47.3333333333333" style="207" customWidth="1"/>
    <col min="5373" max="5373" width="14.8888888888889" style="207" customWidth="1"/>
    <col min="5374" max="5374" width="19.4444444444444" style="207" customWidth="1"/>
    <col min="5375" max="5375" width="5.33333333333333" style="207" customWidth="1"/>
    <col min="5376" max="5376" width="19.4444444444444" style="207" customWidth="1"/>
    <col min="5377" max="5377" width="13.3333333333333" style="207" customWidth="1"/>
    <col min="5378" max="5378" width="16.1111111111111" style="207" customWidth="1"/>
    <col min="5379" max="5379" width="13.8888888888889" style="207" customWidth="1"/>
    <col min="5380" max="5380" width="13.4444444444444" style="207" customWidth="1"/>
    <col min="5381" max="5626" width="9.11111111111111" style="207"/>
    <col min="5627" max="5627" width="8.44444444444444" style="207" customWidth="1"/>
    <col min="5628" max="5628" width="47.3333333333333" style="207" customWidth="1"/>
    <col min="5629" max="5629" width="14.8888888888889" style="207" customWidth="1"/>
    <col min="5630" max="5630" width="19.4444444444444" style="207" customWidth="1"/>
    <col min="5631" max="5631" width="5.33333333333333" style="207" customWidth="1"/>
    <col min="5632" max="5632" width="19.4444444444444" style="207" customWidth="1"/>
    <col min="5633" max="5633" width="13.3333333333333" style="207" customWidth="1"/>
    <col min="5634" max="5634" width="16.1111111111111" style="207" customWidth="1"/>
    <col min="5635" max="5635" width="13.8888888888889" style="207" customWidth="1"/>
    <col min="5636" max="5636" width="13.4444444444444" style="207" customWidth="1"/>
    <col min="5637" max="5882" width="9.11111111111111" style="207"/>
    <col min="5883" max="5883" width="8.44444444444444" style="207" customWidth="1"/>
    <col min="5884" max="5884" width="47.3333333333333" style="207" customWidth="1"/>
    <col min="5885" max="5885" width="14.8888888888889" style="207" customWidth="1"/>
    <col min="5886" max="5886" width="19.4444444444444" style="207" customWidth="1"/>
    <col min="5887" max="5887" width="5.33333333333333" style="207" customWidth="1"/>
    <col min="5888" max="5888" width="19.4444444444444" style="207" customWidth="1"/>
    <col min="5889" max="5889" width="13.3333333333333" style="207" customWidth="1"/>
    <col min="5890" max="5890" width="16.1111111111111" style="207" customWidth="1"/>
    <col min="5891" max="5891" width="13.8888888888889" style="207" customWidth="1"/>
    <col min="5892" max="5892" width="13.4444444444444" style="207" customWidth="1"/>
    <col min="5893" max="6138" width="9.11111111111111" style="207"/>
    <col min="6139" max="6139" width="8.44444444444444" style="207" customWidth="1"/>
    <col min="6140" max="6140" width="47.3333333333333" style="207" customWidth="1"/>
    <col min="6141" max="6141" width="14.8888888888889" style="207" customWidth="1"/>
    <col min="6142" max="6142" width="19.4444444444444" style="207" customWidth="1"/>
    <col min="6143" max="6143" width="5.33333333333333" style="207" customWidth="1"/>
    <col min="6144" max="6144" width="19.4444444444444" style="207" customWidth="1"/>
    <col min="6145" max="6145" width="13.3333333333333" style="207" customWidth="1"/>
    <col min="6146" max="6146" width="16.1111111111111" style="207" customWidth="1"/>
    <col min="6147" max="6147" width="13.8888888888889" style="207" customWidth="1"/>
    <col min="6148" max="6148" width="13.4444444444444" style="207" customWidth="1"/>
    <col min="6149" max="6394" width="9.11111111111111" style="207"/>
    <col min="6395" max="6395" width="8.44444444444444" style="207" customWidth="1"/>
    <col min="6396" max="6396" width="47.3333333333333" style="207" customWidth="1"/>
    <col min="6397" max="6397" width="14.8888888888889" style="207" customWidth="1"/>
    <col min="6398" max="6398" width="19.4444444444444" style="207" customWidth="1"/>
    <col min="6399" max="6399" width="5.33333333333333" style="207" customWidth="1"/>
    <col min="6400" max="6400" width="19.4444444444444" style="207" customWidth="1"/>
    <col min="6401" max="6401" width="13.3333333333333" style="207" customWidth="1"/>
    <col min="6402" max="6402" width="16.1111111111111" style="207" customWidth="1"/>
    <col min="6403" max="6403" width="13.8888888888889" style="207" customWidth="1"/>
    <col min="6404" max="6404" width="13.4444444444444" style="207" customWidth="1"/>
    <col min="6405" max="6650" width="9.11111111111111" style="207"/>
    <col min="6651" max="6651" width="8.44444444444444" style="207" customWidth="1"/>
    <col min="6652" max="6652" width="47.3333333333333" style="207" customWidth="1"/>
    <col min="6653" max="6653" width="14.8888888888889" style="207" customWidth="1"/>
    <col min="6654" max="6654" width="19.4444444444444" style="207" customWidth="1"/>
    <col min="6655" max="6655" width="5.33333333333333" style="207" customWidth="1"/>
    <col min="6656" max="6656" width="19.4444444444444" style="207" customWidth="1"/>
    <col min="6657" max="6657" width="13.3333333333333" style="207" customWidth="1"/>
    <col min="6658" max="6658" width="16.1111111111111" style="207" customWidth="1"/>
    <col min="6659" max="6659" width="13.8888888888889" style="207" customWidth="1"/>
    <col min="6660" max="6660" width="13.4444444444444" style="207" customWidth="1"/>
    <col min="6661" max="6906" width="9.11111111111111" style="207"/>
    <col min="6907" max="6907" width="8.44444444444444" style="207" customWidth="1"/>
    <col min="6908" max="6908" width="47.3333333333333" style="207" customWidth="1"/>
    <col min="6909" max="6909" width="14.8888888888889" style="207" customWidth="1"/>
    <col min="6910" max="6910" width="19.4444444444444" style="207" customWidth="1"/>
    <col min="6911" max="6911" width="5.33333333333333" style="207" customWidth="1"/>
    <col min="6912" max="6912" width="19.4444444444444" style="207" customWidth="1"/>
    <col min="6913" max="6913" width="13.3333333333333" style="207" customWidth="1"/>
    <col min="6914" max="6914" width="16.1111111111111" style="207" customWidth="1"/>
    <col min="6915" max="6915" width="13.8888888888889" style="207" customWidth="1"/>
    <col min="6916" max="6916" width="13.4444444444444" style="207" customWidth="1"/>
    <col min="6917" max="7162" width="9.11111111111111" style="207"/>
    <col min="7163" max="7163" width="8.44444444444444" style="207" customWidth="1"/>
    <col min="7164" max="7164" width="47.3333333333333" style="207" customWidth="1"/>
    <col min="7165" max="7165" width="14.8888888888889" style="207" customWidth="1"/>
    <col min="7166" max="7166" width="19.4444444444444" style="207" customWidth="1"/>
    <col min="7167" max="7167" width="5.33333333333333" style="207" customWidth="1"/>
    <col min="7168" max="7168" width="19.4444444444444" style="207" customWidth="1"/>
    <col min="7169" max="7169" width="13.3333333333333" style="207" customWidth="1"/>
    <col min="7170" max="7170" width="16.1111111111111" style="207" customWidth="1"/>
    <col min="7171" max="7171" width="13.8888888888889" style="207" customWidth="1"/>
    <col min="7172" max="7172" width="13.4444444444444" style="207" customWidth="1"/>
    <col min="7173" max="7418" width="9.11111111111111" style="207"/>
    <col min="7419" max="7419" width="8.44444444444444" style="207" customWidth="1"/>
    <col min="7420" max="7420" width="47.3333333333333" style="207" customWidth="1"/>
    <col min="7421" max="7421" width="14.8888888888889" style="207" customWidth="1"/>
    <col min="7422" max="7422" width="19.4444444444444" style="207" customWidth="1"/>
    <col min="7423" max="7423" width="5.33333333333333" style="207" customWidth="1"/>
    <col min="7424" max="7424" width="19.4444444444444" style="207" customWidth="1"/>
    <col min="7425" max="7425" width="13.3333333333333" style="207" customWidth="1"/>
    <col min="7426" max="7426" width="16.1111111111111" style="207" customWidth="1"/>
    <col min="7427" max="7427" width="13.8888888888889" style="207" customWidth="1"/>
    <col min="7428" max="7428" width="13.4444444444444" style="207" customWidth="1"/>
    <col min="7429" max="7674" width="9.11111111111111" style="207"/>
    <col min="7675" max="7675" width="8.44444444444444" style="207" customWidth="1"/>
    <col min="7676" max="7676" width="47.3333333333333" style="207" customWidth="1"/>
    <col min="7677" max="7677" width="14.8888888888889" style="207" customWidth="1"/>
    <col min="7678" max="7678" width="19.4444444444444" style="207" customWidth="1"/>
    <col min="7679" max="7679" width="5.33333333333333" style="207" customWidth="1"/>
    <col min="7680" max="7680" width="19.4444444444444" style="207" customWidth="1"/>
    <col min="7681" max="7681" width="13.3333333333333" style="207" customWidth="1"/>
    <col min="7682" max="7682" width="16.1111111111111" style="207" customWidth="1"/>
    <col min="7683" max="7683" width="13.8888888888889" style="207" customWidth="1"/>
    <col min="7684" max="7684" width="13.4444444444444" style="207" customWidth="1"/>
    <col min="7685" max="7930" width="9.11111111111111" style="207"/>
    <col min="7931" max="7931" width="8.44444444444444" style="207" customWidth="1"/>
    <col min="7932" max="7932" width="47.3333333333333" style="207" customWidth="1"/>
    <col min="7933" max="7933" width="14.8888888888889" style="207" customWidth="1"/>
    <col min="7934" max="7934" width="19.4444444444444" style="207" customWidth="1"/>
    <col min="7935" max="7935" width="5.33333333333333" style="207" customWidth="1"/>
    <col min="7936" max="7936" width="19.4444444444444" style="207" customWidth="1"/>
    <col min="7937" max="7937" width="13.3333333333333" style="207" customWidth="1"/>
    <col min="7938" max="7938" width="16.1111111111111" style="207" customWidth="1"/>
    <col min="7939" max="7939" width="13.8888888888889" style="207" customWidth="1"/>
    <col min="7940" max="7940" width="13.4444444444444" style="207" customWidth="1"/>
    <col min="7941" max="8186" width="9.11111111111111" style="207"/>
    <col min="8187" max="8187" width="8.44444444444444" style="207" customWidth="1"/>
    <col min="8188" max="8188" width="47.3333333333333" style="207" customWidth="1"/>
    <col min="8189" max="8189" width="14.8888888888889" style="207" customWidth="1"/>
    <col min="8190" max="8190" width="19.4444444444444" style="207" customWidth="1"/>
    <col min="8191" max="8191" width="5.33333333333333" style="207" customWidth="1"/>
    <col min="8192" max="8192" width="19.4444444444444" style="207" customWidth="1"/>
    <col min="8193" max="8193" width="13.3333333333333" style="207" customWidth="1"/>
    <col min="8194" max="8194" width="16.1111111111111" style="207" customWidth="1"/>
    <col min="8195" max="8195" width="13.8888888888889" style="207" customWidth="1"/>
    <col min="8196" max="8196" width="13.4444444444444" style="207" customWidth="1"/>
    <col min="8197" max="8442" width="9.11111111111111" style="207"/>
    <col min="8443" max="8443" width="8.44444444444444" style="207" customWidth="1"/>
    <col min="8444" max="8444" width="47.3333333333333" style="207" customWidth="1"/>
    <col min="8445" max="8445" width="14.8888888888889" style="207" customWidth="1"/>
    <col min="8446" max="8446" width="19.4444444444444" style="207" customWidth="1"/>
    <col min="8447" max="8447" width="5.33333333333333" style="207" customWidth="1"/>
    <col min="8448" max="8448" width="19.4444444444444" style="207" customWidth="1"/>
    <col min="8449" max="8449" width="13.3333333333333" style="207" customWidth="1"/>
    <col min="8450" max="8450" width="16.1111111111111" style="207" customWidth="1"/>
    <col min="8451" max="8451" width="13.8888888888889" style="207" customWidth="1"/>
    <col min="8452" max="8452" width="13.4444444444444" style="207" customWidth="1"/>
    <col min="8453" max="8698" width="9.11111111111111" style="207"/>
    <col min="8699" max="8699" width="8.44444444444444" style="207" customWidth="1"/>
    <col min="8700" max="8700" width="47.3333333333333" style="207" customWidth="1"/>
    <col min="8701" max="8701" width="14.8888888888889" style="207" customWidth="1"/>
    <col min="8702" max="8702" width="19.4444444444444" style="207" customWidth="1"/>
    <col min="8703" max="8703" width="5.33333333333333" style="207" customWidth="1"/>
    <col min="8704" max="8704" width="19.4444444444444" style="207" customWidth="1"/>
    <col min="8705" max="8705" width="13.3333333333333" style="207" customWidth="1"/>
    <col min="8706" max="8706" width="16.1111111111111" style="207" customWidth="1"/>
    <col min="8707" max="8707" width="13.8888888888889" style="207" customWidth="1"/>
    <col min="8708" max="8708" width="13.4444444444444" style="207" customWidth="1"/>
    <col min="8709" max="8954" width="9.11111111111111" style="207"/>
    <col min="8955" max="8955" width="8.44444444444444" style="207" customWidth="1"/>
    <col min="8956" max="8956" width="47.3333333333333" style="207" customWidth="1"/>
    <col min="8957" max="8957" width="14.8888888888889" style="207" customWidth="1"/>
    <col min="8958" max="8958" width="19.4444444444444" style="207" customWidth="1"/>
    <col min="8959" max="8959" width="5.33333333333333" style="207" customWidth="1"/>
    <col min="8960" max="8960" width="19.4444444444444" style="207" customWidth="1"/>
    <col min="8961" max="8961" width="13.3333333333333" style="207" customWidth="1"/>
    <col min="8962" max="8962" width="16.1111111111111" style="207" customWidth="1"/>
    <col min="8963" max="8963" width="13.8888888888889" style="207" customWidth="1"/>
    <col min="8964" max="8964" width="13.4444444444444" style="207" customWidth="1"/>
    <col min="8965" max="9210" width="9.11111111111111" style="207"/>
    <col min="9211" max="9211" width="8.44444444444444" style="207" customWidth="1"/>
    <col min="9212" max="9212" width="47.3333333333333" style="207" customWidth="1"/>
    <col min="9213" max="9213" width="14.8888888888889" style="207" customWidth="1"/>
    <col min="9214" max="9214" width="19.4444444444444" style="207" customWidth="1"/>
    <col min="9215" max="9215" width="5.33333333333333" style="207" customWidth="1"/>
    <col min="9216" max="9216" width="19.4444444444444" style="207" customWidth="1"/>
    <col min="9217" max="9217" width="13.3333333333333" style="207" customWidth="1"/>
    <col min="9218" max="9218" width="16.1111111111111" style="207" customWidth="1"/>
    <col min="9219" max="9219" width="13.8888888888889" style="207" customWidth="1"/>
    <col min="9220" max="9220" width="13.4444444444444" style="207" customWidth="1"/>
    <col min="9221" max="9466" width="9.11111111111111" style="207"/>
    <col min="9467" max="9467" width="8.44444444444444" style="207" customWidth="1"/>
    <col min="9468" max="9468" width="47.3333333333333" style="207" customWidth="1"/>
    <col min="9469" max="9469" width="14.8888888888889" style="207" customWidth="1"/>
    <col min="9470" max="9470" width="19.4444444444444" style="207" customWidth="1"/>
    <col min="9471" max="9471" width="5.33333333333333" style="207" customWidth="1"/>
    <col min="9472" max="9472" width="19.4444444444444" style="207" customWidth="1"/>
    <col min="9473" max="9473" width="13.3333333333333" style="207" customWidth="1"/>
    <col min="9474" max="9474" width="16.1111111111111" style="207" customWidth="1"/>
    <col min="9475" max="9475" width="13.8888888888889" style="207" customWidth="1"/>
    <col min="9476" max="9476" width="13.4444444444444" style="207" customWidth="1"/>
    <col min="9477" max="9722" width="9.11111111111111" style="207"/>
    <col min="9723" max="9723" width="8.44444444444444" style="207" customWidth="1"/>
    <col min="9724" max="9724" width="47.3333333333333" style="207" customWidth="1"/>
    <col min="9725" max="9725" width="14.8888888888889" style="207" customWidth="1"/>
    <col min="9726" max="9726" width="19.4444444444444" style="207" customWidth="1"/>
    <col min="9727" max="9727" width="5.33333333333333" style="207" customWidth="1"/>
    <col min="9728" max="9728" width="19.4444444444444" style="207" customWidth="1"/>
    <col min="9729" max="9729" width="13.3333333333333" style="207" customWidth="1"/>
    <col min="9730" max="9730" width="16.1111111111111" style="207" customWidth="1"/>
    <col min="9731" max="9731" width="13.8888888888889" style="207" customWidth="1"/>
    <col min="9732" max="9732" width="13.4444444444444" style="207" customWidth="1"/>
    <col min="9733" max="9978" width="9.11111111111111" style="207"/>
    <col min="9979" max="9979" width="8.44444444444444" style="207" customWidth="1"/>
    <col min="9980" max="9980" width="47.3333333333333" style="207" customWidth="1"/>
    <col min="9981" max="9981" width="14.8888888888889" style="207" customWidth="1"/>
    <col min="9982" max="9982" width="19.4444444444444" style="207" customWidth="1"/>
    <col min="9983" max="9983" width="5.33333333333333" style="207" customWidth="1"/>
    <col min="9984" max="9984" width="19.4444444444444" style="207" customWidth="1"/>
    <col min="9985" max="9985" width="13.3333333333333" style="207" customWidth="1"/>
    <col min="9986" max="9986" width="16.1111111111111" style="207" customWidth="1"/>
    <col min="9987" max="9987" width="13.8888888888889" style="207" customWidth="1"/>
    <col min="9988" max="9988" width="13.4444444444444" style="207" customWidth="1"/>
    <col min="9989" max="10234" width="9.11111111111111" style="207"/>
    <col min="10235" max="10235" width="8.44444444444444" style="207" customWidth="1"/>
    <col min="10236" max="10236" width="47.3333333333333" style="207" customWidth="1"/>
    <col min="10237" max="10237" width="14.8888888888889" style="207" customWidth="1"/>
    <col min="10238" max="10238" width="19.4444444444444" style="207" customWidth="1"/>
    <col min="10239" max="10239" width="5.33333333333333" style="207" customWidth="1"/>
    <col min="10240" max="10240" width="19.4444444444444" style="207" customWidth="1"/>
    <col min="10241" max="10241" width="13.3333333333333" style="207" customWidth="1"/>
    <col min="10242" max="10242" width="16.1111111111111" style="207" customWidth="1"/>
    <col min="10243" max="10243" width="13.8888888888889" style="207" customWidth="1"/>
    <col min="10244" max="10244" width="13.4444444444444" style="207" customWidth="1"/>
    <col min="10245" max="10490" width="9.11111111111111" style="207"/>
    <col min="10491" max="10491" width="8.44444444444444" style="207" customWidth="1"/>
    <col min="10492" max="10492" width="47.3333333333333" style="207" customWidth="1"/>
    <col min="10493" max="10493" width="14.8888888888889" style="207" customWidth="1"/>
    <col min="10494" max="10494" width="19.4444444444444" style="207" customWidth="1"/>
    <col min="10495" max="10495" width="5.33333333333333" style="207" customWidth="1"/>
    <col min="10496" max="10496" width="19.4444444444444" style="207" customWidth="1"/>
    <col min="10497" max="10497" width="13.3333333333333" style="207" customWidth="1"/>
    <col min="10498" max="10498" width="16.1111111111111" style="207" customWidth="1"/>
    <col min="10499" max="10499" width="13.8888888888889" style="207" customWidth="1"/>
    <col min="10500" max="10500" width="13.4444444444444" style="207" customWidth="1"/>
    <col min="10501" max="10746" width="9.11111111111111" style="207"/>
    <col min="10747" max="10747" width="8.44444444444444" style="207" customWidth="1"/>
    <col min="10748" max="10748" width="47.3333333333333" style="207" customWidth="1"/>
    <col min="10749" max="10749" width="14.8888888888889" style="207" customWidth="1"/>
    <col min="10750" max="10750" width="19.4444444444444" style="207" customWidth="1"/>
    <col min="10751" max="10751" width="5.33333333333333" style="207" customWidth="1"/>
    <col min="10752" max="10752" width="19.4444444444444" style="207" customWidth="1"/>
    <col min="10753" max="10753" width="13.3333333333333" style="207" customWidth="1"/>
    <col min="10754" max="10754" width="16.1111111111111" style="207" customWidth="1"/>
    <col min="10755" max="10755" width="13.8888888888889" style="207" customWidth="1"/>
    <col min="10756" max="10756" width="13.4444444444444" style="207" customWidth="1"/>
    <col min="10757" max="11002" width="9.11111111111111" style="207"/>
    <col min="11003" max="11003" width="8.44444444444444" style="207" customWidth="1"/>
    <col min="11004" max="11004" width="47.3333333333333" style="207" customWidth="1"/>
    <col min="11005" max="11005" width="14.8888888888889" style="207" customWidth="1"/>
    <col min="11006" max="11006" width="19.4444444444444" style="207" customWidth="1"/>
    <col min="11007" max="11007" width="5.33333333333333" style="207" customWidth="1"/>
    <col min="11008" max="11008" width="19.4444444444444" style="207" customWidth="1"/>
    <col min="11009" max="11009" width="13.3333333333333" style="207" customWidth="1"/>
    <col min="11010" max="11010" width="16.1111111111111" style="207" customWidth="1"/>
    <col min="11011" max="11011" width="13.8888888888889" style="207" customWidth="1"/>
    <col min="11012" max="11012" width="13.4444444444444" style="207" customWidth="1"/>
    <col min="11013" max="11258" width="9.11111111111111" style="207"/>
    <col min="11259" max="11259" width="8.44444444444444" style="207" customWidth="1"/>
    <col min="11260" max="11260" width="47.3333333333333" style="207" customWidth="1"/>
    <col min="11261" max="11261" width="14.8888888888889" style="207" customWidth="1"/>
    <col min="11262" max="11262" width="19.4444444444444" style="207" customWidth="1"/>
    <col min="11263" max="11263" width="5.33333333333333" style="207" customWidth="1"/>
    <col min="11264" max="11264" width="19.4444444444444" style="207" customWidth="1"/>
    <col min="11265" max="11265" width="13.3333333333333" style="207" customWidth="1"/>
    <col min="11266" max="11266" width="16.1111111111111" style="207" customWidth="1"/>
    <col min="11267" max="11267" width="13.8888888888889" style="207" customWidth="1"/>
    <col min="11268" max="11268" width="13.4444444444444" style="207" customWidth="1"/>
    <col min="11269" max="11514" width="9.11111111111111" style="207"/>
    <col min="11515" max="11515" width="8.44444444444444" style="207" customWidth="1"/>
    <col min="11516" max="11516" width="47.3333333333333" style="207" customWidth="1"/>
    <col min="11517" max="11517" width="14.8888888888889" style="207" customWidth="1"/>
    <col min="11518" max="11518" width="19.4444444444444" style="207" customWidth="1"/>
    <col min="11519" max="11519" width="5.33333333333333" style="207" customWidth="1"/>
    <col min="11520" max="11520" width="19.4444444444444" style="207" customWidth="1"/>
    <col min="11521" max="11521" width="13.3333333333333" style="207" customWidth="1"/>
    <col min="11522" max="11522" width="16.1111111111111" style="207" customWidth="1"/>
    <col min="11523" max="11523" width="13.8888888888889" style="207" customWidth="1"/>
    <col min="11524" max="11524" width="13.4444444444444" style="207" customWidth="1"/>
    <col min="11525" max="11770" width="9.11111111111111" style="207"/>
    <col min="11771" max="11771" width="8.44444444444444" style="207" customWidth="1"/>
    <col min="11772" max="11772" width="47.3333333333333" style="207" customWidth="1"/>
    <col min="11773" max="11773" width="14.8888888888889" style="207" customWidth="1"/>
    <col min="11774" max="11774" width="19.4444444444444" style="207" customWidth="1"/>
    <col min="11775" max="11775" width="5.33333333333333" style="207" customWidth="1"/>
    <col min="11776" max="11776" width="19.4444444444444" style="207" customWidth="1"/>
    <col min="11777" max="11777" width="13.3333333333333" style="207" customWidth="1"/>
    <col min="11778" max="11778" width="16.1111111111111" style="207" customWidth="1"/>
    <col min="11779" max="11779" width="13.8888888888889" style="207" customWidth="1"/>
    <col min="11780" max="11780" width="13.4444444444444" style="207" customWidth="1"/>
    <col min="11781" max="12026" width="9.11111111111111" style="207"/>
    <col min="12027" max="12027" width="8.44444444444444" style="207" customWidth="1"/>
    <col min="12028" max="12028" width="47.3333333333333" style="207" customWidth="1"/>
    <col min="12029" max="12029" width="14.8888888888889" style="207" customWidth="1"/>
    <col min="12030" max="12030" width="19.4444444444444" style="207" customWidth="1"/>
    <col min="12031" max="12031" width="5.33333333333333" style="207" customWidth="1"/>
    <col min="12032" max="12032" width="19.4444444444444" style="207" customWidth="1"/>
    <col min="12033" max="12033" width="13.3333333333333" style="207" customWidth="1"/>
    <col min="12034" max="12034" width="16.1111111111111" style="207" customWidth="1"/>
    <col min="12035" max="12035" width="13.8888888888889" style="207" customWidth="1"/>
    <col min="12036" max="12036" width="13.4444444444444" style="207" customWidth="1"/>
    <col min="12037" max="12282" width="9.11111111111111" style="207"/>
    <col min="12283" max="12283" width="8.44444444444444" style="207" customWidth="1"/>
    <col min="12284" max="12284" width="47.3333333333333" style="207" customWidth="1"/>
    <col min="12285" max="12285" width="14.8888888888889" style="207" customWidth="1"/>
    <col min="12286" max="12286" width="19.4444444444444" style="207" customWidth="1"/>
    <col min="12287" max="12287" width="5.33333333333333" style="207" customWidth="1"/>
    <col min="12288" max="12288" width="19.4444444444444" style="207" customWidth="1"/>
    <col min="12289" max="12289" width="13.3333333333333" style="207" customWidth="1"/>
    <col min="12290" max="12290" width="16.1111111111111" style="207" customWidth="1"/>
    <col min="12291" max="12291" width="13.8888888888889" style="207" customWidth="1"/>
    <col min="12292" max="12292" width="13.4444444444444" style="207" customWidth="1"/>
    <col min="12293" max="12538" width="9.11111111111111" style="207"/>
    <col min="12539" max="12539" width="8.44444444444444" style="207" customWidth="1"/>
    <col min="12540" max="12540" width="47.3333333333333" style="207" customWidth="1"/>
    <col min="12541" max="12541" width="14.8888888888889" style="207" customWidth="1"/>
    <col min="12542" max="12542" width="19.4444444444444" style="207" customWidth="1"/>
    <col min="12543" max="12543" width="5.33333333333333" style="207" customWidth="1"/>
    <col min="12544" max="12544" width="19.4444444444444" style="207" customWidth="1"/>
    <col min="12545" max="12545" width="13.3333333333333" style="207" customWidth="1"/>
    <col min="12546" max="12546" width="16.1111111111111" style="207" customWidth="1"/>
    <col min="12547" max="12547" width="13.8888888888889" style="207" customWidth="1"/>
    <col min="12548" max="12548" width="13.4444444444444" style="207" customWidth="1"/>
    <col min="12549" max="12794" width="9.11111111111111" style="207"/>
    <col min="12795" max="12795" width="8.44444444444444" style="207" customWidth="1"/>
    <col min="12796" max="12796" width="47.3333333333333" style="207" customWidth="1"/>
    <col min="12797" max="12797" width="14.8888888888889" style="207" customWidth="1"/>
    <col min="12798" max="12798" width="19.4444444444444" style="207" customWidth="1"/>
    <col min="12799" max="12799" width="5.33333333333333" style="207" customWidth="1"/>
    <col min="12800" max="12800" width="19.4444444444444" style="207" customWidth="1"/>
    <col min="12801" max="12801" width="13.3333333333333" style="207" customWidth="1"/>
    <col min="12802" max="12802" width="16.1111111111111" style="207" customWidth="1"/>
    <col min="12803" max="12803" width="13.8888888888889" style="207" customWidth="1"/>
    <col min="12804" max="12804" width="13.4444444444444" style="207" customWidth="1"/>
    <col min="12805" max="13050" width="9.11111111111111" style="207"/>
    <col min="13051" max="13051" width="8.44444444444444" style="207" customWidth="1"/>
    <col min="13052" max="13052" width="47.3333333333333" style="207" customWidth="1"/>
    <col min="13053" max="13053" width="14.8888888888889" style="207" customWidth="1"/>
    <col min="13054" max="13054" width="19.4444444444444" style="207" customWidth="1"/>
    <col min="13055" max="13055" width="5.33333333333333" style="207" customWidth="1"/>
    <col min="13056" max="13056" width="19.4444444444444" style="207" customWidth="1"/>
    <col min="13057" max="13057" width="13.3333333333333" style="207" customWidth="1"/>
    <col min="13058" max="13058" width="16.1111111111111" style="207" customWidth="1"/>
    <col min="13059" max="13059" width="13.8888888888889" style="207" customWidth="1"/>
    <col min="13060" max="13060" width="13.4444444444444" style="207" customWidth="1"/>
    <col min="13061" max="13306" width="9.11111111111111" style="207"/>
    <col min="13307" max="13307" width="8.44444444444444" style="207" customWidth="1"/>
    <col min="13308" max="13308" width="47.3333333333333" style="207" customWidth="1"/>
    <col min="13309" max="13309" width="14.8888888888889" style="207" customWidth="1"/>
    <col min="13310" max="13310" width="19.4444444444444" style="207" customWidth="1"/>
    <col min="13311" max="13311" width="5.33333333333333" style="207" customWidth="1"/>
    <col min="13312" max="13312" width="19.4444444444444" style="207" customWidth="1"/>
    <col min="13313" max="13313" width="13.3333333333333" style="207" customWidth="1"/>
    <col min="13314" max="13314" width="16.1111111111111" style="207" customWidth="1"/>
    <col min="13315" max="13315" width="13.8888888888889" style="207" customWidth="1"/>
    <col min="13316" max="13316" width="13.4444444444444" style="207" customWidth="1"/>
    <col min="13317" max="13562" width="9.11111111111111" style="207"/>
    <col min="13563" max="13563" width="8.44444444444444" style="207" customWidth="1"/>
    <col min="13564" max="13564" width="47.3333333333333" style="207" customWidth="1"/>
    <col min="13565" max="13565" width="14.8888888888889" style="207" customWidth="1"/>
    <col min="13566" max="13566" width="19.4444444444444" style="207" customWidth="1"/>
    <col min="13567" max="13567" width="5.33333333333333" style="207" customWidth="1"/>
    <col min="13568" max="13568" width="19.4444444444444" style="207" customWidth="1"/>
    <col min="13569" max="13569" width="13.3333333333333" style="207" customWidth="1"/>
    <col min="13570" max="13570" width="16.1111111111111" style="207" customWidth="1"/>
    <col min="13571" max="13571" width="13.8888888888889" style="207" customWidth="1"/>
    <col min="13572" max="13572" width="13.4444444444444" style="207" customWidth="1"/>
    <col min="13573" max="13818" width="9.11111111111111" style="207"/>
    <col min="13819" max="13819" width="8.44444444444444" style="207" customWidth="1"/>
    <col min="13820" max="13820" width="47.3333333333333" style="207" customWidth="1"/>
    <col min="13821" max="13821" width="14.8888888888889" style="207" customWidth="1"/>
    <col min="13822" max="13822" width="19.4444444444444" style="207" customWidth="1"/>
    <col min="13823" max="13823" width="5.33333333333333" style="207" customWidth="1"/>
    <col min="13824" max="13824" width="19.4444444444444" style="207" customWidth="1"/>
    <col min="13825" max="13825" width="13.3333333333333" style="207" customWidth="1"/>
    <col min="13826" max="13826" width="16.1111111111111" style="207" customWidth="1"/>
    <col min="13827" max="13827" width="13.8888888888889" style="207" customWidth="1"/>
    <col min="13828" max="13828" width="13.4444444444444" style="207" customWidth="1"/>
    <col min="13829" max="14074" width="9.11111111111111" style="207"/>
    <col min="14075" max="14075" width="8.44444444444444" style="207" customWidth="1"/>
    <col min="14076" max="14076" width="47.3333333333333" style="207" customWidth="1"/>
    <col min="14077" max="14077" width="14.8888888888889" style="207" customWidth="1"/>
    <col min="14078" max="14078" width="19.4444444444444" style="207" customWidth="1"/>
    <col min="14079" max="14079" width="5.33333333333333" style="207" customWidth="1"/>
    <col min="14080" max="14080" width="19.4444444444444" style="207" customWidth="1"/>
    <col min="14081" max="14081" width="13.3333333333333" style="207" customWidth="1"/>
    <col min="14082" max="14082" width="16.1111111111111" style="207" customWidth="1"/>
    <col min="14083" max="14083" width="13.8888888888889" style="207" customWidth="1"/>
    <col min="14084" max="14084" width="13.4444444444444" style="207" customWidth="1"/>
    <col min="14085" max="14330" width="9.11111111111111" style="207"/>
    <col min="14331" max="14331" width="8.44444444444444" style="207" customWidth="1"/>
    <col min="14332" max="14332" width="47.3333333333333" style="207" customWidth="1"/>
    <col min="14333" max="14333" width="14.8888888888889" style="207" customWidth="1"/>
    <col min="14334" max="14334" width="19.4444444444444" style="207" customWidth="1"/>
    <col min="14335" max="14335" width="5.33333333333333" style="207" customWidth="1"/>
    <col min="14336" max="14336" width="19.4444444444444" style="207" customWidth="1"/>
    <col min="14337" max="14337" width="13.3333333333333" style="207" customWidth="1"/>
    <col min="14338" max="14338" width="16.1111111111111" style="207" customWidth="1"/>
    <col min="14339" max="14339" width="13.8888888888889" style="207" customWidth="1"/>
    <col min="14340" max="14340" width="13.4444444444444" style="207" customWidth="1"/>
    <col min="14341" max="14586" width="9.11111111111111" style="207"/>
    <col min="14587" max="14587" width="8.44444444444444" style="207" customWidth="1"/>
    <col min="14588" max="14588" width="47.3333333333333" style="207" customWidth="1"/>
    <col min="14589" max="14589" width="14.8888888888889" style="207" customWidth="1"/>
    <col min="14590" max="14590" width="19.4444444444444" style="207" customWidth="1"/>
    <col min="14591" max="14591" width="5.33333333333333" style="207" customWidth="1"/>
    <col min="14592" max="14592" width="19.4444444444444" style="207" customWidth="1"/>
    <col min="14593" max="14593" width="13.3333333333333" style="207" customWidth="1"/>
    <col min="14594" max="14594" width="16.1111111111111" style="207" customWidth="1"/>
    <col min="14595" max="14595" width="13.8888888888889" style="207" customWidth="1"/>
    <col min="14596" max="14596" width="13.4444444444444" style="207" customWidth="1"/>
    <col min="14597" max="14842" width="9.11111111111111" style="207"/>
    <col min="14843" max="14843" width="8.44444444444444" style="207" customWidth="1"/>
    <col min="14844" max="14844" width="47.3333333333333" style="207" customWidth="1"/>
    <col min="14845" max="14845" width="14.8888888888889" style="207" customWidth="1"/>
    <col min="14846" max="14846" width="19.4444444444444" style="207" customWidth="1"/>
    <col min="14847" max="14847" width="5.33333333333333" style="207" customWidth="1"/>
    <col min="14848" max="14848" width="19.4444444444444" style="207" customWidth="1"/>
    <col min="14849" max="14849" width="13.3333333333333" style="207" customWidth="1"/>
    <col min="14850" max="14850" width="16.1111111111111" style="207" customWidth="1"/>
    <col min="14851" max="14851" width="13.8888888888889" style="207" customWidth="1"/>
    <col min="14852" max="14852" width="13.4444444444444" style="207" customWidth="1"/>
    <col min="14853" max="15098" width="9.11111111111111" style="207"/>
    <col min="15099" max="15099" width="8.44444444444444" style="207" customWidth="1"/>
    <col min="15100" max="15100" width="47.3333333333333" style="207" customWidth="1"/>
    <col min="15101" max="15101" width="14.8888888888889" style="207" customWidth="1"/>
    <col min="15102" max="15102" width="19.4444444444444" style="207" customWidth="1"/>
    <col min="15103" max="15103" width="5.33333333333333" style="207" customWidth="1"/>
    <col min="15104" max="15104" width="19.4444444444444" style="207" customWidth="1"/>
    <col min="15105" max="15105" width="13.3333333333333" style="207" customWidth="1"/>
    <col min="15106" max="15106" width="16.1111111111111" style="207" customWidth="1"/>
    <col min="15107" max="15107" width="13.8888888888889" style="207" customWidth="1"/>
    <col min="15108" max="15108" width="13.4444444444444" style="207" customWidth="1"/>
    <col min="15109" max="15354" width="9.11111111111111" style="207"/>
    <col min="15355" max="15355" width="8.44444444444444" style="207" customWidth="1"/>
    <col min="15356" max="15356" width="47.3333333333333" style="207" customWidth="1"/>
    <col min="15357" max="15357" width="14.8888888888889" style="207" customWidth="1"/>
    <col min="15358" max="15358" width="19.4444444444444" style="207" customWidth="1"/>
    <col min="15359" max="15359" width="5.33333333333333" style="207" customWidth="1"/>
    <col min="15360" max="15360" width="19.4444444444444" style="207" customWidth="1"/>
    <col min="15361" max="15361" width="13.3333333333333" style="207" customWidth="1"/>
    <col min="15362" max="15362" width="16.1111111111111" style="207" customWidth="1"/>
    <col min="15363" max="15363" width="13.8888888888889" style="207" customWidth="1"/>
    <col min="15364" max="15364" width="13.4444444444444" style="207" customWidth="1"/>
    <col min="15365" max="15610" width="9.11111111111111" style="207"/>
    <col min="15611" max="15611" width="8.44444444444444" style="207" customWidth="1"/>
    <col min="15612" max="15612" width="47.3333333333333" style="207" customWidth="1"/>
    <col min="15613" max="15613" width="14.8888888888889" style="207" customWidth="1"/>
    <col min="15614" max="15614" width="19.4444444444444" style="207" customWidth="1"/>
    <col min="15615" max="15615" width="5.33333333333333" style="207" customWidth="1"/>
    <col min="15616" max="15616" width="19.4444444444444" style="207" customWidth="1"/>
    <col min="15617" max="15617" width="13.3333333333333" style="207" customWidth="1"/>
    <col min="15618" max="15618" width="16.1111111111111" style="207" customWidth="1"/>
    <col min="15619" max="15619" width="13.8888888888889" style="207" customWidth="1"/>
    <col min="15620" max="15620" width="13.4444444444444" style="207" customWidth="1"/>
    <col min="15621" max="15866" width="9.11111111111111" style="207"/>
    <col min="15867" max="15867" width="8.44444444444444" style="207" customWidth="1"/>
    <col min="15868" max="15868" width="47.3333333333333" style="207" customWidth="1"/>
    <col min="15869" max="15869" width="14.8888888888889" style="207" customWidth="1"/>
    <col min="15870" max="15870" width="19.4444444444444" style="207" customWidth="1"/>
    <col min="15871" max="15871" width="5.33333333333333" style="207" customWidth="1"/>
    <col min="15872" max="15872" width="19.4444444444444" style="207" customWidth="1"/>
    <col min="15873" max="15873" width="13.3333333333333" style="207" customWidth="1"/>
    <col min="15874" max="15874" width="16.1111111111111" style="207" customWidth="1"/>
    <col min="15875" max="15875" width="13.8888888888889" style="207" customWidth="1"/>
    <col min="15876" max="15876" width="13.4444444444444" style="207" customWidth="1"/>
    <col min="15877" max="16122" width="9.11111111111111" style="207"/>
    <col min="16123" max="16123" width="8.44444444444444" style="207" customWidth="1"/>
    <col min="16124" max="16124" width="47.3333333333333" style="207" customWidth="1"/>
    <col min="16125" max="16125" width="14.8888888888889" style="207" customWidth="1"/>
    <col min="16126" max="16126" width="19.4444444444444" style="207" customWidth="1"/>
    <col min="16127" max="16127" width="5.33333333333333" style="207" customWidth="1"/>
    <col min="16128" max="16128" width="19.4444444444444" style="207" customWidth="1"/>
    <col min="16129" max="16129" width="13.3333333333333" style="207" customWidth="1"/>
    <col min="16130" max="16130" width="16.1111111111111" style="207" customWidth="1"/>
    <col min="16131" max="16131" width="13.8888888888889" style="207" customWidth="1"/>
    <col min="16132" max="16132" width="13.4444444444444" style="207" customWidth="1"/>
    <col min="16133" max="16384" width="9.11111111111111" style="207"/>
  </cols>
  <sheetData>
    <row r="1" s="205" customFormat="1" ht="22.5" customHeight="1" spans="2:6">
      <c r="B1" s="205" t="s">
        <v>0</v>
      </c>
      <c r="D1" s="205" t="s">
        <v>1</v>
      </c>
      <c r="F1" s="205">
        <v>2018</v>
      </c>
    </row>
    <row r="2" s="206" customFormat="1" spans="1:10">
      <c r="A2" s="206">
        <v>1</v>
      </c>
      <c r="B2" s="206" t="s">
        <v>2</v>
      </c>
      <c r="D2" s="206" t="s">
        <v>3</v>
      </c>
      <c r="F2" s="208">
        <v>201566</v>
      </c>
      <c r="H2" s="205" t="s">
        <v>4</v>
      </c>
      <c r="I2" s="205" t="s">
        <v>5</v>
      </c>
      <c r="J2" s="205" t="s">
        <v>6</v>
      </c>
    </row>
    <row r="3" s="206" customFormat="1" spans="1:6">
      <c r="A3" s="206">
        <v>1</v>
      </c>
      <c r="B3" s="206" t="s">
        <v>2</v>
      </c>
      <c r="D3" s="206" t="s">
        <v>7</v>
      </c>
      <c r="F3" s="208">
        <v>577258.92</v>
      </c>
    </row>
    <row r="4" s="206" customFormat="1" spans="1:6">
      <c r="A4" s="206">
        <v>1</v>
      </c>
      <c r="B4" s="206" t="s">
        <v>2</v>
      </c>
      <c r="D4" s="206" t="s">
        <v>8</v>
      </c>
      <c r="F4" s="208">
        <v>84500</v>
      </c>
    </row>
    <row r="5" s="206" customFormat="1" spans="1:6">
      <c r="A5" s="206">
        <v>1</v>
      </c>
      <c r="B5" s="206" t="s">
        <v>2</v>
      </c>
      <c r="D5" s="206" t="s">
        <v>9</v>
      </c>
      <c r="F5" s="208">
        <v>2373101</v>
      </c>
    </row>
    <row r="6" s="206" customFormat="1" spans="1:7">
      <c r="A6" s="206">
        <v>1</v>
      </c>
      <c r="B6" s="206" t="s">
        <v>2</v>
      </c>
      <c r="D6" s="206" t="s">
        <v>10</v>
      </c>
      <c r="F6" s="208">
        <v>91724752.72</v>
      </c>
      <c r="G6" s="206">
        <f>SUM(F2:F6)</f>
        <v>94961178.64</v>
      </c>
    </row>
    <row r="7" s="206" customFormat="1" spans="1:6">
      <c r="A7" s="206">
        <v>2</v>
      </c>
      <c r="B7" s="206" t="s">
        <v>11</v>
      </c>
      <c r="D7" s="206" t="s">
        <v>12</v>
      </c>
      <c r="F7" s="208">
        <v>17971860</v>
      </c>
    </row>
    <row r="8" s="206" customFormat="1" spans="1:6">
      <c r="A8" s="206">
        <v>2</v>
      </c>
      <c r="B8" s="206" t="s">
        <v>11</v>
      </c>
      <c r="D8" s="206" t="s">
        <v>13</v>
      </c>
      <c r="F8" s="208">
        <v>6362407</v>
      </c>
    </row>
    <row r="9" s="206" customFormat="1" spans="1:7">
      <c r="A9" s="206">
        <v>2</v>
      </c>
      <c r="B9" s="206" t="s">
        <v>11</v>
      </c>
      <c r="D9" s="206" t="s">
        <v>14</v>
      </c>
      <c r="F9" s="208">
        <v>8057635</v>
      </c>
      <c r="G9" s="206">
        <f>SUM(F7:F9)</f>
        <v>32391902</v>
      </c>
    </row>
    <row r="10" s="206" customFormat="1" spans="2:7">
      <c r="B10" s="209" t="s">
        <v>15</v>
      </c>
      <c r="C10" s="209"/>
      <c r="F10" s="210">
        <f>SUM(F2:F9)</f>
        <v>127353080.64</v>
      </c>
      <c r="G10" s="206">
        <f>+G9+G6</f>
        <v>127353080.64</v>
      </c>
    </row>
    <row r="11" s="206" customFormat="1" spans="2:5">
      <c r="B11" s="209"/>
      <c r="C11" s="209"/>
      <c r="E11" s="210"/>
    </row>
    <row r="12" s="206" customFormat="1" ht="22.5" customHeight="1" spans="2:8">
      <c r="B12" s="209"/>
      <c r="C12" s="211" t="s">
        <v>16</v>
      </c>
      <c r="D12" s="212"/>
      <c r="E12" s="212"/>
      <c r="F12" s="212"/>
      <c r="G12" s="212"/>
      <c r="H12" s="213"/>
    </row>
    <row r="13" s="206" customFormat="1" spans="2:8">
      <c r="B13" s="209"/>
      <c r="C13" s="214" t="s">
        <v>17</v>
      </c>
      <c r="D13" s="215" t="s">
        <v>18</v>
      </c>
      <c r="E13" s="215"/>
      <c r="F13" s="215"/>
      <c r="G13" s="215"/>
      <c r="H13" s="216">
        <v>32391902</v>
      </c>
    </row>
    <row r="14" s="206" customFormat="1" spans="2:8">
      <c r="B14" s="209"/>
      <c r="C14" s="214" t="s">
        <v>19</v>
      </c>
      <c r="D14" s="215" t="s">
        <v>20</v>
      </c>
      <c r="E14" s="215"/>
      <c r="F14" s="215"/>
      <c r="G14" s="215"/>
      <c r="H14" s="216">
        <v>94961178.64</v>
      </c>
    </row>
    <row r="15" s="206" customFormat="1" spans="2:8">
      <c r="B15" s="209"/>
      <c r="C15" s="214" t="s">
        <v>21</v>
      </c>
      <c r="D15" s="217" t="s">
        <v>22</v>
      </c>
      <c r="E15" s="218"/>
      <c r="F15" s="218"/>
      <c r="G15" s="219"/>
      <c r="H15" s="216">
        <f>+H13+H14</f>
        <v>127353080.64</v>
      </c>
    </row>
    <row r="16" s="206" customFormat="1" spans="2:8">
      <c r="B16" s="209"/>
      <c r="C16" s="220" t="s">
        <v>23</v>
      </c>
      <c r="D16" s="221"/>
      <c r="E16" s="221"/>
      <c r="F16" s="221"/>
      <c r="G16" s="221"/>
      <c r="H16" s="222"/>
    </row>
    <row r="17" s="206" customFormat="1" ht="38.25" customHeight="1" spans="2:8">
      <c r="B17" s="209"/>
      <c r="C17" s="223" t="s">
        <v>24</v>
      </c>
      <c r="D17" s="224" t="s">
        <v>25</v>
      </c>
      <c r="E17" s="225"/>
      <c r="F17" s="224" t="s">
        <v>26</v>
      </c>
      <c r="G17" s="224" t="s">
        <v>27</v>
      </c>
      <c r="H17" s="226" t="s">
        <v>28</v>
      </c>
    </row>
    <row r="18" s="206" customFormat="1" ht="21" customHeight="1" spans="1:8">
      <c r="A18" s="206">
        <v>3</v>
      </c>
      <c r="B18" s="206" t="s">
        <v>4</v>
      </c>
      <c r="C18" s="220">
        <v>1</v>
      </c>
      <c r="D18" s="227" t="s">
        <v>29</v>
      </c>
      <c r="E18" s="228">
        <v>255541.46</v>
      </c>
      <c r="F18" s="221">
        <f>+E18</f>
        <v>255541.46</v>
      </c>
      <c r="G18" s="221"/>
      <c r="H18" s="222"/>
    </row>
    <row r="19" s="206" customFormat="1" ht="21" customHeight="1" spans="1:8">
      <c r="A19" s="206">
        <v>3</v>
      </c>
      <c r="B19" s="206" t="s">
        <v>4</v>
      </c>
      <c r="C19" s="220">
        <v>2</v>
      </c>
      <c r="D19" s="227" t="s">
        <v>30</v>
      </c>
      <c r="E19" s="228">
        <v>308106.16</v>
      </c>
      <c r="F19" s="221">
        <f t="shared" ref="F19:F28" si="0">+E19</f>
        <v>308106.16</v>
      </c>
      <c r="G19" s="221"/>
      <c r="H19" s="222"/>
    </row>
    <row r="20" s="206" customFormat="1" ht="21" customHeight="1" spans="1:8">
      <c r="A20" s="206">
        <v>3</v>
      </c>
      <c r="B20" s="206" t="s">
        <v>4</v>
      </c>
      <c r="C20" s="220">
        <v>3</v>
      </c>
      <c r="D20" s="227" t="s">
        <v>31</v>
      </c>
      <c r="E20" s="228">
        <v>59696</v>
      </c>
      <c r="F20" s="221">
        <f t="shared" si="0"/>
        <v>59696</v>
      </c>
      <c r="G20" s="221"/>
      <c r="H20" s="222"/>
    </row>
    <row r="21" s="206" customFormat="1" ht="21" customHeight="1" spans="1:8">
      <c r="A21" s="206">
        <v>3</v>
      </c>
      <c r="B21" s="206" t="s">
        <v>4</v>
      </c>
      <c r="C21" s="220">
        <v>4</v>
      </c>
      <c r="D21" s="227" t="s">
        <v>32</v>
      </c>
      <c r="E21" s="228">
        <v>60100</v>
      </c>
      <c r="F21" s="221">
        <f t="shared" si="0"/>
        <v>60100</v>
      </c>
      <c r="G21" s="221"/>
      <c r="H21" s="222"/>
    </row>
    <row r="22" s="206" customFormat="1" ht="21" customHeight="1" spans="1:8">
      <c r="A22" s="206">
        <v>3</v>
      </c>
      <c r="B22" s="206" t="s">
        <v>4</v>
      </c>
      <c r="C22" s="220">
        <v>5</v>
      </c>
      <c r="D22" s="227" t="s">
        <v>33</v>
      </c>
      <c r="E22" s="228">
        <v>144000</v>
      </c>
      <c r="F22" s="221">
        <f t="shared" si="0"/>
        <v>144000</v>
      </c>
      <c r="G22" s="221"/>
      <c r="H22" s="222"/>
    </row>
    <row r="23" s="206" customFormat="1" ht="21" customHeight="1" spans="1:8">
      <c r="A23" s="206">
        <v>3</v>
      </c>
      <c r="B23" s="206" t="s">
        <v>4</v>
      </c>
      <c r="C23" s="220">
        <v>6</v>
      </c>
      <c r="D23" s="227" t="s">
        <v>34</v>
      </c>
      <c r="E23" s="228">
        <v>1146877</v>
      </c>
      <c r="F23" s="221">
        <f t="shared" si="0"/>
        <v>1146877</v>
      </c>
      <c r="G23" s="221"/>
      <c r="H23" s="222"/>
    </row>
    <row r="24" s="206" customFormat="1" ht="21" customHeight="1" spans="1:8">
      <c r="A24" s="206">
        <v>3</v>
      </c>
      <c r="B24" s="206" t="s">
        <v>4</v>
      </c>
      <c r="C24" s="220">
        <v>7</v>
      </c>
      <c r="D24" s="227" t="s">
        <v>35</v>
      </c>
      <c r="E24" s="228">
        <v>144075</v>
      </c>
      <c r="F24" s="221">
        <f t="shared" si="0"/>
        <v>144075</v>
      </c>
      <c r="G24" s="221"/>
      <c r="H24" s="222"/>
    </row>
    <row r="25" s="206" customFormat="1" ht="21" customHeight="1" spans="1:8">
      <c r="A25" s="206">
        <v>3</v>
      </c>
      <c r="B25" s="206" t="s">
        <v>4</v>
      </c>
      <c r="C25" s="220">
        <v>8</v>
      </c>
      <c r="D25" s="227" t="s">
        <v>36</v>
      </c>
      <c r="E25" s="228">
        <v>1312357.56</v>
      </c>
      <c r="F25" s="221">
        <f t="shared" si="0"/>
        <v>1312357.56</v>
      </c>
      <c r="G25" s="221"/>
      <c r="H25" s="222"/>
    </row>
    <row r="26" s="206" customFormat="1" ht="21" customHeight="1" spans="1:8">
      <c r="A26" s="206">
        <v>3</v>
      </c>
      <c r="B26" s="206" t="s">
        <v>4</v>
      </c>
      <c r="C26" s="220">
        <v>9</v>
      </c>
      <c r="D26" s="227" t="s">
        <v>37</v>
      </c>
      <c r="E26" s="228">
        <v>486200</v>
      </c>
      <c r="F26" s="221">
        <f t="shared" si="0"/>
        <v>486200</v>
      </c>
      <c r="G26" s="221"/>
      <c r="H26" s="222"/>
    </row>
    <row r="27" s="206" customFormat="1" ht="21" customHeight="1" spans="1:8">
      <c r="A27" s="206">
        <v>3</v>
      </c>
      <c r="B27" s="206" t="s">
        <v>4</v>
      </c>
      <c r="C27" s="220">
        <v>10</v>
      </c>
      <c r="D27" s="227" t="s">
        <v>38</v>
      </c>
      <c r="E27" s="228">
        <v>1689910.41</v>
      </c>
      <c r="F27" s="221">
        <f t="shared" si="0"/>
        <v>1689910.41</v>
      </c>
      <c r="G27" s="221"/>
      <c r="H27" s="222"/>
    </row>
    <row r="28" s="206" customFormat="1" ht="21" customHeight="1" spans="1:8">
      <c r="A28" s="206">
        <v>3</v>
      </c>
      <c r="B28" s="206" t="s">
        <v>4</v>
      </c>
      <c r="C28" s="220">
        <v>11</v>
      </c>
      <c r="D28" s="227" t="s">
        <v>39</v>
      </c>
      <c r="E28" s="228">
        <v>19380</v>
      </c>
      <c r="F28" s="221">
        <f t="shared" si="0"/>
        <v>19380</v>
      </c>
      <c r="G28" s="221"/>
      <c r="H28" s="222"/>
    </row>
    <row r="29" s="206" customFormat="1" ht="21" customHeight="1" spans="2:8">
      <c r="B29" s="206" t="s">
        <v>40</v>
      </c>
      <c r="C29" s="220">
        <v>12</v>
      </c>
      <c r="D29" s="227" t="s">
        <v>41</v>
      </c>
      <c r="E29" s="228">
        <v>4253577</v>
      </c>
      <c r="F29" s="221">
        <f>+E29*0.5</f>
        <v>2126788.5</v>
      </c>
      <c r="G29" s="229">
        <f>+E29-F29</f>
        <v>2126788.5</v>
      </c>
      <c r="H29" s="222"/>
    </row>
    <row r="30" s="206" customFormat="1" ht="21" customHeight="1" spans="2:8">
      <c r="B30" s="206" t="s">
        <v>40</v>
      </c>
      <c r="C30" s="220">
        <v>13</v>
      </c>
      <c r="D30" s="227" t="s">
        <v>42</v>
      </c>
      <c r="E30" s="228">
        <v>1980259</v>
      </c>
      <c r="F30" s="221">
        <f t="shared" ref="F30:F44" si="1">+E30*0.5</f>
        <v>990129.5</v>
      </c>
      <c r="G30" s="229">
        <f t="shared" ref="G30:G42" si="2">+E30-F30</f>
        <v>990129.5</v>
      </c>
      <c r="H30" s="222"/>
    </row>
    <row r="31" s="206" customFormat="1" ht="21" customHeight="1" spans="2:8">
      <c r="B31" s="206" t="s">
        <v>40</v>
      </c>
      <c r="C31" s="220">
        <v>14</v>
      </c>
      <c r="D31" s="227" t="s">
        <v>43</v>
      </c>
      <c r="E31" s="228">
        <v>909555</v>
      </c>
      <c r="F31" s="221">
        <f t="shared" si="1"/>
        <v>454777.5</v>
      </c>
      <c r="G31" s="229">
        <f t="shared" si="2"/>
        <v>454777.5</v>
      </c>
      <c r="H31" s="222"/>
    </row>
    <row r="32" s="206" customFormat="1" ht="21" customHeight="1" spans="2:8">
      <c r="B32" s="206" t="s">
        <v>40</v>
      </c>
      <c r="C32" s="220">
        <v>15</v>
      </c>
      <c r="D32" s="227" t="s">
        <v>44</v>
      </c>
      <c r="E32" s="228">
        <v>216500</v>
      </c>
      <c r="F32" s="221">
        <f t="shared" si="1"/>
        <v>108250</v>
      </c>
      <c r="G32" s="229">
        <f t="shared" si="2"/>
        <v>108250</v>
      </c>
      <c r="H32" s="222"/>
    </row>
    <row r="33" s="206" customFormat="1" ht="21" customHeight="1" spans="2:8">
      <c r="B33" s="206" t="s">
        <v>40</v>
      </c>
      <c r="C33" s="220">
        <v>16</v>
      </c>
      <c r="D33" s="227" t="s">
        <v>45</v>
      </c>
      <c r="E33" s="228">
        <v>6000</v>
      </c>
      <c r="F33" s="221">
        <f t="shared" si="1"/>
        <v>3000</v>
      </c>
      <c r="G33" s="229">
        <f t="shared" si="2"/>
        <v>3000</v>
      </c>
      <c r="H33" s="222"/>
    </row>
    <row r="34" s="206" customFormat="1" ht="21" customHeight="1" spans="2:8">
      <c r="B34" s="206" t="s">
        <v>40</v>
      </c>
      <c r="C34" s="220">
        <v>17</v>
      </c>
      <c r="D34" s="227" t="s">
        <v>46</v>
      </c>
      <c r="E34" s="228">
        <v>735921</v>
      </c>
      <c r="F34" s="221">
        <f t="shared" si="1"/>
        <v>367960.5</v>
      </c>
      <c r="G34" s="229">
        <f t="shared" si="2"/>
        <v>367960.5</v>
      </c>
      <c r="H34" s="222"/>
    </row>
    <row r="35" s="206" customFormat="1" ht="21" customHeight="1" spans="2:8">
      <c r="B35" s="206" t="s">
        <v>40</v>
      </c>
      <c r="C35" s="220">
        <v>18</v>
      </c>
      <c r="D35" s="227" t="s">
        <v>47</v>
      </c>
      <c r="E35" s="228">
        <v>304</v>
      </c>
      <c r="F35" s="221">
        <f t="shared" si="1"/>
        <v>152</v>
      </c>
      <c r="G35" s="229">
        <f t="shared" si="2"/>
        <v>152</v>
      </c>
      <c r="H35" s="222"/>
    </row>
    <row r="36" s="206" customFormat="1" ht="21" customHeight="1" spans="2:8">
      <c r="B36" s="206" t="s">
        <v>40</v>
      </c>
      <c r="C36" s="220">
        <v>19</v>
      </c>
      <c r="D36" s="227" t="s">
        <v>48</v>
      </c>
      <c r="E36" s="228">
        <v>3712043</v>
      </c>
      <c r="F36" s="221">
        <f t="shared" si="1"/>
        <v>1856021.5</v>
      </c>
      <c r="G36" s="229">
        <f t="shared" si="2"/>
        <v>1856021.5</v>
      </c>
      <c r="H36" s="222"/>
    </row>
    <row r="37" s="206" customFormat="1" ht="21" customHeight="1" spans="2:8">
      <c r="B37" s="206" t="s">
        <v>40</v>
      </c>
      <c r="C37" s="220">
        <v>20</v>
      </c>
      <c r="D37" s="227" t="s">
        <v>49</v>
      </c>
      <c r="E37" s="228">
        <v>5013</v>
      </c>
      <c r="F37" s="221">
        <f t="shared" si="1"/>
        <v>2506.5</v>
      </c>
      <c r="G37" s="229">
        <f t="shared" si="2"/>
        <v>2506.5</v>
      </c>
      <c r="H37" s="222"/>
    </row>
    <row r="38" s="206" customFormat="1" ht="21" customHeight="1" spans="2:8">
      <c r="B38" s="206" t="s">
        <v>40</v>
      </c>
      <c r="C38" s="220">
        <v>21</v>
      </c>
      <c r="D38" s="227" t="s">
        <v>50</v>
      </c>
      <c r="E38" s="228">
        <v>4035014</v>
      </c>
      <c r="F38" s="221">
        <f t="shared" si="1"/>
        <v>2017507</v>
      </c>
      <c r="G38" s="229">
        <f t="shared" si="2"/>
        <v>2017507</v>
      </c>
      <c r="H38" s="222"/>
    </row>
    <row r="39" s="206" customFormat="1" ht="21" customHeight="1" spans="2:8">
      <c r="B39" s="206" t="s">
        <v>40</v>
      </c>
      <c r="C39" s="220">
        <v>22</v>
      </c>
      <c r="D39" s="227" t="s">
        <v>51</v>
      </c>
      <c r="E39" s="228">
        <v>357506</v>
      </c>
      <c r="F39" s="221">
        <f t="shared" si="1"/>
        <v>178753</v>
      </c>
      <c r="G39" s="229">
        <f t="shared" si="2"/>
        <v>178753</v>
      </c>
      <c r="H39" s="222"/>
    </row>
    <row r="40" s="206" customFormat="1" ht="21" customHeight="1" spans="2:8">
      <c r="B40" s="206" t="s">
        <v>40</v>
      </c>
      <c r="C40" s="220">
        <v>23</v>
      </c>
      <c r="D40" s="227" t="s">
        <v>52</v>
      </c>
      <c r="E40" s="228">
        <v>298473.74</v>
      </c>
      <c r="F40" s="221">
        <f t="shared" si="1"/>
        <v>149236.87</v>
      </c>
      <c r="G40" s="229">
        <f t="shared" si="2"/>
        <v>149236.87</v>
      </c>
      <c r="H40" s="222"/>
    </row>
    <row r="41" s="206" customFormat="1" ht="21" customHeight="1" spans="2:8">
      <c r="B41" s="206" t="s">
        <v>40</v>
      </c>
      <c r="C41" s="220">
        <v>24</v>
      </c>
      <c r="D41" s="227" t="s">
        <v>53</v>
      </c>
      <c r="E41" s="228">
        <v>1737757</v>
      </c>
      <c r="F41" s="221">
        <f t="shared" si="1"/>
        <v>868878.5</v>
      </c>
      <c r="G41" s="229">
        <f t="shared" si="2"/>
        <v>868878.5</v>
      </c>
      <c r="H41" s="222"/>
    </row>
    <row r="42" s="206" customFormat="1" ht="21" customHeight="1" spans="2:8">
      <c r="B42" s="206" t="s">
        <v>40</v>
      </c>
      <c r="C42" s="220">
        <v>25</v>
      </c>
      <c r="D42" s="227" t="s">
        <v>54</v>
      </c>
      <c r="E42" s="228">
        <v>429773</v>
      </c>
      <c r="F42" s="221">
        <f t="shared" si="1"/>
        <v>214886.5</v>
      </c>
      <c r="G42" s="229">
        <f t="shared" si="2"/>
        <v>214886.5</v>
      </c>
      <c r="H42" s="222"/>
    </row>
    <row r="43" s="206" customFormat="1" ht="21" customHeight="1" spans="1:8">
      <c r="A43" s="206">
        <v>5</v>
      </c>
      <c r="B43" s="206" t="s">
        <v>55</v>
      </c>
      <c r="C43" s="220">
        <v>26</v>
      </c>
      <c r="D43" s="227" t="s">
        <v>56</v>
      </c>
      <c r="E43" s="228">
        <v>1462463.92</v>
      </c>
      <c r="F43" s="221">
        <f t="shared" si="1"/>
        <v>731231.96</v>
      </c>
      <c r="G43" s="221"/>
      <c r="H43" s="222">
        <f>+E43-F43</f>
        <v>731231.96</v>
      </c>
    </row>
    <row r="44" s="206" customFormat="1" ht="21" customHeight="1" spans="1:8">
      <c r="A44" s="206">
        <v>5</v>
      </c>
      <c r="B44" s="206" t="s">
        <v>57</v>
      </c>
      <c r="C44" s="220">
        <v>27</v>
      </c>
      <c r="D44" s="227" t="s">
        <v>58</v>
      </c>
      <c r="E44" s="228">
        <v>80000</v>
      </c>
      <c r="F44" s="221">
        <f t="shared" si="1"/>
        <v>40000</v>
      </c>
      <c r="G44" s="221"/>
      <c r="H44" s="222">
        <f>+E44-F44</f>
        <v>40000</v>
      </c>
    </row>
    <row r="45" s="206" customFormat="1" ht="21" customHeight="1" spans="1:8">
      <c r="A45" s="206">
        <v>6</v>
      </c>
      <c r="B45" s="206" t="s">
        <v>5</v>
      </c>
      <c r="C45" s="220">
        <v>28</v>
      </c>
      <c r="D45" s="227" t="s">
        <v>59</v>
      </c>
      <c r="E45" s="228">
        <v>100000</v>
      </c>
      <c r="F45" s="221"/>
      <c r="G45" s="221">
        <f>+E45</f>
        <v>100000</v>
      </c>
      <c r="H45" s="222"/>
    </row>
    <row r="46" s="206" customFormat="1" ht="21" customHeight="1" spans="1:8">
      <c r="A46" s="206">
        <v>6</v>
      </c>
      <c r="B46" s="206" t="s">
        <v>5</v>
      </c>
      <c r="C46" s="220">
        <v>29</v>
      </c>
      <c r="D46" s="227" t="s">
        <v>60</v>
      </c>
      <c r="E46" s="228">
        <v>600000</v>
      </c>
      <c r="F46" s="221"/>
      <c r="G46" s="221">
        <f t="shared" ref="G46:G56" si="3">+E46</f>
        <v>600000</v>
      </c>
      <c r="H46" s="222"/>
    </row>
    <row r="47" s="206" customFormat="1" ht="21" customHeight="1" spans="1:8">
      <c r="A47" s="206">
        <v>6</v>
      </c>
      <c r="B47" s="206" t="s">
        <v>5</v>
      </c>
      <c r="C47" s="220">
        <v>30</v>
      </c>
      <c r="D47" s="227" t="s">
        <v>61</v>
      </c>
      <c r="E47" s="228">
        <v>324377</v>
      </c>
      <c r="F47" s="221"/>
      <c r="G47" s="221">
        <f t="shared" si="3"/>
        <v>324377</v>
      </c>
      <c r="H47" s="222"/>
    </row>
    <row r="48" s="206" customFormat="1" ht="21" customHeight="1" spans="1:8">
      <c r="A48" s="206">
        <v>6</v>
      </c>
      <c r="B48" s="206" t="s">
        <v>5</v>
      </c>
      <c r="C48" s="220">
        <v>31</v>
      </c>
      <c r="D48" s="227" t="s">
        <v>62</v>
      </c>
      <c r="E48" s="228">
        <v>407500</v>
      </c>
      <c r="F48" s="221"/>
      <c r="G48" s="221">
        <f t="shared" si="3"/>
        <v>407500</v>
      </c>
      <c r="H48" s="222"/>
    </row>
    <row r="49" s="206" customFormat="1" ht="21" customHeight="1" spans="1:8">
      <c r="A49" s="206">
        <v>6</v>
      </c>
      <c r="B49" s="206" t="s">
        <v>5</v>
      </c>
      <c r="C49" s="220">
        <v>32</v>
      </c>
      <c r="D49" s="227" t="s">
        <v>63</v>
      </c>
      <c r="E49" s="228">
        <v>51267</v>
      </c>
      <c r="F49" s="221"/>
      <c r="G49" s="221">
        <f t="shared" si="3"/>
        <v>51267</v>
      </c>
      <c r="H49" s="222"/>
    </row>
    <row r="50" s="206" customFormat="1" ht="21" customHeight="1" spans="1:8">
      <c r="A50" s="206">
        <v>6</v>
      </c>
      <c r="B50" s="206" t="s">
        <v>5</v>
      </c>
      <c r="C50" s="220">
        <v>33</v>
      </c>
      <c r="D50" s="227" t="s">
        <v>64</v>
      </c>
      <c r="E50" s="228">
        <v>75293</v>
      </c>
      <c r="F50" s="221"/>
      <c r="G50" s="221">
        <f t="shared" si="3"/>
        <v>75293</v>
      </c>
      <c r="H50" s="222"/>
    </row>
    <row r="51" s="206" customFormat="1" ht="21" customHeight="1" spans="1:8">
      <c r="A51" s="206">
        <v>6</v>
      </c>
      <c r="B51" s="206" t="s">
        <v>5</v>
      </c>
      <c r="C51" s="220">
        <v>34</v>
      </c>
      <c r="D51" s="227" t="s">
        <v>65</v>
      </c>
      <c r="E51" s="228">
        <v>330924</v>
      </c>
      <c r="F51" s="221"/>
      <c r="G51" s="221">
        <f t="shared" si="3"/>
        <v>330924</v>
      </c>
      <c r="H51" s="222"/>
    </row>
    <row r="52" s="206" customFormat="1" ht="21" customHeight="1" spans="1:8">
      <c r="A52" s="206">
        <v>6</v>
      </c>
      <c r="B52" s="206" t="s">
        <v>5</v>
      </c>
      <c r="C52" s="220">
        <v>35</v>
      </c>
      <c r="D52" s="227" t="s">
        <v>66</v>
      </c>
      <c r="E52" s="228">
        <v>651406.41</v>
      </c>
      <c r="F52" s="221"/>
      <c r="G52" s="221">
        <f t="shared" si="3"/>
        <v>651406.41</v>
      </c>
      <c r="H52" s="222"/>
    </row>
    <row r="53" s="206" customFormat="1" ht="21" customHeight="1" spans="1:8">
      <c r="A53" s="206">
        <v>6</v>
      </c>
      <c r="B53" s="206" t="s">
        <v>5</v>
      </c>
      <c r="C53" s="220">
        <v>36</v>
      </c>
      <c r="D53" s="227" t="s">
        <v>67</v>
      </c>
      <c r="E53" s="228">
        <v>83830</v>
      </c>
      <c r="F53" s="221"/>
      <c r="G53" s="221">
        <f t="shared" si="3"/>
        <v>83830</v>
      </c>
      <c r="H53" s="222"/>
    </row>
    <row r="54" s="206" customFormat="1" ht="21" customHeight="1" spans="1:8">
      <c r="A54" s="206">
        <v>6</v>
      </c>
      <c r="B54" s="206" t="s">
        <v>5</v>
      </c>
      <c r="C54" s="220">
        <v>37</v>
      </c>
      <c r="D54" s="227" t="s">
        <v>68</v>
      </c>
      <c r="E54" s="228">
        <v>6250</v>
      </c>
      <c r="F54" s="221"/>
      <c r="G54" s="221">
        <f t="shared" si="3"/>
        <v>6250</v>
      </c>
      <c r="H54" s="222"/>
    </row>
    <row r="55" s="206" customFormat="1" ht="21" customHeight="1" spans="1:8">
      <c r="A55" s="206">
        <v>6</v>
      </c>
      <c r="B55" s="206" t="s">
        <v>5</v>
      </c>
      <c r="C55" s="220">
        <v>38</v>
      </c>
      <c r="D55" s="227" t="s">
        <v>69</v>
      </c>
      <c r="E55" s="228">
        <v>81447</v>
      </c>
      <c r="F55" s="221"/>
      <c r="G55" s="221">
        <f t="shared" si="3"/>
        <v>81447</v>
      </c>
      <c r="H55" s="222"/>
    </row>
    <row r="56" s="206" customFormat="1" ht="21" customHeight="1" spans="1:8">
      <c r="A56" s="206">
        <v>6</v>
      </c>
      <c r="B56" s="206" t="s">
        <v>5</v>
      </c>
      <c r="C56" s="220">
        <v>39</v>
      </c>
      <c r="D56" s="227" t="s">
        <v>70</v>
      </c>
      <c r="E56" s="228">
        <v>73969.08</v>
      </c>
      <c r="F56" s="221"/>
      <c r="G56" s="221">
        <f t="shared" si="3"/>
        <v>73969.08</v>
      </c>
      <c r="H56" s="222"/>
    </row>
    <row r="57" s="206" customFormat="1" ht="21" customHeight="1" spans="1:8">
      <c r="A57" s="206">
        <v>7</v>
      </c>
      <c r="B57" s="206" t="s">
        <v>6</v>
      </c>
      <c r="C57" s="220">
        <v>40</v>
      </c>
      <c r="D57" s="227" t="s">
        <v>71</v>
      </c>
      <c r="E57" s="228">
        <v>1258176</v>
      </c>
      <c r="F57" s="221"/>
      <c r="G57" s="221"/>
      <c r="H57" s="222">
        <f>+E57</f>
        <v>1258176</v>
      </c>
    </row>
    <row r="58" s="206" customFormat="1" ht="21" customHeight="1" spans="1:8">
      <c r="A58" s="206">
        <v>7</v>
      </c>
      <c r="B58" s="206" t="s">
        <v>6</v>
      </c>
      <c r="C58" s="220">
        <v>41</v>
      </c>
      <c r="D58" s="227" t="s">
        <v>72</v>
      </c>
      <c r="E58" s="228">
        <f>8145.15+900+3016</f>
        <v>12061.15</v>
      </c>
      <c r="F58" s="221"/>
      <c r="G58" s="221"/>
      <c r="H58" s="222">
        <f t="shared" ref="H58:H65" si="4">+E58</f>
        <v>12061.15</v>
      </c>
    </row>
    <row r="59" s="206" customFormat="1" ht="21" customHeight="1" spans="1:11">
      <c r="A59" s="206">
        <v>7</v>
      </c>
      <c r="B59" s="206" t="s">
        <v>6</v>
      </c>
      <c r="C59" s="220">
        <v>42</v>
      </c>
      <c r="D59" s="227" t="s">
        <v>73</v>
      </c>
      <c r="E59" s="228">
        <v>9197688.09</v>
      </c>
      <c r="F59" s="221"/>
      <c r="G59" s="221"/>
      <c r="H59" s="222">
        <f t="shared" si="4"/>
        <v>9197688.09</v>
      </c>
      <c r="K59" s="208"/>
    </row>
    <row r="60" s="206" customFormat="1" ht="21" customHeight="1" spans="1:8">
      <c r="A60" s="206">
        <v>7</v>
      </c>
      <c r="B60" s="206" t="s">
        <v>6</v>
      </c>
      <c r="C60" s="220">
        <v>43</v>
      </c>
      <c r="D60" s="227" t="s">
        <v>74</v>
      </c>
      <c r="E60" s="228">
        <v>660953</v>
      </c>
      <c r="F60" s="221"/>
      <c r="G60" s="221"/>
      <c r="H60" s="222">
        <f t="shared" si="4"/>
        <v>660953</v>
      </c>
    </row>
    <row r="61" s="206" customFormat="1" ht="21" customHeight="1" spans="1:8">
      <c r="A61" s="206">
        <v>7</v>
      </c>
      <c r="B61" s="206" t="s">
        <v>6</v>
      </c>
      <c r="C61" s="220">
        <v>44</v>
      </c>
      <c r="D61" s="227" t="s">
        <v>75</v>
      </c>
      <c r="E61" s="228">
        <v>270688.77</v>
      </c>
      <c r="F61" s="221"/>
      <c r="G61" s="221"/>
      <c r="H61" s="222">
        <f t="shared" si="4"/>
        <v>270688.77</v>
      </c>
    </row>
    <row r="62" s="206" customFormat="1" ht="21" customHeight="1" spans="1:8">
      <c r="A62" s="206">
        <v>7</v>
      </c>
      <c r="B62" s="206" t="s">
        <v>6</v>
      </c>
      <c r="C62" s="220">
        <v>45</v>
      </c>
      <c r="D62" s="227" t="s">
        <v>76</v>
      </c>
      <c r="E62" s="228">
        <v>-14427.33</v>
      </c>
      <c r="F62" s="221"/>
      <c r="G62" s="221"/>
      <c r="H62" s="222">
        <f t="shared" si="4"/>
        <v>-14427.33</v>
      </c>
    </row>
    <row r="63" s="206" customFormat="1" ht="21" customHeight="1" spans="1:8">
      <c r="A63" s="206">
        <v>7</v>
      </c>
      <c r="B63" s="206" t="s">
        <v>6</v>
      </c>
      <c r="C63" s="220">
        <v>46</v>
      </c>
      <c r="D63" s="227" t="s">
        <v>77</v>
      </c>
      <c r="E63" s="228">
        <v>1116632</v>
      </c>
      <c r="F63" s="221"/>
      <c r="G63" s="221"/>
      <c r="H63" s="222">
        <f t="shared" si="4"/>
        <v>1116632</v>
      </c>
    </row>
    <row r="64" s="206" customFormat="1" ht="21" customHeight="1" spans="1:8">
      <c r="A64" s="206">
        <v>7</v>
      </c>
      <c r="B64" s="206" t="s">
        <v>6</v>
      </c>
      <c r="C64" s="220">
        <v>47</v>
      </c>
      <c r="D64" s="227" t="s">
        <v>78</v>
      </c>
      <c r="E64" s="228">
        <v>486691.56</v>
      </c>
      <c r="F64" s="221"/>
      <c r="G64" s="221"/>
      <c r="H64" s="222">
        <f t="shared" si="4"/>
        <v>486691.56</v>
      </c>
    </row>
    <row r="65" s="206" customFormat="1" ht="21" customHeight="1" spans="1:8">
      <c r="A65" s="206">
        <v>7</v>
      </c>
      <c r="B65" s="206" t="s">
        <v>6</v>
      </c>
      <c r="C65" s="220">
        <v>48</v>
      </c>
      <c r="D65" s="227" t="s">
        <v>79</v>
      </c>
      <c r="E65" s="228">
        <v>3344502.78</v>
      </c>
      <c r="F65" s="221"/>
      <c r="G65" s="221"/>
      <c r="H65" s="222">
        <f t="shared" si="4"/>
        <v>3344502.78</v>
      </c>
    </row>
    <row r="66" s="206" customFormat="1" ht="21" customHeight="1" spans="3:8">
      <c r="C66" s="220" t="s">
        <v>80</v>
      </c>
      <c r="D66" s="227" t="s">
        <v>81</v>
      </c>
      <c r="E66" s="228"/>
      <c r="F66" s="221">
        <f>SUM(F18:F65)</f>
        <v>15736323.42</v>
      </c>
      <c r="G66" s="221"/>
      <c r="H66" s="222"/>
    </row>
    <row r="67" s="206" customFormat="1" ht="21" customHeight="1" spans="3:8">
      <c r="C67" s="220" t="s">
        <v>82</v>
      </c>
      <c r="D67" s="215" t="s">
        <v>83</v>
      </c>
      <c r="E67" s="228"/>
      <c r="F67" s="230">
        <f>+F66/$H$15</f>
        <v>0.123564528953039</v>
      </c>
      <c r="G67" s="221"/>
      <c r="H67" s="222"/>
    </row>
    <row r="68" s="206" customFormat="1" ht="21" customHeight="1" spans="3:8">
      <c r="C68" s="220" t="s">
        <v>84</v>
      </c>
      <c r="D68" s="215" t="s">
        <v>85</v>
      </c>
      <c r="E68" s="228"/>
      <c r="F68" s="231">
        <f>+F66+$H$15</f>
        <v>143089404.06</v>
      </c>
      <c r="G68" s="221"/>
      <c r="H68" s="222"/>
    </row>
    <row r="69" s="206" customFormat="1" ht="21" customHeight="1" spans="3:8">
      <c r="C69" s="220" t="s">
        <v>86</v>
      </c>
      <c r="D69" s="227" t="s">
        <v>87</v>
      </c>
      <c r="E69" s="228"/>
      <c r="F69" s="231"/>
      <c r="G69" s="221">
        <f>SUM(G18:G65)</f>
        <v>12125111.36</v>
      </c>
      <c r="H69" s="216"/>
    </row>
    <row r="70" s="206" customFormat="1" ht="21" customHeight="1" spans="3:8">
      <c r="C70" s="220" t="s">
        <v>88</v>
      </c>
      <c r="D70" s="227" t="s">
        <v>89</v>
      </c>
      <c r="E70" s="228"/>
      <c r="F70" s="231"/>
      <c r="G70" s="230">
        <f>+G69/F68</f>
        <v>0.0847380100549983</v>
      </c>
      <c r="H70" s="216"/>
    </row>
    <row r="71" s="206" customFormat="1" ht="21" customHeight="1" spans="3:8">
      <c r="C71" s="220" t="s">
        <v>90</v>
      </c>
      <c r="D71" s="227" t="s">
        <v>91</v>
      </c>
      <c r="E71" s="228"/>
      <c r="F71" s="231"/>
      <c r="G71" s="232">
        <f>+G69+F68</f>
        <v>155214515.42</v>
      </c>
      <c r="H71" s="216"/>
    </row>
    <row r="72" s="206" customFormat="1" ht="21" customHeight="1" spans="3:8">
      <c r="C72" s="220" t="s">
        <v>92</v>
      </c>
      <c r="D72" s="227" t="s">
        <v>93</v>
      </c>
      <c r="E72" s="228"/>
      <c r="F72" s="231"/>
      <c r="G72" s="232"/>
      <c r="H72" s="222">
        <f>SUM(H18:H65)</f>
        <v>17104197.98</v>
      </c>
    </row>
    <row r="73" s="206" customFormat="1" ht="21" customHeight="1" spans="3:8">
      <c r="C73" s="233" t="s">
        <v>94</v>
      </c>
      <c r="D73" s="234" t="s">
        <v>95</v>
      </c>
      <c r="E73" s="235"/>
      <c r="F73" s="236"/>
      <c r="G73" s="236"/>
      <c r="H73" s="237">
        <f>+H72/(G71)</f>
        <v>0.110197154781028</v>
      </c>
    </row>
    <row r="74" s="206" customFormat="1" ht="21" customHeight="1" spans="3:8">
      <c r="C74" s="206" t="s">
        <v>96</v>
      </c>
      <c r="D74" s="238" t="s">
        <v>97</v>
      </c>
      <c r="G74" s="239"/>
      <c r="H74" s="240">
        <f>+G71+H72</f>
        <v>172318713.4</v>
      </c>
    </row>
    <row r="75" spans="7:7">
      <c r="G75" s="241"/>
    </row>
  </sheetData>
  <mergeCells count="5">
    <mergeCell ref="C12:H12"/>
    <mergeCell ref="D13:G13"/>
    <mergeCell ref="D14:G14"/>
    <mergeCell ref="D15:G15"/>
    <mergeCell ref="C16:H16"/>
  </mergeCells>
  <pageMargins left="1" right="0.7" top="1" bottom="1" header="0.31496062992126" footer="1"/>
  <pageSetup paperSize="9" scale="95" orientation="portrait" verticalDpi="144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XFA10000"/>
  <sheetViews>
    <sheetView view="pageBreakPreview" zoomScale="106" zoomScaleNormal="100" topLeftCell="B1" workbookViewId="0">
      <selection activeCell="G7" sqref="G7"/>
    </sheetView>
  </sheetViews>
  <sheetFormatPr defaultColWidth="9" defaultRowHeight="14.4"/>
  <cols>
    <col min="2" max="2" width="6.33333333333333" customWidth="1"/>
    <col min="3" max="3" width="21.8888888888889" customWidth="1"/>
    <col min="4" max="4" width="7" customWidth="1"/>
    <col min="5" max="5" width="9.44444444444444" customWidth="1"/>
    <col min="6" max="6" width="4" customWidth="1"/>
    <col min="7" max="7" width="9.44444444444444" customWidth="1"/>
    <col min="8" max="8" width="2.88888888888889" customWidth="1"/>
    <col min="9" max="9" width="8.55555555555556" customWidth="1"/>
    <col min="10" max="10" width="3.33333333333333" customWidth="1"/>
    <col min="11" max="11" width="8.44444444444444" customWidth="1"/>
    <col min="12" max="12" width="4" customWidth="1"/>
    <col min="13" max="13" width="6.66666666666667" customWidth="1"/>
    <col min="14" max="14" width="2.11111111111111" customWidth="1"/>
    <col min="15" max="15" width="9.11111111111111" customWidth="1"/>
    <col min="16" max="16" width="11" customWidth="1"/>
    <col min="17" max="21" width="9.11111111111111" customWidth="1"/>
    <col min="22" max="22" width="11.5555555555556" customWidth="1"/>
    <col min="23" max="24" width="9.11111111111111" customWidth="1"/>
    <col min="27" max="30" width="9" hidden="1" customWidth="1"/>
  </cols>
  <sheetData>
    <row r="1" ht="26.25" customHeight="1" spans="2:10">
      <c r="B1" s="118" t="str">
        <f>"Costing Sheet for "&amp;D2&amp;" - "&amp;D3</f>
        <v>Costing Sheet for Oinment - Belladonna</v>
      </c>
      <c r="C1" s="119"/>
      <c r="D1" s="119"/>
      <c r="E1" s="119"/>
      <c r="F1" s="119"/>
      <c r="G1" s="119"/>
      <c r="H1" s="119"/>
      <c r="I1" s="119"/>
      <c r="J1" s="163"/>
    </row>
    <row r="2" s="117" customFormat="1" ht="21" customHeight="1" spans="2:31">
      <c r="B2" s="120" t="s">
        <v>98</v>
      </c>
      <c r="C2" s="121"/>
      <c r="D2" s="122" t="s">
        <v>99</v>
      </c>
      <c r="E2" s="122"/>
      <c r="F2" s="122"/>
      <c r="G2" s="122"/>
      <c r="H2" s="122"/>
      <c r="I2" s="122"/>
      <c r="J2" s="164"/>
      <c r="P2" s="165"/>
      <c r="Q2" s="196"/>
      <c r="R2" s="196"/>
      <c r="S2" s="197" t="s">
        <v>100</v>
      </c>
      <c r="T2" s="196"/>
      <c r="U2" s="196"/>
      <c r="V2" s="196"/>
      <c r="W2" s="198"/>
      <c r="AE2" s="117" t="str">
        <f>+'Packing Material - Cost'!A3</f>
        <v>Glass Bottle  100ml</v>
      </c>
    </row>
    <row r="3" s="117" customFormat="1" ht="21" customHeight="1" spans="2:31">
      <c r="B3" s="123" t="s">
        <v>101</v>
      </c>
      <c r="C3" s="124"/>
      <c r="D3" s="98" t="s">
        <v>102</v>
      </c>
      <c r="E3" s="125"/>
      <c r="F3" s="126" t="str">
        <f>+IF($D$2="Dilution","Select Potency:"," ")</f>
        <v> </v>
      </c>
      <c r="G3" s="126"/>
      <c r="H3" s="126"/>
      <c r="I3" s="132">
        <v>200</v>
      </c>
      <c r="J3" s="166"/>
      <c r="P3" s="167"/>
      <c r="Q3" s="199" t="s">
        <v>103</v>
      </c>
      <c r="R3" s="199" t="s">
        <v>104</v>
      </c>
      <c r="S3" s="199" t="s">
        <v>105</v>
      </c>
      <c r="T3" s="200"/>
      <c r="U3" s="201"/>
      <c r="W3" s="202"/>
      <c r="AA3" s="117" t="str">
        <f>+'Ingredient List - Mother Tinctu'!D4</f>
        <v>Abies Can.</v>
      </c>
      <c r="AB3" s="117">
        <f>--ISNUMBER(IFERROR(SEARCH($D$3,AA3,1),""))</f>
        <v>0</v>
      </c>
      <c r="AC3" s="117" t="str">
        <f>IF(AB3=1,COUNTIF($AB$3:AB3,1),"")</f>
        <v/>
      </c>
      <c r="AD3" s="117" t="str">
        <f>IFERROR(INDEX($AA$3:$AA$10000,MATCH(ROWS($AC$3:AC3),$AC$3:$AC$10000,0)),"")</f>
        <v>Belladonna</v>
      </c>
      <c r="AE3" s="117" t="str">
        <f>+'Packing Material - Cost'!A4</f>
        <v>Glass Bottle 30ml</v>
      </c>
    </row>
    <row r="4" s="117" customFormat="1" ht="21" customHeight="1" spans="2:31">
      <c r="B4" s="127" t="s">
        <v>106</v>
      </c>
      <c r="C4" s="128"/>
      <c r="D4" s="129">
        <v>50</v>
      </c>
      <c r="E4" s="130" t="str">
        <f>+VLOOKUP($D$2,$Q$4:$T$11,2,FALSE)</f>
        <v>Kg</v>
      </c>
      <c r="F4" s="130"/>
      <c r="G4" s="130"/>
      <c r="H4" s="130"/>
      <c r="I4" s="130"/>
      <c r="J4" s="168"/>
      <c r="L4" s="169"/>
      <c r="M4" s="169"/>
      <c r="N4" s="169"/>
      <c r="P4" s="167"/>
      <c r="Q4" s="109" t="s">
        <v>107</v>
      </c>
      <c r="R4" s="109" t="s">
        <v>108</v>
      </c>
      <c r="S4" s="109" t="s">
        <v>109</v>
      </c>
      <c r="T4" s="152"/>
      <c r="W4" s="202"/>
      <c r="AA4" s="117" t="str">
        <f>+'Ingredient List - Mother Tinctu'!D5</f>
        <v>Abroma Aug.</v>
      </c>
      <c r="AB4" s="117">
        <f t="shared" ref="AB4:AB67" si="0">--ISNUMBER(IFERROR(SEARCH($D$3,AA4,1),""))</f>
        <v>0</v>
      </c>
      <c r="AC4" s="117" t="str">
        <f>IF(AB4=1,COUNTIF($AB$3:AB4,1),"")</f>
        <v/>
      </c>
      <c r="AD4" s="117" t="str">
        <f>IFERROR(INDEX($AA$3:$AA$10000,MATCH(ROWS($AC$3:AC4),$AC$3:$AC$10000,0)),"")</f>
        <v>Belladonna</v>
      </c>
      <c r="AE4" s="117" t="str">
        <f>+'Packing Material - Cost'!A5</f>
        <v>Tube 10g</v>
      </c>
    </row>
    <row r="5" s="117" customFormat="1" ht="18" customHeight="1" spans="2:31">
      <c r="B5" s="131" t="s">
        <v>110</v>
      </c>
      <c r="C5" s="132" t="s">
        <v>111</v>
      </c>
      <c r="D5" s="132"/>
      <c r="E5" s="132" t="s">
        <v>112</v>
      </c>
      <c r="F5" s="132"/>
      <c r="G5" s="133" t="s">
        <v>113</v>
      </c>
      <c r="H5" s="133"/>
      <c r="I5" s="133" t="s">
        <v>114</v>
      </c>
      <c r="J5" s="170"/>
      <c r="K5" s="171"/>
      <c r="L5" s="169"/>
      <c r="M5" s="169"/>
      <c r="N5" s="169"/>
      <c r="P5" s="167"/>
      <c r="Q5" s="109" t="s">
        <v>115</v>
      </c>
      <c r="R5" s="109" t="s">
        <v>108</v>
      </c>
      <c r="S5" s="109" t="s">
        <v>109</v>
      </c>
      <c r="T5" s="152"/>
      <c r="W5" s="202"/>
      <c r="AA5" s="117" t="str">
        <f>+'Ingredient List - Mother Tinctu'!D6</f>
        <v>Abroma Radix.</v>
      </c>
      <c r="AB5" s="117">
        <f t="shared" si="0"/>
        <v>0</v>
      </c>
      <c r="AC5" s="117" t="str">
        <f>IF(AB5=1,COUNTIF($AB$3:AB5,1),"")</f>
        <v/>
      </c>
      <c r="AD5" s="117" t="str">
        <f>IFERROR(INDEX($AA$3:$AA$10000,MATCH(ROWS($AC$3:AC5),$AC$3:$AC$10000,0)),"")</f>
        <v>Belladonna</v>
      </c>
      <c r="AE5" s="117" t="str">
        <f>+'Packing Material - Cost'!A6</f>
        <v>Blister 3g</v>
      </c>
    </row>
    <row r="6" s="117" customFormat="1" ht="26.25" customHeight="1" spans="2:31">
      <c r="B6" s="134"/>
      <c r="C6" s="132"/>
      <c r="D6" s="132"/>
      <c r="E6" s="132" t="s">
        <v>116</v>
      </c>
      <c r="F6" s="132"/>
      <c r="G6" s="133" t="s">
        <v>117</v>
      </c>
      <c r="H6" s="133"/>
      <c r="I6" s="133" t="s">
        <v>117</v>
      </c>
      <c r="J6" s="170"/>
      <c r="L6" s="67"/>
      <c r="M6" s="67"/>
      <c r="N6" s="67"/>
      <c r="P6" s="167"/>
      <c r="Q6" s="109" t="s">
        <v>99</v>
      </c>
      <c r="R6" s="109" t="s">
        <v>118</v>
      </c>
      <c r="S6" s="109" t="s">
        <v>86</v>
      </c>
      <c r="T6" s="152"/>
      <c r="W6" s="202"/>
      <c r="AA6" s="117" t="str">
        <f>+'Ingredient List - Mother Tinctu'!D7</f>
        <v>Acid Benz.</v>
      </c>
      <c r="AB6" s="117">
        <f t="shared" si="0"/>
        <v>0</v>
      </c>
      <c r="AC6" s="117" t="str">
        <f>IF(AB6=1,COUNTIF($AB$3:AB6,1),"")</f>
        <v/>
      </c>
      <c r="AD6" s="117" t="str">
        <f>IFERROR(INDEX($AA$3:$AA$10000,MATCH(ROWS($AC$3:AC6),$AC$3:$AC$10000,0)),"")</f>
        <v>Belladonna</v>
      </c>
      <c r="AE6" s="117" t="str">
        <f>+'Packing Material - Cost'!A7</f>
        <v>Container 20g</v>
      </c>
    </row>
    <row r="7" s="117" customFormat="1" ht="21" customHeight="1" spans="2:31">
      <c r="B7" s="134"/>
      <c r="C7" s="135" t="str">
        <f>+(IF((+VLOOKUP($D$2&amp;$D$3,'Ingredient List - Mother Tinctu'!$B$1:$M$2034,'Ingredient List - Mother Tinctu'!$D$3,FALSE)=0),"Nil",(+VLOOKUP($D$2&amp;$D$3,'Ingredient List - Mother Tinctu'!$B$1:$M$2034,'Ingredient List - Mother Tinctu'!$E$3,FALSE))))</f>
        <v>Belladonna</v>
      </c>
      <c r="D7" s="135" t="str">
        <f>+IF(D2="Mother Tincture"," ","(MT)")</f>
        <v>(MT)</v>
      </c>
      <c r="E7" s="136">
        <f>+IF((VLOOKUP($D$2&amp;$D$3,'Ingredient List - Mother Tinctu'!$B$4:$P$2034,'Ingredient List - Mother Tinctu'!K$3,FALSE)=0),0,VLOOKUP($D$2&amp;$D$3,'Ingredient List - Mother Tinctu'!$B$4:$P$2034,'Ingredient List - Mother Tinctu'!K$3,FALSE))</f>
        <v>0.03</v>
      </c>
      <c r="F7" s="137"/>
      <c r="G7" s="138">
        <f>IF((D2="Globule"),(VLOOKUP($C$7,'RM Price list'!$B$3:$C$1048576,2,FALSE)),(IF(D2="Bio Chemic",(VLOOKUP($D$3,'RM Price list'!$B$307:$C$318,2,FALSE)),IF((D2="Tituration"),(VLOOKUP($D$3,'RM Price list'!$B$246:$C$306,2,FALSE)),IF(D2="Dilution",VLOOKUP($I$3,$Q$14:$S$16,3,FALSE),IF(D2="Mother Tincture",(IF($D$2="Mother Tincture",(VLOOKUP(C$7,'RM Price list'!$B$3:$C$1048576,2,FALSE)),(Mothertincture!E25))),Mothertincture!E25))))))</f>
        <v>296.593193082844</v>
      </c>
      <c r="H7" s="130" t="str">
        <f>+IF(C7="","","/-")</f>
        <v>/-</v>
      </c>
      <c r="I7" s="138">
        <f t="shared" ref="I7:I8" si="1">+$D$4*E7*G7</f>
        <v>444.889789624266</v>
      </c>
      <c r="J7" s="168" t="str">
        <f>+IF(C7="","","/-")</f>
        <v>/-</v>
      </c>
      <c r="K7" s="172"/>
      <c r="L7" s="169"/>
      <c r="M7" s="173"/>
      <c r="N7" s="169"/>
      <c r="P7" s="167"/>
      <c r="Q7" s="109" t="s">
        <v>119</v>
      </c>
      <c r="R7" s="109" t="s">
        <v>108</v>
      </c>
      <c r="S7" s="109" t="s">
        <v>109</v>
      </c>
      <c r="T7" s="152"/>
      <c r="W7" s="202"/>
      <c r="AA7" s="117" t="str">
        <f>+'Ingredient List - Mother Tinctu'!D8</f>
        <v>Acid Citric</v>
      </c>
      <c r="AB7" s="117">
        <f t="shared" si="0"/>
        <v>0</v>
      </c>
      <c r="AC7" s="117" t="str">
        <f>IF(AB7=1,COUNTIF($AB$3:AB7,1),"")</f>
        <v/>
      </c>
      <c r="AD7" s="117" t="str">
        <f>IFERROR(INDEX($AA$3:$AA$10000,MATCH(ROWS($AC$3:AC7),$AC$3:$AC$10000,0)),"")</f>
        <v/>
      </c>
      <c r="AE7" s="117" t="str">
        <f>+'Packing Material - Cost'!A8</f>
        <v>Container 500g</v>
      </c>
    </row>
    <row r="8" s="117" customFormat="1" ht="16.5" customHeight="1" spans="2:31">
      <c r="B8" s="134"/>
      <c r="C8" s="135" t="str">
        <f>IF((+VLOOKUP($D$2&amp;$D$3,'Ingredient List - Mother Tinctu'!$B$1:$M$2034,'Ingredient List - Mother Tinctu'!$F$3,FALSE)=0),"Nil",(+VLOOKUP($D$2&amp;$D$3,'Ingredient List - Mother Tinctu'!$B$1:$M$2034,'Ingredient List - Mother Tinctu'!$F$3,FALSE)))</f>
        <v>White Petroleum Jelly</v>
      </c>
      <c r="D8" s="135"/>
      <c r="E8" s="139">
        <f>+IF((VLOOKUP($D$2&amp;$D$3,'Ingredient List - Mother Tinctu'!$B$4:$P$2034,'Ingredient List - Mother Tinctu'!L$3,FALSE)=0),0,VLOOKUP($D$2&amp;$D$3,'Ingredient List - Mother Tinctu'!$B$4:$P$2034,'Ingredient List - Mother Tinctu'!L$3,FALSE))</f>
        <v>1</v>
      </c>
      <c r="F8" s="139"/>
      <c r="G8" s="140">
        <f>+VLOOKUP(C$8,'RM Price list'!$B$3:$C$1048576,2,FALSE)</f>
        <v>93</v>
      </c>
      <c r="H8" s="130" t="str">
        <f t="shared" ref="H8:H12" si="2">+IF(C8="","","/-")</f>
        <v>/-</v>
      </c>
      <c r="I8" s="140">
        <f t="shared" si="1"/>
        <v>4650</v>
      </c>
      <c r="J8" s="168" t="str">
        <f t="shared" ref="J8:J12" si="3">+IF(C8="","","/-")</f>
        <v>/-</v>
      </c>
      <c r="K8" s="172"/>
      <c r="L8" s="169"/>
      <c r="M8" s="169"/>
      <c r="N8" s="169"/>
      <c r="P8" s="167"/>
      <c r="Q8" s="109" t="s">
        <v>120</v>
      </c>
      <c r="R8" s="109" t="s">
        <v>108</v>
      </c>
      <c r="S8" s="109" t="s">
        <v>109</v>
      </c>
      <c r="T8" s="152"/>
      <c r="W8" s="202"/>
      <c r="AA8" s="117" t="str">
        <f>+'Ingredient List - Mother Tinctu'!D9</f>
        <v>Acid Formic</v>
      </c>
      <c r="AB8" s="117">
        <f t="shared" si="0"/>
        <v>0</v>
      </c>
      <c r="AC8" s="117" t="str">
        <f>IF(AB8=1,COUNTIF($AB$3:AB8,1),"")</f>
        <v/>
      </c>
      <c r="AD8" s="117" t="str">
        <f>IFERROR(INDEX($AA$3:$AA$10000,MATCH(ROWS($AC$3:AC8),$AC$3:$AC$10000,0)),"")</f>
        <v/>
      </c>
      <c r="AE8" s="117" t="str">
        <f>+'Packing Material - Cost'!A9</f>
        <v>Paper Box 500g</v>
      </c>
    </row>
    <row r="9" s="117" customFormat="1" ht="16.5" customHeight="1" spans="2:31">
      <c r="B9" s="134"/>
      <c r="C9" s="135" t="str">
        <f>IF((+VLOOKUP($D$2&amp;$D$3,'Ingredient List - Mother Tinctu'!$B$1:$M$2034,'Ingredient List - Mother Tinctu'!$G$3,FALSE)=0),"",(+VLOOKUP($D$2&amp;$D$3,'Ingredient List - Mother Tinctu'!$B$1:$M$2034,'Ingredient List - Mother Tinctu'!$G$3,FALSE)))</f>
        <v>Bees Wax</v>
      </c>
      <c r="D9" s="135"/>
      <c r="E9" s="139">
        <f>IF(C9="","",IF((VLOOKUP($D$2&amp;$D$3,'Ingredient List - Mother Tinctu'!$B$4:$P$2034,'Ingredient List - Mother Tinctu'!M$3,FALSE)=0),0,VLOOKUP($D$2&amp;$D$3,'Ingredient List - Mother Tinctu'!$B$4:$P$2034,'Ingredient List - Mother Tinctu'!M$3,FALSE)))</f>
        <v>0</v>
      </c>
      <c r="F9" s="139"/>
      <c r="G9" s="140">
        <f>IF(C9="","",VLOOKUP(C$9,'RM Price list'!$B$3:$C$1048576,2,FALSE))</f>
        <v>140</v>
      </c>
      <c r="H9" s="130" t="str">
        <f t="shared" si="2"/>
        <v>/-</v>
      </c>
      <c r="I9" s="140">
        <f>IF(C9="","",$D$4*E9*G9)</f>
        <v>0</v>
      </c>
      <c r="J9" s="168" t="str">
        <f t="shared" si="3"/>
        <v>/-</v>
      </c>
      <c r="K9" s="172"/>
      <c r="L9" s="169"/>
      <c r="M9" s="169"/>
      <c r="N9" s="169"/>
      <c r="P9" s="167"/>
      <c r="Q9" s="109" t="s">
        <v>121</v>
      </c>
      <c r="R9" s="109" t="s">
        <v>118</v>
      </c>
      <c r="S9" s="109" t="s">
        <v>86</v>
      </c>
      <c r="T9" s="152"/>
      <c r="W9" s="202"/>
      <c r="AA9" s="117" t="str">
        <f>+'Ingredient List - Mother Tinctu'!D10</f>
        <v>Acid Gallic</v>
      </c>
      <c r="AB9" s="117">
        <f t="shared" si="0"/>
        <v>0</v>
      </c>
      <c r="AC9" s="117" t="str">
        <f>IF(AB9=1,COUNTIF($AB$3:AB9,1),"")</f>
        <v/>
      </c>
      <c r="AD9" s="117" t="str">
        <f>IFERROR(INDEX($AA$3:$AA$10000,MATCH(ROWS($AC$3:AC9),$AC$3:$AC$10000,0)),"")</f>
        <v/>
      </c>
      <c r="AE9" s="117" t="str">
        <f>+'Packing Material - Cost'!A10</f>
        <v> </v>
      </c>
    </row>
    <row r="10" s="117" customFormat="1" ht="16.5" customHeight="1" spans="2:31">
      <c r="B10" s="134"/>
      <c r="C10" s="135" t="str">
        <f>IF((+VLOOKUP($D$2&amp;$D$3,'Ingredient List - Mother Tinctu'!$B$1:$M$2034,'Ingredient List - Mother Tinctu'!$H$3,FALSE)=0),"",(+VLOOKUP($D$2&amp;$D$3,'Ingredient List - Mother Tinctu'!$B$1:$M$2034,'Ingredient List - Mother Tinctu'!$H$3,FALSE)))</f>
        <v/>
      </c>
      <c r="D10" s="135"/>
      <c r="E10" s="139" t="str">
        <f>IF(C10="","",IF((VLOOKUP($D$2&amp;$D$3,'Ingredient List - Mother Tinctu'!$B$4:$P$2034,'Ingredient List - Mother Tinctu'!N$3,FALSE)=0),0,VLOOKUP($D$2&amp;$D$3,'Ingredient List - Mother Tinctu'!$B$4:$P$2034,'Ingredient List - Mother Tinctu'!N$3,FALSE)))</f>
        <v/>
      </c>
      <c r="F10" s="139"/>
      <c r="G10" s="140" t="str">
        <f>IF(C10="","",VLOOKUP(C$10,'RM Price list'!$B$3:$C$1048576,2,FALSE))</f>
        <v/>
      </c>
      <c r="H10" s="130" t="str">
        <f t="shared" si="2"/>
        <v/>
      </c>
      <c r="I10" s="140" t="str">
        <f>IF(C10="","",+$D$4*E10*G10)</f>
        <v/>
      </c>
      <c r="J10" s="168" t="str">
        <f t="shared" si="3"/>
        <v/>
      </c>
      <c r="K10" s="174"/>
      <c r="L10" s="169"/>
      <c r="M10" s="169"/>
      <c r="N10" s="169"/>
      <c r="P10" s="167"/>
      <c r="Q10" s="109" t="s">
        <v>122</v>
      </c>
      <c r="R10" s="109" t="s">
        <v>118</v>
      </c>
      <c r="S10" s="109" t="s">
        <v>86</v>
      </c>
      <c r="T10" s="152"/>
      <c r="W10" s="202"/>
      <c r="AA10" s="117" t="str">
        <f>+'Ingredient List - Mother Tinctu'!D11</f>
        <v>Acid Hydrochl (Acid Mur)</v>
      </c>
      <c r="AB10" s="117">
        <f t="shared" si="0"/>
        <v>0</v>
      </c>
      <c r="AC10" s="117" t="str">
        <f>IF(AB10=1,COUNTIF($AB$3:AB10,1),"")</f>
        <v/>
      </c>
      <c r="AD10" s="117" t="str">
        <f>IFERROR(INDEX($AA$3:$AA$10000,MATCH(ROWS($AC$3:AC10),$AC$3:$AC$10000,0)),"")</f>
        <v/>
      </c>
      <c r="AE10" s="117" t="str">
        <f>+'Packing Material - Cost'!A11</f>
        <v> </v>
      </c>
    </row>
    <row r="11" s="117" customFormat="1" ht="21" customHeight="1" spans="2:31">
      <c r="B11" s="134"/>
      <c r="C11" s="135" t="str">
        <f>IF((+VLOOKUP($D$2&amp;$D$3,'Ingredient List - Mother Tinctu'!$B$1:$M$2034,'Ingredient List - Mother Tinctu'!$I$3,FALSE)=0),"",(+VLOOKUP($D$2&amp;$D$3,'Ingredient List - Mother Tinctu'!$B$1:$M$2034,'Ingredient List - Mother Tinctu'!$I$3,FALSE)))</f>
        <v/>
      </c>
      <c r="D11" s="135"/>
      <c r="E11" s="139" t="str">
        <f>IF(C11="","",IF((VLOOKUP($D$2&amp;$D$3,'Ingredient List - Mother Tinctu'!$B$4:$P$2034,'Ingredient List - Mother Tinctu'!O$3,FALSE)=0),0,VLOOKUP($D$2&amp;$D$3,'Ingredient List - Mother Tinctu'!$B$4:$P$2034,'Ingredient List - Mother Tinctu'!O$3,FALSE)))</f>
        <v/>
      </c>
      <c r="F11" s="139"/>
      <c r="G11" s="140" t="str">
        <f>IF(C11="","",VLOOKUP(C$11,'RM Price list'!$B$3:$C$1048576,2,FALSE))</f>
        <v/>
      </c>
      <c r="H11" s="130" t="str">
        <f t="shared" si="2"/>
        <v/>
      </c>
      <c r="I11" s="140" t="str">
        <f>IF(C11="","",+$D$4*E11*G11)</f>
        <v/>
      </c>
      <c r="J11" s="168" t="str">
        <f t="shared" si="3"/>
        <v/>
      </c>
      <c r="K11" s="175"/>
      <c r="L11" s="169"/>
      <c r="M11" s="169"/>
      <c r="N11" s="169"/>
      <c r="P11" s="167"/>
      <c r="Q11" s="109" t="s">
        <v>123</v>
      </c>
      <c r="R11" s="109" t="s">
        <v>118</v>
      </c>
      <c r="S11" s="109" t="s">
        <v>86</v>
      </c>
      <c r="T11" s="152"/>
      <c r="W11" s="202"/>
      <c r="AA11" s="117" t="str">
        <f>+'Ingredient List - Mother Tinctu'!D12</f>
        <v>Acid Mur (Acid Hydrochlo)</v>
      </c>
      <c r="AB11" s="117">
        <f t="shared" si="0"/>
        <v>0</v>
      </c>
      <c r="AC11" s="117" t="str">
        <f>IF(AB11=1,COUNTIF($AB$3:AB11,1),"")</f>
        <v/>
      </c>
      <c r="AD11" s="117" t="str">
        <f>IFERROR(INDEX($AA$3:$AA$10000,MATCH(ROWS($AC$3:AC11),$AC$3:$AC$10000,0)),"")</f>
        <v/>
      </c>
      <c r="AE11" s="117" t="str">
        <f>+'Packing Material - Cost'!A12</f>
        <v> </v>
      </c>
    </row>
    <row r="12" s="117" customFormat="1" ht="18.75" customHeight="1" spans="2:31">
      <c r="B12" s="141"/>
      <c r="C12" s="135" t="str">
        <f>IF((+VLOOKUP($D$2&amp;$D$3,'Ingredient List - Mother Tinctu'!$B$1:$M$2034,'Ingredient List - Mother Tinctu'!$J$3,FALSE)=0),"",(+VLOOKUP($D$2&amp;$D$3,'Ingredient List - Mother Tinctu'!$B$1:$M$2034,'Ingredient List - Mother Tinctu'!$J$3,FALSE)))</f>
        <v/>
      </c>
      <c r="D12" s="135"/>
      <c r="E12" s="139" t="str">
        <f>IF(C12="","",IF((VLOOKUP($D$2&amp;$D$3,'Ingredient List - Mother Tinctu'!$B$4:$P$2034,'Ingredient List - Mother Tinctu'!P$3,FALSE)=0),0,VLOOKUP($D$2&amp;$D$3,'Ingredient List - Mother Tinctu'!$B$4:$P$2034,'Ingredient List - Mother Tinctu'!P$3,FALSE)))</f>
        <v/>
      </c>
      <c r="F12" s="139"/>
      <c r="G12" s="140" t="str">
        <f>IF(C12="","",VLOOKUP(C$12,'RM Price list'!$B$3:$C$1048576,2,FALSE))</f>
        <v/>
      </c>
      <c r="H12" s="130" t="str">
        <f t="shared" si="2"/>
        <v/>
      </c>
      <c r="I12" s="140" t="str">
        <f>IF(C12="","",+$D$4*E12*G12)</f>
        <v/>
      </c>
      <c r="J12" s="168" t="str">
        <f t="shared" si="3"/>
        <v/>
      </c>
      <c r="K12" s="176"/>
      <c r="L12" s="175"/>
      <c r="P12" s="167"/>
      <c r="W12" s="202"/>
      <c r="AA12" s="117" t="str">
        <f>+'Ingredient List - Mother Tinctu'!D13</f>
        <v>Acid Nit.</v>
      </c>
      <c r="AB12" s="117">
        <f t="shared" si="0"/>
        <v>0</v>
      </c>
      <c r="AC12" s="117" t="str">
        <f>IF(AB12=1,COUNTIF($AB$3:AB12,1),"")</f>
        <v/>
      </c>
      <c r="AD12" s="117" t="str">
        <f>IFERROR(INDEX($AA$3:$AA$10000,MATCH(ROWS($AC$3:AC12),$AC$3:$AC$10000,0)),"")</f>
        <v/>
      </c>
      <c r="AE12" s="117" t="str">
        <f>+'Packing Material - Cost'!A13</f>
        <v> </v>
      </c>
    </row>
    <row r="13" s="117" customFormat="1" ht="21" customHeight="1" spans="2:31">
      <c r="B13" s="142" t="s">
        <v>124</v>
      </c>
      <c r="C13" s="126"/>
      <c r="D13" s="126"/>
      <c r="E13" s="126"/>
      <c r="F13" s="126"/>
      <c r="G13" s="126"/>
      <c r="H13" s="126"/>
      <c r="I13" s="177">
        <f>SUM(I7:I12)</f>
        <v>5094.88978962427</v>
      </c>
      <c r="J13" s="168" t="s">
        <v>125</v>
      </c>
      <c r="K13" s="178"/>
      <c r="L13" s="179"/>
      <c r="P13" s="109" t="s">
        <v>126</v>
      </c>
      <c r="Q13" s="109" t="s">
        <v>127</v>
      </c>
      <c r="R13" s="109" t="s">
        <v>128</v>
      </c>
      <c r="S13" s="109" t="s">
        <v>129</v>
      </c>
      <c r="T13" s="109" t="s">
        <v>130</v>
      </c>
      <c r="W13" s="202"/>
      <c r="AA13" s="117" t="str">
        <f>+'Ingredient List - Mother Tinctu'!D14</f>
        <v>Acid Oxalic</v>
      </c>
      <c r="AB13" s="117">
        <f t="shared" si="0"/>
        <v>0</v>
      </c>
      <c r="AC13" s="117" t="str">
        <f>IF(AB13=1,COUNTIF($AB$3:AB13,1),"")</f>
        <v/>
      </c>
      <c r="AD13" s="117" t="str">
        <f>IFERROR(INDEX($AA$3:$AA$10000,MATCH(ROWS($AC$3:AC13),$AC$3:$AC$10000,0)),"")</f>
        <v/>
      </c>
      <c r="AE13" s="117" t="str">
        <f>+'Packing Material - Cost'!A14</f>
        <v> </v>
      </c>
    </row>
    <row r="14" s="117" customFormat="1" ht="21" customHeight="1" spans="2:31">
      <c r="B14" s="143" t="s">
        <v>131</v>
      </c>
      <c r="C14" s="130" t="s">
        <v>132</v>
      </c>
      <c r="D14" s="144" t="s">
        <v>133</v>
      </c>
      <c r="E14" s="144"/>
      <c r="F14" s="132" t="str">
        <f>+IF(D14="Blister 3g","No of strips/ Box:","")</f>
        <v/>
      </c>
      <c r="G14" s="132"/>
      <c r="H14" s="132"/>
      <c r="I14" s="180">
        <v>200</v>
      </c>
      <c r="J14" s="181"/>
      <c r="K14" s="178"/>
      <c r="L14" s="179"/>
      <c r="P14" s="182">
        <v>198</v>
      </c>
      <c r="Q14" s="109">
        <v>200</v>
      </c>
      <c r="R14" s="109">
        <v>382</v>
      </c>
      <c r="S14" s="109">
        <f>+R14*100/T14</f>
        <v>1273.33333333333</v>
      </c>
      <c r="T14" s="109">
        <v>30</v>
      </c>
      <c r="V14"/>
      <c r="W14" s="202"/>
      <c r="AA14" s="117" t="str">
        <f>+'Ingredient List - Mother Tinctu'!D15</f>
        <v>Acid Phos</v>
      </c>
      <c r="AB14" s="117">
        <f t="shared" si="0"/>
        <v>0</v>
      </c>
      <c r="AC14" s="117" t="str">
        <f>IF(AB14=1,COUNTIF($AB$3:AB14,1),"")</f>
        <v/>
      </c>
      <c r="AD14" s="117" t="str">
        <f>IFERROR(INDEX($AA$3:$AA$10000,MATCH(ROWS($AC$3:AC14),$AC$3:$AC$10000,0)),"")</f>
        <v/>
      </c>
      <c r="AE14" s="117" t="str">
        <f>+'Packing Material - Cost'!A15</f>
        <v> </v>
      </c>
    </row>
    <row r="15" s="117" customFormat="1" ht="21" customHeight="1" spans="2:31">
      <c r="B15" s="143"/>
      <c r="C15" s="130" t="s">
        <v>134</v>
      </c>
      <c r="D15" s="145">
        <v>10</v>
      </c>
      <c r="E15" s="145"/>
      <c r="F15" s="130" t="str">
        <f>+VLOOKUP($D$2,$Q$4:$T$11,3,FALSE)</f>
        <v>g</v>
      </c>
      <c r="G15" s="146" t="s">
        <v>135</v>
      </c>
      <c r="H15" s="147"/>
      <c r="I15" s="183">
        <v>0.1</v>
      </c>
      <c r="J15" s="168"/>
      <c r="K15" s="178"/>
      <c r="L15" s="179"/>
      <c r="P15" s="182">
        <v>998</v>
      </c>
      <c r="Q15" s="109">
        <v>1000</v>
      </c>
      <c r="R15" s="109">
        <v>674</v>
      </c>
      <c r="S15" s="109">
        <f>+R15*100/T15</f>
        <v>2246.66666666667</v>
      </c>
      <c r="T15" s="109">
        <v>30</v>
      </c>
      <c r="V15"/>
      <c r="W15" s="202"/>
      <c r="AA15" s="117" t="str">
        <f>+'Ingredient List - Mother Tinctu'!D16</f>
        <v>Acid Picric</v>
      </c>
      <c r="AB15" s="117">
        <f t="shared" si="0"/>
        <v>0</v>
      </c>
      <c r="AC15" s="117" t="str">
        <f>IF(AB15=1,COUNTIF($AB$3:AB15,1),"")</f>
        <v/>
      </c>
      <c r="AD15" s="117" t="str">
        <f>IFERROR(INDEX($AA$3:$AA$10000,MATCH(ROWS($AC$3:AC15),$AC$3:$AC$10000,0)),"")</f>
        <v/>
      </c>
      <c r="AE15" s="117" t="str">
        <f>+'Packing Material - Cost'!A16</f>
        <v> </v>
      </c>
    </row>
    <row r="16" s="117" customFormat="1" ht="21" customHeight="1" spans="2:31">
      <c r="B16" s="143"/>
      <c r="C16" s="130" t="str">
        <f>+IF(D14="Blister","No of Boxes","No of Packs")</f>
        <v>No of Packs</v>
      </c>
      <c r="D16" s="140">
        <f>(+IF((D14="Blister"),((ROUNDDOWN((IF(F15=E4,D4/D15,(D4*1000/D15))),-1))/$I$14),(ROUNDDOWN((IF(F15=E4,D4/D15,(D4*1000/D15))),-1))))*(1-I15)</f>
        <v>4500</v>
      </c>
      <c r="E16" s="140"/>
      <c r="F16" s="130" t="s">
        <v>136</v>
      </c>
      <c r="G16" s="148"/>
      <c r="H16" s="149"/>
      <c r="I16" s="184"/>
      <c r="J16" s="168"/>
      <c r="K16" s="178"/>
      <c r="L16" s="179"/>
      <c r="P16" s="182">
        <v>28</v>
      </c>
      <c r="Q16" s="109">
        <v>30</v>
      </c>
      <c r="R16" s="109">
        <v>281</v>
      </c>
      <c r="S16" s="109">
        <f>+R16*100/T16</f>
        <v>936.666666666667</v>
      </c>
      <c r="T16" s="109">
        <v>30</v>
      </c>
      <c r="V16"/>
      <c r="W16" s="202"/>
      <c r="AA16" s="117" t="str">
        <f>+'Ingredient List - Mother Tinctu'!D17</f>
        <v>Acid Salicyl</v>
      </c>
      <c r="AB16" s="117">
        <f t="shared" si="0"/>
        <v>0</v>
      </c>
      <c r="AC16" s="117" t="str">
        <f>IF(AB16=1,COUNTIF($AB$3:AB16,1),"")</f>
        <v/>
      </c>
      <c r="AD16" s="117" t="str">
        <f>IFERROR(INDEX($AA$3:$AA$10000,MATCH(ROWS($AC$3:AC16),$AC$3:$AC$10000,0)),"")</f>
        <v/>
      </c>
      <c r="AE16" s="117" t="str">
        <f>+'Packing Material - Cost'!A17</f>
        <v> </v>
      </c>
    </row>
    <row r="17" s="117" customFormat="1" ht="21" customHeight="1" spans="2:31">
      <c r="B17" s="143"/>
      <c r="C17" s="130" t="s">
        <v>137</v>
      </c>
      <c r="D17" s="150">
        <f>+VLOOKUP($D$14,'Packing Material - Cost'!$1:$1048576,'Packing Material - Cost'!$U$1,FALSE)</f>
        <v>2.92055555555556</v>
      </c>
      <c r="E17" s="150"/>
      <c r="F17" s="130" t="s">
        <v>125</v>
      </c>
      <c r="G17" s="130"/>
      <c r="H17" s="130"/>
      <c r="I17" s="130"/>
      <c r="J17" s="168"/>
      <c r="K17" s="185"/>
      <c r="L17" s="179"/>
      <c r="P17" s="186"/>
      <c r="Q17" s="203"/>
      <c r="R17" s="203"/>
      <c r="S17" s="203"/>
      <c r="T17" s="203"/>
      <c r="U17" s="203"/>
      <c r="V17" s="203"/>
      <c r="W17" s="204"/>
      <c r="AA17" s="117" t="str">
        <f>+'Ingredient List - Mother Tinctu'!D18</f>
        <v>Acid Sulph.</v>
      </c>
      <c r="AB17" s="117">
        <f t="shared" si="0"/>
        <v>0</v>
      </c>
      <c r="AC17" s="117" t="str">
        <f>IF(AB17=1,COUNTIF($AB$3:AB17,1),"")</f>
        <v/>
      </c>
      <c r="AD17" s="117" t="str">
        <f>IFERROR(INDEX($AA$3:$AA$10000,MATCH(ROWS($AC$3:AC17),$AC$3:$AC$10000,0)),"")</f>
        <v/>
      </c>
      <c r="AE17" s="117" t="str">
        <f>+'Packing Material - Cost'!A18</f>
        <v> </v>
      </c>
    </row>
    <row r="18" s="117" customFormat="1" ht="21" customHeight="1" spans="2:31">
      <c r="B18" s="142" t="s">
        <v>138</v>
      </c>
      <c r="C18" s="126"/>
      <c r="D18" s="126"/>
      <c r="E18" s="126"/>
      <c r="F18" s="126"/>
      <c r="G18" s="126"/>
      <c r="H18" s="126"/>
      <c r="I18" s="187">
        <f>IF($D$14="Blister",$D$17*$D$16*$I$14,$D$17*$D$16)</f>
        <v>13142.5</v>
      </c>
      <c r="J18" s="168" t="s">
        <v>125</v>
      </c>
      <c r="K18" s="179"/>
      <c r="L18" s="179"/>
      <c r="AA18" s="117" t="str">
        <f>+'Ingredient List - Mother Tinctu'!D19</f>
        <v>Aconite Nap.</v>
      </c>
      <c r="AB18" s="117">
        <f t="shared" si="0"/>
        <v>0</v>
      </c>
      <c r="AC18" s="117" t="str">
        <f>IF(AB18=1,COUNTIF($AB$3:AB18,1),"")</f>
        <v/>
      </c>
      <c r="AD18" s="117" t="str">
        <f>IFERROR(INDEX($AA$3:$AA$10000,MATCH(ROWS($AC$3:AC18),$AC$3:$AC$10000,0)),"")</f>
        <v/>
      </c>
      <c r="AE18" s="117" t="str">
        <f>+'Packing Material - Cost'!A19</f>
        <v> </v>
      </c>
    </row>
    <row r="19" s="117" customFormat="1" ht="21" customHeight="1" spans="2:31">
      <c r="B19" s="151" t="s">
        <v>139</v>
      </c>
      <c r="C19" s="130" t="s">
        <v>140</v>
      </c>
      <c r="D19" s="130"/>
      <c r="E19" s="129">
        <v>150</v>
      </c>
      <c r="F19" s="130" t="s">
        <v>125</v>
      </c>
      <c r="G19" s="130"/>
      <c r="H19" s="130"/>
      <c r="I19" s="130"/>
      <c r="J19" s="168"/>
      <c r="K19" s="179"/>
      <c r="L19" s="179"/>
      <c r="M19" s="179"/>
      <c r="N19" s="179"/>
      <c r="AA19" s="117" t="str">
        <f>+'Ingredient List - Mother Tinctu'!D20</f>
        <v>Actaea Rac (Cimicifuga)</v>
      </c>
      <c r="AB19" s="117">
        <f t="shared" si="0"/>
        <v>0</v>
      </c>
      <c r="AC19" s="117" t="str">
        <f>IF(AB19=1,COUNTIF($AB$3:AB19,1),"")</f>
        <v/>
      </c>
      <c r="AD19" s="117" t="str">
        <f>IFERROR(INDEX($AA$3:$AA$10000,MATCH(ROWS($AC$3:AC19),$AC$3:$AC$10000,0)),"")</f>
        <v/>
      </c>
      <c r="AE19" s="117" t="str">
        <f>+'Packing Material - Cost'!A20</f>
        <v> </v>
      </c>
    </row>
    <row r="20" s="117" customFormat="1" ht="21" customHeight="1" spans="2:31">
      <c r="B20" s="151"/>
      <c r="C20" s="126" t="s">
        <v>141</v>
      </c>
      <c r="D20" s="126"/>
      <c r="E20" s="126"/>
      <c r="F20" s="126"/>
      <c r="G20" s="126"/>
      <c r="H20" s="130"/>
      <c r="I20" s="187">
        <f>IF((D14="Blister 3g"),((((INDEX('Manpower Details'!$Z$5:$XFD$1048576,MATCH("Blister",'Manpower Details'!$A$5:$A$1048576,0),MATCH(Final!$D$15&amp;Final!$F$15,'Manpower Details'!$Z$4:$XFD$4,0)))/60))*$E$19*$D$16*$I$14),(((INDEX('Manpower Details'!$Z$5:$XFD$1048576,MATCH(Final!$D$2,'Manpower Details'!$A$5:$A$1048576,0),MATCH(Final!$D$15&amp;Final!$F$15,'Manpower Details'!$Z$4:$XFD$4,0)))/60)*$D$16*E19))</f>
        <v>6017.14285714286</v>
      </c>
      <c r="J20" s="188" t="s">
        <v>125</v>
      </c>
      <c r="K20" s="189"/>
      <c r="L20" s="179"/>
      <c r="M20" s="179"/>
      <c r="N20" s="179"/>
      <c r="AA20" s="117" t="str">
        <f>+'Ingredient List - Mother Tinctu'!D21</f>
        <v>Actaea Spic</v>
      </c>
      <c r="AB20" s="117">
        <f t="shared" si="0"/>
        <v>0</v>
      </c>
      <c r="AC20" s="117" t="str">
        <f>IF(AB20=1,COUNTIF($AB$3:AB20,1),"")</f>
        <v/>
      </c>
      <c r="AD20" s="117" t="str">
        <f>IFERROR(INDEX($AA$3:$AA$10000,MATCH(ROWS($AC$3:AC20),$AC$3:$AC$10000,0)),"")</f>
        <v/>
      </c>
      <c r="AE20" s="117" t="str">
        <f>+'Packing Material - Cost'!A21</f>
        <v> </v>
      </c>
    </row>
    <row r="21" s="117" customFormat="1" ht="21" customHeight="1" spans="2:31">
      <c r="B21" s="152" t="s">
        <v>142</v>
      </c>
      <c r="I21" s="190">
        <v>11</v>
      </c>
      <c r="J21" s="168" t="s">
        <v>125</v>
      </c>
      <c r="K21" s="189"/>
      <c r="L21" s="67"/>
      <c r="M21" s="67"/>
      <c r="N21" s="67"/>
      <c r="AA21" s="117" t="str">
        <f>+'Ingredient List - Mother Tinctu'!D22</f>
        <v>Adonis Vern.</v>
      </c>
      <c r="AB21" s="117">
        <f t="shared" si="0"/>
        <v>0</v>
      </c>
      <c r="AC21" s="117" t="str">
        <f>IF(AB21=1,COUNTIF($AB$3:AB21,1),"")</f>
        <v/>
      </c>
      <c r="AD21" s="117" t="str">
        <f>IFERROR(INDEX($AA$3:$AA$10000,MATCH(ROWS($AC$3:AC21),$AC$3:$AC$10000,0)),"")</f>
        <v/>
      </c>
      <c r="AE21" s="117" t="str">
        <f>+'Packing Material - Cost'!A22</f>
        <v> </v>
      </c>
    </row>
    <row r="22" s="117" customFormat="1" ht="21" customHeight="1" spans="2:31">
      <c r="B22" s="127" t="s">
        <v>143</v>
      </c>
      <c r="C22" s="153"/>
      <c r="D22" s="153"/>
      <c r="E22" s="153"/>
      <c r="F22" s="153"/>
      <c r="G22" s="153"/>
      <c r="H22" s="154"/>
      <c r="I22" s="187">
        <f>(VLOOKUP($D$2,'Energy Cost'!$A$3:$D$1048576,'Energy Cost'!$D$1,FALSE)/25)*$I$21*$D$4</f>
        <v>440</v>
      </c>
      <c r="J22" s="188" t="s">
        <v>125</v>
      </c>
      <c r="K22" s="189"/>
      <c r="L22" s="67"/>
      <c r="M22" s="67"/>
      <c r="N22" s="67"/>
      <c r="P22"/>
      <c r="Q22"/>
      <c r="AA22" s="117" t="str">
        <f>+'Ingredient List - Mother Tinctu'!D23</f>
        <v>Aegle Fol.</v>
      </c>
      <c r="AB22" s="117">
        <f t="shared" si="0"/>
        <v>0</v>
      </c>
      <c r="AC22" s="117" t="str">
        <f>IF(AB22=1,COUNTIF($AB$3:AB22,1),"")</f>
        <v/>
      </c>
      <c r="AD22" s="117" t="str">
        <f>IFERROR(INDEX($AA$3:$AA$10000,MATCH(ROWS($AC$3:AC22),$AC$3:$AC$10000,0)),"")</f>
        <v/>
      </c>
      <c r="AE22" s="117" t="str">
        <f>+'Packing Material - Cost'!A23</f>
        <v> </v>
      </c>
    </row>
    <row r="23" s="117" customFormat="1" ht="24" customHeight="1" spans="2:31">
      <c r="B23" s="155" t="s">
        <v>144</v>
      </c>
      <c r="C23" s="156"/>
      <c r="D23" s="156"/>
      <c r="E23" s="156"/>
      <c r="F23" s="156"/>
      <c r="G23" s="156"/>
      <c r="H23" s="156"/>
      <c r="I23" s="187">
        <f>+$I$13+$I$20+$I$22+$I$18</f>
        <v>24694.5326467671</v>
      </c>
      <c r="J23" s="188" t="s">
        <v>125</v>
      </c>
      <c r="K23" s="189"/>
      <c r="L23" s="67"/>
      <c r="M23" s="67"/>
      <c r="N23" s="67"/>
      <c r="Q23"/>
      <c r="AA23" s="117" t="str">
        <f>+'Ingredient List - Mother Tinctu'!D24</f>
        <v>Aegle Marm.</v>
      </c>
      <c r="AB23" s="117">
        <f t="shared" si="0"/>
        <v>0</v>
      </c>
      <c r="AC23" s="117" t="str">
        <f>IF(AB23=1,COUNTIF($AB$3:AB23,1),"")</f>
        <v/>
      </c>
      <c r="AD23" s="117" t="str">
        <f>IFERROR(INDEX($AA$3:$AA$10000,MATCH(ROWS($AC$3:AC23),$AC$3:$AC$10000,0)),"")</f>
        <v/>
      </c>
      <c r="AE23" s="117" t="str">
        <f>+'Packing Material - Cost'!A24</f>
        <v> </v>
      </c>
    </row>
    <row r="24" s="117" customFormat="1" ht="24" customHeight="1" spans="2:31">
      <c r="B24" s="157" t="s">
        <v>145</v>
      </c>
      <c r="C24" s="135"/>
      <c r="D24" s="135"/>
      <c r="E24" s="135"/>
      <c r="F24" s="135"/>
      <c r="G24" s="158">
        <f>+'final by sr'!F67</f>
        <v>0.123564528953039</v>
      </c>
      <c r="H24" s="135"/>
      <c r="I24" s="191">
        <f>+G24*I23</f>
        <v>3051.36829421322</v>
      </c>
      <c r="J24" s="168" t="s">
        <v>125</v>
      </c>
      <c r="K24" s="189"/>
      <c r="L24" s="67"/>
      <c r="M24" s="67"/>
      <c r="N24" s="67"/>
      <c r="Q24"/>
      <c r="AA24" s="117" t="str">
        <f>+'Ingredient List - Mother Tinctu'!D25</f>
        <v>Aesculus Hipp.</v>
      </c>
      <c r="AB24" s="117">
        <f t="shared" si="0"/>
        <v>0</v>
      </c>
      <c r="AC24" s="117" t="str">
        <f>IF(AB24=1,COUNTIF($AB$3:AB24,1),"")</f>
        <v/>
      </c>
      <c r="AD24" s="117" t="str">
        <f>IFERROR(INDEX($AA$3:$AA$10000,MATCH(ROWS($AC$3:AC24),$AC$3:$AC$10000,0)),"")</f>
        <v/>
      </c>
      <c r="AE24" s="117" t="str">
        <f>+'Packing Material - Cost'!A25</f>
        <v> </v>
      </c>
    </row>
    <row r="25" s="117" customFormat="1" ht="25.5" customHeight="1" spans="2:31">
      <c r="B25" s="155" t="s">
        <v>146</v>
      </c>
      <c r="C25" s="156"/>
      <c r="D25" s="156"/>
      <c r="E25" s="156"/>
      <c r="F25" s="156"/>
      <c r="G25" s="156"/>
      <c r="H25" s="135"/>
      <c r="I25" s="187">
        <f>SUM(I23:I24)</f>
        <v>27745.9009409803</v>
      </c>
      <c r="J25" s="188" t="s">
        <v>125</v>
      </c>
      <c r="K25" s="192"/>
      <c r="L25" s="67"/>
      <c r="M25" s="67"/>
      <c r="N25" s="67"/>
      <c r="AA25" s="117" t="str">
        <f>+'Ingredient List - Mother Tinctu'!D26</f>
        <v>Aethusa Cyn.</v>
      </c>
      <c r="AB25" s="117">
        <f t="shared" si="0"/>
        <v>0</v>
      </c>
      <c r="AC25" s="117" t="str">
        <f>IF(AB25=1,COUNTIF($AB$3:AB25,1),"")</f>
        <v/>
      </c>
      <c r="AD25" s="117" t="str">
        <f>IFERROR(INDEX($AA$3:$AA$10000,MATCH(ROWS($AC$3:AC25),$AC$3:$AC$10000,0)),"")</f>
        <v/>
      </c>
      <c r="AE25" s="117" t="str">
        <f>+'Packing Material - Cost'!A26</f>
        <v> </v>
      </c>
    </row>
    <row r="26" s="117" customFormat="1" ht="25.5" customHeight="1" spans="2:31">
      <c r="B26" s="157" t="s">
        <v>147</v>
      </c>
      <c r="C26" s="135"/>
      <c r="D26" s="135"/>
      <c r="E26" s="135"/>
      <c r="F26" s="135"/>
      <c r="G26" s="158">
        <f>+'final by sr'!G70</f>
        <v>0.0847380100549983</v>
      </c>
      <c r="H26" s="135"/>
      <c r="I26" s="187">
        <f>+I25*G26</f>
        <v>2351.13243292178</v>
      </c>
      <c r="J26" s="168" t="s">
        <v>125</v>
      </c>
      <c r="K26" s="192"/>
      <c r="L26" s="67"/>
      <c r="M26" s="67"/>
      <c r="N26" s="67"/>
      <c r="AA26" s="117" t="str">
        <f>+'Ingredient List - Mother Tinctu'!D27</f>
        <v>Agraphis Nut.</v>
      </c>
      <c r="AB26" s="117">
        <f t="shared" si="0"/>
        <v>0</v>
      </c>
      <c r="AC26" s="117" t="str">
        <f>IF(AB26=1,COUNTIF($AB$3:AB26,1),"")</f>
        <v/>
      </c>
      <c r="AD26" s="117" t="str">
        <f>IFERROR(INDEX($AA$3:$AA$10000,MATCH(ROWS($AC$3:AC26),$AC$3:$AC$10000,0)),"")</f>
        <v/>
      </c>
      <c r="AE26" s="117" t="str">
        <f>+'Packing Material - Cost'!A27</f>
        <v> </v>
      </c>
    </row>
    <row r="27" s="117" customFormat="1" ht="25.5" customHeight="1" spans="2:31">
      <c r="B27" s="155" t="s">
        <v>148</v>
      </c>
      <c r="C27" s="156"/>
      <c r="D27" s="156"/>
      <c r="E27" s="156"/>
      <c r="F27" s="156"/>
      <c r="G27" s="156"/>
      <c r="H27" s="135"/>
      <c r="I27" s="187">
        <f>SUM(I25:I26)</f>
        <v>30097.0333739021</v>
      </c>
      <c r="J27" s="188" t="s">
        <v>125</v>
      </c>
      <c r="K27" s="189"/>
      <c r="L27" s="67"/>
      <c r="M27" s="67"/>
      <c r="N27" s="67"/>
      <c r="AA27" s="117" t="str">
        <f>+'Ingredient List - Mother Tinctu'!D28</f>
        <v>Ailanthus. G.</v>
      </c>
      <c r="AB27" s="117">
        <f t="shared" si="0"/>
        <v>0</v>
      </c>
      <c r="AC27" s="117" t="str">
        <f>IF(AB27=1,COUNTIF($AB$3:AB27,1),"")</f>
        <v/>
      </c>
      <c r="AD27" s="117" t="str">
        <f>IFERROR(INDEX($AA$3:$AA$10000,MATCH(ROWS($AC$3:AC27),$AC$3:$AC$10000,0)),"")</f>
        <v/>
      </c>
      <c r="AE27" s="117" t="str">
        <f>+'Packing Material - Cost'!A28</f>
        <v/>
      </c>
    </row>
    <row r="28" s="117" customFormat="1" ht="25.5" customHeight="1" spans="2:31">
      <c r="B28" s="157" t="s">
        <v>149</v>
      </c>
      <c r="C28" s="135"/>
      <c r="D28" s="135"/>
      <c r="E28" s="135"/>
      <c r="F28" s="135"/>
      <c r="G28" s="158">
        <f>+'final by sr'!H73</f>
        <v>0.110197154781028</v>
      </c>
      <c r="H28" s="135"/>
      <c r="I28" s="187">
        <f>+I27*G28</f>
        <v>3316.60744515366</v>
      </c>
      <c r="J28" s="168" t="s">
        <v>125</v>
      </c>
      <c r="K28" s="189"/>
      <c r="L28" s="67"/>
      <c r="M28" s="67"/>
      <c r="N28" s="67"/>
      <c r="Q28"/>
      <c r="R28"/>
      <c r="S28"/>
      <c r="T28"/>
      <c r="AA28" s="117" t="str">
        <f>+'Ingredient List - Mother Tinctu'!D29</f>
        <v>Aletris F.</v>
      </c>
      <c r="AB28" s="117">
        <f t="shared" si="0"/>
        <v>0</v>
      </c>
      <c r="AC28" s="117" t="str">
        <f>IF(AB28=1,COUNTIF($AB$3:AB28,1),"")</f>
        <v/>
      </c>
      <c r="AD28" s="117" t="str">
        <f>IFERROR(INDEX($AA$3:$AA$10000,MATCH(ROWS($AC$3:AC28),$AC$3:$AC$10000,0)),"")</f>
        <v/>
      </c>
      <c r="AE28" s="117" t="str">
        <f>+'Packing Material - Cost'!A29</f>
        <v/>
      </c>
    </row>
    <row r="29" s="117" customFormat="1" ht="25.5" customHeight="1" spans="2:31">
      <c r="B29" s="155" t="s">
        <v>150</v>
      </c>
      <c r="C29" s="156"/>
      <c r="D29" s="156"/>
      <c r="E29" s="156"/>
      <c r="F29" s="156"/>
      <c r="G29" s="156"/>
      <c r="H29" s="135"/>
      <c r="I29" s="187">
        <f>SUM(I27:I28)</f>
        <v>33413.6408190558</v>
      </c>
      <c r="J29" s="188" t="s">
        <v>125</v>
      </c>
      <c r="K29" s="189"/>
      <c r="L29" s="67"/>
      <c r="M29" s="67"/>
      <c r="N29" s="67"/>
      <c r="Q29"/>
      <c r="R29"/>
      <c r="S29"/>
      <c r="T29"/>
      <c r="U29"/>
      <c r="AA29" s="117" t="str">
        <f>+'Ingredient List - Mother Tinctu'!D30</f>
        <v>Alfalfa</v>
      </c>
      <c r="AB29" s="117">
        <f t="shared" si="0"/>
        <v>0</v>
      </c>
      <c r="AC29" s="117" t="str">
        <f>IF(AB29=1,COUNTIF($AB$3:AB29,1),"")</f>
        <v/>
      </c>
      <c r="AD29" s="117" t="str">
        <f>IFERROR(INDEX($AA$3:$AA$10000,MATCH(ROWS($AC$3:AC29),$AC$3:$AC$10000,0)),"")</f>
        <v/>
      </c>
      <c r="AE29" s="117" t="str">
        <f>+'Packing Material - Cost'!A30</f>
        <v/>
      </c>
    </row>
    <row r="30" s="117" customFormat="1" ht="25.5" customHeight="1" spans="2:31">
      <c r="B30" s="159" t="str">
        <f>IF((D14="Blister 3g"),"COST PER BOX OF "&amp;I14&amp;" STRIPS","Cost per Pack of "&amp;D15&amp;" "&amp;F15)</f>
        <v>Cost per Pack of 10 g</v>
      </c>
      <c r="C30" s="160"/>
      <c r="D30" s="160"/>
      <c r="E30" s="160"/>
      <c r="F30" s="160"/>
      <c r="G30" s="160"/>
      <c r="H30" s="161"/>
      <c r="I30" s="193">
        <f>ROUNDUP((I29/D16),0)</f>
        <v>8</v>
      </c>
      <c r="J30" s="194" t="s">
        <v>125</v>
      </c>
      <c r="K30" s="189"/>
      <c r="L30" s="67"/>
      <c r="M30" s="67"/>
      <c r="N30" s="67"/>
      <c r="P30"/>
      <c r="Q30"/>
      <c r="R30"/>
      <c r="S30"/>
      <c r="T30"/>
      <c r="U30"/>
      <c r="AA30" s="117" t="str">
        <f>+'Ingredient List - Mother Tinctu'!D31</f>
        <v>Allium Cepa</v>
      </c>
      <c r="AB30" s="117">
        <f t="shared" si="0"/>
        <v>0</v>
      </c>
      <c r="AC30" s="117" t="str">
        <f>IF(AB30=1,COUNTIF($AB$3:AB30,1),"")</f>
        <v/>
      </c>
      <c r="AD30" s="117" t="str">
        <f>IFERROR(INDEX($AA$3:$AA$10000,MATCH(ROWS($AC$3:AC30),$AC$3:$AC$10000,0)),"")</f>
        <v/>
      </c>
      <c r="AE30" s="117" t="str">
        <f>+'Packing Material - Cost'!A31</f>
        <v/>
      </c>
    </row>
    <row r="31" s="117" customFormat="1" ht="25.5" customHeight="1" spans="2:31">
      <c r="B31" s="162" t="s">
        <v>151</v>
      </c>
      <c r="C31"/>
      <c r="D31"/>
      <c r="H31"/>
      <c r="I31"/>
      <c r="J31" s="195"/>
      <c r="K31" s="189"/>
      <c r="L31" s="67"/>
      <c r="M31" s="67"/>
      <c r="N31" s="67"/>
      <c r="P31"/>
      <c r="Q31"/>
      <c r="R31"/>
      <c r="S31"/>
      <c r="T31"/>
      <c r="U31"/>
      <c r="V31"/>
      <c r="AA31" s="117" t="str">
        <f>+'Ingredient List - Mother Tinctu'!D32</f>
        <v>Allium Sat.</v>
      </c>
      <c r="AB31" s="117">
        <f t="shared" si="0"/>
        <v>0</v>
      </c>
      <c r="AC31" s="117" t="str">
        <f>IF(AB31=1,COUNTIF($AB$3:AB31,1),"")</f>
        <v/>
      </c>
      <c r="AD31" s="117" t="str">
        <f>IFERROR(INDEX($AA$3:$AA$10000,MATCH(ROWS($AC$3:AC31),$AC$3:$AC$10000,0)),"")</f>
        <v/>
      </c>
      <c r="AE31" s="117" t="str">
        <f>+'Packing Material - Cost'!A32</f>
        <v/>
      </c>
    </row>
    <row r="32" s="117" customFormat="1" ht="25.5" customHeight="1" spans="2:31">
      <c r="B32"/>
      <c r="C32"/>
      <c r="D32"/>
      <c r="E32"/>
      <c r="F32"/>
      <c r="G32"/>
      <c r="H32"/>
      <c r="I32"/>
      <c r="J32"/>
      <c r="K32" s="43"/>
      <c r="L32" s="67"/>
      <c r="M32" s="67"/>
      <c r="N32" s="67"/>
      <c r="O32"/>
      <c r="P32"/>
      <c r="Q32"/>
      <c r="R32"/>
      <c r="S32"/>
      <c r="T32"/>
      <c r="U32"/>
      <c r="V32"/>
      <c r="AA32" s="117" t="str">
        <f>+'Ingredient List - Mother Tinctu'!D33</f>
        <v>Aloe Soc. (Aloes)</v>
      </c>
      <c r="AB32" s="117">
        <f t="shared" si="0"/>
        <v>0</v>
      </c>
      <c r="AC32" s="117" t="str">
        <f>IF(AB32=1,COUNTIF($AB$3:AB32,1),"")</f>
        <v/>
      </c>
      <c r="AD32" s="117" t="str">
        <f>IFERROR(INDEX($AA$3:$AA$10000,MATCH(ROWS($AC$3:AC32),$AC$3:$AC$10000,0)),"")</f>
        <v/>
      </c>
      <c r="AE32" s="117" t="str">
        <f>+'Packing Material - Cost'!A33</f>
        <v/>
      </c>
    </row>
    <row r="33" s="117" customFormat="1" ht="21" customHeight="1" spans="2:31">
      <c r="B33"/>
      <c r="C33"/>
      <c r="D33"/>
      <c r="E33"/>
      <c r="F33"/>
      <c r="G33"/>
      <c r="H33"/>
      <c r="I33" s="43"/>
      <c r="J33"/>
      <c r="K33" s="43"/>
      <c r="L33" s="169"/>
      <c r="M33" s="67"/>
      <c r="N33"/>
      <c r="O33"/>
      <c r="P33"/>
      <c r="Q33"/>
      <c r="R33"/>
      <c r="S33"/>
      <c r="T33"/>
      <c r="U33"/>
      <c r="V33"/>
      <c r="W33"/>
      <c r="AA33" s="117" t="str">
        <f>+'Ingredient List - Mother Tinctu'!D34</f>
        <v>Alstonia Sch.</v>
      </c>
      <c r="AB33" s="117">
        <f t="shared" si="0"/>
        <v>0</v>
      </c>
      <c r="AC33" s="117" t="str">
        <f>IF(AB33=1,COUNTIF($AB$3:AB33,1),"")</f>
        <v/>
      </c>
      <c r="AD33" s="117" t="str">
        <f>IFERROR(INDEX($AA$3:$AA$10000,MATCH(ROWS($AC$3:AC33),$AC$3:$AC$10000,0)),"")</f>
        <v/>
      </c>
      <c r="AE33" s="117" t="str">
        <f>+'Packing Material - Cost'!A34</f>
        <v/>
      </c>
    </row>
    <row r="34" s="117" customFormat="1" ht="21" customHeight="1" spans="2:31">
      <c r="B34"/>
      <c r="C34"/>
      <c r="D34"/>
      <c r="E34"/>
      <c r="F34"/>
      <c r="G34"/>
      <c r="H34"/>
      <c r="I34" s="43"/>
      <c r="J34"/>
      <c r="K34" s="43"/>
      <c r="M34" s="67"/>
      <c r="N34"/>
      <c r="O34"/>
      <c r="P34"/>
      <c r="Q34"/>
      <c r="R34"/>
      <c r="S34"/>
      <c r="T34"/>
      <c r="U34"/>
      <c r="V34"/>
      <c r="W34"/>
      <c r="X34"/>
      <c r="AA34" s="117" t="str">
        <f>+'Ingredient List - Mother Tinctu'!D35</f>
        <v>Amly. Nit.</v>
      </c>
      <c r="AB34" s="117">
        <f t="shared" si="0"/>
        <v>0</v>
      </c>
      <c r="AC34" s="117" t="str">
        <f>IF(AB34=1,COUNTIF($AB$3:AB34,1),"")</f>
        <v/>
      </c>
      <c r="AD34" s="117" t="str">
        <f>IFERROR(INDEX($AA$3:$AA$10000,MATCH(ROWS($AC$3:AC34),$AC$3:$AC$10000,0)),"")</f>
        <v/>
      </c>
      <c r="AE34" s="117" t="str">
        <f>+'Packing Material - Cost'!A35</f>
        <v/>
      </c>
    </row>
    <row r="35" s="117" customFormat="1" ht="21" customHeight="1" spans="2:16381">
      <c r="B35"/>
      <c r="C35"/>
      <c r="D35"/>
      <c r="E35"/>
      <c r="F35"/>
      <c r="G35"/>
      <c r="H35"/>
      <c r="I35" s="43"/>
      <c r="J35"/>
      <c r="K35" s="43"/>
      <c r="M35" s="67"/>
      <c r="N35"/>
      <c r="O35"/>
      <c r="P35"/>
      <c r="Q35"/>
      <c r="R35"/>
      <c r="S35"/>
      <c r="T35"/>
      <c r="U35"/>
      <c r="V35"/>
      <c r="W35"/>
      <c r="X35"/>
      <c r="Y35"/>
      <c r="Z35"/>
      <c r="AA35" s="117" t="str">
        <f>+'Ingredient List - Mother Tinctu'!D36</f>
        <v>Ammon Benz.</v>
      </c>
      <c r="AB35" s="117">
        <f t="shared" si="0"/>
        <v>0</v>
      </c>
      <c r="AC35" s="117" t="str">
        <f>IF(AB35=1,COUNTIF($AB$3:AB35,1),"")</f>
        <v/>
      </c>
      <c r="AD35" s="117" t="str">
        <f>IFERROR(INDEX($AA$3:$AA$10000,MATCH(ROWS($AC$3:AC35),$AC$3:$AC$10000,0)),"")</f>
        <v/>
      </c>
      <c r="AE35" s="117" t="str">
        <f>+'Packing Material - Cost'!A36</f>
        <v/>
      </c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  <c r="ALR35"/>
      <c r="ALS35"/>
      <c r="ALT35"/>
      <c r="ALU35"/>
      <c r="ALV35"/>
      <c r="ALW35"/>
      <c r="ALX35"/>
      <c r="ALY35"/>
      <c r="ALZ35"/>
      <c r="AMA35"/>
      <c r="AMB35"/>
      <c r="AMC35"/>
      <c r="AMD35"/>
      <c r="AME35"/>
      <c r="AMF35"/>
      <c r="AMG35"/>
      <c r="AMH35"/>
      <c r="AMI35"/>
      <c r="AMJ35"/>
      <c r="AMK35"/>
      <c r="AML35"/>
      <c r="AMM35"/>
      <c r="AMN35"/>
      <c r="AMO35"/>
      <c r="AMP35"/>
      <c r="AMQ35"/>
      <c r="AMR35"/>
      <c r="AMS35"/>
      <c r="AMT35"/>
      <c r="AMU35"/>
      <c r="AMV35"/>
      <c r="AMW35"/>
      <c r="AMX35"/>
      <c r="AMY35"/>
      <c r="AMZ35"/>
      <c r="ANA35"/>
      <c r="ANB35"/>
      <c r="ANC35"/>
      <c r="AND35"/>
      <c r="ANE35"/>
      <c r="ANF35"/>
      <c r="ANG35"/>
      <c r="ANH35"/>
      <c r="ANI35"/>
      <c r="ANJ35"/>
      <c r="ANK35"/>
      <c r="ANL35"/>
      <c r="ANM35"/>
      <c r="ANN35"/>
      <c r="ANO35"/>
      <c r="ANP35"/>
      <c r="ANQ35"/>
      <c r="ANR35"/>
      <c r="ANS35"/>
      <c r="ANT35"/>
      <c r="ANU35"/>
      <c r="ANV35"/>
      <c r="ANW35"/>
      <c r="ANX35"/>
      <c r="ANY35"/>
      <c r="ANZ35"/>
      <c r="AOA35"/>
      <c r="AOB35"/>
      <c r="AOC35"/>
      <c r="AOD35"/>
      <c r="AOE35"/>
      <c r="AOF35"/>
      <c r="AOG35"/>
      <c r="AOH35"/>
      <c r="AOI35"/>
      <c r="AOJ35"/>
      <c r="AOK35"/>
      <c r="AOL35"/>
      <c r="AOM35"/>
      <c r="AON35"/>
      <c r="AOO35"/>
      <c r="AOP35"/>
      <c r="AOQ35"/>
      <c r="AOR35"/>
      <c r="AOS35"/>
      <c r="AOT35"/>
      <c r="AOU35"/>
      <c r="AOV35"/>
      <c r="AOW35"/>
      <c r="AOX35"/>
      <c r="AOY35"/>
      <c r="AOZ35"/>
      <c r="APA35"/>
      <c r="APB35"/>
      <c r="APC35"/>
      <c r="APD35"/>
      <c r="APE35"/>
      <c r="APF35"/>
      <c r="APG35"/>
      <c r="APH35"/>
      <c r="API35"/>
      <c r="APJ35"/>
      <c r="APK35"/>
      <c r="APL35"/>
      <c r="APM35"/>
      <c r="APN35"/>
      <c r="APO35"/>
      <c r="APP35"/>
      <c r="APQ35"/>
      <c r="APR35"/>
      <c r="APS35"/>
      <c r="APT35"/>
      <c r="APU35"/>
      <c r="APV35"/>
      <c r="APW35"/>
      <c r="APX35"/>
      <c r="APY35"/>
      <c r="APZ35"/>
      <c r="AQA35"/>
      <c r="AQB35"/>
      <c r="AQC35"/>
      <c r="AQD35"/>
      <c r="AQE35"/>
      <c r="AQF35"/>
      <c r="AQG35"/>
      <c r="AQH35"/>
      <c r="AQI35"/>
      <c r="AQJ35"/>
      <c r="AQK35"/>
      <c r="AQL35"/>
      <c r="AQM35"/>
      <c r="AQN35"/>
      <c r="AQO35"/>
      <c r="AQP35"/>
      <c r="AQQ35"/>
      <c r="AQR35"/>
      <c r="AQS35"/>
      <c r="AQT35"/>
      <c r="AQU35"/>
      <c r="AQV35"/>
      <c r="AQW35"/>
      <c r="AQX35"/>
      <c r="AQY35"/>
      <c r="AQZ35"/>
      <c r="ARA35"/>
      <c r="ARB35"/>
      <c r="ARC35"/>
      <c r="ARD35"/>
      <c r="ARE35"/>
      <c r="ARF35"/>
      <c r="ARG35"/>
      <c r="ARH35"/>
      <c r="ARI35"/>
      <c r="ARJ35"/>
      <c r="ARK35"/>
      <c r="ARL35"/>
      <c r="ARM35"/>
      <c r="ARN35"/>
      <c r="ARO35"/>
      <c r="ARP35"/>
      <c r="ARQ35"/>
      <c r="ARR35"/>
      <c r="ARS35"/>
      <c r="ART35"/>
      <c r="ARU35"/>
      <c r="ARV35"/>
      <c r="ARW35"/>
      <c r="ARX35"/>
      <c r="ARY35"/>
      <c r="ARZ35"/>
      <c r="ASA35"/>
      <c r="ASB35"/>
      <c r="ASC35"/>
      <c r="ASD35"/>
      <c r="ASE35"/>
      <c r="ASF35"/>
      <c r="ASG35"/>
      <c r="ASH35"/>
      <c r="ASI35"/>
      <c r="ASJ35"/>
      <c r="ASK35"/>
      <c r="ASL35"/>
      <c r="ASM35"/>
      <c r="ASN35"/>
      <c r="ASO35"/>
      <c r="ASP35"/>
      <c r="ASQ35"/>
      <c r="ASR35"/>
      <c r="ASS35"/>
      <c r="AST35"/>
      <c r="ASU35"/>
      <c r="ASV35"/>
      <c r="ASW35"/>
      <c r="ASX35"/>
      <c r="ASY35"/>
      <c r="ASZ35"/>
      <c r="ATA35"/>
      <c r="ATB35"/>
      <c r="ATC35"/>
      <c r="ATD35"/>
      <c r="ATE35"/>
      <c r="ATF35"/>
      <c r="ATG35"/>
      <c r="ATH35"/>
      <c r="ATI35"/>
      <c r="ATJ35"/>
      <c r="ATK35"/>
      <c r="ATL35"/>
      <c r="ATM35"/>
      <c r="ATN35"/>
      <c r="ATO35"/>
      <c r="ATP35"/>
      <c r="ATQ35"/>
      <c r="ATR35"/>
      <c r="ATS35"/>
      <c r="ATT35"/>
      <c r="ATU35"/>
      <c r="ATV35"/>
      <c r="ATW35"/>
      <c r="ATX35"/>
      <c r="ATY35"/>
      <c r="ATZ35"/>
      <c r="AUA35"/>
      <c r="AUB35"/>
      <c r="AUC35"/>
      <c r="AUD35"/>
      <c r="AUE35"/>
      <c r="AUF35"/>
      <c r="AUG35"/>
      <c r="AUH35"/>
      <c r="AUI35"/>
      <c r="AUJ35"/>
      <c r="AUK35"/>
      <c r="AUL35"/>
      <c r="AUM35"/>
      <c r="AUN35"/>
      <c r="AUO35"/>
      <c r="AUP35"/>
      <c r="AUQ35"/>
      <c r="AUR35"/>
      <c r="AUS35"/>
      <c r="AUT35"/>
      <c r="AUU35"/>
      <c r="AUV35"/>
      <c r="AUW35"/>
      <c r="AUX35"/>
      <c r="AUY35"/>
      <c r="AUZ35"/>
      <c r="AVA35"/>
      <c r="AVB35"/>
      <c r="AVC35"/>
      <c r="AVD35"/>
      <c r="AVE35"/>
      <c r="AVF35"/>
      <c r="AVG35"/>
      <c r="AVH35"/>
      <c r="AVI35"/>
      <c r="AVJ35"/>
      <c r="AVK35"/>
      <c r="AVL35"/>
      <c r="AVM35"/>
      <c r="AVN35"/>
      <c r="AVO35"/>
      <c r="AVP35"/>
      <c r="AVQ35"/>
      <c r="AVR35"/>
      <c r="AVS35"/>
      <c r="AVT35"/>
      <c r="AVU35"/>
      <c r="AVV35"/>
      <c r="AVW35"/>
      <c r="AVX35"/>
      <c r="AVY35"/>
      <c r="AVZ35"/>
      <c r="AWA35"/>
      <c r="AWB35"/>
      <c r="AWC35"/>
      <c r="AWD35"/>
      <c r="AWE35"/>
      <c r="AWF35"/>
      <c r="AWG35"/>
      <c r="AWH35"/>
      <c r="AWI35"/>
      <c r="AWJ35"/>
      <c r="AWK35"/>
      <c r="AWL35"/>
      <c r="AWM35"/>
      <c r="AWN35"/>
      <c r="AWO35"/>
      <c r="AWP35"/>
      <c r="AWQ35"/>
      <c r="AWR35"/>
      <c r="AWS35"/>
      <c r="AWT35"/>
      <c r="AWU35"/>
      <c r="AWV35"/>
      <c r="AWW35"/>
      <c r="AWX35"/>
      <c r="AWY35"/>
      <c r="AWZ35"/>
      <c r="AXA35"/>
      <c r="AXB35"/>
      <c r="AXC35"/>
      <c r="AXD35"/>
      <c r="AXE35"/>
      <c r="AXF35"/>
      <c r="AXG35"/>
      <c r="AXH35"/>
      <c r="AXI35"/>
      <c r="AXJ35"/>
      <c r="AXK35"/>
      <c r="AXL35"/>
      <c r="AXM35"/>
      <c r="AXN35"/>
      <c r="AXO35"/>
      <c r="AXP35"/>
      <c r="AXQ35"/>
      <c r="AXR35"/>
      <c r="AXS35"/>
      <c r="AXT35"/>
      <c r="AXU35"/>
      <c r="AXV35"/>
      <c r="AXW35"/>
      <c r="AXX35"/>
      <c r="AXY35"/>
      <c r="AXZ35"/>
      <c r="AYA35"/>
      <c r="AYB35"/>
      <c r="AYC35"/>
      <c r="AYD35"/>
      <c r="AYE35"/>
      <c r="AYF35"/>
      <c r="AYG35"/>
      <c r="AYH35"/>
      <c r="AYI35"/>
      <c r="AYJ35"/>
      <c r="AYK35"/>
      <c r="AYL35"/>
      <c r="AYM35"/>
      <c r="AYN35"/>
      <c r="AYO35"/>
      <c r="AYP35"/>
      <c r="AYQ35"/>
      <c r="AYR35"/>
      <c r="AYS35"/>
      <c r="AYT35"/>
      <c r="AYU35"/>
      <c r="AYV35"/>
      <c r="AYW35"/>
      <c r="AYX35"/>
      <c r="AYY35"/>
      <c r="AYZ35"/>
      <c r="AZA35"/>
      <c r="AZB35"/>
      <c r="AZC35"/>
      <c r="AZD35"/>
      <c r="AZE35"/>
      <c r="AZF35"/>
      <c r="AZG35"/>
      <c r="AZH35"/>
      <c r="AZI35"/>
      <c r="AZJ35"/>
      <c r="AZK35"/>
      <c r="AZL35"/>
      <c r="AZM35"/>
      <c r="AZN35"/>
      <c r="AZO35"/>
      <c r="AZP35"/>
      <c r="AZQ35"/>
      <c r="AZR35"/>
      <c r="AZS35"/>
      <c r="AZT35"/>
      <c r="AZU35"/>
      <c r="AZV35"/>
      <c r="AZW35"/>
      <c r="AZX35"/>
      <c r="AZY35"/>
      <c r="AZZ35"/>
      <c r="BAA35"/>
      <c r="BAB35"/>
      <c r="BAC35"/>
      <c r="BAD35"/>
      <c r="BAE35"/>
      <c r="BAF35"/>
      <c r="BAG35"/>
      <c r="BAH35"/>
      <c r="BAI35"/>
      <c r="BAJ35"/>
      <c r="BAK35"/>
      <c r="BAL35"/>
      <c r="BAM35"/>
      <c r="BAN35"/>
      <c r="BAO35"/>
      <c r="BAP35"/>
      <c r="BAQ35"/>
      <c r="BAR35"/>
      <c r="BAS35"/>
      <c r="BAT35"/>
      <c r="BAU35"/>
      <c r="BAV35"/>
      <c r="BAW35"/>
      <c r="BAX35"/>
      <c r="BAY35"/>
      <c r="BAZ35"/>
      <c r="BBA35"/>
      <c r="BBB35"/>
      <c r="BBC35"/>
      <c r="BBD35"/>
      <c r="BBE35"/>
      <c r="BBF35"/>
      <c r="BBG35"/>
      <c r="BBH35"/>
      <c r="BBI35"/>
      <c r="BBJ35"/>
      <c r="BBK35"/>
      <c r="BBL35"/>
      <c r="BBM35"/>
      <c r="BBN35"/>
      <c r="BBO35"/>
      <c r="BBP35"/>
      <c r="BBQ35"/>
      <c r="BBR35"/>
      <c r="BBS35"/>
      <c r="BBT35"/>
      <c r="BBU35"/>
      <c r="BBV35"/>
      <c r="BBW35"/>
      <c r="BBX35"/>
      <c r="BBY35"/>
      <c r="BBZ35"/>
      <c r="BCA35"/>
      <c r="BCB35"/>
      <c r="BCC35"/>
      <c r="BCD35"/>
      <c r="BCE35"/>
      <c r="BCF35"/>
      <c r="BCG35"/>
      <c r="BCH35"/>
      <c r="BCI35"/>
      <c r="BCJ35"/>
      <c r="BCK35"/>
      <c r="BCL35"/>
      <c r="BCM35"/>
      <c r="BCN35"/>
      <c r="BCO35"/>
      <c r="BCP35"/>
      <c r="BCQ35"/>
      <c r="BCR35"/>
      <c r="BCS35"/>
      <c r="BCT35"/>
      <c r="BCU35"/>
      <c r="BCV35"/>
      <c r="BCW35"/>
      <c r="BCX35"/>
      <c r="BCY35"/>
      <c r="BCZ35"/>
      <c r="BDA35"/>
      <c r="BDB35"/>
      <c r="BDC35"/>
      <c r="BDD35"/>
      <c r="BDE35"/>
      <c r="BDF35"/>
      <c r="BDG35"/>
      <c r="BDH35"/>
      <c r="BDI35"/>
      <c r="BDJ35"/>
      <c r="BDK35"/>
      <c r="BDL35"/>
      <c r="BDM35"/>
      <c r="BDN35"/>
      <c r="BDO35"/>
      <c r="BDP35"/>
      <c r="BDQ35"/>
      <c r="BDR35"/>
      <c r="BDS35"/>
      <c r="BDT35"/>
      <c r="BDU35"/>
      <c r="BDV35"/>
      <c r="BDW35"/>
      <c r="BDX35"/>
      <c r="BDY35"/>
      <c r="BDZ35"/>
      <c r="BEA35"/>
      <c r="BEB35"/>
      <c r="BEC35"/>
      <c r="BED35"/>
      <c r="BEE35"/>
      <c r="BEF35"/>
      <c r="BEG35"/>
      <c r="BEH35"/>
      <c r="BEI35"/>
      <c r="BEJ35"/>
      <c r="BEK35"/>
      <c r="BEL35"/>
      <c r="BEM35"/>
      <c r="BEN35"/>
      <c r="BEO35"/>
      <c r="BEP35"/>
      <c r="BEQ35"/>
      <c r="BER35"/>
      <c r="BES35"/>
      <c r="BET35"/>
      <c r="BEU35"/>
      <c r="BEV35"/>
      <c r="BEW35"/>
      <c r="BEX35"/>
      <c r="BEY35"/>
      <c r="BEZ35"/>
      <c r="BFA35"/>
      <c r="BFB35"/>
      <c r="BFC35"/>
      <c r="BFD35"/>
      <c r="BFE35"/>
      <c r="BFF35"/>
      <c r="BFG35"/>
      <c r="BFH35"/>
      <c r="BFI35"/>
      <c r="BFJ35"/>
      <c r="BFK35"/>
      <c r="BFL35"/>
      <c r="BFM35"/>
      <c r="BFN35"/>
      <c r="BFO35"/>
      <c r="BFP35"/>
      <c r="BFQ35"/>
      <c r="BFR35"/>
      <c r="BFS35"/>
      <c r="BFT35"/>
      <c r="BFU35"/>
      <c r="BFV35"/>
      <c r="BFW35"/>
      <c r="BFX35"/>
      <c r="BFY35"/>
      <c r="BFZ35"/>
      <c r="BGA35"/>
      <c r="BGB35"/>
      <c r="BGC35"/>
      <c r="BGD35"/>
      <c r="BGE35"/>
      <c r="BGF35"/>
      <c r="BGG35"/>
      <c r="BGH35"/>
      <c r="BGI35"/>
      <c r="BGJ35"/>
      <c r="BGK35"/>
      <c r="BGL35"/>
      <c r="BGM35"/>
      <c r="BGN35"/>
      <c r="BGO35"/>
      <c r="BGP35"/>
      <c r="BGQ35"/>
      <c r="BGR35"/>
      <c r="BGS35"/>
      <c r="BGT35"/>
      <c r="BGU35"/>
      <c r="BGV35"/>
      <c r="BGW35"/>
      <c r="BGX35"/>
      <c r="BGY35"/>
      <c r="BGZ35"/>
      <c r="BHA35"/>
      <c r="BHB35"/>
      <c r="BHC35"/>
      <c r="BHD35"/>
      <c r="BHE35"/>
      <c r="BHF35"/>
      <c r="BHG35"/>
      <c r="BHH35"/>
      <c r="BHI35"/>
      <c r="BHJ35"/>
      <c r="BHK35"/>
      <c r="BHL35"/>
      <c r="BHM35"/>
      <c r="BHN35"/>
      <c r="BHO35"/>
      <c r="BHP35"/>
      <c r="BHQ35"/>
      <c r="BHR35"/>
      <c r="BHS35"/>
      <c r="BHT35"/>
      <c r="BHU35"/>
      <c r="BHV35"/>
      <c r="BHW35"/>
      <c r="BHX35"/>
      <c r="BHY35"/>
      <c r="BHZ35"/>
      <c r="BIA35"/>
      <c r="BIB35"/>
      <c r="BIC35"/>
      <c r="BID35"/>
      <c r="BIE35"/>
      <c r="BIF35"/>
      <c r="BIG35"/>
      <c r="BIH35"/>
      <c r="BII35"/>
      <c r="BIJ35"/>
      <c r="BIK35"/>
      <c r="BIL35"/>
      <c r="BIM35"/>
      <c r="BIN35"/>
      <c r="BIO35"/>
      <c r="BIP35"/>
      <c r="BIQ35"/>
      <c r="BIR35"/>
      <c r="BIS35"/>
      <c r="BIT35"/>
      <c r="BIU35"/>
      <c r="BIV35"/>
      <c r="BIW35"/>
      <c r="BIX35"/>
      <c r="BIY35"/>
      <c r="BIZ35"/>
      <c r="BJA35"/>
      <c r="BJB35"/>
      <c r="BJC35"/>
      <c r="BJD35"/>
      <c r="BJE35"/>
      <c r="BJF35"/>
      <c r="BJG35"/>
      <c r="BJH35"/>
      <c r="BJI35"/>
      <c r="BJJ35"/>
      <c r="BJK35"/>
      <c r="BJL35"/>
      <c r="BJM35"/>
      <c r="BJN35"/>
      <c r="BJO35"/>
      <c r="BJP35"/>
      <c r="BJQ35"/>
      <c r="BJR35"/>
      <c r="BJS35"/>
      <c r="BJT35"/>
      <c r="BJU35"/>
      <c r="BJV35"/>
      <c r="BJW35"/>
      <c r="BJX35"/>
      <c r="BJY35"/>
      <c r="BJZ35"/>
      <c r="BKA35"/>
      <c r="BKB35"/>
      <c r="BKC35"/>
      <c r="BKD35"/>
      <c r="BKE35"/>
      <c r="BKF35"/>
      <c r="BKG35"/>
      <c r="BKH35"/>
      <c r="BKI35"/>
      <c r="BKJ35"/>
      <c r="BKK35"/>
      <c r="BKL35"/>
      <c r="BKM35"/>
      <c r="BKN35"/>
      <c r="BKO35"/>
      <c r="BKP35"/>
      <c r="BKQ35"/>
      <c r="BKR35"/>
      <c r="BKS35"/>
      <c r="BKT35"/>
      <c r="BKU35"/>
      <c r="BKV35"/>
      <c r="BKW35"/>
      <c r="BKX35"/>
      <c r="BKY35"/>
      <c r="BKZ35"/>
      <c r="BLA35"/>
      <c r="BLB35"/>
      <c r="BLC35"/>
      <c r="BLD35"/>
      <c r="BLE35"/>
      <c r="BLF35"/>
      <c r="BLG35"/>
      <c r="BLH35"/>
      <c r="BLI35"/>
      <c r="BLJ35"/>
      <c r="BLK35"/>
      <c r="BLL35"/>
      <c r="BLM35"/>
      <c r="BLN35"/>
      <c r="BLO35"/>
      <c r="BLP35"/>
      <c r="BLQ35"/>
      <c r="BLR35"/>
      <c r="BLS35"/>
      <c r="BLT35"/>
      <c r="BLU35"/>
      <c r="BLV35"/>
      <c r="BLW35"/>
      <c r="BLX35"/>
      <c r="BLY35"/>
      <c r="BLZ35"/>
      <c r="BMA35"/>
      <c r="BMB35"/>
      <c r="BMC35"/>
      <c r="BMD35"/>
      <c r="BME35"/>
      <c r="BMF35"/>
      <c r="BMG35"/>
      <c r="BMH35"/>
      <c r="BMI35"/>
      <c r="BMJ35"/>
      <c r="BMK35"/>
      <c r="BML35"/>
      <c r="BMM35"/>
      <c r="BMN35"/>
      <c r="BMO35"/>
      <c r="BMP35"/>
      <c r="BMQ35"/>
      <c r="BMR35"/>
      <c r="BMS35"/>
      <c r="BMT35"/>
      <c r="BMU35"/>
      <c r="BMV35"/>
      <c r="BMW35"/>
      <c r="BMX35"/>
      <c r="BMY35"/>
      <c r="BMZ35"/>
      <c r="BNA35"/>
      <c r="BNB35"/>
      <c r="BNC35"/>
      <c r="BND35"/>
      <c r="BNE35"/>
      <c r="BNF35"/>
      <c r="BNG35"/>
      <c r="BNH35"/>
      <c r="BNI35"/>
      <c r="BNJ35"/>
      <c r="BNK35"/>
      <c r="BNL35"/>
      <c r="BNM35"/>
      <c r="BNN35"/>
      <c r="BNO35"/>
      <c r="BNP35"/>
      <c r="BNQ35"/>
      <c r="BNR35"/>
      <c r="BNS35"/>
      <c r="BNT35"/>
      <c r="BNU35"/>
      <c r="BNV35"/>
      <c r="BNW35"/>
      <c r="BNX35"/>
      <c r="BNY35"/>
      <c r="BNZ35"/>
      <c r="BOA35"/>
      <c r="BOB35"/>
      <c r="BOC35"/>
      <c r="BOD35"/>
      <c r="BOE35"/>
      <c r="BOF35"/>
      <c r="BOG35"/>
      <c r="BOH35"/>
      <c r="BOI35"/>
      <c r="BOJ35"/>
      <c r="BOK35"/>
      <c r="BOL35"/>
      <c r="BOM35"/>
      <c r="BON35"/>
      <c r="BOO35"/>
      <c r="BOP35"/>
      <c r="BOQ35"/>
      <c r="BOR35"/>
      <c r="BOS35"/>
      <c r="BOT35"/>
      <c r="BOU35"/>
      <c r="BOV35"/>
      <c r="BOW35"/>
      <c r="BOX35"/>
      <c r="BOY35"/>
      <c r="BOZ35"/>
      <c r="BPA35"/>
      <c r="BPB35"/>
      <c r="BPC35"/>
      <c r="BPD35"/>
      <c r="BPE35"/>
      <c r="BPF35"/>
      <c r="BPG35"/>
      <c r="BPH35"/>
      <c r="BPI35"/>
      <c r="BPJ35"/>
      <c r="BPK35"/>
      <c r="BPL35"/>
      <c r="BPM35"/>
      <c r="BPN35"/>
      <c r="BPO35"/>
      <c r="BPP35"/>
      <c r="BPQ35"/>
      <c r="BPR35"/>
      <c r="BPS35"/>
      <c r="BPT35"/>
      <c r="BPU35"/>
      <c r="BPV35"/>
      <c r="BPW35"/>
      <c r="BPX35"/>
      <c r="BPY35"/>
      <c r="BPZ35"/>
      <c r="BQA35"/>
      <c r="BQB35"/>
      <c r="BQC35"/>
      <c r="BQD35"/>
      <c r="BQE35"/>
      <c r="BQF35"/>
      <c r="BQG35"/>
      <c r="BQH35"/>
      <c r="BQI35"/>
      <c r="BQJ35"/>
      <c r="BQK35"/>
      <c r="BQL35"/>
      <c r="BQM35"/>
      <c r="BQN35"/>
      <c r="BQO35"/>
      <c r="BQP35"/>
      <c r="BQQ35"/>
      <c r="BQR35"/>
      <c r="BQS35"/>
      <c r="BQT35"/>
      <c r="BQU35"/>
      <c r="BQV35"/>
      <c r="BQW35"/>
      <c r="BQX35"/>
      <c r="BQY35"/>
      <c r="BQZ35"/>
      <c r="BRA35"/>
      <c r="BRB35"/>
      <c r="BRC35"/>
      <c r="BRD35"/>
      <c r="BRE35"/>
      <c r="BRF35"/>
      <c r="BRG35"/>
      <c r="BRH35"/>
      <c r="BRI35"/>
      <c r="BRJ35"/>
      <c r="BRK35"/>
      <c r="BRL35"/>
      <c r="BRM35"/>
      <c r="BRN35"/>
      <c r="BRO35"/>
      <c r="BRP35"/>
      <c r="BRQ35"/>
      <c r="BRR35"/>
      <c r="BRS35"/>
      <c r="BRT35"/>
      <c r="BRU35"/>
      <c r="BRV35"/>
      <c r="BRW35"/>
      <c r="BRX35"/>
      <c r="BRY35"/>
      <c r="BRZ35"/>
      <c r="BSA35"/>
      <c r="BSB35"/>
      <c r="BSC35"/>
      <c r="BSD35"/>
      <c r="BSE35"/>
      <c r="BSF35"/>
      <c r="BSG35"/>
      <c r="BSH35"/>
      <c r="BSI35"/>
      <c r="BSJ35"/>
      <c r="BSK35"/>
      <c r="BSL35"/>
      <c r="BSM35"/>
      <c r="BSN35"/>
      <c r="BSO35"/>
      <c r="BSP35"/>
      <c r="BSQ35"/>
      <c r="BSR35"/>
      <c r="BSS35"/>
      <c r="BST35"/>
      <c r="BSU35"/>
      <c r="BSV35"/>
      <c r="BSW35"/>
      <c r="BSX35"/>
      <c r="BSY35"/>
      <c r="BSZ35"/>
      <c r="BTA35"/>
      <c r="BTB35"/>
      <c r="BTC35"/>
      <c r="BTD35"/>
      <c r="BTE35"/>
      <c r="BTF35"/>
      <c r="BTG35"/>
      <c r="BTH35"/>
      <c r="BTI35"/>
      <c r="BTJ35"/>
      <c r="BTK35"/>
      <c r="BTL35"/>
      <c r="BTM35"/>
      <c r="BTN35"/>
      <c r="BTO35"/>
      <c r="BTP35"/>
      <c r="BTQ35"/>
      <c r="BTR35"/>
      <c r="BTS35"/>
      <c r="BTT35"/>
      <c r="BTU35"/>
      <c r="BTV35"/>
      <c r="BTW35"/>
      <c r="BTX35"/>
      <c r="BTY35"/>
      <c r="BTZ35"/>
      <c r="BUA35"/>
      <c r="BUB35"/>
      <c r="BUC35"/>
      <c r="BUD35"/>
      <c r="BUE35"/>
      <c r="BUF35"/>
      <c r="BUG35"/>
      <c r="BUH35"/>
      <c r="BUI35"/>
      <c r="BUJ35"/>
      <c r="BUK35"/>
      <c r="BUL35"/>
      <c r="BUM35"/>
      <c r="BUN35"/>
      <c r="BUO35"/>
      <c r="BUP35"/>
      <c r="BUQ35"/>
      <c r="BUR35"/>
      <c r="BUS35"/>
      <c r="BUT35"/>
      <c r="BUU35"/>
      <c r="BUV35"/>
      <c r="BUW35"/>
      <c r="BUX35"/>
      <c r="BUY35"/>
      <c r="BUZ35"/>
      <c r="BVA35"/>
      <c r="BVB35"/>
      <c r="BVC35"/>
      <c r="BVD35"/>
      <c r="BVE35"/>
      <c r="BVF35"/>
      <c r="BVG35"/>
      <c r="BVH35"/>
      <c r="BVI35"/>
      <c r="BVJ35"/>
      <c r="BVK35"/>
      <c r="BVL35"/>
      <c r="BVM35"/>
      <c r="BVN35"/>
      <c r="BVO35"/>
      <c r="BVP35"/>
      <c r="BVQ35"/>
      <c r="BVR35"/>
      <c r="BVS35"/>
      <c r="BVT35"/>
      <c r="BVU35"/>
      <c r="BVV35"/>
      <c r="BVW35"/>
      <c r="BVX35"/>
      <c r="BVY35"/>
      <c r="BVZ35"/>
      <c r="BWA35"/>
      <c r="BWB35"/>
      <c r="BWC35"/>
      <c r="BWD35"/>
      <c r="BWE35"/>
      <c r="BWF35"/>
      <c r="BWG35"/>
      <c r="BWH35"/>
      <c r="BWI35"/>
      <c r="BWJ35"/>
      <c r="BWK35"/>
      <c r="BWL35"/>
      <c r="BWM35"/>
      <c r="BWN35"/>
      <c r="BWO35"/>
      <c r="BWP35"/>
      <c r="BWQ35"/>
      <c r="BWR35"/>
      <c r="BWS35"/>
      <c r="BWT35"/>
      <c r="BWU35"/>
      <c r="BWV35"/>
      <c r="BWW35"/>
      <c r="BWX35"/>
      <c r="BWY35"/>
      <c r="BWZ35"/>
      <c r="BXA35"/>
      <c r="BXB35"/>
      <c r="BXC35"/>
      <c r="BXD35"/>
      <c r="BXE35"/>
      <c r="BXF35"/>
      <c r="BXG35"/>
      <c r="BXH35"/>
      <c r="BXI35"/>
      <c r="BXJ35"/>
      <c r="BXK35"/>
      <c r="BXL35"/>
      <c r="BXM35"/>
      <c r="BXN35"/>
      <c r="BXO35"/>
      <c r="BXP35"/>
      <c r="BXQ35"/>
      <c r="BXR35"/>
      <c r="BXS35"/>
      <c r="BXT35"/>
      <c r="BXU35"/>
      <c r="BXV35"/>
      <c r="BXW35"/>
      <c r="BXX35"/>
      <c r="BXY35"/>
      <c r="BXZ35"/>
      <c r="BYA35"/>
      <c r="BYB35"/>
      <c r="BYC35"/>
      <c r="BYD35"/>
      <c r="BYE35"/>
      <c r="BYF35"/>
      <c r="BYG35"/>
      <c r="BYH35"/>
      <c r="BYI35"/>
      <c r="BYJ35"/>
      <c r="BYK35"/>
      <c r="BYL35"/>
      <c r="BYM35"/>
      <c r="BYN35"/>
      <c r="BYO35"/>
      <c r="BYP35"/>
      <c r="BYQ35"/>
      <c r="BYR35"/>
      <c r="BYS35"/>
      <c r="BYT35"/>
      <c r="BYU35"/>
      <c r="BYV35"/>
      <c r="BYW35"/>
      <c r="BYX35"/>
      <c r="BYY35"/>
      <c r="BYZ35"/>
      <c r="BZA35"/>
      <c r="BZB35"/>
      <c r="BZC35"/>
      <c r="BZD35"/>
      <c r="BZE35"/>
      <c r="BZF35"/>
      <c r="BZG35"/>
      <c r="BZH35"/>
      <c r="BZI35"/>
      <c r="BZJ35"/>
      <c r="BZK35"/>
      <c r="BZL35"/>
      <c r="BZM35"/>
      <c r="BZN35"/>
      <c r="BZO35"/>
      <c r="BZP35"/>
      <c r="BZQ35"/>
      <c r="BZR35"/>
      <c r="BZS35"/>
      <c r="BZT35"/>
      <c r="BZU35"/>
      <c r="BZV35"/>
      <c r="BZW35"/>
      <c r="BZX35"/>
      <c r="BZY35"/>
      <c r="BZZ35"/>
      <c r="CAA35"/>
      <c r="CAB35"/>
      <c r="CAC35"/>
      <c r="CAD35"/>
      <c r="CAE35"/>
      <c r="CAF35"/>
      <c r="CAG35"/>
      <c r="CAH35"/>
      <c r="CAI35"/>
      <c r="CAJ35"/>
      <c r="CAK35"/>
      <c r="CAL35"/>
      <c r="CAM35"/>
      <c r="CAN35"/>
      <c r="CAO35"/>
      <c r="CAP35"/>
      <c r="CAQ35"/>
      <c r="CAR35"/>
      <c r="CAS35"/>
      <c r="CAT35"/>
      <c r="CAU35"/>
      <c r="CAV35"/>
      <c r="CAW35"/>
      <c r="CAX35"/>
      <c r="CAY35"/>
      <c r="CAZ35"/>
      <c r="CBA35"/>
      <c r="CBB35"/>
      <c r="CBC35"/>
      <c r="CBD35"/>
      <c r="CBE35"/>
      <c r="CBF35"/>
      <c r="CBG35"/>
      <c r="CBH35"/>
      <c r="CBI35"/>
      <c r="CBJ35"/>
      <c r="CBK35"/>
      <c r="CBL35"/>
      <c r="CBM35"/>
      <c r="CBN35"/>
      <c r="CBO35"/>
      <c r="CBP35"/>
      <c r="CBQ35"/>
      <c r="CBR35"/>
      <c r="CBS35"/>
      <c r="CBT35"/>
      <c r="CBU35"/>
      <c r="CBV35"/>
      <c r="CBW35"/>
      <c r="CBX35"/>
      <c r="CBY35"/>
      <c r="CBZ35"/>
      <c r="CCA35"/>
      <c r="CCB35"/>
      <c r="CCC35"/>
      <c r="CCD35"/>
      <c r="CCE35"/>
      <c r="CCF35"/>
      <c r="CCG35"/>
      <c r="CCH35"/>
      <c r="CCI35"/>
      <c r="CCJ35"/>
      <c r="CCK35"/>
      <c r="CCL35"/>
      <c r="CCM35"/>
      <c r="CCN35"/>
      <c r="CCO35"/>
      <c r="CCP35"/>
      <c r="CCQ35"/>
      <c r="CCR35"/>
      <c r="CCS35"/>
      <c r="CCT35"/>
      <c r="CCU35"/>
      <c r="CCV35"/>
      <c r="CCW35"/>
      <c r="CCX35"/>
      <c r="CCY35"/>
      <c r="CCZ35"/>
      <c r="CDA35"/>
      <c r="CDB35"/>
      <c r="CDC35"/>
      <c r="CDD35"/>
      <c r="CDE35"/>
      <c r="CDF35"/>
      <c r="CDG35"/>
      <c r="CDH35"/>
      <c r="CDI35"/>
      <c r="CDJ35"/>
      <c r="CDK35"/>
      <c r="CDL35"/>
      <c r="CDM35"/>
      <c r="CDN35"/>
      <c r="CDO35"/>
      <c r="CDP35"/>
      <c r="CDQ35"/>
      <c r="CDR35"/>
      <c r="CDS35"/>
      <c r="CDT35"/>
      <c r="CDU35"/>
      <c r="CDV35"/>
      <c r="CDW35"/>
      <c r="CDX35"/>
      <c r="CDY35"/>
      <c r="CDZ35"/>
      <c r="CEA35"/>
      <c r="CEB35"/>
      <c r="CEC35"/>
      <c r="CED35"/>
      <c r="CEE35"/>
      <c r="CEF35"/>
      <c r="CEG35"/>
      <c r="CEH35"/>
      <c r="CEI35"/>
      <c r="CEJ35"/>
      <c r="CEK35"/>
      <c r="CEL35"/>
      <c r="CEM35"/>
      <c r="CEN35"/>
      <c r="CEO35"/>
      <c r="CEP35"/>
      <c r="CEQ35"/>
      <c r="CER35"/>
      <c r="CES35"/>
      <c r="CET35"/>
      <c r="CEU35"/>
      <c r="CEV35"/>
      <c r="CEW35"/>
      <c r="CEX35"/>
      <c r="CEY35"/>
      <c r="CEZ35"/>
      <c r="CFA35"/>
      <c r="CFB35"/>
      <c r="CFC35"/>
      <c r="CFD35"/>
      <c r="CFE35"/>
      <c r="CFF35"/>
      <c r="CFG35"/>
      <c r="CFH35"/>
      <c r="CFI35"/>
      <c r="CFJ35"/>
      <c r="CFK35"/>
      <c r="CFL35"/>
      <c r="CFM35"/>
      <c r="CFN35"/>
      <c r="CFO35"/>
      <c r="CFP35"/>
      <c r="CFQ35"/>
      <c r="CFR35"/>
      <c r="CFS35"/>
      <c r="CFT35"/>
      <c r="CFU35"/>
      <c r="CFV35"/>
      <c r="CFW35"/>
      <c r="CFX35"/>
      <c r="CFY35"/>
      <c r="CFZ35"/>
      <c r="CGA35"/>
      <c r="CGB35"/>
      <c r="CGC35"/>
      <c r="CGD35"/>
      <c r="CGE35"/>
      <c r="CGF35"/>
      <c r="CGG35"/>
      <c r="CGH35"/>
      <c r="CGI35"/>
      <c r="CGJ35"/>
      <c r="CGK35"/>
      <c r="CGL35"/>
      <c r="CGM35"/>
      <c r="CGN35"/>
      <c r="CGO35"/>
      <c r="CGP35"/>
      <c r="CGQ35"/>
      <c r="CGR35"/>
      <c r="CGS35"/>
      <c r="CGT35"/>
      <c r="CGU35"/>
      <c r="CGV35"/>
      <c r="CGW35"/>
      <c r="CGX35"/>
      <c r="CGY35"/>
      <c r="CGZ35"/>
      <c r="CHA35"/>
      <c r="CHB35"/>
      <c r="CHC35"/>
      <c r="CHD35"/>
      <c r="CHE35"/>
      <c r="CHF35"/>
      <c r="CHG35"/>
      <c r="CHH35"/>
      <c r="CHI35"/>
      <c r="CHJ35"/>
      <c r="CHK35"/>
      <c r="CHL35"/>
      <c r="CHM35"/>
      <c r="CHN35"/>
      <c r="CHO35"/>
      <c r="CHP35"/>
      <c r="CHQ35"/>
      <c r="CHR35"/>
      <c r="CHS35"/>
      <c r="CHT35"/>
      <c r="CHU35"/>
      <c r="CHV35"/>
      <c r="CHW35"/>
      <c r="CHX35"/>
      <c r="CHY35"/>
      <c r="CHZ35"/>
      <c r="CIA35"/>
      <c r="CIB35"/>
      <c r="CIC35"/>
      <c r="CID35"/>
      <c r="CIE35"/>
      <c r="CIF35"/>
      <c r="CIG35"/>
      <c r="CIH35"/>
      <c r="CII35"/>
      <c r="CIJ35"/>
      <c r="CIK35"/>
      <c r="CIL35"/>
      <c r="CIM35"/>
      <c r="CIN35"/>
      <c r="CIO35"/>
      <c r="CIP35"/>
      <c r="CIQ35"/>
      <c r="CIR35"/>
      <c r="CIS35"/>
      <c r="CIT35"/>
      <c r="CIU35"/>
      <c r="CIV35"/>
      <c r="CIW35"/>
      <c r="CIX35"/>
      <c r="CIY35"/>
      <c r="CIZ35"/>
      <c r="CJA35"/>
      <c r="CJB35"/>
      <c r="CJC35"/>
      <c r="CJD35"/>
      <c r="CJE35"/>
      <c r="CJF35"/>
      <c r="CJG35"/>
      <c r="CJH35"/>
      <c r="CJI35"/>
      <c r="CJJ35"/>
      <c r="CJK35"/>
      <c r="CJL35"/>
      <c r="CJM35"/>
      <c r="CJN35"/>
      <c r="CJO35"/>
      <c r="CJP35"/>
      <c r="CJQ35"/>
      <c r="CJR35"/>
      <c r="CJS35"/>
      <c r="CJT35"/>
      <c r="CJU35"/>
      <c r="CJV35"/>
      <c r="CJW35"/>
      <c r="CJX35"/>
      <c r="CJY35"/>
      <c r="CJZ35"/>
      <c r="CKA35"/>
      <c r="CKB35"/>
      <c r="CKC35"/>
      <c r="CKD35"/>
      <c r="CKE35"/>
      <c r="CKF35"/>
      <c r="CKG35"/>
      <c r="CKH35"/>
      <c r="CKI35"/>
      <c r="CKJ35"/>
      <c r="CKK35"/>
      <c r="CKL35"/>
      <c r="CKM35"/>
      <c r="CKN35"/>
      <c r="CKO35"/>
      <c r="CKP35"/>
      <c r="CKQ35"/>
      <c r="CKR35"/>
      <c r="CKS35"/>
      <c r="CKT35"/>
      <c r="CKU35"/>
      <c r="CKV35"/>
      <c r="CKW35"/>
      <c r="CKX35"/>
      <c r="CKY35"/>
      <c r="CKZ35"/>
      <c r="CLA35"/>
      <c r="CLB35"/>
      <c r="CLC35"/>
      <c r="CLD35"/>
      <c r="CLE35"/>
      <c r="CLF35"/>
      <c r="CLG35"/>
      <c r="CLH35"/>
      <c r="CLI35"/>
      <c r="CLJ35"/>
      <c r="CLK35"/>
      <c r="CLL35"/>
      <c r="CLM35"/>
      <c r="CLN35"/>
      <c r="CLO35"/>
      <c r="CLP35"/>
      <c r="CLQ35"/>
      <c r="CLR35"/>
      <c r="CLS35"/>
      <c r="CLT35"/>
      <c r="CLU35"/>
      <c r="CLV35"/>
      <c r="CLW35"/>
      <c r="CLX35"/>
      <c r="CLY35"/>
      <c r="CLZ35"/>
      <c r="CMA35"/>
      <c r="CMB35"/>
      <c r="CMC35"/>
      <c r="CMD35"/>
      <c r="CME35"/>
      <c r="CMF35"/>
      <c r="CMG35"/>
      <c r="CMH35"/>
      <c r="CMI35"/>
      <c r="CMJ35"/>
      <c r="CMK35"/>
      <c r="CML35"/>
      <c r="CMM35"/>
      <c r="CMN35"/>
      <c r="CMO35"/>
      <c r="CMP35"/>
      <c r="CMQ35"/>
      <c r="CMR35"/>
      <c r="CMS35"/>
      <c r="CMT35"/>
      <c r="CMU35"/>
      <c r="CMV35"/>
      <c r="CMW35"/>
      <c r="CMX35"/>
      <c r="CMY35"/>
      <c r="CMZ35"/>
      <c r="CNA35"/>
      <c r="CNB35"/>
      <c r="CNC35"/>
      <c r="CND35"/>
      <c r="CNE35"/>
      <c r="CNF35"/>
      <c r="CNG35"/>
      <c r="CNH35"/>
      <c r="CNI35"/>
      <c r="CNJ35"/>
      <c r="CNK35"/>
      <c r="CNL35"/>
      <c r="CNM35"/>
      <c r="CNN35"/>
      <c r="CNO35"/>
      <c r="CNP35"/>
      <c r="CNQ35"/>
      <c r="CNR35"/>
      <c r="CNS35"/>
      <c r="CNT35"/>
      <c r="CNU35"/>
      <c r="CNV35"/>
      <c r="CNW35"/>
      <c r="CNX35"/>
      <c r="CNY35"/>
      <c r="CNZ35"/>
      <c r="COA35"/>
      <c r="COB35"/>
      <c r="COC35"/>
      <c r="COD35"/>
      <c r="COE35"/>
      <c r="COF35"/>
      <c r="COG35"/>
      <c r="COH35"/>
      <c r="COI35"/>
      <c r="COJ35"/>
      <c r="COK35"/>
      <c r="COL35"/>
      <c r="COM35"/>
      <c r="CON35"/>
      <c r="COO35"/>
      <c r="COP35"/>
      <c r="COQ35"/>
      <c r="COR35"/>
      <c r="COS35"/>
      <c r="COT35"/>
      <c r="COU35"/>
      <c r="COV35"/>
      <c r="COW35"/>
      <c r="COX35"/>
      <c r="COY35"/>
      <c r="COZ35"/>
      <c r="CPA35"/>
      <c r="CPB35"/>
      <c r="CPC35"/>
      <c r="CPD35"/>
      <c r="CPE35"/>
      <c r="CPF35"/>
      <c r="CPG35"/>
      <c r="CPH35"/>
      <c r="CPI35"/>
      <c r="CPJ35"/>
      <c r="CPK35"/>
      <c r="CPL35"/>
      <c r="CPM35"/>
      <c r="CPN35"/>
      <c r="CPO35"/>
      <c r="CPP35"/>
      <c r="CPQ35"/>
      <c r="CPR35"/>
      <c r="CPS35"/>
      <c r="CPT35"/>
      <c r="CPU35"/>
      <c r="CPV35"/>
      <c r="CPW35"/>
      <c r="CPX35"/>
      <c r="CPY35"/>
      <c r="CPZ35"/>
      <c r="CQA35"/>
      <c r="CQB35"/>
      <c r="CQC35"/>
      <c r="CQD35"/>
      <c r="CQE35"/>
      <c r="CQF35"/>
      <c r="CQG35"/>
      <c r="CQH35"/>
      <c r="CQI35"/>
      <c r="CQJ35"/>
      <c r="CQK35"/>
      <c r="CQL35"/>
      <c r="CQM35"/>
      <c r="CQN35"/>
      <c r="CQO35"/>
      <c r="CQP35"/>
      <c r="CQQ35"/>
      <c r="CQR35"/>
      <c r="CQS35"/>
      <c r="CQT35"/>
      <c r="CQU35"/>
      <c r="CQV35"/>
      <c r="CQW35"/>
      <c r="CQX35"/>
      <c r="CQY35"/>
      <c r="CQZ35"/>
      <c r="CRA35"/>
      <c r="CRB35"/>
      <c r="CRC35"/>
      <c r="CRD35"/>
      <c r="CRE35"/>
      <c r="CRF35"/>
      <c r="CRG35"/>
      <c r="CRH35"/>
      <c r="CRI35"/>
      <c r="CRJ35"/>
      <c r="CRK35"/>
      <c r="CRL35"/>
      <c r="CRM35"/>
      <c r="CRN35"/>
      <c r="CRO35"/>
      <c r="CRP35"/>
      <c r="CRQ35"/>
      <c r="CRR35"/>
      <c r="CRS35"/>
      <c r="CRT35"/>
      <c r="CRU35"/>
      <c r="CRV35"/>
      <c r="CRW35"/>
      <c r="CRX35"/>
      <c r="CRY35"/>
      <c r="CRZ35"/>
      <c r="CSA35"/>
      <c r="CSB35"/>
      <c r="CSC35"/>
      <c r="CSD35"/>
      <c r="CSE35"/>
      <c r="CSF35"/>
      <c r="CSG35"/>
      <c r="CSH35"/>
      <c r="CSI35"/>
      <c r="CSJ35"/>
      <c r="CSK35"/>
      <c r="CSL35"/>
      <c r="CSM35"/>
      <c r="CSN35"/>
      <c r="CSO35"/>
      <c r="CSP35"/>
      <c r="CSQ35"/>
      <c r="CSR35"/>
      <c r="CSS35"/>
      <c r="CST35"/>
      <c r="CSU35"/>
      <c r="CSV35"/>
      <c r="CSW35"/>
      <c r="CSX35"/>
      <c r="CSY35"/>
      <c r="CSZ35"/>
      <c r="CTA35"/>
      <c r="CTB35"/>
      <c r="CTC35"/>
      <c r="CTD35"/>
      <c r="CTE35"/>
      <c r="CTF35"/>
      <c r="CTG35"/>
      <c r="CTH35"/>
      <c r="CTI35"/>
      <c r="CTJ35"/>
      <c r="CTK35"/>
      <c r="CTL35"/>
      <c r="CTM35"/>
      <c r="CTN35"/>
      <c r="CTO35"/>
      <c r="CTP35"/>
      <c r="CTQ35"/>
      <c r="CTR35"/>
      <c r="CTS35"/>
      <c r="CTT35"/>
      <c r="CTU35"/>
      <c r="CTV35"/>
      <c r="CTW35"/>
      <c r="CTX35"/>
      <c r="CTY35"/>
      <c r="CTZ35"/>
      <c r="CUA35"/>
      <c r="CUB35"/>
      <c r="CUC35"/>
      <c r="CUD35"/>
      <c r="CUE35"/>
      <c r="CUF35"/>
      <c r="CUG35"/>
      <c r="CUH35"/>
      <c r="CUI35"/>
      <c r="CUJ35"/>
      <c r="CUK35"/>
      <c r="CUL35"/>
      <c r="CUM35"/>
      <c r="CUN35"/>
      <c r="CUO35"/>
      <c r="CUP35"/>
      <c r="CUQ35"/>
      <c r="CUR35"/>
      <c r="CUS35"/>
      <c r="CUT35"/>
      <c r="CUU35"/>
      <c r="CUV35"/>
      <c r="CUW35"/>
      <c r="CUX35"/>
      <c r="CUY35"/>
      <c r="CUZ35"/>
      <c r="CVA35"/>
      <c r="CVB35"/>
      <c r="CVC35"/>
      <c r="CVD35"/>
      <c r="CVE35"/>
      <c r="CVF35"/>
      <c r="CVG35"/>
      <c r="CVH35"/>
      <c r="CVI35"/>
      <c r="CVJ35"/>
      <c r="CVK35"/>
      <c r="CVL35"/>
      <c r="CVM35"/>
      <c r="CVN35"/>
      <c r="CVO35"/>
      <c r="CVP35"/>
      <c r="CVQ35"/>
      <c r="CVR35"/>
      <c r="CVS35"/>
      <c r="CVT35"/>
      <c r="CVU35"/>
      <c r="CVV35"/>
      <c r="CVW35"/>
      <c r="CVX35"/>
      <c r="CVY35"/>
      <c r="CVZ35"/>
      <c r="CWA35"/>
      <c r="CWB35"/>
      <c r="CWC35"/>
      <c r="CWD35"/>
      <c r="CWE35"/>
      <c r="CWF35"/>
      <c r="CWG35"/>
      <c r="CWH35"/>
      <c r="CWI35"/>
      <c r="CWJ35"/>
      <c r="CWK35"/>
      <c r="CWL35"/>
      <c r="CWM35"/>
      <c r="CWN35"/>
      <c r="CWO35"/>
      <c r="CWP35"/>
      <c r="CWQ35"/>
      <c r="CWR35"/>
      <c r="CWS35"/>
      <c r="CWT35"/>
      <c r="CWU35"/>
      <c r="CWV35"/>
      <c r="CWW35"/>
      <c r="CWX35"/>
      <c r="CWY35"/>
      <c r="CWZ35"/>
      <c r="CXA35"/>
      <c r="CXB35"/>
      <c r="CXC35"/>
      <c r="CXD35"/>
      <c r="CXE35"/>
      <c r="CXF35"/>
      <c r="CXG35"/>
      <c r="CXH35"/>
      <c r="CXI35"/>
      <c r="CXJ35"/>
      <c r="CXK35"/>
      <c r="CXL35"/>
      <c r="CXM35"/>
      <c r="CXN35"/>
      <c r="CXO35"/>
      <c r="CXP35"/>
      <c r="CXQ35"/>
      <c r="CXR35"/>
      <c r="CXS35"/>
      <c r="CXT35"/>
      <c r="CXU35"/>
      <c r="CXV35"/>
      <c r="CXW35"/>
      <c r="CXX35"/>
      <c r="CXY35"/>
      <c r="CXZ35"/>
      <c r="CYA35"/>
      <c r="CYB35"/>
      <c r="CYC35"/>
      <c r="CYD35"/>
      <c r="CYE35"/>
      <c r="CYF35"/>
      <c r="CYG35"/>
      <c r="CYH35"/>
      <c r="CYI35"/>
      <c r="CYJ35"/>
      <c r="CYK35"/>
      <c r="CYL35"/>
      <c r="CYM35"/>
      <c r="CYN35"/>
      <c r="CYO35"/>
      <c r="CYP35"/>
      <c r="CYQ35"/>
      <c r="CYR35"/>
      <c r="CYS35"/>
      <c r="CYT35"/>
      <c r="CYU35"/>
      <c r="CYV35"/>
      <c r="CYW35"/>
      <c r="CYX35"/>
      <c r="CYY35"/>
      <c r="CYZ35"/>
      <c r="CZA35"/>
      <c r="CZB35"/>
      <c r="CZC35"/>
      <c r="CZD35"/>
      <c r="CZE35"/>
      <c r="CZF35"/>
      <c r="CZG35"/>
      <c r="CZH35"/>
      <c r="CZI35"/>
      <c r="CZJ35"/>
      <c r="CZK35"/>
      <c r="CZL35"/>
      <c r="CZM35"/>
      <c r="CZN35"/>
      <c r="CZO35"/>
      <c r="CZP35"/>
      <c r="CZQ35"/>
      <c r="CZR35"/>
      <c r="CZS35"/>
      <c r="CZT35"/>
      <c r="CZU35"/>
      <c r="CZV35"/>
      <c r="CZW35"/>
      <c r="CZX35"/>
      <c r="CZY35"/>
      <c r="CZZ35"/>
      <c r="DAA35"/>
      <c r="DAB35"/>
      <c r="DAC35"/>
      <c r="DAD35"/>
      <c r="DAE35"/>
      <c r="DAF35"/>
      <c r="DAG35"/>
      <c r="DAH35"/>
      <c r="DAI35"/>
      <c r="DAJ35"/>
      <c r="DAK35"/>
      <c r="DAL35"/>
      <c r="DAM35"/>
      <c r="DAN35"/>
      <c r="DAO35"/>
      <c r="DAP35"/>
      <c r="DAQ35"/>
      <c r="DAR35"/>
      <c r="DAS35"/>
      <c r="DAT35"/>
      <c r="DAU35"/>
      <c r="DAV35"/>
      <c r="DAW35"/>
      <c r="DAX35"/>
      <c r="DAY35"/>
      <c r="DAZ35"/>
      <c r="DBA35"/>
      <c r="DBB35"/>
      <c r="DBC35"/>
      <c r="DBD35"/>
      <c r="DBE35"/>
      <c r="DBF35"/>
      <c r="DBG35"/>
      <c r="DBH35"/>
      <c r="DBI35"/>
      <c r="DBJ35"/>
      <c r="DBK35"/>
      <c r="DBL35"/>
      <c r="DBM35"/>
      <c r="DBN35"/>
      <c r="DBO35"/>
      <c r="DBP35"/>
      <c r="DBQ35"/>
      <c r="DBR35"/>
      <c r="DBS35"/>
      <c r="DBT35"/>
      <c r="DBU35"/>
      <c r="DBV35"/>
      <c r="DBW35"/>
      <c r="DBX35"/>
      <c r="DBY35"/>
      <c r="DBZ35"/>
      <c r="DCA35"/>
      <c r="DCB35"/>
      <c r="DCC35"/>
      <c r="DCD35"/>
      <c r="DCE35"/>
      <c r="DCF35"/>
      <c r="DCG35"/>
      <c r="DCH35"/>
      <c r="DCI35"/>
      <c r="DCJ35"/>
      <c r="DCK35"/>
      <c r="DCL35"/>
      <c r="DCM35"/>
      <c r="DCN35"/>
      <c r="DCO35"/>
      <c r="DCP35"/>
      <c r="DCQ35"/>
      <c r="DCR35"/>
      <c r="DCS35"/>
      <c r="DCT35"/>
      <c r="DCU35"/>
      <c r="DCV35"/>
      <c r="DCW35"/>
      <c r="DCX35"/>
      <c r="DCY35"/>
      <c r="DCZ35"/>
      <c r="DDA35"/>
      <c r="DDB35"/>
      <c r="DDC35"/>
      <c r="DDD35"/>
      <c r="DDE35"/>
      <c r="DDF35"/>
      <c r="DDG35"/>
      <c r="DDH35"/>
      <c r="DDI35"/>
      <c r="DDJ35"/>
      <c r="DDK35"/>
      <c r="DDL35"/>
      <c r="DDM35"/>
      <c r="DDN35"/>
      <c r="DDO35"/>
      <c r="DDP35"/>
      <c r="DDQ35"/>
      <c r="DDR35"/>
      <c r="DDS35"/>
      <c r="DDT35"/>
      <c r="DDU35"/>
      <c r="DDV35"/>
      <c r="DDW35"/>
      <c r="DDX35"/>
      <c r="DDY35"/>
      <c r="DDZ35"/>
      <c r="DEA35"/>
      <c r="DEB35"/>
      <c r="DEC35"/>
      <c r="DED35"/>
      <c r="DEE35"/>
      <c r="DEF35"/>
      <c r="DEG35"/>
      <c r="DEH35"/>
      <c r="DEI35"/>
      <c r="DEJ35"/>
      <c r="DEK35"/>
      <c r="DEL35"/>
      <c r="DEM35"/>
      <c r="DEN35"/>
      <c r="DEO35"/>
      <c r="DEP35"/>
      <c r="DEQ35"/>
      <c r="DER35"/>
      <c r="DES35"/>
      <c r="DET35"/>
      <c r="DEU35"/>
      <c r="DEV35"/>
      <c r="DEW35"/>
      <c r="DEX35"/>
      <c r="DEY35"/>
      <c r="DEZ35"/>
      <c r="DFA35"/>
      <c r="DFB35"/>
      <c r="DFC35"/>
      <c r="DFD35"/>
      <c r="DFE35"/>
      <c r="DFF35"/>
      <c r="DFG35"/>
      <c r="DFH35"/>
      <c r="DFI35"/>
      <c r="DFJ35"/>
      <c r="DFK35"/>
      <c r="DFL35"/>
      <c r="DFM35"/>
      <c r="DFN35"/>
      <c r="DFO35"/>
      <c r="DFP35"/>
      <c r="DFQ35"/>
      <c r="DFR35"/>
      <c r="DFS35"/>
      <c r="DFT35"/>
      <c r="DFU35"/>
      <c r="DFV35"/>
      <c r="DFW35"/>
      <c r="DFX35"/>
      <c r="DFY35"/>
      <c r="DFZ35"/>
      <c r="DGA35"/>
      <c r="DGB35"/>
      <c r="DGC35"/>
      <c r="DGD35"/>
      <c r="DGE35"/>
      <c r="DGF35"/>
      <c r="DGG35"/>
      <c r="DGH35"/>
      <c r="DGI35"/>
      <c r="DGJ35"/>
      <c r="DGK35"/>
      <c r="DGL35"/>
      <c r="DGM35"/>
      <c r="DGN35"/>
      <c r="DGO35"/>
      <c r="DGP35"/>
      <c r="DGQ35"/>
      <c r="DGR35"/>
      <c r="DGS35"/>
      <c r="DGT35"/>
      <c r="DGU35"/>
      <c r="DGV35"/>
      <c r="DGW35"/>
      <c r="DGX35"/>
      <c r="DGY35"/>
      <c r="DGZ35"/>
      <c r="DHA35"/>
      <c r="DHB35"/>
      <c r="DHC35"/>
      <c r="DHD35"/>
      <c r="DHE35"/>
      <c r="DHF35"/>
      <c r="DHG35"/>
      <c r="DHH35"/>
      <c r="DHI35"/>
      <c r="DHJ35"/>
      <c r="DHK35"/>
      <c r="DHL35"/>
      <c r="DHM35"/>
      <c r="DHN35"/>
      <c r="DHO35"/>
      <c r="DHP35"/>
      <c r="DHQ35"/>
      <c r="DHR35"/>
      <c r="DHS35"/>
      <c r="DHT35"/>
      <c r="DHU35"/>
      <c r="DHV35"/>
      <c r="DHW35"/>
      <c r="DHX35"/>
      <c r="DHY35"/>
      <c r="DHZ35"/>
      <c r="DIA35"/>
      <c r="DIB35"/>
      <c r="DIC35"/>
      <c r="DID35"/>
      <c r="DIE35"/>
      <c r="DIF35"/>
      <c r="DIG35"/>
      <c r="DIH35"/>
      <c r="DII35"/>
      <c r="DIJ35"/>
      <c r="DIK35"/>
      <c r="DIL35"/>
      <c r="DIM35"/>
      <c r="DIN35"/>
      <c r="DIO35"/>
      <c r="DIP35"/>
      <c r="DIQ35"/>
      <c r="DIR35"/>
      <c r="DIS35"/>
      <c r="DIT35"/>
      <c r="DIU35"/>
      <c r="DIV35"/>
      <c r="DIW35"/>
      <c r="DIX35"/>
      <c r="DIY35"/>
      <c r="DIZ35"/>
      <c r="DJA35"/>
      <c r="DJB35"/>
      <c r="DJC35"/>
      <c r="DJD35"/>
      <c r="DJE35"/>
      <c r="DJF35"/>
      <c r="DJG35"/>
      <c r="DJH35"/>
      <c r="DJI35"/>
      <c r="DJJ35"/>
      <c r="DJK35"/>
      <c r="DJL35"/>
      <c r="DJM35"/>
      <c r="DJN35"/>
      <c r="DJO35"/>
      <c r="DJP35"/>
      <c r="DJQ35"/>
      <c r="DJR35"/>
      <c r="DJS35"/>
      <c r="DJT35"/>
      <c r="DJU35"/>
      <c r="DJV35"/>
      <c r="DJW35"/>
      <c r="DJX35"/>
      <c r="DJY35"/>
      <c r="DJZ35"/>
      <c r="DKA35"/>
      <c r="DKB35"/>
      <c r="DKC35"/>
      <c r="DKD35"/>
      <c r="DKE35"/>
      <c r="DKF35"/>
      <c r="DKG35"/>
      <c r="DKH35"/>
      <c r="DKI35"/>
      <c r="DKJ35"/>
      <c r="DKK35"/>
      <c r="DKL35"/>
      <c r="DKM35"/>
      <c r="DKN35"/>
      <c r="DKO35"/>
      <c r="DKP35"/>
      <c r="DKQ35"/>
      <c r="DKR35"/>
      <c r="DKS35"/>
      <c r="DKT35"/>
      <c r="DKU35"/>
      <c r="DKV35"/>
      <c r="DKW35"/>
      <c r="DKX35"/>
      <c r="DKY35"/>
      <c r="DKZ35"/>
      <c r="DLA35"/>
      <c r="DLB35"/>
      <c r="DLC35"/>
      <c r="DLD35"/>
      <c r="DLE35"/>
      <c r="DLF35"/>
      <c r="DLG35"/>
      <c r="DLH35"/>
      <c r="DLI35"/>
      <c r="DLJ35"/>
      <c r="DLK35"/>
      <c r="DLL35"/>
      <c r="DLM35"/>
      <c r="DLN35"/>
      <c r="DLO35"/>
      <c r="DLP35"/>
      <c r="DLQ35"/>
      <c r="DLR35"/>
      <c r="DLS35"/>
      <c r="DLT35"/>
      <c r="DLU35"/>
      <c r="DLV35"/>
      <c r="DLW35"/>
      <c r="DLX35"/>
      <c r="DLY35"/>
      <c r="DLZ35"/>
      <c r="DMA35"/>
      <c r="DMB35"/>
      <c r="DMC35"/>
      <c r="DMD35"/>
      <c r="DME35"/>
      <c r="DMF35"/>
      <c r="DMG35"/>
      <c r="DMH35"/>
      <c r="DMI35"/>
      <c r="DMJ35"/>
      <c r="DMK35"/>
      <c r="DML35"/>
      <c r="DMM35"/>
      <c r="DMN35"/>
      <c r="DMO35"/>
      <c r="DMP35"/>
      <c r="DMQ35"/>
      <c r="DMR35"/>
      <c r="DMS35"/>
      <c r="DMT35"/>
      <c r="DMU35"/>
      <c r="DMV35"/>
      <c r="DMW35"/>
      <c r="DMX35"/>
      <c r="DMY35"/>
      <c r="DMZ35"/>
      <c r="DNA35"/>
      <c r="DNB35"/>
      <c r="DNC35"/>
      <c r="DND35"/>
      <c r="DNE35"/>
      <c r="DNF35"/>
      <c r="DNG35"/>
      <c r="DNH35"/>
      <c r="DNI35"/>
      <c r="DNJ35"/>
      <c r="DNK35"/>
      <c r="DNL35"/>
      <c r="DNM35"/>
      <c r="DNN35"/>
      <c r="DNO35"/>
      <c r="DNP35"/>
      <c r="DNQ35"/>
      <c r="DNR35"/>
      <c r="DNS35"/>
      <c r="DNT35"/>
      <c r="DNU35"/>
      <c r="DNV35"/>
      <c r="DNW35"/>
      <c r="DNX35"/>
      <c r="DNY35"/>
      <c r="DNZ35"/>
      <c r="DOA35"/>
      <c r="DOB35"/>
      <c r="DOC35"/>
      <c r="DOD35"/>
      <c r="DOE35"/>
      <c r="DOF35"/>
      <c r="DOG35"/>
      <c r="DOH35"/>
      <c r="DOI35"/>
      <c r="DOJ35"/>
      <c r="DOK35"/>
      <c r="DOL35"/>
      <c r="DOM35"/>
      <c r="DON35"/>
      <c r="DOO35"/>
      <c r="DOP35"/>
      <c r="DOQ35"/>
      <c r="DOR35"/>
      <c r="DOS35"/>
      <c r="DOT35"/>
      <c r="DOU35"/>
      <c r="DOV35"/>
      <c r="DOW35"/>
      <c r="DOX35"/>
      <c r="DOY35"/>
      <c r="DOZ35"/>
      <c r="DPA35"/>
      <c r="DPB35"/>
      <c r="DPC35"/>
      <c r="DPD35"/>
      <c r="DPE35"/>
      <c r="DPF35"/>
      <c r="DPG35"/>
      <c r="DPH35"/>
      <c r="DPI35"/>
      <c r="DPJ35"/>
      <c r="DPK35"/>
      <c r="DPL35"/>
      <c r="DPM35"/>
      <c r="DPN35"/>
      <c r="DPO35"/>
      <c r="DPP35"/>
      <c r="DPQ35"/>
      <c r="DPR35"/>
      <c r="DPS35"/>
      <c r="DPT35"/>
      <c r="DPU35"/>
      <c r="DPV35"/>
      <c r="DPW35"/>
      <c r="DPX35"/>
      <c r="DPY35"/>
      <c r="DPZ35"/>
      <c r="DQA35"/>
      <c r="DQB35"/>
      <c r="DQC35"/>
      <c r="DQD35"/>
      <c r="DQE35"/>
      <c r="DQF35"/>
      <c r="DQG35"/>
      <c r="DQH35"/>
      <c r="DQI35"/>
      <c r="DQJ35"/>
      <c r="DQK35"/>
      <c r="DQL35"/>
      <c r="DQM35"/>
      <c r="DQN35"/>
      <c r="DQO35"/>
      <c r="DQP35"/>
      <c r="DQQ35"/>
      <c r="DQR35"/>
      <c r="DQS35"/>
      <c r="DQT35"/>
      <c r="DQU35"/>
      <c r="DQV35"/>
      <c r="DQW35"/>
      <c r="DQX35"/>
      <c r="DQY35"/>
      <c r="DQZ35"/>
      <c r="DRA35"/>
      <c r="DRB35"/>
      <c r="DRC35"/>
      <c r="DRD35"/>
      <c r="DRE35"/>
      <c r="DRF35"/>
      <c r="DRG35"/>
      <c r="DRH35"/>
      <c r="DRI35"/>
      <c r="DRJ35"/>
      <c r="DRK35"/>
      <c r="DRL35"/>
      <c r="DRM35"/>
      <c r="DRN35"/>
      <c r="DRO35"/>
      <c r="DRP35"/>
      <c r="DRQ35"/>
      <c r="DRR35"/>
      <c r="DRS35"/>
      <c r="DRT35"/>
      <c r="DRU35"/>
      <c r="DRV35"/>
      <c r="DRW35"/>
      <c r="DRX35"/>
      <c r="DRY35"/>
      <c r="DRZ35"/>
      <c r="DSA35"/>
      <c r="DSB35"/>
      <c r="DSC35"/>
      <c r="DSD35"/>
      <c r="DSE35"/>
      <c r="DSF35"/>
      <c r="DSG35"/>
      <c r="DSH35"/>
      <c r="DSI35"/>
      <c r="DSJ35"/>
      <c r="DSK35"/>
      <c r="DSL35"/>
      <c r="DSM35"/>
      <c r="DSN35"/>
      <c r="DSO35"/>
      <c r="DSP35"/>
      <c r="DSQ35"/>
      <c r="DSR35"/>
      <c r="DSS35"/>
      <c r="DST35"/>
      <c r="DSU35"/>
      <c r="DSV35"/>
      <c r="DSW35"/>
      <c r="DSX35"/>
      <c r="DSY35"/>
      <c r="DSZ35"/>
      <c r="DTA35"/>
      <c r="DTB35"/>
      <c r="DTC35"/>
      <c r="DTD35"/>
      <c r="DTE35"/>
      <c r="DTF35"/>
      <c r="DTG35"/>
      <c r="DTH35"/>
      <c r="DTI35"/>
      <c r="DTJ35"/>
      <c r="DTK35"/>
      <c r="DTL35"/>
      <c r="DTM35"/>
      <c r="DTN35"/>
      <c r="DTO35"/>
      <c r="DTP35"/>
      <c r="DTQ35"/>
      <c r="DTR35"/>
      <c r="DTS35"/>
      <c r="DTT35"/>
      <c r="DTU35"/>
      <c r="DTV35"/>
      <c r="DTW35"/>
      <c r="DTX35"/>
      <c r="DTY35"/>
      <c r="DTZ35"/>
      <c r="DUA35"/>
      <c r="DUB35"/>
      <c r="DUC35"/>
      <c r="DUD35"/>
      <c r="DUE35"/>
      <c r="DUF35"/>
      <c r="DUG35"/>
      <c r="DUH35"/>
      <c r="DUI35"/>
      <c r="DUJ35"/>
      <c r="DUK35"/>
      <c r="DUL35"/>
      <c r="DUM35"/>
      <c r="DUN35"/>
      <c r="DUO35"/>
      <c r="DUP35"/>
      <c r="DUQ35"/>
      <c r="DUR35"/>
      <c r="DUS35"/>
      <c r="DUT35"/>
      <c r="DUU35"/>
      <c r="DUV35"/>
      <c r="DUW35"/>
      <c r="DUX35"/>
      <c r="DUY35"/>
      <c r="DUZ35"/>
      <c r="DVA35"/>
      <c r="DVB35"/>
      <c r="DVC35"/>
      <c r="DVD35"/>
      <c r="DVE35"/>
      <c r="DVF35"/>
      <c r="DVG35"/>
      <c r="DVH35"/>
      <c r="DVI35"/>
      <c r="DVJ35"/>
      <c r="DVK35"/>
      <c r="DVL35"/>
      <c r="DVM35"/>
      <c r="DVN35"/>
      <c r="DVO35"/>
      <c r="DVP35"/>
      <c r="DVQ35"/>
      <c r="DVR35"/>
      <c r="DVS35"/>
      <c r="DVT35"/>
      <c r="DVU35"/>
      <c r="DVV35"/>
      <c r="DVW35"/>
      <c r="DVX35"/>
      <c r="DVY35"/>
      <c r="DVZ35"/>
      <c r="DWA35"/>
      <c r="DWB35"/>
      <c r="DWC35"/>
      <c r="DWD35"/>
      <c r="DWE35"/>
      <c r="DWF35"/>
      <c r="DWG35"/>
      <c r="DWH35"/>
      <c r="DWI35"/>
      <c r="DWJ35"/>
      <c r="DWK35"/>
      <c r="DWL35"/>
      <c r="DWM35"/>
      <c r="DWN35"/>
      <c r="DWO35"/>
      <c r="DWP35"/>
      <c r="DWQ35"/>
      <c r="DWR35"/>
      <c r="DWS35"/>
      <c r="DWT35"/>
      <c r="DWU35"/>
      <c r="DWV35"/>
      <c r="DWW35"/>
      <c r="DWX35"/>
      <c r="DWY35"/>
      <c r="DWZ35"/>
      <c r="DXA35"/>
      <c r="DXB35"/>
      <c r="DXC35"/>
      <c r="DXD35"/>
      <c r="DXE35"/>
      <c r="DXF35"/>
      <c r="DXG35"/>
      <c r="DXH35"/>
      <c r="DXI35"/>
      <c r="DXJ35"/>
      <c r="DXK35"/>
      <c r="DXL35"/>
      <c r="DXM35"/>
      <c r="DXN35"/>
      <c r="DXO35"/>
      <c r="DXP35"/>
      <c r="DXQ35"/>
      <c r="DXR35"/>
      <c r="DXS35"/>
      <c r="DXT35"/>
      <c r="DXU35"/>
      <c r="DXV35"/>
      <c r="DXW35"/>
      <c r="DXX35"/>
      <c r="DXY35"/>
      <c r="DXZ35"/>
      <c r="DYA35"/>
      <c r="DYB35"/>
      <c r="DYC35"/>
      <c r="DYD35"/>
      <c r="DYE35"/>
      <c r="DYF35"/>
      <c r="DYG35"/>
      <c r="DYH35"/>
      <c r="DYI35"/>
      <c r="DYJ35"/>
      <c r="DYK35"/>
      <c r="DYL35"/>
      <c r="DYM35"/>
      <c r="DYN35"/>
      <c r="DYO35"/>
      <c r="DYP35"/>
      <c r="DYQ35"/>
      <c r="DYR35"/>
      <c r="DYS35"/>
      <c r="DYT35"/>
      <c r="DYU35"/>
      <c r="DYV35"/>
      <c r="DYW35"/>
      <c r="DYX35"/>
      <c r="DYY35"/>
      <c r="DYZ35"/>
      <c r="DZA35"/>
      <c r="DZB35"/>
      <c r="DZC35"/>
      <c r="DZD35"/>
      <c r="DZE35"/>
      <c r="DZF35"/>
      <c r="DZG35"/>
      <c r="DZH35"/>
      <c r="DZI35"/>
      <c r="DZJ35"/>
      <c r="DZK35"/>
      <c r="DZL35"/>
      <c r="DZM35"/>
      <c r="DZN35"/>
      <c r="DZO35"/>
      <c r="DZP35"/>
      <c r="DZQ35"/>
      <c r="DZR35"/>
      <c r="DZS35"/>
      <c r="DZT35"/>
      <c r="DZU35"/>
      <c r="DZV35"/>
      <c r="DZW35"/>
      <c r="DZX35"/>
      <c r="DZY35"/>
      <c r="DZZ35"/>
      <c r="EAA35"/>
      <c r="EAB35"/>
      <c r="EAC35"/>
      <c r="EAD35"/>
      <c r="EAE35"/>
      <c r="EAF35"/>
      <c r="EAG35"/>
      <c r="EAH35"/>
      <c r="EAI35"/>
      <c r="EAJ35"/>
      <c r="EAK35"/>
      <c r="EAL35"/>
      <c r="EAM35"/>
      <c r="EAN35"/>
      <c r="EAO35"/>
      <c r="EAP35"/>
      <c r="EAQ35"/>
      <c r="EAR35"/>
      <c r="EAS35"/>
      <c r="EAT35"/>
      <c r="EAU35"/>
      <c r="EAV35"/>
      <c r="EAW35"/>
      <c r="EAX35"/>
      <c r="EAY35"/>
      <c r="EAZ35"/>
      <c r="EBA35"/>
      <c r="EBB35"/>
      <c r="EBC35"/>
      <c r="EBD35"/>
      <c r="EBE35"/>
      <c r="EBF35"/>
      <c r="EBG35"/>
      <c r="EBH35"/>
      <c r="EBI35"/>
      <c r="EBJ35"/>
      <c r="EBK35"/>
      <c r="EBL35"/>
      <c r="EBM35"/>
      <c r="EBN35"/>
      <c r="EBO35"/>
      <c r="EBP35"/>
      <c r="EBQ35"/>
      <c r="EBR35"/>
      <c r="EBS35"/>
      <c r="EBT35"/>
      <c r="EBU35"/>
      <c r="EBV35"/>
      <c r="EBW35"/>
      <c r="EBX35"/>
      <c r="EBY35"/>
      <c r="EBZ35"/>
      <c r="ECA35"/>
      <c r="ECB35"/>
      <c r="ECC35"/>
      <c r="ECD35"/>
      <c r="ECE35"/>
      <c r="ECF35"/>
      <c r="ECG35"/>
      <c r="ECH35"/>
      <c r="ECI35"/>
      <c r="ECJ35"/>
      <c r="ECK35"/>
      <c r="ECL35"/>
      <c r="ECM35"/>
      <c r="ECN35"/>
      <c r="ECO35"/>
      <c r="ECP35"/>
      <c r="ECQ35"/>
      <c r="ECR35"/>
      <c r="ECS35"/>
      <c r="ECT35"/>
      <c r="ECU35"/>
      <c r="ECV35"/>
      <c r="ECW35"/>
      <c r="ECX35"/>
      <c r="ECY35"/>
      <c r="ECZ35"/>
      <c r="EDA35"/>
      <c r="EDB35"/>
      <c r="EDC35"/>
      <c r="EDD35"/>
      <c r="EDE35"/>
      <c r="EDF35"/>
      <c r="EDG35"/>
      <c r="EDH35"/>
      <c r="EDI35"/>
      <c r="EDJ35"/>
      <c r="EDK35"/>
      <c r="EDL35"/>
      <c r="EDM35"/>
      <c r="EDN35"/>
      <c r="EDO35"/>
      <c r="EDP35"/>
      <c r="EDQ35"/>
      <c r="EDR35"/>
      <c r="EDS35"/>
      <c r="EDT35"/>
      <c r="EDU35"/>
      <c r="EDV35"/>
      <c r="EDW35"/>
      <c r="EDX35"/>
      <c r="EDY35"/>
      <c r="EDZ35"/>
      <c r="EEA35"/>
      <c r="EEB35"/>
      <c r="EEC35"/>
      <c r="EED35"/>
      <c r="EEE35"/>
      <c r="EEF35"/>
      <c r="EEG35"/>
      <c r="EEH35"/>
      <c r="EEI35"/>
      <c r="EEJ35"/>
      <c r="EEK35"/>
      <c r="EEL35"/>
      <c r="EEM35"/>
      <c r="EEN35"/>
      <c r="EEO35"/>
      <c r="EEP35"/>
      <c r="EEQ35"/>
      <c r="EER35"/>
      <c r="EES35"/>
      <c r="EET35"/>
      <c r="EEU35"/>
      <c r="EEV35"/>
      <c r="EEW35"/>
      <c r="EEX35"/>
      <c r="EEY35"/>
      <c r="EEZ35"/>
      <c r="EFA35"/>
      <c r="EFB35"/>
      <c r="EFC35"/>
      <c r="EFD35"/>
      <c r="EFE35"/>
      <c r="EFF35"/>
      <c r="EFG35"/>
      <c r="EFH35"/>
      <c r="EFI35"/>
      <c r="EFJ35"/>
      <c r="EFK35"/>
      <c r="EFL35"/>
      <c r="EFM35"/>
      <c r="EFN35"/>
      <c r="EFO35"/>
      <c r="EFP35"/>
      <c r="EFQ35"/>
      <c r="EFR35"/>
      <c r="EFS35"/>
      <c r="EFT35"/>
      <c r="EFU35"/>
      <c r="EFV35"/>
      <c r="EFW35"/>
      <c r="EFX35"/>
      <c r="EFY35"/>
      <c r="EFZ35"/>
      <c r="EGA35"/>
      <c r="EGB35"/>
      <c r="EGC35"/>
      <c r="EGD35"/>
      <c r="EGE35"/>
      <c r="EGF35"/>
      <c r="EGG35"/>
      <c r="EGH35"/>
      <c r="EGI35"/>
      <c r="EGJ35"/>
      <c r="EGK35"/>
      <c r="EGL35"/>
      <c r="EGM35"/>
      <c r="EGN35"/>
      <c r="EGO35"/>
      <c r="EGP35"/>
      <c r="EGQ35"/>
      <c r="EGR35"/>
      <c r="EGS35"/>
      <c r="EGT35"/>
      <c r="EGU35"/>
      <c r="EGV35"/>
      <c r="EGW35"/>
      <c r="EGX35"/>
      <c r="EGY35"/>
      <c r="EGZ35"/>
      <c r="EHA35"/>
      <c r="EHB35"/>
      <c r="EHC35"/>
      <c r="EHD35"/>
      <c r="EHE35"/>
      <c r="EHF35"/>
      <c r="EHG35"/>
      <c r="EHH35"/>
      <c r="EHI35"/>
      <c r="EHJ35"/>
      <c r="EHK35"/>
      <c r="EHL35"/>
      <c r="EHM35"/>
      <c r="EHN35"/>
      <c r="EHO35"/>
      <c r="EHP35"/>
      <c r="EHQ35"/>
      <c r="EHR35"/>
      <c r="EHS35"/>
      <c r="EHT35"/>
      <c r="EHU35"/>
      <c r="EHV35"/>
      <c r="EHW35"/>
      <c r="EHX35"/>
      <c r="EHY35"/>
      <c r="EHZ35"/>
      <c r="EIA35"/>
      <c r="EIB35"/>
      <c r="EIC35"/>
      <c r="EID35"/>
      <c r="EIE35"/>
      <c r="EIF35"/>
      <c r="EIG35"/>
      <c r="EIH35"/>
      <c r="EII35"/>
      <c r="EIJ35"/>
      <c r="EIK35"/>
      <c r="EIL35"/>
      <c r="EIM35"/>
      <c r="EIN35"/>
      <c r="EIO35"/>
      <c r="EIP35"/>
      <c r="EIQ35"/>
      <c r="EIR35"/>
      <c r="EIS35"/>
      <c r="EIT35"/>
      <c r="EIU35"/>
      <c r="EIV35"/>
      <c r="EIW35"/>
      <c r="EIX35"/>
      <c r="EIY35"/>
      <c r="EIZ35"/>
      <c r="EJA35"/>
      <c r="EJB35"/>
      <c r="EJC35"/>
      <c r="EJD35"/>
      <c r="EJE35"/>
      <c r="EJF35"/>
      <c r="EJG35"/>
      <c r="EJH35"/>
      <c r="EJI35"/>
      <c r="EJJ35"/>
      <c r="EJK35"/>
      <c r="EJL35"/>
      <c r="EJM35"/>
      <c r="EJN35"/>
      <c r="EJO35"/>
      <c r="EJP35"/>
      <c r="EJQ35"/>
      <c r="EJR35"/>
      <c r="EJS35"/>
      <c r="EJT35"/>
      <c r="EJU35"/>
      <c r="EJV35"/>
      <c r="EJW35"/>
      <c r="EJX35"/>
      <c r="EJY35"/>
      <c r="EJZ35"/>
      <c r="EKA35"/>
      <c r="EKB35"/>
      <c r="EKC35"/>
      <c r="EKD35"/>
      <c r="EKE35"/>
      <c r="EKF35"/>
      <c r="EKG35"/>
      <c r="EKH35"/>
      <c r="EKI35"/>
      <c r="EKJ35"/>
      <c r="EKK35"/>
      <c r="EKL35"/>
      <c r="EKM35"/>
      <c r="EKN35"/>
      <c r="EKO35"/>
      <c r="EKP35"/>
      <c r="EKQ35"/>
      <c r="EKR35"/>
      <c r="EKS35"/>
      <c r="EKT35"/>
      <c r="EKU35"/>
      <c r="EKV35"/>
      <c r="EKW35"/>
      <c r="EKX35"/>
      <c r="EKY35"/>
      <c r="EKZ35"/>
      <c r="ELA35"/>
      <c r="ELB35"/>
      <c r="ELC35"/>
      <c r="ELD35"/>
      <c r="ELE35"/>
      <c r="ELF35"/>
      <c r="ELG35"/>
      <c r="ELH35"/>
      <c r="ELI35"/>
      <c r="ELJ35"/>
      <c r="ELK35"/>
      <c r="ELL35"/>
      <c r="ELM35"/>
      <c r="ELN35"/>
      <c r="ELO35"/>
      <c r="ELP35"/>
      <c r="ELQ35"/>
      <c r="ELR35"/>
      <c r="ELS35"/>
      <c r="ELT35"/>
      <c r="ELU35"/>
      <c r="ELV35"/>
      <c r="ELW35"/>
      <c r="ELX35"/>
      <c r="ELY35"/>
      <c r="ELZ35"/>
      <c r="EMA35"/>
      <c r="EMB35"/>
      <c r="EMC35"/>
      <c r="EMD35"/>
      <c r="EME35"/>
      <c r="EMF35"/>
      <c r="EMG35"/>
      <c r="EMH35"/>
      <c r="EMI35"/>
      <c r="EMJ35"/>
      <c r="EMK35"/>
      <c r="EML35"/>
      <c r="EMM35"/>
      <c r="EMN35"/>
      <c r="EMO35"/>
      <c r="EMP35"/>
      <c r="EMQ35"/>
      <c r="EMR35"/>
      <c r="EMS35"/>
      <c r="EMT35"/>
      <c r="EMU35"/>
      <c r="EMV35"/>
      <c r="EMW35"/>
      <c r="EMX35"/>
      <c r="EMY35"/>
      <c r="EMZ35"/>
      <c r="ENA35"/>
      <c r="ENB35"/>
      <c r="ENC35"/>
      <c r="END35"/>
      <c r="ENE35"/>
      <c r="ENF35"/>
      <c r="ENG35"/>
      <c r="ENH35"/>
      <c r="ENI35"/>
      <c r="ENJ35"/>
      <c r="ENK35"/>
      <c r="ENL35"/>
      <c r="ENM35"/>
      <c r="ENN35"/>
      <c r="ENO35"/>
      <c r="ENP35"/>
      <c r="ENQ35"/>
      <c r="ENR35"/>
      <c r="ENS35"/>
      <c r="ENT35"/>
      <c r="ENU35"/>
      <c r="ENV35"/>
      <c r="ENW35"/>
      <c r="ENX35"/>
      <c r="ENY35"/>
      <c r="ENZ35"/>
      <c r="EOA35"/>
      <c r="EOB35"/>
      <c r="EOC35"/>
      <c r="EOD35"/>
      <c r="EOE35"/>
      <c r="EOF35"/>
      <c r="EOG35"/>
      <c r="EOH35"/>
      <c r="EOI35"/>
      <c r="EOJ35"/>
      <c r="EOK35"/>
      <c r="EOL35"/>
      <c r="EOM35"/>
      <c r="EON35"/>
      <c r="EOO35"/>
      <c r="EOP35"/>
      <c r="EOQ35"/>
      <c r="EOR35"/>
      <c r="EOS35"/>
      <c r="EOT35"/>
      <c r="EOU35"/>
      <c r="EOV35"/>
      <c r="EOW35"/>
      <c r="EOX35"/>
      <c r="EOY35"/>
      <c r="EOZ35"/>
      <c r="EPA35"/>
      <c r="EPB35"/>
      <c r="EPC35"/>
      <c r="EPD35"/>
      <c r="EPE35"/>
      <c r="EPF35"/>
      <c r="EPG35"/>
      <c r="EPH35"/>
      <c r="EPI35"/>
      <c r="EPJ35"/>
      <c r="EPK35"/>
      <c r="EPL35"/>
      <c r="EPM35"/>
      <c r="EPN35"/>
      <c r="EPO35"/>
      <c r="EPP35"/>
      <c r="EPQ35"/>
      <c r="EPR35"/>
      <c r="EPS35"/>
      <c r="EPT35"/>
      <c r="EPU35"/>
      <c r="EPV35"/>
      <c r="EPW35"/>
      <c r="EPX35"/>
      <c r="EPY35"/>
      <c r="EPZ35"/>
      <c r="EQA35"/>
      <c r="EQB35"/>
      <c r="EQC35"/>
      <c r="EQD35"/>
      <c r="EQE35"/>
      <c r="EQF35"/>
      <c r="EQG35"/>
      <c r="EQH35"/>
      <c r="EQI35"/>
      <c r="EQJ35"/>
      <c r="EQK35"/>
      <c r="EQL35"/>
      <c r="EQM35"/>
      <c r="EQN35"/>
      <c r="EQO35"/>
      <c r="EQP35"/>
      <c r="EQQ35"/>
      <c r="EQR35"/>
      <c r="EQS35"/>
      <c r="EQT35"/>
      <c r="EQU35"/>
      <c r="EQV35"/>
      <c r="EQW35"/>
      <c r="EQX35"/>
      <c r="EQY35"/>
      <c r="EQZ35"/>
      <c r="ERA35"/>
      <c r="ERB35"/>
      <c r="ERC35"/>
      <c r="ERD35"/>
      <c r="ERE35"/>
      <c r="ERF35"/>
      <c r="ERG35"/>
      <c r="ERH35"/>
      <c r="ERI35"/>
      <c r="ERJ35"/>
      <c r="ERK35"/>
      <c r="ERL35"/>
      <c r="ERM35"/>
      <c r="ERN35"/>
      <c r="ERO35"/>
      <c r="ERP35"/>
      <c r="ERQ35"/>
      <c r="ERR35"/>
      <c r="ERS35"/>
      <c r="ERT35"/>
      <c r="ERU35"/>
      <c r="ERV35"/>
      <c r="ERW35"/>
      <c r="ERX35"/>
      <c r="ERY35"/>
      <c r="ERZ35"/>
      <c r="ESA35"/>
      <c r="ESB35"/>
      <c r="ESC35"/>
      <c r="ESD35"/>
      <c r="ESE35"/>
      <c r="ESF35"/>
      <c r="ESG35"/>
      <c r="ESH35"/>
      <c r="ESI35"/>
      <c r="ESJ35"/>
      <c r="ESK35"/>
      <c r="ESL35"/>
      <c r="ESM35"/>
      <c r="ESN35"/>
      <c r="ESO35"/>
      <c r="ESP35"/>
      <c r="ESQ35"/>
      <c r="ESR35"/>
      <c r="ESS35"/>
      <c r="EST35"/>
      <c r="ESU35"/>
      <c r="ESV35"/>
      <c r="ESW35"/>
      <c r="ESX35"/>
      <c r="ESY35"/>
      <c r="ESZ35"/>
      <c r="ETA35"/>
      <c r="ETB35"/>
      <c r="ETC35"/>
      <c r="ETD35"/>
      <c r="ETE35"/>
      <c r="ETF35"/>
      <c r="ETG35"/>
      <c r="ETH35"/>
      <c r="ETI35"/>
      <c r="ETJ35"/>
      <c r="ETK35"/>
      <c r="ETL35"/>
      <c r="ETM35"/>
      <c r="ETN35"/>
      <c r="ETO35"/>
      <c r="ETP35"/>
      <c r="ETQ35"/>
      <c r="ETR35"/>
      <c r="ETS35"/>
      <c r="ETT35"/>
      <c r="ETU35"/>
      <c r="ETV35"/>
      <c r="ETW35"/>
      <c r="ETX35"/>
      <c r="ETY35"/>
      <c r="ETZ35"/>
      <c r="EUA35"/>
      <c r="EUB35"/>
      <c r="EUC35"/>
      <c r="EUD35"/>
      <c r="EUE35"/>
      <c r="EUF35"/>
      <c r="EUG35"/>
      <c r="EUH35"/>
      <c r="EUI35"/>
      <c r="EUJ35"/>
      <c r="EUK35"/>
      <c r="EUL35"/>
      <c r="EUM35"/>
      <c r="EUN35"/>
      <c r="EUO35"/>
      <c r="EUP35"/>
      <c r="EUQ35"/>
      <c r="EUR35"/>
      <c r="EUS35"/>
      <c r="EUT35"/>
      <c r="EUU35"/>
      <c r="EUV35"/>
      <c r="EUW35"/>
      <c r="EUX35"/>
      <c r="EUY35"/>
      <c r="EUZ35"/>
      <c r="EVA35"/>
      <c r="EVB35"/>
      <c r="EVC35"/>
      <c r="EVD35"/>
      <c r="EVE35"/>
      <c r="EVF35"/>
      <c r="EVG35"/>
      <c r="EVH35"/>
      <c r="EVI35"/>
      <c r="EVJ35"/>
      <c r="EVK35"/>
      <c r="EVL35"/>
      <c r="EVM35"/>
      <c r="EVN35"/>
      <c r="EVO35"/>
      <c r="EVP35"/>
      <c r="EVQ35"/>
      <c r="EVR35"/>
      <c r="EVS35"/>
      <c r="EVT35"/>
      <c r="EVU35"/>
      <c r="EVV35"/>
      <c r="EVW35"/>
      <c r="EVX35"/>
      <c r="EVY35"/>
      <c r="EVZ35"/>
      <c r="EWA35"/>
      <c r="EWB35"/>
      <c r="EWC35"/>
      <c r="EWD35"/>
      <c r="EWE35"/>
      <c r="EWF35"/>
      <c r="EWG35"/>
      <c r="EWH35"/>
      <c r="EWI35"/>
      <c r="EWJ35"/>
      <c r="EWK35"/>
      <c r="EWL35"/>
      <c r="EWM35"/>
      <c r="EWN35"/>
      <c r="EWO35"/>
      <c r="EWP35"/>
      <c r="EWQ35"/>
      <c r="EWR35"/>
      <c r="EWS35"/>
      <c r="EWT35"/>
      <c r="EWU35"/>
      <c r="EWV35"/>
      <c r="EWW35"/>
      <c r="EWX35"/>
      <c r="EWY35"/>
      <c r="EWZ35"/>
      <c r="EXA35"/>
      <c r="EXB35"/>
      <c r="EXC35"/>
      <c r="EXD35"/>
      <c r="EXE35"/>
      <c r="EXF35"/>
      <c r="EXG35"/>
      <c r="EXH35"/>
      <c r="EXI35"/>
      <c r="EXJ35"/>
      <c r="EXK35"/>
      <c r="EXL35"/>
      <c r="EXM35"/>
      <c r="EXN35"/>
      <c r="EXO35"/>
      <c r="EXP35"/>
      <c r="EXQ35"/>
      <c r="EXR35"/>
      <c r="EXS35"/>
      <c r="EXT35"/>
      <c r="EXU35"/>
      <c r="EXV35"/>
      <c r="EXW35"/>
      <c r="EXX35"/>
      <c r="EXY35"/>
      <c r="EXZ35"/>
      <c r="EYA35"/>
      <c r="EYB35"/>
      <c r="EYC35"/>
      <c r="EYD35"/>
      <c r="EYE35"/>
      <c r="EYF35"/>
      <c r="EYG35"/>
      <c r="EYH35"/>
      <c r="EYI35"/>
      <c r="EYJ35"/>
      <c r="EYK35"/>
      <c r="EYL35"/>
      <c r="EYM35"/>
      <c r="EYN35"/>
      <c r="EYO35"/>
      <c r="EYP35"/>
      <c r="EYQ35"/>
      <c r="EYR35"/>
      <c r="EYS35"/>
      <c r="EYT35"/>
      <c r="EYU35"/>
      <c r="EYV35"/>
      <c r="EYW35"/>
      <c r="EYX35"/>
      <c r="EYY35"/>
      <c r="EYZ35"/>
      <c r="EZA35"/>
      <c r="EZB35"/>
      <c r="EZC35"/>
      <c r="EZD35"/>
      <c r="EZE35"/>
      <c r="EZF35"/>
      <c r="EZG35"/>
      <c r="EZH35"/>
      <c r="EZI35"/>
      <c r="EZJ35"/>
      <c r="EZK35"/>
      <c r="EZL35"/>
      <c r="EZM35"/>
      <c r="EZN35"/>
      <c r="EZO35"/>
      <c r="EZP35"/>
      <c r="EZQ35"/>
      <c r="EZR35"/>
      <c r="EZS35"/>
      <c r="EZT35"/>
      <c r="EZU35"/>
      <c r="EZV35"/>
      <c r="EZW35"/>
      <c r="EZX35"/>
      <c r="EZY35"/>
      <c r="EZZ35"/>
      <c r="FAA35"/>
      <c r="FAB35"/>
      <c r="FAC35"/>
      <c r="FAD35"/>
      <c r="FAE35"/>
      <c r="FAF35"/>
      <c r="FAG35"/>
      <c r="FAH35"/>
      <c r="FAI35"/>
      <c r="FAJ35"/>
      <c r="FAK35"/>
      <c r="FAL35"/>
      <c r="FAM35"/>
      <c r="FAN35"/>
      <c r="FAO35"/>
      <c r="FAP35"/>
      <c r="FAQ35"/>
      <c r="FAR35"/>
      <c r="FAS35"/>
      <c r="FAT35"/>
      <c r="FAU35"/>
      <c r="FAV35"/>
      <c r="FAW35"/>
      <c r="FAX35"/>
      <c r="FAY35"/>
      <c r="FAZ35"/>
      <c r="FBA35"/>
      <c r="FBB35"/>
      <c r="FBC35"/>
      <c r="FBD35"/>
      <c r="FBE35"/>
      <c r="FBF35"/>
      <c r="FBG35"/>
      <c r="FBH35"/>
      <c r="FBI35"/>
      <c r="FBJ35"/>
      <c r="FBK35"/>
      <c r="FBL35"/>
      <c r="FBM35"/>
      <c r="FBN35"/>
      <c r="FBO35"/>
      <c r="FBP35"/>
      <c r="FBQ35"/>
      <c r="FBR35"/>
      <c r="FBS35"/>
      <c r="FBT35"/>
      <c r="FBU35"/>
      <c r="FBV35"/>
      <c r="FBW35"/>
      <c r="FBX35"/>
      <c r="FBY35"/>
      <c r="FBZ35"/>
      <c r="FCA35"/>
      <c r="FCB35"/>
      <c r="FCC35"/>
      <c r="FCD35"/>
      <c r="FCE35"/>
      <c r="FCF35"/>
      <c r="FCG35"/>
      <c r="FCH35"/>
      <c r="FCI35"/>
      <c r="FCJ35"/>
      <c r="FCK35"/>
      <c r="FCL35"/>
      <c r="FCM35"/>
      <c r="FCN35"/>
      <c r="FCO35"/>
      <c r="FCP35"/>
      <c r="FCQ35"/>
      <c r="FCR35"/>
      <c r="FCS35"/>
      <c r="FCT35"/>
      <c r="FCU35"/>
      <c r="FCV35"/>
      <c r="FCW35"/>
      <c r="FCX35"/>
      <c r="FCY35"/>
      <c r="FCZ35"/>
      <c r="FDA35"/>
      <c r="FDB35"/>
      <c r="FDC35"/>
      <c r="FDD35"/>
      <c r="FDE35"/>
      <c r="FDF35"/>
      <c r="FDG35"/>
      <c r="FDH35"/>
      <c r="FDI35"/>
      <c r="FDJ35"/>
      <c r="FDK35"/>
      <c r="FDL35"/>
      <c r="FDM35"/>
      <c r="FDN35"/>
      <c r="FDO35"/>
      <c r="FDP35"/>
      <c r="FDQ35"/>
      <c r="FDR35"/>
      <c r="FDS35"/>
      <c r="FDT35"/>
      <c r="FDU35"/>
      <c r="FDV35"/>
      <c r="FDW35"/>
      <c r="FDX35"/>
      <c r="FDY35"/>
      <c r="FDZ35"/>
      <c r="FEA35"/>
      <c r="FEB35"/>
      <c r="FEC35"/>
      <c r="FED35"/>
      <c r="FEE35"/>
      <c r="FEF35"/>
      <c r="FEG35"/>
      <c r="FEH35"/>
      <c r="FEI35"/>
      <c r="FEJ35"/>
      <c r="FEK35"/>
      <c r="FEL35"/>
      <c r="FEM35"/>
      <c r="FEN35"/>
      <c r="FEO35"/>
      <c r="FEP35"/>
      <c r="FEQ35"/>
      <c r="FER35"/>
      <c r="FES35"/>
      <c r="FET35"/>
      <c r="FEU35"/>
      <c r="FEV35"/>
      <c r="FEW35"/>
      <c r="FEX35"/>
      <c r="FEY35"/>
      <c r="FEZ35"/>
      <c r="FFA35"/>
      <c r="FFB35"/>
      <c r="FFC35"/>
      <c r="FFD35"/>
      <c r="FFE35"/>
      <c r="FFF35"/>
      <c r="FFG35"/>
      <c r="FFH35"/>
      <c r="FFI35"/>
      <c r="FFJ35"/>
      <c r="FFK35"/>
      <c r="FFL35"/>
      <c r="FFM35"/>
      <c r="FFN35"/>
      <c r="FFO35"/>
      <c r="FFP35"/>
      <c r="FFQ35"/>
      <c r="FFR35"/>
      <c r="FFS35"/>
      <c r="FFT35"/>
      <c r="FFU35"/>
      <c r="FFV35"/>
      <c r="FFW35"/>
      <c r="FFX35"/>
      <c r="FFY35"/>
      <c r="FFZ35"/>
      <c r="FGA35"/>
      <c r="FGB35"/>
      <c r="FGC35"/>
      <c r="FGD35"/>
      <c r="FGE35"/>
      <c r="FGF35"/>
      <c r="FGG35"/>
      <c r="FGH35"/>
      <c r="FGI35"/>
      <c r="FGJ35"/>
      <c r="FGK35"/>
      <c r="FGL35"/>
      <c r="FGM35"/>
      <c r="FGN35"/>
      <c r="FGO35"/>
      <c r="FGP35"/>
      <c r="FGQ35"/>
      <c r="FGR35"/>
      <c r="FGS35"/>
      <c r="FGT35"/>
      <c r="FGU35"/>
      <c r="FGV35"/>
      <c r="FGW35"/>
      <c r="FGX35"/>
      <c r="FGY35"/>
      <c r="FGZ35"/>
      <c r="FHA35"/>
      <c r="FHB35"/>
      <c r="FHC35"/>
      <c r="FHD35"/>
      <c r="FHE35"/>
      <c r="FHF35"/>
      <c r="FHG35"/>
      <c r="FHH35"/>
      <c r="FHI35"/>
      <c r="FHJ35"/>
      <c r="FHK35"/>
      <c r="FHL35"/>
      <c r="FHM35"/>
      <c r="FHN35"/>
      <c r="FHO35"/>
      <c r="FHP35"/>
      <c r="FHQ35"/>
      <c r="FHR35"/>
      <c r="FHS35"/>
      <c r="FHT35"/>
      <c r="FHU35"/>
      <c r="FHV35"/>
      <c r="FHW35"/>
      <c r="FHX35"/>
      <c r="FHY35"/>
      <c r="FHZ35"/>
      <c r="FIA35"/>
      <c r="FIB35"/>
      <c r="FIC35"/>
      <c r="FID35"/>
      <c r="FIE35"/>
      <c r="FIF35"/>
      <c r="FIG35"/>
      <c r="FIH35"/>
      <c r="FII35"/>
      <c r="FIJ35"/>
      <c r="FIK35"/>
      <c r="FIL35"/>
      <c r="FIM35"/>
      <c r="FIN35"/>
      <c r="FIO35"/>
      <c r="FIP35"/>
      <c r="FIQ35"/>
      <c r="FIR35"/>
      <c r="FIS35"/>
      <c r="FIT35"/>
      <c r="FIU35"/>
      <c r="FIV35"/>
      <c r="FIW35"/>
      <c r="FIX35"/>
      <c r="FIY35"/>
      <c r="FIZ35"/>
      <c r="FJA35"/>
      <c r="FJB35"/>
      <c r="FJC35"/>
      <c r="FJD35"/>
      <c r="FJE35"/>
      <c r="FJF35"/>
      <c r="FJG35"/>
      <c r="FJH35"/>
      <c r="FJI35"/>
      <c r="FJJ35"/>
      <c r="FJK35"/>
      <c r="FJL35"/>
      <c r="FJM35"/>
      <c r="FJN35"/>
      <c r="FJO35"/>
      <c r="FJP35"/>
      <c r="FJQ35"/>
      <c r="FJR35"/>
      <c r="FJS35"/>
      <c r="FJT35"/>
      <c r="FJU35"/>
      <c r="FJV35"/>
      <c r="FJW35"/>
      <c r="FJX35"/>
      <c r="FJY35"/>
      <c r="FJZ35"/>
      <c r="FKA35"/>
      <c r="FKB35"/>
      <c r="FKC35"/>
      <c r="FKD35"/>
      <c r="FKE35"/>
      <c r="FKF35"/>
      <c r="FKG35"/>
      <c r="FKH35"/>
      <c r="FKI35"/>
      <c r="FKJ35"/>
      <c r="FKK35"/>
      <c r="FKL35"/>
      <c r="FKM35"/>
      <c r="FKN35"/>
      <c r="FKO35"/>
      <c r="FKP35"/>
      <c r="FKQ35"/>
      <c r="FKR35"/>
      <c r="FKS35"/>
      <c r="FKT35"/>
      <c r="FKU35"/>
      <c r="FKV35"/>
      <c r="FKW35"/>
      <c r="FKX35"/>
      <c r="FKY35"/>
      <c r="FKZ35"/>
      <c r="FLA35"/>
      <c r="FLB35"/>
      <c r="FLC35"/>
      <c r="FLD35"/>
      <c r="FLE35"/>
      <c r="FLF35"/>
      <c r="FLG35"/>
      <c r="FLH35"/>
      <c r="FLI35"/>
      <c r="FLJ35"/>
      <c r="FLK35"/>
      <c r="FLL35"/>
      <c r="FLM35"/>
      <c r="FLN35"/>
      <c r="FLO35"/>
      <c r="FLP35"/>
      <c r="FLQ35"/>
      <c r="FLR35"/>
      <c r="FLS35"/>
      <c r="FLT35"/>
      <c r="FLU35"/>
      <c r="FLV35"/>
      <c r="FLW35"/>
      <c r="FLX35"/>
      <c r="FLY35"/>
      <c r="FLZ35"/>
      <c r="FMA35"/>
      <c r="FMB35"/>
      <c r="FMC35"/>
      <c r="FMD35"/>
      <c r="FME35"/>
      <c r="FMF35"/>
      <c r="FMG35"/>
      <c r="FMH35"/>
      <c r="FMI35"/>
      <c r="FMJ35"/>
      <c r="FMK35"/>
      <c r="FML35"/>
      <c r="FMM35"/>
      <c r="FMN35"/>
      <c r="FMO35"/>
      <c r="FMP35"/>
      <c r="FMQ35"/>
      <c r="FMR35"/>
      <c r="FMS35"/>
      <c r="FMT35"/>
      <c r="FMU35"/>
      <c r="FMV35"/>
      <c r="FMW35"/>
      <c r="FMX35"/>
      <c r="FMY35"/>
      <c r="FMZ35"/>
      <c r="FNA35"/>
      <c r="FNB35"/>
      <c r="FNC35"/>
      <c r="FND35"/>
      <c r="FNE35"/>
      <c r="FNF35"/>
      <c r="FNG35"/>
      <c r="FNH35"/>
      <c r="FNI35"/>
      <c r="FNJ35"/>
      <c r="FNK35"/>
      <c r="FNL35"/>
      <c r="FNM35"/>
      <c r="FNN35"/>
      <c r="FNO35"/>
      <c r="FNP35"/>
      <c r="FNQ35"/>
      <c r="FNR35"/>
      <c r="FNS35"/>
      <c r="FNT35"/>
      <c r="FNU35"/>
      <c r="FNV35"/>
      <c r="FNW35"/>
      <c r="FNX35"/>
      <c r="FNY35"/>
      <c r="FNZ35"/>
      <c r="FOA35"/>
      <c r="FOB35"/>
      <c r="FOC35"/>
      <c r="FOD35"/>
      <c r="FOE35"/>
      <c r="FOF35"/>
      <c r="FOG35"/>
      <c r="FOH35"/>
      <c r="FOI35"/>
      <c r="FOJ35"/>
      <c r="FOK35"/>
      <c r="FOL35"/>
      <c r="FOM35"/>
      <c r="FON35"/>
      <c r="FOO35"/>
      <c r="FOP35"/>
      <c r="FOQ35"/>
      <c r="FOR35"/>
      <c r="FOS35"/>
      <c r="FOT35"/>
      <c r="FOU35"/>
      <c r="FOV35"/>
      <c r="FOW35"/>
      <c r="FOX35"/>
      <c r="FOY35"/>
      <c r="FOZ35"/>
      <c r="FPA35"/>
      <c r="FPB35"/>
      <c r="FPC35"/>
      <c r="FPD35"/>
      <c r="FPE35"/>
      <c r="FPF35"/>
      <c r="FPG35"/>
      <c r="FPH35"/>
      <c r="FPI35"/>
      <c r="FPJ35"/>
      <c r="FPK35"/>
      <c r="FPL35"/>
      <c r="FPM35"/>
      <c r="FPN35"/>
      <c r="FPO35"/>
      <c r="FPP35"/>
      <c r="FPQ35"/>
      <c r="FPR35"/>
      <c r="FPS35"/>
      <c r="FPT35"/>
      <c r="FPU35"/>
      <c r="FPV35"/>
      <c r="FPW35"/>
      <c r="FPX35"/>
      <c r="FPY35"/>
      <c r="FPZ35"/>
      <c r="FQA35"/>
      <c r="FQB35"/>
      <c r="FQC35"/>
      <c r="FQD35"/>
      <c r="FQE35"/>
      <c r="FQF35"/>
      <c r="FQG35"/>
      <c r="FQH35"/>
      <c r="FQI35"/>
      <c r="FQJ35"/>
      <c r="FQK35"/>
      <c r="FQL35"/>
      <c r="FQM35"/>
      <c r="FQN35"/>
      <c r="FQO35"/>
      <c r="FQP35"/>
      <c r="FQQ35"/>
      <c r="FQR35"/>
      <c r="FQS35"/>
      <c r="FQT35"/>
      <c r="FQU35"/>
      <c r="FQV35"/>
      <c r="FQW35"/>
      <c r="FQX35"/>
      <c r="FQY35"/>
      <c r="FQZ35"/>
      <c r="FRA35"/>
      <c r="FRB35"/>
      <c r="FRC35"/>
      <c r="FRD35"/>
      <c r="FRE35"/>
      <c r="FRF35"/>
      <c r="FRG35"/>
      <c r="FRH35"/>
      <c r="FRI35"/>
      <c r="FRJ35"/>
      <c r="FRK35"/>
      <c r="FRL35"/>
      <c r="FRM35"/>
      <c r="FRN35"/>
      <c r="FRO35"/>
      <c r="FRP35"/>
      <c r="FRQ35"/>
      <c r="FRR35"/>
      <c r="FRS35"/>
      <c r="FRT35"/>
      <c r="FRU35"/>
      <c r="FRV35"/>
      <c r="FRW35"/>
      <c r="FRX35"/>
      <c r="FRY35"/>
      <c r="FRZ35"/>
      <c r="FSA35"/>
      <c r="FSB35"/>
      <c r="FSC35"/>
      <c r="FSD35"/>
      <c r="FSE35"/>
      <c r="FSF35"/>
      <c r="FSG35"/>
      <c r="FSH35"/>
      <c r="FSI35"/>
      <c r="FSJ35"/>
      <c r="FSK35"/>
      <c r="FSL35"/>
      <c r="FSM35"/>
      <c r="FSN35"/>
      <c r="FSO35"/>
      <c r="FSP35"/>
      <c r="FSQ35"/>
      <c r="FSR35"/>
      <c r="FSS35"/>
      <c r="FST35"/>
      <c r="FSU35"/>
      <c r="FSV35"/>
      <c r="FSW35"/>
      <c r="FSX35"/>
      <c r="FSY35"/>
      <c r="FSZ35"/>
      <c r="FTA35"/>
      <c r="FTB35"/>
      <c r="FTC35"/>
      <c r="FTD35"/>
      <c r="FTE35"/>
      <c r="FTF35"/>
      <c r="FTG35"/>
      <c r="FTH35"/>
      <c r="FTI35"/>
      <c r="FTJ35"/>
      <c r="FTK35"/>
      <c r="FTL35"/>
      <c r="FTM35"/>
      <c r="FTN35"/>
      <c r="FTO35"/>
      <c r="FTP35"/>
      <c r="FTQ35"/>
      <c r="FTR35"/>
      <c r="FTS35"/>
      <c r="FTT35"/>
      <c r="FTU35"/>
      <c r="FTV35"/>
      <c r="FTW35"/>
      <c r="FTX35"/>
      <c r="FTY35"/>
      <c r="FTZ35"/>
      <c r="FUA35"/>
      <c r="FUB35"/>
      <c r="FUC35"/>
      <c r="FUD35"/>
      <c r="FUE35"/>
      <c r="FUF35"/>
      <c r="FUG35"/>
      <c r="FUH35"/>
      <c r="FUI35"/>
      <c r="FUJ35"/>
      <c r="FUK35"/>
      <c r="FUL35"/>
      <c r="FUM35"/>
      <c r="FUN35"/>
      <c r="FUO35"/>
      <c r="FUP35"/>
      <c r="FUQ35"/>
      <c r="FUR35"/>
      <c r="FUS35"/>
      <c r="FUT35"/>
      <c r="FUU35"/>
      <c r="FUV35"/>
      <c r="FUW35"/>
      <c r="FUX35"/>
      <c r="FUY35"/>
      <c r="FUZ35"/>
      <c r="FVA35"/>
      <c r="FVB35"/>
      <c r="FVC35"/>
      <c r="FVD35"/>
      <c r="FVE35"/>
      <c r="FVF35"/>
      <c r="FVG35"/>
      <c r="FVH35"/>
      <c r="FVI35"/>
      <c r="FVJ35"/>
      <c r="FVK35"/>
      <c r="FVL35"/>
      <c r="FVM35"/>
      <c r="FVN35"/>
      <c r="FVO35"/>
      <c r="FVP35"/>
      <c r="FVQ35"/>
      <c r="FVR35"/>
      <c r="FVS35"/>
      <c r="FVT35"/>
      <c r="FVU35"/>
      <c r="FVV35"/>
      <c r="FVW35"/>
      <c r="FVX35"/>
      <c r="FVY35"/>
      <c r="FVZ35"/>
      <c r="FWA35"/>
      <c r="FWB35"/>
      <c r="FWC35"/>
      <c r="FWD35"/>
      <c r="FWE35"/>
      <c r="FWF35"/>
      <c r="FWG35"/>
      <c r="FWH35"/>
      <c r="FWI35"/>
      <c r="FWJ35"/>
      <c r="FWK35"/>
      <c r="FWL35"/>
      <c r="FWM35"/>
      <c r="FWN35"/>
      <c r="FWO35"/>
      <c r="FWP35"/>
      <c r="FWQ35"/>
      <c r="FWR35"/>
      <c r="FWS35"/>
      <c r="FWT35"/>
      <c r="FWU35"/>
      <c r="FWV35"/>
      <c r="FWW35"/>
      <c r="FWX35"/>
      <c r="FWY35"/>
      <c r="FWZ35"/>
      <c r="FXA35"/>
      <c r="FXB35"/>
      <c r="FXC35"/>
      <c r="FXD35"/>
      <c r="FXE35"/>
      <c r="FXF35"/>
      <c r="FXG35"/>
      <c r="FXH35"/>
      <c r="FXI35"/>
      <c r="FXJ35"/>
      <c r="FXK35"/>
      <c r="FXL35"/>
      <c r="FXM35"/>
      <c r="FXN35"/>
      <c r="FXO35"/>
      <c r="FXP35"/>
      <c r="FXQ35"/>
      <c r="FXR35"/>
      <c r="FXS35"/>
      <c r="FXT35"/>
      <c r="FXU35"/>
      <c r="FXV35"/>
      <c r="FXW35"/>
      <c r="FXX35"/>
      <c r="FXY35"/>
      <c r="FXZ35"/>
      <c r="FYA35"/>
      <c r="FYB35"/>
      <c r="FYC35"/>
      <c r="FYD35"/>
      <c r="FYE35"/>
      <c r="FYF35"/>
      <c r="FYG35"/>
      <c r="FYH35"/>
      <c r="FYI35"/>
      <c r="FYJ35"/>
      <c r="FYK35"/>
      <c r="FYL35"/>
      <c r="FYM35"/>
      <c r="FYN35"/>
      <c r="FYO35"/>
      <c r="FYP35"/>
      <c r="FYQ35"/>
      <c r="FYR35"/>
      <c r="FYS35"/>
      <c r="FYT35"/>
      <c r="FYU35"/>
      <c r="FYV35"/>
      <c r="FYW35"/>
      <c r="FYX35"/>
      <c r="FYY35"/>
      <c r="FYZ35"/>
      <c r="FZA35"/>
      <c r="FZB35"/>
      <c r="FZC35"/>
      <c r="FZD35"/>
      <c r="FZE35"/>
      <c r="FZF35"/>
      <c r="FZG35"/>
      <c r="FZH35"/>
      <c r="FZI35"/>
      <c r="FZJ35"/>
      <c r="FZK35"/>
      <c r="FZL35"/>
      <c r="FZM35"/>
      <c r="FZN35"/>
      <c r="FZO35"/>
      <c r="FZP35"/>
      <c r="FZQ35"/>
      <c r="FZR35"/>
      <c r="FZS35"/>
      <c r="FZT35"/>
      <c r="FZU35"/>
      <c r="FZV35"/>
      <c r="FZW35"/>
      <c r="FZX35"/>
      <c r="FZY35"/>
      <c r="FZZ35"/>
      <c r="GAA35"/>
      <c r="GAB35"/>
      <c r="GAC35"/>
      <c r="GAD35"/>
      <c r="GAE35"/>
      <c r="GAF35"/>
      <c r="GAG35"/>
      <c r="GAH35"/>
      <c r="GAI35"/>
      <c r="GAJ35"/>
      <c r="GAK35"/>
      <c r="GAL35"/>
      <c r="GAM35"/>
      <c r="GAN35"/>
      <c r="GAO35"/>
      <c r="GAP35"/>
      <c r="GAQ35"/>
      <c r="GAR35"/>
      <c r="GAS35"/>
      <c r="GAT35"/>
      <c r="GAU35"/>
      <c r="GAV35"/>
      <c r="GAW35"/>
      <c r="GAX35"/>
      <c r="GAY35"/>
      <c r="GAZ35"/>
      <c r="GBA35"/>
      <c r="GBB35"/>
      <c r="GBC35"/>
      <c r="GBD35"/>
      <c r="GBE35"/>
      <c r="GBF35"/>
      <c r="GBG35"/>
      <c r="GBH35"/>
      <c r="GBI35"/>
      <c r="GBJ35"/>
      <c r="GBK35"/>
      <c r="GBL35"/>
      <c r="GBM35"/>
      <c r="GBN35"/>
      <c r="GBO35"/>
      <c r="GBP35"/>
      <c r="GBQ35"/>
      <c r="GBR35"/>
      <c r="GBS35"/>
      <c r="GBT35"/>
      <c r="GBU35"/>
      <c r="GBV35"/>
      <c r="GBW35"/>
      <c r="GBX35"/>
      <c r="GBY35"/>
      <c r="GBZ35"/>
      <c r="GCA35"/>
      <c r="GCB35"/>
      <c r="GCC35"/>
      <c r="GCD35"/>
      <c r="GCE35"/>
      <c r="GCF35"/>
      <c r="GCG35"/>
      <c r="GCH35"/>
      <c r="GCI35"/>
      <c r="GCJ35"/>
      <c r="GCK35"/>
      <c r="GCL35"/>
      <c r="GCM35"/>
      <c r="GCN35"/>
      <c r="GCO35"/>
      <c r="GCP35"/>
      <c r="GCQ35"/>
      <c r="GCR35"/>
      <c r="GCS35"/>
      <c r="GCT35"/>
      <c r="GCU35"/>
      <c r="GCV35"/>
      <c r="GCW35"/>
      <c r="GCX35"/>
      <c r="GCY35"/>
      <c r="GCZ35"/>
      <c r="GDA35"/>
      <c r="GDB35"/>
      <c r="GDC35"/>
      <c r="GDD35"/>
      <c r="GDE35"/>
      <c r="GDF35"/>
      <c r="GDG35"/>
      <c r="GDH35"/>
      <c r="GDI35"/>
      <c r="GDJ35"/>
      <c r="GDK35"/>
      <c r="GDL35"/>
      <c r="GDM35"/>
      <c r="GDN35"/>
      <c r="GDO35"/>
      <c r="GDP35"/>
      <c r="GDQ35"/>
      <c r="GDR35"/>
      <c r="GDS35"/>
      <c r="GDT35"/>
      <c r="GDU35"/>
      <c r="GDV35"/>
      <c r="GDW35"/>
      <c r="GDX35"/>
      <c r="GDY35"/>
      <c r="GDZ35"/>
      <c r="GEA35"/>
      <c r="GEB35"/>
      <c r="GEC35"/>
      <c r="GED35"/>
      <c r="GEE35"/>
      <c r="GEF35"/>
      <c r="GEG35"/>
      <c r="GEH35"/>
      <c r="GEI35"/>
      <c r="GEJ35"/>
      <c r="GEK35"/>
      <c r="GEL35"/>
      <c r="GEM35"/>
      <c r="GEN35"/>
      <c r="GEO35"/>
      <c r="GEP35"/>
      <c r="GEQ35"/>
      <c r="GER35"/>
      <c r="GES35"/>
      <c r="GET35"/>
      <c r="GEU35"/>
      <c r="GEV35"/>
      <c r="GEW35"/>
      <c r="GEX35"/>
      <c r="GEY35"/>
      <c r="GEZ35"/>
      <c r="GFA35"/>
      <c r="GFB35"/>
      <c r="GFC35"/>
      <c r="GFD35"/>
      <c r="GFE35"/>
      <c r="GFF35"/>
      <c r="GFG35"/>
      <c r="GFH35"/>
      <c r="GFI35"/>
      <c r="GFJ35"/>
      <c r="GFK35"/>
      <c r="GFL35"/>
      <c r="GFM35"/>
      <c r="GFN35"/>
      <c r="GFO35"/>
      <c r="GFP35"/>
      <c r="GFQ35"/>
      <c r="GFR35"/>
      <c r="GFS35"/>
      <c r="GFT35"/>
      <c r="GFU35"/>
      <c r="GFV35"/>
      <c r="GFW35"/>
      <c r="GFX35"/>
      <c r="GFY35"/>
      <c r="GFZ35"/>
      <c r="GGA35"/>
      <c r="GGB35"/>
      <c r="GGC35"/>
      <c r="GGD35"/>
      <c r="GGE35"/>
      <c r="GGF35"/>
      <c r="GGG35"/>
      <c r="GGH35"/>
      <c r="GGI35"/>
      <c r="GGJ35"/>
      <c r="GGK35"/>
      <c r="GGL35"/>
      <c r="GGM35"/>
      <c r="GGN35"/>
      <c r="GGO35"/>
      <c r="GGP35"/>
      <c r="GGQ35"/>
      <c r="GGR35"/>
      <c r="GGS35"/>
      <c r="GGT35"/>
      <c r="GGU35"/>
      <c r="GGV35"/>
      <c r="GGW35"/>
      <c r="GGX35"/>
      <c r="GGY35"/>
      <c r="GGZ35"/>
      <c r="GHA35"/>
      <c r="GHB35"/>
      <c r="GHC35"/>
      <c r="GHD35"/>
      <c r="GHE35"/>
      <c r="GHF35"/>
      <c r="GHG35"/>
      <c r="GHH35"/>
      <c r="GHI35"/>
      <c r="GHJ35"/>
      <c r="GHK35"/>
      <c r="GHL35"/>
      <c r="GHM35"/>
      <c r="GHN35"/>
      <c r="GHO35"/>
      <c r="GHP35"/>
      <c r="GHQ35"/>
      <c r="GHR35"/>
      <c r="GHS35"/>
      <c r="GHT35"/>
      <c r="GHU35"/>
      <c r="GHV35"/>
      <c r="GHW35"/>
      <c r="GHX35"/>
      <c r="GHY35"/>
      <c r="GHZ35"/>
      <c r="GIA35"/>
      <c r="GIB35"/>
      <c r="GIC35"/>
      <c r="GID35"/>
      <c r="GIE35"/>
      <c r="GIF35"/>
      <c r="GIG35"/>
      <c r="GIH35"/>
      <c r="GII35"/>
      <c r="GIJ35"/>
      <c r="GIK35"/>
      <c r="GIL35"/>
      <c r="GIM35"/>
      <c r="GIN35"/>
      <c r="GIO35"/>
      <c r="GIP35"/>
      <c r="GIQ35"/>
      <c r="GIR35"/>
      <c r="GIS35"/>
      <c r="GIT35"/>
      <c r="GIU35"/>
      <c r="GIV35"/>
      <c r="GIW35"/>
      <c r="GIX35"/>
      <c r="GIY35"/>
      <c r="GIZ35"/>
      <c r="GJA35"/>
      <c r="GJB35"/>
      <c r="GJC35"/>
      <c r="GJD35"/>
      <c r="GJE35"/>
      <c r="GJF35"/>
      <c r="GJG35"/>
      <c r="GJH35"/>
      <c r="GJI35"/>
      <c r="GJJ35"/>
      <c r="GJK35"/>
      <c r="GJL35"/>
      <c r="GJM35"/>
      <c r="GJN35"/>
      <c r="GJO35"/>
      <c r="GJP35"/>
      <c r="GJQ35"/>
      <c r="GJR35"/>
      <c r="GJS35"/>
      <c r="GJT35"/>
      <c r="GJU35"/>
      <c r="GJV35"/>
      <c r="GJW35"/>
      <c r="GJX35"/>
      <c r="GJY35"/>
      <c r="GJZ35"/>
      <c r="GKA35"/>
      <c r="GKB35"/>
      <c r="GKC35"/>
      <c r="GKD35"/>
      <c r="GKE35"/>
      <c r="GKF35"/>
      <c r="GKG35"/>
      <c r="GKH35"/>
      <c r="GKI35"/>
      <c r="GKJ35"/>
      <c r="GKK35"/>
      <c r="GKL35"/>
      <c r="GKM35"/>
      <c r="GKN35"/>
      <c r="GKO35"/>
      <c r="GKP35"/>
      <c r="GKQ35"/>
      <c r="GKR35"/>
      <c r="GKS35"/>
      <c r="GKT35"/>
      <c r="GKU35"/>
      <c r="GKV35"/>
      <c r="GKW35"/>
      <c r="GKX35"/>
      <c r="GKY35"/>
      <c r="GKZ35"/>
      <c r="GLA35"/>
      <c r="GLB35"/>
      <c r="GLC35"/>
      <c r="GLD35"/>
      <c r="GLE35"/>
      <c r="GLF35"/>
      <c r="GLG35"/>
      <c r="GLH35"/>
      <c r="GLI35"/>
      <c r="GLJ35"/>
      <c r="GLK35"/>
      <c r="GLL35"/>
      <c r="GLM35"/>
      <c r="GLN35"/>
      <c r="GLO35"/>
      <c r="GLP35"/>
      <c r="GLQ35"/>
      <c r="GLR35"/>
      <c r="GLS35"/>
      <c r="GLT35"/>
      <c r="GLU35"/>
      <c r="GLV35"/>
      <c r="GLW35"/>
      <c r="GLX35"/>
      <c r="GLY35"/>
      <c r="GLZ35"/>
      <c r="GMA35"/>
      <c r="GMB35"/>
      <c r="GMC35"/>
      <c r="GMD35"/>
      <c r="GME35"/>
      <c r="GMF35"/>
      <c r="GMG35"/>
      <c r="GMH35"/>
      <c r="GMI35"/>
      <c r="GMJ35"/>
      <c r="GMK35"/>
      <c r="GML35"/>
      <c r="GMM35"/>
      <c r="GMN35"/>
      <c r="GMO35"/>
      <c r="GMP35"/>
      <c r="GMQ35"/>
      <c r="GMR35"/>
      <c r="GMS35"/>
      <c r="GMT35"/>
      <c r="GMU35"/>
      <c r="GMV35"/>
      <c r="GMW35"/>
      <c r="GMX35"/>
      <c r="GMY35"/>
      <c r="GMZ35"/>
      <c r="GNA35"/>
      <c r="GNB35"/>
      <c r="GNC35"/>
      <c r="GND35"/>
      <c r="GNE35"/>
      <c r="GNF35"/>
      <c r="GNG35"/>
      <c r="GNH35"/>
      <c r="GNI35"/>
      <c r="GNJ35"/>
      <c r="GNK35"/>
      <c r="GNL35"/>
      <c r="GNM35"/>
      <c r="GNN35"/>
      <c r="GNO35"/>
      <c r="GNP35"/>
      <c r="GNQ35"/>
      <c r="GNR35"/>
      <c r="GNS35"/>
      <c r="GNT35"/>
      <c r="GNU35"/>
      <c r="GNV35"/>
      <c r="GNW35"/>
      <c r="GNX35"/>
      <c r="GNY35"/>
      <c r="GNZ35"/>
      <c r="GOA35"/>
      <c r="GOB35"/>
      <c r="GOC35"/>
      <c r="GOD35"/>
      <c r="GOE35"/>
      <c r="GOF35"/>
      <c r="GOG35"/>
      <c r="GOH35"/>
      <c r="GOI35"/>
      <c r="GOJ35"/>
      <c r="GOK35"/>
      <c r="GOL35"/>
      <c r="GOM35"/>
      <c r="GON35"/>
      <c r="GOO35"/>
      <c r="GOP35"/>
      <c r="GOQ35"/>
      <c r="GOR35"/>
      <c r="GOS35"/>
      <c r="GOT35"/>
      <c r="GOU35"/>
      <c r="GOV35"/>
      <c r="GOW35"/>
      <c r="GOX35"/>
      <c r="GOY35"/>
      <c r="GOZ35"/>
      <c r="GPA35"/>
      <c r="GPB35"/>
      <c r="GPC35"/>
      <c r="GPD35"/>
      <c r="GPE35"/>
      <c r="GPF35"/>
      <c r="GPG35"/>
      <c r="GPH35"/>
      <c r="GPI35"/>
      <c r="GPJ35"/>
      <c r="GPK35"/>
      <c r="GPL35"/>
      <c r="GPM35"/>
      <c r="GPN35"/>
      <c r="GPO35"/>
      <c r="GPP35"/>
      <c r="GPQ35"/>
      <c r="GPR35"/>
      <c r="GPS35"/>
      <c r="GPT35"/>
      <c r="GPU35"/>
      <c r="GPV35"/>
      <c r="GPW35"/>
      <c r="GPX35"/>
      <c r="GPY35"/>
      <c r="GPZ35"/>
      <c r="GQA35"/>
      <c r="GQB35"/>
      <c r="GQC35"/>
      <c r="GQD35"/>
      <c r="GQE35"/>
      <c r="GQF35"/>
      <c r="GQG35"/>
      <c r="GQH35"/>
      <c r="GQI35"/>
      <c r="GQJ35"/>
      <c r="GQK35"/>
      <c r="GQL35"/>
      <c r="GQM35"/>
      <c r="GQN35"/>
      <c r="GQO35"/>
      <c r="GQP35"/>
      <c r="GQQ35"/>
      <c r="GQR35"/>
      <c r="GQS35"/>
      <c r="GQT35"/>
      <c r="GQU35"/>
      <c r="GQV35"/>
      <c r="GQW35"/>
      <c r="GQX35"/>
      <c r="GQY35"/>
      <c r="GQZ35"/>
      <c r="GRA35"/>
      <c r="GRB35"/>
      <c r="GRC35"/>
      <c r="GRD35"/>
      <c r="GRE35"/>
      <c r="GRF35"/>
      <c r="GRG35"/>
      <c r="GRH35"/>
      <c r="GRI35"/>
      <c r="GRJ35"/>
      <c r="GRK35"/>
      <c r="GRL35"/>
      <c r="GRM35"/>
      <c r="GRN35"/>
      <c r="GRO35"/>
      <c r="GRP35"/>
      <c r="GRQ35"/>
      <c r="GRR35"/>
      <c r="GRS35"/>
      <c r="GRT35"/>
      <c r="GRU35"/>
      <c r="GRV35"/>
      <c r="GRW35"/>
      <c r="GRX35"/>
      <c r="GRY35"/>
      <c r="GRZ35"/>
      <c r="GSA35"/>
      <c r="GSB35"/>
      <c r="GSC35"/>
      <c r="GSD35"/>
      <c r="GSE35"/>
      <c r="GSF35"/>
      <c r="GSG35"/>
      <c r="GSH35"/>
      <c r="GSI35"/>
      <c r="GSJ35"/>
      <c r="GSK35"/>
      <c r="GSL35"/>
      <c r="GSM35"/>
      <c r="GSN35"/>
      <c r="GSO35"/>
      <c r="GSP35"/>
      <c r="GSQ35"/>
      <c r="GSR35"/>
      <c r="GSS35"/>
      <c r="GST35"/>
      <c r="GSU35"/>
      <c r="GSV35"/>
      <c r="GSW35"/>
      <c r="GSX35"/>
      <c r="GSY35"/>
      <c r="GSZ35"/>
      <c r="GTA35"/>
      <c r="GTB35"/>
      <c r="GTC35"/>
      <c r="GTD35"/>
      <c r="GTE35"/>
      <c r="GTF35"/>
      <c r="GTG35"/>
      <c r="GTH35"/>
      <c r="GTI35"/>
      <c r="GTJ35"/>
      <c r="GTK35"/>
      <c r="GTL35"/>
      <c r="GTM35"/>
      <c r="GTN35"/>
      <c r="GTO35"/>
      <c r="GTP35"/>
      <c r="GTQ35"/>
      <c r="GTR35"/>
      <c r="GTS35"/>
      <c r="GTT35"/>
      <c r="GTU35"/>
      <c r="GTV35"/>
      <c r="GTW35"/>
      <c r="GTX35"/>
      <c r="GTY35"/>
      <c r="GTZ35"/>
      <c r="GUA35"/>
      <c r="GUB35"/>
      <c r="GUC35"/>
      <c r="GUD35"/>
      <c r="GUE35"/>
      <c r="GUF35"/>
      <c r="GUG35"/>
      <c r="GUH35"/>
      <c r="GUI35"/>
      <c r="GUJ35"/>
      <c r="GUK35"/>
      <c r="GUL35"/>
      <c r="GUM35"/>
      <c r="GUN35"/>
      <c r="GUO35"/>
      <c r="GUP35"/>
      <c r="GUQ35"/>
      <c r="GUR35"/>
      <c r="GUS35"/>
      <c r="GUT35"/>
      <c r="GUU35"/>
      <c r="GUV35"/>
      <c r="GUW35"/>
      <c r="GUX35"/>
      <c r="GUY35"/>
      <c r="GUZ35"/>
      <c r="GVA35"/>
      <c r="GVB35"/>
      <c r="GVC35"/>
      <c r="GVD35"/>
      <c r="GVE35"/>
      <c r="GVF35"/>
      <c r="GVG35"/>
      <c r="GVH35"/>
      <c r="GVI35"/>
      <c r="GVJ35"/>
      <c r="GVK35"/>
      <c r="GVL35"/>
      <c r="GVM35"/>
      <c r="GVN35"/>
      <c r="GVO35"/>
      <c r="GVP35"/>
      <c r="GVQ35"/>
      <c r="GVR35"/>
      <c r="GVS35"/>
      <c r="GVT35"/>
      <c r="GVU35"/>
      <c r="GVV35"/>
      <c r="GVW35"/>
      <c r="GVX35"/>
      <c r="GVY35"/>
      <c r="GVZ35"/>
      <c r="GWA35"/>
      <c r="GWB35"/>
      <c r="GWC35"/>
      <c r="GWD35"/>
      <c r="GWE35"/>
      <c r="GWF35"/>
      <c r="GWG35"/>
      <c r="GWH35"/>
      <c r="GWI35"/>
      <c r="GWJ35"/>
      <c r="GWK35"/>
      <c r="GWL35"/>
      <c r="GWM35"/>
      <c r="GWN35"/>
      <c r="GWO35"/>
      <c r="GWP35"/>
      <c r="GWQ35"/>
      <c r="GWR35"/>
      <c r="GWS35"/>
      <c r="GWT35"/>
      <c r="GWU35"/>
      <c r="GWV35"/>
      <c r="GWW35"/>
      <c r="GWX35"/>
      <c r="GWY35"/>
      <c r="GWZ35"/>
      <c r="GXA35"/>
      <c r="GXB35"/>
      <c r="GXC35"/>
      <c r="GXD35"/>
      <c r="GXE35"/>
      <c r="GXF35"/>
      <c r="GXG35"/>
      <c r="GXH35"/>
      <c r="GXI35"/>
      <c r="GXJ35"/>
      <c r="GXK35"/>
      <c r="GXL35"/>
      <c r="GXM35"/>
      <c r="GXN35"/>
      <c r="GXO35"/>
      <c r="GXP35"/>
      <c r="GXQ35"/>
      <c r="GXR35"/>
      <c r="GXS35"/>
      <c r="GXT35"/>
      <c r="GXU35"/>
      <c r="GXV35"/>
      <c r="GXW35"/>
      <c r="GXX35"/>
      <c r="GXY35"/>
      <c r="GXZ35"/>
      <c r="GYA35"/>
      <c r="GYB35"/>
      <c r="GYC35"/>
      <c r="GYD35"/>
      <c r="GYE35"/>
      <c r="GYF35"/>
      <c r="GYG35"/>
      <c r="GYH35"/>
      <c r="GYI35"/>
      <c r="GYJ35"/>
      <c r="GYK35"/>
      <c r="GYL35"/>
      <c r="GYM35"/>
      <c r="GYN35"/>
      <c r="GYO35"/>
      <c r="GYP35"/>
      <c r="GYQ35"/>
      <c r="GYR35"/>
      <c r="GYS35"/>
      <c r="GYT35"/>
      <c r="GYU35"/>
      <c r="GYV35"/>
      <c r="GYW35"/>
      <c r="GYX35"/>
      <c r="GYY35"/>
      <c r="GYZ35"/>
      <c r="GZA35"/>
      <c r="GZB35"/>
      <c r="GZC35"/>
      <c r="GZD35"/>
      <c r="GZE35"/>
      <c r="GZF35"/>
      <c r="GZG35"/>
      <c r="GZH35"/>
      <c r="GZI35"/>
      <c r="GZJ35"/>
      <c r="GZK35"/>
      <c r="GZL35"/>
      <c r="GZM35"/>
      <c r="GZN35"/>
      <c r="GZO35"/>
      <c r="GZP35"/>
      <c r="GZQ35"/>
      <c r="GZR35"/>
      <c r="GZS35"/>
      <c r="GZT35"/>
      <c r="GZU35"/>
      <c r="GZV35"/>
      <c r="GZW35"/>
      <c r="GZX35"/>
      <c r="GZY35"/>
      <c r="GZZ35"/>
      <c r="HAA35"/>
      <c r="HAB35"/>
      <c r="HAC35"/>
      <c r="HAD35"/>
      <c r="HAE35"/>
      <c r="HAF35"/>
      <c r="HAG35"/>
      <c r="HAH35"/>
      <c r="HAI35"/>
      <c r="HAJ35"/>
      <c r="HAK35"/>
      <c r="HAL35"/>
      <c r="HAM35"/>
      <c r="HAN35"/>
      <c r="HAO35"/>
      <c r="HAP35"/>
      <c r="HAQ35"/>
      <c r="HAR35"/>
      <c r="HAS35"/>
      <c r="HAT35"/>
      <c r="HAU35"/>
      <c r="HAV35"/>
      <c r="HAW35"/>
      <c r="HAX35"/>
      <c r="HAY35"/>
      <c r="HAZ35"/>
      <c r="HBA35"/>
      <c r="HBB35"/>
      <c r="HBC35"/>
      <c r="HBD35"/>
      <c r="HBE35"/>
      <c r="HBF35"/>
      <c r="HBG35"/>
      <c r="HBH35"/>
      <c r="HBI35"/>
      <c r="HBJ35"/>
      <c r="HBK35"/>
      <c r="HBL35"/>
      <c r="HBM35"/>
      <c r="HBN35"/>
      <c r="HBO35"/>
      <c r="HBP35"/>
      <c r="HBQ35"/>
      <c r="HBR35"/>
      <c r="HBS35"/>
      <c r="HBT35"/>
      <c r="HBU35"/>
      <c r="HBV35"/>
      <c r="HBW35"/>
      <c r="HBX35"/>
      <c r="HBY35"/>
      <c r="HBZ35"/>
      <c r="HCA35"/>
      <c r="HCB35"/>
      <c r="HCC35"/>
      <c r="HCD35"/>
      <c r="HCE35"/>
      <c r="HCF35"/>
      <c r="HCG35"/>
      <c r="HCH35"/>
      <c r="HCI35"/>
      <c r="HCJ35"/>
      <c r="HCK35"/>
      <c r="HCL35"/>
      <c r="HCM35"/>
      <c r="HCN35"/>
      <c r="HCO35"/>
      <c r="HCP35"/>
      <c r="HCQ35"/>
      <c r="HCR35"/>
      <c r="HCS35"/>
      <c r="HCT35"/>
      <c r="HCU35"/>
      <c r="HCV35"/>
      <c r="HCW35"/>
      <c r="HCX35"/>
      <c r="HCY35"/>
      <c r="HCZ35"/>
      <c r="HDA35"/>
      <c r="HDB35"/>
      <c r="HDC35"/>
      <c r="HDD35"/>
      <c r="HDE35"/>
      <c r="HDF35"/>
      <c r="HDG35"/>
      <c r="HDH35"/>
      <c r="HDI35"/>
      <c r="HDJ35"/>
      <c r="HDK35"/>
      <c r="HDL35"/>
      <c r="HDM35"/>
      <c r="HDN35"/>
      <c r="HDO35"/>
      <c r="HDP35"/>
      <c r="HDQ35"/>
      <c r="HDR35"/>
      <c r="HDS35"/>
      <c r="HDT35"/>
      <c r="HDU35"/>
      <c r="HDV35"/>
      <c r="HDW35"/>
      <c r="HDX35"/>
      <c r="HDY35"/>
      <c r="HDZ35"/>
      <c r="HEA35"/>
      <c r="HEB35"/>
      <c r="HEC35"/>
      <c r="HED35"/>
      <c r="HEE35"/>
      <c r="HEF35"/>
      <c r="HEG35"/>
      <c r="HEH35"/>
      <c r="HEI35"/>
      <c r="HEJ35"/>
      <c r="HEK35"/>
      <c r="HEL35"/>
      <c r="HEM35"/>
      <c r="HEN35"/>
      <c r="HEO35"/>
      <c r="HEP35"/>
      <c r="HEQ35"/>
      <c r="HER35"/>
      <c r="HES35"/>
      <c r="HET35"/>
      <c r="HEU35"/>
      <c r="HEV35"/>
      <c r="HEW35"/>
      <c r="HEX35"/>
      <c r="HEY35"/>
      <c r="HEZ35"/>
      <c r="HFA35"/>
      <c r="HFB35"/>
      <c r="HFC35"/>
      <c r="HFD35"/>
      <c r="HFE35"/>
      <c r="HFF35"/>
      <c r="HFG35"/>
      <c r="HFH35"/>
      <c r="HFI35"/>
      <c r="HFJ35"/>
      <c r="HFK35"/>
      <c r="HFL35"/>
      <c r="HFM35"/>
      <c r="HFN35"/>
      <c r="HFO35"/>
      <c r="HFP35"/>
      <c r="HFQ35"/>
      <c r="HFR35"/>
      <c r="HFS35"/>
      <c r="HFT35"/>
      <c r="HFU35"/>
      <c r="HFV35"/>
      <c r="HFW35"/>
      <c r="HFX35"/>
      <c r="HFY35"/>
      <c r="HFZ35"/>
      <c r="HGA35"/>
      <c r="HGB35"/>
      <c r="HGC35"/>
      <c r="HGD35"/>
      <c r="HGE35"/>
      <c r="HGF35"/>
      <c r="HGG35"/>
      <c r="HGH35"/>
      <c r="HGI35"/>
      <c r="HGJ35"/>
      <c r="HGK35"/>
      <c r="HGL35"/>
      <c r="HGM35"/>
      <c r="HGN35"/>
      <c r="HGO35"/>
      <c r="HGP35"/>
      <c r="HGQ35"/>
      <c r="HGR35"/>
      <c r="HGS35"/>
      <c r="HGT35"/>
      <c r="HGU35"/>
      <c r="HGV35"/>
      <c r="HGW35"/>
      <c r="HGX35"/>
      <c r="HGY35"/>
      <c r="HGZ35"/>
      <c r="HHA35"/>
      <c r="HHB35"/>
      <c r="HHC35"/>
      <c r="HHD35"/>
      <c r="HHE35"/>
      <c r="HHF35"/>
      <c r="HHG35"/>
      <c r="HHH35"/>
      <c r="HHI35"/>
      <c r="HHJ35"/>
      <c r="HHK35"/>
      <c r="HHL35"/>
      <c r="HHM35"/>
      <c r="HHN35"/>
      <c r="HHO35"/>
      <c r="HHP35"/>
      <c r="HHQ35"/>
      <c r="HHR35"/>
      <c r="HHS35"/>
      <c r="HHT35"/>
      <c r="HHU35"/>
      <c r="HHV35"/>
      <c r="HHW35"/>
      <c r="HHX35"/>
      <c r="HHY35"/>
      <c r="HHZ35"/>
      <c r="HIA35"/>
      <c r="HIB35"/>
      <c r="HIC35"/>
      <c r="HID35"/>
      <c r="HIE35"/>
      <c r="HIF35"/>
      <c r="HIG35"/>
      <c r="HIH35"/>
      <c r="HII35"/>
      <c r="HIJ35"/>
      <c r="HIK35"/>
      <c r="HIL35"/>
      <c r="HIM35"/>
      <c r="HIN35"/>
      <c r="HIO35"/>
      <c r="HIP35"/>
      <c r="HIQ35"/>
      <c r="HIR35"/>
      <c r="HIS35"/>
      <c r="HIT35"/>
      <c r="HIU35"/>
      <c r="HIV35"/>
      <c r="HIW35"/>
      <c r="HIX35"/>
      <c r="HIY35"/>
      <c r="HIZ35"/>
      <c r="HJA35"/>
      <c r="HJB35"/>
      <c r="HJC35"/>
      <c r="HJD35"/>
      <c r="HJE35"/>
      <c r="HJF35"/>
      <c r="HJG35"/>
      <c r="HJH35"/>
      <c r="HJI35"/>
      <c r="HJJ35"/>
      <c r="HJK35"/>
      <c r="HJL35"/>
      <c r="HJM35"/>
      <c r="HJN35"/>
      <c r="HJO35"/>
      <c r="HJP35"/>
      <c r="HJQ35"/>
      <c r="HJR35"/>
      <c r="HJS35"/>
      <c r="HJT35"/>
      <c r="HJU35"/>
      <c r="HJV35"/>
      <c r="HJW35"/>
      <c r="HJX35"/>
      <c r="HJY35"/>
      <c r="HJZ35"/>
      <c r="HKA35"/>
      <c r="HKB35"/>
      <c r="HKC35"/>
      <c r="HKD35"/>
      <c r="HKE35"/>
      <c r="HKF35"/>
      <c r="HKG35"/>
      <c r="HKH35"/>
      <c r="HKI35"/>
      <c r="HKJ35"/>
      <c r="HKK35"/>
      <c r="HKL35"/>
      <c r="HKM35"/>
      <c r="HKN35"/>
      <c r="HKO35"/>
      <c r="HKP35"/>
      <c r="HKQ35"/>
      <c r="HKR35"/>
      <c r="HKS35"/>
      <c r="HKT35"/>
      <c r="HKU35"/>
      <c r="HKV35"/>
      <c r="HKW35"/>
      <c r="HKX35"/>
      <c r="HKY35"/>
      <c r="HKZ35"/>
      <c r="HLA35"/>
      <c r="HLB35"/>
      <c r="HLC35"/>
      <c r="HLD35"/>
      <c r="HLE35"/>
      <c r="HLF35"/>
      <c r="HLG35"/>
      <c r="HLH35"/>
      <c r="HLI35"/>
      <c r="HLJ35"/>
      <c r="HLK35"/>
      <c r="HLL35"/>
      <c r="HLM35"/>
      <c r="HLN35"/>
      <c r="HLO35"/>
      <c r="HLP35"/>
      <c r="HLQ35"/>
      <c r="HLR35"/>
      <c r="HLS35"/>
      <c r="HLT35"/>
      <c r="HLU35"/>
      <c r="HLV35"/>
      <c r="HLW35"/>
      <c r="HLX35"/>
      <c r="HLY35"/>
      <c r="HLZ35"/>
      <c r="HMA35"/>
      <c r="HMB35"/>
      <c r="HMC35"/>
      <c r="HMD35"/>
      <c r="HME35"/>
      <c r="HMF35"/>
      <c r="HMG35"/>
      <c r="HMH35"/>
      <c r="HMI35"/>
      <c r="HMJ35"/>
      <c r="HMK35"/>
      <c r="HML35"/>
      <c r="HMM35"/>
      <c r="HMN35"/>
      <c r="HMO35"/>
      <c r="HMP35"/>
      <c r="HMQ35"/>
      <c r="HMR35"/>
      <c r="HMS35"/>
      <c r="HMT35"/>
      <c r="HMU35"/>
      <c r="HMV35"/>
      <c r="HMW35"/>
      <c r="HMX35"/>
      <c r="HMY35"/>
      <c r="HMZ35"/>
      <c r="HNA35"/>
      <c r="HNB35"/>
      <c r="HNC35"/>
      <c r="HND35"/>
      <c r="HNE35"/>
      <c r="HNF35"/>
      <c r="HNG35"/>
      <c r="HNH35"/>
      <c r="HNI35"/>
      <c r="HNJ35"/>
      <c r="HNK35"/>
      <c r="HNL35"/>
      <c r="HNM35"/>
      <c r="HNN35"/>
      <c r="HNO35"/>
      <c r="HNP35"/>
      <c r="HNQ35"/>
      <c r="HNR35"/>
      <c r="HNS35"/>
      <c r="HNT35"/>
      <c r="HNU35"/>
      <c r="HNV35"/>
      <c r="HNW35"/>
      <c r="HNX35"/>
      <c r="HNY35"/>
      <c r="HNZ35"/>
      <c r="HOA35"/>
      <c r="HOB35"/>
      <c r="HOC35"/>
      <c r="HOD35"/>
      <c r="HOE35"/>
      <c r="HOF35"/>
      <c r="HOG35"/>
      <c r="HOH35"/>
      <c r="HOI35"/>
      <c r="HOJ35"/>
      <c r="HOK35"/>
      <c r="HOL35"/>
      <c r="HOM35"/>
      <c r="HON35"/>
      <c r="HOO35"/>
      <c r="HOP35"/>
      <c r="HOQ35"/>
      <c r="HOR35"/>
      <c r="HOS35"/>
      <c r="HOT35"/>
      <c r="HOU35"/>
      <c r="HOV35"/>
      <c r="HOW35"/>
      <c r="HOX35"/>
      <c r="HOY35"/>
      <c r="HOZ35"/>
      <c r="HPA35"/>
      <c r="HPB35"/>
      <c r="HPC35"/>
      <c r="HPD35"/>
      <c r="HPE35"/>
      <c r="HPF35"/>
      <c r="HPG35"/>
      <c r="HPH35"/>
      <c r="HPI35"/>
      <c r="HPJ35"/>
      <c r="HPK35"/>
      <c r="HPL35"/>
      <c r="HPM35"/>
      <c r="HPN35"/>
      <c r="HPO35"/>
      <c r="HPP35"/>
      <c r="HPQ35"/>
      <c r="HPR35"/>
      <c r="HPS35"/>
      <c r="HPT35"/>
      <c r="HPU35"/>
      <c r="HPV35"/>
      <c r="HPW35"/>
      <c r="HPX35"/>
      <c r="HPY35"/>
      <c r="HPZ35"/>
      <c r="HQA35"/>
      <c r="HQB35"/>
      <c r="HQC35"/>
      <c r="HQD35"/>
      <c r="HQE35"/>
      <c r="HQF35"/>
      <c r="HQG35"/>
      <c r="HQH35"/>
      <c r="HQI35"/>
      <c r="HQJ35"/>
      <c r="HQK35"/>
      <c r="HQL35"/>
      <c r="HQM35"/>
      <c r="HQN35"/>
      <c r="HQO35"/>
      <c r="HQP35"/>
      <c r="HQQ35"/>
      <c r="HQR35"/>
      <c r="HQS35"/>
      <c r="HQT35"/>
      <c r="HQU35"/>
      <c r="HQV35"/>
      <c r="HQW35"/>
      <c r="HQX35"/>
      <c r="HQY35"/>
      <c r="HQZ35"/>
      <c r="HRA35"/>
      <c r="HRB35"/>
      <c r="HRC35"/>
      <c r="HRD35"/>
      <c r="HRE35"/>
      <c r="HRF35"/>
      <c r="HRG35"/>
      <c r="HRH35"/>
      <c r="HRI35"/>
      <c r="HRJ35"/>
      <c r="HRK35"/>
      <c r="HRL35"/>
      <c r="HRM35"/>
      <c r="HRN35"/>
      <c r="HRO35"/>
      <c r="HRP35"/>
      <c r="HRQ35"/>
      <c r="HRR35"/>
      <c r="HRS35"/>
      <c r="HRT35"/>
      <c r="HRU35"/>
      <c r="HRV35"/>
      <c r="HRW35"/>
      <c r="HRX35"/>
      <c r="HRY35"/>
      <c r="HRZ35"/>
      <c r="HSA35"/>
      <c r="HSB35"/>
      <c r="HSC35"/>
      <c r="HSD35"/>
      <c r="HSE35"/>
      <c r="HSF35"/>
      <c r="HSG35"/>
      <c r="HSH35"/>
      <c r="HSI35"/>
      <c r="HSJ35"/>
      <c r="HSK35"/>
      <c r="HSL35"/>
      <c r="HSM35"/>
      <c r="HSN35"/>
      <c r="HSO35"/>
      <c r="HSP35"/>
      <c r="HSQ35"/>
      <c r="HSR35"/>
      <c r="HSS35"/>
      <c r="HST35"/>
      <c r="HSU35"/>
      <c r="HSV35"/>
      <c r="HSW35"/>
      <c r="HSX35"/>
      <c r="HSY35"/>
      <c r="HSZ35"/>
      <c r="HTA35"/>
      <c r="HTB35"/>
      <c r="HTC35"/>
      <c r="HTD35"/>
      <c r="HTE35"/>
      <c r="HTF35"/>
      <c r="HTG35"/>
      <c r="HTH35"/>
      <c r="HTI35"/>
      <c r="HTJ35"/>
      <c r="HTK35"/>
      <c r="HTL35"/>
      <c r="HTM35"/>
      <c r="HTN35"/>
      <c r="HTO35"/>
      <c r="HTP35"/>
      <c r="HTQ35"/>
      <c r="HTR35"/>
      <c r="HTS35"/>
      <c r="HTT35"/>
      <c r="HTU35"/>
      <c r="HTV35"/>
      <c r="HTW35"/>
      <c r="HTX35"/>
      <c r="HTY35"/>
      <c r="HTZ35"/>
      <c r="HUA35"/>
      <c r="HUB35"/>
      <c r="HUC35"/>
      <c r="HUD35"/>
      <c r="HUE35"/>
      <c r="HUF35"/>
      <c r="HUG35"/>
      <c r="HUH35"/>
      <c r="HUI35"/>
      <c r="HUJ35"/>
      <c r="HUK35"/>
      <c r="HUL35"/>
      <c r="HUM35"/>
      <c r="HUN35"/>
      <c r="HUO35"/>
      <c r="HUP35"/>
      <c r="HUQ35"/>
      <c r="HUR35"/>
      <c r="HUS35"/>
      <c r="HUT35"/>
      <c r="HUU35"/>
      <c r="HUV35"/>
      <c r="HUW35"/>
      <c r="HUX35"/>
      <c r="HUY35"/>
      <c r="HUZ35"/>
      <c r="HVA35"/>
      <c r="HVB35"/>
      <c r="HVC35"/>
      <c r="HVD35"/>
      <c r="HVE35"/>
      <c r="HVF35"/>
      <c r="HVG35"/>
      <c r="HVH35"/>
      <c r="HVI35"/>
      <c r="HVJ35"/>
      <c r="HVK35"/>
      <c r="HVL35"/>
      <c r="HVM35"/>
      <c r="HVN35"/>
      <c r="HVO35"/>
      <c r="HVP35"/>
      <c r="HVQ35"/>
      <c r="HVR35"/>
      <c r="HVS35"/>
      <c r="HVT35"/>
      <c r="HVU35"/>
      <c r="HVV35"/>
      <c r="HVW35"/>
      <c r="HVX35"/>
      <c r="HVY35"/>
      <c r="HVZ35"/>
      <c r="HWA35"/>
      <c r="HWB35"/>
      <c r="HWC35"/>
      <c r="HWD35"/>
      <c r="HWE35"/>
      <c r="HWF35"/>
      <c r="HWG35"/>
      <c r="HWH35"/>
      <c r="HWI35"/>
      <c r="HWJ35"/>
      <c r="HWK35"/>
      <c r="HWL35"/>
      <c r="HWM35"/>
      <c r="HWN35"/>
      <c r="HWO35"/>
      <c r="HWP35"/>
      <c r="HWQ35"/>
      <c r="HWR35"/>
      <c r="HWS35"/>
      <c r="HWT35"/>
      <c r="HWU35"/>
      <c r="HWV35"/>
      <c r="HWW35"/>
      <c r="HWX35"/>
      <c r="HWY35"/>
      <c r="HWZ35"/>
      <c r="HXA35"/>
      <c r="HXB35"/>
      <c r="HXC35"/>
      <c r="HXD35"/>
      <c r="HXE35"/>
      <c r="HXF35"/>
      <c r="HXG35"/>
      <c r="HXH35"/>
      <c r="HXI35"/>
      <c r="HXJ35"/>
      <c r="HXK35"/>
      <c r="HXL35"/>
      <c r="HXM35"/>
      <c r="HXN35"/>
      <c r="HXO35"/>
      <c r="HXP35"/>
      <c r="HXQ35"/>
      <c r="HXR35"/>
      <c r="HXS35"/>
      <c r="HXT35"/>
      <c r="HXU35"/>
      <c r="HXV35"/>
      <c r="HXW35"/>
      <c r="HXX35"/>
      <c r="HXY35"/>
      <c r="HXZ35"/>
      <c r="HYA35"/>
      <c r="HYB35"/>
      <c r="HYC35"/>
      <c r="HYD35"/>
      <c r="HYE35"/>
      <c r="HYF35"/>
      <c r="HYG35"/>
      <c r="HYH35"/>
      <c r="HYI35"/>
      <c r="HYJ35"/>
      <c r="HYK35"/>
      <c r="HYL35"/>
      <c r="HYM35"/>
      <c r="HYN35"/>
      <c r="HYO35"/>
      <c r="HYP35"/>
      <c r="HYQ35"/>
      <c r="HYR35"/>
      <c r="HYS35"/>
      <c r="HYT35"/>
      <c r="HYU35"/>
      <c r="HYV35"/>
      <c r="HYW35"/>
      <c r="HYX35"/>
      <c r="HYY35"/>
      <c r="HYZ35"/>
      <c r="HZA35"/>
      <c r="HZB35"/>
      <c r="HZC35"/>
      <c r="HZD35"/>
      <c r="HZE35"/>
      <c r="HZF35"/>
      <c r="HZG35"/>
      <c r="HZH35"/>
      <c r="HZI35"/>
      <c r="HZJ35"/>
      <c r="HZK35"/>
      <c r="HZL35"/>
      <c r="HZM35"/>
      <c r="HZN35"/>
      <c r="HZO35"/>
      <c r="HZP35"/>
      <c r="HZQ35"/>
      <c r="HZR35"/>
      <c r="HZS35"/>
      <c r="HZT35"/>
      <c r="HZU35"/>
      <c r="HZV35"/>
      <c r="HZW35"/>
      <c r="HZX35"/>
      <c r="HZY35"/>
      <c r="HZZ35"/>
      <c r="IAA35"/>
      <c r="IAB35"/>
      <c r="IAC35"/>
      <c r="IAD35"/>
      <c r="IAE35"/>
      <c r="IAF35"/>
      <c r="IAG35"/>
      <c r="IAH35"/>
      <c r="IAI35"/>
      <c r="IAJ35"/>
      <c r="IAK35"/>
      <c r="IAL35"/>
      <c r="IAM35"/>
      <c r="IAN35"/>
      <c r="IAO35"/>
      <c r="IAP35"/>
      <c r="IAQ35"/>
      <c r="IAR35"/>
      <c r="IAS35"/>
      <c r="IAT35"/>
      <c r="IAU35"/>
      <c r="IAV35"/>
      <c r="IAW35"/>
      <c r="IAX35"/>
      <c r="IAY35"/>
      <c r="IAZ35"/>
      <c r="IBA35"/>
      <c r="IBB35"/>
      <c r="IBC35"/>
      <c r="IBD35"/>
      <c r="IBE35"/>
      <c r="IBF35"/>
      <c r="IBG35"/>
      <c r="IBH35"/>
      <c r="IBI35"/>
      <c r="IBJ35"/>
      <c r="IBK35"/>
      <c r="IBL35"/>
      <c r="IBM35"/>
      <c r="IBN35"/>
      <c r="IBO35"/>
      <c r="IBP35"/>
      <c r="IBQ35"/>
      <c r="IBR35"/>
      <c r="IBS35"/>
      <c r="IBT35"/>
      <c r="IBU35"/>
      <c r="IBV35"/>
      <c r="IBW35"/>
      <c r="IBX35"/>
      <c r="IBY35"/>
      <c r="IBZ35"/>
      <c r="ICA35"/>
      <c r="ICB35"/>
      <c r="ICC35"/>
      <c r="ICD35"/>
      <c r="ICE35"/>
      <c r="ICF35"/>
      <c r="ICG35"/>
      <c r="ICH35"/>
      <c r="ICI35"/>
      <c r="ICJ35"/>
      <c r="ICK35"/>
      <c r="ICL35"/>
      <c r="ICM35"/>
      <c r="ICN35"/>
      <c r="ICO35"/>
      <c r="ICP35"/>
      <c r="ICQ35"/>
      <c r="ICR35"/>
      <c r="ICS35"/>
      <c r="ICT35"/>
      <c r="ICU35"/>
      <c r="ICV35"/>
      <c r="ICW35"/>
      <c r="ICX35"/>
      <c r="ICY35"/>
      <c r="ICZ35"/>
      <c r="IDA35"/>
      <c r="IDB35"/>
      <c r="IDC35"/>
      <c r="IDD35"/>
      <c r="IDE35"/>
      <c r="IDF35"/>
      <c r="IDG35"/>
      <c r="IDH35"/>
      <c r="IDI35"/>
      <c r="IDJ35"/>
      <c r="IDK35"/>
      <c r="IDL35"/>
      <c r="IDM35"/>
      <c r="IDN35"/>
      <c r="IDO35"/>
      <c r="IDP35"/>
      <c r="IDQ35"/>
      <c r="IDR35"/>
      <c r="IDS35"/>
      <c r="IDT35"/>
      <c r="IDU35"/>
      <c r="IDV35"/>
      <c r="IDW35"/>
      <c r="IDX35"/>
      <c r="IDY35"/>
      <c r="IDZ35"/>
      <c r="IEA35"/>
      <c r="IEB35"/>
      <c r="IEC35"/>
      <c r="IED35"/>
      <c r="IEE35"/>
      <c r="IEF35"/>
      <c r="IEG35"/>
      <c r="IEH35"/>
      <c r="IEI35"/>
      <c r="IEJ35"/>
      <c r="IEK35"/>
      <c r="IEL35"/>
      <c r="IEM35"/>
      <c r="IEN35"/>
      <c r="IEO35"/>
      <c r="IEP35"/>
      <c r="IEQ35"/>
      <c r="IER35"/>
      <c r="IES35"/>
      <c r="IET35"/>
      <c r="IEU35"/>
      <c r="IEV35"/>
      <c r="IEW35"/>
      <c r="IEX35"/>
      <c r="IEY35"/>
      <c r="IEZ35"/>
      <c r="IFA35"/>
      <c r="IFB35"/>
      <c r="IFC35"/>
      <c r="IFD35"/>
      <c r="IFE35"/>
      <c r="IFF35"/>
      <c r="IFG35"/>
      <c r="IFH35"/>
      <c r="IFI35"/>
      <c r="IFJ35"/>
      <c r="IFK35"/>
      <c r="IFL35"/>
      <c r="IFM35"/>
      <c r="IFN35"/>
      <c r="IFO35"/>
      <c r="IFP35"/>
      <c r="IFQ35"/>
      <c r="IFR35"/>
      <c r="IFS35"/>
      <c r="IFT35"/>
      <c r="IFU35"/>
      <c r="IFV35"/>
      <c r="IFW35"/>
      <c r="IFX35"/>
      <c r="IFY35"/>
      <c r="IFZ35"/>
      <c r="IGA35"/>
      <c r="IGB35"/>
      <c r="IGC35"/>
      <c r="IGD35"/>
      <c r="IGE35"/>
      <c r="IGF35"/>
      <c r="IGG35"/>
      <c r="IGH35"/>
      <c r="IGI35"/>
      <c r="IGJ35"/>
      <c r="IGK35"/>
      <c r="IGL35"/>
      <c r="IGM35"/>
      <c r="IGN35"/>
      <c r="IGO35"/>
      <c r="IGP35"/>
      <c r="IGQ35"/>
      <c r="IGR35"/>
      <c r="IGS35"/>
      <c r="IGT35"/>
      <c r="IGU35"/>
      <c r="IGV35"/>
      <c r="IGW35"/>
      <c r="IGX35"/>
      <c r="IGY35"/>
      <c r="IGZ35"/>
      <c r="IHA35"/>
      <c r="IHB35"/>
      <c r="IHC35"/>
      <c r="IHD35"/>
      <c r="IHE35"/>
      <c r="IHF35"/>
      <c r="IHG35"/>
      <c r="IHH35"/>
      <c r="IHI35"/>
      <c r="IHJ35"/>
      <c r="IHK35"/>
      <c r="IHL35"/>
      <c r="IHM35"/>
      <c r="IHN35"/>
      <c r="IHO35"/>
      <c r="IHP35"/>
      <c r="IHQ35"/>
      <c r="IHR35"/>
      <c r="IHS35"/>
      <c r="IHT35"/>
      <c r="IHU35"/>
      <c r="IHV35"/>
      <c r="IHW35"/>
      <c r="IHX35"/>
      <c r="IHY35"/>
      <c r="IHZ35"/>
      <c r="IIA35"/>
      <c r="IIB35"/>
      <c r="IIC35"/>
      <c r="IID35"/>
      <c r="IIE35"/>
      <c r="IIF35"/>
      <c r="IIG35"/>
      <c r="IIH35"/>
      <c r="III35"/>
      <c r="IIJ35"/>
      <c r="IIK35"/>
      <c r="IIL35"/>
      <c r="IIM35"/>
      <c r="IIN35"/>
      <c r="IIO35"/>
      <c r="IIP35"/>
      <c r="IIQ35"/>
      <c r="IIR35"/>
      <c r="IIS35"/>
      <c r="IIT35"/>
      <c r="IIU35"/>
      <c r="IIV35"/>
      <c r="IIW35"/>
      <c r="IIX35"/>
      <c r="IIY35"/>
      <c r="IIZ35"/>
      <c r="IJA35"/>
      <c r="IJB35"/>
      <c r="IJC35"/>
      <c r="IJD35"/>
      <c r="IJE35"/>
      <c r="IJF35"/>
      <c r="IJG35"/>
      <c r="IJH35"/>
      <c r="IJI35"/>
      <c r="IJJ35"/>
      <c r="IJK35"/>
      <c r="IJL35"/>
      <c r="IJM35"/>
      <c r="IJN35"/>
      <c r="IJO35"/>
      <c r="IJP35"/>
      <c r="IJQ35"/>
      <c r="IJR35"/>
      <c r="IJS35"/>
      <c r="IJT35"/>
      <c r="IJU35"/>
      <c r="IJV35"/>
      <c r="IJW35"/>
      <c r="IJX35"/>
      <c r="IJY35"/>
      <c r="IJZ35"/>
      <c r="IKA35"/>
      <c r="IKB35"/>
      <c r="IKC35"/>
      <c r="IKD35"/>
      <c r="IKE35"/>
      <c r="IKF35"/>
      <c r="IKG35"/>
      <c r="IKH35"/>
      <c r="IKI35"/>
      <c r="IKJ35"/>
      <c r="IKK35"/>
      <c r="IKL35"/>
      <c r="IKM35"/>
      <c r="IKN35"/>
      <c r="IKO35"/>
      <c r="IKP35"/>
      <c r="IKQ35"/>
      <c r="IKR35"/>
      <c r="IKS35"/>
      <c r="IKT35"/>
      <c r="IKU35"/>
      <c r="IKV35"/>
      <c r="IKW35"/>
      <c r="IKX35"/>
      <c r="IKY35"/>
      <c r="IKZ35"/>
      <c r="ILA35"/>
      <c r="ILB35"/>
      <c r="ILC35"/>
      <c r="ILD35"/>
      <c r="ILE35"/>
      <c r="ILF35"/>
      <c r="ILG35"/>
      <c r="ILH35"/>
      <c r="ILI35"/>
      <c r="ILJ35"/>
      <c r="ILK35"/>
      <c r="ILL35"/>
      <c r="ILM35"/>
      <c r="ILN35"/>
      <c r="ILO35"/>
      <c r="ILP35"/>
      <c r="ILQ35"/>
      <c r="ILR35"/>
      <c r="ILS35"/>
      <c r="ILT35"/>
      <c r="ILU35"/>
      <c r="ILV35"/>
      <c r="ILW35"/>
      <c r="ILX35"/>
      <c r="ILY35"/>
      <c r="ILZ35"/>
      <c r="IMA35"/>
      <c r="IMB35"/>
      <c r="IMC35"/>
      <c r="IMD35"/>
      <c r="IME35"/>
      <c r="IMF35"/>
      <c r="IMG35"/>
      <c r="IMH35"/>
      <c r="IMI35"/>
      <c r="IMJ35"/>
      <c r="IMK35"/>
      <c r="IML35"/>
      <c r="IMM35"/>
      <c r="IMN35"/>
      <c r="IMO35"/>
      <c r="IMP35"/>
      <c r="IMQ35"/>
      <c r="IMR35"/>
      <c r="IMS35"/>
      <c r="IMT35"/>
      <c r="IMU35"/>
      <c r="IMV35"/>
      <c r="IMW35"/>
      <c r="IMX35"/>
      <c r="IMY35"/>
      <c r="IMZ35"/>
      <c r="INA35"/>
      <c r="INB35"/>
      <c r="INC35"/>
      <c r="IND35"/>
      <c r="INE35"/>
      <c r="INF35"/>
      <c r="ING35"/>
      <c r="INH35"/>
      <c r="INI35"/>
      <c r="INJ35"/>
      <c r="INK35"/>
      <c r="INL35"/>
      <c r="INM35"/>
      <c r="INN35"/>
      <c r="INO35"/>
      <c r="INP35"/>
      <c r="INQ35"/>
      <c r="INR35"/>
      <c r="INS35"/>
      <c r="INT35"/>
      <c r="INU35"/>
      <c r="INV35"/>
      <c r="INW35"/>
      <c r="INX35"/>
      <c r="INY35"/>
      <c r="INZ35"/>
      <c r="IOA35"/>
      <c r="IOB35"/>
      <c r="IOC35"/>
      <c r="IOD35"/>
      <c r="IOE35"/>
      <c r="IOF35"/>
      <c r="IOG35"/>
      <c r="IOH35"/>
      <c r="IOI35"/>
      <c r="IOJ35"/>
      <c r="IOK35"/>
      <c r="IOL35"/>
      <c r="IOM35"/>
      <c r="ION35"/>
      <c r="IOO35"/>
      <c r="IOP35"/>
      <c r="IOQ35"/>
      <c r="IOR35"/>
      <c r="IOS35"/>
      <c r="IOT35"/>
      <c r="IOU35"/>
      <c r="IOV35"/>
      <c r="IOW35"/>
      <c r="IOX35"/>
      <c r="IOY35"/>
      <c r="IOZ35"/>
      <c r="IPA35"/>
      <c r="IPB35"/>
      <c r="IPC35"/>
      <c r="IPD35"/>
      <c r="IPE35"/>
      <c r="IPF35"/>
      <c r="IPG35"/>
      <c r="IPH35"/>
      <c r="IPI35"/>
      <c r="IPJ35"/>
      <c r="IPK35"/>
      <c r="IPL35"/>
      <c r="IPM35"/>
      <c r="IPN35"/>
      <c r="IPO35"/>
      <c r="IPP35"/>
      <c r="IPQ35"/>
      <c r="IPR35"/>
      <c r="IPS35"/>
      <c r="IPT35"/>
      <c r="IPU35"/>
      <c r="IPV35"/>
      <c r="IPW35"/>
      <c r="IPX35"/>
      <c r="IPY35"/>
      <c r="IPZ35"/>
      <c r="IQA35"/>
      <c r="IQB35"/>
      <c r="IQC35"/>
      <c r="IQD35"/>
      <c r="IQE35"/>
      <c r="IQF35"/>
      <c r="IQG35"/>
      <c r="IQH35"/>
      <c r="IQI35"/>
      <c r="IQJ35"/>
      <c r="IQK35"/>
      <c r="IQL35"/>
      <c r="IQM35"/>
      <c r="IQN35"/>
      <c r="IQO35"/>
      <c r="IQP35"/>
      <c r="IQQ35"/>
      <c r="IQR35"/>
      <c r="IQS35"/>
      <c r="IQT35"/>
      <c r="IQU35"/>
      <c r="IQV35"/>
      <c r="IQW35"/>
      <c r="IQX35"/>
      <c r="IQY35"/>
      <c r="IQZ35"/>
      <c r="IRA35"/>
      <c r="IRB35"/>
      <c r="IRC35"/>
      <c r="IRD35"/>
      <c r="IRE35"/>
      <c r="IRF35"/>
      <c r="IRG35"/>
      <c r="IRH35"/>
      <c r="IRI35"/>
      <c r="IRJ35"/>
      <c r="IRK35"/>
      <c r="IRL35"/>
      <c r="IRM35"/>
      <c r="IRN35"/>
      <c r="IRO35"/>
      <c r="IRP35"/>
      <c r="IRQ35"/>
      <c r="IRR35"/>
      <c r="IRS35"/>
      <c r="IRT35"/>
      <c r="IRU35"/>
      <c r="IRV35"/>
      <c r="IRW35"/>
      <c r="IRX35"/>
      <c r="IRY35"/>
      <c r="IRZ35"/>
      <c r="ISA35"/>
      <c r="ISB35"/>
      <c r="ISC35"/>
      <c r="ISD35"/>
      <c r="ISE35"/>
      <c r="ISF35"/>
      <c r="ISG35"/>
      <c r="ISH35"/>
      <c r="ISI35"/>
      <c r="ISJ35"/>
      <c r="ISK35"/>
      <c r="ISL35"/>
      <c r="ISM35"/>
      <c r="ISN35"/>
      <c r="ISO35"/>
      <c r="ISP35"/>
      <c r="ISQ35"/>
      <c r="ISR35"/>
      <c r="ISS35"/>
      <c r="IST35"/>
      <c r="ISU35"/>
      <c r="ISV35"/>
      <c r="ISW35"/>
      <c r="ISX35"/>
      <c r="ISY35"/>
      <c r="ISZ35"/>
      <c r="ITA35"/>
      <c r="ITB35"/>
      <c r="ITC35"/>
      <c r="ITD35"/>
      <c r="ITE35"/>
      <c r="ITF35"/>
      <c r="ITG35"/>
      <c r="ITH35"/>
      <c r="ITI35"/>
      <c r="ITJ35"/>
      <c r="ITK35"/>
      <c r="ITL35"/>
      <c r="ITM35"/>
      <c r="ITN35"/>
      <c r="ITO35"/>
      <c r="ITP35"/>
      <c r="ITQ35"/>
      <c r="ITR35"/>
      <c r="ITS35"/>
      <c r="ITT35"/>
      <c r="ITU35"/>
      <c r="ITV35"/>
      <c r="ITW35"/>
      <c r="ITX35"/>
      <c r="ITY35"/>
      <c r="ITZ35"/>
      <c r="IUA35"/>
      <c r="IUB35"/>
      <c r="IUC35"/>
      <c r="IUD35"/>
      <c r="IUE35"/>
      <c r="IUF35"/>
      <c r="IUG35"/>
      <c r="IUH35"/>
      <c r="IUI35"/>
      <c r="IUJ35"/>
      <c r="IUK35"/>
      <c r="IUL35"/>
      <c r="IUM35"/>
      <c r="IUN35"/>
      <c r="IUO35"/>
      <c r="IUP35"/>
      <c r="IUQ35"/>
      <c r="IUR35"/>
      <c r="IUS35"/>
      <c r="IUT35"/>
      <c r="IUU35"/>
      <c r="IUV35"/>
      <c r="IUW35"/>
      <c r="IUX35"/>
      <c r="IUY35"/>
      <c r="IUZ35"/>
      <c r="IVA35"/>
      <c r="IVB35"/>
      <c r="IVC35"/>
      <c r="IVD35"/>
      <c r="IVE35"/>
      <c r="IVF35"/>
      <c r="IVG35"/>
      <c r="IVH35"/>
      <c r="IVI35"/>
      <c r="IVJ35"/>
      <c r="IVK35"/>
      <c r="IVL35"/>
      <c r="IVM35"/>
      <c r="IVN35"/>
      <c r="IVO35"/>
      <c r="IVP35"/>
      <c r="IVQ35"/>
      <c r="IVR35"/>
      <c r="IVS35"/>
      <c r="IVT35"/>
      <c r="IVU35"/>
      <c r="IVV35"/>
      <c r="IVW35"/>
      <c r="IVX35"/>
      <c r="IVY35"/>
      <c r="IVZ35"/>
      <c r="IWA35"/>
      <c r="IWB35"/>
      <c r="IWC35"/>
      <c r="IWD35"/>
      <c r="IWE35"/>
      <c r="IWF35"/>
      <c r="IWG35"/>
      <c r="IWH35"/>
      <c r="IWI35"/>
      <c r="IWJ35"/>
      <c r="IWK35"/>
      <c r="IWL35"/>
      <c r="IWM35"/>
      <c r="IWN35"/>
      <c r="IWO35"/>
      <c r="IWP35"/>
      <c r="IWQ35"/>
      <c r="IWR35"/>
      <c r="IWS35"/>
      <c r="IWT35"/>
      <c r="IWU35"/>
      <c r="IWV35"/>
      <c r="IWW35"/>
      <c r="IWX35"/>
      <c r="IWY35"/>
      <c r="IWZ35"/>
      <c r="IXA35"/>
      <c r="IXB35"/>
      <c r="IXC35"/>
      <c r="IXD35"/>
      <c r="IXE35"/>
      <c r="IXF35"/>
      <c r="IXG35"/>
      <c r="IXH35"/>
      <c r="IXI35"/>
      <c r="IXJ35"/>
      <c r="IXK35"/>
      <c r="IXL35"/>
      <c r="IXM35"/>
      <c r="IXN35"/>
      <c r="IXO35"/>
      <c r="IXP35"/>
      <c r="IXQ35"/>
      <c r="IXR35"/>
      <c r="IXS35"/>
      <c r="IXT35"/>
      <c r="IXU35"/>
      <c r="IXV35"/>
      <c r="IXW35"/>
      <c r="IXX35"/>
      <c r="IXY35"/>
      <c r="IXZ35"/>
      <c r="IYA35"/>
      <c r="IYB35"/>
      <c r="IYC35"/>
      <c r="IYD35"/>
      <c r="IYE35"/>
      <c r="IYF35"/>
      <c r="IYG35"/>
      <c r="IYH35"/>
      <c r="IYI35"/>
      <c r="IYJ35"/>
      <c r="IYK35"/>
      <c r="IYL35"/>
      <c r="IYM35"/>
      <c r="IYN35"/>
      <c r="IYO35"/>
      <c r="IYP35"/>
      <c r="IYQ35"/>
      <c r="IYR35"/>
      <c r="IYS35"/>
      <c r="IYT35"/>
      <c r="IYU35"/>
      <c r="IYV35"/>
      <c r="IYW35"/>
      <c r="IYX35"/>
      <c r="IYY35"/>
      <c r="IYZ35"/>
      <c r="IZA35"/>
      <c r="IZB35"/>
      <c r="IZC35"/>
      <c r="IZD35"/>
      <c r="IZE35"/>
      <c r="IZF35"/>
      <c r="IZG35"/>
      <c r="IZH35"/>
      <c r="IZI35"/>
      <c r="IZJ35"/>
      <c r="IZK35"/>
      <c r="IZL35"/>
      <c r="IZM35"/>
      <c r="IZN35"/>
      <c r="IZO35"/>
      <c r="IZP35"/>
      <c r="IZQ35"/>
      <c r="IZR35"/>
      <c r="IZS35"/>
      <c r="IZT35"/>
      <c r="IZU35"/>
      <c r="IZV35"/>
      <c r="IZW35"/>
      <c r="IZX35"/>
      <c r="IZY35"/>
      <c r="IZZ35"/>
      <c r="JAA35"/>
      <c r="JAB35"/>
      <c r="JAC35"/>
      <c r="JAD35"/>
      <c r="JAE35"/>
      <c r="JAF35"/>
      <c r="JAG35"/>
      <c r="JAH35"/>
      <c r="JAI35"/>
      <c r="JAJ35"/>
      <c r="JAK35"/>
      <c r="JAL35"/>
      <c r="JAM35"/>
      <c r="JAN35"/>
      <c r="JAO35"/>
      <c r="JAP35"/>
      <c r="JAQ35"/>
      <c r="JAR35"/>
      <c r="JAS35"/>
      <c r="JAT35"/>
      <c r="JAU35"/>
      <c r="JAV35"/>
      <c r="JAW35"/>
      <c r="JAX35"/>
      <c r="JAY35"/>
      <c r="JAZ35"/>
      <c r="JBA35"/>
      <c r="JBB35"/>
      <c r="JBC35"/>
      <c r="JBD35"/>
      <c r="JBE35"/>
      <c r="JBF35"/>
      <c r="JBG35"/>
      <c r="JBH35"/>
      <c r="JBI35"/>
      <c r="JBJ35"/>
      <c r="JBK35"/>
      <c r="JBL35"/>
      <c r="JBM35"/>
      <c r="JBN35"/>
      <c r="JBO35"/>
      <c r="JBP35"/>
      <c r="JBQ35"/>
      <c r="JBR35"/>
      <c r="JBS35"/>
      <c r="JBT35"/>
      <c r="JBU35"/>
      <c r="JBV35"/>
      <c r="JBW35"/>
      <c r="JBX35"/>
      <c r="JBY35"/>
      <c r="JBZ35"/>
      <c r="JCA35"/>
      <c r="JCB35"/>
      <c r="JCC35"/>
      <c r="JCD35"/>
      <c r="JCE35"/>
      <c r="JCF35"/>
      <c r="JCG35"/>
      <c r="JCH35"/>
      <c r="JCI35"/>
      <c r="JCJ35"/>
      <c r="JCK35"/>
      <c r="JCL35"/>
      <c r="JCM35"/>
      <c r="JCN35"/>
      <c r="JCO35"/>
      <c r="JCP35"/>
      <c r="JCQ35"/>
      <c r="JCR35"/>
      <c r="JCS35"/>
      <c r="JCT35"/>
      <c r="JCU35"/>
      <c r="JCV35"/>
      <c r="JCW35"/>
      <c r="JCX35"/>
      <c r="JCY35"/>
      <c r="JCZ35"/>
      <c r="JDA35"/>
      <c r="JDB35"/>
      <c r="JDC35"/>
      <c r="JDD35"/>
      <c r="JDE35"/>
      <c r="JDF35"/>
      <c r="JDG35"/>
      <c r="JDH35"/>
      <c r="JDI35"/>
      <c r="JDJ35"/>
      <c r="JDK35"/>
      <c r="JDL35"/>
      <c r="JDM35"/>
      <c r="JDN35"/>
      <c r="JDO35"/>
      <c r="JDP35"/>
      <c r="JDQ35"/>
      <c r="JDR35"/>
      <c r="JDS35"/>
      <c r="JDT35"/>
      <c r="JDU35"/>
      <c r="JDV35"/>
      <c r="JDW35"/>
      <c r="JDX35"/>
      <c r="JDY35"/>
      <c r="JDZ35"/>
      <c r="JEA35"/>
      <c r="JEB35"/>
      <c r="JEC35"/>
      <c r="JED35"/>
      <c r="JEE35"/>
      <c r="JEF35"/>
      <c r="JEG35"/>
      <c r="JEH35"/>
      <c r="JEI35"/>
      <c r="JEJ35"/>
      <c r="JEK35"/>
      <c r="JEL35"/>
      <c r="JEM35"/>
      <c r="JEN35"/>
      <c r="JEO35"/>
      <c r="JEP35"/>
      <c r="JEQ35"/>
      <c r="JER35"/>
      <c r="JES35"/>
      <c r="JET35"/>
      <c r="JEU35"/>
      <c r="JEV35"/>
      <c r="JEW35"/>
      <c r="JEX35"/>
      <c r="JEY35"/>
      <c r="JEZ35"/>
      <c r="JFA35"/>
      <c r="JFB35"/>
      <c r="JFC35"/>
      <c r="JFD35"/>
      <c r="JFE35"/>
      <c r="JFF35"/>
      <c r="JFG35"/>
      <c r="JFH35"/>
      <c r="JFI35"/>
      <c r="JFJ35"/>
      <c r="JFK35"/>
      <c r="JFL35"/>
      <c r="JFM35"/>
      <c r="JFN35"/>
      <c r="JFO35"/>
      <c r="JFP35"/>
      <c r="JFQ35"/>
      <c r="JFR35"/>
      <c r="JFS35"/>
      <c r="JFT35"/>
      <c r="JFU35"/>
      <c r="JFV35"/>
      <c r="JFW35"/>
      <c r="JFX35"/>
      <c r="JFY35"/>
      <c r="JFZ35"/>
      <c r="JGA35"/>
      <c r="JGB35"/>
      <c r="JGC35"/>
      <c r="JGD35"/>
      <c r="JGE35"/>
      <c r="JGF35"/>
      <c r="JGG35"/>
      <c r="JGH35"/>
      <c r="JGI35"/>
      <c r="JGJ35"/>
      <c r="JGK35"/>
      <c r="JGL35"/>
      <c r="JGM35"/>
      <c r="JGN35"/>
      <c r="JGO35"/>
      <c r="JGP35"/>
      <c r="JGQ35"/>
      <c r="JGR35"/>
      <c r="JGS35"/>
      <c r="JGT35"/>
      <c r="JGU35"/>
      <c r="JGV35"/>
      <c r="JGW35"/>
      <c r="JGX35"/>
      <c r="JGY35"/>
      <c r="JGZ35"/>
      <c r="JHA35"/>
      <c r="JHB35"/>
      <c r="JHC35"/>
      <c r="JHD35"/>
      <c r="JHE35"/>
      <c r="JHF35"/>
      <c r="JHG35"/>
      <c r="JHH35"/>
      <c r="JHI35"/>
      <c r="JHJ35"/>
      <c r="JHK35"/>
      <c r="JHL35"/>
      <c r="JHM35"/>
      <c r="JHN35"/>
      <c r="JHO35"/>
      <c r="JHP35"/>
      <c r="JHQ35"/>
      <c r="JHR35"/>
      <c r="JHS35"/>
      <c r="JHT35"/>
      <c r="JHU35"/>
      <c r="JHV35"/>
      <c r="JHW35"/>
      <c r="JHX35"/>
      <c r="JHY35"/>
      <c r="JHZ35"/>
      <c r="JIA35"/>
      <c r="JIB35"/>
      <c r="JIC35"/>
      <c r="JID35"/>
      <c r="JIE35"/>
      <c r="JIF35"/>
      <c r="JIG35"/>
      <c r="JIH35"/>
      <c r="JII35"/>
      <c r="JIJ35"/>
      <c r="JIK35"/>
      <c r="JIL35"/>
      <c r="JIM35"/>
      <c r="JIN35"/>
      <c r="JIO35"/>
      <c r="JIP35"/>
      <c r="JIQ35"/>
      <c r="JIR35"/>
      <c r="JIS35"/>
      <c r="JIT35"/>
      <c r="JIU35"/>
      <c r="JIV35"/>
      <c r="JIW35"/>
      <c r="JIX35"/>
      <c r="JIY35"/>
      <c r="JIZ35"/>
      <c r="JJA35"/>
      <c r="JJB35"/>
      <c r="JJC35"/>
      <c r="JJD35"/>
      <c r="JJE35"/>
      <c r="JJF35"/>
      <c r="JJG35"/>
      <c r="JJH35"/>
      <c r="JJI35"/>
      <c r="JJJ35"/>
      <c r="JJK35"/>
      <c r="JJL35"/>
      <c r="JJM35"/>
      <c r="JJN35"/>
      <c r="JJO35"/>
      <c r="JJP35"/>
      <c r="JJQ35"/>
      <c r="JJR35"/>
      <c r="JJS35"/>
      <c r="JJT35"/>
      <c r="JJU35"/>
      <c r="JJV35"/>
      <c r="JJW35"/>
      <c r="JJX35"/>
      <c r="JJY35"/>
      <c r="JJZ35"/>
      <c r="JKA35"/>
      <c r="JKB35"/>
      <c r="JKC35"/>
      <c r="JKD35"/>
      <c r="JKE35"/>
      <c r="JKF35"/>
      <c r="JKG35"/>
      <c r="JKH35"/>
      <c r="JKI35"/>
      <c r="JKJ35"/>
      <c r="JKK35"/>
      <c r="JKL35"/>
      <c r="JKM35"/>
      <c r="JKN35"/>
      <c r="JKO35"/>
      <c r="JKP35"/>
      <c r="JKQ35"/>
      <c r="JKR35"/>
      <c r="JKS35"/>
      <c r="JKT35"/>
      <c r="JKU35"/>
      <c r="JKV35"/>
      <c r="JKW35"/>
      <c r="JKX35"/>
      <c r="JKY35"/>
      <c r="JKZ35"/>
      <c r="JLA35"/>
      <c r="JLB35"/>
      <c r="JLC35"/>
      <c r="JLD35"/>
      <c r="JLE35"/>
      <c r="JLF35"/>
      <c r="JLG35"/>
      <c r="JLH35"/>
      <c r="JLI35"/>
      <c r="JLJ35"/>
      <c r="JLK35"/>
      <c r="JLL35"/>
      <c r="JLM35"/>
      <c r="JLN35"/>
      <c r="JLO35"/>
      <c r="JLP35"/>
      <c r="JLQ35"/>
      <c r="JLR35"/>
      <c r="JLS35"/>
      <c r="JLT35"/>
      <c r="JLU35"/>
      <c r="JLV35"/>
      <c r="JLW35"/>
      <c r="JLX35"/>
      <c r="JLY35"/>
      <c r="JLZ35"/>
      <c r="JMA35"/>
      <c r="JMB35"/>
      <c r="JMC35"/>
      <c r="JMD35"/>
      <c r="JME35"/>
      <c r="JMF35"/>
      <c r="JMG35"/>
      <c r="JMH35"/>
      <c r="JMI35"/>
      <c r="JMJ35"/>
      <c r="JMK35"/>
      <c r="JML35"/>
      <c r="JMM35"/>
      <c r="JMN35"/>
      <c r="JMO35"/>
      <c r="JMP35"/>
      <c r="JMQ35"/>
      <c r="JMR35"/>
      <c r="JMS35"/>
      <c r="JMT35"/>
      <c r="JMU35"/>
      <c r="JMV35"/>
      <c r="JMW35"/>
      <c r="JMX35"/>
      <c r="JMY35"/>
      <c r="JMZ35"/>
      <c r="JNA35"/>
      <c r="JNB35"/>
      <c r="JNC35"/>
      <c r="JND35"/>
      <c r="JNE35"/>
      <c r="JNF35"/>
      <c r="JNG35"/>
      <c r="JNH35"/>
      <c r="JNI35"/>
      <c r="JNJ35"/>
      <c r="JNK35"/>
      <c r="JNL35"/>
      <c r="JNM35"/>
      <c r="JNN35"/>
      <c r="JNO35"/>
      <c r="JNP35"/>
      <c r="JNQ35"/>
      <c r="JNR35"/>
      <c r="JNS35"/>
      <c r="JNT35"/>
      <c r="JNU35"/>
      <c r="JNV35"/>
      <c r="JNW35"/>
      <c r="JNX35"/>
      <c r="JNY35"/>
      <c r="JNZ35"/>
      <c r="JOA35"/>
      <c r="JOB35"/>
      <c r="JOC35"/>
      <c r="JOD35"/>
      <c r="JOE35"/>
      <c r="JOF35"/>
      <c r="JOG35"/>
      <c r="JOH35"/>
      <c r="JOI35"/>
      <c r="JOJ35"/>
      <c r="JOK35"/>
      <c r="JOL35"/>
      <c r="JOM35"/>
      <c r="JON35"/>
      <c r="JOO35"/>
      <c r="JOP35"/>
      <c r="JOQ35"/>
      <c r="JOR35"/>
      <c r="JOS35"/>
      <c r="JOT35"/>
      <c r="JOU35"/>
      <c r="JOV35"/>
      <c r="JOW35"/>
      <c r="JOX35"/>
      <c r="JOY35"/>
      <c r="JOZ35"/>
      <c r="JPA35"/>
      <c r="JPB35"/>
      <c r="JPC35"/>
      <c r="JPD35"/>
      <c r="JPE35"/>
      <c r="JPF35"/>
      <c r="JPG35"/>
      <c r="JPH35"/>
      <c r="JPI35"/>
      <c r="JPJ35"/>
      <c r="JPK35"/>
      <c r="JPL35"/>
      <c r="JPM35"/>
      <c r="JPN35"/>
      <c r="JPO35"/>
      <c r="JPP35"/>
      <c r="JPQ35"/>
      <c r="JPR35"/>
      <c r="JPS35"/>
      <c r="JPT35"/>
      <c r="JPU35"/>
      <c r="JPV35"/>
      <c r="JPW35"/>
      <c r="JPX35"/>
      <c r="JPY35"/>
      <c r="JPZ35"/>
      <c r="JQA35"/>
      <c r="JQB35"/>
      <c r="JQC35"/>
      <c r="JQD35"/>
      <c r="JQE35"/>
      <c r="JQF35"/>
      <c r="JQG35"/>
      <c r="JQH35"/>
      <c r="JQI35"/>
      <c r="JQJ35"/>
      <c r="JQK35"/>
      <c r="JQL35"/>
      <c r="JQM35"/>
      <c r="JQN35"/>
      <c r="JQO35"/>
      <c r="JQP35"/>
      <c r="JQQ35"/>
      <c r="JQR35"/>
      <c r="JQS35"/>
      <c r="JQT35"/>
      <c r="JQU35"/>
      <c r="JQV35"/>
      <c r="JQW35"/>
      <c r="JQX35"/>
      <c r="JQY35"/>
      <c r="JQZ35"/>
      <c r="JRA35"/>
      <c r="JRB35"/>
      <c r="JRC35"/>
      <c r="JRD35"/>
      <c r="JRE35"/>
      <c r="JRF35"/>
      <c r="JRG35"/>
      <c r="JRH35"/>
      <c r="JRI35"/>
      <c r="JRJ35"/>
      <c r="JRK35"/>
      <c r="JRL35"/>
      <c r="JRM35"/>
      <c r="JRN35"/>
      <c r="JRO35"/>
      <c r="JRP35"/>
      <c r="JRQ35"/>
      <c r="JRR35"/>
      <c r="JRS35"/>
      <c r="JRT35"/>
      <c r="JRU35"/>
      <c r="JRV35"/>
      <c r="JRW35"/>
      <c r="JRX35"/>
      <c r="JRY35"/>
      <c r="JRZ35"/>
      <c r="JSA35"/>
      <c r="JSB35"/>
      <c r="JSC35"/>
      <c r="JSD35"/>
      <c r="JSE35"/>
      <c r="JSF35"/>
      <c r="JSG35"/>
      <c r="JSH35"/>
      <c r="JSI35"/>
      <c r="JSJ35"/>
      <c r="JSK35"/>
      <c r="JSL35"/>
      <c r="JSM35"/>
      <c r="JSN35"/>
      <c r="JSO35"/>
      <c r="JSP35"/>
      <c r="JSQ35"/>
      <c r="JSR35"/>
      <c r="JSS35"/>
      <c r="JST35"/>
      <c r="JSU35"/>
      <c r="JSV35"/>
      <c r="JSW35"/>
      <c r="JSX35"/>
      <c r="JSY35"/>
      <c r="JSZ35"/>
      <c r="JTA35"/>
      <c r="JTB35"/>
      <c r="JTC35"/>
      <c r="JTD35"/>
      <c r="JTE35"/>
      <c r="JTF35"/>
      <c r="JTG35"/>
      <c r="JTH35"/>
      <c r="JTI35"/>
      <c r="JTJ35"/>
      <c r="JTK35"/>
      <c r="JTL35"/>
      <c r="JTM35"/>
      <c r="JTN35"/>
      <c r="JTO35"/>
      <c r="JTP35"/>
      <c r="JTQ35"/>
      <c r="JTR35"/>
      <c r="JTS35"/>
      <c r="JTT35"/>
      <c r="JTU35"/>
      <c r="JTV35"/>
      <c r="JTW35"/>
      <c r="JTX35"/>
      <c r="JTY35"/>
      <c r="JTZ35"/>
      <c r="JUA35"/>
      <c r="JUB35"/>
      <c r="JUC35"/>
      <c r="JUD35"/>
      <c r="JUE35"/>
      <c r="JUF35"/>
      <c r="JUG35"/>
      <c r="JUH35"/>
      <c r="JUI35"/>
      <c r="JUJ35"/>
      <c r="JUK35"/>
      <c r="JUL35"/>
      <c r="JUM35"/>
      <c r="JUN35"/>
      <c r="JUO35"/>
      <c r="JUP35"/>
      <c r="JUQ35"/>
      <c r="JUR35"/>
      <c r="JUS35"/>
      <c r="JUT35"/>
      <c r="JUU35"/>
      <c r="JUV35"/>
      <c r="JUW35"/>
      <c r="JUX35"/>
      <c r="JUY35"/>
      <c r="JUZ35"/>
      <c r="JVA35"/>
      <c r="JVB35"/>
      <c r="JVC35"/>
      <c r="JVD35"/>
      <c r="JVE35"/>
      <c r="JVF35"/>
      <c r="JVG35"/>
      <c r="JVH35"/>
      <c r="JVI35"/>
      <c r="JVJ35"/>
      <c r="JVK35"/>
      <c r="JVL35"/>
      <c r="JVM35"/>
      <c r="JVN35"/>
      <c r="JVO35"/>
      <c r="JVP35"/>
      <c r="JVQ35"/>
      <c r="JVR35"/>
      <c r="JVS35"/>
      <c r="JVT35"/>
      <c r="JVU35"/>
      <c r="JVV35"/>
      <c r="JVW35"/>
      <c r="JVX35"/>
      <c r="JVY35"/>
      <c r="JVZ35"/>
      <c r="JWA35"/>
      <c r="JWB35"/>
      <c r="JWC35"/>
      <c r="JWD35"/>
      <c r="JWE35"/>
      <c r="JWF35"/>
      <c r="JWG35"/>
      <c r="JWH35"/>
      <c r="JWI35"/>
      <c r="JWJ35"/>
      <c r="JWK35"/>
      <c r="JWL35"/>
      <c r="JWM35"/>
      <c r="JWN35"/>
      <c r="JWO35"/>
      <c r="JWP35"/>
      <c r="JWQ35"/>
      <c r="JWR35"/>
      <c r="JWS35"/>
      <c r="JWT35"/>
      <c r="JWU35"/>
      <c r="JWV35"/>
      <c r="JWW35"/>
      <c r="JWX35"/>
      <c r="JWY35"/>
      <c r="JWZ35"/>
      <c r="JXA35"/>
      <c r="JXB35"/>
      <c r="JXC35"/>
      <c r="JXD35"/>
      <c r="JXE35"/>
      <c r="JXF35"/>
      <c r="JXG35"/>
      <c r="JXH35"/>
      <c r="JXI35"/>
      <c r="JXJ35"/>
      <c r="JXK35"/>
      <c r="JXL35"/>
      <c r="JXM35"/>
      <c r="JXN35"/>
      <c r="JXO35"/>
      <c r="JXP35"/>
      <c r="JXQ35"/>
      <c r="JXR35"/>
      <c r="JXS35"/>
      <c r="JXT35"/>
      <c r="JXU35"/>
      <c r="JXV35"/>
      <c r="JXW35"/>
      <c r="JXX35"/>
      <c r="JXY35"/>
      <c r="JXZ35"/>
      <c r="JYA35"/>
      <c r="JYB35"/>
      <c r="JYC35"/>
      <c r="JYD35"/>
      <c r="JYE35"/>
      <c r="JYF35"/>
      <c r="JYG35"/>
      <c r="JYH35"/>
      <c r="JYI35"/>
      <c r="JYJ35"/>
      <c r="JYK35"/>
      <c r="JYL35"/>
      <c r="JYM35"/>
      <c r="JYN35"/>
      <c r="JYO35"/>
      <c r="JYP35"/>
      <c r="JYQ35"/>
      <c r="JYR35"/>
      <c r="JYS35"/>
      <c r="JYT35"/>
      <c r="JYU35"/>
      <c r="JYV35"/>
      <c r="JYW35"/>
      <c r="JYX35"/>
      <c r="JYY35"/>
      <c r="JYZ35"/>
      <c r="JZA35"/>
      <c r="JZB35"/>
      <c r="JZC35"/>
      <c r="JZD35"/>
      <c r="JZE35"/>
      <c r="JZF35"/>
      <c r="JZG35"/>
      <c r="JZH35"/>
      <c r="JZI35"/>
      <c r="JZJ35"/>
      <c r="JZK35"/>
      <c r="JZL35"/>
      <c r="JZM35"/>
      <c r="JZN35"/>
      <c r="JZO35"/>
      <c r="JZP35"/>
      <c r="JZQ35"/>
      <c r="JZR35"/>
      <c r="JZS35"/>
      <c r="JZT35"/>
      <c r="JZU35"/>
      <c r="JZV35"/>
      <c r="JZW35"/>
      <c r="JZX35"/>
      <c r="JZY35"/>
      <c r="JZZ35"/>
      <c r="KAA35"/>
      <c r="KAB35"/>
      <c r="KAC35"/>
      <c r="KAD35"/>
      <c r="KAE35"/>
      <c r="KAF35"/>
      <c r="KAG35"/>
      <c r="KAH35"/>
      <c r="KAI35"/>
      <c r="KAJ35"/>
      <c r="KAK35"/>
      <c r="KAL35"/>
      <c r="KAM35"/>
      <c r="KAN35"/>
      <c r="KAO35"/>
      <c r="KAP35"/>
      <c r="KAQ35"/>
      <c r="KAR35"/>
      <c r="KAS35"/>
      <c r="KAT35"/>
      <c r="KAU35"/>
      <c r="KAV35"/>
      <c r="KAW35"/>
      <c r="KAX35"/>
      <c r="KAY35"/>
      <c r="KAZ35"/>
      <c r="KBA35"/>
      <c r="KBB35"/>
      <c r="KBC35"/>
      <c r="KBD35"/>
      <c r="KBE35"/>
      <c r="KBF35"/>
      <c r="KBG35"/>
      <c r="KBH35"/>
      <c r="KBI35"/>
      <c r="KBJ35"/>
      <c r="KBK35"/>
      <c r="KBL35"/>
      <c r="KBM35"/>
      <c r="KBN35"/>
      <c r="KBO35"/>
      <c r="KBP35"/>
      <c r="KBQ35"/>
      <c r="KBR35"/>
      <c r="KBS35"/>
      <c r="KBT35"/>
      <c r="KBU35"/>
      <c r="KBV35"/>
      <c r="KBW35"/>
      <c r="KBX35"/>
      <c r="KBY35"/>
      <c r="KBZ35"/>
      <c r="KCA35"/>
      <c r="KCB35"/>
      <c r="KCC35"/>
      <c r="KCD35"/>
      <c r="KCE35"/>
      <c r="KCF35"/>
      <c r="KCG35"/>
      <c r="KCH35"/>
      <c r="KCI35"/>
      <c r="KCJ35"/>
      <c r="KCK35"/>
      <c r="KCL35"/>
      <c r="KCM35"/>
      <c r="KCN35"/>
      <c r="KCO35"/>
      <c r="KCP35"/>
      <c r="KCQ35"/>
      <c r="KCR35"/>
      <c r="KCS35"/>
      <c r="KCT35"/>
      <c r="KCU35"/>
      <c r="KCV35"/>
      <c r="KCW35"/>
      <c r="KCX35"/>
      <c r="KCY35"/>
      <c r="KCZ35"/>
      <c r="KDA35"/>
      <c r="KDB35"/>
      <c r="KDC35"/>
      <c r="KDD35"/>
      <c r="KDE35"/>
      <c r="KDF35"/>
      <c r="KDG35"/>
      <c r="KDH35"/>
      <c r="KDI35"/>
      <c r="KDJ35"/>
      <c r="KDK35"/>
      <c r="KDL35"/>
      <c r="KDM35"/>
      <c r="KDN35"/>
      <c r="KDO35"/>
      <c r="KDP35"/>
      <c r="KDQ35"/>
      <c r="KDR35"/>
      <c r="KDS35"/>
      <c r="KDT35"/>
      <c r="KDU35"/>
      <c r="KDV35"/>
      <c r="KDW35"/>
      <c r="KDX35"/>
      <c r="KDY35"/>
      <c r="KDZ35"/>
      <c r="KEA35"/>
      <c r="KEB35"/>
      <c r="KEC35"/>
      <c r="KED35"/>
      <c r="KEE35"/>
      <c r="KEF35"/>
      <c r="KEG35"/>
      <c r="KEH35"/>
      <c r="KEI35"/>
      <c r="KEJ35"/>
      <c r="KEK35"/>
      <c r="KEL35"/>
      <c r="KEM35"/>
      <c r="KEN35"/>
      <c r="KEO35"/>
      <c r="KEP35"/>
      <c r="KEQ35"/>
      <c r="KER35"/>
      <c r="KES35"/>
      <c r="KET35"/>
      <c r="KEU35"/>
      <c r="KEV35"/>
      <c r="KEW35"/>
      <c r="KEX35"/>
      <c r="KEY35"/>
      <c r="KEZ35"/>
      <c r="KFA35"/>
      <c r="KFB35"/>
      <c r="KFC35"/>
      <c r="KFD35"/>
      <c r="KFE35"/>
      <c r="KFF35"/>
      <c r="KFG35"/>
      <c r="KFH35"/>
      <c r="KFI35"/>
      <c r="KFJ35"/>
      <c r="KFK35"/>
      <c r="KFL35"/>
      <c r="KFM35"/>
      <c r="KFN35"/>
      <c r="KFO35"/>
      <c r="KFP35"/>
      <c r="KFQ35"/>
      <c r="KFR35"/>
      <c r="KFS35"/>
      <c r="KFT35"/>
      <c r="KFU35"/>
      <c r="KFV35"/>
      <c r="KFW35"/>
      <c r="KFX35"/>
      <c r="KFY35"/>
      <c r="KFZ35"/>
      <c r="KGA35"/>
      <c r="KGB35"/>
      <c r="KGC35"/>
      <c r="KGD35"/>
      <c r="KGE35"/>
      <c r="KGF35"/>
      <c r="KGG35"/>
      <c r="KGH35"/>
      <c r="KGI35"/>
      <c r="KGJ35"/>
      <c r="KGK35"/>
      <c r="KGL35"/>
      <c r="KGM35"/>
      <c r="KGN35"/>
      <c r="KGO35"/>
      <c r="KGP35"/>
      <c r="KGQ35"/>
      <c r="KGR35"/>
      <c r="KGS35"/>
      <c r="KGT35"/>
      <c r="KGU35"/>
      <c r="KGV35"/>
      <c r="KGW35"/>
      <c r="KGX35"/>
      <c r="KGY35"/>
      <c r="KGZ35"/>
      <c r="KHA35"/>
      <c r="KHB35"/>
      <c r="KHC35"/>
      <c r="KHD35"/>
      <c r="KHE35"/>
      <c r="KHF35"/>
      <c r="KHG35"/>
      <c r="KHH35"/>
      <c r="KHI35"/>
      <c r="KHJ35"/>
      <c r="KHK35"/>
      <c r="KHL35"/>
      <c r="KHM35"/>
      <c r="KHN35"/>
      <c r="KHO35"/>
      <c r="KHP35"/>
      <c r="KHQ35"/>
      <c r="KHR35"/>
      <c r="KHS35"/>
      <c r="KHT35"/>
      <c r="KHU35"/>
      <c r="KHV35"/>
      <c r="KHW35"/>
      <c r="KHX35"/>
      <c r="KHY35"/>
      <c r="KHZ35"/>
      <c r="KIA35"/>
      <c r="KIB35"/>
      <c r="KIC35"/>
      <c r="KID35"/>
      <c r="KIE35"/>
      <c r="KIF35"/>
      <c r="KIG35"/>
      <c r="KIH35"/>
      <c r="KII35"/>
      <c r="KIJ35"/>
      <c r="KIK35"/>
      <c r="KIL35"/>
      <c r="KIM35"/>
      <c r="KIN35"/>
      <c r="KIO35"/>
      <c r="KIP35"/>
      <c r="KIQ35"/>
      <c r="KIR35"/>
      <c r="KIS35"/>
      <c r="KIT35"/>
      <c r="KIU35"/>
      <c r="KIV35"/>
      <c r="KIW35"/>
      <c r="KIX35"/>
      <c r="KIY35"/>
      <c r="KIZ35"/>
      <c r="KJA35"/>
      <c r="KJB35"/>
      <c r="KJC35"/>
      <c r="KJD35"/>
      <c r="KJE35"/>
      <c r="KJF35"/>
      <c r="KJG35"/>
      <c r="KJH35"/>
      <c r="KJI35"/>
      <c r="KJJ35"/>
      <c r="KJK35"/>
      <c r="KJL35"/>
      <c r="KJM35"/>
      <c r="KJN35"/>
      <c r="KJO35"/>
      <c r="KJP35"/>
      <c r="KJQ35"/>
      <c r="KJR35"/>
      <c r="KJS35"/>
      <c r="KJT35"/>
      <c r="KJU35"/>
      <c r="KJV35"/>
      <c r="KJW35"/>
      <c r="KJX35"/>
      <c r="KJY35"/>
      <c r="KJZ35"/>
      <c r="KKA35"/>
      <c r="KKB35"/>
      <c r="KKC35"/>
      <c r="KKD35"/>
      <c r="KKE35"/>
      <c r="KKF35"/>
      <c r="KKG35"/>
      <c r="KKH35"/>
      <c r="KKI35"/>
      <c r="KKJ35"/>
      <c r="KKK35"/>
      <c r="KKL35"/>
      <c r="KKM35"/>
      <c r="KKN35"/>
      <c r="KKO35"/>
      <c r="KKP35"/>
      <c r="KKQ35"/>
      <c r="KKR35"/>
      <c r="KKS35"/>
      <c r="KKT35"/>
      <c r="KKU35"/>
      <c r="KKV35"/>
      <c r="KKW35"/>
      <c r="KKX35"/>
      <c r="KKY35"/>
      <c r="KKZ35"/>
      <c r="KLA35"/>
      <c r="KLB35"/>
      <c r="KLC35"/>
      <c r="KLD35"/>
      <c r="KLE35"/>
      <c r="KLF35"/>
      <c r="KLG35"/>
      <c r="KLH35"/>
      <c r="KLI35"/>
      <c r="KLJ35"/>
      <c r="KLK35"/>
      <c r="KLL35"/>
      <c r="KLM35"/>
      <c r="KLN35"/>
      <c r="KLO35"/>
      <c r="KLP35"/>
      <c r="KLQ35"/>
      <c r="KLR35"/>
      <c r="KLS35"/>
      <c r="KLT35"/>
      <c r="KLU35"/>
      <c r="KLV35"/>
      <c r="KLW35"/>
      <c r="KLX35"/>
      <c r="KLY35"/>
      <c r="KLZ35"/>
      <c r="KMA35"/>
      <c r="KMB35"/>
      <c r="KMC35"/>
      <c r="KMD35"/>
      <c r="KME35"/>
      <c r="KMF35"/>
      <c r="KMG35"/>
      <c r="KMH35"/>
      <c r="KMI35"/>
      <c r="KMJ35"/>
      <c r="KMK35"/>
      <c r="KML35"/>
      <c r="KMM35"/>
      <c r="KMN35"/>
      <c r="KMO35"/>
      <c r="KMP35"/>
      <c r="KMQ35"/>
      <c r="KMR35"/>
      <c r="KMS35"/>
      <c r="KMT35"/>
      <c r="KMU35"/>
      <c r="KMV35"/>
      <c r="KMW35"/>
      <c r="KMX35"/>
      <c r="KMY35"/>
      <c r="KMZ35"/>
      <c r="KNA35"/>
      <c r="KNB35"/>
      <c r="KNC35"/>
      <c r="KND35"/>
      <c r="KNE35"/>
      <c r="KNF35"/>
      <c r="KNG35"/>
      <c r="KNH35"/>
      <c r="KNI35"/>
      <c r="KNJ35"/>
      <c r="KNK35"/>
      <c r="KNL35"/>
      <c r="KNM35"/>
      <c r="KNN35"/>
      <c r="KNO35"/>
      <c r="KNP35"/>
      <c r="KNQ35"/>
      <c r="KNR35"/>
      <c r="KNS35"/>
      <c r="KNT35"/>
      <c r="KNU35"/>
      <c r="KNV35"/>
      <c r="KNW35"/>
      <c r="KNX35"/>
      <c r="KNY35"/>
      <c r="KNZ35"/>
      <c r="KOA35"/>
      <c r="KOB35"/>
      <c r="KOC35"/>
      <c r="KOD35"/>
      <c r="KOE35"/>
      <c r="KOF35"/>
      <c r="KOG35"/>
      <c r="KOH35"/>
      <c r="KOI35"/>
      <c r="KOJ35"/>
      <c r="KOK35"/>
      <c r="KOL35"/>
      <c r="KOM35"/>
      <c r="KON35"/>
      <c r="KOO35"/>
      <c r="KOP35"/>
      <c r="KOQ35"/>
      <c r="KOR35"/>
      <c r="KOS35"/>
      <c r="KOT35"/>
      <c r="KOU35"/>
      <c r="KOV35"/>
      <c r="KOW35"/>
      <c r="KOX35"/>
      <c r="KOY35"/>
      <c r="KOZ35"/>
      <c r="KPA35"/>
      <c r="KPB35"/>
      <c r="KPC35"/>
      <c r="KPD35"/>
      <c r="KPE35"/>
      <c r="KPF35"/>
      <c r="KPG35"/>
      <c r="KPH35"/>
      <c r="KPI35"/>
      <c r="KPJ35"/>
      <c r="KPK35"/>
      <c r="KPL35"/>
      <c r="KPM35"/>
      <c r="KPN35"/>
      <c r="KPO35"/>
      <c r="KPP35"/>
      <c r="KPQ35"/>
      <c r="KPR35"/>
      <c r="KPS35"/>
      <c r="KPT35"/>
      <c r="KPU35"/>
      <c r="KPV35"/>
      <c r="KPW35"/>
      <c r="KPX35"/>
      <c r="KPY35"/>
      <c r="KPZ35"/>
      <c r="KQA35"/>
      <c r="KQB35"/>
      <c r="KQC35"/>
      <c r="KQD35"/>
      <c r="KQE35"/>
      <c r="KQF35"/>
      <c r="KQG35"/>
      <c r="KQH35"/>
      <c r="KQI35"/>
      <c r="KQJ35"/>
      <c r="KQK35"/>
      <c r="KQL35"/>
      <c r="KQM35"/>
      <c r="KQN35"/>
      <c r="KQO35"/>
      <c r="KQP35"/>
      <c r="KQQ35"/>
      <c r="KQR35"/>
      <c r="KQS35"/>
      <c r="KQT35"/>
      <c r="KQU35"/>
      <c r="KQV35"/>
      <c r="KQW35"/>
      <c r="KQX35"/>
      <c r="KQY35"/>
      <c r="KQZ35"/>
      <c r="KRA35"/>
      <c r="KRB35"/>
      <c r="KRC35"/>
      <c r="KRD35"/>
      <c r="KRE35"/>
      <c r="KRF35"/>
      <c r="KRG35"/>
      <c r="KRH35"/>
      <c r="KRI35"/>
      <c r="KRJ35"/>
      <c r="KRK35"/>
      <c r="KRL35"/>
      <c r="KRM35"/>
      <c r="KRN35"/>
      <c r="KRO35"/>
      <c r="KRP35"/>
      <c r="KRQ35"/>
      <c r="KRR35"/>
      <c r="KRS35"/>
      <c r="KRT35"/>
      <c r="KRU35"/>
      <c r="KRV35"/>
      <c r="KRW35"/>
      <c r="KRX35"/>
      <c r="KRY35"/>
      <c r="KRZ35"/>
      <c r="KSA35"/>
      <c r="KSB35"/>
      <c r="KSC35"/>
      <c r="KSD35"/>
      <c r="KSE35"/>
      <c r="KSF35"/>
      <c r="KSG35"/>
      <c r="KSH35"/>
      <c r="KSI35"/>
      <c r="KSJ35"/>
      <c r="KSK35"/>
      <c r="KSL35"/>
      <c r="KSM35"/>
      <c r="KSN35"/>
      <c r="KSO35"/>
      <c r="KSP35"/>
      <c r="KSQ35"/>
      <c r="KSR35"/>
      <c r="KSS35"/>
      <c r="KST35"/>
      <c r="KSU35"/>
      <c r="KSV35"/>
      <c r="KSW35"/>
      <c r="KSX35"/>
      <c r="KSY35"/>
      <c r="KSZ35"/>
      <c r="KTA35"/>
      <c r="KTB35"/>
      <c r="KTC35"/>
      <c r="KTD35"/>
      <c r="KTE35"/>
      <c r="KTF35"/>
      <c r="KTG35"/>
      <c r="KTH35"/>
      <c r="KTI35"/>
      <c r="KTJ35"/>
      <c r="KTK35"/>
      <c r="KTL35"/>
      <c r="KTM35"/>
      <c r="KTN35"/>
      <c r="KTO35"/>
      <c r="KTP35"/>
      <c r="KTQ35"/>
      <c r="KTR35"/>
      <c r="KTS35"/>
      <c r="KTT35"/>
      <c r="KTU35"/>
      <c r="KTV35"/>
      <c r="KTW35"/>
      <c r="KTX35"/>
      <c r="KTY35"/>
      <c r="KTZ35"/>
      <c r="KUA35"/>
      <c r="KUB35"/>
      <c r="KUC35"/>
      <c r="KUD35"/>
      <c r="KUE35"/>
      <c r="KUF35"/>
      <c r="KUG35"/>
      <c r="KUH35"/>
      <c r="KUI35"/>
      <c r="KUJ35"/>
      <c r="KUK35"/>
      <c r="KUL35"/>
      <c r="KUM35"/>
      <c r="KUN35"/>
      <c r="KUO35"/>
      <c r="KUP35"/>
      <c r="KUQ35"/>
      <c r="KUR35"/>
      <c r="KUS35"/>
      <c r="KUT35"/>
      <c r="KUU35"/>
      <c r="KUV35"/>
      <c r="KUW35"/>
      <c r="KUX35"/>
      <c r="KUY35"/>
      <c r="KUZ35"/>
      <c r="KVA35"/>
      <c r="KVB35"/>
      <c r="KVC35"/>
      <c r="KVD35"/>
      <c r="KVE35"/>
      <c r="KVF35"/>
      <c r="KVG35"/>
      <c r="KVH35"/>
      <c r="KVI35"/>
      <c r="KVJ35"/>
      <c r="KVK35"/>
      <c r="KVL35"/>
      <c r="KVM35"/>
      <c r="KVN35"/>
      <c r="KVO35"/>
      <c r="KVP35"/>
      <c r="KVQ35"/>
      <c r="KVR35"/>
      <c r="KVS35"/>
      <c r="KVT35"/>
      <c r="KVU35"/>
      <c r="KVV35"/>
      <c r="KVW35"/>
      <c r="KVX35"/>
      <c r="KVY35"/>
      <c r="KVZ35"/>
      <c r="KWA35"/>
      <c r="KWB35"/>
      <c r="KWC35"/>
      <c r="KWD35"/>
      <c r="KWE35"/>
      <c r="KWF35"/>
      <c r="KWG35"/>
      <c r="KWH35"/>
      <c r="KWI35"/>
      <c r="KWJ35"/>
      <c r="KWK35"/>
      <c r="KWL35"/>
      <c r="KWM35"/>
      <c r="KWN35"/>
      <c r="KWO35"/>
      <c r="KWP35"/>
      <c r="KWQ35"/>
      <c r="KWR35"/>
      <c r="KWS35"/>
      <c r="KWT35"/>
      <c r="KWU35"/>
      <c r="KWV35"/>
      <c r="KWW35"/>
      <c r="KWX35"/>
      <c r="KWY35"/>
      <c r="KWZ35"/>
      <c r="KXA35"/>
      <c r="KXB35"/>
      <c r="KXC35"/>
      <c r="KXD35"/>
      <c r="KXE35"/>
      <c r="KXF35"/>
      <c r="KXG35"/>
      <c r="KXH35"/>
      <c r="KXI35"/>
      <c r="KXJ35"/>
      <c r="KXK35"/>
      <c r="KXL35"/>
      <c r="KXM35"/>
      <c r="KXN35"/>
      <c r="KXO35"/>
      <c r="KXP35"/>
      <c r="KXQ35"/>
      <c r="KXR35"/>
      <c r="KXS35"/>
      <c r="KXT35"/>
      <c r="KXU35"/>
      <c r="KXV35"/>
      <c r="KXW35"/>
      <c r="KXX35"/>
      <c r="KXY35"/>
      <c r="KXZ35"/>
      <c r="KYA35"/>
      <c r="KYB35"/>
      <c r="KYC35"/>
      <c r="KYD35"/>
      <c r="KYE35"/>
      <c r="KYF35"/>
      <c r="KYG35"/>
      <c r="KYH35"/>
      <c r="KYI35"/>
      <c r="KYJ35"/>
      <c r="KYK35"/>
      <c r="KYL35"/>
      <c r="KYM35"/>
      <c r="KYN35"/>
      <c r="KYO35"/>
      <c r="KYP35"/>
      <c r="KYQ35"/>
      <c r="KYR35"/>
      <c r="KYS35"/>
      <c r="KYT35"/>
      <c r="KYU35"/>
      <c r="KYV35"/>
      <c r="KYW35"/>
      <c r="KYX35"/>
      <c r="KYY35"/>
      <c r="KYZ35"/>
      <c r="KZA35"/>
      <c r="KZB35"/>
      <c r="KZC35"/>
      <c r="KZD35"/>
      <c r="KZE35"/>
      <c r="KZF35"/>
      <c r="KZG35"/>
      <c r="KZH35"/>
      <c r="KZI35"/>
      <c r="KZJ35"/>
      <c r="KZK35"/>
      <c r="KZL35"/>
      <c r="KZM35"/>
      <c r="KZN35"/>
      <c r="KZO35"/>
      <c r="KZP35"/>
      <c r="KZQ35"/>
      <c r="KZR35"/>
      <c r="KZS35"/>
      <c r="KZT35"/>
      <c r="KZU35"/>
      <c r="KZV35"/>
      <c r="KZW35"/>
      <c r="KZX35"/>
      <c r="KZY35"/>
      <c r="KZZ35"/>
      <c r="LAA35"/>
      <c r="LAB35"/>
      <c r="LAC35"/>
      <c r="LAD35"/>
      <c r="LAE35"/>
      <c r="LAF35"/>
      <c r="LAG35"/>
      <c r="LAH35"/>
      <c r="LAI35"/>
      <c r="LAJ35"/>
      <c r="LAK35"/>
      <c r="LAL35"/>
      <c r="LAM35"/>
      <c r="LAN35"/>
      <c r="LAO35"/>
      <c r="LAP35"/>
      <c r="LAQ35"/>
      <c r="LAR35"/>
      <c r="LAS35"/>
      <c r="LAT35"/>
      <c r="LAU35"/>
      <c r="LAV35"/>
      <c r="LAW35"/>
      <c r="LAX35"/>
      <c r="LAY35"/>
      <c r="LAZ35"/>
      <c r="LBA35"/>
      <c r="LBB35"/>
      <c r="LBC35"/>
      <c r="LBD35"/>
      <c r="LBE35"/>
      <c r="LBF35"/>
      <c r="LBG35"/>
      <c r="LBH35"/>
      <c r="LBI35"/>
      <c r="LBJ35"/>
      <c r="LBK35"/>
      <c r="LBL35"/>
      <c r="LBM35"/>
      <c r="LBN35"/>
      <c r="LBO35"/>
      <c r="LBP35"/>
      <c r="LBQ35"/>
      <c r="LBR35"/>
      <c r="LBS35"/>
      <c r="LBT35"/>
      <c r="LBU35"/>
      <c r="LBV35"/>
      <c r="LBW35"/>
      <c r="LBX35"/>
      <c r="LBY35"/>
      <c r="LBZ35"/>
      <c r="LCA35"/>
      <c r="LCB35"/>
      <c r="LCC35"/>
      <c r="LCD35"/>
      <c r="LCE35"/>
      <c r="LCF35"/>
      <c r="LCG35"/>
      <c r="LCH35"/>
      <c r="LCI35"/>
      <c r="LCJ35"/>
      <c r="LCK35"/>
      <c r="LCL35"/>
      <c r="LCM35"/>
      <c r="LCN35"/>
      <c r="LCO35"/>
      <c r="LCP35"/>
      <c r="LCQ35"/>
      <c r="LCR35"/>
      <c r="LCS35"/>
      <c r="LCT35"/>
      <c r="LCU35"/>
      <c r="LCV35"/>
      <c r="LCW35"/>
      <c r="LCX35"/>
      <c r="LCY35"/>
      <c r="LCZ35"/>
      <c r="LDA35"/>
      <c r="LDB35"/>
      <c r="LDC35"/>
      <c r="LDD35"/>
      <c r="LDE35"/>
      <c r="LDF35"/>
      <c r="LDG35"/>
      <c r="LDH35"/>
      <c r="LDI35"/>
      <c r="LDJ35"/>
      <c r="LDK35"/>
      <c r="LDL35"/>
      <c r="LDM35"/>
      <c r="LDN35"/>
      <c r="LDO35"/>
      <c r="LDP35"/>
      <c r="LDQ35"/>
      <c r="LDR35"/>
      <c r="LDS35"/>
      <c r="LDT35"/>
      <c r="LDU35"/>
      <c r="LDV35"/>
      <c r="LDW35"/>
      <c r="LDX35"/>
      <c r="LDY35"/>
      <c r="LDZ35"/>
      <c r="LEA35"/>
      <c r="LEB35"/>
      <c r="LEC35"/>
      <c r="LED35"/>
      <c r="LEE35"/>
      <c r="LEF35"/>
      <c r="LEG35"/>
      <c r="LEH35"/>
      <c r="LEI35"/>
      <c r="LEJ35"/>
      <c r="LEK35"/>
      <c r="LEL35"/>
      <c r="LEM35"/>
      <c r="LEN35"/>
      <c r="LEO35"/>
      <c r="LEP35"/>
      <c r="LEQ35"/>
      <c r="LER35"/>
      <c r="LES35"/>
      <c r="LET35"/>
      <c r="LEU35"/>
      <c r="LEV35"/>
      <c r="LEW35"/>
      <c r="LEX35"/>
      <c r="LEY35"/>
      <c r="LEZ35"/>
      <c r="LFA35"/>
      <c r="LFB35"/>
      <c r="LFC35"/>
      <c r="LFD35"/>
      <c r="LFE35"/>
      <c r="LFF35"/>
      <c r="LFG35"/>
      <c r="LFH35"/>
      <c r="LFI35"/>
      <c r="LFJ35"/>
      <c r="LFK35"/>
      <c r="LFL35"/>
      <c r="LFM35"/>
      <c r="LFN35"/>
      <c r="LFO35"/>
      <c r="LFP35"/>
      <c r="LFQ35"/>
      <c r="LFR35"/>
      <c r="LFS35"/>
      <c r="LFT35"/>
      <c r="LFU35"/>
      <c r="LFV35"/>
      <c r="LFW35"/>
      <c r="LFX35"/>
      <c r="LFY35"/>
      <c r="LFZ35"/>
      <c r="LGA35"/>
      <c r="LGB35"/>
      <c r="LGC35"/>
      <c r="LGD35"/>
      <c r="LGE35"/>
      <c r="LGF35"/>
      <c r="LGG35"/>
      <c r="LGH35"/>
      <c r="LGI35"/>
      <c r="LGJ35"/>
      <c r="LGK35"/>
      <c r="LGL35"/>
      <c r="LGM35"/>
      <c r="LGN35"/>
      <c r="LGO35"/>
      <c r="LGP35"/>
      <c r="LGQ35"/>
      <c r="LGR35"/>
      <c r="LGS35"/>
      <c r="LGT35"/>
      <c r="LGU35"/>
      <c r="LGV35"/>
      <c r="LGW35"/>
      <c r="LGX35"/>
      <c r="LGY35"/>
      <c r="LGZ35"/>
      <c r="LHA35"/>
      <c r="LHB35"/>
      <c r="LHC35"/>
      <c r="LHD35"/>
      <c r="LHE35"/>
      <c r="LHF35"/>
      <c r="LHG35"/>
      <c r="LHH35"/>
      <c r="LHI35"/>
      <c r="LHJ35"/>
      <c r="LHK35"/>
      <c r="LHL35"/>
      <c r="LHM35"/>
      <c r="LHN35"/>
      <c r="LHO35"/>
      <c r="LHP35"/>
      <c r="LHQ35"/>
      <c r="LHR35"/>
      <c r="LHS35"/>
      <c r="LHT35"/>
      <c r="LHU35"/>
      <c r="LHV35"/>
      <c r="LHW35"/>
      <c r="LHX35"/>
      <c r="LHY35"/>
      <c r="LHZ35"/>
      <c r="LIA35"/>
      <c r="LIB35"/>
      <c r="LIC35"/>
      <c r="LID35"/>
      <c r="LIE35"/>
      <c r="LIF35"/>
      <c r="LIG35"/>
      <c r="LIH35"/>
      <c r="LII35"/>
      <c r="LIJ35"/>
      <c r="LIK35"/>
      <c r="LIL35"/>
      <c r="LIM35"/>
      <c r="LIN35"/>
      <c r="LIO35"/>
      <c r="LIP35"/>
      <c r="LIQ35"/>
      <c r="LIR35"/>
      <c r="LIS35"/>
      <c r="LIT35"/>
      <c r="LIU35"/>
      <c r="LIV35"/>
      <c r="LIW35"/>
      <c r="LIX35"/>
      <c r="LIY35"/>
      <c r="LIZ35"/>
      <c r="LJA35"/>
      <c r="LJB35"/>
      <c r="LJC35"/>
      <c r="LJD35"/>
      <c r="LJE35"/>
      <c r="LJF35"/>
      <c r="LJG35"/>
      <c r="LJH35"/>
      <c r="LJI35"/>
      <c r="LJJ35"/>
      <c r="LJK35"/>
      <c r="LJL35"/>
      <c r="LJM35"/>
      <c r="LJN35"/>
      <c r="LJO35"/>
      <c r="LJP35"/>
      <c r="LJQ35"/>
      <c r="LJR35"/>
      <c r="LJS35"/>
      <c r="LJT35"/>
      <c r="LJU35"/>
      <c r="LJV35"/>
      <c r="LJW35"/>
      <c r="LJX35"/>
      <c r="LJY35"/>
      <c r="LJZ35"/>
      <c r="LKA35"/>
      <c r="LKB35"/>
      <c r="LKC35"/>
      <c r="LKD35"/>
      <c r="LKE35"/>
      <c r="LKF35"/>
      <c r="LKG35"/>
      <c r="LKH35"/>
      <c r="LKI35"/>
      <c r="LKJ35"/>
      <c r="LKK35"/>
      <c r="LKL35"/>
      <c r="LKM35"/>
      <c r="LKN35"/>
      <c r="LKO35"/>
      <c r="LKP35"/>
      <c r="LKQ35"/>
      <c r="LKR35"/>
      <c r="LKS35"/>
      <c r="LKT35"/>
      <c r="LKU35"/>
      <c r="LKV35"/>
      <c r="LKW35"/>
      <c r="LKX35"/>
      <c r="LKY35"/>
      <c r="LKZ35"/>
      <c r="LLA35"/>
      <c r="LLB35"/>
      <c r="LLC35"/>
      <c r="LLD35"/>
      <c r="LLE35"/>
      <c r="LLF35"/>
      <c r="LLG35"/>
      <c r="LLH35"/>
      <c r="LLI35"/>
      <c r="LLJ35"/>
      <c r="LLK35"/>
      <c r="LLL35"/>
      <c r="LLM35"/>
      <c r="LLN35"/>
      <c r="LLO35"/>
      <c r="LLP35"/>
      <c r="LLQ35"/>
      <c r="LLR35"/>
      <c r="LLS35"/>
      <c r="LLT35"/>
      <c r="LLU35"/>
      <c r="LLV35"/>
      <c r="LLW35"/>
      <c r="LLX35"/>
      <c r="LLY35"/>
      <c r="LLZ35"/>
      <c r="LMA35"/>
      <c r="LMB35"/>
      <c r="LMC35"/>
      <c r="LMD35"/>
      <c r="LME35"/>
      <c r="LMF35"/>
      <c r="LMG35"/>
      <c r="LMH35"/>
      <c r="LMI35"/>
      <c r="LMJ35"/>
      <c r="LMK35"/>
      <c r="LML35"/>
      <c r="LMM35"/>
      <c r="LMN35"/>
      <c r="LMO35"/>
      <c r="LMP35"/>
      <c r="LMQ35"/>
      <c r="LMR35"/>
      <c r="LMS35"/>
      <c r="LMT35"/>
      <c r="LMU35"/>
      <c r="LMV35"/>
      <c r="LMW35"/>
      <c r="LMX35"/>
      <c r="LMY35"/>
      <c r="LMZ35"/>
      <c r="LNA35"/>
      <c r="LNB35"/>
      <c r="LNC35"/>
      <c r="LND35"/>
      <c r="LNE35"/>
      <c r="LNF35"/>
      <c r="LNG35"/>
      <c r="LNH35"/>
      <c r="LNI35"/>
      <c r="LNJ35"/>
      <c r="LNK35"/>
      <c r="LNL35"/>
      <c r="LNM35"/>
      <c r="LNN35"/>
      <c r="LNO35"/>
      <c r="LNP35"/>
      <c r="LNQ35"/>
      <c r="LNR35"/>
      <c r="LNS35"/>
      <c r="LNT35"/>
      <c r="LNU35"/>
      <c r="LNV35"/>
      <c r="LNW35"/>
      <c r="LNX35"/>
      <c r="LNY35"/>
      <c r="LNZ35"/>
      <c r="LOA35"/>
      <c r="LOB35"/>
      <c r="LOC35"/>
      <c r="LOD35"/>
      <c r="LOE35"/>
      <c r="LOF35"/>
      <c r="LOG35"/>
      <c r="LOH35"/>
      <c r="LOI35"/>
      <c r="LOJ35"/>
      <c r="LOK35"/>
      <c r="LOL35"/>
      <c r="LOM35"/>
      <c r="LON35"/>
      <c r="LOO35"/>
      <c r="LOP35"/>
      <c r="LOQ35"/>
      <c r="LOR35"/>
      <c r="LOS35"/>
      <c r="LOT35"/>
      <c r="LOU35"/>
      <c r="LOV35"/>
      <c r="LOW35"/>
      <c r="LOX35"/>
      <c r="LOY35"/>
      <c r="LOZ35"/>
      <c r="LPA35"/>
      <c r="LPB35"/>
      <c r="LPC35"/>
      <c r="LPD35"/>
      <c r="LPE35"/>
      <c r="LPF35"/>
      <c r="LPG35"/>
      <c r="LPH35"/>
      <c r="LPI35"/>
      <c r="LPJ35"/>
      <c r="LPK35"/>
      <c r="LPL35"/>
      <c r="LPM35"/>
      <c r="LPN35"/>
      <c r="LPO35"/>
      <c r="LPP35"/>
      <c r="LPQ35"/>
      <c r="LPR35"/>
      <c r="LPS35"/>
      <c r="LPT35"/>
      <c r="LPU35"/>
      <c r="LPV35"/>
      <c r="LPW35"/>
      <c r="LPX35"/>
      <c r="LPY35"/>
      <c r="LPZ35"/>
      <c r="LQA35"/>
      <c r="LQB35"/>
      <c r="LQC35"/>
      <c r="LQD35"/>
      <c r="LQE35"/>
      <c r="LQF35"/>
      <c r="LQG35"/>
      <c r="LQH35"/>
      <c r="LQI35"/>
      <c r="LQJ35"/>
      <c r="LQK35"/>
      <c r="LQL35"/>
      <c r="LQM35"/>
      <c r="LQN35"/>
      <c r="LQO35"/>
      <c r="LQP35"/>
      <c r="LQQ35"/>
      <c r="LQR35"/>
      <c r="LQS35"/>
      <c r="LQT35"/>
      <c r="LQU35"/>
      <c r="LQV35"/>
      <c r="LQW35"/>
      <c r="LQX35"/>
      <c r="LQY35"/>
      <c r="LQZ35"/>
      <c r="LRA35"/>
      <c r="LRB35"/>
      <c r="LRC35"/>
      <c r="LRD35"/>
      <c r="LRE35"/>
      <c r="LRF35"/>
      <c r="LRG35"/>
      <c r="LRH35"/>
      <c r="LRI35"/>
      <c r="LRJ35"/>
      <c r="LRK35"/>
      <c r="LRL35"/>
      <c r="LRM35"/>
      <c r="LRN35"/>
      <c r="LRO35"/>
      <c r="LRP35"/>
      <c r="LRQ35"/>
      <c r="LRR35"/>
      <c r="LRS35"/>
      <c r="LRT35"/>
      <c r="LRU35"/>
      <c r="LRV35"/>
      <c r="LRW35"/>
      <c r="LRX35"/>
      <c r="LRY35"/>
      <c r="LRZ35"/>
      <c r="LSA35"/>
      <c r="LSB35"/>
      <c r="LSC35"/>
      <c r="LSD35"/>
      <c r="LSE35"/>
      <c r="LSF35"/>
      <c r="LSG35"/>
      <c r="LSH35"/>
      <c r="LSI35"/>
      <c r="LSJ35"/>
      <c r="LSK35"/>
      <c r="LSL35"/>
      <c r="LSM35"/>
      <c r="LSN35"/>
      <c r="LSO35"/>
      <c r="LSP35"/>
      <c r="LSQ35"/>
      <c r="LSR35"/>
      <c r="LSS35"/>
      <c r="LST35"/>
      <c r="LSU35"/>
      <c r="LSV35"/>
      <c r="LSW35"/>
      <c r="LSX35"/>
      <c r="LSY35"/>
      <c r="LSZ35"/>
      <c r="LTA35"/>
      <c r="LTB35"/>
      <c r="LTC35"/>
      <c r="LTD35"/>
      <c r="LTE35"/>
      <c r="LTF35"/>
      <c r="LTG35"/>
      <c r="LTH35"/>
      <c r="LTI35"/>
      <c r="LTJ35"/>
      <c r="LTK35"/>
      <c r="LTL35"/>
      <c r="LTM35"/>
      <c r="LTN35"/>
      <c r="LTO35"/>
      <c r="LTP35"/>
      <c r="LTQ35"/>
      <c r="LTR35"/>
      <c r="LTS35"/>
      <c r="LTT35"/>
      <c r="LTU35"/>
      <c r="LTV35"/>
      <c r="LTW35"/>
      <c r="LTX35"/>
      <c r="LTY35"/>
      <c r="LTZ35"/>
      <c r="LUA35"/>
      <c r="LUB35"/>
      <c r="LUC35"/>
      <c r="LUD35"/>
      <c r="LUE35"/>
      <c r="LUF35"/>
      <c r="LUG35"/>
      <c r="LUH35"/>
      <c r="LUI35"/>
      <c r="LUJ35"/>
      <c r="LUK35"/>
      <c r="LUL35"/>
      <c r="LUM35"/>
      <c r="LUN35"/>
      <c r="LUO35"/>
      <c r="LUP35"/>
      <c r="LUQ35"/>
      <c r="LUR35"/>
      <c r="LUS35"/>
      <c r="LUT35"/>
      <c r="LUU35"/>
      <c r="LUV35"/>
      <c r="LUW35"/>
      <c r="LUX35"/>
      <c r="LUY35"/>
      <c r="LUZ35"/>
      <c r="LVA35"/>
      <c r="LVB35"/>
      <c r="LVC35"/>
      <c r="LVD35"/>
      <c r="LVE35"/>
      <c r="LVF35"/>
      <c r="LVG35"/>
      <c r="LVH35"/>
      <c r="LVI35"/>
      <c r="LVJ35"/>
      <c r="LVK35"/>
      <c r="LVL35"/>
      <c r="LVM35"/>
      <c r="LVN35"/>
      <c r="LVO35"/>
      <c r="LVP35"/>
      <c r="LVQ35"/>
      <c r="LVR35"/>
      <c r="LVS35"/>
      <c r="LVT35"/>
      <c r="LVU35"/>
      <c r="LVV35"/>
      <c r="LVW35"/>
      <c r="LVX35"/>
      <c r="LVY35"/>
      <c r="LVZ35"/>
      <c r="LWA35"/>
      <c r="LWB35"/>
      <c r="LWC35"/>
      <c r="LWD35"/>
      <c r="LWE35"/>
      <c r="LWF35"/>
      <c r="LWG35"/>
      <c r="LWH35"/>
      <c r="LWI35"/>
      <c r="LWJ35"/>
      <c r="LWK35"/>
      <c r="LWL35"/>
      <c r="LWM35"/>
      <c r="LWN35"/>
      <c r="LWO35"/>
      <c r="LWP35"/>
      <c r="LWQ35"/>
      <c r="LWR35"/>
      <c r="LWS35"/>
      <c r="LWT35"/>
      <c r="LWU35"/>
      <c r="LWV35"/>
      <c r="LWW35"/>
      <c r="LWX35"/>
      <c r="LWY35"/>
      <c r="LWZ35"/>
      <c r="LXA35"/>
      <c r="LXB35"/>
      <c r="LXC35"/>
      <c r="LXD35"/>
      <c r="LXE35"/>
      <c r="LXF35"/>
      <c r="LXG35"/>
      <c r="LXH35"/>
      <c r="LXI35"/>
      <c r="LXJ35"/>
      <c r="LXK35"/>
      <c r="LXL35"/>
      <c r="LXM35"/>
      <c r="LXN35"/>
      <c r="LXO35"/>
      <c r="LXP35"/>
      <c r="LXQ35"/>
      <c r="LXR35"/>
      <c r="LXS35"/>
      <c r="LXT35"/>
      <c r="LXU35"/>
      <c r="LXV35"/>
      <c r="LXW35"/>
      <c r="LXX35"/>
      <c r="LXY35"/>
      <c r="LXZ35"/>
      <c r="LYA35"/>
      <c r="LYB35"/>
      <c r="LYC35"/>
      <c r="LYD35"/>
      <c r="LYE35"/>
      <c r="LYF35"/>
      <c r="LYG35"/>
      <c r="LYH35"/>
      <c r="LYI35"/>
      <c r="LYJ35"/>
      <c r="LYK35"/>
      <c r="LYL35"/>
      <c r="LYM35"/>
      <c r="LYN35"/>
      <c r="LYO35"/>
      <c r="LYP35"/>
      <c r="LYQ35"/>
      <c r="LYR35"/>
      <c r="LYS35"/>
      <c r="LYT35"/>
      <c r="LYU35"/>
      <c r="LYV35"/>
      <c r="LYW35"/>
      <c r="LYX35"/>
      <c r="LYY35"/>
      <c r="LYZ35"/>
      <c r="LZA35"/>
      <c r="LZB35"/>
      <c r="LZC35"/>
      <c r="LZD35"/>
      <c r="LZE35"/>
      <c r="LZF35"/>
      <c r="LZG35"/>
      <c r="LZH35"/>
      <c r="LZI35"/>
      <c r="LZJ35"/>
      <c r="LZK35"/>
      <c r="LZL35"/>
      <c r="LZM35"/>
      <c r="LZN35"/>
      <c r="LZO35"/>
      <c r="LZP35"/>
      <c r="LZQ35"/>
      <c r="LZR35"/>
      <c r="LZS35"/>
      <c r="LZT35"/>
      <c r="LZU35"/>
      <c r="LZV35"/>
      <c r="LZW35"/>
      <c r="LZX35"/>
      <c r="LZY35"/>
      <c r="LZZ35"/>
      <c r="MAA35"/>
      <c r="MAB35"/>
      <c r="MAC35"/>
      <c r="MAD35"/>
      <c r="MAE35"/>
      <c r="MAF35"/>
      <c r="MAG35"/>
      <c r="MAH35"/>
      <c r="MAI35"/>
      <c r="MAJ35"/>
      <c r="MAK35"/>
      <c r="MAL35"/>
      <c r="MAM35"/>
      <c r="MAN35"/>
      <c r="MAO35"/>
      <c r="MAP35"/>
      <c r="MAQ35"/>
      <c r="MAR35"/>
      <c r="MAS35"/>
      <c r="MAT35"/>
      <c r="MAU35"/>
      <c r="MAV35"/>
      <c r="MAW35"/>
      <c r="MAX35"/>
      <c r="MAY35"/>
      <c r="MAZ35"/>
      <c r="MBA35"/>
      <c r="MBB35"/>
      <c r="MBC35"/>
      <c r="MBD35"/>
      <c r="MBE35"/>
      <c r="MBF35"/>
      <c r="MBG35"/>
      <c r="MBH35"/>
      <c r="MBI35"/>
      <c r="MBJ35"/>
      <c r="MBK35"/>
      <c r="MBL35"/>
      <c r="MBM35"/>
      <c r="MBN35"/>
      <c r="MBO35"/>
      <c r="MBP35"/>
      <c r="MBQ35"/>
      <c r="MBR35"/>
      <c r="MBS35"/>
      <c r="MBT35"/>
      <c r="MBU35"/>
      <c r="MBV35"/>
      <c r="MBW35"/>
      <c r="MBX35"/>
      <c r="MBY35"/>
      <c r="MBZ35"/>
      <c r="MCA35"/>
      <c r="MCB35"/>
      <c r="MCC35"/>
      <c r="MCD35"/>
      <c r="MCE35"/>
      <c r="MCF35"/>
      <c r="MCG35"/>
      <c r="MCH35"/>
      <c r="MCI35"/>
      <c r="MCJ35"/>
      <c r="MCK35"/>
      <c r="MCL35"/>
      <c r="MCM35"/>
      <c r="MCN35"/>
      <c r="MCO35"/>
      <c r="MCP35"/>
      <c r="MCQ35"/>
      <c r="MCR35"/>
      <c r="MCS35"/>
      <c r="MCT35"/>
      <c r="MCU35"/>
      <c r="MCV35"/>
      <c r="MCW35"/>
      <c r="MCX35"/>
      <c r="MCY35"/>
      <c r="MCZ35"/>
      <c r="MDA35"/>
      <c r="MDB35"/>
      <c r="MDC35"/>
      <c r="MDD35"/>
      <c r="MDE35"/>
      <c r="MDF35"/>
      <c r="MDG35"/>
      <c r="MDH35"/>
      <c r="MDI35"/>
      <c r="MDJ35"/>
      <c r="MDK35"/>
      <c r="MDL35"/>
      <c r="MDM35"/>
      <c r="MDN35"/>
      <c r="MDO35"/>
      <c r="MDP35"/>
      <c r="MDQ35"/>
      <c r="MDR35"/>
      <c r="MDS35"/>
      <c r="MDT35"/>
      <c r="MDU35"/>
      <c r="MDV35"/>
      <c r="MDW35"/>
      <c r="MDX35"/>
      <c r="MDY35"/>
      <c r="MDZ35"/>
      <c r="MEA35"/>
      <c r="MEB35"/>
      <c r="MEC35"/>
      <c r="MED35"/>
      <c r="MEE35"/>
      <c r="MEF35"/>
      <c r="MEG35"/>
      <c r="MEH35"/>
      <c r="MEI35"/>
      <c r="MEJ35"/>
      <c r="MEK35"/>
      <c r="MEL35"/>
      <c r="MEM35"/>
      <c r="MEN35"/>
      <c r="MEO35"/>
      <c r="MEP35"/>
      <c r="MEQ35"/>
      <c r="MER35"/>
      <c r="MES35"/>
      <c r="MET35"/>
      <c r="MEU35"/>
      <c r="MEV35"/>
      <c r="MEW35"/>
      <c r="MEX35"/>
      <c r="MEY35"/>
      <c r="MEZ35"/>
      <c r="MFA35"/>
      <c r="MFB35"/>
      <c r="MFC35"/>
      <c r="MFD35"/>
      <c r="MFE35"/>
      <c r="MFF35"/>
      <c r="MFG35"/>
      <c r="MFH35"/>
      <c r="MFI35"/>
      <c r="MFJ35"/>
      <c r="MFK35"/>
      <c r="MFL35"/>
      <c r="MFM35"/>
      <c r="MFN35"/>
      <c r="MFO35"/>
      <c r="MFP35"/>
      <c r="MFQ35"/>
      <c r="MFR35"/>
      <c r="MFS35"/>
      <c r="MFT35"/>
      <c r="MFU35"/>
      <c r="MFV35"/>
      <c r="MFW35"/>
      <c r="MFX35"/>
      <c r="MFY35"/>
      <c r="MFZ35"/>
      <c r="MGA35"/>
      <c r="MGB35"/>
      <c r="MGC35"/>
      <c r="MGD35"/>
      <c r="MGE35"/>
      <c r="MGF35"/>
      <c r="MGG35"/>
      <c r="MGH35"/>
      <c r="MGI35"/>
      <c r="MGJ35"/>
      <c r="MGK35"/>
      <c r="MGL35"/>
      <c r="MGM35"/>
      <c r="MGN35"/>
      <c r="MGO35"/>
      <c r="MGP35"/>
      <c r="MGQ35"/>
      <c r="MGR35"/>
      <c r="MGS35"/>
      <c r="MGT35"/>
      <c r="MGU35"/>
      <c r="MGV35"/>
      <c r="MGW35"/>
      <c r="MGX35"/>
      <c r="MGY35"/>
      <c r="MGZ35"/>
      <c r="MHA35"/>
      <c r="MHB35"/>
      <c r="MHC35"/>
      <c r="MHD35"/>
      <c r="MHE35"/>
      <c r="MHF35"/>
      <c r="MHG35"/>
      <c r="MHH35"/>
      <c r="MHI35"/>
      <c r="MHJ35"/>
      <c r="MHK35"/>
      <c r="MHL35"/>
      <c r="MHM35"/>
      <c r="MHN35"/>
      <c r="MHO35"/>
      <c r="MHP35"/>
      <c r="MHQ35"/>
      <c r="MHR35"/>
      <c r="MHS35"/>
      <c r="MHT35"/>
      <c r="MHU35"/>
      <c r="MHV35"/>
      <c r="MHW35"/>
      <c r="MHX35"/>
      <c r="MHY35"/>
      <c r="MHZ35"/>
      <c r="MIA35"/>
      <c r="MIB35"/>
      <c r="MIC35"/>
      <c r="MID35"/>
      <c r="MIE35"/>
      <c r="MIF35"/>
      <c r="MIG35"/>
      <c r="MIH35"/>
      <c r="MII35"/>
      <c r="MIJ35"/>
      <c r="MIK35"/>
      <c r="MIL35"/>
      <c r="MIM35"/>
      <c r="MIN35"/>
      <c r="MIO35"/>
      <c r="MIP35"/>
      <c r="MIQ35"/>
      <c r="MIR35"/>
      <c r="MIS35"/>
      <c r="MIT35"/>
      <c r="MIU35"/>
      <c r="MIV35"/>
      <c r="MIW35"/>
      <c r="MIX35"/>
      <c r="MIY35"/>
      <c r="MIZ35"/>
      <c r="MJA35"/>
      <c r="MJB35"/>
      <c r="MJC35"/>
      <c r="MJD35"/>
      <c r="MJE35"/>
      <c r="MJF35"/>
      <c r="MJG35"/>
      <c r="MJH35"/>
      <c r="MJI35"/>
      <c r="MJJ35"/>
      <c r="MJK35"/>
      <c r="MJL35"/>
      <c r="MJM35"/>
      <c r="MJN35"/>
      <c r="MJO35"/>
      <c r="MJP35"/>
      <c r="MJQ35"/>
      <c r="MJR35"/>
      <c r="MJS35"/>
      <c r="MJT35"/>
      <c r="MJU35"/>
      <c r="MJV35"/>
      <c r="MJW35"/>
      <c r="MJX35"/>
      <c r="MJY35"/>
      <c r="MJZ35"/>
      <c r="MKA35"/>
      <c r="MKB35"/>
      <c r="MKC35"/>
      <c r="MKD35"/>
      <c r="MKE35"/>
      <c r="MKF35"/>
      <c r="MKG35"/>
      <c r="MKH35"/>
      <c r="MKI35"/>
      <c r="MKJ35"/>
      <c r="MKK35"/>
      <c r="MKL35"/>
      <c r="MKM35"/>
      <c r="MKN35"/>
      <c r="MKO35"/>
      <c r="MKP35"/>
      <c r="MKQ35"/>
      <c r="MKR35"/>
      <c r="MKS35"/>
      <c r="MKT35"/>
      <c r="MKU35"/>
      <c r="MKV35"/>
      <c r="MKW35"/>
      <c r="MKX35"/>
      <c r="MKY35"/>
      <c r="MKZ35"/>
      <c r="MLA35"/>
      <c r="MLB35"/>
      <c r="MLC35"/>
      <c r="MLD35"/>
      <c r="MLE35"/>
      <c r="MLF35"/>
      <c r="MLG35"/>
      <c r="MLH35"/>
      <c r="MLI35"/>
      <c r="MLJ35"/>
      <c r="MLK35"/>
      <c r="MLL35"/>
      <c r="MLM35"/>
      <c r="MLN35"/>
      <c r="MLO35"/>
      <c r="MLP35"/>
      <c r="MLQ35"/>
      <c r="MLR35"/>
      <c r="MLS35"/>
      <c r="MLT35"/>
      <c r="MLU35"/>
      <c r="MLV35"/>
      <c r="MLW35"/>
      <c r="MLX35"/>
      <c r="MLY35"/>
      <c r="MLZ35"/>
      <c r="MMA35"/>
      <c r="MMB35"/>
      <c r="MMC35"/>
      <c r="MMD35"/>
      <c r="MME35"/>
      <c r="MMF35"/>
      <c r="MMG35"/>
      <c r="MMH35"/>
      <c r="MMI35"/>
      <c r="MMJ35"/>
      <c r="MMK35"/>
      <c r="MML35"/>
      <c r="MMM35"/>
      <c r="MMN35"/>
      <c r="MMO35"/>
      <c r="MMP35"/>
      <c r="MMQ35"/>
      <c r="MMR35"/>
      <c r="MMS35"/>
      <c r="MMT35"/>
      <c r="MMU35"/>
      <c r="MMV35"/>
      <c r="MMW35"/>
      <c r="MMX35"/>
      <c r="MMY35"/>
      <c r="MMZ35"/>
      <c r="MNA35"/>
      <c r="MNB35"/>
      <c r="MNC35"/>
      <c r="MND35"/>
      <c r="MNE35"/>
      <c r="MNF35"/>
      <c r="MNG35"/>
      <c r="MNH35"/>
      <c r="MNI35"/>
      <c r="MNJ35"/>
      <c r="MNK35"/>
      <c r="MNL35"/>
      <c r="MNM35"/>
      <c r="MNN35"/>
      <c r="MNO35"/>
      <c r="MNP35"/>
      <c r="MNQ35"/>
      <c r="MNR35"/>
      <c r="MNS35"/>
      <c r="MNT35"/>
      <c r="MNU35"/>
      <c r="MNV35"/>
      <c r="MNW35"/>
      <c r="MNX35"/>
      <c r="MNY35"/>
      <c r="MNZ35"/>
      <c r="MOA35"/>
      <c r="MOB35"/>
      <c r="MOC35"/>
      <c r="MOD35"/>
      <c r="MOE35"/>
      <c r="MOF35"/>
      <c r="MOG35"/>
      <c r="MOH35"/>
      <c r="MOI35"/>
      <c r="MOJ35"/>
      <c r="MOK35"/>
      <c r="MOL35"/>
      <c r="MOM35"/>
      <c r="MON35"/>
      <c r="MOO35"/>
      <c r="MOP35"/>
      <c r="MOQ35"/>
      <c r="MOR35"/>
      <c r="MOS35"/>
      <c r="MOT35"/>
      <c r="MOU35"/>
      <c r="MOV35"/>
      <c r="MOW35"/>
      <c r="MOX35"/>
      <c r="MOY35"/>
      <c r="MOZ35"/>
      <c r="MPA35"/>
      <c r="MPB35"/>
      <c r="MPC35"/>
      <c r="MPD35"/>
      <c r="MPE35"/>
      <c r="MPF35"/>
      <c r="MPG35"/>
      <c r="MPH35"/>
      <c r="MPI35"/>
      <c r="MPJ35"/>
      <c r="MPK35"/>
      <c r="MPL35"/>
      <c r="MPM35"/>
      <c r="MPN35"/>
      <c r="MPO35"/>
      <c r="MPP35"/>
      <c r="MPQ35"/>
      <c r="MPR35"/>
      <c r="MPS35"/>
      <c r="MPT35"/>
      <c r="MPU35"/>
      <c r="MPV35"/>
      <c r="MPW35"/>
      <c r="MPX35"/>
      <c r="MPY35"/>
      <c r="MPZ35"/>
      <c r="MQA35"/>
      <c r="MQB35"/>
      <c r="MQC35"/>
      <c r="MQD35"/>
      <c r="MQE35"/>
      <c r="MQF35"/>
      <c r="MQG35"/>
      <c r="MQH35"/>
      <c r="MQI35"/>
      <c r="MQJ35"/>
      <c r="MQK35"/>
      <c r="MQL35"/>
      <c r="MQM35"/>
      <c r="MQN35"/>
      <c r="MQO35"/>
      <c r="MQP35"/>
      <c r="MQQ35"/>
      <c r="MQR35"/>
      <c r="MQS35"/>
      <c r="MQT35"/>
      <c r="MQU35"/>
      <c r="MQV35"/>
      <c r="MQW35"/>
      <c r="MQX35"/>
      <c r="MQY35"/>
      <c r="MQZ35"/>
      <c r="MRA35"/>
      <c r="MRB35"/>
      <c r="MRC35"/>
      <c r="MRD35"/>
      <c r="MRE35"/>
      <c r="MRF35"/>
      <c r="MRG35"/>
      <c r="MRH35"/>
      <c r="MRI35"/>
      <c r="MRJ35"/>
      <c r="MRK35"/>
      <c r="MRL35"/>
      <c r="MRM35"/>
      <c r="MRN35"/>
      <c r="MRO35"/>
      <c r="MRP35"/>
      <c r="MRQ35"/>
      <c r="MRR35"/>
      <c r="MRS35"/>
      <c r="MRT35"/>
      <c r="MRU35"/>
      <c r="MRV35"/>
      <c r="MRW35"/>
      <c r="MRX35"/>
      <c r="MRY35"/>
      <c r="MRZ35"/>
      <c r="MSA35"/>
      <c r="MSB35"/>
      <c r="MSC35"/>
      <c r="MSD35"/>
      <c r="MSE35"/>
      <c r="MSF35"/>
      <c r="MSG35"/>
      <c r="MSH35"/>
      <c r="MSI35"/>
      <c r="MSJ35"/>
      <c r="MSK35"/>
      <c r="MSL35"/>
      <c r="MSM35"/>
      <c r="MSN35"/>
      <c r="MSO35"/>
      <c r="MSP35"/>
      <c r="MSQ35"/>
      <c r="MSR35"/>
      <c r="MSS35"/>
      <c r="MST35"/>
      <c r="MSU35"/>
      <c r="MSV35"/>
      <c r="MSW35"/>
      <c r="MSX35"/>
      <c r="MSY35"/>
      <c r="MSZ35"/>
      <c r="MTA35"/>
      <c r="MTB35"/>
      <c r="MTC35"/>
      <c r="MTD35"/>
      <c r="MTE35"/>
      <c r="MTF35"/>
      <c r="MTG35"/>
      <c r="MTH35"/>
      <c r="MTI35"/>
      <c r="MTJ35"/>
      <c r="MTK35"/>
      <c r="MTL35"/>
      <c r="MTM35"/>
      <c r="MTN35"/>
      <c r="MTO35"/>
      <c r="MTP35"/>
      <c r="MTQ35"/>
      <c r="MTR35"/>
      <c r="MTS35"/>
      <c r="MTT35"/>
      <c r="MTU35"/>
      <c r="MTV35"/>
      <c r="MTW35"/>
      <c r="MTX35"/>
      <c r="MTY35"/>
      <c r="MTZ35"/>
      <c r="MUA35"/>
      <c r="MUB35"/>
      <c r="MUC35"/>
      <c r="MUD35"/>
      <c r="MUE35"/>
      <c r="MUF35"/>
      <c r="MUG35"/>
      <c r="MUH35"/>
      <c r="MUI35"/>
      <c r="MUJ35"/>
      <c r="MUK35"/>
      <c r="MUL35"/>
      <c r="MUM35"/>
      <c r="MUN35"/>
      <c r="MUO35"/>
      <c r="MUP35"/>
      <c r="MUQ35"/>
      <c r="MUR35"/>
      <c r="MUS35"/>
      <c r="MUT35"/>
      <c r="MUU35"/>
      <c r="MUV35"/>
      <c r="MUW35"/>
      <c r="MUX35"/>
      <c r="MUY35"/>
      <c r="MUZ35"/>
      <c r="MVA35"/>
      <c r="MVB35"/>
      <c r="MVC35"/>
      <c r="MVD35"/>
      <c r="MVE35"/>
      <c r="MVF35"/>
      <c r="MVG35"/>
      <c r="MVH35"/>
      <c r="MVI35"/>
      <c r="MVJ35"/>
      <c r="MVK35"/>
      <c r="MVL35"/>
      <c r="MVM35"/>
      <c r="MVN35"/>
      <c r="MVO35"/>
      <c r="MVP35"/>
      <c r="MVQ35"/>
      <c r="MVR35"/>
      <c r="MVS35"/>
      <c r="MVT35"/>
      <c r="MVU35"/>
      <c r="MVV35"/>
      <c r="MVW35"/>
      <c r="MVX35"/>
      <c r="MVY35"/>
      <c r="MVZ35"/>
      <c r="MWA35"/>
      <c r="MWB35"/>
      <c r="MWC35"/>
      <c r="MWD35"/>
      <c r="MWE35"/>
      <c r="MWF35"/>
      <c r="MWG35"/>
      <c r="MWH35"/>
      <c r="MWI35"/>
      <c r="MWJ35"/>
      <c r="MWK35"/>
      <c r="MWL35"/>
      <c r="MWM35"/>
      <c r="MWN35"/>
      <c r="MWO35"/>
      <c r="MWP35"/>
      <c r="MWQ35"/>
      <c r="MWR35"/>
      <c r="MWS35"/>
      <c r="MWT35"/>
      <c r="MWU35"/>
      <c r="MWV35"/>
      <c r="MWW35"/>
      <c r="MWX35"/>
      <c r="MWY35"/>
      <c r="MWZ35"/>
      <c r="MXA35"/>
      <c r="MXB35"/>
      <c r="MXC35"/>
      <c r="MXD35"/>
      <c r="MXE35"/>
      <c r="MXF35"/>
      <c r="MXG35"/>
      <c r="MXH35"/>
      <c r="MXI35"/>
      <c r="MXJ35"/>
      <c r="MXK35"/>
      <c r="MXL35"/>
      <c r="MXM35"/>
      <c r="MXN35"/>
      <c r="MXO35"/>
      <c r="MXP35"/>
      <c r="MXQ35"/>
      <c r="MXR35"/>
      <c r="MXS35"/>
      <c r="MXT35"/>
      <c r="MXU35"/>
      <c r="MXV35"/>
      <c r="MXW35"/>
      <c r="MXX35"/>
      <c r="MXY35"/>
      <c r="MXZ35"/>
      <c r="MYA35"/>
      <c r="MYB35"/>
      <c r="MYC35"/>
      <c r="MYD35"/>
      <c r="MYE35"/>
      <c r="MYF35"/>
      <c r="MYG35"/>
      <c r="MYH35"/>
      <c r="MYI35"/>
      <c r="MYJ35"/>
      <c r="MYK35"/>
      <c r="MYL35"/>
      <c r="MYM35"/>
      <c r="MYN35"/>
      <c r="MYO35"/>
      <c r="MYP35"/>
      <c r="MYQ35"/>
      <c r="MYR35"/>
      <c r="MYS35"/>
      <c r="MYT35"/>
      <c r="MYU35"/>
      <c r="MYV35"/>
      <c r="MYW35"/>
      <c r="MYX35"/>
      <c r="MYY35"/>
      <c r="MYZ35"/>
      <c r="MZA35"/>
      <c r="MZB35"/>
      <c r="MZC35"/>
      <c r="MZD35"/>
      <c r="MZE35"/>
      <c r="MZF35"/>
      <c r="MZG35"/>
      <c r="MZH35"/>
      <c r="MZI35"/>
      <c r="MZJ35"/>
      <c r="MZK35"/>
      <c r="MZL35"/>
      <c r="MZM35"/>
      <c r="MZN35"/>
      <c r="MZO35"/>
      <c r="MZP35"/>
      <c r="MZQ35"/>
      <c r="MZR35"/>
      <c r="MZS35"/>
      <c r="MZT35"/>
      <c r="MZU35"/>
      <c r="MZV35"/>
      <c r="MZW35"/>
      <c r="MZX35"/>
      <c r="MZY35"/>
      <c r="MZZ35"/>
      <c r="NAA35"/>
      <c r="NAB35"/>
      <c r="NAC35"/>
      <c r="NAD35"/>
      <c r="NAE35"/>
      <c r="NAF35"/>
      <c r="NAG35"/>
      <c r="NAH35"/>
      <c r="NAI35"/>
      <c r="NAJ35"/>
      <c r="NAK35"/>
      <c r="NAL35"/>
      <c r="NAM35"/>
      <c r="NAN35"/>
      <c r="NAO35"/>
      <c r="NAP35"/>
      <c r="NAQ35"/>
      <c r="NAR35"/>
      <c r="NAS35"/>
      <c r="NAT35"/>
      <c r="NAU35"/>
      <c r="NAV35"/>
      <c r="NAW35"/>
      <c r="NAX35"/>
      <c r="NAY35"/>
      <c r="NAZ35"/>
      <c r="NBA35"/>
      <c r="NBB35"/>
      <c r="NBC35"/>
      <c r="NBD35"/>
      <c r="NBE35"/>
      <c r="NBF35"/>
      <c r="NBG35"/>
      <c r="NBH35"/>
      <c r="NBI35"/>
      <c r="NBJ35"/>
      <c r="NBK35"/>
      <c r="NBL35"/>
      <c r="NBM35"/>
      <c r="NBN35"/>
      <c r="NBO35"/>
      <c r="NBP35"/>
      <c r="NBQ35"/>
      <c r="NBR35"/>
      <c r="NBS35"/>
      <c r="NBT35"/>
      <c r="NBU35"/>
      <c r="NBV35"/>
      <c r="NBW35"/>
      <c r="NBX35"/>
      <c r="NBY35"/>
      <c r="NBZ35"/>
      <c r="NCA35"/>
      <c r="NCB35"/>
      <c r="NCC35"/>
      <c r="NCD35"/>
      <c r="NCE35"/>
      <c r="NCF35"/>
      <c r="NCG35"/>
      <c r="NCH35"/>
      <c r="NCI35"/>
      <c r="NCJ35"/>
      <c r="NCK35"/>
      <c r="NCL35"/>
      <c r="NCM35"/>
      <c r="NCN35"/>
      <c r="NCO35"/>
      <c r="NCP35"/>
      <c r="NCQ35"/>
      <c r="NCR35"/>
      <c r="NCS35"/>
      <c r="NCT35"/>
      <c r="NCU35"/>
      <c r="NCV35"/>
      <c r="NCW35"/>
      <c r="NCX35"/>
      <c r="NCY35"/>
      <c r="NCZ35"/>
      <c r="NDA35"/>
      <c r="NDB35"/>
      <c r="NDC35"/>
      <c r="NDD35"/>
      <c r="NDE35"/>
      <c r="NDF35"/>
      <c r="NDG35"/>
      <c r="NDH35"/>
      <c r="NDI35"/>
      <c r="NDJ35"/>
      <c r="NDK35"/>
      <c r="NDL35"/>
      <c r="NDM35"/>
      <c r="NDN35"/>
      <c r="NDO35"/>
      <c r="NDP35"/>
      <c r="NDQ35"/>
      <c r="NDR35"/>
      <c r="NDS35"/>
      <c r="NDT35"/>
      <c r="NDU35"/>
      <c r="NDV35"/>
      <c r="NDW35"/>
      <c r="NDX35"/>
      <c r="NDY35"/>
      <c r="NDZ35"/>
      <c r="NEA35"/>
      <c r="NEB35"/>
      <c r="NEC35"/>
      <c r="NED35"/>
      <c r="NEE35"/>
      <c r="NEF35"/>
      <c r="NEG35"/>
      <c r="NEH35"/>
      <c r="NEI35"/>
      <c r="NEJ35"/>
      <c r="NEK35"/>
      <c r="NEL35"/>
      <c r="NEM35"/>
      <c r="NEN35"/>
      <c r="NEO35"/>
      <c r="NEP35"/>
      <c r="NEQ35"/>
      <c r="NER35"/>
      <c r="NES35"/>
      <c r="NET35"/>
      <c r="NEU35"/>
      <c r="NEV35"/>
      <c r="NEW35"/>
      <c r="NEX35"/>
      <c r="NEY35"/>
      <c r="NEZ35"/>
      <c r="NFA35"/>
      <c r="NFB35"/>
      <c r="NFC35"/>
      <c r="NFD35"/>
      <c r="NFE35"/>
      <c r="NFF35"/>
      <c r="NFG35"/>
      <c r="NFH35"/>
      <c r="NFI35"/>
      <c r="NFJ35"/>
      <c r="NFK35"/>
      <c r="NFL35"/>
      <c r="NFM35"/>
      <c r="NFN35"/>
      <c r="NFO35"/>
      <c r="NFP35"/>
      <c r="NFQ35"/>
      <c r="NFR35"/>
      <c r="NFS35"/>
      <c r="NFT35"/>
      <c r="NFU35"/>
      <c r="NFV35"/>
      <c r="NFW35"/>
      <c r="NFX35"/>
      <c r="NFY35"/>
      <c r="NFZ35"/>
      <c r="NGA35"/>
      <c r="NGB35"/>
      <c r="NGC35"/>
      <c r="NGD35"/>
      <c r="NGE35"/>
      <c r="NGF35"/>
      <c r="NGG35"/>
      <c r="NGH35"/>
      <c r="NGI35"/>
      <c r="NGJ35"/>
      <c r="NGK35"/>
      <c r="NGL35"/>
      <c r="NGM35"/>
      <c r="NGN35"/>
      <c r="NGO35"/>
      <c r="NGP35"/>
      <c r="NGQ35"/>
      <c r="NGR35"/>
      <c r="NGS35"/>
      <c r="NGT35"/>
      <c r="NGU35"/>
      <c r="NGV35"/>
      <c r="NGW35"/>
      <c r="NGX35"/>
      <c r="NGY35"/>
      <c r="NGZ35"/>
      <c r="NHA35"/>
      <c r="NHB35"/>
      <c r="NHC35"/>
      <c r="NHD35"/>
      <c r="NHE35"/>
      <c r="NHF35"/>
      <c r="NHG35"/>
      <c r="NHH35"/>
      <c r="NHI35"/>
      <c r="NHJ35"/>
      <c r="NHK35"/>
      <c r="NHL35"/>
      <c r="NHM35"/>
      <c r="NHN35"/>
      <c r="NHO35"/>
      <c r="NHP35"/>
      <c r="NHQ35"/>
      <c r="NHR35"/>
      <c r="NHS35"/>
      <c r="NHT35"/>
      <c r="NHU35"/>
      <c r="NHV35"/>
      <c r="NHW35"/>
      <c r="NHX35"/>
      <c r="NHY35"/>
      <c r="NHZ35"/>
      <c r="NIA35"/>
      <c r="NIB35"/>
      <c r="NIC35"/>
      <c r="NID35"/>
      <c r="NIE35"/>
      <c r="NIF35"/>
      <c r="NIG35"/>
      <c r="NIH35"/>
      <c r="NII35"/>
      <c r="NIJ35"/>
      <c r="NIK35"/>
      <c r="NIL35"/>
      <c r="NIM35"/>
      <c r="NIN35"/>
      <c r="NIO35"/>
      <c r="NIP35"/>
      <c r="NIQ35"/>
      <c r="NIR35"/>
      <c r="NIS35"/>
      <c r="NIT35"/>
      <c r="NIU35"/>
      <c r="NIV35"/>
      <c r="NIW35"/>
      <c r="NIX35"/>
      <c r="NIY35"/>
      <c r="NIZ35"/>
      <c r="NJA35"/>
      <c r="NJB35"/>
      <c r="NJC35"/>
      <c r="NJD35"/>
      <c r="NJE35"/>
      <c r="NJF35"/>
      <c r="NJG35"/>
      <c r="NJH35"/>
      <c r="NJI35"/>
      <c r="NJJ35"/>
      <c r="NJK35"/>
      <c r="NJL35"/>
      <c r="NJM35"/>
      <c r="NJN35"/>
      <c r="NJO35"/>
      <c r="NJP35"/>
      <c r="NJQ35"/>
      <c r="NJR35"/>
      <c r="NJS35"/>
      <c r="NJT35"/>
      <c r="NJU35"/>
      <c r="NJV35"/>
      <c r="NJW35"/>
      <c r="NJX35"/>
      <c r="NJY35"/>
      <c r="NJZ35"/>
      <c r="NKA35"/>
      <c r="NKB35"/>
      <c r="NKC35"/>
      <c r="NKD35"/>
      <c r="NKE35"/>
      <c r="NKF35"/>
      <c r="NKG35"/>
      <c r="NKH35"/>
      <c r="NKI35"/>
      <c r="NKJ35"/>
      <c r="NKK35"/>
      <c r="NKL35"/>
      <c r="NKM35"/>
      <c r="NKN35"/>
      <c r="NKO35"/>
      <c r="NKP35"/>
      <c r="NKQ35"/>
      <c r="NKR35"/>
      <c r="NKS35"/>
      <c r="NKT35"/>
      <c r="NKU35"/>
      <c r="NKV35"/>
      <c r="NKW35"/>
      <c r="NKX35"/>
      <c r="NKY35"/>
      <c r="NKZ35"/>
      <c r="NLA35"/>
      <c r="NLB35"/>
      <c r="NLC35"/>
      <c r="NLD35"/>
      <c r="NLE35"/>
      <c r="NLF35"/>
      <c r="NLG35"/>
      <c r="NLH35"/>
      <c r="NLI35"/>
      <c r="NLJ35"/>
      <c r="NLK35"/>
      <c r="NLL35"/>
      <c r="NLM35"/>
      <c r="NLN35"/>
      <c r="NLO35"/>
      <c r="NLP35"/>
      <c r="NLQ35"/>
      <c r="NLR35"/>
      <c r="NLS35"/>
      <c r="NLT35"/>
      <c r="NLU35"/>
      <c r="NLV35"/>
      <c r="NLW35"/>
      <c r="NLX35"/>
      <c r="NLY35"/>
      <c r="NLZ35"/>
      <c r="NMA35"/>
      <c r="NMB35"/>
      <c r="NMC35"/>
      <c r="NMD35"/>
      <c r="NME35"/>
      <c r="NMF35"/>
      <c r="NMG35"/>
      <c r="NMH35"/>
      <c r="NMI35"/>
      <c r="NMJ35"/>
      <c r="NMK35"/>
      <c r="NML35"/>
      <c r="NMM35"/>
      <c r="NMN35"/>
      <c r="NMO35"/>
      <c r="NMP35"/>
      <c r="NMQ35"/>
      <c r="NMR35"/>
      <c r="NMS35"/>
      <c r="NMT35"/>
      <c r="NMU35"/>
      <c r="NMV35"/>
      <c r="NMW35"/>
      <c r="NMX35"/>
      <c r="NMY35"/>
      <c r="NMZ35"/>
      <c r="NNA35"/>
      <c r="NNB35"/>
      <c r="NNC35"/>
      <c r="NND35"/>
      <c r="NNE35"/>
      <c r="NNF35"/>
      <c r="NNG35"/>
      <c r="NNH35"/>
      <c r="NNI35"/>
      <c r="NNJ35"/>
      <c r="NNK35"/>
      <c r="NNL35"/>
      <c r="NNM35"/>
      <c r="NNN35"/>
      <c r="NNO35"/>
      <c r="NNP35"/>
      <c r="NNQ35"/>
      <c r="NNR35"/>
      <c r="NNS35"/>
      <c r="NNT35"/>
      <c r="NNU35"/>
      <c r="NNV35"/>
      <c r="NNW35"/>
      <c r="NNX35"/>
      <c r="NNY35"/>
      <c r="NNZ35"/>
      <c r="NOA35"/>
      <c r="NOB35"/>
      <c r="NOC35"/>
      <c r="NOD35"/>
      <c r="NOE35"/>
      <c r="NOF35"/>
      <c r="NOG35"/>
      <c r="NOH35"/>
      <c r="NOI35"/>
      <c r="NOJ35"/>
      <c r="NOK35"/>
      <c r="NOL35"/>
      <c r="NOM35"/>
      <c r="NON35"/>
      <c r="NOO35"/>
      <c r="NOP35"/>
      <c r="NOQ35"/>
      <c r="NOR35"/>
      <c r="NOS35"/>
      <c r="NOT35"/>
      <c r="NOU35"/>
      <c r="NOV35"/>
      <c r="NOW35"/>
      <c r="NOX35"/>
      <c r="NOY35"/>
      <c r="NOZ35"/>
      <c r="NPA35"/>
      <c r="NPB35"/>
      <c r="NPC35"/>
      <c r="NPD35"/>
      <c r="NPE35"/>
      <c r="NPF35"/>
      <c r="NPG35"/>
      <c r="NPH35"/>
      <c r="NPI35"/>
      <c r="NPJ35"/>
      <c r="NPK35"/>
      <c r="NPL35"/>
      <c r="NPM35"/>
      <c r="NPN35"/>
      <c r="NPO35"/>
      <c r="NPP35"/>
      <c r="NPQ35"/>
      <c r="NPR35"/>
      <c r="NPS35"/>
      <c r="NPT35"/>
      <c r="NPU35"/>
      <c r="NPV35"/>
      <c r="NPW35"/>
      <c r="NPX35"/>
      <c r="NPY35"/>
      <c r="NPZ35"/>
      <c r="NQA35"/>
      <c r="NQB35"/>
      <c r="NQC35"/>
      <c r="NQD35"/>
      <c r="NQE35"/>
      <c r="NQF35"/>
      <c r="NQG35"/>
      <c r="NQH35"/>
      <c r="NQI35"/>
      <c r="NQJ35"/>
      <c r="NQK35"/>
      <c r="NQL35"/>
      <c r="NQM35"/>
      <c r="NQN35"/>
      <c r="NQO35"/>
      <c r="NQP35"/>
      <c r="NQQ35"/>
      <c r="NQR35"/>
      <c r="NQS35"/>
      <c r="NQT35"/>
      <c r="NQU35"/>
      <c r="NQV35"/>
      <c r="NQW35"/>
      <c r="NQX35"/>
      <c r="NQY35"/>
      <c r="NQZ35"/>
      <c r="NRA35"/>
      <c r="NRB35"/>
      <c r="NRC35"/>
      <c r="NRD35"/>
      <c r="NRE35"/>
      <c r="NRF35"/>
      <c r="NRG35"/>
      <c r="NRH35"/>
      <c r="NRI35"/>
      <c r="NRJ35"/>
      <c r="NRK35"/>
      <c r="NRL35"/>
      <c r="NRM35"/>
      <c r="NRN35"/>
      <c r="NRO35"/>
      <c r="NRP35"/>
      <c r="NRQ35"/>
      <c r="NRR35"/>
      <c r="NRS35"/>
      <c r="NRT35"/>
      <c r="NRU35"/>
      <c r="NRV35"/>
      <c r="NRW35"/>
      <c r="NRX35"/>
      <c r="NRY35"/>
      <c r="NRZ35"/>
      <c r="NSA35"/>
      <c r="NSB35"/>
      <c r="NSC35"/>
      <c r="NSD35"/>
      <c r="NSE35"/>
      <c r="NSF35"/>
      <c r="NSG35"/>
      <c r="NSH35"/>
      <c r="NSI35"/>
      <c r="NSJ35"/>
      <c r="NSK35"/>
      <c r="NSL35"/>
      <c r="NSM35"/>
      <c r="NSN35"/>
      <c r="NSO35"/>
      <c r="NSP35"/>
      <c r="NSQ35"/>
      <c r="NSR35"/>
      <c r="NSS35"/>
      <c r="NST35"/>
      <c r="NSU35"/>
      <c r="NSV35"/>
      <c r="NSW35"/>
      <c r="NSX35"/>
      <c r="NSY35"/>
      <c r="NSZ35"/>
      <c r="NTA35"/>
      <c r="NTB35"/>
      <c r="NTC35"/>
      <c r="NTD35"/>
      <c r="NTE35"/>
      <c r="NTF35"/>
      <c r="NTG35"/>
      <c r="NTH35"/>
      <c r="NTI35"/>
      <c r="NTJ35"/>
      <c r="NTK35"/>
      <c r="NTL35"/>
      <c r="NTM35"/>
      <c r="NTN35"/>
      <c r="NTO35"/>
      <c r="NTP35"/>
      <c r="NTQ35"/>
      <c r="NTR35"/>
      <c r="NTS35"/>
      <c r="NTT35"/>
      <c r="NTU35"/>
      <c r="NTV35"/>
      <c r="NTW35"/>
      <c r="NTX35"/>
      <c r="NTY35"/>
      <c r="NTZ35"/>
      <c r="NUA35"/>
      <c r="NUB35"/>
      <c r="NUC35"/>
      <c r="NUD35"/>
      <c r="NUE35"/>
      <c r="NUF35"/>
      <c r="NUG35"/>
      <c r="NUH35"/>
      <c r="NUI35"/>
      <c r="NUJ35"/>
      <c r="NUK35"/>
      <c r="NUL35"/>
      <c r="NUM35"/>
      <c r="NUN35"/>
      <c r="NUO35"/>
      <c r="NUP35"/>
      <c r="NUQ35"/>
      <c r="NUR35"/>
      <c r="NUS35"/>
      <c r="NUT35"/>
      <c r="NUU35"/>
      <c r="NUV35"/>
      <c r="NUW35"/>
      <c r="NUX35"/>
      <c r="NUY35"/>
      <c r="NUZ35"/>
      <c r="NVA35"/>
      <c r="NVB35"/>
      <c r="NVC35"/>
      <c r="NVD35"/>
      <c r="NVE35"/>
      <c r="NVF35"/>
      <c r="NVG35"/>
      <c r="NVH35"/>
      <c r="NVI35"/>
      <c r="NVJ35"/>
      <c r="NVK35"/>
      <c r="NVL35"/>
      <c r="NVM35"/>
      <c r="NVN35"/>
      <c r="NVO35"/>
      <c r="NVP35"/>
      <c r="NVQ35"/>
      <c r="NVR35"/>
      <c r="NVS35"/>
      <c r="NVT35"/>
      <c r="NVU35"/>
      <c r="NVV35"/>
      <c r="NVW35"/>
      <c r="NVX35"/>
      <c r="NVY35"/>
      <c r="NVZ35"/>
      <c r="NWA35"/>
      <c r="NWB35"/>
      <c r="NWC35"/>
      <c r="NWD35"/>
      <c r="NWE35"/>
      <c r="NWF35"/>
      <c r="NWG35"/>
      <c r="NWH35"/>
      <c r="NWI35"/>
      <c r="NWJ35"/>
      <c r="NWK35"/>
      <c r="NWL35"/>
      <c r="NWM35"/>
      <c r="NWN35"/>
      <c r="NWO35"/>
      <c r="NWP35"/>
      <c r="NWQ35"/>
      <c r="NWR35"/>
      <c r="NWS35"/>
      <c r="NWT35"/>
      <c r="NWU35"/>
      <c r="NWV35"/>
      <c r="NWW35"/>
      <c r="NWX35"/>
      <c r="NWY35"/>
      <c r="NWZ35"/>
      <c r="NXA35"/>
      <c r="NXB35"/>
      <c r="NXC35"/>
      <c r="NXD35"/>
      <c r="NXE35"/>
      <c r="NXF35"/>
      <c r="NXG35"/>
      <c r="NXH35"/>
      <c r="NXI35"/>
      <c r="NXJ35"/>
      <c r="NXK35"/>
      <c r="NXL35"/>
      <c r="NXM35"/>
      <c r="NXN35"/>
      <c r="NXO35"/>
      <c r="NXP35"/>
      <c r="NXQ35"/>
      <c r="NXR35"/>
      <c r="NXS35"/>
      <c r="NXT35"/>
      <c r="NXU35"/>
      <c r="NXV35"/>
      <c r="NXW35"/>
      <c r="NXX35"/>
      <c r="NXY35"/>
      <c r="NXZ35"/>
      <c r="NYA35"/>
      <c r="NYB35"/>
      <c r="NYC35"/>
      <c r="NYD35"/>
      <c r="NYE35"/>
      <c r="NYF35"/>
      <c r="NYG35"/>
      <c r="NYH35"/>
      <c r="NYI35"/>
      <c r="NYJ35"/>
      <c r="NYK35"/>
      <c r="NYL35"/>
      <c r="NYM35"/>
      <c r="NYN35"/>
      <c r="NYO35"/>
      <c r="NYP35"/>
      <c r="NYQ35"/>
      <c r="NYR35"/>
      <c r="NYS35"/>
      <c r="NYT35"/>
      <c r="NYU35"/>
      <c r="NYV35"/>
      <c r="NYW35"/>
      <c r="NYX35"/>
      <c r="NYY35"/>
      <c r="NYZ35"/>
      <c r="NZA35"/>
      <c r="NZB35"/>
      <c r="NZC35"/>
      <c r="NZD35"/>
      <c r="NZE35"/>
      <c r="NZF35"/>
      <c r="NZG35"/>
      <c r="NZH35"/>
      <c r="NZI35"/>
      <c r="NZJ35"/>
      <c r="NZK35"/>
      <c r="NZL35"/>
      <c r="NZM35"/>
      <c r="NZN35"/>
      <c r="NZO35"/>
      <c r="NZP35"/>
      <c r="NZQ35"/>
      <c r="NZR35"/>
      <c r="NZS35"/>
      <c r="NZT35"/>
      <c r="NZU35"/>
      <c r="NZV35"/>
      <c r="NZW35"/>
      <c r="NZX35"/>
      <c r="NZY35"/>
      <c r="NZZ35"/>
      <c r="OAA35"/>
      <c r="OAB35"/>
      <c r="OAC35"/>
      <c r="OAD35"/>
      <c r="OAE35"/>
      <c r="OAF35"/>
      <c r="OAG35"/>
      <c r="OAH35"/>
      <c r="OAI35"/>
      <c r="OAJ35"/>
      <c r="OAK35"/>
      <c r="OAL35"/>
      <c r="OAM35"/>
      <c r="OAN35"/>
      <c r="OAO35"/>
      <c r="OAP35"/>
      <c r="OAQ35"/>
      <c r="OAR35"/>
      <c r="OAS35"/>
      <c r="OAT35"/>
      <c r="OAU35"/>
      <c r="OAV35"/>
      <c r="OAW35"/>
      <c r="OAX35"/>
      <c r="OAY35"/>
      <c r="OAZ35"/>
      <c r="OBA35"/>
      <c r="OBB35"/>
      <c r="OBC35"/>
      <c r="OBD35"/>
      <c r="OBE35"/>
      <c r="OBF35"/>
      <c r="OBG35"/>
      <c r="OBH35"/>
      <c r="OBI35"/>
      <c r="OBJ35"/>
      <c r="OBK35"/>
      <c r="OBL35"/>
      <c r="OBM35"/>
      <c r="OBN35"/>
      <c r="OBO35"/>
      <c r="OBP35"/>
      <c r="OBQ35"/>
      <c r="OBR35"/>
      <c r="OBS35"/>
      <c r="OBT35"/>
      <c r="OBU35"/>
      <c r="OBV35"/>
      <c r="OBW35"/>
      <c r="OBX35"/>
      <c r="OBY35"/>
      <c r="OBZ35"/>
      <c r="OCA35"/>
      <c r="OCB35"/>
      <c r="OCC35"/>
      <c r="OCD35"/>
      <c r="OCE35"/>
      <c r="OCF35"/>
      <c r="OCG35"/>
      <c r="OCH35"/>
      <c r="OCI35"/>
      <c r="OCJ35"/>
      <c r="OCK35"/>
      <c r="OCL35"/>
      <c r="OCM35"/>
      <c r="OCN35"/>
      <c r="OCO35"/>
      <c r="OCP35"/>
      <c r="OCQ35"/>
      <c r="OCR35"/>
      <c r="OCS35"/>
      <c r="OCT35"/>
      <c r="OCU35"/>
      <c r="OCV35"/>
      <c r="OCW35"/>
      <c r="OCX35"/>
      <c r="OCY35"/>
      <c r="OCZ35"/>
      <c r="ODA35"/>
      <c r="ODB35"/>
      <c r="ODC35"/>
      <c r="ODD35"/>
      <c r="ODE35"/>
      <c r="ODF35"/>
      <c r="ODG35"/>
      <c r="ODH35"/>
      <c r="ODI35"/>
      <c r="ODJ35"/>
      <c r="ODK35"/>
      <c r="ODL35"/>
      <c r="ODM35"/>
      <c r="ODN35"/>
      <c r="ODO35"/>
      <c r="ODP35"/>
      <c r="ODQ35"/>
      <c r="ODR35"/>
      <c r="ODS35"/>
      <c r="ODT35"/>
      <c r="ODU35"/>
      <c r="ODV35"/>
      <c r="ODW35"/>
      <c r="ODX35"/>
      <c r="ODY35"/>
      <c r="ODZ35"/>
      <c r="OEA35"/>
      <c r="OEB35"/>
      <c r="OEC35"/>
      <c r="OED35"/>
      <c r="OEE35"/>
      <c r="OEF35"/>
      <c r="OEG35"/>
      <c r="OEH35"/>
      <c r="OEI35"/>
      <c r="OEJ35"/>
      <c r="OEK35"/>
      <c r="OEL35"/>
      <c r="OEM35"/>
      <c r="OEN35"/>
      <c r="OEO35"/>
      <c r="OEP35"/>
      <c r="OEQ35"/>
      <c r="OER35"/>
      <c r="OES35"/>
      <c r="OET35"/>
      <c r="OEU35"/>
      <c r="OEV35"/>
      <c r="OEW35"/>
      <c r="OEX35"/>
      <c r="OEY35"/>
      <c r="OEZ35"/>
      <c r="OFA35"/>
      <c r="OFB35"/>
      <c r="OFC35"/>
      <c r="OFD35"/>
      <c r="OFE35"/>
      <c r="OFF35"/>
      <c r="OFG35"/>
      <c r="OFH35"/>
      <c r="OFI35"/>
      <c r="OFJ35"/>
      <c r="OFK35"/>
      <c r="OFL35"/>
      <c r="OFM35"/>
      <c r="OFN35"/>
      <c r="OFO35"/>
      <c r="OFP35"/>
      <c r="OFQ35"/>
      <c r="OFR35"/>
      <c r="OFS35"/>
      <c r="OFT35"/>
      <c r="OFU35"/>
      <c r="OFV35"/>
      <c r="OFW35"/>
      <c r="OFX35"/>
      <c r="OFY35"/>
      <c r="OFZ35"/>
      <c r="OGA35"/>
      <c r="OGB35"/>
      <c r="OGC35"/>
      <c r="OGD35"/>
      <c r="OGE35"/>
      <c r="OGF35"/>
      <c r="OGG35"/>
      <c r="OGH35"/>
      <c r="OGI35"/>
      <c r="OGJ35"/>
      <c r="OGK35"/>
      <c r="OGL35"/>
      <c r="OGM35"/>
      <c r="OGN35"/>
      <c r="OGO35"/>
      <c r="OGP35"/>
      <c r="OGQ35"/>
      <c r="OGR35"/>
      <c r="OGS35"/>
      <c r="OGT35"/>
      <c r="OGU35"/>
      <c r="OGV35"/>
      <c r="OGW35"/>
      <c r="OGX35"/>
      <c r="OGY35"/>
      <c r="OGZ35"/>
      <c r="OHA35"/>
      <c r="OHB35"/>
      <c r="OHC35"/>
      <c r="OHD35"/>
      <c r="OHE35"/>
      <c r="OHF35"/>
      <c r="OHG35"/>
      <c r="OHH35"/>
      <c r="OHI35"/>
      <c r="OHJ35"/>
      <c r="OHK35"/>
      <c r="OHL35"/>
      <c r="OHM35"/>
      <c r="OHN35"/>
      <c r="OHO35"/>
      <c r="OHP35"/>
      <c r="OHQ35"/>
      <c r="OHR35"/>
      <c r="OHS35"/>
      <c r="OHT35"/>
      <c r="OHU35"/>
      <c r="OHV35"/>
      <c r="OHW35"/>
      <c r="OHX35"/>
      <c r="OHY35"/>
      <c r="OHZ35"/>
      <c r="OIA35"/>
      <c r="OIB35"/>
      <c r="OIC35"/>
      <c r="OID35"/>
      <c r="OIE35"/>
      <c r="OIF35"/>
      <c r="OIG35"/>
      <c r="OIH35"/>
      <c r="OII35"/>
      <c r="OIJ35"/>
      <c r="OIK35"/>
      <c r="OIL35"/>
      <c r="OIM35"/>
      <c r="OIN35"/>
      <c r="OIO35"/>
      <c r="OIP35"/>
      <c r="OIQ35"/>
      <c r="OIR35"/>
      <c r="OIS35"/>
      <c r="OIT35"/>
      <c r="OIU35"/>
      <c r="OIV35"/>
      <c r="OIW35"/>
      <c r="OIX35"/>
      <c r="OIY35"/>
      <c r="OIZ35"/>
      <c r="OJA35"/>
      <c r="OJB35"/>
      <c r="OJC35"/>
      <c r="OJD35"/>
      <c r="OJE35"/>
      <c r="OJF35"/>
      <c r="OJG35"/>
      <c r="OJH35"/>
      <c r="OJI35"/>
      <c r="OJJ35"/>
      <c r="OJK35"/>
      <c r="OJL35"/>
      <c r="OJM35"/>
      <c r="OJN35"/>
      <c r="OJO35"/>
      <c r="OJP35"/>
      <c r="OJQ35"/>
      <c r="OJR35"/>
      <c r="OJS35"/>
      <c r="OJT35"/>
      <c r="OJU35"/>
      <c r="OJV35"/>
      <c r="OJW35"/>
      <c r="OJX35"/>
      <c r="OJY35"/>
      <c r="OJZ35"/>
      <c r="OKA35"/>
      <c r="OKB35"/>
      <c r="OKC35"/>
      <c r="OKD35"/>
      <c r="OKE35"/>
      <c r="OKF35"/>
      <c r="OKG35"/>
      <c r="OKH35"/>
      <c r="OKI35"/>
      <c r="OKJ35"/>
      <c r="OKK35"/>
      <c r="OKL35"/>
      <c r="OKM35"/>
      <c r="OKN35"/>
      <c r="OKO35"/>
      <c r="OKP35"/>
      <c r="OKQ35"/>
      <c r="OKR35"/>
      <c r="OKS35"/>
      <c r="OKT35"/>
      <c r="OKU35"/>
      <c r="OKV35"/>
      <c r="OKW35"/>
      <c r="OKX35"/>
      <c r="OKY35"/>
      <c r="OKZ35"/>
      <c r="OLA35"/>
      <c r="OLB35"/>
      <c r="OLC35"/>
      <c r="OLD35"/>
      <c r="OLE35"/>
      <c r="OLF35"/>
      <c r="OLG35"/>
      <c r="OLH35"/>
      <c r="OLI35"/>
      <c r="OLJ35"/>
      <c r="OLK35"/>
      <c r="OLL35"/>
      <c r="OLM35"/>
      <c r="OLN35"/>
      <c r="OLO35"/>
      <c r="OLP35"/>
      <c r="OLQ35"/>
      <c r="OLR35"/>
      <c r="OLS35"/>
      <c r="OLT35"/>
      <c r="OLU35"/>
      <c r="OLV35"/>
      <c r="OLW35"/>
      <c r="OLX35"/>
      <c r="OLY35"/>
      <c r="OLZ35"/>
      <c r="OMA35"/>
      <c r="OMB35"/>
      <c r="OMC35"/>
      <c r="OMD35"/>
      <c r="OME35"/>
      <c r="OMF35"/>
      <c r="OMG35"/>
      <c r="OMH35"/>
      <c r="OMI35"/>
      <c r="OMJ35"/>
      <c r="OMK35"/>
      <c r="OML35"/>
      <c r="OMM35"/>
      <c r="OMN35"/>
      <c r="OMO35"/>
      <c r="OMP35"/>
      <c r="OMQ35"/>
      <c r="OMR35"/>
      <c r="OMS35"/>
      <c r="OMT35"/>
      <c r="OMU35"/>
      <c r="OMV35"/>
      <c r="OMW35"/>
      <c r="OMX35"/>
      <c r="OMY35"/>
      <c r="OMZ35"/>
      <c r="ONA35"/>
      <c r="ONB35"/>
      <c r="ONC35"/>
      <c r="OND35"/>
      <c r="ONE35"/>
      <c r="ONF35"/>
      <c r="ONG35"/>
      <c r="ONH35"/>
      <c r="ONI35"/>
      <c r="ONJ35"/>
      <c r="ONK35"/>
      <c r="ONL35"/>
      <c r="ONM35"/>
      <c r="ONN35"/>
      <c r="ONO35"/>
      <c r="ONP35"/>
      <c r="ONQ35"/>
      <c r="ONR35"/>
      <c r="ONS35"/>
      <c r="ONT35"/>
      <c r="ONU35"/>
      <c r="ONV35"/>
      <c r="ONW35"/>
      <c r="ONX35"/>
      <c r="ONY35"/>
      <c r="ONZ35"/>
      <c r="OOA35"/>
      <c r="OOB35"/>
      <c r="OOC35"/>
      <c r="OOD35"/>
      <c r="OOE35"/>
      <c r="OOF35"/>
      <c r="OOG35"/>
      <c r="OOH35"/>
      <c r="OOI35"/>
      <c r="OOJ35"/>
      <c r="OOK35"/>
      <c r="OOL35"/>
      <c r="OOM35"/>
      <c r="OON35"/>
      <c r="OOO35"/>
      <c r="OOP35"/>
      <c r="OOQ35"/>
      <c r="OOR35"/>
      <c r="OOS35"/>
      <c r="OOT35"/>
      <c r="OOU35"/>
      <c r="OOV35"/>
      <c r="OOW35"/>
      <c r="OOX35"/>
      <c r="OOY35"/>
      <c r="OOZ35"/>
      <c r="OPA35"/>
      <c r="OPB35"/>
      <c r="OPC35"/>
      <c r="OPD35"/>
      <c r="OPE35"/>
      <c r="OPF35"/>
      <c r="OPG35"/>
      <c r="OPH35"/>
      <c r="OPI35"/>
      <c r="OPJ35"/>
      <c r="OPK35"/>
      <c r="OPL35"/>
      <c r="OPM35"/>
      <c r="OPN35"/>
      <c r="OPO35"/>
      <c r="OPP35"/>
      <c r="OPQ35"/>
      <c r="OPR35"/>
      <c r="OPS35"/>
      <c r="OPT35"/>
      <c r="OPU35"/>
      <c r="OPV35"/>
      <c r="OPW35"/>
      <c r="OPX35"/>
      <c r="OPY35"/>
      <c r="OPZ35"/>
      <c r="OQA35"/>
      <c r="OQB35"/>
      <c r="OQC35"/>
      <c r="OQD35"/>
      <c r="OQE35"/>
      <c r="OQF35"/>
      <c r="OQG35"/>
      <c r="OQH35"/>
      <c r="OQI35"/>
      <c r="OQJ35"/>
      <c r="OQK35"/>
      <c r="OQL35"/>
      <c r="OQM35"/>
      <c r="OQN35"/>
      <c r="OQO35"/>
      <c r="OQP35"/>
      <c r="OQQ35"/>
      <c r="OQR35"/>
      <c r="OQS35"/>
      <c r="OQT35"/>
      <c r="OQU35"/>
      <c r="OQV35"/>
      <c r="OQW35"/>
      <c r="OQX35"/>
      <c r="OQY35"/>
      <c r="OQZ35"/>
      <c r="ORA35"/>
      <c r="ORB35"/>
      <c r="ORC35"/>
      <c r="ORD35"/>
      <c r="ORE35"/>
      <c r="ORF35"/>
      <c r="ORG35"/>
      <c r="ORH35"/>
      <c r="ORI35"/>
      <c r="ORJ35"/>
      <c r="ORK35"/>
      <c r="ORL35"/>
      <c r="ORM35"/>
      <c r="ORN35"/>
      <c r="ORO35"/>
      <c r="ORP35"/>
      <c r="ORQ35"/>
      <c r="ORR35"/>
      <c r="ORS35"/>
      <c r="ORT35"/>
      <c r="ORU35"/>
      <c r="ORV35"/>
      <c r="ORW35"/>
      <c r="ORX35"/>
      <c r="ORY35"/>
      <c r="ORZ35"/>
      <c r="OSA35"/>
      <c r="OSB35"/>
      <c r="OSC35"/>
      <c r="OSD35"/>
      <c r="OSE35"/>
      <c r="OSF35"/>
      <c r="OSG35"/>
      <c r="OSH35"/>
      <c r="OSI35"/>
      <c r="OSJ35"/>
      <c r="OSK35"/>
      <c r="OSL35"/>
      <c r="OSM35"/>
      <c r="OSN35"/>
      <c r="OSO35"/>
      <c r="OSP35"/>
      <c r="OSQ35"/>
      <c r="OSR35"/>
      <c r="OSS35"/>
      <c r="OST35"/>
      <c r="OSU35"/>
      <c r="OSV35"/>
      <c r="OSW35"/>
      <c r="OSX35"/>
      <c r="OSY35"/>
      <c r="OSZ35"/>
      <c r="OTA35"/>
      <c r="OTB35"/>
      <c r="OTC35"/>
      <c r="OTD35"/>
      <c r="OTE35"/>
      <c r="OTF35"/>
      <c r="OTG35"/>
      <c r="OTH35"/>
      <c r="OTI35"/>
      <c r="OTJ35"/>
      <c r="OTK35"/>
      <c r="OTL35"/>
      <c r="OTM35"/>
      <c r="OTN35"/>
      <c r="OTO35"/>
      <c r="OTP35"/>
      <c r="OTQ35"/>
      <c r="OTR35"/>
      <c r="OTS35"/>
      <c r="OTT35"/>
      <c r="OTU35"/>
      <c r="OTV35"/>
      <c r="OTW35"/>
      <c r="OTX35"/>
      <c r="OTY35"/>
      <c r="OTZ35"/>
      <c r="OUA35"/>
      <c r="OUB35"/>
      <c r="OUC35"/>
      <c r="OUD35"/>
      <c r="OUE35"/>
      <c r="OUF35"/>
      <c r="OUG35"/>
      <c r="OUH35"/>
      <c r="OUI35"/>
      <c r="OUJ35"/>
      <c r="OUK35"/>
      <c r="OUL35"/>
      <c r="OUM35"/>
      <c r="OUN35"/>
      <c r="OUO35"/>
      <c r="OUP35"/>
      <c r="OUQ35"/>
      <c r="OUR35"/>
      <c r="OUS35"/>
      <c r="OUT35"/>
      <c r="OUU35"/>
      <c r="OUV35"/>
      <c r="OUW35"/>
      <c r="OUX35"/>
      <c r="OUY35"/>
      <c r="OUZ35"/>
      <c r="OVA35"/>
      <c r="OVB35"/>
      <c r="OVC35"/>
      <c r="OVD35"/>
      <c r="OVE35"/>
      <c r="OVF35"/>
      <c r="OVG35"/>
      <c r="OVH35"/>
      <c r="OVI35"/>
      <c r="OVJ35"/>
      <c r="OVK35"/>
      <c r="OVL35"/>
      <c r="OVM35"/>
      <c r="OVN35"/>
      <c r="OVO35"/>
      <c r="OVP35"/>
      <c r="OVQ35"/>
      <c r="OVR35"/>
      <c r="OVS35"/>
      <c r="OVT35"/>
      <c r="OVU35"/>
      <c r="OVV35"/>
      <c r="OVW35"/>
      <c r="OVX35"/>
      <c r="OVY35"/>
      <c r="OVZ35"/>
      <c r="OWA35"/>
      <c r="OWB35"/>
      <c r="OWC35"/>
      <c r="OWD35"/>
      <c r="OWE35"/>
      <c r="OWF35"/>
      <c r="OWG35"/>
      <c r="OWH35"/>
      <c r="OWI35"/>
      <c r="OWJ35"/>
      <c r="OWK35"/>
      <c r="OWL35"/>
      <c r="OWM35"/>
      <c r="OWN35"/>
      <c r="OWO35"/>
      <c r="OWP35"/>
      <c r="OWQ35"/>
      <c r="OWR35"/>
      <c r="OWS35"/>
      <c r="OWT35"/>
      <c r="OWU35"/>
      <c r="OWV35"/>
      <c r="OWW35"/>
      <c r="OWX35"/>
      <c r="OWY35"/>
      <c r="OWZ35"/>
      <c r="OXA35"/>
      <c r="OXB35"/>
      <c r="OXC35"/>
      <c r="OXD35"/>
      <c r="OXE35"/>
      <c r="OXF35"/>
      <c r="OXG35"/>
      <c r="OXH35"/>
      <c r="OXI35"/>
      <c r="OXJ35"/>
      <c r="OXK35"/>
      <c r="OXL35"/>
      <c r="OXM35"/>
      <c r="OXN35"/>
      <c r="OXO35"/>
      <c r="OXP35"/>
      <c r="OXQ35"/>
      <c r="OXR35"/>
      <c r="OXS35"/>
      <c r="OXT35"/>
      <c r="OXU35"/>
      <c r="OXV35"/>
      <c r="OXW35"/>
      <c r="OXX35"/>
      <c r="OXY35"/>
      <c r="OXZ35"/>
      <c r="OYA35"/>
      <c r="OYB35"/>
      <c r="OYC35"/>
      <c r="OYD35"/>
      <c r="OYE35"/>
      <c r="OYF35"/>
      <c r="OYG35"/>
      <c r="OYH35"/>
      <c r="OYI35"/>
      <c r="OYJ35"/>
      <c r="OYK35"/>
      <c r="OYL35"/>
      <c r="OYM35"/>
      <c r="OYN35"/>
      <c r="OYO35"/>
      <c r="OYP35"/>
      <c r="OYQ35"/>
      <c r="OYR35"/>
      <c r="OYS35"/>
      <c r="OYT35"/>
      <c r="OYU35"/>
      <c r="OYV35"/>
      <c r="OYW35"/>
      <c r="OYX35"/>
      <c r="OYY35"/>
      <c r="OYZ35"/>
      <c r="OZA35"/>
      <c r="OZB35"/>
      <c r="OZC35"/>
      <c r="OZD35"/>
      <c r="OZE35"/>
      <c r="OZF35"/>
      <c r="OZG35"/>
      <c r="OZH35"/>
      <c r="OZI35"/>
      <c r="OZJ35"/>
      <c r="OZK35"/>
      <c r="OZL35"/>
      <c r="OZM35"/>
      <c r="OZN35"/>
      <c r="OZO35"/>
      <c r="OZP35"/>
      <c r="OZQ35"/>
      <c r="OZR35"/>
      <c r="OZS35"/>
      <c r="OZT35"/>
      <c r="OZU35"/>
      <c r="OZV35"/>
      <c r="OZW35"/>
      <c r="OZX35"/>
      <c r="OZY35"/>
      <c r="OZZ35"/>
      <c r="PAA35"/>
      <c r="PAB35"/>
      <c r="PAC35"/>
      <c r="PAD35"/>
      <c r="PAE35"/>
      <c r="PAF35"/>
      <c r="PAG35"/>
      <c r="PAH35"/>
      <c r="PAI35"/>
      <c r="PAJ35"/>
      <c r="PAK35"/>
      <c r="PAL35"/>
      <c r="PAM35"/>
      <c r="PAN35"/>
      <c r="PAO35"/>
      <c r="PAP35"/>
      <c r="PAQ35"/>
      <c r="PAR35"/>
      <c r="PAS35"/>
      <c r="PAT35"/>
      <c r="PAU35"/>
      <c r="PAV35"/>
      <c r="PAW35"/>
      <c r="PAX35"/>
      <c r="PAY35"/>
      <c r="PAZ35"/>
      <c r="PBA35"/>
      <c r="PBB35"/>
      <c r="PBC35"/>
      <c r="PBD35"/>
      <c r="PBE35"/>
      <c r="PBF35"/>
      <c r="PBG35"/>
      <c r="PBH35"/>
      <c r="PBI35"/>
      <c r="PBJ35"/>
      <c r="PBK35"/>
      <c r="PBL35"/>
      <c r="PBM35"/>
      <c r="PBN35"/>
      <c r="PBO35"/>
      <c r="PBP35"/>
      <c r="PBQ35"/>
      <c r="PBR35"/>
      <c r="PBS35"/>
      <c r="PBT35"/>
      <c r="PBU35"/>
      <c r="PBV35"/>
      <c r="PBW35"/>
      <c r="PBX35"/>
      <c r="PBY35"/>
      <c r="PBZ35"/>
      <c r="PCA35"/>
      <c r="PCB35"/>
      <c r="PCC35"/>
      <c r="PCD35"/>
      <c r="PCE35"/>
      <c r="PCF35"/>
      <c r="PCG35"/>
      <c r="PCH35"/>
      <c r="PCI35"/>
      <c r="PCJ35"/>
      <c r="PCK35"/>
      <c r="PCL35"/>
      <c r="PCM35"/>
      <c r="PCN35"/>
      <c r="PCO35"/>
      <c r="PCP35"/>
      <c r="PCQ35"/>
      <c r="PCR35"/>
      <c r="PCS35"/>
      <c r="PCT35"/>
      <c r="PCU35"/>
      <c r="PCV35"/>
      <c r="PCW35"/>
      <c r="PCX35"/>
      <c r="PCY35"/>
      <c r="PCZ35"/>
      <c r="PDA35"/>
      <c r="PDB35"/>
      <c r="PDC35"/>
      <c r="PDD35"/>
      <c r="PDE35"/>
      <c r="PDF35"/>
      <c r="PDG35"/>
      <c r="PDH35"/>
      <c r="PDI35"/>
      <c r="PDJ35"/>
      <c r="PDK35"/>
      <c r="PDL35"/>
      <c r="PDM35"/>
      <c r="PDN35"/>
      <c r="PDO35"/>
      <c r="PDP35"/>
      <c r="PDQ35"/>
      <c r="PDR35"/>
      <c r="PDS35"/>
      <c r="PDT35"/>
      <c r="PDU35"/>
      <c r="PDV35"/>
      <c r="PDW35"/>
      <c r="PDX35"/>
      <c r="PDY35"/>
      <c r="PDZ35"/>
      <c r="PEA35"/>
      <c r="PEB35"/>
      <c r="PEC35"/>
      <c r="PED35"/>
      <c r="PEE35"/>
      <c r="PEF35"/>
      <c r="PEG35"/>
      <c r="PEH35"/>
      <c r="PEI35"/>
      <c r="PEJ35"/>
      <c r="PEK35"/>
      <c r="PEL35"/>
      <c r="PEM35"/>
      <c r="PEN35"/>
      <c r="PEO35"/>
      <c r="PEP35"/>
      <c r="PEQ35"/>
      <c r="PER35"/>
      <c r="PES35"/>
      <c r="PET35"/>
      <c r="PEU35"/>
      <c r="PEV35"/>
      <c r="PEW35"/>
      <c r="PEX35"/>
      <c r="PEY35"/>
      <c r="PEZ35"/>
      <c r="PFA35"/>
      <c r="PFB35"/>
      <c r="PFC35"/>
      <c r="PFD35"/>
      <c r="PFE35"/>
      <c r="PFF35"/>
      <c r="PFG35"/>
      <c r="PFH35"/>
      <c r="PFI35"/>
      <c r="PFJ35"/>
      <c r="PFK35"/>
      <c r="PFL35"/>
      <c r="PFM35"/>
      <c r="PFN35"/>
      <c r="PFO35"/>
      <c r="PFP35"/>
      <c r="PFQ35"/>
      <c r="PFR35"/>
      <c r="PFS35"/>
      <c r="PFT35"/>
      <c r="PFU35"/>
      <c r="PFV35"/>
      <c r="PFW35"/>
      <c r="PFX35"/>
      <c r="PFY35"/>
      <c r="PFZ35"/>
      <c r="PGA35"/>
      <c r="PGB35"/>
      <c r="PGC35"/>
      <c r="PGD35"/>
      <c r="PGE35"/>
      <c r="PGF35"/>
      <c r="PGG35"/>
      <c r="PGH35"/>
      <c r="PGI35"/>
      <c r="PGJ35"/>
      <c r="PGK35"/>
      <c r="PGL35"/>
      <c r="PGM35"/>
      <c r="PGN35"/>
      <c r="PGO35"/>
      <c r="PGP35"/>
      <c r="PGQ35"/>
      <c r="PGR35"/>
      <c r="PGS35"/>
      <c r="PGT35"/>
      <c r="PGU35"/>
      <c r="PGV35"/>
      <c r="PGW35"/>
      <c r="PGX35"/>
      <c r="PGY35"/>
      <c r="PGZ35"/>
      <c r="PHA35"/>
      <c r="PHB35"/>
      <c r="PHC35"/>
      <c r="PHD35"/>
      <c r="PHE35"/>
      <c r="PHF35"/>
      <c r="PHG35"/>
      <c r="PHH35"/>
      <c r="PHI35"/>
      <c r="PHJ35"/>
      <c r="PHK35"/>
      <c r="PHL35"/>
      <c r="PHM35"/>
      <c r="PHN35"/>
      <c r="PHO35"/>
      <c r="PHP35"/>
      <c r="PHQ35"/>
      <c r="PHR35"/>
      <c r="PHS35"/>
      <c r="PHT35"/>
      <c r="PHU35"/>
      <c r="PHV35"/>
      <c r="PHW35"/>
      <c r="PHX35"/>
      <c r="PHY35"/>
      <c r="PHZ35"/>
      <c r="PIA35"/>
      <c r="PIB35"/>
      <c r="PIC35"/>
      <c r="PID35"/>
      <c r="PIE35"/>
      <c r="PIF35"/>
      <c r="PIG35"/>
      <c r="PIH35"/>
      <c r="PII35"/>
      <c r="PIJ35"/>
      <c r="PIK35"/>
      <c r="PIL35"/>
      <c r="PIM35"/>
      <c r="PIN35"/>
      <c r="PIO35"/>
      <c r="PIP35"/>
      <c r="PIQ35"/>
      <c r="PIR35"/>
      <c r="PIS35"/>
      <c r="PIT35"/>
      <c r="PIU35"/>
      <c r="PIV35"/>
      <c r="PIW35"/>
      <c r="PIX35"/>
      <c r="PIY35"/>
      <c r="PIZ35"/>
      <c r="PJA35"/>
      <c r="PJB35"/>
      <c r="PJC35"/>
      <c r="PJD35"/>
      <c r="PJE35"/>
      <c r="PJF35"/>
      <c r="PJG35"/>
      <c r="PJH35"/>
      <c r="PJI35"/>
      <c r="PJJ35"/>
      <c r="PJK35"/>
      <c r="PJL35"/>
      <c r="PJM35"/>
      <c r="PJN35"/>
      <c r="PJO35"/>
      <c r="PJP35"/>
      <c r="PJQ35"/>
      <c r="PJR35"/>
      <c r="PJS35"/>
      <c r="PJT35"/>
      <c r="PJU35"/>
      <c r="PJV35"/>
      <c r="PJW35"/>
      <c r="PJX35"/>
      <c r="PJY35"/>
      <c r="PJZ35"/>
      <c r="PKA35"/>
      <c r="PKB35"/>
      <c r="PKC35"/>
      <c r="PKD35"/>
      <c r="PKE35"/>
      <c r="PKF35"/>
      <c r="PKG35"/>
      <c r="PKH35"/>
      <c r="PKI35"/>
      <c r="PKJ35"/>
      <c r="PKK35"/>
      <c r="PKL35"/>
      <c r="PKM35"/>
      <c r="PKN35"/>
      <c r="PKO35"/>
      <c r="PKP35"/>
      <c r="PKQ35"/>
      <c r="PKR35"/>
      <c r="PKS35"/>
      <c r="PKT35"/>
      <c r="PKU35"/>
      <c r="PKV35"/>
      <c r="PKW35"/>
      <c r="PKX35"/>
      <c r="PKY35"/>
      <c r="PKZ35"/>
      <c r="PLA35"/>
      <c r="PLB35"/>
      <c r="PLC35"/>
      <c r="PLD35"/>
      <c r="PLE35"/>
      <c r="PLF35"/>
      <c r="PLG35"/>
      <c r="PLH35"/>
      <c r="PLI35"/>
      <c r="PLJ35"/>
      <c r="PLK35"/>
      <c r="PLL35"/>
      <c r="PLM35"/>
      <c r="PLN35"/>
      <c r="PLO35"/>
      <c r="PLP35"/>
      <c r="PLQ35"/>
      <c r="PLR35"/>
      <c r="PLS35"/>
      <c r="PLT35"/>
      <c r="PLU35"/>
      <c r="PLV35"/>
      <c r="PLW35"/>
      <c r="PLX35"/>
      <c r="PLY35"/>
      <c r="PLZ35"/>
      <c r="PMA35"/>
      <c r="PMB35"/>
      <c r="PMC35"/>
      <c r="PMD35"/>
      <c r="PME35"/>
      <c r="PMF35"/>
      <c r="PMG35"/>
      <c r="PMH35"/>
      <c r="PMI35"/>
      <c r="PMJ35"/>
      <c r="PMK35"/>
      <c r="PML35"/>
      <c r="PMM35"/>
      <c r="PMN35"/>
      <c r="PMO35"/>
      <c r="PMP35"/>
      <c r="PMQ35"/>
      <c r="PMR35"/>
      <c r="PMS35"/>
      <c r="PMT35"/>
      <c r="PMU35"/>
      <c r="PMV35"/>
      <c r="PMW35"/>
      <c r="PMX35"/>
      <c r="PMY35"/>
      <c r="PMZ35"/>
      <c r="PNA35"/>
      <c r="PNB35"/>
      <c r="PNC35"/>
      <c r="PND35"/>
      <c r="PNE35"/>
      <c r="PNF35"/>
      <c r="PNG35"/>
      <c r="PNH35"/>
      <c r="PNI35"/>
      <c r="PNJ35"/>
      <c r="PNK35"/>
      <c r="PNL35"/>
      <c r="PNM35"/>
      <c r="PNN35"/>
      <c r="PNO35"/>
      <c r="PNP35"/>
      <c r="PNQ35"/>
      <c r="PNR35"/>
      <c r="PNS35"/>
      <c r="PNT35"/>
      <c r="PNU35"/>
      <c r="PNV35"/>
      <c r="PNW35"/>
      <c r="PNX35"/>
      <c r="PNY35"/>
      <c r="PNZ35"/>
      <c r="POA35"/>
      <c r="POB35"/>
      <c r="POC35"/>
      <c r="POD35"/>
      <c r="POE35"/>
      <c r="POF35"/>
      <c r="POG35"/>
      <c r="POH35"/>
      <c r="POI35"/>
      <c r="POJ35"/>
      <c r="POK35"/>
      <c r="POL35"/>
      <c r="POM35"/>
      <c r="PON35"/>
      <c r="POO35"/>
      <c r="POP35"/>
      <c r="POQ35"/>
      <c r="POR35"/>
      <c r="POS35"/>
      <c r="POT35"/>
      <c r="POU35"/>
      <c r="POV35"/>
      <c r="POW35"/>
      <c r="POX35"/>
      <c r="POY35"/>
      <c r="POZ35"/>
      <c r="PPA35"/>
      <c r="PPB35"/>
      <c r="PPC35"/>
      <c r="PPD35"/>
      <c r="PPE35"/>
      <c r="PPF35"/>
      <c r="PPG35"/>
      <c r="PPH35"/>
      <c r="PPI35"/>
      <c r="PPJ35"/>
      <c r="PPK35"/>
      <c r="PPL35"/>
      <c r="PPM35"/>
      <c r="PPN35"/>
      <c r="PPO35"/>
      <c r="PPP35"/>
      <c r="PPQ35"/>
      <c r="PPR35"/>
      <c r="PPS35"/>
      <c r="PPT35"/>
      <c r="PPU35"/>
      <c r="PPV35"/>
      <c r="PPW35"/>
      <c r="PPX35"/>
      <c r="PPY35"/>
      <c r="PPZ35"/>
      <c r="PQA35"/>
      <c r="PQB35"/>
      <c r="PQC35"/>
      <c r="PQD35"/>
      <c r="PQE35"/>
      <c r="PQF35"/>
      <c r="PQG35"/>
      <c r="PQH35"/>
      <c r="PQI35"/>
      <c r="PQJ35"/>
      <c r="PQK35"/>
      <c r="PQL35"/>
      <c r="PQM35"/>
      <c r="PQN35"/>
      <c r="PQO35"/>
      <c r="PQP35"/>
      <c r="PQQ35"/>
      <c r="PQR35"/>
      <c r="PQS35"/>
      <c r="PQT35"/>
      <c r="PQU35"/>
      <c r="PQV35"/>
      <c r="PQW35"/>
      <c r="PQX35"/>
      <c r="PQY35"/>
      <c r="PQZ35"/>
      <c r="PRA35"/>
      <c r="PRB35"/>
      <c r="PRC35"/>
      <c r="PRD35"/>
      <c r="PRE35"/>
      <c r="PRF35"/>
      <c r="PRG35"/>
      <c r="PRH35"/>
      <c r="PRI35"/>
      <c r="PRJ35"/>
      <c r="PRK35"/>
      <c r="PRL35"/>
      <c r="PRM35"/>
      <c r="PRN35"/>
      <c r="PRO35"/>
      <c r="PRP35"/>
      <c r="PRQ35"/>
      <c r="PRR35"/>
      <c r="PRS35"/>
      <c r="PRT35"/>
      <c r="PRU35"/>
      <c r="PRV35"/>
      <c r="PRW35"/>
      <c r="PRX35"/>
      <c r="PRY35"/>
      <c r="PRZ35"/>
      <c r="PSA35"/>
      <c r="PSB35"/>
      <c r="PSC35"/>
      <c r="PSD35"/>
      <c r="PSE35"/>
      <c r="PSF35"/>
      <c r="PSG35"/>
      <c r="PSH35"/>
      <c r="PSI35"/>
      <c r="PSJ35"/>
      <c r="PSK35"/>
      <c r="PSL35"/>
      <c r="PSM35"/>
      <c r="PSN35"/>
      <c r="PSO35"/>
      <c r="PSP35"/>
      <c r="PSQ35"/>
      <c r="PSR35"/>
      <c r="PSS35"/>
      <c r="PST35"/>
      <c r="PSU35"/>
      <c r="PSV35"/>
      <c r="PSW35"/>
      <c r="PSX35"/>
      <c r="PSY35"/>
      <c r="PSZ35"/>
      <c r="PTA35"/>
      <c r="PTB35"/>
      <c r="PTC35"/>
      <c r="PTD35"/>
      <c r="PTE35"/>
      <c r="PTF35"/>
      <c r="PTG35"/>
      <c r="PTH35"/>
      <c r="PTI35"/>
      <c r="PTJ35"/>
      <c r="PTK35"/>
      <c r="PTL35"/>
      <c r="PTM35"/>
      <c r="PTN35"/>
      <c r="PTO35"/>
      <c r="PTP35"/>
      <c r="PTQ35"/>
      <c r="PTR35"/>
      <c r="PTS35"/>
      <c r="PTT35"/>
      <c r="PTU35"/>
      <c r="PTV35"/>
      <c r="PTW35"/>
      <c r="PTX35"/>
      <c r="PTY35"/>
      <c r="PTZ35"/>
      <c r="PUA35"/>
      <c r="PUB35"/>
      <c r="PUC35"/>
      <c r="PUD35"/>
      <c r="PUE35"/>
      <c r="PUF35"/>
      <c r="PUG35"/>
      <c r="PUH35"/>
      <c r="PUI35"/>
      <c r="PUJ35"/>
      <c r="PUK35"/>
      <c r="PUL35"/>
      <c r="PUM35"/>
      <c r="PUN35"/>
      <c r="PUO35"/>
      <c r="PUP35"/>
      <c r="PUQ35"/>
      <c r="PUR35"/>
      <c r="PUS35"/>
      <c r="PUT35"/>
      <c r="PUU35"/>
      <c r="PUV35"/>
      <c r="PUW35"/>
      <c r="PUX35"/>
      <c r="PUY35"/>
      <c r="PUZ35"/>
      <c r="PVA35"/>
      <c r="PVB35"/>
      <c r="PVC35"/>
      <c r="PVD35"/>
      <c r="PVE35"/>
      <c r="PVF35"/>
      <c r="PVG35"/>
      <c r="PVH35"/>
      <c r="PVI35"/>
      <c r="PVJ35"/>
      <c r="PVK35"/>
      <c r="PVL35"/>
      <c r="PVM35"/>
      <c r="PVN35"/>
      <c r="PVO35"/>
      <c r="PVP35"/>
      <c r="PVQ35"/>
      <c r="PVR35"/>
      <c r="PVS35"/>
      <c r="PVT35"/>
      <c r="PVU35"/>
      <c r="PVV35"/>
      <c r="PVW35"/>
      <c r="PVX35"/>
      <c r="PVY35"/>
      <c r="PVZ35"/>
      <c r="PWA35"/>
      <c r="PWB35"/>
      <c r="PWC35"/>
      <c r="PWD35"/>
      <c r="PWE35"/>
      <c r="PWF35"/>
      <c r="PWG35"/>
      <c r="PWH35"/>
      <c r="PWI35"/>
      <c r="PWJ35"/>
      <c r="PWK35"/>
      <c r="PWL35"/>
      <c r="PWM35"/>
      <c r="PWN35"/>
      <c r="PWO35"/>
      <c r="PWP35"/>
      <c r="PWQ35"/>
      <c r="PWR35"/>
      <c r="PWS35"/>
      <c r="PWT35"/>
      <c r="PWU35"/>
      <c r="PWV35"/>
      <c r="PWW35"/>
      <c r="PWX35"/>
      <c r="PWY35"/>
      <c r="PWZ35"/>
      <c r="PXA35"/>
      <c r="PXB35"/>
      <c r="PXC35"/>
      <c r="PXD35"/>
      <c r="PXE35"/>
      <c r="PXF35"/>
      <c r="PXG35"/>
      <c r="PXH35"/>
      <c r="PXI35"/>
      <c r="PXJ35"/>
      <c r="PXK35"/>
      <c r="PXL35"/>
      <c r="PXM35"/>
      <c r="PXN35"/>
      <c r="PXO35"/>
      <c r="PXP35"/>
      <c r="PXQ35"/>
      <c r="PXR35"/>
      <c r="PXS35"/>
      <c r="PXT35"/>
      <c r="PXU35"/>
      <c r="PXV35"/>
      <c r="PXW35"/>
      <c r="PXX35"/>
      <c r="PXY35"/>
      <c r="PXZ35"/>
      <c r="PYA35"/>
      <c r="PYB35"/>
      <c r="PYC35"/>
      <c r="PYD35"/>
      <c r="PYE35"/>
      <c r="PYF35"/>
      <c r="PYG35"/>
      <c r="PYH35"/>
      <c r="PYI35"/>
      <c r="PYJ35"/>
      <c r="PYK35"/>
      <c r="PYL35"/>
      <c r="PYM35"/>
      <c r="PYN35"/>
      <c r="PYO35"/>
      <c r="PYP35"/>
      <c r="PYQ35"/>
      <c r="PYR35"/>
      <c r="PYS35"/>
      <c r="PYT35"/>
      <c r="PYU35"/>
      <c r="PYV35"/>
      <c r="PYW35"/>
      <c r="PYX35"/>
      <c r="PYY35"/>
      <c r="PYZ35"/>
      <c r="PZA35"/>
      <c r="PZB35"/>
      <c r="PZC35"/>
      <c r="PZD35"/>
      <c r="PZE35"/>
      <c r="PZF35"/>
      <c r="PZG35"/>
      <c r="PZH35"/>
      <c r="PZI35"/>
      <c r="PZJ35"/>
      <c r="PZK35"/>
      <c r="PZL35"/>
      <c r="PZM35"/>
      <c r="PZN35"/>
      <c r="PZO35"/>
      <c r="PZP35"/>
      <c r="PZQ35"/>
      <c r="PZR35"/>
      <c r="PZS35"/>
      <c r="PZT35"/>
      <c r="PZU35"/>
      <c r="PZV35"/>
      <c r="PZW35"/>
      <c r="PZX35"/>
      <c r="PZY35"/>
      <c r="PZZ35"/>
      <c r="QAA35"/>
      <c r="QAB35"/>
      <c r="QAC35"/>
      <c r="QAD35"/>
      <c r="QAE35"/>
      <c r="QAF35"/>
      <c r="QAG35"/>
      <c r="QAH35"/>
      <c r="QAI35"/>
      <c r="QAJ35"/>
      <c r="QAK35"/>
      <c r="QAL35"/>
      <c r="QAM35"/>
      <c r="QAN35"/>
      <c r="QAO35"/>
      <c r="QAP35"/>
      <c r="QAQ35"/>
      <c r="QAR35"/>
      <c r="QAS35"/>
      <c r="QAT35"/>
      <c r="QAU35"/>
      <c r="QAV35"/>
      <c r="QAW35"/>
      <c r="QAX35"/>
      <c r="QAY35"/>
      <c r="QAZ35"/>
      <c r="QBA35"/>
      <c r="QBB35"/>
      <c r="QBC35"/>
      <c r="QBD35"/>
      <c r="QBE35"/>
      <c r="QBF35"/>
      <c r="QBG35"/>
      <c r="QBH35"/>
      <c r="QBI35"/>
      <c r="QBJ35"/>
      <c r="QBK35"/>
      <c r="QBL35"/>
      <c r="QBM35"/>
      <c r="QBN35"/>
      <c r="QBO35"/>
      <c r="QBP35"/>
      <c r="QBQ35"/>
      <c r="QBR35"/>
      <c r="QBS35"/>
      <c r="QBT35"/>
      <c r="QBU35"/>
      <c r="QBV35"/>
      <c r="QBW35"/>
      <c r="QBX35"/>
      <c r="QBY35"/>
      <c r="QBZ35"/>
      <c r="QCA35"/>
      <c r="QCB35"/>
      <c r="QCC35"/>
      <c r="QCD35"/>
      <c r="QCE35"/>
      <c r="QCF35"/>
      <c r="QCG35"/>
      <c r="QCH35"/>
      <c r="QCI35"/>
      <c r="QCJ35"/>
      <c r="QCK35"/>
      <c r="QCL35"/>
      <c r="QCM35"/>
      <c r="QCN35"/>
      <c r="QCO35"/>
      <c r="QCP35"/>
      <c r="QCQ35"/>
      <c r="QCR35"/>
      <c r="QCS35"/>
      <c r="QCT35"/>
      <c r="QCU35"/>
      <c r="QCV35"/>
      <c r="QCW35"/>
      <c r="QCX35"/>
      <c r="QCY35"/>
      <c r="QCZ35"/>
      <c r="QDA35"/>
      <c r="QDB35"/>
      <c r="QDC35"/>
      <c r="QDD35"/>
      <c r="QDE35"/>
      <c r="QDF35"/>
      <c r="QDG35"/>
      <c r="QDH35"/>
      <c r="QDI35"/>
      <c r="QDJ35"/>
      <c r="QDK35"/>
      <c r="QDL35"/>
      <c r="QDM35"/>
      <c r="QDN35"/>
      <c r="QDO35"/>
      <c r="QDP35"/>
      <c r="QDQ35"/>
      <c r="QDR35"/>
      <c r="QDS35"/>
      <c r="QDT35"/>
      <c r="QDU35"/>
      <c r="QDV35"/>
      <c r="QDW35"/>
      <c r="QDX35"/>
      <c r="QDY35"/>
      <c r="QDZ35"/>
      <c r="QEA35"/>
      <c r="QEB35"/>
      <c r="QEC35"/>
      <c r="QED35"/>
      <c r="QEE35"/>
      <c r="QEF35"/>
      <c r="QEG35"/>
      <c r="QEH35"/>
      <c r="QEI35"/>
      <c r="QEJ35"/>
      <c r="QEK35"/>
      <c r="QEL35"/>
      <c r="QEM35"/>
      <c r="QEN35"/>
      <c r="QEO35"/>
      <c r="QEP35"/>
      <c r="QEQ35"/>
      <c r="QER35"/>
      <c r="QES35"/>
      <c r="QET35"/>
      <c r="QEU35"/>
      <c r="QEV35"/>
      <c r="QEW35"/>
      <c r="QEX35"/>
      <c r="QEY35"/>
      <c r="QEZ35"/>
      <c r="QFA35"/>
      <c r="QFB35"/>
      <c r="QFC35"/>
      <c r="QFD35"/>
      <c r="QFE35"/>
      <c r="QFF35"/>
      <c r="QFG35"/>
      <c r="QFH35"/>
      <c r="QFI35"/>
      <c r="QFJ35"/>
      <c r="QFK35"/>
      <c r="QFL35"/>
      <c r="QFM35"/>
      <c r="QFN35"/>
      <c r="QFO35"/>
      <c r="QFP35"/>
      <c r="QFQ35"/>
      <c r="QFR35"/>
      <c r="QFS35"/>
      <c r="QFT35"/>
      <c r="QFU35"/>
      <c r="QFV35"/>
      <c r="QFW35"/>
      <c r="QFX35"/>
      <c r="QFY35"/>
      <c r="QFZ35"/>
      <c r="QGA35"/>
      <c r="QGB35"/>
      <c r="QGC35"/>
      <c r="QGD35"/>
      <c r="QGE35"/>
      <c r="QGF35"/>
      <c r="QGG35"/>
      <c r="QGH35"/>
      <c r="QGI35"/>
      <c r="QGJ35"/>
      <c r="QGK35"/>
      <c r="QGL35"/>
      <c r="QGM35"/>
      <c r="QGN35"/>
      <c r="QGO35"/>
      <c r="QGP35"/>
      <c r="QGQ35"/>
      <c r="QGR35"/>
      <c r="QGS35"/>
      <c r="QGT35"/>
      <c r="QGU35"/>
      <c r="QGV35"/>
      <c r="QGW35"/>
      <c r="QGX35"/>
      <c r="QGY35"/>
      <c r="QGZ35"/>
      <c r="QHA35"/>
      <c r="QHB35"/>
      <c r="QHC35"/>
      <c r="QHD35"/>
      <c r="QHE35"/>
      <c r="QHF35"/>
      <c r="QHG35"/>
      <c r="QHH35"/>
      <c r="QHI35"/>
      <c r="QHJ35"/>
      <c r="QHK35"/>
      <c r="QHL35"/>
      <c r="QHM35"/>
      <c r="QHN35"/>
      <c r="QHO35"/>
      <c r="QHP35"/>
      <c r="QHQ35"/>
      <c r="QHR35"/>
      <c r="QHS35"/>
      <c r="QHT35"/>
      <c r="QHU35"/>
      <c r="QHV35"/>
      <c r="QHW35"/>
      <c r="QHX35"/>
      <c r="QHY35"/>
      <c r="QHZ35"/>
      <c r="QIA35"/>
      <c r="QIB35"/>
      <c r="QIC35"/>
      <c r="QID35"/>
      <c r="QIE35"/>
      <c r="QIF35"/>
      <c r="QIG35"/>
      <c r="QIH35"/>
      <c r="QII35"/>
      <c r="QIJ35"/>
      <c r="QIK35"/>
      <c r="QIL35"/>
      <c r="QIM35"/>
      <c r="QIN35"/>
      <c r="QIO35"/>
      <c r="QIP35"/>
      <c r="QIQ35"/>
      <c r="QIR35"/>
      <c r="QIS35"/>
      <c r="QIT35"/>
      <c r="QIU35"/>
      <c r="QIV35"/>
      <c r="QIW35"/>
      <c r="QIX35"/>
      <c r="QIY35"/>
      <c r="QIZ35"/>
      <c r="QJA35"/>
      <c r="QJB35"/>
      <c r="QJC35"/>
      <c r="QJD35"/>
      <c r="QJE35"/>
      <c r="QJF35"/>
      <c r="QJG35"/>
      <c r="QJH35"/>
      <c r="QJI35"/>
      <c r="QJJ35"/>
      <c r="QJK35"/>
      <c r="QJL35"/>
      <c r="QJM35"/>
      <c r="QJN35"/>
      <c r="QJO35"/>
      <c r="QJP35"/>
      <c r="QJQ35"/>
      <c r="QJR35"/>
      <c r="QJS35"/>
      <c r="QJT35"/>
      <c r="QJU35"/>
      <c r="QJV35"/>
      <c r="QJW35"/>
      <c r="QJX35"/>
      <c r="QJY35"/>
      <c r="QJZ35"/>
      <c r="QKA35"/>
      <c r="QKB35"/>
      <c r="QKC35"/>
      <c r="QKD35"/>
      <c r="QKE35"/>
      <c r="QKF35"/>
      <c r="QKG35"/>
      <c r="QKH35"/>
      <c r="QKI35"/>
      <c r="QKJ35"/>
      <c r="QKK35"/>
      <c r="QKL35"/>
      <c r="QKM35"/>
      <c r="QKN35"/>
      <c r="QKO35"/>
      <c r="QKP35"/>
      <c r="QKQ35"/>
      <c r="QKR35"/>
      <c r="QKS35"/>
      <c r="QKT35"/>
      <c r="QKU35"/>
      <c r="QKV35"/>
      <c r="QKW35"/>
      <c r="QKX35"/>
      <c r="QKY35"/>
      <c r="QKZ35"/>
      <c r="QLA35"/>
      <c r="QLB35"/>
      <c r="QLC35"/>
      <c r="QLD35"/>
      <c r="QLE35"/>
      <c r="QLF35"/>
      <c r="QLG35"/>
      <c r="QLH35"/>
      <c r="QLI35"/>
      <c r="QLJ35"/>
      <c r="QLK35"/>
      <c r="QLL35"/>
      <c r="QLM35"/>
      <c r="QLN35"/>
      <c r="QLO35"/>
      <c r="QLP35"/>
      <c r="QLQ35"/>
      <c r="QLR35"/>
      <c r="QLS35"/>
      <c r="QLT35"/>
      <c r="QLU35"/>
      <c r="QLV35"/>
      <c r="QLW35"/>
      <c r="QLX35"/>
      <c r="QLY35"/>
      <c r="QLZ35"/>
      <c r="QMA35"/>
      <c r="QMB35"/>
      <c r="QMC35"/>
      <c r="QMD35"/>
      <c r="QME35"/>
      <c r="QMF35"/>
      <c r="QMG35"/>
      <c r="QMH35"/>
      <c r="QMI35"/>
      <c r="QMJ35"/>
      <c r="QMK35"/>
      <c r="QML35"/>
      <c r="QMM35"/>
      <c r="QMN35"/>
      <c r="QMO35"/>
      <c r="QMP35"/>
      <c r="QMQ35"/>
      <c r="QMR35"/>
      <c r="QMS35"/>
      <c r="QMT35"/>
      <c r="QMU35"/>
      <c r="QMV35"/>
      <c r="QMW35"/>
      <c r="QMX35"/>
      <c r="QMY35"/>
      <c r="QMZ35"/>
      <c r="QNA35"/>
      <c r="QNB35"/>
      <c r="QNC35"/>
      <c r="QND35"/>
      <c r="QNE35"/>
      <c r="QNF35"/>
      <c r="QNG35"/>
      <c r="QNH35"/>
      <c r="QNI35"/>
      <c r="QNJ35"/>
      <c r="QNK35"/>
      <c r="QNL35"/>
      <c r="QNM35"/>
      <c r="QNN35"/>
      <c r="QNO35"/>
      <c r="QNP35"/>
      <c r="QNQ35"/>
      <c r="QNR35"/>
      <c r="QNS35"/>
      <c r="QNT35"/>
      <c r="QNU35"/>
      <c r="QNV35"/>
      <c r="QNW35"/>
      <c r="QNX35"/>
      <c r="QNY35"/>
      <c r="QNZ35"/>
      <c r="QOA35"/>
      <c r="QOB35"/>
      <c r="QOC35"/>
      <c r="QOD35"/>
      <c r="QOE35"/>
      <c r="QOF35"/>
      <c r="QOG35"/>
      <c r="QOH35"/>
      <c r="QOI35"/>
      <c r="QOJ35"/>
      <c r="QOK35"/>
      <c r="QOL35"/>
      <c r="QOM35"/>
      <c r="QON35"/>
      <c r="QOO35"/>
      <c r="QOP35"/>
      <c r="QOQ35"/>
      <c r="QOR35"/>
      <c r="QOS35"/>
      <c r="QOT35"/>
      <c r="QOU35"/>
      <c r="QOV35"/>
      <c r="QOW35"/>
      <c r="QOX35"/>
      <c r="QOY35"/>
      <c r="QOZ35"/>
      <c r="QPA35"/>
      <c r="QPB35"/>
      <c r="QPC35"/>
      <c r="QPD35"/>
      <c r="QPE35"/>
      <c r="QPF35"/>
      <c r="QPG35"/>
      <c r="QPH35"/>
      <c r="QPI35"/>
      <c r="QPJ35"/>
      <c r="QPK35"/>
      <c r="QPL35"/>
      <c r="QPM35"/>
      <c r="QPN35"/>
      <c r="QPO35"/>
      <c r="QPP35"/>
      <c r="QPQ35"/>
      <c r="QPR35"/>
      <c r="QPS35"/>
      <c r="QPT35"/>
      <c r="QPU35"/>
      <c r="QPV35"/>
      <c r="QPW35"/>
      <c r="QPX35"/>
      <c r="QPY35"/>
      <c r="QPZ35"/>
      <c r="QQA35"/>
      <c r="QQB35"/>
      <c r="QQC35"/>
      <c r="QQD35"/>
      <c r="QQE35"/>
      <c r="QQF35"/>
      <c r="QQG35"/>
      <c r="QQH35"/>
      <c r="QQI35"/>
      <c r="QQJ35"/>
      <c r="QQK35"/>
      <c r="QQL35"/>
      <c r="QQM35"/>
      <c r="QQN35"/>
      <c r="QQO35"/>
      <c r="QQP35"/>
      <c r="QQQ35"/>
      <c r="QQR35"/>
      <c r="QQS35"/>
      <c r="QQT35"/>
      <c r="QQU35"/>
      <c r="QQV35"/>
      <c r="QQW35"/>
      <c r="QQX35"/>
      <c r="QQY35"/>
      <c r="QQZ35"/>
      <c r="QRA35"/>
      <c r="QRB35"/>
      <c r="QRC35"/>
      <c r="QRD35"/>
      <c r="QRE35"/>
      <c r="QRF35"/>
      <c r="QRG35"/>
      <c r="QRH35"/>
      <c r="QRI35"/>
      <c r="QRJ35"/>
      <c r="QRK35"/>
      <c r="QRL35"/>
      <c r="QRM35"/>
      <c r="QRN35"/>
      <c r="QRO35"/>
      <c r="QRP35"/>
      <c r="QRQ35"/>
      <c r="QRR35"/>
      <c r="QRS35"/>
      <c r="QRT35"/>
      <c r="QRU35"/>
      <c r="QRV35"/>
      <c r="QRW35"/>
      <c r="QRX35"/>
      <c r="QRY35"/>
      <c r="QRZ35"/>
      <c r="QSA35"/>
      <c r="QSB35"/>
      <c r="QSC35"/>
      <c r="QSD35"/>
      <c r="QSE35"/>
      <c r="QSF35"/>
      <c r="QSG35"/>
      <c r="QSH35"/>
      <c r="QSI35"/>
      <c r="QSJ35"/>
      <c r="QSK35"/>
      <c r="QSL35"/>
      <c r="QSM35"/>
      <c r="QSN35"/>
      <c r="QSO35"/>
      <c r="QSP35"/>
      <c r="QSQ35"/>
      <c r="QSR35"/>
      <c r="QSS35"/>
      <c r="QST35"/>
      <c r="QSU35"/>
      <c r="QSV35"/>
      <c r="QSW35"/>
      <c r="QSX35"/>
      <c r="QSY35"/>
      <c r="QSZ35"/>
      <c r="QTA35"/>
      <c r="QTB35"/>
      <c r="QTC35"/>
      <c r="QTD35"/>
      <c r="QTE35"/>
      <c r="QTF35"/>
      <c r="QTG35"/>
      <c r="QTH35"/>
      <c r="QTI35"/>
      <c r="QTJ35"/>
      <c r="QTK35"/>
      <c r="QTL35"/>
      <c r="QTM35"/>
      <c r="QTN35"/>
      <c r="QTO35"/>
      <c r="QTP35"/>
      <c r="QTQ35"/>
      <c r="QTR35"/>
      <c r="QTS35"/>
      <c r="QTT35"/>
      <c r="QTU35"/>
      <c r="QTV35"/>
      <c r="QTW35"/>
      <c r="QTX35"/>
      <c r="QTY35"/>
      <c r="QTZ35"/>
      <c r="QUA35"/>
      <c r="QUB35"/>
      <c r="QUC35"/>
      <c r="QUD35"/>
      <c r="QUE35"/>
      <c r="QUF35"/>
      <c r="QUG35"/>
      <c r="QUH35"/>
      <c r="QUI35"/>
      <c r="QUJ35"/>
      <c r="QUK35"/>
      <c r="QUL35"/>
      <c r="QUM35"/>
      <c r="QUN35"/>
      <c r="QUO35"/>
      <c r="QUP35"/>
      <c r="QUQ35"/>
      <c r="QUR35"/>
      <c r="QUS35"/>
      <c r="QUT35"/>
      <c r="QUU35"/>
      <c r="QUV35"/>
      <c r="QUW35"/>
      <c r="QUX35"/>
      <c r="QUY35"/>
      <c r="QUZ35"/>
      <c r="QVA35"/>
      <c r="QVB35"/>
      <c r="QVC35"/>
      <c r="QVD35"/>
      <c r="QVE35"/>
      <c r="QVF35"/>
      <c r="QVG35"/>
      <c r="QVH35"/>
      <c r="QVI35"/>
      <c r="QVJ35"/>
      <c r="QVK35"/>
      <c r="QVL35"/>
      <c r="QVM35"/>
      <c r="QVN35"/>
      <c r="QVO35"/>
      <c r="QVP35"/>
      <c r="QVQ35"/>
      <c r="QVR35"/>
      <c r="QVS35"/>
      <c r="QVT35"/>
      <c r="QVU35"/>
      <c r="QVV35"/>
      <c r="QVW35"/>
      <c r="QVX35"/>
      <c r="QVY35"/>
      <c r="QVZ35"/>
      <c r="QWA35"/>
      <c r="QWB35"/>
      <c r="QWC35"/>
      <c r="QWD35"/>
      <c r="QWE35"/>
      <c r="QWF35"/>
      <c r="QWG35"/>
      <c r="QWH35"/>
      <c r="QWI35"/>
      <c r="QWJ35"/>
      <c r="QWK35"/>
      <c r="QWL35"/>
      <c r="QWM35"/>
      <c r="QWN35"/>
      <c r="QWO35"/>
      <c r="QWP35"/>
      <c r="QWQ35"/>
      <c r="QWR35"/>
      <c r="QWS35"/>
      <c r="QWT35"/>
      <c r="QWU35"/>
      <c r="QWV35"/>
      <c r="QWW35"/>
      <c r="QWX35"/>
      <c r="QWY35"/>
      <c r="QWZ35"/>
      <c r="QXA35"/>
      <c r="QXB35"/>
      <c r="QXC35"/>
      <c r="QXD35"/>
      <c r="QXE35"/>
      <c r="QXF35"/>
      <c r="QXG35"/>
      <c r="QXH35"/>
      <c r="QXI35"/>
      <c r="QXJ35"/>
      <c r="QXK35"/>
      <c r="QXL35"/>
      <c r="QXM35"/>
      <c r="QXN35"/>
      <c r="QXO35"/>
      <c r="QXP35"/>
      <c r="QXQ35"/>
      <c r="QXR35"/>
      <c r="QXS35"/>
      <c r="QXT35"/>
      <c r="QXU35"/>
      <c r="QXV35"/>
      <c r="QXW35"/>
      <c r="QXX35"/>
      <c r="QXY35"/>
      <c r="QXZ35"/>
      <c r="QYA35"/>
      <c r="QYB35"/>
      <c r="QYC35"/>
      <c r="QYD35"/>
      <c r="QYE35"/>
      <c r="QYF35"/>
      <c r="QYG35"/>
      <c r="QYH35"/>
      <c r="QYI35"/>
      <c r="QYJ35"/>
      <c r="QYK35"/>
      <c r="QYL35"/>
      <c r="QYM35"/>
      <c r="QYN35"/>
      <c r="QYO35"/>
      <c r="QYP35"/>
      <c r="QYQ35"/>
      <c r="QYR35"/>
      <c r="QYS35"/>
      <c r="QYT35"/>
      <c r="QYU35"/>
      <c r="QYV35"/>
      <c r="QYW35"/>
      <c r="QYX35"/>
      <c r="QYY35"/>
      <c r="QYZ35"/>
      <c r="QZA35"/>
      <c r="QZB35"/>
      <c r="QZC35"/>
      <c r="QZD35"/>
      <c r="QZE35"/>
      <c r="QZF35"/>
      <c r="QZG35"/>
      <c r="QZH35"/>
      <c r="QZI35"/>
      <c r="QZJ35"/>
      <c r="QZK35"/>
      <c r="QZL35"/>
      <c r="QZM35"/>
      <c r="QZN35"/>
      <c r="QZO35"/>
      <c r="QZP35"/>
      <c r="QZQ35"/>
      <c r="QZR35"/>
      <c r="QZS35"/>
      <c r="QZT35"/>
      <c r="QZU35"/>
      <c r="QZV35"/>
      <c r="QZW35"/>
      <c r="QZX35"/>
      <c r="QZY35"/>
      <c r="QZZ35"/>
      <c r="RAA35"/>
      <c r="RAB35"/>
      <c r="RAC35"/>
      <c r="RAD35"/>
      <c r="RAE35"/>
      <c r="RAF35"/>
      <c r="RAG35"/>
      <c r="RAH35"/>
      <c r="RAI35"/>
      <c r="RAJ35"/>
      <c r="RAK35"/>
      <c r="RAL35"/>
      <c r="RAM35"/>
      <c r="RAN35"/>
      <c r="RAO35"/>
      <c r="RAP35"/>
      <c r="RAQ35"/>
      <c r="RAR35"/>
      <c r="RAS35"/>
      <c r="RAT35"/>
      <c r="RAU35"/>
      <c r="RAV35"/>
      <c r="RAW35"/>
      <c r="RAX35"/>
      <c r="RAY35"/>
      <c r="RAZ35"/>
      <c r="RBA35"/>
      <c r="RBB35"/>
      <c r="RBC35"/>
      <c r="RBD35"/>
      <c r="RBE35"/>
      <c r="RBF35"/>
      <c r="RBG35"/>
      <c r="RBH35"/>
      <c r="RBI35"/>
      <c r="RBJ35"/>
      <c r="RBK35"/>
      <c r="RBL35"/>
      <c r="RBM35"/>
      <c r="RBN35"/>
      <c r="RBO35"/>
      <c r="RBP35"/>
      <c r="RBQ35"/>
      <c r="RBR35"/>
      <c r="RBS35"/>
      <c r="RBT35"/>
      <c r="RBU35"/>
      <c r="RBV35"/>
      <c r="RBW35"/>
      <c r="RBX35"/>
      <c r="RBY35"/>
      <c r="RBZ35"/>
      <c r="RCA35"/>
      <c r="RCB35"/>
      <c r="RCC35"/>
      <c r="RCD35"/>
      <c r="RCE35"/>
      <c r="RCF35"/>
      <c r="RCG35"/>
      <c r="RCH35"/>
      <c r="RCI35"/>
      <c r="RCJ35"/>
      <c r="RCK35"/>
      <c r="RCL35"/>
      <c r="RCM35"/>
      <c r="RCN35"/>
      <c r="RCO35"/>
      <c r="RCP35"/>
      <c r="RCQ35"/>
      <c r="RCR35"/>
      <c r="RCS35"/>
      <c r="RCT35"/>
      <c r="RCU35"/>
      <c r="RCV35"/>
      <c r="RCW35"/>
      <c r="RCX35"/>
      <c r="RCY35"/>
      <c r="RCZ35"/>
      <c r="RDA35"/>
      <c r="RDB35"/>
      <c r="RDC35"/>
      <c r="RDD35"/>
      <c r="RDE35"/>
      <c r="RDF35"/>
      <c r="RDG35"/>
      <c r="RDH35"/>
      <c r="RDI35"/>
      <c r="RDJ35"/>
      <c r="RDK35"/>
      <c r="RDL35"/>
      <c r="RDM35"/>
      <c r="RDN35"/>
      <c r="RDO35"/>
      <c r="RDP35"/>
      <c r="RDQ35"/>
      <c r="RDR35"/>
      <c r="RDS35"/>
      <c r="RDT35"/>
      <c r="RDU35"/>
      <c r="RDV35"/>
      <c r="RDW35"/>
      <c r="RDX35"/>
      <c r="RDY35"/>
      <c r="RDZ35"/>
      <c r="REA35"/>
      <c r="REB35"/>
      <c r="REC35"/>
      <c r="RED35"/>
      <c r="REE35"/>
      <c r="REF35"/>
      <c r="REG35"/>
      <c r="REH35"/>
      <c r="REI35"/>
      <c r="REJ35"/>
      <c r="REK35"/>
      <c r="REL35"/>
      <c r="REM35"/>
      <c r="REN35"/>
      <c r="REO35"/>
      <c r="REP35"/>
      <c r="REQ35"/>
      <c r="RER35"/>
      <c r="RES35"/>
      <c r="RET35"/>
      <c r="REU35"/>
      <c r="REV35"/>
      <c r="REW35"/>
      <c r="REX35"/>
      <c r="REY35"/>
      <c r="REZ35"/>
      <c r="RFA35"/>
      <c r="RFB35"/>
      <c r="RFC35"/>
      <c r="RFD35"/>
      <c r="RFE35"/>
      <c r="RFF35"/>
      <c r="RFG35"/>
      <c r="RFH35"/>
      <c r="RFI35"/>
      <c r="RFJ35"/>
      <c r="RFK35"/>
      <c r="RFL35"/>
      <c r="RFM35"/>
      <c r="RFN35"/>
      <c r="RFO35"/>
      <c r="RFP35"/>
      <c r="RFQ35"/>
      <c r="RFR35"/>
      <c r="RFS35"/>
      <c r="RFT35"/>
      <c r="RFU35"/>
      <c r="RFV35"/>
      <c r="RFW35"/>
      <c r="RFX35"/>
      <c r="RFY35"/>
      <c r="RFZ35"/>
      <c r="RGA35"/>
      <c r="RGB35"/>
      <c r="RGC35"/>
      <c r="RGD35"/>
      <c r="RGE35"/>
      <c r="RGF35"/>
      <c r="RGG35"/>
      <c r="RGH35"/>
      <c r="RGI35"/>
      <c r="RGJ35"/>
      <c r="RGK35"/>
      <c r="RGL35"/>
      <c r="RGM35"/>
      <c r="RGN35"/>
      <c r="RGO35"/>
      <c r="RGP35"/>
      <c r="RGQ35"/>
      <c r="RGR35"/>
      <c r="RGS35"/>
      <c r="RGT35"/>
      <c r="RGU35"/>
      <c r="RGV35"/>
      <c r="RGW35"/>
      <c r="RGX35"/>
      <c r="RGY35"/>
      <c r="RGZ35"/>
      <c r="RHA35"/>
      <c r="RHB35"/>
      <c r="RHC35"/>
      <c r="RHD35"/>
      <c r="RHE35"/>
      <c r="RHF35"/>
      <c r="RHG35"/>
      <c r="RHH35"/>
      <c r="RHI35"/>
      <c r="RHJ35"/>
      <c r="RHK35"/>
      <c r="RHL35"/>
      <c r="RHM35"/>
      <c r="RHN35"/>
      <c r="RHO35"/>
      <c r="RHP35"/>
      <c r="RHQ35"/>
      <c r="RHR35"/>
      <c r="RHS35"/>
      <c r="RHT35"/>
      <c r="RHU35"/>
      <c r="RHV35"/>
      <c r="RHW35"/>
      <c r="RHX35"/>
      <c r="RHY35"/>
      <c r="RHZ35"/>
      <c r="RIA35"/>
      <c r="RIB35"/>
      <c r="RIC35"/>
      <c r="RID35"/>
      <c r="RIE35"/>
      <c r="RIF35"/>
      <c r="RIG35"/>
      <c r="RIH35"/>
      <c r="RII35"/>
      <c r="RIJ35"/>
      <c r="RIK35"/>
      <c r="RIL35"/>
      <c r="RIM35"/>
      <c r="RIN35"/>
      <c r="RIO35"/>
      <c r="RIP35"/>
      <c r="RIQ35"/>
      <c r="RIR35"/>
      <c r="RIS35"/>
      <c r="RIT35"/>
      <c r="RIU35"/>
      <c r="RIV35"/>
      <c r="RIW35"/>
      <c r="RIX35"/>
      <c r="RIY35"/>
      <c r="RIZ35"/>
      <c r="RJA35"/>
      <c r="RJB35"/>
      <c r="RJC35"/>
      <c r="RJD35"/>
      <c r="RJE35"/>
      <c r="RJF35"/>
      <c r="RJG35"/>
      <c r="RJH35"/>
      <c r="RJI35"/>
      <c r="RJJ35"/>
      <c r="RJK35"/>
      <c r="RJL35"/>
      <c r="RJM35"/>
      <c r="RJN35"/>
      <c r="RJO35"/>
      <c r="RJP35"/>
      <c r="RJQ35"/>
      <c r="RJR35"/>
      <c r="RJS35"/>
      <c r="RJT35"/>
      <c r="RJU35"/>
      <c r="RJV35"/>
      <c r="RJW35"/>
      <c r="RJX35"/>
      <c r="RJY35"/>
      <c r="RJZ35"/>
      <c r="RKA35"/>
      <c r="RKB35"/>
      <c r="RKC35"/>
      <c r="RKD35"/>
      <c r="RKE35"/>
      <c r="RKF35"/>
      <c r="RKG35"/>
      <c r="RKH35"/>
      <c r="RKI35"/>
      <c r="RKJ35"/>
      <c r="RKK35"/>
      <c r="RKL35"/>
      <c r="RKM35"/>
      <c r="RKN35"/>
      <c r="RKO35"/>
      <c r="RKP35"/>
      <c r="RKQ35"/>
      <c r="RKR35"/>
      <c r="RKS35"/>
      <c r="RKT35"/>
      <c r="RKU35"/>
      <c r="RKV35"/>
      <c r="RKW35"/>
      <c r="RKX35"/>
      <c r="RKY35"/>
      <c r="RKZ35"/>
      <c r="RLA35"/>
      <c r="RLB35"/>
      <c r="RLC35"/>
      <c r="RLD35"/>
      <c r="RLE35"/>
      <c r="RLF35"/>
      <c r="RLG35"/>
      <c r="RLH35"/>
      <c r="RLI35"/>
      <c r="RLJ35"/>
      <c r="RLK35"/>
      <c r="RLL35"/>
      <c r="RLM35"/>
      <c r="RLN35"/>
      <c r="RLO35"/>
      <c r="RLP35"/>
      <c r="RLQ35"/>
      <c r="RLR35"/>
      <c r="RLS35"/>
      <c r="RLT35"/>
      <c r="RLU35"/>
      <c r="RLV35"/>
      <c r="RLW35"/>
      <c r="RLX35"/>
      <c r="RLY35"/>
      <c r="RLZ35"/>
      <c r="RMA35"/>
      <c r="RMB35"/>
      <c r="RMC35"/>
      <c r="RMD35"/>
      <c r="RME35"/>
      <c r="RMF35"/>
      <c r="RMG35"/>
      <c r="RMH35"/>
      <c r="RMI35"/>
      <c r="RMJ35"/>
      <c r="RMK35"/>
      <c r="RML35"/>
      <c r="RMM35"/>
      <c r="RMN35"/>
      <c r="RMO35"/>
      <c r="RMP35"/>
      <c r="RMQ35"/>
      <c r="RMR35"/>
      <c r="RMS35"/>
      <c r="RMT35"/>
      <c r="RMU35"/>
      <c r="RMV35"/>
      <c r="RMW35"/>
      <c r="RMX35"/>
      <c r="RMY35"/>
      <c r="RMZ35"/>
      <c r="RNA35"/>
      <c r="RNB35"/>
      <c r="RNC35"/>
      <c r="RND35"/>
      <c r="RNE35"/>
      <c r="RNF35"/>
      <c r="RNG35"/>
      <c r="RNH35"/>
      <c r="RNI35"/>
      <c r="RNJ35"/>
      <c r="RNK35"/>
      <c r="RNL35"/>
      <c r="RNM35"/>
      <c r="RNN35"/>
      <c r="RNO35"/>
      <c r="RNP35"/>
      <c r="RNQ35"/>
      <c r="RNR35"/>
      <c r="RNS35"/>
      <c r="RNT35"/>
      <c r="RNU35"/>
      <c r="RNV35"/>
      <c r="RNW35"/>
      <c r="RNX35"/>
      <c r="RNY35"/>
      <c r="RNZ35"/>
      <c r="ROA35"/>
      <c r="ROB35"/>
      <c r="ROC35"/>
      <c r="ROD35"/>
      <c r="ROE35"/>
      <c r="ROF35"/>
      <c r="ROG35"/>
      <c r="ROH35"/>
      <c r="ROI35"/>
      <c r="ROJ35"/>
      <c r="ROK35"/>
      <c r="ROL35"/>
      <c r="ROM35"/>
      <c r="RON35"/>
      <c r="ROO35"/>
      <c r="ROP35"/>
      <c r="ROQ35"/>
      <c r="ROR35"/>
      <c r="ROS35"/>
      <c r="ROT35"/>
      <c r="ROU35"/>
      <c r="ROV35"/>
      <c r="ROW35"/>
      <c r="ROX35"/>
      <c r="ROY35"/>
      <c r="ROZ35"/>
      <c r="RPA35"/>
      <c r="RPB35"/>
      <c r="RPC35"/>
      <c r="RPD35"/>
      <c r="RPE35"/>
      <c r="RPF35"/>
      <c r="RPG35"/>
      <c r="RPH35"/>
      <c r="RPI35"/>
      <c r="RPJ35"/>
      <c r="RPK35"/>
      <c r="RPL35"/>
      <c r="RPM35"/>
      <c r="RPN35"/>
      <c r="RPO35"/>
      <c r="RPP35"/>
      <c r="RPQ35"/>
      <c r="RPR35"/>
      <c r="RPS35"/>
      <c r="RPT35"/>
      <c r="RPU35"/>
      <c r="RPV35"/>
      <c r="RPW35"/>
      <c r="RPX35"/>
      <c r="RPY35"/>
      <c r="RPZ35"/>
      <c r="RQA35"/>
      <c r="RQB35"/>
      <c r="RQC35"/>
      <c r="RQD35"/>
      <c r="RQE35"/>
      <c r="RQF35"/>
      <c r="RQG35"/>
      <c r="RQH35"/>
      <c r="RQI35"/>
      <c r="RQJ35"/>
      <c r="RQK35"/>
      <c r="RQL35"/>
      <c r="RQM35"/>
      <c r="RQN35"/>
      <c r="RQO35"/>
      <c r="RQP35"/>
      <c r="RQQ35"/>
      <c r="RQR35"/>
      <c r="RQS35"/>
      <c r="RQT35"/>
      <c r="RQU35"/>
      <c r="RQV35"/>
      <c r="RQW35"/>
      <c r="RQX35"/>
      <c r="RQY35"/>
      <c r="RQZ35"/>
      <c r="RRA35"/>
      <c r="RRB35"/>
      <c r="RRC35"/>
      <c r="RRD35"/>
      <c r="RRE35"/>
      <c r="RRF35"/>
      <c r="RRG35"/>
      <c r="RRH35"/>
      <c r="RRI35"/>
      <c r="RRJ35"/>
      <c r="RRK35"/>
      <c r="RRL35"/>
      <c r="RRM35"/>
      <c r="RRN35"/>
      <c r="RRO35"/>
      <c r="RRP35"/>
      <c r="RRQ35"/>
      <c r="RRR35"/>
      <c r="RRS35"/>
      <c r="RRT35"/>
      <c r="RRU35"/>
      <c r="RRV35"/>
      <c r="RRW35"/>
      <c r="RRX35"/>
      <c r="RRY35"/>
      <c r="RRZ35"/>
      <c r="RSA35"/>
      <c r="RSB35"/>
      <c r="RSC35"/>
      <c r="RSD35"/>
      <c r="RSE35"/>
      <c r="RSF35"/>
      <c r="RSG35"/>
      <c r="RSH35"/>
      <c r="RSI35"/>
      <c r="RSJ35"/>
      <c r="RSK35"/>
      <c r="RSL35"/>
      <c r="RSM35"/>
      <c r="RSN35"/>
      <c r="RSO35"/>
      <c r="RSP35"/>
      <c r="RSQ35"/>
      <c r="RSR35"/>
      <c r="RSS35"/>
      <c r="RST35"/>
      <c r="RSU35"/>
      <c r="RSV35"/>
      <c r="RSW35"/>
      <c r="RSX35"/>
      <c r="RSY35"/>
      <c r="RSZ35"/>
      <c r="RTA35"/>
      <c r="RTB35"/>
      <c r="RTC35"/>
      <c r="RTD35"/>
      <c r="RTE35"/>
      <c r="RTF35"/>
      <c r="RTG35"/>
      <c r="RTH35"/>
      <c r="RTI35"/>
      <c r="RTJ35"/>
      <c r="RTK35"/>
      <c r="RTL35"/>
      <c r="RTM35"/>
      <c r="RTN35"/>
      <c r="RTO35"/>
      <c r="RTP35"/>
      <c r="RTQ35"/>
      <c r="RTR35"/>
      <c r="RTS35"/>
      <c r="RTT35"/>
      <c r="RTU35"/>
      <c r="RTV35"/>
      <c r="RTW35"/>
      <c r="RTX35"/>
      <c r="RTY35"/>
      <c r="RTZ35"/>
      <c r="RUA35"/>
      <c r="RUB35"/>
      <c r="RUC35"/>
      <c r="RUD35"/>
      <c r="RUE35"/>
      <c r="RUF35"/>
      <c r="RUG35"/>
      <c r="RUH35"/>
      <c r="RUI35"/>
      <c r="RUJ35"/>
      <c r="RUK35"/>
      <c r="RUL35"/>
      <c r="RUM35"/>
      <c r="RUN35"/>
      <c r="RUO35"/>
      <c r="RUP35"/>
      <c r="RUQ35"/>
      <c r="RUR35"/>
      <c r="RUS35"/>
      <c r="RUT35"/>
      <c r="RUU35"/>
      <c r="RUV35"/>
      <c r="RUW35"/>
      <c r="RUX35"/>
      <c r="RUY35"/>
      <c r="RUZ35"/>
      <c r="RVA35"/>
      <c r="RVB35"/>
      <c r="RVC35"/>
      <c r="RVD35"/>
      <c r="RVE35"/>
      <c r="RVF35"/>
      <c r="RVG35"/>
      <c r="RVH35"/>
      <c r="RVI35"/>
      <c r="RVJ35"/>
      <c r="RVK35"/>
      <c r="RVL35"/>
      <c r="RVM35"/>
      <c r="RVN35"/>
      <c r="RVO35"/>
      <c r="RVP35"/>
      <c r="RVQ35"/>
      <c r="RVR35"/>
      <c r="RVS35"/>
      <c r="RVT35"/>
      <c r="RVU35"/>
      <c r="RVV35"/>
      <c r="RVW35"/>
      <c r="RVX35"/>
      <c r="RVY35"/>
      <c r="RVZ35"/>
      <c r="RWA35"/>
      <c r="RWB35"/>
      <c r="RWC35"/>
      <c r="RWD35"/>
      <c r="RWE35"/>
      <c r="RWF35"/>
      <c r="RWG35"/>
      <c r="RWH35"/>
      <c r="RWI35"/>
      <c r="RWJ35"/>
      <c r="RWK35"/>
      <c r="RWL35"/>
      <c r="RWM35"/>
      <c r="RWN35"/>
      <c r="RWO35"/>
      <c r="RWP35"/>
      <c r="RWQ35"/>
      <c r="RWR35"/>
      <c r="RWS35"/>
      <c r="RWT35"/>
      <c r="RWU35"/>
      <c r="RWV35"/>
      <c r="RWW35"/>
      <c r="RWX35"/>
      <c r="RWY35"/>
      <c r="RWZ35"/>
      <c r="RXA35"/>
      <c r="RXB35"/>
      <c r="RXC35"/>
      <c r="RXD35"/>
      <c r="RXE35"/>
      <c r="RXF35"/>
      <c r="RXG35"/>
      <c r="RXH35"/>
      <c r="RXI35"/>
      <c r="RXJ35"/>
      <c r="RXK35"/>
      <c r="RXL35"/>
      <c r="RXM35"/>
      <c r="RXN35"/>
      <c r="RXO35"/>
      <c r="RXP35"/>
      <c r="RXQ35"/>
      <c r="RXR35"/>
      <c r="RXS35"/>
      <c r="RXT35"/>
      <c r="RXU35"/>
      <c r="RXV35"/>
      <c r="RXW35"/>
      <c r="RXX35"/>
      <c r="RXY35"/>
      <c r="RXZ35"/>
      <c r="RYA35"/>
      <c r="RYB35"/>
      <c r="RYC35"/>
      <c r="RYD35"/>
      <c r="RYE35"/>
      <c r="RYF35"/>
      <c r="RYG35"/>
      <c r="RYH35"/>
      <c r="RYI35"/>
      <c r="RYJ35"/>
      <c r="RYK35"/>
      <c r="RYL35"/>
      <c r="RYM35"/>
      <c r="RYN35"/>
      <c r="RYO35"/>
      <c r="RYP35"/>
      <c r="RYQ35"/>
      <c r="RYR35"/>
      <c r="RYS35"/>
      <c r="RYT35"/>
      <c r="RYU35"/>
      <c r="RYV35"/>
      <c r="RYW35"/>
      <c r="RYX35"/>
      <c r="RYY35"/>
      <c r="RYZ35"/>
      <c r="RZA35"/>
      <c r="RZB35"/>
      <c r="RZC35"/>
      <c r="RZD35"/>
      <c r="RZE35"/>
      <c r="RZF35"/>
      <c r="RZG35"/>
      <c r="RZH35"/>
      <c r="RZI35"/>
      <c r="RZJ35"/>
      <c r="RZK35"/>
      <c r="RZL35"/>
      <c r="RZM35"/>
      <c r="RZN35"/>
      <c r="RZO35"/>
      <c r="RZP35"/>
      <c r="RZQ35"/>
      <c r="RZR35"/>
      <c r="RZS35"/>
      <c r="RZT35"/>
      <c r="RZU35"/>
      <c r="RZV35"/>
      <c r="RZW35"/>
      <c r="RZX35"/>
      <c r="RZY35"/>
      <c r="RZZ35"/>
      <c r="SAA35"/>
      <c r="SAB35"/>
      <c r="SAC35"/>
      <c r="SAD35"/>
      <c r="SAE35"/>
      <c r="SAF35"/>
      <c r="SAG35"/>
      <c r="SAH35"/>
      <c r="SAI35"/>
      <c r="SAJ35"/>
      <c r="SAK35"/>
      <c r="SAL35"/>
      <c r="SAM35"/>
      <c r="SAN35"/>
      <c r="SAO35"/>
      <c r="SAP35"/>
      <c r="SAQ35"/>
      <c r="SAR35"/>
      <c r="SAS35"/>
      <c r="SAT35"/>
      <c r="SAU35"/>
      <c r="SAV35"/>
      <c r="SAW35"/>
      <c r="SAX35"/>
      <c r="SAY35"/>
      <c r="SAZ35"/>
      <c r="SBA35"/>
      <c r="SBB35"/>
      <c r="SBC35"/>
      <c r="SBD35"/>
      <c r="SBE35"/>
      <c r="SBF35"/>
      <c r="SBG35"/>
      <c r="SBH35"/>
      <c r="SBI35"/>
      <c r="SBJ35"/>
      <c r="SBK35"/>
      <c r="SBL35"/>
      <c r="SBM35"/>
      <c r="SBN35"/>
      <c r="SBO35"/>
      <c r="SBP35"/>
      <c r="SBQ35"/>
      <c r="SBR35"/>
      <c r="SBS35"/>
      <c r="SBT35"/>
      <c r="SBU35"/>
      <c r="SBV35"/>
      <c r="SBW35"/>
      <c r="SBX35"/>
      <c r="SBY35"/>
      <c r="SBZ35"/>
      <c r="SCA35"/>
      <c r="SCB35"/>
      <c r="SCC35"/>
      <c r="SCD35"/>
      <c r="SCE35"/>
      <c r="SCF35"/>
      <c r="SCG35"/>
      <c r="SCH35"/>
      <c r="SCI35"/>
      <c r="SCJ35"/>
      <c r="SCK35"/>
      <c r="SCL35"/>
      <c r="SCM35"/>
      <c r="SCN35"/>
      <c r="SCO35"/>
      <c r="SCP35"/>
      <c r="SCQ35"/>
      <c r="SCR35"/>
      <c r="SCS35"/>
      <c r="SCT35"/>
      <c r="SCU35"/>
      <c r="SCV35"/>
      <c r="SCW35"/>
      <c r="SCX35"/>
      <c r="SCY35"/>
      <c r="SCZ35"/>
      <c r="SDA35"/>
      <c r="SDB35"/>
      <c r="SDC35"/>
      <c r="SDD35"/>
      <c r="SDE35"/>
      <c r="SDF35"/>
      <c r="SDG35"/>
      <c r="SDH35"/>
      <c r="SDI35"/>
      <c r="SDJ35"/>
      <c r="SDK35"/>
      <c r="SDL35"/>
      <c r="SDM35"/>
      <c r="SDN35"/>
      <c r="SDO35"/>
      <c r="SDP35"/>
      <c r="SDQ35"/>
      <c r="SDR35"/>
      <c r="SDS35"/>
      <c r="SDT35"/>
      <c r="SDU35"/>
      <c r="SDV35"/>
      <c r="SDW35"/>
      <c r="SDX35"/>
      <c r="SDY35"/>
      <c r="SDZ35"/>
      <c r="SEA35"/>
      <c r="SEB35"/>
      <c r="SEC35"/>
      <c r="SED35"/>
      <c r="SEE35"/>
      <c r="SEF35"/>
      <c r="SEG35"/>
      <c r="SEH35"/>
      <c r="SEI35"/>
      <c r="SEJ35"/>
      <c r="SEK35"/>
      <c r="SEL35"/>
      <c r="SEM35"/>
      <c r="SEN35"/>
      <c r="SEO35"/>
      <c r="SEP35"/>
      <c r="SEQ35"/>
      <c r="SER35"/>
      <c r="SES35"/>
      <c r="SET35"/>
      <c r="SEU35"/>
      <c r="SEV35"/>
      <c r="SEW35"/>
      <c r="SEX35"/>
      <c r="SEY35"/>
      <c r="SEZ35"/>
      <c r="SFA35"/>
      <c r="SFB35"/>
      <c r="SFC35"/>
      <c r="SFD35"/>
      <c r="SFE35"/>
      <c r="SFF35"/>
      <c r="SFG35"/>
      <c r="SFH35"/>
      <c r="SFI35"/>
      <c r="SFJ35"/>
      <c r="SFK35"/>
      <c r="SFL35"/>
      <c r="SFM35"/>
      <c r="SFN35"/>
      <c r="SFO35"/>
      <c r="SFP35"/>
      <c r="SFQ35"/>
      <c r="SFR35"/>
      <c r="SFS35"/>
      <c r="SFT35"/>
      <c r="SFU35"/>
      <c r="SFV35"/>
      <c r="SFW35"/>
      <c r="SFX35"/>
      <c r="SFY35"/>
      <c r="SFZ35"/>
      <c r="SGA35"/>
      <c r="SGB35"/>
      <c r="SGC35"/>
      <c r="SGD35"/>
      <c r="SGE35"/>
      <c r="SGF35"/>
      <c r="SGG35"/>
      <c r="SGH35"/>
      <c r="SGI35"/>
      <c r="SGJ35"/>
      <c r="SGK35"/>
      <c r="SGL35"/>
      <c r="SGM35"/>
      <c r="SGN35"/>
      <c r="SGO35"/>
      <c r="SGP35"/>
      <c r="SGQ35"/>
      <c r="SGR35"/>
      <c r="SGS35"/>
      <c r="SGT35"/>
      <c r="SGU35"/>
      <c r="SGV35"/>
      <c r="SGW35"/>
      <c r="SGX35"/>
      <c r="SGY35"/>
      <c r="SGZ35"/>
      <c r="SHA35"/>
      <c r="SHB35"/>
      <c r="SHC35"/>
      <c r="SHD35"/>
      <c r="SHE35"/>
      <c r="SHF35"/>
      <c r="SHG35"/>
      <c r="SHH35"/>
      <c r="SHI35"/>
      <c r="SHJ35"/>
      <c r="SHK35"/>
      <c r="SHL35"/>
      <c r="SHM35"/>
      <c r="SHN35"/>
      <c r="SHO35"/>
      <c r="SHP35"/>
      <c r="SHQ35"/>
      <c r="SHR35"/>
      <c r="SHS35"/>
      <c r="SHT35"/>
      <c r="SHU35"/>
      <c r="SHV35"/>
      <c r="SHW35"/>
      <c r="SHX35"/>
      <c r="SHY35"/>
      <c r="SHZ35"/>
      <c r="SIA35"/>
      <c r="SIB35"/>
      <c r="SIC35"/>
      <c r="SID35"/>
      <c r="SIE35"/>
      <c r="SIF35"/>
      <c r="SIG35"/>
      <c r="SIH35"/>
      <c r="SII35"/>
      <c r="SIJ35"/>
      <c r="SIK35"/>
      <c r="SIL35"/>
      <c r="SIM35"/>
      <c r="SIN35"/>
      <c r="SIO35"/>
      <c r="SIP35"/>
      <c r="SIQ35"/>
      <c r="SIR35"/>
      <c r="SIS35"/>
      <c r="SIT35"/>
      <c r="SIU35"/>
      <c r="SIV35"/>
      <c r="SIW35"/>
      <c r="SIX35"/>
      <c r="SIY35"/>
      <c r="SIZ35"/>
      <c r="SJA35"/>
      <c r="SJB35"/>
      <c r="SJC35"/>
      <c r="SJD35"/>
      <c r="SJE35"/>
      <c r="SJF35"/>
      <c r="SJG35"/>
      <c r="SJH35"/>
      <c r="SJI35"/>
      <c r="SJJ35"/>
      <c r="SJK35"/>
      <c r="SJL35"/>
      <c r="SJM35"/>
      <c r="SJN35"/>
      <c r="SJO35"/>
      <c r="SJP35"/>
      <c r="SJQ35"/>
      <c r="SJR35"/>
      <c r="SJS35"/>
      <c r="SJT35"/>
      <c r="SJU35"/>
      <c r="SJV35"/>
      <c r="SJW35"/>
      <c r="SJX35"/>
      <c r="SJY35"/>
      <c r="SJZ35"/>
      <c r="SKA35"/>
      <c r="SKB35"/>
      <c r="SKC35"/>
      <c r="SKD35"/>
      <c r="SKE35"/>
      <c r="SKF35"/>
      <c r="SKG35"/>
      <c r="SKH35"/>
      <c r="SKI35"/>
      <c r="SKJ35"/>
      <c r="SKK35"/>
      <c r="SKL35"/>
      <c r="SKM35"/>
      <c r="SKN35"/>
      <c r="SKO35"/>
      <c r="SKP35"/>
      <c r="SKQ35"/>
      <c r="SKR35"/>
      <c r="SKS35"/>
      <c r="SKT35"/>
      <c r="SKU35"/>
      <c r="SKV35"/>
      <c r="SKW35"/>
      <c r="SKX35"/>
      <c r="SKY35"/>
      <c r="SKZ35"/>
      <c r="SLA35"/>
      <c r="SLB35"/>
      <c r="SLC35"/>
      <c r="SLD35"/>
      <c r="SLE35"/>
      <c r="SLF35"/>
      <c r="SLG35"/>
      <c r="SLH35"/>
      <c r="SLI35"/>
      <c r="SLJ35"/>
      <c r="SLK35"/>
      <c r="SLL35"/>
      <c r="SLM35"/>
      <c r="SLN35"/>
      <c r="SLO35"/>
      <c r="SLP35"/>
      <c r="SLQ35"/>
      <c r="SLR35"/>
      <c r="SLS35"/>
      <c r="SLT35"/>
      <c r="SLU35"/>
      <c r="SLV35"/>
      <c r="SLW35"/>
      <c r="SLX35"/>
      <c r="SLY35"/>
      <c r="SLZ35"/>
      <c r="SMA35"/>
      <c r="SMB35"/>
      <c r="SMC35"/>
      <c r="SMD35"/>
      <c r="SME35"/>
      <c r="SMF35"/>
      <c r="SMG35"/>
      <c r="SMH35"/>
      <c r="SMI35"/>
      <c r="SMJ35"/>
      <c r="SMK35"/>
      <c r="SML35"/>
      <c r="SMM35"/>
      <c r="SMN35"/>
      <c r="SMO35"/>
      <c r="SMP35"/>
      <c r="SMQ35"/>
      <c r="SMR35"/>
      <c r="SMS35"/>
      <c r="SMT35"/>
      <c r="SMU35"/>
      <c r="SMV35"/>
      <c r="SMW35"/>
      <c r="SMX35"/>
      <c r="SMY35"/>
      <c r="SMZ35"/>
      <c r="SNA35"/>
      <c r="SNB35"/>
      <c r="SNC35"/>
      <c r="SND35"/>
      <c r="SNE35"/>
      <c r="SNF35"/>
      <c r="SNG35"/>
      <c r="SNH35"/>
      <c r="SNI35"/>
      <c r="SNJ35"/>
      <c r="SNK35"/>
      <c r="SNL35"/>
      <c r="SNM35"/>
      <c r="SNN35"/>
      <c r="SNO35"/>
      <c r="SNP35"/>
      <c r="SNQ35"/>
      <c r="SNR35"/>
      <c r="SNS35"/>
      <c r="SNT35"/>
      <c r="SNU35"/>
      <c r="SNV35"/>
      <c r="SNW35"/>
      <c r="SNX35"/>
      <c r="SNY35"/>
      <c r="SNZ35"/>
      <c r="SOA35"/>
      <c r="SOB35"/>
      <c r="SOC35"/>
      <c r="SOD35"/>
      <c r="SOE35"/>
      <c r="SOF35"/>
      <c r="SOG35"/>
      <c r="SOH35"/>
      <c r="SOI35"/>
      <c r="SOJ35"/>
      <c r="SOK35"/>
      <c r="SOL35"/>
      <c r="SOM35"/>
      <c r="SON35"/>
      <c r="SOO35"/>
      <c r="SOP35"/>
      <c r="SOQ35"/>
      <c r="SOR35"/>
      <c r="SOS35"/>
      <c r="SOT35"/>
      <c r="SOU35"/>
      <c r="SOV35"/>
      <c r="SOW35"/>
      <c r="SOX35"/>
      <c r="SOY35"/>
      <c r="SOZ35"/>
      <c r="SPA35"/>
      <c r="SPB35"/>
      <c r="SPC35"/>
      <c r="SPD35"/>
      <c r="SPE35"/>
      <c r="SPF35"/>
      <c r="SPG35"/>
      <c r="SPH35"/>
      <c r="SPI35"/>
      <c r="SPJ35"/>
      <c r="SPK35"/>
      <c r="SPL35"/>
      <c r="SPM35"/>
      <c r="SPN35"/>
      <c r="SPO35"/>
      <c r="SPP35"/>
      <c r="SPQ35"/>
      <c r="SPR35"/>
      <c r="SPS35"/>
      <c r="SPT35"/>
      <c r="SPU35"/>
      <c r="SPV35"/>
      <c r="SPW35"/>
      <c r="SPX35"/>
      <c r="SPY35"/>
      <c r="SPZ35"/>
      <c r="SQA35"/>
      <c r="SQB35"/>
      <c r="SQC35"/>
      <c r="SQD35"/>
      <c r="SQE35"/>
      <c r="SQF35"/>
      <c r="SQG35"/>
      <c r="SQH35"/>
      <c r="SQI35"/>
      <c r="SQJ35"/>
      <c r="SQK35"/>
      <c r="SQL35"/>
      <c r="SQM35"/>
      <c r="SQN35"/>
      <c r="SQO35"/>
      <c r="SQP35"/>
      <c r="SQQ35"/>
      <c r="SQR35"/>
      <c r="SQS35"/>
      <c r="SQT35"/>
      <c r="SQU35"/>
      <c r="SQV35"/>
      <c r="SQW35"/>
      <c r="SQX35"/>
      <c r="SQY35"/>
      <c r="SQZ35"/>
      <c r="SRA35"/>
      <c r="SRB35"/>
      <c r="SRC35"/>
      <c r="SRD35"/>
      <c r="SRE35"/>
      <c r="SRF35"/>
      <c r="SRG35"/>
      <c r="SRH35"/>
      <c r="SRI35"/>
      <c r="SRJ35"/>
      <c r="SRK35"/>
      <c r="SRL35"/>
      <c r="SRM35"/>
      <c r="SRN35"/>
      <c r="SRO35"/>
      <c r="SRP35"/>
      <c r="SRQ35"/>
      <c r="SRR35"/>
      <c r="SRS35"/>
      <c r="SRT35"/>
      <c r="SRU35"/>
      <c r="SRV35"/>
      <c r="SRW35"/>
      <c r="SRX35"/>
      <c r="SRY35"/>
      <c r="SRZ35"/>
      <c r="SSA35"/>
      <c r="SSB35"/>
      <c r="SSC35"/>
      <c r="SSD35"/>
      <c r="SSE35"/>
      <c r="SSF35"/>
      <c r="SSG35"/>
      <c r="SSH35"/>
      <c r="SSI35"/>
      <c r="SSJ35"/>
      <c r="SSK35"/>
      <c r="SSL35"/>
      <c r="SSM35"/>
      <c r="SSN35"/>
      <c r="SSO35"/>
      <c r="SSP35"/>
      <c r="SSQ35"/>
      <c r="SSR35"/>
      <c r="SSS35"/>
      <c r="SST35"/>
      <c r="SSU35"/>
      <c r="SSV35"/>
      <c r="SSW35"/>
      <c r="SSX35"/>
      <c r="SSY35"/>
      <c r="SSZ35"/>
      <c r="STA35"/>
      <c r="STB35"/>
      <c r="STC35"/>
      <c r="STD35"/>
      <c r="STE35"/>
      <c r="STF35"/>
      <c r="STG35"/>
      <c r="STH35"/>
      <c r="STI35"/>
      <c r="STJ35"/>
      <c r="STK35"/>
      <c r="STL35"/>
      <c r="STM35"/>
      <c r="STN35"/>
      <c r="STO35"/>
      <c r="STP35"/>
      <c r="STQ35"/>
      <c r="STR35"/>
      <c r="STS35"/>
      <c r="STT35"/>
      <c r="STU35"/>
      <c r="STV35"/>
      <c r="STW35"/>
      <c r="STX35"/>
      <c r="STY35"/>
      <c r="STZ35"/>
      <c r="SUA35"/>
      <c r="SUB35"/>
      <c r="SUC35"/>
      <c r="SUD35"/>
      <c r="SUE35"/>
      <c r="SUF35"/>
      <c r="SUG35"/>
      <c r="SUH35"/>
      <c r="SUI35"/>
      <c r="SUJ35"/>
      <c r="SUK35"/>
      <c r="SUL35"/>
      <c r="SUM35"/>
      <c r="SUN35"/>
      <c r="SUO35"/>
      <c r="SUP35"/>
      <c r="SUQ35"/>
      <c r="SUR35"/>
      <c r="SUS35"/>
      <c r="SUT35"/>
      <c r="SUU35"/>
      <c r="SUV35"/>
      <c r="SUW35"/>
      <c r="SUX35"/>
      <c r="SUY35"/>
      <c r="SUZ35"/>
      <c r="SVA35"/>
      <c r="SVB35"/>
      <c r="SVC35"/>
      <c r="SVD35"/>
      <c r="SVE35"/>
      <c r="SVF35"/>
      <c r="SVG35"/>
      <c r="SVH35"/>
      <c r="SVI35"/>
      <c r="SVJ35"/>
      <c r="SVK35"/>
      <c r="SVL35"/>
      <c r="SVM35"/>
      <c r="SVN35"/>
      <c r="SVO35"/>
      <c r="SVP35"/>
      <c r="SVQ35"/>
      <c r="SVR35"/>
      <c r="SVS35"/>
      <c r="SVT35"/>
      <c r="SVU35"/>
      <c r="SVV35"/>
      <c r="SVW35"/>
      <c r="SVX35"/>
      <c r="SVY35"/>
      <c r="SVZ35"/>
      <c r="SWA35"/>
      <c r="SWB35"/>
      <c r="SWC35"/>
      <c r="SWD35"/>
      <c r="SWE35"/>
      <c r="SWF35"/>
      <c r="SWG35"/>
      <c r="SWH35"/>
      <c r="SWI35"/>
      <c r="SWJ35"/>
      <c r="SWK35"/>
      <c r="SWL35"/>
      <c r="SWM35"/>
      <c r="SWN35"/>
      <c r="SWO35"/>
      <c r="SWP35"/>
      <c r="SWQ35"/>
      <c r="SWR35"/>
      <c r="SWS35"/>
      <c r="SWT35"/>
      <c r="SWU35"/>
      <c r="SWV35"/>
      <c r="SWW35"/>
      <c r="SWX35"/>
      <c r="SWY35"/>
      <c r="SWZ35"/>
      <c r="SXA35"/>
      <c r="SXB35"/>
      <c r="SXC35"/>
      <c r="SXD35"/>
      <c r="SXE35"/>
      <c r="SXF35"/>
      <c r="SXG35"/>
      <c r="SXH35"/>
      <c r="SXI35"/>
      <c r="SXJ35"/>
      <c r="SXK35"/>
      <c r="SXL35"/>
      <c r="SXM35"/>
      <c r="SXN35"/>
      <c r="SXO35"/>
      <c r="SXP35"/>
      <c r="SXQ35"/>
      <c r="SXR35"/>
      <c r="SXS35"/>
      <c r="SXT35"/>
      <c r="SXU35"/>
      <c r="SXV35"/>
      <c r="SXW35"/>
      <c r="SXX35"/>
      <c r="SXY35"/>
      <c r="SXZ35"/>
      <c r="SYA35"/>
      <c r="SYB35"/>
      <c r="SYC35"/>
      <c r="SYD35"/>
      <c r="SYE35"/>
      <c r="SYF35"/>
      <c r="SYG35"/>
      <c r="SYH35"/>
      <c r="SYI35"/>
      <c r="SYJ35"/>
      <c r="SYK35"/>
      <c r="SYL35"/>
      <c r="SYM35"/>
      <c r="SYN35"/>
      <c r="SYO35"/>
      <c r="SYP35"/>
      <c r="SYQ35"/>
      <c r="SYR35"/>
      <c r="SYS35"/>
      <c r="SYT35"/>
      <c r="SYU35"/>
      <c r="SYV35"/>
      <c r="SYW35"/>
      <c r="SYX35"/>
      <c r="SYY35"/>
      <c r="SYZ35"/>
      <c r="SZA35"/>
      <c r="SZB35"/>
      <c r="SZC35"/>
      <c r="SZD35"/>
      <c r="SZE35"/>
      <c r="SZF35"/>
      <c r="SZG35"/>
      <c r="SZH35"/>
      <c r="SZI35"/>
      <c r="SZJ35"/>
      <c r="SZK35"/>
      <c r="SZL35"/>
      <c r="SZM35"/>
      <c r="SZN35"/>
      <c r="SZO35"/>
      <c r="SZP35"/>
      <c r="SZQ35"/>
      <c r="SZR35"/>
      <c r="SZS35"/>
      <c r="SZT35"/>
      <c r="SZU35"/>
      <c r="SZV35"/>
      <c r="SZW35"/>
      <c r="SZX35"/>
      <c r="SZY35"/>
      <c r="SZZ35"/>
      <c r="TAA35"/>
      <c r="TAB35"/>
      <c r="TAC35"/>
      <c r="TAD35"/>
      <c r="TAE35"/>
      <c r="TAF35"/>
      <c r="TAG35"/>
      <c r="TAH35"/>
      <c r="TAI35"/>
      <c r="TAJ35"/>
      <c r="TAK35"/>
      <c r="TAL35"/>
      <c r="TAM35"/>
      <c r="TAN35"/>
      <c r="TAO35"/>
      <c r="TAP35"/>
      <c r="TAQ35"/>
      <c r="TAR35"/>
      <c r="TAS35"/>
      <c r="TAT35"/>
      <c r="TAU35"/>
      <c r="TAV35"/>
      <c r="TAW35"/>
      <c r="TAX35"/>
      <c r="TAY35"/>
      <c r="TAZ35"/>
      <c r="TBA35"/>
      <c r="TBB35"/>
      <c r="TBC35"/>
      <c r="TBD35"/>
      <c r="TBE35"/>
      <c r="TBF35"/>
      <c r="TBG35"/>
      <c r="TBH35"/>
      <c r="TBI35"/>
      <c r="TBJ35"/>
      <c r="TBK35"/>
      <c r="TBL35"/>
      <c r="TBM35"/>
      <c r="TBN35"/>
      <c r="TBO35"/>
      <c r="TBP35"/>
      <c r="TBQ35"/>
      <c r="TBR35"/>
      <c r="TBS35"/>
      <c r="TBT35"/>
      <c r="TBU35"/>
      <c r="TBV35"/>
      <c r="TBW35"/>
      <c r="TBX35"/>
      <c r="TBY35"/>
      <c r="TBZ35"/>
      <c r="TCA35"/>
      <c r="TCB35"/>
      <c r="TCC35"/>
      <c r="TCD35"/>
      <c r="TCE35"/>
      <c r="TCF35"/>
      <c r="TCG35"/>
      <c r="TCH35"/>
      <c r="TCI35"/>
      <c r="TCJ35"/>
      <c r="TCK35"/>
      <c r="TCL35"/>
      <c r="TCM35"/>
      <c r="TCN35"/>
      <c r="TCO35"/>
      <c r="TCP35"/>
      <c r="TCQ35"/>
      <c r="TCR35"/>
      <c r="TCS35"/>
      <c r="TCT35"/>
      <c r="TCU35"/>
      <c r="TCV35"/>
      <c r="TCW35"/>
      <c r="TCX35"/>
      <c r="TCY35"/>
      <c r="TCZ35"/>
      <c r="TDA35"/>
      <c r="TDB35"/>
      <c r="TDC35"/>
      <c r="TDD35"/>
      <c r="TDE35"/>
      <c r="TDF35"/>
      <c r="TDG35"/>
      <c r="TDH35"/>
      <c r="TDI35"/>
      <c r="TDJ35"/>
      <c r="TDK35"/>
      <c r="TDL35"/>
      <c r="TDM35"/>
      <c r="TDN35"/>
      <c r="TDO35"/>
      <c r="TDP35"/>
      <c r="TDQ35"/>
      <c r="TDR35"/>
      <c r="TDS35"/>
      <c r="TDT35"/>
      <c r="TDU35"/>
      <c r="TDV35"/>
      <c r="TDW35"/>
      <c r="TDX35"/>
      <c r="TDY35"/>
      <c r="TDZ35"/>
      <c r="TEA35"/>
      <c r="TEB35"/>
      <c r="TEC35"/>
      <c r="TED35"/>
      <c r="TEE35"/>
      <c r="TEF35"/>
      <c r="TEG35"/>
      <c r="TEH35"/>
      <c r="TEI35"/>
      <c r="TEJ35"/>
      <c r="TEK35"/>
      <c r="TEL35"/>
      <c r="TEM35"/>
      <c r="TEN35"/>
      <c r="TEO35"/>
      <c r="TEP35"/>
      <c r="TEQ35"/>
      <c r="TER35"/>
      <c r="TES35"/>
      <c r="TET35"/>
      <c r="TEU35"/>
      <c r="TEV35"/>
      <c r="TEW35"/>
      <c r="TEX35"/>
      <c r="TEY35"/>
      <c r="TEZ35"/>
      <c r="TFA35"/>
      <c r="TFB35"/>
      <c r="TFC35"/>
      <c r="TFD35"/>
      <c r="TFE35"/>
      <c r="TFF35"/>
      <c r="TFG35"/>
      <c r="TFH35"/>
      <c r="TFI35"/>
      <c r="TFJ35"/>
      <c r="TFK35"/>
      <c r="TFL35"/>
      <c r="TFM35"/>
      <c r="TFN35"/>
      <c r="TFO35"/>
      <c r="TFP35"/>
      <c r="TFQ35"/>
      <c r="TFR35"/>
      <c r="TFS35"/>
      <c r="TFT35"/>
      <c r="TFU35"/>
      <c r="TFV35"/>
      <c r="TFW35"/>
      <c r="TFX35"/>
      <c r="TFY35"/>
      <c r="TFZ35"/>
      <c r="TGA35"/>
      <c r="TGB35"/>
      <c r="TGC35"/>
      <c r="TGD35"/>
      <c r="TGE35"/>
      <c r="TGF35"/>
      <c r="TGG35"/>
      <c r="TGH35"/>
      <c r="TGI35"/>
      <c r="TGJ35"/>
      <c r="TGK35"/>
      <c r="TGL35"/>
      <c r="TGM35"/>
      <c r="TGN35"/>
      <c r="TGO35"/>
      <c r="TGP35"/>
      <c r="TGQ35"/>
      <c r="TGR35"/>
      <c r="TGS35"/>
      <c r="TGT35"/>
      <c r="TGU35"/>
      <c r="TGV35"/>
      <c r="TGW35"/>
      <c r="TGX35"/>
      <c r="TGY35"/>
      <c r="TGZ35"/>
      <c r="THA35"/>
      <c r="THB35"/>
      <c r="THC35"/>
      <c r="THD35"/>
      <c r="THE35"/>
      <c r="THF35"/>
      <c r="THG35"/>
      <c r="THH35"/>
      <c r="THI35"/>
      <c r="THJ35"/>
      <c r="THK35"/>
      <c r="THL35"/>
      <c r="THM35"/>
      <c r="THN35"/>
      <c r="THO35"/>
      <c r="THP35"/>
      <c r="THQ35"/>
      <c r="THR35"/>
      <c r="THS35"/>
      <c r="THT35"/>
      <c r="THU35"/>
      <c r="THV35"/>
      <c r="THW35"/>
      <c r="THX35"/>
      <c r="THY35"/>
      <c r="THZ35"/>
      <c r="TIA35"/>
      <c r="TIB35"/>
      <c r="TIC35"/>
      <c r="TID35"/>
      <c r="TIE35"/>
      <c r="TIF35"/>
      <c r="TIG35"/>
      <c r="TIH35"/>
      <c r="TII35"/>
      <c r="TIJ35"/>
      <c r="TIK35"/>
      <c r="TIL35"/>
      <c r="TIM35"/>
      <c r="TIN35"/>
      <c r="TIO35"/>
      <c r="TIP35"/>
      <c r="TIQ35"/>
      <c r="TIR35"/>
      <c r="TIS35"/>
      <c r="TIT35"/>
      <c r="TIU35"/>
      <c r="TIV35"/>
      <c r="TIW35"/>
      <c r="TIX35"/>
      <c r="TIY35"/>
      <c r="TIZ35"/>
      <c r="TJA35"/>
      <c r="TJB35"/>
      <c r="TJC35"/>
      <c r="TJD35"/>
      <c r="TJE35"/>
      <c r="TJF35"/>
      <c r="TJG35"/>
      <c r="TJH35"/>
      <c r="TJI35"/>
      <c r="TJJ35"/>
      <c r="TJK35"/>
      <c r="TJL35"/>
      <c r="TJM35"/>
      <c r="TJN35"/>
      <c r="TJO35"/>
      <c r="TJP35"/>
      <c r="TJQ35"/>
      <c r="TJR35"/>
      <c r="TJS35"/>
      <c r="TJT35"/>
      <c r="TJU35"/>
      <c r="TJV35"/>
      <c r="TJW35"/>
      <c r="TJX35"/>
      <c r="TJY35"/>
      <c r="TJZ35"/>
      <c r="TKA35"/>
      <c r="TKB35"/>
      <c r="TKC35"/>
      <c r="TKD35"/>
      <c r="TKE35"/>
      <c r="TKF35"/>
      <c r="TKG35"/>
      <c r="TKH35"/>
      <c r="TKI35"/>
      <c r="TKJ35"/>
      <c r="TKK35"/>
      <c r="TKL35"/>
      <c r="TKM35"/>
      <c r="TKN35"/>
      <c r="TKO35"/>
      <c r="TKP35"/>
      <c r="TKQ35"/>
      <c r="TKR35"/>
      <c r="TKS35"/>
      <c r="TKT35"/>
      <c r="TKU35"/>
      <c r="TKV35"/>
      <c r="TKW35"/>
      <c r="TKX35"/>
      <c r="TKY35"/>
      <c r="TKZ35"/>
      <c r="TLA35"/>
      <c r="TLB35"/>
      <c r="TLC35"/>
      <c r="TLD35"/>
      <c r="TLE35"/>
      <c r="TLF35"/>
      <c r="TLG35"/>
      <c r="TLH35"/>
      <c r="TLI35"/>
      <c r="TLJ35"/>
      <c r="TLK35"/>
      <c r="TLL35"/>
      <c r="TLM35"/>
      <c r="TLN35"/>
      <c r="TLO35"/>
      <c r="TLP35"/>
      <c r="TLQ35"/>
      <c r="TLR35"/>
      <c r="TLS35"/>
      <c r="TLT35"/>
      <c r="TLU35"/>
      <c r="TLV35"/>
      <c r="TLW35"/>
      <c r="TLX35"/>
      <c r="TLY35"/>
      <c r="TLZ35"/>
      <c r="TMA35"/>
      <c r="TMB35"/>
      <c r="TMC35"/>
      <c r="TMD35"/>
      <c r="TME35"/>
      <c r="TMF35"/>
      <c r="TMG35"/>
      <c r="TMH35"/>
      <c r="TMI35"/>
      <c r="TMJ35"/>
      <c r="TMK35"/>
      <c r="TML35"/>
      <c r="TMM35"/>
      <c r="TMN35"/>
      <c r="TMO35"/>
      <c r="TMP35"/>
      <c r="TMQ35"/>
      <c r="TMR35"/>
      <c r="TMS35"/>
      <c r="TMT35"/>
      <c r="TMU35"/>
      <c r="TMV35"/>
      <c r="TMW35"/>
      <c r="TMX35"/>
      <c r="TMY35"/>
      <c r="TMZ35"/>
      <c r="TNA35"/>
      <c r="TNB35"/>
      <c r="TNC35"/>
      <c r="TND35"/>
      <c r="TNE35"/>
      <c r="TNF35"/>
      <c r="TNG35"/>
      <c r="TNH35"/>
      <c r="TNI35"/>
      <c r="TNJ35"/>
      <c r="TNK35"/>
      <c r="TNL35"/>
      <c r="TNM35"/>
      <c r="TNN35"/>
      <c r="TNO35"/>
      <c r="TNP35"/>
      <c r="TNQ35"/>
      <c r="TNR35"/>
      <c r="TNS35"/>
      <c r="TNT35"/>
      <c r="TNU35"/>
      <c r="TNV35"/>
      <c r="TNW35"/>
      <c r="TNX35"/>
      <c r="TNY35"/>
      <c r="TNZ35"/>
      <c r="TOA35"/>
      <c r="TOB35"/>
      <c r="TOC35"/>
      <c r="TOD35"/>
      <c r="TOE35"/>
      <c r="TOF35"/>
      <c r="TOG35"/>
      <c r="TOH35"/>
      <c r="TOI35"/>
      <c r="TOJ35"/>
      <c r="TOK35"/>
      <c r="TOL35"/>
      <c r="TOM35"/>
      <c r="TON35"/>
      <c r="TOO35"/>
      <c r="TOP35"/>
      <c r="TOQ35"/>
      <c r="TOR35"/>
      <c r="TOS35"/>
      <c r="TOT35"/>
      <c r="TOU35"/>
      <c r="TOV35"/>
      <c r="TOW35"/>
      <c r="TOX35"/>
      <c r="TOY35"/>
      <c r="TOZ35"/>
      <c r="TPA35"/>
      <c r="TPB35"/>
      <c r="TPC35"/>
      <c r="TPD35"/>
      <c r="TPE35"/>
      <c r="TPF35"/>
      <c r="TPG35"/>
      <c r="TPH35"/>
      <c r="TPI35"/>
      <c r="TPJ35"/>
      <c r="TPK35"/>
      <c r="TPL35"/>
      <c r="TPM35"/>
      <c r="TPN35"/>
      <c r="TPO35"/>
      <c r="TPP35"/>
      <c r="TPQ35"/>
      <c r="TPR35"/>
      <c r="TPS35"/>
      <c r="TPT35"/>
      <c r="TPU35"/>
      <c r="TPV35"/>
      <c r="TPW35"/>
      <c r="TPX35"/>
      <c r="TPY35"/>
      <c r="TPZ35"/>
      <c r="TQA35"/>
      <c r="TQB35"/>
      <c r="TQC35"/>
      <c r="TQD35"/>
      <c r="TQE35"/>
      <c r="TQF35"/>
      <c r="TQG35"/>
      <c r="TQH35"/>
      <c r="TQI35"/>
      <c r="TQJ35"/>
      <c r="TQK35"/>
      <c r="TQL35"/>
      <c r="TQM35"/>
      <c r="TQN35"/>
      <c r="TQO35"/>
      <c r="TQP35"/>
      <c r="TQQ35"/>
      <c r="TQR35"/>
      <c r="TQS35"/>
      <c r="TQT35"/>
      <c r="TQU35"/>
      <c r="TQV35"/>
      <c r="TQW35"/>
      <c r="TQX35"/>
      <c r="TQY35"/>
      <c r="TQZ35"/>
      <c r="TRA35"/>
      <c r="TRB35"/>
      <c r="TRC35"/>
      <c r="TRD35"/>
      <c r="TRE35"/>
      <c r="TRF35"/>
      <c r="TRG35"/>
      <c r="TRH35"/>
      <c r="TRI35"/>
      <c r="TRJ35"/>
      <c r="TRK35"/>
      <c r="TRL35"/>
      <c r="TRM35"/>
      <c r="TRN35"/>
      <c r="TRO35"/>
      <c r="TRP35"/>
      <c r="TRQ35"/>
      <c r="TRR35"/>
      <c r="TRS35"/>
      <c r="TRT35"/>
      <c r="TRU35"/>
      <c r="TRV35"/>
      <c r="TRW35"/>
      <c r="TRX35"/>
      <c r="TRY35"/>
      <c r="TRZ35"/>
      <c r="TSA35"/>
      <c r="TSB35"/>
      <c r="TSC35"/>
      <c r="TSD35"/>
      <c r="TSE35"/>
      <c r="TSF35"/>
      <c r="TSG35"/>
      <c r="TSH35"/>
      <c r="TSI35"/>
      <c r="TSJ35"/>
      <c r="TSK35"/>
      <c r="TSL35"/>
      <c r="TSM35"/>
      <c r="TSN35"/>
      <c r="TSO35"/>
      <c r="TSP35"/>
      <c r="TSQ35"/>
      <c r="TSR35"/>
      <c r="TSS35"/>
      <c r="TST35"/>
      <c r="TSU35"/>
      <c r="TSV35"/>
      <c r="TSW35"/>
      <c r="TSX35"/>
      <c r="TSY35"/>
      <c r="TSZ35"/>
      <c r="TTA35"/>
      <c r="TTB35"/>
      <c r="TTC35"/>
      <c r="TTD35"/>
      <c r="TTE35"/>
      <c r="TTF35"/>
      <c r="TTG35"/>
      <c r="TTH35"/>
      <c r="TTI35"/>
      <c r="TTJ35"/>
      <c r="TTK35"/>
      <c r="TTL35"/>
      <c r="TTM35"/>
      <c r="TTN35"/>
      <c r="TTO35"/>
      <c r="TTP35"/>
      <c r="TTQ35"/>
      <c r="TTR35"/>
      <c r="TTS35"/>
      <c r="TTT35"/>
      <c r="TTU35"/>
      <c r="TTV35"/>
      <c r="TTW35"/>
      <c r="TTX35"/>
      <c r="TTY35"/>
      <c r="TTZ35"/>
      <c r="TUA35"/>
      <c r="TUB35"/>
      <c r="TUC35"/>
      <c r="TUD35"/>
      <c r="TUE35"/>
      <c r="TUF35"/>
      <c r="TUG35"/>
      <c r="TUH35"/>
      <c r="TUI35"/>
      <c r="TUJ35"/>
      <c r="TUK35"/>
      <c r="TUL35"/>
      <c r="TUM35"/>
      <c r="TUN35"/>
      <c r="TUO35"/>
      <c r="TUP35"/>
      <c r="TUQ35"/>
      <c r="TUR35"/>
      <c r="TUS35"/>
      <c r="TUT35"/>
      <c r="TUU35"/>
      <c r="TUV35"/>
      <c r="TUW35"/>
      <c r="TUX35"/>
      <c r="TUY35"/>
      <c r="TUZ35"/>
      <c r="TVA35"/>
      <c r="TVB35"/>
      <c r="TVC35"/>
      <c r="TVD35"/>
      <c r="TVE35"/>
      <c r="TVF35"/>
      <c r="TVG35"/>
      <c r="TVH35"/>
      <c r="TVI35"/>
      <c r="TVJ35"/>
      <c r="TVK35"/>
      <c r="TVL35"/>
      <c r="TVM35"/>
      <c r="TVN35"/>
      <c r="TVO35"/>
      <c r="TVP35"/>
      <c r="TVQ35"/>
      <c r="TVR35"/>
      <c r="TVS35"/>
      <c r="TVT35"/>
      <c r="TVU35"/>
      <c r="TVV35"/>
      <c r="TVW35"/>
      <c r="TVX35"/>
      <c r="TVY35"/>
      <c r="TVZ35"/>
      <c r="TWA35"/>
      <c r="TWB35"/>
      <c r="TWC35"/>
      <c r="TWD35"/>
      <c r="TWE35"/>
      <c r="TWF35"/>
      <c r="TWG35"/>
      <c r="TWH35"/>
      <c r="TWI35"/>
      <c r="TWJ35"/>
      <c r="TWK35"/>
      <c r="TWL35"/>
      <c r="TWM35"/>
      <c r="TWN35"/>
      <c r="TWO35"/>
      <c r="TWP35"/>
      <c r="TWQ35"/>
      <c r="TWR35"/>
      <c r="TWS35"/>
      <c r="TWT35"/>
      <c r="TWU35"/>
      <c r="TWV35"/>
      <c r="TWW35"/>
      <c r="TWX35"/>
      <c r="TWY35"/>
      <c r="TWZ35"/>
      <c r="TXA35"/>
      <c r="TXB35"/>
      <c r="TXC35"/>
      <c r="TXD35"/>
      <c r="TXE35"/>
      <c r="TXF35"/>
      <c r="TXG35"/>
      <c r="TXH35"/>
      <c r="TXI35"/>
      <c r="TXJ35"/>
      <c r="TXK35"/>
      <c r="TXL35"/>
      <c r="TXM35"/>
      <c r="TXN35"/>
      <c r="TXO35"/>
      <c r="TXP35"/>
      <c r="TXQ35"/>
      <c r="TXR35"/>
      <c r="TXS35"/>
      <c r="TXT35"/>
      <c r="TXU35"/>
      <c r="TXV35"/>
      <c r="TXW35"/>
      <c r="TXX35"/>
      <c r="TXY35"/>
      <c r="TXZ35"/>
      <c r="TYA35"/>
      <c r="TYB35"/>
      <c r="TYC35"/>
      <c r="TYD35"/>
      <c r="TYE35"/>
      <c r="TYF35"/>
      <c r="TYG35"/>
      <c r="TYH35"/>
      <c r="TYI35"/>
      <c r="TYJ35"/>
      <c r="TYK35"/>
      <c r="TYL35"/>
      <c r="TYM35"/>
      <c r="TYN35"/>
      <c r="TYO35"/>
      <c r="TYP35"/>
      <c r="TYQ35"/>
      <c r="TYR35"/>
      <c r="TYS35"/>
      <c r="TYT35"/>
      <c r="TYU35"/>
      <c r="TYV35"/>
      <c r="TYW35"/>
      <c r="TYX35"/>
      <c r="TYY35"/>
      <c r="TYZ35"/>
      <c r="TZA35"/>
      <c r="TZB35"/>
      <c r="TZC35"/>
      <c r="TZD35"/>
      <c r="TZE35"/>
      <c r="TZF35"/>
      <c r="TZG35"/>
      <c r="TZH35"/>
      <c r="TZI35"/>
      <c r="TZJ35"/>
      <c r="TZK35"/>
      <c r="TZL35"/>
      <c r="TZM35"/>
      <c r="TZN35"/>
      <c r="TZO35"/>
      <c r="TZP35"/>
      <c r="TZQ35"/>
      <c r="TZR35"/>
      <c r="TZS35"/>
      <c r="TZT35"/>
      <c r="TZU35"/>
      <c r="TZV35"/>
      <c r="TZW35"/>
      <c r="TZX35"/>
      <c r="TZY35"/>
      <c r="TZZ35"/>
      <c r="UAA35"/>
      <c r="UAB35"/>
      <c r="UAC35"/>
      <c r="UAD35"/>
      <c r="UAE35"/>
      <c r="UAF35"/>
      <c r="UAG35"/>
      <c r="UAH35"/>
      <c r="UAI35"/>
      <c r="UAJ35"/>
      <c r="UAK35"/>
      <c r="UAL35"/>
      <c r="UAM35"/>
      <c r="UAN35"/>
      <c r="UAO35"/>
      <c r="UAP35"/>
      <c r="UAQ35"/>
      <c r="UAR35"/>
      <c r="UAS35"/>
      <c r="UAT35"/>
      <c r="UAU35"/>
      <c r="UAV35"/>
      <c r="UAW35"/>
      <c r="UAX35"/>
      <c r="UAY35"/>
      <c r="UAZ35"/>
      <c r="UBA35"/>
      <c r="UBB35"/>
      <c r="UBC35"/>
      <c r="UBD35"/>
      <c r="UBE35"/>
      <c r="UBF35"/>
      <c r="UBG35"/>
      <c r="UBH35"/>
      <c r="UBI35"/>
      <c r="UBJ35"/>
      <c r="UBK35"/>
      <c r="UBL35"/>
      <c r="UBM35"/>
      <c r="UBN35"/>
      <c r="UBO35"/>
      <c r="UBP35"/>
      <c r="UBQ35"/>
      <c r="UBR35"/>
      <c r="UBS35"/>
      <c r="UBT35"/>
      <c r="UBU35"/>
      <c r="UBV35"/>
      <c r="UBW35"/>
      <c r="UBX35"/>
      <c r="UBY35"/>
      <c r="UBZ35"/>
      <c r="UCA35"/>
      <c r="UCB35"/>
      <c r="UCC35"/>
      <c r="UCD35"/>
      <c r="UCE35"/>
      <c r="UCF35"/>
      <c r="UCG35"/>
      <c r="UCH35"/>
      <c r="UCI35"/>
      <c r="UCJ35"/>
      <c r="UCK35"/>
      <c r="UCL35"/>
      <c r="UCM35"/>
      <c r="UCN35"/>
      <c r="UCO35"/>
      <c r="UCP35"/>
      <c r="UCQ35"/>
      <c r="UCR35"/>
      <c r="UCS35"/>
      <c r="UCT35"/>
      <c r="UCU35"/>
      <c r="UCV35"/>
      <c r="UCW35"/>
      <c r="UCX35"/>
      <c r="UCY35"/>
      <c r="UCZ35"/>
      <c r="UDA35"/>
      <c r="UDB35"/>
      <c r="UDC35"/>
      <c r="UDD35"/>
      <c r="UDE35"/>
      <c r="UDF35"/>
      <c r="UDG35"/>
      <c r="UDH35"/>
      <c r="UDI35"/>
      <c r="UDJ35"/>
      <c r="UDK35"/>
      <c r="UDL35"/>
      <c r="UDM35"/>
      <c r="UDN35"/>
      <c r="UDO35"/>
      <c r="UDP35"/>
      <c r="UDQ35"/>
      <c r="UDR35"/>
      <c r="UDS35"/>
      <c r="UDT35"/>
      <c r="UDU35"/>
      <c r="UDV35"/>
      <c r="UDW35"/>
      <c r="UDX35"/>
      <c r="UDY35"/>
      <c r="UDZ35"/>
      <c r="UEA35"/>
      <c r="UEB35"/>
      <c r="UEC35"/>
      <c r="UED35"/>
      <c r="UEE35"/>
      <c r="UEF35"/>
      <c r="UEG35"/>
      <c r="UEH35"/>
      <c r="UEI35"/>
      <c r="UEJ35"/>
      <c r="UEK35"/>
      <c r="UEL35"/>
      <c r="UEM35"/>
      <c r="UEN35"/>
      <c r="UEO35"/>
      <c r="UEP35"/>
      <c r="UEQ35"/>
      <c r="UER35"/>
      <c r="UES35"/>
      <c r="UET35"/>
      <c r="UEU35"/>
      <c r="UEV35"/>
      <c r="UEW35"/>
      <c r="UEX35"/>
      <c r="UEY35"/>
      <c r="UEZ35"/>
      <c r="UFA35"/>
      <c r="UFB35"/>
      <c r="UFC35"/>
      <c r="UFD35"/>
      <c r="UFE35"/>
      <c r="UFF35"/>
      <c r="UFG35"/>
      <c r="UFH35"/>
      <c r="UFI35"/>
      <c r="UFJ35"/>
      <c r="UFK35"/>
      <c r="UFL35"/>
      <c r="UFM35"/>
      <c r="UFN35"/>
      <c r="UFO35"/>
      <c r="UFP35"/>
      <c r="UFQ35"/>
      <c r="UFR35"/>
      <c r="UFS35"/>
      <c r="UFT35"/>
      <c r="UFU35"/>
      <c r="UFV35"/>
      <c r="UFW35"/>
      <c r="UFX35"/>
      <c r="UFY35"/>
      <c r="UFZ35"/>
      <c r="UGA35"/>
      <c r="UGB35"/>
      <c r="UGC35"/>
      <c r="UGD35"/>
      <c r="UGE35"/>
      <c r="UGF35"/>
      <c r="UGG35"/>
      <c r="UGH35"/>
      <c r="UGI35"/>
      <c r="UGJ35"/>
      <c r="UGK35"/>
      <c r="UGL35"/>
      <c r="UGM35"/>
      <c r="UGN35"/>
      <c r="UGO35"/>
      <c r="UGP35"/>
      <c r="UGQ35"/>
      <c r="UGR35"/>
      <c r="UGS35"/>
      <c r="UGT35"/>
      <c r="UGU35"/>
      <c r="UGV35"/>
      <c r="UGW35"/>
      <c r="UGX35"/>
      <c r="UGY35"/>
      <c r="UGZ35"/>
      <c r="UHA35"/>
      <c r="UHB35"/>
      <c r="UHC35"/>
      <c r="UHD35"/>
      <c r="UHE35"/>
      <c r="UHF35"/>
      <c r="UHG35"/>
      <c r="UHH35"/>
      <c r="UHI35"/>
      <c r="UHJ35"/>
      <c r="UHK35"/>
      <c r="UHL35"/>
      <c r="UHM35"/>
      <c r="UHN35"/>
      <c r="UHO35"/>
      <c r="UHP35"/>
      <c r="UHQ35"/>
      <c r="UHR35"/>
      <c r="UHS35"/>
      <c r="UHT35"/>
      <c r="UHU35"/>
      <c r="UHV35"/>
      <c r="UHW35"/>
      <c r="UHX35"/>
      <c r="UHY35"/>
      <c r="UHZ35"/>
      <c r="UIA35"/>
      <c r="UIB35"/>
      <c r="UIC35"/>
      <c r="UID35"/>
      <c r="UIE35"/>
      <c r="UIF35"/>
      <c r="UIG35"/>
      <c r="UIH35"/>
      <c r="UII35"/>
      <c r="UIJ35"/>
      <c r="UIK35"/>
      <c r="UIL35"/>
      <c r="UIM35"/>
      <c r="UIN35"/>
      <c r="UIO35"/>
      <c r="UIP35"/>
      <c r="UIQ35"/>
      <c r="UIR35"/>
      <c r="UIS35"/>
      <c r="UIT35"/>
      <c r="UIU35"/>
      <c r="UIV35"/>
      <c r="UIW35"/>
      <c r="UIX35"/>
      <c r="UIY35"/>
      <c r="UIZ35"/>
      <c r="UJA35"/>
      <c r="UJB35"/>
      <c r="UJC35"/>
      <c r="UJD35"/>
      <c r="UJE35"/>
      <c r="UJF35"/>
      <c r="UJG35"/>
      <c r="UJH35"/>
      <c r="UJI35"/>
      <c r="UJJ35"/>
      <c r="UJK35"/>
      <c r="UJL35"/>
      <c r="UJM35"/>
      <c r="UJN35"/>
      <c r="UJO35"/>
      <c r="UJP35"/>
      <c r="UJQ35"/>
      <c r="UJR35"/>
      <c r="UJS35"/>
      <c r="UJT35"/>
      <c r="UJU35"/>
      <c r="UJV35"/>
      <c r="UJW35"/>
      <c r="UJX35"/>
      <c r="UJY35"/>
      <c r="UJZ35"/>
      <c r="UKA35"/>
      <c r="UKB35"/>
      <c r="UKC35"/>
      <c r="UKD35"/>
      <c r="UKE35"/>
      <c r="UKF35"/>
      <c r="UKG35"/>
      <c r="UKH35"/>
      <c r="UKI35"/>
      <c r="UKJ35"/>
      <c r="UKK35"/>
      <c r="UKL35"/>
      <c r="UKM35"/>
      <c r="UKN35"/>
      <c r="UKO35"/>
      <c r="UKP35"/>
      <c r="UKQ35"/>
      <c r="UKR35"/>
      <c r="UKS35"/>
      <c r="UKT35"/>
      <c r="UKU35"/>
      <c r="UKV35"/>
      <c r="UKW35"/>
      <c r="UKX35"/>
      <c r="UKY35"/>
      <c r="UKZ35"/>
      <c r="ULA35"/>
      <c r="ULB35"/>
      <c r="ULC35"/>
      <c r="ULD35"/>
      <c r="ULE35"/>
      <c r="ULF35"/>
      <c r="ULG35"/>
      <c r="ULH35"/>
      <c r="ULI35"/>
      <c r="ULJ35"/>
      <c r="ULK35"/>
      <c r="ULL35"/>
      <c r="ULM35"/>
      <c r="ULN35"/>
      <c r="ULO35"/>
      <c r="ULP35"/>
      <c r="ULQ35"/>
      <c r="ULR35"/>
      <c r="ULS35"/>
      <c r="ULT35"/>
      <c r="ULU35"/>
      <c r="ULV35"/>
      <c r="ULW35"/>
      <c r="ULX35"/>
      <c r="ULY35"/>
      <c r="ULZ35"/>
      <c r="UMA35"/>
      <c r="UMB35"/>
      <c r="UMC35"/>
      <c r="UMD35"/>
      <c r="UME35"/>
      <c r="UMF35"/>
      <c r="UMG35"/>
      <c r="UMH35"/>
      <c r="UMI35"/>
      <c r="UMJ35"/>
      <c r="UMK35"/>
      <c r="UML35"/>
      <c r="UMM35"/>
      <c r="UMN35"/>
      <c r="UMO35"/>
      <c r="UMP35"/>
      <c r="UMQ35"/>
      <c r="UMR35"/>
      <c r="UMS35"/>
      <c r="UMT35"/>
      <c r="UMU35"/>
      <c r="UMV35"/>
      <c r="UMW35"/>
      <c r="UMX35"/>
      <c r="UMY35"/>
      <c r="UMZ35"/>
      <c r="UNA35"/>
      <c r="UNB35"/>
      <c r="UNC35"/>
      <c r="UND35"/>
      <c r="UNE35"/>
      <c r="UNF35"/>
      <c r="UNG35"/>
      <c r="UNH35"/>
      <c r="UNI35"/>
      <c r="UNJ35"/>
      <c r="UNK35"/>
      <c r="UNL35"/>
      <c r="UNM35"/>
      <c r="UNN35"/>
      <c r="UNO35"/>
      <c r="UNP35"/>
      <c r="UNQ35"/>
      <c r="UNR35"/>
      <c r="UNS35"/>
      <c r="UNT35"/>
      <c r="UNU35"/>
      <c r="UNV35"/>
      <c r="UNW35"/>
      <c r="UNX35"/>
      <c r="UNY35"/>
      <c r="UNZ35"/>
      <c r="UOA35"/>
      <c r="UOB35"/>
      <c r="UOC35"/>
      <c r="UOD35"/>
      <c r="UOE35"/>
      <c r="UOF35"/>
      <c r="UOG35"/>
      <c r="UOH35"/>
      <c r="UOI35"/>
      <c r="UOJ35"/>
      <c r="UOK35"/>
      <c r="UOL35"/>
      <c r="UOM35"/>
      <c r="UON35"/>
      <c r="UOO35"/>
      <c r="UOP35"/>
      <c r="UOQ35"/>
      <c r="UOR35"/>
      <c r="UOS35"/>
      <c r="UOT35"/>
      <c r="UOU35"/>
      <c r="UOV35"/>
      <c r="UOW35"/>
      <c r="UOX35"/>
      <c r="UOY35"/>
      <c r="UOZ35"/>
      <c r="UPA35"/>
      <c r="UPB35"/>
      <c r="UPC35"/>
      <c r="UPD35"/>
      <c r="UPE35"/>
      <c r="UPF35"/>
      <c r="UPG35"/>
      <c r="UPH35"/>
      <c r="UPI35"/>
      <c r="UPJ35"/>
      <c r="UPK35"/>
      <c r="UPL35"/>
      <c r="UPM35"/>
      <c r="UPN35"/>
      <c r="UPO35"/>
      <c r="UPP35"/>
      <c r="UPQ35"/>
      <c r="UPR35"/>
      <c r="UPS35"/>
      <c r="UPT35"/>
      <c r="UPU35"/>
      <c r="UPV35"/>
      <c r="UPW35"/>
      <c r="UPX35"/>
      <c r="UPY35"/>
      <c r="UPZ35"/>
      <c r="UQA35"/>
      <c r="UQB35"/>
      <c r="UQC35"/>
      <c r="UQD35"/>
      <c r="UQE35"/>
      <c r="UQF35"/>
      <c r="UQG35"/>
      <c r="UQH35"/>
      <c r="UQI35"/>
      <c r="UQJ35"/>
      <c r="UQK35"/>
      <c r="UQL35"/>
      <c r="UQM35"/>
      <c r="UQN35"/>
      <c r="UQO35"/>
      <c r="UQP35"/>
      <c r="UQQ35"/>
      <c r="UQR35"/>
      <c r="UQS35"/>
      <c r="UQT35"/>
      <c r="UQU35"/>
      <c r="UQV35"/>
      <c r="UQW35"/>
      <c r="UQX35"/>
      <c r="UQY35"/>
      <c r="UQZ35"/>
      <c r="URA35"/>
      <c r="URB35"/>
      <c r="URC35"/>
      <c r="URD35"/>
      <c r="URE35"/>
      <c r="URF35"/>
      <c r="URG35"/>
      <c r="URH35"/>
      <c r="URI35"/>
      <c r="URJ35"/>
      <c r="URK35"/>
      <c r="URL35"/>
      <c r="URM35"/>
      <c r="URN35"/>
      <c r="URO35"/>
      <c r="URP35"/>
      <c r="URQ35"/>
      <c r="URR35"/>
      <c r="URS35"/>
      <c r="URT35"/>
      <c r="URU35"/>
      <c r="URV35"/>
      <c r="URW35"/>
      <c r="URX35"/>
      <c r="URY35"/>
      <c r="URZ35"/>
      <c r="USA35"/>
      <c r="USB35"/>
      <c r="USC35"/>
      <c r="USD35"/>
      <c r="USE35"/>
      <c r="USF35"/>
      <c r="USG35"/>
      <c r="USH35"/>
      <c r="USI35"/>
      <c r="USJ35"/>
      <c r="USK35"/>
      <c r="USL35"/>
      <c r="USM35"/>
      <c r="USN35"/>
      <c r="USO35"/>
      <c r="USP35"/>
      <c r="USQ35"/>
      <c r="USR35"/>
      <c r="USS35"/>
      <c r="UST35"/>
      <c r="USU35"/>
      <c r="USV35"/>
      <c r="USW35"/>
      <c r="USX35"/>
      <c r="USY35"/>
      <c r="USZ35"/>
      <c r="UTA35"/>
      <c r="UTB35"/>
      <c r="UTC35"/>
      <c r="UTD35"/>
      <c r="UTE35"/>
      <c r="UTF35"/>
      <c r="UTG35"/>
      <c r="UTH35"/>
      <c r="UTI35"/>
      <c r="UTJ35"/>
      <c r="UTK35"/>
      <c r="UTL35"/>
      <c r="UTM35"/>
      <c r="UTN35"/>
      <c r="UTO35"/>
      <c r="UTP35"/>
      <c r="UTQ35"/>
      <c r="UTR35"/>
      <c r="UTS35"/>
      <c r="UTT35"/>
      <c r="UTU35"/>
      <c r="UTV35"/>
      <c r="UTW35"/>
      <c r="UTX35"/>
      <c r="UTY35"/>
      <c r="UTZ35"/>
      <c r="UUA35"/>
      <c r="UUB35"/>
      <c r="UUC35"/>
      <c r="UUD35"/>
      <c r="UUE35"/>
      <c r="UUF35"/>
      <c r="UUG35"/>
      <c r="UUH35"/>
      <c r="UUI35"/>
      <c r="UUJ35"/>
      <c r="UUK35"/>
      <c r="UUL35"/>
      <c r="UUM35"/>
      <c r="UUN35"/>
      <c r="UUO35"/>
      <c r="UUP35"/>
      <c r="UUQ35"/>
      <c r="UUR35"/>
      <c r="UUS35"/>
      <c r="UUT35"/>
      <c r="UUU35"/>
      <c r="UUV35"/>
      <c r="UUW35"/>
      <c r="UUX35"/>
      <c r="UUY35"/>
      <c r="UUZ35"/>
      <c r="UVA35"/>
      <c r="UVB35"/>
      <c r="UVC35"/>
      <c r="UVD35"/>
      <c r="UVE35"/>
      <c r="UVF35"/>
      <c r="UVG35"/>
      <c r="UVH35"/>
      <c r="UVI35"/>
      <c r="UVJ35"/>
      <c r="UVK35"/>
      <c r="UVL35"/>
      <c r="UVM35"/>
      <c r="UVN35"/>
      <c r="UVO35"/>
      <c r="UVP35"/>
      <c r="UVQ35"/>
      <c r="UVR35"/>
      <c r="UVS35"/>
      <c r="UVT35"/>
      <c r="UVU35"/>
      <c r="UVV35"/>
      <c r="UVW35"/>
      <c r="UVX35"/>
      <c r="UVY35"/>
      <c r="UVZ35"/>
      <c r="UWA35"/>
      <c r="UWB35"/>
      <c r="UWC35"/>
      <c r="UWD35"/>
      <c r="UWE35"/>
      <c r="UWF35"/>
      <c r="UWG35"/>
      <c r="UWH35"/>
      <c r="UWI35"/>
      <c r="UWJ35"/>
      <c r="UWK35"/>
      <c r="UWL35"/>
      <c r="UWM35"/>
      <c r="UWN35"/>
      <c r="UWO35"/>
      <c r="UWP35"/>
      <c r="UWQ35"/>
      <c r="UWR35"/>
      <c r="UWS35"/>
      <c r="UWT35"/>
      <c r="UWU35"/>
      <c r="UWV35"/>
      <c r="UWW35"/>
      <c r="UWX35"/>
      <c r="UWY35"/>
      <c r="UWZ35"/>
      <c r="UXA35"/>
      <c r="UXB35"/>
      <c r="UXC35"/>
      <c r="UXD35"/>
      <c r="UXE35"/>
      <c r="UXF35"/>
      <c r="UXG35"/>
      <c r="UXH35"/>
      <c r="UXI35"/>
      <c r="UXJ35"/>
      <c r="UXK35"/>
      <c r="UXL35"/>
      <c r="UXM35"/>
      <c r="UXN35"/>
      <c r="UXO35"/>
      <c r="UXP35"/>
      <c r="UXQ35"/>
      <c r="UXR35"/>
      <c r="UXS35"/>
      <c r="UXT35"/>
      <c r="UXU35"/>
      <c r="UXV35"/>
      <c r="UXW35"/>
      <c r="UXX35"/>
      <c r="UXY35"/>
      <c r="UXZ35"/>
      <c r="UYA35"/>
      <c r="UYB35"/>
      <c r="UYC35"/>
      <c r="UYD35"/>
      <c r="UYE35"/>
      <c r="UYF35"/>
      <c r="UYG35"/>
      <c r="UYH35"/>
      <c r="UYI35"/>
      <c r="UYJ35"/>
      <c r="UYK35"/>
      <c r="UYL35"/>
      <c r="UYM35"/>
      <c r="UYN35"/>
      <c r="UYO35"/>
      <c r="UYP35"/>
      <c r="UYQ35"/>
      <c r="UYR35"/>
      <c r="UYS35"/>
      <c r="UYT35"/>
      <c r="UYU35"/>
      <c r="UYV35"/>
      <c r="UYW35"/>
      <c r="UYX35"/>
      <c r="UYY35"/>
      <c r="UYZ35"/>
      <c r="UZA35"/>
      <c r="UZB35"/>
      <c r="UZC35"/>
      <c r="UZD35"/>
      <c r="UZE35"/>
      <c r="UZF35"/>
      <c r="UZG35"/>
      <c r="UZH35"/>
      <c r="UZI35"/>
      <c r="UZJ35"/>
      <c r="UZK35"/>
      <c r="UZL35"/>
      <c r="UZM35"/>
      <c r="UZN35"/>
      <c r="UZO35"/>
      <c r="UZP35"/>
      <c r="UZQ35"/>
      <c r="UZR35"/>
      <c r="UZS35"/>
      <c r="UZT35"/>
      <c r="UZU35"/>
      <c r="UZV35"/>
      <c r="UZW35"/>
      <c r="UZX35"/>
      <c r="UZY35"/>
      <c r="UZZ35"/>
      <c r="VAA35"/>
      <c r="VAB35"/>
      <c r="VAC35"/>
      <c r="VAD35"/>
      <c r="VAE35"/>
      <c r="VAF35"/>
      <c r="VAG35"/>
      <c r="VAH35"/>
      <c r="VAI35"/>
      <c r="VAJ35"/>
      <c r="VAK35"/>
      <c r="VAL35"/>
      <c r="VAM35"/>
      <c r="VAN35"/>
      <c r="VAO35"/>
      <c r="VAP35"/>
      <c r="VAQ35"/>
      <c r="VAR35"/>
      <c r="VAS35"/>
      <c r="VAT35"/>
      <c r="VAU35"/>
      <c r="VAV35"/>
      <c r="VAW35"/>
      <c r="VAX35"/>
      <c r="VAY35"/>
      <c r="VAZ35"/>
      <c r="VBA35"/>
      <c r="VBB35"/>
      <c r="VBC35"/>
      <c r="VBD35"/>
      <c r="VBE35"/>
      <c r="VBF35"/>
      <c r="VBG35"/>
      <c r="VBH35"/>
      <c r="VBI35"/>
      <c r="VBJ35"/>
      <c r="VBK35"/>
      <c r="VBL35"/>
      <c r="VBM35"/>
      <c r="VBN35"/>
      <c r="VBO35"/>
      <c r="VBP35"/>
      <c r="VBQ35"/>
      <c r="VBR35"/>
      <c r="VBS35"/>
      <c r="VBT35"/>
      <c r="VBU35"/>
      <c r="VBV35"/>
      <c r="VBW35"/>
      <c r="VBX35"/>
      <c r="VBY35"/>
      <c r="VBZ35"/>
      <c r="VCA35"/>
      <c r="VCB35"/>
      <c r="VCC35"/>
      <c r="VCD35"/>
      <c r="VCE35"/>
      <c r="VCF35"/>
      <c r="VCG35"/>
      <c r="VCH35"/>
      <c r="VCI35"/>
      <c r="VCJ35"/>
      <c r="VCK35"/>
      <c r="VCL35"/>
      <c r="VCM35"/>
      <c r="VCN35"/>
      <c r="VCO35"/>
      <c r="VCP35"/>
      <c r="VCQ35"/>
      <c r="VCR35"/>
      <c r="VCS35"/>
      <c r="VCT35"/>
      <c r="VCU35"/>
      <c r="VCV35"/>
      <c r="VCW35"/>
      <c r="VCX35"/>
      <c r="VCY35"/>
      <c r="VCZ35"/>
      <c r="VDA35"/>
      <c r="VDB35"/>
      <c r="VDC35"/>
      <c r="VDD35"/>
      <c r="VDE35"/>
      <c r="VDF35"/>
      <c r="VDG35"/>
      <c r="VDH35"/>
      <c r="VDI35"/>
      <c r="VDJ35"/>
      <c r="VDK35"/>
      <c r="VDL35"/>
      <c r="VDM35"/>
      <c r="VDN35"/>
      <c r="VDO35"/>
      <c r="VDP35"/>
      <c r="VDQ35"/>
      <c r="VDR35"/>
      <c r="VDS35"/>
      <c r="VDT35"/>
      <c r="VDU35"/>
      <c r="VDV35"/>
      <c r="VDW35"/>
      <c r="VDX35"/>
      <c r="VDY35"/>
      <c r="VDZ35"/>
      <c r="VEA35"/>
      <c r="VEB35"/>
      <c r="VEC35"/>
      <c r="VED35"/>
      <c r="VEE35"/>
      <c r="VEF35"/>
      <c r="VEG35"/>
      <c r="VEH35"/>
      <c r="VEI35"/>
      <c r="VEJ35"/>
      <c r="VEK35"/>
      <c r="VEL35"/>
      <c r="VEM35"/>
      <c r="VEN35"/>
      <c r="VEO35"/>
      <c r="VEP35"/>
      <c r="VEQ35"/>
      <c r="VER35"/>
      <c r="VES35"/>
      <c r="VET35"/>
      <c r="VEU35"/>
      <c r="VEV35"/>
      <c r="VEW35"/>
      <c r="VEX35"/>
      <c r="VEY35"/>
      <c r="VEZ35"/>
      <c r="VFA35"/>
      <c r="VFB35"/>
      <c r="VFC35"/>
      <c r="VFD35"/>
      <c r="VFE35"/>
      <c r="VFF35"/>
      <c r="VFG35"/>
      <c r="VFH35"/>
      <c r="VFI35"/>
      <c r="VFJ35"/>
      <c r="VFK35"/>
      <c r="VFL35"/>
      <c r="VFM35"/>
      <c r="VFN35"/>
      <c r="VFO35"/>
      <c r="VFP35"/>
      <c r="VFQ35"/>
      <c r="VFR35"/>
      <c r="VFS35"/>
      <c r="VFT35"/>
      <c r="VFU35"/>
      <c r="VFV35"/>
      <c r="VFW35"/>
      <c r="VFX35"/>
      <c r="VFY35"/>
      <c r="VFZ35"/>
      <c r="VGA35"/>
      <c r="VGB35"/>
      <c r="VGC35"/>
      <c r="VGD35"/>
      <c r="VGE35"/>
      <c r="VGF35"/>
      <c r="VGG35"/>
      <c r="VGH35"/>
      <c r="VGI35"/>
      <c r="VGJ35"/>
      <c r="VGK35"/>
      <c r="VGL35"/>
      <c r="VGM35"/>
      <c r="VGN35"/>
      <c r="VGO35"/>
      <c r="VGP35"/>
      <c r="VGQ35"/>
      <c r="VGR35"/>
      <c r="VGS35"/>
      <c r="VGT35"/>
      <c r="VGU35"/>
      <c r="VGV35"/>
      <c r="VGW35"/>
      <c r="VGX35"/>
      <c r="VGY35"/>
      <c r="VGZ35"/>
      <c r="VHA35"/>
      <c r="VHB35"/>
      <c r="VHC35"/>
      <c r="VHD35"/>
      <c r="VHE35"/>
      <c r="VHF35"/>
      <c r="VHG35"/>
      <c r="VHH35"/>
      <c r="VHI35"/>
      <c r="VHJ35"/>
      <c r="VHK35"/>
      <c r="VHL35"/>
      <c r="VHM35"/>
      <c r="VHN35"/>
      <c r="VHO35"/>
      <c r="VHP35"/>
      <c r="VHQ35"/>
      <c r="VHR35"/>
      <c r="VHS35"/>
      <c r="VHT35"/>
      <c r="VHU35"/>
      <c r="VHV35"/>
      <c r="VHW35"/>
      <c r="VHX35"/>
      <c r="VHY35"/>
      <c r="VHZ35"/>
      <c r="VIA35"/>
      <c r="VIB35"/>
      <c r="VIC35"/>
      <c r="VID35"/>
      <c r="VIE35"/>
      <c r="VIF35"/>
      <c r="VIG35"/>
      <c r="VIH35"/>
      <c r="VII35"/>
      <c r="VIJ35"/>
      <c r="VIK35"/>
      <c r="VIL35"/>
      <c r="VIM35"/>
      <c r="VIN35"/>
      <c r="VIO35"/>
      <c r="VIP35"/>
      <c r="VIQ35"/>
      <c r="VIR35"/>
      <c r="VIS35"/>
      <c r="VIT35"/>
      <c r="VIU35"/>
      <c r="VIV35"/>
      <c r="VIW35"/>
      <c r="VIX35"/>
      <c r="VIY35"/>
      <c r="VIZ35"/>
      <c r="VJA35"/>
      <c r="VJB35"/>
      <c r="VJC35"/>
      <c r="VJD35"/>
      <c r="VJE35"/>
      <c r="VJF35"/>
      <c r="VJG35"/>
      <c r="VJH35"/>
      <c r="VJI35"/>
      <c r="VJJ35"/>
      <c r="VJK35"/>
      <c r="VJL35"/>
      <c r="VJM35"/>
      <c r="VJN35"/>
      <c r="VJO35"/>
      <c r="VJP35"/>
      <c r="VJQ35"/>
      <c r="VJR35"/>
      <c r="VJS35"/>
      <c r="VJT35"/>
      <c r="VJU35"/>
      <c r="VJV35"/>
      <c r="VJW35"/>
      <c r="VJX35"/>
      <c r="VJY35"/>
      <c r="VJZ35"/>
      <c r="VKA35"/>
      <c r="VKB35"/>
      <c r="VKC35"/>
      <c r="VKD35"/>
      <c r="VKE35"/>
      <c r="VKF35"/>
      <c r="VKG35"/>
      <c r="VKH35"/>
      <c r="VKI35"/>
      <c r="VKJ35"/>
      <c r="VKK35"/>
      <c r="VKL35"/>
      <c r="VKM35"/>
      <c r="VKN35"/>
      <c r="VKO35"/>
      <c r="VKP35"/>
      <c r="VKQ35"/>
      <c r="VKR35"/>
      <c r="VKS35"/>
      <c r="VKT35"/>
      <c r="VKU35"/>
      <c r="VKV35"/>
      <c r="VKW35"/>
      <c r="VKX35"/>
      <c r="VKY35"/>
      <c r="VKZ35"/>
      <c r="VLA35"/>
      <c r="VLB35"/>
      <c r="VLC35"/>
      <c r="VLD35"/>
      <c r="VLE35"/>
      <c r="VLF35"/>
      <c r="VLG35"/>
      <c r="VLH35"/>
      <c r="VLI35"/>
      <c r="VLJ35"/>
      <c r="VLK35"/>
      <c r="VLL35"/>
      <c r="VLM35"/>
      <c r="VLN35"/>
      <c r="VLO35"/>
      <c r="VLP35"/>
      <c r="VLQ35"/>
      <c r="VLR35"/>
      <c r="VLS35"/>
      <c r="VLT35"/>
      <c r="VLU35"/>
      <c r="VLV35"/>
      <c r="VLW35"/>
      <c r="VLX35"/>
      <c r="VLY35"/>
      <c r="VLZ35"/>
      <c r="VMA35"/>
      <c r="VMB35"/>
      <c r="VMC35"/>
      <c r="VMD35"/>
      <c r="VME35"/>
      <c r="VMF35"/>
      <c r="VMG35"/>
      <c r="VMH35"/>
      <c r="VMI35"/>
      <c r="VMJ35"/>
      <c r="VMK35"/>
      <c r="VML35"/>
      <c r="VMM35"/>
      <c r="VMN35"/>
      <c r="VMO35"/>
      <c r="VMP35"/>
      <c r="VMQ35"/>
      <c r="VMR35"/>
      <c r="VMS35"/>
      <c r="VMT35"/>
      <c r="VMU35"/>
      <c r="VMV35"/>
      <c r="VMW35"/>
      <c r="VMX35"/>
      <c r="VMY35"/>
      <c r="VMZ35"/>
      <c r="VNA35"/>
      <c r="VNB35"/>
      <c r="VNC35"/>
      <c r="VND35"/>
      <c r="VNE35"/>
      <c r="VNF35"/>
      <c r="VNG35"/>
      <c r="VNH35"/>
      <c r="VNI35"/>
      <c r="VNJ35"/>
      <c r="VNK35"/>
      <c r="VNL35"/>
      <c r="VNM35"/>
      <c r="VNN35"/>
      <c r="VNO35"/>
      <c r="VNP35"/>
      <c r="VNQ35"/>
      <c r="VNR35"/>
      <c r="VNS35"/>
      <c r="VNT35"/>
      <c r="VNU35"/>
      <c r="VNV35"/>
      <c r="VNW35"/>
      <c r="VNX35"/>
      <c r="VNY35"/>
      <c r="VNZ35"/>
      <c r="VOA35"/>
      <c r="VOB35"/>
      <c r="VOC35"/>
      <c r="VOD35"/>
      <c r="VOE35"/>
      <c r="VOF35"/>
      <c r="VOG35"/>
      <c r="VOH35"/>
      <c r="VOI35"/>
      <c r="VOJ35"/>
      <c r="VOK35"/>
      <c r="VOL35"/>
      <c r="VOM35"/>
      <c r="VON35"/>
      <c r="VOO35"/>
      <c r="VOP35"/>
      <c r="VOQ35"/>
      <c r="VOR35"/>
      <c r="VOS35"/>
      <c r="VOT35"/>
      <c r="VOU35"/>
      <c r="VOV35"/>
      <c r="VOW35"/>
      <c r="VOX35"/>
      <c r="VOY35"/>
      <c r="VOZ35"/>
      <c r="VPA35"/>
      <c r="VPB35"/>
      <c r="VPC35"/>
      <c r="VPD35"/>
      <c r="VPE35"/>
      <c r="VPF35"/>
      <c r="VPG35"/>
      <c r="VPH35"/>
      <c r="VPI35"/>
      <c r="VPJ35"/>
      <c r="VPK35"/>
      <c r="VPL35"/>
      <c r="VPM35"/>
      <c r="VPN35"/>
      <c r="VPO35"/>
      <c r="VPP35"/>
      <c r="VPQ35"/>
      <c r="VPR35"/>
      <c r="VPS35"/>
      <c r="VPT35"/>
      <c r="VPU35"/>
      <c r="VPV35"/>
      <c r="VPW35"/>
      <c r="VPX35"/>
      <c r="VPY35"/>
      <c r="VPZ35"/>
      <c r="VQA35"/>
      <c r="VQB35"/>
      <c r="VQC35"/>
      <c r="VQD35"/>
      <c r="VQE35"/>
      <c r="VQF35"/>
      <c r="VQG35"/>
      <c r="VQH35"/>
      <c r="VQI35"/>
      <c r="VQJ35"/>
      <c r="VQK35"/>
      <c r="VQL35"/>
      <c r="VQM35"/>
      <c r="VQN35"/>
      <c r="VQO35"/>
      <c r="VQP35"/>
      <c r="VQQ35"/>
      <c r="VQR35"/>
      <c r="VQS35"/>
      <c r="VQT35"/>
      <c r="VQU35"/>
      <c r="VQV35"/>
      <c r="VQW35"/>
      <c r="VQX35"/>
      <c r="VQY35"/>
      <c r="VQZ35"/>
      <c r="VRA35"/>
      <c r="VRB35"/>
      <c r="VRC35"/>
      <c r="VRD35"/>
      <c r="VRE35"/>
      <c r="VRF35"/>
      <c r="VRG35"/>
      <c r="VRH35"/>
      <c r="VRI35"/>
      <c r="VRJ35"/>
      <c r="VRK35"/>
      <c r="VRL35"/>
      <c r="VRM35"/>
      <c r="VRN35"/>
      <c r="VRO35"/>
      <c r="VRP35"/>
      <c r="VRQ35"/>
      <c r="VRR35"/>
      <c r="VRS35"/>
      <c r="VRT35"/>
      <c r="VRU35"/>
      <c r="VRV35"/>
      <c r="VRW35"/>
      <c r="VRX35"/>
      <c r="VRY35"/>
      <c r="VRZ35"/>
      <c r="VSA35"/>
      <c r="VSB35"/>
      <c r="VSC35"/>
      <c r="VSD35"/>
      <c r="VSE35"/>
      <c r="VSF35"/>
      <c r="VSG35"/>
      <c r="VSH35"/>
      <c r="VSI35"/>
      <c r="VSJ35"/>
      <c r="VSK35"/>
      <c r="VSL35"/>
      <c r="VSM35"/>
      <c r="VSN35"/>
      <c r="VSO35"/>
      <c r="VSP35"/>
      <c r="VSQ35"/>
      <c r="VSR35"/>
      <c r="VSS35"/>
      <c r="VST35"/>
      <c r="VSU35"/>
      <c r="VSV35"/>
      <c r="VSW35"/>
      <c r="VSX35"/>
      <c r="VSY35"/>
      <c r="VSZ35"/>
      <c r="VTA35"/>
      <c r="VTB35"/>
      <c r="VTC35"/>
      <c r="VTD35"/>
      <c r="VTE35"/>
      <c r="VTF35"/>
      <c r="VTG35"/>
      <c r="VTH35"/>
      <c r="VTI35"/>
      <c r="VTJ35"/>
      <c r="VTK35"/>
      <c r="VTL35"/>
      <c r="VTM35"/>
      <c r="VTN35"/>
      <c r="VTO35"/>
      <c r="VTP35"/>
      <c r="VTQ35"/>
      <c r="VTR35"/>
      <c r="VTS35"/>
      <c r="VTT35"/>
      <c r="VTU35"/>
      <c r="VTV35"/>
      <c r="VTW35"/>
      <c r="VTX35"/>
      <c r="VTY35"/>
      <c r="VTZ35"/>
      <c r="VUA35"/>
      <c r="VUB35"/>
      <c r="VUC35"/>
      <c r="VUD35"/>
      <c r="VUE35"/>
      <c r="VUF35"/>
      <c r="VUG35"/>
      <c r="VUH35"/>
      <c r="VUI35"/>
      <c r="VUJ35"/>
      <c r="VUK35"/>
      <c r="VUL35"/>
      <c r="VUM35"/>
      <c r="VUN35"/>
      <c r="VUO35"/>
      <c r="VUP35"/>
      <c r="VUQ35"/>
      <c r="VUR35"/>
      <c r="VUS35"/>
      <c r="VUT35"/>
      <c r="VUU35"/>
      <c r="VUV35"/>
      <c r="VUW35"/>
      <c r="VUX35"/>
      <c r="VUY35"/>
      <c r="VUZ35"/>
      <c r="VVA35"/>
      <c r="VVB35"/>
      <c r="VVC35"/>
      <c r="VVD35"/>
      <c r="VVE35"/>
      <c r="VVF35"/>
      <c r="VVG35"/>
      <c r="VVH35"/>
      <c r="VVI35"/>
      <c r="VVJ35"/>
      <c r="VVK35"/>
      <c r="VVL35"/>
      <c r="VVM35"/>
      <c r="VVN35"/>
      <c r="VVO35"/>
      <c r="VVP35"/>
      <c r="VVQ35"/>
      <c r="VVR35"/>
      <c r="VVS35"/>
      <c r="VVT35"/>
      <c r="VVU35"/>
      <c r="VVV35"/>
      <c r="VVW35"/>
      <c r="VVX35"/>
      <c r="VVY35"/>
      <c r="VVZ35"/>
      <c r="VWA35"/>
      <c r="VWB35"/>
      <c r="VWC35"/>
      <c r="VWD35"/>
      <c r="VWE35"/>
      <c r="VWF35"/>
      <c r="VWG35"/>
      <c r="VWH35"/>
      <c r="VWI35"/>
      <c r="VWJ35"/>
      <c r="VWK35"/>
      <c r="VWL35"/>
      <c r="VWM35"/>
      <c r="VWN35"/>
      <c r="VWO35"/>
      <c r="VWP35"/>
      <c r="VWQ35"/>
      <c r="VWR35"/>
      <c r="VWS35"/>
      <c r="VWT35"/>
      <c r="VWU35"/>
      <c r="VWV35"/>
      <c r="VWW35"/>
      <c r="VWX35"/>
      <c r="VWY35"/>
      <c r="VWZ35"/>
      <c r="VXA35"/>
      <c r="VXB35"/>
      <c r="VXC35"/>
      <c r="VXD35"/>
      <c r="VXE35"/>
      <c r="VXF35"/>
      <c r="VXG35"/>
      <c r="VXH35"/>
      <c r="VXI35"/>
      <c r="VXJ35"/>
      <c r="VXK35"/>
      <c r="VXL35"/>
      <c r="VXM35"/>
      <c r="VXN35"/>
      <c r="VXO35"/>
      <c r="VXP35"/>
      <c r="VXQ35"/>
      <c r="VXR35"/>
      <c r="VXS35"/>
      <c r="VXT35"/>
      <c r="VXU35"/>
      <c r="VXV35"/>
      <c r="VXW35"/>
      <c r="VXX35"/>
      <c r="VXY35"/>
      <c r="VXZ35"/>
      <c r="VYA35"/>
      <c r="VYB35"/>
      <c r="VYC35"/>
      <c r="VYD35"/>
      <c r="VYE35"/>
      <c r="VYF35"/>
      <c r="VYG35"/>
      <c r="VYH35"/>
      <c r="VYI35"/>
      <c r="VYJ35"/>
      <c r="VYK35"/>
      <c r="VYL35"/>
      <c r="VYM35"/>
      <c r="VYN35"/>
      <c r="VYO35"/>
      <c r="VYP35"/>
      <c r="VYQ35"/>
      <c r="VYR35"/>
      <c r="VYS35"/>
      <c r="VYT35"/>
      <c r="VYU35"/>
      <c r="VYV35"/>
      <c r="VYW35"/>
      <c r="VYX35"/>
      <c r="VYY35"/>
      <c r="VYZ35"/>
      <c r="VZA35"/>
      <c r="VZB35"/>
      <c r="VZC35"/>
      <c r="VZD35"/>
      <c r="VZE35"/>
      <c r="VZF35"/>
      <c r="VZG35"/>
      <c r="VZH35"/>
      <c r="VZI35"/>
      <c r="VZJ35"/>
      <c r="VZK35"/>
      <c r="VZL35"/>
      <c r="VZM35"/>
      <c r="VZN35"/>
      <c r="VZO35"/>
      <c r="VZP35"/>
      <c r="VZQ35"/>
      <c r="VZR35"/>
      <c r="VZS35"/>
      <c r="VZT35"/>
      <c r="VZU35"/>
      <c r="VZV35"/>
      <c r="VZW35"/>
      <c r="VZX35"/>
      <c r="VZY35"/>
      <c r="VZZ35"/>
      <c r="WAA35"/>
      <c r="WAB35"/>
      <c r="WAC35"/>
      <c r="WAD35"/>
      <c r="WAE35"/>
      <c r="WAF35"/>
      <c r="WAG35"/>
      <c r="WAH35"/>
      <c r="WAI35"/>
      <c r="WAJ35"/>
      <c r="WAK35"/>
      <c r="WAL35"/>
      <c r="WAM35"/>
      <c r="WAN35"/>
      <c r="WAO35"/>
      <c r="WAP35"/>
      <c r="WAQ35"/>
      <c r="WAR35"/>
      <c r="WAS35"/>
      <c r="WAT35"/>
      <c r="WAU35"/>
      <c r="WAV35"/>
      <c r="WAW35"/>
      <c r="WAX35"/>
      <c r="WAY35"/>
      <c r="WAZ35"/>
      <c r="WBA35"/>
      <c r="WBB35"/>
      <c r="WBC35"/>
      <c r="WBD35"/>
      <c r="WBE35"/>
      <c r="WBF35"/>
      <c r="WBG35"/>
      <c r="WBH35"/>
      <c r="WBI35"/>
      <c r="WBJ35"/>
      <c r="WBK35"/>
      <c r="WBL35"/>
      <c r="WBM35"/>
      <c r="WBN35"/>
      <c r="WBO35"/>
      <c r="WBP35"/>
      <c r="WBQ35"/>
      <c r="WBR35"/>
      <c r="WBS35"/>
      <c r="WBT35"/>
      <c r="WBU35"/>
      <c r="WBV35"/>
      <c r="WBW35"/>
      <c r="WBX35"/>
      <c r="WBY35"/>
      <c r="WBZ35"/>
      <c r="WCA35"/>
      <c r="WCB35"/>
      <c r="WCC35"/>
      <c r="WCD35"/>
      <c r="WCE35"/>
      <c r="WCF35"/>
      <c r="WCG35"/>
      <c r="WCH35"/>
      <c r="WCI35"/>
      <c r="WCJ35"/>
      <c r="WCK35"/>
      <c r="WCL35"/>
      <c r="WCM35"/>
      <c r="WCN35"/>
      <c r="WCO35"/>
      <c r="WCP35"/>
      <c r="WCQ35"/>
      <c r="WCR35"/>
      <c r="WCS35"/>
      <c r="WCT35"/>
      <c r="WCU35"/>
      <c r="WCV35"/>
      <c r="WCW35"/>
      <c r="WCX35"/>
      <c r="WCY35"/>
      <c r="WCZ35"/>
      <c r="WDA35"/>
      <c r="WDB35"/>
      <c r="WDC35"/>
      <c r="WDD35"/>
      <c r="WDE35"/>
      <c r="WDF35"/>
      <c r="WDG35"/>
      <c r="WDH35"/>
      <c r="WDI35"/>
      <c r="WDJ35"/>
      <c r="WDK35"/>
      <c r="WDL35"/>
      <c r="WDM35"/>
      <c r="WDN35"/>
      <c r="WDO35"/>
      <c r="WDP35"/>
      <c r="WDQ35"/>
      <c r="WDR35"/>
      <c r="WDS35"/>
      <c r="WDT35"/>
      <c r="WDU35"/>
      <c r="WDV35"/>
      <c r="WDW35"/>
      <c r="WDX35"/>
      <c r="WDY35"/>
      <c r="WDZ35"/>
      <c r="WEA35"/>
      <c r="WEB35"/>
      <c r="WEC35"/>
      <c r="WED35"/>
      <c r="WEE35"/>
      <c r="WEF35"/>
      <c r="WEG35"/>
      <c r="WEH35"/>
      <c r="WEI35"/>
      <c r="WEJ35"/>
      <c r="WEK35"/>
      <c r="WEL35"/>
      <c r="WEM35"/>
      <c r="WEN35"/>
      <c r="WEO35"/>
      <c r="WEP35"/>
      <c r="WEQ35"/>
      <c r="WER35"/>
      <c r="WES35"/>
      <c r="WET35"/>
      <c r="WEU35"/>
      <c r="WEV35"/>
      <c r="WEW35"/>
      <c r="WEX35"/>
      <c r="WEY35"/>
      <c r="WEZ35"/>
      <c r="WFA35"/>
      <c r="WFB35"/>
      <c r="WFC35"/>
      <c r="WFD35"/>
      <c r="WFE35"/>
      <c r="WFF35"/>
      <c r="WFG35"/>
      <c r="WFH35"/>
      <c r="WFI35"/>
      <c r="WFJ35"/>
      <c r="WFK35"/>
      <c r="WFL35"/>
      <c r="WFM35"/>
      <c r="WFN35"/>
      <c r="WFO35"/>
      <c r="WFP35"/>
      <c r="WFQ35"/>
      <c r="WFR35"/>
      <c r="WFS35"/>
      <c r="WFT35"/>
      <c r="WFU35"/>
      <c r="WFV35"/>
      <c r="WFW35"/>
      <c r="WFX35"/>
      <c r="WFY35"/>
      <c r="WFZ35"/>
      <c r="WGA35"/>
      <c r="WGB35"/>
      <c r="WGC35"/>
      <c r="WGD35"/>
      <c r="WGE35"/>
      <c r="WGF35"/>
      <c r="WGG35"/>
      <c r="WGH35"/>
      <c r="WGI35"/>
      <c r="WGJ35"/>
      <c r="WGK35"/>
      <c r="WGL35"/>
      <c r="WGM35"/>
      <c r="WGN35"/>
      <c r="WGO35"/>
      <c r="WGP35"/>
      <c r="WGQ35"/>
      <c r="WGR35"/>
      <c r="WGS35"/>
      <c r="WGT35"/>
      <c r="WGU35"/>
      <c r="WGV35"/>
      <c r="WGW35"/>
      <c r="WGX35"/>
      <c r="WGY35"/>
      <c r="WGZ35"/>
      <c r="WHA35"/>
      <c r="WHB35"/>
      <c r="WHC35"/>
      <c r="WHD35"/>
      <c r="WHE35"/>
      <c r="WHF35"/>
      <c r="WHG35"/>
      <c r="WHH35"/>
      <c r="WHI35"/>
      <c r="WHJ35"/>
      <c r="WHK35"/>
      <c r="WHL35"/>
      <c r="WHM35"/>
      <c r="WHN35"/>
      <c r="WHO35"/>
      <c r="WHP35"/>
      <c r="WHQ35"/>
      <c r="WHR35"/>
      <c r="WHS35"/>
      <c r="WHT35"/>
      <c r="WHU35"/>
      <c r="WHV35"/>
      <c r="WHW35"/>
      <c r="WHX35"/>
      <c r="WHY35"/>
      <c r="WHZ35"/>
      <c r="WIA35"/>
      <c r="WIB35"/>
      <c r="WIC35"/>
      <c r="WID35"/>
      <c r="WIE35"/>
      <c r="WIF35"/>
      <c r="WIG35"/>
      <c r="WIH35"/>
      <c r="WII35"/>
      <c r="WIJ35"/>
      <c r="WIK35"/>
      <c r="WIL35"/>
      <c r="WIM35"/>
      <c r="WIN35"/>
      <c r="WIO35"/>
      <c r="WIP35"/>
      <c r="WIQ35"/>
      <c r="WIR35"/>
      <c r="WIS35"/>
      <c r="WIT35"/>
      <c r="WIU35"/>
      <c r="WIV35"/>
      <c r="WIW35"/>
      <c r="WIX35"/>
      <c r="WIY35"/>
      <c r="WIZ35"/>
      <c r="WJA35"/>
      <c r="WJB35"/>
      <c r="WJC35"/>
      <c r="WJD35"/>
      <c r="WJE35"/>
      <c r="WJF35"/>
      <c r="WJG35"/>
      <c r="WJH35"/>
      <c r="WJI35"/>
      <c r="WJJ35"/>
      <c r="WJK35"/>
      <c r="WJL35"/>
      <c r="WJM35"/>
      <c r="WJN35"/>
      <c r="WJO35"/>
      <c r="WJP35"/>
      <c r="WJQ35"/>
      <c r="WJR35"/>
      <c r="WJS35"/>
      <c r="WJT35"/>
      <c r="WJU35"/>
      <c r="WJV35"/>
      <c r="WJW35"/>
      <c r="WJX35"/>
      <c r="WJY35"/>
      <c r="WJZ35"/>
      <c r="WKA35"/>
      <c r="WKB35"/>
      <c r="WKC35"/>
      <c r="WKD35"/>
      <c r="WKE35"/>
      <c r="WKF35"/>
      <c r="WKG35"/>
      <c r="WKH35"/>
      <c r="WKI35"/>
      <c r="WKJ35"/>
      <c r="WKK35"/>
      <c r="WKL35"/>
      <c r="WKM35"/>
      <c r="WKN35"/>
      <c r="WKO35"/>
      <c r="WKP35"/>
      <c r="WKQ35"/>
      <c r="WKR35"/>
      <c r="WKS35"/>
      <c r="WKT35"/>
      <c r="WKU35"/>
      <c r="WKV35"/>
      <c r="WKW35"/>
      <c r="WKX35"/>
      <c r="WKY35"/>
      <c r="WKZ35"/>
      <c r="WLA35"/>
      <c r="WLB35"/>
      <c r="WLC35"/>
      <c r="WLD35"/>
      <c r="WLE35"/>
      <c r="WLF35"/>
      <c r="WLG35"/>
      <c r="WLH35"/>
      <c r="WLI35"/>
      <c r="WLJ35"/>
      <c r="WLK35"/>
      <c r="WLL35"/>
      <c r="WLM35"/>
      <c r="WLN35"/>
      <c r="WLO35"/>
      <c r="WLP35"/>
      <c r="WLQ35"/>
      <c r="WLR35"/>
      <c r="WLS35"/>
      <c r="WLT35"/>
      <c r="WLU35"/>
      <c r="WLV35"/>
      <c r="WLW35"/>
      <c r="WLX35"/>
      <c r="WLY35"/>
      <c r="WLZ35"/>
      <c r="WMA35"/>
      <c r="WMB35"/>
      <c r="WMC35"/>
      <c r="WMD35"/>
      <c r="WME35"/>
      <c r="WMF35"/>
      <c r="WMG35"/>
      <c r="WMH35"/>
      <c r="WMI35"/>
      <c r="WMJ35"/>
      <c r="WMK35"/>
      <c r="WML35"/>
      <c r="WMM35"/>
      <c r="WMN35"/>
      <c r="WMO35"/>
      <c r="WMP35"/>
      <c r="WMQ35"/>
      <c r="WMR35"/>
      <c r="WMS35"/>
      <c r="WMT35"/>
      <c r="WMU35"/>
      <c r="WMV35"/>
      <c r="WMW35"/>
      <c r="WMX35"/>
      <c r="WMY35"/>
      <c r="WMZ35"/>
      <c r="WNA35"/>
      <c r="WNB35"/>
      <c r="WNC35"/>
      <c r="WND35"/>
      <c r="WNE35"/>
      <c r="WNF35"/>
      <c r="WNG35"/>
      <c r="WNH35"/>
      <c r="WNI35"/>
      <c r="WNJ35"/>
      <c r="WNK35"/>
      <c r="WNL35"/>
      <c r="WNM35"/>
      <c r="WNN35"/>
      <c r="WNO35"/>
      <c r="WNP35"/>
      <c r="WNQ35"/>
      <c r="WNR35"/>
      <c r="WNS35"/>
      <c r="WNT35"/>
      <c r="WNU35"/>
      <c r="WNV35"/>
      <c r="WNW35"/>
      <c r="WNX35"/>
      <c r="WNY35"/>
      <c r="WNZ35"/>
      <c r="WOA35"/>
      <c r="WOB35"/>
      <c r="WOC35"/>
      <c r="WOD35"/>
      <c r="WOE35"/>
      <c r="WOF35"/>
      <c r="WOG35"/>
      <c r="WOH35"/>
      <c r="WOI35"/>
      <c r="WOJ35"/>
      <c r="WOK35"/>
      <c r="WOL35"/>
      <c r="WOM35"/>
      <c r="WON35"/>
      <c r="WOO35"/>
      <c r="WOP35"/>
      <c r="WOQ35"/>
      <c r="WOR35"/>
      <c r="WOS35"/>
      <c r="WOT35"/>
      <c r="WOU35"/>
      <c r="WOV35"/>
      <c r="WOW35"/>
      <c r="WOX35"/>
      <c r="WOY35"/>
      <c r="WOZ35"/>
      <c r="WPA35"/>
      <c r="WPB35"/>
      <c r="WPC35"/>
      <c r="WPD35"/>
      <c r="WPE35"/>
      <c r="WPF35"/>
      <c r="WPG35"/>
      <c r="WPH35"/>
      <c r="WPI35"/>
      <c r="WPJ35"/>
      <c r="WPK35"/>
      <c r="WPL35"/>
      <c r="WPM35"/>
      <c r="WPN35"/>
      <c r="WPO35"/>
      <c r="WPP35"/>
      <c r="WPQ35"/>
      <c r="WPR35"/>
      <c r="WPS35"/>
      <c r="WPT35"/>
      <c r="WPU35"/>
      <c r="WPV35"/>
      <c r="WPW35"/>
      <c r="WPX35"/>
      <c r="WPY35"/>
      <c r="WPZ35"/>
      <c r="WQA35"/>
      <c r="WQB35"/>
      <c r="WQC35"/>
      <c r="WQD35"/>
      <c r="WQE35"/>
      <c r="WQF35"/>
      <c r="WQG35"/>
      <c r="WQH35"/>
      <c r="WQI35"/>
      <c r="WQJ35"/>
      <c r="WQK35"/>
      <c r="WQL35"/>
      <c r="WQM35"/>
      <c r="WQN35"/>
      <c r="WQO35"/>
      <c r="WQP35"/>
      <c r="WQQ35"/>
      <c r="WQR35"/>
      <c r="WQS35"/>
      <c r="WQT35"/>
      <c r="WQU35"/>
      <c r="WQV35"/>
      <c r="WQW35"/>
      <c r="WQX35"/>
      <c r="WQY35"/>
      <c r="WQZ35"/>
      <c r="WRA35"/>
      <c r="WRB35"/>
      <c r="WRC35"/>
      <c r="WRD35"/>
      <c r="WRE35"/>
      <c r="WRF35"/>
      <c r="WRG35"/>
      <c r="WRH35"/>
      <c r="WRI35"/>
      <c r="WRJ35"/>
      <c r="WRK35"/>
      <c r="WRL35"/>
      <c r="WRM35"/>
      <c r="WRN35"/>
      <c r="WRO35"/>
      <c r="WRP35"/>
      <c r="WRQ35"/>
      <c r="WRR35"/>
      <c r="WRS35"/>
      <c r="WRT35"/>
      <c r="WRU35"/>
      <c r="WRV35"/>
      <c r="WRW35"/>
      <c r="WRX35"/>
      <c r="WRY35"/>
      <c r="WRZ35"/>
      <c r="WSA35"/>
      <c r="WSB35"/>
      <c r="WSC35"/>
      <c r="WSD35"/>
      <c r="WSE35"/>
      <c r="WSF35"/>
      <c r="WSG35"/>
      <c r="WSH35"/>
      <c r="WSI35"/>
      <c r="WSJ35"/>
      <c r="WSK35"/>
      <c r="WSL35"/>
      <c r="WSM35"/>
      <c r="WSN35"/>
      <c r="WSO35"/>
      <c r="WSP35"/>
      <c r="WSQ35"/>
      <c r="WSR35"/>
      <c r="WSS35"/>
      <c r="WST35"/>
      <c r="WSU35"/>
      <c r="WSV35"/>
      <c r="WSW35"/>
      <c r="WSX35"/>
      <c r="WSY35"/>
      <c r="WSZ35"/>
      <c r="WTA35"/>
      <c r="WTB35"/>
      <c r="WTC35"/>
      <c r="WTD35"/>
      <c r="WTE35"/>
      <c r="WTF35"/>
      <c r="WTG35"/>
      <c r="WTH35"/>
      <c r="WTI35"/>
      <c r="WTJ35"/>
      <c r="WTK35"/>
      <c r="WTL35"/>
      <c r="WTM35"/>
      <c r="WTN35"/>
      <c r="WTO35"/>
      <c r="WTP35"/>
      <c r="WTQ35"/>
      <c r="WTR35"/>
      <c r="WTS35"/>
      <c r="WTT35"/>
      <c r="WTU35"/>
      <c r="WTV35"/>
      <c r="WTW35"/>
      <c r="WTX35"/>
      <c r="WTY35"/>
      <c r="WTZ35"/>
      <c r="WUA35"/>
      <c r="WUB35"/>
      <c r="WUC35"/>
      <c r="WUD35"/>
      <c r="WUE35"/>
      <c r="WUF35"/>
      <c r="WUG35"/>
      <c r="WUH35"/>
      <c r="WUI35"/>
      <c r="WUJ35"/>
      <c r="WUK35"/>
      <c r="WUL35"/>
      <c r="WUM35"/>
      <c r="WUN35"/>
      <c r="WUO35"/>
      <c r="WUP35"/>
      <c r="WUQ35"/>
      <c r="WUR35"/>
      <c r="WUS35"/>
      <c r="WUT35"/>
      <c r="WUU35"/>
      <c r="WUV35"/>
      <c r="WUW35"/>
      <c r="WUX35"/>
      <c r="WUY35"/>
      <c r="WUZ35"/>
      <c r="WVA35"/>
      <c r="WVB35"/>
      <c r="WVC35"/>
      <c r="WVD35"/>
      <c r="WVE35"/>
      <c r="WVF35"/>
      <c r="WVG35"/>
      <c r="WVH35"/>
      <c r="WVI35"/>
      <c r="WVJ35"/>
      <c r="WVK35"/>
      <c r="WVL35"/>
      <c r="WVM35"/>
      <c r="WVN35"/>
      <c r="WVO35"/>
      <c r="WVP35"/>
      <c r="WVQ35"/>
      <c r="WVR35"/>
      <c r="WVS35"/>
      <c r="WVT35"/>
      <c r="WVU35"/>
      <c r="WVV35"/>
      <c r="WVW35"/>
      <c r="WVX35"/>
      <c r="WVY35"/>
      <c r="WVZ35"/>
      <c r="WWA35"/>
      <c r="WWB35"/>
      <c r="WWC35"/>
      <c r="WWD35"/>
      <c r="WWE35"/>
      <c r="WWF35"/>
      <c r="WWG35"/>
      <c r="WWH35"/>
      <c r="WWI35"/>
      <c r="WWJ35"/>
      <c r="WWK35"/>
      <c r="WWL35"/>
      <c r="WWM35"/>
      <c r="WWN35"/>
      <c r="WWO35"/>
      <c r="WWP35"/>
      <c r="WWQ35"/>
      <c r="WWR35"/>
      <c r="WWS35"/>
      <c r="WWT35"/>
      <c r="WWU35"/>
      <c r="WWV35"/>
      <c r="WWW35"/>
      <c r="WWX35"/>
      <c r="WWY35"/>
      <c r="WWZ35"/>
      <c r="WXA35"/>
      <c r="WXB35"/>
      <c r="WXC35"/>
      <c r="WXD35"/>
      <c r="WXE35"/>
      <c r="WXF35"/>
      <c r="WXG35"/>
      <c r="WXH35"/>
      <c r="WXI35"/>
      <c r="WXJ35"/>
      <c r="WXK35"/>
      <c r="WXL35"/>
      <c r="WXM35"/>
      <c r="WXN35"/>
      <c r="WXO35"/>
      <c r="WXP35"/>
      <c r="WXQ35"/>
      <c r="WXR35"/>
      <c r="WXS35"/>
      <c r="WXT35"/>
      <c r="WXU35"/>
      <c r="WXV35"/>
      <c r="WXW35"/>
      <c r="WXX35"/>
      <c r="WXY35"/>
      <c r="WXZ35"/>
      <c r="WYA35"/>
      <c r="WYB35"/>
      <c r="WYC35"/>
      <c r="WYD35"/>
      <c r="WYE35"/>
      <c r="WYF35"/>
      <c r="WYG35"/>
      <c r="WYH35"/>
      <c r="WYI35"/>
      <c r="WYJ35"/>
      <c r="WYK35"/>
      <c r="WYL35"/>
      <c r="WYM35"/>
      <c r="WYN35"/>
      <c r="WYO35"/>
      <c r="WYP35"/>
      <c r="WYQ35"/>
      <c r="WYR35"/>
      <c r="WYS35"/>
      <c r="WYT35"/>
      <c r="WYU35"/>
      <c r="WYV35"/>
      <c r="WYW35"/>
      <c r="WYX35"/>
      <c r="WYY35"/>
      <c r="WYZ35"/>
      <c r="WZA35"/>
      <c r="WZB35"/>
      <c r="WZC35"/>
      <c r="WZD35"/>
      <c r="WZE35"/>
      <c r="WZF35"/>
      <c r="WZG35"/>
      <c r="WZH35"/>
      <c r="WZI35"/>
      <c r="WZJ35"/>
      <c r="WZK35"/>
      <c r="WZL35"/>
      <c r="WZM35"/>
      <c r="WZN35"/>
      <c r="WZO35"/>
      <c r="WZP35"/>
      <c r="WZQ35"/>
      <c r="WZR35"/>
      <c r="WZS35"/>
      <c r="WZT35"/>
      <c r="WZU35"/>
      <c r="WZV35"/>
      <c r="WZW35"/>
      <c r="WZX35"/>
      <c r="WZY35"/>
      <c r="WZZ35"/>
      <c r="XAA35"/>
      <c r="XAB35"/>
      <c r="XAC35"/>
      <c r="XAD35"/>
      <c r="XAE35"/>
      <c r="XAF35"/>
      <c r="XAG35"/>
      <c r="XAH35"/>
      <c r="XAI35"/>
      <c r="XAJ35"/>
      <c r="XAK35"/>
      <c r="XAL35"/>
      <c r="XAM35"/>
      <c r="XAN35"/>
      <c r="XAO35"/>
      <c r="XAP35"/>
      <c r="XAQ35"/>
      <c r="XAR35"/>
      <c r="XAS35"/>
      <c r="XAT35"/>
      <c r="XAU35"/>
      <c r="XAV35"/>
      <c r="XAW35"/>
      <c r="XAX35"/>
      <c r="XAY35"/>
      <c r="XAZ35"/>
      <c r="XBA35"/>
      <c r="XBB35"/>
      <c r="XBC35"/>
      <c r="XBD35"/>
      <c r="XBE35"/>
      <c r="XBF35"/>
      <c r="XBG35"/>
      <c r="XBH35"/>
      <c r="XBI35"/>
      <c r="XBJ35"/>
      <c r="XBK35"/>
      <c r="XBL35"/>
      <c r="XBM35"/>
      <c r="XBN35"/>
      <c r="XBO35"/>
      <c r="XBP35"/>
      <c r="XBQ35"/>
      <c r="XBR35"/>
      <c r="XBS35"/>
      <c r="XBT35"/>
      <c r="XBU35"/>
      <c r="XBV35"/>
      <c r="XBW35"/>
      <c r="XBX35"/>
      <c r="XBY35"/>
      <c r="XBZ35"/>
      <c r="XCA35"/>
      <c r="XCB35"/>
      <c r="XCC35"/>
      <c r="XCD35"/>
      <c r="XCE35"/>
      <c r="XCF35"/>
      <c r="XCG35"/>
      <c r="XCH35"/>
      <c r="XCI35"/>
      <c r="XCJ35"/>
      <c r="XCK35"/>
      <c r="XCL35"/>
      <c r="XCM35"/>
      <c r="XCN35"/>
      <c r="XCO35"/>
      <c r="XCP35"/>
      <c r="XCQ35"/>
      <c r="XCR35"/>
      <c r="XCS35"/>
      <c r="XCT35"/>
      <c r="XCU35"/>
      <c r="XCV35"/>
      <c r="XCW35"/>
      <c r="XCX35"/>
      <c r="XCY35"/>
      <c r="XCZ35"/>
      <c r="XDA35"/>
      <c r="XDB35"/>
      <c r="XDC35"/>
      <c r="XDD35"/>
      <c r="XDE35"/>
      <c r="XDF35"/>
      <c r="XDG35"/>
      <c r="XDH35"/>
      <c r="XDI35"/>
      <c r="XDJ35"/>
      <c r="XDK35"/>
      <c r="XDL35"/>
      <c r="XDM35"/>
      <c r="XDN35"/>
      <c r="XDO35"/>
      <c r="XDP35"/>
      <c r="XDQ35"/>
      <c r="XDR35"/>
      <c r="XDS35"/>
      <c r="XDT35"/>
      <c r="XDU35"/>
      <c r="XDV35"/>
      <c r="XDW35"/>
      <c r="XDX35"/>
      <c r="XDY35"/>
      <c r="XDZ35"/>
      <c r="XEA35"/>
      <c r="XEB35"/>
      <c r="XEC35"/>
      <c r="XED35"/>
      <c r="XEE35"/>
      <c r="XEF35"/>
      <c r="XEG35"/>
      <c r="XEH35"/>
      <c r="XEI35"/>
      <c r="XEJ35"/>
      <c r="XEK35"/>
      <c r="XEL35"/>
      <c r="XEM35"/>
      <c r="XEN35"/>
      <c r="XEO35"/>
      <c r="XEP35"/>
      <c r="XEQ35"/>
      <c r="XER35"/>
      <c r="XES35"/>
      <c r="XET35"/>
      <c r="XEU35"/>
      <c r="XEV35"/>
      <c r="XEW35"/>
      <c r="XEX35"/>
      <c r="XEY35"/>
      <c r="XEZ35"/>
      <c r="XFA35"/>
    </row>
    <row r="36" s="117" customFormat="1" ht="21" customHeight="1" spans="2:16381">
      <c r="B36"/>
      <c r="C36"/>
      <c r="D36"/>
      <c r="E36"/>
      <c r="F36"/>
      <c r="G36"/>
      <c r="H36"/>
      <c r="I36" s="43"/>
      <c r="J36"/>
      <c r="K36" s="43"/>
      <c r="M36" s="67"/>
      <c r="N36"/>
      <c r="O36"/>
      <c r="P36"/>
      <c r="Q36"/>
      <c r="R36"/>
      <c r="S36"/>
      <c r="T36"/>
      <c r="U36"/>
      <c r="V36"/>
      <c r="W36"/>
      <c r="X36"/>
      <c r="Y36"/>
      <c r="Z36"/>
      <c r="AA36" s="117" t="str">
        <f>+'Ingredient List - Mother Tinctu'!D37</f>
        <v>Anacard. Occ.</v>
      </c>
      <c r="AB36" s="117">
        <f t="shared" si="0"/>
        <v>0</v>
      </c>
      <c r="AC36" s="117" t="str">
        <f>IF(AB36=1,COUNTIF($AB$3:AB36,1),"")</f>
        <v/>
      </c>
      <c r="AD36" s="117" t="str">
        <f>IFERROR(INDEX($AA$3:$AA$10000,MATCH(ROWS($AC$3:AC36),$AC$3:$AC$10000,0)),"")</f>
        <v/>
      </c>
      <c r="AE36" s="117" t="str">
        <f>+'Packing Material - Cost'!A37</f>
        <v/>
      </c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  <c r="AMK36"/>
      <c r="AML36"/>
      <c r="AMM36"/>
      <c r="AMN36"/>
      <c r="AMO36"/>
      <c r="AMP36"/>
      <c r="AMQ36"/>
      <c r="AMR36"/>
      <c r="AMS36"/>
      <c r="AMT36"/>
      <c r="AMU36"/>
      <c r="AMV36"/>
      <c r="AMW36"/>
      <c r="AMX36"/>
      <c r="AMY36"/>
      <c r="AMZ36"/>
      <c r="ANA36"/>
      <c r="ANB36"/>
      <c r="ANC36"/>
      <c r="AND36"/>
      <c r="ANE36"/>
      <c r="ANF36"/>
      <c r="ANG36"/>
      <c r="ANH36"/>
      <c r="ANI36"/>
      <c r="ANJ36"/>
      <c r="ANK36"/>
      <c r="ANL36"/>
      <c r="ANM36"/>
      <c r="ANN36"/>
      <c r="ANO36"/>
      <c r="ANP36"/>
      <c r="ANQ36"/>
      <c r="ANR36"/>
      <c r="ANS36"/>
      <c r="ANT36"/>
      <c r="ANU36"/>
      <c r="ANV36"/>
      <c r="ANW36"/>
      <c r="ANX36"/>
      <c r="ANY36"/>
      <c r="ANZ36"/>
      <c r="AOA36"/>
      <c r="AOB36"/>
      <c r="AOC36"/>
      <c r="AOD36"/>
      <c r="AOE36"/>
      <c r="AOF36"/>
      <c r="AOG36"/>
      <c r="AOH36"/>
      <c r="AOI36"/>
      <c r="AOJ36"/>
      <c r="AOK36"/>
      <c r="AOL36"/>
      <c r="AOM36"/>
      <c r="AON36"/>
      <c r="AOO36"/>
      <c r="AOP36"/>
      <c r="AOQ36"/>
      <c r="AOR36"/>
      <c r="AOS36"/>
      <c r="AOT36"/>
      <c r="AOU36"/>
      <c r="AOV36"/>
      <c r="AOW36"/>
      <c r="AOX36"/>
      <c r="AOY36"/>
      <c r="AOZ36"/>
      <c r="APA36"/>
      <c r="APB36"/>
      <c r="APC36"/>
      <c r="APD36"/>
      <c r="APE36"/>
      <c r="APF36"/>
      <c r="APG36"/>
      <c r="APH36"/>
      <c r="API36"/>
      <c r="APJ36"/>
      <c r="APK36"/>
      <c r="APL36"/>
      <c r="APM36"/>
      <c r="APN36"/>
      <c r="APO36"/>
      <c r="APP36"/>
      <c r="APQ36"/>
      <c r="APR36"/>
      <c r="APS36"/>
      <c r="APT36"/>
      <c r="APU36"/>
      <c r="APV36"/>
      <c r="APW36"/>
      <c r="APX36"/>
      <c r="APY36"/>
      <c r="APZ36"/>
      <c r="AQA36"/>
      <c r="AQB36"/>
      <c r="AQC36"/>
      <c r="AQD36"/>
      <c r="AQE36"/>
      <c r="AQF36"/>
      <c r="AQG36"/>
      <c r="AQH36"/>
      <c r="AQI36"/>
      <c r="AQJ36"/>
      <c r="AQK36"/>
      <c r="AQL36"/>
      <c r="AQM36"/>
      <c r="AQN36"/>
      <c r="AQO36"/>
      <c r="AQP36"/>
      <c r="AQQ36"/>
      <c r="AQR36"/>
      <c r="AQS36"/>
      <c r="AQT36"/>
      <c r="AQU36"/>
      <c r="AQV36"/>
      <c r="AQW36"/>
      <c r="AQX36"/>
      <c r="AQY36"/>
      <c r="AQZ36"/>
      <c r="ARA36"/>
      <c r="ARB36"/>
      <c r="ARC36"/>
      <c r="ARD36"/>
      <c r="ARE36"/>
      <c r="ARF36"/>
      <c r="ARG36"/>
      <c r="ARH36"/>
      <c r="ARI36"/>
      <c r="ARJ36"/>
      <c r="ARK36"/>
      <c r="ARL36"/>
      <c r="ARM36"/>
      <c r="ARN36"/>
      <c r="ARO36"/>
      <c r="ARP36"/>
      <c r="ARQ36"/>
      <c r="ARR36"/>
      <c r="ARS36"/>
      <c r="ART36"/>
      <c r="ARU36"/>
      <c r="ARV36"/>
      <c r="ARW36"/>
      <c r="ARX36"/>
      <c r="ARY36"/>
      <c r="ARZ36"/>
      <c r="ASA36"/>
      <c r="ASB36"/>
      <c r="ASC36"/>
      <c r="ASD36"/>
      <c r="ASE36"/>
      <c r="ASF36"/>
      <c r="ASG36"/>
      <c r="ASH36"/>
      <c r="ASI36"/>
      <c r="ASJ36"/>
      <c r="ASK36"/>
      <c r="ASL36"/>
      <c r="ASM36"/>
      <c r="ASN36"/>
      <c r="ASO36"/>
      <c r="ASP36"/>
      <c r="ASQ36"/>
      <c r="ASR36"/>
      <c r="ASS36"/>
      <c r="AST36"/>
      <c r="ASU36"/>
      <c r="ASV36"/>
      <c r="ASW36"/>
      <c r="ASX36"/>
      <c r="ASY36"/>
      <c r="ASZ36"/>
      <c r="ATA36"/>
      <c r="ATB36"/>
      <c r="ATC36"/>
      <c r="ATD36"/>
      <c r="ATE36"/>
      <c r="ATF36"/>
      <c r="ATG36"/>
      <c r="ATH36"/>
      <c r="ATI36"/>
      <c r="ATJ36"/>
      <c r="ATK36"/>
      <c r="ATL36"/>
      <c r="ATM36"/>
      <c r="ATN36"/>
      <c r="ATO36"/>
      <c r="ATP36"/>
      <c r="ATQ36"/>
      <c r="ATR36"/>
      <c r="ATS36"/>
      <c r="ATT36"/>
      <c r="ATU36"/>
      <c r="ATV36"/>
      <c r="ATW36"/>
      <c r="ATX36"/>
      <c r="ATY36"/>
      <c r="ATZ36"/>
      <c r="AUA36"/>
      <c r="AUB36"/>
      <c r="AUC36"/>
      <c r="AUD36"/>
      <c r="AUE36"/>
      <c r="AUF36"/>
      <c r="AUG36"/>
      <c r="AUH36"/>
      <c r="AUI36"/>
      <c r="AUJ36"/>
      <c r="AUK36"/>
      <c r="AUL36"/>
      <c r="AUM36"/>
      <c r="AUN36"/>
      <c r="AUO36"/>
      <c r="AUP36"/>
      <c r="AUQ36"/>
      <c r="AUR36"/>
      <c r="AUS36"/>
      <c r="AUT36"/>
      <c r="AUU36"/>
      <c r="AUV36"/>
      <c r="AUW36"/>
      <c r="AUX36"/>
      <c r="AUY36"/>
      <c r="AUZ36"/>
      <c r="AVA36"/>
      <c r="AVB36"/>
      <c r="AVC36"/>
      <c r="AVD36"/>
      <c r="AVE36"/>
      <c r="AVF36"/>
      <c r="AVG36"/>
      <c r="AVH36"/>
      <c r="AVI36"/>
      <c r="AVJ36"/>
      <c r="AVK36"/>
      <c r="AVL36"/>
      <c r="AVM36"/>
      <c r="AVN36"/>
      <c r="AVO36"/>
      <c r="AVP36"/>
      <c r="AVQ36"/>
      <c r="AVR36"/>
      <c r="AVS36"/>
      <c r="AVT36"/>
      <c r="AVU36"/>
      <c r="AVV36"/>
      <c r="AVW36"/>
      <c r="AVX36"/>
      <c r="AVY36"/>
      <c r="AVZ36"/>
      <c r="AWA36"/>
      <c r="AWB36"/>
      <c r="AWC36"/>
      <c r="AWD36"/>
      <c r="AWE36"/>
      <c r="AWF36"/>
      <c r="AWG36"/>
      <c r="AWH36"/>
      <c r="AWI36"/>
      <c r="AWJ36"/>
      <c r="AWK36"/>
      <c r="AWL36"/>
      <c r="AWM36"/>
      <c r="AWN36"/>
      <c r="AWO36"/>
      <c r="AWP36"/>
      <c r="AWQ36"/>
      <c r="AWR36"/>
      <c r="AWS36"/>
      <c r="AWT36"/>
      <c r="AWU36"/>
      <c r="AWV36"/>
      <c r="AWW36"/>
      <c r="AWX36"/>
      <c r="AWY36"/>
      <c r="AWZ36"/>
      <c r="AXA36"/>
      <c r="AXB36"/>
      <c r="AXC36"/>
      <c r="AXD36"/>
      <c r="AXE36"/>
      <c r="AXF36"/>
      <c r="AXG36"/>
      <c r="AXH36"/>
      <c r="AXI36"/>
      <c r="AXJ36"/>
      <c r="AXK36"/>
      <c r="AXL36"/>
      <c r="AXM36"/>
      <c r="AXN36"/>
      <c r="AXO36"/>
      <c r="AXP36"/>
      <c r="AXQ36"/>
      <c r="AXR36"/>
      <c r="AXS36"/>
      <c r="AXT36"/>
      <c r="AXU36"/>
      <c r="AXV36"/>
      <c r="AXW36"/>
      <c r="AXX36"/>
      <c r="AXY36"/>
      <c r="AXZ36"/>
      <c r="AYA36"/>
      <c r="AYB36"/>
      <c r="AYC36"/>
      <c r="AYD36"/>
      <c r="AYE36"/>
      <c r="AYF36"/>
      <c r="AYG36"/>
      <c r="AYH36"/>
      <c r="AYI36"/>
      <c r="AYJ36"/>
      <c r="AYK36"/>
      <c r="AYL36"/>
      <c r="AYM36"/>
      <c r="AYN36"/>
      <c r="AYO36"/>
      <c r="AYP36"/>
      <c r="AYQ36"/>
      <c r="AYR36"/>
      <c r="AYS36"/>
      <c r="AYT36"/>
      <c r="AYU36"/>
      <c r="AYV36"/>
      <c r="AYW36"/>
      <c r="AYX36"/>
      <c r="AYY36"/>
      <c r="AYZ36"/>
      <c r="AZA36"/>
      <c r="AZB36"/>
      <c r="AZC36"/>
      <c r="AZD36"/>
      <c r="AZE36"/>
      <c r="AZF36"/>
      <c r="AZG36"/>
      <c r="AZH36"/>
      <c r="AZI36"/>
      <c r="AZJ36"/>
      <c r="AZK36"/>
      <c r="AZL36"/>
      <c r="AZM36"/>
      <c r="AZN36"/>
      <c r="AZO36"/>
      <c r="AZP36"/>
      <c r="AZQ36"/>
      <c r="AZR36"/>
      <c r="AZS36"/>
      <c r="AZT36"/>
      <c r="AZU36"/>
      <c r="AZV36"/>
      <c r="AZW36"/>
      <c r="AZX36"/>
      <c r="AZY36"/>
      <c r="AZZ36"/>
      <c r="BAA36"/>
      <c r="BAB36"/>
      <c r="BAC36"/>
      <c r="BAD36"/>
      <c r="BAE36"/>
      <c r="BAF36"/>
      <c r="BAG36"/>
      <c r="BAH36"/>
      <c r="BAI36"/>
      <c r="BAJ36"/>
      <c r="BAK36"/>
      <c r="BAL36"/>
      <c r="BAM36"/>
      <c r="BAN36"/>
      <c r="BAO36"/>
      <c r="BAP36"/>
      <c r="BAQ36"/>
      <c r="BAR36"/>
      <c r="BAS36"/>
      <c r="BAT36"/>
      <c r="BAU36"/>
      <c r="BAV36"/>
      <c r="BAW36"/>
      <c r="BAX36"/>
      <c r="BAY36"/>
      <c r="BAZ36"/>
      <c r="BBA36"/>
      <c r="BBB36"/>
      <c r="BBC36"/>
      <c r="BBD36"/>
      <c r="BBE36"/>
      <c r="BBF36"/>
      <c r="BBG36"/>
      <c r="BBH36"/>
      <c r="BBI36"/>
      <c r="BBJ36"/>
      <c r="BBK36"/>
      <c r="BBL36"/>
      <c r="BBM36"/>
      <c r="BBN36"/>
      <c r="BBO36"/>
      <c r="BBP36"/>
      <c r="BBQ36"/>
      <c r="BBR36"/>
      <c r="BBS36"/>
      <c r="BBT36"/>
      <c r="BBU36"/>
      <c r="BBV36"/>
      <c r="BBW36"/>
      <c r="BBX36"/>
      <c r="BBY36"/>
      <c r="BBZ36"/>
      <c r="BCA36"/>
      <c r="BCB36"/>
      <c r="BCC36"/>
      <c r="BCD36"/>
      <c r="BCE36"/>
      <c r="BCF36"/>
      <c r="BCG36"/>
      <c r="BCH36"/>
      <c r="BCI36"/>
      <c r="BCJ36"/>
      <c r="BCK36"/>
      <c r="BCL36"/>
      <c r="BCM36"/>
      <c r="BCN36"/>
      <c r="BCO36"/>
      <c r="BCP36"/>
      <c r="BCQ36"/>
      <c r="BCR36"/>
      <c r="BCS36"/>
      <c r="BCT36"/>
      <c r="BCU36"/>
      <c r="BCV36"/>
      <c r="BCW36"/>
      <c r="BCX36"/>
      <c r="BCY36"/>
      <c r="BCZ36"/>
      <c r="BDA36"/>
      <c r="BDB36"/>
      <c r="BDC36"/>
      <c r="BDD36"/>
      <c r="BDE36"/>
      <c r="BDF36"/>
      <c r="BDG36"/>
      <c r="BDH36"/>
      <c r="BDI36"/>
      <c r="BDJ36"/>
      <c r="BDK36"/>
      <c r="BDL36"/>
      <c r="BDM36"/>
      <c r="BDN36"/>
      <c r="BDO36"/>
      <c r="BDP36"/>
      <c r="BDQ36"/>
      <c r="BDR36"/>
      <c r="BDS36"/>
      <c r="BDT36"/>
      <c r="BDU36"/>
      <c r="BDV36"/>
      <c r="BDW36"/>
      <c r="BDX36"/>
      <c r="BDY36"/>
      <c r="BDZ36"/>
      <c r="BEA36"/>
      <c r="BEB36"/>
      <c r="BEC36"/>
      <c r="BED36"/>
      <c r="BEE36"/>
      <c r="BEF36"/>
      <c r="BEG36"/>
      <c r="BEH36"/>
      <c r="BEI36"/>
      <c r="BEJ36"/>
      <c r="BEK36"/>
      <c r="BEL36"/>
      <c r="BEM36"/>
      <c r="BEN36"/>
      <c r="BEO36"/>
      <c r="BEP36"/>
      <c r="BEQ36"/>
      <c r="BER36"/>
      <c r="BES36"/>
      <c r="BET36"/>
      <c r="BEU36"/>
      <c r="BEV36"/>
      <c r="BEW36"/>
      <c r="BEX36"/>
      <c r="BEY36"/>
      <c r="BEZ36"/>
      <c r="BFA36"/>
      <c r="BFB36"/>
      <c r="BFC36"/>
      <c r="BFD36"/>
      <c r="BFE36"/>
      <c r="BFF36"/>
      <c r="BFG36"/>
      <c r="BFH36"/>
      <c r="BFI36"/>
      <c r="BFJ36"/>
      <c r="BFK36"/>
      <c r="BFL36"/>
      <c r="BFM36"/>
      <c r="BFN36"/>
      <c r="BFO36"/>
      <c r="BFP36"/>
      <c r="BFQ36"/>
      <c r="BFR36"/>
      <c r="BFS36"/>
      <c r="BFT36"/>
      <c r="BFU36"/>
      <c r="BFV36"/>
      <c r="BFW36"/>
      <c r="BFX36"/>
      <c r="BFY36"/>
      <c r="BFZ36"/>
      <c r="BGA36"/>
      <c r="BGB36"/>
      <c r="BGC36"/>
      <c r="BGD36"/>
      <c r="BGE36"/>
      <c r="BGF36"/>
      <c r="BGG36"/>
      <c r="BGH36"/>
      <c r="BGI36"/>
      <c r="BGJ36"/>
      <c r="BGK36"/>
      <c r="BGL36"/>
      <c r="BGM36"/>
      <c r="BGN36"/>
      <c r="BGO36"/>
      <c r="BGP36"/>
      <c r="BGQ36"/>
      <c r="BGR36"/>
      <c r="BGS36"/>
      <c r="BGT36"/>
      <c r="BGU36"/>
      <c r="BGV36"/>
      <c r="BGW36"/>
      <c r="BGX36"/>
      <c r="BGY36"/>
      <c r="BGZ36"/>
      <c r="BHA36"/>
      <c r="BHB36"/>
      <c r="BHC36"/>
      <c r="BHD36"/>
      <c r="BHE36"/>
      <c r="BHF36"/>
      <c r="BHG36"/>
      <c r="BHH36"/>
      <c r="BHI36"/>
      <c r="BHJ36"/>
      <c r="BHK36"/>
      <c r="BHL36"/>
      <c r="BHM36"/>
      <c r="BHN36"/>
      <c r="BHO36"/>
      <c r="BHP36"/>
      <c r="BHQ36"/>
      <c r="BHR36"/>
      <c r="BHS36"/>
      <c r="BHT36"/>
      <c r="BHU36"/>
      <c r="BHV36"/>
      <c r="BHW36"/>
      <c r="BHX36"/>
      <c r="BHY36"/>
      <c r="BHZ36"/>
      <c r="BIA36"/>
      <c r="BIB36"/>
      <c r="BIC36"/>
      <c r="BID36"/>
      <c r="BIE36"/>
      <c r="BIF36"/>
      <c r="BIG36"/>
      <c r="BIH36"/>
      <c r="BII36"/>
      <c r="BIJ36"/>
      <c r="BIK36"/>
      <c r="BIL36"/>
      <c r="BIM36"/>
      <c r="BIN36"/>
      <c r="BIO36"/>
      <c r="BIP36"/>
      <c r="BIQ36"/>
      <c r="BIR36"/>
      <c r="BIS36"/>
      <c r="BIT36"/>
      <c r="BIU36"/>
      <c r="BIV36"/>
      <c r="BIW36"/>
      <c r="BIX36"/>
      <c r="BIY36"/>
      <c r="BIZ36"/>
      <c r="BJA36"/>
      <c r="BJB36"/>
      <c r="BJC36"/>
      <c r="BJD36"/>
      <c r="BJE36"/>
      <c r="BJF36"/>
      <c r="BJG36"/>
      <c r="BJH36"/>
      <c r="BJI36"/>
      <c r="BJJ36"/>
      <c r="BJK36"/>
      <c r="BJL36"/>
      <c r="BJM36"/>
      <c r="BJN36"/>
      <c r="BJO36"/>
      <c r="BJP36"/>
      <c r="BJQ36"/>
      <c r="BJR36"/>
      <c r="BJS36"/>
      <c r="BJT36"/>
      <c r="BJU36"/>
      <c r="BJV36"/>
      <c r="BJW36"/>
      <c r="BJX36"/>
      <c r="BJY36"/>
      <c r="BJZ36"/>
      <c r="BKA36"/>
      <c r="BKB36"/>
      <c r="BKC36"/>
      <c r="BKD36"/>
      <c r="BKE36"/>
      <c r="BKF36"/>
      <c r="BKG36"/>
      <c r="BKH36"/>
      <c r="BKI36"/>
      <c r="BKJ36"/>
      <c r="BKK36"/>
      <c r="BKL36"/>
      <c r="BKM36"/>
      <c r="BKN36"/>
      <c r="BKO36"/>
      <c r="BKP36"/>
      <c r="BKQ36"/>
      <c r="BKR36"/>
      <c r="BKS36"/>
      <c r="BKT36"/>
      <c r="BKU36"/>
      <c r="BKV36"/>
      <c r="BKW36"/>
      <c r="BKX36"/>
      <c r="BKY36"/>
      <c r="BKZ36"/>
      <c r="BLA36"/>
      <c r="BLB36"/>
      <c r="BLC36"/>
      <c r="BLD36"/>
      <c r="BLE36"/>
      <c r="BLF36"/>
      <c r="BLG36"/>
      <c r="BLH36"/>
      <c r="BLI36"/>
      <c r="BLJ36"/>
      <c r="BLK36"/>
      <c r="BLL36"/>
      <c r="BLM36"/>
      <c r="BLN36"/>
      <c r="BLO36"/>
      <c r="BLP36"/>
      <c r="BLQ36"/>
      <c r="BLR36"/>
      <c r="BLS36"/>
      <c r="BLT36"/>
      <c r="BLU36"/>
      <c r="BLV36"/>
      <c r="BLW36"/>
      <c r="BLX36"/>
      <c r="BLY36"/>
      <c r="BLZ36"/>
      <c r="BMA36"/>
      <c r="BMB36"/>
      <c r="BMC36"/>
      <c r="BMD36"/>
      <c r="BME36"/>
      <c r="BMF36"/>
      <c r="BMG36"/>
      <c r="BMH36"/>
      <c r="BMI36"/>
      <c r="BMJ36"/>
      <c r="BMK36"/>
      <c r="BML36"/>
      <c r="BMM36"/>
      <c r="BMN36"/>
      <c r="BMO36"/>
      <c r="BMP36"/>
      <c r="BMQ36"/>
      <c r="BMR36"/>
      <c r="BMS36"/>
      <c r="BMT36"/>
      <c r="BMU36"/>
      <c r="BMV36"/>
      <c r="BMW36"/>
      <c r="BMX36"/>
      <c r="BMY36"/>
      <c r="BMZ36"/>
      <c r="BNA36"/>
      <c r="BNB36"/>
      <c r="BNC36"/>
      <c r="BND36"/>
      <c r="BNE36"/>
      <c r="BNF36"/>
      <c r="BNG36"/>
      <c r="BNH36"/>
      <c r="BNI36"/>
      <c r="BNJ36"/>
      <c r="BNK36"/>
      <c r="BNL36"/>
      <c r="BNM36"/>
      <c r="BNN36"/>
      <c r="BNO36"/>
      <c r="BNP36"/>
      <c r="BNQ36"/>
      <c r="BNR36"/>
      <c r="BNS36"/>
      <c r="BNT36"/>
      <c r="BNU36"/>
      <c r="BNV36"/>
      <c r="BNW36"/>
      <c r="BNX36"/>
      <c r="BNY36"/>
      <c r="BNZ36"/>
      <c r="BOA36"/>
      <c r="BOB36"/>
      <c r="BOC36"/>
      <c r="BOD36"/>
      <c r="BOE36"/>
      <c r="BOF36"/>
      <c r="BOG36"/>
      <c r="BOH36"/>
      <c r="BOI36"/>
      <c r="BOJ36"/>
      <c r="BOK36"/>
      <c r="BOL36"/>
      <c r="BOM36"/>
      <c r="BON36"/>
      <c r="BOO36"/>
      <c r="BOP36"/>
      <c r="BOQ36"/>
      <c r="BOR36"/>
      <c r="BOS36"/>
      <c r="BOT36"/>
      <c r="BOU36"/>
      <c r="BOV36"/>
      <c r="BOW36"/>
      <c r="BOX36"/>
      <c r="BOY36"/>
      <c r="BOZ36"/>
      <c r="BPA36"/>
      <c r="BPB36"/>
      <c r="BPC36"/>
      <c r="BPD36"/>
      <c r="BPE36"/>
      <c r="BPF36"/>
      <c r="BPG36"/>
      <c r="BPH36"/>
      <c r="BPI36"/>
      <c r="BPJ36"/>
      <c r="BPK36"/>
      <c r="BPL36"/>
      <c r="BPM36"/>
      <c r="BPN36"/>
      <c r="BPO36"/>
      <c r="BPP36"/>
      <c r="BPQ36"/>
      <c r="BPR36"/>
      <c r="BPS36"/>
      <c r="BPT36"/>
      <c r="BPU36"/>
      <c r="BPV36"/>
      <c r="BPW36"/>
      <c r="BPX36"/>
      <c r="BPY36"/>
      <c r="BPZ36"/>
      <c r="BQA36"/>
      <c r="BQB36"/>
      <c r="BQC36"/>
      <c r="BQD36"/>
      <c r="BQE36"/>
      <c r="BQF36"/>
      <c r="BQG36"/>
      <c r="BQH36"/>
      <c r="BQI36"/>
      <c r="BQJ36"/>
      <c r="BQK36"/>
      <c r="BQL36"/>
      <c r="BQM36"/>
      <c r="BQN36"/>
      <c r="BQO36"/>
      <c r="BQP36"/>
      <c r="BQQ36"/>
      <c r="BQR36"/>
      <c r="BQS36"/>
      <c r="BQT36"/>
      <c r="BQU36"/>
      <c r="BQV36"/>
      <c r="BQW36"/>
      <c r="BQX36"/>
      <c r="BQY36"/>
      <c r="BQZ36"/>
      <c r="BRA36"/>
      <c r="BRB36"/>
      <c r="BRC36"/>
      <c r="BRD36"/>
      <c r="BRE36"/>
      <c r="BRF36"/>
      <c r="BRG36"/>
      <c r="BRH36"/>
      <c r="BRI36"/>
      <c r="BRJ36"/>
      <c r="BRK36"/>
      <c r="BRL36"/>
      <c r="BRM36"/>
      <c r="BRN36"/>
      <c r="BRO36"/>
      <c r="BRP36"/>
      <c r="BRQ36"/>
      <c r="BRR36"/>
      <c r="BRS36"/>
      <c r="BRT36"/>
      <c r="BRU36"/>
      <c r="BRV36"/>
      <c r="BRW36"/>
      <c r="BRX36"/>
      <c r="BRY36"/>
      <c r="BRZ36"/>
      <c r="BSA36"/>
      <c r="BSB36"/>
      <c r="BSC36"/>
      <c r="BSD36"/>
      <c r="BSE36"/>
      <c r="BSF36"/>
      <c r="BSG36"/>
      <c r="BSH36"/>
      <c r="BSI36"/>
      <c r="BSJ36"/>
      <c r="BSK36"/>
      <c r="BSL36"/>
      <c r="BSM36"/>
      <c r="BSN36"/>
      <c r="BSO36"/>
      <c r="BSP36"/>
      <c r="BSQ36"/>
      <c r="BSR36"/>
      <c r="BSS36"/>
      <c r="BST36"/>
      <c r="BSU36"/>
      <c r="BSV36"/>
      <c r="BSW36"/>
      <c r="BSX36"/>
      <c r="BSY36"/>
      <c r="BSZ36"/>
      <c r="BTA36"/>
      <c r="BTB36"/>
      <c r="BTC36"/>
      <c r="BTD36"/>
      <c r="BTE36"/>
      <c r="BTF36"/>
      <c r="BTG36"/>
      <c r="BTH36"/>
      <c r="BTI36"/>
      <c r="BTJ36"/>
      <c r="BTK36"/>
      <c r="BTL36"/>
      <c r="BTM36"/>
      <c r="BTN36"/>
      <c r="BTO36"/>
      <c r="BTP36"/>
      <c r="BTQ36"/>
      <c r="BTR36"/>
      <c r="BTS36"/>
      <c r="BTT36"/>
      <c r="BTU36"/>
      <c r="BTV36"/>
      <c r="BTW36"/>
      <c r="BTX36"/>
      <c r="BTY36"/>
      <c r="BTZ36"/>
      <c r="BUA36"/>
      <c r="BUB36"/>
      <c r="BUC36"/>
      <c r="BUD36"/>
      <c r="BUE36"/>
      <c r="BUF36"/>
      <c r="BUG36"/>
      <c r="BUH36"/>
      <c r="BUI36"/>
      <c r="BUJ36"/>
      <c r="BUK36"/>
      <c r="BUL36"/>
      <c r="BUM36"/>
      <c r="BUN36"/>
      <c r="BUO36"/>
      <c r="BUP36"/>
      <c r="BUQ36"/>
      <c r="BUR36"/>
      <c r="BUS36"/>
      <c r="BUT36"/>
      <c r="BUU36"/>
      <c r="BUV36"/>
      <c r="BUW36"/>
      <c r="BUX36"/>
      <c r="BUY36"/>
      <c r="BUZ36"/>
      <c r="BVA36"/>
      <c r="BVB36"/>
      <c r="BVC36"/>
      <c r="BVD36"/>
      <c r="BVE36"/>
      <c r="BVF36"/>
      <c r="BVG36"/>
      <c r="BVH36"/>
      <c r="BVI36"/>
      <c r="BVJ36"/>
      <c r="BVK36"/>
      <c r="BVL36"/>
      <c r="BVM36"/>
      <c r="BVN36"/>
      <c r="BVO36"/>
      <c r="BVP36"/>
      <c r="BVQ36"/>
      <c r="BVR36"/>
      <c r="BVS36"/>
      <c r="BVT36"/>
      <c r="BVU36"/>
      <c r="BVV36"/>
      <c r="BVW36"/>
      <c r="BVX36"/>
      <c r="BVY36"/>
      <c r="BVZ36"/>
      <c r="BWA36"/>
      <c r="BWB36"/>
      <c r="BWC36"/>
      <c r="BWD36"/>
      <c r="BWE36"/>
      <c r="BWF36"/>
      <c r="BWG36"/>
      <c r="BWH36"/>
      <c r="BWI36"/>
      <c r="BWJ36"/>
      <c r="BWK36"/>
      <c r="BWL36"/>
      <c r="BWM36"/>
      <c r="BWN36"/>
      <c r="BWO36"/>
      <c r="BWP36"/>
      <c r="BWQ36"/>
      <c r="BWR36"/>
      <c r="BWS36"/>
      <c r="BWT36"/>
      <c r="BWU36"/>
      <c r="BWV36"/>
      <c r="BWW36"/>
      <c r="BWX36"/>
      <c r="BWY36"/>
      <c r="BWZ36"/>
      <c r="BXA36"/>
      <c r="BXB36"/>
      <c r="BXC36"/>
      <c r="BXD36"/>
      <c r="BXE36"/>
      <c r="BXF36"/>
      <c r="BXG36"/>
      <c r="BXH36"/>
      <c r="BXI36"/>
      <c r="BXJ36"/>
      <c r="BXK36"/>
      <c r="BXL36"/>
      <c r="BXM36"/>
      <c r="BXN36"/>
      <c r="BXO36"/>
      <c r="BXP36"/>
      <c r="BXQ36"/>
      <c r="BXR36"/>
      <c r="BXS36"/>
      <c r="BXT36"/>
      <c r="BXU36"/>
      <c r="BXV36"/>
      <c r="BXW36"/>
      <c r="BXX36"/>
      <c r="BXY36"/>
      <c r="BXZ36"/>
      <c r="BYA36"/>
      <c r="BYB36"/>
      <c r="BYC36"/>
      <c r="BYD36"/>
      <c r="BYE36"/>
      <c r="BYF36"/>
      <c r="BYG36"/>
      <c r="BYH36"/>
      <c r="BYI36"/>
      <c r="BYJ36"/>
      <c r="BYK36"/>
      <c r="BYL36"/>
      <c r="BYM36"/>
      <c r="BYN36"/>
      <c r="BYO36"/>
      <c r="BYP36"/>
      <c r="BYQ36"/>
      <c r="BYR36"/>
      <c r="BYS36"/>
      <c r="BYT36"/>
      <c r="BYU36"/>
      <c r="BYV36"/>
      <c r="BYW36"/>
      <c r="BYX36"/>
      <c r="BYY36"/>
      <c r="BYZ36"/>
      <c r="BZA36"/>
      <c r="BZB36"/>
      <c r="BZC36"/>
      <c r="BZD36"/>
      <c r="BZE36"/>
      <c r="BZF36"/>
      <c r="BZG36"/>
      <c r="BZH36"/>
      <c r="BZI36"/>
      <c r="BZJ36"/>
      <c r="BZK36"/>
      <c r="BZL36"/>
      <c r="BZM36"/>
      <c r="BZN36"/>
      <c r="BZO36"/>
      <c r="BZP36"/>
      <c r="BZQ36"/>
      <c r="BZR36"/>
      <c r="BZS36"/>
      <c r="BZT36"/>
      <c r="BZU36"/>
      <c r="BZV36"/>
      <c r="BZW36"/>
      <c r="BZX36"/>
      <c r="BZY36"/>
      <c r="BZZ36"/>
      <c r="CAA36"/>
      <c r="CAB36"/>
      <c r="CAC36"/>
      <c r="CAD36"/>
      <c r="CAE36"/>
      <c r="CAF36"/>
      <c r="CAG36"/>
      <c r="CAH36"/>
      <c r="CAI36"/>
      <c r="CAJ36"/>
      <c r="CAK36"/>
      <c r="CAL36"/>
      <c r="CAM36"/>
      <c r="CAN36"/>
      <c r="CAO36"/>
      <c r="CAP36"/>
      <c r="CAQ36"/>
      <c r="CAR36"/>
      <c r="CAS36"/>
      <c r="CAT36"/>
      <c r="CAU36"/>
      <c r="CAV36"/>
      <c r="CAW36"/>
      <c r="CAX36"/>
      <c r="CAY36"/>
      <c r="CAZ36"/>
      <c r="CBA36"/>
      <c r="CBB36"/>
      <c r="CBC36"/>
      <c r="CBD36"/>
      <c r="CBE36"/>
      <c r="CBF36"/>
      <c r="CBG36"/>
      <c r="CBH36"/>
      <c r="CBI36"/>
      <c r="CBJ36"/>
      <c r="CBK36"/>
      <c r="CBL36"/>
      <c r="CBM36"/>
      <c r="CBN36"/>
      <c r="CBO36"/>
      <c r="CBP36"/>
      <c r="CBQ36"/>
      <c r="CBR36"/>
      <c r="CBS36"/>
      <c r="CBT36"/>
      <c r="CBU36"/>
      <c r="CBV36"/>
      <c r="CBW36"/>
      <c r="CBX36"/>
      <c r="CBY36"/>
      <c r="CBZ36"/>
      <c r="CCA36"/>
      <c r="CCB36"/>
      <c r="CCC36"/>
      <c r="CCD36"/>
      <c r="CCE36"/>
      <c r="CCF36"/>
      <c r="CCG36"/>
      <c r="CCH36"/>
      <c r="CCI36"/>
      <c r="CCJ36"/>
      <c r="CCK36"/>
      <c r="CCL36"/>
      <c r="CCM36"/>
      <c r="CCN36"/>
      <c r="CCO36"/>
      <c r="CCP36"/>
      <c r="CCQ36"/>
      <c r="CCR36"/>
      <c r="CCS36"/>
      <c r="CCT36"/>
      <c r="CCU36"/>
      <c r="CCV36"/>
      <c r="CCW36"/>
      <c r="CCX36"/>
      <c r="CCY36"/>
      <c r="CCZ36"/>
      <c r="CDA36"/>
      <c r="CDB36"/>
      <c r="CDC36"/>
      <c r="CDD36"/>
      <c r="CDE36"/>
      <c r="CDF36"/>
      <c r="CDG36"/>
      <c r="CDH36"/>
      <c r="CDI36"/>
      <c r="CDJ36"/>
      <c r="CDK36"/>
      <c r="CDL36"/>
      <c r="CDM36"/>
      <c r="CDN36"/>
      <c r="CDO36"/>
      <c r="CDP36"/>
      <c r="CDQ36"/>
      <c r="CDR36"/>
      <c r="CDS36"/>
      <c r="CDT36"/>
      <c r="CDU36"/>
      <c r="CDV36"/>
      <c r="CDW36"/>
      <c r="CDX36"/>
      <c r="CDY36"/>
      <c r="CDZ36"/>
      <c r="CEA36"/>
      <c r="CEB36"/>
      <c r="CEC36"/>
      <c r="CED36"/>
      <c r="CEE36"/>
      <c r="CEF36"/>
      <c r="CEG36"/>
      <c r="CEH36"/>
      <c r="CEI36"/>
      <c r="CEJ36"/>
      <c r="CEK36"/>
      <c r="CEL36"/>
      <c r="CEM36"/>
      <c r="CEN36"/>
      <c r="CEO36"/>
      <c r="CEP36"/>
      <c r="CEQ36"/>
      <c r="CER36"/>
      <c r="CES36"/>
      <c r="CET36"/>
      <c r="CEU36"/>
      <c r="CEV36"/>
      <c r="CEW36"/>
      <c r="CEX36"/>
      <c r="CEY36"/>
      <c r="CEZ36"/>
      <c r="CFA36"/>
      <c r="CFB36"/>
      <c r="CFC36"/>
      <c r="CFD36"/>
      <c r="CFE36"/>
      <c r="CFF36"/>
      <c r="CFG36"/>
      <c r="CFH36"/>
      <c r="CFI36"/>
      <c r="CFJ36"/>
      <c r="CFK36"/>
      <c r="CFL36"/>
      <c r="CFM36"/>
      <c r="CFN36"/>
      <c r="CFO36"/>
      <c r="CFP36"/>
      <c r="CFQ36"/>
      <c r="CFR36"/>
      <c r="CFS36"/>
      <c r="CFT36"/>
      <c r="CFU36"/>
      <c r="CFV36"/>
      <c r="CFW36"/>
      <c r="CFX36"/>
      <c r="CFY36"/>
      <c r="CFZ36"/>
      <c r="CGA36"/>
      <c r="CGB36"/>
      <c r="CGC36"/>
      <c r="CGD36"/>
      <c r="CGE36"/>
      <c r="CGF36"/>
      <c r="CGG36"/>
      <c r="CGH36"/>
      <c r="CGI36"/>
      <c r="CGJ36"/>
      <c r="CGK36"/>
      <c r="CGL36"/>
      <c r="CGM36"/>
      <c r="CGN36"/>
      <c r="CGO36"/>
      <c r="CGP36"/>
      <c r="CGQ36"/>
      <c r="CGR36"/>
      <c r="CGS36"/>
      <c r="CGT36"/>
      <c r="CGU36"/>
      <c r="CGV36"/>
      <c r="CGW36"/>
      <c r="CGX36"/>
      <c r="CGY36"/>
      <c r="CGZ36"/>
      <c r="CHA36"/>
      <c r="CHB36"/>
      <c r="CHC36"/>
      <c r="CHD36"/>
      <c r="CHE36"/>
      <c r="CHF36"/>
      <c r="CHG36"/>
      <c r="CHH36"/>
      <c r="CHI36"/>
      <c r="CHJ36"/>
      <c r="CHK36"/>
      <c r="CHL36"/>
      <c r="CHM36"/>
      <c r="CHN36"/>
      <c r="CHO36"/>
      <c r="CHP36"/>
      <c r="CHQ36"/>
      <c r="CHR36"/>
      <c r="CHS36"/>
      <c r="CHT36"/>
      <c r="CHU36"/>
      <c r="CHV36"/>
      <c r="CHW36"/>
      <c r="CHX36"/>
      <c r="CHY36"/>
      <c r="CHZ36"/>
      <c r="CIA36"/>
      <c r="CIB36"/>
      <c r="CIC36"/>
      <c r="CID36"/>
      <c r="CIE36"/>
      <c r="CIF36"/>
      <c r="CIG36"/>
      <c r="CIH36"/>
      <c r="CII36"/>
      <c r="CIJ36"/>
      <c r="CIK36"/>
      <c r="CIL36"/>
      <c r="CIM36"/>
      <c r="CIN36"/>
      <c r="CIO36"/>
      <c r="CIP36"/>
      <c r="CIQ36"/>
      <c r="CIR36"/>
      <c r="CIS36"/>
      <c r="CIT36"/>
      <c r="CIU36"/>
      <c r="CIV36"/>
      <c r="CIW36"/>
      <c r="CIX36"/>
      <c r="CIY36"/>
      <c r="CIZ36"/>
      <c r="CJA36"/>
      <c r="CJB36"/>
      <c r="CJC36"/>
      <c r="CJD36"/>
      <c r="CJE36"/>
      <c r="CJF36"/>
      <c r="CJG36"/>
      <c r="CJH36"/>
      <c r="CJI36"/>
      <c r="CJJ36"/>
      <c r="CJK36"/>
      <c r="CJL36"/>
      <c r="CJM36"/>
      <c r="CJN36"/>
      <c r="CJO36"/>
      <c r="CJP36"/>
      <c r="CJQ36"/>
      <c r="CJR36"/>
      <c r="CJS36"/>
      <c r="CJT36"/>
      <c r="CJU36"/>
      <c r="CJV36"/>
      <c r="CJW36"/>
      <c r="CJX36"/>
      <c r="CJY36"/>
      <c r="CJZ36"/>
      <c r="CKA36"/>
      <c r="CKB36"/>
      <c r="CKC36"/>
      <c r="CKD36"/>
      <c r="CKE36"/>
      <c r="CKF36"/>
      <c r="CKG36"/>
      <c r="CKH36"/>
      <c r="CKI36"/>
      <c r="CKJ36"/>
      <c r="CKK36"/>
      <c r="CKL36"/>
      <c r="CKM36"/>
      <c r="CKN36"/>
      <c r="CKO36"/>
      <c r="CKP36"/>
      <c r="CKQ36"/>
      <c r="CKR36"/>
      <c r="CKS36"/>
      <c r="CKT36"/>
      <c r="CKU36"/>
      <c r="CKV36"/>
      <c r="CKW36"/>
      <c r="CKX36"/>
      <c r="CKY36"/>
      <c r="CKZ36"/>
      <c r="CLA36"/>
      <c r="CLB36"/>
      <c r="CLC36"/>
      <c r="CLD36"/>
      <c r="CLE36"/>
      <c r="CLF36"/>
      <c r="CLG36"/>
      <c r="CLH36"/>
      <c r="CLI36"/>
      <c r="CLJ36"/>
      <c r="CLK36"/>
      <c r="CLL36"/>
      <c r="CLM36"/>
      <c r="CLN36"/>
      <c r="CLO36"/>
      <c r="CLP36"/>
      <c r="CLQ36"/>
      <c r="CLR36"/>
      <c r="CLS36"/>
      <c r="CLT36"/>
      <c r="CLU36"/>
      <c r="CLV36"/>
      <c r="CLW36"/>
      <c r="CLX36"/>
      <c r="CLY36"/>
      <c r="CLZ36"/>
      <c r="CMA36"/>
      <c r="CMB36"/>
      <c r="CMC36"/>
      <c r="CMD36"/>
      <c r="CME36"/>
      <c r="CMF36"/>
      <c r="CMG36"/>
      <c r="CMH36"/>
      <c r="CMI36"/>
      <c r="CMJ36"/>
      <c r="CMK36"/>
      <c r="CML36"/>
      <c r="CMM36"/>
      <c r="CMN36"/>
      <c r="CMO36"/>
      <c r="CMP36"/>
      <c r="CMQ36"/>
      <c r="CMR36"/>
      <c r="CMS36"/>
      <c r="CMT36"/>
      <c r="CMU36"/>
      <c r="CMV36"/>
      <c r="CMW36"/>
      <c r="CMX36"/>
      <c r="CMY36"/>
      <c r="CMZ36"/>
      <c r="CNA36"/>
      <c r="CNB36"/>
      <c r="CNC36"/>
      <c r="CND36"/>
      <c r="CNE36"/>
      <c r="CNF36"/>
      <c r="CNG36"/>
      <c r="CNH36"/>
      <c r="CNI36"/>
      <c r="CNJ36"/>
      <c r="CNK36"/>
      <c r="CNL36"/>
      <c r="CNM36"/>
      <c r="CNN36"/>
      <c r="CNO36"/>
      <c r="CNP36"/>
      <c r="CNQ36"/>
      <c r="CNR36"/>
      <c r="CNS36"/>
      <c r="CNT36"/>
      <c r="CNU36"/>
      <c r="CNV36"/>
      <c r="CNW36"/>
      <c r="CNX36"/>
      <c r="CNY36"/>
      <c r="CNZ36"/>
      <c r="COA36"/>
      <c r="COB36"/>
      <c r="COC36"/>
      <c r="COD36"/>
      <c r="COE36"/>
      <c r="COF36"/>
      <c r="COG36"/>
      <c r="COH36"/>
      <c r="COI36"/>
      <c r="COJ36"/>
      <c r="COK36"/>
      <c r="COL36"/>
      <c r="COM36"/>
      <c r="CON36"/>
      <c r="COO36"/>
      <c r="COP36"/>
      <c r="COQ36"/>
      <c r="COR36"/>
      <c r="COS36"/>
      <c r="COT36"/>
      <c r="COU36"/>
      <c r="COV36"/>
      <c r="COW36"/>
      <c r="COX36"/>
      <c r="COY36"/>
      <c r="COZ36"/>
      <c r="CPA36"/>
      <c r="CPB36"/>
      <c r="CPC36"/>
      <c r="CPD36"/>
      <c r="CPE36"/>
      <c r="CPF36"/>
      <c r="CPG36"/>
      <c r="CPH36"/>
      <c r="CPI36"/>
      <c r="CPJ36"/>
      <c r="CPK36"/>
      <c r="CPL36"/>
      <c r="CPM36"/>
      <c r="CPN36"/>
      <c r="CPO36"/>
      <c r="CPP36"/>
      <c r="CPQ36"/>
      <c r="CPR36"/>
      <c r="CPS36"/>
      <c r="CPT36"/>
      <c r="CPU36"/>
      <c r="CPV36"/>
      <c r="CPW36"/>
      <c r="CPX36"/>
      <c r="CPY36"/>
      <c r="CPZ36"/>
      <c r="CQA36"/>
      <c r="CQB36"/>
      <c r="CQC36"/>
      <c r="CQD36"/>
      <c r="CQE36"/>
      <c r="CQF36"/>
      <c r="CQG36"/>
      <c r="CQH36"/>
      <c r="CQI36"/>
      <c r="CQJ36"/>
      <c r="CQK36"/>
      <c r="CQL36"/>
      <c r="CQM36"/>
      <c r="CQN36"/>
      <c r="CQO36"/>
      <c r="CQP36"/>
      <c r="CQQ36"/>
      <c r="CQR36"/>
      <c r="CQS36"/>
      <c r="CQT36"/>
      <c r="CQU36"/>
      <c r="CQV36"/>
      <c r="CQW36"/>
      <c r="CQX36"/>
      <c r="CQY36"/>
      <c r="CQZ36"/>
      <c r="CRA36"/>
      <c r="CRB36"/>
      <c r="CRC36"/>
      <c r="CRD36"/>
      <c r="CRE36"/>
      <c r="CRF36"/>
      <c r="CRG36"/>
      <c r="CRH36"/>
      <c r="CRI36"/>
      <c r="CRJ36"/>
      <c r="CRK36"/>
      <c r="CRL36"/>
      <c r="CRM36"/>
      <c r="CRN36"/>
      <c r="CRO36"/>
      <c r="CRP36"/>
      <c r="CRQ36"/>
      <c r="CRR36"/>
      <c r="CRS36"/>
      <c r="CRT36"/>
      <c r="CRU36"/>
      <c r="CRV36"/>
      <c r="CRW36"/>
      <c r="CRX36"/>
      <c r="CRY36"/>
      <c r="CRZ36"/>
      <c r="CSA36"/>
      <c r="CSB36"/>
      <c r="CSC36"/>
      <c r="CSD36"/>
      <c r="CSE36"/>
      <c r="CSF36"/>
      <c r="CSG36"/>
      <c r="CSH36"/>
      <c r="CSI36"/>
      <c r="CSJ36"/>
      <c r="CSK36"/>
      <c r="CSL36"/>
      <c r="CSM36"/>
      <c r="CSN36"/>
      <c r="CSO36"/>
      <c r="CSP36"/>
      <c r="CSQ36"/>
      <c r="CSR36"/>
      <c r="CSS36"/>
      <c r="CST36"/>
      <c r="CSU36"/>
      <c r="CSV36"/>
      <c r="CSW36"/>
      <c r="CSX36"/>
      <c r="CSY36"/>
      <c r="CSZ36"/>
      <c r="CTA36"/>
      <c r="CTB36"/>
      <c r="CTC36"/>
      <c r="CTD36"/>
      <c r="CTE36"/>
      <c r="CTF36"/>
      <c r="CTG36"/>
      <c r="CTH36"/>
      <c r="CTI36"/>
      <c r="CTJ36"/>
      <c r="CTK36"/>
      <c r="CTL36"/>
      <c r="CTM36"/>
      <c r="CTN36"/>
      <c r="CTO36"/>
      <c r="CTP36"/>
      <c r="CTQ36"/>
      <c r="CTR36"/>
      <c r="CTS36"/>
      <c r="CTT36"/>
      <c r="CTU36"/>
      <c r="CTV36"/>
      <c r="CTW36"/>
      <c r="CTX36"/>
      <c r="CTY36"/>
      <c r="CTZ36"/>
      <c r="CUA36"/>
      <c r="CUB36"/>
      <c r="CUC36"/>
      <c r="CUD36"/>
      <c r="CUE36"/>
      <c r="CUF36"/>
      <c r="CUG36"/>
      <c r="CUH36"/>
      <c r="CUI36"/>
      <c r="CUJ36"/>
      <c r="CUK36"/>
      <c r="CUL36"/>
      <c r="CUM36"/>
      <c r="CUN36"/>
      <c r="CUO36"/>
      <c r="CUP36"/>
      <c r="CUQ36"/>
      <c r="CUR36"/>
      <c r="CUS36"/>
      <c r="CUT36"/>
      <c r="CUU36"/>
      <c r="CUV36"/>
      <c r="CUW36"/>
      <c r="CUX36"/>
      <c r="CUY36"/>
      <c r="CUZ36"/>
      <c r="CVA36"/>
      <c r="CVB36"/>
      <c r="CVC36"/>
      <c r="CVD36"/>
      <c r="CVE36"/>
      <c r="CVF36"/>
      <c r="CVG36"/>
      <c r="CVH36"/>
      <c r="CVI36"/>
      <c r="CVJ36"/>
      <c r="CVK36"/>
      <c r="CVL36"/>
      <c r="CVM36"/>
      <c r="CVN36"/>
      <c r="CVO36"/>
      <c r="CVP36"/>
      <c r="CVQ36"/>
      <c r="CVR36"/>
      <c r="CVS36"/>
      <c r="CVT36"/>
      <c r="CVU36"/>
      <c r="CVV36"/>
      <c r="CVW36"/>
      <c r="CVX36"/>
      <c r="CVY36"/>
      <c r="CVZ36"/>
      <c r="CWA36"/>
      <c r="CWB36"/>
      <c r="CWC36"/>
      <c r="CWD36"/>
      <c r="CWE36"/>
      <c r="CWF36"/>
      <c r="CWG36"/>
      <c r="CWH36"/>
      <c r="CWI36"/>
      <c r="CWJ36"/>
      <c r="CWK36"/>
      <c r="CWL36"/>
      <c r="CWM36"/>
      <c r="CWN36"/>
      <c r="CWO36"/>
      <c r="CWP36"/>
      <c r="CWQ36"/>
      <c r="CWR36"/>
      <c r="CWS36"/>
      <c r="CWT36"/>
      <c r="CWU36"/>
      <c r="CWV36"/>
      <c r="CWW36"/>
      <c r="CWX36"/>
      <c r="CWY36"/>
      <c r="CWZ36"/>
      <c r="CXA36"/>
      <c r="CXB36"/>
      <c r="CXC36"/>
      <c r="CXD36"/>
      <c r="CXE36"/>
      <c r="CXF36"/>
      <c r="CXG36"/>
      <c r="CXH36"/>
      <c r="CXI36"/>
      <c r="CXJ36"/>
      <c r="CXK36"/>
      <c r="CXL36"/>
      <c r="CXM36"/>
      <c r="CXN36"/>
      <c r="CXO36"/>
      <c r="CXP36"/>
      <c r="CXQ36"/>
      <c r="CXR36"/>
      <c r="CXS36"/>
      <c r="CXT36"/>
      <c r="CXU36"/>
      <c r="CXV36"/>
      <c r="CXW36"/>
      <c r="CXX36"/>
      <c r="CXY36"/>
      <c r="CXZ36"/>
      <c r="CYA36"/>
      <c r="CYB36"/>
      <c r="CYC36"/>
      <c r="CYD36"/>
      <c r="CYE36"/>
      <c r="CYF36"/>
      <c r="CYG36"/>
      <c r="CYH36"/>
      <c r="CYI36"/>
      <c r="CYJ36"/>
      <c r="CYK36"/>
      <c r="CYL36"/>
      <c r="CYM36"/>
      <c r="CYN36"/>
      <c r="CYO36"/>
      <c r="CYP36"/>
      <c r="CYQ36"/>
      <c r="CYR36"/>
      <c r="CYS36"/>
      <c r="CYT36"/>
      <c r="CYU36"/>
      <c r="CYV36"/>
      <c r="CYW36"/>
      <c r="CYX36"/>
      <c r="CYY36"/>
      <c r="CYZ36"/>
      <c r="CZA36"/>
      <c r="CZB36"/>
      <c r="CZC36"/>
      <c r="CZD36"/>
      <c r="CZE36"/>
      <c r="CZF36"/>
      <c r="CZG36"/>
      <c r="CZH36"/>
      <c r="CZI36"/>
      <c r="CZJ36"/>
      <c r="CZK36"/>
      <c r="CZL36"/>
      <c r="CZM36"/>
      <c r="CZN36"/>
      <c r="CZO36"/>
      <c r="CZP36"/>
      <c r="CZQ36"/>
      <c r="CZR36"/>
      <c r="CZS36"/>
      <c r="CZT36"/>
      <c r="CZU36"/>
      <c r="CZV36"/>
      <c r="CZW36"/>
      <c r="CZX36"/>
      <c r="CZY36"/>
      <c r="CZZ36"/>
      <c r="DAA36"/>
      <c r="DAB36"/>
      <c r="DAC36"/>
      <c r="DAD36"/>
      <c r="DAE36"/>
      <c r="DAF36"/>
      <c r="DAG36"/>
      <c r="DAH36"/>
      <c r="DAI36"/>
      <c r="DAJ36"/>
      <c r="DAK36"/>
      <c r="DAL36"/>
      <c r="DAM36"/>
      <c r="DAN36"/>
      <c r="DAO36"/>
      <c r="DAP36"/>
      <c r="DAQ36"/>
      <c r="DAR36"/>
      <c r="DAS36"/>
      <c r="DAT36"/>
      <c r="DAU36"/>
      <c r="DAV36"/>
      <c r="DAW36"/>
      <c r="DAX36"/>
      <c r="DAY36"/>
      <c r="DAZ36"/>
      <c r="DBA36"/>
      <c r="DBB36"/>
      <c r="DBC36"/>
      <c r="DBD36"/>
      <c r="DBE36"/>
      <c r="DBF36"/>
      <c r="DBG36"/>
      <c r="DBH36"/>
      <c r="DBI36"/>
      <c r="DBJ36"/>
      <c r="DBK36"/>
      <c r="DBL36"/>
      <c r="DBM36"/>
      <c r="DBN36"/>
      <c r="DBO36"/>
      <c r="DBP36"/>
      <c r="DBQ36"/>
      <c r="DBR36"/>
      <c r="DBS36"/>
      <c r="DBT36"/>
      <c r="DBU36"/>
      <c r="DBV36"/>
      <c r="DBW36"/>
      <c r="DBX36"/>
      <c r="DBY36"/>
      <c r="DBZ36"/>
      <c r="DCA36"/>
      <c r="DCB36"/>
      <c r="DCC36"/>
      <c r="DCD36"/>
      <c r="DCE36"/>
      <c r="DCF36"/>
      <c r="DCG36"/>
      <c r="DCH36"/>
      <c r="DCI36"/>
      <c r="DCJ36"/>
      <c r="DCK36"/>
      <c r="DCL36"/>
      <c r="DCM36"/>
      <c r="DCN36"/>
      <c r="DCO36"/>
      <c r="DCP36"/>
      <c r="DCQ36"/>
      <c r="DCR36"/>
      <c r="DCS36"/>
      <c r="DCT36"/>
      <c r="DCU36"/>
      <c r="DCV36"/>
      <c r="DCW36"/>
      <c r="DCX36"/>
      <c r="DCY36"/>
      <c r="DCZ36"/>
      <c r="DDA36"/>
      <c r="DDB36"/>
      <c r="DDC36"/>
      <c r="DDD36"/>
      <c r="DDE36"/>
      <c r="DDF36"/>
      <c r="DDG36"/>
      <c r="DDH36"/>
      <c r="DDI36"/>
      <c r="DDJ36"/>
      <c r="DDK36"/>
      <c r="DDL36"/>
      <c r="DDM36"/>
      <c r="DDN36"/>
      <c r="DDO36"/>
      <c r="DDP36"/>
      <c r="DDQ36"/>
      <c r="DDR36"/>
      <c r="DDS36"/>
      <c r="DDT36"/>
      <c r="DDU36"/>
      <c r="DDV36"/>
      <c r="DDW36"/>
      <c r="DDX36"/>
      <c r="DDY36"/>
      <c r="DDZ36"/>
      <c r="DEA36"/>
      <c r="DEB36"/>
      <c r="DEC36"/>
      <c r="DED36"/>
      <c r="DEE36"/>
      <c r="DEF36"/>
      <c r="DEG36"/>
      <c r="DEH36"/>
      <c r="DEI36"/>
      <c r="DEJ36"/>
      <c r="DEK36"/>
      <c r="DEL36"/>
      <c r="DEM36"/>
      <c r="DEN36"/>
      <c r="DEO36"/>
      <c r="DEP36"/>
      <c r="DEQ36"/>
      <c r="DER36"/>
      <c r="DES36"/>
      <c r="DET36"/>
      <c r="DEU36"/>
      <c r="DEV36"/>
      <c r="DEW36"/>
      <c r="DEX36"/>
      <c r="DEY36"/>
      <c r="DEZ36"/>
      <c r="DFA36"/>
      <c r="DFB36"/>
      <c r="DFC36"/>
      <c r="DFD36"/>
      <c r="DFE36"/>
      <c r="DFF36"/>
      <c r="DFG36"/>
      <c r="DFH36"/>
      <c r="DFI36"/>
      <c r="DFJ36"/>
      <c r="DFK36"/>
      <c r="DFL36"/>
      <c r="DFM36"/>
      <c r="DFN36"/>
      <c r="DFO36"/>
      <c r="DFP36"/>
      <c r="DFQ36"/>
      <c r="DFR36"/>
      <c r="DFS36"/>
      <c r="DFT36"/>
      <c r="DFU36"/>
      <c r="DFV36"/>
      <c r="DFW36"/>
      <c r="DFX36"/>
      <c r="DFY36"/>
      <c r="DFZ36"/>
      <c r="DGA36"/>
      <c r="DGB36"/>
      <c r="DGC36"/>
      <c r="DGD36"/>
      <c r="DGE36"/>
      <c r="DGF36"/>
      <c r="DGG36"/>
      <c r="DGH36"/>
      <c r="DGI36"/>
      <c r="DGJ36"/>
      <c r="DGK36"/>
      <c r="DGL36"/>
      <c r="DGM36"/>
      <c r="DGN36"/>
      <c r="DGO36"/>
      <c r="DGP36"/>
      <c r="DGQ36"/>
      <c r="DGR36"/>
      <c r="DGS36"/>
      <c r="DGT36"/>
      <c r="DGU36"/>
      <c r="DGV36"/>
      <c r="DGW36"/>
      <c r="DGX36"/>
      <c r="DGY36"/>
      <c r="DGZ36"/>
      <c r="DHA36"/>
      <c r="DHB36"/>
      <c r="DHC36"/>
      <c r="DHD36"/>
      <c r="DHE36"/>
      <c r="DHF36"/>
      <c r="DHG36"/>
      <c r="DHH36"/>
      <c r="DHI36"/>
      <c r="DHJ36"/>
      <c r="DHK36"/>
      <c r="DHL36"/>
      <c r="DHM36"/>
      <c r="DHN36"/>
      <c r="DHO36"/>
      <c r="DHP36"/>
      <c r="DHQ36"/>
      <c r="DHR36"/>
      <c r="DHS36"/>
      <c r="DHT36"/>
      <c r="DHU36"/>
      <c r="DHV36"/>
      <c r="DHW36"/>
      <c r="DHX36"/>
      <c r="DHY36"/>
      <c r="DHZ36"/>
      <c r="DIA36"/>
      <c r="DIB36"/>
      <c r="DIC36"/>
      <c r="DID36"/>
      <c r="DIE36"/>
      <c r="DIF36"/>
      <c r="DIG36"/>
      <c r="DIH36"/>
      <c r="DII36"/>
      <c r="DIJ36"/>
      <c r="DIK36"/>
      <c r="DIL36"/>
      <c r="DIM36"/>
      <c r="DIN36"/>
      <c r="DIO36"/>
      <c r="DIP36"/>
      <c r="DIQ36"/>
      <c r="DIR36"/>
      <c r="DIS36"/>
      <c r="DIT36"/>
      <c r="DIU36"/>
      <c r="DIV36"/>
      <c r="DIW36"/>
      <c r="DIX36"/>
      <c r="DIY36"/>
      <c r="DIZ36"/>
      <c r="DJA36"/>
      <c r="DJB36"/>
      <c r="DJC36"/>
      <c r="DJD36"/>
      <c r="DJE36"/>
      <c r="DJF36"/>
      <c r="DJG36"/>
      <c r="DJH36"/>
      <c r="DJI36"/>
      <c r="DJJ36"/>
      <c r="DJK36"/>
      <c r="DJL36"/>
      <c r="DJM36"/>
      <c r="DJN36"/>
      <c r="DJO36"/>
      <c r="DJP36"/>
      <c r="DJQ36"/>
      <c r="DJR36"/>
      <c r="DJS36"/>
      <c r="DJT36"/>
      <c r="DJU36"/>
      <c r="DJV36"/>
      <c r="DJW36"/>
      <c r="DJX36"/>
      <c r="DJY36"/>
      <c r="DJZ36"/>
      <c r="DKA36"/>
      <c r="DKB36"/>
      <c r="DKC36"/>
      <c r="DKD36"/>
      <c r="DKE36"/>
      <c r="DKF36"/>
      <c r="DKG36"/>
      <c r="DKH36"/>
      <c r="DKI36"/>
      <c r="DKJ36"/>
      <c r="DKK36"/>
      <c r="DKL36"/>
      <c r="DKM36"/>
      <c r="DKN36"/>
      <c r="DKO36"/>
      <c r="DKP36"/>
      <c r="DKQ36"/>
      <c r="DKR36"/>
      <c r="DKS36"/>
      <c r="DKT36"/>
      <c r="DKU36"/>
      <c r="DKV36"/>
      <c r="DKW36"/>
      <c r="DKX36"/>
      <c r="DKY36"/>
      <c r="DKZ36"/>
      <c r="DLA36"/>
      <c r="DLB36"/>
      <c r="DLC36"/>
      <c r="DLD36"/>
      <c r="DLE36"/>
      <c r="DLF36"/>
      <c r="DLG36"/>
      <c r="DLH36"/>
      <c r="DLI36"/>
      <c r="DLJ36"/>
      <c r="DLK36"/>
      <c r="DLL36"/>
      <c r="DLM36"/>
      <c r="DLN36"/>
      <c r="DLO36"/>
      <c r="DLP36"/>
      <c r="DLQ36"/>
      <c r="DLR36"/>
      <c r="DLS36"/>
      <c r="DLT36"/>
      <c r="DLU36"/>
      <c r="DLV36"/>
      <c r="DLW36"/>
      <c r="DLX36"/>
      <c r="DLY36"/>
      <c r="DLZ36"/>
      <c r="DMA36"/>
      <c r="DMB36"/>
      <c r="DMC36"/>
      <c r="DMD36"/>
      <c r="DME36"/>
      <c r="DMF36"/>
      <c r="DMG36"/>
      <c r="DMH36"/>
      <c r="DMI36"/>
      <c r="DMJ36"/>
      <c r="DMK36"/>
      <c r="DML36"/>
      <c r="DMM36"/>
      <c r="DMN36"/>
      <c r="DMO36"/>
      <c r="DMP36"/>
      <c r="DMQ36"/>
      <c r="DMR36"/>
      <c r="DMS36"/>
      <c r="DMT36"/>
      <c r="DMU36"/>
      <c r="DMV36"/>
      <c r="DMW36"/>
      <c r="DMX36"/>
      <c r="DMY36"/>
      <c r="DMZ36"/>
      <c r="DNA36"/>
      <c r="DNB36"/>
      <c r="DNC36"/>
      <c r="DND36"/>
      <c r="DNE36"/>
      <c r="DNF36"/>
      <c r="DNG36"/>
      <c r="DNH36"/>
      <c r="DNI36"/>
      <c r="DNJ36"/>
      <c r="DNK36"/>
      <c r="DNL36"/>
      <c r="DNM36"/>
      <c r="DNN36"/>
      <c r="DNO36"/>
      <c r="DNP36"/>
      <c r="DNQ36"/>
      <c r="DNR36"/>
      <c r="DNS36"/>
      <c r="DNT36"/>
      <c r="DNU36"/>
      <c r="DNV36"/>
      <c r="DNW36"/>
      <c r="DNX36"/>
      <c r="DNY36"/>
      <c r="DNZ36"/>
      <c r="DOA36"/>
      <c r="DOB36"/>
      <c r="DOC36"/>
      <c r="DOD36"/>
      <c r="DOE36"/>
      <c r="DOF36"/>
      <c r="DOG36"/>
      <c r="DOH36"/>
      <c r="DOI36"/>
      <c r="DOJ36"/>
      <c r="DOK36"/>
      <c r="DOL36"/>
      <c r="DOM36"/>
      <c r="DON36"/>
      <c r="DOO36"/>
      <c r="DOP36"/>
      <c r="DOQ36"/>
      <c r="DOR36"/>
      <c r="DOS36"/>
      <c r="DOT36"/>
      <c r="DOU36"/>
      <c r="DOV36"/>
      <c r="DOW36"/>
      <c r="DOX36"/>
      <c r="DOY36"/>
      <c r="DOZ36"/>
      <c r="DPA36"/>
      <c r="DPB36"/>
      <c r="DPC36"/>
      <c r="DPD36"/>
      <c r="DPE36"/>
      <c r="DPF36"/>
      <c r="DPG36"/>
      <c r="DPH36"/>
      <c r="DPI36"/>
      <c r="DPJ36"/>
      <c r="DPK36"/>
      <c r="DPL36"/>
      <c r="DPM36"/>
      <c r="DPN36"/>
      <c r="DPO36"/>
      <c r="DPP36"/>
      <c r="DPQ36"/>
      <c r="DPR36"/>
      <c r="DPS36"/>
      <c r="DPT36"/>
      <c r="DPU36"/>
      <c r="DPV36"/>
      <c r="DPW36"/>
      <c r="DPX36"/>
      <c r="DPY36"/>
      <c r="DPZ36"/>
      <c r="DQA36"/>
      <c r="DQB36"/>
      <c r="DQC36"/>
      <c r="DQD36"/>
      <c r="DQE36"/>
      <c r="DQF36"/>
      <c r="DQG36"/>
      <c r="DQH36"/>
      <c r="DQI36"/>
      <c r="DQJ36"/>
      <c r="DQK36"/>
      <c r="DQL36"/>
      <c r="DQM36"/>
      <c r="DQN36"/>
      <c r="DQO36"/>
      <c r="DQP36"/>
      <c r="DQQ36"/>
      <c r="DQR36"/>
      <c r="DQS36"/>
      <c r="DQT36"/>
      <c r="DQU36"/>
      <c r="DQV36"/>
      <c r="DQW36"/>
      <c r="DQX36"/>
      <c r="DQY36"/>
      <c r="DQZ36"/>
      <c r="DRA36"/>
      <c r="DRB36"/>
      <c r="DRC36"/>
      <c r="DRD36"/>
      <c r="DRE36"/>
      <c r="DRF36"/>
      <c r="DRG36"/>
      <c r="DRH36"/>
      <c r="DRI36"/>
      <c r="DRJ36"/>
      <c r="DRK36"/>
      <c r="DRL36"/>
      <c r="DRM36"/>
      <c r="DRN36"/>
      <c r="DRO36"/>
      <c r="DRP36"/>
      <c r="DRQ36"/>
      <c r="DRR36"/>
      <c r="DRS36"/>
      <c r="DRT36"/>
      <c r="DRU36"/>
      <c r="DRV36"/>
      <c r="DRW36"/>
      <c r="DRX36"/>
      <c r="DRY36"/>
      <c r="DRZ36"/>
      <c r="DSA36"/>
      <c r="DSB36"/>
      <c r="DSC36"/>
      <c r="DSD36"/>
      <c r="DSE36"/>
      <c r="DSF36"/>
      <c r="DSG36"/>
      <c r="DSH36"/>
      <c r="DSI36"/>
      <c r="DSJ36"/>
      <c r="DSK36"/>
      <c r="DSL36"/>
      <c r="DSM36"/>
      <c r="DSN36"/>
      <c r="DSO36"/>
      <c r="DSP36"/>
      <c r="DSQ36"/>
      <c r="DSR36"/>
      <c r="DSS36"/>
      <c r="DST36"/>
      <c r="DSU36"/>
      <c r="DSV36"/>
      <c r="DSW36"/>
      <c r="DSX36"/>
      <c r="DSY36"/>
      <c r="DSZ36"/>
      <c r="DTA36"/>
      <c r="DTB36"/>
      <c r="DTC36"/>
      <c r="DTD36"/>
      <c r="DTE36"/>
      <c r="DTF36"/>
      <c r="DTG36"/>
      <c r="DTH36"/>
      <c r="DTI36"/>
      <c r="DTJ36"/>
      <c r="DTK36"/>
      <c r="DTL36"/>
      <c r="DTM36"/>
      <c r="DTN36"/>
      <c r="DTO36"/>
      <c r="DTP36"/>
      <c r="DTQ36"/>
      <c r="DTR36"/>
      <c r="DTS36"/>
      <c r="DTT36"/>
      <c r="DTU36"/>
      <c r="DTV36"/>
      <c r="DTW36"/>
      <c r="DTX36"/>
      <c r="DTY36"/>
      <c r="DTZ36"/>
      <c r="DUA36"/>
      <c r="DUB36"/>
      <c r="DUC36"/>
      <c r="DUD36"/>
      <c r="DUE36"/>
      <c r="DUF36"/>
      <c r="DUG36"/>
      <c r="DUH36"/>
      <c r="DUI36"/>
      <c r="DUJ36"/>
      <c r="DUK36"/>
      <c r="DUL36"/>
      <c r="DUM36"/>
      <c r="DUN36"/>
      <c r="DUO36"/>
      <c r="DUP36"/>
      <c r="DUQ36"/>
      <c r="DUR36"/>
      <c r="DUS36"/>
      <c r="DUT36"/>
      <c r="DUU36"/>
      <c r="DUV36"/>
      <c r="DUW36"/>
      <c r="DUX36"/>
      <c r="DUY36"/>
      <c r="DUZ36"/>
      <c r="DVA36"/>
      <c r="DVB36"/>
      <c r="DVC36"/>
      <c r="DVD36"/>
      <c r="DVE36"/>
      <c r="DVF36"/>
      <c r="DVG36"/>
      <c r="DVH36"/>
      <c r="DVI36"/>
      <c r="DVJ36"/>
      <c r="DVK36"/>
      <c r="DVL36"/>
      <c r="DVM36"/>
      <c r="DVN36"/>
      <c r="DVO36"/>
      <c r="DVP36"/>
      <c r="DVQ36"/>
      <c r="DVR36"/>
      <c r="DVS36"/>
      <c r="DVT36"/>
      <c r="DVU36"/>
      <c r="DVV36"/>
      <c r="DVW36"/>
      <c r="DVX36"/>
      <c r="DVY36"/>
      <c r="DVZ36"/>
      <c r="DWA36"/>
      <c r="DWB36"/>
      <c r="DWC36"/>
      <c r="DWD36"/>
      <c r="DWE36"/>
      <c r="DWF36"/>
      <c r="DWG36"/>
      <c r="DWH36"/>
      <c r="DWI36"/>
      <c r="DWJ36"/>
      <c r="DWK36"/>
      <c r="DWL36"/>
      <c r="DWM36"/>
      <c r="DWN36"/>
      <c r="DWO36"/>
      <c r="DWP36"/>
      <c r="DWQ36"/>
      <c r="DWR36"/>
      <c r="DWS36"/>
      <c r="DWT36"/>
      <c r="DWU36"/>
      <c r="DWV36"/>
      <c r="DWW36"/>
      <c r="DWX36"/>
      <c r="DWY36"/>
      <c r="DWZ36"/>
      <c r="DXA36"/>
      <c r="DXB36"/>
      <c r="DXC36"/>
      <c r="DXD36"/>
      <c r="DXE36"/>
      <c r="DXF36"/>
      <c r="DXG36"/>
      <c r="DXH36"/>
      <c r="DXI36"/>
      <c r="DXJ36"/>
      <c r="DXK36"/>
      <c r="DXL36"/>
      <c r="DXM36"/>
      <c r="DXN36"/>
      <c r="DXO36"/>
      <c r="DXP36"/>
      <c r="DXQ36"/>
      <c r="DXR36"/>
      <c r="DXS36"/>
      <c r="DXT36"/>
      <c r="DXU36"/>
      <c r="DXV36"/>
      <c r="DXW36"/>
      <c r="DXX36"/>
      <c r="DXY36"/>
      <c r="DXZ36"/>
      <c r="DYA36"/>
      <c r="DYB36"/>
      <c r="DYC36"/>
      <c r="DYD36"/>
      <c r="DYE36"/>
      <c r="DYF36"/>
      <c r="DYG36"/>
      <c r="DYH36"/>
      <c r="DYI36"/>
      <c r="DYJ36"/>
      <c r="DYK36"/>
      <c r="DYL36"/>
      <c r="DYM36"/>
      <c r="DYN36"/>
      <c r="DYO36"/>
      <c r="DYP36"/>
      <c r="DYQ36"/>
      <c r="DYR36"/>
      <c r="DYS36"/>
      <c r="DYT36"/>
      <c r="DYU36"/>
      <c r="DYV36"/>
      <c r="DYW36"/>
      <c r="DYX36"/>
      <c r="DYY36"/>
      <c r="DYZ36"/>
      <c r="DZA36"/>
      <c r="DZB36"/>
      <c r="DZC36"/>
      <c r="DZD36"/>
      <c r="DZE36"/>
      <c r="DZF36"/>
      <c r="DZG36"/>
      <c r="DZH36"/>
      <c r="DZI36"/>
      <c r="DZJ36"/>
      <c r="DZK36"/>
      <c r="DZL36"/>
      <c r="DZM36"/>
      <c r="DZN36"/>
      <c r="DZO36"/>
      <c r="DZP36"/>
      <c r="DZQ36"/>
      <c r="DZR36"/>
      <c r="DZS36"/>
      <c r="DZT36"/>
      <c r="DZU36"/>
      <c r="DZV36"/>
      <c r="DZW36"/>
      <c r="DZX36"/>
      <c r="DZY36"/>
      <c r="DZZ36"/>
      <c r="EAA36"/>
      <c r="EAB36"/>
      <c r="EAC36"/>
      <c r="EAD36"/>
      <c r="EAE36"/>
      <c r="EAF36"/>
      <c r="EAG36"/>
      <c r="EAH36"/>
      <c r="EAI36"/>
      <c r="EAJ36"/>
      <c r="EAK36"/>
      <c r="EAL36"/>
      <c r="EAM36"/>
      <c r="EAN36"/>
      <c r="EAO36"/>
      <c r="EAP36"/>
      <c r="EAQ36"/>
      <c r="EAR36"/>
      <c r="EAS36"/>
      <c r="EAT36"/>
      <c r="EAU36"/>
      <c r="EAV36"/>
      <c r="EAW36"/>
      <c r="EAX36"/>
      <c r="EAY36"/>
      <c r="EAZ36"/>
      <c r="EBA36"/>
      <c r="EBB36"/>
      <c r="EBC36"/>
      <c r="EBD36"/>
      <c r="EBE36"/>
      <c r="EBF36"/>
      <c r="EBG36"/>
      <c r="EBH36"/>
      <c r="EBI36"/>
      <c r="EBJ36"/>
      <c r="EBK36"/>
      <c r="EBL36"/>
      <c r="EBM36"/>
      <c r="EBN36"/>
      <c r="EBO36"/>
      <c r="EBP36"/>
      <c r="EBQ36"/>
      <c r="EBR36"/>
      <c r="EBS36"/>
      <c r="EBT36"/>
      <c r="EBU36"/>
      <c r="EBV36"/>
      <c r="EBW36"/>
      <c r="EBX36"/>
      <c r="EBY36"/>
      <c r="EBZ36"/>
      <c r="ECA36"/>
      <c r="ECB36"/>
      <c r="ECC36"/>
      <c r="ECD36"/>
      <c r="ECE36"/>
      <c r="ECF36"/>
      <c r="ECG36"/>
      <c r="ECH36"/>
      <c r="ECI36"/>
      <c r="ECJ36"/>
      <c r="ECK36"/>
      <c r="ECL36"/>
      <c r="ECM36"/>
      <c r="ECN36"/>
      <c r="ECO36"/>
      <c r="ECP36"/>
      <c r="ECQ36"/>
      <c r="ECR36"/>
      <c r="ECS36"/>
      <c r="ECT36"/>
      <c r="ECU36"/>
      <c r="ECV36"/>
      <c r="ECW36"/>
      <c r="ECX36"/>
      <c r="ECY36"/>
      <c r="ECZ36"/>
      <c r="EDA36"/>
      <c r="EDB36"/>
      <c r="EDC36"/>
      <c r="EDD36"/>
      <c r="EDE36"/>
      <c r="EDF36"/>
      <c r="EDG36"/>
      <c r="EDH36"/>
      <c r="EDI36"/>
      <c r="EDJ36"/>
      <c r="EDK36"/>
      <c r="EDL36"/>
      <c r="EDM36"/>
      <c r="EDN36"/>
      <c r="EDO36"/>
      <c r="EDP36"/>
      <c r="EDQ36"/>
      <c r="EDR36"/>
      <c r="EDS36"/>
      <c r="EDT36"/>
      <c r="EDU36"/>
      <c r="EDV36"/>
      <c r="EDW36"/>
      <c r="EDX36"/>
      <c r="EDY36"/>
      <c r="EDZ36"/>
      <c r="EEA36"/>
      <c r="EEB36"/>
      <c r="EEC36"/>
      <c r="EED36"/>
      <c r="EEE36"/>
      <c r="EEF36"/>
      <c r="EEG36"/>
      <c r="EEH36"/>
      <c r="EEI36"/>
      <c r="EEJ36"/>
      <c r="EEK36"/>
      <c r="EEL36"/>
      <c r="EEM36"/>
      <c r="EEN36"/>
      <c r="EEO36"/>
      <c r="EEP36"/>
      <c r="EEQ36"/>
      <c r="EER36"/>
      <c r="EES36"/>
      <c r="EET36"/>
      <c r="EEU36"/>
      <c r="EEV36"/>
      <c r="EEW36"/>
      <c r="EEX36"/>
      <c r="EEY36"/>
      <c r="EEZ36"/>
      <c r="EFA36"/>
      <c r="EFB36"/>
      <c r="EFC36"/>
      <c r="EFD36"/>
      <c r="EFE36"/>
      <c r="EFF36"/>
      <c r="EFG36"/>
      <c r="EFH36"/>
      <c r="EFI36"/>
      <c r="EFJ36"/>
      <c r="EFK36"/>
      <c r="EFL36"/>
      <c r="EFM36"/>
      <c r="EFN36"/>
      <c r="EFO36"/>
      <c r="EFP36"/>
      <c r="EFQ36"/>
      <c r="EFR36"/>
      <c r="EFS36"/>
      <c r="EFT36"/>
      <c r="EFU36"/>
      <c r="EFV36"/>
      <c r="EFW36"/>
      <c r="EFX36"/>
      <c r="EFY36"/>
      <c r="EFZ36"/>
      <c r="EGA36"/>
      <c r="EGB36"/>
      <c r="EGC36"/>
      <c r="EGD36"/>
      <c r="EGE36"/>
      <c r="EGF36"/>
      <c r="EGG36"/>
      <c r="EGH36"/>
      <c r="EGI36"/>
      <c r="EGJ36"/>
      <c r="EGK36"/>
      <c r="EGL36"/>
      <c r="EGM36"/>
      <c r="EGN36"/>
      <c r="EGO36"/>
      <c r="EGP36"/>
      <c r="EGQ36"/>
      <c r="EGR36"/>
      <c r="EGS36"/>
      <c r="EGT36"/>
      <c r="EGU36"/>
      <c r="EGV36"/>
      <c r="EGW36"/>
      <c r="EGX36"/>
      <c r="EGY36"/>
      <c r="EGZ36"/>
      <c r="EHA36"/>
      <c r="EHB36"/>
      <c r="EHC36"/>
      <c r="EHD36"/>
      <c r="EHE36"/>
      <c r="EHF36"/>
      <c r="EHG36"/>
      <c r="EHH36"/>
      <c r="EHI36"/>
      <c r="EHJ36"/>
      <c r="EHK36"/>
      <c r="EHL36"/>
      <c r="EHM36"/>
      <c r="EHN36"/>
      <c r="EHO36"/>
      <c r="EHP36"/>
      <c r="EHQ36"/>
      <c r="EHR36"/>
      <c r="EHS36"/>
      <c r="EHT36"/>
      <c r="EHU36"/>
      <c r="EHV36"/>
      <c r="EHW36"/>
      <c r="EHX36"/>
      <c r="EHY36"/>
      <c r="EHZ36"/>
      <c r="EIA36"/>
      <c r="EIB36"/>
      <c r="EIC36"/>
      <c r="EID36"/>
      <c r="EIE36"/>
      <c r="EIF36"/>
      <c r="EIG36"/>
      <c r="EIH36"/>
      <c r="EII36"/>
      <c r="EIJ36"/>
      <c r="EIK36"/>
      <c r="EIL36"/>
      <c r="EIM36"/>
      <c r="EIN36"/>
      <c r="EIO36"/>
      <c r="EIP36"/>
      <c r="EIQ36"/>
      <c r="EIR36"/>
      <c r="EIS36"/>
      <c r="EIT36"/>
      <c r="EIU36"/>
      <c r="EIV36"/>
      <c r="EIW36"/>
      <c r="EIX36"/>
      <c r="EIY36"/>
      <c r="EIZ36"/>
      <c r="EJA36"/>
      <c r="EJB36"/>
      <c r="EJC36"/>
      <c r="EJD36"/>
      <c r="EJE36"/>
      <c r="EJF36"/>
      <c r="EJG36"/>
      <c r="EJH36"/>
      <c r="EJI36"/>
      <c r="EJJ36"/>
      <c r="EJK36"/>
      <c r="EJL36"/>
      <c r="EJM36"/>
      <c r="EJN36"/>
      <c r="EJO36"/>
      <c r="EJP36"/>
      <c r="EJQ36"/>
      <c r="EJR36"/>
      <c r="EJS36"/>
      <c r="EJT36"/>
      <c r="EJU36"/>
      <c r="EJV36"/>
      <c r="EJW36"/>
      <c r="EJX36"/>
      <c r="EJY36"/>
      <c r="EJZ36"/>
      <c r="EKA36"/>
      <c r="EKB36"/>
      <c r="EKC36"/>
      <c r="EKD36"/>
      <c r="EKE36"/>
      <c r="EKF36"/>
      <c r="EKG36"/>
      <c r="EKH36"/>
      <c r="EKI36"/>
      <c r="EKJ36"/>
      <c r="EKK36"/>
      <c r="EKL36"/>
      <c r="EKM36"/>
      <c r="EKN36"/>
      <c r="EKO36"/>
      <c r="EKP36"/>
      <c r="EKQ36"/>
      <c r="EKR36"/>
      <c r="EKS36"/>
      <c r="EKT36"/>
      <c r="EKU36"/>
      <c r="EKV36"/>
      <c r="EKW36"/>
      <c r="EKX36"/>
      <c r="EKY36"/>
      <c r="EKZ36"/>
      <c r="ELA36"/>
      <c r="ELB36"/>
      <c r="ELC36"/>
      <c r="ELD36"/>
      <c r="ELE36"/>
      <c r="ELF36"/>
      <c r="ELG36"/>
      <c r="ELH36"/>
      <c r="ELI36"/>
      <c r="ELJ36"/>
      <c r="ELK36"/>
      <c r="ELL36"/>
      <c r="ELM36"/>
      <c r="ELN36"/>
      <c r="ELO36"/>
      <c r="ELP36"/>
      <c r="ELQ36"/>
      <c r="ELR36"/>
      <c r="ELS36"/>
      <c r="ELT36"/>
      <c r="ELU36"/>
      <c r="ELV36"/>
      <c r="ELW36"/>
      <c r="ELX36"/>
      <c r="ELY36"/>
      <c r="ELZ36"/>
      <c r="EMA36"/>
      <c r="EMB36"/>
      <c r="EMC36"/>
      <c r="EMD36"/>
      <c r="EME36"/>
      <c r="EMF36"/>
      <c r="EMG36"/>
      <c r="EMH36"/>
      <c r="EMI36"/>
      <c r="EMJ36"/>
      <c r="EMK36"/>
      <c r="EML36"/>
      <c r="EMM36"/>
      <c r="EMN36"/>
      <c r="EMO36"/>
      <c r="EMP36"/>
      <c r="EMQ36"/>
      <c r="EMR36"/>
      <c r="EMS36"/>
      <c r="EMT36"/>
      <c r="EMU36"/>
      <c r="EMV36"/>
      <c r="EMW36"/>
      <c r="EMX36"/>
      <c r="EMY36"/>
      <c r="EMZ36"/>
      <c r="ENA36"/>
      <c r="ENB36"/>
      <c r="ENC36"/>
      <c r="END36"/>
      <c r="ENE36"/>
      <c r="ENF36"/>
      <c r="ENG36"/>
      <c r="ENH36"/>
      <c r="ENI36"/>
      <c r="ENJ36"/>
      <c r="ENK36"/>
      <c r="ENL36"/>
      <c r="ENM36"/>
      <c r="ENN36"/>
      <c r="ENO36"/>
      <c r="ENP36"/>
      <c r="ENQ36"/>
      <c r="ENR36"/>
      <c r="ENS36"/>
      <c r="ENT36"/>
      <c r="ENU36"/>
      <c r="ENV36"/>
      <c r="ENW36"/>
      <c r="ENX36"/>
      <c r="ENY36"/>
      <c r="ENZ36"/>
      <c r="EOA36"/>
      <c r="EOB36"/>
      <c r="EOC36"/>
      <c r="EOD36"/>
      <c r="EOE36"/>
      <c r="EOF36"/>
      <c r="EOG36"/>
      <c r="EOH36"/>
      <c r="EOI36"/>
      <c r="EOJ36"/>
      <c r="EOK36"/>
      <c r="EOL36"/>
      <c r="EOM36"/>
      <c r="EON36"/>
      <c r="EOO36"/>
      <c r="EOP36"/>
      <c r="EOQ36"/>
      <c r="EOR36"/>
      <c r="EOS36"/>
      <c r="EOT36"/>
      <c r="EOU36"/>
      <c r="EOV36"/>
      <c r="EOW36"/>
      <c r="EOX36"/>
      <c r="EOY36"/>
      <c r="EOZ36"/>
      <c r="EPA36"/>
      <c r="EPB36"/>
      <c r="EPC36"/>
      <c r="EPD36"/>
      <c r="EPE36"/>
      <c r="EPF36"/>
      <c r="EPG36"/>
      <c r="EPH36"/>
      <c r="EPI36"/>
      <c r="EPJ36"/>
      <c r="EPK36"/>
      <c r="EPL36"/>
      <c r="EPM36"/>
      <c r="EPN36"/>
      <c r="EPO36"/>
      <c r="EPP36"/>
      <c r="EPQ36"/>
      <c r="EPR36"/>
      <c r="EPS36"/>
      <c r="EPT36"/>
      <c r="EPU36"/>
      <c r="EPV36"/>
      <c r="EPW36"/>
      <c r="EPX36"/>
      <c r="EPY36"/>
      <c r="EPZ36"/>
      <c r="EQA36"/>
      <c r="EQB36"/>
      <c r="EQC36"/>
      <c r="EQD36"/>
      <c r="EQE36"/>
      <c r="EQF36"/>
      <c r="EQG36"/>
      <c r="EQH36"/>
      <c r="EQI36"/>
      <c r="EQJ36"/>
      <c r="EQK36"/>
      <c r="EQL36"/>
      <c r="EQM36"/>
      <c r="EQN36"/>
      <c r="EQO36"/>
      <c r="EQP36"/>
      <c r="EQQ36"/>
      <c r="EQR36"/>
      <c r="EQS36"/>
      <c r="EQT36"/>
      <c r="EQU36"/>
      <c r="EQV36"/>
      <c r="EQW36"/>
      <c r="EQX36"/>
      <c r="EQY36"/>
      <c r="EQZ36"/>
      <c r="ERA36"/>
      <c r="ERB36"/>
      <c r="ERC36"/>
      <c r="ERD36"/>
      <c r="ERE36"/>
      <c r="ERF36"/>
      <c r="ERG36"/>
      <c r="ERH36"/>
      <c r="ERI36"/>
      <c r="ERJ36"/>
      <c r="ERK36"/>
      <c r="ERL36"/>
      <c r="ERM36"/>
      <c r="ERN36"/>
      <c r="ERO36"/>
      <c r="ERP36"/>
      <c r="ERQ36"/>
      <c r="ERR36"/>
      <c r="ERS36"/>
      <c r="ERT36"/>
      <c r="ERU36"/>
      <c r="ERV36"/>
      <c r="ERW36"/>
      <c r="ERX36"/>
      <c r="ERY36"/>
      <c r="ERZ36"/>
      <c r="ESA36"/>
      <c r="ESB36"/>
      <c r="ESC36"/>
      <c r="ESD36"/>
      <c r="ESE36"/>
      <c r="ESF36"/>
      <c r="ESG36"/>
      <c r="ESH36"/>
      <c r="ESI36"/>
      <c r="ESJ36"/>
      <c r="ESK36"/>
      <c r="ESL36"/>
      <c r="ESM36"/>
      <c r="ESN36"/>
      <c r="ESO36"/>
      <c r="ESP36"/>
      <c r="ESQ36"/>
      <c r="ESR36"/>
      <c r="ESS36"/>
      <c r="EST36"/>
      <c r="ESU36"/>
      <c r="ESV36"/>
      <c r="ESW36"/>
      <c r="ESX36"/>
      <c r="ESY36"/>
      <c r="ESZ36"/>
      <c r="ETA36"/>
      <c r="ETB36"/>
      <c r="ETC36"/>
      <c r="ETD36"/>
      <c r="ETE36"/>
      <c r="ETF36"/>
      <c r="ETG36"/>
      <c r="ETH36"/>
      <c r="ETI36"/>
      <c r="ETJ36"/>
      <c r="ETK36"/>
      <c r="ETL36"/>
      <c r="ETM36"/>
      <c r="ETN36"/>
      <c r="ETO36"/>
      <c r="ETP36"/>
      <c r="ETQ36"/>
      <c r="ETR36"/>
      <c r="ETS36"/>
      <c r="ETT36"/>
      <c r="ETU36"/>
      <c r="ETV36"/>
      <c r="ETW36"/>
      <c r="ETX36"/>
      <c r="ETY36"/>
      <c r="ETZ36"/>
      <c r="EUA36"/>
      <c r="EUB36"/>
      <c r="EUC36"/>
      <c r="EUD36"/>
      <c r="EUE36"/>
      <c r="EUF36"/>
      <c r="EUG36"/>
      <c r="EUH36"/>
      <c r="EUI36"/>
      <c r="EUJ36"/>
      <c r="EUK36"/>
      <c r="EUL36"/>
      <c r="EUM36"/>
      <c r="EUN36"/>
      <c r="EUO36"/>
      <c r="EUP36"/>
      <c r="EUQ36"/>
      <c r="EUR36"/>
      <c r="EUS36"/>
      <c r="EUT36"/>
      <c r="EUU36"/>
      <c r="EUV36"/>
      <c r="EUW36"/>
      <c r="EUX36"/>
      <c r="EUY36"/>
      <c r="EUZ36"/>
      <c r="EVA36"/>
      <c r="EVB36"/>
      <c r="EVC36"/>
      <c r="EVD36"/>
      <c r="EVE36"/>
      <c r="EVF36"/>
      <c r="EVG36"/>
      <c r="EVH36"/>
      <c r="EVI36"/>
      <c r="EVJ36"/>
      <c r="EVK36"/>
      <c r="EVL36"/>
      <c r="EVM36"/>
      <c r="EVN36"/>
      <c r="EVO36"/>
      <c r="EVP36"/>
      <c r="EVQ36"/>
      <c r="EVR36"/>
      <c r="EVS36"/>
      <c r="EVT36"/>
      <c r="EVU36"/>
      <c r="EVV36"/>
      <c r="EVW36"/>
      <c r="EVX36"/>
      <c r="EVY36"/>
      <c r="EVZ36"/>
      <c r="EWA36"/>
      <c r="EWB36"/>
      <c r="EWC36"/>
      <c r="EWD36"/>
      <c r="EWE36"/>
      <c r="EWF36"/>
      <c r="EWG36"/>
      <c r="EWH36"/>
      <c r="EWI36"/>
      <c r="EWJ36"/>
      <c r="EWK36"/>
      <c r="EWL36"/>
      <c r="EWM36"/>
      <c r="EWN36"/>
      <c r="EWO36"/>
      <c r="EWP36"/>
      <c r="EWQ36"/>
      <c r="EWR36"/>
      <c r="EWS36"/>
      <c r="EWT36"/>
      <c r="EWU36"/>
      <c r="EWV36"/>
      <c r="EWW36"/>
      <c r="EWX36"/>
      <c r="EWY36"/>
      <c r="EWZ36"/>
      <c r="EXA36"/>
      <c r="EXB36"/>
      <c r="EXC36"/>
      <c r="EXD36"/>
      <c r="EXE36"/>
      <c r="EXF36"/>
      <c r="EXG36"/>
      <c r="EXH36"/>
      <c r="EXI36"/>
      <c r="EXJ36"/>
      <c r="EXK36"/>
      <c r="EXL36"/>
      <c r="EXM36"/>
      <c r="EXN36"/>
      <c r="EXO36"/>
      <c r="EXP36"/>
      <c r="EXQ36"/>
      <c r="EXR36"/>
      <c r="EXS36"/>
      <c r="EXT36"/>
      <c r="EXU36"/>
      <c r="EXV36"/>
      <c r="EXW36"/>
      <c r="EXX36"/>
      <c r="EXY36"/>
      <c r="EXZ36"/>
      <c r="EYA36"/>
      <c r="EYB36"/>
      <c r="EYC36"/>
      <c r="EYD36"/>
      <c r="EYE36"/>
      <c r="EYF36"/>
      <c r="EYG36"/>
      <c r="EYH36"/>
      <c r="EYI36"/>
      <c r="EYJ36"/>
      <c r="EYK36"/>
      <c r="EYL36"/>
      <c r="EYM36"/>
      <c r="EYN36"/>
      <c r="EYO36"/>
      <c r="EYP36"/>
      <c r="EYQ36"/>
      <c r="EYR36"/>
      <c r="EYS36"/>
      <c r="EYT36"/>
      <c r="EYU36"/>
      <c r="EYV36"/>
      <c r="EYW36"/>
      <c r="EYX36"/>
      <c r="EYY36"/>
      <c r="EYZ36"/>
      <c r="EZA36"/>
      <c r="EZB36"/>
      <c r="EZC36"/>
      <c r="EZD36"/>
      <c r="EZE36"/>
      <c r="EZF36"/>
      <c r="EZG36"/>
      <c r="EZH36"/>
      <c r="EZI36"/>
      <c r="EZJ36"/>
      <c r="EZK36"/>
      <c r="EZL36"/>
      <c r="EZM36"/>
      <c r="EZN36"/>
      <c r="EZO36"/>
      <c r="EZP36"/>
      <c r="EZQ36"/>
      <c r="EZR36"/>
      <c r="EZS36"/>
      <c r="EZT36"/>
      <c r="EZU36"/>
      <c r="EZV36"/>
      <c r="EZW36"/>
      <c r="EZX36"/>
      <c r="EZY36"/>
      <c r="EZZ36"/>
      <c r="FAA36"/>
      <c r="FAB36"/>
      <c r="FAC36"/>
      <c r="FAD36"/>
      <c r="FAE36"/>
      <c r="FAF36"/>
      <c r="FAG36"/>
      <c r="FAH36"/>
      <c r="FAI36"/>
      <c r="FAJ36"/>
      <c r="FAK36"/>
      <c r="FAL36"/>
      <c r="FAM36"/>
      <c r="FAN36"/>
      <c r="FAO36"/>
      <c r="FAP36"/>
      <c r="FAQ36"/>
      <c r="FAR36"/>
      <c r="FAS36"/>
      <c r="FAT36"/>
      <c r="FAU36"/>
      <c r="FAV36"/>
      <c r="FAW36"/>
      <c r="FAX36"/>
      <c r="FAY36"/>
      <c r="FAZ36"/>
      <c r="FBA36"/>
      <c r="FBB36"/>
      <c r="FBC36"/>
      <c r="FBD36"/>
      <c r="FBE36"/>
      <c r="FBF36"/>
      <c r="FBG36"/>
      <c r="FBH36"/>
      <c r="FBI36"/>
      <c r="FBJ36"/>
      <c r="FBK36"/>
      <c r="FBL36"/>
      <c r="FBM36"/>
      <c r="FBN36"/>
      <c r="FBO36"/>
      <c r="FBP36"/>
      <c r="FBQ36"/>
      <c r="FBR36"/>
      <c r="FBS36"/>
      <c r="FBT36"/>
      <c r="FBU36"/>
      <c r="FBV36"/>
      <c r="FBW36"/>
      <c r="FBX36"/>
      <c r="FBY36"/>
      <c r="FBZ36"/>
      <c r="FCA36"/>
      <c r="FCB36"/>
      <c r="FCC36"/>
      <c r="FCD36"/>
      <c r="FCE36"/>
      <c r="FCF36"/>
      <c r="FCG36"/>
      <c r="FCH36"/>
      <c r="FCI36"/>
      <c r="FCJ36"/>
      <c r="FCK36"/>
      <c r="FCL36"/>
      <c r="FCM36"/>
      <c r="FCN36"/>
      <c r="FCO36"/>
      <c r="FCP36"/>
      <c r="FCQ36"/>
      <c r="FCR36"/>
      <c r="FCS36"/>
      <c r="FCT36"/>
      <c r="FCU36"/>
      <c r="FCV36"/>
      <c r="FCW36"/>
      <c r="FCX36"/>
      <c r="FCY36"/>
      <c r="FCZ36"/>
      <c r="FDA36"/>
      <c r="FDB36"/>
      <c r="FDC36"/>
      <c r="FDD36"/>
      <c r="FDE36"/>
      <c r="FDF36"/>
      <c r="FDG36"/>
      <c r="FDH36"/>
      <c r="FDI36"/>
      <c r="FDJ36"/>
      <c r="FDK36"/>
      <c r="FDL36"/>
      <c r="FDM36"/>
      <c r="FDN36"/>
      <c r="FDO36"/>
      <c r="FDP36"/>
      <c r="FDQ36"/>
      <c r="FDR36"/>
      <c r="FDS36"/>
      <c r="FDT36"/>
      <c r="FDU36"/>
      <c r="FDV36"/>
      <c r="FDW36"/>
      <c r="FDX36"/>
      <c r="FDY36"/>
      <c r="FDZ36"/>
      <c r="FEA36"/>
      <c r="FEB36"/>
      <c r="FEC36"/>
      <c r="FED36"/>
      <c r="FEE36"/>
      <c r="FEF36"/>
      <c r="FEG36"/>
      <c r="FEH36"/>
      <c r="FEI36"/>
      <c r="FEJ36"/>
      <c r="FEK36"/>
      <c r="FEL36"/>
      <c r="FEM36"/>
      <c r="FEN36"/>
      <c r="FEO36"/>
      <c r="FEP36"/>
      <c r="FEQ36"/>
      <c r="FER36"/>
      <c r="FES36"/>
      <c r="FET36"/>
      <c r="FEU36"/>
      <c r="FEV36"/>
      <c r="FEW36"/>
      <c r="FEX36"/>
      <c r="FEY36"/>
      <c r="FEZ36"/>
      <c r="FFA36"/>
      <c r="FFB36"/>
      <c r="FFC36"/>
      <c r="FFD36"/>
      <c r="FFE36"/>
      <c r="FFF36"/>
      <c r="FFG36"/>
      <c r="FFH36"/>
      <c r="FFI36"/>
      <c r="FFJ36"/>
      <c r="FFK36"/>
      <c r="FFL36"/>
      <c r="FFM36"/>
      <c r="FFN36"/>
      <c r="FFO36"/>
      <c r="FFP36"/>
      <c r="FFQ36"/>
      <c r="FFR36"/>
      <c r="FFS36"/>
      <c r="FFT36"/>
      <c r="FFU36"/>
      <c r="FFV36"/>
      <c r="FFW36"/>
      <c r="FFX36"/>
      <c r="FFY36"/>
      <c r="FFZ36"/>
      <c r="FGA36"/>
      <c r="FGB36"/>
      <c r="FGC36"/>
      <c r="FGD36"/>
      <c r="FGE36"/>
      <c r="FGF36"/>
      <c r="FGG36"/>
      <c r="FGH36"/>
      <c r="FGI36"/>
      <c r="FGJ36"/>
      <c r="FGK36"/>
      <c r="FGL36"/>
      <c r="FGM36"/>
      <c r="FGN36"/>
      <c r="FGO36"/>
      <c r="FGP36"/>
      <c r="FGQ36"/>
      <c r="FGR36"/>
      <c r="FGS36"/>
      <c r="FGT36"/>
      <c r="FGU36"/>
      <c r="FGV36"/>
      <c r="FGW36"/>
      <c r="FGX36"/>
      <c r="FGY36"/>
      <c r="FGZ36"/>
      <c r="FHA36"/>
      <c r="FHB36"/>
      <c r="FHC36"/>
      <c r="FHD36"/>
      <c r="FHE36"/>
      <c r="FHF36"/>
      <c r="FHG36"/>
      <c r="FHH36"/>
      <c r="FHI36"/>
      <c r="FHJ36"/>
      <c r="FHK36"/>
      <c r="FHL36"/>
      <c r="FHM36"/>
      <c r="FHN36"/>
      <c r="FHO36"/>
      <c r="FHP36"/>
      <c r="FHQ36"/>
      <c r="FHR36"/>
      <c r="FHS36"/>
      <c r="FHT36"/>
      <c r="FHU36"/>
      <c r="FHV36"/>
      <c r="FHW36"/>
      <c r="FHX36"/>
      <c r="FHY36"/>
      <c r="FHZ36"/>
      <c r="FIA36"/>
      <c r="FIB36"/>
      <c r="FIC36"/>
      <c r="FID36"/>
      <c r="FIE36"/>
      <c r="FIF36"/>
      <c r="FIG36"/>
      <c r="FIH36"/>
      <c r="FII36"/>
      <c r="FIJ36"/>
      <c r="FIK36"/>
      <c r="FIL36"/>
      <c r="FIM36"/>
      <c r="FIN36"/>
      <c r="FIO36"/>
      <c r="FIP36"/>
      <c r="FIQ36"/>
      <c r="FIR36"/>
      <c r="FIS36"/>
      <c r="FIT36"/>
      <c r="FIU36"/>
      <c r="FIV36"/>
      <c r="FIW36"/>
      <c r="FIX36"/>
      <c r="FIY36"/>
      <c r="FIZ36"/>
      <c r="FJA36"/>
      <c r="FJB36"/>
      <c r="FJC36"/>
      <c r="FJD36"/>
      <c r="FJE36"/>
      <c r="FJF36"/>
      <c r="FJG36"/>
      <c r="FJH36"/>
      <c r="FJI36"/>
      <c r="FJJ36"/>
      <c r="FJK36"/>
      <c r="FJL36"/>
      <c r="FJM36"/>
      <c r="FJN36"/>
      <c r="FJO36"/>
      <c r="FJP36"/>
      <c r="FJQ36"/>
      <c r="FJR36"/>
      <c r="FJS36"/>
      <c r="FJT36"/>
      <c r="FJU36"/>
      <c r="FJV36"/>
      <c r="FJW36"/>
      <c r="FJX36"/>
      <c r="FJY36"/>
      <c r="FJZ36"/>
      <c r="FKA36"/>
      <c r="FKB36"/>
      <c r="FKC36"/>
      <c r="FKD36"/>
      <c r="FKE36"/>
      <c r="FKF36"/>
      <c r="FKG36"/>
      <c r="FKH36"/>
      <c r="FKI36"/>
      <c r="FKJ36"/>
      <c r="FKK36"/>
      <c r="FKL36"/>
      <c r="FKM36"/>
      <c r="FKN36"/>
      <c r="FKO36"/>
      <c r="FKP36"/>
      <c r="FKQ36"/>
      <c r="FKR36"/>
      <c r="FKS36"/>
      <c r="FKT36"/>
      <c r="FKU36"/>
      <c r="FKV36"/>
      <c r="FKW36"/>
      <c r="FKX36"/>
      <c r="FKY36"/>
      <c r="FKZ36"/>
      <c r="FLA36"/>
      <c r="FLB36"/>
      <c r="FLC36"/>
      <c r="FLD36"/>
      <c r="FLE36"/>
      <c r="FLF36"/>
      <c r="FLG36"/>
      <c r="FLH36"/>
      <c r="FLI36"/>
      <c r="FLJ36"/>
      <c r="FLK36"/>
      <c r="FLL36"/>
      <c r="FLM36"/>
      <c r="FLN36"/>
      <c r="FLO36"/>
      <c r="FLP36"/>
      <c r="FLQ36"/>
      <c r="FLR36"/>
      <c r="FLS36"/>
      <c r="FLT36"/>
      <c r="FLU36"/>
      <c r="FLV36"/>
      <c r="FLW36"/>
      <c r="FLX36"/>
      <c r="FLY36"/>
      <c r="FLZ36"/>
      <c r="FMA36"/>
      <c r="FMB36"/>
      <c r="FMC36"/>
      <c r="FMD36"/>
      <c r="FME36"/>
      <c r="FMF36"/>
      <c r="FMG36"/>
      <c r="FMH36"/>
      <c r="FMI36"/>
      <c r="FMJ36"/>
      <c r="FMK36"/>
      <c r="FML36"/>
      <c r="FMM36"/>
      <c r="FMN36"/>
      <c r="FMO36"/>
      <c r="FMP36"/>
      <c r="FMQ36"/>
      <c r="FMR36"/>
      <c r="FMS36"/>
      <c r="FMT36"/>
      <c r="FMU36"/>
      <c r="FMV36"/>
      <c r="FMW36"/>
      <c r="FMX36"/>
      <c r="FMY36"/>
      <c r="FMZ36"/>
      <c r="FNA36"/>
      <c r="FNB36"/>
      <c r="FNC36"/>
      <c r="FND36"/>
      <c r="FNE36"/>
      <c r="FNF36"/>
      <c r="FNG36"/>
      <c r="FNH36"/>
      <c r="FNI36"/>
      <c r="FNJ36"/>
      <c r="FNK36"/>
      <c r="FNL36"/>
      <c r="FNM36"/>
      <c r="FNN36"/>
      <c r="FNO36"/>
      <c r="FNP36"/>
      <c r="FNQ36"/>
      <c r="FNR36"/>
      <c r="FNS36"/>
      <c r="FNT36"/>
      <c r="FNU36"/>
      <c r="FNV36"/>
      <c r="FNW36"/>
      <c r="FNX36"/>
      <c r="FNY36"/>
      <c r="FNZ36"/>
      <c r="FOA36"/>
      <c r="FOB36"/>
      <c r="FOC36"/>
      <c r="FOD36"/>
      <c r="FOE36"/>
      <c r="FOF36"/>
      <c r="FOG36"/>
      <c r="FOH36"/>
      <c r="FOI36"/>
      <c r="FOJ36"/>
      <c r="FOK36"/>
      <c r="FOL36"/>
      <c r="FOM36"/>
      <c r="FON36"/>
      <c r="FOO36"/>
      <c r="FOP36"/>
      <c r="FOQ36"/>
      <c r="FOR36"/>
      <c r="FOS36"/>
      <c r="FOT36"/>
      <c r="FOU36"/>
      <c r="FOV36"/>
      <c r="FOW36"/>
      <c r="FOX36"/>
      <c r="FOY36"/>
      <c r="FOZ36"/>
      <c r="FPA36"/>
      <c r="FPB36"/>
      <c r="FPC36"/>
      <c r="FPD36"/>
      <c r="FPE36"/>
      <c r="FPF36"/>
      <c r="FPG36"/>
      <c r="FPH36"/>
      <c r="FPI36"/>
      <c r="FPJ36"/>
      <c r="FPK36"/>
      <c r="FPL36"/>
      <c r="FPM36"/>
      <c r="FPN36"/>
      <c r="FPO36"/>
      <c r="FPP36"/>
      <c r="FPQ36"/>
      <c r="FPR36"/>
      <c r="FPS36"/>
      <c r="FPT36"/>
      <c r="FPU36"/>
      <c r="FPV36"/>
      <c r="FPW36"/>
      <c r="FPX36"/>
      <c r="FPY36"/>
      <c r="FPZ36"/>
      <c r="FQA36"/>
      <c r="FQB36"/>
      <c r="FQC36"/>
      <c r="FQD36"/>
      <c r="FQE36"/>
      <c r="FQF36"/>
      <c r="FQG36"/>
      <c r="FQH36"/>
      <c r="FQI36"/>
      <c r="FQJ36"/>
      <c r="FQK36"/>
      <c r="FQL36"/>
      <c r="FQM36"/>
      <c r="FQN36"/>
      <c r="FQO36"/>
      <c r="FQP36"/>
      <c r="FQQ36"/>
      <c r="FQR36"/>
      <c r="FQS36"/>
      <c r="FQT36"/>
      <c r="FQU36"/>
      <c r="FQV36"/>
      <c r="FQW36"/>
      <c r="FQX36"/>
      <c r="FQY36"/>
      <c r="FQZ36"/>
      <c r="FRA36"/>
      <c r="FRB36"/>
      <c r="FRC36"/>
      <c r="FRD36"/>
      <c r="FRE36"/>
      <c r="FRF36"/>
      <c r="FRG36"/>
      <c r="FRH36"/>
      <c r="FRI36"/>
      <c r="FRJ36"/>
      <c r="FRK36"/>
      <c r="FRL36"/>
      <c r="FRM36"/>
      <c r="FRN36"/>
      <c r="FRO36"/>
      <c r="FRP36"/>
      <c r="FRQ36"/>
      <c r="FRR36"/>
      <c r="FRS36"/>
      <c r="FRT36"/>
      <c r="FRU36"/>
      <c r="FRV36"/>
      <c r="FRW36"/>
      <c r="FRX36"/>
      <c r="FRY36"/>
      <c r="FRZ36"/>
      <c r="FSA36"/>
      <c r="FSB36"/>
      <c r="FSC36"/>
      <c r="FSD36"/>
      <c r="FSE36"/>
      <c r="FSF36"/>
      <c r="FSG36"/>
      <c r="FSH36"/>
      <c r="FSI36"/>
      <c r="FSJ36"/>
      <c r="FSK36"/>
      <c r="FSL36"/>
      <c r="FSM36"/>
      <c r="FSN36"/>
      <c r="FSO36"/>
      <c r="FSP36"/>
      <c r="FSQ36"/>
      <c r="FSR36"/>
      <c r="FSS36"/>
      <c r="FST36"/>
      <c r="FSU36"/>
      <c r="FSV36"/>
      <c r="FSW36"/>
      <c r="FSX36"/>
      <c r="FSY36"/>
      <c r="FSZ36"/>
      <c r="FTA36"/>
      <c r="FTB36"/>
      <c r="FTC36"/>
      <c r="FTD36"/>
      <c r="FTE36"/>
      <c r="FTF36"/>
      <c r="FTG36"/>
      <c r="FTH36"/>
      <c r="FTI36"/>
      <c r="FTJ36"/>
      <c r="FTK36"/>
      <c r="FTL36"/>
      <c r="FTM36"/>
      <c r="FTN36"/>
      <c r="FTO36"/>
      <c r="FTP36"/>
      <c r="FTQ36"/>
      <c r="FTR36"/>
      <c r="FTS36"/>
      <c r="FTT36"/>
      <c r="FTU36"/>
      <c r="FTV36"/>
      <c r="FTW36"/>
      <c r="FTX36"/>
      <c r="FTY36"/>
      <c r="FTZ36"/>
      <c r="FUA36"/>
      <c r="FUB36"/>
      <c r="FUC36"/>
      <c r="FUD36"/>
      <c r="FUE36"/>
      <c r="FUF36"/>
      <c r="FUG36"/>
      <c r="FUH36"/>
      <c r="FUI36"/>
      <c r="FUJ36"/>
      <c r="FUK36"/>
      <c r="FUL36"/>
      <c r="FUM36"/>
      <c r="FUN36"/>
      <c r="FUO36"/>
      <c r="FUP36"/>
      <c r="FUQ36"/>
      <c r="FUR36"/>
      <c r="FUS36"/>
      <c r="FUT36"/>
      <c r="FUU36"/>
      <c r="FUV36"/>
      <c r="FUW36"/>
      <c r="FUX36"/>
      <c r="FUY36"/>
      <c r="FUZ36"/>
      <c r="FVA36"/>
      <c r="FVB36"/>
      <c r="FVC36"/>
      <c r="FVD36"/>
      <c r="FVE36"/>
      <c r="FVF36"/>
      <c r="FVG36"/>
      <c r="FVH36"/>
      <c r="FVI36"/>
      <c r="FVJ36"/>
      <c r="FVK36"/>
      <c r="FVL36"/>
      <c r="FVM36"/>
      <c r="FVN36"/>
      <c r="FVO36"/>
      <c r="FVP36"/>
      <c r="FVQ36"/>
      <c r="FVR36"/>
      <c r="FVS36"/>
      <c r="FVT36"/>
      <c r="FVU36"/>
      <c r="FVV36"/>
      <c r="FVW36"/>
      <c r="FVX36"/>
      <c r="FVY36"/>
      <c r="FVZ36"/>
      <c r="FWA36"/>
      <c r="FWB36"/>
      <c r="FWC36"/>
      <c r="FWD36"/>
      <c r="FWE36"/>
      <c r="FWF36"/>
      <c r="FWG36"/>
      <c r="FWH36"/>
      <c r="FWI36"/>
      <c r="FWJ36"/>
      <c r="FWK36"/>
      <c r="FWL36"/>
      <c r="FWM36"/>
      <c r="FWN36"/>
      <c r="FWO36"/>
      <c r="FWP36"/>
      <c r="FWQ36"/>
      <c r="FWR36"/>
      <c r="FWS36"/>
      <c r="FWT36"/>
      <c r="FWU36"/>
      <c r="FWV36"/>
      <c r="FWW36"/>
      <c r="FWX36"/>
      <c r="FWY36"/>
      <c r="FWZ36"/>
      <c r="FXA36"/>
      <c r="FXB36"/>
      <c r="FXC36"/>
      <c r="FXD36"/>
      <c r="FXE36"/>
      <c r="FXF36"/>
      <c r="FXG36"/>
      <c r="FXH36"/>
      <c r="FXI36"/>
      <c r="FXJ36"/>
      <c r="FXK36"/>
      <c r="FXL36"/>
      <c r="FXM36"/>
      <c r="FXN36"/>
      <c r="FXO36"/>
      <c r="FXP36"/>
      <c r="FXQ36"/>
      <c r="FXR36"/>
      <c r="FXS36"/>
      <c r="FXT36"/>
      <c r="FXU36"/>
      <c r="FXV36"/>
      <c r="FXW36"/>
      <c r="FXX36"/>
      <c r="FXY36"/>
      <c r="FXZ36"/>
      <c r="FYA36"/>
      <c r="FYB36"/>
      <c r="FYC36"/>
      <c r="FYD36"/>
      <c r="FYE36"/>
      <c r="FYF36"/>
      <c r="FYG36"/>
      <c r="FYH36"/>
      <c r="FYI36"/>
      <c r="FYJ36"/>
      <c r="FYK36"/>
      <c r="FYL36"/>
      <c r="FYM36"/>
      <c r="FYN36"/>
      <c r="FYO36"/>
      <c r="FYP36"/>
      <c r="FYQ36"/>
      <c r="FYR36"/>
      <c r="FYS36"/>
      <c r="FYT36"/>
      <c r="FYU36"/>
      <c r="FYV36"/>
      <c r="FYW36"/>
      <c r="FYX36"/>
      <c r="FYY36"/>
      <c r="FYZ36"/>
      <c r="FZA36"/>
      <c r="FZB36"/>
      <c r="FZC36"/>
      <c r="FZD36"/>
      <c r="FZE36"/>
      <c r="FZF36"/>
      <c r="FZG36"/>
      <c r="FZH36"/>
      <c r="FZI36"/>
      <c r="FZJ36"/>
      <c r="FZK36"/>
      <c r="FZL36"/>
      <c r="FZM36"/>
      <c r="FZN36"/>
      <c r="FZO36"/>
      <c r="FZP36"/>
      <c r="FZQ36"/>
      <c r="FZR36"/>
      <c r="FZS36"/>
      <c r="FZT36"/>
      <c r="FZU36"/>
      <c r="FZV36"/>
      <c r="FZW36"/>
      <c r="FZX36"/>
      <c r="FZY36"/>
      <c r="FZZ36"/>
      <c r="GAA36"/>
      <c r="GAB36"/>
      <c r="GAC36"/>
      <c r="GAD36"/>
      <c r="GAE36"/>
      <c r="GAF36"/>
      <c r="GAG36"/>
      <c r="GAH36"/>
      <c r="GAI36"/>
      <c r="GAJ36"/>
      <c r="GAK36"/>
      <c r="GAL36"/>
      <c r="GAM36"/>
      <c r="GAN36"/>
      <c r="GAO36"/>
      <c r="GAP36"/>
      <c r="GAQ36"/>
      <c r="GAR36"/>
      <c r="GAS36"/>
      <c r="GAT36"/>
      <c r="GAU36"/>
      <c r="GAV36"/>
      <c r="GAW36"/>
      <c r="GAX36"/>
      <c r="GAY36"/>
      <c r="GAZ36"/>
      <c r="GBA36"/>
      <c r="GBB36"/>
      <c r="GBC36"/>
      <c r="GBD36"/>
      <c r="GBE36"/>
      <c r="GBF36"/>
      <c r="GBG36"/>
      <c r="GBH36"/>
      <c r="GBI36"/>
      <c r="GBJ36"/>
      <c r="GBK36"/>
      <c r="GBL36"/>
      <c r="GBM36"/>
      <c r="GBN36"/>
      <c r="GBO36"/>
      <c r="GBP36"/>
      <c r="GBQ36"/>
      <c r="GBR36"/>
      <c r="GBS36"/>
      <c r="GBT36"/>
      <c r="GBU36"/>
      <c r="GBV36"/>
      <c r="GBW36"/>
      <c r="GBX36"/>
      <c r="GBY36"/>
      <c r="GBZ36"/>
      <c r="GCA36"/>
      <c r="GCB36"/>
      <c r="GCC36"/>
      <c r="GCD36"/>
      <c r="GCE36"/>
      <c r="GCF36"/>
      <c r="GCG36"/>
      <c r="GCH36"/>
      <c r="GCI36"/>
      <c r="GCJ36"/>
      <c r="GCK36"/>
      <c r="GCL36"/>
      <c r="GCM36"/>
      <c r="GCN36"/>
      <c r="GCO36"/>
      <c r="GCP36"/>
      <c r="GCQ36"/>
      <c r="GCR36"/>
      <c r="GCS36"/>
      <c r="GCT36"/>
      <c r="GCU36"/>
      <c r="GCV36"/>
      <c r="GCW36"/>
      <c r="GCX36"/>
      <c r="GCY36"/>
      <c r="GCZ36"/>
      <c r="GDA36"/>
      <c r="GDB36"/>
      <c r="GDC36"/>
      <c r="GDD36"/>
      <c r="GDE36"/>
      <c r="GDF36"/>
      <c r="GDG36"/>
      <c r="GDH36"/>
      <c r="GDI36"/>
      <c r="GDJ36"/>
      <c r="GDK36"/>
      <c r="GDL36"/>
      <c r="GDM36"/>
      <c r="GDN36"/>
      <c r="GDO36"/>
      <c r="GDP36"/>
      <c r="GDQ36"/>
      <c r="GDR36"/>
      <c r="GDS36"/>
      <c r="GDT36"/>
      <c r="GDU36"/>
      <c r="GDV36"/>
      <c r="GDW36"/>
      <c r="GDX36"/>
      <c r="GDY36"/>
      <c r="GDZ36"/>
      <c r="GEA36"/>
      <c r="GEB36"/>
      <c r="GEC36"/>
      <c r="GED36"/>
      <c r="GEE36"/>
      <c r="GEF36"/>
      <c r="GEG36"/>
      <c r="GEH36"/>
      <c r="GEI36"/>
      <c r="GEJ36"/>
      <c r="GEK36"/>
      <c r="GEL36"/>
      <c r="GEM36"/>
      <c r="GEN36"/>
      <c r="GEO36"/>
      <c r="GEP36"/>
      <c r="GEQ36"/>
      <c r="GER36"/>
      <c r="GES36"/>
      <c r="GET36"/>
      <c r="GEU36"/>
      <c r="GEV36"/>
      <c r="GEW36"/>
      <c r="GEX36"/>
      <c r="GEY36"/>
      <c r="GEZ36"/>
      <c r="GFA36"/>
      <c r="GFB36"/>
      <c r="GFC36"/>
      <c r="GFD36"/>
      <c r="GFE36"/>
      <c r="GFF36"/>
      <c r="GFG36"/>
      <c r="GFH36"/>
      <c r="GFI36"/>
      <c r="GFJ36"/>
      <c r="GFK36"/>
      <c r="GFL36"/>
      <c r="GFM36"/>
      <c r="GFN36"/>
      <c r="GFO36"/>
      <c r="GFP36"/>
      <c r="GFQ36"/>
      <c r="GFR36"/>
      <c r="GFS36"/>
      <c r="GFT36"/>
      <c r="GFU36"/>
      <c r="GFV36"/>
      <c r="GFW36"/>
      <c r="GFX36"/>
      <c r="GFY36"/>
      <c r="GFZ36"/>
      <c r="GGA36"/>
      <c r="GGB36"/>
      <c r="GGC36"/>
      <c r="GGD36"/>
      <c r="GGE36"/>
      <c r="GGF36"/>
      <c r="GGG36"/>
      <c r="GGH36"/>
      <c r="GGI36"/>
      <c r="GGJ36"/>
      <c r="GGK36"/>
      <c r="GGL36"/>
      <c r="GGM36"/>
      <c r="GGN36"/>
      <c r="GGO36"/>
      <c r="GGP36"/>
      <c r="GGQ36"/>
      <c r="GGR36"/>
      <c r="GGS36"/>
      <c r="GGT36"/>
      <c r="GGU36"/>
      <c r="GGV36"/>
      <c r="GGW36"/>
      <c r="GGX36"/>
      <c r="GGY36"/>
      <c r="GGZ36"/>
      <c r="GHA36"/>
      <c r="GHB36"/>
      <c r="GHC36"/>
      <c r="GHD36"/>
      <c r="GHE36"/>
      <c r="GHF36"/>
      <c r="GHG36"/>
      <c r="GHH36"/>
      <c r="GHI36"/>
      <c r="GHJ36"/>
      <c r="GHK36"/>
      <c r="GHL36"/>
      <c r="GHM36"/>
      <c r="GHN36"/>
      <c r="GHO36"/>
      <c r="GHP36"/>
      <c r="GHQ36"/>
      <c r="GHR36"/>
      <c r="GHS36"/>
      <c r="GHT36"/>
      <c r="GHU36"/>
      <c r="GHV36"/>
      <c r="GHW36"/>
      <c r="GHX36"/>
      <c r="GHY36"/>
      <c r="GHZ36"/>
      <c r="GIA36"/>
      <c r="GIB36"/>
      <c r="GIC36"/>
      <c r="GID36"/>
      <c r="GIE36"/>
      <c r="GIF36"/>
      <c r="GIG36"/>
      <c r="GIH36"/>
      <c r="GII36"/>
      <c r="GIJ36"/>
      <c r="GIK36"/>
      <c r="GIL36"/>
      <c r="GIM36"/>
      <c r="GIN36"/>
      <c r="GIO36"/>
      <c r="GIP36"/>
      <c r="GIQ36"/>
      <c r="GIR36"/>
      <c r="GIS36"/>
      <c r="GIT36"/>
      <c r="GIU36"/>
      <c r="GIV36"/>
      <c r="GIW36"/>
      <c r="GIX36"/>
      <c r="GIY36"/>
      <c r="GIZ36"/>
      <c r="GJA36"/>
      <c r="GJB36"/>
      <c r="GJC36"/>
      <c r="GJD36"/>
      <c r="GJE36"/>
      <c r="GJF36"/>
      <c r="GJG36"/>
      <c r="GJH36"/>
      <c r="GJI36"/>
      <c r="GJJ36"/>
      <c r="GJK36"/>
      <c r="GJL36"/>
      <c r="GJM36"/>
      <c r="GJN36"/>
      <c r="GJO36"/>
      <c r="GJP36"/>
      <c r="GJQ36"/>
      <c r="GJR36"/>
      <c r="GJS36"/>
      <c r="GJT36"/>
      <c r="GJU36"/>
      <c r="GJV36"/>
      <c r="GJW36"/>
      <c r="GJX36"/>
      <c r="GJY36"/>
      <c r="GJZ36"/>
      <c r="GKA36"/>
      <c r="GKB36"/>
      <c r="GKC36"/>
      <c r="GKD36"/>
      <c r="GKE36"/>
      <c r="GKF36"/>
      <c r="GKG36"/>
      <c r="GKH36"/>
      <c r="GKI36"/>
      <c r="GKJ36"/>
      <c r="GKK36"/>
      <c r="GKL36"/>
      <c r="GKM36"/>
      <c r="GKN36"/>
      <c r="GKO36"/>
      <c r="GKP36"/>
      <c r="GKQ36"/>
      <c r="GKR36"/>
      <c r="GKS36"/>
      <c r="GKT36"/>
      <c r="GKU36"/>
      <c r="GKV36"/>
      <c r="GKW36"/>
      <c r="GKX36"/>
      <c r="GKY36"/>
      <c r="GKZ36"/>
      <c r="GLA36"/>
      <c r="GLB36"/>
      <c r="GLC36"/>
      <c r="GLD36"/>
      <c r="GLE36"/>
      <c r="GLF36"/>
      <c r="GLG36"/>
      <c r="GLH36"/>
      <c r="GLI36"/>
      <c r="GLJ36"/>
      <c r="GLK36"/>
      <c r="GLL36"/>
      <c r="GLM36"/>
      <c r="GLN36"/>
      <c r="GLO36"/>
      <c r="GLP36"/>
      <c r="GLQ36"/>
      <c r="GLR36"/>
      <c r="GLS36"/>
      <c r="GLT36"/>
      <c r="GLU36"/>
      <c r="GLV36"/>
      <c r="GLW36"/>
      <c r="GLX36"/>
      <c r="GLY36"/>
      <c r="GLZ36"/>
      <c r="GMA36"/>
      <c r="GMB36"/>
      <c r="GMC36"/>
      <c r="GMD36"/>
      <c r="GME36"/>
      <c r="GMF36"/>
      <c r="GMG36"/>
      <c r="GMH36"/>
      <c r="GMI36"/>
      <c r="GMJ36"/>
      <c r="GMK36"/>
      <c r="GML36"/>
      <c r="GMM36"/>
      <c r="GMN36"/>
      <c r="GMO36"/>
      <c r="GMP36"/>
      <c r="GMQ36"/>
      <c r="GMR36"/>
      <c r="GMS36"/>
      <c r="GMT36"/>
      <c r="GMU36"/>
      <c r="GMV36"/>
      <c r="GMW36"/>
      <c r="GMX36"/>
      <c r="GMY36"/>
      <c r="GMZ36"/>
      <c r="GNA36"/>
      <c r="GNB36"/>
      <c r="GNC36"/>
      <c r="GND36"/>
      <c r="GNE36"/>
      <c r="GNF36"/>
      <c r="GNG36"/>
      <c r="GNH36"/>
      <c r="GNI36"/>
      <c r="GNJ36"/>
      <c r="GNK36"/>
      <c r="GNL36"/>
      <c r="GNM36"/>
      <c r="GNN36"/>
      <c r="GNO36"/>
      <c r="GNP36"/>
      <c r="GNQ36"/>
      <c r="GNR36"/>
      <c r="GNS36"/>
      <c r="GNT36"/>
      <c r="GNU36"/>
      <c r="GNV36"/>
      <c r="GNW36"/>
      <c r="GNX36"/>
      <c r="GNY36"/>
      <c r="GNZ36"/>
      <c r="GOA36"/>
      <c r="GOB36"/>
      <c r="GOC36"/>
      <c r="GOD36"/>
      <c r="GOE36"/>
      <c r="GOF36"/>
      <c r="GOG36"/>
      <c r="GOH36"/>
      <c r="GOI36"/>
      <c r="GOJ36"/>
      <c r="GOK36"/>
      <c r="GOL36"/>
      <c r="GOM36"/>
      <c r="GON36"/>
      <c r="GOO36"/>
      <c r="GOP36"/>
      <c r="GOQ36"/>
      <c r="GOR36"/>
      <c r="GOS36"/>
      <c r="GOT36"/>
      <c r="GOU36"/>
      <c r="GOV36"/>
      <c r="GOW36"/>
      <c r="GOX36"/>
      <c r="GOY36"/>
      <c r="GOZ36"/>
      <c r="GPA36"/>
      <c r="GPB36"/>
      <c r="GPC36"/>
      <c r="GPD36"/>
      <c r="GPE36"/>
      <c r="GPF36"/>
      <c r="GPG36"/>
      <c r="GPH36"/>
      <c r="GPI36"/>
      <c r="GPJ36"/>
      <c r="GPK36"/>
      <c r="GPL36"/>
      <c r="GPM36"/>
      <c r="GPN36"/>
      <c r="GPO36"/>
      <c r="GPP36"/>
      <c r="GPQ36"/>
      <c r="GPR36"/>
      <c r="GPS36"/>
      <c r="GPT36"/>
      <c r="GPU36"/>
      <c r="GPV36"/>
      <c r="GPW36"/>
      <c r="GPX36"/>
      <c r="GPY36"/>
      <c r="GPZ36"/>
      <c r="GQA36"/>
      <c r="GQB36"/>
      <c r="GQC36"/>
      <c r="GQD36"/>
      <c r="GQE36"/>
      <c r="GQF36"/>
      <c r="GQG36"/>
      <c r="GQH36"/>
      <c r="GQI36"/>
      <c r="GQJ36"/>
      <c r="GQK36"/>
      <c r="GQL36"/>
      <c r="GQM36"/>
      <c r="GQN36"/>
      <c r="GQO36"/>
      <c r="GQP36"/>
      <c r="GQQ36"/>
      <c r="GQR36"/>
      <c r="GQS36"/>
      <c r="GQT36"/>
      <c r="GQU36"/>
      <c r="GQV36"/>
      <c r="GQW36"/>
      <c r="GQX36"/>
      <c r="GQY36"/>
      <c r="GQZ36"/>
      <c r="GRA36"/>
      <c r="GRB36"/>
      <c r="GRC36"/>
      <c r="GRD36"/>
      <c r="GRE36"/>
      <c r="GRF36"/>
      <c r="GRG36"/>
      <c r="GRH36"/>
      <c r="GRI36"/>
      <c r="GRJ36"/>
      <c r="GRK36"/>
      <c r="GRL36"/>
      <c r="GRM36"/>
      <c r="GRN36"/>
      <c r="GRO36"/>
      <c r="GRP36"/>
      <c r="GRQ36"/>
      <c r="GRR36"/>
      <c r="GRS36"/>
      <c r="GRT36"/>
      <c r="GRU36"/>
      <c r="GRV36"/>
      <c r="GRW36"/>
      <c r="GRX36"/>
      <c r="GRY36"/>
      <c r="GRZ36"/>
      <c r="GSA36"/>
      <c r="GSB36"/>
      <c r="GSC36"/>
      <c r="GSD36"/>
      <c r="GSE36"/>
      <c r="GSF36"/>
      <c r="GSG36"/>
      <c r="GSH36"/>
      <c r="GSI36"/>
      <c r="GSJ36"/>
      <c r="GSK36"/>
      <c r="GSL36"/>
      <c r="GSM36"/>
      <c r="GSN36"/>
      <c r="GSO36"/>
      <c r="GSP36"/>
      <c r="GSQ36"/>
      <c r="GSR36"/>
      <c r="GSS36"/>
      <c r="GST36"/>
      <c r="GSU36"/>
      <c r="GSV36"/>
      <c r="GSW36"/>
      <c r="GSX36"/>
      <c r="GSY36"/>
      <c r="GSZ36"/>
      <c r="GTA36"/>
      <c r="GTB36"/>
      <c r="GTC36"/>
      <c r="GTD36"/>
      <c r="GTE36"/>
      <c r="GTF36"/>
      <c r="GTG36"/>
      <c r="GTH36"/>
      <c r="GTI36"/>
      <c r="GTJ36"/>
      <c r="GTK36"/>
      <c r="GTL36"/>
      <c r="GTM36"/>
      <c r="GTN36"/>
      <c r="GTO36"/>
      <c r="GTP36"/>
      <c r="GTQ36"/>
      <c r="GTR36"/>
      <c r="GTS36"/>
      <c r="GTT36"/>
      <c r="GTU36"/>
      <c r="GTV36"/>
      <c r="GTW36"/>
      <c r="GTX36"/>
      <c r="GTY36"/>
      <c r="GTZ36"/>
      <c r="GUA36"/>
      <c r="GUB36"/>
      <c r="GUC36"/>
      <c r="GUD36"/>
      <c r="GUE36"/>
      <c r="GUF36"/>
      <c r="GUG36"/>
      <c r="GUH36"/>
      <c r="GUI36"/>
      <c r="GUJ36"/>
      <c r="GUK36"/>
      <c r="GUL36"/>
      <c r="GUM36"/>
      <c r="GUN36"/>
      <c r="GUO36"/>
      <c r="GUP36"/>
      <c r="GUQ36"/>
      <c r="GUR36"/>
      <c r="GUS36"/>
      <c r="GUT36"/>
      <c r="GUU36"/>
      <c r="GUV36"/>
      <c r="GUW36"/>
      <c r="GUX36"/>
      <c r="GUY36"/>
      <c r="GUZ36"/>
      <c r="GVA36"/>
      <c r="GVB36"/>
      <c r="GVC36"/>
      <c r="GVD36"/>
      <c r="GVE36"/>
      <c r="GVF36"/>
      <c r="GVG36"/>
      <c r="GVH36"/>
      <c r="GVI36"/>
      <c r="GVJ36"/>
      <c r="GVK36"/>
      <c r="GVL36"/>
      <c r="GVM36"/>
      <c r="GVN36"/>
      <c r="GVO36"/>
      <c r="GVP36"/>
      <c r="GVQ36"/>
      <c r="GVR36"/>
      <c r="GVS36"/>
      <c r="GVT36"/>
      <c r="GVU36"/>
      <c r="GVV36"/>
      <c r="GVW36"/>
      <c r="GVX36"/>
      <c r="GVY36"/>
      <c r="GVZ36"/>
      <c r="GWA36"/>
      <c r="GWB36"/>
      <c r="GWC36"/>
      <c r="GWD36"/>
      <c r="GWE36"/>
      <c r="GWF36"/>
      <c r="GWG36"/>
      <c r="GWH36"/>
      <c r="GWI36"/>
      <c r="GWJ36"/>
      <c r="GWK36"/>
      <c r="GWL36"/>
      <c r="GWM36"/>
      <c r="GWN36"/>
      <c r="GWO36"/>
      <c r="GWP36"/>
      <c r="GWQ36"/>
      <c r="GWR36"/>
      <c r="GWS36"/>
      <c r="GWT36"/>
      <c r="GWU36"/>
      <c r="GWV36"/>
      <c r="GWW36"/>
      <c r="GWX36"/>
      <c r="GWY36"/>
      <c r="GWZ36"/>
      <c r="GXA36"/>
      <c r="GXB36"/>
      <c r="GXC36"/>
      <c r="GXD36"/>
      <c r="GXE36"/>
      <c r="GXF36"/>
      <c r="GXG36"/>
      <c r="GXH36"/>
      <c r="GXI36"/>
      <c r="GXJ36"/>
      <c r="GXK36"/>
      <c r="GXL36"/>
      <c r="GXM36"/>
      <c r="GXN36"/>
      <c r="GXO36"/>
      <c r="GXP36"/>
      <c r="GXQ36"/>
      <c r="GXR36"/>
      <c r="GXS36"/>
      <c r="GXT36"/>
      <c r="GXU36"/>
      <c r="GXV36"/>
      <c r="GXW36"/>
      <c r="GXX36"/>
      <c r="GXY36"/>
      <c r="GXZ36"/>
      <c r="GYA36"/>
      <c r="GYB36"/>
      <c r="GYC36"/>
      <c r="GYD36"/>
      <c r="GYE36"/>
      <c r="GYF36"/>
      <c r="GYG36"/>
      <c r="GYH36"/>
      <c r="GYI36"/>
      <c r="GYJ36"/>
      <c r="GYK36"/>
      <c r="GYL36"/>
      <c r="GYM36"/>
      <c r="GYN36"/>
      <c r="GYO36"/>
      <c r="GYP36"/>
      <c r="GYQ36"/>
      <c r="GYR36"/>
      <c r="GYS36"/>
      <c r="GYT36"/>
      <c r="GYU36"/>
      <c r="GYV36"/>
      <c r="GYW36"/>
      <c r="GYX36"/>
      <c r="GYY36"/>
      <c r="GYZ36"/>
      <c r="GZA36"/>
      <c r="GZB36"/>
      <c r="GZC36"/>
      <c r="GZD36"/>
      <c r="GZE36"/>
      <c r="GZF36"/>
      <c r="GZG36"/>
      <c r="GZH36"/>
      <c r="GZI36"/>
      <c r="GZJ36"/>
      <c r="GZK36"/>
      <c r="GZL36"/>
      <c r="GZM36"/>
      <c r="GZN36"/>
      <c r="GZO36"/>
      <c r="GZP36"/>
      <c r="GZQ36"/>
      <c r="GZR36"/>
      <c r="GZS36"/>
      <c r="GZT36"/>
      <c r="GZU36"/>
      <c r="GZV36"/>
      <c r="GZW36"/>
      <c r="GZX36"/>
      <c r="GZY36"/>
      <c r="GZZ36"/>
      <c r="HAA36"/>
      <c r="HAB36"/>
      <c r="HAC36"/>
      <c r="HAD36"/>
      <c r="HAE36"/>
      <c r="HAF36"/>
      <c r="HAG36"/>
      <c r="HAH36"/>
      <c r="HAI36"/>
      <c r="HAJ36"/>
      <c r="HAK36"/>
      <c r="HAL36"/>
      <c r="HAM36"/>
      <c r="HAN36"/>
      <c r="HAO36"/>
      <c r="HAP36"/>
      <c r="HAQ36"/>
      <c r="HAR36"/>
      <c r="HAS36"/>
      <c r="HAT36"/>
      <c r="HAU36"/>
      <c r="HAV36"/>
      <c r="HAW36"/>
      <c r="HAX36"/>
      <c r="HAY36"/>
      <c r="HAZ36"/>
      <c r="HBA36"/>
      <c r="HBB36"/>
      <c r="HBC36"/>
      <c r="HBD36"/>
      <c r="HBE36"/>
      <c r="HBF36"/>
      <c r="HBG36"/>
      <c r="HBH36"/>
      <c r="HBI36"/>
      <c r="HBJ36"/>
      <c r="HBK36"/>
      <c r="HBL36"/>
      <c r="HBM36"/>
      <c r="HBN36"/>
      <c r="HBO36"/>
      <c r="HBP36"/>
      <c r="HBQ36"/>
      <c r="HBR36"/>
      <c r="HBS36"/>
      <c r="HBT36"/>
      <c r="HBU36"/>
      <c r="HBV36"/>
      <c r="HBW36"/>
      <c r="HBX36"/>
      <c r="HBY36"/>
      <c r="HBZ36"/>
      <c r="HCA36"/>
      <c r="HCB36"/>
      <c r="HCC36"/>
      <c r="HCD36"/>
      <c r="HCE36"/>
      <c r="HCF36"/>
      <c r="HCG36"/>
      <c r="HCH36"/>
      <c r="HCI36"/>
      <c r="HCJ36"/>
      <c r="HCK36"/>
      <c r="HCL36"/>
      <c r="HCM36"/>
      <c r="HCN36"/>
      <c r="HCO36"/>
      <c r="HCP36"/>
      <c r="HCQ36"/>
      <c r="HCR36"/>
      <c r="HCS36"/>
      <c r="HCT36"/>
      <c r="HCU36"/>
      <c r="HCV36"/>
      <c r="HCW36"/>
      <c r="HCX36"/>
      <c r="HCY36"/>
      <c r="HCZ36"/>
      <c r="HDA36"/>
      <c r="HDB36"/>
      <c r="HDC36"/>
      <c r="HDD36"/>
      <c r="HDE36"/>
      <c r="HDF36"/>
      <c r="HDG36"/>
      <c r="HDH36"/>
      <c r="HDI36"/>
      <c r="HDJ36"/>
      <c r="HDK36"/>
      <c r="HDL36"/>
      <c r="HDM36"/>
      <c r="HDN36"/>
      <c r="HDO36"/>
      <c r="HDP36"/>
      <c r="HDQ36"/>
      <c r="HDR36"/>
      <c r="HDS36"/>
      <c r="HDT36"/>
      <c r="HDU36"/>
      <c r="HDV36"/>
      <c r="HDW36"/>
      <c r="HDX36"/>
      <c r="HDY36"/>
      <c r="HDZ36"/>
      <c r="HEA36"/>
      <c r="HEB36"/>
      <c r="HEC36"/>
      <c r="HED36"/>
      <c r="HEE36"/>
      <c r="HEF36"/>
      <c r="HEG36"/>
      <c r="HEH36"/>
      <c r="HEI36"/>
      <c r="HEJ36"/>
      <c r="HEK36"/>
      <c r="HEL36"/>
      <c r="HEM36"/>
      <c r="HEN36"/>
      <c r="HEO36"/>
      <c r="HEP36"/>
      <c r="HEQ36"/>
      <c r="HER36"/>
      <c r="HES36"/>
      <c r="HET36"/>
      <c r="HEU36"/>
      <c r="HEV36"/>
      <c r="HEW36"/>
      <c r="HEX36"/>
      <c r="HEY36"/>
      <c r="HEZ36"/>
      <c r="HFA36"/>
      <c r="HFB36"/>
      <c r="HFC36"/>
      <c r="HFD36"/>
      <c r="HFE36"/>
      <c r="HFF36"/>
      <c r="HFG36"/>
      <c r="HFH36"/>
      <c r="HFI36"/>
      <c r="HFJ36"/>
      <c r="HFK36"/>
      <c r="HFL36"/>
      <c r="HFM36"/>
      <c r="HFN36"/>
      <c r="HFO36"/>
      <c r="HFP36"/>
      <c r="HFQ36"/>
      <c r="HFR36"/>
      <c r="HFS36"/>
      <c r="HFT36"/>
      <c r="HFU36"/>
      <c r="HFV36"/>
      <c r="HFW36"/>
      <c r="HFX36"/>
      <c r="HFY36"/>
      <c r="HFZ36"/>
      <c r="HGA36"/>
      <c r="HGB36"/>
      <c r="HGC36"/>
      <c r="HGD36"/>
      <c r="HGE36"/>
      <c r="HGF36"/>
      <c r="HGG36"/>
      <c r="HGH36"/>
      <c r="HGI36"/>
      <c r="HGJ36"/>
      <c r="HGK36"/>
      <c r="HGL36"/>
      <c r="HGM36"/>
      <c r="HGN36"/>
      <c r="HGO36"/>
      <c r="HGP36"/>
      <c r="HGQ36"/>
      <c r="HGR36"/>
      <c r="HGS36"/>
      <c r="HGT36"/>
      <c r="HGU36"/>
      <c r="HGV36"/>
      <c r="HGW36"/>
      <c r="HGX36"/>
      <c r="HGY36"/>
      <c r="HGZ36"/>
      <c r="HHA36"/>
      <c r="HHB36"/>
      <c r="HHC36"/>
      <c r="HHD36"/>
      <c r="HHE36"/>
      <c r="HHF36"/>
      <c r="HHG36"/>
      <c r="HHH36"/>
      <c r="HHI36"/>
      <c r="HHJ36"/>
      <c r="HHK36"/>
      <c r="HHL36"/>
      <c r="HHM36"/>
      <c r="HHN36"/>
      <c r="HHO36"/>
      <c r="HHP36"/>
      <c r="HHQ36"/>
      <c r="HHR36"/>
      <c r="HHS36"/>
      <c r="HHT36"/>
      <c r="HHU36"/>
      <c r="HHV36"/>
      <c r="HHW36"/>
      <c r="HHX36"/>
      <c r="HHY36"/>
      <c r="HHZ36"/>
      <c r="HIA36"/>
      <c r="HIB36"/>
      <c r="HIC36"/>
      <c r="HID36"/>
      <c r="HIE36"/>
      <c r="HIF36"/>
      <c r="HIG36"/>
      <c r="HIH36"/>
      <c r="HII36"/>
      <c r="HIJ36"/>
      <c r="HIK36"/>
      <c r="HIL36"/>
      <c r="HIM36"/>
      <c r="HIN36"/>
      <c r="HIO36"/>
      <c r="HIP36"/>
      <c r="HIQ36"/>
      <c r="HIR36"/>
      <c r="HIS36"/>
      <c r="HIT36"/>
      <c r="HIU36"/>
      <c r="HIV36"/>
      <c r="HIW36"/>
      <c r="HIX36"/>
      <c r="HIY36"/>
      <c r="HIZ36"/>
      <c r="HJA36"/>
      <c r="HJB36"/>
      <c r="HJC36"/>
      <c r="HJD36"/>
      <c r="HJE36"/>
      <c r="HJF36"/>
      <c r="HJG36"/>
      <c r="HJH36"/>
      <c r="HJI36"/>
      <c r="HJJ36"/>
      <c r="HJK36"/>
      <c r="HJL36"/>
      <c r="HJM36"/>
      <c r="HJN36"/>
      <c r="HJO36"/>
      <c r="HJP36"/>
      <c r="HJQ36"/>
      <c r="HJR36"/>
      <c r="HJS36"/>
      <c r="HJT36"/>
      <c r="HJU36"/>
      <c r="HJV36"/>
      <c r="HJW36"/>
      <c r="HJX36"/>
      <c r="HJY36"/>
      <c r="HJZ36"/>
      <c r="HKA36"/>
      <c r="HKB36"/>
      <c r="HKC36"/>
      <c r="HKD36"/>
      <c r="HKE36"/>
      <c r="HKF36"/>
      <c r="HKG36"/>
      <c r="HKH36"/>
      <c r="HKI36"/>
      <c r="HKJ36"/>
      <c r="HKK36"/>
      <c r="HKL36"/>
      <c r="HKM36"/>
      <c r="HKN36"/>
      <c r="HKO36"/>
      <c r="HKP36"/>
      <c r="HKQ36"/>
      <c r="HKR36"/>
      <c r="HKS36"/>
      <c r="HKT36"/>
      <c r="HKU36"/>
      <c r="HKV36"/>
      <c r="HKW36"/>
      <c r="HKX36"/>
      <c r="HKY36"/>
      <c r="HKZ36"/>
      <c r="HLA36"/>
      <c r="HLB36"/>
      <c r="HLC36"/>
      <c r="HLD36"/>
      <c r="HLE36"/>
      <c r="HLF36"/>
      <c r="HLG36"/>
      <c r="HLH36"/>
      <c r="HLI36"/>
      <c r="HLJ36"/>
      <c r="HLK36"/>
      <c r="HLL36"/>
      <c r="HLM36"/>
      <c r="HLN36"/>
      <c r="HLO36"/>
      <c r="HLP36"/>
      <c r="HLQ36"/>
      <c r="HLR36"/>
      <c r="HLS36"/>
      <c r="HLT36"/>
      <c r="HLU36"/>
      <c r="HLV36"/>
      <c r="HLW36"/>
      <c r="HLX36"/>
      <c r="HLY36"/>
      <c r="HLZ36"/>
      <c r="HMA36"/>
      <c r="HMB36"/>
      <c r="HMC36"/>
      <c r="HMD36"/>
      <c r="HME36"/>
      <c r="HMF36"/>
      <c r="HMG36"/>
      <c r="HMH36"/>
      <c r="HMI36"/>
      <c r="HMJ36"/>
      <c r="HMK36"/>
      <c r="HML36"/>
      <c r="HMM36"/>
      <c r="HMN36"/>
      <c r="HMO36"/>
      <c r="HMP36"/>
      <c r="HMQ36"/>
      <c r="HMR36"/>
      <c r="HMS36"/>
      <c r="HMT36"/>
      <c r="HMU36"/>
      <c r="HMV36"/>
      <c r="HMW36"/>
      <c r="HMX36"/>
      <c r="HMY36"/>
      <c r="HMZ36"/>
      <c r="HNA36"/>
      <c r="HNB36"/>
      <c r="HNC36"/>
      <c r="HND36"/>
      <c r="HNE36"/>
      <c r="HNF36"/>
      <c r="HNG36"/>
      <c r="HNH36"/>
      <c r="HNI36"/>
      <c r="HNJ36"/>
      <c r="HNK36"/>
      <c r="HNL36"/>
      <c r="HNM36"/>
      <c r="HNN36"/>
      <c r="HNO36"/>
      <c r="HNP36"/>
      <c r="HNQ36"/>
      <c r="HNR36"/>
      <c r="HNS36"/>
      <c r="HNT36"/>
      <c r="HNU36"/>
      <c r="HNV36"/>
      <c r="HNW36"/>
      <c r="HNX36"/>
      <c r="HNY36"/>
      <c r="HNZ36"/>
      <c r="HOA36"/>
      <c r="HOB36"/>
      <c r="HOC36"/>
      <c r="HOD36"/>
      <c r="HOE36"/>
      <c r="HOF36"/>
      <c r="HOG36"/>
      <c r="HOH36"/>
      <c r="HOI36"/>
      <c r="HOJ36"/>
      <c r="HOK36"/>
      <c r="HOL36"/>
      <c r="HOM36"/>
      <c r="HON36"/>
      <c r="HOO36"/>
      <c r="HOP36"/>
      <c r="HOQ36"/>
      <c r="HOR36"/>
      <c r="HOS36"/>
      <c r="HOT36"/>
      <c r="HOU36"/>
      <c r="HOV36"/>
      <c r="HOW36"/>
      <c r="HOX36"/>
      <c r="HOY36"/>
      <c r="HOZ36"/>
      <c r="HPA36"/>
      <c r="HPB36"/>
      <c r="HPC36"/>
      <c r="HPD36"/>
      <c r="HPE36"/>
      <c r="HPF36"/>
      <c r="HPG36"/>
      <c r="HPH36"/>
      <c r="HPI36"/>
      <c r="HPJ36"/>
      <c r="HPK36"/>
      <c r="HPL36"/>
      <c r="HPM36"/>
      <c r="HPN36"/>
      <c r="HPO36"/>
      <c r="HPP36"/>
      <c r="HPQ36"/>
      <c r="HPR36"/>
      <c r="HPS36"/>
      <c r="HPT36"/>
      <c r="HPU36"/>
      <c r="HPV36"/>
      <c r="HPW36"/>
      <c r="HPX36"/>
      <c r="HPY36"/>
      <c r="HPZ36"/>
      <c r="HQA36"/>
      <c r="HQB36"/>
      <c r="HQC36"/>
      <c r="HQD36"/>
      <c r="HQE36"/>
      <c r="HQF36"/>
      <c r="HQG36"/>
      <c r="HQH36"/>
      <c r="HQI36"/>
      <c r="HQJ36"/>
      <c r="HQK36"/>
      <c r="HQL36"/>
      <c r="HQM36"/>
      <c r="HQN36"/>
      <c r="HQO36"/>
      <c r="HQP36"/>
      <c r="HQQ36"/>
      <c r="HQR36"/>
      <c r="HQS36"/>
      <c r="HQT36"/>
      <c r="HQU36"/>
      <c r="HQV36"/>
      <c r="HQW36"/>
      <c r="HQX36"/>
      <c r="HQY36"/>
      <c r="HQZ36"/>
      <c r="HRA36"/>
      <c r="HRB36"/>
      <c r="HRC36"/>
      <c r="HRD36"/>
      <c r="HRE36"/>
      <c r="HRF36"/>
      <c r="HRG36"/>
      <c r="HRH36"/>
      <c r="HRI36"/>
      <c r="HRJ36"/>
      <c r="HRK36"/>
      <c r="HRL36"/>
      <c r="HRM36"/>
      <c r="HRN36"/>
      <c r="HRO36"/>
      <c r="HRP36"/>
      <c r="HRQ36"/>
      <c r="HRR36"/>
      <c r="HRS36"/>
      <c r="HRT36"/>
      <c r="HRU36"/>
      <c r="HRV36"/>
      <c r="HRW36"/>
      <c r="HRX36"/>
      <c r="HRY36"/>
      <c r="HRZ36"/>
      <c r="HSA36"/>
      <c r="HSB36"/>
      <c r="HSC36"/>
      <c r="HSD36"/>
      <c r="HSE36"/>
      <c r="HSF36"/>
      <c r="HSG36"/>
      <c r="HSH36"/>
      <c r="HSI36"/>
      <c r="HSJ36"/>
      <c r="HSK36"/>
      <c r="HSL36"/>
      <c r="HSM36"/>
      <c r="HSN36"/>
      <c r="HSO36"/>
      <c r="HSP36"/>
      <c r="HSQ36"/>
      <c r="HSR36"/>
      <c r="HSS36"/>
      <c r="HST36"/>
      <c r="HSU36"/>
      <c r="HSV36"/>
      <c r="HSW36"/>
      <c r="HSX36"/>
      <c r="HSY36"/>
      <c r="HSZ36"/>
      <c r="HTA36"/>
      <c r="HTB36"/>
      <c r="HTC36"/>
      <c r="HTD36"/>
      <c r="HTE36"/>
      <c r="HTF36"/>
      <c r="HTG36"/>
      <c r="HTH36"/>
      <c r="HTI36"/>
      <c r="HTJ36"/>
      <c r="HTK36"/>
      <c r="HTL36"/>
      <c r="HTM36"/>
      <c r="HTN36"/>
      <c r="HTO36"/>
      <c r="HTP36"/>
      <c r="HTQ36"/>
      <c r="HTR36"/>
      <c r="HTS36"/>
      <c r="HTT36"/>
      <c r="HTU36"/>
      <c r="HTV36"/>
      <c r="HTW36"/>
      <c r="HTX36"/>
      <c r="HTY36"/>
      <c r="HTZ36"/>
      <c r="HUA36"/>
      <c r="HUB36"/>
      <c r="HUC36"/>
      <c r="HUD36"/>
      <c r="HUE36"/>
      <c r="HUF36"/>
      <c r="HUG36"/>
      <c r="HUH36"/>
      <c r="HUI36"/>
      <c r="HUJ36"/>
      <c r="HUK36"/>
      <c r="HUL36"/>
      <c r="HUM36"/>
      <c r="HUN36"/>
      <c r="HUO36"/>
      <c r="HUP36"/>
      <c r="HUQ36"/>
      <c r="HUR36"/>
      <c r="HUS36"/>
      <c r="HUT36"/>
      <c r="HUU36"/>
      <c r="HUV36"/>
      <c r="HUW36"/>
      <c r="HUX36"/>
      <c r="HUY36"/>
      <c r="HUZ36"/>
      <c r="HVA36"/>
      <c r="HVB36"/>
      <c r="HVC36"/>
      <c r="HVD36"/>
      <c r="HVE36"/>
      <c r="HVF36"/>
      <c r="HVG36"/>
      <c r="HVH36"/>
      <c r="HVI36"/>
      <c r="HVJ36"/>
      <c r="HVK36"/>
      <c r="HVL36"/>
      <c r="HVM36"/>
      <c r="HVN36"/>
      <c r="HVO36"/>
      <c r="HVP36"/>
      <c r="HVQ36"/>
      <c r="HVR36"/>
      <c r="HVS36"/>
      <c r="HVT36"/>
      <c r="HVU36"/>
      <c r="HVV36"/>
      <c r="HVW36"/>
      <c r="HVX36"/>
      <c r="HVY36"/>
      <c r="HVZ36"/>
      <c r="HWA36"/>
      <c r="HWB36"/>
      <c r="HWC36"/>
      <c r="HWD36"/>
      <c r="HWE36"/>
      <c r="HWF36"/>
      <c r="HWG36"/>
      <c r="HWH36"/>
      <c r="HWI36"/>
      <c r="HWJ36"/>
      <c r="HWK36"/>
      <c r="HWL36"/>
      <c r="HWM36"/>
      <c r="HWN36"/>
      <c r="HWO36"/>
      <c r="HWP36"/>
      <c r="HWQ36"/>
      <c r="HWR36"/>
      <c r="HWS36"/>
      <c r="HWT36"/>
      <c r="HWU36"/>
      <c r="HWV36"/>
      <c r="HWW36"/>
      <c r="HWX36"/>
      <c r="HWY36"/>
      <c r="HWZ36"/>
      <c r="HXA36"/>
      <c r="HXB36"/>
      <c r="HXC36"/>
      <c r="HXD36"/>
      <c r="HXE36"/>
      <c r="HXF36"/>
      <c r="HXG36"/>
      <c r="HXH36"/>
      <c r="HXI36"/>
      <c r="HXJ36"/>
      <c r="HXK36"/>
      <c r="HXL36"/>
      <c r="HXM36"/>
      <c r="HXN36"/>
      <c r="HXO36"/>
      <c r="HXP36"/>
      <c r="HXQ36"/>
      <c r="HXR36"/>
      <c r="HXS36"/>
      <c r="HXT36"/>
      <c r="HXU36"/>
      <c r="HXV36"/>
      <c r="HXW36"/>
      <c r="HXX36"/>
      <c r="HXY36"/>
      <c r="HXZ36"/>
      <c r="HYA36"/>
      <c r="HYB36"/>
      <c r="HYC36"/>
      <c r="HYD36"/>
      <c r="HYE36"/>
      <c r="HYF36"/>
      <c r="HYG36"/>
      <c r="HYH36"/>
      <c r="HYI36"/>
      <c r="HYJ36"/>
      <c r="HYK36"/>
      <c r="HYL36"/>
      <c r="HYM36"/>
      <c r="HYN36"/>
      <c r="HYO36"/>
      <c r="HYP36"/>
      <c r="HYQ36"/>
      <c r="HYR36"/>
      <c r="HYS36"/>
      <c r="HYT36"/>
      <c r="HYU36"/>
      <c r="HYV36"/>
      <c r="HYW36"/>
      <c r="HYX36"/>
      <c r="HYY36"/>
      <c r="HYZ36"/>
      <c r="HZA36"/>
      <c r="HZB36"/>
      <c r="HZC36"/>
      <c r="HZD36"/>
      <c r="HZE36"/>
      <c r="HZF36"/>
      <c r="HZG36"/>
      <c r="HZH36"/>
      <c r="HZI36"/>
      <c r="HZJ36"/>
      <c r="HZK36"/>
      <c r="HZL36"/>
      <c r="HZM36"/>
      <c r="HZN36"/>
      <c r="HZO36"/>
      <c r="HZP36"/>
      <c r="HZQ36"/>
      <c r="HZR36"/>
      <c r="HZS36"/>
      <c r="HZT36"/>
      <c r="HZU36"/>
      <c r="HZV36"/>
      <c r="HZW36"/>
      <c r="HZX36"/>
      <c r="HZY36"/>
      <c r="HZZ36"/>
      <c r="IAA36"/>
      <c r="IAB36"/>
      <c r="IAC36"/>
      <c r="IAD36"/>
      <c r="IAE36"/>
      <c r="IAF36"/>
      <c r="IAG36"/>
      <c r="IAH36"/>
      <c r="IAI36"/>
      <c r="IAJ36"/>
      <c r="IAK36"/>
      <c r="IAL36"/>
      <c r="IAM36"/>
      <c r="IAN36"/>
      <c r="IAO36"/>
      <c r="IAP36"/>
      <c r="IAQ36"/>
      <c r="IAR36"/>
      <c r="IAS36"/>
      <c r="IAT36"/>
      <c r="IAU36"/>
      <c r="IAV36"/>
      <c r="IAW36"/>
      <c r="IAX36"/>
      <c r="IAY36"/>
      <c r="IAZ36"/>
      <c r="IBA36"/>
      <c r="IBB36"/>
      <c r="IBC36"/>
      <c r="IBD36"/>
      <c r="IBE36"/>
      <c r="IBF36"/>
      <c r="IBG36"/>
      <c r="IBH36"/>
      <c r="IBI36"/>
      <c r="IBJ36"/>
      <c r="IBK36"/>
      <c r="IBL36"/>
      <c r="IBM36"/>
      <c r="IBN36"/>
      <c r="IBO36"/>
      <c r="IBP36"/>
      <c r="IBQ36"/>
      <c r="IBR36"/>
      <c r="IBS36"/>
      <c r="IBT36"/>
      <c r="IBU36"/>
      <c r="IBV36"/>
      <c r="IBW36"/>
      <c r="IBX36"/>
      <c r="IBY36"/>
      <c r="IBZ36"/>
      <c r="ICA36"/>
      <c r="ICB36"/>
      <c r="ICC36"/>
      <c r="ICD36"/>
      <c r="ICE36"/>
      <c r="ICF36"/>
      <c r="ICG36"/>
      <c r="ICH36"/>
      <c r="ICI36"/>
      <c r="ICJ36"/>
      <c r="ICK36"/>
      <c r="ICL36"/>
      <c r="ICM36"/>
      <c r="ICN36"/>
      <c r="ICO36"/>
      <c r="ICP36"/>
      <c r="ICQ36"/>
      <c r="ICR36"/>
      <c r="ICS36"/>
      <c r="ICT36"/>
      <c r="ICU36"/>
      <c r="ICV36"/>
      <c r="ICW36"/>
      <c r="ICX36"/>
      <c r="ICY36"/>
      <c r="ICZ36"/>
      <c r="IDA36"/>
      <c r="IDB36"/>
      <c r="IDC36"/>
      <c r="IDD36"/>
      <c r="IDE36"/>
      <c r="IDF36"/>
      <c r="IDG36"/>
      <c r="IDH36"/>
      <c r="IDI36"/>
      <c r="IDJ36"/>
      <c r="IDK36"/>
      <c r="IDL36"/>
      <c r="IDM36"/>
      <c r="IDN36"/>
      <c r="IDO36"/>
      <c r="IDP36"/>
      <c r="IDQ36"/>
      <c r="IDR36"/>
      <c r="IDS36"/>
      <c r="IDT36"/>
      <c r="IDU36"/>
      <c r="IDV36"/>
      <c r="IDW36"/>
      <c r="IDX36"/>
      <c r="IDY36"/>
      <c r="IDZ36"/>
      <c r="IEA36"/>
      <c r="IEB36"/>
      <c r="IEC36"/>
      <c r="IED36"/>
      <c r="IEE36"/>
      <c r="IEF36"/>
      <c r="IEG36"/>
      <c r="IEH36"/>
      <c r="IEI36"/>
      <c r="IEJ36"/>
      <c r="IEK36"/>
      <c r="IEL36"/>
      <c r="IEM36"/>
      <c r="IEN36"/>
      <c r="IEO36"/>
      <c r="IEP36"/>
      <c r="IEQ36"/>
      <c r="IER36"/>
      <c r="IES36"/>
      <c r="IET36"/>
      <c r="IEU36"/>
      <c r="IEV36"/>
      <c r="IEW36"/>
      <c r="IEX36"/>
      <c r="IEY36"/>
      <c r="IEZ36"/>
      <c r="IFA36"/>
      <c r="IFB36"/>
      <c r="IFC36"/>
      <c r="IFD36"/>
      <c r="IFE36"/>
      <c r="IFF36"/>
      <c r="IFG36"/>
      <c r="IFH36"/>
      <c r="IFI36"/>
      <c r="IFJ36"/>
      <c r="IFK36"/>
      <c r="IFL36"/>
      <c r="IFM36"/>
      <c r="IFN36"/>
      <c r="IFO36"/>
      <c r="IFP36"/>
      <c r="IFQ36"/>
      <c r="IFR36"/>
      <c r="IFS36"/>
      <c r="IFT36"/>
      <c r="IFU36"/>
      <c r="IFV36"/>
      <c r="IFW36"/>
      <c r="IFX36"/>
      <c r="IFY36"/>
      <c r="IFZ36"/>
      <c r="IGA36"/>
      <c r="IGB36"/>
      <c r="IGC36"/>
      <c r="IGD36"/>
      <c r="IGE36"/>
      <c r="IGF36"/>
      <c r="IGG36"/>
      <c r="IGH36"/>
      <c r="IGI36"/>
      <c r="IGJ36"/>
      <c r="IGK36"/>
      <c r="IGL36"/>
      <c r="IGM36"/>
      <c r="IGN36"/>
      <c r="IGO36"/>
      <c r="IGP36"/>
      <c r="IGQ36"/>
      <c r="IGR36"/>
      <c r="IGS36"/>
      <c r="IGT36"/>
      <c r="IGU36"/>
      <c r="IGV36"/>
      <c r="IGW36"/>
      <c r="IGX36"/>
      <c r="IGY36"/>
      <c r="IGZ36"/>
      <c r="IHA36"/>
      <c r="IHB36"/>
      <c r="IHC36"/>
      <c r="IHD36"/>
      <c r="IHE36"/>
      <c r="IHF36"/>
      <c r="IHG36"/>
      <c r="IHH36"/>
      <c r="IHI36"/>
      <c r="IHJ36"/>
      <c r="IHK36"/>
      <c r="IHL36"/>
      <c r="IHM36"/>
      <c r="IHN36"/>
      <c r="IHO36"/>
      <c r="IHP36"/>
      <c r="IHQ36"/>
      <c r="IHR36"/>
      <c r="IHS36"/>
      <c r="IHT36"/>
      <c r="IHU36"/>
      <c r="IHV36"/>
      <c r="IHW36"/>
      <c r="IHX36"/>
      <c r="IHY36"/>
      <c r="IHZ36"/>
      <c r="IIA36"/>
      <c r="IIB36"/>
      <c r="IIC36"/>
      <c r="IID36"/>
      <c r="IIE36"/>
      <c r="IIF36"/>
      <c r="IIG36"/>
      <c r="IIH36"/>
      <c r="III36"/>
      <c r="IIJ36"/>
      <c r="IIK36"/>
      <c r="IIL36"/>
      <c r="IIM36"/>
      <c r="IIN36"/>
      <c r="IIO36"/>
      <c r="IIP36"/>
      <c r="IIQ36"/>
      <c r="IIR36"/>
      <c r="IIS36"/>
      <c r="IIT36"/>
      <c r="IIU36"/>
      <c r="IIV36"/>
      <c r="IIW36"/>
      <c r="IIX36"/>
      <c r="IIY36"/>
      <c r="IIZ36"/>
      <c r="IJA36"/>
      <c r="IJB36"/>
      <c r="IJC36"/>
      <c r="IJD36"/>
      <c r="IJE36"/>
      <c r="IJF36"/>
      <c r="IJG36"/>
      <c r="IJH36"/>
      <c r="IJI36"/>
      <c r="IJJ36"/>
      <c r="IJK36"/>
      <c r="IJL36"/>
      <c r="IJM36"/>
      <c r="IJN36"/>
      <c r="IJO36"/>
      <c r="IJP36"/>
      <c r="IJQ36"/>
      <c r="IJR36"/>
      <c r="IJS36"/>
      <c r="IJT36"/>
      <c r="IJU36"/>
      <c r="IJV36"/>
      <c r="IJW36"/>
      <c r="IJX36"/>
      <c r="IJY36"/>
      <c r="IJZ36"/>
      <c r="IKA36"/>
      <c r="IKB36"/>
      <c r="IKC36"/>
      <c r="IKD36"/>
      <c r="IKE36"/>
      <c r="IKF36"/>
      <c r="IKG36"/>
      <c r="IKH36"/>
      <c r="IKI36"/>
      <c r="IKJ36"/>
      <c r="IKK36"/>
      <c r="IKL36"/>
      <c r="IKM36"/>
      <c r="IKN36"/>
      <c r="IKO36"/>
      <c r="IKP36"/>
      <c r="IKQ36"/>
      <c r="IKR36"/>
      <c r="IKS36"/>
      <c r="IKT36"/>
      <c r="IKU36"/>
      <c r="IKV36"/>
      <c r="IKW36"/>
      <c r="IKX36"/>
      <c r="IKY36"/>
      <c r="IKZ36"/>
      <c r="ILA36"/>
      <c r="ILB36"/>
      <c r="ILC36"/>
      <c r="ILD36"/>
      <c r="ILE36"/>
      <c r="ILF36"/>
      <c r="ILG36"/>
      <c r="ILH36"/>
      <c r="ILI36"/>
      <c r="ILJ36"/>
      <c r="ILK36"/>
      <c r="ILL36"/>
      <c r="ILM36"/>
      <c r="ILN36"/>
      <c r="ILO36"/>
      <c r="ILP36"/>
      <c r="ILQ36"/>
      <c r="ILR36"/>
      <c r="ILS36"/>
      <c r="ILT36"/>
      <c r="ILU36"/>
      <c r="ILV36"/>
      <c r="ILW36"/>
      <c r="ILX36"/>
      <c r="ILY36"/>
      <c r="ILZ36"/>
      <c r="IMA36"/>
      <c r="IMB36"/>
      <c r="IMC36"/>
      <c r="IMD36"/>
      <c r="IME36"/>
      <c r="IMF36"/>
      <c r="IMG36"/>
      <c r="IMH36"/>
      <c r="IMI36"/>
      <c r="IMJ36"/>
      <c r="IMK36"/>
      <c r="IML36"/>
      <c r="IMM36"/>
      <c r="IMN36"/>
      <c r="IMO36"/>
      <c r="IMP36"/>
      <c r="IMQ36"/>
      <c r="IMR36"/>
      <c r="IMS36"/>
      <c r="IMT36"/>
      <c r="IMU36"/>
      <c r="IMV36"/>
      <c r="IMW36"/>
      <c r="IMX36"/>
      <c r="IMY36"/>
      <c r="IMZ36"/>
      <c r="INA36"/>
      <c r="INB36"/>
      <c r="INC36"/>
      <c r="IND36"/>
      <c r="INE36"/>
      <c r="INF36"/>
      <c r="ING36"/>
      <c r="INH36"/>
      <c r="INI36"/>
      <c r="INJ36"/>
      <c r="INK36"/>
      <c r="INL36"/>
      <c r="INM36"/>
      <c r="INN36"/>
      <c r="INO36"/>
      <c r="INP36"/>
      <c r="INQ36"/>
      <c r="INR36"/>
      <c r="INS36"/>
      <c r="INT36"/>
      <c r="INU36"/>
      <c r="INV36"/>
      <c r="INW36"/>
      <c r="INX36"/>
      <c r="INY36"/>
      <c r="INZ36"/>
      <c r="IOA36"/>
      <c r="IOB36"/>
      <c r="IOC36"/>
      <c r="IOD36"/>
      <c r="IOE36"/>
      <c r="IOF36"/>
      <c r="IOG36"/>
      <c r="IOH36"/>
      <c r="IOI36"/>
      <c r="IOJ36"/>
      <c r="IOK36"/>
      <c r="IOL36"/>
      <c r="IOM36"/>
      <c r="ION36"/>
      <c r="IOO36"/>
      <c r="IOP36"/>
      <c r="IOQ36"/>
      <c r="IOR36"/>
      <c r="IOS36"/>
      <c r="IOT36"/>
      <c r="IOU36"/>
      <c r="IOV36"/>
      <c r="IOW36"/>
      <c r="IOX36"/>
      <c r="IOY36"/>
      <c r="IOZ36"/>
      <c r="IPA36"/>
      <c r="IPB36"/>
      <c r="IPC36"/>
      <c r="IPD36"/>
      <c r="IPE36"/>
      <c r="IPF36"/>
      <c r="IPG36"/>
      <c r="IPH36"/>
      <c r="IPI36"/>
      <c r="IPJ36"/>
      <c r="IPK36"/>
      <c r="IPL36"/>
      <c r="IPM36"/>
      <c r="IPN36"/>
      <c r="IPO36"/>
      <c r="IPP36"/>
      <c r="IPQ36"/>
      <c r="IPR36"/>
      <c r="IPS36"/>
      <c r="IPT36"/>
      <c r="IPU36"/>
      <c r="IPV36"/>
      <c r="IPW36"/>
      <c r="IPX36"/>
      <c r="IPY36"/>
      <c r="IPZ36"/>
      <c r="IQA36"/>
      <c r="IQB36"/>
      <c r="IQC36"/>
      <c r="IQD36"/>
      <c r="IQE36"/>
      <c r="IQF36"/>
      <c r="IQG36"/>
      <c r="IQH36"/>
      <c r="IQI36"/>
      <c r="IQJ36"/>
      <c r="IQK36"/>
      <c r="IQL36"/>
      <c r="IQM36"/>
      <c r="IQN36"/>
      <c r="IQO36"/>
      <c r="IQP36"/>
      <c r="IQQ36"/>
      <c r="IQR36"/>
      <c r="IQS36"/>
      <c r="IQT36"/>
      <c r="IQU36"/>
      <c r="IQV36"/>
      <c r="IQW36"/>
      <c r="IQX36"/>
      <c r="IQY36"/>
      <c r="IQZ36"/>
      <c r="IRA36"/>
      <c r="IRB36"/>
      <c r="IRC36"/>
      <c r="IRD36"/>
      <c r="IRE36"/>
      <c r="IRF36"/>
      <c r="IRG36"/>
      <c r="IRH36"/>
      <c r="IRI36"/>
      <c r="IRJ36"/>
      <c r="IRK36"/>
      <c r="IRL36"/>
      <c r="IRM36"/>
      <c r="IRN36"/>
      <c r="IRO36"/>
      <c r="IRP36"/>
      <c r="IRQ36"/>
      <c r="IRR36"/>
      <c r="IRS36"/>
      <c r="IRT36"/>
      <c r="IRU36"/>
      <c r="IRV36"/>
      <c r="IRW36"/>
      <c r="IRX36"/>
      <c r="IRY36"/>
      <c r="IRZ36"/>
      <c r="ISA36"/>
      <c r="ISB36"/>
      <c r="ISC36"/>
      <c r="ISD36"/>
      <c r="ISE36"/>
      <c r="ISF36"/>
      <c r="ISG36"/>
      <c r="ISH36"/>
      <c r="ISI36"/>
      <c r="ISJ36"/>
      <c r="ISK36"/>
      <c r="ISL36"/>
      <c r="ISM36"/>
      <c r="ISN36"/>
      <c r="ISO36"/>
      <c r="ISP36"/>
      <c r="ISQ36"/>
      <c r="ISR36"/>
      <c r="ISS36"/>
      <c r="IST36"/>
      <c r="ISU36"/>
      <c r="ISV36"/>
      <c r="ISW36"/>
      <c r="ISX36"/>
      <c r="ISY36"/>
      <c r="ISZ36"/>
      <c r="ITA36"/>
      <c r="ITB36"/>
      <c r="ITC36"/>
      <c r="ITD36"/>
      <c r="ITE36"/>
      <c r="ITF36"/>
      <c r="ITG36"/>
      <c r="ITH36"/>
      <c r="ITI36"/>
      <c r="ITJ36"/>
      <c r="ITK36"/>
      <c r="ITL36"/>
      <c r="ITM36"/>
      <c r="ITN36"/>
      <c r="ITO36"/>
      <c r="ITP36"/>
      <c r="ITQ36"/>
      <c r="ITR36"/>
      <c r="ITS36"/>
      <c r="ITT36"/>
      <c r="ITU36"/>
      <c r="ITV36"/>
      <c r="ITW36"/>
      <c r="ITX36"/>
      <c r="ITY36"/>
      <c r="ITZ36"/>
      <c r="IUA36"/>
      <c r="IUB36"/>
      <c r="IUC36"/>
      <c r="IUD36"/>
      <c r="IUE36"/>
      <c r="IUF36"/>
      <c r="IUG36"/>
      <c r="IUH36"/>
      <c r="IUI36"/>
      <c r="IUJ36"/>
      <c r="IUK36"/>
      <c r="IUL36"/>
      <c r="IUM36"/>
      <c r="IUN36"/>
      <c r="IUO36"/>
      <c r="IUP36"/>
      <c r="IUQ36"/>
      <c r="IUR36"/>
      <c r="IUS36"/>
      <c r="IUT36"/>
      <c r="IUU36"/>
      <c r="IUV36"/>
      <c r="IUW36"/>
      <c r="IUX36"/>
      <c r="IUY36"/>
      <c r="IUZ36"/>
      <c r="IVA36"/>
      <c r="IVB36"/>
      <c r="IVC36"/>
      <c r="IVD36"/>
      <c r="IVE36"/>
      <c r="IVF36"/>
      <c r="IVG36"/>
      <c r="IVH36"/>
      <c r="IVI36"/>
      <c r="IVJ36"/>
      <c r="IVK36"/>
      <c r="IVL36"/>
      <c r="IVM36"/>
      <c r="IVN36"/>
      <c r="IVO36"/>
      <c r="IVP36"/>
      <c r="IVQ36"/>
      <c r="IVR36"/>
      <c r="IVS36"/>
      <c r="IVT36"/>
      <c r="IVU36"/>
      <c r="IVV36"/>
      <c r="IVW36"/>
      <c r="IVX36"/>
      <c r="IVY36"/>
      <c r="IVZ36"/>
      <c r="IWA36"/>
      <c r="IWB36"/>
      <c r="IWC36"/>
      <c r="IWD36"/>
      <c r="IWE36"/>
      <c r="IWF36"/>
      <c r="IWG36"/>
      <c r="IWH36"/>
      <c r="IWI36"/>
      <c r="IWJ36"/>
      <c r="IWK36"/>
      <c r="IWL36"/>
      <c r="IWM36"/>
      <c r="IWN36"/>
      <c r="IWO36"/>
      <c r="IWP36"/>
      <c r="IWQ36"/>
      <c r="IWR36"/>
      <c r="IWS36"/>
      <c r="IWT36"/>
      <c r="IWU36"/>
      <c r="IWV36"/>
      <c r="IWW36"/>
      <c r="IWX36"/>
      <c r="IWY36"/>
      <c r="IWZ36"/>
      <c r="IXA36"/>
      <c r="IXB36"/>
      <c r="IXC36"/>
      <c r="IXD36"/>
      <c r="IXE36"/>
      <c r="IXF36"/>
      <c r="IXG36"/>
      <c r="IXH36"/>
      <c r="IXI36"/>
      <c r="IXJ36"/>
      <c r="IXK36"/>
      <c r="IXL36"/>
      <c r="IXM36"/>
      <c r="IXN36"/>
      <c r="IXO36"/>
      <c r="IXP36"/>
      <c r="IXQ36"/>
      <c r="IXR36"/>
      <c r="IXS36"/>
      <c r="IXT36"/>
      <c r="IXU36"/>
      <c r="IXV36"/>
      <c r="IXW36"/>
      <c r="IXX36"/>
      <c r="IXY36"/>
      <c r="IXZ36"/>
      <c r="IYA36"/>
      <c r="IYB36"/>
      <c r="IYC36"/>
      <c r="IYD36"/>
      <c r="IYE36"/>
      <c r="IYF36"/>
      <c r="IYG36"/>
      <c r="IYH36"/>
      <c r="IYI36"/>
      <c r="IYJ36"/>
      <c r="IYK36"/>
      <c r="IYL36"/>
      <c r="IYM36"/>
      <c r="IYN36"/>
      <c r="IYO36"/>
      <c r="IYP36"/>
      <c r="IYQ36"/>
      <c r="IYR36"/>
      <c r="IYS36"/>
      <c r="IYT36"/>
      <c r="IYU36"/>
      <c r="IYV36"/>
      <c r="IYW36"/>
      <c r="IYX36"/>
      <c r="IYY36"/>
      <c r="IYZ36"/>
      <c r="IZA36"/>
      <c r="IZB36"/>
      <c r="IZC36"/>
      <c r="IZD36"/>
      <c r="IZE36"/>
      <c r="IZF36"/>
      <c r="IZG36"/>
      <c r="IZH36"/>
      <c r="IZI36"/>
      <c r="IZJ36"/>
      <c r="IZK36"/>
      <c r="IZL36"/>
      <c r="IZM36"/>
      <c r="IZN36"/>
      <c r="IZO36"/>
      <c r="IZP36"/>
      <c r="IZQ36"/>
      <c r="IZR36"/>
      <c r="IZS36"/>
      <c r="IZT36"/>
      <c r="IZU36"/>
      <c r="IZV36"/>
      <c r="IZW36"/>
      <c r="IZX36"/>
      <c r="IZY36"/>
      <c r="IZZ36"/>
      <c r="JAA36"/>
      <c r="JAB36"/>
      <c r="JAC36"/>
      <c r="JAD36"/>
      <c r="JAE36"/>
      <c r="JAF36"/>
      <c r="JAG36"/>
      <c r="JAH36"/>
      <c r="JAI36"/>
      <c r="JAJ36"/>
      <c r="JAK36"/>
      <c r="JAL36"/>
      <c r="JAM36"/>
      <c r="JAN36"/>
      <c r="JAO36"/>
      <c r="JAP36"/>
      <c r="JAQ36"/>
      <c r="JAR36"/>
      <c r="JAS36"/>
      <c r="JAT36"/>
      <c r="JAU36"/>
      <c r="JAV36"/>
      <c r="JAW36"/>
      <c r="JAX36"/>
      <c r="JAY36"/>
      <c r="JAZ36"/>
      <c r="JBA36"/>
      <c r="JBB36"/>
      <c r="JBC36"/>
      <c r="JBD36"/>
      <c r="JBE36"/>
      <c r="JBF36"/>
      <c r="JBG36"/>
      <c r="JBH36"/>
      <c r="JBI36"/>
      <c r="JBJ36"/>
      <c r="JBK36"/>
      <c r="JBL36"/>
      <c r="JBM36"/>
      <c r="JBN36"/>
      <c r="JBO36"/>
      <c r="JBP36"/>
      <c r="JBQ36"/>
      <c r="JBR36"/>
      <c r="JBS36"/>
      <c r="JBT36"/>
      <c r="JBU36"/>
      <c r="JBV36"/>
      <c r="JBW36"/>
      <c r="JBX36"/>
      <c r="JBY36"/>
      <c r="JBZ36"/>
      <c r="JCA36"/>
      <c r="JCB36"/>
      <c r="JCC36"/>
      <c r="JCD36"/>
      <c r="JCE36"/>
      <c r="JCF36"/>
      <c r="JCG36"/>
      <c r="JCH36"/>
      <c r="JCI36"/>
      <c r="JCJ36"/>
      <c r="JCK36"/>
      <c r="JCL36"/>
      <c r="JCM36"/>
      <c r="JCN36"/>
      <c r="JCO36"/>
      <c r="JCP36"/>
      <c r="JCQ36"/>
      <c r="JCR36"/>
      <c r="JCS36"/>
      <c r="JCT36"/>
      <c r="JCU36"/>
      <c r="JCV36"/>
      <c r="JCW36"/>
      <c r="JCX36"/>
      <c r="JCY36"/>
      <c r="JCZ36"/>
      <c r="JDA36"/>
      <c r="JDB36"/>
      <c r="JDC36"/>
      <c r="JDD36"/>
      <c r="JDE36"/>
      <c r="JDF36"/>
      <c r="JDG36"/>
      <c r="JDH36"/>
      <c r="JDI36"/>
      <c r="JDJ36"/>
      <c r="JDK36"/>
      <c r="JDL36"/>
      <c r="JDM36"/>
      <c r="JDN36"/>
      <c r="JDO36"/>
      <c r="JDP36"/>
      <c r="JDQ36"/>
      <c r="JDR36"/>
      <c r="JDS36"/>
      <c r="JDT36"/>
      <c r="JDU36"/>
      <c r="JDV36"/>
      <c r="JDW36"/>
      <c r="JDX36"/>
      <c r="JDY36"/>
      <c r="JDZ36"/>
      <c r="JEA36"/>
      <c r="JEB36"/>
      <c r="JEC36"/>
      <c r="JED36"/>
      <c r="JEE36"/>
      <c r="JEF36"/>
      <c r="JEG36"/>
      <c r="JEH36"/>
      <c r="JEI36"/>
      <c r="JEJ36"/>
      <c r="JEK36"/>
      <c r="JEL36"/>
      <c r="JEM36"/>
      <c r="JEN36"/>
      <c r="JEO36"/>
      <c r="JEP36"/>
      <c r="JEQ36"/>
      <c r="JER36"/>
      <c r="JES36"/>
      <c r="JET36"/>
      <c r="JEU36"/>
      <c r="JEV36"/>
      <c r="JEW36"/>
      <c r="JEX36"/>
      <c r="JEY36"/>
      <c r="JEZ36"/>
      <c r="JFA36"/>
      <c r="JFB36"/>
      <c r="JFC36"/>
      <c r="JFD36"/>
      <c r="JFE36"/>
      <c r="JFF36"/>
      <c r="JFG36"/>
      <c r="JFH36"/>
      <c r="JFI36"/>
      <c r="JFJ36"/>
      <c r="JFK36"/>
      <c r="JFL36"/>
      <c r="JFM36"/>
      <c r="JFN36"/>
      <c r="JFO36"/>
      <c r="JFP36"/>
      <c r="JFQ36"/>
      <c r="JFR36"/>
      <c r="JFS36"/>
      <c r="JFT36"/>
      <c r="JFU36"/>
      <c r="JFV36"/>
      <c r="JFW36"/>
      <c r="JFX36"/>
      <c r="JFY36"/>
      <c r="JFZ36"/>
      <c r="JGA36"/>
      <c r="JGB36"/>
      <c r="JGC36"/>
      <c r="JGD36"/>
      <c r="JGE36"/>
      <c r="JGF36"/>
      <c r="JGG36"/>
      <c r="JGH36"/>
      <c r="JGI36"/>
      <c r="JGJ36"/>
      <c r="JGK36"/>
      <c r="JGL36"/>
      <c r="JGM36"/>
      <c r="JGN36"/>
      <c r="JGO36"/>
      <c r="JGP36"/>
      <c r="JGQ36"/>
      <c r="JGR36"/>
      <c r="JGS36"/>
      <c r="JGT36"/>
      <c r="JGU36"/>
      <c r="JGV36"/>
      <c r="JGW36"/>
      <c r="JGX36"/>
      <c r="JGY36"/>
      <c r="JGZ36"/>
      <c r="JHA36"/>
      <c r="JHB36"/>
      <c r="JHC36"/>
      <c r="JHD36"/>
      <c r="JHE36"/>
      <c r="JHF36"/>
      <c r="JHG36"/>
      <c r="JHH36"/>
      <c r="JHI36"/>
      <c r="JHJ36"/>
      <c r="JHK36"/>
      <c r="JHL36"/>
      <c r="JHM36"/>
      <c r="JHN36"/>
      <c r="JHO36"/>
      <c r="JHP36"/>
      <c r="JHQ36"/>
      <c r="JHR36"/>
      <c r="JHS36"/>
      <c r="JHT36"/>
      <c r="JHU36"/>
      <c r="JHV36"/>
      <c r="JHW36"/>
      <c r="JHX36"/>
      <c r="JHY36"/>
      <c r="JHZ36"/>
      <c r="JIA36"/>
      <c r="JIB36"/>
      <c r="JIC36"/>
      <c r="JID36"/>
      <c r="JIE36"/>
      <c r="JIF36"/>
      <c r="JIG36"/>
      <c r="JIH36"/>
      <c r="JII36"/>
      <c r="JIJ36"/>
      <c r="JIK36"/>
      <c r="JIL36"/>
      <c r="JIM36"/>
      <c r="JIN36"/>
      <c r="JIO36"/>
      <c r="JIP36"/>
      <c r="JIQ36"/>
      <c r="JIR36"/>
      <c r="JIS36"/>
      <c r="JIT36"/>
      <c r="JIU36"/>
      <c r="JIV36"/>
      <c r="JIW36"/>
      <c r="JIX36"/>
      <c r="JIY36"/>
      <c r="JIZ36"/>
      <c r="JJA36"/>
      <c r="JJB36"/>
      <c r="JJC36"/>
      <c r="JJD36"/>
      <c r="JJE36"/>
      <c r="JJF36"/>
      <c r="JJG36"/>
      <c r="JJH36"/>
      <c r="JJI36"/>
      <c r="JJJ36"/>
      <c r="JJK36"/>
      <c r="JJL36"/>
      <c r="JJM36"/>
      <c r="JJN36"/>
      <c r="JJO36"/>
      <c r="JJP36"/>
      <c r="JJQ36"/>
      <c r="JJR36"/>
      <c r="JJS36"/>
      <c r="JJT36"/>
      <c r="JJU36"/>
      <c r="JJV36"/>
      <c r="JJW36"/>
      <c r="JJX36"/>
      <c r="JJY36"/>
      <c r="JJZ36"/>
      <c r="JKA36"/>
      <c r="JKB36"/>
      <c r="JKC36"/>
      <c r="JKD36"/>
      <c r="JKE36"/>
      <c r="JKF36"/>
      <c r="JKG36"/>
      <c r="JKH36"/>
      <c r="JKI36"/>
      <c r="JKJ36"/>
      <c r="JKK36"/>
      <c r="JKL36"/>
      <c r="JKM36"/>
      <c r="JKN36"/>
      <c r="JKO36"/>
      <c r="JKP36"/>
      <c r="JKQ36"/>
      <c r="JKR36"/>
      <c r="JKS36"/>
      <c r="JKT36"/>
      <c r="JKU36"/>
      <c r="JKV36"/>
      <c r="JKW36"/>
      <c r="JKX36"/>
      <c r="JKY36"/>
      <c r="JKZ36"/>
      <c r="JLA36"/>
      <c r="JLB36"/>
      <c r="JLC36"/>
      <c r="JLD36"/>
      <c r="JLE36"/>
      <c r="JLF36"/>
      <c r="JLG36"/>
      <c r="JLH36"/>
      <c r="JLI36"/>
      <c r="JLJ36"/>
      <c r="JLK36"/>
      <c r="JLL36"/>
      <c r="JLM36"/>
      <c r="JLN36"/>
      <c r="JLO36"/>
      <c r="JLP36"/>
      <c r="JLQ36"/>
      <c r="JLR36"/>
      <c r="JLS36"/>
      <c r="JLT36"/>
      <c r="JLU36"/>
      <c r="JLV36"/>
      <c r="JLW36"/>
      <c r="JLX36"/>
      <c r="JLY36"/>
      <c r="JLZ36"/>
      <c r="JMA36"/>
      <c r="JMB36"/>
      <c r="JMC36"/>
      <c r="JMD36"/>
      <c r="JME36"/>
      <c r="JMF36"/>
      <c r="JMG36"/>
      <c r="JMH36"/>
      <c r="JMI36"/>
      <c r="JMJ36"/>
      <c r="JMK36"/>
      <c r="JML36"/>
      <c r="JMM36"/>
      <c r="JMN36"/>
      <c r="JMO36"/>
      <c r="JMP36"/>
      <c r="JMQ36"/>
      <c r="JMR36"/>
      <c r="JMS36"/>
      <c r="JMT36"/>
      <c r="JMU36"/>
      <c r="JMV36"/>
      <c r="JMW36"/>
      <c r="JMX36"/>
      <c r="JMY36"/>
      <c r="JMZ36"/>
      <c r="JNA36"/>
      <c r="JNB36"/>
      <c r="JNC36"/>
      <c r="JND36"/>
      <c r="JNE36"/>
      <c r="JNF36"/>
      <c r="JNG36"/>
      <c r="JNH36"/>
      <c r="JNI36"/>
      <c r="JNJ36"/>
      <c r="JNK36"/>
      <c r="JNL36"/>
      <c r="JNM36"/>
      <c r="JNN36"/>
      <c r="JNO36"/>
      <c r="JNP36"/>
      <c r="JNQ36"/>
      <c r="JNR36"/>
      <c r="JNS36"/>
      <c r="JNT36"/>
      <c r="JNU36"/>
      <c r="JNV36"/>
      <c r="JNW36"/>
      <c r="JNX36"/>
      <c r="JNY36"/>
      <c r="JNZ36"/>
      <c r="JOA36"/>
      <c r="JOB36"/>
      <c r="JOC36"/>
      <c r="JOD36"/>
      <c r="JOE36"/>
      <c r="JOF36"/>
      <c r="JOG36"/>
      <c r="JOH36"/>
      <c r="JOI36"/>
      <c r="JOJ36"/>
      <c r="JOK36"/>
      <c r="JOL36"/>
      <c r="JOM36"/>
      <c r="JON36"/>
      <c r="JOO36"/>
      <c r="JOP36"/>
      <c r="JOQ36"/>
      <c r="JOR36"/>
      <c r="JOS36"/>
      <c r="JOT36"/>
      <c r="JOU36"/>
      <c r="JOV36"/>
      <c r="JOW36"/>
      <c r="JOX36"/>
      <c r="JOY36"/>
      <c r="JOZ36"/>
      <c r="JPA36"/>
      <c r="JPB36"/>
      <c r="JPC36"/>
      <c r="JPD36"/>
      <c r="JPE36"/>
      <c r="JPF36"/>
      <c r="JPG36"/>
      <c r="JPH36"/>
      <c r="JPI36"/>
      <c r="JPJ36"/>
      <c r="JPK36"/>
      <c r="JPL36"/>
      <c r="JPM36"/>
      <c r="JPN36"/>
      <c r="JPO36"/>
      <c r="JPP36"/>
      <c r="JPQ36"/>
      <c r="JPR36"/>
      <c r="JPS36"/>
      <c r="JPT36"/>
      <c r="JPU36"/>
      <c r="JPV36"/>
      <c r="JPW36"/>
      <c r="JPX36"/>
      <c r="JPY36"/>
      <c r="JPZ36"/>
      <c r="JQA36"/>
      <c r="JQB36"/>
      <c r="JQC36"/>
      <c r="JQD36"/>
      <c r="JQE36"/>
      <c r="JQF36"/>
      <c r="JQG36"/>
      <c r="JQH36"/>
      <c r="JQI36"/>
      <c r="JQJ36"/>
      <c r="JQK36"/>
      <c r="JQL36"/>
      <c r="JQM36"/>
      <c r="JQN36"/>
      <c r="JQO36"/>
      <c r="JQP36"/>
      <c r="JQQ36"/>
      <c r="JQR36"/>
      <c r="JQS36"/>
      <c r="JQT36"/>
      <c r="JQU36"/>
      <c r="JQV36"/>
      <c r="JQW36"/>
      <c r="JQX36"/>
      <c r="JQY36"/>
      <c r="JQZ36"/>
      <c r="JRA36"/>
      <c r="JRB36"/>
      <c r="JRC36"/>
      <c r="JRD36"/>
      <c r="JRE36"/>
      <c r="JRF36"/>
      <c r="JRG36"/>
      <c r="JRH36"/>
      <c r="JRI36"/>
      <c r="JRJ36"/>
      <c r="JRK36"/>
      <c r="JRL36"/>
      <c r="JRM36"/>
      <c r="JRN36"/>
      <c r="JRO36"/>
      <c r="JRP36"/>
      <c r="JRQ36"/>
      <c r="JRR36"/>
      <c r="JRS36"/>
      <c r="JRT36"/>
      <c r="JRU36"/>
      <c r="JRV36"/>
      <c r="JRW36"/>
      <c r="JRX36"/>
      <c r="JRY36"/>
      <c r="JRZ36"/>
      <c r="JSA36"/>
      <c r="JSB36"/>
      <c r="JSC36"/>
      <c r="JSD36"/>
      <c r="JSE36"/>
      <c r="JSF36"/>
      <c r="JSG36"/>
      <c r="JSH36"/>
      <c r="JSI36"/>
      <c r="JSJ36"/>
      <c r="JSK36"/>
      <c r="JSL36"/>
      <c r="JSM36"/>
      <c r="JSN36"/>
      <c r="JSO36"/>
      <c r="JSP36"/>
      <c r="JSQ36"/>
      <c r="JSR36"/>
      <c r="JSS36"/>
      <c r="JST36"/>
      <c r="JSU36"/>
      <c r="JSV36"/>
      <c r="JSW36"/>
      <c r="JSX36"/>
      <c r="JSY36"/>
      <c r="JSZ36"/>
      <c r="JTA36"/>
      <c r="JTB36"/>
      <c r="JTC36"/>
      <c r="JTD36"/>
      <c r="JTE36"/>
      <c r="JTF36"/>
      <c r="JTG36"/>
      <c r="JTH36"/>
      <c r="JTI36"/>
      <c r="JTJ36"/>
      <c r="JTK36"/>
      <c r="JTL36"/>
      <c r="JTM36"/>
      <c r="JTN36"/>
      <c r="JTO36"/>
      <c r="JTP36"/>
      <c r="JTQ36"/>
      <c r="JTR36"/>
      <c r="JTS36"/>
      <c r="JTT36"/>
      <c r="JTU36"/>
      <c r="JTV36"/>
      <c r="JTW36"/>
      <c r="JTX36"/>
      <c r="JTY36"/>
      <c r="JTZ36"/>
      <c r="JUA36"/>
      <c r="JUB36"/>
      <c r="JUC36"/>
      <c r="JUD36"/>
      <c r="JUE36"/>
      <c r="JUF36"/>
      <c r="JUG36"/>
      <c r="JUH36"/>
      <c r="JUI36"/>
      <c r="JUJ36"/>
      <c r="JUK36"/>
      <c r="JUL36"/>
      <c r="JUM36"/>
      <c r="JUN36"/>
      <c r="JUO36"/>
      <c r="JUP36"/>
      <c r="JUQ36"/>
      <c r="JUR36"/>
      <c r="JUS36"/>
      <c r="JUT36"/>
      <c r="JUU36"/>
      <c r="JUV36"/>
      <c r="JUW36"/>
      <c r="JUX36"/>
      <c r="JUY36"/>
      <c r="JUZ36"/>
      <c r="JVA36"/>
      <c r="JVB36"/>
      <c r="JVC36"/>
      <c r="JVD36"/>
      <c r="JVE36"/>
      <c r="JVF36"/>
      <c r="JVG36"/>
      <c r="JVH36"/>
      <c r="JVI36"/>
      <c r="JVJ36"/>
      <c r="JVK36"/>
      <c r="JVL36"/>
      <c r="JVM36"/>
      <c r="JVN36"/>
      <c r="JVO36"/>
      <c r="JVP36"/>
      <c r="JVQ36"/>
      <c r="JVR36"/>
      <c r="JVS36"/>
      <c r="JVT36"/>
      <c r="JVU36"/>
      <c r="JVV36"/>
      <c r="JVW36"/>
      <c r="JVX36"/>
      <c r="JVY36"/>
      <c r="JVZ36"/>
      <c r="JWA36"/>
      <c r="JWB36"/>
      <c r="JWC36"/>
      <c r="JWD36"/>
      <c r="JWE36"/>
      <c r="JWF36"/>
      <c r="JWG36"/>
      <c r="JWH36"/>
      <c r="JWI36"/>
      <c r="JWJ36"/>
      <c r="JWK36"/>
      <c r="JWL36"/>
      <c r="JWM36"/>
      <c r="JWN36"/>
      <c r="JWO36"/>
      <c r="JWP36"/>
      <c r="JWQ36"/>
      <c r="JWR36"/>
      <c r="JWS36"/>
      <c r="JWT36"/>
      <c r="JWU36"/>
      <c r="JWV36"/>
      <c r="JWW36"/>
      <c r="JWX36"/>
      <c r="JWY36"/>
      <c r="JWZ36"/>
      <c r="JXA36"/>
      <c r="JXB36"/>
      <c r="JXC36"/>
      <c r="JXD36"/>
      <c r="JXE36"/>
      <c r="JXF36"/>
      <c r="JXG36"/>
      <c r="JXH36"/>
      <c r="JXI36"/>
      <c r="JXJ36"/>
      <c r="JXK36"/>
      <c r="JXL36"/>
      <c r="JXM36"/>
      <c r="JXN36"/>
      <c r="JXO36"/>
      <c r="JXP36"/>
      <c r="JXQ36"/>
      <c r="JXR36"/>
      <c r="JXS36"/>
      <c r="JXT36"/>
      <c r="JXU36"/>
      <c r="JXV36"/>
      <c r="JXW36"/>
      <c r="JXX36"/>
      <c r="JXY36"/>
      <c r="JXZ36"/>
      <c r="JYA36"/>
      <c r="JYB36"/>
      <c r="JYC36"/>
      <c r="JYD36"/>
      <c r="JYE36"/>
      <c r="JYF36"/>
      <c r="JYG36"/>
      <c r="JYH36"/>
      <c r="JYI36"/>
      <c r="JYJ36"/>
      <c r="JYK36"/>
      <c r="JYL36"/>
      <c r="JYM36"/>
      <c r="JYN36"/>
      <c r="JYO36"/>
      <c r="JYP36"/>
      <c r="JYQ36"/>
      <c r="JYR36"/>
      <c r="JYS36"/>
      <c r="JYT36"/>
      <c r="JYU36"/>
      <c r="JYV36"/>
      <c r="JYW36"/>
      <c r="JYX36"/>
      <c r="JYY36"/>
      <c r="JYZ36"/>
      <c r="JZA36"/>
      <c r="JZB36"/>
      <c r="JZC36"/>
      <c r="JZD36"/>
      <c r="JZE36"/>
      <c r="JZF36"/>
      <c r="JZG36"/>
      <c r="JZH36"/>
      <c r="JZI36"/>
      <c r="JZJ36"/>
      <c r="JZK36"/>
      <c r="JZL36"/>
      <c r="JZM36"/>
      <c r="JZN36"/>
      <c r="JZO36"/>
      <c r="JZP36"/>
      <c r="JZQ36"/>
      <c r="JZR36"/>
      <c r="JZS36"/>
      <c r="JZT36"/>
      <c r="JZU36"/>
      <c r="JZV36"/>
      <c r="JZW36"/>
      <c r="JZX36"/>
      <c r="JZY36"/>
      <c r="JZZ36"/>
      <c r="KAA36"/>
      <c r="KAB36"/>
      <c r="KAC36"/>
      <c r="KAD36"/>
      <c r="KAE36"/>
      <c r="KAF36"/>
      <c r="KAG36"/>
      <c r="KAH36"/>
      <c r="KAI36"/>
      <c r="KAJ36"/>
      <c r="KAK36"/>
      <c r="KAL36"/>
      <c r="KAM36"/>
      <c r="KAN36"/>
      <c r="KAO36"/>
      <c r="KAP36"/>
      <c r="KAQ36"/>
      <c r="KAR36"/>
      <c r="KAS36"/>
      <c r="KAT36"/>
      <c r="KAU36"/>
      <c r="KAV36"/>
      <c r="KAW36"/>
      <c r="KAX36"/>
      <c r="KAY36"/>
      <c r="KAZ36"/>
      <c r="KBA36"/>
      <c r="KBB36"/>
      <c r="KBC36"/>
      <c r="KBD36"/>
      <c r="KBE36"/>
      <c r="KBF36"/>
      <c r="KBG36"/>
      <c r="KBH36"/>
      <c r="KBI36"/>
      <c r="KBJ36"/>
      <c r="KBK36"/>
      <c r="KBL36"/>
      <c r="KBM36"/>
      <c r="KBN36"/>
      <c r="KBO36"/>
      <c r="KBP36"/>
      <c r="KBQ36"/>
      <c r="KBR36"/>
      <c r="KBS36"/>
      <c r="KBT36"/>
      <c r="KBU36"/>
      <c r="KBV36"/>
      <c r="KBW36"/>
      <c r="KBX36"/>
      <c r="KBY36"/>
      <c r="KBZ36"/>
      <c r="KCA36"/>
      <c r="KCB36"/>
      <c r="KCC36"/>
      <c r="KCD36"/>
      <c r="KCE36"/>
      <c r="KCF36"/>
      <c r="KCG36"/>
      <c r="KCH36"/>
      <c r="KCI36"/>
      <c r="KCJ36"/>
      <c r="KCK36"/>
      <c r="KCL36"/>
      <c r="KCM36"/>
      <c r="KCN36"/>
      <c r="KCO36"/>
      <c r="KCP36"/>
      <c r="KCQ36"/>
      <c r="KCR36"/>
      <c r="KCS36"/>
      <c r="KCT36"/>
      <c r="KCU36"/>
      <c r="KCV36"/>
      <c r="KCW36"/>
      <c r="KCX36"/>
      <c r="KCY36"/>
      <c r="KCZ36"/>
      <c r="KDA36"/>
      <c r="KDB36"/>
      <c r="KDC36"/>
      <c r="KDD36"/>
      <c r="KDE36"/>
      <c r="KDF36"/>
      <c r="KDG36"/>
      <c r="KDH36"/>
      <c r="KDI36"/>
      <c r="KDJ36"/>
      <c r="KDK36"/>
      <c r="KDL36"/>
      <c r="KDM36"/>
      <c r="KDN36"/>
      <c r="KDO36"/>
      <c r="KDP36"/>
      <c r="KDQ36"/>
      <c r="KDR36"/>
      <c r="KDS36"/>
      <c r="KDT36"/>
      <c r="KDU36"/>
      <c r="KDV36"/>
      <c r="KDW36"/>
      <c r="KDX36"/>
      <c r="KDY36"/>
      <c r="KDZ36"/>
      <c r="KEA36"/>
      <c r="KEB36"/>
      <c r="KEC36"/>
      <c r="KED36"/>
      <c r="KEE36"/>
      <c r="KEF36"/>
      <c r="KEG36"/>
      <c r="KEH36"/>
      <c r="KEI36"/>
      <c r="KEJ36"/>
      <c r="KEK36"/>
      <c r="KEL36"/>
      <c r="KEM36"/>
      <c r="KEN36"/>
      <c r="KEO36"/>
      <c r="KEP36"/>
      <c r="KEQ36"/>
      <c r="KER36"/>
      <c r="KES36"/>
      <c r="KET36"/>
      <c r="KEU36"/>
      <c r="KEV36"/>
      <c r="KEW36"/>
      <c r="KEX36"/>
      <c r="KEY36"/>
      <c r="KEZ36"/>
      <c r="KFA36"/>
      <c r="KFB36"/>
      <c r="KFC36"/>
      <c r="KFD36"/>
      <c r="KFE36"/>
      <c r="KFF36"/>
      <c r="KFG36"/>
      <c r="KFH36"/>
      <c r="KFI36"/>
      <c r="KFJ36"/>
      <c r="KFK36"/>
      <c r="KFL36"/>
      <c r="KFM36"/>
      <c r="KFN36"/>
      <c r="KFO36"/>
      <c r="KFP36"/>
      <c r="KFQ36"/>
      <c r="KFR36"/>
      <c r="KFS36"/>
      <c r="KFT36"/>
      <c r="KFU36"/>
      <c r="KFV36"/>
      <c r="KFW36"/>
      <c r="KFX36"/>
      <c r="KFY36"/>
      <c r="KFZ36"/>
      <c r="KGA36"/>
      <c r="KGB36"/>
      <c r="KGC36"/>
      <c r="KGD36"/>
      <c r="KGE36"/>
      <c r="KGF36"/>
      <c r="KGG36"/>
      <c r="KGH36"/>
      <c r="KGI36"/>
      <c r="KGJ36"/>
      <c r="KGK36"/>
      <c r="KGL36"/>
      <c r="KGM36"/>
      <c r="KGN36"/>
      <c r="KGO36"/>
      <c r="KGP36"/>
      <c r="KGQ36"/>
      <c r="KGR36"/>
      <c r="KGS36"/>
      <c r="KGT36"/>
      <c r="KGU36"/>
      <c r="KGV36"/>
      <c r="KGW36"/>
      <c r="KGX36"/>
      <c r="KGY36"/>
      <c r="KGZ36"/>
      <c r="KHA36"/>
      <c r="KHB36"/>
      <c r="KHC36"/>
      <c r="KHD36"/>
      <c r="KHE36"/>
      <c r="KHF36"/>
      <c r="KHG36"/>
      <c r="KHH36"/>
      <c r="KHI36"/>
      <c r="KHJ36"/>
      <c r="KHK36"/>
      <c r="KHL36"/>
      <c r="KHM36"/>
      <c r="KHN36"/>
      <c r="KHO36"/>
      <c r="KHP36"/>
      <c r="KHQ36"/>
      <c r="KHR36"/>
      <c r="KHS36"/>
      <c r="KHT36"/>
      <c r="KHU36"/>
      <c r="KHV36"/>
      <c r="KHW36"/>
      <c r="KHX36"/>
      <c r="KHY36"/>
      <c r="KHZ36"/>
      <c r="KIA36"/>
      <c r="KIB36"/>
      <c r="KIC36"/>
      <c r="KID36"/>
      <c r="KIE36"/>
      <c r="KIF36"/>
      <c r="KIG36"/>
      <c r="KIH36"/>
      <c r="KII36"/>
      <c r="KIJ36"/>
      <c r="KIK36"/>
      <c r="KIL36"/>
      <c r="KIM36"/>
      <c r="KIN36"/>
      <c r="KIO36"/>
      <c r="KIP36"/>
      <c r="KIQ36"/>
      <c r="KIR36"/>
      <c r="KIS36"/>
      <c r="KIT36"/>
      <c r="KIU36"/>
      <c r="KIV36"/>
      <c r="KIW36"/>
      <c r="KIX36"/>
      <c r="KIY36"/>
      <c r="KIZ36"/>
      <c r="KJA36"/>
      <c r="KJB36"/>
      <c r="KJC36"/>
      <c r="KJD36"/>
      <c r="KJE36"/>
      <c r="KJF36"/>
      <c r="KJG36"/>
      <c r="KJH36"/>
      <c r="KJI36"/>
      <c r="KJJ36"/>
      <c r="KJK36"/>
      <c r="KJL36"/>
      <c r="KJM36"/>
      <c r="KJN36"/>
      <c r="KJO36"/>
      <c r="KJP36"/>
      <c r="KJQ36"/>
      <c r="KJR36"/>
      <c r="KJS36"/>
      <c r="KJT36"/>
      <c r="KJU36"/>
      <c r="KJV36"/>
      <c r="KJW36"/>
      <c r="KJX36"/>
      <c r="KJY36"/>
      <c r="KJZ36"/>
      <c r="KKA36"/>
      <c r="KKB36"/>
      <c r="KKC36"/>
      <c r="KKD36"/>
      <c r="KKE36"/>
      <c r="KKF36"/>
      <c r="KKG36"/>
      <c r="KKH36"/>
      <c r="KKI36"/>
      <c r="KKJ36"/>
      <c r="KKK36"/>
      <c r="KKL36"/>
      <c r="KKM36"/>
      <c r="KKN36"/>
      <c r="KKO36"/>
      <c r="KKP36"/>
      <c r="KKQ36"/>
      <c r="KKR36"/>
      <c r="KKS36"/>
      <c r="KKT36"/>
      <c r="KKU36"/>
      <c r="KKV36"/>
      <c r="KKW36"/>
      <c r="KKX36"/>
      <c r="KKY36"/>
      <c r="KKZ36"/>
      <c r="KLA36"/>
      <c r="KLB36"/>
      <c r="KLC36"/>
      <c r="KLD36"/>
      <c r="KLE36"/>
      <c r="KLF36"/>
      <c r="KLG36"/>
      <c r="KLH36"/>
      <c r="KLI36"/>
      <c r="KLJ36"/>
      <c r="KLK36"/>
      <c r="KLL36"/>
      <c r="KLM36"/>
      <c r="KLN36"/>
      <c r="KLO36"/>
      <c r="KLP36"/>
      <c r="KLQ36"/>
      <c r="KLR36"/>
      <c r="KLS36"/>
      <c r="KLT36"/>
      <c r="KLU36"/>
      <c r="KLV36"/>
      <c r="KLW36"/>
      <c r="KLX36"/>
      <c r="KLY36"/>
      <c r="KLZ36"/>
      <c r="KMA36"/>
      <c r="KMB36"/>
      <c r="KMC36"/>
      <c r="KMD36"/>
      <c r="KME36"/>
      <c r="KMF36"/>
      <c r="KMG36"/>
      <c r="KMH36"/>
      <c r="KMI36"/>
      <c r="KMJ36"/>
      <c r="KMK36"/>
      <c r="KML36"/>
      <c r="KMM36"/>
      <c r="KMN36"/>
      <c r="KMO36"/>
      <c r="KMP36"/>
      <c r="KMQ36"/>
      <c r="KMR36"/>
      <c r="KMS36"/>
      <c r="KMT36"/>
      <c r="KMU36"/>
      <c r="KMV36"/>
      <c r="KMW36"/>
      <c r="KMX36"/>
      <c r="KMY36"/>
      <c r="KMZ36"/>
      <c r="KNA36"/>
      <c r="KNB36"/>
      <c r="KNC36"/>
      <c r="KND36"/>
      <c r="KNE36"/>
      <c r="KNF36"/>
      <c r="KNG36"/>
      <c r="KNH36"/>
      <c r="KNI36"/>
      <c r="KNJ36"/>
      <c r="KNK36"/>
      <c r="KNL36"/>
      <c r="KNM36"/>
      <c r="KNN36"/>
      <c r="KNO36"/>
      <c r="KNP36"/>
      <c r="KNQ36"/>
      <c r="KNR36"/>
      <c r="KNS36"/>
      <c r="KNT36"/>
      <c r="KNU36"/>
      <c r="KNV36"/>
      <c r="KNW36"/>
      <c r="KNX36"/>
      <c r="KNY36"/>
      <c r="KNZ36"/>
      <c r="KOA36"/>
      <c r="KOB36"/>
      <c r="KOC36"/>
      <c r="KOD36"/>
      <c r="KOE36"/>
      <c r="KOF36"/>
      <c r="KOG36"/>
      <c r="KOH36"/>
      <c r="KOI36"/>
      <c r="KOJ36"/>
      <c r="KOK36"/>
      <c r="KOL36"/>
      <c r="KOM36"/>
      <c r="KON36"/>
      <c r="KOO36"/>
      <c r="KOP36"/>
      <c r="KOQ36"/>
      <c r="KOR36"/>
      <c r="KOS36"/>
      <c r="KOT36"/>
      <c r="KOU36"/>
      <c r="KOV36"/>
      <c r="KOW36"/>
      <c r="KOX36"/>
      <c r="KOY36"/>
      <c r="KOZ36"/>
      <c r="KPA36"/>
      <c r="KPB36"/>
      <c r="KPC36"/>
      <c r="KPD36"/>
      <c r="KPE36"/>
      <c r="KPF36"/>
      <c r="KPG36"/>
      <c r="KPH36"/>
      <c r="KPI36"/>
      <c r="KPJ36"/>
      <c r="KPK36"/>
      <c r="KPL36"/>
      <c r="KPM36"/>
      <c r="KPN36"/>
      <c r="KPO36"/>
      <c r="KPP36"/>
      <c r="KPQ36"/>
      <c r="KPR36"/>
      <c r="KPS36"/>
      <c r="KPT36"/>
      <c r="KPU36"/>
      <c r="KPV36"/>
      <c r="KPW36"/>
      <c r="KPX36"/>
      <c r="KPY36"/>
      <c r="KPZ36"/>
      <c r="KQA36"/>
      <c r="KQB36"/>
      <c r="KQC36"/>
      <c r="KQD36"/>
      <c r="KQE36"/>
      <c r="KQF36"/>
      <c r="KQG36"/>
      <c r="KQH36"/>
      <c r="KQI36"/>
      <c r="KQJ36"/>
      <c r="KQK36"/>
      <c r="KQL36"/>
      <c r="KQM36"/>
      <c r="KQN36"/>
      <c r="KQO36"/>
      <c r="KQP36"/>
      <c r="KQQ36"/>
      <c r="KQR36"/>
      <c r="KQS36"/>
      <c r="KQT36"/>
      <c r="KQU36"/>
      <c r="KQV36"/>
      <c r="KQW36"/>
      <c r="KQX36"/>
      <c r="KQY36"/>
      <c r="KQZ36"/>
      <c r="KRA36"/>
      <c r="KRB36"/>
      <c r="KRC36"/>
      <c r="KRD36"/>
      <c r="KRE36"/>
      <c r="KRF36"/>
      <c r="KRG36"/>
      <c r="KRH36"/>
      <c r="KRI36"/>
      <c r="KRJ36"/>
      <c r="KRK36"/>
      <c r="KRL36"/>
      <c r="KRM36"/>
      <c r="KRN36"/>
      <c r="KRO36"/>
      <c r="KRP36"/>
      <c r="KRQ36"/>
      <c r="KRR36"/>
      <c r="KRS36"/>
      <c r="KRT36"/>
      <c r="KRU36"/>
      <c r="KRV36"/>
      <c r="KRW36"/>
      <c r="KRX36"/>
      <c r="KRY36"/>
      <c r="KRZ36"/>
      <c r="KSA36"/>
      <c r="KSB36"/>
      <c r="KSC36"/>
      <c r="KSD36"/>
      <c r="KSE36"/>
      <c r="KSF36"/>
      <c r="KSG36"/>
      <c r="KSH36"/>
      <c r="KSI36"/>
      <c r="KSJ36"/>
      <c r="KSK36"/>
      <c r="KSL36"/>
      <c r="KSM36"/>
      <c r="KSN36"/>
      <c r="KSO36"/>
      <c r="KSP36"/>
      <c r="KSQ36"/>
      <c r="KSR36"/>
      <c r="KSS36"/>
      <c r="KST36"/>
      <c r="KSU36"/>
      <c r="KSV36"/>
      <c r="KSW36"/>
      <c r="KSX36"/>
      <c r="KSY36"/>
      <c r="KSZ36"/>
      <c r="KTA36"/>
      <c r="KTB36"/>
      <c r="KTC36"/>
      <c r="KTD36"/>
      <c r="KTE36"/>
      <c r="KTF36"/>
      <c r="KTG36"/>
      <c r="KTH36"/>
      <c r="KTI36"/>
      <c r="KTJ36"/>
      <c r="KTK36"/>
      <c r="KTL36"/>
      <c r="KTM36"/>
      <c r="KTN36"/>
      <c r="KTO36"/>
      <c r="KTP36"/>
      <c r="KTQ36"/>
      <c r="KTR36"/>
      <c r="KTS36"/>
      <c r="KTT36"/>
      <c r="KTU36"/>
      <c r="KTV36"/>
      <c r="KTW36"/>
      <c r="KTX36"/>
      <c r="KTY36"/>
      <c r="KTZ36"/>
      <c r="KUA36"/>
      <c r="KUB36"/>
      <c r="KUC36"/>
      <c r="KUD36"/>
      <c r="KUE36"/>
      <c r="KUF36"/>
      <c r="KUG36"/>
      <c r="KUH36"/>
      <c r="KUI36"/>
      <c r="KUJ36"/>
      <c r="KUK36"/>
      <c r="KUL36"/>
      <c r="KUM36"/>
      <c r="KUN36"/>
      <c r="KUO36"/>
      <c r="KUP36"/>
      <c r="KUQ36"/>
      <c r="KUR36"/>
      <c r="KUS36"/>
      <c r="KUT36"/>
      <c r="KUU36"/>
      <c r="KUV36"/>
      <c r="KUW36"/>
      <c r="KUX36"/>
      <c r="KUY36"/>
      <c r="KUZ36"/>
      <c r="KVA36"/>
      <c r="KVB36"/>
      <c r="KVC36"/>
      <c r="KVD36"/>
      <c r="KVE36"/>
      <c r="KVF36"/>
      <c r="KVG36"/>
      <c r="KVH36"/>
      <c r="KVI36"/>
      <c r="KVJ36"/>
      <c r="KVK36"/>
      <c r="KVL36"/>
      <c r="KVM36"/>
      <c r="KVN36"/>
      <c r="KVO36"/>
      <c r="KVP36"/>
      <c r="KVQ36"/>
      <c r="KVR36"/>
      <c r="KVS36"/>
      <c r="KVT36"/>
      <c r="KVU36"/>
      <c r="KVV36"/>
      <c r="KVW36"/>
      <c r="KVX36"/>
      <c r="KVY36"/>
      <c r="KVZ36"/>
      <c r="KWA36"/>
      <c r="KWB36"/>
      <c r="KWC36"/>
      <c r="KWD36"/>
      <c r="KWE36"/>
      <c r="KWF36"/>
      <c r="KWG36"/>
      <c r="KWH36"/>
      <c r="KWI36"/>
      <c r="KWJ36"/>
      <c r="KWK36"/>
      <c r="KWL36"/>
      <c r="KWM36"/>
      <c r="KWN36"/>
      <c r="KWO36"/>
      <c r="KWP36"/>
      <c r="KWQ36"/>
      <c r="KWR36"/>
      <c r="KWS36"/>
      <c r="KWT36"/>
      <c r="KWU36"/>
      <c r="KWV36"/>
      <c r="KWW36"/>
      <c r="KWX36"/>
      <c r="KWY36"/>
      <c r="KWZ36"/>
      <c r="KXA36"/>
      <c r="KXB36"/>
      <c r="KXC36"/>
      <c r="KXD36"/>
      <c r="KXE36"/>
      <c r="KXF36"/>
      <c r="KXG36"/>
      <c r="KXH36"/>
      <c r="KXI36"/>
      <c r="KXJ36"/>
      <c r="KXK36"/>
      <c r="KXL36"/>
      <c r="KXM36"/>
      <c r="KXN36"/>
      <c r="KXO36"/>
      <c r="KXP36"/>
      <c r="KXQ36"/>
      <c r="KXR36"/>
      <c r="KXS36"/>
      <c r="KXT36"/>
      <c r="KXU36"/>
      <c r="KXV36"/>
      <c r="KXW36"/>
      <c r="KXX36"/>
      <c r="KXY36"/>
      <c r="KXZ36"/>
      <c r="KYA36"/>
      <c r="KYB36"/>
      <c r="KYC36"/>
      <c r="KYD36"/>
      <c r="KYE36"/>
      <c r="KYF36"/>
      <c r="KYG36"/>
      <c r="KYH36"/>
      <c r="KYI36"/>
      <c r="KYJ36"/>
      <c r="KYK36"/>
      <c r="KYL36"/>
      <c r="KYM36"/>
      <c r="KYN36"/>
      <c r="KYO36"/>
      <c r="KYP36"/>
      <c r="KYQ36"/>
      <c r="KYR36"/>
      <c r="KYS36"/>
      <c r="KYT36"/>
      <c r="KYU36"/>
      <c r="KYV36"/>
      <c r="KYW36"/>
      <c r="KYX36"/>
      <c r="KYY36"/>
      <c r="KYZ36"/>
      <c r="KZA36"/>
      <c r="KZB36"/>
      <c r="KZC36"/>
      <c r="KZD36"/>
      <c r="KZE36"/>
      <c r="KZF36"/>
      <c r="KZG36"/>
      <c r="KZH36"/>
      <c r="KZI36"/>
      <c r="KZJ36"/>
      <c r="KZK36"/>
      <c r="KZL36"/>
      <c r="KZM36"/>
      <c r="KZN36"/>
      <c r="KZO36"/>
      <c r="KZP36"/>
      <c r="KZQ36"/>
      <c r="KZR36"/>
      <c r="KZS36"/>
      <c r="KZT36"/>
      <c r="KZU36"/>
      <c r="KZV36"/>
      <c r="KZW36"/>
      <c r="KZX36"/>
      <c r="KZY36"/>
      <c r="KZZ36"/>
      <c r="LAA36"/>
      <c r="LAB36"/>
      <c r="LAC36"/>
      <c r="LAD36"/>
      <c r="LAE36"/>
      <c r="LAF36"/>
      <c r="LAG36"/>
      <c r="LAH36"/>
      <c r="LAI36"/>
      <c r="LAJ36"/>
      <c r="LAK36"/>
      <c r="LAL36"/>
      <c r="LAM36"/>
      <c r="LAN36"/>
      <c r="LAO36"/>
      <c r="LAP36"/>
      <c r="LAQ36"/>
      <c r="LAR36"/>
      <c r="LAS36"/>
      <c r="LAT36"/>
      <c r="LAU36"/>
      <c r="LAV36"/>
      <c r="LAW36"/>
      <c r="LAX36"/>
      <c r="LAY36"/>
      <c r="LAZ36"/>
      <c r="LBA36"/>
      <c r="LBB36"/>
      <c r="LBC36"/>
      <c r="LBD36"/>
      <c r="LBE36"/>
      <c r="LBF36"/>
      <c r="LBG36"/>
      <c r="LBH36"/>
      <c r="LBI36"/>
      <c r="LBJ36"/>
      <c r="LBK36"/>
      <c r="LBL36"/>
      <c r="LBM36"/>
      <c r="LBN36"/>
      <c r="LBO36"/>
      <c r="LBP36"/>
      <c r="LBQ36"/>
      <c r="LBR36"/>
      <c r="LBS36"/>
      <c r="LBT36"/>
      <c r="LBU36"/>
      <c r="LBV36"/>
      <c r="LBW36"/>
      <c r="LBX36"/>
      <c r="LBY36"/>
      <c r="LBZ36"/>
      <c r="LCA36"/>
      <c r="LCB36"/>
      <c r="LCC36"/>
      <c r="LCD36"/>
      <c r="LCE36"/>
      <c r="LCF36"/>
      <c r="LCG36"/>
      <c r="LCH36"/>
      <c r="LCI36"/>
      <c r="LCJ36"/>
      <c r="LCK36"/>
      <c r="LCL36"/>
      <c r="LCM36"/>
      <c r="LCN36"/>
      <c r="LCO36"/>
      <c r="LCP36"/>
      <c r="LCQ36"/>
      <c r="LCR36"/>
      <c r="LCS36"/>
      <c r="LCT36"/>
      <c r="LCU36"/>
      <c r="LCV36"/>
      <c r="LCW36"/>
      <c r="LCX36"/>
      <c r="LCY36"/>
      <c r="LCZ36"/>
      <c r="LDA36"/>
      <c r="LDB36"/>
      <c r="LDC36"/>
      <c r="LDD36"/>
      <c r="LDE36"/>
      <c r="LDF36"/>
      <c r="LDG36"/>
      <c r="LDH36"/>
      <c r="LDI36"/>
      <c r="LDJ36"/>
      <c r="LDK36"/>
      <c r="LDL36"/>
      <c r="LDM36"/>
      <c r="LDN36"/>
      <c r="LDO36"/>
      <c r="LDP36"/>
      <c r="LDQ36"/>
      <c r="LDR36"/>
      <c r="LDS36"/>
      <c r="LDT36"/>
      <c r="LDU36"/>
      <c r="LDV36"/>
      <c r="LDW36"/>
      <c r="LDX36"/>
      <c r="LDY36"/>
      <c r="LDZ36"/>
      <c r="LEA36"/>
      <c r="LEB36"/>
      <c r="LEC36"/>
      <c r="LED36"/>
      <c r="LEE36"/>
      <c r="LEF36"/>
      <c r="LEG36"/>
      <c r="LEH36"/>
      <c r="LEI36"/>
      <c r="LEJ36"/>
      <c r="LEK36"/>
      <c r="LEL36"/>
      <c r="LEM36"/>
      <c r="LEN36"/>
      <c r="LEO36"/>
      <c r="LEP36"/>
      <c r="LEQ36"/>
      <c r="LER36"/>
      <c r="LES36"/>
      <c r="LET36"/>
      <c r="LEU36"/>
      <c r="LEV36"/>
      <c r="LEW36"/>
      <c r="LEX36"/>
      <c r="LEY36"/>
      <c r="LEZ36"/>
      <c r="LFA36"/>
      <c r="LFB36"/>
      <c r="LFC36"/>
      <c r="LFD36"/>
      <c r="LFE36"/>
      <c r="LFF36"/>
      <c r="LFG36"/>
      <c r="LFH36"/>
      <c r="LFI36"/>
      <c r="LFJ36"/>
      <c r="LFK36"/>
      <c r="LFL36"/>
      <c r="LFM36"/>
      <c r="LFN36"/>
      <c r="LFO36"/>
      <c r="LFP36"/>
      <c r="LFQ36"/>
      <c r="LFR36"/>
      <c r="LFS36"/>
      <c r="LFT36"/>
      <c r="LFU36"/>
      <c r="LFV36"/>
      <c r="LFW36"/>
      <c r="LFX36"/>
      <c r="LFY36"/>
      <c r="LFZ36"/>
      <c r="LGA36"/>
      <c r="LGB36"/>
      <c r="LGC36"/>
      <c r="LGD36"/>
      <c r="LGE36"/>
      <c r="LGF36"/>
      <c r="LGG36"/>
      <c r="LGH36"/>
      <c r="LGI36"/>
      <c r="LGJ36"/>
      <c r="LGK36"/>
      <c r="LGL36"/>
      <c r="LGM36"/>
      <c r="LGN36"/>
      <c r="LGO36"/>
      <c r="LGP36"/>
      <c r="LGQ36"/>
      <c r="LGR36"/>
      <c r="LGS36"/>
      <c r="LGT36"/>
      <c r="LGU36"/>
      <c r="LGV36"/>
      <c r="LGW36"/>
      <c r="LGX36"/>
      <c r="LGY36"/>
      <c r="LGZ36"/>
      <c r="LHA36"/>
      <c r="LHB36"/>
      <c r="LHC36"/>
      <c r="LHD36"/>
      <c r="LHE36"/>
      <c r="LHF36"/>
      <c r="LHG36"/>
      <c r="LHH36"/>
      <c r="LHI36"/>
      <c r="LHJ36"/>
      <c r="LHK36"/>
      <c r="LHL36"/>
      <c r="LHM36"/>
      <c r="LHN36"/>
      <c r="LHO36"/>
      <c r="LHP36"/>
      <c r="LHQ36"/>
      <c r="LHR36"/>
      <c r="LHS36"/>
      <c r="LHT36"/>
      <c r="LHU36"/>
      <c r="LHV36"/>
      <c r="LHW36"/>
      <c r="LHX36"/>
      <c r="LHY36"/>
      <c r="LHZ36"/>
      <c r="LIA36"/>
      <c r="LIB36"/>
      <c r="LIC36"/>
      <c r="LID36"/>
      <c r="LIE36"/>
      <c r="LIF36"/>
      <c r="LIG36"/>
      <c r="LIH36"/>
      <c r="LII36"/>
      <c r="LIJ36"/>
      <c r="LIK36"/>
      <c r="LIL36"/>
      <c r="LIM36"/>
      <c r="LIN36"/>
      <c r="LIO36"/>
      <c r="LIP36"/>
      <c r="LIQ36"/>
      <c r="LIR36"/>
      <c r="LIS36"/>
      <c r="LIT36"/>
      <c r="LIU36"/>
      <c r="LIV36"/>
      <c r="LIW36"/>
      <c r="LIX36"/>
      <c r="LIY36"/>
      <c r="LIZ36"/>
      <c r="LJA36"/>
      <c r="LJB36"/>
      <c r="LJC36"/>
      <c r="LJD36"/>
      <c r="LJE36"/>
      <c r="LJF36"/>
      <c r="LJG36"/>
      <c r="LJH36"/>
      <c r="LJI36"/>
      <c r="LJJ36"/>
      <c r="LJK36"/>
      <c r="LJL36"/>
      <c r="LJM36"/>
      <c r="LJN36"/>
      <c r="LJO36"/>
      <c r="LJP36"/>
      <c r="LJQ36"/>
      <c r="LJR36"/>
      <c r="LJS36"/>
      <c r="LJT36"/>
      <c r="LJU36"/>
      <c r="LJV36"/>
      <c r="LJW36"/>
      <c r="LJX36"/>
      <c r="LJY36"/>
      <c r="LJZ36"/>
      <c r="LKA36"/>
      <c r="LKB36"/>
      <c r="LKC36"/>
      <c r="LKD36"/>
      <c r="LKE36"/>
      <c r="LKF36"/>
      <c r="LKG36"/>
      <c r="LKH36"/>
      <c r="LKI36"/>
      <c r="LKJ36"/>
      <c r="LKK36"/>
      <c r="LKL36"/>
      <c r="LKM36"/>
      <c r="LKN36"/>
      <c r="LKO36"/>
      <c r="LKP36"/>
      <c r="LKQ36"/>
      <c r="LKR36"/>
      <c r="LKS36"/>
      <c r="LKT36"/>
      <c r="LKU36"/>
      <c r="LKV36"/>
      <c r="LKW36"/>
      <c r="LKX36"/>
      <c r="LKY36"/>
      <c r="LKZ36"/>
      <c r="LLA36"/>
      <c r="LLB36"/>
      <c r="LLC36"/>
      <c r="LLD36"/>
      <c r="LLE36"/>
      <c r="LLF36"/>
      <c r="LLG36"/>
      <c r="LLH36"/>
      <c r="LLI36"/>
      <c r="LLJ36"/>
      <c r="LLK36"/>
      <c r="LLL36"/>
      <c r="LLM36"/>
      <c r="LLN36"/>
      <c r="LLO36"/>
      <c r="LLP36"/>
      <c r="LLQ36"/>
      <c r="LLR36"/>
      <c r="LLS36"/>
      <c r="LLT36"/>
      <c r="LLU36"/>
      <c r="LLV36"/>
      <c r="LLW36"/>
      <c r="LLX36"/>
      <c r="LLY36"/>
      <c r="LLZ36"/>
      <c r="LMA36"/>
      <c r="LMB36"/>
      <c r="LMC36"/>
      <c r="LMD36"/>
      <c r="LME36"/>
      <c r="LMF36"/>
      <c r="LMG36"/>
      <c r="LMH36"/>
      <c r="LMI36"/>
      <c r="LMJ36"/>
      <c r="LMK36"/>
      <c r="LML36"/>
      <c r="LMM36"/>
      <c r="LMN36"/>
      <c r="LMO36"/>
      <c r="LMP36"/>
      <c r="LMQ36"/>
      <c r="LMR36"/>
      <c r="LMS36"/>
      <c r="LMT36"/>
      <c r="LMU36"/>
      <c r="LMV36"/>
      <c r="LMW36"/>
      <c r="LMX36"/>
      <c r="LMY36"/>
      <c r="LMZ36"/>
      <c r="LNA36"/>
      <c r="LNB36"/>
      <c r="LNC36"/>
      <c r="LND36"/>
      <c r="LNE36"/>
      <c r="LNF36"/>
      <c r="LNG36"/>
      <c r="LNH36"/>
      <c r="LNI36"/>
      <c r="LNJ36"/>
      <c r="LNK36"/>
      <c r="LNL36"/>
      <c r="LNM36"/>
      <c r="LNN36"/>
      <c r="LNO36"/>
      <c r="LNP36"/>
      <c r="LNQ36"/>
      <c r="LNR36"/>
      <c r="LNS36"/>
      <c r="LNT36"/>
      <c r="LNU36"/>
      <c r="LNV36"/>
      <c r="LNW36"/>
      <c r="LNX36"/>
      <c r="LNY36"/>
      <c r="LNZ36"/>
      <c r="LOA36"/>
      <c r="LOB36"/>
      <c r="LOC36"/>
      <c r="LOD36"/>
      <c r="LOE36"/>
      <c r="LOF36"/>
      <c r="LOG36"/>
      <c r="LOH36"/>
      <c r="LOI36"/>
      <c r="LOJ36"/>
      <c r="LOK36"/>
      <c r="LOL36"/>
      <c r="LOM36"/>
      <c r="LON36"/>
      <c r="LOO36"/>
      <c r="LOP36"/>
      <c r="LOQ36"/>
      <c r="LOR36"/>
      <c r="LOS36"/>
      <c r="LOT36"/>
      <c r="LOU36"/>
      <c r="LOV36"/>
      <c r="LOW36"/>
      <c r="LOX36"/>
      <c r="LOY36"/>
      <c r="LOZ36"/>
      <c r="LPA36"/>
      <c r="LPB36"/>
      <c r="LPC36"/>
      <c r="LPD36"/>
      <c r="LPE36"/>
      <c r="LPF36"/>
      <c r="LPG36"/>
      <c r="LPH36"/>
      <c r="LPI36"/>
      <c r="LPJ36"/>
      <c r="LPK36"/>
      <c r="LPL36"/>
      <c r="LPM36"/>
      <c r="LPN36"/>
      <c r="LPO36"/>
      <c r="LPP36"/>
      <c r="LPQ36"/>
      <c r="LPR36"/>
      <c r="LPS36"/>
      <c r="LPT36"/>
      <c r="LPU36"/>
      <c r="LPV36"/>
      <c r="LPW36"/>
      <c r="LPX36"/>
      <c r="LPY36"/>
      <c r="LPZ36"/>
      <c r="LQA36"/>
      <c r="LQB36"/>
      <c r="LQC36"/>
      <c r="LQD36"/>
      <c r="LQE36"/>
      <c r="LQF36"/>
      <c r="LQG36"/>
      <c r="LQH36"/>
      <c r="LQI36"/>
      <c r="LQJ36"/>
      <c r="LQK36"/>
      <c r="LQL36"/>
      <c r="LQM36"/>
      <c r="LQN36"/>
      <c r="LQO36"/>
      <c r="LQP36"/>
      <c r="LQQ36"/>
      <c r="LQR36"/>
      <c r="LQS36"/>
      <c r="LQT36"/>
      <c r="LQU36"/>
      <c r="LQV36"/>
      <c r="LQW36"/>
      <c r="LQX36"/>
      <c r="LQY36"/>
      <c r="LQZ36"/>
      <c r="LRA36"/>
      <c r="LRB36"/>
      <c r="LRC36"/>
      <c r="LRD36"/>
      <c r="LRE36"/>
      <c r="LRF36"/>
      <c r="LRG36"/>
      <c r="LRH36"/>
      <c r="LRI36"/>
      <c r="LRJ36"/>
      <c r="LRK36"/>
      <c r="LRL36"/>
      <c r="LRM36"/>
      <c r="LRN36"/>
      <c r="LRO36"/>
      <c r="LRP36"/>
      <c r="LRQ36"/>
      <c r="LRR36"/>
      <c r="LRS36"/>
      <c r="LRT36"/>
      <c r="LRU36"/>
      <c r="LRV36"/>
      <c r="LRW36"/>
      <c r="LRX36"/>
      <c r="LRY36"/>
      <c r="LRZ36"/>
      <c r="LSA36"/>
      <c r="LSB36"/>
      <c r="LSC36"/>
      <c r="LSD36"/>
      <c r="LSE36"/>
      <c r="LSF36"/>
      <c r="LSG36"/>
      <c r="LSH36"/>
      <c r="LSI36"/>
      <c r="LSJ36"/>
      <c r="LSK36"/>
      <c r="LSL36"/>
      <c r="LSM36"/>
      <c r="LSN36"/>
      <c r="LSO36"/>
      <c r="LSP36"/>
      <c r="LSQ36"/>
      <c r="LSR36"/>
      <c r="LSS36"/>
      <c r="LST36"/>
      <c r="LSU36"/>
      <c r="LSV36"/>
      <c r="LSW36"/>
      <c r="LSX36"/>
      <c r="LSY36"/>
      <c r="LSZ36"/>
      <c r="LTA36"/>
      <c r="LTB36"/>
      <c r="LTC36"/>
      <c r="LTD36"/>
      <c r="LTE36"/>
      <c r="LTF36"/>
      <c r="LTG36"/>
      <c r="LTH36"/>
      <c r="LTI36"/>
      <c r="LTJ36"/>
      <c r="LTK36"/>
      <c r="LTL36"/>
      <c r="LTM36"/>
      <c r="LTN36"/>
      <c r="LTO36"/>
      <c r="LTP36"/>
      <c r="LTQ36"/>
      <c r="LTR36"/>
      <c r="LTS36"/>
      <c r="LTT36"/>
      <c r="LTU36"/>
      <c r="LTV36"/>
      <c r="LTW36"/>
      <c r="LTX36"/>
      <c r="LTY36"/>
      <c r="LTZ36"/>
      <c r="LUA36"/>
      <c r="LUB36"/>
      <c r="LUC36"/>
      <c r="LUD36"/>
      <c r="LUE36"/>
      <c r="LUF36"/>
      <c r="LUG36"/>
      <c r="LUH36"/>
      <c r="LUI36"/>
      <c r="LUJ36"/>
      <c r="LUK36"/>
      <c r="LUL36"/>
      <c r="LUM36"/>
      <c r="LUN36"/>
      <c r="LUO36"/>
      <c r="LUP36"/>
      <c r="LUQ36"/>
      <c r="LUR36"/>
      <c r="LUS36"/>
      <c r="LUT36"/>
      <c r="LUU36"/>
      <c r="LUV36"/>
      <c r="LUW36"/>
      <c r="LUX36"/>
      <c r="LUY36"/>
      <c r="LUZ36"/>
      <c r="LVA36"/>
      <c r="LVB36"/>
      <c r="LVC36"/>
      <c r="LVD36"/>
      <c r="LVE36"/>
      <c r="LVF36"/>
      <c r="LVG36"/>
      <c r="LVH36"/>
      <c r="LVI36"/>
      <c r="LVJ36"/>
      <c r="LVK36"/>
      <c r="LVL36"/>
      <c r="LVM36"/>
      <c r="LVN36"/>
      <c r="LVO36"/>
      <c r="LVP36"/>
      <c r="LVQ36"/>
      <c r="LVR36"/>
      <c r="LVS36"/>
      <c r="LVT36"/>
      <c r="LVU36"/>
      <c r="LVV36"/>
      <c r="LVW36"/>
      <c r="LVX36"/>
      <c r="LVY36"/>
      <c r="LVZ36"/>
      <c r="LWA36"/>
      <c r="LWB36"/>
      <c r="LWC36"/>
      <c r="LWD36"/>
      <c r="LWE36"/>
      <c r="LWF36"/>
      <c r="LWG36"/>
      <c r="LWH36"/>
      <c r="LWI36"/>
      <c r="LWJ36"/>
      <c r="LWK36"/>
      <c r="LWL36"/>
      <c r="LWM36"/>
      <c r="LWN36"/>
      <c r="LWO36"/>
      <c r="LWP36"/>
      <c r="LWQ36"/>
      <c r="LWR36"/>
      <c r="LWS36"/>
      <c r="LWT36"/>
      <c r="LWU36"/>
      <c r="LWV36"/>
      <c r="LWW36"/>
      <c r="LWX36"/>
      <c r="LWY36"/>
      <c r="LWZ36"/>
      <c r="LXA36"/>
      <c r="LXB36"/>
      <c r="LXC36"/>
      <c r="LXD36"/>
      <c r="LXE36"/>
      <c r="LXF36"/>
      <c r="LXG36"/>
      <c r="LXH36"/>
      <c r="LXI36"/>
      <c r="LXJ36"/>
      <c r="LXK36"/>
      <c r="LXL36"/>
      <c r="LXM36"/>
      <c r="LXN36"/>
      <c r="LXO36"/>
      <c r="LXP36"/>
      <c r="LXQ36"/>
      <c r="LXR36"/>
      <c r="LXS36"/>
      <c r="LXT36"/>
      <c r="LXU36"/>
      <c r="LXV36"/>
      <c r="LXW36"/>
      <c r="LXX36"/>
      <c r="LXY36"/>
      <c r="LXZ36"/>
      <c r="LYA36"/>
      <c r="LYB36"/>
      <c r="LYC36"/>
      <c r="LYD36"/>
      <c r="LYE36"/>
      <c r="LYF36"/>
      <c r="LYG36"/>
      <c r="LYH36"/>
      <c r="LYI36"/>
      <c r="LYJ36"/>
      <c r="LYK36"/>
      <c r="LYL36"/>
      <c r="LYM36"/>
      <c r="LYN36"/>
      <c r="LYO36"/>
      <c r="LYP36"/>
      <c r="LYQ36"/>
      <c r="LYR36"/>
      <c r="LYS36"/>
      <c r="LYT36"/>
      <c r="LYU36"/>
      <c r="LYV36"/>
      <c r="LYW36"/>
      <c r="LYX36"/>
      <c r="LYY36"/>
      <c r="LYZ36"/>
      <c r="LZA36"/>
      <c r="LZB36"/>
      <c r="LZC36"/>
      <c r="LZD36"/>
      <c r="LZE36"/>
      <c r="LZF36"/>
      <c r="LZG36"/>
      <c r="LZH36"/>
      <c r="LZI36"/>
      <c r="LZJ36"/>
      <c r="LZK36"/>
      <c r="LZL36"/>
      <c r="LZM36"/>
      <c r="LZN36"/>
      <c r="LZO36"/>
      <c r="LZP36"/>
      <c r="LZQ36"/>
      <c r="LZR36"/>
      <c r="LZS36"/>
      <c r="LZT36"/>
      <c r="LZU36"/>
      <c r="LZV36"/>
      <c r="LZW36"/>
      <c r="LZX36"/>
      <c r="LZY36"/>
      <c r="LZZ36"/>
      <c r="MAA36"/>
      <c r="MAB36"/>
      <c r="MAC36"/>
      <c r="MAD36"/>
      <c r="MAE36"/>
      <c r="MAF36"/>
      <c r="MAG36"/>
      <c r="MAH36"/>
      <c r="MAI36"/>
      <c r="MAJ36"/>
      <c r="MAK36"/>
      <c r="MAL36"/>
      <c r="MAM36"/>
      <c r="MAN36"/>
      <c r="MAO36"/>
      <c r="MAP36"/>
      <c r="MAQ36"/>
      <c r="MAR36"/>
      <c r="MAS36"/>
      <c r="MAT36"/>
      <c r="MAU36"/>
      <c r="MAV36"/>
      <c r="MAW36"/>
      <c r="MAX36"/>
      <c r="MAY36"/>
      <c r="MAZ36"/>
      <c r="MBA36"/>
      <c r="MBB36"/>
      <c r="MBC36"/>
      <c r="MBD36"/>
      <c r="MBE36"/>
      <c r="MBF36"/>
      <c r="MBG36"/>
      <c r="MBH36"/>
      <c r="MBI36"/>
      <c r="MBJ36"/>
      <c r="MBK36"/>
      <c r="MBL36"/>
      <c r="MBM36"/>
      <c r="MBN36"/>
      <c r="MBO36"/>
      <c r="MBP36"/>
      <c r="MBQ36"/>
      <c r="MBR36"/>
      <c r="MBS36"/>
      <c r="MBT36"/>
      <c r="MBU36"/>
      <c r="MBV36"/>
      <c r="MBW36"/>
      <c r="MBX36"/>
      <c r="MBY36"/>
      <c r="MBZ36"/>
      <c r="MCA36"/>
      <c r="MCB36"/>
      <c r="MCC36"/>
      <c r="MCD36"/>
      <c r="MCE36"/>
      <c r="MCF36"/>
      <c r="MCG36"/>
      <c r="MCH36"/>
      <c r="MCI36"/>
      <c r="MCJ36"/>
      <c r="MCK36"/>
      <c r="MCL36"/>
      <c r="MCM36"/>
      <c r="MCN36"/>
      <c r="MCO36"/>
      <c r="MCP36"/>
      <c r="MCQ36"/>
      <c r="MCR36"/>
      <c r="MCS36"/>
      <c r="MCT36"/>
      <c r="MCU36"/>
      <c r="MCV36"/>
      <c r="MCW36"/>
      <c r="MCX36"/>
      <c r="MCY36"/>
      <c r="MCZ36"/>
      <c r="MDA36"/>
      <c r="MDB36"/>
      <c r="MDC36"/>
      <c r="MDD36"/>
      <c r="MDE36"/>
      <c r="MDF36"/>
      <c r="MDG36"/>
      <c r="MDH36"/>
      <c r="MDI36"/>
      <c r="MDJ36"/>
      <c r="MDK36"/>
      <c r="MDL36"/>
      <c r="MDM36"/>
      <c r="MDN36"/>
      <c r="MDO36"/>
      <c r="MDP36"/>
      <c r="MDQ36"/>
      <c r="MDR36"/>
      <c r="MDS36"/>
      <c r="MDT36"/>
      <c r="MDU36"/>
      <c r="MDV36"/>
      <c r="MDW36"/>
      <c r="MDX36"/>
      <c r="MDY36"/>
      <c r="MDZ36"/>
      <c r="MEA36"/>
      <c r="MEB36"/>
      <c r="MEC36"/>
      <c r="MED36"/>
      <c r="MEE36"/>
      <c r="MEF36"/>
      <c r="MEG36"/>
      <c r="MEH36"/>
      <c r="MEI36"/>
      <c r="MEJ36"/>
      <c r="MEK36"/>
      <c r="MEL36"/>
      <c r="MEM36"/>
      <c r="MEN36"/>
      <c r="MEO36"/>
      <c r="MEP36"/>
      <c r="MEQ36"/>
      <c r="MER36"/>
      <c r="MES36"/>
      <c r="MET36"/>
      <c r="MEU36"/>
      <c r="MEV36"/>
      <c r="MEW36"/>
      <c r="MEX36"/>
      <c r="MEY36"/>
      <c r="MEZ36"/>
      <c r="MFA36"/>
      <c r="MFB36"/>
      <c r="MFC36"/>
      <c r="MFD36"/>
      <c r="MFE36"/>
      <c r="MFF36"/>
      <c r="MFG36"/>
      <c r="MFH36"/>
      <c r="MFI36"/>
      <c r="MFJ36"/>
      <c r="MFK36"/>
      <c r="MFL36"/>
      <c r="MFM36"/>
      <c r="MFN36"/>
      <c r="MFO36"/>
      <c r="MFP36"/>
      <c r="MFQ36"/>
      <c r="MFR36"/>
      <c r="MFS36"/>
      <c r="MFT36"/>
      <c r="MFU36"/>
      <c r="MFV36"/>
      <c r="MFW36"/>
      <c r="MFX36"/>
      <c r="MFY36"/>
      <c r="MFZ36"/>
      <c r="MGA36"/>
      <c r="MGB36"/>
      <c r="MGC36"/>
      <c r="MGD36"/>
      <c r="MGE36"/>
      <c r="MGF36"/>
      <c r="MGG36"/>
      <c r="MGH36"/>
      <c r="MGI36"/>
      <c r="MGJ36"/>
      <c r="MGK36"/>
      <c r="MGL36"/>
      <c r="MGM36"/>
      <c r="MGN36"/>
      <c r="MGO36"/>
      <c r="MGP36"/>
      <c r="MGQ36"/>
      <c r="MGR36"/>
      <c r="MGS36"/>
      <c r="MGT36"/>
      <c r="MGU36"/>
      <c r="MGV36"/>
      <c r="MGW36"/>
      <c r="MGX36"/>
      <c r="MGY36"/>
      <c r="MGZ36"/>
      <c r="MHA36"/>
      <c r="MHB36"/>
      <c r="MHC36"/>
      <c r="MHD36"/>
      <c r="MHE36"/>
      <c r="MHF36"/>
      <c r="MHG36"/>
      <c r="MHH36"/>
      <c r="MHI36"/>
      <c r="MHJ36"/>
      <c r="MHK36"/>
      <c r="MHL36"/>
      <c r="MHM36"/>
      <c r="MHN36"/>
      <c r="MHO36"/>
      <c r="MHP36"/>
      <c r="MHQ36"/>
      <c r="MHR36"/>
      <c r="MHS36"/>
      <c r="MHT36"/>
      <c r="MHU36"/>
      <c r="MHV36"/>
      <c r="MHW36"/>
      <c r="MHX36"/>
      <c r="MHY36"/>
      <c r="MHZ36"/>
      <c r="MIA36"/>
      <c r="MIB36"/>
      <c r="MIC36"/>
      <c r="MID36"/>
      <c r="MIE36"/>
      <c r="MIF36"/>
      <c r="MIG36"/>
      <c r="MIH36"/>
      <c r="MII36"/>
      <c r="MIJ36"/>
      <c r="MIK36"/>
      <c r="MIL36"/>
      <c r="MIM36"/>
      <c r="MIN36"/>
      <c r="MIO36"/>
      <c r="MIP36"/>
      <c r="MIQ36"/>
      <c r="MIR36"/>
      <c r="MIS36"/>
      <c r="MIT36"/>
      <c r="MIU36"/>
      <c r="MIV36"/>
      <c r="MIW36"/>
      <c r="MIX36"/>
      <c r="MIY36"/>
      <c r="MIZ36"/>
      <c r="MJA36"/>
      <c r="MJB36"/>
      <c r="MJC36"/>
      <c r="MJD36"/>
      <c r="MJE36"/>
      <c r="MJF36"/>
      <c r="MJG36"/>
      <c r="MJH36"/>
      <c r="MJI36"/>
      <c r="MJJ36"/>
      <c r="MJK36"/>
      <c r="MJL36"/>
      <c r="MJM36"/>
      <c r="MJN36"/>
      <c r="MJO36"/>
      <c r="MJP36"/>
      <c r="MJQ36"/>
      <c r="MJR36"/>
      <c r="MJS36"/>
      <c r="MJT36"/>
      <c r="MJU36"/>
      <c r="MJV36"/>
      <c r="MJW36"/>
      <c r="MJX36"/>
      <c r="MJY36"/>
      <c r="MJZ36"/>
      <c r="MKA36"/>
      <c r="MKB36"/>
      <c r="MKC36"/>
      <c r="MKD36"/>
      <c r="MKE36"/>
      <c r="MKF36"/>
      <c r="MKG36"/>
      <c r="MKH36"/>
      <c r="MKI36"/>
      <c r="MKJ36"/>
      <c r="MKK36"/>
      <c r="MKL36"/>
      <c r="MKM36"/>
      <c r="MKN36"/>
      <c r="MKO36"/>
      <c r="MKP36"/>
      <c r="MKQ36"/>
      <c r="MKR36"/>
      <c r="MKS36"/>
      <c r="MKT36"/>
      <c r="MKU36"/>
      <c r="MKV36"/>
      <c r="MKW36"/>
      <c r="MKX36"/>
      <c r="MKY36"/>
      <c r="MKZ36"/>
      <c r="MLA36"/>
      <c r="MLB36"/>
      <c r="MLC36"/>
      <c r="MLD36"/>
      <c r="MLE36"/>
      <c r="MLF36"/>
      <c r="MLG36"/>
      <c r="MLH36"/>
      <c r="MLI36"/>
      <c r="MLJ36"/>
      <c r="MLK36"/>
      <c r="MLL36"/>
      <c r="MLM36"/>
      <c r="MLN36"/>
      <c r="MLO36"/>
      <c r="MLP36"/>
      <c r="MLQ36"/>
      <c r="MLR36"/>
      <c r="MLS36"/>
      <c r="MLT36"/>
      <c r="MLU36"/>
      <c r="MLV36"/>
      <c r="MLW36"/>
      <c r="MLX36"/>
      <c r="MLY36"/>
      <c r="MLZ36"/>
      <c r="MMA36"/>
      <c r="MMB36"/>
      <c r="MMC36"/>
      <c r="MMD36"/>
      <c r="MME36"/>
      <c r="MMF36"/>
      <c r="MMG36"/>
      <c r="MMH36"/>
      <c r="MMI36"/>
      <c r="MMJ36"/>
      <c r="MMK36"/>
      <c r="MML36"/>
      <c r="MMM36"/>
      <c r="MMN36"/>
      <c r="MMO36"/>
      <c r="MMP36"/>
      <c r="MMQ36"/>
      <c r="MMR36"/>
      <c r="MMS36"/>
      <c r="MMT36"/>
      <c r="MMU36"/>
      <c r="MMV36"/>
      <c r="MMW36"/>
      <c r="MMX36"/>
      <c r="MMY36"/>
      <c r="MMZ36"/>
      <c r="MNA36"/>
      <c r="MNB36"/>
      <c r="MNC36"/>
      <c r="MND36"/>
      <c r="MNE36"/>
      <c r="MNF36"/>
      <c r="MNG36"/>
      <c r="MNH36"/>
      <c r="MNI36"/>
      <c r="MNJ36"/>
      <c r="MNK36"/>
      <c r="MNL36"/>
      <c r="MNM36"/>
      <c r="MNN36"/>
      <c r="MNO36"/>
      <c r="MNP36"/>
      <c r="MNQ36"/>
      <c r="MNR36"/>
      <c r="MNS36"/>
      <c r="MNT36"/>
      <c r="MNU36"/>
      <c r="MNV36"/>
      <c r="MNW36"/>
      <c r="MNX36"/>
      <c r="MNY36"/>
      <c r="MNZ36"/>
      <c r="MOA36"/>
      <c r="MOB36"/>
      <c r="MOC36"/>
      <c r="MOD36"/>
      <c r="MOE36"/>
      <c r="MOF36"/>
      <c r="MOG36"/>
      <c r="MOH36"/>
      <c r="MOI36"/>
      <c r="MOJ36"/>
      <c r="MOK36"/>
      <c r="MOL36"/>
      <c r="MOM36"/>
      <c r="MON36"/>
      <c r="MOO36"/>
      <c r="MOP36"/>
      <c r="MOQ36"/>
      <c r="MOR36"/>
      <c r="MOS36"/>
      <c r="MOT36"/>
      <c r="MOU36"/>
      <c r="MOV36"/>
      <c r="MOW36"/>
      <c r="MOX36"/>
      <c r="MOY36"/>
      <c r="MOZ36"/>
      <c r="MPA36"/>
      <c r="MPB36"/>
      <c r="MPC36"/>
      <c r="MPD36"/>
      <c r="MPE36"/>
      <c r="MPF36"/>
      <c r="MPG36"/>
      <c r="MPH36"/>
      <c r="MPI36"/>
      <c r="MPJ36"/>
      <c r="MPK36"/>
      <c r="MPL36"/>
      <c r="MPM36"/>
      <c r="MPN36"/>
      <c r="MPO36"/>
      <c r="MPP36"/>
      <c r="MPQ36"/>
      <c r="MPR36"/>
      <c r="MPS36"/>
      <c r="MPT36"/>
      <c r="MPU36"/>
      <c r="MPV36"/>
      <c r="MPW36"/>
      <c r="MPX36"/>
      <c r="MPY36"/>
      <c r="MPZ36"/>
      <c r="MQA36"/>
      <c r="MQB36"/>
      <c r="MQC36"/>
      <c r="MQD36"/>
      <c r="MQE36"/>
      <c r="MQF36"/>
      <c r="MQG36"/>
      <c r="MQH36"/>
      <c r="MQI36"/>
      <c r="MQJ36"/>
      <c r="MQK36"/>
      <c r="MQL36"/>
      <c r="MQM36"/>
      <c r="MQN36"/>
      <c r="MQO36"/>
      <c r="MQP36"/>
      <c r="MQQ36"/>
      <c r="MQR36"/>
      <c r="MQS36"/>
      <c r="MQT36"/>
      <c r="MQU36"/>
      <c r="MQV36"/>
      <c r="MQW36"/>
      <c r="MQX36"/>
      <c r="MQY36"/>
      <c r="MQZ36"/>
      <c r="MRA36"/>
      <c r="MRB36"/>
      <c r="MRC36"/>
      <c r="MRD36"/>
      <c r="MRE36"/>
      <c r="MRF36"/>
      <c r="MRG36"/>
      <c r="MRH36"/>
      <c r="MRI36"/>
      <c r="MRJ36"/>
      <c r="MRK36"/>
      <c r="MRL36"/>
      <c r="MRM36"/>
      <c r="MRN36"/>
      <c r="MRO36"/>
      <c r="MRP36"/>
      <c r="MRQ36"/>
      <c r="MRR36"/>
      <c r="MRS36"/>
      <c r="MRT36"/>
      <c r="MRU36"/>
      <c r="MRV36"/>
      <c r="MRW36"/>
      <c r="MRX36"/>
      <c r="MRY36"/>
      <c r="MRZ36"/>
      <c r="MSA36"/>
      <c r="MSB36"/>
      <c r="MSC36"/>
      <c r="MSD36"/>
      <c r="MSE36"/>
      <c r="MSF36"/>
      <c r="MSG36"/>
      <c r="MSH36"/>
      <c r="MSI36"/>
      <c r="MSJ36"/>
      <c r="MSK36"/>
      <c r="MSL36"/>
      <c r="MSM36"/>
      <c r="MSN36"/>
      <c r="MSO36"/>
      <c r="MSP36"/>
      <c r="MSQ36"/>
      <c r="MSR36"/>
      <c r="MSS36"/>
      <c r="MST36"/>
      <c r="MSU36"/>
      <c r="MSV36"/>
      <c r="MSW36"/>
      <c r="MSX36"/>
      <c r="MSY36"/>
      <c r="MSZ36"/>
      <c r="MTA36"/>
      <c r="MTB36"/>
      <c r="MTC36"/>
      <c r="MTD36"/>
      <c r="MTE36"/>
      <c r="MTF36"/>
      <c r="MTG36"/>
      <c r="MTH36"/>
      <c r="MTI36"/>
      <c r="MTJ36"/>
      <c r="MTK36"/>
      <c r="MTL36"/>
      <c r="MTM36"/>
      <c r="MTN36"/>
      <c r="MTO36"/>
      <c r="MTP36"/>
      <c r="MTQ36"/>
      <c r="MTR36"/>
      <c r="MTS36"/>
      <c r="MTT36"/>
      <c r="MTU36"/>
      <c r="MTV36"/>
      <c r="MTW36"/>
      <c r="MTX36"/>
      <c r="MTY36"/>
      <c r="MTZ36"/>
      <c r="MUA36"/>
      <c r="MUB36"/>
      <c r="MUC36"/>
      <c r="MUD36"/>
      <c r="MUE36"/>
      <c r="MUF36"/>
      <c r="MUG36"/>
      <c r="MUH36"/>
      <c r="MUI36"/>
      <c r="MUJ36"/>
      <c r="MUK36"/>
      <c r="MUL36"/>
      <c r="MUM36"/>
      <c r="MUN36"/>
      <c r="MUO36"/>
      <c r="MUP36"/>
      <c r="MUQ36"/>
      <c r="MUR36"/>
      <c r="MUS36"/>
      <c r="MUT36"/>
      <c r="MUU36"/>
      <c r="MUV36"/>
      <c r="MUW36"/>
      <c r="MUX36"/>
      <c r="MUY36"/>
      <c r="MUZ36"/>
      <c r="MVA36"/>
      <c r="MVB36"/>
      <c r="MVC36"/>
      <c r="MVD36"/>
      <c r="MVE36"/>
      <c r="MVF36"/>
      <c r="MVG36"/>
      <c r="MVH36"/>
      <c r="MVI36"/>
      <c r="MVJ36"/>
      <c r="MVK36"/>
      <c r="MVL36"/>
      <c r="MVM36"/>
      <c r="MVN36"/>
      <c r="MVO36"/>
      <c r="MVP36"/>
      <c r="MVQ36"/>
      <c r="MVR36"/>
      <c r="MVS36"/>
      <c r="MVT36"/>
      <c r="MVU36"/>
      <c r="MVV36"/>
      <c r="MVW36"/>
      <c r="MVX36"/>
      <c r="MVY36"/>
      <c r="MVZ36"/>
      <c r="MWA36"/>
      <c r="MWB36"/>
      <c r="MWC36"/>
      <c r="MWD36"/>
      <c r="MWE36"/>
      <c r="MWF36"/>
      <c r="MWG36"/>
      <c r="MWH36"/>
      <c r="MWI36"/>
      <c r="MWJ36"/>
      <c r="MWK36"/>
      <c r="MWL36"/>
      <c r="MWM36"/>
      <c r="MWN36"/>
      <c r="MWO36"/>
      <c r="MWP36"/>
      <c r="MWQ36"/>
      <c r="MWR36"/>
      <c r="MWS36"/>
      <c r="MWT36"/>
      <c r="MWU36"/>
      <c r="MWV36"/>
      <c r="MWW36"/>
      <c r="MWX36"/>
      <c r="MWY36"/>
      <c r="MWZ36"/>
      <c r="MXA36"/>
      <c r="MXB36"/>
      <c r="MXC36"/>
      <c r="MXD36"/>
      <c r="MXE36"/>
      <c r="MXF36"/>
      <c r="MXG36"/>
      <c r="MXH36"/>
      <c r="MXI36"/>
      <c r="MXJ36"/>
      <c r="MXK36"/>
      <c r="MXL36"/>
      <c r="MXM36"/>
      <c r="MXN36"/>
      <c r="MXO36"/>
      <c r="MXP36"/>
      <c r="MXQ36"/>
      <c r="MXR36"/>
      <c r="MXS36"/>
      <c r="MXT36"/>
      <c r="MXU36"/>
      <c r="MXV36"/>
      <c r="MXW36"/>
      <c r="MXX36"/>
      <c r="MXY36"/>
      <c r="MXZ36"/>
      <c r="MYA36"/>
      <c r="MYB36"/>
      <c r="MYC36"/>
      <c r="MYD36"/>
      <c r="MYE36"/>
      <c r="MYF36"/>
      <c r="MYG36"/>
      <c r="MYH36"/>
      <c r="MYI36"/>
      <c r="MYJ36"/>
      <c r="MYK36"/>
      <c r="MYL36"/>
      <c r="MYM36"/>
      <c r="MYN36"/>
      <c r="MYO36"/>
      <c r="MYP36"/>
      <c r="MYQ36"/>
      <c r="MYR36"/>
      <c r="MYS36"/>
      <c r="MYT36"/>
      <c r="MYU36"/>
      <c r="MYV36"/>
      <c r="MYW36"/>
      <c r="MYX36"/>
      <c r="MYY36"/>
      <c r="MYZ36"/>
      <c r="MZA36"/>
      <c r="MZB36"/>
      <c r="MZC36"/>
      <c r="MZD36"/>
      <c r="MZE36"/>
      <c r="MZF36"/>
      <c r="MZG36"/>
      <c r="MZH36"/>
      <c r="MZI36"/>
      <c r="MZJ36"/>
      <c r="MZK36"/>
      <c r="MZL36"/>
      <c r="MZM36"/>
      <c r="MZN36"/>
      <c r="MZO36"/>
      <c r="MZP36"/>
      <c r="MZQ36"/>
      <c r="MZR36"/>
      <c r="MZS36"/>
      <c r="MZT36"/>
      <c r="MZU36"/>
      <c r="MZV36"/>
      <c r="MZW36"/>
      <c r="MZX36"/>
      <c r="MZY36"/>
      <c r="MZZ36"/>
      <c r="NAA36"/>
      <c r="NAB36"/>
      <c r="NAC36"/>
      <c r="NAD36"/>
      <c r="NAE36"/>
      <c r="NAF36"/>
      <c r="NAG36"/>
      <c r="NAH36"/>
      <c r="NAI36"/>
      <c r="NAJ36"/>
      <c r="NAK36"/>
      <c r="NAL36"/>
      <c r="NAM36"/>
      <c r="NAN36"/>
      <c r="NAO36"/>
      <c r="NAP36"/>
      <c r="NAQ36"/>
      <c r="NAR36"/>
      <c r="NAS36"/>
      <c r="NAT36"/>
      <c r="NAU36"/>
      <c r="NAV36"/>
      <c r="NAW36"/>
      <c r="NAX36"/>
      <c r="NAY36"/>
      <c r="NAZ36"/>
      <c r="NBA36"/>
      <c r="NBB36"/>
      <c r="NBC36"/>
      <c r="NBD36"/>
      <c r="NBE36"/>
      <c r="NBF36"/>
      <c r="NBG36"/>
      <c r="NBH36"/>
      <c r="NBI36"/>
      <c r="NBJ36"/>
      <c r="NBK36"/>
      <c r="NBL36"/>
      <c r="NBM36"/>
      <c r="NBN36"/>
      <c r="NBO36"/>
      <c r="NBP36"/>
      <c r="NBQ36"/>
      <c r="NBR36"/>
      <c r="NBS36"/>
      <c r="NBT36"/>
      <c r="NBU36"/>
      <c r="NBV36"/>
      <c r="NBW36"/>
      <c r="NBX36"/>
      <c r="NBY36"/>
      <c r="NBZ36"/>
      <c r="NCA36"/>
      <c r="NCB36"/>
      <c r="NCC36"/>
      <c r="NCD36"/>
      <c r="NCE36"/>
      <c r="NCF36"/>
      <c r="NCG36"/>
      <c r="NCH36"/>
      <c r="NCI36"/>
      <c r="NCJ36"/>
      <c r="NCK36"/>
      <c r="NCL36"/>
      <c r="NCM36"/>
      <c r="NCN36"/>
      <c r="NCO36"/>
      <c r="NCP36"/>
      <c r="NCQ36"/>
      <c r="NCR36"/>
      <c r="NCS36"/>
      <c r="NCT36"/>
      <c r="NCU36"/>
      <c r="NCV36"/>
      <c r="NCW36"/>
      <c r="NCX36"/>
      <c r="NCY36"/>
      <c r="NCZ36"/>
      <c r="NDA36"/>
      <c r="NDB36"/>
      <c r="NDC36"/>
      <c r="NDD36"/>
      <c r="NDE36"/>
      <c r="NDF36"/>
      <c r="NDG36"/>
      <c r="NDH36"/>
      <c r="NDI36"/>
      <c r="NDJ36"/>
      <c r="NDK36"/>
      <c r="NDL36"/>
      <c r="NDM36"/>
      <c r="NDN36"/>
      <c r="NDO36"/>
      <c r="NDP36"/>
      <c r="NDQ36"/>
      <c r="NDR36"/>
      <c r="NDS36"/>
      <c r="NDT36"/>
      <c r="NDU36"/>
      <c r="NDV36"/>
      <c r="NDW36"/>
      <c r="NDX36"/>
      <c r="NDY36"/>
      <c r="NDZ36"/>
      <c r="NEA36"/>
      <c r="NEB36"/>
      <c r="NEC36"/>
      <c r="NED36"/>
      <c r="NEE36"/>
      <c r="NEF36"/>
      <c r="NEG36"/>
      <c r="NEH36"/>
      <c r="NEI36"/>
      <c r="NEJ36"/>
      <c r="NEK36"/>
      <c r="NEL36"/>
      <c r="NEM36"/>
      <c r="NEN36"/>
      <c r="NEO36"/>
      <c r="NEP36"/>
      <c r="NEQ36"/>
      <c r="NER36"/>
      <c r="NES36"/>
      <c r="NET36"/>
      <c r="NEU36"/>
      <c r="NEV36"/>
      <c r="NEW36"/>
      <c r="NEX36"/>
      <c r="NEY36"/>
      <c r="NEZ36"/>
      <c r="NFA36"/>
      <c r="NFB36"/>
      <c r="NFC36"/>
      <c r="NFD36"/>
      <c r="NFE36"/>
      <c r="NFF36"/>
      <c r="NFG36"/>
      <c r="NFH36"/>
      <c r="NFI36"/>
      <c r="NFJ36"/>
      <c r="NFK36"/>
      <c r="NFL36"/>
      <c r="NFM36"/>
      <c r="NFN36"/>
      <c r="NFO36"/>
      <c r="NFP36"/>
      <c r="NFQ36"/>
      <c r="NFR36"/>
      <c r="NFS36"/>
      <c r="NFT36"/>
      <c r="NFU36"/>
      <c r="NFV36"/>
      <c r="NFW36"/>
      <c r="NFX36"/>
      <c r="NFY36"/>
      <c r="NFZ36"/>
      <c r="NGA36"/>
      <c r="NGB36"/>
      <c r="NGC36"/>
      <c r="NGD36"/>
      <c r="NGE36"/>
      <c r="NGF36"/>
      <c r="NGG36"/>
      <c r="NGH36"/>
      <c r="NGI36"/>
      <c r="NGJ36"/>
      <c r="NGK36"/>
      <c r="NGL36"/>
      <c r="NGM36"/>
      <c r="NGN36"/>
      <c r="NGO36"/>
      <c r="NGP36"/>
      <c r="NGQ36"/>
      <c r="NGR36"/>
      <c r="NGS36"/>
      <c r="NGT36"/>
      <c r="NGU36"/>
      <c r="NGV36"/>
      <c r="NGW36"/>
      <c r="NGX36"/>
      <c r="NGY36"/>
      <c r="NGZ36"/>
      <c r="NHA36"/>
      <c r="NHB36"/>
      <c r="NHC36"/>
      <c r="NHD36"/>
      <c r="NHE36"/>
      <c r="NHF36"/>
      <c r="NHG36"/>
      <c r="NHH36"/>
      <c r="NHI36"/>
      <c r="NHJ36"/>
      <c r="NHK36"/>
      <c r="NHL36"/>
      <c r="NHM36"/>
      <c r="NHN36"/>
      <c r="NHO36"/>
      <c r="NHP36"/>
      <c r="NHQ36"/>
      <c r="NHR36"/>
      <c r="NHS36"/>
      <c r="NHT36"/>
      <c r="NHU36"/>
      <c r="NHV36"/>
      <c r="NHW36"/>
      <c r="NHX36"/>
      <c r="NHY36"/>
      <c r="NHZ36"/>
      <c r="NIA36"/>
      <c r="NIB36"/>
      <c r="NIC36"/>
      <c r="NID36"/>
      <c r="NIE36"/>
      <c r="NIF36"/>
      <c r="NIG36"/>
      <c r="NIH36"/>
      <c r="NII36"/>
      <c r="NIJ36"/>
      <c r="NIK36"/>
      <c r="NIL36"/>
      <c r="NIM36"/>
      <c r="NIN36"/>
      <c r="NIO36"/>
      <c r="NIP36"/>
      <c r="NIQ36"/>
      <c r="NIR36"/>
      <c r="NIS36"/>
      <c r="NIT36"/>
      <c r="NIU36"/>
      <c r="NIV36"/>
      <c r="NIW36"/>
      <c r="NIX36"/>
      <c r="NIY36"/>
      <c r="NIZ36"/>
      <c r="NJA36"/>
      <c r="NJB36"/>
      <c r="NJC36"/>
      <c r="NJD36"/>
      <c r="NJE36"/>
      <c r="NJF36"/>
      <c r="NJG36"/>
      <c r="NJH36"/>
      <c r="NJI36"/>
      <c r="NJJ36"/>
      <c r="NJK36"/>
      <c r="NJL36"/>
      <c r="NJM36"/>
      <c r="NJN36"/>
      <c r="NJO36"/>
      <c r="NJP36"/>
      <c r="NJQ36"/>
      <c r="NJR36"/>
      <c r="NJS36"/>
      <c r="NJT36"/>
      <c r="NJU36"/>
      <c r="NJV36"/>
      <c r="NJW36"/>
      <c r="NJX36"/>
      <c r="NJY36"/>
      <c r="NJZ36"/>
      <c r="NKA36"/>
      <c r="NKB36"/>
      <c r="NKC36"/>
      <c r="NKD36"/>
      <c r="NKE36"/>
      <c r="NKF36"/>
      <c r="NKG36"/>
      <c r="NKH36"/>
      <c r="NKI36"/>
      <c r="NKJ36"/>
      <c r="NKK36"/>
      <c r="NKL36"/>
      <c r="NKM36"/>
      <c r="NKN36"/>
      <c r="NKO36"/>
      <c r="NKP36"/>
      <c r="NKQ36"/>
      <c r="NKR36"/>
      <c r="NKS36"/>
      <c r="NKT36"/>
      <c r="NKU36"/>
      <c r="NKV36"/>
      <c r="NKW36"/>
      <c r="NKX36"/>
      <c r="NKY36"/>
      <c r="NKZ36"/>
      <c r="NLA36"/>
      <c r="NLB36"/>
      <c r="NLC36"/>
      <c r="NLD36"/>
      <c r="NLE36"/>
      <c r="NLF36"/>
      <c r="NLG36"/>
      <c r="NLH36"/>
      <c r="NLI36"/>
      <c r="NLJ36"/>
      <c r="NLK36"/>
      <c r="NLL36"/>
      <c r="NLM36"/>
      <c r="NLN36"/>
      <c r="NLO36"/>
      <c r="NLP36"/>
      <c r="NLQ36"/>
      <c r="NLR36"/>
      <c r="NLS36"/>
      <c r="NLT36"/>
      <c r="NLU36"/>
      <c r="NLV36"/>
      <c r="NLW36"/>
      <c r="NLX36"/>
      <c r="NLY36"/>
      <c r="NLZ36"/>
      <c r="NMA36"/>
      <c r="NMB36"/>
      <c r="NMC36"/>
      <c r="NMD36"/>
      <c r="NME36"/>
      <c r="NMF36"/>
      <c r="NMG36"/>
      <c r="NMH36"/>
      <c r="NMI36"/>
      <c r="NMJ36"/>
      <c r="NMK36"/>
      <c r="NML36"/>
      <c r="NMM36"/>
      <c r="NMN36"/>
      <c r="NMO36"/>
      <c r="NMP36"/>
      <c r="NMQ36"/>
      <c r="NMR36"/>
      <c r="NMS36"/>
      <c r="NMT36"/>
      <c r="NMU36"/>
      <c r="NMV36"/>
      <c r="NMW36"/>
      <c r="NMX36"/>
      <c r="NMY36"/>
      <c r="NMZ36"/>
      <c r="NNA36"/>
      <c r="NNB36"/>
      <c r="NNC36"/>
      <c r="NND36"/>
      <c r="NNE36"/>
      <c r="NNF36"/>
      <c r="NNG36"/>
      <c r="NNH36"/>
      <c r="NNI36"/>
      <c r="NNJ36"/>
      <c r="NNK36"/>
      <c r="NNL36"/>
      <c r="NNM36"/>
      <c r="NNN36"/>
      <c r="NNO36"/>
      <c r="NNP36"/>
      <c r="NNQ36"/>
      <c r="NNR36"/>
      <c r="NNS36"/>
      <c r="NNT36"/>
      <c r="NNU36"/>
      <c r="NNV36"/>
      <c r="NNW36"/>
      <c r="NNX36"/>
      <c r="NNY36"/>
      <c r="NNZ36"/>
      <c r="NOA36"/>
      <c r="NOB36"/>
      <c r="NOC36"/>
      <c r="NOD36"/>
      <c r="NOE36"/>
      <c r="NOF36"/>
      <c r="NOG36"/>
      <c r="NOH36"/>
      <c r="NOI36"/>
      <c r="NOJ36"/>
      <c r="NOK36"/>
      <c r="NOL36"/>
      <c r="NOM36"/>
      <c r="NON36"/>
      <c r="NOO36"/>
      <c r="NOP36"/>
      <c r="NOQ36"/>
      <c r="NOR36"/>
      <c r="NOS36"/>
      <c r="NOT36"/>
      <c r="NOU36"/>
      <c r="NOV36"/>
      <c r="NOW36"/>
      <c r="NOX36"/>
      <c r="NOY36"/>
      <c r="NOZ36"/>
      <c r="NPA36"/>
      <c r="NPB36"/>
      <c r="NPC36"/>
      <c r="NPD36"/>
      <c r="NPE36"/>
      <c r="NPF36"/>
      <c r="NPG36"/>
      <c r="NPH36"/>
      <c r="NPI36"/>
      <c r="NPJ36"/>
      <c r="NPK36"/>
      <c r="NPL36"/>
      <c r="NPM36"/>
      <c r="NPN36"/>
      <c r="NPO36"/>
      <c r="NPP36"/>
      <c r="NPQ36"/>
      <c r="NPR36"/>
      <c r="NPS36"/>
      <c r="NPT36"/>
      <c r="NPU36"/>
      <c r="NPV36"/>
      <c r="NPW36"/>
      <c r="NPX36"/>
      <c r="NPY36"/>
      <c r="NPZ36"/>
      <c r="NQA36"/>
      <c r="NQB36"/>
      <c r="NQC36"/>
      <c r="NQD36"/>
      <c r="NQE36"/>
      <c r="NQF36"/>
      <c r="NQG36"/>
      <c r="NQH36"/>
      <c r="NQI36"/>
      <c r="NQJ36"/>
      <c r="NQK36"/>
      <c r="NQL36"/>
      <c r="NQM36"/>
      <c r="NQN36"/>
      <c r="NQO36"/>
      <c r="NQP36"/>
      <c r="NQQ36"/>
      <c r="NQR36"/>
      <c r="NQS36"/>
      <c r="NQT36"/>
      <c r="NQU36"/>
      <c r="NQV36"/>
      <c r="NQW36"/>
      <c r="NQX36"/>
      <c r="NQY36"/>
      <c r="NQZ36"/>
      <c r="NRA36"/>
      <c r="NRB36"/>
      <c r="NRC36"/>
      <c r="NRD36"/>
      <c r="NRE36"/>
      <c r="NRF36"/>
      <c r="NRG36"/>
      <c r="NRH36"/>
      <c r="NRI36"/>
      <c r="NRJ36"/>
      <c r="NRK36"/>
      <c r="NRL36"/>
      <c r="NRM36"/>
      <c r="NRN36"/>
      <c r="NRO36"/>
      <c r="NRP36"/>
      <c r="NRQ36"/>
      <c r="NRR36"/>
      <c r="NRS36"/>
      <c r="NRT36"/>
      <c r="NRU36"/>
      <c r="NRV36"/>
      <c r="NRW36"/>
      <c r="NRX36"/>
      <c r="NRY36"/>
      <c r="NRZ36"/>
      <c r="NSA36"/>
      <c r="NSB36"/>
      <c r="NSC36"/>
      <c r="NSD36"/>
      <c r="NSE36"/>
      <c r="NSF36"/>
      <c r="NSG36"/>
      <c r="NSH36"/>
      <c r="NSI36"/>
      <c r="NSJ36"/>
      <c r="NSK36"/>
      <c r="NSL36"/>
      <c r="NSM36"/>
      <c r="NSN36"/>
      <c r="NSO36"/>
      <c r="NSP36"/>
      <c r="NSQ36"/>
      <c r="NSR36"/>
      <c r="NSS36"/>
      <c r="NST36"/>
      <c r="NSU36"/>
      <c r="NSV36"/>
      <c r="NSW36"/>
      <c r="NSX36"/>
      <c r="NSY36"/>
      <c r="NSZ36"/>
      <c r="NTA36"/>
      <c r="NTB36"/>
      <c r="NTC36"/>
      <c r="NTD36"/>
      <c r="NTE36"/>
      <c r="NTF36"/>
      <c r="NTG36"/>
      <c r="NTH36"/>
      <c r="NTI36"/>
      <c r="NTJ36"/>
      <c r="NTK36"/>
      <c r="NTL36"/>
      <c r="NTM36"/>
      <c r="NTN36"/>
      <c r="NTO36"/>
      <c r="NTP36"/>
      <c r="NTQ36"/>
      <c r="NTR36"/>
      <c r="NTS36"/>
      <c r="NTT36"/>
      <c r="NTU36"/>
      <c r="NTV36"/>
      <c r="NTW36"/>
      <c r="NTX36"/>
      <c r="NTY36"/>
      <c r="NTZ36"/>
      <c r="NUA36"/>
      <c r="NUB36"/>
      <c r="NUC36"/>
      <c r="NUD36"/>
      <c r="NUE36"/>
      <c r="NUF36"/>
      <c r="NUG36"/>
      <c r="NUH36"/>
      <c r="NUI36"/>
      <c r="NUJ36"/>
      <c r="NUK36"/>
      <c r="NUL36"/>
      <c r="NUM36"/>
      <c r="NUN36"/>
      <c r="NUO36"/>
      <c r="NUP36"/>
      <c r="NUQ36"/>
      <c r="NUR36"/>
      <c r="NUS36"/>
      <c r="NUT36"/>
      <c r="NUU36"/>
      <c r="NUV36"/>
      <c r="NUW36"/>
      <c r="NUX36"/>
      <c r="NUY36"/>
      <c r="NUZ36"/>
      <c r="NVA36"/>
      <c r="NVB36"/>
      <c r="NVC36"/>
      <c r="NVD36"/>
      <c r="NVE36"/>
      <c r="NVF36"/>
      <c r="NVG36"/>
      <c r="NVH36"/>
      <c r="NVI36"/>
      <c r="NVJ36"/>
      <c r="NVK36"/>
      <c r="NVL36"/>
      <c r="NVM36"/>
      <c r="NVN36"/>
      <c r="NVO36"/>
      <c r="NVP36"/>
      <c r="NVQ36"/>
      <c r="NVR36"/>
      <c r="NVS36"/>
      <c r="NVT36"/>
      <c r="NVU36"/>
      <c r="NVV36"/>
      <c r="NVW36"/>
      <c r="NVX36"/>
      <c r="NVY36"/>
      <c r="NVZ36"/>
      <c r="NWA36"/>
      <c r="NWB36"/>
      <c r="NWC36"/>
      <c r="NWD36"/>
      <c r="NWE36"/>
      <c r="NWF36"/>
      <c r="NWG36"/>
      <c r="NWH36"/>
      <c r="NWI36"/>
      <c r="NWJ36"/>
      <c r="NWK36"/>
      <c r="NWL36"/>
      <c r="NWM36"/>
      <c r="NWN36"/>
      <c r="NWO36"/>
      <c r="NWP36"/>
      <c r="NWQ36"/>
      <c r="NWR36"/>
      <c r="NWS36"/>
      <c r="NWT36"/>
      <c r="NWU36"/>
      <c r="NWV36"/>
      <c r="NWW36"/>
      <c r="NWX36"/>
      <c r="NWY36"/>
      <c r="NWZ36"/>
      <c r="NXA36"/>
      <c r="NXB36"/>
      <c r="NXC36"/>
      <c r="NXD36"/>
      <c r="NXE36"/>
      <c r="NXF36"/>
      <c r="NXG36"/>
      <c r="NXH36"/>
      <c r="NXI36"/>
      <c r="NXJ36"/>
      <c r="NXK36"/>
      <c r="NXL36"/>
      <c r="NXM36"/>
      <c r="NXN36"/>
      <c r="NXO36"/>
      <c r="NXP36"/>
      <c r="NXQ36"/>
      <c r="NXR36"/>
      <c r="NXS36"/>
      <c r="NXT36"/>
      <c r="NXU36"/>
      <c r="NXV36"/>
      <c r="NXW36"/>
      <c r="NXX36"/>
      <c r="NXY36"/>
      <c r="NXZ36"/>
      <c r="NYA36"/>
      <c r="NYB36"/>
      <c r="NYC36"/>
      <c r="NYD36"/>
      <c r="NYE36"/>
      <c r="NYF36"/>
      <c r="NYG36"/>
      <c r="NYH36"/>
      <c r="NYI36"/>
      <c r="NYJ36"/>
      <c r="NYK36"/>
      <c r="NYL36"/>
      <c r="NYM36"/>
      <c r="NYN36"/>
      <c r="NYO36"/>
      <c r="NYP36"/>
      <c r="NYQ36"/>
      <c r="NYR36"/>
      <c r="NYS36"/>
      <c r="NYT36"/>
      <c r="NYU36"/>
      <c r="NYV36"/>
      <c r="NYW36"/>
      <c r="NYX36"/>
      <c r="NYY36"/>
      <c r="NYZ36"/>
      <c r="NZA36"/>
      <c r="NZB36"/>
      <c r="NZC36"/>
      <c r="NZD36"/>
      <c r="NZE36"/>
      <c r="NZF36"/>
      <c r="NZG36"/>
      <c r="NZH36"/>
      <c r="NZI36"/>
      <c r="NZJ36"/>
      <c r="NZK36"/>
      <c r="NZL36"/>
      <c r="NZM36"/>
      <c r="NZN36"/>
      <c r="NZO36"/>
      <c r="NZP36"/>
      <c r="NZQ36"/>
      <c r="NZR36"/>
      <c r="NZS36"/>
      <c r="NZT36"/>
      <c r="NZU36"/>
      <c r="NZV36"/>
      <c r="NZW36"/>
      <c r="NZX36"/>
      <c r="NZY36"/>
      <c r="NZZ36"/>
      <c r="OAA36"/>
      <c r="OAB36"/>
      <c r="OAC36"/>
      <c r="OAD36"/>
      <c r="OAE36"/>
      <c r="OAF36"/>
      <c r="OAG36"/>
      <c r="OAH36"/>
      <c r="OAI36"/>
      <c r="OAJ36"/>
      <c r="OAK36"/>
      <c r="OAL36"/>
      <c r="OAM36"/>
      <c r="OAN36"/>
      <c r="OAO36"/>
      <c r="OAP36"/>
      <c r="OAQ36"/>
      <c r="OAR36"/>
      <c r="OAS36"/>
      <c r="OAT36"/>
      <c r="OAU36"/>
      <c r="OAV36"/>
      <c r="OAW36"/>
      <c r="OAX36"/>
      <c r="OAY36"/>
      <c r="OAZ36"/>
      <c r="OBA36"/>
      <c r="OBB36"/>
      <c r="OBC36"/>
      <c r="OBD36"/>
      <c r="OBE36"/>
      <c r="OBF36"/>
      <c r="OBG36"/>
      <c r="OBH36"/>
      <c r="OBI36"/>
      <c r="OBJ36"/>
      <c r="OBK36"/>
      <c r="OBL36"/>
      <c r="OBM36"/>
      <c r="OBN36"/>
      <c r="OBO36"/>
      <c r="OBP36"/>
      <c r="OBQ36"/>
      <c r="OBR36"/>
      <c r="OBS36"/>
      <c r="OBT36"/>
      <c r="OBU36"/>
      <c r="OBV36"/>
      <c r="OBW36"/>
      <c r="OBX36"/>
      <c r="OBY36"/>
      <c r="OBZ36"/>
      <c r="OCA36"/>
      <c r="OCB36"/>
      <c r="OCC36"/>
      <c r="OCD36"/>
      <c r="OCE36"/>
      <c r="OCF36"/>
      <c r="OCG36"/>
      <c r="OCH36"/>
      <c r="OCI36"/>
      <c r="OCJ36"/>
      <c r="OCK36"/>
      <c r="OCL36"/>
      <c r="OCM36"/>
      <c r="OCN36"/>
      <c r="OCO36"/>
      <c r="OCP36"/>
      <c r="OCQ36"/>
      <c r="OCR36"/>
      <c r="OCS36"/>
      <c r="OCT36"/>
      <c r="OCU36"/>
      <c r="OCV36"/>
      <c r="OCW36"/>
      <c r="OCX36"/>
      <c r="OCY36"/>
      <c r="OCZ36"/>
      <c r="ODA36"/>
      <c r="ODB36"/>
      <c r="ODC36"/>
      <c r="ODD36"/>
      <c r="ODE36"/>
      <c r="ODF36"/>
      <c r="ODG36"/>
      <c r="ODH36"/>
      <c r="ODI36"/>
      <c r="ODJ36"/>
      <c r="ODK36"/>
      <c r="ODL36"/>
      <c r="ODM36"/>
      <c r="ODN36"/>
      <c r="ODO36"/>
      <c r="ODP36"/>
      <c r="ODQ36"/>
      <c r="ODR36"/>
      <c r="ODS36"/>
      <c r="ODT36"/>
      <c r="ODU36"/>
      <c r="ODV36"/>
      <c r="ODW36"/>
      <c r="ODX36"/>
      <c r="ODY36"/>
      <c r="ODZ36"/>
      <c r="OEA36"/>
      <c r="OEB36"/>
      <c r="OEC36"/>
      <c r="OED36"/>
      <c r="OEE36"/>
      <c r="OEF36"/>
      <c r="OEG36"/>
      <c r="OEH36"/>
      <c r="OEI36"/>
      <c r="OEJ36"/>
      <c r="OEK36"/>
      <c r="OEL36"/>
      <c r="OEM36"/>
      <c r="OEN36"/>
      <c r="OEO36"/>
      <c r="OEP36"/>
      <c r="OEQ36"/>
      <c r="OER36"/>
      <c r="OES36"/>
      <c r="OET36"/>
      <c r="OEU36"/>
      <c r="OEV36"/>
      <c r="OEW36"/>
      <c r="OEX36"/>
      <c r="OEY36"/>
      <c r="OEZ36"/>
      <c r="OFA36"/>
      <c r="OFB36"/>
      <c r="OFC36"/>
      <c r="OFD36"/>
      <c r="OFE36"/>
      <c r="OFF36"/>
      <c r="OFG36"/>
      <c r="OFH36"/>
      <c r="OFI36"/>
      <c r="OFJ36"/>
      <c r="OFK36"/>
      <c r="OFL36"/>
      <c r="OFM36"/>
      <c r="OFN36"/>
      <c r="OFO36"/>
      <c r="OFP36"/>
      <c r="OFQ36"/>
      <c r="OFR36"/>
      <c r="OFS36"/>
      <c r="OFT36"/>
      <c r="OFU36"/>
      <c r="OFV36"/>
      <c r="OFW36"/>
      <c r="OFX36"/>
      <c r="OFY36"/>
      <c r="OFZ36"/>
      <c r="OGA36"/>
      <c r="OGB36"/>
      <c r="OGC36"/>
      <c r="OGD36"/>
      <c r="OGE36"/>
      <c r="OGF36"/>
      <c r="OGG36"/>
      <c r="OGH36"/>
      <c r="OGI36"/>
      <c r="OGJ36"/>
      <c r="OGK36"/>
      <c r="OGL36"/>
      <c r="OGM36"/>
      <c r="OGN36"/>
      <c r="OGO36"/>
      <c r="OGP36"/>
      <c r="OGQ36"/>
      <c r="OGR36"/>
      <c r="OGS36"/>
      <c r="OGT36"/>
      <c r="OGU36"/>
      <c r="OGV36"/>
      <c r="OGW36"/>
      <c r="OGX36"/>
      <c r="OGY36"/>
      <c r="OGZ36"/>
      <c r="OHA36"/>
      <c r="OHB36"/>
      <c r="OHC36"/>
      <c r="OHD36"/>
      <c r="OHE36"/>
      <c r="OHF36"/>
      <c r="OHG36"/>
      <c r="OHH36"/>
      <c r="OHI36"/>
      <c r="OHJ36"/>
      <c r="OHK36"/>
      <c r="OHL36"/>
      <c r="OHM36"/>
      <c r="OHN36"/>
      <c r="OHO36"/>
      <c r="OHP36"/>
      <c r="OHQ36"/>
      <c r="OHR36"/>
      <c r="OHS36"/>
      <c r="OHT36"/>
      <c r="OHU36"/>
      <c r="OHV36"/>
      <c r="OHW36"/>
      <c r="OHX36"/>
      <c r="OHY36"/>
      <c r="OHZ36"/>
      <c r="OIA36"/>
      <c r="OIB36"/>
      <c r="OIC36"/>
      <c r="OID36"/>
      <c r="OIE36"/>
      <c r="OIF36"/>
      <c r="OIG36"/>
      <c r="OIH36"/>
      <c r="OII36"/>
      <c r="OIJ36"/>
      <c r="OIK36"/>
      <c r="OIL36"/>
      <c r="OIM36"/>
      <c r="OIN36"/>
      <c r="OIO36"/>
      <c r="OIP36"/>
      <c r="OIQ36"/>
      <c r="OIR36"/>
      <c r="OIS36"/>
      <c r="OIT36"/>
      <c r="OIU36"/>
      <c r="OIV36"/>
      <c r="OIW36"/>
      <c r="OIX36"/>
      <c r="OIY36"/>
      <c r="OIZ36"/>
      <c r="OJA36"/>
      <c r="OJB36"/>
      <c r="OJC36"/>
      <c r="OJD36"/>
      <c r="OJE36"/>
      <c r="OJF36"/>
      <c r="OJG36"/>
      <c r="OJH36"/>
      <c r="OJI36"/>
      <c r="OJJ36"/>
      <c r="OJK36"/>
      <c r="OJL36"/>
      <c r="OJM36"/>
      <c r="OJN36"/>
      <c r="OJO36"/>
      <c r="OJP36"/>
      <c r="OJQ36"/>
      <c r="OJR36"/>
      <c r="OJS36"/>
      <c r="OJT36"/>
      <c r="OJU36"/>
      <c r="OJV36"/>
      <c r="OJW36"/>
      <c r="OJX36"/>
      <c r="OJY36"/>
      <c r="OJZ36"/>
      <c r="OKA36"/>
      <c r="OKB36"/>
      <c r="OKC36"/>
      <c r="OKD36"/>
      <c r="OKE36"/>
      <c r="OKF36"/>
      <c r="OKG36"/>
      <c r="OKH36"/>
      <c r="OKI36"/>
      <c r="OKJ36"/>
      <c r="OKK36"/>
      <c r="OKL36"/>
      <c r="OKM36"/>
      <c r="OKN36"/>
      <c r="OKO36"/>
      <c r="OKP36"/>
      <c r="OKQ36"/>
      <c r="OKR36"/>
      <c r="OKS36"/>
      <c r="OKT36"/>
      <c r="OKU36"/>
      <c r="OKV36"/>
      <c r="OKW36"/>
      <c r="OKX36"/>
      <c r="OKY36"/>
      <c r="OKZ36"/>
      <c r="OLA36"/>
      <c r="OLB36"/>
      <c r="OLC36"/>
      <c r="OLD36"/>
      <c r="OLE36"/>
      <c r="OLF36"/>
      <c r="OLG36"/>
      <c r="OLH36"/>
      <c r="OLI36"/>
      <c r="OLJ36"/>
      <c r="OLK36"/>
      <c r="OLL36"/>
      <c r="OLM36"/>
      <c r="OLN36"/>
      <c r="OLO36"/>
      <c r="OLP36"/>
      <c r="OLQ36"/>
      <c r="OLR36"/>
      <c r="OLS36"/>
      <c r="OLT36"/>
      <c r="OLU36"/>
      <c r="OLV36"/>
      <c r="OLW36"/>
      <c r="OLX36"/>
      <c r="OLY36"/>
      <c r="OLZ36"/>
      <c r="OMA36"/>
      <c r="OMB36"/>
      <c r="OMC36"/>
      <c r="OMD36"/>
      <c r="OME36"/>
      <c r="OMF36"/>
      <c r="OMG36"/>
      <c r="OMH36"/>
      <c r="OMI36"/>
      <c r="OMJ36"/>
      <c r="OMK36"/>
      <c r="OML36"/>
      <c r="OMM36"/>
      <c r="OMN36"/>
      <c r="OMO36"/>
      <c r="OMP36"/>
      <c r="OMQ36"/>
      <c r="OMR36"/>
      <c r="OMS36"/>
      <c r="OMT36"/>
      <c r="OMU36"/>
      <c r="OMV36"/>
      <c r="OMW36"/>
      <c r="OMX36"/>
      <c r="OMY36"/>
      <c r="OMZ36"/>
      <c r="ONA36"/>
      <c r="ONB36"/>
      <c r="ONC36"/>
      <c r="OND36"/>
      <c r="ONE36"/>
      <c r="ONF36"/>
      <c r="ONG36"/>
      <c r="ONH36"/>
      <c r="ONI36"/>
      <c r="ONJ36"/>
      <c r="ONK36"/>
      <c r="ONL36"/>
      <c r="ONM36"/>
      <c r="ONN36"/>
      <c r="ONO36"/>
      <c r="ONP36"/>
      <c r="ONQ36"/>
      <c r="ONR36"/>
      <c r="ONS36"/>
      <c r="ONT36"/>
      <c r="ONU36"/>
      <c r="ONV36"/>
      <c r="ONW36"/>
      <c r="ONX36"/>
      <c r="ONY36"/>
      <c r="ONZ36"/>
      <c r="OOA36"/>
      <c r="OOB36"/>
      <c r="OOC36"/>
      <c r="OOD36"/>
      <c r="OOE36"/>
      <c r="OOF36"/>
      <c r="OOG36"/>
      <c r="OOH36"/>
      <c r="OOI36"/>
      <c r="OOJ36"/>
      <c r="OOK36"/>
      <c r="OOL36"/>
      <c r="OOM36"/>
      <c r="OON36"/>
      <c r="OOO36"/>
      <c r="OOP36"/>
      <c r="OOQ36"/>
      <c r="OOR36"/>
      <c r="OOS36"/>
      <c r="OOT36"/>
      <c r="OOU36"/>
      <c r="OOV36"/>
      <c r="OOW36"/>
      <c r="OOX36"/>
      <c r="OOY36"/>
      <c r="OOZ36"/>
      <c r="OPA36"/>
      <c r="OPB36"/>
      <c r="OPC36"/>
      <c r="OPD36"/>
      <c r="OPE36"/>
      <c r="OPF36"/>
      <c r="OPG36"/>
      <c r="OPH36"/>
      <c r="OPI36"/>
      <c r="OPJ36"/>
      <c r="OPK36"/>
      <c r="OPL36"/>
      <c r="OPM36"/>
      <c r="OPN36"/>
      <c r="OPO36"/>
      <c r="OPP36"/>
      <c r="OPQ36"/>
      <c r="OPR36"/>
      <c r="OPS36"/>
      <c r="OPT36"/>
      <c r="OPU36"/>
      <c r="OPV36"/>
      <c r="OPW36"/>
      <c r="OPX36"/>
      <c r="OPY36"/>
      <c r="OPZ36"/>
      <c r="OQA36"/>
      <c r="OQB36"/>
      <c r="OQC36"/>
      <c r="OQD36"/>
      <c r="OQE36"/>
      <c r="OQF36"/>
      <c r="OQG36"/>
      <c r="OQH36"/>
      <c r="OQI36"/>
      <c r="OQJ36"/>
      <c r="OQK36"/>
      <c r="OQL36"/>
      <c r="OQM36"/>
      <c r="OQN36"/>
      <c r="OQO36"/>
      <c r="OQP36"/>
      <c r="OQQ36"/>
      <c r="OQR36"/>
      <c r="OQS36"/>
      <c r="OQT36"/>
      <c r="OQU36"/>
      <c r="OQV36"/>
      <c r="OQW36"/>
      <c r="OQX36"/>
      <c r="OQY36"/>
      <c r="OQZ36"/>
      <c r="ORA36"/>
      <c r="ORB36"/>
      <c r="ORC36"/>
      <c r="ORD36"/>
      <c r="ORE36"/>
      <c r="ORF36"/>
      <c r="ORG36"/>
      <c r="ORH36"/>
      <c r="ORI36"/>
      <c r="ORJ36"/>
      <c r="ORK36"/>
      <c r="ORL36"/>
      <c r="ORM36"/>
      <c r="ORN36"/>
      <c r="ORO36"/>
      <c r="ORP36"/>
      <c r="ORQ36"/>
      <c r="ORR36"/>
      <c r="ORS36"/>
      <c r="ORT36"/>
      <c r="ORU36"/>
      <c r="ORV36"/>
      <c r="ORW36"/>
      <c r="ORX36"/>
      <c r="ORY36"/>
      <c r="ORZ36"/>
      <c r="OSA36"/>
      <c r="OSB36"/>
      <c r="OSC36"/>
      <c r="OSD36"/>
      <c r="OSE36"/>
      <c r="OSF36"/>
      <c r="OSG36"/>
      <c r="OSH36"/>
      <c r="OSI36"/>
      <c r="OSJ36"/>
      <c r="OSK36"/>
      <c r="OSL36"/>
      <c r="OSM36"/>
      <c r="OSN36"/>
      <c r="OSO36"/>
      <c r="OSP36"/>
      <c r="OSQ36"/>
      <c r="OSR36"/>
      <c r="OSS36"/>
      <c r="OST36"/>
      <c r="OSU36"/>
      <c r="OSV36"/>
      <c r="OSW36"/>
      <c r="OSX36"/>
      <c r="OSY36"/>
      <c r="OSZ36"/>
      <c r="OTA36"/>
      <c r="OTB36"/>
      <c r="OTC36"/>
      <c r="OTD36"/>
      <c r="OTE36"/>
      <c r="OTF36"/>
      <c r="OTG36"/>
      <c r="OTH36"/>
      <c r="OTI36"/>
      <c r="OTJ36"/>
      <c r="OTK36"/>
      <c r="OTL36"/>
      <c r="OTM36"/>
      <c r="OTN36"/>
      <c r="OTO36"/>
      <c r="OTP36"/>
      <c r="OTQ36"/>
      <c r="OTR36"/>
      <c r="OTS36"/>
      <c r="OTT36"/>
      <c r="OTU36"/>
      <c r="OTV36"/>
      <c r="OTW36"/>
      <c r="OTX36"/>
      <c r="OTY36"/>
      <c r="OTZ36"/>
      <c r="OUA36"/>
      <c r="OUB36"/>
      <c r="OUC36"/>
      <c r="OUD36"/>
      <c r="OUE36"/>
      <c r="OUF36"/>
      <c r="OUG36"/>
      <c r="OUH36"/>
      <c r="OUI36"/>
      <c r="OUJ36"/>
      <c r="OUK36"/>
      <c r="OUL36"/>
      <c r="OUM36"/>
      <c r="OUN36"/>
      <c r="OUO36"/>
      <c r="OUP36"/>
      <c r="OUQ36"/>
      <c r="OUR36"/>
      <c r="OUS36"/>
      <c r="OUT36"/>
      <c r="OUU36"/>
      <c r="OUV36"/>
      <c r="OUW36"/>
      <c r="OUX36"/>
      <c r="OUY36"/>
      <c r="OUZ36"/>
      <c r="OVA36"/>
      <c r="OVB36"/>
      <c r="OVC36"/>
      <c r="OVD36"/>
      <c r="OVE36"/>
      <c r="OVF36"/>
      <c r="OVG36"/>
      <c r="OVH36"/>
      <c r="OVI36"/>
      <c r="OVJ36"/>
      <c r="OVK36"/>
      <c r="OVL36"/>
      <c r="OVM36"/>
      <c r="OVN36"/>
      <c r="OVO36"/>
      <c r="OVP36"/>
      <c r="OVQ36"/>
      <c r="OVR36"/>
      <c r="OVS36"/>
      <c r="OVT36"/>
      <c r="OVU36"/>
      <c r="OVV36"/>
      <c r="OVW36"/>
      <c r="OVX36"/>
      <c r="OVY36"/>
      <c r="OVZ36"/>
      <c r="OWA36"/>
      <c r="OWB36"/>
      <c r="OWC36"/>
      <c r="OWD36"/>
      <c r="OWE36"/>
      <c r="OWF36"/>
      <c r="OWG36"/>
      <c r="OWH36"/>
      <c r="OWI36"/>
      <c r="OWJ36"/>
      <c r="OWK36"/>
      <c r="OWL36"/>
      <c r="OWM36"/>
      <c r="OWN36"/>
      <c r="OWO36"/>
      <c r="OWP36"/>
      <c r="OWQ36"/>
      <c r="OWR36"/>
      <c r="OWS36"/>
      <c r="OWT36"/>
      <c r="OWU36"/>
      <c r="OWV36"/>
      <c r="OWW36"/>
      <c r="OWX36"/>
      <c r="OWY36"/>
      <c r="OWZ36"/>
      <c r="OXA36"/>
      <c r="OXB36"/>
      <c r="OXC36"/>
      <c r="OXD36"/>
      <c r="OXE36"/>
      <c r="OXF36"/>
      <c r="OXG36"/>
      <c r="OXH36"/>
      <c r="OXI36"/>
      <c r="OXJ36"/>
      <c r="OXK36"/>
      <c r="OXL36"/>
      <c r="OXM36"/>
      <c r="OXN36"/>
      <c r="OXO36"/>
      <c r="OXP36"/>
      <c r="OXQ36"/>
      <c r="OXR36"/>
      <c r="OXS36"/>
      <c r="OXT36"/>
      <c r="OXU36"/>
      <c r="OXV36"/>
      <c r="OXW36"/>
      <c r="OXX36"/>
      <c r="OXY36"/>
      <c r="OXZ36"/>
      <c r="OYA36"/>
      <c r="OYB36"/>
      <c r="OYC36"/>
      <c r="OYD36"/>
      <c r="OYE36"/>
      <c r="OYF36"/>
      <c r="OYG36"/>
      <c r="OYH36"/>
      <c r="OYI36"/>
      <c r="OYJ36"/>
      <c r="OYK36"/>
      <c r="OYL36"/>
      <c r="OYM36"/>
      <c r="OYN36"/>
      <c r="OYO36"/>
      <c r="OYP36"/>
      <c r="OYQ36"/>
      <c r="OYR36"/>
      <c r="OYS36"/>
      <c r="OYT36"/>
      <c r="OYU36"/>
      <c r="OYV36"/>
      <c r="OYW36"/>
      <c r="OYX36"/>
      <c r="OYY36"/>
      <c r="OYZ36"/>
      <c r="OZA36"/>
      <c r="OZB36"/>
      <c r="OZC36"/>
      <c r="OZD36"/>
      <c r="OZE36"/>
      <c r="OZF36"/>
      <c r="OZG36"/>
      <c r="OZH36"/>
      <c r="OZI36"/>
      <c r="OZJ36"/>
      <c r="OZK36"/>
      <c r="OZL36"/>
      <c r="OZM36"/>
      <c r="OZN36"/>
      <c r="OZO36"/>
      <c r="OZP36"/>
      <c r="OZQ36"/>
      <c r="OZR36"/>
      <c r="OZS36"/>
      <c r="OZT36"/>
      <c r="OZU36"/>
      <c r="OZV36"/>
      <c r="OZW36"/>
      <c r="OZX36"/>
      <c r="OZY36"/>
      <c r="OZZ36"/>
      <c r="PAA36"/>
      <c r="PAB36"/>
      <c r="PAC36"/>
      <c r="PAD36"/>
      <c r="PAE36"/>
      <c r="PAF36"/>
      <c r="PAG36"/>
      <c r="PAH36"/>
      <c r="PAI36"/>
      <c r="PAJ36"/>
      <c r="PAK36"/>
      <c r="PAL36"/>
      <c r="PAM36"/>
      <c r="PAN36"/>
      <c r="PAO36"/>
      <c r="PAP36"/>
      <c r="PAQ36"/>
      <c r="PAR36"/>
      <c r="PAS36"/>
      <c r="PAT36"/>
      <c r="PAU36"/>
      <c r="PAV36"/>
      <c r="PAW36"/>
      <c r="PAX36"/>
      <c r="PAY36"/>
      <c r="PAZ36"/>
      <c r="PBA36"/>
      <c r="PBB36"/>
      <c r="PBC36"/>
      <c r="PBD36"/>
      <c r="PBE36"/>
      <c r="PBF36"/>
      <c r="PBG36"/>
      <c r="PBH36"/>
      <c r="PBI36"/>
      <c r="PBJ36"/>
      <c r="PBK36"/>
      <c r="PBL36"/>
      <c r="PBM36"/>
      <c r="PBN36"/>
      <c r="PBO36"/>
      <c r="PBP36"/>
      <c r="PBQ36"/>
      <c r="PBR36"/>
      <c r="PBS36"/>
      <c r="PBT36"/>
      <c r="PBU36"/>
      <c r="PBV36"/>
      <c r="PBW36"/>
      <c r="PBX36"/>
      <c r="PBY36"/>
      <c r="PBZ36"/>
      <c r="PCA36"/>
      <c r="PCB36"/>
      <c r="PCC36"/>
      <c r="PCD36"/>
      <c r="PCE36"/>
      <c r="PCF36"/>
      <c r="PCG36"/>
      <c r="PCH36"/>
      <c r="PCI36"/>
      <c r="PCJ36"/>
      <c r="PCK36"/>
      <c r="PCL36"/>
      <c r="PCM36"/>
      <c r="PCN36"/>
      <c r="PCO36"/>
      <c r="PCP36"/>
      <c r="PCQ36"/>
      <c r="PCR36"/>
      <c r="PCS36"/>
      <c r="PCT36"/>
      <c r="PCU36"/>
      <c r="PCV36"/>
      <c r="PCW36"/>
      <c r="PCX36"/>
      <c r="PCY36"/>
      <c r="PCZ36"/>
      <c r="PDA36"/>
      <c r="PDB36"/>
      <c r="PDC36"/>
      <c r="PDD36"/>
      <c r="PDE36"/>
      <c r="PDF36"/>
      <c r="PDG36"/>
      <c r="PDH36"/>
      <c r="PDI36"/>
      <c r="PDJ36"/>
      <c r="PDK36"/>
      <c r="PDL36"/>
      <c r="PDM36"/>
      <c r="PDN36"/>
      <c r="PDO36"/>
      <c r="PDP36"/>
      <c r="PDQ36"/>
      <c r="PDR36"/>
      <c r="PDS36"/>
      <c r="PDT36"/>
      <c r="PDU36"/>
      <c r="PDV36"/>
      <c r="PDW36"/>
      <c r="PDX36"/>
      <c r="PDY36"/>
      <c r="PDZ36"/>
      <c r="PEA36"/>
      <c r="PEB36"/>
      <c r="PEC36"/>
      <c r="PED36"/>
      <c r="PEE36"/>
      <c r="PEF36"/>
      <c r="PEG36"/>
      <c r="PEH36"/>
      <c r="PEI36"/>
      <c r="PEJ36"/>
      <c r="PEK36"/>
      <c r="PEL36"/>
      <c r="PEM36"/>
      <c r="PEN36"/>
      <c r="PEO36"/>
      <c r="PEP36"/>
      <c r="PEQ36"/>
      <c r="PER36"/>
      <c r="PES36"/>
      <c r="PET36"/>
      <c r="PEU36"/>
      <c r="PEV36"/>
      <c r="PEW36"/>
      <c r="PEX36"/>
      <c r="PEY36"/>
      <c r="PEZ36"/>
      <c r="PFA36"/>
      <c r="PFB36"/>
      <c r="PFC36"/>
      <c r="PFD36"/>
      <c r="PFE36"/>
      <c r="PFF36"/>
      <c r="PFG36"/>
      <c r="PFH36"/>
      <c r="PFI36"/>
      <c r="PFJ36"/>
      <c r="PFK36"/>
      <c r="PFL36"/>
      <c r="PFM36"/>
      <c r="PFN36"/>
      <c r="PFO36"/>
      <c r="PFP36"/>
      <c r="PFQ36"/>
      <c r="PFR36"/>
      <c r="PFS36"/>
      <c r="PFT36"/>
      <c r="PFU36"/>
      <c r="PFV36"/>
      <c r="PFW36"/>
      <c r="PFX36"/>
      <c r="PFY36"/>
      <c r="PFZ36"/>
      <c r="PGA36"/>
      <c r="PGB36"/>
      <c r="PGC36"/>
      <c r="PGD36"/>
      <c r="PGE36"/>
      <c r="PGF36"/>
      <c r="PGG36"/>
      <c r="PGH36"/>
      <c r="PGI36"/>
      <c r="PGJ36"/>
      <c r="PGK36"/>
      <c r="PGL36"/>
      <c r="PGM36"/>
      <c r="PGN36"/>
      <c r="PGO36"/>
      <c r="PGP36"/>
      <c r="PGQ36"/>
      <c r="PGR36"/>
      <c r="PGS36"/>
      <c r="PGT36"/>
      <c r="PGU36"/>
      <c r="PGV36"/>
      <c r="PGW36"/>
      <c r="PGX36"/>
      <c r="PGY36"/>
      <c r="PGZ36"/>
      <c r="PHA36"/>
      <c r="PHB36"/>
      <c r="PHC36"/>
      <c r="PHD36"/>
      <c r="PHE36"/>
      <c r="PHF36"/>
      <c r="PHG36"/>
      <c r="PHH36"/>
      <c r="PHI36"/>
      <c r="PHJ36"/>
      <c r="PHK36"/>
      <c r="PHL36"/>
      <c r="PHM36"/>
      <c r="PHN36"/>
      <c r="PHO36"/>
      <c r="PHP36"/>
      <c r="PHQ36"/>
      <c r="PHR36"/>
      <c r="PHS36"/>
      <c r="PHT36"/>
      <c r="PHU36"/>
      <c r="PHV36"/>
      <c r="PHW36"/>
      <c r="PHX36"/>
      <c r="PHY36"/>
      <c r="PHZ36"/>
      <c r="PIA36"/>
      <c r="PIB36"/>
      <c r="PIC36"/>
      <c r="PID36"/>
      <c r="PIE36"/>
      <c r="PIF36"/>
      <c r="PIG36"/>
      <c r="PIH36"/>
      <c r="PII36"/>
      <c r="PIJ36"/>
      <c r="PIK36"/>
      <c r="PIL36"/>
      <c r="PIM36"/>
      <c r="PIN36"/>
      <c r="PIO36"/>
      <c r="PIP36"/>
      <c r="PIQ36"/>
      <c r="PIR36"/>
      <c r="PIS36"/>
      <c r="PIT36"/>
      <c r="PIU36"/>
      <c r="PIV36"/>
      <c r="PIW36"/>
      <c r="PIX36"/>
      <c r="PIY36"/>
      <c r="PIZ36"/>
      <c r="PJA36"/>
      <c r="PJB36"/>
      <c r="PJC36"/>
      <c r="PJD36"/>
      <c r="PJE36"/>
      <c r="PJF36"/>
      <c r="PJG36"/>
      <c r="PJH36"/>
      <c r="PJI36"/>
      <c r="PJJ36"/>
      <c r="PJK36"/>
      <c r="PJL36"/>
      <c r="PJM36"/>
      <c r="PJN36"/>
      <c r="PJO36"/>
      <c r="PJP36"/>
      <c r="PJQ36"/>
      <c r="PJR36"/>
      <c r="PJS36"/>
      <c r="PJT36"/>
      <c r="PJU36"/>
      <c r="PJV36"/>
      <c r="PJW36"/>
      <c r="PJX36"/>
      <c r="PJY36"/>
      <c r="PJZ36"/>
      <c r="PKA36"/>
      <c r="PKB36"/>
      <c r="PKC36"/>
      <c r="PKD36"/>
      <c r="PKE36"/>
      <c r="PKF36"/>
      <c r="PKG36"/>
      <c r="PKH36"/>
      <c r="PKI36"/>
      <c r="PKJ36"/>
      <c r="PKK36"/>
      <c r="PKL36"/>
      <c r="PKM36"/>
      <c r="PKN36"/>
      <c r="PKO36"/>
      <c r="PKP36"/>
      <c r="PKQ36"/>
      <c r="PKR36"/>
      <c r="PKS36"/>
      <c r="PKT36"/>
      <c r="PKU36"/>
      <c r="PKV36"/>
      <c r="PKW36"/>
      <c r="PKX36"/>
      <c r="PKY36"/>
      <c r="PKZ36"/>
      <c r="PLA36"/>
      <c r="PLB36"/>
      <c r="PLC36"/>
      <c r="PLD36"/>
      <c r="PLE36"/>
      <c r="PLF36"/>
      <c r="PLG36"/>
      <c r="PLH36"/>
      <c r="PLI36"/>
      <c r="PLJ36"/>
      <c r="PLK36"/>
      <c r="PLL36"/>
      <c r="PLM36"/>
      <c r="PLN36"/>
      <c r="PLO36"/>
      <c r="PLP36"/>
      <c r="PLQ36"/>
      <c r="PLR36"/>
      <c r="PLS36"/>
      <c r="PLT36"/>
      <c r="PLU36"/>
      <c r="PLV36"/>
      <c r="PLW36"/>
      <c r="PLX36"/>
      <c r="PLY36"/>
      <c r="PLZ36"/>
      <c r="PMA36"/>
      <c r="PMB36"/>
      <c r="PMC36"/>
      <c r="PMD36"/>
      <c r="PME36"/>
      <c r="PMF36"/>
      <c r="PMG36"/>
      <c r="PMH36"/>
      <c r="PMI36"/>
      <c r="PMJ36"/>
      <c r="PMK36"/>
      <c r="PML36"/>
      <c r="PMM36"/>
      <c r="PMN36"/>
      <c r="PMO36"/>
      <c r="PMP36"/>
      <c r="PMQ36"/>
      <c r="PMR36"/>
      <c r="PMS36"/>
      <c r="PMT36"/>
      <c r="PMU36"/>
      <c r="PMV36"/>
      <c r="PMW36"/>
      <c r="PMX36"/>
      <c r="PMY36"/>
      <c r="PMZ36"/>
      <c r="PNA36"/>
      <c r="PNB36"/>
      <c r="PNC36"/>
      <c r="PND36"/>
      <c r="PNE36"/>
      <c r="PNF36"/>
      <c r="PNG36"/>
      <c r="PNH36"/>
      <c r="PNI36"/>
      <c r="PNJ36"/>
      <c r="PNK36"/>
      <c r="PNL36"/>
      <c r="PNM36"/>
      <c r="PNN36"/>
      <c r="PNO36"/>
      <c r="PNP36"/>
      <c r="PNQ36"/>
      <c r="PNR36"/>
      <c r="PNS36"/>
      <c r="PNT36"/>
      <c r="PNU36"/>
      <c r="PNV36"/>
      <c r="PNW36"/>
      <c r="PNX36"/>
      <c r="PNY36"/>
      <c r="PNZ36"/>
      <c r="POA36"/>
      <c r="POB36"/>
      <c r="POC36"/>
      <c r="POD36"/>
      <c r="POE36"/>
      <c r="POF36"/>
      <c r="POG36"/>
      <c r="POH36"/>
      <c r="POI36"/>
      <c r="POJ36"/>
      <c r="POK36"/>
      <c r="POL36"/>
      <c r="POM36"/>
      <c r="PON36"/>
      <c r="POO36"/>
      <c r="POP36"/>
      <c r="POQ36"/>
      <c r="POR36"/>
      <c r="POS36"/>
      <c r="POT36"/>
      <c r="POU36"/>
      <c r="POV36"/>
      <c r="POW36"/>
      <c r="POX36"/>
      <c r="POY36"/>
      <c r="POZ36"/>
      <c r="PPA36"/>
      <c r="PPB36"/>
      <c r="PPC36"/>
      <c r="PPD36"/>
      <c r="PPE36"/>
      <c r="PPF36"/>
      <c r="PPG36"/>
      <c r="PPH36"/>
      <c r="PPI36"/>
      <c r="PPJ36"/>
      <c r="PPK36"/>
      <c r="PPL36"/>
      <c r="PPM36"/>
      <c r="PPN36"/>
      <c r="PPO36"/>
      <c r="PPP36"/>
      <c r="PPQ36"/>
      <c r="PPR36"/>
      <c r="PPS36"/>
      <c r="PPT36"/>
      <c r="PPU36"/>
      <c r="PPV36"/>
      <c r="PPW36"/>
      <c r="PPX36"/>
      <c r="PPY36"/>
      <c r="PPZ36"/>
      <c r="PQA36"/>
      <c r="PQB36"/>
      <c r="PQC36"/>
      <c r="PQD36"/>
      <c r="PQE36"/>
      <c r="PQF36"/>
      <c r="PQG36"/>
      <c r="PQH36"/>
      <c r="PQI36"/>
      <c r="PQJ36"/>
      <c r="PQK36"/>
      <c r="PQL36"/>
      <c r="PQM36"/>
      <c r="PQN36"/>
      <c r="PQO36"/>
      <c r="PQP36"/>
      <c r="PQQ36"/>
      <c r="PQR36"/>
      <c r="PQS36"/>
      <c r="PQT36"/>
      <c r="PQU36"/>
      <c r="PQV36"/>
      <c r="PQW36"/>
      <c r="PQX36"/>
      <c r="PQY36"/>
      <c r="PQZ36"/>
      <c r="PRA36"/>
      <c r="PRB36"/>
      <c r="PRC36"/>
      <c r="PRD36"/>
      <c r="PRE36"/>
      <c r="PRF36"/>
      <c r="PRG36"/>
      <c r="PRH36"/>
      <c r="PRI36"/>
      <c r="PRJ36"/>
      <c r="PRK36"/>
      <c r="PRL36"/>
      <c r="PRM36"/>
      <c r="PRN36"/>
      <c r="PRO36"/>
      <c r="PRP36"/>
      <c r="PRQ36"/>
      <c r="PRR36"/>
      <c r="PRS36"/>
      <c r="PRT36"/>
      <c r="PRU36"/>
      <c r="PRV36"/>
      <c r="PRW36"/>
      <c r="PRX36"/>
      <c r="PRY36"/>
      <c r="PRZ36"/>
      <c r="PSA36"/>
      <c r="PSB36"/>
      <c r="PSC36"/>
      <c r="PSD36"/>
      <c r="PSE36"/>
      <c r="PSF36"/>
      <c r="PSG36"/>
      <c r="PSH36"/>
      <c r="PSI36"/>
      <c r="PSJ36"/>
      <c r="PSK36"/>
      <c r="PSL36"/>
      <c r="PSM36"/>
      <c r="PSN36"/>
      <c r="PSO36"/>
      <c r="PSP36"/>
      <c r="PSQ36"/>
      <c r="PSR36"/>
      <c r="PSS36"/>
      <c r="PST36"/>
      <c r="PSU36"/>
      <c r="PSV36"/>
      <c r="PSW36"/>
      <c r="PSX36"/>
      <c r="PSY36"/>
      <c r="PSZ36"/>
      <c r="PTA36"/>
      <c r="PTB36"/>
      <c r="PTC36"/>
      <c r="PTD36"/>
      <c r="PTE36"/>
      <c r="PTF36"/>
      <c r="PTG36"/>
      <c r="PTH36"/>
      <c r="PTI36"/>
      <c r="PTJ36"/>
      <c r="PTK36"/>
      <c r="PTL36"/>
      <c r="PTM36"/>
      <c r="PTN36"/>
      <c r="PTO36"/>
      <c r="PTP36"/>
      <c r="PTQ36"/>
      <c r="PTR36"/>
      <c r="PTS36"/>
      <c r="PTT36"/>
      <c r="PTU36"/>
      <c r="PTV36"/>
      <c r="PTW36"/>
      <c r="PTX36"/>
      <c r="PTY36"/>
      <c r="PTZ36"/>
      <c r="PUA36"/>
      <c r="PUB36"/>
      <c r="PUC36"/>
      <c r="PUD36"/>
      <c r="PUE36"/>
      <c r="PUF36"/>
      <c r="PUG36"/>
      <c r="PUH36"/>
      <c r="PUI36"/>
      <c r="PUJ36"/>
      <c r="PUK36"/>
      <c r="PUL36"/>
      <c r="PUM36"/>
      <c r="PUN36"/>
      <c r="PUO36"/>
      <c r="PUP36"/>
      <c r="PUQ36"/>
      <c r="PUR36"/>
      <c r="PUS36"/>
      <c r="PUT36"/>
      <c r="PUU36"/>
      <c r="PUV36"/>
      <c r="PUW36"/>
      <c r="PUX36"/>
      <c r="PUY36"/>
      <c r="PUZ36"/>
      <c r="PVA36"/>
      <c r="PVB36"/>
      <c r="PVC36"/>
      <c r="PVD36"/>
      <c r="PVE36"/>
      <c r="PVF36"/>
      <c r="PVG36"/>
      <c r="PVH36"/>
      <c r="PVI36"/>
      <c r="PVJ36"/>
      <c r="PVK36"/>
      <c r="PVL36"/>
      <c r="PVM36"/>
      <c r="PVN36"/>
      <c r="PVO36"/>
      <c r="PVP36"/>
      <c r="PVQ36"/>
      <c r="PVR36"/>
      <c r="PVS36"/>
      <c r="PVT36"/>
      <c r="PVU36"/>
      <c r="PVV36"/>
      <c r="PVW36"/>
      <c r="PVX36"/>
      <c r="PVY36"/>
      <c r="PVZ36"/>
      <c r="PWA36"/>
      <c r="PWB36"/>
      <c r="PWC36"/>
      <c r="PWD36"/>
      <c r="PWE36"/>
      <c r="PWF36"/>
      <c r="PWG36"/>
      <c r="PWH36"/>
      <c r="PWI36"/>
      <c r="PWJ36"/>
      <c r="PWK36"/>
      <c r="PWL36"/>
      <c r="PWM36"/>
      <c r="PWN36"/>
      <c r="PWO36"/>
      <c r="PWP36"/>
      <c r="PWQ36"/>
      <c r="PWR36"/>
      <c r="PWS36"/>
      <c r="PWT36"/>
      <c r="PWU36"/>
      <c r="PWV36"/>
      <c r="PWW36"/>
      <c r="PWX36"/>
      <c r="PWY36"/>
      <c r="PWZ36"/>
      <c r="PXA36"/>
      <c r="PXB36"/>
      <c r="PXC36"/>
      <c r="PXD36"/>
      <c r="PXE36"/>
      <c r="PXF36"/>
      <c r="PXG36"/>
      <c r="PXH36"/>
      <c r="PXI36"/>
      <c r="PXJ36"/>
      <c r="PXK36"/>
      <c r="PXL36"/>
      <c r="PXM36"/>
      <c r="PXN36"/>
      <c r="PXO36"/>
      <c r="PXP36"/>
      <c r="PXQ36"/>
      <c r="PXR36"/>
      <c r="PXS36"/>
      <c r="PXT36"/>
      <c r="PXU36"/>
      <c r="PXV36"/>
      <c r="PXW36"/>
      <c r="PXX36"/>
      <c r="PXY36"/>
      <c r="PXZ36"/>
      <c r="PYA36"/>
      <c r="PYB36"/>
      <c r="PYC36"/>
      <c r="PYD36"/>
      <c r="PYE36"/>
      <c r="PYF36"/>
      <c r="PYG36"/>
      <c r="PYH36"/>
      <c r="PYI36"/>
      <c r="PYJ36"/>
      <c r="PYK36"/>
      <c r="PYL36"/>
      <c r="PYM36"/>
      <c r="PYN36"/>
      <c r="PYO36"/>
      <c r="PYP36"/>
      <c r="PYQ36"/>
      <c r="PYR36"/>
      <c r="PYS36"/>
      <c r="PYT36"/>
      <c r="PYU36"/>
      <c r="PYV36"/>
      <c r="PYW36"/>
      <c r="PYX36"/>
      <c r="PYY36"/>
      <c r="PYZ36"/>
      <c r="PZA36"/>
      <c r="PZB36"/>
      <c r="PZC36"/>
      <c r="PZD36"/>
      <c r="PZE36"/>
      <c r="PZF36"/>
      <c r="PZG36"/>
      <c r="PZH36"/>
      <c r="PZI36"/>
      <c r="PZJ36"/>
      <c r="PZK36"/>
      <c r="PZL36"/>
      <c r="PZM36"/>
      <c r="PZN36"/>
      <c r="PZO36"/>
      <c r="PZP36"/>
      <c r="PZQ36"/>
      <c r="PZR36"/>
      <c r="PZS36"/>
      <c r="PZT36"/>
      <c r="PZU36"/>
      <c r="PZV36"/>
      <c r="PZW36"/>
      <c r="PZX36"/>
      <c r="PZY36"/>
      <c r="PZZ36"/>
      <c r="QAA36"/>
      <c r="QAB36"/>
      <c r="QAC36"/>
      <c r="QAD36"/>
      <c r="QAE36"/>
      <c r="QAF36"/>
      <c r="QAG36"/>
      <c r="QAH36"/>
      <c r="QAI36"/>
      <c r="QAJ36"/>
      <c r="QAK36"/>
      <c r="QAL36"/>
      <c r="QAM36"/>
      <c r="QAN36"/>
      <c r="QAO36"/>
      <c r="QAP36"/>
      <c r="QAQ36"/>
      <c r="QAR36"/>
      <c r="QAS36"/>
      <c r="QAT36"/>
      <c r="QAU36"/>
      <c r="QAV36"/>
      <c r="QAW36"/>
      <c r="QAX36"/>
      <c r="QAY36"/>
      <c r="QAZ36"/>
      <c r="QBA36"/>
      <c r="QBB36"/>
      <c r="QBC36"/>
      <c r="QBD36"/>
      <c r="QBE36"/>
      <c r="QBF36"/>
      <c r="QBG36"/>
      <c r="QBH36"/>
      <c r="QBI36"/>
      <c r="QBJ36"/>
      <c r="QBK36"/>
      <c r="QBL36"/>
      <c r="QBM36"/>
      <c r="QBN36"/>
      <c r="QBO36"/>
      <c r="QBP36"/>
      <c r="QBQ36"/>
      <c r="QBR36"/>
      <c r="QBS36"/>
      <c r="QBT36"/>
      <c r="QBU36"/>
      <c r="QBV36"/>
      <c r="QBW36"/>
      <c r="QBX36"/>
      <c r="QBY36"/>
      <c r="QBZ36"/>
      <c r="QCA36"/>
      <c r="QCB36"/>
      <c r="QCC36"/>
      <c r="QCD36"/>
      <c r="QCE36"/>
      <c r="QCF36"/>
      <c r="QCG36"/>
      <c r="QCH36"/>
      <c r="QCI36"/>
      <c r="QCJ36"/>
      <c r="QCK36"/>
      <c r="QCL36"/>
      <c r="QCM36"/>
      <c r="QCN36"/>
      <c r="QCO36"/>
      <c r="QCP36"/>
      <c r="QCQ36"/>
      <c r="QCR36"/>
      <c r="QCS36"/>
      <c r="QCT36"/>
      <c r="QCU36"/>
      <c r="QCV36"/>
      <c r="QCW36"/>
      <c r="QCX36"/>
      <c r="QCY36"/>
      <c r="QCZ36"/>
      <c r="QDA36"/>
      <c r="QDB36"/>
      <c r="QDC36"/>
      <c r="QDD36"/>
      <c r="QDE36"/>
      <c r="QDF36"/>
      <c r="QDG36"/>
      <c r="QDH36"/>
      <c r="QDI36"/>
      <c r="QDJ36"/>
      <c r="QDK36"/>
      <c r="QDL36"/>
      <c r="QDM36"/>
      <c r="QDN36"/>
      <c r="QDO36"/>
      <c r="QDP36"/>
      <c r="QDQ36"/>
      <c r="QDR36"/>
      <c r="QDS36"/>
      <c r="QDT36"/>
      <c r="QDU36"/>
      <c r="QDV36"/>
      <c r="QDW36"/>
      <c r="QDX36"/>
      <c r="QDY36"/>
      <c r="QDZ36"/>
      <c r="QEA36"/>
      <c r="QEB36"/>
      <c r="QEC36"/>
      <c r="QED36"/>
      <c r="QEE36"/>
      <c r="QEF36"/>
      <c r="QEG36"/>
      <c r="QEH36"/>
      <c r="QEI36"/>
      <c r="QEJ36"/>
      <c r="QEK36"/>
      <c r="QEL36"/>
      <c r="QEM36"/>
      <c r="QEN36"/>
      <c r="QEO36"/>
      <c r="QEP36"/>
      <c r="QEQ36"/>
      <c r="QER36"/>
      <c r="QES36"/>
      <c r="QET36"/>
      <c r="QEU36"/>
      <c r="QEV36"/>
      <c r="QEW36"/>
      <c r="QEX36"/>
      <c r="QEY36"/>
      <c r="QEZ36"/>
      <c r="QFA36"/>
      <c r="QFB36"/>
      <c r="QFC36"/>
      <c r="QFD36"/>
      <c r="QFE36"/>
      <c r="QFF36"/>
      <c r="QFG36"/>
      <c r="QFH36"/>
      <c r="QFI36"/>
      <c r="QFJ36"/>
      <c r="QFK36"/>
      <c r="QFL36"/>
      <c r="QFM36"/>
      <c r="QFN36"/>
      <c r="QFO36"/>
      <c r="QFP36"/>
      <c r="QFQ36"/>
      <c r="QFR36"/>
      <c r="QFS36"/>
      <c r="QFT36"/>
      <c r="QFU36"/>
      <c r="QFV36"/>
      <c r="QFW36"/>
      <c r="QFX36"/>
      <c r="QFY36"/>
      <c r="QFZ36"/>
      <c r="QGA36"/>
      <c r="QGB36"/>
      <c r="QGC36"/>
      <c r="QGD36"/>
      <c r="QGE36"/>
      <c r="QGF36"/>
      <c r="QGG36"/>
      <c r="QGH36"/>
      <c r="QGI36"/>
      <c r="QGJ36"/>
      <c r="QGK36"/>
      <c r="QGL36"/>
      <c r="QGM36"/>
      <c r="QGN36"/>
      <c r="QGO36"/>
      <c r="QGP36"/>
      <c r="QGQ36"/>
      <c r="QGR36"/>
      <c r="QGS36"/>
      <c r="QGT36"/>
      <c r="QGU36"/>
      <c r="QGV36"/>
      <c r="QGW36"/>
      <c r="QGX36"/>
      <c r="QGY36"/>
      <c r="QGZ36"/>
      <c r="QHA36"/>
      <c r="QHB36"/>
      <c r="QHC36"/>
      <c r="QHD36"/>
      <c r="QHE36"/>
      <c r="QHF36"/>
      <c r="QHG36"/>
      <c r="QHH36"/>
      <c r="QHI36"/>
      <c r="QHJ36"/>
      <c r="QHK36"/>
      <c r="QHL36"/>
      <c r="QHM36"/>
      <c r="QHN36"/>
      <c r="QHO36"/>
      <c r="QHP36"/>
      <c r="QHQ36"/>
      <c r="QHR36"/>
      <c r="QHS36"/>
      <c r="QHT36"/>
      <c r="QHU36"/>
      <c r="QHV36"/>
      <c r="QHW36"/>
      <c r="QHX36"/>
      <c r="QHY36"/>
      <c r="QHZ36"/>
      <c r="QIA36"/>
      <c r="QIB36"/>
      <c r="QIC36"/>
      <c r="QID36"/>
      <c r="QIE36"/>
      <c r="QIF36"/>
      <c r="QIG36"/>
      <c r="QIH36"/>
      <c r="QII36"/>
      <c r="QIJ36"/>
      <c r="QIK36"/>
      <c r="QIL36"/>
      <c r="QIM36"/>
      <c r="QIN36"/>
      <c r="QIO36"/>
      <c r="QIP36"/>
      <c r="QIQ36"/>
      <c r="QIR36"/>
      <c r="QIS36"/>
      <c r="QIT36"/>
      <c r="QIU36"/>
      <c r="QIV36"/>
      <c r="QIW36"/>
      <c r="QIX36"/>
      <c r="QIY36"/>
      <c r="QIZ36"/>
      <c r="QJA36"/>
      <c r="QJB36"/>
      <c r="QJC36"/>
      <c r="QJD36"/>
      <c r="QJE36"/>
      <c r="QJF36"/>
      <c r="QJG36"/>
      <c r="QJH36"/>
      <c r="QJI36"/>
      <c r="QJJ36"/>
      <c r="QJK36"/>
      <c r="QJL36"/>
      <c r="QJM36"/>
      <c r="QJN36"/>
      <c r="QJO36"/>
      <c r="QJP36"/>
      <c r="QJQ36"/>
      <c r="QJR36"/>
      <c r="QJS36"/>
      <c r="QJT36"/>
      <c r="QJU36"/>
      <c r="QJV36"/>
      <c r="QJW36"/>
      <c r="QJX36"/>
      <c r="QJY36"/>
      <c r="QJZ36"/>
      <c r="QKA36"/>
      <c r="QKB36"/>
      <c r="QKC36"/>
      <c r="QKD36"/>
      <c r="QKE36"/>
      <c r="QKF36"/>
      <c r="QKG36"/>
      <c r="QKH36"/>
      <c r="QKI36"/>
      <c r="QKJ36"/>
      <c r="QKK36"/>
      <c r="QKL36"/>
      <c r="QKM36"/>
      <c r="QKN36"/>
      <c r="QKO36"/>
      <c r="QKP36"/>
      <c r="QKQ36"/>
      <c r="QKR36"/>
      <c r="QKS36"/>
      <c r="QKT36"/>
      <c r="QKU36"/>
      <c r="QKV36"/>
      <c r="QKW36"/>
      <c r="QKX36"/>
      <c r="QKY36"/>
      <c r="QKZ36"/>
      <c r="QLA36"/>
      <c r="QLB36"/>
      <c r="QLC36"/>
      <c r="QLD36"/>
      <c r="QLE36"/>
      <c r="QLF36"/>
      <c r="QLG36"/>
      <c r="QLH36"/>
      <c r="QLI36"/>
      <c r="QLJ36"/>
      <c r="QLK36"/>
      <c r="QLL36"/>
      <c r="QLM36"/>
      <c r="QLN36"/>
      <c r="QLO36"/>
      <c r="QLP36"/>
      <c r="QLQ36"/>
      <c r="QLR36"/>
      <c r="QLS36"/>
      <c r="QLT36"/>
      <c r="QLU36"/>
      <c r="QLV36"/>
      <c r="QLW36"/>
      <c r="QLX36"/>
      <c r="QLY36"/>
      <c r="QLZ36"/>
      <c r="QMA36"/>
      <c r="QMB36"/>
      <c r="QMC36"/>
      <c r="QMD36"/>
      <c r="QME36"/>
      <c r="QMF36"/>
      <c r="QMG36"/>
      <c r="QMH36"/>
      <c r="QMI36"/>
      <c r="QMJ36"/>
      <c r="QMK36"/>
      <c r="QML36"/>
      <c r="QMM36"/>
      <c r="QMN36"/>
      <c r="QMO36"/>
      <c r="QMP36"/>
      <c r="QMQ36"/>
      <c r="QMR36"/>
      <c r="QMS36"/>
      <c r="QMT36"/>
      <c r="QMU36"/>
      <c r="QMV36"/>
      <c r="QMW36"/>
      <c r="QMX36"/>
      <c r="QMY36"/>
      <c r="QMZ36"/>
      <c r="QNA36"/>
      <c r="QNB36"/>
      <c r="QNC36"/>
      <c r="QND36"/>
      <c r="QNE36"/>
      <c r="QNF36"/>
      <c r="QNG36"/>
      <c r="QNH36"/>
      <c r="QNI36"/>
      <c r="QNJ36"/>
      <c r="QNK36"/>
      <c r="QNL36"/>
      <c r="QNM36"/>
      <c r="QNN36"/>
      <c r="QNO36"/>
      <c r="QNP36"/>
      <c r="QNQ36"/>
      <c r="QNR36"/>
      <c r="QNS36"/>
      <c r="QNT36"/>
      <c r="QNU36"/>
      <c r="QNV36"/>
      <c r="QNW36"/>
      <c r="QNX36"/>
      <c r="QNY36"/>
      <c r="QNZ36"/>
      <c r="QOA36"/>
      <c r="QOB36"/>
      <c r="QOC36"/>
      <c r="QOD36"/>
      <c r="QOE36"/>
      <c r="QOF36"/>
      <c r="QOG36"/>
      <c r="QOH36"/>
      <c r="QOI36"/>
      <c r="QOJ36"/>
      <c r="QOK36"/>
      <c r="QOL36"/>
      <c r="QOM36"/>
      <c r="QON36"/>
      <c r="QOO36"/>
      <c r="QOP36"/>
      <c r="QOQ36"/>
      <c r="QOR36"/>
      <c r="QOS36"/>
      <c r="QOT36"/>
      <c r="QOU36"/>
      <c r="QOV36"/>
      <c r="QOW36"/>
      <c r="QOX36"/>
      <c r="QOY36"/>
      <c r="QOZ36"/>
      <c r="QPA36"/>
      <c r="QPB36"/>
      <c r="QPC36"/>
      <c r="QPD36"/>
      <c r="QPE36"/>
      <c r="QPF36"/>
      <c r="QPG36"/>
      <c r="QPH36"/>
      <c r="QPI36"/>
      <c r="QPJ36"/>
      <c r="QPK36"/>
      <c r="QPL36"/>
      <c r="QPM36"/>
      <c r="QPN36"/>
      <c r="QPO36"/>
      <c r="QPP36"/>
      <c r="QPQ36"/>
      <c r="QPR36"/>
      <c r="QPS36"/>
      <c r="QPT36"/>
      <c r="QPU36"/>
      <c r="QPV36"/>
      <c r="QPW36"/>
      <c r="QPX36"/>
      <c r="QPY36"/>
      <c r="QPZ36"/>
      <c r="QQA36"/>
      <c r="QQB36"/>
      <c r="QQC36"/>
      <c r="QQD36"/>
      <c r="QQE36"/>
      <c r="QQF36"/>
      <c r="QQG36"/>
      <c r="QQH36"/>
      <c r="QQI36"/>
      <c r="QQJ36"/>
      <c r="QQK36"/>
      <c r="QQL36"/>
      <c r="QQM36"/>
      <c r="QQN36"/>
      <c r="QQO36"/>
      <c r="QQP36"/>
      <c r="QQQ36"/>
      <c r="QQR36"/>
      <c r="QQS36"/>
      <c r="QQT36"/>
      <c r="QQU36"/>
      <c r="QQV36"/>
      <c r="QQW36"/>
      <c r="QQX36"/>
      <c r="QQY36"/>
      <c r="QQZ36"/>
      <c r="QRA36"/>
      <c r="QRB36"/>
      <c r="QRC36"/>
      <c r="QRD36"/>
      <c r="QRE36"/>
      <c r="QRF36"/>
      <c r="QRG36"/>
      <c r="QRH36"/>
      <c r="QRI36"/>
      <c r="QRJ36"/>
      <c r="QRK36"/>
      <c r="QRL36"/>
      <c r="QRM36"/>
      <c r="QRN36"/>
      <c r="QRO36"/>
      <c r="QRP36"/>
      <c r="QRQ36"/>
      <c r="QRR36"/>
      <c r="QRS36"/>
      <c r="QRT36"/>
      <c r="QRU36"/>
      <c r="QRV36"/>
      <c r="QRW36"/>
      <c r="QRX36"/>
      <c r="QRY36"/>
      <c r="QRZ36"/>
      <c r="QSA36"/>
      <c r="QSB36"/>
      <c r="QSC36"/>
      <c r="QSD36"/>
      <c r="QSE36"/>
      <c r="QSF36"/>
      <c r="QSG36"/>
      <c r="QSH36"/>
      <c r="QSI36"/>
      <c r="QSJ36"/>
      <c r="QSK36"/>
      <c r="QSL36"/>
      <c r="QSM36"/>
      <c r="QSN36"/>
      <c r="QSO36"/>
      <c r="QSP36"/>
      <c r="QSQ36"/>
      <c r="QSR36"/>
      <c r="QSS36"/>
      <c r="QST36"/>
      <c r="QSU36"/>
      <c r="QSV36"/>
      <c r="QSW36"/>
      <c r="QSX36"/>
      <c r="QSY36"/>
      <c r="QSZ36"/>
      <c r="QTA36"/>
      <c r="QTB36"/>
      <c r="QTC36"/>
      <c r="QTD36"/>
      <c r="QTE36"/>
      <c r="QTF36"/>
      <c r="QTG36"/>
      <c r="QTH36"/>
      <c r="QTI36"/>
      <c r="QTJ36"/>
      <c r="QTK36"/>
      <c r="QTL36"/>
      <c r="QTM36"/>
      <c r="QTN36"/>
      <c r="QTO36"/>
      <c r="QTP36"/>
      <c r="QTQ36"/>
      <c r="QTR36"/>
      <c r="QTS36"/>
      <c r="QTT36"/>
      <c r="QTU36"/>
      <c r="QTV36"/>
      <c r="QTW36"/>
      <c r="QTX36"/>
      <c r="QTY36"/>
      <c r="QTZ36"/>
      <c r="QUA36"/>
      <c r="QUB36"/>
      <c r="QUC36"/>
      <c r="QUD36"/>
      <c r="QUE36"/>
      <c r="QUF36"/>
      <c r="QUG36"/>
      <c r="QUH36"/>
      <c r="QUI36"/>
      <c r="QUJ36"/>
      <c r="QUK36"/>
      <c r="QUL36"/>
      <c r="QUM36"/>
      <c r="QUN36"/>
      <c r="QUO36"/>
      <c r="QUP36"/>
      <c r="QUQ36"/>
      <c r="QUR36"/>
      <c r="QUS36"/>
      <c r="QUT36"/>
      <c r="QUU36"/>
      <c r="QUV36"/>
      <c r="QUW36"/>
      <c r="QUX36"/>
      <c r="QUY36"/>
      <c r="QUZ36"/>
      <c r="QVA36"/>
      <c r="QVB36"/>
      <c r="QVC36"/>
      <c r="QVD36"/>
      <c r="QVE36"/>
      <c r="QVF36"/>
      <c r="QVG36"/>
      <c r="QVH36"/>
      <c r="QVI36"/>
      <c r="QVJ36"/>
      <c r="QVK36"/>
      <c r="QVL36"/>
      <c r="QVM36"/>
      <c r="QVN36"/>
      <c r="QVO36"/>
      <c r="QVP36"/>
      <c r="QVQ36"/>
      <c r="QVR36"/>
      <c r="QVS36"/>
      <c r="QVT36"/>
      <c r="QVU36"/>
      <c r="QVV36"/>
      <c r="QVW36"/>
      <c r="QVX36"/>
      <c r="QVY36"/>
      <c r="QVZ36"/>
      <c r="QWA36"/>
      <c r="QWB36"/>
      <c r="QWC36"/>
      <c r="QWD36"/>
      <c r="QWE36"/>
      <c r="QWF36"/>
      <c r="QWG36"/>
      <c r="QWH36"/>
      <c r="QWI36"/>
      <c r="QWJ36"/>
      <c r="QWK36"/>
      <c r="QWL36"/>
      <c r="QWM36"/>
      <c r="QWN36"/>
      <c r="QWO36"/>
      <c r="QWP36"/>
      <c r="QWQ36"/>
      <c r="QWR36"/>
      <c r="QWS36"/>
      <c r="QWT36"/>
      <c r="QWU36"/>
      <c r="QWV36"/>
      <c r="QWW36"/>
      <c r="QWX36"/>
      <c r="QWY36"/>
      <c r="QWZ36"/>
      <c r="QXA36"/>
      <c r="QXB36"/>
      <c r="QXC36"/>
      <c r="QXD36"/>
      <c r="QXE36"/>
      <c r="QXF36"/>
      <c r="QXG36"/>
      <c r="QXH36"/>
      <c r="QXI36"/>
      <c r="QXJ36"/>
      <c r="QXK36"/>
      <c r="QXL36"/>
      <c r="QXM36"/>
      <c r="QXN36"/>
      <c r="QXO36"/>
      <c r="QXP36"/>
      <c r="QXQ36"/>
      <c r="QXR36"/>
      <c r="QXS36"/>
      <c r="QXT36"/>
      <c r="QXU36"/>
      <c r="QXV36"/>
      <c r="QXW36"/>
      <c r="QXX36"/>
      <c r="QXY36"/>
      <c r="QXZ36"/>
      <c r="QYA36"/>
      <c r="QYB36"/>
      <c r="QYC36"/>
      <c r="QYD36"/>
      <c r="QYE36"/>
      <c r="QYF36"/>
      <c r="QYG36"/>
      <c r="QYH36"/>
      <c r="QYI36"/>
      <c r="QYJ36"/>
      <c r="QYK36"/>
      <c r="QYL36"/>
      <c r="QYM36"/>
      <c r="QYN36"/>
      <c r="QYO36"/>
      <c r="QYP36"/>
      <c r="QYQ36"/>
      <c r="QYR36"/>
      <c r="QYS36"/>
      <c r="QYT36"/>
      <c r="QYU36"/>
      <c r="QYV36"/>
      <c r="QYW36"/>
      <c r="QYX36"/>
      <c r="QYY36"/>
      <c r="QYZ36"/>
      <c r="QZA36"/>
      <c r="QZB36"/>
      <c r="QZC36"/>
      <c r="QZD36"/>
      <c r="QZE36"/>
      <c r="QZF36"/>
      <c r="QZG36"/>
      <c r="QZH36"/>
      <c r="QZI36"/>
      <c r="QZJ36"/>
      <c r="QZK36"/>
      <c r="QZL36"/>
      <c r="QZM36"/>
      <c r="QZN36"/>
      <c r="QZO36"/>
      <c r="QZP36"/>
      <c r="QZQ36"/>
      <c r="QZR36"/>
      <c r="QZS36"/>
      <c r="QZT36"/>
      <c r="QZU36"/>
      <c r="QZV36"/>
      <c r="QZW36"/>
      <c r="QZX36"/>
      <c r="QZY36"/>
      <c r="QZZ36"/>
      <c r="RAA36"/>
      <c r="RAB36"/>
      <c r="RAC36"/>
      <c r="RAD36"/>
      <c r="RAE36"/>
      <c r="RAF36"/>
      <c r="RAG36"/>
      <c r="RAH36"/>
      <c r="RAI36"/>
      <c r="RAJ36"/>
      <c r="RAK36"/>
      <c r="RAL36"/>
      <c r="RAM36"/>
      <c r="RAN36"/>
      <c r="RAO36"/>
      <c r="RAP36"/>
      <c r="RAQ36"/>
      <c r="RAR36"/>
      <c r="RAS36"/>
      <c r="RAT36"/>
      <c r="RAU36"/>
      <c r="RAV36"/>
      <c r="RAW36"/>
      <c r="RAX36"/>
      <c r="RAY36"/>
      <c r="RAZ36"/>
      <c r="RBA36"/>
      <c r="RBB36"/>
      <c r="RBC36"/>
      <c r="RBD36"/>
      <c r="RBE36"/>
      <c r="RBF36"/>
      <c r="RBG36"/>
      <c r="RBH36"/>
      <c r="RBI36"/>
      <c r="RBJ36"/>
      <c r="RBK36"/>
      <c r="RBL36"/>
      <c r="RBM36"/>
      <c r="RBN36"/>
      <c r="RBO36"/>
      <c r="RBP36"/>
      <c r="RBQ36"/>
      <c r="RBR36"/>
      <c r="RBS36"/>
      <c r="RBT36"/>
      <c r="RBU36"/>
      <c r="RBV36"/>
      <c r="RBW36"/>
      <c r="RBX36"/>
      <c r="RBY36"/>
      <c r="RBZ36"/>
      <c r="RCA36"/>
      <c r="RCB36"/>
      <c r="RCC36"/>
      <c r="RCD36"/>
      <c r="RCE36"/>
      <c r="RCF36"/>
      <c r="RCG36"/>
      <c r="RCH36"/>
      <c r="RCI36"/>
      <c r="RCJ36"/>
      <c r="RCK36"/>
      <c r="RCL36"/>
      <c r="RCM36"/>
      <c r="RCN36"/>
      <c r="RCO36"/>
      <c r="RCP36"/>
      <c r="RCQ36"/>
      <c r="RCR36"/>
      <c r="RCS36"/>
      <c r="RCT36"/>
      <c r="RCU36"/>
      <c r="RCV36"/>
      <c r="RCW36"/>
      <c r="RCX36"/>
      <c r="RCY36"/>
      <c r="RCZ36"/>
      <c r="RDA36"/>
      <c r="RDB36"/>
      <c r="RDC36"/>
      <c r="RDD36"/>
      <c r="RDE36"/>
      <c r="RDF36"/>
      <c r="RDG36"/>
      <c r="RDH36"/>
      <c r="RDI36"/>
      <c r="RDJ36"/>
      <c r="RDK36"/>
      <c r="RDL36"/>
      <c r="RDM36"/>
      <c r="RDN36"/>
      <c r="RDO36"/>
      <c r="RDP36"/>
      <c r="RDQ36"/>
      <c r="RDR36"/>
      <c r="RDS36"/>
      <c r="RDT36"/>
      <c r="RDU36"/>
      <c r="RDV36"/>
      <c r="RDW36"/>
      <c r="RDX36"/>
      <c r="RDY36"/>
      <c r="RDZ36"/>
      <c r="REA36"/>
      <c r="REB36"/>
      <c r="REC36"/>
      <c r="RED36"/>
      <c r="REE36"/>
      <c r="REF36"/>
      <c r="REG36"/>
      <c r="REH36"/>
      <c r="REI36"/>
      <c r="REJ36"/>
      <c r="REK36"/>
      <c r="REL36"/>
      <c r="REM36"/>
      <c r="REN36"/>
      <c r="REO36"/>
      <c r="REP36"/>
      <c r="REQ36"/>
      <c r="RER36"/>
      <c r="RES36"/>
      <c r="RET36"/>
      <c r="REU36"/>
      <c r="REV36"/>
      <c r="REW36"/>
      <c r="REX36"/>
      <c r="REY36"/>
      <c r="REZ36"/>
      <c r="RFA36"/>
      <c r="RFB36"/>
      <c r="RFC36"/>
      <c r="RFD36"/>
      <c r="RFE36"/>
      <c r="RFF36"/>
      <c r="RFG36"/>
      <c r="RFH36"/>
      <c r="RFI36"/>
      <c r="RFJ36"/>
      <c r="RFK36"/>
      <c r="RFL36"/>
      <c r="RFM36"/>
      <c r="RFN36"/>
      <c r="RFO36"/>
      <c r="RFP36"/>
      <c r="RFQ36"/>
      <c r="RFR36"/>
      <c r="RFS36"/>
      <c r="RFT36"/>
      <c r="RFU36"/>
      <c r="RFV36"/>
      <c r="RFW36"/>
      <c r="RFX36"/>
      <c r="RFY36"/>
      <c r="RFZ36"/>
      <c r="RGA36"/>
      <c r="RGB36"/>
      <c r="RGC36"/>
      <c r="RGD36"/>
      <c r="RGE36"/>
      <c r="RGF36"/>
      <c r="RGG36"/>
      <c r="RGH36"/>
      <c r="RGI36"/>
      <c r="RGJ36"/>
      <c r="RGK36"/>
      <c r="RGL36"/>
      <c r="RGM36"/>
      <c r="RGN36"/>
      <c r="RGO36"/>
      <c r="RGP36"/>
      <c r="RGQ36"/>
      <c r="RGR36"/>
      <c r="RGS36"/>
      <c r="RGT36"/>
      <c r="RGU36"/>
      <c r="RGV36"/>
      <c r="RGW36"/>
      <c r="RGX36"/>
      <c r="RGY36"/>
      <c r="RGZ36"/>
      <c r="RHA36"/>
      <c r="RHB36"/>
      <c r="RHC36"/>
      <c r="RHD36"/>
      <c r="RHE36"/>
      <c r="RHF36"/>
      <c r="RHG36"/>
      <c r="RHH36"/>
      <c r="RHI36"/>
      <c r="RHJ36"/>
      <c r="RHK36"/>
      <c r="RHL36"/>
      <c r="RHM36"/>
      <c r="RHN36"/>
      <c r="RHO36"/>
      <c r="RHP36"/>
      <c r="RHQ36"/>
      <c r="RHR36"/>
      <c r="RHS36"/>
      <c r="RHT36"/>
      <c r="RHU36"/>
      <c r="RHV36"/>
      <c r="RHW36"/>
      <c r="RHX36"/>
      <c r="RHY36"/>
      <c r="RHZ36"/>
      <c r="RIA36"/>
      <c r="RIB36"/>
      <c r="RIC36"/>
      <c r="RID36"/>
      <c r="RIE36"/>
      <c r="RIF36"/>
      <c r="RIG36"/>
      <c r="RIH36"/>
      <c r="RII36"/>
      <c r="RIJ36"/>
      <c r="RIK36"/>
      <c r="RIL36"/>
      <c r="RIM36"/>
      <c r="RIN36"/>
      <c r="RIO36"/>
      <c r="RIP36"/>
      <c r="RIQ36"/>
      <c r="RIR36"/>
      <c r="RIS36"/>
      <c r="RIT36"/>
      <c r="RIU36"/>
      <c r="RIV36"/>
      <c r="RIW36"/>
      <c r="RIX36"/>
      <c r="RIY36"/>
      <c r="RIZ36"/>
      <c r="RJA36"/>
      <c r="RJB36"/>
      <c r="RJC36"/>
      <c r="RJD36"/>
      <c r="RJE36"/>
      <c r="RJF36"/>
      <c r="RJG36"/>
      <c r="RJH36"/>
      <c r="RJI36"/>
      <c r="RJJ36"/>
      <c r="RJK36"/>
      <c r="RJL36"/>
      <c r="RJM36"/>
      <c r="RJN36"/>
      <c r="RJO36"/>
      <c r="RJP36"/>
      <c r="RJQ36"/>
      <c r="RJR36"/>
      <c r="RJS36"/>
      <c r="RJT36"/>
      <c r="RJU36"/>
      <c r="RJV36"/>
      <c r="RJW36"/>
      <c r="RJX36"/>
      <c r="RJY36"/>
      <c r="RJZ36"/>
      <c r="RKA36"/>
      <c r="RKB36"/>
      <c r="RKC36"/>
      <c r="RKD36"/>
      <c r="RKE36"/>
      <c r="RKF36"/>
      <c r="RKG36"/>
      <c r="RKH36"/>
      <c r="RKI36"/>
      <c r="RKJ36"/>
      <c r="RKK36"/>
      <c r="RKL36"/>
      <c r="RKM36"/>
      <c r="RKN36"/>
      <c r="RKO36"/>
      <c r="RKP36"/>
      <c r="RKQ36"/>
      <c r="RKR36"/>
      <c r="RKS36"/>
      <c r="RKT36"/>
      <c r="RKU36"/>
      <c r="RKV36"/>
      <c r="RKW36"/>
      <c r="RKX36"/>
      <c r="RKY36"/>
      <c r="RKZ36"/>
      <c r="RLA36"/>
      <c r="RLB36"/>
      <c r="RLC36"/>
      <c r="RLD36"/>
      <c r="RLE36"/>
      <c r="RLF36"/>
      <c r="RLG36"/>
      <c r="RLH36"/>
      <c r="RLI36"/>
      <c r="RLJ36"/>
      <c r="RLK36"/>
      <c r="RLL36"/>
      <c r="RLM36"/>
      <c r="RLN36"/>
      <c r="RLO36"/>
      <c r="RLP36"/>
      <c r="RLQ36"/>
      <c r="RLR36"/>
      <c r="RLS36"/>
      <c r="RLT36"/>
      <c r="RLU36"/>
      <c r="RLV36"/>
      <c r="RLW36"/>
      <c r="RLX36"/>
      <c r="RLY36"/>
      <c r="RLZ36"/>
      <c r="RMA36"/>
      <c r="RMB36"/>
      <c r="RMC36"/>
      <c r="RMD36"/>
      <c r="RME36"/>
      <c r="RMF36"/>
      <c r="RMG36"/>
      <c r="RMH36"/>
      <c r="RMI36"/>
      <c r="RMJ36"/>
      <c r="RMK36"/>
      <c r="RML36"/>
      <c r="RMM36"/>
      <c r="RMN36"/>
      <c r="RMO36"/>
      <c r="RMP36"/>
      <c r="RMQ36"/>
      <c r="RMR36"/>
      <c r="RMS36"/>
      <c r="RMT36"/>
      <c r="RMU36"/>
      <c r="RMV36"/>
      <c r="RMW36"/>
      <c r="RMX36"/>
      <c r="RMY36"/>
      <c r="RMZ36"/>
      <c r="RNA36"/>
      <c r="RNB36"/>
      <c r="RNC36"/>
      <c r="RND36"/>
      <c r="RNE36"/>
      <c r="RNF36"/>
      <c r="RNG36"/>
      <c r="RNH36"/>
      <c r="RNI36"/>
      <c r="RNJ36"/>
      <c r="RNK36"/>
      <c r="RNL36"/>
      <c r="RNM36"/>
      <c r="RNN36"/>
      <c r="RNO36"/>
      <c r="RNP36"/>
      <c r="RNQ36"/>
      <c r="RNR36"/>
      <c r="RNS36"/>
      <c r="RNT36"/>
      <c r="RNU36"/>
      <c r="RNV36"/>
      <c r="RNW36"/>
      <c r="RNX36"/>
      <c r="RNY36"/>
      <c r="RNZ36"/>
      <c r="ROA36"/>
      <c r="ROB36"/>
      <c r="ROC36"/>
      <c r="ROD36"/>
      <c r="ROE36"/>
      <c r="ROF36"/>
      <c r="ROG36"/>
      <c r="ROH36"/>
      <c r="ROI36"/>
      <c r="ROJ36"/>
      <c r="ROK36"/>
      <c r="ROL36"/>
      <c r="ROM36"/>
      <c r="RON36"/>
      <c r="ROO36"/>
      <c r="ROP36"/>
      <c r="ROQ36"/>
      <c r="ROR36"/>
      <c r="ROS36"/>
      <c r="ROT36"/>
      <c r="ROU36"/>
      <c r="ROV36"/>
      <c r="ROW36"/>
      <c r="ROX36"/>
      <c r="ROY36"/>
      <c r="ROZ36"/>
      <c r="RPA36"/>
      <c r="RPB36"/>
      <c r="RPC36"/>
      <c r="RPD36"/>
      <c r="RPE36"/>
      <c r="RPF36"/>
      <c r="RPG36"/>
      <c r="RPH36"/>
      <c r="RPI36"/>
      <c r="RPJ36"/>
      <c r="RPK36"/>
      <c r="RPL36"/>
      <c r="RPM36"/>
      <c r="RPN36"/>
      <c r="RPO36"/>
      <c r="RPP36"/>
      <c r="RPQ36"/>
      <c r="RPR36"/>
      <c r="RPS36"/>
      <c r="RPT36"/>
      <c r="RPU36"/>
      <c r="RPV36"/>
      <c r="RPW36"/>
      <c r="RPX36"/>
      <c r="RPY36"/>
      <c r="RPZ36"/>
      <c r="RQA36"/>
      <c r="RQB36"/>
      <c r="RQC36"/>
      <c r="RQD36"/>
      <c r="RQE36"/>
      <c r="RQF36"/>
      <c r="RQG36"/>
      <c r="RQH36"/>
      <c r="RQI36"/>
      <c r="RQJ36"/>
      <c r="RQK36"/>
      <c r="RQL36"/>
      <c r="RQM36"/>
      <c r="RQN36"/>
      <c r="RQO36"/>
      <c r="RQP36"/>
      <c r="RQQ36"/>
      <c r="RQR36"/>
      <c r="RQS36"/>
      <c r="RQT36"/>
      <c r="RQU36"/>
      <c r="RQV36"/>
      <c r="RQW36"/>
      <c r="RQX36"/>
      <c r="RQY36"/>
      <c r="RQZ36"/>
      <c r="RRA36"/>
      <c r="RRB36"/>
      <c r="RRC36"/>
      <c r="RRD36"/>
      <c r="RRE36"/>
      <c r="RRF36"/>
      <c r="RRG36"/>
      <c r="RRH36"/>
      <c r="RRI36"/>
      <c r="RRJ36"/>
      <c r="RRK36"/>
      <c r="RRL36"/>
      <c r="RRM36"/>
      <c r="RRN36"/>
      <c r="RRO36"/>
      <c r="RRP36"/>
      <c r="RRQ36"/>
      <c r="RRR36"/>
      <c r="RRS36"/>
      <c r="RRT36"/>
      <c r="RRU36"/>
      <c r="RRV36"/>
      <c r="RRW36"/>
      <c r="RRX36"/>
      <c r="RRY36"/>
      <c r="RRZ36"/>
      <c r="RSA36"/>
      <c r="RSB36"/>
      <c r="RSC36"/>
      <c r="RSD36"/>
      <c r="RSE36"/>
      <c r="RSF36"/>
      <c r="RSG36"/>
      <c r="RSH36"/>
      <c r="RSI36"/>
      <c r="RSJ36"/>
      <c r="RSK36"/>
      <c r="RSL36"/>
      <c r="RSM36"/>
      <c r="RSN36"/>
      <c r="RSO36"/>
      <c r="RSP36"/>
      <c r="RSQ36"/>
      <c r="RSR36"/>
      <c r="RSS36"/>
      <c r="RST36"/>
      <c r="RSU36"/>
      <c r="RSV36"/>
      <c r="RSW36"/>
      <c r="RSX36"/>
      <c r="RSY36"/>
      <c r="RSZ36"/>
      <c r="RTA36"/>
      <c r="RTB36"/>
      <c r="RTC36"/>
      <c r="RTD36"/>
      <c r="RTE36"/>
      <c r="RTF36"/>
      <c r="RTG36"/>
      <c r="RTH36"/>
      <c r="RTI36"/>
      <c r="RTJ36"/>
      <c r="RTK36"/>
      <c r="RTL36"/>
      <c r="RTM36"/>
      <c r="RTN36"/>
      <c r="RTO36"/>
      <c r="RTP36"/>
      <c r="RTQ36"/>
      <c r="RTR36"/>
      <c r="RTS36"/>
      <c r="RTT36"/>
      <c r="RTU36"/>
      <c r="RTV36"/>
      <c r="RTW36"/>
      <c r="RTX36"/>
      <c r="RTY36"/>
      <c r="RTZ36"/>
      <c r="RUA36"/>
      <c r="RUB36"/>
      <c r="RUC36"/>
      <c r="RUD36"/>
      <c r="RUE36"/>
      <c r="RUF36"/>
      <c r="RUG36"/>
      <c r="RUH36"/>
      <c r="RUI36"/>
      <c r="RUJ36"/>
      <c r="RUK36"/>
      <c r="RUL36"/>
      <c r="RUM36"/>
      <c r="RUN36"/>
      <c r="RUO36"/>
      <c r="RUP36"/>
      <c r="RUQ36"/>
      <c r="RUR36"/>
      <c r="RUS36"/>
      <c r="RUT36"/>
      <c r="RUU36"/>
      <c r="RUV36"/>
      <c r="RUW36"/>
      <c r="RUX36"/>
      <c r="RUY36"/>
      <c r="RUZ36"/>
      <c r="RVA36"/>
      <c r="RVB36"/>
      <c r="RVC36"/>
      <c r="RVD36"/>
      <c r="RVE36"/>
      <c r="RVF36"/>
      <c r="RVG36"/>
      <c r="RVH36"/>
      <c r="RVI36"/>
      <c r="RVJ36"/>
      <c r="RVK36"/>
      <c r="RVL36"/>
      <c r="RVM36"/>
      <c r="RVN36"/>
      <c r="RVO36"/>
      <c r="RVP36"/>
      <c r="RVQ36"/>
      <c r="RVR36"/>
      <c r="RVS36"/>
      <c r="RVT36"/>
      <c r="RVU36"/>
      <c r="RVV36"/>
      <c r="RVW36"/>
      <c r="RVX36"/>
      <c r="RVY36"/>
      <c r="RVZ36"/>
      <c r="RWA36"/>
      <c r="RWB36"/>
      <c r="RWC36"/>
      <c r="RWD36"/>
      <c r="RWE36"/>
      <c r="RWF36"/>
      <c r="RWG36"/>
      <c r="RWH36"/>
      <c r="RWI36"/>
      <c r="RWJ36"/>
      <c r="RWK36"/>
      <c r="RWL36"/>
      <c r="RWM36"/>
      <c r="RWN36"/>
      <c r="RWO36"/>
      <c r="RWP36"/>
      <c r="RWQ36"/>
      <c r="RWR36"/>
      <c r="RWS36"/>
      <c r="RWT36"/>
      <c r="RWU36"/>
      <c r="RWV36"/>
      <c r="RWW36"/>
      <c r="RWX36"/>
      <c r="RWY36"/>
      <c r="RWZ36"/>
      <c r="RXA36"/>
      <c r="RXB36"/>
      <c r="RXC36"/>
      <c r="RXD36"/>
      <c r="RXE36"/>
      <c r="RXF36"/>
      <c r="RXG36"/>
      <c r="RXH36"/>
      <c r="RXI36"/>
      <c r="RXJ36"/>
      <c r="RXK36"/>
      <c r="RXL36"/>
      <c r="RXM36"/>
      <c r="RXN36"/>
      <c r="RXO36"/>
      <c r="RXP36"/>
      <c r="RXQ36"/>
      <c r="RXR36"/>
      <c r="RXS36"/>
      <c r="RXT36"/>
      <c r="RXU36"/>
      <c r="RXV36"/>
      <c r="RXW36"/>
      <c r="RXX36"/>
      <c r="RXY36"/>
      <c r="RXZ36"/>
      <c r="RYA36"/>
      <c r="RYB36"/>
      <c r="RYC36"/>
      <c r="RYD36"/>
      <c r="RYE36"/>
      <c r="RYF36"/>
      <c r="RYG36"/>
      <c r="RYH36"/>
      <c r="RYI36"/>
      <c r="RYJ36"/>
      <c r="RYK36"/>
      <c r="RYL36"/>
      <c r="RYM36"/>
      <c r="RYN36"/>
      <c r="RYO36"/>
      <c r="RYP36"/>
      <c r="RYQ36"/>
      <c r="RYR36"/>
      <c r="RYS36"/>
      <c r="RYT36"/>
      <c r="RYU36"/>
      <c r="RYV36"/>
      <c r="RYW36"/>
      <c r="RYX36"/>
      <c r="RYY36"/>
      <c r="RYZ36"/>
      <c r="RZA36"/>
      <c r="RZB36"/>
      <c r="RZC36"/>
      <c r="RZD36"/>
      <c r="RZE36"/>
      <c r="RZF36"/>
      <c r="RZG36"/>
      <c r="RZH36"/>
      <c r="RZI36"/>
      <c r="RZJ36"/>
      <c r="RZK36"/>
      <c r="RZL36"/>
      <c r="RZM36"/>
      <c r="RZN36"/>
      <c r="RZO36"/>
      <c r="RZP36"/>
      <c r="RZQ36"/>
      <c r="RZR36"/>
      <c r="RZS36"/>
      <c r="RZT36"/>
      <c r="RZU36"/>
      <c r="RZV36"/>
      <c r="RZW36"/>
      <c r="RZX36"/>
      <c r="RZY36"/>
      <c r="RZZ36"/>
      <c r="SAA36"/>
      <c r="SAB36"/>
      <c r="SAC36"/>
      <c r="SAD36"/>
      <c r="SAE36"/>
      <c r="SAF36"/>
      <c r="SAG36"/>
      <c r="SAH36"/>
      <c r="SAI36"/>
      <c r="SAJ36"/>
      <c r="SAK36"/>
      <c r="SAL36"/>
      <c r="SAM36"/>
      <c r="SAN36"/>
      <c r="SAO36"/>
      <c r="SAP36"/>
      <c r="SAQ36"/>
      <c r="SAR36"/>
      <c r="SAS36"/>
      <c r="SAT36"/>
      <c r="SAU36"/>
      <c r="SAV36"/>
      <c r="SAW36"/>
      <c r="SAX36"/>
      <c r="SAY36"/>
      <c r="SAZ36"/>
      <c r="SBA36"/>
      <c r="SBB36"/>
      <c r="SBC36"/>
      <c r="SBD36"/>
      <c r="SBE36"/>
      <c r="SBF36"/>
      <c r="SBG36"/>
      <c r="SBH36"/>
      <c r="SBI36"/>
      <c r="SBJ36"/>
      <c r="SBK36"/>
      <c r="SBL36"/>
      <c r="SBM36"/>
      <c r="SBN36"/>
      <c r="SBO36"/>
      <c r="SBP36"/>
      <c r="SBQ36"/>
      <c r="SBR36"/>
      <c r="SBS36"/>
      <c r="SBT36"/>
      <c r="SBU36"/>
      <c r="SBV36"/>
      <c r="SBW36"/>
      <c r="SBX36"/>
      <c r="SBY36"/>
      <c r="SBZ36"/>
      <c r="SCA36"/>
      <c r="SCB36"/>
      <c r="SCC36"/>
      <c r="SCD36"/>
      <c r="SCE36"/>
      <c r="SCF36"/>
      <c r="SCG36"/>
      <c r="SCH36"/>
      <c r="SCI36"/>
      <c r="SCJ36"/>
      <c r="SCK36"/>
      <c r="SCL36"/>
      <c r="SCM36"/>
      <c r="SCN36"/>
      <c r="SCO36"/>
      <c r="SCP36"/>
      <c r="SCQ36"/>
      <c r="SCR36"/>
      <c r="SCS36"/>
      <c r="SCT36"/>
      <c r="SCU36"/>
      <c r="SCV36"/>
      <c r="SCW36"/>
      <c r="SCX36"/>
      <c r="SCY36"/>
      <c r="SCZ36"/>
      <c r="SDA36"/>
      <c r="SDB36"/>
      <c r="SDC36"/>
      <c r="SDD36"/>
      <c r="SDE36"/>
      <c r="SDF36"/>
      <c r="SDG36"/>
      <c r="SDH36"/>
      <c r="SDI36"/>
      <c r="SDJ36"/>
      <c r="SDK36"/>
      <c r="SDL36"/>
      <c r="SDM36"/>
      <c r="SDN36"/>
      <c r="SDO36"/>
      <c r="SDP36"/>
      <c r="SDQ36"/>
      <c r="SDR36"/>
      <c r="SDS36"/>
      <c r="SDT36"/>
      <c r="SDU36"/>
      <c r="SDV36"/>
      <c r="SDW36"/>
      <c r="SDX36"/>
      <c r="SDY36"/>
      <c r="SDZ36"/>
      <c r="SEA36"/>
      <c r="SEB36"/>
      <c r="SEC36"/>
      <c r="SED36"/>
      <c r="SEE36"/>
      <c r="SEF36"/>
      <c r="SEG36"/>
      <c r="SEH36"/>
      <c r="SEI36"/>
      <c r="SEJ36"/>
      <c r="SEK36"/>
      <c r="SEL36"/>
      <c r="SEM36"/>
      <c r="SEN36"/>
      <c r="SEO36"/>
      <c r="SEP36"/>
      <c r="SEQ36"/>
      <c r="SER36"/>
      <c r="SES36"/>
      <c r="SET36"/>
      <c r="SEU36"/>
      <c r="SEV36"/>
      <c r="SEW36"/>
      <c r="SEX36"/>
      <c r="SEY36"/>
      <c r="SEZ36"/>
      <c r="SFA36"/>
      <c r="SFB36"/>
      <c r="SFC36"/>
      <c r="SFD36"/>
      <c r="SFE36"/>
      <c r="SFF36"/>
      <c r="SFG36"/>
      <c r="SFH36"/>
      <c r="SFI36"/>
      <c r="SFJ36"/>
      <c r="SFK36"/>
      <c r="SFL36"/>
      <c r="SFM36"/>
      <c r="SFN36"/>
      <c r="SFO36"/>
      <c r="SFP36"/>
      <c r="SFQ36"/>
      <c r="SFR36"/>
      <c r="SFS36"/>
      <c r="SFT36"/>
      <c r="SFU36"/>
      <c r="SFV36"/>
      <c r="SFW36"/>
      <c r="SFX36"/>
      <c r="SFY36"/>
      <c r="SFZ36"/>
      <c r="SGA36"/>
      <c r="SGB36"/>
      <c r="SGC36"/>
      <c r="SGD36"/>
      <c r="SGE36"/>
      <c r="SGF36"/>
      <c r="SGG36"/>
      <c r="SGH36"/>
      <c r="SGI36"/>
      <c r="SGJ36"/>
      <c r="SGK36"/>
      <c r="SGL36"/>
      <c r="SGM36"/>
      <c r="SGN36"/>
      <c r="SGO36"/>
      <c r="SGP36"/>
      <c r="SGQ36"/>
      <c r="SGR36"/>
      <c r="SGS36"/>
      <c r="SGT36"/>
      <c r="SGU36"/>
      <c r="SGV36"/>
      <c r="SGW36"/>
      <c r="SGX36"/>
      <c r="SGY36"/>
      <c r="SGZ36"/>
      <c r="SHA36"/>
      <c r="SHB36"/>
      <c r="SHC36"/>
      <c r="SHD36"/>
      <c r="SHE36"/>
      <c r="SHF36"/>
      <c r="SHG36"/>
      <c r="SHH36"/>
      <c r="SHI36"/>
      <c r="SHJ36"/>
      <c r="SHK36"/>
      <c r="SHL36"/>
      <c r="SHM36"/>
      <c r="SHN36"/>
      <c r="SHO36"/>
      <c r="SHP36"/>
      <c r="SHQ36"/>
      <c r="SHR36"/>
      <c r="SHS36"/>
      <c r="SHT36"/>
      <c r="SHU36"/>
      <c r="SHV36"/>
      <c r="SHW36"/>
      <c r="SHX36"/>
      <c r="SHY36"/>
      <c r="SHZ36"/>
      <c r="SIA36"/>
      <c r="SIB36"/>
      <c r="SIC36"/>
      <c r="SID36"/>
      <c r="SIE36"/>
      <c r="SIF36"/>
      <c r="SIG36"/>
      <c r="SIH36"/>
      <c r="SII36"/>
      <c r="SIJ36"/>
      <c r="SIK36"/>
      <c r="SIL36"/>
      <c r="SIM36"/>
      <c r="SIN36"/>
      <c r="SIO36"/>
      <c r="SIP36"/>
      <c r="SIQ36"/>
      <c r="SIR36"/>
      <c r="SIS36"/>
      <c r="SIT36"/>
      <c r="SIU36"/>
      <c r="SIV36"/>
      <c r="SIW36"/>
      <c r="SIX36"/>
      <c r="SIY36"/>
      <c r="SIZ36"/>
      <c r="SJA36"/>
      <c r="SJB36"/>
      <c r="SJC36"/>
      <c r="SJD36"/>
      <c r="SJE36"/>
      <c r="SJF36"/>
      <c r="SJG36"/>
      <c r="SJH36"/>
      <c r="SJI36"/>
      <c r="SJJ36"/>
      <c r="SJK36"/>
      <c r="SJL36"/>
      <c r="SJM36"/>
      <c r="SJN36"/>
      <c r="SJO36"/>
      <c r="SJP36"/>
      <c r="SJQ36"/>
      <c r="SJR36"/>
      <c r="SJS36"/>
      <c r="SJT36"/>
      <c r="SJU36"/>
      <c r="SJV36"/>
      <c r="SJW36"/>
      <c r="SJX36"/>
      <c r="SJY36"/>
      <c r="SJZ36"/>
      <c r="SKA36"/>
      <c r="SKB36"/>
      <c r="SKC36"/>
      <c r="SKD36"/>
      <c r="SKE36"/>
      <c r="SKF36"/>
      <c r="SKG36"/>
      <c r="SKH36"/>
      <c r="SKI36"/>
      <c r="SKJ36"/>
      <c r="SKK36"/>
      <c r="SKL36"/>
      <c r="SKM36"/>
      <c r="SKN36"/>
      <c r="SKO36"/>
      <c r="SKP36"/>
      <c r="SKQ36"/>
      <c r="SKR36"/>
      <c r="SKS36"/>
      <c r="SKT36"/>
      <c r="SKU36"/>
      <c r="SKV36"/>
      <c r="SKW36"/>
      <c r="SKX36"/>
      <c r="SKY36"/>
      <c r="SKZ36"/>
      <c r="SLA36"/>
      <c r="SLB36"/>
      <c r="SLC36"/>
      <c r="SLD36"/>
      <c r="SLE36"/>
      <c r="SLF36"/>
      <c r="SLG36"/>
      <c r="SLH36"/>
      <c r="SLI36"/>
      <c r="SLJ36"/>
      <c r="SLK36"/>
      <c r="SLL36"/>
      <c r="SLM36"/>
      <c r="SLN36"/>
      <c r="SLO36"/>
      <c r="SLP36"/>
      <c r="SLQ36"/>
      <c r="SLR36"/>
      <c r="SLS36"/>
      <c r="SLT36"/>
      <c r="SLU36"/>
      <c r="SLV36"/>
      <c r="SLW36"/>
      <c r="SLX36"/>
      <c r="SLY36"/>
      <c r="SLZ36"/>
      <c r="SMA36"/>
      <c r="SMB36"/>
      <c r="SMC36"/>
      <c r="SMD36"/>
      <c r="SME36"/>
      <c r="SMF36"/>
      <c r="SMG36"/>
      <c r="SMH36"/>
      <c r="SMI36"/>
      <c r="SMJ36"/>
      <c r="SMK36"/>
      <c r="SML36"/>
      <c r="SMM36"/>
      <c r="SMN36"/>
      <c r="SMO36"/>
      <c r="SMP36"/>
      <c r="SMQ36"/>
      <c r="SMR36"/>
      <c r="SMS36"/>
      <c r="SMT36"/>
      <c r="SMU36"/>
      <c r="SMV36"/>
      <c r="SMW36"/>
      <c r="SMX36"/>
      <c r="SMY36"/>
      <c r="SMZ36"/>
      <c r="SNA36"/>
      <c r="SNB36"/>
      <c r="SNC36"/>
      <c r="SND36"/>
      <c r="SNE36"/>
      <c r="SNF36"/>
      <c r="SNG36"/>
      <c r="SNH36"/>
      <c r="SNI36"/>
      <c r="SNJ36"/>
      <c r="SNK36"/>
      <c r="SNL36"/>
      <c r="SNM36"/>
      <c r="SNN36"/>
      <c r="SNO36"/>
      <c r="SNP36"/>
      <c r="SNQ36"/>
      <c r="SNR36"/>
      <c r="SNS36"/>
      <c r="SNT36"/>
      <c r="SNU36"/>
      <c r="SNV36"/>
      <c r="SNW36"/>
      <c r="SNX36"/>
      <c r="SNY36"/>
      <c r="SNZ36"/>
      <c r="SOA36"/>
      <c r="SOB36"/>
      <c r="SOC36"/>
      <c r="SOD36"/>
      <c r="SOE36"/>
      <c r="SOF36"/>
      <c r="SOG36"/>
      <c r="SOH36"/>
      <c r="SOI36"/>
      <c r="SOJ36"/>
      <c r="SOK36"/>
      <c r="SOL36"/>
      <c r="SOM36"/>
      <c r="SON36"/>
      <c r="SOO36"/>
      <c r="SOP36"/>
      <c r="SOQ36"/>
      <c r="SOR36"/>
      <c r="SOS36"/>
      <c r="SOT36"/>
      <c r="SOU36"/>
      <c r="SOV36"/>
      <c r="SOW36"/>
      <c r="SOX36"/>
      <c r="SOY36"/>
      <c r="SOZ36"/>
      <c r="SPA36"/>
      <c r="SPB36"/>
      <c r="SPC36"/>
      <c r="SPD36"/>
      <c r="SPE36"/>
      <c r="SPF36"/>
      <c r="SPG36"/>
      <c r="SPH36"/>
      <c r="SPI36"/>
      <c r="SPJ36"/>
      <c r="SPK36"/>
      <c r="SPL36"/>
      <c r="SPM36"/>
      <c r="SPN36"/>
      <c r="SPO36"/>
      <c r="SPP36"/>
      <c r="SPQ36"/>
      <c r="SPR36"/>
      <c r="SPS36"/>
      <c r="SPT36"/>
      <c r="SPU36"/>
      <c r="SPV36"/>
      <c r="SPW36"/>
      <c r="SPX36"/>
      <c r="SPY36"/>
      <c r="SPZ36"/>
      <c r="SQA36"/>
      <c r="SQB36"/>
      <c r="SQC36"/>
      <c r="SQD36"/>
      <c r="SQE36"/>
      <c r="SQF36"/>
      <c r="SQG36"/>
      <c r="SQH36"/>
      <c r="SQI36"/>
      <c r="SQJ36"/>
      <c r="SQK36"/>
      <c r="SQL36"/>
      <c r="SQM36"/>
      <c r="SQN36"/>
      <c r="SQO36"/>
      <c r="SQP36"/>
      <c r="SQQ36"/>
      <c r="SQR36"/>
      <c r="SQS36"/>
      <c r="SQT36"/>
      <c r="SQU36"/>
      <c r="SQV36"/>
      <c r="SQW36"/>
      <c r="SQX36"/>
      <c r="SQY36"/>
      <c r="SQZ36"/>
      <c r="SRA36"/>
      <c r="SRB36"/>
      <c r="SRC36"/>
      <c r="SRD36"/>
      <c r="SRE36"/>
      <c r="SRF36"/>
      <c r="SRG36"/>
      <c r="SRH36"/>
      <c r="SRI36"/>
      <c r="SRJ36"/>
      <c r="SRK36"/>
      <c r="SRL36"/>
      <c r="SRM36"/>
      <c r="SRN36"/>
      <c r="SRO36"/>
      <c r="SRP36"/>
      <c r="SRQ36"/>
      <c r="SRR36"/>
      <c r="SRS36"/>
      <c r="SRT36"/>
      <c r="SRU36"/>
      <c r="SRV36"/>
      <c r="SRW36"/>
      <c r="SRX36"/>
      <c r="SRY36"/>
      <c r="SRZ36"/>
      <c r="SSA36"/>
      <c r="SSB36"/>
      <c r="SSC36"/>
      <c r="SSD36"/>
      <c r="SSE36"/>
      <c r="SSF36"/>
      <c r="SSG36"/>
      <c r="SSH36"/>
      <c r="SSI36"/>
      <c r="SSJ36"/>
      <c r="SSK36"/>
      <c r="SSL36"/>
      <c r="SSM36"/>
      <c r="SSN36"/>
      <c r="SSO36"/>
      <c r="SSP36"/>
      <c r="SSQ36"/>
      <c r="SSR36"/>
      <c r="SSS36"/>
      <c r="SST36"/>
      <c r="SSU36"/>
      <c r="SSV36"/>
      <c r="SSW36"/>
      <c r="SSX36"/>
      <c r="SSY36"/>
      <c r="SSZ36"/>
      <c r="STA36"/>
      <c r="STB36"/>
      <c r="STC36"/>
      <c r="STD36"/>
      <c r="STE36"/>
      <c r="STF36"/>
      <c r="STG36"/>
      <c r="STH36"/>
      <c r="STI36"/>
      <c r="STJ36"/>
      <c r="STK36"/>
      <c r="STL36"/>
      <c r="STM36"/>
      <c r="STN36"/>
      <c r="STO36"/>
      <c r="STP36"/>
      <c r="STQ36"/>
      <c r="STR36"/>
      <c r="STS36"/>
      <c r="STT36"/>
      <c r="STU36"/>
      <c r="STV36"/>
      <c r="STW36"/>
      <c r="STX36"/>
      <c r="STY36"/>
      <c r="STZ36"/>
      <c r="SUA36"/>
      <c r="SUB36"/>
      <c r="SUC36"/>
      <c r="SUD36"/>
      <c r="SUE36"/>
      <c r="SUF36"/>
      <c r="SUG36"/>
      <c r="SUH36"/>
      <c r="SUI36"/>
      <c r="SUJ36"/>
      <c r="SUK36"/>
      <c r="SUL36"/>
      <c r="SUM36"/>
      <c r="SUN36"/>
      <c r="SUO36"/>
      <c r="SUP36"/>
      <c r="SUQ36"/>
      <c r="SUR36"/>
      <c r="SUS36"/>
      <c r="SUT36"/>
      <c r="SUU36"/>
      <c r="SUV36"/>
      <c r="SUW36"/>
      <c r="SUX36"/>
      <c r="SUY36"/>
      <c r="SUZ36"/>
      <c r="SVA36"/>
      <c r="SVB36"/>
      <c r="SVC36"/>
      <c r="SVD36"/>
      <c r="SVE36"/>
      <c r="SVF36"/>
      <c r="SVG36"/>
      <c r="SVH36"/>
      <c r="SVI36"/>
      <c r="SVJ36"/>
      <c r="SVK36"/>
      <c r="SVL36"/>
      <c r="SVM36"/>
      <c r="SVN36"/>
      <c r="SVO36"/>
      <c r="SVP36"/>
      <c r="SVQ36"/>
      <c r="SVR36"/>
      <c r="SVS36"/>
      <c r="SVT36"/>
      <c r="SVU36"/>
      <c r="SVV36"/>
      <c r="SVW36"/>
      <c r="SVX36"/>
      <c r="SVY36"/>
      <c r="SVZ36"/>
      <c r="SWA36"/>
      <c r="SWB36"/>
      <c r="SWC36"/>
      <c r="SWD36"/>
      <c r="SWE36"/>
      <c r="SWF36"/>
      <c r="SWG36"/>
      <c r="SWH36"/>
      <c r="SWI36"/>
      <c r="SWJ36"/>
      <c r="SWK36"/>
      <c r="SWL36"/>
      <c r="SWM36"/>
      <c r="SWN36"/>
      <c r="SWO36"/>
      <c r="SWP36"/>
      <c r="SWQ36"/>
      <c r="SWR36"/>
      <c r="SWS36"/>
      <c r="SWT36"/>
      <c r="SWU36"/>
      <c r="SWV36"/>
      <c r="SWW36"/>
      <c r="SWX36"/>
      <c r="SWY36"/>
      <c r="SWZ36"/>
      <c r="SXA36"/>
      <c r="SXB36"/>
      <c r="SXC36"/>
      <c r="SXD36"/>
      <c r="SXE36"/>
      <c r="SXF36"/>
      <c r="SXG36"/>
      <c r="SXH36"/>
      <c r="SXI36"/>
      <c r="SXJ36"/>
      <c r="SXK36"/>
      <c r="SXL36"/>
      <c r="SXM36"/>
      <c r="SXN36"/>
      <c r="SXO36"/>
      <c r="SXP36"/>
      <c r="SXQ36"/>
      <c r="SXR36"/>
      <c r="SXS36"/>
      <c r="SXT36"/>
      <c r="SXU36"/>
      <c r="SXV36"/>
      <c r="SXW36"/>
      <c r="SXX36"/>
      <c r="SXY36"/>
      <c r="SXZ36"/>
      <c r="SYA36"/>
      <c r="SYB36"/>
      <c r="SYC36"/>
      <c r="SYD36"/>
      <c r="SYE36"/>
      <c r="SYF36"/>
      <c r="SYG36"/>
      <c r="SYH36"/>
      <c r="SYI36"/>
      <c r="SYJ36"/>
      <c r="SYK36"/>
      <c r="SYL36"/>
      <c r="SYM36"/>
      <c r="SYN36"/>
      <c r="SYO36"/>
      <c r="SYP36"/>
      <c r="SYQ36"/>
      <c r="SYR36"/>
      <c r="SYS36"/>
      <c r="SYT36"/>
      <c r="SYU36"/>
      <c r="SYV36"/>
      <c r="SYW36"/>
      <c r="SYX36"/>
      <c r="SYY36"/>
      <c r="SYZ36"/>
      <c r="SZA36"/>
      <c r="SZB36"/>
      <c r="SZC36"/>
      <c r="SZD36"/>
      <c r="SZE36"/>
      <c r="SZF36"/>
      <c r="SZG36"/>
      <c r="SZH36"/>
      <c r="SZI36"/>
      <c r="SZJ36"/>
      <c r="SZK36"/>
      <c r="SZL36"/>
      <c r="SZM36"/>
      <c r="SZN36"/>
      <c r="SZO36"/>
      <c r="SZP36"/>
      <c r="SZQ36"/>
      <c r="SZR36"/>
      <c r="SZS36"/>
      <c r="SZT36"/>
      <c r="SZU36"/>
      <c r="SZV36"/>
      <c r="SZW36"/>
      <c r="SZX36"/>
      <c r="SZY36"/>
      <c r="SZZ36"/>
      <c r="TAA36"/>
      <c r="TAB36"/>
      <c r="TAC36"/>
      <c r="TAD36"/>
      <c r="TAE36"/>
      <c r="TAF36"/>
      <c r="TAG36"/>
      <c r="TAH36"/>
      <c r="TAI36"/>
      <c r="TAJ36"/>
      <c r="TAK36"/>
      <c r="TAL36"/>
      <c r="TAM36"/>
      <c r="TAN36"/>
      <c r="TAO36"/>
      <c r="TAP36"/>
      <c r="TAQ36"/>
      <c r="TAR36"/>
      <c r="TAS36"/>
      <c r="TAT36"/>
      <c r="TAU36"/>
      <c r="TAV36"/>
      <c r="TAW36"/>
      <c r="TAX36"/>
      <c r="TAY36"/>
      <c r="TAZ36"/>
      <c r="TBA36"/>
      <c r="TBB36"/>
      <c r="TBC36"/>
      <c r="TBD36"/>
      <c r="TBE36"/>
      <c r="TBF36"/>
      <c r="TBG36"/>
      <c r="TBH36"/>
      <c r="TBI36"/>
      <c r="TBJ36"/>
      <c r="TBK36"/>
      <c r="TBL36"/>
      <c r="TBM36"/>
      <c r="TBN36"/>
      <c r="TBO36"/>
      <c r="TBP36"/>
      <c r="TBQ36"/>
      <c r="TBR36"/>
      <c r="TBS36"/>
      <c r="TBT36"/>
      <c r="TBU36"/>
      <c r="TBV36"/>
      <c r="TBW36"/>
      <c r="TBX36"/>
      <c r="TBY36"/>
      <c r="TBZ36"/>
      <c r="TCA36"/>
      <c r="TCB36"/>
      <c r="TCC36"/>
      <c r="TCD36"/>
      <c r="TCE36"/>
      <c r="TCF36"/>
      <c r="TCG36"/>
      <c r="TCH36"/>
      <c r="TCI36"/>
      <c r="TCJ36"/>
      <c r="TCK36"/>
      <c r="TCL36"/>
      <c r="TCM36"/>
      <c r="TCN36"/>
      <c r="TCO36"/>
      <c r="TCP36"/>
      <c r="TCQ36"/>
      <c r="TCR36"/>
      <c r="TCS36"/>
      <c r="TCT36"/>
      <c r="TCU36"/>
      <c r="TCV36"/>
      <c r="TCW36"/>
      <c r="TCX36"/>
      <c r="TCY36"/>
      <c r="TCZ36"/>
      <c r="TDA36"/>
      <c r="TDB36"/>
      <c r="TDC36"/>
      <c r="TDD36"/>
      <c r="TDE36"/>
      <c r="TDF36"/>
      <c r="TDG36"/>
      <c r="TDH36"/>
      <c r="TDI36"/>
      <c r="TDJ36"/>
      <c r="TDK36"/>
      <c r="TDL36"/>
      <c r="TDM36"/>
      <c r="TDN36"/>
      <c r="TDO36"/>
      <c r="TDP36"/>
      <c r="TDQ36"/>
      <c r="TDR36"/>
      <c r="TDS36"/>
      <c r="TDT36"/>
      <c r="TDU36"/>
      <c r="TDV36"/>
      <c r="TDW36"/>
      <c r="TDX36"/>
      <c r="TDY36"/>
      <c r="TDZ36"/>
      <c r="TEA36"/>
      <c r="TEB36"/>
      <c r="TEC36"/>
      <c r="TED36"/>
      <c r="TEE36"/>
      <c r="TEF36"/>
      <c r="TEG36"/>
      <c r="TEH36"/>
      <c r="TEI36"/>
      <c r="TEJ36"/>
      <c r="TEK36"/>
      <c r="TEL36"/>
      <c r="TEM36"/>
      <c r="TEN36"/>
      <c r="TEO36"/>
      <c r="TEP36"/>
      <c r="TEQ36"/>
      <c r="TER36"/>
      <c r="TES36"/>
      <c r="TET36"/>
      <c r="TEU36"/>
      <c r="TEV36"/>
      <c r="TEW36"/>
      <c r="TEX36"/>
      <c r="TEY36"/>
      <c r="TEZ36"/>
      <c r="TFA36"/>
      <c r="TFB36"/>
      <c r="TFC36"/>
      <c r="TFD36"/>
      <c r="TFE36"/>
      <c r="TFF36"/>
      <c r="TFG36"/>
      <c r="TFH36"/>
      <c r="TFI36"/>
      <c r="TFJ36"/>
      <c r="TFK36"/>
      <c r="TFL36"/>
      <c r="TFM36"/>
      <c r="TFN36"/>
      <c r="TFO36"/>
      <c r="TFP36"/>
      <c r="TFQ36"/>
      <c r="TFR36"/>
      <c r="TFS36"/>
      <c r="TFT36"/>
      <c r="TFU36"/>
      <c r="TFV36"/>
      <c r="TFW36"/>
      <c r="TFX36"/>
      <c r="TFY36"/>
      <c r="TFZ36"/>
      <c r="TGA36"/>
      <c r="TGB36"/>
      <c r="TGC36"/>
      <c r="TGD36"/>
      <c r="TGE36"/>
      <c r="TGF36"/>
      <c r="TGG36"/>
      <c r="TGH36"/>
      <c r="TGI36"/>
      <c r="TGJ36"/>
      <c r="TGK36"/>
      <c r="TGL36"/>
      <c r="TGM36"/>
      <c r="TGN36"/>
      <c r="TGO36"/>
      <c r="TGP36"/>
      <c r="TGQ36"/>
      <c r="TGR36"/>
      <c r="TGS36"/>
      <c r="TGT36"/>
      <c r="TGU36"/>
      <c r="TGV36"/>
      <c r="TGW36"/>
      <c r="TGX36"/>
      <c r="TGY36"/>
      <c r="TGZ36"/>
      <c r="THA36"/>
      <c r="THB36"/>
      <c r="THC36"/>
      <c r="THD36"/>
      <c r="THE36"/>
      <c r="THF36"/>
      <c r="THG36"/>
      <c r="THH36"/>
      <c r="THI36"/>
      <c r="THJ36"/>
      <c r="THK36"/>
      <c r="THL36"/>
      <c r="THM36"/>
      <c r="THN36"/>
      <c r="THO36"/>
      <c r="THP36"/>
      <c r="THQ36"/>
      <c r="THR36"/>
      <c r="THS36"/>
      <c r="THT36"/>
      <c r="THU36"/>
      <c r="THV36"/>
      <c r="THW36"/>
      <c r="THX36"/>
      <c r="THY36"/>
      <c r="THZ36"/>
      <c r="TIA36"/>
      <c r="TIB36"/>
      <c r="TIC36"/>
      <c r="TID36"/>
      <c r="TIE36"/>
      <c r="TIF36"/>
      <c r="TIG36"/>
      <c r="TIH36"/>
      <c r="TII36"/>
      <c r="TIJ36"/>
      <c r="TIK36"/>
      <c r="TIL36"/>
      <c r="TIM36"/>
      <c r="TIN36"/>
      <c r="TIO36"/>
      <c r="TIP36"/>
      <c r="TIQ36"/>
      <c r="TIR36"/>
      <c r="TIS36"/>
      <c r="TIT36"/>
      <c r="TIU36"/>
      <c r="TIV36"/>
      <c r="TIW36"/>
      <c r="TIX36"/>
      <c r="TIY36"/>
      <c r="TIZ36"/>
      <c r="TJA36"/>
      <c r="TJB36"/>
      <c r="TJC36"/>
      <c r="TJD36"/>
      <c r="TJE36"/>
      <c r="TJF36"/>
      <c r="TJG36"/>
      <c r="TJH36"/>
      <c r="TJI36"/>
      <c r="TJJ36"/>
      <c r="TJK36"/>
      <c r="TJL36"/>
      <c r="TJM36"/>
      <c r="TJN36"/>
      <c r="TJO36"/>
      <c r="TJP36"/>
      <c r="TJQ36"/>
      <c r="TJR36"/>
      <c r="TJS36"/>
      <c r="TJT36"/>
      <c r="TJU36"/>
      <c r="TJV36"/>
      <c r="TJW36"/>
      <c r="TJX36"/>
      <c r="TJY36"/>
      <c r="TJZ36"/>
      <c r="TKA36"/>
      <c r="TKB36"/>
      <c r="TKC36"/>
      <c r="TKD36"/>
      <c r="TKE36"/>
      <c r="TKF36"/>
      <c r="TKG36"/>
      <c r="TKH36"/>
      <c r="TKI36"/>
      <c r="TKJ36"/>
      <c r="TKK36"/>
      <c r="TKL36"/>
      <c r="TKM36"/>
      <c r="TKN36"/>
      <c r="TKO36"/>
      <c r="TKP36"/>
      <c r="TKQ36"/>
      <c r="TKR36"/>
      <c r="TKS36"/>
      <c r="TKT36"/>
      <c r="TKU36"/>
      <c r="TKV36"/>
      <c r="TKW36"/>
      <c r="TKX36"/>
      <c r="TKY36"/>
      <c r="TKZ36"/>
      <c r="TLA36"/>
      <c r="TLB36"/>
      <c r="TLC36"/>
      <c r="TLD36"/>
      <c r="TLE36"/>
      <c r="TLF36"/>
      <c r="TLG36"/>
      <c r="TLH36"/>
      <c r="TLI36"/>
      <c r="TLJ36"/>
      <c r="TLK36"/>
      <c r="TLL36"/>
      <c r="TLM36"/>
      <c r="TLN36"/>
      <c r="TLO36"/>
      <c r="TLP36"/>
      <c r="TLQ36"/>
      <c r="TLR36"/>
      <c r="TLS36"/>
      <c r="TLT36"/>
      <c r="TLU36"/>
      <c r="TLV36"/>
      <c r="TLW36"/>
      <c r="TLX36"/>
      <c r="TLY36"/>
      <c r="TLZ36"/>
      <c r="TMA36"/>
      <c r="TMB36"/>
      <c r="TMC36"/>
      <c r="TMD36"/>
      <c r="TME36"/>
      <c r="TMF36"/>
      <c r="TMG36"/>
      <c r="TMH36"/>
      <c r="TMI36"/>
      <c r="TMJ36"/>
      <c r="TMK36"/>
      <c r="TML36"/>
      <c r="TMM36"/>
      <c r="TMN36"/>
      <c r="TMO36"/>
      <c r="TMP36"/>
      <c r="TMQ36"/>
      <c r="TMR36"/>
      <c r="TMS36"/>
      <c r="TMT36"/>
      <c r="TMU36"/>
      <c r="TMV36"/>
      <c r="TMW36"/>
      <c r="TMX36"/>
      <c r="TMY36"/>
      <c r="TMZ36"/>
      <c r="TNA36"/>
      <c r="TNB36"/>
      <c r="TNC36"/>
      <c r="TND36"/>
      <c r="TNE36"/>
      <c r="TNF36"/>
      <c r="TNG36"/>
      <c r="TNH36"/>
      <c r="TNI36"/>
      <c r="TNJ36"/>
      <c r="TNK36"/>
      <c r="TNL36"/>
      <c r="TNM36"/>
      <c r="TNN36"/>
      <c r="TNO36"/>
      <c r="TNP36"/>
      <c r="TNQ36"/>
      <c r="TNR36"/>
      <c r="TNS36"/>
      <c r="TNT36"/>
      <c r="TNU36"/>
      <c r="TNV36"/>
      <c r="TNW36"/>
      <c r="TNX36"/>
      <c r="TNY36"/>
      <c r="TNZ36"/>
      <c r="TOA36"/>
      <c r="TOB36"/>
      <c r="TOC36"/>
      <c r="TOD36"/>
      <c r="TOE36"/>
      <c r="TOF36"/>
      <c r="TOG36"/>
      <c r="TOH36"/>
      <c r="TOI36"/>
      <c r="TOJ36"/>
      <c r="TOK36"/>
      <c r="TOL36"/>
      <c r="TOM36"/>
      <c r="TON36"/>
      <c r="TOO36"/>
      <c r="TOP36"/>
      <c r="TOQ36"/>
      <c r="TOR36"/>
      <c r="TOS36"/>
      <c r="TOT36"/>
      <c r="TOU36"/>
      <c r="TOV36"/>
      <c r="TOW36"/>
      <c r="TOX36"/>
      <c r="TOY36"/>
      <c r="TOZ36"/>
      <c r="TPA36"/>
      <c r="TPB36"/>
      <c r="TPC36"/>
      <c r="TPD36"/>
      <c r="TPE36"/>
      <c r="TPF36"/>
      <c r="TPG36"/>
      <c r="TPH36"/>
      <c r="TPI36"/>
      <c r="TPJ36"/>
      <c r="TPK36"/>
      <c r="TPL36"/>
      <c r="TPM36"/>
      <c r="TPN36"/>
      <c r="TPO36"/>
      <c r="TPP36"/>
      <c r="TPQ36"/>
      <c r="TPR36"/>
      <c r="TPS36"/>
      <c r="TPT36"/>
      <c r="TPU36"/>
      <c r="TPV36"/>
      <c r="TPW36"/>
      <c r="TPX36"/>
      <c r="TPY36"/>
      <c r="TPZ36"/>
      <c r="TQA36"/>
      <c r="TQB36"/>
      <c r="TQC36"/>
      <c r="TQD36"/>
      <c r="TQE36"/>
      <c r="TQF36"/>
      <c r="TQG36"/>
      <c r="TQH36"/>
      <c r="TQI36"/>
      <c r="TQJ36"/>
      <c r="TQK36"/>
      <c r="TQL36"/>
      <c r="TQM36"/>
      <c r="TQN36"/>
      <c r="TQO36"/>
      <c r="TQP36"/>
      <c r="TQQ36"/>
      <c r="TQR36"/>
      <c r="TQS36"/>
      <c r="TQT36"/>
      <c r="TQU36"/>
      <c r="TQV36"/>
      <c r="TQW36"/>
      <c r="TQX36"/>
      <c r="TQY36"/>
      <c r="TQZ36"/>
      <c r="TRA36"/>
      <c r="TRB36"/>
      <c r="TRC36"/>
      <c r="TRD36"/>
      <c r="TRE36"/>
      <c r="TRF36"/>
      <c r="TRG36"/>
      <c r="TRH36"/>
      <c r="TRI36"/>
      <c r="TRJ36"/>
      <c r="TRK36"/>
      <c r="TRL36"/>
      <c r="TRM36"/>
      <c r="TRN36"/>
      <c r="TRO36"/>
      <c r="TRP36"/>
      <c r="TRQ36"/>
      <c r="TRR36"/>
      <c r="TRS36"/>
      <c r="TRT36"/>
      <c r="TRU36"/>
      <c r="TRV36"/>
      <c r="TRW36"/>
      <c r="TRX36"/>
      <c r="TRY36"/>
      <c r="TRZ36"/>
      <c r="TSA36"/>
      <c r="TSB36"/>
      <c r="TSC36"/>
      <c r="TSD36"/>
      <c r="TSE36"/>
      <c r="TSF36"/>
      <c r="TSG36"/>
      <c r="TSH36"/>
      <c r="TSI36"/>
      <c r="TSJ36"/>
      <c r="TSK36"/>
      <c r="TSL36"/>
      <c r="TSM36"/>
      <c r="TSN36"/>
      <c r="TSO36"/>
      <c r="TSP36"/>
      <c r="TSQ36"/>
      <c r="TSR36"/>
      <c r="TSS36"/>
      <c r="TST36"/>
      <c r="TSU36"/>
      <c r="TSV36"/>
      <c r="TSW36"/>
      <c r="TSX36"/>
      <c r="TSY36"/>
      <c r="TSZ36"/>
      <c r="TTA36"/>
      <c r="TTB36"/>
      <c r="TTC36"/>
      <c r="TTD36"/>
      <c r="TTE36"/>
      <c r="TTF36"/>
      <c r="TTG36"/>
      <c r="TTH36"/>
      <c r="TTI36"/>
      <c r="TTJ36"/>
      <c r="TTK36"/>
      <c r="TTL36"/>
      <c r="TTM36"/>
      <c r="TTN36"/>
      <c r="TTO36"/>
      <c r="TTP36"/>
      <c r="TTQ36"/>
      <c r="TTR36"/>
      <c r="TTS36"/>
      <c r="TTT36"/>
      <c r="TTU36"/>
      <c r="TTV36"/>
      <c r="TTW36"/>
      <c r="TTX36"/>
      <c r="TTY36"/>
      <c r="TTZ36"/>
      <c r="TUA36"/>
      <c r="TUB36"/>
      <c r="TUC36"/>
      <c r="TUD36"/>
      <c r="TUE36"/>
      <c r="TUF36"/>
      <c r="TUG36"/>
      <c r="TUH36"/>
      <c r="TUI36"/>
      <c r="TUJ36"/>
      <c r="TUK36"/>
      <c r="TUL36"/>
      <c r="TUM36"/>
      <c r="TUN36"/>
      <c r="TUO36"/>
      <c r="TUP36"/>
      <c r="TUQ36"/>
      <c r="TUR36"/>
      <c r="TUS36"/>
      <c r="TUT36"/>
      <c r="TUU36"/>
      <c r="TUV36"/>
      <c r="TUW36"/>
      <c r="TUX36"/>
      <c r="TUY36"/>
      <c r="TUZ36"/>
      <c r="TVA36"/>
      <c r="TVB36"/>
      <c r="TVC36"/>
      <c r="TVD36"/>
      <c r="TVE36"/>
      <c r="TVF36"/>
      <c r="TVG36"/>
      <c r="TVH36"/>
      <c r="TVI36"/>
      <c r="TVJ36"/>
      <c r="TVK36"/>
      <c r="TVL36"/>
      <c r="TVM36"/>
      <c r="TVN36"/>
      <c r="TVO36"/>
      <c r="TVP36"/>
      <c r="TVQ36"/>
      <c r="TVR36"/>
      <c r="TVS36"/>
      <c r="TVT36"/>
      <c r="TVU36"/>
      <c r="TVV36"/>
      <c r="TVW36"/>
      <c r="TVX36"/>
      <c r="TVY36"/>
      <c r="TVZ36"/>
      <c r="TWA36"/>
      <c r="TWB36"/>
      <c r="TWC36"/>
      <c r="TWD36"/>
      <c r="TWE36"/>
      <c r="TWF36"/>
      <c r="TWG36"/>
      <c r="TWH36"/>
      <c r="TWI36"/>
      <c r="TWJ36"/>
      <c r="TWK36"/>
      <c r="TWL36"/>
      <c r="TWM36"/>
      <c r="TWN36"/>
      <c r="TWO36"/>
      <c r="TWP36"/>
      <c r="TWQ36"/>
      <c r="TWR36"/>
      <c r="TWS36"/>
      <c r="TWT36"/>
      <c r="TWU36"/>
      <c r="TWV36"/>
      <c r="TWW36"/>
      <c r="TWX36"/>
      <c r="TWY36"/>
      <c r="TWZ36"/>
      <c r="TXA36"/>
      <c r="TXB36"/>
      <c r="TXC36"/>
      <c r="TXD36"/>
      <c r="TXE36"/>
      <c r="TXF36"/>
      <c r="TXG36"/>
      <c r="TXH36"/>
      <c r="TXI36"/>
      <c r="TXJ36"/>
      <c r="TXK36"/>
      <c r="TXL36"/>
      <c r="TXM36"/>
      <c r="TXN36"/>
      <c r="TXO36"/>
      <c r="TXP36"/>
      <c r="TXQ36"/>
      <c r="TXR36"/>
      <c r="TXS36"/>
      <c r="TXT36"/>
      <c r="TXU36"/>
      <c r="TXV36"/>
      <c r="TXW36"/>
      <c r="TXX36"/>
      <c r="TXY36"/>
      <c r="TXZ36"/>
      <c r="TYA36"/>
      <c r="TYB36"/>
      <c r="TYC36"/>
      <c r="TYD36"/>
      <c r="TYE36"/>
      <c r="TYF36"/>
      <c r="TYG36"/>
      <c r="TYH36"/>
      <c r="TYI36"/>
      <c r="TYJ36"/>
      <c r="TYK36"/>
      <c r="TYL36"/>
      <c r="TYM36"/>
      <c r="TYN36"/>
      <c r="TYO36"/>
      <c r="TYP36"/>
      <c r="TYQ36"/>
      <c r="TYR36"/>
      <c r="TYS36"/>
      <c r="TYT36"/>
      <c r="TYU36"/>
      <c r="TYV36"/>
      <c r="TYW36"/>
      <c r="TYX36"/>
      <c r="TYY36"/>
      <c r="TYZ36"/>
      <c r="TZA36"/>
      <c r="TZB36"/>
      <c r="TZC36"/>
      <c r="TZD36"/>
      <c r="TZE36"/>
      <c r="TZF36"/>
      <c r="TZG36"/>
      <c r="TZH36"/>
      <c r="TZI36"/>
      <c r="TZJ36"/>
      <c r="TZK36"/>
      <c r="TZL36"/>
      <c r="TZM36"/>
      <c r="TZN36"/>
      <c r="TZO36"/>
      <c r="TZP36"/>
      <c r="TZQ36"/>
      <c r="TZR36"/>
      <c r="TZS36"/>
      <c r="TZT36"/>
      <c r="TZU36"/>
      <c r="TZV36"/>
      <c r="TZW36"/>
      <c r="TZX36"/>
      <c r="TZY36"/>
      <c r="TZZ36"/>
      <c r="UAA36"/>
      <c r="UAB36"/>
      <c r="UAC36"/>
      <c r="UAD36"/>
      <c r="UAE36"/>
      <c r="UAF36"/>
      <c r="UAG36"/>
      <c r="UAH36"/>
      <c r="UAI36"/>
      <c r="UAJ36"/>
      <c r="UAK36"/>
      <c r="UAL36"/>
      <c r="UAM36"/>
      <c r="UAN36"/>
      <c r="UAO36"/>
      <c r="UAP36"/>
      <c r="UAQ36"/>
      <c r="UAR36"/>
      <c r="UAS36"/>
      <c r="UAT36"/>
      <c r="UAU36"/>
      <c r="UAV36"/>
      <c r="UAW36"/>
      <c r="UAX36"/>
      <c r="UAY36"/>
      <c r="UAZ36"/>
      <c r="UBA36"/>
      <c r="UBB36"/>
      <c r="UBC36"/>
      <c r="UBD36"/>
      <c r="UBE36"/>
      <c r="UBF36"/>
      <c r="UBG36"/>
      <c r="UBH36"/>
      <c r="UBI36"/>
      <c r="UBJ36"/>
      <c r="UBK36"/>
      <c r="UBL36"/>
      <c r="UBM36"/>
      <c r="UBN36"/>
      <c r="UBO36"/>
      <c r="UBP36"/>
      <c r="UBQ36"/>
      <c r="UBR36"/>
      <c r="UBS36"/>
      <c r="UBT36"/>
      <c r="UBU36"/>
      <c r="UBV36"/>
      <c r="UBW36"/>
      <c r="UBX36"/>
      <c r="UBY36"/>
      <c r="UBZ36"/>
      <c r="UCA36"/>
      <c r="UCB36"/>
      <c r="UCC36"/>
      <c r="UCD36"/>
      <c r="UCE36"/>
      <c r="UCF36"/>
      <c r="UCG36"/>
      <c r="UCH36"/>
      <c r="UCI36"/>
      <c r="UCJ36"/>
      <c r="UCK36"/>
      <c r="UCL36"/>
      <c r="UCM36"/>
      <c r="UCN36"/>
      <c r="UCO36"/>
      <c r="UCP36"/>
      <c r="UCQ36"/>
      <c r="UCR36"/>
      <c r="UCS36"/>
      <c r="UCT36"/>
      <c r="UCU36"/>
      <c r="UCV36"/>
      <c r="UCW36"/>
      <c r="UCX36"/>
      <c r="UCY36"/>
      <c r="UCZ36"/>
      <c r="UDA36"/>
      <c r="UDB36"/>
      <c r="UDC36"/>
      <c r="UDD36"/>
      <c r="UDE36"/>
      <c r="UDF36"/>
      <c r="UDG36"/>
      <c r="UDH36"/>
      <c r="UDI36"/>
      <c r="UDJ36"/>
      <c r="UDK36"/>
      <c r="UDL36"/>
      <c r="UDM36"/>
      <c r="UDN36"/>
      <c r="UDO36"/>
      <c r="UDP36"/>
      <c r="UDQ36"/>
      <c r="UDR36"/>
      <c r="UDS36"/>
      <c r="UDT36"/>
      <c r="UDU36"/>
      <c r="UDV36"/>
      <c r="UDW36"/>
      <c r="UDX36"/>
      <c r="UDY36"/>
      <c r="UDZ36"/>
      <c r="UEA36"/>
      <c r="UEB36"/>
      <c r="UEC36"/>
      <c r="UED36"/>
      <c r="UEE36"/>
      <c r="UEF36"/>
      <c r="UEG36"/>
      <c r="UEH36"/>
      <c r="UEI36"/>
      <c r="UEJ36"/>
      <c r="UEK36"/>
      <c r="UEL36"/>
      <c r="UEM36"/>
      <c r="UEN36"/>
      <c r="UEO36"/>
      <c r="UEP36"/>
      <c r="UEQ36"/>
      <c r="UER36"/>
      <c r="UES36"/>
      <c r="UET36"/>
      <c r="UEU36"/>
      <c r="UEV36"/>
      <c r="UEW36"/>
      <c r="UEX36"/>
      <c r="UEY36"/>
      <c r="UEZ36"/>
      <c r="UFA36"/>
      <c r="UFB36"/>
      <c r="UFC36"/>
      <c r="UFD36"/>
      <c r="UFE36"/>
      <c r="UFF36"/>
      <c r="UFG36"/>
      <c r="UFH36"/>
      <c r="UFI36"/>
      <c r="UFJ36"/>
      <c r="UFK36"/>
      <c r="UFL36"/>
      <c r="UFM36"/>
      <c r="UFN36"/>
      <c r="UFO36"/>
      <c r="UFP36"/>
      <c r="UFQ36"/>
      <c r="UFR36"/>
      <c r="UFS36"/>
      <c r="UFT36"/>
      <c r="UFU36"/>
      <c r="UFV36"/>
      <c r="UFW36"/>
      <c r="UFX36"/>
      <c r="UFY36"/>
      <c r="UFZ36"/>
      <c r="UGA36"/>
      <c r="UGB36"/>
      <c r="UGC36"/>
      <c r="UGD36"/>
      <c r="UGE36"/>
      <c r="UGF36"/>
      <c r="UGG36"/>
      <c r="UGH36"/>
      <c r="UGI36"/>
      <c r="UGJ36"/>
      <c r="UGK36"/>
      <c r="UGL36"/>
      <c r="UGM36"/>
      <c r="UGN36"/>
      <c r="UGO36"/>
      <c r="UGP36"/>
      <c r="UGQ36"/>
      <c r="UGR36"/>
      <c r="UGS36"/>
      <c r="UGT36"/>
      <c r="UGU36"/>
      <c r="UGV36"/>
      <c r="UGW36"/>
      <c r="UGX36"/>
      <c r="UGY36"/>
      <c r="UGZ36"/>
      <c r="UHA36"/>
      <c r="UHB36"/>
      <c r="UHC36"/>
      <c r="UHD36"/>
      <c r="UHE36"/>
      <c r="UHF36"/>
      <c r="UHG36"/>
      <c r="UHH36"/>
      <c r="UHI36"/>
      <c r="UHJ36"/>
      <c r="UHK36"/>
      <c r="UHL36"/>
      <c r="UHM36"/>
      <c r="UHN36"/>
      <c r="UHO36"/>
      <c r="UHP36"/>
      <c r="UHQ36"/>
      <c r="UHR36"/>
      <c r="UHS36"/>
      <c r="UHT36"/>
      <c r="UHU36"/>
      <c r="UHV36"/>
      <c r="UHW36"/>
      <c r="UHX36"/>
      <c r="UHY36"/>
      <c r="UHZ36"/>
      <c r="UIA36"/>
      <c r="UIB36"/>
      <c r="UIC36"/>
      <c r="UID36"/>
      <c r="UIE36"/>
      <c r="UIF36"/>
      <c r="UIG36"/>
      <c r="UIH36"/>
      <c r="UII36"/>
      <c r="UIJ36"/>
      <c r="UIK36"/>
      <c r="UIL36"/>
      <c r="UIM36"/>
      <c r="UIN36"/>
      <c r="UIO36"/>
      <c r="UIP36"/>
      <c r="UIQ36"/>
      <c r="UIR36"/>
      <c r="UIS36"/>
      <c r="UIT36"/>
      <c r="UIU36"/>
      <c r="UIV36"/>
      <c r="UIW36"/>
      <c r="UIX36"/>
      <c r="UIY36"/>
      <c r="UIZ36"/>
      <c r="UJA36"/>
      <c r="UJB36"/>
      <c r="UJC36"/>
      <c r="UJD36"/>
      <c r="UJE36"/>
      <c r="UJF36"/>
      <c r="UJG36"/>
      <c r="UJH36"/>
      <c r="UJI36"/>
      <c r="UJJ36"/>
      <c r="UJK36"/>
      <c r="UJL36"/>
      <c r="UJM36"/>
      <c r="UJN36"/>
      <c r="UJO36"/>
      <c r="UJP36"/>
      <c r="UJQ36"/>
      <c r="UJR36"/>
      <c r="UJS36"/>
      <c r="UJT36"/>
      <c r="UJU36"/>
      <c r="UJV36"/>
      <c r="UJW36"/>
      <c r="UJX36"/>
      <c r="UJY36"/>
      <c r="UJZ36"/>
      <c r="UKA36"/>
      <c r="UKB36"/>
      <c r="UKC36"/>
      <c r="UKD36"/>
      <c r="UKE36"/>
      <c r="UKF36"/>
      <c r="UKG36"/>
      <c r="UKH36"/>
      <c r="UKI36"/>
      <c r="UKJ36"/>
      <c r="UKK36"/>
      <c r="UKL36"/>
      <c r="UKM36"/>
      <c r="UKN36"/>
      <c r="UKO36"/>
      <c r="UKP36"/>
      <c r="UKQ36"/>
      <c r="UKR36"/>
      <c r="UKS36"/>
      <c r="UKT36"/>
      <c r="UKU36"/>
      <c r="UKV36"/>
      <c r="UKW36"/>
      <c r="UKX36"/>
      <c r="UKY36"/>
      <c r="UKZ36"/>
      <c r="ULA36"/>
      <c r="ULB36"/>
      <c r="ULC36"/>
      <c r="ULD36"/>
      <c r="ULE36"/>
      <c r="ULF36"/>
      <c r="ULG36"/>
      <c r="ULH36"/>
      <c r="ULI36"/>
      <c r="ULJ36"/>
      <c r="ULK36"/>
      <c r="ULL36"/>
      <c r="ULM36"/>
      <c r="ULN36"/>
      <c r="ULO36"/>
      <c r="ULP36"/>
      <c r="ULQ36"/>
      <c r="ULR36"/>
      <c r="ULS36"/>
      <c r="ULT36"/>
      <c r="ULU36"/>
      <c r="ULV36"/>
      <c r="ULW36"/>
      <c r="ULX36"/>
      <c r="ULY36"/>
      <c r="ULZ36"/>
      <c r="UMA36"/>
      <c r="UMB36"/>
      <c r="UMC36"/>
      <c r="UMD36"/>
      <c r="UME36"/>
      <c r="UMF36"/>
      <c r="UMG36"/>
      <c r="UMH36"/>
      <c r="UMI36"/>
      <c r="UMJ36"/>
      <c r="UMK36"/>
      <c r="UML36"/>
      <c r="UMM36"/>
      <c r="UMN36"/>
      <c r="UMO36"/>
      <c r="UMP36"/>
      <c r="UMQ36"/>
      <c r="UMR36"/>
      <c r="UMS36"/>
      <c r="UMT36"/>
      <c r="UMU36"/>
      <c r="UMV36"/>
      <c r="UMW36"/>
      <c r="UMX36"/>
      <c r="UMY36"/>
      <c r="UMZ36"/>
      <c r="UNA36"/>
      <c r="UNB36"/>
      <c r="UNC36"/>
      <c r="UND36"/>
      <c r="UNE36"/>
      <c r="UNF36"/>
      <c r="UNG36"/>
      <c r="UNH36"/>
      <c r="UNI36"/>
      <c r="UNJ36"/>
      <c r="UNK36"/>
      <c r="UNL36"/>
      <c r="UNM36"/>
      <c r="UNN36"/>
      <c r="UNO36"/>
      <c r="UNP36"/>
      <c r="UNQ36"/>
      <c r="UNR36"/>
      <c r="UNS36"/>
      <c r="UNT36"/>
      <c r="UNU36"/>
      <c r="UNV36"/>
      <c r="UNW36"/>
      <c r="UNX36"/>
      <c r="UNY36"/>
      <c r="UNZ36"/>
      <c r="UOA36"/>
      <c r="UOB36"/>
      <c r="UOC36"/>
      <c r="UOD36"/>
      <c r="UOE36"/>
      <c r="UOF36"/>
      <c r="UOG36"/>
      <c r="UOH36"/>
      <c r="UOI36"/>
      <c r="UOJ36"/>
      <c r="UOK36"/>
      <c r="UOL36"/>
      <c r="UOM36"/>
      <c r="UON36"/>
      <c r="UOO36"/>
      <c r="UOP36"/>
      <c r="UOQ36"/>
      <c r="UOR36"/>
      <c r="UOS36"/>
      <c r="UOT36"/>
      <c r="UOU36"/>
      <c r="UOV36"/>
      <c r="UOW36"/>
      <c r="UOX36"/>
      <c r="UOY36"/>
      <c r="UOZ36"/>
      <c r="UPA36"/>
      <c r="UPB36"/>
      <c r="UPC36"/>
      <c r="UPD36"/>
      <c r="UPE36"/>
      <c r="UPF36"/>
      <c r="UPG36"/>
      <c r="UPH36"/>
      <c r="UPI36"/>
      <c r="UPJ36"/>
      <c r="UPK36"/>
      <c r="UPL36"/>
      <c r="UPM36"/>
      <c r="UPN36"/>
      <c r="UPO36"/>
      <c r="UPP36"/>
      <c r="UPQ36"/>
      <c r="UPR36"/>
      <c r="UPS36"/>
      <c r="UPT36"/>
      <c r="UPU36"/>
      <c r="UPV36"/>
      <c r="UPW36"/>
      <c r="UPX36"/>
      <c r="UPY36"/>
      <c r="UPZ36"/>
      <c r="UQA36"/>
      <c r="UQB36"/>
      <c r="UQC36"/>
      <c r="UQD36"/>
      <c r="UQE36"/>
      <c r="UQF36"/>
      <c r="UQG36"/>
      <c r="UQH36"/>
      <c r="UQI36"/>
      <c r="UQJ36"/>
      <c r="UQK36"/>
      <c r="UQL36"/>
      <c r="UQM36"/>
      <c r="UQN36"/>
      <c r="UQO36"/>
      <c r="UQP36"/>
      <c r="UQQ36"/>
      <c r="UQR36"/>
      <c r="UQS36"/>
      <c r="UQT36"/>
      <c r="UQU36"/>
      <c r="UQV36"/>
      <c r="UQW36"/>
      <c r="UQX36"/>
      <c r="UQY36"/>
      <c r="UQZ36"/>
      <c r="URA36"/>
      <c r="URB36"/>
      <c r="URC36"/>
      <c r="URD36"/>
      <c r="URE36"/>
      <c r="URF36"/>
      <c r="URG36"/>
      <c r="URH36"/>
      <c r="URI36"/>
      <c r="URJ36"/>
      <c r="URK36"/>
      <c r="URL36"/>
      <c r="URM36"/>
      <c r="URN36"/>
      <c r="URO36"/>
      <c r="URP36"/>
      <c r="URQ36"/>
      <c r="URR36"/>
      <c r="URS36"/>
      <c r="URT36"/>
      <c r="URU36"/>
      <c r="URV36"/>
      <c r="URW36"/>
      <c r="URX36"/>
      <c r="URY36"/>
      <c r="URZ36"/>
      <c r="USA36"/>
      <c r="USB36"/>
      <c r="USC36"/>
      <c r="USD36"/>
      <c r="USE36"/>
      <c r="USF36"/>
      <c r="USG36"/>
      <c r="USH36"/>
      <c r="USI36"/>
      <c r="USJ36"/>
      <c r="USK36"/>
      <c r="USL36"/>
      <c r="USM36"/>
      <c r="USN36"/>
      <c r="USO36"/>
      <c r="USP36"/>
      <c r="USQ36"/>
      <c r="USR36"/>
      <c r="USS36"/>
      <c r="UST36"/>
      <c r="USU36"/>
      <c r="USV36"/>
      <c r="USW36"/>
      <c r="USX36"/>
      <c r="USY36"/>
      <c r="USZ36"/>
      <c r="UTA36"/>
      <c r="UTB36"/>
      <c r="UTC36"/>
      <c r="UTD36"/>
      <c r="UTE36"/>
      <c r="UTF36"/>
      <c r="UTG36"/>
      <c r="UTH36"/>
      <c r="UTI36"/>
      <c r="UTJ36"/>
      <c r="UTK36"/>
      <c r="UTL36"/>
      <c r="UTM36"/>
      <c r="UTN36"/>
      <c r="UTO36"/>
      <c r="UTP36"/>
      <c r="UTQ36"/>
      <c r="UTR36"/>
      <c r="UTS36"/>
      <c r="UTT36"/>
      <c r="UTU36"/>
      <c r="UTV36"/>
      <c r="UTW36"/>
      <c r="UTX36"/>
      <c r="UTY36"/>
      <c r="UTZ36"/>
      <c r="UUA36"/>
      <c r="UUB36"/>
      <c r="UUC36"/>
      <c r="UUD36"/>
      <c r="UUE36"/>
      <c r="UUF36"/>
      <c r="UUG36"/>
      <c r="UUH36"/>
      <c r="UUI36"/>
      <c r="UUJ36"/>
      <c r="UUK36"/>
      <c r="UUL36"/>
      <c r="UUM36"/>
      <c r="UUN36"/>
      <c r="UUO36"/>
      <c r="UUP36"/>
      <c r="UUQ36"/>
      <c r="UUR36"/>
      <c r="UUS36"/>
      <c r="UUT36"/>
      <c r="UUU36"/>
      <c r="UUV36"/>
      <c r="UUW36"/>
      <c r="UUX36"/>
      <c r="UUY36"/>
      <c r="UUZ36"/>
      <c r="UVA36"/>
      <c r="UVB36"/>
      <c r="UVC36"/>
      <c r="UVD36"/>
      <c r="UVE36"/>
      <c r="UVF36"/>
      <c r="UVG36"/>
      <c r="UVH36"/>
      <c r="UVI36"/>
      <c r="UVJ36"/>
      <c r="UVK36"/>
      <c r="UVL36"/>
      <c r="UVM36"/>
      <c r="UVN36"/>
      <c r="UVO36"/>
      <c r="UVP36"/>
      <c r="UVQ36"/>
      <c r="UVR36"/>
      <c r="UVS36"/>
      <c r="UVT36"/>
      <c r="UVU36"/>
      <c r="UVV36"/>
      <c r="UVW36"/>
      <c r="UVX36"/>
      <c r="UVY36"/>
      <c r="UVZ36"/>
      <c r="UWA36"/>
      <c r="UWB36"/>
      <c r="UWC36"/>
      <c r="UWD36"/>
      <c r="UWE36"/>
      <c r="UWF36"/>
      <c r="UWG36"/>
      <c r="UWH36"/>
      <c r="UWI36"/>
      <c r="UWJ36"/>
      <c r="UWK36"/>
      <c r="UWL36"/>
      <c r="UWM36"/>
      <c r="UWN36"/>
      <c r="UWO36"/>
      <c r="UWP36"/>
      <c r="UWQ36"/>
      <c r="UWR36"/>
      <c r="UWS36"/>
      <c r="UWT36"/>
      <c r="UWU36"/>
      <c r="UWV36"/>
      <c r="UWW36"/>
      <c r="UWX36"/>
      <c r="UWY36"/>
      <c r="UWZ36"/>
      <c r="UXA36"/>
      <c r="UXB36"/>
      <c r="UXC36"/>
      <c r="UXD36"/>
      <c r="UXE36"/>
      <c r="UXF36"/>
      <c r="UXG36"/>
      <c r="UXH36"/>
      <c r="UXI36"/>
      <c r="UXJ36"/>
      <c r="UXK36"/>
      <c r="UXL36"/>
      <c r="UXM36"/>
      <c r="UXN36"/>
      <c r="UXO36"/>
      <c r="UXP36"/>
      <c r="UXQ36"/>
      <c r="UXR36"/>
      <c r="UXS36"/>
      <c r="UXT36"/>
      <c r="UXU36"/>
      <c r="UXV36"/>
      <c r="UXW36"/>
      <c r="UXX36"/>
      <c r="UXY36"/>
      <c r="UXZ36"/>
      <c r="UYA36"/>
      <c r="UYB36"/>
      <c r="UYC36"/>
      <c r="UYD36"/>
      <c r="UYE36"/>
      <c r="UYF36"/>
      <c r="UYG36"/>
      <c r="UYH36"/>
      <c r="UYI36"/>
      <c r="UYJ36"/>
      <c r="UYK36"/>
      <c r="UYL36"/>
      <c r="UYM36"/>
      <c r="UYN36"/>
      <c r="UYO36"/>
      <c r="UYP36"/>
      <c r="UYQ36"/>
      <c r="UYR36"/>
      <c r="UYS36"/>
      <c r="UYT36"/>
      <c r="UYU36"/>
      <c r="UYV36"/>
      <c r="UYW36"/>
      <c r="UYX36"/>
      <c r="UYY36"/>
      <c r="UYZ36"/>
      <c r="UZA36"/>
      <c r="UZB36"/>
      <c r="UZC36"/>
      <c r="UZD36"/>
      <c r="UZE36"/>
      <c r="UZF36"/>
      <c r="UZG36"/>
      <c r="UZH36"/>
      <c r="UZI36"/>
      <c r="UZJ36"/>
      <c r="UZK36"/>
      <c r="UZL36"/>
      <c r="UZM36"/>
      <c r="UZN36"/>
      <c r="UZO36"/>
      <c r="UZP36"/>
      <c r="UZQ36"/>
      <c r="UZR36"/>
      <c r="UZS36"/>
      <c r="UZT36"/>
      <c r="UZU36"/>
      <c r="UZV36"/>
      <c r="UZW36"/>
      <c r="UZX36"/>
      <c r="UZY36"/>
      <c r="UZZ36"/>
      <c r="VAA36"/>
      <c r="VAB36"/>
      <c r="VAC36"/>
      <c r="VAD36"/>
      <c r="VAE36"/>
      <c r="VAF36"/>
      <c r="VAG36"/>
      <c r="VAH36"/>
      <c r="VAI36"/>
      <c r="VAJ36"/>
      <c r="VAK36"/>
      <c r="VAL36"/>
      <c r="VAM36"/>
      <c r="VAN36"/>
      <c r="VAO36"/>
      <c r="VAP36"/>
      <c r="VAQ36"/>
      <c r="VAR36"/>
      <c r="VAS36"/>
      <c r="VAT36"/>
      <c r="VAU36"/>
      <c r="VAV36"/>
      <c r="VAW36"/>
      <c r="VAX36"/>
      <c r="VAY36"/>
      <c r="VAZ36"/>
      <c r="VBA36"/>
      <c r="VBB36"/>
      <c r="VBC36"/>
      <c r="VBD36"/>
      <c r="VBE36"/>
      <c r="VBF36"/>
      <c r="VBG36"/>
      <c r="VBH36"/>
      <c r="VBI36"/>
      <c r="VBJ36"/>
      <c r="VBK36"/>
      <c r="VBL36"/>
      <c r="VBM36"/>
      <c r="VBN36"/>
      <c r="VBO36"/>
      <c r="VBP36"/>
      <c r="VBQ36"/>
      <c r="VBR36"/>
      <c r="VBS36"/>
      <c r="VBT36"/>
      <c r="VBU36"/>
      <c r="VBV36"/>
      <c r="VBW36"/>
      <c r="VBX36"/>
      <c r="VBY36"/>
      <c r="VBZ36"/>
      <c r="VCA36"/>
      <c r="VCB36"/>
      <c r="VCC36"/>
      <c r="VCD36"/>
      <c r="VCE36"/>
      <c r="VCF36"/>
      <c r="VCG36"/>
      <c r="VCH36"/>
      <c r="VCI36"/>
      <c r="VCJ36"/>
      <c r="VCK36"/>
      <c r="VCL36"/>
      <c r="VCM36"/>
      <c r="VCN36"/>
      <c r="VCO36"/>
      <c r="VCP36"/>
      <c r="VCQ36"/>
      <c r="VCR36"/>
      <c r="VCS36"/>
      <c r="VCT36"/>
      <c r="VCU36"/>
      <c r="VCV36"/>
      <c r="VCW36"/>
      <c r="VCX36"/>
      <c r="VCY36"/>
      <c r="VCZ36"/>
      <c r="VDA36"/>
      <c r="VDB36"/>
      <c r="VDC36"/>
      <c r="VDD36"/>
      <c r="VDE36"/>
      <c r="VDF36"/>
      <c r="VDG36"/>
      <c r="VDH36"/>
      <c r="VDI36"/>
      <c r="VDJ36"/>
      <c r="VDK36"/>
      <c r="VDL36"/>
      <c r="VDM36"/>
      <c r="VDN36"/>
      <c r="VDO36"/>
      <c r="VDP36"/>
      <c r="VDQ36"/>
      <c r="VDR36"/>
      <c r="VDS36"/>
      <c r="VDT36"/>
      <c r="VDU36"/>
      <c r="VDV36"/>
      <c r="VDW36"/>
      <c r="VDX36"/>
      <c r="VDY36"/>
      <c r="VDZ36"/>
      <c r="VEA36"/>
      <c r="VEB36"/>
      <c r="VEC36"/>
      <c r="VED36"/>
      <c r="VEE36"/>
      <c r="VEF36"/>
      <c r="VEG36"/>
      <c r="VEH36"/>
      <c r="VEI36"/>
      <c r="VEJ36"/>
      <c r="VEK36"/>
      <c r="VEL36"/>
      <c r="VEM36"/>
      <c r="VEN36"/>
      <c r="VEO36"/>
      <c r="VEP36"/>
      <c r="VEQ36"/>
      <c r="VER36"/>
      <c r="VES36"/>
      <c r="VET36"/>
      <c r="VEU36"/>
      <c r="VEV36"/>
      <c r="VEW36"/>
      <c r="VEX36"/>
      <c r="VEY36"/>
      <c r="VEZ36"/>
      <c r="VFA36"/>
      <c r="VFB36"/>
      <c r="VFC36"/>
      <c r="VFD36"/>
      <c r="VFE36"/>
      <c r="VFF36"/>
      <c r="VFG36"/>
      <c r="VFH36"/>
      <c r="VFI36"/>
      <c r="VFJ36"/>
      <c r="VFK36"/>
      <c r="VFL36"/>
      <c r="VFM36"/>
      <c r="VFN36"/>
      <c r="VFO36"/>
      <c r="VFP36"/>
      <c r="VFQ36"/>
      <c r="VFR36"/>
      <c r="VFS36"/>
      <c r="VFT36"/>
      <c r="VFU36"/>
      <c r="VFV36"/>
      <c r="VFW36"/>
      <c r="VFX36"/>
      <c r="VFY36"/>
      <c r="VFZ36"/>
      <c r="VGA36"/>
      <c r="VGB36"/>
      <c r="VGC36"/>
      <c r="VGD36"/>
      <c r="VGE36"/>
      <c r="VGF36"/>
      <c r="VGG36"/>
      <c r="VGH36"/>
      <c r="VGI36"/>
      <c r="VGJ36"/>
      <c r="VGK36"/>
      <c r="VGL36"/>
      <c r="VGM36"/>
      <c r="VGN36"/>
      <c r="VGO36"/>
      <c r="VGP36"/>
      <c r="VGQ36"/>
      <c r="VGR36"/>
      <c r="VGS36"/>
      <c r="VGT36"/>
      <c r="VGU36"/>
      <c r="VGV36"/>
      <c r="VGW36"/>
      <c r="VGX36"/>
      <c r="VGY36"/>
      <c r="VGZ36"/>
      <c r="VHA36"/>
      <c r="VHB36"/>
      <c r="VHC36"/>
      <c r="VHD36"/>
      <c r="VHE36"/>
      <c r="VHF36"/>
      <c r="VHG36"/>
      <c r="VHH36"/>
      <c r="VHI36"/>
      <c r="VHJ36"/>
      <c r="VHK36"/>
      <c r="VHL36"/>
      <c r="VHM36"/>
      <c r="VHN36"/>
      <c r="VHO36"/>
      <c r="VHP36"/>
      <c r="VHQ36"/>
      <c r="VHR36"/>
      <c r="VHS36"/>
      <c r="VHT36"/>
      <c r="VHU36"/>
      <c r="VHV36"/>
      <c r="VHW36"/>
      <c r="VHX36"/>
      <c r="VHY36"/>
      <c r="VHZ36"/>
      <c r="VIA36"/>
      <c r="VIB36"/>
      <c r="VIC36"/>
      <c r="VID36"/>
      <c r="VIE36"/>
      <c r="VIF36"/>
      <c r="VIG36"/>
      <c r="VIH36"/>
      <c r="VII36"/>
      <c r="VIJ36"/>
      <c r="VIK36"/>
      <c r="VIL36"/>
      <c r="VIM36"/>
      <c r="VIN36"/>
      <c r="VIO36"/>
      <c r="VIP36"/>
      <c r="VIQ36"/>
      <c r="VIR36"/>
      <c r="VIS36"/>
      <c r="VIT36"/>
      <c r="VIU36"/>
      <c r="VIV36"/>
      <c r="VIW36"/>
      <c r="VIX36"/>
      <c r="VIY36"/>
      <c r="VIZ36"/>
      <c r="VJA36"/>
      <c r="VJB36"/>
      <c r="VJC36"/>
      <c r="VJD36"/>
      <c r="VJE36"/>
      <c r="VJF36"/>
      <c r="VJG36"/>
      <c r="VJH36"/>
      <c r="VJI36"/>
      <c r="VJJ36"/>
      <c r="VJK36"/>
      <c r="VJL36"/>
      <c r="VJM36"/>
      <c r="VJN36"/>
      <c r="VJO36"/>
      <c r="VJP36"/>
      <c r="VJQ36"/>
      <c r="VJR36"/>
      <c r="VJS36"/>
      <c r="VJT36"/>
      <c r="VJU36"/>
      <c r="VJV36"/>
      <c r="VJW36"/>
      <c r="VJX36"/>
      <c r="VJY36"/>
      <c r="VJZ36"/>
      <c r="VKA36"/>
      <c r="VKB36"/>
      <c r="VKC36"/>
      <c r="VKD36"/>
      <c r="VKE36"/>
      <c r="VKF36"/>
      <c r="VKG36"/>
      <c r="VKH36"/>
      <c r="VKI36"/>
      <c r="VKJ36"/>
      <c r="VKK36"/>
      <c r="VKL36"/>
      <c r="VKM36"/>
      <c r="VKN36"/>
      <c r="VKO36"/>
      <c r="VKP36"/>
      <c r="VKQ36"/>
      <c r="VKR36"/>
      <c r="VKS36"/>
      <c r="VKT36"/>
      <c r="VKU36"/>
      <c r="VKV36"/>
      <c r="VKW36"/>
      <c r="VKX36"/>
      <c r="VKY36"/>
      <c r="VKZ36"/>
      <c r="VLA36"/>
      <c r="VLB36"/>
      <c r="VLC36"/>
      <c r="VLD36"/>
      <c r="VLE36"/>
      <c r="VLF36"/>
      <c r="VLG36"/>
      <c r="VLH36"/>
      <c r="VLI36"/>
      <c r="VLJ36"/>
      <c r="VLK36"/>
      <c r="VLL36"/>
      <c r="VLM36"/>
      <c r="VLN36"/>
      <c r="VLO36"/>
      <c r="VLP36"/>
      <c r="VLQ36"/>
      <c r="VLR36"/>
      <c r="VLS36"/>
      <c r="VLT36"/>
      <c r="VLU36"/>
      <c r="VLV36"/>
      <c r="VLW36"/>
      <c r="VLX36"/>
      <c r="VLY36"/>
      <c r="VLZ36"/>
      <c r="VMA36"/>
      <c r="VMB36"/>
      <c r="VMC36"/>
      <c r="VMD36"/>
      <c r="VME36"/>
      <c r="VMF36"/>
      <c r="VMG36"/>
      <c r="VMH36"/>
      <c r="VMI36"/>
      <c r="VMJ36"/>
      <c r="VMK36"/>
      <c r="VML36"/>
      <c r="VMM36"/>
      <c r="VMN36"/>
      <c r="VMO36"/>
      <c r="VMP36"/>
      <c r="VMQ36"/>
      <c r="VMR36"/>
      <c r="VMS36"/>
      <c r="VMT36"/>
      <c r="VMU36"/>
      <c r="VMV36"/>
      <c r="VMW36"/>
      <c r="VMX36"/>
      <c r="VMY36"/>
      <c r="VMZ36"/>
      <c r="VNA36"/>
      <c r="VNB36"/>
      <c r="VNC36"/>
      <c r="VND36"/>
      <c r="VNE36"/>
      <c r="VNF36"/>
      <c r="VNG36"/>
      <c r="VNH36"/>
      <c r="VNI36"/>
      <c r="VNJ36"/>
      <c r="VNK36"/>
      <c r="VNL36"/>
      <c r="VNM36"/>
      <c r="VNN36"/>
      <c r="VNO36"/>
      <c r="VNP36"/>
      <c r="VNQ36"/>
      <c r="VNR36"/>
      <c r="VNS36"/>
      <c r="VNT36"/>
      <c r="VNU36"/>
      <c r="VNV36"/>
      <c r="VNW36"/>
      <c r="VNX36"/>
      <c r="VNY36"/>
      <c r="VNZ36"/>
      <c r="VOA36"/>
      <c r="VOB36"/>
      <c r="VOC36"/>
      <c r="VOD36"/>
      <c r="VOE36"/>
      <c r="VOF36"/>
      <c r="VOG36"/>
      <c r="VOH36"/>
      <c r="VOI36"/>
      <c r="VOJ36"/>
      <c r="VOK36"/>
      <c r="VOL36"/>
      <c r="VOM36"/>
      <c r="VON36"/>
      <c r="VOO36"/>
      <c r="VOP36"/>
      <c r="VOQ36"/>
      <c r="VOR36"/>
      <c r="VOS36"/>
      <c r="VOT36"/>
      <c r="VOU36"/>
      <c r="VOV36"/>
      <c r="VOW36"/>
      <c r="VOX36"/>
      <c r="VOY36"/>
      <c r="VOZ36"/>
      <c r="VPA36"/>
      <c r="VPB36"/>
      <c r="VPC36"/>
      <c r="VPD36"/>
      <c r="VPE36"/>
      <c r="VPF36"/>
      <c r="VPG36"/>
      <c r="VPH36"/>
      <c r="VPI36"/>
      <c r="VPJ36"/>
      <c r="VPK36"/>
      <c r="VPL36"/>
      <c r="VPM36"/>
      <c r="VPN36"/>
      <c r="VPO36"/>
      <c r="VPP36"/>
      <c r="VPQ36"/>
      <c r="VPR36"/>
      <c r="VPS36"/>
      <c r="VPT36"/>
      <c r="VPU36"/>
      <c r="VPV36"/>
      <c r="VPW36"/>
      <c r="VPX36"/>
      <c r="VPY36"/>
      <c r="VPZ36"/>
      <c r="VQA36"/>
      <c r="VQB36"/>
      <c r="VQC36"/>
      <c r="VQD36"/>
      <c r="VQE36"/>
      <c r="VQF36"/>
      <c r="VQG36"/>
      <c r="VQH36"/>
      <c r="VQI36"/>
      <c r="VQJ36"/>
      <c r="VQK36"/>
      <c r="VQL36"/>
      <c r="VQM36"/>
      <c r="VQN36"/>
      <c r="VQO36"/>
      <c r="VQP36"/>
      <c r="VQQ36"/>
      <c r="VQR36"/>
      <c r="VQS36"/>
      <c r="VQT36"/>
      <c r="VQU36"/>
      <c r="VQV36"/>
      <c r="VQW36"/>
      <c r="VQX36"/>
      <c r="VQY36"/>
      <c r="VQZ36"/>
      <c r="VRA36"/>
      <c r="VRB36"/>
      <c r="VRC36"/>
      <c r="VRD36"/>
      <c r="VRE36"/>
      <c r="VRF36"/>
      <c r="VRG36"/>
      <c r="VRH36"/>
      <c r="VRI36"/>
      <c r="VRJ36"/>
      <c r="VRK36"/>
      <c r="VRL36"/>
      <c r="VRM36"/>
      <c r="VRN36"/>
      <c r="VRO36"/>
      <c r="VRP36"/>
      <c r="VRQ36"/>
      <c r="VRR36"/>
      <c r="VRS36"/>
      <c r="VRT36"/>
      <c r="VRU36"/>
      <c r="VRV36"/>
      <c r="VRW36"/>
      <c r="VRX36"/>
      <c r="VRY36"/>
      <c r="VRZ36"/>
      <c r="VSA36"/>
      <c r="VSB36"/>
      <c r="VSC36"/>
      <c r="VSD36"/>
      <c r="VSE36"/>
      <c r="VSF36"/>
      <c r="VSG36"/>
      <c r="VSH36"/>
      <c r="VSI36"/>
      <c r="VSJ36"/>
      <c r="VSK36"/>
      <c r="VSL36"/>
      <c r="VSM36"/>
      <c r="VSN36"/>
      <c r="VSO36"/>
      <c r="VSP36"/>
      <c r="VSQ36"/>
      <c r="VSR36"/>
      <c r="VSS36"/>
      <c r="VST36"/>
      <c r="VSU36"/>
      <c r="VSV36"/>
      <c r="VSW36"/>
      <c r="VSX36"/>
      <c r="VSY36"/>
      <c r="VSZ36"/>
      <c r="VTA36"/>
      <c r="VTB36"/>
      <c r="VTC36"/>
      <c r="VTD36"/>
      <c r="VTE36"/>
      <c r="VTF36"/>
      <c r="VTG36"/>
      <c r="VTH36"/>
      <c r="VTI36"/>
      <c r="VTJ36"/>
      <c r="VTK36"/>
      <c r="VTL36"/>
      <c r="VTM36"/>
      <c r="VTN36"/>
      <c r="VTO36"/>
      <c r="VTP36"/>
      <c r="VTQ36"/>
      <c r="VTR36"/>
      <c r="VTS36"/>
      <c r="VTT36"/>
      <c r="VTU36"/>
      <c r="VTV36"/>
      <c r="VTW36"/>
      <c r="VTX36"/>
      <c r="VTY36"/>
      <c r="VTZ36"/>
      <c r="VUA36"/>
      <c r="VUB36"/>
      <c r="VUC36"/>
      <c r="VUD36"/>
      <c r="VUE36"/>
      <c r="VUF36"/>
      <c r="VUG36"/>
      <c r="VUH36"/>
      <c r="VUI36"/>
      <c r="VUJ36"/>
      <c r="VUK36"/>
      <c r="VUL36"/>
      <c r="VUM36"/>
      <c r="VUN36"/>
      <c r="VUO36"/>
      <c r="VUP36"/>
      <c r="VUQ36"/>
      <c r="VUR36"/>
      <c r="VUS36"/>
      <c r="VUT36"/>
      <c r="VUU36"/>
      <c r="VUV36"/>
      <c r="VUW36"/>
      <c r="VUX36"/>
      <c r="VUY36"/>
      <c r="VUZ36"/>
      <c r="VVA36"/>
      <c r="VVB36"/>
      <c r="VVC36"/>
      <c r="VVD36"/>
      <c r="VVE36"/>
      <c r="VVF36"/>
      <c r="VVG36"/>
      <c r="VVH36"/>
      <c r="VVI36"/>
      <c r="VVJ36"/>
      <c r="VVK36"/>
      <c r="VVL36"/>
      <c r="VVM36"/>
      <c r="VVN36"/>
      <c r="VVO36"/>
      <c r="VVP36"/>
      <c r="VVQ36"/>
      <c r="VVR36"/>
      <c r="VVS36"/>
      <c r="VVT36"/>
      <c r="VVU36"/>
      <c r="VVV36"/>
      <c r="VVW36"/>
      <c r="VVX36"/>
      <c r="VVY36"/>
      <c r="VVZ36"/>
      <c r="VWA36"/>
      <c r="VWB36"/>
      <c r="VWC36"/>
      <c r="VWD36"/>
      <c r="VWE36"/>
      <c r="VWF36"/>
      <c r="VWG36"/>
      <c r="VWH36"/>
      <c r="VWI36"/>
      <c r="VWJ36"/>
      <c r="VWK36"/>
      <c r="VWL36"/>
      <c r="VWM36"/>
      <c r="VWN36"/>
      <c r="VWO36"/>
      <c r="VWP36"/>
      <c r="VWQ36"/>
      <c r="VWR36"/>
      <c r="VWS36"/>
      <c r="VWT36"/>
      <c r="VWU36"/>
      <c r="VWV36"/>
      <c r="VWW36"/>
      <c r="VWX36"/>
      <c r="VWY36"/>
      <c r="VWZ36"/>
      <c r="VXA36"/>
      <c r="VXB36"/>
      <c r="VXC36"/>
      <c r="VXD36"/>
      <c r="VXE36"/>
      <c r="VXF36"/>
      <c r="VXG36"/>
      <c r="VXH36"/>
      <c r="VXI36"/>
      <c r="VXJ36"/>
      <c r="VXK36"/>
      <c r="VXL36"/>
      <c r="VXM36"/>
      <c r="VXN36"/>
      <c r="VXO36"/>
      <c r="VXP36"/>
      <c r="VXQ36"/>
      <c r="VXR36"/>
      <c r="VXS36"/>
      <c r="VXT36"/>
      <c r="VXU36"/>
      <c r="VXV36"/>
      <c r="VXW36"/>
      <c r="VXX36"/>
      <c r="VXY36"/>
      <c r="VXZ36"/>
      <c r="VYA36"/>
      <c r="VYB36"/>
      <c r="VYC36"/>
      <c r="VYD36"/>
      <c r="VYE36"/>
      <c r="VYF36"/>
      <c r="VYG36"/>
      <c r="VYH36"/>
      <c r="VYI36"/>
      <c r="VYJ36"/>
      <c r="VYK36"/>
      <c r="VYL36"/>
      <c r="VYM36"/>
      <c r="VYN36"/>
      <c r="VYO36"/>
      <c r="VYP36"/>
      <c r="VYQ36"/>
      <c r="VYR36"/>
      <c r="VYS36"/>
      <c r="VYT36"/>
      <c r="VYU36"/>
      <c r="VYV36"/>
      <c r="VYW36"/>
      <c r="VYX36"/>
      <c r="VYY36"/>
      <c r="VYZ36"/>
      <c r="VZA36"/>
      <c r="VZB36"/>
      <c r="VZC36"/>
      <c r="VZD36"/>
      <c r="VZE36"/>
      <c r="VZF36"/>
      <c r="VZG36"/>
      <c r="VZH36"/>
      <c r="VZI36"/>
      <c r="VZJ36"/>
      <c r="VZK36"/>
      <c r="VZL36"/>
      <c r="VZM36"/>
      <c r="VZN36"/>
      <c r="VZO36"/>
      <c r="VZP36"/>
      <c r="VZQ36"/>
      <c r="VZR36"/>
      <c r="VZS36"/>
      <c r="VZT36"/>
      <c r="VZU36"/>
      <c r="VZV36"/>
      <c r="VZW36"/>
      <c r="VZX36"/>
      <c r="VZY36"/>
      <c r="VZZ36"/>
      <c r="WAA36"/>
      <c r="WAB36"/>
      <c r="WAC36"/>
      <c r="WAD36"/>
      <c r="WAE36"/>
      <c r="WAF36"/>
      <c r="WAG36"/>
      <c r="WAH36"/>
      <c r="WAI36"/>
      <c r="WAJ36"/>
      <c r="WAK36"/>
      <c r="WAL36"/>
      <c r="WAM36"/>
      <c r="WAN36"/>
      <c r="WAO36"/>
      <c r="WAP36"/>
      <c r="WAQ36"/>
      <c r="WAR36"/>
      <c r="WAS36"/>
      <c r="WAT36"/>
      <c r="WAU36"/>
      <c r="WAV36"/>
      <c r="WAW36"/>
      <c r="WAX36"/>
      <c r="WAY36"/>
      <c r="WAZ36"/>
      <c r="WBA36"/>
      <c r="WBB36"/>
      <c r="WBC36"/>
      <c r="WBD36"/>
      <c r="WBE36"/>
      <c r="WBF36"/>
      <c r="WBG36"/>
      <c r="WBH36"/>
      <c r="WBI36"/>
      <c r="WBJ36"/>
      <c r="WBK36"/>
      <c r="WBL36"/>
      <c r="WBM36"/>
      <c r="WBN36"/>
      <c r="WBO36"/>
      <c r="WBP36"/>
      <c r="WBQ36"/>
      <c r="WBR36"/>
      <c r="WBS36"/>
      <c r="WBT36"/>
      <c r="WBU36"/>
      <c r="WBV36"/>
      <c r="WBW36"/>
      <c r="WBX36"/>
      <c r="WBY36"/>
      <c r="WBZ36"/>
      <c r="WCA36"/>
      <c r="WCB36"/>
      <c r="WCC36"/>
      <c r="WCD36"/>
      <c r="WCE36"/>
      <c r="WCF36"/>
      <c r="WCG36"/>
      <c r="WCH36"/>
      <c r="WCI36"/>
      <c r="WCJ36"/>
      <c r="WCK36"/>
      <c r="WCL36"/>
      <c r="WCM36"/>
      <c r="WCN36"/>
      <c r="WCO36"/>
      <c r="WCP36"/>
      <c r="WCQ36"/>
      <c r="WCR36"/>
      <c r="WCS36"/>
      <c r="WCT36"/>
      <c r="WCU36"/>
      <c r="WCV36"/>
      <c r="WCW36"/>
      <c r="WCX36"/>
      <c r="WCY36"/>
      <c r="WCZ36"/>
      <c r="WDA36"/>
      <c r="WDB36"/>
      <c r="WDC36"/>
      <c r="WDD36"/>
      <c r="WDE36"/>
      <c r="WDF36"/>
      <c r="WDG36"/>
      <c r="WDH36"/>
      <c r="WDI36"/>
      <c r="WDJ36"/>
      <c r="WDK36"/>
      <c r="WDL36"/>
      <c r="WDM36"/>
      <c r="WDN36"/>
      <c r="WDO36"/>
      <c r="WDP36"/>
      <c r="WDQ36"/>
      <c r="WDR36"/>
      <c r="WDS36"/>
      <c r="WDT36"/>
      <c r="WDU36"/>
      <c r="WDV36"/>
      <c r="WDW36"/>
      <c r="WDX36"/>
      <c r="WDY36"/>
      <c r="WDZ36"/>
      <c r="WEA36"/>
      <c r="WEB36"/>
      <c r="WEC36"/>
      <c r="WED36"/>
      <c r="WEE36"/>
      <c r="WEF36"/>
      <c r="WEG36"/>
      <c r="WEH36"/>
      <c r="WEI36"/>
      <c r="WEJ36"/>
      <c r="WEK36"/>
      <c r="WEL36"/>
      <c r="WEM36"/>
      <c r="WEN36"/>
      <c r="WEO36"/>
      <c r="WEP36"/>
      <c r="WEQ36"/>
      <c r="WER36"/>
      <c r="WES36"/>
      <c r="WET36"/>
      <c r="WEU36"/>
      <c r="WEV36"/>
      <c r="WEW36"/>
      <c r="WEX36"/>
      <c r="WEY36"/>
      <c r="WEZ36"/>
      <c r="WFA36"/>
      <c r="WFB36"/>
      <c r="WFC36"/>
      <c r="WFD36"/>
      <c r="WFE36"/>
      <c r="WFF36"/>
      <c r="WFG36"/>
      <c r="WFH36"/>
      <c r="WFI36"/>
      <c r="WFJ36"/>
      <c r="WFK36"/>
      <c r="WFL36"/>
      <c r="WFM36"/>
      <c r="WFN36"/>
      <c r="WFO36"/>
      <c r="WFP36"/>
      <c r="WFQ36"/>
      <c r="WFR36"/>
      <c r="WFS36"/>
      <c r="WFT36"/>
      <c r="WFU36"/>
      <c r="WFV36"/>
      <c r="WFW36"/>
      <c r="WFX36"/>
      <c r="WFY36"/>
      <c r="WFZ36"/>
      <c r="WGA36"/>
      <c r="WGB36"/>
      <c r="WGC36"/>
      <c r="WGD36"/>
      <c r="WGE36"/>
      <c r="WGF36"/>
      <c r="WGG36"/>
      <c r="WGH36"/>
      <c r="WGI36"/>
      <c r="WGJ36"/>
      <c r="WGK36"/>
      <c r="WGL36"/>
      <c r="WGM36"/>
      <c r="WGN36"/>
      <c r="WGO36"/>
      <c r="WGP36"/>
      <c r="WGQ36"/>
      <c r="WGR36"/>
      <c r="WGS36"/>
      <c r="WGT36"/>
      <c r="WGU36"/>
      <c r="WGV36"/>
      <c r="WGW36"/>
      <c r="WGX36"/>
      <c r="WGY36"/>
      <c r="WGZ36"/>
      <c r="WHA36"/>
      <c r="WHB36"/>
      <c r="WHC36"/>
      <c r="WHD36"/>
      <c r="WHE36"/>
      <c r="WHF36"/>
      <c r="WHG36"/>
      <c r="WHH36"/>
      <c r="WHI36"/>
      <c r="WHJ36"/>
      <c r="WHK36"/>
      <c r="WHL36"/>
      <c r="WHM36"/>
      <c r="WHN36"/>
      <c r="WHO36"/>
      <c r="WHP36"/>
      <c r="WHQ36"/>
      <c r="WHR36"/>
      <c r="WHS36"/>
      <c r="WHT36"/>
      <c r="WHU36"/>
      <c r="WHV36"/>
      <c r="WHW36"/>
      <c r="WHX36"/>
      <c r="WHY36"/>
      <c r="WHZ36"/>
      <c r="WIA36"/>
      <c r="WIB36"/>
      <c r="WIC36"/>
      <c r="WID36"/>
      <c r="WIE36"/>
      <c r="WIF36"/>
      <c r="WIG36"/>
      <c r="WIH36"/>
      <c r="WII36"/>
      <c r="WIJ36"/>
      <c r="WIK36"/>
      <c r="WIL36"/>
      <c r="WIM36"/>
      <c r="WIN36"/>
      <c r="WIO36"/>
      <c r="WIP36"/>
      <c r="WIQ36"/>
      <c r="WIR36"/>
      <c r="WIS36"/>
      <c r="WIT36"/>
      <c r="WIU36"/>
      <c r="WIV36"/>
      <c r="WIW36"/>
      <c r="WIX36"/>
      <c r="WIY36"/>
      <c r="WIZ36"/>
      <c r="WJA36"/>
      <c r="WJB36"/>
      <c r="WJC36"/>
      <c r="WJD36"/>
      <c r="WJE36"/>
      <c r="WJF36"/>
      <c r="WJG36"/>
      <c r="WJH36"/>
      <c r="WJI36"/>
      <c r="WJJ36"/>
      <c r="WJK36"/>
      <c r="WJL36"/>
      <c r="WJM36"/>
      <c r="WJN36"/>
      <c r="WJO36"/>
      <c r="WJP36"/>
      <c r="WJQ36"/>
      <c r="WJR36"/>
      <c r="WJS36"/>
      <c r="WJT36"/>
      <c r="WJU36"/>
      <c r="WJV36"/>
      <c r="WJW36"/>
      <c r="WJX36"/>
      <c r="WJY36"/>
      <c r="WJZ36"/>
      <c r="WKA36"/>
      <c r="WKB36"/>
      <c r="WKC36"/>
      <c r="WKD36"/>
      <c r="WKE36"/>
      <c r="WKF36"/>
      <c r="WKG36"/>
      <c r="WKH36"/>
      <c r="WKI36"/>
      <c r="WKJ36"/>
      <c r="WKK36"/>
      <c r="WKL36"/>
      <c r="WKM36"/>
      <c r="WKN36"/>
      <c r="WKO36"/>
      <c r="WKP36"/>
      <c r="WKQ36"/>
      <c r="WKR36"/>
      <c r="WKS36"/>
      <c r="WKT36"/>
      <c r="WKU36"/>
      <c r="WKV36"/>
      <c r="WKW36"/>
      <c r="WKX36"/>
      <c r="WKY36"/>
      <c r="WKZ36"/>
      <c r="WLA36"/>
      <c r="WLB36"/>
      <c r="WLC36"/>
      <c r="WLD36"/>
      <c r="WLE36"/>
      <c r="WLF36"/>
      <c r="WLG36"/>
      <c r="WLH36"/>
      <c r="WLI36"/>
      <c r="WLJ36"/>
      <c r="WLK36"/>
      <c r="WLL36"/>
      <c r="WLM36"/>
      <c r="WLN36"/>
      <c r="WLO36"/>
      <c r="WLP36"/>
      <c r="WLQ36"/>
      <c r="WLR36"/>
      <c r="WLS36"/>
      <c r="WLT36"/>
      <c r="WLU36"/>
      <c r="WLV36"/>
      <c r="WLW36"/>
      <c r="WLX36"/>
      <c r="WLY36"/>
      <c r="WLZ36"/>
      <c r="WMA36"/>
      <c r="WMB36"/>
      <c r="WMC36"/>
      <c r="WMD36"/>
      <c r="WME36"/>
      <c r="WMF36"/>
      <c r="WMG36"/>
      <c r="WMH36"/>
      <c r="WMI36"/>
      <c r="WMJ36"/>
      <c r="WMK36"/>
      <c r="WML36"/>
      <c r="WMM36"/>
      <c r="WMN36"/>
      <c r="WMO36"/>
      <c r="WMP36"/>
      <c r="WMQ36"/>
      <c r="WMR36"/>
      <c r="WMS36"/>
      <c r="WMT36"/>
      <c r="WMU36"/>
      <c r="WMV36"/>
      <c r="WMW36"/>
      <c r="WMX36"/>
      <c r="WMY36"/>
      <c r="WMZ36"/>
      <c r="WNA36"/>
      <c r="WNB36"/>
      <c r="WNC36"/>
      <c r="WND36"/>
      <c r="WNE36"/>
      <c r="WNF36"/>
      <c r="WNG36"/>
      <c r="WNH36"/>
      <c r="WNI36"/>
      <c r="WNJ36"/>
      <c r="WNK36"/>
      <c r="WNL36"/>
      <c r="WNM36"/>
      <c r="WNN36"/>
      <c r="WNO36"/>
      <c r="WNP36"/>
      <c r="WNQ36"/>
      <c r="WNR36"/>
      <c r="WNS36"/>
      <c r="WNT36"/>
      <c r="WNU36"/>
      <c r="WNV36"/>
      <c r="WNW36"/>
      <c r="WNX36"/>
      <c r="WNY36"/>
      <c r="WNZ36"/>
      <c r="WOA36"/>
      <c r="WOB36"/>
      <c r="WOC36"/>
      <c r="WOD36"/>
      <c r="WOE36"/>
      <c r="WOF36"/>
      <c r="WOG36"/>
      <c r="WOH36"/>
      <c r="WOI36"/>
      <c r="WOJ36"/>
      <c r="WOK36"/>
      <c r="WOL36"/>
      <c r="WOM36"/>
      <c r="WON36"/>
      <c r="WOO36"/>
      <c r="WOP36"/>
      <c r="WOQ36"/>
      <c r="WOR36"/>
      <c r="WOS36"/>
      <c r="WOT36"/>
      <c r="WOU36"/>
      <c r="WOV36"/>
      <c r="WOW36"/>
      <c r="WOX36"/>
      <c r="WOY36"/>
      <c r="WOZ36"/>
      <c r="WPA36"/>
      <c r="WPB36"/>
      <c r="WPC36"/>
      <c r="WPD36"/>
      <c r="WPE36"/>
      <c r="WPF36"/>
      <c r="WPG36"/>
      <c r="WPH36"/>
      <c r="WPI36"/>
      <c r="WPJ36"/>
      <c r="WPK36"/>
      <c r="WPL36"/>
      <c r="WPM36"/>
      <c r="WPN36"/>
      <c r="WPO36"/>
      <c r="WPP36"/>
      <c r="WPQ36"/>
      <c r="WPR36"/>
      <c r="WPS36"/>
      <c r="WPT36"/>
      <c r="WPU36"/>
      <c r="WPV36"/>
      <c r="WPW36"/>
      <c r="WPX36"/>
      <c r="WPY36"/>
      <c r="WPZ36"/>
      <c r="WQA36"/>
      <c r="WQB36"/>
      <c r="WQC36"/>
      <c r="WQD36"/>
      <c r="WQE36"/>
      <c r="WQF36"/>
      <c r="WQG36"/>
      <c r="WQH36"/>
      <c r="WQI36"/>
      <c r="WQJ36"/>
      <c r="WQK36"/>
      <c r="WQL36"/>
      <c r="WQM36"/>
      <c r="WQN36"/>
      <c r="WQO36"/>
      <c r="WQP36"/>
      <c r="WQQ36"/>
      <c r="WQR36"/>
      <c r="WQS36"/>
      <c r="WQT36"/>
      <c r="WQU36"/>
      <c r="WQV36"/>
      <c r="WQW36"/>
      <c r="WQX36"/>
      <c r="WQY36"/>
      <c r="WQZ36"/>
      <c r="WRA36"/>
      <c r="WRB36"/>
      <c r="WRC36"/>
      <c r="WRD36"/>
      <c r="WRE36"/>
      <c r="WRF36"/>
      <c r="WRG36"/>
      <c r="WRH36"/>
      <c r="WRI36"/>
      <c r="WRJ36"/>
      <c r="WRK36"/>
      <c r="WRL36"/>
      <c r="WRM36"/>
      <c r="WRN36"/>
      <c r="WRO36"/>
      <c r="WRP36"/>
      <c r="WRQ36"/>
      <c r="WRR36"/>
      <c r="WRS36"/>
      <c r="WRT36"/>
      <c r="WRU36"/>
      <c r="WRV36"/>
      <c r="WRW36"/>
      <c r="WRX36"/>
      <c r="WRY36"/>
      <c r="WRZ36"/>
      <c r="WSA36"/>
      <c r="WSB36"/>
      <c r="WSC36"/>
      <c r="WSD36"/>
      <c r="WSE36"/>
      <c r="WSF36"/>
      <c r="WSG36"/>
      <c r="WSH36"/>
      <c r="WSI36"/>
      <c r="WSJ36"/>
      <c r="WSK36"/>
      <c r="WSL36"/>
      <c r="WSM36"/>
      <c r="WSN36"/>
      <c r="WSO36"/>
      <c r="WSP36"/>
      <c r="WSQ36"/>
      <c r="WSR36"/>
      <c r="WSS36"/>
      <c r="WST36"/>
      <c r="WSU36"/>
      <c r="WSV36"/>
      <c r="WSW36"/>
      <c r="WSX36"/>
      <c r="WSY36"/>
      <c r="WSZ36"/>
      <c r="WTA36"/>
      <c r="WTB36"/>
      <c r="WTC36"/>
      <c r="WTD36"/>
      <c r="WTE36"/>
      <c r="WTF36"/>
      <c r="WTG36"/>
      <c r="WTH36"/>
      <c r="WTI36"/>
      <c r="WTJ36"/>
      <c r="WTK36"/>
      <c r="WTL36"/>
      <c r="WTM36"/>
      <c r="WTN36"/>
      <c r="WTO36"/>
      <c r="WTP36"/>
      <c r="WTQ36"/>
      <c r="WTR36"/>
      <c r="WTS36"/>
      <c r="WTT36"/>
      <c r="WTU36"/>
      <c r="WTV36"/>
      <c r="WTW36"/>
      <c r="WTX36"/>
      <c r="WTY36"/>
      <c r="WTZ36"/>
      <c r="WUA36"/>
      <c r="WUB36"/>
      <c r="WUC36"/>
      <c r="WUD36"/>
      <c r="WUE36"/>
      <c r="WUF36"/>
      <c r="WUG36"/>
      <c r="WUH36"/>
      <c r="WUI36"/>
      <c r="WUJ36"/>
      <c r="WUK36"/>
      <c r="WUL36"/>
      <c r="WUM36"/>
      <c r="WUN36"/>
      <c r="WUO36"/>
      <c r="WUP36"/>
      <c r="WUQ36"/>
      <c r="WUR36"/>
      <c r="WUS36"/>
      <c r="WUT36"/>
      <c r="WUU36"/>
      <c r="WUV36"/>
      <c r="WUW36"/>
      <c r="WUX36"/>
      <c r="WUY36"/>
      <c r="WUZ36"/>
      <c r="WVA36"/>
      <c r="WVB36"/>
      <c r="WVC36"/>
      <c r="WVD36"/>
      <c r="WVE36"/>
      <c r="WVF36"/>
      <c r="WVG36"/>
      <c r="WVH36"/>
      <c r="WVI36"/>
      <c r="WVJ36"/>
      <c r="WVK36"/>
      <c r="WVL36"/>
      <c r="WVM36"/>
      <c r="WVN36"/>
      <c r="WVO36"/>
      <c r="WVP36"/>
      <c r="WVQ36"/>
      <c r="WVR36"/>
      <c r="WVS36"/>
      <c r="WVT36"/>
      <c r="WVU36"/>
      <c r="WVV36"/>
      <c r="WVW36"/>
      <c r="WVX36"/>
      <c r="WVY36"/>
      <c r="WVZ36"/>
      <c r="WWA36"/>
      <c r="WWB36"/>
      <c r="WWC36"/>
      <c r="WWD36"/>
      <c r="WWE36"/>
      <c r="WWF36"/>
      <c r="WWG36"/>
      <c r="WWH36"/>
      <c r="WWI36"/>
      <c r="WWJ36"/>
      <c r="WWK36"/>
      <c r="WWL36"/>
      <c r="WWM36"/>
      <c r="WWN36"/>
      <c r="WWO36"/>
      <c r="WWP36"/>
      <c r="WWQ36"/>
      <c r="WWR36"/>
      <c r="WWS36"/>
      <c r="WWT36"/>
      <c r="WWU36"/>
      <c r="WWV36"/>
      <c r="WWW36"/>
      <c r="WWX36"/>
      <c r="WWY36"/>
      <c r="WWZ36"/>
      <c r="WXA36"/>
      <c r="WXB36"/>
      <c r="WXC36"/>
      <c r="WXD36"/>
      <c r="WXE36"/>
      <c r="WXF36"/>
      <c r="WXG36"/>
      <c r="WXH36"/>
      <c r="WXI36"/>
      <c r="WXJ36"/>
      <c r="WXK36"/>
      <c r="WXL36"/>
      <c r="WXM36"/>
      <c r="WXN36"/>
      <c r="WXO36"/>
      <c r="WXP36"/>
      <c r="WXQ36"/>
      <c r="WXR36"/>
      <c r="WXS36"/>
      <c r="WXT36"/>
      <c r="WXU36"/>
      <c r="WXV36"/>
      <c r="WXW36"/>
      <c r="WXX36"/>
      <c r="WXY36"/>
      <c r="WXZ36"/>
      <c r="WYA36"/>
      <c r="WYB36"/>
      <c r="WYC36"/>
      <c r="WYD36"/>
      <c r="WYE36"/>
      <c r="WYF36"/>
      <c r="WYG36"/>
      <c r="WYH36"/>
      <c r="WYI36"/>
      <c r="WYJ36"/>
      <c r="WYK36"/>
      <c r="WYL36"/>
      <c r="WYM36"/>
      <c r="WYN36"/>
      <c r="WYO36"/>
      <c r="WYP36"/>
      <c r="WYQ36"/>
      <c r="WYR36"/>
      <c r="WYS36"/>
      <c r="WYT36"/>
      <c r="WYU36"/>
      <c r="WYV36"/>
      <c r="WYW36"/>
      <c r="WYX36"/>
      <c r="WYY36"/>
      <c r="WYZ36"/>
      <c r="WZA36"/>
      <c r="WZB36"/>
      <c r="WZC36"/>
      <c r="WZD36"/>
      <c r="WZE36"/>
      <c r="WZF36"/>
      <c r="WZG36"/>
      <c r="WZH36"/>
      <c r="WZI36"/>
      <c r="WZJ36"/>
      <c r="WZK36"/>
      <c r="WZL36"/>
      <c r="WZM36"/>
      <c r="WZN36"/>
      <c r="WZO36"/>
      <c r="WZP36"/>
      <c r="WZQ36"/>
      <c r="WZR36"/>
      <c r="WZS36"/>
      <c r="WZT36"/>
      <c r="WZU36"/>
      <c r="WZV36"/>
      <c r="WZW36"/>
      <c r="WZX36"/>
      <c r="WZY36"/>
      <c r="WZZ36"/>
      <c r="XAA36"/>
      <c r="XAB36"/>
      <c r="XAC36"/>
      <c r="XAD36"/>
      <c r="XAE36"/>
      <c r="XAF36"/>
      <c r="XAG36"/>
      <c r="XAH36"/>
      <c r="XAI36"/>
      <c r="XAJ36"/>
      <c r="XAK36"/>
      <c r="XAL36"/>
      <c r="XAM36"/>
      <c r="XAN36"/>
      <c r="XAO36"/>
      <c r="XAP36"/>
      <c r="XAQ36"/>
      <c r="XAR36"/>
      <c r="XAS36"/>
      <c r="XAT36"/>
      <c r="XAU36"/>
      <c r="XAV36"/>
      <c r="XAW36"/>
      <c r="XAX36"/>
      <c r="XAY36"/>
      <c r="XAZ36"/>
      <c r="XBA36"/>
      <c r="XBB36"/>
      <c r="XBC36"/>
      <c r="XBD36"/>
      <c r="XBE36"/>
      <c r="XBF36"/>
      <c r="XBG36"/>
      <c r="XBH36"/>
      <c r="XBI36"/>
      <c r="XBJ36"/>
      <c r="XBK36"/>
      <c r="XBL36"/>
      <c r="XBM36"/>
      <c r="XBN36"/>
      <c r="XBO36"/>
      <c r="XBP36"/>
      <c r="XBQ36"/>
      <c r="XBR36"/>
      <c r="XBS36"/>
      <c r="XBT36"/>
      <c r="XBU36"/>
      <c r="XBV36"/>
      <c r="XBW36"/>
      <c r="XBX36"/>
      <c r="XBY36"/>
      <c r="XBZ36"/>
      <c r="XCA36"/>
      <c r="XCB36"/>
      <c r="XCC36"/>
      <c r="XCD36"/>
      <c r="XCE36"/>
      <c r="XCF36"/>
      <c r="XCG36"/>
      <c r="XCH36"/>
      <c r="XCI36"/>
      <c r="XCJ36"/>
      <c r="XCK36"/>
      <c r="XCL36"/>
      <c r="XCM36"/>
      <c r="XCN36"/>
      <c r="XCO36"/>
      <c r="XCP36"/>
      <c r="XCQ36"/>
      <c r="XCR36"/>
      <c r="XCS36"/>
      <c r="XCT36"/>
      <c r="XCU36"/>
      <c r="XCV36"/>
      <c r="XCW36"/>
      <c r="XCX36"/>
      <c r="XCY36"/>
      <c r="XCZ36"/>
      <c r="XDA36"/>
      <c r="XDB36"/>
      <c r="XDC36"/>
      <c r="XDD36"/>
      <c r="XDE36"/>
      <c r="XDF36"/>
      <c r="XDG36"/>
      <c r="XDH36"/>
      <c r="XDI36"/>
      <c r="XDJ36"/>
      <c r="XDK36"/>
      <c r="XDL36"/>
      <c r="XDM36"/>
      <c r="XDN36"/>
      <c r="XDO36"/>
      <c r="XDP36"/>
      <c r="XDQ36"/>
      <c r="XDR36"/>
      <c r="XDS36"/>
      <c r="XDT36"/>
      <c r="XDU36"/>
      <c r="XDV36"/>
      <c r="XDW36"/>
      <c r="XDX36"/>
      <c r="XDY36"/>
      <c r="XDZ36"/>
      <c r="XEA36"/>
      <c r="XEB36"/>
      <c r="XEC36"/>
      <c r="XED36"/>
      <c r="XEE36"/>
      <c r="XEF36"/>
      <c r="XEG36"/>
      <c r="XEH36"/>
      <c r="XEI36"/>
      <c r="XEJ36"/>
      <c r="XEK36"/>
      <c r="XEL36"/>
      <c r="XEM36"/>
      <c r="XEN36"/>
      <c r="XEO36"/>
      <c r="XEP36"/>
      <c r="XEQ36"/>
      <c r="XER36"/>
      <c r="XES36"/>
      <c r="XET36"/>
      <c r="XEU36"/>
      <c r="XEV36"/>
      <c r="XEW36"/>
      <c r="XEX36"/>
      <c r="XEY36"/>
      <c r="XEZ36"/>
      <c r="XFA36"/>
    </row>
    <row r="37" ht="15.6" spans="9:31">
      <c r="I37" s="43"/>
      <c r="K37" s="43"/>
      <c r="M37" s="67"/>
      <c r="AA37" s="117" t="str">
        <f>+'Ingredient List - Mother Tinctu'!D38</f>
        <v>Anacard. Ori.</v>
      </c>
      <c r="AB37" s="117">
        <f t="shared" si="0"/>
        <v>0</v>
      </c>
      <c r="AC37" s="117" t="str">
        <f>IF(AB37=1,COUNTIF($AB$3:AB37,1),"")</f>
        <v/>
      </c>
      <c r="AD37" s="117" t="str">
        <f>IFERROR(INDEX($AA$3:$AA$10000,MATCH(ROWS($AC$3:AC37),$AC$3:$AC$10000,0)),"")</f>
        <v/>
      </c>
      <c r="AE37" s="117" t="str">
        <f>+'Packing Material - Cost'!A38</f>
        <v/>
      </c>
    </row>
    <row r="38" ht="15.6" spans="9:31">
      <c r="I38" s="43"/>
      <c r="K38" s="43"/>
      <c r="M38" s="67"/>
      <c r="AA38" s="117" t="str">
        <f>+'Ingredient List - Mother Tinctu'!D39</f>
        <v>Andrographis Pan(Kalmegh)</v>
      </c>
      <c r="AB38" s="117">
        <f t="shared" si="0"/>
        <v>0</v>
      </c>
      <c r="AC38" s="117" t="str">
        <f>IF(AB38=1,COUNTIF($AB$3:AB38,1),"")</f>
        <v/>
      </c>
      <c r="AD38" s="117" t="str">
        <f>IFERROR(INDEX($AA$3:$AA$10000,MATCH(ROWS($AC$3:AC38),$AC$3:$AC$10000,0)),"")</f>
        <v/>
      </c>
      <c r="AE38" s="117" t="str">
        <f>+'Packing Material - Cost'!A39</f>
        <v/>
      </c>
    </row>
    <row r="39" ht="15.6" spans="9:31">
      <c r="I39" s="43"/>
      <c r="AA39" s="117" t="str">
        <f>+'Ingredient List - Mother Tinctu'!D40</f>
        <v>Angustura. V</v>
      </c>
      <c r="AB39" s="117">
        <f t="shared" si="0"/>
        <v>0</v>
      </c>
      <c r="AC39" s="117" t="str">
        <f>IF(AB39=1,COUNTIF($AB$3:AB39,1),"")</f>
        <v/>
      </c>
      <c r="AD39" s="117" t="str">
        <f>IFERROR(INDEX($AA$3:$AA$10000,MATCH(ROWS($AC$3:AC39),$AC$3:$AC$10000,0)),"")</f>
        <v/>
      </c>
      <c r="AE39" s="117" t="str">
        <f>+'Packing Material - Cost'!A40</f>
        <v/>
      </c>
    </row>
    <row r="40" spans="27:31">
      <c r="AA40" s="117" t="str">
        <f>+'Ingredient List - Mother Tinctu'!D41</f>
        <v>Apis Mel.</v>
      </c>
      <c r="AB40" s="117">
        <f t="shared" si="0"/>
        <v>0</v>
      </c>
      <c r="AC40" s="117" t="str">
        <f>IF(AB40=1,COUNTIF($AB$3:AB40,1),"")</f>
        <v/>
      </c>
      <c r="AD40" s="117" t="str">
        <f>IFERROR(INDEX($AA$3:$AA$10000,MATCH(ROWS($AC$3:AC40),$AC$3:$AC$10000,0)),"")</f>
        <v/>
      </c>
      <c r="AE40" s="117" t="str">
        <f>+'Packing Material - Cost'!A41</f>
        <v/>
      </c>
    </row>
    <row r="41" spans="27:31">
      <c r="AA41" s="117" t="str">
        <f>+'Ingredient List - Mother Tinctu'!D42</f>
        <v>Apocynum. Can.</v>
      </c>
      <c r="AB41" s="117">
        <f t="shared" si="0"/>
        <v>0</v>
      </c>
      <c r="AC41" s="117" t="str">
        <f>IF(AB41=1,COUNTIF($AB$3:AB41,1),"")</f>
        <v/>
      </c>
      <c r="AD41" s="117" t="str">
        <f>IFERROR(INDEX($AA$3:$AA$10000,MATCH(ROWS($AC$3:AC41),$AC$3:$AC$10000,0)),"")</f>
        <v/>
      </c>
      <c r="AE41" s="117" t="str">
        <f>+'Packing Material - Cost'!A42</f>
        <v/>
      </c>
    </row>
    <row r="42" spans="27:31">
      <c r="AA42" s="117" t="str">
        <f>+'Ingredient List - Mother Tinctu'!D43</f>
        <v>Aralia Rac.</v>
      </c>
      <c r="AB42" s="117">
        <f t="shared" si="0"/>
        <v>0</v>
      </c>
      <c r="AC42" s="117" t="str">
        <f>IF(AB42=1,COUNTIF($AB$3:AB42,1),"")</f>
        <v/>
      </c>
      <c r="AD42" s="117" t="str">
        <f>IFERROR(INDEX($AA$3:$AA$10000,MATCH(ROWS($AC$3:AC42),$AC$3:$AC$10000,0)),"")</f>
        <v/>
      </c>
      <c r="AE42" s="117" t="str">
        <f>+'Packing Material - Cost'!A43</f>
        <v/>
      </c>
    </row>
    <row r="43" spans="27:31">
      <c r="AA43" s="117" t="str">
        <f>+'Ingredient List - Mother Tinctu'!D44</f>
        <v>Arania. Dia.</v>
      </c>
      <c r="AB43" s="117">
        <f t="shared" si="0"/>
        <v>0</v>
      </c>
      <c r="AC43" s="117" t="str">
        <f>IF(AB43=1,COUNTIF($AB$3:AB43,1),"")</f>
        <v/>
      </c>
      <c r="AD43" s="117" t="str">
        <f>IFERROR(INDEX($AA$3:$AA$10000,MATCH(ROWS($AC$3:AC43),$AC$3:$AC$10000,0)),"")</f>
        <v/>
      </c>
      <c r="AE43" s="117" t="str">
        <f>+'Packing Material - Cost'!A44</f>
        <v/>
      </c>
    </row>
    <row r="44" spans="27:31">
      <c r="AA44" s="117" t="str">
        <f>+'Ingredient List - Mother Tinctu'!D45</f>
        <v>Arjuna (Term. Arjuna)</v>
      </c>
      <c r="AB44" s="117">
        <f t="shared" si="0"/>
        <v>0</v>
      </c>
      <c r="AC44" s="117" t="str">
        <f>IF(AB44=1,COUNTIF($AB$3:AB44,1),"")</f>
        <v/>
      </c>
      <c r="AD44" s="117" t="str">
        <f>IFERROR(INDEX($AA$3:$AA$10000,MATCH(ROWS($AC$3:AC44),$AC$3:$AC$10000,0)),"")</f>
        <v/>
      </c>
      <c r="AE44" s="117" t="str">
        <f>+'Packing Material - Cost'!A45</f>
        <v/>
      </c>
    </row>
    <row r="45" spans="27:31">
      <c r="AA45" s="117" t="str">
        <f>+'Ingredient List - Mother Tinctu'!D46</f>
        <v>Arnica Mont.</v>
      </c>
      <c r="AB45" s="117">
        <f t="shared" si="0"/>
        <v>0</v>
      </c>
      <c r="AC45" s="117" t="str">
        <f>IF(AB45=1,COUNTIF($AB$3:AB45,1),"")</f>
        <v/>
      </c>
      <c r="AD45" s="117" t="str">
        <f>IFERROR(INDEX($AA$3:$AA$10000,MATCH(ROWS($AC$3:AC45),$AC$3:$AC$10000,0)),"")</f>
        <v/>
      </c>
      <c r="AE45" s="117" t="str">
        <f>+'Packing Material - Cost'!A46</f>
        <v/>
      </c>
    </row>
    <row r="46" spans="27:31">
      <c r="AA46" s="117" t="str">
        <f>+'Ingredient List - Mother Tinctu'!D47</f>
        <v>Arnica Mont. Radix.</v>
      </c>
      <c r="AB46" s="117">
        <f t="shared" si="0"/>
        <v>0</v>
      </c>
      <c r="AC46" s="117" t="str">
        <f>IF(AB46=1,COUNTIF($AB$3:AB46,1),"")</f>
        <v/>
      </c>
      <c r="AD46" s="117" t="str">
        <f>IFERROR(INDEX($AA$3:$AA$10000,MATCH(ROWS($AC$3:AC46),$AC$3:$AC$10000,0)),"")</f>
        <v/>
      </c>
      <c r="AE46" s="117" t="str">
        <f>+'Packing Material - Cost'!A47</f>
        <v/>
      </c>
    </row>
    <row r="47" spans="27:31">
      <c r="AA47" s="117" t="str">
        <f>+'Ingredient List - Mother Tinctu'!D48</f>
        <v>Artemisia Vulg</v>
      </c>
      <c r="AB47" s="117">
        <f t="shared" si="0"/>
        <v>0</v>
      </c>
      <c r="AC47" s="117" t="str">
        <f>IF(AB47=1,COUNTIF($AB$3:AB47,1),"")</f>
        <v/>
      </c>
      <c r="AD47" s="117" t="str">
        <f>IFERROR(INDEX($AA$3:$AA$10000,MATCH(ROWS($AC$3:AC47),$AC$3:$AC$10000,0)),"")</f>
        <v/>
      </c>
      <c r="AE47" s="117" t="str">
        <f>+'Packing Material - Cost'!A48</f>
        <v/>
      </c>
    </row>
    <row r="48" spans="27:31">
      <c r="AA48" s="117" t="str">
        <f>+'Ingredient List - Mother Tinctu'!D49</f>
        <v>Arum Triph.</v>
      </c>
      <c r="AB48" s="117">
        <f t="shared" si="0"/>
        <v>0</v>
      </c>
      <c r="AC48" s="117" t="str">
        <f>IF(AB48=1,COUNTIF($AB$3:AB48,1),"")</f>
        <v/>
      </c>
      <c r="AD48" s="117" t="str">
        <f>IFERROR(INDEX($AA$3:$AA$10000,MATCH(ROWS($AC$3:AC48),$AC$3:$AC$10000,0)),"")</f>
        <v/>
      </c>
      <c r="AE48" s="117" t="str">
        <f>+'Packing Material - Cost'!A49</f>
        <v/>
      </c>
    </row>
    <row r="49" spans="27:31">
      <c r="AA49" s="117" t="str">
        <f>+'Ingredient List - Mother Tinctu'!D50</f>
        <v>Arundo M.</v>
      </c>
      <c r="AB49" s="117">
        <f t="shared" si="0"/>
        <v>0</v>
      </c>
      <c r="AC49" s="117" t="str">
        <f>IF(AB49=1,COUNTIF($AB$3:AB49,1),"")</f>
        <v/>
      </c>
      <c r="AD49" s="117" t="str">
        <f>IFERROR(INDEX($AA$3:$AA$10000,MATCH(ROWS($AC$3:AC49),$AC$3:$AC$10000,0)),"")</f>
        <v/>
      </c>
      <c r="AE49" s="117" t="str">
        <f>+'Packing Material - Cost'!A50</f>
        <v/>
      </c>
    </row>
    <row r="50" spans="27:31">
      <c r="AA50" s="117" t="str">
        <f>+'Ingredient List - Mother Tinctu'!D51</f>
        <v>Asafoetida</v>
      </c>
      <c r="AB50" s="117">
        <f t="shared" si="0"/>
        <v>0</v>
      </c>
      <c r="AC50" s="117" t="str">
        <f>IF(AB50=1,COUNTIF($AB$3:AB50,1),"")</f>
        <v/>
      </c>
      <c r="AD50" s="117" t="str">
        <f>IFERROR(INDEX($AA$3:$AA$10000,MATCH(ROWS($AC$3:AC50),$AC$3:$AC$10000,0)),"")</f>
        <v/>
      </c>
      <c r="AE50" s="117" t="str">
        <f>+'Packing Material - Cost'!A51</f>
        <v/>
      </c>
    </row>
    <row r="51" spans="27:31">
      <c r="AA51" s="117" t="str">
        <f>+'Ingredient List - Mother Tinctu'!D52</f>
        <v>Asarum Europ.</v>
      </c>
      <c r="AB51" s="117">
        <f t="shared" si="0"/>
        <v>0</v>
      </c>
      <c r="AC51" s="117" t="str">
        <f>IF(AB51=1,COUNTIF($AB$3:AB51,1),"")</f>
        <v/>
      </c>
      <c r="AD51" s="117" t="str">
        <f>IFERROR(INDEX($AA$3:$AA$10000,MATCH(ROWS($AC$3:AC51),$AC$3:$AC$10000,0)),"")</f>
        <v/>
      </c>
      <c r="AE51" s="117" t="str">
        <f>+'Packing Material - Cost'!A52</f>
        <v/>
      </c>
    </row>
    <row r="52" spans="27:31">
      <c r="AA52" s="117" t="str">
        <f>+'Ingredient List - Mother Tinctu'!D53</f>
        <v>Asclep. Tub.</v>
      </c>
      <c r="AB52" s="117">
        <f t="shared" si="0"/>
        <v>0</v>
      </c>
      <c r="AC52" s="117" t="str">
        <f>IF(AB52=1,COUNTIF($AB$3:AB52,1),"")</f>
        <v/>
      </c>
      <c r="AD52" s="117" t="str">
        <f>IFERROR(INDEX($AA$3:$AA$10000,MATCH(ROWS($AC$3:AC52),$AC$3:$AC$10000,0)),"")</f>
        <v/>
      </c>
      <c r="AE52" s="117" t="str">
        <f>+'Packing Material - Cost'!A53</f>
        <v/>
      </c>
    </row>
    <row r="53" spans="27:31">
      <c r="AA53" s="117" t="str">
        <f>+'Ingredient List - Mother Tinctu'!D54</f>
        <v>Ashoka (Jan. Ashoka)</v>
      </c>
      <c r="AB53" s="117">
        <f t="shared" si="0"/>
        <v>0</v>
      </c>
      <c r="AC53" s="117" t="str">
        <f>IF(AB53=1,COUNTIF($AB$3:AB53,1),"")</f>
        <v/>
      </c>
      <c r="AD53" s="117" t="str">
        <f>IFERROR(INDEX($AA$3:$AA$10000,MATCH(ROWS($AC$3:AC53),$AC$3:$AC$10000,0)),"")</f>
        <v/>
      </c>
      <c r="AE53" s="117" t="str">
        <f>+'Packing Material - Cost'!A54</f>
        <v/>
      </c>
    </row>
    <row r="54" spans="27:31">
      <c r="AA54" s="117" t="str">
        <f>+'Ingredient List - Mother Tinctu'!D55</f>
        <v>Ashwagandha (Withana S)</v>
      </c>
      <c r="AB54" s="117">
        <f t="shared" si="0"/>
        <v>0</v>
      </c>
      <c r="AC54" s="117" t="str">
        <f>IF(AB54=1,COUNTIF($AB$3:AB54,1),"")</f>
        <v/>
      </c>
      <c r="AD54" s="117" t="str">
        <f>IFERROR(INDEX($AA$3:$AA$10000,MATCH(ROWS($AC$3:AC54),$AC$3:$AC$10000,0)),"")</f>
        <v/>
      </c>
      <c r="AE54" s="117" t="str">
        <f>+'Packing Material - Cost'!A55</f>
        <v/>
      </c>
    </row>
    <row r="55" spans="27:31">
      <c r="AA55" s="117" t="str">
        <f>+'Ingredient List - Mother Tinctu'!D56</f>
        <v>Asparagus O.</v>
      </c>
      <c r="AB55" s="117">
        <f t="shared" si="0"/>
        <v>0</v>
      </c>
      <c r="AC55" s="117" t="str">
        <f>IF(AB55=1,COUNTIF($AB$3:AB55,1),"")</f>
        <v/>
      </c>
      <c r="AD55" s="117" t="str">
        <f>IFERROR(INDEX($AA$3:$AA$10000,MATCH(ROWS($AC$3:AC55),$AC$3:$AC$10000,0)),"")</f>
        <v/>
      </c>
      <c r="AE55" s="117" t="str">
        <f>+'Packing Material - Cost'!A56</f>
        <v/>
      </c>
    </row>
    <row r="56" spans="27:31">
      <c r="AA56" s="117" t="str">
        <f>+'Ingredient List - Mother Tinctu'!D57</f>
        <v>Aspidosperma</v>
      </c>
      <c r="AB56" s="117">
        <f t="shared" si="0"/>
        <v>0</v>
      </c>
      <c r="AC56" s="117" t="str">
        <f>IF(AB56=1,COUNTIF($AB$3:AB56,1),"")</f>
        <v/>
      </c>
      <c r="AD56" s="117" t="str">
        <f>IFERROR(INDEX($AA$3:$AA$10000,MATCH(ROWS($AC$3:AC56),$AC$3:$AC$10000,0)),"")</f>
        <v/>
      </c>
      <c r="AE56" s="117" t="str">
        <f>+'Packing Material - Cost'!A57</f>
        <v/>
      </c>
    </row>
    <row r="57" spans="27:31">
      <c r="AA57" s="117" t="str">
        <f>+'Ingredient List - Mother Tinctu'!D58</f>
        <v>Asterias Rub.</v>
      </c>
      <c r="AB57" s="117">
        <f t="shared" si="0"/>
        <v>0</v>
      </c>
      <c r="AC57" s="117" t="str">
        <f>IF(AB57=1,COUNTIF($AB$3:AB57,1),"")</f>
        <v/>
      </c>
      <c r="AD57" s="117" t="str">
        <f>IFERROR(INDEX($AA$3:$AA$10000,MATCH(ROWS($AC$3:AC57),$AC$3:$AC$10000,0)),"")</f>
        <v/>
      </c>
      <c r="AE57" s="117" t="str">
        <f>+'Packing Material - Cost'!A58</f>
        <v/>
      </c>
    </row>
    <row r="58" spans="27:31">
      <c r="AA58" s="117" t="str">
        <f>+'Ingredient List - Mother Tinctu'!D59</f>
        <v>Atista Ind.</v>
      </c>
      <c r="AB58" s="117">
        <f t="shared" si="0"/>
        <v>0</v>
      </c>
      <c r="AC58" s="117" t="str">
        <f>IF(AB58=1,COUNTIF($AB$3:AB58,1),"")</f>
        <v/>
      </c>
      <c r="AD58" s="117" t="str">
        <f>IFERROR(INDEX($AA$3:$AA$10000,MATCH(ROWS($AC$3:AC58),$AC$3:$AC$10000,0)),"")</f>
        <v/>
      </c>
      <c r="AE58" s="117" t="str">
        <f>+'Packing Material - Cost'!A59</f>
        <v/>
      </c>
    </row>
    <row r="59" spans="27:31">
      <c r="AA59" s="117" t="str">
        <f>+'Ingredient List - Mother Tinctu'!D60</f>
        <v>Atista Radix</v>
      </c>
      <c r="AB59" s="117">
        <f t="shared" si="0"/>
        <v>0</v>
      </c>
      <c r="AC59" s="117" t="str">
        <f>IF(AB59=1,COUNTIF($AB$3:AB59,1),"")</f>
        <v/>
      </c>
      <c r="AD59" s="117" t="str">
        <f>IFERROR(INDEX($AA$3:$AA$10000,MATCH(ROWS($AC$3:AC59),$AC$3:$AC$10000,0)),"")</f>
        <v/>
      </c>
      <c r="AE59" s="117" t="str">
        <f>+'Packing Material - Cost'!A60</f>
        <v/>
      </c>
    </row>
    <row r="60" spans="27:31">
      <c r="AA60" s="117" t="str">
        <f>+'Ingredient List - Mother Tinctu'!D61</f>
        <v>Avena Sat.</v>
      </c>
      <c r="AB60" s="117">
        <f t="shared" si="0"/>
        <v>0</v>
      </c>
      <c r="AC60" s="117" t="str">
        <f>IF(AB60=1,COUNTIF($AB$3:AB60,1),"")</f>
        <v/>
      </c>
      <c r="AD60" s="117" t="str">
        <f>IFERROR(INDEX($AA$3:$AA$10000,MATCH(ROWS($AC$3:AC60),$AC$3:$AC$10000,0)),"")</f>
        <v/>
      </c>
      <c r="AE60" s="117" t="str">
        <f>+'Packing Material - Cost'!A61</f>
        <v/>
      </c>
    </row>
    <row r="61" spans="27:31">
      <c r="AA61" s="117" t="str">
        <f>+'Ingredient List - Mother Tinctu'!D62</f>
        <v>Azadirachta. Ind</v>
      </c>
      <c r="AB61" s="117">
        <f t="shared" si="0"/>
        <v>0</v>
      </c>
      <c r="AC61" s="117" t="str">
        <f>IF(AB61=1,COUNTIF($AB$3:AB61,1),"")</f>
        <v/>
      </c>
      <c r="AD61" s="117" t="str">
        <f>IFERROR(INDEX($AA$3:$AA$10000,MATCH(ROWS($AC$3:AC61),$AC$3:$AC$10000,0)),"")</f>
        <v/>
      </c>
      <c r="AE61" s="117" t="str">
        <f>+'Packing Material - Cost'!A62</f>
        <v/>
      </c>
    </row>
    <row r="62" spans="27:31">
      <c r="AA62" s="117" t="str">
        <f>+'Ingredient List - Mother Tinctu'!D63</f>
        <v>Bacopa Moneiri (Brahmi)</v>
      </c>
      <c r="AB62" s="117">
        <f t="shared" si="0"/>
        <v>0</v>
      </c>
      <c r="AC62" s="117" t="str">
        <f>IF(AB62=1,COUNTIF($AB$3:AB62,1),"")</f>
        <v/>
      </c>
      <c r="AD62" s="117" t="str">
        <f>IFERROR(INDEX($AA$3:$AA$10000,MATCH(ROWS($AC$3:AC62),$AC$3:$AC$10000,0)),"")</f>
        <v/>
      </c>
      <c r="AE62" s="117" t="str">
        <f>+'Packing Material - Cost'!A63</f>
        <v/>
      </c>
    </row>
    <row r="63" spans="27:31">
      <c r="AA63" s="117" t="str">
        <f>+'Ingredient List - Mother Tinctu'!D64</f>
        <v>Badiaga</v>
      </c>
      <c r="AB63" s="117">
        <f t="shared" si="0"/>
        <v>0</v>
      </c>
      <c r="AC63" s="117" t="str">
        <f>IF(AB63=1,COUNTIF($AB$3:AB63,1),"")</f>
        <v/>
      </c>
      <c r="AD63" s="117" t="str">
        <f>IFERROR(INDEX($AA$3:$AA$10000,MATCH(ROWS($AC$3:AC63),$AC$3:$AC$10000,0)),"")</f>
        <v/>
      </c>
      <c r="AE63" s="117" t="str">
        <f>+'Packing Material - Cost'!A64</f>
        <v/>
      </c>
    </row>
    <row r="64" spans="27:31">
      <c r="AA64" s="117" t="str">
        <f>+'Ingredient List - Mother Tinctu'!D65</f>
        <v>Balsamum P</v>
      </c>
      <c r="AB64" s="117">
        <f t="shared" si="0"/>
        <v>0</v>
      </c>
      <c r="AC64" s="117" t="str">
        <f>IF(AB64=1,COUNTIF($AB$3:AB64,1),"")</f>
        <v/>
      </c>
      <c r="AD64" s="117" t="str">
        <f>IFERROR(INDEX($AA$3:$AA$10000,MATCH(ROWS($AC$3:AC64),$AC$3:$AC$10000,0)),"")</f>
        <v/>
      </c>
      <c r="AE64" s="117" t="str">
        <f>+'Packing Material - Cost'!A65</f>
        <v/>
      </c>
    </row>
    <row r="65" spans="27:31">
      <c r="AA65" s="117" t="str">
        <f>+'Ingredient List - Mother Tinctu'!D66</f>
        <v>Baptisia Tinct.</v>
      </c>
      <c r="AB65" s="117">
        <f t="shared" si="0"/>
        <v>0</v>
      </c>
      <c r="AC65" s="117" t="str">
        <f>IF(AB65=1,COUNTIF($AB$3:AB65,1),"")</f>
        <v/>
      </c>
      <c r="AD65" s="117" t="str">
        <f>IFERROR(INDEX($AA$3:$AA$10000,MATCH(ROWS($AC$3:AC65),$AC$3:$AC$10000,0)),"")</f>
        <v/>
      </c>
      <c r="AE65" s="117" t="str">
        <f>+'Packing Material - Cost'!A66</f>
        <v/>
      </c>
    </row>
    <row r="66" spans="27:31">
      <c r="AA66" s="117" t="str">
        <f>+'Ingredient List - Mother Tinctu'!D67</f>
        <v>Belladonna</v>
      </c>
      <c r="AB66" s="117">
        <f t="shared" si="0"/>
        <v>1</v>
      </c>
      <c r="AC66" s="117">
        <f>IF(AB66=1,COUNTIF($AB$3:AB66,1),"")</f>
        <v>1</v>
      </c>
      <c r="AD66" s="117" t="str">
        <f>IFERROR(INDEX($AA$3:$AA$10000,MATCH(ROWS($AC$3:AC66),$AC$3:$AC$10000,0)),"")</f>
        <v/>
      </c>
      <c r="AE66" s="117" t="str">
        <f>+'Packing Material - Cost'!A67</f>
        <v/>
      </c>
    </row>
    <row r="67" spans="27:31">
      <c r="AA67" s="117" t="str">
        <f>+'Ingredient List - Mother Tinctu'!D68</f>
        <v>Bellis Per.</v>
      </c>
      <c r="AB67" s="117">
        <f t="shared" si="0"/>
        <v>0</v>
      </c>
      <c r="AC67" s="117" t="str">
        <f>IF(AB67=1,COUNTIF($AB$3:AB67,1),"")</f>
        <v/>
      </c>
      <c r="AD67" s="117" t="str">
        <f>IFERROR(INDEX($AA$3:$AA$10000,MATCH(ROWS($AC$3:AC67),$AC$3:$AC$10000,0)),"")</f>
        <v/>
      </c>
      <c r="AE67" s="117" t="str">
        <f>+'Packing Material - Cost'!A68</f>
        <v/>
      </c>
    </row>
    <row r="68" spans="27:31">
      <c r="AA68" s="117" t="str">
        <f>+'Ingredient List - Mother Tinctu'!D69</f>
        <v>Berb Vulg.</v>
      </c>
      <c r="AB68" s="117">
        <f t="shared" ref="AB68:AB131" si="4">--ISNUMBER(IFERROR(SEARCH($D$3,AA68,1),""))</f>
        <v>0</v>
      </c>
      <c r="AC68" s="117" t="str">
        <f>IF(AB68=1,COUNTIF($AB$3:AB68,1),"")</f>
        <v/>
      </c>
      <c r="AD68" s="117" t="str">
        <f>IFERROR(INDEX($AA$3:$AA$10000,MATCH(ROWS($AC$3:AC68),$AC$3:$AC$10000,0)),"")</f>
        <v/>
      </c>
      <c r="AE68" s="117" t="str">
        <f>+'Packing Material - Cost'!A69</f>
        <v/>
      </c>
    </row>
    <row r="69" spans="27:31">
      <c r="AA69" s="117" t="str">
        <f>+'Ingredient List - Mother Tinctu'!D70</f>
        <v>Berb-Aqui.</v>
      </c>
      <c r="AB69" s="117">
        <f t="shared" si="4"/>
        <v>0</v>
      </c>
      <c r="AC69" s="117" t="str">
        <f>IF(AB69=1,COUNTIF($AB$3:AB69,1),"")</f>
        <v/>
      </c>
      <c r="AD69" s="117" t="str">
        <f>IFERROR(INDEX($AA$3:$AA$10000,MATCH(ROWS($AC$3:AC69),$AC$3:$AC$10000,0)),"")</f>
        <v/>
      </c>
      <c r="AE69" s="117" t="str">
        <f>+'Packing Material - Cost'!A70</f>
        <v/>
      </c>
    </row>
    <row r="70" spans="27:31">
      <c r="AA70" s="117" t="str">
        <f>+'Ingredient List - Mother Tinctu'!D71</f>
        <v>Blatta Orient.</v>
      </c>
      <c r="AB70" s="117">
        <f t="shared" si="4"/>
        <v>0</v>
      </c>
      <c r="AC70" s="117" t="str">
        <f>IF(AB70=1,COUNTIF($AB$3:AB70,1),"")</f>
        <v/>
      </c>
      <c r="AD70" s="117" t="str">
        <f>IFERROR(INDEX($AA$3:$AA$10000,MATCH(ROWS($AC$3:AC70),$AC$3:$AC$10000,0)),"")</f>
        <v/>
      </c>
      <c r="AE70" s="117" t="str">
        <f>+'Packing Material - Cost'!A71</f>
        <v/>
      </c>
    </row>
    <row r="71" spans="27:31">
      <c r="AA71" s="117" t="str">
        <f>+'Ingredient List - Mother Tinctu'!D72</f>
        <v>Blumea Odo.</v>
      </c>
      <c r="AB71" s="117">
        <f t="shared" si="4"/>
        <v>0</v>
      </c>
      <c r="AC71" s="117" t="str">
        <f>IF(AB71=1,COUNTIF($AB$3:AB71,1),"")</f>
        <v/>
      </c>
      <c r="AD71" s="117" t="str">
        <f>IFERROR(INDEX($AA$3:$AA$10000,MATCH(ROWS($AC$3:AC71),$AC$3:$AC$10000,0)),"")</f>
        <v/>
      </c>
      <c r="AE71" s="117" t="str">
        <f>+'Packing Material - Cost'!A72</f>
        <v/>
      </c>
    </row>
    <row r="72" spans="27:31">
      <c r="AA72" s="117" t="str">
        <f>+'Ingredient List - Mother Tinctu'!D73</f>
        <v>Boerhaavia. Dif. (Punarnava)</v>
      </c>
      <c r="AB72" s="117">
        <f t="shared" si="4"/>
        <v>0</v>
      </c>
      <c r="AC72" s="117" t="str">
        <f>IF(AB72=1,COUNTIF($AB$3:AB72,1),"")</f>
        <v/>
      </c>
      <c r="AD72" s="117" t="str">
        <f>IFERROR(INDEX($AA$3:$AA$10000,MATCH(ROWS($AC$3:AC72),$AC$3:$AC$10000,0)),"")</f>
        <v/>
      </c>
      <c r="AE72" s="117" t="str">
        <f>+'Packing Material - Cost'!A73</f>
        <v/>
      </c>
    </row>
    <row r="73" spans="27:31">
      <c r="AA73" s="117" t="str">
        <f>+'Ingredient List - Mother Tinctu'!D74</f>
        <v>Bryonia Alb</v>
      </c>
      <c r="AB73" s="117">
        <f t="shared" si="4"/>
        <v>0</v>
      </c>
      <c r="AC73" s="117" t="str">
        <f>IF(AB73=1,COUNTIF($AB$3:AB73,1),"")</f>
        <v/>
      </c>
      <c r="AD73" s="117" t="str">
        <f>IFERROR(INDEX($AA$3:$AA$10000,MATCH(ROWS($AC$3:AC73),$AC$3:$AC$10000,0)),"")</f>
        <v/>
      </c>
      <c r="AE73" s="117" t="str">
        <f>+'Packing Material - Cost'!A74</f>
        <v/>
      </c>
    </row>
    <row r="74" spans="27:31">
      <c r="AA74" s="117" t="str">
        <f>+'Ingredient List - Mother Tinctu'!D75</f>
        <v>Cactus Grand.</v>
      </c>
      <c r="AB74" s="117">
        <f t="shared" si="4"/>
        <v>0</v>
      </c>
      <c r="AC74" s="117" t="str">
        <f>IF(AB74=1,COUNTIF($AB$3:AB74,1),"")</f>
        <v/>
      </c>
      <c r="AD74" s="117" t="str">
        <f>IFERROR(INDEX($AA$3:$AA$10000,MATCH(ROWS($AC$3:AC74),$AC$3:$AC$10000,0)),"")</f>
        <v/>
      </c>
      <c r="AE74" s="117" t="str">
        <f>+'Packing Material - Cost'!A75</f>
        <v/>
      </c>
    </row>
    <row r="75" spans="27:31">
      <c r="AA75" s="117" t="str">
        <f>+'Ingredient List - Mother Tinctu'!D76</f>
        <v>Caesalpinia</v>
      </c>
      <c r="AB75" s="117">
        <f t="shared" si="4"/>
        <v>0</v>
      </c>
      <c r="AC75" s="117" t="str">
        <f>IF(AB75=1,COUNTIF($AB$3:AB75,1),"")</f>
        <v/>
      </c>
      <c r="AD75" s="117" t="str">
        <f>IFERROR(INDEX($AA$3:$AA$10000,MATCH(ROWS($AC$3:AC75),$AC$3:$AC$10000,0)),"")</f>
        <v/>
      </c>
      <c r="AE75" s="117" t="str">
        <f>+'Packing Material - Cost'!A76</f>
        <v/>
      </c>
    </row>
    <row r="76" spans="27:31">
      <c r="AA76" s="117" t="str">
        <f>+'Ingredient List - Mother Tinctu'!D77</f>
        <v>Calendula Off.</v>
      </c>
      <c r="AB76" s="117">
        <f t="shared" si="4"/>
        <v>0</v>
      </c>
      <c r="AC76" s="117" t="str">
        <f>IF(AB76=1,COUNTIF($AB$3:AB76,1),"")</f>
        <v/>
      </c>
      <c r="AD76" s="117" t="str">
        <f>IFERROR(INDEX($AA$3:$AA$10000,MATCH(ROWS($AC$3:AC76),$AC$3:$AC$10000,0)),"")</f>
        <v/>
      </c>
      <c r="AE76" s="117" t="str">
        <f>+'Packing Material - Cost'!A77</f>
        <v/>
      </c>
    </row>
    <row r="77" spans="27:31">
      <c r="AA77" s="117" t="str">
        <f>+'Ingredient List - Mother Tinctu'!D78</f>
        <v>Calotropis Gig.</v>
      </c>
      <c r="AB77" s="117">
        <f t="shared" si="4"/>
        <v>0</v>
      </c>
      <c r="AC77" s="117" t="str">
        <f>IF(AB77=1,COUNTIF($AB$3:AB77,1),"")</f>
        <v/>
      </c>
      <c r="AD77" s="117" t="str">
        <f>IFERROR(INDEX($AA$3:$AA$10000,MATCH(ROWS($AC$3:AC77),$AC$3:$AC$10000,0)),"")</f>
        <v/>
      </c>
      <c r="AE77" s="117" t="str">
        <f>+'Packing Material - Cost'!A78</f>
        <v/>
      </c>
    </row>
    <row r="78" spans="27:31">
      <c r="AA78" s="117" t="str">
        <f>+'Ingredient List - Mother Tinctu'!D79</f>
        <v>Camphora Off.</v>
      </c>
      <c r="AB78" s="117">
        <f t="shared" si="4"/>
        <v>0</v>
      </c>
      <c r="AC78" s="117" t="str">
        <f>IF(AB78=1,COUNTIF($AB$3:AB78,1),"")</f>
        <v/>
      </c>
      <c r="AD78" s="117" t="str">
        <f>IFERROR(INDEX($AA$3:$AA$10000,MATCH(ROWS($AC$3:AC78),$AC$3:$AC$10000,0)),"")</f>
        <v/>
      </c>
      <c r="AE78" s="117" t="str">
        <f>+'Packing Material - Cost'!A79</f>
        <v/>
      </c>
    </row>
    <row r="79" spans="27:31">
      <c r="AA79" s="117" t="str">
        <f>+'Ingredient List - Mother Tinctu'!D80</f>
        <v>Cantharis</v>
      </c>
      <c r="AB79" s="117">
        <f t="shared" si="4"/>
        <v>0</v>
      </c>
      <c r="AC79" s="117" t="str">
        <f>IF(AB79=1,COUNTIF($AB$3:AB79,1),"")</f>
        <v/>
      </c>
      <c r="AD79" s="117" t="str">
        <f>IFERROR(INDEX($AA$3:$AA$10000,MATCH(ROWS($AC$3:AC79),$AC$3:$AC$10000,0)),"")</f>
        <v/>
      </c>
      <c r="AE79" s="117" t="str">
        <f>+'Packing Material - Cost'!A80</f>
        <v/>
      </c>
    </row>
    <row r="80" spans="27:31">
      <c r="AA80" s="117" t="str">
        <f>+'Ingredient List - Mother Tinctu'!D81</f>
        <v>Capsicum</v>
      </c>
      <c r="AB80" s="117">
        <f t="shared" si="4"/>
        <v>0</v>
      </c>
      <c r="AC80" s="117" t="str">
        <f>IF(AB80=1,COUNTIF($AB$3:AB80,1),"")</f>
        <v/>
      </c>
      <c r="AD80" s="117" t="str">
        <f>IFERROR(INDEX($AA$3:$AA$10000,MATCH(ROWS($AC$3:AC80),$AC$3:$AC$10000,0)),"")</f>
        <v/>
      </c>
      <c r="AE80" s="117" t="str">
        <f>+'Packing Material - Cost'!A81</f>
        <v/>
      </c>
    </row>
    <row r="81" spans="27:31">
      <c r="AA81" s="117" t="str">
        <f>+'Ingredient List - Mother Tinctu'!D82</f>
        <v>Carduus Mar.</v>
      </c>
      <c r="AB81" s="117">
        <f t="shared" si="4"/>
        <v>0</v>
      </c>
      <c r="AC81" s="117" t="str">
        <f>IF(AB81=1,COUNTIF($AB$3:AB81,1),"")</f>
        <v/>
      </c>
      <c r="AD81" s="117" t="str">
        <f>IFERROR(INDEX($AA$3:$AA$10000,MATCH(ROWS($AC$3:AC81),$AC$3:$AC$10000,0)),"")</f>
        <v/>
      </c>
      <c r="AE81" s="117" t="str">
        <f>+'Packing Material - Cost'!A82</f>
        <v/>
      </c>
    </row>
    <row r="82" spans="27:31">
      <c r="AA82" s="117" t="str">
        <f>+'Ingredient List - Mother Tinctu'!D83</f>
        <v>Carica Papaya</v>
      </c>
      <c r="AB82" s="117">
        <f t="shared" si="4"/>
        <v>0</v>
      </c>
      <c r="AC82" s="117" t="str">
        <f>IF(AB82=1,COUNTIF($AB$3:AB82,1),"")</f>
        <v/>
      </c>
      <c r="AD82" s="117" t="str">
        <f>IFERROR(INDEX($AA$3:$AA$10000,MATCH(ROWS($AC$3:AC82),$AC$3:$AC$10000,0)),"")</f>
        <v/>
      </c>
      <c r="AE82" s="117" t="str">
        <f>+'Packing Material - Cost'!A83</f>
        <v/>
      </c>
    </row>
    <row r="83" spans="27:31">
      <c r="AA83" s="117" t="str">
        <f>+'Ingredient List - Mother Tinctu'!D84</f>
        <v>Cascarilla</v>
      </c>
      <c r="AB83" s="117">
        <f t="shared" si="4"/>
        <v>0</v>
      </c>
      <c r="AC83" s="117" t="str">
        <f>IF(AB83=1,COUNTIF($AB$3:AB83,1),"")</f>
        <v/>
      </c>
      <c r="AD83" s="117" t="str">
        <f>IFERROR(INDEX($AA$3:$AA$10000,MATCH(ROWS($AC$3:AC83),$AC$3:$AC$10000,0)),"")</f>
        <v/>
      </c>
      <c r="AE83" s="117" t="str">
        <f>+'Packing Material - Cost'!A84</f>
        <v/>
      </c>
    </row>
    <row r="84" spans="27:31">
      <c r="AA84" s="117" t="str">
        <f>+'Ingredient List - Mother Tinctu'!D85</f>
        <v>Cassia Soph.</v>
      </c>
      <c r="AB84" s="117">
        <f t="shared" si="4"/>
        <v>0</v>
      </c>
      <c r="AC84" s="117" t="str">
        <f>IF(AB84=1,COUNTIF($AB$3:AB84,1),"")</f>
        <v/>
      </c>
      <c r="AD84" s="117" t="str">
        <f>IFERROR(INDEX($AA$3:$AA$10000,MATCH(ROWS($AC$3:AC84),$AC$3:$AC$10000,0)),"")</f>
        <v/>
      </c>
      <c r="AE84" s="117" t="str">
        <f>+'Packing Material - Cost'!A85</f>
        <v/>
      </c>
    </row>
    <row r="85" spans="27:31">
      <c r="AA85" s="117" t="str">
        <f>+'Ingredient List - Mother Tinctu'!D86</f>
        <v>Castella Tex (Chaparro A)</v>
      </c>
      <c r="AB85" s="117">
        <f t="shared" si="4"/>
        <v>0</v>
      </c>
      <c r="AC85" s="117" t="str">
        <f>IF(AB85=1,COUNTIF($AB$3:AB85,1),"")</f>
        <v/>
      </c>
      <c r="AD85" s="117" t="str">
        <f>IFERROR(INDEX($AA$3:$AA$10000,MATCH(ROWS($AC$3:AC85),$AC$3:$AC$10000,0)),"")</f>
        <v/>
      </c>
      <c r="AE85" s="117" t="str">
        <f>+'Packing Material - Cost'!A86</f>
        <v/>
      </c>
    </row>
    <row r="86" spans="27:31">
      <c r="AA86" s="117" t="str">
        <f>+'Ingredient List - Mother Tinctu'!D87</f>
        <v>Catharanthus Roseus (Vinca Ros)</v>
      </c>
      <c r="AB86" s="117">
        <f t="shared" si="4"/>
        <v>0</v>
      </c>
      <c r="AC86" s="117" t="str">
        <f>IF(AB86=1,COUNTIF($AB$3:AB86,1),"")</f>
        <v/>
      </c>
      <c r="AD86" s="117" t="str">
        <f>IFERROR(INDEX($AA$3:$AA$10000,MATCH(ROWS($AC$3:AC86),$AC$3:$AC$10000,0)),"")</f>
        <v/>
      </c>
      <c r="AE86" s="117" t="str">
        <f>+'Packing Material - Cost'!A87</f>
        <v/>
      </c>
    </row>
    <row r="87" spans="27:31">
      <c r="AA87" s="117" t="str">
        <f>+'Ingredient List - Mother Tinctu'!D88</f>
        <v>Caulophylum</v>
      </c>
      <c r="AB87" s="117">
        <f t="shared" si="4"/>
        <v>0</v>
      </c>
      <c r="AC87" s="117" t="str">
        <f>IF(AB87=1,COUNTIF($AB$3:AB87,1),"")</f>
        <v/>
      </c>
      <c r="AD87" s="117" t="str">
        <f>IFERROR(INDEX($AA$3:$AA$10000,MATCH(ROWS($AC$3:AC87),$AC$3:$AC$10000,0)),"")</f>
        <v/>
      </c>
      <c r="AE87" s="117" t="str">
        <f>+'Packing Material - Cost'!A88</f>
        <v/>
      </c>
    </row>
    <row r="88" spans="27:31">
      <c r="AA88" s="117" t="str">
        <f>+'Ingredient List - Mother Tinctu'!D89</f>
        <v>Ceanothus Amer.</v>
      </c>
      <c r="AB88" s="117">
        <f t="shared" si="4"/>
        <v>0</v>
      </c>
      <c r="AC88" s="117" t="str">
        <f>IF(AB88=1,COUNTIF($AB$3:AB88,1),"")</f>
        <v/>
      </c>
      <c r="AD88" s="117" t="str">
        <f>IFERROR(INDEX($AA$3:$AA$10000,MATCH(ROWS($AC$3:AC88),$AC$3:$AC$10000,0)),"")</f>
        <v/>
      </c>
      <c r="AE88" s="117" t="str">
        <f>+'Packing Material - Cost'!A89</f>
        <v/>
      </c>
    </row>
    <row r="89" spans="27:31">
      <c r="AA89" s="117" t="str">
        <f>+'Ingredient List - Mother Tinctu'!D90</f>
        <v>Cedron.</v>
      </c>
      <c r="AB89" s="117">
        <f t="shared" si="4"/>
        <v>0</v>
      </c>
      <c r="AC89" s="117" t="str">
        <f>IF(AB89=1,COUNTIF($AB$3:AB89,1),"")</f>
        <v/>
      </c>
      <c r="AD89" s="117" t="str">
        <f>IFERROR(INDEX($AA$3:$AA$10000,MATCH(ROWS($AC$3:AC89),$AC$3:$AC$10000,0)),"")</f>
        <v/>
      </c>
      <c r="AE89" s="117" t="str">
        <f>+'Packing Material - Cost'!A90</f>
        <v/>
      </c>
    </row>
    <row r="90" spans="27:31">
      <c r="AA90" s="117" t="str">
        <f>+'Ingredient List - Mother Tinctu'!D91</f>
        <v>Cephalandra Ind.</v>
      </c>
      <c r="AB90" s="117">
        <f t="shared" si="4"/>
        <v>0</v>
      </c>
      <c r="AC90" s="117" t="str">
        <f>IF(AB90=1,COUNTIF($AB$3:AB90,1),"")</f>
        <v/>
      </c>
      <c r="AD90" s="117" t="str">
        <f>IFERROR(INDEX($AA$3:$AA$10000,MATCH(ROWS($AC$3:AC90),$AC$3:$AC$10000,0)),"")</f>
        <v/>
      </c>
      <c r="AE90" s="117" t="str">
        <f>+'Packing Material - Cost'!A91</f>
        <v/>
      </c>
    </row>
    <row r="91" spans="27:31">
      <c r="AA91" s="117" t="str">
        <f>+'Ingredient List - Mother Tinctu'!D92</f>
        <v>Chamomilla</v>
      </c>
      <c r="AB91" s="117">
        <f t="shared" si="4"/>
        <v>0</v>
      </c>
      <c r="AC91" s="117" t="str">
        <f>IF(AB91=1,COUNTIF($AB$3:AB91,1),"")</f>
        <v/>
      </c>
      <c r="AD91" s="117" t="str">
        <f>IFERROR(INDEX($AA$3:$AA$10000,MATCH(ROWS($AC$3:AC91),$AC$3:$AC$10000,0)),"")</f>
        <v/>
      </c>
      <c r="AE91" s="117" t="str">
        <f>+'Packing Material - Cost'!A92</f>
        <v/>
      </c>
    </row>
    <row r="92" spans="27:31">
      <c r="AA92" s="117" t="str">
        <f>+'Ingredient List - Mother Tinctu'!D93</f>
        <v>Chaparro Amar (Castella T)</v>
      </c>
      <c r="AB92" s="117">
        <f t="shared" si="4"/>
        <v>0</v>
      </c>
      <c r="AC92" s="117" t="str">
        <f>IF(AB92=1,COUNTIF($AB$3:AB92,1),"")</f>
        <v/>
      </c>
      <c r="AD92" s="117" t="str">
        <f>IFERROR(INDEX($AA$3:$AA$10000,MATCH(ROWS($AC$3:AC92),$AC$3:$AC$10000,0)),"")</f>
        <v/>
      </c>
      <c r="AE92" s="117" t="str">
        <f>+'Packing Material - Cost'!A93</f>
        <v/>
      </c>
    </row>
    <row r="93" spans="27:31">
      <c r="AA93" s="117" t="str">
        <f>+'Ingredient List - Mother Tinctu'!D94</f>
        <v>Chelidonium Maj</v>
      </c>
      <c r="AB93" s="117">
        <f t="shared" si="4"/>
        <v>0</v>
      </c>
      <c r="AC93" s="117" t="str">
        <f>IF(AB93=1,COUNTIF($AB$3:AB93,1),"")</f>
        <v/>
      </c>
      <c r="AD93" s="117" t="str">
        <f>IFERROR(INDEX($AA$3:$AA$10000,MATCH(ROWS($AC$3:AC93),$AC$3:$AC$10000,0)),"")</f>
        <v/>
      </c>
      <c r="AE93" s="117" t="str">
        <f>+'Packing Material - Cost'!A94</f>
        <v/>
      </c>
    </row>
    <row r="94" spans="27:31">
      <c r="AA94" s="117" t="str">
        <f>+'Ingredient List - Mother Tinctu'!D95</f>
        <v>Chelone Glab.</v>
      </c>
      <c r="AB94" s="117">
        <f t="shared" si="4"/>
        <v>0</v>
      </c>
      <c r="AC94" s="117" t="str">
        <f>IF(AB94=1,COUNTIF($AB$3:AB94,1),"")</f>
        <v/>
      </c>
      <c r="AD94" s="117" t="str">
        <f>IFERROR(INDEX($AA$3:$AA$10000,MATCH(ROWS($AC$3:AC94),$AC$3:$AC$10000,0)),"")</f>
        <v/>
      </c>
      <c r="AE94" s="117" t="str">
        <f>+'Packing Material - Cost'!A95</f>
        <v/>
      </c>
    </row>
    <row r="95" spans="27:31">
      <c r="AA95" s="117" t="str">
        <f>+'Ingredient List - Mother Tinctu'!D96</f>
        <v>Chenopod Anth</v>
      </c>
      <c r="AB95" s="117">
        <f t="shared" si="4"/>
        <v>0</v>
      </c>
      <c r="AC95" s="117" t="str">
        <f>IF(AB95=1,COUNTIF($AB$3:AB95,1),"")</f>
        <v/>
      </c>
      <c r="AD95" s="117" t="str">
        <f>IFERROR(INDEX($AA$3:$AA$10000,MATCH(ROWS($AC$3:AC95),$AC$3:$AC$10000,0)),"")</f>
        <v/>
      </c>
      <c r="AE95" s="117" t="str">
        <f>+'Packing Material - Cost'!A96</f>
        <v/>
      </c>
    </row>
    <row r="96" spans="27:31">
      <c r="AA96" s="117" t="str">
        <f>+'Ingredient List - Mother Tinctu'!D97</f>
        <v>Chimaphila Umb.</v>
      </c>
      <c r="AB96" s="117">
        <f t="shared" si="4"/>
        <v>0</v>
      </c>
      <c r="AC96" s="117" t="str">
        <f>IF(AB96=1,COUNTIF($AB$3:AB96,1),"")</f>
        <v/>
      </c>
      <c r="AD96" s="117" t="str">
        <f>IFERROR(INDEX($AA$3:$AA$10000,MATCH(ROWS($AC$3:AC96),$AC$3:$AC$10000,0)),"")</f>
        <v/>
      </c>
      <c r="AE96" s="117" t="str">
        <f>+'Packing Material - Cost'!A97</f>
        <v/>
      </c>
    </row>
    <row r="97" spans="27:31">
      <c r="AA97" s="117" t="str">
        <f>+'Ingredient List - Mother Tinctu'!D98</f>
        <v>China Off. (Cinchona Off.)</v>
      </c>
      <c r="AB97" s="117">
        <f t="shared" si="4"/>
        <v>0</v>
      </c>
      <c r="AC97" s="117" t="str">
        <f>IF(AB97=1,COUNTIF($AB$3:AB97,1),"")</f>
        <v/>
      </c>
      <c r="AD97" s="117" t="str">
        <f>IFERROR(INDEX($AA$3:$AA$10000,MATCH(ROWS($AC$3:AC97),$AC$3:$AC$10000,0)),"")</f>
        <v/>
      </c>
      <c r="AE97" s="117" t="str">
        <f>+'Packing Material - Cost'!A98</f>
        <v/>
      </c>
    </row>
    <row r="98" spans="27:31">
      <c r="AA98" s="117" t="str">
        <f>+'Ingredient List - Mother Tinctu'!D99</f>
        <v>Chionanthus Virg.</v>
      </c>
      <c r="AB98" s="117">
        <f t="shared" si="4"/>
        <v>0</v>
      </c>
      <c r="AC98" s="117" t="str">
        <f>IF(AB98=1,COUNTIF($AB$3:AB98,1),"")</f>
        <v/>
      </c>
      <c r="AD98" s="117" t="str">
        <f>IFERROR(INDEX($AA$3:$AA$10000,MATCH(ROWS($AC$3:AC98),$AC$3:$AC$10000,0)),"")</f>
        <v/>
      </c>
      <c r="AE98" s="117" t="str">
        <f>+'Packing Material - Cost'!A99</f>
        <v/>
      </c>
    </row>
    <row r="99" spans="27:31">
      <c r="AA99" s="117" t="str">
        <f>+'Ingredient List - Mother Tinctu'!D100</f>
        <v>Cicuta Virosa.</v>
      </c>
      <c r="AB99" s="117">
        <f t="shared" si="4"/>
        <v>0</v>
      </c>
      <c r="AC99" s="117" t="str">
        <f>IF(AB99=1,COUNTIF($AB$3:AB99,1),"")</f>
        <v/>
      </c>
      <c r="AD99" s="117" t="str">
        <f>IFERROR(INDEX($AA$3:$AA$10000,MATCH(ROWS($AC$3:AC99),$AC$3:$AC$10000,0)),"")</f>
        <v/>
      </c>
      <c r="AE99" s="117" t="str">
        <f>+'Packing Material - Cost'!A100</f>
        <v/>
      </c>
    </row>
    <row r="100" spans="27:31">
      <c r="AA100" s="117" t="str">
        <f>+'Ingredient List - Mother Tinctu'!D101</f>
        <v>Cimicifugua (Actea Rac)</v>
      </c>
      <c r="AB100" s="117">
        <f t="shared" si="4"/>
        <v>0</v>
      </c>
      <c r="AC100" s="117" t="str">
        <f>IF(AB100=1,COUNTIF($AB$3:AB100,1),"")</f>
        <v/>
      </c>
      <c r="AD100" s="117" t="str">
        <f>IFERROR(INDEX($AA$3:$AA$10000,MATCH(ROWS($AC$3:AC100),$AC$3:$AC$10000,0)),"")</f>
        <v/>
      </c>
      <c r="AE100" s="117" t="str">
        <f>+'Packing Material - Cost'!A101</f>
        <v/>
      </c>
    </row>
    <row r="101" spans="27:31">
      <c r="AA101" s="117" t="str">
        <f>+'Ingredient List - Mother Tinctu'!D102</f>
        <v>Cina</v>
      </c>
      <c r="AB101" s="117">
        <f t="shared" si="4"/>
        <v>0</v>
      </c>
      <c r="AC101" s="117" t="str">
        <f>IF(AB101=1,COUNTIF($AB$3:AB101,1),"")</f>
        <v/>
      </c>
      <c r="AD101" s="117" t="str">
        <f>IFERROR(INDEX($AA$3:$AA$10000,MATCH(ROWS($AC$3:AC101),$AC$3:$AC$10000,0)),"")</f>
        <v/>
      </c>
      <c r="AE101" s="117" t="str">
        <f>+'Packing Material - Cost'!A102</f>
        <v/>
      </c>
    </row>
    <row r="102" spans="27:31">
      <c r="AA102" s="117" t="str">
        <f>+'Ingredient List - Mother Tinctu'!D103</f>
        <v>Cineraria Mar</v>
      </c>
      <c r="AB102" s="117">
        <f t="shared" si="4"/>
        <v>0</v>
      </c>
      <c r="AC102" s="117" t="str">
        <f>IF(AB102=1,COUNTIF($AB$3:AB102,1),"")</f>
        <v/>
      </c>
      <c r="AD102" s="117" t="str">
        <f>IFERROR(INDEX($AA$3:$AA$10000,MATCH(ROWS($AC$3:AC102),$AC$3:$AC$10000,0)),"")</f>
        <v/>
      </c>
      <c r="AE102" s="117" t="str">
        <f>+'Packing Material - Cost'!A103</f>
        <v/>
      </c>
    </row>
    <row r="103" spans="27:31">
      <c r="AA103" s="117" t="str">
        <f>+'Ingredient List - Mother Tinctu'!D104</f>
        <v>Cocculus Ind.</v>
      </c>
      <c r="AB103" s="117">
        <f t="shared" si="4"/>
        <v>0</v>
      </c>
      <c r="AC103" s="117" t="str">
        <f>IF(AB103=1,COUNTIF($AB$3:AB103,1),"")</f>
        <v/>
      </c>
      <c r="AD103" s="117" t="str">
        <f>IFERROR(INDEX($AA$3:$AA$10000,MATCH(ROWS($AC$3:AC103),$AC$3:$AC$10000,0)),"")</f>
        <v/>
      </c>
      <c r="AE103" s="117" t="str">
        <f>+'Packing Material - Cost'!A104</f>
        <v/>
      </c>
    </row>
    <row r="104" spans="27:31">
      <c r="AA104" s="117" t="str">
        <f>+'Ingredient List - Mother Tinctu'!D105</f>
        <v>Coccus Cacti.</v>
      </c>
      <c r="AB104" s="117">
        <f t="shared" si="4"/>
        <v>0</v>
      </c>
      <c r="AC104" s="117" t="str">
        <f>IF(AB104=1,COUNTIF($AB$3:AB104,1),"")</f>
        <v/>
      </c>
      <c r="AD104" s="117" t="str">
        <f>IFERROR(INDEX($AA$3:$AA$10000,MATCH(ROWS($AC$3:AC104),$AC$3:$AC$10000,0)),"")</f>
        <v/>
      </c>
      <c r="AE104" s="117" t="str">
        <f>+'Packing Material - Cost'!A105</f>
        <v/>
      </c>
    </row>
    <row r="105" spans="27:31">
      <c r="AA105" s="117" t="str">
        <f>+'Ingredient List - Mother Tinctu'!D106</f>
        <v>Coffea Crud.</v>
      </c>
      <c r="AB105" s="117">
        <f t="shared" si="4"/>
        <v>0</v>
      </c>
      <c r="AC105" s="117" t="str">
        <f>IF(AB105=1,COUNTIF($AB$3:AB105,1),"")</f>
        <v/>
      </c>
      <c r="AD105" s="117" t="str">
        <f>IFERROR(INDEX($AA$3:$AA$10000,MATCH(ROWS($AC$3:AC105),$AC$3:$AC$10000,0)),"")</f>
        <v/>
      </c>
      <c r="AE105" s="117" t="str">
        <f>+'Packing Material - Cost'!A106</f>
        <v/>
      </c>
    </row>
    <row r="106" spans="27:31">
      <c r="AA106" s="117" t="str">
        <f>+'Ingredient List - Mother Tinctu'!D107</f>
        <v>Colchicum</v>
      </c>
      <c r="AB106" s="117">
        <f t="shared" si="4"/>
        <v>0</v>
      </c>
      <c r="AC106" s="117" t="str">
        <f>IF(AB106=1,COUNTIF($AB$3:AB106,1),"")</f>
        <v/>
      </c>
      <c r="AD106" s="117" t="str">
        <f>IFERROR(INDEX($AA$3:$AA$10000,MATCH(ROWS($AC$3:AC106),$AC$3:$AC$10000,0)),"")</f>
        <v/>
      </c>
      <c r="AE106" s="117" t="str">
        <f>+'Packing Material - Cost'!A107</f>
        <v/>
      </c>
    </row>
    <row r="107" spans="27:31">
      <c r="AA107" s="117" t="str">
        <f>+'Ingredient List - Mother Tinctu'!D108</f>
        <v>Collinsonia</v>
      </c>
      <c r="AB107" s="117">
        <f t="shared" si="4"/>
        <v>0</v>
      </c>
      <c r="AC107" s="117" t="str">
        <f>IF(AB107=1,COUNTIF($AB$3:AB107,1),"")</f>
        <v/>
      </c>
      <c r="AD107" s="117" t="str">
        <f>IFERROR(INDEX($AA$3:$AA$10000,MATCH(ROWS($AC$3:AC107),$AC$3:$AC$10000,0)),"")</f>
        <v/>
      </c>
      <c r="AE107" s="117" t="str">
        <f>+'Packing Material - Cost'!A108</f>
        <v/>
      </c>
    </row>
    <row r="108" spans="27:31">
      <c r="AA108" s="117" t="str">
        <f>+'Ingredient List - Mother Tinctu'!D109</f>
        <v>Colocynthis</v>
      </c>
      <c r="AB108" s="117">
        <f t="shared" si="4"/>
        <v>0</v>
      </c>
      <c r="AC108" s="117" t="str">
        <f>IF(AB108=1,COUNTIF($AB$3:AB108,1),"")</f>
        <v/>
      </c>
      <c r="AD108" s="117" t="str">
        <f>IFERROR(INDEX($AA$3:$AA$10000,MATCH(ROWS($AC$3:AC108),$AC$3:$AC$10000,0)),"")</f>
        <v/>
      </c>
      <c r="AE108" s="117" t="str">
        <f>+'Packing Material - Cost'!A109</f>
        <v/>
      </c>
    </row>
    <row r="109" spans="27:31">
      <c r="AA109" s="117" t="str">
        <f>+'Ingredient List - Mother Tinctu'!D110</f>
        <v>Condurango</v>
      </c>
      <c r="AB109" s="117">
        <f t="shared" si="4"/>
        <v>0</v>
      </c>
      <c r="AC109" s="117" t="str">
        <f>IF(AB109=1,COUNTIF($AB$3:AB109,1),"")</f>
        <v/>
      </c>
      <c r="AD109" s="117" t="str">
        <f>IFERROR(INDEX($AA$3:$AA$10000,MATCH(ROWS($AC$3:AC109),$AC$3:$AC$10000,0)),"")</f>
        <v/>
      </c>
      <c r="AE109" s="117" t="str">
        <f>+'Packing Material - Cost'!A110</f>
        <v/>
      </c>
    </row>
    <row r="110" spans="27:31">
      <c r="AA110" s="117" t="str">
        <f>+'Ingredient List - Mother Tinctu'!D111</f>
        <v>Convallaria M.</v>
      </c>
      <c r="AB110" s="117">
        <f t="shared" si="4"/>
        <v>0</v>
      </c>
      <c r="AC110" s="117" t="str">
        <f>IF(AB110=1,COUNTIF($AB$3:AB110,1),"")</f>
        <v/>
      </c>
      <c r="AD110" s="117" t="str">
        <f>IFERROR(INDEX($AA$3:$AA$10000,MATCH(ROWS($AC$3:AC110),$AC$3:$AC$10000,0)),"")</f>
        <v/>
      </c>
      <c r="AE110" s="117" t="str">
        <f>+'Packing Material - Cost'!A111</f>
        <v/>
      </c>
    </row>
    <row r="111" spans="27:31">
      <c r="AA111" s="117" t="str">
        <f>+'Ingredient List - Mother Tinctu'!D112</f>
        <v>Copaiva Off.</v>
      </c>
      <c r="AB111" s="117">
        <f t="shared" si="4"/>
        <v>0</v>
      </c>
      <c r="AC111" s="117" t="str">
        <f>IF(AB111=1,COUNTIF($AB$3:AB111,1),"")</f>
        <v/>
      </c>
      <c r="AD111" s="117" t="str">
        <f>IFERROR(INDEX($AA$3:$AA$10000,MATCH(ROWS($AC$3:AC111),$AC$3:$AC$10000,0)),"")</f>
        <v/>
      </c>
      <c r="AE111" s="117" t="str">
        <f>+'Packing Material - Cost'!A112</f>
        <v/>
      </c>
    </row>
    <row r="112" spans="27:31">
      <c r="AA112" s="117" t="str">
        <f>+'Ingredient List - Mother Tinctu'!D113</f>
        <v>Crataegus Ox.</v>
      </c>
      <c r="AB112" s="117">
        <f t="shared" si="4"/>
        <v>0</v>
      </c>
      <c r="AC112" s="117" t="str">
        <f>IF(AB112=1,COUNTIF($AB$3:AB112,1),"")</f>
        <v/>
      </c>
      <c r="AD112" s="117" t="str">
        <f>IFERROR(INDEX($AA$3:$AA$10000,MATCH(ROWS($AC$3:AC112),$AC$3:$AC$10000,0)),"")</f>
        <v/>
      </c>
      <c r="AE112" s="117" t="str">
        <f>+'Packing Material - Cost'!A113</f>
        <v/>
      </c>
    </row>
    <row r="113" spans="27:31">
      <c r="AA113" s="117" t="str">
        <f>+'Ingredient List - Mother Tinctu'!D114</f>
        <v>Croton Tig.</v>
      </c>
      <c r="AB113" s="117">
        <f t="shared" si="4"/>
        <v>0</v>
      </c>
      <c r="AC113" s="117" t="str">
        <f>IF(AB113=1,COUNTIF($AB$3:AB113,1),"")</f>
        <v/>
      </c>
      <c r="AD113" s="117" t="str">
        <f>IFERROR(INDEX($AA$3:$AA$10000,MATCH(ROWS($AC$3:AC113),$AC$3:$AC$10000,0)),"")</f>
        <v/>
      </c>
      <c r="AE113" s="117" t="str">
        <f>+'Packing Material - Cost'!A114</f>
        <v/>
      </c>
    </row>
    <row r="114" spans="27:31">
      <c r="AA114" s="117" t="str">
        <f>+'Ingredient List - Mother Tinctu'!D115</f>
        <v>Curcuma Longa</v>
      </c>
      <c r="AB114" s="117">
        <f t="shared" si="4"/>
        <v>0</v>
      </c>
      <c r="AC114" s="117" t="str">
        <f>IF(AB114=1,COUNTIF($AB$3:AB114,1),"")</f>
        <v/>
      </c>
      <c r="AD114" s="117" t="str">
        <f>IFERROR(INDEX($AA$3:$AA$10000,MATCH(ROWS($AC$3:AC114),$AC$3:$AC$10000,0)),"")</f>
        <v/>
      </c>
      <c r="AE114" s="117" t="str">
        <f>+'Packing Material - Cost'!A115</f>
        <v/>
      </c>
    </row>
    <row r="115" spans="27:31">
      <c r="AA115" s="117" t="str">
        <f>+'Ingredient List - Mother Tinctu'!D116</f>
        <v>Cynadon Da.</v>
      </c>
      <c r="AB115" s="117">
        <f t="shared" si="4"/>
        <v>0</v>
      </c>
      <c r="AC115" s="117" t="str">
        <f>IF(AB115=1,COUNTIF($AB$3:AB115,1),"")</f>
        <v/>
      </c>
      <c r="AD115" s="117" t="str">
        <f>IFERROR(INDEX($AA$3:$AA$10000,MATCH(ROWS($AC$3:AC115),$AC$3:$AC$10000,0)),"")</f>
        <v/>
      </c>
      <c r="AE115" s="117" t="str">
        <f>+'Packing Material - Cost'!A116</f>
        <v/>
      </c>
    </row>
    <row r="116" spans="27:31">
      <c r="AA116" s="117" t="str">
        <f>+'Ingredient List - Mother Tinctu'!D117</f>
        <v>Daminana (Turnera)</v>
      </c>
      <c r="AB116" s="117">
        <f t="shared" si="4"/>
        <v>0</v>
      </c>
      <c r="AC116" s="117" t="str">
        <f>IF(AB116=1,COUNTIF($AB$3:AB116,1),"")</f>
        <v/>
      </c>
      <c r="AD116" s="117" t="str">
        <f>IFERROR(INDEX($AA$3:$AA$10000,MATCH(ROWS($AC$3:AC116),$AC$3:$AC$10000,0)),"")</f>
        <v/>
      </c>
      <c r="AE116" s="117" t="str">
        <f>+'Packing Material - Cost'!A117</f>
        <v/>
      </c>
    </row>
    <row r="117" spans="27:31">
      <c r="AA117" s="117" t="str">
        <f>+'Ingredient List - Mother Tinctu'!D118</f>
        <v>Digitalis Purp.</v>
      </c>
      <c r="AB117" s="117">
        <f t="shared" si="4"/>
        <v>0</v>
      </c>
      <c r="AC117" s="117" t="str">
        <f>IF(AB117=1,COUNTIF($AB$3:AB117,1),"")</f>
        <v/>
      </c>
      <c r="AD117" s="117" t="str">
        <f>IFERROR(INDEX($AA$3:$AA$10000,MATCH(ROWS($AC$3:AC117),$AC$3:$AC$10000,0)),"")</f>
        <v/>
      </c>
      <c r="AE117" s="117" t="str">
        <f>+'Packing Material - Cost'!A118</f>
        <v/>
      </c>
    </row>
    <row r="118" spans="27:31">
      <c r="AA118" s="117" t="str">
        <f>+'Ingredient List - Mother Tinctu'!D119</f>
        <v>Dioscorea V.</v>
      </c>
      <c r="AB118" s="117">
        <f t="shared" si="4"/>
        <v>0</v>
      </c>
      <c r="AC118" s="117" t="str">
        <f>IF(AB118=1,COUNTIF($AB$3:AB118,1),"")</f>
        <v/>
      </c>
      <c r="AD118" s="117" t="str">
        <f>IFERROR(INDEX($AA$3:$AA$10000,MATCH(ROWS($AC$3:AC118),$AC$3:$AC$10000,0)),"")</f>
        <v/>
      </c>
      <c r="AE118" s="117" t="str">
        <f>+'Packing Material - Cost'!A119</f>
        <v/>
      </c>
    </row>
    <row r="119" spans="27:31">
      <c r="AA119" s="117" t="str">
        <f>+'Ingredient List - Mother Tinctu'!D120</f>
        <v>Dolichos Pru.</v>
      </c>
      <c r="AB119" s="117">
        <f t="shared" si="4"/>
        <v>0</v>
      </c>
      <c r="AC119" s="117" t="str">
        <f>IF(AB119=1,COUNTIF($AB$3:AB119,1),"")</f>
        <v/>
      </c>
      <c r="AD119" s="117" t="str">
        <f>IFERROR(INDEX($AA$3:$AA$10000,MATCH(ROWS($AC$3:AC119),$AC$3:$AC$10000,0)),"")</f>
        <v/>
      </c>
      <c r="AE119" s="117" t="str">
        <f>+'Packing Material - Cost'!A120</f>
        <v/>
      </c>
    </row>
    <row r="120" spans="27:31">
      <c r="AA120" s="117" t="str">
        <f>+'Ingredient List - Mother Tinctu'!D121</f>
        <v>Drosera Rot.</v>
      </c>
      <c r="AB120" s="117">
        <f t="shared" si="4"/>
        <v>0</v>
      </c>
      <c r="AC120" s="117" t="str">
        <f>IF(AB120=1,COUNTIF($AB$3:AB120,1),"")</f>
        <v/>
      </c>
      <c r="AD120" s="117" t="str">
        <f>IFERROR(INDEX($AA$3:$AA$10000,MATCH(ROWS($AC$3:AC120),$AC$3:$AC$10000,0)),"")</f>
        <v/>
      </c>
      <c r="AE120" s="117" t="str">
        <f>+'Packing Material - Cost'!A121</f>
        <v/>
      </c>
    </row>
    <row r="121" spans="27:31">
      <c r="AA121" s="117" t="str">
        <f>+'Ingredient List - Mother Tinctu'!D122</f>
        <v>Dulcamara</v>
      </c>
      <c r="AB121" s="117">
        <f t="shared" si="4"/>
        <v>0</v>
      </c>
      <c r="AC121" s="117" t="str">
        <f>IF(AB121=1,COUNTIF($AB$3:AB121,1),"")</f>
        <v/>
      </c>
      <c r="AD121" s="117" t="str">
        <f>IFERROR(INDEX($AA$3:$AA$10000,MATCH(ROWS($AC$3:AC121),$AC$3:$AC$10000,0)),"")</f>
        <v/>
      </c>
      <c r="AE121" s="117" t="str">
        <f>+'Packing Material - Cost'!A122</f>
        <v/>
      </c>
    </row>
    <row r="122" spans="27:31">
      <c r="AA122" s="117" t="str">
        <f>+'Ingredient List - Mother Tinctu'!D123</f>
        <v>Echinacea Ang.</v>
      </c>
      <c r="AB122" s="117">
        <f t="shared" si="4"/>
        <v>0</v>
      </c>
      <c r="AC122" s="117" t="str">
        <f>IF(AB122=1,COUNTIF($AB$3:AB122,1),"")</f>
        <v/>
      </c>
      <c r="AD122" s="117" t="str">
        <f>IFERROR(INDEX($AA$3:$AA$10000,MATCH(ROWS($AC$3:AC122),$AC$3:$AC$10000,0)),"")</f>
        <v/>
      </c>
      <c r="AE122" s="117" t="str">
        <f>+'Packing Material - Cost'!A123</f>
        <v/>
      </c>
    </row>
    <row r="123" spans="27:31">
      <c r="AA123" s="117" t="str">
        <f>+'Ingredient List - Mother Tinctu'!D124</f>
        <v>Equisetum Hym</v>
      </c>
      <c r="AB123" s="117">
        <f t="shared" si="4"/>
        <v>0</v>
      </c>
      <c r="AC123" s="117" t="str">
        <f>IF(AB123=1,COUNTIF($AB$3:AB123,1),"")</f>
        <v/>
      </c>
      <c r="AD123" s="117" t="str">
        <f>IFERROR(INDEX($AA$3:$AA$10000,MATCH(ROWS($AC$3:AC123),$AC$3:$AC$10000,0)),"")</f>
        <v/>
      </c>
      <c r="AE123" s="117" t="str">
        <f>+'Packing Material - Cost'!A124</f>
        <v/>
      </c>
    </row>
    <row r="124" spans="27:31">
      <c r="AA124" s="117" t="str">
        <f>+'Ingredient List - Mother Tinctu'!D125</f>
        <v>Erigeron can</v>
      </c>
      <c r="AB124" s="117">
        <f t="shared" si="4"/>
        <v>0</v>
      </c>
      <c r="AC124" s="117" t="str">
        <f>IF(AB124=1,COUNTIF($AB$3:AB124,1),"")</f>
        <v/>
      </c>
      <c r="AD124" s="117" t="str">
        <f>IFERROR(INDEX($AA$3:$AA$10000,MATCH(ROWS($AC$3:AC124),$AC$3:$AC$10000,0)),"")</f>
        <v/>
      </c>
      <c r="AE124" s="117" t="str">
        <f>+'Packing Material - Cost'!A125</f>
        <v/>
      </c>
    </row>
    <row r="125" spans="27:31">
      <c r="AA125" s="117" t="str">
        <f>+'Ingredient List - Mother Tinctu'!D126</f>
        <v>Eriodictyon G (Yerba Santha)</v>
      </c>
      <c r="AB125" s="117">
        <f t="shared" si="4"/>
        <v>0</v>
      </c>
      <c r="AC125" s="117" t="str">
        <f>IF(AB125=1,COUNTIF($AB$3:AB125,1),"")</f>
        <v/>
      </c>
      <c r="AD125" s="117" t="str">
        <f>IFERROR(INDEX($AA$3:$AA$10000,MATCH(ROWS($AC$3:AC125),$AC$3:$AC$10000,0)),"")</f>
        <v/>
      </c>
      <c r="AE125" s="117" t="str">
        <f>+'Packing Material - Cost'!A126</f>
        <v/>
      </c>
    </row>
    <row r="126" spans="27:31">
      <c r="AA126" s="117" t="str">
        <f>+'Ingredient List - Mother Tinctu'!D127</f>
        <v>Eucalypt. Glob</v>
      </c>
      <c r="AB126" s="117">
        <f t="shared" si="4"/>
        <v>0</v>
      </c>
      <c r="AC126" s="117" t="str">
        <f>IF(AB126=1,COUNTIF($AB$3:AB126,1),"")</f>
        <v/>
      </c>
      <c r="AD126" s="117" t="str">
        <f>IFERROR(INDEX($AA$3:$AA$10000,MATCH(ROWS($AC$3:AC126),$AC$3:$AC$10000,0)),"")</f>
        <v/>
      </c>
      <c r="AE126" s="117" t="str">
        <f>+'Packing Material - Cost'!A127</f>
        <v/>
      </c>
    </row>
    <row r="127" spans="27:31">
      <c r="AA127" s="117" t="str">
        <f>+'Ingredient List - Mother Tinctu'!D128</f>
        <v>Eupator. Perf.</v>
      </c>
      <c r="AB127" s="117">
        <f t="shared" si="4"/>
        <v>0</v>
      </c>
      <c r="AC127" s="117" t="str">
        <f>IF(AB127=1,COUNTIF($AB$3:AB127,1),"")</f>
        <v/>
      </c>
      <c r="AD127" s="117" t="str">
        <f>IFERROR(INDEX($AA$3:$AA$10000,MATCH(ROWS($AC$3:AC127),$AC$3:$AC$10000,0)),"")</f>
        <v/>
      </c>
      <c r="AE127" s="117" t="str">
        <f>+'Packing Material - Cost'!A128</f>
        <v/>
      </c>
    </row>
    <row r="128" spans="27:31">
      <c r="AA128" s="117" t="str">
        <f>+'Ingredient List - Mother Tinctu'!D129</f>
        <v>Euphorbia Cor</v>
      </c>
      <c r="AB128" s="117">
        <f t="shared" si="4"/>
        <v>0</v>
      </c>
      <c r="AC128" s="117" t="str">
        <f>IF(AB128=1,COUNTIF($AB$3:AB128,1),"")</f>
        <v/>
      </c>
      <c r="AD128" s="117" t="str">
        <f>IFERROR(INDEX($AA$3:$AA$10000,MATCH(ROWS($AC$3:AC128),$AC$3:$AC$10000,0)),"")</f>
        <v/>
      </c>
      <c r="AE128" s="117" t="str">
        <f>+'Packing Material - Cost'!A129</f>
        <v/>
      </c>
    </row>
    <row r="129" spans="27:31">
      <c r="AA129" s="117" t="str">
        <f>+'Ingredient List - Mother Tinctu'!D130</f>
        <v>Euphorbium</v>
      </c>
      <c r="AB129" s="117">
        <f t="shared" si="4"/>
        <v>0</v>
      </c>
      <c r="AC129" s="117" t="str">
        <f>IF(AB129=1,COUNTIF($AB$3:AB129,1),"")</f>
        <v/>
      </c>
      <c r="AD129" s="117" t="str">
        <f>IFERROR(INDEX($AA$3:$AA$10000,MATCH(ROWS($AC$3:AC129),$AC$3:$AC$10000,0)),"")</f>
        <v/>
      </c>
      <c r="AE129" s="117" t="str">
        <f>+'Packing Material - Cost'!A130</f>
        <v/>
      </c>
    </row>
    <row r="130" spans="27:31">
      <c r="AA130" s="117" t="str">
        <f>+'Ingredient List - Mother Tinctu'!D131</f>
        <v>Euphrasia off</v>
      </c>
      <c r="AB130" s="117">
        <f t="shared" si="4"/>
        <v>0</v>
      </c>
      <c r="AC130" s="117" t="str">
        <f>IF(AB130=1,COUNTIF($AB$3:AB130,1),"")</f>
        <v/>
      </c>
      <c r="AD130" s="117" t="str">
        <f>IFERROR(INDEX($AA$3:$AA$10000,MATCH(ROWS($AC$3:AC130),$AC$3:$AC$10000,0)),"")</f>
        <v/>
      </c>
      <c r="AE130" s="117" t="str">
        <f>+'Packing Material - Cost'!A131</f>
        <v/>
      </c>
    </row>
    <row r="131" spans="27:31">
      <c r="AA131" s="117" t="str">
        <f>+'Ingredient List - Mother Tinctu'!D132</f>
        <v>Ferrum Mur.</v>
      </c>
      <c r="AB131" s="117">
        <f t="shared" si="4"/>
        <v>0</v>
      </c>
      <c r="AC131" s="117" t="str">
        <f>IF(AB131=1,COUNTIF($AB$3:AB131,1),"")</f>
        <v/>
      </c>
      <c r="AD131" s="117" t="str">
        <f>IFERROR(INDEX($AA$3:$AA$10000,MATCH(ROWS($AC$3:AC131),$AC$3:$AC$10000,0)),"")</f>
        <v/>
      </c>
      <c r="AE131" s="117" t="str">
        <f>+'Packing Material - Cost'!A132</f>
        <v/>
      </c>
    </row>
    <row r="132" spans="27:31">
      <c r="AA132" s="117" t="str">
        <f>+'Ingredient List - Mother Tinctu'!D133</f>
        <v>Ficus Ind.</v>
      </c>
      <c r="AB132" s="117">
        <f t="shared" ref="AB132:AB195" si="5">--ISNUMBER(IFERROR(SEARCH($D$3,AA132,1),""))</f>
        <v>0</v>
      </c>
      <c r="AC132" s="117" t="str">
        <f>IF(AB132=1,COUNTIF($AB$3:AB132,1),"")</f>
        <v/>
      </c>
      <c r="AD132" s="117" t="str">
        <f>IFERROR(INDEX($AA$3:$AA$10000,MATCH(ROWS($AC$3:AC132),$AC$3:$AC$10000,0)),"")</f>
        <v/>
      </c>
      <c r="AE132" s="117" t="str">
        <f>+'Packing Material - Cost'!A133</f>
        <v/>
      </c>
    </row>
    <row r="133" spans="27:31">
      <c r="AA133" s="117" t="str">
        <f>+'Ingredient List - Mother Tinctu'!D134</f>
        <v>Ficus Rel.</v>
      </c>
      <c r="AB133" s="117">
        <f t="shared" si="5"/>
        <v>0</v>
      </c>
      <c r="AC133" s="117" t="str">
        <f>IF(AB133=1,COUNTIF($AB$3:AB133,1),"")</f>
        <v/>
      </c>
      <c r="AD133" s="117" t="str">
        <f>IFERROR(INDEX($AA$3:$AA$10000,MATCH(ROWS($AC$3:AC133),$AC$3:$AC$10000,0)),"")</f>
        <v/>
      </c>
      <c r="AE133" s="117" t="str">
        <f>+'Packing Material - Cost'!A134</f>
        <v/>
      </c>
    </row>
    <row r="134" spans="27:31">
      <c r="AA134" s="117" t="str">
        <f>+'Ingredient List - Mother Tinctu'!D135</f>
        <v>Filix Mas.</v>
      </c>
      <c r="AB134" s="117">
        <f t="shared" si="5"/>
        <v>0</v>
      </c>
      <c r="AC134" s="117" t="str">
        <f>IF(AB134=1,COUNTIF($AB$3:AB134,1),"")</f>
        <v/>
      </c>
      <c r="AD134" s="117" t="str">
        <f>IFERROR(INDEX($AA$3:$AA$10000,MATCH(ROWS($AC$3:AC134),$AC$3:$AC$10000,0)),"")</f>
        <v/>
      </c>
      <c r="AE134" s="117" t="str">
        <f>+'Packing Material - Cost'!A135</f>
        <v/>
      </c>
    </row>
    <row r="135" spans="27:31">
      <c r="AA135" s="117" t="str">
        <f>+'Ingredient List - Mother Tinctu'!D136</f>
        <v>Formica Rufa</v>
      </c>
      <c r="AB135" s="117">
        <f t="shared" si="5"/>
        <v>0</v>
      </c>
      <c r="AC135" s="117" t="str">
        <f>IF(AB135=1,COUNTIF($AB$3:AB135,1),"")</f>
        <v/>
      </c>
      <c r="AD135" s="117" t="str">
        <f>IFERROR(INDEX($AA$3:$AA$10000,MATCH(ROWS($AC$3:AC135),$AC$3:$AC$10000,0)),"")</f>
        <v/>
      </c>
      <c r="AE135" s="117" t="str">
        <f>+'Packing Material - Cost'!A136</f>
        <v/>
      </c>
    </row>
    <row r="136" spans="27:31">
      <c r="AA136" s="117" t="str">
        <f>+'Ingredient List - Mother Tinctu'!D137</f>
        <v>Fraxinus Amer.</v>
      </c>
      <c r="AB136" s="117">
        <f t="shared" si="5"/>
        <v>0</v>
      </c>
      <c r="AC136" s="117" t="str">
        <f>IF(AB136=1,COUNTIF($AB$3:AB136,1),"")</f>
        <v/>
      </c>
      <c r="AD136" s="117" t="str">
        <f>IFERROR(INDEX($AA$3:$AA$10000,MATCH(ROWS($AC$3:AC136),$AC$3:$AC$10000,0)),"")</f>
        <v/>
      </c>
      <c r="AE136" s="117" t="str">
        <f>+'Packing Material - Cost'!A137</f>
        <v/>
      </c>
    </row>
    <row r="137" spans="27:31">
      <c r="AA137" s="117" t="str">
        <f>+'Ingredient List - Mother Tinctu'!D138</f>
        <v>Fucus Ves.</v>
      </c>
      <c r="AB137" s="117">
        <f t="shared" si="5"/>
        <v>0</v>
      </c>
      <c r="AC137" s="117" t="str">
        <f>IF(AB137=1,COUNTIF($AB$3:AB137,1),"")</f>
        <v/>
      </c>
      <c r="AD137" s="117" t="str">
        <f>IFERROR(INDEX($AA$3:$AA$10000,MATCH(ROWS($AC$3:AC137),$AC$3:$AC$10000,0)),"")</f>
        <v/>
      </c>
      <c r="AE137" s="117" t="str">
        <f>+'Packing Material - Cost'!A138</f>
        <v/>
      </c>
    </row>
    <row r="138" spans="27:31">
      <c r="AA138" s="117" t="str">
        <f>+'Ingredient List - Mother Tinctu'!D139</f>
        <v>Gambogia</v>
      </c>
      <c r="AB138" s="117">
        <f t="shared" si="5"/>
        <v>0</v>
      </c>
      <c r="AC138" s="117" t="str">
        <f>IF(AB138=1,COUNTIF($AB$3:AB138,1),"")</f>
        <v/>
      </c>
      <c r="AD138" s="117" t="str">
        <f>IFERROR(INDEX($AA$3:$AA$10000,MATCH(ROWS($AC$3:AC138),$AC$3:$AC$10000,0)),"")</f>
        <v/>
      </c>
      <c r="AE138" s="117" t="str">
        <f>+'Packing Material - Cost'!A139</f>
        <v/>
      </c>
    </row>
    <row r="139" spans="27:31">
      <c r="AA139" s="117" t="str">
        <f>+'Ingredient List - Mother Tinctu'!D140</f>
        <v>Gaultheria</v>
      </c>
      <c r="AB139" s="117">
        <f t="shared" si="5"/>
        <v>0</v>
      </c>
      <c r="AC139" s="117" t="str">
        <f>IF(AB139=1,COUNTIF($AB$3:AB139,1),"")</f>
        <v/>
      </c>
      <c r="AD139" s="117" t="str">
        <f>IFERROR(INDEX($AA$3:$AA$10000,MATCH(ROWS($AC$3:AC139),$AC$3:$AC$10000,0)),"")</f>
        <v/>
      </c>
      <c r="AE139" s="117" t="str">
        <f>+'Packing Material - Cost'!A140</f>
        <v/>
      </c>
    </row>
    <row r="140" spans="27:31">
      <c r="AA140" s="117" t="str">
        <f>+'Ingredient List - Mother Tinctu'!D141</f>
        <v>Gelsemium Semp.</v>
      </c>
      <c r="AB140" s="117">
        <f t="shared" si="5"/>
        <v>0</v>
      </c>
      <c r="AC140" s="117" t="str">
        <f>IF(AB140=1,COUNTIF($AB$3:AB140,1),"")</f>
        <v/>
      </c>
      <c r="AD140" s="117" t="str">
        <f>IFERROR(INDEX($AA$3:$AA$10000,MATCH(ROWS($AC$3:AC140),$AC$3:$AC$10000,0)),"")</f>
        <v/>
      </c>
      <c r="AE140" s="117" t="str">
        <f>+'Packing Material - Cost'!A141</f>
        <v/>
      </c>
    </row>
    <row r="141" spans="27:31">
      <c r="AA141" s="117" t="str">
        <f>+'Ingredient List - Mother Tinctu'!D142</f>
        <v>Gentiana Lut</v>
      </c>
      <c r="AB141" s="117">
        <f t="shared" si="5"/>
        <v>0</v>
      </c>
      <c r="AC141" s="117" t="str">
        <f>IF(AB141=1,COUNTIF($AB$3:AB141,1),"")</f>
        <v/>
      </c>
      <c r="AD141" s="117" t="str">
        <f>IFERROR(INDEX($AA$3:$AA$10000,MATCH(ROWS($AC$3:AC141),$AC$3:$AC$10000,0)),"")</f>
        <v/>
      </c>
      <c r="AE141" s="117" t="str">
        <f>+'Packing Material - Cost'!A142</f>
        <v/>
      </c>
    </row>
    <row r="142" spans="27:31">
      <c r="AA142" s="117" t="str">
        <f>+'Ingredient List - Mother Tinctu'!D143</f>
        <v>Geranium Mac.</v>
      </c>
      <c r="AB142" s="117">
        <f t="shared" si="5"/>
        <v>0</v>
      </c>
      <c r="AC142" s="117" t="str">
        <f>IF(AB142=1,COUNTIF($AB$3:AB142,1),"")</f>
        <v/>
      </c>
      <c r="AD142" s="117" t="str">
        <f>IFERROR(INDEX($AA$3:$AA$10000,MATCH(ROWS($AC$3:AC142),$AC$3:$AC$10000,0)),"")</f>
        <v/>
      </c>
      <c r="AE142" s="117" t="str">
        <f>+'Packing Material - Cost'!A143</f>
        <v/>
      </c>
    </row>
    <row r="143" spans="27:31">
      <c r="AA143" s="117" t="str">
        <f>+'Ingredient List - Mother Tinctu'!D144</f>
        <v>Ginseng</v>
      </c>
      <c r="AB143" s="117">
        <f t="shared" si="5"/>
        <v>0</v>
      </c>
      <c r="AC143" s="117" t="str">
        <f>IF(AB143=1,COUNTIF($AB$3:AB143,1),"")</f>
        <v/>
      </c>
      <c r="AD143" s="117" t="str">
        <f>IFERROR(INDEX($AA$3:$AA$10000,MATCH(ROWS($AC$3:AC143),$AC$3:$AC$10000,0)),"")</f>
        <v/>
      </c>
      <c r="AE143" s="117" t="str">
        <f>+'Packing Material - Cost'!A144</f>
        <v/>
      </c>
    </row>
    <row r="144" spans="27:31">
      <c r="AA144" s="117" t="str">
        <f>+'Ingredient List - Mother Tinctu'!D145</f>
        <v>Glycerinum</v>
      </c>
      <c r="AB144" s="117">
        <f t="shared" si="5"/>
        <v>0</v>
      </c>
      <c r="AC144" s="117" t="str">
        <f>IF(AB144=1,COUNTIF($AB$3:AB144,1),"")</f>
        <v/>
      </c>
      <c r="AD144" s="117" t="str">
        <f>IFERROR(INDEX($AA$3:$AA$10000,MATCH(ROWS($AC$3:AC144),$AC$3:$AC$10000,0)),"")</f>
        <v/>
      </c>
      <c r="AE144" s="117" t="str">
        <f>+'Packing Material - Cost'!A145</f>
        <v/>
      </c>
    </row>
    <row r="145" spans="27:31">
      <c r="AA145" s="117" t="str">
        <f>+'Ingredient List - Mother Tinctu'!D146</f>
        <v>Gnaphalium P</v>
      </c>
      <c r="AB145" s="117">
        <f t="shared" si="5"/>
        <v>0</v>
      </c>
      <c r="AC145" s="117" t="str">
        <f>IF(AB145=1,COUNTIF($AB$3:AB145,1),"")</f>
        <v/>
      </c>
      <c r="AD145" s="117" t="str">
        <f>IFERROR(INDEX($AA$3:$AA$10000,MATCH(ROWS($AC$3:AC145),$AC$3:$AC$10000,0)),"")</f>
        <v/>
      </c>
      <c r="AE145" s="117" t="str">
        <f>+'Packing Material - Cost'!A146</f>
        <v/>
      </c>
    </row>
    <row r="146" spans="27:31">
      <c r="AA146" s="117" t="str">
        <f>+'Ingredient List - Mother Tinctu'!D147</f>
        <v>Gossypiun Herb</v>
      </c>
      <c r="AB146" s="117">
        <f t="shared" si="5"/>
        <v>0</v>
      </c>
      <c r="AC146" s="117" t="str">
        <f>IF(AB146=1,COUNTIF($AB$3:AB146,1),"")</f>
        <v/>
      </c>
      <c r="AD146" s="117" t="str">
        <f>IFERROR(INDEX($AA$3:$AA$10000,MATCH(ROWS($AC$3:AC146),$AC$3:$AC$10000,0)),"")</f>
        <v/>
      </c>
      <c r="AE146" s="117" t="str">
        <f>+'Packing Material - Cost'!A147</f>
        <v/>
      </c>
    </row>
    <row r="147" spans="27:31">
      <c r="AA147" s="117" t="str">
        <f>+'Ingredient List - Mother Tinctu'!D148</f>
        <v>Granatum</v>
      </c>
      <c r="AB147" s="117">
        <f t="shared" si="5"/>
        <v>0</v>
      </c>
      <c r="AC147" s="117" t="str">
        <f>IF(AB147=1,COUNTIF($AB$3:AB147,1),"")</f>
        <v/>
      </c>
      <c r="AD147" s="117" t="str">
        <f>IFERROR(INDEX($AA$3:$AA$10000,MATCH(ROWS($AC$3:AC147),$AC$3:$AC$10000,0)),"")</f>
        <v/>
      </c>
      <c r="AE147" s="117" t="str">
        <f>+'Packing Material - Cost'!A148</f>
        <v/>
      </c>
    </row>
    <row r="148" spans="27:31">
      <c r="AA148" s="117" t="str">
        <f>+'Ingredient List - Mother Tinctu'!D149</f>
        <v>Grindelia Rob.</v>
      </c>
      <c r="AB148" s="117">
        <f t="shared" si="5"/>
        <v>0</v>
      </c>
      <c r="AC148" s="117" t="str">
        <f>IF(AB148=1,COUNTIF($AB$3:AB148,1),"")</f>
        <v/>
      </c>
      <c r="AD148" s="117" t="str">
        <f>IFERROR(INDEX($AA$3:$AA$10000,MATCH(ROWS($AC$3:AC148),$AC$3:$AC$10000,0)),"")</f>
        <v/>
      </c>
      <c r="AE148" s="117" t="str">
        <f>+'Packing Material - Cost'!A149</f>
        <v/>
      </c>
    </row>
    <row r="149" spans="27:31">
      <c r="AA149" s="117" t="str">
        <f>+'Ingredient List - Mother Tinctu'!D150</f>
        <v>Guaiacum</v>
      </c>
      <c r="AB149" s="117">
        <f t="shared" si="5"/>
        <v>0</v>
      </c>
      <c r="AC149" s="117" t="str">
        <f>IF(AB149=1,COUNTIF($AB$3:AB149,1),"")</f>
        <v/>
      </c>
      <c r="AD149" s="117" t="str">
        <f>IFERROR(INDEX($AA$3:$AA$10000,MATCH(ROWS($AC$3:AC149),$AC$3:$AC$10000,0)),"")</f>
        <v/>
      </c>
      <c r="AE149" s="117" t="str">
        <f>+'Packing Material - Cost'!A150</f>
        <v/>
      </c>
    </row>
    <row r="150" spans="27:31">
      <c r="AA150" s="117" t="str">
        <f>+'Ingredient List - Mother Tinctu'!D151</f>
        <v>Gymnema. Syl</v>
      </c>
      <c r="AB150" s="117">
        <f t="shared" si="5"/>
        <v>0</v>
      </c>
      <c r="AC150" s="117" t="str">
        <f>IF(AB150=1,COUNTIF($AB$3:AB150,1),"")</f>
        <v/>
      </c>
      <c r="AD150" s="117" t="str">
        <f>IFERROR(INDEX($AA$3:$AA$10000,MATCH(ROWS($AC$3:AC150),$AC$3:$AC$10000,0)),"")</f>
        <v/>
      </c>
      <c r="AE150" s="117" t="str">
        <f>+'Packing Material - Cost'!A151</f>
        <v/>
      </c>
    </row>
    <row r="151" spans="27:31">
      <c r="AA151" s="117" t="str">
        <f>+'Ingredient List - Mother Tinctu'!D152</f>
        <v>Hamamelis Virg.</v>
      </c>
      <c r="AB151" s="117">
        <f t="shared" si="5"/>
        <v>0</v>
      </c>
      <c r="AC151" s="117" t="str">
        <f>IF(AB151=1,COUNTIF($AB$3:AB151,1),"")</f>
        <v/>
      </c>
      <c r="AD151" s="117" t="str">
        <f>IFERROR(INDEX($AA$3:$AA$10000,MATCH(ROWS($AC$3:AC151),$AC$3:$AC$10000,0)),"")</f>
        <v/>
      </c>
      <c r="AE151" s="117" t="str">
        <f>+'Packing Material - Cost'!A152</f>
        <v/>
      </c>
    </row>
    <row r="152" spans="27:31">
      <c r="AA152" s="117" t="str">
        <f>+'Ingredient List - Mother Tinctu'!D153</f>
        <v>Hedera Helix</v>
      </c>
      <c r="AB152" s="117">
        <f t="shared" si="5"/>
        <v>0</v>
      </c>
      <c r="AC152" s="117" t="str">
        <f>IF(AB152=1,COUNTIF($AB$3:AB152,1),"")</f>
        <v/>
      </c>
      <c r="AD152" s="117" t="str">
        <f>IFERROR(INDEX($AA$3:$AA$10000,MATCH(ROWS($AC$3:AC152),$AC$3:$AC$10000,0)),"")</f>
        <v/>
      </c>
      <c r="AE152" s="117" t="str">
        <f>+'Packing Material - Cost'!A153</f>
        <v/>
      </c>
    </row>
    <row r="153" spans="27:31">
      <c r="AA153" s="117" t="str">
        <f>+'Ingredient List - Mother Tinctu'!D154</f>
        <v>Helianthus. A.</v>
      </c>
      <c r="AB153" s="117">
        <f t="shared" si="5"/>
        <v>0</v>
      </c>
      <c r="AC153" s="117" t="str">
        <f>IF(AB153=1,COUNTIF($AB$3:AB153,1),"")</f>
        <v/>
      </c>
      <c r="AD153" s="117" t="str">
        <f>IFERROR(INDEX($AA$3:$AA$10000,MATCH(ROWS($AC$3:AC153),$AC$3:$AC$10000,0)),"")</f>
        <v/>
      </c>
      <c r="AE153" s="117" t="str">
        <f>+'Packing Material - Cost'!A154</f>
        <v/>
      </c>
    </row>
    <row r="154" spans="27:31">
      <c r="AA154" s="117" t="str">
        <f>+'Ingredient List - Mother Tinctu'!D155</f>
        <v>Helleborus Nig.</v>
      </c>
      <c r="AB154" s="117">
        <f t="shared" si="5"/>
        <v>0</v>
      </c>
      <c r="AC154" s="117" t="str">
        <f>IF(AB154=1,COUNTIF($AB$3:AB154,1),"")</f>
        <v/>
      </c>
      <c r="AD154" s="117" t="str">
        <f>IFERROR(INDEX($AA$3:$AA$10000,MATCH(ROWS($AC$3:AC154),$AC$3:$AC$10000,0)),"")</f>
        <v/>
      </c>
      <c r="AE154" s="117" t="str">
        <f>+'Packing Material - Cost'!A155</f>
        <v/>
      </c>
    </row>
    <row r="155" spans="27:31">
      <c r="AA155" s="117" t="str">
        <f>+'Ingredient List - Mother Tinctu'!D156</f>
        <v>Helonias Dio</v>
      </c>
      <c r="AB155" s="117">
        <f t="shared" si="5"/>
        <v>0</v>
      </c>
      <c r="AC155" s="117" t="str">
        <f>IF(AB155=1,COUNTIF($AB$3:AB155,1),"")</f>
        <v/>
      </c>
      <c r="AD155" s="117" t="str">
        <f>IFERROR(INDEX($AA$3:$AA$10000,MATCH(ROWS($AC$3:AC155),$AC$3:$AC$10000,0)),"")</f>
        <v/>
      </c>
      <c r="AE155" s="117" t="str">
        <f>+'Packing Material - Cost'!A156</f>
        <v/>
      </c>
    </row>
    <row r="156" spans="27:31">
      <c r="AA156" s="117" t="str">
        <f>+'Ingredient List - Mother Tinctu'!D157</f>
        <v>Holarrhena Ant. D (Kurchi)</v>
      </c>
      <c r="AB156" s="117">
        <f t="shared" si="5"/>
        <v>0</v>
      </c>
      <c r="AC156" s="117" t="str">
        <f>IF(AB156=1,COUNTIF($AB$3:AB156,1),"")</f>
        <v/>
      </c>
      <c r="AD156" s="117" t="str">
        <f>IFERROR(INDEX($AA$3:$AA$10000,MATCH(ROWS($AC$3:AC156),$AC$3:$AC$10000,0)),"")</f>
        <v/>
      </c>
      <c r="AE156" s="117" t="str">
        <f>+'Packing Material - Cost'!A157</f>
        <v/>
      </c>
    </row>
    <row r="157" spans="27:31">
      <c r="AA157" s="117" t="str">
        <f>+'Ingredient List - Mother Tinctu'!D158</f>
        <v>Hydrastis Can.</v>
      </c>
      <c r="AB157" s="117">
        <f t="shared" si="5"/>
        <v>0</v>
      </c>
      <c r="AC157" s="117" t="str">
        <f>IF(AB157=1,COUNTIF($AB$3:AB157,1),"")</f>
        <v/>
      </c>
      <c r="AD157" s="117" t="str">
        <f>IFERROR(INDEX($AA$3:$AA$10000,MATCH(ROWS($AC$3:AC157),$AC$3:$AC$10000,0)),"")</f>
        <v/>
      </c>
      <c r="AE157" s="117" t="str">
        <f>+'Packing Material - Cost'!A158</f>
        <v/>
      </c>
    </row>
    <row r="158" spans="27:31">
      <c r="AA158" s="117" t="str">
        <f>+'Ingredient List - Mother Tinctu'!D159</f>
        <v>Hydrocotyle Asi.</v>
      </c>
      <c r="AB158" s="117">
        <f t="shared" si="5"/>
        <v>0</v>
      </c>
      <c r="AC158" s="117" t="str">
        <f>IF(AB158=1,COUNTIF($AB$3:AB158,1),"")</f>
        <v/>
      </c>
      <c r="AD158" s="117" t="str">
        <f>IFERROR(INDEX($AA$3:$AA$10000,MATCH(ROWS($AC$3:AC158),$AC$3:$AC$10000,0)),"")</f>
        <v/>
      </c>
      <c r="AE158" s="117" t="str">
        <f>+'Packing Material - Cost'!A159</f>
        <v/>
      </c>
    </row>
    <row r="159" spans="27:31">
      <c r="AA159" s="117" t="str">
        <f>+'Ingredient List - Mother Tinctu'!D160</f>
        <v>Hyoscyamus. N.</v>
      </c>
      <c r="AB159" s="117">
        <f t="shared" si="5"/>
        <v>0</v>
      </c>
      <c r="AC159" s="117" t="str">
        <f>IF(AB159=1,COUNTIF($AB$3:AB159,1),"")</f>
        <v/>
      </c>
      <c r="AD159" s="117" t="str">
        <f>IFERROR(INDEX($AA$3:$AA$10000,MATCH(ROWS($AC$3:AC159),$AC$3:$AC$10000,0)),"")</f>
        <v/>
      </c>
      <c r="AE159" s="117" t="str">
        <f>+'Packing Material - Cost'!A160</f>
        <v/>
      </c>
    </row>
    <row r="160" spans="27:31">
      <c r="AA160" s="117" t="str">
        <f>+'Ingredient List - Mother Tinctu'!D161</f>
        <v>Hypericum Perf.</v>
      </c>
      <c r="AB160" s="117">
        <f t="shared" si="5"/>
        <v>0</v>
      </c>
      <c r="AC160" s="117" t="str">
        <f>IF(AB160=1,COUNTIF($AB$3:AB160,1),"")</f>
        <v/>
      </c>
      <c r="AD160" s="117" t="str">
        <f>IFERROR(INDEX($AA$3:$AA$10000,MATCH(ROWS($AC$3:AC160),$AC$3:$AC$10000,0)),"")</f>
        <v/>
      </c>
      <c r="AE160" s="117" t="str">
        <f>+'Packing Material - Cost'!A161</f>
        <v/>
      </c>
    </row>
    <row r="161" spans="27:31">
      <c r="AA161" s="117" t="str">
        <f>+'Ingredient List - Mother Tinctu'!D162</f>
        <v>Ignatia Amara</v>
      </c>
      <c r="AB161" s="117">
        <f t="shared" si="5"/>
        <v>0</v>
      </c>
      <c r="AC161" s="117" t="str">
        <f>IF(AB161=1,COUNTIF($AB$3:AB161,1),"")</f>
        <v/>
      </c>
      <c r="AD161" s="117" t="str">
        <f>IFERROR(INDEX($AA$3:$AA$10000,MATCH(ROWS($AC$3:AC161),$AC$3:$AC$10000,0)),"")</f>
        <v/>
      </c>
      <c r="AE161" s="117" t="str">
        <f>+'Packing Material - Cost'!A162</f>
        <v/>
      </c>
    </row>
    <row r="162" spans="27:31">
      <c r="AA162" s="117" t="str">
        <f>+'Ingredient List - Mother Tinctu'!D163</f>
        <v>Illicium A.</v>
      </c>
      <c r="AB162" s="117">
        <f t="shared" si="5"/>
        <v>0</v>
      </c>
      <c r="AC162" s="117" t="str">
        <f>IF(AB162=1,COUNTIF($AB$3:AB162,1),"")</f>
        <v/>
      </c>
      <c r="AD162" s="117" t="str">
        <f>IFERROR(INDEX($AA$3:$AA$10000,MATCH(ROWS($AC$3:AC162),$AC$3:$AC$10000,0)),"")</f>
        <v/>
      </c>
      <c r="AE162" s="117" t="str">
        <f>+'Packing Material - Cost'!A163</f>
        <v/>
      </c>
    </row>
    <row r="163" spans="27:31">
      <c r="AA163" s="117" t="str">
        <f>+'Ingredient List - Mother Tinctu'!D164</f>
        <v>Iodium</v>
      </c>
      <c r="AB163" s="117">
        <f t="shared" si="5"/>
        <v>0</v>
      </c>
      <c r="AC163" s="117" t="str">
        <f>IF(AB163=1,COUNTIF($AB$3:AB163,1),"")</f>
        <v/>
      </c>
      <c r="AD163" s="117" t="str">
        <f>IFERROR(INDEX($AA$3:$AA$10000,MATCH(ROWS($AC$3:AC163),$AC$3:$AC$10000,0)),"")</f>
        <v/>
      </c>
      <c r="AE163" s="117" t="str">
        <f>+'Packing Material - Cost'!A164</f>
        <v/>
      </c>
    </row>
    <row r="164" spans="27:31">
      <c r="AA164" s="117" t="str">
        <f>+'Ingredient List - Mother Tinctu'!D165</f>
        <v>Ipecac</v>
      </c>
      <c r="AB164" s="117">
        <f t="shared" si="5"/>
        <v>0</v>
      </c>
      <c r="AC164" s="117" t="str">
        <f>IF(AB164=1,COUNTIF($AB$3:AB164,1),"")</f>
        <v/>
      </c>
      <c r="AD164" s="117" t="str">
        <f>IFERROR(INDEX($AA$3:$AA$10000,MATCH(ROWS($AC$3:AC164),$AC$3:$AC$10000,0)),"")</f>
        <v/>
      </c>
      <c r="AE164" s="117" t="str">
        <f>+'Packing Material - Cost'!A165</f>
        <v/>
      </c>
    </row>
    <row r="165" spans="27:31">
      <c r="AA165" s="117" t="str">
        <f>+'Ingredient List - Mother Tinctu'!D166</f>
        <v>Iris Ver.</v>
      </c>
      <c r="AB165" s="117">
        <f t="shared" si="5"/>
        <v>0</v>
      </c>
      <c r="AC165" s="117" t="str">
        <f>IF(AB165=1,COUNTIF($AB$3:AB165,1),"")</f>
        <v/>
      </c>
      <c r="AD165" s="117" t="str">
        <f>IFERROR(INDEX($AA$3:$AA$10000,MATCH(ROWS($AC$3:AC165),$AC$3:$AC$10000,0)),"")</f>
        <v/>
      </c>
      <c r="AE165" s="117" t="str">
        <f>+'Packing Material - Cost'!A166</f>
        <v/>
      </c>
    </row>
    <row r="166" spans="27:31">
      <c r="AA166" s="117" t="str">
        <f>+'Ingredient List - Mother Tinctu'!D167</f>
        <v>Jaborandi (Pilcarpus)</v>
      </c>
      <c r="AB166" s="117">
        <f t="shared" si="5"/>
        <v>0</v>
      </c>
      <c r="AC166" s="117" t="str">
        <f>IF(AB166=1,COUNTIF($AB$3:AB166,1),"")</f>
        <v/>
      </c>
      <c r="AD166" s="117" t="str">
        <f>IFERROR(INDEX($AA$3:$AA$10000,MATCH(ROWS($AC$3:AC166),$AC$3:$AC$10000,0)),"")</f>
        <v/>
      </c>
      <c r="AE166" s="117" t="str">
        <f>+'Packing Material - Cost'!A167</f>
        <v/>
      </c>
    </row>
    <row r="167" spans="27:31">
      <c r="AA167" s="117" t="str">
        <f>+'Ingredient List - Mother Tinctu'!D168</f>
        <v>Jacaranda C.</v>
      </c>
      <c r="AB167" s="117">
        <f t="shared" si="5"/>
        <v>0</v>
      </c>
      <c r="AC167" s="117" t="str">
        <f>IF(AB167=1,COUNTIF($AB$3:AB167,1),"")</f>
        <v/>
      </c>
      <c r="AD167" s="117" t="str">
        <f>IFERROR(INDEX($AA$3:$AA$10000,MATCH(ROWS($AC$3:AC167),$AC$3:$AC$10000,0)),"")</f>
        <v/>
      </c>
      <c r="AE167" s="117" t="str">
        <f>+'Packing Material - Cost'!A168</f>
        <v/>
      </c>
    </row>
    <row r="168" spans="27:31">
      <c r="AA168" s="117" t="str">
        <f>+'Ingredient List - Mother Tinctu'!D169</f>
        <v>Jalappa</v>
      </c>
      <c r="AB168" s="117">
        <f t="shared" si="5"/>
        <v>0</v>
      </c>
      <c r="AC168" s="117" t="str">
        <f>IF(AB168=1,COUNTIF($AB$3:AB168,1),"")</f>
        <v/>
      </c>
      <c r="AD168" s="117" t="str">
        <f>IFERROR(INDEX($AA$3:$AA$10000,MATCH(ROWS($AC$3:AC168),$AC$3:$AC$10000,0)),"")</f>
        <v/>
      </c>
      <c r="AE168" s="117" t="str">
        <f>+'Packing Material - Cost'!A169</f>
        <v/>
      </c>
    </row>
    <row r="169" spans="27:31">
      <c r="AA169" s="117" t="str">
        <f>+'Ingredient List - Mother Tinctu'!D170</f>
        <v>Jatropha C.</v>
      </c>
      <c r="AB169" s="117">
        <f t="shared" si="5"/>
        <v>0</v>
      </c>
      <c r="AC169" s="117" t="str">
        <f>IF(AB169=1,COUNTIF($AB$3:AB169,1),"")</f>
        <v/>
      </c>
      <c r="AD169" s="117" t="str">
        <f>IFERROR(INDEX($AA$3:$AA$10000,MATCH(ROWS($AC$3:AC169),$AC$3:$AC$10000,0)),"")</f>
        <v/>
      </c>
      <c r="AE169" s="117" t="str">
        <f>+'Packing Material - Cost'!A170</f>
        <v/>
      </c>
    </row>
    <row r="170" spans="27:31">
      <c r="AA170" s="117" t="str">
        <f>+'Ingredient List - Mother Tinctu'!D171</f>
        <v>Jon. Ashoka (Ashoka)</v>
      </c>
      <c r="AB170" s="117">
        <f t="shared" si="5"/>
        <v>0</v>
      </c>
      <c r="AC170" s="117" t="str">
        <f>IF(AB170=1,COUNTIF($AB$3:AB170,1),"")</f>
        <v/>
      </c>
      <c r="AD170" s="117" t="str">
        <f>IFERROR(INDEX($AA$3:$AA$10000,MATCH(ROWS($AC$3:AC170),$AC$3:$AC$10000,0)),"")</f>
        <v/>
      </c>
      <c r="AE170" s="117" t="str">
        <f>+'Packing Material - Cost'!A171</f>
        <v/>
      </c>
    </row>
    <row r="171" spans="27:31">
      <c r="AA171" s="117" t="str">
        <f>+'Ingredient List - Mother Tinctu'!D172</f>
        <v>Justicia Adh.</v>
      </c>
      <c r="AB171" s="117">
        <f t="shared" si="5"/>
        <v>0</v>
      </c>
      <c r="AC171" s="117" t="str">
        <f>IF(AB171=1,COUNTIF($AB$3:AB171,1),"")</f>
        <v/>
      </c>
      <c r="AD171" s="117" t="str">
        <f>IFERROR(INDEX($AA$3:$AA$10000,MATCH(ROWS($AC$3:AC171),$AC$3:$AC$10000,0)),"")</f>
        <v/>
      </c>
      <c r="AE171" s="117" t="str">
        <f>+'Packing Material - Cost'!A172</f>
        <v/>
      </c>
    </row>
    <row r="172" spans="27:31">
      <c r="AA172" s="117" t="str">
        <f>+'Ingredient List - Mother Tinctu'!D173</f>
        <v>Kali Bich.</v>
      </c>
      <c r="AB172" s="117">
        <f t="shared" si="5"/>
        <v>0</v>
      </c>
      <c r="AC172" s="117" t="str">
        <f>IF(AB172=1,COUNTIF($AB$3:AB172,1),"")</f>
        <v/>
      </c>
      <c r="AD172" s="117" t="str">
        <f>IFERROR(INDEX($AA$3:$AA$10000,MATCH(ROWS($AC$3:AC172),$AC$3:$AC$10000,0)),"")</f>
        <v/>
      </c>
      <c r="AE172" s="117" t="str">
        <f>+'Packing Material - Cost'!A173</f>
        <v/>
      </c>
    </row>
    <row r="173" spans="27:31">
      <c r="AA173" s="117" t="str">
        <f>+'Ingredient List - Mother Tinctu'!D174</f>
        <v>Kalmia Lat.</v>
      </c>
      <c r="AB173" s="117">
        <f t="shared" si="5"/>
        <v>0</v>
      </c>
      <c r="AC173" s="117" t="str">
        <f>IF(AB173=1,COUNTIF($AB$3:AB173,1),"")</f>
        <v/>
      </c>
      <c r="AD173" s="117" t="str">
        <f>IFERROR(INDEX($AA$3:$AA$10000,MATCH(ROWS($AC$3:AC173),$AC$3:$AC$10000,0)),"")</f>
        <v/>
      </c>
      <c r="AE173" s="117" t="str">
        <f>+'Packing Material - Cost'!A174</f>
        <v/>
      </c>
    </row>
    <row r="174" spans="27:31">
      <c r="AA174" s="117" t="str">
        <f>+'Ingredient List - Mother Tinctu'!D175</f>
        <v>Kreosotum</v>
      </c>
      <c r="AB174" s="117">
        <f t="shared" si="5"/>
        <v>0</v>
      </c>
      <c r="AC174" s="117" t="str">
        <f>IF(AB174=1,COUNTIF($AB$3:AB174,1),"")</f>
        <v/>
      </c>
      <c r="AD174" s="117" t="str">
        <f>IFERROR(INDEX($AA$3:$AA$10000,MATCH(ROWS($AC$3:AC174),$AC$3:$AC$10000,0)),"")</f>
        <v/>
      </c>
      <c r="AE174" s="117" t="str">
        <f>+'Packing Material - Cost'!A175</f>
        <v/>
      </c>
    </row>
    <row r="175" spans="27:31">
      <c r="AA175" s="117" t="str">
        <f>+'Ingredient List - Mother Tinctu'!D176</f>
        <v>Kurchi (Holarrhena Anti D)</v>
      </c>
      <c r="AB175" s="117">
        <f t="shared" si="5"/>
        <v>0</v>
      </c>
      <c r="AC175" s="117" t="str">
        <f>IF(AB175=1,COUNTIF($AB$3:AB175,1),"")</f>
        <v/>
      </c>
      <c r="AD175" s="117" t="str">
        <f>IFERROR(INDEX($AA$3:$AA$10000,MATCH(ROWS($AC$3:AC175),$AC$3:$AC$10000,0)),"")</f>
        <v/>
      </c>
      <c r="AE175" s="117" t="str">
        <f>+'Packing Material - Cost'!A176</f>
        <v/>
      </c>
    </row>
    <row r="176" spans="27:31">
      <c r="AA176" s="117" t="str">
        <f>+'Ingredient List - Mother Tinctu'!D177</f>
        <v>Lachnanthes</v>
      </c>
      <c r="AB176" s="117">
        <f t="shared" si="5"/>
        <v>0</v>
      </c>
      <c r="AC176" s="117" t="str">
        <f>IF(AB176=1,COUNTIF($AB$3:AB176,1),"")</f>
        <v/>
      </c>
      <c r="AD176" s="117" t="str">
        <f>IFERROR(INDEX($AA$3:$AA$10000,MATCH(ROWS($AC$3:AC176),$AC$3:$AC$10000,0)),"")</f>
        <v/>
      </c>
      <c r="AE176" s="117" t="str">
        <f>+'Packing Material - Cost'!A177</f>
        <v/>
      </c>
    </row>
    <row r="177" spans="27:31">
      <c r="AA177" s="117" t="str">
        <f>+'Ingredient List - Mother Tinctu'!D178</f>
        <v>Laurocerasus</v>
      </c>
      <c r="AB177" s="117">
        <f t="shared" si="5"/>
        <v>0</v>
      </c>
      <c r="AC177" s="117" t="str">
        <f>IF(AB177=1,COUNTIF($AB$3:AB177,1),"")</f>
        <v/>
      </c>
      <c r="AD177" s="117" t="str">
        <f>IFERROR(INDEX($AA$3:$AA$10000,MATCH(ROWS($AC$3:AC177),$AC$3:$AC$10000,0)),"")</f>
        <v/>
      </c>
      <c r="AE177" s="117" t="str">
        <f>+'Packing Material - Cost'!A178</f>
        <v/>
      </c>
    </row>
    <row r="178" spans="27:31">
      <c r="AA178" s="117" t="str">
        <f>+'Ingredient List - Mother Tinctu'!D179</f>
        <v>Ledum Pal.</v>
      </c>
      <c r="AB178" s="117">
        <f t="shared" si="5"/>
        <v>0</v>
      </c>
      <c r="AC178" s="117" t="str">
        <f>IF(AB178=1,COUNTIF($AB$3:AB178,1),"")</f>
        <v/>
      </c>
      <c r="AD178" s="117" t="str">
        <f>IFERROR(INDEX($AA$3:$AA$10000,MATCH(ROWS($AC$3:AC178),$AC$3:$AC$10000,0)),"")</f>
        <v/>
      </c>
      <c r="AE178" s="117" t="str">
        <f>+'Packing Material - Cost'!A179</f>
        <v/>
      </c>
    </row>
    <row r="179" spans="27:31">
      <c r="AA179" s="117" t="str">
        <f>+'Ingredient List - Mother Tinctu'!D180</f>
        <v>Lemna Minor.</v>
      </c>
      <c r="AB179" s="117">
        <f t="shared" si="5"/>
        <v>0</v>
      </c>
      <c r="AC179" s="117" t="str">
        <f>IF(AB179=1,COUNTIF($AB$3:AB179,1),"")</f>
        <v/>
      </c>
      <c r="AD179" s="117" t="str">
        <f>IFERROR(INDEX($AA$3:$AA$10000,MATCH(ROWS($AC$3:AC179),$AC$3:$AC$10000,0)),"")</f>
        <v/>
      </c>
      <c r="AE179" s="117" t="str">
        <f>+'Packing Material - Cost'!A180</f>
        <v/>
      </c>
    </row>
    <row r="180" spans="27:31">
      <c r="AA180" s="117" t="str">
        <f>+'Ingredient List - Mother Tinctu'!D181</f>
        <v>Leptandra V.</v>
      </c>
      <c r="AB180" s="117">
        <f t="shared" si="5"/>
        <v>0</v>
      </c>
      <c r="AC180" s="117" t="str">
        <f>IF(AB180=1,COUNTIF($AB$3:AB180,1),"")</f>
        <v/>
      </c>
      <c r="AD180" s="117" t="str">
        <f>IFERROR(INDEX($AA$3:$AA$10000,MATCH(ROWS($AC$3:AC180),$AC$3:$AC$10000,0)),"")</f>
        <v/>
      </c>
      <c r="AE180" s="117" t="str">
        <f>+'Packing Material - Cost'!A181</f>
        <v/>
      </c>
    </row>
    <row r="181" spans="27:31">
      <c r="AA181" s="117" t="str">
        <f>+'Ingredient List - Mother Tinctu'!D182</f>
        <v>Leucas Asp.</v>
      </c>
      <c r="AB181" s="117">
        <f t="shared" si="5"/>
        <v>0</v>
      </c>
      <c r="AC181" s="117" t="str">
        <f>IF(AB181=1,COUNTIF($AB$3:AB181,1),"")</f>
        <v/>
      </c>
      <c r="AD181" s="117" t="str">
        <f>IFERROR(INDEX($AA$3:$AA$10000,MATCH(ROWS($AC$3:AC181),$AC$3:$AC$10000,0)),"")</f>
        <v/>
      </c>
      <c r="AE181" s="117" t="str">
        <f>+'Packing Material - Cost'!A182</f>
        <v/>
      </c>
    </row>
    <row r="182" spans="27:31">
      <c r="AA182" s="117" t="str">
        <f>+'Ingredient List - Mother Tinctu'!D183</f>
        <v>Liatris Spic.</v>
      </c>
      <c r="AB182" s="117">
        <f t="shared" si="5"/>
        <v>0</v>
      </c>
      <c r="AC182" s="117" t="str">
        <f>IF(AB182=1,COUNTIF($AB$3:AB182,1),"")</f>
        <v/>
      </c>
      <c r="AD182" s="117" t="str">
        <f>IFERROR(INDEX($AA$3:$AA$10000,MATCH(ROWS($AC$3:AC182),$AC$3:$AC$10000,0)),"")</f>
        <v/>
      </c>
      <c r="AE182" s="117" t="str">
        <f>+'Packing Material - Cost'!A183</f>
        <v/>
      </c>
    </row>
    <row r="183" spans="27:31">
      <c r="AA183" s="117" t="str">
        <f>+'Ingredient List - Mother Tinctu'!D184</f>
        <v>Lobelia Infl.</v>
      </c>
      <c r="AB183" s="117">
        <f t="shared" si="5"/>
        <v>0</v>
      </c>
      <c r="AC183" s="117" t="str">
        <f>IF(AB183=1,COUNTIF($AB$3:AB183,1),"")</f>
        <v/>
      </c>
      <c r="AD183" s="117" t="str">
        <f>IFERROR(INDEX($AA$3:$AA$10000,MATCH(ROWS($AC$3:AC183),$AC$3:$AC$10000,0)),"")</f>
        <v/>
      </c>
      <c r="AE183" s="117" t="str">
        <f>+'Packing Material - Cost'!A184</f>
        <v/>
      </c>
    </row>
    <row r="184" spans="27:31">
      <c r="AA184" s="117" t="str">
        <f>+'Ingredient List - Mother Tinctu'!D185</f>
        <v>Luffa Oper</v>
      </c>
      <c r="AB184" s="117">
        <f t="shared" si="5"/>
        <v>0</v>
      </c>
      <c r="AC184" s="117" t="str">
        <f>IF(AB184=1,COUNTIF($AB$3:AB184,1),"")</f>
        <v/>
      </c>
      <c r="AD184" s="117" t="str">
        <f>IFERROR(INDEX($AA$3:$AA$10000,MATCH(ROWS($AC$3:AC184),$AC$3:$AC$10000,0)),"")</f>
        <v/>
      </c>
      <c r="AE184" s="117" t="str">
        <f>+'Packing Material - Cost'!A185</f>
        <v/>
      </c>
    </row>
    <row r="185" spans="27:31">
      <c r="AA185" s="117" t="str">
        <f>+'Ingredient List - Mother Tinctu'!D186</f>
        <v>Lycopodium Clav</v>
      </c>
      <c r="AB185" s="117">
        <f t="shared" si="5"/>
        <v>0</v>
      </c>
      <c r="AC185" s="117" t="str">
        <f>IF(AB185=1,COUNTIF($AB$3:AB185,1),"")</f>
        <v/>
      </c>
      <c r="AD185" s="117" t="str">
        <f>IFERROR(INDEX($AA$3:$AA$10000,MATCH(ROWS($AC$3:AC185),$AC$3:$AC$10000,0)),"")</f>
        <v/>
      </c>
      <c r="AE185" s="117" t="str">
        <f>+'Packing Material - Cost'!A186</f>
        <v/>
      </c>
    </row>
    <row r="186" spans="27:31">
      <c r="AA186" s="117" t="str">
        <f>+'Ingredient List - Mother Tinctu'!D187</f>
        <v>Lycopus V</v>
      </c>
      <c r="AB186" s="117">
        <f t="shared" si="5"/>
        <v>0</v>
      </c>
      <c r="AC186" s="117" t="str">
        <f>IF(AB186=1,COUNTIF($AB$3:AB186,1),"")</f>
        <v/>
      </c>
      <c r="AD186" s="117" t="str">
        <f>IFERROR(INDEX($AA$3:$AA$10000,MATCH(ROWS($AC$3:AC186),$AC$3:$AC$10000,0)),"")</f>
        <v/>
      </c>
      <c r="AE186" s="117" t="str">
        <f>+'Packing Material - Cost'!A187</f>
        <v/>
      </c>
    </row>
    <row r="187" spans="27:31">
      <c r="AA187" s="117" t="str">
        <f>+'Ingredient List - Mother Tinctu'!D188</f>
        <v>Mangifera Ind.</v>
      </c>
      <c r="AB187" s="117">
        <f t="shared" si="5"/>
        <v>0</v>
      </c>
      <c r="AC187" s="117" t="str">
        <f>IF(AB187=1,COUNTIF($AB$3:AB187,1),"")</f>
        <v/>
      </c>
      <c r="AD187" s="117" t="str">
        <f>IFERROR(INDEX($AA$3:$AA$10000,MATCH(ROWS($AC$3:AC187),$AC$3:$AC$10000,0)),"")</f>
        <v/>
      </c>
      <c r="AE187" s="117" t="str">
        <f>+'Packing Material - Cost'!A188</f>
        <v/>
      </c>
    </row>
    <row r="188" spans="27:31">
      <c r="AA188" s="117" t="str">
        <f>+'Ingredient List - Mother Tinctu'!D189</f>
        <v>Melilotus A.</v>
      </c>
      <c r="AB188" s="117">
        <f t="shared" si="5"/>
        <v>0</v>
      </c>
      <c r="AC188" s="117" t="str">
        <f>IF(AB188=1,COUNTIF($AB$3:AB188,1),"")</f>
        <v/>
      </c>
      <c r="AD188" s="117" t="str">
        <f>IFERROR(INDEX($AA$3:$AA$10000,MATCH(ROWS($AC$3:AC188),$AC$3:$AC$10000,0)),"")</f>
        <v/>
      </c>
      <c r="AE188" s="117" t="str">
        <f>+'Packing Material - Cost'!A189</f>
        <v/>
      </c>
    </row>
    <row r="189" spans="27:31">
      <c r="AA189" s="117" t="str">
        <f>+'Ingredient List - Mother Tinctu'!D190</f>
        <v>Mentha Pip.</v>
      </c>
      <c r="AB189" s="117">
        <f t="shared" si="5"/>
        <v>0</v>
      </c>
      <c r="AC189" s="117" t="str">
        <f>IF(AB189=1,COUNTIF($AB$3:AB189,1),"")</f>
        <v/>
      </c>
      <c r="AD189" s="117" t="str">
        <f>IFERROR(INDEX($AA$3:$AA$10000,MATCH(ROWS($AC$3:AC189),$AC$3:$AC$10000,0)),"")</f>
        <v/>
      </c>
      <c r="AE189" s="117" t="str">
        <f>+'Packing Material - Cost'!A190</f>
        <v/>
      </c>
    </row>
    <row r="190" spans="27:31">
      <c r="AA190" s="117" t="str">
        <f>+'Ingredient List - Mother Tinctu'!D191</f>
        <v>Menthol</v>
      </c>
      <c r="AB190" s="117">
        <f t="shared" si="5"/>
        <v>0</v>
      </c>
      <c r="AC190" s="117" t="str">
        <f>IF(AB190=1,COUNTIF($AB$3:AB190,1),"")</f>
        <v/>
      </c>
      <c r="AD190" s="117" t="str">
        <f>IFERROR(INDEX($AA$3:$AA$10000,MATCH(ROWS($AC$3:AC190),$AC$3:$AC$10000,0)),"")</f>
        <v/>
      </c>
      <c r="AE190" s="117" t="str">
        <f>+'Packing Material - Cost'!A191</f>
        <v/>
      </c>
    </row>
    <row r="191" spans="27:31">
      <c r="AA191" s="117" t="str">
        <f>+'Ingredient List - Mother Tinctu'!D192</f>
        <v>Menyanthus.</v>
      </c>
      <c r="AB191" s="117">
        <f t="shared" si="5"/>
        <v>0</v>
      </c>
      <c r="AC191" s="117" t="str">
        <f>IF(AB191=1,COUNTIF($AB$3:AB191,1),"")</f>
        <v/>
      </c>
      <c r="AD191" s="117" t="str">
        <f>IFERROR(INDEX($AA$3:$AA$10000,MATCH(ROWS($AC$3:AC191),$AC$3:$AC$10000,0)),"")</f>
        <v/>
      </c>
      <c r="AE191" s="117" t="str">
        <f>+'Packing Material - Cost'!A192</f>
        <v/>
      </c>
    </row>
    <row r="192" spans="27:31">
      <c r="AA192" s="117" t="str">
        <f>+'Ingredient List - Mother Tinctu'!D193</f>
        <v>Mezereum</v>
      </c>
      <c r="AB192" s="117">
        <f t="shared" si="5"/>
        <v>0</v>
      </c>
      <c r="AC192" s="117" t="str">
        <f>IF(AB192=1,COUNTIF($AB$3:AB192,1),"")</f>
        <v/>
      </c>
      <c r="AD192" s="117" t="str">
        <f>IFERROR(INDEX($AA$3:$AA$10000,MATCH(ROWS($AC$3:AC192),$AC$3:$AC$10000,0)),"")</f>
        <v/>
      </c>
      <c r="AE192" s="117" t="str">
        <f>+'Packing Material - Cost'!A193</f>
        <v/>
      </c>
    </row>
    <row r="193" spans="27:31">
      <c r="AA193" s="117" t="str">
        <f>+'Ingredient List - Mother Tinctu'!D194</f>
        <v>Millefolium</v>
      </c>
      <c r="AB193" s="117">
        <f t="shared" si="5"/>
        <v>0</v>
      </c>
      <c r="AC193" s="117" t="str">
        <f>IF(AB193=1,COUNTIF($AB$3:AB193,1),"")</f>
        <v/>
      </c>
      <c r="AD193" s="117" t="str">
        <f>IFERROR(INDEX($AA$3:$AA$10000,MATCH(ROWS($AC$3:AC193),$AC$3:$AC$10000,0)),"")</f>
        <v/>
      </c>
      <c r="AE193" s="117" t="str">
        <f>+'Packing Material - Cost'!A194</f>
        <v/>
      </c>
    </row>
    <row r="194" spans="27:31">
      <c r="AA194" s="117" t="str">
        <f>+'Ingredient List - Mother Tinctu'!D195</f>
        <v>Mimosa Pud</v>
      </c>
      <c r="AB194" s="117">
        <f t="shared" si="5"/>
        <v>0</v>
      </c>
      <c r="AC194" s="117" t="str">
        <f>IF(AB194=1,COUNTIF($AB$3:AB194,1),"")</f>
        <v/>
      </c>
      <c r="AD194" s="117" t="str">
        <f>IFERROR(INDEX($AA$3:$AA$10000,MATCH(ROWS($AC$3:AC194),$AC$3:$AC$10000,0)),"")</f>
        <v/>
      </c>
      <c r="AE194" s="117" t="str">
        <f>+'Packing Material - Cost'!A195</f>
        <v/>
      </c>
    </row>
    <row r="195" spans="27:31">
      <c r="AA195" s="117" t="str">
        <f>+'Ingredient List - Mother Tinctu'!D196</f>
        <v>Mullein Oil</v>
      </c>
      <c r="AB195" s="117">
        <f t="shared" si="5"/>
        <v>0</v>
      </c>
      <c r="AC195" s="117" t="str">
        <f>IF(AB195=1,COUNTIF($AB$3:AB195,1),"")</f>
        <v/>
      </c>
      <c r="AD195" s="117" t="str">
        <f>IFERROR(INDEX($AA$3:$AA$10000,MATCH(ROWS($AC$3:AC195),$AC$3:$AC$10000,0)),"")</f>
        <v/>
      </c>
      <c r="AE195" s="117" t="str">
        <f>+'Packing Material - Cost'!A196</f>
        <v/>
      </c>
    </row>
    <row r="196" spans="27:31">
      <c r="AA196" s="117" t="str">
        <f>+'Ingredient List - Mother Tinctu'!D197</f>
        <v>Negundium</v>
      </c>
      <c r="AB196" s="117">
        <f t="shared" ref="AB196:AB259" si="6">--ISNUMBER(IFERROR(SEARCH($D$3,AA196,1),""))</f>
        <v>0</v>
      </c>
      <c r="AC196" s="117" t="str">
        <f>IF(AB196=1,COUNTIF($AB$3:AB196,1),"")</f>
        <v/>
      </c>
      <c r="AD196" s="117" t="str">
        <f>IFERROR(INDEX($AA$3:$AA$10000,MATCH(ROWS($AC$3:AC196),$AC$3:$AC$10000,0)),"")</f>
        <v/>
      </c>
      <c r="AE196" s="117" t="str">
        <f>+'Packing Material - Cost'!A197</f>
        <v/>
      </c>
    </row>
    <row r="197" spans="27:31">
      <c r="AA197" s="117" t="str">
        <f>+'Ingredient List - Mother Tinctu'!D198</f>
        <v>Nuphar Lut.</v>
      </c>
      <c r="AB197" s="117">
        <f t="shared" si="6"/>
        <v>0</v>
      </c>
      <c r="AC197" s="117" t="str">
        <f>IF(AB197=1,COUNTIF($AB$3:AB197,1),"")</f>
        <v/>
      </c>
      <c r="AD197" s="117" t="str">
        <f>IFERROR(INDEX($AA$3:$AA$10000,MATCH(ROWS($AC$3:AC197),$AC$3:$AC$10000,0)),"")</f>
        <v/>
      </c>
      <c r="AE197" s="117" t="str">
        <f>+'Packing Material - Cost'!A198</f>
        <v/>
      </c>
    </row>
    <row r="198" spans="27:31">
      <c r="AA198" s="117" t="str">
        <f>+'Ingredient List - Mother Tinctu'!D199</f>
        <v>Nux Mosch</v>
      </c>
      <c r="AB198" s="117">
        <f t="shared" si="6"/>
        <v>0</v>
      </c>
      <c r="AC198" s="117" t="str">
        <f>IF(AB198=1,COUNTIF($AB$3:AB198,1),"")</f>
        <v/>
      </c>
      <c r="AD198" s="117" t="str">
        <f>IFERROR(INDEX($AA$3:$AA$10000,MATCH(ROWS($AC$3:AC198),$AC$3:$AC$10000,0)),"")</f>
        <v/>
      </c>
      <c r="AE198" s="117" t="str">
        <f>+'Packing Material - Cost'!A199</f>
        <v/>
      </c>
    </row>
    <row r="199" spans="27:31">
      <c r="AA199" s="117" t="str">
        <f>+'Ingredient List - Mother Tinctu'!D200</f>
        <v>Nux Vomica</v>
      </c>
      <c r="AB199" s="117">
        <f t="shared" si="6"/>
        <v>0</v>
      </c>
      <c r="AC199" s="117" t="str">
        <f>IF(AB199=1,COUNTIF($AB$3:AB199,1),"")</f>
        <v/>
      </c>
      <c r="AD199" s="117" t="str">
        <f>IFERROR(INDEX($AA$3:$AA$10000,MATCH(ROWS($AC$3:AC199),$AC$3:$AC$10000,0)),"")</f>
        <v/>
      </c>
      <c r="AE199" s="117" t="str">
        <f>+'Packing Material - Cost'!A200</f>
        <v/>
      </c>
    </row>
    <row r="200" spans="27:31">
      <c r="AA200" s="117" t="str">
        <f>+'Ingredient List - Mother Tinctu'!D201</f>
        <v>Nymphoea O</v>
      </c>
      <c r="AB200" s="117">
        <f t="shared" si="6"/>
        <v>0</v>
      </c>
      <c r="AC200" s="117" t="str">
        <f>IF(AB200=1,COUNTIF($AB$3:AB200,1),"")</f>
        <v/>
      </c>
      <c r="AD200" s="117" t="str">
        <f>IFERROR(INDEX($AA$3:$AA$10000,MATCH(ROWS($AC$3:AC200),$AC$3:$AC$10000,0)),"")</f>
        <v/>
      </c>
      <c r="AE200" s="117" t="str">
        <f>+'Packing Material - Cost'!A201</f>
        <v/>
      </c>
    </row>
    <row r="201" spans="27:31">
      <c r="AA201" s="117" t="str">
        <f>+'Ingredient List - Mother Tinctu'!D202</f>
        <v>Ocimum Can.</v>
      </c>
      <c r="AB201" s="117">
        <f t="shared" si="6"/>
        <v>0</v>
      </c>
      <c r="AC201" s="117" t="str">
        <f>IF(AB201=1,COUNTIF($AB$3:AB201,1),"")</f>
        <v/>
      </c>
      <c r="AD201" s="117" t="str">
        <f>IFERROR(INDEX($AA$3:$AA$10000,MATCH(ROWS($AC$3:AC201),$AC$3:$AC$10000,0)),"")</f>
        <v/>
      </c>
      <c r="AE201" s="117" t="str">
        <f>+'Packing Material - Cost'!A202</f>
        <v/>
      </c>
    </row>
    <row r="202" spans="27:31">
      <c r="AA202" s="117" t="str">
        <f>+'Ingredient List - Mother Tinctu'!D203</f>
        <v>Ocimum Sanct.</v>
      </c>
      <c r="AB202" s="117">
        <f t="shared" si="6"/>
        <v>0</v>
      </c>
      <c r="AC202" s="117" t="str">
        <f>IF(AB202=1,COUNTIF($AB$3:AB202,1),"")</f>
        <v/>
      </c>
      <c r="AD202" s="117" t="str">
        <f>IFERROR(INDEX($AA$3:$AA$10000,MATCH(ROWS($AC$3:AC202),$AC$3:$AC$10000,0)),"")</f>
        <v/>
      </c>
      <c r="AE202" s="117" t="str">
        <f>+'Packing Material - Cost'!A203</f>
        <v/>
      </c>
    </row>
    <row r="203" spans="27:31">
      <c r="AA203" s="117" t="str">
        <f>+'Ingredient List - Mother Tinctu'!D204</f>
        <v>Oenanthe Croc</v>
      </c>
      <c r="AB203" s="117">
        <f t="shared" si="6"/>
        <v>0</v>
      </c>
      <c r="AC203" s="117" t="str">
        <f>IF(AB203=1,COUNTIF($AB$3:AB203,1),"")</f>
        <v/>
      </c>
      <c r="AD203" s="117" t="str">
        <f>IFERROR(INDEX($AA$3:$AA$10000,MATCH(ROWS($AC$3:AC203),$AC$3:$AC$10000,0)),"")</f>
        <v/>
      </c>
      <c r="AE203" s="117" t="str">
        <f>+'Packing Material - Cost'!A204</f>
        <v/>
      </c>
    </row>
    <row r="204" spans="27:31">
      <c r="AA204" s="117" t="str">
        <f>+'Ingredient List - Mother Tinctu'!D205</f>
        <v>Oleander</v>
      </c>
      <c r="AB204" s="117">
        <f t="shared" si="6"/>
        <v>0</v>
      </c>
      <c r="AC204" s="117" t="str">
        <f>IF(AB204=1,COUNTIF($AB$3:AB204,1),"")</f>
        <v/>
      </c>
      <c r="AD204" s="117" t="str">
        <f>IFERROR(INDEX($AA$3:$AA$10000,MATCH(ROWS($AC$3:AC204),$AC$3:$AC$10000,0)),"")</f>
        <v/>
      </c>
      <c r="AE204" s="117" t="str">
        <f>+'Packing Material - Cost'!A205</f>
        <v/>
      </c>
    </row>
    <row r="205" spans="27:31">
      <c r="AA205" s="117" t="str">
        <f>+'Ingredient List - Mother Tinctu'!D206</f>
        <v>Ornithogalum</v>
      </c>
      <c r="AB205" s="117">
        <f t="shared" si="6"/>
        <v>0</v>
      </c>
      <c r="AC205" s="117" t="str">
        <f>IF(AB205=1,COUNTIF($AB$3:AB205,1),"")</f>
        <v/>
      </c>
      <c r="AD205" s="117" t="str">
        <f>IFERROR(INDEX($AA$3:$AA$10000,MATCH(ROWS($AC$3:AC205),$AC$3:$AC$10000,0)),"")</f>
        <v/>
      </c>
      <c r="AE205" s="117" t="str">
        <f>+'Packing Material - Cost'!A206</f>
        <v/>
      </c>
    </row>
    <row r="206" spans="27:31">
      <c r="AA206" s="117" t="str">
        <f>+'Ingredient List - Mother Tinctu'!D207</f>
        <v>Paeonia Off</v>
      </c>
      <c r="AB206" s="117">
        <f t="shared" si="6"/>
        <v>0</v>
      </c>
      <c r="AC206" s="117" t="str">
        <f>IF(AB206=1,COUNTIF($AB$3:AB206,1),"")</f>
        <v/>
      </c>
      <c r="AD206" s="117" t="str">
        <f>IFERROR(INDEX($AA$3:$AA$10000,MATCH(ROWS($AC$3:AC206),$AC$3:$AC$10000,0)),"")</f>
        <v/>
      </c>
      <c r="AE206" s="117" t="str">
        <f>+'Packing Material - Cost'!A207</f>
        <v/>
      </c>
    </row>
    <row r="207" spans="27:31">
      <c r="AA207" s="117" t="str">
        <f>+'Ingredient List - Mother Tinctu'!D208</f>
        <v>Pareira Brav.</v>
      </c>
      <c r="AB207" s="117">
        <f t="shared" si="6"/>
        <v>0</v>
      </c>
      <c r="AC207" s="117" t="str">
        <f>IF(AB207=1,COUNTIF($AB$3:AB207,1),"")</f>
        <v/>
      </c>
      <c r="AD207" s="117" t="str">
        <f>IFERROR(INDEX($AA$3:$AA$10000,MATCH(ROWS($AC$3:AC207),$AC$3:$AC$10000,0)),"")</f>
        <v/>
      </c>
      <c r="AE207" s="117" t="str">
        <f>+'Packing Material - Cost'!A208</f>
        <v/>
      </c>
    </row>
    <row r="208" spans="27:31">
      <c r="AA208" s="117" t="str">
        <f>+'Ingredient List - Mother Tinctu'!D209</f>
        <v>Passiflora. Inc.</v>
      </c>
      <c r="AB208" s="117">
        <f t="shared" si="6"/>
        <v>0</v>
      </c>
      <c r="AC208" s="117" t="str">
        <f>IF(AB208=1,COUNTIF($AB$3:AB208,1),"")</f>
        <v/>
      </c>
      <c r="AD208" s="117" t="str">
        <f>IFERROR(INDEX($AA$3:$AA$10000,MATCH(ROWS($AC$3:AC208),$AC$3:$AC$10000,0)),"")</f>
        <v/>
      </c>
      <c r="AE208" s="117" t="str">
        <f>+'Packing Material - Cost'!A209</f>
        <v/>
      </c>
    </row>
    <row r="209" spans="27:31">
      <c r="AA209" s="117" t="str">
        <f>+'Ingredient List - Mother Tinctu'!D210</f>
        <v>Phosph. Acid (Acid Phos)</v>
      </c>
      <c r="AB209" s="117">
        <f t="shared" si="6"/>
        <v>0</v>
      </c>
      <c r="AC209" s="117" t="str">
        <f>IF(AB209=1,COUNTIF($AB$3:AB209,1),"")</f>
        <v/>
      </c>
      <c r="AD209" s="117" t="str">
        <f>IFERROR(INDEX($AA$3:$AA$10000,MATCH(ROWS($AC$3:AC209),$AC$3:$AC$10000,0)),"")</f>
        <v/>
      </c>
      <c r="AE209" s="117" t="str">
        <f>+'Packing Material - Cost'!A210</f>
        <v/>
      </c>
    </row>
    <row r="210" spans="27:31">
      <c r="AA210" s="117" t="str">
        <f>+'Ingredient List - Mother Tinctu'!D211</f>
        <v>Physostigma</v>
      </c>
      <c r="AB210" s="117">
        <f t="shared" si="6"/>
        <v>0</v>
      </c>
      <c r="AC210" s="117" t="str">
        <f>IF(AB210=1,COUNTIF($AB$3:AB210,1),"")</f>
        <v/>
      </c>
      <c r="AD210" s="117" t="str">
        <f>IFERROR(INDEX($AA$3:$AA$10000,MATCH(ROWS($AC$3:AC210),$AC$3:$AC$10000,0)),"")</f>
        <v/>
      </c>
      <c r="AE210" s="117" t="str">
        <f>+'Packing Material - Cost'!A211</f>
        <v/>
      </c>
    </row>
    <row r="211" spans="27:31">
      <c r="AA211" s="117" t="str">
        <f>+'Ingredient List - Mother Tinctu'!D212</f>
        <v>Phytolacca. Berry.</v>
      </c>
      <c r="AB211" s="117">
        <f t="shared" si="6"/>
        <v>0</v>
      </c>
      <c r="AC211" s="117" t="str">
        <f>IF(AB211=1,COUNTIF($AB$3:AB211,1),"")</f>
        <v/>
      </c>
      <c r="AD211" s="117" t="str">
        <f>IFERROR(INDEX($AA$3:$AA$10000,MATCH(ROWS($AC$3:AC211),$AC$3:$AC$10000,0)),"")</f>
        <v/>
      </c>
      <c r="AE211" s="117" t="str">
        <f>+'Packing Material - Cost'!A212</f>
        <v/>
      </c>
    </row>
    <row r="212" spans="27:31">
      <c r="AA212" s="117" t="str">
        <f>+'Ingredient List - Mother Tinctu'!D213</f>
        <v>Phytolacca. Dec.</v>
      </c>
      <c r="AB212" s="117">
        <f t="shared" si="6"/>
        <v>0</v>
      </c>
      <c r="AC212" s="117" t="str">
        <f>IF(AB212=1,COUNTIF($AB$3:AB212,1),"")</f>
        <v/>
      </c>
      <c r="AD212" s="117" t="str">
        <f>IFERROR(INDEX($AA$3:$AA$10000,MATCH(ROWS($AC$3:AC212),$AC$3:$AC$10000,0)),"")</f>
        <v/>
      </c>
      <c r="AE212" s="117" t="str">
        <f>+'Packing Material - Cost'!A213</f>
        <v/>
      </c>
    </row>
    <row r="213" spans="27:31">
      <c r="AA213" s="117" t="str">
        <f>+'Ingredient List - Mother Tinctu'!D214</f>
        <v>Pilocarpus (Jaborandi)</v>
      </c>
      <c r="AB213" s="117">
        <f t="shared" si="6"/>
        <v>0</v>
      </c>
      <c r="AC213" s="117" t="str">
        <f>IF(AB213=1,COUNTIF($AB$3:AB213,1),"")</f>
        <v/>
      </c>
      <c r="AD213" s="117" t="str">
        <f>IFERROR(INDEX($AA$3:$AA$10000,MATCH(ROWS($AC$3:AC213),$AC$3:$AC$10000,0)),"")</f>
        <v/>
      </c>
      <c r="AE213" s="117" t="str">
        <f>+'Packing Material - Cost'!A214</f>
        <v/>
      </c>
    </row>
    <row r="214" spans="27:31">
      <c r="AA214" s="117" t="str">
        <f>+'Ingredient List - Mother Tinctu'!D215</f>
        <v>Pinus Lamb</v>
      </c>
      <c r="AB214" s="117">
        <f t="shared" si="6"/>
        <v>0</v>
      </c>
      <c r="AC214" s="117" t="str">
        <f>IF(AB214=1,COUNTIF($AB$3:AB214,1),"")</f>
        <v/>
      </c>
      <c r="AD214" s="117" t="str">
        <f>IFERROR(INDEX($AA$3:$AA$10000,MATCH(ROWS($AC$3:AC214),$AC$3:$AC$10000,0)),"")</f>
        <v/>
      </c>
      <c r="AE214" s="117" t="str">
        <f>+'Packing Material - Cost'!A215</f>
        <v/>
      </c>
    </row>
    <row r="215" spans="27:31">
      <c r="AA215" s="117" t="str">
        <f>+'Ingredient List - Mother Tinctu'!D216</f>
        <v>Pinus Syl.</v>
      </c>
      <c r="AB215" s="117">
        <f t="shared" si="6"/>
        <v>0</v>
      </c>
      <c r="AC215" s="117" t="str">
        <f>IF(AB215=1,COUNTIF($AB$3:AB215,1),"")</f>
        <v/>
      </c>
      <c r="AD215" s="117" t="str">
        <f>IFERROR(INDEX($AA$3:$AA$10000,MATCH(ROWS($AC$3:AC215),$AC$3:$AC$10000,0)),"")</f>
        <v/>
      </c>
      <c r="AE215" s="117" t="str">
        <f>+'Packing Material - Cost'!A216</f>
        <v/>
      </c>
    </row>
    <row r="216" spans="27:31">
      <c r="AA216" s="117" t="str">
        <f>+'Ingredient List - Mother Tinctu'!D217</f>
        <v>Piper Meth.</v>
      </c>
      <c r="AB216" s="117">
        <f t="shared" si="6"/>
        <v>0</v>
      </c>
      <c r="AC216" s="117" t="str">
        <f>IF(AB216=1,COUNTIF($AB$3:AB216,1),"")</f>
        <v/>
      </c>
      <c r="AD216" s="117" t="str">
        <f>IFERROR(INDEX($AA$3:$AA$10000,MATCH(ROWS($AC$3:AC216),$AC$3:$AC$10000,0)),"")</f>
        <v/>
      </c>
      <c r="AE216" s="117" t="str">
        <f>+'Packing Material - Cost'!A217</f>
        <v/>
      </c>
    </row>
    <row r="217" spans="27:31">
      <c r="AA217" s="117" t="str">
        <f>+'Ingredient List - Mother Tinctu'!D218</f>
        <v>Piper Nig.</v>
      </c>
      <c r="AB217" s="117">
        <f t="shared" si="6"/>
        <v>0</v>
      </c>
      <c r="AC217" s="117" t="str">
        <f>IF(AB217=1,COUNTIF($AB$3:AB217,1),"")</f>
        <v/>
      </c>
      <c r="AD217" s="117" t="str">
        <f>IFERROR(INDEX($AA$3:$AA$10000,MATCH(ROWS($AC$3:AC217),$AC$3:$AC$10000,0)),"")</f>
        <v/>
      </c>
      <c r="AE217" s="117" t="str">
        <f>+'Packing Material - Cost'!A218</f>
        <v/>
      </c>
    </row>
    <row r="218" spans="27:31">
      <c r="AA218" s="117" t="str">
        <f>+'Ingredient List - Mother Tinctu'!D219</f>
        <v>Piscidia E</v>
      </c>
      <c r="AB218" s="117">
        <f t="shared" si="6"/>
        <v>0</v>
      </c>
      <c r="AC218" s="117" t="str">
        <f>IF(AB218=1,COUNTIF($AB$3:AB218,1),"")</f>
        <v/>
      </c>
      <c r="AD218" s="117" t="str">
        <f>IFERROR(INDEX($AA$3:$AA$10000,MATCH(ROWS($AC$3:AC218),$AC$3:$AC$10000,0)),"")</f>
        <v/>
      </c>
      <c r="AE218" s="117" t="str">
        <f>+'Packing Material - Cost'!A219</f>
        <v/>
      </c>
    </row>
    <row r="219" spans="27:31">
      <c r="AA219" s="117" t="str">
        <f>+'Ingredient List - Mother Tinctu'!D220</f>
        <v>Plantago M</v>
      </c>
      <c r="AB219" s="117">
        <f t="shared" si="6"/>
        <v>0</v>
      </c>
      <c r="AC219" s="117" t="str">
        <f>IF(AB219=1,COUNTIF($AB$3:AB219,1),"")</f>
        <v/>
      </c>
      <c r="AD219" s="117" t="str">
        <f>IFERROR(INDEX($AA$3:$AA$10000,MATCH(ROWS($AC$3:AC219),$AC$3:$AC$10000,0)),"")</f>
        <v/>
      </c>
      <c r="AE219" s="117" t="str">
        <f>+'Packing Material - Cost'!A220</f>
        <v/>
      </c>
    </row>
    <row r="220" spans="27:31">
      <c r="AA220" s="117" t="str">
        <f>+'Ingredient List - Mother Tinctu'!D221</f>
        <v>Podophyllum</v>
      </c>
      <c r="AB220" s="117">
        <f t="shared" si="6"/>
        <v>0</v>
      </c>
      <c r="AC220" s="117" t="str">
        <f>IF(AB220=1,COUNTIF($AB$3:AB220,1),"")</f>
        <v/>
      </c>
      <c r="AD220" s="117" t="str">
        <f>IFERROR(INDEX($AA$3:$AA$10000,MATCH(ROWS($AC$3:AC220),$AC$3:$AC$10000,0)),"")</f>
        <v/>
      </c>
      <c r="AE220" s="117" t="str">
        <f>+'Packing Material - Cost'!A221</f>
        <v/>
      </c>
    </row>
    <row r="221" spans="27:31">
      <c r="AA221" s="117" t="str">
        <f>+'Ingredient List - Mother Tinctu'!D222</f>
        <v>Populus Can.</v>
      </c>
      <c r="AB221" s="117">
        <f t="shared" si="6"/>
        <v>0</v>
      </c>
      <c r="AC221" s="117" t="str">
        <f>IF(AB221=1,COUNTIF($AB$3:AB221,1),"")</f>
        <v/>
      </c>
      <c r="AD221" s="117" t="str">
        <f>IFERROR(INDEX($AA$3:$AA$10000,MATCH(ROWS($AC$3:AC221),$AC$3:$AC$10000,0)),"")</f>
        <v/>
      </c>
      <c r="AE221" s="117" t="str">
        <f>+'Packing Material - Cost'!A222</f>
        <v/>
      </c>
    </row>
    <row r="222" spans="27:31">
      <c r="AA222" s="117" t="str">
        <f>+'Ingredient List - Mother Tinctu'!D223</f>
        <v>Pothos Foet.</v>
      </c>
      <c r="AB222" s="117">
        <f t="shared" si="6"/>
        <v>0</v>
      </c>
      <c r="AC222" s="117" t="str">
        <f>IF(AB222=1,COUNTIF($AB$3:AB222,1),"")</f>
        <v/>
      </c>
      <c r="AD222" s="117" t="str">
        <f>IFERROR(INDEX($AA$3:$AA$10000,MATCH(ROWS($AC$3:AC222),$AC$3:$AC$10000,0)),"")</f>
        <v/>
      </c>
      <c r="AE222" s="117" t="str">
        <f>+'Packing Material - Cost'!A223</f>
        <v/>
      </c>
    </row>
    <row r="223" spans="27:31">
      <c r="AA223" s="117" t="str">
        <f>+'Ingredient List - Mother Tinctu'!D224</f>
        <v>Psoralea Cor.</v>
      </c>
      <c r="AB223" s="117">
        <f t="shared" si="6"/>
        <v>0</v>
      </c>
      <c r="AC223" s="117" t="str">
        <f>IF(AB223=1,COUNTIF($AB$3:AB223,1),"")</f>
        <v/>
      </c>
      <c r="AD223" s="117" t="str">
        <f>IFERROR(INDEX($AA$3:$AA$10000,MATCH(ROWS($AC$3:AC223),$AC$3:$AC$10000,0)),"")</f>
        <v/>
      </c>
      <c r="AE223" s="117" t="str">
        <f>+'Packing Material - Cost'!A224</f>
        <v/>
      </c>
    </row>
    <row r="224" spans="27:31">
      <c r="AA224" s="117" t="str">
        <f>+'Ingredient List - Mother Tinctu'!D225</f>
        <v>Pulsatilla Nig.</v>
      </c>
      <c r="AB224" s="117">
        <f t="shared" si="6"/>
        <v>0</v>
      </c>
      <c r="AC224" s="117" t="str">
        <f>IF(AB224=1,COUNTIF($AB$3:AB224,1),"")</f>
        <v/>
      </c>
      <c r="AD224" s="117" t="str">
        <f>IFERROR(INDEX($AA$3:$AA$10000,MATCH(ROWS($AC$3:AC224),$AC$3:$AC$10000,0)),"")</f>
        <v/>
      </c>
      <c r="AE224" s="117" t="str">
        <f>+'Packing Material - Cost'!A225</f>
        <v/>
      </c>
    </row>
    <row r="225" spans="27:31">
      <c r="AA225" s="117" t="str">
        <f>+'Ingredient List - Mother Tinctu'!D226</f>
        <v>Punarnava (Boerhavia Dif.)</v>
      </c>
      <c r="AB225" s="117">
        <f t="shared" si="6"/>
        <v>0</v>
      </c>
      <c r="AC225" s="117" t="str">
        <f>IF(AB225=1,COUNTIF($AB$3:AB225,1),"")</f>
        <v/>
      </c>
      <c r="AD225" s="117" t="str">
        <f>IFERROR(INDEX($AA$3:$AA$10000,MATCH(ROWS($AC$3:AC225),$AC$3:$AC$10000,0)),"")</f>
        <v/>
      </c>
      <c r="AE225" s="117" t="str">
        <f>+'Packing Material - Cost'!A226</f>
        <v/>
      </c>
    </row>
    <row r="226" spans="27:31">
      <c r="AA226" s="117" t="str">
        <f>+'Ingredient List - Mother Tinctu'!D227</f>
        <v>Ranuncul Scl.</v>
      </c>
      <c r="AB226" s="117">
        <f t="shared" si="6"/>
        <v>0</v>
      </c>
      <c r="AC226" s="117" t="str">
        <f>IF(AB226=1,COUNTIF($AB$3:AB226,1),"")</f>
        <v/>
      </c>
      <c r="AD226" s="117" t="str">
        <f>IFERROR(INDEX($AA$3:$AA$10000,MATCH(ROWS($AC$3:AC226),$AC$3:$AC$10000,0)),"")</f>
        <v/>
      </c>
      <c r="AE226" s="117" t="str">
        <f>+'Packing Material - Cost'!A227</f>
        <v/>
      </c>
    </row>
    <row r="227" spans="27:31">
      <c r="AA227" s="117" t="str">
        <f>+'Ingredient List - Mother Tinctu'!D228</f>
        <v>Raphanus Sat.</v>
      </c>
      <c r="AB227" s="117">
        <f t="shared" si="6"/>
        <v>0</v>
      </c>
      <c r="AC227" s="117" t="str">
        <f>IF(AB227=1,COUNTIF($AB$3:AB227,1),"")</f>
        <v/>
      </c>
      <c r="AD227" s="117" t="str">
        <f>IFERROR(INDEX($AA$3:$AA$10000,MATCH(ROWS($AC$3:AC227),$AC$3:$AC$10000,0)),"")</f>
        <v/>
      </c>
      <c r="AE227" s="117" t="str">
        <f>+'Packing Material - Cost'!A228</f>
        <v/>
      </c>
    </row>
    <row r="228" spans="27:31">
      <c r="AA228" s="117" t="str">
        <f>+'Ingredient List - Mother Tinctu'!D229</f>
        <v>Ratanhia</v>
      </c>
      <c r="AB228" s="117">
        <f t="shared" si="6"/>
        <v>0</v>
      </c>
      <c r="AC228" s="117" t="str">
        <f>IF(AB228=1,COUNTIF($AB$3:AB228,1),"")</f>
        <v/>
      </c>
      <c r="AD228" s="117" t="str">
        <f>IFERROR(INDEX($AA$3:$AA$10000,MATCH(ROWS($AC$3:AC228),$AC$3:$AC$10000,0)),"")</f>
        <v/>
      </c>
      <c r="AE228" s="117" t="str">
        <f>+'Packing Material - Cost'!A229</f>
        <v/>
      </c>
    </row>
    <row r="229" spans="27:31">
      <c r="AA229" s="117" t="str">
        <f>+'Ingredient List - Mother Tinctu'!D230</f>
        <v>Rauwolfia Serp.</v>
      </c>
      <c r="AB229" s="117">
        <f t="shared" si="6"/>
        <v>0</v>
      </c>
      <c r="AC229" s="117" t="str">
        <f>IF(AB229=1,COUNTIF($AB$3:AB229,1),"")</f>
        <v/>
      </c>
      <c r="AD229" s="117" t="str">
        <f>IFERROR(INDEX($AA$3:$AA$10000,MATCH(ROWS($AC$3:AC229),$AC$3:$AC$10000,0)),"")</f>
        <v/>
      </c>
      <c r="AE229" s="117" t="str">
        <f>+'Packing Material - Cost'!A230</f>
        <v/>
      </c>
    </row>
    <row r="230" spans="27:31">
      <c r="AA230" s="117" t="str">
        <f>+'Ingredient List - Mother Tinctu'!D231</f>
        <v>Rhododendron</v>
      </c>
      <c r="AB230" s="117">
        <f t="shared" si="6"/>
        <v>0</v>
      </c>
      <c r="AC230" s="117" t="str">
        <f>IF(AB230=1,COUNTIF($AB$3:AB230,1),"")</f>
        <v/>
      </c>
      <c r="AD230" s="117" t="str">
        <f>IFERROR(INDEX($AA$3:$AA$10000,MATCH(ROWS($AC$3:AC230),$AC$3:$AC$10000,0)),"")</f>
        <v/>
      </c>
      <c r="AE230" s="117" t="str">
        <f>+'Packing Material - Cost'!A231</f>
        <v/>
      </c>
    </row>
    <row r="231" spans="27:31">
      <c r="AA231" s="117" t="str">
        <f>+'Ingredient List - Mother Tinctu'!D232</f>
        <v>Rhus Tox</v>
      </c>
      <c r="AB231" s="117">
        <f t="shared" si="6"/>
        <v>0</v>
      </c>
      <c r="AC231" s="117" t="str">
        <f>IF(AB231=1,COUNTIF($AB$3:AB231,1),"")</f>
        <v/>
      </c>
      <c r="AD231" s="117" t="str">
        <f>IFERROR(INDEX($AA$3:$AA$10000,MATCH(ROWS($AC$3:AC231),$AC$3:$AC$10000,0)),"")</f>
        <v/>
      </c>
      <c r="AE231" s="117" t="str">
        <f>+'Packing Material - Cost'!A232</f>
        <v/>
      </c>
    </row>
    <row r="232" spans="27:31">
      <c r="AA232" s="117" t="str">
        <f>+'Ingredient List - Mother Tinctu'!D233</f>
        <v>Rhus Ven</v>
      </c>
      <c r="AB232" s="117">
        <f t="shared" si="6"/>
        <v>0</v>
      </c>
      <c r="AC232" s="117" t="str">
        <f>IF(AB232=1,COUNTIF($AB$3:AB232,1),"")</f>
        <v/>
      </c>
      <c r="AD232" s="117" t="str">
        <f>IFERROR(INDEX($AA$3:$AA$10000,MATCH(ROWS($AC$3:AC232),$AC$3:$AC$10000,0)),"")</f>
        <v/>
      </c>
      <c r="AE232" s="117" t="str">
        <f>+'Packing Material - Cost'!A233</f>
        <v/>
      </c>
    </row>
    <row r="233" spans="27:31">
      <c r="AA233" s="117" t="str">
        <f>+'Ingredient List - Mother Tinctu'!D234</f>
        <v>Ricinus Com</v>
      </c>
      <c r="AB233" s="117">
        <f t="shared" si="6"/>
        <v>0</v>
      </c>
      <c r="AC233" s="117" t="str">
        <f>IF(AB233=1,COUNTIF($AB$3:AB233,1),"")</f>
        <v/>
      </c>
      <c r="AD233" s="117" t="str">
        <f>IFERROR(INDEX($AA$3:$AA$10000,MATCH(ROWS($AC$3:AC233),$AC$3:$AC$10000,0)),"")</f>
        <v/>
      </c>
      <c r="AE233" s="117" t="str">
        <f>+'Packing Material - Cost'!A234</f>
        <v/>
      </c>
    </row>
    <row r="234" spans="27:31">
      <c r="AA234" s="117" t="str">
        <f>+'Ingredient List - Mother Tinctu'!D235</f>
        <v>Robinia</v>
      </c>
      <c r="AB234" s="117">
        <f t="shared" si="6"/>
        <v>0</v>
      </c>
      <c r="AC234" s="117" t="str">
        <f>IF(AB234=1,COUNTIF($AB$3:AB234,1),"")</f>
        <v/>
      </c>
      <c r="AD234" s="117" t="str">
        <f>IFERROR(INDEX($AA$3:$AA$10000,MATCH(ROWS($AC$3:AC234),$AC$3:$AC$10000,0)),"")</f>
        <v/>
      </c>
      <c r="AE234" s="117" t="str">
        <f>+'Packing Material - Cost'!A235</f>
        <v/>
      </c>
    </row>
    <row r="235" spans="27:31">
      <c r="AA235" s="117" t="str">
        <f>+'Ingredient List - Mother Tinctu'!D236</f>
        <v>Ruta Grav.</v>
      </c>
      <c r="AB235" s="117">
        <f t="shared" si="6"/>
        <v>0</v>
      </c>
      <c r="AC235" s="117" t="str">
        <f>IF(AB235=1,COUNTIF($AB$3:AB235,1),"")</f>
        <v/>
      </c>
      <c r="AD235" s="117" t="str">
        <f>IFERROR(INDEX($AA$3:$AA$10000,MATCH(ROWS($AC$3:AC235),$AC$3:$AC$10000,0)),"")</f>
        <v/>
      </c>
      <c r="AE235" s="117" t="str">
        <f>+'Packing Material - Cost'!A236</f>
        <v/>
      </c>
    </row>
    <row r="236" spans="27:31">
      <c r="AA236" s="117" t="str">
        <f>+'Ingredient List - Mother Tinctu'!D237</f>
        <v>Sabadilla</v>
      </c>
      <c r="AB236" s="117">
        <f t="shared" si="6"/>
        <v>0</v>
      </c>
      <c r="AC236" s="117" t="str">
        <f>IF(AB236=1,COUNTIF($AB$3:AB236,1),"")</f>
        <v/>
      </c>
      <c r="AD236" s="117" t="str">
        <f>IFERROR(INDEX($AA$3:$AA$10000,MATCH(ROWS($AC$3:AC236),$AC$3:$AC$10000,0)),"")</f>
        <v/>
      </c>
      <c r="AE236" s="117" t="str">
        <f>+'Packing Material - Cost'!A237</f>
        <v/>
      </c>
    </row>
    <row r="237" spans="27:31">
      <c r="AA237" s="117" t="str">
        <f>+'Ingredient List - Mother Tinctu'!D238</f>
        <v>Sabal Serr.</v>
      </c>
      <c r="AB237" s="117">
        <f t="shared" si="6"/>
        <v>0</v>
      </c>
      <c r="AC237" s="117" t="str">
        <f>IF(AB237=1,COUNTIF($AB$3:AB237,1),"")</f>
        <v/>
      </c>
      <c r="AD237" s="117" t="str">
        <f>IFERROR(INDEX($AA$3:$AA$10000,MATCH(ROWS($AC$3:AC237),$AC$3:$AC$10000,0)),"")</f>
        <v/>
      </c>
      <c r="AE237" s="117" t="str">
        <f>+'Packing Material - Cost'!A238</f>
        <v/>
      </c>
    </row>
    <row r="238" spans="27:31">
      <c r="AA238" s="117" t="str">
        <f>+'Ingredient List - Mother Tinctu'!D239</f>
        <v>Sabina</v>
      </c>
      <c r="AB238" s="117">
        <f t="shared" si="6"/>
        <v>0</v>
      </c>
      <c r="AC238" s="117" t="str">
        <f>IF(AB238=1,COUNTIF($AB$3:AB238,1),"")</f>
        <v/>
      </c>
      <c r="AD238" s="117" t="str">
        <f>IFERROR(INDEX($AA$3:$AA$10000,MATCH(ROWS($AC$3:AC238),$AC$3:$AC$10000,0)),"")</f>
        <v/>
      </c>
      <c r="AE238" s="117" t="str">
        <f>+'Packing Material - Cost'!A239</f>
        <v/>
      </c>
    </row>
    <row r="239" spans="27:31">
      <c r="AA239" s="117" t="str">
        <f>+'Ingredient List - Mother Tinctu'!D240</f>
        <v>Salix Nig.</v>
      </c>
      <c r="AB239" s="117">
        <f t="shared" si="6"/>
        <v>0</v>
      </c>
      <c r="AC239" s="117" t="str">
        <f>IF(AB239=1,COUNTIF($AB$3:AB239,1),"")</f>
        <v/>
      </c>
      <c r="AD239" s="117" t="str">
        <f>IFERROR(INDEX($AA$3:$AA$10000,MATCH(ROWS($AC$3:AC239),$AC$3:$AC$10000,0)),"")</f>
        <v/>
      </c>
      <c r="AE239" s="117" t="str">
        <f>+'Packing Material - Cost'!A240</f>
        <v/>
      </c>
    </row>
    <row r="240" spans="27:31">
      <c r="AA240" s="117" t="str">
        <f>+'Ingredient List - Mother Tinctu'!D241</f>
        <v>Sambucus Nig.</v>
      </c>
      <c r="AB240" s="117">
        <f t="shared" si="6"/>
        <v>0</v>
      </c>
      <c r="AC240" s="117" t="str">
        <f>IF(AB240=1,COUNTIF($AB$3:AB240,1),"")</f>
        <v/>
      </c>
      <c r="AD240" s="117" t="str">
        <f>IFERROR(INDEX($AA$3:$AA$10000,MATCH(ROWS($AC$3:AC240),$AC$3:$AC$10000,0)),"")</f>
        <v/>
      </c>
      <c r="AE240" s="117" t="str">
        <f>+'Packing Material - Cost'!A241</f>
        <v/>
      </c>
    </row>
    <row r="241" spans="27:31">
      <c r="AA241" s="117" t="str">
        <f>+'Ingredient List - Mother Tinctu'!D242</f>
        <v>Sanguinar Can.</v>
      </c>
      <c r="AB241" s="117">
        <f t="shared" si="6"/>
        <v>0</v>
      </c>
      <c r="AC241" s="117" t="str">
        <f>IF(AB241=1,COUNTIF($AB$3:AB241,1),"")</f>
        <v/>
      </c>
      <c r="AD241" s="117" t="str">
        <f>IFERROR(INDEX($AA$3:$AA$10000,MATCH(ROWS($AC$3:AC241),$AC$3:$AC$10000,0)),"")</f>
        <v/>
      </c>
      <c r="AE241" s="117" t="str">
        <f>+'Packing Material - Cost'!A242</f>
        <v/>
      </c>
    </row>
    <row r="242" spans="27:31">
      <c r="AA242" s="117" t="str">
        <f>+'Ingredient List - Mother Tinctu'!D243</f>
        <v>Sarasaparilla</v>
      </c>
      <c r="AB242" s="117">
        <f t="shared" si="6"/>
        <v>0</v>
      </c>
      <c r="AC242" s="117" t="str">
        <f>IF(AB242=1,COUNTIF($AB$3:AB242,1),"")</f>
        <v/>
      </c>
      <c r="AD242" s="117" t="str">
        <f>IFERROR(INDEX($AA$3:$AA$10000,MATCH(ROWS($AC$3:AC242),$AC$3:$AC$10000,0)),"")</f>
        <v/>
      </c>
      <c r="AE242" s="117" t="str">
        <f>+'Packing Material - Cost'!A243</f>
        <v/>
      </c>
    </row>
    <row r="243" spans="27:31">
      <c r="AA243" s="117" t="str">
        <f>+'Ingredient List - Mother Tinctu'!D244</f>
        <v>Scrophularia Nodosa</v>
      </c>
      <c r="AB243" s="117">
        <f t="shared" si="6"/>
        <v>0</v>
      </c>
      <c r="AC243" s="117" t="str">
        <f>IF(AB243=1,COUNTIF($AB$3:AB243,1),"")</f>
        <v/>
      </c>
      <c r="AD243" s="117" t="str">
        <f>IFERROR(INDEX($AA$3:$AA$10000,MATCH(ROWS($AC$3:AC243),$AC$3:$AC$10000,0)),"")</f>
        <v/>
      </c>
      <c r="AE243" s="117" t="str">
        <f>+'Packing Material - Cost'!A244</f>
        <v/>
      </c>
    </row>
    <row r="244" spans="27:31">
      <c r="AA244" s="117" t="str">
        <f>+'Ingredient List - Mother Tinctu'!D245</f>
        <v>Scutellar. L</v>
      </c>
      <c r="AB244" s="117">
        <f t="shared" si="6"/>
        <v>0</v>
      </c>
      <c r="AC244" s="117" t="str">
        <f>IF(AB244=1,COUNTIF($AB$3:AB244,1),"")</f>
        <v/>
      </c>
      <c r="AD244" s="117" t="str">
        <f>IFERROR(INDEX($AA$3:$AA$10000,MATCH(ROWS($AC$3:AC244),$AC$3:$AC$10000,0)),"")</f>
        <v/>
      </c>
      <c r="AE244" s="117" t="str">
        <f>+'Packing Material - Cost'!A245</f>
        <v/>
      </c>
    </row>
    <row r="245" spans="27:31">
      <c r="AA245" s="117" t="str">
        <f>+'Ingredient List - Mother Tinctu'!D246</f>
        <v>Secale Cor.</v>
      </c>
      <c r="AB245" s="117">
        <f t="shared" si="6"/>
        <v>0</v>
      </c>
      <c r="AC245" s="117" t="str">
        <f>IF(AB245=1,COUNTIF($AB$3:AB245,1),"")</f>
        <v/>
      </c>
      <c r="AD245" s="117" t="str">
        <f>IFERROR(INDEX($AA$3:$AA$10000,MATCH(ROWS($AC$3:AC245),$AC$3:$AC$10000,0)),"")</f>
        <v/>
      </c>
      <c r="AE245" s="117" t="str">
        <f>+'Packing Material - Cost'!A246</f>
        <v/>
      </c>
    </row>
    <row r="246" spans="27:31">
      <c r="AA246" s="117" t="str">
        <f>+'Ingredient List - Mother Tinctu'!D247</f>
        <v>Senecio Aur</v>
      </c>
      <c r="AB246" s="117">
        <f t="shared" si="6"/>
        <v>0</v>
      </c>
      <c r="AC246" s="117" t="str">
        <f>IF(AB246=1,COUNTIF($AB$3:AB246,1),"")</f>
        <v/>
      </c>
      <c r="AD246" s="117" t="str">
        <f>IFERROR(INDEX($AA$3:$AA$10000,MATCH(ROWS($AC$3:AC246),$AC$3:$AC$10000,0)),"")</f>
        <v/>
      </c>
      <c r="AE246" s="117" t="str">
        <f>+'Packing Material - Cost'!A247</f>
        <v/>
      </c>
    </row>
    <row r="247" spans="27:31">
      <c r="AA247" s="117" t="str">
        <f>+'Ingredient List - Mother Tinctu'!D248</f>
        <v>Senega</v>
      </c>
      <c r="AB247" s="117">
        <f t="shared" si="6"/>
        <v>0</v>
      </c>
      <c r="AC247" s="117" t="str">
        <f>IF(AB247=1,COUNTIF($AB$3:AB247,1),"")</f>
        <v/>
      </c>
      <c r="AD247" s="117" t="str">
        <f>IFERROR(INDEX($AA$3:$AA$10000,MATCH(ROWS($AC$3:AC247),$AC$3:$AC$10000,0)),"")</f>
        <v/>
      </c>
      <c r="AE247" s="117" t="str">
        <f>+'Packing Material - Cost'!A248</f>
        <v/>
      </c>
    </row>
    <row r="248" spans="27:31">
      <c r="AA248" s="117" t="str">
        <f>+'Ingredient List - Mother Tinctu'!D249</f>
        <v>Senna</v>
      </c>
      <c r="AB248" s="117">
        <f t="shared" si="6"/>
        <v>0</v>
      </c>
      <c r="AC248" s="117" t="str">
        <f>IF(AB248=1,COUNTIF($AB$3:AB248,1),"")</f>
        <v/>
      </c>
      <c r="AD248" s="117" t="str">
        <f>IFERROR(INDEX($AA$3:$AA$10000,MATCH(ROWS($AC$3:AC248),$AC$3:$AC$10000,0)),"")</f>
        <v/>
      </c>
      <c r="AE248" s="117" t="str">
        <f>+'Packing Material - Cost'!A249</f>
        <v/>
      </c>
    </row>
    <row r="249" spans="27:31">
      <c r="AA249" s="117" t="str">
        <f>+'Ingredient List - Mother Tinctu'!D250</f>
        <v>Solanum Nig.</v>
      </c>
      <c r="AB249" s="117">
        <f t="shared" si="6"/>
        <v>0</v>
      </c>
      <c r="AC249" s="117" t="str">
        <f>IF(AB249=1,COUNTIF($AB$3:AB249,1),"")</f>
        <v/>
      </c>
      <c r="AD249" s="117" t="str">
        <f>IFERROR(INDEX($AA$3:$AA$10000,MATCH(ROWS($AC$3:AC249),$AC$3:$AC$10000,0)),"")</f>
        <v/>
      </c>
      <c r="AE249" s="117" t="str">
        <f>+'Packing Material - Cost'!A250</f>
        <v/>
      </c>
    </row>
    <row r="250" spans="27:31">
      <c r="AA250" s="117" t="str">
        <f>+'Ingredient List - Mother Tinctu'!D251</f>
        <v>Solidago V.</v>
      </c>
      <c r="AB250" s="117">
        <f t="shared" si="6"/>
        <v>0</v>
      </c>
      <c r="AC250" s="117" t="str">
        <f>IF(AB250=1,COUNTIF($AB$3:AB250,1),"")</f>
        <v/>
      </c>
      <c r="AD250" s="117" t="str">
        <f>IFERROR(INDEX($AA$3:$AA$10000,MATCH(ROWS($AC$3:AC250),$AC$3:$AC$10000,0)),"")</f>
        <v/>
      </c>
      <c r="AE250" s="117" t="str">
        <f>+'Packing Material - Cost'!A251</f>
        <v/>
      </c>
    </row>
    <row r="251" spans="27:31">
      <c r="AA251" s="117" t="str">
        <f>+'Ingredient List - Mother Tinctu'!D252</f>
        <v>Spartium Scop.</v>
      </c>
      <c r="AB251" s="117">
        <f t="shared" si="6"/>
        <v>0</v>
      </c>
      <c r="AC251" s="117" t="str">
        <f>IF(AB251=1,COUNTIF($AB$3:AB251,1),"")</f>
        <v/>
      </c>
      <c r="AD251" s="117" t="str">
        <f>IFERROR(INDEX($AA$3:$AA$10000,MATCH(ROWS($AC$3:AC251),$AC$3:$AC$10000,0)),"")</f>
        <v/>
      </c>
      <c r="AE251" s="117" t="str">
        <f>+'Packing Material - Cost'!A252</f>
        <v/>
      </c>
    </row>
    <row r="252" spans="27:31">
      <c r="AA252" s="117" t="str">
        <f>+'Ingredient List - Mother Tinctu'!D253</f>
        <v>Spigelia</v>
      </c>
      <c r="AB252" s="117">
        <f t="shared" si="6"/>
        <v>0</v>
      </c>
      <c r="AC252" s="117" t="str">
        <f>IF(AB252=1,COUNTIF($AB$3:AB252,1),"")</f>
        <v/>
      </c>
      <c r="AD252" s="117" t="str">
        <f>IFERROR(INDEX($AA$3:$AA$10000,MATCH(ROWS($AC$3:AC252),$AC$3:$AC$10000,0)),"")</f>
        <v/>
      </c>
      <c r="AE252" s="117" t="str">
        <f>+'Packing Material - Cost'!A253</f>
        <v/>
      </c>
    </row>
    <row r="253" spans="27:31">
      <c r="AA253" s="117" t="str">
        <f>+'Ingredient List - Mother Tinctu'!D254</f>
        <v>Spongia T.</v>
      </c>
      <c r="AB253" s="117">
        <f t="shared" si="6"/>
        <v>0</v>
      </c>
      <c r="AC253" s="117" t="str">
        <f>IF(AB253=1,COUNTIF($AB$3:AB253,1),"")</f>
        <v/>
      </c>
      <c r="AD253" s="117" t="str">
        <f>IFERROR(INDEX($AA$3:$AA$10000,MATCH(ROWS($AC$3:AC253),$AC$3:$AC$10000,0)),"")</f>
        <v/>
      </c>
      <c r="AE253" s="117" t="str">
        <f>+'Packing Material - Cost'!A254</f>
        <v/>
      </c>
    </row>
    <row r="254" spans="27:31">
      <c r="AA254" s="117" t="str">
        <f>+'Ingredient List - Mother Tinctu'!D255</f>
        <v>Squilla M</v>
      </c>
      <c r="AB254" s="117">
        <f t="shared" si="6"/>
        <v>0</v>
      </c>
      <c r="AC254" s="117" t="str">
        <f>IF(AB254=1,COUNTIF($AB$3:AB254,1),"")</f>
        <v/>
      </c>
      <c r="AD254" s="117" t="str">
        <f>IFERROR(INDEX($AA$3:$AA$10000,MATCH(ROWS($AC$3:AC254),$AC$3:$AC$10000,0)),"")</f>
        <v/>
      </c>
      <c r="AE254" s="117" t="str">
        <f>+'Packing Material - Cost'!A255</f>
        <v/>
      </c>
    </row>
    <row r="255" spans="27:31">
      <c r="AA255" s="117" t="str">
        <f>+'Ingredient List - Mother Tinctu'!D256</f>
        <v>Staphysagria</v>
      </c>
      <c r="AB255" s="117">
        <f t="shared" si="6"/>
        <v>0</v>
      </c>
      <c r="AC255" s="117" t="str">
        <f>IF(AB255=1,COUNTIF($AB$3:AB255,1),"")</f>
        <v/>
      </c>
      <c r="AD255" s="117" t="str">
        <f>IFERROR(INDEX($AA$3:$AA$10000,MATCH(ROWS($AC$3:AC255),$AC$3:$AC$10000,0)),"")</f>
        <v/>
      </c>
      <c r="AE255" s="117" t="str">
        <f>+'Packing Material - Cost'!A256</f>
        <v/>
      </c>
    </row>
    <row r="256" spans="27:31">
      <c r="AA256" s="117" t="str">
        <f>+'Ingredient List - Mother Tinctu'!D257</f>
        <v>Stellaria M</v>
      </c>
      <c r="AB256" s="117">
        <f t="shared" si="6"/>
        <v>0</v>
      </c>
      <c r="AC256" s="117" t="str">
        <f>IF(AB256=1,COUNTIF($AB$3:AB256,1),"")</f>
        <v/>
      </c>
      <c r="AD256" s="117" t="str">
        <f>IFERROR(INDEX($AA$3:$AA$10000,MATCH(ROWS($AC$3:AC256),$AC$3:$AC$10000,0)),"")</f>
        <v/>
      </c>
      <c r="AE256" s="117" t="str">
        <f>+'Packing Material - Cost'!A257</f>
        <v/>
      </c>
    </row>
    <row r="257" spans="27:31">
      <c r="AA257" s="117" t="str">
        <f>+'Ingredient List - Mother Tinctu'!D258</f>
        <v>Sterculia A</v>
      </c>
      <c r="AB257" s="117">
        <f t="shared" si="6"/>
        <v>0</v>
      </c>
      <c r="AC257" s="117" t="str">
        <f>IF(AB257=1,COUNTIF($AB$3:AB257,1),"")</f>
        <v/>
      </c>
      <c r="AD257" s="117" t="str">
        <f>IFERROR(INDEX($AA$3:$AA$10000,MATCH(ROWS($AC$3:AC257),$AC$3:$AC$10000,0)),"")</f>
        <v/>
      </c>
      <c r="AE257" s="117" t="str">
        <f>+'Packing Material - Cost'!A258</f>
        <v/>
      </c>
    </row>
    <row r="258" spans="27:31">
      <c r="AA258" s="117" t="str">
        <f>+'Ingredient List - Mother Tinctu'!D259</f>
        <v>Sticta Pul.</v>
      </c>
      <c r="AB258" s="117">
        <f t="shared" si="6"/>
        <v>0</v>
      </c>
      <c r="AC258" s="117" t="str">
        <f>IF(AB258=1,COUNTIF($AB$3:AB258,1),"")</f>
        <v/>
      </c>
      <c r="AD258" s="117" t="str">
        <f>IFERROR(INDEX($AA$3:$AA$10000,MATCH(ROWS($AC$3:AC258),$AC$3:$AC$10000,0)),"")</f>
        <v/>
      </c>
      <c r="AE258" s="117" t="str">
        <f>+'Packing Material - Cost'!A259</f>
        <v/>
      </c>
    </row>
    <row r="259" spans="27:31">
      <c r="AA259" s="117" t="str">
        <f>+'Ingredient List - Mother Tinctu'!D260</f>
        <v>Stillingia S.</v>
      </c>
      <c r="AB259" s="117">
        <f t="shared" si="6"/>
        <v>0</v>
      </c>
      <c r="AC259" s="117" t="str">
        <f>IF(AB259=1,COUNTIF($AB$3:AB259,1),"")</f>
        <v/>
      </c>
      <c r="AD259" s="117" t="str">
        <f>IFERROR(INDEX($AA$3:$AA$10000,MATCH(ROWS($AC$3:AC259),$AC$3:$AC$10000,0)),"")</f>
        <v/>
      </c>
      <c r="AE259" s="117" t="str">
        <f>+'Packing Material - Cost'!A260</f>
        <v/>
      </c>
    </row>
    <row r="260" spans="27:31">
      <c r="AA260" s="117" t="str">
        <f>+'Ingredient List - Mother Tinctu'!D261</f>
        <v>Stramonium</v>
      </c>
      <c r="AB260" s="117">
        <f t="shared" ref="AB260:AB323" si="7">--ISNUMBER(IFERROR(SEARCH($D$3,AA260,1),""))</f>
        <v>0</v>
      </c>
      <c r="AC260" s="117" t="str">
        <f>IF(AB260=1,COUNTIF($AB$3:AB260,1),"")</f>
        <v/>
      </c>
      <c r="AD260" s="117" t="str">
        <f>IFERROR(INDEX($AA$3:$AA$10000,MATCH(ROWS($AC$3:AC260),$AC$3:$AC$10000,0)),"")</f>
        <v/>
      </c>
      <c r="AE260" s="117" t="str">
        <f>+'Packing Material - Cost'!A261</f>
        <v/>
      </c>
    </row>
    <row r="261" spans="27:31">
      <c r="AA261" s="117" t="str">
        <f>+'Ingredient List - Mother Tinctu'!D262</f>
        <v>Strophanthus  Hisp.</v>
      </c>
      <c r="AB261" s="117">
        <f t="shared" si="7"/>
        <v>0</v>
      </c>
      <c r="AC261" s="117" t="str">
        <f>IF(AB261=1,COUNTIF($AB$3:AB261,1),"")</f>
        <v/>
      </c>
      <c r="AD261" s="117" t="str">
        <f>IFERROR(INDEX($AA$3:$AA$10000,MATCH(ROWS($AC$3:AC261),$AC$3:$AC$10000,0)),"")</f>
        <v/>
      </c>
      <c r="AE261" s="117" t="str">
        <f>+'Packing Material - Cost'!A262</f>
        <v/>
      </c>
    </row>
    <row r="262" spans="27:31">
      <c r="AA262" s="117" t="str">
        <f>+'Ingredient List - Mother Tinctu'!D263</f>
        <v>Sulphur</v>
      </c>
      <c r="AB262" s="117">
        <f t="shared" si="7"/>
        <v>0</v>
      </c>
      <c r="AC262" s="117" t="str">
        <f>IF(AB262=1,COUNTIF($AB$3:AB262,1),"")</f>
        <v/>
      </c>
      <c r="AD262" s="117" t="str">
        <f>IFERROR(INDEX($AA$3:$AA$10000,MATCH(ROWS($AC$3:AC262),$AC$3:$AC$10000,0)),"")</f>
        <v/>
      </c>
      <c r="AE262" s="117" t="str">
        <f>+'Packing Material - Cost'!A263</f>
        <v/>
      </c>
    </row>
    <row r="263" spans="27:31">
      <c r="AA263" s="117" t="str">
        <f>+'Ingredient List - Mother Tinctu'!D264</f>
        <v>Symphoricar.</v>
      </c>
      <c r="AB263" s="117">
        <f t="shared" si="7"/>
        <v>0</v>
      </c>
      <c r="AC263" s="117" t="str">
        <f>IF(AB263=1,COUNTIF($AB$3:AB263,1),"")</f>
        <v/>
      </c>
      <c r="AD263" s="117" t="str">
        <f>IFERROR(INDEX($AA$3:$AA$10000,MATCH(ROWS($AC$3:AC263),$AC$3:$AC$10000,0)),"")</f>
        <v/>
      </c>
      <c r="AE263" s="117" t="str">
        <f>+'Packing Material - Cost'!A264</f>
        <v/>
      </c>
    </row>
    <row r="264" spans="27:31">
      <c r="AA264" s="117" t="str">
        <f>+'Ingredient List - Mother Tinctu'!D265</f>
        <v>Symphytum</v>
      </c>
      <c r="AB264" s="117">
        <f t="shared" si="7"/>
        <v>0</v>
      </c>
      <c r="AC264" s="117" t="str">
        <f>IF(AB264=1,COUNTIF($AB$3:AB264,1),"")</f>
        <v/>
      </c>
      <c r="AD264" s="117" t="str">
        <f>IFERROR(INDEX($AA$3:$AA$10000,MATCH(ROWS($AC$3:AC264),$AC$3:$AC$10000,0)),"")</f>
        <v/>
      </c>
      <c r="AE264" s="117" t="str">
        <f>+'Packing Material - Cost'!A265</f>
        <v/>
      </c>
    </row>
    <row r="265" spans="27:31">
      <c r="AA265" s="117" t="str">
        <f>+'Ingredient List - Mother Tinctu'!D266</f>
        <v>Syzygium J.</v>
      </c>
      <c r="AB265" s="117">
        <f t="shared" si="7"/>
        <v>0</v>
      </c>
      <c r="AC265" s="117" t="str">
        <f>IF(AB265=1,COUNTIF($AB$3:AB265,1),"")</f>
        <v/>
      </c>
      <c r="AD265" s="117" t="str">
        <f>IFERROR(INDEX($AA$3:$AA$10000,MATCH(ROWS($AC$3:AC265),$AC$3:$AC$10000,0)),"")</f>
        <v/>
      </c>
      <c r="AE265" s="117" t="str">
        <f>+'Packing Material - Cost'!A266</f>
        <v/>
      </c>
    </row>
    <row r="266" spans="27:31">
      <c r="AA266" s="117" t="str">
        <f>+'Ingredient List - Mother Tinctu'!D267</f>
        <v>Tabacum</v>
      </c>
      <c r="AB266" s="117">
        <f t="shared" si="7"/>
        <v>0</v>
      </c>
      <c r="AC266" s="117" t="str">
        <f>IF(AB266=1,COUNTIF($AB$3:AB266,1),"")</f>
        <v/>
      </c>
      <c r="AD266" s="117" t="str">
        <f>IFERROR(INDEX($AA$3:$AA$10000,MATCH(ROWS($AC$3:AC266),$AC$3:$AC$10000,0)),"")</f>
        <v/>
      </c>
      <c r="AE266" s="117" t="str">
        <f>+'Packing Material - Cost'!A267</f>
        <v/>
      </c>
    </row>
    <row r="267" spans="27:31">
      <c r="AA267" s="117" t="str">
        <f>+'Ingredient List - Mother Tinctu'!D268</f>
        <v>Taraxacum</v>
      </c>
      <c r="AB267" s="117">
        <f t="shared" si="7"/>
        <v>0</v>
      </c>
      <c r="AC267" s="117" t="str">
        <f>IF(AB267=1,COUNTIF($AB$3:AB267,1),"")</f>
        <v/>
      </c>
      <c r="AD267" s="117" t="str">
        <f>IFERROR(INDEX($AA$3:$AA$10000,MATCH(ROWS($AC$3:AC267),$AC$3:$AC$10000,0)),"")</f>
        <v/>
      </c>
      <c r="AE267" s="117" t="str">
        <f>+'Packing Material - Cost'!A268</f>
        <v/>
      </c>
    </row>
    <row r="268" spans="27:31">
      <c r="AA268" s="117" t="str">
        <f>+'Ingredient List - Mother Tinctu'!D269</f>
        <v>Terminalia Arjuna (Arjuna)</v>
      </c>
      <c r="AB268" s="117">
        <f t="shared" si="7"/>
        <v>0</v>
      </c>
      <c r="AC268" s="117" t="str">
        <f>IF(AB268=1,COUNTIF($AB$3:AB268,1),"")</f>
        <v/>
      </c>
      <c r="AD268" s="117" t="str">
        <f>IFERROR(INDEX($AA$3:$AA$10000,MATCH(ROWS($AC$3:AC268),$AC$3:$AC$10000,0)),"")</f>
        <v/>
      </c>
      <c r="AE268" s="117" t="str">
        <f>+'Packing Material - Cost'!A269</f>
        <v/>
      </c>
    </row>
    <row r="269" spans="27:31">
      <c r="AA269" s="117" t="str">
        <f>+'Ingredient List - Mother Tinctu'!D270</f>
        <v>Terminalia C.</v>
      </c>
      <c r="AB269" s="117">
        <f t="shared" si="7"/>
        <v>0</v>
      </c>
      <c r="AC269" s="117" t="str">
        <f>IF(AB269=1,COUNTIF($AB$3:AB269,1),"")</f>
        <v/>
      </c>
      <c r="AD269" s="117" t="str">
        <f>IFERROR(INDEX($AA$3:$AA$10000,MATCH(ROWS($AC$3:AC269),$AC$3:$AC$10000,0)),"")</f>
        <v/>
      </c>
      <c r="AE269" s="117" t="str">
        <f>+'Packing Material - Cost'!A270</f>
        <v/>
      </c>
    </row>
    <row r="270" spans="27:31">
      <c r="AA270" s="117" t="str">
        <f>+'Ingredient List - Mother Tinctu'!D271</f>
        <v>Teucri M. V.</v>
      </c>
      <c r="AB270" s="117">
        <f t="shared" si="7"/>
        <v>0</v>
      </c>
      <c r="AC270" s="117" t="str">
        <f>IF(AB270=1,COUNTIF($AB$3:AB270,1),"")</f>
        <v/>
      </c>
      <c r="AD270" s="117" t="str">
        <f>IFERROR(INDEX($AA$3:$AA$10000,MATCH(ROWS($AC$3:AC270),$AC$3:$AC$10000,0)),"")</f>
        <v/>
      </c>
      <c r="AE270" s="117" t="str">
        <f>+'Packing Material - Cost'!A271</f>
        <v/>
      </c>
    </row>
    <row r="271" spans="27:31">
      <c r="AA271" s="117" t="str">
        <f>+'Ingredient List - Mother Tinctu'!D272</f>
        <v>Thea Chinensis</v>
      </c>
      <c r="AB271" s="117">
        <f t="shared" si="7"/>
        <v>0</v>
      </c>
      <c r="AC271" s="117" t="str">
        <f>IF(AB271=1,COUNTIF($AB$3:AB271,1),"")</f>
        <v/>
      </c>
      <c r="AD271" s="117" t="str">
        <f>IFERROR(INDEX($AA$3:$AA$10000,MATCH(ROWS($AC$3:AC271),$AC$3:$AC$10000,0)),"")</f>
        <v/>
      </c>
      <c r="AE271" s="117" t="str">
        <f>+'Packing Material - Cost'!A272</f>
        <v/>
      </c>
    </row>
    <row r="272" spans="27:31">
      <c r="AA272" s="117" t="str">
        <f>+'Ingredient List - Mother Tinctu'!D273</f>
        <v>Thlaspi B. P.</v>
      </c>
      <c r="AB272" s="117">
        <f t="shared" si="7"/>
        <v>0</v>
      </c>
      <c r="AC272" s="117" t="str">
        <f>IF(AB272=1,COUNTIF($AB$3:AB272,1),"")</f>
        <v/>
      </c>
      <c r="AD272" s="117" t="str">
        <f>IFERROR(INDEX($AA$3:$AA$10000,MATCH(ROWS($AC$3:AC272),$AC$3:$AC$10000,0)),"")</f>
        <v/>
      </c>
      <c r="AE272" s="117" t="str">
        <f>+'Packing Material - Cost'!A273</f>
        <v/>
      </c>
    </row>
    <row r="273" spans="27:31">
      <c r="AA273" s="117" t="str">
        <f>+'Ingredient List - Mother Tinctu'!D274</f>
        <v>Thuja Occi.</v>
      </c>
      <c r="AB273" s="117">
        <f t="shared" si="7"/>
        <v>0</v>
      </c>
      <c r="AC273" s="117" t="str">
        <f>IF(AB273=1,COUNTIF($AB$3:AB273,1),"")</f>
        <v/>
      </c>
      <c r="AD273" s="117" t="str">
        <f>IFERROR(INDEX($AA$3:$AA$10000,MATCH(ROWS($AC$3:AC273),$AC$3:$AC$10000,0)),"")</f>
        <v/>
      </c>
      <c r="AE273" s="117" t="str">
        <f>+'Packing Material - Cost'!A274</f>
        <v/>
      </c>
    </row>
    <row r="274" spans="27:31">
      <c r="AA274" s="117" t="str">
        <f>+'Ingredient List - Mother Tinctu'!D275</f>
        <v>Thymol</v>
      </c>
      <c r="AB274" s="117">
        <f t="shared" si="7"/>
        <v>0</v>
      </c>
      <c r="AC274" s="117" t="str">
        <f>IF(AB274=1,COUNTIF($AB$3:AB274,1),"")</f>
        <v/>
      </c>
      <c r="AD274" s="117" t="str">
        <f>IFERROR(INDEX($AA$3:$AA$10000,MATCH(ROWS($AC$3:AC274),$AC$3:$AC$10000,0)),"")</f>
        <v/>
      </c>
      <c r="AE274" s="117" t="str">
        <f>+'Packing Material - Cost'!A275</f>
        <v/>
      </c>
    </row>
    <row r="275" spans="27:31">
      <c r="AA275" s="117" t="str">
        <f>+'Ingredient List - Mother Tinctu'!D276</f>
        <v>Tinospora C.</v>
      </c>
      <c r="AB275" s="117">
        <f t="shared" si="7"/>
        <v>0</v>
      </c>
      <c r="AC275" s="117" t="str">
        <f>IF(AB275=1,COUNTIF($AB$3:AB275,1),"")</f>
        <v/>
      </c>
      <c r="AD275" s="117" t="str">
        <f>IFERROR(INDEX($AA$3:$AA$10000,MATCH(ROWS($AC$3:AC275),$AC$3:$AC$10000,0)),"")</f>
        <v/>
      </c>
      <c r="AE275" s="117" t="str">
        <f>+'Packing Material - Cost'!A276</f>
        <v/>
      </c>
    </row>
    <row r="276" spans="27:31">
      <c r="AA276" s="117" t="str">
        <f>+'Ingredient List - Mother Tinctu'!D277</f>
        <v>Tribulus Terr.</v>
      </c>
      <c r="AB276" s="117">
        <f t="shared" si="7"/>
        <v>0</v>
      </c>
      <c r="AC276" s="117" t="str">
        <f>IF(AB276=1,COUNTIF($AB$3:AB276,1),"")</f>
        <v/>
      </c>
      <c r="AD276" s="117" t="str">
        <f>IFERROR(INDEX($AA$3:$AA$10000,MATCH(ROWS($AC$3:AC276),$AC$3:$AC$10000,0)),"")</f>
        <v/>
      </c>
      <c r="AE276" s="117" t="str">
        <f>+'Packing Material - Cost'!A277</f>
        <v/>
      </c>
    </row>
    <row r="277" spans="27:31">
      <c r="AA277" s="117" t="str">
        <f>+'Ingredient List - Mother Tinctu'!D278</f>
        <v>Trillium Pend.</v>
      </c>
      <c r="AB277" s="117">
        <f t="shared" si="7"/>
        <v>0</v>
      </c>
      <c r="AC277" s="117" t="str">
        <f>IF(AB277=1,COUNTIF($AB$3:AB277,1),"")</f>
        <v/>
      </c>
      <c r="AD277" s="117" t="str">
        <f>IFERROR(INDEX($AA$3:$AA$10000,MATCH(ROWS($AC$3:AC277),$AC$3:$AC$10000,0)),"")</f>
        <v/>
      </c>
      <c r="AE277" s="117" t="str">
        <f>+'Packing Material - Cost'!A278</f>
        <v/>
      </c>
    </row>
    <row r="278" spans="27:31">
      <c r="AA278" s="117" t="str">
        <f>+'Ingredient List - Mother Tinctu'!D279</f>
        <v>Turnera. A (Damiana)</v>
      </c>
      <c r="AB278" s="117">
        <f t="shared" si="7"/>
        <v>0</v>
      </c>
      <c r="AC278" s="117" t="str">
        <f>IF(AB278=1,COUNTIF($AB$3:AB278,1),"")</f>
        <v/>
      </c>
      <c r="AD278" s="117" t="str">
        <f>IFERROR(INDEX($AA$3:$AA$10000,MATCH(ROWS($AC$3:AC278),$AC$3:$AC$10000,0)),"")</f>
        <v/>
      </c>
      <c r="AE278" s="117" t="str">
        <f>+'Packing Material - Cost'!A279</f>
        <v/>
      </c>
    </row>
    <row r="279" spans="27:31">
      <c r="AA279" s="117" t="str">
        <f>+'Ingredient List - Mother Tinctu'!D280</f>
        <v>Tylophora Ind</v>
      </c>
      <c r="AB279" s="117">
        <f t="shared" si="7"/>
        <v>0</v>
      </c>
      <c r="AC279" s="117" t="str">
        <f>IF(AB279=1,COUNTIF($AB$3:AB279,1),"")</f>
        <v/>
      </c>
      <c r="AD279" s="117" t="str">
        <f>IFERROR(INDEX($AA$3:$AA$10000,MATCH(ROWS($AC$3:AC279),$AC$3:$AC$10000,0)),"")</f>
        <v/>
      </c>
      <c r="AE279" s="117" t="str">
        <f>+'Packing Material - Cost'!A280</f>
        <v/>
      </c>
    </row>
    <row r="280" spans="27:31">
      <c r="AA280" s="117" t="str">
        <f>+'Ingredient List - Mother Tinctu'!D281</f>
        <v>Urtica Urens</v>
      </c>
      <c r="AB280" s="117">
        <f t="shared" si="7"/>
        <v>0</v>
      </c>
      <c r="AC280" s="117" t="str">
        <f>IF(AB280=1,COUNTIF($AB$3:AB280,1),"")</f>
        <v/>
      </c>
      <c r="AD280" s="117" t="str">
        <f>IFERROR(INDEX($AA$3:$AA$10000,MATCH(ROWS($AC$3:AC280),$AC$3:$AC$10000,0)),"")</f>
        <v/>
      </c>
      <c r="AE280" s="117" t="str">
        <f>+'Packing Material - Cost'!A281</f>
        <v/>
      </c>
    </row>
    <row r="281" spans="27:31">
      <c r="AA281" s="117" t="str">
        <f>+'Ingredient List - Mother Tinctu'!D282</f>
        <v>Usnea Bar.</v>
      </c>
      <c r="AB281" s="117">
        <f t="shared" si="7"/>
        <v>0</v>
      </c>
      <c r="AC281" s="117" t="str">
        <f>IF(AB281=1,COUNTIF($AB$3:AB281,1),"")</f>
        <v/>
      </c>
      <c r="AD281" s="117" t="str">
        <f>IFERROR(INDEX($AA$3:$AA$10000,MATCH(ROWS($AC$3:AC281),$AC$3:$AC$10000,0)),"")</f>
        <v/>
      </c>
      <c r="AE281" s="117" t="str">
        <f>+'Packing Material - Cost'!A282</f>
        <v/>
      </c>
    </row>
    <row r="282" spans="27:31">
      <c r="AA282" s="117" t="str">
        <f>+'Ingredient List - Mother Tinctu'!D283</f>
        <v>Ustilago M.</v>
      </c>
      <c r="AB282" s="117">
        <f t="shared" si="7"/>
        <v>0</v>
      </c>
      <c r="AC282" s="117" t="str">
        <f>IF(AB282=1,COUNTIF($AB$3:AB282,1),"")</f>
        <v/>
      </c>
      <c r="AD282" s="117" t="str">
        <f>IFERROR(INDEX($AA$3:$AA$10000,MATCH(ROWS($AC$3:AC282),$AC$3:$AC$10000,0)),"")</f>
        <v/>
      </c>
      <c r="AE282" s="117" t="str">
        <f>+'Packing Material - Cost'!A283</f>
        <v/>
      </c>
    </row>
    <row r="283" spans="27:31">
      <c r="AA283" s="117" t="str">
        <f>+'Ingredient List - Mother Tinctu'!D284</f>
        <v>Uva Ursi</v>
      </c>
      <c r="AB283" s="117">
        <f t="shared" si="7"/>
        <v>0</v>
      </c>
      <c r="AC283" s="117" t="str">
        <f>IF(AB283=1,COUNTIF($AB$3:AB283,1),"")</f>
        <v/>
      </c>
      <c r="AD283" s="117" t="str">
        <f>IFERROR(INDEX($AA$3:$AA$10000,MATCH(ROWS($AC$3:AC283),$AC$3:$AC$10000,0)),"")</f>
        <v/>
      </c>
      <c r="AE283" s="117" t="str">
        <f>+'Packing Material - Cost'!A284</f>
        <v/>
      </c>
    </row>
    <row r="284" spans="27:31">
      <c r="AA284" s="117" t="str">
        <f>+'Ingredient List - Mother Tinctu'!D285</f>
        <v>Valeriana 0.</v>
      </c>
      <c r="AB284" s="117">
        <f t="shared" si="7"/>
        <v>0</v>
      </c>
      <c r="AC284" s="117" t="str">
        <f>IF(AB284=1,COUNTIF($AB$3:AB284,1),"")</f>
        <v/>
      </c>
      <c r="AD284" s="117" t="str">
        <f>IFERROR(INDEX($AA$3:$AA$10000,MATCH(ROWS($AC$3:AC284),$AC$3:$AC$10000,0)),"")</f>
        <v/>
      </c>
      <c r="AE284" s="117" t="str">
        <f>+'Packing Material - Cost'!A285</f>
        <v/>
      </c>
    </row>
    <row r="285" spans="27:31">
      <c r="AA285" s="117" t="str">
        <f>+'Ingredient List - Mother Tinctu'!D286</f>
        <v>Veratrum Vir.</v>
      </c>
      <c r="AB285" s="117">
        <f t="shared" si="7"/>
        <v>0</v>
      </c>
      <c r="AC285" s="117" t="str">
        <f>IF(AB285=1,COUNTIF($AB$3:AB285,1),"")</f>
        <v/>
      </c>
      <c r="AD285" s="117" t="str">
        <f>IFERROR(INDEX($AA$3:$AA$10000,MATCH(ROWS($AC$3:AC285),$AC$3:$AC$10000,0)),"")</f>
        <v/>
      </c>
      <c r="AE285" s="117" t="str">
        <f>+'Packing Material - Cost'!A286</f>
        <v/>
      </c>
    </row>
    <row r="286" spans="27:31">
      <c r="AA286" s="117" t="str">
        <f>+'Ingredient List - Mother Tinctu'!D287</f>
        <v>Verbascum T.</v>
      </c>
      <c r="AB286" s="117">
        <f t="shared" si="7"/>
        <v>0</v>
      </c>
      <c r="AC286" s="117" t="str">
        <f>IF(AB286=1,COUNTIF($AB$3:AB286,1),"")</f>
        <v/>
      </c>
      <c r="AD286" s="117" t="str">
        <f>IFERROR(INDEX($AA$3:$AA$10000,MATCH(ROWS($AC$3:AC286),$AC$3:$AC$10000,0)),"")</f>
        <v/>
      </c>
      <c r="AE286" s="117" t="str">
        <f>+'Packing Material - Cost'!A287</f>
        <v/>
      </c>
    </row>
    <row r="287" spans="27:31">
      <c r="AA287" s="117" t="str">
        <f>+'Ingredient List - Mother Tinctu'!D288</f>
        <v>Vesicaria C.</v>
      </c>
      <c r="AB287" s="117">
        <f t="shared" si="7"/>
        <v>0</v>
      </c>
      <c r="AC287" s="117" t="str">
        <f>IF(AB287=1,COUNTIF($AB$3:AB287,1),"")</f>
        <v/>
      </c>
      <c r="AD287" s="117" t="str">
        <f>IFERROR(INDEX($AA$3:$AA$10000,MATCH(ROWS($AC$3:AC287),$AC$3:$AC$10000,0)),"")</f>
        <v/>
      </c>
      <c r="AE287" s="117" t="str">
        <f>+'Packing Material - Cost'!A288</f>
        <v/>
      </c>
    </row>
    <row r="288" spans="27:31">
      <c r="AA288" s="117" t="str">
        <f>+'Ingredient List - Mother Tinctu'!D289</f>
        <v>Viburnum Op.</v>
      </c>
      <c r="AB288" s="117">
        <f t="shared" si="7"/>
        <v>0</v>
      </c>
      <c r="AC288" s="117" t="str">
        <f>IF(AB288=1,COUNTIF($AB$3:AB288,1),"")</f>
        <v/>
      </c>
      <c r="AD288" s="117" t="str">
        <f>IFERROR(INDEX($AA$3:$AA$10000,MATCH(ROWS($AC$3:AC288),$AC$3:$AC$10000,0)),"")</f>
        <v/>
      </c>
      <c r="AE288" s="117" t="str">
        <f>+'Packing Material - Cost'!A289</f>
        <v/>
      </c>
    </row>
    <row r="289" spans="27:31">
      <c r="AA289" s="117" t="str">
        <f>+'Ingredient List - Mother Tinctu'!D290</f>
        <v>Viburnum Pru.</v>
      </c>
      <c r="AB289" s="117">
        <f t="shared" si="7"/>
        <v>0</v>
      </c>
      <c r="AC289" s="117" t="str">
        <f>IF(AB289=1,COUNTIF($AB$3:AB289,1),"")</f>
        <v/>
      </c>
      <c r="AD289" s="117" t="str">
        <f>IFERROR(INDEX($AA$3:$AA$10000,MATCH(ROWS($AC$3:AC289),$AC$3:$AC$10000,0)),"")</f>
        <v/>
      </c>
      <c r="AE289" s="117" t="str">
        <f>+'Packing Material - Cost'!A290</f>
        <v/>
      </c>
    </row>
    <row r="290" spans="27:31">
      <c r="AA290" s="117" t="str">
        <f>+'Ingredient List - Mother Tinctu'!D291</f>
        <v>Vinca Minor</v>
      </c>
      <c r="AB290" s="117">
        <f t="shared" si="7"/>
        <v>0</v>
      </c>
      <c r="AC290" s="117" t="str">
        <f>IF(AB290=1,COUNTIF($AB$3:AB290,1),"")</f>
        <v/>
      </c>
      <c r="AD290" s="117" t="str">
        <f>IFERROR(INDEX($AA$3:$AA$10000,MATCH(ROWS($AC$3:AC290),$AC$3:$AC$10000,0)),"")</f>
        <v/>
      </c>
      <c r="AE290" s="117" t="str">
        <f>+'Packing Material - Cost'!A291</f>
        <v/>
      </c>
    </row>
    <row r="291" spans="27:31">
      <c r="AA291" s="117" t="str">
        <f>+'Ingredient List - Mother Tinctu'!D292</f>
        <v>Vinca Ros (Catharanthus Roseus)</v>
      </c>
      <c r="AB291" s="117">
        <f t="shared" si="7"/>
        <v>0</v>
      </c>
      <c r="AC291" s="117" t="str">
        <f>IF(AB291=1,COUNTIF($AB$3:AB291,1),"")</f>
        <v/>
      </c>
      <c r="AD291" s="117" t="str">
        <f>IFERROR(INDEX($AA$3:$AA$10000,MATCH(ROWS($AC$3:AC291),$AC$3:$AC$10000,0)),"")</f>
        <v/>
      </c>
      <c r="AE291" s="117" t="str">
        <f>+'Packing Material - Cost'!A292</f>
        <v/>
      </c>
    </row>
    <row r="292" spans="27:31">
      <c r="AA292" s="117" t="str">
        <f>+'Ingredient List - Mother Tinctu'!D293</f>
        <v>Viola Odo.</v>
      </c>
      <c r="AB292" s="117">
        <f t="shared" si="7"/>
        <v>0</v>
      </c>
      <c r="AC292" s="117" t="str">
        <f>IF(AB292=1,COUNTIF($AB$3:AB292,1),"")</f>
        <v/>
      </c>
      <c r="AD292" s="117" t="str">
        <f>IFERROR(INDEX($AA$3:$AA$10000,MATCH(ROWS($AC$3:AC292),$AC$3:$AC$10000,0)),"")</f>
        <v/>
      </c>
      <c r="AE292" s="117" t="str">
        <f>+'Packing Material - Cost'!A293</f>
        <v/>
      </c>
    </row>
    <row r="293" spans="27:31">
      <c r="AA293" s="117" t="str">
        <f>+'Ingredient List - Mother Tinctu'!D294</f>
        <v>Viola Tric.</v>
      </c>
      <c r="AB293" s="117">
        <f t="shared" si="7"/>
        <v>0</v>
      </c>
      <c r="AC293" s="117" t="str">
        <f>IF(AB293=1,COUNTIF($AB$3:AB293,1),"")</f>
        <v/>
      </c>
      <c r="AD293" s="117" t="str">
        <f>IFERROR(INDEX($AA$3:$AA$10000,MATCH(ROWS($AC$3:AC293),$AC$3:$AC$10000,0)),"")</f>
        <v/>
      </c>
      <c r="AE293" s="117" t="str">
        <f>+'Packing Material - Cost'!A294</f>
        <v/>
      </c>
    </row>
    <row r="294" spans="27:31">
      <c r="AA294" s="117" t="str">
        <f>+'Ingredient List - Mother Tinctu'!D295</f>
        <v>Viscum Alb</v>
      </c>
      <c r="AB294" s="117">
        <f t="shared" si="7"/>
        <v>0</v>
      </c>
      <c r="AC294" s="117" t="str">
        <f>IF(AB294=1,COUNTIF($AB$3:AB294,1),"")</f>
        <v/>
      </c>
      <c r="AD294" s="117" t="str">
        <f>IFERROR(INDEX($AA$3:$AA$10000,MATCH(ROWS($AC$3:AC294),$AC$3:$AC$10000,0)),"")</f>
        <v/>
      </c>
      <c r="AE294" s="117" t="str">
        <f>+'Packing Material - Cost'!A295</f>
        <v/>
      </c>
    </row>
    <row r="295" spans="27:31">
      <c r="AA295" s="117" t="str">
        <f>+'Ingredient List - Mother Tinctu'!D296</f>
        <v>Withania Som (Aswagandha)</v>
      </c>
      <c r="AB295" s="117">
        <f t="shared" si="7"/>
        <v>0</v>
      </c>
      <c r="AC295" s="117" t="str">
        <f>IF(AB295=1,COUNTIF($AB$3:AB295,1),"")</f>
        <v/>
      </c>
      <c r="AD295" s="117" t="str">
        <f>IFERROR(INDEX($AA$3:$AA$10000,MATCH(ROWS($AC$3:AC295),$AC$3:$AC$10000,0)),"")</f>
        <v/>
      </c>
      <c r="AE295" s="117" t="str">
        <f>+'Packing Material - Cost'!A296</f>
        <v/>
      </c>
    </row>
    <row r="296" spans="27:31">
      <c r="AA296" s="117" t="str">
        <f>+'Ingredient List - Mother Tinctu'!D297</f>
        <v>Xanthoxyllum</v>
      </c>
      <c r="AB296" s="117">
        <f t="shared" si="7"/>
        <v>0</v>
      </c>
      <c r="AC296" s="117" t="str">
        <f>IF(AB296=1,COUNTIF($AB$3:AB296,1),"")</f>
        <v/>
      </c>
      <c r="AD296" s="117" t="str">
        <f>IFERROR(INDEX($AA$3:$AA$10000,MATCH(ROWS($AC$3:AC296),$AC$3:$AC$10000,0)),"")</f>
        <v/>
      </c>
      <c r="AE296" s="117" t="str">
        <f>+'Packing Material - Cost'!A297</f>
        <v/>
      </c>
    </row>
    <row r="297" spans="27:31">
      <c r="AA297" s="117" t="str">
        <f>+'Ingredient List - Mother Tinctu'!D298</f>
        <v>Yerba Santa (Eriodictyon)</v>
      </c>
      <c r="AB297" s="117">
        <f t="shared" si="7"/>
        <v>0</v>
      </c>
      <c r="AC297" s="117" t="str">
        <f>IF(AB297=1,COUNTIF($AB$3:AB297,1),"")</f>
        <v/>
      </c>
      <c r="AD297" s="117" t="str">
        <f>IFERROR(INDEX($AA$3:$AA$10000,MATCH(ROWS($AC$3:AC297),$AC$3:$AC$10000,0)),"")</f>
        <v/>
      </c>
      <c r="AE297" s="117" t="str">
        <f>+'Packing Material - Cost'!A298</f>
        <v/>
      </c>
    </row>
    <row r="298" spans="27:31">
      <c r="AA298" s="117" t="str">
        <f>+'Ingredient List - Mother Tinctu'!D299</f>
        <v>Yohimbinum</v>
      </c>
      <c r="AB298" s="117">
        <f t="shared" si="7"/>
        <v>0</v>
      </c>
      <c r="AC298" s="117" t="str">
        <f>IF(AB298=1,COUNTIF($AB$3:AB298,1),"")</f>
        <v/>
      </c>
      <c r="AD298" s="117" t="str">
        <f>IFERROR(INDEX($AA$3:$AA$10000,MATCH(ROWS($AC$3:AC298),$AC$3:$AC$10000,0)),"")</f>
        <v/>
      </c>
      <c r="AE298" s="117" t="str">
        <f>+'Packing Material - Cost'!A299</f>
        <v/>
      </c>
    </row>
    <row r="299" spans="27:31">
      <c r="AA299" s="117" t="str">
        <f>+'Ingredient List - Mother Tinctu'!D300</f>
        <v>Yucca Filam</v>
      </c>
      <c r="AB299" s="117">
        <f t="shared" si="7"/>
        <v>0</v>
      </c>
      <c r="AC299" s="117" t="str">
        <f>IF(AB299=1,COUNTIF($AB$3:AB299,1),"")</f>
        <v/>
      </c>
      <c r="AD299" s="117" t="str">
        <f>IFERROR(INDEX($AA$3:$AA$10000,MATCH(ROWS($AC$3:AC299),$AC$3:$AC$10000,0)),"")</f>
        <v/>
      </c>
      <c r="AE299" s="117" t="str">
        <f>+'Packing Material - Cost'!A300</f>
        <v/>
      </c>
    </row>
    <row r="300" spans="27:31">
      <c r="AA300" s="117" t="str">
        <f>+'Ingredient List - Mother Tinctu'!D301</f>
        <v>Zingiber.</v>
      </c>
      <c r="AB300" s="117">
        <f t="shared" si="7"/>
        <v>0</v>
      </c>
      <c r="AC300" s="117" t="str">
        <f>IF(AB300=1,COUNTIF($AB$3:AB300,1),"")</f>
        <v/>
      </c>
      <c r="AD300" s="117" t="str">
        <f>IFERROR(INDEX($AA$3:$AA$10000,MATCH(ROWS($AC$3:AC300),$AC$3:$AC$10000,0)),"")</f>
        <v/>
      </c>
      <c r="AE300" s="117" t="str">
        <f>+'Packing Material - Cost'!A301</f>
        <v/>
      </c>
    </row>
    <row r="301" spans="27:31">
      <c r="AA301" s="117" t="str">
        <f>+'Ingredient List - Mother Tinctu'!D302</f>
        <v>Apis Mel.</v>
      </c>
      <c r="AB301" s="117">
        <f t="shared" si="7"/>
        <v>0</v>
      </c>
      <c r="AC301" s="117" t="str">
        <f>IF(AB301=1,COUNTIF($AB$3:AB301,1),"")</f>
        <v/>
      </c>
      <c r="AD301" s="117" t="str">
        <f>IFERROR(INDEX($AA$3:$AA$10000,MATCH(ROWS($AC$3:AC301),$AC$3:$AC$10000,0)),"")</f>
        <v/>
      </c>
      <c r="AE301" s="117" t="str">
        <f>+'Packing Material - Cost'!A302</f>
        <v/>
      </c>
    </row>
    <row r="302" spans="27:31">
      <c r="AA302" s="117" t="str">
        <f>+'Ingredient List - Mother Tinctu'!D303</f>
        <v>Arnica</v>
      </c>
      <c r="AB302" s="117">
        <f t="shared" si="7"/>
        <v>0</v>
      </c>
      <c r="AC302" s="117" t="str">
        <f>IF(AB302=1,COUNTIF($AB$3:AB302,1),"")</f>
        <v/>
      </c>
      <c r="AD302" s="117" t="str">
        <f>IFERROR(INDEX($AA$3:$AA$10000,MATCH(ROWS($AC$3:AC302),$AC$3:$AC$10000,0)),"")</f>
        <v/>
      </c>
      <c r="AE302" s="117" t="str">
        <f>+'Packing Material - Cost'!A303</f>
        <v/>
      </c>
    </row>
    <row r="303" spans="27:31">
      <c r="AA303" s="117" t="str">
        <f>+'Ingredient List - Mother Tinctu'!D304</f>
        <v>Arnica Hair Oil Grade I (Perfurmed)</v>
      </c>
      <c r="AB303" s="117">
        <f t="shared" si="7"/>
        <v>0</v>
      </c>
      <c r="AC303" s="117" t="str">
        <f>IF(AB303=1,COUNTIF($AB$3:AB303,1),"")</f>
        <v/>
      </c>
      <c r="AD303" s="117" t="str">
        <f>IFERROR(INDEX($AA$3:$AA$10000,MATCH(ROWS($AC$3:AC303),$AC$3:$AC$10000,0)),"")</f>
        <v/>
      </c>
      <c r="AE303" s="117" t="str">
        <f>+'Packing Material - Cost'!A304</f>
        <v/>
      </c>
    </row>
    <row r="304" spans="27:31">
      <c r="AA304" s="117" t="str">
        <f>+'Ingredient List - Mother Tinctu'!D305</f>
        <v>Belladonna</v>
      </c>
      <c r="AB304" s="117">
        <f t="shared" si="7"/>
        <v>1</v>
      </c>
      <c r="AC304" s="117">
        <f>IF(AB304=1,COUNTIF($AB$3:AB304,1),"")</f>
        <v>2</v>
      </c>
      <c r="AD304" s="117" t="str">
        <f>IFERROR(INDEX($AA$3:$AA$10000,MATCH(ROWS($AC$3:AC304),$AC$3:$AC$10000,0)),"")</f>
        <v/>
      </c>
      <c r="AE304" s="117" t="str">
        <f>+'Packing Material - Cost'!A305</f>
        <v/>
      </c>
    </row>
    <row r="305" spans="27:31">
      <c r="AA305" s="117" t="str">
        <f>+'Ingredient List - Mother Tinctu'!D306</f>
        <v>Bryonia</v>
      </c>
      <c r="AB305" s="117">
        <f t="shared" si="7"/>
        <v>0</v>
      </c>
      <c r="AC305" s="117" t="str">
        <f>IF(AB305=1,COUNTIF($AB$3:AB305,1),"")</f>
        <v/>
      </c>
      <c r="AD305" s="117" t="str">
        <f>IFERROR(INDEX($AA$3:$AA$10000,MATCH(ROWS($AC$3:AC305),$AC$3:$AC$10000,0)),"")</f>
        <v/>
      </c>
      <c r="AE305" s="117" t="str">
        <f>+'Packing Material - Cost'!A306</f>
        <v/>
      </c>
    </row>
    <row r="306" spans="27:31">
      <c r="AA306" s="117" t="str">
        <f>+'Ingredient List - Mother Tinctu'!D307</f>
        <v>Calendula</v>
      </c>
      <c r="AB306" s="117">
        <f t="shared" si="7"/>
        <v>0</v>
      </c>
      <c r="AC306" s="117" t="str">
        <f>IF(AB306=1,COUNTIF($AB$3:AB306,1),"")</f>
        <v/>
      </c>
      <c r="AD306" s="117" t="str">
        <f>IFERROR(INDEX($AA$3:$AA$10000,MATCH(ROWS($AC$3:AC306),$AC$3:$AC$10000,0)),"")</f>
        <v/>
      </c>
      <c r="AE306" s="117" t="str">
        <f>+'Packing Material - Cost'!A307</f>
        <v/>
      </c>
    </row>
    <row r="307" spans="27:31">
      <c r="AA307" s="117" t="str">
        <f>+'Ingredient List - Mother Tinctu'!D308</f>
        <v>Cantharis</v>
      </c>
      <c r="AB307" s="117">
        <f t="shared" si="7"/>
        <v>0</v>
      </c>
      <c r="AC307" s="117" t="str">
        <f>IF(AB307=1,COUNTIF($AB$3:AB307,1),"")</f>
        <v/>
      </c>
      <c r="AD307" s="117" t="str">
        <f>IFERROR(INDEX($AA$3:$AA$10000,MATCH(ROWS($AC$3:AC307),$AC$3:$AC$10000,0)),"")</f>
        <v/>
      </c>
      <c r="AE307" s="117" t="str">
        <f>+'Packing Material - Cost'!A308</f>
        <v/>
      </c>
    </row>
    <row r="308" spans="27:31">
      <c r="AA308" s="117" t="str">
        <f>+'Ingredient List - Mother Tinctu'!D309</f>
        <v>Echinacea</v>
      </c>
      <c r="AB308" s="117">
        <f t="shared" si="7"/>
        <v>0</v>
      </c>
      <c r="AC308" s="117" t="str">
        <f>IF(AB308=1,COUNTIF($AB$3:AB308,1),"")</f>
        <v/>
      </c>
      <c r="AD308" s="117" t="str">
        <f>IFERROR(INDEX($AA$3:$AA$10000,MATCH(ROWS($AC$3:AC308),$AC$3:$AC$10000,0)),"")</f>
        <v/>
      </c>
      <c r="AE308" s="117" t="str">
        <f>+'Packing Material - Cost'!A309</f>
        <v/>
      </c>
    </row>
    <row r="309" spans="27:31">
      <c r="AA309" s="117" t="str">
        <f>+'Ingredient List - Mother Tinctu'!D310</f>
        <v>Eucaliptus</v>
      </c>
      <c r="AB309" s="117">
        <f t="shared" si="7"/>
        <v>0</v>
      </c>
      <c r="AC309" s="117" t="str">
        <f>IF(AB309=1,COUNTIF($AB$3:AB309,1),"")</f>
        <v/>
      </c>
      <c r="AD309" s="117" t="str">
        <f>IFERROR(INDEX($AA$3:$AA$10000,MATCH(ROWS($AC$3:AC309),$AC$3:$AC$10000,0)),"")</f>
        <v/>
      </c>
      <c r="AE309" s="117" t="str">
        <f>+'Packing Material - Cost'!A310</f>
        <v/>
      </c>
    </row>
    <row r="310" spans="27:31">
      <c r="AA310" s="117" t="str">
        <f>+'Ingredient List - Mother Tinctu'!D311</f>
        <v>Hamamelis</v>
      </c>
      <c r="AB310" s="117">
        <f t="shared" si="7"/>
        <v>0</v>
      </c>
      <c r="AC310" s="117" t="str">
        <f>IF(AB310=1,COUNTIF($AB$3:AB310,1),"")</f>
        <v/>
      </c>
      <c r="AD310" s="117" t="str">
        <f>IFERROR(INDEX($AA$3:$AA$10000,MATCH(ROWS($AC$3:AC310),$AC$3:$AC$10000,0)),"")</f>
        <v/>
      </c>
      <c r="AE310" s="117" t="str">
        <f>+'Packing Material - Cost'!A311</f>
        <v/>
      </c>
    </row>
    <row r="311" spans="27:31">
      <c r="AA311" s="117" t="str">
        <f>+'Ingredient List - Mother Tinctu'!D312</f>
        <v>Hydrastis</v>
      </c>
      <c r="AB311" s="117">
        <f t="shared" si="7"/>
        <v>0</v>
      </c>
      <c r="AC311" s="117" t="str">
        <f>IF(AB311=1,COUNTIF($AB$3:AB311,1),"")</f>
        <v/>
      </c>
      <c r="AD311" s="117" t="str">
        <f>IFERROR(INDEX($AA$3:$AA$10000,MATCH(ROWS($AC$3:AC311),$AC$3:$AC$10000,0)),"")</f>
        <v/>
      </c>
      <c r="AE311" s="117" t="str">
        <f>+'Packing Material - Cost'!A312</f>
        <v/>
      </c>
    </row>
    <row r="312" spans="27:31">
      <c r="AA312" s="117" t="str">
        <f>+'Ingredient List - Mother Tinctu'!D313</f>
        <v>Hydrocotyle Asi.</v>
      </c>
      <c r="AB312" s="117">
        <f t="shared" si="7"/>
        <v>0</v>
      </c>
      <c r="AC312" s="117" t="str">
        <f>IF(AB312=1,COUNTIF($AB$3:AB312,1),"")</f>
        <v/>
      </c>
      <c r="AD312" s="117" t="str">
        <f>IFERROR(INDEX($AA$3:$AA$10000,MATCH(ROWS($AC$3:AC312),$AC$3:$AC$10000,0)),"")</f>
        <v/>
      </c>
      <c r="AE312" s="117" t="str">
        <f>+'Packing Material - Cost'!A313</f>
        <v/>
      </c>
    </row>
    <row r="313" spans="27:31">
      <c r="AA313" s="117" t="str">
        <f>+'Ingredient List - Mother Tinctu'!D314</f>
        <v>Hypericum Perf.</v>
      </c>
      <c r="AB313" s="117">
        <f t="shared" si="7"/>
        <v>0</v>
      </c>
      <c r="AC313" s="117" t="str">
        <f>IF(AB313=1,COUNTIF($AB$3:AB313,1),"")</f>
        <v/>
      </c>
      <c r="AD313" s="117" t="str">
        <f>IFERROR(INDEX($AA$3:$AA$10000,MATCH(ROWS($AC$3:AC313),$AC$3:$AC$10000,0)),"")</f>
        <v/>
      </c>
      <c r="AE313" s="117" t="str">
        <f>+'Packing Material - Cost'!A314</f>
        <v/>
      </c>
    </row>
    <row r="314" spans="27:31">
      <c r="AA314" s="117" t="str">
        <f>+'Ingredient List - Mother Tinctu'!D315</f>
        <v>Jaborandi (Pilcarpus)</v>
      </c>
      <c r="AB314" s="117">
        <f t="shared" si="7"/>
        <v>0</v>
      </c>
      <c r="AC314" s="117" t="str">
        <f>IF(AB314=1,COUNTIF($AB$3:AB314,1),"")</f>
        <v/>
      </c>
      <c r="AD314" s="117" t="str">
        <f>IFERROR(INDEX($AA$3:$AA$10000,MATCH(ROWS($AC$3:AC314),$AC$3:$AC$10000,0)),"")</f>
        <v/>
      </c>
      <c r="AE314" s="117" t="str">
        <f>+'Packing Material - Cost'!A315</f>
        <v/>
      </c>
    </row>
    <row r="315" spans="27:31">
      <c r="AA315" s="117" t="str">
        <f>+'Ingredient List - Mother Tinctu'!D316</f>
        <v>Ledum Pal</v>
      </c>
      <c r="AB315" s="117">
        <f t="shared" si="7"/>
        <v>0</v>
      </c>
      <c r="AC315" s="117" t="str">
        <f>IF(AB315=1,COUNTIF($AB$3:AB315,1),"")</f>
        <v/>
      </c>
      <c r="AD315" s="117" t="str">
        <f>IFERROR(INDEX($AA$3:$AA$10000,MATCH(ROWS($AC$3:AC315),$AC$3:$AC$10000,0)),"")</f>
        <v/>
      </c>
      <c r="AE315" s="117" t="str">
        <f>+'Packing Material - Cost'!A316</f>
        <v/>
      </c>
    </row>
    <row r="316" spans="27:31">
      <c r="AA316" s="117" t="str">
        <f>+'Ingredient List - Mother Tinctu'!D317</f>
        <v>Rhustox</v>
      </c>
      <c r="AB316" s="117">
        <f t="shared" si="7"/>
        <v>0</v>
      </c>
      <c r="AC316" s="117" t="str">
        <f>IF(AB316=1,COUNTIF($AB$3:AB316,1),"")</f>
        <v/>
      </c>
      <c r="AD316" s="117" t="str">
        <f>IFERROR(INDEX($AA$3:$AA$10000,MATCH(ROWS($AC$3:AC316),$AC$3:$AC$10000,0)),"")</f>
        <v/>
      </c>
      <c r="AE316" s="117" t="str">
        <f>+'Packing Material - Cost'!A317</f>
        <v/>
      </c>
    </row>
    <row r="317" spans="27:31">
      <c r="AA317" s="117" t="str">
        <f>+'Ingredient List - Mother Tinctu'!D318</f>
        <v>Ruta Grav.</v>
      </c>
      <c r="AB317" s="117">
        <f t="shared" si="7"/>
        <v>0</v>
      </c>
      <c r="AC317" s="117" t="str">
        <f>IF(AB317=1,COUNTIF($AB$3:AB317,1),"")</f>
        <v/>
      </c>
      <c r="AD317" s="117" t="str">
        <f>IFERROR(INDEX($AA$3:$AA$10000,MATCH(ROWS($AC$3:AC317),$AC$3:$AC$10000,0)),"")</f>
        <v/>
      </c>
      <c r="AE317" s="117" t="str">
        <f>+'Packing Material - Cost'!A318</f>
        <v/>
      </c>
    </row>
    <row r="318" spans="27:31">
      <c r="AA318" s="117" t="str">
        <f>+'Ingredient List - Mother Tinctu'!D319</f>
        <v>Symphytum</v>
      </c>
      <c r="AB318" s="117">
        <f t="shared" si="7"/>
        <v>0</v>
      </c>
      <c r="AC318" s="117" t="str">
        <f>IF(AB318=1,COUNTIF($AB$3:AB318,1),"")</f>
        <v/>
      </c>
      <c r="AD318" s="117" t="str">
        <f>IFERROR(INDEX($AA$3:$AA$10000,MATCH(ROWS($AC$3:AC318),$AC$3:$AC$10000,0)),"")</f>
        <v/>
      </c>
      <c r="AE318" s="117" t="str">
        <f>+'Packing Material - Cost'!A319</f>
        <v/>
      </c>
    </row>
    <row r="319" spans="27:31">
      <c r="AA319" s="117" t="str">
        <f>+'Ingredient List - Mother Tinctu'!D320</f>
        <v>Thuja</v>
      </c>
      <c r="AB319" s="117">
        <f t="shared" si="7"/>
        <v>0</v>
      </c>
      <c r="AC319" s="117" t="str">
        <f>IF(AB319=1,COUNTIF($AB$3:AB319,1),"")</f>
        <v/>
      </c>
      <c r="AD319" s="117" t="str">
        <f>IFERROR(INDEX($AA$3:$AA$10000,MATCH(ROWS($AC$3:AC319),$AC$3:$AC$10000,0)),"")</f>
        <v/>
      </c>
      <c r="AE319" s="117" t="str">
        <f>+'Packing Material - Cost'!A320</f>
        <v/>
      </c>
    </row>
    <row r="320" spans="27:31">
      <c r="AA320" s="117" t="str">
        <f>+'Ingredient List - Mother Tinctu'!D321</f>
        <v>Urtica Urens</v>
      </c>
      <c r="AB320" s="117">
        <f t="shared" si="7"/>
        <v>0</v>
      </c>
      <c r="AC320" s="117" t="str">
        <f>IF(AB320=1,COUNTIF($AB$3:AB320,1),"")</f>
        <v/>
      </c>
      <c r="AD320" s="117" t="str">
        <f>IFERROR(INDEX($AA$3:$AA$10000,MATCH(ROWS($AC$3:AC320),$AC$3:$AC$10000,0)),"")</f>
        <v/>
      </c>
      <c r="AE320" s="117" t="str">
        <f>+'Packing Material - Cost'!A321</f>
        <v/>
      </c>
    </row>
    <row r="321" spans="27:31">
      <c r="AA321" s="117" t="str">
        <f>+'Ingredient List - Mother Tinctu'!D322</f>
        <v>Camphor Oil</v>
      </c>
      <c r="AB321" s="117">
        <f t="shared" si="7"/>
        <v>0</v>
      </c>
      <c r="AC321" s="117" t="str">
        <f>IF(AB321=1,COUNTIF($AB$3:AB321,1),"")</f>
        <v/>
      </c>
      <c r="AD321" s="117" t="str">
        <f>IFERROR(INDEX($AA$3:$AA$10000,MATCH(ROWS($AC$3:AC321),$AC$3:$AC$10000,0)),"")</f>
        <v/>
      </c>
      <c r="AE321" s="117" t="str">
        <f>+'Packing Material - Cost'!A322</f>
        <v/>
      </c>
    </row>
    <row r="322" spans="27:31">
      <c r="AA322" s="117" t="str">
        <f>+'Ingredient List - Mother Tinctu'!D323</f>
        <v>Aesculus Hip</v>
      </c>
      <c r="AB322" s="117">
        <f t="shared" si="7"/>
        <v>0</v>
      </c>
      <c r="AC322" s="117" t="str">
        <f>IF(AB322=1,COUNTIF($AB$3:AB322,1),"")</f>
        <v/>
      </c>
      <c r="AD322" s="117" t="str">
        <f>IFERROR(INDEX($AA$3:$AA$10000,MATCH(ROWS($AC$3:AC322),$AC$3:$AC$10000,0)),"")</f>
        <v/>
      </c>
      <c r="AE322" s="117" t="str">
        <f>+'Packing Material - Cost'!A323</f>
        <v/>
      </c>
    </row>
    <row r="323" spans="27:31">
      <c r="AA323" s="117" t="str">
        <f>+'Ingredient List - Mother Tinctu'!D324</f>
        <v>Apis Mel</v>
      </c>
      <c r="AB323" s="117">
        <f t="shared" si="7"/>
        <v>0</v>
      </c>
      <c r="AC323" s="117" t="str">
        <f>IF(AB323=1,COUNTIF($AB$3:AB323,1),"")</f>
        <v/>
      </c>
      <c r="AD323" s="117" t="str">
        <f>IFERROR(INDEX($AA$3:$AA$10000,MATCH(ROWS($AC$3:AC323),$AC$3:$AC$10000,0)),"")</f>
        <v/>
      </c>
      <c r="AE323" s="117" t="str">
        <f>+'Packing Material - Cost'!A324</f>
        <v/>
      </c>
    </row>
    <row r="324" spans="27:31">
      <c r="AA324" s="117" t="str">
        <f>+'Ingredient List - Mother Tinctu'!D325</f>
        <v>Arnica</v>
      </c>
      <c r="AB324" s="117">
        <f t="shared" ref="AB324:AB387" si="8">--ISNUMBER(IFERROR(SEARCH($D$3,AA324,1),""))</f>
        <v>0</v>
      </c>
      <c r="AC324" s="117" t="str">
        <f>IF(AB324=1,COUNTIF($AB$3:AB324,1),"")</f>
        <v/>
      </c>
      <c r="AD324" s="117" t="str">
        <f>IFERROR(INDEX($AA$3:$AA$10000,MATCH(ROWS($AC$3:AC324),$AC$3:$AC$10000,0)),"")</f>
        <v/>
      </c>
      <c r="AE324" s="117" t="str">
        <f>+'Packing Material - Cost'!A325</f>
        <v/>
      </c>
    </row>
    <row r="325" spans="27:31">
      <c r="AA325" s="117" t="str">
        <f>+'Ingredient List - Mother Tinctu'!D326</f>
        <v>Belladonna</v>
      </c>
      <c r="AB325" s="117">
        <f t="shared" si="8"/>
        <v>1</v>
      </c>
      <c r="AC325" s="117">
        <f>IF(AB325=1,COUNTIF($AB$3:AB325,1),"")</f>
        <v>3</v>
      </c>
      <c r="AD325" s="117" t="str">
        <f>IFERROR(INDEX($AA$3:$AA$10000,MATCH(ROWS($AC$3:AC325),$AC$3:$AC$10000,0)),"")</f>
        <v/>
      </c>
      <c r="AE325" s="117" t="str">
        <f>+'Packing Material - Cost'!A326</f>
        <v/>
      </c>
    </row>
    <row r="326" spans="27:31">
      <c r="AA326" s="117" t="str">
        <f>+'Ingredient List - Mother Tinctu'!D327</f>
        <v>Bryonia</v>
      </c>
      <c r="AB326" s="117">
        <f t="shared" si="8"/>
        <v>0</v>
      </c>
      <c r="AC326" s="117" t="str">
        <f>IF(AB326=1,COUNTIF($AB$3:AB326,1),"")</f>
        <v/>
      </c>
      <c r="AD326" s="117" t="str">
        <f>IFERROR(INDEX($AA$3:$AA$10000,MATCH(ROWS($AC$3:AC326),$AC$3:$AC$10000,0)),"")</f>
        <v/>
      </c>
      <c r="AE326" s="117" t="str">
        <f>+'Packing Material - Cost'!A327</f>
        <v/>
      </c>
    </row>
    <row r="327" spans="27:31">
      <c r="AA327" s="117" t="str">
        <f>+'Ingredient List - Mother Tinctu'!D328</f>
        <v>Berberis</v>
      </c>
      <c r="AB327" s="117">
        <f t="shared" si="8"/>
        <v>0</v>
      </c>
      <c r="AC327" s="117" t="str">
        <f>IF(AB327=1,COUNTIF($AB$3:AB327,1),"")</f>
        <v/>
      </c>
      <c r="AD327" s="117" t="str">
        <f>IFERROR(INDEX($AA$3:$AA$10000,MATCH(ROWS($AC$3:AC327),$AC$3:$AC$10000,0)),"")</f>
        <v/>
      </c>
      <c r="AE327" s="117" t="str">
        <f>+'Packing Material - Cost'!A328</f>
        <v/>
      </c>
    </row>
    <row r="328" spans="27:31">
      <c r="AA328" s="117" t="str">
        <f>+'Ingredient List - Mother Tinctu'!D329</f>
        <v>Calendula</v>
      </c>
      <c r="AB328" s="117">
        <f t="shared" si="8"/>
        <v>0</v>
      </c>
      <c r="AC328" s="117" t="str">
        <f>IF(AB328=1,COUNTIF($AB$3:AB328,1),"")</f>
        <v/>
      </c>
      <c r="AD328" s="117" t="str">
        <f>IFERROR(INDEX($AA$3:$AA$10000,MATCH(ROWS($AC$3:AC328),$AC$3:$AC$10000,0)),"")</f>
        <v/>
      </c>
      <c r="AE328" s="117" t="str">
        <f>+'Packing Material - Cost'!A329</f>
        <v/>
      </c>
    </row>
    <row r="329" spans="27:31">
      <c r="AA329" s="117" t="str">
        <f>+'Ingredient List - Mother Tinctu'!D330</f>
        <v>Chrysorobinum</v>
      </c>
      <c r="AB329" s="117">
        <f t="shared" si="8"/>
        <v>0</v>
      </c>
      <c r="AC329" s="117" t="str">
        <f>IF(AB329=1,COUNTIF($AB$3:AB329,1),"")</f>
        <v/>
      </c>
      <c r="AD329" s="117" t="str">
        <f>IFERROR(INDEX($AA$3:$AA$10000,MATCH(ROWS($AC$3:AC329),$AC$3:$AC$10000,0)),"")</f>
        <v/>
      </c>
      <c r="AE329" s="117" t="str">
        <f>+'Packing Material - Cost'!A330</f>
        <v/>
      </c>
    </row>
    <row r="330" spans="27:31">
      <c r="AA330" s="117" t="str">
        <f>+'Ingredient List - Mother Tinctu'!D331</f>
        <v>Cantharis</v>
      </c>
      <c r="AB330" s="117">
        <f t="shared" si="8"/>
        <v>0</v>
      </c>
      <c r="AC330" s="117" t="str">
        <f>IF(AB330=1,COUNTIF($AB$3:AB330,1),"")</f>
        <v/>
      </c>
      <c r="AD330" s="117" t="str">
        <f>IFERROR(INDEX($AA$3:$AA$10000,MATCH(ROWS($AC$3:AC330),$AC$3:$AC$10000,0)),"")</f>
        <v/>
      </c>
      <c r="AE330" s="117" t="str">
        <f>+'Packing Material - Cost'!A331</f>
        <v/>
      </c>
    </row>
    <row r="331" spans="27:31">
      <c r="AA331" s="117" t="str">
        <f>+'Ingredient List - Mother Tinctu'!D332</f>
        <v>Echinacea</v>
      </c>
      <c r="AB331" s="117">
        <f t="shared" si="8"/>
        <v>0</v>
      </c>
      <c r="AC331" s="117" t="str">
        <f>IF(AB331=1,COUNTIF($AB$3:AB331,1),"")</f>
        <v/>
      </c>
      <c r="AD331" s="117" t="str">
        <f>IFERROR(INDEX($AA$3:$AA$10000,MATCH(ROWS($AC$3:AC331),$AC$3:$AC$10000,0)),"")</f>
        <v/>
      </c>
      <c r="AE331" s="117" t="str">
        <f>+'Packing Material - Cost'!A332</f>
        <v/>
      </c>
    </row>
    <row r="332" spans="27:31">
      <c r="AA332" s="117" t="str">
        <f>+'Ingredient List - Mother Tinctu'!D333</f>
        <v>Graphites</v>
      </c>
      <c r="AB332" s="117">
        <f t="shared" si="8"/>
        <v>0</v>
      </c>
      <c r="AC332" s="117" t="str">
        <f>IF(AB332=1,COUNTIF($AB$3:AB332,1),"")</f>
        <v/>
      </c>
      <c r="AD332" s="117" t="str">
        <f>IFERROR(INDEX($AA$3:$AA$10000,MATCH(ROWS($AC$3:AC332),$AC$3:$AC$10000,0)),"")</f>
        <v/>
      </c>
      <c r="AE332" s="117" t="str">
        <f>+'Packing Material - Cost'!A333</f>
        <v/>
      </c>
    </row>
    <row r="333" spans="27:31">
      <c r="AA333" s="117" t="str">
        <f>+'Ingredient List - Mother Tinctu'!D334</f>
        <v>Hamamelis</v>
      </c>
      <c r="AB333" s="117">
        <f t="shared" si="8"/>
        <v>0</v>
      </c>
      <c r="AC333" s="117" t="str">
        <f>IF(AB333=1,COUNTIF($AB$3:AB333,1),"")</f>
        <v/>
      </c>
      <c r="AD333" s="117" t="str">
        <f>IFERROR(INDEX($AA$3:$AA$10000,MATCH(ROWS($AC$3:AC333),$AC$3:$AC$10000,0)),"")</f>
        <v/>
      </c>
      <c r="AE333" s="117" t="str">
        <f>+'Packing Material - Cost'!A334</f>
        <v/>
      </c>
    </row>
    <row r="334" spans="27:31">
      <c r="AA334" s="117" t="str">
        <f>+'Ingredient List - Mother Tinctu'!D335</f>
        <v>Hepar Sulph.</v>
      </c>
      <c r="AB334" s="117">
        <f t="shared" si="8"/>
        <v>0</v>
      </c>
      <c r="AC334" s="117" t="str">
        <f>IF(AB334=1,COUNTIF($AB$3:AB334,1),"")</f>
        <v/>
      </c>
      <c r="AD334" s="117" t="str">
        <f>IFERROR(INDEX($AA$3:$AA$10000,MATCH(ROWS($AC$3:AC334),$AC$3:$AC$10000,0)),"")</f>
        <v/>
      </c>
      <c r="AE334" s="117" t="str">
        <f>+'Packing Material - Cost'!A335</f>
        <v/>
      </c>
    </row>
    <row r="335" spans="27:31">
      <c r="AA335" s="117" t="str">
        <f>+'Ingredient List - Mother Tinctu'!D336</f>
        <v>Hydrastis</v>
      </c>
      <c r="AB335" s="117">
        <f t="shared" si="8"/>
        <v>0</v>
      </c>
      <c r="AC335" s="117" t="str">
        <f>IF(AB335=1,COUNTIF($AB$3:AB335,1),"")</f>
        <v/>
      </c>
      <c r="AD335" s="117" t="str">
        <f>IFERROR(INDEX($AA$3:$AA$10000,MATCH(ROWS($AC$3:AC335),$AC$3:$AC$10000,0)),"")</f>
        <v/>
      </c>
      <c r="AE335" s="117" t="str">
        <f>+'Packing Material - Cost'!A336</f>
        <v/>
      </c>
    </row>
    <row r="336" spans="27:31">
      <c r="AA336" s="117" t="str">
        <f>+'Ingredient List - Mother Tinctu'!D337</f>
        <v>Hypericum Perf.</v>
      </c>
      <c r="AB336" s="117">
        <f t="shared" si="8"/>
        <v>0</v>
      </c>
      <c r="AC336" s="117" t="str">
        <f>IF(AB336=1,COUNTIF($AB$3:AB336,1),"")</f>
        <v/>
      </c>
      <c r="AD336" s="117" t="str">
        <f>IFERROR(INDEX($AA$3:$AA$10000,MATCH(ROWS($AC$3:AC336),$AC$3:$AC$10000,0)),"")</f>
        <v/>
      </c>
      <c r="AE336" s="117" t="str">
        <f>+'Packing Material - Cost'!A337</f>
        <v/>
      </c>
    </row>
    <row r="337" spans="27:31">
      <c r="AA337" s="117" t="str">
        <f>+'Ingredient List - Mother Tinctu'!D338</f>
        <v>Ledum Pal</v>
      </c>
      <c r="AB337" s="117">
        <f t="shared" si="8"/>
        <v>0</v>
      </c>
      <c r="AC337" s="117" t="str">
        <f>IF(AB337=1,COUNTIF($AB$3:AB337,1),"")</f>
        <v/>
      </c>
      <c r="AD337" s="117" t="str">
        <f>IFERROR(INDEX($AA$3:$AA$10000,MATCH(ROWS($AC$3:AC337),$AC$3:$AC$10000,0)),"")</f>
        <v/>
      </c>
      <c r="AE337" s="117" t="str">
        <f>+'Packing Material - Cost'!A338</f>
        <v/>
      </c>
    </row>
    <row r="338" spans="27:31">
      <c r="AA338" s="117" t="str">
        <f>+'Ingredient List - Mother Tinctu'!D339</f>
        <v>Petroleum</v>
      </c>
      <c r="AB338" s="117">
        <f t="shared" si="8"/>
        <v>0</v>
      </c>
      <c r="AC338" s="117" t="str">
        <f>IF(AB338=1,COUNTIF($AB$3:AB338,1),"")</f>
        <v/>
      </c>
      <c r="AD338" s="117" t="str">
        <f>IFERROR(INDEX($AA$3:$AA$10000,MATCH(ROWS($AC$3:AC338),$AC$3:$AC$10000,0)),"")</f>
        <v/>
      </c>
      <c r="AE338" s="117" t="str">
        <f>+'Packing Material - Cost'!A339</f>
        <v/>
      </c>
    </row>
    <row r="339" spans="27:31">
      <c r="AA339" s="117" t="str">
        <f>+'Ingredient List - Mother Tinctu'!D340</f>
        <v>Rhus Tox</v>
      </c>
      <c r="AB339" s="117">
        <f t="shared" si="8"/>
        <v>0</v>
      </c>
      <c r="AC339" s="117" t="str">
        <f>IF(AB339=1,COUNTIF($AB$3:AB339,1),"")</f>
        <v/>
      </c>
      <c r="AD339" s="117" t="str">
        <f>IFERROR(INDEX($AA$3:$AA$10000,MATCH(ROWS($AC$3:AC339),$AC$3:$AC$10000,0)),"")</f>
        <v/>
      </c>
      <c r="AE339" s="117" t="str">
        <f>+'Packing Material - Cost'!A340</f>
        <v/>
      </c>
    </row>
    <row r="340" spans="27:31">
      <c r="AA340" s="117" t="str">
        <f>+'Ingredient List - Mother Tinctu'!D341</f>
        <v>Silicea</v>
      </c>
      <c r="AB340" s="117">
        <f t="shared" si="8"/>
        <v>0</v>
      </c>
      <c r="AC340" s="117" t="str">
        <f>IF(AB340=1,COUNTIF($AB$3:AB340,1),"")</f>
        <v/>
      </c>
      <c r="AD340" s="117" t="str">
        <f>IFERROR(INDEX($AA$3:$AA$10000,MATCH(ROWS($AC$3:AC340),$AC$3:$AC$10000,0)),"")</f>
        <v/>
      </c>
      <c r="AE340" s="117" t="str">
        <f>+'Packing Material - Cost'!A341</f>
        <v/>
      </c>
    </row>
    <row r="341" spans="27:31">
      <c r="AA341" s="117" t="str">
        <f>+'Ingredient List - Mother Tinctu'!D342</f>
        <v>Scookum Chuck</v>
      </c>
      <c r="AB341" s="117">
        <f t="shared" si="8"/>
        <v>0</v>
      </c>
      <c r="AC341" s="117" t="str">
        <f>IF(AB341=1,COUNTIF($AB$3:AB341,1),"")</f>
        <v/>
      </c>
      <c r="AD341" s="117" t="str">
        <f>IFERROR(INDEX($AA$3:$AA$10000,MATCH(ROWS($AC$3:AC341),$AC$3:$AC$10000,0)),"")</f>
        <v/>
      </c>
      <c r="AE341" s="117" t="str">
        <f>+'Packing Material - Cost'!A342</f>
        <v/>
      </c>
    </row>
    <row r="342" spans="27:31">
      <c r="AA342" s="117" t="str">
        <f>+'Ingredient List - Mother Tinctu'!D343</f>
        <v>Sulphur</v>
      </c>
      <c r="AB342" s="117">
        <f t="shared" si="8"/>
        <v>0</v>
      </c>
      <c r="AC342" s="117" t="str">
        <f>IF(AB342=1,COUNTIF($AB$3:AB342,1),"")</f>
        <v/>
      </c>
      <c r="AD342" s="117" t="str">
        <f>IFERROR(INDEX($AA$3:$AA$10000,MATCH(ROWS($AC$3:AC342),$AC$3:$AC$10000,0)),"")</f>
        <v/>
      </c>
      <c r="AE342" s="117" t="str">
        <f>+'Packing Material - Cost'!A343</f>
        <v/>
      </c>
    </row>
    <row r="343" spans="27:31">
      <c r="AA343" s="117" t="str">
        <f>+'Ingredient List - Mother Tinctu'!D344</f>
        <v>Symphytum</v>
      </c>
      <c r="AB343" s="117">
        <f t="shared" si="8"/>
        <v>0</v>
      </c>
      <c r="AC343" s="117" t="str">
        <f>IF(AB343=1,COUNTIF($AB$3:AB343,1),"")</f>
        <v/>
      </c>
      <c r="AD343" s="117" t="str">
        <f>IFERROR(INDEX($AA$3:$AA$10000,MATCH(ROWS($AC$3:AC343),$AC$3:$AC$10000,0)),"")</f>
        <v/>
      </c>
      <c r="AE343" s="117" t="str">
        <f>+'Packing Material - Cost'!A344</f>
        <v/>
      </c>
    </row>
    <row r="344" spans="27:31">
      <c r="AA344" s="117" t="str">
        <f>+'Ingredient List - Mother Tinctu'!D345</f>
        <v>Thuja Occ</v>
      </c>
      <c r="AB344" s="117">
        <f t="shared" si="8"/>
        <v>0</v>
      </c>
      <c r="AC344" s="117" t="str">
        <f>IF(AB344=1,COUNTIF($AB$3:AB344,1),"")</f>
        <v/>
      </c>
      <c r="AD344" s="117" t="str">
        <f>IFERROR(INDEX($AA$3:$AA$10000,MATCH(ROWS($AC$3:AC344),$AC$3:$AC$10000,0)),"")</f>
        <v/>
      </c>
      <c r="AE344" s="117" t="str">
        <f>+'Packing Material - Cost'!A345</f>
        <v/>
      </c>
    </row>
    <row r="345" spans="27:31">
      <c r="AA345" s="117" t="str">
        <f>+'Ingredient List - Mother Tinctu'!D346</f>
        <v>Urtica Urens</v>
      </c>
      <c r="AB345" s="117">
        <f t="shared" si="8"/>
        <v>0</v>
      </c>
      <c r="AC345" s="117" t="str">
        <f>IF(AB345=1,COUNTIF($AB$3:AB345,1),"")</f>
        <v/>
      </c>
      <c r="AD345" s="117" t="str">
        <f>IFERROR(INDEX($AA$3:$AA$10000,MATCH(ROWS($AC$3:AC345),$AC$3:$AC$10000,0)),"")</f>
        <v/>
      </c>
      <c r="AE345" s="117" t="str">
        <f>+'Packing Material - Cost'!A346</f>
        <v/>
      </c>
    </row>
    <row r="346" spans="27:31">
      <c r="AA346" s="117" t="str">
        <f>+'Ingredient List - Mother Tinctu'!D347</f>
        <v>Ruta Grav.</v>
      </c>
      <c r="AB346" s="117">
        <f t="shared" si="8"/>
        <v>0</v>
      </c>
      <c r="AC346" s="117" t="str">
        <f>IF(AB346=1,COUNTIF($AB$3:AB346,1),"")</f>
        <v/>
      </c>
      <c r="AD346" s="117" t="str">
        <f>IFERROR(INDEX($AA$3:$AA$10000,MATCH(ROWS($AC$3:AC346),$AC$3:$AC$10000,0)),"")</f>
        <v/>
      </c>
      <c r="AE346" s="117" t="str">
        <f>+'Packing Material - Cost'!A347</f>
        <v/>
      </c>
    </row>
    <row r="347" spans="27:31">
      <c r="AA347" s="117" t="str">
        <f>+'Ingredient List - Mother Tinctu'!D348</f>
        <v>Alfalfa</v>
      </c>
      <c r="AB347" s="117">
        <f t="shared" si="8"/>
        <v>0</v>
      </c>
      <c r="AC347" s="117" t="str">
        <f>IF(AB347=1,COUNTIF($AB$3:AB347,1),"")</f>
        <v/>
      </c>
      <c r="AD347" s="117" t="str">
        <f>IFERROR(INDEX($AA$3:$AA$10000,MATCH(ROWS($AC$3:AC347),$AC$3:$AC$10000,0)),"")</f>
        <v/>
      </c>
      <c r="AE347" s="117" t="str">
        <f>+'Packing Material - Cost'!A348</f>
        <v/>
      </c>
    </row>
    <row r="348" spans="27:31">
      <c r="AA348" s="117" t="str">
        <f>+'Ingredient List - Mother Tinctu'!D349</f>
        <v>Avena Sat.</v>
      </c>
      <c r="AB348" s="117">
        <f t="shared" si="8"/>
        <v>0</v>
      </c>
      <c r="AC348" s="117" t="str">
        <f>IF(AB348=1,COUNTIF($AB$3:AB348,1),"")</f>
        <v/>
      </c>
      <c r="AD348" s="117" t="str">
        <f>IFERROR(INDEX($AA$3:$AA$10000,MATCH(ROWS($AC$3:AC348),$AC$3:$AC$10000,0)),"")</f>
        <v/>
      </c>
      <c r="AE348" s="117" t="str">
        <f>+'Packing Material - Cost'!A349</f>
        <v/>
      </c>
    </row>
    <row r="349" spans="27:31">
      <c r="AA349" s="117" t="str">
        <f>+'Ingredient List - Mother Tinctu'!D350</f>
        <v>Aralia </v>
      </c>
      <c r="AB349" s="117">
        <f t="shared" si="8"/>
        <v>0</v>
      </c>
      <c r="AC349" s="117" t="str">
        <f>IF(AB349=1,COUNTIF($AB$3:AB349,1),"")</f>
        <v/>
      </c>
      <c r="AD349" s="117" t="str">
        <f>IFERROR(INDEX($AA$3:$AA$10000,MATCH(ROWS($AC$3:AC349),$AC$3:$AC$10000,0)),"")</f>
        <v/>
      </c>
      <c r="AE349" s="117" t="str">
        <f>+'Packing Material - Cost'!A350</f>
        <v/>
      </c>
    </row>
    <row r="350" spans="27:31">
      <c r="AA350" s="117" t="str">
        <f>+'Ingredient List - Mother Tinctu'!D351</f>
        <v>Aspidosperma</v>
      </c>
      <c r="AB350" s="117">
        <f t="shared" si="8"/>
        <v>0</v>
      </c>
      <c r="AC350" s="117" t="str">
        <f>IF(AB350=1,COUNTIF($AB$3:AB350,1),"")</f>
        <v/>
      </c>
      <c r="AD350" s="117" t="str">
        <f>IFERROR(INDEX($AA$3:$AA$10000,MATCH(ROWS($AC$3:AC350),$AC$3:$AC$10000,0)),"")</f>
        <v/>
      </c>
      <c r="AE350" s="117" t="str">
        <f>+'Packing Material - Cost'!A351</f>
        <v/>
      </c>
    </row>
    <row r="351" spans="27:31">
      <c r="AA351" s="117" t="str">
        <f>+'Ingredient List - Mother Tinctu'!D352</f>
        <v>Baptisia </v>
      </c>
      <c r="AB351" s="117">
        <f t="shared" si="8"/>
        <v>0</v>
      </c>
      <c r="AC351" s="117" t="str">
        <f>IF(AB351=1,COUNTIF($AB$3:AB351,1),"")</f>
        <v/>
      </c>
      <c r="AD351" s="117" t="str">
        <f>IFERROR(INDEX($AA$3:$AA$10000,MATCH(ROWS($AC$3:AC351),$AC$3:$AC$10000,0)),"")</f>
        <v/>
      </c>
      <c r="AE351" s="117" t="str">
        <f>+'Packing Material - Cost'!A352</f>
        <v/>
      </c>
    </row>
    <row r="352" spans="27:31">
      <c r="AA352" s="117" t="str">
        <f>+'Ingredient List - Mother Tinctu'!D353</f>
        <v>Blatta</v>
      </c>
      <c r="AB352" s="117">
        <f t="shared" si="8"/>
        <v>0</v>
      </c>
      <c r="AC352" s="117" t="str">
        <f>IF(AB352=1,COUNTIF($AB$3:AB352,1),"")</f>
        <v/>
      </c>
      <c r="AD352" s="117" t="str">
        <f>IFERROR(INDEX($AA$3:$AA$10000,MATCH(ROWS($AC$3:AC352),$AC$3:$AC$10000,0)),"")</f>
        <v/>
      </c>
      <c r="AE352" s="117" t="str">
        <f>+'Packing Material - Cost'!A353</f>
        <v/>
      </c>
    </row>
    <row r="353" spans="27:31">
      <c r="AA353" s="117" t="str">
        <f>+'Ingredient List - Mother Tinctu'!D354</f>
        <v>Berberis Velgaris</v>
      </c>
      <c r="AB353" s="117">
        <f t="shared" si="8"/>
        <v>0</v>
      </c>
      <c r="AC353" s="117" t="str">
        <f>IF(AB353=1,COUNTIF($AB$3:AB353,1),"")</f>
        <v/>
      </c>
      <c r="AD353" s="117" t="str">
        <f>IFERROR(INDEX($AA$3:$AA$10000,MATCH(ROWS($AC$3:AC353),$AC$3:$AC$10000,0)),"")</f>
        <v/>
      </c>
      <c r="AE353" s="117" t="str">
        <f>+'Packing Material - Cost'!A354</f>
        <v/>
      </c>
    </row>
    <row r="354" spans="27:31">
      <c r="AA354" s="117" t="str">
        <f>+'Ingredient List - Mother Tinctu'!D355</f>
        <v>Brahmi</v>
      </c>
      <c r="AB354" s="117">
        <f t="shared" si="8"/>
        <v>0</v>
      </c>
      <c r="AC354" s="117" t="str">
        <f>IF(AB354=1,COUNTIF($AB$3:AB354,1),"")</f>
        <v/>
      </c>
      <c r="AD354" s="117" t="str">
        <f>IFERROR(INDEX($AA$3:$AA$10000,MATCH(ROWS($AC$3:AC354),$AC$3:$AC$10000,0)),"")</f>
        <v/>
      </c>
      <c r="AE354" s="117" t="str">
        <f>+'Packing Material - Cost'!A355</f>
        <v/>
      </c>
    </row>
    <row r="355" spans="27:31">
      <c r="AA355" s="117" t="str">
        <f>+'Ingredient List - Mother Tinctu'!D356</f>
        <v>Janosia Asokha</v>
      </c>
      <c r="AB355" s="117">
        <f t="shared" si="8"/>
        <v>0</v>
      </c>
      <c r="AC355" s="117" t="str">
        <f>IF(AB355=1,COUNTIF($AB$3:AB355,1),"")</f>
        <v/>
      </c>
      <c r="AD355" s="117" t="str">
        <f>IFERROR(INDEX($AA$3:$AA$10000,MATCH(ROWS($AC$3:AC355),$AC$3:$AC$10000,0)),"")</f>
        <v/>
      </c>
      <c r="AE355" s="117" t="str">
        <f>+'Packing Material - Cost'!A356</f>
        <v/>
      </c>
    </row>
    <row r="356" spans="27:31">
      <c r="AA356" s="117" t="str">
        <f>+'Ingredient List - Mother Tinctu'!D357</f>
        <v>Rauwolfia Serp.</v>
      </c>
      <c r="AB356" s="117">
        <f t="shared" si="8"/>
        <v>0</v>
      </c>
      <c r="AC356" s="117" t="str">
        <f>IF(AB356=1,COUNTIF($AB$3:AB356,1),"")</f>
        <v/>
      </c>
      <c r="AD356" s="117" t="str">
        <f>IFERROR(INDEX($AA$3:$AA$10000,MATCH(ROWS($AC$3:AC356),$AC$3:$AC$10000,0)),"")</f>
        <v/>
      </c>
      <c r="AE356" s="117" t="str">
        <f>+'Packing Material - Cost'!A357</f>
        <v/>
      </c>
    </row>
    <row r="357" spans="27:31">
      <c r="AA357" s="117" t="str">
        <f>+'Ingredient List - Mother Tinctu'!D358</f>
        <v>Yohimbinum</v>
      </c>
      <c r="AB357" s="117">
        <f t="shared" si="8"/>
        <v>0</v>
      </c>
      <c r="AC357" s="117" t="str">
        <f>IF(AB357=1,COUNTIF($AB$3:AB357,1),"")</f>
        <v/>
      </c>
      <c r="AD357" s="117" t="str">
        <f>IFERROR(INDEX($AA$3:$AA$10000,MATCH(ROWS($AC$3:AC357),$AC$3:$AC$10000,0)),"")</f>
        <v/>
      </c>
      <c r="AE357" s="117" t="str">
        <f>+'Packing Material - Cost'!A358</f>
        <v/>
      </c>
    </row>
    <row r="358" spans="27:31">
      <c r="AA358" s="117" t="str">
        <f>+'Ingredient List - Mother Tinctu'!D359</f>
        <v>Chelidonium</v>
      </c>
      <c r="AB358" s="117">
        <f t="shared" si="8"/>
        <v>0</v>
      </c>
      <c r="AC358" s="117" t="str">
        <f>IF(AB358=1,COUNTIF($AB$3:AB358,1),"")</f>
        <v/>
      </c>
      <c r="AD358" s="117" t="str">
        <f>IFERROR(INDEX($AA$3:$AA$10000,MATCH(ROWS($AC$3:AC358),$AC$3:$AC$10000,0)),"")</f>
        <v/>
      </c>
      <c r="AE358" s="117" t="str">
        <f>+'Packing Material - Cost'!A359</f>
        <v/>
      </c>
    </row>
    <row r="359" spans="27:31">
      <c r="AA359" s="117" t="str">
        <f>+'Ingredient List - Mother Tinctu'!D360</f>
        <v>Justicia Adh.</v>
      </c>
      <c r="AB359" s="117">
        <f t="shared" si="8"/>
        <v>0</v>
      </c>
      <c r="AC359" s="117" t="str">
        <f>IF(AB359=1,COUNTIF($AB$3:AB359,1),"")</f>
        <v/>
      </c>
      <c r="AD359" s="117" t="str">
        <f>IFERROR(INDEX($AA$3:$AA$10000,MATCH(ROWS($AC$3:AC359),$AC$3:$AC$10000,0)),"")</f>
        <v/>
      </c>
      <c r="AE359" s="117" t="str">
        <f>+'Packing Material - Cost'!A360</f>
        <v/>
      </c>
    </row>
    <row r="360" spans="27:31">
      <c r="AA360" s="117" t="str">
        <f>+'Ingredient List - Mother Tinctu'!D361</f>
        <v>Sambucus Nig.</v>
      </c>
      <c r="AB360" s="117">
        <f t="shared" si="8"/>
        <v>0</v>
      </c>
      <c r="AC360" s="117" t="str">
        <f>IF(AB360=1,COUNTIF($AB$3:AB360,1),"")</f>
        <v/>
      </c>
      <c r="AD360" s="117" t="str">
        <f>IFERROR(INDEX($AA$3:$AA$10000,MATCH(ROWS($AC$3:AC360),$AC$3:$AC$10000,0)),"")</f>
        <v/>
      </c>
      <c r="AE360" s="117" t="str">
        <f>+'Packing Material - Cost'!A361</f>
        <v/>
      </c>
    </row>
    <row r="361" spans="27:31">
      <c r="AA361" s="117" t="str">
        <f>+'Ingredient List - Mother Tinctu'!D362</f>
        <v>Grindelia Rob.</v>
      </c>
      <c r="AB361" s="117">
        <f t="shared" si="8"/>
        <v>0</v>
      </c>
      <c r="AC361" s="117" t="str">
        <f>IF(AB361=1,COUNTIF($AB$3:AB361,1),"")</f>
        <v/>
      </c>
      <c r="AD361" s="117" t="str">
        <f>IFERROR(INDEX($AA$3:$AA$10000,MATCH(ROWS($AC$3:AC361),$AC$3:$AC$10000,0)),"")</f>
        <v/>
      </c>
      <c r="AE361" s="117" t="str">
        <f>+'Packing Material - Cost'!A362</f>
        <v/>
      </c>
    </row>
    <row r="362" spans="27:31">
      <c r="AA362" s="117" t="str">
        <f>+'Ingredient List - Mother Tinctu'!D363</f>
        <v>Cactus Grand.</v>
      </c>
      <c r="AB362" s="117">
        <f t="shared" si="8"/>
        <v>0</v>
      </c>
      <c r="AC362" s="117" t="str">
        <f>IF(AB362=1,COUNTIF($AB$3:AB362,1),"")</f>
        <v/>
      </c>
      <c r="AD362" s="117" t="str">
        <f>IFERROR(INDEX($AA$3:$AA$10000,MATCH(ROWS($AC$3:AC362),$AC$3:$AC$10000,0)),"")</f>
        <v/>
      </c>
      <c r="AE362" s="117" t="str">
        <f>+'Packing Material - Cost'!A363</f>
        <v/>
      </c>
    </row>
    <row r="363" spans="27:31">
      <c r="AA363" s="117" t="str">
        <f>+'Ingredient List - Mother Tinctu'!D364</f>
        <v>Crataegus Ox.</v>
      </c>
      <c r="AB363" s="117">
        <f t="shared" si="8"/>
        <v>0</v>
      </c>
      <c r="AC363" s="117" t="str">
        <f>IF(AB363=1,COUNTIF($AB$3:AB363,1),"")</f>
        <v/>
      </c>
      <c r="AD363" s="117" t="str">
        <f>IFERROR(INDEX($AA$3:$AA$10000,MATCH(ROWS($AC$3:AC363),$AC$3:$AC$10000,0)),"")</f>
        <v/>
      </c>
      <c r="AE363" s="117" t="str">
        <f>+'Packing Material - Cost'!A364</f>
        <v/>
      </c>
    </row>
    <row r="364" spans="27:31">
      <c r="AA364" s="117" t="str">
        <f>+'Ingredient List - Mother Tinctu'!D365</f>
        <v>Carduus Mar.</v>
      </c>
      <c r="AB364" s="117">
        <f t="shared" si="8"/>
        <v>0</v>
      </c>
      <c r="AC364" s="117" t="str">
        <f>IF(AB364=1,COUNTIF($AB$3:AB364,1),"")</f>
        <v/>
      </c>
      <c r="AD364" s="117" t="str">
        <f>IFERROR(INDEX($AA$3:$AA$10000,MATCH(ROWS($AC$3:AC364),$AC$3:$AC$10000,0)),"")</f>
        <v/>
      </c>
      <c r="AE364" s="117" t="str">
        <f>+'Packing Material - Cost'!A365</f>
        <v/>
      </c>
    </row>
    <row r="365" spans="27:31">
      <c r="AA365" s="117" t="str">
        <f>+'Ingredient List - Mother Tinctu'!D366</f>
        <v>Senega</v>
      </c>
      <c r="AB365" s="117">
        <f t="shared" si="8"/>
        <v>0</v>
      </c>
      <c r="AC365" s="117" t="str">
        <f>IF(AB365=1,COUNTIF($AB$3:AB365,1),"")</f>
        <v/>
      </c>
      <c r="AD365" s="117" t="str">
        <f>IFERROR(INDEX($AA$3:$AA$10000,MATCH(ROWS($AC$3:AC365),$AC$3:$AC$10000,0)),"")</f>
        <v/>
      </c>
      <c r="AE365" s="117" t="str">
        <f>+'Packing Material - Cost'!A366</f>
        <v/>
      </c>
    </row>
    <row r="366" spans="27:31">
      <c r="AA366" s="117" t="str">
        <f>+'Ingredient List - Mother Tinctu'!D367</f>
        <v>Sarasaparilla</v>
      </c>
      <c r="AB366" s="117">
        <f t="shared" si="8"/>
        <v>0</v>
      </c>
      <c r="AC366" s="117" t="str">
        <f>IF(AB366=1,COUNTIF($AB$3:AB366,1),"")</f>
        <v/>
      </c>
      <c r="AD366" s="117" t="str">
        <f>IFERROR(INDEX($AA$3:$AA$10000,MATCH(ROWS($AC$3:AC366),$AC$3:$AC$10000,0)),"")</f>
        <v/>
      </c>
      <c r="AE366" s="117" t="str">
        <f>+'Packing Material - Cost'!A367</f>
        <v/>
      </c>
    </row>
    <row r="367" spans="27:31">
      <c r="AA367" s="117" t="str">
        <f>+'Ingredient List - Mother Tinctu'!D368</f>
        <v>Cina</v>
      </c>
      <c r="AB367" s="117">
        <f t="shared" si="8"/>
        <v>0</v>
      </c>
      <c r="AC367" s="117" t="str">
        <f>IF(AB367=1,COUNTIF($AB$3:AB367,1),"")</f>
        <v/>
      </c>
      <c r="AD367" s="117" t="str">
        <f>IFERROR(INDEX($AA$3:$AA$10000,MATCH(ROWS($AC$3:AC367),$AC$3:$AC$10000,0)),"")</f>
        <v/>
      </c>
      <c r="AE367" s="117" t="str">
        <f>+'Packing Material - Cost'!A368</f>
        <v/>
      </c>
    </row>
    <row r="368" spans="27:31">
      <c r="AA368" s="117" t="str">
        <f>+'Ingredient List - Mother Tinctu'!D369</f>
        <v>Veratrum Vir.</v>
      </c>
      <c r="AB368" s="117">
        <f t="shared" si="8"/>
        <v>0</v>
      </c>
      <c r="AC368" s="117" t="str">
        <f>IF(AB368=1,COUNTIF($AB$3:AB368,1),"")</f>
        <v/>
      </c>
      <c r="AD368" s="117" t="str">
        <f>IFERROR(INDEX($AA$3:$AA$10000,MATCH(ROWS($AC$3:AC368),$AC$3:$AC$10000,0)),"")</f>
        <v/>
      </c>
      <c r="AE368" s="117" t="str">
        <f>+'Packing Material - Cost'!A369</f>
        <v/>
      </c>
    </row>
    <row r="369" spans="27:31">
      <c r="AA369" s="117" t="str">
        <f>+'Ingredient List - Mother Tinctu'!D370</f>
        <v>Teucri M. V.</v>
      </c>
      <c r="AB369" s="117">
        <f t="shared" si="8"/>
        <v>0</v>
      </c>
      <c r="AC369" s="117" t="str">
        <f>IF(AB369=1,COUNTIF($AB$3:AB369,1),"")</f>
        <v/>
      </c>
      <c r="AD369" s="117" t="str">
        <f>IFERROR(INDEX($AA$3:$AA$10000,MATCH(ROWS($AC$3:AC369),$AC$3:$AC$10000,0)),"")</f>
        <v/>
      </c>
      <c r="AE369" s="117" t="str">
        <f>+'Packing Material - Cost'!A370</f>
        <v/>
      </c>
    </row>
    <row r="370" spans="27:31">
      <c r="AA370" s="117" t="str">
        <f>+'Ingredient List - Mother Tinctu'!D371</f>
        <v>Kurchi (Holarrhena Anti D)</v>
      </c>
      <c r="AB370" s="117">
        <f t="shared" si="8"/>
        <v>0</v>
      </c>
      <c r="AC370" s="117" t="str">
        <f>IF(AB370=1,COUNTIF($AB$3:AB370,1),"")</f>
        <v/>
      </c>
      <c r="AD370" s="117" t="str">
        <f>IFERROR(INDEX($AA$3:$AA$10000,MATCH(ROWS($AC$3:AC370),$AC$3:$AC$10000,0)),"")</f>
        <v/>
      </c>
      <c r="AE370" s="117" t="str">
        <f>+'Packing Material - Cost'!A371</f>
        <v/>
      </c>
    </row>
    <row r="371" spans="27:31">
      <c r="AA371" s="117" t="str">
        <f>+'Ingredient List - Mother Tinctu'!D372</f>
        <v>Senna</v>
      </c>
      <c r="AB371" s="117">
        <f t="shared" si="8"/>
        <v>0</v>
      </c>
      <c r="AC371" s="117" t="str">
        <f>IF(AB371=1,COUNTIF($AB$3:AB371,1),"")</f>
        <v/>
      </c>
      <c r="AD371" s="117" t="str">
        <f>IFERROR(INDEX($AA$3:$AA$10000,MATCH(ROWS($AC$3:AC371),$AC$3:$AC$10000,0)),"")</f>
        <v/>
      </c>
      <c r="AE371" s="117" t="str">
        <f>+'Packing Material - Cost'!A372</f>
        <v/>
      </c>
    </row>
    <row r="372" spans="27:31">
      <c r="AA372" s="117" t="str">
        <f>+'Ingredient List - Mother Tinctu'!D373</f>
        <v>Lobelia Infl.</v>
      </c>
      <c r="AB372" s="117">
        <f t="shared" si="8"/>
        <v>0</v>
      </c>
      <c r="AC372" s="117" t="str">
        <f>IF(AB372=1,COUNTIF($AB$3:AB372,1),"")</f>
        <v/>
      </c>
      <c r="AD372" s="117" t="str">
        <f>IFERROR(INDEX($AA$3:$AA$10000,MATCH(ROWS($AC$3:AC372),$AC$3:$AC$10000,0)),"")</f>
        <v/>
      </c>
      <c r="AE372" s="117" t="str">
        <f>+'Packing Material - Cost'!A373</f>
        <v/>
      </c>
    </row>
    <row r="373" spans="27:31">
      <c r="AA373" s="117" t="str">
        <f>+'Ingredient List - Mother Tinctu'!D374</f>
        <v>Sabadilla</v>
      </c>
      <c r="AB373" s="117">
        <f t="shared" si="8"/>
        <v>0</v>
      </c>
      <c r="AC373" s="117" t="str">
        <f>IF(AB373=1,COUNTIF($AB$3:AB373,1),"")</f>
        <v/>
      </c>
      <c r="AD373" s="117" t="str">
        <f>IFERROR(INDEX($AA$3:$AA$10000,MATCH(ROWS($AC$3:AC373),$AC$3:$AC$10000,0)),"")</f>
        <v/>
      </c>
      <c r="AE373" s="117" t="str">
        <f>+'Packing Material - Cost'!A374</f>
        <v/>
      </c>
    </row>
    <row r="374" spans="27:31">
      <c r="AA374" s="117" t="str">
        <f>+'Ingredient List - Mother Tinctu'!D375</f>
        <v>Zingiber.</v>
      </c>
      <c r="AB374" s="117">
        <f t="shared" si="8"/>
        <v>0</v>
      </c>
      <c r="AC374" s="117" t="str">
        <f>IF(AB374=1,COUNTIF($AB$3:AB374,1),"")</f>
        <v/>
      </c>
      <c r="AD374" s="117" t="str">
        <f>IFERROR(INDEX($AA$3:$AA$10000,MATCH(ROWS($AC$3:AC374),$AC$3:$AC$10000,0)),"")</f>
        <v/>
      </c>
      <c r="AE374" s="117" t="str">
        <f>+'Packing Material - Cost'!A375</f>
        <v/>
      </c>
    </row>
    <row r="375" spans="27:31">
      <c r="AA375" s="117" t="str">
        <f>+'Ingredient List - Mother Tinctu'!D376</f>
        <v>Dioscorea V.</v>
      </c>
      <c r="AB375" s="117">
        <f t="shared" si="8"/>
        <v>0</v>
      </c>
      <c r="AC375" s="117" t="str">
        <f>IF(AB375=1,COUNTIF($AB$3:AB375,1),"")</f>
        <v/>
      </c>
      <c r="AD375" s="117" t="str">
        <f>IFERROR(INDEX($AA$3:$AA$10000,MATCH(ROWS($AC$3:AC375),$AC$3:$AC$10000,0)),"")</f>
        <v/>
      </c>
      <c r="AE375" s="117" t="str">
        <f>+'Packing Material - Cost'!A376</f>
        <v/>
      </c>
    </row>
    <row r="376" spans="27:31">
      <c r="AA376" s="117" t="str">
        <f>+'Ingredient List - Mother Tinctu'!D377</f>
        <v>Drosera Rot.</v>
      </c>
      <c r="AB376" s="117">
        <f t="shared" si="8"/>
        <v>0</v>
      </c>
      <c r="AC376" s="117" t="str">
        <f>IF(AB376=1,COUNTIF($AB$3:AB376,1),"")</f>
        <v/>
      </c>
      <c r="AD376" s="117" t="str">
        <f>IFERROR(INDEX($AA$3:$AA$10000,MATCH(ROWS($AC$3:AC376),$AC$3:$AC$10000,0)),"")</f>
        <v/>
      </c>
      <c r="AE376" s="117" t="str">
        <f>+'Packing Material - Cost'!A377</f>
        <v/>
      </c>
    </row>
    <row r="377" spans="27:31">
      <c r="AA377" s="117" t="str">
        <f>+'Ingredient List - Mother Tinctu'!D378</f>
        <v>Abies Can.</v>
      </c>
      <c r="AB377" s="117">
        <f t="shared" si="8"/>
        <v>0</v>
      </c>
      <c r="AC377" s="117" t="str">
        <f>IF(AB377=1,COUNTIF($AB$3:AB377,1),"")</f>
        <v/>
      </c>
      <c r="AD377" s="117" t="str">
        <f>IFERROR(INDEX($AA$3:$AA$10000,MATCH(ROWS($AC$3:AC377),$AC$3:$AC$10000,0)),"")</f>
        <v/>
      </c>
      <c r="AE377" s="117" t="str">
        <f>+'Packing Material - Cost'!A378</f>
        <v/>
      </c>
    </row>
    <row r="378" spans="27:31">
      <c r="AA378" s="117" t="str">
        <f>+'Ingredient List - Mother Tinctu'!D379</f>
        <v>Abies Nig.</v>
      </c>
      <c r="AB378" s="117">
        <f t="shared" si="8"/>
        <v>0</v>
      </c>
      <c r="AC378" s="117" t="str">
        <f>IF(AB378=1,COUNTIF($AB$3:AB378,1),"")</f>
        <v/>
      </c>
      <c r="AD378" s="117" t="str">
        <f>IFERROR(INDEX($AA$3:$AA$10000,MATCH(ROWS($AC$3:AC378),$AC$3:$AC$10000,0)),"")</f>
        <v/>
      </c>
      <c r="AE378" s="117" t="str">
        <f>+'Packing Material - Cost'!A379</f>
        <v/>
      </c>
    </row>
    <row r="379" spans="27:31">
      <c r="AA379" s="117" t="str">
        <f>+'Ingredient List - Mother Tinctu'!D380</f>
        <v>Abroma Aug.</v>
      </c>
      <c r="AB379" s="117">
        <f t="shared" si="8"/>
        <v>0</v>
      </c>
      <c r="AC379" s="117" t="str">
        <f>IF(AB379=1,COUNTIF($AB$3:AB379,1),"")</f>
        <v/>
      </c>
      <c r="AD379" s="117" t="str">
        <f>IFERROR(INDEX($AA$3:$AA$10000,MATCH(ROWS($AC$3:AC379),$AC$3:$AC$10000,0)),"")</f>
        <v/>
      </c>
      <c r="AE379" s="117" t="str">
        <f>+'Packing Material - Cost'!A380</f>
        <v/>
      </c>
    </row>
    <row r="380" spans="27:31">
      <c r="AA380" s="117" t="str">
        <f>+'Ingredient List - Mother Tinctu'!D381</f>
        <v>Abroma Radix.</v>
      </c>
      <c r="AB380" s="117">
        <f t="shared" si="8"/>
        <v>0</v>
      </c>
      <c r="AC380" s="117" t="str">
        <f>IF(AB380=1,COUNTIF($AB$3:AB380,1),"")</f>
        <v/>
      </c>
      <c r="AD380" s="117" t="str">
        <f>IFERROR(INDEX($AA$3:$AA$10000,MATCH(ROWS($AC$3:AC380),$AC$3:$AC$10000,0)),"")</f>
        <v/>
      </c>
      <c r="AE380" s="117" t="str">
        <f>+'Packing Material - Cost'!A381</f>
        <v/>
      </c>
    </row>
    <row r="381" spans="27:31">
      <c r="AA381" s="117" t="str">
        <f>+'Ingredient List - Mother Tinctu'!D382</f>
        <v>Abrotanum</v>
      </c>
      <c r="AB381" s="117">
        <f t="shared" si="8"/>
        <v>0</v>
      </c>
      <c r="AC381" s="117" t="str">
        <f>IF(AB381=1,COUNTIF($AB$3:AB381,1),"")</f>
        <v/>
      </c>
      <c r="AD381" s="117" t="str">
        <f>IFERROR(INDEX($AA$3:$AA$10000,MATCH(ROWS($AC$3:AC381),$AC$3:$AC$10000,0)),"")</f>
        <v/>
      </c>
      <c r="AE381" s="117" t="str">
        <f>+'Packing Material - Cost'!A382</f>
        <v/>
      </c>
    </row>
    <row r="382" spans="27:31">
      <c r="AA382" s="117" t="str">
        <f>+'Ingredient List - Mother Tinctu'!D383</f>
        <v>Absinthium</v>
      </c>
      <c r="AB382" s="117">
        <f t="shared" si="8"/>
        <v>0</v>
      </c>
      <c r="AC382" s="117" t="str">
        <f>IF(AB382=1,COUNTIF($AB$3:AB382,1),"")</f>
        <v/>
      </c>
      <c r="AD382" s="117" t="str">
        <f>IFERROR(INDEX($AA$3:$AA$10000,MATCH(ROWS($AC$3:AC382),$AC$3:$AC$10000,0)),"")</f>
        <v/>
      </c>
      <c r="AE382" s="117" t="str">
        <f>+'Packing Material - Cost'!A383</f>
        <v/>
      </c>
    </row>
    <row r="383" spans="27:31">
      <c r="AA383" s="117" t="str">
        <f>+'Ingredient List - Mother Tinctu'!D384</f>
        <v>Acalypha Ind.</v>
      </c>
      <c r="AB383" s="117">
        <f t="shared" si="8"/>
        <v>0</v>
      </c>
      <c r="AC383" s="117" t="str">
        <f>IF(AB383=1,COUNTIF($AB$3:AB383,1),"")</f>
        <v/>
      </c>
      <c r="AD383" s="117" t="str">
        <f>IFERROR(INDEX($AA$3:$AA$10000,MATCH(ROWS($AC$3:AC383),$AC$3:$AC$10000,0)),"")</f>
        <v/>
      </c>
      <c r="AE383" s="117" t="str">
        <f>+'Packing Material - Cost'!A384</f>
        <v/>
      </c>
    </row>
    <row r="384" spans="27:31">
      <c r="AA384" s="117" t="str">
        <f>+'Ingredient List - Mother Tinctu'!D385</f>
        <v>Acid Acet.</v>
      </c>
      <c r="AB384" s="117">
        <f t="shared" si="8"/>
        <v>0</v>
      </c>
      <c r="AC384" s="117" t="str">
        <f>IF(AB384=1,COUNTIF($AB$3:AB384,1),"")</f>
        <v/>
      </c>
      <c r="AD384" s="117" t="str">
        <f>IFERROR(INDEX($AA$3:$AA$10000,MATCH(ROWS($AC$3:AC384),$AC$3:$AC$10000,0)),"")</f>
        <v/>
      </c>
      <c r="AE384" s="117" t="str">
        <f>+'Packing Material - Cost'!A385</f>
        <v/>
      </c>
    </row>
    <row r="385" spans="27:31">
      <c r="AA385" s="117" t="str">
        <f>+'Ingredient List - Mother Tinctu'!D386</f>
        <v>Acid Benz.</v>
      </c>
      <c r="AB385" s="117">
        <f t="shared" si="8"/>
        <v>0</v>
      </c>
      <c r="AC385" s="117" t="str">
        <f>IF(AB385=1,COUNTIF($AB$3:AB385,1),"")</f>
        <v/>
      </c>
      <c r="AD385" s="117" t="str">
        <f>IFERROR(INDEX($AA$3:$AA$10000,MATCH(ROWS($AC$3:AC385),$AC$3:$AC$10000,0)),"")</f>
        <v/>
      </c>
      <c r="AE385" s="117" t="str">
        <f>+'Packing Material - Cost'!A386</f>
        <v/>
      </c>
    </row>
    <row r="386" spans="27:31">
      <c r="AA386" s="117" t="str">
        <f>+'Ingredient List - Mother Tinctu'!D387</f>
        <v>Acid Boric.</v>
      </c>
      <c r="AB386" s="117">
        <f t="shared" si="8"/>
        <v>0</v>
      </c>
      <c r="AC386" s="117" t="str">
        <f>IF(AB386=1,COUNTIF($AB$3:AB386,1),"")</f>
        <v/>
      </c>
      <c r="AD386" s="117" t="str">
        <f>IFERROR(INDEX($AA$3:$AA$10000,MATCH(ROWS($AC$3:AC386),$AC$3:$AC$10000,0)),"")</f>
        <v/>
      </c>
      <c r="AE386" s="117" t="str">
        <f>+'Packing Material - Cost'!A387</f>
        <v/>
      </c>
    </row>
    <row r="387" spans="27:31">
      <c r="AA387" s="117" t="str">
        <f>+'Ingredient List - Mother Tinctu'!D388</f>
        <v>Acid Brom</v>
      </c>
      <c r="AB387" s="117">
        <f t="shared" si="8"/>
        <v>0</v>
      </c>
      <c r="AC387" s="117" t="str">
        <f>IF(AB387=1,COUNTIF($AB$3:AB387,1),"")</f>
        <v/>
      </c>
      <c r="AD387" s="117" t="str">
        <f>IFERROR(INDEX($AA$3:$AA$10000,MATCH(ROWS($AC$3:AC387),$AC$3:$AC$10000,0)),"")</f>
        <v/>
      </c>
      <c r="AE387" s="117" t="str">
        <f>+'Packing Material - Cost'!A388</f>
        <v/>
      </c>
    </row>
    <row r="388" spans="27:31">
      <c r="AA388" s="117" t="str">
        <f>+'Ingredient List - Mother Tinctu'!D389</f>
        <v>Acid Butyric</v>
      </c>
      <c r="AB388" s="117">
        <f t="shared" ref="AB388:AB451" si="9">--ISNUMBER(IFERROR(SEARCH($D$3,AA388,1),""))</f>
        <v>0</v>
      </c>
      <c r="AC388" s="117" t="str">
        <f>IF(AB388=1,COUNTIF($AB$3:AB388,1),"")</f>
        <v/>
      </c>
      <c r="AD388" s="117" t="str">
        <f>IFERROR(INDEX($AA$3:$AA$10000,MATCH(ROWS($AC$3:AC388),$AC$3:$AC$10000,0)),"")</f>
        <v/>
      </c>
      <c r="AE388" s="117" t="str">
        <f>+'Packing Material - Cost'!A389</f>
        <v/>
      </c>
    </row>
    <row r="389" spans="27:31">
      <c r="AA389" s="117" t="str">
        <f>+'Ingredient List - Mother Tinctu'!D390</f>
        <v>Acid Carb</v>
      </c>
      <c r="AB389" s="117">
        <f t="shared" si="9"/>
        <v>0</v>
      </c>
      <c r="AC389" s="117" t="str">
        <f>IF(AB389=1,COUNTIF($AB$3:AB389,1),"")</f>
        <v/>
      </c>
      <c r="AD389" s="117" t="str">
        <f>IFERROR(INDEX($AA$3:$AA$10000,MATCH(ROWS($AC$3:AC389),$AC$3:$AC$10000,0)),"")</f>
        <v/>
      </c>
      <c r="AE389" s="117" t="str">
        <f>+'Packing Material - Cost'!A390</f>
        <v/>
      </c>
    </row>
    <row r="390" spans="27:31">
      <c r="AA390" s="117" t="str">
        <f>+'Ingredient List - Mother Tinctu'!D391</f>
        <v>Acid Chromic</v>
      </c>
      <c r="AB390" s="117">
        <f t="shared" si="9"/>
        <v>0</v>
      </c>
      <c r="AC390" s="117" t="str">
        <f>IF(AB390=1,COUNTIF($AB$3:AB390,1),"")</f>
        <v/>
      </c>
      <c r="AD390" s="117" t="str">
        <f>IFERROR(INDEX($AA$3:$AA$10000,MATCH(ROWS($AC$3:AC390),$AC$3:$AC$10000,0)),"")</f>
        <v/>
      </c>
      <c r="AE390" s="117" t="str">
        <f>+'Packing Material - Cost'!A391</f>
        <v/>
      </c>
    </row>
    <row r="391" spans="27:31">
      <c r="AA391" s="117" t="str">
        <f>+'Ingredient List - Mother Tinctu'!D392</f>
        <v>Acid Chry</v>
      </c>
      <c r="AB391" s="117">
        <f t="shared" si="9"/>
        <v>0</v>
      </c>
      <c r="AC391" s="117" t="str">
        <f>IF(AB391=1,COUNTIF($AB$3:AB391,1),"")</f>
        <v/>
      </c>
      <c r="AD391" s="117" t="str">
        <f>IFERROR(INDEX($AA$3:$AA$10000,MATCH(ROWS($AC$3:AC391),$AC$3:$AC$10000,0)),"")</f>
        <v/>
      </c>
      <c r="AE391" s="117" t="str">
        <f>+'Packing Material - Cost'!A392</f>
        <v/>
      </c>
    </row>
    <row r="392" spans="27:31">
      <c r="AA392" s="117" t="str">
        <f>+'Ingredient List - Mother Tinctu'!D393</f>
        <v>Acid Citric</v>
      </c>
      <c r="AB392" s="117">
        <f t="shared" si="9"/>
        <v>0</v>
      </c>
      <c r="AC392" s="117" t="str">
        <f>IF(AB392=1,COUNTIF($AB$3:AB392,1),"")</f>
        <v/>
      </c>
      <c r="AD392" s="117" t="str">
        <f>IFERROR(INDEX($AA$3:$AA$10000,MATCH(ROWS($AC$3:AC392),$AC$3:$AC$10000,0)),"")</f>
        <v/>
      </c>
      <c r="AE392" s="117" t="str">
        <f>+'Packing Material - Cost'!A393</f>
        <v/>
      </c>
    </row>
    <row r="393" spans="27:31">
      <c r="AA393" s="117" t="str">
        <f>+'Ingredient List - Mother Tinctu'!D394</f>
        <v>Acid Fluor.</v>
      </c>
      <c r="AB393" s="117">
        <f t="shared" si="9"/>
        <v>0</v>
      </c>
      <c r="AC393" s="117" t="str">
        <f>IF(AB393=1,COUNTIF($AB$3:AB393,1),"")</f>
        <v/>
      </c>
      <c r="AD393" s="117" t="str">
        <f>IFERROR(INDEX($AA$3:$AA$10000,MATCH(ROWS($AC$3:AC393),$AC$3:$AC$10000,0)),"")</f>
        <v/>
      </c>
      <c r="AE393" s="117" t="str">
        <f>+'Packing Material - Cost'!A394</f>
        <v/>
      </c>
    </row>
    <row r="394" spans="27:31">
      <c r="AA394" s="117" t="str">
        <f>+'Ingredient List - Mother Tinctu'!D395</f>
        <v>Acid Formic</v>
      </c>
      <c r="AB394" s="117">
        <f t="shared" si="9"/>
        <v>0</v>
      </c>
      <c r="AC394" s="117" t="str">
        <f>IF(AB394=1,COUNTIF($AB$3:AB394,1),"")</f>
        <v/>
      </c>
      <c r="AD394" s="117" t="str">
        <f>IFERROR(INDEX($AA$3:$AA$10000,MATCH(ROWS($AC$3:AC394),$AC$3:$AC$10000,0)),"")</f>
        <v/>
      </c>
      <c r="AE394" s="117" t="str">
        <f>+'Packing Material - Cost'!A395</f>
        <v/>
      </c>
    </row>
    <row r="395" spans="27:31">
      <c r="AA395" s="117" t="str">
        <f>+'Ingredient List - Mother Tinctu'!D396</f>
        <v>Acid Gallic</v>
      </c>
      <c r="AB395" s="117">
        <f t="shared" si="9"/>
        <v>0</v>
      </c>
      <c r="AC395" s="117" t="str">
        <f>IF(AB395=1,COUNTIF($AB$3:AB395,1),"")</f>
        <v/>
      </c>
      <c r="AD395" s="117" t="str">
        <f>IFERROR(INDEX($AA$3:$AA$10000,MATCH(ROWS($AC$3:AC395),$AC$3:$AC$10000,0)),"")</f>
        <v/>
      </c>
      <c r="AE395" s="117" t="str">
        <f>+'Packing Material - Cost'!A396</f>
        <v/>
      </c>
    </row>
    <row r="396" spans="27:31">
      <c r="AA396" s="117" t="str">
        <f>+'Ingredient List - Mother Tinctu'!D397</f>
        <v>Acid Hydrochl (Acid Mur)</v>
      </c>
      <c r="AB396" s="117">
        <f t="shared" si="9"/>
        <v>0</v>
      </c>
      <c r="AC396" s="117" t="str">
        <f>IF(AB396=1,COUNTIF($AB$3:AB396,1),"")</f>
        <v/>
      </c>
      <c r="AD396" s="117" t="str">
        <f>IFERROR(INDEX($AA$3:$AA$10000,MATCH(ROWS($AC$3:AC396),$AC$3:$AC$10000,0)),"")</f>
        <v/>
      </c>
      <c r="AE396" s="117" t="str">
        <f>+'Packing Material - Cost'!A397</f>
        <v/>
      </c>
    </row>
    <row r="397" spans="27:31">
      <c r="AA397" s="117" t="str">
        <f>+'Ingredient List - Mother Tinctu'!D398</f>
        <v>Acid Hydrocy</v>
      </c>
      <c r="AB397" s="117">
        <f t="shared" si="9"/>
        <v>0</v>
      </c>
      <c r="AC397" s="117" t="str">
        <f>IF(AB397=1,COUNTIF($AB$3:AB397,1),"")</f>
        <v/>
      </c>
      <c r="AD397" s="117" t="str">
        <f>IFERROR(INDEX($AA$3:$AA$10000,MATCH(ROWS($AC$3:AC397),$AC$3:$AC$10000,0)),"")</f>
        <v/>
      </c>
      <c r="AE397" s="117" t="str">
        <f>+'Packing Material - Cost'!A398</f>
        <v/>
      </c>
    </row>
    <row r="398" spans="27:31">
      <c r="AA398" s="117" t="str">
        <f>+'Ingredient List - Mother Tinctu'!D399</f>
        <v>Acid Lactic</v>
      </c>
      <c r="AB398" s="117">
        <f t="shared" si="9"/>
        <v>0</v>
      </c>
      <c r="AC398" s="117" t="str">
        <f>IF(AB398=1,COUNTIF($AB$3:AB398,1),"")</f>
        <v/>
      </c>
      <c r="AD398" s="117" t="str">
        <f>IFERROR(INDEX($AA$3:$AA$10000,MATCH(ROWS($AC$3:AC398),$AC$3:$AC$10000,0)),"")</f>
        <v/>
      </c>
      <c r="AE398" s="117" t="str">
        <f>+'Packing Material - Cost'!A399</f>
        <v/>
      </c>
    </row>
    <row r="399" spans="27:31">
      <c r="AA399" s="117" t="str">
        <f>+'Ingredient List - Mother Tinctu'!D400</f>
        <v>Acid Nit.</v>
      </c>
      <c r="AB399" s="117">
        <f t="shared" si="9"/>
        <v>0</v>
      </c>
      <c r="AC399" s="117" t="str">
        <f>IF(AB399=1,COUNTIF($AB$3:AB399,1),"")</f>
        <v/>
      </c>
      <c r="AD399" s="117" t="str">
        <f>IFERROR(INDEX($AA$3:$AA$10000,MATCH(ROWS($AC$3:AC399),$AC$3:$AC$10000,0)),"")</f>
        <v/>
      </c>
      <c r="AE399" s="117" t="str">
        <f>+'Packing Material - Cost'!A400</f>
        <v/>
      </c>
    </row>
    <row r="400" spans="27:31">
      <c r="AA400" s="117" t="str">
        <f>+'Ingredient List - Mother Tinctu'!D401</f>
        <v>Acid Oxalic</v>
      </c>
      <c r="AB400" s="117">
        <f t="shared" si="9"/>
        <v>0</v>
      </c>
      <c r="AC400" s="117" t="str">
        <f>IF(AB400=1,COUNTIF($AB$3:AB400,1),"")</f>
        <v/>
      </c>
      <c r="AD400" s="117" t="str">
        <f>IFERROR(INDEX($AA$3:$AA$10000,MATCH(ROWS($AC$3:AC400),$AC$3:$AC$10000,0)),"")</f>
        <v/>
      </c>
      <c r="AE400" s="117" t="str">
        <f>+'Packing Material - Cost'!A401</f>
        <v/>
      </c>
    </row>
    <row r="401" spans="27:31">
      <c r="AA401" s="117" t="str">
        <f>+'Ingredient List - Mother Tinctu'!D402</f>
        <v>Acid Phos</v>
      </c>
      <c r="AB401" s="117">
        <f t="shared" si="9"/>
        <v>0</v>
      </c>
      <c r="AC401" s="117" t="str">
        <f>IF(AB401=1,COUNTIF($AB$3:AB401,1),"")</f>
        <v/>
      </c>
      <c r="AD401" s="117" t="str">
        <f>IFERROR(INDEX($AA$3:$AA$10000,MATCH(ROWS($AC$3:AC401),$AC$3:$AC$10000,0)),"")</f>
        <v/>
      </c>
      <c r="AE401" s="117" t="str">
        <f>+'Packing Material - Cost'!A402</f>
        <v/>
      </c>
    </row>
    <row r="402" spans="27:31">
      <c r="AA402" s="117" t="str">
        <f>+'Ingredient List - Mother Tinctu'!D403</f>
        <v>Acid Picric</v>
      </c>
      <c r="AB402" s="117">
        <f t="shared" si="9"/>
        <v>0</v>
      </c>
      <c r="AC402" s="117" t="str">
        <f>IF(AB402=1,COUNTIF($AB$3:AB402,1),"")</f>
        <v/>
      </c>
      <c r="AD402" s="117" t="str">
        <f>IFERROR(INDEX($AA$3:$AA$10000,MATCH(ROWS($AC$3:AC402),$AC$3:$AC$10000,0)),"")</f>
        <v/>
      </c>
      <c r="AE402" s="117" t="str">
        <f>+'Packing Material - Cost'!A403</f>
        <v/>
      </c>
    </row>
    <row r="403" spans="27:31">
      <c r="AA403" s="117" t="str">
        <f>+'Ingredient List - Mother Tinctu'!D404</f>
        <v>Acid Salicyl</v>
      </c>
      <c r="AB403" s="117">
        <f t="shared" si="9"/>
        <v>0</v>
      </c>
      <c r="AC403" s="117" t="str">
        <f>IF(AB403=1,COUNTIF($AB$3:AB403,1),"")</f>
        <v/>
      </c>
      <c r="AD403" s="117" t="str">
        <f>IFERROR(INDEX($AA$3:$AA$10000,MATCH(ROWS($AC$3:AC403),$AC$3:$AC$10000,0)),"")</f>
        <v/>
      </c>
      <c r="AE403" s="117" t="str">
        <f>+'Packing Material - Cost'!A404</f>
        <v/>
      </c>
    </row>
    <row r="404" spans="27:31">
      <c r="AA404" s="117" t="str">
        <f>+'Ingredient List - Mother Tinctu'!D405</f>
        <v>Acid Sarcolact</v>
      </c>
      <c r="AB404" s="117">
        <f t="shared" si="9"/>
        <v>0</v>
      </c>
      <c r="AC404" s="117" t="str">
        <f>IF(AB404=1,COUNTIF($AB$3:AB404,1),"")</f>
        <v/>
      </c>
      <c r="AD404" s="117" t="str">
        <f>IFERROR(INDEX($AA$3:$AA$10000,MATCH(ROWS($AC$3:AC404),$AC$3:$AC$10000,0)),"")</f>
        <v/>
      </c>
      <c r="AE404" s="117" t="str">
        <f>+'Packing Material - Cost'!A405</f>
        <v/>
      </c>
    </row>
    <row r="405" spans="27:31">
      <c r="AA405" s="117" t="str">
        <f>+'Ingredient List - Mother Tinctu'!D406</f>
        <v>Acid Succinic</v>
      </c>
      <c r="AB405" s="117">
        <f t="shared" si="9"/>
        <v>0</v>
      </c>
      <c r="AC405" s="117" t="str">
        <f>IF(AB405=1,COUNTIF($AB$3:AB405,1),"")</f>
        <v/>
      </c>
      <c r="AD405" s="117" t="str">
        <f>IFERROR(INDEX($AA$3:$AA$10000,MATCH(ROWS($AC$3:AC405),$AC$3:$AC$10000,0)),"")</f>
        <v/>
      </c>
      <c r="AE405" s="117" t="str">
        <f>+'Packing Material - Cost'!A406</f>
        <v/>
      </c>
    </row>
    <row r="406" spans="27:31">
      <c r="AA406" s="117" t="str">
        <f>+'Ingredient List - Mother Tinctu'!D407</f>
        <v>Acid Sulph.</v>
      </c>
      <c r="AB406" s="117">
        <f t="shared" si="9"/>
        <v>0</v>
      </c>
      <c r="AC406" s="117" t="str">
        <f>IF(AB406=1,COUNTIF($AB$3:AB406,1),"")</f>
        <v/>
      </c>
      <c r="AD406" s="117" t="str">
        <f>IFERROR(INDEX($AA$3:$AA$10000,MATCH(ROWS($AC$3:AC406),$AC$3:$AC$10000,0)),"")</f>
        <v/>
      </c>
      <c r="AE406" s="117" t="str">
        <f>+'Packing Material - Cost'!A407</f>
        <v/>
      </c>
    </row>
    <row r="407" spans="27:31">
      <c r="AA407" s="117" t="str">
        <f>+'Ingredient List - Mother Tinctu'!D408</f>
        <v>Acid Tannic.</v>
      </c>
      <c r="AB407" s="117">
        <f t="shared" si="9"/>
        <v>0</v>
      </c>
      <c r="AC407" s="117" t="str">
        <f>IF(AB407=1,COUNTIF($AB$3:AB407,1),"")</f>
        <v/>
      </c>
      <c r="AD407" s="117" t="str">
        <f>IFERROR(INDEX($AA$3:$AA$10000,MATCH(ROWS($AC$3:AC407),$AC$3:$AC$10000,0)),"")</f>
        <v/>
      </c>
      <c r="AE407" s="117" t="str">
        <f>+'Packing Material - Cost'!A408</f>
        <v/>
      </c>
    </row>
    <row r="408" spans="27:31">
      <c r="AA408" s="117" t="str">
        <f>+'Ingredient List - Mother Tinctu'!D409</f>
        <v>Acid Tart.</v>
      </c>
      <c r="AB408" s="117">
        <f t="shared" si="9"/>
        <v>0</v>
      </c>
      <c r="AC408" s="117" t="str">
        <f>IF(AB408=1,COUNTIF($AB$3:AB408,1),"")</f>
        <v/>
      </c>
      <c r="AD408" s="117" t="str">
        <f>IFERROR(INDEX($AA$3:$AA$10000,MATCH(ROWS($AC$3:AC408),$AC$3:$AC$10000,0)),"")</f>
        <v/>
      </c>
      <c r="AE408" s="117" t="str">
        <f>+'Packing Material - Cost'!A409</f>
        <v/>
      </c>
    </row>
    <row r="409" spans="27:31">
      <c r="AA409" s="117" t="str">
        <f>+'Ingredient List - Mother Tinctu'!D410</f>
        <v>Acid Uric.</v>
      </c>
      <c r="AB409" s="117">
        <f t="shared" si="9"/>
        <v>0</v>
      </c>
      <c r="AC409" s="117" t="str">
        <f>IF(AB409=1,COUNTIF($AB$3:AB409,1),"")</f>
        <v/>
      </c>
      <c r="AD409" s="117" t="str">
        <f>IFERROR(INDEX($AA$3:$AA$10000,MATCH(ROWS($AC$3:AC409),$AC$3:$AC$10000,0)),"")</f>
        <v/>
      </c>
      <c r="AE409" s="117" t="str">
        <f>+'Packing Material - Cost'!A410</f>
        <v/>
      </c>
    </row>
    <row r="410" spans="27:31">
      <c r="AA410" s="117" t="str">
        <f>+'Ingredient List - Mother Tinctu'!D411</f>
        <v>Aconite Lyco.</v>
      </c>
      <c r="AB410" s="117">
        <f t="shared" si="9"/>
        <v>0</v>
      </c>
      <c r="AC410" s="117" t="str">
        <f>IF(AB410=1,COUNTIF($AB$3:AB410,1),"")</f>
        <v/>
      </c>
      <c r="AD410" s="117" t="str">
        <f>IFERROR(INDEX($AA$3:$AA$10000,MATCH(ROWS($AC$3:AC410),$AC$3:$AC$10000,0)),"")</f>
        <v/>
      </c>
      <c r="AE410" s="117" t="str">
        <f>+'Packing Material - Cost'!A411</f>
        <v/>
      </c>
    </row>
    <row r="411" spans="27:31">
      <c r="AA411" s="117" t="str">
        <f>+'Ingredient List - Mother Tinctu'!D412</f>
        <v>Aconite Nap.</v>
      </c>
      <c r="AB411" s="117">
        <f t="shared" si="9"/>
        <v>0</v>
      </c>
      <c r="AC411" s="117" t="str">
        <f>IF(AB411=1,COUNTIF($AB$3:AB411,1),"")</f>
        <v/>
      </c>
      <c r="AD411" s="117" t="str">
        <f>IFERROR(INDEX($AA$3:$AA$10000,MATCH(ROWS($AC$3:AC411),$AC$3:$AC$10000,0)),"")</f>
        <v/>
      </c>
      <c r="AE411" s="117" t="str">
        <f>+'Packing Material - Cost'!A412</f>
        <v/>
      </c>
    </row>
    <row r="412" spans="27:31">
      <c r="AA412" s="117" t="str">
        <f>+'Ingredient List - Mother Tinctu'!D413</f>
        <v>Actaea Rac (Cimicifuga)</v>
      </c>
      <c r="AB412" s="117">
        <f t="shared" si="9"/>
        <v>0</v>
      </c>
      <c r="AC412" s="117" t="str">
        <f>IF(AB412=1,COUNTIF($AB$3:AB412,1),"")</f>
        <v/>
      </c>
      <c r="AD412" s="117" t="str">
        <f>IFERROR(INDEX($AA$3:$AA$10000,MATCH(ROWS($AC$3:AC412),$AC$3:$AC$10000,0)),"")</f>
        <v/>
      </c>
      <c r="AE412" s="117" t="str">
        <f>+'Packing Material - Cost'!A413</f>
        <v/>
      </c>
    </row>
    <row r="413" spans="27:31">
      <c r="AA413" s="117" t="str">
        <f>+'Ingredient List - Mother Tinctu'!D414</f>
        <v>Actaea Spicata</v>
      </c>
      <c r="AB413" s="117">
        <f t="shared" si="9"/>
        <v>0</v>
      </c>
      <c r="AC413" s="117" t="str">
        <f>IF(AB413=1,COUNTIF($AB$3:AB413,1),"")</f>
        <v/>
      </c>
      <c r="AD413" s="117" t="str">
        <f>IFERROR(INDEX($AA$3:$AA$10000,MATCH(ROWS($AC$3:AC413),$AC$3:$AC$10000,0)),"")</f>
        <v/>
      </c>
      <c r="AE413" s="117" t="str">
        <f>+'Packing Material - Cost'!A414</f>
        <v/>
      </c>
    </row>
    <row r="414" spans="27:31">
      <c r="AA414" s="117" t="str">
        <f>+'Ingredient List - Mother Tinctu'!D415</f>
        <v>Adonis Vern.</v>
      </c>
      <c r="AB414" s="117">
        <f t="shared" si="9"/>
        <v>0</v>
      </c>
      <c r="AC414" s="117" t="str">
        <f>IF(AB414=1,COUNTIF($AB$3:AB414,1),"")</f>
        <v/>
      </c>
      <c r="AD414" s="117" t="str">
        <f>IFERROR(INDEX($AA$3:$AA$10000,MATCH(ROWS($AC$3:AC414),$AC$3:$AC$10000,0)),"")</f>
        <v/>
      </c>
      <c r="AE414" s="117" t="str">
        <f>+'Packing Material - Cost'!A415</f>
        <v/>
      </c>
    </row>
    <row r="415" spans="27:31">
      <c r="AA415" s="117" t="str">
        <f>+'Ingredient List - Mother Tinctu'!D416</f>
        <v>Adrenalin</v>
      </c>
      <c r="AB415" s="117">
        <f t="shared" si="9"/>
        <v>0</v>
      </c>
      <c r="AC415" s="117" t="str">
        <f>IF(AB415=1,COUNTIF($AB$3:AB415,1),"")</f>
        <v/>
      </c>
      <c r="AD415" s="117" t="str">
        <f>IFERROR(INDEX($AA$3:$AA$10000,MATCH(ROWS($AC$3:AC415),$AC$3:$AC$10000,0)),"")</f>
        <v/>
      </c>
      <c r="AE415" s="117" t="str">
        <f>+'Packing Material - Cost'!A416</f>
        <v/>
      </c>
    </row>
    <row r="416" spans="27:31">
      <c r="AA416" s="117" t="str">
        <f>+'Ingredient List - Mother Tinctu'!D417</f>
        <v>Aegle Fol.</v>
      </c>
      <c r="AB416" s="117">
        <f t="shared" si="9"/>
        <v>0</v>
      </c>
      <c r="AC416" s="117" t="str">
        <f>IF(AB416=1,COUNTIF($AB$3:AB416,1),"")</f>
        <v/>
      </c>
      <c r="AD416" s="117" t="str">
        <f>IFERROR(INDEX($AA$3:$AA$10000,MATCH(ROWS($AC$3:AC416),$AC$3:$AC$10000,0)),"")</f>
        <v/>
      </c>
      <c r="AE416" s="117" t="str">
        <f>+'Packing Material - Cost'!A417</f>
        <v/>
      </c>
    </row>
    <row r="417" spans="27:31">
      <c r="AA417" s="117" t="str">
        <f>+'Ingredient List - Mother Tinctu'!D418</f>
        <v>Aegle Marm.</v>
      </c>
      <c r="AB417" s="117">
        <f t="shared" si="9"/>
        <v>0</v>
      </c>
      <c r="AC417" s="117" t="str">
        <f>IF(AB417=1,COUNTIF($AB$3:AB417,1),"")</f>
        <v/>
      </c>
      <c r="AD417" s="117" t="str">
        <f>IFERROR(INDEX($AA$3:$AA$10000,MATCH(ROWS($AC$3:AC417),$AC$3:$AC$10000,0)),"")</f>
        <v/>
      </c>
      <c r="AE417" s="117" t="str">
        <f>+'Packing Material - Cost'!A418</f>
        <v/>
      </c>
    </row>
    <row r="418" spans="27:31">
      <c r="AA418" s="117" t="str">
        <f>+'Ingredient List - Mother Tinctu'!D419</f>
        <v>Aescul. Glab.</v>
      </c>
      <c r="AB418" s="117">
        <f t="shared" si="9"/>
        <v>0</v>
      </c>
      <c r="AC418" s="117" t="str">
        <f>IF(AB418=1,COUNTIF($AB$3:AB418,1),"")</f>
        <v/>
      </c>
      <c r="AD418" s="117" t="str">
        <f>IFERROR(INDEX($AA$3:$AA$10000,MATCH(ROWS($AC$3:AC418),$AC$3:$AC$10000,0)),"")</f>
        <v/>
      </c>
      <c r="AE418" s="117" t="str">
        <f>+'Packing Material - Cost'!A419</f>
        <v/>
      </c>
    </row>
    <row r="419" spans="27:31">
      <c r="AA419" s="117" t="str">
        <f>+'Ingredient List - Mother Tinctu'!D420</f>
        <v>Aesculus Hipp.</v>
      </c>
      <c r="AB419" s="117">
        <f t="shared" si="9"/>
        <v>0</v>
      </c>
      <c r="AC419" s="117" t="str">
        <f>IF(AB419=1,COUNTIF($AB$3:AB419,1),"")</f>
        <v/>
      </c>
      <c r="AD419" s="117" t="str">
        <f>IFERROR(INDEX($AA$3:$AA$10000,MATCH(ROWS($AC$3:AC419),$AC$3:$AC$10000,0)),"")</f>
        <v/>
      </c>
      <c r="AE419" s="117" t="str">
        <f>+'Packing Material - Cost'!A420</f>
        <v/>
      </c>
    </row>
    <row r="420" spans="27:31">
      <c r="AA420" s="117" t="str">
        <f>+'Ingredient List - Mother Tinctu'!D421</f>
        <v>Aethusa Cyn.</v>
      </c>
      <c r="AB420" s="117">
        <f t="shared" si="9"/>
        <v>0</v>
      </c>
      <c r="AC420" s="117" t="str">
        <f>IF(AB420=1,COUNTIF($AB$3:AB420,1),"")</f>
        <v/>
      </c>
      <c r="AD420" s="117" t="str">
        <f>IFERROR(INDEX($AA$3:$AA$10000,MATCH(ROWS($AC$3:AC420),$AC$3:$AC$10000,0)),"")</f>
        <v/>
      </c>
      <c r="AE420" s="117" t="str">
        <f>+'Packing Material - Cost'!A421</f>
        <v/>
      </c>
    </row>
    <row r="421" spans="27:31">
      <c r="AA421" s="117" t="str">
        <f>+'Ingredient List - Mother Tinctu'!D422</f>
        <v>Agaricus Musc.</v>
      </c>
      <c r="AB421" s="117">
        <f t="shared" si="9"/>
        <v>0</v>
      </c>
      <c r="AC421" s="117" t="str">
        <f>IF(AB421=1,COUNTIF($AB$3:AB421,1),"")</f>
        <v/>
      </c>
      <c r="AD421" s="117" t="str">
        <f>IFERROR(INDEX($AA$3:$AA$10000,MATCH(ROWS($AC$3:AC421),$AC$3:$AC$10000,0)),"")</f>
        <v/>
      </c>
      <c r="AE421" s="117" t="str">
        <f>+'Packing Material - Cost'!A422</f>
        <v/>
      </c>
    </row>
    <row r="422" spans="27:31">
      <c r="AA422" s="117" t="str">
        <f>+'Ingredient List - Mother Tinctu'!D423</f>
        <v>Agave Amer.</v>
      </c>
      <c r="AB422" s="117">
        <f t="shared" si="9"/>
        <v>0</v>
      </c>
      <c r="AC422" s="117" t="str">
        <f>IF(AB422=1,COUNTIF($AB$3:AB422,1),"")</f>
        <v/>
      </c>
      <c r="AD422" s="117" t="str">
        <f>IFERROR(INDEX($AA$3:$AA$10000,MATCH(ROWS($AC$3:AC422),$AC$3:$AC$10000,0)),"")</f>
        <v/>
      </c>
      <c r="AE422" s="117" t="str">
        <f>+'Packing Material - Cost'!A423</f>
        <v/>
      </c>
    </row>
    <row r="423" spans="27:31">
      <c r="AA423" s="117" t="str">
        <f>+'Ingredient List - Mother Tinctu'!D424</f>
        <v>Agnus Cast.</v>
      </c>
      <c r="AB423" s="117">
        <f t="shared" si="9"/>
        <v>0</v>
      </c>
      <c r="AC423" s="117" t="str">
        <f>IF(AB423=1,COUNTIF($AB$3:AB423,1),"")</f>
        <v/>
      </c>
      <c r="AD423" s="117" t="str">
        <f>IFERROR(INDEX($AA$3:$AA$10000,MATCH(ROWS($AC$3:AC423),$AC$3:$AC$10000,0)),"")</f>
        <v/>
      </c>
      <c r="AE423" s="117" t="str">
        <f>+'Packing Material - Cost'!A424</f>
        <v/>
      </c>
    </row>
    <row r="424" spans="27:31">
      <c r="AA424" s="117" t="str">
        <f>+'Ingredient List - Mother Tinctu'!D425</f>
        <v>Agraphis Nut.</v>
      </c>
      <c r="AB424" s="117">
        <f t="shared" si="9"/>
        <v>0</v>
      </c>
      <c r="AC424" s="117" t="str">
        <f>IF(AB424=1,COUNTIF($AB$3:AB424,1),"")</f>
        <v/>
      </c>
      <c r="AD424" s="117" t="str">
        <f>IFERROR(INDEX($AA$3:$AA$10000,MATCH(ROWS($AC$3:AC424),$AC$3:$AC$10000,0)),"")</f>
        <v/>
      </c>
      <c r="AE424" s="117" t="str">
        <f>+'Packing Material - Cost'!A425</f>
        <v/>
      </c>
    </row>
    <row r="425" spans="27:31">
      <c r="AA425" s="117" t="str">
        <f>+'Ingredient List - Mother Tinctu'!D426</f>
        <v>Ailanthus. G.</v>
      </c>
      <c r="AB425" s="117">
        <f t="shared" si="9"/>
        <v>0</v>
      </c>
      <c r="AC425" s="117" t="str">
        <f>IF(AB425=1,COUNTIF($AB$3:AB425,1),"")</f>
        <v/>
      </c>
      <c r="AD425" s="117" t="str">
        <f>IFERROR(INDEX($AA$3:$AA$10000,MATCH(ROWS($AC$3:AC425),$AC$3:$AC$10000,0)),"")</f>
        <v/>
      </c>
      <c r="AE425" s="117" t="str">
        <f>+'Packing Material - Cost'!A426</f>
        <v/>
      </c>
    </row>
    <row r="426" spans="27:31">
      <c r="AA426" s="117" t="str">
        <f>+'Ingredient List - Mother Tinctu'!D427</f>
        <v>Aletris F.</v>
      </c>
      <c r="AB426" s="117">
        <f t="shared" si="9"/>
        <v>0</v>
      </c>
      <c r="AC426" s="117" t="str">
        <f>IF(AB426=1,COUNTIF($AB$3:AB426,1),"")</f>
        <v/>
      </c>
      <c r="AD426" s="117" t="str">
        <f>IFERROR(INDEX($AA$3:$AA$10000,MATCH(ROWS($AC$3:AC426),$AC$3:$AC$10000,0)),"")</f>
        <v/>
      </c>
      <c r="AE426" s="117" t="str">
        <f>+'Packing Material - Cost'!A427</f>
        <v/>
      </c>
    </row>
    <row r="427" spans="27:31">
      <c r="AA427" s="117" t="str">
        <f>+'Ingredient List - Mother Tinctu'!D428</f>
        <v>Alfalfa</v>
      </c>
      <c r="AB427" s="117">
        <f t="shared" si="9"/>
        <v>0</v>
      </c>
      <c r="AC427" s="117" t="str">
        <f>IF(AB427=1,COUNTIF($AB$3:AB427,1),"")</f>
        <v/>
      </c>
      <c r="AD427" s="117" t="str">
        <f>IFERROR(INDEX($AA$3:$AA$10000,MATCH(ROWS($AC$3:AC427),$AC$3:$AC$10000,0)),"")</f>
        <v/>
      </c>
      <c r="AE427" s="117" t="str">
        <f>+'Packing Material - Cost'!A428</f>
        <v/>
      </c>
    </row>
    <row r="428" spans="27:31">
      <c r="AA428" s="117" t="str">
        <f>+'Ingredient List - Mother Tinctu'!D429</f>
        <v>Allium Cepa</v>
      </c>
      <c r="AB428" s="117">
        <f t="shared" si="9"/>
        <v>0</v>
      </c>
      <c r="AC428" s="117" t="str">
        <f>IF(AB428=1,COUNTIF($AB$3:AB428,1),"")</f>
        <v/>
      </c>
      <c r="AD428" s="117" t="str">
        <f>IFERROR(INDEX($AA$3:$AA$10000,MATCH(ROWS($AC$3:AC428),$AC$3:$AC$10000,0)),"")</f>
        <v/>
      </c>
      <c r="AE428" s="117" t="str">
        <f>+'Packing Material - Cost'!A429</f>
        <v/>
      </c>
    </row>
    <row r="429" spans="27:31">
      <c r="AA429" s="117" t="str">
        <f>+'Ingredient List - Mother Tinctu'!D430</f>
        <v>Allium Sat.</v>
      </c>
      <c r="AB429" s="117">
        <f t="shared" si="9"/>
        <v>0</v>
      </c>
      <c r="AC429" s="117" t="str">
        <f>IF(AB429=1,COUNTIF($AB$3:AB429,1),"")</f>
        <v/>
      </c>
      <c r="AD429" s="117" t="str">
        <f>IFERROR(INDEX($AA$3:$AA$10000,MATCH(ROWS($AC$3:AC429),$AC$3:$AC$10000,0)),"")</f>
        <v/>
      </c>
      <c r="AE429" s="117" t="str">
        <f>+'Packing Material - Cost'!A430</f>
        <v/>
      </c>
    </row>
    <row r="430" spans="27:31">
      <c r="AA430" s="117" t="str">
        <f>+'Ingredient List - Mother Tinctu'!D431</f>
        <v>Alnus Rub.</v>
      </c>
      <c r="AB430" s="117">
        <f t="shared" si="9"/>
        <v>0</v>
      </c>
      <c r="AC430" s="117" t="str">
        <f>IF(AB430=1,COUNTIF($AB$3:AB430,1),"")</f>
        <v/>
      </c>
      <c r="AD430" s="117" t="str">
        <f>IFERROR(INDEX($AA$3:$AA$10000,MATCH(ROWS($AC$3:AC430),$AC$3:$AC$10000,0)),"")</f>
        <v/>
      </c>
      <c r="AE430" s="117" t="str">
        <f>+'Packing Material - Cost'!A431</f>
        <v/>
      </c>
    </row>
    <row r="431" spans="27:31">
      <c r="AA431" s="117" t="str">
        <f>+'Ingredient List - Mother Tinctu'!D432</f>
        <v>Aloe Soc. (Aloes)</v>
      </c>
      <c r="AB431" s="117">
        <f t="shared" si="9"/>
        <v>0</v>
      </c>
      <c r="AC431" s="117" t="str">
        <f>IF(AB431=1,COUNTIF($AB$3:AB431,1),"")</f>
        <v/>
      </c>
      <c r="AD431" s="117" t="str">
        <f>IFERROR(INDEX($AA$3:$AA$10000,MATCH(ROWS($AC$3:AC431),$AC$3:$AC$10000,0)),"")</f>
        <v/>
      </c>
      <c r="AE431" s="117" t="str">
        <f>+'Packing Material - Cost'!A432</f>
        <v/>
      </c>
    </row>
    <row r="432" spans="27:31">
      <c r="AA432" s="117" t="str">
        <f>+'Ingredient List - Mother Tinctu'!D433</f>
        <v>Alstonia Sch.</v>
      </c>
      <c r="AB432" s="117">
        <f t="shared" si="9"/>
        <v>0</v>
      </c>
      <c r="AC432" s="117" t="str">
        <f>IF(AB432=1,COUNTIF($AB$3:AB432,1),"")</f>
        <v/>
      </c>
      <c r="AD432" s="117" t="str">
        <f>IFERROR(INDEX($AA$3:$AA$10000,MATCH(ROWS($AC$3:AC432),$AC$3:$AC$10000,0)),"")</f>
        <v/>
      </c>
      <c r="AE432" s="117" t="str">
        <f>+'Packing Material - Cost'!A433</f>
        <v/>
      </c>
    </row>
    <row r="433" spans="27:31">
      <c r="AA433" s="117" t="str">
        <f>+'Ingredient List - Mother Tinctu'!D434</f>
        <v>Alumen</v>
      </c>
      <c r="AB433" s="117">
        <f t="shared" si="9"/>
        <v>0</v>
      </c>
      <c r="AC433" s="117" t="str">
        <f>IF(AB433=1,COUNTIF($AB$3:AB433,1),"")</f>
        <v/>
      </c>
      <c r="AD433" s="117" t="str">
        <f>IFERROR(INDEX($AA$3:$AA$10000,MATCH(ROWS($AC$3:AC433),$AC$3:$AC$10000,0)),"")</f>
        <v/>
      </c>
      <c r="AE433" s="117" t="str">
        <f>+'Packing Material - Cost'!A434</f>
        <v/>
      </c>
    </row>
    <row r="434" spans="27:31">
      <c r="AA434" s="117" t="str">
        <f>+'Ingredient List - Mother Tinctu'!D435</f>
        <v>Alumina</v>
      </c>
      <c r="AB434" s="117">
        <f t="shared" si="9"/>
        <v>0</v>
      </c>
      <c r="AC434" s="117" t="str">
        <f>IF(AB434=1,COUNTIF($AB$3:AB434,1),"")</f>
        <v/>
      </c>
      <c r="AD434" s="117" t="str">
        <f>IFERROR(INDEX($AA$3:$AA$10000,MATCH(ROWS($AC$3:AC434),$AC$3:$AC$10000,0)),"")</f>
        <v/>
      </c>
      <c r="AE434" s="117" t="str">
        <f>+'Packing Material - Cost'!A435</f>
        <v/>
      </c>
    </row>
    <row r="435" spans="27:31">
      <c r="AA435" s="117" t="str">
        <f>+'Ingredient List - Mother Tinctu'!D436</f>
        <v>Alumina Ph.</v>
      </c>
      <c r="AB435" s="117">
        <f t="shared" si="9"/>
        <v>0</v>
      </c>
      <c r="AC435" s="117" t="str">
        <f>IF(AB435=1,COUNTIF($AB$3:AB435,1),"")</f>
        <v/>
      </c>
      <c r="AD435" s="117" t="str">
        <f>IFERROR(INDEX($AA$3:$AA$10000,MATCH(ROWS($AC$3:AC435),$AC$3:$AC$10000,0)),"")</f>
        <v/>
      </c>
      <c r="AE435" s="117" t="str">
        <f>+'Packing Material - Cost'!A436</f>
        <v/>
      </c>
    </row>
    <row r="436" spans="27:31">
      <c r="AA436" s="117" t="str">
        <f>+'Ingredient List - Mother Tinctu'!D437</f>
        <v>Alumina Sil.</v>
      </c>
      <c r="AB436" s="117">
        <f t="shared" si="9"/>
        <v>0</v>
      </c>
      <c r="AC436" s="117" t="str">
        <f>IF(AB436=1,COUNTIF($AB$3:AB436,1),"")</f>
        <v/>
      </c>
      <c r="AD436" s="117" t="str">
        <f>IFERROR(INDEX($AA$3:$AA$10000,MATCH(ROWS($AC$3:AC436),$AC$3:$AC$10000,0)),"")</f>
        <v/>
      </c>
      <c r="AE436" s="117" t="str">
        <f>+'Packing Material - Cost'!A437</f>
        <v/>
      </c>
    </row>
    <row r="437" spans="27:31">
      <c r="AA437" s="117" t="str">
        <f>+'Ingredient List - Mother Tinctu'!D438</f>
        <v>Ambra Gris.</v>
      </c>
      <c r="AB437" s="117">
        <f t="shared" si="9"/>
        <v>0</v>
      </c>
      <c r="AC437" s="117" t="str">
        <f>IF(AB437=1,COUNTIF($AB$3:AB437,1),"")</f>
        <v/>
      </c>
      <c r="AD437" s="117" t="str">
        <f>IFERROR(INDEX($AA$3:$AA$10000,MATCH(ROWS($AC$3:AC437),$AC$3:$AC$10000,0)),"")</f>
        <v/>
      </c>
      <c r="AE437" s="117" t="str">
        <f>+'Packing Material - Cost'!A438</f>
        <v/>
      </c>
    </row>
    <row r="438" spans="27:31">
      <c r="AA438" s="117" t="str">
        <f>+'Ingredient List - Mother Tinctu'!D439</f>
        <v>Ambrosia A</v>
      </c>
      <c r="AB438" s="117">
        <f t="shared" si="9"/>
        <v>0</v>
      </c>
      <c r="AC438" s="117" t="str">
        <f>IF(AB438=1,COUNTIF($AB$3:AB438,1),"")</f>
        <v/>
      </c>
      <c r="AD438" s="117" t="str">
        <f>IFERROR(INDEX($AA$3:$AA$10000,MATCH(ROWS($AC$3:AC438),$AC$3:$AC$10000,0)),"")</f>
        <v/>
      </c>
      <c r="AE438" s="117" t="str">
        <f>+'Packing Material - Cost'!A439</f>
        <v/>
      </c>
    </row>
    <row r="439" spans="27:31">
      <c r="AA439" s="117" t="str">
        <f>+'Ingredient List - Mother Tinctu'!D440</f>
        <v>Amly. Nit.</v>
      </c>
      <c r="AB439" s="117">
        <f t="shared" si="9"/>
        <v>0</v>
      </c>
      <c r="AC439" s="117" t="str">
        <f>IF(AB439=1,COUNTIF($AB$3:AB439,1),"")</f>
        <v/>
      </c>
      <c r="AD439" s="117" t="str">
        <f>IFERROR(INDEX($AA$3:$AA$10000,MATCH(ROWS($AC$3:AC439),$AC$3:$AC$10000,0)),"")</f>
        <v/>
      </c>
      <c r="AE439" s="117" t="str">
        <f>+'Packing Material - Cost'!A440</f>
        <v/>
      </c>
    </row>
    <row r="440" spans="27:31">
      <c r="AA440" s="117" t="str">
        <f>+'Ingredient List - Mother Tinctu'!D441</f>
        <v>Ammon Benz.</v>
      </c>
      <c r="AB440" s="117">
        <f t="shared" si="9"/>
        <v>0</v>
      </c>
      <c r="AC440" s="117" t="str">
        <f>IF(AB440=1,COUNTIF($AB$3:AB440,1),"")</f>
        <v/>
      </c>
      <c r="AD440" s="117" t="str">
        <f>IFERROR(INDEX($AA$3:$AA$10000,MATCH(ROWS($AC$3:AC440),$AC$3:$AC$10000,0)),"")</f>
        <v/>
      </c>
      <c r="AE440" s="117" t="str">
        <f>+'Packing Material - Cost'!A441</f>
        <v/>
      </c>
    </row>
    <row r="441" spans="27:31">
      <c r="AA441" s="117" t="str">
        <f>+'Ingredient List - Mother Tinctu'!D442</f>
        <v>Ammon Brom.</v>
      </c>
      <c r="AB441" s="117">
        <f t="shared" si="9"/>
        <v>0</v>
      </c>
      <c r="AC441" s="117" t="str">
        <f>IF(AB441=1,COUNTIF($AB$3:AB441,1),"")</f>
        <v/>
      </c>
      <c r="AD441" s="117" t="str">
        <f>IFERROR(INDEX($AA$3:$AA$10000,MATCH(ROWS($AC$3:AC441),$AC$3:$AC$10000,0)),"")</f>
        <v/>
      </c>
      <c r="AE441" s="117" t="str">
        <f>+'Packing Material - Cost'!A442</f>
        <v/>
      </c>
    </row>
    <row r="442" spans="27:31">
      <c r="AA442" s="117" t="str">
        <f>+'Ingredient List - Mother Tinctu'!D443</f>
        <v>Ammon Carb.</v>
      </c>
      <c r="AB442" s="117">
        <f t="shared" si="9"/>
        <v>0</v>
      </c>
      <c r="AC442" s="117" t="str">
        <f>IF(AB442=1,COUNTIF($AB$3:AB442,1),"")</f>
        <v/>
      </c>
      <c r="AD442" s="117" t="str">
        <f>IFERROR(INDEX($AA$3:$AA$10000,MATCH(ROWS($AC$3:AC442),$AC$3:$AC$10000,0)),"")</f>
        <v/>
      </c>
      <c r="AE442" s="117" t="str">
        <f>+'Packing Material - Cost'!A443</f>
        <v/>
      </c>
    </row>
    <row r="443" spans="27:31">
      <c r="AA443" s="117" t="str">
        <f>+'Ingredient List - Mother Tinctu'!D444</f>
        <v>Ammon Caust.</v>
      </c>
      <c r="AB443" s="117">
        <f t="shared" si="9"/>
        <v>0</v>
      </c>
      <c r="AC443" s="117" t="str">
        <f>IF(AB443=1,COUNTIF($AB$3:AB443,1),"")</f>
        <v/>
      </c>
      <c r="AD443" s="117" t="str">
        <f>IFERROR(INDEX($AA$3:$AA$10000,MATCH(ROWS($AC$3:AC443),$AC$3:$AC$10000,0)),"")</f>
        <v/>
      </c>
      <c r="AE443" s="117" t="str">
        <f>+'Packing Material - Cost'!A444</f>
        <v/>
      </c>
    </row>
    <row r="444" spans="27:31">
      <c r="AA444" s="117" t="str">
        <f>+'Ingredient List - Mother Tinctu'!D445</f>
        <v>Ammon Mur.</v>
      </c>
      <c r="AB444" s="117">
        <f t="shared" si="9"/>
        <v>0</v>
      </c>
      <c r="AC444" s="117" t="str">
        <f>IF(AB444=1,COUNTIF($AB$3:AB444,1),"")</f>
        <v/>
      </c>
      <c r="AD444" s="117" t="str">
        <f>IFERROR(INDEX($AA$3:$AA$10000,MATCH(ROWS($AC$3:AC444),$AC$3:$AC$10000,0)),"")</f>
        <v/>
      </c>
      <c r="AE444" s="117" t="str">
        <f>+'Packing Material - Cost'!A445</f>
        <v/>
      </c>
    </row>
    <row r="445" spans="27:31">
      <c r="AA445" s="117" t="str">
        <f>+'Ingredient List - Mother Tinctu'!D446</f>
        <v>Ammon Nit.</v>
      </c>
      <c r="AB445" s="117">
        <f t="shared" si="9"/>
        <v>0</v>
      </c>
      <c r="AC445" s="117" t="str">
        <f>IF(AB445=1,COUNTIF($AB$3:AB445,1),"")</f>
        <v/>
      </c>
      <c r="AD445" s="117" t="str">
        <f>IFERROR(INDEX($AA$3:$AA$10000,MATCH(ROWS($AC$3:AC445),$AC$3:$AC$10000,0)),"")</f>
        <v/>
      </c>
      <c r="AE445" s="117" t="str">
        <f>+'Packing Material - Cost'!A446</f>
        <v/>
      </c>
    </row>
    <row r="446" spans="27:31">
      <c r="AA446" s="117" t="str">
        <f>+'Ingredient List - Mother Tinctu'!D447</f>
        <v>Ammon Phos.</v>
      </c>
      <c r="AB446" s="117">
        <f t="shared" si="9"/>
        <v>0</v>
      </c>
      <c r="AC446" s="117" t="str">
        <f>IF(AB446=1,COUNTIF($AB$3:AB446,1),"")</f>
        <v/>
      </c>
      <c r="AD446" s="117" t="str">
        <f>IFERROR(INDEX($AA$3:$AA$10000,MATCH(ROWS($AC$3:AC446),$AC$3:$AC$10000,0)),"")</f>
        <v/>
      </c>
      <c r="AE446" s="117" t="str">
        <f>+'Packing Material - Cost'!A447</f>
        <v/>
      </c>
    </row>
    <row r="447" spans="27:31">
      <c r="AA447" s="117" t="str">
        <f>+'Ingredient List - Mother Tinctu'!D448</f>
        <v>Ammon Pic.</v>
      </c>
      <c r="AB447" s="117">
        <f t="shared" si="9"/>
        <v>0</v>
      </c>
      <c r="AC447" s="117" t="str">
        <f>IF(AB447=1,COUNTIF($AB$3:AB447,1),"")</f>
        <v/>
      </c>
      <c r="AD447" s="117" t="str">
        <f>IFERROR(INDEX($AA$3:$AA$10000,MATCH(ROWS($AC$3:AC447),$AC$3:$AC$10000,0)),"")</f>
        <v/>
      </c>
      <c r="AE447" s="117" t="str">
        <f>+'Packing Material - Cost'!A448</f>
        <v/>
      </c>
    </row>
    <row r="448" spans="27:31">
      <c r="AA448" s="117" t="str">
        <f>+'Ingredient List - Mother Tinctu'!D449</f>
        <v>Ammon Sulph.</v>
      </c>
      <c r="AB448" s="117">
        <f t="shared" si="9"/>
        <v>0</v>
      </c>
      <c r="AC448" s="117" t="str">
        <f>IF(AB448=1,COUNTIF($AB$3:AB448,1),"")</f>
        <v/>
      </c>
      <c r="AD448" s="117" t="str">
        <f>IFERROR(INDEX($AA$3:$AA$10000,MATCH(ROWS($AC$3:AC448),$AC$3:$AC$10000,0)),"")</f>
        <v/>
      </c>
      <c r="AE448" s="117" t="str">
        <f>+'Packing Material - Cost'!A449</f>
        <v/>
      </c>
    </row>
    <row r="449" spans="27:31">
      <c r="AA449" s="117" t="str">
        <f>+'Ingredient List - Mother Tinctu'!D450</f>
        <v>Ammon. Acet</v>
      </c>
      <c r="AB449" s="117">
        <f t="shared" si="9"/>
        <v>0</v>
      </c>
      <c r="AC449" s="117" t="str">
        <f>IF(AB449=1,COUNTIF($AB$3:AB449,1),"")</f>
        <v/>
      </c>
      <c r="AD449" s="117" t="str">
        <f>IFERROR(INDEX($AA$3:$AA$10000,MATCH(ROWS($AC$3:AC449),$AC$3:$AC$10000,0)),"")</f>
        <v/>
      </c>
      <c r="AE449" s="117" t="str">
        <f>+'Packing Material - Cost'!A450</f>
        <v/>
      </c>
    </row>
    <row r="450" spans="27:31">
      <c r="AA450" s="117" t="str">
        <f>+'Ingredient List - Mother Tinctu'!D451</f>
        <v>Amoniacum G.</v>
      </c>
      <c r="AB450" s="117">
        <f t="shared" si="9"/>
        <v>0</v>
      </c>
      <c r="AC450" s="117" t="str">
        <f>IF(AB450=1,COUNTIF($AB$3:AB450,1),"")</f>
        <v/>
      </c>
      <c r="AD450" s="117" t="str">
        <f>IFERROR(INDEX($AA$3:$AA$10000,MATCH(ROWS($AC$3:AC450),$AC$3:$AC$10000,0)),"")</f>
        <v/>
      </c>
      <c r="AE450" s="117" t="str">
        <f>+'Packing Material - Cost'!A451</f>
        <v/>
      </c>
    </row>
    <row r="451" spans="27:31">
      <c r="AA451" s="117" t="str">
        <f>+'Ingredient List - Mother Tinctu'!D452</f>
        <v>Amygdal. Am.</v>
      </c>
      <c r="AB451" s="117">
        <f t="shared" si="9"/>
        <v>0</v>
      </c>
      <c r="AC451" s="117" t="str">
        <f>IF(AB451=1,COUNTIF($AB$3:AB451,1),"")</f>
        <v/>
      </c>
      <c r="AD451" s="117" t="str">
        <f>IFERROR(INDEX($AA$3:$AA$10000,MATCH(ROWS($AC$3:AC451),$AC$3:$AC$10000,0)),"")</f>
        <v/>
      </c>
      <c r="AE451" s="117" t="str">
        <f>+'Packing Material - Cost'!A452</f>
        <v/>
      </c>
    </row>
    <row r="452" spans="27:31">
      <c r="AA452" s="117" t="str">
        <f>+'Ingredient List - Mother Tinctu'!D453</f>
        <v>Amygdal. Per.</v>
      </c>
      <c r="AB452" s="117">
        <f t="shared" ref="AB452:AB515" si="10">--ISNUMBER(IFERROR(SEARCH($D$3,AA452,1),""))</f>
        <v>0</v>
      </c>
      <c r="AC452" s="117" t="str">
        <f>IF(AB452=1,COUNTIF($AB$3:AB452,1),"")</f>
        <v/>
      </c>
      <c r="AD452" s="117" t="str">
        <f>IFERROR(INDEX($AA$3:$AA$10000,MATCH(ROWS($AC$3:AC452),$AC$3:$AC$10000,0)),"")</f>
        <v/>
      </c>
      <c r="AE452" s="117" t="str">
        <f>+'Packing Material - Cost'!A453</f>
        <v/>
      </c>
    </row>
    <row r="453" spans="27:31">
      <c r="AA453" s="117" t="str">
        <f>+'Ingredient List - Mother Tinctu'!D454</f>
        <v>Anacard. Occ.</v>
      </c>
      <c r="AB453" s="117">
        <f t="shared" si="10"/>
        <v>0</v>
      </c>
      <c r="AC453" s="117" t="str">
        <f>IF(AB453=1,COUNTIF($AB$3:AB453,1),"")</f>
        <v/>
      </c>
      <c r="AD453" s="117" t="str">
        <f>IFERROR(INDEX($AA$3:$AA$10000,MATCH(ROWS($AC$3:AC453),$AC$3:$AC$10000,0)),"")</f>
        <v/>
      </c>
      <c r="AE453" s="117" t="str">
        <f>+'Packing Material - Cost'!A454</f>
        <v/>
      </c>
    </row>
    <row r="454" spans="27:31">
      <c r="AA454" s="117" t="str">
        <f>+'Ingredient List - Mother Tinctu'!D455</f>
        <v>Anacard. Ori.</v>
      </c>
      <c r="AB454" s="117">
        <f t="shared" si="10"/>
        <v>0</v>
      </c>
      <c r="AC454" s="117" t="str">
        <f>IF(AB454=1,COUNTIF($AB$3:AB454,1),"")</f>
        <v/>
      </c>
      <c r="AD454" s="117" t="str">
        <f>IFERROR(INDEX($AA$3:$AA$10000,MATCH(ROWS($AC$3:AC454),$AC$3:$AC$10000,0)),"")</f>
        <v/>
      </c>
      <c r="AE454" s="117" t="str">
        <f>+'Packing Material - Cost'!A455</f>
        <v/>
      </c>
    </row>
    <row r="455" spans="27:31">
      <c r="AA455" s="117" t="str">
        <f>+'Ingredient List - Mother Tinctu'!D456</f>
        <v>Anatherum. M</v>
      </c>
      <c r="AB455" s="117">
        <f t="shared" si="10"/>
        <v>0</v>
      </c>
      <c r="AC455" s="117" t="str">
        <f>IF(AB455=1,COUNTIF($AB$3:AB455,1),"")</f>
        <v/>
      </c>
      <c r="AD455" s="117" t="str">
        <f>IFERROR(INDEX($AA$3:$AA$10000,MATCH(ROWS($AC$3:AC455),$AC$3:$AC$10000,0)),"")</f>
        <v/>
      </c>
      <c r="AE455" s="117" t="str">
        <f>+'Packing Material - Cost'!A456</f>
        <v/>
      </c>
    </row>
    <row r="456" spans="27:31">
      <c r="AA456" s="117" t="str">
        <f>+'Ingredient List - Mother Tinctu'!D457</f>
        <v>Andrographis Pan (Kalmegh)</v>
      </c>
      <c r="AB456" s="117">
        <f t="shared" si="10"/>
        <v>0</v>
      </c>
      <c r="AC456" s="117" t="str">
        <f>IF(AB456=1,COUNTIF($AB$3:AB456,1),"")</f>
        <v/>
      </c>
      <c r="AD456" s="117" t="str">
        <f>IFERROR(INDEX($AA$3:$AA$10000,MATCH(ROWS($AC$3:AC456),$AC$3:$AC$10000,0)),"")</f>
        <v/>
      </c>
      <c r="AE456" s="117" t="str">
        <f>+'Packing Material - Cost'!A457</f>
        <v/>
      </c>
    </row>
    <row r="457" spans="27:31">
      <c r="AA457" s="117" t="str">
        <f>+'Ingredient List - Mother Tinctu'!D458</f>
        <v>Angustura. V</v>
      </c>
      <c r="AB457" s="117">
        <f t="shared" si="10"/>
        <v>0</v>
      </c>
      <c r="AC457" s="117" t="str">
        <f>IF(AB457=1,COUNTIF($AB$3:AB457,1),"")</f>
        <v/>
      </c>
      <c r="AD457" s="117" t="str">
        <f>IFERROR(INDEX($AA$3:$AA$10000,MATCH(ROWS($AC$3:AC457),$AC$3:$AC$10000,0)),"")</f>
        <v/>
      </c>
      <c r="AE457" s="117" t="str">
        <f>+'Packing Material - Cost'!A458</f>
        <v/>
      </c>
    </row>
    <row r="458" spans="27:31">
      <c r="AA458" s="117" t="str">
        <f>+'Ingredient List - Mother Tinctu'!D459</f>
        <v>Anilinum</v>
      </c>
      <c r="AB458" s="117">
        <f t="shared" si="10"/>
        <v>0</v>
      </c>
      <c r="AC458" s="117" t="str">
        <f>IF(AB458=1,COUNTIF($AB$3:AB458,1),"")</f>
        <v/>
      </c>
      <c r="AD458" s="117" t="str">
        <f>IFERROR(INDEX($AA$3:$AA$10000,MATCH(ROWS($AC$3:AC458),$AC$3:$AC$10000,0)),"")</f>
        <v/>
      </c>
      <c r="AE458" s="117" t="str">
        <f>+'Packing Material - Cost'!A459</f>
        <v/>
      </c>
    </row>
    <row r="459" spans="27:31">
      <c r="AA459" s="117" t="str">
        <f>+'Ingredient List - Mother Tinctu'!D460</f>
        <v>Anthra Kokali</v>
      </c>
      <c r="AB459" s="117">
        <f t="shared" si="10"/>
        <v>0</v>
      </c>
      <c r="AC459" s="117" t="str">
        <f>IF(AB459=1,COUNTIF($AB$3:AB459,1),"")</f>
        <v/>
      </c>
      <c r="AD459" s="117" t="str">
        <f>IFERROR(INDEX($AA$3:$AA$10000,MATCH(ROWS($AC$3:AC459),$AC$3:$AC$10000,0)),"")</f>
        <v/>
      </c>
      <c r="AE459" s="117" t="str">
        <f>+'Packing Material - Cost'!A460</f>
        <v/>
      </c>
    </row>
    <row r="460" spans="27:31">
      <c r="AA460" s="117" t="str">
        <f>+'Ingredient List - Mother Tinctu'!D461</f>
        <v>Anthracinum</v>
      </c>
      <c r="AB460" s="117">
        <f t="shared" si="10"/>
        <v>0</v>
      </c>
      <c r="AC460" s="117" t="str">
        <f>IF(AB460=1,COUNTIF($AB$3:AB460,1),"")</f>
        <v/>
      </c>
      <c r="AD460" s="117" t="str">
        <f>IFERROR(INDEX($AA$3:$AA$10000,MATCH(ROWS($AC$3:AC460),$AC$3:$AC$10000,0)),"")</f>
        <v/>
      </c>
      <c r="AE460" s="117" t="str">
        <f>+'Packing Material - Cost'!A461</f>
        <v/>
      </c>
    </row>
    <row r="461" spans="27:31">
      <c r="AA461" s="117" t="str">
        <f>+'Ingredient List - Mother Tinctu'!D462</f>
        <v>Antim. Ars.</v>
      </c>
      <c r="AB461" s="117">
        <f t="shared" si="10"/>
        <v>0</v>
      </c>
      <c r="AC461" s="117" t="str">
        <f>IF(AB461=1,COUNTIF($AB$3:AB461,1),"")</f>
        <v/>
      </c>
      <c r="AD461" s="117" t="str">
        <f>IFERROR(INDEX($AA$3:$AA$10000,MATCH(ROWS($AC$3:AC461),$AC$3:$AC$10000,0)),"")</f>
        <v/>
      </c>
      <c r="AE461" s="117" t="str">
        <f>+'Packing Material - Cost'!A462</f>
        <v/>
      </c>
    </row>
    <row r="462" spans="27:31">
      <c r="AA462" s="117" t="str">
        <f>+'Ingredient List - Mother Tinctu'!D463</f>
        <v>Antim. Crud.</v>
      </c>
      <c r="AB462" s="117">
        <f t="shared" si="10"/>
        <v>0</v>
      </c>
      <c r="AC462" s="117" t="str">
        <f>IF(AB462=1,COUNTIF($AB$3:AB462,1),"")</f>
        <v/>
      </c>
      <c r="AD462" s="117" t="str">
        <f>IFERROR(INDEX($AA$3:$AA$10000,MATCH(ROWS($AC$3:AC462),$AC$3:$AC$10000,0)),"")</f>
        <v/>
      </c>
      <c r="AE462" s="117" t="str">
        <f>+'Packing Material - Cost'!A463</f>
        <v/>
      </c>
    </row>
    <row r="463" spans="27:31">
      <c r="AA463" s="117" t="str">
        <f>+'Ingredient List - Mother Tinctu'!D464</f>
        <v>Antim. Iod.</v>
      </c>
      <c r="AB463" s="117">
        <f t="shared" si="10"/>
        <v>0</v>
      </c>
      <c r="AC463" s="117" t="str">
        <f>IF(AB463=1,COUNTIF($AB$3:AB463,1),"")</f>
        <v/>
      </c>
      <c r="AD463" s="117" t="str">
        <f>IFERROR(INDEX($AA$3:$AA$10000,MATCH(ROWS($AC$3:AC463),$AC$3:$AC$10000,0)),"")</f>
        <v/>
      </c>
      <c r="AE463" s="117" t="str">
        <f>+'Packing Material - Cost'!A464</f>
        <v/>
      </c>
    </row>
    <row r="464" spans="27:31">
      <c r="AA464" s="117" t="str">
        <f>+'Ingredient List - Mother Tinctu'!D465</f>
        <v>Antim. Sulph.</v>
      </c>
      <c r="AB464" s="117">
        <f t="shared" si="10"/>
        <v>0</v>
      </c>
      <c r="AC464" s="117" t="str">
        <f>IF(AB464=1,COUNTIF($AB$3:AB464,1),"")</f>
        <v/>
      </c>
      <c r="AD464" s="117" t="str">
        <f>IFERROR(INDEX($AA$3:$AA$10000,MATCH(ROWS($AC$3:AC464),$AC$3:$AC$10000,0)),"")</f>
        <v/>
      </c>
      <c r="AE464" s="117" t="str">
        <f>+'Packing Material - Cost'!A465</f>
        <v/>
      </c>
    </row>
    <row r="465" spans="27:31">
      <c r="AA465" s="117" t="str">
        <f>+'Ingredient List - Mother Tinctu'!D466</f>
        <v>Antim. Tart.</v>
      </c>
      <c r="AB465" s="117">
        <f t="shared" si="10"/>
        <v>0</v>
      </c>
      <c r="AC465" s="117" t="str">
        <f>IF(AB465=1,COUNTIF($AB$3:AB465,1),"")</f>
        <v/>
      </c>
      <c r="AD465" s="117" t="str">
        <f>IFERROR(INDEX($AA$3:$AA$10000,MATCH(ROWS($AC$3:AC465),$AC$3:$AC$10000,0)),"")</f>
        <v/>
      </c>
      <c r="AE465" s="117" t="str">
        <f>+'Packing Material - Cost'!A466</f>
        <v/>
      </c>
    </row>
    <row r="466" spans="27:31">
      <c r="AA466" s="117" t="str">
        <f>+'Ingredient List - Mother Tinctu'!D467</f>
        <v>Antipyrine</v>
      </c>
      <c r="AB466" s="117">
        <f t="shared" si="10"/>
        <v>0</v>
      </c>
      <c r="AC466" s="117" t="str">
        <f>IF(AB466=1,COUNTIF($AB$3:AB466,1),"")</f>
        <v/>
      </c>
      <c r="AD466" s="117" t="str">
        <f>IFERROR(INDEX($AA$3:$AA$10000,MATCH(ROWS($AC$3:AC466),$AC$3:$AC$10000,0)),"")</f>
        <v/>
      </c>
      <c r="AE466" s="117" t="str">
        <f>+'Packing Material - Cost'!A467</f>
        <v/>
      </c>
    </row>
    <row r="467" spans="27:31">
      <c r="AA467" s="117" t="str">
        <f>+'Ingredient List - Mother Tinctu'!D468</f>
        <v>Antitoxin</v>
      </c>
      <c r="AB467" s="117">
        <f t="shared" si="10"/>
        <v>0</v>
      </c>
      <c r="AC467" s="117" t="str">
        <f>IF(AB467=1,COUNTIF($AB$3:AB467,1),"")</f>
        <v/>
      </c>
      <c r="AD467" s="117" t="str">
        <f>IFERROR(INDEX($AA$3:$AA$10000,MATCH(ROWS($AC$3:AC467),$AC$3:$AC$10000,0)),"")</f>
        <v/>
      </c>
      <c r="AE467" s="117" t="str">
        <f>+'Packing Material - Cost'!A468</f>
        <v/>
      </c>
    </row>
    <row r="468" spans="27:31">
      <c r="AA468" s="117" t="str">
        <f>+'Ingredient List - Mother Tinctu'!D469</f>
        <v>Apis Mel.</v>
      </c>
      <c r="AB468" s="117">
        <f t="shared" si="10"/>
        <v>0</v>
      </c>
      <c r="AC468" s="117" t="str">
        <f>IF(AB468=1,COUNTIF($AB$3:AB468,1),"")</f>
        <v/>
      </c>
      <c r="AD468" s="117" t="str">
        <f>IFERROR(INDEX($AA$3:$AA$10000,MATCH(ROWS($AC$3:AC468),$AC$3:$AC$10000,0)),"")</f>
        <v/>
      </c>
      <c r="AE468" s="117" t="str">
        <f>+'Packing Material - Cost'!A469</f>
        <v/>
      </c>
    </row>
    <row r="469" spans="27:31">
      <c r="AA469" s="117" t="str">
        <f>+'Ingredient List - Mother Tinctu'!D470</f>
        <v>Apium Virus.</v>
      </c>
      <c r="AB469" s="117">
        <f t="shared" si="10"/>
        <v>0</v>
      </c>
      <c r="AC469" s="117" t="str">
        <f>IF(AB469=1,COUNTIF($AB$3:AB469,1),"")</f>
        <v/>
      </c>
      <c r="AD469" s="117" t="str">
        <f>IFERROR(INDEX($AA$3:$AA$10000,MATCH(ROWS($AC$3:AC469),$AC$3:$AC$10000,0)),"")</f>
        <v/>
      </c>
      <c r="AE469" s="117" t="str">
        <f>+'Packing Material - Cost'!A470</f>
        <v/>
      </c>
    </row>
    <row r="470" spans="27:31">
      <c r="AA470" s="117" t="str">
        <f>+'Ingredient List - Mother Tinctu'!D471</f>
        <v>Apium. Grav.</v>
      </c>
      <c r="AB470" s="117">
        <f t="shared" si="10"/>
        <v>0</v>
      </c>
      <c r="AC470" s="117" t="str">
        <f>IF(AB470=1,COUNTIF($AB$3:AB470,1),"")</f>
        <v/>
      </c>
      <c r="AD470" s="117" t="str">
        <f>IFERROR(INDEX($AA$3:$AA$10000,MATCH(ROWS($AC$3:AC470),$AC$3:$AC$10000,0)),"")</f>
        <v/>
      </c>
      <c r="AE470" s="117" t="str">
        <f>+'Packing Material - Cost'!A471</f>
        <v/>
      </c>
    </row>
    <row r="471" spans="27:31">
      <c r="AA471" s="117" t="str">
        <f>+'Ingredient List - Mother Tinctu'!D472</f>
        <v>Apocynum. Can.</v>
      </c>
      <c r="AB471" s="117">
        <f t="shared" si="10"/>
        <v>0</v>
      </c>
      <c r="AC471" s="117" t="str">
        <f>IF(AB471=1,COUNTIF($AB$3:AB471,1),"")</f>
        <v/>
      </c>
      <c r="AD471" s="117" t="str">
        <f>IFERROR(INDEX($AA$3:$AA$10000,MATCH(ROWS($AC$3:AC471),$AC$3:$AC$10000,0)),"")</f>
        <v/>
      </c>
      <c r="AE471" s="117" t="str">
        <f>+'Packing Material - Cost'!A472</f>
        <v/>
      </c>
    </row>
    <row r="472" spans="27:31">
      <c r="AA472" s="117" t="str">
        <f>+'Ingredient List - Mother Tinctu'!D473</f>
        <v>Apormorphin. M.</v>
      </c>
      <c r="AB472" s="117">
        <f t="shared" si="10"/>
        <v>0</v>
      </c>
      <c r="AC472" s="117" t="str">
        <f>IF(AB472=1,COUNTIF($AB$3:AB472,1),"")</f>
        <v/>
      </c>
      <c r="AD472" s="117" t="str">
        <f>IFERROR(INDEX($AA$3:$AA$10000,MATCH(ROWS($AC$3:AC472),$AC$3:$AC$10000,0)),"")</f>
        <v/>
      </c>
      <c r="AE472" s="117" t="str">
        <f>+'Packing Material - Cost'!A473</f>
        <v/>
      </c>
    </row>
    <row r="473" spans="27:31">
      <c r="AA473" s="117" t="str">
        <f>+'Ingredient List - Mother Tinctu'!D474</f>
        <v>Aqua Marina</v>
      </c>
      <c r="AB473" s="117">
        <f t="shared" si="10"/>
        <v>0</v>
      </c>
      <c r="AC473" s="117" t="str">
        <f>IF(AB473=1,COUNTIF($AB$3:AB473,1),"")</f>
        <v/>
      </c>
      <c r="AD473" s="117" t="str">
        <f>IFERROR(INDEX($AA$3:$AA$10000,MATCH(ROWS($AC$3:AC473),$AC$3:$AC$10000,0)),"")</f>
        <v/>
      </c>
      <c r="AE473" s="117" t="str">
        <f>+'Packing Material - Cost'!A474</f>
        <v/>
      </c>
    </row>
    <row r="474" spans="27:31">
      <c r="AA474" s="117" t="str">
        <f>+'Ingredient List - Mother Tinctu'!D475</f>
        <v>Aralia Rac.</v>
      </c>
      <c r="AB474" s="117">
        <f t="shared" si="10"/>
        <v>0</v>
      </c>
      <c r="AC474" s="117" t="str">
        <f>IF(AB474=1,COUNTIF($AB$3:AB474,1),"")</f>
        <v/>
      </c>
      <c r="AD474" s="117" t="str">
        <f>IFERROR(INDEX($AA$3:$AA$10000,MATCH(ROWS($AC$3:AC474),$AC$3:$AC$10000,0)),"")</f>
        <v/>
      </c>
      <c r="AE474" s="117" t="str">
        <f>+'Packing Material - Cost'!A475</f>
        <v/>
      </c>
    </row>
    <row r="475" spans="27:31">
      <c r="AA475" s="117" t="str">
        <f>+'Ingredient List - Mother Tinctu'!D476</f>
        <v>Arania. Dia.</v>
      </c>
      <c r="AB475" s="117">
        <f t="shared" si="10"/>
        <v>0</v>
      </c>
      <c r="AC475" s="117" t="str">
        <f>IF(AB475=1,COUNTIF($AB$3:AB475,1),"")</f>
        <v/>
      </c>
      <c r="AD475" s="117" t="str">
        <f>IFERROR(INDEX($AA$3:$AA$10000,MATCH(ROWS($AC$3:AC475),$AC$3:$AC$10000,0)),"")</f>
        <v/>
      </c>
      <c r="AE475" s="117" t="str">
        <f>+'Packing Material - Cost'!A476</f>
        <v/>
      </c>
    </row>
    <row r="476" spans="27:31">
      <c r="AA476" s="117" t="str">
        <f>+'Ingredient List - Mother Tinctu'!D477</f>
        <v>Argent. Iod.</v>
      </c>
      <c r="AB476" s="117">
        <f t="shared" si="10"/>
        <v>0</v>
      </c>
      <c r="AC476" s="117" t="str">
        <f>IF(AB476=1,COUNTIF($AB$3:AB476,1),"")</f>
        <v/>
      </c>
      <c r="AD476" s="117" t="str">
        <f>IFERROR(INDEX($AA$3:$AA$10000,MATCH(ROWS($AC$3:AC476),$AC$3:$AC$10000,0)),"")</f>
        <v/>
      </c>
      <c r="AE476" s="117" t="str">
        <f>+'Packing Material - Cost'!A477</f>
        <v/>
      </c>
    </row>
    <row r="477" spans="27:31">
      <c r="AA477" s="117" t="str">
        <f>+'Ingredient List - Mother Tinctu'!D478</f>
        <v>Argent. Met.</v>
      </c>
      <c r="AB477" s="117">
        <f t="shared" si="10"/>
        <v>0</v>
      </c>
      <c r="AC477" s="117" t="str">
        <f>IF(AB477=1,COUNTIF($AB$3:AB477,1),"")</f>
        <v/>
      </c>
      <c r="AD477" s="117" t="str">
        <f>IFERROR(INDEX($AA$3:$AA$10000,MATCH(ROWS($AC$3:AC477),$AC$3:$AC$10000,0)),"")</f>
        <v/>
      </c>
      <c r="AE477" s="117" t="str">
        <f>+'Packing Material - Cost'!A478</f>
        <v/>
      </c>
    </row>
    <row r="478" spans="27:31">
      <c r="AA478" s="117" t="str">
        <f>+'Ingredient List - Mother Tinctu'!D479</f>
        <v>Argent. Nit.</v>
      </c>
      <c r="AB478" s="117">
        <f t="shared" si="10"/>
        <v>0</v>
      </c>
      <c r="AC478" s="117" t="str">
        <f>IF(AB478=1,COUNTIF($AB$3:AB478,1),"")</f>
        <v/>
      </c>
      <c r="AD478" s="117" t="str">
        <f>IFERROR(INDEX($AA$3:$AA$10000,MATCH(ROWS($AC$3:AC478),$AC$3:$AC$10000,0)),"")</f>
        <v/>
      </c>
      <c r="AE478" s="117" t="str">
        <f>+'Packing Material - Cost'!A479</f>
        <v/>
      </c>
    </row>
    <row r="479" spans="27:31">
      <c r="AA479" s="117" t="str">
        <f>+'Ingredient List - Mother Tinctu'!D480</f>
        <v>Aristoloch. Ser</v>
      </c>
      <c r="AB479" s="117">
        <f t="shared" si="10"/>
        <v>0</v>
      </c>
      <c r="AC479" s="117" t="str">
        <f>IF(AB479=1,COUNTIF($AB$3:AB479,1),"")</f>
        <v/>
      </c>
      <c r="AD479" s="117" t="str">
        <f>IFERROR(INDEX($AA$3:$AA$10000,MATCH(ROWS($AC$3:AC479),$AC$3:$AC$10000,0)),"")</f>
        <v/>
      </c>
      <c r="AE479" s="117" t="str">
        <f>+'Packing Material - Cost'!A480</f>
        <v/>
      </c>
    </row>
    <row r="480" spans="27:31">
      <c r="AA480" s="117" t="str">
        <f>+'Ingredient List - Mother Tinctu'!D481</f>
        <v>Arjuna (Term. Arjuna)</v>
      </c>
      <c r="AB480" s="117">
        <f t="shared" si="10"/>
        <v>0</v>
      </c>
      <c r="AC480" s="117" t="str">
        <f>IF(AB480=1,COUNTIF($AB$3:AB480,1),"")</f>
        <v/>
      </c>
      <c r="AD480" s="117" t="str">
        <f>IFERROR(INDEX($AA$3:$AA$10000,MATCH(ROWS($AC$3:AC480),$AC$3:$AC$10000,0)),"")</f>
        <v/>
      </c>
      <c r="AE480" s="117" t="str">
        <f>+'Packing Material - Cost'!A481</f>
        <v/>
      </c>
    </row>
    <row r="481" spans="27:31">
      <c r="AA481" s="117" t="str">
        <f>+'Ingredient List - Mother Tinctu'!D482</f>
        <v>Arnica Mont.</v>
      </c>
      <c r="AB481" s="117">
        <f t="shared" si="10"/>
        <v>0</v>
      </c>
      <c r="AC481" s="117" t="str">
        <f>IF(AB481=1,COUNTIF($AB$3:AB481,1),"")</f>
        <v/>
      </c>
      <c r="AD481" s="117" t="str">
        <f>IFERROR(INDEX($AA$3:$AA$10000,MATCH(ROWS($AC$3:AC481),$AC$3:$AC$10000,0)),"")</f>
        <v/>
      </c>
      <c r="AE481" s="117" t="str">
        <f>+'Packing Material - Cost'!A482</f>
        <v/>
      </c>
    </row>
    <row r="482" spans="27:31">
      <c r="AA482" s="117" t="str">
        <f>+'Ingredient List - Mother Tinctu'!D483</f>
        <v>Arnica Mont. Radix.</v>
      </c>
      <c r="AB482" s="117">
        <f t="shared" si="10"/>
        <v>0</v>
      </c>
      <c r="AC482" s="117" t="str">
        <f>IF(AB482=1,COUNTIF($AB$3:AB482,1),"")</f>
        <v/>
      </c>
      <c r="AD482" s="117" t="str">
        <f>IFERROR(INDEX($AA$3:$AA$10000,MATCH(ROWS($AC$3:AC482),$AC$3:$AC$10000,0)),"")</f>
        <v/>
      </c>
      <c r="AE482" s="117" t="str">
        <f>+'Packing Material - Cost'!A483</f>
        <v/>
      </c>
    </row>
    <row r="483" spans="27:31">
      <c r="AA483" s="117" t="str">
        <f>+'Ingredient List - Mother Tinctu'!D484</f>
        <v>Arsenic Stib.</v>
      </c>
      <c r="AB483" s="117">
        <f t="shared" si="10"/>
        <v>0</v>
      </c>
      <c r="AC483" s="117" t="str">
        <f>IF(AB483=1,COUNTIF($AB$3:AB483,1),"")</f>
        <v/>
      </c>
      <c r="AD483" s="117" t="str">
        <f>IFERROR(INDEX($AA$3:$AA$10000,MATCH(ROWS($AC$3:AC483),$AC$3:$AC$10000,0)),"")</f>
        <v/>
      </c>
      <c r="AE483" s="117" t="str">
        <f>+'Packing Material - Cost'!A484</f>
        <v/>
      </c>
    </row>
    <row r="484" spans="27:31">
      <c r="AA484" s="117" t="str">
        <f>+'Ingredient List - Mother Tinctu'!D485</f>
        <v>Arsenic. Alb</v>
      </c>
      <c r="AB484" s="117">
        <f t="shared" si="10"/>
        <v>0</v>
      </c>
      <c r="AC484" s="117" t="str">
        <f>IF(AB484=1,COUNTIF($AB$3:AB484,1),"")</f>
        <v/>
      </c>
      <c r="AD484" s="117" t="str">
        <f>IFERROR(INDEX($AA$3:$AA$10000,MATCH(ROWS($AC$3:AC484),$AC$3:$AC$10000,0)),"")</f>
        <v/>
      </c>
      <c r="AE484" s="117" t="str">
        <f>+'Packing Material - Cost'!A485</f>
        <v/>
      </c>
    </row>
    <row r="485" spans="27:31">
      <c r="AA485" s="117" t="str">
        <f>+'Ingredient List - Mother Tinctu'!D486</f>
        <v>Arsenic. Brom.</v>
      </c>
      <c r="AB485" s="117">
        <f t="shared" si="10"/>
        <v>0</v>
      </c>
      <c r="AC485" s="117" t="str">
        <f>IF(AB485=1,COUNTIF($AB$3:AB485,1),"")</f>
        <v/>
      </c>
      <c r="AD485" s="117" t="str">
        <f>IFERROR(INDEX($AA$3:$AA$10000,MATCH(ROWS($AC$3:AC485),$AC$3:$AC$10000,0)),"")</f>
        <v/>
      </c>
      <c r="AE485" s="117" t="str">
        <f>+'Packing Material - Cost'!A486</f>
        <v/>
      </c>
    </row>
    <row r="486" spans="27:31">
      <c r="AA486" s="117" t="str">
        <f>+'Ingredient List - Mother Tinctu'!D487</f>
        <v>Arsenic. Iod.</v>
      </c>
      <c r="AB486" s="117">
        <f t="shared" si="10"/>
        <v>0</v>
      </c>
      <c r="AC486" s="117" t="str">
        <f>IF(AB486=1,COUNTIF($AB$3:AB486,1),"")</f>
        <v/>
      </c>
      <c r="AD486" s="117" t="str">
        <f>IFERROR(INDEX($AA$3:$AA$10000,MATCH(ROWS($AC$3:AC486),$AC$3:$AC$10000,0)),"")</f>
        <v/>
      </c>
      <c r="AE486" s="117" t="str">
        <f>+'Packing Material - Cost'!A487</f>
        <v/>
      </c>
    </row>
    <row r="487" spans="27:31">
      <c r="AA487" s="117" t="str">
        <f>+'Ingredient List - Mother Tinctu'!D488</f>
        <v>Arsenic. Met.</v>
      </c>
      <c r="AB487" s="117">
        <f t="shared" si="10"/>
        <v>0</v>
      </c>
      <c r="AC487" s="117" t="str">
        <f>IF(AB487=1,COUNTIF($AB$3:AB487,1),"")</f>
        <v/>
      </c>
      <c r="AD487" s="117" t="str">
        <f>IFERROR(INDEX($AA$3:$AA$10000,MATCH(ROWS($AC$3:AC487),$AC$3:$AC$10000,0)),"")</f>
        <v/>
      </c>
      <c r="AE487" s="117" t="str">
        <f>+'Packing Material - Cost'!A488</f>
        <v/>
      </c>
    </row>
    <row r="488" spans="27:31">
      <c r="AA488" s="117" t="str">
        <f>+'Ingredient List - Mother Tinctu'!D489</f>
        <v>Arsenic. Sul. Flav</v>
      </c>
      <c r="AB488" s="117">
        <f t="shared" si="10"/>
        <v>0</v>
      </c>
      <c r="AC488" s="117" t="str">
        <f>IF(AB488=1,COUNTIF($AB$3:AB488,1),"")</f>
        <v/>
      </c>
      <c r="AD488" s="117" t="str">
        <f>IFERROR(INDEX($AA$3:$AA$10000,MATCH(ROWS($AC$3:AC488),$AC$3:$AC$10000,0)),"")</f>
        <v/>
      </c>
      <c r="AE488" s="117" t="str">
        <f>+'Packing Material - Cost'!A489</f>
        <v/>
      </c>
    </row>
    <row r="489" spans="27:31">
      <c r="AA489" s="117" t="str">
        <f>+'Ingredient List - Mother Tinctu'!D490</f>
        <v>Arsenic. Sul. Rub.</v>
      </c>
      <c r="AB489" s="117">
        <f t="shared" si="10"/>
        <v>0</v>
      </c>
      <c r="AC489" s="117" t="str">
        <f>IF(AB489=1,COUNTIF($AB$3:AB489,1),"")</f>
        <v/>
      </c>
      <c r="AD489" s="117" t="str">
        <f>IFERROR(INDEX($AA$3:$AA$10000,MATCH(ROWS($AC$3:AC489),$AC$3:$AC$10000,0)),"")</f>
        <v/>
      </c>
      <c r="AE489" s="117" t="str">
        <f>+'Packing Material - Cost'!A490</f>
        <v/>
      </c>
    </row>
    <row r="490" spans="27:31">
      <c r="AA490" s="117" t="str">
        <f>+'Ingredient List - Mother Tinctu'!D491</f>
        <v>Arsenic. Sulph</v>
      </c>
      <c r="AB490" s="117">
        <f t="shared" si="10"/>
        <v>0</v>
      </c>
      <c r="AC490" s="117" t="str">
        <f>IF(AB490=1,COUNTIF($AB$3:AB490,1),"")</f>
        <v/>
      </c>
      <c r="AD490" s="117" t="str">
        <f>IFERROR(INDEX($AA$3:$AA$10000,MATCH(ROWS($AC$3:AC490),$AC$3:$AC$10000,0)),"")</f>
        <v/>
      </c>
      <c r="AE490" s="117" t="str">
        <f>+'Packing Material - Cost'!A491</f>
        <v/>
      </c>
    </row>
    <row r="491" spans="27:31">
      <c r="AA491" s="117" t="str">
        <f>+'Ingredient List - Mother Tinctu'!D492</f>
        <v>Artemisia Vulg</v>
      </c>
      <c r="AB491" s="117">
        <f t="shared" si="10"/>
        <v>0</v>
      </c>
      <c r="AC491" s="117" t="str">
        <f>IF(AB491=1,COUNTIF($AB$3:AB491,1),"")</f>
        <v/>
      </c>
      <c r="AD491" s="117" t="str">
        <f>IFERROR(INDEX($AA$3:$AA$10000,MATCH(ROWS($AC$3:AC491),$AC$3:$AC$10000,0)),"")</f>
        <v/>
      </c>
      <c r="AE491" s="117" t="str">
        <f>+'Packing Material - Cost'!A492</f>
        <v/>
      </c>
    </row>
    <row r="492" spans="27:31">
      <c r="AA492" s="117" t="str">
        <f>+'Ingredient List - Mother Tinctu'!D493</f>
        <v>Arum Mac.</v>
      </c>
      <c r="AB492" s="117">
        <f t="shared" si="10"/>
        <v>0</v>
      </c>
      <c r="AC492" s="117" t="str">
        <f>IF(AB492=1,COUNTIF($AB$3:AB492,1),"")</f>
        <v/>
      </c>
      <c r="AD492" s="117" t="str">
        <f>IFERROR(INDEX($AA$3:$AA$10000,MATCH(ROWS($AC$3:AC492),$AC$3:$AC$10000,0)),"")</f>
        <v/>
      </c>
      <c r="AE492" s="117" t="str">
        <f>+'Packing Material - Cost'!A493</f>
        <v/>
      </c>
    </row>
    <row r="493" spans="27:31">
      <c r="AA493" s="117" t="str">
        <f>+'Ingredient List - Mother Tinctu'!D494</f>
        <v>Arum Triph.</v>
      </c>
      <c r="AB493" s="117">
        <f t="shared" si="10"/>
        <v>0</v>
      </c>
      <c r="AC493" s="117" t="str">
        <f>IF(AB493=1,COUNTIF($AB$3:AB493,1),"")</f>
        <v/>
      </c>
      <c r="AD493" s="117" t="str">
        <f>IFERROR(INDEX($AA$3:$AA$10000,MATCH(ROWS($AC$3:AC493),$AC$3:$AC$10000,0)),"")</f>
        <v/>
      </c>
      <c r="AE493" s="117" t="str">
        <f>+'Packing Material - Cost'!A494</f>
        <v/>
      </c>
    </row>
    <row r="494" spans="27:31">
      <c r="AA494" s="117" t="str">
        <f>+'Ingredient List - Mother Tinctu'!D495</f>
        <v>Arundo M.</v>
      </c>
      <c r="AB494" s="117">
        <f t="shared" si="10"/>
        <v>0</v>
      </c>
      <c r="AC494" s="117" t="str">
        <f>IF(AB494=1,COUNTIF($AB$3:AB494,1),"")</f>
        <v/>
      </c>
      <c r="AD494" s="117" t="str">
        <f>IFERROR(INDEX($AA$3:$AA$10000,MATCH(ROWS($AC$3:AC494),$AC$3:$AC$10000,0)),"")</f>
        <v/>
      </c>
      <c r="AE494" s="117" t="str">
        <f>+'Packing Material - Cost'!A495</f>
        <v/>
      </c>
    </row>
    <row r="495" spans="27:31">
      <c r="AA495" s="117" t="str">
        <f>+'Ingredient List - Mother Tinctu'!D496</f>
        <v>Asafoetida</v>
      </c>
      <c r="AB495" s="117">
        <f t="shared" si="10"/>
        <v>0</v>
      </c>
      <c r="AC495" s="117" t="str">
        <f>IF(AB495=1,COUNTIF($AB$3:AB495,1),"")</f>
        <v/>
      </c>
      <c r="AD495" s="117" t="str">
        <f>IFERROR(INDEX($AA$3:$AA$10000,MATCH(ROWS($AC$3:AC495),$AC$3:$AC$10000,0)),"")</f>
        <v/>
      </c>
      <c r="AE495" s="117" t="str">
        <f>+'Packing Material - Cost'!A496</f>
        <v/>
      </c>
    </row>
    <row r="496" spans="27:31">
      <c r="AA496" s="117" t="str">
        <f>+'Ingredient List - Mother Tinctu'!D497</f>
        <v>Asarum Europ.</v>
      </c>
      <c r="AB496" s="117">
        <f t="shared" si="10"/>
        <v>0</v>
      </c>
      <c r="AC496" s="117" t="str">
        <f>IF(AB496=1,COUNTIF($AB$3:AB496,1),"")</f>
        <v/>
      </c>
      <c r="AD496" s="117" t="str">
        <f>IFERROR(INDEX($AA$3:$AA$10000,MATCH(ROWS($AC$3:AC496),$AC$3:$AC$10000,0)),"")</f>
        <v/>
      </c>
      <c r="AE496" s="117" t="str">
        <f>+'Packing Material - Cost'!A497</f>
        <v/>
      </c>
    </row>
    <row r="497" spans="27:31">
      <c r="AA497" s="117" t="str">
        <f>+'Ingredient List - Mother Tinctu'!D498</f>
        <v>Asclep. Tub.</v>
      </c>
      <c r="AB497" s="117">
        <f t="shared" si="10"/>
        <v>0</v>
      </c>
      <c r="AC497" s="117" t="str">
        <f>IF(AB497=1,COUNTIF($AB$3:AB497,1),"")</f>
        <v/>
      </c>
      <c r="AD497" s="117" t="str">
        <f>IFERROR(INDEX($AA$3:$AA$10000,MATCH(ROWS($AC$3:AC497),$AC$3:$AC$10000,0)),"")</f>
        <v/>
      </c>
      <c r="AE497" s="117" t="str">
        <f>+'Packing Material - Cost'!A498</f>
        <v/>
      </c>
    </row>
    <row r="498" spans="27:31">
      <c r="AA498" s="117" t="str">
        <f>+'Ingredient List - Mother Tinctu'!D499</f>
        <v>Ashoka (Jan. Ashoka)</v>
      </c>
      <c r="AB498" s="117">
        <f t="shared" si="10"/>
        <v>0</v>
      </c>
      <c r="AC498" s="117" t="str">
        <f>IF(AB498=1,COUNTIF($AB$3:AB498,1),"")</f>
        <v/>
      </c>
      <c r="AD498" s="117" t="str">
        <f>IFERROR(INDEX($AA$3:$AA$10000,MATCH(ROWS($AC$3:AC498),$AC$3:$AC$10000,0)),"")</f>
        <v/>
      </c>
      <c r="AE498" s="117" t="str">
        <f>+'Packing Material - Cost'!A499</f>
        <v/>
      </c>
    </row>
    <row r="499" spans="27:31">
      <c r="AA499" s="117" t="str">
        <f>+'Ingredient List - Mother Tinctu'!D500</f>
        <v>Ashwagandha (Withana S)</v>
      </c>
      <c r="AB499" s="117">
        <f t="shared" si="10"/>
        <v>0</v>
      </c>
      <c r="AC499" s="117" t="str">
        <f>IF(AB499=1,COUNTIF($AB$3:AB499,1),"")</f>
        <v/>
      </c>
      <c r="AD499" s="117" t="str">
        <f>IFERROR(INDEX($AA$3:$AA$10000,MATCH(ROWS($AC$3:AC499),$AC$3:$AC$10000,0)),"")</f>
        <v/>
      </c>
      <c r="AE499" s="117" t="str">
        <f>+'Packing Material - Cost'!A500</f>
        <v/>
      </c>
    </row>
    <row r="500" spans="27:31">
      <c r="AA500" s="117" t="str">
        <f>+'Ingredient List - Mother Tinctu'!D501</f>
        <v>Asparagus Off.</v>
      </c>
      <c r="AB500" s="117">
        <f t="shared" si="10"/>
        <v>0</v>
      </c>
      <c r="AC500" s="117" t="str">
        <f>IF(AB500=1,COUNTIF($AB$3:AB500,1),"")</f>
        <v/>
      </c>
      <c r="AD500" s="117" t="str">
        <f>IFERROR(INDEX($AA$3:$AA$10000,MATCH(ROWS($AC$3:AC500),$AC$3:$AC$10000,0)),"")</f>
        <v/>
      </c>
      <c r="AE500" s="117" t="str">
        <f>+'Packing Material - Cost'!A501</f>
        <v/>
      </c>
    </row>
    <row r="501" spans="27:31">
      <c r="AA501" s="117" t="str">
        <f>+'Ingredient List - Mother Tinctu'!D502</f>
        <v>Aspidosperma</v>
      </c>
      <c r="AB501" s="117">
        <f t="shared" si="10"/>
        <v>0</v>
      </c>
      <c r="AC501" s="117" t="str">
        <f>IF(AB501=1,COUNTIF($AB$3:AB501,1),"")</f>
        <v/>
      </c>
      <c r="AD501" s="117" t="str">
        <f>IFERROR(INDEX($AA$3:$AA$10000,MATCH(ROWS($AC$3:AC501),$AC$3:$AC$10000,0)),"")</f>
        <v/>
      </c>
      <c r="AE501" s="117" t="str">
        <f>+'Packing Material - Cost'!A502</f>
        <v/>
      </c>
    </row>
    <row r="502" spans="27:31">
      <c r="AA502" s="117" t="str">
        <f>+'Ingredient List - Mother Tinctu'!D503</f>
        <v>Astacus FL</v>
      </c>
      <c r="AB502" s="117">
        <f t="shared" si="10"/>
        <v>0</v>
      </c>
      <c r="AC502" s="117" t="str">
        <f>IF(AB502=1,COUNTIF($AB$3:AB502,1),"")</f>
        <v/>
      </c>
      <c r="AD502" s="117" t="str">
        <f>IFERROR(INDEX($AA$3:$AA$10000,MATCH(ROWS($AC$3:AC502),$AC$3:$AC$10000,0)),"")</f>
        <v/>
      </c>
      <c r="AE502" s="117" t="str">
        <f>+'Packing Material - Cost'!A503</f>
        <v/>
      </c>
    </row>
    <row r="503" spans="27:31">
      <c r="AA503" s="117" t="str">
        <f>+'Ingredient List - Mother Tinctu'!D504</f>
        <v>Asterias Rub.</v>
      </c>
      <c r="AB503" s="117">
        <f t="shared" si="10"/>
        <v>0</v>
      </c>
      <c r="AC503" s="117" t="str">
        <f>IF(AB503=1,COUNTIF($AB$3:AB503,1),"")</f>
        <v/>
      </c>
      <c r="AD503" s="117" t="str">
        <f>IFERROR(INDEX($AA$3:$AA$10000,MATCH(ROWS($AC$3:AC503),$AC$3:$AC$10000,0)),"")</f>
        <v/>
      </c>
      <c r="AE503" s="117" t="str">
        <f>+'Packing Material - Cost'!A504</f>
        <v/>
      </c>
    </row>
    <row r="504" spans="27:31">
      <c r="AA504" s="117" t="str">
        <f>+'Ingredient List - Mother Tinctu'!D505</f>
        <v>Athamanta. O.</v>
      </c>
      <c r="AB504" s="117">
        <f t="shared" si="10"/>
        <v>0</v>
      </c>
      <c r="AC504" s="117" t="str">
        <f>IF(AB504=1,COUNTIF($AB$3:AB504,1),"")</f>
        <v/>
      </c>
      <c r="AD504" s="117" t="str">
        <f>IFERROR(INDEX($AA$3:$AA$10000,MATCH(ROWS($AC$3:AC504),$AC$3:$AC$10000,0)),"")</f>
        <v/>
      </c>
      <c r="AE504" s="117" t="str">
        <f>+'Packing Material - Cost'!A505</f>
        <v/>
      </c>
    </row>
    <row r="505" spans="27:31">
      <c r="AA505" s="117" t="str">
        <f>+'Ingredient List - Mother Tinctu'!D506</f>
        <v>Atista Ind.</v>
      </c>
      <c r="AB505" s="117">
        <f t="shared" si="10"/>
        <v>0</v>
      </c>
      <c r="AC505" s="117" t="str">
        <f>IF(AB505=1,COUNTIF($AB$3:AB505,1),"")</f>
        <v/>
      </c>
      <c r="AD505" s="117" t="str">
        <f>IFERROR(INDEX($AA$3:$AA$10000,MATCH(ROWS($AC$3:AC505),$AC$3:$AC$10000,0)),"")</f>
        <v/>
      </c>
      <c r="AE505" s="117" t="str">
        <f>+'Packing Material - Cost'!A506</f>
        <v/>
      </c>
    </row>
    <row r="506" spans="27:31">
      <c r="AA506" s="117" t="str">
        <f>+'Ingredient List - Mother Tinctu'!D507</f>
        <v>Atista Radix</v>
      </c>
      <c r="AB506" s="117">
        <f t="shared" si="10"/>
        <v>0</v>
      </c>
      <c r="AC506" s="117" t="str">
        <f>IF(AB506=1,COUNTIF($AB$3:AB506,1),"")</f>
        <v/>
      </c>
      <c r="AD506" s="117" t="str">
        <f>IFERROR(INDEX($AA$3:$AA$10000,MATCH(ROWS($AC$3:AC506),$AC$3:$AC$10000,0)),"")</f>
        <v/>
      </c>
      <c r="AE506" s="117" t="str">
        <f>+'Packing Material - Cost'!A507</f>
        <v/>
      </c>
    </row>
    <row r="507" spans="27:31">
      <c r="AA507" s="117" t="str">
        <f>+'Ingredient List - Mother Tinctu'!D508</f>
        <v>Atropin.</v>
      </c>
      <c r="AB507" s="117">
        <f t="shared" si="10"/>
        <v>0</v>
      </c>
      <c r="AC507" s="117" t="str">
        <f>IF(AB507=1,COUNTIF($AB$3:AB507,1),"")</f>
        <v/>
      </c>
      <c r="AD507" s="117" t="str">
        <f>IFERROR(INDEX($AA$3:$AA$10000,MATCH(ROWS($AC$3:AC507),$AC$3:$AC$10000,0)),"")</f>
        <v/>
      </c>
      <c r="AE507" s="117" t="str">
        <f>+'Packing Material - Cost'!A508</f>
        <v/>
      </c>
    </row>
    <row r="508" spans="27:31">
      <c r="AA508" s="117" t="str">
        <f>+'Ingredient List - Mother Tinctu'!D509</f>
        <v>Aurum Ars.</v>
      </c>
      <c r="AB508" s="117">
        <f t="shared" si="10"/>
        <v>0</v>
      </c>
      <c r="AC508" s="117" t="str">
        <f>IF(AB508=1,COUNTIF($AB$3:AB508,1),"")</f>
        <v/>
      </c>
      <c r="AD508" s="117" t="str">
        <f>IFERROR(INDEX($AA$3:$AA$10000,MATCH(ROWS($AC$3:AC508),$AC$3:$AC$10000,0)),"")</f>
        <v/>
      </c>
      <c r="AE508" s="117" t="str">
        <f>+'Packing Material - Cost'!A509</f>
        <v/>
      </c>
    </row>
    <row r="509" spans="27:31">
      <c r="AA509" s="117" t="str">
        <f>+'Ingredient List - Mother Tinctu'!D510</f>
        <v>Aurum Brom</v>
      </c>
      <c r="AB509" s="117">
        <f t="shared" si="10"/>
        <v>0</v>
      </c>
      <c r="AC509" s="117" t="str">
        <f>IF(AB509=1,COUNTIF($AB$3:AB509,1),"")</f>
        <v/>
      </c>
      <c r="AD509" s="117" t="str">
        <f>IFERROR(INDEX($AA$3:$AA$10000,MATCH(ROWS($AC$3:AC509),$AC$3:$AC$10000,0)),"")</f>
        <v/>
      </c>
      <c r="AE509" s="117" t="str">
        <f>+'Packing Material - Cost'!A510</f>
        <v/>
      </c>
    </row>
    <row r="510" spans="27:31">
      <c r="AA510" s="117" t="str">
        <f>+'Ingredient List - Mother Tinctu'!D511</f>
        <v>Aurum lod.</v>
      </c>
      <c r="AB510" s="117">
        <f t="shared" si="10"/>
        <v>0</v>
      </c>
      <c r="AC510" s="117" t="str">
        <f>IF(AB510=1,COUNTIF($AB$3:AB510,1),"")</f>
        <v/>
      </c>
      <c r="AD510" s="117" t="str">
        <f>IFERROR(INDEX($AA$3:$AA$10000,MATCH(ROWS($AC$3:AC510),$AC$3:$AC$10000,0)),"")</f>
        <v/>
      </c>
      <c r="AE510" s="117" t="str">
        <f>+'Packing Material - Cost'!A511</f>
        <v/>
      </c>
    </row>
    <row r="511" spans="27:31">
      <c r="AA511" s="117" t="str">
        <f>+'Ingredient List - Mother Tinctu'!D512</f>
        <v>Aurum Met.</v>
      </c>
      <c r="AB511" s="117">
        <f t="shared" si="10"/>
        <v>0</v>
      </c>
      <c r="AC511" s="117" t="str">
        <f>IF(AB511=1,COUNTIF($AB$3:AB511,1),"")</f>
        <v/>
      </c>
      <c r="AD511" s="117" t="str">
        <f>IFERROR(INDEX($AA$3:$AA$10000,MATCH(ROWS($AC$3:AC511),$AC$3:$AC$10000,0)),"")</f>
        <v/>
      </c>
      <c r="AE511" s="117" t="str">
        <f>+'Packing Material - Cost'!A512</f>
        <v/>
      </c>
    </row>
    <row r="512" spans="27:31">
      <c r="AA512" s="117" t="str">
        <f>+'Ingredient List - Mother Tinctu'!D513</f>
        <v>Aurum Mur Nat</v>
      </c>
      <c r="AB512" s="117">
        <f t="shared" si="10"/>
        <v>0</v>
      </c>
      <c r="AC512" s="117" t="str">
        <f>IF(AB512=1,COUNTIF($AB$3:AB512,1),"")</f>
        <v/>
      </c>
      <c r="AD512" s="117" t="str">
        <f>IFERROR(INDEX($AA$3:$AA$10000,MATCH(ROWS($AC$3:AC512),$AC$3:$AC$10000,0)),"")</f>
        <v/>
      </c>
      <c r="AE512" s="117" t="str">
        <f>+'Packing Material - Cost'!A513</f>
        <v/>
      </c>
    </row>
    <row r="513" spans="27:31">
      <c r="AA513" s="117" t="str">
        <f>+'Ingredient List - Mother Tinctu'!D514</f>
        <v>Aurum Sulph.</v>
      </c>
      <c r="AB513" s="117">
        <f t="shared" si="10"/>
        <v>0</v>
      </c>
      <c r="AC513" s="117" t="str">
        <f>IF(AB513=1,COUNTIF($AB$3:AB513,1),"")</f>
        <v/>
      </c>
      <c r="AD513" s="117" t="str">
        <f>IFERROR(INDEX($AA$3:$AA$10000,MATCH(ROWS($AC$3:AC513),$AC$3:$AC$10000,0)),"")</f>
        <v/>
      </c>
      <c r="AE513" s="117" t="str">
        <f>+'Packing Material - Cost'!A514</f>
        <v/>
      </c>
    </row>
    <row r="514" spans="27:31">
      <c r="AA514" s="117" t="str">
        <f>+'Ingredient List - Mother Tinctu'!D515</f>
        <v>Aurum. Mur.</v>
      </c>
      <c r="AB514" s="117">
        <f t="shared" si="10"/>
        <v>0</v>
      </c>
      <c r="AC514" s="117" t="str">
        <f>IF(AB514=1,COUNTIF($AB$3:AB514,1),"")</f>
        <v/>
      </c>
      <c r="AD514" s="117" t="str">
        <f>IFERROR(INDEX($AA$3:$AA$10000,MATCH(ROWS($AC$3:AC514),$AC$3:$AC$10000,0)),"")</f>
        <v/>
      </c>
      <c r="AE514" s="117" t="str">
        <f>+'Packing Material - Cost'!A515</f>
        <v/>
      </c>
    </row>
    <row r="515" spans="27:31">
      <c r="AA515" s="117" t="str">
        <f>+'Ingredient List - Mother Tinctu'!D516</f>
        <v>Avena Sat.</v>
      </c>
      <c r="AB515" s="117">
        <f t="shared" si="10"/>
        <v>0</v>
      </c>
      <c r="AC515" s="117" t="str">
        <f>IF(AB515=1,COUNTIF($AB$3:AB515,1),"")</f>
        <v/>
      </c>
      <c r="AD515" s="117" t="str">
        <f>IFERROR(INDEX($AA$3:$AA$10000,MATCH(ROWS($AC$3:AC515),$AC$3:$AC$10000,0)),"")</f>
        <v/>
      </c>
      <c r="AE515" s="117" t="str">
        <f>+'Packing Material - Cost'!A516</f>
        <v/>
      </c>
    </row>
    <row r="516" spans="27:31">
      <c r="AA516" s="117" t="str">
        <f>+'Ingredient List - Mother Tinctu'!D517</f>
        <v>Aviare</v>
      </c>
      <c r="AB516" s="117">
        <f t="shared" ref="AB516:AB579" si="11">--ISNUMBER(IFERROR(SEARCH($D$3,AA516,1),""))</f>
        <v>0</v>
      </c>
      <c r="AC516" s="117" t="str">
        <f>IF(AB516=1,COUNTIF($AB$3:AB516,1),"")</f>
        <v/>
      </c>
      <c r="AD516" s="117" t="str">
        <f>IFERROR(INDEX($AA$3:$AA$10000,MATCH(ROWS($AC$3:AC516),$AC$3:$AC$10000,0)),"")</f>
        <v/>
      </c>
      <c r="AE516" s="117" t="str">
        <f>+'Packing Material - Cost'!A517</f>
        <v/>
      </c>
    </row>
    <row r="517" spans="27:31">
      <c r="AA517" s="117" t="str">
        <f>+'Ingredient List - Mother Tinctu'!D518</f>
        <v>Azadirachta. Ind</v>
      </c>
      <c r="AB517" s="117">
        <f t="shared" si="11"/>
        <v>0</v>
      </c>
      <c r="AC517" s="117" t="str">
        <f>IF(AB517=1,COUNTIF($AB$3:AB517,1),"")</f>
        <v/>
      </c>
      <c r="AD517" s="117" t="str">
        <f>IFERROR(INDEX($AA$3:$AA$10000,MATCH(ROWS($AC$3:AC517),$AC$3:$AC$10000,0)),"")</f>
        <v/>
      </c>
      <c r="AE517" s="117" t="str">
        <f>+'Packing Material - Cost'!A518</f>
        <v/>
      </c>
    </row>
    <row r="518" spans="27:31">
      <c r="AA518" s="117" t="str">
        <f>+'Ingredient List - Mother Tinctu'!D519</f>
        <v>Bacillimum</v>
      </c>
      <c r="AB518" s="117">
        <f t="shared" si="11"/>
        <v>0</v>
      </c>
      <c r="AC518" s="117" t="str">
        <f>IF(AB518=1,COUNTIF($AB$3:AB518,1),"")</f>
        <v/>
      </c>
      <c r="AD518" s="117" t="str">
        <f>IFERROR(INDEX($AA$3:$AA$10000,MATCH(ROWS($AC$3:AC518),$AC$3:$AC$10000,0)),"")</f>
        <v/>
      </c>
      <c r="AE518" s="117" t="str">
        <f>+'Packing Material - Cost'!A519</f>
        <v/>
      </c>
    </row>
    <row r="519" spans="27:31">
      <c r="AA519" s="117" t="str">
        <f>+'Ingredient List - Mother Tinctu'!D520</f>
        <v>Bacopa Moneiri (Brahmi)</v>
      </c>
      <c r="AB519" s="117">
        <f t="shared" si="11"/>
        <v>0</v>
      </c>
      <c r="AC519" s="117" t="str">
        <f>IF(AB519=1,COUNTIF($AB$3:AB519,1),"")</f>
        <v/>
      </c>
      <c r="AD519" s="117" t="str">
        <f>IFERROR(INDEX($AA$3:$AA$10000,MATCH(ROWS($AC$3:AC519),$AC$3:$AC$10000,0)),"")</f>
        <v/>
      </c>
      <c r="AE519" s="117" t="str">
        <f>+'Packing Material - Cost'!A520</f>
        <v/>
      </c>
    </row>
    <row r="520" spans="27:31">
      <c r="AA520" s="117" t="str">
        <f>+'Ingredient List - Mother Tinctu'!D521</f>
        <v>Badiaga</v>
      </c>
      <c r="AB520" s="117">
        <f t="shared" si="11"/>
        <v>0</v>
      </c>
      <c r="AC520" s="117" t="str">
        <f>IF(AB520=1,COUNTIF($AB$3:AB520,1),"")</f>
        <v/>
      </c>
      <c r="AD520" s="117" t="str">
        <f>IFERROR(INDEX($AA$3:$AA$10000,MATCH(ROWS($AC$3:AC520),$AC$3:$AC$10000,0)),"")</f>
        <v/>
      </c>
      <c r="AE520" s="117" t="str">
        <f>+'Packing Material - Cost'!A521</f>
        <v/>
      </c>
    </row>
    <row r="521" spans="27:31">
      <c r="AA521" s="117" t="str">
        <f>+'Ingredient List - Mother Tinctu'!D522</f>
        <v>Balsamum P</v>
      </c>
      <c r="AB521" s="117">
        <f t="shared" si="11"/>
        <v>0</v>
      </c>
      <c r="AC521" s="117" t="str">
        <f>IF(AB521=1,COUNTIF($AB$3:AB521,1),"")</f>
        <v/>
      </c>
      <c r="AD521" s="117" t="str">
        <f>IFERROR(INDEX($AA$3:$AA$10000,MATCH(ROWS($AC$3:AC521),$AC$3:$AC$10000,0)),"")</f>
        <v/>
      </c>
      <c r="AE521" s="117" t="str">
        <f>+'Packing Material - Cost'!A522</f>
        <v/>
      </c>
    </row>
    <row r="522" spans="27:31">
      <c r="AA522" s="117" t="str">
        <f>+'Ingredient List - Mother Tinctu'!D523</f>
        <v>Baptisia Tinct.</v>
      </c>
      <c r="AB522" s="117">
        <f t="shared" si="11"/>
        <v>0</v>
      </c>
      <c r="AC522" s="117" t="str">
        <f>IF(AB522=1,COUNTIF($AB$3:AB522,1),"")</f>
        <v/>
      </c>
      <c r="AD522" s="117" t="str">
        <f>IFERROR(INDEX($AA$3:$AA$10000,MATCH(ROWS($AC$3:AC522),$AC$3:$AC$10000,0)),"")</f>
        <v/>
      </c>
      <c r="AE522" s="117" t="str">
        <f>+'Packing Material - Cost'!A523</f>
        <v/>
      </c>
    </row>
    <row r="523" spans="27:31">
      <c r="AA523" s="117" t="str">
        <f>+'Ingredient List - Mother Tinctu'!D524</f>
        <v>Baryta Acet.</v>
      </c>
      <c r="AB523" s="117">
        <f t="shared" si="11"/>
        <v>0</v>
      </c>
      <c r="AC523" s="117" t="str">
        <f>IF(AB523=1,COUNTIF($AB$3:AB523,1),"")</f>
        <v/>
      </c>
      <c r="AD523" s="117" t="str">
        <f>IFERROR(INDEX($AA$3:$AA$10000,MATCH(ROWS($AC$3:AC523),$AC$3:$AC$10000,0)),"")</f>
        <v/>
      </c>
      <c r="AE523" s="117" t="str">
        <f>+'Packing Material - Cost'!A524</f>
        <v/>
      </c>
    </row>
    <row r="524" spans="27:31">
      <c r="AA524" s="117" t="str">
        <f>+'Ingredient List - Mother Tinctu'!D525</f>
        <v>Baryta Carb.</v>
      </c>
      <c r="AB524" s="117">
        <f t="shared" si="11"/>
        <v>0</v>
      </c>
      <c r="AC524" s="117" t="str">
        <f>IF(AB524=1,COUNTIF($AB$3:AB524,1),"")</f>
        <v/>
      </c>
      <c r="AD524" s="117" t="str">
        <f>IFERROR(INDEX($AA$3:$AA$10000,MATCH(ROWS($AC$3:AC524),$AC$3:$AC$10000,0)),"")</f>
        <v/>
      </c>
      <c r="AE524" s="117" t="str">
        <f>+'Packing Material - Cost'!A525</f>
        <v/>
      </c>
    </row>
    <row r="525" spans="27:31">
      <c r="AA525" s="117" t="str">
        <f>+'Ingredient List - Mother Tinctu'!D526</f>
        <v>Baryta Iod.</v>
      </c>
      <c r="AB525" s="117">
        <f t="shared" si="11"/>
        <v>0</v>
      </c>
      <c r="AC525" s="117" t="str">
        <f>IF(AB525=1,COUNTIF($AB$3:AB525,1),"")</f>
        <v/>
      </c>
      <c r="AD525" s="117" t="str">
        <f>IFERROR(INDEX($AA$3:$AA$10000,MATCH(ROWS($AC$3:AC525),$AC$3:$AC$10000,0)),"")</f>
        <v/>
      </c>
      <c r="AE525" s="117" t="str">
        <f>+'Packing Material - Cost'!A526</f>
        <v/>
      </c>
    </row>
    <row r="526" spans="27:31">
      <c r="AA526" s="117" t="str">
        <f>+'Ingredient List - Mother Tinctu'!D527</f>
        <v>Baryta Mur.</v>
      </c>
      <c r="AB526" s="117">
        <f t="shared" si="11"/>
        <v>0</v>
      </c>
      <c r="AC526" s="117" t="str">
        <f>IF(AB526=1,COUNTIF($AB$3:AB526,1),"")</f>
        <v/>
      </c>
      <c r="AD526" s="117" t="str">
        <f>IFERROR(INDEX($AA$3:$AA$10000,MATCH(ROWS($AC$3:AC526),$AC$3:$AC$10000,0)),"")</f>
        <v/>
      </c>
      <c r="AE526" s="117" t="str">
        <f>+'Packing Material - Cost'!A527</f>
        <v/>
      </c>
    </row>
    <row r="527" spans="27:31">
      <c r="AA527" s="117" t="str">
        <f>+'Ingredient List - Mother Tinctu'!D528</f>
        <v>Baryta Phos.</v>
      </c>
      <c r="AB527" s="117">
        <f t="shared" si="11"/>
        <v>0</v>
      </c>
      <c r="AC527" s="117" t="str">
        <f>IF(AB527=1,COUNTIF($AB$3:AB527,1),"")</f>
        <v/>
      </c>
      <c r="AD527" s="117" t="str">
        <f>IFERROR(INDEX($AA$3:$AA$10000,MATCH(ROWS($AC$3:AC527),$AC$3:$AC$10000,0)),"")</f>
        <v/>
      </c>
      <c r="AE527" s="117" t="str">
        <f>+'Packing Material - Cost'!A528</f>
        <v/>
      </c>
    </row>
    <row r="528" spans="27:31">
      <c r="AA528" s="117" t="str">
        <f>+'Ingredient List - Mother Tinctu'!D529</f>
        <v>Belladonna</v>
      </c>
      <c r="AB528" s="117">
        <f t="shared" si="11"/>
        <v>1</v>
      </c>
      <c r="AC528" s="117">
        <f>IF(AB528=1,COUNTIF($AB$3:AB528,1),"")</f>
        <v>4</v>
      </c>
      <c r="AD528" s="117" t="str">
        <f>IFERROR(INDEX($AA$3:$AA$10000,MATCH(ROWS($AC$3:AC528),$AC$3:$AC$10000,0)),"")</f>
        <v/>
      </c>
      <c r="AE528" s="117" t="str">
        <f>+'Packing Material - Cost'!A529</f>
        <v/>
      </c>
    </row>
    <row r="529" spans="27:31">
      <c r="AA529" s="117" t="str">
        <f>+'Ingredient List - Mother Tinctu'!D530</f>
        <v>Bellis Per.</v>
      </c>
      <c r="AB529" s="117">
        <f t="shared" si="11"/>
        <v>0</v>
      </c>
      <c r="AC529" s="117" t="str">
        <f>IF(AB529=1,COUNTIF($AB$3:AB529,1),"")</f>
        <v/>
      </c>
      <c r="AD529" s="117" t="str">
        <f>IFERROR(INDEX($AA$3:$AA$10000,MATCH(ROWS($AC$3:AC529),$AC$3:$AC$10000,0)),"")</f>
        <v/>
      </c>
      <c r="AE529" s="117" t="str">
        <f>+'Packing Material - Cost'!A530</f>
        <v/>
      </c>
    </row>
    <row r="530" spans="27:31">
      <c r="AA530" s="117" t="str">
        <f>+'Ingredient List - Mother Tinctu'!D531</f>
        <v>Benzenum</v>
      </c>
      <c r="AB530" s="117">
        <f t="shared" si="11"/>
        <v>0</v>
      </c>
      <c r="AC530" s="117" t="str">
        <f>IF(AB530=1,COUNTIF($AB$3:AB530,1),"")</f>
        <v/>
      </c>
      <c r="AD530" s="117" t="str">
        <f>IFERROR(INDEX($AA$3:$AA$10000,MATCH(ROWS($AC$3:AC530),$AC$3:$AC$10000,0)),"")</f>
        <v/>
      </c>
      <c r="AE530" s="117" t="str">
        <f>+'Packing Material - Cost'!A531</f>
        <v/>
      </c>
    </row>
    <row r="531" spans="27:31">
      <c r="AA531" s="117" t="str">
        <f>+'Ingredient List - Mother Tinctu'!D532</f>
        <v>Benzenum Nit.</v>
      </c>
      <c r="AB531" s="117">
        <f t="shared" si="11"/>
        <v>0</v>
      </c>
      <c r="AC531" s="117" t="str">
        <f>IF(AB531=1,COUNTIF($AB$3:AB531,1),"")</f>
        <v/>
      </c>
      <c r="AD531" s="117" t="str">
        <f>IFERROR(INDEX($AA$3:$AA$10000,MATCH(ROWS($AC$3:AC531),$AC$3:$AC$10000,0)),"")</f>
        <v/>
      </c>
      <c r="AE531" s="117" t="str">
        <f>+'Packing Material - Cost'!A532</f>
        <v/>
      </c>
    </row>
    <row r="532" spans="27:31">
      <c r="AA532" s="117" t="str">
        <f>+'Ingredient List - Mother Tinctu'!D533</f>
        <v>Benzol</v>
      </c>
      <c r="AB532" s="117">
        <f t="shared" si="11"/>
        <v>0</v>
      </c>
      <c r="AC532" s="117" t="str">
        <f>IF(AB532=1,COUNTIF($AB$3:AB532,1),"")</f>
        <v/>
      </c>
      <c r="AD532" s="117" t="str">
        <f>IFERROR(INDEX($AA$3:$AA$10000,MATCH(ROWS($AC$3:AC532),$AC$3:$AC$10000,0)),"")</f>
        <v/>
      </c>
      <c r="AE532" s="117" t="str">
        <f>+'Packing Material - Cost'!A533</f>
        <v/>
      </c>
    </row>
    <row r="533" spans="27:31">
      <c r="AA533" s="117" t="str">
        <f>+'Ingredient List - Mother Tinctu'!D534</f>
        <v>Berb Vulg.</v>
      </c>
      <c r="AB533" s="117">
        <f t="shared" si="11"/>
        <v>0</v>
      </c>
      <c r="AC533" s="117" t="str">
        <f>IF(AB533=1,COUNTIF($AB$3:AB533,1),"")</f>
        <v/>
      </c>
      <c r="AD533" s="117" t="str">
        <f>IFERROR(INDEX($AA$3:$AA$10000,MATCH(ROWS($AC$3:AC533),$AC$3:$AC$10000,0)),"")</f>
        <v/>
      </c>
      <c r="AE533" s="117" t="str">
        <f>+'Packing Material - Cost'!A534</f>
        <v/>
      </c>
    </row>
    <row r="534" spans="27:31">
      <c r="AA534" s="117" t="str">
        <f>+'Ingredient List - Mother Tinctu'!D535</f>
        <v>Berb-Aqui.</v>
      </c>
      <c r="AB534" s="117">
        <f t="shared" si="11"/>
        <v>0</v>
      </c>
      <c r="AC534" s="117" t="str">
        <f>IF(AB534=1,COUNTIF($AB$3:AB534,1),"")</f>
        <v/>
      </c>
      <c r="AD534" s="117" t="str">
        <f>IFERROR(INDEX($AA$3:$AA$10000,MATCH(ROWS($AC$3:AC534),$AC$3:$AC$10000,0)),"")</f>
        <v/>
      </c>
      <c r="AE534" s="117" t="str">
        <f>+'Packing Material - Cost'!A535</f>
        <v/>
      </c>
    </row>
    <row r="535" spans="27:31">
      <c r="AA535" s="117" t="str">
        <f>+'Ingredient List - Mother Tinctu'!D536</f>
        <v>Bismuthum Met</v>
      </c>
      <c r="AB535" s="117">
        <f t="shared" si="11"/>
        <v>0</v>
      </c>
      <c r="AC535" s="117" t="str">
        <f>IF(AB535=1,COUNTIF($AB$3:AB535,1),"")</f>
        <v/>
      </c>
      <c r="AD535" s="117" t="str">
        <f>IFERROR(INDEX($AA$3:$AA$10000,MATCH(ROWS($AC$3:AC535),$AC$3:$AC$10000,0)),"")</f>
        <v/>
      </c>
      <c r="AE535" s="117" t="str">
        <f>+'Packing Material - Cost'!A536</f>
        <v/>
      </c>
    </row>
    <row r="536" spans="27:31">
      <c r="AA536" s="117" t="str">
        <f>+'Ingredient List - Mother Tinctu'!D537</f>
        <v>Bismuthum.</v>
      </c>
      <c r="AB536" s="117">
        <f t="shared" si="11"/>
        <v>0</v>
      </c>
      <c r="AC536" s="117" t="str">
        <f>IF(AB536=1,COUNTIF($AB$3:AB536,1),"")</f>
        <v/>
      </c>
      <c r="AD536" s="117" t="str">
        <f>IFERROR(INDEX($AA$3:$AA$10000,MATCH(ROWS($AC$3:AC536),$AC$3:$AC$10000,0)),"")</f>
        <v/>
      </c>
      <c r="AE536" s="117" t="str">
        <f>+'Packing Material - Cost'!A537</f>
        <v/>
      </c>
    </row>
    <row r="537" spans="27:31">
      <c r="AA537" s="117" t="str">
        <f>+'Ingredient List - Mother Tinctu'!D538</f>
        <v>Blatta Am.</v>
      </c>
      <c r="AB537" s="117">
        <f t="shared" si="11"/>
        <v>0</v>
      </c>
      <c r="AC537" s="117" t="str">
        <f>IF(AB537=1,COUNTIF($AB$3:AB537,1),"")</f>
        <v/>
      </c>
      <c r="AD537" s="117" t="str">
        <f>IFERROR(INDEX($AA$3:$AA$10000,MATCH(ROWS($AC$3:AC537),$AC$3:$AC$10000,0)),"")</f>
        <v/>
      </c>
      <c r="AE537" s="117" t="str">
        <f>+'Packing Material - Cost'!A538</f>
        <v/>
      </c>
    </row>
    <row r="538" spans="27:31">
      <c r="AA538" s="117" t="str">
        <f>+'Ingredient List - Mother Tinctu'!D539</f>
        <v>Blatta Orient.</v>
      </c>
      <c r="AB538" s="117">
        <f t="shared" si="11"/>
        <v>0</v>
      </c>
      <c r="AC538" s="117" t="str">
        <f>IF(AB538=1,COUNTIF($AB$3:AB538,1),"")</f>
        <v/>
      </c>
      <c r="AD538" s="117" t="str">
        <f>IFERROR(INDEX($AA$3:$AA$10000,MATCH(ROWS($AC$3:AC538),$AC$3:$AC$10000,0)),"")</f>
        <v/>
      </c>
      <c r="AE538" s="117" t="str">
        <f>+'Packing Material - Cost'!A539</f>
        <v/>
      </c>
    </row>
    <row r="539" spans="27:31">
      <c r="AA539" s="117" t="str">
        <f>+'Ingredient List - Mother Tinctu'!D540</f>
        <v>Blumea Odo.</v>
      </c>
      <c r="AB539" s="117">
        <f t="shared" si="11"/>
        <v>0</v>
      </c>
      <c r="AC539" s="117" t="str">
        <f>IF(AB539=1,COUNTIF($AB$3:AB539,1),"")</f>
        <v/>
      </c>
      <c r="AD539" s="117" t="str">
        <f>IFERROR(INDEX($AA$3:$AA$10000,MATCH(ROWS($AC$3:AC539),$AC$3:$AC$10000,0)),"")</f>
        <v/>
      </c>
      <c r="AE539" s="117" t="str">
        <f>+'Packing Material - Cost'!A540</f>
        <v/>
      </c>
    </row>
    <row r="540" spans="27:31">
      <c r="AA540" s="117" t="str">
        <f>+'Ingredient List - Mother Tinctu'!D541</f>
        <v>Boerhaavia. Dif. (Punarnava)</v>
      </c>
      <c r="AB540" s="117">
        <f t="shared" si="11"/>
        <v>0</v>
      </c>
      <c r="AC540" s="117" t="str">
        <f>IF(AB540=1,COUNTIF($AB$3:AB540,1),"")</f>
        <v/>
      </c>
      <c r="AD540" s="117" t="str">
        <f>IFERROR(INDEX($AA$3:$AA$10000,MATCH(ROWS($AC$3:AC540),$AC$3:$AC$10000,0)),"")</f>
        <v/>
      </c>
      <c r="AE540" s="117" t="str">
        <f>+'Packing Material - Cost'!A541</f>
        <v/>
      </c>
    </row>
    <row r="541" spans="27:31">
      <c r="AA541" s="117" t="str">
        <f>+'Ingredient List - Mother Tinctu'!D542</f>
        <v>Bone Tissue</v>
      </c>
      <c r="AB541" s="117">
        <f t="shared" si="11"/>
        <v>0</v>
      </c>
      <c r="AC541" s="117" t="str">
        <f>IF(AB541=1,COUNTIF($AB$3:AB541,1),"")</f>
        <v/>
      </c>
      <c r="AD541" s="117" t="str">
        <f>IFERROR(INDEX($AA$3:$AA$10000,MATCH(ROWS($AC$3:AC541),$AC$3:$AC$10000,0)),"")</f>
        <v/>
      </c>
      <c r="AE541" s="117" t="str">
        <f>+'Packing Material - Cost'!A542</f>
        <v/>
      </c>
    </row>
    <row r="542" spans="27:31">
      <c r="AA542" s="117" t="str">
        <f>+'Ingredient List - Mother Tinctu'!D543</f>
        <v>Borax</v>
      </c>
      <c r="AB542" s="117">
        <f t="shared" si="11"/>
        <v>0</v>
      </c>
      <c r="AC542" s="117" t="str">
        <f>IF(AB542=1,COUNTIF($AB$3:AB542,1),"")</f>
        <v/>
      </c>
      <c r="AD542" s="117" t="str">
        <f>IFERROR(INDEX($AA$3:$AA$10000,MATCH(ROWS($AC$3:AC542),$AC$3:$AC$10000,0)),"")</f>
        <v/>
      </c>
      <c r="AE542" s="117" t="str">
        <f>+'Packing Material - Cost'!A543</f>
        <v/>
      </c>
    </row>
    <row r="543" spans="27:31">
      <c r="AA543" s="117" t="str">
        <f>+'Ingredient List - Mother Tinctu'!D544</f>
        <v>Bothrop. La</v>
      </c>
      <c r="AB543" s="117">
        <f t="shared" si="11"/>
        <v>0</v>
      </c>
      <c r="AC543" s="117" t="str">
        <f>IF(AB543=1,COUNTIF($AB$3:AB543,1),"")</f>
        <v/>
      </c>
      <c r="AD543" s="117" t="str">
        <f>IFERROR(INDEX($AA$3:$AA$10000,MATCH(ROWS($AC$3:AC543),$AC$3:$AC$10000,0)),"")</f>
        <v/>
      </c>
      <c r="AE543" s="117" t="str">
        <f>+'Packing Material - Cost'!A544</f>
        <v/>
      </c>
    </row>
    <row r="544" spans="27:31">
      <c r="AA544" s="117" t="str">
        <f>+'Ingredient List - Mother Tinctu'!D545</f>
        <v>Bovista.</v>
      </c>
      <c r="AB544" s="117">
        <f t="shared" si="11"/>
        <v>0</v>
      </c>
      <c r="AC544" s="117" t="str">
        <f>IF(AB544=1,COUNTIF($AB$3:AB544,1),"")</f>
        <v/>
      </c>
      <c r="AD544" s="117" t="str">
        <f>IFERROR(INDEX($AA$3:$AA$10000,MATCH(ROWS($AC$3:AC544),$AC$3:$AC$10000,0)),"")</f>
        <v/>
      </c>
      <c r="AE544" s="117" t="str">
        <f>+'Packing Material - Cost'!A545</f>
        <v/>
      </c>
    </row>
    <row r="545" spans="27:31">
      <c r="AA545" s="117" t="str">
        <f>+'Ingredient List - Mother Tinctu'!D546</f>
        <v>Bromium</v>
      </c>
      <c r="AB545" s="117">
        <f t="shared" si="11"/>
        <v>0</v>
      </c>
      <c r="AC545" s="117" t="str">
        <f>IF(AB545=1,COUNTIF($AB$3:AB545,1),"")</f>
        <v/>
      </c>
      <c r="AD545" s="117" t="str">
        <f>IFERROR(INDEX($AA$3:$AA$10000,MATCH(ROWS($AC$3:AC545),$AC$3:$AC$10000,0)),"")</f>
        <v/>
      </c>
      <c r="AE545" s="117" t="str">
        <f>+'Packing Material - Cost'!A546</f>
        <v/>
      </c>
    </row>
    <row r="546" spans="27:31">
      <c r="AA546" s="117" t="str">
        <f>+'Ingredient List - Mother Tinctu'!D547</f>
        <v>Bryonia Alba.</v>
      </c>
      <c r="AB546" s="117">
        <f t="shared" si="11"/>
        <v>0</v>
      </c>
      <c r="AC546" s="117" t="str">
        <f>IF(AB546=1,COUNTIF($AB$3:AB546,1),"")</f>
        <v/>
      </c>
      <c r="AD546" s="117" t="str">
        <f>IFERROR(INDEX($AA$3:$AA$10000,MATCH(ROWS($AC$3:AC546),$AC$3:$AC$10000,0)),"")</f>
        <v/>
      </c>
      <c r="AE546" s="117" t="str">
        <f>+'Packing Material - Cost'!A547</f>
        <v/>
      </c>
    </row>
    <row r="547" spans="27:31">
      <c r="AA547" s="117" t="str">
        <f>+'Ingredient List - Mother Tinctu'!D548</f>
        <v>Bufo Rana</v>
      </c>
      <c r="AB547" s="117">
        <f t="shared" si="11"/>
        <v>0</v>
      </c>
      <c r="AC547" s="117" t="str">
        <f>IF(AB547=1,COUNTIF($AB$3:AB547,1),"")</f>
        <v/>
      </c>
      <c r="AD547" s="117" t="str">
        <f>IFERROR(INDEX($AA$3:$AA$10000,MATCH(ROWS($AC$3:AC547),$AC$3:$AC$10000,0)),"")</f>
        <v/>
      </c>
      <c r="AE547" s="117" t="str">
        <f>+'Packing Material - Cost'!A548</f>
        <v/>
      </c>
    </row>
    <row r="548" spans="27:31">
      <c r="AA548" s="117" t="str">
        <f>+'Ingredient List - Mother Tinctu'!D549</f>
        <v>Bungarus</v>
      </c>
      <c r="AB548" s="117">
        <f t="shared" si="11"/>
        <v>0</v>
      </c>
      <c r="AC548" s="117" t="str">
        <f>IF(AB548=1,COUNTIF($AB$3:AB548,1),"")</f>
        <v/>
      </c>
      <c r="AD548" s="117" t="str">
        <f>IFERROR(INDEX($AA$3:$AA$10000,MATCH(ROWS($AC$3:AC548),$AC$3:$AC$10000,0)),"")</f>
        <v/>
      </c>
      <c r="AE548" s="117" t="str">
        <f>+'Packing Material - Cost'!A549</f>
        <v/>
      </c>
    </row>
    <row r="549" spans="27:31">
      <c r="AA549" s="117" t="str">
        <f>+'Ingredient List - Mother Tinctu'!D550</f>
        <v>Cactus Grand.</v>
      </c>
      <c r="AB549" s="117">
        <f t="shared" si="11"/>
        <v>0</v>
      </c>
      <c r="AC549" s="117" t="str">
        <f>IF(AB549=1,COUNTIF($AB$3:AB549,1),"")</f>
        <v/>
      </c>
      <c r="AD549" s="117" t="str">
        <f>IFERROR(INDEX($AA$3:$AA$10000,MATCH(ROWS($AC$3:AC549),$AC$3:$AC$10000,0)),"")</f>
        <v/>
      </c>
      <c r="AE549" s="117" t="str">
        <f>+'Packing Material - Cost'!A550</f>
        <v/>
      </c>
    </row>
    <row r="550" spans="27:31">
      <c r="AA550" s="117" t="str">
        <f>+'Ingredient List - Mother Tinctu'!D551</f>
        <v>Cadmium Brom</v>
      </c>
      <c r="AB550" s="117">
        <f t="shared" si="11"/>
        <v>0</v>
      </c>
      <c r="AC550" s="117" t="str">
        <f>IF(AB550=1,COUNTIF($AB$3:AB550,1),"")</f>
        <v/>
      </c>
      <c r="AD550" s="117" t="str">
        <f>IFERROR(INDEX($AA$3:$AA$10000,MATCH(ROWS($AC$3:AC550),$AC$3:$AC$10000,0)),"")</f>
        <v/>
      </c>
      <c r="AE550" s="117" t="str">
        <f>+'Packing Material - Cost'!A551</f>
        <v/>
      </c>
    </row>
    <row r="551" spans="27:31">
      <c r="AA551" s="117" t="str">
        <f>+'Ingredient List - Mother Tinctu'!D552</f>
        <v>Cadmium Iod.</v>
      </c>
      <c r="AB551" s="117">
        <f t="shared" si="11"/>
        <v>0</v>
      </c>
      <c r="AC551" s="117" t="str">
        <f>IF(AB551=1,COUNTIF($AB$3:AB551,1),"")</f>
        <v/>
      </c>
      <c r="AD551" s="117" t="str">
        <f>IFERROR(INDEX($AA$3:$AA$10000,MATCH(ROWS($AC$3:AC551),$AC$3:$AC$10000,0)),"")</f>
        <v/>
      </c>
      <c r="AE551" s="117" t="str">
        <f>+'Packing Material - Cost'!A552</f>
        <v/>
      </c>
    </row>
    <row r="552" spans="27:31">
      <c r="AA552" s="117" t="str">
        <f>+'Ingredient List - Mother Tinctu'!D553</f>
        <v>Cadmium Met.</v>
      </c>
      <c r="AB552" s="117">
        <f t="shared" si="11"/>
        <v>0</v>
      </c>
      <c r="AC552" s="117" t="str">
        <f>IF(AB552=1,COUNTIF($AB$3:AB552,1),"")</f>
        <v/>
      </c>
      <c r="AD552" s="117" t="str">
        <f>IFERROR(INDEX($AA$3:$AA$10000,MATCH(ROWS($AC$3:AC552),$AC$3:$AC$10000,0)),"")</f>
        <v/>
      </c>
      <c r="AE552" s="117" t="str">
        <f>+'Packing Material - Cost'!A553</f>
        <v/>
      </c>
    </row>
    <row r="553" spans="27:31">
      <c r="AA553" s="117" t="str">
        <f>+'Ingredient List - Mother Tinctu'!D554</f>
        <v>Cadmium Sulph.</v>
      </c>
      <c r="AB553" s="117">
        <f t="shared" si="11"/>
        <v>0</v>
      </c>
      <c r="AC553" s="117" t="str">
        <f>IF(AB553=1,COUNTIF($AB$3:AB553,1),"")</f>
        <v/>
      </c>
      <c r="AD553" s="117" t="str">
        <f>IFERROR(INDEX($AA$3:$AA$10000,MATCH(ROWS($AC$3:AC553),$AC$3:$AC$10000,0)),"")</f>
        <v/>
      </c>
      <c r="AE553" s="117" t="str">
        <f>+'Packing Material - Cost'!A554</f>
        <v/>
      </c>
    </row>
    <row r="554" spans="27:31">
      <c r="AA554" s="117" t="str">
        <f>+'Ingredient List - Mother Tinctu'!D555</f>
        <v>Caesalpinia</v>
      </c>
      <c r="AB554" s="117">
        <f t="shared" si="11"/>
        <v>0</v>
      </c>
      <c r="AC554" s="117" t="str">
        <f>IF(AB554=1,COUNTIF($AB$3:AB554,1),"")</f>
        <v/>
      </c>
      <c r="AD554" s="117" t="str">
        <f>IFERROR(INDEX($AA$3:$AA$10000,MATCH(ROWS($AC$3:AC554),$AC$3:$AC$10000,0)),"")</f>
        <v/>
      </c>
      <c r="AE554" s="117" t="str">
        <f>+'Packing Material - Cost'!A555</f>
        <v/>
      </c>
    </row>
    <row r="555" spans="27:31">
      <c r="AA555" s="117" t="str">
        <f>+'Ingredient List - Mother Tinctu'!D556</f>
        <v>Caladium Seg.</v>
      </c>
      <c r="AB555" s="117">
        <f t="shared" si="11"/>
        <v>0</v>
      </c>
      <c r="AC555" s="117" t="str">
        <f>IF(AB555=1,COUNTIF($AB$3:AB555,1),"")</f>
        <v/>
      </c>
      <c r="AD555" s="117" t="str">
        <f>IFERROR(INDEX($AA$3:$AA$10000,MATCH(ROWS($AC$3:AC555),$AC$3:$AC$10000,0)),"")</f>
        <v/>
      </c>
      <c r="AE555" s="117" t="str">
        <f>+'Packing Material - Cost'!A556</f>
        <v/>
      </c>
    </row>
    <row r="556" spans="27:31">
      <c r="AA556" s="117" t="str">
        <f>+'Ingredient List - Mother Tinctu'!D557</f>
        <v>Calc. Acet.</v>
      </c>
      <c r="AB556" s="117">
        <f t="shared" si="11"/>
        <v>0</v>
      </c>
      <c r="AC556" s="117" t="str">
        <f>IF(AB556=1,COUNTIF($AB$3:AB556,1),"")</f>
        <v/>
      </c>
      <c r="AD556" s="117" t="str">
        <f>IFERROR(INDEX($AA$3:$AA$10000,MATCH(ROWS($AC$3:AC556),$AC$3:$AC$10000,0)),"")</f>
        <v/>
      </c>
      <c r="AE556" s="117" t="str">
        <f>+'Packing Material - Cost'!A557</f>
        <v/>
      </c>
    </row>
    <row r="557" spans="27:31">
      <c r="AA557" s="117" t="str">
        <f>+'Ingredient List - Mother Tinctu'!D558</f>
        <v>Calc. Ars.</v>
      </c>
      <c r="AB557" s="117">
        <f t="shared" si="11"/>
        <v>0</v>
      </c>
      <c r="AC557" s="117" t="str">
        <f>IF(AB557=1,COUNTIF($AB$3:AB557,1),"")</f>
        <v/>
      </c>
      <c r="AD557" s="117" t="str">
        <f>IFERROR(INDEX($AA$3:$AA$10000,MATCH(ROWS($AC$3:AC557),$AC$3:$AC$10000,0)),"")</f>
        <v/>
      </c>
      <c r="AE557" s="117" t="str">
        <f>+'Packing Material - Cost'!A558</f>
        <v/>
      </c>
    </row>
    <row r="558" spans="27:31">
      <c r="AA558" s="117" t="str">
        <f>+'Ingredient List - Mother Tinctu'!D559</f>
        <v>Calc. Brom.</v>
      </c>
      <c r="AB558" s="117">
        <f t="shared" si="11"/>
        <v>0</v>
      </c>
      <c r="AC558" s="117" t="str">
        <f>IF(AB558=1,COUNTIF($AB$3:AB558,1),"")</f>
        <v/>
      </c>
      <c r="AD558" s="117" t="str">
        <f>IFERROR(INDEX($AA$3:$AA$10000,MATCH(ROWS($AC$3:AC558),$AC$3:$AC$10000,0)),"")</f>
        <v/>
      </c>
      <c r="AE558" s="117" t="str">
        <f>+'Packing Material - Cost'!A559</f>
        <v/>
      </c>
    </row>
    <row r="559" spans="27:31">
      <c r="AA559" s="117" t="str">
        <f>+'Ingredient List - Mother Tinctu'!D560</f>
        <v>Calc. Carb.</v>
      </c>
      <c r="AB559" s="117">
        <f t="shared" si="11"/>
        <v>0</v>
      </c>
      <c r="AC559" s="117" t="str">
        <f>IF(AB559=1,COUNTIF($AB$3:AB559,1),"")</f>
        <v/>
      </c>
      <c r="AD559" s="117" t="str">
        <f>IFERROR(INDEX($AA$3:$AA$10000,MATCH(ROWS($AC$3:AC559),$AC$3:$AC$10000,0)),"")</f>
        <v/>
      </c>
      <c r="AE559" s="117" t="str">
        <f>+'Packing Material - Cost'!A560</f>
        <v/>
      </c>
    </row>
    <row r="560" spans="27:31">
      <c r="AA560" s="117" t="str">
        <f>+'Ingredient List - Mother Tinctu'!D561</f>
        <v>Calc. Caust.</v>
      </c>
      <c r="AB560" s="117">
        <f t="shared" si="11"/>
        <v>0</v>
      </c>
      <c r="AC560" s="117" t="str">
        <f>IF(AB560=1,COUNTIF($AB$3:AB560,1),"")</f>
        <v/>
      </c>
      <c r="AD560" s="117" t="str">
        <f>IFERROR(INDEX($AA$3:$AA$10000,MATCH(ROWS($AC$3:AC560),$AC$3:$AC$10000,0)),"")</f>
        <v/>
      </c>
      <c r="AE560" s="117" t="str">
        <f>+'Packing Material - Cost'!A561</f>
        <v/>
      </c>
    </row>
    <row r="561" spans="27:31">
      <c r="AA561" s="117" t="str">
        <f>+'Ingredient List - Mother Tinctu'!D562</f>
        <v>Calc. Fluor.</v>
      </c>
      <c r="AB561" s="117">
        <f t="shared" si="11"/>
        <v>0</v>
      </c>
      <c r="AC561" s="117" t="str">
        <f>IF(AB561=1,COUNTIF($AB$3:AB561,1),"")</f>
        <v/>
      </c>
      <c r="AD561" s="117" t="str">
        <f>IFERROR(INDEX($AA$3:$AA$10000,MATCH(ROWS($AC$3:AC561),$AC$3:$AC$10000,0)),"")</f>
        <v/>
      </c>
      <c r="AE561" s="117" t="str">
        <f>+'Packing Material - Cost'!A562</f>
        <v/>
      </c>
    </row>
    <row r="562" spans="27:31">
      <c r="AA562" s="117" t="str">
        <f>+'Ingredient List - Mother Tinctu'!D563</f>
        <v>Calc. Hyp. Ph.</v>
      </c>
      <c r="AB562" s="117">
        <f t="shared" si="11"/>
        <v>0</v>
      </c>
      <c r="AC562" s="117" t="str">
        <f>IF(AB562=1,COUNTIF($AB$3:AB562,1),"")</f>
        <v/>
      </c>
      <c r="AD562" s="117" t="str">
        <f>IFERROR(INDEX($AA$3:$AA$10000,MATCH(ROWS($AC$3:AC562),$AC$3:$AC$10000,0)),"")</f>
        <v/>
      </c>
      <c r="AE562" s="117" t="str">
        <f>+'Packing Material - Cost'!A563</f>
        <v/>
      </c>
    </row>
    <row r="563" spans="27:31">
      <c r="AA563" s="117" t="str">
        <f>+'Ingredient List - Mother Tinctu'!D564</f>
        <v>Calc. Iod.</v>
      </c>
      <c r="AB563" s="117">
        <f t="shared" si="11"/>
        <v>0</v>
      </c>
      <c r="AC563" s="117" t="str">
        <f>IF(AB563=1,COUNTIF($AB$3:AB563,1),"")</f>
        <v/>
      </c>
      <c r="AD563" s="117" t="str">
        <f>IFERROR(INDEX($AA$3:$AA$10000,MATCH(ROWS($AC$3:AC563),$AC$3:$AC$10000,0)),"")</f>
        <v/>
      </c>
      <c r="AE563" s="117" t="str">
        <f>+'Packing Material - Cost'!A564</f>
        <v/>
      </c>
    </row>
    <row r="564" spans="27:31">
      <c r="AA564" s="117" t="str">
        <f>+'Ingredient List - Mother Tinctu'!D565</f>
        <v>Calc. Ova tosta (Ova Tosta)</v>
      </c>
      <c r="AB564" s="117">
        <f t="shared" si="11"/>
        <v>0</v>
      </c>
      <c r="AC564" s="117" t="str">
        <f>IF(AB564=1,COUNTIF($AB$3:AB564,1),"")</f>
        <v/>
      </c>
      <c r="AD564" s="117" t="str">
        <f>IFERROR(INDEX($AA$3:$AA$10000,MATCH(ROWS($AC$3:AC564),$AC$3:$AC$10000,0)),"")</f>
        <v/>
      </c>
      <c r="AE564" s="117" t="str">
        <f>+'Packing Material - Cost'!A565</f>
        <v/>
      </c>
    </row>
    <row r="565" spans="27:31">
      <c r="AA565" s="117" t="str">
        <f>+'Ingredient List - Mother Tinctu'!D566</f>
        <v>Calc. Oxal.</v>
      </c>
      <c r="AB565" s="117">
        <f t="shared" si="11"/>
        <v>0</v>
      </c>
      <c r="AC565" s="117" t="str">
        <f>IF(AB565=1,COUNTIF($AB$3:AB565,1),"")</f>
        <v/>
      </c>
      <c r="AD565" s="117" t="str">
        <f>IFERROR(INDEX($AA$3:$AA$10000,MATCH(ROWS($AC$3:AC565),$AC$3:$AC$10000,0)),"")</f>
        <v/>
      </c>
      <c r="AE565" s="117" t="str">
        <f>+'Packing Material - Cost'!A566</f>
        <v/>
      </c>
    </row>
    <row r="566" spans="27:31">
      <c r="AA566" s="117" t="str">
        <f>+'Ingredient List - Mother Tinctu'!D567</f>
        <v>Calc. Phos.</v>
      </c>
      <c r="AB566" s="117">
        <f t="shared" si="11"/>
        <v>0</v>
      </c>
      <c r="AC566" s="117" t="str">
        <f>IF(AB566=1,COUNTIF($AB$3:AB566,1),"")</f>
        <v/>
      </c>
      <c r="AD566" s="117" t="str">
        <f>IFERROR(INDEX($AA$3:$AA$10000,MATCH(ROWS($AC$3:AC566),$AC$3:$AC$10000,0)),"")</f>
        <v/>
      </c>
      <c r="AE566" s="117" t="str">
        <f>+'Packing Material - Cost'!A567</f>
        <v/>
      </c>
    </row>
    <row r="567" spans="27:31">
      <c r="AA567" s="117" t="str">
        <f>+'Ingredient List - Mother Tinctu'!D568</f>
        <v>Calc. Picr.</v>
      </c>
      <c r="AB567" s="117">
        <f t="shared" si="11"/>
        <v>0</v>
      </c>
      <c r="AC567" s="117" t="str">
        <f>IF(AB567=1,COUNTIF($AB$3:AB567,1),"")</f>
        <v/>
      </c>
      <c r="AD567" s="117" t="str">
        <f>IFERROR(INDEX($AA$3:$AA$10000,MATCH(ROWS($AC$3:AC567),$AC$3:$AC$10000,0)),"")</f>
        <v/>
      </c>
      <c r="AE567" s="117" t="str">
        <f>+'Packing Material - Cost'!A568</f>
        <v/>
      </c>
    </row>
    <row r="568" spans="27:31">
      <c r="AA568" s="117" t="str">
        <f>+'Ingredient List - Mother Tinctu'!D569</f>
        <v>Calc. Renalis</v>
      </c>
      <c r="AB568" s="117">
        <f t="shared" si="11"/>
        <v>0</v>
      </c>
      <c r="AC568" s="117" t="str">
        <f>IF(AB568=1,COUNTIF($AB$3:AB568,1),"")</f>
        <v/>
      </c>
      <c r="AD568" s="117" t="str">
        <f>IFERROR(INDEX($AA$3:$AA$10000,MATCH(ROWS($AC$3:AC568),$AC$3:$AC$10000,0)),"")</f>
        <v/>
      </c>
      <c r="AE568" s="117" t="str">
        <f>+'Packing Material - Cost'!A569</f>
        <v/>
      </c>
    </row>
    <row r="569" spans="27:31">
      <c r="AA569" s="117" t="str">
        <f>+'Ingredient List - Mother Tinctu'!D570</f>
        <v>Calc. Sillic</v>
      </c>
      <c r="AB569" s="117">
        <f t="shared" si="11"/>
        <v>0</v>
      </c>
      <c r="AC569" s="117" t="str">
        <f>IF(AB569=1,COUNTIF($AB$3:AB569,1),"")</f>
        <v/>
      </c>
      <c r="AD569" s="117" t="str">
        <f>IFERROR(INDEX($AA$3:$AA$10000,MATCH(ROWS($AC$3:AC569),$AC$3:$AC$10000,0)),"")</f>
        <v/>
      </c>
      <c r="AE569" s="117" t="str">
        <f>+'Packing Material - Cost'!A570</f>
        <v/>
      </c>
    </row>
    <row r="570" spans="27:31">
      <c r="AA570" s="117" t="str">
        <f>+'Ingredient List - Mother Tinctu'!D571</f>
        <v>Calc. Sulph.</v>
      </c>
      <c r="AB570" s="117">
        <f t="shared" si="11"/>
        <v>0</v>
      </c>
      <c r="AC570" s="117" t="str">
        <f>IF(AB570=1,COUNTIF($AB$3:AB570,1),"")</f>
        <v/>
      </c>
      <c r="AD570" s="117" t="str">
        <f>IFERROR(INDEX($AA$3:$AA$10000,MATCH(ROWS($AC$3:AC570),$AC$3:$AC$10000,0)),"")</f>
        <v/>
      </c>
      <c r="AE570" s="117" t="str">
        <f>+'Packing Material - Cost'!A571</f>
        <v/>
      </c>
    </row>
    <row r="571" spans="27:31">
      <c r="AA571" s="117" t="str">
        <f>+'Ingredient List - Mother Tinctu'!D572</f>
        <v>Calendula Off.</v>
      </c>
      <c r="AB571" s="117">
        <f t="shared" si="11"/>
        <v>0</v>
      </c>
      <c r="AC571" s="117" t="str">
        <f>IF(AB571=1,COUNTIF($AB$3:AB571,1),"")</f>
        <v/>
      </c>
      <c r="AD571" s="117" t="str">
        <f>IFERROR(INDEX($AA$3:$AA$10000,MATCH(ROWS($AC$3:AC571),$AC$3:$AC$10000,0)),"")</f>
        <v/>
      </c>
      <c r="AE571" s="117" t="str">
        <f>+'Packing Material - Cost'!A572</f>
        <v/>
      </c>
    </row>
    <row r="572" spans="27:31">
      <c r="AA572" s="117" t="str">
        <f>+'Ingredient List - Mother Tinctu'!D573</f>
        <v>Calotropis Gig.</v>
      </c>
      <c r="AB572" s="117">
        <f t="shared" si="11"/>
        <v>0</v>
      </c>
      <c r="AC572" s="117" t="str">
        <f>IF(AB572=1,COUNTIF($AB$3:AB572,1),"")</f>
        <v/>
      </c>
      <c r="AD572" s="117" t="str">
        <f>IFERROR(INDEX($AA$3:$AA$10000,MATCH(ROWS($AC$3:AC572),$AC$3:$AC$10000,0)),"")</f>
        <v/>
      </c>
      <c r="AE572" s="117" t="str">
        <f>+'Packing Material - Cost'!A573</f>
        <v/>
      </c>
    </row>
    <row r="573" spans="27:31">
      <c r="AA573" s="117" t="str">
        <f>+'Ingredient List - Mother Tinctu'!D574</f>
        <v>Caltha Pal.</v>
      </c>
      <c r="AB573" s="117">
        <f t="shared" si="11"/>
        <v>0</v>
      </c>
      <c r="AC573" s="117" t="str">
        <f>IF(AB573=1,COUNTIF($AB$3:AB573,1),"")</f>
        <v/>
      </c>
      <c r="AD573" s="117" t="str">
        <f>IFERROR(INDEX($AA$3:$AA$10000,MATCH(ROWS($AC$3:AC573),$AC$3:$AC$10000,0)),"")</f>
        <v/>
      </c>
      <c r="AE573" s="117" t="str">
        <f>+'Packing Material - Cost'!A574</f>
        <v/>
      </c>
    </row>
    <row r="574" spans="27:31">
      <c r="AA574" s="117" t="str">
        <f>+'Ingredient List - Mother Tinctu'!D575</f>
        <v>Camphora Mono.</v>
      </c>
      <c r="AB574" s="117">
        <f t="shared" si="11"/>
        <v>0</v>
      </c>
      <c r="AC574" s="117" t="str">
        <f>IF(AB574=1,COUNTIF($AB$3:AB574,1),"")</f>
        <v/>
      </c>
      <c r="AD574" s="117" t="str">
        <f>IFERROR(INDEX($AA$3:$AA$10000,MATCH(ROWS($AC$3:AC574),$AC$3:$AC$10000,0)),"")</f>
        <v/>
      </c>
      <c r="AE574" s="117" t="str">
        <f>+'Packing Material - Cost'!A575</f>
        <v/>
      </c>
    </row>
    <row r="575" spans="27:31">
      <c r="AA575" s="117" t="str">
        <f>+'Ingredient List - Mother Tinctu'!D576</f>
        <v>Camphora Off.</v>
      </c>
      <c r="AB575" s="117">
        <f t="shared" si="11"/>
        <v>0</v>
      </c>
      <c r="AC575" s="117" t="str">
        <f>IF(AB575=1,COUNTIF($AB$3:AB575,1),"")</f>
        <v/>
      </c>
      <c r="AD575" s="117" t="str">
        <f>IFERROR(INDEX($AA$3:$AA$10000,MATCH(ROWS($AC$3:AC575),$AC$3:$AC$10000,0)),"")</f>
        <v/>
      </c>
      <c r="AE575" s="117" t="str">
        <f>+'Packing Material - Cost'!A576</f>
        <v/>
      </c>
    </row>
    <row r="576" spans="27:31">
      <c r="AA576" s="117" t="str">
        <f>+'Ingredient List - Mother Tinctu'!D577</f>
        <v>Cannabis Ind.</v>
      </c>
      <c r="AB576" s="117">
        <f t="shared" si="11"/>
        <v>0</v>
      </c>
      <c r="AC576" s="117" t="str">
        <f>IF(AB576=1,COUNTIF($AB$3:AB576,1),"")</f>
        <v/>
      </c>
      <c r="AD576" s="117" t="str">
        <f>IFERROR(INDEX($AA$3:$AA$10000,MATCH(ROWS($AC$3:AC576),$AC$3:$AC$10000,0)),"")</f>
        <v/>
      </c>
      <c r="AE576" s="117" t="str">
        <f>+'Packing Material - Cost'!A577</f>
        <v/>
      </c>
    </row>
    <row r="577" spans="27:31">
      <c r="AA577" s="117" t="str">
        <f>+'Ingredient List - Mother Tinctu'!D578</f>
        <v>Cannabis Sat.</v>
      </c>
      <c r="AB577" s="117">
        <f t="shared" si="11"/>
        <v>0</v>
      </c>
      <c r="AC577" s="117" t="str">
        <f>IF(AB577=1,COUNTIF($AB$3:AB577,1),"")</f>
        <v/>
      </c>
      <c r="AD577" s="117" t="str">
        <f>IFERROR(INDEX($AA$3:$AA$10000,MATCH(ROWS($AC$3:AC577),$AC$3:$AC$10000,0)),"")</f>
        <v/>
      </c>
      <c r="AE577" s="117" t="str">
        <f>+'Packing Material - Cost'!A578</f>
        <v/>
      </c>
    </row>
    <row r="578" spans="27:31">
      <c r="AA578" s="117" t="str">
        <f>+'Ingredient List - Mother Tinctu'!D579</f>
        <v>Cantharis</v>
      </c>
      <c r="AB578" s="117">
        <f t="shared" si="11"/>
        <v>0</v>
      </c>
      <c r="AC578" s="117" t="str">
        <f>IF(AB578=1,COUNTIF($AB$3:AB578,1),"")</f>
        <v/>
      </c>
      <c r="AD578" s="117" t="str">
        <f>IFERROR(INDEX($AA$3:$AA$10000,MATCH(ROWS($AC$3:AC578),$AC$3:$AC$10000,0)),"")</f>
        <v/>
      </c>
      <c r="AE578" s="117" t="str">
        <f>+'Packing Material - Cost'!A579</f>
        <v/>
      </c>
    </row>
    <row r="579" spans="27:31">
      <c r="AA579" s="117" t="str">
        <f>+'Ingredient List - Mother Tinctu'!D580</f>
        <v>Capsicum</v>
      </c>
      <c r="AB579" s="117">
        <f t="shared" si="11"/>
        <v>0</v>
      </c>
      <c r="AC579" s="117" t="str">
        <f>IF(AB579=1,COUNTIF($AB$3:AB579,1),"")</f>
        <v/>
      </c>
      <c r="AD579" s="117" t="str">
        <f>IFERROR(INDEX($AA$3:$AA$10000,MATCH(ROWS($AC$3:AC579),$AC$3:$AC$10000,0)),"")</f>
        <v/>
      </c>
      <c r="AE579" s="117" t="str">
        <f>+'Packing Material - Cost'!A580</f>
        <v/>
      </c>
    </row>
    <row r="580" spans="27:31">
      <c r="AA580" s="117" t="str">
        <f>+'Ingredient List - Mother Tinctu'!D581</f>
        <v>Carbo Anim.</v>
      </c>
      <c r="AB580" s="117">
        <f t="shared" ref="AB580:AB643" si="12">--ISNUMBER(IFERROR(SEARCH($D$3,AA580,1),""))</f>
        <v>0</v>
      </c>
      <c r="AC580" s="117" t="str">
        <f>IF(AB580=1,COUNTIF($AB$3:AB580,1),"")</f>
        <v/>
      </c>
      <c r="AD580" s="117" t="str">
        <f>IFERROR(INDEX($AA$3:$AA$10000,MATCH(ROWS($AC$3:AC580),$AC$3:$AC$10000,0)),"")</f>
        <v/>
      </c>
      <c r="AE580" s="117" t="str">
        <f>+'Packing Material - Cost'!A581</f>
        <v/>
      </c>
    </row>
    <row r="581" spans="27:31">
      <c r="AA581" s="117" t="str">
        <f>+'Ingredient List - Mother Tinctu'!D582</f>
        <v>Carbo Veg.</v>
      </c>
      <c r="AB581" s="117">
        <f t="shared" si="12"/>
        <v>0</v>
      </c>
      <c r="AC581" s="117" t="str">
        <f>IF(AB581=1,COUNTIF($AB$3:AB581,1),"")</f>
        <v/>
      </c>
      <c r="AD581" s="117" t="str">
        <f>IFERROR(INDEX($AA$3:$AA$10000,MATCH(ROWS($AC$3:AC581),$AC$3:$AC$10000,0)),"")</f>
        <v/>
      </c>
      <c r="AE581" s="117" t="str">
        <f>+'Packing Material - Cost'!A582</f>
        <v/>
      </c>
    </row>
    <row r="582" spans="27:31">
      <c r="AA582" s="117" t="str">
        <f>+'Ingredient List - Mother Tinctu'!D583</f>
        <v>Carbon Sulph.</v>
      </c>
      <c r="AB582" s="117">
        <f t="shared" si="12"/>
        <v>0</v>
      </c>
      <c r="AC582" s="117" t="str">
        <f>IF(AB582=1,COUNTIF($AB$3:AB582,1),"")</f>
        <v/>
      </c>
      <c r="AD582" s="117" t="str">
        <f>IFERROR(INDEX($AA$3:$AA$10000,MATCH(ROWS($AC$3:AC582),$AC$3:$AC$10000,0)),"")</f>
        <v/>
      </c>
      <c r="AE582" s="117" t="str">
        <f>+'Packing Material - Cost'!A583</f>
        <v/>
      </c>
    </row>
    <row r="583" spans="27:31">
      <c r="AA583" s="117" t="str">
        <f>+'Ingredient List - Mother Tinctu'!D584</f>
        <v>Carbon Tetra</v>
      </c>
      <c r="AB583" s="117">
        <f t="shared" si="12"/>
        <v>0</v>
      </c>
      <c r="AC583" s="117" t="str">
        <f>IF(AB583=1,COUNTIF($AB$3:AB583,1),"")</f>
        <v/>
      </c>
      <c r="AD583" s="117" t="str">
        <f>IFERROR(INDEX($AA$3:$AA$10000,MATCH(ROWS($AC$3:AC583),$AC$3:$AC$10000,0)),"")</f>
        <v/>
      </c>
      <c r="AE583" s="117" t="str">
        <f>+'Packing Material - Cost'!A584</f>
        <v/>
      </c>
    </row>
    <row r="584" spans="27:31">
      <c r="AA584" s="117" t="str">
        <f>+'Ingredient List - Mother Tinctu'!D585</f>
        <v>Carcinosin</v>
      </c>
      <c r="AB584" s="117">
        <f t="shared" si="12"/>
        <v>0</v>
      </c>
      <c r="AC584" s="117" t="str">
        <f>IF(AB584=1,COUNTIF($AB$3:AB584,1),"")</f>
        <v/>
      </c>
      <c r="AD584" s="117" t="str">
        <f>IFERROR(INDEX($AA$3:$AA$10000,MATCH(ROWS($AC$3:AC584),$AC$3:$AC$10000,0)),"")</f>
        <v/>
      </c>
      <c r="AE584" s="117" t="str">
        <f>+'Packing Material - Cost'!A585</f>
        <v/>
      </c>
    </row>
    <row r="585" spans="27:31">
      <c r="AA585" s="117" t="str">
        <f>+'Ingredient List - Mother Tinctu'!D586</f>
        <v>Carduus Mar.</v>
      </c>
      <c r="AB585" s="117">
        <f t="shared" si="12"/>
        <v>0</v>
      </c>
      <c r="AC585" s="117" t="str">
        <f>IF(AB585=1,COUNTIF($AB$3:AB585,1),"")</f>
        <v/>
      </c>
      <c r="AD585" s="117" t="str">
        <f>IFERROR(INDEX($AA$3:$AA$10000,MATCH(ROWS($AC$3:AC585),$AC$3:$AC$10000,0)),"")</f>
        <v/>
      </c>
      <c r="AE585" s="117" t="str">
        <f>+'Packing Material - Cost'!A586</f>
        <v/>
      </c>
    </row>
    <row r="586" spans="27:31">
      <c r="AA586" s="117" t="str">
        <f>+'Ingredient List - Mother Tinctu'!D587</f>
        <v>Carica Papaya</v>
      </c>
      <c r="AB586" s="117">
        <f t="shared" si="12"/>
        <v>0</v>
      </c>
      <c r="AC586" s="117" t="str">
        <f>IF(AB586=1,COUNTIF($AB$3:AB586,1),"")</f>
        <v/>
      </c>
      <c r="AD586" s="117" t="str">
        <f>IFERROR(INDEX($AA$3:$AA$10000,MATCH(ROWS($AC$3:AC586),$AC$3:$AC$10000,0)),"")</f>
        <v/>
      </c>
      <c r="AE586" s="117" t="str">
        <f>+'Packing Material - Cost'!A587</f>
        <v/>
      </c>
    </row>
    <row r="587" spans="27:31">
      <c r="AA587" s="117" t="str">
        <f>+'Ingredient List - Mother Tinctu'!D588</f>
        <v>Cascara Sag.</v>
      </c>
      <c r="AB587" s="117">
        <f t="shared" si="12"/>
        <v>0</v>
      </c>
      <c r="AC587" s="117" t="str">
        <f>IF(AB587=1,COUNTIF($AB$3:AB587,1),"")</f>
        <v/>
      </c>
      <c r="AD587" s="117" t="str">
        <f>IFERROR(INDEX($AA$3:$AA$10000,MATCH(ROWS($AC$3:AC587),$AC$3:$AC$10000,0)),"")</f>
        <v/>
      </c>
      <c r="AE587" s="117" t="str">
        <f>+'Packing Material - Cost'!A588</f>
        <v/>
      </c>
    </row>
    <row r="588" spans="27:31">
      <c r="AA588" s="117" t="str">
        <f>+'Ingredient List - Mother Tinctu'!D589</f>
        <v>Cascarilla</v>
      </c>
      <c r="AB588" s="117">
        <f t="shared" si="12"/>
        <v>0</v>
      </c>
      <c r="AC588" s="117" t="str">
        <f>IF(AB588=1,COUNTIF($AB$3:AB588,1),"")</f>
        <v/>
      </c>
      <c r="AD588" s="117" t="str">
        <f>IFERROR(INDEX($AA$3:$AA$10000,MATCH(ROWS($AC$3:AC588),$AC$3:$AC$10000,0)),"")</f>
        <v/>
      </c>
      <c r="AE588" s="117" t="str">
        <f>+'Packing Material - Cost'!A589</f>
        <v/>
      </c>
    </row>
    <row r="589" spans="27:31">
      <c r="AA589" s="117" t="str">
        <f>+'Ingredient List - Mother Tinctu'!D590</f>
        <v>Cassia Soph.</v>
      </c>
      <c r="AB589" s="117">
        <f t="shared" si="12"/>
        <v>0</v>
      </c>
      <c r="AC589" s="117" t="str">
        <f>IF(AB589=1,COUNTIF($AB$3:AB589,1),"")</f>
        <v/>
      </c>
      <c r="AD589" s="117" t="str">
        <f>IFERROR(INDEX($AA$3:$AA$10000,MATCH(ROWS($AC$3:AC589),$AC$3:$AC$10000,0)),"")</f>
        <v/>
      </c>
      <c r="AE589" s="117" t="str">
        <f>+'Packing Material - Cost'!A590</f>
        <v/>
      </c>
    </row>
    <row r="590" spans="27:31">
      <c r="AA590" s="117" t="str">
        <f>+'Ingredient List - Mother Tinctu'!D591</f>
        <v>Castella Tex (Chaparro A)</v>
      </c>
      <c r="AB590" s="117">
        <f t="shared" si="12"/>
        <v>0</v>
      </c>
      <c r="AC590" s="117" t="str">
        <f>IF(AB590=1,COUNTIF($AB$3:AB590,1),"")</f>
        <v/>
      </c>
      <c r="AD590" s="117" t="str">
        <f>IFERROR(INDEX($AA$3:$AA$10000,MATCH(ROWS($AC$3:AC590),$AC$3:$AC$10000,0)),"")</f>
        <v/>
      </c>
      <c r="AE590" s="117" t="str">
        <f>+'Packing Material - Cost'!A591</f>
        <v/>
      </c>
    </row>
    <row r="591" spans="27:31">
      <c r="AA591" s="117" t="str">
        <f>+'Ingredient List - Mother Tinctu'!D592</f>
        <v>Castor Equi</v>
      </c>
      <c r="AB591" s="117">
        <f t="shared" si="12"/>
        <v>0</v>
      </c>
      <c r="AC591" s="117" t="str">
        <f>IF(AB591=1,COUNTIF($AB$3:AB591,1),"")</f>
        <v/>
      </c>
      <c r="AD591" s="117" t="str">
        <f>IFERROR(INDEX($AA$3:$AA$10000,MATCH(ROWS($AC$3:AC591),$AC$3:$AC$10000,0)),"")</f>
        <v/>
      </c>
      <c r="AE591" s="117" t="str">
        <f>+'Packing Material - Cost'!A592</f>
        <v/>
      </c>
    </row>
    <row r="592" spans="27:31">
      <c r="AA592" s="117" t="str">
        <f>+'Ingredient List - Mother Tinctu'!D593</f>
        <v>Catharanthus  Roseus (Vinca Ros)</v>
      </c>
      <c r="AB592" s="117">
        <f t="shared" si="12"/>
        <v>0</v>
      </c>
      <c r="AC592" s="117" t="str">
        <f>IF(AB592=1,COUNTIF($AB$3:AB592,1),"")</f>
        <v/>
      </c>
      <c r="AD592" s="117" t="str">
        <f>IFERROR(INDEX($AA$3:$AA$10000,MATCH(ROWS($AC$3:AC592),$AC$3:$AC$10000,0)),"")</f>
        <v/>
      </c>
      <c r="AE592" s="117" t="str">
        <f>+'Packing Material - Cost'!A593</f>
        <v/>
      </c>
    </row>
    <row r="593" spans="27:31">
      <c r="AA593" s="117" t="str">
        <f>+'Ingredient List - Mother Tinctu'!D594</f>
        <v>Caulophylum</v>
      </c>
      <c r="AB593" s="117">
        <f t="shared" si="12"/>
        <v>0</v>
      </c>
      <c r="AC593" s="117" t="str">
        <f>IF(AB593=1,COUNTIF($AB$3:AB593,1),"")</f>
        <v/>
      </c>
      <c r="AD593" s="117" t="str">
        <f>IFERROR(INDEX($AA$3:$AA$10000,MATCH(ROWS($AC$3:AC593),$AC$3:$AC$10000,0)),"")</f>
        <v/>
      </c>
      <c r="AE593" s="117" t="str">
        <f>+'Packing Material - Cost'!A594</f>
        <v/>
      </c>
    </row>
    <row r="594" spans="27:31">
      <c r="AA594" s="117" t="str">
        <f>+'Ingredient List - Mother Tinctu'!D595</f>
        <v>Causticum</v>
      </c>
      <c r="AB594" s="117">
        <f t="shared" si="12"/>
        <v>0</v>
      </c>
      <c r="AC594" s="117" t="str">
        <f>IF(AB594=1,COUNTIF($AB$3:AB594,1),"")</f>
        <v/>
      </c>
      <c r="AD594" s="117" t="str">
        <f>IFERROR(INDEX($AA$3:$AA$10000,MATCH(ROWS($AC$3:AC594),$AC$3:$AC$10000,0)),"")</f>
        <v/>
      </c>
      <c r="AE594" s="117" t="str">
        <f>+'Packing Material - Cost'!A595</f>
        <v/>
      </c>
    </row>
    <row r="595" spans="27:31">
      <c r="AA595" s="117" t="str">
        <f>+'Ingredient List - Mother Tinctu'!D596</f>
        <v>Ceanothus Amer.</v>
      </c>
      <c r="AB595" s="117">
        <f t="shared" si="12"/>
        <v>0</v>
      </c>
      <c r="AC595" s="117" t="str">
        <f>IF(AB595=1,COUNTIF($AB$3:AB595,1),"")</f>
        <v/>
      </c>
      <c r="AD595" s="117" t="str">
        <f>IFERROR(INDEX($AA$3:$AA$10000,MATCH(ROWS($AC$3:AC595),$AC$3:$AC$10000,0)),"")</f>
        <v/>
      </c>
      <c r="AE595" s="117" t="str">
        <f>+'Packing Material - Cost'!A596</f>
        <v/>
      </c>
    </row>
    <row r="596" spans="27:31">
      <c r="AA596" s="117" t="str">
        <f>+'Ingredient List - Mother Tinctu'!D597</f>
        <v>Cedron.</v>
      </c>
      <c r="AB596" s="117">
        <f t="shared" si="12"/>
        <v>0</v>
      </c>
      <c r="AC596" s="117" t="str">
        <f>IF(AB596=1,COUNTIF($AB$3:AB596,1),"")</f>
        <v/>
      </c>
      <c r="AD596" s="117" t="str">
        <f>IFERROR(INDEX($AA$3:$AA$10000,MATCH(ROWS($AC$3:AC596),$AC$3:$AC$10000,0)),"")</f>
        <v/>
      </c>
      <c r="AE596" s="117" t="str">
        <f>+'Packing Material - Cost'!A597</f>
        <v/>
      </c>
    </row>
    <row r="597" spans="27:31">
      <c r="AA597" s="117" t="str">
        <f>+'Ingredient List - Mother Tinctu'!D598</f>
        <v>Cenchris</v>
      </c>
      <c r="AB597" s="117">
        <f t="shared" si="12"/>
        <v>0</v>
      </c>
      <c r="AC597" s="117" t="str">
        <f>IF(AB597=1,COUNTIF($AB$3:AB597,1),"")</f>
        <v/>
      </c>
      <c r="AD597" s="117" t="str">
        <f>IFERROR(INDEX($AA$3:$AA$10000,MATCH(ROWS($AC$3:AC597),$AC$3:$AC$10000,0)),"")</f>
        <v/>
      </c>
      <c r="AE597" s="117" t="str">
        <f>+'Packing Material - Cost'!A598</f>
        <v/>
      </c>
    </row>
    <row r="598" spans="27:31">
      <c r="AA598" s="117" t="str">
        <f>+'Ingredient List - Mother Tinctu'!D599</f>
        <v>Cephalandra Ind.</v>
      </c>
      <c r="AB598" s="117">
        <f t="shared" si="12"/>
        <v>0</v>
      </c>
      <c r="AC598" s="117" t="str">
        <f>IF(AB598=1,COUNTIF($AB$3:AB598,1),"")</f>
        <v/>
      </c>
      <c r="AD598" s="117" t="str">
        <f>IFERROR(INDEX($AA$3:$AA$10000,MATCH(ROWS($AC$3:AC598),$AC$3:$AC$10000,0)),"")</f>
        <v/>
      </c>
      <c r="AE598" s="117" t="str">
        <f>+'Packing Material - Cost'!A599</f>
        <v/>
      </c>
    </row>
    <row r="599" spans="27:31">
      <c r="AA599" s="117" t="str">
        <f>+'Ingredient List - Mother Tinctu'!D600</f>
        <v>Chamomilla</v>
      </c>
      <c r="AB599" s="117">
        <f t="shared" si="12"/>
        <v>0</v>
      </c>
      <c r="AC599" s="117" t="str">
        <f>IF(AB599=1,COUNTIF($AB$3:AB599,1),"")</f>
        <v/>
      </c>
      <c r="AD599" s="117" t="str">
        <f>IFERROR(INDEX($AA$3:$AA$10000,MATCH(ROWS($AC$3:AC599),$AC$3:$AC$10000,0)),"")</f>
        <v/>
      </c>
      <c r="AE599" s="117" t="str">
        <f>+'Packing Material - Cost'!A600</f>
        <v/>
      </c>
    </row>
    <row r="600" spans="27:31">
      <c r="AA600" s="117" t="str">
        <f>+'Ingredient List - Mother Tinctu'!D601</f>
        <v>Chaparro Amar (Castella T)</v>
      </c>
      <c r="AB600" s="117">
        <f t="shared" si="12"/>
        <v>0</v>
      </c>
      <c r="AC600" s="117" t="str">
        <f>IF(AB600=1,COUNTIF($AB$3:AB600,1),"")</f>
        <v/>
      </c>
      <c r="AD600" s="117" t="str">
        <f>IFERROR(INDEX($AA$3:$AA$10000,MATCH(ROWS($AC$3:AC600),$AC$3:$AC$10000,0)),"")</f>
        <v/>
      </c>
      <c r="AE600" s="117" t="str">
        <f>+'Packing Material - Cost'!A601</f>
        <v/>
      </c>
    </row>
    <row r="601" spans="27:31">
      <c r="AA601" s="117" t="str">
        <f>+'Ingredient List - Mother Tinctu'!D602</f>
        <v>Chelidonium Maj</v>
      </c>
      <c r="AB601" s="117">
        <f t="shared" si="12"/>
        <v>0</v>
      </c>
      <c r="AC601" s="117" t="str">
        <f>IF(AB601=1,COUNTIF($AB$3:AB601,1),"")</f>
        <v/>
      </c>
      <c r="AD601" s="117" t="str">
        <f>IFERROR(INDEX($AA$3:$AA$10000,MATCH(ROWS($AC$3:AC601),$AC$3:$AC$10000,0)),"")</f>
        <v/>
      </c>
      <c r="AE601" s="117" t="str">
        <f>+'Packing Material - Cost'!A602</f>
        <v/>
      </c>
    </row>
    <row r="602" spans="27:31">
      <c r="AA602" s="117" t="str">
        <f>+'Ingredient List - Mother Tinctu'!D603</f>
        <v>Chelone Glab.</v>
      </c>
      <c r="AB602" s="117">
        <f t="shared" si="12"/>
        <v>0</v>
      </c>
      <c r="AC602" s="117" t="str">
        <f>IF(AB602=1,COUNTIF($AB$3:AB602,1),"")</f>
        <v/>
      </c>
      <c r="AD602" s="117" t="str">
        <f>IFERROR(INDEX($AA$3:$AA$10000,MATCH(ROWS($AC$3:AC602),$AC$3:$AC$10000,0)),"")</f>
        <v/>
      </c>
      <c r="AE602" s="117" t="str">
        <f>+'Packing Material - Cost'!A603</f>
        <v/>
      </c>
    </row>
    <row r="603" spans="27:31">
      <c r="AA603" s="117" t="str">
        <f>+'Ingredient List - Mother Tinctu'!D604</f>
        <v>Chenopod Anth</v>
      </c>
      <c r="AB603" s="117">
        <f t="shared" si="12"/>
        <v>0</v>
      </c>
      <c r="AC603" s="117" t="str">
        <f>IF(AB603=1,COUNTIF($AB$3:AB603,1),"")</f>
        <v/>
      </c>
      <c r="AD603" s="117" t="str">
        <f>IFERROR(INDEX($AA$3:$AA$10000,MATCH(ROWS($AC$3:AC603),$AC$3:$AC$10000,0)),"")</f>
        <v/>
      </c>
      <c r="AE603" s="117" t="str">
        <f>+'Packing Material - Cost'!A604</f>
        <v/>
      </c>
    </row>
    <row r="604" spans="27:31">
      <c r="AA604" s="117" t="str">
        <f>+'Ingredient List - Mother Tinctu'!D605</f>
        <v>Cherianthus</v>
      </c>
      <c r="AB604" s="117">
        <f t="shared" si="12"/>
        <v>0</v>
      </c>
      <c r="AC604" s="117" t="str">
        <f>IF(AB604=1,COUNTIF($AB$3:AB604,1),"")</f>
        <v/>
      </c>
      <c r="AD604" s="117" t="str">
        <f>IFERROR(INDEX($AA$3:$AA$10000,MATCH(ROWS($AC$3:AC604),$AC$3:$AC$10000,0)),"")</f>
        <v/>
      </c>
      <c r="AE604" s="117" t="str">
        <f>+'Packing Material - Cost'!A605</f>
        <v/>
      </c>
    </row>
    <row r="605" spans="27:31">
      <c r="AA605" s="117" t="str">
        <f>+'Ingredient List - Mother Tinctu'!D606</f>
        <v>Chimaphila Mac.</v>
      </c>
      <c r="AB605" s="117">
        <f t="shared" si="12"/>
        <v>0</v>
      </c>
      <c r="AC605" s="117" t="str">
        <f>IF(AB605=1,COUNTIF($AB$3:AB605,1),"")</f>
        <v/>
      </c>
      <c r="AD605" s="117" t="str">
        <f>IFERROR(INDEX($AA$3:$AA$10000,MATCH(ROWS($AC$3:AC605),$AC$3:$AC$10000,0)),"")</f>
        <v/>
      </c>
      <c r="AE605" s="117" t="str">
        <f>+'Packing Material - Cost'!A606</f>
        <v/>
      </c>
    </row>
    <row r="606" spans="27:31">
      <c r="AA606" s="117" t="str">
        <f>+'Ingredient List - Mother Tinctu'!D607</f>
        <v>Chimaphila Umb.</v>
      </c>
      <c r="AB606" s="117">
        <f t="shared" si="12"/>
        <v>0</v>
      </c>
      <c r="AC606" s="117" t="str">
        <f>IF(AB606=1,COUNTIF($AB$3:AB606,1),"")</f>
        <v/>
      </c>
      <c r="AD606" s="117" t="str">
        <f>IFERROR(INDEX($AA$3:$AA$10000,MATCH(ROWS($AC$3:AC606),$AC$3:$AC$10000,0)),"")</f>
        <v/>
      </c>
      <c r="AE606" s="117" t="str">
        <f>+'Packing Material - Cost'!A607</f>
        <v/>
      </c>
    </row>
    <row r="607" spans="27:31">
      <c r="AA607" s="117" t="str">
        <f>+'Ingredient List - Mother Tinctu'!D608</f>
        <v>China Off. (Cinchona Off.)</v>
      </c>
      <c r="AB607" s="117">
        <f t="shared" si="12"/>
        <v>0</v>
      </c>
      <c r="AC607" s="117" t="str">
        <f>IF(AB607=1,COUNTIF($AB$3:AB607,1),"")</f>
        <v/>
      </c>
      <c r="AD607" s="117" t="str">
        <f>IFERROR(INDEX($AA$3:$AA$10000,MATCH(ROWS($AC$3:AC607),$AC$3:$AC$10000,0)),"")</f>
        <v/>
      </c>
      <c r="AE607" s="117" t="str">
        <f>+'Packing Material - Cost'!A608</f>
        <v/>
      </c>
    </row>
    <row r="608" spans="27:31">
      <c r="AA608" s="117" t="str">
        <f>+'Ingredient List - Mother Tinctu'!D609</f>
        <v>Chininum Ars.</v>
      </c>
      <c r="AB608" s="117">
        <f t="shared" si="12"/>
        <v>0</v>
      </c>
      <c r="AC608" s="117" t="str">
        <f>IF(AB608=1,COUNTIF($AB$3:AB608,1),"")</f>
        <v/>
      </c>
      <c r="AD608" s="117" t="str">
        <f>IFERROR(INDEX($AA$3:$AA$10000,MATCH(ROWS($AC$3:AC608),$AC$3:$AC$10000,0)),"")</f>
        <v/>
      </c>
      <c r="AE608" s="117" t="str">
        <f>+'Packing Material - Cost'!A609</f>
        <v/>
      </c>
    </row>
    <row r="609" spans="27:31">
      <c r="AA609" s="117" t="str">
        <f>+'Ingredient List - Mother Tinctu'!D610</f>
        <v>Chininum Mur.</v>
      </c>
      <c r="AB609" s="117">
        <f t="shared" si="12"/>
        <v>0</v>
      </c>
      <c r="AC609" s="117" t="str">
        <f>IF(AB609=1,COUNTIF($AB$3:AB609,1),"")</f>
        <v/>
      </c>
      <c r="AD609" s="117" t="str">
        <f>IFERROR(INDEX($AA$3:$AA$10000,MATCH(ROWS($AC$3:AC609),$AC$3:$AC$10000,0)),"")</f>
        <v/>
      </c>
      <c r="AE609" s="117" t="str">
        <f>+'Packing Material - Cost'!A610</f>
        <v/>
      </c>
    </row>
    <row r="610" spans="27:31">
      <c r="AA610" s="117" t="str">
        <f>+'Ingredient List - Mother Tinctu'!D611</f>
        <v>Chininum Ph.</v>
      </c>
      <c r="AB610" s="117">
        <f t="shared" si="12"/>
        <v>0</v>
      </c>
      <c r="AC610" s="117" t="str">
        <f>IF(AB610=1,COUNTIF($AB$3:AB610,1),"")</f>
        <v/>
      </c>
      <c r="AD610" s="117" t="str">
        <f>IFERROR(INDEX($AA$3:$AA$10000,MATCH(ROWS($AC$3:AC610),$AC$3:$AC$10000,0)),"")</f>
        <v/>
      </c>
      <c r="AE610" s="117" t="str">
        <f>+'Packing Material - Cost'!A611</f>
        <v/>
      </c>
    </row>
    <row r="611" spans="27:31">
      <c r="AA611" s="117" t="str">
        <f>+'Ingredient List - Mother Tinctu'!D612</f>
        <v>Chininuum Sulph.</v>
      </c>
      <c r="AB611" s="117">
        <f t="shared" si="12"/>
        <v>0</v>
      </c>
      <c r="AC611" s="117" t="str">
        <f>IF(AB611=1,COUNTIF($AB$3:AB611,1),"")</f>
        <v/>
      </c>
      <c r="AD611" s="117" t="str">
        <f>IFERROR(INDEX($AA$3:$AA$10000,MATCH(ROWS($AC$3:AC611),$AC$3:$AC$10000,0)),"")</f>
        <v/>
      </c>
      <c r="AE611" s="117" t="str">
        <f>+'Packing Material - Cost'!A612</f>
        <v/>
      </c>
    </row>
    <row r="612" spans="27:31">
      <c r="AA612" s="117" t="str">
        <f>+'Ingredient List - Mother Tinctu'!D613</f>
        <v>Chionanthus Virg.</v>
      </c>
      <c r="AB612" s="117">
        <f t="shared" si="12"/>
        <v>0</v>
      </c>
      <c r="AC612" s="117" t="str">
        <f>IF(AB612=1,COUNTIF($AB$3:AB612,1),"")</f>
        <v/>
      </c>
      <c r="AD612" s="117" t="str">
        <f>IFERROR(INDEX($AA$3:$AA$10000,MATCH(ROWS($AC$3:AC612),$AC$3:$AC$10000,0)),"")</f>
        <v/>
      </c>
      <c r="AE612" s="117" t="str">
        <f>+'Packing Material - Cost'!A613</f>
        <v/>
      </c>
    </row>
    <row r="613" spans="27:31">
      <c r="AA613" s="117" t="str">
        <f>+'Ingredient List - Mother Tinctu'!D614</f>
        <v>Chloralum</v>
      </c>
      <c r="AB613" s="117">
        <f t="shared" si="12"/>
        <v>0</v>
      </c>
      <c r="AC613" s="117" t="str">
        <f>IF(AB613=1,COUNTIF($AB$3:AB613,1),"")</f>
        <v/>
      </c>
      <c r="AD613" s="117" t="str">
        <f>IFERROR(INDEX($AA$3:$AA$10000,MATCH(ROWS($AC$3:AC613),$AC$3:$AC$10000,0)),"")</f>
        <v/>
      </c>
      <c r="AE613" s="117" t="str">
        <f>+'Packing Material - Cost'!A614</f>
        <v/>
      </c>
    </row>
    <row r="614" spans="27:31">
      <c r="AA614" s="117" t="str">
        <f>+'Ingredient List - Mother Tinctu'!D615</f>
        <v>Chloroform</v>
      </c>
      <c r="AB614" s="117">
        <f t="shared" si="12"/>
        <v>0</v>
      </c>
      <c r="AC614" s="117" t="str">
        <f>IF(AB614=1,COUNTIF($AB$3:AB614,1),"")</f>
        <v/>
      </c>
      <c r="AD614" s="117" t="str">
        <f>IFERROR(INDEX($AA$3:$AA$10000,MATCH(ROWS($AC$3:AC614),$AC$3:$AC$10000,0)),"")</f>
        <v/>
      </c>
      <c r="AE614" s="117" t="str">
        <f>+'Packing Material - Cost'!A615</f>
        <v/>
      </c>
    </row>
    <row r="615" spans="27:31">
      <c r="AA615" s="117" t="str">
        <f>+'Ingredient List - Mother Tinctu'!D616</f>
        <v>Chlorum</v>
      </c>
      <c r="AB615" s="117">
        <f t="shared" si="12"/>
        <v>0</v>
      </c>
      <c r="AC615" s="117" t="str">
        <f>IF(AB615=1,COUNTIF($AB$3:AB615,1),"")</f>
        <v/>
      </c>
      <c r="AD615" s="117" t="str">
        <f>IFERROR(INDEX($AA$3:$AA$10000,MATCH(ROWS($AC$3:AC615),$AC$3:$AC$10000,0)),"")</f>
        <v/>
      </c>
      <c r="AE615" s="117" t="str">
        <f>+'Packing Material - Cost'!A616</f>
        <v/>
      </c>
    </row>
    <row r="616" spans="27:31">
      <c r="AA616" s="117" t="str">
        <f>+'Ingredient List - Mother Tinctu'!D617</f>
        <v>Cholesterinum</v>
      </c>
      <c r="AB616" s="117">
        <f t="shared" si="12"/>
        <v>0</v>
      </c>
      <c r="AC616" s="117" t="str">
        <f>IF(AB616=1,COUNTIF($AB$3:AB616,1),"")</f>
        <v/>
      </c>
      <c r="AD616" s="117" t="str">
        <f>IFERROR(INDEX($AA$3:$AA$10000,MATCH(ROWS($AC$3:AC616),$AC$3:$AC$10000,0)),"")</f>
        <v/>
      </c>
      <c r="AE616" s="117" t="str">
        <f>+'Packing Material - Cost'!A617</f>
        <v/>
      </c>
    </row>
    <row r="617" spans="27:31">
      <c r="AA617" s="117" t="str">
        <f>+'Ingredient List - Mother Tinctu'!D618</f>
        <v>Chromium Sulph.</v>
      </c>
      <c r="AB617" s="117">
        <f t="shared" si="12"/>
        <v>0</v>
      </c>
      <c r="AC617" s="117" t="str">
        <f>IF(AB617=1,COUNTIF($AB$3:AB617,1),"")</f>
        <v/>
      </c>
      <c r="AD617" s="117" t="str">
        <f>IFERROR(INDEX($AA$3:$AA$10000,MATCH(ROWS($AC$3:AC617),$AC$3:$AC$10000,0)),"")</f>
        <v/>
      </c>
      <c r="AE617" s="117" t="str">
        <f>+'Packing Material - Cost'!A618</f>
        <v/>
      </c>
    </row>
    <row r="618" spans="27:31">
      <c r="AA618" s="117" t="str">
        <f>+'Ingredient List - Mother Tinctu'!D619</f>
        <v>Chrysarobinum</v>
      </c>
      <c r="AB618" s="117">
        <f t="shared" si="12"/>
        <v>0</v>
      </c>
      <c r="AC618" s="117" t="str">
        <f>IF(AB618=1,COUNTIF($AB$3:AB618,1),"")</f>
        <v/>
      </c>
      <c r="AD618" s="117" t="str">
        <f>IFERROR(INDEX($AA$3:$AA$10000,MATCH(ROWS($AC$3:AC618),$AC$3:$AC$10000,0)),"")</f>
        <v/>
      </c>
      <c r="AE618" s="117" t="str">
        <f>+'Packing Material - Cost'!A619</f>
        <v/>
      </c>
    </row>
    <row r="619" spans="27:31">
      <c r="AA619" s="117" t="str">
        <f>+'Ingredient List - Mother Tinctu'!D620</f>
        <v>Cicuta Mac.</v>
      </c>
      <c r="AB619" s="117">
        <f t="shared" si="12"/>
        <v>0</v>
      </c>
      <c r="AC619" s="117" t="str">
        <f>IF(AB619=1,COUNTIF($AB$3:AB619,1),"")</f>
        <v/>
      </c>
      <c r="AD619" s="117" t="str">
        <f>IFERROR(INDEX($AA$3:$AA$10000,MATCH(ROWS($AC$3:AC619),$AC$3:$AC$10000,0)),"")</f>
        <v/>
      </c>
      <c r="AE619" s="117" t="str">
        <f>+'Packing Material - Cost'!A620</f>
        <v/>
      </c>
    </row>
    <row r="620" spans="27:31">
      <c r="AA620" s="117" t="str">
        <f>+'Ingredient List - Mother Tinctu'!D621</f>
        <v>Cicuta Virosa.</v>
      </c>
      <c r="AB620" s="117">
        <f t="shared" si="12"/>
        <v>0</v>
      </c>
      <c r="AC620" s="117" t="str">
        <f>IF(AB620=1,COUNTIF($AB$3:AB620,1),"")</f>
        <v/>
      </c>
      <c r="AD620" s="117" t="str">
        <f>IFERROR(INDEX($AA$3:$AA$10000,MATCH(ROWS($AC$3:AC620),$AC$3:$AC$10000,0)),"")</f>
        <v/>
      </c>
      <c r="AE620" s="117" t="str">
        <f>+'Packing Material - Cost'!A621</f>
        <v/>
      </c>
    </row>
    <row r="621" spans="27:31">
      <c r="AA621" s="117" t="str">
        <f>+'Ingredient List - Mother Tinctu'!D622</f>
        <v>Cimex</v>
      </c>
      <c r="AB621" s="117">
        <f t="shared" si="12"/>
        <v>0</v>
      </c>
      <c r="AC621" s="117" t="str">
        <f>IF(AB621=1,COUNTIF($AB$3:AB621,1),"")</f>
        <v/>
      </c>
      <c r="AD621" s="117" t="str">
        <f>IFERROR(INDEX($AA$3:$AA$10000,MATCH(ROWS($AC$3:AC621),$AC$3:$AC$10000,0)),"")</f>
        <v/>
      </c>
      <c r="AE621" s="117" t="str">
        <f>+'Packing Material - Cost'!A622</f>
        <v/>
      </c>
    </row>
    <row r="622" spans="27:31">
      <c r="AA622" s="117" t="str">
        <f>+'Ingredient List - Mother Tinctu'!D623</f>
        <v>Cina</v>
      </c>
      <c r="AB622" s="117">
        <f t="shared" si="12"/>
        <v>0</v>
      </c>
      <c r="AC622" s="117" t="str">
        <f>IF(AB622=1,COUNTIF($AB$3:AB622,1),"")</f>
        <v/>
      </c>
      <c r="AD622" s="117" t="str">
        <f>IFERROR(INDEX($AA$3:$AA$10000,MATCH(ROWS($AC$3:AC622),$AC$3:$AC$10000,0)),"")</f>
        <v/>
      </c>
      <c r="AE622" s="117" t="str">
        <f>+'Packing Material - Cost'!A623</f>
        <v/>
      </c>
    </row>
    <row r="623" spans="27:31">
      <c r="AA623" s="117" t="str">
        <f>+'Ingredient List - Mother Tinctu'!D624</f>
        <v>Cineraria Mar</v>
      </c>
      <c r="AB623" s="117">
        <f t="shared" si="12"/>
        <v>0</v>
      </c>
      <c r="AC623" s="117" t="str">
        <f>IF(AB623=1,COUNTIF($AB$3:AB623,1),"")</f>
        <v/>
      </c>
      <c r="AD623" s="117" t="str">
        <f>IFERROR(INDEX($AA$3:$AA$10000,MATCH(ROWS($AC$3:AC623),$AC$3:$AC$10000,0)),"")</f>
        <v/>
      </c>
      <c r="AE623" s="117" t="str">
        <f>+'Packing Material - Cost'!A624</f>
        <v/>
      </c>
    </row>
    <row r="624" spans="27:31">
      <c r="AA624" s="117" t="str">
        <f>+'Ingredient List - Mother Tinctu'!D625</f>
        <v>Cinnabaris</v>
      </c>
      <c r="AB624" s="117">
        <f t="shared" si="12"/>
        <v>0</v>
      </c>
      <c r="AC624" s="117" t="str">
        <f>IF(AB624=1,COUNTIF($AB$3:AB624,1),"")</f>
        <v/>
      </c>
      <c r="AD624" s="117" t="str">
        <f>IFERROR(INDEX($AA$3:$AA$10000,MATCH(ROWS($AC$3:AC624),$AC$3:$AC$10000,0)),"")</f>
        <v/>
      </c>
      <c r="AE624" s="117" t="str">
        <f>+'Packing Material - Cost'!A625</f>
        <v/>
      </c>
    </row>
    <row r="625" spans="27:31">
      <c r="AA625" s="117" t="str">
        <f>+'Ingredient List - Mother Tinctu'!D626</f>
        <v>Cinnamonum</v>
      </c>
      <c r="AB625" s="117">
        <f t="shared" si="12"/>
        <v>0</v>
      </c>
      <c r="AC625" s="117" t="str">
        <f>IF(AB625=1,COUNTIF($AB$3:AB625,1),"")</f>
        <v/>
      </c>
      <c r="AD625" s="117" t="str">
        <f>IFERROR(INDEX($AA$3:$AA$10000,MATCH(ROWS($AC$3:AC625),$AC$3:$AC$10000,0)),"")</f>
        <v/>
      </c>
      <c r="AE625" s="117" t="str">
        <f>+'Packing Material - Cost'!A626</f>
        <v/>
      </c>
    </row>
    <row r="626" spans="27:31">
      <c r="AA626" s="117" t="str">
        <f>+'Ingredient List - Mother Tinctu'!D627</f>
        <v>Cistus Can.</v>
      </c>
      <c r="AB626" s="117">
        <f t="shared" si="12"/>
        <v>0</v>
      </c>
      <c r="AC626" s="117" t="str">
        <f>IF(AB626=1,COUNTIF($AB$3:AB626,1),"")</f>
        <v/>
      </c>
      <c r="AD626" s="117" t="str">
        <f>IFERROR(INDEX($AA$3:$AA$10000,MATCH(ROWS($AC$3:AC626),$AC$3:$AC$10000,0)),"")</f>
        <v/>
      </c>
      <c r="AE626" s="117" t="str">
        <f>+'Packing Material - Cost'!A627</f>
        <v/>
      </c>
    </row>
    <row r="627" spans="27:31">
      <c r="AA627" s="117" t="str">
        <f>+'Ingredient List - Mother Tinctu'!D628</f>
        <v>Citrus Vulg.</v>
      </c>
      <c r="AB627" s="117">
        <f t="shared" si="12"/>
        <v>0</v>
      </c>
      <c r="AC627" s="117" t="str">
        <f>IF(AB627=1,COUNTIF($AB$3:AB627,1),"")</f>
        <v/>
      </c>
      <c r="AD627" s="117" t="str">
        <f>IFERROR(INDEX($AA$3:$AA$10000,MATCH(ROWS($AC$3:AC627),$AC$3:$AC$10000,0)),"")</f>
        <v/>
      </c>
      <c r="AE627" s="117" t="str">
        <f>+'Packing Material - Cost'!A628</f>
        <v/>
      </c>
    </row>
    <row r="628" spans="27:31">
      <c r="AA628" s="117" t="str">
        <f>+'Ingredient List - Mother Tinctu'!D629</f>
        <v>Clematis Erect.</v>
      </c>
      <c r="AB628" s="117">
        <f t="shared" si="12"/>
        <v>0</v>
      </c>
      <c r="AC628" s="117" t="str">
        <f>IF(AB628=1,COUNTIF($AB$3:AB628,1),"")</f>
        <v/>
      </c>
      <c r="AD628" s="117" t="str">
        <f>IFERROR(INDEX($AA$3:$AA$10000,MATCH(ROWS($AC$3:AC628),$AC$3:$AC$10000,0)),"")</f>
        <v/>
      </c>
      <c r="AE628" s="117" t="str">
        <f>+'Packing Material - Cost'!A629</f>
        <v/>
      </c>
    </row>
    <row r="629" spans="27:31">
      <c r="AA629" s="117" t="str">
        <f>+'Ingredient List - Mother Tinctu'!D630</f>
        <v>Cobaltum Met.</v>
      </c>
      <c r="AB629" s="117">
        <f t="shared" si="12"/>
        <v>0</v>
      </c>
      <c r="AC629" s="117" t="str">
        <f>IF(AB629=1,COUNTIF($AB$3:AB629,1),"")</f>
        <v/>
      </c>
      <c r="AD629" s="117" t="str">
        <f>IFERROR(INDEX($AA$3:$AA$10000,MATCH(ROWS($AC$3:AC629),$AC$3:$AC$10000,0)),"")</f>
        <v/>
      </c>
      <c r="AE629" s="117" t="str">
        <f>+'Packing Material - Cost'!A630</f>
        <v/>
      </c>
    </row>
    <row r="630" spans="27:31">
      <c r="AA630" s="117" t="str">
        <f>+'Ingredient List - Mother Tinctu'!D631</f>
        <v>Coca</v>
      </c>
      <c r="AB630" s="117">
        <f t="shared" si="12"/>
        <v>0</v>
      </c>
      <c r="AC630" s="117" t="str">
        <f>IF(AB630=1,COUNTIF($AB$3:AB630,1),"")</f>
        <v/>
      </c>
      <c r="AD630" s="117" t="str">
        <f>IFERROR(INDEX($AA$3:$AA$10000,MATCH(ROWS($AC$3:AC630),$AC$3:$AC$10000,0)),"")</f>
        <v/>
      </c>
      <c r="AE630" s="117" t="str">
        <f>+'Packing Material - Cost'!A631</f>
        <v/>
      </c>
    </row>
    <row r="631" spans="27:31">
      <c r="AA631" s="117" t="str">
        <f>+'Ingredient List - Mother Tinctu'!D632</f>
        <v>Cocculus Ind.</v>
      </c>
      <c r="AB631" s="117">
        <f t="shared" si="12"/>
        <v>0</v>
      </c>
      <c r="AC631" s="117" t="str">
        <f>IF(AB631=1,COUNTIF($AB$3:AB631,1),"")</f>
        <v/>
      </c>
      <c r="AD631" s="117" t="str">
        <f>IFERROR(INDEX($AA$3:$AA$10000,MATCH(ROWS($AC$3:AC631),$AC$3:$AC$10000,0)),"")</f>
        <v/>
      </c>
      <c r="AE631" s="117" t="str">
        <f>+'Packing Material - Cost'!A632</f>
        <v/>
      </c>
    </row>
    <row r="632" spans="27:31">
      <c r="AA632" s="117" t="str">
        <f>+'Ingredient List - Mother Tinctu'!D633</f>
        <v>Coccus Cacti.</v>
      </c>
      <c r="AB632" s="117">
        <f t="shared" si="12"/>
        <v>0</v>
      </c>
      <c r="AC632" s="117" t="str">
        <f>IF(AB632=1,COUNTIF($AB$3:AB632,1),"")</f>
        <v/>
      </c>
      <c r="AD632" s="117" t="str">
        <f>IFERROR(INDEX($AA$3:$AA$10000,MATCH(ROWS($AC$3:AC632),$AC$3:$AC$10000,0)),"")</f>
        <v/>
      </c>
      <c r="AE632" s="117" t="str">
        <f>+'Packing Material - Cost'!A633</f>
        <v/>
      </c>
    </row>
    <row r="633" spans="27:31">
      <c r="AA633" s="117" t="str">
        <f>+'Ingredient List - Mother Tinctu'!D634</f>
        <v>Cochlearia</v>
      </c>
      <c r="AB633" s="117">
        <f t="shared" si="12"/>
        <v>0</v>
      </c>
      <c r="AC633" s="117" t="str">
        <f>IF(AB633=1,COUNTIF($AB$3:AB633,1),"")</f>
        <v/>
      </c>
      <c r="AD633" s="117" t="str">
        <f>IFERROR(INDEX($AA$3:$AA$10000,MATCH(ROWS($AC$3:AC633),$AC$3:$AC$10000,0)),"")</f>
        <v/>
      </c>
      <c r="AE633" s="117" t="str">
        <f>+'Packing Material - Cost'!A634</f>
        <v/>
      </c>
    </row>
    <row r="634" spans="27:31">
      <c r="AA634" s="117" t="str">
        <f>+'Ingredient List - Mother Tinctu'!D635</f>
        <v>Codeinum</v>
      </c>
      <c r="AB634" s="117">
        <f t="shared" si="12"/>
        <v>0</v>
      </c>
      <c r="AC634" s="117" t="str">
        <f>IF(AB634=1,COUNTIF($AB$3:AB634,1),"")</f>
        <v/>
      </c>
      <c r="AD634" s="117" t="str">
        <f>IFERROR(INDEX($AA$3:$AA$10000,MATCH(ROWS($AC$3:AC634),$AC$3:$AC$10000,0)),"")</f>
        <v/>
      </c>
      <c r="AE634" s="117" t="str">
        <f>+'Packing Material - Cost'!A635</f>
        <v/>
      </c>
    </row>
    <row r="635" spans="27:31">
      <c r="AA635" s="117" t="str">
        <f>+'Ingredient List - Mother Tinctu'!D636</f>
        <v>Coffea Crud.</v>
      </c>
      <c r="AB635" s="117">
        <f t="shared" si="12"/>
        <v>0</v>
      </c>
      <c r="AC635" s="117" t="str">
        <f>IF(AB635=1,COUNTIF($AB$3:AB635,1),"")</f>
        <v/>
      </c>
      <c r="AD635" s="117" t="str">
        <f>IFERROR(INDEX($AA$3:$AA$10000,MATCH(ROWS($AC$3:AC635),$AC$3:$AC$10000,0)),"")</f>
        <v/>
      </c>
      <c r="AE635" s="117" t="str">
        <f>+'Packing Material - Cost'!A636</f>
        <v/>
      </c>
    </row>
    <row r="636" spans="27:31">
      <c r="AA636" s="117" t="str">
        <f>+'Ingredient List - Mother Tinctu'!D637</f>
        <v>Colchicum</v>
      </c>
      <c r="AB636" s="117">
        <f t="shared" si="12"/>
        <v>0</v>
      </c>
      <c r="AC636" s="117" t="str">
        <f>IF(AB636=1,COUNTIF($AB$3:AB636,1),"")</f>
        <v/>
      </c>
      <c r="AD636" s="117" t="str">
        <f>IFERROR(INDEX($AA$3:$AA$10000,MATCH(ROWS($AC$3:AC636),$AC$3:$AC$10000,0)),"")</f>
        <v/>
      </c>
      <c r="AE636" s="117" t="str">
        <f>+'Packing Material - Cost'!A637</f>
        <v/>
      </c>
    </row>
    <row r="637" spans="27:31">
      <c r="AA637" s="117" t="str">
        <f>+'Ingredient List - Mother Tinctu'!D638</f>
        <v>Collinsonia</v>
      </c>
      <c r="AB637" s="117">
        <f t="shared" si="12"/>
        <v>0</v>
      </c>
      <c r="AC637" s="117" t="str">
        <f>IF(AB637=1,COUNTIF($AB$3:AB637,1),"")</f>
        <v/>
      </c>
      <c r="AD637" s="117" t="str">
        <f>IFERROR(INDEX($AA$3:$AA$10000,MATCH(ROWS($AC$3:AC637),$AC$3:$AC$10000,0)),"")</f>
        <v/>
      </c>
      <c r="AE637" s="117" t="str">
        <f>+'Packing Material - Cost'!A638</f>
        <v/>
      </c>
    </row>
    <row r="638" spans="27:31">
      <c r="AA638" s="117" t="str">
        <f>+'Ingredient List - Mother Tinctu'!D639</f>
        <v>Colocynthis</v>
      </c>
      <c r="AB638" s="117">
        <f t="shared" si="12"/>
        <v>0</v>
      </c>
      <c r="AC638" s="117" t="str">
        <f>IF(AB638=1,COUNTIF($AB$3:AB638,1),"")</f>
        <v/>
      </c>
      <c r="AD638" s="117" t="str">
        <f>IFERROR(INDEX($AA$3:$AA$10000,MATCH(ROWS($AC$3:AC638),$AC$3:$AC$10000,0)),"")</f>
        <v/>
      </c>
      <c r="AE638" s="117" t="str">
        <f>+'Packing Material - Cost'!A639</f>
        <v/>
      </c>
    </row>
    <row r="639" spans="27:31">
      <c r="AA639" s="117" t="str">
        <f>+'Ingredient List - Mother Tinctu'!D640</f>
        <v>Comoclad. Dent.</v>
      </c>
      <c r="AB639" s="117">
        <f t="shared" si="12"/>
        <v>0</v>
      </c>
      <c r="AC639" s="117" t="str">
        <f>IF(AB639=1,COUNTIF($AB$3:AB639,1),"")</f>
        <v/>
      </c>
      <c r="AD639" s="117" t="str">
        <f>IFERROR(INDEX($AA$3:$AA$10000,MATCH(ROWS($AC$3:AC639),$AC$3:$AC$10000,0)),"")</f>
        <v/>
      </c>
      <c r="AE639" s="117" t="str">
        <f>+'Packing Material - Cost'!A640</f>
        <v/>
      </c>
    </row>
    <row r="640" spans="27:31">
      <c r="AA640" s="117" t="str">
        <f>+'Ingredient List - Mother Tinctu'!D641</f>
        <v>Condurango</v>
      </c>
      <c r="AB640" s="117">
        <f t="shared" si="12"/>
        <v>0</v>
      </c>
      <c r="AC640" s="117" t="str">
        <f>IF(AB640=1,COUNTIF($AB$3:AB640,1),"")</f>
        <v/>
      </c>
      <c r="AD640" s="117" t="str">
        <f>IFERROR(INDEX($AA$3:$AA$10000,MATCH(ROWS($AC$3:AC640),$AC$3:$AC$10000,0)),"")</f>
        <v/>
      </c>
      <c r="AE640" s="117" t="str">
        <f>+'Packing Material - Cost'!A641</f>
        <v/>
      </c>
    </row>
    <row r="641" spans="27:31">
      <c r="AA641" s="117" t="str">
        <f>+'Ingredient List - Mother Tinctu'!D642</f>
        <v>Conium Mac.</v>
      </c>
      <c r="AB641" s="117">
        <f t="shared" si="12"/>
        <v>0</v>
      </c>
      <c r="AC641" s="117" t="str">
        <f>IF(AB641=1,COUNTIF($AB$3:AB641,1),"")</f>
        <v/>
      </c>
      <c r="AD641" s="117" t="str">
        <f>IFERROR(INDEX($AA$3:$AA$10000,MATCH(ROWS($AC$3:AC641),$AC$3:$AC$10000,0)),"")</f>
        <v/>
      </c>
      <c r="AE641" s="117" t="str">
        <f>+'Packing Material - Cost'!A642</f>
        <v/>
      </c>
    </row>
    <row r="642" spans="27:31">
      <c r="AA642" s="117" t="str">
        <f>+'Ingredient List - Mother Tinctu'!D643</f>
        <v>Convallaria M.</v>
      </c>
      <c r="AB642" s="117">
        <f t="shared" si="12"/>
        <v>0</v>
      </c>
      <c r="AC642" s="117" t="str">
        <f>IF(AB642=1,COUNTIF($AB$3:AB642,1),"")</f>
        <v/>
      </c>
      <c r="AD642" s="117" t="str">
        <f>IFERROR(INDEX($AA$3:$AA$10000,MATCH(ROWS($AC$3:AC642),$AC$3:$AC$10000,0)),"")</f>
        <v/>
      </c>
      <c r="AE642" s="117" t="str">
        <f>+'Packing Material - Cost'!A643</f>
        <v/>
      </c>
    </row>
    <row r="643" spans="27:31">
      <c r="AA643" s="117" t="str">
        <f>+'Ingredient List - Mother Tinctu'!D644</f>
        <v>Copaiva Off.</v>
      </c>
      <c r="AB643" s="117">
        <f t="shared" si="12"/>
        <v>0</v>
      </c>
      <c r="AC643" s="117" t="str">
        <f>IF(AB643=1,COUNTIF($AB$3:AB643,1),"")</f>
        <v/>
      </c>
      <c r="AD643" s="117" t="str">
        <f>IFERROR(INDEX($AA$3:$AA$10000,MATCH(ROWS($AC$3:AC643),$AC$3:$AC$10000,0)),"")</f>
        <v/>
      </c>
      <c r="AE643" s="117" t="str">
        <f>+'Packing Material - Cost'!A644</f>
        <v/>
      </c>
    </row>
    <row r="644" spans="27:31">
      <c r="AA644" s="117" t="str">
        <f>+'Ingredient List - Mother Tinctu'!D645</f>
        <v>Corallium Rub.</v>
      </c>
      <c r="AB644" s="117">
        <f t="shared" ref="AB644:AB707" si="13">--ISNUMBER(IFERROR(SEARCH($D$3,AA644,1),""))</f>
        <v>0</v>
      </c>
      <c r="AC644" s="117" t="str">
        <f>IF(AB644=1,COUNTIF($AB$3:AB644,1),"")</f>
        <v/>
      </c>
      <c r="AD644" s="117" t="str">
        <f>IFERROR(INDEX($AA$3:$AA$10000,MATCH(ROWS($AC$3:AC644),$AC$3:$AC$10000,0)),"")</f>
        <v/>
      </c>
      <c r="AE644" s="117" t="str">
        <f>+'Packing Material - Cost'!A645</f>
        <v/>
      </c>
    </row>
    <row r="645" spans="27:31">
      <c r="AA645" s="117" t="str">
        <f>+'Ingredient List - Mother Tinctu'!D646</f>
        <v>Corpus L.</v>
      </c>
      <c r="AB645" s="117">
        <f t="shared" si="13"/>
        <v>0</v>
      </c>
      <c r="AC645" s="117" t="str">
        <f>IF(AB645=1,COUNTIF($AB$3:AB645,1),"")</f>
        <v/>
      </c>
      <c r="AD645" s="117" t="str">
        <f>IFERROR(INDEX($AA$3:$AA$10000,MATCH(ROWS($AC$3:AC645),$AC$3:$AC$10000,0)),"")</f>
        <v/>
      </c>
      <c r="AE645" s="117" t="str">
        <f>+'Packing Material - Cost'!A646</f>
        <v/>
      </c>
    </row>
    <row r="646" spans="27:31">
      <c r="AA646" s="117" t="str">
        <f>+'Ingredient List - Mother Tinctu'!D647</f>
        <v>Coryza</v>
      </c>
      <c r="AB646" s="117">
        <f t="shared" si="13"/>
        <v>0</v>
      </c>
      <c r="AC646" s="117" t="str">
        <f>IF(AB646=1,COUNTIF($AB$3:AB646,1),"")</f>
        <v/>
      </c>
      <c r="AD646" s="117" t="str">
        <f>IFERROR(INDEX($AA$3:$AA$10000,MATCH(ROWS($AC$3:AC646),$AC$3:$AC$10000,0)),"")</f>
        <v/>
      </c>
      <c r="AE646" s="117" t="str">
        <f>+'Packing Material - Cost'!A647</f>
        <v/>
      </c>
    </row>
    <row r="647" spans="27:31">
      <c r="AA647" s="117" t="str">
        <f>+'Ingredient List - Mother Tinctu'!D648</f>
        <v>Cotyledon</v>
      </c>
      <c r="AB647" s="117">
        <f t="shared" si="13"/>
        <v>0</v>
      </c>
      <c r="AC647" s="117" t="str">
        <f>IF(AB647=1,COUNTIF($AB$3:AB647,1),"")</f>
        <v/>
      </c>
      <c r="AD647" s="117" t="str">
        <f>IFERROR(INDEX($AA$3:$AA$10000,MATCH(ROWS($AC$3:AC647),$AC$3:$AC$10000,0)),"")</f>
        <v/>
      </c>
      <c r="AE647" s="117" t="str">
        <f>+'Packing Material - Cost'!A648</f>
        <v/>
      </c>
    </row>
    <row r="648" spans="27:31">
      <c r="AA648" s="117" t="str">
        <f>+'Ingredient List - Mother Tinctu'!D649</f>
        <v>Crataegus Ox.</v>
      </c>
      <c r="AB648" s="117">
        <f t="shared" si="13"/>
        <v>0</v>
      </c>
      <c r="AC648" s="117" t="str">
        <f>IF(AB648=1,COUNTIF($AB$3:AB648,1),"")</f>
        <v/>
      </c>
      <c r="AD648" s="117" t="str">
        <f>IFERROR(INDEX($AA$3:$AA$10000,MATCH(ROWS($AC$3:AC648),$AC$3:$AC$10000,0)),"")</f>
        <v/>
      </c>
      <c r="AE648" s="117" t="str">
        <f>+'Packing Material - Cost'!A649</f>
        <v/>
      </c>
    </row>
    <row r="649" spans="27:31">
      <c r="AA649" s="117" t="str">
        <f>+'Ingredient List - Mother Tinctu'!D650</f>
        <v>Crocus Sat.</v>
      </c>
      <c r="AB649" s="117">
        <f t="shared" si="13"/>
        <v>0</v>
      </c>
      <c r="AC649" s="117" t="str">
        <f>IF(AB649=1,COUNTIF($AB$3:AB649,1),"")</f>
        <v/>
      </c>
      <c r="AD649" s="117" t="str">
        <f>IFERROR(INDEX($AA$3:$AA$10000,MATCH(ROWS($AC$3:AC649),$AC$3:$AC$10000,0)),"")</f>
        <v/>
      </c>
      <c r="AE649" s="117" t="str">
        <f>+'Packing Material - Cost'!A650</f>
        <v/>
      </c>
    </row>
    <row r="650" spans="27:31">
      <c r="AA650" s="117" t="str">
        <f>+'Ingredient List - Mother Tinctu'!D651</f>
        <v>Crotalus Hor.</v>
      </c>
      <c r="AB650" s="117">
        <f t="shared" si="13"/>
        <v>0</v>
      </c>
      <c r="AC650" s="117" t="str">
        <f>IF(AB650=1,COUNTIF($AB$3:AB650,1),"")</f>
        <v/>
      </c>
      <c r="AD650" s="117" t="str">
        <f>IFERROR(INDEX($AA$3:$AA$10000,MATCH(ROWS($AC$3:AC650),$AC$3:$AC$10000,0)),"")</f>
        <v/>
      </c>
      <c r="AE650" s="117" t="str">
        <f>+'Packing Material - Cost'!A651</f>
        <v/>
      </c>
    </row>
    <row r="651" spans="27:31">
      <c r="AA651" s="117" t="str">
        <f>+'Ingredient List - Mother Tinctu'!D652</f>
        <v>Croton Tig.</v>
      </c>
      <c r="AB651" s="117">
        <f t="shared" si="13"/>
        <v>0</v>
      </c>
      <c r="AC651" s="117" t="str">
        <f>IF(AB651=1,COUNTIF($AB$3:AB651,1),"")</f>
        <v/>
      </c>
      <c r="AD651" s="117" t="str">
        <f>IFERROR(INDEX($AA$3:$AA$10000,MATCH(ROWS($AC$3:AC651),$AC$3:$AC$10000,0)),"")</f>
        <v/>
      </c>
      <c r="AE651" s="117" t="str">
        <f>+'Packing Material - Cost'!A652</f>
        <v/>
      </c>
    </row>
    <row r="652" spans="27:31">
      <c r="AA652" s="117" t="str">
        <f>+'Ingredient List - Mother Tinctu'!D653</f>
        <v>Cubeba Off.</v>
      </c>
      <c r="AB652" s="117">
        <f t="shared" si="13"/>
        <v>0</v>
      </c>
      <c r="AC652" s="117" t="str">
        <f>IF(AB652=1,COUNTIF($AB$3:AB652,1),"")</f>
        <v/>
      </c>
      <c r="AD652" s="117" t="str">
        <f>IFERROR(INDEX($AA$3:$AA$10000,MATCH(ROWS($AC$3:AC652),$AC$3:$AC$10000,0)),"")</f>
        <v/>
      </c>
      <c r="AE652" s="117" t="str">
        <f>+'Packing Material - Cost'!A653</f>
        <v/>
      </c>
    </row>
    <row r="653" spans="27:31">
      <c r="AA653" s="117" t="str">
        <f>+'Ingredient List - Mother Tinctu'!D654</f>
        <v>Cucurbita</v>
      </c>
      <c r="AB653" s="117">
        <f t="shared" si="13"/>
        <v>0</v>
      </c>
      <c r="AC653" s="117" t="str">
        <f>IF(AB653=1,COUNTIF($AB$3:AB653,1),"")</f>
        <v/>
      </c>
      <c r="AD653" s="117" t="str">
        <f>IFERROR(INDEX($AA$3:$AA$10000,MATCH(ROWS($AC$3:AC653),$AC$3:$AC$10000,0)),"")</f>
        <v/>
      </c>
      <c r="AE653" s="117" t="str">
        <f>+'Packing Material - Cost'!A654</f>
        <v/>
      </c>
    </row>
    <row r="654" spans="27:31">
      <c r="AA654" s="117" t="str">
        <f>+'Ingredient List - Mother Tinctu'!D655</f>
        <v>Cuprum Ars</v>
      </c>
      <c r="AB654" s="117">
        <f t="shared" si="13"/>
        <v>0</v>
      </c>
      <c r="AC654" s="117" t="str">
        <f>IF(AB654=1,COUNTIF($AB$3:AB654,1),"")</f>
        <v/>
      </c>
      <c r="AD654" s="117" t="str">
        <f>IFERROR(INDEX($AA$3:$AA$10000,MATCH(ROWS($AC$3:AC654),$AC$3:$AC$10000,0)),"")</f>
        <v/>
      </c>
      <c r="AE654" s="117" t="str">
        <f>+'Packing Material - Cost'!A655</f>
        <v/>
      </c>
    </row>
    <row r="655" spans="27:31">
      <c r="AA655" s="117" t="str">
        <f>+'Ingredient List - Mother Tinctu'!D656</f>
        <v>Cuprum Acet.</v>
      </c>
      <c r="AB655" s="117">
        <f t="shared" si="13"/>
        <v>0</v>
      </c>
      <c r="AC655" s="117" t="str">
        <f>IF(AB655=1,COUNTIF($AB$3:AB655,1),"")</f>
        <v/>
      </c>
      <c r="AD655" s="117" t="str">
        <f>IFERROR(INDEX($AA$3:$AA$10000,MATCH(ROWS($AC$3:AC655),$AC$3:$AC$10000,0)),"")</f>
        <v/>
      </c>
      <c r="AE655" s="117" t="str">
        <f>+'Packing Material - Cost'!A656</f>
        <v/>
      </c>
    </row>
    <row r="656" spans="27:31">
      <c r="AA656" s="117" t="str">
        <f>+'Ingredient List - Mother Tinctu'!D657</f>
        <v>Cuprum Met.</v>
      </c>
      <c r="AB656" s="117">
        <f t="shared" si="13"/>
        <v>0</v>
      </c>
      <c r="AC656" s="117" t="str">
        <f>IF(AB656=1,COUNTIF($AB$3:AB656,1),"")</f>
        <v/>
      </c>
      <c r="AD656" s="117" t="str">
        <f>IFERROR(INDEX($AA$3:$AA$10000,MATCH(ROWS($AC$3:AC656),$AC$3:$AC$10000,0)),"")</f>
        <v/>
      </c>
      <c r="AE656" s="117" t="str">
        <f>+'Packing Material - Cost'!A657</f>
        <v/>
      </c>
    </row>
    <row r="657" spans="27:31">
      <c r="AA657" s="117" t="str">
        <f>+'Ingredient List - Mother Tinctu'!D658</f>
        <v>Curare</v>
      </c>
      <c r="AB657" s="117">
        <f t="shared" si="13"/>
        <v>0</v>
      </c>
      <c r="AC657" s="117" t="str">
        <f>IF(AB657=1,COUNTIF($AB$3:AB657,1),"")</f>
        <v/>
      </c>
      <c r="AD657" s="117" t="str">
        <f>IFERROR(INDEX($AA$3:$AA$10000,MATCH(ROWS($AC$3:AC657),$AC$3:$AC$10000,0)),"")</f>
        <v/>
      </c>
      <c r="AE657" s="117" t="str">
        <f>+'Packing Material - Cost'!A658</f>
        <v/>
      </c>
    </row>
    <row r="658" spans="27:31">
      <c r="AA658" s="117" t="str">
        <f>+'Ingredient List - Mother Tinctu'!D659</f>
        <v>Curcuma Longa</v>
      </c>
      <c r="AB658" s="117">
        <f t="shared" si="13"/>
        <v>0</v>
      </c>
      <c r="AC658" s="117" t="str">
        <f>IF(AB658=1,COUNTIF($AB$3:AB658,1),"")</f>
        <v/>
      </c>
      <c r="AD658" s="117" t="str">
        <f>IFERROR(INDEX($AA$3:$AA$10000,MATCH(ROWS($AC$3:AC658),$AC$3:$AC$10000,0)),"")</f>
        <v/>
      </c>
      <c r="AE658" s="117" t="str">
        <f>+'Packing Material - Cost'!A659</f>
        <v/>
      </c>
    </row>
    <row r="659" spans="27:31">
      <c r="AA659" s="117" t="str">
        <f>+'Ingredient List - Mother Tinctu'!D660</f>
        <v>Cyclamen Eu.</v>
      </c>
      <c r="AB659" s="117">
        <f t="shared" si="13"/>
        <v>0</v>
      </c>
      <c r="AC659" s="117" t="str">
        <f>IF(AB659=1,COUNTIF($AB$3:AB659,1),"")</f>
        <v/>
      </c>
      <c r="AD659" s="117" t="str">
        <f>IFERROR(INDEX($AA$3:$AA$10000,MATCH(ROWS($AC$3:AC659),$AC$3:$AC$10000,0)),"")</f>
        <v/>
      </c>
      <c r="AE659" s="117" t="str">
        <f>+'Packing Material - Cost'!A660</f>
        <v/>
      </c>
    </row>
    <row r="660" spans="27:31">
      <c r="AA660" s="117" t="str">
        <f>+'Ingredient List - Mother Tinctu'!D661</f>
        <v>Cynadon Da.</v>
      </c>
      <c r="AB660" s="117">
        <f t="shared" si="13"/>
        <v>0</v>
      </c>
      <c r="AC660" s="117" t="str">
        <f>IF(AB660=1,COUNTIF($AB$3:AB660,1),"")</f>
        <v/>
      </c>
      <c r="AD660" s="117" t="str">
        <f>IFERROR(INDEX($AA$3:$AA$10000,MATCH(ROWS($AC$3:AC660),$AC$3:$AC$10000,0)),"")</f>
        <v/>
      </c>
      <c r="AE660" s="117" t="str">
        <f>+'Packing Material - Cost'!A661</f>
        <v/>
      </c>
    </row>
    <row r="661" spans="27:31">
      <c r="AA661" s="117" t="str">
        <f>+'Ingredient List - Mother Tinctu'!D662</f>
        <v>Daminana (Turnera)</v>
      </c>
      <c r="AB661" s="117">
        <f t="shared" si="13"/>
        <v>0</v>
      </c>
      <c r="AC661" s="117" t="str">
        <f>IF(AB661=1,COUNTIF($AB$3:AB661,1),"")</f>
        <v/>
      </c>
      <c r="AD661" s="117" t="str">
        <f>IFERROR(INDEX($AA$3:$AA$10000,MATCH(ROWS($AC$3:AC661),$AC$3:$AC$10000,0)),"")</f>
        <v/>
      </c>
      <c r="AE661" s="117" t="str">
        <f>+'Packing Material - Cost'!A662</f>
        <v/>
      </c>
    </row>
    <row r="662" spans="27:31">
      <c r="AA662" s="117" t="str">
        <f>+'Ingredient List - Mother Tinctu'!D663</f>
        <v>Daphne Ind.</v>
      </c>
      <c r="AB662" s="117">
        <f t="shared" si="13"/>
        <v>0</v>
      </c>
      <c r="AC662" s="117" t="str">
        <f>IF(AB662=1,COUNTIF($AB$3:AB662,1),"")</f>
        <v/>
      </c>
      <c r="AD662" s="117" t="str">
        <f>IFERROR(INDEX($AA$3:$AA$10000,MATCH(ROWS($AC$3:AC662),$AC$3:$AC$10000,0)),"")</f>
        <v/>
      </c>
      <c r="AE662" s="117" t="str">
        <f>+'Packing Material - Cost'!A663</f>
        <v/>
      </c>
    </row>
    <row r="663" spans="27:31">
      <c r="AA663" s="117" t="str">
        <f>+'Ingredient List - Mother Tinctu'!D664</f>
        <v>Digitalis Purp.</v>
      </c>
      <c r="AB663" s="117">
        <f t="shared" si="13"/>
        <v>0</v>
      </c>
      <c r="AC663" s="117" t="str">
        <f>IF(AB663=1,COUNTIF($AB$3:AB663,1),"")</f>
        <v/>
      </c>
      <c r="AD663" s="117" t="str">
        <f>IFERROR(INDEX($AA$3:$AA$10000,MATCH(ROWS($AC$3:AC663),$AC$3:$AC$10000,0)),"")</f>
        <v/>
      </c>
      <c r="AE663" s="117" t="str">
        <f>+'Packing Material - Cost'!A664</f>
        <v/>
      </c>
    </row>
    <row r="664" spans="27:31">
      <c r="AA664" s="117" t="str">
        <f>+'Ingredient List - Mother Tinctu'!D665</f>
        <v>Dioscorea V.</v>
      </c>
      <c r="AB664" s="117">
        <f t="shared" si="13"/>
        <v>0</v>
      </c>
      <c r="AC664" s="117" t="str">
        <f>IF(AB664=1,COUNTIF($AB$3:AB664,1),"")</f>
        <v/>
      </c>
      <c r="AD664" s="117" t="str">
        <f>IFERROR(INDEX($AA$3:$AA$10000,MATCH(ROWS($AC$3:AC664),$AC$3:$AC$10000,0)),"")</f>
        <v/>
      </c>
      <c r="AE664" s="117" t="str">
        <f>+'Packing Material - Cost'!A665</f>
        <v/>
      </c>
    </row>
    <row r="665" spans="27:31">
      <c r="AA665" s="117" t="str">
        <f>+'Ingredient List - Mother Tinctu'!D666</f>
        <v>Diphtherinum</v>
      </c>
      <c r="AB665" s="117">
        <f t="shared" si="13"/>
        <v>0</v>
      </c>
      <c r="AC665" s="117" t="str">
        <f>IF(AB665=1,COUNTIF($AB$3:AB665,1),"")</f>
        <v/>
      </c>
      <c r="AD665" s="117" t="str">
        <f>IFERROR(INDEX($AA$3:$AA$10000,MATCH(ROWS($AC$3:AC665),$AC$3:$AC$10000,0)),"")</f>
        <v/>
      </c>
      <c r="AE665" s="117" t="str">
        <f>+'Packing Material - Cost'!A666</f>
        <v/>
      </c>
    </row>
    <row r="666" spans="27:31">
      <c r="AA666" s="117" t="str">
        <f>+'Ingredient List - Mother Tinctu'!D667</f>
        <v>Dolichos Pru. (Mucuna)</v>
      </c>
      <c r="AB666" s="117">
        <f t="shared" si="13"/>
        <v>0</v>
      </c>
      <c r="AC666" s="117" t="str">
        <f>IF(AB666=1,COUNTIF($AB$3:AB666,1),"")</f>
        <v/>
      </c>
      <c r="AD666" s="117" t="str">
        <f>IFERROR(INDEX($AA$3:$AA$10000,MATCH(ROWS($AC$3:AC666),$AC$3:$AC$10000,0)),"")</f>
        <v/>
      </c>
      <c r="AE666" s="117" t="str">
        <f>+'Packing Material - Cost'!A667</f>
        <v/>
      </c>
    </row>
    <row r="667" spans="27:31">
      <c r="AA667" s="117" t="str">
        <f>+'Ingredient List - Mother Tinctu'!D668</f>
        <v>Drosera Rot.</v>
      </c>
      <c r="AB667" s="117">
        <f t="shared" si="13"/>
        <v>0</v>
      </c>
      <c r="AC667" s="117" t="str">
        <f>IF(AB667=1,COUNTIF($AB$3:AB667,1),"")</f>
        <v/>
      </c>
      <c r="AD667" s="117" t="str">
        <f>IFERROR(INDEX($AA$3:$AA$10000,MATCH(ROWS($AC$3:AC667),$AC$3:$AC$10000,0)),"")</f>
        <v/>
      </c>
      <c r="AE667" s="117" t="str">
        <f>+'Packing Material - Cost'!A668</f>
        <v/>
      </c>
    </row>
    <row r="668" spans="27:31">
      <c r="AA668" s="117" t="str">
        <f>+'Ingredient List - Mother Tinctu'!D669</f>
        <v>Dulcamara</v>
      </c>
      <c r="AB668" s="117">
        <f t="shared" si="13"/>
        <v>0</v>
      </c>
      <c r="AC668" s="117" t="str">
        <f>IF(AB668=1,COUNTIF($AB$3:AB668,1),"")</f>
        <v/>
      </c>
      <c r="AD668" s="117" t="str">
        <f>IFERROR(INDEX($AA$3:$AA$10000,MATCH(ROWS($AC$3:AC668),$AC$3:$AC$10000,0)),"")</f>
        <v/>
      </c>
      <c r="AE668" s="117" t="str">
        <f>+'Packing Material - Cost'!A669</f>
        <v/>
      </c>
    </row>
    <row r="669" spans="27:31">
      <c r="AA669" s="117" t="str">
        <f>+'Ingredient List - Mother Tinctu'!D670</f>
        <v>Dysentery</v>
      </c>
      <c r="AB669" s="117">
        <f t="shared" si="13"/>
        <v>0</v>
      </c>
      <c r="AC669" s="117" t="str">
        <f>IF(AB669=1,COUNTIF($AB$3:AB669,1),"")</f>
        <v/>
      </c>
      <c r="AD669" s="117" t="str">
        <f>IFERROR(INDEX($AA$3:$AA$10000,MATCH(ROWS($AC$3:AC669),$AC$3:$AC$10000,0)),"")</f>
        <v/>
      </c>
      <c r="AE669" s="117" t="str">
        <f>+'Packing Material - Cost'!A670</f>
        <v/>
      </c>
    </row>
    <row r="670" spans="27:31">
      <c r="AA670" s="117" t="str">
        <f>+'Ingredient List - Mother Tinctu'!D671</f>
        <v>Echinacea Ang.</v>
      </c>
      <c r="AB670" s="117">
        <f t="shared" si="13"/>
        <v>0</v>
      </c>
      <c r="AC670" s="117" t="str">
        <f>IF(AB670=1,COUNTIF($AB$3:AB670,1),"")</f>
        <v/>
      </c>
      <c r="AD670" s="117" t="str">
        <f>IFERROR(INDEX($AA$3:$AA$10000,MATCH(ROWS($AC$3:AC670),$AC$3:$AC$10000,0)),"")</f>
        <v/>
      </c>
      <c r="AE670" s="117" t="str">
        <f>+'Packing Material - Cost'!A671</f>
        <v/>
      </c>
    </row>
    <row r="671" spans="27:31">
      <c r="AA671" s="117" t="str">
        <f>+'Ingredient List - Mother Tinctu'!D672</f>
        <v>Eel Serum (Ser. Ang lcth)</v>
      </c>
      <c r="AB671" s="117">
        <f t="shared" si="13"/>
        <v>0</v>
      </c>
      <c r="AC671" s="117" t="str">
        <f>IF(AB671=1,COUNTIF($AB$3:AB671,1),"")</f>
        <v/>
      </c>
      <c r="AD671" s="117" t="str">
        <f>IFERROR(INDEX($AA$3:$AA$10000,MATCH(ROWS($AC$3:AC671),$AC$3:$AC$10000,0)),"")</f>
        <v/>
      </c>
      <c r="AE671" s="117" t="str">
        <f>+'Packing Material - Cost'!A672</f>
        <v/>
      </c>
    </row>
    <row r="672" spans="27:31">
      <c r="AA672" s="117" t="str">
        <f>+'Ingredient List - Mother Tinctu'!D673</f>
        <v>Elaps Cor.</v>
      </c>
      <c r="AB672" s="117">
        <f t="shared" si="13"/>
        <v>0</v>
      </c>
      <c r="AC672" s="117" t="str">
        <f>IF(AB672=1,COUNTIF($AB$3:AB672,1),"")</f>
        <v/>
      </c>
      <c r="AD672" s="117" t="str">
        <f>IFERROR(INDEX($AA$3:$AA$10000,MATCH(ROWS($AC$3:AC672),$AC$3:$AC$10000,0)),"")</f>
        <v/>
      </c>
      <c r="AE672" s="117" t="str">
        <f>+'Packing Material - Cost'!A673</f>
        <v/>
      </c>
    </row>
    <row r="673" spans="27:31">
      <c r="AA673" s="117" t="str">
        <f>+'Ingredient List - Mother Tinctu'!D674</f>
        <v>Elaterium</v>
      </c>
      <c r="AB673" s="117">
        <f t="shared" si="13"/>
        <v>0</v>
      </c>
      <c r="AC673" s="117" t="str">
        <f>IF(AB673=1,COUNTIF($AB$3:AB673,1),"")</f>
        <v/>
      </c>
      <c r="AD673" s="117" t="str">
        <f>IFERROR(INDEX($AA$3:$AA$10000,MATCH(ROWS($AC$3:AC673),$AC$3:$AC$10000,0)),"")</f>
        <v/>
      </c>
      <c r="AE673" s="117" t="str">
        <f>+'Packing Material - Cost'!A674</f>
        <v/>
      </c>
    </row>
    <row r="674" spans="27:31">
      <c r="AA674" s="117" t="str">
        <f>+'Ingredient List - Mother Tinctu'!D675</f>
        <v>Epigea Rep.</v>
      </c>
      <c r="AB674" s="117">
        <f t="shared" si="13"/>
        <v>0</v>
      </c>
      <c r="AC674" s="117" t="str">
        <f>IF(AB674=1,COUNTIF($AB$3:AB674,1),"")</f>
        <v/>
      </c>
      <c r="AD674" s="117" t="str">
        <f>IFERROR(INDEX($AA$3:$AA$10000,MATCH(ROWS($AC$3:AC674),$AC$3:$AC$10000,0)),"")</f>
        <v/>
      </c>
      <c r="AE674" s="117" t="str">
        <f>+'Packing Material - Cost'!A675</f>
        <v/>
      </c>
    </row>
    <row r="675" spans="27:31">
      <c r="AA675" s="117" t="str">
        <f>+'Ingredient List - Mother Tinctu'!D676</f>
        <v>Epiphegus V.</v>
      </c>
      <c r="AB675" s="117">
        <f t="shared" si="13"/>
        <v>0</v>
      </c>
      <c r="AC675" s="117" t="str">
        <f>IF(AB675=1,COUNTIF($AB$3:AB675,1),"")</f>
        <v/>
      </c>
      <c r="AD675" s="117" t="str">
        <f>IFERROR(INDEX($AA$3:$AA$10000,MATCH(ROWS($AC$3:AC675),$AC$3:$AC$10000,0)),"")</f>
        <v/>
      </c>
      <c r="AE675" s="117" t="str">
        <f>+'Packing Material - Cost'!A676</f>
        <v/>
      </c>
    </row>
    <row r="676" spans="27:31">
      <c r="AA676" s="117" t="str">
        <f>+'Ingredient List - Mother Tinctu'!D677</f>
        <v>Equisetum Hym</v>
      </c>
      <c r="AB676" s="117">
        <f t="shared" si="13"/>
        <v>0</v>
      </c>
      <c r="AC676" s="117" t="str">
        <f>IF(AB676=1,COUNTIF($AB$3:AB676,1),"")</f>
        <v/>
      </c>
      <c r="AD676" s="117" t="str">
        <f>IFERROR(INDEX($AA$3:$AA$10000,MATCH(ROWS($AC$3:AC676),$AC$3:$AC$10000,0)),"")</f>
        <v/>
      </c>
      <c r="AE676" s="117" t="str">
        <f>+'Packing Material - Cost'!A677</f>
        <v/>
      </c>
    </row>
    <row r="677" spans="27:31">
      <c r="AA677" s="117" t="str">
        <f>+'Ingredient List - Mother Tinctu'!D678</f>
        <v>Erigeron can</v>
      </c>
      <c r="AB677" s="117">
        <f t="shared" si="13"/>
        <v>0</v>
      </c>
      <c r="AC677" s="117" t="str">
        <f>IF(AB677=1,COUNTIF($AB$3:AB677,1),"")</f>
        <v/>
      </c>
      <c r="AD677" s="117" t="str">
        <f>IFERROR(INDEX($AA$3:$AA$10000,MATCH(ROWS($AC$3:AC677),$AC$3:$AC$10000,0)),"")</f>
        <v/>
      </c>
      <c r="AE677" s="117" t="str">
        <f>+'Packing Material - Cost'!A678</f>
        <v/>
      </c>
    </row>
    <row r="678" spans="27:31">
      <c r="AA678" s="117" t="str">
        <f>+'Ingredient List - Mother Tinctu'!D679</f>
        <v>Eriodictyon G (Yerba Santha)</v>
      </c>
      <c r="AB678" s="117">
        <f t="shared" si="13"/>
        <v>0</v>
      </c>
      <c r="AC678" s="117" t="str">
        <f>IF(AB678=1,COUNTIF($AB$3:AB678,1),"")</f>
        <v/>
      </c>
      <c r="AD678" s="117" t="str">
        <f>IFERROR(INDEX($AA$3:$AA$10000,MATCH(ROWS($AC$3:AC678),$AC$3:$AC$10000,0)),"")</f>
        <v/>
      </c>
      <c r="AE678" s="117" t="str">
        <f>+'Packing Material - Cost'!A679</f>
        <v/>
      </c>
    </row>
    <row r="679" spans="27:31">
      <c r="AA679" s="117" t="str">
        <f>+'Ingredient List - Mother Tinctu'!D680</f>
        <v>Eryngium A</v>
      </c>
      <c r="AB679" s="117">
        <f t="shared" si="13"/>
        <v>0</v>
      </c>
      <c r="AC679" s="117" t="str">
        <f>IF(AB679=1,COUNTIF($AB$3:AB679,1),"")</f>
        <v/>
      </c>
      <c r="AD679" s="117" t="str">
        <f>IFERROR(INDEX($AA$3:$AA$10000,MATCH(ROWS($AC$3:AC679),$AC$3:$AC$10000,0)),"")</f>
        <v/>
      </c>
      <c r="AE679" s="117" t="str">
        <f>+'Packing Material - Cost'!A680</f>
        <v/>
      </c>
    </row>
    <row r="680" spans="27:31">
      <c r="AA680" s="117" t="str">
        <f>+'Ingredient List - Mother Tinctu'!D681</f>
        <v>Eucalypt. Glob</v>
      </c>
      <c r="AB680" s="117">
        <f t="shared" si="13"/>
        <v>0</v>
      </c>
      <c r="AC680" s="117" t="str">
        <f>IF(AB680=1,COUNTIF($AB$3:AB680,1),"")</f>
        <v/>
      </c>
      <c r="AD680" s="117" t="str">
        <f>IFERROR(INDEX($AA$3:$AA$10000,MATCH(ROWS($AC$3:AC680),$AC$3:$AC$10000,0)),"")</f>
        <v/>
      </c>
      <c r="AE680" s="117" t="str">
        <f>+'Packing Material - Cost'!A681</f>
        <v/>
      </c>
    </row>
    <row r="681" spans="27:31">
      <c r="AA681" s="117" t="str">
        <f>+'Ingredient List - Mother Tinctu'!D682</f>
        <v>Eupaor. Purp</v>
      </c>
      <c r="AB681" s="117">
        <f t="shared" si="13"/>
        <v>0</v>
      </c>
      <c r="AC681" s="117" t="str">
        <f>IF(AB681=1,COUNTIF($AB$3:AB681,1),"")</f>
        <v/>
      </c>
      <c r="AD681" s="117" t="str">
        <f>IFERROR(INDEX($AA$3:$AA$10000,MATCH(ROWS($AC$3:AC681),$AC$3:$AC$10000,0)),"")</f>
        <v/>
      </c>
      <c r="AE681" s="117" t="str">
        <f>+'Packing Material - Cost'!A682</f>
        <v/>
      </c>
    </row>
    <row r="682" spans="27:31">
      <c r="AA682" s="117" t="str">
        <f>+'Ingredient List - Mother Tinctu'!D683</f>
        <v>Eupator. Perf.</v>
      </c>
      <c r="AB682" s="117">
        <f t="shared" si="13"/>
        <v>0</v>
      </c>
      <c r="AC682" s="117" t="str">
        <f>IF(AB682=1,COUNTIF($AB$3:AB682,1),"")</f>
        <v/>
      </c>
      <c r="AD682" s="117" t="str">
        <f>IFERROR(INDEX($AA$3:$AA$10000,MATCH(ROWS($AC$3:AC682),$AC$3:$AC$10000,0)),"")</f>
        <v/>
      </c>
      <c r="AE682" s="117" t="str">
        <f>+'Packing Material - Cost'!A683</f>
        <v/>
      </c>
    </row>
    <row r="683" spans="27:31">
      <c r="AA683" s="117" t="str">
        <f>+'Ingredient List - Mother Tinctu'!D684</f>
        <v>Euphorbia Cor</v>
      </c>
      <c r="AB683" s="117">
        <f t="shared" si="13"/>
        <v>0</v>
      </c>
      <c r="AC683" s="117" t="str">
        <f>IF(AB683=1,COUNTIF($AB$3:AB683,1),"")</f>
        <v/>
      </c>
      <c r="AD683" s="117" t="str">
        <f>IFERROR(INDEX($AA$3:$AA$10000,MATCH(ROWS($AC$3:AC683),$AC$3:$AC$10000,0)),"")</f>
        <v/>
      </c>
      <c r="AE683" s="117" t="str">
        <f>+'Packing Material - Cost'!A684</f>
        <v/>
      </c>
    </row>
    <row r="684" spans="27:31">
      <c r="AA684" s="117" t="str">
        <f>+'Ingredient List - Mother Tinctu'!D685</f>
        <v>Euphorbium</v>
      </c>
      <c r="AB684" s="117">
        <f t="shared" si="13"/>
        <v>0</v>
      </c>
      <c r="AC684" s="117" t="str">
        <f>IF(AB684=1,COUNTIF($AB$3:AB684,1),"")</f>
        <v/>
      </c>
      <c r="AD684" s="117" t="str">
        <f>IFERROR(INDEX($AA$3:$AA$10000,MATCH(ROWS($AC$3:AC684),$AC$3:$AC$10000,0)),"")</f>
        <v/>
      </c>
      <c r="AE684" s="117" t="str">
        <f>+'Packing Material - Cost'!A685</f>
        <v/>
      </c>
    </row>
    <row r="685" spans="27:31">
      <c r="AA685" s="117" t="str">
        <f>+'Ingredient List - Mother Tinctu'!D686</f>
        <v>Euphrasia off</v>
      </c>
      <c r="AB685" s="117">
        <f t="shared" si="13"/>
        <v>0</v>
      </c>
      <c r="AC685" s="117" t="str">
        <f>IF(AB685=1,COUNTIF($AB$3:AB685,1),"")</f>
        <v/>
      </c>
      <c r="AD685" s="117" t="str">
        <f>IFERROR(INDEX($AA$3:$AA$10000,MATCH(ROWS($AC$3:AC685),$AC$3:$AC$10000,0)),"")</f>
        <v/>
      </c>
      <c r="AE685" s="117" t="str">
        <f>+'Packing Material - Cost'!A686</f>
        <v/>
      </c>
    </row>
    <row r="686" spans="27:31">
      <c r="AA686" s="117" t="str">
        <f>+'Ingredient List - Mother Tinctu'!D687</f>
        <v>Eupion</v>
      </c>
      <c r="AB686" s="117">
        <f t="shared" si="13"/>
        <v>0</v>
      </c>
      <c r="AC686" s="117" t="str">
        <f>IF(AB686=1,COUNTIF($AB$3:AB686,1),"")</f>
        <v/>
      </c>
      <c r="AD686" s="117" t="str">
        <f>IFERROR(INDEX($AA$3:$AA$10000,MATCH(ROWS($AC$3:AC686),$AC$3:$AC$10000,0)),"")</f>
        <v/>
      </c>
      <c r="AE686" s="117" t="str">
        <f>+'Packing Material - Cost'!A687</f>
        <v/>
      </c>
    </row>
    <row r="687" spans="27:31">
      <c r="AA687" s="117" t="str">
        <f>+'Ingredient List - Mother Tinctu'!D688</f>
        <v>Fagopyrum</v>
      </c>
      <c r="AB687" s="117">
        <f t="shared" si="13"/>
        <v>0</v>
      </c>
      <c r="AC687" s="117" t="str">
        <f>IF(AB687=1,COUNTIF($AB$3:AB687,1),"")</f>
        <v/>
      </c>
      <c r="AD687" s="117" t="str">
        <f>IFERROR(INDEX($AA$3:$AA$10000,MATCH(ROWS($AC$3:AC687),$AC$3:$AC$10000,0)),"")</f>
        <v/>
      </c>
      <c r="AE687" s="117" t="str">
        <f>+'Packing Material - Cost'!A688</f>
        <v/>
      </c>
    </row>
    <row r="688" spans="27:31">
      <c r="AA688" s="117" t="str">
        <f>+'Ingredient List - Mother Tinctu'!D689</f>
        <v>Fel. Tauri</v>
      </c>
      <c r="AB688" s="117">
        <f t="shared" si="13"/>
        <v>0</v>
      </c>
      <c r="AC688" s="117" t="str">
        <f>IF(AB688=1,COUNTIF($AB$3:AB688,1),"")</f>
        <v/>
      </c>
      <c r="AD688" s="117" t="str">
        <f>IFERROR(INDEX($AA$3:$AA$10000,MATCH(ROWS($AC$3:AC688),$AC$3:$AC$10000,0)),"")</f>
        <v/>
      </c>
      <c r="AE688" s="117" t="str">
        <f>+'Packing Material - Cost'!A689</f>
        <v/>
      </c>
    </row>
    <row r="689" spans="27:31">
      <c r="AA689" s="117" t="str">
        <f>+'Ingredient List - Mother Tinctu'!D690</f>
        <v>Ferrum Acet.</v>
      </c>
      <c r="AB689" s="117">
        <f t="shared" si="13"/>
        <v>0</v>
      </c>
      <c r="AC689" s="117" t="str">
        <f>IF(AB689=1,COUNTIF($AB$3:AB689,1),"")</f>
        <v/>
      </c>
      <c r="AD689" s="117" t="str">
        <f>IFERROR(INDEX($AA$3:$AA$10000,MATCH(ROWS($AC$3:AC689),$AC$3:$AC$10000,0)),"")</f>
        <v/>
      </c>
      <c r="AE689" s="117" t="str">
        <f>+'Packing Material - Cost'!A690</f>
        <v/>
      </c>
    </row>
    <row r="690" spans="27:31">
      <c r="AA690" s="117" t="str">
        <f>+'Ingredient List - Mother Tinctu'!D691</f>
        <v>Ferrum Ars.</v>
      </c>
      <c r="AB690" s="117">
        <f t="shared" si="13"/>
        <v>0</v>
      </c>
      <c r="AC690" s="117" t="str">
        <f>IF(AB690=1,COUNTIF($AB$3:AB690,1),"")</f>
        <v/>
      </c>
      <c r="AD690" s="117" t="str">
        <f>IFERROR(INDEX($AA$3:$AA$10000,MATCH(ROWS($AC$3:AC690),$AC$3:$AC$10000,0)),"")</f>
        <v/>
      </c>
      <c r="AE690" s="117" t="str">
        <f>+'Packing Material - Cost'!A691</f>
        <v/>
      </c>
    </row>
    <row r="691" spans="27:31">
      <c r="AA691" s="117" t="str">
        <f>+'Ingredient List - Mother Tinctu'!D692</f>
        <v>Ferrum Iod.</v>
      </c>
      <c r="AB691" s="117">
        <f t="shared" si="13"/>
        <v>0</v>
      </c>
      <c r="AC691" s="117" t="str">
        <f>IF(AB691=1,COUNTIF($AB$3:AB691,1),"")</f>
        <v/>
      </c>
      <c r="AD691" s="117" t="str">
        <f>IFERROR(INDEX($AA$3:$AA$10000,MATCH(ROWS($AC$3:AC691),$AC$3:$AC$10000,0)),"")</f>
        <v/>
      </c>
      <c r="AE691" s="117" t="str">
        <f>+'Packing Material - Cost'!A692</f>
        <v/>
      </c>
    </row>
    <row r="692" spans="27:31">
      <c r="AA692" s="117" t="str">
        <f>+'Ingredient List - Mother Tinctu'!D693</f>
        <v>Ferrum Met.</v>
      </c>
      <c r="AB692" s="117">
        <f t="shared" si="13"/>
        <v>0</v>
      </c>
      <c r="AC692" s="117" t="str">
        <f>IF(AB692=1,COUNTIF($AB$3:AB692,1),"")</f>
        <v/>
      </c>
      <c r="AD692" s="117" t="str">
        <f>IFERROR(INDEX($AA$3:$AA$10000,MATCH(ROWS($AC$3:AC692),$AC$3:$AC$10000,0)),"")</f>
        <v/>
      </c>
      <c r="AE692" s="117" t="str">
        <f>+'Packing Material - Cost'!A693</f>
        <v/>
      </c>
    </row>
    <row r="693" spans="27:31">
      <c r="AA693" s="117" t="str">
        <f>+'Ingredient List - Mother Tinctu'!D694</f>
        <v>Ferrum Mur.</v>
      </c>
      <c r="AB693" s="117">
        <f t="shared" si="13"/>
        <v>0</v>
      </c>
      <c r="AC693" s="117" t="str">
        <f>IF(AB693=1,COUNTIF($AB$3:AB693,1),"")</f>
        <v/>
      </c>
      <c r="AD693" s="117" t="str">
        <f>IFERROR(INDEX($AA$3:$AA$10000,MATCH(ROWS($AC$3:AC693),$AC$3:$AC$10000,0)),"")</f>
        <v/>
      </c>
      <c r="AE693" s="117" t="str">
        <f>+'Packing Material - Cost'!A694</f>
        <v/>
      </c>
    </row>
    <row r="694" spans="27:31">
      <c r="AA694" s="117" t="str">
        <f>+'Ingredient List - Mother Tinctu'!D695</f>
        <v>Ferrum Phos.</v>
      </c>
      <c r="AB694" s="117">
        <f t="shared" si="13"/>
        <v>0</v>
      </c>
      <c r="AC694" s="117" t="str">
        <f>IF(AB694=1,COUNTIF($AB$3:AB694,1),"")</f>
        <v/>
      </c>
      <c r="AD694" s="117" t="str">
        <f>IFERROR(INDEX($AA$3:$AA$10000,MATCH(ROWS($AC$3:AC694),$AC$3:$AC$10000,0)),"")</f>
        <v/>
      </c>
      <c r="AE694" s="117" t="str">
        <f>+'Packing Material - Cost'!A695</f>
        <v/>
      </c>
    </row>
    <row r="695" spans="27:31">
      <c r="AA695" s="117" t="str">
        <f>+'Ingredient List - Mother Tinctu'!D696</f>
        <v>Ferrum Sulph.</v>
      </c>
      <c r="AB695" s="117">
        <f t="shared" si="13"/>
        <v>0</v>
      </c>
      <c r="AC695" s="117" t="str">
        <f>IF(AB695=1,COUNTIF($AB$3:AB695,1),"")</f>
        <v/>
      </c>
      <c r="AD695" s="117" t="str">
        <f>IFERROR(INDEX($AA$3:$AA$10000,MATCH(ROWS($AC$3:AC695),$AC$3:$AC$10000,0)),"")</f>
        <v/>
      </c>
      <c r="AE695" s="117" t="str">
        <f>+'Packing Material - Cost'!A696</f>
        <v/>
      </c>
    </row>
    <row r="696" spans="27:31">
      <c r="AA696" s="117" t="str">
        <f>+'Ingredient List - Mother Tinctu'!D697</f>
        <v>Ferrum. Picr.</v>
      </c>
      <c r="AB696" s="117">
        <f t="shared" si="13"/>
        <v>0</v>
      </c>
      <c r="AC696" s="117" t="str">
        <f>IF(AB696=1,COUNTIF($AB$3:AB696,1),"")</f>
        <v/>
      </c>
      <c r="AD696" s="117" t="str">
        <f>IFERROR(INDEX($AA$3:$AA$10000,MATCH(ROWS($AC$3:AC696),$AC$3:$AC$10000,0)),"")</f>
        <v/>
      </c>
      <c r="AE696" s="117" t="str">
        <f>+'Packing Material - Cost'!A697</f>
        <v/>
      </c>
    </row>
    <row r="697" spans="27:31">
      <c r="AA697" s="117" t="str">
        <f>+'Ingredient List - Mother Tinctu'!D698</f>
        <v>Ficus Ind.</v>
      </c>
      <c r="AB697" s="117">
        <f t="shared" si="13"/>
        <v>0</v>
      </c>
      <c r="AC697" s="117" t="str">
        <f>IF(AB697=1,COUNTIF($AB$3:AB697,1),"")</f>
        <v/>
      </c>
      <c r="AD697" s="117" t="str">
        <f>IFERROR(INDEX($AA$3:$AA$10000,MATCH(ROWS($AC$3:AC697),$AC$3:$AC$10000,0)),"")</f>
        <v/>
      </c>
      <c r="AE697" s="117" t="str">
        <f>+'Packing Material - Cost'!A698</f>
        <v/>
      </c>
    </row>
    <row r="698" spans="27:31">
      <c r="AA698" s="117" t="str">
        <f>+'Ingredient List - Mother Tinctu'!D699</f>
        <v>Ficus Rel.</v>
      </c>
      <c r="AB698" s="117">
        <f t="shared" si="13"/>
        <v>0</v>
      </c>
      <c r="AC698" s="117" t="str">
        <f>IF(AB698=1,COUNTIF($AB$3:AB698,1),"")</f>
        <v/>
      </c>
      <c r="AD698" s="117" t="str">
        <f>IFERROR(INDEX($AA$3:$AA$10000,MATCH(ROWS($AC$3:AC698),$AC$3:$AC$10000,0)),"")</f>
        <v/>
      </c>
      <c r="AE698" s="117" t="str">
        <f>+'Packing Material - Cost'!A699</f>
        <v/>
      </c>
    </row>
    <row r="699" spans="27:31">
      <c r="AA699" s="117" t="str">
        <f>+'Ingredient List - Mother Tinctu'!D700</f>
        <v>Filix Mas.</v>
      </c>
      <c r="AB699" s="117">
        <f t="shared" si="13"/>
        <v>0</v>
      </c>
      <c r="AC699" s="117" t="str">
        <f>IF(AB699=1,COUNTIF($AB$3:AB699,1),"")</f>
        <v/>
      </c>
      <c r="AD699" s="117" t="str">
        <f>IFERROR(INDEX($AA$3:$AA$10000,MATCH(ROWS($AC$3:AC699),$AC$3:$AC$10000,0)),"")</f>
        <v/>
      </c>
      <c r="AE699" s="117" t="str">
        <f>+'Packing Material - Cost'!A700</f>
        <v/>
      </c>
    </row>
    <row r="700" spans="27:31">
      <c r="AA700" s="117" t="str">
        <f>+'Ingredient List - Mother Tinctu'!D701</f>
        <v>Formalinum</v>
      </c>
      <c r="AB700" s="117">
        <f t="shared" si="13"/>
        <v>0</v>
      </c>
      <c r="AC700" s="117" t="str">
        <f>IF(AB700=1,COUNTIF($AB$3:AB700,1),"")</f>
        <v/>
      </c>
      <c r="AD700" s="117" t="str">
        <f>IFERROR(INDEX($AA$3:$AA$10000,MATCH(ROWS($AC$3:AC700),$AC$3:$AC$10000,0)),"")</f>
        <v/>
      </c>
      <c r="AE700" s="117" t="str">
        <f>+'Packing Material - Cost'!A701</f>
        <v/>
      </c>
    </row>
    <row r="701" spans="27:31">
      <c r="AA701" s="117" t="str">
        <f>+'Ingredient List - Mother Tinctu'!D702</f>
        <v>Formica Rufa</v>
      </c>
      <c r="AB701" s="117">
        <f t="shared" si="13"/>
        <v>0</v>
      </c>
      <c r="AC701" s="117" t="str">
        <f>IF(AB701=1,COUNTIF($AB$3:AB701,1),"")</f>
        <v/>
      </c>
      <c r="AD701" s="117" t="str">
        <f>IFERROR(INDEX($AA$3:$AA$10000,MATCH(ROWS($AC$3:AC701),$AC$3:$AC$10000,0)),"")</f>
        <v/>
      </c>
      <c r="AE701" s="117" t="str">
        <f>+'Packing Material - Cost'!A702</f>
        <v/>
      </c>
    </row>
    <row r="702" spans="27:31">
      <c r="AA702" s="117" t="str">
        <f>+'Ingredient List - Mother Tinctu'!D703</f>
        <v>Fragaria V.</v>
      </c>
      <c r="AB702" s="117">
        <f t="shared" si="13"/>
        <v>0</v>
      </c>
      <c r="AC702" s="117" t="str">
        <f>IF(AB702=1,COUNTIF($AB$3:AB702,1),"")</f>
        <v/>
      </c>
      <c r="AD702" s="117" t="str">
        <f>IFERROR(INDEX($AA$3:$AA$10000,MATCH(ROWS($AC$3:AC702),$AC$3:$AC$10000,0)),"")</f>
        <v/>
      </c>
      <c r="AE702" s="117" t="str">
        <f>+'Packing Material - Cost'!A703</f>
        <v/>
      </c>
    </row>
    <row r="703" spans="27:31">
      <c r="AA703" s="117" t="str">
        <f>+'Ingredient List - Mother Tinctu'!D704</f>
        <v>Fraxinus Amer.</v>
      </c>
      <c r="AB703" s="117">
        <f t="shared" si="13"/>
        <v>0</v>
      </c>
      <c r="AC703" s="117" t="str">
        <f>IF(AB703=1,COUNTIF($AB$3:AB703,1),"")</f>
        <v/>
      </c>
      <c r="AD703" s="117" t="str">
        <f>IFERROR(INDEX($AA$3:$AA$10000,MATCH(ROWS($AC$3:AC703),$AC$3:$AC$10000,0)),"")</f>
        <v/>
      </c>
      <c r="AE703" s="117" t="str">
        <f>+'Packing Material - Cost'!A704</f>
        <v/>
      </c>
    </row>
    <row r="704" spans="27:31">
      <c r="AA704" s="117" t="str">
        <f>+'Ingredient List - Mother Tinctu'!D705</f>
        <v>Fucus Ves.</v>
      </c>
      <c r="AB704" s="117">
        <f t="shared" si="13"/>
        <v>0</v>
      </c>
      <c r="AC704" s="117" t="str">
        <f>IF(AB704=1,COUNTIF($AB$3:AB704,1),"")</f>
        <v/>
      </c>
      <c r="AD704" s="117" t="str">
        <f>IFERROR(INDEX($AA$3:$AA$10000,MATCH(ROWS($AC$3:AC704),$AC$3:$AC$10000,0)),"")</f>
        <v/>
      </c>
      <c r="AE704" s="117" t="str">
        <f>+'Packing Material - Cost'!A705</f>
        <v/>
      </c>
    </row>
    <row r="705" spans="27:31">
      <c r="AA705" s="117" t="str">
        <f>+'Ingredient List - Mother Tinctu'!D706</f>
        <v>Galium</v>
      </c>
      <c r="AB705" s="117">
        <f t="shared" si="13"/>
        <v>0</v>
      </c>
      <c r="AC705" s="117" t="str">
        <f>IF(AB705=1,COUNTIF($AB$3:AB705,1),"")</f>
        <v/>
      </c>
      <c r="AD705" s="117" t="str">
        <f>IFERROR(INDEX($AA$3:$AA$10000,MATCH(ROWS($AC$3:AC705),$AC$3:$AC$10000,0)),"")</f>
        <v/>
      </c>
      <c r="AE705" s="117" t="str">
        <f>+'Packing Material - Cost'!A706</f>
        <v/>
      </c>
    </row>
    <row r="706" spans="27:31">
      <c r="AA706" s="117" t="str">
        <f>+'Ingredient List - Mother Tinctu'!D707</f>
        <v>Gambogia</v>
      </c>
      <c r="AB706" s="117">
        <f t="shared" si="13"/>
        <v>0</v>
      </c>
      <c r="AC706" s="117" t="str">
        <f>IF(AB706=1,COUNTIF($AB$3:AB706,1),"")</f>
        <v/>
      </c>
      <c r="AD706" s="117" t="str">
        <f>IFERROR(INDEX($AA$3:$AA$10000,MATCH(ROWS($AC$3:AC706),$AC$3:$AC$10000,0)),"")</f>
        <v/>
      </c>
      <c r="AE706" s="117" t="str">
        <f>+'Packing Material - Cost'!A707</f>
        <v/>
      </c>
    </row>
    <row r="707" spans="27:31">
      <c r="AA707" s="117" t="str">
        <f>+'Ingredient List - Mother Tinctu'!D708</f>
        <v>Gaultheria</v>
      </c>
      <c r="AB707" s="117">
        <f t="shared" si="13"/>
        <v>0</v>
      </c>
      <c r="AC707" s="117" t="str">
        <f>IF(AB707=1,COUNTIF($AB$3:AB707,1),"")</f>
        <v/>
      </c>
      <c r="AD707" s="117" t="str">
        <f>IFERROR(INDEX($AA$3:$AA$10000,MATCH(ROWS($AC$3:AC707),$AC$3:$AC$10000,0)),"")</f>
        <v/>
      </c>
      <c r="AE707" s="117" t="str">
        <f>+'Packing Material - Cost'!A708</f>
        <v/>
      </c>
    </row>
    <row r="708" spans="27:31">
      <c r="AA708" s="117" t="str">
        <f>+'Ingredient List - Mother Tinctu'!D709</f>
        <v>Gelsemium Semp.</v>
      </c>
      <c r="AB708" s="117">
        <f t="shared" ref="AB708:AB771" si="14">--ISNUMBER(IFERROR(SEARCH($D$3,AA708,1),""))</f>
        <v>0</v>
      </c>
      <c r="AC708" s="117" t="str">
        <f>IF(AB708=1,COUNTIF($AB$3:AB708,1),"")</f>
        <v/>
      </c>
      <c r="AD708" s="117" t="str">
        <f>IFERROR(INDEX($AA$3:$AA$10000,MATCH(ROWS($AC$3:AC708),$AC$3:$AC$10000,0)),"")</f>
        <v/>
      </c>
      <c r="AE708" s="117" t="str">
        <f>+'Packing Material - Cost'!A709</f>
        <v/>
      </c>
    </row>
    <row r="709" spans="27:31">
      <c r="AA709" s="117" t="str">
        <f>+'Ingredient List - Mother Tinctu'!D710</f>
        <v>Gentiana Lut</v>
      </c>
      <c r="AB709" s="117">
        <f t="shared" si="14"/>
        <v>0</v>
      </c>
      <c r="AC709" s="117" t="str">
        <f>IF(AB709=1,COUNTIF($AB$3:AB709,1),"")</f>
        <v/>
      </c>
      <c r="AD709" s="117" t="str">
        <f>IFERROR(INDEX($AA$3:$AA$10000,MATCH(ROWS($AC$3:AC709),$AC$3:$AC$10000,0)),"")</f>
        <v/>
      </c>
      <c r="AE709" s="117" t="str">
        <f>+'Packing Material - Cost'!A710</f>
        <v/>
      </c>
    </row>
    <row r="710" spans="27:31">
      <c r="AA710" s="117" t="str">
        <f>+'Ingredient List - Mother Tinctu'!D711</f>
        <v>Geranium Mac.</v>
      </c>
      <c r="AB710" s="117">
        <f t="shared" si="14"/>
        <v>0</v>
      </c>
      <c r="AC710" s="117" t="str">
        <f>IF(AB710=1,COUNTIF($AB$3:AB710,1),"")</f>
        <v/>
      </c>
      <c r="AD710" s="117" t="str">
        <f>IFERROR(INDEX($AA$3:$AA$10000,MATCH(ROWS($AC$3:AC710),$AC$3:$AC$10000,0)),"")</f>
        <v/>
      </c>
      <c r="AE710" s="117" t="str">
        <f>+'Packing Material - Cost'!A711</f>
        <v/>
      </c>
    </row>
    <row r="711" spans="27:31">
      <c r="AA711" s="117" t="str">
        <f>+'Ingredient List - Mother Tinctu'!D712</f>
        <v>Ginseng</v>
      </c>
      <c r="AB711" s="117">
        <f t="shared" si="14"/>
        <v>0</v>
      </c>
      <c r="AC711" s="117" t="str">
        <f>IF(AB711=1,COUNTIF($AB$3:AB711,1),"")</f>
        <v/>
      </c>
      <c r="AD711" s="117" t="str">
        <f>IFERROR(INDEX($AA$3:$AA$10000,MATCH(ROWS($AC$3:AC711),$AC$3:$AC$10000,0)),"")</f>
        <v/>
      </c>
      <c r="AE711" s="117" t="str">
        <f>+'Packing Material - Cost'!A712</f>
        <v/>
      </c>
    </row>
    <row r="712" spans="27:31">
      <c r="AA712" s="117" t="str">
        <f>+'Ingredient List - Mother Tinctu'!D713</f>
        <v>Glonoinum</v>
      </c>
      <c r="AB712" s="117">
        <f t="shared" si="14"/>
        <v>0</v>
      </c>
      <c r="AC712" s="117" t="str">
        <f>IF(AB712=1,COUNTIF($AB$3:AB712,1),"")</f>
        <v/>
      </c>
      <c r="AD712" s="117" t="str">
        <f>IFERROR(INDEX($AA$3:$AA$10000,MATCH(ROWS($AC$3:AC712),$AC$3:$AC$10000,0)),"")</f>
        <v/>
      </c>
      <c r="AE712" s="117" t="str">
        <f>+'Packing Material - Cost'!A713</f>
        <v/>
      </c>
    </row>
    <row r="713" spans="27:31">
      <c r="AA713" s="117" t="str">
        <f>+'Ingredient List - Mother Tinctu'!D714</f>
        <v>Glycerinum</v>
      </c>
      <c r="AB713" s="117">
        <f t="shared" si="14"/>
        <v>0</v>
      </c>
      <c r="AC713" s="117" t="str">
        <f>IF(AB713=1,COUNTIF($AB$3:AB713,1),"")</f>
        <v/>
      </c>
      <c r="AD713" s="117" t="str">
        <f>IFERROR(INDEX($AA$3:$AA$10000,MATCH(ROWS($AC$3:AC713),$AC$3:$AC$10000,0)),"")</f>
        <v/>
      </c>
      <c r="AE713" s="117" t="str">
        <f>+'Packing Material - Cost'!A714</f>
        <v/>
      </c>
    </row>
    <row r="714" spans="27:31">
      <c r="AA714" s="117" t="str">
        <f>+'Ingredient List - Mother Tinctu'!D715</f>
        <v>Gnaphalium P</v>
      </c>
      <c r="AB714" s="117">
        <f t="shared" si="14"/>
        <v>0</v>
      </c>
      <c r="AC714" s="117" t="str">
        <f>IF(AB714=1,COUNTIF($AB$3:AB714,1),"")</f>
        <v/>
      </c>
      <c r="AD714" s="117" t="str">
        <f>IFERROR(INDEX($AA$3:$AA$10000,MATCH(ROWS($AC$3:AC714),$AC$3:$AC$10000,0)),"")</f>
        <v/>
      </c>
      <c r="AE714" s="117" t="str">
        <f>+'Packing Material - Cost'!A715</f>
        <v/>
      </c>
    </row>
    <row r="715" spans="27:31">
      <c r="AA715" s="117" t="str">
        <f>+'Ingredient List - Mother Tinctu'!D716</f>
        <v>Golondrina</v>
      </c>
      <c r="AB715" s="117">
        <f t="shared" si="14"/>
        <v>0</v>
      </c>
      <c r="AC715" s="117" t="str">
        <f>IF(AB715=1,COUNTIF($AB$3:AB715,1),"")</f>
        <v/>
      </c>
      <c r="AD715" s="117" t="str">
        <f>IFERROR(INDEX($AA$3:$AA$10000,MATCH(ROWS($AC$3:AC715),$AC$3:$AC$10000,0)),"")</f>
        <v/>
      </c>
      <c r="AE715" s="117" t="str">
        <f>+'Packing Material - Cost'!A716</f>
        <v/>
      </c>
    </row>
    <row r="716" spans="27:31">
      <c r="AA716" s="117" t="str">
        <f>+'Ingredient List - Mother Tinctu'!D717</f>
        <v>Gossypiun Herb</v>
      </c>
      <c r="AB716" s="117">
        <f t="shared" si="14"/>
        <v>0</v>
      </c>
      <c r="AC716" s="117" t="str">
        <f>IF(AB716=1,COUNTIF($AB$3:AB716,1),"")</f>
        <v/>
      </c>
      <c r="AD716" s="117" t="str">
        <f>IFERROR(INDEX($AA$3:$AA$10000,MATCH(ROWS($AC$3:AC716),$AC$3:$AC$10000,0)),"")</f>
        <v/>
      </c>
      <c r="AE716" s="117" t="str">
        <f>+'Packing Material - Cost'!A717</f>
        <v/>
      </c>
    </row>
    <row r="717" spans="27:31">
      <c r="AA717" s="117" t="str">
        <f>+'Ingredient List - Mother Tinctu'!D718</f>
        <v>Granatum</v>
      </c>
      <c r="AB717" s="117">
        <f t="shared" si="14"/>
        <v>0</v>
      </c>
      <c r="AC717" s="117" t="str">
        <f>IF(AB717=1,COUNTIF($AB$3:AB717,1),"")</f>
        <v/>
      </c>
      <c r="AD717" s="117" t="str">
        <f>IFERROR(INDEX($AA$3:$AA$10000,MATCH(ROWS($AC$3:AC717),$AC$3:$AC$10000,0)),"")</f>
        <v/>
      </c>
      <c r="AE717" s="117" t="str">
        <f>+'Packing Material - Cost'!A718</f>
        <v/>
      </c>
    </row>
    <row r="718" spans="27:31">
      <c r="AA718" s="117" t="str">
        <f>+'Ingredient List - Mother Tinctu'!D719</f>
        <v>Graphites</v>
      </c>
      <c r="AB718" s="117">
        <f t="shared" si="14"/>
        <v>0</v>
      </c>
      <c r="AC718" s="117" t="str">
        <f>IF(AB718=1,COUNTIF($AB$3:AB718,1),"")</f>
        <v/>
      </c>
      <c r="AD718" s="117" t="str">
        <f>IFERROR(INDEX($AA$3:$AA$10000,MATCH(ROWS($AC$3:AC718),$AC$3:$AC$10000,0)),"")</f>
        <v/>
      </c>
      <c r="AE718" s="117" t="str">
        <f>+'Packing Material - Cost'!A719</f>
        <v/>
      </c>
    </row>
    <row r="719" spans="27:31">
      <c r="AA719" s="117" t="str">
        <f>+'Ingredient List - Mother Tinctu'!D720</f>
        <v>Gratioia O</v>
      </c>
      <c r="AB719" s="117">
        <f t="shared" si="14"/>
        <v>0</v>
      </c>
      <c r="AC719" s="117" t="str">
        <f>IF(AB719=1,COUNTIF($AB$3:AB719,1),"")</f>
        <v/>
      </c>
      <c r="AD719" s="117" t="str">
        <f>IFERROR(INDEX($AA$3:$AA$10000,MATCH(ROWS($AC$3:AC719),$AC$3:$AC$10000,0)),"")</f>
        <v/>
      </c>
      <c r="AE719" s="117" t="str">
        <f>+'Packing Material - Cost'!A720</f>
        <v/>
      </c>
    </row>
    <row r="720" spans="27:31">
      <c r="AA720" s="117" t="str">
        <f>+'Ingredient List - Mother Tinctu'!D721</f>
        <v>Grindelia Rob.</v>
      </c>
      <c r="AB720" s="117">
        <f t="shared" si="14"/>
        <v>0</v>
      </c>
      <c r="AC720" s="117" t="str">
        <f>IF(AB720=1,COUNTIF($AB$3:AB720,1),"")</f>
        <v/>
      </c>
      <c r="AD720" s="117" t="str">
        <f>IFERROR(INDEX($AA$3:$AA$10000,MATCH(ROWS($AC$3:AC720),$AC$3:$AC$10000,0)),"")</f>
        <v/>
      </c>
      <c r="AE720" s="117" t="str">
        <f>+'Packing Material - Cost'!A721</f>
        <v/>
      </c>
    </row>
    <row r="721" spans="27:31">
      <c r="AA721" s="117" t="str">
        <f>+'Ingredient List - Mother Tinctu'!D722</f>
        <v>Guaiacum</v>
      </c>
      <c r="AB721" s="117">
        <f t="shared" si="14"/>
        <v>0</v>
      </c>
      <c r="AC721" s="117" t="str">
        <f>IF(AB721=1,COUNTIF($AB$3:AB721,1),"")</f>
        <v/>
      </c>
      <c r="AD721" s="117" t="str">
        <f>IFERROR(INDEX($AA$3:$AA$10000,MATCH(ROWS($AC$3:AC721),$AC$3:$AC$10000,0)),"")</f>
        <v/>
      </c>
      <c r="AE721" s="117" t="str">
        <f>+'Packing Material - Cost'!A722</f>
        <v/>
      </c>
    </row>
    <row r="722" spans="27:31">
      <c r="AA722" s="117" t="str">
        <f>+'Ingredient List - Mother Tinctu'!D723</f>
        <v>Gun-Powder</v>
      </c>
      <c r="AB722" s="117">
        <f t="shared" si="14"/>
        <v>0</v>
      </c>
      <c r="AC722" s="117" t="str">
        <f>IF(AB722=1,COUNTIF($AB$3:AB722,1),"")</f>
        <v/>
      </c>
      <c r="AD722" s="117" t="str">
        <f>IFERROR(INDEX($AA$3:$AA$10000,MATCH(ROWS($AC$3:AC722),$AC$3:$AC$10000,0)),"")</f>
        <v/>
      </c>
      <c r="AE722" s="117" t="str">
        <f>+'Packing Material - Cost'!A723</f>
        <v/>
      </c>
    </row>
    <row r="723" spans="27:31">
      <c r="AA723" s="117" t="str">
        <f>+'Ingredient List - Mother Tinctu'!D724</f>
        <v>Gymnema. Syl</v>
      </c>
      <c r="AB723" s="117">
        <f t="shared" si="14"/>
        <v>0</v>
      </c>
      <c r="AC723" s="117" t="str">
        <f>IF(AB723=1,COUNTIF($AB$3:AB723,1),"")</f>
        <v/>
      </c>
      <c r="AD723" s="117" t="str">
        <f>IFERROR(INDEX($AA$3:$AA$10000,MATCH(ROWS($AC$3:AC723),$AC$3:$AC$10000,0)),"")</f>
        <v/>
      </c>
      <c r="AE723" s="117" t="str">
        <f>+'Packing Material - Cost'!A724</f>
        <v/>
      </c>
    </row>
    <row r="724" spans="27:31">
      <c r="AA724" s="117" t="str">
        <f>+'Ingredient List - Mother Tinctu'!D725</f>
        <v>Haematoxylon</v>
      </c>
      <c r="AB724" s="117">
        <f t="shared" si="14"/>
        <v>0</v>
      </c>
      <c r="AC724" s="117" t="str">
        <f>IF(AB724=1,COUNTIF($AB$3:AB724,1),"")</f>
        <v/>
      </c>
      <c r="AD724" s="117" t="str">
        <f>IFERROR(INDEX($AA$3:$AA$10000,MATCH(ROWS($AC$3:AC724),$AC$3:$AC$10000,0)),"")</f>
        <v/>
      </c>
      <c r="AE724" s="117" t="str">
        <f>+'Packing Material - Cost'!A725</f>
        <v/>
      </c>
    </row>
    <row r="725" spans="27:31">
      <c r="AA725" s="117" t="str">
        <f>+'Ingredient List - Mother Tinctu'!D726</f>
        <v>Hamamelis Virg.</v>
      </c>
      <c r="AB725" s="117">
        <f t="shared" si="14"/>
        <v>0</v>
      </c>
      <c r="AC725" s="117" t="str">
        <f>IF(AB725=1,COUNTIF($AB$3:AB725,1),"")</f>
        <v/>
      </c>
      <c r="AD725" s="117" t="str">
        <f>IFERROR(INDEX($AA$3:$AA$10000,MATCH(ROWS($AC$3:AC725),$AC$3:$AC$10000,0)),"")</f>
        <v/>
      </c>
      <c r="AE725" s="117" t="str">
        <f>+'Packing Material - Cost'!A726</f>
        <v/>
      </c>
    </row>
    <row r="726" spans="27:31">
      <c r="AA726" s="117" t="str">
        <f>+'Ingredient List - Mother Tinctu'!D727</f>
        <v>Hedera Helix</v>
      </c>
      <c r="AB726" s="117">
        <f t="shared" si="14"/>
        <v>0</v>
      </c>
      <c r="AC726" s="117" t="str">
        <f>IF(AB726=1,COUNTIF($AB$3:AB726,1),"")</f>
        <v/>
      </c>
      <c r="AD726" s="117" t="str">
        <f>IFERROR(INDEX($AA$3:$AA$10000,MATCH(ROWS($AC$3:AC726),$AC$3:$AC$10000,0)),"")</f>
        <v/>
      </c>
      <c r="AE726" s="117" t="str">
        <f>+'Packing Material - Cost'!A727</f>
        <v/>
      </c>
    </row>
    <row r="727" spans="27:31">
      <c r="AA727" s="117" t="str">
        <f>+'Ingredient List - Mother Tinctu'!D728</f>
        <v>Hekla Lava</v>
      </c>
      <c r="AB727" s="117">
        <f t="shared" si="14"/>
        <v>0</v>
      </c>
      <c r="AC727" s="117" t="str">
        <f>IF(AB727=1,COUNTIF($AB$3:AB727,1),"")</f>
        <v/>
      </c>
      <c r="AD727" s="117" t="str">
        <f>IFERROR(INDEX($AA$3:$AA$10000,MATCH(ROWS($AC$3:AC727),$AC$3:$AC$10000,0)),"")</f>
        <v/>
      </c>
      <c r="AE727" s="117" t="str">
        <f>+'Packing Material - Cost'!A728</f>
        <v/>
      </c>
    </row>
    <row r="728" spans="27:31">
      <c r="AA728" s="117" t="str">
        <f>+'Ingredient List - Mother Tinctu'!D729</f>
        <v>Helianthus. A.</v>
      </c>
      <c r="AB728" s="117">
        <f t="shared" si="14"/>
        <v>0</v>
      </c>
      <c r="AC728" s="117" t="str">
        <f>IF(AB728=1,COUNTIF($AB$3:AB728,1),"")</f>
        <v/>
      </c>
      <c r="AD728" s="117" t="str">
        <f>IFERROR(INDEX($AA$3:$AA$10000,MATCH(ROWS($AC$3:AC728),$AC$3:$AC$10000,0)),"")</f>
        <v/>
      </c>
      <c r="AE728" s="117" t="str">
        <f>+'Packing Material - Cost'!A729</f>
        <v/>
      </c>
    </row>
    <row r="729" spans="27:31">
      <c r="AA729" s="117" t="str">
        <f>+'Ingredient List - Mother Tinctu'!D730</f>
        <v>Helleborus Foet.</v>
      </c>
      <c r="AB729" s="117">
        <f t="shared" si="14"/>
        <v>0</v>
      </c>
      <c r="AC729" s="117" t="str">
        <f>IF(AB729=1,COUNTIF($AB$3:AB729,1),"")</f>
        <v/>
      </c>
      <c r="AD729" s="117" t="str">
        <f>IFERROR(INDEX($AA$3:$AA$10000,MATCH(ROWS($AC$3:AC729),$AC$3:$AC$10000,0)),"")</f>
        <v/>
      </c>
      <c r="AE729" s="117" t="str">
        <f>+'Packing Material - Cost'!A730</f>
        <v/>
      </c>
    </row>
    <row r="730" spans="27:31">
      <c r="AA730" s="117" t="str">
        <f>+'Ingredient List - Mother Tinctu'!D731</f>
        <v>Helleborus Nig.</v>
      </c>
      <c r="AB730" s="117">
        <f t="shared" si="14"/>
        <v>0</v>
      </c>
      <c r="AC730" s="117" t="str">
        <f>IF(AB730=1,COUNTIF($AB$3:AB730,1),"")</f>
        <v/>
      </c>
      <c r="AD730" s="117" t="str">
        <f>IFERROR(INDEX($AA$3:$AA$10000,MATCH(ROWS($AC$3:AC730),$AC$3:$AC$10000,0)),"")</f>
        <v/>
      </c>
      <c r="AE730" s="117" t="str">
        <f>+'Packing Material - Cost'!A731</f>
        <v/>
      </c>
    </row>
    <row r="731" spans="27:31">
      <c r="AA731" s="117" t="str">
        <f>+'Ingredient List - Mother Tinctu'!D732</f>
        <v>Heloderma H.</v>
      </c>
      <c r="AB731" s="117">
        <f t="shared" si="14"/>
        <v>0</v>
      </c>
      <c r="AC731" s="117" t="str">
        <f>IF(AB731=1,COUNTIF($AB$3:AB731,1),"")</f>
        <v/>
      </c>
      <c r="AD731" s="117" t="str">
        <f>IFERROR(INDEX($AA$3:$AA$10000,MATCH(ROWS($AC$3:AC731),$AC$3:$AC$10000,0)),"")</f>
        <v/>
      </c>
      <c r="AE731" s="117" t="str">
        <f>+'Packing Material - Cost'!A732</f>
        <v/>
      </c>
    </row>
    <row r="732" spans="27:31">
      <c r="AA732" s="117" t="str">
        <f>+'Ingredient List - Mother Tinctu'!D733</f>
        <v>Helonias Dio</v>
      </c>
      <c r="AB732" s="117">
        <f t="shared" si="14"/>
        <v>0</v>
      </c>
      <c r="AC732" s="117" t="str">
        <f>IF(AB732=1,COUNTIF($AB$3:AB732,1),"")</f>
        <v/>
      </c>
      <c r="AD732" s="117" t="str">
        <f>IFERROR(INDEX($AA$3:$AA$10000,MATCH(ROWS($AC$3:AC732),$AC$3:$AC$10000,0)),"")</f>
        <v/>
      </c>
      <c r="AE732" s="117" t="str">
        <f>+'Packing Material - Cost'!A733</f>
        <v/>
      </c>
    </row>
    <row r="733" spans="27:31">
      <c r="AA733" s="117" t="str">
        <f>+'Ingredient List - Mother Tinctu'!D734</f>
        <v>Hepar Sulph.</v>
      </c>
      <c r="AB733" s="117">
        <f t="shared" si="14"/>
        <v>0</v>
      </c>
      <c r="AC733" s="117" t="str">
        <f>IF(AB733=1,COUNTIF($AB$3:AB733,1),"")</f>
        <v/>
      </c>
      <c r="AD733" s="117" t="str">
        <f>IFERROR(INDEX($AA$3:$AA$10000,MATCH(ROWS($AC$3:AC733),$AC$3:$AC$10000,0)),"")</f>
        <v/>
      </c>
      <c r="AE733" s="117" t="str">
        <f>+'Packing Material - Cost'!A734</f>
        <v/>
      </c>
    </row>
    <row r="734" spans="27:31">
      <c r="AA734" s="117" t="str">
        <f>+'Ingredient List - Mother Tinctu'!D735</f>
        <v>Hippozaenium</v>
      </c>
      <c r="AB734" s="117">
        <f t="shared" si="14"/>
        <v>0</v>
      </c>
      <c r="AC734" s="117" t="str">
        <f>IF(AB734=1,COUNTIF($AB$3:AB734,1),"")</f>
        <v/>
      </c>
      <c r="AD734" s="117" t="str">
        <f>IFERROR(INDEX($AA$3:$AA$10000,MATCH(ROWS($AC$3:AC734),$AC$3:$AC$10000,0)),"")</f>
        <v/>
      </c>
      <c r="AE734" s="117" t="str">
        <f>+'Packing Material - Cost'!A735</f>
        <v/>
      </c>
    </row>
    <row r="735" spans="27:31">
      <c r="AA735" s="117" t="str">
        <f>+'Ingredient List - Mother Tinctu'!D736</f>
        <v>Histamin</v>
      </c>
      <c r="AB735" s="117">
        <f t="shared" si="14"/>
        <v>0</v>
      </c>
      <c r="AC735" s="117" t="str">
        <f>IF(AB735=1,COUNTIF($AB$3:AB735,1),"")</f>
        <v/>
      </c>
      <c r="AD735" s="117" t="str">
        <f>IFERROR(INDEX($AA$3:$AA$10000,MATCH(ROWS($AC$3:AC735),$AC$3:$AC$10000,0)),"")</f>
        <v/>
      </c>
      <c r="AE735" s="117" t="str">
        <f>+'Packing Material - Cost'!A736</f>
        <v/>
      </c>
    </row>
    <row r="736" spans="27:31">
      <c r="AA736" s="117" t="str">
        <f>+'Ingredient List - Mother Tinctu'!D737</f>
        <v>Holarrhena Ant. D (Kurchi)</v>
      </c>
      <c r="AB736" s="117">
        <f t="shared" si="14"/>
        <v>0</v>
      </c>
      <c r="AC736" s="117" t="str">
        <f>IF(AB736=1,COUNTIF($AB$3:AB736,1),"")</f>
        <v/>
      </c>
      <c r="AD736" s="117" t="str">
        <f>IFERROR(INDEX($AA$3:$AA$10000,MATCH(ROWS($AC$3:AC736),$AC$3:$AC$10000,0)),"")</f>
        <v/>
      </c>
      <c r="AE736" s="117" t="str">
        <f>+'Packing Material - Cost'!A737</f>
        <v/>
      </c>
    </row>
    <row r="737" spans="27:31">
      <c r="AA737" s="117" t="str">
        <f>+'Ingredient List - Mother Tinctu'!D738</f>
        <v>Hydrangea A.</v>
      </c>
      <c r="AB737" s="117">
        <f t="shared" si="14"/>
        <v>0</v>
      </c>
      <c r="AC737" s="117" t="str">
        <f>IF(AB737=1,COUNTIF($AB$3:AB737,1),"")</f>
        <v/>
      </c>
      <c r="AD737" s="117" t="str">
        <f>IFERROR(INDEX($AA$3:$AA$10000,MATCH(ROWS($AC$3:AC737),$AC$3:$AC$10000,0)),"")</f>
        <v/>
      </c>
      <c r="AE737" s="117" t="str">
        <f>+'Packing Material - Cost'!A738</f>
        <v/>
      </c>
    </row>
    <row r="738" spans="27:31">
      <c r="AA738" s="117" t="str">
        <f>+'Ingredient List - Mother Tinctu'!D739</f>
        <v>Hydrastin Mur.</v>
      </c>
      <c r="AB738" s="117">
        <f t="shared" si="14"/>
        <v>0</v>
      </c>
      <c r="AC738" s="117" t="str">
        <f>IF(AB738=1,COUNTIF($AB$3:AB738,1),"")</f>
        <v/>
      </c>
      <c r="AD738" s="117" t="str">
        <f>IFERROR(INDEX($AA$3:$AA$10000,MATCH(ROWS($AC$3:AC738),$AC$3:$AC$10000,0)),"")</f>
        <v/>
      </c>
      <c r="AE738" s="117" t="str">
        <f>+'Packing Material - Cost'!A739</f>
        <v/>
      </c>
    </row>
    <row r="739" spans="27:31">
      <c r="AA739" s="117" t="str">
        <f>+'Ingredient List - Mother Tinctu'!D740</f>
        <v>Hydrastis Can.</v>
      </c>
      <c r="AB739" s="117">
        <f t="shared" si="14"/>
        <v>0</v>
      </c>
      <c r="AC739" s="117" t="str">
        <f>IF(AB739=1,COUNTIF($AB$3:AB739,1),"")</f>
        <v/>
      </c>
      <c r="AD739" s="117" t="str">
        <f>IFERROR(INDEX($AA$3:$AA$10000,MATCH(ROWS($AC$3:AC739),$AC$3:$AC$10000,0)),"")</f>
        <v/>
      </c>
      <c r="AE739" s="117" t="str">
        <f>+'Packing Material - Cost'!A740</f>
        <v/>
      </c>
    </row>
    <row r="740" spans="27:31">
      <c r="AA740" s="117" t="str">
        <f>+'Ingredient List - Mother Tinctu'!D741</f>
        <v>Hydrocotyle Asi.</v>
      </c>
      <c r="AB740" s="117">
        <f t="shared" si="14"/>
        <v>0</v>
      </c>
      <c r="AC740" s="117" t="str">
        <f>IF(AB740=1,COUNTIF($AB$3:AB740,1),"")</f>
        <v/>
      </c>
      <c r="AD740" s="117" t="str">
        <f>IFERROR(INDEX($AA$3:$AA$10000,MATCH(ROWS($AC$3:AC740),$AC$3:$AC$10000,0)),"")</f>
        <v/>
      </c>
      <c r="AE740" s="117" t="str">
        <f>+'Packing Material - Cost'!A741</f>
        <v/>
      </c>
    </row>
    <row r="741" spans="27:31">
      <c r="AA741" s="117" t="str">
        <f>+'Ingredient List - Mother Tinctu'!D742</f>
        <v>Hydrophobin (Lyssin)</v>
      </c>
      <c r="AB741" s="117">
        <f t="shared" si="14"/>
        <v>0</v>
      </c>
      <c r="AC741" s="117" t="str">
        <f>IF(AB741=1,COUNTIF($AB$3:AB741,1),"")</f>
        <v/>
      </c>
      <c r="AD741" s="117" t="str">
        <f>IFERROR(INDEX($AA$3:$AA$10000,MATCH(ROWS($AC$3:AC741),$AC$3:$AC$10000,0)),"")</f>
        <v/>
      </c>
      <c r="AE741" s="117" t="str">
        <f>+'Packing Material - Cost'!A742</f>
        <v/>
      </c>
    </row>
    <row r="742" spans="27:31">
      <c r="AA742" s="117" t="str">
        <f>+'Ingredient List - Mother Tinctu'!D743</f>
        <v>Hyoscyamus. N.</v>
      </c>
      <c r="AB742" s="117">
        <f t="shared" si="14"/>
        <v>0</v>
      </c>
      <c r="AC742" s="117" t="str">
        <f>IF(AB742=1,COUNTIF($AB$3:AB742,1),"")</f>
        <v/>
      </c>
      <c r="AD742" s="117" t="str">
        <f>IFERROR(INDEX($AA$3:$AA$10000,MATCH(ROWS($AC$3:AC742),$AC$3:$AC$10000,0)),"")</f>
        <v/>
      </c>
      <c r="AE742" s="117" t="str">
        <f>+'Packing Material - Cost'!A743</f>
        <v/>
      </c>
    </row>
    <row r="743" spans="27:31">
      <c r="AA743" s="117" t="str">
        <f>+'Ingredient List - Mother Tinctu'!D744</f>
        <v>Hypericum Perf.</v>
      </c>
      <c r="AB743" s="117">
        <f t="shared" si="14"/>
        <v>0</v>
      </c>
      <c r="AC743" s="117" t="str">
        <f>IF(AB743=1,COUNTIF($AB$3:AB743,1),"")</f>
        <v/>
      </c>
      <c r="AD743" s="117" t="str">
        <f>IFERROR(INDEX($AA$3:$AA$10000,MATCH(ROWS($AC$3:AC743),$AC$3:$AC$10000,0)),"")</f>
        <v/>
      </c>
      <c r="AE743" s="117" t="str">
        <f>+'Packing Material - Cost'!A744</f>
        <v/>
      </c>
    </row>
    <row r="744" spans="27:31">
      <c r="AA744" s="117" t="str">
        <f>+'Ingredient List - Mother Tinctu'!D745</f>
        <v>Iberis Amara</v>
      </c>
      <c r="AB744" s="117">
        <f t="shared" si="14"/>
        <v>0</v>
      </c>
      <c r="AC744" s="117" t="str">
        <f>IF(AB744=1,COUNTIF($AB$3:AB744,1),"")</f>
        <v/>
      </c>
      <c r="AD744" s="117" t="str">
        <f>IFERROR(INDEX($AA$3:$AA$10000,MATCH(ROWS($AC$3:AC744),$AC$3:$AC$10000,0)),"")</f>
        <v/>
      </c>
      <c r="AE744" s="117" t="str">
        <f>+'Packing Material - Cost'!A745</f>
        <v/>
      </c>
    </row>
    <row r="745" spans="27:31">
      <c r="AA745" s="117" t="str">
        <f>+'Ingredient List - Mother Tinctu'!D746</f>
        <v>Ichthyolum</v>
      </c>
      <c r="AB745" s="117">
        <f t="shared" si="14"/>
        <v>0</v>
      </c>
      <c r="AC745" s="117" t="str">
        <f>IF(AB745=1,COUNTIF($AB$3:AB745,1),"")</f>
        <v/>
      </c>
      <c r="AD745" s="117" t="str">
        <f>IFERROR(INDEX($AA$3:$AA$10000,MATCH(ROWS($AC$3:AC745),$AC$3:$AC$10000,0)),"")</f>
        <v/>
      </c>
      <c r="AE745" s="117" t="str">
        <f>+'Packing Material - Cost'!A746</f>
        <v/>
      </c>
    </row>
    <row r="746" spans="27:31">
      <c r="AA746" s="117" t="str">
        <f>+'Ingredient List - Mother Tinctu'!D747</f>
        <v>Ignatia Amara</v>
      </c>
      <c r="AB746" s="117">
        <f t="shared" si="14"/>
        <v>0</v>
      </c>
      <c r="AC746" s="117" t="str">
        <f>IF(AB746=1,COUNTIF($AB$3:AB746,1),"")</f>
        <v/>
      </c>
      <c r="AD746" s="117" t="str">
        <f>IFERROR(INDEX($AA$3:$AA$10000,MATCH(ROWS($AC$3:AC746),$AC$3:$AC$10000,0)),"")</f>
        <v/>
      </c>
      <c r="AE746" s="117" t="str">
        <f>+'Packing Material - Cost'!A747</f>
        <v/>
      </c>
    </row>
    <row r="747" spans="27:31">
      <c r="AA747" s="117" t="str">
        <f>+'Ingredient List - Mother Tinctu'!D748</f>
        <v>Illicium A.</v>
      </c>
      <c r="AB747" s="117">
        <f t="shared" si="14"/>
        <v>0</v>
      </c>
      <c r="AC747" s="117" t="str">
        <f>IF(AB747=1,COUNTIF($AB$3:AB747,1),"")</f>
        <v/>
      </c>
      <c r="AD747" s="117" t="str">
        <f>IFERROR(INDEX($AA$3:$AA$10000,MATCH(ROWS($AC$3:AC747),$AC$3:$AC$10000,0)),"")</f>
        <v/>
      </c>
      <c r="AE747" s="117" t="str">
        <f>+'Packing Material - Cost'!A748</f>
        <v/>
      </c>
    </row>
    <row r="748" spans="27:31">
      <c r="AA748" s="117" t="str">
        <f>+'Ingredient List - Mother Tinctu'!D749</f>
        <v>Indigo</v>
      </c>
      <c r="AB748" s="117">
        <f t="shared" si="14"/>
        <v>0</v>
      </c>
      <c r="AC748" s="117" t="str">
        <f>IF(AB748=1,COUNTIF($AB$3:AB748,1),"")</f>
        <v/>
      </c>
      <c r="AD748" s="117" t="str">
        <f>IFERROR(INDEX($AA$3:$AA$10000,MATCH(ROWS($AC$3:AC748),$AC$3:$AC$10000,0)),"")</f>
        <v/>
      </c>
      <c r="AE748" s="117" t="str">
        <f>+'Packing Material - Cost'!A749</f>
        <v/>
      </c>
    </row>
    <row r="749" spans="27:31">
      <c r="AA749" s="117" t="str">
        <f>+'Ingredient List - Mother Tinctu'!D750</f>
        <v>Influenzinum</v>
      </c>
      <c r="AB749" s="117">
        <f t="shared" si="14"/>
        <v>0</v>
      </c>
      <c r="AC749" s="117" t="str">
        <f>IF(AB749=1,COUNTIF($AB$3:AB749,1),"")</f>
        <v/>
      </c>
      <c r="AD749" s="117" t="str">
        <f>IFERROR(INDEX($AA$3:$AA$10000,MATCH(ROWS($AC$3:AC749),$AC$3:$AC$10000,0)),"")</f>
        <v/>
      </c>
      <c r="AE749" s="117" t="str">
        <f>+'Packing Material - Cost'!A750</f>
        <v/>
      </c>
    </row>
    <row r="750" spans="27:31">
      <c r="AA750" s="117" t="str">
        <f>+'Ingredient List - Mother Tinctu'!D751</f>
        <v>Insulin</v>
      </c>
      <c r="AB750" s="117">
        <f t="shared" si="14"/>
        <v>0</v>
      </c>
      <c r="AC750" s="117" t="str">
        <f>IF(AB750=1,COUNTIF($AB$3:AB750,1),"")</f>
        <v/>
      </c>
      <c r="AD750" s="117" t="str">
        <f>IFERROR(INDEX($AA$3:$AA$10000,MATCH(ROWS($AC$3:AC750),$AC$3:$AC$10000,0)),"")</f>
        <v/>
      </c>
      <c r="AE750" s="117" t="str">
        <f>+'Packing Material - Cost'!A751</f>
        <v/>
      </c>
    </row>
    <row r="751" spans="27:31">
      <c r="AA751" s="117" t="str">
        <f>+'Ingredient List - Mother Tinctu'!D752</f>
        <v>Iodium</v>
      </c>
      <c r="AB751" s="117">
        <f t="shared" si="14"/>
        <v>0</v>
      </c>
      <c r="AC751" s="117" t="str">
        <f>IF(AB751=1,COUNTIF($AB$3:AB751,1),"")</f>
        <v/>
      </c>
      <c r="AD751" s="117" t="str">
        <f>IFERROR(INDEX($AA$3:$AA$10000,MATCH(ROWS($AC$3:AC751),$AC$3:$AC$10000,0)),"")</f>
        <v/>
      </c>
      <c r="AE751" s="117" t="str">
        <f>+'Packing Material - Cost'!A752</f>
        <v/>
      </c>
    </row>
    <row r="752" spans="27:31">
      <c r="AA752" s="117" t="str">
        <f>+'Ingredient List - Mother Tinctu'!D753</f>
        <v>Iodoformum</v>
      </c>
      <c r="AB752" s="117">
        <f t="shared" si="14"/>
        <v>0</v>
      </c>
      <c r="AC752" s="117" t="str">
        <f>IF(AB752=1,COUNTIF($AB$3:AB752,1),"")</f>
        <v/>
      </c>
      <c r="AD752" s="117" t="str">
        <f>IFERROR(INDEX($AA$3:$AA$10000,MATCH(ROWS($AC$3:AC752),$AC$3:$AC$10000,0)),"")</f>
        <v/>
      </c>
      <c r="AE752" s="117" t="str">
        <f>+'Packing Material - Cost'!A753</f>
        <v/>
      </c>
    </row>
    <row r="753" spans="27:31">
      <c r="AA753" s="117" t="str">
        <f>+'Ingredient List - Mother Tinctu'!D754</f>
        <v>Ipecac</v>
      </c>
      <c r="AB753" s="117">
        <f t="shared" si="14"/>
        <v>0</v>
      </c>
      <c r="AC753" s="117" t="str">
        <f>IF(AB753=1,COUNTIF($AB$3:AB753,1),"")</f>
        <v/>
      </c>
      <c r="AD753" s="117" t="str">
        <f>IFERROR(INDEX($AA$3:$AA$10000,MATCH(ROWS($AC$3:AC753),$AC$3:$AC$10000,0)),"")</f>
        <v/>
      </c>
      <c r="AE753" s="117" t="str">
        <f>+'Packing Material - Cost'!A754</f>
        <v/>
      </c>
    </row>
    <row r="754" spans="27:31">
      <c r="AA754" s="117" t="str">
        <f>+'Ingredient List - Mother Tinctu'!D755</f>
        <v>Ipomoea</v>
      </c>
      <c r="AB754" s="117">
        <f t="shared" si="14"/>
        <v>0</v>
      </c>
      <c r="AC754" s="117" t="str">
        <f>IF(AB754=1,COUNTIF($AB$3:AB754,1),"")</f>
        <v/>
      </c>
      <c r="AD754" s="117" t="str">
        <f>IFERROR(INDEX($AA$3:$AA$10000,MATCH(ROWS($AC$3:AC754),$AC$3:$AC$10000,0)),"")</f>
        <v/>
      </c>
      <c r="AE754" s="117" t="str">
        <f>+'Packing Material - Cost'!A755</f>
        <v/>
      </c>
    </row>
    <row r="755" spans="27:31">
      <c r="AA755" s="117" t="str">
        <f>+'Ingredient List - Mother Tinctu'!D756</f>
        <v>Iridium</v>
      </c>
      <c r="AB755" s="117">
        <f t="shared" si="14"/>
        <v>0</v>
      </c>
      <c r="AC755" s="117" t="str">
        <f>IF(AB755=1,COUNTIF($AB$3:AB755,1),"")</f>
        <v/>
      </c>
      <c r="AD755" s="117" t="str">
        <f>IFERROR(INDEX($AA$3:$AA$10000,MATCH(ROWS($AC$3:AC755),$AC$3:$AC$10000,0)),"")</f>
        <v/>
      </c>
      <c r="AE755" s="117" t="str">
        <f>+'Packing Material - Cost'!A756</f>
        <v/>
      </c>
    </row>
    <row r="756" spans="27:31">
      <c r="AA756" s="117" t="str">
        <f>+'Ingredient List - Mother Tinctu'!D757</f>
        <v>Iris Tenax</v>
      </c>
      <c r="AB756" s="117">
        <f t="shared" si="14"/>
        <v>0</v>
      </c>
      <c r="AC756" s="117" t="str">
        <f>IF(AB756=1,COUNTIF($AB$3:AB756,1),"")</f>
        <v/>
      </c>
      <c r="AD756" s="117" t="str">
        <f>IFERROR(INDEX($AA$3:$AA$10000,MATCH(ROWS($AC$3:AC756),$AC$3:$AC$10000,0)),"")</f>
        <v/>
      </c>
      <c r="AE756" s="117" t="str">
        <f>+'Packing Material - Cost'!A757</f>
        <v/>
      </c>
    </row>
    <row r="757" spans="27:31">
      <c r="AA757" s="117" t="str">
        <f>+'Ingredient List - Mother Tinctu'!D758</f>
        <v>Iris Ver.</v>
      </c>
      <c r="AB757" s="117">
        <f t="shared" si="14"/>
        <v>0</v>
      </c>
      <c r="AC757" s="117" t="str">
        <f>IF(AB757=1,COUNTIF($AB$3:AB757,1),"")</f>
        <v/>
      </c>
      <c r="AD757" s="117" t="str">
        <f>IFERROR(INDEX($AA$3:$AA$10000,MATCH(ROWS($AC$3:AC757),$AC$3:$AC$10000,0)),"")</f>
        <v/>
      </c>
      <c r="AE757" s="117" t="str">
        <f>+'Packing Material - Cost'!A758</f>
        <v/>
      </c>
    </row>
    <row r="758" spans="27:31">
      <c r="AA758" s="117" t="str">
        <f>+'Ingredient List - Mother Tinctu'!D759</f>
        <v>Jaborandi (Pilcarpus)</v>
      </c>
      <c r="AB758" s="117">
        <f t="shared" si="14"/>
        <v>0</v>
      </c>
      <c r="AC758" s="117" t="str">
        <f>IF(AB758=1,COUNTIF($AB$3:AB758,1),"")</f>
        <v/>
      </c>
      <c r="AD758" s="117" t="str">
        <f>IFERROR(INDEX($AA$3:$AA$10000,MATCH(ROWS($AC$3:AC758),$AC$3:$AC$10000,0)),"")</f>
        <v/>
      </c>
      <c r="AE758" s="117" t="str">
        <f>+'Packing Material - Cost'!A759</f>
        <v/>
      </c>
    </row>
    <row r="759" spans="27:31">
      <c r="AA759" s="117" t="str">
        <f>+'Ingredient List - Mother Tinctu'!D760</f>
        <v>Jacaranda C.</v>
      </c>
      <c r="AB759" s="117">
        <f t="shared" si="14"/>
        <v>0</v>
      </c>
      <c r="AC759" s="117" t="str">
        <f>IF(AB759=1,COUNTIF($AB$3:AB759,1),"")</f>
        <v/>
      </c>
      <c r="AD759" s="117" t="str">
        <f>IFERROR(INDEX($AA$3:$AA$10000,MATCH(ROWS($AC$3:AC759),$AC$3:$AC$10000,0)),"")</f>
        <v/>
      </c>
      <c r="AE759" s="117" t="str">
        <f>+'Packing Material - Cost'!A760</f>
        <v/>
      </c>
    </row>
    <row r="760" spans="27:31">
      <c r="AA760" s="117" t="str">
        <f>+'Ingredient List - Mother Tinctu'!D761</f>
        <v>Jalappa</v>
      </c>
      <c r="AB760" s="117">
        <f t="shared" si="14"/>
        <v>0</v>
      </c>
      <c r="AC760" s="117" t="str">
        <f>IF(AB760=1,COUNTIF($AB$3:AB760,1),"")</f>
        <v/>
      </c>
      <c r="AD760" s="117" t="str">
        <f>IFERROR(INDEX($AA$3:$AA$10000,MATCH(ROWS($AC$3:AC760),$AC$3:$AC$10000,0)),"")</f>
        <v/>
      </c>
      <c r="AE760" s="117" t="str">
        <f>+'Packing Material - Cost'!A761</f>
        <v/>
      </c>
    </row>
    <row r="761" spans="27:31">
      <c r="AA761" s="117" t="str">
        <f>+'Ingredient List - Mother Tinctu'!D762</f>
        <v>Jatropha C.</v>
      </c>
      <c r="AB761" s="117">
        <f t="shared" si="14"/>
        <v>0</v>
      </c>
      <c r="AC761" s="117" t="str">
        <f>IF(AB761=1,COUNTIF($AB$3:AB761,1),"")</f>
        <v/>
      </c>
      <c r="AD761" s="117" t="str">
        <f>IFERROR(INDEX($AA$3:$AA$10000,MATCH(ROWS($AC$3:AC761),$AC$3:$AC$10000,0)),"")</f>
        <v/>
      </c>
      <c r="AE761" s="117" t="str">
        <f>+'Packing Material - Cost'!A762</f>
        <v/>
      </c>
    </row>
    <row r="762" spans="27:31">
      <c r="AA762" s="117" t="str">
        <f>+'Ingredient List - Mother Tinctu'!D763</f>
        <v>Junglans Cin.</v>
      </c>
      <c r="AB762" s="117">
        <f t="shared" si="14"/>
        <v>0</v>
      </c>
      <c r="AC762" s="117" t="str">
        <f>IF(AB762=1,COUNTIF($AB$3:AB762,1),"")</f>
        <v/>
      </c>
      <c r="AD762" s="117" t="str">
        <f>IFERROR(INDEX($AA$3:$AA$10000,MATCH(ROWS($AC$3:AC762),$AC$3:$AC$10000,0)),"")</f>
        <v/>
      </c>
      <c r="AE762" s="117" t="str">
        <f>+'Packing Material - Cost'!A763</f>
        <v/>
      </c>
    </row>
    <row r="763" spans="27:31">
      <c r="AA763" s="117" t="str">
        <f>+'Ingredient List - Mother Tinctu'!D764</f>
        <v>Junglans Regia.</v>
      </c>
      <c r="AB763" s="117">
        <f t="shared" si="14"/>
        <v>0</v>
      </c>
      <c r="AC763" s="117" t="str">
        <f>IF(AB763=1,COUNTIF($AB$3:AB763,1),"")</f>
        <v/>
      </c>
      <c r="AD763" s="117" t="str">
        <f>IFERROR(INDEX($AA$3:$AA$10000,MATCH(ROWS($AC$3:AC763),$AC$3:$AC$10000,0)),"")</f>
        <v/>
      </c>
      <c r="AE763" s="117" t="str">
        <f>+'Packing Material - Cost'!A764</f>
        <v/>
      </c>
    </row>
    <row r="764" spans="27:31">
      <c r="AA764" s="117" t="str">
        <f>+'Ingredient List - Mother Tinctu'!D765</f>
        <v>Juniperus Com.</v>
      </c>
      <c r="AB764" s="117">
        <f t="shared" si="14"/>
        <v>0</v>
      </c>
      <c r="AC764" s="117" t="str">
        <f>IF(AB764=1,COUNTIF($AB$3:AB764,1),"")</f>
        <v/>
      </c>
      <c r="AD764" s="117" t="str">
        <f>IFERROR(INDEX($AA$3:$AA$10000,MATCH(ROWS($AC$3:AC764),$AC$3:$AC$10000,0)),"")</f>
        <v/>
      </c>
      <c r="AE764" s="117" t="str">
        <f>+'Packing Material - Cost'!A765</f>
        <v/>
      </c>
    </row>
    <row r="765" spans="27:31">
      <c r="AA765" s="117" t="str">
        <f>+'Ingredient List - Mother Tinctu'!D766</f>
        <v>Juniperus Virg.</v>
      </c>
      <c r="AB765" s="117">
        <f t="shared" si="14"/>
        <v>0</v>
      </c>
      <c r="AC765" s="117" t="str">
        <f>IF(AB765=1,COUNTIF($AB$3:AB765,1),"")</f>
        <v/>
      </c>
      <c r="AD765" s="117" t="str">
        <f>IFERROR(INDEX($AA$3:$AA$10000,MATCH(ROWS($AC$3:AC765),$AC$3:$AC$10000,0)),"")</f>
        <v/>
      </c>
      <c r="AE765" s="117" t="str">
        <f>+'Packing Material - Cost'!A766</f>
        <v/>
      </c>
    </row>
    <row r="766" spans="27:31">
      <c r="AA766" s="117" t="str">
        <f>+'Ingredient List - Mother Tinctu'!D767</f>
        <v>Justicia Adh.</v>
      </c>
      <c r="AB766" s="117">
        <f t="shared" si="14"/>
        <v>0</v>
      </c>
      <c r="AC766" s="117" t="str">
        <f>IF(AB766=1,COUNTIF($AB$3:AB766,1),"")</f>
        <v/>
      </c>
      <c r="AD766" s="117" t="str">
        <f>IFERROR(INDEX($AA$3:$AA$10000,MATCH(ROWS($AC$3:AC766),$AC$3:$AC$10000,0)),"")</f>
        <v/>
      </c>
      <c r="AE766" s="117" t="str">
        <f>+'Packing Material - Cost'!A767</f>
        <v/>
      </c>
    </row>
    <row r="767" spans="27:31">
      <c r="AA767" s="117" t="str">
        <f>+'Ingredient List - Mother Tinctu'!D768</f>
        <v>Kali Acet.</v>
      </c>
      <c r="AB767" s="117">
        <f t="shared" si="14"/>
        <v>0</v>
      </c>
      <c r="AC767" s="117" t="str">
        <f>IF(AB767=1,COUNTIF($AB$3:AB767,1),"")</f>
        <v/>
      </c>
      <c r="AD767" s="117" t="str">
        <f>IFERROR(INDEX($AA$3:$AA$10000,MATCH(ROWS($AC$3:AC767),$AC$3:$AC$10000,0)),"")</f>
        <v/>
      </c>
      <c r="AE767" s="117" t="str">
        <f>+'Packing Material - Cost'!A768</f>
        <v/>
      </c>
    </row>
    <row r="768" spans="27:31">
      <c r="AA768" s="117" t="str">
        <f>+'Ingredient List - Mother Tinctu'!D769</f>
        <v>Kali Ars.</v>
      </c>
      <c r="AB768" s="117">
        <f t="shared" si="14"/>
        <v>0</v>
      </c>
      <c r="AC768" s="117" t="str">
        <f>IF(AB768=1,COUNTIF($AB$3:AB768,1),"")</f>
        <v/>
      </c>
      <c r="AD768" s="117" t="str">
        <f>IFERROR(INDEX($AA$3:$AA$10000,MATCH(ROWS($AC$3:AC768),$AC$3:$AC$10000,0)),"")</f>
        <v/>
      </c>
      <c r="AE768" s="117" t="str">
        <f>+'Packing Material - Cost'!A769</f>
        <v/>
      </c>
    </row>
    <row r="769" spans="27:31">
      <c r="AA769" s="117" t="str">
        <f>+'Ingredient List - Mother Tinctu'!D770</f>
        <v>Kali Bich.</v>
      </c>
      <c r="AB769" s="117">
        <f t="shared" si="14"/>
        <v>0</v>
      </c>
      <c r="AC769" s="117" t="str">
        <f>IF(AB769=1,COUNTIF($AB$3:AB769,1),"")</f>
        <v/>
      </c>
      <c r="AD769" s="117" t="str">
        <f>IFERROR(INDEX($AA$3:$AA$10000,MATCH(ROWS($AC$3:AC769),$AC$3:$AC$10000,0)),"")</f>
        <v/>
      </c>
      <c r="AE769" s="117" t="str">
        <f>+'Packing Material - Cost'!A770</f>
        <v/>
      </c>
    </row>
    <row r="770" spans="27:31">
      <c r="AA770" s="117" t="str">
        <f>+'Ingredient List - Mother Tinctu'!D771</f>
        <v>Kali Brom.</v>
      </c>
      <c r="AB770" s="117">
        <f t="shared" si="14"/>
        <v>0</v>
      </c>
      <c r="AC770" s="117" t="str">
        <f>IF(AB770=1,COUNTIF($AB$3:AB770,1),"")</f>
        <v/>
      </c>
      <c r="AD770" s="117" t="str">
        <f>IFERROR(INDEX($AA$3:$AA$10000,MATCH(ROWS($AC$3:AC770),$AC$3:$AC$10000,0)),"")</f>
        <v/>
      </c>
      <c r="AE770" s="117" t="str">
        <f>+'Packing Material - Cost'!A771</f>
        <v/>
      </c>
    </row>
    <row r="771" spans="27:31">
      <c r="AA771" s="117" t="str">
        <f>+'Ingredient List - Mother Tinctu'!D772</f>
        <v>Kali Carb.</v>
      </c>
      <c r="AB771" s="117">
        <f t="shared" si="14"/>
        <v>0</v>
      </c>
      <c r="AC771" s="117" t="str">
        <f>IF(AB771=1,COUNTIF($AB$3:AB771,1),"")</f>
        <v/>
      </c>
      <c r="AD771" s="117" t="str">
        <f>IFERROR(INDEX($AA$3:$AA$10000,MATCH(ROWS($AC$3:AC771),$AC$3:$AC$10000,0)),"")</f>
        <v/>
      </c>
      <c r="AE771" s="117" t="str">
        <f>+'Packing Material - Cost'!A772</f>
        <v/>
      </c>
    </row>
    <row r="772" spans="27:31">
      <c r="AA772" s="117" t="str">
        <f>+'Ingredient List - Mother Tinctu'!D773</f>
        <v>Kali Caust</v>
      </c>
      <c r="AB772" s="117">
        <f t="shared" ref="AB772:AB835" si="15">--ISNUMBER(IFERROR(SEARCH($D$3,AA772,1),""))</f>
        <v>0</v>
      </c>
      <c r="AC772" s="117" t="str">
        <f>IF(AB772=1,COUNTIF($AB$3:AB772,1),"")</f>
        <v/>
      </c>
      <c r="AD772" s="117" t="str">
        <f>IFERROR(INDEX($AA$3:$AA$10000,MATCH(ROWS($AC$3:AC772),$AC$3:$AC$10000,0)),"")</f>
        <v/>
      </c>
      <c r="AE772" s="117" t="str">
        <f>+'Packing Material - Cost'!A773</f>
        <v/>
      </c>
    </row>
    <row r="773" spans="27:31">
      <c r="AA773" s="117" t="str">
        <f>+'Ingredient List - Mother Tinctu'!D774</f>
        <v>Kali Chlor.</v>
      </c>
      <c r="AB773" s="117">
        <f t="shared" si="15"/>
        <v>0</v>
      </c>
      <c r="AC773" s="117" t="str">
        <f>IF(AB773=1,COUNTIF($AB$3:AB773,1),"")</f>
        <v/>
      </c>
      <c r="AD773" s="117" t="str">
        <f>IFERROR(INDEX($AA$3:$AA$10000,MATCH(ROWS($AC$3:AC773),$AC$3:$AC$10000,0)),"")</f>
        <v/>
      </c>
      <c r="AE773" s="117" t="str">
        <f>+'Packing Material - Cost'!A774</f>
        <v/>
      </c>
    </row>
    <row r="774" spans="27:31">
      <c r="AA774" s="117" t="str">
        <f>+'Ingredient List - Mother Tinctu'!D775</f>
        <v>Kali Cyan</v>
      </c>
      <c r="AB774" s="117">
        <f t="shared" si="15"/>
        <v>0</v>
      </c>
      <c r="AC774" s="117" t="str">
        <f>IF(AB774=1,COUNTIF($AB$3:AB774,1),"")</f>
        <v/>
      </c>
      <c r="AD774" s="117" t="str">
        <f>IFERROR(INDEX($AA$3:$AA$10000,MATCH(ROWS($AC$3:AC774),$AC$3:$AC$10000,0)),"")</f>
        <v/>
      </c>
      <c r="AE774" s="117" t="str">
        <f>+'Packing Material - Cost'!A775</f>
        <v/>
      </c>
    </row>
    <row r="775" spans="27:31">
      <c r="AA775" s="117" t="str">
        <f>+'Ingredient List - Mother Tinctu'!D776</f>
        <v>Kali Iod. (Kali Hydro. Iod)</v>
      </c>
      <c r="AB775" s="117">
        <f t="shared" si="15"/>
        <v>0</v>
      </c>
      <c r="AC775" s="117" t="str">
        <f>IF(AB775=1,COUNTIF($AB$3:AB775,1),"")</f>
        <v/>
      </c>
      <c r="AD775" s="117" t="str">
        <f>IFERROR(INDEX($AA$3:$AA$10000,MATCH(ROWS($AC$3:AC775),$AC$3:$AC$10000,0)),"")</f>
        <v/>
      </c>
      <c r="AE775" s="117" t="str">
        <f>+'Packing Material - Cost'!A776</f>
        <v/>
      </c>
    </row>
    <row r="776" spans="27:31">
      <c r="AA776" s="117" t="str">
        <f>+'Ingredient List - Mother Tinctu'!D777</f>
        <v>Kali Mur.</v>
      </c>
      <c r="AB776" s="117">
        <f t="shared" si="15"/>
        <v>0</v>
      </c>
      <c r="AC776" s="117" t="str">
        <f>IF(AB776=1,COUNTIF($AB$3:AB776,1),"")</f>
        <v/>
      </c>
      <c r="AD776" s="117" t="str">
        <f>IFERROR(INDEX($AA$3:$AA$10000,MATCH(ROWS($AC$3:AC776),$AC$3:$AC$10000,0)),"")</f>
        <v/>
      </c>
      <c r="AE776" s="117" t="str">
        <f>+'Packing Material - Cost'!A777</f>
        <v/>
      </c>
    </row>
    <row r="777" spans="27:31">
      <c r="AA777" s="117" t="str">
        <f>+'Ingredient List - Mother Tinctu'!D778</f>
        <v>Kali Nit.</v>
      </c>
      <c r="AB777" s="117">
        <f t="shared" si="15"/>
        <v>0</v>
      </c>
      <c r="AC777" s="117" t="str">
        <f>IF(AB777=1,COUNTIF($AB$3:AB777,1),"")</f>
        <v/>
      </c>
      <c r="AD777" s="117" t="str">
        <f>IFERROR(INDEX($AA$3:$AA$10000,MATCH(ROWS($AC$3:AC777),$AC$3:$AC$10000,0)),"")</f>
        <v/>
      </c>
      <c r="AE777" s="117" t="str">
        <f>+'Packing Material - Cost'!A778</f>
        <v/>
      </c>
    </row>
    <row r="778" spans="27:31">
      <c r="AA778" s="117" t="str">
        <f>+'Ingredient List - Mother Tinctu'!D779</f>
        <v>Kali Oxal.</v>
      </c>
      <c r="AB778" s="117">
        <f t="shared" si="15"/>
        <v>0</v>
      </c>
      <c r="AC778" s="117" t="str">
        <f>IF(AB778=1,COUNTIF($AB$3:AB778,1),"")</f>
        <v/>
      </c>
      <c r="AD778" s="117" t="str">
        <f>IFERROR(INDEX($AA$3:$AA$10000,MATCH(ROWS($AC$3:AC778),$AC$3:$AC$10000,0)),"")</f>
        <v/>
      </c>
      <c r="AE778" s="117" t="str">
        <f>+'Packing Material - Cost'!A779</f>
        <v/>
      </c>
    </row>
    <row r="779" spans="27:31">
      <c r="AA779" s="117" t="str">
        <f>+'Ingredient List - Mother Tinctu'!D780</f>
        <v>Kali Perm</v>
      </c>
      <c r="AB779" s="117">
        <f t="shared" si="15"/>
        <v>0</v>
      </c>
      <c r="AC779" s="117" t="str">
        <f>IF(AB779=1,COUNTIF($AB$3:AB779,1),"")</f>
        <v/>
      </c>
      <c r="AD779" s="117" t="str">
        <f>IFERROR(INDEX($AA$3:$AA$10000,MATCH(ROWS($AC$3:AC779),$AC$3:$AC$10000,0)),"")</f>
        <v/>
      </c>
      <c r="AE779" s="117" t="str">
        <f>+'Packing Material - Cost'!A780</f>
        <v/>
      </c>
    </row>
    <row r="780" spans="27:31">
      <c r="AA780" s="117" t="str">
        <f>+'Ingredient List - Mother Tinctu'!D781</f>
        <v>Kali Phos.</v>
      </c>
      <c r="AB780" s="117">
        <f t="shared" si="15"/>
        <v>0</v>
      </c>
      <c r="AC780" s="117" t="str">
        <f>IF(AB780=1,COUNTIF($AB$3:AB780,1),"")</f>
        <v/>
      </c>
      <c r="AD780" s="117" t="str">
        <f>IFERROR(INDEX($AA$3:$AA$10000,MATCH(ROWS($AC$3:AC780),$AC$3:$AC$10000,0)),"")</f>
        <v/>
      </c>
      <c r="AE780" s="117" t="str">
        <f>+'Packing Material - Cost'!A781</f>
        <v/>
      </c>
    </row>
    <row r="781" spans="27:31">
      <c r="AA781" s="117" t="str">
        <f>+'Ingredient List - Mother Tinctu'!D782</f>
        <v>Kali Sulph.</v>
      </c>
      <c r="AB781" s="117">
        <f t="shared" si="15"/>
        <v>0</v>
      </c>
      <c r="AC781" s="117" t="str">
        <f>IF(AB781=1,COUNTIF($AB$3:AB781,1),"")</f>
        <v/>
      </c>
      <c r="AD781" s="117" t="str">
        <f>IFERROR(INDEX($AA$3:$AA$10000,MATCH(ROWS($AC$3:AC781),$AC$3:$AC$10000,0)),"")</f>
        <v/>
      </c>
      <c r="AE781" s="117" t="str">
        <f>+'Packing Material - Cost'!A782</f>
        <v/>
      </c>
    </row>
    <row r="782" spans="27:31">
      <c r="AA782" s="117" t="str">
        <f>+'Ingredient List - Mother Tinctu'!D783</f>
        <v>Kalmia Lat.</v>
      </c>
      <c r="AB782" s="117">
        <f t="shared" si="15"/>
        <v>0</v>
      </c>
      <c r="AC782" s="117" t="str">
        <f>IF(AB782=1,COUNTIF($AB$3:AB782,1),"")</f>
        <v/>
      </c>
      <c r="AD782" s="117" t="str">
        <f>IFERROR(INDEX($AA$3:$AA$10000,MATCH(ROWS($AC$3:AC782),$AC$3:$AC$10000,0)),"")</f>
        <v/>
      </c>
      <c r="AE782" s="117" t="str">
        <f>+'Packing Material - Cost'!A783</f>
        <v/>
      </c>
    </row>
    <row r="783" spans="27:31">
      <c r="AA783" s="117" t="str">
        <f>+'Ingredient List - Mother Tinctu'!D784</f>
        <v>Kaolin</v>
      </c>
      <c r="AB783" s="117">
        <f t="shared" si="15"/>
        <v>0</v>
      </c>
      <c r="AC783" s="117" t="str">
        <f>IF(AB783=1,COUNTIF($AB$3:AB783,1),"")</f>
        <v/>
      </c>
      <c r="AD783" s="117" t="str">
        <f>IFERROR(INDEX($AA$3:$AA$10000,MATCH(ROWS($AC$3:AC783),$AC$3:$AC$10000,0)),"")</f>
        <v/>
      </c>
      <c r="AE783" s="117" t="str">
        <f>+'Packing Material - Cost'!A784</f>
        <v/>
      </c>
    </row>
    <row r="784" spans="27:31">
      <c r="AA784" s="117" t="str">
        <f>+'Ingredient List - Mother Tinctu'!D785</f>
        <v>Kreosotum</v>
      </c>
      <c r="AB784" s="117">
        <f t="shared" si="15"/>
        <v>0</v>
      </c>
      <c r="AC784" s="117" t="str">
        <f>IF(AB784=1,COUNTIF($AB$3:AB784,1),"")</f>
        <v/>
      </c>
      <c r="AD784" s="117" t="str">
        <f>IFERROR(INDEX($AA$3:$AA$10000,MATCH(ROWS($AC$3:AC784),$AC$3:$AC$10000,0)),"")</f>
        <v/>
      </c>
      <c r="AE784" s="117" t="str">
        <f>+'Packing Material - Cost'!A785</f>
        <v/>
      </c>
    </row>
    <row r="785" spans="27:31">
      <c r="AA785" s="117" t="str">
        <f>+'Ingredient List - Mother Tinctu'!D786</f>
        <v>Kurchi(Holarrhena Anti D)</v>
      </c>
      <c r="AB785" s="117">
        <f t="shared" si="15"/>
        <v>0</v>
      </c>
      <c r="AC785" s="117" t="str">
        <f>IF(AB785=1,COUNTIF($AB$3:AB785,1),"")</f>
        <v/>
      </c>
      <c r="AD785" s="117" t="str">
        <f>IFERROR(INDEX($AA$3:$AA$10000,MATCH(ROWS($AC$3:AC785),$AC$3:$AC$10000,0)),"")</f>
        <v/>
      </c>
      <c r="AE785" s="117" t="str">
        <f>+'Packing Material - Cost'!A786</f>
        <v/>
      </c>
    </row>
    <row r="786" spans="27:31">
      <c r="AA786" s="117" t="str">
        <f>+'Ingredient List - Mother Tinctu'!D787</f>
        <v>Lac. Can</v>
      </c>
      <c r="AB786" s="117">
        <f t="shared" si="15"/>
        <v>0</v>
      </c>
      <c r="AC786" s="117" t="str">
        <f>IF(AB786=1,COUNTIF($AB$3:AB786,1),"")</f>
        <v/>
      </c>
      <c r="AD786" s="117" t="str">
        <f>IFERROR(INDEX($AA$3:$AA$10000,MATCH(ROWS($AC$3:AC786),$AC$3:$AC$10000,0)),"")</f>
        <v/>
      </c>
      <c r="AE786" s="117" t="str">
        <f>+'Packing Material - Cost'!A787</f>
        <v/>
      </c>
    </row>
    <row r="787" spans="27:31">
      <c r="AA787" s="117" t="str">
        <f>+'Ingredient List - Mother Tinctu'!D788</f>
        <v>Lac. Def.</v>
      </c>
      <c r="AB787" s="117">
        <f t="shared" si="15"/>
        <v>0</v>
      </c>
      <c r="AC787" s="117" t="str">
        <f>IF(AB787=1,COUNTIF($AB$3:AB787,1),"")</f>
        <v/>
      </c>
      <c r="AD787" s="117" t="str">
        <f>IFERROR(INDEX($AA$3:$AA$10000,MATCH(ROWS($AC$3:AC787),$AC$3:$AC$10000,0)),"")</f>
        <v/>
      </c>
      <c r="AE787" s="117" t="str">
        <f>+'Packing Material - Cost'!A788</f>
        <v/>
      </c>
    </row>
    <row r="788" spans="27:31">
      <c r="AA788" s="117" t="str">
        <f>+'Ingredient List - Mother Tinctu'!D789</f>
        <v>Lac. Fel.</v>
      </c>
      <c r="AB788" s="117">
        <f t="shared" si="15"/>
        <v>0</v>
      </c>
      <c r="AC788" s="117" t="str">
        <f>IF(AB788=1,COUNTIF($AB$3:AB788,1),"")</f>
        <v/>
      </c>
      <c r="AD788" s="117" t="str">
        <f>IFERROR(INDEX($AA$3:$AA$10000,MATCH(ROWS($AC$3:AC788),$AC$3:$AC$10000,0)),"")</f>
        <v/>
      </c>
      <c r="AE788" s="117" t="str">
        <f>+'Packing Material - Cost'!A789</f>
        <v/>
      </c>
    </row>
    <row r="789" spans="27:31">
      <c r="AA789" s="117" t="str">
        <f>+'Ingredient List - Mother Tinctu'!D790</f>
        <v>Lac. Vac.</v>
      </c>
      <c r="AB789" s="117">
        <f t="shared" si="15"/>
        <v>0</v>
      </c>
      <c r="AC789" s="117" t="str">
        <f>IF(AB789=1,COUNTIF($AB$3:AB789,1),"")</f>
        <v/>
      </c>
      <c r="AD789" s="117" t="str">
        <f>IFERROR(INDEX($AA$3:$AA$10000,MATCH(ROWS($AC$3:AC789),$AC$3:$AC$10000,0)),"")</f>
        <v/>
      </c>
      <c r="AE789" s="117" t="str">
        <f>+'Packing Material - Cost'!A790</f>
        <v/>
      </c>
    </row>
    <row r="790" spans="27:31">
      <c r="AA790" s="117" t="str">
        <f>+'Ingredient List - Mother Tinctu'!D791</f>
        <v>Lachesis</v>
      </c>
      <c r="AB790" s="117">
        <f t="shared" si="15"/>
        <v>0</v>
      </c>
      <c r="AC790" s="117" t="str">
        <f>IF(AB790=1,COUNTIF($AB$3:AB790,1),"")</f>
        <v/>
      </c>
      <c r="AD790" s="117" t="str">
        <f>IFERROR(INDEX($AA$3:$AA$10000,MATCH(ROWS($AC$3:AC790),$AC$3:$AC$10000,0)),"")</f>
        <v/>
      </c>
      <c r="AE790" s="117" t="str">
        <f>+'Packing Material - Cost'!A791</f>
        <v/>
      </c>
    </row>
    <row r="791" spans="27:31">
      <c r="AA791" s="117" t="str">
        <f>+'Ingredient List - Mother Tinctu'!D792</f>
        <v>Lachnanthes</v>
      </c>
      <c r="AB791" s="117">
        <f t="shared" si="15"/>
        <v>0</v>
      </c>
      <c r="AC791" s="117" t="str">
        <f>IF(AB791=1,COUNTIF($AB$3:AB791,1),"")</f>
        <v/>
      </c>
      <c r="AD791" s="117" t="str">
        <f>IFERROR(INDEX($AA$3:$AA$10000,MATCH(ROWS($AC$3:AC791),$AC$3:$AC$10000,0)),"")</f>
        <v/>
      </c>
      <c r="AE791" s="117" t="str">
        <f>+'Packing Material - Cost'!A792</f>
        <v/>
      </c>
    </row>
    <row r="792" spans="27:31">
      <c r="AA792" s="117" t="str">
        <f>+'Ingredient List - Mother Tinctu'!D793</f>
        <v>Lapis Alb.</v>
      </c>
      <c r="AB792" s="117">
        <f t="shared" si="15"/>
        <v>0</v>
      </c>
      <c r="AC792" s="117" t="str">
        <f>IF(AB792=1,COUNTIF($AB$3:AB792,1),"")</f>
        <v/>
      </c>
      <c r="AD792" s="117" t="str">
        <f>IFERROR(INDEX($AA$3:$AA$10000,MATCH(ROWS($AC$3:AC792),$AC$3:$AC$10000,0)),"")</f>
        <v/>
      </c>
      <c r="AE792" s="117" t="str">
        <f>+'Packing Material - Cost'!A793</f>
        <v/>
      </c>
    </row>
    <row r="793" spans="27:31">
      <c r="AA793" s="117" t="str">
        <f>+'Ingredient List - Mother Tinctu'!D794</f>
        <v>Lappa Major</v>
      </c>
      <c r="AB793" s="117">
        <f t="shared" si="15"/>
        <v>0</v>
      </c>
      <c r="AC793" s="117" t="str">
        <f>IF(AB793=1,COUNTIF($AB$3:AB793,1),"")</f>
        <v/>
      </c>
      <c r="AD793" s="117" t="str">
        <f>IFERROR(INDEX($AA$3:$AA$10000,MATCH(ROWS($AC$3:AC793),$AC$3:$AC$10000,0)),"")</f>
        <v/>
      </c>
      <c r="AE793" s="117" t="str">
        <f>+'Packing Material - Cost'!A794</f>
        <v/>
      </c>
    </row>
    <row r="794" spans="27:31">
      <c r="AA794" s="117" t="str">
        <f>+'Ingredient List - Mother Tinctu'!D795</f>
        <v>Lathyrus S.</v>
      </c>
      <c r="AB794" s="117">
        <f t="shared" si="15"/>
        <v>0</v>
      </c>
      <c r="AC794" s="117" t="str">
        <f>IF(AB794=1,COUNTIF($AB$3:AB794,1),"")</f>
        <v/>
      </c>
      <c r="AD794" s="117" t="str">
        <f>IFERROR(INDEX($AA$3:$AA$10000,MATCH(ROWS($AC$3:AC794),$AC$3:$AC$10000,0)),"")</f>
        <v/>
      </c>
      <c r="AE794" s="117" t="str">
        <f>+'Packing Material - Cost'!A795</f>
        <v/>
      </c>
    </row>
    <row r="795" spans="27:31">
      <c r="AA795" s="117" t="str">
        <f>+'Ingredient List - Mother Tinctu'!D796</f>
        <v>Latrodect M.</v>
      </c>
      <c r="AB795" s="117">
        <f t="shared" si="15"/>
        <v>0</v>
      </c>
      <c r="AC795" s="117" t="str">
        <f>IF(AB795=1,COUNTIF($AB$3:AB795,1),"")</f>
        <v/>
      </c>
      <c r="AD795" s="117" t="str">
        <f>IFERROR(INDEX($AA$3:$AA$10000,MATCH(ROWS($AC$3:AC795),$AC$3:$AC$10000,0)),"")</f>
        <v/>
      </c>
      <c r="AE795" s="117" t="str">
        <f>+'Packing Material - Cost'!A796</f>
        <v/>
      </c>
    </row>
    <row r="796" spans="27:31">
      <c r="AA796" s="117" t="str">
        <f>+'Ingredient List - Mother Tinctu'!D797</f>
        <v>Laurocerasus</v>
      </c>
      <c r="AB796" s="117">
        <f t="shared" si="15"/>
        <v>0</v>
      </c>
      <c r="AC796" s="117" t="str">
        <f>IF(AB796=1,COUNTIF($AB$3:AB796,1),"")</f>
        <v/>
      </c>
      <c r="AD796" s="117" t="str">
        <f>IFERROR(INDEX($AA$3:$AA$10000,MATCH(ROWS($AC$3:AC796),$AC$3:$AC$10000,0)),"")</f>
        <v/>
      </c>
      <c r="AE796" s="117" t="str">
        <f>+'Packing Material - Cost'!A797</f>
        <v/>
      </c>
    </row>
    <row r="797" spans="27:31">
      <c r="AA797" s="117" t="str">
        <f>+'Ingredient List - Mother Tinctu'!D798</f>
        <v>Lecithin</v>
      </c>
      <c r="AB797" s="117">
        <f t="shared" si="15"/>
        <v>0</v>
      </c>
      <c r="AC797" s="117" t="str">
        <f>IF(AB797=1,COUNTIF($AB$3:AB797,1),"")</f>
        <v/>
      </c>
      <c r="AD797" s="117" t="str">
        <f>IFERROR(INDEX($AA$3:$AA$10000,MATCH(ROWS($AC$3:AC797),$AC$3:$AC$10000,0)),"")</f>
        <v/>
      </c>
      <c r="AE797" s="117" t="str">
        <f>+'Packing Material - Cost'!A798</f>
        <v/>
      </c>
    </row>
    <row r="798" spans="27:31">
      <c r="AA798" s="117" t="str">
        <f>+'Ingredient List - Mother Tinctu'!D799</f>
        <v>Ledum Pal.</v>
      </c>
      <c r="AB798" s="117">
        <f t="shared" si="15"/>
        <v>0</v>
      </c>
      <c r="AC798" s="117" t="str">
        <f>IF(AB798=1,COUNTIF($AB$3:AB798,1),"")</f>
        <v/>
      </c>
      <c r="AD798" s="117" t="str">
        <f>IFERROR(INDEX($AA$3:$AA$10000,MATCH(ROWS($AC$3:AC798),$AC$3:$AC$10000,0)),"")</f>
        <v/>
      </c>
      <c r="AE798" s="117" t="str">
        <f>+'Packing Material - Cost'!A799</f>
        <v/>
      </c>
    </row>
    <row r="799" spans="27:31">
      <c r="AA799" s="117" t="str">
        <f>+'Ingredient List - Mother Tinctu'!D800</f>
        <v>Lemna Minor.</v>
      </c>
      <c r="AB799" s="117">
        <f t="shared" si="15"/>
        <v>0</v>
      </c>
      <c r="AC799" s="117" t="str">
        <f>IF(AB799=1,COUNTIF($AB$3:AB799,1),"")</f>
        <v/>
      </c>
      <c r="AD799" s="117" t="str">
        <f>IFERROR(INDEX($AA$3:$AA$10000,MATCH(ROWS($AC$3:AC799),$AC$3:$AC$10000,0)),"")</f>
        <v/>
      </c>
      <c r="AE799" s="117" t="str">
        <f>+'Packing Material - Cost'!A800</f>
        <v/>
      </c>
    </row>
    <row r="800" spans="27:31">
      <c r="AA800" s="117" t="str">
        <f>+'Ingredient List - Mother Tinctu'!D801</f>
        <v>Leptandra V.</v>
      </c>
      <c r="AB800" s="117">
        <f t="shared" si="15"/>
        <v>0</v>
      </c>
      <c r="AC800" s="117" t="str">
        <f>IF(AB800=1,COUNTIF($AB$3:AB800,1),"")</f>
        <v/>
      </c>
      <c r="AD800" s="117" t="str">
        <f>IFERROR(INDEX($AA$3:$AA$10000,MATCH(ROWS($AC$3:AC800),$AC$3:$AC$10000,0)),"")</f>
        <v/>
      </c>
      <c r="AE800" s="117" t="str">
        <f>+'Packing Material - Cost'!A801</f>
        <v/>
      </c>
    </row>
    <row r="801" spans="27:31">
      <c r="AA801" s="117" t="str">
        <f>+'Ingredient List - Mother Tinctu'!D802</f>
        <v>Leucas Asp.</v>
      </c>
      <c r="AB801" s="117">
        <f t="shared" si="15"/>
        <v>0</v>
      </c>
      <c r="AC801" s="117" t="str">
        <f>IF(AB801=1,COUNTIF($AB$3:AB801,1),"")</f>
        <v/>
      </c>
      <c r="AD801" s="117" t="str">
        <f>IFERROR(INDEX($AA$3:$AA$10000,MATCH(ROWS($AC$3:AC801),$AC$3:$AC$10000,0)),"")</f>
        <v/>
      </c>
      <c r="AE801" s="117" t="str">
        <f>+'Packing Material - Cost'!A802</f>
        <v/>
      </c>
    </row>
    <row r="802" spans="27:31">
      <c r="AA802" s="117" t="str">
        <f>+'Ingredient List - Mother Tinctu'!D803</f>
        <v>Liatris Spic.</v>
      </c>
      <c r="AB802" s="117">
        <f t="shared" si="15"/>
        <v>0</v>
      </c>
      <c r="AC802" s="117" t="str">
        <f>IF(AB802=1,COUNTIF($AB$3:AB802,1),"")</f>
        <v/>
      </c>
      <c r="AD802" s="117" t="str">
        <f>IFERROR(INDEX($AA$3:$AA$10000,MATCH(ROWS($AC$3:AC802),$AC$3:$AC$10000,0)),"")</f>
        <v/>
      </c>
      <c r="AE802" s="117" t="str">
        <f>+'Packing Material - Cost'!A803</f>
        <v/>
      </c>
    </row>
    <row r="803" spans="27:31">
      <c r="AA803" s="117" t="str">
        <f>+'Ingredient List - Mother Tinctu'!D804</f>
        <v>Lillium Tig.</v>
      </c>
      <c r="AB803" s="117">
        <f t="shared" si="15"/>
        <v>0</v>
      </c>
      <c r="AC803" s="117" t="str">
        <f>IF(AB803=1,COUNTIF($AB$3:AB803,1),"")</f>
        <v/>
      </c>
      <c r="AD803" s="117" t="str">
        <f>IFERROR(INDEX($AA$3:$AA$10000,MATCH(ROWS($AC$3:AC803),$AC$3:$AC$10000,0)),"")</f>
        <v/>
      </c>
      <c r="AE803" s="117" t="str">
        <f>+'Packing Material - Cost'!A804</f>
        <v/>
      </c>
    </row>
    <row r="804" spans="27:31">
      <c r="AA804" s="117" t="str">
        <f>+'Ingredient List - Mother Tinctu'!D805</f>
        <v>Lithium Carb.</v>
      </c>
      <c r="AB804" s="117">
        <f t="shared" si="15"/>
        <v>0</v>
      </c>
      <c r="AC804" s="117" t="str">
        <f>IF(AB804=1,COUNTIF($AB$3:AB804,1),"")</f>
        <v/>
      </c>
      <c r="AD804" s="117" t="str">
        <f>IFERROR(INDEX($AA$3:$AA$10000,MATCH(ROWS($AC$3:AC804),$AC$3:$AC$10000,0)),"")</f>
        <v/>
      </c>
      <c r="AE804" s="117" t="str">
        <f>+'Packing Material - Cost'!A805</f>
        <v/>
      </c>
    </row>
    <row r="805" spans="27:31">
      <c r="AA805" s="117" t="str">
        <f>+'Ingredient List - Mother Tinctu'!D806</f>
        <v>Lobelia Infl.</v>
      </c>
      <c r="AB805" s="117">
        <f t="shared" si="15"/>
        <v>0</v>
      </c>
      <c r="AC805" s="117" t="str">
        <f>IF(AB805=1,COUNTIF($AB$3:AB805,1),"")</f>
        <v/>
      </c>
      <c r="AD805" s="117" t="str">
        <f>IFERROR(INDEX($AA$3:$AA$10000,MATCH(ROWS($AC$3:AC805),$AC$3:$AC$10000,0)),"")</f>
        <v/>
      </c>
      <c r="AE805" s="117" t="str">
        <f>+'Packing Material - Cost'!A806</f>
        <v/>
      </c>
    </row>
    <row r="806" spans="27:31">
      <c r="AA806" s="117" t="str">
        <f>+'Ingredient List - Mother Tinctu'!D807</f>
        <v>Lobellia Er.</v>
      </c>
      <c r="AB806" s="117">
        <f t="shared" si="15"/>
        <v>0</v>
      </c>
      <c r="AC806" s="117" t="str">
        <f>IF(AB806=1,COUNTIF($AB$3:AB806,1),"")</f>
        <v/>
      </c>
      <c r="AD806" s="117" t="str">
        <f>IFERROR(INDEX($AA$3:$AA$10000,MATCH(ROWS($AC$3:AC806),$AC$3:$AC$10000,0)),"")</f>
        <v/>
      </c>
      <c r="AE806" s="117" t="str">
        <f>+'Packing Material - Cost'!A807</f>
        <v/>
      </c>
    </row>
    <row r="807" spans="27:31">
      <c r="AA807" s="117" t="str">
        <f>+'Ingredient List - Mother Tinctu'!D808</f>
        <v>Luffa Oper</v>
      </c>
      <c r="AB807" s="117">
        <f t="shared" si="15"/>
        <v>0</v>
      </c>
      <c r="AC807" s="117" t="str">
        <f>IF(AB807=1,COUNTIF($AB$3:AB807,1),"")</f>
        <v/>
      </c>
      <c r="AD807" s="117" t="str">
        <f>IFERROR(INDEX($AA$3:$AA$10000,MATCH(ROWS($AC$3:AC807),$AC$3:$AC$10000,0)),"")</f>
        <v/>
      </c>
      <c r="AE807" s="117" t="str">
        <f>+'Packing Material - Cost'!A808</f>
        <v/>
      </c>
    </row>
    <row r="808" spans="27:31">
      <c r="AA808" s="117" t="str">
        <f>+'Ingredient List - Mother Tinctu'!D809</f>
        <v>Lupulus</v>
      </c>
      <c r="AB808" s="117">
        <f t="shared" si="15"/>
        <v>0</v>
      </c>
      <c r="AC808" s="117" t="str">
        <f>IF(AB808=1,COUNTIF($AB$3:AB808,1),"")</f>
        <v/>
      </c>
      <c r="AD808" s="117" t="str">
        <f>IFERROR(INDEX($AA$3:$AA$10000,MATCH(ROWS($AC$3:AC808),$AC$3:$AC$10000,0)),"")</f>
        <v/>
      </c>
      <c r="AE808" s="117" t="str">
        <f>+'Packing Material - Cost'!A809</f>
        <v/>
      </c>
    </row>
    <row r="809" spans="27:31">
      <c r="AA809" s="117" t="str">
        <f>+'Ingredient List - Mother Tinctu'!D810</f>
        <v>Lycopersicum</v>
      </c>
      <c r="AB809" s="117">
        <f t="shared" si="15"/>
        <v>0</v>
      </c>
      <c r="AC809" s="117" t="str">
        <f>IF(AB809=1,COUNTIF($AB$3:AB809,1),"")</f>
        <v/>
      </c>
      <c r="AD809" s="117" t="str">
        <f>IFERROR(INDEX($AA$3:$AA$10000,MATCH(ROWS($AC$3:AC809),$AC$3:$AC$10000,0)),"")</f>
        <v/>
      </c>
      <c r="AE809" s="117" t="str">
        <f>+'Packing Material - Cost'!A810</f>
        <v/>
      </c>
    </row>
    <row r="810" spans="27:31">
      <c r="AA810" s="117" t="str">
        <f>+'Ingredient List - Mother Tinctu'!D811</f>
        <v>Lycopodium Clav</v>
      </c>
      <c r="AB810" s="117">
        <f t="shared" si="15"/>
        <v>0</v>
      </c>
      <c r="AC810" s="117" t="str">
        <f>IF(AB810=1,COUNTIF($AB$3:AB810,1),"")</f>
        <v/>
      </c>
      <c r="AD810" s="117" t="str">
        <f>IFERROR(INDEX($AA$3:$AA$10000,MATCH(ROWS($AC$3:AC810),$AC$3:$AC$10000,0)),"")</f>
        <v/>
      </c>
      <c r="AE810" s="117" t="str">
        <f>+'Packing Material - Cost'!A811</f>
        <v/>
      </c>
    </row>
    <row r="811" spans="27:31">
      <c r="AA811" s="117" t="str">
        <f>+'Ingredient List - Mother Tinctu'!D812</f>
        <v>Lycopus V</v>
      </c>
      <c r="AB811" s="117">
        <f t="shared" si="15"/>
        <v>0</v>
      </c>
      <c r="AC811" s="117" t="str">
        <f>IF(AB811=1,COUNTIF($AB$3:AB811,1),"")</f>
        <v/>
      </c>
      <c r="AD811" s="117" t="str">
        <f>IFERROR(INDEX($AA$3:$AA$10000,MATCH(ROWS($AC$3:AC811),$AC$3:$AC$10000,0)),"")</f>
        <v/>
      </c>
      <c r="AE811" s="117" t="str">
        <f>+'Packing Material - Cost'!A812</f>
        <v/>
      </c>
    </row>
    <row r="812" spans="27:31">
      <c r="AA812" s="117" t="str">
        <f>+'Ingredient List - Mother Tinctu'!D813</f>
        <v>Lyssin (Hydrophobinum)</v>
      </c>
      <c r="AB812" s="117">
        <f t="shared" si="15"/>
        <v>0</v>
      </c>
      <c r="AC812" s="117" t="str">
        <f>IF(AB812=1,COUNTIF($AB$3:AB812,1),"")</f>
        <v/>
      </c>
      <c r="AD812" s="117" t="str">
        <f>IFERROR(INDEX($AA$3:$AA$10000,MATCH(ROWS($AC$3:AC812),$AC$3:$AC$10000,0)),"")</f>
        <v/>
      </c>
      <c r="AE812" s="117" t="str">
        <f>+'Packing Material - Cost'!A813</f>
        <v/>
      </c>
    </row>
    <row r="813" spans="27:31">
      <c r="AA813" s="117" t="str">
        <f>+'Ingredient List - Mother Tinctu'!D814</f>
        <v>Mag. Acet.</v>
      </c>
      <c r="AB813" s="117">
        <f t="shared" si="15"/>
        <v>0</v>
      </c>
      <c r="AC813" s="117" t="str">
        <f>IF(AB813=1,COUNTIF($AB$3:AB813,1),"")</f>
        <v/>
      </c>
      <c r="AD813" s="117" t="str">
        <f>IFERROR(INDEX($AA$3:$AA$10000,MATCH(ROWS($AC$3:AC813),$AC$3:$AC$10000,0)),"")</f>
        <v/>
      </c>
      <c r="AE813" s="117" t="str">
        <f>+'Packing Material - Cost'!A814</f>
        <v/>
      </c>
    </row>
    <row r="814" spans="27:31">
      <c r="AA814" s="117" t="str">
        <f>+'Ingredient List - Mother Tinctu'!D815</f>
        <v>Mag. Carb.</v>
      </c>
      <c r="AB814" s="117">
        <f t="shared" si="15"/>
        <v>0</v>
      </c>
      <c r="AC814" s="117" t="str">
        <f>IF(AB814=1,COUNTIF($AB$3:AB814,1),"")</f>
        <v/>
      </c>
      <c r="AD814" s="117" t="str">
        <f>IFERROR(INDEX($AA$3:$AA$10000,MATCH(ROWS($AC$3:AC814),$AC$3:$AC$10000,0)),"")</f>
        <v/>
      </c>
      <c r="AE814" s="117" t="str">
        <f>+'Packing Material - Cost'!A815</f>
        <v/>
      </c>
    </row>
    <row r="815" spans="27:31">
      <c r="AA815" s="117" t="str">
        <f>+'Ingredient List - Mother Tinctu'!D816</f>
        <v>Mag. Flour.</v>
      </c>
      <c r="AB815" s="117">
        <f t="shared" si="15"/>
        <v>0</v>
      </c>
      <c r="AC815" s="117" t="str">
        <f>IF(AB815=1,COUNTIF($AB$3:AB815,1),"")</f>
        <v/>
      </c>
      <c r="AD815" s="117" t="str">
        <f>IFERROR(INDEX($AA$3:$AA$10000,MATCH(ROWS($AC$3:AC815),$AC$3:$AC$10000,0)),"")</f>
        <v/>
      </c>
      <c r="AE815" s="117" t="str">
        <f>+'Packing Material - Cost'!A816</f>
        <v/>
      </c>
    </row>
    <row r="816" spans="27:31">
      <c r="AA816" s="117" t="str">
        <f>+'Ingredient List - Mother Tinctu'!D817</f>
        <v>Mag. Mur.</v>
      </c>
      <c r="AB816" s="117">
        <f t="shared" si="15"/>
        <v>0</v>
      </c>
      <c r="AC816" s="117" t="str">
        <f>IF(AB816=1,COUNTIF($AB$3:AB816,1),"")</f>
        <v/>
      </c>
      <c r="AD816" s="117" t="str">
        <f>IFERROR(INDEX($AA$3:$AA$10000,MATCH(ROWS($AC$3:AC816),$AC$3:$AC$10000,0)),"")</f>
        <v/>
      </c>
      <c r="AE816" s="117" t="str">
        <f>+'Packing Material - Cost'!A817</f>
        <v/>
      </c>
    </row>
    <row r="817" spans="27:31">
      <c r="AA817" s="117" t="str">
        <f>+'Ingredient List - Mother Tinctu'!D818</f>
        <v>Mag. Phos.</v>
      </c>
      <c r="AB817" s="117">
        <f t="shared" si="15"/>
        <v>0</v>
      </c>
      <c r="AC817" s="117" t="str">
        <f>IF(AB817=1,COUNTIF($AB$3:AB817,1),"")</f>
        <v/>
      </c>
      <c r="AD817" s="117" t="str">
        <f>IFERROR(INDEX($AA$3:$AA$10000,MATCH(ROWS($AC$3:AC817),$AC$3:$AC$10000,0)),"")</f>
        <v/>
      </c>
      <c r="AE817" s="117" t="str">
        <f>+'Packing Material - Cost'!A818</f>
        <v/>
      </c>
    </row>
    <row r="818" spans="27:31">
      <c r="AA818" s="117" t="str">
        <f>+'Ingredient List - Mother Tinctu'!D819</f>
        <v>Mag. Sulph.</v>
      </c>
      <c r="AB818" s="117">
        <f t="shared" si="15"/>
        <v>0</v>
      </c>
      <c r="AC818" s="117" t="str">
        <f>IF(AB818=1,COUNTIF($AB$3:AB818,1),"")</f>
        <v/>
      </c>
      <c r="AD818" s="117" t="str">
        <f>IFERROR(INDEX($AA$3:$AA$10000,MATCH(ROWS($AC$3:AC818),$AC$3:$AC$10000,0)),"")</f>
        <v/>
      </c>
      <c r="AE818" s="117" t="str">
        <f>+'Packing Material - Cost'!A819</f>
        <v/>
      </c>
    </row>
    <row r="819" spans="27:31">
      <c r="AA819" s="117" t="str">
        <f>+'Ingredient List - Mother Tinctu'!D820</f>
        <v>Magn. Pol. Au.</v>
      </c>
      <c r="AB819" s="117">
        <f t="shared" si="15"/>
        <v>0</v>
      </c>
      <c r="AC819" s="117" t="str">
        <f>IF(AB819=1,COUNTIF($AB$3:AB819,1),"")</f>
        <v/>
      </c>
      <c r="AD819" s="117" t="str">
        <f>IFERROR(INDEX($AA$3:$AA$10000,MATCH(ROWS($AC$3:AC819),$AC$3:$AC$10000,0)),"")</f>
        <v/>
      </c>
      <c r="AE819" s="117" t="str">
        <f>+'Packing Material - Cost'!A820</f>
        <v/>
      </c>
    </row>
    <row r="820" spans="27:31">
      <c r="AA820" s="117" t="str">
        <f>+'Ingredient List - Mother Tinctu'!D821</f>
        <v>Malandrinum</v>
      </c>
      <c r="AB820" s="117">
        <f t="shared" si="15"/>
        <v>0</v>
      </c>
      <c r="AC820" s="117" t="str">
        <f>IF(AB820=1,COUNTIF($AB$3:AB820,1),"")</f>
        <v/>
      </c>
      <c r="AD820" s="117" t="str">
        <f>IFERROR(INDEX($AA$3:$AA$10000,MATCH(ROWS($AC$3:AC820),$AC$3:$AC$10000,0)),"")</f>
        <v/>
      </c>
      <c r="AE820" s="117" t="str">
        <f>+'Packing Material - Cost'!A821</f>
        <v/>
      </c>
    </row>
    <row r="821" spans="27:31">
      <c r="AA821" s="117" t="str">
        <f>+'Ingredient List - Mother Tinctu'!D822</f>
        <v>Malaria Off.</v>
      </c>
      <c r="AB821" s="117">
        <f t="shared" si="15"/>
        <v>0</v>
      </c>
      <c r="AC821" s="117" t="str">
        <f>IF(AB821=1,COUNTIF($AB$3:AB821,1),"")</f>
        <v/>
      </c>
      <c r="AD821" s="117" t="str">
        <f>IFERROR(INDEX($AA$3:$AA$10000,MATCH(ROWS($AC$3:AC821),$AC$3:$AC$10000,0)),"")</f>
        <v/>
      </c>
      <c r="AE821" s="117" t="str">
        <f>+'Packing Material - Cost'!A822</f>
        <v/>
      </c>
    </row>
    <row r="822" spans="27:31">
      <c r="AA822" s="117" t="str">
        <f>+'Ingredient List - Mother Tinctu'!D823</f>
        <v>Mancinella</v>
      </c>
      <c r="AB822" s="117">
        <f t="shared" si="15"/>
        <v>0</v>
      </c>
      <c r="AC822" s="117" t="str">
        <f>IF(AB822=1,COUNTIF($AB$3:AB822,1),"")</f>
        <v/>
      </c>
      <c r="AD822" s="117" t="str">
        <f>IFERROR(INDEX($AA$3:$AA$10000,MATCH(ROWS($AC$3:AC822),$AC$3:$AC$10000,0)),"")</f>
        <v/>
      </c>
      <c r="AE822" s="117" t="str">
        <f>+'Packing Material - Cost'!A823</f>
        <v/>
      </c>
    </row>
    <row r="823" spans="27:31">
      <c r="AA823" s="117" t="str">
        <f>+'Ingredient List - Mother Tinctu'!D824</f>
        <v>Mang. Acet.</v>
      </c>
      <c r="AB823" s="117">
        <f t="shared" si="15"/>
        <v>0</v>
      </c>
      <c r="AC823" s="117" t="str">
        <f>IF(AB823=1,COUNTIF($AB$3:AB823,1),"")</f>
        <v/>
      </c>
      <c r="AD823" s="117" t="str">
        <f>IFERROR(INDEX($AA$3:$AA$10000,MATCH(ROWS($AC$3:AC823),$AC$3:$AC$10000,0)),"")</f>
        <v/>
      </c>
      <c r="AE823" s="117" t="str">
        <f>+'Packing Material - Cost'!A824</f>
        <v/>
      </c>
    </row>
    <row r="824" spans="27:31">
      <c r="AA824" s="117" t="str">
        <f>+'Ingredient List - Mother Tinctu'!D825</f>
        <v>Mangifera Ind.</v>
      </c>
      <c r="AB824" s="117">
        <f t="shared" si="15"/>
        <v>0</v>
      </c>
      <c r="AC824" s="117" t="str">
        <f>IF(AB824=1,COUNTIF($AB$3:AB824,1),"")</f>
        <v/>
      </c>
      <c r="AD824" s="117" t="str">
        <f>IFERROR(INDEX($AA$3:$AA$10000,MATCH(ROWS($AC$3:AC824),$AC$3:$AC$10000,0)),"")</f>
        <v/>
      </c>
      <c r="AE824" s="117" t="str">
        <f>+'Packing Material - Cost'!A825</f>
        <v/>
      </c>
    </row>
    <row r="825" spans="27:31">
      <c r="AA825" s="117" t="str">
        <f>+'Ingredient List - Mother Tinctu'!D826</f>
        <v>Medorrhinum</v>
      </c>
      <c r="AB825" s="117">
        <f t="shared" si="15"/>
        <v>0</v>
      </c>
      <c r="AC825" s="117" t="str">
        <f>IF(AB825=1,COUNTIF($AB$3:AB825,1),"")</f>
        <v/>
      </c>
      <c r="AD825" s="117" t="str">
        <f>IFERROR(INDEX($AA$3:$AA$10000,MATCH(ROWS($AC$3:AC825),$AC$3:$AC$10000,0)),"")</f>
        <v/>
      </c>
      <c r="AE825" s="117" t="str">
        <f>+'Packing Material - Cost'!A826</f>
        <v/>
      </c>
    </row>
    <row r="826" spans="27:31">
      <c r="AA826" s="117" t="str">
        <f>+'Ingredient List - Mother Tinctu'!D827</f>
        <v>Melilotus A.</v>
      </c>
      <c r="AB826" s="117">
        <f t="shared" si="15"/>
        <v>0</v>
      </c>
      <c r="AC826" s="117" t="str">
        <f>IF(AB826=1,COUNTIF($AB$3:AB826,1),"")</f>
        <v/>
      </c>
      <c r="AD826" s="117" t="str">
        <f>IFERROR(INDEX($AA$3:$AA$10000,MATCH(ROWS($AC$3:AC826),$AC$3:$AC$10000,0)),"")</f>
        <v/>
      </c>
      <c r="AE826" s="117" t="str">
        <f>+'Packing Material - Cost'!A827</f>
        <v/>
      </c>
    </row>
    <row r="827" spans="27:31">
      <c r="AA827" s="117" t="str">
        <f>+'Ingredient List - Mother Tinctu'!D828</f>
        <v>Menisper. C.</v>
      </c>
      <c r="AB827" s="117">
        <f t="shared" si="15"/>
        <v>0</v>
      </c>
      <c r="AC827" s="117" t="str">
        <f>IF(AB827=1,COUNTIF($AB$3:AB827,1),"")</f>
        <v/>
      </c>
      <c r="AD827" s="117" t="str">
        <f>IFERROR(INDEX($AA$3:$AA$10000,MATCH(ROWS($AC$3:AC827),$AC$3:$AC$10000,0)),"")</f>
        <v/>
      </c>
      <c r="AE827" s="117" t="str">
        <f>+'Packing Material - Cost'!A828</f>
        <v/>
      </c>
    </row>
    <row r="828" spans="27:31">
      <c r="AA828" s="117" t="str">
        <f>+'Ingredient List - Mother Tinctu'!D829</f>
        <v>Mentha Pip.</v>
      </c>
      <c r="AB828" s="117">
        <f t="shared" si="15"/>
        <v>0</v>
      </c>
      <c r="AC828" s="117" t="str">
        <f>IF(AB828=1,COUNTIF($AB$3:AB828,1),"")</f>
        <v/>
      </c>
      <c r="AD828" s="117" t="str">
        <f>IFERROR(INDEX($AA$3:$AA$10000,MATCH(ROWS($AC$3:AC828),$AC$3:$AC$10000,0)),"")</f>
        <v/>
      </c>
      <c r="AE828" s="117" t="str">
        <f>+'Packing Material - Cost'!A829</f>
        <v/>
      </c>
    </row>
    <row r="829" spans="27:31">
      <c r="AA829" s="117" t="str">
        <f>+'Ingredient List - Mother Tinctu'!D830</f>
        <v>Menthol</v>
      </c>
      <c r="AB829" s="117">
        <f t="shared" si="15"/>
        <v>0</v>
      </c>
      <c r="AC829" s="117" t="str">
        <f>IF(AB829=1,COUNTIF($AB$3:AB829,1),"")</f>
        <v/>
      </c>
      <c r="AD829" s="117" t="str">
        <f>IFERROR(INDEX($AA$3:$AA$10000,MATCH(ROWS($AC$3:AC829),$AC$3:$AC$10000,0)),"")</f>
        <v/>
      </c>
      <c r="AE829" s="117" t="str">
        <f>+'Packing Material - Cost'!A830</f>
        <v/>
      </c>
    </row>
    <row r="830" spans="27:31">
      <c r="AA830" s="117" t="str">
        <f>+'Ingredient List - Mother Tinctu'!D831</f>
        <v>Menyanthus.</v>
      </c>
      <c r="AB830" s="117">
        <f t="shared" si="15"/>
        <v>0</v>
      </c>
      <c r="AC830" s="117" t="str">
        <f>IF(AB830=1,COUNTIF($AB$3:AB830,1),"")</f>
        <v/>
      </c>
      <c r="AD830" s="117" t="str">
        <f>IFERROR(INDEX($AA$3:$AA$10000,MATCH(ROWS($AC$3:AC830),$AC$3:$AC$10000,0)),"")</f>
        <v/>
      </c>
      <c r="AE830" s="117" t="str">
        <f>+'Packing Material - Cost'!A831</f>
        <v/>
      </c>
    </row>
    <row r="831" spans="27:31">
      <c r="AA831" s="117" t="str">
        <f>+'Ingredient List - Mother Tinctu'!D832</f>
        <v>Mephitis</v>
      </c>
      <c r="AB831" s="117">
        <f t="shared" si="15"/>
        <v>0</v>
      </c>
      <c r="AC831" s="117" t="str">
        <f>IF(AB831=1,COUNTIF($AB$3:AB831,1),"")</f>
        <v/>
      </c>
      <c r="AD831" s="117" t="str">
        <f>IFERROR(INDEX($AA$3:$AA$10000,MATCH(ROWS($AC$3:AC831),$AC$3:$AC$10000,0)),"")</f>
        <v/>
      </c>
      <c r="AE831" s="117" t="str">
        <f>+'Packing Material - Cost'!A832</f>
        <v/>
      </c>
    </row>
    <row r="832" spans="27:31">
      <c r="AA832" s="117" t="str">
        <f>+'Ingredient List - Mother Tinctu'!D833</f>
        <v>Mephitis Putur.</v>
      </c>
      <c r="AB832" s="117">
        <f t="shared" si="15"/>
        <v>0</v>
      </c>
      <c r="AC832" s="117" t="str">
        <f>IF(AB832=1,COUNTIF($AB$3:AB832,1),"")</f>
        <v/>
      </c>
      <c r="AD832" s="117" t="str">
        <f>IFERROR(INDEX($AA$3:$AA$10000,MATCH(ROWS($AC$3:AC832),$AC$3:$AC$10000,0)),"")</f>
        <v/>
      </c>
      <c r="AE832" s="117" t="str">
        <f>+'Packing Material - Cost'!A833</f>
        <v/>
      </c>
    </row>
    <row r="833" spans="27:31">
      <c r="AA833" s="117" t="str">
        <f>+'Ingredient List - Mother Tinctu'!D834</f>
        <v>Merc. Bin. Iod (MIR)</v>
      </c>
      <c r="AB833" s="117">
        <f t="shared" si="15"/>
        <v>0</v>
      </c>
      <c r="AC833" s="117" t="str">
        <f>IF(AB833=1,COUNTIF($AB$3:AB833,1),"")</f>
        <v/>
      </c>
      <c r="AD833" s="117" t="str">
        <f>IFERROR(INDEX($AA$3:$AA$10000,MATCH(ROWS($AC$3:AC833),$AC$3:$AC$10000,0)),"")</f>
        <v/>
      </c>
      <c r="AE833" s="117" t="str">
        <f>+'Packing Material - Cost'!A834</f>
        <v/>
      </c>
    </row>
    <row r="834" spans="27:31">
      <c r="AA834" s="117" t="str">
        <f>+'Ingredient List - Mother Tinctu'!D835</f>
        <v>Merc. Cor.</v>
      </c>
      <c r="AB834" s="117">
        <f t="shared" si="15"/>
        <v>0</v>
      </c>
      <c r="AC834" s="117" t="str">
        <f>IF(AB834=1,COUNTIF($AB$3:AB834,1),"")</f>
        <v/>
      </c>
      <c r="AD834" s="117" t="str">
        <f>IFERROR(INDEX($AA$3:$AA$10000,MATCH(ROWS($AC$3:AC834),$AC$3:$AC$10000,0)),"")</f>
        <v/>
      </c>
      <c r="AE834" s="117" t="str">
        <f>+'Packing Material - Cost'!A835</f>
        <v/>
      </c>
    </row>
    <row r="835" spans="27:31">
      <c r="AA835" s="117" t="str">
        <f>+'Ingredient List - Mother Tinctu'!D836</f>
        <v>Merc. Cyan</v>
      </c>
      <c r="AB835" s="117">
        <f t="shared" si="15"/>
        <v>0</v>
      </c>
      <c r="AC835" s="117" t="str">
        <f>IF(AB835=1,COUNTIF($AB$3:AB835,1),"")</f>
        <v/>
      </c>
      <c r="AD835" s="117" t="str">
        <f>IFERROR(INDEX($AA$3:$AA$10000,MATCH(ROWS($AC$3:AC835),$AC$3:$AC$10000,0)),"")</f>
        <v/>
      </c>
      <c r="AE835" s="117" t="str">
        <f>+'Packing Material - Cost'!A836</f>
        <v/>
      </c>
    </row>
    <row r="836" spans="27:31">
      <c r="AA836" s="117" t="str">
        <f>+'Ingredient List - Mother Tinctu'!D837</f>
        <v>Merc. Dulc.</v>
      </c>
      <c r="AB836" s="117">
        <f t="shared" ref="AB836:AB899" si="16">--ISNUMBER(IFERROR(SEARCH($D$3,AA836,1),""))</f>
        <v>0</v>
      </c>
      <c r="AC836" s="117" t="str">
        <f>IF(AB836=1,COUNTIF($AB$3:AB836,1),"")</f>
        <v/>
      </c>
      <c r="AD836" s="117" t="str">
        <f>IFERROR(INDEX($AA$3:$AA$10000,MATCH(ROWS($AC$3:AC836),$AC$3:$AC$10000,0)),"")</f>
        <v/>
      </c>
      <c r="AE836" s="117" t="str">
        <f>+'Packing Material - Cost'!A837</f>
        <v/>
      </c>
    </row>
    <row r="837" spans="27:31">
      <c r="AA837" s="117" t="str">
        <f>+'Ingredient List - Mother Tinctu'!D838</f>
        <v>Merc. Iod. Flav. (MPI)</v>
      </c>
      <c r="AB837" s="117">
        <f t="shared" si="16"/>
        <v>0</v>
      </c>
      <c r="AC837" s="117" t="str">
        <f>IF(AB837=1,COUNTIF($AB$3:AB837,1),"")</f>
        <v/>
      </c>
      <c r="AD837" s="117" t="str">
        <f>IFERROR(INDEX($AA$3:$AA$10000,MATCH(ROWS($AC$3:AC837),$AC$3:$AC$10000,0)),"")</f>
        <v/>
      </c>
      <c r="AE837" s="117" t="str">
        <f>+'Packing Material - Cost'!A838</f>
        <v/>
      </c>
    </row>
    <row r="838" spans="27:31">
      <c r="AA838" s="117" t="str">
        <f>+'Ingredient List - Mother Tinctu'!D839</f>
        <v>Merc. Iod. Rub. (MBI)</v>
      </c>
      <c r="AB838" s="117">
        <f t="shared" si="16"/>
        <v>0</v>
      </c>
      <c r="AC838" s="117" t="str">
        <f>IF(AB838=1,COUNTIF($AB$3:AB838,1),"")</f>
        <v/>
      </c>
      <c r="AD838" s="117" t="str">
        <f>IFERROR(INDEX($AA$3:$AA$10000,MATCH(ROWS($AC$3:AC838),$AC$3:$AC$10000,0)),"")</f>
        <v/>
      </c>
      <c r="AE838" s="117" t="str">
        <f>+'Packing Material - Cost'!A839</f>
        <v/>
      </c>
    </row>
    <row r="839" spans="27:31">
      <c r="AA839" s="117" t="str">
        <f>+'Ingredient List - Mother Tinctu'!D840</f>
        <v>Merc. Pr. Iod. (MIF)</v>
      </c>
      <c r="AB839" s="117">
        <f t="shared" si="16"/>
        <v>0</v>
      </c>
      <c r="AC839" s="117" t="str">
        <f>IF(AB839=1,COUNTIF($AB$3:AB839,1),"")</f>
        <v/>
      </c>
      <c r="AD839" s="117" t="str">
        <f>IFERROR(INDEX($AA$3:$AA$10000,MATCH(ROWS($AC$3:AC839),$AC$3:$AC$10000,0)),"")</f>
        <v/>
      </c>
      <c r="AE839" s="117" t="str">
        <f>+'Packing Material - Cost'!A840</f>
        <v/>
      </c>
    </row>
    <row r="840" spans="27:31">
      <c r="AA840" s="117" t="str">
        <f>+'Ingredient List - Mother Tinctu'!D841</f>
        <v>Merc. Sol.</v>
      </c>
      <c r="AB840" s="117">
        <f t="shared" si="16"/>
        <v>0</v>
      </c>
      <c r="AC840" s="117" t="str">
        <f>IF(AB840=1,COUNTIF($AB$3:AB840,1),"")</f>
        <v/>
      </c>
      <c r="AD840" s="117" t="str">
        <f>IFERROR(INDEX($AA$3:$AA$10000,MATCH(ROWS($AC$3:AC840),$AC$3:$AC$10000,0)),"")</f>
        <v/>
      </c>
      <c r="AE840" s="117" t="str">
        <f>+'Packing Material - Cost'!A841</f>
        <v/>
      </c>
    </row>
    <row r="841" spans="27:31">
      <c r="AA841" s="117" t="str">
        <f>+'Ingredient List - Mother Tinctu'!D842</f>
        <v>Mere. Sulph.</v>
      </c>
      <c r="AB841" s="117">
        <f t="shared" si="16"/>
        <v>0</v>
      </c>
      <c r="AC841" s="117" t="str">
        <f>IF(AB841=1,COUNTIF($AB$3:AB841,1),"")</f>
        <v/>
      </c>
      <c r="AD841" s="117" t="str">
        <f>IFERROR(INDEX($AA$3:$AA$10000,MATCH(ROWS($AC$3:AC841),$AC$3:$AC$10000,0)),"")</f>
        <v/>
      </c>
      <c r="AE841" s="117" t="str">
        <f>+'Packing Material - Cost'!A842</f>
        <v/>
      </c>
    </row>
    <row r="842" spans="27:31">
      <c r="AA842" s="117" t="str">
        <f>+'Ingredient List - Mother Tinctu'!D843</f>
        <v>Mere. Viv.</v>
      </c>
      <c r="AB842" s="117">
        <f t="shared" si="16"/>
        <v>0</v>
      </c>
      <c r="AC842" s="117" t="str">
        <f>IF(AB842=1,COUNTIF($AB$3:AB842,1),"")</f>
        <v/>
      </c>
      <c r="AD842" s="117" t="str">
        <f>IFERROR(INDEX($AA$3:$AA$10000,MATCH(ROWS($AC$3:AC842),$AC$3:$AC$10000,0)),"")</f>
        <v/>
      </c>
      <c r="AE842" s="117" t="str">
        <f>+'Packing Material - Cost'!A843</f>
        <v/>
      </c>
    </row>
    <row r="843" spans="27:31">
      <c r="AA843" s="117" t="str">
        <f>+'Ingredient List - Mother Tinctu'!D844</f>
        <v>Methyle. Bl.</v>
      </c>
      <c r="AB843" s="117">
        <f t="shared" si="16"/>
        <v>0</v>
      </c>
      <c r="AC843" s="117" t="str">
        <f>IF(AB843=1,COUNTIF($AB$3:AB843,1),"")</f>
        <v/>
      </c>
      <c r="AD843" s="117" t="str">
        <f>IFERROR(INDEX($AA$3:$AA$10000,MATCH(ROWS($AC$3:AC843),$AC$3:$AC$10000,0)),"")</f>
        <v/>
      </c>
      <c r="AE843" s="117" t="str">
        <f>+'Packing Material - Cost'!A844</f>
        <v/>
      </c>
    </row>
    <row r="844" spans="27:31">
      <c r="AA844" s="117" t="str">
        <f>+'Ingredient List - Mother Tinctu'!D845</f>
        <v>Mezereum</v>
      </c>
      <c r="AB844" s="117">
        <f t="shared" si="16"/>
        <v>0</v>
      </c>
      <c r="AC844" s="117" t="str">
        <f>IF(AB844=1,COUNTIF($AB$3:AB844,1),"")</f>
        <v/>
      </c>
      <c r="AD844" s="117" t="str">
        <f>IFERROR(INDEX($AA$3:$AA$10000,MATCH(ROWS($AC$3:AC844),$AC$3:$AC$10000,0)),"")</f>
        <v/>
      </c>
      <c r="AE844" s="117" t="str">
        <f>+'Packing Material - Cost'!A845</f>
        <v/>
      </c>
    </row>
    <row r="845" spans="27:31">
      <c r="AA845" s="117" t="str">
        <f>+'Ingredient List - Mother Tinctu'!D846</f>
        <v>Millefolium</v>
      </c>
      <c r="AB845" s="117">
        <f t="shared" si="16"/>
        <v>0</v>
      </c>
      <c r="AC845" s="117" t="str">
        <f>IF(AB845=1,COUNTIF($AB$3:AB845,1),"")</f>
        <v/>
      </c>
      <c r="AD845" s="117" t="str">
        <f>IFERROR(INDEX($AA$3:$AA$10000,MATCH(ROWS($AC$3:AC845),$AC$3:$AC$10000,0)),"")</f>
        <v/>
      </c>
      <c r="AE845" s="117" t="str">
        <f>+'Packing Material - Cost'!A846</f>
        <v/>
      </c>
    </row>
    <row r="846" spans="27:31">
      <c r="AA846" s="117" t="str">
        <f>+'Ingredient List - Mother Tinctu'!D847</f>
        <v>Mimosa Pud</v>
      </c>
      <c r="AB846" s="117">
        <f t="shared" si="16"/>
        <v>0</v>
      </c>
      <c r="AC846" s="117" t="str">
        <f>IF(AB846=1,COUNTIF($AB$3:AB846,1),"")</f>
        <v/>
      </c>
      <c r="AD846" s="117" t="str">
        <f>IFERROR(INDEX($AA$3:$AA$10000,MATCH(ROWS($AC$3:AC846),$AC$3:$AC$10000,0)),"")</f>
        <v/>
      </c>
      <c r="AE846" s="117" t="str">
        <f>+'Packing Material - Cost'!A847</f>
        <v/>
      </c>
    </row>
    <row r="847" spans="27:31">
      <c r="AA847" s="117" t="str">
        <f>+'Ingredient List - Mother Tinctu'!D848</f>
        <v>Morbillinum</v>
      </c>
      <c r="AB847" s="117">
        <f t="shared" si="16"/>
        <v>0</v>
      </c>
      <c r="AC847" s="117" t="str">
        <f>IF(AB847=1,COUNTIF($AB$3:AB847,1),"")</f>
        <v/>
      </c>
      <c r="AD847" s="117" t="str">
        <f>IFERROR(INDEX($AA$3:$AA$10000,MATCH(ROWS($AC$3:AC847),$AC$3:$AC$10000,0)),"")</f>
        <v/>
      </c>
      <c r="AE847" s="117" t="str">
        <f>+'Packing Material - Cost'!A848</f>
        <v/>
      </c>
    </row>
    <row r="848" spans="27:31">
      <c r="AA848" s="117" t="str">
        <f>+'Ingredient List - Mother Tinctu'!D849</f>
        <v>Morphinum</v>
      </c>
      <c r="AB848" s="117">
        <f t="shared" si="16"/>
        <v>0</v>
      </c>
      <c r="AC848" s="117" t="str">
        <f>IF(AB848=1,COUNTIF($AB$3:AB848,1),"")</f>
        <v/>
      </c>
      <c r="AD848" s="117" t="str">
        <f>IFERROR(INDEX($AA$3:$AA$10000,MATCH(ROWS($AC$3:AC848),$AC$3:$AC$10000,0)),"")</f>
        <v/>
      </c>
      <c r="AE848" s="117" t="str">
        <f>+'Packing Material - Cost'!A849</f>
        <v/>
      </c>
    </row>
    <row r="849" spans="27:31">
      <c r="AA849" s="117" t="str">
        <f>+'Ingredient List - Mother Tinctu'!D850</f>
        <v>Moschus</v>
      </c>
      <c r="AB849" s="117">
        <f t="shared" si="16"/>
        <v>0</v>
      </c>
      <c r="AC849" s="117" t="str">
        <f>IF(AB849=1,COUNTIF($AB$3:AB849,1),"")</f>
        <v/>
      </c>
      <c r="AD849" s="117" t="str">
        <f>IFERROR(INDEX($AA$3:$AA$10000,MATCH(ROWS($AC$3:AC849),$AC$3:$AC$10000,0)),"")</f>
        <v/>
      </c>
      <c r="AE849" s="117" t="str">
        <f>+'Packing Material - Cost'!A850</f>
        <v/>
      </c>
    </row>
    <row r="850" spans="27:31">
      <c r="AA850" s="117" t="str">
        <f>+'Ingredient List - Mother Tinctu'!D851</f>
        <v>Murex</v>
      </c>
      <c r="AB850" s="117">
        <f t="shared" si="16"/>
        <v>0</v>
      </c>
      <c r="AC850" s="117" t="str">
        <f>IF(AB850=1,COUNTIF($AB$3:AB850,1),"")</f>
        <v/>
      </c>
      <c r="AD850" s="117" t="str">
        <f>IFERROR(INDEX($AA$3:$AA$10000,MATCH(ROWS($AC$3:AC850),$AC$3:$AC$10000,0)),"")</f>
        <v/>
      </c>
      <c r="AE850" s="117" t="str">
        <f>+'Packing Material - Cost'!A851</f>
        <v/>
      </c>
    </row>
    <row r="851" spans="27:31">
      <c r="AA851" s="117" t="str">
        <f>+'Ingredient List - Mother Tinctu'!D852</f>
        <v>Mygale</v>
      </c>
      <c r="AB851" s="117">
        <f t="shared" si="16"/>
        <v>0</v>
      </c>
      <c r="AC851" s="117" t="str">
        <f>IF(AB851=1,COUNTIF($AB$3:AB851,1),"")</f>
        <v/>
      </c>
      <c r="AD851" s="117" t="str">
        <f>IFERROR(INDEX($AA$3:$AA$10000,MATCH(ROWS($AC$3:AC851),$AC$3:$AC$10000,0)),"")</f>
        <v/>
      </c>
      <c r="AE851" s="117" t="str">
        <f>+'Packing Material - Cost'!A852</f>
        <v/>
      </c>
    </row>
    <row r="852" spans="27:31">
      <c r="AA852" s="117" t="str">
        <f>+'Ingredient List - Mother Tinctu'!D853</f>
        <v>Myristica Seb.</v>
      </c>
      <c r="AB852" s="117">
        <f t="shared" si="16"/>
        <v>0</v>
      </c>
      <c r="AC852" s="117" t="str">
        <f>IF(AB852=1,COUNTIF($AB$3:AB852,1),"")</f>
        <v/>
      </c>
      <c r="AD852" s="117" t="str">
        <f>IFERROR(INDEX($AA$3:$AA$10000,MATCH(ROWS($AC$3:AC852),$AC$3:$AC$10000,0)),"")</f>
        <v/>
      </c>
      <c r="AE852" s="117" t="str">
        <f>+'Packing Material - Cost'!A853</f>
        <v/>
      </c>
    </row>
    <row r="853" spans="27:31">
      <c r="AA853" s="117" t="str">
        <f>+'Ingredient List - Mother Tinctu'!D854</f>
        <v>Myrtus Co.</v>
      </c>
      <c r="AB853" s="117">
        <f t="shared" si="16"/>
        <v>0</v>
      </c>
      <c r="AC853" s="117" t="str">
        <f>IF(AB853=1,COUNTIF($AB$3:AB853,1),"")</f>
        <v/>
      </c>
      <c r="AD853" s="117" t="str">
        <f>IFERROR(INDEX($AA$3:$AA$10000,MATCH(ROWS($AC$3:AC853),$AC$3:$AC$10000,0)),"")</f>
        <v/>
      </c>
      <c r="AE853" s="117" t="str">
        <f>+'Packing Material - Cost'!A854</f>
        <v/>
      </c>
    </row>
    <row r="854" spans="27:31">
      <c r="AA854" s="117" t="str">
        <f>+'Ingredient List - Mother Tinctu'!D855</f>
        <v>Naja Trip.</v>
      </c>
      <c r="AB854" s="117">
        <f t="shared" si="16"/>
        <v>0</v>
      </c>
      <c r="AC854" s="117" t="str">
        <f>IF(AB854=1,COUNTIF($AB$3:AB854,1),"")</f>
        <v/>
      </c>
      <c r="AD854" s="117" t="str">
        <f>IFERROR(INDEX($AA$3:$AA$10000,MATCH(ROWS($AC$3:AC854),$AC$3:$AC$10000,0)),"")</f>
        <v/>
      </c>
      <c r="AE854" s="117" t="str">
        <f>+'Packing Material - Cost'!A855</f>
        <v/>
      </c>
    </row>
    <row r="855" spans="27:31">
      <c r="AA855" s="117" t="str">
        <f>+'Ingredient List - Mother Tinctu'!D856</f>
        <v>Naphthalin</v>
      </c>
      <c r="AB855" s="117">
        <f t="shared" si="16"/>
        <v>0</v>
      </c>
      <c r="AC855" s="117" t="str">
        <f>IF(AB855=1,COUNTIF($AB$3:AB855,1),"")</f>
        <v/>
      </c>
      <c r="AD855" s="117" t="str">
        <f>IFERROR(INDEX($AA$3:$AA$10000,MATCH(ROWS($AC$3:AC855),$AC$3:$AC$10000,0)),"")</f>
        <v/>
      </c>
      <c r="AE855" s="117" t="str">
        <f>+'Packing Material - Cost'!A856</f>
        <v/>
      </c>
    </row>
    <row r="856" spans="27:31">
      <c r="AA856" s="117" t="str">
        <f>+'Ingredient List - Mother Tinctu'!D857</f>
        <v>Nat. Ars.</v>
      </c>
      <c r="AB856" s="117">
        <f t="shared" si="16"/>
        <v>0</v>
      </c>
      <c r="AC856" s="117" t="str">
        <f>IF(AB856=1,COUNTIF($AB$3:AB856,1),"")</f>
        <v/>
      </c>
      <c r="AD856" s="117" t="str">
        <f>IFERROR(INDEX($AA$3:$AA$10000,MATCH(ROWS($AC$3:AC856),$AC$3:$AC$10000,0)),"")</f>
        <v/>
      </c>
      <c r="AE856" s="117" t="str">
        <f>+'Packing Material - Cost'!A857</f>
        <v/>
      </c>
    </row>
    <row r="857" spans="27:31">
      <c r="AA857" s="117" t="str">
        <f>+'Ingredient List - Mother Tinctu'!D858</f>
        <v>Nat. Carb.</v>
      </c>
      <c r="AB857" s="117">
        <f t="shared" si="16"/>
        <v>0</v>
      </c>
      <c r="AC857" s="117" t="str">
        <f>IF(AB857=1,COUNTIF($AB$3:AB857,1),"")</f>
        <v/>
      </c>
      <c r="AD857" s="117" t="str">
        <f>IFERROR(INDEX($AA$3:$AA$10000,MATCH(ROWS($AC$3:AC857),$AC$3:$AC$10000,0)),"")</f>
        <v/>
      </c>
      <c r="AE857" s="117" t="str">
        <f>+'Packing Material - Cost'!A858</f>
        <v/>
      </c>
    </row>
    <row r="858" spans="27:31">
      <c r="AA858" s="117" t="str">
        <f>+'Ingredient List - Mother Tinctu'!D859</f>
        <v>Nat. Chior.</v>
      </c>
      <c r="AB858" s="117">
        <f t="shared" si="16"/>
        <v>0</v>
      </c>
      <c r="AC858" s="117" t="str">
        <f>IF(AB858=1,COUNTIF($AB$3:AB858,1),"")</f>
        <v/>
      </c>
      <c r="AD858" s="117" t="str">
        <f>IFERROR(INDEX($AA$3:$AA$10000,MATCH(ROWS($AC$3:AC858),$AC$3:$AC$10000,0)),"")</f>
        <v/>
      </c>
      <c r="AE858" s="117" t="str">
        <f>+'Packing Material - Cost'!A859</f>
        <v/>
      </c>
    </row>
    <row r="859" spans="27:31">
      <c r="AA859" s="117" t="str">
        <f>+'Ingredient List - Mother Tinctu'!D860</f>
        <v>Nat. Iod.</v>
      </c>
      <c r="AB859" s="117">
        <f t="shared" si="16"/>
        <v>0</v>
      </c>
      <c r="AC859" s="117" t="str">
        <f>IF(AB859=1,COUNTIF($AB$3:AB859,1),"")</f>
        <v/>
      </c>
      <c r="AD859" s="117" t="str">
        <f>IFERROR(INDEX($AA$3:$AA$10000,MATCH(ROWS($AC$3:AC859),$AC$3:$AC$10000,0)),"")</f>
        <v/>
      </c>
      <c r="AE859" s="117" t="str">
        <f>+'Packing Material - Cost'!A860</f>
        <v/>
      </c>
    </row>
    <row r="860" spans="27:31">
      <c r="AA860" s="117" t="str">
        <f>+'Ingredient List - Mother Tinctu'!D861</f>
        <v>Nat. Mur.</v>
      </c>
      <c r="AB860" s="117">
        <f t="shared" si="16"/>
        <v>0</v>
      </c>
      <c r="AC860" s="117" t="str">
        <f>IF(AB860=1,COUNTIF($AB$3:AB860,1),"")</f>
        <v/>
      </c>
      <c r="AD860" s="117" t="str">
        <f>IFERROR(INDEX($AA$3:$AA$10000,MATCH(ROWS($AC$3:AC860),$AC$3:$AC$10000,0)),"")</f>
        <v/>
      </c>
      <c r="AE860" s="117" t="str">
        <f>+'Packing Material - Cost'!A861</f>
        <v/>
      </c>
    </row>
    <row r="861" spans="27:31">
      <c r="AA861" s="117" t="str">
        <f>+'Ingredient List - Mother Tinctu'!D862</f>
        <v>Nat. Nit.</v>
      </c>
      <c r="AB861" s="117">
        <f t="shared" si="16"/>
        <v>0</v>
      </c>
      <c r="AC861" s="117" t="str">
        <f>IF(AB861=1,COUNTIF($AB$3:AB861,1),"")</f>
        <v/>
      </c>
      <c r="AD861" s="117" t="str">
        <f>IFERROR(INDEX($AA$3:$AA$10000,MATCH(ROWS($AC$3:AC861),$AC$3:$AC$10000,0)),"")</f>
        <v/>
      </c>
      <c r="AE861" s="117" t="str">
        <f>+'Packing Material - Cost'!A862</f>
        <v/>
      </c>
    </row>
    <row r="862" spans="27:31">
      <c r="AA862" s="117" t="str">
        <f>+'Ingredient List - Mother Tinctu'!D863</f>
        <v>Nat. Phos.</v>
      </c>
      <c r="AB862" s="117">
        <f t="shared" si="16"/>
        <v>0</v>
      </c>
      <c r="AC862" s="117" t="str">
        <f>IF(AB862=1,COUNTIF($AB$3:AB862,1),"")</f>
        <v/>
      </c>
      <c r="AD862" s="117" t="str">
        <f>IFERROR(INDEX($AA$3:$AA$10000,MATCH(ROWS($AC$3:AC862),$AC$3:$AC$10000,0)),"")</f>
        <v/>
      </c>
      <c r="AE862" s="117" t="str">
        <f>+'Packing Material - Cost'!A863</f>
        <v/>
      </c>
    </row>
    <row r="863" spans="27:31">
      <c r="AA863" s="117" t="str">
        <f>+'Ingredient List - Mother Tinctu'!D864</f>
        <v>Nat. Salic</v>
      </c>
      <c r="AB863" s="117">
        <f t="shared" si="16"/>
        <v>0</v>
      </c>
      <c r="AC863" s="117" t="str">
        <f>IF(AB863=1,COUNTIF($AB$3:AB863,1),"")</f>
        <v/>
      </c>
      <c r="AD863" s="117" t="str">
        <f>IFERROR(INDEX($AA$3:$AA$10000,MATCH(ROWS($AC$3:AC863),$AC$3:$AC$10000,0)),"")</f>
        <v/>
      </c>
      <c r="AE863" s="117" t="str">
        <f>+'Packing Material - Cost'!A864</f>
        <v/>
      </c>
    </row>
    <row r="864" spans="27:31">
      <c r="AA864" s="117" t="str">
        <f>+'Ingredient List - Mother Tinctu'!D865</f>
        <v>Nat. Silic</v>
      </c>
      <c r="AB864" s="117">
        <f t="shared" si="16"/>
        <v>0</v>
      </c>
      <c r="AC864" s="117" t="str">
        <f>IF(AB864=1,COUNTIF($AB$3:AB864,1),"")</f>
        <v/>
      </c>
      <c r="AD864" s="117" t="str">
        <f>IFERROR(INDEX($AA$3:$AA$10000,MATCH(ROWS($AC$3:AC864),$AC$3:$AC$10000,0)),"")</f>
        <v/>
      </c>
      <c r="AE864" s="117" t="str">
        <f>+'Packing Material - Cost'!A865</f>
        <v/>
      </c>
    </row>
    <row r="865" spans="27:31">
      <c r="AA865" s="117" t="str">
        <f>+'Ingredient List - Mother Tinctu'!D866</f>
        <v>Nat. Sulph.</v>
      </c>
      <c r="AB865" s="117">
        <f t="shared" si="16"/>
        <v>0</v>
      </c>
      <c r="AC865" s="117" t="str">
        <f>IF(AB865=1,COUNTIF($AB$3:AB865,1),"")</f>
        <v/>
      </c>
      <c r="AD865" s="117" t="str">
        <f>IFERROR(INDEX($AA$3:$AA$10000,MATCH(ROWS($AC$3:AC865),$AC$3:$AC$10000,0)),"")</f>
        <v/>
      </c>
      <c r="AE865" s="117" t="str">
        <f>+'Packing Material - Cost'!A866</f>
        <v/>
      </c>
    </row>
    <row r="866" spans="27:31">
      <c r="AA866" s="117" t="str">
        <f>+'Ingredient List - Mother Tinctu'!D867</f>
        <v>Negundium</v>
      </c>
      <c r="AB866" s="117">
        <f t="shared" si="16"/>
        <v>0</v>
      </c>
      <c r="AC866" s="117" t="str">
        <f>IF(AB866=1,COUNTIF($AB$3:AB866,1),"")</f>
        <v/>
      </c>
      <c r="AD866" s="117" t="str">
        <f>IFERROR(INDEX($AA$3:$AA$10000,MATCH(ROWS($AC$3:AC866),$AC$3:$AC$10000,0)),"")</f>
        <v/>
      </c>
      <c r="AE866" s="117" t="str">
        <f>+'Packing Material - Cost'!A867</f>
        <v/>
      </c>
    </row>
    <row r="867" spans="27:31">
      <c r="AA867" s="117" t="str">
        <f>+'Ingredient List - Mother Tinctu'!D868</f>
        <v>Nuphar Lut.</v>
      </c>
      <c r="AB867" s="117">
        <f t="shared" si="16"/>
        <v>0</v>
      </c>
      <c r="AC867" s="117" t="str">
        <f>IF(AB867=1,COUNTIF($AB$3:AB867,1),"")</f>
        <v/>
      </c>
      <c r="AD867" s="117" t="str">
        <f>IFERROR(INDEX($AA$3:$AA$10000,MATCH(ROWS($AC$3:AC867),$AC$3:$AC$10000,0)),"")</f>
        <v/>
      </c>
      <c r="AE867" s="117" t="str">
        <f>+'Packing Material - Cost'!A868</f>
        <v/>
      </c>
    </row>
    <row r="868" spans="27:31">
      <c r="AA868" s="117" t="str">
        <f>+'Ingredient List - Mother Tinctu'!D869</f>
        <v>Nux Juglans</v>
      </c>
      <c r="AB868" s="117">
        <f t="shared" si="16"/>
        <v>0</v>
      </c>
      <c r="AC868" s="117" t="str">
        <f>IF(AB868=1,COUNTIF($AB$3:AB868,1),"")</f>
        <v/>
      </c>
      <c r="AD868" s="117" t="str">
        <f>IFERROR(INDEX($AA$3:$AA$10000,MATCH(ROWS($AC$3:AC868),$AC$3:$AC$10000,0)),"")</f>
        <v/>
      </c>
      <c r="AE868" s="117" t="str">
        <f>+'Packing Material - Cost'!A869</f>
        <v/>
      </c>
    </row>
    <row r="869" spans="27:31">
      <c r="AA869" s="117" t="str">
        <f>+'Ingredient List - Mother Tinctu'!D870</f>
        <v>Nux Mosch</v>
      </c>
      <c r="AB869" s="117">
        <f t="shared" si="16"/>
        <v>0</v>
      </c>
      <c r="AC869" s="117" t="str">
        <f>IF(AB869=1,COUNTIF($AB$3:AB869,1),"")</f>
        <v/>
      </c>
      <c r="AD869" s="117" t="str">
        <f>IFERROR(INDEX($AA$3:$AA$10000,MATCH(ROWS($AC$3:AC869),$AC$3:$AC$10000,0)),"")</f>
        <v/>
      </c>
      <c r="AE869" s="117" t="str">
        <f>+'Packing Material - Cost'!A870</f>
        <v/>
      </c>
    </row>
    <row r="870" spans="27:31">
      <c r="AA870" s="117" t="str">
        <f>+'Ingredient List - Mother Tinctu'!D871</f>
        <v>Nux Vomica</v>
      </c>
      <c r="AB870" s="117">
        <f t="shared" si="16"/>
        <v>0</v>
      </c>
      <c r="AC870" s="117" t="str">
        <f>IF(AB870=1,COUNTIF($AB$3:AB870,1),"")</f>
        <v/>
      </c>
      <c r="AD870" s="117" t="str">
        <f>IFERROR(INDEX($AA$3:$AA$10000,MATCH(ROWS($AC$3:AC870),$AC$3:$AC$10000,0)),"")</f>
        <v/>
      </c>
      <c r="AE870" s="117" t="str">
        <f>+'Packing Material - Cost'!A871</f>
        <v/>
      </c>
    </row>
    <row r="871" spans="27:31">
      <c r="AA871" s="117" t="str">
        <f>+'Ingredient List - Mother Tinctu'!D872</f>
        <v>Nyctanthes</v>
      </c>
      <c r="AB871" s="117">
        <f t="shared" si="16"/>
        <v>0</v>
      </c>
      <c r="AC871" s="117" t="str">
        <f>IF(AB871=1,COUNTIF($AB$3:AB871,1),"")</f>
        <v/>
      </c>
      <c r="AD871" s="117" t="str">
        <f>IFERROR(INDEX($AA$3:$AA$10000,MATCH(ROWS($AC$3:AC871),$AC$3:$AC$10000,0)),"")</f>
        <v/>
      </c>
      <c r="AE871" s="117" t="str">
        <f>+'Packing Material - Cost'!A872</f>
        <v/>
      </c>
    </row>
    <row r="872" spans="27:31">
      <c r="AA872" s="117" t="str">
        <f>+'Ingredient List - Mother Tinctu'!D873</f>
        <v>Nymphoea O</v>
      </c>
      <c r="AB872" s="117">
        <f t="shared" si="16"/>
        <v>0</v>
      </c>
      <c r="AC872" s="117" t="str">
        <f>IF(AB872=1,COUNTIF($AB$3:AB872,1),"")</f>
        <v/>
      </c>
      <c r="AD872" s="117" t="str">
        <f>IFERROR(INDEX($AA$3:$AA$10000,MATCH(ROWS($AC$3:AC872),$AC$3:$AC$10000,0)),"")</f>
        <v/>
      </c>
      <c r="AE872" s="117" t="str">
        <f>+'Packing Material - Cost'!A873</f>
        <v/>
      </c>
    </row>
    <row r="873" spans="27:31">
      <c r="AA873" s="117" t="str">
        <f>+'Ingredient List - Mother Tinctu'!D874</f>
        <v>Ocimum Can.</v>
      </c>
      <c r="AB873" s="117">
        <f t="shared" si="16"/>
        <v>0</v>
      </c>
      <c r="AC873" s="117" t="str">
        <f>IF(AB873=1,COUNTIF($AB$3:AB873,1),"")</f>
        <v/>
      </c>
      <c r="AD873" s="117" t="str">
        <f>IFERROR(INDEX($AA$3:$AA$10000,MATCH(ROWS($AC$3:AC873),$AC$3:$AC$10000,0)),"")</f>
        <v/>
      </c>
      <c r="AE873" s="117" t="str">
        <f>+'Packing Material - Cost'!A874</f>
        <v/>
      </c>
    </row>
    <row r="874" spans="27:31">
      <c r="AA874" s="117" t="str">
        <f>+'Ingredient List - Mother Tinctu'!D875</f>
        <v>Ocimum Sanct.</v>
      </c>
      <c r="AB874" s="117">
        <f t="shared" si="16"/>
        <v>0</v>
      </c>
      <c r="AC874" s="117" t="str">
        <f>IF(AB874=1,COUNTIF($AB$3:AB874,1),"")</f>
        <v/>
      </c>
      <c r="AD874" s="117" t="str">
        <f>IFERROR(INDEX($AA$3:$AA$10000,MATCH(ROWS($AC$3:AC874),$AC$3:$AC$10000,0)),"")</f>
        <v/>
      </c>
      <c r="AE874" s="117" t="str">
        <f>+'Packing Material - Cost'!A875</f>
        <v/>
      </c>
    </row>
    <row r="875" spans="27:31">
      <c r="AA875" s="117" t="str">
        <f>+'Ingredient List - Mother Tinctu'!D876</f>
        <v>Oenanthe Croc</v>
      </c>
      <c r="AB875" s="117">
        <f t="shared" si="16"/>
        <v>0</v>
      </c>
      <c r="AC875" s="117" t="str">
        <f>IF(AB875=1,COUNTIF($AB$3:AB875,1),"")</f>
        <v/>
      </c>
      <c r="AD875" s="117" t="str">
        <f>IFERROR(INDEX($AA$3:$AA$10000,MATCH(ROWS($AC$3:AC875),$AC$3:$AC$10000,0)),"")</f>
        <v/>
      </c>
      <c r="AE875" s="117" t="str">
        <f>+'Packing Material - Cost'!A876</f>
        <v/>
      </c>
    </row>
    <row r="876" spans="27:31">
      <c r="AA876" s="117" t="str">
        <f>+'Ingredient List - Mother Tinctu'!D877</f>
        <v>Oleander</v>
      </c>
      <c r="AB876" s="117">
        <f t="shared" si="16"/>
        <v>0</v>
      </c>
      <c r="AC876" s="117" t="str">
        <f>IF(AB876=1,COUNTIF($AB$3:AB876,1),"")</f>
        <v/>
      </c>
      <c r="AD876" s="117" t="str">
        <f>IFERROR(INDEX($AA$3:$AA$10000,MATCH(ROWS($AC$3:AC876),$AC$3:$AC$10000,0)),"")</f>
        <v/>
      </c>
      <c r="AE876" s="117" t="str">
        <f>+'Packing Material - Cost'!A877</f>
        <v/>
      </c>
    </row>
    <row r="877" spans="27:31">
      <c r="AA877" s="117" t="str">
        <f>+'Ingredient List - Mother Tinctu'!D878</f>
        <v>Oleum Anim</v>
      </c>
      <c r="AB877" s="117">
        <f t="shared" si="16"/>
        <v>0</v>
      </c>
      <c r="AC877" s="117" t="str">
        <f>IF(AB877=1,COUNTIF($AB$3:AB877,1),"")</f>
        <v/>
      </c>
      <c r="AD877" s="117" t="str">
        <f>IFERROR(INDEX($AA$3:$AA$10000,MATCH(ROWS($AC$3:AC877),$AC$3:$AC$10000,0)),"")</f>
        <v/>
      </c>
      <c r="AE877" s="117" t="str">
        <f>+'Packing Material - Cost'!A878</f>
        <v/>
      </c>
    </row>
    <row r="878" spans="27:31">
      <c r="AA878" s="117" t="str">
        <f>+'Ingredient List - Mother Tinctu'!D879</f>
        <v>Oleum Caj.</v>
      </c>
      <c r="AB878" s="117">
        <f t="shared" si="16"/>
        <v>0</v>
      </c>
      <c r="AC878" s="117" t="str">
        <f>IF(AB878=1,COUNTIF($AB$3:AB878,1),"")</f>
        <v/>
      </c>
      <c r="AD878" s="117" t="str">
        <f>IFERROR(INDEX($AA$3:$AA$10000,MATCH(ROWS($AC$3:AC878),$AC$3:$AC$10000,0)),"")</f>
        <v/>
      </c>
      <c r="AE878" s="117" t="str">
        <f>+'Packing Material - Cost'!A879</f>
        <v/>
      </c>
    </row>
    <row r="879" spans="27:31">
      <c r="AA879" s="117" t="str">
        <f>+'Ingredient List - Mother Tinctu'!D880</f>
        <v>Oleum Je. As.</v>
      </c>
      <c r="AB879" s="117">
        <f t="shared" si="16"/>
        <v>0</v>
      </c>
      <c r="AC879" s="117" t="str">
        <f>IF(AB879=1,COUNTIF($AB$3:AB879,1),"")</f>
        <v/>
      </c>
      <c r="AD879" s="117" t="str">
        <f>IFERROR(INDEX($AA$3:$AA$10000,MATCH(ROWS($AC$3:AC879),$AC$3:$AC$10000,0)),"")</f>
        <v/>
      </c>
      <c r="AE879" s="117" t="str">
        <f>+'Packing Material - Cost'!A880</f>
        <v/>
      </c>
    </row>
    <row r="880" spans="27:31">
      <c r="AA880" s="117" t="str">
        <f>+'Ingredient List - Mother Tinctu'!D881</f>
        <v>Oleum Sant.</v>
      </c>
      <c r="AB880" s="117">
        <f t="shared" si="16"/>
        <v>0</v>
      </c>
      <c r="AC880" s="117" t="str">
        <f>IF(AB880=1,COUNTIF($AB$3:AB880,1),"")</f>
        <v/>
      </c>
      <c r="AD880" s="117" t="str">
        <f>IFERROR(INDEX($AA$3:$AA$10000,MATCH(ROWS($AC$3:AC880),$AC$3:$AC$10000,0)),"")</f>
        <v/>
      </c>
      <c r="AE880" s="117" t="str">
        <f>+'Packing Material - Cost'!A881</f>
        <v/>
      </c>
    </row>
    <row r="881" spans="27:31">
      <c r="AA881" s="117" t="str">
        <f>+'Ingredient List - Mother Tinctu'!D882</f>
        <v>Onosmodium</v>
      </c>
      <c r="AB881" s="117">
        <f t="shared" si="16"/>
        <v>0</v>
      </c>
      <c r="AC881" s="117" t="str">
        <f>IF(AB881=1,COUNTIF($AB$3:AB881,1),"")</f>
        <v/>
      </c>
      <c r="AD881" s="117" t="str">
        <f>IFERROR(INDEX($AA$3:$AA$10000,MATCH(ROWS($AC$3:AC881),$AC$3:$AC$10000,0)),"")</f>
        <v/>
      </c>
      <c r="AE881" s="117" t="str">
        <f>+'Packing Material - Cost'!A882</f>
        <v/>
      </c>
    </row>
    <row r="882" spans="27:31">
      <c r="AA882" s="117" t="str">
        <f>+'Ingredient List - Mother Tinctu'!D883</f>
        <v>Oophorinum</v>
      </c>
      <c r="AB882" s="117">
        <f t="shared" si="16"/>
        <v>0</v>
      </c>
      <c r="AC882" s="117" t="str">
        <f>IF(AB882=1,COUNTIF($AB$3:AB882,1),"")</f>
        <v/>
      </c>
      <c r="AD882" s="117" t="str">
        <f>IFERROR(INDEX($AA$3:$AA$10000,MATCH(ROWS($AC$3:AC882),$AC$3:$AC$10000,0)),"")</f>
        <v/>
      </c>
      <c r="AE882" s="117" t="str">
        <f>+'Packing Material - Cost'!A883</f>
        <v/>
      </c>
    </row>
    <row r="883" spans="27:31">
      <c r="AA883" s="117" t="str">
        <f>+'Ingredient List - Mother Tinctu'!D884</f>
        <v>Opium</v>
      </c>
      <c r="AB883" s="117">
        <f t="shared" si="16"/>
        <v>0</v>
      </c>
      <c r="AC883" s="117" t="str">
        <f>IF(AB883=1,COUNTIF($AB$3:AB883,1),"")</f>
        <v/>
      </c>
      <c r="AD883" s="117" t="str">
        <f>IFERROR(INDEX($AA$3:$AA$10000,MATCH(ROWS($AC$3:AC883),$AC$3:$AC$10000,0)),"")</f>
        <v/>
      </c>
      <c r="AE883" s="117" t="str">
        <f>+'Packing Material - Cost'!A884</f>
        <v/>
      </c>
    </row>
    <row r="884" spans="27:31">
      <c r="AA884" s="117" t="str">
        <f>+'Ingredient List - Mother Tinctu'!D885</f>
        <v>Ornithogalum</v>
      </c>
      <c r="AB884" s="117">
        <f t="shared" si="16"/>
        <v>0</v>
      </c>
      <c r="AC884" s="117" t="str">
        <f>IF(AB884=1,COUNTIF($AB$3:AB884,1),"")</f>
        <v/>
      </c>
      <c r="AD884" s="117" t="str">
        <f>IFERROR(INDEX($AA$3:$AA$10000,MATCH(ROWS($AC$3:AC884),$AC$3:$AC$10000,0)),"")</f>
        <v/>
      </c>
      <c r="AE884" s="117" t="str">
        <f>+'Packing Material - Cost'!A885</f>
        <v/>
      </c>
    </row>
    <row r="885" spans="27:31">
      <c r="AA885" s="117" t="str">
        <f>+'Ingredient List - Mother Tinctu'!D886</f>
        <v>Osmium</v>
      </c>
      <c r="AB885" s="117">
        <f t="shared" si="16"/>
        <v>0</v>
      </c>
      <c r="AC885" s="117" t="str">
        <f>IF(AB885=1,COUNTIF($AB$3:AB885,1),"")</f>
        <v/>
      </c>
      <c r="AD885" s="117" t="str">
        <f>IFERROR(INDEX($AA$3:$AA$10000,MATCH(ROWS($AC$3:AC885),$AC$3:$AC$10000,0)),"")</f>
        <v/>
      </c>
      <c r="AE885" s="117" t="str">
        <f>+'Packing Material - Cost'!A886</f>
        <v/>
      </c>
    </row>
    <row r="886" spans="27:31">
      <c r="AA886" s="117" t="str">
        <f>+'Ingredient List - Mother Tinctu'!D887</f>
        <v>OvaTosta (Cale. Ova. Tost)</v>
      </c>
      <c r="AB886" s="117">
        <f t="shared" si="16"/>
        <v>0</v>
      </c>
      <c r="AC886" s="117" t="str">
        <f>IF(AB886=1,COUNTIF($AB$3:AB886,1),"")</f>
        <v/>
      </c>
      <c r="AD886" s="117" t="str">
        <f>IFERROR(INDEX($AA$3:$AA$10000,MATCH(ROWS($AC$3:AC886),$AC$3:$AC$10000,0)),"")</f>
        <v/>
      </c>
      <c r="AE886" s="117" t="str">
        <f>+'Packing Material - Cost'!A887</f>
        <v/>
      </c>
    </row>
    <row r="887" spans="27:31">
      <c r="AA887" s="117" t="str">
        <f>+'Ingredient List - Mother Tinctu'!D888</f>
        <v>Oxydendron</v>
      </c>
      <c r="AB887" s="117">
        <f t="shared" si="16"/>
        <v>0</v>
      </c>
      <c r="AC887" s="117" t="str">
        <f>IF(AB887=1,COUNTIF($AB$3:AB887,1),"")</f>
        <v/>
      </c>
      <c r="AD887" s="117" t="str">
        <f>IFERROR(INDEX($AA$3:$AA$10000,MATCH(ROWS($AC$3:AC887),$AC$3:$AC$10000,0)),"")</f>
        <v/>
      </c>
      <c r="AE887" s="117" t="str">
        <f>+'Packing Material - Cost'!A888</f>
        <v/>
      </c>
    </row>
    <row r="888" spans="27:31">
      <c r="AA888" s="117" t="str">
        <f>+'Ingredient List - Mother Tinctu'!D889</f>
        <v>Paeonia Off</v>
      </c>
      <c r="AB888" s="117">
        <f t="shared" si="16"/>
        <v>0</v>
      </c>
      <c r="AC888" s="117" t="str">
        <f>IF(AB888=1,COUNTIF($AB$3:AB888,1),"")</f>
        <v/>
      </c>
      <c r="AD888" s="117" t="str">
        <f>IFERROR(INDEX($AA$3:$AA$10000,MATCH(ROWS($AC$3:AC888),$AC$3:$AC$10000,0)),"")</f>
        <v/>
      </c>
      <c r="AE888" s="117" t="str">
        <f>+'Packing Material - Cost'!A889</f>
        <v/>
      </c>
    </row>
    <row r="889" spans="27:31">
      <c r="AA889" s="117" t="str">
        <f>+'Ingredient List - Mother Tinctu'!D890</f>
        <v>Palladium</v>
      </c>
      <c r="AB889" s="117">
        <f t="shared" si="16"/>
        <v>0</v>
      </c>
      <c r="AC889" s="117" t="str">
        <f>IF(AB889=1,COUNTIF($AB$3:AB889,1),"")</f>
        <v/>
      </c>
      <c r="AD889" s="117" t="str">
        <f>IFERROR(INDEX($AA$3:$AA$10000,MATCH(ROWS($AC$3:AC889),$AC$3:$AC$10000,0)),"")</f>
        <v/>
      </c>
      <c r="AE889" s="117" t="str">
        <f>+'Packing Material - Cost'!A890</f>
        <v/>
      </c>
    </row>
    <row r="890" spans="27:31">
      <c r="AA890" s="117" t="str">
        <f>+'Ingredient List - Mother Tinctu'!D891</f>
        <v>Pancreatin</v>
      </c>
      <c r="AB890" s="117">
        <f t="shared" si="16"/>
        <v>0</v>
      </c>
      <c r="AC890" s="117" t="str">
        <f>IF(AB890=1,COUNTIF($AB$3:AB890,1),"")</f>
        <v/>
      </c>
      <c r="AD890" s="117" t="str">
        <f>IFERROR(INDEX($AA$3:$AA$10000,MATCH(ROWS($AC$3:AC890),$AC$3:$AC$10000,0)),"")</f>
        <v/>
      </c>
      <c r="AE890" s="117" t="str">
        <f>+'Packing Material - Cost'!A891</f>
        <v/>
      </c>
    </row>
    <row r="891" spans="27:31">
      <c r="AA891" s="117" t="str">
        <f>+'Ingredient List - Mother Tinctu'!D892</f>
        <v>Paraffine</v>
      </c>
      <c r="AB891" s="117">
        <f t="shared" si="16"/>
        <v>0</v>
      </c>
      <c r="AC891" s="117" t="str">
        <f>IF(AB891=1,COUNTIF($AB$3:AB891,1),"")</f>
        <v/>
      </c>
      <c r="AD891" s="117" t="str">
        <f>IFERROR(INDEX($AA$3:$AA$10000,MATCH(ROWS($AC$3:AC891),$AC$3:$AC$10000,0)),"")</f>
        <v/>
      </c>
      <c r="AE891" s="117" t="str">
        <f>+'Packing Material - Cost'!A892</f>
        <v/>
      </c>
    </row>
    <row r="892" spans="27:31">
      <c r="AA892" s="117" t="str">
        <f>+'Ingredient List - Mother Tinctu'!D893</f>
        <v>Parathyroid</v>
      </c>
      <c r="AB892" s="117">
        <f t="shared" si="16"/>
        <v>0</v>
      </c>
      <c r="AC892" s="117" t="str">
        <f>IF(AB892=1,COUNTIF($AB$3:AB892,1),"")</f>
        <v/>
      </c>
      <c r="AD892" s="117" t="str">
        <f>IFERROR(INDEX($AA$3:$AA$10000,MATCH(ROWS($AC$3:AC892),$AC$3:$AC$10000,0)),"")</f>
        <v/>
      </c>
      <c r="AE892" s="117" t="str">
        <f>+'Packing Material - Cost'!A893</f>
        <v/>
      </c>
    </row>
    <row r="893" spans="27:31">
      <c r="AA893" s="117" t="str">
        <f>+'Ingredient List - Mother Tinctu'!D894</f>
        <v>Pareira Brav.</v>
      </c>
      <c r="AB893" s="117">
        <f t="shared" si="16"/>
        <v>0</v>
      </c>
      <c r="AC893" s="117" t="str">
        <f>IF(AB893=1,COUNTIF($AB$3:AB893,1),"")</f>
        <v/>
      </c>
      <c r="AD893" s="117" t="str">
        <f>IFERROR(INDEX($AA$3:$AA$10000,MATCH(ROWS($AC$3:AC893),$AC$3:$AC$10000,0)),"")</f>
        <v/>
      </c>
      <c r="AE893" s="117" t="str">
        <f>+'Packing Material - Cost'!A894</f>
        <v/>
      </c>
    </row>
    <row r="894" spans="27:31">
      <c r="AA894" s="117" t="str">
        <f>+'Ingredient List - Mother Tinctu'!D895</f>
        <v>Paris Quad.</v>
      </c>
      <c r="AB894" s="117">
        <f t="shared" si="16"/>
        <v>0</v>
      </c>
      <c r="AC894" s="117" t="str">
        <f>IF(AB894=1,COUNTIF($AB$3:AB894,1),"")</f>
        <v/>
      </c>
      <c r="AD894" s="117" t="str">
        <f>IFERROR(INDEX($AA$3:$AA$10000,MATCH(ROWS($AC$3:AC894),$AC$3:$AC$10000,0)),"")</f>
        <v/>
      </c>
      <c r="AE894" s="117" t="str">
        <f>+'Packing Material - Cost'!A895</f>
        <v/>
      </c>
    </row>
    <row r="895" spans="27:31">
      <c r="AA895" s="117" t="str">
        <f>+'Ingredient List - Mother Tinctu'!D896</f>
        <v>Parotidinum</v>
      </c>
      <c r="AB895" s="117">
        <f t="shared" si="16"/>
        <v>0</v>
      </c>
      <c r="AC895" s="117" t="str">
        <f>IF(AB895=1,COUNTIF($AB$3:AB895,1),"")</f>
        <v/>
      </c>
      <c r="AD895" s="117" t="str">
        <f>IFERROR(INDEX($AA$3:$AA$10000,MATCH(ROWS($AC$3:AC895),$AC$3:$AC$10000,0)),"")</f>
        <v/>
      </c>
      <c r="AE895" s="117" t="str">
        <f>+'Packing Material - Cost'!A896</f>
        <v/>
      </c>
    </row>
    <row r="896" spans="27:31">
      <c r="AA896" s="117" t="str">
        <f>+'Ingredient List - Mother Tinctu'!D897</f>
        <v>Passiflora. Inc.</v>
      </c>
      <c r="AB896" s="117">
        <f t="shared" si="16"/>
        <v>0</v>
      </c>
      <c r="AC896" s="117" t="str">
        <f>IF(AB896=1,COUNTIF($AB$3:AB896,1),"")</f>
        <v/>
      </c>
      <c r="AD896" s="117" t="str">
        <f>IFERROR(INDEX($AA$3:$AA$10000,MATCH(ROWS($AC$3:AC896),$AC$3:$AC$10000,0)),"")</f>
        <v/>
      </c>
      <c r="AE896" s="117" t="str">
        <f>+'Packing Material - Cost'!A897</f>
        <v/>
      </c>
    </row>
    <row r="897" spans="27:31">
      <c r="AA897" s="117" t="str">
        <f>+'Ingredient List - Mother Tinctu'!D898</f>
        <v>Paullinia</v>
      </c>
      <c r="AB897" s="117">
        <f t="shared" si="16"/>
        <v>0</v>
      </c>
      <c r="AC897" s="117" t="str">
        <f>IF(AB897=1,COUNTIF($AB$3:AB897,1),"")</f>
        <v/>
      </c>
      <c r="AD897" s="117" t="str">
        <f>IFERROR(INDEX($AA$3:$AA$10000,MATCH(ROWS($AC$3:AC897),$AC$3:$AC$10000,0)),"")</f>
        <v/>
      </c>
      <c r="AE897" s="117" t="str">
        <f>+'Packing Material - Cost'!A898</f>
        <v/>
      </c>
    </row>
    <row r="898" spans="27:31">
      <c r="AA898" s="117" t="str">
        <f>+'Ingredient List - Mother Tinctu'!D899</f>
        <v>Pediculus C.</v>
      </c>
      <c r="AB898" s="117">
        <f t="shared" si="16"/>
        <v>0</v>
      </c>
      <c r="AC898" s="117" t="str">
        <f>IF(AB898=1,COUNTIF($AB$3:AB898,1),"")</f>
        <v/>
      </c>
      <c r="AD898" s="117" t="str">
        <f>IFERROR(INDEX($AA$3:$AA$10000,MATCH(ROWS($AC$3:AC898),$AC$3:$AC$10000,0)),"")</f>
        <v/>
      </c>
      <c r="AE898" s="117" t="str">
        <f>+'Packing Material - Cost'!A899</f>
        <v/>
      </c>
    </row>
    <row r="899" spans="27:31">
      <c r="AA899" s="117" t="str">
        <f>+'Ingredient List - Mother Tinctu'!D900</f>
        <v>Pencillin</v>
      </c>
      <c r="AB899" s="117">
        <f t="shared" si="16"/>
        <v>0</v>
      </c>
      <c r="AC899" s="117" t="str">
        <f>IF(AB899=1,COUNTIF($AB$3:AB899,1),"")</f>
        <v/>
      </c>
      <c r="AD899" s="117" t="str">
        <f>IFERROR(INDEX($AA$3:$AA$10000,MATCH(ROWS($AC$3:AC899),$AC$3:$AC$10000,0)),"")</f>
        <v/>
      </c>
      <c r="AE899" s="117" t="str">
        <f>+'Packing Material - Cost'!A900</f>
        <v/>
      </c>
    </row>
    <row r="900" spans="27:31">
      <c r="AA900" s="117" t="str">
        <f>+'Ingredient List - Mother Tinctu'!D901</f>
        <v>Penthorum S</v>
      </c>
      <c r="AB900" s="117">
        <f t="shared" ref="AB900:AB963" si="17">--ISNUMBER(IFERROR(SEARCH($D$3,AA900,1),""))</f>
        <v>0</v>
      </c>
      <c r="AC900" s="117" t="str">
        <f>IF(AB900=1,COUNTIF($AB$3:AB900,1),"")</f>
        <v/>
      </c>
      <c r="AD900" s="117" t="str">
        <f>IFERROR(INDEX($AA$3:$AA$10000,MATCH(ROWS($AC$3:AC900),$AC$3:$AC$10000,0)),"")</f>
        <v/>
      </c>
      <c r="AE900" s="117" t="str">
        <f>+'Packing Material - Cost'!A901</f>
        <v/>
      </c>
    </row>
    <row r="901" spans="27:31">
      <c r="AA901" s="117" t="str">
        <f>+'Ingredient List - Mother Tinctu'!D902</f>
        <v>Pepsin</v>
      </c>
      <c r="AB901" s="117">
        <f t="shared" si="17"/>
        <v>0</v>
      </c>
      <c r="AC901" s="117" t="str">
        <f>IF(AB901=1,COUNTIF($AB$3:AB901,1),"")</f>
        <v/>
      </c>
      <c r="AD901" s="117" t="str">
        <f>IFERROR(INDEX($AA$3:$AA$10000,MATCH(ROWS($AC$3:AC901),$AC$3:$AC$10000,0)),"")</f>
        <v/>
      </c>
      <c r="AE901" s="117" t="str">
        <f>+'Packing Material - Cost'!A902</f>
        <v/>
      </c>
    </row>
    <row r="902" spans="27:31">
      <c r="AA902" s="117" t="str">
        <f>+'Ingredient List - Mother Tinctu'!D903</f>
        <v>Pertussin</v>
      </c>
      <c r="AB902" s="117">
        <f t="shared" si="17"/>
        <v>0</v>
      </c>
      <c r="AC902" s="117" t="str">
        <f>IF(AB902=1,COUNTIF($AB$3:AB902,1),"")</f>
        <v/>
      </c>
      <c r="AD902" s="117" t="str">
        <f>IFERROR(INDEX($AA$3:$AA$10000,MATCH(ROWS($AC$3:AC902),$AC$3:$AC$10000,0)),"")</f>
        <v/>
      </c>
      <c r="AE902" s="117" t="str">
        <f>+'Packing Material - Cost'!A903</f>
        <v/>
      </c>
    </row>
    <row r="903" spans="27:31">
      <c r="AA903" s="117" t="str">
        <f>+'Ingredient List - Mother Tinctu'!D904</f>
        <v>Petroleum</v>
      </c>
      <c r="AB903" s="117">
        <f t="shared" si="17"/>
        <v>0</v>
      </c>
      <c r="AC903" s="117" t="str">
        <f>IF(AB903=1,COUNTIF($AB$3:AB903,1),"")</f>
        <v/>
      </c>
      <c r="AD903" s="117" t="str">
        <f>IFERROR(INDEX($AA$3:$AA$10000,MATCH(ROWS($AC$3:AC903),$AC$3:$AC$10000,0)),"")</f>
        <v/>
      </c>
      <c r="AE903" s="117" t="str">
        <f>+'Packing Material - Cost'!A904</f>
        <v/>
      </c>
    </row>
    <row r="904" spans="27:31">
      <c r="AA904" s="117" t="str">
        <f>+'Ingredient List - Mother Tinctu'!D905</f>
        <v>Petroselinum</v>
      </c>
      <c r="AB904" s="117">
        <f t="shared" si="17"/>
        <v>0</v>
      </c>
      <c r="AC904" s="117" t="str">
        <f>IF(AB904=1,COUNTIF($AB$3:AB904,1),"")</f>
        <v/>
      </c>
      <c r="AD904" s="117" t="str">
        <f>IFERROR(INDEX($AA$3:$AA$10000,MATCH(ROWS($AC$3:AC904),$AC$3:$AC$10000,0)),"")</f>
        <v/>
      </c>
      <c r="AE904" s="117" t="str">
        <f>+'Packing Material - Cost'!A905</f>
        <v/>
      </c>
    </row>
    <row r="905" spans="27:31">
      <c r="AA905" s="117" t="str">
        <f>+'Ingredient List - Mother Tinctu'!D906</f>
        <v>Phaseolus</v>
      </c>
      <c r="AB905" s="117">
        <f t="shared" si="17"/>
        <v>0</v>
      </c>
      <c r="AC905" s="117" t="str">
        <f>IF(AB905=1,COUNTIF($AB$3:AB905,1),"")</f>
        <v/>
      </c>
      <c r="AD905" s="117" t="str">
        <f>IFERROR(INDEX($AA$3:$AA$10000,MATCH(ROWS($AC$3:AC905),$AC$3:$AC$10000,0)),"")</f>
        <v/>
      </c>
      <c r="AE905" s="117" t="str">
        <f>+'Packing Material - Cost'!A906</f>
        <v/>
      </c>
    </row>
    <row r="906" spans="27:31">
      <c r="AA906" s="117" t="str">
        <f>+'Ingredient List - Mother Tinctu'!D907</f>
        <v>Phellandrin</v>
      </c>
      <c r="AB906" s="117">
        <f t="shared" si="17"/>
        <v>0</v>
      </c>
      <c r="AC906" s="117" t="str">
        <f>IF(AB906=1,COUNTIF($AB$3:AB906,1),"")</f>
        <v/>
      </c>
      <c r="AD906" s="117" t="str">
        <f>IFERROR(INDEX($AA$3:$AA$10000,MATCH(ROWS($AC$3:AC906),$AC$3:$AC$10000,0)),"")</f>
        <v/>
      </c>
      <c r="AE906" s="117" t="str">
        <f>+'Packing Material - Cost'!A907</f>
        <v/>
      </c>
    </row>
    <row r="907" spans="27:31">
      <c r="AA907" s="117" t="str">
        <f>+'Ingredient List - Mother Tinctu'!D908</f>
        <v>Phosphorus</v>
      </c>
      <c r="AB907" s="117">
        <f t="shared" si="17"/>
        <v>0</v>
      </c>
      <c r="AC907" s="117" t="str">
        <f>IF(AB907=1,COUNTIF($AB$3:AB907,1),"")</f>
        <v/>
      </c>
      <c r="AD907" s="117" t="str">
        <f>IFERROR(INDEX($AA$3:$AA$10000,MATCH(ROWS($AC$3:AC907),$AC$3:$AC$10000,0)),"")</f>
        <v/>
      </c>
      <c r="AE907" s="117" t="str">
        <f>+'Packing Material - Cost'!A908</f>
        <v/>
      </c>
    </row>
    <row r="908" spans="27:31">
      <c r="AA908" s="117" t="str">
        <f>+'Ingredient List - Mother Tinctu'!D909</f>
        <v>Physalis</v>
      </c>
      <c r="AB908" s="117">
        <f t="shared" si="17"/>
        <v>0</v>
      </c>
      <c r="AC908" s="117" t="str">
        <f>IF(AB908=1,COUNTIF($AB$3:AB908,1),"")</f>
        <v/>
      </c>
      <c r="AD908" s="117" t="str">
        <f>IFERROR(INDEX($AA$3:$AA$10000,MATCH(ROWS($AC$3:AC908),$AC$3:$AC$10000,0)),"")</f>
        <v/>
      </c>
      <c r="AE908" s="117" t="str">
        <f>+'Packing Material - Cost'!A909</f>
        <v/>
      </c>
    </row>
    <row r="909" spans="27:31">
      <c r="AA909" s="117" t="str">
        <f>+'Ingredient List - Mother Tinctu'!D910</f>
        <v>Physostigma</v>
      </c>
      <c r="AB909" s="117">
        <f t="shared" si="17"/>
        <v>0</v>
      </c>
      <c r="AC909" s="117" t="str">
        <f>IF(AB909=1,COUNTIF($AB$3:AB909,1),"")</f>
        <v/>
      </c>
      <c r="AD909" s="117" t="str">
        <f>IFERROR(INDEX($AA$3:$AA$10000,MATCH(ROWS($AC$3:AC909),$AC$3:$AC$10000,0)),"")</f>
        <v/>
      </c>
      <c r="AE909" s="117" t="str">
        <f>+'Packing Material - Cost'!A910</f>
        <v/>
      </c>
    </row>
    <row r="910" spans="27:31">
      <c r="AA910" s="117" t="str">
        <f>+'Ingredient List - Mother Tinctu'!D911</f>
        <v>Phytolacca. Berry.</v>
      </c>
      <c r="AB910" s="117">
        <f t="shared" si="17"/>
        <v>0</v>
      </c>
      <c r="AC910" s="117" t="str">
        <f>IF(AB910=1,COUNTIF($AB$3:AB910,1),"")</f>
        <v/>
      </c>
      <c r="AD910" s="117" t="str">
        <f>IFERROR(INDEX($AA$3:$AA$10000,MATCH(ROWS($AC$3:AC910),$AC$3:$AC$10000,0)),"")</f>
        <v/>
      </c>
      <c r="AE910" s="117" t="str">
        <f>+'Packing Material - Cost'!A911</f>
        <v/>
      </c>
    </row>
    <row r="911" spans="27:31">
      <c r="AA911" s="117" t="str">
        <f>+'Ingredient List - Mother Tinctu'!D912</f>
        <v>Phytolacca. Dec.</v>
      </c>
      <c r="AB911" s="117">
        <f t="shared" si="17"/>
        <v>0</v>
      </c>
      <c r="AC911" s="117" t="str">
        <f>IF(AB911=1,COUNTIF($AB$3:AB911,1),"")</f>
        <v/>
      </c>
      <c r="AD911" s="117" t="str">
        <f>IFERROR(INDEX($AA$3:$AA$10000,MATCH(ROWS($AC$3:AC911),$AC$3:$AC$10000,0)),"")</f>
        <v/>
      </c>
      <c r="AE911" s="117" t="str">
        <f>+'Packing Material - Cost'!A912</f>
        <v/>
      </c>
    </row>
    <row r="912" spans="27:31">
      <c r="AA912" s="117" t="str">
        <f>+'Ingredient List - Mother Tinctu'!D913</f>
        <v>Pichi</v>
      </c>
      <c r="AB912" s="117">
        <f t="shared" si="17"/>
        <v>0</v>
      </c>
      <c r="AC912" s="117" t="str">
        <f>IF(AB912=1,COUNTIF($AB$3:AB912,1),"")</f>
        <v/>
      </c>
      <c r="AD912" s="117" t="str">
        <f>IFERROR(INDEX($AA$3:$AA$10000,MATCH(ROWS($AC$3:AC912),$AC$3:$AC$10000,0)),"")</f>
        <v/>
      </c>
      <c r="AE912" s="117" t="str">
        <f>+'Packing Material - Cost'!A913</f>
        <v/>
      </c>
    </row>
    <row r="913" spans="27:31">
      <c r="AA913" s="117" t="str">
        <f>+'Ingredient List - Mother Tinctu'!D914</f>
        <v>Pinus Lamb</v>
      </c>
      <c r="AB913" s="117">
        <f t="shared" si="17"/>
        <v>0</v>
      </c>
      <c r="AC913" s="117" t="str">
        <f>IF(AB913=1,COUNTIF($AB$3:AB913,1),"")</f>
        <v/>
      </c>
      <c r="AD913" s="117" t="str">
        <f>IFERROR(INDEX($AA$3:$AA$10000,MATCH(ROWS($AC$3:AC913),$AC$3:$AC$10000,0)),"")</f>
        <v/>
      </c>
      <c r="AE913" s="117" t="str">
        <f>+'Packing Material - Cost'!A914</f>
        <v/>
      </c>
    </row>
    <row r="914" spans="27:31">
      <c r="AA914" s="117" t="str">
        <f>+'Ingredient List - Mother Tinctu'!D915</f>
        <v>Pinus Syl.</v>
      </c>
      <c r="AB914" s="117">
        <f t="shared" si="17"/>
        <v>0</v>
      </c>
      <c r="AC914" s="117" t="str">
        <f>IF(AB914=1,COUNTIF($AB$3:AB914,1),"")</f>
        <v/>
      </c>
      <c r="AD914" s="117" t="str">
        <f>IFERROR(INDEX($AA$3:$AA$10000,MATCH(ROWS($AC$3:AC914),$AC$3:$AC$10000,0)),"")</f>
        <v/>
      </c>
      <c r="AE914" s="117" t="str">
        <f>+'Packing Material - Cost'!A915</f>
        <v/>
      </c>
    </row>
    <row r="915" spans="27:31">
      <c r="AA915" s="117" t="str">
        <f>+'Ingredient List - Mother Tinctu'!D916</f>
        <v>Piper Meth.</v>
      </c>
      <c r="AB915" s="117">
        <f t="shared" si="17"/>
        <v>0</v>
      </c>
      <c r="AC915" s="117" t="str">
        <f>IF(AB915=1,COUNTIF($AB$3:AB915,1),"")</f>
        <v/>
      </c>
      <c r="AD915" s="117" t="str">
        <f>IFERROR(INDEX($AA$3:$AA$10000,MATCH(ROWS($AC$3:AC915),$AC$3:$AC$10000,0)),"")</f>
        <v/>
      </c>
      <c r="AE915" s="117" t="str">
        <f>+'Packing Material - Cost'!A916</f>
        <v/>
      </c>
    </row>
    <row r="916" spans="27:31">
      <c r="AA916" s="117" t="str">
        <f>+'Ingredient List - Mother Tinctu'!D917</f>
        <v>Piper Nig.</v>
      </c>
      <c r="AB916" s="117">
        <f t="shared" si="17"/>
        <v>0</v>
      </c>
      <c r="AC916" s="117" t="str">
        <f>IF(AB916=1,COUNTIF($AB$3:AB916,1),"")</f>
        <v/>
      </c>
      <c r="AD916" s="117" t="str">
        <f>IFERROR(INDEX($AA$3:$AA$10000,MATCH(ROWS($AC$3:AC916),$AC$3:$AC$10000,0)),"")</f>
        <v/>
      </c>
      <c r="AE916" s="117" t="str">
        <f>+'Packing Material - Cost'!A917</f>
        <v/>
      </c>
    </row>
    <row r="917" spans="27:31">
      <c r="AA917" s="117" t="str">
        <f>+'Ingredient List - Mother Tinctu'!D918</f>
        <v>Piperizinum</v>
      </c>
      <c r="AB917" s="117">
        <f t="shared" si="17"/>
        <v>0</v>
      </c>
      <c r="AC917" s="117" t="str">
        <f>IF(AB917=1,COUNTIF($AB$3:AB917,1),"")</f>
        <v/>
      </c>
      <c r="AD917" s="117" t="str">
        <f>IFERROR(INDEX($AA$3:$AA$10000,MATCH(ROWS($AC$3:AC917),$AC$3:$AC$10000,0)),"")</f>
        <v/>
      </c>
      <c r="AE917" s="117" t="str">
        <f>+'Packing Material - Cost'!A918</f>
        <v/>
      </c>
    </row>
    <row r="918" spans="27:31">
      <c r="AA918" s="117" t="str">
        <f>+'Ingredient List - Mother Tinctu'!D919</f>
        <v>Piscidia E</v>
      </c>
      <c r="AB918" s="117">
        <f t="shared" si="17"/>
        <v>0</v>
      </c>
      <c r="AC918" s="117" t="str">
        <f>IF(AB918=1,COUNTIF($AB$3:AB918,1),"")</f>
        <v/>
      </c>
      <c r="AD918" s="117" t="str">
        <f>IFERROR(INDEX($AA$3:$AA$10000,MATCH(ROWS($AC$3:AC918),$AC$3:$AC$10000,0)),"")</f>
        <v/>
      </c>
      <c r="AE918" s="117" t="str">
        <f>+'Packing Material - Cost'!A919</f>
        <v/>
      </c>
    </row>
    <row r="919" spans="27:31">
      <c r="AA919" s="117" t="str">
        <f>+'Ingredient List - Mother Tinctu'!D920</f>
        <v>Pituitarin</v>
      </c>
      <c r="AB919" s="117">
        <f t="shared" si="17"/>
        <v>0</v>
      </c>
      <c r="AC919" s="117" t="str">
        <f>IF(AB919=1,COUNTIF($AB$3:AB919,1),"")</f>
        <v/>
      </c>
      <c r="AD919" s="117" t="str">
        <f>IFERROR(INDEX($AA$3:$AA$10000,MATCH(ROWS($AC$3:AC919),$AC$3:$AC$10000,0)),"")</f>
        <v/>
      </c>
      <c r="AE919" s="117" t="str">
        <f>+'Packing Material - Cost'!A920</f>
        <v/>
      </c>
    </row>
    <row r="920" spans="27:31">
      <c r="AA920" s="117" t="str">
        <f>+'Ingredient List - Mother Tinctu'!D921</f>
        <v>Pix. Liq.</v>
      </c>
      <c r="AB920" s="117">
        <f t="shared" si="17"/>
        <v>0</v>
      </c>
      <c r="AC920" s="117" t="str">
        <f>IF(AB920=1,COUNTIF($AB$3:AB920,1),"")</f>
        <v/>
      </c>
      <c r="AD920" s="117" t="str">
        <f>IFERROR(INDEX($AA$3:$AA$10000,MATCH(ROWS($AC$3:AC920),$AC$3:$AC$10000,0)),"")</f>
        <v/>
      </c>
      <c r="AE920" s="117" t="str">
        <f>+'Packing Material - Cost'!A921</f>
        <v/>
      </c>
    </row>
    <row r="921" spans="27:31">
      <c r="AA921" s="117" t="str">
        <f>+'Ingredient List - Mother Tinctu'!D922</f>
        <v>Placenta</v>
      </c>
      <c r="AB921" s="117">
        <f t="shared" si="17"/>
        <v>0</v>
      </c>
      <c r="AC921" s="117" t="str">
        <f>IF(AB921=1,COUNTIF($AB$3:AB921,1),"")</f>
        <v/>
      </c>
      <c r="AD921" s="117" t="str">
        <f>IFERROR(INDEX($AA$3:$AA$10000,MATCH(ROWS($AC$3:AC921),$AC$3:$AC$10000,0)),"")</f>
        <v/>
      </c>
      <c r="AE921" s="117" t="str">
        <f>+'Packing Material - Cost'!A922</f>
        <v/>
      </c>
    </row>
    <row r="922" spans="27:31">
      <c r="AA922" s="117" t="str">
        <f>+'Ingredient List - Mother Tinctu'!D923</f>
        <v>Plantago M</v>
      </c>
      <c r="AB922" s="117">
        <f t="shared" si="17"/>
        <v>0</v>
      </c>
      <c r="AC922" s="117" t="str">
        <f>IF(AB922=1,COUNTIF($AB$3:AB922,1),"")</f>
        <v/>
      </c>
      <c r="AD922" s="117" t="str">
        <f>IFERROR(INDEX($AA$3:$AA$10000,MATCH(ROWS($AC$3:AC922),$AC$3:$AC$10000,0)),"")</f>
        <v/>
      </c>
      <c r="AE922" s="117" t="str">
        <f>+'Packing Material - Cost'!A923</f>
        <v/>
      </c>
    </row>
    <row r="923" spans="27:31">
      <c r="AA923" s="117" t="str">
        <f>+'Ingredient List - Mother Tinctu'!D924</f>
        <v>Platinum Met.</v>
      </c>
      <c r="AB923" s="117">
        <f t="shared" si="17"/>
        <v>0</v>
      </c>
      <c r="AC923" s="117" t="str">
        <f>IF(AB923=1,COUNTIF($AB$3:AB923,1),"")</f>
        <v/>
      </c>
      <c r="AD923" s="117" t="str">
        <f>IFERROR(INDEX($AA$3:$AA$10000,MATCH(ROWS($AC$3:AC923),$AC$3:$AC$10000,0)),"")</f>
        <v/>
      </c>
      <c r="AE923" s="117" t="str">
        <f>+'Packing Material - Cost'!A924</f>
        <v/>
      </c>
    </row>
    <row r="924" spans="27:31">
      <c r="AA924" s="117" t="str">
        <f>+'Ingredient List - Mother Tinctu'!D925</f>
        <v>Platinum Mur.</v>
      </c>
      <c r="AB924" s="117">
        <f t="shared" si="17"/>
        <v>0</v>
      </c>
      <c r="AC924" s="117" t="str">
        <f>IF(AB924=1,COUNTIF($AB$3:AB924,1),"")</f>
        <v/>
      </c>
      <c r="AD924" s="117" t="str">
        <f>IFERROR(INDEX($AA$3:$AA$10000,MATCH(ROWS($AC$3:AC924),$AC$3:$AC$10000,0)),"")</f>
        <v/>
      </c>
      <c r="AE924" s="117" t="str">
        <f>+'Packing Material - Cost'!A925</f>
        <v/>
      </c>
    </row>
    <row r="925" spans="27:31">
      <c r="AA925" s="117" t="str">
        <f>+'Ingredient List - Mother Tinctu'!D926</f>
        <v>Plumbum Ace.</v>
      </c>
      <c r="AB925" s="117">
        <f t="shared" si="17"/>
        <v>0</v>
      </c>
      <c r="AC925" s="117" t="str">
        <f>IF(AB925=1,COUNTIF($AB$3:AB925,1),"")</f>
        <v/>
      </c>
      <c r="AD925" s="117" t="str">
        <f>IFERROR(INDEX($AA$3:$AA$10000,MATCH(ROWS($AC$3:AC925),$AC$3:$AC$10000,0)),"")</f>
        <v/>
      </c>
      <c r="AE925" s="117" t="str">
        <f>+'Packing Material - Cost'!A926</f>
        <v/>
      </c>
    </row>
    <row r="926" spans="27:31">
      <c r="AA926" s="117" t="str">
        <f>+'Ingredient List - Mother Tinctu'!D927</f>
        <v>Plumbum Iod.</v>
      </c>
      <c r="AB926" s="117">
        <f t="shared" si="17"/>
        <v>0</v>
      </c>
      <c r="AC926" s="117" t="str">
        <f>IF(AB926=1,COUNTIF($AB$3:AB926,1),"")</f>
        <v/>
      </c>
      <c r="AD926" s="117" t="str">
        <f>IFERROR(INDEX($AA$3:$AA$10000,MATCH(ROWS($AC$3:AC926),$AC$3:$AC$10000,0)),"")</f>
        <v/>
      </c>
      <c r="AE926" s="117" t="str">
        <f>+'Packing Material - Cost'!A927</f>
        <v/>
      </c>
    </row>
    <row r="927" spans="27:31">
      <c r="AA927" s="117" t="str">
        <f>+'Ingredient List - Mother Tinctu'!D928</f>
        <v>Plumbum Met.</v>
      </c>
      <c r="AB927" s="117">
        <f t="shared" si="17"/>
        <v>0</v>
      </c>
      <c r="AC927" s="117" t="str">
        <f>IF(AB927=1,COUNTIF($AB$3:AB927,1),"")</f>
        <v/>
      </c>
      <c r="AD927" s="117" t="str">
        <f>IFERROR(INDEX($AA$3:$AA$10000,MATCH(ROWS($AC$3:AC927),$AC$3:$AC$10000,0)),"")</f>
        <v/>
      </c>
      <c r="AE927" s="117" t="str">
        <f>+'Packing Material - Cost'!A928</f>
        <v/>
      </c>
    </row>
    <row r="928" spans="27:31">
      <c r="AA928" s="117" t="str">
        <f>+'Ingredient List - Mother Tinctu'!D929</f>
        <v>Plumbum Phos.</v>
      </c>
      <c r="AB928" s="117">
        <f t="shared" si="17"/>
        <v>0</v>
      </c>
      <c r="AC928" s="117" t="str">
        <f>IF(AB928=1,COUNTIF($AB$3:AB928,1),"")</f>
        <v/>
      </c>
      <c r="AD928" s="117" t="str">
        <f>IFERROR(INDEX($AA$3:$AA$10000,MATCH(ROWS($AC$3:AC928),$AC$3:$AC$10000,0)),"")</f>
        <v/>
      </c>
      <c r="AE928" s="117" t="str">
        <f>+'Packing Material - Cost'!A929</f>
        <v/>
      </c>
    </row>
    <row r="929" spans="27:31">
      <c r="AA929" s="117" t="str">
        <f>+'Ingredient List - Mother Tinctu'!D930</f>
        <v>Pneumococcin</v>
      </c>
      <c r="AB929" s="117">
        <f t="shared" si="17"/>
        <v>0</v>
      </c>
      <c r="AC929" s="117" t="str">
        <f>IF(AB929=1,COUNTIF($AB$3:AB929,1),"")</f>
        <v/>
      </c>
      <c r="AD929" s="117" t="str">
        <f>IFERROR(INDEX($AA$3:$AA$10000,MATCH(ROWS($AC$3:AC929),$AC$3:$AC$10000,0)),"")</f>
        <v/>
      </c>
      <c r="AE929" s="117" t="str">
        <f>+'Packing Material - Cost'!A930</f>
        <v/>
      </c>
    </row>
    <row r="930" spans="27:31">
      <c r="AA930" s="117" t="str">
        <f>+'Ingredient List - Mother Tinctu'!D931</f>
        <v>Podophyllum</v>
      </c>
      <c r="AB930" s="117">
        <f t="shared" si="17"/>
        <v>0</v>
      </c>
      <c r="AC930" s="117" t="str">
        <f>IF(AB930=1,COUNTIF($AB$3:AB930,1),"")</f>
        <v/>
      </c>
      <c r="AD930" s="117" t="str">
        <f>IFERROR(INDEX($AA$3:$AA$10000,MATCH(ROWS($AC$3:AC930),$AC$3:$AC$10000,0)),"")</f>
        <v/>
      </c>
      <c r="AE930" s="117" t="str">
        <f>+'Packing Material - Cost'!A931</f>
        <v/>
      </c>
    </row>
    <row r="931" spans="27:31">
      <c r="AA931" s="117" t="str">
        <f>+'Ingredient List - Mother Tinctu'!D932</f>
        <v>Polygonum P.</v>
      </c>
      <c r="AB931" s="117">
        <f t="shared" si="17"/>
        <v>0</v>
      </c>
      <c r="AC931" s="117" t="str">
        <f>IF(AB931=1,COUNTIF($AB$3:AB931,1),"")</f>
        <v/>
      </c>
      <c r="AD931" s="117" t="str">
        <f>IFERROR(INDEX($AA$3:$AA$10000,MATCH(ROWS($AC$3:AC931),$AC$3:$AC$10000,0)),"")</f>
        <v/>
      </c>
      <c r="AE931" s="117" t="str">
        <f>+'Packing Material - Cost'!A932</f>
        <v/>
      </c>
    </row>
    <row r="932" spans="27:31">
      <c r="AA932" s="117" t="str">
        <f>+'Ingredient List - Mother Tinctu'!D933</f>
        <v>Populus Can.</v>
      </c>
      <c r="AB932" s="117">
        <f t="shared" si="17"/>
        <v>0</v>
      </c>
      <c r="AC932" s="117" t="str">
        <f>IF(AB932=1,COUNTIF($AB$3:AB932,1),"")</f>
        <v/>
      </c>
      <c r="AD932" s="117" t="str">
        <f>IFERROR(INDEX($AA$3:$AA$10000,MATCH(ROWS($AC$3:AC932),$AC$3:$AC$10000,0)),"")</f>
        <v/>
      </c>
      <c r="AE932" s="117" t="str">
        <f>+'Packing Material - Cost'!A933</f>
        <v/>
      </c>
    </row>
    <row r="933" spans="27:31">
      <c r="AA933" s="117" t="str">
        <f>+'Ingredient List - Mother Tinctu'!D934</f>
        <v>Pothos Foet.</v>
      </c>
      <c r="AB933" s="117">
        <f t="shared" si="17"/>
        <v>0</v>
      </c>
      <c r="AC933" s="117" t="str">
        <f>IF(AB933=1,COUNTIF($AB$3:AB933,1),"")</f>
        <v/>
      </c>
      <c r="AD933" s="117" t="str">
        <f>IFERROR(INDEX($AA$3:$AA$10000,MATCH(ROWS($AC$3:AC933),$AC$3:$AC$10000,0)),"")</f>
        <v/>
      </c>
      <c r="AE933" s="117" t="str">
        <f>+'Packing Material - Cost'!A934</f>
        <v/>
      </c>
    </row>
    <row r="934" spans="27:31">
      <c r="AA934" s="117" t="str">
        <f>+'Ingredient List - Mother Tinctu'!D935</f>
        <v>Primula Ob.</v>
      </c>
      <c r="AB934" s="117">
        <f t="shared" si="17"/>
        <v>0</v>
      </c>
      <c r="AC934" s="117" t="str">
        <f>IF(AB934=1,COUNTIF($AB$3:AB934,1),"")</f>
        <v/>
      </c>
      <c r="AD934" s="117" t="str">
        <f>IFERROR(INDEX($AA$3:$AA$10000,MATCH(ROWS($AC$3:AC934),$AC$3:$AC$10000,0)),"")</f>
        <v/>
      </c>
      <c r="AE934" s="117" t="str">
        <f>+'Packing Material - Cost'!A935</f>
        <v/>
      </c>
    </row>
    <row r="935" spans="27:31">
      <c r="AA935" s="117" t="str">
        <f>+'Ingredient List - Mother Tinctu'!D936</f>
        <v>Primula Ve.</v>
      </c>
      <c r="AB935" s="117">
        <f t="shared" si="17"/>
        <v>0</v>
      </c>
      <c r="AC935" s="117" t="str">
        <f>IF(AB935=1,COUNTIF($AB$3:AB935,1),"")</f>
        <v/>
      </c>
      <c r="AD935" s="117" t="str">
        <f>IFERROR(INDEX($AA$3:$AA$10000,MATCH(ROWS($AC$3:AC935),$AC$3:$AC$10000,0)),"")</f>
        <v/>
      </c>
      <c r="AE935" s="117" t="str">
        <f>+'Packing Material - Cost'!A936</f>
        <v/>
      </c>
    </row>
    <row r="936" spans="27:31">
      <c r="AA936" s="117" t="str">
        <f>+'Ingredient List - Mother Tinctu'!D937</f>
        <v>Prunus Spin.</v>
      </c>
      <c r="AB936" s="117">
        <f t="shared" si="17"/>
        <v>0</v>
      </c>
      <c r="AC936" s="117" t="str">
        <f>IF(AB936=1,COUNTIF($AB$3:AB936,1),"")</f>
        <v/>
      </c>
      <c r="AD936" s="117" t="str">
        <f>IFERROR(INDEX($AA$3:$AA$10000,MATCH(ROWS($AC$3:AC936),$AC$3:$AC$10000,0)),"")</f>
        <v/>
      </c>
      <c r="AE936" s="117" t="str">
        <f>+'Packing Material - Cost'!A937</f>
        <v/>
      </c>
    </row>
    <row r="937" spans="27:31">
      <c r="AA937" s="117" t="str">
        <f>+'Ingredient List - Mother Tinctu'!D938</f>
        <v>Psoralea Cor.</v>
      </c>
      <c r="AB937" s="117">
        <f t="shared" si="17"/>
        <v>0</v>
      </c>
      <c r="AC937" s="117" t="str">
        <f>IF(AB937=1,COUNTIF($AB$3:AB937,1),"")</f>
        <v/>
      </c>
      <c r="AD937" s="117" t="str">
        <f>IFERROR(INDEX($AA$3:$AA$10000,MATCH(ROWS($AC$3:AC937),$AC$3:$AC$10000,0)),"")</f>
        <v/>
      </c>
      <c r="AE937" s="117" t="str">
        <f>+'Packing Material - Cost'!A938</f>
        <v/>
      </c>
    </row>
    <row r="938" spans="27:31">
      <c r="AA938" s="117" t="str">
        <f>+'Ingredient List - Mother Tinctu'!D939</f>
        <v>Psorinum</v>
      </c>
      <c r="AB938" s="117">
        <f t="shared" si="17"/>
        <v>0</v>
      </c>
      <c r="AC938" s="117" t="str">
        <f>IF(AB938=1,COUNTIF($AB$3:AB938,1),"")</f>
        <v/>
      </c>
      <c r="AD938" s="117" t="str">
        <f>IFERROR(INDEX($AA$3:$AA$10000,MATCH(ROWS($AC$3:AC938),$AC$3:$AC$10000,0)),"")</f>
        <v/>
      </c>
      <c r="AE938" s="117" t="str">
        <f>+'Packing Material - Cost'!A939</f>
        <v/>
      </c>
    </row>
    <row r="939" spans="27:31">
      <c r="AA939" s="117" t="str">
        <f>+'Ingredient List - Mother Tinctu'!D940</f>
        <v>Pulmo Vul.</v>
      </c>
      <c r="AB939" s="117">
        <f t="shared" si="17"/>
        <v>0</v>
      </c>
      <c r="AC939" s="117" t="str">
        <f>IF(AB939=1,COUNTIF($AB$3:AB939,1),"")</f>
        <v/>
      </c>
      <c r="AD939" s="117" t="str">
        <f>IFERROR(INDEX($AA$3:$AA$10000,MATCH(ROWS($AC$3:AC939),$AC$3:$AC$10000,0)),"")</f>
        <v/>
      </c>
      <c r="AE939" s="117" t="str">
        <f>+'Packing Material - Cost'!A940</f>
        <v/>
      </c>
    </row>
    <row r="940" spans="27:31">
      <c r="AA940" s="117" t="str">
        <f>+'Ingredient List - Mother Tinctu'!D941</f>
        <v>Pulsatilla Nig.</v>
      </c>
      <c r="AB940" s="117">
        <f t="shared" si="17"/>
        <v>0</v>
      </c>
      <c r="AC940" s="117" t="str">
        <f>IF(AB940=1,COUNTIF($AB$3:AB940,1),"")</f>
        <v/>
      </c>
      <c r="AD940" s="117" t="str">
        <f>IFERROR(INDEX($AA$3:$AA$10000,MATCH(ROWS($AC$3:AC940),$AC$3:$AC$10000,0)),"")</f>
        <v/>
      </c>
      <c r="AE940" s="117" t="str">
        <f>+'Packing Material - Cost'!A941</f>
        <v/>
      </c>
    </row>
    <row r="941" spans="27:31">
      <c r="AA941" s="117" t="str">
        <f>+'Ingredient List - Mother Tinctu'!D942</f>
        <v>Pyrogenium</v>
      </c>
      <c r="AB941" s="117">
        <f t="shared" si="17"/>
        <v>0</v>
      </c>
      <c r="AC941" s="117" t="str">
        <f>IF(AB941=1,COUNTIF($AB$3:AB941,1),"")</f>
        <v/>
      </c>
      <c r="AD941" s="117" t="str">
        <f>IFERROR(INDEX($AA$3:$AA$10000,MATCH(ROWS($AC$3:AC941),$AC$3:$AC$10000,0)),"")</f>
        <v/>
      </c>
      <c r="AE941" s="117" t="str">
        <f>+'Packing Material - Cost'!A942</f>
        <v/>
      </c>
    </row>
    <row r="942" spans="27:31">
      <c r="AA942" s="117" t="str">
        <f>+'Ingredient List - Mother Tinctu'!D943</f>
        <v>Quassia</v>
      </c>
      <c r="AB942" s="117">
        <f t="shared" si="17"/>
        <v>0</v>
      </c>
      <c r="AC942" s="117" t="str">
        <f>IF(AB942=1,COUNTIF($AB$3:AB942,1),"")</f>
        <v/>
      </c>
      <c r="AD942" s="117" t="str">
        <f>IFERROR(INDEX($AA$3:$AA$10000,MATCH(ROWS($AC$3:AC942),$AC$3:$AC$10000,0)),"")</f>
        <v/>
      </c>
      <c r="AE942" s="117" t="str">
        <f>+'Packing Material - Cost'!A943</f>
        <v/>
      </c>
    </row>
    <row r="943" spans="27:31">
      <c r="AA943" s="117" t="str">
        <f>+'Ingredient List - Mother Tinctu'!D944</f>
        <v>Quercus  Gland  Spirit</v>
      </c>
      <c r="AB943" s="117">
        <f t="shared" si="17"/>
        <v>0</v>
      </c>
      <c r="AC943" s="117" t="str">
        <f>IF(AB943=1,COUNTIF($AB$3:AB943,1),"")</f>
        <v/>
      </c>
      <c r="AD943" s="117" t="str">
        <f>IFERROR(INDEX($AA$3:$AA$10000,MATCH(ROWS($AC$3:AC943),$AC$3:$AC$10000,0)),"")</f>
        <v/>
      </c>
      <c r="AE943" s="117" t="str">
        <f>+'Packing Material - Cost'!A944</f>
        <v/>
      </c>
    </row>
    <row r="944" spans="27:31">
      <c r="AA944" s="117" t="str">
        <f>+'Ingredient List - Mother Tinctu'!D945</f>
        <v>Quillaya S</v>
      </c>
      <c r="AB944" s="117">
        <f t="shared" si="17"/>
        <v>0</v>
      </c>
      <c r="AC944" s="117" t="str">
        <f>IF(AB944=1,COUNTIF($AB$3:AB944,1),"")</f>
        <v/>
      </c>
      <c r="AD944" s="117" t="str">
        <f>IFERROR(INDEX($AA$3:$AA$10000,MATCH(ROWS($AC$3:AC944),$AC$3:$AC$10000,0)),"")</f>
        <v/>
      </c>
      <c r="AE944" s="117" t="str">
        <f>+'Packing Material - Cost'!A945</f>
        <v/>
      </c>
    </row>
    <row r="945" spans="27:31">
      <c r="AA945" s="117" t="str">
        <f>+'Ingredient List - Mother Tinctu'!D946</f>
        <v>Radium Brom.</v>
      </c>
      <c r="AB945" s="117">
        <f t="shared" si="17"/>
        <v>0</v>
      </c>
      <c r="AC945" s="117" t="str">
        <f>IF(AB945=1,COUNTIF($AB$3:AB945,1),"")</f>
        <v/>
      </c>
      <c r="AD945" s="117" t="str">
        <f>IFERROR(INDEX($AA$3:$AA$10000,MATCH(ROWS($AC$3:AC945),$AC$3:$AC$10000,0)),"")</f>
        <v/>
      </c>
      <c r="AE945" s="117" t="str">
        <f>+'Packing Material - Cost'!A946</f>
        <v/>
      </c>
    </row>
    <row r="946" spans="27:31">
      <c r="AA946" s="117" t="str">
        <f>+'Ingredient List - Mother Tinctu'!D947</f>
        <v>Ranuncul Bulb.</v>
      </c>
      <c r="AB946" s="117">
        <f t="shared" si="17"/>
        <v>0</v>
      </c>
      <c r="AC946" s="117" t="str">
        <f>IF(AB946=1,COUNTIF($AB$3:AB946,1),"")</f>
        <v/>
      </c>
      <c r="AD946" s="117" t="str">
        <f>IFERROR(INDEX($AA$3:$AA$10000,MATCH(ROWS($AC$3:AC946),$AC$3:$AC$10000,0)),"")</f>
        <v/>
      </c>
      <c r="AE946" s="117" t="str">
        <f>+'Packing Material - Cost'!A947</f>
        <v/>
      </c>
    </row>
    <row r="947" spans="27:31">
      <c r="AA947" s="117" t="str">
        <f>+'Ingredient List - Mother Tinctu'!D948</f>
        <v>Ranuncul Scl.</v>
      </c>
      <c r="AB947" s="117">
        <f t="shared" si="17"/>
        <v>0</v>
      </c>
      <c r="AC947" s="117" t="str">
        <f>IF(AB947=1,COUNTIF($AB$3:AB947,1),"")</f>
        <v/>
      </c>
      <c r="AD947" s="117" t="str">
        <f>IFERROR(INDEX($AA$3:$AA$10000,MATCH(ROWS($AC$3:AC947),$AC$3:$AC$10000,0)),"")</f>
        <v/>
      </c>
      <c r="AE947" s="117" t="str">
        <f>+'Packing Material - Cost'!A948</f>
        <v/>
      </c>
    </row>
    <row r="948" spans="27:31">
      <c r="AA948" s="117" t="str">
        <f>+'Ingredient List - Mother Tinctu'!D949</f>
        <v>Raphanus Sat.</v>
      </c>
      <c r="AB948" s="117">
        <f t="shared" si="17"/>
        <v>0</v>
      </c>
      <c r="AC948" s="117" t="str">
        <f>IF(AB948=1,COUNTIF($AB$3:AB948,1),"")</f>
        <v/>
      </c>
      <c r="AD948" s="117" t="str">
        <f>IFERROR(INDEX($AA$3:$AA$10000,MATCH(ROWS($AC$3:AC948),$AC$3:$AC$10000,0)),"")</f>
        <v/>
      </c>
      <c r="AE948" s="117" t="str">
        <f>+'Packing Material - Cost'!A949</f>
        <v/>
      </c>
    </row>
    <row r="949" spans="27:31">
      <c r="AA949" s="117" t="str">
        <f>+'Ingredient List - Mother Tinctu'!D950</f>
        <v>Ratanhia</v>
      </c>
      <c r="AB949" s="117">
        <f t="shared" si="17"/>
        <v>0</v>
      </c>
      <c r="AC949" s="117" t="str">
        <f>IF(AB949=1,COUNTIF($AB$3:AB949,1),"")</f>
        <v/>
      </c>
      <c r="AD949" s="117" t="str">
        <f>IFERROR(INDEX($AA$3:$AA$10000,MATCH(ROWS($AC$3:AC949),$AC$3:$AC$10000,0)),"")</f>
        <v/>
      </c>
      <c r="AE949" s="117" t="str">
        <f>+'Packing Material - Cost'!A950</f>
        <v/>
      </c>
    </row>
    <row r="950" spans="27:31">
      <c r="AA950" s="117" t="str">
        <f>+'Ingredient List - Mother Tinctu'!D951</f>
        <v>Rauwolfia Serp.</v>
      </c>
      <c r="AB950" s="117">
        <f t="shared" si="17"/>
        <v>0</v>
      </c>
      <c r="AC950" s="117" t="str">
        <f>IF(AB950=1,COUNTIF($AB$3:AB950,1),"")</f>
        <v/>
      </c>
      <c r="AD950" s="117" t="str">
        <f>IFERROR(INDEX($AA$3:$AA$10000,MATCH(ROWS($AC$3:AC950),$AC$3:$AC$10000,0)),"")</f>
        <v/>
      </c>
      <c r="AE950" s="117" t="str">
        <f>+'Packing Material - Cost'!A951</f>
        <v/>
      </c>
    </row>
    <row r="951" spans="27:31">
      <c r="AA951" s="117" t="str">
        <f>+'Ingredient List - Mother Tinctu'!D952</f>
        <v>Rhamnus Cali.</v>
      </c>
      <c r="AB951" s="117">
        <f t="shared" si="17"/>
        <v>0</v>
      </c>
      <c r="AC951" s="117" t="str">
        <f>IF(AB951=1,COUNTIF($AB$3:AB951,1),"")</f>
        <v/>
      </c>
      <c r="AD951" s="117" t="str">
        <f>IFERROR(INDEX($AA$3:$AA$10000,MATCH(ROWS($AC$3:AC951),$AC$3:$AC$10000,0)),"")</f>
        <v/>
      </c>
      <c r="AE951" s="117" t="str">
        <f>+'Packing Material - Cost'!A952</f>
        <v/>
      </c>
    </row>
    <row r="952" spans="27:31">
      <c r="AA952" s="117" t="str">
        <f>+'Ingredient List - Mother Tinctu'!D953</f>
        <v>Rheum</v>
      </c>
      <c r="AB952" s="117">
        <f t="shared" si="17"/>
        <v>0</v>
      </c>
      <c r="AC952" s="117" t="str">
        <f>IF(AB952=1,COUNTIF($AB$3:AB952,1),"")</f>
        <v/>
      </c>
      <c r="AD952" s="117" t="str">
        <f>IFERROR(INDEX($AA$3:$AA$10000,MATCH(ROWS($AC$3:AC952),$AC$3:$AC$10000,0)),"")</f>
        <v/>
      </c>
      <c r="AE952" s="117" t="str">
        <f>+'Packing Material - Cost'!A953</f>
        <v/>
      </c>
    </row>
    <row r="953" spans="27:31">
      <c r="AA953" s="117" t="str">
        <f>+'Ingredient List - Mother Tinctu'!D954</f>
        <v>Rhododendron</v>
      </c>
      <c r="AB953" s="117">
        <f t="shared" si="17"/>
        <v>0</v>
      </c>
      <c r="AC953" s="117" t="str">
        <f>IF(AB953=1,COUNTIF($AB$3:AB953,1),"")</f>
        <v/>
      </c>
      <c r="AD953" s="117" t="str">
        <f>IFERROR(INDEX($AA$3:$AA$10000,MATCH(ROWS($AC$3:AC953),$AC$3:$AC$10000,0)),"")</f>
        <v/>
      </c>
      <c r="AE953" s="117" t="str">
        <f>+'Packing Material - Cost'!A954</f>
        <v/>
      </c>
    </row>
    <row r="954" spans="27:31">
      <c r="AA954" s="117" t="str">
        <f>+'Ingredient List - Mother Tinctu'!D955</f>
        <v>Rhus Arom</v>
      </c>
      <c r="AB954" s="117">
        <f t="shared" si="17"/>
        <v>0</v>
      </c>
      <c r="AC954" s="117" t="str">
        <f>IF(AB954=1,COUNTIF($AB$3:AB954,1),"")</f>
        <v/>
      </c>
      <c r="AD954" s="117" t="str">
        <f>IFERROR(INDEX($AA$3:$AA$10000,MATCH(ROWS($AC$3:AC954),$AC$3:$AC$10000,0)),"")</f>
        <v/>
      </c>
      <c r="AE954" s="117" t="str">
        <f>+'Packing Material - Cost'!A955</f>
        <v/>
      </c>
    </row>
    <row r="955" spans="27:31">
      <c r="AA955" s="117" t="str">
        <f>+'Ingredient List - Mother Tinctu'!D956</f>
        <v>Rhus Glab</v>
      </c>
      <c r="AB955" s="117">
        <f t="shared" si="17"/>
        <v>0</v>
      </c>
      <c r="AC955" s="117" t="str">
        <f>IF(AB955=1,COUNTIF($AB$3:AB955,1),"")</f>
        <v/>
      </c>
      <c r="AD955" s="117" t="str">
        <f>IFERROR(INDEX($AA$3:$AA$10000,MATCH(ROWS($AC$3:AC955),$AC$3:$AC$10000,0)),"")</f>
        <v/>
      </c>
      <c r="AE955" s="117" t="str">
        <f>+'Packing Material - Cost'!A956</f>
        <v/>
      </c>
    </row>
    <row r="956" spans="27:31">
      <c r="AA956" s="117" t="str">
        <f>+'Ingredient List - Mother Tinctu'!D957</f>
        <v>Rhus Tox</v>
      </c>
      <c r="AB956" s="117">
        <f t="shared" si="17"/>
        <v>0</v>
      </c>
      <c r="AC956" s="117" t="str">
        <f>IF(AB956=1,COUNTIF($AB$3:AB956,1),"")</f>
        <v/>
      </c>
      <c r="AD956" s="117" t="str">
        <f>IFERROR(INDEX($AA$3:$AA$10000,MATCH(ROWS($AC$3:AC956),$AC$3:$AC$10000,0)),"")</f>
        <v/>
      </c>
      <c r="AE956" s="117" t="str">
        <f>+'Packing Material - Cost'!A957</f>
        <v/>
      </c>
    </row>
    <row r="957" spans="27:31">
      <c r="AA957" s="117" t="str">
        <f>+'Ingredient List - Mother Tinctu'!D958</f>
        <v>Rhus Ven</v>
      </c>
      <c r="AB957" s="117">
        <f t="shared" si="17"/>
        <v>0</v>
      </c>
      <c r="AC957" s="117" t="str">
        <f>IF(AB957=1,COUNTIF($AB$3:AB957,1),"")</f>
        <v/>
      </c>
      <c r="AD957" s="117" t="str">
        <f>IFERROR(INDEX($AA$3:$AA$10000,MATCH(ROWS($AC$3:AC957),$AC$3:$AC$10000,0)),"")</f>
        <v/>
      </c>
      <c r="AE957" s="117" t="str">
        <f>+'Packing Material - Cost'!A958</f>
        <v/>
      </c>
    </row>
    <row r="958" spans="27:31">
      <c r="AA958" s="117" t="str">
        <f>+'Ingredient List - Mother Tinctu'!D959</f>
        <v>Ricinus Com</v>
      </c>
      <c r="AB958" s="117">
        <f t="shared" si="17"/>
        <v>0</v>
      </c>
      <c r="AC958" s="117" t="str">
        <f>IF(AB958=1,COUNTIF($AB$3:AB958,1),"")</f>
        <v/>
      </c>
      <c r="AD958" s="117" t="str">
        <f>IFERROR(INDEX($AA$3:$AA$10000,MATCH(ROWS($AC$3:AC958),$AC$3:$AC$10000,0)),"")</f>
        <v/>
      </c>
      <c r="AE958" s="117" t="str">
        <f>+'Packing Material - Cost'!A959</f>
        <v/>
      </c>
    </row>
    <row r="959" spans="27:31">
      <c r="AA959" s="117" t="str">
        <f>+'Ingredient List - Mother Tinctu'!D960</f>
        <v>Robinia</v>
      </c>
      <c r="AB959" s="117">
        <f t="shared" si="17"/>
        <v>0</v>
      </c>
      <c r="AC959" s="117" t="str">
        <f>IF(AB959=1,COUNTIF($AB$3:AB959,1),"")</f>
        <v/>
      </c>
      <c r="AD959" s="117" t="str">
        <f>IFERROR(INDEX($AA$3:$AA$10000,MATCH(ROWS($AC$3:AC959),$AC$3:$AC$10000,0)),"")</f>
        <v/>
      </c>
      <c r="AE959" s="117" t="str">
        <f>+'Packing Material - Cost'!A960</f>
        <v/>
      </c>
    </row>
    <row r="960" spans="27:31">
      <c r="AA960" s="117" t="str">
        <f>+'Ingredient List - Mother Tinctu'!D961</f>
        <v>Rumex Crisp.</v>
      </c>
      <c r="AB960" s="117">
        <f t="shared" si="17"/>
        <v>0</v>
      </c>
      <c r="AC960" s="117" t="str">
        <f>IF(AB960=1,COUNTIF($AB$3:AB960,1),"")</f>
        <v/>
      </c>
      <c r="AD960" s="117" t="str">
        <f>IFERROR(INDEX($AA$3:$AA$10000,MATCH(ROWS($AC$3:AC960),$AC$3:$AC$10000,0)),"")</f>
        <v/>
      </c>
      <c r="AE960" s="117" t="str">
        <f>+'Packing Material - Cost'!A961</f>
        <v/>
      </c>
    </row>
    <row r="961" spans="27:31">
      <c r="AA961" s="117" t="str">
        <f>+'Ingredient List - Mother Tinctu'!D962</f>
        <v>Ruta Grav.</v>
      </c>
      <c r="AB961" s="117">
        <f t="shared" si="17"/>
        <v>0</v>
      </c>
      <c r="AC961" s="117" t="str">
        <f>IF(AB961=1,COUNTIF($AB$3:AB961,1),"")</f>
        <v/>
      </c>
      <c r="AD961" s="117" t="str">
        <f>IFERROR(INDEX($AA$3:$AA$10000,MATCH(ROWS($AC$3:AC961),$AC$3:$AC$10000,0)),"")</f>
        <v/>
      </c>
      <c r="AE961" s="117" t="str">
        <f>+'Packing Material - Cost'!A962</f>
        <v/>
      </c>
    </row>
    <row r="962" spans="27:31">
      <c r="AA962" s="117" t="str">
        <f>+'Ingredient List - Mother Tinctu'!D963</f>
        <v>Sabadilla</v>
      </c>
      <c r="AB962" s="117">
        <f t="shared" si="17"/>
        <v>0</v>
      </c>
      <c r="AC962" s="117" t="str">
        <f>IF(AB962=1,COUNTIF($AB$3:AB962,1),"")</f>
        <v/>
      </c>
      <c r="AD962" s="117" t="str">
        <f>IFERROR(INDEX($AA$3:$AA$10000,MATCH(ROWS($AC$3:AC962),$AC$3:$AC$10000,0)),"")</f>
        <v/>
      </c>
      <c r="AE962" s="117" t="str">
        <f>+'Packing Material - Cost'!A963</f>
        <v/>
      </c>
    </row>
    <row r="963" spans="27:31">
      <c r="AA963" s="117" t="str">
        <f>+'Ingredient List - Mother Tinctu'!D964</f>
        <v>Sabal Serr.</v>
      </c>
      <c r="AB963" s="117">
        <f t="shared" si="17"/>
        <v>0</v>
      </c>
      <c r="AC963" s="117" t="str">
        <f>IF(AB963=1,COUNTIF($AB$3:AB963,1),"")</f>
        <v/>
      </c>
      <c r="AD963" s="117" t="str">
        <f>IFERROR(INDEX($AA$3:$AA$10000,MATCH(ROWS($AC$3:AC963),$AC$3:$AC$10000,0)),"")</f>
        <v/>
      </c>
      <c r="AE963" s="117" t="str">
        <f>+'Packing Material - Cost'!A964</f>
        <v/>
      </c>
    </row>
    <row r="964" spans="27:31">
      <c r="AA964" s="117" t="str">
        <f>+'Ingredient List - Mother Tinctu'!D965</f>
        <v>Sabina</v>
      </c>
      <c r="AB964" s="117">
        <f t="shared" ref="AB964:AB1027" si="18">--ISNUMBER(IFERROR(SEARCH($D$3,AA964,1),""))</f>
        <v>0</v>
      </c>
      <c r="AC964" s="117" t="str">
        <f>IF(AB964=1,COUNTIF($AB$3:AB964,1),"")</f>
        <v/>
      </c>
      <c r="AD964" s="117" t="str">
        <f>IFERROR(INDEX($AA$3:$AA$10000,MATCH(ROWS($AC$3:AC964),$AC$3:$AC$10000,0)),"")</f>
        <v/>
      </c>
      <c r="AE964" s="117" t="str">
        <f>+'Packing Material - Cost'!A965</f>
        <v/>
      </c>
    </row>
    <row r="965" spans="27:31">
      <c r="AA965" s="117" t="str">
        <f>+'Ingredient List - Mother Tinctu'!D966</f>
        <v>Sacc. Lac.</v>
      </c>
      <c r="AB965" s="117">
        <f t="shared" si="18"/>
        <v>0</v>
      </c>
      <c r="AC965" s="117" t="str">
        <f>IF(AB965=1,COUNTIF($AB$3:AB965,1),"")</f>
        <v/>
      </c>
      <c r="AD965" s="117" t="str">
        <f>IFERROR(INDEX($AA$3:$AA$10000,MATCH(ROWS($AC$3:AC965),$AC$3:$AC$10000,0)),"")</f>
        <v/>
      </c>
      <c r="AE965" s="117" t="str">
        <f>+'Packing Material - Cost'!A966</f>
        <v/>
      </c>
    </row>
    <row r="966" spans="27:31">
      <c r="AA966" s="117" t="str">
        <f>+'Ingredient List - Mother Tinctu'!D967</f>
        <v>Sacc. Off.</v>
      </c>
      <c r="AB966" s="117">
        <f t="shared" si="18"/>
        <v>0</v>
      </c>
      <c r="AC966" s="117" t="str">
        <f>IF(AB966=1,COUNTIF($AB$3:AB966,1),"")</f>
        <v/>
      </c>
      <c r="AD966" s="117" t="str">
        <f>IFERROR(INDEX($AA$3:$AA$10000,MATCH(ROWS($AC$3:AC966),$AC$3:$AC$10000,0)),"")</f>
        <v/>
      </c>
      <c r="AE966" s="117" t="str">
        <f>+'Packing Material - Cost'!A967</f>
        <v/>
      </c>
    </row>
    <row r="967" spans="27:31">
      <c r="AA967" s="117" t="str">
        <f>+'Ingredient List - Mother Tinctu'!D968</f>
        <v>Salix Nig.</v>
      </c>
      <c r="AB967" s="117">
        <f t="shared" si="18"/>
        <v>0</v>
      </c>
      <c r="AC967" s="117" t="str">
        <f>IF(AB967=1,COUNTIF($AB$3:AB967,1),"")</f>
        <v/>
      </c>
      <c r="AD967" s="117" t="str">
        <f>IFERROR(INDEX($AA$3:$AA$10000,MATCH(ROWS($AC$3:AC967),$AC$3:$AC$10000,0)),"")</f>
        <v/>
      </c>
      <c r="AE967" s="117" t="str">
        <f>+'Packing Material - Cost'!A968</f>
        <v/>
      </c>
    </row>
    <row r="968" spans="27:31">
      <c r="AA968" s="117" t="str">
        <f>+'Ingredient List - Mother Tinctu'!D969</f>
        <v>Sambucus Can.</v>
      </c>
      <c r="AB968" s="117">
        <f t="shared" si="18"/>
        <v>0</v>
      </c>
      <c r="AC968" s="117" t="str">
        <f>IF(AB968=1,COUNTIF($AB$3:AB968,1),"")</f>
        <v/>
      </c>
      <c r="AD968" s="117" t="str">
        <f>IFERROR(INDEX($AA$3:$AA$10000,MATCH(ROWS($AC$3:AC968),$AC$3:$AC$10000,0)),"")</f>
        <v/>
      </c>
      <c r="AE968" s="117" t="str">
        <f>+'Packing Material - Cost'!A969</f>
        <v/>
      </c>
    </row>
    <row r="969" spans="27:31">
      <c r="AA969" s="117" t="str">
        <f>+'Ingredient List - Mother Tinctu'!D970</f>
        <v>Sambucus Nig.</v>
      </c>
      <c r="AB969" s="117">
        <f t="shared" si="18"/>
        <v>0</v>
      </c>
      <c r="AC969" s="117" t="str">
        <f>IF(AB969=1,COUNTIF($AB$3:AB969,1),"")</f>
        <v/>
      </c>
      <c r="AD969" s="117" t="str">
        <f>IFERROR(INDEX($AA$3:$AA$10000,MATCH(ROWS($AC$3:AC969),$AC$3:$AC$10000,0)),"")</f>
        <v/>
      </c>
      <c r="AE969" s="117" t="str">
        <f>+'Packing Material - Cost'!A970</f>
        <v/>
      </c>
    </row>
    <row r="970" spans="27:31">
      <c r="AA970" s="117" t="str">
        <f>+'Ingredient List - Mother Tinctu'!D971</f>
        <v>Sanguinar Can.</v>
      </c>
      <c r="AB970" s="117">
        <f t="shared" si="18"/>
        <v>0</v>
      </c>
      <c r="AC970" s="117" t="str">
        <f>IF(AB970=1,COUNTIF($AB$3:AB970,1),"")</f>
        <v/>
      </c>
      <c r="AD970" s="117" t="str">
        <f>IFERROR(INDEX($AA$3:$AA$10000,MATCH(ROWS($AC$3:AC970),$AC$3:$AC$10000,0)),"")</f>
        <v/>
      </c>
      <c r="AE970" s="117" t="str">
        <f>+'Packing Material - Cost'!A971</f>
        <v/>
      </c>
    </row>
    <row r="971" spans="27:31">
      <c r="AA971" s="117" t="str">
        <f>+'Ingredient List - Mother Tinctu'!D972</f>
        <v>Sanguinar Nit.</v>
      </c>
      <c r="AB971" s="117">
        <f t="shared" si="18"/>
        <v>0</v>
      </c>
      <c r="AC971" s="117" t="str">
        <f>IF(AB971=1,COUNTIF($AB$3:AB971,1),"")</f>
        <v/>
      </c>
      <c r="AD971" s="117" t="str">
        <f>IFERROR(INDEX($AA$3:$AA$10000,MATCH(ROWS($AC$3:AC971),$AC$3:$AC$10000,0)),"")</f>
        <v/>
      </c>
      <c r="AE971" s="117" t="str">
        <f>+'Packing Material - Cost'!A972</f>
        <v/>
      </c>
    </row>
    <row r="972" spans="27:31">
      <c r="AA972" s="117" t="str">
        <f>+'Ingredient List - Mother Tinctu'!D973</f>
        <v>Sanicula</v>
      </c>
      <c r="AB972" s="117">
        <f t="shared" si="18"/>
        <v>0</v>
      </c>
      <c r="AC972" s="117" t="str">
        <f>IF(AB972=1,COUNTIF($AB$3:AB972,1),"")</f>
        <v/>
      </c>
      <c r="AD972" s="117" t="str">
        <f>IFERROR(INDEX($AA$3:$AA$10000,MATCH(ROWS($AC$3:AC972),$AC$3:$AC$10000,0)),"")</f>
        <v/>
      </c>
      <c r="AE972" s="117" t="str">
        <f>+'Packing Material - Cost'!A973</f>
        <v/>
      </c>
    </row>
    <row r="973" spans="27:31">
      <c r="AA973" s="117" t="str">
        <f>+'Ingredient List - Mother Tinctu'!D974</f>
        <v>Santoninum</v>
      </c>
      <c r="AB973" s="117">
        <f t="shared" si="18"/>
        <v>0</v>
      </c>
      <c r="AC973" s="117" t="str">
        <f>IF(AB973=1,COUNTIF($AB$3:AB973,1),"")</f>
        <v/>
      </c>
      <c r="AD973" s="117" t="str">
        <f>IFERROR(INDEX($AA$3:$AA$10000,MATCH(ROWS($AC$3:AC973),$AC$3:$AC$10000,0)),"")</f>
        <v/>
      </c>
      <c r="AE973" s="117" t="str">
        <f>+'Packing Material - Cost'!A974</f>
        <v/>
      </c>
    </row>
    <row r="974" spans="27:31">
      <c r="AA974" s="117" t="str">
        <f>+'Ingredient List - Mother Tinctu'!D975</f>
        <v>Saponaria</v>
      </c>
      <c r="AB974" s="117">
        <f t="shared" si="18"/>
        <v>0</v>
      </c>
      <c r="AC974" s="117" t="str">
        <f>IF(AB974=1,COUNTIF($AB$3:AB974,1),"")</f>
        <v/>
      </c>
      <c r="AD974" s="117" t="str">
        <f>IFERROR(INDEX($AA$3:$AA$10000,MATCH(ROWS($AC$3:AC974),$AC$3:$AC$10000,0)),"")</f>
        <v/>
      </c>
      <c r="AE974" s="117" t="str">
        <f>+'Packing Material - Cost'!A975</f>
        <v/>
      </c>
    </row>
    <row r="975" spans="27:31">
      <c r="AA975" s="117" t="str">
        <f>+'Ingredient List - Mother Tinctu'!D976</f>
        <v>Saraca Ind.</v>
      </c>
      <c r="AB975" s="117">
        <f t="shared" si="18"/>
        <v>0</v>
      </c>
      <c r="AC975" s="117" t="str">
        <f>IF(AB975=1,COUNTIF($AB$3:AB975,1),"")</f>
        <v/>
      </c>
      <c r="AD975" s="117" t="str">
        <f>IFERROR(INDEX($AA$3:$AA$10000,MATCH(ROWS($AC$3:AC975),$AC$3:$AC$10000,0)),"")</f>
        <v/>
      </c>
      <c r="AE975" s="117" t="str">
        <f>+'Packing Material - Cost'!A976</f>
        <v/>
      </c>
    </row>
    <row r="976" spans="27:31">
      <c r="AA976" s="117" t="str">
        <f>+'Ingredient List - Mother Tinctu'!D977</f>
        <v>Saracenia</v>
      </c>
      <c r="AB976" s="117">
        <f t="shared" si="18"/>
        <v>0</v>
      </c>
      <c r="AC976" s="117" t="str">
        <f>IF(AB976=1,COUNTIF($AB$3:AB976,1),"")</f>
        <v/>
      </c>
      <c r="AD976" s="117" t="str">
        <f>IFERROR(INDEX($AA$3:$AA$10000,MATCH(ROWS($AC$3:AC976),$AC$3:$AC$10000,0)),"")</f>
        <v/>
      </c>
      <c r="AE976" s="117" t="str">
        <f>+'Packing Material - Cost'!A977</f>
        <v/>
      </c>
    </row>
    <row r="977" spans="27:31">
      <c r="AA977" s="117" t="str">
        <f>+'Ingredient List - Mother Tinctu'!D978</f>
        <v>Sarasaparilla</v>
      </c>
      <c r="AB977" s="117">
        <f t="shared" si="18"/>
        <v>0</v>
      </c>
      <c r="AC977" s="117" t="str">
        <f>IF(AB977=1,COUNTIF($AB$3:AB977,1),"")</f>
        <v/>
      </c>
      <c r="AD977" s="117" t="str">
        <f>IFERROR(INDEX($AA$3:$AA$10000,MATCH(ROWS($AC$3:AC977),$AC$3:$AC$10000,0)),"")</f>
        <v/>
      </c>
      <c r="AE977" s="117" t="str">
        <f>+'Packing Material - Cost'!A978</f>
        <v/>
      </c>
    </row>
    <row r="978" spans="27:31">
      <c r="AA978" s="117" t="str">
        <f>+'Ingredient List - Mother Tinctu'!D979</f>
        <v>Scirrhinum</v>
      </c>
      <c r="AB978" s="117">
        <f t="shared" si="18"/>
        <v>0</v>
      </c>
      <c r="AC978" s="117" t="str">
        <f>IF(AB978=1,COUNTIF($AB$3:AB978,1),"")</f>
        <v/>
      </c>
      <c r="AD978" s="117" t="str">
        <f>IFERROR(INDEX($AA$3:$AA$10000,MATCH(ROWS($AC$3:AC978),$AC$3:$AC$10000,0)),"")</f>
        <v/>
      </c>
      <c r="AE978" s="117" t="str">
        <f>+'Packing Material - Cost'!A979</f>
        <v/>
      </c>
    </row>
    <row r="979" spans="27:31">
      <c r="AA979" s="117" t="str">
        <f>+'Ingredient List - Mother Tinctu'!D980</f>
        <v>Scrophularia Nodosa</v>
      </c>
      <c r="AB979" s="117">
        <f t="shared" si="18"/>
        <v>0</v>
      </c>
      <c r="AC979" s="117" t="str">
        <f>IF(AB979=1,COUNTIF($AB$3:AB979,1),"")</f>
        <v/>
      </c>
      <c r="AD979" s="117" t="str">
        <f>IFERROR(INDEX($AA$3:$AA$10000,MATCH(ROWS($AC$3:AC979),$AC$3:$AC$10000,0)),"")</f>
        <v/>
      </c>
      <c r="AE979" s="117" t="str">
        <f>+'Packing Material - Cost'!A980</f>
        <v/>
      </c>
    </row>
    <row r="980" spans="27:31">
      <c r="AA980" s="117" t="str">
        <f>+'Ingredient List - Mother Tinctu'!D981</f>
        <v>Scutellar. L</v>
      </c>
      <c r="AB980" s="117">
        <f t="shared" si="18"/>
        <v>0</v>
      </c>
      <c r="AC980" s="117" t="str">
        <f>IF(AB980=1,COUNTIF($AB$3:AB980,1),"")</f>
        <v/>
      </c>
      <c r="AD980" s="117" t="str">
        <f>IFERROR(INDEX($AA$3:$AA$10000,MATCH(ROWS($AC$3:AC980),$AC$3:$AC$10000,0)),"")</f>
        <v/>
      </c>
      <c r="AE980" s="117" t="str">
        <f>+'Packing Material - Cost'!A981</f>
        <v/>
      </c>
    </row>
    <row r="981" spans="27:31">
      <c r="AA981" s="117" t="str">
        <f>+'Ingredient List - Mother Tinctu'!D982</f>
        <v>Secale Cor.</v>
      </c>
      <c r="AB981" s="117">
        <f t="shared" si="18"/>
        <v>0</v>
      </c>
      <c r="AC981" s="117" t="str">
        <f>IF(AB981=1,COUNTIF($AB$3:AB981,1),"")</f>
        <v/>
      </c>
      <c r="AD981" s="117" t="str">
        <f>IFERROR(INDEX($AA$3:$AA$10000,MATCH(ROWS($AC$3:AC981),$AC$3:$AC$10000,0)),"")</f>
        <v/>
      </c>
      <c r="AE981" s="117" t="str">
        <f>+'Packing Material - Cost'!A982</f>
        <v/>
      </c>
    </row>
    <row r="982" spans="27:31">
      <c r="AA982" s="117" t="str">
        <f>+'Ingredient List - Mother Tinctu'!D983</f>
        <v>Selenium</v>
      </c>
      <c r="AB982" s="117">
        <f t="shared" si="18"/>
        <v>0</v>
      </c>
      <c r="AC982" s="117" t="str">
        <f>IF(AB982=1,COUNTIF($AB$3:AB982,1),"")</f>
        <v/>
      </c>
      <c r="AD982" s="117" t="str">
        <f>IFERROR(INDEX($AA$3:$AA$10000,MATCH(ROWS($AC$3:AC982),$AC$3:$AC$10000,0)),"")</f>
        <v/>
      </c>
      <c r="AE982" s="117" t="str">
        <f>+'Packing Material - Cost'!A983</f>
        <v/>
      </c>
    </row>
    <row r="983" spans="27:31">
      <c r="AA983" s="117" t="str">
        <f>+'Ingredient List - Mother Tinctu'!D984</f>
        <v>Sempervivum</v>
      </c>
      <c r="AB983" s="117">
        <f t="shared" si="18"/>
        <v>0</v>
      </c>
      <c r="AC983" s="117" t="str">
        <f>IF(AB983=1,COUNTIF($AB$3:AB983,1),"")</f>
        <v/>
      </c>
      <c r="AD983" s="117" t="str">
        <f>IFERROR(INDEX($AA$3:$AA$10000,MATCH(ROWS($AC$3:AC983),$AC$3:$AC$10000,0)),"")</f>
        <v/>
      </c>
      <c r="AE983" s="117" t="str">
        <f>+'Packing Material - Cost'!A984</f>
        <v/>
      </c>
    </row>
    <row r="984" spans="27:31">
      <c r="AA984" s="117" t="str">
        <f>+'Ingredient List - Mother Tinctu'!D985</f>
        <v>Senecio Aur</v>
      </c>
      <c r="AB984" s="117">
        <f t="shared" si="18"/>
        <v>0</v>
      </c>
      <c r="AC984" s="117" t="str">
        <f>IF(AB984=1,COUNTIF($AB$3:AB984,1),"")</f>
        <v/>
      </c>
      <c r="AD984" s="117" t="str">
        <f>IFERROR(INDEX($AA$3:$AA$10000,MATCH(ROWS($AC$3:AC984),$AC$3:$AC$10000,0)),"")</f>
        <v/>
      </c>
      <c r="AE984" s="117" t="str">
        <f>+'Packing Material - Cost'!A985</f>
        <v/>
      </c>
    </row>
    <row r="985" spans="27:31">
      <c r="AA985" s="117" t="str">
        <f>+'Ingredient List - Mother Tinctu'!D986</f>
        <v>Senega</v>
      </c>
      <c r="AB985" s="117">
        <f t="shared" si="18"/>
        <v>0</v>
      </c>
      <c r="AC985" s="117" t="str">
        <f>IF(AB985=1,COUNTIF($AB$3:AB985,1),"")</f>
        <v/>
      </c>
      <c r="AD985" s="117" t="str">
        <f>IFERROR(INDEX($AA$3:$AA$10000,MATCH(ROWS($AC$3:AC985),$AC$3:$AC$10000,0)),"")</f>
        <v/>
      </c>
      <c r="AE985" s="117" t="str">
        <f>+'Packing Material - Cost'!A986</f>
        <v/>
      </c>
    </row>
    <row r="986" spans="27:31">
      <c r="AA986" s="117" t="str">
        <f>+'Ingredient List - Mother Tinctu'!D987</f>
        <v>Senna</v>
      </c>
      <c r="AB986" s="117">
        <f t="shared" si="18"/>
        <v>0</v>
      </c>
      <c r="AC986" s="117" t="str">
        <f>IF(AB986=1,COUNTIF($AB$3:AB986,1),"")</f>
        <v/>
      </c>
      <c r="AD986" s="117" t="str">
        <f>IFERROR(INDEX($AA$3:$AA$10000,MATCH(ROWS($AC$3:AC986),$AC$3:$AC$10000,0)),"")</f>
        <v/>
      </c>
      <c r="AE986" s="117" t="str">
        <f>+'Packing Material - Cost'!A987</f>
        <v/>
      </c>
    </row>
    <row r="987" spans="27:31">
      <c r="AA987" s="117" t="str">
        <f>+'Ingredient List - Mother Tinctu'!D988</f>
        <v>Sepia</v>
      </c>
      <c r="AB987" s="117">
        <f t="shared" si="18"/>
        <v>0</v>
      </c>
      <c r="AC987" s="117" t="str">
        <f>IF(AB987=1,COUNTIF($AB$3:AB987,1),"")</f>
        <v/>
      </c>
      <c r="AD987" s="117" t="str">
        <f>IFERROR(INDEX($AA$3:$AA$10000,MATCH(ROWS($AC$3:AC987),$AC$3:$AC$10000,0)),"")</f>
        <v/>
      </c>
      <c r="AE987" s="117" t="str">
        <f>+'Packing Material - Cost'!A988</f>
        <v/>
      </c>
    </row>
    <row r="988" spans="27:31">
      <c r="AA988" s="117" t="str">
        <f>+'Ingredient List - Mother Tinctu'!D989</f>
        <v>Sepsin</v>
      </c>
      <c r="AB988" s="117">
        <f t="shared" si="18"/>
        <v>0</v>
      </c>
      <c r="AC988" s="117" t="str">
        <f>IF(AB988=1,COUNTIF($AB$3:AB988,1),"")</f>
        <v/>
      </c>
      <c r="AD988" s="117" t="str">
        <f>IFERROR(INDEX($AA$3:$AA$10000,MATCH(ROWS($AC$3:AC988),$AC$3:$AC$10000,0)),"")</f>
        <v/>
      </c>
      <c r="AE988" s="117" t="str">
        <f>+'Packing Material - Cost'!A989</f>
        <v/>
      </c>
    </row>
    <row r="989" spans="27:31">
      <c r="AA989" s="117" t="str">
        <f>+'Ingredient List - Mother Tinctu'!D990</f>
        <v>Serum Angs. Ich (Eelserum) </v>
      </c>
      <c r="AB989" s="117">
        <f t="shared" si="18"/>
        <v>0</v>
      </c>
      <c r="AC989" s="117" t="str">
        <f>IF(AB989=1,COUNTIF($AB$3:AB989,1),"")</f>
        <v/>
      </c>
      <c r="AD989" s="117" t="str">
        <f>IFERROR(INDEX($AA$3:$AA$10000,MATCH(ROWS($AC$3:AC989),$AC$3:$AC$10000,0)),"")</f>
        <v/>
      </c>
      <c r="AE989" s="117" t="str">
        <f>+'Packing Material - Cost'!A990</f>
        <v/>
      </c>
    </row>
    <row r="990" spans="27:31">
      <c r="AA990" s="117" t="str">
        <f>+'Ingredient List - Mother Tinctu'!D991</f>
        <v>Silica Marina.</v>
      </c>
      <c r="AB990" s="117">
        <f t="shared" si="18"/>
        <v>0</v>
      </c>
      <c r="AC990" s="117" t="str">
        <f>IF(AB990=1,COUNTIF($AB$3:AB990,1),"")</f>
        <v/>
      </c>
      <c r="AD990" s="117" t="str">
        <f>IFERROR(INDEX($AA$3:$AA$10000,MATCH(ROWS($AC$3:AC990),$AC$3:$AC$10000,0)),"")</f>
        <v/>
      </c>
      <c r="AE990" s="117" t="str">
        <f>+'Packing Material - Cost'!A991</f>
        <v/>
      </c>
    </row>
    <row r="991" spans="27:31">
      <c r="AA991" s="117" t="str">
        <f>+'Ingredient List - Mother Tinctu'!D992</f>
        <v>Silicea</v>
      </c>
      <c r="AB991" s="117">
        <f t="shared" si="18"/>
        <v>0</v>
      </c>
      <c r="AC991" s="117" t="str">
        <f>IF(AB991=1,COUNTIF($AB$3:AB991,1),"")</f>
        <v/>
      </c>
      <c r="AD991" s="117" t="str">
        <f>IFERROR(INDEX($AA$3:$AA$10000,MATCH(ROWS($AC$3:AC991),$AC$3:$AC$10000,0)),"")</f>
        <v/>
      </c>
      <c r="AE991" s="117" t="str">
        <f>+'Packing Material - Cost'!A992</f>
        <v/>
      </c>
    </row>
    <row r="992" spans="27:31">
      <c r="AA992" s="117" t="str">
        <f>+'Ingredient List - Mother Tinctu'!D993</f>
        <v>Sinapis  Alb.</v>
      </c>
      <c r="AB992" s="117">
        <f t="shared" si="18"/>
        <v>0</v>
      </c>
      <c r="AC992" s="117" t="str">
        <f>IF(AB992=1,COUNTIF($AB$3:AB992,1),"")</f>
        <v/>
      </c>
      <c r="AD992" s="117" t="str">
        <f>IFERROR(INDEX($AA$3:$AA$10000,MATCH(ROWS($AC$3:AC992),$AC$3:$AC$10000,0)),"")</f>
        <v/>
      </c>
      <c r="AE992" s="117" t="str">
        <f>+'Packing Material - Cost'!A993</f>
        <v/>
      </c>
    </row>
    <row r="993" spans="27:31">
      <c r="AA993" s="117" t="str">
        <f>+'Ingredient List - Mother Tinctu'!D994</f>
        <v>Sinapis Nig.</v>
      </c>
      <c r="AB993" s="117">
        <f t="shared" si="18"/>
        <v>0</v>
      </c>
      <c r="AC993" s="117" t="str">
        <f>IF(AB993=1,COUNTIF($AB$3:AB993,1),"")</f>
        <v/>
      </c>
      <c r="AD993" s="117" t="str">
        <f>IFERROR(INDEX($AA$3:$AA$10000,MATCH(ROWS($AC$3:AC993),$AC$3:$AC$10000,0)),"")</f>
        <v/>
      </c>
      <c r="AE993" s="117" t="str">
        <f>+'Packing Material - Cost'!A994</f>
        <v/>
      </c>
    </row>
    <row r="994" spans="27:31">
      <c r="AA994" s="117" t="str">
        <f>+'Ingredient List - Mother Tinctu'!D995</f>
        <v>Skookum Chuk.</v>
      </c>
      <c r="AB994" s="117">
        <f t="shared" si="18"/>
        <v>0</v>
      </c>
      <c r="AC994" s="117" t="str">
        <f>IF(AB994=1,COUNTIF($AB$3:AB994,1),"")</f>
        <v/>
      </c>
      <c r="AD994" s="117" t="str">
        <f>IFERROR(INDEX($AA$3:$AA$10000,MATCH(ROWS($AC$3:AC994),$AC$3:$AC$10000,0)),"")</f>
        <v/>
      </c>
      <c r="AE994" s="117" t="str">
        <f>+'Packing Material - Cost'!A995</f>
        <v/>
      </c>
    </row>
    <row r="995" spans="27:31">
      <c r="AA995" s="117" t="str">
        <f>+'Ingredient List - Mother Tinctu'!D996</f>
        <v>Solanum Lyco.</v>
      </c>
      <c r="AB995" s="117">
        <f t="shared" si="18"/>
        <v>0</v>
      </c>
      <c r="AC995" s="117" t="str">
        <f>IF(AB995=1,COUNTIF($AB$3:AB995,1),"")</f>
        <v/>
      </c>
      <c r="AD995" s="117" t="str">
        <f>IFERROR(INDEX($AA$3:$AA$10000,MATCH(ROWS($AC$3:AC995),$AC$3:$AC$10000,0)),"")</f>
        <v/>
      </c>
      <c r="AE995" s="117" t="str">
        <f>+'Packing Material - Cost'!A996</f>
        <v/>
      </c>
    </row>
    <row r="996" spans="27:31">
      <c r="AA996" s="117" t="str">
        <f>+'Ingredient List - Mother Tinctu'!D997</f>
        <v>Solanum Nig.</v>
      </c>
      <c r="AB996" s="117">
        <f t="shared" si="18"/>
        <v>0</v>
      </c>
      <c r="AC996" s="117" t="str">
        <f>IF(AB996=1,COUNTIF($AB$3:AB996,1),"")</f>
        <v/>
      </c>
      <c r="AD996" s="117" t="str">
        <f>IFERROR(INDEX($AA$3:$AA$10000,MATCH(ROWS($AC$3:AC996),$AC$3:$AC$10000,0)),"")</f>
        <v/>
      </c>
      <c r="AE996" s="117" t="str">
        <f>+'Packing Material - Cost'!A997</f>
        <v/>
      </c>
    </row>
    <row r="997" spans="27:31">
      <c r="AA997" s="117" t="str">
        <f>+'Ingredient List - Mother Tinctu'!D998</f>
        <v>Solidago V.</v>
      </c>
      <c r="AB997" s="117">
        <f t="shared" si="18"/>
        <v>0</v>
      </c>
      <c r="AC997" s="117" t="str">
        <f>IF(AB997=1,COUNTIF($AB$3:AB997,1),"")</f>
        <v/>
      </c>
      <c r="AD997" s="117" t="str">
        <f>IFERROR(INDEX($AA$3:$AA$10000,MATCH(ROWS($AC$3:AC997),$AC$3:$AC$10000,0)),"")</f>
        <v/>
      </c>
      <c r="AE997" s="117" t="str">
        <f>+'Packing Material - Cost'!A998</f>
        <v/>
      </c>
    </row>
    <row r="998" spans="27:31">
      <c r="AA998" s="117" t="str">
        <f>+'Ingredient List - Mother Tinctu'!D999</f>
        <v>Spartium Scop.</v>
      </c>
      <c r="AB998" s="117">
        <f t="shared" si="18"/>
        <v>0</v>
      </c>
      <c r="AC998" s="117" t="str">
        <f>IF(AB998=1,COUNTIF($AB$3:AB998,1),"")</f>
        <v/>
      </c>
      <c r="AD998" s="117" t="str">
        <f>IFERROR(INDEX($AA$3:$AA$10000,MATCH(ROWS($AC$3:AC998),$AC$3:$AC$10000,0)),"")</f>
        <v/>
      </c>
      <c r="AE998" s="117" t="str">
        <f>+'Packing Material - Cost'!A999</f>
        <v/>
      </c>
    </row>
    <row r="999" spans="27:31">
      <c r="AA999" s="117" t="str">
        <f>+'Ingredient List - Mother Tinctu'!D1000</f>
        <v>Spigelia</v>
      </c>
      <c r="AB999" s="117">
        <f t="shared" si="18"/>
        <v>0</v>
      </c>
      <c r="AC999" s="117" t="str">
        <f>IF(AB999=1,COUNTIF($AB$3:AB999,1),"")</f>
        <v/>
      </c>
      <c r="AD999" s="117" t="str">
        <f>IFERROR(INDEX($AA$3:$AA$10000,MATCH(ROWS($AC$3:AC999),$AC$3:$AC$10000,0)),"")</f>
        <v/>
      </c>
      <c r="AE999" s="117" t="str">
        <f>+'Packing Material - Cost'!A1000</f>
        <v/>
      </c>
    </row>
    <row r="1000" spans="27:31">
      <c r="AA1000" s="117" t="str">
        <f>+'Ingredient List - Mother Tinctu'!D1001</f>
        <v>Spiranthes</v>
      </c>
      <c r="AB1000" s="117">
        <f t="shared" si="18"/>
        <v>0</v>
      </c>
      <c r="AC1000" s="117" t="str">
        <f>IF(AB1000=1,COUNTIF($AB$3:AB1000,1),"")</f>
        <v/>
      </c>
      <c r="AD1000" s="117" t="str">
        <f>IFERROR(INDEX($AA$3:$AA$10000,MATCH(ROWS($AC$3:AC1000),$AC$3:$AC$10000,0)),"")</f>
        <v/>
      </c>
      <c r="AE1000" s="117" t="str">
        <f>+'Packing Material - Cost'!A1001</f>
        <v/>
      </c>
    </row>
    <row r="1001" spans="27:31">
      <c r="AA1001" s="117" t="str">
        <f>+'Ingredient List - Mother Tinctu'!D1002</f>
        <v>Spirit Qu. Gl. (Querc Gland Spirit)</v>
      </c>
      <c r="AB1001" s="117">
        <f t="shared" si="18"/>
        <v>0</v>
      </c>
      <c r="AC1001" s="117" t="str">
        <f>IF(AB1001=1,COUNTIF($AB$3:AB1001,1),"")</f>
        <v/>
      </c>
      <c r="AD1001" s="117" t="str">
        <f>IFERROR(INDEX($AA$3:$AA$10000,MATCH(ROWS($AC$3:AC1001),$AC$3:$AC$10000,0)),"")</f>
        <v/>
      </c>
      <c r="AE1001" s="117" t="str">
        <f>+'Packing Material - Cost'!A1002</f>
        <v/>
      </c>
    </row>
    <row r="1002" spans="27:31">
      <c r="AA1002" s="117" t="str">
        <f>+'Ingredient List - Mother Tinctu'!D1003</f>
        <v>Spongia T.</v>
      </c>
      <c r="AB1002" s="117">
        <f t="shared" si="18"/>
        <v>0</v>
      </c>
      <c r="AC1002" s="117" t="str">
        <f>IF(AB1002=1,COUNTIF($AB$3:AB1002,1),"")</f>
        <v/>
      </c>
      <c r="AD1002" s="117" t="str">
        <f>IFERROR(INDEX($AA$3:$AA$10000,MATCH(ROWS($AC$3:AC1002),$AC$3:$AC$10000,0)),"")</f>
        <v/>
      </c>
      <c r="AE1002" s="117" t="str">
        <f>+'Packing Material - Cost'!A1003</f>
        <v/>
      </c>
    </row>
    <row r="1003" spans="27:31">
      <c r="AA1003" s="117" t="str">
        <f>+'Ingredient List - Mother Tinctu'!D1004</f>
        <v>Squilla M</v>
      </c>
      <c r="AB1003" s="117">
        <f t="shared" si="18"/>
        <v>0</v>
      </c>
      <c r="AC1003" s="117" t="str">
        <f>IF(AB1003=1,COUNTIF($AB$3:AB1003,1),"")</f>
        <v/>
      </c>
      <c r="AD1003" s="117" t="str">
        <f>IFERROR(INDEX($AA$3:$AA$10000,MATCH(ROWS($AC$3:AC1003),$AC$3:$AC$10000,0)),"")</f>
        <v/>
      </c>
      <c r="AE1003" s="117" t="str">
        <f>+'Packing Material - Cost'!A1004</f>
        <v/>
      </c>
    </row>
    <row r="1004" spans="27:31">
      <c r="AA1004" s="117" t="str">
        <f>+'Ingredient List - Mother Tinctu'!D1005</f>
        <v>Stannum Iod.</v>
      </c>
      <c r="AB1004" s="117">
        <f t="shared" si="18"/>
        <v>0</v>
      </c>
      <c r="AC1004" s="117" t="str">
        <f>IF(AB1004=1,COUNTIF($AB$3:AB1004,1),"")</f>
        <v/>
      </c>
      <c r="AD1004" s="117" t="str">
        <f>IFERROR(INDEX($AA$3:$AA$10000,MATCH(ROWS($AC$3:AC1004),$AC$3:$AC$10000,0)),"")</f>
        <v/>
      </c>
      <c r="AE1004" s="117" t="str">
        <f>+'Packing Material - Cost'!A1005</f>
        <v/>
      </c>
    </row>
    <row r="1005" spans="27:31">
      <c r="AA1005" s="117" t="str">
        <f>+'Ingredient List - Mother Tinctu'!D1006</f>
        <v>Stannum Met.</v>
      </c>
      <c r="AB1005" s="117">
        <f t="shared" si="18"/>
        <v>0</v>
      </c>
      <c r="AC1005" s="117" t="str">
        <f>IF(AB1005=1,COUNTIF($AB$3:AB1005,1),"")</f>
        <v/>
      </c>
      <c r="AD1005" s="117" t="str">
        <f>IFERROR(INDEX($AA$3:$AA$10000,MATCH(ROWS($AC$3:AC1005),$AC$3:$AC$10000,0)),"")</f>
        <v/>
      </c>
      <c r="AE1005" s="117" t="str">
        <f>+'Packing Material - Cost'!A1006</f>
        <v/>
      </c>
    </row>
    <row r="1006" spans="27:31">
      <c r="AA1006" s="117" t="str">
        <f>+'Ingredient List - Mother Tinctu'!D1007</f>
        <v>Staphyloco.</v>
      </c>
      <c r="AB1006" s="117">
        <f t="shared" si="18"/>
        <v>0</v>
      </c>
      <c r="AC1006" s="117" t="str">
        <f>IF(AB1006=1,COUNTIF($AB$3:AB1006,1),"")</f>
        <v/>
      </c>
      <c r="AD1006" s="117" t="str">
        <f>IFERROR(INDEX($AA$3:$AA$10000,MATCH(ROWS($AC$3:AC1006),$AC$3:$AC$10000,0)),"")</f>
        <v/>
      </c>
      <c r="AE1006" s="117" t="str">
        <f>+'Packing Material - Cost'!A1007</f>
        <v/>
      </c>
    </row>
    <row r="1007" spans="27:31">
      <c r="AA1007" s="117" t="str">
        <f>+'Ingredient List - Mother Tinctu'!D1008</f>
        <v>Staphysagria</v>
      </c>
      <c r="AB1007" s="117">
        <f t="shared" si="18"/>
        <v>0</v>
      </c>
      <c r="AC1007" s="117" t="str">
        <f>IF(AB1007=1,COUNTIF($AB$3:AB1007,1),"")</f>
        <v/>
      </c>
      <c r="AD1007" s="117" t="str">
        <f>IFERROR(INDEX($AA$3:$AA$10000,MATCH(ROWS($AC$3:AC1007),$AC$3:$AC$10000,0)),"")</f>
        <v/>
      </c>
      <c r="AE1007" s="117" t="str">
        <f>+'Packing Material - Cost'!A1008</f>
        <v/>
      </c>
    </row>
    <row r="1008" spans="27:31">
      <c r="AA1008" s="117" t="str">
        <f>+'Ingredient List - Mother Tinctu'!D1009</f>
        <v>Stellaria M</v>
      </c>
      <c r="AB1008" s="117">
        <f t="shared" si="18"/>
        <v>0</v>
      </c>
      <c r="AC1008" s="117" t="str">
        <f>IF(AB1008=1,COUNTIF($AB$3:AB1008,1),"")</f>
        <v/>
      </c>
      <c r="AD1008" s="117" t="str">
        <f>IFERROR(INDEX($AA$3:$AA$10000,MATCH(ROWS($AC$3:AC1008),$AC$3:$AC$10000,0)),"")</f>
        <v/>
      </c>
      <c r="AE1008" s="117" t="str">
        <f>+'Packing Material - Cost'!A1009</f>
        <v/>
      </c>
    </row>
    <row r="1009" spans="27:31">
      <c r="AA1009" s="117" t="str">
        <f>+'Ingredient List - Mother Tinctu'!D1010</f>
        <v>Sterculia A</v>
      </c>
      <c r="AB1009" s="117">
        <f t="shared" si="18"/>
        <v>0</v>
      </c>
      <c r="AC1009" s="117" t="str">
        <f>IF(AB1009=1,COUNTIF($AB$3:AB1009,1),"")</f>
        <v/>
      </c>
      <c r="AD1009" s="117" t="str">
        <f>IFERROR(INDEX($AA$3:$AA$10000,MATCH(ROWS($AC$3:AC1009),$AC$3:$AC$10000,0)),"")</f>
        <v/>
      </c>
      <c r="AE1009" s="117" t="str">
        <f>+'Packing Material - Cost'!A1010</f>
        <v/>
      </c>
    </row>
    <row r="1010" spans="27:31">
      <c r="AA1010" s="117" t="str">
        <f>+'Ingredient List - Mother Tinctu'!D1011</f>
        <v>Sticta Pul.</v>
      </c>
      <c r="AB1010" s="117">
        <f t="shared" si="18"/>
        <v>0</v>
      </c>
      <c r="AC1010" s="117" t="str">
        <f>IF(AB1010=1,COUNTIF($AB$3:AB1010,1),"")</f>
        <v/>
      </c>
      <c r="AD1010" s="117" t="str">
        <f>IFERROR(INDEX($AA$3:$AA$10000,MATCH(ROWS($AC$3:AC1010),$AC$3:$AC$10000,0)),"")</f>
        <v/>
      </c>
      <c r="AE1010" s="117" t="str">
        <f>+'Packing Material - Cost'!A1011</f>
        <v/>
      </c>
    </row>
    <row r="1011" spans="27:31">
      <c r="AA1011" s="117" t="str">
        <f>+'Ingredient List - Mother Tinctu'!D1012</f>
        <v>Stigmata M.</v>
      </c>
      <c r="AB1011" s="117">
        <f t="shared" si="18"/>
        <v>0</v>
      </c>
      <c r="AC1011" s="117" t="str">
        <f>IF(AB1011=1,COUNTIF($AB$3:AB1011,1),"")</f>
        <v/>
      </c>
      <c r="AD1011" s="117" t="str">
        <f>IFERROR(INDEX($AA$3:$AA$10000,MATCH(ROWS($AC$3:AC1011),$AC$3:$AC$10000,0)),"")</f>
        <v/>
      </c>
      <c r="AE1011" s="117" t="str">
        <f>+'Packing Material - Cost'!A1012</f>
        <v/>
      </c>
    </row>
    <row r="1012" spans="27:31">
      <c r="AA1012" s="117" t="str">
        <f>+'Ingredient List - Mother Tinctu'!D1013</f>
        <v>Stillingia S.</v>
      </c>
      <c r="AB1012" s="117">
        <f t="shared" si="18"/>
        <v>0</v>
      </c>
      <c r="AC1012" s="117" t="str">
        <f>IF(AB1012=1,COUNTIF($AB$3:AB1012,1),"")</f>
        <v/>
      </c>
      <c r="AD1012" s="117" t="str">
        <f>IFERROR(INDEX($AA$3:$AA$10000,MATCH(ROWS($AC$3:AC1012),$AC$3:$AC$10000,0)),"")</f>
        <v/>
      </c>
      <c r="AE1012" s="117" t="str">
        <f>+'Packing Material - Cost'!A1013</f>
        <v/>
      </c>
    </row>
    <row r="1013" spans="27:31">
      <c r="AA1013" s="117" t="str">
        <f>+'Ingredient List - Mother Tinctu'!D1014</f>
        <v>Stramonium</v>
      </c>
      <c r="AB1013" s="117">
        <f t="shared" si="18"/>
        <v>0</v>
      </c>
      <c r="AC1013" s="117" t="str">
        <f>IF(AB1013=1,COUNTIF($AB$3:AB1013,1),"")</f>
        <v/>
      </c>
      <c r="AD1013" s="117" t="str">
        <f>IFERROR(INDEX($AA$3:$AA$10000,MATCH(ROWS($AC$3:AC1013),$AC$3:$AC$10000,0)),"")</f>
        <v/>
      </c>
      <c r="AE1013" s="117" t="str">
        <f>+'Packing Material - Cost'!A1014</f>
        <v/>
      </c>
    </row>
    <row r="1014" spans="27:31">
      <c r="AA1014" s="117" t="str">
        <f>+'Ingredient List - Mother Tinctu'!D1015</f>
        <v>Streptococ.</v>
      </c>
      <c r="AB1014" s="117">
        <f t="shared" si="18"/>
        <v>0</v>
      </c>
      <c r="AC1014" s="117" t="str">
        <f>IF(AB1014=1,COUNTIF($AB$3:AB1014,1),"")</f>
        <v/>
      </c>
      <c r="AD1014" s="117" t="str">
        <f>IFERROR(INDEX($AA$3:$AA$10000,MATCH(ROWS($AC$3:AC1014),$AC$3:$AC$10000,0)),"")</f>
        <v/>
      </c>
      <c r="AE1014" s="117" t="str">
        <f>+'Packing Material - Cost'!A1015</f>
        <v/>
      </c>
    </row>
    <row r="1015" spans="27:31">
      <c r="AA1015" s="117" t="str">
        <f>+'Ingredient List - Mother Tinctu'!D1016</f>
        <v>Streptomycin</v>
      </c>
      <c r="AB1015" s="117">
        <f t="shared" si="18"/>
        <v>0</v>
      </c>
      <c r="AC1015" s="117" t="str">
        <f>IF(AB1015=1,COUNTIF($AB$3:AB1015,1),"")</f>
        <v/>
      </c>
      <c r="AD1015" s="117" t="str">
        <f>IFERROR(INDEX($AA$3:$AA$10000,MATCH(ROWS($AC$3:AC1015),$AC$3:$AC$10000,0)),"")</f>
        <v/>
      </c>
      <c r="AE1015" s="117" t="str">
        <f>+'Packing Material - Cost'!A1016</f>
        <v/>
      </c>
    </row>
    <row r="1016" spans="27:31">
      <c r="AA1016" s="117" t="str">
        <f>+'Ingredient List - Mother Tinctu'!D1017</f>
        <v>Strontium C.</v>
      </c>
      <c r="AB1016" s="117">
        <f t="shared" si="18"/>
        <v>0</v>
      </c>
      <c r="AC1016" s="117" t="str">
        <f>IF(AB1016=1,COUNTIF($AB$3:AB1016,1),"")</f>
        <v/>
      </c>
      <c r="AD1016" s="117" t="str">
        <f>IFERROR(INDEX($AA$3:$AA$10000,MATCH(ROWS($AC$3:AC1016),$AC$3:$AC$10000,0)),"")</f>
        <v/>
      </c>
      <c r="AE1016" s="117" t="str">
        <f>+'Packing Material - Cost'!A1017</f>
        <v/>
      </c>
    </row>
    <row r="1017" spans="27:31">
      <c r="AA1017" s="117" t="str">
        <f>+'Ingredient List - Mother Tinctu'!D1018</f>
        <v>Strontium Iod.</v>
      </c>
      <c r="AB1017" s="117">
        <f t="shared" si="18"/>
        <v>0</v>
      </c>
      <c r="AC1017" s="117" t="str">
        <f>IF(AB1017=1,COUNTIF($AB$3:AB1017,1),"")</f>
        <v/>
      </c>
      <c r="AD1017" s="117" t="str">
        <f>IFERROR(INDEX($AA$3:$AA$10000,MATCH(ROWS($AC$3:AC1017),$AC$3:$AC$10000,0)),"")</f>
        <v/>
      </c>
      <c r="AE1017" s="117" t="str">
        <f>+'Packing Material - Cost'!A1018</f>
        <v/>
      </c>
    </row>
    <row r="1018" spans="27:31">
      <c r="AA1018" s="117" t="str">
        <f>+'Ingredient List - Mother Tinctu'!D1019</f>
        <v>Strophanthus  Hisp.</v>
      </c>
      <c r="AB1018" s="117">
        <f t="shared" si="18"/>
        <v>0</v>
      </c>
      <c r="AC1018" s="117" t="str">
        <f>IF(AB1018=1,COUNTIF($AB$3:AB1018,1),"")</f>
        <v/>
      </c>
      <c r="AD1018" s="117" t="str">
        <f>IFERROR(INDEX($AA$3:$AA$10000,MATCH(ROWS($AC$3:AC1018),$AC$3:$AC$10000,0)),"")</f>
        <v/>
      </c>
      <c r="AE1018" s="117" t="str">
        <f>+'Packing Material - Cost'!A1019</f>
        <v/>
      </c>
    </row>
    <row r="1019" spans="27:31">
      <c r="AA1019" s="117" t="str">
        <f>+'Ingredient List - Mother Tinctu'!D1020</f>
        <v>Strych. Ars.</v>
      </c>
      <c r="AB1019" s="117">
        <f t="shared" si="18"/>
        <v>0</v>
      </c>
      <c r="AC1019" s="117" t="str">
        <f>IF(AB1019=1,COUNTIF($AB$3:AB1019,1),"")</f>
        <v/>
      </c>
      <c r="AD1019" s="117" t="str">
        <f>IFERROR(INDEX($AA$3:$AA$10000,MATCH(ROWS($AC$3:AC1019),$AC$3:$AC$10000,0)),"")</f>
        <v/>
      </c>
      <c r="AE1019" s="117" t="str">
        <f>+'Packing Material - Cost'!A1020</f>
        <v/>
      </c>
    </row>
    <row r="1020" spans="27:31">
      <c r="AA1020" s="117" t="str">
        <f>+'Ingredient List - Mother Tinctu'!D1021</f>
        <v>Strych. Mur.</v>
      </c>
      <c r="AB1020" s="117">
        <f t="shared" si="18"/>
        <v>0</v>
      </c>
      <c r="AC1020" s="117" t="str">
        <f>IF(AB1020=1,COUNTIF($AB$3:AB1020,1),"")</f>
        <v/>
      </c>
      <c r="AD1020" s="117" t="str">
        <f>IFERROR(INDEX($AA$3:$AA$10000,MATCH(ROWS($AC$3:AC1020),$AC$3:$AC$10000,0)),"")</f>
        <v/>
      </c>
      <c r="AE1020" s="117" t="str">
        <f>+'Packing Material - Cost'!A1021</f>
        <v/>
      </c>
    </row>
    <row r="1021" spans="27:31">
      <c r="AA1021" s="117" t="str">
        <f>+'Ingredient List - Mother Tinctu'!D1022</f>
        <v>Strych. Nit.</v>
      </c>
      <c r="AB1021" s="117">
        <f t="shared" si="18"/>
        <v>0</v>
      </c>
      <c r="AC1021" s="117" t="str">
        <f>IF(AB1021=1,COUNTIF($AB$3:AB1021,1),"")</f>
        <v/>
      </c>
      <c r="AD1021" s="117" t="str">
        <f>IFERROR(INDEX($AA$3:$AA$10000,MATCH(ROWS($AC$3:AC1021),$AC$3:$AC$10000,0)),"")</f>
        <v/>
      </c>
      <c r="AE1021" s="117" t="str">
        <f>+'Packing Material - Cost'!A1022</f>
        <v/>
      </c>
    </row>
    <row r="1022" spans="27:31">
      <c r="AA1022" s="117" t="str">
        <f>+'Ingredient List - Mother Tinctu'!D1023</f>
        <v>Strych. Phos</v>
      </c>
      <c r="AB1022" s="117">
        <f t="shared" si="18"/>
        <v>0</v>
      </c>
      <c r="AC1022" s="117" t="str">
        <f>IF(AB1022=1,COUNTIF($AB$3:AB1022,1),"")</f>
        <v/>
      </c>
      <c r="AD1022" s="117" t="str">
        <f>IFERROR(INDEX($AA$3:$AA$10000,MATCH(ROWS($AC$3:AC1022),$AC$3:$AC$10000,0)),"")</f>
        <v/>
      </c>
      <c r="AE1022" s="117" t="str">
        <f>+'Packing Material - Cost'!A1023</f>
        <v/>
      </c>
    </row>
    <row r="1023" spans="27:31">
      <c r="AA1023" s="117" t="str">
        <f>+'Ingredient List - Mother Tinctu'!D1024</f>
        <v>Strych. Sulph.</v>
      </c>
      <c r="AB1023" s="117">
        <f t="shared" si="18"/>
        <v>0</v>
      </c>
      <c r="AC1023" s="117" t="str">
        <f>IF(AB1023=1,COUNTIF($AB$3:AB1023,1),"")</f>
        <v/>
      </c>
      <c r="AD1023" s="117" t="str">
        <f>IFERROR(INDEX($AA$3:$AA$10000,MATCH(ROWS($AC$3:AC1023),$AC$3:$AC$10000,0)),"")</f>
        <v/>
      </c>
      <c r="AE1023" s="117" t="str">
        <f>+'Packing Material - Cost'!A1024</f>
        <v/>
      </c>
    </row>
    <row r="1024" spans="27:31">
      <c r="AA1024" s="117" t="str">
        <f>+'Ingredient List - Mother Tinctu'!D1025</f>
        <v>Strychninum</v>
      </c>
      <c r="AB1024" s="117">
        <f t="shared" si="18"/>
        <v>0</v>
      </c>
      <c r="AC1024" s="117" t="str">
        <f>IF(AB1024=1,COUNTIF($AB$3:AB1024,1),"")</f>
        <v/>
      </c>
      <c r="AD1024" s="117" t="str">
        <f>IFERROR(INDEX($AA$3:$AA$10000,MATCH(ROWS($AC$3:AC1024),$AC$3:$AC$10000,0)),"")</f>
        <v/>
      </c>
      <c r="AE1024" s="117" t="str">
        <f>+'Packing Material - Cost'!A1025</f>
        <v/>
      </c>
    </row>
    <row r="1025" spans="27:31">
      <c r="AA1025" s="117" t="str">
        <f>+'Ingredient List - Mother Tinctu'!D1026</f>
        <v>Succinum</v>
      </c>
      <c r="AB1025" s="117">
        <f t="shared" si="18"/>
        <v>0</v>
      </c>
      <c r="AC1025" s="117" t="str">
        <f>IF(AB1025=1,COUNTIF($AB$3:AB1025,1),"")</f>
        <v/>
      </c>
      <c r="AD1025" s="117" t="str">
        <f>IFERROR(INDEX($AA$3:$AA$10000,MATCH(ROWS($AC$3:AC1025),$AC$3:$AC$10000,0)),"")</f>
        <v/>
      </c>
      <c r="AE1025" s="117" t="str">
        <f>+'Packing Material - Cost'!A1026</f>
        <v/>
      </c>
    </row>
    <row r="1026" spans="27:31">
      <c r="AA1026" s="117" t="str">
        <f>+'Ingredient List - Mother Tinctu'!D1027</f>
        <v>Sulphur</v>
      </c>
      <c r="AB1026" s="117">
        <f t="shared" si="18"/>
        <v>0</v>
      </c>
      <c r="AC1026" s="117" t="str">
        <f>IF(AB1026=1,COUNTIF($AB$3:AB1026,1),"")</f>
        <v/>
      </c>
      <c r="AD1026" s="117" t="str">
        <f>IFERROR(INDEX($AA$3:$AA$10000,MATCH(ROWS($AC$3:AC1026),$AC$3:$AC$10000,0)),"")</f>
        <v/>
      </c>
      <c r="AE1026" s="117" t="str">
        <f>+'Packing Material - Cost'!A1027</f>
        <v/>
      </c>
    </row>
    <row r="1027" spans="27:31">
      <c r="AA1027" s="117" t="str">
        <f>+'Ingredient List - Mother Tinctu'!D1028</f>
        <v>Sulphur Iod.</v>
      </c>
      <c r="AB1027" s="117">
        <f t="shared" si="18"/>
        <v>0</v>
      </c>
      <c r="AC1027" s="117" t="str">
        <f>IF(AB1027=1,COUNTIF($AB$3:AB1027,1),"")</f>
        <v/>
      </c>
      <c r="AD1027" s="117" t="str">
        <f>IFERROR(INDEX($AA$3:$AA$10000,MATCH(ROWS($AC$3:AC1027),$AC$3:$AC$10000,0)),"")</f>
        <v/>
      </c>
      <c r="AE1027" s="117" t="str">
        <f>+'Packing Material - Cost'!A1028</f>
        <v/>
      </c>
    </row>
    <row r="1028" spans="27:31">
      <c r="AA1028" s="117" t="str">
        <f>+'Ingredient List - Mother Tinctu'!D1029</f>
        <v>Sumbul</v>
      </c>
      <c r="AB1028" s="117">
        <f t="shared" ref="AB1028:AB1091" si="19">--ISNUMBER(IFERROR(SEARCH($D$3,AA1028,1),""))</f>
        <v>0</v>
      </c>
      <c r="AC1028" s="117" t="str">
        <f>IF(AB1028=1,COUNTIF($AB$3:AB1028,1),"")</f>
        <v/>
      </c>
      <c r="AD1028" s="117" t="str">
        <f>IFERROR(INDEX($AA$3:$AA$10000,MATCH(ROWS($AC$3:AC1028),$AC$3:$AC$10000,0)),"")</f>
        <v/>
      </c>
      <c r="AE1028" s="117" t="str">
        <f>+'Packing Material - Cost'!A1029</f>
        <v/>
      </c>
    </row>
    <row r="1029" spans="27:31">
      <c r="AA1029" s="117" t="str">
        <f>+'Ingredient List - Mother Tinctu'!D1030</f>
        <v>Symphoricar.</v>
      </c>
      <c r="AB1029" s="117">
        <f t="shared" si="19"/>
        <v>0</v>
      </c>
      <c r="AC1029" s="117" t="str">
        <f>IF(AB1029=1,COUNTIF($AB$3:AB1029,1),"")</f>
        <v/>
      </c>
      <c r="AD1029" s="117" t="str">
        <f>IFERROR(INDEX($AA$3:$AA$10000,MATCH(ROWS($AC$3:AC1029),$AC$3:$AC$10000,0)),"")</f>
        <v/>
      </c>
      <c r="AE1029" s="117" t="str">
        <f>+'Packing Material - Cost'!A1030</f>
        <v/>
      </c>
    </row>
    <row r="1030" spans="27:31">
      <c r="AA1030" s="117" t="str">
        <f>+'Ingredient List - Mother Tinctu'!D1031</f>
        <v>Symphytum</v>
      </c>
      <c r="AB1030" s="117">
        <f t="shared" si="19"/>
        <v>0</v>
      </c>
      <c r="AC1030" s="117" t="str">
        <f>IF(AB1030=1,COUNTIF($AB$3:AB1030,1),"")</f>
        <v/>
      </c>
      <c r="AD1030" s="117" t="str">
        <f>IFERROR(INDEX($AA$3:$AA$10000,MATCH(ROWS($AC$3:AC1030),$AC$3:$AC$10000,0)),"")</f>
        <v/>
      </c>
      <c r="AE1030" s="117" t="str">
        <f>+'Packing Material - Cost'!A1031</f>
        <v/>
      </c>
    </row>
    <row r="1031" spans="27:31">
      <c r="AA1031" s="117" t="str">
        <f>+'Ingredient List - Mother Tinctu'!D1032</f>
        <v>Syphilinum</v>
      </c>
      <c r="AB1031" s="117">
        <f t="shared" si="19"/>
        <v>0</v>
      </c>
      <c r="AC1031" s="117" t="str">
        <f>IF(AB1031=1,COUNTIF($AB$3:AB1031,1),"")</f>
        <v/>
      </c>
      <c r="AD1031" s="117" t="str">
        <f>IFERROR(INDEX($AA$3:$AA$10000,MATCH(ROWS($AC$3:AC1031),$AC$3:$AC$10000,0)),"")</f>
        <v/>
      </c>
      <c r="AE1031" s="117" t="str">
        <f>+'Packing Material - Cost'!A1032</f>
        <v/>
      </c>
    </row>
    <row r="1032" spans="27:31">
      <c r="AA1032" s="117" t="str">
        <f>+'Ingredient List - Mother Tinctu'!D1033</f>
        <v>Syzygium J.</v>
      </c>
      <c r="AB1032" s="117">
        <f t="shared" si="19"/>
        <v>0</v>
      </c>
      <c r="AC1032" s="117" t="str">
        <f>IF(AB1032=1,COUNTIF($AB$3:AB1032,1),"")</f>
        <v/>
      </c>
      <c r="AD1032" s="117" t="str">
        <f>IFERROR(INDEX($AA$3:$AA$10000,MATCH(ROWS($AC$3:AC1032),$AC$3:$AC$10000,0)),"")</f>
        <v/>
      </c>
      <c r="AE1032" s="117" t="str">
        <f>+'Packing Material - Cost'!A1033</f>
        <v/>
      </c>
    </row>
    <row r="1033" spans="27:31">
      <c r="AA1033" s="117" t="str">
        <f>+'Ingredient List - Mother Tinctu'!D1034</f>
        <v>Tabacum</v>
      </c>
      <c r="AB1033" s="117">
        <f t="shared" si="19"/>
        <v>0</v>
      </c>
      <c r="AC1033" s="117" t="str">
        <f>IF(AB1033=1,COUNTIF($AB$3:AB1033,1),"")</f>
        <v/>
      </c>
      <c r="AD1033" s="117" t="str">
        <f>IFERROR(INDEX($AA$3:$AA$10000,MATCH(ROWS($AC$3:AC1033),$AC$3:$AC$10000,0)),"")</f>
        <v/>
      </c>
      <c r="AE1033" s="117" t="str">
        <f>+'Packing Material - Cost'!A1034</f>
        <v/>
      </c>
    </row>
    <row r="1034" spans="27:31">
      <c r="AA1034" s="117" t="str">
        <f>+'Ingredient List - Mother Tinctu'!D1035</f>
        <v>Taraxacum</v>
      </c>
      <c r="AB1034" s="117">
        <f t="shared" si="19"/>
        <v>0</v>
      </c>
      <c r="AC1034" s="117" t="str">
        <f>IF(AB1034=1,COUNTIF($AB$3:AB1034,1),"")</f>
        <v/>
      </c>
      <c r="AD1034" s="117" t="str">
        <f>IFERROR(INDEX($AA$3:$AA$10000,MATCH(ROWS($AC$3:AC1034),$AC$3:$AC$10000,0)),"")</f>
        <v/>
      </c>
      <c r="AE1034" s="117" t="str">
        <f>+'Packing Material - Cost'!A1035</f>
        <v/>
      </c>
    </row>
    <row r="1035" spans="27:31">
      <c r="AA1035" s="117" t="str">
        <f>+'Ingredient List - Mother Tinctu'!D1036</f>
        <v>Tarentul Hisp.</v>
      </c>
      <c r="AB1035" s="117">
        <f t="shared" si="19"/>
        <v>0</v>
      </c>
      <c r="AC1035" s="117" t="str">
        <f>IF(AB1035=1,COUNTIF($AB$3:AB1035,1),"")</f>
        <v/>
      </c>
      <c r="AD1035" s="117" t="str">
        <f>IFERROR(INDEX($AA$3:$AA$10000,MATCH(ROWS($AC$3:AC1035),$AC$3:$AC$10000,0)),"")</f>
        <v/>
      </c>
      <c r="AE1035" s="117" t="str">
        <f>+'Packing Material - Cost'!A1036</f>
        <v/>
      </c>
    </row>
    <row r="1036" spans="27:31">
      <c r="AA1036" s="117" t="str">
        <f>+'Ingredient List - Mother Tinctu'!D1037</f>
        <v>Tarentul. Cub.</v>
      </c>
      <c r="AB1036" s="117">
        <f t="shared" si="19"/>
        <v>0</v>
      </c>
      <c r="AC1036" s="117" t="str">
        <f>IF(AB1036=1,COUNTIF($AB$3:AB1036,1),"")</f>
        <v/>
      </c>
      <c r="AD1036" s="117" t="str">
        <f>IFERROR(INDEX($AA$3:$AA$10000,MATCH(ROWS($AC$3:AC1036),$AC$3:$AC$10000,0)),"")</f>
        <v/>
      </c>
      <c r="AE1036" s="117" t="str">
        <f>+'Packing Material - Cost'!A1037</f>
        <v/>
      </c>
    </row>
    <row r="1037" spans="27:31">
      <c r="AA1037" s="117" t="str">
        <f>+'Ingredient List - Mother Tinctu'!D1038</f>
        <v>Tellurium</v>
      </c>
      <c r="AB1037" s="117">
        <f t="shared" si="19"/>
        <v>0</v>
      </c>
      <c r="AC1037" s="117" t="str">
        <f>IF(AB1037=1,COUNTIF($AB$3:AB1037,1),"")</f>
        <v/>
      </c>
      <c r="AD1037" s="117" t="str">
        <f>IFERROR(INDEX($AA$3:$AA$10000,MATCH(ROWS($AC$3:AC1037),$AC$3:$AC$10000,0)),"")</f>
        <v/>
      </c>
      <c r="AE1037" s="117" t="str">
        <f>+'Packing Material - Cost'!A1038</f>
        <v/>
      </c>
    </row>
    <row r="1038" spans="27:31">
      <c r="AA1038" s="117" t="str">
        <f>+'Ingredient List - Mother Tinctu'!D1039</f>
        <v>Terebinth</v>
      </c>
      <c r="AB1038" s="117">
        <f t="shared" si="19"/>
        <v>0</v>
      </c>
      <c r="AC1038" s="117" t="str">
        <f>IF(AB1038=1,COUNTIF($AB$3:AB1038,1),"")</f>
        <v/>
      </c>
      <c r="AD1038" s="117" t="str">
        <f>IFERROR(INDEX($AA$3:$AA$10000,MATCH(ROWS($AC$3:AC1038),$AC$3:$AC$10000,0)),"")</f>
        <v/>
      </c>
      <c r="AE1038" s="117" t="str">
        <f>+'Packing Material - Cost'!A1039</f>
        <v/>
      </c>
    </row>
    <row r="1039" spans="27:31">
      <c r="AA1039" s="117" t="str">
        <f>+'Ingredient List - Mother Tinctu'!D1040</f>
        <v>Terminalia C.</v>
      </c>
      <c r="AB1039" s="117">
        <f t="shared" si="19"/>
        <v>0</v>
      </c>
      <c r="AC1039" s="117" t="str">
        <f>IF(AB1039=1,COUNTIF($AB$3:AB1039,1),"")</f>
        <v/>
      </c>
      <c r="AD1039" s="117" t="str">
        <f>IFERROR(INDEX($AA$3:$AA$10000,MATCH(ROWS($AC$3:AC1039),$AC$3:$AC$10000,0)),"")</f>
        <v/>
      </c>
      <c r="AE1039" s="117" t="str">
        <f>+'Packing Material - Cost'!A1040</f>
        <v/>
      </c>
    </row>
    <row r="1040" spans="27:31">
      <c r="AA1040" s="117" t="str">
        <f>+'Ingredient List - Mother Tinctu'!D1041</f>
        <v>Teucri M. V.</v>
      </c>
      <c r="AB1040" s="117">
        <f t="shared" si="19"/>
        <v>0</v>
      </c>
      <c r="AC1040" s="117" t="str">
        <f>IF(AB1040=1,COUNTIF($AB$3:AB1040,1),"")</f>
        <v/>
      </c>
      <c r="AD1040" s="117" t="str">
        <f>IFERROR(INDEX($AA$3:$AA$10000,MATCH(ROWS($AC$3:AC1040),$AC$3:$AC$10000,0)),"")</f>
        <v/>
      </c>
      <c r="AE1040" s="117" t="str">
        <f>+'Packing Material - Cost'!A1041</f>
        <v/>
      </c>
    </row>
    <row r="1041" spans="27:31">
      <c r="AA1041" s="117" t="str">
        <f>+'Ingredient List - Mother Tinctu'!D1042</f>
        <v>Thallium</v>
      </c>
      <c r="AB1041" s="117">
        <f t="shared" si="19"/>
        <v>0</v>
      </c>
      <c r="AC1041" s="117" t="str">
        <f>IF(AB1041=1,COUNTIF($AB$3:AB1041,1),"")</f>
        <v/>
      </c>
      <c r="AD1041" s="117" t="str">
        <f>IFERROR(INDEX($AA$3:$AA$10000,MATCH(ROWS($AC$3:AC1041),$AC$3:$AC$10000,0)),"")</f>
        <v/>
      </c>
      <c r="AE1041" s="117" t="str">
        <f>+'Packing Material - Cost'!A1042</f>
        <v/>
      </c>
    </row>
    <row r="1042" spans="27:31">
      <c r="AA1042" s="117" t="str">
        <f>+'Ingredient List - Mother Tinctu'!D1043</f>
        <v>Thea Chinensis</v>
      </c>
      <c r="AB1042" s="117">
        <f t="shared" si="19"/>
        <v>0</v>
      </c>
      <c r="AC1042" s="117" t="str">
        <f>IF(AB1042=1,COUNTIF($AB$3:AB1042,1),"")</f>
        <v/>
      </c>
      <c r="AD1042" s="117" t="str">
        <f>IFERROR(INDEX($AA$3:$AA$10000,MATCH(ROWS($AC$3:AC1042),$AC$3:$AC$10000,0)),"")</f>
        <v/>
      </c>
      <c r="AE1042" s="117" t="str">
        <f>+'Packing Material - Cost'!A1043</f>
        <v/>
      </c>
    </row>
    <row r="1043" spans="27:31">
      <c r="AA1043" s="117" t="str">
        <f>+'Ingredient List - Mother Tinctu'!D1044</f>
        <v>Theridion C.</v>
      </c>
      <c r="AB1043" s="117">
        <f t="shared" si="19"/>
        <v>0</v>
      </c>
      <c r="AC1043" s="117" t="str">
        <f>IF(AB1043=1,COUNTIF($AB$3:AB1043,1),"")</f>
        <v/>
      </c>
      <c r="AD1043" s="117" t="str">
        <f>IFERROR(INDEX($AA$3:$AA$10000,MATCH(ROWS($AC$3:AC1043),$AC$3:$AC$10000,0)),"")</f>
        <v/>
      </c>
      <c r="AE1043" s="117" t="str">
        <f>+'Packing Material - Cost'!A1044</f>
        <v/>
      </c>
    </row>
    <row r="1044" spans="27:31">
      <c r="AA1044" s="117" t="str">
        <f>+'Ingredient List - Mother Tinctu'!D1045</f>
        <v>Thiosinamin</v>
      </c>
      <c r="AB1044" s="117">
        <f t="shared" si="19"/>
        <v>0</v>
      </c>
      <c r="AC1044" s="117" t="str">
        <f>IF(AB1044=1,COUNTIF($AB$3:AB1044,1),"")</f>
        <v/>
      </c>
      <c r="AD1044" s="117" t="str">
        <f>IFERROR(INDEX($AA$3:$AA$10000,MATCH(ROWS($AC$3:AC1044),$AC$3:$AC$10000,0)),"")</f>
        <v/>
      </c>
      <c r="AE1044" s="117" t="str">
        <f>+'Packing Material - Cost'!A1045</f>
        <v/>
      </c>
    </row>
    <row r="1045" spans="27:31">
      <c r="AA1045" s="117" t="str">
        <f>+'Ingredient List - Mother Tinctu'!D1046</f>
        <v>Thlaspi B. P.</v>
      </c>
      <c r="AB1045" s="117">
        <f t="shared" si="19"/>
        <v>0</v>
      </c>
      <c r="AC1045" s="117" t="str">
        <f>IF(AB1045=1,COUNTIF($AB$3:AB1045,1),"")</f>
        <v/>
      </c>
      <c r="AD1045" s="117" t="str">
        <f>IFERROR(INDEX($AA$3:$AA$10000,MATCH(ROWS($AC$3:AC1045),$AC$3:$AC$10000,0)),"")</f>
        <v/>
      </c>
      <c r="AE1045" s="117" t="str">
        <f>+'Packing Material - Cost'!A1046</f>
        <v/>
      </c>
    </row>
    <row r="1046" spans="27:31">
      <c r="AA1046" s="117" t="str">
        <f>+'Ingredient List - Mother Tinctu'!D1047</f>
        <v>Thuja Occi.</v>
      </c>
      <c r="AB1046" s="117">
        <f t="shared" si="19"/>
        <v>0</v>
      </c>
      <c r="AC1046" s="117" t="str">
        <f>IF(AB1046=1,COUNTIF($AB$3:AB1046,1),"")</f>
        <v/>
      </c>
      <c r="AD1046" s="117" t="str">
        <f>IFERROR(INDEX($AA$3:$AA$10000,MATCH(ROWS($AC$3:AC1046),$AC$3:$AC$10000,0)),"")</f>
        <v/>
      </c>
      <c r="AE1046" s="117" t="str">
        <f>+'Packing Material - Cost'!A1047</f>
        <v/>
      </c>
    </row>
    <row r="1047" spans="27:31">
      <c r="AA1047" s="117" t="str">
        <f>+'Ingredient List - Mother Tinctu'!D1048</f>
        <v>Thymol</v>
      </c>
      <c r="AB1047" s="117">
        <f t="shared" si="19"/>
        <v>0</v>
      </c>
      <c r="AC1047" s="117" t="str">
        <f>IF(AB1047=1,COUNTIF($AB$3:AB1047,1),"")</f>
        <v/>
      </c>
      <c r="AD1047" s="117" t="str">
        <f>IFERROR(INDEX($AA$3:$AA$10000,MATCH(ROWS($AC$3:AC1047),$AC$3:$AC$10000,0)),"")</f>
        <v/>
      </c>
      <c r="AE1047" s="117" t="str">
        <f>+'Packing Material - Cost'!A1048</f>
        <v/>
      </c>
    </row>
    <row r="1048" spans="27:31">
      <c r="AA1048" s="117" t="str">
        <f>+'Ingredient List - Mother Tinctu'!D1049</f>
        <v>Thyroidinum</v>
      </c>
      <c r="AB1048" s="117">
        <f t="shared" si="19"/>
        <v>0</v>
      </c>
      <c r="AC1048" s="117" t="str">
        <f>IF(AB1048=1,COUNTIF($AB$3:AB1048,1),"")</f>
        <v/>
      </c>
      <c r="AD1048" s="117" t="str">
        <f>IFERROR(INDEX($AA$3:$AA$10000,MATCH(ROWS($AC$3:AC1048),$AC$3:$AC$10000,0)),"")</f>
        <v/>
      </c>
      <c r="AE1048" s="117" t="str">
        <f>+'Packing Material - Cost'!A1049</f>
        <v/>
      </c>
    </row>
    <row r="1049" spans="27:31">
      <c r="AA1049" s="117" t="str">
        <f>+'Ingredient List - Mother Tinctu'!D1050</f>
        <v>Tinospora C.</v>
      </c>
      <c r="AB1049" s="117">
        <f t="shared" si="19"/>
        <v>0</v>
      </c>
      <c r="AC1049" s="117" t="str">
        <f>IF(AB1049=1,COUNTIF($AB$3:AB1049,1),"")</f>
        <v/>
      </c>
      <c r="AD1049" s="117" t="str">
        <f>IFERROR(INDEX($AA$3:$AA$10000,MATCH(ROWS($AC$3:AC1049),$AC$3:$AC$10000,0)),"")</f>
        <v/>
      </c>
      <c r="AE1049" s="117" t="str">
        <f>+'Packing Material - Cost'!A1050</f>
        <v/>
      </c>
    </row>
    <row r="1050" spans="27:31">
      <c r="AA1050" s="117" t="str">
        <f>+'Ingredient List - Mother Tinctu'!D1051</f>
        <v>Titanium</v>
      </c>
      <c r="AB1050" s="117">
        <f t="shared" si="19"/>
        <v>0</v>
      </c>
      <c r="AC1050" s="117" t="str">
        <f>IF(AB1050=1,COUNTIF($AB$3:AB1050,1),"")</f>
        <v/>
      </c>
      <c r="AD1050" s="117" t="str">
        <f>IFERROR(INDEX($AA$3:$AA$10000,MATCH(ROWS($AC$3:AC1050),$AC$3:$AC$10000,0)),"")</f>
        <v/>
      </c>
      <c r="AE1050" s="117" t="str">
        <f>+'Packing Material - Cost'!A1051</f>
        <v/>
      </c>
    </row>
    <row r="1051" spans="27:31">
      <c r="AA1051" s="117" t="str">
        <f>+'Ingredient List - Mother Tinctu'!D1052</f>
        <v>Tribulus Terr.</v>
      </c>
      <c r="AB1051" s="117">
        <f t="shared" si="19"/>
        <v>0</v>
      </c>
      <c r="AC1051" s="117" t="str">
        <f>IF(AB1051=1,COUNTIF($AB$3:AB1051,1),"")</f>
        <v/>
      </c>
      <c r="AD1051" s="117" t="str">
        <f>IFERROR(INDEX($AA$3:$AA$10000,MATCH(ROWS($AC$3:AC1051),$AC$3:$AC$10000,0)),"")</f>
        <v/>
      </c>
      <c r="AE1051" s="117" t="str">
        <f>+'Packing Material - Cost'!A1052</f>
        <v/>
      </c>
    </row>
    <row r="1052" spans="27:31">
      <c r="AA1052" s="117" t="str">
        <f>+'Ingredient List - Mother Tinctu'!D1053</f>
        <v>Trillium Pend.</v>
      </c>
      <c r="AB1052" s="117">
        <f t="shared" si="19"/>
        <v>0</v>
      </c>
      <c r="AC1052" s="117" t="str">
        <f>IF(AB1052=1,COUNTIF($AB$3:AB1052,1),"")</f>
        <v/>
      </c>
      <c r="AD1052" s="117" t="str">
        <f>IFERROR(INDEX($AA$3:$AA$10000,MATCH(ROWS($AC$3:AC1052),$AC$3:$AC$10000,0)),"")</f>
        <v/>
      </c>
      <c r="AE1052" s="117" t="str">
        <f>+'Packing Material - Cost'!A1053</f>
        <v/>
      </c>
    </row>
    <row r="1053" spans="27:31">
      <c r="AA1053" s="117" t="str">
        <f>+'Ingredient List - Mother Tinctu'!D1054</f>
        <v>Trinitrotolu</v>
      </c>
      <c r="AB1053" s="117">
        <f t="shared" si="19"/>
        <v>0</v>
      </c>
      <c r="AC1053" s="117" t="str">
        <f>IF(AB1053=1,COUNTIF($AB$3:AB1053,1),"")</f>
        <v/>
      </c>
      <c r="AD1053" s="117" t="str">
        <f>IFERROR(INDEX($AA$3:$AA$10000,MATCH(ROWS($AC$3:AC1053),$AC$3:$AC$10000,0)),"")</f>
        <v/>
      </c>
      <c r="AE1053" s="117" t="str">
        <f>+'Packing Material - Cost'!A1054</f>
        <v/>
      </c>
    </row>
    <row r="1054" spans="27:31">
      <c r="AA1054" s="117" t="str">
        <f>+'Ingredient List - Mother Tinctu'!D1055</f>
        <v>Tuberculin Koch.</v>
      </c>
      <c r="AB1054" s="117">
        <f t="shared" si="19"/>
        <v>0</v>
      </c>
      <c r="AC1054" s="117" t="str">
        <f>IF(AB1054=1,COUNTIF($AB$3:AB1054,1),"")</f>
        <v/>
      </c>
      <c r="AD1054" s="117" t="str">
        <f>IFERROR(INDEX($AA$3:$AA$10000,MATCH(ROWS($AC$3:AC1054),$AC$3:$AC$10000,0)),"")</f>
        <v/>
      </c>
      <c r="AE1054" s="117" t="str">
        <f>+'Packing Material - Cost'!A1055</f>
        <v/>
      </c>
    </row>
    <row r="1055" spans="27:31">
      <c r="AA1055" s="117" t="str">
        <f>+'Ingredient List - Mother Tinctu'!D1056</f>
        <v>Tuberculinum</v>
      </c>
      <c r="AB1055" s="117">
        <f t="shared" si="19"/>
        <v>0</v>
      </c>
      <c r="AC1055" s="117" t="str">
        <f>IF(AB1055=1,COUNTIF($AB$3:AB1055,1),"")</f>
        <v/>
      </c>
      <c r="AD1055" s="117" t="str">
        <f>IFERROR(INDEX($AA$3:$AA$10000,MATCH(ROWS($AC$3:AC1055),$AC$3:$AC$10000,0)),"")</f>
        <v/>
      </c>
      <c r="AE1055" s="117" t="str">
        <f>+'Packing Material - Cost'!A1056</f>
        <v/>
      </c>
    </row>
    <row r="1056" spans="27:31">
      <c r="AA1056" s="117" t="str">
        <f>+'Ingredient List - Mother Tinctu'!D1057</f>
        <v>Tylophora Ind</v>
      </c>
      <c r="AB1056" s="117">
        <f t="shared" si="19"/>
        <v>0</v>
      </c>
      <c r="AC1056" s="117" t="str">
        <f>IF(AB1056=1,COUNTIF($AB$3:AB1056,1),"")</f>
        <v/>
      </c>
      <c r="AD1056" s="117" t="str">
        <f>IFERROR(INDEX($AA$3:$AA$10000,MATCH(ROWS($AC$3:AC1056),$AC$3:$AC$10000,0)),"")</f>
        <v/>
      </c>
      <c r="AE1056" s="117" t="str">
        <f>+'Packing Material - Cost'!A1057</f>
        <v/>
      </c>
    </row>
    <row r="1057" spans="27:31">
      <c r="AA1057" s="117" t="str">
        <f>+'Ingredient List - Mother Tinctu'!D1058</f>
        <v>Typhoidinum</v>
      </c>
      <c r="AB1057" s="117">
        <f t="shared" si="19"/>
        <v>0</v>
      </c>
      <c r="AC1057" s="117" t="str">
        <f>IF(AB1057=1,COUNTIF($AB$3:AB1057,1),"")</f>
        <v/>
      </c>
      <c r="AD1057" s="117" t="str">
        <f>IFERROR(INDEX($AA$3:$AA$10000,MATCH(ROWS($AC$3:AC1057),$AC$3:$AC$10000,0)),"")</f>
        <v/>
      </c>
      <c r="AE1057" s="117" t="str">
        <f>+'Packing Material - Cost'!A1058</f>
        <v/>
      </c>
    </row>
    <row r="1058" spans="27:31">
      <c r="AA1058" s="117" t="str">
        <f>+'Ingredient List - Mother Tinctu'!D1059</f>
        <v>Uranium Met.</v>
      </c>
      <c r="AB1058" s="117">
        <f t="shared" si="19"/>
        <v>0</v>
      </c>
      <c r="AC1058" s="117" t="str">
        <f>IF(AB1058=1,COUNTIF($AB$3:AB1058,1),"")</f>
        <v/>
      </c>
      <c r="AD1058" s="117" t="str">
        <f>IFERROR(INDEX($AA$3:$AA$10000,MATCH(ROWS($AC$3:AC1058),$AC$3:$AC$10000,0)),"")</f>
        <v/>
      </c>
      <c r="AE1058" s="117" t="str">
        <f>+'Packing Material - Cost'!A1059</f>
        <v/>
      </c>
    </row>
    <row r="1059" spans="27:31">
      <c r="AA1059" s="117" t="str">
        <f>+'Ingredient List - Mother Tinctu'!D1060</f>
        <v>Uranium Nit.</v>
      </c>
      <c r="AB1059" s="117">
        <f t="shared" si="19"/>
        <v>0</v>
      </c>
      <c r="AC1059" s="117" t="str">
        <f>IF(AB1059=1,COUNTIF($AB$3:AB1059,1),"")</f>
        <v/>
      </c>
      <c r="AD1059" s="117" t="str">
        <f>IFERROR(INDEX($AA$3:$AA$10000,MATCH(ROWS($AC$3:AC1059),$AC$3:$AC$10000,0)),"")</f>
        <v/>
      </c>
      <c r="AE1059" s="117" t="str">
        <f>+'Packing Material - Cost'!A1060</f>
        <v/>
      </c>
    </row>
    <row r="1060" spans="27:31">
      <c r="AA1060" s="117" t="str">
        <f>+'Ingredient List - Mother Tinctu'!D1061</f>
        <v>Urea</v>
      </c>
      <c r="AB1060" s="117">
        <f t="shared" si="19"/>
        <v>0</v>
      </c>
      <c r="AC1060" s="117" t="str">
        <f>IF(AB1060=1,COUNTIF($AB$3:AB1060,1),"")</f>
        <v/>
      </c>
      <c r="AD1060" s="117" t="str">
        <f>IFERROR(INDEX($AA$3:$AA$10000,MATCH(ROWS($AC$3:AC1060),$AC$3:$AC$10000,0)),"")</f>
        <v/>
      </c>
      <c r="AE1060" s="117" t="str">
        <f>+'Packing Material - Cost'!A1061</f>
        <v/>
      </c>
    </row>
    <row r="1061" spans="27:31">
      <c r="AA1061" s="117" t="str">
        <f>+'Ingredient List - Mother Tinctu'!D1062</f>
        <v>Urtica Urens</v>
      </c>
      <c r="AB1061" s="117">
        <f t="shared" si="19"/>
        <v>0</v>
      </c>
      <c r="AC1061" s="117" t="str">
        <f>IF(AB1061=1,COUNTIF($AB$3:AB1061,1),"")</f>
        <v/>
      </c>
      <c r="AD1061" s="117" t="str">
        <f>IFERROR(INDEX($AA$3:$AA$10000,MATCH(ROWS($AC$3:AC1061),$AC$3:$AC$10000,0)),"")</f>
        <v/>
      </c>
      <c r="AE1061" s="117" t="str">
        <f>+'Packing Material - Cost'!A1062</f>
        <v/>
      </c>
    </row>
    <row r="1062" spans="27:31">
      <c r="AA1062" s="117" t="str">
        <f>+'Ingredient List - Mother Tinctu'!D1063</f>
        <v>Usnea Bar.</v>
      </c>
      <c r="AB1062" s="117">
        <f t="shared" si="19"/>
        <v>0</v>
      </c>
      <c r="AC1062" s="117" t="str">
        <f>IF(AB1062=1,COUNTIF($AB$3:AB1062,1),"")</f>
        <v/>
      </c>
      <c r="AD1062" s="117" t="str">
        <f>IFERROR(INDEX($AA$3:$AA$10000,MATCH(ROWS($AC$3:AC1062),$AC$3:$AC$10000,0)),"")</f>
        <v/>
      </c>
      <c r="AE1062" s="117" t="str">
        <f>+'Packing Material - Cost'!A1063</f>
        <v/>
      </c>
    </row>
    <row r="1063" spans="27:31">
      <c r="AA1063" s="117" t="str">
        <f>+'Ingredient List - Mother Tinctu'!D1064</f>
        <v>Ustilago M.</v>
      </c>
      <c r="AB1063" s="117">
        <f t="shared" si="19"/>
        <v>0</v>
      </c>
      <c r="AC1063" s="117" t="str">
        <f>IF(AB1063=1,COUNTIF($AB$3:AB1063,1),"")</f>
        <v/>
      </c>
      <c r="AD1063" s="117" t="str">
        <f>IFERROR(INDEX($AA$3:$AA$10000,MATCH(ROWS($AC$3:AC1063),$AC$3:$AC$10000,0)),"")</f>
        <v/>
      </c>
      <c r="AE1063" s="117" t="str">
        <f>+'Packing Material - Cost'!A1064</f>
        <v/>
      </c>
    </row>
    <row r="1064" spans="27:31">
      <c r="AA1064" s="117" t="str">
        <f>+'Ingredient List - Mother Tinctu'!D1065</f>
        <v>Uva Ursi</v>
      </c>
      <c r="AB1064" s="117">
        <f t="shared" si="19"/>
        <v>0</v>
      </c>
      <c r="AC1064" s="117" t="str">
        <f>IF(AB1064=1,COUNTIF($AB$3:AB1064,1),"")</f>
        <v/>
      </c>
      <c r="AD1064" s="117" t="str">
        <f>IFERROR(INDEX($AA$3:$AA$10000,MATCH(ROWS($AC$3:AC1064),$AC$3:$AC$10000,0)),"")</f>
        <v/>
      </c>
      <c r="AE1064" s="117" t="str">
        <f>+'Packing Material - Cost'!A1065</f>
        <v/>
      </c>
    </row>
    <row r="1065" spans="27:31">
      <c r="AA1065" s="117" t="str">
        <f>+'Ingredient List - Mother Tinctu'!D1066</f>
        <v>Vaccinium</v>
      </c>
      <c r="AB1065" s="117">
        <f t="shared" si="19"/>
        <v>0</v>
      </c>
      <c r="AC1065" s="117" t="str">
        <f>IF(AB1065=1,COUNTIF($AB$3:AB1065,1),"")</f>
        <v/>
      </c>
      <c r="AD1065" s="117" t="str">
        <f>IFERROR(INDEX($AA$3:$AA$10000,MATCH(ROWS($AC$3:AC1065),$AC$3:$AC$10000,0)),"")</f>
        <v/>
      </c>
      <c r="AE1065" s="117" t="str">
        <f>+'Packing Material - Cost'!A1066</f>
        <v/>
      </c>
    </row>
    <row r="1066" spans="27:31">
      <c r="AA1066" s="117" t="str">
        <f>+'Ingredient List - Mother Tinctu'!D1067</f>
        <v>Valeriana 0.</v>
      </c>
      <c r="AB1066" s="117">
        <f t="shared" si="19"/>
        <v>0</v>
      </c>
      <c r="AC1066" s="117" t="str">
        <f>IF(AB1066=1,COUNTIF($AB$3:AB1066,1),"")</f>
        <v/>
      </c>
      <c r="AD1066" s="117" t="str">
        <f>IFERROR(INDEX($AA$3:$AA$10000,MATCH(ROWS($AC$3:AC1066),$AC$3:$AC$10000,0)),"")</f>
        <v/>
      </c>
      <c r="AE1066" s="117" t="str">
        <f>+'Packing Material - Cost'!A1067</f>
        <v/>
      </c>
    </row>
    <row r="1067" spans="27:31">
      <c r="AA1067" s="117" t="str">
        <f>+'Ingredient List - Mother Tinctu'!D1068</f>
        <v>Vanadium</v>
      </c>
      <c r="AB1067" s="117">
        <f t="shared" si="19"/>
        <v>0</v>
      </c>
      <c r="AC1067" s="117" t="str">
        <f>IF(AB1067=1,COUNTIF($AB$3:AB1067,1),"")</f>
        <v/>
      </c>
      <c r="AD1067" s="117" t="str">
        <f>IFERROR(INDEX($AA$3:$AA$10000,MATCH(ROWS($AC$3:AC1067),$AC$3:$AC$10000,0)),"")</f>
        <v/>
      </c>
      <c r="AE1067" s="117" t="str">
        <f>+'Packing Material - Cost'!A1068</f>
        <v/>
      </c>
    </row>
    <row r="1068" spans="27:31">
      <c r="AA1068" s="117" t="str">
        <f>+'Ingredient List - Mother Tinctu'!D1069</f>
        <v>Vanila</v>
      </c>
      <c r="AB1068" s="117">
        <f t="shared" si="19"/>
        <v>0</v>
      </c>
      <c r="AC1068" s="117" t="str">
        <f>IF(AB1068=1,COUNTIF($AB$3:AB1068,1),"")</f>
        <v/>
      </c>
      <c r="AD1068" s="117" t="str">
        <f>IFERROR(INDEX($AA$3:$AA$10000,MATCH(ROWS($AC$3:AC1068),$AC$3:$AC$10000,0)),"")</f>
        <v/>
      </c>
      <c r="AE1068" s="117" t="str">
        <f>+'Packing Material - Cost'!A1069</f>
        <v/>
      </c>
    </row>
    <row r="1069" spans="27:31">
      <c r="AA1069" s="117" t="str">
        <f>+'Ingredient List - Mother Tinctu'!D1070</f>
        <v>Variolinum</v>
      </c>
      <c r="AB1069" s="117">
        <f t="shared" si="19"/>
        <v>0</v>
      </c>
      <c r="AC1069" s="117" t="str">
        <f>IF(AB1069=1,COUNTIF($AB$3:AB1069,1),"")</f>
        <v/>
      </c>
      <c r="AD1069" s="117" t="str">
        <f>IFERROR(INDEX($AA$3:$AA$10000,MATCH(ROWS($AC$3:AC1069),$AC$3:$AC$10000,0)),"")</f>
        <v/>
      </c>
      <c r="AE1069" s="117" t="str">
        <f>+'Packing Material - Cost'!A1070</f>
        <v/>
      </c>
    </row>
    <row r="1070" spans="27:31">
      <c r="AA1070" s="117" t="str">
        <f>+'Ingredient List - Mother Tinctu'!D1071</f>
        <v>Veratrum Alb.</v>
      </c>
      <c r="AB1070" s="117">
        <f t="shared" si="19"/>
        <v>0</v>
      </c>
      <c r="AC1070" s="117" t="str">
        <f>IF(AB1070=1,COUNTIF($AB$3:AB1070,1),"")</f>
        <v/>
      </c>
      <c r="AD1070" s="117" t="str">
        <f>IFERROR(INDEX($AA$3:$AA$10000,MATCH(ROWS($AC$3:AC1070),$AC$3:$AC$10000,0)),"")</f>
        <v/>
      </c>
      <c r="AE1070" s="117" t="str">
        <f>+'Packing Material - Cost'!A1071</f>
        <v/>
      </c>
    </row>
    <row r="1071" spans="27:31">
      <c r="AA1071" s="117" t="str">
        <f>+'Ingredient List - Mother Tinctu'!D1072</f>
        <v>Veratrum Vir.</v>
      </c>
      <c r="AB1071" s="117">
        <f t="shared" si="19"/>
        <v>0</v>
      </c>
      <c r="AC1071" s="117" t="str">
        <f>IF(AB1071=1,COUNTIF($AB$3:AB1071,1),"")</f>
        <v/>
      </c>
      <c r="AD1071" s="117" t="str">
        <f>IFERROR(INDEX($AA$3:$AA$10000,MATCH(ROWS($AC$3:AC1071),$AC$3:$AC$10000,0)),"")</f>
        <v/>
      </c>
      <c r="AE1071" s="117" t="str">
        <f>+'Packing Material - Cost'!A1072</f>
        <v/>
      </c>
    </row>
    <row r="1072" spans="27:31">
      <c r="AA1072" s="117" t="str">
        <f>+'Ingredient List - Mother Tinctu'!D1073</f>
        <v>Verbascum T.</v>
      </c>
      <c r="AB1072" s="117">
        <f t="shared" si="19"/>
        <v>0</v>
      </c>
      <c r="AC1072" s="117" t="str">
        <f>IF(AB1072=1,COUNTIF($AB$3:AB1072,1),"")</f>
        <v/>
      </c>
      <c r="AD1072" s="117" t="str">
        <f>IFERROR(INDEX($AA$3:$AA$10000,MATCH(ROWS($AC$3:AC1072),$AC$3:$AC$10000,0)),"")</f>
        <v/>
      </c>
      <c r="AE1072" s="117" t="str">
        <f>+'Packing Material - Cost'!A1073</f>
        <v/>
      </c>
    </row>
    <row r="1073" spans="27:31">
      <c r="AA1073" s="117" t="str">
        <f>+'Ingredient List - Mother Tinctu'!D1074</f>
        <v>Vesicaria C.</v>
      </c>
      <c r="AB1073" s="117">
        <f t="shared" si="19"/>
        <v>0</v>
      </c>
      <c r="AC1073" s="117" t="str">
        <f>IF(AB1073=1,COUNTIF($AB$3:AB1073,1),"")</f>
        <v/>
      </c>
      <c r="AD1073" s="117" t="str">
        <f>IFERROR(INDEX($AA$3:$AA$10000,MATCH(ROWS($AC$3:AC1073),$AC$3:$AC$10000,0)),"")</f>
        <v/>
      </c>
      <c r="AE1073" s="117" t="str">
        <f>+'Packing Material - Cost'!A1074</f>
        <v/>
      </c>
    </row>
    <row r="1074" spans="27:31">
      <c r="AA1074" s="117" t="str">
        <f>+'Ingredient List - Mother Tinctu'!D1075</f>
        <v>Vespa Carbo.</v>
      </c>
      <c r="AB1074" s="117">
        <f t="shared" si="19"/>
        <v>0</v>
      </c>
      <c r="AC1074" s="117" t="str">
        <f>IF(AB1074=1,COUNTIF($AB$3:AB1074,1),"")</f>
        <v/>
      </c>
      <c r="AD1074" s="117" t="str">
        <f>IFERROR(INDEX($AA$3:$AA$10000,MATCH(ROWS($AC$3:AC1074),$AC$3:$AC$10000,0)),"")</f>
        <v/>
      </c>
      <c r="AE1074" s="117" t="str">
        <f>+'Packing Material - Cost'!A1075</f>
        <v/>
      </c>
    </row>
    <row r="1075" spans="27:31">
      <c r="AA1075" s="117" t="str">
        <f>+'Ingredient List - Mother Tinctu'!D1076</f>
        <v>Viburnum Op.</v>
      </c>
      <c r="AB1075" s="117">
        <f t="shared" si="19"/>
        <v>0</v>
      </c>
      <c r="AC1075" s="117" t="str">
        <f>IF(AB1075=1,COUNTIF($AB$3:AB1075,1),"")</f>
        <v/>
      </c>
      <c r="AD1075" s="117" t="str">
        <f>IFERROR(INDEX($AA$3:$AA$10000,MATCH(ROWS($AC$3:AC1075),$AC$3:$AC$10000,0)),"")</f>
        <v/>
      </c>
      <c r="AE1075" s="117" t="str">
        <f>+'Packing Material - Cost'!A1076</f>
        <v/>
      </c>
    </row>
    <row r="1076" spans="27:31">
      <c r="AA1076" s="117" t="str">
        <f>+'Ingredient List - Mother Tinctu'!D1077</f>
        <v>Viburnum Pru.</v>
      </c>
      <c r="AB1076" s="117">
        <f t="shared" si="19"/>
        <v>0</v>
      </c>
      <c r="AC1076" s="117" t="str">
        <f>IF(AB1076=1,COUNTIF($AB$3:AB1076,1),"")</f>
        <v/>
      </c>
      <c r="AD1076" s="117" t="str">
        <f>IFERROR(INDEX($AA$3:$AA$10000,MATCH(ROWS($AC$3:AC1076),$AC$3:$AC$10000,0)),"")</f>
        <v/>
      </c>
      <c r="AE1076" s="117" t="str">
        <f>+'Packing Material - Cost'!A1077</f>
        <v/>
      </c>
    </row>
    <row r="1077" spans="27:31">
      <c r="AA1077" s="117" t="str">
        <f>+'Ingredient List - Mother Tinctu'!D1078</f>
        <v>Vinca Minor</v>
      </c>
      <c r="AB1077" s="117">
        <f t="shared" si="19"/>
        <v>0</v>
      </c>
      <c r="AC1077" s="117" t="str">
        <f>IF(AB1077=1,COUNTIF($AB$3:AB1077,1),"")</f>
        <v/>
      </c>
      <c r="AD1077" s="117" t="str">
        <f>IFERROR(INDEX($AA$3:$AA$10000,MATCH(ROWS($AC$3:AC1077),$AC$3:$AC$10000,0)),"")</f>
        <v/>
      </c>
      <c r="AE1077" s="117" t="str">
        <f>+'Packing Material - Cost'!A1078</f>
        <v/>
      </c>
    </row>
    <row r="1078" spans="27:31">
      <c r="AA1078" s="117" t="str">
        <f>+'Ingredient List - Mother Tinctu'!D1079</f>
        <v>Vinca Ros (Catharanthus Roseus)</v>
      </c>
      <c r="AB1078" s="117">
        <f t="shared" si="19"/>
        <v>0</v>
      </c>
      <c r="AC1078" s="117" t="str">
        <f>IF(AB1078=1,COUNTIF($AB$3:AB1078,1),"")</f>
        <v/>
      </c>
      <c r="AD1078" s="117" t="str">
        <f>IFERROR(INDEX($AA$3:$AA$10000,MATCH(ROWS($AC$3:AC1078),$AC$3:$AC$10000,0)),"")</f>
        <v/>
      </c>
      <c r="AE1078" s="117" t="str">
        <f>+'Packing Material - Cost'!A1079</f>
        <v/>
      </c>
    </row>
    <row r="1079" spans="27:31">
      <c r="AA1079" s="117" t="str">
        <f>+'Ingredient List - Mother Tinctu'!D1080</f>
        <v>Viola Odo.</v>
      </c>
      <c r="AB1079" s="117">
        <f t="shared" si="19"/>
        <v>0</v>
      </c>
      <c r="AC1079" s="117" t="str">
        <f>IF(AB1079=1,COUNTIF($AB$3:AB1079,1),"")</f>
        <v/>
      </c>
      <c r="AD1079" s="117" t="str">
        <f>IFERROR(INDEX($AA$3:$AA$10000,MATCH(ROWS($AC$3:AC1079),$AC$3:$AC$10000,0)),"")</f>
        <v/>
      </c>
      <c r="AE1079" s="117" t="str">
        <f>+'Packing Material - Cost'!A1080</f>
        <v/>
      </c>
    </row>
    <row r="1080" spans="27:31">
      <c r="AA1080" s="117" t="str">
        <f>+'Ingredient List - Mother Tinctu'!D1081</f>
        <v>Viola Tric.</v>
      </c>
      <c r="AB1080" s="117">
        <f t="shared" si="19"/>
        <v>0</v>
      </c>
      <c r="AC1080" s="117" t="str">
        <f>IF(AB1080=1,COUNTIF($AB$3:AB1080,1),"")</f>
        <v/>
      </c>
      <c r="AD1080" s="117" t="str">
        <f>IFERROR(INDEX($AA$3:$AA$10000,MATCH(ROWS($AC$3:AC1080),$AC$3:$AC$10000,0)),"")</f>
        <v/>
      </c>
      <c r="AE1080" s="117" t="str">
        <f>+'Packing Material - Cost'!A1081</f>
        <v/>
      </c>
    </row>
    <row r="1081" spans="27:31">
      <c r="AA1081" s="117" t="str">
        <f>+'Ingredient List - Mother Tinctu'!D1082</f>
        <v>Vipera</v>
      </c>
      <c r="AB1081" s="117">
        <f t="shared" si="19"/>
        <v>0</v>
      </c>
      <c r="AC1081" s="117" t="str">
        <f>IF(AB1081=1,COUNTIF($AB$3:AB1081,1),"")</f>
        <v/>
      </c>
      <c r="AD1081" s="117" t="str">
        <f>IFERROR(INDEX($AA$3:$AA$10000,MATCH(ROWS($AC$3:AC1081),$AC$3:$AC$10000,0)),"")</f>
        <v/>
      </c>
      <c r="AE1081" s="117" t="str">
        <f>+'Packing Material - Cost'!A1082</f>
        <v/>
      </c>
    </row>
    <row r="1082" spans="27:31">
      <c r="AA1082" s="117" t="str">
        <f>+'Ingredient List - Mother Tinctu'!D1083</f>
        <v>Viscum Alb</v>
      </c>
      <c r="AB1082" s="117">
        <f t="shared" si="19"/>
        <v>0</v>
      </c>
      <c r="AC1082" s="117" t="str">
        <f>IF(AB1082=1,COUNTIF($AB$3:AB1082,1),"")</f>
        <v/>
      </c>
      <c r="AD1082" s="117" t="str">
        <f>IFERROR(INDEX($AA$3:$AA$10000,MATCH(ROWS($AC$3:AC1082),$AC$3:$AC$10000,0)),"")</f>
        <v/>
      </c>
      <c r="AE1082" s="117" t="str">
        <f>+'Packing Material - Cost'!A1083</f>
        <v/>
      </c>
    </row>
    <row r="1083" spans="27:31">
      <c r="AA1083" s="117" t="str">
        <f>+'Ingredient List - Mother Tinctu'!D1084</f>
        <v>Wiesbaden</v>
      </c>
      <c r="AB1083" s="117">
        <f t="shared" si="19"/>
        <v>0</v>
      </c>
      <c r="AC1083" s="117" t="str">
        <f>IF(AB1083=1,COUNTIF($AB$3:AB1083,1),"")</f>
        <v/>
      </c>
      <c r="AD1083" s="117" t="str">
        <f>IFERROR(INDEX($AA$3:$AA$10000,MATCH(ROWS($AC$3:AC1083),$AC$3:$AC$10000,0)),"")</f>
        <v/>
      </c>
      <c r="AE1083" s="117" t="str">
        <f>+'Packing Material - Cost'!A1084</f>
        <v/>
      </c>
    </row>
    <row r="1084" spans="27:31">
      <c r="AA1084" s="117" t="str">
        <f>+'Ingredient List - Mother Tinctu'!D1085</f>
        <v>Wyethia</v>
      </c>
      <c r="AB1084" s="117">
        <f t="shared" si="19"/>
        <v>0</v>
      </c>
      <c r="AC1084" s="117" t="str">
        <f>IF(AB1084=1,COUNTIF($AB$3:AB1084,1),"")</f>
        <v/>
      </c>
      <c r="AD1084" s="117" t="str">
        <f>IFERROR(INDEX($AA$3:$AA$10000,MATCH(ROWS($AC$3:AC1084),$AC$3:$AC$10000,0)),"")</f>
        <v/>
      </c>
      <c r="AE1084" s="117" t="str">
        <f>+'Packing Material - Cost'!A1085</f>
        <v/>
      </c>
    </row>
    <row r="1085" spans="27:31">
      <c r="AA1085" s="117" t="str">
        <f>+'Ingredient List - Mother Tinctu'!D1086</f>
        <v>Xanthoxyllum</v>
      </c>
      <c r="AB1085" s="117">
        <f t="shared" si="19"/>
        <v>0</v>
      </c>
      <c r="AC1085" s="117" t="str">
        <f>IF(AB1085=1,COUNTIF($AB$3:AB1085,1),"")</f>
        <v/>
      </c>
      <c r="AD1085" s="117" t="str">
        <f>IFERROR(INDEX($AA$3:$AA$10000,MATCH(ROWS($AC$3:AC1085),$AC$3:$AC$10000,0)),"")</f>
        <v/>
      </c>
      <c r="AE1085" s="117" t="str">
        <f>+'Packing Material - Cost'!A1086</f>
        <v/>
      </c>
    </row>
    <row r="1086" spans="27:31">
      <c r="AA1086" s="117" t="str">
        <f>+'Ingredient List - Mother Tinctu'!D1087</f>
        <v>X-Ray</v>
      </c>
      <c r="AB1086" s="117">
        <f t="shared" si="19"/>
        <v>0</v>
      </c>
      <c r="AC1086" s="117" t="str">
        <f>IF(AB1086=1,COUNTIF($AB$3:AB1086,1),"")</f>
        <v/>
      </c>
      <c r="AD1086" s="117" t="str">
        <f>IFERROR(INDEX($AA$3:$AA$10000,MATCH(ROWS($AC$3:AC1086),$AC$3:$AC$10000,0)),"")</f>
        <v/>
      </c>
      <c r="AE1086" s="117" t="str">
        <f>+'Packing Material - Cost'!A1087</f>
        <v/>
      </c>
    </row>
    <row r="1087" spans="27:31">
      <c r="AA1087" s="117" t="str">
        <f>+'Ingredient List - Mother Tinctu'!D1088</f>
        <v>Yohimbinum</v>
      </c>
      <c r="AB1087" s="117">
        <f t="shared" si="19"/>
        <v>0</v>
      </c>
      <c r="AC1087" s="117" t="str">
        <f>IF(AB1087=1,COUNTIF($AB$3:AB1087,1),"")</f>
        <v/>
      </c>
      <c r="AD1087" s="117" t="str">
        <f>IFERROR(INDEX($AA$3:$AA$10000,MATCH(ROWS($AC$3:AC1087),$AC$3:$AC$10000,0)),"")</f>
        <v/>
      </c>
      <c r="AE1087" s="117" t="str">
        <f>+'Packing Material - Cost'!A1088</f>
        <v/>
      </c>
    </row>
    <row r="1088" spans="27:31">
      <c r="AA1088" s="117" t="str">
        <f>+'Ingredient List - Mother Tinctu'!D1089</f>
        <v>Yucca Filam</v>
      </c>
      <c r="AB1088" s="117">
        <f t="shared" si="19"/>
        <v>0</v>
      </c>
      <c r="AC1088" s="117" t="str">
        <f>IF(AB1088=1,COUNTIF($AB$3:AB1088,1),"")</f>
        <v/>
      </c>
      <c r="AD1088" s="117" t="str">
        <f>IFERROR(INDEX($AA$3:$AA$10000,MATCH(ROWS($AC$3:AC1088),$AC$3:$AC$10000,0)),"")</f>
        <v/>
      </c>
      <c r="AE1088" s="117" t="str">
        <f>+'Packing Material - Cost'!A1089</f>
        <v/>
      </c>
    </row>
    <row r="1089" spans="27:31">
      <c r="AA1089" s="117" t="str">
        <f>+'Ingredient List - Mother Tinctu'!D1090</f>
        <v>Zinc. Met.</v>
      </c>
      <c r="AB1089" s="117">
        <f t="shared" si="19"/>
        <v>0</v>
      </c>
      <c r="AC1089" s="117" t="str">
        <f>IF(AB1089=1,COUNTIF($AB$3:AB1089,1),"")</f>
        <v/>
      </c>
      <c r="AD1089" s="117" t="str">
        <f>IFERROR(INDEX($AA$3:$AA$10000,MATCH(ROWS($AC$3:AC1089),$AC$3:$AC$10000,0)),"")</f>
        <v/>
      </c>
      <c r="AE1089" s="117" t="str">
        <f>+'Packing Material - Cost'!A1090</f>
        <v/>
      </c>
    </row>
    <row r="1090" spans="27:31">
      <c r="AA1090" s="117" t="str">
        <f>+'Ingredient List - Mother Tinctu'!D1091</f>
        <v>Zinc. Phos.</v>
      </c>
      <c r="AB1090" s="117">
        <f t="shared" si="19"/>
        <v>0</v>
      </c>
      <c r="AC1090" s="117" t="str">
        <f>IF(AB1090=1,COUNTIF($AB$3:AB1090,1),"")</f>
        <v/>
      </c>
      <c r="AD1090" s="117" t="str">
        <f>IFERROR(INDEX($AA$3:$AA$10000,MATCH(ROWS($AC$3:AC1090),$AC$3:$AC$10000,0)),"")</f>
        <v/>
      </c>
      <c r="AE1090" s="117" t="str">
        <f>+'Packing Material - Cost'!A1091</f>
        <v/>
      </c>
    </row>
    <row r="1091" spans="27:31">
      <c r="AA1091" s="117" t="str">
        <f>+'Ingredient List - Mother Tinctu'!D1092</f>
        <v>Zincum  Valerianum</v>
      </c>
      <c r="AB1091" s="117">
        <f t="shared" si="19"/>
        <v>0</v>
      </c>
      <c r="AC1091" s="117" t="str">
        <f>IF(AB1091=1,COUNTIF($AB$3:AB1091,1),"")</f>
        <v/>
      </c>
      <c r="AD1091" s="117" t="str">
        <f>IFERROR(INDEX($AA$3:$AA$10000,MATCH(ROWS($AC$3:AC1091),$AC$3:$AC$10000,0)),"")</f>
        <v/>
      </c>
      <c r="AE1091" s="117" t="str">
        <f>+'Packing Material - Cost'!A1092</f>
        <v/>
      </c>
    </row>
    <row r="1092" spans="27:31">
      <c r="AA1092" s="117" t="str">
        <f>+'Ingredient List - Mother Tinctu'!D1093</f>
        <v>Zingiber.</v>
      </c>
      <c r="AB1092" s="117">
        <f t="shared" ref="AB1092:AB1155" si="20">--ISNUMBER(IFERROR(SEARCH($D$3,AA1092,1),""))</f>
        <v>0</v>
      </c>
      <c r="AC1092" s="117" t="str">
        <f>IF(AB1092=1,COUNTIF($AB$3:AB1092,1),"")</f>
        <v/>
      </c>
      <c r="AD1092" s="117" t="str">
        <f>IFERROR(INDEX($AA$3:$AA$10000,MATCH(ROWS($AC$3:AC1092),$AC$3:$AC$10000,0)),"")</f>
        <v/>
      </c>
      <c r="AE1092" s="117" t="str">
        <f>+'Packing Material - Cost'!A1093</f>
        <v/>
      </c>
    </row>
    <row r="1093" spans="27:31">
      <c r="AA1093" s="117" t="str">
        <f>+'Ingredient List - Mother Tinctu'!D1094</f>
        <v>Acid Salicyl</v>
      </c>
      <c r="AB1093" s="117">
        <f t="shared" si="20"/>
        <v>0</v>
      </c>
      <c r="AC1093" s="117" t="str">
        <f>IF(AB1093=1,COUNTIF($AB$3:AB1093,1),"")</f>
        <v/>
      </c>
      <c r="AD1093" s="117" t="str">
        <f>IFERROR(INDEX($AA$3:$AA$10000,MATCH(ROWS($AC$3:AC1093),$AC$3:$AC$10000,0)),"")</f>
        <v/>
      </c>
      <c r="AE1093" s="117" t="str">
        <f>+'Packing Material - Cost'!A1094</f>
        <v/>
      </c>
    </row>
    <row r="1094" spans="27:31">
      <c r="AA1094" s="117" t="str">
        <f>+'Ingredient List - Mother Tinctu'!D1095</f>
        <v>Alumina</v>
      </c>
      <c r="AB1094" s="117">
        <f t="shared" si="20"/>
        <v>0</v>
      </c>
      <c r="AC1094" s="117" t="str">
        <f>IF(AB1094=1,COUNTIF($AB$3:AB1094,1),"")</f>
        <v/>
      </c>
      <c r="AD1094" s="117" t="str">
        <f>IFERROR(INDEX($AA$3:$AA$10000,MATCH(ROWS($AC$3:AC1094),$AC$3:$AC$10000,0)),"")</f>
        <v/>
      </c>
      <c r="AE1094" s="117" t="str">
        <f>+'Packing Material - Cost'!A1095</f>
        <v/>
      </c>
    </row>
    <row r="1095" spans="27:31">
      <c r="AA1095" s="117" t="str">
        <f>+'Ingredient List - Mother Tinctu'!D1096</f>
        <v>Antim. Ars.</v>
      </c>
      <c r="AB1095" s="117">
        <f t="shared" si="20"/>
        <v>0</v>
      </c>
      <c r="AC1095" s="117" t="str">
        <f>IF(AB1095=1,COUNTIF($AB$3:AB1095,1),"")</f>
        <v/>
      </c>
      <c r="AD1095" s="117" t="str">
        <f>IFERROR(INDEX($AA$3:$AA$10000,MATCH(ROWS($AC$3:AC1095),$AC$3:$AC$10000,0)),"")</f>
        <v/>
      </c>
      <c r="AE1095" s="117" t="str">
        <f>+'Packing Material - Cost'!A1096</f>
        <v/>
      </c>
    </row>
    <row r="1096" spans="27:31">
      <c r="AA1096" s="117" t="str">
        <f>+'Ingredient List - Mother Tinctu'!D1097</f>
        <v>Antim. Tart.</v>
      </c>
      <c r="AB1096" s="117">
        <f t="shared" si="20"/>
        <v>0</v>
      </c>
      <c r="AC1096" s="117" t="str">
        <f>IF(AB1096=1,COUNTIF($AB$3:AB1096,1),"")</f>
        <v/>
      </c>
      <c r="AD1096" s="117" t="str">
        <f>IFERROR(INDEX($AA$3:$AA$10000,MATCH(ROWS($AC$3:AC1096),$AC$3:$AC$10000,0)),"")</f>
        <v/>
      </c>
      <c r="AE1096" s="117" t="str">
        <f>+'Packing Material - Cost'!A1097</f>
        <v/>
      </c>
    </row>
    <row r="1097" spans="27:31">
      <c r="AA1097" s="117" t="str">
        <f>+'Ingredient List - Mother Tinctu'!D1098</f>
        <v>Arsenic. Alb</v>
      </c>
      <c r="AB1097" s="117">
        <f t="shared" si="20"/>
        <v>0</v>
      </c>
      <c r="AC1097" s="117" t="str">
        <f>IF(AB1097=1,COUNTIF($AB$3:AB1097,1),"")</f>
        <v/>
      </c>
      <c r="AD1097" s="117" t="str">
        <f>IFERROR(INDEX($AA$3:$AA$10000,MATCH(ROWS($AC$3:AC1097),$AC$3:$AC$10000,0)),"")</f>
        <v/>
      </c>
      <c r="AE1097" s="117" t="str">
        <f>+'Packing Material - Cost'!A1098</f>
        <v/>
      </c>
    </row>
    <row r="1098" spans="27:31">
      <c r="AA1098" s="117" t="str">
        <f>+'Ingredient List - Mother Tinctu'!D1099</f>
        <v>Arsenic. Iod.</v>
      </c>
      <c r="AB1098" s="117">
        <f t="shared" si="20"/>
        <v>0</v>
      </c>
      <c r="AC1098" s="117" t="str">
        <f>IF(AB1098=1,COUNTIF($AB$3:AB1098,1),"")</f>
        <v/>
      </c>
      <c r="AD1098" s="117" t="str">
        <f>IFERROR(INDEX($AA$3:$AA$10000,MATCH(ROWS($AC$3:AC1098),$AC$3:$AC$10000,0)),"")</f>
        <v/>
      </c>
      <c r="AE1098" s="117" t="str">
        <f>+'Packing Material - Cost'!A1099</f>
        <v/>
      </c>
    </row>
    <row r="1099" spans="27:31">
      <c r="AA1099" s="117" t="str">
        <f>+'Ingredient List - Mother Tinctu'!D1100</f>
        <v>Arsenic. Sul. Flav.</v>
      </c>
      <c r="AB1099" s="117">
        <f t="shared" si="20"/>
        <v>0</v>
      </c>
      <c r="AC1099" s="117" t="str">
        <f>IF(AB1099=1,COUNTIF($AB$3:AB1099,1),"")</f>
        <v/>
      </c>
      <c r="AD1099" s="117" t="str">
        <f>IFERROR(INDEX($AA$3:$AA$10000,MATCH(ROWS($AC$3:AC1099),$AC$3:$AC$10000,0)),"")</f>
        <v/>
      </c>
      <c r="AE1099" s="117" t="str">
        <f>+'Packing Material - Cost'!A1100</f>
        <v/>
      </c>
    </row>
    <row r="1100" spans="27:31">
      <c r="AA1100" s="117" t="str">
        <f>+'Ingredient List - Mother Tinctu'!D1101</f>
        <v>Arsenic. Sul. Rub.</v>
      </c>
      <c r="AB1100" s="117">
        <f t="shared" si="20"/>
        <v>0</v>
      </c>
      <c r="AC1100" s="117" t="str">
        <f>IF(AB1100=1,COUNTIF($AB$3:AB1100,1),"")</f>
        <v/>
      </c>
      <c r="AD1100" s="117" t="str">
        <f>IFERROR(INDEX($AA$3:$AA$10000,MATCH(ROWS($AC$3:AC1100),$AC$3:$AC$10000,0)),"")</f>
        <v/>
      </c>
      <c r="AE1100" s="117" t="str">
        <f>+'Packing Material - Cost'!A1101</f>
        <v/>
      </c>
    </row>
    <row r="1101" spans="27:31">
      <c r="AA1101" s="117" t="str">
        <f>+'Ingredient List - Mother Tinctu'!D1102</f>
        <v>Aurum Mur Nat</v>
      </c>
      <c r="AB1101" s="117">
        <f t="shared" si="20"/>
        <v>0</v>
      </c>
      <c r="AC1101" s="117" t="str">
        <f>IF(AB1101=1,COUNTIF($AB$3:AB1101,1),"")</f>
        <v/>
      </c>
      <c r="AD1101" s="117" t="str">
        <f>IFERROR(INDEX($AA$3:$AA$10000,MATCH(ROWS($AC$3:AC1101),$AC$3:$AC$10000,0)),"")</f>
        <v/>
      </c>
      <c r="AE1101" s="117" t="str">
        <f>+'Packing Material - Cost'!A1102</f>
        <v/>
      </c>
    </row>
    <row r="1102" spans="27:31">
      <c r="AA1102" s="117" t="str">
        <f>+'Ingredient List - Mother Tinctu'!D1103</f>
        <v>Baryta Carb.</v>
      </c>
      <c r="AB1102" s="117">
        <f t="shared" si="20"/>
        <v>0</v>
      </c>
      <c r="AC1102" s="117" t="str">
        <f>IF(AB1102=1,COUNTIF($AB$3:AB1102,1),"")</f>
        <v/>
      </c>
      <c r="AD1102" s="117" t="str">
        <f>IFERROR(INDEX($AA$3:$AA$10000,MATCH(ROWS($AC$3:AC1102),$AC$3:$AC$10000,0)),"")</f>
        <v/>
      </c>
      <c r="AE1102" s="117" t="str">
        <f>+'Packing Material - Cost'!A1103</f>
        <v/>
      </c>
    </row>
    <row r="1103" spans="27:31">
      <c r="AA1103" s="117" t="str">
        <f>+'Ingredient List - Mother Tinctu'!D1104</f>
        <v>Baryta Iod.</v>
      </c>
      <c r="AB1103" s="117">
        <f t="shared" si="20"/>
        <v>0</v>
      </c>
      <c r="AC1103" s="117" t="str">
        <f>IF(AB1103=1,COUNTIF($AB$3:AB1103,1),"")</f>
        <v/>
      </c>
      <c r="AD1103" s="117" t="str">
        <f>IFERROR(INDEX($AA$3:$AA$10000,MATCH(ROWS($AC$3:AC1103),$AC$3:$AC$10000,0)),"")</f>
        <v/>
      </c>
      <c r="AE1103" s="117" t="str">
        <f>+'Packing Material - Cost'!A1104</f>
        <v/>
      </c>
    </row>
    <row r="1104" spans="27:31">
      <c r="AA1104" s="117" t="str">
        <f>+'Ingredient List - Mother Tinctu'!D1105</f>
        <v>Baryta Mur.</v>
      </c>
      <c r="AB1104" s="117">
        <f t="shared" si="20"/>
        <v>0</v>
      </c>
      <c r="AC1104" s="117" t="str">
        <f>IF(AB1104=1,COUNTIF($AB$3:AB1104,1),"")</f>
        <v/>
      </c>
      <c r="AD1104" s="117" t="str">
        <f>IFERROR(INDEX($AA$3:$AA$10000,MATCH(ROWS($AC$3:AC1104),$AC$3:$AC$10000,0)),"")</f>
        <v/>
      </c>
      <c r="AE1104" s="117" t="str">
        <f>+'Packing Material - Cost'!A1105</f>
        <v/>
      </c>
    </row>
    <row r="1105" spans="27:31">
      <c r="AA1105" s="117" t="str">
        <f>+'Ingredient List - Mother Tinctu'!D1106</f>
        <v>Borax</v>
      </c>
      <c r="AB1105" s="117">
        <f t="shared" si="20"/>
        <v>0</v>
      </c>
      <c r="AC1105" s="117" t="str">
        <f>IF(AB1105=1,COUNTIF($AB$3:AB1105,1),"")</f>
        <v/>
      </c>
      <c r="AD1105" s="117" t="str">
        <f>IFERROR(INDEX($AA$3:$AA$10000,MATCH(ROWS($AC$3:AC1105),$AC$3:$AC$10000,0)),"")</f>
        <v/>
      </c>
      <c r="AE1105" s="117" t="str">
        <f>+'Packing Material - Cost'!A1106</f>
        <v/>
      </c>
    </row>
    <row r="1106" spans="27:31">
      <c r="AA1106" s="117" t="str">
        <f>+'Ingredient List - Mother Tinctu'!D1107</f>
        <v>Calc. Ars.</v>
      </c>
      <c r="AB1106" s="117">
        <f t="shared" si="20"/>
        <v>0</v>
      </c>
      <c r="AC1106" s="117" t="str">
        <f>IF(AB1106=1,COUNTIF($AB$3:AB1106,1),"")</f>
        <v/>
      </c>
      <c r="AD1106" s="117" t="str">
        <f>IFERROR(INDEX($AA$3:$AA$10000,MATCH(ROWS($AC$3:AC1106),$AC$3:$AC$10000,0)),"")</f>
        <v/>
      </c>
      <c r="AE1106" s="117" t="str">
        <f>+'Packing Material - Cost'!A1107</f>
        <v/>
      </c>
    </row>
    <row r="1107" spans="27:31">
      <c r="AA1107" s="117" t="str">
        <f>+'Ingredient List - Mother Tinctu'!D1108</f>
        <v>Calc. Carb.</v>
      </c>
      <c r="AB1107" s="117">
        <f t="shared" si="20"/>
        <v>0</v>
      </c>
      <c r="AC1107" s="117" t="str">
        <f>IF(AB1107=1,COUNTIF($AB$3:AB1107,1),"")</f>
        <v/>
      </c>
      <c r="AD1107" s="117" t="str">
        <f>IFERROR(INDEX($AA$3:$AA$10000,MATCH(ROWS($AC$3:AC1107),$AC$3:$AC$10000,0)),"")</f>
        <v/>
      </c>
      <c r="AE1107" s="117" t="str">
        <f>+'Packing Material - Cost'!A1108</f>
        <v/>
      </c>
    </row>
    <row r="1108" spans="27:31">
      <c r="AA1108" s="117" t="str">
        <f>+'Ingredient List - Mother Tinctu'!D1109</f>
        <v>Calc. Hyp. Ph.</v>
      </c>
      <c r="AB1108" s="117">
        <f t="shared" si="20"/>
        <v>0</v>
      </c>
      <c r="AC1108" s="117" t="str">
        <f>IF(AB1108=1,COUNTIF($AB$3:AB1108,1),"")</f>
        <v/>
      </c>
      <c r="AD1108" s="117" t="str">
        <f>IFERROR(INDEX($AA$3:$AA$10000,MATCH(ROWS($AC$3:AC1108),$AC$3:$AC$10000,0)),"")</f>
        <v/>
      </c>
      <c r="AE1108" s="117" t="str">
        <f>+'Packing Material - Cost'!A1109</f>
        <v/>
      </c>
    </row>
    <row r="1109" spans="27:31">
      <c r="AA1109" s="117" t="str">
        <f>+'Ingredient List - Mother Tinctu'!D1110</f>
        <v>Calc. Iod.</v>
      </c>
      <c r="AB1109" s="117">
        <f t="shared" si="20"/>
        <v>0</v>
      </c>
      <c r="AC1109" s="117" t="str">
        <f>IF(AB1109=1,COUNTIF($AB$3:AB1109,1),"")</f>
        <v/>
      </c>
      <c r="AD1109" s="117" t="str">
        <f>IFERROR(INDEX($AA$3:$AA$10000,MATCH(ROWS($AC$3:AC1109),$AC$3:$AC$10000,0)),"")</f>
        <v/>
      </c>
      <c r="AE1109" s="117" t="str">
        <f>+'Packing Material - Cost'!A1110</f>
        <v/>
      </c>
    </row>
    <row r="1110" spans="27:31">
      <c r="AA1110" s="117" t="str">
        <f>+'Ingredient List - Mother Tinctu'!D1111</f>
        <v>Calc. Ova tosta (Ova Tosta)</v>
      </c>
      <c r="AB1110" s="117">
        <f t="shared" si="20"/>
        <v>0</v>
      </c>
      <c r="AC1110" s="117" t="str">
        <f>IF(AB1110=1,COUNTIF($AB$3:AB1110,1),"")</f>
        <v/>
      </c>
      <c r="AD1110" s="117" t="str">
        <f>IFERROR(INDEX($AA$3:$AA$10000,MATCH(ROWS($AC$3:AC1110),$AC$3:$AC$10000,0)),"")</f>
        <v/>
      </c>
      <c r="AE1110" s="117" t="str">
        <f>+'Packing Material - Cost'!A1111</f>
        <v/>
      </c>
    </row>
    <row r="1111" spans="27:31">
      <c r="AA1111" s="117" t="str">
        <f>+'Ingredient List - Mother Tinctu'!D1112</f>
        <v>Carbo Anim.</v>
      </c>
      <c r="AB1111" s="117">
        <f t="shared" si="20"/>
        <v>0</v>
      </c>
      <c r="AC1111" s="117" t="str">
        <f>IF(AB1111=1,COUNTIF($AB$3:AB1111,1),"")</f>
        <v/>
      </c>
      <c r="AD1111" s="117" t="str">
        <f>IFERROR(INDEX($AA$3:$AA$10000,MATCH(ROWS($AC$3:AC1111),$AC$3:$AC$10000,0)),"")</f>
        <v/>
      </c>
      <c r="AE1111" s="117" t="str">
        <f>+'Packing Material - Cost'!A1112</f>
        <v/>
      </c>
    </row>
    <row r="1112" spans="27:31">
      <c r="AA1112" s="117" t="str">
        <f>+'Ingredient List - Mother Tinctu'!D1113</f>
        <v>Carbo Veg.</v>
      </c>
      <c r="AB1112" s="117">
        <f t="shared" si="20"/>
        <v>0</v>
      </c>
      <c r="AC1112" s="117" t="str">
        <f>IF(AB1112=1,COUNTIF($AB$3:AB1112,1),"")</f>
        <v/>
      </c>
      <c r="AD1112" s="117" t="str">
        <f>IFERROR(INDEX($AA$3:$AA$10000,MATCH(ROWS($AC$3:AC1112),$AC$3:$AC$10000,0)),"")</f>
        <v/>
      </c>
      <c r="AE1112" s="117" t="str">
        <f>+'Packing Material - Cost'!A1113</f>
        <v/>
      </c>
    </row>
    <row r="1113" spans="27:31">
      <c r="AA1113" s="117" t="str">
        <f>+'Ingredient List - Mother Tinctu'!D1114</f>
        <v>Chininum Ars.</v>
      </c>
      <c r="AB1113" s="117">
        <f t="shared" si="20"/>
        <v>0</v>
      </c>
      <c r="AC1113" s="117" t="str">
        <f>IF(AB1113=1,COUNTIF($AB$3:AB1113,1),"")</f>
        <v/>
      </c>
      <c r="AD1113" s="117" t="str">
        <f>IFERROR(INDEX($AA$3:$AA$10000,MATCH(ROWS($AC$3:AC1113),$AC$3:$AC$10000,0)),"")</f>
        <v/>
      </c>
      <c r="AE1113" s="117" t="str">
        <f>+'Packing Material - Cost'!A1114</f>
        <v/>
      </c>
    </row>
    <row r="1114" spans="27:31">
      <c r="AA1114" s="117" t="str">
        <f>+'Ingredient List - Mother Tinctu'!D1115</f>
        <v>Chinnium Sulf</v>
      </c>
      <c r="AB1114" s="117">
        <f t="shared" si="20"/>
        <v>0</v>
      </c>
      <c r="AC1114" s="117" t="str">
        <f>IF(AB1114=1,COUNTIF($AB$3:AB1114,1),"")</f>
        <v/>
      </c>
      <c r="AD1114" s="117" t="str">
        <f>IFERROR(INDEX($AA$3:$AA$10000,MATCH(ROWS($AC$3:AC1114),$AC$3:$AC$10000,0)),"")</f>
        <v/>
      </c>
      <c r="AE1114" s="117" t="str">
        <f>+'Packing Material - Cost'!A1115</f>
        <v/>
      </c>
    </row>
    <row r="1115" spans="27:31">
      <c r="AA1115" s="117" t="str">
        <f>+'Ingredient List - Mother Tinctu'!D1116</f>
        <v>Cholesterinum</v>
      </c>
      <c r="AB1115" s="117">
        <f t="shared" si="20"/>
        <v>0</v>
      </c>
      <c r="AC1115" s="117" t="str">
        <f>IF(AB1115=1,COUNTIF($AB$3:AB1115,1),"")</f>
        <v/>
      </c>
      <c r="AD1115" s="117" t="str">
        <f>IFERROR(INDEX($AA$3:$AA$10000,MATCH(ROWS($AC$3:AC1115),$AC$3:$AC$10000,0)),"")</f>
        <v/>
      </c>
      <c r="AE1115" s="117" t="str">
        <f>+'Packing Material - Cost'!A1116</f>
        <v/>
      </c>
    </row>
    <row r="1116" spans="27:31">
      <c r="AA1116" s="117" t="str">
        <f>+'Ingredient List - Mother Tinctu'!D1117</f>
        <v>Cicuta Mac.</v>
      </c>
      <c r="AB1116" s="117">
        <f t="shared" si="20"/>
        <v>0</v>
      </c>
      <c r="AC1116" s="117" t="str">
        <f>IF(AB1116=1,COUNTIF($AB$3:AB1116,1),"")</f>
        <v/>
      </c>
      <c r="AD1116" s="117" t="str">
        <f>IFERROR(INDEX($AA$3:$AA$10000,MATCH(ROWS($AC$3:AC1116),$AC$3:$AC$10000,0)),"")</f>
        <v/>
      </c>
      <c r="AE1116" s="117" t="str">
        <f>+'Packing Material - Cost'!A1117</f>
        <v/>
      </c>
    </row>
    <row r="1117" spans="27:31">
      <c r="AA1117" s="117" t="str">
        <f>+'Ingredient List - Mother Tinctu'!D1118</f>
        <v>Cupurm Ars.</v>
      </c>
      <c r="AB1117" s="117">
        <f t="shared" si="20"/>
        <v>0</v>
      </c>
      <c r="AC1117" s="117" t="str">
        <f>IF(AB1117=1,COUNTIF($AB$3:AB1117,1),"")</f>
        <v/>
      </c>
      <c r="AD1117" s="117" t="str">
        <f>IFERROR(INDEX($AA$3:$AA$10000,MATCH(ROWS($AC$3:AC1117),$AC$3:$AC$10000,0)),"")</f>
        <v/>
      </c>
      <c r="AE1117" s="117" t="str">
        <f>+'Packing Material - Cost'!A1118</f>
        <v/>
      </c>
    </row>
    <row r="1118" spans="27:31">
      <c r="AA1118" s="117" t="str">
        <f>+'Ingredient List - Mother Tinctu'!D1119</f>
        <v>Cuprum Met</v>
      </c>
      <c r="AB1118" s="117">
        <f t="shared" si="20"/>
        <v>0</v>
      </c>
      <c r="AC1118" s="117" t="str">
        <f>IF(AB1118=1,COUNTIF($AB$3:AB1118,1),"")</f>
        <v/>
      </c>
      <c r="AD1118" s="117" t="str">
        <f>IFERROR(INDEX($AA$3:$AA$10000,MATCH(ROWS($AC$3:AC1118),$AC$3:$AC$10000,0)),"")</f>
        <v/>
      </c>
      <c r="AE1118" s="117" t="str">
        <f>+'Packing Material - Cost'!A1119</f>
        <v/>
      </c>
    </row>
    <row r="1119" spans="27:31">
      <c r="AA1119" s="117" t="str">
        <f>+'Ingredient List - Mother Tinctu'!D1120</f>
        <v>Fel. Tauri</v>
      </c>
      <c r="AB1119" s="117">
        <f t="shared" si="20"/>
        <v>0</v>
      </c>
      <c r="AC1119" s="117" t="str">
        <f>IF(AB1119=1,COUNTIF($AB$3:AB1119,1),"")</f>
        <v/>
      </c>
      <c r="AD1119" s="117" t="str">
        <f>IFERROR(INDEX($AA$3:$AA$10000,MATCH(ROWS($AC$3:AC1119),$AC$3:$AC$10000,0)),"")</f>
        <v/>
      </c>
      <c r="AE1119" s="117" t="str">
        <f>+'Packing Material - Cost'!A1120</f>
        <v/>
      </c>
    </row>
    <row r="1120" spans="27:31">
      <c r="AA1120" s="117" t="str">
        <f>+'Ingredient List - Mother Tinctu'!D1121</f>
        <v>Ferrum Iod.</v>
      </c>
      <c r="AB1120" s="117">
        <f t="shared" si="20"/>
        <v>0</v>
      </c>
      <c r="AC1120" s="117" t="str">
        <f>IF(AB1120=1,COUNTIF($AB$3:AB1120,1),"")</f>
        <v/>
      </c>
      <c r="AD1120" s="117" t="str">
        <f>IFERROR(INDEX($AA$3:$AA$10000,MATCH(ROWS($AC$3:AC1120),$AC$3:$AC$10000,0)),"")</f>
        <v/>
      </c>
      <c r="AE1120" s="117" t="str">
        <f>+'Packing Material - Cost'!A1121</f>
        <v/>
      </c>
    </row>
    <row r="1121" spans="27:31">
      <c r="AA1121" s="117" t="str">
        <f>+'Ingredient List - Mother Tinctu'!D1122</f>
        <v>Ferrum Met.</v>
      </c>
      <c r="AB1121" s="117">
        <f t="shared" si="20"/>
        <v>0</v>
      </c>
      <c r="AC1121" s="117" t="str">
        <f>IF(AB1121=1,COUNTIF($AB$3:AB1121,1),"")</f>
        <v/>
      </c>
      <c r="AD1121" s="117" t="str">
        <f>IFERROR(INDEX($AA$3:$AA$10000,MATCH(ROWS($AC$3:AC1121),$AC$3:$AC$10000,0)),"")</f>
        <v/>
      </c>
      <c r="AE1121" s="117" t="str">
        <f>+'Packing Material - Cost'!A1122</f>
        <v/>
      </c>
    </row>
    <row r="1122" spans="27:31">
      <c r="AA1122" s="117" t="str">
        <f>+'Ingredient List - Mother Tinctu'!D1123</f>
        <v>Ferrum Mur.</v>
      </c>
      <c r="AB1122" s="117">
        <f t="shared" si="20"/>
        <v>0</v>
      </c>
      <c r="AC1122" s="117" t="str">
        <f>IF(AB1122=1,COUNTIF($AB$3:AB1122,1),"")</f>
        <v/>
      </c>
      <c r="AD1122" s="117" t="str">
        <f>IFERROR(INDEX($AA$3:$AA$10000,MATCH(ROWS($AC$3:AC1122),$AC$3:$AC$10000,0)),"")</f>
        <v/>
      </c>
      <c r="AE1122" s="117" t="str">
        <f>+'Packing Material - Cost'!A1123</f>
        <v/>
      </c>
    </row>
    <row r="1123" spans="27:31">
      <c r="AA1123" s="117" t="str">
        <f>+'Ingredient List - Mother Tinctu'!D1124</f>
        <v>Ferrum. Picr.</v>
      </c>
      <c r="AB1123" s="117">
        <f t="shared" si="20"/>
        <v>0</v>
      </c>
      <c r="AC1123" s="117" t="str">
        <f>IF(AB1123=1,COUNTIF($AB$3:AB1123,1),"")</f>
        <v/>
      </c>
      <c r="AD1123" s="117" t="str">
        <f>IFERROR(INDEX($AA$3:$AA$10000,MATCH(ROWS($AC$3:AC1123),$AC$3:$AC$10000,0)),"")</f>
        <v/>
      </c>
      <c r="AE1123" s="117" t="str">
        <f>+'Packing Material - Cost'!A1124</f>
        <v/>
      </c>
    </row>
    <row r="1124" spans="27:31">
      <c r="AA1124" s="117" t="str">
        <f>+'Ingredient List - Mother Tinctu'!D1125</f>
        <v>Graphites</v>
      </c>
      <c r="AB1124" s="117">
        <f t="shared" si="20"/>
        <v>0</v>
      </c>
      <c r="AC1124" s="117" t="str">
        <f>IF(AB1124=1,COUNTIF($AB$3:AB1124,1),"")</f>
        <v/>
      </c>
      <c r="AD1124" s="117" t="str">
        <f>IFERROR(INDEX($AA$3:$AA$10000,MATCH(ROWS($AC$3:AC1124),$AC$3:$AC$10000,0)),"")</f>
        <v/>
      </c>
      <c r="AE1124" s="117" t="str">
        <f>+'Packing Material - Cost'!A1125</f>
        <v/>
      </c>
    </row>
    <row r="1125" spans="27:31">
      <c r="AA1125" s="117" t="str">
        <f>+'Ingredient List - Mother Tinctu'!D1126</f>
        <v>Gun-Powder</v>
      </c>
      <c r="AB1125" s="117">
        <f t="shared" si="20"/>
        <v>0</v>
      </c>
      <c r="AC1125" s="117" t="str">
        <f>IF(AB1125=1,COUNTIF($AB$3:AB1125,1),"")</f>
        <v/>
      </c>
      <c r="AD1125" s="117" t="str">
        <f>IFERROR(INDEX($AA$3:$AA$10000,MATCH(ROWS($AC$3:AC1125),$AC$3:$AC$10000,0)),"")</f>
        <v/>
      </c>
      <c r="AE1125" s="117" t="str">
        <f>+'Packing Material - Cost'!A1126</f>
        <v/>
      </c>
    </row>
    <row r="1126" spans="27:31">
      <c r="AA1126" s="117" t="str">
        <f>+'Ingredient List - Mother Tinctu'!D1127</f>
        <v>Hekla Lava</v>
      </c>
      <c r="AB1126" s="117">
        <f t="shared" si="20"/>
        <v>0</v>
      </c>
      <c r="AC1126" s="117" t="str">
        <f>IF(AB1126=1,COUNTIF($AB$3:AB1126,1),"")</f>
        <v/>
      </c>
      <c r="AD1126" s="117" t="str">
        <f>IFERROR(INDEX($AA$3:$AA$10000,MATCH(ROWS($AC$3:AC1126),$AC$3:$AC$10000,0)),"")</f>
        <v/>
      </c>
      <c r="AE1126" s="117" t="str">
        <f>+'Packing Material - Cost'!A1127</f>
        <v/>
      </c>
    </row>
    <row r="1127" spans="27:31">
      <c r="AA1127" s="117" t="str">
        <f>+'Ingredient List - Mother Tinctu'!D1128</f>
        <v>Hepar Sulph.</v>
      </c>
      <c r="AB1127" s="117">
        <f t="shared" si="20"/>
        <v>0</v>
      </c>
      <c r="AC1127" s="117" t="str">
        <f>IF(AB1127=1,COUNTIF($AB$3:AB1127,1),"")</f>
        <v/>
      </c>
      <c r="AD1127" s="117" t="str">
        <f>IFERROR(INDEX($AA$3:$AA$10000,MATCH(ROWS($AC$3:AC1127),$AC$3:$AC$10000,0)),"")</f>
        <v/>
      </c>
      <c r="AE1127" s="117" t="str">
        <f>+'Packing Material - Cost'!A1128</f>
        <v/>
      </c>
    </row>
    <row r="1128" spans="27:31">
      <c r="AA1128" s="117" t="str">
        <f>+'Ingredient List - Mother Tinctu'!D1129</f>
        <v>Iodoformum</v>
      </c>
      <c r="AB1128" s="117">
        <f t="shared" si="20"/>
        <v>0</v>
      </c>
      <c r="AC1128" s="117" t="str">
        <f>IF(AB1128=1,COUNTIF($AB$3:AB1128,1),"")</f>
        <v/>
      </c>
      <c r="AD1128" s="117" t="str">
        <f>IFERROR(INDEX($AA$3:$AA$10000,MATCH(ROWS($AC$3:AC1128),$AC$3:$AC$10000,0)),"")</f>
        <v/>
      </c>
      <c r="AE1128" s="117" t="str">
        <f>+'Packing Material - Cost'!A1129</f>
        <v/>
      </c>
    </row>
    <row r="1129" spans="27:31">
      <c r="AA1129" s="117" t="str">
        <f>+'Ingredient List - Mother Tinctu'!D1130</f>
        <v>Kali Bich.</v>
      </c>
      <c r="AB1129" s="117">
        <f t="shared" si="20"/>
        <v>0</v>
      </c>
      <c r="AC1129" s="117" t="str">
        <f>IF(AB1129=1,COUNTIF($AB$3:AB1129,1),"")</f>
        <v/>
      </c>
      <c r="AD1129" s="117" t="str">
        <f>IFERROR(INDEX($AA$3:$AA$10000,MATCH(ROWS($AC$3:AC1129),$AC$3:$AC$10000,0)),"")</f>
        <v/>
      </c>
      <c r="AE1129" s="117" t="str">
        <f>+'Packing Material - Cost'!A1130</f>
        <v/>
      </c>
    </row>
    <row r="1130" spans="27:31">
      <c r="AA1130" s="117" t="str">
        <f>+'Ingredient List - Mother Tinctu'!D1131</f>
        <v>Kali Brom.</v>
      </c>
      <c r="AB1130" s="117">
        <f t="shared" si="20"/>
        <v>0</v>
      </c>
      <c r="AC1130" s="117" t="str">
        <f>IF(AB1130=1,COUNTIF($AB$3:AB1130,1),"")</f>
        <v/>
      </c>
      <c r="AD1130" s="117" t="str">
        <f>IFERROR(INDEX($AA$3:$AA$10000,MATCH(ROWS($AC$3:AC1130),$AC$3:$AC$10000,0)),"")</f>
        <v/>
      </c>
      <c r="AE1130" s="117" t="str">
        <f>+'Packing Material - Cost'!A1131</f>
        <v/>
      </c>
    </row>
    <row r="1131" spans="27:31">
      <c r="AA1131" s="117" t="str">
        <f>+'Ingredient List - Mother Tinctu'!D1132</f>
        <v>Kali Carb.</v>
      </c>
      <c r="AB1131" s="117">
        <f t="shared" si="20"/>
        <v>0</v>
      </c>
      <c r="AC1131" s="117" t="str">
        <f>IF(AB1131=1,COUNTIF($AB$3:AB1131,1),"")</f>
        <v/>
      </c>
      <c r="AD1131" s="117" t="str">
        <f>IFERROR(INDEX($AA$3:$AA$10000,MATCH(ROWS($AC$3:AC1131),$AC$3:$AC$10000,0)),"")</f>
        <v/>
      </c>
      <c r="AE1131" s="117" t="str">
        <f>+'Packing Material - Cost'!A1132</f>
        <v/>
      </c>
    </row>
    <row r="1132" spans="27:31">
      <c r="AA1132" s="117" t="str">
        <f>+'Ingredient List - Mother Tinctu'!D1133</f>
        <v>Kali Iod. (Kali Hydro. Iod)</v>
      </c>
      <c r="AB1132" s="117">
        <f t="shared" si="20"/>
        <v>0</v>
      </c>
      <c r="AC1132" s="117" t="str">
        <f>IF(AB1132=1,COUNTIF($AB$3:AB1132,1),"")</f>
        <v/>
      </c>
      <c r="AD1132" s="117" t="str">
        <f>IFERROR(INDEX($AA$3:$AA$10000,MATCH(ROWS($AC$3:AC1132),$AC$3:$AC$10000,0)),"")</f>
        <v/>
      </c>
      <c r="AE1132" s="117" t="str">
        <f>+'Packing Material - Cost'!A1133</f>
        <v/>
      </c>
    </row>
    <row r="1133" spans="27:31">
      <c r="AA1133" s="117" t="str">
        <f>+'Ingredient List - Mother Tinctu'!D1134</f>
        <v>Lecithin</v>
      </c>
      <c r="AB1133" s="117">
        <f t="shared" si="20"/>
        <v>0</v>
      </c>
      <c r="AC1133" s="117" t="str">
        <f>IF(AB1133=1,COUNTIF($AB$3:AB1133,1),"")</f>
        <v/>
      </c>
      <c r="AD1133" s="117" t="str">
        <f>IFERROR(INDEX($AA$3:$AA$10000,MATCH(ROWS($AC$3:AC1133),$AC$3:$AC$10000,0)),"")</f>
        <v/>
      </c>
      <c r="AE1133" s="117" t="str">
        <f>+'Packing Material - Cost'!A1134</f>
        <v/>
      </c>
    </row>
    <row r="1134" spans="27:31">
      <c r="AA1134" s="117" t="str">
        <f>+'Ingredient List - Mother Tinctu'!D1135</f>
        <v>Menthol</v>
      </c>
      <c r="AB1134" s="117">
        <f t="shared" si="20"/>
        <v>0</v>
      </c>
      <c r="AC1134" s="117" t="str">
        <f>IF(AB1134=1,COUNTIF($AB$3:AB1134,1),"")</f>
        <v/>
      </c>
      <c r="AD1134" s="117" t="str">
        <f>IFERROR(INDEX($AA$3:$AA$10000,MATCH(ROWS($AC$3:AC1134),$AC$3:$AC$10000,0)),"")</f>
        <v/>
      </c>
      <c r="AE1134" s="117" t="str">
        <f>+'Packing Material - Cost'!A1135</f>
        <v/>
      </c>
    </row>
    <row r="1135" spans="27:31">
      <c r="AA1135" s="117" t="str">
        <f>+'Ingredient List - Mother Tinctu'!D1136</f>
        <v>Merc. Bin. Iod (MIR)</v>
      </c>
      <c r="AB1135" s="117">
        <f t="shared" si="20"/>
        <v>0</v>
      </c>
      <c r="AC1135" s="117" t="str">
        <f>IF(AB1135=1,COUNTIF($AB$3:AB1135,1),"")</f>
        <v/>
      </c>
      <c r="AD1135" s="117" t="str">
        <f>IFERROR(INDEX($AA$3:$AA$10000,MATCH(ROWS($AC$3:AC1135),$AC$3:$AC$10000,0)),"")</f>
        <v/>
      </c>
      <c r="AE1135" s="117" t="str">
        <f>+'Packing Material - Cost'!A1136</f>
        <v/>
      </c>
    </row>
    <row r="1136" spans="27:31">
      <c r="AA1136" s="117" t="str">
        <f>+'Ingredient List - Mother Tinctu'!D1137</f>
        <v>Merc. Dulc.</v>
      </c>
      <c r="AB1136" s="117">
        <f t="shared" si="20"/>
        <v>0</v>
      </c>
      <c r="AC1136" s="117" t="str">
        <f>IF(AB1136=1,COUNTIF($AB$3:AB1136,1),"")</f>
        <v/>
      </c>
      <c r="AD1136" s="117" t="str">
        <f>IFERROR(INDEX($AA$3:$AA$10000,MATCH(ROWS($AC$3:AC1136),$AC$3:$AC$10000,0)),"")</f>
        <v/>
      </c>
      <c r="AE1136" s="117" t="str">
        <f>+'Packing Material - Cost'!A1137</f>
        <v/>
      </c>
    </row>
    <row r="1137" spans="27:31">
      <c r="AA1137" s="117" t="str">
        <f>+'Ingredient List - Mother Tinctu'!D1138</f>
        <v>Merc. Iod. Flav. (MPI)</v>
      </c>
      <c r="AB1137" s="117">
        <f t="shared" si="20"/>
        <v>0</v>
      </c>
      <c r="AC1137" s="117" t="str">
        <f>IF(AB1137=1,COUNTIF($AB$3:AB1137,1),"")</f>
        <v/>
      </c>
      <c r="AD1137" s="117" t="str">
        <f>IFERROR(INDEX($AA$3:$AA$10000,MATCH(ROWS($AC$3:AC1137),$AC$3:$AC$10000,0)),"")</f>
        <v/>
      </c>
      <c r="AE1137" s="117" t="str">
        <f>+'Packing Material - Cost'!A1138</f>
        <v/>
      </c>
    </row>
    <row r="1138" spans="27:31">
      <c r="AA1138" s="117" t="str">
        <f>+'Ingredient List - Mother Tinctu'!D1139</f>
        <v>Merc. Pr. Iod (MIF)</v>
      </c>
      <c r="AB1138" s="117">
        <f t="shared" si="20"/>
        <v>0</v>
      </c>
      <c r="AC1138" s="117" t="str">
        <f>IF(AB1138=1,COUNTIF($AB$3:AB1138,1),"")</f>
        <v/>
      </c>
      <c r="AD1138" s="117" t="str">
        <f>IFERROR(INDEX($AA$3:$AA$10000,MATCH(ROWS($AC$3:AC1138),$AC$3:$AC$10000,0)),"")</f>
        <v/>
      </c>
      <c r="AE1138" s="117" t="str">
        <f>+'Packing Material - Cost'!A1139</f>
        <v/>
      </c>
    </row>
    <row r="1139" spans="27:31">
      <c r="AA1139" s="117" t="str">
        <f>+'Ingredient List - Mother Tinctu'!D1140</f>
        <v>Merc. Iod. Rub. (MBI)</v>
      </c>
      <c r="AB1139" s="117">
        <f t="shared" si="20"/>
        <v>0</v>
      </c>
      <c r="AC1139" s="117" t="str">
        <f>IF(AB1139=1,COUNTIF($AB$3:AB1139,1),"")</f>
        <v/>
      </c>
      <c r="AD1139" s="117" t="str">
        <f>IFERROR(INDEX($AA$3:$AA$10000,MATCH(ROWS($AC$3:AC1139),$AC$3:$AC$10000,0)),"")</f>
        <v/>
      </c>
      <c r="AE1139" s="117" t="str">
        <f>+'Packing Material - Cost'!A1140</f>
        <v/>
      </c>
    </row>
    <row r="1140" spans="27:31">
      <c r="AA1140" s="117" t="str">
        <f>+'Ingredient List - Mother Tinctu'!D1141</f>
        <v>Naphthalin</v>
      </c>
      <c r="AB1140" s="117">
        <f t="shared" si="20"/>
        <v>0</v>
      </c>
      <c r="AC1140" s="117" t="str">
        <f>IF(AB1140=1,COUNTIF($AB$3:AB1140,1),"")</f>
        <v/>
      </c>
      <c r="AD1140" s="117" t="str">
        <f>IFERROR(INDEX($AA$3:$AA$10000,MATCH(ROWS($AC$3:AC1140),$AC$3:$AC$10000,0)),"")</f>
        <v/>
      </c>
      <c r="AE1140" s="117" t="str">
        <f>+'Packing Material - Cost'!A1141</f>
        <v/>
      </c>
    </row>
    <row r="1141" spans="27:31">
      <c r="AA1141" s="117" t="str">
        <f>+'Ingredient List - Mother Tinctu'!D1142</f>
        <v>Nat. Ars.</v>
      </c>
      <c r="AB1141" s="117">
        <f t="shared" si="20"/>
        <v>0</v>
      </c>
      <c r="AC1141" s="117" t="str">
        <f>IF(AB1141=1,COUNTIF($AB$3:AB1141,1),"")</f>
        <v/>
      </c>
      <c r="AD1141" s="117" t="str">
        <f>IFERROR(INDEX($AA$3:$AA$10000,MATCH(ROWS($AC$3:AC1141),$AC$3:$AC$10000,0)),"")</f>
        <v/>
      </c>
      <c r="AE1141" s="117" t="str">
        <f>+'Packing Material - Cost'!A1142</f>
        <v/>
      </c>
    </row>
    <row r="1142" spans="27:31">
      <c r="AA1142" s="117" t="str">
        <f>+'Ingredient List - Mother Tinctu'!D1143</f>
        <v>OvaTosta (Cale. Ova. Tost)</v>
      </c>
      <c r="AB1142" s="117">
        <f t="shared" si="20"/>
        <v>0</v>
      </c>
      <c r="AC1142" s="117" t="str">
        <f>IF(AB1142=1,COUNTIF($AB$3:AB1142,1),"")</f>
        <v/>
      </c>
      <c r="AD1142" s="117" t="str">
        <f>IFERROR(INDEX($AA$3:$AA$10000,MATCH(ROWS($AC$3:AC1142),$AC$3:$AC$10000,0)),"")</f>
        <v/>
      </c>
      <c r="AE1142" s="117" t="str">
        <f>+'Packing Material - Cost'!A1143</f>
        <v/>
      </c>
    </row>
    <row r="1143" spans="27:31">
      <c r="AA1143" s="117" t="str">
        <f>+'Ingredient List - Mother Tinctu'!D1144</f>
        <v>Santoninum</v>
      </c>
      <c r="AB1143" s="117">
        <f t="shared" si="20"/>
        <v>0</v>
      </c>
      <c r="AC1143" s="117" t="str">
        <f>IF(AB1143=1,COUNTIF($AB$3:AB1143,1),"")</f>
        <v/>
      </c>
      <c r="AD1143" s="117" t="str">
        <f>IFERROR(INDEX($AA$3:$AA$10000,MATCH(ROWS($AC$3:AC1143),$AC$3:$AC$10000,0)),"")</f>
        <v/>
      </c>
      <c r="AE1143" s="117" t="str">
        <f>+'Packing Material - Cost'!A1144</f>
        <v/>
      </c>
    </row>
    <row r="1144" spans="27:31">
      <c r="AA1144" s="117" t="str">
        <f>+'Ingredient List - Mother Tinctu'!D1145</f>
        <v>Santoninum</v>
      </c>
      <c r="AB1144" s="117">
        <f t="shared" si="20"/>
        <v>0</v>
      </c>
      <c r="AC1144" s="117" t="str">
        <f>IF(AB1144=1,COUNTIF($AB$3:AB1144,1),"")</f>
        <v/>
      </c>
      <c r="AD1144" s="117" t="str">
        <f>IFERROR(INDEX($AA$3:$AA$10000,MATCH(ROWS($AC$3:AC1144),$AC$3:$AC$10000,0)),"")</f>
        <v/>
      </c>
      <c r="AE1144" s="117" t="str">
        <f>+'Packing Material - Cost'!A1145</f>
        <v/>
      </c>
    </row>
    <row r="1145" spans="27:31">
      <c r="AA1145" s="117" t="str">
        <f>+'Ingredient List - Mother Tinctu'!D1146</f>
        <v>Skookum Chuk.</v>
      </c>
      <c r="AB1145" s="117">
        <f t="shared" si="20"/>
        <v>0</v>
      </c>
      <c r="AC1145" s="117" t="str">
        <f>IF(AB1145=1,COUNTIF($AB$3:AB1145,1),"")</f>
        <v/>
      </c>
      <c r="AD1145" s="117" t="str">
        <f>IFERROR(INDEX($AA$3:$AA$10000,MATCH(ROWS($AC$3:AC1145),$AC$3:$AC$10000,0)),"")</f>
        <v/>
      </c>
      <c r="AE1145" s="117" t="str">
        <f>+'Packing Material - Cost'!A1146</f>
        <v/>
      </c>
    </row>
    <row r="1146" spans="27:31">
      <c r="AA1146" s="117" t="str">
        <f>+'Ingredient List - Mother Tinctu'!D1147</f>
        <v>Strychninum</v>
      </c>
      <c r="AB1146" s="117">
        <f t="shared" si="20"/>
        <v>0</v>
      </c>
      <c r="AC1146" s="117" t="str">
        <f>IF(AB1146=1,COUNTIF($AB$3:AB1146,1),"")</f>
        <v/>
      </c>
      <c r="AD1146" s="117" t="str">
        <f>IFERROR(INDEX($AA$3:$AA$10000,MATCH(ROWS($AC$3:AC1146),$AC$3:$AC$10000,0)),"")</f>
        <v/>
      </c>
      <c r="AE1146" s="117" t="str">
        <f>+'Packing Material - Cost'!A1147</f>
        <v/>
      </c>
    </row>
    <row r="1147" spans="27:31">
      <c r="AA1147" s="117" t="str">
        <f>+'Ingredient List - Mother Tinctu'!D1148</f>
        <v>Strychnium Nit.</v>
      </c>
      <c r="AB1147" s="117">
        <f t="shared" si="20"/>
        <v>0</v>
      </c>
      <c r="AC1147" s="117" t="str">
        <f>IF(AB1147=1,COUNTIF($AB$3:AB1147,1),"")</f>
        <v/>
      </c>
      <c r="AD1147" s="117" t="str">
        <f>IFERROR(INDEX($AA$3:$AA$10000,MATCH(ROWS($AC$3:AC1147),$AC$3:$AC$10000,0)),"")</f>
        <v/>
      </c>
      <c r="AE1147" s="117" t="str">
        <f>+'Packing Material - Cost'!A1148</f>
        <v/>
      </c>
    </row>
    <row r="1148" spans="27:31">
      <c r="AA1148" s="117" t="str">
        <f>+'Ingredient List - Mother Tinctu'!D1149</f>
        <v>Strychninum Pho</v>
      </c>
      <c r="AB1148" s="117">
        <f t="shared" si="20"/>
        <v>0</v>
      </c>
      <c r="AC1148" s="117" t="str">
        <f>IF(AB1148=1,COUNTIF($AB$3:AB1148,1),"")</f>
        <v/>
      </c>
      <c r="AD1148" s="117" t="str">
        <f>IFERROR(INDEX($AA$3:$AA$10000,MATCH(ROWS($AC$3:AC1148),$AC$3:$AC$10000,0)),"")</f>
        <v/>
      </c>
      <c r="AE1148" s="117" t="str">
        <f>+'Packing Material - Cost'!A1149</f>
        <v/>
      </c>
    </row>
    <row r="1149" spans="27:31">
      <c r="AA1149" s="117" t="str">
        <f>+'Ingredient List - Mother Tinctu'!D1150</f>
        <v>Sulphur</v>
      </c>
      <c r="AB1149" s="117">
        <f t="shared" si="20"/>
        <v>0</v>
      </c>
      <c r="AC1149" s="117" t="str">
        <f>IF(AB1149=1,COUNTIF($AB$3:AB1149,1),"")</f>
        <v/>
      </c>
      <c r="AD1149" s="117" t="str">
        <f>IFERROR(INDEX($AA$3:$AA$10000,MATCH(ROWS($AC$3:AC1149),$AC$3:$AC$10000,0)),"")</f>
        <v/>
      </c>
      <c r="AE1149" s="117" t="str">
        <f>+'Packing Material - Cost'!A1150</f>
        <v/>
      </c>
    </row>
    <row r="1150" spans="27:31">
      <c r="AA1150" s="117" t="str">
        <f>+'Ingredient List - Mother Tinctu'!D1151</f>
        <v>Sulphur Iod.</v>
      </c>
      <c r="AB1150" s="117">
        <f t="shared" si="20"/>
        <v>0</v>
      </c>
      <c r="AC1150" s="117" t="str">
        <f>IF(AB1150=1,COUNTIF($AB$3:AB1150,1),"")</f>
        <v/>
      </c>
      <c r="AD1150" s="117" t="str">
        <f>IFERROR(INDEX($AA$3:$AA$10000,MATCH(ROWS($AC$3:AC1150),$AC$3:$AC$10000,0)),"")</f>
        <v/>
      </c>
      <c r="AE1150" s="117" t="str">
        <f>+'Packing Material - Cost'!A1151</f>
        <v/>
      </c>
    </row>
    <row r="1151" spans="27:31">
      <c r="AA1151" s="117" t="str">
        <f>+'Ingredient List - Mother Tinctu'!D1152</f>
        <v>Thyroidinum</v>
      </c>
      <c r="AB1151" s="117">
        <f t="shared" si="20"/>
        <v>0</v>
      </c>
      <c r="AC1151" s="117" t="str">
        <f>IF(AB1151=1,COUNTIF($AB$3:AB1151,1),"")</f>
        <v/>
      </c>
      <c r="AD1151" s="117" t="str">
        <f>IFERROR(INDEX($AA$3:$AA$10000,MATCH(ROWS($AC$3:AC1151),$AC$3:$AC$10000,0)),"")</f>
        <v/>
      </c>
      <c r="AE1151" s="117" t="str">
        <f>+'Packing Material - Cost'!A1152</f>
        <v/>
      </c>
    </row>
    <row r="1152" spans="27:31">
      <c r="AA1152" s="117" t="str">
        <f>+'Ingredient List - Mother Tinctu'!D1153</f>
        <v>Uranium Nit.</v>
      </c>
      <c r="AB1152" s="117">
        <f t="shared" si="20"/>
        <v>0</v>
      </c>
      <c r="AC1152" s="117" t="str">
        <f>IF(AB1152=1,COUNTIF($AB$3:AB1152,1),"")</f>
        <v/>
      </c>
      <c r="AD1152" s="117" t="str">
        <f>IFERROR(INDEX($AA$3:$AA$10000,MATCH(ROWS($AC$3:AC1152),$AC$3:$AC$10000,0)),"")</f>
        <v/>
      </c>
      <c r="AE1152" s="117" t="str">
        <f>+'Packing Material - Cost'!A1153</f>
        <v/>
      </c>
    </row>
    <row r="1153" spans="27:31">
      <c r="AA1153" s="117" t="str">
        <f>+'Ingredient List - Mother Tinctu'!D1154</f>
        <v>Urea</v>
      </c>
      <c r="AB1153" s="117">
        <f t="shared" si="20"/>
        <v>0</v>
      </c>
      <c r="AC1153" s="117" t="str">
        <f>IF(AB1153=1,COUNTIF($AB$3:AB1153,1),"")</f>
        <v/>
      </c>
      <c r="AD1153" s="117" t="str">
        <f>IFERROR(INDEX($AA$3:$AA$10000,MATCH(ROWS($AC$3:AC1153),$AC$3:$AC$10000,0)),"")</f>
        <v/>
      </c>
      <c r="AE1153" s="117" t="str">
        <f>+'Packing Material - Cost'!A1154</f>
        <v/>
      </c>
    </row>
    <row r="1154" spans="27:31">
      <c r="AA1154" s="117" t="str">
        <f>+'Ingredient List - Mother Tinctu'!D1155</f>
        <v>Calcarea Fluor</v>
      </c>
      <c r="AB1154" s="117">
        <f t="shared" si="20"/>
        <v>0</v>
      </c>
      <c r="AC1154" s="117" t="str">
        <f>IF(AB1154=1,COUNTIF($AB$3:AB1154,1),"")</f>
        <v/>
      </c>
      <c r="AD1154" s="117" t="str">
        <f>IFERROR(INDEX($AA$3:$AA$10000,MATCH(ROWS($AC$3:AC1154),$AC$3:$AC$10000,0)),"")</f>
        <v/>
      </c>
      <c r="AE1154" s="117" t="str">
        <f>+'Packing Material - Cost'!A1155</f>
        <v/>
      </c>
    </row>
    <row r="1155" spans="27:31">
      <c r="AA1155" s="117" t="str">
        <f>+'Ingredient List - Mother Tinctu'!D1156</f>
        <v>Calcarea Phos</v>
      </c>
      <c r="AB1155" s="117">
        <f t="shared" si="20"/>
        <v>0</v>
      </c>
      <c r="AC1155" s="117" t="str">
        <f>IF(AB1155=1,COUNTIF($AB$3:AB1155,1),"")</f>
        <v/>
      </c>
      <c r="AD1155" s="117" t="str">
        <f>IFERROR(INDEX($AA$3:$AA$10000,MATCH(ROWS($AC$3:AC1155),$AC$3:$AC$10000,0)),"")</f>
        <v/>
      </c>
      <c r="AE1155" s="117" t="str">
        <f>+'Packing Material - Cost'!A1156</f>
        <v/>
      </c>
    </row>
    <row r="1156" spans="27:31">
      <c r="AA1156" s="117" t="str">
        <f>+'Ingredient List - Mother Tinctu'!D1157</f>
        <v>Calcarea Sulph</v>
      </c>
      <c r="AB1156" s="117">
        <f t="shared" ref="AB1156:AB1219" si="21">--ISNUMBER(IFERROR(SEARCH($D$3,AA1156,1),""))</f>
        <v>0</v>
      </c>
      <c r="AC1156" s="117" t="str">
        <f>IF(AB1156=1,COUNTIF($AB$3:AB1156,1),"")</f>
        <v/>
      </c>
      <c r="AD1156" s="117" t="str">
        <f>IFERROR(INDEX($AA$3:$AA$10000,MATCH(ROWS($AC$3:AC1156),$AC$3:$AC$10000,0)),"")</f>
        <v/>
      </c>
      <c r="AE1156" s="117" t="str">
        <f>+'Packing Material - Cost'!A1157</f>
        <v/>
      </c>
    </row>
    <row r="1157" spans="27:31">
      <c r="AA1157" s="117" t="str">
        <f>+'Ingredient List - Mother Tinctu'!D1158</f>
        <v>Ferrum Phos</v>
      </c>
      <c r="AB1157" s="117">
        <f t="shared" si="21"/>
        <v>0</v>
      </c>
      <c r="AC1157" s="117" t="str">
        <f>IF(AB1157=1,COUNTIF($AB$3:AB1157,1),"")</f>
        <v/>
      </c>
      <c r="AD1157" s="117" t="str">
        <f>IFERROR(INDEX($AA$3:$AA$10000,MATCH(ROWS($AC$3:AC1157),$AC$3:$AC$10000,0)),"")</f>
        <v/>
      </c>
      <c r="AE1157" s="117" t="str">
        <f>+'Packing Material - Cost'!A1158</f>
        <v/>
      </c>
    </row>
    <row r="1158" spans="27:31">
      <c r="AA1158" s="117" t="str">
        <f>+'Ingredient List - Mother Tinctu'!D1159</f>
        <v>Kali Mur</v>
      </c>
      <c r="AB1158" s="117">
        <f t="shared" si="21"/>
        <v>0</v>
      </c>
      <c r="AC1158" s="117" t="str">
        <f>IF(AB1158=1,COUNTIF($AB$3:AB1158,1),"")</f>
        <v/>
      </c>
      <c r="AD1158" s="117" t="str">
        <f>IFERROR(INDEX($AA$3:$AA$10000,MATCH(ROWS($AC$3:AC1158),$AC$3:$AC$10000,0)),"")</f>
        <v/>
      </c>
      <c r="AE1158" s="117" t="str">
        <f>+'Packing Material - Cost'!A1159</f>
        <v/>
      </c>
    </row>
    <row r="1159" spans="27:31">
      <c r="AA1159" s="117" t="str">
        <f>+'Ingredient List - Mother Tinctu'!D1160</f>
        <v>Kali Phos.</v>
      </c>
      <c r="AB1159" s="117">
        <f t="shared" si="21"/>
        <v>0</v>
      </c>
      <c r="AC1159" s="117" t="str">
        <f>IF(AB1159=1,COUNTIF($AB$3:AB1159,1),"")</f>
        <v/>
      </c>
      <c r="AD1159" s="117" t="str">
        <f>IFERROR(INDEX($AA$3:$AA$10000,MATCH(ROWS($AC$3:AC1159),$AC$3:$AC$10000,0)),"")</f>
        <v/>
      </c>
      <c r="AE1159" s="117" t="str">
        <f>+'Packing Material - Cost'!A1160</f>
        <v/>
      </c>
    </row>
    <row r="1160" spans="27:31">
      <c r="AA1160" s="117" t="str">
        <f>+'Ingredient List - Mother Tinctu'!D1161</f>
        <v>Kali Sulph</v>
      </c>
      <c r="AB1160" s="117">
        <f t="shared" si="21"/>
        <v>0</v>
      </c>
      <c r="AC1160" s="117" t="str">
        <f>IF(AB1160=1,COUNTIF($AB$3:AB1160,1),"")</f>
        <v/>
      </c>
      <c r="AD1160" s="117" t="str">
        <f>IFERROR(INDEX($AA$3:$AA$10000,MATCH(ROWS($AC$3:AC1160),$AC$3:$AC$10000,0)),"")</f>
        <v/>
      </c>
      <c r="AE1160" s="117" t="str">
        <f>+'Packing Material - Cost'!A1161</f>
        <v/>
      </c>
    </row>
    <row r="1161" spans="27:31">
      <c r="AA1161" s="117" t="str">
        <f>+'Ingredient List - Mother Tinctu'!D1162</f>
        <v>Nat. Phos</v>
      </c>
      <c r="AB1161" s="117">
        <f t="shared" si="21"/>
        <v>0</v>
      </c>
      <c r="AC1161" s="117" t="str">
        <f>IF(AB1161=1,COUNTIF($AB$3:AB1161,1),"")</f>
        <v/>
      </c>
      <c r="AD1161" s="117" t="str">
        <f>IFERROR(INDEX($AA$3:$AA$10000,MATCH(ROWS($AC$3:AC1161),$AC$3:$AC$10000,0)),"")</f>
        <v/>
      </c>
      <c r="AE1161" s="117" t="str">
        <f>+'Packing Material - Cost'!A1162</f>
        <v/>
      </c>
    </row>
    <row r="1162" spans="27:31">
      <c r="AA1162" s="117" t="str">
        <f>+'Ingredient List - Mother Tinctu'!D1163</f>
        <v>Nat. Sulph</v>
      </c>
      <c r="AB1162" s="117">
        <f t="shared" si="21"/>
        <v>0</v>
      </c>
      <c r="AC1162" s="117" t="str">
        <f>IF(AB1162=1,COUNTIF($AB$3:AB1162,1),"")</f>
        <v/>
      </c>
      <c r="AD1162" s="117" t="str">
        <f>IFERROR(INDEX($AA$3:$AA$10000,MATCH(ROWS($AC$3:AC1162),$AC$3:$AC$10000,0)),"")</f>
        <v/>
      </c>
      <c r="AE1162" s="117" t="str">
        <f>+'Packing Material - Cost'!A1163</f>
        <v/>
      </c>
    </row>
    <row r="1163" spans="27:31">
      <c r="AA1163" s="117" t="str">
        <f>+'Ingredient List - Mother Tinctu'!D1164</f>
        <v>Nat. Mur</v>
      </c>
      <c r="AB1163" s="117">
        <f t="shared" si="21"/>
        <v>0</v>
      </c>
      <c r="AC1163" s="117" t="str">
        <f>IF(AB1163=1,COUNTIF($AB$3:AB1163,1),"")</f>
        <v/>
      </c>
      <c r="AD1163" s="117" t="str">
        <f>IFERROR(INDEX($AA$3:$AA$10000,MATCH(ROWS($AC$3:AC1163),$AC$3:$AC$10000,0)),"")</f>
        <v/>
      </c>
      <c r="AE1163" s="117" t="str">
        <f>+'Packing Material - Cost'!A1164</f>
        <v/>
      </c>
    </row>
    <row r="1164" spans="27:31">
      <c r="AA1164" s="117" t="str">
        <f>+'Ingredient List - Mother Tinctu'!D1165</f>
        <v>Mag. Phos</v>
      </c>
      <c r="AB1164" s="117">
        <f t="shared" si="21"/>
        <v>0</v>
      </c>
      <c r="AC1164" s="117" t="str">
        <f>IF(AB1164=1,COUNTIF($AB$3:AB1164,1),"")</f>
        <v/>
      </c>
      <c r="AD1164" s="117" t="str">
        <f>IFERROR(INDEX($AA$3:$AA$10000,MATCH(ROWS($AC$3:AC1164),$AC$3:$AC$10000,0)),"")</f>
        <v/>
      </c>
      <c r="AE1164" s="117" t="str">
        <f>+'Packing Material - Cost'!A1165</f>
        <v/>
      </c>
    </row>
    <row r="1165" spans="27:31">
      <c r="AA1165" s="117" t="str">
        <f>+'Ingredient List - Mother Tinctu'!D1166</f>
        <v>Silicea</v>
      </c>
      <c r="AB1165" s="117">
        <f t="shared" si="21"/>
        <v>0</v>
      </c>
      <c r="AC1165" s="117" t="str">
        <f>IF(AB1165=1,COUNTIF($AB$3:AB1165,1),"")</f>
        <v/>
      </c>
      <c r="AD1165" s="117" t="str">
        <f>IFERROR(INDEX($AA$3:$AA$10000,MATCH(ROWS($AC$3:AC1165),$AC$3:$AC$10000,0)),"")</f>
        <v/>
      </c>
      <c r="AE1165" s="117" t="str">
        <f>+'Packing Material - Cost'!A1166</f>
        <v/>
      </c>
    </row>
    <row r="1166" spans="27:31">
      <c r="AA1166" s="117" t="str">
        <f>+'Ingredient List - Mother Tinctu'!D1167</f>
        <v>Globule</v>
      </c>
      <c r="AB1166" s="117">
        <f t="shared" si="21"/>
        <v>0</v>
      </c>
      <c r="AC1166" s="117" t="str">
        <f>IF(AB1166=1,COUNTIF($AB$3:AB1166,1),"")</f>
        <v/>
      </c>
      <c r="AD1166" s="117" t="str">
        <f>IFERROR(INDEX($AA$3:$AA$10000,MATCH(ROWS($AC$3:AC1166),$AC$3:$AC$10000,0)),"")</f>
        <v/>
      </c>
      <c r="AE1166" s="117" t="str">
        <f>+'Packing Material - Cost'!A1167</f>
        <v/>
      </c>
    </row>
    <row r="1167" spans="27:31">
      <c r="AA1167" s="117">
        <f>+'Ingredient List - Mother Tinctu'!D1168</f>
        <v>0</v>
      </c>
      <c r="AB1167" s="117">
        <f t="shared" si="21"/>
        <v>0</v>
      </c>
      <c r="AC1167" s="117" t="str">
        <f>IF(AB1167=1,COUNTIF($AB$3:AB1167,1),"")</f>
        <v/>
      </c>
      <c r="AD1167" s="117" t="str">
        <f>IFERROR(INDEX($AA$3:$AA$10000,MATCH(ROWS($AC$3:AC1167),$AC$3:$AC$10000,0)),"")</f>
        <v/>
      </c>
      <c r="AE1167" s="117" t="str">
        <f>+'Packing Material - Cost'!A1168</f>
        <v/>
      </c>
    </row>
    <row r="1168" spans="27:31">
      <c r="AA1168" s="117">
        <f>+'Ingredient List - Mother Tinctu'!D1169</f>
        <v>0</v>
      </c>
      <c r="AB1168" s="117">
        <f t="shared" si="21"/>
        <v>0</v>
      </c>
      <c r="AC1168" s="117" t="str">
        <f>IF(AB1168=1,COUNTIF($AB$3:AB1168,1),"")</f>
        <v/>
      </c>
      <c r="AD1168" s="117" t="str">
        <f>IFERROR(INDEX($AA$3:$AA$10000,MATCH(ROWS($AC$3:AC1168),$AC$3:$AC$10000,0)),"")</f>
        <v/>
      </c>
      <c r="AE1168" s="117" t="str">
        <f>+'Packing Material - Cost'!A1169</f>
        <v/>
      </c>
    </row>
    <row r="1169" spans="27:31">
      <c r="AA1169" s="117">
        <f>+'Ingredient List - Mother Tinctu'!D1170</f>
        <v>0</v>
      </c>
      <c r="AB1169" s="117">
        <f t="shared" si="21"/>
        <v>0</v>
      </c>
      <c r="AC1169" s="117" t="str">
        <f>IF(AB1169=1,COUNTIF($AB$3:AB1169,1),"")</f>
        <v/>
      </c>
      <c r="AD1169" s="117" t="str">
        <f>IFERROR(INDEX($AA$3:$AA$10000,MATCH(ROWS($AC$3:AC1169),$AC$3:$AC$10000,0)),"")</f>
        <v/>
      </c>
      <c r="AE1169" s="117" t="str">
        <f>+'Packing Material - Cost'!A1170</f>
        <v/>
      </c>
    </row>
    <row r="1170" spans="27:31">
      <c r="AA1170" s="117">
        <f>+'Ingredient List - Mother Tinctu'!D1171</f>
        <v>0</v>
      </c>
      <c r="AB1170" s="117">
        <f t="shared" si="21"/>
        <v>0</v>
      </c>
      <c r="AC1170" s="117" t="str">
        <f>IF(AB1170=1,COUNTIF($AB$3:AB1170,1),"")</f>
        <v/>
      </c>
      <c r="AD1170" s="117" t="str">
        <f>IFERROR(INDEX($AA$3:$AA$10000,MATCH(ROWS($AC$3:AC1170),$AC$3:$AC$10000,0)),"")</f>
        <v/>
      </c>
      <c r="AE1170" s="117" t="str">
        <f>+'Packing Material - Cost'!A1171</f>
        <v/>
      </c>
    </row>
    <row r="1171" spans="27:31">
      <c r="AA1171" s="117">
        <f>+'Ingredient List - Mother Tinctu'!D1172</f>
        <v>0</v>
      </c>
      <c r="AB1171" s="117">
        <f t="shared" si="21"/>
        <v>0</v>
      </c>
      <c r="AC1171" s="117" t="str">
        <f>IF(AB1171=1,COUNTIF($AB$3:AB1171,1),"")</f>
        <v/>
      </c>
      <c r="AD1171" s="117" t="str">
        <f>IFERROR(INDEX($AA$3:$AA$10000,MATCH(ROWS($AC$3:AC1171),$AC$3:$AC$10000,0)),"")</f>
        <v/>
      </c>
      <c r="AE1171" s="117" t="str">
        <f>+'Packing Material - Cost'!A1172</f>
        <v/>
      </c>
    </row>
    <row r="1172" spans="27:31">
      <c r="AA1172" s="117">
        <f>+'Ingredient List - Mother Tinctu'!D1173</f>
        <v>0</v>
      </c>
      <c r="AB1172" s="117">
        <f t="shared" si="21"/>
        <v>0</v>
      </c>
      <c r="AC1172" s="117" t="str">
        <f>IF(AB1172=1,COUNTIF($AB$3:AB1172,1),"")</f>
        <v/>
      </c>
      <c r="AD1172" s="117" t="str">
        <f>IFERROR(INDEX($AA$3:$AA$10000,MATCH(ROWS($AC$3:AC1172),$AC$3:$AC$10000,0)),"")</f>
        <v/>
      </c>
      <c r="AE1172" s="117" t="str">
        <f>+'Packing Material - Cost'!A1173</f>
        <v/>
      </c>
    </row>
    <row r="1173" spans="27:31">
      <c r="AA1173" s="117">
        <f>+'Ingredient List - Mother Tinctu'!D1174</f>
        <v>0</v>
      </c>
      <c r="AB1173" s="117">
        <f t="shared" si="21"/>
        <v>0</v>
      </c>
      <c r="AC1173" s="117" t="str">
        <f>IF(AB1173=1,COUNTIF($AB$3:AB1173,1),"")</f>
        <v/>
      </c>
      <c r="AD1173" s="117" t="str">
        <f>IFERROR(INDEX($AA$3:$AA$10000,MATCH(ROWS($AC$3:AC1173),$AC$3:$AC$10000,0)),"")</f>
        <v/>
      </c>
      <c r="AE1173" s="117" t="str">
        <f>+'Packing Material - Cost'!A1174</f>
        <v/>
      </c>
    </row>
    <row r="1174" spans="27:31">
      <c r="AA1174" s="117">
        <f>+'Ingredient List - Mother Tinctu'!D1175</f>
        <v>0</v>
      </c>
      <c r="AB1174" s="117">
        <f t="shared" si="21"/>
        <v>0</v>
      </c>
      <c r="AC1174" s="117" t="str">
        <f>IF(AB1174=1,COUNTIF($AB$3:AB1174,1),"")</f>
        <v/>
      </c>
      <c r="AD1174" s="117" t="str">
        <f>IFERROR(INDEX($AA$3:$AA$10000,MATCH(ROWS($AC$3:AC1174),$AC$3:$AC$10000,0)),"")</f>
        <v/>
      </c>
      <c r="AE1174" s="117" t="str">
        <f>+'Packing Material - Cost'!A1175</f>
        <v/>
      </c>
    </row>
    <row r="1175" spans="27:31">
      <c r="AA1175" s="117">
        <f>+'Ingredient List - Mother Tinctu'!D1176</f>
        <v>0</v>
      </c>
      <c r="AB1175" s="117">
        <f t="shared" si="21"/>
        <v>0</v>
      </c>
      <c r="AC1175" s="117" t="str">
        <f>IF(AB1175=1,COUNTIF($AB$3:AB1175,1),"")</f>
        <v/>
      </c>
      <c r="AD1175" s="117" t="str">
        <f>IFERROR(INDEX($AA$3:$AA$10000,MATCH(ROWS($AC$3:AC1175),$AC$3:$AC$10000,0)),"")</f>
        <v/>
      </c>
      <c r="AE1175" s="117" t="str">
        <f>+'Packing Material - Cost'!A1176</f>
        <v/>
      </c>
    </row>
    <row r="1176" spans="27:31">
      <c r="AA1176" s="117">
        <f>+'Ingredient List - Mother Tinctu'!D1177</f>
        <v>0</v>
      </c>
      <c r="AB1176" s="117">
        <f t="shared" si="21"/>
        <v>0</v>
      </c>
      <c r="AC1176" s="117" t="str">
        <f>IF(AB1176=1,COUNTIF($AB$3:AB1176,1),"")</f>
        <v/>
      </c>
      <c r="AD1176" s="117" t="str">
        <f>IFERROR(INDEX($AA$3:$AA$10000,MATCH(ROWS($AC$3:AC1176),$AC$3:$AC$10000,0)),"")</f>
        <v/>
      </c>
      <c r="AE1176" s="117" t="str">
        <f>+'Packing Material - Cost'!A1177</f>
        <v/>
      </c>
    </row>
    <row r="1177" spans="27:31">
      <c r="AA1177" s="117">
        <f>+'Ingredient List - Mother Tinctu'!D1178</f>
        <v>0</v>
      </c>
      <c r="AB1177" s="117">
        <f t="shared" si="21"/>
        <v>0</v>
      </c>
      <c r="AC1177" s="117" t="str">
        <f>IF(AB1177=1,COUNTIF($AB$3:AB1177,1),"")</f>
        <v/>
      </c>
      <c r="AD1177" s="117" t="str">
        <f>IFERROR(INDEX($AA$3:$AA$10000,MATCH(ROWS($AC$3:AC1177),$AC$3:$AC$10000,0)),"")</f>
        <v/>
      </c>
      <c r="AE1177" s="117" t="str">
        <f>+'Packing Material - Cost'!A1178</f>
        <v/>
      </c>
    </row>
    <row r="1178" spans="27:31">
      <c r="AA1178" s="117">
        <f>+'Ingredient List - Mother Tinctu'!D1179</f>
        <v>0</v>
      </c>
      <c r="AB1178" s="117">
        <f t="shared" si="21"/>
        <v>0</v>
      </c>
      <c r="AC1178" s="117" t="str">
        <f>IF(AB1178=1,COUNTIF($AB$3:AB1178,1),"")</f>
        <v/>
      </c>
      <c r="AD1178" s="117" t="str">
        <f>IFERROR(INDEX($AA$3:$AA$10000,MATCH(ROWS($AC$3:AC1178),$AC$3:$AC$10000,0)),"")</f>
        <v/>
      </c>
      <c r="AE1178" s="117" t="str">
        <f>+'Packing Material - Cost'!A1179</f>
        <v/>
      </c>
    </row>
    <row r="1179" spans="27:31">
      <c r="AA1179" s="117">
        <f>+'Ingredient List - Mother Tinctu'!D1180</f>
        <v>0</v>
      </c>
      <c r="AB1179" s="117">
        <f t="shared" si="21"/>
        <v>0</v>
      </c>
      <c r="AC1179" s="117" t="str">
        <f>IF(AB1179=1,COUNTIF($AB$3:AB1179,1),"")</f>
        <v/>
      </c>
      <c r="AD1179" s="117" t="str">
        <f>IFERROR(INDEX($AA$3:$AA$10000,MATCH(ROWS($AC$3:AC1179),$AC$3:$AC$10000,0)),"")</f>
        <v/>
      </c>
      <c r="AE1179" s="117" t="str">
        <f>+'Packing Material - Cost'!A1180</f>
        <v/>
      </c>
    </row>
    <row r="1180" spans="27:31">
      <c r="AA1180" s="117">
        <f>+'Ingredient List - Mother Tinctu'!D1181</f>
        <v>0</v>
      </c>
      <c r="AB1180" s="117">
        <f t="shared" si="21"/>
        <v>0</v>
      </c>
      <c r="AC1180" s="117" t="str">
        <f>IF(AB1180=1,COUNTIF($AB$3:AB1180,1),"")</f>
        <v/>
      </c>
      <c r="AD1180" s="117" t="str">
        <f>IFERROR(INDEX($AA$3:$AA$10000,MATCH(ROWS($AC$3:AC1180),$AC$3:$AC$10000,0)),"")</f>
        <v/>
      </c>
      <c r="AE1180" s="117" t="str">
        <f>+'Packing Material - Cost'!A1181</f>
        <v/>
      </c>
    </row>
    <row r="1181" spans="27:31">
      <c r="AA1181" s="117">
        <f>+'Ingredient List - Mother Tinctu'!D1182</f>
        <v>0</v>
      </c>
      <c r="AB1181" s="117">
        <f t="shared" si="21"/>
        <v>0</v>
      </c>
      <c r="AC1181" s="117" t="str">
        <f>IF(AB1181=1,COUNTIF($AB$3:AB1181,1),"")</f>
        <v/>
      </c>
      <c r="AD1181" s="117" t="str">
        <f>IFERROR(INDEX($AA$3:$AA$10000,MATCH(ROWS($AC$3:AC1181),$AC$3:$AC$10000,0)),"")</f>
        <v/>
      </c>
      <c r="AE1181" s="117" t="str">
        <f>+'Packing Material - Cost'!A1182</f>
        <v/>
      </c>
    </row>
    <row r="1182" spans="27:31">
      <c r="AA1182" s="117">
        <f>+'Ingredient List - Mother Tinctu'!D1183</f>
        <v>0</v>
      </c>
      <c r="AB1182" s="117">
        <f t="shared" si="21"/>
        <v>0</v>
      </c>
      <c r="AC1182" s="117" t="str">
        <f>IF(AB1182=1,COUNTIF($AB$3:AB1182,1),"")</f>
        <v/>
      </c>
      <c r="AD1182" s="117" t="str">
        <f>IFERROR(INDEX($AA$3:$AA$10000,MATCH(ROWS($AC$3:AC1182),$AC$3:$AC$10000,0)),"")</f>
        <v/>
      </c>
      <c r="AE1182" s="117" t="str">
        <f>+'Packing Material - Cost'!A1183</f>
        <v/>
      </c>
    </row>
    <row r="1183" spans="27:31">
      <c r="AA1183" s="117">
        <f>+'Ingredient List - Mother Tinctu'!D1184</f>
        <v>0</v>
      </c>
      <c r="AB1183" s="117">
        <f t="shared" si="21"/>
        <v>0</v>
      </c>
      <c r="AC1183" s="117" t="str">
        <f>IF(AB1183=1,COUNTIF($AB$3:AB1183,1),"")</f>
        <v/>
      </c>
      <c r="AD1183" s="117" t="str">
        <f>IFERROR(INDEX($AA$3:$AA$10000,MATCH(ROWS($AC$3:AC1183),$AC$3:$AC$10000,0)),"")</f>
        <v/>
      </c>
      <c r="AE1183" s="117" t="str">
        <f>+'Packing Material - Cost'!A1184</f>
        <v/>
      </c>
    </row>
    <row r="1184" spans="27:31">
      <c r="AA1184" s="117">
        <f>+'Ingredient List - Mother Tinctu'!D1185</f>
        <v>0</v>
      </c>
      <c r="AB1184" s="117">
        <f t="shared" si="21"/>
        <v>0</v>
      </c>
      <c r="AC1184" s="117" t="str">
        <f>IF(AB1184=1,COUNTIF($AB$3:AB1184,1),"")</f>
        <v/>
      </c>
      <c r="AD1184" s="117" t="str">
        <f>IFERROR(INDEX($AA$3:$AA$10000,MATCH(ROWS($AC$3:AC1184),$AC$3:$AC$10000,0)),"")</f>
        <v/>
      </c>
      <c r="AE1184" s="117" t="str">
        <f>+'Packing Material - Cost'!A1185</f>
        <v/>
      </c>
    </row>
    <row r="1185" spans="27:31">
      <c r="AA1185" s="117">
        <f>+'Ingredient List - Mother Tinctu'!D1186</f>
        <v>0</v>
      </c>
      <c r="AB1185" s="117">
        <f t="shared" si="21"/>
        <v>0</v>
      </c>
      <c r="AC1185" s="117" t="str">
        <f>IF(AB1185=1,COUNTIF($AB$3:AB1185,1),"")</f>
        <v/>
      </c>
      <c r="AD1185" s="117" t="str">
        <f>IFERROR(INDEX($AA$3:$AA$10000,MATCH(ROWS($AC$3:AC1185),$AC$3:$AC$10000,0)),"")</f>
        <v/>
      </c>
      <c r="AE1185" s="117" t="str">
        <f>+'Packing Material - Cost'!A1186</f>
        <v/>
      </c>
    </row>
    <row r="1186" spans="27:31">
      <c r="AA1186" s="117">
        <f>+'Ingredient List - Mother Tinctu'!D1187</f>
        <v>0</v>
      </c>
      <c r="AB1186" s="117">
        <f t="shared" si="21"/>
        <v>0</v>
      </c>
      <c r="AC1186" s="117" t="str">
        <f>IF(AB1186=1,COUNTIF($AB$3:AB1186,1),"")</f>
        <v/>
      </c>
      <c r="AD1186" s="117" t="str">
        <f>IFERROR(INDEX($AA$3:$AA$10000,MATCH(ROWS($AC$3:AC1186),$AC$3:$AC$10000,0)),"")</f>
        <v/>
      </c>
      <c r="AE1186" s="117" t="str">
        <f>+'Packing Material - Cost'!A1187</f>
        <v/>
      </c>
    </row>
    <row r="1187" spans="27:31">
      <c r="AA1187" s="117">
        <f>+'Ingredient List - Mother Tinctu'!D1188</f>
        <v>0</v>
      </c>
      <c r="AB1187" s="117">
        <f t="shared" si="21"/>
        <v>0</v>
      </c>
      <c r="AC1187" s="117" t="str">
        <f>IF(AB1187=1,COUNTIF($AB$3:AB1187,1),"")</f>
        <v/>
      </c>
      <c r="AD1187" s="117" t="str">
        <f>IFERROR(INDEX($AA$3:$AA$10000,MATCH(ROWS($AC$3:AC1187),$AC$3:$AC$10000,0)),"")</f>
        <v/>
      </c>
      <c r="AE1187" s="117" t="str">
        <f>+'Packing Material - Cost'!A1188</f>
        <v/>
      </c>
    </row>
    <row r="1188" spans="27:31">
      <c r="AA1188" s="117">
        <f>+'Ingredient List - Mother Tinctu'!D1189</f>
        <v>0</v>
      </c>
      <c r="AB1188" s="117">
        <f t="shared" si="21"/>
        <v>0</v>
      </c>
      <c r="AC1188" s="117" t="str">
        <f>IF(AB1188=1,COUNTIF($AB$3:AB1188,1),"")</f>
        <v/>
      </c>
      <c r="AD1188" s="117" t="str">
        <f>IFERROR(INDEX($AA$3:$AA$10000,MATCH(ROWS($AC$3:AC1188),$AC$3:$AC$10000,0)),"")</f>
        <v/>
      </c>
      <c r="AE1188" s="117" t="str">
        <f>+'Packing Material - Cost'!A1189</f>
        <v/>
      </c>
    </row>
    <row r="1189" spans="27:31">
      <c r="AA1189" s="117">
        <f>+'Ingredient List - Mother Tinctu'!D1190</f>
        <v>0</v>
      </c>
      <c r="AB1189" s="117">
        <f t="shared" si="21"/>
        <v>0</v>
      </c>
      <c r="AC1189" s="117" t="str">
        <f>IF(AB1189=1,COUNTIF($AB$3:AB1189,1),"")</f>
        <v/>
      </c>
      <c r="AD1189" s="117" t="str">
        <f>IFERROR(INDEX($AA$3:$AA$10000,MATCH(ROWS($AC$3:AC1189),$AC$3:$AC$10000,0)),"")</f>
        <v/>
      </c>
      <c r="AE1189" s="117" t="str">
        <f>+'Packing Material - Cost'!A1190</f>
        <v/>
      </c>
    </row>
    <row r="1190" spans="27:31">
      <c r="AA1190" s="117">
        <f>+'Ingredient List - Mother Tinctu'!D1191</f>
        <v>0</v>
      </c>
      <c r="AB1190" s="117">
        <f t="shared" si="21"/>
        <v>0</v>
      </c>
      <c r="AC1190" s="117" t="str">
        <f>IF(AB1190=1,COUNTIF($AB$3:AB1190,1),"")</f>
        <v/>
      </c>
      <c r="AD1190" s="117" t="str">
        <f>IFERROR(INDEX($AA$3:$AA$10000,MATCH(ROWS($AC$3:AC1190),$AC$3:$AC$10000,0)),"")</f>
        <v/>
      </c>
      <c r="AE1190" s="117" t="str">
        <f>+'Packing Material - Cost'!A1191</f>
        <v/>
      </c>
    </row>
    <row r="1191" spans="27:31">
      <c r="AA1191" s="117">
        <f>+'Ingredient List - Mother Tinctu'!D1192</f>
        <v>0</v>
      </c>
      <c r="AB1191" s="117">
        <f t="shared" si="21"/>
        <v>0</v>
      </c>
      <c r="AC1191" s="117" t="str">
        <f>IF(AB1191=1,COUNTIF($AB$3:AB1191,1),"")</f>
        <v/>
      </c>
      <c r="AD1191" s="117" t="str">
        <f>IFERROR(INDEX($AA$3:$AA$10000,MATCH(ROWS($AC$3:AC1191),$AC$3:$AC$10000,0)),"")</f>
        <v/>
      </c>
      <c r="AE1191" s="117" t="str">
        <f>+'Packing Material - Cost'!A1192</f>
        <v/>
      </c>
    </row>
    <row r="1192" spans="27:31">
      <c r="AA1192" s="117">
        <f>+'Ingredient List - Mother Tinctu'!D1193</f>
        <v>0</v>
      </c>
      <c r="AB1192" s="117">
        <f t="shared" si="21"/>
        <v>0</v>
      </c>
      <c r="AC1192" s="117" t="str">
        <f>IF(AB1192=1,COUNTIF($AB$3:AB1192,1),"")</f>
        <v/>
      </c>
      <c r="AD1192" s="117" t="str">
        <f>IFERROR(INDEX($AA$3:$AA$10000,MATCH(ROWS($AC$3:AC1192),$AC$3:$AC$10000,0)),"")</f>
        <v/>
      </c>
      <c r="AE1192" s="117" t="str">
        <f>+'Packing Material - Cost'!A1193</f>
        <v/>
      </c>
    </row>
    <row r="1193" spans="27:31">
      <c r="AA1193" s="117">
        <f>+'Ingredient List - Mother Tinctu'!D1194</f>
        <v>0</v>
      </c>
      <c r="AB1193" s="117">
        <f t="shared" si="21"/>
        <v>0</v>
      </c>
      <c r="AC1193" s="117" t="str">
        <f>IF(AB1193=1,COUNTIF($AB$3:AB1193,1),"")</f>
        <v/>
      </c>
      <c r="AD1193" s="117" t="str">
        <f>IFERROR(INDEX($AA$3:$AA$10000,MATCH(ROWS($AC$3:AC1193),$AC$3:$AC$10000,0)),"")</f>
        <v/>
      </c>
      <c r="AE1193" s="117" t="str">
        <f>+'Packing Material - Cost'!A1194</f>
        <v/>
      </c>
    </row>
    <row r="1194" spans="27:31">
      <c r="AA1194" s="117">
        <f>+'Ingredient List - Mother Tinctu'!D1195</f>
        <v>0</v>
      </c>
      <c r="AB1194" s="117">
        <f t="shared" si="21"/>
        <v>0</v>
      </c>
      <c r="AC1194" s="117" t="str">
        <f>IF(AB1194=1,COUNTIF($AB$3:AB1194,1),"")</f>
        <v/>
      </c>
      <c r="AD1194" s="117" t="str">
        <f>IFERROR(INDEX($AA$3:$AA$10000,MATCH(ROWS($AC$3:AC1194),$AC$3:$AC$10000,0)),"")</f>
        <v/>
      </c>
      <c r="AE1194" s="117" t="str">
        <f>+'Packing Material - Cost'!A1195</f>
        <v/>
      </c>
    </row>
    <row r="1195" spans="27:31">
      <c r="AA1195" s="117">
        <f>+'Ingredient List - Mother Tinctu'!D1196</f>
        <v>0</v>
      </c>
      <c r="AB1195" s="117">
        <f t="shared" si="21"/>
        <v>0</v>
      </c>
      <c r="AC1195" s="117" t="str">
        <f>IF(AB1195=1,COUNTIF($AB$3:AB1195,1),"")</f>
        <v/>
      </c>
      <c r="AD1195" s="117" t="str">
        <f>IFERROR(INDEX($AA$3:$AA$10000,MATCH(ROWS($AC$3:AC1195),$AC$3:$AC$10000,0)),"")</f>
        <v/>
      </c>
      <c r="AE1195" s="117" t="str">
        <f>+'Packing Material - Cost'!A1196</f>
        <v/>
      </c>
    </row>
    <row r="1196" spans="27:31">
      <c r="AA1196" s="117">
        <f>+'Ingredient List - Mother Tinctu'!D1197</f>
        <v>0</v>
      </c>
      <c r="AB1196" s="117">
        <f t="shared" si="21"/>
        <v>0</v>
      </c>
      <c r="AC1196" s="117" t="str">
        <f>IF(AB1196=1,COUNTIF($AB$3:AB1196,1),"")</f>
        <v/>
      </c>
      <c r="AD1196" s="117" t="str">
        <f>IFERROR(INDEX($AA$3:$AA$10000,MATCH(ROWS($AC$3:AC1196),$AC$3:$AC$10000,0)),"")</f>
        <v/>
      </c>
      <c r="AE1196" s="117" t="str">
        <f>+'Packing Material - Cost'!A1197</f>
        <v/>
      </c>
    </row>
    <row r="1197" spans="27:31">
      <c r="AA1197" s="117">
        <f>+'Ingredient List - Mother Tinctu'!D1198</f>
        <v>0</v>
      </c>
      <c r="AB1197" s="117">
        <f t="shared" si="21"/>
        <v>0</v>
      </c>
      <c r="AC1197" s="117" t="str">
        <f>IF(AB1197=1,COUNTIF($AB$3:AB1197,1),"")</f>
        <v/>
      </c>
      <c r="AD1197" s="117" t="str">
        <f>IFERROR(INDEX($AA$3:$AA$10000,MATCH(ROWS($AC$3:AC1197),$AC$3:$AC$10000,0)),"")</f>
        <v/>
      </c>
      <c r="AE1197" s="117" t="str">
        <f>+'Packing Material - Cost'!A1198</f>
        <v/>
      </c>
    </row>
    <row r="1198" spans="27:31">
      <c r="AA1198" s="117">
        <f>+'Ingredient List - Mother Tinctu'!D1199</f>
        <v>0</v>
      </c>
      <c r="AB1198" s="117">
        <f t="shared" si="21"/>
        <v>0</v>
      </c>
      <c r="AC1198" s="117" t="str">
        <f>IF(AB1198=1,COUNTIF($AB$3:AB1198,1),"")</f>
        <v/>
      </c>
      <c r="AD1198" s="117" t="str">
        <f>IFERROR(INDEX($AA$3:$AA$10000,MATCH(ROWS($AC$3:AC1198),$AC$3:$AC$10000,0)),"")</f>
        <v/>
      </c>
      <c r="AE1198" s="117" t="str">
        <f>+'Packing Material - Cost'!A1199</f>
        <v/>
      </c>
    </row>
    <row r="1199" spans="27:31">
      <c r="AA1199" s="117">
        <f>+'Ingredient List - Mother Tinctu'!D1200</f>
        <v>0</v>
      </c>
      <c r="AB1199" s="117">
        <f t="shared" si="21"/>
        <v>0</v>
      </c>
      <c r="AC1199" s="117" t="str">
        <f>IF(AB1199=1,COUNTIF($AB$3:AB1199,1),"")</f>
        <v/>
      </c>
      <c r="AD1199" s="117" t="str">
        <f>IFERROR(INDEX($AA$3:$AA$10000,MATCH(ROWS($AC$3:AC1199),$AC$3:$AC$10000,0)),"")</f>
        <v/>
      </c>
      <c r="AE1199" s="117" t="str">
        <f>+'Packing Material - Cost'!A1200</f>
        <v/>
      </c>
    </row>
    <row r="1200" spans="27:31">
      <c r="AA1200" s="117">
        <f>+'Ingredient List - Mother Tinctu'!D1201</f>
        <v>0</v>
      </c>
      <c r="AB1200" s="117">
        <f t="shared" si="21"/>
        <v>0</v>
      </c>
      <c r="AC1200" s="117" t="str">
        <f>IF(AB1200=1,COUNTIF($AB$3:AB1200,1),"")</f>
        <v/>
      </c>
      <c r="AD1200" s="117" t="str">
        <f>IFERROR(INDEX($AA$3:$AA$10000,MATCH(ROWS($AC$3:AC1200),$AC$3:$AC$10000,0)),"")</f>
        <v/>
      </c>
      <c r="AE1200" s="117" t="str">
        <f>+'Packing Material - Cost'!A1201</f>
        <v/>
      </c>
    </row>
    <row r="1201" spans="27:31">
      <c r="AA1201" s="117">
        <f>+'Ingredient List - Mother Tinctu'!D1202</f>
        <v>0</v>
      </c>
      <c r="AB1201" s="117">
        <f t="shared" si="21"/>
        <v>0</v>
      </c>
      <c r="AC1201" s="117" t="str">
        <f>IF(AB1201=1,COUNTIF($AB$3:AB1201,1),"")</f>
        <v/>
      </c>
      <c r="AD1201" s="117" t="str">
        <f>IFERROR(INDEX($AA$3:$AA$10000,MATCH(ROWS($AC$3:AC1201),$AC$3:$AC$10000,0)),"")</f>
        <v/>
      </c>
      <c r="AE1201" s="117" t="str">
        <f>+'Packing Material - Cost'!A1202</f>
        <v/>
      </c>
    </row>
    <row r="1202" spans="27:31">
      <c r="AA1202" s="117">
        <f>+'Ingredient List - Mother Tinctu'!D1203</f>
        <v>0</v>
      </c>
      <c r="AB1202" s="117">
        <f t="shared" si="21"/>
        <v>0</v>
      </c>
      <c r="AC1202" s="117" t="str">
        <f>IF(AB1202=1,COUNTIF($AB$3:AB1202,1),"")</f>
        <v/>
      </c>
      <c r="AD1202" s="117" t="str">
        <f>IFERROR(INDEX($AA$3:$AA$10000,MATCH(ROWS($AC$3:AC1202),$AC$3:$AC$10000,0)),"")</f>
        <v/>
      </c>
      <c r="AE1202" s="117" t="str">
        <f>+'Packing Material - Cost'!A1203</f>
        <v/>
      </c>
    </row>
    <row r="1203" spans="27:31">
      <c r="AA1203" s="117">
        <f>+'Ingredient List - Mother Tinctu'!D1204</f>
        <v>0</v>
      </c>
      <c r="AB1203" s="117">
        <f t="shared" si="21"/>
        <v>0</v>
      </c>
      <c r="AC1203" s="117" t="str">
        <f>IF(AB1203=1,COUNTIF($AB$3:AB1203,1),"")</f>
        <v/>
      </c>
      <c r="AD1203" s="117" t="str">
        <f>IFERROR(INDEX($AA$3:$AA$10000,MATCH(ROWS($AC$3:AC1203),$AC$3:$AC$10000,0)),"")</f>
        <v/>
      </c>
      <c r="AE1203" s="117" t="str">
        <f>+'Packing Material - Cost'!A1204</f>
        <v/>
      </c>
    </row>
    <row r="1204" spans="27:31">
      <c r="AA1204" s="117">
        <f>+'Ingredient List - Mother Tinctu'!D1205</f>
        <v>0</v>
      </c>
      <c r="AB1204" s="117">
        <f t="shared" si="21"/>
        <v>0</v>
      </c>
      <c r="AC1204" s="117" t="str">
        <f>IF(AB1204=1,COUNTIF($AB$3:AB1204,1),"")</f>
        <v/>
      </c>
      <c r="AD1204" s="117" t="str">
        <f>IFERROR(INDEX($AA$3:$AA$10000,MATCH(ROWS($AC$3:AC1204),$AC$3:$AC$10000,0)),"")</f>
        <v/>
      </c>
      <c r="AE1204" s="117" t="str">
        <f>+'Packing Material - Cost'!A1205</f>
        <v/>
      </c>
    </row>
    <row r="1205" spans="27:31">
      <c r="AA1205" s="117">
        <f>+'Ingredient List - Mother Tinctu'!D1206</f>
        <v>0</v>
      </c>
      <c r="AB1205" s="117">
        <f t="shared" si="21"/>
        <v>0</v>
      </c>
      <c r="AC1205" s="117" t="str">
        <f>IF(AB1205=1,COUNTIF($AB$3:AB1205,1),"")</f>
        <v/>
      </c>
      <c r="AD1205" s="117" t="str">
        <f>IFERROR(INDEX($AA$3:$AA$10000,MATCH(ROWS($AC$3:AC1205),$AC$3:$AC$10000,0)),"")</f>
        <v/>
      </c>
      <c r="AE1205" s="117" t="str">
        <f>+'Packing Material - Cost'!A1206</f>
        <v/>
      </c>
    </row>
    <row r="1206" spans="27:31">
      <c r="AA1206" s="117">
        <f>+'Ingredient List - Mother Tinctu'!D1207</f>
        <v>0</v>
      </c>
      <c r="AB1206" s="117">
        <f t="shared" si="21"/>
        <v>0</v>
      </c>
      <c r="AC1206" s="117" t="str">
        <f>IF(AB1206=1,COUNTIF($AB$3:AB1206,1),"")</f>
        <v/>
      </c>
      <c r="AD1206" s="117" t="str">
        <f>IFERROR(INDEX($AA$3:$AA$10000,MATCH(ROWS($AC$3:AC1206),$AC$3:$AC$10000,0)),"")</f>
        <v/>
      </c>
      <c r="AE1206" s="117" t="str">
        <f>+'Packing Material - Cost'!A1207</f>
        <v/>
      </c>
    </row>
    <row r="1207" spans="27:31">
      <c r="AA1207" s="117">
        <f>+'Ingredient List - Mother Tinctu'!D1208</f>
        <v>0</v>
      </c>
      <c r="AB1207" s="117">
        <f t="shared" si="21"/>
        <v>0</v>
      </c>
      <c r="AC1207" s="117" t="str">
        <f>IF(AB1207=1,COUNTIF($AB$3:AB1207,1),"")</f>
        <v/>
      </c>
      <c r="AD1207" s="117" t="str">
        <f>IFERROR(INDEX($AA$3:$AA$10000,MATCH(ROWS($AC$3:AC1207),$AC$3:$AC$10000,0)),"")</f>
        <v/>
      </c>
      <c r="AE1207" s="117" t="str">
        <f>+'Packing Material - Cost'!A1208</f>
        <v/>
      </c>
    </row>
    <row r="1208" spans="27:31">
      <c r="AA1208" s="117">
        <f>+'Ingredient List - Mother Tinctu'!D1209</f>
        <v>0</v>
      </c>
      <c r="AB1208" s="117">
        <f t="shared" si="21"/>
        <v>0</v>
      </c>
      <c r="AC1208" s="117" t="str">
        <f>IF(AB1208=1,COUNTIF($AB$3:AB1208,1),"")</f>
        <v/>
      </c>
      <c r="AD1208" s="117" t="str">
        <f>IFERROR(INDEX($AA$3:$AA$10000,MATCH(ROWS($AC$3:AC1208),$AC$3:$AC$10000,0)),"")</f>
        <v/>
      </c>
      <c r="AE1208" s="117" t="str">
        <f>+'Packing Material - Cost'!A1209</f>
        <v/>
      </c>
    </row>
    <row r="1209" spans="27:31">
      <c r="AA1209" s="117">
        <f>+'Ingredient List - Mother Tinctu'!D1210</f>
        <v>0</v>
      </c>
      <c r="AB1209" s="117">
        <f t="shared" si="21"/>
        <v>0</v>
      </c>
      <c r="AC1209" s="117" t="str">
        <f>IF(AB1209=1,COUNTIF($AB$3:AB1209,1),"")</f>
        <v/>
      </c>
      <c r="AD1209" s="117" t="str">
        <f>IFERROR(INDEX($AA$3:$AA$10000,MATCH(ROWS($AC$3:AC1209),$AC$3:$AC$10000,0)),"")</f>
        <v/>
      </c>
      <c r="AE1209" s="117" t="str">
        <f>+'Packing Material - Cost'!A1210</f>
        <v/>
      </c>
    </row>
    <row r="1210" spans="27:31">
      <c r="AA1210" s="117">
        <f>+'Ingredient List - Mother Tinctu'!D1211</f>
        <v>0</v>
      </c>
      <c r="AB1210" s="117">
        <f t="shared" si="21"/>
        <v>0</v>
      </c>
      <c r="AC1210" s="117" t="str">
        <f>IF(AB1210=1,COUNTIF($AB$3:AB1210,1),"")</f>
        <v/>
      </c>
      <c r="AD1210" s="117" t="str">
        <f>IFERROR(INDEX($AA$3:$AA$10000,MATCH(ROWS($AC$3:AC1210),$AC$3:$AC$10000,0)),"")</f>
        <v/>
      </c>
      <c r="AE1210" s="117" t="str">
        <f>+'Packing Material - Cost'!A1211</f>
        <v/>
      </c>
    </row>
    <row r="1211" spans="27:31">
      <c r="AA1211" s="117">
        <f>+'Ingredient List - Mother Tinctu'!D1212</f>
        <v>0</v>
      </c>
      <c r="AB1211" s="117">
        <f t="shared" si="21"/>
        <v>0</v>
      </c>
      <c r="AC1211" s="117" t="str">
        <f>IF(AB1211=1,COUNTIF($AB$3:AB1211,1),"")</f>
        <v/>
      </c>
      <c r="AD1211" s="117" t="str">
        <f>IFERROR(INDEX($AA$3:$AA$10000,MATCH(ROWS($AC$3:AC1211),$AC$3:$AC$10000,0)),"")</f>
        <v/>
      </c>
      <c r="AE1211" s="117" t="str">
        <f>+'Packing Material - Cost'!A1212</f>
        <v/>
      </c>
    </row>
    <row r="1212" spans="27:31">
      <c r="AA1212" s="117">
        <f>+'Ingredient List - Mother Tinctu'!D1213</f>
        <v>0</v>
      </c>
      <c r="AB1212" s="117">
        <f t="shared" si="21"/>
        <v>0</v>
      </c>
      <c r="AC1212" s="117" t="str">
        <f>IF(AB1212=1,COUNTIF($AB$3:AB1212,1),"")</f>
        <v/>
      </c>
      <c r="AD1212" s="117" t="str">
        <f>IFERROR(INDEX($AA$3:$AA$10000,MATCH(ROWS($AC$3:AC1212),$AC$3:$AC$10000,0)),"")</f>
        <v/>
      </c>
      <c r="AE1212" s="117" t="str">
        <f>+'Packing Material - Cost'!A1213</f>
        <v/>
      </c>
    </row>
    <row r="1213" spans="27:31">
      <c r="AA1213" s="117">
        <f>+'Ingredient List - Mother Tinctu'!D1214</f>
        <v>0</v>
      </c>
      <c r="AB1213" s="117">
        <f t="shared" si="21"/>
        <v>0</v>
      </c>
      <c r="AC1213" s="117" t="str">
        <f>IF(AB1213=1,COUNTIF($AB$3:AB1213,1),"")</f>
        <v/>
      </c>
      <c r="AD1213" s="117" t="str">
        <f>IFERROR(INDEX($AA$3:$AA$10000,MATCH(ROWS($AC$3:AC1213),$AC$3:$AC$10000,0)),"")</f>
        <v/>
      </c>
      <c r="AE1213" s="117" t="str">
        <f>+'Packing Material - Cost'!A1214</f>
        <v/>
      </c>
    </row>
    <row r="1214" spans="27:31">
      <c r="AA1214" s="117">
        <f>+'Ingredient List - Mother Tinctu'!D1215</f>
        <v>0</v>
      </c>
      <c r="AB1214" s="117">
        <f t="shared" si="21"/>
        <v>0</v>
      </c>
      <c r="AC1214" s="117" t="str">
        <f>IF(AB1214=1,COUNTIF($AB$3:AB1214,1),"")</f>
        <v/>
      </c>
      <c r="AD1214" s="117" t="str">
        <f>IFERROR(INDEX($AA$3:$AA$10000,MATCH(ROWS($AC$3:AC1214),$AC$3:$AC$10000,0)),"")</f>
        <v/>
      </c>
      <c r="AE1214" s="117" t="str">
        <f>+'Packing Material - Cost'!A1215</f>
        <v/>
      </c>
    </row>
    <row r="1215" spans="27:31">
      <c r="AA1215" s="117">
        <f>+'Ingredient List - Mother Tinctu'!D1216</f>
        <v>0</v>
      </c>
      <c r="AB1215" s="117">
        <f t="shared" si="21"/>
        <v>0</v>
      </c>
      <c r="AC1215" s="117" t="str">
        <f>IF(AB1215=1,COUNTIF($AB$3:AB1215,1),"")</f>
        <v/>
      </c>
      <c r="AD1215" s="117" t="str">
        <f>IFERROR(INDEX($AA$3:$AA$10000,MATCH(ROWS($AC$3:AC1215),$AC$3:$AC$10000,0)),"")</f>
        <v/>
      </c>
      <c r="AE1215" s="117" t="str">
        <f>+'Packing Material - Cost'!A1216</f>
        <v/>
      </c>
    </row>
    <row r="1216" spans="27:31">
      <c r="AA1216" s="117">
        <f>+'Ingredient List - Mother Tinctu'!D1217</f>
        <v>0</v>
      </c>
      <c r="AB1216" s="117">
        <f t="shared" si="21"/>
        <v>0</v>
      </c>
      <c r="AC1216" s="117" t="str">
        <f>IF(AB1216=1,COUNTIF($AB$3:AB1216,1),"")</f>
        <v/>
      </c>
      <c r="AD1216" s="117" t="str">
        <f>IFERROR(INDEX($AA$3:$AA$10000,MATCH(ROWS($AC$3:AC1216),$AC$3:$AC$10000,0)),"")</f>
        <v/>
      </c>
      <c r="AE1216" s="117" t="str">
        <f>+'Packing Material - Cost'!A1217</f>
        <v/>
      </c>
    </row>
    <row r="1217" spans="27:31">
      <c r="AA1217" s="117">
        <f>+'Ingredient List - Mother Tinctu'!D1218</f>
        <v>0</v>
      </c>
      <c r="AB1217" s="117">
        <f t="shared" si="21"/>
        <v>0</v>
      </c>
      <c r="AC1217" s="117" t="str">
        <f>IF(AB1217=1,COUNTIF($AB$3:AB1217,1),"")</f>
        <v/>
      </c>
      <c r="AD1217" s="117" t="str">
        <f>IFERROR(INDEX($AA$3:$AA$10000,MATCH(ROWS($AC$3:AC1217),$AC$3:$AC$10000,0)),"")</f>
        <v/>
      </c>
      <c r="AE1217" s="117" t="str">
        <f>+'Packing Material - Cost'!A1218</f>
        <v/>
      </c>
    </row>
    <row r="1218" spans="27:31">
      <c r="AA1218" s="117">
        <f>+'Ingredient List - Mother Tinctu'!D1219</f>
        <v>0</v>
      </c>
      <c r="AB1218" s="117">
        <f t="shared" si="21"/>
        <v>0</v>
      </c>
      <c r="AC1218" s="117" t="str">
        <f>IF(AB1218=1,COUNTIF($AB$3:AB1218,1),"")</f>
        <v/>
      </c>
      <c r="AD1218" s="117" t="str">
        <f>IFERROR(INDEX($AA$3:$AA$10000,MATCH(ROWS($AC$3:AC1218),$AC$3:$AC$10000,0)),"")</f>
        <v/>
      </c>
      <c r="AE1218" s="117" t="str">
        <f>+'Packing Material - Cost'!A1219</f>
        <v/>
      </c>
    </row>
    <row r="1219" spans="27:31">
      <c r="AA1219" s="117">
        <f>+'Ingredient List - Mother Tinctu'!D1220</f>
        <v>0</v>
      </c>
      <c r="AB1219" s="117">
        <f t="shared" si="21"/>
        <v>0</v>
      </c>
      <c r="AC1219" s="117" t="str">
        <f>IF(AB1219=1,COUNTIF($AB$3:AB1219,1),"")</f>
        <v/>
      </c>
      <c r="AD1219" s="117" t="str">
        <f>IFERROR(INDEX($AA$3:$AA$10000,MATCH(ROWS($AC$3:AC1219),$AC$3:$AC$10000,0)),"")</f>
        <v/>
      </c>
      <c r="AE1219" s="117" t="str">
        <f>+'Packing Material - Cost'!A1220</f>
        <v/>
      </c>
    </row>
    <row r="1220" spans="27:31">
      <c r="AA1220" s="117">
        <f>+'Ingredient List - Mother Tinctu'!D1221</f>
        <v>0</v>
      </c>
      <c r="AB1220" s="117">
        <f t="shared" ref="AB1220:AB1283" si="22">--ISNUMBER(IFERROR(SEARCH($D$3,AA1220,1),""))</f>
        <v>0</v>
      </c>
      <c r="AC1220" s="117" t="str">
        <f>IF(AB1220=1,COUNTIF($AB$3:AB1220,1),"")</f>
        <v/>
      </c>
      <c r="AD1220" s="117" t="str">
        <f>IFERROR(INDEX($AA$3:$AA$10000,MATCH(ROWS($AC$3:AC1220),$AC$3:$AC$10000,0)),"")</f>
        <v/>
      </c>
      <c r="AE1220" s="117" t="str">
        <f>+'Packing Material - Cost'!A1221</f>
        <v/>
      </c>
    </row>
    <row r="1221" spans="27:31">
      <c r="AA1221" s="117">
        <f>+'Ingredient List - Mother Tinctu'!D1222</f>
        <v>0</v>
      </c>
      <c r="AB1221" s="117">
        <f t="shared" si="22"/>
        <v>0</v>
      </c>
      <c r="AC1221" s="117" t="str">
        <f>IF(AB1221=1,COUNTIF($AB$3:AB1221,1),"")</f>
        <v/>
      </c>
      <c r="AD1221" s="117" t="str">
        <f>IFERROR(INDEX($AA$3:$AA$10000,MATCH(ROWS($AC$3:AC1221),$AC$3:$AC$10000,0)),"")</f>
        <v/>
      </c>
      <c r="AE1221" s="117" t="str">
        <f>+'Packing Material - Cost'!A1222</f>
        <v/>
      </c>
    </row>
    <row r="1222" spans="27:31">
      <c r="AA1222" s="117">
        <f>+'Ingredient List - Mother Tinctu'!D1223</f>
        <v>0</v>
      </c>
      <c r="AB1222" s="117">
        <f t="shared" si="22"/>
        <v>0</v>
      </c>
      <c r="AC1222" s="117" t="str">
        <f>IF(AB1222=1,COUNTIF($AB$3:AB1222,1),"")</f>
        <v/>
      </c>
      <c r="AD1222" s="117" t="str">
        <f>IFERROR(INDEX($AA$3:$AA$10000,MATCH(ROWS($AC$3:AC1222),$AC$3:$AC$10000,0)),"")</f>
        <v/>
      </c>
      <c r="AE1222" s="117" t="str">
        <f>+'Packing Material - Cost'!A1223</f>
        <v/>
      </c>
    </row>
    <row r="1223" spans="27:31">
      <c r="AA1223" s="117">
        <f>+'Ingredient List - Mother Tinctu'!D1224</f>
        <v>0</v>
      </c>
      <c r="AB1223" s="117">
        <f t="shared" si="22"/>
        <v>0</v>
      </c>
      <c r="AC1223" s="117" t="str">
        <f>IF(AB1223=1,COUNTIF($AB$3:AB1223,1),"")</f>
        <v/>
      </c>
      <c r="AD1223" s="117" t="str">
        <f>IFERROR(INDEX($AA$3:$AA$10000,MATCH(ROWS($AC$3:AC1223),$AC$3:$AC$10000,0)),"")</f>
        <v/>
      </c>
      <c r="AE1223" s="117" t="str">
        <f>+'Packing Material - Cost'!A1224</f>
        <v/>
      </c>
    </row>
    <row r="1224" spans="27:31">
      <c r="AA1224" s="117">
        <f>+'Ingredient List - Mother Tinctu'!D1225</f>
        <v>0</v>
      </c>
      <c r="AB1224" s="117">
        <f t="shared" si="22"/>
        <v>0</v>
      </c>
      <c r="AC1224" s="117" t="str">
        <f>IF(AB1224=1,COUNTIF($AB$3:AB1224,1),"")</f>
        <v/>
      </c>
      <c r="AD1224" s="117" t="str">
        <f>IFERROR(INDEX($AA$3:$AA$10000,MATCH(ROWS($AC$3:AC1224),$AC$3:$AC$10000,0)),"")</f>
        <v/>
      </c>
      <c r="AE1224" s="117" t="str">
        <f>+'Packing Material - Cost'!A1225</f>
        <v/>
      </c>
    </row>
    <row r="1225" spans="27:31">
      <c r="AA1225" s="117">
        <f>+'Ingredient List - Mother Tinctu'!D1226</f>
        <v>0</v>
      </c>
      <c r="AB1225" s="117">
        <f t="shared" si="22"/>
        <v>0</v>
      </c>
      <c r="AC1225" s="117" t="str">
        <f>IF(AB1225=1,COUNTIF($AB$3:AB1225,1),"")</f>
        <v/>
      </c>
      <c r="AD1225" s="117" t="str">
        <f>IFERROR(INDEX($AA$3:$AA$10000,MATCH(ROWS($AC$3:AC1225),$AC$3:$AC$10000,0)),"")</f>
        <v/>
      </c>
      <c r="AE1225" s="117" t="str">
        <f>+'Packing Material - Cost'!A1226</f>
        <v/>
      </c>
    </row>
    <row r="1226" spans="27:31">
      <c r="AA1226" s="117">
        <f>+'Ingredient List - Mother Tinctu'!D1227</f>
        <v>0</v>
      </c>
      <c r="AB1226" s="117">
        <f t="shared" si="22"/>
        <v>0</v>
      </c>
      <c r="AC1226" s="117" t="str">
        <f>IF(AB1226=1,COUNTIF($AB$3:AB1226,1),"")</f>
        <v/>
      </c>
      <c r="AD1226" s="117" t="str">
        <f>IFERROR(INDEX($AA$3:$AA$10000,MATCH(ROWS($AC$3:AC1226),$AC$3:$AC$10000,0)),"")</f>
        <v/>
      </c>
      <c r="AE1226" s="117" t="str">
        <f>+'Packing Material - Cost'!A1227</f>
        <v/>
      </c>
    </row>
    <row r="1227" spans="27:31">
      <c r="AA1227" s="117">
        <f>+'Ingredient List - Mother Tinctu'!D1228</f>
        <v>0</v>
      </c>
      <c r="AB1227" s="117">
        <f t="shared" si="22"/>
        <v>0</v>
      </c>
      <c r="AC1227" s="117" t="str">
        <f>IF(AB1227=1,COUNTIF($AB$3:AB1227,1),"")</f>
        <v/>
      </c>
      <c r="AD1227" s="117" t="str">
        <f>IFERROR(INDEX($AA$3:$AA$10000,MATCH(ROWS($AC$3:AC1227),$AC$3:$AC$10000,0)),"")</f>
        <v/>
      </c>
      <c r="AE1227" s="117" t="str">
        <f>+'Packing Material - Cost'!A1228</f>
        <v/>
      </c>
    </row>
    <row r="1228" spans="27:31">
      <c r="AA1228" s="117">
        <f>+'Ingredient List - Mother Tinctu'!D1229</f>
        <v>0</v>
      </c>
      <c r="AB1228" s="117">
        <f t="shared" si="22"/>
        <v>0</v>
      </c>
      <c r="AC1228" s="117" t="str">
        <f>IF(AB1228=1,COUNTIF($AB$3:AB1228,1),"")</f>
        <v/>
      </c>
      <c r="AD1228" s="117" t="str">
        <f>IFERROR(INDEX($AA$3:$AA$10000,MATCH(ROWS($AC$3:AC1228),$AC$3:$AC$10000,0)),"")</f>
        <v/>
      </c>
      <c r="AE1228" s="117" t="str">
        <f>+'Packing Material - Cost'!A1229</f>
        <v/>
      </c>
    </row>
    <row r="1229" spans="27:31">
      <c r="AA1229" s="117">
        <f>+'Ingredient List - Mother Tinctu'!D1230</f>
        <v>0</v>
      </c>
      <c r="AB1229" s="117">
        <f t="shared" si="22"/>
        <v>0</v>
      </c>
      <c r="AC1229" s="117" t="str">
        <f>IF(AB1229=1,COUNTIF($AB$3:AB1229,1),"")</f>
        <v/>
      </c>
      <c r="AD1229" s="117" t="str">
        <f>IFERROR(INDEX($AA$3:$AA$10000,MATCH(ROWS($AC$3:AC1229),$AC$3:$AC$10000,0)),"")</f>
        <v/>
      </c>
      <c r="AE1229" s="117" t="str">
        <f>+'Packing Material - Cost'!A1230</f>
        <v/>
      </c>
    </row>
    <row r="1230" spans="27:31">
      <c r="AA1230" s="117">
        <f>+'Ingredient List - Mother Tinctu'!D1231</f>
        <v>0</v>
      </c>
      <c r="AB1230" s="117">
        <f t="shared" si="22"/>
        <v>0</v>
      </c>
      <c r="AC1230" s="117" t="str">
        <f>IF(AB1230=1,COUNTIF($AB$3:AB1230,1),"")</f>
        <v/>
      </c>
      <c r="AD1230" s="117" t="str">
        <f>IFERROR(INDEX($AA$3:$AA$10000,MATCH(ROWS($AC$3:AC1230),$AC$3:$AC$10000,0)),"")</f>
        <v/>
      </c>
      <c r="AE1230" s="117" t="str">
        <f>+'Packing Material - Cost'!A1231</f>
        <v/>
      </c>
    </row>
    <row r="1231" spans="27:31">
      <c r="AA1231" s="117">
        <f>+'Ingredient List - Mother Tinctu'!D1232</f>
        <v>0</v>
      </c>
      <c r="AB1231" s="117">
        <f t="shared" si="22"/>
        <v>0</v>
      </c>
      <c r="AC1231" s="117" t="str">
        <f>IF(AB1231=1,COUNTIF($AB$3:AB1231,1),"")</f>
        <v/>
      </c>
      <c r="AD1231" s="117" t="str">
        <f>IFERROR(INDEX($AA$3:$AA$10000,MATCH(ROWS($AC$3:AC1231),$AC$3:$AC$10000,0)),"")</f>
        <v/>
      </c>
      <c r="AE1231" s="117" t="str">
        <f>+'Packing Material - Cost'!A1232</f>
        <v/>
      </c>
    </row>
    <row r="1232" spans="27:31">
      <c r="AA1232" s="117">
        <f>+'Ingredient List - Mother Tinctu'!D1233</f>
        <v>0</v>
      </c>
      <c r="AB1232" s="117">
        <f t="shared" si="22"/>
        <v>0</v>
      </c>
      <c r="AC1232" s="117" t="str">
        <f>IF(AB1232=1,COUNTIF($AB$3:AB1232,1),"")</f>
        <v/>
      </c>
      <c r="AD1232" s="117" t="str">
        <f>IFERROR(INDEX($AA$3:$AA$10000,MATCH(ROWS($AC$3:AC1232),$AC$3:$AC$10000,0)),"")</f>
        <v/>
      </c>
      <c r="AE1232" s="117" t="str">
        <f>+'Packing Material - Cost'!A1233</f>
        <v/>
      </c>
    </row>
    <row r="1233" spans="27:31">
      <c r="AA1233" s="117">
        <f>+'Ingredient List - Mother Tinctu'!D1234</f>
        <v>0</v>
      </c>
      <c r="AB1233" s="117">
        <f t="shared" si="22"/>
        <v>0</v>
      </c>
      <c r="AC1233" s="117" t="str">
        <f>IF(AB1233=1,COUNTIF($AB$3:AB1233,1),"")</f>
        <v/>
      </c>
      <c r="AD1233" s="117" t="str">
        <f>IFERROR(INDEX($AA$3:$AA$10000,MATCH(ROWS($AC$3:AC1233),$AC$3:$AC$10000,0)),"")</f>
        <v/>
      </c>
      <c r="AE1233" s="117" t="str">
        <f>+'Packing Material - Cost'!A1234</f>
        <v/>
      </c>
    </row>
    <row r="1234" spans="27:31">
      <c r="AA1234" s="117">
        <f>+'Ingredient List - Mother Tinctu'!D1235</f>
        <v>0</v>
      </c>
      <c r="AB1234" s="117">
        <f t="shared" si="22"/>
        <v>0</v>
      </c>
      <c r="AC1234" s="117" t="str">
        <f>IF(AB1234=1,COUNTIF($AB$3:AB1234,1),"")</f>
        <v/>
      </c>
      <c r="AD1234" s="117" t="str">
        <f>IFERROR(INDEX($AA$3:$AA$10000,MATCH(ROWS($AC$3:AC1234),$AC$3:$AC$10000,0)),"")</f>
        <v/>
      </c>
      <c r="AE1234" s="117" t="str">
        <f>+'Packing Material - Cost'!A1235</f>
        <v/>
      </c>
    </row>
    <row r="1235" spans="27:31">
      <c r="AA1235" s="117">
        <f>+'Ingredient List - Mother Tinctu'!D1236</f>
        <v>0</v>
      </c>
      <c r="AB1235" s="117">
        <f t="shared" si="22"/>
        <v>0</v>
      </c>
      <c r="AC1235" s="117" t="str">
        <f>IF(AB1235=1,COUNTIF($AB$3:AB1235,1),"")</f>
        <v/>
      </c>
      <c r="AD1235" s="117" t="str">
        <f>IFERROR(INDEX($AA$3:$AA$10000,MATCH(ROWS($AC$3:AC1235),$AC$3:$AC$10000,0)),"")</f>
        <v/>
      </c>
      <c r="AE1235" s="117" t="str">
        <f>+'Packing Material - Cost'!A1236</f>
        <v/>
      </c>
    </row>
    <row r="1236" spans="27:31">
      <c r="AA1236" s="117">
        <f>+'Ingredient List - Mother Tinctu'!D1237</f>
        <v>0</v>
      </c>
      <c r="AB1236" s="117">
        <f t="shared" si="22"/>
        <v>0</v>
      </c>
      <c r="AC1236" s="117" t="str">
        <f>IF(AB1236=1,COUNTIF($AB$3:AB1236,1),"")</f>
        <v/>
      </c>
      <c r="AD1236" s="117" t="str">
        <f>IFERROR(INDEX($AA$3:$AA$10000,MATCH(ROWS($AC$3:AC1236),$AC$3:$AC$10000,0)),"")</f>
        <v/>
      </c>
      <c r="AE1236" s="117" t="str">
        <f>+'Packing Material - Cost'!A1237</f>
        <v/>
      </c>
    </row>
    <row r="1237" spans="27:31">
      <c r="AA1237" s="117">
        <f>+'Ingredient List - Mother Tinctu'!D1238</f>
        <v>0</v>
      </c>
      <c r="AB1237" s="117">
        <f t="shared" si="22"/>
        <v>0</v>
      </c>
      <c r="AC1237" s="117" t="str">
        <f>IF(AB1237=1,COUNTIF($AB$3:AB1237,1),"")</f>
        <v/>
      </c>
      <c r="AD1237" s="117" t="str">
        <f>IFERROR(INDEX($AA$3:$AA$10000,MATCH(ROWS($AC$3:AC1237),$AC$3:$AC$10000,0)),"")</f>
        <v/>
      </c>
      <c r="AE1237" s="117" t="str">
        <f>+'Packing Material - Cost'!A1238</f>
        <v/>
      </c>
    </row>
    <row r="1238" spans="27:31">
      <c r="AA1238" s="117">
        <f>+'Ingredient List - Mother Tinctu'!D1239</f>
        <v>0</v>
      </c>
      <c r="AB1238" s="117">
        <f t="shared" si="22"/>
        <v>0</v>
      </c>
      <c r="AC1238" s="117" t="str">
        <f>IF(AB1238=1,COUNTIF($AB$3:AB1238,1),"")</f>
        <v/>
      </c>
      <c r="AD1238" s="117" t="str">
        <f>IFERROR(INDEX($AA$3:$AA$10000,MATCH(ROWS($AC$3:AC1238),$AC$3:$AC$10000,0)),"")</f>
        <v/>
      </c>
      <c r="AE1238" s="117" t="str">
        <f>+'Packing Material - Cost'!A1239</f>
        <v/>
      </c>
    </row>
    <row r="1239" spans="27:31">
      <c r="AA1239" s="117">
        <f>+'Ingredient List - Mother Tinctu'!D1240</f>
        <v>0</v>
      </c>
      <c r="AB1239" s="117">
        <f t="shared" si="22"/>
        <v>0</v>
      </c>
      <c r="AC1239" s="117" t="str">
        <f>IF(AB1239=1,COUNTIF($AB$3:AB1239,1),"")</f>
        <v/>
      </c>
      <c r="AD1239" s="117" t="str">
        <f>IFERROR(INDEX($AA$3:$AA$10000,MATCH(ROWS($AC$3:AC1239),$AC$3:$AC$10000,0)),"")</f>
        <v/>
      </c>
      <c r="AE1239" s="117" t="str">
        <f>+'Packing Material - Cost'!A1240</f>
        <v/>
      </c>
    </row>
    <row r="1240" spans="27:31">
      <c r="AA1240" s="117">
        <f>+'Ingredient List - Mother Tinctu'!D1241</f>
        <v>0</v>
      </c>
      <c r="AB1240" s="117">
        <f t="shared" si="22"/>
        <v>0</v>
      </c>
      <c r="AC1240" s="117" t="str">
        <f>IF(AB1240=1,COUNTIF($AB$3:AB1240,1),"")</f>
        <v/>
      </c>
      <c r="AD1240" s="117" t="str">
        <f>IFERROR(INDEX($AA$3:$AA$10000,MATCH(ROWS($AC$3:AC1240),$AC$3:$AC$10000,0)),"")</f>
        <v/>
      </c>
      <c r="AE1240" s="117" t="str">
        <f>+'Packing Material - Cost'!A1241</f>
        <v/>
      </c>
    </row>
    <row r="1241" spans="27:31">
      <c r="AA1241" s="117">
        <f>+'Ingredient List - Mother Tinctu'!D1242</f>
        <v>0</v>
      </c>
      <c r="AB1241" s="117">
        <f t="shared" si="22"/>
        <v>0</v>
      </c>
      <c r="AC1241" s="117" t="str">
        <f>IF(AB1241=1,COUNTIF($AB$3:AB1241,1),"")</f>
        <v/>
      </c>
      <c r="AD1241" s="117" t="str">
        <f>IFERROR(INDEX($AA$3:$AA$10000,MATCH(ROWS($AC$3:AC1241),$AC$3:$AC$10000,0)),"")</f>
        <v/>
      </c>
      <c r="AE1241" s="117" t="str">
        <f>+'Packing Material - Cost'!A1242</f>
        <v/>
      </c>
    </row>
    <row r="1242" spans="27:31">
      <c r="AA1242" s="117">
        <f>+'Ingredient List - Mother Tinctu'!D1243</f>
        <v>0</v>
      </c>
      <c r="AB1242" s="117">
        <f t="shared" si="22"/>
        <v>0</v>
      </c>
      <c r="AC1242" s="117" t="str">
        <f>IF(AB1242=1,COUNTIF($AB$3:AB1242,1),"")</f>
        <v/>
      </c>
      <c r="AD1242" s="117" t="str">
        <f>IFERROR(INDEX($AA$3:$AA$10000,MATCH(ROWS($AC$3:AC1242),$AC$3:$AC$10000,0)),"")</f>
        <v/>
      </c>
      <c r="AE1242" s="117" t="str">
        <f>+'Packing Material - Cost'!A1243</f>
        <v/>
      </c>
    </row>
    <row r="1243" spans="27:31">
      <c r="AA1243" s="117">
        <f>+'Ingredient List - Mother Tinctu'!D1244</f>
        <v>0</v>
      </c>
      <c r="AB1243" s="117">
        <f t="shared" si="22"/>
        <v>0</v>
      </c>
      <c r="AC1243" s="117" t="str">
        <f>IF(AB1243=1,COUNTIF($AB$3:AB1243,1),"")</f>
        <v/>
      </c>
      <c r="AD1243" s="117" t="str">
        <f>IFERROR(INDEX($AA$3:$AA$10000,MATCH(ROWS($AC$3:AC1243),$AC$3:$AC$10000,0)),"")</f>
        <v/>
      </c>
      <c r="AE1243" s="117" t="str">
        <f>+'Packing Material - Cost'!A1244</f>
        <v/>
      </c>
    </row>
    <row r="1244" spans="27:31">
      <c r="AA1244" s="117">
        <f>+'Ingredient List - Mother Tinctu'!D1245</f>
        <v>0</v>
      </c>
      <c r="AB1244" s="117">
        <f t="shared" si="22"/>
        <v>0</v>
      </c>
      <c r="AC1244" s="117" t="str">
        <f>IF(AB1244=1,COUNTIF($AB$3:AB1244,1),"")</f>
        <v/>
      </c>
      <c r="AD1244" s="117" t="str">
        <f>IFERROR(INDEX($AA$3:$AA$10000,MATCH(ROWS($AC$3:AC1244),$AC$3:$AC$10000,0)),"")</f>
        <v/>
      </c>
      <c r="AE1244" s="117" t="str">
        <f>+'Packing Material - Cost'!A1245</f>
        <v/>
      </c>
    </row>
    <row r="1245" spans="27:31">
      <c r="AA1245" s="117">
        <f>+'Ingredient List - Mother Tinctu'!D1246</f>
        <v>0</v>
      </c>
      <c r="AB1245" s="117">
        <f t="shared" si="22"/>
        <v>0</v>
      </c>
      <c r="AC1245" s="117" t="str">
        <f>IF(AB1245=1,COUNTIF($AB$3:AB1245,1),"")</f>
        <v/>
      </c>
      <c r="AD1245" s="117" t="str">
        <f>IFERROR(INDEX($AA$3:$AA$10000,MATCH(ROWS($AC$3:AC1245),$AC$3:$AC$10000,0)),"")</f>
        <v/>
      </c>
      <c r="AE1245" s="117" t="str">
        <f>+'Packing Material - Cost'!A1246</f>
        <v/>
      </c>
    </row>
    <row r="1246" spans="27:31">
      <c r="AA1246" s="117">
        <f>+'Ingredient List - Mother Tinctu'!D1247</f>
        <v>0</v>
      </c>
      <c r="AB1246" s="117">
        <f t="shared" si="22"/>
        <v>0</v>
      </c>
      <c r="AC1246" s="117" t="str">
        <f>IF(AB1246=1,COUNTIF($AB$3:AB1246,1),"")</f>
        <v/>
      </c>
      <c r="AD1246" s="117" t="str">
        <f>IFERROR(INDEX($AA$3:$AA$10000,MATCH(ROWS($AC$3:AC1246),$AC$3:$AC$10000,0)),"")</f>
        <v/>
      </c>
      <c r="AE1246" s="117" t="str">
        <f>+'Packing Material - Cost'!A1247</f>
        <v/>
      </c>
    </row>
    <row r="1247" spans="27:31">
      <c r="AA1247" s="117">
        <f>+'Ingredient List - Mother Tinctu'!D1248</f>
        <v>0</v>
      </c>
      <c r="AB1247" s="117">
        <f t="shared" si="22"/>
        <v>0</v>
      </c>
      <c r="AC1247" s="117" t="str">
        <f>IF(AB1247=1,COUNTIF($AB$3:AB1247,1),"")</f>
        <v/>
      </c>
      <c r="AD1247" s="117" t="str">
        <f>IFERROR(INDEX($AA$3:$AA$10000,MATCH(ROWS($AC$3:AC1247),$AC$3:$AC$10000,0)),"")</f>
        <v/>
      </c>
      <c r="AE1247" s="117" t="str">
        <f>+'Packing Material - Cost'!A1248</f>
        <v/>
      </c>
    </row>
    <row r="1248" spans="27:31">
      <c r="AA1248" s="117">
        <f>+'Ingredient List - Mother Tinctu'!D1249</f>
        <v>0</v>
      </c>
      <c r="AB1248" s="117">
        <f t="shared" si="22"/>
        <v>0</v>
      </c>
      <c r="AC1248" s="117" t="str">
        <f>IF(AB1248=1,COUNTIF($AB$3:AB1248,1),"")</f>
        <v/>
      </c>
      <c r="AD1248" s="117" t="str">
        <f>IFERROR(INDEX($AA$3:$AA$10000,MATCH(ROWS($AC$3:AC1248),$AC$3:$AC$10000,0)),"")</f>
        <v/>
      </c>
      <c r="AE1248" s="117" t="str">
        <f>+'Packing Material - Cost'!A1249</f>
        <v/>
      </c>
    </row>
    <row r="1249" spans="27:31">
      <c r="AA1249" s="117">
        <f>+'Ingredient List - Mother Tinctu'!D1250</f>
        <v>0</v>
      </c>
      <c r="AB1249" s="117">
        <f t="shared" si="22"/>
        <v>0</v>
      </c>
      <c r="AC1249" s="117" t="str">
        <f>IF(AB1249=1,COUNTIF($AB$3:AB1249,1),"")</f>
        <v/>
      </c>
      <c r="AD1249" s="117" t="str">
        <f>IFERROR(INDEX($AA$3:$AA$10000,MATCH(ROWS($AC$3:AC1249),$AC$3:$AC$10000,0)),"")</f>
        <v/>
      </c>
      <c r="AE1249" s="117" t="str">
        <f>+'Packing Material - Cost'!A1250</f>
        <v/>
      </c>
    </row>
    <row r="1250" spans="27:31">
      <c r="AA1250" s="117">
        <f>+'Ingredient List - Mother Tinctu'!D1251</f>
        <v>0</v>
      </c>
      <c r="AB1250" s="117">
        <f t="shared" si="22"/>
        <v>0</v>
      </c>
      <c r="AC1250" s="117" t="str">
        <f>IF(AB1250=1,COUNTIF($AB$3:AB1250,1),"")</f>
        <v/>
      </c>
      <c r="AD1250" s="117" t="str">
        <f>IFERROR(INDEX($AA$3:$AA$10000,MATCH(ROWS($AC$3:AC1250),$AC$3:$AC$10000,0)),"")</f>
        <v/>
      </c>
      <c r="AE1250" s="117" t="str">
        <f>+'Packing Material - Cost'!A1251</f>
        <v/>
      </c>
    </row>
    <row r="1251" spans="27:31">
      <c r="AA1251" s="117">
        <f>+'Ingredient List - Mother Tinctu'!D1252</f>
        <v>0</v>
      </c>
      <c r="AB1251" s="117">
        <f t="shared" si="22"/>
        <v>0</v>
      </c>
      <c r="AC1251" s="117" t="str">
        <f>IF(AB1251=1,COUNTIF($AB$3:AB1251,1),"")</f>
        <v/>
      </c>
      <c r="AD1251" s="117" t="str">
        <f>IFERROR(INDEX($AA$3:$AA$10000,MATCH(ROWS($AC$3:AC1251),$AC$3:$AC$10000,0)),"")</f>
        <v/>
      </c>
      <c r="AE1251" s="117" t="str">
        <f>+'Packing Material - Cost'!A1252</f>
        <v/>
      </c>
    </row>
    <row r="1252" spans="27:31">
      <c r="AA1252" s="117">
        <f>+'Ingredient List - Mother Tinctu'!D1253</f>
        <v>0</v>
      </c>
      <c r="AB1252" s="117">
        <f t="shared" si="22"/>
        <v>0</v>
      </c>
      <c r="AC1252" s="117" t="str">
        <f>IF(AB1252=1,COUNTIF($AB$3:AB1252,1),"")</f>
        <v/>
      </c>
      <c r="AD1252" s="117" t="str">
        <f>IFERROR(INDEX($AA$3:$AA$10000,MATCH(ROWS($AC$3:AC1252),$AC$3:$AC$10000,0)),"")</f>
        <v/>
      </c>
      <c r="AE1252" s="117" t="str">
        <f>+'Packing Material - Cost'!A1253</f>
        <v/>
      </c>
    </row>
    <row r="1253" spans="27:31">
      <c r="AA1253" s="117">
        <f>+'Ingredient List - Mother Tinctu'!D1254</f>
        <v>0</v>
      </c>
      <c r="AB1253" s="117">
        <f t="shared" si="22"/>
        <v>0</v>
      </c>
      <c r="AC1253" s="117" t="str">
        <f>IF(AB1253=1,COUNTIF($AB$3:AB1253,1),"")</f>
        <v/>
      </c>
      <c r="AD1253" s="117" t="str">
        <f>IFERROR(INDEX($AA$3:$AA$10000,MATCH(ROWS($AC$3:AC1253),$AC$3:$AC$10000,0)),"")</f>
        <v/>
      </c>
      <c r="AE1253" s="117" t="str">
        <f>+'Packing Material - Cost'!A1254</f>
        <v/>
      </c>
    </row>
    <row r="1254" spans="27:31">
      <c r="AA1254" s="117">
        <f>+'Ingredient List - Mother Tinctu'!D1255</f>
        <v>0</v>
      </c>
      <c r="AB1254" s="117">
        <f t="shared" si="22"/>
        <v>0</v>
      </c>
      <c r="AC1254" s="117" t="str">
        <f>IF(AB1254=1,COUNTIF($AB$3:AB1254,1),"")</f>
        <v/>
      </c>
      <c r="AD1254" s="117" t="str">
        <f>IFERROR(INDEX($AA$3:$AA$10000,MATCH(ROWS($AC$3:AC1254),$AC$3:$AC$10000,0)),"")</f>
        <v/>
      </c>
      <c r="AE1254" s="117" t="str">
        <f>+'Packing Material - Cost'!A1255</f>
        <v/>
      </c>
    </row>
    <row r="1255" spans="27:31">
      <c r="AA1255" s="117">
        <f>+'Ingredient List - Mother Tinctu'!D1256</f>
        <v>0</v>
      </c>
      <c r="AB1255" s="117">
        <f t="shared" si="22"/>
        <v>0</v>
      </c>
      <c r="AC1255" s="117" t="str">
        <f>IF(AB1255=1,COUNTIF($AB$3:AB1255,1),"")</f>
        <v/>
      </c>
      <c r="AD1255" s="117" t="str">
        <f>IFERROR(INDEX($AA$3:$AA$10000,MATCH(ROWS($AC$3:AC1255),$AC$3:$AC$10000,0)),"")</f>
        <v/>
      </c>
      <c r="AE1255" s="117" t="str">
        <f>+'Packing Material - Cost'!A1256</f>
        <v/>
      </c>
    </row>
    <row r="1256" spans="27:31">
      <c r="AA1256" s="117">
        <f>+'Ingredient List - Mother Tinctu'!D1257</f>
        <v>0</v>
      </c>
      <c r="AB1256" s="117">
        <f t="shared" si="22"/>
        <v>0</v>
      </c>
      <c r="AC1256" s="117" t="str">
        <f>IF(AB1256=1,COUNTIF($AB$3:AB1256,1),"")</f>
        <v/>
      </c>
      <c r="AD1256" s="117" t="str">
        <f>IFERROR(INDEX($AA$3:$AA$10000,MATCH(ROWS($AC$3:AC1256),$AC$3:$AC$10000,0)),"")</f>
        <v/>
      </c>
      <c r="AE1256" s="117" t="str">
        <f>+'Packing Material - Cost'!A1257</f>
        <v/>
      </c>
    </row>
    <row r="1257" spans="27:31">
      <c r="AA1257" s="117">
        <f>+'Ingredient List - Mother Tinctu'!D1258</f>
        <v>0</v>
      </c>
      <c r="AB1257" s="117">
        <f t="shared" si="22"/>
        <v>0</v>
      </c>
      <c r="AC1257" s="117" t="str">
        <f>IF(AB1257=1,COUNTIF($AB$3:AB1257,1),"")</f>
        <v/>
      </c>
      <c r="AD1257" s="117" t="str">
        <f>IFERROR(INDEX($AA$3:$AA$10000,MATCH(ROWS($AC$3:AC1257),$AC$3:$AC$10000,0)),"")</f>
        <v/>
      </c>
      <c r="AE1257" s="117" t="str">
        <f>+'Packing Material - Cost'!A1258</f>
        <v/>
      </c>
    </row>
    <row r="1258" spans="27:31">
      <c r="AA1258" s="117">
        <f>+'Ingredient List - Mother Tinctu'!D1259</f>
        <v>0</v>
      </c>
      <c r="AB1258" s="117">
        <f t="shared" si="22"/>
        <v>0</v>
      </c>
      <c r="AC1258" s="117" t="str">
        <f>IF(AB1258=1,COUNTIF($AB$3:AB1258,1),"")</f>
        <v/>
      </c>
      <c r="AD1258" s="117" t="str">
        <f>IFERROR(INDEX($AA$3:$AA$10000,MATCH(ROWS($AC$3:AC1258),$AC$3:$AC$10000,0)),"")</f>
        <v/>
      </c>
      <c r="AE1258" s="117" t="str">
        <f>+'Packing Material - Cost'!A1259</f>
        <v/>
      </c>
    </row>
    <row r="1259" spans="27:31">
      <c r="AA1259" s="117">
        <f>+'Ingredient List - Mother Tinctu'!D1260</f>
        <v>0</v>
      </c>
      <c r="AB1259" s="117">
        <f t="shared" si="22"/>
        <v>0</v>
      </c>
      <c r="AC1259" s="117" t="str">
        <f>IF(AB1259=1,COUNTIF($AB$3:AB1259,1),"")</f>
        <v/>
      </c>
      <c r="AD1259" s="117" t="str">
        <f>IFERROR(INDEX($AA$3:$AA$10000,MATCH(ROWS($AC$3:AC1259),$AC$3:$AC$10000,0)),"")</f>
        <v/>
      </c>
      <c r="AE1259" s="117" t="str">
        <f>+'Packing Material - Cost'!A1260</f>
        <v/>
      </c>
    </row>
    <row r="1260" spans="27:31">
      <c r="AA1260" s="117">
        <f>+'Ingredient List - Mother Tinctu'!D1261</f>
        <v>0</v>
      </c>
      <c r="AB1260" s="117">
        <f t="shared" si="22"/>
        <v>0</v>
      </c>
      <c r="AC1260" s="117" t="str">
        <f>IF(AB1260=1,COUNTIF($AB$3:AB1260,1),"")</f>
        <v/>
      </c>
      <c r="AD1260" s="117" t="str">
        <f>IFERROR(INDEX($AA$3:$AA$10000,MATCH(ROWS($AC$3:AC1260),$AC$3:$AC$10000,0)),"")</f>
        <v/>
      </c>
      <c r="AE1260" s="117" t="str">
        <f>+'Packing Material - Cost'!A1261</f>
        <v/>
      </c>
    </row>
    <row r="1261" spans="27:31">
      <c r="AA1261" s="117">
        <f>+'Ingredient List - Mother Tinctu'!D1262</f>
        <v>0</v>
      </c>
      <c r="AB1261" s="117">
        <f t="shared" si="22"/>
        <v>0</v>
      </c>
      <c r="AC1261" s="117" t="str">
        <f>IF(AB1261=1,COUNTIF($AB$3:AB1261,1),"")</f>
        <v/>
      </c>
      <c r="AD1261" s="117" t="str">
        <f>IFERROR(INDEX($AA$3:$AA$10000,MATCH(ROWS($AC$3:AC1261),$AC$3:$AC$10000,0)),"")</f>
        <v/>
      </c>
      <c r="AE1261" s="117" t="str">
        <f>+'Packing Material - Cost'!A1262</f>
        <v/>
      </c>
    </row>
    <row r="1262" spans="27:31">
      <c r="AA1262" s="117">
        <f>+'Ingredient List - Mother Tinctu'!D1263</f>
        <v>0</v>
      </c>
      <c r="AB1262" s="117">
        <f t="shared" si="22"/>
        <v>0</v>
      </c>
      <c r="AC1262" s="117" t="str">
        <f>IF(AB1262=1,COUNTIF($AB$3:AB1262,1),"")</f>
        <v/>
      </c>
      <c r="AD1262" s="117" t="str">
        <f>IFERROR(INDEX($AA$3:$AA$10000,MATCH(ROWS($AC$3:AC1262),$AC$3:$AC$10000,0)),"")</f>
        <v/>
      </c>
      <c r="AE1262" s="117" t="str">
        <f>+'Packing Material - Cost'!A1263</f>
        <v/>
      </c>
    </row>
    <row r="1263" spans="27:31">
      <c r="AA1263" s="117">
        <f>+'Ingredient List - Mother Tinctu'!D1264</f>
        <v>0</v>
      </c>
      <c r="AB1263" s="117">
        <f t="shared" si="22"/>
        <v>0</v>
      </c>
      <c r="AC1263" s="117" t="str">
        <f>IF(AB1263=1,COUNTIF($AB$3:AB1263,1),"")</f>
        <v/>
      </c>
      <c r="AD1263" s="117" t="str">
        <f>IFERROR(INDEX($AA$3:$AA$10000,MATCH(ROWS($AC$3:AC1263),$AC$3:$AC$10000,0)),"")</f>
        <v/>
      </c>
      <c r="AE1263" s="117" t="str">
        <f>+'Packing Material - Cost'!A1264</f>
        <v/>
      </c>
    </row>
    <row r="1264" spans="27:31">
      <c r="AA1264" s="117">
        <f>+'Ingredient List - Mother Tinctu'!D1265</f>
        <v>0</v>
      </c>
      <c r="AB1264" s="117">
        <f t="shared" si="22"/>
        <v>0</v>
      </c>
      <c r="AC1264" s="117" t="str">
        <f>IF(AB1264=1,COUNTIF($AB$3:AB1264,1),"")</f>
        <v/>
      </c>
      <c r="AD1264" s="117" t="str">
        <f>IFERROR(INDEX($AA$3:$AA$10000,MATCH(ROWS($AC$3:AC1264),$AC$3:$AC$10000,0)),"")</f>
        <v/>
      </c>
      <c r="AE1264" s="117" t="str">
        <f>+'Packing Material - Cost'!A1265</f>
        <v/>
      </c>
    </row>
    <row r="1265" spans="27:31">
      <c r="AA1265" s="117">
        <f>+'Ingredient List - Mother Tinctu'!D1266</f>
        <v>0</v>
      </c>
      <c r="AB1265" s="117">
        <f t="shared" si="22"/>
        <v>0</v>
      </c>
      <c r="AC1265" s="117" t="str">
        <f>IF(AB1265=1,COUNTIF($AB$3:AB1265,1),"")</f>
        <v/>
      </c>
      <c r="AD1265" s="117" t="str">
        <f>IFERROR(INDEX($AA$3:$AA$10000,MATCH(ROWS($AC$3:AC1265),$AC$3:$AC$10000,0)),"")</f>
        <v/>
      </c>
      <c r="AE1265" s="117" t="str">
        <f>+'Packing Material - Cost'!A1266</f>
        <v/>
      </c>
    </row>
    <row r="1266" spans="27:31">
      <c r="AA1266" s="117">
        <f>+'Ingredient List - Mother Tinctu'!D1267</f>
        <v>0</v>
      </c>
      <c r="AB1266" s="117">
        <f t="shared" si="22"/>
        <v>0</v>
      </c>
      <c r="AC1266" s="117" t="str">
        <f>IF(AB1266=1,COUNTIF($AB$3:AB1266,1),"")</f>
        <v/>
      </c>
      <c r="AD1266" s="117" t="str">
        <f>IFERROR(INDEX($AA$3:$AA$10000,MATCH(ROWS($AC$3:AC1266),$AC$3:$AC$10000,0)),"")</f>
        <v/>
      </c>
      <c r="AE1266" s="117" t="str">
        <f>+'Packing Material - Cost'!A1267</f>
        <v/>
      </c>
    </row>
    <row r="1267" spans="27:31">
      <c r="AA1267" s="117">
        <f>+'Ingredient List - Mother Tinctu'!D1268</f>
        <v>0</v>
      </c>
      <c r="AB1267" s="117">
        <f t="shared" si="22"/>
        <v>0</v>
      </c>
      <c r="AC1267" s="117" t="str">
        <f>IF(AB1267=1,COUNTIF($AB$3:AB1267,1),"")</f>
        <v/>
      </c>
      <c r="AD1267" s="117" t="str">
        <f>IFERROR(INDEX($AA$3:$AA$10000,MATCH(ROWS($AC$3:AC1267),$AC$3:$AC$10000,0)),"")</f>
        <v/>
      </c>
      <c r="AE1267" s="117" t="str">
        <f>+'Packing Material - Cost'!A1268</f>
        <v/>
      </c>
    </row>
    <row r="1268" spans="27:31">
      <c r="AA1268" s="117">
        <f>+'Ingredient List - Mother Tinctu'!D1269</f>
        <v>0</v>
      </c>
      <c r="AB1268" s="117">
        <f t="shared" si="22"/>
        <v>0</v>
      </c>
      <c r="AC1268" s="117" t="str">
        <f>IF(AB1268=1,COUNTIF($AB$3:AB1268,1),"")</f>
        <v/>
      </c>
      <c r="AD1268" s="117" t="str">
        <f>IFERROR(INDEX($AA$3:$AA$10000,MATCH(ROWS($AC$3:AC1268),$AC$3:$AC$10000,0)),"")</f>
        <v/>
      </c>
      <c r="AE1268" s="117" t="str">
        <f>+'Packing Material - Cost'!A1269</f>
        <v/>
      </c>
    </row>
    <row r="1269" spans="27:31">
      <c r="AA1269" s="117">
        <f>+'Ingredient List - Mother Tinctu'!D1270</f>
        <v>0</v>
      </c>
      <c r="AB1269" s="117">
        <f t="shared" si="22"/>
        <v>0</v>
      </c>
      <c r="AC1269" s="117" t="str">
        <f>IF(AB1269=1,COUNTIF($AB$3:AB1269,1),"")</f>
        <v/>
      </c>
      <c r="AD1269" s="117" t="str">
        <f>IFERROR(INDEX($AA$3:$AA$10000,MATCH(ROWS($AC$3:AC1269),$AC$3:$AC$10000,0)),"")</f>
        <v/>
      </c>
      <c r="AE1269" s="117" t="str">
        <f>+'Packing Material - Cost'!A1270</f>
        <v/>
      </c>
    </row>
    <row r="1270" spans="27:31">
      <c r="AA1270" s="117">
        <f>+'Ingredient List - Mother Tinctu'!D1271</f>
        <v>0</v>
      </c>
      <c r="AB1270" s="117">
        <f t="shared" si="22"/>
        <v>0</v>
      </c>
      <c r="AC1270" s="117" t="str">
        <f>IF(AB1270=1,COUNTIF($AB$3:AB1270,1),"")</f>
        <v/>
      </c>
      <c r="AD1270" s="117" t="str">
        <f>IFERROR(INDEX($AA$3:$AA$10000,MATCH(ROWS($AC$3:AC1270),$AC$3:$AC$10000,0)),"")</f>
        <v/>
      </c>
      <c r="AE1270" s="117" t="str">
        <f>+'Packing Material - Cost'!A1271</f>
        <v/>
      </c>
    </row>
    <row r="1271" spans="27:31">
      <c r="AA1271" s="117">
        <f>+'Ingredient List - Mother Tinctu'!D1272</f>
        <v>0</v>
      </c>
      <c r="AB1271" s="117">
        <f t="shared" si="22"/>
        <v>0</v>
      </c>
      <c r="AC1271" s="117" t="str">
        <f>IF(AB1271=1,COUNTIF($AB$3:AB1271,1),"")</f>
        <v/>
      </c>
      <c r="AD1271" s="117" t="str">
        <f>IFERROR(INDEX($AA$3:$AA$10000,MATCH(ROWS($AC$3:AC1271),$AC$3:$AC$10000,0)),"")</f>
        <v/>
      </c>
      <c r="AE1271" s="117" t="str">
        <f>+'Packing Material - Cost'!A1272</f>
        <v/>
      </c>
    </row>
    <row r="1272" spans="27:31">
      <c r="AA1272" s="117">
        <f>+'Ingredient List - Mother Tinctu'!D1273</f>
        <v>0</v>
      </c>
      <c r="AB1272" s="117">
        <f t="shared" si="22"/>
        <v>0</v>
      </c>
      <c r="AC1272" s="117" t="str">
        <f>IF(AB1272=1,COUNTIF($AB$3:AB1272,1),"")</f>
        <v/>
      </c>
      <c r="AD1272" s="117" t="str">
        <f>IFERROR(INDEX($AA$3:$AA$10000,MATCH(ROWS($AC$3:AC1272),$AC$3:$AC$10000,0)),"")</f>
        <v/>
      </c>
      <c r="AE1272" s="117" t="str">
        <f>+'Packing Material - Cost'!A1273</f>
        <v/>
      </c>
    </row>
    <row r="1273" spans="27:31">
      <c r="AA1273" s="117">
        <f>+'Ingredient List - Mother Tinctu'!D1274</f>
        <v>0</v>
      </c>
      <c r="AB1273" s="117">
        <f t="shared" si="22"/>
        <v>0</v>
      </c>
      <c r="AC1273" s="117" t="str">
        <f>IF(AB1273=1,COUNTIF($AB$3:AB1273,1),"")</f>
        <v/>
      </c>
      <c r="AD1273" s="117" t="str">
        <f>IFERROR(INDEX($AA$3:$AA$10000,MATCH(ROWS($AC$3:AC1273),$AC$3:$AC$10000,0)),"")</f>
        <v/>
      </c>
      <c r="AE1273" s="117" t="str">
        <f>+'Packing Material - Cost'!A1274</f>
        <v/>
      </c>
    </row>
    <row r="1274" spans="27:31">
      <c r="AA1274" s="117">
        <f>+'Ingredient List - Mother Tinctu'!D1275</f>
        <v>0</v>
      </c>
      <c r="AB1274" s="117">
        <f t="shared" si="22"/>
        <v>0</v>
      </c>
      <c r="AC1274" s="117" t="str">
        <f>IF(AB1274=1,COUNTIF($AB$3:AB1274,1),"")</f>
        <v/>
      </c>
      <c r="AD1274" s="117" t="str">
        <f>IFERROR(INDEX($AA$3:$AA$10000,MATCH(ROWS($AC$3:AC1274),$AC$3:$AC$10000,0)),"")</f>
        <v/>
      </c>
      <c r="AE1274" s="117" t="str">
        <f>+'Packing Material - Cost'!A1275</f>
        <v/>
      </c>
    </row>
    <row r="1275" spans="27:31">
      <c r="AA1275" s="117">
        <f>+'Ingredient List - Mother Tinctu'!D1276</f>
        <v>0</v>
      </c>
      <c r="AB1275" s="117">
        <f t="shared" si="22"/>
        <v>0</v>
      </c>
      <c r="AC1275" s="117" t="str">
        <f>IF(AB1275=1,COUNTIF($AB$3:AB1275,1),"")</f>
        <v/>
      </c>
      <c r="AD1275" s="117" t="str">
        <f>IFERROR(INDEX($AA$3:$AA$10000,MATCH(ROWS($AC$3:AC1275),$AC$3:$AC$10000,0)),"")</f>
        <v/>
      </c>
      <c r="AE1275" s="117" t="str">
        <f>+'Packing Material - Cost'!A1276</f>
        <v/>
      </c>
    </row>
    <row r="1276" spans="27:31">
      <c r="AA1276" s="117">
        <f>+'Ingredient List - Mother Tinctu'!D1277</f>
        <v>0</v>
      </c>
      <c r="AB1276" s="117">
        <f t="shared" si="22"/>
        <v>0</v>
      </c>
      <c r="AC1276" s="117" t="str">
        <f>IF(AB1276=1,COUNTIF($AB$3:AB1276,1),"")</f>
        <v/>
      </c>
      <c r="AD1276" s="117" t="str">
        <f>IFERROR(INDEX($AA$3:$AA$10000,MATCH(ROWS($AC$3:AC1276),$AC$3:$AC$10000,0)),"")</f>
        <v/>
      </c>
      <c r="AE1276" s="117" t="str">
        <f>+'Packing Material - Cost'!A1277</f>
        <v/>
      </c>
    </row>
    <row r="1277" spans="27:31">
      <c r="AA1277" s="117">
        <f>+'Ingredient List - Mother Tinctu'!D1278</f>
        <v>0</v>
      </c>
      <c r="AB1277" s="117">
        <f t="shared" si="22"/>
        <v>0</v>
      </c>
      <c r="AC1277" s="117" t="str">
        <f>IF(AB1277=1,COUNTIF($AB$3:AB1277,1),"")</f>
        <v/>
      </c>
      <c r="AD1277" s="117" t="str">
        <f>IFERROR(INDEX($AA$3:$AA$10000,MATCH(ROWS($AC$3:AC1277),$AC$3:$AC$10000,0)),"")</f>
        <v/>
      </c>
      <c r="AE1277" s="117" t="str">
        <f>+'Packing Material - Cost'!A1278</f>
        <v/>
      </c>
    </row>
    <row r="1278" spans="27:31">
      <c r="AA1278" s="117">
        <f>+'Ingredient List - Mother Tinctu'!D1279</f>
        <v>0</v>
      </c>
      <c r="AB1278" s="117">
        <f t="shared" si="22"/>
        <v>0</v>
      </c>
      <c r="AC1278" s="117" t="str">
        <f>IF(AB1278=1,COUNTIF($AB$3:AB1278,1),"")</f>
        <v/>
      </c>
      <c r="AD1278" s="117" t="str">
        <f>IFERROR(INDEX($AA$3:$AA$10000,MATCH(ROWS($AC$3:AC1278),$AC$3:$AC$10000,0)),"")</f>
        <v/>
      </c>
      <c r="AE1278" s="117" t="str">
        <f>+'Packing Material - Cost'!A1279</f>
        <v/>
      </c>
    </row>
    <row r="1279" spans="27:31">
      <c r="AA1279" s="117">
        <f>+'Ingredient List - Mother Tinctu'!D1280</f>
        <v>0</v>
      </c>
      <c r="AB1279" s="117">
        <f t="shared" si="22"/>
        <v>0</v>
      </c>
      <c r="AC1279" s="117" t="str">
        <f>IF(AB1279=1,COUNTIF($AB$3:AB1279,1),"")</f>
        <v/>
      </c>
      <c r="AD1279" s="117" t="str">
        <f>IFERROR(INDEX($AA$3:$AA$10000,MATCH(ROWS($AC$3:AC1279),$AC$3:$AC$10000,0)),"")</f>
        <v/>
      </c>
      <c r="AE1279" s="117" t="str">
        <f>+'Packing Material - Cost'!A1280</f>
        <v/>
      </c>
    </row>
    <row r="1280" spans="27:31">
      <c r="AA1280" s="117">
        <f>+'Ingredient List - Mother Tinctu'!D1281</f>
        <v>0</v>
      </c>
      <c r="AB1280" s="117">
        <f t="shared" si="22"/>
        <v>0</v>
      </c>
      <c r="AC1280" s="117" t="str">
        <f>IF(AB1280=1,COUNTIF($AB$3:AB1280,1),"")</f>
        <v/>
      </c>
      <c r="AD1280" s="117" t="str">
        <f>IFERROR(INDEX($AA$3:$AA$10000,MATCH(ROWS($AC$3:AC1280),$AC$3:$AC$10000,0)),"")</f>
        <v/>
      </c>
      <c r="AE1280" s="117" t="str">
        <f>+'Packing Material - Cost'!A1281</f>
        <v/>
      </c>
    </row>
    <row r="1281" spans="27:31">
      <c r="AA1281" s="117">
        <f>+'Ingredient List - Mother Tinctu'!D1282</f>
        <v>0</v>
      </c>
      <c r="AB1281" s="117">
        <f t="shared" si="22"/>
        <v>0</v>
      </c>
      <c r="AC1281" s="117" t="str">
        <f>IF(AB1281=1,COUNTIF($AB$3:AB1281,1),"")</f>
        <v/>
      </c>
      <c r="AD1281" s="117" t="str">
        <f>IFERROR(INDEX($AA$3:$AA$10000,MATCH(ROWS($AC$3:AC1281),$AC$3:$AC$10000,0)),"")</f>
        <v/>
      </c>
      <c r="AE1281" s="117" t="str">
        <f>+'Packing Material - Cost'!A1282</f>
        <v/>
      </c>
    </row>
    <row r="1282" spans="27:31">
      <c r="AA1282" s="117">
        <f>+'Ingredient List - Mother Tinctu'!D1283</f>
        <v>0</v>
      </c>
      <c r="AB1282" s="117">
        <f t="shared" si="22"/>
        <v>0</v>
      </c>
      <c r="AC1282" s="117" t="str">
        <f>IF(AB1282=1,COUNTIF($AB$3:AB1282,1),"")</f>
        <v/>
      </c>
      <c r="AD1282" s="117" t="str">
        <f>IFERROR(INDEX($AA$3:$AA$10000,MATCH(ROWS($AC$3:AC1282),$AC$3:$AC$10000,0)),"")</f>
        <v/>
      </c>
      <c r="AE1282" s="117" t="str">
        <f>+'Packing Material - Cost'!A1283</f>
        <v/>
      </c>
    </row>
    <row r="1283" spans="27:31">
      <c r="AA1283" s="117">
        <f>+'Ingredient List - Mother Tinctu'!D1284</f>
        <v>0</v>
      </c>
      <c r="AB1283" s="117">
        <f t="shared" si="22"/>
        <v>0</v>
      </c>
      <c r="AC1283" s="117" t="str">
        <f>IF(AB1283=1,COUNTIF($AB$3:AB1283,1),"")</f>
        <v/>
      </c>
      <c r="AD1283" s="117" t="str">
        <f>IFERROR(INDEX($AA$3:$AA$10000,MATCH(ROWS($AC$3:AC1283),$AC$3:$AC$10000,0)),"")</f>
        <v/>
      </c>
      <c r="AE1283" s="117" t="str">
        <f>+'Packing Material - Cost'!A1284</f>
        <v/>
      </c>
    </row>
    <row r="1284" spans="27:31">
      <c r="AA1284" s="117">
        <f>+'Ingredient List - Mother Tinctu'!D1285</f>
        <v>0</v>
      </c>
      <c r="AB1284" s="117">
        <f t="shared" ref="AB1284:AB1347" si="23">--ISNUMBER(IFERROR(SEARCH($D$3,AA1284,1),""))</f>
        <v>0</v>
      </c>
      <c r="AC1284" s="117" t="str">
        <f>IF(AB1284=1,COUNTIF($AB$3:AB1284,1),"")</f>
        <v/>
      </c>
      <c r="AD1284" s="117" t="str">
        <f>IFERROR(INDEX($AA$3:$AA$10000,MATCH(ROWS($AC$3:AC1284),$AC$3:$AC$10000,0)),"")</f>
        <v/>
      </c>
      <c r="AE1284" s="117" t="str">
        <f>+'Packing Material - Cost'!A1285</f>
        <v/>
      </c>
    </row>
    <row r="1285" spans="27:31">
      <c r="AA1285" s="117">
        <f>+'Ingredient List - Mother Tinctu'!D1286</f>
        <v>0</v>
      </c>
      <c r="AB1285" s="117">
        <f t="shared" si="23"/>
        <v>0</v>
      </c>
      <c r="AC1285" s="117" t="str">
        <f>IF(AB1285=1,COUNTIF($AB$3:AB1285,1),"")</f>
        <v/>
      </c>
      <c r="AD1285" s="117" t="str">
        <f>IFERROR(INDEX($AA$3:$AA$10000,MATCH(ROWS($AC$3:AC1285),$AC$3:$AC$10000,0)),"")</f>
        <v/>
      </c>
      <c r="AE1285" s="117" t="str">
        <f>+'Packing Material - Cost'!A1286</f>
        <v/>
      </c>
    </row>
    <row r="1286" spans="27:31">
      <c r="AA1286" s="117">
        <f>+'Ingredient List - Mother Tinctu'!D1287</f>
        <v>0</v>
      </c>
      <c r="AB1286" s="117">
        <f t="shared" si="23"/>
        <v>0</v>
      </c>
      <c r="AC1286" s="117" t="str">
        <f>IF(AB1286=1,COUNTIF($AB$3:AB1286,1),"")</f>
        <v/>
      </c>
      <c r="AD1286" s="117" t="str">
        <f>IFERROR(INDEX($AA$3:$AA$10000,MATCH(ROWS($AC$3:AC1286),$AC$3:$AC$10000,0)),"")</f>
        <v/>
      </c>
      <c r="AE1286" s="117" t="str">
        <f>+'Packing Material - Cost'!A1287</f>
        <v/>
      </c>
    </row>
    <row r="1287" spans="27:31">
      <c r="AA1287" s="117">
        <f>+'Ingredient List - Mother Tinctu'!D1288</f>
        <v>0</v>
      </c>
      <c r="AB1287" s="117">
        <f t="shared" si="23"/>
        <v>0</v>
      </c>
      <c r="AC1287" s="117" t="str">
        <f>IF(AB1287=1,COUNTIF($AB$3:AB1287,1),"")</f>
        <v/>
      </c>
      <c r="AD1287" s="117" t="str">
        <f>IFERROR(INDEX($AA$3:$AA$10000,MATCH(ROWS($AC$3:AC1287),$AC$3:$AC$10000,0)),"")</f>
        <v/>
      </c>
      <c r="AE1287" s="117" t="str">
        <f>+'Packing Material - Cost'!A1288</f>
        <v/>
      </c>
    </row>
    <row r="1288" spans="27:31">
      <c r="AA1288" s="117">
        <f>+'Ingredient List - Mother Tinctu'!D1289</f>
        <v>0</v>
      </c>
      <c r="AB1288" s="117">
        <f t="shared" si="23"/>
        <v>0</v>
      </c>
      <c r="AC1288" s="117" t="str">
        <f>IF(AB1288=1,COUNTIF($AB$3:AB1288,1),"")</f>
        <v/>
      </c>
      <c r="AD1288" s="117" t="str">
        <f>IFERROR(INDEX($AA$3:$AA$10000,MATCH(ROWS($AC$3:AC1288),$AC$3:$AC$10000,0)),"")</f>
        <v/>
      </c>
      <c r="AE1288" s="117" t="str">
        <f>+'Packing Material - Cost'!A1289</f>
        <v/>
      </c>
    </row>
    <row r="1289" spans="27:31">
      <c r="AA1289" s="117">
        <f>+'Ingredient List - Mother Tinctu'!D1290</f>
        <v>0</v>
      </c>
      <c r="AB1289" s="117">
        <f t="shared" si="23"/>
        <v>0</v>
      </c>
      <c r="AC1289" s="117" t="str">
        <f>IF(AB1289=1,COUNTIF($AB$3:AB1289,1),"")</f>
        <v/>
      </c>
      <c r="AD1289" s="117" t="str">
        <f>IFERROR(INDEX($AA$3:$AA$10000,MATCH(ROWS($AC$3:AC1289),$AC$3:$AC$10000,0)),"")</f>
        <v/>
      </c>
      <c r="AE1289" s="117" t="str">
        <f>+'Packing Material - Cost'!A1290</f>
        <v/>
      </c>
    </row>
    <row r="1290" spans="27:31">
      <c r="AA1290" s="117">
        <f>+'Ingredient List - Mother Tinctu'!D1291</f>
        <v>0</v>
      </c>
      <c r="AB1290" s="117">
        <f t="shared" si="23"/>
        <v>0</v>
      </c>
      <c r="AC1290" s="117" t="str">
        <f>IF(AB1290=1,COUNTIF($AB$3:AB1290,1),"")</f>
        <v/>
      </c>
      <c r="AD1290" s="117" t="str">
        <f>IFERROR(INDEX($AA$3:$AA$10000,MATCH(ROWS($AC$3:AC1290),$AC$3:$AC$10000,0)),"")</f>
        <v/>
      </c>
      <c r="AE1290" s="117" t="str">
        <f>+'Packing Material - Cost'!A1291</f>
        <v/>
      </c>
    </row>
    <row r="1291" spans="27:31">
      <c r="AA1291" s="117">
        <f>+'Ingredient List - Mother Tinctu'!D1292</f>
        <v>0</v>
      </c>
      <c r="AB1291" s="117">
        <f t="shared" si="23"/>
        <v>0</v>
      </c>
      <c r="AC1291" s="117" t="str">
        <f>IF(AB1291=1,COUNTIF($AB$3:AB1291,1),"")</f>
        <v/>
      </c>
      <c r="AD1291" s="117" t="str">
        <f>IFERROR(INDEX($AA$3:$AA$10000,MATCH(ROWS($AC$3:AC1291),$AC$3:$AC$10000,0)),"")</f>
        <v/>
      </c>
      <c r="AE1291" s="117" t="str">
        <f>+'Packing Material - Cost'!A1292</f>
        <v/>
      </c>
    </row>
    <row r="1292" spans="27:31">
      <c r="AA1292" s="117">
        <f>+'Ingredient List - Mother Tinctu'!D1293</f>
        <v>0</v>
      </c>
      <c r="AB1292" s="117">
        <f t="shared" si="23"/>
        <v>0</v>
      </c>
      <c r="AC1292" s="117" t="str">
        <f>IF(AB1292=1,COUNTIF($AB$3:AB1292,1),"")</f>
        <v/>
      </c>
      <c r="AD1292" s="117" t="str">
        <f>IFERROR(INDEX($AA$3:$AA$10000,MATCH(ROWS($AC$3:AC1292),$AC$3:$AC$10000,0)),"")</f>
        <v/>
      </c>
      <c r="AE1292" s="117" t="str">
        <f>+'Packing Material - Cost'!A1293</f>
        <v/>
      </c>
    </row>
    <row r="1293" spans="27:31">
      <c r="AA1293" s="117">
        <f>+'Ingredient List - Mother Tinctu'!D1294</f>
        <v>0</v>
      </c>
      <c r="AB1293" s="117">
        <f t="shared" si="23"/>
        <v>0</v>
      </c>
      <c r="AC1293" s="117" t="str">
        <f>IF(AB1293=1,COUNTIF($AB$3:AB1293,1),"")</f>
        <v/>
      </c>
      <c r="AD1293" s="117" t="str">
        <f>IFERROR(INDEX($AA$3:$AA$10000,MATCH(ROWS($AC$3:AC1293),$AC$3:$AC$10000,0)),"")</f>
        <v/>
      </c>
      <c r="AE1293" s="117" t="str">
        <f>+'Packing Material - Cost'!A1294</f>
        <v/>
      </c>
    </row>
    <row r="1294" spans="27:31">
      <c r="AA1294" s="117">
        <f>+'Ingredient List - Mother Tinctu'!D1295</f>
        <v>0</v>
      </c>
      <c r="AB1294" s="117">
        <f t="shared" si="23"/>
        <v>0</v>
      </c>
      <c r="AC1294" s="117" t="str">
        <f>IF(AB1294=1,COUNTIF($AB$3:AB1294,1),"")</f>
        <v/>
      </c>
      <c r="AD1294" s="117" t="str">
        <f>IFERROR(INDEX($AA$3:$AA$10000,MATCH(ROWS($AC$3:AC1294),$AC$3:$AC$10000,0)),"")</f>
        <v/>
      </c>
      <c r="AE1294" s="117" t="str">
        <f>+'Packing Material - Cost'!A1295</f>
        <v/>
      </c>
    </row>
    <row r="1295" spans="27:31">
      <c r="AA1295" s="117">
        <f>+'Ingredient List - Mother Tinctu'!D1296</f>
        <v>0</v>
      </c>
      <c r="AB1295" s="117">
        <f t="shared" si="23"/>
        <v>0</v>
      </c>
      <c r="AC1295" s="117" t="str">
        <f>IF(AB1295=1,COUNTIF($AB$3:AB1295,1),"")</f>
        <v/>
      </c>
      <c r="AD1295" s="117" t="str">
        <f>IFERROR(INDEX($AA$3:$AA$10000,MATCH(ROWS($AC$3:AC1295),$AC$3:$AC$10000,0)),"")</f>
        <v/>
      </c>
      <c r="AE1295" s="117" t="str">
        <f>+'Packing Material - Cost'!A1296</f>
        <v/>
      </c>
    </row>
    <row r="1296" spans="27:31">
      <c r="AA1296" s="117">
        <f>+'Ingredient List - Mother Tinctu'!D1297</f>
        <v>0</v>
      </c>
      <c r="AB1296" s="117">
        <f t="shared" si="23"/>
        <v>0</v>
      </c>
      <c r="AC1296" s="117" t="str">
        <f>IF(AB1296=1,COUNTIF($AB$3:AB1296,1),"")</f>
        <v/>
      </c>
      <c r="AD1296" s="117" t="str">
        <f>IFERROR(INDEX($AA$3:$AA$10000,MATCH(ROWS($AC$3:AC1296),$AC$3:$AC$10000,0)),"")</f>
        <v/>
      </c>
      <c r="AE1296" s="117" t="str">
        <f>+'Packing Material - Cost'!A1297</f>
        <v/>
      </c>
    </row>
    <row r="1297" spans="27:31">
      <c r="AA1297" s="117">
        <f>+'Ingredient List - Mother Tinctu'!D1298</f>
        <v>0</v>
      </c>
      <c r="AB1297" s="117">
        <f t="shared" si="23"/>
        <v>0</v>
      </c>
      <c r="AC1297" s="117" t="str">
        <f>IF(AB1297=1,COUNTIF($AB$3:AB1297,1),"")</f>
        <v/>
      </c>
      <c r="AD1297" s="117" t="str">
        <f>IFERROR(INDEX($AA$3:$AA$10000,MATCH(ROWS($AC$3:AC1297),$AC$3:$AC$10000,0)),"")</f>
        <v/>
      </c>
      <c r="AE1297" s="117" t="str">
        <f>+'Packing Material - Cost'!A1298</f>
        <v/>
      </c>
    </row>
    <row r="1298" spans="27:31">
      <c r="AA1298" s="117">
        <f>+'Ingredient List - Mother Tinctu'!D1299</f>
        <v>0</v>
      </c>
      <c r="AB1298" s="117">
        <f t="shared" si="23"/>
        <v>0</v>
      </c>
      <c r="AC1298" s="117" t="str">
        <f>IF(AB1298=1,COUNTIF($AB$3:AB1298,1),"")</f>
        <v/>
      </c>
      <c r="AD1298" s="117" t="str">
        <f>IFERROR(INDEX($AA$3:$AA$10000,MATCH(ROWS($AC$3:AC1298),$AC$3:$AC$10000,0)),"")</f>
        <v/>
      </c>
      <c r="AE1298" s="117" t="str">
        <f>+'Packing Material - Cost'!A1299</f>
        <v/>
      </c>
    </row>
    <row r="1299" spans="27:31">
      <c r="AA1299" s="117">
        <f>+'Ingredient List - Mother Tinctu'!D1300</f>
        <v>0</v>
      </c>
      <c r="AB1299" s="117">
        <f t="shared" si="23"/>
        <v>0</v>
      </c>
      <c r="AC1299" s="117" t="str">
        <f>IF(AB1299=1,COUNTIF($AB$3:AB1299,1),"")</f>
        <v/>
      </c>
      <c r="AD1299" s="117" t="str">
        <f>IFERROR(INDEX($AA$3:$AA$10000,MATCH(ROWS($AC$3:AC1299),$AC$3:$AC$10000,0)),"")</f>
        <v/>
      </c>
      <c r="AE1299" s="117" t="str">
        <f>+'Packing Material - Cost'!A1300</f>
        <v/>
      </c>
    </row>
    <row r="1300" spans="27:31">
      <c r="AA1300" s="117">
        <f>+'Ingredient List - Mother Tinctu'!D1301</f>
        <v>0</v>
      </c>
      <c r="AB1300" s="117">
        <f t="shared" si="23"/>
        <v>0</v>
      </c>
      <c r="AC1300" s="117" t="str">
        <f>IF(AB1300=1,COUNTIF($AB$3:AB1300,1),"")</f>
        <v/>
      </c>
      <c r="AD1300" s="117" t="str">
        <f>IFERROR(INDEX($AA$3:$AA$10000,MATCH(ROWS($AC$3:AC1300),$AC$3:$AC$10000,0)),"")</f>
        <v/>
      </c>
      <c r="AE1300" s="117" t="str">
        <f>+'Packing Material - Cost'!A1301</f>
        <v/>
      </c>
    </row>
    <row r="1301" spans="27:31">
      <c r="AA1301" s="117">
        <f>+'Ingredient List - Mother Tinctu'!D1302</f>
        <v>0</v>
      </c>
      <c r="AB1301" s="117">
        <f t="shared" si="23"/>
        <v>0</v>
      </c>
      <c r="AC1301" s="117" t="str">
        <f>IF(AB1301=1,COUNTIF($AB$3:AB1301,1),"")</f>
        <v/>
      </c>
      <c r="AD1301" s="117" t="str">
        <f>IFERROR(INDEX($AA$3:$AA$10000,MATCH(ROWS($AC$3:AC1301),$AC$3:$AC$10000,0)),"")</f>
        <v/>
      </c>
      <c r="AE1301" s="117" t="str">
        <f>+'Packing Material - Cost'!A1302</f>
        <v/>
      </c>
    </row>
    <row r="1302" spans="27:31">
      <c r="AA1302" s="117">
        <f>+'Ingredient List - Mother Tinctu'!D1303</f>
        <v>0</v>
      </c>
      <c r="AB1302" s="117">
        <f t="shared" si="23"/>
        <v>0</v>
      </c>
      <c r="AC1302" s="117" t="str">
        <f>IF(AB1302=1,COUNTIF($AB$3:AB1302,1),"")</f>
        <v/>
      </c>
      <c r="AD1302" s="117" t="str">
        <f>IFERROR(INDEX($AA$3:$AA$10000,MATCH(ROWS($AC$3:AC1302),$AC$3:$AC$10000,0)),"")</f>
        <v/>
      </c>
      <c r="AE1302" s="117" t="str">
        <f>+'Packing Material - Cost'!A1303</f>
        <v/>
      </c>
    </row>
    <row r="1303" spans="27:31">
      <c r="AA1303" s="117">
        <f>+'Ingredient List - Mother Tinctu'!D1304</f>
        <v>0</v>
      </c>
      <c r="AB1303" s="117">
        <f t="shared" si="23"/>
        <v>0</v>
      </c>
      <c r="AC1303" s="117" t="str">
        <f>IF(AB1303=1,COUNTIF($AB$3:AB1303,1),"")</f>
        <v/>
      </c>
      <c r="AD1303" s="117" t="str">
        <f>IFERROR(INDEX($AA$3:$AA$10000,MATCH(ROWS($AC$3:AC1303),$AC$3:$AC$10000,0)),"")</f>
        <v/>
      </c>
      <c r="AE1303" s="117" t="str">
        <f>+'Packing Material - Cost'!A1304</f>
        <v/>
      </c>
    </row>
    <row r="1304" spans="27:31">
      <c r="AA1304" s="117">
        <f>+'Ingredient List - Mother Tinctu'!D1305</f>
        <v>0</v>
      </c>
      <c r="AB1304" s="117">
        <f t="shared" si="23"/>
        <v>0</v>
      </c>
      <c r="AC1304" s="117" t="str">
        <f>IF(AB1304=1,COUNTIF($AB$3:AB1304,1),"")</f>
        <v/>
      </c>
      <c r="AD1304" s="117" t="str">
        <f>IFERROR(INDEX($AA$3:$AA$10000,MATCH(ROWS($AC$3:AC1304),$AC$3:$AC$10000,0)),"")</f>
        <v/>
      </c>
      <c r="AE1304" s="117" t="str">
        <f>+'Packing Material - Cost'!A1305</f>
        <v/>
      </c>
    </row>
    <row r="1305" spans="27:31">
      <c r="AA1305" s="117">
        <f>+'Ingredient List - Mother Tinctu'!D1306</f>
        <v>0</v>
      </c>
      <c r="AB1305" s="117">
        <f t="shared" si="23"/>
        <v>0</v>
      </c>
      <c r="AC1305" s="117" t="str">
        <f>IF(AB1305=1,COUNTIF($AB$3:AB1305,1),"")</f>
        <v/>
      </c>
      <c r="AD1305" s="117" t="str">
        <f>IFERROR(INDEX($AA$3:$AA$10000,MATCH(ROWS($AC$3:AC1305),$AC$3:$AC$10000,0)),"")</f>
        <v/>
      </c>
      <c r="AE1305" s="117" t="str">
        <f>+'Packing Material - Cost'!A1306</f>
        <v/>
      </c>
    </row>
    <row r="1306" spans="27:31">
      <c r="AA1306" s="117">
        <f>+'Ingredient List - Mother Tinctu'!D1307</f>
        <v>0</v>
      </c>
      <c r="AB1306" s="117">
        <f t="shared" si="23"/>
        <v>0</v>
      </c>
      <c r="AC1306" s="117" t="str">
        <f>IF(AB1306=1,COUNTIF($AB$3:AB1306,1),"")</f>
        <v/>
      </c>
      <c r="AD1306" s="117" t="str">
        <f>IFERROR(INDEX($AA$3:$AA$10000,MATCH(ROWS($AC$3:AC1306),$AC$3:$AC$10000,0)),"")</f>
        <v/>
      </c>
      <c r="AE1306" s="117" t="str">
        <f>+'Packing Material - Cost'!A1307</f>
        <v/>
      </c>
    </row>
    <row r="1307" spans="27:31">
      <c r="AA1307" s="117">
        <f>+'Ingredient List - Mother Tinctu'!D1308</f>
        <v>0</v>
      </c>
      <c r="AB1307" s="117">
        <f t="shared" si="23"/>
        <v>0</v>
      </c>
      <c r="AC1307" s="117" t="str">
        <f>IF(AB1307=1,COUNTIF($AB$3:AB1307,1),"")</f>
        <v/>
      </c>
      <c r="AD1307" s="117" t="str">
        <f>IFERROR(INDEX($AA$3:$AA$10000,MATCH(ROWS($AC$3:AC1307),$AC$3:$AC$10000,0)),"")</f>
        <v/>
      </c>
      <c r="AE1307" s="117" t="str">
        <f>+'Packing Material - Cost'!A1308</f>
        <v/>
      </c>
    </row>
    <row r="1308" spans="27:31">
      <c r="AA1308" s="117">
        <f>+'Ingredient List - Mother Tinctu'!D1309</f>
        <v>0</v>
      </c>
      <c r="AB1308" s="117">
        <f t="shared" si="23"/>
        <v>0</v>
      </c>
      <c r="AC1308" s="117" t="str">
        <f>IF(AB1308=1,COUNTIF($AB$3:AB1308,1),"")</f>
        <v/>
      </c>
      <c r="AD1308" s="117" t="str">
        <f>IFERROR(INDEX($AA$3:$AA$10000,MATCH(ROWS($AC$3:AC1308),$AC$3:$AC$10000,0)),"")</f>
        <v/>
      </c>
      <c r="AE1308" s="117" t="str">
        <f>+'Packing Material - Cost'!A1309</f>
        <v/>
      </c>
    </row>
    <row r="1309" spans="27:31">
      <c r="AA1309" s="117">
        <f>+'Ingredient List - Mother Tinctu'!D1310</f>
        <v>0</v>
      </c>
      <c r="AB1309" s="117">
        <f t="shared" si="23"/>
        <v>0</v>
      </c>
      <c r="AC1309" s="117" t="str">
        <f>IF(AB1309=1,COUNTIF($AB$3:AB1309,1),"")</f>
        <v/>
      </c>
      <c r="AD1309" s="117" t="str">
        <f>IFERROR(INDEX($AA$3:$AA$10000,MATCH(ROWS($AC$3:AC1309),$AC$3:$AC$10000,0)),"")</f>
        <v/>
      </c>
      <c r="AE1309" s="117" t="str">
        <f>+'Packing Material - Cost'!A1310</f>
        <v/>
      </c>
    </row>
    <row r="1310" spans="27:31">
      <c r="AA1310" s="117">
        <f>+'Ingredient List - Mother Tinctu'!D1311</f>
        <v>0</v>
      </c>
      <c r="AB1310" s="117">
        <f t="shared" si="23"/>
        <v>0</v>
      </c>
      <c r="AC1310" s="117" t="str">
        <f>IF(AB1310=1,COUNTIF($AB$3:AB1310,1),"")</f>
        <v/>
      </c>
      <c r="AD1310" s="117" t="str">
        <f>IFERROR(INDEX($AA$3:$AA$10000,MATCH(ROWS($AC$3:AC1310),$AC$3:$AC$10000,0)),"")</f>
        <v/>
      </c>
      <c r="AE1310" s="117" t="str">
        <f>+'Packing Material - Cost'!A1311</f>
        <v/>
      </c>
    </row>
    <row r="1311" spans="27:31">
      <c r="AA1311" s="117">
        <f>+'Ingredient List - Mother Tinctu'!D1312</f>
        <v>0</v>
      </c>
      <c r="AB1311" s="117">
        <f t="shared" si="23"/>
        <v>0</v>
      </c>
      <c r="AC1311" s="117" t="str">
        <f>IF(AB1311=1,COUNTIF($AB$3:AB1311,1),"")</f>
        <v/>
      </c>
      <c r="AD1311" s="117" t="str">
        <f>IFERROR(INDEX($AA$3:$AA$10000,MATCH(ROWS($AC$3:AC1311),$AC$3:$AC$10000,0)),"")</f>
        <v/>
      </c>
      <c r="AE1311" s="117" t="str">
        <f>+'Packing Material - Cost'!A1312</f>
        <v/>
      </c>
    </row>
    <row r="1312" spans="27:31">
      <c r="AA1312" s="117">
        <f>+'Ingredient List - Mother Tinctu'!D1313</f>
        <v>0</v>
      </c>
      <c r="AB1312" s="117">
        <f t="shared" si="23"/>
        <v>0</v>
      </c>
      <c r="AC1312" s="117" t="str">
        <f>IF(AB1312=1,COUNTIF($AB$3:AB1312,1),"")</f>
        <v/>
      </c>
      <c r="AD1312" s="117" t="str">
        <f>IFERROR(INDEX($AA$3:$AA$10000,MATCH(ROWS($AC$3:AC1312),$AC$3:$AC$10000,0)),"")</f>
        <v/>
      </c>
      <c r="AE1312" s="117" t="str">
        <f>+'Packing Material - Cost'!A1313</f>
        <v/>
      </c>
    </row>
    <row r="1313" spans="27:31">
      <c r="AA1313" s="117">
        <f>+'Ingredient List - Mother Tinctu'!D1314</f>
        <v>0</v>
      </c>
      <c r="AB1313" s="117">
        <f t="shared" si="23"/>
        <v>0</v>
      </c>
      <c r="AC1313" s="117" t="str">
        <f>IF(AB1313=1,COUNTIF($AB$3:AB1313,1),"")</f>
        <v/>
      </c>
      <c r="AD1313" s="117" t="str">
        <f>IFERROR(INDEX($AA$3:$AA$10000,MATCH(ROWS($AC$3:AC1313),$AC$3:$AC$10000,0)),"")</f>
        <v/>
      </c>
      <c r="AE1313" s="117" t="str">
        <f>+'Packing Material - Cost'!A1314</f>
        <v/>
      </c>
    </row>
    <row r="1314" spans="27:31">
      <c r="AA1314" s="117">
        <f>+'Ingredient List - Mother Tinctu'!D1315</f>
        <v>0</v>
      </c>
      <c r="AB1314" s="117">
        <f t="shared" si="23"/>
        <v>0</v>
      </c>
      <c r="AC1314" s="117" t="str">
        <f>IF(AB1314=1,COUNTIF($AB$3:AB1314,1),"")</f>
        <v/>
      </c>
      <c r="AD1314" s="117" t="str">
        <f>IFERROR(INDEX($AA$3:$AA$10000,MATCH(ROWS($AC$3:AC1314),$AC$3:$AC$10000,0)),"")</f>
        <v/>
      </c>
      <c r="AE1314" s="117" t="str">
        <f>+'Packing Material - Cost'!A1315</f>
        <v/>
      </c>
    </row>
    <row r="1315" spans="27:31">
      <c r="AA1315" s="117">
        <f>+'Ingredient List - Mother Tinctu'!D1316</f>
        <v>0</v>
      </c>
      <c r="AB1315" s="117">
        <f t="shared" si="23"/>
        <v>0</v>
      </c>
      <c r="AC1315" s="117" t="str">
        <f>IF(AB1315=1,COUNTIF($AB$3:AB1315,1),"")</f>
        <v/>
      </c>
      <c r="AD1315" s="117" t="str">
        <f>IFERROR(INDEX($AA$3:$AA$10000,MATCH(ROWS($AC$3:AC1315),$AC$3:$AC$10000,0)),"")</f>
        <v/>
      </c>
      <c r="AE1315" s="117" t="str">
        <f>+'Packing Material - Cost'!A1316</f>
        <v/>
      </c>
    </row>
    <row r="1316" spans="27:31">
      <c r="AA1316" s="117">
        <f>+'Ingredient List - Mother Tinctu'!D1317</f>
        <v>0</v>
      </c>
      <c r="AB1316" s="117">
        <f t="shared" si="23"/>
        <v>0</v>
      </c>
      <c r="AC1316" s="117" t="str">
        <f>IF(AB1316=1,COUNTIF($AB$3:AB1316,1),"")</f>
        <v/>
      </c>
      <c r="AD1316" s="117" t="str">
        <f>IFERROR(INDEX($AA$3:$AA$10000,MATCH(ROWS($AC$3:AC1316),$AC$3:$AC$10000,0)),"")</f>
        <v/>
      </c>
      <c r="AE1316" s="117" t="str">
        <f>+'Packing Material - Cost'!A1317</f>
        <v/>
      </c>
    </row>
    <row r="1317" spans="27:31">
      <c r="AA1317" s="117">
        <f>+'Ingredient List - Mother Tinctu'!D1318</f>
        <v>0</v>
      </c>
      <c r="AB1317" s="117">
        <f t="shared" si="23"/>
        <v>0</v>
      </c>
      <c r="AC1317" s="117" t="str">
        <f>IF(AB1317=1,COUNTIF($AB$3:AB1317,1),"")</f>
        <v/>
      </c>
      <c r="AD1317" s="117" t="str">
        <f>IFERROR(INDEX($AA$3:$AA$10000,MATCH(ROWS($AC$3:AC1317),$AC$3:$AC$10000,0)),"")</f>
        <v/>
      </c>
      <c r="AE1317" s="117" t="str">
        <f>+'Packing Material - Cost'!A1318</f>
        <v/>
      </c>
    </row>
    <row r="1318" spans="27:31">
      <c r="AA1318" s="117">
        <f>+'Ingredient List - Mother Tinctu'!D1319</f>
        <v>0</v>
      </c>
      <c r="AB1318" s="117">
        <f t="shared" si="23"/>
        <v>0</v>
      </c>
      <c r="AC1318" s="117" t="str">
        <f>IF(AB1318=1,COUNTIF($AB$3:AB1318,1),"")</f>
        <v/>
      </c>
      <c r="AD1318" s="117" t="str">
        <f>IFERROR(INDEX($AA$3:$AA$10000,MATCH(ROWS($AC$3:AC1318),$AC$3:$AC$10000,0)),"")</f>
        <v/>
      </c>
      <c r="AE1318" s="117" t="str">
        <f>+'Packing Material - Cost'!A1319</f>
        <v/>
      </c>
    </row>
    <row r="1319" spans="27:31">
      <c r="AA1319" s="117">
        <f>+'Ingredient List - Mother Tinctu'!D1320</f>
        <v>0</v>
      </c>
      <c r="AB1319" s="117">
        <f t="shared" si="23"/>
        <v>0</v>
      </c>
      <c r="AC1319" s="117" t="str">
        <f>IF(AB1319=1,COUNTIF($AB$3:AB1319,1),"")</f>
        <v/>
      </c>
      <c r="AD1319" s="117" t="str">
        <f>IFERROR(INDEX($AA$3:$AA$10000,MATCH(ROWS($AC$3:AC1319),$AC$3:$AC$10000,0)),"")</f>
        <v/>
      </c>
      <c r="AE1319" s="117" t="str">
        <f>+'Packing Material - Cost'!A1320</f>
        <v/>
      </c>
    </row>
    <row r="1320" spans="27:31">
      <c r="AA1320" s="117">
        <f>+'Ingredient List - Mother Tinctu'!D1321</f>
        <v>0</v>
      </c>
      <c r="AB1320" s="117">
        <f t="shared" si="23"/>
        <v>0</v>
      </c>
      <c r="AC1320" s="117" t="str">
        <f>IF(AB1320=1,COUNTIF($AB$3:AB1320,1),"")</f>
        <v/>
      </c>
      <c r="AD1320" s="117" t="str">
        <f>IFERROR(INDEX($AA$3:$AA$10000,MATCH(ROWS($AC$3:AC1320),$AC$3:$AC$10000,0)),"")</f>
        <v/>
      </c>
      <c r="AE1320" s="117" t="str">
        <f>+'Packing Material - Cost'!A1321</f>
        <v/>
      </c>
    </row>
    <row r="1321" spans="27:31">
      <c r="AA1321" s="117">
        <f>+'Ingredient List - Mother Tinctu'!D1322</f>
        <v>0</v>
      </c>
      <c r="AB1321" s="117">
        <f t="shared" si="23"/>
        <v>0</v>
      </c>
      <c r="AC1321" s="117" t="str">
        <f>IF(AB1321=1,COUNTIF($AB$3:AB1321,1),"")</f>
        <v/>
      </c>
      <c r="AD1321" s="117" t="str">
        <f>IFERROR(INDEX($AA$3:$AA$10000,MATCH(ROWS($AC$3:AC1321),$AC$3:$AC$10000,0)),"")</f>
        <v/>
      </c>
      <c r="AE1321" s="117" t="str">
        <f>+'Packing Material - Cost'!A1322</f>
        <v/>
      </c>
    </row>
    <row r="1322" spans="27:31">
      <c r="AA1322" s="117">
        <f>+'Ingredient List - Mother Tinctu'!D1323</f>
        <v>0</v>
      </c>
      <c r="AB1322" s="117">
        <f t="shared" si="23"/>
        <v>0</v>
      </c>
      <c r="AC1322" s="117" t="str">
        <f>IF(AB1322=1,COUNTIF($AB$3:AB1322,1),"")</f>
        <v/>
      </c>
      <c r="AD1322" s="117" t="str">
        <f>IFERROR(INDEX($AA$3:$AA$10000,MATCH(ROWS($AC$3:AC1322),$AC$3:$AC$10000,0)),"")</f>
        <v/>
      </c>
      <c r="AE1322" s="117" t="str">
        <f>+'Packing Material - Cost'!A1323</f>
        <v/>
      </c>
    </row>
    <row r="1323" spans="27:31">
      <c r="AA1323" s="117">
        <f>+'Ingredient List - Mother Tinctu'!D1324</f>
        <v>0</v>
      </c>
      <c r="AB1323" s="117">
        <f t="shared" si="23"/>
        <v>0</v>
      </c>
      <c r="AC1323" s="117" t="str">
        <f>IF(AB1323=1,COUNTIF($AB$3:AB1323,1),"")</f>
        <v/>
      </c>
      <c r="AD1323" s="117" t="str">
        <f>IFERROR(INDEX($AA$3:$AA$10000,MATCH(ROWS($AC$3:AC1323),$AC$3:$AC$10000,0)),"")</f>
        <v/>
      </c>
      <c r="AE1323" s="117" t="str">
        <f>+'Packing Material - Cost'!A1324</f>
        <v/>
      </c>
    </row>
    <row r="1324" spans="27:31">
      <c r="AA1324" s="117">
        <f>+'Ingredient List - Mother Tinctu'!D1325</f>
        <v>0</v>
      </c>
      <c r="AB1324" s="117">
        <f t="shared" si="23"/>
        <v>0</v>
      </c>
      <c r="AC1324" s="117" t="str">
        <f>IF(AB1324=1,COUNTIF($AB$3:AB1324,1),"")</f>
        <v/>
      </c>
      <c r="AD1324" s="117" t="str">
        <f>IFERROR(INDEX($AA$3:$AA$10000,MATCH(ROWS($AC$3:AC1324),$AC$3:$AC$10000,0)),"")</f>
        <v/>
      </c>
      <c r="AE1324" s="117" t="str">
        <f>+'Packing Material - Cost'!A1325</f>
        <v/>
      </c>
    </row>
    <row r="1325" spans="27:31">
      <c r="AA1325" s="117">
        <f>+'Ingredient List - Mother Tinctu'!D1326</f>
        <v>0</v>
      </c>
      <c r="AB1325" s="117">
        <f t="shared" si="23"/>
        <v>0</v>
      </c>
      <c r="AC1325" s="117" t="str">
        <f>IF(AB1325=1,COUNTIF($AB$3:AB1325,1),"")</f>
        <v/>
      </c>
      <c r="AD1325" s="117" t="str">
        <f>IFERROR(INDEX($AA$3:$AA$10000,MATCH(ROWS($AC$3:AC1325),$AC$3:$AC$10000,0)),"")</f>
        <v/>
      </c>
      <c r="AE1325" s="117" t="str">
        <f>+'Packing Material - Cost'!A1326</f>
        <v/>
      </c>
    </row>
    <row r="1326" spans="27:31">
      <c r="AA1326" s="117">
        <f>+'Ingredient List - Mother Tinctu'!D1327</f>
        <v>0</v>
      </c>
      <c r="AB1326" s="117">
        <f t="shared" si="23"/>
        <v>0</v>
      </c>
      <c r="AC1326" s="117" t="str">
        <f>IF(AB1326=1,COUNTIF($AB$3:AB1326,1),"")</f>
        <v/>
      </c>
      <c r="AD1326" s="117" t="str">
        <f>IFERROR(INDEX($AA$3:$AA$10000,MATCH(ROWS($AC$3:AC1326),$AC$3:$AC$10000,0)),"")</f>
        <v/>
      </c>
      <c r="AE1326" s="117" t="str">
        <f>+'Packing Material - Cost'!A1327</f>
        <v/>
      </c>
    </row>
    <row r="1327" spans="27:31">
      <c r="AA1327" s="117">
        <f>+'Ingredient List - Mother Tinctu'!D1328</f>
        <v>0</v>
      </c>
      <c r="AB1327" s="117">
        <f t="shared" si="23"/>
        <v>0</v>
      </c>
      <c r="AC1327" s="117" t="str">
        <f>IF(AB1327=1,COUNTIF($AB$3:AB1327,1),"")</f>
        <v/>
      </c>
      <c r="AD1327" s="117" t="str">
        <f>IFERROR(INDEX($AA$3:$AA$10000,MATCH(ROWS($AC$3:AC1327),$AC$3:$AC$10000,0)),"")</f>
        <v/>
      </c>
      <c r="AE1327" s="117" t="str">
        <f>+'Packing Material - Cost'!A1328</f>
        <v/>
      </c>
    </row>
    <row r="1328" spans="27:31">
      <c r="AA1328" s="117">
        <f>+'Ingredient List - Mother Tinctu'!D1329</f>
        <v>0</v>
      </c>
      <c r="AB1328" s="117">
        <f t="shared" si="23"/>
        <v>0</v>
      </c>
      <c r="AC1328" s="117" t="str">
        <f>IF(AB1328=1,COUNTIF($AB$3:AB1328,1),"")</f>
        <v/>
      </c>
      <c r="AD1328" s="117" t="str">
        <f>IFERROR(INDEX($AA$3:$AA$10000,MATCH(ROWS($AC$3:AC1328),$AC$3:$AC$10000,0)),"")</f>
        <v/>
      </c>
      <c r="AE1328" s="117" t="str">
        <f>+'Packing Material - Cost'!A1329</f>
        <v/>
      </c>
    </row>
    <row r="1329" spans="27:31">
      <c r="AA1329" s="117">
        <f>+'Ingredient List - Mother Tinctu'!D1330</f>
        <v>0</v>
      </c>
      <c r="AB1329" s="117">
        <f t="shared" si="23"/>
        <v>0</v>
      </c>
      <c r="AC1329" s="117" t="str">
        <f>IF(AB1329=1,COUNTIF($AB$3:AB1329,1),"")</f>
        <v/>
      </c>
      <c r="AD1329" s="117" t="str">
        <f>IFERROR(INDEX($AA$3:$AA$10000,MATCH(ROWS($AC$3:AC1329),$AC$3:$AC$10000,0)),"")</f>
        <v/>
      </c>
      <c r="AE1329" s="117" t="str">
        <f>+'Packing Material - Cost'!A1330</f>
        <v/>
      </c>
    </row>
    <row r="1330" spans="27:31">
      <c r="AA1330" s="117">
        <f>+'Ingredient List - Mother Tinctu'!D1331</f>
        <v>0</v>
      </c>
      <c r="AB1330" s="117">
        <f t="shared" si="23"/>
        <v>0</v>
      </c>
      <c r="AC1330" s="117" t="str">
        <f>IF(AB1330=1,COUNTIF($AB$3:AB1330,1),"")</f>
        <v/>
      </c>
      <c r="AD1330" s="117" t="str">
        <f>IFERROR(INDEX($AA$3:$AA$10000,MATCH(ROWS($AC$3:AC1330),$AC$3:$AC$10000,0)),"")</f>
        <v/>
      </c>
      <c r="AE1330" s="117" t="str">
        <f>+'Packing Material - Cost'!A1331</f>
        <v/>
      </c>
    </row>
    <row r="1331" spans="27:31">
      <c r="AA1331" s="117">
        <f>+'Ingredient List - Mother Tinctu'!D1332</f>
        <v>0</v>
      </c>
      <c r="AB1331" s="117">
        <f t="shared" si="23"/>
        <v>0</v>
      </c>
      <c r="AC1331" s="117" t="str">
        <f>IF(AB1331=1,COUNTIF($AB$3:AB1331,1),"")</f>
        <v/>
      </c>
      <c r="AD1331" s="117" t="str">
        <f>IFERROR(INDEX($AA$3:$AA$10000,MATCH(ROWS($AC$3:AC1331),$AC$3:$AC$10000,0)),"")</f>
        <v/>
      </c>
      <c r="AE1331" s="117" t="str">
        <f>+'Packing Material - Cost'!A1332</f>
        <v/>
      </c>
    </row>
    <row r="1332" spans="27:31">
      <c r="AA1332" s="117">
        <f>+'Ingredient List - Mother Tinctu'!D1333</f>
        <v>0</v>
      </c>
      <c r="AB1332" s="117">
        <f t="shared" si="23"/>
        <v>0</v>
      </c>
      <c r="AC1332" s="117" t="str">
        <f>IF(AB1332=1,COUNTIF($AB$3:AB1332,1),"")</f>
        <v/>
      </c>
      <c r="AD1332" s="117" t="str">
        <f>IFERROR(INDEX($AA$3:$AA$10000,MATCH(ROWS($AC$3:AC1332),$AC$3:$AC$10000,0)),"")</f>
        <v/>
      </c>
      <c r="AE1332" s="117" t="str">
        <f>+'Packing Material - Cost'!A1333</f>
        <v/>
      </c>
    </row>
    <row r="1333" spans="27:31">
      <c r="AA1333" s="117">
        <f>+'Ingredient List - Mother Tinctu'!D1334</f>
        <v>0</v>
      </c>
      <c r="AB1333" s="117">
        <f t="shared" si="23"/>
        <v>0</v>
      </c>
      <c r="AC1333" s="117" t="str">
        <f>IF(AB1333=1,COUNTIF($AB$3:AB1333,1),"")</f>
        <v/>
      </c>
      <c r="AD1333" s="117" t="str">
        <f>IFERROR(INDEX($AA$3:$AA$10000,MATCH(ROWS($AC$3:AC1333),$AC$3:$AC$10000,0)),"")</f>
        <v/>
      </c>
      <c r="AE1333" s="117" t="str">
        <f>+'Packing Material - Cost'!A1334</f>
        <v/>
      </c>
    </row>
    <row r="1334" spans="27:31">
      <c r="AA1334" s="117">
        <f>+'Ingredient List - Mother Tinctu'!D1335</f>
        <v>0</v>
      </c>
      <c r="AB1334" s="117">
        <f t="shared" si="23"/>
        <v>0</v>
      </c>
      <c r="AC1334" s="117" t="str">
        <f>IF(AB1334=1,COUNTIF($AB$3:AB1334,1),"")</f>
        <v/>
      </c>
      <c r="AD1334" s="117" t="str">
        <f>IFERROR(INDEX($AA$3:$AA$10000,MATCH(ROWS($AC$3:AC1334),$AC$3:$AC$10000,0)),"")</f>
        <v/>
      </c>
      <c r="AE1334" s="117" t="str">
        <f>+'Packing Material - Cost'!A1335</f>
        <v/>
      </c>
    </row>
    <row r="1335" spans="27:31">
      <c r="AA1335" s="117">
        <f>+'Ingredient List - Mother Tinctu'!D1336</f>
        <v>0</v>
      </c>
      <c r="AB1335" s="117">
        <f t="shared" si="23"/>
        <v>0</v>
      </c>
      <c r="AC1335" s="117" t="str">
        <f>IF(AB1335=1,COUNTIF($AB$3:AB1335,1),"")</f>
        <v/>
      </c>
      <c r="AD1335" s="117" t="str">
        <f>IFERROR(INDEX($AA$3:$AA$10000,MATCH(ROWS($AC$3:AC1335),$AC$3:$AC$10000,0)),"")</f>
        <v/>
      </c>
      <c r="AE1335" s="117" t="str">
        <f>+'Packing Material - Cost'!A1336</f>
        <v/>
      </c>
    </row>
    <row r="1336" spans="27:31">
      <c r="AA1336" s="117">
        <f>+'Ingredient List - Mother Tinctu'!D1337</f>
        <v>0</v>
      </c>
      <c r="AB1336" s="117">
        <f t="shared" si="23"/>
        <v>0</v>
      </c>
      <c r="AC1336" s="117" t="str">
        <f>IF(AB1336=1,COUNTIF($AB$3:AB1336,1),"")</f>
        <v/>
      </c>
      <c r="AD1336" s="117" t="str">
        <f>IFERROR(INDEX($AA$3:$AA$10000,MATCH(ROWS($AC$3:AC1336),$AC$3:$AC$10000,0)),"")</f>
        <v/>
      </c>
      <c r="AE1336" s="117" t="str">
        <f>+'Packing Material - Cost'!A1337</f>
        <v/>
      </c>
    </row>
    <row r="1337" spans="27:31">
      <c r="AA1337" s="117">
        <f>+'Ingredient List - Mother Tinctu'!D1338</f>
        <v>0</v>
      </c>
      <c r="AB1337" s="117">
        <f t="shared" si="23"/>
        <v>0</v>
      </c>
      <c r="AC1337" s="117" t="str">
        <f>IF(AB1337=1,COUNTIF($AB$3:AB1337,1),"")</f>
        <v/>
      </c>
      <c r="AD1337" s="117" t="str">
        <f>IFERROR(INDEX($AA$3:$AA$10000,MATCH(ROWS($AC$3:AC1337),$AC$3:$AC$10000,0)),"")</f>
        <v/>
      </c>
      <c r="AE1337" s="117" t="str">
        <f>+'Packing Material - Cost'!A1338</f>
        <v/>
      </c>
    </row>
    <row r="1338" spans="27:31">
      <c r="AA1338" s="117">
        <f>+'Ingredient List - Mother Tinctu'!D1339</f>
        <v>0</v>
      </c>
      <c r="AB1338" s="117">
        <f t="shared" si="23"/>
        <v>0</v>
      </c>
      <c r="AC1338" s="117" t="str">
        <f>IF(AB1338=1,COUNTIF($AB$3:AB1338,1),"")</f>
        <v/>
      </c>
      <c r="AD1338" s="117" t="str">
        <f>IFERROR(INDEX($AA$3:$AA$10000,MATCH(ROWS($AC$3:AC1338),$AC$3:$AC$10000,0)),"")</f>
        <v/>
      </c>
      <c r="AE1338" s="117" t="str">
        <f>+'Packing Material - Cost'!A1339</f>
        <v/>
      </c>
    </row>
    <row r="1339" spans="27:31">
      <c r="AA1339" s="117">
        <f>+'Ingredient List - Mother Tinctu'!D1340</f>
        <v>0</v>
      </c>
      <c r="AB1339" s="117">
        <f t="shared" si="23"/>
        <v>0</v>
      </c>
      <c r="AC1339" s="117" t="str">
        <f>IF(AB1339=1,COUNTIF($AB$3:AB1339,1),"")</f>
        <v/>
      </c>
      <c r="AD1339" s="117" t="str">
        <f>IFERROR(INDEX($AA$3:$AA$10000,MATCH(ROWS($AC$3:AC1339),$AC$3:$AC$10000,0)),"")</f>
        <v/>
      </c>
      <c r="AE1339" s="117" t="str">
        <f>+'Packing Material - Cost'!A1340</f>
        <v/>
      </c>
    </row>
    <row r="1340" spans="27:31">
      <c r="AA1340" s="117">
        <f>+'Ingredient List - Mother Tinctu'!D1341</f>
        <v>0</v>
      </c>
      <c r="AB1340" s="117">
        <f t="shared" si="23"/>
        <v>0</v>
      </c>
      <c r="AC1340" s="117" t="str">
        <f>IF(AB1340=1,COUNTIF($AB$3:AB1340,1),"")</f>
        <v/>
      </c>
      <c r="AD1340" s="117" t="str">
        <f>IFERROR(INDEX($AA$3:$AA$10000,MATCH(ROWS($AC$3:AC1340),$AC$3:$AC$10000,0)),"")</f>
        <v/>
      </c>
      <c r="AE1340" s="117" t="str">
        <f>+'Packing Material - Cost'!A1341</f>
        <v/>
      </c>
    </row>
    <row r="1341" spans="27:31">
      <c r="AA1341" s="117">
        <f>+'Ingredient List - Mother Tinctu'!D1342</f>
        <v>0</v>
      </c>
      <c r="AB1341" s="117">
        <f t="shared" si="23"/>
        <v>0</v>
      </c>
      <c r="AC1341" s="117" t="str">
        <f>IF(AB1341=1,COUNTIF($AB$3:AB1341,1),"")</f>
        <v/>
      </c>
      <c r="AD1341" s="117" t="str">
        <f>IFERROR(INDEX($AA$3:$AA$10000,MATCH(ROWS($AC$3:AC1341),$AC$3:$AC$10000,0)),"")</f>
        <v/>
      </c>
      <c r="AE1341" s="117" t="str">
        <f>+'Packing Material - Cost'!A1342</f>
        <v/>
      </c>
    </row>
    <row r="1342" spans="27:31">
      <c r="AA1342" s="117">
        <f>+'Ingredient List - Mother Tinctu'!D1343</f>
        <v>0</v>
      </c>
      <c r="AB1342" s="117">
        <f t="shared" si="23"/>
        <v>0</v>
      </c>
      <c r="AC1342" s="117" t="str">
        <f>IF(AB1342=1,COUNTIF($AB$3:AB1342,1),"")</f>
        <v/>
      </c>
      <c r="AD1342" s="117" t="str">
        <f>IFERROR(INDEX($AA$3:$AA$10000,MATCH(ROWS($AC$3:AC1342),$AC$3:$AC$10000,0)),"")</f>
        <v/>
      </c>
      <c r="AE1342" s="117" t="str">
        <f>+'Packing Material - Cost'!A1343</f>
        <v/>
      </c>
    </row>
    <row r="1343" spans="27:31">
      <c r="AA1343" s="117">
        <f>+'Ingredient List - Mother Tinctu'!D1344</f>
        <v>0</v>
      </c>
      <c r="AB1343" s="117">
        <f t="shared" si="23"/>
        <v>0</v>
      </c>
      <c r="AC1343" s="117" t="str">
        <f>IF(AB1343=1,COUNTIF($AB$3:AB1343,1),"")</f>
        <v/>
      </c>
      <c r="AD1343" s="117" t="str">
        <f>IFERROR(INDEX($AA$3:$AA$10000,MATCH(ROWS($AC$3:AC1343),$AC$3:$AC$10000,0)),"")</f>
        <v/>
      </c>
      <c r="AE1343" s="117" t="str">
        <f>+'Packing Material - Cost'!A1344</f>
        <v/>
      </c>
    </row>
    <row r="1344" spans="27:31">
      <c r="AA1344" s="117">
        <f>+'Ingredient List - Mother Tinctu'!D1345</f>
        <v>0</v>
      </c>
      <c r="AB1344" s="117">
        <f t="shared" si="23"/>
        <v>0</v>
      </c>
      <c r="AC1344" s="117" t="str">
        <f>IF(AB1344=1,COUNTIF($AB$3:AB1344,1),"")</f>
        <v/>
      </c>
      <c r="AD1344" s="117" t="str">
        <f>IFERROR(INDEX($AA$3:$AA$10000,MATCH(ROWS($AC$3:AC1344),$AC$3:$AC$10000,0)),"")</f>
        <v/>
      </c>
      <c r="AE1344" s="117" t="str">
        <f>+'Packing Material - Cost'!A1345</f>
        <v/>
      </c>
    </row>
    <row r="1345" spans="27:31">
      <c r="AA1345" s="117">
        <f>+'Ingredient List - Mother Tinctu'!D1346</f>
        <v>0</v>
      </c>
      <c r="AB1345" s="117">
        <f t="shared" si="23"/>
        <v>0</v>
      </c>
      <c r="AC1345" s="117" t="str">
        <f>IF(AB1345=1,COUNTIF($AB$3:AB1345,1),"")</f>
        <v/>
      </c>
      <c r="AD1345" s="117" t="str">
        <f>IFERROR(INDEX($AA$3:$AA$10000,MATCH(ROWS($AC$3:AC1345),$AC$3:$AC$10000,0)),"")</f>
        <v/>
      </c>
      <c r="AE1345" s="117" t="str">
        <f>+'Packing Material - Cost'!A1346</f>
        <v/>
      </c>
    </row>
    <row r="1346" spans="27:31">
      <c r="AA1346" s="117">
        <f>+'Ingredient List - Mother Tinctu'!D1347</f>
        <v>0</v>
      </c>
      <c r="AB1346" s="117">
        <f t="shared" si="23"/>
        <v>0</v>
      </c>
      <c r="AC1346" s="117" t="str">
        <f>IF(AB1346=1,COUNTIF($AB$3:AB1346,1),"")</f>
        <v/>
      </c>
      <c r="AD1346" s="117" t="str">
        <f>IFERROR(INDEX($AA$3:$AA$10000,MATCH(ROWS($AC$3:AC1346),$AC$3:$AC$10000,0)),"")</f>
        <v/>
      </c>
      <c r="AE1346" s="117" t="str">
        <f>+'Packing Material - Cost'!A1347</f>
        <v/>
      </c>
    </row>
    <row r="1347" spans="27:31">
      <c r="AA1347" s="117">
        <f>+'Ingredient List - Mother Tinctu'!D1348</f>
        <v>0</v>
      </c>
      <c r="AB1347" s="117">
        <f t="shared" si="23"/>
        <v>0</v>
      </c>
      <c r="AC1347" s="117" t="str">
        <f>IF(AB1347=1,COUNTIF($AB$3:AB1347,1),"")</f>
        <v/>
      </c>
      <c r="AD1347" s="117" t="str">
        <f>IFERROR(INDEX($AA$3:$AA$10000,MATCH(ROWS($AC$3:AC1347),$AC$3:$AC$10000,0)),"")</f>
        <v/>
      </c>
      <c r="AE1347" s="117" t="str">
        <f>+'Packing Material - Cost'!A1348</f>
        <v/>
      </c>
    </row>
    <row r="1348" spans="27:31">
      <c r="AA1348" s="117">
        <f>+'Ingredient List - Mother Tinctu'!D1349</f>
        <v>0</v>
      </c>
      <c r="AB1348" s="117">
        <f t="shared" ref="AB1348:AB1411" si="24">--ISNUMBER(IFERROR(SEARCH($D$3,AA1348,1),""))</f>
        <v>0</v>
      </c>
      <c r="AC1348" s="117" t="str">
        <f>IF(AB1348=1,COUNTIF($AB$3:AB1348,1),"")</f>
        <v/>
      </c>
      <c r="AD1348" s="117" t="str">
        <f>IFERROR(INDEX($AA$3:$AA$10000,MATCH(ROWS($AC$3:AC1348),$AC$3:$AC$10000,0)),"")</f>
        <v/>
      </c>
      <c r="AE1348" s="117" t="str">
        <f>+'Packing Material - Cost'!A1349</f>
        <v/>
      </c>
    </row>
    <row r="1349" spans="27:31">
      <c r="AA1349" s="117">
        <f>+'Ingredient List - Mother Tinctu'!D1350</f>
        <v>0</v>
      </c>
      <c r="AB1349" s="117">
        <f t="shared" si="24"/>
        <v>0</v>
      </c>
      <c r="AC1349" s="117" t="str">
        <f>IF(AB1349=1,COUNTIF($AB$3:AB1349,1),"")</f>
        <v/>
      </c>
      <c r="AD1349" s="117" t="str">
        <f>IFERROR(INDEX($AA$3:$AA$10000,MATCH(ROWS($AC$3:AC1349),$AC$3:$AC$10000,0)),"")</f>
        <v/>
      </c>
      <c r="AE1349" s="117" t="str">
        <f>+'Packing Material - Cost'!A1350</f>
        <v/>
      </c>
    </row>
    <row r="1350" spans="27:31">
      <c r="AA1350" s="117">
        <f>+'Ingredient List - Mother Tinctu'!D1351</f>
        <v>0</v>
      </c>
      <c r="AB1350" s="117">
        <f t="shared" si="24"/>
        <v>0</v>
      </c>
      <c r="AC1350" s="117" t="str">
        <f>IF(AB1350=1,COUNTIF($AB$3:AB1350,1),"")</f>
        <v/>
      </c>
      <c r="AD1350" s="117" t="str">
        <f>IFERROR(INDEX($AA$3:$AA$10000,MATCH(ROWS($AC$3:AC1350),$AC$3:$AC$10000,0)),"")</f>
        <v/>
      </c>
      <c r="AE1350" s="117" t="str">
        <f>+'Packing Material - Cost'!A1351</f>
        <v/>
      </c>
    </row>
    <row r="1351" spans="27:31">
      <c r="AA1351" s="117">
        <f>+'Ingredient List - Mother Tinctu'!D1352</f>
        <v>0</v>
      </c>
      <c r="AB1351" s="117">
        <f t="shared" si="24"/>
        <v>0</v>
      </c>
      <c r="AC1351" s="117" t="str">
        <f>IF(AB1351=1,COUNTIF($AB$3:AB1351,1),"")</f>
        <v/>
      </c>
      <c r="AD1351" s="117" t="str">
        <f>IFERROR(INDEX($AA$3:$AA$10000,MATCH(ROWS($AC$3:AC1351),$AC$3:$AC$10000,0)),"")</f>
        <v/>
      </c>
      <c r="AE1351" s="117" t="str">
        <f>+'Packing Material - Cost'!A1352</f>
        <v/>
      </c>
    </row>
    <row r="1352" spans="27:31">
      <c r="AA1352" s="117">
        <f>+'Ingredient List - Mother Tinctu'!D1353</f>
        <v>0</v>
      </c>
      <c r="AB1352" s="117">
        <f t="shared" si="24"/>
        <v>0</v>
      </c>
      <c r="AC1352" s="117" t="str">
        <f>IF(AB1352=1,COUNTIF($AB$3:AB1352,1),"")</f>
        <v/>
      </c>
      <c r="AD1352" s="117" t="str">
        <f>IFERROR(INDEX($AA$3:$AA$10000,MATCH(ROWS($AC$3:AC1352),$AC$3:$AC$10000,0)),"")</f>
        <v/>
      </c>
      <c r="AE1352" s="117" t="str">
        <f>+'Packing Material - Cost'!A1353</f>
        <v/>
      </c>
    </row>
    <row r="1353" spans="27:31">
      <c r="AA1353" s="117">
        <f>+'Ingredient List - Mother Tinctu'!D1354</f>
        <v>0</v>
      </c>
      <c r="AB1353" s="117">
        <f t="shared" si="24"/>
        <v>0</v>
      </c>
      <c r="AC1353" s="117" t="str">
        <f>IF(AB1353=1,COUNTIF($AB$3:AB1353,1),"")</f>
        <v/>
      </c>
      <c r="AD1353" s="117" t="str">
        <f>IFERROR(INDEX($AA$3:$AA$10000,MATCH(ROWS($AC$3:AC1353),$AC$3:$AC$10000,0)),"")</f>
        <v/>
      </c>
      <c r="AE1353" s="117" t="str">
        <f>+'Packing Material - Cost'!A1354</f>
        <v/>
      </c>
    </row>
    <row r="1354" spans="27:31">
      <c r="AA1354" s="117">
        <f>+'Ingredient List - Mother Tinctu'!D1355</f>
        <v>0</v>
      </c>
      <c r="AB1354" s="117">
        <f t="shared" si="24"/>
        <v>0</v>
      </c>
      <c r="AC1354" s="117" t="str">
        <f>IF(AB1354=1,COUNTIF($AB$3:AB1354,1),"")</f>
        <v/>
      </c>
      <c r="AD1354" s="117" t="str">
        <f>IFERROR(INDEX($AA$3:$AA$10000,MATCH(ROWS($AC$3:AC1354),$AC$3:$AC$10000,0)),"")</f>
        <v/>
      </c>
      <c r="AE1354" s="117" t="str">
        <f>+'Packing Material - Cost'!A1355</f>
        <v/>
      </c>
    </row>
    <row r="1355" spans="27:31">
      <c r="AA1355" s="117">
        <f>+'Ingredient List - Mother Tinctu'!D1356</f>
        <v>0</v>
      </c>
      <c r="AB1355" s="117">
        <f t="shared" si="24"/>
        <v>0</v>
      </c>
      <c r="AC1355" s="117" t="str">
        <f>IF(AB1355=1,COUNTIF($AB$3:AB1355,1),"")</f>
        <v/>
      </c>
      <c r="AD1355" s="117" t="str">
        <f>IFERROR(INDEX($AA$3:$AA$10000,MATCH(ROWS($AC$3:AC1355),$AC$3:$AC$10000,0)),"")</f>
        <v/>
      </c>
      <c r="AE1355" s="117" t="str">
        <f>+'Packing Material - Cost'!A1356</f>
        <v/>
      </c>
    </row>
    <row r="1356" spans="27:31">
      <c r="AA1356" s="117">
        <f>+'Ingredient List - Mother Tinctu'!D1357</f>
        <v>0</v>
      </c>
      <c r="AB1356" s="117">
        <f t="shared" si="24"/>
        <v>0</v>
      </c>
      <c r="AC1356" s="117" t="str">
        <f>IF(AB1356=1,COUNTIF($AB$3:AB1356,1),"")</f>
        <v/>
      </c>
      <c r="AD1356" s="117" t="str">
        <f>IFERROR(INDEX($AA$3:$AA$10000,MATCH(ROWS($AC$3:AC1356),$AC$3:$AC$10000,0)),"")</f>
        <v/>
      </c>
      <c r="AE1356" s="117" t="str">
        <f>+'Packing Material - Cost'!A1357</f>
        <v/>
      </c>
    </row>
    <row r="1357" spans="27:31">
      <c r="AA1357" s="117">
        <f>+'Ingredient List - Mother Tinctu'!D1358</f>
        <v>0</v>
      </c>
      <c r="AB1357" s="117">
        <f t="shared" si="24"/>
        <v>0</v>
      </c>
      <c r="AC1357" s="117" t="str">
        <f>IF(AB1357=1,COUNTIF($AB$3:AB1357,1),"")</f>
        <v/>
      </c>
      <c r="AD1357" s="117" t="str">
        <f>IFERROR(INDEX($AA$3:$AA$10000,MATCH(ROWS($AC$3:AC1357),$AC$3:$AC$10000,0)),"")</f>
        <v/>
      </c>
      <c r="AE1357" s="117" t="str">
        <f>+'Packing Material - Cost'!A1358</f>
        <v/>
      </c>
    </row>
    <row r="1358" spans="27:31">
      <c r="AA1358" s="117">
        <f>+'Ingredient List - Mother Tinctu'!D1359</f>
        <v>0</v>
      </c>
      <c r="AB1358" s="117">
        <f t="shared" si="24"/>
        <v>0</v>
      </c>
      <c r="AC1358" s="117" t="str">
        <f>IF(AB1358=1,COUNTIF($AB$3:AB1358,1),"")</f>
        <v/>
      </c>
      <c r="AD1358" s="117" t="str">
        <f>IFERROR(INDEX($AA$3:$AA$10000,MATCH(ROWS($AC$3:AC1358),$AC$3:$AC$10000,0)),"")</f>
        <v/>
      </c>
      <c r="AE1358" s="117" t="str">
        <f>+'Packing Material - Cost'!A1359</f>
        <v/>
      </c>
    </row>
    <row r="1359" spans="27:31">
      <c r="AA1359" s="117">
        <f>+'Ingredient List - Mother Tinctu'!D1360</f>
        <v>0</v>
      </c>
      <c r="AB1359" s="117">
        <f t="shared" si="24"/>
        <v>0</v>
      </c>
      <c r="AC1359" s="117" t="str">
        <f>IF(AB1359=1,COUNTIF($AB$3:AB1359,1),"")</f>
        <v/>
      </c>
      <c r="AD1359" s="117" t="str">
        <f>IFERROR(INDEX($AA$3:$AA$10000,MATCH(ROWS($AC$3:AC1359),$AC$3:$AC$10000,0)),"")</f>
        <v/>
      </c>
      <c r="AE1359" s="117" t="str">
        <f>+'Packing Material - Cost'!A1360</f>
        <v/>
      </c>
    </row>
    <row r="1360" spans="27:31">
      <c r="AA1360" s="117">
        <f>+'Ingredient List - Mother Tinctu'!D1361</f>
        <v>0</v>
      </c>
      <c r="AB1360" s="117">
        <f t="shared" si="24"/>
        <v>0</v>
      </c>
      <c r="AC1360" s="117" t="str">
        <f>IF(AB1360=1,COUNTIF($AB$3:AB1360,1),"")</f>
        <v/>
      </c>
      <c r="AD1360" s="117" t="str">
        <f>IFERROR(INDEX($AA$3:$AA$10000,MATCH(ROWS($AC$3:AC1360),$AC$3:$AC$10000,0)),"")</f>
        <v/>
      </c>
      <c r="AE1360" s="117" t="str">
        <f>+'Packing Material - Cost'!A1361</f>
        <v/>
      </c>
    </row>
    <row r="1361" spans="27:31">
      <c r="AA1361" s="117">
        <f>+'Ingredient List - Mother Tinctu'!D1362</f>
        <v>0</v>
      </c>
      <c r="AB1361" s="117">
        <f t="shared" si="24"/>
        <v>0</v>
      </c>
      <c r="AC1361" s="117" t="str">
        <f>IF(AB1361=1,COUNTIF($AB$3:AB1361,1),"")</f>
        <v/>
      </c>
      <c r="AD1361" s="117" t="str">
        <f>IFERROR(INDEX($AA$3:$AA$10000,MATCH(ROWS($AC$3:AC1361),$AC$3:$AC$10000,0)),"")</f>
        <v/>
      </c>
      <c r="AE1361" s="117" t="str">
        <f>+'Packing Material - Cost'!A1362</f>
        <v/>
      </c>
    </row>
    <row r="1362" spans="27:31">
      <c r="AA1362" s="117">
        <f>+'Ingredient List - Mother Tinctu'!D1363</f>
        <v>0</v>
      </c>
      <c r="AB1362" s="117">
        <f t="shared" si="24"/>
        <v>0</v>
      </c>
      <c r="AC1362" s="117" t="str">
        <f>IF(AB1362=1,COUNTIF($AB$3:AB1362,1),"")</f>
        <v/>
      </c>
      <c r="AD1362" s="117" t="str">
        <f>IFERROR(INDEX($AA$3:$AA$10000,MATCH(ROWS($AC$3:AC1362),$AC$3:$AC$10000,0)),"")</f>
        <v/>
      </c>
      <c r="AE1362" s="117" t="str">
        <f>+'Packing Material - Cost'!A1363</f>
        <v/>
      </c>
    </row>
    <row r="1363" spans="27:31">
      <c r="AA1363" s="117">
        <f>+'Ingredient List - Mother Tinctu'!D1364</f>
        <v>0</v>
      </c>
      <c r="AB1363" s="117">
        <f t="shared" si="24"/>
        <v>0</v>
      </c>
      <c r="AC1363" s="117" t="str">
        <f>IF(AB1363=1,COUNTIF($AB$3:AB1363,1),"")</f>
        <v/>
      </c>
      <c r="AD1363" s="117" t="str">
        <f>IFERROR(INDEX($AA$3:$AA$10000,MATCH(ROWS($AC$3:AC1363),$AC$3:$AC$10000,0)),"")</f>
        <v/>
      </c>
      <c r="AE1363" s="117" t="str">
        <f>+'Packing Material - Cost'!A1364</f>
        <v/>
      </c>
    </row>
    <row r="1364" spans="27:31">
      <c r="AA1364" s="117">
        <f>+'Ingredient List - Mother Tinctu'!D1365</f>
        <v>0</v>
      </c>
      <c r="AB1364" s="117">
        <f t="shared" si="24"/>
        <v>0</v>
      </c>
      <c r="AC1364" s="117" t="str">
        <f>IF(AB1364=1,COUNTIF($AB$3:AB1364,1),"")</f>
        <v/>
      </c>
      <c r="AD1364" s="117" t="str">
        <f>IFERROR(INDEX($AA$3:$AA$10000,MATCH(ROWS($AC$3:AC1364),$AC$3:$AC$10000,0)),"")</f>
        <v/>
      </c>
      <c r="AE1364" s="117" t="str">
        <f>+'Packing Material - Cost'!A1365</f>
        <v/>
      </c>
    </row>
    <row r="1365" spans="27:31">
      <c r="AA1365" s="117">
        <f>+'Ingredient List - Mother Tinctu'!D1366</f>
        <v>0</v>
      </c>
      <c r="AB1365" s="117">
        <f t="shared" si="24"/>
        <v>0</v>
      </c>
      <c r="AC1365" s="117" t="str">
        <f>IF(AB1365=1,COUNTIF($AB$3:AB1365,1),"")</f>
        <v/>
      </c>
      <c r="AD1365" s="117" t="str">
        <f>IFERROR(INDEX($AA$3:$AA$10000,MATCH(ROWS($AC$3:AC1365),$AC$3:$AC$10000,0)),"")</f>
        <v/>
      </c>
      <c r="AE1365" s="117" t="str">
        <f>+'Packing Material - Cost'!A1366</f>
        <v/>
      </c>
    </row>
    <row r="1366" spans="27:31">
      <c r="AA1366" s="117">
        <f>+'Ingredient List - Mother Tinctu'!D1367</f>
        <v>0</v>
      </c>
      <c r="AB1366" s="117">
        <f t="shared" si="24"/>
        <v>0</v>
      </c>
      <c r="AC1366" s="117" t="str">
        <f>IF(AB1366=1,COUNTIF($AB$3:AB1366,1),"")</f>
        <v/>
      </c>
      <c r="AD1366" s="117" t="str">
        <f>IFERROR(INDEX($AA$3:$AA$10000,MATCH(ROWS($AC$3:AC1366),$AC$3:$AC$10000,0)),"")</f>
        <v/>
      </c>
      <c r="AE1366" s="117" t="str">
        <f>+'Packing Material - Cost'!A1367</f>
        <v/>
      </c>
    </row>
    <row r="1367" spans="27:31">
      <c r="AA1367" s="117">
        <f>+'Ingredient List - Mother Tinctu'!D1368</f>
        <v>0</v>
      </c>
      <c r="AB1367" s="117">
        <f t="shared" si="24"/>
        <v>0</v>
      </c>
      <c r="AC1367" s="117" t="str">
        <f>IF(AB1367=1,COUNTIF($AB$3:AB1367,1),"")</f>
        <v/>
      </c>
      <c r="AD1367" s="117" t="str">
        <f>IFERROR(INDEX($AA$3:$AA$10000,MATCH(ROWS($AC$3:AC1367),$AC$3:$AC$10000,0)),"")</f>
        <v/>
      </c>
      <c r="AE1367" s="117" t="str">
        <f>+'Packing Material - Cost'!A1368</f>
        <v/>
      </c>
    </row>
    <row r="1368" spans="27:31">
      <c r="AA1368" s="117">
        <f>+'Ingredient List - Mother Tinctu'!D1369</f>
        <v>0</v>
      </c>
      <c r="AB1368" s="117">
        <f t="shared" si="24"/>
        <v>0</v>
      </c>
      <c r="AC1368" s="117" t="str">
        <f>IF(AB1368=1,COUNTIF($AB$3:AB1368,1),"")</f>
        <v/>
      </c>
      <c r="AD1368" s="117" t="str">
        <f>IFERROR(INDEX($AA$3:$AA$10000,MATCH(ROWS($AC$3:AC1368),$AC$3:$AC$10000,0)),"")</f>
        <v/>
      </c>
      <c r="AE1368" s="117" t="str">
        <f>+'Packing Material - Cost'!A1369</f>
        <v/>
      </c>
    </row>
    <row r="1369" spans="27:31">
      <c r="AA1369" s="117">
        <f>+'Ingredient List - Mother Tinctu'!D1370</f>
        <v>0</v>
      </c>
      <c r="AB1369" s="117">
        <f t="shared" si="24"/>
        <v>0</v>
      </c>
      <c r="AC1369" s="117" t="str">
        <f>IF(AB1369=1,COUNTIF($AB$3:AB1369,1),"")</f>
        <v/>
      </c>
      <c r="AD1369" s="117" t="str">
        <f>IFERROR(INDEX($AA$3:$AA$10000,MATCH(ROWS($AC$3:AC1369),$AC$3:$AC$10000,0)),"")</f>
        <v/>
      </c>
      <c r="AE1369" s="117" t="str">
        <f>+'Packing Material - Cost'!A1370</f>
        <v/>
      </c>
    </row>
    <row r="1370" spans="27:31">
      <c r="AA1370" s="117">
        <f>+'Ingredient List - Mother Tinctu'!D1371</f>
        <v>0</v>
      </c>
      <c r="AB1370" s="117">
        <f t="shared" si="24"/>
        <v>0</v>
      </c>
      <c r="AC1370" s="117" t="str">
        <f>IF(AB1370=1,COUNTIF($AB$3:AB1370,1),"")</f>
        <v/>
      </c>
      <c r="AD1370" s="117" t="str">
        <f>IFERROR(INDEX($AA$3:$AA$10000,MATCH(ROWS($AC$3:AC1370),$AC$3:$AC$10000,0)),"")</f>
        <v/>
      </c>
      <c r="AE1370" s="117" t="str">
        <f>+'Packing Material - Cost'!A1371</f>
        <v/>
      </c>
    </row>
    <row r="1371" spans="27:31">
      <c r="AA1371" s="117">
        <f>+'Ingredient List - Mother Tinctu'!D1372</f>
        <v>0</v>
      </c>
      <c r="AB1371" s="117">
        <f t="shared" si="24"/>
        <v>0</v>
      </c>
      <c r="AC1371" s="117" t="str">
        <f>IF(AB1371=1,COUNTIF($AB$3:AB1371,1),"")</f>
        <v/>
      </c>
      <c r="AD1371" s="117" t="str">
        <f>IFERROR(INDEX($AA$3:$AA$10000,MATCH(ROWS($AC$3:AC1371),$AC$3:$AC$10000,0)),"")</f>
        <v/>
      </c>
      <c r="AE1371" s="117" t="str">
        <f>+'Packing Material - Cost'!A1372</f>
        <v/>
      </c>
    </row>
    <row r="1372" spans="27:31">
      <c r="AA1372" s="117">
        <f>+'Ingredient List - Mother Tinctu'!D1373</f>
        <v>0</v>
      </c>
      <c r="AB1372" s="117">
        <f t="shared" si="24"/>
        <v>0</v>
      </c>
      <c r="AC1372" s="117" t="str">
        <f>IF(AB1372=1,COUNTIF($AB$3:AB1372,1),"")</f>
        <v/>
      </c>
      <c r="AD1372" s="117" t="str">
        <f>IFERROR(INDEX($AA$3:$AA$10000,MATCH(ROWS($AC$3:AC1372),$AC$3:$AC$10000,0)),"")</f>
        <v/>
      </c>
      <c r="AE1372" s="117" t="str">
        <f>+'Packing Material - Cost'!A1373</f>
        <v/>
      </c>
    </row>
    <row r="1373" spans="27:31">
      <c r="AA1373" s="117">
        <f>+'Ingredient List - Mother Tinctu'!D1374</f>
        <v>0</v>
      </c>
      <c r="AB1373" s="117">
        <f t="shared" si="24"/>
        <v>0</v>
      </c>
      <c r="AC1373" s="117" t="str">
        <f>IF(AB1373=1,COUNTIF($AB$3:AB1373,1),"")</f>
        <v/>
      </c>
      <c r="AD1373" s="117" t="str">
        <f>IFERROR(INDEX($AA$3:$AA$10000,MATCH(ROWS($AC$3:AC1373),$AC$3:$AC$10000,0)),"")</f>
        <v/>
      </c>
      <c r="AE1373" s="117" t="str">
        <f>+'Packing Material - Cost'!A1374</f>
        <v/>
      </c>
    </row>
    <row r="1374" spans="27:31">
      <c r="AA1374" s="117">
        <f>+'Ingredient List - Mother Tinctu'!D1375</f>
        <v>0</v>
      </c>
      <c r="AB1374" s="117">
        <f t="shared" si="24"/>
        <v>0</v>
      </c>
      <c r="AC1374" s="117" t="str">
        <f>IF(AB1374=1,COUNTIF($AB$3:AB1374,1),"")</f>
        <v/>
      </c>
      <c r="AD1374" s="117" t="str">
        <f>IFERROR(INDEX($AA$3:$AA$10000,MATCH(ROWS($AC$3:AC1374),$AC$3:$AC$10000,0)),"")</f>
        <v/>
      </c>
      <c r="AE1374" s="117" t="str">
        <f>+'Packing Material - Cost'!A1375</f>
        <v/>
      </c>
    </row>
    <row r="1375" spans="27:31">
      <c r="AA1375" s="117">
        <f>+'Ingredient List - Mother Tinctu'!D1376</f>
        <v>0</v>
      </c>
      <c r="AB1375" s="117">
        <f t="shared" si="24"/>
        <v>0</v>
      </c>
      <c r="AC1375" s="117" t="str">
        <f>IF(AB1375=1,COUNTIF($AB$3:AB1375,1),"")</f>
        <v/>
      </c>
      <c r="AD1375" s="117" t="str">
        <f>IFERROR(INDEX($AA$3:$AA$10000,MATCH(ROWS($AC$3:AC1375),$AC$3:$AC$10000,0)),"")</f>
        <v/>
      </c>
      <c r="AE1375" s="117" t="str">
        <f>+'Packing Material - Cost'!A1376</f>
        <v/>
      </c>
    </row>
    <row r="1376" spans="27:31">
      <c r="AA1376" s="117">
        <f>+'Ingredient List - Mother Tinctu'!D1377</f>
        <v>0</v>
      </c>
      <c r="AB1376" s="117">
        <f t="shared" si="24"/>
        <v>0</v>
      </c>
      <c r="AC1376" s="117" t="str">
        <f>IF(AB1376=1,COUNTIF($AB$3:AB1376,1),"")</f>
        <v/>
      </c>
      <c r="AD1376" s="117" t="str">
        <f>IFERROR(INDEX($AA$3:$AA$10000,MATCH(ROWS($AC$3:AC1376),$AC$3:$AC$10000,0)),"")</f>
        <v/>
      </c>
      <c r="AE1376" s="117" t="str">
        <f>+'Packing Material - Cost'!A1377</f>
        <v/>
      </c>
    </row>
    <row r="1377" spans="27:31">
      <c r="AA1377" s="117">
        <f>+'Ingredient List - Mother Tinctu'!D1378</f>
        <v>0</v>
      </c>
      <c r="AB1377" s="117">
        <f t="shared" si="24"/>
        <v>0</v>
      </c>
      <c r="AC1377" s="117" t="str">
        <f>IF(AB1377=1,COUNTIF($AB$3:AB1377,1),"")</f>
        <v/>
      </c>
      <c r="AD1377" s="117" t="str">
        <f>IFERROR(INDEX($AA$3:$AA$10000,MATCH(ROWS($AC$3:AC1377),$AC$3:$AC$10000,0)),"")</f>
        <v/>
      </c>
      <c r="AE1377" s="117" t="str">
        <f>+'Packing Material - Cost'!A1378</f>
        <v/>
      </c>
    </row>
    <row r="1378" spans="27:31">
      <c r="AA1378" s="117">
        <f>+'Ingredient List - Mother Tinctu'!D1379</f>
        <v>0</v>
      </c>
      <c r="AB1378" s="117">
        <f t="shared" si="24"/>
        <v>0</v>
      </c>
      <c r="AC1378" s="117" t="str">
        <f>IF(AB1378=1,COUNTIF($AB$3:AB1378,1),"")</f>
        <v/>
      </c>
      <c r="AD1378" s="117" t="str">
        <f>IFERROR(INDEX($AA$3:$AA$10000,MATCH(ROWS($AC$3:AC1378),$AC$3:$AC$10000,0)),"")</f>
        <v/>
      </c>
      <c r="AE1378" s="117" t="str">
        <f>+'Packing Material - Cost'!A1379</f>
        <v/>
      </c>
    </row>
    <row r="1379" spans="27:31">
      <c r="AA1379" s="117">
        <f>+'Ingredient List - Mother Tinctu'!D1380</f>
        <v>0</v>
      </c>
      <c r="AB1379" s="117">
        <f t="shared" si="24"/>
        <v>0</v>
      </c>
      <c r="AC1379" s="117" t="str">
        <f>IF(AB1379=1,COUNTIF($AB$3:AB1379,1),"")</f>
        <v/>
      </c>
      <c r="AD1379" s="117" t="str">
        <f>IFERROR(INDEX($AA$3:$AA$10000,MATCH(ROWS($AC$3:AC1379),$AC$3:$AC$10000,0)),"")</f>
        <v/>
      </c>
      <c r="AE1379" s="117" t="str">
        <f>+'Packing Material - Cost'!A1380</f>
        <v/>
      </c>
    </row>
    <row r="1380" spans="27:31">
      <c r="AA1380" s="117">
        <f>+'Ingredient List - Mother Tinctu'!D1381</f>
        <v>0</v>
      </c>
      <c r="AB1380" s="117">
        <f t="shared" si="24"/>
        <v>0</v>
      </c>
      <c r="AC1380" s="117" t="str">
        <f>IF(AB1380=1,COUNTIF($AB$3:AB1380,1),"")</f>
        <v/>
      </c>
      <c r="AD1380" s="117" t="str">
        <f>IFERROR(INDEX($AA$3:$AA$10000,MATCH(ROWS($AC$3:AC1380),$AC$3:$AC$10000,0)),"")</f>
        <v/>
      </c>
      <c r="AE1380" s="117" t="str">
        <f>+'Packing Material - Cost'!A1381</f>
        <v/>
      </c>
    </row>
    <row r="1381" spans="27:31">
      <c r="AA1381" s="117">
        <f>+'Ingredient List - Mother Tinctu'!D1382</f>
        <v>0</v>
      </c>
      <c r="AB1381" s="117">
        <f t="shared" si="24"/>
        <v>0</v>
      </c>
      <c r="AC1381" s="117" t="str">
        <f>IF(AB1381=1,COUNTIF($AB$3:AB1381,1),"")</f>
        <v/>
      </c>
      <c r="AD1381" s="117" t="str">
        <f>IFERROR(INDEX($AA$3:$AA$10000,MATCH(ROWS($AC$3:AC1381),$AC$3:$AC$10000,0)),"")</f>
        <v/>
      </c>
      <c r="AE1381" s="117" t="str">
        <f>+'Packing Material - Cost'!A1382</f>
        <v/>
      </c>
    </row>
    <row r="1382" spans="27:31">
      <c r="AA1382" s="117">
        <f>+'Ingredient List - Mother Tinctu'!D1383</f>
        <v>0</v>
      </c>
      <c r="AB1382" s="117">
        <f t="shared" si="24"/>
        <v>0</v>
      </c>
      <c r="AC1382" s="117" t="str">
        <f>IF(AB1382=1,COUNTIF($AB$3:AB1382,1),"")</f>
        <v/>
      </c>
      <c r="AD1382" s="117" t="str">
        <f>IFERROR(INDEX($AA$3:$AA$10000,MATCH(ROWS($AC$3:AC1382),$AC$3:$AC$10000,0)),"")</f>
        <v/>
      </c>
      <c r="AE1382" s="117" t="str">
        <f>+'Packing Material - Cost'!A1383</f>
        <v/>
      </c>
    </row>
    <row r="1383" spans="27:31">
      <c r="AA1383" s="117">
        <f>+'Ingredient List - Mother Tinctu'!D1384</f>
        <v>0</v>
      </c>
      <c r="AB1383" s="117">
        <f t="shared" si="24"/>
        <v>0</v>
      </c>
      <c r="AC1383" s="117" t="str">
        <f>IF(AB1383=1,COUNTIF($AB$3:AB1383,1),"")</f>
        <v/>
      </c>
      <c r="AD1383" s="117" t="str">
        <f>IFERROR(INDEX($AA$3:$AA$10000,MATCH(ROWS($AC$3:AC1383),$AC$3:$AC$10000,0)),"")</f>
        <v/>
      </c>
      <c r="AE1383" s="117" t="str">
        <f>+'Packing Material - Cost'!A1384</f>
        <v/>
      </c>
    </row>
    <row r="1384" spans="27:31">
      <c r="AA1384" s="117">
        <f>+'Ingredient List - Mother Tinctu'!D1385</f>
        <v>0</v>
      </c>
      <c r="AB1384" s="117">
        <f t="shared" si="24"/>
        <v>0</v>
      </c>
      <c r="AC1384" s="117" t="str">
        <f>IF(AB1384=1,COUNTIF($AB$3:AB1384,1),"")</f>
        <v/>
      </c>
      <c r="AD1384" s="117" t="str">
        <f>IFERROR(INDEX($AA$3:$AA$10000,MATCH(ROWS($AC$3:AC1384),$AC$3:$AC$10000,0)),"")</f>
        <v/>
      </c>
      <c r="AE1384" s="117" t="str">
        <f>+'Packing Material - Cost'!A1385</f>
        <v/>
      </c>
    </row>
    <row r="1385" spans="27:31">
      <c r="AA1385" s="117">
        <f>+'Ingredient List - Mother Tinctu'!D1386</f>
        <v>0</v>
      </c>
      <c r="AB1385" s="117">
        <f t="shared" si="24"/>
        <v>0</v>
      </c>
      <c r="AC1385" s="117" t="str">
        <f>IF(AB1385=1,COUNTIF($AB$3:AB1385,1),"")</f>
        <v/>
      </c>
      <c r="AD1385" s="117" t="str">
        <f>IFERROR(INDEX($AA$3:$AA$10000,MATCH(ROWS($AC$3:AC1385),$AC$3:$AC$10000,0)),"")</f>
        <v/>
      </c>
      <c r="AE1385" s="117" t="str">
        <f>+'Packing Material - Cost'!A1386</f>
        <v/>
      </c>
    </row>
    <row r="1386" spans="27:31">
      <c r="AA1386" s="117">
        <f>+'Ingredient List - Mother Tinctu'!D1387</f>
        <v>0</v>
      </c>
      <c r="AB1386" s="117">
        <f t="shared" si="24"/>
        <v>0</v>
      </c>
      <c r="AC1386" s="117" t="str">
        <f>IF(AB1386=1,COUNTIF($AB$3:AB1386,1),"")</f>
        <v/>
      </c>
      <c r="AD1386" s="117" t="str">
        <f>IFERROR(INDEX($AA$3:$AA$10000,MATCH(ROWS($AC$3:AC1386),$AC$3:$AC$10000,0)),"")</f>
        <v/>
      </c>
      <c r="AE1386" s="117" t="str">
        <f>+'Packing Material - Cost'!A1387</f>
        <v/>
      </c>
    </row>
    <row r="1387" spans="27:31">
      <c r="AA1387" s="117">
        <f>+'Ingredient List - Mother Tinctu'!D1388</f>
        <v>0</v>
      </c>
      <c r="AB1387" s="117">
        <f t="shared" si="24"/>
        <v>0</v>
      </c>
      <c r="AC1387" s="117" t="str">
        <f>IF(AB1387=1,COUNTIF($AB$3:AB1387,1),"")</f>
        <v/>
      </c>
      <c r="AD1387" s="117" t="str">
        <f>IFERROR(INDEX($AA$3:$AA$10000,MATCH(ROWS($AC$3:AC1387),$AC$3:$AC$10000,0)),"")</f>
        <v/>
      </c>
      <c r="AE1387" s="117" t="str">
        <f>+'Packing Material - Cost'!A1388</f>
        <v/>
      </c>
    </row>
    <row r="1388" spans="27:31">
      <c r="AA1388" s="117">
        <f>+'Ingredient List - Mother Tinctu'!D1389</f>
        <v>0</v>
      </c>
      <c r="AB1388" s="117">
        <f t="shared" si="24"/>
        <v>0</v>
      </c>
      <c r="AC1388" s="117" t="str">
        <f>IF(AB1388=1,COUNTIF($AB$3:AB1388,1),"")</f>
        <v/>
      </c>
      <c r="AD1388" s="117" t="str">
        <f>IFERROR(INDEX($AA$3:$AA$10000,MATCH(ROWS($AC$3:AC1388),$AC$3:$AC$10000,0)),"")</f>
        <v/>
      </c>
      <c r="AE1388" s="117" t="str">
        <f>+'Packing Material - Cost'!A1389</f>
        <v/>
      </c>
    </row>
    <row r="1389" spans="27:31">
      <c r="AA1389" s="117">
        <f>+'Ingredient List - Mother Tinctu'!D1390</f>
        <v>0</v>
      </c>
      <c r="AB1389" s="117">
        <f t="shared" si="24"/>
        <v>0</v>
      </c>
      <c r="AC1389" s="117" t="str">
        <f>IF(AB1389=1,COUNTIF($AB$3:AB1389,1),"")</f>
        <v/>
      </c>
      <c r="AD1389" s="117" t="str">
        <f>IFERROR(INDEX($AA$3:$AA$10000,MATCH(ROWS($AC$3:AC1389),$AC$3:$AC$10000,0)),"")</f>
        <v/>
      </c>
      <c r="AE1389" s="117" t="str">
        <f>+'Packing Material - Cost'!A1390</f>
        <v/>
      </c>
    </row>
    <row r="1390" spans="27:31">
      <c r="AA1390" s="117">
        <f>+'Ingredient List - Mother Tinctu'!D1391</f>
        <v>0</v>
      </c>
      <c r="AB1390" s="117">
        <f t="shared" si="24"/>
        <v>0</v>
      </c>
      <c r="AC1390" s="117" t="str">
        <f>IF(AB1390=1,COUNTIF($AB$3:AB1390,1),"")</f>
        <v/>
      </c>
      <c r="AD1390" s="117" t="str">
        <f>IFERROR(INDEX($AA$3:$AA$10000,MATCH(ROWS($AC$3:AC1390),$AC$3:$AC$10000,0)),"")</f>
        <v/>
      </c>
      <c r="AE1390" s="117" t="str">
        <f>+'Packing Material - Cost'!A1391</f>
        <v/>
      </c>
    </row>
    <row r="1391" spans="27:31">
      <c r="AA1391" s="117">
        <f>+'Ingredient List - Mother Tinctu'!D1392</f>
        <v>0</v>
      </c>
      <c r="AB1391" s="117">
        <f t="shared" si="24"/>
        <v>0</v>
      </c>
      <c r="AC1391" s="117" t="str">
        <f>IF(AB1391=1,COUNTIF($AB$3:AB1391,1),"")</f>
        <v/>
      </c>
      <c r="AD1391" s="117" t="str">
        <f>IFERROR(INDEX($AA$3:$AA$10000,MATCH(ROWS($AC$3:AC1391),$AC$3:$AC$10000,0)),"")</f>
        <v/>
      </c>
      <c r="AE1391" s="117" t="str">
        <f>+'Packing Material - Cost'!A1392</f>
        <v/>
      </c>
    </row>
    <row r="1392" spans="27:31">
      <c r="AA1392" s="117">
        <f>+'Ingredient List - Mother Tinctu'!D1393</f>
        <v>0</v>
      </c>
      <c r="AB1392" s="117">
        <f t="shared" si="24"/>
        <v>0</v>
      </c>
      <c r="AC1392" s="117" t="str">
        <f>IF(AB1392=1,COUNTIF($AB$3:AB1392,1),"")</f>
        <v/>
      </c>
      <c r="AD1392" s="117" t="str">
        <f>IFERROR(INDEX($AA$3:$AA$10000,MATCH(ROWS($AC$3:AC1392),$AC$3:$AC$10000,0)),"")</f>
        <v/>
      </c>
      <c r="AE1392" s="117" t="str">
        <f>+'Packing Material - Cost'!A1393</f>
        <v/>
      </c>
    </row>
    <row r="1393" spans="27:31">
      <c r="AA1393" s="117">
        <f>+'Ingredient List - Mother Tinctu'!D1394</f>
        <v>0</v>
      </c>
      <c r="AB1393" s="117">
        <f t="shared" si="24"/>
        <v>0</v>
      </c>
      <c r="AC1393" s="117" t="str">
        <f>IF(AB1393=1,COUNTIF($AB$3:AB1393,1),"")</f>
        <v/>
      </c>
      <c r="AD1393" s="117" t="str">
        <f>IFERROR(INDEX($AA$3:$AA$10000,MATCH(ROWS($AC$3:AC1393),$AC$3:$AC$10000,0)),"")</f>
        <v/>
      </c>
      <c r="AE1393" s="117" t="str">
        <f>+'Packing Material - Cost'!A1394</f>
        <v/>
      </c>
    </row>
    <row r="1394" spans="27:31">
      <c r="AA1394" s="117">
        <f>+'Ingredient List - Mother Tinctu'!D1395</f>
        <v>0</v>
      </c>
      <c r="AB1394" s="117">
        <f t="shared" si="24"/>
        <v>0</v>
      </c>
      <c r="AC1394" s="117" t="str">
        <f>IF(AB1394=1,COUNTIF($AB$3:AB1394,1),"")</f>
        <v/>
      </c>
      <c r="AD1394" s="117" t="str">
        <f>IFERROR(INDEX($AA$3:$AA$10000,MATCH(ROWS($AC$3:AC1394),$AC$3:$AC$10000,0)),"")</f>
        <v/>
      </c>
      <c r="AE1394" s="117" t="str">
        <f>+'Packing Material - Cost'!A1395</f>
        <v/>
      </c>
    </row>
    <row r="1395" spans="27:31">
      <c r="AA1395" s="117">
        <f>+'Ingredient List - Mother Tinctu'!D1396</f>
        <v>0</v>
      </c>
      <c r="AB1395" s="117">
        <f t="shared" si="24"/>
        <v>0</v>
      </c>
      <c r="AC1395" s="117" t="str">
        <f>IF(AB1395=1,COUNTIF($AB$3:AB1395,1),"")</f>
        <v/>
      </c>
      <c r="AD1395" s="117" t="str">
        <f>IFERROR(INDEX($AA$3:$AA$10000,MATCH(ROWS($AC$3:AC1395),$AC$3:$AC$10000,0)),"")</f>
        <v/>
      </c>
      <c r="AE1395" s="117" t="str">
        <f>+'Packing Material - Cost'!A1396</f>
        <v/>
      </c>
    </row>
    <row r="1396" spans="27:31">
      <c r="AA1396" s="117">
        <f>+'Ingredient List - Mother Tinctu'!D1397</f>
        <v>0</v>
      </c>
      <c r="AB1396" s="117">
        <f t="shared" si="24"/>
        <v>0</v>
      </c>
      <c r="AC1396" s="117" t="str">
        <f>IF(AB1396=1,COUNTIF($AB$3:AB1396,1),"")</f>
        <v/>
      </c>
      <c r="AD1396" s="117" t="str">
        <f>IFERROR(INDEX($AA$3:$AA$10000,MATCH(ROWS($AC$3:AC1396),$AC$3:$AC$10000,0)),"")</f>
        <v/>
      </c>
      <c r="AE1396" s="117" t="str">
        <f>+'Packing Material - Cost'!A1397</f>
        <v/>
      </c>
    </row>
    <row r="1397" spans="27:31">
      <c r="AA1397" s="117">
        <f>+'Ingredient List - Mother Tinctu'!D1398</f>
        <v>0</v>
      </c>
      <c r="AB1397" s="117">
        <f t="shared" si="24"/>
        <v>0</v>
      </c>
      <c r="AC1397" s="117" t="str">
        <f>IF(AB1397=1,COUNTIF($AB$3:AB1397,1),"")</f>
        <v/>
      </c>
      <c r="AD1397" s="117" t="str">
        <f>IFERROR(INDEX($AA$3:$AA$10000,MATCH(ROWS($AC$3:AC1397),$AC$3:$AC$10000,0)),"")</f>
        <v/>
      </c>
      <c r="AE1397" s="117" t="str">
        <f>+'Packing Material - Cost'!A1398</f>
        <v/>
      </c>
    </row>
    <row r="1398" spans="27:31">
      <c r="AA1398" s="117">
        <f>+'Ingredient List - Mother Tinctu'!D1399</f>
        <v>0</v>
      </c>
      <c r="AB1398" s="117">
        <f t="shared" si="24"/>
        <v>0</v>
      </c>
      <c r="AC1398" s="117" t="str">
        <f>IF(AB1398=1,COUNTIF($AB$3:AB1398,1),"")</f>
        <v/>
      </c>
      <c r="AD1398" s="117" t="str">
        <f>IFERROR(INDEX($AA$3:$AA$10000,MATCH(ROWS($AC$3:AC1398),$AC$3:$AC$10000,0)),"")</f>
        <v/>
      </c>
      <c r="AE1398" s="117" t="str">
        <f>+'Packing Material - Cost'!A1399</f>
        <v/>
      </c>
    </row>
    <row r="1399" spans="27:31">
      <c r="AA1399" s="117">
        <f>+'Ingredient List - Mother Tinctu'!D1400</f>
        <v>0</v>
      </c>
      <c r="AB1399" s="117">
        <f t="shared" si="24"/>
        <v>0</v>
      </c>
      <c r="AC1399" s="117" t="str">
        <f>IF(AB1399=1,COUNTIF($AB$3:AB1399,1),"")</f>
        <v/>
      </c>
      <c r="AD1399" s="117" t="str">
        <f>IFERROR(INDEX($AA$3:$AA$10000,MATCH(ROWS($AC$3:AC1399),$AC$3:$AC$10000,0)),"")</f>
        <v/>
      </c>
      <c r="AE1399" s="117" t="str">
        <f>+'Packing Material - Cost'!A1400</f>
        <v/>
      </c>
    </row>
    <row r="1400" spans="27:31">
      <c r="AA1400" s="117">
        <f>+'Ingredient List - Mother Tinctu'!D1401</f>
        <v>0</v>
      </c>
      <c r="AB1400" s="117">
        <f t="shared" si="24"/>
        <v>0</v>
      </c>
      <c r="AC1400" s="117" t="str">
        <f>IF(AB1400=1,COUNTIF($AB$3:AB1400,1),"")</f>
        <v/>
      </c>
      <c r="AD1400" s="117" t="str">
        <f>IFERROR(INDEX($AA$3:$AA$10000,MATCH(ROWS($AC$3:AC1400),$AC$3:$AC$10000,0)),"")</f>
        <v/>
      </c>
      <c r="AE1400" s="117" t="str">
        <f>+'Packing Material - Cost'!A1401</f>
        <v/>
      </c>
    </row>
    <row r="1401" spans="27:31">
      <c r="AA1401" s="117">
        <f>+'Ingredient List - Mother Tinctu'!D1402</f>
        <v>0</v>
      </c>
      <c r="AB1401" s="117">
        <f t="shared" si="24"/>
        <v>0</v>
      </c>
      <c r="AC1401" s="117" t="str">
        <f>IF(AB1401=1,COUNTIF($AB$3:AB1401,1),"")</f>
        <v/>
      </c>
      <c r="AD1401" s="117" t="str">
        <f>IFERROR(INDEX($AA$3:$AA$10000,MATCH(ROWS($AC$3:AC1401),$AC$3:$AC$10000,0)),"")</f>
        <v/>
      </c>
      <c r="AE1401" s="117" t="str">
        <f>+'Packing Material - Cost'!A1402</f>
        <v/>
      </c>
    </row>
    <row r="1402" spans="27:31">
      <c r="AA1402" s="117">
        <f>+'Ingredient List - Mother Tinctu'!D1403</f>
        <v>0</v>
      </c>
      <c r="AB1402" s="117">
        <f t="shared" si="24"/>
        <v>0</v>
      </c>
      <c r="AC1402" s="117" t="str">
        <f>IF(AB1402=1,COUNTIF($AB$3:AB1402,1),"")</f>
        <v/>
      </c>
      <c r="AD1402" s="117" t="str">
        <f>IFERROR(INDEX($AA$3:$AA$10000,MATCH(ROWS($AC$3:AC1402),$AC$3:$AC$10000,0)),"")</f>
        <v/>
      </c>
      <c r="AE1402" s="117" t="str">
        <f>+'Packing Material - Cost'!A1403</f>
        <v/>
      </c>
    </row>
    <row r="1403" spans="27:31">
      <c r="AA1403" s="117">
        <f>+'Ingredient List - Mother Tinctu'!D1404</f>
        <v>0</v>
      </c>
      <c r="AB1403" s="117">
        <f t="shared" si="24"/>
        <v>0</v>
      </c>
      <c r="AC1403" s="117" t="str">
        <f>IF(AB1403=1,COUNTIF($AB$3:AB1403,1),"")</f>
        <v/>
      </c>
      <c r="AD1403" s="117" t="str">
        <f>IFERROR(INDEX($AA$3:$AA$10000,MATCH(ROWS($AC$3:AC1403),$AC$3:$AC$10000,0)),"")</f>
        <v/>
      </c>
      <c r="AE1403" s="117" t="str">
        <f>+'Packing Material - Cost'!A1404</f>
        <v/>
      </c>
    </row>
    <row r="1404" spans="27:31">
      <c r="AA1404" s="117">
        <f>+'Ingredient List - Mother Tinctu'!D1405</f>
        <v>0</v>
      </c>
      <c r="AB1404" s="117">
        <f t="shared" si="24"/>
        <v>0</v>
      </c>
      <c r="AC1404" s="117" t="str">
        <f>IF(AB1404=1,COUNTIF($AB$3:AB1404,1),"")</f>
        <v/>
      </c>
      <c r="AD1404" s="117" t="str">
        <f>IFERROR(INDEX($AA$3:$AA$10000,MATCH(ROWS($AC$3:AC1404),$AC$3:$AC$10000,0)),"")</f>
        <v/>
      </c>
      <c r="AE1404" s="117" t="str">
        <f>+'Packing Material - Cost'!A1405</f>
        <v/>
      </c>
    </row>
    <row r="1405" spans="27:31">
      <c r="AA1405" s="117">
        <f>+'Ingredient List - Mother Tinctu'!D1406</f>
        <v>0</v>
      </c>
      <c r="AB1405" s="117">
        <f t="shared" si="24"/>
        <v>0</v>
      </c>
      <c r="AC1405" s="117" t="str">
        <f>IF(AB1405=1,COUNTIF($AB$3:AB1405,1),"")</f>
        <v/>
      </c>
      <c r="AD1405" s="117" t="str">
        <f>IFERROR(INDEX($AA$3:$AA$10000,MATCH(ROWS($AC$3:AC1405),$AC$3:$AC$10000,0)),"")</f>
        <v/>
      </c>
      <c r="AE1405" s="117" t="str">
        <f>+'Packing Material - Cost'!A1406</f>
        <v/>
      </c>
    </row>
    <row r="1406" spans="27:31">
      <c r="AA1406" s="117">
        <f>+'Ingredient List - Mother Tinctu'!D1407</f>
        <v>0</v>
      </c>
      <c r="AB1406" s="117">
        <f t="shared" si="24"/>
        <v>0</v>
      </c>
      <c r="AC1406" s="117" t="str">
        <f>IF(AB1406=1,COUNTIF($AB$3:AB1406,1),"")</f>
        <v/>
      </c>
      <c r="AD1406" s="117" t="str">
        <f>IFERROR(INDEX($AA$3:$AA$10000,MATCH(ROWS($AC$3:AC1406),$AC$3:$AC$10000,0)),"")</f>
        <v/>
      </c>
      <c r="AE1406" s="117" t="str">
        <f>+'Packing Material - Cost'!A1407</f>
        <v/>
      </c>
    </row>
    <row r="1407" spans="27:31">
      <c r="AA1407" s="117">
        <f>+'Ingredient List - Mother Tinctu'!D1408</f>
        <v>0</v>
      </c>
      <c r="AB1407" s="117">
        <f t="shared" si="24"/>
        <v>0</v>
      </c>
      <c r="AC1407" s="117" t="str">
        <f>IF(AB1407=1,COUNTIF($AB$3:AB1407,1),"")</f>
        <v/>
      </c>
      <c r="AD1407" s="117" t="str">
        <f>IFERROR(INDEX($AA$3:$AA$10000,MATCH(ROWS($AC$3:AC1407),$AC$3:$AC$10000,0)),"")</f>
        <v/>
      </c>
      <c r="AE1407" s="117" t="str">
        <f>+'Packing Material - Cost'!A1408</f>
        <v/>
      </c>
    </row>
    <row r="1408" spans="27:31">
      <c r="AA1408" s="117">
        <f>+'Ingredient List - Mother Tinctu'!D1409</f>
        <v>0</v>
      </c>
      <c r="AB1408" s="117">
        <f t="shared" si="24"/>
        <v>0</v>
      </c>
      <c r="AC1408" s="117" t="str">
        <f>IF(AB1408=1,COUNTIF($AB$3:AB1408,1),"")</f>
        <v/>
      </c>
      <c r="AD1408" s="117" t="str">
        <f>IFERROR(INDEX($AA$3:$AA$10000,MATCH(ROWS($AC$3:AC1408),$AC$3:$AC$10000,0)),"")</f>
        <v/>
      </c>
      <c r="AE1408" s="117" t="str">
        <f>+'Packing Material - Cost'!A1409</f>
        <v/>
      </c>
    </row>
    <row r="1409" spans="27:31">
      <c r="AA1409" s="117">
        <f>+'Ingredient List - Mother Tinctu'!D1410</f>
        <v>0</v>
      </c>
      <c r="AB1409" s="117">
        <f t="shared" si="24"/>
        <v>0</v>
      </c>
      <c r="AC1409" s="117" t="str">
        <f>IF(AB1409=1,COUNTIF($AB$3:AB1409,1),"")</f>
        <v/>
      </c>
      <c r="AD1409" s="117" t="str">
        <f>IFERROR(INDEX($AA$3:$AA$10000,MATCH(ROWS($AC$3:AC1409),$AC$3:$AC$10000,0)),"")</f>
        <v/>
      </c>
      <c r="AE1409" s="117" t="str">
        <f>+'Packing Material - Cost'!A1410</f>
        <v/>
      </c>
    </row>
    <row r="1410" spans="27:31">
      <c r="AA1410" s="117">
        <f>+'Ingredient List - Mother Tinctu'!D1411</f>
        <v>0</v>
      </c>
      <c r="AB1410" s="117">
        <f t="shared" si="24"/>
        <v>0</v>
      </c>
      <c r="AC1410" s="117" t="str">
        <f>IF(AB1410=1,COUNTIF($AB$3:AB1410,1),"")</f>
        <v/>
      </c>
      <c r="AD1410" s="117" t="str">
        <f>IFERROR(INDEX($AA$3:$AA$10000,MATCH(ROWS($AC$3:AC1410),$AC$3:$AC$10000,0)),"")</f>
        <v/>
      </c>
      <c r="AE1410" s="117" t="str">
        <f>+'Packing Material - Cost'!A1411</f>
        <v/>
      </c>
    </row>
    <row r="1411" spans="27:31">
      <c r="AA1411" s="117">
        <f>+'Ingredient List - Mother Tinctu'!D1412</f>
        <v>0</v>
      </c>
      <c r="AB1411" s="117">
        <f t="shared" si="24"/>
        <v>0</v>
      </c>
      <c r="AC1411" s="117" t="str">
        <f>IF(AB1411=1,COUNTIF($AB$3:AB1411,1),"")</f>
        <v/>
      </c>
      <c r="AD1411" s="117" t="str">
        <f>IFERROR(INDEX($AA$3:$AA$10000,MATCH(ROWS($AC$3:AC1411),$AC$3:$AC$10000,0)),"")</f>
        <v/>
      </c>
      <c r="AE1411" s="117" t="str">
        <f>+'Packing Material - Cost'!A1412</f>
        <v/>
      </c>
    </row>
    <row r="1412" spans="27:31">
      <c r="AA1412" s="117">
        <f>+'Ingredient List - Mother Tinctu'!D1413</f>
        <v>0</v>
      </c>
      <c r="AB1412" s="117">
        <f t="shared" ref="AB1412:AB1475" si="25">--ISNUMBER(IFERROR(SEARCH($D$3,AA1412,1),""))</f>
        <v>0</v>
      </c>
      <c r="AC1412" s="117" t="str">
        <f>IF(AB1412=1,COUNTIF($AB$3:AB1412,1),"")</f>
        <v/>
      </c>
      <c r="AD1412" s="117" t="str">
        <f>IFERROR(INDEX($AA$3:$AA$10000,MATCH(ROWS($AC$3:AC1412),$AC$3:$AC$10000,0)),"")</f>
        <v/>
      </c>
      <c r="AE1412" s="117" t="str">
        <f>+'Packing Material - Cost'!A1413</f>
        <v/>
      </c>
    </row>
    <row r="1413" spans="27:31">
      <c r="AA1413" s="117">
        <f>+'Ingredient List - Mother Tinctu'!D1414</f>
        <v>0</v>
      </c>
      <c r="AB1413" s="117">
        <f t="shared" si="25"/>
        <v>0</v>
      </c>
      <c r="AC1413" s="117" t="str">
        <f>IF(AB1413=1,COUNTIF($AB$3:AB1413,1),"")</f>
        <v/>
      </c>
      <c r="AD1413" s="117" t="str">
        <f>IFERROR(INDEX($AA$3:$AA$10000,MATCH(ROWS($AC$3:AC1413),$AC$3:$AC$10000,0)),"")</f>
        <v/>
      </c>
      <c r="AE1413" s="117" t="str">
        <f>+'Packing Material - Cost'!A1414</f>
        <v/>
      </c>
    </row>
    <row r="1414" spans="27:31">
      <c r="AA1414" s="117">
        <f>+'Ingredient List - Mother Tinctu'!D1415</f>
        <v>0</v>
      </c>
      <c r="AB1414" s="117">
        <f t="shared" si="25"/>
        <v>0</v>
      </c>
      <c r="AC1414" s="117" t="str">
        <f>IF(AB1414=1,COUNTIF($AB$3:AB1414,1),"")</f>
        <v/>
      </c>
      <c r="AD1414" s="117" t="str">
        <f>IFERROR(INDEX($AA$3:$AA$10000,MATCH(ROWS($AC$3:AC1414),$AC$3:$AC$10000,0)),"")</f>
        <v/>
      </c>
      <c r="AE1414" s="117" t="str">
        <f>+'Packing Material - Cost'!A1415</f>
        <v/>
      </c>
    </row>
    <row r="1415" spans="27:31">
      <c r="AA1415" s="117">
        <f>+'Ingredient List - Mother Tinctu'!D1416</f>
        <v>0</v>
      </c>
      <c r="AB1415" s="117">
        <f t="shared" si="25"/>
        <v>0</v>
      </c>
      <c r="AC1415" s="117" t="str">
        <f>IF(AB1415=1,COUNTIF($AB$3:AB1415,1),"")</f>
        <v/>
      </c>
      <c r="AD1415" s="117" t="str">
        <f>IFERROR(INDEX($AA$3:$AA$10000,MATCH(ROWS($AC$3:AC1415),$AC$3:$AC$10000,0)),"")</f>
        <v/>
      </c>
      <c r="AE1415" s="117" t="str">
        <f>+'Packing Material - Cost'!A1416</f>
        <v/>
      </c>
    </row>
    <row r="1416" spans="27:31">
      <c r="AA1416" s="117">
        <f>+'Ingredient List - Mother Tinctu'!D1417</f>
        <v>0</v>
      </c>
      <c r="AB1416" s="117">
        <f t="shared" si="25"/>
        <v>0</v>
      </c>
      <c r="AC1416" s="117" t="str">
        <f>IF(AB1416=1,COUNTIF($AB$3:AB1416,1),"")</f>
        <v/>
      </c>
      <c r="AD1416" s="117" t="str">
        <f>IFERROR(INDEX($AA$3:$AA$10000,MATCH(ROWS($AC$3:AC1416),$AC$3:$AC$10000,0)),"")</f>
        <v/>
      </c>
      <c r="AE1416" s="117" t="str">
        <f>+'Packing Material - Cost'!A1417</f>
        <v/>
      </c>
    </row>
    <row r="1417" spans="27:31">
      <c r="AA1417" s="117">
        <f>+'Ingredient List - Mother Tinctu'!D1418</f>
        <v>0</v>
      </c>
      <c r="AB1417" s="117">
        <f t="shared" si="25"/>
        <v>0</v>
      </c>
      <c r="AC1417" s="117" t="str">
        <f>IF(AB1417=1,COUNTIF($AB$3:AB1417,1),"")</f>
        <v/>
      </c>
      <c r="AD1417" s="117" t="str">
        <f>IFERROR(INDEX($AA$3:$AA$10000,MATCH(ROWS($AC$3:AC1417),$AC$3:$AC$10000,0)),"")</f>
        <v/>
      </c>
      <c r="AE1417" s="117" t="str">
        <f>+'Packing Material - Cost'!A1418</f>
        <v/>
      </c>
    </row>
    <row r="1418" spans="27:31">
      <c r="AA1418" s="117">
        <f>+'Ingredient List - Mother Tinctu'!D1419</f>
        <v>0</v>
      </c>
      <c r="AB1418" s="117">
        <f t="shared" si="25"/>
        <v>0</v>
      </c>
      <c r="AC1418" s="117" t="str">
        <f>IF(AB1418=1,COUNTIF($AB$3:AB1418,1),"")</f>
        <v/>
      </c>
      <c r="AD1418" s="117" t="str">
        <f>IFERROR(INDEX($AA$3:$AA$10000,MATCH(ROWS($AC$3:AC1418),$AC$3:$AC$10000,0)),"")</f>
        <v/>
      </c>
      <c r="AE1418" s="117" t="str">
        <f>+'Packing Material - Cost'!A1419</f>
        <v/>
      </c>
    </row>
    <row r="1419" spans="27:31">
      <c r="AA1419" s="117">
        <f>+'Ingredient List - Mother Tinctu'!D1420</f>
        <v>0</v>
      </c>
      <c r="AB1419" s="117">
        <f t="shared" si="25"/>
        <v>0</v>
      </c>
      <c r="AC1419" s="117" t="str">
        <f>IF(AB1419=1,COUNTIF($AB$3:AB1419,1),"")</f>
        <v/>
      </c>
      <c r="AD1419" s="117" t="str">
        <f>IFERROR(INDEX($AA$3:$AA$10000,MATCH(ROWS($AC$3:AC1419),$AC$3:$AC$10000,0)),"")</f>
        <v/>
      </c>
      <c r="AE1419" s="117" t="str">
        <f>+'Packing Material - Cost'!A1420</f>
        <v/>
      </c>
    </row>
    <row r="1420" spans="27:31">
      <c r="AA1420" s="117">
        <f>+'Ingredient List - Mother Tinctu'!D1421</f>
        <v>0</v>
      </c>
      <c r="AB1420" s="117">
        <f t="shared" si="25"/>
        <v>0</v>
      </c>
      <c r="AC1420" s="117" t="str">
        <f>IF(AB1420=1,COUNTIF($AB$3:AB1420,1),"")</f>
        <v/>
      </c>
      <c r="AD1420" s="117" t="str">
        <f>IFERROR(INDEX($AA$3:$AA$10000,MATCH(ROWS($AC$3:AC1420),$AC$3:$AC$10000,0)),"")</f>
        <v/>
      </c>
      <c r="AE1420" s="117" t="str">
        <f>+'Packing Material - Cost'!A1421</f>
        <v/>
      </c>
    </row>
    <row r="1421" spans="27:31">
      <c r="AA1421" s="117">
        <f>+'Ingredient List - Mother Tinctu'!D1422</f>
        <v>0</v>
      </c>
      <c r="AB1421" s="117">
        <f t="shared" si="25"/>
        <v>0</v>
      </c>
      <c r="AC1421" s="117" t="str">
        <f>IF(AB1421=1,COUNTIF($AB$3:AB1421,1),"")</f>
        <v/>
      </c>
      <c r="AD1421" s="117" t="str">
        <f>IFERROR(INDEX($AA$3:$AA$10000,MATCH(ROWS($AC$3:AC1421),$AC$3:$AC$10000,0)),"")</f>
        <v/>
      </c>
      <c r="AE1421" s="117" t="str">
        <f>+'Packing Material - Cost'!A1422</f>
        <v/>
      </c>
    </row>
    <row r="1422" spans="27:31">
      <c r="AA1422" s="117">
        <f>+'Ingredient List - Mother Tinctu'!D1423</f>
        <v>0</v>
      </c>
      <c r="AB1422" s="117">
        <f t="shared" si="25"/>
        <v>0</v>
      </c>
      <c r="AC1422" s="117" t="str">
        <f>IF(AB1422=1,COUNTIF($AB$3:AB1422,1),"")</f>
        <v/>
      </c>
      <c r="AD1422" s="117" t="str">
        <f>IFERROR(INDEX($AA$3:$AA$10000,MATCH(ROWS($AC$3:AC1422),$AC$3:$AC$10000,0)),"")</f>
        <v/>
      </c>
      <c r="AE1422" s="117" t="str">
        <f>+'Packing Material - Cost'!A1423</f>
        <v/>
      </c>
    </row>
    <row r="1423" spans="27:31">
      <c r="AA1423" s="117">
        <f>+'Ingredient List - Mother Tinctu'!D1424</f>
        <v>0</v>
      </c>
      <c r="AB1423" s="117">
        <f t="shared" si="25"/>
        <v>0</v>
      </c>
      <c r="AC1423" s="117" t="str">
        <f>IF(AB1423=1,COUNTIF($AB$3:AB1423,1),"")</f>
        <v/>
      </c>
      <c r="AD1423" s="117" t="str">
        <f>IFERROR(INDEX($AA$3:$AA$10000,MATCH(ROWS($AC$3:AC1423),$AC$3:$AC$10000,0)),"")</f>
        <v/>
      </c>
      <c r="AE1423" s="117" t="str">
        <f>+'Packing Material - Cost'!A1424</f>
        <v/>
      </c>
    </row>
    <row r="1424" spans="27:31">
      <c r="AA1424" s="117">
        <f>+'Ingredient List - Mother Tinctu'!D1425</f>
        <v>0</v>
      </c>
      <c r="AB1424" s="117">
        <f t="shared" si="25"/>
        <v>0</v>
      </c>
      <c r="AC1424" s="117" t="str">
        <f>IF(AB1424=1,COUNTIF($AB$3:AB1424,1),"")</f>
        <v/>
      </c>
      <c r="AD1424" s="117" t="str">
        <f>IFERROR(INDEX($AA$3:$AA$10000,MATCH(ROWS($AC$3:AC1424),$AC$3:$AC$10000,0)),"")</f>
        <v/>
      </c>
      <c r="AE1424" s="117" t="str">
        <f>+'Packing Material - Cost'!A1425</f>
        <v/>
      </c>
    </row>
    <row r="1425" spans="27:31">
      <c r="AA1425" s="117">
        <f>+'Ingredient List - Mother Tinctu'!D1426</f>
        <v>0</v>
      </c>
      <c r="AB1425" s="117">
        <f t="shared" si="25"/>
        <v>0</v>
      </c>
      <c r="AC1425" s="117" t="str">
        <f>IF(AB1425=1,COUNTIF($AB$3:AB1425,1),"")</f>
        <v/>
      </c>
      <c r="AD1425" s="117" t="str">
        <f>IFERROR(INDEX($AA$3:$AA$10000,MATCH(ROWS($AC$3:AC1425),$AC$3:$AC$10000,0)),"")</f>
        <v/>
      </c>
      <c r="AE1425" s="117" t="str">
        <f>+'Packing Material - Cost'!A1426</f>
        <v/>
      </c>
    </row>
    <row r="1426" spans="27:31">
      <c r="AA1426" s="117">
        <f>+'Ingredient List - Mother Tinctu'!D1427</f>
        <v>0</v>
      </c>
      <c r="AB1426" s="117">
        <f t="shared" si="25"/>
        <v>0</v>
      </c>
      <c r="AC1426" s="117" t="str">
        <f>IF(AB1426=1,COUNTIF($AB$3:AB1426,1),"")</f>
        <v/>
      </c>
      <c r="AD1426" s="117" t="str">
        <f>IFERROR(INDEX($AA$3:$AA$10000,MATCH(ROWS($AC$3:AC1426),$AC$3:$AC$10000,0)),"")</f>
        <v/>
      </c>
      <c r="AE1426" s="117" t="str">
        <f>+'Packing Material - Cost'!A1427</f>
        <v/>
      </c>
    </row>
    <row r="1427" spans="27:31">
      <c r="AA1427" s="117">
        <f>+'Ingredient List - Mother Tinctu'!D1428</f>
        <v>0</v>
      </c>
      <c r="AB1427" s="117">
        <f t="shared" si="25"/>
        <v>0</v>
      </c>
      <c r="AC1427" s="117" t="str">
        <f>IF(AB1427=1,COUNTIF($AB$3:AB1427,1),"")</f>
        <v/>
      </c>
      <c r="AD1427" s="117" t="str">
        <f>IFERROR(INDEX($AA$3:$AA$10000,MATCH(ROWS($AC$3:AC1427),$AC$3:$AC$10000,0)),"")</f>
        <v/>
      </c>
      <c r="AE1427" s="117" t="str">
        <f>+'Packing Material - Cost'!A1428</f>
        <v/>
      </c>
    </row>
    <row r="1428" spans="27:31">
      <c r="AA1428" s="117">
        <f>+'Ingredient List - Mother Tinctu'!D1429</f>
        <v>0</v>
      </c>
      <c r="AB1428" s="117">
        <f t="shared" si="25"/>
        <v>0</v>
      </c>
      <c r="AC1428" s="117" t="str">
        <f>IF(AB1428=1,COUNTIF($AB$3:AB1428,1),"")</f>
        <v/>
      </c>
      <c r="AD1428" s="117" t="str">
        <f>IFERROR(INDEX($AA$3:$AA$10000,MATCH(ROWS($AC$3:AC1428),$AC$3:$AC$10000,0)),"")</f>
        <v/>
      </c>
      <c r="AE1428" s="117" t="str">
        <f>+'Packing Material - Cost'!A1429</f>
        <v/>
      </c>
    </row>
    <row r="1429" spans="27:31">
      <c r="AA1429" s="117">
        <f>+'Ingredient List - Mother Tinctu'!D1430</f>
        <v>0</v>
      </c>
      <c r="AB1429" s="117">
        <f t="shared" si="25"/>
        <v>0</v>
      </c>
      <c r="AC1429" s="117" t="str">
        <f>IF(AB1429=1,COUNTIF($AB$3:AB1429,1),"")</f>
        <v/>
      </c>
      <c r="AD1429" s="117" t="str">
        <f>IFERROR(INDEX($AA$3:$AA$10000,MATCH(ROWS($AC$3:AC1429),$AC$3:$AC$10000,0)),"")</f>
        <v/>
      </c>
      <c r="AE1429" s="117" t="str">
        <f>+'Packing Material - Cost'!A1430</f>
        <v/>
      </c>
    </row>
    <row r="1430" spans="27:31">
      <c r="AA1430" s="117">
        <f>+'Ingredient List - Mother Tinctu'!D1431</f>
        <v>0</v>
      </c>
      <c r="AB1430" s="117">
        <f t="shared" si="25"/>
        <v>0</v>
      </c>
      <c r="AC1430" s="117" t="str">
        <f>IF(AB1430=1,COUNTIF($AB$3:AB1430,1),"")</f>
        <v/>
      </c>
      <c r="AD1430" s="117" t="str">
        <f>IFERROR(INDEX($AA$3:$AA$10000,MATCH(ROWS($AC$3:AC1430),$AC$3:$AC$10000,0)),"")</f>
        <v/>
      </c>
      <c r="AE1430" s="117" t="str">
        <f>+'Packing Material - Cost'!A1431</f>
        <v/>
      </c>
    </row>
    <row r="1431" spans="27:31">
      <c r="AA1431" s="117">
        <f>+'Ingredient List - Mother Tinctu'!D1432</f>
        <v>0</v>
      </c>
      <c r="AB1431" s="117">
        <f t="shared" si="25"/>
        <v>0</v>
      </c>
      <c r="AC1431" s="117" t="str">
        <f>IF(AB1431=1,COUNTIF($AB$3:AB1431,1),"")</f>
        <v/>
      </c>
      <c r="AD1431" s="117" t="str">
        <f>IFERROR(INDEX($AA$3:$AA$10000,MATCH(ROWS($AC$3:AC1431),$AC$3:$AC$10000,0)),"")</f>
        <v/>
      </c>
      <c r="AE1431" s="117" t="str">
        <f>+'Packing Material - Cost'!A1432</f>
        <v/>
      </c>
    </row>
    <row r="1432" spans="27:31">
      <c r="AA1432" s="117">
        <f>+'Ingredient List - Mother Tinctu'!D1433</f>
        <v>0</v>
      </c>
      <c r="AB1432" s="117">
        <f t="shared" si="25"/>
        <v>0</v>
      </c>
      <c r="AC1432" s="117" t="str">
        <f>IF(AB1432=1,COUNTIF($AB$3:AB1432,1),"")</f>
        <v/>
      </c>
      <c r="AD1432" s="117" t="str">
        <f>IFERROR(INDEX($AA$3:$AA$10000,MATCH(ROWS($AC$3:AC1432),$AC$3:$AC$10000,0)),"")</f>
        <v/>
      </c>
      <c r="AE1432" s="117" t="str">
        <f>+'Packing Material - Cost'!A1433</f>
        <v/>
      </c>
    </row>
    <row r="1433" spans="27:31">
      <c r="AA1433" s="117">
        <f>+'Ingredient List - Mother Tinctu'!D1434</f>
        <v>0</v>
      </c>
      <c r="AB1433" s="117">
        <f t="shared" si="25"/>
        <v>0</v>
      </c>
      <c r="AC1433" s="117" t="str">
        <f>IF(AB1433=1,COUNTIF($AB$3:AB1433,1),"")</f>
        <v/>
      </c>
      <c r="AD1433" s="117" t="str">
        <f>IFERROR(INDEX($AA$3:$AA$10000,MATCH(ROWS($AC$3:AC1433),$AC$3:$AC$10000,0)),"")</f>
        <v/>
      </c>
      <c r="AE1433" s="117" t="str">
        <f>+'Packing Material - Cost'!A1434</f>
        <v/>
      </c>
    </row>
    <row r="1434" spans="27:31">
      <c r="AA1434" s="117">
        <f>+'Ingredient List - Mother Tinctu'!D1435</f>
        <v>0</v>
      </c>
      <c r="AB1434" s="117">
        <f t="shared" si="25"/>
        <v>0</v>
      </c>
      <c r="AC1434" s="117" t="str">
        <f>IF(AB1434=1,COUNTIF($AB$3:AB1434,1),"")</f>
        <v/>
      </c>
      <c r="AD1434" s="117" t="str">
        <f>IFERROR(INDEX($AA$3:$AA$10000,MATCH(ROWS($AC$3:AC1434),$AC$3:$AC$10000,0)),"")</f>
        <v/>
      </c>
      <c r="AE1434" s="117" t="str">
        <f>+'Packing Material - Cost'!A1435</f>
        <v/>
      </c>
    </row>
    <row r="1435" spans="27:31">
      <c r="AA1435" s="117">
        <f>+'Ingredient List - Mother Tinctu'!D1436</f>
        <v>0</v>
      </c>
      <c r="AB1435" s="117">
        <f t="shared" si="25"/>
        <v>0</v>
      </c>
      <c r="AC1435" s="117" t="str">
        <f>IF(AB1435=1,COUNTIF($AB$3:AB1435,1),"")</f>
        <v/>
      </c>
      <c r="AD1435" s="117" t="str">
        <f>IFERROR(INDEX($AA$3:$AA$10000,MATCH(ROWS($AC$3:AC1435),$AC$3:$AC$10000,0)),"")</f>
        <v/>
      </c>
      <c r="AE1435" s="117" t="str">
        <f>+'Packing Material - Cost'!A1436</f>
        <v/>
      </c>
    </row>
    <row r="1436" spans="27:31">
      <c r="AA1436" s="117">
        <f>+'Ingredient List - Mother Tinctu'!D1437</f>
        <v>0</v>
      </c>
      <c r="AB1436" s="117">
        <f t="shared" si="25"/>
        <v>0</v>
      </c>
      <c r="AC1436" s="117" t="str">
        <f>IF(AB1436=1,COUNTIF($AB$3:AB1436,1),"")</f>
        <v/>
      </c>
      <c r="AD1436" s="117" t="str">
        <f>IFERROR(INDEX($AA$3:$AA$10000,MATCH(ROWS($AC$3:AC1436),$AC$3:$AC$10000,0)),"")</f>
        <v/>
      </c>
      <c r="AE1436" s="117" t="str">
        <f>+'Packing Material - Cost'!A1437</f>
        <v/>
      </c>
    </row>
    <row r="1437" spans="27:31">
      <c r="AA1437" s="117">
        <f>+'Ingredient List - Mother Tinctu'!D1438</f>
        <v>0</v>
      </c>
      <c r="AB1437" s="117">
        <f t="shared" si="25"/>
        <v>0</v>
      </c>
      <c r="AC1437" s="117" t="str">
        <f>IF(AB1437=1,COUNTIF($AB$3:AB1437,1),"")</f>
        <v/>
      </c>
      <c r="AD1437" s="117" t="str">
        <f>IFERROR(INDEX($AA$3:$AA$10000,MATCH(ROWS($AC$3:AC1437),$AC$3:$AC$10000,0)),"")</f>
        <v/>
      </c>
      <c r="AE1437" s="117" t="str">
        <f>+'Packing Material - Cost'!A1438</f>
        <v/>
      </c>
    </row>
    <row r="1438" spans="27:31">
      <c r="AA1438" s="117">
        <f>+'Ingredient List - Mother Tinctu'!D1439</f>
        <v>0</v>
      </c>
      <c r="AB1438" s="117">
        <f t="shared" si="25"/>
        <v>0</v>
      </c>
      <c r="AC1438" s="117" t="str">
        <f>IF(AB1438=1,COUNTIF($AB$3:AB1438,1),"")</f>
        <v/>
      </c>
      <c r="AD1438" s="117" t="str">
        <f>IFERROR(INDEX($AA$3:$AA$10000,MATCH(ROWS($AC$3:AC1438),$AC$3:$AC$10000,0)),"")</f>
        <v/>
      </c>
      <c r="AE1438" s="117" t="str">
        <f>+'Packing Material - Cost'!A1439</f>
        <v/>
      </c>
    </row>
    <row r="1439" spans="27:31">
      <c r="AA1439" s="117">
        <f>+'Ingredient List - Mother Tinctu'!D1440</f>
        <v>0</v>
      </c>
      <c r="AB1439" s="117">
        <f t="shared" si="25"/>
        <v>0</v>
      </c>
      <c r="AC1439" s="117" t="str">
        <f>IF(AB1439=1,COUNTIF($AB$3:AB1439,1),"")</f>
        <v/>
      </c>
      <c r="AD1439" s="117" t="str">
        <f>IFERROR(INDEX($AA$3:$AA$10000,MATCH(ROWS($AC$3:AC1439),$AC$3:$AC$10000,0)),"")</f>
        <v/>
      </c>
      <c r="AE1439" s="117" t="str">
        <f>+'Packing Material - Cost'!A1440</f>
        <v/>
      </c>
    </row>
    <row r="1440" spans="27:31">
      <c r="AA1440" s="117">
        <f>+'Ingredient List - Mother Tinctu'!D1441</f>
        <v>0</v>
      </c>
      <c r="AB1440" s="117">
        <f t="shared" si="25"/>
        <v>0</v>
      </c>
      <c r="AC1440" s="117" t="str">
        <f>IF(AB1440=1,COUNTIF($AB$3:AB1440,1),"")</f>
        <v/>
      </c>
      <c r="AD1440" s="117" t="str">
        <f>IFERROR(INDEX($AA$3:$AA$10000,MATCH(ROWS($AC$3:AC1440),$AC$3:$AC$10000,0)),"")</f>
        <v/>
      </c>
      <c r="AE1440" s="117" t="str">
        <f>+'Packing Material - Cost'!A1441</f>
        <v/>
      </c>
    </row>
    <row r="1441" spans="27:31">
      <c r="AA1441" s="117">
        <f>+'Ingredient List - Mother Tinctu'!D1442</f>
        <v>0</v>
      </c>
      <c r="AB1441" s="117">
        <f t="shared" si="25"/>
        <v>0</v>
      </c>
      <c r="AC1441" s="117" t="str">
        <f>IF(AB1441=1,COUNTIF($AB$3:AB1441,1),"")</f>
        <v/>
      </c>
      <c r="AD1441" s="117" t="str">
        <f>IFERROR(INDEX($AA$3:$AA$10000,MATCH(ROWS($AC$3:AC1441),$AC$3:$AC$10000,0)),"")</f>
        <v/>
      </c>
      <c r="AE1441" s="117" t="str">
        <f>+'Packing Material - Cost'!A1442</f>
        <v/>
      </c>
    </row>
    <row r="1442" spans="27:31">
      <c r="AA1442" s="117">
        <f>+'Ingredient List - Mother Tinctu'!D1443</f>
        <v>0</v>
      </c>
      <c r="AB1442" s="117">
        <f t="shared" si="25"/>
        <v>0</v>
      </c>
      <c r="AC1442" s="117" t="str">
        <f>IF(AB1442=1,COUNTIF($AB$3:AB1442,1),"")</f>
        <v/>
      </c>
      <c r="AD1442" s="117" t="str">
        <f>IFERROR(INDEX($AA$3:$AA$10000,MATCH(ROWS($AC$3:AC1442),$AC$3:$AC$10000,0)),"")</f>
        <v/>
      </c>
      <c r="AE1442" s="117" t="str">
        <f>+'Packing Material - Cost'!A1443</f>
        <v/>
      </c>
    </row>
    <row r="1443" spans="27:31">
      <c r="AA1443" s="117">
        <f>+'Ingredient List - Mother Tinctu'!D1444</f>
        <v>0</v>
      </c>
      <c r="AB1443" s="117">
        <f t="shared" si="25"/>
        <v>0</v>
      </c>
      <c r="AC1443" s="117" t="str">
        <f>IF(AB1443=1,COUNTIF($AB$3:AB1443,1),"")</f>
        <v/>
      </c>
      <c r="AD1443" s="117" t="str">
        <f>IFERROR(INDEX($AA$3:$AA$10000,MATCH(ROWS($AC$3:AC1443),$AC$3:$AC$10000,0)),"")</f>
        <v/>
      </c>
      <c r="AE1443" s="117" t="str">
        <f>+'Packing Material - Cost'!A1444</f>
        <v/>
      </c>
    </row>
    <row r="1444" spans="27:31">
      <c r="AA1444" s="117">
        <f>+'Ingredient List - Mother Tinctu'!D1445</f>
        <v>0</v>
      </c>
      <c r="AB1444" s="117">
        <f t="shared" si="25"/>
        <v>0</v>
      </c>
      <c r="AC1444" s="117" t="str">
        <f>IF(AB1444=1,COUNTIF($AB$3:AB1444,1),"")</f>
        <v/>
      </c>
      <c r="AD1444" s="117" t="str">
        <f>IFERROR(INDEX($AA$3:$AA$10000,MATCH(ROWS($AC$3:AC1444),$AC$3:$AC$10000,0)),"")</f>
        <v/>
      </c>
      <c r="AE1444" s="117" t="str">
        <f>+'Packing Material - Cost'!A1445</f>
        <v/>
      </c>
    </row>
    <row r="1445" spans="27:31">
      <c r="AA1445" s="117">
        <f>+'Ingredient List - Mother Tinctu'!D1446</f>
        <v>0</v>
      </c>
      <c r="AB1445" s="117">
        <f t="shared" si="25"/>
        <v>0</v>
      </c>
      <c r="AC1445" s="117" t="str">
        <f>IF(AB1445=1,COUNTIF($AB$3:AB1445,1),"")</f>
        <v/>
      </c>
      <c r="AD1445" s="117" t="str">
        <f>IFERROR(INDEX($AA$3:$AA$10000,MATCH(ROWS($AC$3:AC1445),$AC$3:$AC$10000,0)),"")</f>
        <v/>
      </c>
      <c r="AE1445" s="117" t="str">
        <f>+'Packing Material - Cost'!A1446</f>
        <v/>
      </c>
    </row>
    <row r="1446" spans="27:31">
      <c r="AA1446" s="117">
        <f>+'Ingredient List - Mother Tinctu'!D1447</f>
        <v>0</v>
      </c>
      <c r="AB1446" s="117">
        <f t="shared" si="25"/>
        <v>0</v>
      </c>
      <c r="AC1446" s="117" t="str">
        <f>IF(AB1446=1,COUNTIF($AB$3:AB1446,1),"")</f>
        <v/>
      </c>
      <c r="AD1446" s="117" t="str">
        <f>IFERROR(INDEX($AA$3:$AA$10000,MATCH(ROWS($AC$3:AC1446),$AC$3:$AC$10000,0)),"")</f>
        <v/>
      </c>
      <c r="AE1446" s="117" t="str">
        <f>+'Packing Material - Cost'!A1447</f>
        <v/>
      </c>
    </row>
    <row r="1447" spans="27:31">
      <c r="AA1447" s="117">
        <f>+'Ingredient List - Mother Tinctu'!D1448</f>
        <v>0</v>
      </c>
      <c r="AB1447" s="117">
        <f t="shared" si="25"/>
        <v>0</v>
      </c>
      <c r="AC1447" s="117" t="str">
        <f>IF(AB1447=1,COUNTIF($AB$3:AB1447,1),"")</f>
        <v/>
      </c>
      <c r="AD1447" s="117" t="str">
        <f>IFERROR(INDEX($AA$3:$AA$10000,MATCH(ROWS($AC$3:AC1447),$AC$3:$AC$10000,0)),"")</f>
        <v/>
      </c>
      <c r="AE1447" s="117" t="str">
        <f>+'Packing Material - Cost'!A1448</f>
        <v/>
      </c>
    </row>
    <row r="1448" spans="27:31">
      <c r="AA1448" s="117">
        <f>+'Ingredient List - Mother Tinctu'!D1449</f>
        <v>0</v>
      </c>
      <c r="AB1448" s="117">
        <f t="shared" si="25"/>
        <v>0</v>
      </c>
      <c r="AC1448" s="117" t="str">
        <f>IF(AB1448=1,COUNTIF($AB$3:AB1448,1),"")</f>
        <v/>
      </c>
      <c r="AD1448" s="117" t="str">
        <f>IFERROR(INDEX($AA$3:$AA$10000,MATCH(ROWS($AC$3:AC1448),$AC$3:$AC$10000,0)),"")</f>
        <v/>
      </c>
      <c r="AE1448" s="117" t="str">
        <f>+'Packing Material - Cost'!A1449</f>
        <v/>
      </c>
    </row>
    <row r="1449" spans="27:31">
      <c r="AA1449" s="117">
        <f>+'Ingredient List - Mother Tinctu'!D1450</f>
        <v>0</v>
      </c>
      <c r="AB1449" s="117">
        <f t="shared" si="25"/>
        <v>0</v>
      </c>
      <c r="AC1449" s="117" t="str">
        <f>IF(AB1449=1,COUNTIF($AB$3:AB1449,1),"")</f>
        <v/>
      </c>
      <c r="AD1449" s="117" t="str">
        <f>IFERROR(INDEX($AA$3:$AA$10000,MATCH(ROWS($AC$3:AC1449),$AC$3:$AC$10000,0)),"")</f>
        <v/>
      </c>
      <c r="AE1449" s="117" t="str">
        <f>+'Packing Material - Cost'!A1450</f>
        <v/>
      </c>
    </row>
    <row r="1450" spans="27:31">
      <c r="AA1450" s="117">
        <f>+'Ingredient List - Mother Tinctu'!D1451</f>
        <v>0</v>
      </c>
      <c r="AB1450" s="117">
        <f t="shared" si="25"/>
        <v>0</v>
      </c>
      <c r="AC1450" s="117" t="str">
        <f>IF(AB1450=1,COUNTIF($AB$3:AB1450,1),"")</f>
        <v/>
      </c>
      <c r="AD1450" s="117" t="str">
        <f>IFERROR(INDEX($AA$3:$AA$10000,MATCH(ROWS($AC$3:AC1450),$AC$3:$AC$10000,0)),"")</f>
        <v/>
      </c>
      <c r="AE1450" s="117" t="str">
        <f>+'Packing Material - Cost'!A1451</f>
        <v/>
      </c>
    </row>
    <row r="1451" spans="27:31">
      <c r="AA1451" s="117">
        <f>+'Ingredient List - Mother Tinctu'!D1452</f>
        <v>0</v>
      </c>
      <c r="AB1451" s="117">
        <f t="shared" si="25"/>
        <v>0</v>
      </c>
      <c r="AC1451" s="117" t="str">
        <f>IF(AB1451=1,COUNTIF($AB$3:AB1451,1),"")</f>
        <v/>
      </c>
      <c r="AD1451" s="117" t="str">
        <f>IFERROR(INDEX($AA$3:$AA$10000,MATCH(ROWS($AC$3:AC1451),$AC$3:$AC$10000,0)),"")</f>
        <v/>
      </c>
      <c r="AE1451" s="117" t="str">
        <f>+'Packing Material - Cost'!A1452</f>
        <v/>
      </c>
    </row>
    <row r="1452" spans="27:31">
      <c r="AA1452" s="117">
        <f>+'Ingredient List - Mother Tinctu'!D1453</f>
        <v>0</v>
      </c>
      <c r="AB1452" s="117">
        <f t="shared" si="25"/>
        <v>0</v>
      </c>
      <c r="AC1452" s="117" t="str">
        <f>IF(AB1452=1,COUNTIF($AB$3:AB1452,1),"")</f>
        <v/>
      </c>
      <c r="AD1452" s="117" t="str">
        <f>IFERROR(INDEX($AA$3:$AA$10000,MATCH(ROWS($AC$3:AC1452),$AC$3:$AC$10000,0)),"")</f>
        <v/>
      </c>
      <c r="AE1452" s="117" t="str">
        <f>+'Packing Material - Cost'!A1453</f>
        <v/>
      </c>
    </row>
    <row r="1453" spans="27:31">
      <c r="AA1453" s="117">
        <f>+'Ingredient List - Mother Tinctu'!D1454</f>
        <v>0</v>
      </c>
      <c r="AB1453" s="117">
        <f t="shared" si="25"/>
        <v>0</v>
      </c>
      <c r="AC1453" s="117" t="str">
        <f>IF(AB1453=1,COUNTIF($AB$3:AB1453,1),"")</f>
        <v/>
      </c>
      <c r="AD1453" s="117" t="str">
        <f>IFERROR(INDEX($AA$3:$AA$10000,MATCH(ROWS($AC$3:AC1453),$AC$3:$AC$10000,0)),"")</f>
        <v/>
      </c>
      <c r="AE1453" s="117" t="str">
        <f>+'Packing Material - Cost'!A1454</f>
        <v/>
      </c>
    </row>
    <row r="1454" spans="27:31">
      <c r="AA1454" s="117">
        <f>+'Ingredient List - Mother Tinctu'!D1455</f>
        <v>0</v>
      </c>
      <c r="AB1454" s="117">
        <f t="shared" si="25"/>
        <v>0</v>
      </c>
      <c r="AC1454" s="117" t="str">
        <f>IF(AB1454=1,COUNTIF($AB$3:AB1454,1),"")</f>
        <v/>
      </c>
      <c r="AD1454" s="117" t="str">
        <f>IFERROR(INDEX($AA$3:$AA$10000,MATCH(ROWS($AC$3:AC1454),$AC$3:$AC$10000,0)),"")</f>
        <v/>
      </c>
      <c r="AE1454" s="117" t="str">
        <f>+'Packing Material - Cost'!A1455</f>
        <v/>
      </c>
    </row>
    <row r="1455" spans="27:31">
      <c r="AA1455" s="117">
        <f>+'Ingredient List - Mother Tinctu'!D1456</f>
        <v>0</v>
      </c>
      <c r="AB1455" s="117">
        <f t="shared" si="25"/>
        <v>0</v>
      </c>
      <c r="AC1455" s="117" t="str">
        <f>IF(AB1455=1,COUNTIF($AB$3:AB1455,1),"")</f>
        <v/>
      </c>
      <c r="AD1455" s="117" t="str">
        <f>IFERROR(INDEX($AA$3:$AA$10000,MATCH(ROWS($AC$3:AC1455),$AC$3:$AC$10000,0)),"")</f>
        <v/>
      </c>
      <c r="AE1455" s="117" t="str">
        <f>+'Packing Material - Cost'!A1456</f>
        <v/>
      </c>
    </row>
    <row r="1456" spans="27:31">
      <c r="AA1456" s="117">
        <f>+'Ingredient List - Mother Tinctu'!D1457</f>
        <v>0</v>
      </c>
      <c r="AB1456" s="117">
        <f t="shared" si="25"/>
        <v>0</v>
      </c>
      <c r="AC1456" s="117" t="str">
        <f>IF(AB1456=1,COUNTIF($AB$3:AB1456,1),"")</f>
        <v/>
      </c>
      <c r="AD1456" s="117" t="str">
        <f>IFERROR(INDEX($AA$3:$AA$10000,MATCH(ROWS($AC$3:AC1456),$AC$3:$AC$10000,0)),"")</f>
        <v/>
      </c>
      <c r="AE1456" s="117" t="str">
        <f>+'Packing Material - Cost'!A1457</f>
        <v/>
      </c>
    </row>
    <row r="1457" spans="27:31">
      <c r="AA1457" s="117">
        <f>+'Ingredient List - Mother Tinctu'!D1458</f>
        <v>0</v>
      </c>
      <c r="AB1457" s="117">
        <f t="shared" si="25"/>
        <v>0</v>
      </c>
      <c r="AC1457" s="117" t="str">
        <f>IF(AB1457=1,COUNTIF($AB$3:AB1457,1),"")</f>
        <v/>
      </c>
      <c r="AD1457" s="117" t="str">
        <f>IFERROR(INDEX($AA$3:$AA$10000,MATCH(ROWS($AC$3:AC1457),$AC$3:$AC$10000,0)),"")</f>
        <v/>
      </c>
      <c r="AE1457" s="117" t="str">
        <f>+'Packing Material - Cost'!A1458</f>
        <v/>
      </c>
    </row>
    <row r="1458" spans="27:31">
      <c r="AA1458" s="117">
        <f>+'Ingredient List - Mother Tinctu'!D1459</f>
        <v>0</v>
      </c>
      <c r="AB1458" s="117">
        <f t="shared" si="25"/>
        <v>0</v>
      </c>
      <c r="AC1458" s="117" t="str">
        <f>IF(AB1458=1,COUNTIF($AB$3:AB1458,1),"")</f>
        <v/>
      </c>
      <c r="AD1458" s="117" t="str">
        <f>IFERROR(INDEX($AA$3:$AA$10000,MATCH(ROWS($AC$3:AC1458),$AC$3:$AC$10000,0)),"")</f>
        <v/>
      </c>
      <c r="AE1458" s="117" t="str">
        <f>+'Packing Material - Cost'!A1459</f>
        <v/>
      </c>
    </row>
    <row r="1459" spans="27:31">
      <c r="AA1459" s="117">
        <f>+'Ingredient List - Mother Tinctu'!D1460</f>
        <v>0</v>
      </c>
      <c r="AB1459" s="117">
        <f t="shared" si="25"/>
        <v>0</v>
      </c>
      <c r="AC1459" s="117" t="str">
        <f>IF(AB1459=1,COUNTIF($AB$3:AB1459,1),"")</f>
        <v/>
      </c>
      <c r="AD1459" s="117" t="str">
        <f>IFERROR(INDEX($AA$3:$AA$10000,MATCH(ROWS($AC$3:AC1459),$AC$3:$AC$10000,0)),"")</f>
        <v/>
      </c>
      <c r="AE1459" s="117" t="str">
        <f>+'Packing Material - Cost'!A1460</f>
        <v/>
      </c>
    </row>
    <row r="1460" spans="27:31">
      <c r="AA1460" s="117">
        <f>+'Ingredient List - Mother Tinctu'!D1461</f>
        <v>0</v>
      </c>
      <c r="AB1460" s="117">
        <f t="shared" si="25"/>
        <v>0</v>
      </c>
      <c r="AC1460" s="117" t="str">
        <f>IF(AB1460=1,COUNTIF($AB$3:AB1460,1),"")</f>
        <v/>
      </c>
      <c r="AD1460" s="117" t="str">
        <f>IFERROR(INDEX($AA$3:$AA$10000,MATCH(ROWS($AC$3:AC1460),$AC$3:$AC$10000,0)),"")</f>
        <v/>
      </c>
      <c r="AE1460" s="117" t="str">
        <f>+'Packing Material - Cost'!A1461</f>
        <v/>
      </c>
    </row>
    <row r="1461" spans="27:31">
      <c r="AA1461" s="117">
        <f>+'Ingredient List - Mother Tinctu'!D1462</f>
        <v>0</v>
      </c>
      <c r="AB1461" s="117">
        <f t="shared" si="25"/>
        <v>0</v>
      </c>
      <c r="AC1461" s="117" t="str">
        <f>IF(AB1461=1,COUNTIF($AB$3:AB1461,1),"")</f>
        <v/>
      </c>
      <c r="AD1461" s="117" t="str">
        <f>IFERROR(INDEX($AA$3:$AA$10000,MATCH(ROWS($AC$3:AC1461),$AC$3:$AC$10000,0)),"")</f>
        <v/>
      </c>
      <c r="AE1461" s="117" t="str">
        <f>+'Packing Material - Cost'!A1462</f>
        <v/>
      </c>
    </row>
    <row r="1462" spans="27:31">
      <c r="AA1462" s="117">
        <f>+'Ingredient List - Mother Tinctu'!D1463</f>
        <v>0</v>
      </c>
      <c r="AB1462" s="117">
        <f t="shared" si="25"/>
        <v>0</v>
      </c>
      <c r="AC1462" s="117" t="str">
        <f>IF(AB1462=1,COUNTIF($AB$3:AB1462,1),"")</f>
        <v/>
      </c>
      <c r="AD1462" s="117" t="str">
        <f>IFERROR(INDEX($AA$3:$AA$10000,MATCH(ROWS($AC$3:AC1462),$AC$3:$AC$10000,0)),"")</f>
        <v/>
      </c>
      <c r="AE1462" s="117" t="str">
        <f>+'Packing Material - Cost'!A1463</f>
        <v/>
      </c>
    </row>
    <row r="1463" spans="27:31">
      <c r="AA1463" s="117">
        <f>+'Ingredient List - Mother Tinctu'!D1464</f>
        <v>0</v>
      </c>
      <c r="AB1463" s="117">
        <f t="shared" si="25"/>
        <v>0</v>
      </c>
      <c r="AC1463" s="117" t="str">
        <f>IF(AB1463=1,COUNTIF($AB$3:AB1463,1),"")</f>
        <v/>
      </c>
      <c r="AD1463" s="117" t="str">
        <f>IFERROR(INDEX($AA$3:$AA$10000,MATCH(ROWS($AC$3:AC1463),$AC$3:$AC$10000,0)),"")</f>
        <v/>
      </c>
      <c r="AE1463" s="117" t="str">
        <f>+'Packing Material - Cost'!A1464</f>
        <v/>
      </c>
    </row>
    <row r="1464" spans="27:31">
      <c r="AA1464" s="117">
        <f>+'Ingredient List - Mother Tinctu'!D1465</f>
        <v>0</v>
      </c>
      <c r="AB1464" s="117">
        <f t="shared" si="25"/>
        <v>0</v>
      </c>
      <c r="AC1464" s="117" t="str">
        <f>IF(AB1464=1,COUNTIF($AB$3:AB1464,1),"")</f>
        <v/>
      </c>
      <c r="AD1464" s="117" t="str">
        <f>IFERROR(INDEX($AA$3:$AA$10000,MATCH(ROWS($AC$3:AC1464),$AC$3:$AC$10000,0)),"")</f>
        <v/>
      </c>
      <c r="AE1464" s="117" t="str">
        <f>+'Packing Material - Cost'!A1465</f>
        <v/>
      </c>
    </row>
    <row r="1465" spans="27:31">
      <c r="AA1465" s="117">
        <f>+'Ingredient List - Mother Tinctu'!D1466</f>
        <v>0</v>
      </c>
      <c r="AB1465" s="117">
        <f t="shared" si="25"/>
        <v>0</v>
      </c>
      <c r="AC1465" s="117" t="str">
        <f>IF(AB1465=1,COUNTIF($AB$3:AB1465,1),"")</f>
        <v/>
      </c>
      <c r="AD1465" s="117" t="str">
        <f>IFERROR(INDEX($AA$3:$AA$10000,MATCH(ROWS($AC$3:AC1465),$AC$3:$AC$10000,0)),"")</f>
        <v/>
      </c>
      <c r="AE1465" s="117" t="str">
        <f>+'Packing Material - Cost'!A1466</f>
        <v/>
      </c>
    </row>
    <row r="1466" spans="27:31">
      <c r="AA1466" s="117">
        <f>+'Ingredient List - Mother Tinctu'!D1467</f>
        <v>0</v>
      </c>
      <c r="AB1466" s="117">
        <f t="shared" si="25"/>
        <v>0</v>
      </c>
      <c r="AC1466" s="117" t="str">
        <f>IF(AB1466=1,COUNTIF($AB$3:AB1466,1),"")</f>
        <v/>
      </c>
      <c r="AD1466" s="117" t="str">
        <f>IFERROR(INDEX($AA$3:$AA$10000,MATCH(ROWS($AC$3:AC1466),$AC$3:$AC$10000,0)),"")</f>
        <v/>
      </c>
      <c r="AE1466" s="117" t="str">
        <f>+'Packing Material - Cost'!A1467</f>
        <v/>
      </c>
    </row>
    <row r="1467" spans="27:31">
      <c r="AA1467" s="117">
        <f>+'Ingredient List - Mother Tinctu'!D1468</f>
        <v>0</v>
      </c>
      <c r="AB1467" s="117">
        <f t="shared" si="25"/>
        <v>0</v>
      </c>
      <c r="AC1467" s="117" t="str">
        <f>IF(AB1467=1,COUNTIF($AB$3:AB1467,1),"")</f>
        <v/>
      </c>
      <c r="AD1467" s="117" t="str">
        <f>IFERROR(INDEX($AA$3:$AA$10000,MATCH(ROWS($AC$3:AC1467),$AC$3:$AC$10000,0)),"")</f>
        <v/>
      </c>
      <c r="AE1467" s="117" t="str">
        <f>+'Packing Material - Cost'!A1468</f>
        <v/>
      </c>
    </row>
    <row r="1468" spans="27:31">
      <c r="AA1468" s="117">
        <f>+'Ingredient List - Mother Tinctu'!D1469</f>
        <v>0</v>
      </c>
      <c r="AB1468" s="117">
        <f t="shared" si="25"/>
        <v>0</v>
      </c>
      <c r="AC1468" s="117" t="str">
        <f>IF(AB1468=1,COUNTIF($AB$3:AB1468,1),"")</f>
        <v/>
      </c>
      <c r="AD1468" s="117" t="str">
        <f>IFERROR(INDEX($AA$3:$AA$10000,MATCH(ROWS($AC$3:AC1468),$AC$3:$AC$10000,0)),"")</f>
        <v/>
      </c>
      <c r="AE1468" s="117" t="str">
        <f>+'Packing Material - Cost'!A1469</f>
        <v/>
      </c>
    </row>
    <row r="1469" spans="27:31">
      <c r="AA1469" s="117">
        <f>+'Ingredient List - Mother Tinctu'!D1470</f>
        <v>0</v>
      </c>
      <c r="AB1469" s="117">
        <f t="shared" si="25"/>
        <v>0</v>
      </c>
      <c r="AC1469" s="117" t="str">
        <f>IF(AB1469=1,COUNTIF($AB$3:AB1469,1),"")</f>
        <v/>
      </c>
      <c r="AD1469" s="117" t="str">
        <f>IFERROR(INDEX($AA$3:$AA$10000,MATCH(ROWS($AC$3:AC1469),$AC$3:$AC$10000,0)),"")</f>
        <v/>
      </c>
      <c r="AE1469" s="117" t="str">
        <f>+'Packing Material - Cost'!A1470</f>
        <v/>
      </c>
    </row>
    <row r="1470" spans="27:31">
      <c r="AA1470" s="117">
        <f>+'Ingredient List - Mother Tinctu'!D1471</f>
        <v>0</v>
      </c>
      <c r="AB1470" s="117">
        <f t="shared" si="25"/>
        <v>0</v>
      </c>
      <c r="AC1470" s="117" t="str">
        <f>IF(AB1470=1,COUNTIF($AB$3:AB1470,1),"")</f>
        <v/>
      </c>
      <c r="AD1470" s="117" t="str">
        <f>IFERROR(INDEX($AA$3:$AA$10000,MATCH(ROWS($AC$3:AC1470),$AC$3:$AC$10000,0)),"")</f>
        <v/>
      </c>
      <c r="AE1470" s="117" t="str">
        <f>+'Packing Material - Cost'!A1471</f>
        <v/>
      </c>
    </row>
    <row r="1471" spans="27:31">
      <c r="AA1471" s="117">
        <f>+'Ingredient List - Mother Tinctu'!D1472</f>
        <v>0</v>
      </c>
      <c r="AB1471" s="117">
        <f t="shared" si="25"/>
        <v>0</v>
      </c>
      <c r="AC1471" s="117" t="str">
        <f>IF(AB1471=1,COUNTIF($AB$3:AB1471,1),"")</f>
        <v/>
      </c>
      <c r="AD1471" s="117" t="str">
        <f>IFERROR(INDEX($AA$3:$AA$10000,MATCH(ROWS($AC$3:AC1471),$AC$3:$AC$10000,0)),"")</f>
        <v/>
      </c>
      <c r="AE1471" s="117" t="str">
        <f>+'Packing Material - Cost'!A1472</f>
        <v/>
      </c>
    </row>
    <row r="1472" spans="27:31">
      <c r="AA1472" s="117">
        <f>+'Ingredient List - Mother Tinctu'!D1473</f>
        <v>0</v>
      </c>
      <c r="AB1472" s="117">
        <f t="shared" si="25"/>
        <v>0</v>
      </c>
      <c r="AC1472" s="117" t="str">
        <f>IF(AB1472=1,COUNTIF($AB$3:AB1472,1),"")</f>
        <v/>
      </c>
      <c r="AD1472" s="117" t="str">
        <f>IFERROR(INDEX($AA$3:$AA$10000,MATCH(ROWS($AC$3:AC1472),$AC$3:$AC$10000,0)),"")</f>
        <v/>
      </c>
      <c r="AE1472" s="117" t="str">
        <f>+'Packing Material - Cost'!A1473</f>
        <v/>
      </c>
    </row>
    <row r="1473" spans="27:31">
      <c r="AA1473" s="117">
        <f>+'Ingredient List - Mother Tinctu'!D1474</f>
        <v>0</v>
      </c>
      <c r="AB1473" s="117">
        <f t="shared" si="25"/>
        <v>0</v>
      </c>
      <c r="AC1473" s="117" t="str">
        <f>IF(AB1473=1,COUNTIF($AB$3:AB1473,1),"")</f>
        <v/>
      </c>
      <c r="AD1473" s="117" t="str">
        <f>IFERROR(INDEX($AA$3:$AA$10000,MATCH(ROWS($AC$3:AC1473),$AC$3:$AC$10000,0)),"")</f>
        <v/>
      </c>
      <c r="AE1473" s="117" t="str">
        <f>+'Packing Material - Cost'!A1474</f>
        <v/>
      </c>
    </row>
    <row r="1474" spans="27:31">
      <c r="AA1474" s="117">
        <f>+'Ingredient List - Mother Tinctu'!D1475</f>
        <v>0</v>
      </c>
      <c r="AB1474" s="117">
        <f t="shared" si="25"/>
        <v>0</v>
      </c>
      <c r="AC1474" s="117" t="str">
        <f>IF(AB1474=1,COUNTIF($AB$3:AB1474,1),"")</f>
        <v/>
      </c>
      <c r="AD1474" s="117" t="str">
        <f>IFERROR(INDEX($AA$3:$AA$10000,MATCH(ROWS($AC$3:AC1474),$AC$3:$AC$10000,0)),"")</f>
        <v/>
      </c>
      <c r="AE1474" s="117" t="str">
        <f>+'Packing Material - Cost'!A1475</f>
        <v/>
      </c>
    </row>
    <row r="1475" spans="27:31">
      <c r="AA1475" s="117">
        <f>+'Ingredient List - Mother Tinctu'!D1476</f>
        <v>0</v>
      </c>
      <c r="AB1475" s="117">
        <f t="shared" si="25"/>
        <v>0</v>
      </c>
      <c r="AC1475" s="117" t="str">
        <f>IF(AB1475=1,COUNTIF($AB$3:AB1475,1),"")</f>
        <v/>
      </c>
      <c r="AD1475" s="117" t="str">
        <f>IFERROR(INDEX($AA$3:$AA$10000,MATCH(ROWS($AC$3:AC1475),$AC$3:$AC$10000,0)),"")</f>
        <v/>
      </c>
      <c r="AE1475" s="117" t="str">
        <f>+'Packing Material - Cost'!A1476</f>
        <v/>
      </c>
    </row>
    <row r="1476" spans="27:31">
      <c r="AA1476" s="117">
        <f>+'Ingredient List - Mother Tinctu'!D1477</f>
        <v>0</v>
      </c>
      <c r="AB1476" s="117">
        <f t="shared" ref="AB1476:AB1539" si="26">--ISNUMBER(IFERROR(SEARCH($D$3,AA1476,1),""))</f>
        <v>0</v>
      </c>
      <c r="AC1476" s="117" t="str">
        <f>IF(AB1476=1,COUNTIF($AB$3:AB1476,1),"")</f>
        <v/>
      </c>
      <c r="AD1476" s="117" t="str">
        <f>IFERROR(INDEX($AA$3:$AA$10000,MATCH(ROWS($AC$3:AC1476),$AC$3:$AC$10000,0)),"")</f>
        <v/>
      </c>
      <c r="AE1476" s="117" t="str">
        <f>+'Packing Material - Cost'!A1477</f>
        <v/>
      </c>
    </row>
    <row r="1477" spans="27:31">
      <c r="AA1477" s="117">
        <f>+'Ingredient List - Mother Tinctu'!D1478</f>
        <v>0</v>
      </c>
      <c r="AB1477" s="117">
        <f t="shared" si="26"/>
        <v>0</v>
      </c>
      <c r="AC1477" s="117" t="str">
        <f>IF(AB1477=1,COUNTIF($AB$3:AB1477,1),"")</f>
        <v/>
      </c>
      <c r="AD1477" s="117" t="str">
        <f>IFERROR(INDEX($AA$3:$AA$10000,MATCH(ROWS($AC$3:AC1477),$AC$3:$AC$10000,0)),"")</f>
        <v/>
      </c>
      <c r="AE1477" s="117" t="str">
        <f>+'Packing Material - Cost'!A1478</f>
        <v/>
      </c>
    </row>
    <row r="1478" spans="27:31">
      <c r="AA1478" s="117">
        <f>+'Ingredient List - Mother Tinctu'!D1479</f>
        <v>0</v>
      </c>
      <c r="AB1478" s="117">
        <f t="shared" si="26"/>
        <v>0</v>
      </c>
      <c r="AC1478" s="117" t="str">
        <f>IF(AB1478=1,COUNTIF($AB$3:AB1478,1),"")</f>
        <v/>
      </c>
      <c r="AD1478" s="117" t="str">
        <f>IFERROR(INDEX($AA$3:$AA$10000,MATCH(ROWS($AC$3:AC1478),$AC$3:$AC$10000,0)),"")</f>
        <v/>
      </c>
      <c r="AE1478" s="117" t="str">
        <f>+'Packing Material - Cost'!A1479</f>
        <v/>
      </c>
    </row>
    <row r="1479" spans="27:31">
      <c r="AA1479" s="117">
        <f>+'Ingredient List - Mother Tinctu'!D1480</f>
        <v>0</v>
      </c>
      <c r="AB1479" s="117">
        <f t="shared" si="26"/>
        <v>0</v>
      </c>
      <c r="AC1479" s="117" t="str">
        <f>IF(AB1479=1,COUNTIF($AB$3:AB1479,1),"")</f>
        <v/>
      </c>
      <c r="AD1479" s="117" t="str">
        <f>IFERROR(INDEX($AA$3:$AA$10000,MATCH(ROWS($AC$3:AC1479),$AC$3:$AC$10000,0)),"")</f>
        <v/>
      </c>
      <c r="AE1479" s="117" t="str">
        <f>+'Packing Material - Cost'!A1480</f>
        <v/>
      </c>
    </row>
    <row r="1480" spans="27:31">
      <c r="AA1480" s="117">
        <f>+'Ingredient List - Mother Tinctu'!D1481</f>
        <v>0</v>
      </c>
      <c r="AB1480" s="117">
        <f t="shared" si="26"/>
        <v>0</v>
      </c>
      <c r="AC1480" s="117" t="str">
        <f>IF(AB1480=1,COUNTIF($AB$3:AB1480,1),"")</f>
        <v/>
      </c>
      <c r="AD1480" s="117" t="str">
        <f>IFERROR(INDEX($AA$3:$AA$10000,MATCH(ROWS($AC$3:AC1480),$AC$3:$AC$10000,0)),"")</f>
        <v/>
      </c>
      <c r="AE1480" s="117" t="str">
        <f>+'Packing Material - Cost'!A1481</f>
        <v/>
      </c>
    </row>
    <row r="1481" spans="27:31">
      <c r="AA1481" s="117">
        <f>+'Ingredient List - Mother Tinctu'!D1482</f>
        <v>0</v>
      </c>
      <c r="AB1481" s="117">
        <f t="shared" si="26"/>
        <v>0</v>
      </c>
      <c r="AC1481" s="117" t="str">
        <f>IF(AB1481=1,COUNTIF($AB$3:AB1481,1),"")</f>
        <v/>
      </c>
      <c r="AD1481" s="117" t="str">
        <f>IFERROR(INDEX($AA$3:$AA$10000,MATCH(ROWS($AC$3:AC1481),$AC$3:$AC$10000,0)),"")</f>
        <v/>
      </c>
      <c r="AE1481" s="117" t="str">
        <f>+'Packing Material - Cost'!A1482</f>
        <v/>
      </c>
    </row>
    <row r="1482" spans="27:31">
      <c r="AA1482" s="117">
        <f>+'Ingredient List - Mother Tinctu'!D1483</f>
        <v>0</v>
      </c>
      <c r="AB1482" s="117">
        <f t="shared" si="26"/>
        <v>0</v>
      </c>
      <c r="AC1482" s="117" t="str">
        <f>IF(AB1482=1,COUNTIF($AB$3:AB1482,1),"")</f>
        <v/>
      </c>
      <c r="AD1482" s="117" t="str">
        <f>IFERROR(INDEX($AA$3:$AA$10000,MATCH(ROWS($AC$3:AC1482),$AC$3:$AC$10000,0)),"")</f>
        <v/>
      </c>
      <c r="AE1482" s="117" t="str">
        <f>+'Packing Material - Cost'!A1483</f>
        <v/>
      </c>
    </row>
    <row r="1483" spans="27:31">
      <c r="AA1483" s="117">
        <f>+'Ingredient List - Mother Tinctu'!D1484</f>
        <v>0</v>
      </c>
      <c r="AB1483" s="117">
        <f t="shared" si="26"/>
        <v>0</v>
      </c>
      <c r="AC1483" s="117" t="str">
        <f>IF(AB1483=1,COUNTIF($AB$3:AB1483,1),"")</f>
        <v/>
      </c>
      <c r="AD1483" s="117" t="str">
        <f>IFERROR(INDEX($AA$3:$AA$10000,MATCH(ROWS($AC$3:AC1483),$AC$3:$AC$10000,0)),"")</f>
        <v/>
      </c>
      <c r="AE1483" s="117" t="str">
        <f>+'Packing Material - Cost'!A1484</f>
        <v/>
      </c>
    </row>
    <row r="1484" spans="27:31">
      <c r="AA1484" s="117">
        <f>+'Ingredient List - Mother Tinctu'!D1485</f>
        <v>0</v>
      </c>
      <c r="AB1484" s="117">
        <f t="shared" si="26"/>
        <v>0</v>
      </c>
      <c r="AC1484" s="117" t="str">
        <f>IF(AB1484=1,COUNTIF($AB$3:AB1484,1),"")</f>
        <v/>
      </c>
      <c r="AD1484" s="117" t="str">
        <f>IFERROR(INDEX($AA$3:$AA$10000,MATCH(ROWS($AC$3:AC1484),$AC$3:$AC$10000,0)),"")</f>
        <v/>
      </c>
      <c r="AE1484" s="117" t="str">
        <f>+'Packing Material - Cost'!A1485</f>
        <v/>
      </c>
    </row>
    <row r="1485" spans="27:31">
      <c r="AA1485" s="117">
        <f>+'Ingredient List - Mother Tinctu'!D1486</f>
        <v>0</v>
      </c>
      <c r="AB1485" s="117">
        <f t="shared" si="26"/>
        <v>0</v>
      </c>
      <c r="AC1485" s="117" t="str">
        <f>IF(AB1485=1,COUNTIF($AB$3:AB1485,1),"")</f>
        <v/>
      </c>
      <c r="AD1485" s="117" t="str">
        <f>IFERROR(INDEX($AA$3:$AA$10000,MATCH(ROWS($AC$3:AC1485),$AC$3:$AC$10000,0)),"")</f>
        <v/>
      </c>
      <c r="AE1485" s="117" t="str">
        <f>+'Packing Material - Cost'!A1486</f>
        <v/>
      </c>
    </row>
    <row r="1486" spans="27:31">
      <c r="AA1486" s="117">
        <f>+'Ingredient List - Mother Tinctu'!D1487</f>
        <v>0</v>
      </c>
      <c r="AB1486" s="117">
        <f t="shared" si="26"/>
        <v>0</v>
      </c>
      <c r="AC1486" s="117" t="str">
        <f>IF(AB1486=1,COUNTIF($AB$3:AB1486,1),"")</f>
        <v/>
      </c>
      <c r="AD1486" s="117" t="str">
        <f>IFERROR(INDEX($AA$3:$AA$10000,MATCH(ROWS($AC$3:AC1486),$AC$3:$AC$10000,0)),"")</f>
        <v/>
      </c>
      <c r="AE1486" s="117" t="str">
        <f>+'Packing Material - Cost'!A1487</f>
        <v/>
      </c>
    </row>
    <row r="1487" spans="27:31">
      <c r="AA1487" s="117">
        <f>+'Ingredient List - Mother Tinctu'!D1488</f>
        <v>0</v>
      </c>
      <c r="AB1487" s="117">
        <f t="shared" si="26"/>
        <v>0</v>
      </c>
      <c r="AC1487" s="117" t="str">
        <f>IF(AB1487=1,COUNTIF($AB$3:AB1487,1),"")</f>
        <v/>
      </c>
      <c r="AD1487" s="117" t="str">
        <f>IFERROR(INDEX($AA$3:$AA$10000,MATCH(ROWS($AC$3:AC1487),$AC$3:$AC$10000,0)),"")</f>
        <v/>
      </c>
      <c r="AE1487" s="117" t="str">
        <f>+'Packing Material - Cost'!A1488</f>
        <v/>
      </c>
    </row>
    <row r="1488" spans="27:31">
      <c r="AA1488" s="117">
        <f>+'Ingredient List - Mother Tinctu'!D1489</f>
        <v>0</v>
      </c>
      <c r="AB1488" s="117">
        <f t="shared" si="26"/>
        <v>0</v>
      </c>
      <c r="AC1488" s="117" t="str">
        <f>IF(AB1488=1,COUNTIF($AB$3:AB1488,1),"")</f>
        <v/>
      </c>
      <c r="AD1488" s="117" t="str">
        <f>IFERROR(INDEX($AA$3:$AA$10000,MATCH(ROWS($AC$3:AC1488),$AC$3:$AC$10000,0)),"")</f>
        <v/>
      </c>
      <c r="AE1488" s="117" t="str">
        <f>+'Packing Material - Cost'!A1489</f>
        <v/>
      </c>
    </row>
    <row r="1489" spans="27:31">
      <c r="AA1489" s="117">
        <f>+'Ingredient List - Mother Tinctu'!D1490</f>
        <v>0</v>
      </c>
      <c r="AB1489" s="117">
        <f t="shared" si="26"/>
        <v>0</v>
      </c>
      <c r="AC1489" s="117" t="str">
        <f>IF(AB1489=1,COUNTIF($AB$3:AB1489,1),"")</f>
        <v/>
      </c>
      <c r="AD1489" s="117" t="str">
        <f>IFERROR(INDEX($AA$3:$AA$10000,MATCH(ROWS($AC$3:AC1489),$AC$3:$AC$10000,0)),"")</f>
        <v/>
      </c>
      <c r="AE1489" s="117" t="str">
        <f>+'Packing Material - Cost'!A1490</f>
        <v/>
      </c>
    </row>
    <row r="1490" spans="27:31">
      <c r="AA1490" s="117">
        <f>+'Ingredient List - Mother Tinctu'!D1491</f>
        <v>0</v>
      </c>
      <c r="AB1490" s="117">
        <f t="shared" si="26"/>
        <v>0</v>
      </c>
      <c r="AC1490" s="117" t="str">
        <f>IF(AB1490=1,COUNTIF($AB$3:AB1490,1),"")</f>
        <v/>
      </c>
      <c r="AD1490" s="117" t="str">
        <f>IFERROR(INDEX($AA$3:$AA$10000,MATCH(ROWS($AC$3:AC1490),$AC$3:$AC$10000,0)),"")</f>
        <v/>
      </c>
      <c r="AE1490" s="117" t="str">
        <f>+'Packing Material - Cost'!A1491</f>
        <v/>
      </c>
    </row>
    <row r="1491" spans="27:31">
      <c r="AA1491" s="117">
        <f>+'Ingredient List - Mother Tinctu'!D1492</f>
        <v>0</v>
      </c>
      <c r="AB1491" s="117">
        <f t="shared" si="26"/>
        <v>0</v>
      </c>
      <c r="AC1491" s="117" t="str">
        <f>IF(AB1491=1,COUNTIF($AB$3:AB1491,1),"")</f>
        <v/>
      </c>
      <c r="AD1491" s="117" t="str">
        <f>IFERROR(INDEX($AA$3:$AA$10000,MATCH(ROWS($AC$3:AC1491),$AC$3:$AC$10000,0)),"")</f>
        <v/>
      </c>
      <c r="AE1491" s="117" t="str">
        <f>+'Packing Material - Cost'!A1492</f>
        <v/>
      </c>
    </row>
    <row r="1492" spans="27:31">
      <c r="AA1492" s="117">
        <f>+'Ingredient List - Mother Tinctu'!D1493</f>
        <v>0</v>
      </c>
      <c r="AB1492" s="117">
        <f t="shared" si="26"/>
        <v>0</v>
      </c>
      <c r="AC1492" s="117" t="str">
        <f>IF(AB1492=1,COUNTIF($AB$3:AB1492,1),"")</f>
        <v/>
      </c>
      <c r="AD1492" s="117" t="str">
        <f>IFERROR(INDEX($AA$3:$AA$10000,MATCH(ROWS($AC$3:AC1492),$AC$3:$AC$10000,0)),"")</f>
        <v/>
      </c>
      <c r="AE1492" s="117" t="str">
        <f>+'Packing Material - Cost'!A1493</f>
        <v/>
      </c>
    </row>
    <row r="1493" spans="27:31">
      <c r="AA1493" s="117">
        <f>+'Ingredient List - Mother Tinctu'!D1494</f>
        <v>0</v>
      </c>
      <c r="AB1493" s="117">
        <f t="shared" si="26"/>
        <v>0</v>
      </c>
      <c r="AC1493" s="117" t="str">
        <f>IF(AB1493=1,COUNTIF($AB$3:AB1493,1),"")</f>
        <v/>
      </c>
      <c r="AD1493" s="117" t="str">
        <f>IFERROR(INDEX($AA$3:$AA$10000,MATCH(ROWS($AC$3:AC1493),$AC$3:$AC$10000,0)),"")</f>
        <v/>
      </c>
      <c r="AE1493" s="117" t="str">
        <f>+'Packing Material - Cost'!A1494</f>
        <v/>
      </c>
    </row>
    <row r="1494" spans="27:31">
      <c r="AA1494" s="117">
        <f>+'Ingredient List - Mother Tinctu'!D1495</f>
        <v>0</v>
      </c>
      <c r="AB1494" s="117">
        <f t="shared" si="26"/>
        <v>0</v>
      </c>
      <c r="AC1494" s="117" t="str">
        <f>IF(AB1494=1,COUNTIF($AB$3:AB1494,1),"")</f>
        <v/>
      </c>
      <c r="AD1494" s="117" t="str">
        <f>IFERROR(INDEX($AA$3:$AA$10000,MATCH(ROWS($AC$3:AC1494),$AC$3:$AC$10000,0)),"")</f>
        <v/>
      </c>
      <c r="AE1494" s="117" t="str">
        <f>+'Packing Material - Cost'!A1495</f>
        <v/>
      </c>
    </row>
    <row r="1495" spans="27:31">
      <c r="AA1495" s="117">
        <f>+'Ingredient List - Mother Tinctu'!D1496</f>
        <v>0</v>
      </c>
      <c r="AB1495" s="117">
        <f t="shared" si="26"/>
        <v>0</v>
      </c>
      <c r="AC1495" s="117" t="str">
        <f>IF(AB1495=1,COUNTIF($AB$3:AB1495,1),"")</f>
        <v/>
      </c>
      <c r="AD1495" s="117" t="str">
        <f>IFERROR(INDEX($AA$3:$AA$10000,MATCH(ROWS($AC$3:AC1495),$AC$3:$AC$10000,0)),"")</f>
        <v/>
      </c>
      <c r="AE1495" s="117" t="str">
        <f>+'Packing Material - Cost'!A1496</f>
        <v/>
      </c>
    </row>
    <row r="1496" spans="27:31">
      <c r="AA1496" s="117">
        <f>+'Ingredient List - Mother Tinctu'!D1497</f>
        <v>0</v>
      </c>
      <c r="AB1496" s="117">
        <f t="shared" si="26"/>
        <v>0</v>
      </c>
      <c r="AC1496" s="117" t="str">
        <f>IF(AB1496=1,COUNTIF($AB$3:AB1496,1),"")</f>
        <v/>
      </c>
      <c r="AD1496" s="117" t="str">
        <f>IFERROR(INDEX($AA$3:$AA$10000,MATCH(ROWS($AC$3:AC1496),$AC$3:$AC$10000,0)),"")</f>
        <v/>
      </c>
      <c r="AE1496" s="117" t="str">
        <f>+'Packing Material - Cost'!A1497</f>
        <v/>
      </c>
    </row>
    <row r="1497" spans="27:31">
      <c r="AA1497" s="117">
        <f>+'Ingredient List - Mother Tinctu'!D1498</f>
        <v>0</v>
      </c>
      <c r="AB1497" s="117">
        <f t="shared" si="26"/>
        <v>0</v>
      </c>
      <c r="AC1497" s="117" t="str">
        <f>IF(AB1497=1,COUNTIF($AB$3:AB1497,1),"")</f>
        <v/>
      </c>
      <c r="AD1497" s="117" t="str">
        <f>IFERROR(INDEX($AA$3:$AA$10000,MATCH(ROWS($AC$3:AC1497),$AC$3:$AC$10000,0)),"")</f>
        <v/>
      </c>
      <c r="AE1497" s="117" t="str">
        <f>+'Packing Material - Cost'!A1498</f>
        <v/>
      </c>
    </row>
    <row r="1498" spans="27:31">
      <c r="AA1498" s="117">
        <f>+'Ingredient List - Mother Tinctu'!D1499</f>
        <v>0</v>
      </c>
      <c r="AB1498" s="117">
        <f t="shared" si="26"/>
        <v>0</v>
      </c>
      <c r="AC1498" s="117" t="str">
        <f>IF(AB1498=1,COUNTIF($AB$3:AB1498,1),"")</f>
        <v/>
      </c>
      <c r="AD1498" s="117" t="str">
        <f>IFERROR(INDEX($AA$3:$AA$10000,MATCH(ROWS($AC$3:AC1498),$AC$3:$AC$10000,0)),"")</f>
        <v/>
      </c>
      <c r="AE1498" s="117" t="str">
        <f>+'Packing Material - Cost'!A1499</f>
        <v/>
      </c>
    </row>
    <row r="1499" spans="27:31">
      <c r="AA1499" s="117">
        <f>+'Ingredient List - Mother Tinctu'!D1500</f>
        <v>0</v>
      </c>
      <c r="AB1499" s="117">
        <f t="shared" si="26"/>
        <v>0</v>
      </c>
      <c r="AC1499" s="117" t="str">
        <f>IF(AB1499=1,COUNTIF($AB$3:AB1499,1),"")</f>
        <v/>
      </c>
      <c r="AD1499" s="117" t="str">
        <f>IFERROR(INDEX($AA$3:$AA$10000,MATCH(ROWS($AC$3:AC1499),$AC$3:$AC$10000,0)),"")</f>
        <v/>
      </c>
      <c r="AE1499" s="117" t="str">
        <f>+'Packing Material - Cost'!A1500</f>
        <v/>
      </c>
    </row>
    <row r="1500" spans="27:31">
      <c r="AA1500" s="117">
        <f>+'Ingredient List - Mother Tinctu'!D1501</f>
        <v>0</v>
      </c>
      <c r="AB1500" s="117">
        <f t="shared" si="26"/>
        <v>0</v>
      </c>
      <c r="AC1500" s="117" t="str">
        <f>IF(AB1500=1,COUNTIF($AB$3:AB1500,1),"")</f>
        <v/>
      </c>
      <c r="AD1500" s="117" t="str">
        <f>IFERROR(INDEX($AA$3:$AA$10000,MATCH(ROWS($AC$3:AC1500),$AC$3:$AC$10000,0)),"")</f>
        <v/>
      </c>
      <c r="AE1500" s="117" t="str">
        <f>+'Packing Material - Cost'!A1501</f>
        <v/>
      </c>
    </row>
    <row r="1501" spans="27:31">
      <c r="AA1501" s="117">
        <f>+'Ingredient List - Mother Tinctu'!D1502</f>
        <v>0</v>
      </c>
      <c r="AB1501" s="117">
        <f t="shared" si="26"/>
        <v>0</v>
      </c>
      <c r="AC1501" s="117" t="str">
        <f>IF(AB1501=1,COUNTIF($AB$3:AB1501,1),"")</f>
        <v/>
      </c>
      <c r="AD1501" s="117" t="str">
        <f>IFERROR(INDEX($AA$3:$AA$10000,MATCH(ROWS($AC$3:AC1501),$AC$3:$AC$10000,0)),"")</f>
        <v/>
      </c>
      <c r="AE1501" s="117" t="str">
        <f>+'Packing Material - Cost'!A1502</f>
        <v/>
      </c>
    </row>
    <row r="1502" spans="27:31">
      <c r="AA1502" s="117">
        <f>+'Ingredient List - Mother Tinctu'!D1503</f>
        <v>0</v>
      </c>
      <c r="AB1502" s="117">
        <f t="shared" si="26"/>
        <v>0</v>
      </c>
      <c r="AC1502" s="117" t="str">
        <f>IF(AB1502=1,COUNTIF($AB$3:AB1502,1),"")</f>
        <v/>
      </c>
      <c r="AD1502" s="117" t="str">
        <f>IFERROR(INDEX($AA$3:$AA$10000,MATCH(ROWS($AC$3:AC1502),$AC$3:$AC$10000,0)),"")</f>
        <v/>
      </c>
      <c r="AE1502" s="117" t="str">
        <f>+'Packing Material - Cost'!A1503</f>
        <v/>
      </c>
    </row>
    <row r="1503" spans="27:31">
      <c r="AA1503" s="117">
        <f>+'Ingredient List - Mother Tinctu'!D1504</f>
        <v>0</v>
      </c>
      <c r="AB1503" s="117">
        <f t="shared" si="26"/>
        <v>0</v>
      </c>
      <c r="AC1503" s="117" t="str">
        <f>IF(AB1503=1,COUNTIF($AB$3:AB1503,1),"")</f>
        <v/>
      </c>
      <c r="AD1503" s="117" t="str">
        <f>IFERROR(INDEX($AA$3:$AA$10000,MATCH(ROWS($AC$3:AC1503),$AC$3:$AC$10000,0)),"")</f>
        <v/>
      </c>
      <c r="AE1503" s="117" t="str">
        <f>+'Packing Material - Cost'!A1504</f>
        <v/>
      </c>
    </row>
    <row r="1504" spans="27:31">
      <c r="AA1504" s="117">
        <f>+'Ingredient List - Mother Tinctu'!D1505</f>
        <v>0</v>
      </c>
      <c r="AB1504" s="117">
        <f t="shared" si="26"/>
        <v>0</v>
      </c>
      <c r="AC1504" s="117" t="str">
        <f>IF(AB1504=1,COUNTIF($AB$3:AB1504,1),"")</f>
        <v/>
      </c>
      <c r="AD1504" s="117" t="str">
        <f>IFERROR(INDEX($AA$3:$AA$10000,MATCH(ROWS($AC$3:AC1504),$AC$3:$AC$10000,0)),"")</f>
        <v/>
      </c>
      <c r="AE1504" s="117" t="str">
        <f>+'Packing Material - Cost'!A1505</f>
        <v/>
      </c>
    </row>
    <row r="1505" spans="27:31">
      <c r="AA1505" s="117">
        <f>+'Ingredient List - Mother Tinctu'!D1506</f>
        <v>0</v>
      </c>
      <c r="AB1505" s="117">
        <f t="shared" si="26"/>
        <v>0</v>
      </c>
      <c r="AC1505" s="117" t="str">
        <f>IF(AB1505=1,COUNTIF($AB$3:AB1505,1),"")</f>
        <v/>
      </c>
      <c r="AD1505" s="117" t="str">
        <f>IFERROR(INDEX($AA$3:$AA$10000,MATCH(ROWS($AC$3:AC1505),$AC$3:$AC$10000,0)),"")</f>
        <v/>
      </c>
      <c r="AE1505" s="117" t="str">
        <f>+'Packing Material - Cost'!A1506</f>
        <v/>
      </c>
    </row>
    <row r="1506" spans="27:31">
      <c r="AA1506" s="117">
        <f>+'Ingredient List - Mother Tinctu'!D1507</f>
        <v>0</v>
      </c>
      <c r="AB1506" s="117">
        <f t="shared" si="26"/>
        <v>0</v>
      </c>
      <c r="AC1506" s="117" t="str">
        <f>IF(AB1506=1,COUNTIF($AB$3:AB1506,1),"")</f>
        <v/>
      </c>
      <c r="AD1506" s="117" t="str">
        <f>IFERROR(INDEX($AA$3:$AA$10000,MATCH(ROWS($AC$3:AC1506),$AC$3:$AC$10000,0)),"")</f>
        <v/>
      </c>
      <c r="AE1506" s="117" t="str">
        <f>+'Packing Material - Cost'!A1507</f>
        <v/>
      </c>
    </row>
    <row r="1507" spans="27:31">
      <c r="AA1507" s="117">
        <f>+'Ingredient List - Mother Tinctu'!D1508</f>
        <v>0</v>
      </c>
      <c r="AB1507" s="117">
        <f t="shared" si="26"/>
        <v>0</v>
      </c>
      <c r="AC1507" s="117" t="str">
        <f>IF(AB1507=1,COUNTIF($AB$3:AB1507,1),"")</f>
        <v/>
      </c>
      <c r="AD1507" s="117" t="str">
        <f>IFERROR(INDEX($AA$3:$AA$10000,MATCH(ROWS($AC$3:AC1507),$AC$3:$AC$10000,0)),"")</f>
        <v/>
      </c>
      <c r="AE1507" s="117" t="str">
        <f>+'Packing Material - Cost'!A1508</f>
        <v/>
      </c>
    </row>
    <row r="1508" spans="27:31">
      <c r="AA1508" s="117">
        <f>+'Ingredient List - Mother Tinctu'!D1509</f>
        <v>0</v>
      </c>
      <c r="AB1508" s="117">
        <f t="shared" si="26"/>
        <v>0</v>
      </c>
      <c r="AC1508" s="117" t="str">
        <f>IF(AB1508=1,COUNTIF($AB$3:AB1508,1),"")</f>
        <v/>
      </c>
      <c r="AD1508" s="117" t="str">
        <f>IFERROR(INDEX($AA$3:$AA$10000,MATCH(ROWS($AC$3:AC1508),$AC$3:$AC$10000,0)),"")</f>
        <v/>
      </c>
      <c r="AE1508" s="117" t="str">
        <f>+'Packing Material - Cost'!A1509</f>
        <v/>
      </c>
    </row>
    <row r="1509" spans="27:31">
      <c r="AA1509" s="117">
        <f>+'Ingredient List - Mother Tinctu'!D1510</f>
        <v>0</v>
      </c>
      <c r="AB1509" s="117">
        <f t="shared" si="26"/>
        <v>0</v>
      </c>
      <c r="AC1509" s="117" t="str">
        <f>IF(AB1509=1,COUNTIF($AB$3:AB1509,1),"")</f>
        <v/>
      </c>
      <c r="AD1509" s="117" t="str">
        <f>IFERROR(INDEX($AA$3:$AA$10000,MATCH(ROWS($AC$3:AC1509),$AC$3:$AC$10000,0)),"")</f>
        <v/>
      </c>
      <c r="AE1509" s="117" t="str">
        <f>+'Packing Material - Cost'!A1510</f>
        <v/>
      </c>
    </row>
    <row r="1510" spans="27:31">
      <c r="AA1510" s="117">
        <f>+'Ingredient List - Mother Tinctu'!D1511</f>
        <v>0</v>
      </c>
      <c r="AB1510" s="117">
        <f t="shared" si="26"/>
        <v>0</v>
      </c>
      <c r="AC1510" s="117" t="str">
        <f>IF(AB1510=1,COUNTIF($AB$3:AB1510,1),"")</f>
        <v/>
      </c>
      <c r="AD1510" s="117" t="str">
        <f>IFERROR(INDEX($AA$3:$AA$10000,MATCH(ROWS($AC$3:AC1510),$AC$3:$AC$10000,0)),"")</f>
        <v/>
      </c>
      <c r="AE1510" s="117" t="str">
        <f>+'Packing Material - Cost'!A1511</f>
        <v/>
      </c>
    </row>
    <row r="1511" spans="27:31">
      <c r="AA1511" s="117">
        <f>+'Ingredient List - Mother Tinctu'!D1512</f>
        <v>0</v>
      </c>
      <c r="AB1511" s="117">
        <f t="shared" si="26"/>
        <v>0</v>
      </c>
      <c r="AC1511" s="117" t="str">
        <f>IF(AB1511=1,COUNTIF($AB$3:AB1511,1),"")</f>
        <v/>
      </c>
      <c r="AD1511" s="117" t="str">
        <f>IFERROR(INDEX($AA$3:$AA$10000,MATCH(ROWS($AC$3:AC1511),$AC$3:$AC$10000,0)),"")</f>
        <v/>
      </c>
      <c r="AE1511" s="117" t="str">
        <f>+'Packing Material - Cost'!A1512</f>
        <v/>
      </c>
    </row>
    <row r="1512" spans="27:31">
      <c r="AA1512" s="117">
        <f>+'Ingredient List - Mother Tinctu'!D1513</f>
        <v>0</v>
      </c>
      <c r="AB1512" s="117">
        <f t="shared" si="26"/>
        <v>0</v>
      </c>
      <c r="AC1512" s="117" t="str">
        <f>IF(AB1512=1,COUNTIF($AB$3:AB1512,1),"")</f>
        <v/>
      </c>
      <c r="AD1512" s="117" t="str">
        <f>IFERROR(INDEX($AA$3:$AA$10000,MATCH(ROWS($AC$3:AC1512),$AC$3:$AC$10000,0)),"")</f>
        <v/>
      </c>
      <c r="AE1512" s="117" t="str">
        <f>+'Packing Material - Cost'!A1513</f>
        <v/>
      </c>
    </row>
    <row r="1513" spans="27:31">
      <c r="AA1513" s="117">
        <f>+'Ingredient List - Mother Tinctu'!D1514</f>
        <v>0</v>
      </c>
      <c r="AB1513" s="117">
        <f t="shared" si="26"/>
        <v>0</v>
      </c>
      <c r="AC1513" s="117" t="str">
        <f>IF(AB1513=1,COUNTIF($AB$3:AB1513,1),"")</f>
        <v/>
      </c>
      <c r="AD1513" s="117" t="str">
        <f>IFERROR(INDEX($AA$3:$AA$10000,MATCH(ROWS($AC$3:AC1513),$AC$3:$AC$10000,0)),"")</f>
        <v/>
      </c>
      <c r="AE1513" s="117" t="str">
        <f>+'Packing Material - Cost'!A1514</f>
        <v/>
      </c>
    </row>
    <row r="1514" spans="27:31">
      <c r="AA1514" s="117">
        <f>+'Ingredient List - Mother Tinctu'!D1515</f>
        <v>0</v>
      </c>
      <c r="AB1514" s="117">
        <f t="shared" si="26"/>
        <v>0</v>
      </c>
      <c r="AC1514" s="117" t="str">
        <f>IF(AB1514=1,COUNTIF($AB$3:AB1514,1),"")</f>
        <v/>
      </c>
      <c r="AD1514" s="117" t="str">
        <f>IFERROR(INDEX($AA$3:$AA$10000,MATCH(ROWS($AC$3:AC1514),$AC$3:$AC$10000,0)),"")</f>
        <v/>
      </c>
      <c r="AE1514" s="117" t="str">
        <f>+'Packing Material - Cost'!A1515</f>
        <v/>
      </c>
    </row>
    <row r="1515" spans="27:31">
      <c r="AA1515" s="117">
        <f>+'Ingredient List - Mother Tinctu'!D1516</f>
        <v>0</v>
      </c>
      <c r="AB1515" s="117">
        <f t="shared" si="26"/>
        <v>0</v>
      </c>
      <c r="AC1515" s="117" t="str">
        <f>IF(AB1515=1,COUNTIF($AB$3:AB1515,1),"")</f>
        <v/>
      </c>
      <c r="AD1515" s="117" t="str">
        <f>IFERROR(INDEX($AA$3:$AA$10000,MATCH(ROWS($AC$3:AC1515),$AC$3:$AC$10000,0)),"")</f>
        <v/>
      </c>
      <c r="AE1515" s="117" t="str">
        <f>+'Packing Material - Cost'!A1516</f>
        <v/>
      </c>
    </row>
    <row r="1516" spans="27:31">
      <c r="AA1516" s="117">
        <f>+'Ingredient List - Mother Tinctu'!D1517</f>
        <v>0</v>
      </c>
      <c r="AB1516" s="117">
        <f t="shared" si="26"/>
        <v>0</v>
      </c>
      <c r="AC1516" s="117" t="str">
        <f>IF(AB1516=1,COUNTIF($AB$3:AB1516,1),"")</f>
        <v/>
      </c>
      <c r="AD1516" s="117" t="str">
        <f>IFERROR(INDEX($AA$3:$AA$10000,MATCH(ROWS($AC$3:AC1516),$AC$3:$AC$10000,0)),"")</f>
        <v/>
      </c>
      <c r="AE1516" s="117" t="str">
        <f>+'Packing Material - Cost'!A1517</f>
        <v/>
      </c>
    </row>
    <row r="1517" spans="27:31">
      <c r="AA1517" s="117">
        <f>+'Ingredient List - Mother Tinctu'!D1518</f>
        <v>0</v>
      </c>
      <c r="AB1517" s="117">
        <f t="shared" si="26"/>
        <v>0</v>
      </c>
      <c r="AC1517" s="117" t="str">
        <f>IF(AB1517=1,COUNTIF($AB$3:AB1517,1),"")</f>
        <v/>
      </c>
      <c r="AD1517" s="117" t="str">
        <f>IFERROR(INDEX($AA$3:$AA$10000,MATCH(ROWS($AC$3:AC1517),$AC$3:$AC$10000,0)),"")</f>
        <v/>
      </c>
      <c r="AE1517" s="117" t="str">
        <f>+'Packing Material - Cost'!A1518</f>
        <v/>
      </c>
    </row>
    <row r="1518" spans="27:31">
      <c r="AA1518" s="117">
        <f>+'Ingredient List - Mother Tinctu'!D1519</f>
        <v>0</v>
      </c>
      <c r="AB1518" s="117">
        <f t="shared" si="26"/>
        <v>0</v>
      </c>
      <c r="AC1518" s="117" t="str">
        <f>IF(AB1518=1,COUNTIF($AB$3:AB1518,1),"")</f>
        <v/>
      </c>
      <c r="AD1518" s="117" t="str">
        <f>IFERROR(INDEX($AA$3:$AA$10000,MATCH(ROWS($AC$3:AC1518),$AC$3:$AC$10000,0)),"")</f>
        <v/>
      </c>
      <c r="AE1518" s="117" t="str">
        <f>+'Packing Material - Cost'!A1519</f>
        <v/>
      </c>
    </row>
    <row r="1519" spans="27:31">
      <c r="AA1519" s="117">
        <f>+'Ingredient List - Mother Tinctu'!D1520</f>
        <v>0</v>
      </c>
      <c r="AB1519" s="117">
        <f t="shared" si="26"/>
        <v>0</v>
      </c>
      <c r="AC1519" s="117" t="str">
        <f>IF(AB1519=1,COUNTIF($AB$3:AB1519,1),"")</f>
        <v/>
      </c>
      <c r="AD1519" s="117" t="str">
        <f>IFERROR(INDEX($AA$3:$AA$10000,MATCH(ROWS($AC$3:AC1519),$AC$3:$AC$10000,0)),"")</f>
        <v/>
      </c>
      <c r="AE1519" s="117" t="str">
        <f>+'Packing Material - Cost'!A1520</f>
        <v/>
      </c>
    </row>
    <row r="1520" spans="27:31">
      <c r="AA1520" s="117">
        <f>+'Ingredient List - Mother Tinctu'!D1521</f>
        <v>0</v>
      </c>
      <c r="AB1520" s="117">
        <f t="shared" si="26"/>
        <v>0</v>
      </c>
      <c r="AC1520" s="117" t="str">
        <f>IF(AB1520=1,COUNTIF($AB$3:AB1520,1),"")</f>
        <v/>
      </c>
      <c r="AD1520" s="117" t="str">
        <f>IFERROR(INDEX($AA$3:$AA$10000,MATCH(ROWS($AC$3:AC1520),$AC$3:$AC$10000,0)),"")</f>
        <v/>
      </c>
      <c r="AE1520" s="117" t="str">
        <f>+'Packing Material - Cost'!A1521</f>
        <v/>
      </c>
    </row>
    <row r="1521" spans="27:31">
      <c r="AA1521" s="117">
        <f>+'Ingredient List - Mother Tinctu'!D1522</f>
        <v>0</v>
      </c>
      <c r="AB1521" s="117">
        <f t="shared" si="26"/>
        <v>0</v>
      </c>
      <c r="AC1521" s="117" t="str">
        <f>IF(AB1521=1,COUNTIF($AB$3:AB1521,1),"")</f>
        <v/>
      </c>
      <c r="AD1521" s="117" t="str">
        <f>IFERROR(INDEX($AA$3:$AA$10000,MATCH(ROWS($AC$3:AC1521),$AC$3:$AC$10000,0)),"")</f>
        <v/>
      </c>
      <c r="AE1521" s="117" t="str">
        <f>+'Packing Material - Cost'!A1522</f>
        <v/>
      </c>
    </row>
    <row r="1522" spans="27:31">
      <c r="AA1522" s="117">
        <f>+'Ingredient List - Mother Tinctu'!D1523</f>
        <v>0</v>
      </c>
      <c r="AB1522" s="117">
        <f t="shared" si="26"/>
        <v>0</v>
      </c>
      <c r="AC1522" s="117" t="str">
        <f>IF(AB1522=1,COUNTIF($AB$3:AB1522,1),"")</f>
        <v/>
      </c>
      <c r="AD1522" s="117" t="str">
        <f>IFERROR(INDEX($AA$3:$AA$10000,MATCH(ROWS($AC$3:AC1522),$AC$3:$AC$10000,0)),"")</f>
        <v/>
      </c>
      <c r="AE1522" s="117" t="str">
        <f>+'Packing Material - Cost'!A1523</f>
        <v/>
      </c>
    </row>
    <row r="1523" spans="27:31">
      <c r="AA1523" s="117">
        <f>+'Ingredient List - Mother Tinctu'!D1524</f>
        <v>0</v>
      </c>
      <c r="AB1523" s="117">
        <f t="shared" si="26"/>
        <v>0</v>
      </c>
      <c r="AC1523" s="117" t="str">
        <f>IF(AB1523=1,COUNTIF($AB$3:AB1523,1),"")</f>
        <v/>
      </c>
      <c r="AD1523" s="117" t="str">
        <f>IFERROR(INDEX($AA$3:$AA$10000,MATCH(ROWS($AC$3:AC1523),$AC$3:$AC$10000,0)),"")</f>
        <v/>
      </c>
      <c r="AE1523" s="117" t="str">
        <f>+'Packing Material - Cost'!A1524</f>
        <v/>
      </c>
    </row>
    <row r="1524" spans="27:31">
      <c r="AA1524" s="117">
        <f>+'Ingredient List - Mother Tinctu'!D1525</f>
        <v>0</v>
      </c>
      <c r="AB1524" s="117">
        <f t="shared" si="26"/>
        <v>0</v>
      </c>
      <c r="AC1524" s="117" t="str">
        <f>IF(AB1524=1,COUNTIF($AB$3:AB1524,1),"")</f>
        <v/>
      </c>
      <c r="AD1524" s="117" t="str">
        <f>IFERROR(INDEX($AA$3:$AA$10000,MATCH(ROWS($AC$3:AC1524),$AC$3:$AC$10000,0)),"")</f>
        <v/>
      </c>
      <c r="AE1524" s="117" t="str">
        <f>+'Packing Material - Cost'!A1525</f>
        <v/>
      </c>
    </row>
    <row r="1525" spans="27:31">
      <c r="AA1525" s="117">
        <f>+'Ingredient List - Mother Tinctu'!D1526</f>
        <v>0</v>
      </c>
      <c r="AB1525" s="117">
        <f t="shared" si="26"/>
        <v>0</v>
      </c>
      <c r="AC1525" s="117" t="str">
        <f>IF(AB1525=1,COUNTIF($AB$3:AB1525,1),"")</f>
        <v/>
      </c>
      <c r="AD1525" s="117" t="str">
        <f>IFERROR(INDEX($AA$3:$AA$10000,MATCH(ROWS($AC$3:AC1525),$AC$3:$AC$10000,0)),"")</f>
        <v/>
      </c>
      <c r="AE1525" s="117" t="str">
        <f>+'Packing Material - Cost'!A1526</f>
        <v/>
      </c>
    </row>
    <row r="1526" spans="27:31">
      <c r="AA1526" s="117">
        <f>+'Ingredient List - Mother Tinctu'!D1527</f>
        <v>0</v>
      </c>
      <c r="AB1526" s="117">
        <f t="shared" si="26"/>
        <v>0</v>
      </c>
      <c r="AC1526" s="117" t="str">
        <f>IF(AB1526=1,COUNTIF($AB$3:AB1526,1),"")</f>
        <v/>
      </c>
      <c r="AD1526" s="117" t="str">
        <f>IFERROR(INDEX($AA$3:$AA$10000,MATCH(ROWS($AC$3:AC1526),$AC$3:$AC$10000,0)),"")</f>
        <v/>
      </c>
      <c r="AE1526" s="117" t="str">
        <f>+'Packing Material - Cost'!A1527</f>
        <v/>
      </c>
    </row>
    <row r="1527" spans="27:31">
      <c r="AA1527" s="117">
        <f>+'Ingredient List - Mother Tinctu'!D1528</f>
        <v>0</v>
      </c>
      <c r="AB1527" s="117">
        <f t="shared" si="26"/>
        <v>0</v>
      </c>
      <c r="AC1527" s="117" t="str">
        <f>IF(AB1527=1,COUNTIF($AB$3:AB1527,1),"")</f>
        <v/>
      </c>
      <c r="AD1527" s="117" t="str">
        <f>IFERROR(INDEX($AA$3:$AA$10000,MATCH(ROWS($AC$3:AC1527),$AC$3:$AC$10000,0)),"")</f>
        <v/>
      </c>
      <c r="AE1527" s="117" t="str">
        <f>+'Packing Material - Cost'!A1528</f>
        <v/>
      </c>
    </row>
    <row r="1528" spans="27:31">
      <c r="AA1528" s="117">
        <f>+'Ingredient List - Mother Tinctu'!D1529</f>
        <v>0</v>
      </c>
      <c r="AB1528" s="117">
        <f t="shared" si="26"/>
        <v>0</v>
      </c>
      <c r="AC1528" s="117" t="str">
        <f>IF(AB1528=1,COUNTIF($AB$3:AB1528,1),"")</f>
        <v/>
      </c>
      <c r="AD1528" s="117" t="str">
        <f>IFERROR(INDEX($AA$3:$AA$10000,MATCH(ROWS($AC$3:AC1528),$AC$3:$AC$10000,0)),"")</f>
        <v/>
      </c>
      <c r="AE1528" s="117" t="str">
        <f>+'Packing Material - Cost'!A1529</f>
        <v/>
      </c>
    </row>
    <row r="1529" spans="27:31">
      <c r="AA1529" s="117">
        <f>+'Ingredient List - Mother Tinctu'!D1530</f>
        <v>0</v>
      </c>
      <c r="AB1529" s="117">
        <f t="shared" si="26"/>
        <v>0</v>
      </c>
      <c r="AC1529" s="117" t="str">
        <f>IF(AB1529=1,COUNTIF($AB$3:AB1529,1),"")</f>
        <v/>
      </c>
      <c r="AD1529" s="117" t="str">
        <f>IFERROR(INDEX($AA$3:$AA$10000,MATCH(ROWS($AC$3:AC1529),$AC$3:$AC$10000,0)),"")</f>
        <v/>
      </c>
      <c r="AE1529" s="117" t="str">
        <f>+'Packing Material - Cost'!A1530</f>
        <v/>
      </c>
    </row>
    <row r="1530" spans="27:31">
      <c r="AA1530" s="117">
        <f>+'Ingredient List - Mother Tinctu'!D1531</f>
        <v>0</v>
      </c>
      <c r="AB1530" s="117">
        <f t="shared" si="26"/>
        <v>0</v>
      </c>
      <c r="AC1530" s="117" t="str">
        <f>IF(AB1530=1,COUNTIF($AB$3:AB1530,1),"")</f>
        <v/>
      </c>
      <c r="AD1530" s="117" t="str">
        <f>IFERROR(INDEX($AA$3:$AA$10000,MATCH(ROWS($AC$3:AC1530),$AC$3:$AC$10000,0)),"")</f>
        <v/>
      </c>
      <c r="AE1530" s="117" t="str">
        <f>+'Packing Material - Cost'!A1531</f>
        <v/>
      </c>
    </row>
    <row r="1531" spans="27:31">
      <c r="AA1531" s="117">
        <f>+'Ingredient List - Mother Tinctu'!D1532</f>
        <v>0</v>
      </c>
      <c r="AB1531" s="117">
        <f t="shared" si="26"/>
        <v>0</v>
      </c>
      <c r="AC1531" s="117" t="str">
        <f>IF(AB1531=1,COUNTIF($AB$3:AB1531,1),"")</f>
        <v/>
      </c>
      <c r="AD1531" s="117" t="str">
        <f>IFERROR(INDEX($AA$3:$AA$10000,MATCH(ROWS($AC$3:AC1531),$AC$3:$AC$10000,0)),"")</f>
        <v/>
      </c>
      <c r="AE1531" s="117" t="str">
        <f>+'Packing Material - Cost'!A1532</f>
        <v/>
      </c>
    </row>
    <row r="1532" spans="27:31">
      <c r="AA1532" s="117">
        <f>+'Ingredient List - Mother Tinctu'!D1533</f>
        <v>0</v>
      </c>
      <c r="AB1532" s="117">
        <f t="shared" si="26"/>
        <v>0</v>
      </c>
      <c r="AC1532" s="117" t="str">
        <f>IF(AB1532=1,COUNTIF($AB$3:AB1532,1),"")</f>
        <v/>
      </c>
      <c r="AD1532" s="117" t="str">
        <f>IFERROR(INDEX($AA$3:$AA$10000,MATCH(ROWS($AC$3:AC1532),$AC$3:$AC$10000,0)),"")</f>
        <v/>
      </c>
      <c r="AE1532" s="117" t="str">
        <f>+'Packing Material - Cost'!A1533</f>
        <v/>
      </c>
    </row>
    <row r="1533" spans="27:31">
      <c r="AA1533" s="117">
        <f>+'Ingredient List - Mother Tinctu'!D1534</f>
        <v>0</v>
      </c>
      <c r="AB1533" s="117">
        <f t="shared" si="26"/>
        <v>0</v>
      </c>
      <c r="AC1533" s="117" t="str">
        <f>IF(AB1533=1,COUNTIF($AB$3:AB1533,1),"")</f>
        <v/>
      </c>
      <c r="AD1533" s="117" t="str">
        <f>IFERROR(INDEX($AA$3:$AA$10000,MATCH(ROWS($AC$3:AC1533),$AC$3:$AC$10000,0)),"")</f>
        <v/>
      </c>
      <c r="AE1533" s="117" t="str">
        <f>+'Packing Material - Cost'!A1534</f>
        <v/>
      </c>
    </row>
    <row r="1534" spans="27:31">
      <c r="AA1534" s="117">
        <f>+'Ingredient List - Mother Tinctu'!D1535</f>
        <v>0</v>
      </c>
      <c r="AB1534" s="117">
        <f t="shared" si="26"/>
        <v>0</v>
      </c>
      <c r="AC1534" s="117" t="str">
        <f>IF(AB1534=1,COUNTIF($AB$3:AB1534,1),"")</f>
        <v/>
      </c>
      <c r="AD1534" s="117" t="str">
        <f>IFERROR(INDEX($AA$3:$AA$10000,MATCH(ROWS($AC$3:AC1534),$AC$3:$AC$10000,0)),"")</f>
        <v/>
      </c>
      <c r="AE1534" s="117" t="str">
        <f>+'Packing Material - Cost'!A1535</f>
        <v/>
      </c>
    </row>
    <row r="1535" spans="27:31">
      <c r="AA1535" s="117">
        <f>+'Ingredient List - Mother Tinctu'!D1536</f>
        <v>0</v>
      </c>
      <c r="AB1535" s="117">
        <f t="shared" si="26"/>
        <v>0</v>
      </c>
      <c r="AC1535" s="117" t="str">
        <f>IF(AB1535=1,COUNTIF($AB$3:AB1535,1),"")</f>
        <v/>
      </c>
      <c r="AD1535" s="117" t="str">
        <f>IFERROR(INDEX($AA$3:$AA$10000,MATCH(ROWS($AC$3:AC1535),$AC$3:$AC$10000,0)),"")</f>
        <v/>
      </c>
      <c r="AE1535" s="117" t="str">
        <f>+'Packing Material - Cost'!A1536</f>
        <v/>
      </c>
    </row>
    <row r="1536" spans="27:31">
      <c r="AA1536" s="117">
        <f>+'Ingredient List - Mother Tinctu'!D1537</f>
        <v>0</v>
      </c>
      <c r="AB1536" s="117">
        <f t="shared" si="26"/>
        <v>0</v>
      </c>
      <c r="AC1536" s="117" t="str">
        <f>IF(AB1536=1,COUNTIF($AB$3:AB1536,1),"")</f>
        <v/>
      </c>
      <c r="AD1536" s="117" t="str">
        <f>IFERROR(INDEX($AA$3:$AA$10000,MATCH(ROWS($AC$3:AC1536),$AC$3:$AC$10000,0)),"")</f>
        <v/>
      </c>
      <c r="AE1536" s="117" t="str">
        <f>+'Packing Material - Cost'!A1537</f>
        <v/>
      </c>
    </row>
    <row r="1537" spans="27:31">
      <c r="AA1537" s="117">
        <f>+'Ingredient List - Mother Tinctu'!D1538</f>
        <v>0</v>
      </c>
      <c r="AB1537" s="117">
        <f t="shared" si="26"/>
        <v>0</v>
      </c>
      <c r="AC1537" s="117" t="str">
        <f>IF(AB1537=1,COUNTIF($AB$3:AB1537,1),"")</f>
        <v/>
      </c>
      <c r="AD1537" s="117" t="str">
        <f>IFERROR(INDEX($AA$3:$AA$10000,MATCH(ROWS($AC$3:AC1537),$AC$3:$AC$10000,0)),"")</f>
        <v/>
      </c>
      <c r="AE1537" s="117" t="str">
        <f>+'Packing Material - Cost'!A1538</f>
        <v/>
      </c>
    </row>
    <row r="1538" spans="27:31">
      <c r="AA1538" s="117">
        <f>+'Ingredient List - Mother Tinctu'!D1539</f>
        <v>0</v>
      </c>
      <c r="AB1538" s="117">
        <f t="shared" si="26"/>
        <v>0</v>
      </c>
      <c r="AC1538" s="117" t="str">
        <f>IF(AB1538=1,COUNTIF($AB$3:AB1538,1),"")</f>
        <v/>
      </c>
      <c r="AD1538" s="117" t="str">
        <f>IFERROR(INDEX($AA$3:$AA$10000,MATCH(ROWS($AC$3:AC1538),$AC$3:$AC$10000,0)),"")</f>
        <v/>
      </c>
      <c r="AE1538" s="117" t="str">
        <f>+'Packing Material - Cost'!A1539</f>
        <v/>
      </c>
    </row>
    <row r="1539" spans="27:31">
      <c r="AA1539" s="117">
        <f>+'Ingredient List - Mother Tinctu'!D1540</f>
        <v>0</v>
      </c>
      <c r="AB1539" s="117">
        <f t="shared" si="26"/>
        <v>0</v>
      </c>
      <c r="AC1539" s="117" t="str">
        <f>IF(AB1539=1,COUNTIF($AB$3:AB1539,1),"")</f>
        <v/>
      </c>
      <c r="AD1539" s="117" t="str">
        <f>IFERROR(INDEX($AA$3:$AA$10000,MATCH(ROWS($AC$3:AC1539),$AC$3:$AC$10000,0)),"")</f>
        <v/>
      </c>
      <c r="AE1539" s="117" t="str">
        <f>+'Packing Material - Cost'!A1540</f>
        <v/>
      </c>
    </row>
    <row r="1540" spans="27:31">
      <c r="AA1540" s="117">
        <f>+'Ingredient List - Mother Tinctu'!D1541</f>
        <v>0</v>
      </c>
      <c r="AB1540" s="117">
        <f t="shared" ref="AB1540:AB1603" si="27">--ISNUMBER(IFERROR(SEARCH($D$3,AA1540,1),""))</f>
        <v>0</v>
      </c>
      <c r="AC1540" s="117" t="str">
        <f>IF(AB1540=1,COUNTIF($AB$3:AB1540,1),"")</f>
        <v/>
      </c>
      <c r="AD1540" s="117" t="str">
        <f>IFERROR(INDEX($AA$3:$AA$10000,MATCH(ROWS($AC$3:AC1540),$AC$3:$AC$10000,0)),"")</f>
        <v/>
      </c>
      <c r="AE1540" s="117" t="str">
        <f>+'Packing Material - Cost'!A1541</f>
        <v/>
      </c>
    </row>
    <row r="1541" spans="27:31">
      <c r="AA1541" s="117">
        <f>+'Ingredient List - Mother Tinctu'!D1542</f>
        <v>0</v>
      </c>
      <c r="AB1541" s="117">
        <f t="shared" si="27"/>
        <v>0</v>
      </c>
      <c r="AC1541" s="117" t="str">
        <f>IF(AB1541=1,COUNTIF($AB$3:AB1541,1),"")</f>
        <v/>
      </c>
      <c r="AD1541" s="117" t="str">
        <f>IFERROR(INDEX($AA$3:$AA$10000,MATCH(ROWS($AC$3:AC1541),$AC$3:$AC$10000,0)),"")</f>
        <v/>
      </c>
      <c r="AE1541" s="117" t="str">
        <f>+'Packing Material - Cost'!A1542</f>
        <v/>
      </c>
    </row>
    <row r="1542" spans="27:31">
      <c r="AA1542" s="117">
        <f>+'Ingredient List - Mother Tinctu'!D1543</f>
        <v>0</v>
      </c>
      <c r="AB1542" s="117">
        <f t="shared" si="27"/>
        <v>0</v>
      </c>
      <c r="AC1542" s="117" t="str">
        <f>IF(AB1542=1,COUNTIF($AB$3:AB1542,1),"")</f>
        <v/>
      </c>
      <c r="AD1542" s="117" t="str">
        <f>IFERROR(INDEX($AA$3:$AA$10000,MATCH(ROWS($AC$3:AC1542),$AC$3:$AC$10000,0)),"")</f>
        <v/>
      </c>
      <c r="AE1542" s="117" t="str">
        <f>+'Packing Material - Cost'!A1543</f>
        <v/>
      </c>
    </row>
    <row r="1543" spans="27:31">
      <c r="AA1543" s="117">
        <f>+'Ingredient List - Mother Tinctu'!D1544</f>
        <v>0</v>
      </c>
      <c r="AB1543" s="117">
        <f t="shared" si="27"/>
        <v>0</v>
      </c>
      <c r="AC1543" s="117" t="str">
        <f>IF(AB1543=1,COUNTIF($AB$3:AB1543,1),"")</f>
        <v/>
      </c>
      <c r="AD1543" s="117" t="str">
        <f>IFERROR(INDEX($AA$3:$AA$10000,MATCH(ROWS($AC$3:AC1543),$AC$3:$AC$10000,0)),"")</f>
        <v/>
      </c>
      <c r="AE1543" s="117" t="str">
        <f>+'Packing Material - Cost'!A1544</f>
        <v/>
      </c>
    </row>
    <row r="1544" spans="27:31">
      <c r="AA1544" s="117">
        <f>+'Ingredient List - Mother Tinctu'!D1545</f>
        <v>0</v>
      </c>
      <c r="AB1544" s="117">
        <f t="shared" si="27"/>
        <v>0</v>
      </c>
      <c r="AC1544" s="117" t="str">
        <f>IF(AB1544=1,COUNTIF($AB$3:AB1544,1),"")</f>
        <v/>
      </c>
      <c r="AD1544" s="117" t="str">
        <f>IFERROR(INDEX($AA$3:$AA$10000,MATCH(ROWS($AC$3:AC1544),$AC$3:$AC$10000,0)),"")</f>
        <v/>
      </c>
      <c r="AE1544" s="117" t="str">
        <f>+'Packing Material - Cost'!A1545</f>
        <v/>
      </c>
    </row>
    <row r="1545" spans="27:31">
      <c r="AA1545" s="117">
        <f>+'Ingredient List - Mother Tinctu'!D1546</f>
        <v>0</v>
      </c>
      <c r="AB1545" s="117">
        <f t="shared" si="27"/>
        <v>0</v>
      </c>
      <c r="AC1545" s="117" t="str">
        <f>IF(AB1545=1,COUNTIF($AB$3:AB1545,1),"")</f>
        <v/>
      </c>
      <c r="AD1545" s="117" t="str">
        <f>IFERROR(INDEX($AA$3:$AA$10000,MATCH(ROWS($AC$3:AC1545),$AC$3:$AC$10000,0)),"")</f>
        <v/>
      </c>
      <c r="AE1545" s="117" t="str">
        <f>+'Packing Material - Cost'!A1546</f>
        <v/>
      </c>
    </row>
    <row r="1546" spans="27:31">
      <c r="AA1546" s="117">
        <f>+'Ingredient List - Mother Tinctu'!D1547</f>
        <v>0</v>
      </c>
      <c r="AB1546" s="117">
        <f t="shared" si="27"/>
        <v>0</v>
      </c>
      <c r="AC1546" s="117" t="str">
        <f>IF(AB1546=1,COUNTIF($AB$3:AB1546,1),"")</f>
        <v/>
      </c>
      <c r="AD1546" s="117" t="str">
        <f>IFERROR(INDEX($AA$3:$AA$10000,MATCH(ROWS($AC$3:AC1546),$AC$3:$AC$10000,0)),"")</f>
        <v/>
      </c>
      <c r="AE1546" s="117" t="str">
        <f>+'Packing Material - Cost'!A1547</f>
        <v/>
      </c>
    </row>
    <row r="1547" spans="27:31">
      <c r="AA1547" s="117">
        <f>+'Ingredient List - Mother Tinctu'!D1548</f>
        <v>0</v>
      </c>
      <c r="AB1547" s="117">
        <f t="shared" si="27"/>
        <v>0</v>
      </c>
      <c r="AC1547" s="117" t="str">
        <f>IF(AB1547=1,COUNTIF($AB$3:AB1547,1),"")</f>
        <v/>
      </c>
      <c r="AD1547" s="117" t="str">
        <f>IFERROR(INDEX($AA$3:$AA$10000,MATCH(ROWS($AC$3:AC1547),$AC$3:$AC$10000,0)),"")</f>
        <v/>
      </c>
      <c r="AE1547" s="117" t="str">
        <f>+'Packing Material - Cost'!A1548</f>
        <v/>
      </c>
    </row>
    <row r="1548" spans="27:31">
      <c r="AA1548" s="117">
        <f>+'Ingredient List - Mother Tinctu'!D1549</f>
        <v>0</v>
      </c>
      <c r="AB1548" s="117">
        <f t="shared" si="27"/>
        <v>0</v>
      </c>
      <c r="AC1548" s="117" t="str">
        <f>IF(AB1548=1,COUNTIF($AB$3:AB1548,1),"")</f>
        <v/>
      </c>
      <c r="AD1548" s="117" t="str">
        <f>IFERROR(INDEX($AA$3:$AA$10000,MATCH(ROWS($AC$3:AC1548),$AC$3:$AC$10000,0)),"")</f>
        <v/>
      </c>
      <c r="AE1548" s="117" t="str">
        <f>+'Packing Material - Cost'!A1549</f>
        <v/>
      </c>
    </row>
    <row r="1549" spans="27:31">
      <c r="AA1549" s="117">
        <f>+'Ingredient List - Mother Tinctu'!D1550</f>
        <v>0</v>
      </c>
      <c r="AB1549" s="117">
        <f t="shared" si="27"/>
        <v>0</v>
      </c>
      <c r="AC1549" s="117" t="str">
        <f>IF(AB1549=1,COUNTIF($AB$3:AB1549,1),"")</f>
        <v/>
      </c>
      <c r="AD1549" s="117" t="str">
        <f>IFERROR(INDEX($AA$3:$AA$10000,MATCH(ROWS($AC$3:AC1549),$AC$3:$AC$10000,0)),"")</f>
        <v/>
      </c>
      <c r="AE1549" s="117" t="str">
        <f>+'Packing Material - Cost'!A1550</f>
        <v/>
      </c>
    </row>
    <row r="1550" spans="27:31">
      <c r="AA1550" s="117">
        <f>+'Ingredient List - Mother Tinctu'!D1551</f>
        <v>0</v>
      </c>
      <c r="AB1550" s="117">
        <f t="shared" si="27"/>
        <v>0</v>
      </c>
      <c r="AC1550" s="117" t="str">
        <f>IF(AB1550=1,COUNTIF($AB$3:AB1550,1),"")</f>
        <v/>
      </c>
      <c r="AD1550" s="117" t="str">
        <f>IFERROR(INDEX($AA$3:$AA$10000,MATCH(ROWS($AC$3:AC1550),$AC$3:$AC$10000,0)),"")</f>
        <v/>
      </c>
      <c r="AE1550" s="117" t="str">
        <f>+'Packing Material - Cost'!A1551</f>
        <v/>
      </c>
    </row>
    <row r="1551" spans="27:31">
      <c r="AA1551" s="117">
        <f>+'Ingredient List - Mother Tinctu'!D1552</f>
        <v>0</v>
      </c>
      <c r="AB1551" s="117">
        <f t="shared" si="27"/>
        <v>0</v>
      </c>
      <c r="AC1551" s="117" t="str">
        <f>IF(AB1551=1,COUNTIF($AB$3:AB1551,1),"")</f>
        <v/>
      </c>
      <c r="AD1551" s="117" t="str">
        <f>IFERROR(INDEX($AA$3:$AA$10000,MATCH(ROWS($AC$3:AC1551),$AC$3:$AC$10000,0)),"")</f>
        <v/>
      </c>
      <c r="AE1551" s="117" t="str">
        <f>+'Packing Material - Cost'!A1552</f>
        <v/>
      </c>
    </row>
    <row r="1552" spans="27:31">
      <c r="AA1552" s="117">
        <f>+'Ingredient List - Mother Tinctu'!D1553</f>
        <v>0</v>
      </c>
      <c r="AB1552" s="117">
        <f t="shared" si="27"/>
        <v>0</v>
      </c>
      <c r="AC1552" s="117" t="str">
        <f>IF(AB1552=1,COUNTIF($AB$3:AB1552,1),"")</f>
        <v/>
      </c>
      <c r="AD1552" s="117" t="str">
        <f>IFERROR(INDEX($AA$3:$AA$10000,MATCH(ROWS($AC$3:AC1552),$AC$3:$AC$10000,0)),"")</f>
        <v/>
      </c>
      <c r="AE1552" s="117" t="str">
        <f>+'Packing Material - Cost'!A1553</f>
        <v/>
      </c>
    </row>
    <row r="1553" spans="27:31">
      <c r="AA1553" s="117">
        <f>+'Ingredient List - Mother Tinctu'!D1554</f>
        <v>0</v>
      </c>
      <c r="AB1553" s="117">
        <f t="shared" si="27"/>
        <v>0</v>
      </c>
      <c r="AC1553" s="117" t="str">
        <f>IF(AB1553=1,COUNTIF($AB$3:AB1553,1),"")</f>
        <v/>
      </c>
      <c r="AD1553" s="117" t="str">
        <f>IFERROR(INDEX($AA$3:$AA$10000,MATCH(ROWS($AC$3:AC1553),$AC$3:$AC$10000,0)),"")</f>
        <v/>
      </c>
      <c r="AE1553" s="117" t="str">
        <f>+'Packing Material - Cost'!A1554</f>
        <v/>
      </c>
    </row>
    <row r="1554" spans="27:31">
      <c r="AA1554" s="117">
        <f>+'Ingredient List - Mother Tinctu'!D1555</f>
        <v>0</v>
      </c>
      <c r="AB1554" s="117">
        <f t="shared" si="27"/>
        <v>0</v>
      </c>
      <c r="AC1554" s="117" t="str">
        <f>IF(AB1554=1,COUNTIF($AB$3:AB1554,1),"")</f>
        <v/>
      </c>
      <c r="AD1554" s="117" t="str">
        <f>IFERROR(INDEX($AA$3:$AA$10000,MATCH(ROWS($AC$3:AC1554),$AC$3:$AC$10000,0)),"")</f>
        <v/>
      </c>
      <c r="AE1554" s="117" t="str">
        <f>+'Packing Material - Cost'!A1555</f>
        <v/>
      </c>
    </row>
    <row r="1555" spans="27:31">
      <c r="AA1555" s="117">
        <f>+'Ingredient List - Mother Tinctu'!D1556</f>
        <v>0</v>
      </c>
      <c r="AB1555" s="117">
        <f t="shared" si="27"/>
        <v>0</v>
      </c>
      <c r="AC1555" s="117" t="str">
        <f>IF(AB1555=1,COUNTIF($AB$3:AB1555,1),"")</f>
        <v/>
      </c>
      <c r="AD1555" s="117" t="str">
        <f>IFERROR(INDEX($AA$3:$AA$10000,MATCH(ROWS($AC$3:AC1555),$AC$3:$AC$10000,0)),"")</f>
        <v/>
      </c>
      <c r="AE1555" s="117" t="str">
        <f>+'Packing Material - Cost'!A1556</f>
        <v/>
      </c>
    </row>
    <row r="1556" spans="27:31">
      <c r="AA1556" s="117">
        <f>+'Ingredient List - Mother Tinctu'!D1557</f>
        <v>0</v>
      </c>
      <c r="AB1556" s="117">
        <f t="shared" si="27"/>
        <v>0</v>
      </c>
      <c r="AC1556" s="117" t="str">
        <f>IF(AB1556=1,COUNTIF($AB$3:AB1556,1),"")</f>
        <v/>
      </c>
      <c r="AD1556" s="117" t="str">
        <f>IFERROR(INDEX($AA$3:$AA$10000,MATCH(ROWS($AC$3:AC1556),$AC$3:$AC$10000,0)),"")</f>
        <v/>
      </c>
      <c r="AE1556" s="117" t="str">
        <f>+'Packing Material - Cost'!A1557</f>
        <v/>
      </c>
    </row>
    <row r="1557" spans="27:31">
      <c r="AA1557" s="117">
        <f>+'Ingredient List - Mother Tinctu'!D1558</f>
        <v>0</v>
      </c>
      <c r="AB1557" s="117">
        <f t="shared" si="27"/>
        <v>0</v>
      </c>
      <c r="AC1557" s="117" t="str">
        <f>IF(AB1557=1,COUNTIF($AB$3:AB1557,1),"")</f>
        <v/>
      </c>
      <c r="AD1557" s="117" t="str">
        <f>IFERROR(INDEX($AA$3:$AA$10000,MATCH(ROWS($AC$3:AC1557),$AC$3:$AC$10000,0)),"")</f>
        <v/>
      </c>
      <c r="AE1557" s="117" t="str">
        <f>+'Packing Material - Cost'!A1558</f>
        <v/>
      </c>
    </row>
    <row r="1558" spans="27:31">
      <c r="AA1558" s="117">
        <f>+'Ingredient List - Mother Tinctu'!D1559</f>
        <v>0</v>
      </c>
      <c r="AB1558" s="117">
        <f t="shared" si="27"/>
        <v>0</v>
      </c>
      <c r="AC1558" s="117" t="str">
        <f>IF(AB1558=1,COUNTIF($AB$3:AB1558,1),"")</f>
        <v/>
      </c>
      <c r="AD1558" s="117" t="str">
        <f>IFERROR(INDEX($AA$3:$AA$10000,MATCH(ROWS($AC$3:AC1558),$AC$3:$AC$10000,0)),"")</f>
        <v/>
      </c>
      <c r="AE1558" s="117" t="str">
        <f>+'Packing Material - Cost'!A1559</f>
        <v/>
      </c>
    </row>
    <row r="1559" spans="27:31">
      <c r="AA1559" s="117">
        <f>+'Ingredient List - Mother Tinctu'!D1560</f>
        <v>0</v>
      </c>
      <c r="AB1559" s="117">
        <f t="shared" si="27"/>
        <v>0</v>
      </c>
      <c r="AC1559" s="117" t="str">
        <f>IF(AB1559=1,COUNTIF($AB$3:AB1559,1),"")</f>
        <v/>
      </c>
      <c r="AD1559" s="117" t="str">
        <f>IFERROR(INDEX($AA$3:$AA$10000,MATCH(ROWS($AC$3:AC1559),$AC$3:$AC$10000,0)),"")</f>
        <v/>
      </c>
      <c r="AE1559" s="117" t="str">
        <f>+'Packing Material - Cost'!A1560</f>
        <v/>
      </c>
    </row>
    <row r="1560" spans="27:31">
      <c r="AA1560" s="117">
        <f>+'Ingredient List - Mother Tinctu'!D1561</f>
        <v>0</v>
      </c>
      <c r="AB1560" s="117">
        <f t="shared" si="27"/>
        <v>0</v>
      </c>
      <c r="AC1560" s="117" t="str">
        <f>IF(AB1560=1,COUNTIF($AB$3:AB1560,1),"")</f>
        <v/>
      </c>
      <c r="AD1560" s="117" t="str">
        <f>IFERROR(INDEX($AA$3:$AA$10000,MATCH(ROWS($AC$3:AC1560),$AC$3:$AC$10000,0)),"")</f>
        <v/>
      </c>
      <c r="AE1560" s="117" t="str">
        <f>+'Packing Material - Cost'!A1561</f>
        <v/>
      </c>
    </row>
    <row r="1561" spans="27:31">
      <c r="AA1561" s="117">
        <f>+'Ingredient List - Mother Tinctu'!D1562</f>
        <v>0</v>
      </c>
      <c r="AB1561" s="117">
        <f t="shared" si="27"/>
        <v>0</v>
      </c>
      <c r="AC1561" s="117" t="str">
        <f>IF(AB1561=1,COUNTIF($AB$3:AB1561,1),"")</f>
        <v/>
      </c>
      <c r="AD1561" s="117" t="str">
        <f>IFERROR(INDEX($AA$3:$AA$10000,MATCH(ROWS($AC$3:AC1561),$AC$3:$AC$10000,0)),"")</f>
        <v/>
      </c>
      <c r="AE1561" s="117" t="str">
        <f>+'Packing Material - Cost'!A1562</f>
        <v/>
      </c>
    </row>
    <row r="1562" spans="27:31">
      <c r="AA1562" s="117">
        <f>+'Ingredient List - Mother Tinctu'!D1563</f>
        <v>0</v>
      </c>
      <c r="AB1562" s="117">
        <f t="shared" si="27"/>
        <v>0</v>
      </c>
      <c r="AC1562" s="117" t="str">
        <f>IF(AB1562=1,COUNTIF($AB$3:AB1562,1),"")</f>
        <v/>
      </c>
      <c r="AD1562" s="117" t="str">
        <f>IFERROR(INDEX($AA$3:$AA$10000,MATCH(ROWS($AC$3:AC1562),$AC$3:$AC$10000,0)),"")</f>
        <v/>
      </c>
      <c r="AE1562" s="117" t="str">
        <f>+'Packing Material - Cost'!A1563</f>
        <v/>
      </c>
    </row>
    <row r="1563" spans="27:31">
      <c r="AA1563" s="117">
        <f>+'Ingredient List - Mother Tinctu'!D1564</f>
        <v>0</v>
      </c>
      <c r="AB1563" s="117">
        <f t="shared" si="27"/>
        <v>0</v>
      </c>
      <c r="AC1563" s="117" t="str">
        <f>IF(AB1563=1,COUNTIF($AB$3:AB1563,1),"")</f>
        <v/>
      </c>
      <c r="AD1563" s="117" t="str">
        <f>IFERROR(INDEX($AA$3:$AA$10000,MATCH(ROWS($AC$3:AC1563),$AC$3:$AC$10000,0)),"")</f>
        <v/>
      </c>
      <c r="AE1563" s="117" t="str">
        <f>+'Packing Material - Cost'!A1564</f>
        <v/>
      </c>
    </row>
    <row r="1564" spans="27:31">
      <c r="AA1564" s="117">
        <f>+'Ingredient List - Mother Tinctu'!D1565</f>
        <v>0</v>
      </c>
      <c r="AB1564" s="117">
        <f t="shared" si="27"/>
        <v>0</v>
      </c>
      <c r="AC1564" s="117" t="str">
        <f>IF(AB1564=1,COUNTIF($AB$3:AB1564,1),"")</f>
        <v/>
      </c>
      <c r="AD1564" s="117" t="str">
        <f>IFERROR(INDEX($AA$3:$AA$10000,MATCH(ROWS($AC$3:AC1564),$AC$3:$AC$10000,0)),"")</f>
        <v/>
      </c>
      <c r="AE1564" s="117" t="str">
        <f>+'Packing Material - Cost'!A1565</f>
        <v/>
      </c>
    </row>
    <row r="1565" spans="27:31">
      <c r="AA1565" s="117">
        <f>+'Ingredient List - Mother Tinctu'!D1566</f>
        <v>0</v>
      </c>
      <c r="AB1565" s="117">
        <f t="shared" si="27"/>
        <v>0</v>
      </c>
      <c r="AC1565" s="117" t="str">
        <f>IF(AB1565=1,COUNTIF($AB$3:AB1565,1),"")</f>
        <v/>
      </c>
      <c r="AD1565" s="117" t="str">
        <f>IFERROR(INDEX($AA$3:$AA$10000,MATCH(ROWS($AC$3:AC1565),$AC$3:$AC$10000,0)),"")</f>
        <v/>
      </c>
      <c r="AE1565" s="117" t="str">
        <f>+'Packing Material - Cost'!A1566</f>
        <v/>
      </c>
    </row>
    <row r="1566" spans="27:31">
      <c r="AA1566" s="117">
        <f>+'Ingredient List - Mother Tinctu'!D1567</f>
        <v>0</v>
      </c>
      <c r="AB1566" s="117">
        <f t="shared" si="27"/>
        <v>0</v>
      </c>
      <c r="AC1566" s="117" t="str">
        <f>IF(AB1566=1,COUNTIF($AB$3:AB1566,1),"")</f>
        <v/>
      </c>
      <c r="AD1566" s="117" t="str">
        <f>IFERROR(INDEX($AA$3:$AA$10000,MATCH(ROWS($AC$3:AC1566),$AC$3:$AC$10000,0)),"")</f>
        <v/>
      </c>
      <c r="AE1566" s="117" t="str">
        <f>+'Packing Material - Cost'!A1567</f>
        <v/>
      </c>
    </row>
    <row r="1567" spans="27:31">
      <c r="AA1567" s="117">
        <f>+'Ingredient List - Mother Tinctu'!D1568</f>
        <v>0</v>
      </c>
      <c r="AB1567" s="117">
        <f t="shared" si="27"/>
        <v>0</v>
      </c>
      <c r="AC1567" s="117" t="str">
        <f>IF(AB1567=1,COUNTIF($AB$3:AB1567,1),"")</f>
        <v/>
      </c>
      <c r="AD1567" s="117" t="str">
        <f>IFERROR(INDEX($AA$3:$AA$10000,MATCH(ROWS($AC$3:AC1567),$AC$3:$AC$10000,0)),"")</f>
        <v/>
      </c>
      <c r="AE1567" s="117" t="str">
        <f>+'Packing Material - Cost'!A1568</f>
        <v/>
      </c>
    </row>
    <row r="1568" spans="27:31">
      <c r="AA1568" s="117">
        <f>+'Ingredient List - Mother Tinctu'!D1569</f>
        <v>0</v>
      </c>
      <c r="AB1568" s="117">
        <f t="shared" si="27"/>
        <v>0</v>
      </c>
      <c r="AC1568" s="117" t="str">
        <f>IF(AB1568=1,COUNTIF($AB$3:AB1568,1),"")</f>
        <v/>
      </c>
      <c r="AD1568" s="117" t="str">
        <f>IFERROR(INDEX($AA$3:$AA$10000,MATCH(ROWS($AC$3:AC1568),$AC$3:$AC$10000,0)),"")</f>
        <v/>
      </c>
      <c r="AE1568" s="117" t="str">
        <f>+'Packing Material - Cost'!A1569</f>
        <v/>
      </c>
    </row>
    <row r="1569" spans="27:31">
      <c r="AA1569" s="117">
        <f>+'Ingredient List - Mother Tinctu'!D1570</f>
        <v>0</v>
      </c>
      <c r="AB1569" s="117">
        <f t="shared" si="27"/>
        <v>0</v>
      </c>
      <c r="AC1569" s="117" t="str">
        <f>IF(AB1569=1,COUNTIF($AB$3:AB1569,1),"")</f>
        <v/>
      </c>
      <c r="AD1569" s="117" t="str">
        <f>IFERROR(INDEX($AA$3:$AA$10000,MATCH(ROWS($AC$3:AC1569),$AC$3:$AC$10000,0)),"")</f>
        <v/>
      </c>
      <c r="AE1569" s="117" t="str">
        <f>+'Packing Material - Cost'!A1570</f>
        <v/>
      </c>
    </row>
    <row r="1570" spans="27:31">
      <c r="AA1570" s="117">
        <f>+'Ingredient List - Mother Tinctu'!D1571</f>
        <v>0</v>
      </c>
      <c r="AB1570" s="117">
        <f t="shared" si="27"/>
        <v>0</v>
      </c>
      <c r="AC1570" s="117" t="str">
        <f>IF(AB1570=1,COUNTIF($AB$3:AB1570,1),"")</f>
        <v/>
      </c>
      <c r="AD1570" s="117" t="str">
        <f>IFERROR(INDEX($AA$3:$AA$10000,MATCH(ROWS($AC$3:AC1570),$AC$3:$AC$10000,0)),"")</f>
        <v/>
      </c>
      <c r="AE1570" s="117" t="str">
        <f>+'Packing Material - Cost'!A1571</f>
        <v/>
      </c>
    </row>
    <row r="1571" spans="27:31">
      <c r="AA1571" s="117">
        <f>+'Ingredient List - Mother Tinctu'!D1572</f>
        <v>0</v>
      </c>
      <c r="AB1571" s="117">
        <f t="shared" si="27"/>
        <v>0</v>
      </c>
      <c r="AC1571" s="117" t="str">
        <f>IF(AB1571=1,COUNTIF($AB$3:AB1571,1),"")</f>
        <v/>
      </c>
      <c r="AD1571" s="117" t="str">
        <f>IFERROR(INDEX($AA$3:$AA$10000,MATCH(ROWS($AC$3:AC1571),$AC$3:$AC$10000,0)),"")</f>
        <v/>
      </c>
      <c r="AE1571" s="117" t="str">
        <f>+'Packing Material - Cost'!A1572</f>
        <v/>
      </c>
    </row>
    <row r="1572" spans="27:31">
      <c r="AA1572" s="117">
        <f>+'Ingredient List - Mother Tinctu'!D1573</f>
        <v>0</v>
      </c>
      <c r="AB1572" s="117">
        <f t="shared" si="27"/>
        <v>0</v>
      </c>
      <c r="AC1572" s="117" t="str">
        <f>IF(AB1572=1,COUNTIF($AB$3:AB1572,1),"")</f>
        <v/>
      </c>
      <c r="AD1572" s="117" t="str">
        <f>IFERROR(INDEX($AA$3:$AA$10000,MATCH(ROWS($AC$3:AC1572),$AC$3:$AC$10000,0)),"")</f>
        <v/>
      </c>
      <c r="AE1572" s="117" t="str">
        <f>+'Packing Material - Cost'!A1573</f>
        <v/>
      </c>
    </row>
    <row r="1573" spans="27:31">
      <c r="AA1573" s="117">
        <f>+'Ingredient List - Mother Tinctu'!D1574</f>
        <v>0</v>
      </c>
      <c r="AB1573" s="117">
        <f t="shared" si="27"/>
        <v>0</v>
      </c>
      <c r="AC1573" s="117" t="str">
        <f>IF(AB1573=1,COUNTIF($AB$3:AB1573,1),"")</f>
        <v/>
      </c>
      <c r="AD1573" s="117" t="str">
        <f>IFERROR(INDEX($AA$3:$AA$10000,MATCH(ROWS($AC$3:AC1573),$AC$3:$AC$10000,0)),"")</f>
        <v/>
      </c>
      <c r="AE1573" s="117" t="str">
        <f>+'Packing Material - Cost'!A1574</f>
        <v/>
      </c>
    </row>
    <row r="1574" spans="27:31">
      <c r="AA1574" s="117">
        <f>+'Ingredient List - Mother Tinctu'!D1575</f>
        <v>0</v>
      </c>
      <c r="AB1574" s="117">
        <f t="shared" si="27"/>
        <v>0</v>
      </c>
      <c r="AC1574" s="117" t="str">
        <f>IF(AB1574=1,COUNTIF($AB$3:AB1574,1),"")</f>
        <v/>
      </c>
      <c r="AD1574" s="117" t="str">
        <f>IFERROR(INDEX($AA$3:$AA$10000,MATCH(ROWS($AC$3:AC1574),$AC$3:$AC$10000,0)),"")</f>
        <v/>
      </c>
      <c r="AE1574" s="117" t="str">
        <f>+'Packing Material - Cost'!A1575</f>
        <v/>
      </c>
    </row>
    <row r="1575" spans="27:31">
      <c r="AA1575" s="117">
        <f>+'Ingredient List - Mother Tinctu'!D1576</f>
        <v>0</v>
      </c>
      <c r="AB1575" s="117">
        <f t="shared" si="27"/>
        <v>0</v>
      </c>
      <c r="AC1575" s="117" t="str">
        <f>IF(AB1575=1,COUNTIF($AB$3:AB1575,1),"")</f>
        <v/>
      </c>
      <c r="AD1575" s="117" t="str">
        <f>IFERROR(INDEX($AA$3:$AA$10000,MATCH(ROWS($AC$3:AC1575),$AC$3:$AC$10000,0)),"")</f>
        <v/>
      </c>
      <c r="AE1575" s="117" t="str">
        <f>+'Packing Material - Cost'!A1576</f>
        <v/>
      </c>
    </row>
    <row r="1576" spans="27:31">
      <c r="AA1576" s="117">
        <f>+'Ingredient List - Mother Tinctu'!D1577</f>
        <v>0</v>
      </c>
      <c r="AB1576" s="117">
        <f t="shared" si="27"/>
        <v>0</v>
      </c>
      <c r="AC1576" s="117" t="str">
        <f>IF(AB1576=1,COUNTIF($AB$3:AB1576,1),"")</f>
        <v/>
      </c>
      <c r="AD1576" s="117" t="str">
        <f>IFERROR(INDEX($AA$3:$AA$10000,MATCH(ROWS($AC$3:AC1576),$AC$3:$AC$10000,0)),"")</f>
        <v/>
      </c>
      <c r="AE1576" s="117" t="str">
        <f>+'Packing Material - Cost'!A1577</f>
        <v/>
      </c>
    </row>
    <row r="1577" spans="27:31">
      <c r="AA1577" s="117">
        <f>+'Ingredient List - Mother Tinctu'!D1578</f>
        <v>0</v>
      </c>
      <c r="AB1577" s="117">
        <f t="shared" si="27"/>
        <v>0</v>
      </c>
      <c r="AC1577" s="117" t="str">
        <f>IF(AB1577=1,COUNTIF($AB$3:AB1577,1),"")</f>
        <v/>
      </c>
      <c r="AD1577" s="117" t="str">
        <f>IFERROR(INDEX($AA$3:$AA$10000,MATCH(ROWS($AC$3:AC1577),$AC$3:$AC$10000,0)),"")</f>
        <v/>
      </c>
      <c r="AE1577" s="117" t="str">
        <f>+'Packing Material - Cost'!A1578</f>
        <v/>
      </c>
    </row>
    <row r="1578" spans="27:31">
      <c r="AA1578" s="117">
        <f>+'Ingredient List - Mother Tinctu'!D1579</f>
        <v>0</v>
      </c>
      <c r="AB1578" s="117">
        <f t="shared" si="27"/>
        <v>0</v>
      </c>
      <c r="AC1578" s="117" t="str">
        <f>IF(AB1578=1,COUNTIF($AB$3:AB1578,1),"")</f>
        <v/>
      </c>
      <c r="AD1578" s="117" t="str">
        <f>IFERROR(INDEX($AA$3:$AA$10000,MATCH(ROWS($AC$3:AC1578),$AC$3:$AC$10000,0)),"")</f>
        <v/>
      </c>
      <c r="AE1578" s="117" t="str">
        <f>+'Packing Material - Cost'!A1579</f>
        <v/>
      </c>
    </row>
    <row r="1579" spans="27:31">
      <c r="AA1579" s="117">
        <f>+'Ingredient List - Mother Tinctu'!D1580</f>
        <v>0</v>
      </c>
      <c r="AB1579" s="117">
        <f t="shared" si="27"/>
        <v>0</v>
      </c>
      <c r="AC1579" s="117" t="str">
        <f>IF(AB1579=1,COUNTIF($AB$3:AB1579,1),"")</f>
        <v/>
      </c>
      <c r="AD1579" s="117" t="str">
        <f>IFERROR(INDEX($AA$3:$AA$10000,MATCH(ROWS($AC$3:AC1579),$AC$3:$AC$10000,0)),"")</f>
        <v/>
      </c>
      <c r="AE1579" s="117" t="str">
        <f>+'Packing Material - Cost'!A1580</f>
        <v/>
      </c>
    </row>
    <row r="1580" spans="27:31">
      <c r="AA1580" s="117">
        <f>+'Ingredient List - Mother Tinctu'!D1581</f>
        <v>0</v>
      </c>
      <c r="AB1580" s="117">
        <f t="shared" si="27"/>
        <v>0</v>
      </c>
      <c r="AC1580" s="117" t="str">
        <f>IF(AB1580=1,COUNTIF($AB$3:AB1580,1),"")</f>
        <v/>
      </c>
      <c r="AD1580" s="117" t="str">
        <f>IFERROR(INDEX($AA$3:$AA$10000,MATCH(ROWS($AC$3:AC1580),$AC$3:$AC$10000,0)),"")</f>
        <v/>
      </c>
      <c r="AE1580" s="117" t="str">
        <f>+'Packing Material - Cost'!A1581</f>
        <v/>
      </c>
    </row>
    <row r="1581" spans="27:31">
      <c r="AA1581" s="117">
        <f>+'Ingredient List - Mother Tinctu'!D1582</f>
        <v>0</v>
      </c>
      <c r="AB1581" s="117">
        <f t="shared" si="27"/>
        <v>0</v>
      </c>
      <c r="AC1581" s="117" t="str">
        <f>IF(AB1581=1,COUNTIF($AB$3:AB1581,1),"")</f>
        <v/>
      </c>
      <c r="AD1581" s="117" t="str">
        <f>IFERROR(INDEX($AA$3:$AA$10000,MATCH(ROWS($AC$3:AC1581),$AC$3:$AC$10000,0)),"")</f>
        <v/>
      </c>
      <c r="AE1581" s="117" t="str">
        <f>+'Packing Material - Cost'!A1582</f>
        <v/>
      </c>
    </row>
    <row r="1582" spans="27:31">
      <c r="AA1582" s="117">
        <f>+'Ingredient List - Mother Tinctu'!D1583</f>
        <v>0</v>
      </c>
      <c r="AB1582" s="117">
        <f t="shared" si="27"/>
        <v>0</v>
      </c>
      <c r="AC1582" s="117" t="str">
        <f>IF(AB1582=1,COUNTIF($AB$3:AB1582,1),"")</f>
        <v/>
      </c>
      <c r="AD1582" s="117" t="str">
        <f>IFERROR(INDEX($AA$3:$AA$10000,MATCH(ROWS($AC$3:AC1582),$AC$3:$AC$10000,0)),"")</f>
        <v/>
      </c>
      <c r="AE1582" s="117" t="str">
        <f>+'Packing Material - Cost'!A1583</f>
        <v/>
      </c>
    </row>
    <row r="1583" spans="27:31">
      <c r="AA1583" s="117">
        <f>+'Ingredient List - Mother Tinctu'!D1584</f>
        <v>0</v>
      </c>
      <c r="AB1583" s="117">
        <f t="shared" si="27"/>
        <v>0</v>
      </c>
      <c r="AC1583" s="117" t="str">
        <f>IF(AB1583=1,COUNTIF($AB$3:AB1583,1),"")</f>
        <v/>
      </c>
      <c r="AD1583" s="117" t="str">
        <f>IFERROR(INDEX($AA$3:$AA$10000,MATCH(ROWS($AC$3:AC1583),$AC$3:$AC$10000,0)),"")</f>
        <v/>
      </c>
      <c r="AE1583" s="117" t="str">
        <f>+'Packing Material - Cost'!A1584</f>
        <v/>
      </c>
    </row>
    <row r="1584" spans="27:31">
      <c r="AA1584" s="117">
        <f>+'Ingredient List - Mother Tinctu'!D1585</f>
        <v>0</v>
      </c>
      <c r="AB1584" s="117">
        <f t="shared" si="27"/>
        <v>0</v>
      </c>
      <c r="AC1584" s="117" t="str">
        <f>IF(AB1584=1,COUNTIF($AB$3:AB1584,1),"")</f>
        <v/>
      </c>
      <c r="AD1584" s="117" t="str">
        <f>IFERROR(INDEX($AA$3:$AA$10000,MATCH(ROWS($AC$3:AC1584),$AC$3:$AC$10000,0)),"")</f>
        <v/>
      </c>
      <c r="AE1584" s="117" t="str">
        <f>+'Packing Material - Cost'!A1585</f>
        <v/>
      </c>
    </row>
    <row r="1585" spans="27:31">
      <c r="AA1585" s="117">
        <f>+'Ingredient List - Mother Tinctu'!D1586</f>
        <v>0</v>
      </c>
      <c r="AB1585" s="117">
        <f t="shared" si="27"/>
        <v>0</v>
      </c>
      <c r="AC1585" s="117" t="str">
        <f>IF(AB1585=1,COUNTIF($AB$3:AB1585,1),"")</f>
        <v/>
      </c>
      <c r="AD1585" s="117" t="str">
        <f>IFERROR(INDEX($AA$3:$AA$10000,MATCH(ROWS($AC$3:AC1585),$AC$3:$AC$10000,0)),"")</f>
        <v/>
      </c>
      <c r="AE1585" s="117" t="str">
        <f>+'Packing Material - Cost'!A1586</f>
        <v/>
      </c>
    </row>
    <row r="1586" spans="27:31">
      <c r="AA1586" s="117">
        <f>+'Ingredient List - Mother Tinctu'!D1587</f>
        <v>0</v>
      </c>
      <c r="AB1586" s="117">
        <f t="shared" si="27"/>
        <v>0</v>
      </c>
      <c r="AC1586" s="117" t="str">
        <f>IF(AB1586=1,COUNTIF($AB$3:AB1586,1),"")</f>
        <v/>
      </c>
      <c r="AD1586" s="117" t="str">
        <f>IFERROR(INDEX($AA$3:$AA$10000,MATCH(ROWS($AC$3:AC1586),$AC$3:$AC$10000,0)),"")</f>
        <v/>
      </c>
      <c r="AE1586" s="117" t="str">
        <f>+'Packing Material - Cost'!A1587</f>
        <v/>
      </c>
    </row>
    <row r="1587" spans="27:31">
      <c r="AA1587" s="117">
        <f>+'Ingredient List - Mother Tinctu'!D1588</f>
        <v>0</v>
      </c>
      <c r="AB1587" s="117">
        <f t="shared" si="27"/>
        <v>0</v>
      </c>
      <c r="AC1587" s="117" t="str">
        <f>IF(AB1587=1,COUNTIF($AB$3:AB1587,1),"")</f>
        <v/>
      </c>
      <c r="AD1587" s="117" t="str">
        <f>IFERROR(INDEX($AA$3:$AA$10000,MATCH(ROWS($AC$3:AC1587),$AC$3:$AC$10000,0)),"")</f>
        <v/>
      </c>
      <c r="AE1587" s="117" t="str">
        <f>+'Packing Material - Cost'!A1588</f>
        <v/>
      </c>
    </row>
    <row r="1588" spans="27:31">
      <c r="AA1588" s="117">
        <f>+'Ingredient List - Mother Tinctu'!D1589</f>
        <v>0</v>
      </c>
      <c r="AB1588" s="117">
        <f t="shared" si="27"/>
        <v>0</v>
      </c>
      <c r="AC1588" s="117" t="str">
        <f>IF(AB1588=1,COUNTIF($AB$3:AB1588,1),"")</f>
        <v/>
      </c>
      <c r="AD1588" s="117" t="str">
        <f>IFERROR(INDEX($AA$3:$AA$10000,MATCH(ROWS($AC$3:AC1588),$AC$3:$AC$10000,0)),"")</f>
        <v/>
      </c>
      <c r="AE1588" s="117" t="str">
        <f>+'Packing Material - Cost'!A1589</f>
        <v/>
      </c>
    </row>
    <row r="1589" spans="27:31">
      <c r="AA1589" s="117">
        <f>+'Ingredient List - Mother Tinctu'!D1590</f>
        <v>0</v>
      </c>
      <c r="AB1589" s="117">
        <f t="shared" si="27"/>
        <v>0</v>
      </c>
      <c r="AC1589" s="117" t="str">
        <f>IF(AB1589=1,COUNTIF($AB$3:AB1589,1),"")</f>
        <v/>
      </c>
      <c r="AD1589" s="117" t="str">
        <f>IFERROR(INDEX($AA$3:$AA$10000,MATCH(ROWS($AC$3:AC1589),$AC$3:$AC$10000,0)),"")</f>
        <v/>
      </c>
      <c r="AE1589" s="117" t="str">
        <f>+'Packing Material - Cost'!A1590</f>
        <v/>
      </c>
    </row>
    <row r="1590" spans="27:31">
      <c r="AA1590" s="117">
        <f>+'Ingredient List - Mother Tinctu'!D1591</f>
        <v>0</v>
      </c>
      <c r="AB1590" s="117">
        <f t="shared" si="27"/>
        <v>0</v>
      </c>
      <c r="AC1590" s="117" t="str">
        <f>IF(AB1590=1,COUNTIF($AB$3:AB1590,1),"")</f>
        <v/>
      </c>
      <c r="AD1590" s="117" t="str">
        <f>IFERROR(INDEX($AA$3:$AA$10000,MATCH(ROWS($AC$3:AC1590),$AC$3:$AC$10000,0)),"")</f>
        <v/>
      </c>
      <c r="AE1590" s="117" t="str">
        <f>+'Packing Material - Cost'!A1591</f>
        <v/>
      </c>
    </row>
    <row r="1591" spans="27:31">
      <c r="AA1591" s="117">
        <f>+'Ingredient List - Mother Tinctu'!D1592</f>
        <v>0</v>
      </c>
      <c r="AB1591" s="117">
        <f t="shared" si="27"/>
        <v>0</v>
      </c>
      <c r="AC1591" s="117" t="str">
        <f>IF(AB1591=1,COUNTIF($AB$3:AB1591,1),"")</f>
        <v/>
      </c>
      <c r="AD1591" s="117" t="str">
        <f>IFERROR(INDEX($AA$3:$AA$10000,MATCH(ROWS($AC$3:AC1591),$AC$3:$AC$10000,0)),"")</f>
        <v/>
      </c>
      <c r="AE1591" s="117" t="str">
        <f>+'Packing Material - Cost'!A1592</f>
        <v/>
      </c>
    </row>
    <row r="1592" spans="27:31">
      <c r="AA1592" s="117">
        <f>+'Ingredient List - Mother Tinctu'!D1593</f>
        <v>0</v>
      </c>
      <c r="AB1592" s="117">
        <f t="shared" si="27"/>
        <v>0</v>
      </c>
      <c r="AC1592" s="117" t="str">
        <f>IF(AB1592=1,COUNTIF($AB$3:AB1592,1),"")</f>
        <v/>
      </c>
      <c r="AD1592" s="117" t="str">
        <f>IFERROR(INDEX($AA$3:$AA$10000,MATCH(ROWS($AC$3:AC1592),$AC$3:$AC$10000,0)),"")</f>
        <v/>
      </c>
      <c r="AE1592" s="117" t="str">
        <f>+'Packing Material - Cost'!A1593</f>
        <v/>
      </c>
    </row>
    <row r="1593" spans="27:31">
      <c r="AA1593" s="117">
        <f>+'Ingredient List - Mother Tinctu'!D1594</f>
        <v>0</v>
      </c>
      <c r="AB1593" s="117">
        <f t="shared" si="27"/>
        <v>0</v>
      </c>
      <c r="AC1593" s="117" t="str">
        <f>IF(AB1593=1,COUNTIF($AB$3:AB1593,1),"")</f>
        <v/>
      </c>
      <c r="AD1593" s="117" t="str">
        <f>IFERROR(INDEX($AA$3:$AA$10000,MATCH(ROWS($AC$3:AC1593),$AC$3:$AC$10000,0)),"")</f>
        <v/>
      </c>
      <c r="AE1593" s="117" t="str">
        <f>+'Packing Material - Cost'!A1594</f>
        <v/>
      </c>
    </row>
    <row r="1594" spans="27:31">
      <c r="AA1594" s="117">
        <f>+'Ingredient List - Mother Tinctu'!D1595</f>
        <v>0</v>
      </c>
      <c r="AB1594" s="117">
        <f t="shared" si="27"/>
        <v>0</v>
      </c>
      <c r="AC1594" s="117" t="str">
        <f>IF(AB1594=1,COUNTIF($AB$3:AB1594,1),"")</f>
        <v/>
      </c>
      <c r="AD1594" s="117" t="str">
        <f>IFERROR(INDEX($AA$3:$AA$10000,MATCH(ROWS($AC$3:AC1594),$AC$3:$AC$10000,0)),"")</f>
        <v/>
      </c>
      <c r="AE1594" s="117" t="str">
        <f>+'Packing Material - Cost'!A1595</f>
        <v/>
      </c>
    </row>
    <row r="1595" spans="27:31">
      <c r="AA1595" s="117">
        <f>+'Ingredient List - Mother Tinctu'!D1596</f>
        <v>0</v>
      </c>
      <c r="AB1595" s="117">
        <f t="shared" si="27"/>
        <v>0</v>
      </c>
      <c r="AC1595" s="117" t="str">
        <f>IF(AB1595=1,COUNTIF($AB$3:AB1595,1),"")</f>
        <v/>
      </c>
      <c r="AD1595" s="117" t="str">
        <f>IFERROR(INDEX($AA$3:$AA$10000,MATCH(ROWS($AC$3:AC1595),$AC$3:$AC$10000,0)),"")</f>
        <v/>
      </c>
      <c r="AE1595" s="117" t="str">
        <f>+'Packing Material - Cost'!A1596</f>
        <v/>
      </c>
    </row>
    <row r="1596" spans="27:31">
      <c r="AA1596" s="117">
        <f>+'Ingredient List - Mother Tinctu'!D1597</f>
        <v>0</v>
      </c>
      <c r="AB1596" s="117">
        <f t="shared" si="27"/>
        <v>0</v>
      </c>
      <c r="AC1596" s="117" t="str">
        <f>IF(AB1596=1,COUNTIF($AB$3:AB1596,1),"")</f>
        <v/>
      </c>
      <c r="AD1596" s="117" t="str">
        <f>IFERROR(INDEX($AA$3:$AA$10000,MATCH(ROWS($AC$3:AC1596),$AC$3:$AC$10000,0)),"")</f>
        <v/>
      </c>
      <c r="AE1596" s="117" t="str">
        <f>+'Packing Material - Cost'!A1597</f>
        <v/>
      </c>
    </row>
    <row r="1597" spans="27:31">
      <c r="AA1597" s="117">
        <f>+'Ingredient List - Mother Tinctu'!D1598</f>
        <v>0</v>
      </c>
      <c r="AB1597" s="117">
        <f t="shared" si="27"/>
        <v>0</v>
      </c>
      <c r="AC1597" s="117" t="str">
        <f>IF(AB1597=1,COUNTIF($AB$3:AB1597,1),"")</f>
        <v/>
      </c>
      <c r="AD1597" s="117" t="str">
        <f>IFERROR(INDEX($AA$3:$AA$10000,MATCH(ROWS($AC$3:AC1597),$AC$3:$AC$10000,0)),"")</f>
        <v/>
      </c>
      <c r="AE1597" s="117" t="str">
        <f>+'Packing Material - Cost'!A1598</f>
        <v/>
      </c>
    </row>
    <row r="1598" spans="27:31">
      <c r="AA1598" s="117">
        <f>+'Ingredient List - Mother Tinctu'!D1599</f>
        <v>0</v>
      </c>
      <c r="AB1598" s="117">
        <f t="shared" si="27"/>
        <v>0</v>
      </c>
      <c r="AC1598" s="117" t="str">
        <f>IF(AB1598=1,COUNTIF($AB$3:AB1598,1),"")</f>
        <v/>
      </c>
      <c r="AD1598" s="117" t="str">
        <f>IFERROR(INDEX($AA$3:$AA$10000,MATCH(ROWS($AC$3:AC1598),$AC$3:$AC$10000,0)),"")</f>
        <v/>
      </c>
      <c r="AE1598" s="117" t="str">
        <f>+'Packing Material - Cost'!A1599</f>
        <v/>
      </c>
    </row>
    <row r="1599" spans="27:31">
      <c r="AA1599" s="117">
        <f>+'Ingredient List - Mother Tinctu'!D1600</f>
        <v>0</v>
      </c>
      <c r="AB1599" s="117">
        <f t="shared" si="27"/>
        <v>0</v>
      </c>
      <c r="AC1599" s="117" t="str">
        <f>IF(AB1599=1,COUNTIF($AB$3:AB1599,1),"")</f>
        <v/>
      </c>
      <c r="AD1599" s="117" t="str">
        <f>IFERROR(INDEX($AA$3:$AA$10000,MATCH(ROWS($AC$3:AC1599),$AC$3:$AC$10000,0)),"")</f>
        <v/>
      </c>
      <c r="AE1599" s="117" t="str">
        <f>+'Packing Material - Cost'!A1600</f>
        <v/>
      </c>
    </row>
    <row r="1600" spans="27:31">
      <c r="AA1600" s="117">
        <f>+'Ingredient List - Mother Tinctu'!D1601</f>
        <v>0</v>
      </c>
      <c r="AB1600" s="117">
        <f t="shared" si="27"/>
        <v>0</v>
      </c>
      <c r="AC1600" s="117" t="str">
        <f>IF(AB1600=1,COUNTIF($AB$3:AB1600,1),"")</f>
        <v/>
      </c>
      <c r="AD1600" s="117" t="str">
        <f>IFERROR(INDEX($AA$3:$AA$10000,MATCH(ROWS($AC$3:AC1600),$AC$3:$AC$10000,0)),"")</f>
        <v/>
      </c>
      <c r="AE1600" s="117" t="str">
        <f>+'Packing Material - Cost'!A1601</f>
        <v/>
      </c>
    </row>
    <row r="1601" spans="27:31">
      <c r="AA1601" s="117">
        <f>+'Ingredient List - Mother Tinctu'!D1602</f>
        <v>0</v>
      </c>
      <c r="AB1601" s="117">
        <f t="shared" si="27"/>
        <v>0</v>
      </c>
      <c r="AC1601" s="117" t="str">
        <f>IF(AB1601=1,COUNTIF($AB$3:AB1601,1),"")</f>
        <v/>
      </c>
      <c r="AD1601" s="117" t="str">
        <f>IFERROR(INDEX($AA$3:$AA$10000,MATCH(ROWS($AC$3:AC1601),$AC$3:$AC$10000,0)),"")</f>
        <v/>
      </c>
      <c r="AE1601" s="117" t="str">
        <f>+'Packing Material - Cost'!A1602</f>
        <v/>
      </c>
    </row>
    <row r="1602" spans="27:31">
      <c r="AA1602" s="117">
        <f>+'Ingredient List - Mother Tinctu'!D1603</f>
        <v>0</v>
      </c>
      <c r="AB1602" s="117">
        <f t="shared" si="27"/>
        <v>0</v>
      </c>
      <c r="AC1602" s="117" t="str">
        <f>IF(AB1602=1,COUNTIF($AB$3:AB1602,1),"")</f>
        <v/>
      </c>
      <c r="AD1602" s="117" t="str">
        <f>IFERROR(INDEX($AA$3:$AA$10000,MATCH(ROWS($AC$3:AC1602),$AC$3:$AC$10000,0)),"")</f>
        <v/>
      </c>
      <c r="AE1602" s="117" t="str">
        <f>+'Packing Material - Cost'!A1603</f>
        <v/>
      </c>
    </row>
    <row r="1603" spans="27:31">
      <c r="AA1603" s="117">
        <f>+'Ingredient List - Mother Tinctu'!D1604</f>
        <v>0</v>
      </c>
      <c r="AB1603" s="117">
        <f t="shared" si="27"/>
        <v>0</v>
      </c>
      <c r="AC1603" s="117" t="str">
        <f>IF(AB1603=1,COUNTIF($AB$3:AB1603,1),"")</f>
        <v/>
      </c>
      <c r="AD1603" s="117" t="str">
        <f>IFERROR(INDEX($AA$3:$AA$10000,MATCH(ROWS($AC$3:AC1603),$AC$3:$AC$10000,0)),"")</f>
        <v/>
      </c>
      <c r="AE1603" s="117" t="str">
        <f>+'Packing Material - Cost'!A1604</f>
        <v/>
      </c>
    </row>
    <row r="1604" spans="27:31">
      <c r="AA1604" s="117">
        <f>+'Ingredient List - Mother Tinctu'!D1605</f>
        <v>0</v>
      </c>
      <c r="AB1604" s="117">
        <f t="shared" ref="AB1604:AB1667" si="28">--ISNUMBER(IFERROR(SEARCH($D$3,AA1604,1),""))</f>
        <v>0</v>
      </c>
      <c r="AC1604" s="117" t="str">
        <f>IF(AB1604=1,COUNTIF($AB$3:AB1604,1),"")</f>
        <v/>
      </c>
      <c r="AD1604" s="117" t="str">
        <f>IFERROR(INDEX($AA$3:$AA$10000,MATCH(ROWS($AC$3:AC1604),$AC$3:$AC$10000,0)),"")</f>
        <v/>
      </c>
      <c r="AE1604" s="117" t="str">
        <f>+'Packing Material - Cost'!A1605</f>
        <v/>
      </c>
    </row>
    <row r="1605" spans="27:31">
      <c r="AA1605" s="117">
        <f>+'Ingredient List - Mother Tinctu'!D1606</f>
        <v>0</v>
      </c>
      <c r="AB1605" s="117">
        <f t="shared" si="28"/>
        <v>0</v>
      </c>
      <c r="AC1605" s="117" t="str">
        <f>IF(AB1605=1,COUNTIF($AB$3:AB1605,1),"")</f>
        <v/>
      </c>
      <c r="AD1605" s="117" t="str">
        <f>IFERROR(INDEX($AA$3:$AA$10000,MATCH(ROWS($AC$3:AC1605),$AC$3:$AC$10000,0)),"")</f>
        <v/>
      </c>
      <c r="AE1605" s="117" t="str">
        <f>+'Packing Material - Cost'!A1606</f>
        <v/>
      </c>
    </row>
    <row r="1606" spans="27:31">
      <c r="AA1606" s="117">
        <f>+'Ingredient List - Mother Tinctu'!D1607</f>
        <v>0</v>
      </c>
      <c r="AB1606" s="117">
        <f t="shared" si="28"/>
        <v>0</v>
      </c>
      <c r="AC1606" s="117" t="str">
        <f>IF(AB1606=1,COUNTIF($AB$3:AB1606,1),"")</f>
        <v/>
      </c>
      <c r="AD1606" s="117" t="str">
        <f>IFERROR(INDEX($AA$3:$AA$10000,MATCH(ROWS($AC$3:AC1606),$AC$3:$AC$10000,0)),"")</f>
        <v/>
      </c>
      <c r="AE1606" s="117" t="str">
        <f>+'Packing Material - Cost'!A1607</f>
        <v/>
      </c>
    </row>
    <row r="1607" spans="27:31">
      <c r="AA1607" s="117">
        <f>+'Ingredient List - Mother Tinctu'!D1608</f>
        <v>0</v>
      </c>
      <c r="AB1607" s="117">
        <f t="shared" si="28"/>
        <v>0</v>
      </c>
      <c r="AC1607" s="117" t="str">
        <f>IF(AB1607=1,COUNTIF($AB$3:AB1607,1),"")</f>
        <v/>
      </c>
      <c r="AD1607" s="117" t="str">
        <f>IFERROR(INDEX($AA$3:$AA$10000,MATCH(ROWS($AC$3:AC1607),$AC$3:$AC$10000,0)),"")</f>
        <v/>
      </c>
      <c r="AE1607" s="117" t="str">
        <f>+'Packing Material - Cost'!A1608</f>
        <v/>
      </c>
    </row>
    <row r="1608" spans="27:31">
      <c r="AA1608" s="117">
        <f>+'Ingredient List - Mother Tinctu'!D1609</f>
        <v>0</v>
      </c>
      <c r="AB1608" s="117">
        <f t="shared" si="28"/>
        <v>0</v>
      </c>
      <c r="AC1608" s="117" t="str">
        <f>IF(AB1608=1,COUNTIF($AB$3:AB1608,1),"")</f>
        <v/>
      </c>
      <c r="AD1608" s="117" t="str">
        <f>IFERROR(INDEX($AA$3:$AA$10000,MATCH(ROWS($AC$3:AC1608),$AC$3:$AC$10000,0)),"")</f>
        <v/>
      </c>
      <c r="AE1608" s="117" t="str">
        <f>+'Packing Material - Cost'!A1609</f>
        <v/>
      </c>
    </row>
    <row r="1609" spans="27:31">
      <c r="AA1609" s="117">
        <f>+'Ingredient List - Mother Tinctu'!D1610</f>
        <v>0</v>
      </c>
      <c r="AB1609" s="117">
        <f t="shared" si="28"/>
        <v>0</v>
      </c>
      <c r="AC1609" s="117" t="str">
        <f>IF(AB1609=1,COUNTIF($AB$3:AB1609,1),"")</f>
        <v/>
      </c>
      <c r="AD1609" s="117" t="str">
        <f>IFERROR(INDEX($AA$3:$AA$10000,MATCH(ROWS($AC$3:AC1609),$AC$3:$AC$10000,0)),"")</f>
        <v/>
      </c>
      <c r="AE1609" s="117" t="str">
        <f>+'Packing Material - Cost'!A1610</f>
        <v/>
      </c>
    </row>
    <row r="1610" spans="27:31">
      <c r="AA1610" s="117">
        <f>+'Ingredient List - Mother Tinctu'!D1611</f>
        <v>0</v>
      </c>
      <c r="AB1610" s="117">
        <f t="shared" si="28"/>
        <v>0</v>
      </c>
      <c r="AC1610" s="117" t="str">
        <f>IF(AB1610=1,COUNTIF($AB$3:AB1610,1),"")</f>
        <v/>
      </c>
      <c r="AD1610" s="117" t="str">
        <f>IFERROR(INDEX($AA$3:$AA$10000,MATCH(ROWS($AC$3:AC1610),$AC$3:$AC$10000,0)),"")</f>
        <v/>
      </c>
      <c r="AE1610" s="117" t="str">
        <f>+'Packing Material - Cost'!A1611</f>
        <v/>
      </c>
    </row>
    <row r="1611" spans="27:31">
      <c r="AA1611" s="117">
        <f>+'Ingredient List - Mother Tinctu'!D1612</f>
        <v>0</v>
      </c>
      <c r="AB1611" s="117">
        <f t="shared" si="28"/>
        <v>0</v>
      </c>
      <c r="AC1611" s="117" t="str">
        <f>IF(AB1611=1,COUNTIF($AB$3:AB1611,1),"")</f>
        <v/>
      </c>
      <c r="AD1611" s="117" t="str">
        <f>IFERROR(INDEX($AA$3:$AA$10000,MATCH(ROWS($AC$3:AC1611),$AC$3:$AC$10000,0)),"")</f>
        <v/>
      </c>
      <c r="AE1611" s="117" t="str">
        <f>+'Packing Material - Cost'!A1612</f>
        <v/>
      </c>
    </row>
    <row r="1612" spans="27:31">
      <c r="AA1612" s="117">
        <f>+'Ingredient List - Mother Tinctu'!D1613</f>
        <v>0</v>
      </c>
      <c r="AB1612" s="117">
        <f t="shared" si="28"/>
        <v>0</v>
      </c>
      <c r="AC1612" s="117" t="str">
        <f>IF(AB1612=1,COUNTIF($AB$3:AB1612,1),"")</f>
        <v/>
      </c>
      <c r="AD1612" s="117" t="str">
        <f>IFERROR(INDEX($AA$3:$AA$10000,MATCH(ROWS($AC$3:AC1612),$AC$3:$AC$10000,0)),"")</f>
        <v/>
      </c>
      <c r="AE1612" s="117" t="str">
        <f>+'Packing Material - Cost'!A1613</f>
        <v/>
      </c>
    </row>
    <row r="1613" spans="27:31">
      <c r="AA1613" s="117">
        <f>+'Ingredient List - Mother Tinctu'!D1614</f>
        <v>0</v>
      </c>
      <c r="AB1613" s="117">
        <f t="shared" si="28"/>
        <v>0</v>
      </c>
      <c r="AC1613" s="117" t="str">
        <f>IF(AB1613=1,COUNTIF($AB$3:AB1613,1),"")</f>
        <v/>
      </c>
      <c r="AD1613" s="117" t="str">
        <f>IFERROR(INDEX($AA$3:$AA$10000,MATCH(ROWS($AC$3:AC1613),$AC$3:$AC$10000,0)),"")</f>
        <v/>
      </c>
      <c r="AE1613" s="117" t="str">
        <f>+'Packing Material - Cost'!A1614</f>
        <v/>
      </c>
    </row>
    <row r="1614" spans="27:31">
      <c r="AA1614" s="117">
        <f>+'Ingredient List - Mother Tinctu'!D1615</f>
        <v>0</v>
      </c>
      <c r="AB1614" s="117">
        <f t="shared" si="28"/>
        <v>0</v>
      </c>
      <c r="AC1614" s="117" t="str">
        <f>IF(AB1614=1,COUNTIF($AB$3:AB1614,1),"")</f>
        <v/>
      </c>
      <c r="AD1614" s="117" t="str">
        <f>IFERROR(INDEX($AA$3:$AA$10000,MATCH(ROWS($AC$3:AC1614),$AC$3:$AC$10000,0)),"")</f>
        <v/>
      </c>
      <c r="AE1614" s="117" t="str">
        <f>+'Packing Material - Cost'!A1615</f>
        <v/>
      </c>
    </row>
    <row r="1615" spans="27:31">
      <c r="AA1615" s="117">
        <f>+'Ingredient List - Mother Tinctu'!D1616</f>
        <v>0</v>
      </c>
      <c r="AB1615" s="117">
        <f t="shared" si="28"/>
        <v>0</v>
      </c>
      <c r="AC1615" s="117" t="str">
        <f>IF(AB1615=1,COUNTIF($AB$3:AB1615,1),"")</f>
        <v/>
      </c>
      <c r="AD1615" s="117" t="str">
        <f>IFERROR(INDEX($AA$3:$AA$10000,MATCH(ROWS($AC$3:AC1615),$AC$3:$AC$10000,0)),"")</f>
        <v/>
      </c>
      <c r="AE1615" s="117" t="str">
        <f>+'Packing Material - Cost'!A1616</f>
        <v/>
      </c>
    </row>
    <row r="1616" spans="27:31">
      <c r="AA1616" s="117">
        <f>+'Ingredient List - Mother Tinctu'!D1617</f>
        <v>0</v>
      </c>
      <c r="AB1616" s="117">
        <f t="shared" si="28"/>
        <v>0</v>
      </c>
      <c r="AC1616" s="117" t="str">
        <f>IF(AB1616=1,COUNTIF($AB$3:AB1616,1),"")</f>
        <v/>
      </c>
      <c r="AD1616" s="117" t="str">
        <f>IFERROR(INDEX($AA$3:$AA$10000,MATCH(ROWS($AC$3:AC1616),$AC$3:$AC$10000,0)),"")</f>
        <v/>
      </c>
      <c r="AE1616" s="117" t="str">
        <f>+'Packing Material - Cost'!A1617</f>
        <v/>
      </c>
    </row>
    <row r="1617" spans="27:31">
      <c r="AA1617" s="117">
        <f>+'Ingredient List - Mother Tinctu'!D1618</f>
        <v>0</v>
      </c>
      <c r="AB1617" s="117">
        <f t="shared" si="28"/>
        <v>0</v>
      </c>
      <c r="AC1617" s="117" t="str">
        <f>IF(AB1617=1,COUNTIF($AB$3:AB1617,1),"")</f>
        <v/>
      </c>
      <c r="AD1617" s="117" t="str">
        <f>IFERROR(INDEX($AA$3:$AA$10000,MATCH(ROWS($AC$3:AC1617),$AC$3:$AC$10000,0)),"")</f>
        <v/>
      </c>
      <c r="AE1617" s="117" t="str">
        <f>+'Packing Material - Cost'!A1618</f>
        <v/>
      </c>
    </row>
    <row r="1618" spans="27:31">
      <c r="AA1618" s="117">
        <f>+'Ingredient List - Mother Tinctu'!D1619</f>
        <v>0</v>
      </c>
      <c r="AB1618" s="117">
        <f t="shared" si="28"/>
        <v>0</v>
      </c>
      <c r="AC1618" s="117" t="str">
        <f>IF(AB1618=1,COUNTIF($AB$3:AB1618,1),"")</f>
        <v/>
      </c>
      <c r="AD1618" s="117" t="str">
        <f>IFERROR(INDEX($AA$3:$AA$10000,MATCH(ROWS($AC$3:AC1618),$AC$3:$AC$10000,0)),"")</f>
        <v/>
      </c>
      <c r="AE1618" s="117" t="str">
        <f>+'Packing Material - Cost'!A1619</f>
        <v/>
      </c>
    </row>
    <row r="1619" spans="27:31">
      <c r="AA1619" s="117">
        <f>+'Ingredient List - Mother Tinctu'!D1620</f>
        <v>0</v>
      </c>
      <c r="AB1619" s="117">
        <f t="shared" si="28"/>
        <v>0</v>
      </c>
      <c r="AC1619" s="117" t="str">
        <f>IF(AB1619=1,COUNTIF($AB$3:AB1619,1),"")</f>
        <v/>
      </c>
      <c r="AD1619" s="117" t="str">
        <f>IFERROR(INDEX($AA$3:$AA$10000,MATCH(ROWS($AC$3:AC1619),$AC$3:$AC$10000,0)),"")</f>
        <v/>
      </c>
      <c r="AE1619" s="117" t="str">
        <f>+'Packing Material - Cost'!A1620</f>
        <v/>
      </c>
    </row>
    <row r="1620" spans="27:31">
      <c r="AA1620" s="117">
        <f>+'Ingredient List - Mother Tinctu'!D1621</f>
        <v>0</v>
      </c>
      <c r="AB1620" s="117">
        <f t="shared" si="28"/>
        <v>0</v>
      </c>
      <c r="AC1620" s="117" t="str">
        <f>IF(AB1620=1,COUNTIF($AB$3:AB1620,1),"")</f>
        <v/>
      </c>
      <c r="AD1620" s="117" t="str">
        <f>IFERROR(INDEX($AA$3:$AA$10000,MATCH(ROWS($AC$3:AC1620),$AC$3:$AC$10000,0)),"")</f>
        <v/>
      </c>
      <c r="AE1620" s="117" t="str">
        <f>+'Packing Material - Cost'!A1621</f>
        <v/>
      </c>
    </row>
    <row r="1621" spans="27:31">
      <c r="AA1621" s="117">
        <f>+'Ingredient List - Mother Tinctu'!D1622</f>
        <v>0</v>
      </c>
      <c r="AB1621" s="117">
        <f t="shared" si="28"/>
        <v>0</v>
      </c>
      <c r="AC1621" s="117" t="str">
        <f>IF(AB1621=1,COUNTIF($AB$3:AB1621,1),"")</f>
        <v/>
      </c>
      <c r="AD1621" s="117" t="str">
        <f>IFERROR(INDEX($AA$3:$AA$10000,MATCH(ROWS($AC$3:AC1621),$AC$3:$AC$10000,0)),"")</f>
        <v/>
      </c>
      <c r="AE1621" s="117" t="str">
        <f>+'Packing Material - Cost'!A1622</f>
        <v/>
      </c>
    </row>
    <row r="1622" spans="27:31">
      <c r="AA1622" s="117">
        <f>+'Ingredient List - Mother Tinctu'!D1623</f>
        <v>0</v>
      </c>
      <c r="AB1622" s="117">
        <f t="shared" si="28"/>
        <v>0</v>
      </c>
      <c r="AC1622" s="117" t="str">
        <f>IF(AB1622=1,COUNTIF($AB$3:AB1622,1),"")</f>
        <v/>
      </c>
      <c r="AD1622" s="117" t="str">
        <f>IFERROR(INDEX($AA$3:$AA$10000,MATCH(ROWS($AC$3:AC1622),$AC$3:$AC$10000,0)),"")</f>
        <v/>
      </c>
      <c r="AE1622" s="117" t="str">
        <f>+'Packing Material - Cost'!A1623</f>
        <v/>
      </c>
    </row>
    <row r="1623" spans="27:31">
      <c r="AA1623" s="117">
        <f>+'Ingredient List - Mother Tinctu'!D1624</f>
        <v>0</v>
      </c>
      <c r="AB1623" s="117">
        <f t="shared" si="28"/>
        <v>0</v>
      </c>
      <c r="AC1623" s="117" t="str">
        <f>IF(AB1623=1,COUNTIF($AB$3:AB1623,1),"")</f>
        <v/>
      </c>
      <c r="AD1623" s="117" t="str">
        <f>IFERROR(INDEX($AA$3:$AA$10000,MATCH(ROWS($AC$3:AC1623),$AC$3:$AC$10000,0)),"")</f>
        <v/>
      </c>
      <c r="AE1623" s="117" t="str">
        <f>+'Packing Material - Cost'!A1624</f>
        <v/>
      </c>
    </row>
    <row r="1624" spans="27:31">
      <c r="AA1624" s="117">
        <f>+'Ingredient List - Mother Tinctu'!D1625</f>
        <v>0</v>
      </c>
      <c r="AB1624" s="117">
        <f t="shared" si="28"/>
        <v>0</v>
      </c>
      <c r="AC1624" s="117" t="str">
        <f>IF(AB1624=1,COUNTIF($AB$3:AB1624,1),"")</f>
        <v/>
      </c>
      <c r="AD1624" s="117" t="str">
        <f>IFERROR(INDEX($AA$3:$AA$10000,MATCH(ROWS($AC$3:AC1624),$AC$3:$AC$10000,0)),"")</f>
        <v/>
      </c>
      <c r="AE1624" s="117" t="str">
        <f>+'Packing Material - Cost'!A1625</f>
        <v/>
      </c>
    </row>
    <row r="1625" spans="27:31">
      <c r="AA1625" s="117">
        <f>+'Ingredient List - Mother Tinctu'!D1626</f>
        <v>0</v>
      </c>
      <c r="AB1625" s="117">
        <f t="shared" si="28"/>
        <v>0</v>
      </c>
      <c r="AC1625" s="117" t="str">
        <f>IF(AB1625=1,COUNTIF($AB$3:AB1625,1),"")</f>
        <v/>
      </c>
      <c r="AD1625" s="117" t="str">
        <f>IFERROR(INDEX($AA$3:$AA$10000,MATCH(ROWS($AC$3:AC1625),$AC$3:$AC$10000,0)),"")</f>
        <v/>
      </c>
      <c r="AE1625" s="117" t="str">
        <f>+'Packing Material - Cost'!A1626</f>
        <v/>
      </c>
    </row>
    <row r="1626" spans="27:31">
      <c r="AA1626" s="117">
        <f>+'Ingredient List - Mother Tinctu'!D1627</f>
        <v>0</v>
      </c>
      <c r="AB1626" s="117">
        <f t="shared" si="28"/>
        <v>0</v>
      </c>
      <c r="AC1626" s="117" t="str">
        <f>IF(AB1626=1,COUNTIF($AB$3:AB1626,1),"")</f>
        <v/>
      </c>
      <c r="AD1626" s="117" t="str">
        <f>IFERROR(INDEX($AA$3:$AA$10000,MATCH(ROWS($AC$3:AC1626),$AC$3:$AC$10000,0)),"")</f>
        <v/>
      </c>
      <c r="AE1626" s="117" t="str">
        <f>+'Packing Material - Cost'!A1627</f>
        <v/>
      </c>
    </row>
    <row r="1627" spans="27:31">
      <c r="AA1627" s="117">
        <f>+'Ingredient List - Mother Tinctu'!D1628</f>
        <v>0</v>
      </c>
      <c r="AB1627" s="117">
        <f t="shared" si="28"/>
        <v>0</v>
      </c>
      <c r="AC1627" s="117" t="str">
        <f>IF(AB1627=1,COUNTIF($AB$3:AB1627,1),"")</f>
        <v/>
      </c>
      <c r="AD1627" s="117" t="str">
        <f>IFERROR(INDEX($AA$3:$AA$10000,MATCH(ROWS($AC$3:AC1627),$AC$3:$AC$10000,0)),"")</f>
        <v/>
      </c>
      <c r="AE1627" s="117" t="str">
        <f>+'Packing Material - Cost'!A1628</f>
        <v/>
      </c>
    </row>
    <row r="1628" spans="27:31">
      <c r="AA1628" s="117">
        <f>+'Ingredient List - Mother Tinctu'!D1629</f>
        <v>0</v>
      </c>
      <c r="AB1628" s="117">
        <f t="shared" si="28"/>
        <v>0</v>
      </c>
      <c r="AC1628" s="117" t="str">
        <f>IF(AB1628=1,COUNTIF($AB$3:AB1628,1),"")</f>
        <v/>
      </c>
      <c r="AD1628" s="117" t="str">
        <f>IFERROR(INDEX($AA$3:$AA$10000,MATCH(ROWS($AC$3:AC1628),$AC$3:$AC$10000,0)),"")</f>
        <v/>
      </c>
      <c r="AE1628" s="117" t="str">
        <f>+'Packing Material - Cost'!A1629</f>
        <v/>
      </c>
    </row>
    <row r="1629" spans="27:31">
      <c r="AA1629" s="117">
        <f>+'Ingredient List - Mother Tinctu'!D1630</f>
        <v>0</v>
      </c>
      <c r="AB1629" s="117">
        <f t="shared" si="28"/>
        <v>0</v>
      </c>
      <c r="AC1629" s="117" t="str">
        <f>IF(AB1629=1,COUNTIF($AB$3:AB1629,1),"")</f>
        <v/>
      </c>
      <c r="AD1629" s="117" t="str">
        <f>IFERROR(INDEX($AA$3:$AA$10000,MATCH(ROWS($AC$3:AC1629),$AC$3:$AC$10000,0)),"")</f>
        <v/>
      </c>
      <c r="AE1629" s="117" t="str">
        <f>+'Packing Material - Cost'!A1630</f>
        <v/>
      </c>
    </row>
    <row r="1630" spans="27:31">
      <c r="AA1630" s="117">
        <f>+'Ingredient List - Mother Tinctu'!D1631</f>
        <v>0</v>
      </c>
      <c r="AB1630" s="117">
        <f t="shared" si="28"/>
        <v>0</v>
      </c>
      <c r="AC1630" s="117" t="str">
        <f>IF(AB1630=1,COUNTIF($AB$3:AB1630,1),"")</f>
        <v/>
      </c>
      <c r="AD1630" s="117" t="str">
        <f>IFERROR(INDEX($AA$3:$AA$10000,MATCH(ROWS($AC$3:AC1630),$AC$3:$AC$10000,0)),"")</f>
        <v/>
      </c>
      <c r="AE1630" s="117" t="str">
        <f>+'Packing Material - Cost'!A1631</f>
        <v/>
      </c>
    </row>
    <row r="1631" spans="27:31">
      <c r="AA1631" s="117">
        <f>+'Ingredient List - Mother Tinctu'!D1632</f>
        <v>0</v>
      </c>
      <c r="AB1631" s="117">
        <f t="shared" si="28"/>
        <v>0</v>
      </c>
      <c r="AC1631" s="117" t="str">
        <f>IF(AB1631=1,COUNTIF($AB$3:AB1631,1),"")</f>
        <v/>
      </c>
      <c r="AD1631" s="117" t="str">
        <f>IFERROR(INDEX($AA$3:$AA$10000,MATCH(ROWS($AC$3:AC1631),$AC$3:$AC$10000,0)),"")</f>
        <v/>
      </c>
      <c r="AE1631" s="117" t="str">
        <f>+'Packing Material - Cost'!A1632</f>
        <v/>
      </c>
    </row>
    <row r="1632" spans="27:31">
      <c r="AA1632" s="117">
        <f>+'Ingredient List - Mother Tinctu'!D1633</f>
        <v>0</v>
      </c>
      <c r="AB1632" s="117">
        <f t="shared" si="28"/>
        <v>0</v>
      </c>
      <c r="AC1632" s="117" t="str">
        <f>IF(AB1632=1,COUNTIF($AB$3:AB1632,1),"")</f>
        <v/>
      </c>
      <c r="AD1632" s="117" t="str">
        <f>IFERROR(INDEX($AA$3:$AA$10000,MATCH(ROWS($AC$3:AC1632),$AC$3:$AC$10000,0)),"")</f>
        <v/>
      </c>
      <c r="AE1632" s="117" t="str">
        <f>+'Packing Material - Cost'!A1633</f>
        <v/>
      </c>
    </row>
    <row r="1633" spans="27:31">
      <c r="AA1633" s="117">
        <f>+'Ingredient List - Mother Tinctu'!D1634</f>
        <v>0</v>
      </c>
      <c r="AB1633" s="117">
        <f t="shared" si="28"/>
        <v>0</v>
      </c>
      <c r="AC1633" s="117" t="str">
        <f>IF(AB1633=1,COUNTIF($AB$3:AB1633,1),"")</f>
        <v/>
      </c>
      <c r="AD1633" s="117" t="str">
        <f>IFERROR(INDEX($AA$3:$AA$10000,MATCH(ROWS($AC$3:AC1633),$AC$3:$AC$10000,0)),"")</f>
        <v/>
      </c>
      <c r="AE1633" s="117" t="str">
        <f>+'Packing Material - Cost'!A1634</f>
        <v/>
      </c>
    </row>
    <row r="1634" spans="27:31">
      <c r="AA1634" s="117">
        <f>+'Ingredient List - Mother Tinctu'!D1635</f>
        <v>0</v>
      </c>
      <c r="AB1634" s="117">
        <f t="shared" si="28"/>
        <v>0</v>
      </c>
      <c r="AC1634" s="117" t="str">
        <f>IF(AB1634=1,COUNTIF($AB$3:AB1634,1),"")</f>
        <v/>
      </c>
      <c r="AD1634" s="117" t="str">
        <f>IFERROR(INDEX($AA$3:$AA$10000,MATCH(ROWS($AC$3:AC1634),$AC$3:$AC$10000,0)),"")</f>
        <v/>
      </c>
      <c r="AE1634" s="117" t="str">
        <f>+'Packing Material - Cost'!A1635</f>
        <v/>
      </c>
    </row>
    <row r="1635" spans="27:31">
      <c r="AA1635" s="117">
        <f>+'Ingredient List - Mother Tinctu'!D1636</f>
        <v>0</v>
      </c>
      <c r="AB1635" s="117">
        <f t="shared" si="28"/>
        <v>0</v>
      </c>
      <c r="AC1635" s="117" t="str">
        <f>IF(AB1635=1,COUNTIF($AB$3:AB1635,1),"")</f>
        <v/>
      </c>
      <c r="AD1635" s="117" t="str">
        <f>IFERROR(INDEX($AA$3:$AA$10000,MATCH(ROWS($AC$3:AC1635),$AC$3:$AC$10000,0)),"")</f>
        <v/>
      </c>
      <c r="AE1635" s="117" t="str">
        <f>+'Packing Material - Cost'!A1636</f>
        <v/>
      </c>
    </row>
    <row r="1636" spans="27:31">
      <c r="AA1636" s="117">
        <f>+'Ingredient List - Mother Tinctu'!D1637</f>
        <v>0</v>
      </c>
      <c r="AB1636" s="117">
        <f t="shared" si="28"/>
        <v>0</v>
      </c>
      <c r="AC1636" s="117" t="str">
        <f>IF(AB1636=1,COUNTIF($AB$3:AB1636,1),"")</f>
        <v/>
      </c>
      <c r="AD1636" s="117" t="str">
        <f>IFERROR(INDEX($AA$3:$AA$10000,MATCH(ROWS($AC$3:AC1636),$AC$3:$AC$10000,0)),"")</f>
        <v/>
      </c>
      <c r="AE1636" s="117" t="str">
        <f>+'Packing Material - Cost'!A1637</f>
        <v/>
      </c>
    </row>
    <row r="1637" spans="27:31">
      <c r="AA1637" s="117">
        <f>+'Ingredient List - Mother Tinctu'!D1638</f>
        <v>0</v>
      </c>
      <c r="AB1637" s="117">
        <f t="shared" si="28"/>
        <v>0</v>
      </c>
      <c r="AC1637" s="117" t="str">
        <f>IF(AB1637=1,COUNTIF($AB$3:AB1637,1),"")</f>
        <v/>
      </c>
      <c r="AD1637" s="117" t="str">
        <f>IFERROR(INDEX($AA$3:$AA$10000,MATCH(ROWS($AC$3:AC1637),$AC$3:$AC$10000,0)),"")</f>
        <v/>
      </c>
      <c r="AE1637" s="117" t="str">
        <f>+'Packing Material - Cost'!A1638</f>
        <v/>
      </c>
    </row>
    <row r="1638" spans="27:31">
      <c r="AA1638" s="117">
        <f>+'Ingredient List - Mother Tinctu'!D1639</f>
        <v>0</v>
      </c>
      <c r="AB1638" s="117">
        <f t="shared" si="28"/>
        <v>0</v>
      </c>
      <c r="AC1638" s="117" t="str">
        <f>IF(AB1638=1,COUNTIF($AB$3:AB1638,1),"")</f>
        <v/>
      </c>
      <c r="AD1638" s="117" t="str">
        <f>IFERROR(INDEX($AA$3:$AA$10000,MATCH(ROWS($AC$3:AC1638),$AC$3:$AC$10000,0)),"")</f>
        <v/>
      </c>
      <c r="AE1638" s="117" t="str">
        <f>+'Packing Material - Cost'!A1639</f>
        <v/>
      </c>
    </row>
    <row r="1639" spans="27:31">
      <c r="AA1639" s="117">
        <f>+'Ingredient List - Mother Tinctu'!D1640</f>
        <v>0</v>
      </c>
      <c r="AB1639" s="117">
        <f t="shared" si="28"/>
        <v>0</v>
      </c>
      <c r="AC1639" s="117" t="str">
        <f>IF(AB1639=1,COUNTIF($AB$3:AB1639,1),"")</f>
        <v/>
      </c>
      <c r="AD1639" s="117" t="str">
        <f>IFERROR(INDEX($AA$3:$AA$10000,MATCH(ROWS($AC$3:AC1639),$AC$3:$AC$10000,0)),"")</f>
        <v/>
      </c>
      <c r="AE1639" s="117" t="str">
        <f>+'Packing Material - Cost'!A1640</f>
        <v/>
      </c>
    </row>
    <row r="1640" spans="27:31">
      <c r="AA1640" s="117">
        <f>+'Ingredient List - Mother Tinctu'!D1641</f>
        <v>0</v>
      </c>
      <c r="AB1640" s="117">
        <f t="shared" si="28"/>
        <v>0</v>
      </c>
      <c r="AC1640" s="117" t="str">
        <f>IF(AB1640=1,COUNTIF($AB$3:AB1640,1),"")</f>
        <v/>
      </c>
      <c r="AD1640" s="117" t="str">
        <f>IFERROR(INDEX($AA$3:$AA$10000,MATCH(ROWS($AC$3:AC1640),$AC$3:$AC$10000,0)),"")</f>
        <v/>
      </c>
      <c r="AE1640" s="117" t="str">
        <f>+'Packing Material - Cost'!A1641</f>
        <v/>
      </c>
    </row>
    <row r="1641" spans="27:31">
      <c r="AA1641" s="117">
        <f>+'Ingredient List - Mother Tinctu'!D1642</f>
        <v>0</v>
      </c>
      <c r="AB1641" s="117">
        <f t="shared" si="28"/>
        <v>0</v>
      </c>
      <c r="AC1641" s="117" t="str">
        <f>IF(AB1641=1,COUNTIF($AB$3:AB1641,1),"")</f>
        <v/>
      </c>
      <c r="AD1641" s="117" t="str">
        <f>IFERROR(INDEX($AA$3:$AA$10000,MATCH(ROWS($AC$3:AC1641),$AC$3:$AC$10000,0)),"")</f>
        <v/>
      </c>
      <c r="AE1641" s="117" t="str">
        <f>+'Packing Material - Cost'!A1642</f>
        <v/>
      </c>
    </row>
    <row r="1642" spans="27:31">
      <c r="AA1642" s="117">
        <f>+'Ingredient List - Mother Tinctu'!D1643</f>
        <v>0</v>
      </c>
      <c r="AB1642" s="117">
        <f t="shared" si="28"/>
        <v>0</v>
      </c>
      <c r="AC1642" s="117" t="str">
        <f>IF(AB1642=1,COUNTIF($AB$3:AB1642,1),"")</f>
        <v/>
      </c>
      <c r="AD1642" s="117" t="str">
        <f>IFERROR(INDEX($AA$3:$AA$10000,MATCH(ROWS($AC$3:AC1642),$AC$3:$AC$10000,0)),"")</f>
        <v/>
      </c>
      <c r="AE1642" s="117" t="str">
        <f>+'Packing Material - Cost'!A1643</f>
        <v/>
      </c>
    </row>
    <row r="1643" spans="27:31">
      <c r="AA1643" s="117">
        <f>+'Ingredient List - Mother Tinctu'!D1644</f>
        <v>0</v>
      </c>
      <c r="AB1643" s="117">
        <f t="shared" si="28"/>
        <v>0</v>
      </c>
      <c r="AC1643" s="117" t="str">
        <f>IF(AB1643=1,COUNTIF($AB$3:AB1643,1),"")</f>
        <v/>
      </c>
      <c r="AD1643" s="117" t="str">
        <f>IFERROR(INDEX($AA$3:$AA$10000,MATCH(ROWS($AC$3:AC1643),$AC$3:$AC$10000,0)),"")</f>
        <v/>
      </c>
      <c r="AE1643" s="117" t="str">
        <f>+'Packing Material - Cost'!A1644</f>
        <v/>
      </c>
    </row>
    <row r="1644" spans="27:31">
      <c r="AA1644" s="117">
        <f>+'Ingredient List - Mother Tinctu'!D1645</f>
        <v>0</v>
      </c>
      <c r="AB1644" s="117">
        <f t="shared" si="28"/>
        <v>0</v>
      </c>
      <c r="AC1644" s="117" t="str">
        <f>IF(AB1644=1,COUNTIF($AB$3:AB1644,1),"")</f>
        <v/>
      </c>
      <c r="AD1644" s="117" t="str">
        <f>IFERROR(INDEX($AA$3:$AA$10000,MATCH(ROWS($AC$3:AC1644),$AC$3:$AC$10000,0)),"")</f>
        <v/>
      </c>
      <c r="AE1644" s="117" t="str">
        <f>+'Packing Material - Cost'!A1645</f>
        <v/>
      </c>
    </row>
    <row r="1645" spans="27:31">
      <c r="AA1645" s="117">
        <f>+'Ingredient List - Mother Tinctu'!D1646</f>
        <v>0</v>
      </c>
      <c r="AB1645" s="117">
        <f t="shared" si="28"/>
        <v>0</v>
      </c>
      <c r="AC1645" s="117" t="str">
        <f>IF(AB1645=1,COUNTIF($AB$3:AB1645,1),"")</f>
        <v/>
      </c>
      <c r="AD1645" s="117" t="str">
        <f>IFERROR(INDEX($AA$3:$AA$10000,MATCH(ROWS($AC$3:AC1645),$AC$3:$AC$10000,0)),"")</f>
        <v/>
      </c>
      <c r="AE1645" s="117" t="str">
        <f>+'Packing Material - Cost'!A1646</f>
        <v/>
      </c>
    </row>
    <row r="1646" spans="27:31">
      <c r="AA1646" s="117">
        <f>+'Ingredient List - Mother Tinctu'!D1647</f>
        <v>0</v>
      </c>
      <c r="AB1646" s="117">
        <f t="shared" si="28"/>
        <v>0</v>
      </c>
      <c r="AC1646" s="117" t="str">
        <f>IF(AB1646=1,COUNTIF($AB$3:AB1646,1),"")</f>
        <v/>
      </c>
      <c r="AD1646" s="117" t="str">
        <f>IFERROR(INDEX($AA$3:$AA$10000,MATCH(ROWS($AC$3:AC1646),$AC$3:$AC$10000,0)),"")</f>
        <v/>
      </c>
      <c r="AE1646" s="117" t="str">
        <f>+'Packing Material - Cost'!A1647</f>
        <v/>
      </c>
    </row>
    <row r="1647" spans="27:31">
      <c r="AA1647" s="117">
        <f>+'Ingredient List - Mother Tinctu'!D1648</f>
        <v>0</v>
      </c>
      <c r="AB1647" s="117">
        <f t="shared" si="28"/>
        <v>0</v>
      </c>
      <c r="AC1647" s="117" t="str">
        <f>IF(AB1647=1,COUNTIF($AB$3:AB1647,1),"")</f>
        <v/>
      </c>
      <c r="AD1647" s="117" t="str">
        <f>IFERROR(INDEX($AA$3:$AA$10000,MATCH(ROWS($AC$3:AC1647),$AC$3:$AC$10000,0)),"")</f>
        <v/>
      </c>
      <c r="AE1647" s="117" t="str">
        <f>+'Packing Material - Cost'!A1648</f>
        <v/>
      </c>
    </row>
    <row r="1648" spans="27:31">
      <c r="AA1648" s="117">
        <f>+'Ingredient List - Mother Tinctu'!D1649</f>
        <v>0</v>
      </c>
      <c r="AB1648" s="117">
        <f t="shared" si="28"/>
        <v>0</v>
      </c>
      <c r="AC1648" s="117" t="str">
        <f>IF(AB1648=1,COUNTIF($AB$3:AB1648,1),"")</f>
        <v/>
      </c>
      <c r="AD1648" s="117" t="str">
        <f>IFERROR(INDEX($AA$3:$AA$10000,MATCH(ROWS($AC$3:AC1648),$AC$3:$AC$10000,0)),"")</f>
        <v/>
      </c>
      <c r="AE1648" s="117" t="str">
        <f>+'Packing Material - Cost'!A1649</f>
        <v/>
      </c>
    </row>
    <row r="1649" spans="27:31">
      <c r="AA1649" s="117">
        <f>+'Ingredient List - Mother Tinctu'!D1650</f>
        <v>0</v>
      </c>
      <c r="AB1649" s="117">
        <f t="shared" si="28"/>
        <v>0</v>
      </c>
      <c r="AC1649" s="117" t="str">
        <f>IF(AB1649=1,COUNTIF($AB$3:AB1649,1),"")</f>
        <v/>
      </c>
      <c r="AD1649" s="117" t="str">
        <f>IFERROR(INDEX($AA$3:$AA$10000,MATCH(ROWS($AC$3:AC1649),$AC$3:$AC$10000,0)),"")</f>
        <v/>
      </c>
      <c r="AE1649" s="117" t="str">
        <f>+'Packing Material - Cost'!A1650</f>
        <v/>
      </c>
    </row>
    <row r="1650" spans="27:31">
      <c r="AA1650" s="117">
        <f>+'Ingredient List - Mother Tinctu'!D1651</f>
        <v>0</v>
      </c>
      <c r="AB1650" s="117">
        <f t="shared" si="28"/>
        <v>0</v>
      </c>
      <c r="AC1650" s="117" t="str">
        <f>IF(AB1650=1,COUNTIF($AB$3:AB1650,1),"")</f>
        <v/>
      </c>
      <c r="AD1650" s="117" t="str">
        <f>IFERROR(INDEX($AA$3:$AA$10000,MATCH(ROWS($AC$3:AC1650),$AC$3:$AC$10000,0)),"")</f>
        <v/>
      </c>
      <c r="AE1650" s="117" t="str">
        <f>+'Packing Material - Cost'!A1651</f>
        <v/>
      </c>
    </row>
    <row r="1651" spans="27:31">
      <c r="AA1651" s="117">
        <f>+'Ingredient List - Mother Tinctu'!D1652</f>
        <v>0</v>
      </c>
      <c r="AB1651" s="117">
        <f t="shared" si="28"/>
        <v>0</v>
      </c>
      <c r="AC1651" s="117" t="str">
        <f>IF(AB1651=1,COUNTIF($AB$3:AB1651,1),"")</f>
        <v/>
      </c>
      <c r="AD1651" s="117" t="str">
        <f>IFERROR(INDEX($AA$3:$AA$10000,MATCH(ROWS($AC$3:AC1651),$AC$3:$AC$10000,0)),"")</f>
        <v/>
      </c>
      <c r="AE1651" s="117" t="str">
        <f>+'Packing Material - Cost'!A1652</f>
        <v/>
      </c>
    </row>
    <row r="1652" spans="27:31">
      <c r="AA1652" s="117">
        <f>+'Ingredient List - Mother Tinctu'!D1653</f>
        <v>0</v>
      </c>
      <c r="AB1652" s="117">
        <f t="shared" si="28"/>
        <v>0</v>
      </c>
      <c r="AC1652" s="117" t="str">
        <f>IF(AB1652=1,COUNTIF($AB$3:AB1652,1),"")</f>
        <v/>
      </c>
      <c r="AD1652" s="117" t="str">
        <f>IFERROR(INDEX($AA$3:$AA$10000,MATCH(ROWS($AC$3:AC1652),$AC$3:$AC$10000,0)),"")</f>
        <v/>
      </c>
      <c r="AE1652" s="117" t="str">
        <f>+'Packing Material - Cost'!A1653</f>
        <v/>
      </c>
    </row>
    <row r="1653" spans="27:31">
      <c r="AA1653" s="117">
        <f>+'Ingredient List - Mother Tinctu'!D1654</f>
        <v>0</v>
      </c>
      <c r="AB1653" s="117">
        <f t="shared" si="28"/>
        <v>0</v>
      </c>
      <c r="AC1653" s="117" t="str">
        <f>IF(AB1653=1,COUNTIF($AB$3:AB1653,1),"")</f>
        <v/>
      </c>
      <c r="AD1653" s="117" t="str">
        <f>IFERROR(INDEX($AA$3:$AA$10000,MATCH(ROWS($AC$3:AC1653),$AC$3:$AC$10000,0)),"")</f>
        <v/>
      </c>
      <c r="AE1653" s="117" t="str">
        <f>+'Packing Material - Cost'!A1654</f>
        <v/>
      </c>
    </row>
    <row r="1654" spans="27:31">
      <c r="AA1654" s="117">
        <f>+'Ingredient List - Mother Tinctu'!D1655</f>
        <v>0</v>
      </c>
      <c r="AB1654" s="117">
        <f t="shared" si="28"/>
        <v>0</v>
      </c>
      <c r="AC1654" s="117" t="str">
        <f>IF(AB1654=1,COUNTIF($AB$3:AB1654,1),"")</f>
        <v/>
      </c>
      <c r="AD1654" s="117" t="str">
        <f>IFERROR(INDEX($AA$3:$AA$10000,MATCH(ROWS($AC$3:AC1654),$AC$3:$AC$10000,0)),"")</f>
        <v/>
      </c>
      <c r="AE1654" s="117" t="str">
        <f>+'Packing Material - Cost'!A1655</f>
        <v/>
      </c>
    </row>
    <row r="1655" spans="27:31">
      <c r="AA1655" s="117">
        <f>+'Ingredient List - Mother Tinctu'!D1656</f>
        <v>0</v>
      </c>
      <c r="AB1655" s="117">
        <f t="shared" si="28"/>
        <v>0</v>
      </c>
      <c r="AC1655" s="117" t="str">
        <f>IF(AB1655=1,COUNTIF($AB$3:AB1655,1),"")</f>
        <v/>
      </c>
      <c r="AD1655" s="117" t="str">
        <f>IFERROR(INDEX($AA$3:$AA$10000,MATCH(ROWS($AC$3:AC1655),$AC$3:$AC$10000,0)),"")</f>
        <v/>
      </c>
      <c r="AE1655" s="117" t="str">
        <f>+'Packing Material - Cost'!A1656</f>
        <v/>
      </c>
    </row>
    <row r="1656" spans="27:31">
      <c r="AA1656" s="117">
        <f>+'Ingredient List - Mother Tinctu'!D1657</f>
        <v>0</v>
      </c>
      <c r="AB1656" s="117">
        <f t="shared" si="28"/>
        <v>0</v>
      </c>
      <c r="AC1656" s="117" t="str">
        <f>IF(AB1656=1,COUNTIF($AB$3:AB1656,1),"")</f>
        <v/>
      </c>
      <c r="AD1656" s="117" t="str">
        <f>IFERROR(INDEX($AA$3:$AA$10000,MATCH(ROWS($AC$3:AC1656),$AC$3:$AC$10000,0)),"")</f>
        <v/>
      </c>
      <c r="AE1656" s="117" t="str">
        <f>+'Packing Material - Cost'!A1657</f>
        <v/>
      </c>
    </row>
    <row r="1657" spans="27:31">
      <c r="AA1657" s="117">
        <f>+'Ingredient List - Mother Tinctu'!D1658</f>
        <v>0</v>
      </c>
      <c r="AB1657" s="117">
        <f t="shared" si="28"/>
        <v>0</v>
      </c>
      <c r="AC1657" s="117" t="str">
        <f>IF(AB1657=1,COUNTIF($AB$3:AB1657,1),"")</f>
        <v/>
      </c>
      <c r="AD1657" s="117" t="str">
        <f>IFERROR(INDEX($AA$3:$AA$10000,MATCH(ROWS($AC$3:AC1657),$AC$3:$AC$10000,0)),"")</f>
        <v/>
      </c>
      <c r="AE1657" s="117" t="str">
        <f>+'Packing Material - Cost'!A1658</f>
        <v/>
      </c>
    </row>
    <row r="1658" spans="27:31">
      <c r="AA1658" s="117">
        <f>+'Ingredient List - Mother Tinctu'!D1659</f>
        <v>0</v>
      </c>
      <c r="AB1658" s="117">
        <f t="shared" si="28"/>
        <v>0</v>
      </c>
      <c r="AC1658" s="117" t="str">
        <f>IF(AB1658=1,COUNTIF($AB$3:AB1658,1),"")</f>
        <v/>
      </c>
      <c r="AD1658" s="117" t="str">
        <f>IFERROR(INDEX($AA$3:$AA$10000,MATCH(ROWS($AC$3:AC1658),$AC$3:$AC$10000,0)),"")</f>
        <v/>
      </c>
      <c r="AE1658" s="117" t="str">
        <f>+'Packing Material - Cost'!A1659</f>
        <v/>
      </c>
    </row>
    <row r="1659" spans="27:31">
      <c r="AA1659" s="117">
        <f>+'Ingredient List - Mother Tinctu'!D1660</f>
        <v>0</v>
      </c>
      <c r="AB1659" s="117">
        <f t="shared" si="28"/>
        <v>0</v>
      </c>
      <c r="AC1659" s="117" t="str">
        <f>IF(AB1659=1,COUNTIF($AB$3:AB1659,1),"")</f>
        <v/>
      </c>
      <c r="AD1659" s="117" t="str">
        <f>IFERROR(INDEX($AA$3:$AA$10000,MATCH(ROWS($AC$3:AC1659),$AC$3:$AC$10000,0)),"")</f>
        <v/>
      </c>
      <c r="AE1659" s="117" t="str">
        <f>+'Packing Material - Cost'!A1660</f>
        <v/>
      </c>
    </row>
    <row r="1660" spans="27:31">
      <c r="AA1660" s="117">
        <f>+'Ingredient List - Mother Tinctu'!D1661</f>
        <v>0</v>
      </c>
      <c r="AB1660" s="117">
        <f t="shared" si="28"/>
        <v>0</v>
      </c>
      <c r="AC1660" s="117" t="str">
        <f>IF(AB1660=1,COUNTIF($AB$3:AB1660,1),"")</f>
        <v/>
      </c>
      <c r="AD1660" s="117" t="str">
        <f>IFERROR(INDEX($AA$3:$AA$10000,MATCH(ROWS($AC$3:AC1660),$AC$3:$AC$10000,0)),"")</f>
        <v/>
      </c>
      <c r="AE1660" s="117" t="str">
        <f>+'Packing Material - Cost'!A1661</f>
        <v/>
      </c>
    </row>
    <row r="1661" spans="27:31">
      <c r="AA1661" s="117">
        <f>+'Ingredient List - Mother Tinctu'!D1662</f>
        <v>0</v>
      </c>
      <c r="AB1661" s="117">
        <f t="shared" si="28"/>
        <v>0</v>
      </c>
      <c r="AC1661" s="117" t="str">
        <f>IF(AB1661=1,COUNTIF($AB$3:AB1661,1),"")</f>
        <v/>
      </c>
      <c r="AD1661" s="117" t="str">
        <f>IFERROR(INDEX($AA$3:$AA$10000,MATCH(ROWS($AC$3:AC1661),$AC$3:$AC$10000,0)),"")</f>
        <v/>
      </c>
      <c r="AE1661" s="117" t="str">
        <f>+'Packing Material - Cost'!A1662</f>
        <v/>
      </c>
    </row>
    <row r="1662" spans="27:31">
      <c r="AA1662" s="117">
        <f>+'Ingredient List - Mother Tinctu'!D1663</f>
        <v>0</v>
      </c>
      <c r="AB1662" s="117">
        <f t="shared" si="28"/>
        <v>0</v>
      </c>
      <c r="AC1662" s="117" t="str">
        <f>IF(AB1662=1,COUNTIF($AB$3:AB1662,1),"")</f>
        <v/>
      </c>
      <c r="AD1662" s="117" t="str">
        <f>IFERROR(INDEX($AA$3:$AA$10000,MATCH(ROWS($AC$3:AC1662),$AC$3:$AC$10000,0)),"")</f>
        <v/>
      </c>
      <c r="AE1662" s="117" t="str">
        <f>+'Packing Material - Cost'!A1663</f>
        <v/>
      </c>
    </row>
    <row r="1663" spans="27:31">
      <c r="AA1663" s="117">
        <f>+'Ingredient List - Mother Tinctu'!D1664</f>
        <v>0</v>
      </c>
      <c r="AB1663" s="117">
        <f t="shared" si="28"/>
        <v>0</v>
      </c>
      <c r="AC1663" s="117" t="str">
        <f>IF(AB1663=1,COUNTIF($AB$3:AB1663,1),"")</f>
        <v/>
      </c>
      <c r="AD1663" s="117" t="str">
        <f>IFERROR(INDEX($AA$3:$AA$10000,MATCH(ROWS($AC$3:AC1663),$AC$3:$AC$10000,0)),"")</f>
        <v/>
      </c>
      <c r="AE1663" s="117" t="str">
        <f>+'Packing Material - Cost'!A1664</f>
        <v/>
      </c>
    </row>
    <row r="1664" spans="27:31">
      <c r="AA1664" s="117">
        <f>+'Ingredient List - Mother Tinctu'!D1665</f>
        <v>0</v>
      </c>
      <c r="AB1664" s="117">
        <f t="shared" si="28"/>
        <v>0</v>
      </c>
      <c r="AC1664" s="117" t="str">
        <f>IF(AB1664=1,COUNTIF($AB$3:AB1664,1),"")</f>
        <v/>
      </c>
      <c r="AD1664" s="117" t="str">
        <f>IFERROR(INDEX($AA$3:$AA$10000,MATCH(ROWS($AC$3:AC1664),$AC$3:$AC$10000,0)),"")</f>
        <v/>
      </c>
      <c r="AE1664" s="117" t="str">
        <f>+'Packing Material - Cost'!A1665</f>
        <v/>
      </c>
    </row>
    <row r="1665" spans="27:31">
      <c r="AA1665" s="117">
        <f>+'Ingredient List - Mother Tinctu'!D1666</f>
        <v>0</v>
      </c>
      <c r="AB1665" s="117">
        <f t="shared" si="28"/>
        <v>0</v>
      </c>
      <c r="AC1665" s="117" t="str">
        <f>IF(AB1665=1,COUNTIF($AB$3:AB1665,1),"")</f>
        <v/>
      </c>
      <c r="AD1665" s="117" t="str">
        <f>IFERROR(INDEX($AA$3:$AA$10000,MATCH(ROWS($AC$3:AC1665),$AC$3:$AC$10000,0)),"")</f>
        <v/>
      </c>
      <c r="AE1665" s="117" t="str">
        <f>+'Packing Material - Cost'!A1666</f>
        <v/>
      </c>
    </row>
    <row r="1666" spans="27:31">
      <c r="AA1666" s="117">
        <f>+'Ingredient List - Mother Tinctu'!D1667</f>
        <v>0</v>
      </c>
      <c r="AB1666" s="117">
        <f t="shared" si="28"/>
        <v>0</v>
      </c>
      <c r="AC1666" s="117" t="str">
        <f>IF(AB1666=1,COUNTIF($AB$3:AB1666,1),"")</f>
        <v/>
      </c>
      <c r="AD1666" s="117" t="str">
        <f>IFERROR(INDEX($AA$3:$AA$10000,MATCH(ROWS($AC$3:AC1666),$AC$3:$AC$10000,0)),"")</f>
        <v/>
      </c>
      <c r="AE1666" s="117" t="str">
        <f>+'Packing Material - Cost'!A1667</f>
        <v/>
      </c>
    </row>
    <row r="1667" spans="27:31">
      <c r="AA1667" s="117">
        <f>+'Ingredient List - Mother Tinctu'!D1668</f>
        <v>0</v>
      </c>
      <c r="AB1667" s="117">
        <f t="shared" si="28"/>
        <v>0</v>
      </c>
      <c r="AC1667" s="117" t="str">
        <f>IF(AB1667=1,COUNTIF($AB$3:AB1667,1),"")</f>
        <v/>
      </c>
      <c r="AD1667" s="117" t="str">
        <f>IFERROR(INDEX($AA$3:$AA$10000,MATCH(ROWS($AC$3:AC1667),$AC$3:$AC$10000,0)),"")</f>
        <v/>
      </c>
      <c r="AE1667" s="117" t="str">
        <f>+'Packing Material - Cost'!A1668</f>
        <v/>
      </c>
    </row>
    <row r="1668" spans="27:31">
      <c r="AA1668" s="117">
        <f>+'Ingredient List - Mother Tinctu'!D1669</f>
        <v>0</v>
      </c>
      <c r="AB1668" s="117">
        <f t="shared" ref="AB1668:AB1731" si="29">--ISNUMBER(IFERROR(SEARCH($D$3,AA1668,1),""))</f>
        <v>0</v>
      </c>
      <c r="AC1668" s="117" t="str">
        <f>IF(AB1668=1,COUNTIF($AB$3:AB1668,1),"")</f>
        <v/>
      </c>
      <c r="AD1668" s="117" t="str">
        <f>IFERROR(INDEX($AA$3:$AA$10000,MATCH(ROWS($AC$3:AC1668),$AC$3:$AC$10000,0)),"")</f>
        <v/>
      </c>
      <c r="AE1668" s="117" t="str">
        <f>+'Packing Material - Cost'!A1669</f>
        <v/>
      </c>
    </row>
    <row r="1669" spans="27:31">
      <c r="AA1669" s="117">
        <f>+'Ingredient List - Mother Tinctu'!D1670</f>
        <v>0</v>
      </c>
      <c r="AB1669" s="117">
        <f t="shared" si="29"/>
        <v>0</v>
      </c>
      <c r="AC1669" s="117" t="str">
        <f>IF(AB1669=1,COUNTIF($AB$3:AB1669,1),"")</f>
        <v/>
      </c>
      <c r="AD1669" s="117" t="str">
        <f>IFERROR(INDEX($AA$3:$AA$10000,MATCH(ROWS($AC$3:AC1669),$AC$3:$AC$10000,0)),"")</f>
        <v/>
      </c>
      <c r="AE1669" s="117" t="str">
        <f>+'Packing Material - Cost'!A1670</f>
        <v/>
      </c>
    </row>
    <row r="1670" spans="27:31">
      <c r="AA1670" s="117">
        <f>+'Ingredient List - Mother Tinctu'!D1671</f>
        <v>0</v>
      </c>
      <c r="AB1670" s="117">
        <f t="shared" si="29"/>
        <v>0</v>
      </c>
      <c r="AC1670" s="117" t="str">
        <f>IF(AB1670=1,COUNTIF($AB$3:AB1670,1),"")</f>
        <v/>
      </c>
      <c r="AD1670" s="117" t="str">
        <f>IFERROR(INDEX($AA$3:$AA$10000,MATCH(ROWS($AC$3:AC1670),$AC$3:$AC$10000,0)),"")</f>
        <v/>
      </c>
      <c r="AE1670" s="117" t="str">
        <f>+'Packing Material - Cost'!A1671</f>
        <v/>
      </c>
    </row>
    <row r="1671" spans="27:31">
      <c r="AA1671" s="117">
        <f>+'Ingredient List - Mother Tinctu'!D1672</f>
        <v>0</v>
      </c>
      <c r="AB1671" s="117">
        <f t="shared" si="29"/>
        <v>0</v>
      </c>
      <c r="AC1671" s="117" t="str">
        <f>IF(AB1671=1,COUNTIF($AB$3:AB1671,1),"")</f>
        <v/>
      </c>
      <c r="AD1671" s="117" t="str">
        <f>IFERROR(INDEX($AA$3:$AA$10000,MATCH(ROWS($AC$3:AC1671),$AC$3:$AC$10000,0)),"")</f>
        <v/>
      </c>
      <c r="AE1671" s="117" t="str">
        <f>+'Packing Material - Cost'!A1672</f>
        <v/>
      </c>
    </row>
    <row r="1672" spans="27:31">
      <c r="AA1672" s="117">
        <f>+'Ingredient List - Mother Tinctu'!D1673</f>
        <v>0</v>
      </c>
      <c r="AB1672" s="117">
        <f t="shared" si="29"/>
        <v>0</v>
      </c>
      <c r="AC1672" s="117" t="str">
        <f>IF(AB1672=1,COUNTIF($AB$3:AB1672,1),"")</f>
        <v/>
      </c>
      <c r="AD1672" s="117" t="str">
        <f>IFERROR(INDEX($AA$3:$AA$10000,MATCH(ROWS($AC$3:AC1672),$AC$3:$AC$10000,0)),"")</f>
        <v/>
      </c>
      <c r="AE1672" s="117" t="str">
        <f>+'Packing Material - Cost'!A1673</f>
        <v/>
      </c>
    </row>
    <row r="1673" spans="27:31">
      <c r="AA1673" s="117">
        <f>+'Ingredient List - Mother Tinctu'!D1674</f>
        <v>0</v>
      </c>
      <c r="AB1673" s="117">
        <f t="shared" si="29"/>
        <v>0</v>
      </c>
      <c r="AC1673" s="117" t="str">
        <f>IF(AB1673=1,COUNTIF($AB$3:AB1673,1),"")</f>
        <v/>
      </c>
      <c r="AD1673" s="117" t="str">
        <f>IFERROR(INDEX($AA$3:$AA$10000,MATCH(ROWS($AC$3:AC1673),$AC$3:$AC$10000,0)),"")</f>
        <v/>
      </c>
      <c r="AE1673" s="117" t="str">
        <f>+'Packing Material - Cost'!A1674</f>
        <v/>
      </c>
    </row>
    <row r="1674" spans="27:31">
      <c r="AA1674" s="117">
        <f>+'Ingredient List - Mother Tinctu'!D1675</f>
        <v>0</v>
      </c>
      <c r="AB1674" s="117">
        <f t="shared" si="29"/>
        <v>0</v>
      </c>
      <c r="AC1674" s="117" t="str">
        <f>IF(AB1674=1,COUNTIF($AB$3:AB1674,1),"")</f>
        <v/>
      </c>
      <c r="AD1674" s="117" t="str">
        <f>IFERROR(INDEX($AA$3:$AA$10000,MATCH(ROWS($AC$3:AC1674),$AC$3:$AC$10000,0)),"")</f>
        <v/>
      </c>
      <c r="AE1674" s="117" t="str">
        <f>+'Packing Material - Cost'!A1675</f>
        <v/>
      </c>
    </row>
    <row r="1675" spans="27:31">
      <c r="AA1675" s="117">
        <f>+'Ingredient List - Mother Tinctu'!D1676</f>
        <v>0</v>
      </c>
      <c r="AB1675" s="117">
        <f t="shared" si="29"/>
        <v>0</v>
      </c>
      <c r="AC1675" s="117" t="str">
        <f>IF(AB1675=1,COUNTIF($AB$3:AB1675,1),"")</f>
        <v/>
      </c>
      <c r="AD1675" s="117" t="str">
        <f>IFERROR(INDEX($AA$3:$AA$10000,MATCH(ROWS($AC$3:AC1675),$AC$3:$AC$10000,0)),"")</f>
        <v/>
      </c>
      <c r="AE1675" s="117" t="str">
        <f>+'Packing Material - Cost'!A1676</f>
        <v/>
      </c>
    </row>
    <row r="1676" spans="27:31">
      <c r="AA1676" s="117">
        <f>+'Ingredient List - Mother Tinctu'!D1677</f>
        <v>0</v>
      </c>
      <c r="AB1676" s="117">
        <f t="shared" si="29"/>
        <v>0</v>
      </c>
      <c r="AC1676" s="117" t="str">
        <f>IF(AB1676=1,COUNTIF($AB$3:AB1676,1),"")</f>
        <v/>
      </c>
      <c r="AD1676" s="117" t="str">
        <f>IFERROR(INDEX($AA$3:$AA$10000,MATCH(ROWS($AC$3:AC1676),$AC$3:$AC$10000,0)),"")</f>
        <v/>
      </c>
      <c r="AE1676" s="117" t="str">
        <f>+'Packing Material - Cost'!A1677</f>
        <v/>
      </c>
    </row>
    <row r="1677" spans="27:31">
      <c r="AA1677" s="117">
        <f>+'Ingredient List - Mother Tinctu'!D1678</f>
        <v>0</v>
      </c>
      <c r="AB1677" s="117">
        <f t="shared" si="29"/>
        <v>0</v>
      </c>
      <c r="AC1677" s="117" t="str">
        <f>IF(AB1677=1,COUNTIF($AB$3:AB1677,1),"")</f>
        <v/>
      </c>
      <c r="AD1677" s="117" t="str">
        <f>IFERROR(INDEX($AA$3:$AA$10000,MATCH(ROWS($AC$3:AC1677),$AC$3:$AC$10000,0)),"")</f>
        <v/>
      </c>
      <c r="AE1677" s="117" t="str">
        <f>+'Packing Material - Cost'!A1678</f>
        <v/>
      </c>
    </row>
    <row r="1678" spans="27:31">
      <c r="AA1678" s="117">
        <f>+'Ingredient List - Mother Tinctu'!D1679</f>
        <v>0</v>
      </c>
      <c r="AB1678" s="117">
        <f t="shared" si="29"/>
        <v>0</v>
      </c>
      <c r="AC1678" s="117" t="str">
        <f>IF(AB1678=1,COUNTIF($AB$3:AB1678,1),"")</f>
        <v/>
      </c>
      <c r="AD1678" s="117" t="str">
        <f>IFERROR(INDEX($AA$3:$AA$10000,MATCH(ROWS($AC$3:AC1678),$AC$3:$AC$10000,0)),"")</f>
        <v/>
      </c>
      <c r="AE1678" s="117" t="str">
        <f>+'Packing Material - Cost'!A1679</f>
        <v/>
      </c>
    </row>
    <row r="1679" spans="27:31">
      <c r="AA1679" s="117">
        <f>+'Ingredient List - Mother Tinctu'!D1680</f>
        <v>0</v>
      </c>
      <c r="AB1679" s="117">
        <f t="shared" si="29"/>
        <v>0</v>
      </c>
      <c r="AC1679" s="117" t="str">
        <f>IF(AB1679=1,COUNTIF($AB$3:AB1679,1),"")</f>
        <v/>
      </c>
      <c r="AD1679" s="117" t="str">
        <f>IFERROR(INDEX($AA$3:$AA$10000,MATCH(ROWS($AC$3:AC1679),$AC$3:$AC$10000,0)),"")</f>
        <v/>
      </c>
      <c r="AE1679" s="117" t="str">
        <f>+'Packing Material - Cost'!A1680</f>
        <v/>
      </c>
    </row>
    <row r="1680" spans="27:31">
      <c r="AA1680" s="117">
        <f>+'Ingredient List - Mother Tinctu'!D1681</f>
        <v>0</v>
      </c>
      <c r="AB1680" s="117">
        <f t="shared" si="29"/>
        <v>0</v>
      </c>
      <c r="AC1680" s="117" t="str">
        <f>IF(AB1680=1,COUNTIF($AB$3:AB1680,1),"")</f>
        <v/>
      </c>
      <c r="AD1680" s="117" t="str">
        <f>IFERROR(INDEX($AA$3:$AA$10000,MATCH(ROWS($AC$3:AC1680),$AC$3:$AC$10000,0)),"")</f>
        <v/>
      </c>
      <c r="AE1680" s="117" t="str">
        <f>+'Packing Material - Cost'!A1681</f>
        <v/>
      </c>
    </row>
    <row r="1681" spans="27:31">
      <c r="AA1681" s="117">
        <f>+'Ingredient List - Mother Tinctu'!D1682</f>
        <v>0</v>
      </c>
      <c r="AB1681" s="117">
        <f t="shared" si="29"/>
        <v>0</v>
      </c>
      <c r="AC1681" s="117" t="str">
        <f>IF(AB1681=1,COUNTIF($AB$3:AB1681,1),"")</f>
        <v/>
      </c>
      <c r="AD1681" s="117" t="str">
        <f>IFERROR(INDEX($AA$3:$AA$10000,MATCH(ROWS($AC$3:AC1681),$AC$3:$AC$10000,0)),"")</f>
        <v/>
      </c>
      <c r="AE1681" s="117" t="str">
        <f>+'Packing Material - Cost'!A1682</f>
        <v/>
      </c>
    </row>
    <row r="1682" spans="27:31">
      <c r="AA1682" s="117">
        <f>+'Ingredient List - Mother Tinctu'!D1683</f>
        <v>0</v>
      </c>
      <c r="AB1682" s="117">
        <f t="shared" si="29"/>
        <v>0</v>
      </c>
      <c r="AC1682" s="117" t="str">
        <f>IF(AB1682=1,COUNTIF($AB$3:AB1682,1),"")</f>
        <v/>
      </c>
      <c r="AD1682" s="117" t="str">
        <f>IFERROR(INDEX($AA$3:$AA$10000,MATCH(ROWS($AC$3:AC1682),$AC$3:$AC$10000,0)),"")</f>
        <v/>
      </c>
      <c r="AE1682" s="117" t="str">
        <f>+'Packing Material - Cost'!A1683</f>
        <v/>
      </c>
    </row>
    <row r="1683" spans="27:31">
      <c r="AA1683" s="117">
        <f>+'Ingredient List - Mother Tinctu'!D1684</f>
        <v>0</v>
      </c>
      <c r="AB1683" s="117">
        <f t="shared" si="29"/>
        <v>0</v>
      </c>
      <c r="AC1683" s="117" t="str">
        <f>IF(AB1683=1,COUNTIF($AB$3:AB1683,1),"")</f>
        <v/>
      </c>
      <c r="AD1683" s="117" t="str">
        <f>IFERROR(INDEX($AA$3:$AA$10000,MATCH(ROWS($AC$3:AC1683),$AC$3:$AC$10000,0)),"")</f>
        <v/>
      </c>
      <c r="AE1683" s="117" t="str">
        <f>+'Packing Material - Cost'!A1684</f>
        <v/>
      </c>
    </row>
    <row r="1684" spans="27:31">
      <c r="AA1684" s="117">
        <f>+'Ingredient List - Mother Tinctu'!D1685</f>
        <v>0</v>
      </c>
      <c r="AB1684" s="117">
        <f t="shared" si="29"/>
        <v>0</v>
      </c>
      <c r="AC1684" s="117" t="str">
        <f>IF(AB1684=1,COUNTIF($AB$3:AB1684,1),"")</f>
        <v/>
      </c>
      <c r="AD1684" s="117" t="str">
        <f>IFERROR(INDEX($AA$3:$AA$10000,MATCH(ROWS($AC$3:AC1684),$AC$3:$AC$10000,0)),"")</f>
        <v/>
      </c>
      <c r="AE1684" s="117" t="str">
        <f>+'Packing Material - Cost'!A1685</f>
        <v/>
      </c>
    </row>
    <row r="1685" spans="27:31">
      <c r="AA1685" s="117">
        <f>+'Ingredient List - Mother Tinctu'!D1686</f>
        <v>0</v>
      </c>
      <c r="AB1685" s="117">
        <f t="shared" si="29"/>
        <v>0</v>
      </c>
      <c r="AC1685" s="117" t="str">
        <f>IF(AB1685=1,COUNTIF($AB$3:AB1685,1),"")</f>
        <v/>
      </c>
      <c r="AD1685" s="117" t="str">
        <f>IFERROR(INDEX($AA$3:$AA$10000,MATCH(ROWS($AC$3:AC1685),$AC$3:$AC$10000,0)),"")</f>
        <v/>
      </c>
      <c r="AE1685" s="117" t="str">
        <f>+'Packing Material - Cost'!A1686</f>
        <v/>
      </c>
    </row>
    <row r="1686" spans="27:31">
      <c r="AA1686" s="117">
        <f>+'Ingredient List - Mother Tinctu'!D1687</f>
        <v>0</v>
      </c>
      <c r="AB1686" s="117">
        <f t="shared" si="29"/>
        <v>0</v>
      </c>
      <c r="AC1686" s="117" t="str">
        <f>IF(AB1686=1,COUNTIF($AB$3:AB1686,1),"")</f>
        <v/>
      </c>
      <c r="AD1686" s="117" t="str">
        <f>IFERROR(INDEX($AA$3:$AA$10000,MATCH(ROWS($AC$3:AC1686),$AC$3:$AC$10000,0)),"")</f>
        <v/>
      </c>
      <c r="AE1686" s="117" t="str">
        <f>+'Packing Material - Cost'!A1687</f>
        <v/>
      </c>
    </row>
    <row r="1687" spans="27:31">
      <c r="AA1687" s="117">
        <f>+'Ingredient List - Mother Tinctu'!D1688</f>
        <v>0</v>
      </c>
      <c r="AB1687" s="117">
        <f t="shared" si="29"/>
        <v>0</v>
      </c>
      <c r="AC1687" s="117" t="str">
        <f>IF(AB1687=1,COUNTIF($AB$3:AB1687,1),"")</f>
        <v/>
      </c>
      <c r="AD1687" s="117" t="str">
        <f>IFERROR(INDEX($AA$3:$AA$10000,MATCH(ROWS($AC$3:AC1687),$AC$3:$AC$10000,0)),"")</f>
        <v/>
      </c>
      <c r="AE1687" s="117" t="str">
        <f>+'Packing Material - Cost'!A1688</f>
        <v/>
      </c>
    </row>
    <row r="1688" spans="27:31">
      <c r="AA1688" s="117">
        <f>+'Ingredient List - Mother Tinctu'!D1689</f>
        <v>0</v>
      </c>
      <c r="AB1688" s="117">
        <f t="shared" si="29"/>
        <v>0</v>
      </c>
      <c r="AC1688" s="117" t="str">
        <f>IF(AB1688=1,COUNTIF($AB$3:AB1688,1),"")</f>
        <v/>
      </c>
      <c r="AD1688" s="117" t="str">
        <f>IFERROR(INDEX($AA$3:$AA$10000,MATCH(ROWS($AC$3:AC1688),$AC$3:$AC$10000,0)),"")</f>
        <v/>
      </c>
      <c r="AE1688" s="117" t="str">
        <f>+'Packing Material - Cost'!A1689</f>
        <v/>
      </c>
    </row>
    <row r="1689" spans="27:31">
      <c r="AA1689" s="117">
        <f>+'Ingredient List - Mother Tinctu'!D1690</f>
        <v>0</v>
      </c>
      <c r="AB1689" s="117">
        <f t="shared" si="29"/>
        <v>0</v>
      </c>
      <c r="AC1689" s="117" t="str">
        <f>IF(AB1689=1,COUNTIF($AB$3:AB1689,1),"")</f>
        <v/>
      </c>
      <c r="AD1689" s="117" t="str">
        <f>IFERROR(INDEX($AA$3:$AA$10000,MATCH(ROWS($AC$3:AC1689),$AC$3:$AC$10000,0)),"")</f>
        <v/>
      </c>
      <c r="AE1689" s="117" t="str">
        <f>+'Packing Material - Cost'!A1690</f>
        <v/>
      </c>
    </row>
    <row r="1690" spans="27:31">
      <c r="AA1690" s="117">
        <f>+'Ingredient List - Mother Tinctu'!D1691</f>
        <v>0</v>
      </c>
      <c r="AB1690" s="117">
        <f t="shared" si="29"/>
        <v>0</v>
      </c>
      <c r="AC1690" s="117" t="str">
        <f>IF(AB1690=1,COUNTIF($AB$3:AB1690,1),"")</f>
        <v/>
      </c>
      <c r="AD1690" s="117" t="str">
        <f>IFERROR(INDEX($AA$3:$AA$10000,MATCH(ROWS($AC$3:AC1690),$AC$3:$AC$10000,0)),"")</f>
        <v/>
      </c>
      <c r="AE1690" s="117" t="str">
        <f>+'Packing Material - Cost'!A1691</f>
        <v/>
      </c>
    </row>
    <row r="1691" spans="27:31">
      <c r="AA1691" s="117">
        <f>+'Ingredient List - Mother Tinctu'!D1692</f>
        <v>0</v>
      </c>
      <c r="AB1691" s="117">
        <f t="shared" si="29"/>
        <v>0</v>
      </c>
      <c r="AC1691" s="117" t="str">
        <f>IF(AB1691=1,COUNTIF($AB$3:AB1691,1),"")</f>
        <v/>
      </c>
      <c r="AD1691" s="117" t="str">
        <f>IFERROR(INDEX($AA$3:$AA$10000,MATCH(ROWS($AC$3:AC1691),$AC$3:$AC$10000,0)),"")</f>
        <v/>
      </c>
      <c r="AE1691" s="117" t="str">
        <f>+'Packing Material - Cost'!A1692</f>
        <v/>
      </c>
    </row>
    <row r="1692" spans="27:31">
      <c r="AA1692" s="117">
        <f>+'Ingredient List - Mother Tinctu'!D1693</f>
        <v>0</v>
      </c>
      <c r="AB1692" s="117">
        <f t="shared" si="29"/>
        <v>0</v>
      </c>
      <c r="AC1692" s="117" t="str">
        <f>IF(AB1692=1,COUNTIF($AB$3:AB1692,1),"")</f>
        <v/>
      </c>
      <c r="AD1692" s="117" t="str">
        <f>IFERROR(INDEX($AA$3:$AA$10000,MATCH(ROWS($AC$3:AC1692),$AC$3:$AC$10000,0)),"")</f>
        <v/>
      </c>
      <c r="AE1692" s="117" t="str">
        <f>+'Packing Material - Cost'!A1693</f>
        <v/>
      </c>
    </row>
    <row r="1693" spans="27:31">
      <c r="AA1693" s="117">
        <f>+'Ingredient List - Mother Tinctu'!D1694</f>
        <v>0</v>
      </c>
      <c r="AB1693" s="117">
        <f t="shared" si="29"/>
        <v>0</v>
      </c>
      <c r="AC1693" s="117" t="str">
        <f>IF(AB1693=1,COUNTIF($AB$3:AB1693,1),"")</f>
        <v/>
      </c>
      <c r="AD1693" s="117" t="str">
        <f>IFERROR(INDEX($AA$3:$AA$10000,MATCH(ROWS($AC$3:AC1693),$AC$3:$AC$10000,0)),"")</f>
        <v/>
      </c>
      <c r="AE1693" s="117" t="str">
        <f>+'Packing Material - Cost'!A1694</f>
        <v/>
      </c>
    </row>
    <row r="1694" spans="27:31">
      <c r="AA1694" s="117">
        <f>+'Ingredient List - Mother Tinctu'!D1695</f>
        <v>0</v>
      </c>
      <c r="AB1694" s="117">
        <f t="shared" si="29"/>
        <v>0</v>
      </c>
      <c r="AC1694" s="117" t="str">
        <f>IF(AB1694=1,COUNTIF($AB$3:AB1694,1),"")</f>
        <v/>
      </c>
      <c r="AD1694" s="117" t="str">
        <f>IFERROR(INDEX($AA$3:$AA$10000,MATCH(ROWS($AC$3:AC1694),$AC$3:$AC$10000,0)),"")</f>
        <v/>
      </c>
      <c r="AE1694" s="117" t="str">
        <f>+'Packing Material - Cost'!A1695</f>
        <v/>
      </c>
    </row>
    <row r="1695" spans="27:31">
      <c r="AA1695" s="117">
        <f>+'Ingredient List - Mother Tinctu'!D1696</f>
        <v>0</v>
      </c>
      <c r="AB1695" s="117">
        <f t="shared" si="29"/>
        <v>0</v>
      </c>
      <c r="AC1695" s="117" t="str">
        <f>IF(AB1695=1,COUNTIF($AB$3:AB1695,1),"")</f>
        <v/>
      </c>
      <c r="AD1695" s="117" t="str">
        <f>IFERROR(INDEX($AA$3:$AA$10000,MATCH(ROWS($AC$3:AC1695),$AC$3:$AC$10000,0)),"")</f>
        <v/>
      </c>
      <c r="AE1695" s="117" t="str">
        <f>+'Packing Material - Cost'!A1696</f>
        <v/>
      </c>
    </row>
    <row r="1696" spans="27:31">
      <c r="AA1696" s="117">
        <f>+'Ingredient List - Mother Tinctu'!D1697</f>
        <v>0</v>
      </c>
      <c r="AB1696" s="117">
        <f t="shared" si="29"/>
        <v>0</v>
      </c>
      <c r="AC1696" s="117" t="str">
        <f>IF(AB1696=1,COUNTIF($AB$3:AB1696,1),"")</f>
        <v/>
      </c>
      <c r="AD1696" s="117" t="str">
        <f>IFERROR(INDEX($AA$3:$AA$10000,MATCH(ROWS($AC$3:AC1696),$AC$3:$AC$10000,0)),"")</f>
        <v/>
      </c>
      <c r="AE1696" s="117" t="str">
        <f>+'Packing Material - Cost'!A1697</f>
        <v/>
      </c>
    </row>
    <row r="1697" spans="27:31">
      <c r="AA1697" s="117">
        <f>+'Ingredient List - Mother Tinctu'!D1698</f>
        <v>0</v>
      </c>
      <c r="AB1697" s="117">
        <f t="shared" si="29"/>
        <v>0</v>
      </c>
      <c r="AC1697" s="117" t="str">
        <f>IF(AB1697=1,COUNTIF($AB$3:AB1697,1),"")</f>
        <v/>
      </c>
      <c r="AD1697" s="117" t="str">
        <f>IFERROR(INDEX($AA$3:$AA$10000,MATCH(ROWS($AC$3:AC1697),$AC$3:$AC$10000,0)),"")</f>
        <v/>
      </c>
      <c r="AE1697" s="117" t="str">
        <f>+'Packing Material - Cost'!A1698</f>
        <v/>
      </c>
    </row>
    <row r="1698" spans="27:31">
      <c r="AA1698" s="117">
        <f>+'Ingredient List - Mother Tinctu'!D1699</f>
        <v>0</v>
      </c>
      <c r="AB1698" s="117">
        <f t="shared" si="29"/>
        <v>0</v>
      </c>
      <c r="AC1698" s="117" t="str">
        <f>IF(AB1698=1,COUNTIF($AB$3:AB1698,1),"")</f>
        <v/>
      </c>
      <c r="AD1698" s="117" t="str">
        <f>IFERROR(INDEX($AA$3:$AA$10000,MATCH(ROWS($AC$3:AC1698),$AC$3:$AC$10000,0)),"")</f>
        <v/>
      </c>
      <c r="AE1698" s="117" t="str">
        <f>+'Packing Material - Cost'!A1699</f>
        <v/>
      </c>
    </row>
    <row r="1699" spans="27:31">
      <c r="AA1699" s="117">
        <f>+'Ingredient List - Mother Tinctu'!D1700</f>
        <v>0</v>
      </c>
      <c r="AB1699" s="117">
        <f t="shared" si="29"/>
        <v>0</v>
      </c>
      <c r="AC1699" s="117" t="str">
        <f>IF(AB1699=1,COUNTIF($AB$3:AB1699,1),"")</f>
        <v/>
      </c>
      <c r="AD1699" s="117" t="str">
        <f>IFERROR(INDEX($AA$3:$AA$10000,MATCH(ROWS($AC$3:AC1699),$AC$3:$AC$10000,0)),"")</f>
        <v/>
      </c>
      <c r="AE1699" s="117" t="str">
        <f>+'Packing Material - Cost'!A1700</f>
        <v/>
      </c>
    </row>
    <row r="1700" spans="27:31">
      <c r="AA1700" s="117">
        <f>+'Ingredient List - Mother Tinctu'!D1701</f>
        <v>0</v>
      </c>
      <c r="AB1700" s="117">
        <f t="shared" si="29"/>
        <v>0</v>
      </c>
      <c r="AC1700" s="117" t="str">
        <f>IF(AB1700=1,COUNTIF($AB$3:AB1700,1),"")</f>
        <v/>
      </c>
      <c r="AD1700" s="117" t="str">
        <f>IFERROR(INDEX($AA$3:$AA$10000,MATCH(ROWS($AC$3:AC1700),$AC$3:$AC$10000,0)),"")</f>
        <v/>
      </c>
      <c r="AE1700" s="117" t="str">
        <f>+'Packing Material - Cost'!A1701</f>
        <v/>
      </c>
    </row>
    <row r="1701" spans="27:31">
      <c r="AA1701" s="117">
        <f>+'Ingredient List - Mother Tinctu'!D1702</f>
        <v>0</v>
      </c>
      <c r="AB1701" s="117">
        <f t="shared" si="29"/>
        <v>0</v>
      </c>
      <c r="AC1701" s="117" t="str">
        <f>IF(AB1701=1,COUNTIF($AB$3:AB1701,1),"")</f>
        <v/>
      </c>
      <c r="AD1701" s="117" t="str">
        <f>IFERROR(INDEX($AA$3:$AA$10000,MATCH(ROWS($AC$3:AC1701),$AC$3:$AC$10000,0)),"")</f>
        <v/>
      </c>
      <c r="AE1701" s="117" t="str">
        <f>+'Packing Material - Cost'!A1702</f>
        <v/>
      </c>
    </row>
    <row r="1702" spans="27:31">
      <c r="AA1702" s="117">
        <f>+'Ingredient List - Mother Tinctu'!D1703</f>
        <v>0</v>
      </c>
      <c r="AB1702" s="117">
        <f t="shared" si="29"/>
        <v>0</v>
      </c>
      <c r="AC1702" s="117" t="str">
        <f>IF(AB1702=1,COUNTIF($AB$3:AB1702,1),"")</f>
        <v/>
      </c>
      <c r="AD1702" s="117" t="str">
        <f>IFERROR(INDEX($AA$3:$AA$10000,MATCH(ROWS($AC$3:AC1702),$AC$3:$AC$10000,0)),"")</f>
        <v/>
      </c>
      <c r="AE1702" s="117" t="str">
        <f>+'Packing Material - Cost'!A1703</f>
        <v/>
      </c>
    </row>
    <row r="1703" spans="27:31">
      <c r="AA1703" s="117">
        <f>+'Ingredient List - Mother Tinctu'!D1704</f>
        <v>0</v>
      </c>
      <c r="AB1703" s="117">
        <f t="shared" si="29"/>
        <v>0</v>
      </c>
      <c r="AC1703" s="117" t="str">
        <f>IF(AB1703=1,COUNTIF($AB$3:AB1703,1),"")</f>
        <v/>
      </c>
      <c r="AD1703" s="117" t="str">
        <f>IFERROR(INDEX($AA$3:$AA$10000,MATCH(ROWS($AC$3:AC1703),$AC$3:$AC$10000,0)),"")</f>
        <v/>
      </c>
      <c r="AE1703" s="117" t="str">
        <f>+'Packing Material - Cost'!A1704</f>
        <v/>
      </c>
    </row>
    <row r="1704" spans="27:31">
      <c r="AA1704" s="117">
        <f>+'Ingredient List - Mother Tinctu'!D1705</f>
        <v>0</v>
      </c>
      <c r="AB1704" s="117">
        <f t="shared" si="29"/>
        <v>0</v>
      </c>
      <c r="AC1704" s="117" t="str">
        <f>IF(AB1704=1,COUNTIF($AB$3:AB1704,1),"")</f>
        <v/>
      </c>
      <c r="AD1704" s="117" t="str">
        <f>IFERROR(INDEX($AA$3:$AA$10000,MATCH(ROWS($AC$3:AC1704),$AC$3:$AC$10000,0)),"")</f>
        <v/>
      </c>
      <c r="AE1704" s="117" t="str">
        <f>+'Packing Material - Cost'!A1705</f>
        <v/>
      </c>
    </row>
    <row r="1705" spans="27:31">
      <c r="AA1705" s="117">
        <f>+'Ingredient List - Mother Tinctu'!D1706</f>
        <v>0</v>
      </c>
      <c r="AB1705" s="117">
        <f t="shared" si="29"/>
        <v>0</v>
      </c>
      <c r="AC1705" s="117" t="str">
        <f>IF(AB1705=1,COUNTIF($AB$3:AB1705,1),"")</f>
        <v/>
      </c>
      <c r="AD1705" s="117" t="str">
        <f>IFERROR(INDEX($AA$3:$AA$10000,MATCH(ROWS($AC$3:AC1705),$AC$3:$AC$10000,0)),"")</f>
        <v/>
      </c>
      <c r="AE1705" s="117" t="str">
        <f>+'Packing Material - Cost'!A1706</f>
        <v/>
      </c>
    </row>
    <row r="1706" spans="27:31">
      <c r="AA1706" s="117">
        <f>+'Ingredient List - Mother Tinctu'!D1707</f>
        <v>0</v>
      </c>
      <c r="AB1706" s="117">
        <f t="shared" si="29"/>
        <v>0</v>
      </c>
      <c r="AC1706" s="117" t="str">
        <f>IF(AB1706=1,COUNTIF($AB$3:AB1706,1),"")</f>
        <v/>
      </c>
      <c r="AD1706" s="117" t="str">
        <f>IFERROR(INDEX($AA$3:$AA$10000,MATCH(ROWS($AC$3:AC1706),$AC$3:$AC$10000,0)),"")</f>
        <v/>
      </c>
      <c r="AE1706" s="117" t="str">
        <f>+'Packing Material - Cost'!A1707</f>
        <v/>
      </c>
    </row>
    <row r="1707" spans="27:31">
      <c r="AA1707" s="117">
        <f>+'Ingredient List - Mother Tinctu'!D1708</f>
        <v>0</v>
      </c>
      <c r="AB1707" s="117">
        <f t="shared" si="29"/>
        <v>0</v>
      </c>
      <c r="AC1707" s="117" t="str">
        <f>IF(AB1707=1,COUNTIF($AB$3:AB1707,1),"")</f>
        <v/>
      </c>
      <c r="AD1707" s="117" t="str">
        <f>IFERROR(INDEX($AA$3:$AA$10000,MATCH(ROWS($AC$3:AC1707),$AC$3:$AC$10000,0)),"")</f>
        <v/>
      </c>
      <c r="AE1707" s="117" t="str">
        <f>+'Packing Material - Cost'!A1708</f>
        <v/>
      </c>
    </row>
    <row r="1708" spans="27:31">
      <c r="AA1708" s="117">
        <f>+'Ingredient List - Mother Tinctu'!D1709</f>
        <v>0</v>
      </c>
      <c r="AB1708" s="117">
        <f t="shared" si="29"/>
        <v>0</v>
      </c>
      <c r="AC1708" s="117" t="str">
        <f>IF(AB1708=1,COUNTIF($AB$3:AB1708,1),"")</f>
        <v/>
      </c>
      <c r="AD1708" s="117" t="str">
        <f>IFERROR(INDEX($AA$3:$AA$10000,MATCH(ROWS($AC$3:AC1708),$AC$3:$AC$10000,0)),"")</f>
        <v/>
      </c>
      <c r="AE1708" s="117" t="str">
        <f>+'Packing Material - Cost'!A1709</f>
        <v/>
      </c>
    </row>
    <row r="1709" spans="27:31">
      <c r="AA1709" s="117">
        <f>+'Ingredient List - Mother Tinctu'!D1710</f>
        <v>0</v>
      </c>
      <c r="AB1709" s="117">
        <f t="shared" si="29"/>
        <v>0</v>
      </c>
      <c r="AC1709" s="117" t="str">
        <f>IF(AB1709=1,COUNTIF($AB$3:AB1709,1),"")</f>
        <v/>
      </c>
      <c r="AD1709" s="117" t="str">
        <f>IFERROR(INDEX($AA$3:$AA$10000,MATCH(ROWS($AC$3:AC1709),$AC$3:$AC$10000,0)),"")</f>
        <v/>
      </c>
      <c r="AE1709" s="117" t="str">
        <f>+'Packing Material - Cost'!A1710</f>
        <v/>
      </c>
    </row>
    <row r="1710" spans="27:31">
      <c r="AA1710" s="117">
        <f>+'Ingredient List - Mother Tinctu'!D1711</f>
        <v>0</v>
      </c>
      <c r="AB1710" s="117">
        <f t="shared" si="29"/>
        <v>0</v>
      </c>
      <c r="AC1710" s="117" t="str">
        <f>IF(AB1710=1,COUNTIF($AB$3:AB1710,1),"")</f>
        <v/>
      </c>
      <c r="AD1710" s="117" t="str">
        <f>IFERROR(INDEX($AA$3:$AA$10000,MATCH(ROWS($AC$3:AC1710),$AC$3:$AC$10000,0)),"")</f>
        <v/>
      </c>
      <c r="AE1710" s="117" t="str">
        <f>+'Packing Material - Cost'!A1711</f>
        <v/>
      </c>
    </row>
    <row r="1711" spans="27:31">
      <c r="AA1711" s="117">
        <f>+'Ingredient List - Mother Tinctu'!D1712</f>
        <v>0</v>
      </c>
      <c r="AB1711" s="117">
        <f t="shared" si="29"/>
        <v>0</v>
      </c>
      <c r="AC1711" s="117" t="str">
        <f>IF(AB1711=1,COUNTIF($AB$3:AB1711,1),"")</f>
        <v/>
      </c>
      <c r="AD1711" s="117" t="str">
        <f>IFERROR(INDEX($AA$3:$AA$10000,MATCH(ROWS($AC$3:AC1711),$AC$3:$AC$10000,0)),"")</f>
        <v/>
      </c>
      <c r="AE1711" s="117" t="str">
        <f>+'Packing Material - Cost'!A1712</f>
        <v/>
      </c>
    </row>
    <row r="1712" spans="27:31">
      <c r="AA1712" s="117">
        <f>+'Ingredient List - Mother Tinctu'!D1713</f>
        <v>0</v>
      </c>
      <c r="AB1712" s="117">
        <f t="shared" si="29"/>
        <v>0</v>
      </c>
      <c r="AC1712" s="117" t="str">
        <f>IF(AB1712=1,COUNTIF($AB$3:AB1712,1),"")</f>
        <v/>
      </c>
      <c r="AD1712" s="117" t="str">
        <f>IFERROR(INDEX($AA$3:$AA$10000,MATCH(ROWS($AC$3:AC1712),$AC$3:$AC$10000,0)),"")</f>
        <v/>
      </c>
      <c r="AE1712" s="117" t="str">
        <f>+'Packing Material - Cost'!A1713</f>
        <v/>
      </c>
    </row>
    <row r="1713" spans="27:31">
      <c r="AA1713" s="117">
        <f>+'Ingredient List - Mother Tinctu'!D1714</f>
        <v>0</v>
      </c>
      <c r="AB1713" s="117">
        <f t="shared" si="29"/>
        <v>0</v>
      </c>
      <c r="AC1713" s="117" t="str">
        <f>IF(AB1713=1,COUNTIF($AB$3:AB1713,1),"")</f>
        <v/>
      </c>
      <c r="AD1713" s="117" t="str">
        <f>IFERROR(INDEX($AA$3:$AA$10000,MATCH(ROWS($AC$3:AC1713),$AC$3:$AC$10000,0)),"")</f>
        <v/>
      </c>
      <c r="AE1713" s="117" t="str">
        <f>+'Packing Material - Cost'!A1714</f>
        <v/>
      </c>
    </row>
    <row r="1714" spans="27:31">
      <c r="AA1714" s="117">
        <f>+'Ingredient List - Mother Tinctu'!D1715</f>
        <v>0</v>
      </c>
      <c r="AB1714" s="117">
        <f t="shared" si="29"/>
        <v>0</v>
      </c>
      <c r="AC1714" s="117" t="str">
        <f>IF(AB1714=1,COUNTIF($AB$3:AB1714,1),"")</f>
        <v/>
      </c>
      <c r="AD1714" s="117" t="str">
        <f>IFERROR(INDEX($AA$3:$AA$10000,MATCH(ROWS($AC$3:AC1714),$AC$3:$AC$10000,0)),"")</f>
        <v/>
      </c>
      <c r="AE1714" s="117" t="str">
        <f>+'Packing Material - Cost'!A1715</f>
        <v/>
      </c>
    </row>
    <row r="1715" spans="27:31">
      <c r="AA1715" s="117">
        <f>+'Ingredient List - Mother Tinctu'!D1716</f>
        <v>0</v>
      </c>
      <c r="AB1715" s="117">
        <f t="shared" si="29"/>
        <v>0</v>
      </c>
      <c r="AC1715" s="117" t="str">
        <f>IF(AB1715=1,COUNTIF($AB$3:AB1715,1),"")</f>
        <v/>
      </c>
      <c r="AD1715" s="117" t="str">
        <f>IFERROR(INDEX($AA$3:$AA$10000,MATCH(ROWS($AC$3:AC1715),$AC$3:$AC$10000,0)),"")</f>
        <v/>
      </c>
      <c r="AE1715" s="117" t="str">
        <f>+'Packing Material - Cost'!A1716</f>
        <v/>
      </c>
    </row>
    <row r="1716" spans="27:31">
      <c r="AA1716" s="117">
        <f>+'Ingredient List - Mother Tinctu'!D1717</f>
        <v>0</v>
      </c>
      <c r="AB1716" s="117">
        <f t="shared" si="29"/>
        <v>0</v>
      </c>
      <c r="AC1716" s="117" t="str">
        <f>IF(AB1716=1,COUNTIF($AB$3:AB1716,1),"")</f>
        <v/>
      </c>
      <c r="AD1716" s="117" t="str">
        <f>IFERROR(INDEX($AA$3:$AA$10000,MATCH(ROWS($AC$3:AC1716),$AC$3:$AC$10000,0)),"")</f>
        <v/>
      </c>
      <c r="AE1716" s="117" t="str">
        <f>+'Packing Material - Cost'!A1717</f>
        <v/>
      </c>
    </row>
    <row r="1717" spans="27:31">
      <c r="AA1717" s="117">
        <f>+'Ingredient List - Mother Tinctu'!D1718</f>
        <v>0</v>
      </c>
      <c r="AB1717" s="117">
        <f t="shared" si="29"/>
        <v>0</v>
      </c>
      <c r="AC1717" s="117" t="str">
        <f>IF(AB1717=1,COUNTIF($AB$3:AB1717,1),"")</f>
        <v/>
      </c>
      <c r="AD1717" s="117" t="str">
        <f>IFERROR(INDEX($AA$3:$AA$10000,MATCH(ROWS($AC$3:AC1717),$AC$3:$AC$10000,0)),"")</f>
        <v/>
      </c>
      <c r="AE1717" s="117" t="str">
        <f>+'Packing Material - Cost'!A1718</f>
        <v/>
      </c>
    </row>
    <row r="1718" spans="27:31">
      <c r="AA1718" s="117">
        <f>+'Ingredient List - Mother Tinctu'!D1719</f>
        <v>0</v>
      </c>
      <c r="AB1718" s="117">
        <f t="shared" si="29"/>
        <v>0</v>
      </c>
      <c r="AC1718" s="117" t="str">
        <f>IF(AB1718=1,COUNTIF($AB$3:AB1718,1),"")</f>
        <v/>
      </c>
      <c r="AD1718" s="117" t="str">
        <f>IFERROR(INDEX($AA$3:$AA$10000,MATCH(ROWS($AC$3:AC1718),$AC$3:$AC$10000,0)),"")</f>
        <v/>
      </c>
      <c r="AE1718" s="117" t="str">
        <f>+'Packing Material - Cost'!A1719</f>
        <v/>
      </c>
    </row>
    <row r="1719" spans="27:31">
      <c r="AA1719" s="117">
        <f>+'Ingredient List - Mother Tinctu'!D1720</f>
        <v>0</v>
      </c>
      <c r="AB1719" s="117">
        <f t="shared" si="29"/>
        <v>0</v>
      </c>
      <c r="AC1719" s="117" t="str">
        <f>IF(AB1719=1,COUNTIF($AB$3:AB1719,1),"")</f>
        <v/>
      </c>
      <c r="AD1719" s="117" t="str">
        <f>IFERROR(INDEX($AA$3:$AA$10000,MATCH(ROWS($AC$3:AC1719),$AC$3:$AC$10000,0)),"")</f>
        <v/>
      </c>
      <c r="AE1719" s="117" t="str">
        <f>+'Packing Material - Cost'!A1720</f>
        <v/>
      </c>
    </row>
    <row r="1720" spans="27:31">
      <c r="AA1720" s="117">
        <f>+'Ingredient List - Mother Tinctu'!D1721</f>
        <v>0</v>
      </c>
      <c r="AB1720" s="117">
        <f t="shared" si="29"/>
        <v>0</v>
      </c>
      <c r="AC1720" s="117" t="str">
        <f>IF(AB1720=1,COUNTIF($AB$3:AB1720,1),"")</f>
        <v/>
      </c>
      <c r="AD1720" s="117" t="str">
        <f>IFERROR(INDEX($AA$3:$AA$10000,MATCH(ROWS($AC$3:AC1720),$AC$3:$AC$10000,0)),"")</f>
        <v/>
      </c>
      <c r="AE1720" s="117" t="str">
        <f>+'Packing Material - Cost'!A1721</f>
        <v/>
      </c>
    </row>
    <row r="1721" spans="27:31">
      <c r="AA1721" s="117">
        <f>+'Ingredient List - Mother Tinctu'!D1722</f>
        <v>0</v>
      </c>
      <c r="AB1721" s="117">
        <f t="shared" si="29"/>
        <v>0</v>
      </c>
      <c r="AC1721" s="117" t="str">
        <f>IF(AB1721=1,COUNTIF($AB$3:AB1721,1),"")</f>
        <v/>
      </c>
      <c r="AD1721" s="117" t="str">
        <f>IFERROR(INDEX($AA$3:$AA$10000,MATCH(ROWS($AC$3:AC1721),$AC$3:$AC$10000,0)),"")</f>
        <v/>
      </c>
      <c r="AE1721" s="117" t="str">
        <f>+'Packing Material - Cost'!A1722</f>
        <v/>
      </c>
    </row>
    <row r="1722" spans="27:31">
      <c r="AA1722" s="117">
        <f>+'Ingredient List - Mother Tinctu'!D1723</f>
        <v>0</v>
      </c>
      <c r="AB1722" s="117">
        <f t="shared" si="29"/>
        <v>0</v>
      </c>
      <c r="AC1722" s="117" t="str">
        <f>IF(AB1722=1,COUNTIF($AB$3:AB1722,1),"")</f>
        <v/>
      </c>
      <c r="AD1722" s="117" t="str">
        <f>IFERROR(INDEX($AA$3:$AA$10000,MATCH(ROWS($AC$3:AC1722),$AC$3:$AC$10000,0)),"")</f>
        <v/>
      </c>
      <c r="AE1722" s="117" t="str">
        <f>+'Packing Material - Cost'!A1723</f>
        <v/>
      </c>
    </row>
    <row r="1723" spans="27:31">
      <c r="AA1723" s="117">
        <f>+'Ingredient List - Mother Tinctu'!D1724</f>
        <v>0</v>
      </c>
      <c r="AB1723" s="117">
        <f t="shared" si="29"/>
        <v>0</v>
      </c>
      <c r="AC1723" s="117" t="str">
        <f>IF(AB1723=1,COUNTIF($AB$3:AB1723,1),"")</f>
        <v/>
      </c>
      <c r="AD1723" s="117" t="str">
        <f>IFERROR(INDEX($AA$3:$AA$10000,MATCH(ROWS($AC$3:AC1723),$AC$3:$AC$10000,0)),"")</f>
        <v/>
      </c>
      <c r="AE1723" s="117" t="str">
        <f>+'Packing Material - Cost'!A1724</f>
        <v/>
      </c>
    </row>
    <row r="1724" spans="27:31">
      <c r="AA1724" s="117">
        <f>+'Ingredient List - Mother Tinctu'!D1725</f>
        <v>0</v>
      </c>
      <c r="AB1724" s="117">
        <f t="shared" si="29"/>
        <v>0</v>
      </c>
      <c r="AC1724" s="117" t="str">
        <f>IF(AB1724=1,COUNTIF($AB$3:AB1724,1),"")</f>
        <v/>
      </c>
      <c r="AD1724" s="117" t="str">
        <f>IFERROR(INDEX($AA$3:$AA$10000,MATCH(ROWS($AC$3:AC1724),$AC$3:$AC$10000,0)),"")</f>
        <v/>
      </c>
      <c r="AE1724" s="117" t="str">
        <f>+'Packing Material - Cost'!A1725</f>
        <v/>
      </c>
    </row>
    <row r="1725" spans="27:31">
      <c r="AA1725" s="117">
        <f>+'Ingredient List - Mother Tinctu'!D1726</f>
        <v>0</v>
      </c>
      <c r="AB1725" s="117">
        <f t="shared" si="29"/>
        <v>0</v>
      </c>
      <c r="AC1725" s="117" t="str">
        <f>IF(AB1725=1,COUNTIF($AB$3:AB1725,1),"")</f>
        <v/>
      </c>
      <c r="AD1725" s="117" t="str">
        <f>IFERROR(INDEX($AA$3:$AA$10000,MATCH(ROWS($AC$3:AC1725),$AC$3:$AC$10000,0)),"")</f>
        <v/>
      </c>
      <c r="AE1725" s="117" t="str">
        <f>+'Packing Material - Cost'!A1726</f>
        <v/>
      </c>
    </row>
    <row r="1726" spans="27:31">
      <c r="AA1726" s="117">
        <f>+'Ingredient List - Mother Tinctu'!D1727</f>
        <v>0</v>
      </c>
      <c r="AB1726" s="117">
        <f t="shared" si="29"/>
        <v>0</v>
      </c>
      <c r="AC1726" s="117" t="str">
        <f>IF(AB1726=1,COUNTIF($AB$3:AB1726,1),"")</f>
        <v/>
      </c>
      <c r="AD1726" s="117" t="str">
        <f>IFERROR(INDEX($AA$3:$AA$10000,MATCH(ROWS($AC$3:AC1726),$AC$3:$AC$10000,0)),"")</f>
        <v/>
      </c>
      <c r="AE1726" s="117" t="str">
        <f>+'Packing Material - Cost'!A1727</f>
        <v/>
      </c>
    </row>
    <row r="1727" spans="27:31">
      <c r="AA1727" s="117">
        <f>+'Ingredient List - Mother Tinctu'!D1728</f>
        <v>0</v>
      </c>
      <c r="AB1727" s="117">
        <f t="shared" si="29"/>
        <v>0</v>
      </c>
      <c r="AC1727" s="117" t="str">
        <f>IF(AB1727=1,COUNTIF($AB$3:AB1727,1),"")</f>
        <v/>
      </c>
      <c r="AD1727" s="117" t="str">
        <f>IFERROR(INDEX($AA$3:$AA$10000,MATCH(ROWS($AC$3:AC1727),$AC$3:$AC$10000,0)),"")</f>
        <v/>
      </c>
      <c r="AE1727" s="117" t="str">
        <f>+'Packing Material - Cost'!A1728</f>
        <v/>
      </c>
    </row>
    <row r="1728" spans="27:31">
      <c r="AA1728" s="117">
        <f>+'Ingredient List - Mother Tinctu'!D1729</f>
        <v>0</v>
      </c>
      <c r="AB1728" s="117">
        <f t="shared" si="29"/>
        <v>0</v>
      </c>
      <c r="AC1728" s="117" t="str">
        <f>IF(AB1728=1,COUNTIF($AB$3:AB1728,1),"")</f>
        <v/>
      </c>
      <c r="AD1728" s="117" t="str">
        <f>IFERROR(INDEX($AA$3:$AA$10000,MATCH(ROWS($AC$3:AC1728),$AC$3:$AC$10000,0)),"")</f>
        <v/>
      </c>
      <c r="AE1728" s="117" t="str">
        <f>+'Packing Material - Cost'!A1729</f>
        <v/>
      </c>
    </row>
    <row r="1729" spans="27:31">
      <c r="AA1729" s="117">
        <f>+'Ingredient List - Mother Tinctu'!D1730</f>
        <v>0</v>
      </c>
      <c r="AB1729" s="117">
        <f t="shared" si="29"/>
        <v>0</v>
      </c>
      <c r="AC1729" s="117" t="str">
        <f>IF(AB1729=1,COUNTIF($AB$3:AB1729,1),"")</f>
        <v/>
      </c>
      <c r="AD1729" s="117" t="str">
        <f>IFERROR(INDEX($AA$3:$AA$10000,MATCH(ROWS($AC$3:AC1729),$AC$3:$AC$10000,0)),"")</f>
        <v/>
      </c>
      <c r="AE1729" s="117" t="str">
        <f>+'Packing Material - Cost'!A1730</f>
        <v/>
      </c>
    </row>
    <row r="1730" spans="27:31">
      <c r="AA1730" s="117">
        <f>+'Ingredient List - Mother Tinctu'!D1731</f>
        <v>0</v>
      </c>
      <c r="AB1730" s="117">
        <f t="shared" si="29"/>
        <v>0</v>
      </c>
      <c r="AC1730" s="117" t="str">
        <f>IF(AB1730=1,COUNTIF($AB$3:AB1730,1),"")</f>
        <v/>
      </c>
      <c r="AD1730" s="117" t="str">
        <f>IFERROR(INDEX($AA$3:$AA$10000,MATCH(ROWS($AC$3:AC1730),$AC$3:$AC$10000,0)),"")</f>
        <v/>
      </c>
      <c r="AE1730" s="117" t="str">
        <f>+'Packing Material - Cost'!A1731</f>
        <v/>
      </c>
    </row>
    <row r="1731" spans="27:31">
      <c r="AA1731" s="117">
        <f>+'Ingredient List - Mother Tinctu'!D1732</f>
        <v>0</v>
      </c>
      <c r="AB1731" s="117">
        <f t="shared" si="29"/>
        <v>0</v>
      </c>
      <c r="AC1731" s="117" t="str">
        <f>IF(AB1731=1,COUNTIF($AB$3:AB1731,1),"")</f>
        <v/>
      </c>
      <c r="AD1731" s="117" t="str">
        <f>IFERROR(INDEX($AA$3:$AA$10000,MATCH(ROWS($AC$3:AC1731),$AC$3:$AC$10000,0)),"")</f>
        <v/>
      </c>
      <c r="AE1731" s="117" t="str">
        <f>+'Packing Material - Cost'!A1732</f>
        <v/>
      </c>
    </row>
    <row r="1732" spans="27:31">
      <c r="AA1732" s="117">
        <f>+'Ingredient List - Mother Tinctu'!D1733</f>
        <v>0</v>
      </c>
      <c r="AB1732" s="117">
        <f t="shared" ref="AB1732:AB1795" si="30">--ISNUMBER(IFERROR(SEARCH($D$3,AA1732,1),""))</f>
        <v>0</v>
      </c>
      <c r="AC1732" s="117" t="str">
        <f>IF(AB1732=1,COUNTIF($AB$3:AB1732,1),"")</f>
        <v/>
      </c>
      <c r="AD1732" s="117" t="str">
        <f>IFERROR(INDEX($AA$3:$AA$10000,MATCH(ROWS($AC$3:AC1732),$AC$3:$AC$10000,0)),"")</f>
        <v/>
      </c>
      <c r="AE1732" s="117" t="str">
        <f>+'Packing Material - Cost'!A1733</f>
        <v/>
      </c>
    </row>
    <row r="1733" spans="27:31">
      <c r="AA1733" s="117">
        <f>+'Ingredient List - Mother Tinctu'!D1734</f>
        <v>0</v>
      </c>
      <c r="AB1733" s="117">
        <f t="shared" si="30"/>
        <v>0</v>
      </c>
      <c r="AC1733" s="117" t="str">
        <f>IF(AB1733=1,COUNTIF($AB$3:AB1733,1),"")</f>
        <v/>
      </c>
      <c r="AD1733" s="117" t="str">
        <f>IFERROR(INDEX($AA$3:$AA$10000,MATCH(ROWS($AC$3:AC1733),$AC$3:$AC$10000,0)),"")</f>
        <v/>
      </c>
      <c r="AE1733" s="117" t="str">
        <f>+'Packing Material - Cost'!A1734</f>
        <v/>
      </c>
    </row>
    <row r="1734" spans="27:31">
      <c r="AA1734" s="117">
        <f>+'Ingredient List - Mother Tinctu'!D1735</f>
        <v>0</v>
      </c>
      <c r="AB1734" s="117">
        <f t="shared" si="30"/>
        <v>0</v>
      </c>
      <c r="AC1734" s="117" t="str">
        <f>IF(AB1734=1,COUNTIF($AB$3:AB1734,1),"")</f>
        <v/>
      </c>
      <c r="AD1734" s="117" t="str">
        <f>IFERROR(INDEX($AA$3:$AA$10000,MATCH(ROWS($AC$3:AC1734),$AC$3:$AC$10000,0)),"")</f>
        <v/>
      </c>
      <c r="AE1734" s="117" t="str">
        <f>+'Packing Material - Cost'!A1735</f>
        <v/>
      </c>
    </row>
    <row r="1735" spans="27:31">
      <c r="AA1735" s="117">
        <f>+'Ingredient List - Mother Tinctu'!D1736</f>
        <v>0</v>
      </c>
      <c r="AB1735" s="117">
        <f t="shared" si="30"/>
        <v>0</v>
      </c>
      <c r="AC1735" s="117" t="str">
        <f>IF(AB1735=1,COUNTIF($AB$3:AB1735,1),"")</f>
        <v/>
      </c>
      <c r="AD1735" s="117" t="str">
        <f>IFERROR(INDEX($AA$3:$AA$10000,MATCH(ROWS($AC$3:AC1735),$AC$3:$AC$10000,0)),"")</f>
        <v/>
      </c>
      <c r="AE1735" s="117" t="str">
        <f>+'Packing Material - Cost'!A1736</f>
        <v/>
      </c>
    </row>
    <row r="1736" spans="27:31">
      <c r="AA1736" s="117">
        <f>+'Ingredient List - Mother Tinctu'!D1737</f>
        <v>0</v>
      </c>
      <c r="AB1736" s="117">
        <f t="shared" si="30"/>
        <v>0</v>
      </c>
      <c r="AC1736" s="117" t="str">
        <f>IF(AB1736=1,COUNTIF($AB$3:AB1736,1),"")</f>
        <v/>
      </c>
      <c r="AD1736" s="117" t="str">
        <f>IFERROR(INDEX($AA$3:$AA$10000,MATCH(ROWS($AC$3:AC1736),$AC$3:$AC$10000,0)),"")</f>
        <v/>
      </c>
      <c r="AE1736" s="117" t="str">
        <f>+'Packing Material - Cost'!A1737</f>
        <v/>
      </c>
    </row>
    <row r="1737" spans="27:31">
      <c r="AA1737" s="117">
        <f>+'Ingredient List - Mother Tinctu'!D1738</f>
        <v>0</v>
      </c>
      <c r="AB1737" s="117">
        <f t="shared" si="30"/>
        <v>0</v>
      </c>
      <c r="AC1737" s="117" t="str">
        <f>IF(AB1737=1,COUNTIF($AB$3:AB1737,1),"")</f>
        <v/>
      </c>
      <c r="AD1737" s="117" t="str">
        <f>IFERROR(INDEX($AA$3:$AA$10000,MATCH(ROWS($AC$3:AC1737),$AC$3:$AC$10000,0)),"")</f>
        <v/>
      </c>
      <c r="AE1737" s="117" t="str">
        <f>+'Packing Material - Cost'!A1738</f>
        <v/>
      </c>
    </row>
    <row r="1738" spans="27:31">
      <c r="AA1738" s="117">
        <f>+'Ingredient List - Mother Tinctu'!D1739</f>
        <v>0</v>
      </c>
      <c r="AB1738" s="117">
        <f t="shared" si="30"/>
        <v>0</v>
      </c>
      <c r="AC1738" s="117" t="str">
        <f>IF(AB1738=1,COUNTIF($AB$3:AB1738,1),"")</f>
        <v/>
      </c>
      <c r="AD1738" s="117" t="str">
        <f>IFERROR(INDEX($AA$3:$AA$10000,MATCH(ROWS($AC$3:AC1738),$AC$3:$AC$10000,0)),"")</f>
        <v/>
      </c>
      <c r="AE1738" s="117" t="str">
        <f>+'Packing Material - Cost'!A1739</f>
        <v/>
      </c>
    </row>
    <row r="1739" spans="27:31">
      <c r="AA1739" s="117">
        <f>+'Ingredient List - Mother Tinctu'!D1740</f>
        <v>0</v>
      </c>
      <c r="AB1739" s="117">
        <f t="shared" si="30"/>
        <v>0</v>
      </c>
      <c r="AC1739" s="117" t="str">
        <f>IF(AB1739=1,COUNTIF($AB$3:AB1739,1),"")</f>
        <v/>
      </c>
      <c r="AD1739" s="117" t="str">
        <f>IFERROR(INDEX($AA$3:$AA$10000,MATCH(ROWS($AC$3:AC1739),$AC$3:$AC$10000,0)),"")</f>
        <v/>
      </c>
      <c r="AE1739" s="117" t="str">
        <f>+'Packing Material - Cost'!A1740</f>
        <v/>
      </c>
    </row>
    <row r="1740" spans="27:31">
      <c r="AA1740" s="117">
        <f>+'Ingredient List - Mother Tinctu'!D1741</f>
        <v>0</v>
      </c>
      <c r="AB1740" s="117">
        <f t="shared" si="30"/>
        <v>0</v>
      </c>
      <c r="AC1740" s="117" t="str">
        <f>IF(AB1740=1,COUNTIF($AB$3:AB1740,1),"")</f>
        <v/>
      </c>
      <c r="AD1740" s="117" t="str">
        <f>IFERROR(INDEX($AA$3:$AA$10000,MATCH(ROWS($AC$3:AC1740),$AC$3:$AC$10000,0)),"")</f>
        <v/>
      </c>
      <c r="AE1740" s="117" t="str">
        <f>+'Packing Material - Cost'!A1741</f>
        <v/>
      </c>
    </row>
    <row r="1741" spans="27:31">
      <c r="AA1741" s="117">
        <f>+'Ingredient List - Mother Tinctu'!D1742</f>
        <v>0</v>
      </c>
      <c r="AB1741" s="117">
        <f t="shared" si="30"/>
        <v>0</v>
      </c>
      <c r="AC1741" s="117" t="str">
        <f>IF(AB1741=1,COUNTIF($AB$3:AB1741,1),"")</f>
        <v/>
      </c>
      <c r="AD1741" s="117" t="str">
        <f>IFERROR(INDEX($AA$3:$AA$10000,MATCH(ROWS($AC$3:AC1741),$AC$3:$AC$10000,0)),"")</f>
        <v/>
      </c>
      <c r="AE1741" s="117" t="str">
        <f>+'Packing Material - Cost'!A1742</f>
        <v/>
      </c>
    </row>
    <row r="1742" spans="27:31">
      <c r="AA1742" s="117">
        <f>+'Ingredient List - Mother Tinctu'!D1743</f>
        <v>0</v>
      </c>
      <c r="AB1742" s="117">
        <f t="shared" si="30"/>
        <v>0</v>
      </c>
      <c r="AC1742" s="117" t="str">
        <f>IF(AB1742=1,COUNTIF($AB$3:AB1742,1),"")</f>
        <v/>
      </c>
      <c r="AD1742" s="117" t="str">
        <f>IFERROR(INDEX($AA$3:$AA$10000,MATCH(ROWS($AC$3:AC1742),$AC$3:$AC$10000,0)),"")</f>
        <v/>
      </c>
      <c r="AE1742" s="117" t="str">
        <f>+'Packing Material - Cost'!A1743</f>
        <v/>
      </c>
    </row>
    <row r="1743" spans="27:31">
      <c r="AA1743" s="117">
        <f>+'Ingredient List - Mother Tinctu'!D1744</f>
        <v>0</v>
      </c>
      <c r="AB1743" s="117">
        <f t="shared" si="30"/>
        <v>0</v>
      </c>
      <c r="AC1743" s="117" t="str">
        <f>IF(AB1743=1,COUNTIF($AB$3:AB1743,1),"")</f>
        <v/>
      </c>
      <c r="AD1743" s="117" t="str">
        <f>IFERROR(INDEX($AA$3:$AA$10000,MATCH(ROWS($AC$3:AC1743),$AC$3:$AC$10000,0)),"")</f>
        <v/>
      </c>
      <c r="AE1743" s="117" t="str">
        <f>+'Packing Material - Cost'!A1744</f>
        <v/>
      </c>
    </row>
    <row r="1744" spans="27:31">
      <c r="AA1744" s="117">
        <f>+'Ingredient List - Mother Tinctu'!D1745</f>
        <v>0</v>
      </c>
      <c r="AB1744" s="117">
        <f t="shared" si="30"/>
        <v>0</v>
      </c>
      <c r="AC1744" s="117" t="str">
        <f>IF(AB1744=1,COUNTIF($AB$3:AB1744,1),"")</f>
        <v/>
      </c>
      <c r="AD1744" s="117" t="str">
        <f>IFERROR(INDEX($AA$3:$AA$10000,MATCH(ROWS($AC$3:AC1744),$AC$3:$AC$10000,0)),"")</f>
        <v/>
      </c>
      <c r="AE1744" s="117" t="str">
        <f>+'Packing Material - Cost'!A1745</f>
        <v/>
      </c>
    </row>
    <row r="1745" spans="27:31">
      <c r="AA1745" s="117">
        <f>+'Ingredient List - Mother Tinctu'!D1746</f>
        <v>0</v>
      </c>
      <c r="AB1745" s="117">
        <f t="shared" si="30"/>
        <v>0</v>
      </c>
      <c r="AC1745" s="117" t="str">
        <f>IF(AB1745=1,COUNTIF($AB$3:AB1745,1),"")</f>
        <v/>
      </c>
      <c r="AD1745" s="117" t="str">
        <f>IFERROR(INDEX($AA$3:$AA$10000,MATCH(ROWS($AC$3:AC1745),$AC$3:$AC$10000,0)),"")</f>
        <v/>
      </c>
      <c r="AE1745" s="117" t="str">
        <f>+'Packing Material - Cost'!A1746</f>
        <v/>
      </c>
    </row>
    <row r="1746" spans="27:31">
      <c r="AA1746" s="117">
        <f>+'Ingredient List - Mother Tinctu'!D1747</f>
        <v>0</v>
      </c>
      <c r="AB1746" s="117">
        <f t="shared" si="30"/>
        <v>0</v>
      </c>
      <c r="AC1746" s="117" t="str">
        <f>IF(AB1746=1,COUNTIF($AB$3:AB1746,1),"")</f>
        <v/>
      </c>
      <c r="AD1746" s="117" t="str">
        <f>IFERROR(INDEX($AA$3:$AA$10000,MATCH(ROWS($AC$3:AC1746),$AC$3:$AC$10000,0)),"")</f>
        <v/>
      </c>
      <c r="AE1746" s="117" t="str">
        <f>+'Packing Material - Cost'!A1747</f>
        <v/>
      </c>
    </row>
    <row r="1747" spans="27:31">
      <c r="AA1747" s="117">
        <f>+'Ingredient List - Mother Tinctu'!D1748</f>
        <v>0</v>
      </c>
      <c r="AB1747" s="117">
        <f t="shared" si="30"/>
        <v>0</v>
      </c>
      <c r="AC1747" s="117" t="str">
        <f>IF(AB1747=1,COUNTIF($AB$3:AB1747,1),"")</f>
        <v/>
      </c>
      <c r="AD1747" s="117" t="str">
        <f>IFERROR(INDEX($AA$3:$AA$10000,MATCH(ROWS($AC$3:AC1747),$AC$3:$AC$10000,0)),"")</f>
        <v/>
      </c>
      <c r="AE1747" s="117" t="str">
        <f>+'Packing Material - Cost'!A1748</f>
        <v/>
      </c>
    </row>
    <row r="1748" spans="27:31">
      <c r="AA1748" s="117">
        <f>+'Ingredient List - Mother Tinctu'!D1749</f>
        <v>0</v>
      </c>
      <c r="AB1748" s="117">
        <f t="shared" si="30"/>
        <v>0</v>
      </c>
      <c r="AC1748" s="117" t="str">
        <f>IF(AB1748=1,COUNTIF($AB$3:AB1748,1),"")</f>
        <v/>
      </c>
      <c r="AD1748" s="117" t="str">
        <f>IFERROR(INDEX($AA$3:$AA$10000,MATCH(ROWS($AC$3:AC1748),$AC$3:$AC$10000,0)),"")</f>
        <v/>
      </c>
      <c r="AE1748" s="117" t="str">
        <f>+'Packing Material - Cost'!A1749</f>
        <v/>
      </c>
    </row>
    <row r="1749" spans="27:31">
      <c r="AA1749" s="117">
        <f>+'Ingredient List - Mother Tinctu'!D1750</f>
        <v>0</v>
      </c>
      <c r="AB1749" s="117">
        <f t="shared" si="30"/>
        <v>0</v>
      </c>
      <c r="AC1749" s="117" t="str">
        <f>IF(AB1749=1,COUNTIF($AB$3:AB1749,1),"")</f>
        <v/>
      </c>
      <c r="AD1749" s="117" t="str">
        <f>IFERROR(INDEX($AA$3:$AA$10000,MATCH(ROWS($AC$3:AC1749),$AC$3:$AC$10000,0)),"")</f>
        <v/>
      </c>
      <c r="AE1749" s="117" t="str">
        <f>+'Packing Material - Cost'!A1750</f>
        <v/>
      </c>
    </row>
    <row r="1750" spans="27:31">
      <c r="AA1750" s="117">
        <f>+'Ingredient List - Mother Tinctu'!D1751</f>
        <v>0</v>
      </c>
      <c r="AB1750" s="117">
        <f t="shared" si="30"/>
        <v>0</v>
      </c>
      <c r="AC1750" s="117" t="str">
        <f>IF(AB1750=1,COUNTIF($AB$3:AB1750,1),"")</f>
        <v/>
      </c>
      <c r="AD1750" s="117" t="str">
        <f>IFERROR(INDEX($AA$3:$AA$10000,MATCH(ROWS($AC$3:AC1750),$AC$3:$AC$10000,0)),"")</f>
        <v/>
      </c>
      <c r="AE1750" s="117" t="str">
        <f>+'Packing Material - Cost'!A1751</f>
        <v/>
      </c>
    </row>
    <row r="1751" spans="27:31">
      <c r="AA1751" s="117">
        <f>+'Ingredient List - Mother Tinctu'!D1752</f>
        <v>0</v>
      </c>
      <c r="AB1751" s="117">
        <f t="shared" si="30"/>
        <v>0</v>
      </c>
      <c r="AC1751" s="117" t="str">
        <f>IF(AB1751=1,COUNTIF($AB$3:AB1751,1),"")</f>
        <v/>
      </c>
      <c r="AD1751" s="117" t="str">
        <f>IFERROR(INDEX($AA$3:$AA$10000,MATCH(ROWS($AC$3:AC1751),$AC$3:$AC$10000,0)),"")</f>
        <v/>
      </c>
      <c r="AE1751" s="117" t="str">
        <f>+'Packing Material - Cost'!A1752</f>
        <v/>
      </c>
    </row>
    <row r="1752" spans="27:31">
      <c r="AA1752" s="117">
        <f>+'Ingredient List - Mother Tinctu'!D1753</f>
        <v>0</v>
      </c>
      <c r="AB1752" s="117">
        <f t="shared" si="30"/>
        <v>0</v>
      </c>
      <c r="AC1752" s="117" t="str">
        <f>IF(AB1752=1,COUNTIF($AB$3:AB1752,1),"")</f>
        <v/>
      </c>
      <c r="AD1752" s="117" t="str">
        <f>IFERROR(INDEX($AA$3:$AA$10000,MATCH(ROWS($AC$3:AC1752),$AC$3:$AC$10000,0)),"")</f>
        <v/>
      </c>
      <c r="AE1752" s="117" t="str">
        <f>+'Packing Material - Cost'!A1753</f>
        <v/>
      </c>
    </row>
    <row r="1753" spans="27:31">
      <c r="AA1753" s="117">
        <f>+'Ingredient List - Mother Tinctu'!D1754</f>
        <v>0</v>
      </c>
      <c r="AB1753" s="117">
        <f t="shared" si="30"/>
        <v>0</v>
      </c>
      <c r="AC1753" s="117" t="str">
        <f>IF(AB1753=1,COUNTIF($AB$3:AB1753,1),"")</f>
        <v/>
      </c>
      <c r="AD1753" s="117" t="str">
        <f>IFERROR(INDEX($AA$3:$AA$10000,MATCH(ROWS($AC$3:AC1753),$AC$3:$AC$10000,0)),"")</f>
        <v/>
      </c>
      <c r="AE1753" s="117" t="str">
        <f>+'Packing Material - Cost'!A1754</f>
        <v/>
      </c>
    </row>
    <row r="1754" spans="27:31">
      <c r="AA1754" s="117">
        <f>+'Ingredient List - Mother Tinctu'!D1755</f>
        <v>0</v>
      </c>
      <c r="AB1754" s="117">
        <f t="shared" si="30"/>
        <v>0</v>
      </c>
      <c r="AC1754" s="117" t="str">
        <f>IF(AB1754=1,COUNTIF($AB$3:AB1754,1),"")</f>
        <v/>
      </c>
      <c r="AD1754" s="117" t="str">
        <f>IFERROR(INDEX($AA$3:$AA$10000,MATCH(ROWS($AC$3:AC1754),$AC$3:$AC$10000,0)),"")</f>
        <v/>
      </c>
      <c r="AE1754" s="117" t="str">
        <f>+'Packing Material - Cost'!A1755</f>
        <v/>
      </c>
    </row>
    <row r="1755" spans="27:31">
      <c r="AA1755" s="117">
        <f>+'Ingredient List - Mother Tinctu'!D1756</f>
        <v>0</v>
      </c>
      <c r="AB1755" s="117">
        <f t="shared" si="30"/>
        <v>0</v>
      </c>
      <c r="AC1755" s="117" t="str">
        <f>IF(AB1755=1,COUNTIF($AB$3:AB1755,1),"")</f>
        <v/>
      </c>
      <c r="AD1755" s="117" t="str">
        <f>IFERROR(INDEX($AA$3:$AA$10000,MATCH(ROWS($AC$3:AC1755),$AC$3:$AC$10000,0)),"")</f>
        <v/>
      </c>
      <c r="AE1755" s="117" t="str">
        <f>+'Packing Material - Cost'!A1756</f>
        <v/>
      </c>
    </row>
    <row r="1756" spans="27:31">
      <c r="AA1756" s="117">
        <f>+'Ingredient List - Mother Tinctu'!D1757</f>
        <v>0</v>
      </c>
      <c r="AB1756" s="117">
        <f t="shared" si="30"/>
        <v>0</v>
      </c>
      <c r="AC1756" s="117" t="str">
        <f>IF(AB1756=1,COUNTIF($AB$3:AB1756,1),"")</f>
        <v/>
      </c>
      <c r="AD1756" s="117" t="str">
        <f>IFERROR(INDEX($AA$3:$AA$10000,MATCH(ROWS($AC$3:AC1756),$AC$3:$AC$10000,0)),"")</f>
        <v/>
      </c>
      <c r="AE1756" s="117" t="str">
        <f>+'Packing Material - Cost'!A1757</f>
        <v/>
      </c>
    </row>
    <row r="1757" spans="27:31">
      <c r="AA1757" s="117">
        <f>+'Ingredient List - Mother Tinctu'!D1758</f>
        <v>0</v>
      </c>
      <c r="AB1757" s="117">
        <f t="shared" si="30"/>
        <v>0</v>
      </c>
      <c r="AC1757" s="117" t="str">
        <f>IF(AB1757=1,COUNTIF($AB$3:AB1757,1),"")</f>
        <v/>
      </c>
      <c r="AD1757" s="117" t="str">
        <f>IFERROR(INDEX($AA$3:$AA$10000,MATCH(ROWS($AC$3:AC1757),$AC$3:$AC$10000,0)),"")</f>
        <v/>
      </c>
      <c r="AE1757" s="117" t="str">
        <f>+'Packing Material - Cost'!A1758</f>
        <v/>
      </c>
    </row>
    <row r="1758" spans="27:31">
      <c r="AA1758" s="117">
        <f>+'Ingredient List - Mother Tinctu'!D1759</f>
        <v>0</v>
      </c>
      <c r="AB1758" s="117">
        <f t="shared" si="30"/>
        <v>0</v>
      </c>
      <c r="AC1758" s="117" t="str">
        <f>IF(AB1758=1,COUNTIF($AB$3:AB1758,1),"")</f>
        <v/>
      </c>
      <c r="AD1758" s="117" t="str">
        <f>IFERROR(INDEX($AA$3:$AA$10000,MATCH(ROWS($AC$3:AC1758),$AC$3:$AC$10000,0)),"")</f>
        <v/>
      </c>
      <c r="AE1758" s="117" t="str">
        <f>+'Packing Material - Cost'!A1759</f>
        <v/>
      </c>
    </row>
    <row r="1759" spans="27:31">
      <c r="AA1759" s="117">
        <f>+'Ingredient List - Mother Tinctu'!D1760</f>
        <v>0</v>
      </c>
      <c r="AB1759" s="117">
        <f t="shared" si="30"/>
        <v>0</v>
      </c>
      <c r="AC1759" s="117" t="str">
        <f>IF(AB1759=1,COUNTIF($AB$3:AB1759,1),"")</f>
        <v/>
      </c>
      <c r="AD1759" s="117" t="str">
        <f>IFERROR(INDEX($AA$3:$AA$10000,MATCH(ROWS($AC$3:AC1759),$AC$3:$AC$10000,0)),"")</f>
        <v/>
      </c>
      <c r="AE1759" s="117" t="str">
        <f>+'Packing Material - Cost'!A1760</f>
        <v/>
      </c>
    </row>
    <row r="1760" spans="27:31">
      <c r="AA1760" s="117">
        <f>+'Ingredient List - Mother Tinctu'!D1761</f>
        <v>0</v>
      </c>
      <c r="AB1760" s="117">
        <f t="shared" si="30"/>
        <v>0</v>
      </c>
      <c r="AC1760" s="117" t="str">
        <f>IF(AB1760=1,COUNTIF($AB$3:AB1760,1),"")</f>
        <v/>
      </c>
      <c r="AD1760" s="117" t="str">
        <f>IFERROR(INDEX($AA$3:$AA$10000,MATCH(ROWS($AC$3:AC1760),$AC$3:$AC$10000,0)),"")</f>
        <v/>
      </c>
      <c r="AE1760" s="117" t="str">
        <f>+'Packing Material - Cost'!A1761</f>
        <v/>
      </c>
    </row>
    <row r="1761" spans="27:31">
      <c r="AA1761" s="117">
        <f>+'Ingredient List - Mother Tinctu'!D1762</f>
        <v>0</v>
      </c>
      <c r="AB1761" s="117">
        <f t="shared" si="30"/>
        <v>0</v>
      </c>
      <c r="AC1761" s="117" t="str">
        <f>IF(AB1761=1,COUNTIF($AB$3:AB1761,1),"")</f>
        <v/>
      </c>
      <c r="AD1761" s="117" t="str">
        <f>IFERROR(INDEX($AA$3:$AA$10000,MATCH(ROWS($AC$3:AC1761),$AC$3:$AC$10000,0)),"")</f>
        <v/>
      </c>
      <c r="AE1761" s="117" t="str">
        <f>+'Packing Material - Cost'!A1762</f>
        <v/>
      </c>
    </row>
    <row r="1762" spans="27:31">
      <c r="AA1762" s="117">
        <f>+'Ingredient List - Mother Tinctu'!D1763</f>
        <v>0</v>
      </c>
      <c r="AB1762" s="117">
        <f t="shared" si="30"/>
        <v>0</v>
      </c>
      <c r="AC1762" s="117" t="str">
        <f>IF(AB1762=1,COUNTIF($AB$3:AB1762,1),"")</f>
        <v/>
      </c>
      <c r="AD1762" s="117" t="str">
        <f>IFERROR(INDEX($AA$3:$AA$10000,MATCH(ROWS($AC$3:AC1762),$AC$3:$AC$10000,0)),"")</f>
        <v/>
      </c>
      <c r="AE1762" s="117" t="str">
        <f>+'Packing Material - Cost'!A1763</f>
        <v/>
      </c>
    </row>
    <row r="1763" spans="27:31">
      <c r="AA1763" s="117">
        <f>+'Ingredient List - Mother Tinctu'!D1764</f>
        <v>0</v>
      </c>
      <c r="AB1763" s="117">
        <f t="shared" si="30"/>
        <v>0</v>
      </c>
      <c r="AC1763" s="117" t="str">
        <f>IF(AB1763=1,COUNTIF($AB$3:AB1763,1),"")</f>
        <v/>
      </c>
      <c r="AD1763" s="117" t="str">
        <f>IFERROR(INDEX($AA$3:$AA$10000,MATCH(ROWS($AC$3:AC1763),$AC$3:$AC$10000,0)),"")</f>
        <v/>
      </c>
      <c r="AE1763" s="117" t="str">
        <f>+'Packing Material - Cost'!A1764</f>
        <v/>
      </c>
    </row>
    <row r="1764" spans="27:31">
      <c r="AA1764" s="117">
        <f>+'Ingredient List - Mother Tinctu'!D1765</f>
        <v>0</v>
      </c>
      <c r="AB1764" s="117">
        <f t="shared" si="30"/>
        <v>0</v>
      </c>
      <c r="AC1764" s="117" t="str">
        <f>IF(AB1764=1,COUNTIF($AB$3:AB1764,1),"")</f>
        <v/>
      </c>
      <c r="AD1764" s="117" t="str">
        <f>IFERROR(INDEX($AA$3:$AA$10000,MATCH(ROWS($AC$3:AC1764),$AC$3:$AC$10000,0)),"")</f>
        <v/>
      </c>
      <c r="AE1764" s="117" t="str">
        <f>+'Packing Material - Cost'!A1765</f>
        <v/>
      </c>
    </row>
    <row r="1765" spans="27:31">
      <c r="AA1765" s="117">
        <f>+'Ingredient List - Mother Tinctu'!D1766</f>
        <v>0</v>
      </c>
      <c r="AB1765" s="117">
        <f t="shared" si="30"/>
        <v>0</v>
      </c>
      <c r="AC1765" s="117" t="str">
        <f>IF(AB1765=1,COUNTIF($AB$3:AB1765,1),"")</f>
        <v/>
      </c>
      <c r="AD1765" s="117" t="str">
        <f>IFERROR(INDEX($AA$3:$AA$10000,MATCH(ROWS($AC$3:AC1765),$AC$3:$AC$10000,0)),"")</f>
        <v/>
      </c>
      <c r="AE1765" s="117" t="str">
        <f>+'Packing Material - Cost'!A1766</f>
        <v/>
      </c>
    </row>
    <row r="1766" spans="27:31">
      <c r="AA1766" s="117">
        <f>+'Ingredient List - Mother Tinctu'!D1767</f>
        <v>0</v>
      </c>
      <c r="AB1766" s="117">
        <f t="shared" si="30"/>
        <v>0</v>
      </c>
      <c r="AC1766" s="117" t="str">
        <f>IF(AB1766=1,COUNTIF($AB$3:AB1766,1),"")</f>
        <v/>
      </c>
      <c r="AD1766" s="117" t="str">
        <f>IFERROR(INDEX($AA$3:$AA$10000,MATCH(ROWS($AC$3:AC1766),$AC$3:$AC$10000,0)),"")</f>
        <v/>
      </c>
      <c r="AE1766" s="117" t="str">
        <f>+'Packing Material - Cost'!A1767</f>
        <v/>
      </c>
    </row>
    <row r="1767" spans="27:31">
      <c r="AA1767" s="117">
        <f>+'Ingredient List - Mother Tinctu'!D1768</f>
        <v>0</v>
      </c>
      <c r="AB1767" s="117">
        <f t="shared" si="30"/>
        <v>0</v>
      </c>
      <c r="AC1767" s="117" t="str">
        <f>IF(AB1767=1,COUNTIF($AB$3:AB1767,1),"")</f>
        <v/>
      </c>
      <c r="AD1767" s="117" t="str">
        <f>IFERROR(INDEX($AA$3:$AA$10000,MATCH(ROWS($AC$3:AC1767),$AC$3:$AC$10000,0)),"")</f>
        <v/>
      </c>
      <c r="AE1767" s="117" t="str">
        <f>+'Packing Material - Cost'!A1768</f>
        <v/>
      </c>
    </row>
    <row r="1768" spans="27:31">
      <c r="AA1768" s="117">
        <f>+'Ingredient List - Mother Tinctu'!D1769</f>
        <v>0</v>
      </c>
      <c r="AB1768" s="117">
        <f t="shared" si="30"/>
        <v>0</v>
      </c>
      <c r="AC1768" s="117" t="str">
        <f>IF(AB1768=1,COUNTIF($AB$3:AB1768,1),"")</f>
        <v/>
      </c>
      <c r="AD1768" s="117" t="str">
        <f>IFERROR(INDEX($AA$3:$AA$10000,MATCH(ROWS($AC$3:AC1768),$AC$3:$AC$10000,0)),"")</f>
        <v/>
      </c>
      <c r="AE1768" s="117" t="str">
        <f>+'Packing Material - Cost'!A1769</f>
        <v/>
      </c>
    </row>
    <row r="1769" spans="27:31">
      <c r="AA1769" s="117">
        <f>+'Ingredient List - Mother Tinctu'!D1770</f>
        <v>0</v>
      </c>
      <c r="AB1769" s="117">
        <f t="shared" si="30"/>
        <v>0</v>
      </c>
      <c r="AC1769" s="117" t="str">
        <f>IF(AB1769=1,COUNTIF($AB$3:AB1769,1),"")</f>
        <v/>
      </c>
      <c r="AD1769" s="117" t="str">
        <f>IFERROR(INDEX($AA$3:$AA$10000,MATCH(ROWS($AC$3:AC1769),$AC$3:$AC$10000,0)),"")</f>
        <v/>
      </c>
      <c r="AE1769" s="117" t="str">
        <f>+'Packing Material - Cost'!A1770</f>
        <v/>
      </c>
    </row>
    <row r="1770" spans="27:31">
      <c r="AA1770" s="117">
        <f>+'Ingredient List - Mother Tinctu'!D1771</f>
        <v>0</v>
      </c>
      <c r="AB1770" s="117">
        <f t="shared" si="30"/>
        <v>0</v>
      </c>
      <c r="AC1770" s="117" t="str">
        <f>IF(AB1770=1,COUNTIF($AB$3:AB1770,1),"")</f>
        <v/>
      </c>
      <c r="AD1770" s="117" t="str">
        <f>IFERROR(INDEX($AA$3:$AA$10000,MATCH(ROWS($AC$3:AC1770),$AC$3:$AC$10000,0)),"")</f>
        <v/>
      </c>
      <c r="AE1770" s="117" t="str">
        <f>+'Packing Material - Cost'!A1771</f>
        <v/>
      </c>
    </row>
    <row r="1771" spans="27:31">
      <c r="AA1771" s="117">
        <f>+'Ingredient List - Mother Tinctu'!D1772</f>
        <v>0</v>
      </c>
      <c r="AB1771" s="117">
        <f t="shared" si="30"/>
        <v>0</v>
      </c>
      <c r="AC1771" s="117" t="str">
        <f>IF(AB1771=1,COUNTIF($AB$3:AB1771,1),"")</f>
        <v/>
      </c>
      <c r="AD1771" s="117" t="str">
        <f>IFERROR(INDEX($AA$3:$AA$10000,MATCH(ROWS($AC$3:AC1771),$AC$3:$AC$10000,0)),"")</f>
        <v/>
      </c>
      <c r="AE1771" s="117" t="str">
        <f>+'Packing Material - Cost'!A1772</f>
        <v/>
      </c>
    </row>
    <row r="1772" spans="27:31">
      <c r="AA1772" s="117">
        <f>+'Ingredient List - Mother Tinctu'!D1773</f>
        <v>0</v>
      </c>
      <c r="AB1772" s="117">
        <f t="shared" si="30"/>
        <v>0</v>
      </c>
      <c r="AC1772" s="117" t="str">
        <f>IF(AB1772=1,COUNTIF($AB$3:AB1772,1),"")</f>
        <v/>
      </c>
      <c r="AD1772" s="117" t="str">
        <f>IFERROR(INDEX($AA$3:$AA$10000,MATCH(ROWS($AC$3:AC1772),$AC$3:$AC$10000,0)),"")</f>
        <v/>
      </c>
      <c r="AE1772" s="117" t="str">
        <f>+'Packing Material - Cost'!A1773</f>
        <v/>
      </c>
    </row>
    <row r="1773" spans="27:31">
      <c r="AA1773" s="117">
        <f>+'Ingredient List - Mother Tinctu'!D1774</f>
        <v>0</v>
      </c>
      <c r="AB1773" s="117">
        <f t="shared" si="30"/>
        <v>0</v>
      </c>
      <c r="AC1773" s="117" t="str">
        <f>IF(AB1773=1,COUNTIF($AB$3:AB1773,1),"")</f>
        <v/>
      </c>
      <c r="AD1773" s="117" t="str">
        <f>IFERROR(INDEX($AA$3:$AA$10000,MATCH(ROWS($AC$3:AC1773),$AC$3:$AC$10000,0)),"")</f>
        <v/>
      </c>
      <c r="AE1773" s="117" t="str">
        <f>+'Packing Material - Cost'!A1774</f>
        <v/>
      </c>
    </row>
    <row r="1774" spans="27:31">
      <c r="AA1774" s="117">
        <f>+'Ingredient List - Mother Tinctu'!D1775</f>
        <v>0</v>
      </c>
      <c r="AB1774" s="117">
        <f t="shared" si="30"/>
        <v>0</v>
      </c>
      <c r="AC1774" s="117" t="str">
        <f>IF(AB1774=1,COUNTIF($AB$3:AB1774,1),"")</f>
        <v/>
      </c>
      <c r="AD1774" s="117" t="str">
        <f>IFERROR(INDEX($AA$3:$AA$10000,MATCH(ROWS($AC$3:AC1774),$AC$3:$AC$10000,0)),"")</f>
        <v/>
      </c>
      <c r="AE1774" s="117" t="str">
        <f>+'Packing Material - Cost'!A1775</f>
        <v/>
      </c>
    </row>
    <row r="1775" spans="27:31">
      <c r="AA1775" s="117">
        <f>+'Ingredient List - Mother Tinctu'!D1776</f>
        <v>0</v>
      </c>
      <c r="AB1775" s="117">
        <f t="shared" si="30"/>
        <v>0</v>
      </c>
      <c r="AC1775" s="117" t="str">
        <f>IF(AB1775=1,COUNTIF($AB$3:AB1775,1),"")</f>
        <v/>
      </c>
      <c r="AD1775" s="117" t="str">
        <f>IFERROR(INDEX($AA$3:$AA$10000,MATCH(ROWS($AC$3:AC1775),$AC$3:$AC$10000,0)),"")</f>
        <v/>
      </c>
      <c r="AE1775" s="117" t="str">
        <f>+'Packing Material - Cost'!A1776</f>
        <v/>
      </c>
    </row>
    <row r="1776" spans="27:31">
      <c r="AA1776" s="117">
        <f>+'Ingredient List - Mother Tinctu'!D1777</f>
        <v>0</v>
      </c>
      <c r="AB1776" s="117">
        <f t="shared" si="30"/>
        <v>0</v>
      </c>
      <c r="AC1776" s="117" t="str">
        <f>IF(AB1776=1,COUNTIF($AB$3:AB1776,1),"")</f>
        <v/>
      </c>
      <c r="AD1776" s="117" t="str">
        <f>IFERROR(INDEX($AA$3:$AA$10000,MATCH(ROWS($AC$3:AC1776),$AC$3:$AC$10000,0)),"")</f>
        <v/>
      </c>
      <c r="AE1776" s="117" t="str">
        <f>+'Packing Material - Cost'!A1777</f>
        <v/>
      </c>
    </row>
    <row r="1777" spans="27:31">
      <c r="AA1777" s="117">
        <f>+'Ingredient List - Mother Tinctu'!D1778</f>
        <v>0</v>
      </c>
      <c r="AB1777" s="117">
        <f t="shared" si="30"/>
        <v>0</v>
      </c>
      <c r="AC1777" s="117" t="str">
        <f>IF(AB1777=1,COUNTIF($AB$3:AB1777,1),"")</f>
        <v/>
      </c>
      <c r="AD1777" s="117" t="str">
        <f>IFERROR(INDEX($AA$3:$AA$10000,MATCH(ROWS($AC$3:AC1777),$AC$3:$AC$10000,0)),"")</f>
        <v/>
      </c>
      <c r="AE1777" s="117" t="str">
        <f>+'Packing Material - Cost'!A1778</f>
        <v/>
      </c>
    </row>
    <row r="1778" spans="27:31">
      <c r="AA1778" s="117">
        <f>+'Ingredient List - Mother Tinctu'!D1779</f>
        <v>0</v>
      </c>
      <c r="AB1778" s="117">
        <f t="shared" si="30"/>
        <v>0</v>
      </c>
      <c r="AC1778" s="117" t="str">
        <f>IF(AB1778=1,COUNTIF($AB$3:AB1778,1),"")</f>
        <v/>
      </c>
      <c r="AD1778" s="117" t="str">
        <f>IFERROR(INDEX($AA$3:$AA$10000,MATCH(ROWS($AC$3:AC1778),$AC$3:$AC$10000,0)),"")</f>
        <v/>
      </c>
      <c r="AE1778" s="117" t="str">
        <f>+'Packing Material - Cost'!A1779</f>
        <v/>
      </c>
    </row>
    <row r="1779" spans="27:31">
      <c r="AA1779" s="117">
        <f>+'Ingredient List - Mother Tinctu'!D1780</f>
        <v>0</v>
      </c>
      <c r="AB1779" s="117">
        <f t="shared" si="30"/>
        <v>0</v>
      </c>
      <c r="AC1779" s="117" t="str">
        <f>IF(AB1779=1,COUNTIF($AB$3:AB1779,1),"")</f>
        <v/>
      </c>
      <c r="AD1779" s="117" t="str">
        <f>IFERROR(INDEX($AA$3:$AA$10000,MATCH(ROWS($AC$3:AC1779),$AC$3:$AC$10000,0)),"")</f>
        <v/>
      </c>
      <c r="AE1779" s="117" t="str">
        <f>+'Packing Material - Cost'!A1780</f>
        <v/>
      </c>
    </row>
    <row r="1780" spans="27:31">
      <c r="AA1780" s="117">
        <f>+'Ingredient List - Mother Tinctu'!D1781</f>
        <v>0</v>
      </c>
      <c r="AB1780" s="117">
        <f t="shared" si="30"/>
        <v>0</v>
      </c>
      <c r="AC1780" s="117" t="str">
        <f>IF(AB1780=1,COUNTIF($AB$3:AB1780,1),"")</f>
        <v/>
      </c>
      <c r="AD1780" s="117" t="str">
        <f>IFERROR(INDEX($AA$3:$AA$10000,MATCH(ROWS($AC$3:AC1780),$AC$3:$AC$10000,0)),"")</f>
        <v/>
      </c>
      <c r="AE1780" s="117" t="str">
        <f>+'Packing Material - Cost'!A1781</f>
        <v/>
      </c>
    </row>
    <row r="1781" spans="27:31">
      <c r="AA1781" s="117">
        <f>+'Ingredient List - Mother Tinctu'!D1782</f>
        <v>0</v>
      </c>
      <c r="AB1781" s="117">
        <f t="shared" si="30"/>
        <v>0</v>
      </c>
      <c r="AC1781" s="117" t="str">
        <f>IF(AB1781=1,COUNTIF($AB$3:AB1781,1),"")</f>
        <v/>
      </c>
      <c r="AD1781" s="117" t="str">
        <f>IFERROR(INDEX($AA$3:$AA$10000,MATCH(ROWS($AC$3:AC1781),$AC$3:$AC$10000,0)),"")</f>
        <v/>
      </c>
      <c r="AE1781" s="117" t="str">
        <f>+'Packing Material - Cost'!A1782</f>
        <v/>
      </c>
    </row>
    <row r="1782" spans="27:31">
      <c r="AA1782" s="117">
        <f>+'Ingredient List - Mother Tinctu'!D1783</f>
        <v>0</v>
      </c>
      <c r="AB1782" s="117">
        <f t="shared" si="30"/>
        <v>0</v>
      </c>
      <c r="AC1782" s="117" t="str">
        <f>IF(AB1782=1,COUNTIF($AB$3:AB1782,1),"")</f>
        <v/>
      </c>
      <c r="AD1782" s="117" t="str">
        <f>IFERROR(INDEX($AA$3:$AA$10000,MATCH(ROWS($AC$3:AC1782),$AC$3:$AC$10000,0)),"")</f>
        <v/>
      </c>
      <c r="AE1782" s="117" t="str">
        <f>+'Packing Material - Cost'!A1783</f>
        <v/>
      </c>
    </row>
    <row r="1783" spans="27:31">
      <c r="AA1783" s="117">
        <f>+'Ingredient List - Mother Tinctu'!D1784</f>
        <v>0</v>
      </c>
      <c r="AB1783" s="117">
        <f t="shared" si="30"/>
        <v>0</v>
      </c>
      <c r="AC1783" s="117" t="str">
        <f>IF(AB1783=1,COUNTIF($AB$3:AB1783,1),"")</f>
        <v/>
      </c>
      <c r="AD1783" s="117" t="str">
        <f>IFERROR(INDEX($AA$3:$AA$10000,MATCH(ROWS($AC$3:AC1783),$AC$3:$AC$10000,0)),"")</f>
        <v/>
      </c>
      <c r="AE1783" s="117" t="str">
        <f>+'Packing Material - Cost'!A1784</f>
        <v/>
      </c>
    </row>
    <row r="1784" spans="27:31">
      <c r="AA1784" s="117">
        <f>+'Ingredient List - Mother Tinctu'!D1785</f>
        <v>0</v>
      </c>
      <c r="AB1784" s="117">
        <f t="shared" si="30"/>
        <v>0</v>
      </c>
      <c r="AC1784" s="117" t="str">
        <f>IF(AB1784=1,COUNTIF($AB$3:AB1784,1),"")</f>
        <v/>
      </c>
      <c r="AD1784" s="117" t="str">
        <f>IFERROR(INDEX($AA$3:$AA$10000,MATCH(ROWS($AC$3:AC1784),$AC$3:$AC$10000,0)),"")</f>
        <v/>
      </c>
      <c r="AE1784" s="117" t="str">
        <f>+'Packing Material - Cost'!A1785</f>
        <v/>
      </c>
    </row>
    <row r="1785" spans="27:31">
      <c r="AA1785" s="117">
        <f>+'Ingredient List - Mother Tinctu'!D1786</f>
        <v>0</v>
      </c>
      <c r="AB1785" s="117">
        <f t="shared" si="30"/>
        <v>0</v>
      </c>
      <c r="AC1785" s="117" t="str">
        <f>IF(AB1785=1,COUNTIF($AB$3:AB1785,1),"")</f>
        <v/>
      </c>
      <c r="AD1785" s="117" t="str">
        <f>IFERROR(INDEX($AA$3:$AA$10000,MATCH(ROWS($AC$3:AC1785),$AC$3:$AC$10000,0)),"")</f>
        <v/>
      </c>
      <c r="AE1785" s="117" t="str">
        <f>+'Packing Material - Cost'!A1786</f>
        <v/>
      </c>
    </row>
    <row r="1786" spans="27:31">
      <c r="AA1786" s="117">
        <f>+'Ingredient List - Mother Tinctu'!D1787</f>
        <v>0</v>
      </c>
      <c r="AB1786" s="117">
        <f t="shared" si="30"/>
        <v>0</v>
      </c>
      <c r="AC1786" s="117" t="str">
        <f>IF(AB1786=1,COUNTIF($AB$3:AB1786,1),"")</f>
        <v/>
      </c>
      <c r="AD1786" s="117" t="str">
        <f>IFERROR(INDEX($AA$3:$AA$10000,MATCH(ROWS($AC$3:AC1786),$AC$3:$AC$10000,0)),"")</f>
        <v/>
      </c>
      <c r="AE1786" s="117" t="str">
        <f>+'Packing Material - Cost'!A1787</f>
        <v/>
      </c>
    </row>
    <row r="1787" spans="27:31">
      <c r="AA1787" s="117">
        <f>+'Ingredient List - Mother Tinctu'!D1788</f>
        <v>0</v>
      </c>
      <c r="AB1787" s="117">
        <f t="shared" si="30"/>
        <v>0</v>
      </c>
      <c r="AC1787" s="117" t="str">
        <f>IF(AB1787=1,COUNTIF($AB$3:AB1787,1),"")</f>
        <v/>
      </c>
      <c r="AD1787" s="117" t="str">
        <f>IFERROR(INDEX($AA$3:$AA$10000,MATCH(ROWS($AC$3:AC1787),$AC$3:$AC$10000,0)),"")</f>
        <v/>
      </c>
      <c r="AE1787" s="117" t="str">
        <f>+'Packing Material - Cost'!A1788</f>
        <v/>
      </c>
    </row>
    <row r="1788" spans="27:31">
      <c r="AA1788" s="117">
        <f>+'Ingredient List - Mother Tinctu'!D1789</f>
        <v>0</v>
      </c>
      <c r="AB1788" s="117">
        <f t="shared" si="30"/>
        <v>0</v>
      </c>
      <c r="AC1788" s="117" t="str">
        <f>IF(AB1788=1,COUNTIF($AB$3:AB1788,1),"")</f>
        <v/>
      </c>
      <c r="AD1788" s="117" t="str">
        <f>IFERROR(INDEX($AA$3:$AA$10000,MATCH(ROWS($AC$3:AC1788),$AC$3:$AC$10000,0)),"")</f>
        <v/>
      </c>
      <c r="AE1788" s="117" t="str">
        <f>+'Packing Material - Cost'!A1789</f>
        <v/>
      </c>
    </row>
    <row r="1789" spans="27:31">
      <c r="AA1789" s="117">
        <f>+'Ingredient List - Mother Tinctu'!D1790</f>
        <v>0</v>
      </c>
      <c r="AB1789" s="117">
        <f t="shared" si="30"/>
        <v>0</v>
      </c>
      <c r="AC1789" s="117" t="str">
        <f>IF(AB1789=1,COUNTIF($AB$3:AB1789,1),"")</f>
        <v/>
      </c>
      <c r="AD1789" s="117" t="str">
        <f>IFERROR(INDEX($AA$3:$AA$10000,MATCH(ROWS($AC$3:AC1789),$AC$3:$AC$10000,0)),"")</f>
        <v/>
      </c>
      <c r="AE1789" s="117" t="str">
        <f>+'Packing Material - Cost'!A1790</f>
        <v/>
      </c>
    </row>
    <row r="1790" spans="27:31">
      <c r="AA1790" s="117">
        <f>+'Ingredient List - Mother Tinctu'!D1791</f>
        <v>0</v>
      </c>
      <c r="AB1790" s="117">
        <f t="shared" si="30"/>
        <v>0</v>
      </c>
      <c r="AC1790" s="117" t="str">
        <f>IF(AB1790=1,COUNTIF($AB$3:AB1790,1),"")</f>
        <v/>
      </c>
      <c r="AD1790" s="117" t="str">
        <f>IFERROR(INDEX($AA$3:$AA$10000,MATCH(ROWS($AC$3:AC1790),$AC$3:$AC$10000,0)),"")</f>
        <v/>
      </c>
      <c r="AE1790" s="117" t="str">
        <f>+'Packing Material - Cost'!A1791</f>
        <v/>
      </c>
    </row>
    <row r="1791" spans="27:31">
      <c r="AA1791" s="117">
        <f>+'Ingredient List - Mother Tinctu'!D1792</f>
        <v>0</v>
      </c>
      <c r="AB1791" s="117">
        <f t="shared" si="30"/>
        <v>0</v>
      </c>
      <c r="AC1791" s="117" t="str">
        <f>IF(AB1791=1,COUNTIF($AB$3:AB1791,1),"")</f>
        <v/>
      </c>
      <c r="AD1791" s="117" t="str">
        <f>IFERROR(INDEX($AA$3:$AA$10000,MATCH(ROWS($AC$3:AC1791),$AC$3:$AC$10000,0)),"")</f>
        <v/>
      </c>
      <c r="AE1791" s="117" t="str">
        <f>+'Packing Material - Cost'!A1792</f>
        <v/>
      </c>
    </row>
    <row r="1792" spans="27:31">
      <c r="AA1792" s="117">
        <f>+'Ingredient List - Mother Tinctu'!D1793</f>
        <v>0</v>
      </c>
      <c r="AB1792" s="117">
        <f t="shared" si="30"/>
        <v>0</v>
      </c>
      <c r="AC1792" s="117" t="str">
        <f>IF(AB1792=1,COUNTIF($AB$3:AB1792,1),"")</f>
        <v/>
      </c>
      <c r="AD1792" s="117" t="str">
        <f>IFERROR(INDEX($AA$3:$AA$10000,MATCH(ROWS($AC$3:AC1792),$AC$3:$AC$10000,0)),"")</f>
        <v/>
      </c>
      <c r="AE1792" s="117" t="str">
        <f>+'Packing Material - Cost'!A1793</f>
        <v/>
      </c>
    </row>
    <row r="1793" spans="27:31">
      <c r="AA1793" s="117">
        <f>+'Ingredient List - Mother Tinctu'!D1794</f>
        <v>0</v>
      </c>
      <c r="AB1793" s="117">
        <f t="shared" si="30"/>
        <v>0</v>
      </c>
      <c r="AC1793" s="117" t="str">
        <f>IF(AB1793=1,COUNTIF($AB$3:AB1793,1),"")</f>
        <v/>
      </c>
      <c r="AD1793" s="117" t="str">
        <f>IFERROR(INDEX($AA$3:$AA$10000,MATCH(ROWS($AC$3:AC1793),$AC$3:$AC$10000,0)),"")</f>
        <v/>
      </c>
      <c r="AE1793" s="117" t="str">
        <f>+'Packing Material - Cost'!A1794</f>
        <v/>
      </c>
    </row>
    <row r="1794" spans="27:31">
      <c r="AA1794" s="117">
        <f>+'Ingredient List - Mother Tinctu'!D1795</f>
        <v>0</v>
      </c>
      <c r="AB1794" s="117">
        <f t="shared" si="30"/>
        <v>0</v>
      </c>
      <c r="AC1794" s="117" t="str">
        <f>IF(AB1794=1,COUNTIF($AB$3:AB1794,1),"")</f>
        <v/>
      </c>
      <c r="AD1794" s="117" t="str">
        <f>IFERROR(INDEX($AA$3:$AA$10000,MATCH(ROWS($AC$3:AC1794),$AC$3:$AC$10000,0)),"")</f>
        <v/>
      </c>
      <c r="AE1794" s="117" t="str">
        <f>+'Packing Material - Cost'!A1795</f>
        <v/>
      </c>
    </row>
    <row r="1795" spans="27:31">
      <c r="AA1795" s="117">
        <f>+'Ingredient List - Mother Tinctu'!D1796</f>
        <v>0</v>
      </c>
      <c r="AB1795" s="117">
        <f t="shared" si="30"/>
        <v>0</v>
      </c>
      <c r="AC1795" s="117" t="str">
        <f>IF(AB1795=1,COUNTIF($AB$3:AB1795,1),"")</f>
        <v/>
      </c>
      <c r="AD1795" s="117" t="str">
        <f>IFERROR(INDEX($AA$3:$AA$10000,MATCH(ROWS($AC$3:AC1795),$AC$3:$AC$10000,0)),"")</f>
        <v/>
      </c>
      <c r="AE1795" s="117" t="str">
        <f>+'Packing Material - Cost'!A1796</f>
        <v/>
      </c>
    </row>
    <row r="1796" spans="27:31">
      <c r="AA1796" s="117">
        <f>+'Ingredient List - Mother Tinctu'!D1797</f>
        <v>0</v>
      </c>
      <c r="AB1796" s="117">
        <f t="shared" ref="AB1796:AB1859" si="31">--ISNUMBER(IFERROR(SEARCH($D$3,AA1796,1),""))</f>
        <v>0</v>
      </c>
      <c r="AC1796" s="117" t="str">
        <f>IF(AB1796=1,COUNTIF($AB$3:AB1796,1),"")</f>
        <v/>
      </c>
      <c r="AD1796" s="117" t="str">
        <f>IFERROR(INDEX($AA$3:$AA$10000,MATCH(ROWS($AC$3:AC1796),$AC$3:$AC$10000,0)),"")</f>
        <v/>
      </c>
      <c r="AE1796" s="117" t="str">
        <f>+'Packing Material - Cost'!A1797</f>
        <v/>
      </c>
    </row>
    <row r="1797" spans="27:31">
      <c r="AA1797" s="117">
        <f>+'Ingredient List - Mother Tinctu'!D1798</f>
        <v>0</v>
      </c>
      <c r="AB1797" s="117">
        <f t="shared" si="31"/>
        <v>0</v>
      </c>
      <c r="AC1797" s="117" t="str">
        <f>IF(AB1797=1,COUNTIF($AB$3:AB1797,1),"")</f>
        <v/>
      </c>
      <c r="AD1797" s="117" t="str">
        <f>IFERROR(INDEX($AA$3:$AA$10000,MATCH(ROWS($AC$3:AC1797),$AC$3:$AC$10000,0)),"")</f>
        <v/>
      </c>
      <c r="AE1797" s="117" t="str">
        <f>+'Packing Material - Cost'!A1798</f>
        <v/>
      </c>
    </row>
    <row r="1798" spans="27:31">
      <c r="AA1798" s="117">
        <f>+'Ingredient List - Mother Tinctu'!D1799</f>
        <v>0</v>
      </c>
      <c r="AB1798" s="117">
        <f t="shared" si="31"/>
        <v>0</v>
      </c>
      <c r="AC1798" s="117" t="str">
        <f>IF(AB1798=1,COUNTIF($AB$3:AB1798,1),"")</f>
        <v/>
      </c>
      <c r="AD1798" s="117" t="str">
        <f>IFERROR(INDEX($AA$3:$AA$10000,MATCH(ROWS($AC$3:AC1798),$AC$3:$AC$10000,0)),"")</f>
        <v/>
      </c>
      <c r="AE1798" s="117" t="str">
        <f>+'Packing Material - Cost'!A1799</f>
        <v/>
      </c>
    </row>
    <row r="1799" spans="27:31">
      <c r="AA1799" s="117">
        <f>+'Ingredient List - Mother Tinctu'!D1800</f>
        <v>0</v>
      </c>
      <c r="AB1799" s="117">
        <f t="shared" si="31"/>
        <v>0</v>
      </c>
      <c r="AC1799" s="117" t="str">
        <f>IF(AB1799=1,COUNTIF($AB$3:AB1799,1),"")</f>
        <v/>
      </c>
      <c r="AD1799" s="117" t="str">
        <f>IFERROR(INDEX($AA$3:$AA$10000,MATCH(ROWS($AC$3:AC1799),$AC$3:$AC$10000,0)),"")</f>
        <v/>
      </c>
      <c r="AE1799" s="117" t="str">
        <f>+'Packing Material - Cost'!A1800</f>
        <v/>
      </c>
    </row>
    <row r="1800" spans="27:31">
      <c r="AA1800" s="117">
        <f>+'Ingredient List - Mother Tinctu'!D1801</f>
        <v>0</v>
      </c>
      <c r="AB1800" s="117">
        <f t="shared" si="31"/>
        <v>0</v>
      </c>
      <c r="AC1800" s="117" t="str">
        <f>IF(AB1800=1,COUNTIF($AB$3:AB1800,1),"")</f>
        <v/>
      </c>
      <c r="AD1800" s="117" t="str">
        <f>IFERROR(INDEX($AA$3:$AA$10000,MATCH(ROWS($AC$3:AC1800),$AC$3:$AC$10000,0)),"")</f>
        <v/>
      </c>
      <c r="AE1800" s="117" t="str">
        <f>+'Packing Material - Cost'!A1801</f>
        <v/>
      </c>
    </row>
    <row r="1801" spans="27:31">
      <c r="AA1801" s="117">
        <f>+'Ingredient List - Mother Tinctu'!D1802</f>
        <v>0</v>
      </c>
      <c r="AB1801" s="117">
        <f t="shared" si="31"/>
        <v>0</v>
      </c>
      <c r="AC1801" s="117" t="str">
        <f>IF(AB1801=1,COUNTIF($AB$3:AB1801,1),"")</f>
        <v/>
      </c>
      <c r="AD1801" s="117" t="str">
        <f>IFERROR(INDEX($AA$3:$AA$10000,MATCH(ROWS($AC$3:AC1801),$AC$3:$AC$10000,0)),"")</f>
        <v/>
      </c>
      <c r="AE1801" s="117" t="str">
        <f>+'Packing Material - Cost'!A1802</f>
        <v/>
      </c>
    </row>
    <row r="1802" spans="27:31">
      <c r="AA1802" s="117">
        <f>+'Ingredient List - Mother Tinctu'!D1803</f>
        <v>0</v>
      </c>
      <c r="AB1802" s="117">
        <f t="shared" si="31"/>
        <v>0</v>
      </c>
      <c r="AC1802" s="117" t="str">
        <f>IF(AB1802=1,COUNTIF($AB$3:AB1802,1),"")</f>
        <v/>
      </c>
      <c r="AD1802" s="117" t="str">
        <f>IFERROR(INDEX($AA$3:$AA$10000,MATCH(ROWS($AC$3:AC1802),$AC$3:$AC$10000,0)),"")</f>
        <v/>
      </c>
      <c r="AE1802" s="117" t="str">
        <f>+'Packing Material - Cost'!A1803</f>
        <v/>
      </c>
    </row>
    <row r="1803" spans="27:31">
      <c r="AA1803" s="117">
        <f>+'Ingredient List - Mother Tinctu'!D1804</f>
        <v>0</v>
      </c>
      <c r="AB1803" s="117">
        <f t="shared" si="31"/>
        <v>0</v>
      </c>
      <c r="AC1803" s="117" t="str">
        <f>IF(AB1803=1,COUNTIF($AB$3:AB1803,1),"")</f>
        <v/>
      </c>
      <c r="AD1803" s="117" t="str">
        <f>IFERROR(INDEX($AA$3:$AA$10000,MATCH(ROWS($AC$3:AC1803),$AC$3:$AC$10000,0)),"")</f>
        <v/>
      </c>
      <c r="AE1803" s="117" t="str">
        <f>+'Packing Material - Cost'!A1804</f>
        <v/>
      </c>
    </row>
    <row r="1804" spans="27:31">
      <c r="AA1804" s="117">
        <f>+'Ingredient List - Mother Tinctu'!D1805</f>
        <v>0</v>
      </c>
      <c r="AB1804" s="117">
        <f t="shared" si="31"/>
        <v>0</v>
      </c>
      <c r="AC1804" s="117" t="str">
        <f>IF(AB1804=1,COUNTIF($AB$3:AB1804,1),"")</f>
        <v/>
      </c>
      <c r="AD1804" s="117" t="str">
        <f>IFERROR(INDEX($AA$3:$AA$10000,MATCH(ROWS($AC$3:AC1804),$AC$3:$AC$10000,0)),"")</f>
        <v/>
      </c>
      <c r="AE1804" s="117" t="str">
        <f>+'Packing Material - Cost'!A1805</f>
        <v/>
      </c>
    </row>
    <row r="1805" spans="27:31">
      <c r="AA1805" s="117">
        <f>+'Ingredient List - Mother Tinctu'!D1806</f>
        <v>0</v>
      </c>
      <c r="AB1805" s="117">
        <f t="shared" si="31"/>
        <v>0</v>
      </c>
      <c r="AC1805" s="117" t="str">
        <f>IF(AB1805=1,COUNTIF($AB$3:AB1805,1),"")</f>
        <v/>
      </c>
      <c r="AD1805" s="117" t="str">
        <f>IFERROR(INDEX($AA$3:$AA$10000,MATCH(ROWS($AC$3:AC1805),$AC$3:$AC$10000,0)),"")</f>
        <v/>
      </c>
      <c r="AE1805" s="117" t="str">
        <f>+'Packing Material - Cost'!A1806</f>
        <v/>
      </c>
    </row>
    <row r="1806" spans="27:31">
      <c r="AA1806" s="117">
        <f>+'Ingredient List - Mother Tinctu'!D1807</f>
        <v>0</v>
      </c>
      <c r="AB1806" s="117">
        <f t="shared" si="31"/>
        <v>0</v>
      </c>
      <c r="AC1806" s="117" t="str">
        <f>IF(AB1806=1,COUNTIF($AB$3:AB1806,1),"")</f>
        <v/>
      </c>
      <c r="AD1806" s="117" t="str">
        <f>IFERROR(INDEX($AA$3:$AA$10000,MATCH(ROWS($AC$3:AC1806),$AC$3:$AC$10000,0)),"")</f>
        <v/>
      </c>
      <c r="AE1806" s="117" t="str">
        <f>+'Packing Material - Cost'!A1807</f>
        <v/>
      </c>
    </row>
    <row r="1807" spans="27:31">
      <c r="AA1807" s="117">
        <f>+'Ingredient List - Mother Tinctu'!D1808</f>
        <v>0</v>
      </c>
      <c r="AB1807" s="117">
        <f t="shared" si="31"/>
        <v>0</v>
      </c>
      <c r="AC1807" s="117" t="str">
        <f>IF(AB1807=1,COUNTIF($AB$3:AB1807,1),"")</f>
        <v/>
      </c>
      <c r="AD1807" s="117" t="str">
        <f>IFERROR(INDEX($AA$3:$AA$10000,MATCH(ROWS($AC$3:AC1807),$AC$3:$AC$10000,0)),"")</f>
        <v/>
      </c>
      <c r="AE1807" s="117" t="str">
        <f>+'Packing Material - Cost'!A1808</f>
        <v/>
      </c>
    </row>
    <row r="1808" spans="27:31">
      <c r="AA1808" s="117">
        <f>+'Ingredient List - Mother Tinctu'!D1809</f>
        <v>0</v>
      </c>
      <c r="AB1808" s="117">
        <f t="shared" si="31"/>
        <v>0</v>
      </c>
      <c r="AC1808" s="117" t="str">
        <f>IF(AB1808=1,COUNTIF($AB$3:AB1808,1),"")</f>
        <v/>
      </c>
      <c r="AD1808" s="117" t="str">
        <f>IFERROR(INDEX($AA$3:$AA$10000,MATCH(ROWS($AC$3:AC1808),$AC$3:$AC$10000,0)),"")</f>
        <v/>
      </c>
      <c r="AE1808" s="117" t="str">
        <f>+'Packing Material - Cost'!A1809</f>
        <v/>
      </c>
    </row>
    <row r="1809" spans="27:31">
      <c r="AA1809" s="117">
        <f>+'Ingredient List - Mother Tinctu'!D1810</f>
        <v>0</v>
      </c>
      <c r="AB1809" s="117">
        <f t="shared" si="31"/>
        <v>0</v>
      </c>
      <c r="AC1809" s="117" t="str">
        <f>IF(AB1809=1,COUNTIF($AB$3:AB1809,1),"")</f>
        <v/>
      </c>
      <c r="AD1809" s="117" t="str">
        <f>IFERROR(INDEX($AA$3:$AA$10000,MATCH(ROWS($AC$3:AC1809),$AC$3:$AC$10000,0)),"")</f>
        <v/>
      </c>
      <c r="AE1809" s="117" t="str">
        <f>+'Packing Material - Cost'!A1810</f>
        <v/>
      </c>
    </row>
    <row r="1810" spans="27:31">
      <c r="AA1810" s="117">
        <f>+'Ingredient List - Mother Tinctu'!D1811</f>
        <v>0</v>
      </c>
      <c r="AB1810" s="117">
        <f t="shared" si="31"/>
        <v>0</v>
      </c>
      <c r="AC1810" s="117" t="str">
        <f>IF(AB1810=1,COUNTIF($AB$3:AB1810,1),"")</f>
        <v/>
      </c>
      <c r="AD1810" s="117" t="str">
        <f>IFERROR(INDEX($AA$3:$AA$10000,MATCH(ROWS($AC$3:AC1810),$AC$3:$AC$10000,0)),"")</f>
        <v/>
      </c>
      <c r="AE1810" s="117" t="str">
        <f>+'Packing Material - Cost'!A1811</f>
        <v/>
      </c>
    </row>
    <row r="1811" spans="27:31">
      <c r="AA1811" s="117">
        <f>+'Ingredient List - Mother Tinctu'!D1812</f>
        <v>0</v>
      </c>
      <c r="AB1811" s="117">
        <f t="shared" si="31"/>
        <v>0</v>
      </c>
      <c r="AC1811" s="117" t="str">
        <f>IF(AB1811=1,COUNTIF($AB$3:AB1811,1),"")</f>
        <v/>
      </c>
      <c r="AD1811" s="117" t="str">
        <f>IFERROR(INDEX($AA$3:$AA$10000,MATCH(ROWS($AC$3:AC1811),$AC$3:$AC$10000,0)),"")</f>
        <v/>
      </c>
      <c r="AE1811" s="117" t="str">
        <f>+'Packing Material - Cost'!A1812</f>
        <v/>
      </c>
    </row>
    <row r="1812" spans="27:31">
      <c r="AA1812" s="117">
        <f>+'Ingredient List - Mother Tinctu'!D1813</f>
        <v>0</v>
      </c>
      <c r="AB1812" s="117">
        <f t="shared" si="31"/>
        <v>0</v>
      </c>
      <c r="AC1812" s="117" t="str">
        <f>IF(AB1812=1,COUNTIF($AB$3:AB1812,1),"")</f>
        <v/>
      </c>
      <c r="AD1812" s="117" t="str">
        <f>IFERROR(INDEX($AA$3:$AA$10000,MATCH(ROWS($AC$3:AC1812),$AC$3:$AC$10000,0)),"")</f>
        <v/>
      </c>
      <c r="AE1812" s="117" t="str">
        <f>+'Packing Material - Cost'!A1813</f>
        <v/>
      </c>
    </row>
    <row r="1813" spans="27:31">
      <c r="AA1813" s="117">
        <f>+'Ingredient List - Mother Tinctu'!D1814</f>
        <v>0</v>
      </c>
      <c r="AB1813" s="117">
        <f t="shared" si="31"/>
        <v>0</v>
      </c>
      <c r="AC1813" s="117" t="str">
        <f>IF(AB1813=1,COUNTIF($AB$3:AB1813,1),"")</f>
        <v/>
      </c>
      <c r="AD1813" s="117" t="str">
        <f>IFERROR(INDEX($AA$3:$AA$10000,MATCH(ROWS($AC$3:AC1813),$AC$3:$AC$10000,0)),"")</f>
        <v/>
      </c>
      <c r="AE1813" s="117" t="str">
        <f>+'Packing Material - Cost'!A1814</f>
        <v/>
      </c>
    </row>
    <row r="1814" spans="27:31">
      <c r="AA1814" s="117">
        <f>+'Ingredient List - Mother Tinctu'!D1815</f>
        <v>0</v>
      </c>
      <c r="AB1814" s="117">
        <f t="shared" si="31"/>
        <v>0</v>
      </c>
      <c r="AC1814" s="117" t="str">
        <f>IF(AB1814=1,COUNTIF($AB$3:AB1814,1),"")</f>
        <v/>
      </c>
      <c r="AD1814" s="117" t="str">
        <f>IFERROR(INDEX($AA$3:$AA$10000,MATCH(ROWS($AC$3:AC1814),$AC$3:$AC$10000,0)),"")</f>
        <v/>
      </c>
      <c r="AE1814" s="117" t="str">
        <f>+'Packing Material - Cost'!A1815</f>
        <v/>
      </c>
    </row>
    <row r="1815" spans="27:31">
      <c r="AA1815" s="117">
        <f>+'Ingredient List - Mother Tinctu'!D1816</f>
        <v>0</v>
      </c>
      <c r="AB1815" s="117">
        <f t="shared" si="31"/>
        <v>0</v>
      </c>
      <c r="AC1815" s="117" t="str">
        <f>IF(AB1815=1,COUNTIF($AB$3:AB1815,1),"")</f>
        <v/>
      </c>
      <c r="AD1815" s="117" t="str">
        <f>IFERROR(INDEX($AA$3:$AA$10000,MATCH(ROWS($AC$3:AC1815),$AC$3:$AC$10000,0)),"")</f>
        <v/>
      </c>
      <c r="AE1815" s="117" t="str">
        <f>+'Packing Material - Cost'!A1816</f>
        <v/>
      </c>
    </row>
    <row r="1816" spans="27:31">
      <c r="AA1816" s="117">
        <f>+'Ingredient List - Mother Tinctu'!D1817</f>
        <v>0</v>
      </c>
      <c r="AB1816" s="117">
        <f t="shared" si="31"/>
        <v>0</v>
      </c>
      <c r="AC1816" s="117" t="str">
        <f>IF(AB1816=1,COUNTIF($AB$3:AB1816,1),"")</f>
        <v/>
      </c>
      <c r="AD1816" s="117" t="str">
        <f>IFERROR(INDEX($AA$3:$AA$10000,MATCH(ROWS($AC$3:AC1816),$AC$3:$AC$10000,0)),"")</f>
        <v/>
      </c>
      <c r="AE1816" s="117" t="str">
        <f>+'Packing Material - Cost'!A1817</f>
        <v/>
      </c>
    </row>
    <row r="1817" spans="27:31">
      <c r="AA1817" s="117">
        <f>+'Ingredient List - Mother Tinctu'!D1818</f>
        <v>0</v>
      </c>
      <c r="AB1817" s="117">
        <f t="shared" si="31"/>
        <v>0</v>
      </c>
      <c r="AC1817" s="117" t="str">
        <f>IF(AB1817=1,COUNTIF($AB$3:AB1817,1),"")</f>
        <v/>
      </c>
      <c r="AD1817" s="117" t="str">
        <f>IFERROR(INDEX($AA$3:$AA$10000,MATCH(ROWS($AC$3:AC1817),$AC$3:$AC$10000,0)),"")</f>
        <v/>
      </c>
      <c r="AE1817" s="117" t="str">
        <f>+'Packing Material - Cost'!A1818</f>
        <v/>
      </c>
    </row>
    <row r="1818" spans="27:31">
      <c r="AA1818" s="117">
        <f>+'Ingredient List - Mother Tinctu'!D1819</f>
        <v>0</v>
      </c>
      <c r="AB1818" s="117">
        <f t="shared" si="31"/>
        <v>0</v>
      </c>
      <c r="AC1818" s="117" t="str">
        <f>IF(AB1818=1,COUNTIF($AB$3:AB1818,1),"")</f>
        <v/>
      </c>
      <c r="AD1818" s="117" t="str">
        <f>IFERROR(INDEX($AA$3:$AA$10000,MATCH(ROWS($AC$3:AC1818),$AC$3:$AC$10000,0)),"")</f>
        <v/>
      </c>
      <c r="AE1818" s="117" t="str">
        <f>+'Packing Material - Cost'!A1819</f>
        <v/>
      </c>
    </row>
    <row r="1819" spans="27:31">
      <c r="AA1819" s="117">
        <f>+'Ingredient List - Mother Tinctu'!D1820</f>
        <v>0</v>
      </c>
      <c r="AB1819" s="117">
        <f t="shared" si="31"/>
        <v>0</v>
      </c>
      <c r="AC1819" s="117" t="str">
        <f>IF(AB1819=1,COUNTIF($AB$3:AB1819,1),"")</f>
        <v/>
      </c>
      <c r="AD1819" s="117" t="str">
        <f>IFERROR(INDEX($AA$3:$AA$10000,MATCH(ROWS($AC$3:AC1819),$AC$3:$AC$10000,0)),"")</f>
        <v/>
      </c>
      <c r="AE1819" s="117" t="str">
        <f>+'Packing Material - Cost'!A1820</f>
        <v/>
      </c>
    </row>
    <row r="1820" spans="27:31">
      <c r="AA1820" s="117">
        <f>+'Ingredient List - Mother Tinctu'!D1821</f>
        <v>0</v>
      </c>
      <c r="AB1820" s="117">
        <f t="shared" si="31"/>
        <v>0</v>
      </c>
      <c r="AC1820" s="117" t="str">
        <f>IF(AB1820=1,COUNTIF($AB$3:AB1820,1),"")</f>
        <v/>
      </c>
      <c r="AD1820" s="117" t="str">
        <f>IFERROR(INDEX($AA$3:$AA$10000,MATCH(ROWS($AC$3:AC1820),$AC$3:$AC$10000,0)),"")</f>
        <v/>
      </c>
      <c r="AE1820" s="117" t="str">
        <f>+'Packing Material - Cost'!A1821</f>
        <v/>
      </c>
    </row>
    <row r="1821" spans="27:31">
      <c r="AA1821" s="117">
        <f>+'Ingredient List - Mother Tinctu'!D1822</f>
        <v>0</v>
      </c>
      <c r="AB1821" s="117">
        <f t="shared" si="31"/>
        <v>0</v>
      </c>
      <c r="AC1821" s="117" t="str">
        <f>IF(AB1821=1,COUNTIF($AB$3:AB1821,1),"")</f>
        <v/>
      </c>
      <c r="AD1821" s="117" t="str">
        <f>IFERROR(INDEX($AA$3:$AA$10000,MATCH(ROWS($AC$3:AC1821),$AC$3:$AC$10000,0)),"")</f>
        <v/>
      </c>
      <c r="AE1821" s="117" t="str">
        <f>+'Packing Material - Cost'!A1822</f>
        <v/>
      </c>
    </row>
    <row r="1822" spans="27:31">
      <c r="AA1822" s="117">
        <f>+'Ingredient List - Mother Tinctu'!D1823</f>
        <v>0</v>
      </c>
      <c r="AB1822" s="117">
        <f t="shared" si="31"/>
        <v>0</v>
      </c>
      <c r="AC1822" s="117" t="str">
        <f>IF(AB1822=1,COUNTIF($AB$3:AB1822,1),"")</f>
        <v/>
      </c>
      <c r="AD1822" s="117" t="str">
        <f>IFERROR(INDEX($AA$3:$AA$10000,MATCH(ROWS($AC$3:AC1822),$AC$3:$AC$10000,0)),"")</f>
        <v/>
      </c>
      <c r="AE1822" s="117" t="str">
        <f>+'Packing Material - Cost'!A1823</f>
        <v/>
      </c>
    </row>
    <row r="1823" spans="27:31">
      <c r="AA1823" s="117">
        <f>+'Ingredient List - Mother Tinctu'!D1824</f>
        <v>0</v>
      </c>
      <c r="AB1823" s="117">
        <f t="shared" si="31"/>
        <v>0</v>
      </c>
      <c r="AC1823" s="117" t="str">
        <f>IF(AB1823=1,COUNTIF($AB$3:AB1823,1),"")</f>
        <v/>
      </c>
      <c r="AD1823" s="117" t="str">
        <f>IFERROR(INDEX($AA$3:$AA$10000,MATCH(ROWS($AC$3:AC1823),$AC$3:$AC$10000,0)),"")</f>
        <v/>
      </c>
      <c r="AE1823" s="117" t="str">
        <f>+'Packing Material - Cost'!A1824</f>
        <v/>
      </c>
    </row>
    <row r="1824" spans="27:31">
      <c r="AA1824" s="117">
        <f>+'Ingredient List - Mother Tinctu'!D1825</f>
        <v>0</v>
      </c>
      <c r="AB1824" s="117">
        <f t="shared" si="31"/>
        <v>0</v>
      </c>
      <c r="AC1824" s="117" t="str">
        <f>IF(AB1824=1,COUNTIF($AB$3:AB1824,1),"")</f>
        <v/>
      </c>
      <c r="AD1824" s="117" t="str">
        <f>IFERROR(INDEX($AA$3:$AA$10000,MATCH(ROWS($AC$3:AC1824),$AC$3:$AC$10000,0)),"")</f>
        <v/>
      </c>
      <c r="AE1824" s="117" t="str">
        <f>+'Packing Material - Cost'!A1825</f>
        <v/>
      </c>
    </row>
    <row r="1825" spans="27:31">
      <c r="AA1825" s="117">
        <f>+'Ingredient List - Mother Tinctu'!D1826</f>
        <v>0</v>
      </c>
      <c r="AB1825" s="117">
        <f t="shared" si="31"/>
        <v>0</v>
      </c>
      <c r="AC1825" s="117" t="str">
        <f>IF(AB1825=1,COUNTIF($AB$3:AB1825,1),"")</f>
        <v/>
      </c>
      <c r="AD1825" s="117" t="str">
        <f>IFERROR(INDEX($AA$3:$AA$10000,MATCH(ROWS($AC$3:AC1825),$AC$3:$AC$10000,0)),"")</f>
        <v/>
      </c>
      <c r="AE1825" s="117" t="str">
        <f>+'Packing Material - Cost'!A1826</f>
        <v/>
      </c>
    </row>
    <row r="1826" spans="27:31">
      <c r="AA1826" s="117">
        <f>+'Ingredient List - Mother Tinctu'!D1827</f>
        <v>0</v>
      </c>
      <c r="AB1826" s="117">
        <f t="shared" si="31"/>
        <v>0</v>
      </c>
      <c r="AC1826" s="117" t="str">
        <f>IF(AB1826=1,COUNTIF($AB$3:AB1826,1),"")</f>
        <v/>
      </c>
      <c r="AD1826" s="117" t="str">
        <f>IFERROR(INDEX($AA$3:$AA$10000,MATCH(ROWS($AC$3:AC1826),$AC$3:$AC$10000,0)),"")</f>
        <v/>
      </c>
      <c r="AE1826" s="117" t="str">
        <f>+'Packing Material - Cost'!A1827</f>
        <v/>
      </c>
    </row>
    <row r="1827" spans="27:31">
      <c r="AA1827" s="117">
        <f>+'Ingredient List - Mother Tinctu'!D1828</f>
        <v>0</v>
      </c>
      <c r="AB1827" s="117">
        <f t="shared" si="31"/>
        <v>0</v>
      </c>
      <c r="AC1827" s="117" t="str">
        <f>IF(AB1827=1,COUNTIF($AB$3:AB1827,1),"")</f>
        <v/>
      </c>
      <c r="AD1827" s="117" t="str">
        <f>IFERROR(INDEX($AA$3:$AA$10000,MATCH(ROWS($AC$3:AC1827),$AC$3:$AC$10000,0)),"")</f>
        <v/>
      </c>
      <c r="AE1827" s="117" t="str">
        <f>+'Packing Material - Cost'!A1828</f>
        <v/>
      </c>
    </row>
    <row r="1828" spans="27:31">
      <c r="AA1828" s="117">
        <f>+'Ingredient List - Mother Tinctu'!D1829</f>
        <v>0</v>
      </c>
      <c r="AB1828" s="117">
        <f t="shared" si="31"/>
        <v>0</v>
      </c>
      <c r="AC1828" s="117" t="str">
        <f>IF(AB1828=1,COUNTIF($AB$3:AB1828,1),"")</f>
        <v/>
      </c>
      <c r="AD1828" s="117" t="str">
        <f>IFERROR(INDEX($AA$3:$AA$10000,MATCH(ROWS($AC$3:AC1828),$AC$3:$AC$10000,0)),"")</f>
        <v/>
      </c>
      <c r="AE1828" s="117" t="str">
        <f>+'Packing Material - Cost'!A1829</f>
        <v/>
      </c>
    </row>
    <row r="1829" spans="27:31">
      <c r="AA1829" s="117">
        <f>+'Ingredient List - Mother Tinctu'!D1830</f>
        <v>0</v>
      </c>
      <c r="AB1829" s="117">
        <f t="shared" si="31"/>
        <v>0</v>
      </c>
      <c r="AC1829" s="117" t="str">
        <f>IF(AB1829=1,COUNTIF($AB$3:AB1829,1),"")</f>
        <v/>
      </c>
      <c r="AD1829" s="117" t="str">
        <f>IFERROR(INDEX($AA$3:$AA$10000,MATCH(ROWS($AC$3:AC1829),$AC$3:$AC$10000,0)),"")</f>
        <v/>
      </c>
      <c r="AE1829" s="117" t="str">
        <f>+'Packing Material - Cost'!A1830</f>
        <v/>
      </c>
    </row>
    <row r="1830" spans="27:31">
      <c r="AA1830" s="117">
        <f>+'Ingredient List - Mother Tinctu'!D1831</f>
        <v>0</v>
      </c>
      <c r="AB1830" s="117">
        <f t="shared" si="31"/>
        <v>0</v>
      </c>
      <c r="AC1830" s="117" t="str">
        <f>IF(AB1830=1,COUNTIF($AB$3:AB1830,1),"")</f>
        <v/>
      </c>
      <c r="AD1830" s="117" t="str">
        <f>IFERROR(INDEX($AA$3:$AA$10000,MATCH(ROWS($AC$3:AC1830),$AC$3:$AC$10000,0)),"")</f>
        <v/>
      </c>
      <c r="AE1830" s="117" t="str">
        <f>+'Packing Material - Cost'!A1831</f>
        <v/>
      </c>
    </row>
    <row r="1831" spans="27:31">
      <c r="AA1831" s="117">
        <f>+'Ingredient List - Mother Tinctu'!D1832</f>
        <v>0</v>
      </c>
      <c r="AB1831" s="117">
        <f t="shared" si="31"/>
        <v>0</v>
      </c>
      <c r="AC1831" s="117" t="str">
        <f>IF(AB1831=1,COUNTIF($AB$3:AB1831,1),"")</f>
        <v/>
      </c>
      <c r="AD1831" s="117" t="str">
        <f>IFERROR(INDEX($AA$3:$AA$10000,MATCH(ROWS($AC$3:AC1831),$AC$3:$AC$10000,0)),"")</f>
        <v/>
      </c>
      <c r="AE1831" s="117" t="str">
        <f>+'Packing Material - Cost'!A1832</f>
        <v/>
      </c>
    </row>
    <row r="1832" spans="27:31">
      <c r="AA1832" s="117">
        <f>+'Ingredient List - Mother Tinctu'!D1833</f>
        <v>0</v>
      </c>
      <c r="AB1832" s="117">
        <f t="shared" si="31"/>
        <v>0</v>
      </c>
      <c r="AC1832" s="117" t="str">
        <f>IF(AB1832=1,COUNTIF($AB$3:AB1832,1),"")</f>
        <v/>
      </c>
      <c r="AD1832" s="117" t="str">
        <f>IFERROR(INDEX($AA$3:$AA$10000,MATCH(ROWS($AC$3:AC1832),$AC$3:$AC$10000,0)),"")</f>
        <v/>
      </c>
      <c r="AE1832" s="117" t="str">
        <f>+'Packing Material - Cost'!A1833</f>
        <v/>
      </c>
    </row>
    <row r="1833" spans="27:31">
      <c r="AA1833" s="117">
        <f>+'Ingredient List - Mother Tinctu'!D1834</f>
        <v>0</v>
      </c>
      <c r="AB1833" s="117">
        <f t="shared" si="31"/>
        <v>0</v>
      </c>
      <c r="AC1833" s="117" t="str">
        <f>IF(AB1833=1,COUNTIF($AB$3:AB1833,1),"")</f>
        <v/>
      </c>
      <c r="AD1833" s="117" t="str">
        <f>IFERROR(INDEX($AA$3:$AA$10000,MATCH(ROWS($AC$3:AC1833),$AC$3:$AC$10000,0)),"")</f>
        <v/>
      </c>
      <c r="AE1833" s="117" t="str">
        <f>+'Packing Material - Cost'!A1834</f>
        <v/>
      </c>
    </row>
    <row r="1834" spans="27:31">
      <c r="AA1834" s="117">
        <f>+'Ingredient List - Mother Tinctu'!D1835</f>
        <v>0</v>
      </c>
      <c r="AB1834" s="117">
        <f t="shared" si="31"/>
        <v>0</v>
      </c>
      <c r="AC1834" s="117" t="str">
        <f>IF(AB1834=1,COUNTIF($AB$3:AB1834,1),"")</f>
        <v/>
      </c>
      <c r="AD1834" s="117" t="str">
        <f>IFERROR(INDEX($AA$3:$AA$10000,MATCH(ROWS($AC$3:AC1834),$AC$3:$AC$10000,0)),"")</f>
        <v/>
      </c>
      <c r="AE1834" s="117" t="str">
        <f>+'Packing Material - Cost'!A1835</f>
        <v/>
      </c>
    </row>
    <row r="1835" spans="27:31">
      <c r="AA1835" s="117">
        <f>+'Ingredient List - Mother Tinctu'!D1836</f>
        <v>0</v>
      </c>
      <c r="AB1835" s="117">
        <f t="shared" si="31"/>
        <v>0</v>
      </c>
      <c r="AC1835" s="117" t="str">
        <f>IF(AB1835=1,COUNTIF($AB$3:AB1835,1),"")</f>
        <v/>
      </c>
      <c r="AD1835" s="117" t="str">
        <f>IFERROR(INDEX($AA$3:$AA$10000,MATCH(ROWS($AC$3:AC1835),$AC$3:$AC$10000,0)),"")</f>
        <v/>
      </c>
      <c r="AE1835" s="117" t="str">
        <f>+'Packing Material - Cost'!A1836</f>
        <v/>
      </c>
    </row>
    <row r="1836" spans="27:31">
      <c r="AA1836" s="117">
        <f>+'Ingredient List - Mother Tinctu'!D1837</f>
        <v>0</v>
      </c>
      <c r="AB1836" s="117">
        <f t="shared" si="31"/>
        <v>0</v>
      </c>
      <c r="AC1836" s="117" t="str">
        <f>IF(AB1836=1,COUNTIF($AB$3:AB1836,1),"")</f>
        <v/>
      </c>
      <c r="AD1836" s="117" t="str">
        <f>IFERROR(INDEX($AA$3:$AA$10000,MATCH(ROWS($AC$3:AC1836),$AC$3:$AC$10000,0)),"")</f>
        <v/>
      </c>
      <c r="AE1836" s="117" t="str">
        <f>+'Packing Material - Cost'!A1837</f>
        <v/>
      </c>
    </row>
    <row r="1837" spans="27:31">
      <c r="AA1837" s="117">
        <f>+'Ingredient List - Mother Tinctu'!D1838</f>
        <v>0</v>
      </c>
      <c r="AB1837" s="117">
        <f t="shared" si="31"/>
        <v>0</v>
      </c>
      <c r="AC1837" s="117" t="str">
        <f>IF(AB1837=1,COUNTIF($AB$3:AB1837,1),"")</f>
        <v/>
      </c>
      <c r="AD1837" s="117" t="str">
        <f>IFERROR(INDEX($AA$3:$AA$10000,MATCH(ROWS($AC$3:AC1837),$AC$3:$AC$10000,0)),"")</f>
        <v/>
      </c>
      <c r="AE1837" s="117" t="str">
        <f>+'Packing Material - Cost'!A1838</f>
        <v/>
      </c>
    </row>
    <row r="1838" spans="27:31">
      <c r="AA1838" s="117">
        <f>+'Ingredient List - Mother Tinctu'!D1839</f>
        <v>0</v>
      </c>
      <c r="AB1838" s="117">
        <f t="shared" si="31"/>
        <v>0</v>
      </c>
      <c r="AC1838" s="117" t="str">
        <f>IF(AB1838=1,COUNTIF($AB$3:AB1838,1),"")</f>
        <v/>
      </c>
      <c r="AD1838" s="117" t="str">
        <f>IFERROR(INDEX($AA$3:$AA$10000,MATCH(ROWS($AC$3:AC1838),$AC$3:$AC$10000,0)),"")</f>
        <v/>
      </c>
      <c r="AE1838" s="117" t="str">
        <f>+'Packing Material - Cost'!A1839</f>
        <v/>
      </c>
    </row>
    <row r="1839" spans="27:31">
      <c r="AA1839" s="117">
        <f>+'Ingredient List - Mother Tinctu'!D1840</f>
        <v>0</v>
      </c>
      <c r="AB1839" s="117">
        <f t="shared" si="31"/>
        <v>0</v>
      </c>
      <c r="AC1839" s="117" t="str">
        <f>IF(AB1839=1,COUNTIF($AB$3:AB1839,1),"")</f>
        <v/>
      </c>
      <c r="AD1839" s="117" t="str">
        <f>IFERROR(INDEX($AA$3:$AA$10000,MATCH(ROWS($AC$3:AC1839),$AC$3:$AC$10000,0)),"")</f>
        <v/>
      </c>
      <c r="AE1839" s="117" t="str">
        <f>+'Packing Material - Cost'!A1840</f>
        <v/>
      </c>
    </row>
    <row r="1840" spans="27:31">
      <c r="AA1840" s="117">
        <f>+'Ingredient List - Mother Tinctu'!D1841</f>
        <v>0</v>
      </c>
      <c r="AB1840" s="117">
        <f t="shared" si="31"/>
        <v>0</v>
      </c>
      <c r="AC1840" s="117" t="str">
        <f>IF(AB1840=1,COUNTIF($AB$3:AB1840,1),"")</f>
        <v/>
      </c>
      <c r="AD1840" s="117" t="str">
        <f>IFERROR(INDEX($AA$3:$AA$10000,MATCH(ROWS($AC$3:AC1840),$AC$3:$AC$10000,0)),"")</f>
        <v/>
      </c>
      <c r="AE1840" s="117" t="str">
        <f>+'Packing Material - Cost'!A1841</f>
        <v/>
      </c>
    </row>
    <row r="1841" spans="27:31">
      <c r="AA1841" s="117">
        <f>+'Ingredient List - Mother Tinctu'!D1842</f>
        <v>0</v>
      </c>
      <c r="AB1841" s="117">
        <f t="shared" si="31"/>
        <v>0</v>
      </c>
      <c r="AC1841" s="117" t="str">
        <f>IF(AB1841=1,COUNTIF($AB$3:AB1841,1),"")</f>
        <v/>
      </c>
      <c r="AD1841" s="117" t="str">
        <f>IFERROR(INDEX($AA$3:$AA$10000,MATCH(ROWS($AC$3:AC1841),$AC$3:$AC$10000,0)),"")</f>
        <v/>
      </c>
      <c r="AE1841" s="117" t="str">
        <f>+'Packing Material - Cost'!A1842</f>
        <v/>
      </c>
    </row>
    <row r="1842" spans="27:31">
      <c r="AA1842" s="117">
        <f>+'Ingredient List - Mother Tinctu'!D1843</f>
        <v>0</v>
      </c>
      <c r="AB1842" s="117">
        <f t="shared" si="31"/>
        <v>0</v>
      </c>
      <c r="AC1842" s="117" t="str">
        <f>IF(AB1842=1,COUNTIF($AB$3:AB1842,1),"")</f>
        <v/>
      </c>
      <c r="AD1842" s="117" t="str">
        <f>IFERROR(INDEX($AA$3:$AA$10000,MATCH(ROWS($AC$3:AC1842),$AC$3:$AC$10000,0)),"")</f>
        <v/>
      </c>
      <c r="AE1842" s="117" t="str">
        <f>+'Packing Material - Cost'!A1843</f>
        <v/>
      </c>
    </row>
    <row r="1843" spans="27:31">
      <c r="AA1843" s="117">
        <f>+'Ingredient List - Mother Tinctu'!D1844</f>
        <v>0</v>
      </c>
      <c r="AB1843" s="117">
        <f t="shared" si="31"/>
        <v>0</v>
      </c>
      <c r="AC1843" s="117" t="str">
        <f>IF(AB1843=1,COUNTIF($AB$3:AB1843,1),"")</f>
        <v/>
      </c>
      <c r="AD1843" s="117" t="str">
        <f>IFERROR(INDEX($AA$3:$AA$10000,MATCH(ROWS($AC$3:AC1843),$AC$3:$AC$10000,0)),"")</f>
        <v/>
      </c>
      <c r="AE1843" s="117" t="str">
        <f>+'Packing Material - Cost'!A1844</f>
        <v/>
      </c>
    </row>
    <row r="1844" spans="27:31">
      <c r="AA1844" s="117">
        <f>+'Ingredient List - Mother Tinctu'!D1845</f>
        <v>0</v>
      </c>
      <c r="AB1844" s="117">
        <f t="shared" si="31"/>
        <v>0</v>
      </c>
      <c r="AC1844" s="117" t="str">
        <f>IF(AB1844=1,COUNTIF($AB$3:AB1844,1),"")</f>
        <v/>
      </c>
      <c r="AD1844" s="117" t="str">
        <f>IFERROR(INDEX($AA$3:$AA$10000,MATCH(ROWS($AC$3:AC1844),$AC$3:$AC$10000,0)),"")</f>
        <v/>
      </c>
      <c r="AE1844" s="117" t="str">
        <f>+'Packing Material - Cost'!A1845</f>
        <v/>
      </c>
    </row>
    <row r="1845" spans="27:31">
      <c r="AA1845" s="117">
        <f>+'Ingredient List - Mother Tinctu'!D1846</f>
        <v>0</v>
      </c>
      <c r="AB1845" s="117">
        <f t="shared" si="31"/>
        <v>0</v>
      </c>
      <c r="AC1845" s="117" t="str">
        <f>IF(AB1845=1,COUNTIF($AB$3:AB1845,1),"")</f>
        <v/>
      </c>
      <c r="AD1845" s="117" t="str">
        <f>IFERROR(INDEX($AA$3:$AA$10000,MATCH(ROWS($AC$3:AC1845),$AC$3:$AC$10000,0)),"")</f>
        <v/>
      </c>
      <c r="AE1845" s="117" t="str">
        <f>+'Packing Material - Cost'!A1846</f>
        <v/>
      </c>
    </row>
    <row r="1846" spans="27:31">
      <c r="AA1846" s="117">
        <f>+'Ingredient List - Mother Tinctu'!D1847</f>
        <v>0</v>
      </c>
      <c r="AB1846" s="117">
        <f t="shared" si="31"/>
        <v>0</v>
      </c>
      <c r="AC1846" s="117" t="str">
        <f>IF(AB1846=1,COUNTIF($AB$3:AB1846,1),"")</f>
        <v/>
      </c>
      <c r="AD1846" s="117" t="str">
        <f>IFERROR(INDEX($AA$3:$AA$10000,MATCH(ROWS($AC$3:AC1846),$AC$3:$AC$10000,0)),"")</f>
        <v/>
      </c>
      <c r="AE1846" s="117" t="str">
        <f>+'Packing Material - Cost'!A1847</f>
        <v/>
      </c>
    </row>
    <row r="1847" spans="27:31">
      <c r="AA1847" s="117">
        <f>+'Ingredient List - Mother Tinctu'!D1848</f>
        <v>0</v>
      </c>
      <c r="AB1847" s="117">
        <f t="shared" si="31"/>
        <v>0</v>
      </c>
      <c r="AC1847" s="117" t="str">
        <f>IF(AB1847=1,COUNTIF($AB$3:AB1847,1),"")</f>
        <v/>
      </c>
      <c r="AD1847" s="117" t="str">
        <f>IFERROR(INDEX($AA$3:$AA$10000,MATCH(ROWS($AC$3:AC1847),$AC$3:$AC$10000,0)),"")</f>
        <v/>
      </c>
      <c r="AE1847" s="117" t="str">
        <f>+'Packing Material - Cost'!A1848</f>
        <v/>
      </c>
    </row>
    <row r="1848" spans="27:31">
      <c r="AA1848" s="117">
        <f>+'Ingredient List - Mother Tinctu'!D1849</f>
        <v>0</v>
      </c>
      <c r="AB1848" s="117">
        <f t="shared" si="31"/>
        <v>0</v>
      </c>
      <c r="AC1848" s="117" t="str">
        <f>IF(AB1848=1,COUNTIF($AB$3:AB1848,1),"")</f>
        <v/>
      </c>
      <c r="AD1848" s="117" t="str">
        <f>IFERROR(INDEX($AA$3:$AA$10000,MATCH(ROWS($AC$3:AC1848),$AC$3:$AC$10000,0)),"")</f>
        <v/>
      </c>
      <c r="AE1848" s="117" t="str">
        <f>+'Packing Material - Cost'!A1849</f>
        <v/>
      </c>
    </row>
    <row r="1849" spans="27:31">
      <c r="AA1849" s="117">
        <f>+'Ingredient List - Mother Tinctu'!D1850</f>
        <v>0</v>
      </c>
      <c r="AB1849" s="117">
        <f t="shared" si="31"/>
        <v>0</v>
      </c>
      <c r="AC1849" s="117" t="str">
        <f>IF(AB1849=1,COUNTIF($AB$3:AB1849,1),"")</f>
        <v/>
      </c>
      <c r="AD1849" s="117" t="str">
        <f>IFERROR(INDEX($AA$3:$AA$10000,MATCH(ROWS($AC$3:AC1849),$AC$3:$AC$10000,0)),"")</f>
        <v/>
      </c>
      <c r="AE1849" s="117" t="str">
        <f>+'Packing Material - Cost'!A1850</f>
        <v/>
      </c>
    </row>
    <row r="1850" spans="27:31">
      <c r="AA1850" s="117">
        <f>+'Ingredient List - Mother Tinctu'!D1851</f>
        <v>0</v>
      </c>
      <c r="AB1850" s="117">
        <f t="shared" si="31"/>
        <v>0</v>
      </c>
      <c r="AC1850" s="117" t="str">
        <f>IF(AB1850=1,COUNTIF($AB$3:AB1850,1),"")</f>
        <v/>
      </c>
      <c r="AD1850" s="117" t="str">
        <f>IFERROR(INDEX($AA$3:$AA$10000,MATCH(ROWS($AC$3:AC1850),$AC$3:$AC$10000,0)),"")</f>
        <v/>
      </c>
      <c r="AE1850" s="117" t="str">
        <f>+'Packing Material - Cost'!A1851</f>
        <v/>
      </c>
    </row>
    <row r="1851" spans="27:31">
      <c r="AA1851" s="117">
        <f>+'Ingredient List - Mother Tinctu'!D1852</f>
        <v>0</v>
      </c>
      <c r="AB1851" s="117">
        <f t="shared" si="31"/>
        <v>0</v>
      </c>
      <c r="AC1851" s="117" t="str">
        <f>IF(AB1851=1,COUNTIF($AB$3:AB1851,1),"")</f>
        <v/>
      </c>
      <c r="AD1851" s="117" t="str">
        <f>IFERROR(INDEX($AA$3:$AA$10000,MATCH(ROWS($AC$3:AC1851),$AC$3:$AC$10000,0)),"")</f>
        <v/>
      </c>
      <c r="AE1851" s="117" t="str">
        <f>+'Packing Material - Cost'!A1852</f>
        <v/>
      </c>
    </row>
    <row r="1852" spans="27:31">
      <c r="AA1852" s="117">
        <f>+'Ingredient List - Mother Tinctu'!D1853</f>
        <v>0</v>
      </c>
      <c r="AB1852" s="117">
        <f t="shared" si="31"/>
        <v>0</v>
      </c>
      <c r="AC1852" s="117" t="str">
        <f>IF(AB1852=1,COUNTIF($AB$3:AB1852,1),"")</f>
        <v/>
      </c>
      <c r="AD1852" s="117" t="str">
        <f>IFERROR(INDEX($AA$3:$AA$10000,MATCH(ROWS($AC$3:AC1852),$AC$3:$AC$10000,0)),"")</f>
        <v/>
      </c>
      <c r="AE1852" s="117" t="str">
        <f>+'Packing Material - Cost'!A1853</f>
        <v/>
      </c>
    </row>
    <row r="1853" spans="27:31">
      <c r="AA1853" s="117">
        <f>+'Ingredient List - Mother Tinctu'!D1854</f>
        <v>0</v>
      </c>
      <c r="AB1853" s="117">
        <f t="shared" si="31"/>
        <v>0</v>
      </c>
      <c r="AC1853" s="117" t="str">
        <f>IF(AB1853=1,COUNTIF($AB$3:AB1853,1),"")</f>
        <v/>
      </c>
      <c r="AD1853" s="117" t="str">
        <f>IFERROR(INDEX($AA$3:$AA$10000,MATCH(ROWS($AC$3:AC1853),$AC$3:$AC$10000,0)),"")</f>
        <v/>
      </c>
      <c r="AE1853" s="117" t="str">
        <f>+'Packing Material - Cost'!A1854</f>
        <v/>
      </c>
    </row>
    <row r="1854" spans="27:31">
      <c r="AA1854" s="117">
        <f>+'Ingredient List - Mother Tinctu'!D1855</f>
        <v>0</v>
      </c>
      <c r="AB1854" s="117">
        <f t="shared" si="31"/>
        <v>0</v>
      </c>
      <c r="AC1854" s="117" t="str">
        <f>IF(AB1854=1,COUNTIF($AB$3:AB1854,1),"")</f>
        <v/>
      </c>
      <c r="AD1854" s="117" t="str">
        <f>IFERROR(INDEX($AA$3:$AA$10000,MATCH(ROWS($AC$3:AC1854),$AC$3:$AC$10000,0)),"")</f>
        <v/>
      </c>
      <c r="AE1854" s="117" t="str">
        <f>+'Packing Material - Cost'!A1855</f>
        <v/>
      </c>
    </row>
    <row r="1855" spans="27:31">
      <c r="AA1855" s="117">
        <f>+'Ingredient List - Mother Tinctu'!D1856</f>
        <v>0</v>
      </c>
      <c r="AB1855" s="117">
        <f t="shared" si="31"/>
        <v>0</v>
      </c>
      <c r="AC1855" s="117" t="str">
        <f>IF(AB1855=1,COUNTIF($AB$3:AB1855,1),"")</f>
        <v/>
      </c>
      <c r="AD1855" s="117" t="str">
        <f>IFERROR(INDEX($AA$3:$AA$10000,MATCH(ROWS($AC$3:AC1855),$AC$3:$AC$10000,0)),"")</f>
        <v/>
      </c>
      <c r="AE1855" s="117" t="str">
        <f>+'Packing Material - Cost'!A1856</f>
        <v/>
      </c>
    </row>
    <row r="1856" spans="27:31">
      <c r="AA1856" s="117">
        <f>+'Ingredient List - Mother Tinctu'!D1857</f>
        <v>0</v>
      </c>
      <c r="AB1856" s="117">
        <f t="shared" si="31"/>
        <v>0</v>
      </c>
      <c r="AC1856" s="117" t="str">
        <f>IF(AB1856=1,COUNTIF($AB$3:AB1856,1),"")</f>
        <v/>
      </c>
      <c r="AD1856" s="117" t="str">
        <f>IFERROR(INDEX($AA$3:$AA$10000,MATCH(ROWS($AC$3:AC1856),$AC$3:$AC$10000,0)),"")</f>
        <v/>
      </c>
      <c r="AE1856" s="117" t="str">
        <f>+'Packing Material - Cost'!A1857</f>
        <v/>
      </c>
    </row>
    <row r="1857" spans="27:31">
      <c r="AA1857" s="117">
        <f>+'Ingredient List - Mother Tinctu'!D1858</f>
        <v>0</v>
      </c>
      <c r="AB1857" s="117">
        <f t="shared" si="31"/>
        <v>0</v>
      </c>
      <c r="AC1857" s="117" t="str">
        <f>IF(AB1857=1,COUNTIF($AB$3:AB1857,1),"")</f>
        <v/>
      </c>
      <c r="AD1857" s="117" t="str">
        <f>IFERROR(INDEX($AA$3:$AA$10000,MATCH(ROWS($AC$3:AC1857),$AC$3:$AC$10000,0)),"")</f>
        <v/>
      </c>
      <c r="AE1857" s="117" t="str">
        <f>+'Packing Material - Cost'!A1858</f>
        <v/>
      </c>
    </row>
    <row r="1858" spans="27:31">
      <c r="AA1858" s="117">
        <f>+'Ingredient List - Mother Tinctu'!D1859</f>
        <v>0</v>
      </c>
      <c r="AB1858" s="117">
        <f t="shared" si="31"/>
        <v>0</v>
      </c>
      <c r="AC1858" s="117" t="str">
        <f>IF(AB1858=1,COUNTIF($AB$3:AB1858,1),"")</f>
        <v/>
      </c>
      <c r="AD1858" s="117" t="str">
        <f>IFERROR(INDEX($AA$3:$AA$10000,MATCH(ROWS($AC$3:AC1858),$AC$3:$AC$10000,0)),"")</f>
        <v/>
      </c>
      <c r="AE1858" s="117" t="str">
        <f>+'Packing Material - Cost'!A1859</f>
        <v/>
      </c>
    </row>
    <row r="1859" spans="27:31">
      <c r="AA1859" s="117">
        <f>+'Ingredient List - Mother Tinctu'!D1860</f>
        <v>0</v>
      </c>
      <c r="AB1859" s="117">
        <f t="shared" si="31"/>
        <v>0</v>
      </c>
      <c r="AC1859" s="117" t="str">
        <f>IF(AB1859=1,COUNTIF($AB$3:AB1859,1),"")</f>
        <v/>
      </c>
      <c r="AD1859" s="117" t="str">
        <f>IFERROR(INDEX($AA$3:$AA$10000,MATCH(ROWS($AC$3:AC1859),$AC$3:$AC$10000,0)),"")</f>
        <v/>
      </c>
      <c r="AE1859" s="117" t="str">
        <f>+'Packing Material - Cost'!A1860</f>
        <v/>
      </c>
    </row>
    <row r="1860" spans="27:31">
      <c r="AA1860" s="117">
        <f>+'Ingredient List - Mother Tinctu'!D1861</f>
        <v>0</v>
      </c>
      <c r="AB1860" s="117">
        <f t="shared" ref="AB1860:AB1923" si="32">--ISNUMBER(IFERROR(SEARCH($D$3,AA1860,1),""))</f>
        <v>0</v>
      </c>
      <c r="AC1860" s="117" t="str">
        <f>IF(AB1860=1,COUNTIF($AB$3:AB1860,1),"")</f>
        <v/>
      </c>
      <c r="AD1860" s="117" t="str">
        <f>IFERROR(INDEX($AA$3:$AA$10000,MATCH(ROWS($AC$3:AC1860),$AC$3:$AC$10000,0)),"")</f>
        <v/>
      </c>
      <c r="AE1860" s="117" t="str">
        <f>+'Packing Material - Cost'!A1861</f>
        <v/>
      </c>
    </row>
    <row r="1861" spans="27:31">
      <c r="AA1861" s="117">
        <f>+'Ingredient List - Mother Tinctu'!D1862</f>
        <v>0</v>
      </c>
      <c r="AB1861" s="117">
        <f t="shared" si="32"/>
        <v>0</v>
      </c>
      <c r="AC1861" s="117" t="str">
        <f>IF(AB1861=1,COUNTIF($AB$3:AB1861,1),"")</f>
        <v/>
      </c>
      <c r="AD1861" s="117" t="str">
        <f>IFERROR(INDEX($AA$3:$AA$10000,MATCH(ROWS($AC$3:AC1861),$AC$3:$AC$10000,0)),"")</f>
        <v/>
      </c>
      <c r="AE1861" s="117" t="str">
        <f>+'Packing Material - Cost'!A1862</f>
        <v/>
      </c>
    </row>
    <row r="1862" spans="27:31">
      <c r="AA1862" s="117">
        <f>+'Ingredient List - Mother Tinctu'!D1863</f>
        <v>0</v>
      </c>
      <c r="AB1862" s="117">
        <f t="shared" si="32"/>
        <v>0</v>
      </c>
      <c r="AC1862" s="117" t="str">
        <f>IF(AB1862=1,COUNTIF($AB$3:AB1862,1),"")</f>
        <v/>
      </c>
      <c r="AD1862" s="117" t="str">
        <f>IFERROR(INDEX($AA$3:$AA$10000,MATCH(ROWS($AC$3:AC1862),$AC$3:$AC$10000,0)),"")</f>
        <v/>
      </c>
      <c r="AE1862" s="117" t="str">
        <f>+'Packing Material - Cost'!A1863</f>
        <v/>
      </c>
    </row>
    <row r="1863" spans="27:31">
      <c r="AA1863" s="117">
        <f>+'Ingredient List - Mother Tinctu'!D1864</f>
        <v>0</v>
      </c>
      <c r="AB1863" s="117">
        <f t="shared" si="32"/>
        <v>0</v>
      </c>
      <c r="AC1863" s="117" t="str">
        <f>IF(AB1863=1,COUNTIF($AB$3:AB1863,1),"")</f>
        <v/>
      </c>
      <c r="AD1863" s="117" t="str">
        <f>IFERROR(INDEX($AA$3:$AA$10000,MATCH(ROWS($AC$3:AC1863),$AC$3:$AC$10000,0)),"")</f>
        <v/>
      </c>
      <c r="AE1863" s="117" t="str">
        <f>+'Packing Material - Cost'!A1864</f>
        <v/>
      </c>
    </row>
    <row r="1864" spans="27:31">
      <c r="AA1864" s="117">
        <f>+'Ingredient List - Mother Tinctu'!D1865</f>
        <v>0</v>
      </c>
      <c r="AB1864" s="117">
        <f t="shared" si="32"/>
        <v>0</v>
      </c>
      <c r="AC1864" s="117" t="str">
        <f>IF(AB1864=1,COUNTIF($AB$3:AB1864,1),"")</f>
        <v/>
      </c>
      <c r="AD1864" s="117" t="str">
        <f>IFERROR(INDEX($AA$3:$AA$10000,MATCH(ROWS($AC$3:AC1864),$AC$3:$AC$10000,0)),"")</f>
        <v/>
      </c>
      <c r="AE1864" s="117" t="str">
        <f>+'Packing Material - Cost'!A1865</f>
        <v/>
      </c>
    </row>
    <row r="1865" spans="27:31">
      <c r="AA1865" s="117">
        <f>+'Ingredient List - Mother Tinctu'!D1866</f>
        <v>0</v>
      </c>
      <c r="AB1865" s="117">
        <f t="shared" si="32"/>
        <v>0</v>
      </c>
      <c r="AC1865" s="117" t="str">
        <f>IF(AB1865=1,COUNTIF($AB$3:AB1865,1),"")</f>
        <v/>
      </c>
      <c r="AD1865" s="117" t="str">
        <f>IFERROR(INDEX($AA$3:$AA$10000,MATCH(ROWS($AC$3:AC1865),$AC$3:$AC$10000,0)),"")</f>
        <v/>
      </c>
      <c r="AE1865" s="117" t="str">
        <f>+'Packing Material - Cost'!A1866</f>
        <v/>
      </c>
    </row>
    <row r="1866" spans="27:31">
      <c r="AA1866" s="117">
        <f>+'Ingredient List - Mother Tinctu'!D1867</f>
        <v>0</v>
      </c>
      <c r="AB1866" s="117">
        <f t="shared" si="32"/>
        <v>0</v>
      </c>
      <c r="AC1866" s="117" t="str">
        <f>IF(AB1866=1,COUNTIF($AB$3:AB1866,1),"")</f>
        <v/>
      </c>
      <c r="AD1866" s="117" t="str">
        <f>IFERROR(INDEX($AA$3:$AA$10000,MATCH(ROWS($AC$3:AC1866),$AC$3:$AC$10000,0)),"")</f>
        <v/>
      </c>
      <c r="AE1866" s="117" t="str">
        <f>+'Packing Material - Cost'!A1867</f>
        <v/>
      </c>
    </row>
    <row r="1867" spans="27:31">
      <c r="AA1867" s="117">
        <f>+'Ingredient List - Mother Tinctu'!D1868</f>
        <v>0</v>
      </c>
      <c r="AB1867" s="117">
        <f t="shared" si="32"/>
        <v>0</v>
      </c>
      <c r="AC1867" s="117" t="str">
        <f>IF(AB1867=1,COUNTIF($AB$3:AB1867,1),"")</f>
        <v/>
      </c>
      <c r="AD1867" s="117" t="str">
        <f>IFERROR(INDEX($AA$3:$AA$10000,MATCH(ROWS($AC$3:AC1867),$AC$3:$AC$10000,0)),"")</f>
        <v/>
      </c>
      <c r="AE1867" s="117" t="str">
        <f>+'Packing Material - Cost'!A1868</f>
        <v/>
      </c>
    </row>
    <row r="1868" spans="27:31">
      <c r="AA1868" s="117">
        <f>+'Ingredient List - Mother Tinctu'!D1869</f>
        <v>0</v>
      </c>
      <c r="AB1868" s="117">
        <f t="shared" si="32"/>
        <v>0</v>
      </c>
      <c r="AC1868" s="117" t="str">
        <f>IF(AB1868=1,COUNTIF($AB$3:AB1868,1),"")</f>
        <v/>
      </c>
      <c r="AD1868" s="117" t="str">
        <f>IFERROR(INDEX($AA$3:$AA$10000,MATCH(ROWS($AC$3:AC1868),$AC$3:$AC$10000,0)),"")</f>
        <v/>
      </c>
      <c r="AE1868" s="117" t="str">
        <f>+'Packing Material - Cost'!A1869</f>
        <v/>
      </c>
    </row>
    <row r="1869" spans="27:31">
      <c r="AA1869" s="117">
        <f>+'Ingredient List - Mother Tinctu'!D1870</f>
        <v>0</v>
      </c>
      <c r="AB1869" s="117">
        <f t="shared" si="32"/>
        <v>0</v>
      </c>
      <c r="AC1869" s="117" t="str">
        <f>IF(AB1869=1,COUNTIF($AB$3:AB1869,1),"")</f>
        <v/>
      </c>
      <c r="AD1869" s="117" t="str">
        <f>IFERROR(INDEX($AA$3:$AA$10000,MATCH(ROWS($AC$3:AC1869),$AC$3:$AC$10000,0)),"")</f>
        <v/>
      </c>
      <c r="AE1869" s="117" t="str">
        <f>+'Packing Material - Cost'!A1870</f>
        <v/>
      </c>
    </row>
    <row r="1870" spans="27:31">
      <c r="AA1870" s="117">
        <f>+'Ingredient List - Mother Tinctu'!D1871</f>
        <v>0</v>
      </c>
      <c r="AB1870" s="117">
        <f t="shared" si="32"/>
        <v>0</v>
      </c>
      <c r="AC1870" s="117" t="str">
        <f>IF(AB1870=1,COUNTIF($AB$3:AB1870,1),"")</f>
        <v/>
      </c>
      <c r="AD1870" s="117" t="str">
        <f>IFERROR(INDEX($AA$3:$AA$10000,MATCH(ROWS($AC$3:AC1870),$AC$3:$AC$10000,0)),"")</f>
        <v/>
      </c>
      <c r="AE1870" s="117" t="str">
        <f>+'Packing Material - Cost'!A1871</f>
        <v/>
      </c>
    </row>
    <row r="1871" spans="27:31">
      <c r="AA1871" s="117">
        <f>+'Ingredient List - Mother Tinctu'!D1872</f>
        <v>0</v>
      </c>
      <c r="AB1871" s="117">
        <f t="shared" si="32"/>
        <v>0</v>
      </c>
      <c r="AC1871" s="117" t="str">
        <f>IF(AB1871=1,COUNTIF($AB$3:AB1871,1),"")</f>
        <v/>
      </c>
      <c r="AD1871" s="117" t="str">
        <f>IFERROR(INDEX($AA$3:$AA$10000,MATCH(ROWS($AC$3:AC1871),$AC$3:$AC$10000,0)),"")</f>
        <v/>
      </c>
      <c r="AE1871" s="117" t="str">
        <f>+'Packing Material - Cost'!A1872</f>
        <v/>
      </c>
    </row>
    <row r="1872" spans="27:31">
      <c r="AA1872" s="117">
        <f>+'Ingredient List - Mother Tinctu'!D1873</f>
        <v>0</v>
      </c>
      <c r="AB1872" s="117">
        <f t="shared" si="32"/>
        <v>0</v>
      </c>
      <c r="AC1872" s="117" t="str">
        <f>IF(AB1872=1,COUNTIF($AB$3:AB1872,1),"")</f>
        <v/>
      </c>
      <c r="AD1872" s="117" t="str">
        <f>IFERROR(INDEX($AA$3:$AA$10000,MATCH(ROWS($AC$3:AC1872),$AC$3:$AC$10000,0)),"")</f>
        <v/>
      </c>
      <c r="AE1872" s="117" t="str">
        <f>+'Packing Material - Cost'!A1873</f>
        <v/>
      </c>
    </row>
    <row r="1873" spans="27:31">
      <c r="AA1873" s="117">
        <f>+'Ingredient List - Mother Tinctu'!D1874</f>
        <v>0</v>
      </c>
      <c r="AB1873" s="117">
        <f t="shared" si="32"/>
        <v>0</v>
      </c>
      <c r="AC1873" s="117" t="str">
        <f>IF(AB1873=1,COUNTIF($AB$3:AB1873,1),"")</f>
        <v/>
      </c>
      <c r="AD1873" s="117" t="str">
        <f>IFERROR(INDEX($AA$3:$AA$10000,MATCH(ROWS($AC$3:AC1873),$AC$3:$AC$10000,0)),"")</f>
        <v/>
      </c>
      <c r="AE1873" s="117" t="str">
        <f>+'Packing Material - Cost'!A1874</f>
        <v/>
      </c>
    </row>
    <row r="1874" spans="27:31">
      <c r="AA1874" s="117">
        <f>+'Ingredient List - Mother Tinctu'!D1875</f>
        <v>0</v>
      </c>
      <c r="AB1874" s="117">
        <f t="shared" si="32"/>
        <v>0</v>
      </c>
      <c r="AC1874" s="117" t="str">
        <f>IF(AB1874=1,COUNTIF($AB$3:AB1874,1),"")</f>
        <v/>
      </c>
      <c r="AD1874" s="117" t="str">
        <f>IFERROR(INDEX($AA$3:$AA$10000,MATCH(ROWS($AC$3:AC1874),$AC$3:$AC$10000,0)),"")</f>
        <v/>
      </c>
      <c r="AE1874" s="117" t="str">
        <f>+'Packing Material - Cost'!A1875</f>
        <v/>
      </c>
    </row>
    <row r="1875" spans="27:31">
      <c r="AA1875" s="117">
        <f>+'Ingredient List - Mother Tinctu'!D1876</f>
        <v>0</v>
      </c>
      <c r="AB1875" s="117">
        <f t="shared" si="32"/>
        <v>0</v>
      </c>
      <c r="AC1875" s="117" t="str">
        <f>IF(AB1875=1,COUNTIF($AB$3:AB1875,1),"")</f>
        <v/>
      </c>
      <c r="AD1875" s="117" t="str">
        <f>IFERROR(INDEX($AA$3:$AA$10000,MATCH(ROWS($AC$3:AC1875),$AC$3:$AC$10000,0)),"")</f>
        <v/>
      </c>
      <c r="AE1875" s="117" t="str">
        <f>+'Packing Material - Cost'!A1876</f>
        <v/>
      </c>
    </row>
    <row r="1876" spans="27:31">
      <c r="AA1876" s="117">
        <f>+'Ingredient List - Mother Tinctu'!D1877</f>
        <v>0</v>
      </c>
      <c r="AB1876" s="117">
        <f t="shared" si="32"/>
        <v>0</v>
      </c>
      <c r="AC1876" s="117" t="str">
        <f>IF(AB1876=1,COUNTIF($AB$3:AB1876,1),"")</f>
        <v/>
      </c>
      <c r="AD1876" s="117" t="str">
        <f>IFERROR(INDEX($AA$3:$AA$10000,MATCH(ROWS($AC$3:AC1876),$AC$3:$AC$10000,0)),"")</f>
        <v/>
      </c>
      <c r="AE1876" s="117" t="str">
        <f>+'Packing Material - Cost'!A1877</f>
        <v/>
      </c>
    </row>
    <row r="1877" spans="27:31">
      <c r="AA1877" s="117">
        <f>+'Ingredient List - Mother Tinctu'!D1878</f>
        <v>0</v>
      </c>
      <c r="AB1877" s="117">
        <f t="shared" si="32"/>
        <v>0</v>
      </c>
      <c r="AC1877" s="117" t="str">
        <f>IF(AB1877=1,COUNTIF($AB$3:AB1877,1),"")</f>
        <v/>
      </c>
      <c r="AD1877" s="117" t="str">
        <f>IFERROR(INDEX($AA$3:$AA$10000,MATCH(ROWS($AC$3:AC1877),$AC$3:$AC$10000,0)),"")</f>
        <v/>
      </c>
      <c r="AE1877" s="117" t="str">
        <f>+'Packing Material - Cost'!A1878</f>
        <v/>
      </c>
    </row>
    <row r="1878" spans="27:31">
      <c r="AA1878" s="117">
        <f>+'Ingredient List - Mother Tinctu'!D1879</f>
        <v>0</v>
      </c>
      <c r="AB1878" s="117">
        <f t="shared" si="32"/>
        <v>0</v>
      </c>
      <c r="AC1878" s="117" t="str">
        <f>IF(AB1878=1,COUNTIF($AB$3:AB1878,1),"")</f>
        <v/>
      </c>
      <c r="AD1878" s="117" t="str">
        <f>IFERROR(INDEX($AA$3:$AA$10000,MATCH(ROWS($AC$3:AC1878),$AC$3:$AC$10000,0)),"")</f>
        <v/>
      </c>
      <c r="AE1878" s="117" t="str">
        <f>+'Packing Material - Cost'!A1879</f>
        <v/>
      </c>
    </row>
    <row r="1879" spans="27:31">
      <c r="AA1879" s="117">
        <f>+'Ingredient List - Mother Tinctu'!D1880</f>
        <v>0</v>
      </c>
      <c r="AB1879" s="117">
        <f t="shared" si="32"/>
        <v>0</v>
      </c>
      <c r="AC1879" s="117" t="str">
        <f>IF(AB1879=1,COUNTIF($AB$3:AB1879,1),"")</f>
        <v/>
      </c>
      <c r="AD1879" s="117" t="str">
        <f>IFERROR(INDEX($AA$3:$AA$10000,MATCH(ROWS($AC$3:AC1879),$AC$3:$AC$10000,0)),"")</f>
        <v/>
      </c>
      <c r="AE1879" s="117" t="str">
        <f>+'Packing Material - Cost'!A1880</f>
        <v/>
      </c>
    </row>
    <row r="1880" spans="27:31">
      <c r="AA1880" s="117">
        <f>+'Ingredient List - Mother Tinctu'!D1881</f>
        <v>0</v>
      </c>
      <c r="AB1880" s="117">
        <f t="shared" si="32"/>
        <v>0</v>
      </c>
      <c r="AC1880" s="117" t="str">
        <f>IF(AB1880=1,COUNTIF($AB$3:AB1880,1),"")</f>
        <v/>
      </c>
      <c r="AD1880" s="117" t="str">
        <f>IFERROR(INDEX($AA$3:$AA$10000,MATCH(ROWS($AC$3:AC1880),$AC$3:$AC$10000,0)),"")</f>
        <v/>
      </c>
      <c r="AE1880" s="117" t="str">
        <f>+'Packing Material - Cost'!A1881</f>
        <v/>
      </c>
    </row>
    <row r="1881" spans="27:31">
      <c r="AA1881" s="117">
        <f>+'Ingredient List - Mother Tinctu'!D1882</f>
        <v>0</v>
      </c>
      <c r="AB1881" s="117">
        <f t="shared" si="32"/>
        <v>0</v>
      </c>
      <c r="AC1881" s="117" t="str">
        <f>IF(AB1881=1,COUNTIF($AB$3:AB1881,1),"")</f>
        <v/>
      </c>
      <c r="AD1881" s="117" t="str">
        <f>IFERROR(INDEX($AA$3:$AA$10000,MATCH(ROWS($AC$3:AC1881),$AC$3:$AC$10000,0)),"")</f>
        <v/>
      </c>
      <c r="AE1881" s="117" t="str">
        <f>+'Packing Material - Cost'!A1882</f>
        <v/>
      </c>
    </row>
    <row r="1882" spans="27:31">
      <c r="AA1882" s="117">
        <f>+'Ingredient List - Mother Tinctu'!D1883</f>
        <v>0</v>
      </c>
      <c r="AB1882" s="117">
        <f t="shared" si="32"/>
        <v>0</v>
      </c>
      <c r="AC1882" s="117" t="str">
        <f>IF(AB1882=1,COUNTIF($AB$3:AB1882,1),"")</f>
        <v/>
      </c>
      <c r="AD1882" s="117" t="str">
        <f>IFERROR(INDEX($AA$3:$AA$10000,MATCH(ROWS($AC$3:AC1882),$AC$3:$AC$10000,0)),"")</f>
        <v/>
      </c>
      <c r="AE1882" s="117" t="str">
        <f>+'Packing Material - Cost'!A1883</f>
        <v/>
      </c>
    </row>
    <row r="1883" spans="27:31">
      <c r="AA1883" s="117">
        <f>+'Ingredient List - Mother Tinctu'!D1884</f>
        <v>0</v>
      </c>
      <c r="AB1883" s="117">
        <f t="shared" si="32"/>
        <v>0</v>
      </c>
      <c r="AC1883" s="117" t="str">
        <f>IF(AB1883=1,COUNTIF($AB$3:AB1883,1),"")</f>
        <v/>
      </c>
      <c r="AD1883" s="117" t="str">
        <f>IFERROR(INDEX($AA$3:$AA$10000,MATCH(ROWS($AC$3:AC1883),$AC$3:$AC$10000,0)),"")</f>
        <v/>
      </c>
      <c r="AE1883" s="117" t="str">
        <f>+'Packing Material - Cost'!A1884</f>
        <v/>
      </c>
    </row>
    <row r="1884" spans="27:31">
      <c r="AA1884" s="117">
        <f>+'Ingredient List - Mother Tinctu'!D1885</f>
        <v>0</v>
      </c>
      <c r="AB1884" s="117">
        <f t="shared" si="32"/>
        <v>0</v>
      </c>
      <c r="AC1884" s="117" t="str">
        <f>IF(AB1884=1,COUNTIF($AB$3:AB1884,1),"")</f>
        <v/>
      </c>
      <c r="AD1884" s="117" t="str">
        <f>IFERROR(INDEX($AA$3:$AA$10000,MATCH(ROWS($AC$3:AC1884),$AC$3:$AC$10000,0)),"")</f>
        <v/>
      </c>
      <c r="AE1884" s="117" t="str">
        <f>+'Packing Material - Cost'!A1885</f>
        <v/>
      </c>
    </row>
    <row r="1885" spans="27:31">
      <c r="AA1885" s="117">
        <f>+'Ingredient List - Mother Tinctu'!D1886</f>
        <v>0</v>
      </c>
      <c r="AB1885" s="117">
        <f t="shared" si="32"/>
        <v>0</v>
      </c>
      <c r="AC1885" s="117" t="str">
        <f>IF(AB1885=1,COUNTIF($AB$3:AB1885,1),"")</f>
        <v/>
      </c>
      <c r="AD1885" s="117" t="str">
        <f>IFERROR(INDEX($AA$3:$AA$10000,MATCH(ROWS($AC$3:AC1885),$AC$3:$AC$10000,0)),"")</f>
        <v/>
      </c>
      <c r="AE1885" s="117" t="str">
        <f>+'Packing Material - Cost'!A1886</f>
        <v/>
      </c>
    </row>
    <row r="1886" spans="27:31">
      <c r="AA1886" s="117">
        <f>+'Ingredient List - Mother Tinctu'!D1887</f>
        <v>0</v>
      </c>
      <c r="AB1886" s="117">
        <f t="shared" si="32"/>
        <v>0</v>
      </c>
      <c r="AC1886" s="117" t="str">
        <f>IF(AB1886=1,COUNTIF($AB$3:AB1886,1),"")</f>
        <v/>
      </c>
      <c r="AD1886" s="117" t="str">
        <f>IFERROR(INDEX($AA$3:$AA$10000,MATCH(ROWS($AC$3:AC1886),$AC$3:$AC$10000,0)),"")</f>
        <v/>
      </c>
      <c r="AE1886" s="117" t="str">
        <f>+'Packing Material - Cost'!A1887</f>
        <v/>
      </c>
    </row>
    <row r="1887" spans="27:31">
      <c r="AA1887" s="117">
        <f>+'Ingredient List - Mother Tinctu'!D1888</f>
        <v>0</v>
      </c>
      <c r="AB1887" s="117">
        <f t="shared" si="32"/>
        <v>0</v>
      </c>
      <c r="AC1887" s="117" t="str">
        <f>IF(AB1887=1,COUNTIF($AB$3:AB1887,1),"")</f>
        <v/>
      </c>
      <c r="AD1887" s="117" t="str">
        <f>IFERROR(INDEX($AA$3:$AA$10000,MATCH(ROWS($AC$3:AC1887),$AC$3:$AC$10000,0)),"")</f>
        <v/>
      </c>
      <c r="AE1887" s="117" t="str">
        <f>+'Packing Material - Cost'!A1888</f>
        <v/>
      </c>
    </row>
    <row r="1888" spans="27:31">
      <c r="AA1888" s="117">
        <f>+'Ingredient List - Mother Tinctu'!D1889</f>
        <v>0</v>
      </c>
      <c r="AB1888" s="117">
        <f t="shared" si="32"/>
        <v>0</v>
      </c>
      <c r="AC1888" s="117" t="str">
        <f>IF(AB1888=1,COUNTIF($AB$3:AB1888,1),"")</f>
        <v/>
      </c>
      <c r="AD1888" s="117" t="str">
        <f>IFERROR(INDEX($AA$3:$AA$10000,MATCH(ROWS($AC$3:AC1888),$AC$3:$AC$10000,0)),"")</f>
        <v/>
      </c>
      <c r="AE1888" s="117" t="str">
        <f>+'Packing Material - Cost'!A1889</f>
        <v/>
      </c>
    </row>
    <row r="1889" spans="27:31">
      <c r="AA1889" s="117">
        <f>+'Ingredient List - Mother Tinctu'!D1890</f>
        <v>0</v>
      </c>
      <c r="AB1889" s="117">
        <f t="shared" si="32"/>
        <v>0</v>
      </c>
      <c r="AC1889" s="117" t="str">
        <f>IF(AB1889=1,COUNTIF($AB$3:AB1889,1),"")</f>
        <v/>
      </c>
      <c r="AD1889" s="117" t="str">
        <f>IFERROR(INDEX($AA$3:$AA$10000,MATCH(ROWS($AC$3:AC1889),$AC$3:$AC$10000,0)),"")</f>
        <v/>
      </c>
      <c r="AE1889" s="117" t="str">
        <f>+'Packing Material - Cost'!A1890</f>
        <v/>
      </c>
    </row>
    <row r="1890" spans="27:31">
      <c r="AA1890" s="117">
        <f>+'Ingredient List - Mother Tinctu'!D1891</f>
        <v>0</v>
      </c>
      <c r="AB1890" s="117">
        <f t="shared" si="32"/>
        <v>0</v>
      </c>
      <c r="AC1890" s="117" t="str">
        <f>IF(AB1890=1,COUNTIF($AB$3:AB1890,1),"")</f>
        <v/>
      </c>
      <c r="AD1890" s="117" t="str">
        <f>IFERROR(INDEX($AA$3:$AA$10000,MATCH(ROWS($AC$3:AC1890),$AC$3:$AC$10000,0)),"")</f>
        <v/>
      </c>
      <c r="AE1890" s="117" t="str">
        <f>+'Packing Material - Cost'!A1891</f>
        <v/>
      </c>
    </row>
    <row r="1891" spans="27:31">
      <c r="AA1891" s="117">
        <f>+'Ingredient List - Mother Tinctu'!D1892</f>
        <v>0</v>
      </c>
      <c r="AB1891" s="117">
        <f t="shared" si="32"/>
        <v>0</v>
      </c>
      <c r="AC1891" s="117" t="str">
        <f>IF(AB1891=1,COUNTIF($AB$3:AB1891,1),"")</f>
        <v/>
      </c>
      <c r="AD1891" s="117" t="str">
        <f>IFERROR(INDEX($AA$3:$AA$10000,MATCH(ROWS($AC$3:AC1891),$AC$3:$AC$10000,0)),"")</f>
        <v/>
      </c>
      <c r="AE1891" s="117" t="str">
        <f>+'Packing Material - Cost'!A1892</f>
        <v/>
      </c>
    </row>
    <row r="1892" spans="27:31">
      <c r="AA1892" s="117">
        <f>+'Ingredient List - Mother Tinctu'!D1893</f>
        <v>0</v>
      </c>
      <c r="AB1892" s="117">
        <f t="shared" si="32"/>
        <v>0</v>
      </c>
      <c r="AC1892" s="117" t="str">
        <f>IF(AB1892=1,COUNTIF($AB$3:AB1892,1),"")</f>
        <v/>
      </c>
      <c r="AD1892" s="117" t="str">
        <f>IFERROR(INDEX($AA$3:$AA$10000,MATCH(ROWS($AC$3:AC1892),$AC$3:$AC$10000,0)),"")</f>
        <v/>
      </c>
      <c r="AE1892" s="117" t="str">
        <f>+'Packing Material - Cost'!A1893</f>
        <v/>
      </c>
    </row>
    <row r="1893" spans="27:31">
      <c r="AA1893" s="117">
        <f>+'Ingredient List - Mother Tinctu'!D1894</f>
        <v>0</v>
      </c>
      <c r="AB1893" s="117">
        <f t="shared" si="32"/>
        <v>0</v>
      </c>
      <c r="AC1893" s="117" t="str">
        <f>IF(AB1893=1,COUNTIF($AB$3:AB1893,1),"")</f>
        <v/>
      </c>
      <c r="AD1893" s="117" t="str">
        <f>IFERROR(INDEX($AA$3:$AA$10000,MATCH(ROWS($AC$3:AC1893),$AC$3:$AC$10000,0)),"")</f>
        <v/>
      </c>
      <c r="AE1893" s="117" t="str">
        <f>+'Packing Material - Cost'!A1894</f>
        <v/>
      </c>
    </row>
    <row r="1894" spans="27:31">
      <c r="AA1894" s="117">
        <f>+'Ingredient List - Mother Tinctu'!D1895</f>
        <v>0</v>
      </c>
      <c r="AB1894" s="117">
        <f t="shared" si="32"/>
        <v>0</v>
      </c>
      <c r="AC1894" s="117" t="str">
        <f>IF(AB1894=1,COUNTIF($AB$3:AB1894,1),"")</f>
        <v/>
      </c>
      <c r="AD1894" s="117" t="str">
        <f>IFERROR(INDEX($AA$3:$AA$10000,MATCH(ROWS($AC$3:AC1894),$AC$3:$AC$10000,0)),"")</f>
        <v/>
      </c>
      <c r="AE1894" s="117" t="str">
        <f>+'Packing Material - Cost'!A1895</f>
        <v/>
      </c>
    </row>
    <row r="1895" spans="27:31">
      <c r="AA1895" s="117">
        <f>+'Ingredient List - Mother Tinctu'!D1896</f>
        <v>0</v>
      </c>
      <c r="AB1895" s="117">
        <f t="shared" si="32"/>
        <v>0</v>
      </c>
      <c r="AC1895" s="117" t="str">
        <f>IF(AB1895=1,COUNTIF($AB$3:AB1895,1),"")</f>
        <v/>
      </c>
      <c r="AD1895" s="117" t="str">
        <f>IFERROR(INDEX($AA$3:$AA$10000,MATCH(ROWS($AC$3:AC1895),$AC$3:$AC$10000,0)),"")</f>
        <v/>
      </c>
      <c r="AE1895" s="117" t="str">
        <f>+'Packing Material - Cost'!A1896</f>
        <v/>
      </c>
    </row>
    <row r="1896" spans="27:31">
      <c r="AA1896" s="117">
        <f>+'Ingredient List - Mother Tinctu'!D1897</f>
        <v>0</v>
      </c>
      <c r="AB1896" s="117">
        <f t="shared" si="32"/>
        <v>0</v>
      </c>
      <c r="AC1896" s="117" t="str">
        <f>IF(AB1896=1,COUNTIF($AB$3:AB1896,1),"")</f>
        <v/>
      </c>
      <c r="AD1896" s="117" t="str">
        <f>IFERROR(INDEX($AA$3:$AA$10000,MATCH(ROWS($AC$3:AC1896),$AC$3:$AC$10000,0)),"")</f>
        <v/>
      </c>
      <c r="AE1896" s="117" t="str">
        <f>+'Packing Material - Cost'!A1897</f>
        <v/>
      </c>
    </row>
    <row r="1897" spans="27:31">
      <c r="AA1897" s="117">
        <f>+'Ingredient List - Mother Tinctu'!D1898</f>
        <v>0</v>
      </c>
      <c r="AB1897" s="117">
        <f t="shared" si="32"/>
        <v>0</v>
      </c>
      <c r="AC1897" s="117" t="str">
        <f>IF(AB1897=1,COUNTIF($AB$3:AB1897,1),"")</f>
        <v/>
      </c>
      <c r="AD1897" s="117" t="str">
        <f>IFERROR(INDEX($AA$3:$AA$10000,MATCH(ROWS($AC$3:AC1897),$AC$3:$AC$10000,0)),"")</f>
        <v/>
      </c>
      <c r="AE1897" s="117" t="str">
        <f>+'Packing Material - Cost'!A1898</f>
        <v/>
      </c>
    </row>
    <row r="1898" spans="27:31">
      <c r="AA1898" s="117">
        <f>+'Ingredient List - Mother Tinctu'!D1899</f>
        <v>0</v>
      </c>
      <c r="AB1898" s="117">
        <f t="shared" si="32"/>
        <v>0</v>
      </c>
      <c r="AC1898" s="117" t="str">
        <f>IF(AB1898=1,COUNTIF($AB$3:AB1898,1),"")</f>
        <v/>
      </c>
      <c r="AD1898" s="117" t="str">
        <f>IFERROR(INDEX($AA$3:$AA$10000,MATCH(ROWS($AC$3:AC1898),$AC$3:$AC$10000,0)),"")</f>
        <v/>
      </c>
      <c r="AE1898" s="117" t="str">
        <f>+'Packing Material - Cost'!A1899</f>
        <v/>
      </c>
    </row>
    <row r="1899" spans="27:31">
      <c r="AA1899" s="117">
        <f>+'Ingredient List - Mother Tinctu'!D1900</f>
        <v>0</v>
      </c>
      <c r="AB1899" s="117">
        <f t="shared" si="32"/>
        <v>0</v>
      </c>
      <c r="AC1899" s="117" t="str">
        <f>IF(AB1899=1,COUNTIF($AB$3:AB1899,1),"")</f>
        <v/>
      </c>
      <c r="AD1899" s="117" t="str">
        <f>IFERROR(INDEX($AA$3:$AA$10000,MATCH(ROWS($AC$3:AC1899),$AC$3:$AC$10000,0)),"")</f>
        <v/>
      </c>
      <c r="AE1899" s="117" t="str">
        <f>+'Packing Material - Cost'!A1900</f>
        <v/>
      </c>
    </row>
    <row r="1900" spans="27:31">
      <c r="AA1900" s="117">
        <f>+'Ingredient List - Mother Tinctu'!D1901</f>
        <v>0</v>
      </c>
      <c r="AB1900" s="117">
        <f t="shared" si="32"/>
        <v>0</v>
      </c>
      <c r="AC1900" s="117" t="str">
        <f>IF(AB1900=1,COUNTIF($AB$3:AB1900,1),"")</f>
        <v/>
      </c>
      <c r="AD1900" s="117" t="str">
        <f>IFERROR(INDEX($AA$3:$AA$10000,MATCH(ROWS($AC$3:AC1900),$AC$3:$AC$10000,0)),"")</f>
        <v/>
      </c>
      <c r="AE1900" s="117" t="str">
        <f>+'Packing Material - Cost'!A1901</f>
        <v/>
      </c>
    </row>
    <row r="1901" spans="27:31">
      <c r="AA1901" s="117">
        <f>+'Ingredient List - Mother Tinctu'!D1902</f>
        <v>0</v>
      </c>
      <c r="AB1901" s="117">
        <f t="shared" si="32"/>
        <v>0</v>
      </c>
      <c r="AC1901" s="117" t="str">
        <f>IF(AB1901=1,COUNTIF($AB$3:AB1901,1),"")</f>
        <v/>
      </c>
      <c r="AD1901" s="117" t="str">
        <f>IFERROR(INDEX($AA$3:$AA$10000,MATCH(ROWS($AC$3:AC1901),$AC$3:$AC$10000,0)),"")</f>
        <v/>
      </c>
      <c r="AE1901" s="117" t="str">
        <f>+'Packing Material - Cost'!A1902</f>
        <v/>
      </c>
    </row>
    <row r="1902" spans="27:31">
      <c r="AA1902" s="117">
        <f>+'Ingredient List - Mother Tinctu'!D1903</f>
        <v>0</v>
      </c>
      <c r="AB1902" s="117">
        <f t="shared" si="32"/>
        <v>0</v>
      </c>
      <c r="AC1902" s="117" t="str">
        <f>IF(AB1902=1,COUNTIF($AB$3:AB1902,1),"")</f>
        <v/>
      </c>
      <c r="AD1902" s="117" t="str">
        <f>IFERROR(INDEX($AA$3:$AA$10000,MATCH(ROWS($AC$3:AC1902),$AC$3:$AC$10000,0)),"")</f>
        <v/>
      </c>
      <c r="AE1902" s="117" t="str">
        <f>+'Packing Material - Cost'!A1903</f>
        <v/>
      </c>
    </row>
    <row r="1903" spans="27:31">
      <c r="AA1903" s="117">
        <f>+'Ingredient List - Mother Tinctu'!D1904</f>
        <v>0</v>
      </c>
      <c r="AB1903" s="117">
        <f t="shared" si="32"/>
        <v>0</v>
      </c>
      <c r="AC1903" s="117" t="str">
        <f>IF(AB1903=1,COUNTIF($AB$3:AB1903,1),"")</f>
        <v/>
      </c>
      <c r="AD1903" s="117" t="str">
        <f>IFERROR(INDEX($AA$3:$AA$10000,MATCH(ROWS($AC$3:AC1903),$AC$3:$AC$10000,0)),"")</f>
        <v/>
      </c>
      <c r="AE1903" s="117" t="str">
        <f>+'Packing Material - Cost'!A1904</f>
        <v/>
      </c>
    </row>
    <row r="1904" spans="27:31">
      <c r="AA1904" s="117">
        <f>+'Ingredient List - Mother Tinctu'!D1905</f>
        <v>0</v>
      </c>
      <c r="AB1904" s="117">
        <f t="shared" si="32"/>
        <v>0</v>
      </c>
      <c r="AC1904" s="117" t="str">
        <f>IF(AB1904=1,COUNTIF($AB$3:AB1904,1),"")</f>
        <v/>
      </c>
      <c r="AD1904" s="117" t="str">
        <f>IFERROR(INDEX($AA$3:$AA$10000,MATCH(ROWS($AC$3:AC1904),$AC$3:$AC$10000,0)),"")</f>
        <v/>
      </c>
      <c r="AE1904" s="117" t="str">
        <f>+'Packing Material - Cost'!A1905</f>
        <v/>
      </c>
    </row>
    <row r="1905" spans="27:31">
      <c r="AA1905" s="117">
        <f>+'Ingredient List - Mother Tinctu'!D1906</f>
        <v>0</v>
      </c>
      <c r="AB1905" s="117">
        <f t="shared" si="32"/>
        <v>0</v>
      </c>
      <c r="AC1905" s="117" t="str">
        <f>IF(AB1905=1,COUNTIF($AB$3:AB1905,1),"")</f>
        <v/>
      </c>
      <c r="AD1905" s="117" t="str">
        <f>IFERROR(INDEX($AA$3:$AA$10000,MATCH(ROWS($AC$3:AC1905),$AC$3:$AC$10000,0)),"")</f>
        <v/>
      </c>
      <c r="AE1905" s="117" t="str">
        <f>+'Packing Material - Cost'!A1906</f>
        <v/>
      </c>
    </row>
    <row r="1906" spans="27:31">
      <c r="AA1906" s="117">
        <f>+'Ingredient List - Mother Tinctu'!D1907</f>
        <v>0</v>
      </c>
      <c r="AB1906" s="117">
        <f t="shared" si="32"/>
        <v>0</v>
      </c>
      <c r="AC1906" s="117" t="str">
        <f>IF(AB1906=1,COUNTIF($AB$3:AB1906,1),"")</f>
        <v/>
      </c>
      <c r="AD1906" s="117" t="str">
        <f>IFERROR(INDEX($AA$3:$AA$10000,MATCH(ROWS($AC$3:AC1906),$AC$3:$AC$10000,0)),"")</f>
        <v/>
      </c>
      <c r="AE1906" s="117" t="str">
        <f>+'Packing Material - Cost'!A1907</f>
        <v/>
      </c>
    </row>
    <row r="1907" spans="27:31">
      <c r="AA1907" s="117">
        <f>+'Ingredient List - Mother Tinctu'!D1908</f>
        <v>0</v>
      </c>
      <c r="AB1907" s="117">
        <f t="shared" si="32"/>
        <v>0</v>
      </c>
      <c r="AC1907" s="117" t="str">
        <f>IF(AB1907=1,COUNTIF($AB$3:AB1907,1),"")</f>
        <v/>
      </c>
      <c r="AD1907" s="117" t="str">
        <f>IFERROR(INDEX($AA$3:$AA$10000,MATCH(ROWS($AC$3:AC1907),$AC$3:$AC$10000,0)),"")</f>
        <v/>
      </c>
      <c r="AE1907" s="117" t="str">
        <f>+'Packing Material - Cost'!A1908</f>
        <v/>
      </c>
    </row>
    <row r="1908" spans="27:31">
      <c r="AA1908" s="117">
        <f>+'Ingredient List - Mother Tinctu'!D1909</f>
        <v>0</v>
      </c>
      <c r="AB1908" s="117">
        <f t="shared" si="32"/>
        <v>0</v>
      </c>
      <c r="AC1908" s="117" t="str">
        <f>IF(AB1908=1,COUNTIF($AB$3:AB1908,1),"")</f>
        <v/>
      </c>
      <c r="AD1908" s="117" t="str">
        <f>IFERROR(INDEX($AA$3:$AA$10000,MATCH(ROWS($AC$3:AC1908),$AC$3:$AC$10000,0)),"")</f>
        <v/>
      </c>
      <c r="AE1908" s="117" t="str">
        <f>+'Packing Material - Cost'!A1909</f>
        <v/>
      </c>
    </row>
    <row r="1909" spans="27:31">
      <c r="AA1909" s="117">
        <f>+'Ingredient List - Mother Tinctu'!D1910</f>
        <v>0</v>
      </c>
      <c r="AB1909" s="117">
        <f t="shared" si="32"/>
        <v>0</v>
      </c>
      <c r="AC1909" s="117" t="str">
        <f>IF(AB1909=1,COUNTIF($AB$3:AB1909,1),"")</f>
        <v/>
      </c>
      <c r="AD1909" s="117" t="str">
        <f>IFERROR(INDEX($AA$3:$AA$10000,MATCH(ROWS($AC$3:AC1909),$AC$3:$AC$10000,0)),"")</f>
        <v/>
      </c>
      <c r="AE1909" s="117" t="str">
        <f>+'Packing Material - Cost'!A1910</f>
        <v/>
      </c>
    </row>
    <row r="1910" spans="27:31">
      <c r="AA1910" s="117">
        <f>+'Ingredient List - Mother Tinctu'!D1911</f>
        <v>0</v>
      </c>
      <c r="AB1910" s="117">
        <f t="shared" si="32"/>
        <v>0</v>
      </c>
      <c r="AC1910" s="117" t="str">
        <f>IF(AB1910=1,COUNTIF($AB$3:AB1910,1),"")</f>
        <v/>
      </c>
      <c r="AD1910" s="117" t="str">
        <f>IFERROR(INDEX($AA$3:$AA$10000,MATCH(ROWS($AC$3:AC1910),$AC$3:$AC$10000,0)),"")</f>
        <v/>
      </c>
      <c r="AE1910" s="117" t="str">
        <f>+'Packing Material - Cost'!A1911</f>
        <v/>
      </c>
    </row>
    <row r="1911" spans="27:31">
      <c r="AA1911" s="117">
        <f>+'Ingredient List - Mother Tinctu'!D1912</f>
        <v>0</v>
      </c>
      <c r="AB1911" s="117">
        <f t="shared" si="32"/>
        <v>0</v>
      </c>
      <c r="AC1911" s="117" t="str">
        <f>IF(AB1911=1,COUNTIF($AB$3:AB1911,1),"")</f>
        <v/>
      </c>
      <c r="AD1911" s="117" t="str">
        <f>IFERROR(INDEX($AA$3:$AA$10000,MATCH(ROWS($AC$3:AC1911),$AC$3:$AC$10000,0)),"")</f>
        <v/>
      </c>
      <c r="AE1911" s="117" t="str">
        <f>+'Packing Material - Cost'!A1912</f>
        <v/>
      </c>
    </row>
    <row r="1912" spans="27:31">
      <c r="AA1912" s="117">
        <f>+'Ingredient List - Mother Tinctu'!D1913</f>
        <v>0</v>
      </c>
      <c r="AB1912" s="117">
        <f t="shared" si="32"/>
        <v>0</v>
      </c>
      <c r="AC1912" s="117" t="str">
        <f>IF(AB1912=1,COUNTIF($AB$3:AB1912,1),"")</f>
        <v/>
      </c>
      <c r="AD1912" s="117" t="str">
        <f>IFERROR(INDEX($AA$3:$AA$10000,MATCH(ROWS($AC$3:AC1912),$AC$3:$AC$10000,0)),"")</f>
        <v/>
      </c>
      <c r="AE1912" s="117" t="str">
        <f>+'Packing Material - Cost'!A1913</f>
        <v/>
      </c>
    </row>
    <row r="1913" spans="27:31">
      <c r="AA1913" s="117">
        <f>+'Ingredient List - Mother Tinctu'!D1914</f>
        <v>0</v>
      </c>
      <c r="AB1913" s="117">
        <f t="shared" si="32"/>
        <v>0</v>
      </c>
      <c r="AC1913" s="117" t="str">
        <f>IF(AB1913=1,COUNTIF($AB$3:AB1913,1),"")</f>
        <v/>
      </c>
      <c r="AD1913" s="117" t="str">
        <f>IFERROR(INDEX($AA$3:$AA$10000,MATCH(ROWS($AC$3:AC1913),$AC$3:$AC$10000,0)),"")</f>
        <v/>
      </c>
      <c r="AE1913" s="117" t="str">
        <f>+'Packing Material - Cost'!A1914</f>
        <v/>
      </c>
    </row>
    <row r="1914" spans="27:31">
      <c r="AA1914" s="117">
        <f>+'Ingredient List - Mother Tinctu'!D1915</f>
        <v>0</v>
      </c>
      <c r="AB1914" s="117">
        <f t="shared" si="32"/>
        <v>0</v>
      </c>
      <c r="AC1914" s="117" t="str">
        <f>IF(AB1914=1,COUNTIF($AB$3:AB1914,1),"")</f>
        <v/>
      </c>
      <c r="AD1914" s="117" t="str">
        <f>IFERROR(INDEX($AA$3:$AA$10000,MATCH(ROWS($AC$3:AC1914),$AC$3:$AC$10000,0)),"")</f>
        <v/>
      </c>
      <c r="AE1914" s="117" t="str">
        <f>+'Packing Material - Cost'!A1915</f>
        <v/>
      </c>
    </row>
    <row r="1915" spans="27:31">
      <c r="AA1915" s="117">
        <f>+'Ingredient List - Mother Tinctu'!D1916</f>
        <v>0</v>
      </c>
      <c r="AB1915" s="117">
        <f t="shared" si="32"/>
        <v>0</v>
      </c>
      <c r="AC1915" s="117" t="str">
        <f>IF(AB1915=1,COUNTIF($AB$3:AB1915,1),"")</f>
        <v/>
      </c>
      <c r="AD1915" s="117" t="str">
        <f>IFERROR(INDEX($AA$3:$AA$10000,MATCH(ROWS($AC$3:AC1915),$AC$3:$AC$10000,0)),"")</f>
        <v/>
      </c>
      <c r="AE1915" s="117" t="str">
        <f>+'Packing Material - Cost'!A1916</f>
        <v/>
      </c>
    </row>
    <row r="1916" spans="27:31">
      <c r="AA1916" s="117">
        <f>+'Ingredient List - Mother Tinctu'!D1917</f>
        <v>0</v>
      </c>
      <c r="AB1916" s="117">
        <f t="shared" si="32"/>
        <v>0</v>
      </c>
      <c r="AC1916" s="117" t="str">
        <f>IF(AB1916=1,COUNTIF($AB$3:AB1916,1),"")</f>
        <v/>
      </c>
      <c r="AD1916" s="117" t="str">
        <f>IFERROR(INDEX($AA$3:$AA$10000,MATCH(ROWS($AC$3:AC1916),$AC$3:$AC$10000,0)),"")</f>
        <v/>
      </c>
      <c r="AE1916" s="117" t="str">
        <f>+'Packing Material - Cost'!A1917</f>
        <v/>
      </c>
    </row>
    <row r="1917" spans="27:31">
      <c r="AA1917" s="117">
        <f>+'Ingredient List - Mother Tinctu'!D1918</f>
        <v>0</v>
      </c>
      <c r="AB1917" s="117">
        <f t="shared" si="32"/>
        <v>0</v>
      </c>
      <c r="AC1917" s="117" t="str">
        <f>IF(AB1917=1,COUNTIF($AB$3:AB1917,1),"")</f>
        <v/>
      </c>
      <c r="AD1917" s="117" t="str">
        <f>IFERROR(INDEX($AA$3:$AA$10000,MATCH(ROWS($AC$3:AC1917),$AC$3:$AC$10000,0)),"")</f>
        <v/>
      </c>
      <c r="AE1917" s="117" t="str">
        <f>+'Packing Material - Cost'!A1918</f>
        <v/>
      </c>
    </row>
    <row r="1918" spans="27:31">
      <c r="AA1918" s="117">
        <f>+'Ingredient List - Mother Tinctu'!D1919</f>
        <v>0</v>
      </c>
      <c r="AB1918" s="117">
        <f t="shared" si="32"/>
        <v>0</v>
      </c>
      <c r="AC1918" s="117" t="str">
        <f>IF(AB1918=1,COUNTIF($AB$3:AB1918,1),"")</f>
        <v/>
      </c>
      <c r="AD1918" s="117" t="str">
        <f>IFERROR(INDEX($AA$3:$AA$10000,MATCH(ROWS($AC$3:AC1918),$AC$3:$AC$10000,0)),"")</f>
        <v/>
      </c>
      <c r="AE1918" s="117" t="str">
        <f>+'Packing Material - Cost'!A1919</f>
        <v/>
      </c>
    </row>
    <row r="1919" spans="27:31">
      <c r="AA1919" s="117">
        <f>+'Ingredient List - Mother Tinctu'!D1920</f>
        <v>0</v>
      </c>
      <c r="AB1919" s="117">
        <f t="shared" si="32"/>
        <v>0</v>
      </c>
      <c r="AC1919" s="117" t="str">
        <f>IF(AB1919=1,COUNTIF($AB$3:AB1919,1),"")</f>
        <v/>
      </c>
      <c r="AD1919" s="117" t="str">
        <f>IFERROR(INDEX($AA$3:$AA$10000,MATCH(ROWS($AC$3:AC1919),$AC$3:$AC$10000,0)),"")</f>
        <v/>
      </c>
      <c r="AE1919" s="117" t="str">
        <f>+'Packing Material - Cost'!A1920</f>
        <v/>
      </c>
    </row>
    <row r="1920" spans="27:31">
      <c r="AA1920" s="117">
        <f>+'Ingredient List - Mother Tinctu'!D1921</f>
        <v>0</v>
      </c>
      <c r="AB1920" s="117">
        <f t="shared" si="32"/>
        <v>0</v>
      </c>
      <c r="AC1920" s="117" t="str">
        <f>IF(AB1920=1,COUNTIF($AB$3:AB1920,1),"")</f>
        <v/>
      </c>
      <c r="AD1920" s="117" t="str">
        <f>IFERROR(INDEX($AA$3:$AA$10000,MATCH(ROWS($AC$3:AC1920),$AC$3:$AC$10000,0)),"")</f>
        <v/>
      </c>
      <c r="AE1920" s="117" t="str">
        <f>+'Packing Material - Cost'!A1921</f>
        <v/>
      </c>
    </row>
    <row r="1921" spans="27:31">
      <c r="AA1921" s="117">
        <f>+'Ingredient List - Mother Tinctu'!D1922</f>
        <v>0</v>
      </c>
      <c r="AB1921" s="117">
        <f t="shared" si="32"/>
        <v>0</v>
      </c>
      <c r="AC1921" s="117" t="str">
        <f>IF(AB1921=1,COUNTIF($AB$3:AB1921,1),"")</f>
        <v/>
      </c>
      <c r="AD1921" s="117" t="str">
        <f>IFERROR(INDEX($AA$3:$AA$10000,MATCH(ROWS($AC$3:AC1921),$AC$3:$AC$10000,0)),"")</f>
        <v/>
      </c>
      <c r="AE1921" s="117" t="str">
        <f>+'Packing Material - Cost'!A1922</f>
        <v/>
      </c>
    </row>
    <row r="1922" spans="27:31">
      <c r="AA1922" s="117">
        <f>+'Ingredient List - Mother Tinctu'!D1923</f>
        <v>0</v>
      </c>
      <c r="AB1922" s="117">
        <f t="shared" si="32"/>
        <v>0</v>
      </c>
      <c r="AC1922" s="117" t="str">
        <f>IF(AB1922=1,COUNTIF($AB$3:AB1922,1),"")</f>
        <v/>
      </c>
      <c r="AD1922" s="117" t="str">
        <f>IFERROR(INDEX($AA$3:$AA$10000,MATCH(ROWS($AC$3:AC1922),$AC$3:$AC$10000,0)),"")</f>
        <v/>
      </c>
      <c r="AE1922" s="117" t="str">
        <f>+'Packing Material - Cost'!A1923</f>
        <v/>
      </c>
    </row>
    <row r="1923" spans="27:31">
      <c r="AA1923" s="117">
        <f>+'Ingredient List - Mother Tinctu'!D1924</f>
        <v>0</v>
      </c>
      <c r="AB1923" s="117">
        <f t="shared" si="32"/>
        <v>0</v>
      </c>
      <c r="AC1923" s="117" t="str">
        <f>IF(AB1923=1,COUNTIF($AB$3:AB1923,1),"")</f>
        <v/>
      </c>
      <c r="AD1923" s="117" t="str">
        <f>IFERROR(INDEX($AA$3:$AA$10000,MATCH(ROWS($AC$3:AC1923),$AC$3:$AC$10000,0)),"")</f>
        <v/>
      </c>
      <c r="AE1923" s="117" t="str">
        <f>+'Packing Material - Cost'!A1924</f>
        <v/>
      </c>
    </row>
    <row r="1924" spans="27:31">
      <c r="AA1924" s="117">
        <f>+'Ingredient List - Mother Tinctu'!D1925</f>
        <v>0</v>
      </c>
      <c r="AB1924" s="117">
        <f t="shared" ref="AB1924:AB1987" si="33">--ISNUMBER(IFERROR(SEARCH($D$3,AA1924,1),""))</f>
        <v>0</v>
      </c>
      <c r="AC1924" s="117" t="str">
        <f>IF(AB1924=1,COUNTIF($AB$3:AB1924,1),"")</f>
        <v/>
      </c>
      <c r="AD1924" s="117" t="str">
        <f>IFERROR(INDEX($AA$3:$AA$10000,MATCH(ROWS($AC$3:AC1924),$AC$3:$AC$10000,0)),"")</f>
        <v/>
      </c>
      <c r="AE1924" s="117" t="str">
        <f>+'Packing Material - Cost'!A1925</f>
        <v/>
      </c>
    </row>
    <row r="1925" spans="27:31">
      <c r="AA1925" s="117">
        <f>+'Ingredient List - Mother Tinctu'!D1926</f>
        <v>0</v>
      </c>
      <c r="AB1925" s="117">
        <f t="shared" si="33"/>
        <v>0</v>
      </c>
      <c r="AC1925" s="117" t="str">
        <f>IF(AB1925=1,COUNTIF($AB$3:AB1925,1),"")</f>
        <v/>
      </c>
      <c r="AD1925" s="117" t="str">
        <f>IFERROR(INDEX($AA$3:$AA$10000,MATCH(ROWS($AC$3:AC1925),$AC$3:$AC$10000,0)),"")</f>
        <v/>
      </c>
      <c r="AE1925" s="117" t="str">
        <f>+'Packing Material - Cost'!A1926</f>
        <v/>
      </c>
    </row>
    <row r="1926" spans="27:31">
      <c r="AA1926" s="117">
        <f>+'Ingredient List - Mother Tinctu'!D1927</f>
        <v>0</v>
      </c>
      <c r="AB1926" s="117">
        <f t="shared" si="33"/>
        <v>0</v>
      </c>
      <c r="AC1926" s="117" t="str">
        <f>IF(AB1926=1,COUNTIF($AB$3:AB1926,1),"")</f>
        <v/>
      </c>
      <c r="AD1926" s="117" t="str">
        <f>IFERROR(INDEX($AA$3:$AA$10000,MATCH(ROWS($AC$3:AC1926),$AC$3:$AC$10000,0)),"")</f>
        <v/>
      </c>
      <c r="AE1926" s="117" t="str">
        <f>+'Packing Material - Cost'!A1927</f>
        <v/>
      </c>
    </row>
    <row r="1927" spans="27:31">
      <c r="AA1927" s="117">
        <f>+'Ingredient List - Mother Tinctu'!D1928</f>
        <v>0</v>
      </c>
      <c r="AB1927" s="117">
        <f t="shared" si="33"/>
        <v>0</v>
      </c>
      <c r="AC1927" s="117" t="str">
        <f>IF(AB1927=1,COUNTIF($AB$3:AB1927,1),"")</f>
        <v/>
      </c>
      <c r="AD1927" s="117" t="str">
        <f>IFERROR(INDEX($AA$3:$AA$10000,MATCH(ROWS($AC$3:AC1927),$AC$3:$AC$10000,0)),"")</f>
        <v/>
      </c>
      <c r="AE1927" s="117" t="str">
        <f>+'Packing Material - Cost'!A1928</f>
        <v/>
      </c>
    </row>
    <row r="1928" spans="27:31">
      <c r="AA1928" s="117">
        <f>+'Ingredient List - Mother Tinctu'!D1929</f>
        <v>0</v>
      </c>
      <c r="AB1928" s="117">
        <f t="shared" si="33"/>
        <v>0</v>
      </c>
      <c r="AC1928" s="117" t="str">
        <f>IF(AB1928=1,COUNTIF($AB$3:AB1928,1),"")</f>
        <v/>
      </c>
      <c r="AD1928" s="117" t="str">
        <f>IFERROR(INDEX($AA$3:$AA$10000,MATCH(ROWS($AC$3:AC1928),$AC$3:$AC$10000,0)),"")</f>
        <v/>
      </c>
      <c r="AE1928" s="117" t="str">
        <f>+'Packing Material - Cost'!A1929</f>
        <v/>
      </c>
    </row>
    <row r="1929" spans="27:31">
      <c r="AA1929" s="117">
        <f>+'Ingredient List - Mother Tinctu'!D1930</f>
        <v>0</v>
      </c>
      <c r="AB1929" s="117">
        <f t="shared" si="33"/>
        <v>0</v>
      </c>
      <c r="AC1929" s="117" t="str">
        <f>IF(AB1929=1,COUNTIF($AB$3:AB1929,1),"")</f>
        <v/>
      </c>
      <c r="AD1929" s="117" t="str">
        <f>IFERROR(INDEX($AA$3:$AA$10000,MATCH(ROWS($AC$3:AC1929),$AC$3:$AC$10000,0)),"")</f>
        <v/>
      </c>
      <c r="AE1929" s="117" t="str">
        <f>+'Packing Material - Cost'!A1930</f>
        <v/>
      </c>
    </row>
    <row r="1930" spans="27:31">
      <c r="AA1930" s="117">
        <f>+'Ingredient List - Mother Tinctu'!D1931</f>
        <v>0</v>
      </c>
      <c r="AB1930" s="117">
        <f t="shared" si="33"/>
        <v>0</v>
      </c>
      <c r="AC1930" s="117" t="str">
        <f>IF(AB1930=1,COUNTIF($AB$3:AB1930,1),"")</f>
        <v/>
      </c>
      <c r="AD1930" s="117" t="str">
        <f>IFERROR(INDEX($AA$3:$AA$10000,MATCH(ROWS($AC$3:AC1930),$AC$3:$AC$10000,0)),"")</f>
        <v/>
      </c>
      <c r="AE1930" s="117" t="str">
        <f>+'Packing Material - Cost'!A1931</f>
        <v/>
      </c>
    </row>
    <row r="1931" spans="27:31">
      <c r="AA1931" s="117">
        <f>+'Ingredient List - Mother Tinctu'!D1932</f>
        <v>0</v>
      </c>
      <c r="AB1931" s="117">
        <f t="shared" si="33"/>
        <v>0</v>
      </c>
      <c r="AC1931" s="117" t="str">
        <f>IF(AB1931=1,COUNTIF($AB$3:AB1931,1),"")</f>
        <v/>
      </c>
      <c r="AD1931" s="117" t="str">
        <f>IFERROR(INDEX($AA$3:$AA$10000,MATCH(ROWS($AC$3:AC1931),$AC$3:$AC$10000,0)),"")</f>
        <v/>
      </c>
      <c r="AE1931" s="117" t="str">
        <f>+'Packing Material - Cost'!A1932</f>
        <v/>
      </c>
    </row>
    <row r="1932" spans="27:31">
      <c r="AA1932" s="117">
        <f>+'Ingredient List - Mother Tinctu'!D1933</f>
        <v>0</v>
      </c>
      <c r="AB1932" s="117">
        <f t="shared" si="33"/>
        <v>0</v>
      </c>
      <c r="AC1932" s="117" t="str">
        <f>IF(AB1932=1,COUNTIF($AB$3:AB1932,1),"")</f>
        <v/>
      </c>
      <c r="AD1932" s="117" t="str">
        <f>IFERROR(INDEX($AA$3:$AA$10000,MATCH(ROWS($AC$3:AC1932),$AC$3:$AC$10000,0)),"")</f>
        <v/>
      </c>
      <c r="AE1932" s="117" t="str">
        <f>+'Packing Material - Cost'!A1933</f>
        <v/>
      </c>
    </row>
    <row r="1933" spans="27:31">
      <c r="AA1933" s="117">
        <f>+'Ingredient List - Mother Tinctu'!D1934</f>
        <v>0</v>
      </c>
      <c r="AB1933" s="117">
        <f t="shared" si="33"/>
        <v>0</v>
      </c>
      <c r="AC1933" s="117" t="str">
        <f>IF(AB1933=1,COUNTIF($AB$3:AB1933,1),"")</f>
        <v/>
      </c>
      <c r="AD1933" s="117" t="str">
        <f>IFERROR(INDEX($AA$3:$AA$10000,MATCH(ROWS($AC$3:AC1933),$AC$3:$AC$10000,0)),"")</f>
        <v/>
      </c>
      <c r="AE1933" s="117" t="str">
        <f>+'Packing Material - Cost'!A1934</f>
        <v/>
      </c>
    </row>
    <row r="1934" spans="27:31">
      <c r="AA1934" s="117">
        <f>+'Ingredient List - Mother Tinctu'!D1935</f>
        <v>0</v>
      </c>
      <c r="AB1934" s="117">
        <f t="shared" si="33"/>
        <v>0</v>
      </c>
      <c r="AC1934" s="117" t="str">
        <f>IF(AB1934=1,COUNTIF($AB$3:AB1934,1),"")</f>
        <v/>
      </c>
      <c r="AD1934" s="117" t="str">
        <f>IFERROR(INDEX($AA$3:$AA$10000,MATCH(ROWS($AC$3:AC1934),$AC$3:$AC$10000,0)),"")</f>
        <v/>
      </c>
      <c r="AE1934" s="117" t="str">
        <f>+'Packing Material - Cost'!A1935</f>
        <v/>
      </c>
    </row>
    <row r="1935" spans="27:31">
      <c r="AA1935" s="117">
        <f>+'Ingredient List - Mother Tinctu'!D1936</f>
        <v>0</v>
      </c>
      <c r="AB1935" s="117">
        <f t="shared" si="33"/>
        <v>0</v>
      </c>
      <c r="AC1935" s="117" t="str">
        <f>IF(AB1935=1,COUNTIF($AB$3:AB1935,1),"")</f>
        <v/>
      </c>
      <c r="AD1935" s="117" t="str">
        <f>IFERROR(INDEX($AA$3:$AA$10000,MATCH(ROWS($AC$3:AC1935),$AC$3:$AC$10000,0)),"")</f>
        <v/>
      </c>
      <c r="AE1935" s="117" t="str">
        <f>+'Packing Material - Cost'!A1936</f>
        <v/>
      </c>
    </row>
    <row r="1936" spans="27:31">
      <c r="AA1936" s="117">
        <f>+'Ingredient List - Mother Tinctu'!D1937</f>
        <v>0</v>
      </c>
      <c r="AB1936" s="117">
        <f t="shared" si="33"/>
        <v>0</v>
      </c>
      <c r="AC1936" s="117" t="str">
        <f>IF(AB1936=1,COUNTIF($AB$3:AB1936,1),"")</f>
        <v/>
      </c>
      <c r="AD1936" s="117" t="str">
        <f>IFERROR(INDEX($AA$3:$AA$10000,MATCH(ROWS($AC$3:AC1936),$AC$3:$AC$10000,0)),"")</f>
        <v/>
      </c>
      <c r="AE1936" s="117" t="str">
        <f>+'Packing Material - Cost'!A1937</f>
        <v/>
      </c>
    </row>
    <row r="1937" spans="27:31">
      <c r="AA1937" s="117">
        <f>+'Ingredient List - Mother Tinctu'!D1938</f>
        <v>0</v>
      </c>
      <c r="AB1937" s="117">
        <f t="shared" si="33"/>
        <v>0</v>
      </c>
      <c r="AC1937" s="117" t="str">
        <f>IF(AB1937=1,COUNTIF($AB$3:AB1937,1),"")</f>
        <v/>
      </c>
      <c r="AD1937" s="117" t="str">
        <f>IFERROR(INDEX($AA$3:$AA$10000,MATCH(ROWS($AC$3:AC1937),$AC$3:$AC$10000,0)),"")</f>
        <v/>
      </c>
      <c r="AE1937" s="117" t="str">
        <f>+'Packing Material - Cost'!A1938</f>
        <v/>
      </c>
    </row>
    <row r="1938" spans="27:31">
      <c r="AA1938" s="117">
        <f>+'Ingredient List - Mother Tinctu'!D1939</f>
        <v>0</v>
      </c>
      <c r="AB1938" s="117">
        <f t="shared" si="33"/>
        <v>0</v>
      </c>
      <c r="AC1938" s="117" t="str">
        <f>IF(AB1938=1,COUNTIF($AB$3:AB1938,1),"")</f>
        <v/>
      </c>
      <c r="AD1938" s="117" t="str">
        <f>IFERROR(INDEX($AA$3:$AA$10000,MATCH(ROWS($AC$3:AC1938),$AC$3:$AC$10000,0)),"")</f>
        <v/>
      </c>
      <c r="AE1938" s="117" t="str">
        <f>+'Packing Material - Cost'!A1939</f>
        <v/>
      </c>
    </row>
    <row r="1939" spans="27:31">
      <c r="AA1939" s="117">
        <f>+'Ingredient List - Mother Tinctu'!D1940</f>
        <v>0</v>
      </c>
      <c r="AB1939" s="117">
        <f t="shared" si="33"/>
        <v>0</v>
      </c>
      <c r="AC1939" s="117" t="str">
        <f>IF(AB1939=1,COUNTIF($AB$3:AB1939,1),"")</f>
        <v/>
      </c>
      <c r="AD1939" s="117" t="str">
        <f>IFERROR(INDEX($AA$3:$AA$10000,MATCH(ROWS($AC$3:AC1939),$AC$3:$AC$10000,0)),"")</f>
        <v/>
      </c>
      <c r="AE1939" s="117" t="str">
        <f>+'Packing Material - Cost'!A1940</f>
        <v/>
      </c>
    </row>
    <row r="1940" spans="27:31">
      <c r="AA1940" s="117">
        <f>+'Ingredient List - Mother Tinctu'!D1941</f>
        <v>0</v>
      </c>
      <c r="AB1940" s="117">
        <f t="shared" si="33"/>
        <v>0</v>
      </c>
      <c r="AC1940" s="117" t="str">
        <f>IF(AB1940=1,COUNTIF($AB$3:AB1940,1),"")</f>
        <v/>
      </c>
      <c r="AD1940" s="117" t="str">
        <f>IFERROR(INDEX($AA$3:$AA$10000,MATCH(ROWS($AC$3:AC1940),$AC$3:$AC$10000,0)),"")</f>
        <v/>
      </c>
      <c r="AE1940" s="117" t="str">
        <f>+'Packing Material - Cost'!A1941</f>
        <v/>
      </c>
    </row>
    <row r="1941" spans="27:31">
      <c r="AA1941" s="117">
        <f>+'Ingredient List - Mother Tinctu'!D1942</f>
        <v>0</v>
      </c>
      <c r="AB1941" s="117">
        <f t="shared" si="33"/>
        <v>0</v>
      </c>
      <c r="AC1941" s="117" t="str">
        <f>IF(AB1941=1,COUNTIF($AB$3:AB1941,1),"")</f>
        <v/>
      </c>
      <c r="AD1941" s="117" t="str">
        <f>IFERROR(INDEX($AA$3:$AA$10000,MATCH(ROWS($AC$3:AC1941),$AC$3:$AC$10000,0)),"")</f>
        <v/>
      </c>
      <c r="AE1941" s="117" t="str">
        <f>+'Packing Material - Cost'!A1942</f>
        <v/>
      </c>
    </row>
    <row r="1942" spans="27:31">
      <c r="AA1942" s="117">
        <f>+'Ingredient List - Mother Tinctu'!D1943</f>
        <v>0</v>
      </c>
      <c r="AB1942" s="117">
        <f t="shared" si="33"/>
        <v>0</v>
      </c>
      <c r="AC1942" s="117" t="str">
        <f>IF(AB1942=1,COUNTIF($AB$3:AB1942,1),"")</f>
        <v/>
      </c>
      <c r="AD1942" s="117" t="str">
        <f>IFERROR(INDEX($AA$3:$AA$10000,MATCH(ROWS($AC$3:AC1942),$AC$3:$AC$10000,0)),"")</f>
        <v/>
      </c>
      <c r="AE1942" s="117" t="str">
        <f>+'Packing Material - Cost'!A1943</f>
        <v/>
      </c>
    </row>
    <row r="1943" spans="27:31">
      <c r="AA1943" s="117">
        <f>+'Ingredient List - Mother Tinctu'!D1944</f>
        <v>0</v>
      </c>
      <c r="AB1943" s="117">
        <f t="shared" si="33"/>
        <v>0</v>
      </c>
      <c r="AC1943" s="117" t="str">
        <f>IF(AB1943=1,COUNTIF($AB$3:AB1943,1),"")</f>
        <v/>
      </c>
      <c r="AD1943" s="117" t="str">
        <f>IFERROR(INDEX($AA$3:$AA$10000,MATCH(ROWS($AC$3:AC1943),$AC$3:$AC$10000,0)),"")</f>
        <v/>
      </c>
      <c r="AE1943" s="117" t="str">
        <f>+'Packing Material - Cost'!A1944</f>
        <v/>
      </c>
    </row>
    <row r="1944" spans="27:31">
      <c r="AA1944" s="117">
        <f>+'Ingredient List - Mother Tinctu'!D1945</f>
        <v>0</v>
      </c>
      <c r="AB1944" s="117">
        <f t="shared" si="33"/>
        <v>0</v>
      </c>
      <c r="AC1944" s="117" t="str">
        <f>IF(AB1944=1,COUNTIF($AB$3:AB1944,1),"")</f>
        <v/>
      </c>
      <c r="AD1944" s="117" t="str">
        <f>IFERROR(INDEX($AA$3:$AA$10000,MATCH(ROWS($AC$3:AC1944),$AC$3:$AC$10000,0)),"")</f>
        <v/>
      </c>
      <c r="AE1944" s="117" t="str">
        <f>+'Packing Material - Cost'!A1945</f>
        <v/>
      </c>
    </row>
    <row r="1945" spans="27:31">
      <c r="AA1945" s="117">
        <f>+'Ingredient List - Mother Tinctu'!D1946</f>
        <v>0</v>
      </c>
      <c r="AB1945" s="117">
        <f t="shared" si="33"/>
        <v>0</v>
      </c>
      <c r="AC1945" s="117" t="str">
        <f>IF(AB1945=1,COUNTIF($AB$3:AB1945,1),"")</f>
        <v/>
      </c>
      <c r="AD1945" s="117" t="str">
        <f>IFERROR(INDEX($AA$3:$AA$10000,MATCH(ROWS($AC$3:AC1945),$AC$3:$AC$10000,0)),"")</f>
        <v/>
      </c>
      <c r="AE1945" s="117" t="str">
        <f>+'Packing Material - Cost'!A1946</f>
        <v/>
      </c>
    </row>
    <row r="1946" spans="27:31">
      <c r="AA1946" s="117">
        <f>+'Ingredient List - Mother Tinctu'!D1947</f>
        <v>0</v>
      </c>
      <c r="AB1946" s="117">
        <f t="shared" si="33"/>
        <v>0</v>
      </c>
      <c r="AC1946" s="117" t="str">
        <f>IF(AB1946=1,COUNTIF($AB$3:AB1946,1),"")</f>
        <v/>
      </c>
      <c r="AD1946" s="117" t="str">
        <f>IFERROR(INDEX($AA$3:$AA$10000,MATCH(ROWS($AC$3:AC1946),$AC$3:$AC$10000,0)),"")</f>
        <v/>
      </c>
      <c r="AE1946" s="117" t="str">
        <f>+'Packing Material - Cost'!A1947</f>
        <v/>
      </c>
    </row>
    <row r="1947" spans="27:31">
      <c r="AA1947" s="117">
        <f>+'Ingredient List - Mother Tinctu'!D1948</f>
        <v>0</v>
      </c>
      <c r="AB1947" s="117">
        <f t="shared" si="33"/>
        <v>0</v>
      </c>
      <c r="AC1947" s="117" t="str">
        <f>IF(AB1947=1,COUNTIF($AB$3:AB1947,1),"")</f>
        <v/>
      </c>
      <c r="AD1947" s="117" t="str">
        <f>IFERROR(INDEX($AA$3:$AA$10000,MATCH(ROWS($AC$3:AC1947),$AC$3:$AC$10000,0)),"")</f>
        <v/>
      </c>
      <c r="AE1947" s="117" t="str">
        <f>+'Packing Material - Cost'!A1948</f>
        <v/>
      </c>
    </row>
    <row r="1948" spans="27:31">
      <c r="AA1948" s="117">
        <f>+'Ingredient List - Mother Tinctu'!D1949</f>
        <v>0</v>
      </c>
      <c r="AB1948" s="117">
        <f t="shared" si="33"/>
        <v>0</v>
      </c>
      <c r="AC1948" s="117" t="str">
        <f>IF(AB1948=1,COUNTIF($AB$3:AB1948,1),"")</f>
        <v/>
      </c>
      <c r="AD1948" s="117" t="str">
        <f>IFERROR(INDEX($AA$3:$AA$10000,MATCH(ROWS($AC$3:AC1948),$AC$3:$AC$10000,0)),"")</f>
        <v/>
      </c>
      <c r="AE1948" s="117" t="str">
        <f>+'Packing Material - Cost'!A1949</f>
        <v/>
      </c>
    </row>
    <row r="1949" spans="27:31">
      <c r="AA1949" s="117">
        <f>+'Ingredient List - Mother Tinctu'!D1950</f>
        <v>0</v>
      </c>
      <c r="AB1949" s="117">
        <f t="shared" si="33"/>
        <v>0</v>
      </c>
      <c r="AC1949" s="117" t="str">
        <f>IF(AB1949=1,COUNTIF($AB$3:AB1949,1),"")</f>
        <v/>
      </c>
      <c r="AD1949" s="117" t="str">
        <f>IFERROR(INDEX($AA$3:$AA$10000,MATCH(ROWS($AC$3:AC1949),$AC$3:$AC$10000,0)),"")</f>
        <v/>
      </c>
      <c r="AE1949" s="117" t="str">
        <f>+'Packing Material - Cost'!A1950</f>
        <v/>
      </c>
    </row>
    <row r="1950" spans="27:31">
      <c r="AA1950" s="117">
        <f>+'Ingredient List - Mother Tinctu'!D1951</f>
        <v>0</v>
      </c>
      <c r="AB1950" s="117">
        <f t="shared" si="33"/>
        <v>0</v>
      </c>
      <c r="AC1950" s="117" t="str">
        <f>IF(AB1950=1,COUNTIF($AB$3:AB1950,1),"")</f>
        <v/>
      </c>
      <c r="AD1950" s="117" t="str">
        <f>IFERROR(INDEX($AA$3:$AA$10000,MATCH(ROWS($AC$3:AC1950),$AC$3:$AC$10000,0)),"")</f>
        <v/>
      </c>
      <c r="AE1950" s="117" t="str">
        <f>+'Packing Material - Cost'!A1951</f>
        <v/>
      </c>
    </row>
    <row r="1951" spans="27:31">
      <c r="AA1951" s="117">
        <f>+'Ingredient List - Mother Tinctu'!D1952</f>
        <v>0</v>
      </c>
      <c r="AB1951" s="117">
        <f t="shared" si="33"/>
        <v>0</v>
      </c>
      <c r="AC1951" s="117" t="str">
        <f>IF(AB1951=1,COUNTIF($AB$3:AB1951,1),"")</f>
        <v/>
      </c>
      <c r="AD1951" s="117" t="str">
        <f>IFERROR(INDEX($AA$3:$AA$10000,MATCH(ROWS($AC$3:AC1951),$AC$3:$AC$10000,0)),"")</f>
        <v/>
      </c>
      <c r="AE1951" s="117" t="str">
        <f>+'Packing Material - Cost'!A1952</f>
        <v/>
      </c>
    </row>
    <row r="1952" spans="27:31">
      <c r="AA1952" s="117">
        <f>+'Ingredient List - Mother Tinctu'!D1953</f>
        <v>0</v>
      </c>
      <c r="AB1952" s="117">
        <f t="shared" si="33"/>
        <v>0</v>
      </c>
      <c r="AC1952" s="117" t="str">
        <f>IF(AB1952=1,COUNTIF($AB$3:AB1952,1),"")</f>
        <v/>
      </c>
      <c r="AD1952" s="117" t="str">
        <f>IFERROR(INDEX($AA$3:$AA$10000,MATCH(ROWS($AC$3:AC1952),$AC$3:$AC$10000,0)),"")</f>
        <v/>
      </c>
      <c r="AE1952" s="117" t="str">
        <f>+'Packing Material - Cost'!A1953</f>
        <v/>
      </c>
    </row>
    <row r="1953" spans="27:31">
      <c r="AA1953" s="117">
        <f>+'Ingredient List - Mother Tinctu'!D1954</f>
        <v>0</v>
      </c>
      <c r="AB1953" s="117">
        <f t="shared" si="33"/>
        <v>0</v>
      </c>
      <c r="AC1953" s="117" t="str">
        <f>IF(AB1953=1,COUNTIF($AB$3:AB1953,1),"")</f>
        <v/>
      </c>
      <c r="AD1953" s="117" t="str">
        <f>IFERROR(INDEX($AA$3:$AA$10000,MATCH(ROWS($AC$3:AC1953),$AC$3:$AC$10000,0)),"")</f>
        <v/>
      </c>
      <c r="AE1953" s="117" t="str">
        <f>+'Packing Material - Cost'!A1954</f>
        <v/>
      </c>
    </row>
    <row r="1954" spans="27:31">
      <c r="AA1954" s="117">
        <f>+'Ingredient List - Mother Tinctu'!D1955</f>
        <v>0</v>
      </c>
      <c r="AB1954" s="117">
        <f t="shared" si="33"/>
        <v>0</v>
      </c>
      <c r="AC1954" s="117" t="str">
        <f>IF(AB1954=1,COUNTIF($AB$3:AB1954,1),"")</f>
        <v/>
      </c>
      <c r="AD1954" s="117" t="str">
        <f>IFERROR(INDEX($AA$3:$AA$10000,MATCH(ROWS($AC$3:AC1954),$AC$3:$AC$10000,0)),"")</f>
        <v/>
      </c>
      <c r="AE1954" s="117" t="str">
        <f>+'Packing Material - Cost'!A1955</f>
        <v/>
      </c>
    </row>
    <row r="1955" spans="27:31">
      <c r="AA1955" s="117">
        <f>+'Ingredient List - Mother Tinctu'!D1956</f>
        <v>0</v>
      </c>
      <c r="AB1955" s="117">
        <f t="shared" si="33"/>
        <v>0</v>
      </c>
      <c r="AC1955" s="117" t="str">
        <f>IF(AB1955=1,COUNTIF($AB$3:AB1955,1),"")</f>
        <v/>
      </c>
      <c r="AD1955" s="117" t="str">
        <f>IFERROR(INDEX($AA$3:$AA$10000,MATCH(ROWS($AC$3:AC1955),$AC$3:$AC$10000,0)),"")</f>
        <v/>
      </c>
      <c r="AE1955" s="117" t="str">
        <f>+'Packing Material - Cost'!A1956</f>
        <v/>
      </c>
    </row>
    <row r="1956" spans="27:31">
      <c r="AA1956" s="117">
        <f>+'Ingredient List - Mother Tinctu'!D1957</f>
        <v>0</v>
      </c>
      <c r="AB1956" s="117">
        <f t="shared" si="33"/>
        <v>0</v>
      </c>
      <c r="AC1956" s="117" t="str">
        <f>IF(AB1956=1,COUNTIF($AB$3:AB1956,1),"")</f>
        <v/>
      </c>
      <c r="AD1956" s="117" t="str">
        <f>IFERROR(INDEX($AA$3:$AA$10000,MATCH(ROWS($AC$3:AC1956),$AC$3:$AC$10000,0)),"")</f>
        <v/>
      </c>
      <c r="AE1956" s="117" t="str">
        <f>+'Packing Material - Cost'!A1957</f>
        <v/>
      </c>
    </row>
    <row r="1957" spans="27:31">
      <c r="AA1957" s="117">
        <f>+'Ingredient List - Mother Tinctu'!D1958</f>
        <v>0</v>
      </c>
      <c r="AB1957" s="117">
        <f t="shared" si="33"/>
        <v>0</v>
      </c>
      <c r="AC1957" s="117" t="str">
        <f>IF(AB1957=1,COUNTIF($AB$3:AB1957,1),"")</f>
        <v/>
      </c>
      <c r="AD1957" s="117" t="str">
        <f>IFERROR(INDEX($AA$3:$AA$10000,MATCH(ROWS($AC$3:AC1957),$AC$3:$AC$10000,0)),"")</f>
        <v/>
      </c>
      <c r="AE1957" s="117" t="str">
        <f>+'Packing Material - Cost'!A1958</f>
        <v/>
      </c>
    </row>
    <row r="1958" spans="27:31">
      <c r="AA1958" s="117">
        <f>+'Ingredient List - Mother Tinctu'!D1959</f>
        <v>0</v>
      </c>
      <c r="AB1958" s="117">
        <f t="shared" si="33"/>
        <v>0</v>
      </c>
      <c r="AC1958" s="117" t="str">
        <f>IF(AB1958=1,COUNTIF($AB$3:AB1958,1),"")</f>
        <v/>
      </c>
      <c r="AD1958" s="117" t="str">
        <f>IFERROR(INDEX($AA$3:$AA$10000,MATCH(ROWS($AC$3:AC1958),$AC$3:$AC$10000,0)),"")</f>
        <v/>
      </c>
      <c r="AE1958" s="117" t="str">
        <f>+'Packing Material - Cost'!A1959</f>
        <v/>
      </c>
    </row>
    <row r="1959" spans="27:31">
      <c r="AA1959" s="117">
        <f>+'Ingredient List - Mother Tinctu'!D1960</f>
        <v>0</v>
      </c>
      <c r="AB1959" s="117">
        <f t="shared" si="33"/>
        <v>0</v>
      </c>
      <c r="AC1959" s="117" t="str">
        <f>IF(AB1959=1,COUNTIF($AB$3:AB1959,1),"")</f>
        <v/>
      </c>
      <c r="AD1959" s="117" t="str">
        <f>IFERROR(INDEX($AA$3:$AA$10000,MATCH(ROWS($AC$3:AC1959),$AC$3:$AC$10000,0)),"")</f>
        <v/>
      </c>
      <c r="AE1959" s="117" t="str">
        <f>+'Packing Material - Cost'!A1960</f>
        <v/>
      </c>
    </row>
    <row r="1960" spans="27:31">
      <c r="AA1960" s="117">
        <f>+'Ingredient List - Mother Tinctu'!D1961</f>
        <v>0</v>
      </c>
      <c r="AB1960" s="117">
        <f t="shared" si="33"/>
        <v>0</v>
      </c>
      <c r="AC1960" s="117" t="str">
        <f>IF(AB1960=1,COUNTIF($AB$3:AB1960,1),"")</f>
        <v/>
      </c>
      <c r="AD1960" s="117" t="str">
        <f>IFERROR(INDEX($AA$3:$AA$10000,MATCH(ROWS($AC$3:AC1960),$AC$3:$AC$10000,0)),"")</f>
        <v/>
      </c>
      <c r="AE1960" s="117" t="str">
        <f>+'Packing Material - Cost'!A1961</f>
        <v/>
      </c>
    </row>
    <row r="1961" spans="27:31">
      <c r="AA1961" s="117">
        <f>+'Ingredient List - Mother Tinctu'!D1962</f>
        <v>0</v>
      </c>
      <c r="AB1961" s="117">
        <f t="shared" si="33"/>
        <v>0</v>
      </c>
      <c r="AC1961" s="117" t="str">
        <f>IF(AB1961=1,COUNTIF($AB$3:AB1961,1),"")</f>
        <v/>
      </c>
      <c r="AD1961" s="117" t="str">
        <f>IFERROR(INDEX($AA$3:$AA$10000,MATCH(ROWS($AC$3:AC1961),$AC$3:$AC$10000,0)),"")</f>
        <v/>
      </c>
      <c r="AE1961" s="117" t="str">
        <f>+'Packing Material - Cost'!A1962</f>
        <v/>
      </c>
    </row>
    <row r="1962" spans="27:31">
      <c r="AA1962" s="117">
        <f>+'Ingredient List - Mother Tinctu'!D1963</f>
        <v>0</v>
      </c>
      <c r="AB1962" s="117">
        <f t="shared" si="33"/>
        <v>0</v>
      </c>
      <c r="AC1962" s="117" t="str">
        <f>IF(AB1962=1,COUNTIF($AB$3:AB1962,1),"")</f>
        <v/>
      </c>
      <c r="AD1962" s="117" t="str">
        <f>IFERROR(INDEX($AA$3:$AA$10000,MATCH(ROWS($AC$3:AC1962),$AC$3:$AC$10000,0)),"")</f>
        <v/>
      </c>
      <c r="AE1962" s="117" t="str">
        <f>+'Packing Material - Cost'!A1963</f>
        <v/>
      </c>
    </row>
    <row r="1963" spans="27:31">
      <c r="AA1963" s="117">
        <f>+'Ingredient List - Mother Tinctu'!D1964</f>
        <v>0</v>
      </c>
      <c r="AB1963" s="117">
        <f t="shared" si="33"/>
        <v>0</v>
      </c>
      <c r="AC1963" s="117" t="str">
        <f>IF(AB1963=1,COUNTIF($AB$3:AB1963,1),"")</f>
        <v/>
      </c>
      <c r="AD1963" s="117" t="str">
        <f>IFERROR(INDEX($AA$3:$AA$10000,MATCH(ROWS($AC$3:AC1963),$AC$3:$AC$10000,0)),"")</f>
        <v/>
      </c>
      <c r="AE1963" s="117" t="str">
        <f>+'Packing Material - Cost'!A1964</f>
        <v/>
      </c>
    </row>
    <row r="1964" spans="27:31">
      <c r="AA1964" s="117">
        <f>+'Ingredient List - Mother Tinctu'!D1965</f>
        <v>0</v>
      </c>
      <c r="AB1964" s="117">
        <f t="shared" si="33"/>
        <v>0</v>
      </c>
      <c r="AC1964" s="117" t="str">
        <f>IF(AB1964=1,COUNTIF($AB$3:AB1964,1),"")</f>
        <v/>
      </c>
      <c r="AD1964" s="117" t="str">
        <f>IFERROR(INDEX($AA$3:$AA$10000,MATCH(ROWS($AC$3:AC1964),$AC$3:$AC$10000,0)),"")</f>
        <v/>
      </c>
      <c r="AE1964" s="117" t="str">
        <f>+'Packing Material - Cost'!A1965</f>
        <v/>
      </c>
    </row>
    <row r="1965" spans="27:31">
      <c r="AA1965" s="117">
        <f>+'Ingredient List - Mother Tinctu'!D1966</f>
        <v>0</v>
      </c>
      <c r="AB1965" s="117">
        <f t="shared" si="33"/>
        <v>0</v>
      </c>
      <c r="AC1965" s="117" t="str">
        <f>IF(AB1965=1,COUNTIF($AB$3:AB1965,1),"")</f>
        <v/>
      </c>
      <c r="AD1965" s="117" t="str">
        <f>IFERROR(INDEX($AA$3:$AA$10000,MATCH(ROWS($AC$3:AC1965),$AC$3:$AC$10000,0)),"")</f>
        <v/>
      </c>
      <c r="AE1965" s="117" t="str">
        <f>+'Packing Material - Cost'!A1966</f>
        <v/>
      </c>
    </row>
    <row r="1966" spans="27:31">
      <c r="AA1966" s="117">
        <f>+'Ingredient List - Mother Tinctu'!D1967</f>
        <v>0</v>
      </c>
      <c r="AB1966" s="117">
        <f t="shared" si="33"/>
        <v>0</v>
      </c>
      <c r="AC1966" s="117" t="str">
        <f>IF(AB1966=1,COUNTIF($AB$3:AB1966,1),"")</f>
        <v/>
      </c>
      <c r="AD1966" s="117" t="str">
        <f>IFERROR(INDEX($AA$3:$AA$10000,MATCH(ROWS($AC$3:AC1966),$AC$3:$AC$10000,0)),"")</f>
        <v/>
      </c>
      <c r="AE1966" s="117" t="str">
        <f>+'Packing Material - Cost'!A1967</f>
        <v/>
      </c>
    </row>
    <row r="1967" spans="27:31">
      <c r="AA1967" s="117">
        <f>+'Ingredient List - Mother Tinctu'!D1968</f>
        <v>0</v>
      </c>
      <c r="AB1967" s="117">
        <f t="shared" si="33"/>
        <v>0</v>
      </c>
      <c r="AC1967" s="117" t="str">
        <f>IF(AB1967=1,COUNTIF($AB$3:AB1967,1),"")</f>
        <v/>
      </c>
      <c r="AD1967" s="117" t="str">
        <f>IFERROR(INDEX($AA$3:$AA$10000,MATCH(ROWS($AC$3:AC1967),$AC$3:$AC$10000,0)),"")</f>
        <v/>
      </c>
      <c r="AE1967" s="117" t="str">
        <f>+'Packing Material - Cost'!A1968</f>
        <v/>
      </c>
    </row>
    <row r="1968" spans="27:31">
      <c r="AA1968" s="117">
        <f>+'Ingredient List - Mother Tinctu'!D1969</f>
        <v>0</v>
      </c>
      <c r="AB1968" s="117">
        <f t="shared" si="33"/>
        <v>0</v>
      </c>
      <c r="AC1968" s="117" t="str">
        <f>IF(AB1968=1,COUNTIF($AB$3:AB1968,1),"")</f>
        <v/>
      </c>
      <c r="AD1968" s="117" t="str">
        <f>IFERROR(INDEX($AA$3:$AA$10000,MATCH(ROWS($AC$3:AC1968),$AC$3:$AC$10000,0)),"")</f>
        <v/>
      </c>
      <c r="AE1968" s="117" t="str">
        <f>+'Packing Material - Cost'!A1969</f>
        <v/>
      </c>
    </row>
    <row r="1969" spans="27:31">
      <c r="AA1969" s="117">
        <f>+'Ingredient List - Mother Tinctu'!D1970</f>
        <v>0</v>
      </c>
      <c r="AB1969" s="117">
        <f t="shared" si="33"/>
        <v>0</v>
      </c>
      <c r="AC1969" s="117" t="str">
        <f>IF(AB1969=1,COUNTIF($AB$3:AB1969,1),"")</f>
        <v/>
      </c>
      <c r="AD1969" s="117" t="str">
        <f>IFERROR(INDEX($AA$3:$AA$10000,MATCH(ROWS($AC$3:AC1969),$AC$3:$AC$10000,0)),"")</f>
        <v/>
      </c>
      <c r="AE1969" s="117" t="str">
        <f>+'Packing Material - Cost'!A1970</f>
        <v/>
      </c>
    </row>
    <row r="1970" spans="27:31">
      <c r="AA1970" s="117">
        <f>+'Ingredient List - Mother Tinctu'!D1971</f>
        <v>0</v>
      </c>
      <c r="AB1970" s="117">
        <f t="shared" si="33"/>
        <v>0</v>
      </c>
      <c r="AC1970" s="117" t="str">
        <f>IF(AB1970=1,COUNTIF($AB$3:AB1970,1),"")</f>
        <v/>
      </c>
      <c r="AD1970" s="117" t="str">
        <f>IFERROR(INDEX($AA$3:$AA$10000,MATCH(ROWS($AC$3:AC1970),$AC$3:$AC$10000,0)),"")</f>
        <v/>
      </c>
      <c r="AE1970" s="117" t="str">
        <f>+'Packing Material - Cost'!A1971</f>
        <v/>
      </c>
    </row>
    <row r="1971" spans="27:31">
      <c r="AA1971" s="117">
        <f>+'Ingredient List - Mother Tinctu'!D1972</f>
        <v>0</v>
      </c>
      <c r="AB1971" s="117">
        <f t="shared" si="33"/>
        <v>0</v>
      </c>
      <c r="AC1971" s="117" t="str">
        <f>IF(AB1971=1,COUNTIF($AB$3:AB1971,1),"")</f>
        <v/>
      </c>
      <c r="AD1971" s="117" t="str">
        <f>IFERROR(INDEX($AA$3:$AA$10000,MATCH(ROWS($AC$3:AC1971),$AC$3:$AC$10000,0)),"")</f>
        <v/>
      </c>
      <c r="AE1971" s="117" t="str">
        <f>+'Packing Material - Cost'!A1972</f>
        <v/>
      </c>
    </row>
    <row r="1972" spans="27:31">
      <c r="AA1972" s="117">
        <f>+'Ingredient List - Mother Tinctu'!D1973</f>
        <v>0</v>
      </c>
      <c r="AB1972" s="117">
        <f t="shared" si="33"/>
        <v>0</v>
      </c>
      <c r="AC1972" s="117" t="str">
        <f>IF(AB1972=1,COUNTIF($AB$3:AB1972,1),"")</f>
        <v/>
      </c>
      <c r="AD1972" s="117" t="str">
        <f>IFERROR(INDEX($AA$3:$AA$10000,MATCH(ROWS($AC$3:AC1972),$AC$3:$AC$10000,0)),"")</f>
        <v/>
      </c>
      <c r="AE1972" s="117" t="str">
        <f>+'Packing Material - Cost'!A1973</f>
        <v/>
      </c>
    </row>
    <row r="1973" spans="27:31">
      <c r="AA1973" s="117">
        <f>+'Ingredient List - Mother Tinctu'!D1974</f>
        <v>0</v>
      </c>
      <c r="AB1973" s="117">
        <f t="shared" si="33"/>
        <v>0</v>
      </c>
      <c r="AC1973" s="117" t="str">
        <f>IF(AB1973=1,COUNTIF($AB$3:AB1973,1),"")</f>
        <v/>
      </c>
      <c r="AD1973" s="117" t="str">
        <f>IFERROR(INDEX($AA$3:$AA$10000,MATCH(ROWS($AC$3:AC1973),$AC$3:$AC$10000,0)),"")</f>
        <v/>
      </c>
      <c r="AE1973" s="117" t="str">
        <f>+'Packing Material - Cost'!A1974</f>
        <v/>
      </c>
    </row>
    <row r="1974" spans="27:31">
      <c r="AA1974" s="117">
        <f>+'Ingredient List - Mother Tinctu'!D1975</f>
        <v>0</v>
      </c>
      <c r="AB1974" s="117">
        <f t="shared" si="33"/>
        <v>0</v>
      </c>
      <c r="AC1974" s="117" t="str">
        <f>IF(AB1974=1,COUNTIF($AB$3:AB1974,1),"")</f>
        <v/>
      </c>
      <c r="AD1974" s="117" t="str">
        <f>IFERROR(INDEX($AA$3:$AA$10000,MATCH(ROWS($AC$3:AC1974),$AC$3:$AC$10000,0)),"")</f>
        <v/>
      </c>
      <c r="AE1974" s="117" t="str">
        <f>+'Packing Material - Cost'!A1975</f>
        <v/>
      </c>
    </row>
    <row r="1975" spans="27:31">
      <c r="AA1975" s="117">
        <f>+'Ingredient List - Mother Tinctu'!D1976</f>
        <v>0</v>
      </c>
      <c r="AB1975" s="117">
        <f t="shared" si="33"/>
        <v>0</v>
      </c>
      <c r="AC1975" s="117" t="str">
        <f>IF(AB1975=1,COUNTIF($AB$3:AB1975,1),"")</f>
        <v/>
      </c>
      <c r="AD1975" s="117" t="str">
        <f>IFERROR(INDEX($AA$3:$AA$10000,MATCH(ROWS($AC$3:AC1975),$AC$3:$AC$10000,0)),"")</f>
        <v/>
      </c>
      <c r="AE1975" s="117" t="str">
        <f>+'Packing Material - Cost'!A1976</f>
        <v/>
      </c>
    </row>
    <row r="1976" spans="27:31">
      <c r="AA1976" s="117">
        <f>+'Ingredient List - Mother Tinctu'!D1977</f>
        <v>0</v>
      </c>
      <c r="AB1976" s="117">
        <f t="shared" si="33"/>
        <v>0</v>
      </c>
      <c r="AC1976" s="117" t="str">
        <f>IF(AB1976=1,COUNTIF($AB$3:AB1976,1),"")</f>
        <v/>
      </c>
      <c r="AD1976" s="117" t="str">
        <f>IFERROR(INDEX($AA$3:$AA$10000,MATCH(ROWS($AC$3:AC1976),$AC$3:$AC$10000,0)),"")</f>
        <v/>
      </c>
      <c r="AE1976" s="117" t="str">
        <f>+'Packing Material - Cost'!A1977</f>
        <v/>
      </c>
    </row>
    <row r="1977" spans="27:31">
      <c r="AA1977" s="117">
        <f>+'Ingredient List - Mother Tinctu'!D1978</f>
        <v>0</v>
      </c>
      <c r="AB1977" s="117">
        <f t="shared" si="33"/>
        <v>0</v>
      </c>
      <c r="AC1977" s="117" t="str">
        <f>IF(AB1977=1,COUNTIF($AB$3:AB1977,1),"")</f>
        <v/>
      </c>
      <c r="AD1977" s="117" t="str">
        <f>IFERROR(INDEX($AA$3:$AA$10000,MATCH(ROWS($AC$3:AC1977),$AC$3:$AC$10000,0)),"")</f>
        <v/>
      </c>
      <c r="AE1977" s="117" t="str">
        <f>+'Packing Material - Cost'!A1978</f>
        <v/>
      </c>
    </row>
    <row r="1978" spans="27:31">
      <c r="AA1978" s="117">
        <f>+'Ingredient List - Mother Tinctu'!D1979</f>
        <v>0</v>
      </c>
      <c r="AB1978" s="117">
        <f t="shared" si="33"/>
        <v>0</v>
      </c>
      <c r="AC1978" s="117" t="str">
        <f>IF(AB1978=1,COUNTIF($AB$3:AB1978,1),"")</f>
        <v/>
      </c>
      <c r="AD1978" s="117" t="str">
        <f>IFERROR(INDEX($AA$3:$AA$10000,MATCH(ROWS($AC$3:AC1978),$AC$3:$AC$10000,0)),"")</f>
        <v/>
      </c>
      <c r="AE1978" s="117" t="str">
        <f>+'Packing Material - Cost'!A1979</f>
        <v/>
      </c>
    </row>
    <row r="1979" spans="27:31">
      <c r="AA1979" s="117">
        <f>+'Ingredient List - Mother Tinctu'!D1980</f>
        <v>0</v>
      </c>
      <c r="AB1979" s="117">
        <f t="shared" si="33"/>
        <v>0</v>
      </c>
      <c r="AC1979" s="117" t="str">
        <f>IF(AB1979=1,COUNTIF($AB$3:AB1979,1),"")</f>
        <v/>
      </c>
      <c r="AD1979" s="117" t="str">
        <f>IFERROR(INDEX($AA$3:$AA$10000,MATCH(ROWS($AC$3:AC1979),$AC$3:$AC$10000,0)),"")</f>
        <v/>
      </c>
      <c r="AE1979" s="117" t="str">
        <f>+'Packing Material - Cost'!A1980</f>
        <v/>
      </c>
    </row>
    <row r="1980" spans="27:31">
      <c r="AA1980" s="117">
        <f>+'Ingredient List - Mother Tinctu'!D1981</f>
        <v>0</v>
      </c>
      <c r="AB1980" s="117">
        <f t="shared" si="33"/>
        <v>0</v>
      </c>
      <c r="AC1980" s="117" t="str">
        <f>IF(AB1980=1,COUNTIF($AB$3:AB1980,1),"")</f>
        <v/>
      </c>
      <c r="AD1980" s="117" t="str">
        <f>IFERROR(INDEX($AA$3:$AA$10000,MATCH(ROWS($AC$3:AC1980),$AC$3:$AC$10000,0)),"")</f>
        <v/>
      </c>
      <c r="AE1980" s="117" t="str">
        <f>+'Packing Material - Cost'!A1981</f>
        <v/>
      </c>
    </row>
    <row r="1981" spans="27:31">
      <c r="AA1981" s="117">
        <f>+'Ingredient List - Mother Tinctu'!D1982</f>
        <v>0</v>
      </c>
      <c r="AB1981" s="117">
        <f t="shared" si="33"/>
        <v>0</v>
      </c>
      <c r="AC1981" s="117" t="str">
        <f>IF(AB1981=1,COUNTIF($AB$3:AB1981,1),"")</f>
        <v/>
      </c>
      <c r="AD1981" s="117" t="str">
        <f>IFERROR(INDEX($AA$3:$AA$10000,MATCH(ROWS($AC$3:AC1981),$AC$3:$AC$10000,0)),"")</f>
        <v/>
      </c>
      <c r="AE1981" s="117" t="str">
        <f>+'Packing Material - Cost'!A1982</f>
        <v/>
      </c>
    </row>
    <row r="1982" spans="27:31">
      <c r="AA1982" s="117">
        <f>+'Ingredient List - Mother Tinctu'!D1983</f>
        <v>0</v>
      </c>
      <c r="AB1982" s="117">
        <f t="shared" si="33"/>
        <v>0</v>
      </c>
      <c r="AC1982" s="117" t="str">
        <f>IF(AB1982=1,COUNTIF($AB$3:AB1982,1),"")</f>
        <v/>
      </c>
      <c r="AD1982" s="117" t="str">
        <f>IFERROR(INDEX($AA$3:$AA$10000,MATCH(ROWS($AC$3:AC1982),$AC$3:$AC$10000,0)),"")</f>
        <v/>
      </c>
      <c r="AE1982" s="117" t="str">
        <f>+'Packing Material - Cost'!A1983</f>
        <v/>
      </c>
    </row>
    <row r="1983" spans="27:31">
      <c r="AA1983" s="117">
        <f>+'Ingredient List - Mother Tinctu'!D1984</f>
        <v>0</v>
      </c>
      <c r="AB1983" s="117">
        <f t="shared" si="33"/>
        <v>0</v>
      </c>
      <c r="AC1983" s="117" t="str">
        <f>IF(AB1983=1,COUNTIF($AB$3:AB1983,1),"")</f>
        <v/>
      </c>
      <c r="AD1983" s="117" t="str">
        <f>IFERROR(INDEX($AA$3:$AA$10000,MATCH(ROWS($AC$3:AC1983),$AC$3:$AC$10000,0)),"")</f>
        <v/>
      </c>
      <c r="AE1983" s="117" t="str">
        <f>+'Packing Material - Cost'!A1984</f>
        <v/>
      </c>
    </row>
    <row r="1984" spans="27:31">
      <c r="AA1984" s="117">
        <f>+'Ingredient List - Mother Tinctu'!D1985</f>
        <v>0</v>
      </c>
      <c r="AB1984" s="117">
        <f t="shared" si="33"/>
        <v>0</v>
      </c>
      <c r="AC1984" s="117" t="str">
        <f>IF(AB1984=1,COUNTIF($AB$3:AB1984,1),"")</f>
        <v/>
      </c>
      <c r="AD1984" s="117" t="str">
        <f>IFERROR(INDEX($AA$3:$AA$10000,MATCH(ROWS($AC$3:AC1984),$AC$3:$AC$10000,0)),"")</f>
        <v/>
      </c>
      <c r="AE1984" s="117" t="str">
        <f>+'Packing Material - Cost'!A1985</f>
        <v/>
      </c>
    </row>
    <row r="1985" spans="27:31">
      <c r="AA1985" s="117">
        <f>+'Ingredient List - Mother Tinctu'!D1986</f>
        <v>0</v>
      </c>
      <c r="AB1985" s="117">
        <f t="shared" si="33"/>
        <v>0</v>
      </c>
      <c r="AC1985" s="117" t="str">
        <f>IF(AB1985=1,COUNTIF($AB$3:AB1985,1),"")</f>
        <v/>
      </c>
      <c r="AD1985" s="117" t="str">
        <f>IFERROR(INDEX($AA$3:$AA$10000,MATCH(ROWS($AC$3:AC1985),$AC$3:$AC$10000,0)),"")</f>
        <v/>
      </c>
      <c r="AE1985" s="117" t="str">
        <f>+'Packing Material - Cost'!A1986</f>
        <v/>
      </c>
    </row>
    <row r="1986" spans="27:31">
      <c r="AA1986" s="117">
        <f>+'Ingredient List - Mother Tinctu'!D1987</f>
        <v>0</v>
      </c>
      <c r="AB1986" s="117">
        <f t="shared" si="33"/>
        <v>0</v>
      </c>
      <c r="AC1986" s="117" t="str">
        <f>IF(AB1986=1,COUNTIF($AB$3:AB1986,1),"")</f>
        <v/>
      </c>
      <c r="AD1986" s="117" t="str">
        <f>IFERROR(INDEX($AA$3:$AA$10000,MATCH(ROWS($AC$3:AC1986),$AC$3:$AC$10000,0)),"")</f>
        <v/>
      </c>
      <c r="AE1986" s="117" t="str">
        <f>+'Packing Material - Cost'!A1987</f>
        <v/>
      </c>
    </row>
    <row r="1987" spans="27:31">
      <c r="AA1987" s="117">
        <f>+'Ingredient List - Mother Tinctu'!D1988</f>
        <v>0</v>
      </c>
      <c r="AB1987" s="117">
        <f t="shared" si="33"/>
        <v>0</v>
      </c>
      <c r="AC1987" s="117" t="str">
        <f>IF(AB1987=1,COUNTIF($AB$3:AB1987,1),"")</f>
        <v/>
      </c>
      <c r="AD1987" s="117" t="str">
        <f>IFERROR(INDEX($AA$3:$AA$10000,MATCH(ROWS($AC$3:AC1987),$AC$3:$AC$10000,0)),"")</f>
        <v/>
      </c>
      <c r="AE1987" s="117" t="str">
        <f>+'Packing Material - Cost'!A1988</f>
        <v/>
      </c>
    </row>
    <row r="1988" spans="27:31">
      <c r="AA1988" s="117">
        <f>+'Ingredient List - Mother Tinctu'!D1989</f>
        <v>0</v>
      </c>
      <c r="AB1988" s="117">
        <f t="shared" ref="AB1988:AB2051" si="34">--ISNUMBER(IFERROR(SEARCH($D$3,AA1988,1),""))</f>
        <v>0</v>
      </c>
      <c r="AC1988" s="117" t="str">
        <f>IF(AB1988=1,COUNTIF($AB$3:AB1988,1),"")</f>
        <v/>
      </c>
      <c r="AD1988" s="117" t="str">
        <f>IFERROR(INDEX($AA$3:$AA$10000,MATCH(ROWS($AC$3:AC1988),$AC$3:$AC$10000,0)),"")</f>
        <v/>
      </c>
      <c r="AE1988" s="117" t="str">
        <f>+'Packing Material - Cost'!A1989</f>
        <v/>
      </c>
    </row>
    <row r="1989" spans="27:31">
      <c r="AA1989" s="117">
        <f>+'Ingredient List - Mother Tinctu'!D1990</f>
        <v>0</v>
      </c>
      <c r="AB1989" s="117">
        <f t="shared" si="34"/>
        <v>0</v>
      </c>
      <c r="AC1989" s="117" t="str">
        <f>IF(AB1989=1,COUNTIF($AB$3:AB1989,1),"")</f>
        <v/>
      </c>
      <c r="AD1989" s="117" t="str">
        <f>IFERROR(INDEX($AA$3:$AA$10000,MATCH(ROWS($AC$3:AC1989),$AC$3:$AC$10000,0)),"")</f>
        <v/>
      </c>
      <c r="AE1989" s="117" t="str">
        <f>+'Packing Material - Cost'!A1990</f>
        <v/>
      </c>
    </row>
    <row r="1990" spans="27:31">
      <c r="AA1990" s="117">
        <f>+'Ingredient List - Mother Tinctu'!D1991</f>
        <v>0</v>
      </c>
      <c r="AB1990" s="117">
        <f t="shared" si="34"/>
        <v>0</v>
      </c>
      <c r="AC1990" s="117" t="str">
        <f>IF(AB1990=1,COUNTIF($AB$3:AB1990,1),"")</f>
        <v/>
      </c>
      <c r="AD1990" s="117" t="str">
        <f>IFERROR(INDEX($AA$3:$AA$10000,MATCH(ROWS($AC$3:AC1990),$AC$3:$AC$10000,0)),"")</f>
        <v/>
      </c>
      <c r="AE1990" s="117" t="str">
        <f>+'Packing Material - Cost'!A1991</f>
        <v/>
      </c>
    </row>
    <row r="1991" spans="27:31">
      <c r="AA1991" s="117">
        <f>+'Ingredient List - Mother Tinctu'!D1992</f>
        <v>0</v>
      </c>
      <c r="AB1991" s="117">
        <f t="shared" si="34"/>
        <v>0</v>
      </c>
      <c r="AC1991" s="117" t="str">
        <f>IF(AB1991=1,COUNTIF($AB$3:AB1991,1),"")</f>
        <v/>
      </c>
      <c r="AD1991" s="117" t="str">
        <f>IFERROR(INDEX($AA$3:$AA$10000,MATCH(ROWS($AC$3:AC1991),$AC$3:$AC$10000,0)),"")</f>
        <v/>
      </c>
      <c r="AE1991" s="117" t="str">
        <f>+'Packing Material - Cost'!A1992</f>
        <v/>
      </c>
    </row>
    <row r="1992" spans="27:31">
      <c r="AA1992" s="117">
        <f>+'Ingredient List - Mother Tinctu'!D1993</f>
        <v>0</v>
      </c>
      <c r="AB1992" s="117">
        <f t="shared" si="34"/>
        <v>0</v>
      </c>
      <c r="AC1992" s="117" t="str">
        <f>IF(AB1992=1,COUNTIF($AB$3:AB1992,1),"")</f>
        <v/>
      </c>
      <c r="AD1992" s="117" t="str">
        <f>IFERROR(INDEX($AA$3:$AA$10000,MATCH(ROWS($AC$3:AC1992),$AC$3:$AC$10000,0)),"")</f>
        <v/>
      </c>
      <c r="AE1992" s="117" t="str">
        <f>+'Packing Material - Cost'!A1993</f>
        <v/>
      </c>
    </row>
    <row r="1993" spans="27:31">
      <c r="AA1993" s="117">
        <f>+'Ingredient List - Mother Tinctu'!D1994</f>
        <v>0</v>
      </c>
      <c r="AB1993" s="117">
        <f t="shared" si="34"/>
        <v>0</v>
      </c>
      <c r="AC1993" s="117" t="str">
        <f>IF(AB1993=1,COUNTIF($AB$3:AB1993,1),"")</f>
        <v/>
      </c>
      <c r="AD1993" s="117" t="str">
        <f>IFERROR(INDEX($AA$3:$AA$10000,MATCH(ROWS($AC$3:AC1993),$AC$3:$AC$10000,0)),"")</f>
        <v/>
      </c>
      <c r="AE1993" s="117" t="str">
        <f>+'Packing Material - Cost'!A1994</f>
        <v/>
      </c>
    </row>
    <row r="1994" spans="27:31">
      <c r="AA1994" s="117">
        <f>+'Ingredient List - Mother Tinctu'!D1995</f>
        <v>0</v>
      </c>
      <c r="AB1994" s="117">
        <f t="shared" si="34"/>
        <v>0</v>
      </c>
      <c r="AC1994" s="117" t="str">
        <f>IF(AB1994=1,COUNTIF($AB$3:AB1994,1),"")</f>
        <v/>
      </c>
      <c r="AD1994" s="117" t="str">
        <f>IFERROR(INDEX($AA$3:$AA$10000,MATCH(ROWS($AC$3:AC1994),$AC$3:$AC$10000,0)),"")</f>
        <v/>
      </c>
      <c r="AE1994" s="117" t="str">
        <f>+'Packing Material - Cost'!A1995</f>
        <v/>
      </c>
    </row>
    <row r="1995" spans="27:31">
      <c r="AA1995" s="117">
        <f>+'Ingredient List - Mother Tinctu'!D1996</f>
        <v>0</v>
      </c>
      <c r="AB1995" s="117">
        <f t="shared" si="34"/>
        <v>0</v>
      </c>
      <c r="AC1995" s="117" t="str">
        <f>IF(AB1995=1,COUNTIF($AB$3:AB1995,1),"")</f>
        <v/>
      </c>
      <c r="AD1995" s="117" t="str">
        <f>IFERROR(INDEX($AA$3:$AA$10000,MATCH(ROWS($AC$3:AC1995),$AC$3:$AC$10000,0)),"")</f>
        <v/>
      </c>
      <c r="AE1995" s="117" t="str">
        <f>+'Packing Material - Cost'!A1996</f>
        <v/>
      </c>
    </row>
    <row r="1996" spans="27:31">
      <c r="AA1996" s="117">
        <f>+'Ingredient List - Mother Tinctu'!D1997</f>
        <v>0</v>
      </c>
      <c r="AB1996" s="117">
        <f t="shared" si="34"/>
        <v>0</v>
      </c>
      <c r="AC1996" s="117" t="str">
        <f>IF(AB1996=1,COUNTIF($AB$3:AB1996,1),"")</f>
        <v/>
      </c>
      <c r="AD1996" s="117" t="str">
        <f>IFERROR(INDEX($AA$3:$AA$10000,MATCH(ROWS($AC$3:AC1996),$AC$3:$AC$10000,0)),"")</f>
        <v/>
      </c>
      <c r="AE1996" s="117" t="str">
        <f>+'Packing Material - Cost'!A1997</f>
        <v/>
      </c>
    </row>
    <row r="1997" spans="27:31">
      <c r="AA1997" s="117">
        <f>+'Ingredient List - Mother Tinctu'!D1998</f>
        <v>0</v>
      </c>
      <c r="AB1997" s="117">
        <f t="shared" si="34"/>
        <v>0</v>
      </c>
      <c r="AC1997" s="117" t="str">
        <f>IF(AB1997=1,COUNTIF($AB$3:AB1997,1),"")</f>
        <v/>
      </c>
      <c r="AD1997" s="117" t="str">
        <f>IFERROR(INDEX($AA$3:$AA$10000,MATCH(ROWS($AC$3:AC1997),$AC$3:$AC$10000,0)),"")</f>
        <v/>
      </c>
      <c r="AE1997" s="117" t="str">
        <f>+'Packing Material - Cost'!A1998</f>
        <v/>
      </c>
    </row>
    <row r="1998" spans="27:31">
      <c r="AA1998" s="117">
        <f>+'Ingredient List - Mother Tinctu'!D1999</f>
        <v>0</v>
      </c>
      <c r="AB1998" s="117">
        <f t="shared" si="34"/>
        <v>0</v>
      </c>
      <c r="AC1998" s="117" t="str">
        <f>IF(AB1998=1,COUNTIF($AB$3:AB1998,1),"")</f>
        <v/>
      </c>
      <c r="AD1998" s="117" t="str">
        <f>IFERROR(INDEX($AA$3:$AA$10000,MATCH(ROWS($AC$3:AC1998),$AC$3:$AC$10000,0)),"")</f>
        <v/>
      </c>
      <c r="AE1998" s="117" t="str">
        <f>+'Packing Material - Cost'!A1999</f>
        <v/>
      </c>
    </row>
    <row r="1999" spans="27:31">
      <c r="AA1999" s="117">
        <f>+'Ingredient List - Mother Tinctu'!D2000</f>
        <v>0</v>
      </c>
      <c r="AB1999" s="117">
        <f t="shared" si="34"/>
        <v>0</v>
      </c>
      <c r="AC1999" s="117" t="str">
        <f>IF(AB1999=1,COUNTIF($AB$3:AB1999,1),"")</f>
        <v/>
      </c>
      <c r="AD1999" s="117" t="str">
        <f>IFERROR(INDEX($AA$3:$AA$10000,MATCH(ROWS($AC$3:AC1999),$AC$3:$AC$10000,0)),"")</f>
        <v/>
      </c>
      <c r="AE1999" s="117" t="str">
        <f>+'Packing Material - Cost'!A2000</f>
        <v/>
      </c>
    </row>
    <row r="2000" spans="27:31">
      <c r="AA2000" s="117">
        <f>+'Ingredient List - Mother Tinctu'!D2001</f>
        <v>0</v>
      </c>
      <c r="AB2000" s="117">
        <f t="shared" si="34"/>
        <v>0</v>
      </c>
      <c r="AC2000" s="117" t="str">
        <f>IF(AB2000=1,COUNTIF($AB$3:AB2000,1),"")</f>
        <v/>
      </c>
      <c r="AD2000" s="117" t="str">
        <f>IFERROR(INDEX($AA$3:$AA$10000,MATCH(ROWS($AC$3:AC2000),$AC$3:$AC$10000,0)),"")</f>
        <v/>
      </c>
      <c r="AE2000" s="117" t="str">
        <f>+'Packing Material - Cost'!A2001</f>
        <v/>
      </c>
    </row>
    <row r="2001" spans="27:31">
      <c r="AA2001" s="117">
        <f>+'Ingredient List - Mother Tinctu'!D2002</f>
        <v>0</v>
      </c>
      <c r="AB2001" s="117">
        <f t="shared" si="34"/>
        <v>0</v>
      </c>
      <c r="AC2001" s="117" t="str">
        <f>IF(AB2001=1,COUNTIF($AB$3:AB2001,1),"")</f>
        <v/>
      </c>
      <c r="AD2001" s="117" t="str">
        <f>IFERROR(INDEX($AA$3:$AA$10000,MATCH(ROWS($AC$3:AC2001),$AC$3:$AC$10000,0)),"")</f>
        <v/>
      </c>
      <c r="AE2001" s="117" t="str">
        <f>+'Packing Material - Cost'!A2002</f>
        <v/>
      </c>
    </row>
    <row r="2002" spans="27:31">
      <c r="AA2002" s="117">
        <f>+'Ingredient List - Mother Tinctu'!D2003</f>
        <v>0</v>
      </c>
      <c r="AB2002" s="117">
        <f t="shared" si="34"/>
        <v>0</v>
      </c>
      <c r="AC2002" s="117" t="str">
        <f>IF(AB2002=1,COUNTIF($AB$3:AB2002,1),"")</f>
        <v/>
      </c>
      <c r="AD2002" s="117" t="str">
        <f>IFERROR(INDEX($AA$3:$AA$10000,MATCH(ROWS($AC$3:AC2002),$AC$3:$AC$10000,0)),"")</f>
        <v/>
      </c>
      <c r="AE2002" s="117" t="str">
        <f>+'Packing Material - Cost'!A2003</f>
        <v/>
      </c>
    </row>
    <row r="2003" spans="27:31">
      <c r="AA2003" s="117">
        <f>+'Ingredient List - Mother Tinctu'!D2004</f>
        <v>0</v>
      </c>
      <c r="AB2003" s="117">
        <f t="shared" si="34"/>
        <v>0</v>
      </c>
      <c r="AC2003" s="117" t="str">
        <f>IF(AB2003=1,COUNTIF($AB$3:AB2003,1),"")</f>
        <v/>
      </c>
      <c r="AD2003" s="117" t="str">
        <f>IFERROR(INDEX($AA$3:$AA$10000,MATCH(ROWS($AC$3:AC2003),$AC$3:$AC$10000,0)),"")</f>
        <v/>
      </c>
      <c r="AE2003" s="117" t="str">
        <f>+'Packing Material - Cost'!A2004</f>
        <v/>
      </c>
    </row>
    <row r="2004" spans="27:31">
      <c r="AA2004" s="117">
        <f>+'Ingredient List - Mother Tinctu'!D2005</f>
        <v>0</v>
      </c>
      <c r="AB2004" s="117">
        <f t="shared" si="34"/>
        <v>0</v>
      </c>
      <c r="AC2004" s="117" t="str">
        <f>IF(AB2004=1,COUNTIF($AB$3:AB2004,1),"")</f>
        <v/>
      </c>
      <c r="AD2004" s="117" t="str">
        <f>IFERROR(INDEX($AA$3:$AA$10000,MATCH(ROWS($AC$3:AC2004),$AC$3:$AC$10000,0)),"")</f>
        <v/>
      </c>
      <c r="AE2004" s="117" t="str">
        <f>+'Packing Material - Cost'!A2005</f>
        <v/>
      </c>
    </row>
    <row r="2005" spans="27:31">
      <c r="AA2005" s="117">
        <f>+'Ingredient List - Mother Tinctu'!D2006</f>
        <v>0</v>
      </c>
      <c r="AB2005" s="117">
        <f t="shared" si="34"/>
        <v>0</v>
      </c>
      <c r="AC2005" s="117" t="str">
        <f>IF(AB2005=1,COUNTIF($AB$3:AB2005,1),"")</f>
        <v/>
      </c>
      <c r="AD2005" s="117" t="str">
        <f>IFERROR(INDEX($AA$3:$AA$10000,MATCH(ROWS($AC$3:AC2005),$AC$3:$AC$10000,0)),"")</f>
        <v/>
      </c>
      <c r="AE2005" s="117" t="str">
        <f>+'Packing Material - Cost'!A2006</f>
        <v/>
      </c>
    </row>
    <row r="2006" spans="27:31">
      <c r="AA2006" s="117">
        <f>+'Ingredient List - Mother Tinctu'!D2007</f>
        <v>0</v>
      </c>
      <c r="AB2006" s="117">
        <f t="shared" si="34"/>
        <v>0</v>
      </c>
      <c r="AC2006" s="117" t="str">
        <f>IF(AB2006=1,COUNTIF($AB$3:AB2006,1),"")</f>
        <v/>
      </c>
      <c r="AD2006" s="117" t="str">
        <f>IFERROR(INDEX($AA$3:$AA$10000,MATCH(ROWS($AC$3:AC2006),$AC$3:$AC$10000,0)),"")</f>
        <v/>
      </c>
      <c r="AE2006" s="117" t="str">
        <f>+'Packing Material - Cost'!A2007</f>
        <v/>
      </c>
    </row>
    <row r="2007" spans="27:31">
      <c r="AA2007" s="117">
        <f>+'Ingredient List - Mother Tinctu'!D2008</f>
        <v>0</v>
      </c>
      <c r="AB2007" s="117">
        <f t="shared" si="34"/>
        <v>0</v>
      </c>
      <c r="AC2007" s="117" t="str">
        <f>IF(AB2007=1,COUNTIF($AB$3:AB2007,1),"")</f>
        <v/>
      </c>
      <c r="AD2007" s="117" t="str">
        <f>IFERROR(INDEX($AA$3:$AA$10000,MATCH(ROWS($AC$3:AC2007),$AC$3:$AC$10000,0)),"")</f>
        <v/>
      </c>
      <c r="AE2007" s="117" t="str">
        <f>+'Packing Material - Cost'!A2008</f>
        <v/>
      </c>
    </row>
    <row r="2008" spans="27:31">
      <c r="AA2008" s="117">
        <f>+'Ingredient List - Mother Tinctu'!D2009</f>
        <v>0</v>
      </c>
      <c r="AB2008" s="117">
        <f t="shared" si="34"/>
        <v>0</v>
      </c>
      <c r="AC2008" s="117" t="str">
        <f>IF(AB2008=1,COUNTIF($AB$3:AB2008,1),"")</f>
        <v/>
      </c>
      <c r="AD2008" s="117" t="str">
        <f>IFERROR(INDEX($AA$3:$AA$10000,MATCH(ROWS($AC$3:AC2008),$AC$3:$AC$10000,0)),"")</f>
        <v/>
      </c>
      <c r="AE2008" s="117" t="str">
        <f>+'Packing Material - Cost'!A2009</f>
        <v/>
      </c>
    </row>
    <row r="2009" spans="27:31">
      <c r="AA2009" s="117">
        <f>+'Ingredient List - Mother Tinctu'!D2010</f>
        <v>0</v>
      </c>
      <c r="AB2009" s="117">
        <f t="shared" si="34"/>
        <v>0</v>
      </c>
      <c r="AC2009" s="117" t="str">
        <f>IF(AB2009=1,COUNTIF($AB$3:AB2009,1),"")</f>
        <v/>
      </c>
      <c r="AD2009" s="117" t="str">
        <f>IFERROR(INDEX($AA$3:$AA$10000,MATCH(ROWS($AC$3:AC2009),$AC$3:$AC$10000,0)),"")</f>
        <v/>
      </c>
      <c r="AE2009" s="117" t="str">
        <f>+'Packing Material - Cost'!A2010</f>
        <v/>
      </c>
    </row>
    <row r="2010" spans="27:31">
      <c r="AA2010" s="117">
        <f>+'Ingredient List - Mother Tinctu'!D2011</f>
        <v>0</v>
      </c>
      <c r="AB2010" s="117">
        <f t="shared" si="34"/>
        <v>0</v>
      </c>
      <c r="AC2010" s="117" t="str">
        <f>IF(AB2010=1,COUNTIF($AB$3:AB2010,1),"")</f>
        <v/>
      </c>
      <c r="AD2010" s="117" t="str">
        <f>IFERROR(INDEX($AA$3:$AA$10000,MATCH(ROWS($AC$3:AC2010),$AC$3:$AC$10000,0)),"")</f>
        <v/>
      </c>
      <c r="AE2010" s="117" t="str">
        <f>+'Packing Material - Cost'!A2011</f>
        <v/>
      </c>
    </row>
    <row r="2011" spans="27:31">
      <c r="AA2011" s="117">
        <f>+'Ingredient List - Mother Tinctu'!D2012</f>
        <v>0</v>
      </c>
      <c r="AB2011" s="117">
        <f t="shared" si="34"/>
        <v>0</v>
      </c>
      <c r="AC2011" s="117" t="str">
        <f>IF(AB2011=1,COUNTIF($AB$3:AB2011,1),"")</f>
        <v/>
      </c>
      <c r="AD2011" s="117" t="str">
        <f>IFERROR(INDEX($AA$3:$AA$10000,MATCH(ROWS($AC$3:AC2011),$AC$3:$AC$10000,0)),"")</f>
        <v/>
      </c>
      <c r="AE2011" s="117" t="str">
        <f>+'Packing Material - Cost'!A2012</f>
        <v/>
      </c>
    </row>
    <row r="2012" spans="27:31">
      <c r="AA2012" s="117">
        <f>+'Ingredient List - Mother Tinctu'!D2013</f>
        <v>0</v>
      </c>
      <c r="AB2012" s="117">
        <f t="shared" si="34"/>
        <v>0</v>
      </c>
      <c r="AC2012" s="117" t="str">
        <f>IF(AB2012=1,COUNTIF($AB$3:AB2012,1),"")</f>
        <v/>
      </c>
      <c r="AD2012" s="117" t="str">
        <f>IFERROR(INDEX($AA$3:$AA$10000,MATCH(ROWS($AC$3:AC2012),$AC$3:$AC$10000,0)),"")</f>
        <v/>
      </c>
      <c r="AE2012" s="117" t="str">
        <f>+'Packing Material - Cost'!A2013</f>
        <v/>
      </c>
    </row>
    <row r="2013" spans="27:31">
      <c r="AA2013" s="117">
        <f>+'Ingredient List - Mother Tinctu'!D2014</f>
        <v>0</v>
      </c>
      <c r="AB2013" s="117">
        <f t="shared" si="34"/>
        <v>0</v>
      </c>
      <c r="AC2013" s="117" t="str">
        <f>IF(AB2013=1,COUNTIF($AB$3:AB2013,1),"")</f>
        <v/>
      </c>
      <c r="AD2013" s="117" t="str">
        <f>IFERROR(INDEX($AA$3:$AA$10000,MATCH(ROWS($AC$3:AC2013),$AC$3:$AC$10000,0)),"")</f>
        <v/>
      </c>
      <c r="AE2013" s="117" t="str">
        <f>+'Packing Material - Cost'!A2014</f>
        <v/>
      </c>
    </row>
    <row r="2014" spans="27:31">
      <c r="AA2014" s="117">
        <f>+'Ingredient List - Mother Tinctu'!D2015</f>
        <v>0</v>
      </c>
      <c r="AB2014" s="117">
        <f t="shared" si="34"/>
        <v>0</v>
      </c>
      <c r="AC2014" s="117" t="str">
        <f>IF(AB2014=1,COUNTIF($AB$3:AB2014,1),"")</f>
        <v/>
      </c>
      <c r="AD2014" s="117" t="str">
        <f>IFERROR(INDEX($AA$3:$AA$10000,MATCH(ROWS($AC$3:AC2014),$AC$3:$AC$10000,0)),"")</f>
        <v/>
      </c>
      <c r="AE2014" s="117" t="str">
        <f>+'Packing Material - Cost'!A2015</f>
        <v/>
      </c>
    </row>
    <row r="2015" spans="27:31">
      <c r="AA2015" s="117">
        <f>+'Ingredient List - Mother Tinctu'!D2016</f>
        <v>0</v>
      </c>
      <c r="AB2015" s="117">
        <f t="shared" si="34"/>
        <v>0</v>
      </c>
      <c r="AC2015" s="117" t="str">
        <f>IF(AB2015=1,COUNTIF($AB$3:AB2015,1),"")</f>
        <v/>
      </c>
      <c r="AD2015" s="117" t="str">
        <f>IFERROR(INDEX($AA$3:$AA$10000,MATCH(ROWS($AC$3:AC2015),$AC$3:$AC$10000,0)),"")</f>
        <v/>
      </c>
      <c r="AE2015" s="117" t="str">
        <f>+'Packing Material - Cost'!A2016</f>
        <v/>
      </c>
    </row>
    <row r="2016" spans="27:31">
      <c r="AA2016" s="117">
        <f>+'Ingredient List - Mother Tinctu'!D2017</f>
        <v>0</v>
      </c>
      <c r="AB2016" s="117">
        <f t="shared" si="34"/>
        <v>0</v>
      </c>
      <c r="AC2016" s="117" t="str">
        <f>IF(AB2016=1,COUNTIF($AB$3:AB2016,1),"")</f>
        <v/>
      </c>
      <c r="AD2016" s="117" t="str">
        <f>IFERROR(INDEX($AA$3:$AA$10000,MATCH(ROWS($AC$3:AC2016),$AC$3:$AC$10000,0)),"")</f>
        <v/>
      </c>
      <c r="AE2016" s="117" t="str">
        <f>+'Packing Material - Cost'!A2017</f>
        <v/>
      </c>
    </row>
    <row r="2017" spans="27:31">
      <c r="AA2017" s="117">
        <f>+'Ingredient List - Mother Tinctu'!D2018</f>
        <v>0</v>
      </c>
      <c r="AB2017" s="117">
        <f t="shared" si="34"/>
        <v>0</v>
      </c>
      <c r="AC2017" s="117" t="str">
        <f>IF(AB2017=1,COUNTIF($AB$3:AB2017,1),"")</f>
        <v/>
      </c>
      <c r="AD2017" s="117" t="str">
        <f>IFERROR(INDEX($AA$3:$AA$10000,MATCH(ROWS($AC$3:AC2017),$AC$3:$AC$10000,0)),"")</f>
        <v/>
      </c>
      <c r="AE2017" s="117" t="str">
        <f>+'Packing Material - Cost'!A2018</f>
        <v/>
      </c>
    </row>
    <row r="2018" spans="27:31">
      <c r="AA2018" s="117">
        <f>+'Ingredient List - Mother Tinctu'!D2019</f>
        <v>0</v>
      </c>
      <c r="AB2018" s="117">
        <f t="shared" si="34"/>
        <v>0</v>
      </c>
      <c r="AC2018" s="117" t="str">
        <f>IF(AB2018=1,COUNTIF($AB$3:AB2018,1),"")</f>
        <v/>
      </c>
      <c r="AD2018" s="117" t="str">
        <f>IFERROR(INDEX($AA$3:$AA$10000,MATCH(ROWS($AC$3:AC2018),$AC$3:$AC$10000,0)),"")</f>
        <v/>
      </c>
      <c r="AE2018" s="117" t="str">
        <f>+'Packing Material - Cost'!A2019</f>
        <v/>
      </c>
    </row>
    <row r="2019" spans="27:31">
      <c r="AA2019" s="117">
        <f>+'Ingredient List - Mother Tinctu'!D2020</f>
        <v>0</v>
      </c>
      <c r="AB2019" s="117">
        <f t="shared" si="34"/>
        <v>0</v>
      </c>
      <c r="AC2019" s="117" t="str">
        <f>IF(AB2019=1,COUNTIF($AB$3:AB2019,1),"")</f>
        <v/>
      </c>
      <c r="AD2019" s="117" t="str">
        <f>IFERROR(INDEX($AA$3:$AA$10000,MATCH(ROWS($AC$3:AC2019),$AC$3:$AC$10000,0)),"")</f>
        <v/>
      </c>
      <c r="AE2019" s="117" t="str">
        <f>+'Packing Material - Cost'!A2020</f>
        <v/>
      </c>
    </row>
    <row r="2020" spans="27:31">
      <c r="AA2020" s="117">
        <f>+'Ingredient List - Mother Tinctu'!D2021</f>
        <v>0</v>
      </c>
      <c r="AB2020" s="117">
        <f t="shared" si="34"/>
        <v>0</v>
      </c>
      <c r="AC2020" s="117" t="str">
        <f>IF(AB2020=1,COUNTIF($AB$3:AB2020,1),"")</f>
        <v/>
      </c>
      <c r="AD2020" s="117" t="str">
        <f>IFERROR(INDEX($AA$3:$AA$10000,MATCH(ROWS($AC$3:AC2020),$AC$3:$AC$10000,0)),"")</f>
        <v/>
      </c>
      <c r="AE2020" s="117" t="str">
        <f>+'Packing Material - Cost'!A2021</f>
        <v/>
      </c>
    </row>
    <row r="2021" spans="27:31">
      <c r="AA2021" s="117">
        <f>+'Ingredient List - Mother Tinctu'!D2022</f>
        <v>0</v>
      </c>
      <c r="AB2021" s="117">
        <f t="shared" si="34"/>
        <v>0</v>
      </c>
      <c r="AC2021" s="117" t="str">
        <f>IF(AB2021=1,COUNTIF($AB$3:AB2021,1),"")</f>
        <v/>
      </c>
      <c r="AD2021" s="117" t="str">
        <f>IFERROR(INDEX($AA$3:$AA$10000,MATCH(ROWS($AC$3:AC2021),$AC$3:$AC$10000,0)),"")</f>
        <v/>
      </c>
      <c r="AE2021" s="117" t="str">
        <f>+'Packing Material - Cost'!A2022</f>
        <v/>
      </c>
    </row>
    <row r="2022" spans="27:31">
      <c r="AA2022" s="117">
        <f>+'Ingredient List - Mother Tinctu'!D2023</f>
        <v>0</v>
      </c>
      <c r="AB2022" s="117">
        <f t="shared" si="34"/>
        <v>0</v>
      </c>
      <c r="AC2022" s="117" t="str">
        <f>IF(AB2022=1,COUNTIF($AB$3:AB2022,1),"")</f>
        <v/>
      </c>
      <c r="AD2022" s="117" t="str">
        <f>IFERROR(INDEX($AA$3:$AA$10000,MATCH(ROWS($AC$3:AC2022),$AC$3:$AC$10000,0)),"")</f>
        <v/>
      </c>
      <c r="AE2022" s="117" t="str">
        <f>+'Packing Material - Cost'!A2023</f>
        <v/>
      </c>
    </row>
    <row r="2023" spans="27:31">
      <c r="AA2023" s="117">
        <f>+'Ingredient List - Mother Tinctu'!D2024</f>
        <v>0</v>
      </c>
      <c r="AB2023" s="117">
        <f t="shared" si="34"/>
        <v>0</v>
      </c>
      <c r="AC2023" s="117" t="str">
        <f>IF(AB2023=1,COUNTIF($AB$3:AB2023,1),"")</f>
        <v/>
      </c>
      <c r="AD2023" s="117" t="str">
        <f>IFERROR(INDEX($AA$3:$AA$10000,MATCH(ROWS($AC$3:AC2023),$AC$3:$AC$10000,0)),"")</f>
        <v/>
      </c>
      <c r="AE2023" s="117" t="str">
        <f>+'Packing Material - Cost'!A2024</f>
        <v/>
      </c>
    </row>
    <row r="2024" spans="27:31">
      <c r="AA2024" s="117">
        <f>+'Ingredient List - Mother Tinctu'!D2025</f>
        <v>0</v>
      </c>
      <c r="AB2024" s="117">
        <f t="shared" si="34"/>
        <v>0</v>
      </c>
      <c r="AC2024" s="117" t="str">
        <f>IF(AB2024=1,COUNTIF($AB$3:AB2024,1),"")</f>
        <v/>
      </c>
      <c r="AD2024" s="117" t="str">
        <f>IFERROR(INDEX($AA$3:$AA$10000,MATCH(ROWS($AC$3:AC2024),$AC$3:$AC$10000,0)),"")</f>
        <v/>
      </c>
      <c r="AE2024" s="117" t="str">
        <f>+'Packing Material - Cost'!A2025</f>
        <v/>
      </c>
    </row>
    <row r="2025" spans="27:31">
      <c r="AA2025" s="117">
        <f>+'Ingredient List - Mother Tinctu'!D2026</f>
        <v>0</v>
      </c>
      <c r="AB2025" s="117">
        <f t="shared" si="34"/>
        <v>0</v>
      </c>
      <c r="AC2025" s="117" t="str">
        <f>IF(AB2025=1,COUNTIF($AB$3:AB2025,1),"")</f>
        <v/>
      </c>
      <c r="AD2025" s="117" t="str">
        <f>IFERROR(INDEX($AA$3:$AA$10000,MATCH(ROWS($AC$3:AC2025),$AC$3:$AC$10000,0)),"")</f>
        <v/>
      </c>
      <c r="AE2025" s="117" t="str">
        <f>+'Packing Material - Cost'!A2026</f>
        <v/>
      </c>
    </row>
    <row r="2026" spans="27:31">
      <c r="AA2026" s="117">
        <f>+'Ingredient List - Mother Tinctu'!D2027</f>
        <v>0</v>
      </c>
      <c r="AB2026" s="117">
        <f t="shared" si="34"/>
        <v>0</v>
      </c>
      <c r="AC2026" s="117" t="str">
        <f>IF(AB2026=1,COUNTIF($AB$3:AB2026,1),"")</f>
        <v/>
      </c>
      <c r="AD2026" s="117" t="str">
        <f>IFERROR(INDEX($AA$3:$AA$10000,MATCH(ROWS($AC$3:AC2026),$AC$3:$AC$10000,0)),"")</f>
        <v/>
      </c>
      <c r="AE2026" s="117" t="str">
        <f>+'Packing Material - Cost'!A2027</f>
        <v/>
      </c>
    </row>
    <row r="2027" spans="27:31">
      <c r="AA2027" s="117">
        <f>+'Ingredient List - Mother Tinctu'!D2028</f>
        <v>0</v>
      </c>
      <c r="AB2027" s="117">
        <f t="shared" si="34"/>
        <v>0</v>
      </c>
      <c r="AC2027" s="117" t="str">
        <f>IF(AB2027=1,COUNTIF($AB$3:AB2027,1),"")</f>
        <v/>
      </c>
      <c r="AD2027" s="117" t="str">
        <f>IFERROR(INDEX($AA$3:$AA$10000,MATCH(ROWS($AC$3:AC2027),$AC$3:$AC$10000,0)),"")</f>
        <v/>
      </c>
      <c r="AE2027" s="117" t="str">
        <f>+'Packing Material - Cost'!A2028</f>
        <v/>
      </c>
    </row>
    <row r="2028" spans="27:31">
      <c r="AA2028" s="117">
        <f>+'Ingredient List - Mother Tinctu'!D2029</f>
        <v>0</v>
      </c>
      <c r="AB2028" s="117">
        <f t="shared" si="34"/>
        <v>0</v>
      </c>
      <c r="AC2028" s="117" t="str">
        <f>IF(AB2028=1,COUNTIF($AB$3:AB2028,1),"")</f>
        <v/>
      </c>
      <c r="AD2028" s="117" t="str">
        <f>IFERROR(INDEX($AA$3:$AA$10000,MATCH(ROWS($AC$3:AC2028),$AC$3:$AC$10000,0)),"")</f>
        <v/>
      </c>
      <c r="AE2028" s="117" t="str">
        <f>+'Packing Material - Cost'!A2029</f>
        <v/>
      </c>
    </row>
    <row r="2029" spans="27:31">
      <c r="AA2029" s="117">
        <f>+'Ingredient List - Mother Tinctu'!D2030</f>
        <v>0</v>
      </c>
      <c r="AB2029" s="117">
        <f t="shared" si="34"/>
        <v>0</v>
      </c>
      <c r="AC2029" s="117" t="str">
        <f>IF(AB2029=1,COUNTIF($AB$3:AB2029,1),"")</f>
        <v/>
      </c>
      <c r="AD2029" s="117" t="str">
        <f>IFERROR(INDEX($AA$3:$AA$10000,MATCH(ROWS($AC$3:AC2029),$AC$3:$AC$10000,0)),"")</f>
        <v/>
      </c>
      <c r="AE2029" s="117" t="str">
        <f>+'Packing Material - Cost'!A2030</f>
        <v/>
      </c>
    </row>
    <row r="2030" spans="27:31">
      <c r="AA2030" s="117">
        <f>+'Ingredient List - Mother Tinctu'!D2031</f>
        <v>0</v>
      </c>
      <c r="AB2030" s="117">
        <f t="shared" si="34"/>
        <v>0</v>
      </c>
      <c r="AC2030" s="117" t="str">
        <f>IF(AB2030=1,COUNTIF($AB$3:AB2030,1),"")</f>
        <v/>
      </c>
      <c r="AD2030" s="117" t="str">
        <f>IFERROR(INDEX($AA$3:$AA$10000,MATCH(ROWS($AC$3:AC2030),$AC$3:$AC$10000,0)),"")</f>
        <v/>
      </c>
      <c r="AE2030" s="117" t="str">
        <f>+'Packing Material - Cost'!A2031</f>
        <v/>
      </c>
    </row>
    <row r="2031" spans="27:31">
      <c r="AA2031" s="117">
        <f>+'Ingredient List - Mother Tinctu'!D2032</f>
        <v>0</v>
      </c>
      <c r="AB2031" s="117">
        <f t="shared" si="34"/>
        <v>0</v>
      </c>
      <c r="AC2031" s="117" t="str">
        <f>IF(AB2031=1,COUNTIF($AB$3:AB2031,1),"")</f>
        <v/>
      </c>
      <c r="AD2031" s="117" t="str">
        <f>IFERROR(INDEX($AA$3:$AA$10000,MATCH(ROWS($AC$3:AC2031),$AC$3:$AC$10000,0)),"")</f>
        <v/>
      </c>
      <c r="AE2031" s="117" t="str">
        <f>+'Packing Material - Cost'!A2032</f>
        <v/>
      </c>
    </row>
    <row r="2032" spans="27:31">
      <c r="AA2032" s="117">
        <f>+'Ingredient List - Mother Tinctu'!D2033</f>
        <v>0</v>
      </c>
      <c r="AB2032" s="117">
        <f t="shared" si="34"/>
        <v>0</v>
      </c>
      <c r="AC2032" s="117" t="str">
        <f>IF(AB2032=1,COUNTIF($AB$3:AB2032,1),"")</f>
        <v/>
      </c>
      <c r="AD2032" s="117" t="str">
        <f>IFERROR(INDEX($AA$3:$AA$10000,MATCH(ROWS($AC$3:AC2032),$AC$3:$AC$10000,0)),"")</f>
        <v/>
      </c>
      <c r="AE2032" s="117" t="str">
        <f>+'Packing Material - Cost'!A2033</f>
        <v/>
      </c>
    </row>
    <row r="2033" spans="27:31">
      <c r="AA2033" s="117">
        <f>+'Ingredient List - Mother Tinctu'!D2034</f>
        <v>0</v>
      </c>
      <c r="AB2033" s="117">
        <f t="shared" si="34"/>
        <v>0</v>
      </c>
      <c r="AC2033" s="117" t="str">
        <f>IF(AB2033=1,COUNTIF($AB$3:AB2033,1),"")</f>
        <v/>
      </c>
      <c r="AD2033" s="117" t="str">
        <f>IFERROR(INDEX($AA$3:$AA$10000,MATCH(ROWS($AC$3:AC2033),$AC$3:$AC$10000,0)),"")</f>
        <v/>
      </c>
      <c r="AE2033" s="117" t="str">
        <f>+'Packing Material - Cost'!A2034</f>
        <v/>
      </c>
    </row>
    <row r="2034" spans="27:31">
      <c r="AA2034" s="117">
        <f>+'Ingredient List - Mother Tinctu'!D2035</f>
        <v>0</v>
      </c>
      <c r="AB2034" s="117">
        <f t="shared" si="34"/>
        <v>0</v>
      </c>
      <c r="AC2034" s="117" t="str">
        <f>IF(AB2034=1,COUNTIF($AB$3:AB2034,1),"")</f>
        <v/>
      </c>
      <c r="AD2034" s="117" t="str">
        <f>IFERROR(INDEX($AA$3:$AA$10000,MATCH(ROWS($AC$3:AC2034),$AC$3:$AC$10000,0)),"")</f>
        <v/>
      </c>
      <c r="AE2034" s="117" t="str">
        <f>+'Packing Material - Cost'!A2035</f>
        <v/>
      </c>
    </row>
    <row r="2035" spans="27:31">
      <c r="AA2035" s="117">
        <f>+'Ingredient List - Mother Tinctu'!D2036</f>
        <v>0</v>
      </c>
      <c r="AB2035" s="117">
        <f t="shared" si="34"/>
        <v>0</v>
      </c>
      <c r="AC2035" s="117" t="str">
        <f>IF(AB2035=1,COUNTIF($AB$3:AB2035,1),"")</f>
        <v/>
      </c>
      <c r="AD2035" s="117" t="str">
        <f>IFERROR(INDEX($AA$3:$AA$10000,MATCH(ROWS($AC$3:AC2035),$AC$3:$AC$10000,0)),"")</f>
        <v/>
      </c>
      <c r="AE2035" s="117" t="str">
        <f>+'Packing Material - Cost'!A2036</f>
        <v/>
      </c>
    </row>
    <row r="2036" spans="27:31">
      <c r="AA2036" s="117">
        <f>+'Ingredient List - Mother Tinctu'!D2037</f>
        <v>0</v>
      </c>
      <c r="AB2036" s="117">
        <f t="shared" si="34"/>
        <v>0</v>
      </c>
      <c r="AC2036" s="117" t="str">
        <f>IF(AB2036=1,COUNTIF($AB$3:AB2036,1),"")</f>
        <v/>
      </c>
      <c r="AD2036" s="117" t="str">
        <f>IFERROR(INDEX($AA$3:$AA$10000,MATCH(ROWS($AC$3:AC2036),$AC$3:$AC$10000,0)),"")</f>
        <v/>
      </c>
      <c r="AE2036" s="117" t="str">
        <f>+'Packing Material - Cost'!A2037</f>
        <v/>
      </c>
    </row>
    <row r="2037" spans="27:31">
      <c r="AA2037" s="117">
        <f>+'Ingredient List - Mother Tinctu'!D2038</f>
        <v>0</v>
      </c>
      <c r="AB2037" s="117">
        <f t="shared" si="34"/>
        <v>0</v>
      </c>
      <c r="AC2037" s="117" t="str">
        <f>IF(AB2037=1,COUNTIF($AB$3:AB2037,1),"")</f>
        <v/>
      </c>
      <c r="AD2037" s="117" t="str">
        <f>IFERROR(INDEX($AA$3:$AA$10000,MATCH(ROWS($AC$3:AC2037),$AC$3:$AC$10000,0)),"")</f>
        <v/>
      </c>
      <c r="AE2037" s="117" t="str">
        <f>+'Packing Material - Cost'!A2038</f>
        <v/>
      </c>
    </row>
    <row r="2038" spans="27:31">
      <c r="AA2038" s="117">
        <f>+'Ingredient List - Mother Tinctu'!D2039</f>
        <v>0</v>
      </c>
      <c r="AB2038" s="117">
        <f t="shared" si="34"/>
        <v>0</v>
      </c>
      <c r="AC2038" s="117" t="str">
        <f>IF(AB2038=1,COUNTIF($AB$3:AB2038,1),"")</f>
        <v/>
      </c>
      <c r="AD2038" s="117" t="str">
        <f>IFERROR(INDEX($AA$3:$AA$10000,MATCH(ROWS($AC$3:AC2038),$AC$3:$AC$10000,0)),"")</f>
        <v/>
      </c>
      <c r="AE2038" s="117" t="str">
        <f>+'Packing Material - Cost'!A2039</f>
        <v/>
      </c>
    </row>
    <row r="2039" spans="27:31">
      <c r="AA2039" s="117">
        <f>+'Ingredient List - Mother Tinctu'!D2040</f>
        <v>0</v>
      </c>
      <c r="AB2039" s="117">
        <f t="shared" si="34"/>
        <v>0</v>
      </c>
      <c r="AC2039" s="117" t="str">
        <f>IF(AB2039=1,COUNTIF($AB$3:AB2039,1),"")</f>
        <v/>
      </c>
      <c r="AD2039" s="117" t="str">
        <f>IFERROR(INDEX($AA$3:$AA$10000,MATCH(ROWS($AC$3:AC2039),$AC$3:$AC$10000,0)),"")</f>
        <v/>
      </c>
      <c r="AE2039" s="117" t="str">
        <f>+'Packing Material - Cost'!A2040</f>
        <v/>
      </c>
    </row>
    <row r="2040" spans="27:31">
      <c r="AA2040" s="117">
        <f>+'Ingredient List - Mother Tinctu'!D2041</f>
        <v>0</v>
      </c>
      <c r="AB2040" s="117">
        <f t="shared" si="34"/>
        <v>0</v>
      </c>
      <c r="AC2040" s="117" t="str">
        <f>IF(AB2040=1,COUNTIF($AB$3:AB2040,1),"")</f>
        <v/>
      </c>
      <c r="AD2040" s="117" t="str">
        <f>IFERROR(INDEX($AA$3:$AA$10000,MATCH(ROWS($AC$3:AC2040),$AC$3:$AC$10000,0)),"")</f>
        <v/>
      </c>
      <c r="AE2040" s="117" t="str">
        <f>+'Packing Material - Cost'!A2041</f>
        <v/>
      </c>
    </row>
    <row r="2041" spans="27:31">
      <c r="AA2041" s="117">
        <f>+'Ingredient List - Mother Tinctu'!D2042</f>
        <v>0</v>
      </c>
      <c r="AB2041" s="117">
        <f t="shared" si="34"/>
        <v>0</v>
      </c>
      <c r="AC2041" s="117" t="str">
        <f>IF(AB2041=1,COUNTIF($AB$3:AB2041,1),"")</f>
        <v/>
      </c>
      <c r="AD2041" s="117" t="str">
        <f>IFERROR(INDEX($AA$3:$AA$10000,MATCH(ROWS($AC$3:AC2041),$AC$3:$AC$10000,0)),"")</f>
        <v/>
      </c>
      <c r="AE2041" s="117" t="str">
        <f>+'Packing Material - Cost'!A2042</f>
        <v/>
      </c>
    </row>
    <row r="2042" spans="27:31">
      <c r="AA2042" s="117">
        <f>+'Ingredient List - Mother Tinctu'!D2043</f>
        <v>0</v>
      </c>
      <c r="AB2042" s="117">
        <f t="shared" si="34"/>
        <v>0</v>
      </c>
      <c r="AC2042" s="117" t="str">
        <f>IF(AB2042=1,COUNTIF($AB$3:AB2042,1),"")</f>
        <v/>
      </c>
      <c r="AD2042" s="117" t="str">
        <f>IFERROR(INDEX($AA$3:$AA$10000,MATCH(ROWS($AC$3:AC2042),$AC$3:$AC$10000,0)),"")</f>
        <v/>
      </c>
      <c r="AE2042" s="117" t="str">
        <f>+'Packing Material - Cost'!A2043</f>
        <v/>
      </c>
    </row>
    <row r="2043" spans="27:31">
      <c r="AA2043" s="117">
        <f>+'Ingredient List - Mother Tinctu'!D2044</f>
        <v>0</v>
      </c>
      <c r="AB2043" s="117">
        <f t="shared" si="34"/>
        <v>0</v>
      </c>
      <c r="AC2043" s="117" t="str">
        <f>IF(AB2043=1,COUNTIF($AB$3:AB2043,1),"")</f>
        <v/>
      </c>
      <c r="AD2043" s="117" t="str">
        <f>IFERROR(INDEX($AA$3:$AA$10000,MATCH(ROWS($AC$3:AC2043),$AC$3:$AC$10000,0)),"")</f>
        <v/>
      </c>
      <c r="AE2043" s="117" t="str">
        <f>+'Packing Material - Cost'!A2044</f>
        <v/>
      </c>
    </row>
    <row r="2044" spans="27:31">
      <c r="AA2044" s="117">
        <f>+'Ingredient List - Mother Tinctu'!D2045</f>
        <v>0</v>
      </c>
      <c r="AB2044" s="117">
        <f t="shared" si="34"/>
        <v>0</v>
      </c>
      <c r="AC2044" s="117" t="str">
        <f>IF(AB2044=1,COUNTIF($AB$3:AB2044,1),"")</f>
        <v/>
      </c>
      <c r="AD2044" s="117" t="str">
        <f>IFERROR(INDEX($AA$3:$AA$10000,MATCH(ROWS($AC$3:AC2044),$AC$3:$AC$10000,0)),"")</f>
        <v/>
      </c>
      <c r="AE2044" s="117" t="str">
        <f>+'Packing Material - Cost'!A2045</f>
        <v/>
      </c>
    </row>
    <row r="2045" spans="27:31">
      <c r="AA2045" s="117">
        <f>+'Ingredient List - Mother Tinctu'!D2046</f>
        <v>0</v>
      </c>
      <c r="AB2045" s="117">
        <f t="shared" si="34"/>
        <v>0</v>
      </c>
      <c r="AC2045" s="117" t="str">
        <f>IF(AB2045=1,COUNTIF($AB$3:AB2045,1),"")</f>
        <v/>
      </c>
      <c r="AD2045" s="117" t="str">
        <f>IFERROR(INDEX($AA$3:$AA$10000,MATCH(ROWS($AC$3:AC2045),$AC$3:$AC$10000,0)),"")</f>
        <v/>
      </c>
      <c r="AE2045" s="117" t="str">
        <f>+'Packing Material - Cost'!A2046</f>
        <v/>
      </c>
    </row>
    <row r="2046" spans="27:31">
      <c r="AA2046" s="117">
        <f>+'Ingredient List - Mother Tinctu'!D2047</f>
        <v>0</v>
      </c>
      <c r="AB2046" s="117">
        <f t="shared" si="34"/>
        <v>0</v>
      </c>
      <c r="AC2046" s="117" t="str">
        <f>IF(AB2046=1,COUNTIF($AB$3:AB2046,1),"")</f>
        <v/>
      </c>
      <c r="AD2046" s="117" t="str">
        <f>IFERROR(INDEX($AA$3:$AA$10000,MATCH(ROWS($AC$3:AC2046),$AC$3:$AC$10000,0)),"")</f>
        <v/>
      </c>
      <c r="AE2046" s="117" t="str">
        <f>+'Packing Material - Cost'!A2047</f>
        <v/>
      </c>
    </row>
    <row r="2047" spans="27:31">
      <c r="AA2047" s="117">
        <f>+'Ingredient List - Mother Tinctu'!D2048</f>
        <v>0</v>
      </c>
      <c r="AB2047" s="117">
        <f t="shared" si="34"/>
        <v>0</v>
      </c>
      <c r="AC2047" s="117" t="str">
        <f>IF(AB2047=1,COUNTIF($AB$3:AB2047,1),"")</f>
        <v/>
      </c>
      <c r="AD2047" s="117" t="str">
        <f>IFERROR(INDEX($AA$3:$AA$10000,MATCH(ROWS($AC$3:AC2047),$AC$3:$AC$10000,0)),"")</f>
        <v/>
      </c>
      <c r="AE2047" s="117" t="str">
        <f>+'Packing Material - Cost'!A2048</f>
        <v/>
      </c>
    </row>
    <row r="2048" spans="27:31">
      <c r="AA2048" s="117">
        <f>+'Ingredient List - Mother Tinctu'!D2049</f>
        <v>0</v>
      </c>
      <c r="AB2048" s="117">
        <f t="shared" si="34"/>
        <v>0</v>
      </c>
      <c r="AC2048" s="117" t="str">
        <f>IF(AB2048=1,COUNTIF($AB$3:AB2048,1),"")</f>
        <v/>
      </c>
      <c r="AD2048" s="117" t="str">
        <f>IFERROR(INDEX($AA$3:$AA$10000,MATCH(ROWS($AC$3:AC2048),$AC$3:$AC$10000,0)),"")</f>
        <v/>
      </c>
      <c r="AE2048" s="117" t="str">
        <f>+'Packing Material - Cost'!A2049</f>
        <v/>
      </c>
    </row>
    <row r="2049" spans="27:31">
      <c r="AA2049" s="117">
        <f>+'Ingredient List - Mother Tinctu'!D2050</f>
        <v>0</v>
      </c>
      <c r="AB2049" s="117">
        <f t="shared" si="34"/>
        <v>0</v>
      </c>
      <c r="AC2049" s="117" t="str">
        <f>IF(AB2049=1,COUNTIF($AB$3:AB2049,1),"")</f>
        <v/>
      </c>
      <c r="AD2049" s="117" t="str">
        <f>IFERROR(INDEX($AA$3:$AA$10000,MATCH(ROWS($AC$3:AC2049),$AC$3:$AC$10000,0)),"")</f>
        <v/>
      </c>
      <c r="AE2049" s="117" t="str">
        <f>+'Packing Material - Cost'!A2050</f>
        <v/>
      </c>
    </row>
    <row r="2050" spans="27:31">
      <c r="AA2050" s="117">
        <f>+'Ingredient List - Mother Tinctu'!D2051</f>
        <v>0</v>
      </c>
      <c r="AB2050" s="117">
        <f t="shared" si="34"/>
        <v>0</v>
      </c>
      <c r="AC2050" s="117" t="str">
        <f>IF(AB2050=1,COUNTIF($AB$3:AB2050,1),"")</f>
        <v/>
      </c>
      <c r="AD2050" s="117" t="str">
        <f>IFERROR(INDEX($AA$3:$AA$10000,MATCH(ROWS($AC$3:AC2050),$AC$3:$AC$10000,0)),"")</f>
        <v/>
      </c>
      <c r="AE2050" s="117" t="str">
        <f>+'Packing Material - Cost'!A2051</f>
        <v/>
      </c>
    </row>
    <row r="2051" spans="27:31">
      <c r="AA2051" s="117">
        <f>+'Ingredient List - Mother Tinctu'!D2052</f>
        <v>0</v>
      </c>
      <c r="AB2051" s="117">
        <f t="shared" si="34"/>
        <v>0</v>
      </c>
      <c r="AC2051" s="117" t="str">
        <f>IF(AB2051=1,COUNTIF($AB$3:AB2051,1),"")</f>
        <v/>
      </c>
      <c r="AD2051" s="117" t="str">
        <f>IFERROR(INDEX($AA$3:$AA$10000,MATCH(ROWS($AC$3:AC2051),$AC$3:$AC$10000,0)),"")</f>
        <v/>
      </c>
      <c r="AE2051" s="117" t="str">
        <f>+'Packing Material - Cost'!A2052</f>
        <v/>
      </c>
    </row>
    <row r="2052" spans="27:31">
      <c r="AA2052" s="117">
        <f>+'Ingredient List - Mother Tinctu'!D2053</f>
        <v>0</v>
      </c>
      <c r="AB2052" s="117">
        <f t="shared" ref="AB2052:AB2115" si="35">--ISNUMBER(IFERROR(SEARCH($D$3,AA2052,1),""))</f>
        <v>0</v>
      </c>
      <c r="AC2052" s="117" t="str">
        <f>IF(AB2052=1,COUNTIF($AB$3:AB2052,1),"")</f>
        <v/>
      </c>
      <c r="AD2052" s="117" t="str">
        <f>IFERROR(INDEX($AA$3:$AA$10000,MATCH(ROWS($AC$3:AC2052),$AC$3:$AC$10000,0)),"")</f>
        <v/>
      </c>
      <c r="AE2052" s="117" t="str">
        <f>+'Packing Material - Cost'!A2053</f>
        <v/>
      </c>
    </row>
    <row r="2053" spans="27:31">
      <c r="AA2053" s="117">
        <f>+'Ingredient List - Mother Tinctu'!D2054</f>
        <v>0</v>
      </c>
      <c r="AB2053" s="117">
        <f t="shared" si="35"/>
        <v>0</v>
      </c>
      <c r="AC2053" s="117" t="str">
        <f>IF(AB2053=1,COUNTIF($AB$3:AB2053,1),"")</f>
        <v/>
      </c>
      <c r="AD2053" s="117" t="str">
        <f>IFERROR(INDEX($AA$3:$AA$10000,MATCH(ROWS($AC$3:AC2053),$AC$3:$AC$10000,0)),"")</f>
        <v/>
      </c>
      <c r="AE2053" s="117" t="str">
        <f>+'Packing Material - Cost'!A2054</f>
        <v/>
      </c>
    </row>
    <row r="2054" spans="27:31">
      <c r="AA2054" s="117">
        <f>+'Ingredient List - Mother Tinctu'!D2055</f>
        <v>0</v>
      </c>
      <c r="AB2054" s="117">
        <f t="shared" si="35"/>
        <v>0</v>
      </c>
      <c r="AC2054" s="117" t="str">
        <f>IF(AB2054=1,COUNTIF($AB$3:AB2054,1),"")</f>
        <v/>
      </c>
      <c r="AD2054" s="117" t="str">
        <f>IFERROR(INDEX($AA$3:$AA$10000,MATCH(ROWS($AC$3:AC2054),$AC$3:$AC$10000,0)),"")</f>
        <v/>
      </c>
      <c r="AE2054" s="117" t="str">
        <f>+'Packing Material - Cost'!A2055</f>
        <v/>
      </c>
    </row>
    <row r="2055" spans="27:31">
      <c r="AA2055" s="117">
        <f>+'Ingredient List - Mother Tinctu'!D2056</f>
        <v>0</v>
      </c>
      <c r="AB2055" s="117">
        <f t="shared" si="35"/>
        <v>0</v>
      </c>
      <c r="AC2055" s="117" t="str">
        <f>IF(AB2055=1,COUNTIF($AB$3:AB2055,1),"")</f>
        <v/>
      </c>
      <c r="AD2055" s="117" t="str">
        <f>IFERROR(INDEX($AA$3:$AA$10000,MATCH(ROWS($AC$3:AC2055),$AC$3:$AC$10000,0)),"")</f>
        <v/>
      </c>
      <c r="AE2055" s="117" t="str">
        <f>+'Packing Material - Cost'!A2056</f>
        <v/>
      </c>
    </row>
    <row r="2056" spans="27:31">
      <c r="AA2056" s="117">
        <f>+'Ingredient List - Mother Tinctu'!D2057</f>
        <v>0</v>
      </c>
      <c r="AB2056" s="117">
        <f t="shared" si="35"/>
        <v>0</v>
      </c>
      <c r="AC2056" s="117" t="str">
        <f>IF(AB2056=1,COUNTIF($AB$3:AB2056,1),"")</f>
        <v/>
      </c>
      <c r="AD2056" s="117" t="str">
        <f>IFERROR(INDEX($AA$3:$AA$10000,MATCH(ROWS($AC$3:AC2056),$AC$3:$AC$10000,0)),"")</f>
        <v/>
      </c>
      <c r="AE2056" s="117" t="str">
        <f>+'Packing Material - Cost'!A2057</f>
        <v/>
      </c>
    </row>
    <row r="2057" spans="27:31">
      <c r="AA2057" s="117">
        <f>+'Ingredient List - Mother Tinctu'!D2058</f>
        <v>0</v>
      </c>
      <c r="AB2057" s="117">
        <f t="shared" si="35"/>
        <v>0</v>
      </c>
      <c r="AC2057" s="117" t="str">
        <f>IF(AB2057=1,COUNTIF($AB$3:AB2057,1),"")</f>
        <v/>
      </c>
      <c r="AD2057" s="117" t="str">
        <f>IFERROR(INDEX($AA$3:$AA$10000,MATCH(ROWS($AC$3:AC2057),$AC$3:$AC$10000,0)),"")</f>
        <v/>
      </c>
      <c r="AE2057" s="117" t="str">
        <f>+'Packing Material - Cost'!A2058</f>
        <v/>
      </c>
    </row>
    <row r="2058" spans="27:31">
      <c r="AA2058" s="117">
        <f>+'Ingredient List - Mother Tinctu'!D2059</f>
        <v>0</v>
      </c>
      <c r="AB2058" s="117">
        <f t="shared" si="35"/>
        <v>0</v>
      </c>
      <c r="AC2058" s="117" t="str">
        <f>IF(AB2058=1,COUNTIF($AB$3:AB2058,1),"")</f>
        <v/>
      </c>
      <c r="AD2058" s="117" t="str">
        <f>IFERROR(INDEX($AA$3:$AA$10000,MATCH(ROWS($AC$3:AC2058),$AC$3:$AC$10000,0)),"")</f>
        <v/>
      </c>
      <c r="AE2058" s="117" t="str">
        <f>+'Packing Material - Cost'!A2059</f>
        <v/>
      </c>
    </row>
    <row r="2059" spans="27:31">
      <c r="AA2059" s="117">
        <f>+'Ingredient List - Mother Tinctu'!D2060</f>
        <v>0</v>
      </c>
      <c r="AB2059" s="117">
        <f t="shared" si="35"/>
        <v>0</v>
      </c>
      <c r="AC2059" s="117" t="str">
        <f>IF(AB2059=1,COUNTIF($AB$3:AB2059,1),"")</f>
        <v/>
      </c>
      <c r="AD2059" s="117" t="str">
        <f>IFERROR(INDEX($AA$3:$AA$10000,MATCH(ROWS($AC$3:AC2059),$AC$3:$AC$10000,0)),"")</f>
        <v/>
      </c>
      <c r="AE2059" s="117" t="str">
        <f>+'Packing Material - Cost'!A2060</f>
        <v/>
      </c>
    </row>
    <row r="2060" spans="27:31">
      <c r="AA2060" s="117">
        <f>+'Ingredient List - Mother Tinctu'!D2061</f>
        <v>0</v>
      </c>
      <c r="AB2060" s="117">
        <f t="shared" si="35"/>
        <v>0</v>
      </c>
      <c r="AC2060" s="117" t="str">
        <f>IF(AB2060=1,COUNTIF($AB$3:AB2060,1),"")</f>
        <v/>
      </c>
      <c r="AD2060" s="117" t="str">
        <f>IFERROR(INDEX($AA$3:$AA$10000,MATCH(ROWS($AC$3:AC2060),$AC$3:$AC$10000,0)),"")</f>
        <v/>
      </c>
      <c r="AE2060" s="117" t="str">
        <f>+'Packing Material - Cost'!A2061</f>
        <v/>
      </c>
    </row>
    <row r="2061" spans="27:31">
      <c r="AA2061" s="117">
        <f>+'Ingredient List - Mother Tinctu'!D2062</f>
        <v>0</v>
      </c>
      <c r="AB2061" s="117">
        <f t="shared" si="35"/>
        <v>0</v>
      </c>
      <c r="AC2061" s="117" t="str">
        <f>IF(AB2061=1,COUNTIF($AB$3:AB2061,1),"")</f>
        <v/>
      </c>
      <c r="AD2061" s="117" t="str">
        <f>IFERROR(INDEX($AA$3:$AA$10000,MATCH(ROWS($AC$3:AC2061),$AC$3:$AC$10000,0)),"")</f>
        <v/>
      </c>
      <c r="AE2061" s="117" t="str">
        <f>+'Packing Material - Cost'!A2062</f>
        <v/>
      </c>
    </row>
    <row r="2062" spans="27:31">
      <c r="AA2062" s="117">
        <f>+'Ingredient List - Mother Tinctu'!D2063</f>
        <v>0</v>
      </c>
      <c r="AB2062" s="117">
        <f t="shared" si="35"/>
        <v>0</v>
      </c>
      <c r="AC2062" s="117" t="str">
        <f>IF(AB2062=1,COUNTIF($AB$3:AB2062,1),"")</f>
        <v/>
      </c>
      <c r="AD2062" s="117" t="str">
        <f>IFERROR(INDEX($AA$3:$AA$10000,MATCH(ROWS($AC$3:AC2062),$AC$3:$AC$10000,0)),"")</f>
        <v/>
      </c>
      <c r="AE2062" s="117" t="str">
        <f>+'Packing Material - Cost'!A2063</f>
        <v/>
      </c>
    </row>
    <row r="2063" spans="27:31">
      <c r="AA2063" s="117">
        <f>+'Ingredient List - Mother Tinctu'!D2064</f>
        <v>0</v>
      </c>
      <c r="AB2063" s="117">
        <f t="shared" si="35"/>
        <v>0</v>
      </c>
      <c r="AC2063" s="117" t="str">
        <f>IF(AB2063=1,COUNTIF($AB$3:AB2063,1),"")</f>
        <v/>
      </c>
      <c r="AD2063" s="117" t="str">
        <f>IFERROR(INDEX($AA$3:$AA$10000,MATCH(ROWS($AC$3:AC2063),$AC$3:$AC$10000,0)),"")</f>
        <v/>
      </c>
      <c r="AE2063" s="117" t="str">
        <f>+'Packing Material - Cost'!A2064</f>
        <v/>
      </c>
    </row>
    <row r="2064" spans="27:31">
      <c r="AA2064" s="117">
        <f>+'Ingredient List - Mother Tinctu'!D2065</f>
        <v>0</v>
      </c>
      <c r="AB2064" s="117">
        <f t="shared" si="35"/>
        <v>0</v>
      </c>
      <c r="AC2064" s="117" t="str">
        <f>IF(AB2064=1,COUNTIF($AB$3:AB2064,1),"")</f>
        <v/>
      </c>
      <c r="AD2064" s="117" t="str">
        <f>IFERROR(INDEX($AA$3:$AA$10000,MATCH(ROWS($AC$3:AC2064),$AC$3:$AC$10000,0)),"")</f>
        <v/>
      </c>
      <c r="AE2064" s="117" t="str">
        <f>+'Packing Material - Cost'!A2065</f>
        <v/>
      </c>
    </row>
    <row r="2065" spans="27:31">
      <c r="AA2065" s="117">
        <f>+'Ingredient List - Mother Tinctu'!D2066</f>
        <v>0</v>
      </c>
      <c r="AB2065" s="117">
        <f t="shared" si="35"/>
        <v>0</v>
      </c>
      <c r="AC2065" s="117" t="str">
        <f>IF(AB2065=1,COUNTIF($AB$3:AB2065,1),"")</f>
        <v/>
      </c>
      <c r="AD2065" s="117" t="str">
        <f>IFERROR(INDEX($AA$3:$AA$10000,MATCH(ROWS($AC$3:AC2065),$AC$3:$AC$10000,0)),"")</f>
        <v/>
      </c>
      <c r="AE2065" s="117" t="str">
        <f>+'Packing Material - Cost'!A2066</f>
        <v/>
      </c>
    </row>
    <row r="2066" spans="27:31">
      <c r="AA2066" s="117">
        <f>+'Ingredient List - Mother Tinctu'!D2067</f>
        <v>0</v>
      </c>
      <c r="AB2066" s="117">
        <f t="shared" si="35"/>
        <v>0</v>
      </c>
      <c r="AC2066" s="117" t="str">
        <f>IF(AB2066=1,COUNTIF($AB$3:AB2066,1),"")</f>
        <v/>
      </c>
      <c r="AD2066" s="117" t="str">
        <f>IFERROR(INDEX($AA$3:$AA$10000,MATCH(ROWS($AC$3:AC2066),$AC$3:$AC$10000,0)),"")</f>
        <v/>
      </c>
      <c r="AE2066" s="117" t="str">
        <f>+'Packing Material - Cost'!A2067</f>
        <v/>
      </c>
    </row>
    <row r="2067" spans="27:31">
      <c r="AA2067" s="117">
        <f>+'Ingredient List - Mother Tinctu'!D2068</f>
        <v>0</v>
      </c>
      <c r="AB2067" s="117">
        <f t="shared" si="35"/>
        <v>0</v>
      </c>
      <c r="AC2067" s="117" t="str">
        <f>IF(AB2067=1,COUNTIF($AB$3:AB2067,1),"")</f>
        <v/>
      </c>
      <c r="AD2067" s="117" t="str">
        <f>IFERROR(INDEX($AA$3:$AA$10000,MATCH(ROWS($AC$3:AC2067),$AC$3:$AC$10000,0)),"")</f>
        <v/>
      </c>
      <c r="AE2067" s="117" t="str">
        <f>+'Packing Material - Cost'!A2068</f>
        <v/>
      </c>
    </row>
    <row r="2068" spans="27:31">
      <c r="AA2068" s="117">
        <f>+'Ingredient List - Mother Tinctu'!D2069</f>
        <v>0</v>
      </c>
      <c r="AB2068" s="117">
        <f t="shared" si="35"/>
        <v>0</v>
      </c>
      <c r="AC2068" s="117" t="str">
        <f>IF(AB2068=1,COUNTIF($AB$3:AB2068,1),"")</f>
        <v/>
      </c>
      <c r="AD2068" s="117" t="str">
        <f>IFERROR(INDEX($AA$3:$AA$10000,MATCH(ROWS($AC$3:AC2068),$AC$3:$AC$10000,0)),"")</f>
        <v/>
      </c>
      <c r="AE2068" s="117" t="str">
        <f>+'Packing Material - Cost'!A2069</f>
        <v/>
      </c>
    </row>
    <row r="2069" spans="27:31">
      <c r="AA2069" s="117">
        <f>+'Ingredient List - Mother Tinctu'!D2070</f>
        <v>0</v>
      </c>
      <c r="AB2069" s="117">
        <f t="shared" si="35"/>
        <v>0</v>
      </c>
      <c r="AC2069" s="117" t="str">
        <f>IF(AB2069=1,COUNTIF($AB$3:AB2069,1),"")</f>
        <v/>
      </c>
      <c r="AD2069" s="117" t="str">
        <f>IFERROR(INDEX($AA$3:$AA$10000,MATCH(ROWS($AC$3:AC2069),$AC$3:$AC$10000,0)),"")</f>
        <v/>
      </c>
      <c r="AE2069" s="117" t="str">
        <f>+'Packing Material - Cost'!A2070</f>
        <v/>
      </c>
    </row>
    <row r="2070" spans="27:31">
      <c r="AA2070" s="117">
        <f>+'Ingredient List - Mother Tinctu'!D2071</f>
        <v>0</v>
      </c>
      <c r="AB2070" s="117">
        <f t="shared" si="35"/>
        <v>0</v>
      </c>
      <c r="AC2070" s="117" t="str">
        <f>IF(AB2070=1,COUNTIF($AB$3:AB2070,1),"")</f>
        <v/>
      </c>
      <c r="AD2070" s="117" t="str">
        <f>IFERROR(INDEX($AA$3:$AA$10000,MATCH(ROWS($AC$3:AC2070),$AC$3:$AC$10000,0)),"")</f>
        <v/>
      </c>
      <c r="AE2070" s="117" t="str">
        <f>+'Packing Material - Cost'!A2071</f>
        <v/>
      </c>
    </row>
    <row r="2071" spans="27:31">
      <c r="AA2071" s="117">
        <f>+'Ingredient List - Mother Tinctu'!D2072</f>
        <v>0</v>
      </c>
      <c r="AB2071" s="117">
        <f t="shared" si="35"/>
        <v>0</v>
      </c>
      <c r="AC2071" s="117" t="str">
        <f>IF(AB2071=1,COUNTIF($AB$3:AB2071,1),"")</f>
        <v/>
      </c>
      <c r="AD2071" s="117" t="str">
        <f>IFERROR(INDEX($AA$3:$AA$10000,MATCH(ROWS($AC$3:AC2071),$AC$3:$AC$10000,0)),"")</f>
        <v/>
      </c>
      <c r="AE2071" s="117" t="str">
        <f>+'Packing Material - Cost'!A2072</f>
        <v/>
      </c>
    </row>
    <row r="2072" spans="27:31">
      <c r="AA2072" s="117">
        <f>+'Ingredient List - Mother Tinctu'!D2073</f>
        <v>0</v>
      </c>
      <c r="AB2072" s="117">
        <f t="shared" si="35"/>
        <v>0</v>
      </c>
      <c r="AC2072" s="117" t="str">
        <f>IF(AB2072=1,COUNTIF($AB$3:AB2072,1),"")</f>
        <v/>
      </c>
      <c r="AD2072" s="117" t="str">
        <f>IFERROR(INDEX($AA$3:$AA$10000,MATCH(ROWS($AC$3:AC2072),$AC$3:$AC$10000,0)),"")</f>
        <v/>
      </c>
      <c r="AE2072" s="117" t="str">
        <f>+'Packing Material - Cost'!A2073</f>
        <v/>
      </c>
    </row>
    <row r="2073" spans="27:31">
      <c r="AA2073" s="117">
        <f>+'Ingredient List - Mother Tinctu'!D2074</f>
        <v>0</v>
      </c>
      <c r="AB2073" s="117">
        <f t="shared" si="35"/>
        <v>0</v>
      </c>
      <c r="AC2073" s="117" t="str">
        <f>IF(AB2073=1,COUNTIF($AB$3:AB2073,1),"")</f>
        <v/>
      </c>
      <c r="AD2073" s="117" t="str">
        <f>IFERROR(INDEX($AA$3:$AA$10000,MATCH(ROWS($AC$3:AC2073),$AC$3:$AC$10000,0)),"")</f>
        <v/>
      </c>
      <c r="AE2073" s="117" t="str">
        <f>+'Packing Material - Cost'!A2074</f>
        <v/>
      </c>
    </row>
    <row r="2074" spans="27:31">
      <c r="AA2074" s="117">
        <f>+'Ingredient List - Mother Tinctu'!D2075</f>
        <v>0</v>
      </c>
      <c r="AB2074" s="117">
        <f t="shared" si="35"/>
        <v>0</v>
      </c>
      <c r="AC2074" s="117" t="str">
        <f>IF(AB2074=1,COUNTIF($AB$3:AB2074,1),"")</f>
        <v/>
      </c>
      <c r="AD2074" s="117" t="str">
        <f>IFERROR(INDEX($AA$3:$AA$10000,MATCH(ROWS($AC$3:AC2074),$AC$3:$AC$10000,0)),"")</f>
        <v/>
      </c>
      <c r="AE2074" s="117" t="str">
        <f>+'Packing Material - Cost'!A2075</f>
        <v/>
      </c>
    </row>
    <row r="2075" spans="27:31">
      <c r="AA2075" s="117">
        <f>+'Ingredient List - Mother Tinctu'!D2076</f>
        <v>0</v>
      </c>
      <c r="AB2075" s="117">
        <f t="shared" si="35"/>
        <v>0</v>
      </c>
      <c r="AC2075" s="117" t="str">
        <f>IF(AB2075=1,COUNTIF($AB$3:AB2075,1),"")</f>
        <v/>
      </c>
      <c r="AD2075" s="117" t="str">
        <f>IFERROR(INDEX($AA$3:$AA$10000,MATCH(ROWS($AC$3:AC2075),$AC$3:$AC$10000,0)),"")</f>
        <v/>
      </c>
      <c r="AE2075" s="117" t="str">
        <f>+'Packing Material - Cost'!A2076</f>
        <v/>
      </c>
    </row>
    <row r="2076" spans="27:31">
      <c r="AA2076" s="117">
        <f>+'Ingredient List - Mother Tinctu'!D2077</f>
        <v>0</v>
      </c>
      <c r="AB2076" s="117">
        <f t="shared" si="35"/>
        <v>0</v>
      </c>
      <c r="AC2076" s="117" t="str">
        <f>IF(AB2076=1,COUNTIF($AB$3:AB2076,1),"")</f>
        <v/>
      </c>
      <c r="AD2076" s="117" t="str">
        <f>IFERROR(INDEX($AA$3:$AA$10000,MATCH(ROWS($AC$3:AC2076),$AC$3:$AC$10000,0)),"")</f>
        <v/>
      </c>
      <c r="AE2076" s="117" t="str">
        <f>+'Packing Material - Cost'!A2077</f>
        <v/>
      </c>
    </row>
    <row r="2077" spans="27:31">
      <c r="AA2077" s="117">
        <f>+'Ingredient List - Mother Tinctu'!D2078</f>
        <v>0</v>
      </c>
      <c r="AB2077" s="117">
        <f t="shared" si="35"/>
        <v>0</v>
      </c>
      <c r="AC2077" s="117" t="str">
        <f>IF(AB2077=1,COUNTIF($AB$3:AB2077,1),"")</f>
        <v/>
      </c>
      <c r="AD2077" s="117" t="str">
        <f>IFERROR(INDEX($AA$3:$AA$10000,MATCH(ROWS($AC$3:AC2077),$AC$3:$AC$10000,0)),"")</f>
        <v/>
      </c>
      <c r="AE2077" s="117" t="str">
        <f>+'Packing Material - Cost'!A2078</f>
        <v/>
      </c>
    </row>
    <row r="2078" spans="27:31">
      <c r="AA2078" s="117">
        <f>+'Ingredient List - Mother Tinctu'!D2079</f>
        <v>0</v>
      </c>
      <c r="AB2078" s="117">
        <f t="shared" si="35"/>
        <v>0</v>
      </c>
      <c r="AC2078" s="117" t="str">
        <f>IF(AB2078=1,COUNTIF($AB$3:AB2078,1),"")</f>
        <v/>
      </c>
      <c r="AD2078" s="117" t="str">
        <f>IFERROR(INDEX($AA$3:$AA$10000,MATCH(ROWS($AC$3:AC2078),$AC$3:$AC$10000,0)),"")</f>
        <v/>
      </c>
      <c r="AE2078" s="117" t="str">
        <f>+'Packing Material - Cost'!A2079</f>
        <v/>
      </c>
    </row>
    <row r="2079" spans="27:31">
      <c r="AA2079" s="117">
        <f>+'Ingredient List - Mother Tinctu'!D2080</f>
        <v>0</v>
      </c>
      <c r="AB2079" s="117">
        <f t="shared" si="35"/>
        <v>0</v>
      </c>
      <c r="AC2079" s="117" t="str">
        <f>IF(AB2079=1,COUNTIF($AB$3:AB2079,1),"")</f>
        <v/>
      </c>
      <c r="AD2079" s="117" t="str">
        <f>IFERROR(INDEX($AA$3:$AA$10000,MATCH(ROWS($AC$3:AC2079),$AC$3:$AC$10000,0)),"")</f>
        <v/>
      </c>
      <c r="AE2079" s="117" t="str">
        <f>+'Packing Material - Cost'!A2080</f>
        <v/>
      </c>
    </row>
    <row r="2080" spans="27:31">
      <c r="AA2080" s="117">
        <f>+'Ingredient List - Mother Tinctu'!D2081</f>
        <v>0</v>
      </c>
      <c r="AB2080" s="117">
        <f t="shared" si="35"/>
        <v>0</v>
      </c>
      <c r="AC2080" s="117" t="str">
        <f>IF(AB2080=1,COUNTIF($AB$3:AB2080,1),"")</f>
        <v/>
      </c>
      <c r="AD2080" s="117" t="str">
        <f>IFERROR(INDEX($AA$3:$AA$10000,MATCH(ROWS($AC$3:AC2080),$AC$3:$AC$10000,0)),"")</f>
        <v/>
      </c>
      <c r="AE2080" s="117" t="str">
        <f>+'Packing Material - Cost'!A2081</f>
        <v/>
      </c>
    </row>
    <row r="2081" spans="27:31">
      <c r="AA2081" s="117">
        <f>+'Ingredient List - Mother Tinctu'!D2082</f>
        <v>0</v>
      </c>
      <c r="AB2081" s="117">
        <f t="shared" si="35"/>
        <v>0</v>
      </c>
      <c r="AC2081" s="117" t="str">
        <f>IF(AB2081=1,COUNTIF($AB$3:AB2081,1),"")</f>
        <v/>
      </c>
      <c r="AD2081" s="117" t="str">
        <f>IFERROR(INDEX($AA$3:$AA$10000,MATCH(ROWS($AC$3:AC2081),$AC$3:$AC$10000,0)),"")</f>
        <v/>
      </c>
      <c r="AE2081" s="117" t="str">
        <f>+'Packing Material - Cost'!A2082</f>
        <v/>
      </c>
    </row>
    <row r="2082" spans="27:31">
      <c r="AA2082" s="117">
        <f>+'Ingredient List - Mother Tinctu'!D2083</f>
        <v>0</v>
      </c>
      <c r="AB2082" s="117">
        <f t="shared" si="35"/>
        <v>0</v>
      </c>
      <c r="AC2082" s="117" t="str">
        <f>IF(AB2082=1,COUNTIF($AB$3:AB2082,1),"")</f>
        <v/>
      </c>
      <c r="AD2082" s="117" t="str">
        <f>IFERROR(INDEX($AA$3:$AA$10000,MATCH(ROWS($AC$3:AC2082),$AC$3:$AC$10000,0)),"")</f>
        <v/>
      </c>
      <c r="AE2082" s="117" t="str">
        <f>+'Packing Material - Cost'!A2083</f>
        <v/>
      </c>
    </row>
    <row r="2083" spans="27:31">
      <c r="AA2083" s="117">
        <f>+'Ingredient List - Mother Tinctu'!D2084</f>
        <v>0</v>
      </c>
      <c r="AB2083" s="117">
        <f t="shared" si="35"/>
        <v>0</v>
      </c>
      <c r="AC2083" s="117" t="str">
        <f>IF(AB2083=1,COUNTIF($AB$3:AB2083,1),"")</f>
        <v/>
      </c>
      <c r="AD2083" s="117" t="str">
        <f>IFERROR(INDEX($AA$3:$AA$10000,MATCH(ROWS($AC$3:AC2083),$AC$3:$AC$10000,0)),"")</f>
        <v/>
      </c>
      <c r="AE2083" s="117" t="str">
        <f>+'Packing Material - Cost'!A2084</f>
        <v/>
      </c>
    </row>
    <row r="2084" spans="27:31">
      <c r="AA2084" s="117">
        <f>+'Ingredient List - Mother Tinctu'!D2085</f>
        <v>0</v>
      </c>
      <c r="AB2084" s="117">
        <f t="shared" si="35"/>
        <v>0</v>
      </c>
      <c r="AC2084" s="117" t="str">
        <f>IF(AB2084=1,COUNTIF($AB$3:AB2084,1),"")</f>
        <v/>
      </c>
      <c r="AD2084" s="117" t="str">
        <f>IFERROR(INDEX($AA$3:$AA$10000,MATCH(ROWS($AC$3:AC2084),$AC$3:$AC$10000,0)),"")</f>
        <v/>
      </c>
      <c r="AE2084" s="117" t="str">
        <f>+'Packing Material - Cost'!A2085</f>
        <v/>
      </c>
    </row>
    <row r="2085" spans="27:31">
      <c r="AA2085" s="117">
        <f>+'Ingredient List - Mother Tinctu'!D2086</f>
        <v>0</v>
      </c>
      <c r="AB2085" s="117">
        <f t="shared" si="35"/>
        <v>0</v>
      </c>
      <c r="AC2085" s="117" t="str">
        <f>IF(AB2085=1,COUNTIF($AB$3:AB2085,1),"")</f>
        <v/>
      </c>
      <c r="AD2085" s="117" t="str">
        <f>IFERROR(INDEX($AA$3:$AA$10000,MATCH(ROWS($AC$3:AC2085),$AC$3:$AC$10000,0)),"")</f>
        <v/>
      </c>
      <c r="AE2085" s="117" t="str">
        <f>+'Packing Material - Cost'!A2086</f>
        <v/>
      </c>
    </row>
    <row r="2086" spans="27:31">
      <c r="AA2086" s="117">
        <f>+'Ingredient List - Mother Tinctu'!D2087</f>
        <v>0</v>
      </c>
      <c r="AB2086" s="117">
        <f t="shared" si="35"/>
        <v>0</v>
      </c>
      <c r="AC2086" s="117" t="str">
        <f>IF(AB2086=1,COUNTIF($AB$3:AB2086,1),"")</f>
        <v/>
      </c>
      <c r="AD2086" s="117" t="str">
        <f>IFERROR(INDEX($AA$3:$AA$10000,MATCH(ROWS($AC$3:AC2086),$AC$3:$AC$10000,0)),"")</f>
        <v/>
      </c>
      <c r="AE2086" s="117" t="str">
        <f>+'Packing Material - Cost'!A2087</f>
        <v/>
      </c>
    </row>
    <row r="2087" spans="27:31">
      <c r="AA2087" s="117">
        <f>+'Ingredient List - Mother Tinctu'!D2088</f>
        <v>0</v>
      </c>
      <c r="AB2087" s="117">
        <f t="shared" si="35"/>
        <v>0</v>
      </c>
      <c r="AC2087" s="117" t="str">
        <f>IF(AB2087=1,COUNTIF($AB$3:AB2087,1),"")</f>
        <v/>
      </c>
      <c r="AD2087" s="117" t="str">
        <f>IFERROR(INDEX($AA$3:$AA$10000,MATCH(ROWS($AC$3:AC2087),$AC$3:$AC$10000,0)),"")</f>
        <v/>
      </c>
      <c r="AE2087" s="117" t="str">
        <f>+'Packing Material - Cost'!A2088</f>
        <v/>
      </c>
    </row>
    <row r="2088" spans="27:31">
      <c r="AA2088" s="117">
        <f>+'Ingredient List - Mother Tinctu'!D2089</f>
        <v>0</v>
      </c>
      <c r="AB2088" s="117">
        <f t="shared" si="35"/>
        <v>0</v>
      </c>
      <c r="AC2088" s="117" t="str">
        <f>IF(AB2088=1,COUNTIF($AB$3:AB2088,1),"")</f>
        <v/>
      </c>
      <c r="AD2088" s="117" t="str">
        <f>IFERROR(INDEX($AA$3:$AA$10000,MATCH(ROWS($AC$3:AC2088),$AC$3:$AC$10000,0)),"")</f>
        <v/>
      </c>
      <c r="AE2088" s="117" t="str">
        <f>+'Packing Material - Cost'!A2089</f>
        <v/>
      </c>
    </row>
    <row r="2089" spans="27:31">
      <c r="AA2089" s="117">
        <f>+'Ingredient List - Mother Tinctu'!D2090</f>
        <v>0</v>
      </c>
      <c r="AB2089" s="117">
        <f t="shared" si="35"/>
        <v>0</v>
      </c>
      <c r="AC2089" s="117" t="str">
        <f>IF(AB2089=1,COUNTIF($AB$3:AB2089,1),"")</f>
        <v/>
      </c>
      <c r="AD2089" s="117" t="str">
        <f>IFERROR(INDEX($AA$3:$AA$10000,MATCH(ROWS($AC$3:AC2089),$AC$3:$AC$10000,0)),"")</f>
        <v/>
      </c>
      <c r="AE2089" s="117" t="str">
        <f>+'Packing Material - Cost'!A2090</f>
        <v/>
      </c>
    </row>
    <row r="2090" spans="27:31">
      <c r="AA2090" s="117">
        <f>+'Ingredient List - Mother Tinctu'!D2091</f>
        <v>0</v>
      </c>
      <c r="AB2090" s="117">
        <f t="shared" si="35"/>
        <v>0</v>
      </c>
      <c r="AC2090" s="117" t="str">
        <f>IF(AB2090=1,COUNTIF($AB$3:AB2090,1),"")</f>
        <v/>
      </c>
      <c r="AD2090" s="117" t="str">
        <f>IFERROR(INDEX($AA$3:$AA$10000,MATCH(ROWS($AC$3:AC2090),$AC$3:$AC$10000,0)),"")</f>
        <v/>
      </c>
      <c r="AE2090" s="117" t="str">
        <f>+'Packing Material - Cost'!A2091</f>
        <v/>
      </c>
    </row>
    <row r="2091" spans="27:31">
      <c r="AA2091" s="117">
        <f>+'Ingredient List - Mother Tinctu'!D2092</f>
        <v>0</v>
      </c>
      <c r="AB2091" s="117">
        <f t="shared" si="35"/>
        <v>0</v>
      </c>
      <c r="AC2091" s="117" t="str">
        <f>IF(AB2091=1,COUNTIF($AB$3:AB2091,1),"")</f>
        <v/>
      </c>
      <c r="AD2091" s="117" t="str">
        <f>IFERROR(INDEX($AA$3:$AA$10000,MATCH(ROWS($AC$3:AC2091),$AC$3:$AC$10000,0)),"")</f>
        <v/>
      </c>
      <c r="AE2091" s="117" t="str">
        <f>+'Packing Material - Cost'!A2092</f>
        <v/>
      </c>
    </row>
    <row r="2092" spans="27:31">
      <c r="AA2092" s="117">
        <f>+'Ingredient List - Mother Tinctu'!D2093</f>
        <v>0</v>
      </c>
      <c r="AB2092" s="117">
        <f t="shared" si="35"/>
        <v>0</v>
      </c>
      <c r="AC2092" s="117" t="str">
        <f>IF(AB2092=1,COUNTIF($AB$3:AB2092,1),"")</f>
        <v/>
      </c>
      <c r="AD2092" s="117" t="str">
        <f>IFERROR(INDEX($AA$3:$AA$10000,MATCH(ROWS($AC$3:AC2092),$AC$3:$AC$10000,0)),"")</f>
        <v/>
      </c>
      <c r="AE2092" s="117" t="str">
        <f>+'Packing Material - Cost'!A2093</f>
        <v/>
      </c>
    </row>
    <row r="2093" spans="27:31">
      <c r="AA2093" s="117">
        <f>+'Ingredient List - Mother Tinctu'!D2094</f>
        <v>0</v>
      </c>
      <c r="AB2093" s="117">
        <f t="shared" si="35"/>
        <v>0</v>
      </c>
      <c r="AC2093" s="117" t="str">
        <f>IF(AB2093=1,COUNTIF($AB$3:AB2093,1),"")</f>
        <v/>
      </c>
      <c r="AD2093" s="117" t="str">
        <f>IFERROR(INDEX($AA$3:$AA$10000,MATCH(ROWS($AC$3:AC2093),$AC$3:$AC$10000,0)),"")</f>
        <v/>
      </c>
      <c r="AE2093" s="117" t="str">
        <f>+'Packing Material - Cost'!A2094</f>
        <v/>
      </c>
    </row>
    <row r="2094" spans="27:31">
      <c r="AA2094" s="117">
        <f>+'Ingredient List - Mother Tinctu'!D2095</f>
        <v>0</v>
      </c>
      <c r="AB2094" s="117">
        <f t="shared" si="35"/>
        <v>0</v>
      </c>
      <c r="AC2094" s="117" t="str">
        <f>IF(AB2094=1,COUNTIF($AB$3:AB2094,1),"")</f>
        <v/>
      </c>
      <c r="AD2094" s="117" t="str">
        <f>IFERROR(INDEX($AA$3:$AA$10000,MATCH(ROWS($AC$3:AC2094),$AC$3:$AC$10000,0)),"")</f>
        <v/>
      </c>
      <c r="AE2094" s="117" t="str">
        <f>+'Packing Material - Cost'!A2095</f>
        <v/>
      </c>
    </row>
    <row r="2095" spans="27:31">
      <c r="AA2095" s="117">
        <f>+'Ingredient List - Mother Tinctu'!D2096</f>
        <v>0</v>
      </c>
      <c r="AB2095" s="117">
        <f t="shared" si="35"/>
        <v>0</v>
      </c>
      <c r="AC2095" s="117" t="str">
        <f>IF(AB2095=1,COUNTIF($AB$3:AB2095,1),"")</f>
        <v/>
      </c>
      <c r="AD2095" s="117" t="str">
        <f>IFERROR(INDEX($AA$3:$AA$10000,MATCH(ROWS($AC$3:AC2095),$AC$3:$AC$10000,0)),"")</f>
        <v/>
      </c>
      <c r="AE2095" s="117" t="str">
        <f>+'Packing Material - Cost'!A2096</f>
        <v/>
      </c>
    </row>
    <row r="2096" spans="27:31">
      <c r="AA2096" s="117">
        <f>+'Ingredient List - Mother Tinctu'!D2097</f>
        <v>0</v>
      </c>
      <c r="AB2096" s="117">
        <f t="shared" si="35"/>
        <v>0</v>
      </c>
      <c r="AC2096" s="117" t="str">
        <f>IF(AB2096=1,COUNTIF($AB$3:AB2096,1),"")</f>
        <v/>
      </c>
      <c r="AD2096" s="117" t="str">
        <f>IFERROR(INDEX($AA$3:$AA$10000,MATCH(ROWS($AC$3:AC2096),$AC$3:$AC$10000,0)),"")</f>
        <v/>
      </c>
      <c r="AE2096" s="117" t="str">
        <f>+'Packing Material - Cost'!A2097</f>
        <v/>
      </c>
    </row>
    <row r="2097" spans="27:31">
      <c r="AA2097" s="117">
        <f>+'Ingredient List - Mother Tinctu'!D2098</f>
        <v>0</v>
      </c>
      <c r="AB2097" s="117">
        <f t="shared" si="35"/>
        <v>0</v>
      </c>
      <c r="AC2097" s="117" t="str">
        <f>IF(AB2097=1,COUNTIF($AB$3:AB2097,1),"")</f>
        <v/>
      </c>
      <c r="AD2097" s="117" t="str">
        <f>IFERROR(INDEX($AA$3:$AA$10000,MATCH(ROWS($AC$3:AC2097),$AC$3:$AC$10000,0)),"")</f>
        <v/>
      </c>
      <c r="AE2097" s="117" t="str">
        <f>+'Packing Material - Cost'!A2098</f>
        <v/>
      </c>
    </row>
    <row r="2098" spans="27:31">
      <c r="AA2098" s="117">
        <f>+'Ingredient List - Mother Tinctu'!D2099</f>
        <v>0</v>
      </c>
      <c r="AB2098" s="117">
        <f t="shared" si="35"/>
        <v>0</v>
      </c>
      <c r="AC2098" s="117" t="str">
        <f>IF(AB2098=1,COUNTIF($AB$3:AB2098,1),"")</f>
        <v/>
      </c>
      <c r="AD2098" s="117" t="str">
        <f>IFERROR(INDEX($AA$3:$AA$10000,MATCH(ROWS($AC$3:AC2098),$AC$3:$AC$10000,0)),"")</f>
        <v/>
      </c>
      <c r="AE2098" s="117" t="str">
        <f>+'Packing Material - Cost'!A2099</f>
        <v/>
      </c>
    </row>
    <row r="2099" spans="27:31">
      <c r="AA2099" s="117">
        <f>+'Ingredient List - Mother Tinctu'!D2100</f>
        <v>0</v>
      </c>
      <c r="AB2099" s="117">
        <f t="shared" si="35"/>
        <v>0</v>
      </c>
      <c r="AC2099" s="117" t="str">
        <f>IF(AB2099=1,COUNTIF($AB$3:AB2099,1),"")</f>
        <v/>
      </c>
      <c r="AD2099" s="117" t="str">
        <f>IFERROR(INDEX($AA$3:$AA$10000,MATCH(ROWS($AC$3:AC2099),$AC$3:$AC$10000,0)),"")</f>
        <v/>
      </c>
      <c r="AE2099" s="117" t="str">
        <f>+'Packing Material - Cost'!A2100</f>
        <v/>
      </c>
    </row>
    <row r="2100" spans="27:31">
      <c r="AA2100" s="117">
        <f>+'Ingredient List - Mother Tinctu'!D2101</f>
        <v>0</v>
      </c>
      <c r="AB2100" s="117">
        <f t="shared" si="35"/>
        <v>0</v>
      </c>
      <c r="AC2100" s="117" t="str">
        <f>IF(AB2100=1,COUNTIF($AB$3:AB2100,1),"")</f>
        <v/>
      </c>
      <c r="AD2100" s="117" t="str">
        <f>IFERROR(INDEX($AA$3:$AA$10000,MATCH(ROWS($AC$3:AC2100),$AC$3:$AC$10000,0)),"")</f>
        <v/>
      </c>
      <c r="AE2100" s="117" t="str">
        <f>+'Packing Material - Cost'!A2101</f>
        <v/>
      </c>
    </row>
    <row r="2101" spans="27:31">
      <c r="AA2101" s="117">
        <f>+'Ingredient List - Mother Tinctu'!D2102</f>
        <v>0</v>
      </c>
      <c r="AB2101" s="117">
        <f t="shared" si="35"/>
        <v>0</v>
      </c>
      <c r="AC2101" s="117" t="str">
        <f>IF(AB2101=1,COUNTIF($AB$3:AB2101,1),"")</f>
        <v/>
      </c>
      <c r="AD2101" s="117" t="str">
        <f>IFERROR(INDEX($AA$3:$AA$10000,MATCH(ROWS($AC$3:AC2101),$AC$3:$AC$10000,0)),"")</f>
        <v/>
      </c>
      <c r="AE2101" s="117" t="str">
        <f>+'Packing Material - Cost'!A2102</f>
        <v/>
      </c>
    </row>
    <row r="2102" spans="27:31">
      <c r="AA2102" s="117">
        <f>+'Ingredient List - Mother Tinctu'!D2103</f>
        <v>0</v>
      </c>
      <c r="AB2102" s="117">
        <f t="shared" si="35"/>
        <v>0</v>
      </c>
      <c r="AC2102" s="117" t="str">
        <f>IF(AB2102=1,COUNTIF($AB$3:AB2102,1),"")</f>
        <v/>
      </c>
      <c r="AD2102" s="117" t="str">
        <f>IFERROR(INDEX($AA$3:$AA$10000,MATCH(ROWS($AC$3:AC2102),$AC$3:$AC$10000,0)),"")</f>
        <v/>
      </c>
      <c r="AE2102" s="117" t="str">
        <f>+'Packing Material - Cost'!A2103</f>
        <v/>
      </c>
    </row>
    <row r="2103" spans="27:31">
      <c r="AA2103" s="117">
        <f>+'Ingredient List - Mother Tinctu'!D2104</f>
        <v>0</v>
      </c>
      <c r="AB2103" s="117">
        <f t="shared" si="35"/>
        <v>0</v>
      </c>
      <c r="AC2103" s="117" t="str">
        <f>IF(AB2103=1,COUNTIF($AB$3:AB2103,1),"")</f>
        <v/>
      </c>
      <c r="AD2103" s="117" t="str">
        <f>IFERROR(INDEX($AA$3:$AA$10000,MATCH(ROWS($AC$3:AC2103),$AC$3:$AC$10000,0)),"")</f>
        <v/>
      </c>
      <c r="AE2103" s="117" t="str">
        <f>+'Packing Material - Cost'!A2104</f>
        <v/>
      </c>
    </row>
    <row r="2104" spans="27:31">
      <c r="AA2104" s="117">
        <f>+'Ingredient List - Mother Tinctu'!D2105</f>
        <v>0</v>
      </c>
      <c r="AB2104" s="117">
        <f t="shared" si="35"/>
        <v>0</v>
      </c>
      <c r="AC2104" s="117" t="str">
        <f>IF(AB2104=1,COUNTIF($AB$3:AB2104,1),"")</f>
        <v/>
      </c>
      <c r="AD2104" s="117" t="str">
        <f>IFERROR(INDEX($AA$3:$AA$10000,MATCH(ROWS($AC$3:AC2104),$AC$3:$AC$10000,0)),"")</f>
        <v/>
      </c>
      <c r="AE2104" s="117" t="str">
        <f>+'Packing Material - Cost'!A2105</f>
        <v/>
      </c>
    </row>
    <row r="2105" spans="27:31">
      <c r="AA2105" s="117">
        <f>+'Ingredient List - Mother Tinctu'!D2106</f>
        <v>0</v>
      </c>
      <c r="AB2105" s="117">
        <f t="shared" si="35"/>
        <v>0</v>
      </c>
      <c r="AC2105" s="117" t="str">
        <f>IF(AB2105=1,COUNTIF($AB$3:AB2105,1),"")</f>
        <v/>
      </c>
      <c r="AD2105" s="117" t="str">
        <f>IFERROR(INDEX($AA$3:$AA$10000,MATCH(ROWS($AC$3:AC2105),$AC$3:$AC$10000,0)),"")</f>
        <v/>
      </c>
      <c r="AE2105" s="117" t="str">
        <f>+'Packing Material - Cost'!A2106</f>
        <v/>
      </c>
    </row>
    <row r="2106" spans="27:31">
      <c r="AA2106" s="117">
        <f>+'Ingredient List - Mother Tinctu'!D2107</f>
        <v>0</v>
      </c>
      <c r="AB2106" s="117">
        <f t="shared" si="35"/>
        <v>0</v>
      </c>
      <c r="AC2106" s="117" t="str">
        <f>IF(AB2106=1,COUNTIF($AB$3:AB2106,1),"")</f>
        <v/>
      </c>
      <c r="AD2106" s="117" t="str">
        <f>IFERROR(INDEX($AA$3:$AA$10000,MATCH(ROWS($AC$3:AC2106),$AC$3:$AC$10000,0)),"")</f>
        <v/>
      </c>
      <c r="AE2106" s="117" t="str">
        <f>+'Packing Material - Cost'!A2107</f>
        <v/>
      </c>
    </row>
    <row r="2107" spans="27:31">
      <c r="AA2107" s="117">
        <f>+'Ingredient List - Mother Tinctu'!D2108</f>
        <v>0</v>
      </c>
      <c r="AB2107" s="117">
        <f t="shared" si="35"/>
        <v>0</v>
      </c>
      <c r="AC2107" s="117" t="str">
        <f>IF(AB2107=1,COUNTIF($AB$3:AB2107,1),"")</f>
        <v/>
      </c>
      <c r="AD2107" s="117" t="str">
        <f>IFERROR(INDEX($AA$3:$AA$10000,MATCH(ROWS($AC$3:AC2107),$AC$3:$AC$10000,0)),"")</f>
        <v/>
      </c>
      <c r="AE2107" s="117" t="str">
        <f>+'Packing Material - Cost'!A2108</f>
        <v/>
      </c>
    </row>
    <row r="2108" spans="27:31">
      <c r="AA2108" s="117">
        <f>+'Ingredient List - Mother Tinctu'!D2109</f>
        <v>0</v>
      </c>
      <c r="AB2108" s="117">
        <f t="shared" si="35"/>
        <v>0</v>
      </c>
      <c r="AC2108" s="117" t="str">
        <f>IF(AB2108=1,COUNTIF($AB$3:AB2108,1),"")</f>
        <v/>
      </c>
      <c r="AD2108" s="117" t="str">
        <f>IFERROR(INDEX($AA$3:$AA$10000,MATCH(ROWS($AC$3:AC2108),$AC$3:$AC$10000,0)),"")</f>
        <v/>
      </c>
      <c r="AE2108" s="117" t="str">
        <f>+'Packing Material - Cost'!A2109</f>
        <v/>
      </c>
    </row>
    <row r="2109" spans="27:31">
      <c r="AA2109" s="117">
        <f>+'Ingredient List - Mother Tinctu'!D2110</f>
        <v>0</v>
      </c>
      <c r="AB2109" s="117">
        <f t="shared" si="35"/>
        <v>0</v>
      </c>
      <c r="AC2109" s="117" t="str">
        <f>IF(AB2109=1,COUNTIF($AB$3:AB2109,1),"")</f>
        <v/>
      </c>
      <c r="AD2109" s="117" t="str">
        <f>IFERROR(INDEX($AA$3:$AA$10000,MATCH(ROWS($AC$3:AC2109),$AC$3:$AC$10000,0)),"")</f>
        <v/>
      </c>
      <c r="AE2109" s="117" t="str">
        <f>+'Packing Material - Cost'!A2110</f>
        <v/>
      </c>
    </row>
    <row r="2110" spans="27:31">
      <c r="AA2110" s="117">
        <f>+'Ingredient List - Mother Tinctu'!D2111</f>
        <v>0</v>
      </c>
      <c r="AB2110" s="117">
        <f t="shared" si="35"/>
        <v>0</v>
      </c>
      <c r="AC2110" s="117" t="str">
        <f>IF(AB2110=1,COUNTIF($AB$3:AB2110,1),"")</f>
        <v/>
      </c>
      <c r="AD2110" s="117" t="str">
        <f>IFERROR(INDEX($AA$3:$AA$10000,MATCH(ROWS($AC$3:AC2110),$AC$3:$AC$10000,0)),"")</f>
        <v/>
      </c>
      <c r="AE2110" s="117" t="str">
        <f>+'Packing Material - Cost'!A2111</f>
        <v/>
      </c>
    </row>
    <row r="2111" spans="27:31">
      <c r="AA2111" s="117">
        <f>+'Ingredient List - Mother Tinctu'!D2112</f>
        <v>0</v>
      </c>
      <c r="AB2111" s="117">
        <f t="shared" si="35"/>
        <v>0</v>
      </c>
      <c r="AC2111" s="117" t="str">
        <f>IF(AB2111=1,COUNTIF($AB$3:AB2111,1),"")</f>
        <v/>
      </c>
      <c r="AD2111" s="117" t="str">
        <f>IFERROR(INDEX($AA$3:$AA$10000,MATCH(ROWS($AC$3:AC2111),$AC$3:$AC$10000,0)),"")</f>
        <v/>
      </c>
      <c r="AE2111" s="117" t="str">
        <f>+'Packing Material - Cost'!A2112</f>
        <v/>
      </c>
    </row>
    <row r="2112" spans="27:31">
      <c r="AA2112" s="117">
        <f>+'Ingredient List - Mother Tinctu'!D2113</f>
        <v>0</v>
      </c>
      <c r="AB2112" s="117">
        <f t="shared" si="35"/>
        <v>0</v>
      </c>
      <c r="AC2112" s="117" t="str">
        <f>IF(AB2112=1,COUNTIF($AB$3:AB2112,1),"")</f>
        <v/>
      </c>
      <c r="AD2112" s="117" t="str">
        <f>IFERROR(INDEX($AA$3:$AA$10000,MATCH(ROWS($AC$3:AC2112),$AC$3:$AC$10000,0)),"")</f>
        <v/>
      </c>
      <c r="AE2112" s="117" t="str">
        <f>+'Packing Material - Cost'!A2113</f>
        <v/>
      </c>
    </row>
    <row r="2113" spans="27:31">
      <c r="AA2113" s="117">
        <f>+'Ingredient List - Mother Tinctu'!D2114</f>
        <v>0</v>
      </c>
      <c r="AB2113" s="117">
        <f t="shared" si="35"/>
        <v>0</v>
      </c>
      <c r="AC2113" s="117" t="str">
        <f>IF(AB2113=1,COUNTIF($AB$3:AB2113,1),"")</f>
        <v/>
      </c>
      <c r="AD2113" s="117" t="str">
        <f>IFERROR(INDEX($AA$3:$AA$10000,MATCH(ROWS($AC$3:AC2113),$AC$3:$AC$10000,0)),"")</f>
        <v/>
      </c>
      <c r="AE2113" s="117" t="str">
        <f>+'Packing Material - Cost'!A2114</f>
        <v/>
      </c>
    </row>
    <row r="2114" spans="27:31">
      <c r="AA2114" s="117">
        <f>+'Ingredient List - Mother Tinctu'!D2115</f>
        <v>0</v>
      </c>
      <c r="AB2114" s="117">
        <f t="shared" si="35"/>
        <v>0</v>
      </c>
      <c r="AC2114" s="117" t="str">
        <f>IF(AB2114=1,COUNTIF($AB$3:AB2114,1),"")</f>
        <v/>
      </c>
      <c r="AD2114" s="117" t="str">
        <f>IFERROR(INDEX($AA$3:$AA$10000,MATCH(ROWS($AC$3:AC2114),$AC$3:$AC$10000,0)),"")</f>
        <v/>
      </c>
      <c r="AE2114" s="117" t="str">
        <f>+'Packing Material - Cost'!A2115</f>
        <v/>
      </c>
    </row>
    <row r="2115" spans="27:31">
      <c r="AA2115" s="117">
        <f>+'Ingredient List - Mother Tinctu'!D2116</f>
        <v>0</v>
      </c>
      <c r="AB2115" s="117">
        <f t="shared" si="35"/>
        <v>0</v>
      </c>
      <c r="AC2115" s="117" t="str">
        <f>IF(AB2115=1,COUNTIF($AB$3:AB2115,1),"")</f>
        <v/>
      </c>
      <c r="AD2115" s="117" t="str">
        <f>IFERROR(INDEX($AA$3:$AA$10000,MATCH(ROWS($AC$3:AC2115),$AC$3:$AC$10000,0)),"")</f>
        <v/>
      </c>
      <c r="AE2115" s="117" t="str">
        <f>+'Packing Material - Cost'!A2116</f>
        <v/>
      </c>
    </row>
    <row r="2116" spans="27:31">
      <c r="AA2116" s="117">
        <f>+'Ingredient List - Mother Tinctu'!D2117</f>
        <v>0</v>
      </c>
      <c r="AB2116" s="117">
        <f t="shared" ref="AB2116:AB2179" si="36">--ISNUMBER(IFERROR(SEARCH($D$3,AA2116,1),""))</f>
        <v>0</v>
      </c>
      <c r="AC2116" s="117" t="str">
        <f>IF(AB2116=1,COUNTIF($AB$3:AB2116,1),"")</f>
        <v/>
      </c>
      <c r="AD2116" s="117" t="str">
        <f>IFERROR(INDEX($AA$3:$AA$10000,MATCH(ROWS($AC$3:AC2116),$AC$3:$AC$10000,0)),"")</f>
        <v/>
      </c>
      <c r="AE2116" s="117" t="str">
        <f>+'Packing Material - Cost'!A2117</f>
        <v/>
      </c>
    </row>
    <row r="2117" spans="27:31">
      <c r="AA2117" s="117">
        <f>+'Ingredient List - Mother Tinctu'!D2118</f>
        <v>0</v>
      </c>
      <c r="AB2117" s="117">
        <f t="shared" si="36"/>
        <v>0</v>
      </c>
      <c r="AC2117" s="117" t="str">
        <f>IF(AB2117=1,COUNTIF($AB$3:AB2117,1),"")</f>
        <v/>
      </c>
      <c r="AD2117" s="117" t="str">
        <f>IFERROR(INDEX($AA$3:$AA$10000,MATCH(ROWS($AC$3:AC2117),$AC$3:$AC$10000,0)),"")</f>
        <v/>
      </c>
      <c r="AE2117" s="117" t="str">
        <f>+'Packing Material - Cost'!A2118</f>
        <v/>
      </c>
    </row>
    <row r="2118" spans="27:31">
      <c r="AA2118" s="117">
        <f>+'Ingredient List - Mother Tinctu'!D2119</f>
        <v>0</v>
      </c>
      <c r="AB2118" s="117">
        <f t="shared" si="36"/>
        <v>0</v>
      </c>
      <c r="AC2118" s="117" t="str">
        <f>IF(AB2118=1,COUNTIF($AB$3:AB2118,1),"")</f>
        <v/>
      </c>
      <c r="AD2118" s="117" t="str">
        <f>IFERROR(INDEX($AA$3:$AA$10000,MATCH(ROWS($AC$3:AC2118),$AC$3:$AC$10000,0)),"")</f>
        <v/>
      </c>
      <c r="AE2118" s="117" t="str">
        <f>+'Packing Material - Cost'!A2119</f>
        <v/>
      </c>
    </row>
    <row r="2119" spans="27:31">
      <c r="AA2119" s="117">
        <f>+'Ingredient List - Mother Tinctu'!D2120</f>
        <v>0</v>
      </c>
      <c r="AB2119" s="117">
        <f t="shared" si="36"/>
        <v>0</v>
      </c>
      <c r="AC2119" s="117" t="str">
        <f>IF(AB2119=1,COUNTIF($AB$3:AB2119,1),"")</f>
        <v/>
      </c>
      <c r="AD2119" s="117" t="str">
        <f>IFERROR(INDEX($AA$3:$AA$10000,MATCH(ROWS($AC$3:AC2119),$AC$3:$AC$10000,0)),"")</f>
        <v/>
      </c>
      <c r="AE2119" s="117" t="str">
        <f>+'Packing Material - Cost'!A2120</f>
        <v/>
      </c>
    </row>
    <row r="2120" spans="27:31">
      <c r="AA2120" s="117">
        <f>+'Ingredient List - Mother Tinctu'!D2121</f>
        <v>0</v>
      </c>
      <c r="AB2120" s="117">
        <f t="shared" si="36"/>
        <v>0</v>
      </c>
      <c r="AC2120" s="117" t="str">
        <f>IF(AB2120=1,COUNTIF($AB$3:AB2120,1),"")</f>
        <v/>
      </c>
      <c r="AD2120" s="117" t="str">
        <f>IFERROR(INDEX($AA$3:$AA$10000,MATCH(ROWS($AC$3:AC2120),$AC$3:$AC$10000,0)),"")</f>
        <v/>
      </c>
      <c r="AE2120" s="117" t="str">
        <f>+'Packing Material - Cost'!A2121</f>
        <v/>
      </c>
    </row>
    <row r="2121" spans="27:31">
      <c r="AA2121" s="117">
        <f>+'Ingredient List - Mother Tinctu'!D2122</f>
        <v>0</v>
      </c>
      <c r="AB2121" s="117">
        <f t="shared" si="36"/>
        <v>0</v>
      </c>
      <c r="AC2121" s="117" t="str">
        <f>IF(AB2121=1,COUNTIF($AB$3:AB2121,1),"")</f>
        <v/>
      </c>
      <c r="AD2121" s="117" t="str">
        <f>IFERROR(INDEX($AA$3:$AA$10000,MATCH(ROWS($AC$3:AC2121),$AC$3:$AC$10000,0)),"")</f>
        <v/>
      </c>
      <c r="AE2121" s="117" t="str">
        <f>+'Packing Material - Cost'!A2122</f>
        <v/>
      </c>
    </row>
    <row r="2122" spans="27:31">
      <c r="AA2122" s="117">
        <f>+'Ingredient List - Mother Tinctu'!D2123</f>
        <v>0</v>
      </c>
      <c r="AB2122" s="117">
        <f t="shared" si="36"/>
        <v>0</v>
      </c>
      <c r="AC2122" s="117" t="str">
        <f>IF(AB2122=1,COUNTIF($AB$3:AB2122,1),"")</f>
        <v/>
      </c>
      <c r="AD2122" s="117" t="str">
        <f>IFERROR(INDEX($AA$3:$AA$10000,MATCH(ROWS($AC$3:AC2122),$AC$3:$AC$10000,0)),"")</f>
        <v/>
      </c>
      <c r="AE2122" s="117" t="str">
        <f>+'Packing Material - Cost'!A2123</f>
        <v/>
      </c>
    </row>
    <row r="2123" spans="27:31">
      <c r="AA2123" s="117">
        <f>+'Ingredient List - Mother Tinctu'!D2124</f>
        <v>0</v>
      </c>
      <c r="AB2123" s="117">
        <f t="shared" si="36"/>
        <v>0</v>
      </c>
      <c r="AC2123" s="117" t="str">
        <f>IF(AB2123=1,COUNTIF($AB$3:AB2123,1),"")</f>
        <v/>
      </c>
      <c r="AD2123" s="117" t="str">
        <f>IFERROR(INDEX($AA$3:$AA$10000,MATCH(ROWS($AC$3:AC2123),$AC$3:$AC$10000,0)),"")</f>
        <v/>
      </c>
      <c r="AE2123" s="117" t="str">
        <f>+'Packing Material - Cost'!A2124</f>
        <v/>
      </c>
    </row>
    <row r="2124" spans="27:31">
      <c r="AA2124" s="117">
        <f>+'Ingredient List - Mother Tinctu'!D2125</f>
        <v>0</v>
      </c>
      <c r="AB2124" s="117">
        <f t="shared" si="36"/>
        <v>0</v>
      </c>
      <c r="AC2124" s="117" t="str">
        <f>IF(AB2124=1,COUNTIF($AB$3:AB2124,1),"")</f>
        <v/>
      </c>
      <c r="AD2124" s="117" t="str">
        <f>IFERROR(INDEX($AA$3:$AA$10000,MATCH(ROWS($AC$3:AC2124),$AC$3:$AC$10000,0)),"")</f>
        <v/>
      </c>
      <c r="AE2124" s="117" t="str">
        <f>+'Packing Material - Cost'!A2125</f>
        <v/>
      </c>
    </row>
    <row r="2125" spans="27:31">
      <c r="AA2125" s="117">
        <f>+'Ingredient List - Mother Tinctu'!D2126</f>
        <v>0</v>
      </c>
      <c r="AB2125" s="117">
        <f t="shared" si="36"/>
        <v>0</v>
      </c>
      <c r="AC2125" s="117" t="str">
        <f>IF(AB2125=1,COUNTIF($AB$3:AB2125,1),"")</f>
        <v/>
      </c>
      <c r="AD2125" s="117" t="str">
        <f>IFERROR(INDEX($AA$3:$AA$10000,MATCH(ROWS($AC$3:AC2125),$AC$3:$AC$10000,0)),"")</f>
        <v/>
      </c>
      <c r="AE2125" s="117" t="str">
        <f>+'Packing Material - Cost'!A2126</f>
        <v/>
      </c>
    </row>
    <row r="2126" spans="27:31">
      <c r="AA2126" s="117">
        <f>+'Ingredient List - Mother Tinctu'!D2127</f>
        <v>0</v>
      </c>
      <c r="AB2126" s="117">
        <f t="shared" si="36"/>
        <v>0</v>
      </c>
      <c r="AC2126" s="117" t="str">
        <f>IF(AB2126=1,COUNTIF($AB$3:AB2126,1),"")</f>
        <v/>
      </c>
      <c r="AD2126" s="117" t="str">
        <f>IFERROR(INDEX($AA$3:$AA$10000,MATCH(ROWS($AC$3:AC2126),$AC$3:$AC$10000,0)),"")</f>
        <v/>
      </c>
      <c r="AE2126" s="117" t="str">
        <f>+'Packing Material - Cost'!A2127</f>
        <v/>
      </c>
    </row>
    <row r="2127" spans="27:31">
      <c r="AA2127" s="117">
        <f>+'Ingredient List - Mother Tinctu'!D2128</f>
        <v>0</v>
      </c>
      <c r="AB2127" s="117">
        <f t="shared" si="36"/>
        <v>0</v>
      </c>
      <c r="AC2127" s="117" t="str">
        <f>IF(AB2127=1,COUNTIF($AB$3:AB2127,1),"")</f>
        <v/>
      </c>
      <c r="AD2127" s="117" t="str">
        <f>IFERROR(INDEX($AA$3:$AA$10000,MATCH(ROWS($AC$3:AC2127),$AC$3:$AC$10000,0)),"")</f>
        <v/>
      </c>
      <c r="AE2127" s="117" t="str">
        <f>+'Packing Material - Cost'!A2128</f>
        <v/>
      </c>
    </row>
    <row r="2128" spans="27:31">
      <c r="AA2128" s="117">
        <f>+'Ingredient List - Mother Tinctu'!D2129</f>
        <v>0</v>
      </c>
      <c r="AB2128" s="117">
        <f t="shared" si="36"/>
        <v>0</v>
      </c>
      <c r="AC2128" s="117" t="str">
        <f>IF(AB2128=1,COUNTIF($AB$3:AB2128,1),"")</f>
        <v/>
      </c>
      <c r="AD2128" s="117" t="str">
        <f>IFERROR(INDEX($AA$3:$AA$10000,MATCH(ROWS($AC$3:AC2128),$AC$3:$AC$10000,0)),"")</f>
        <v/>
      </c>
      <c r="AE2128" s="117" t="str">
        <f>+'Packing Material - Cost'!A2129</f>
        <v/>
      </c>
    </row>
    <row r="2129" spans="27:31">
      <c r="AA2129" s="117">
        <f>+'Ingredient List - Mother Tinctu'!D2130</f>
        <v>0</v>
      </c>
      <c r="AB2129" s="117">
        <f t="shared" si="36"/>
        <v>0</v>
      </c>
      <c r="AC2129" s="117" t="str">
        <f>IF(AB2129=1,COUNTIF($AB$3:AB2129,1),"")</f>
        <v/>
      </c>
      <c r="AD2129" s="117" t="str">
        <f>IFERROR(INDEX($AA$3:$AA$10000,MATCH(ROWS($AC$3:AC2129),$AC$3:$AC$10000,0)),"")</f>
        <v/>
      </c>
      <c r="AE2129" s="117" t="str">
        <f>+'Packing Material - Cost'!A2130</f>
        <v/>
      </c>
    </row>
    <row r="2130" spans="27:31">
      <c r="AA2130" s="117">
        <f>+'Ingredient List - Mother Tinctu'!D2131</f>
        <v>0</v>
      </c>
      <c r="AB2130" s="117">
        <f t="shared" si="36"/>
        <v>0</v>
      </c>
      <c r="AC2130" s="117" t="str">
        <f>IF(AB2130=1,COUNTIF($AB$3:AB2130,1),"")</f>
        <v/>
      </c>
      <c r="AD2130" s="117" t="str">
        <f>IFERROR(INDEX($AA$3:$AA$10000,MATCH(ROWS($AC$3:AC2130),$AC$3:$AC$10000,0)),"")</f>
        <v/>
      </c>
      <c r="AE2130" s="117" t="str">
        <f>+'Packing Material - Cost'!A2131</f>
        <v/>
      </c>
    </row>
    <row r="2131" spans="27:31">
      <c r="AA2131" s="117">
        <f>+'Ingredient List - Mother Tinctu'!D2132</f>
        <v>0</v>
      </c>
      <c r="AB2131" s="117">
        <f t="shared" si="36"/>
        <v>0</v>
      </c>
      <c r="AC2131" s="117" t="str">
        <f>IF(AB2131=1,COUNTIF($AB$3:AB2131,1),"")</f>
        <v/>
      </c>
      <c r="AD2131" s="117" t="str">
        <f>IFERROR(INDEX($AA$3:$AA$10000,MATCH(ROWS($AC$3:AC2131),$AC$3:$AC$10000,0)),"")</f>
        <v/>
      </c>
      <c r="AE2131" s="117" t="str">
        <f>+'Packing Material - Cost'!A2132</f>
        <v/>
      </c>
    </row>
    <row r="2132" spans="27:31">
      <c r="AA2132" s="117">
        <f>+'Ingredient List - Mother Tinctu'!D2133</f>
        <v>0</v>
      </c>
      <c r="AB2132" s="117">
        <f t="shared" si="36"/>
        <v>0</v>
      </c>
      <c r="AC2132" s="117" t="str">
        <f>IF(AB2132=1,COUNTIF($AB$3:AB2132,1),"")</f>
        <v/>
      </c>
      <c r="AD2132" s="117" t="str">
        <f>IFERROR(INDEX($AA$3:$AA$10000,MATCH(ROWS($AC$3:AC2132),$AC$3:$AC$10000,0)),"")</f>
        <v/>
      </c>
      <c r="AE2132" s="117" t="str">
        <f>+'Packing Material - Cost'!A2133</f>
        <v/>
      </c>
    </row>
    <row r="2133" spans="27:31">
      <c r="AA2133" s="117">
        <f>+'Ingredient List - Mother Tinctu'!D2134</f>
        <v>0</v>
      </c>
      <c r="AB2133" s="117">
        <f t="shared" si="36"/>
        <v>0</v>
      </c>
      <c r="AC2133" s="117" t="str">
        <f>IF(AB2133=1,COUNTIF($AB$3:AB2133,1),"")</f>
        <v/>
      </c>
      <c r="AD2133" s="117" t="str">
        <f>IFERROR(INDEX($AA$3:$AA$10000,MATCH(ROWS($AC$3:AC2133),$AC$3:$AC$10000,0)),"")</f>
        <v/>
      </c>
      <c r="AE2133" s="117" t="str">
        <f>+'Packing Material - Cost'!A2134</f>
        <v/>
      </c>
    </row>
    <row r="2134" spans="27:31">
      <c r="AA2134" s="117">
        <f>+'Ingredient List - Mother Tinctu'!D2135</f>
        <v>0</v>
      </c>
      <c r="AB2134" s="117">
        <f t="shared" si="36"/>
        <v>0</v>
      </c>
      <c r="AC2134" s="117" t="str">
        <f>IF(AB2134=1,COUNTIF($AB$3:AB2134,1),"")</f>
        <v/>
      </c>
      <c r="AD2134" s="117" t="str">
        <f>IFERROR(INDEX($AA$3:$AA$10000,MATCH(ROWS($AC$3:AC2134),$AC$3:$AC$10000,0)),"")</f>
        <v/>
      </c>
      <c r="AE2134" s="117" t="str">
        <f>+'Packing Material - Cost'!A2135</f>
        <v/>
      </c>
    </row>
    <row r="2135" spans="27:31">
      <c r="AA2135" s="117">
        <f>+'Ingredient List - Mother Tinctu'!D2136</f>
        <v>0</v>
      </c>
      <c r="AB2135" s="117">
        <f t="shared" si="36"/>
        <v>0</v>
      </c>
      <c r="AC2135" s="117" t="str">
        <f>IF(AB2135=1,COUNTIF($AB$3:AB2135,1),"")</f>
        <v/>
      </c>
      <c r="AD2135" s="117" t="str">
        <f>IFERROR(INDEX($AA$3:$AA$10000,MATCH(ROWS($AC$3:AC2135),$AC$3:$AC$10000,0)),"")</f>
        <v/>
      </c>
      <c r="AE2135" s="117" t="str">
        <f>+'Packing Material - Cost'!A2136</f>
        <v/>
      </c>
    </row>
    <row r="2136" spans="27:31">
      <c r="AA2136" s="117">
        <f>+'Ingredient List - Mother Tinctu'!D2137</f>
        <v>0</v>
      </c>
      <c r="AB2136" s="117">
        <f t="shared" si="36"/>
        <v>0</v>
      </c>
      <c r="AC2136" s="117" t="str">
        <f>IF(AB2136=1,COUNTIF($AB$3:AB2136,1),"")</f>
        <v/>
      </c>
      <c r="AD2136" s="117" t="str">
        <f>IFERROR(INDEX($AA$3:$AA$10000,MATCH(ROWS($AC$3:AC2136),$AC$3:$AC$10000,0)),"")</f>
        <v/>
      </c>
      <c r="AE2136" s="117" t="str">
        <f>+'Packing Material - Cost'!A2137</f>
        <v/>
      </c>
    </row>
    <row r="2137" spans="27:31">
      <c r="AA2137" s="117">
        <f>+'Ingredient List - Mother Tinctu'!D2138</f>
        <v>0</v>
      </c>
      <c r="AB2137" s="117">
        <f t="shared" si="36"/>
        <v>0</v>
      </c>
      <c r="AC2137" s="117" t="str">
        <f>IF(AB2137=1,COUNTIF($AB$3:AB2137,1),"")</f>
        <v/>
      </c>
      <c r="AD2137" s="117" t="str">
        <f>IFERROR(INDEX($AA$3:$AA$10000,MATCH(ROWS($AC$3:AC2137),$AC$3:$AC$10000,0)),"")</f>
        <v/>
      </c>
      <c r="AE2137" s="117" t="str">
        <f>+'Packing Material - Cost'!A2138</f>
        <v/>
      </c>
    </row>
    <row r="2138" spans="27:31">
      <c r="AA2138" s="117">
        <f>+'Ingredient List - Mother Tinctu'!D2139</f>
        <v>0</v>
      </c>
      <c r="AB2138" s="117">
        <f t="shared" si="36"/>
        <v>0</v>
      </c>
      <c r="AC2138" s="117" t="str">
        <f>IF(AB2138=1,COUNTIF($AB$3:AB2138,1),"")</f>
        <v/>
      </c>
      <c r="AD2138" s="117" t="str">
        <f>IFERROR(INDEX($AA$3:$AA$10000,MATCH(ROWS($AC$3:AC2138),$AC$3:$AC$10000,0)),"")</f>
        <v/>
      </c>
      <c r="AE2138" s="117" t="str">
        <f>+'Packing Material - Cost'!A2139</f>
        <v/>
      </c>
    </row>
    <row r="2139" spans="27:31">
      <c r="AA2139" s="117">
        <f>+'Ingredient List - Mother Tinctu'!D2140</f>
        <v>0</v>
      </c>
      <c r="AB2139" s="117">
        <f t="shared" si="36"/>
        <v>0</v>
      </c>
      <c r="AC2139" s="117" t="str">
        <f>IF(AB2139=1,COUNTIF($AB$3:AB2139,1),"")</f>
        <v/>
      </c>
      <c r="AD2139" s="117" t="str">
        <f>IFERROR(INDEX($AA$3:$AA$10000,MATCH(ROWS($AC$3:AC2139),$AC$3:$AC$10000,0)),"")</f>
        <v/>
      </c>
      <c r="AE2139" s="117" t="str">
        <f>+'Packing Material - Cost'!A2140</f>
        <v/>
      </c>
    </row>
    <row r="2140" spans="27:31">
      <c r="AA2140" s="117">
        <f>+'Ingredient List - Mother Tinctu'!D2141</f>
        <v>0</v>
      </c>
      <c r="AB2140" s="117">
        <f t="shared" si="36"/>
        <v>0</v>
      </c>
      <c r="AC2140" s="117" t="str">
        <f>IF(AB2140=1,COUNTIF($AB$3:AB2140,1),"")</f>
        <v/>
      </c>
      <c r="AD2140" s="117" t="str">
        <f>IFERROR(INDEX($AA$3:$AA$10000,MATCH(ROWS($AC$3:AC2140),$AC$3:$AC$10000,0)),"")</f>
        <v/>
      </c>
      <c r="AE2140" s="117" t="str">
        <f>+'Packing Material - Cost'!A2141</f>
        <v/>
      </c>
    </row>
    <row r="2141" spans="27:31">
      <c r="AA2141" s="117">
        <f>+'Ingredient List - Mother Tinctu'!D2142</f>
        <v>0</v>
      </c>
      <c r="AB2141" s="117">
        <f t="shared" si="36"/>
        <v>0</v>
      </c>
      <c r="AC2141" s="117" t="str">
        <f>IF(AB2141=1,COUNTIF($AB$3:AB2141,1),"")</f>
        <v/>
      </c>
      <c r="AD2141" s="117" t="str">
        <f>IFERROR(INDEX($AA$3:$AA$10000,MATCH(ROWS($AC$3:AC2141),$AC$3:$AC$10000,0)),"")</f>
        <v/>
      </c>
      <c r="AE2141" s="117" t="str">
        <f>+'Packing Material - Cost'!A2142</f>
        <v/>
      </c>
    </row>
    <row r="2142" spans="27:31">
      <c r="AA2142" s="117">
        <f>+'Ingredient List - Mother Tinctu'!D2143</f>
        <v>0</v>
      </c>
      <c r="AB2142" s="117">
        <f t="shared" si="36"/>
        <v>0</v>
      </c>
      <c r="AC2142" s="117" t="str">
        <f>IF(AB2142=1,COUNTIF($AB$3:AB2142,1),"")</f>
        <v/>
      </c>
      <c r="AD2142" s="117" t="str">
        <f>IFERROR(INDEX($AA$3:$AA$10000,MATCH(ROWS($AC$3:AC2142),$AC$3:$AC$10000,0)),"")</f>
        <v/>
      </c>
      <c r="AE2142" s="117" t="str">
        <f>+'Packing Material - Cost'!A2143</f>
        <v/>
      </c>
    </row>
    <row r="2143" spans="27:31">
      <c r="AA2143" s="117">
        <f>+'Ingredient List - Mother Tinctu'!D2144</f>
        <v>0</v>
      </c>
      <c r="AB2143" s="117">
        <f t="shared" si="36"/>
        <v>0</v>
      </c>
      <c r="AC2143" s="117" t="str">
        <f>IF(AB2143=1,COUNTIF($AB$3:AB2143,1),"")</f>
        <v/>
      </c>
      <c r="AD2143" s="117" t="str">
        <f>IFERROR(INDEX($AA$3:$AA$10000,MATCH(ROWS($AC$3:AC2143),$AC$3:$AC$10000,0)),"")</f>
        <v/>
      </c>
      <c r="AE2143" s="117" t="str">
        <f>+'Packing Material - Cost'!A2144</f>
        <v/>
      </c>
    </row>
    <row r="2144" spans="27:31">
      <c r="AA2144" s="117">
        <f>+'Ingredient List - Mother Tinctu'!D2145</f>
        <v>0</v>
      </c>
      <c r="AB2144" s="117">
        <f t="shared" si="36"/>
        <v>0</v>
      </c>
      <c r="AC2144" s="117" t="str">
        <f>IF(AB2144=1,COUNTIF($AB$3:AB2144,1),"")</f>
        <v/>
      </c>
      <c r="AD2144" s="117" t="str">
        <f>IFERROR(INDEX($AA$3:$AA$10000,MATCH(ROWS($AC$3:AC2144),$AC$3:$AC$10000,0)),"")</f>
        <v/>
      </c>
      <c r="AE2144" s="117" t="str">
        <f>+'Packing Material - Cost'!A2145</f>
        <v/>
      </c>
    </row>
    <row r="2145" spans="27:31">
      <c r="AA2145" s="117">
        <f>+'Ingredient List - Mother Tinctu'!D2146</f>
        <v>0</v>
      </c>
      <c r="AB2145" s="117">
        <f t="shared" si="36"/>
        <v>0</v>
      </c>
      <c r="AC2145" s="117" t="str">
        <f>IF(AB2145=1,COUNTIF($AB$3:AB2145,1),"")</f>
        <v/>
      </c>
      <c r="AD2145" s="117" t="str">
        <f>IFERROR(INDEX($AA$3:$AA$10000,MATCH(ROWS($AC$3:AC2145),$AC$3:$AC$10000,0)),"")</f>
        <v/>
      </c>
      <c r="AE2145" s="117" t="str">
        <f>+'Packing Material - Cost'!A2146</f>
        <v/>
      </c>
    </row>
    <row r="2146" spans="27:31">
      <c r="AA2146" s="117">
        <f>+'Ingredient List - Mother Tinctu'!D2147</f>
        <v>0</v>
      </c>
      <c r="AB2146" s="117">
        <f t="shared" si="36"/>
        <v>0</v>
      </c>
      <c r="AC2146" s="117" t="str">
        <f>IF(AB2146=1,COUNTIF($AB$3:AB2146,1),"")</f>
        <v/>
      </c>
      <c r="AD2146" s="117" t="str">
        <f>IFERROR(INDEX($AA$3:$AA$10000,MATCH(ROWS($AC$3:AC2146),$AC$3:$AC$10000,0)),"")</f>
        <v/>
      </c>
      <c r="AE2146" s="117" t="str">
        <f>+'Packing Material - Cost'!A2147</f>
        <v/>
      </c>
    </row>
    <row r="2147" spans="27:31">
      <c r="AA2147" s="117">
        <f>+'Ingredient List - Mother Tinctu'!D2148</f>
        <v>0</v>
      </c>
      <c r="AB2147" s="117">
        <f t="shared" si="36"/>
        <v>0</v>
      </c>
      <c r="AC2147" s="117" t="str">
        <f>IF(AB2147=1,COUNTIF($AB$3:AB2147,1),"")</f>
        <v/>
      </c>
      <c r="AD2147" s="117" t="str">
        <f>IFERROR(INDEX($AA$3:$AA$10000,MATCH(ROWS($AC$3:AC2147),$AC$3:$AC$10000,0)),"")</f>
        <v/>
      </c>
      <c r="AE2147" s="117" t="str">
        <f>+'Packing Material - Cost'!A2148</f>
        <v/>
      </c>
    </row>
    <row r="2148" spans="27:31">
      <c r="AA2148" s="117">
        <f>+'Ingredient List - Mother Tinctu'!D2149</f>
        <v>0</v>
      </c>
      <c r="AB2148" s="117">
        <f t="shared" si="36"/>
        <v>0</v>
      </c>
      <c r="AC2148" s="117" t="str">
        <f>IF(AB2148=1,COUNTIF($AB$3:AB2148,1),"")</f>
        <v/>
      </c>
      <c r="AD2148" s="117" t="str">
        <f>IFERROR(INDEX($AA$3:$AA$10000,MATCH(ROWS($AC$3:AC2148),$AC$3:$AC$10000,0)),"")</f>
        <v/>
      </c>
      <c r="AE2148" s="117" t="str">
        <f>+'Packing Material - Cost'!A2149</f>
        <v/>
      </c>
    </row>
    <row r="2149" spans="27:31">
      <c r="AA2149" s="117">
        <f>+'Ingredient List - Mother Tinctu'!D2150</f>
        <v>0</v>
      </c>
      <c r="AB2149" s="117">
        <f t="shared" si="36"/>
        <v>0</v>
      </c>
      <c r="AC2149" s="117" t="str">
        <f>IF(AB2149=1,COUNTIF($AB$3:AB2149,1),"")</f>
        <v/>
      </c>
      <c r="AD2149" s="117" t="str">
        <f>IFERROR(INDEX($AA$3:$AA$10000,MATCH(ROWS($AC$3:AC2149),$AC$3:$AC$10000,0)),"")</f>
        <v/>
      </c>
      <c r="AE2149" s="117" t="str">
        <f>+'Packing Material - Cost'!A2150</f>
        <v/>
      </c>
    </row>
    <row r="2150" spans="27:31">
      <c r="AA2150" s="117">
        <f>+'Ingredient List - Mother Tinctu'!D2151</f>
        <v>0</v>
      </c>
      <c r="AB2150" s="117">
        <f t="shared" si="36"/>
        <v>0</v>
      </c>
      <c r="AC2150" s="117" t="str">
        <f>IF(AB2150=1,COUNTIF($AB$3:AB2150,1),"")</f>
        <v/>
      </c>
      <c r="AD2150" s="117" t="str">
        <f>IFERROR(INDEX($AA$3:$AA$10000,MATCH(ROWS($AC$3:AC2150),$AC$3:$AC$10000,0)),"")</f>
        <v/>
      </c>
      <c r="AE2150" s="117" t="str">
        <f>+'Packing Material - Cost'!A2151</f>
        <v/>
      </c>
    </row>
    <row r="2151" spans="27:31">
      <c r="AA2151" s="117">
        <f>+'Ingredient List - Mother Tinctu'!D2152</f>
        <v>0</v>
      </c>
      <c r="AB2151" s="117">
        <f t="shared" si="36"/>
        <v>0</v>
      </c>
      <c r="AC2151" s="117" t="str">
        <f>IF(AB2151=1,COUNTIF($AB$3:AB2151,1),"")</f>
        <v/>
      </c>
      <c r="AD2151" s="117" t="str">
        <f>IFERROR(INDEX($AA$3:$AA$10000,MATCH(ROWS($AC$3:AC2151),$AC$3:$AC$10000,0)),"")</f>
        <v/>
      </c>
      <c r="AE2151" s="117" t="str">
        <f>+'Packing Material - Cost'!A2152</f>
        <v/>
      </c>
    </row>
    <row r="2152" spans="27:31">
      <c r="AA2152" s="117">
        <f>+'Ingredient List - Mother Tinctu'!D2153</f>
        <v>0</v>
      </c>
      <c r="AB2152" s="117">
        <f t="shared" si="36"/>
        <v>0</v>
      </c>
      <c r="AC2152" s="117" t="str">
        <f>IF(AB2152=1,COUNTIF($AB$3:AB2152,1),"")</f>
        <v/>
      </c>
      <c r="AD2152" s="117" t="str">
        <f>IFERROR(INDEX($AA$3:$AA$10000,MATCH(ROWS($AC$3:AC2152),$AC$3:$AC$10000,0)),"")</f>
        <v/>
      </c>
      <c r="AE2152" s="117" t="str">
        <f>+'Packing Material - Cost'!A2153</f>
        <v/>
      </c>
    </row>
    <row r="2153" spans="27:31">
      <c r="AA2153" s="117">
        <f>+'Ingredient List - Mother Tinctu'!D2154</f>
        <v>0</v>
      </c>
      <c r="AB2153" s="117">
        <f t="shared" si="36"/>
        <v>0</v>
      </c>
      <c r="AC2153" s="117" t="str">
        <f>IF(AB2153=1,COUNTIF($AB$3:AB2153,1),"")</f>
        <v/>
      </c>
      <c r="AD2153" s="117" t="str">
        <f>IFERROR(INDEX($AA$3:$AA$10000,MATCH(ROWS($AC$3:AC2153),$AC$3:$AC$10000,0)),"")</f>
        <v/>
      </c>
      <c r="AE2153" s="117" t="str">
        <f>+'Packing Material - Cost'!A2154</f>
        <v/>
      </c>
    </row>
    <row r="2154" spans="27:31">
      <c r="AA2154" s="117">
        <f>+'Ingredient List - Mother Tinctu'!D2155</f>
        <v>0</v>
      </c>
      <c r="AB2154" s="117">
        <f t="shared" si="36"/>
        <v>0</v>
      </c>
      <c r="AC2154" s="117" t="str">
        <f>IF(AB2154=1,COUNTIF($AB$3:AB2154,1),"")</f>
        <v/>
      </c>
      <c r="AD2154" s="117" t="str">
        <f>IFERROR(INDEX($AA$3:$AA$10000,MATCH(ROWS($AC$3:AC2154),$AC$3:$AC$10000,0)),"")</f>
        <v/>
      </c>
      <c r="AE2154" s="117" t="str">
        <f>+'Packing Material - Cost'!A2155</f>
        <v/>
      </c>
    </row>
    <row r="2155" spans="27:31">
      <c r="AA2155" s="117">
        <f>+'Ingredient List - Mother Tinctu'!D2156</f>
        <v>0</v>
      </c>
      <c r="AB2155" s="117">
        <f t="shared" si="36"/>
        <v>0</v>
      </c>
      <c r="AC2155" s="117" t="str">
        <f>IF(AB2155=1,COUNTIF($AB$3:AB2155,1),"")</f>
        <v/>
      </c>
      <c r="AD2155" s="117" t="str">
        <f>IFERROR(INDEX($AA$3:$AA$10000,MATCH(ROWS($AC$3:AC2155),$AC$3:$AC$10000,0)),"")</f>
        <v/>
      </c>
      <c r="AE2155" s="117" t="str">
        <f>+'Packing Material - Cost'!A2156</f>
        <v/>
      </c>
    </row>
    <row r="2156" spans="27:31">
      <c r="AA2156" s="117">
        <f>+'Ingredient List - Mother Tinctu'!D2157</f>
        <v>0</v>
      </c>
      <c r="AB2156" s="117">
        <f t="shared" si="36"/>
        <v>0</v>
      </c>
      <c r="AC2156" s="117" t="str">
        <f>IF(AB2156=1,COUNTIF($AB$3:AB2156,1),"")</f>
        <v/>
      </c>
      <c r="AD2156" s="117" t="str">
        <f>IFERROR(INDEX($AA$3:$AA$10000,MATCH(ROWS($AC$3:AC2156),$AC$3:$AC$10000,0)),"")</f>
        <v/>
      </c>
      <c r="AE2156" s="117" t="str">
        <f>+'Packing Material - Cost'!A2157</f>
        <v/>
      </c>
    </row>
    <row r="2157" spans="27:31">
      <c r="AA2157" s="117">
        <f>+'Ingredient List - Mother Tinctu'!D2158</f>
        <v>0</v>
      </c>
      <c r="AB2157" s="117">
        <f t="shared" si="36"/>
        <v>0</v>
      </c>
      <c r="AC2157" s="117" t="str">
        <f>IF(AB2157=1,COUNTIF($AB$3:AB2157,1),"")</f>
        <v/>
      </c>
      <c r="AD2157" s="117" t="str">
        <f>IFERROR(INDEX($AA$3:$AA$10000,MATCH(ROWS($AC$3:AC2157),$AC$3:$AC$10000,0)),"")</f>
        <v/>
      </c>
      <c r="AE2157" s="117" t="str">
        <f>+'Packing Material - Cost'!A2158</f>
        <v/>
      </c>
    </row>
    <row r="2158" spans="27:31">
      <c r="AA2158" s="117">
        <f>+'Ingredient List - Mother Tinctu'!D2159</f>
        <v>0</v>
      </c>
      <c r="AB2158" s="117">
        <f t="shared" si="36"/>
        <v>0</v>
      </c>
      <c r="AC2158" s="117" t="str">
        <f>IF(AB2158=1,COUNTIF($AB$3:AB2158,1),"")</f>
        <v/>
      </c>
      <c r="AD2158" s="117" t="str">
        <f>IFERROR(INDEX($AA$3:$AA$10000,MATCH(ROWS($AC$3:AC2158),$AC$3:$AC$10000,0)),"")</f>
        <v/>
      </c>
      <c r="AE2158" s="117" t="str">
        <f>+'Packing Material - Cost'!A2159</f>
        <v/>
      </c>
    </row>
    <row r="2159" spans="27:31">
      <c r="AA2159" s="117">
        <f>+'Ingredient List - Mother Tinctu'!D2160</f>
        <v>0</v>
      </c>
      <c r="AB2159" s="117">
        <f t="shared" si="36"/>
        <v>0</v>
      </c>
      <c r="AC2159" s="117" t="str">
        <f>IF(AB2159=1,COUNTIF($AB$3:AB2159,1),"")</f>
        <v/>
      </c>
      <c r="AD2159" s="117" t="str">
        <f>IFERROR(INDEX($AA$3:$AA$10000,MATCH(ROWS($AC$3:AC2159),$AC$3:$AC$10000,0)),"")</f>
        <v/>
      </c>
      <c r="AE2159" s="117" t="str">
        <f>+'Packing Material - Cost'!A2160</f>
        <v/>
      </c>
    </row>
    <row r="2160" spans="27:31">
      <c r="AA2160" s="117">
        <f>+'Ingredient List - Mother Tinctu'!D2161</f>
        <v>0</v>
      </c>
      <c r="AB2160" s="117">
        <f t="shared" si="36"/>
        <v>0</v>
      </c>
      <c r="AC2160" s="117" t="str">
        <f>IF(AB2160=1,COUNTIF($AB$3:AB2160,1),"")</f>
        <v/>
      </c>
      <c r="AD2160" s="117" t="str">
        <f>IFERROR(INDEX($AA$3:$AA$10000,MATCH(ROWS($AC$3:AC2160),$AC$3:$AC$10000,0)),"")</f>
        <v/>
      </c>
      <c r="AE2160" s="117" t="str">
        <f>+'Packing Material - Cost'!A2161</f>
        <v/>
      </c>
    </row>
    <row r="2161" spans="27:31">
      <c r="AA2161" s="117">
        <f>+'Ingredient List - Mother Tinctu'!D2162</f>
        <v>0</v>
      </c>
      <c r="AB2161" s="117">
        <f t="shared" si="36"/>
        <v>0</v>
      </c>
      <c r="AC2161" s="117" t="str">
        <f>IF(AB2161=1,COUNTIF($AB$3:AB2161,1),"")</f>
        <v/>
      </c>
      <c r="AD2161" s="117" t="str">
        <f>IFERROR(INDEX($AA$3:$AA$10000,MATCH(ROWS($AC$3:AC2161),$AC$3:$AC$10000,0)),"")</f>
        <v/>
      </c>
      <c r="AE2161" s="117" t="str">
        <f>+'Packing Material - Cost'!A2162</f>
        <v/>
      </c>
    </row>
    <row r="2162" spans="27:31">
      <c r="AA2162" s="117">
        <f>+'Ingredient List - Mother Tinctu'!D2163</f>
        <v>0</v>
      </c>
      <c r="AB2162" s="117">
        <f t="shared" si="36"/>
        <v>0</v>
      </c>
      <c r="AC2162" s="117" t="str">
        <f>IF(AB2162=1,COUNTIF($AB$3:AB2162,1),"")</f>
        <v/>
      </c>
      <c r="AD2162" s="117" t="str">
        <f>IFERROR(INDEX($AA$3:$AA$10000,MATCH(ROWS($AC$3:AC2162),$AC$3:$AC$10000,0)),"")</f>
        <v/>
      </c>
      <c r="AE2162" s="117" t="str">
        <f>+'Packing Material - Cost'!A2163</f>
        <v/>
      </c>
    </row>
    <row r="2163" spans="27:31">
      <c r="AA2163" s="117">
        <f>+'Ingredient List - Mother Tinctu'!D2164</f>
        <v>0</v>
      </c>
      <c r="AB2163" s="117">
        <f t="shared" si="36"/>
        <v>0</v>
      </c>
      <c r="AC2163" s="117" t="str">
        <f>IF(AB2163=1,COUNTIF($AB$3:AB2163,1),"")</f>
        <v/>
      </c>
      <c r="AD2163" s="117" t="str">
        <f>IFERROR(INDEX($AA$3:$AA$10000,MATCH(ROWS($AC$3:AC2163),$AC$3:$AC$10000,0)),"")</f>
        <v/>
      </c>
      <c r="AE2163" s="117" t="str">
        <f>+'Packing Material - Cost'!A2164</f>
        <v/>
      </c>
    </row>
    <row r="2164" spans="27:31">
      <c r="AA2164" s="117">
        <f>+'Ingredient List - Mother Tinctu'!D2165</f>
        <v>0</v>
      </c>
      <c r="AB2164" s="117">
        <f t="shared" si="36"/>
        <v>0</v>
      </c>
      <c r="AC2164" s="117" t="str">
        <f>IF(AB2164=1,COUNTIF($AB$3:AB2164,1),"")</f>
        <v/>
      </c>
      <c r="AD2164" s="117" t="str">
        <f>IFERROR(INDEX($AA$3:$AA$10000,MATCH(ROWS($AC$3:AC2164),$AC$3:$AC$10000,0)),"")</f>
        <v/>
      </c>
      <c r="AE2164" s="117" t="str">
        <f>+'Packing Material - Cost'!A2165</f>
        <v/>
      </c>
    </row>
    <row r="2165" spans="27:31">
      <c r="AA2165" s="117">
        <f>+'Ingredient List - Mother Tinctu'!D2166</f>
        <v>0</v>
      </c>
      <c r="AB2165" s="117">
        <f t="shared" si="36"/>
        <v>0</v>
      </c>
      <c r="AC2165" s="117" t="str">
        <f>IF(AB2165=1,COUNTIF($AB$3:AB2165,1),"")</f>
        <v/>
      </c>
      <c r="AD2165" s="117" t="str">
        <f>IFERROR(INDEX($AA$3:$AA$10000,MATCH(ROWS($AC$3:AC2165),$AC$3:$AC$10000,0)),"")</f>
        <v/>
      </c>
      <c r="AE2165" s="117" t="str">
        <f>+'Packing Material - Cost'!A2166</f>
        <v/>
      </c>
    </row>
    <row r="2166" spans="27:31">
      <c r="AA2166" s="117">
        <f>+'Ingredient List - Mother Tinctu'!D2167</f>
        <v>0</v>
      </c>
      <c r="AB2166" s="117">
        <f t="shared" si="36"/>
        <v>0</v>
      </c>
      <c r="AC2166" s="117" t="str">
        <f>IF(AB2166=1,COUNTIF($AB$3:AB2166,1),"")</f>
        <v/>
      </c>
      <c r="AD2166" s="117" t="str">
        <f>IFERROR(INDEX($AA$3:$AA$10000,MATCH(ROWS($AC$3:AC2166),$AC$3:$AC$10000,0)),"")</f>
        <v/>
      </c>
      <c r="AE2166" s="117" t="str">
        <f>+'Packing Material - Cost'!A2167</f>
        <v/>
      </c>
    </row>
    <row r="2167" spans="27:31">
      <c r="AA2167" s="117">
        <f>+'Ingredient List - Mother Tinctu'!D2168</f>
        <v>0</v>
      </c>
      <c r="AB2167" s="117">
        <f t="shared" si="36"/>
        <v>0</v>
      </c>
      <c r="AC2167" s="117" t="str">
        <f>IF(AB2167=1,COUNTIF($AB$3:AB2167,1),"")</f>
        <v/>
      </c>
      <c r="AD2167" s="117" t="str">
        <f>IFERROR(INDEX($AA$3:$AA$10000,MATCH(ROWS($AC$3:AC2167),$AC$3:$AC$10000,0)),"")</f>
        <v/>
      </c>
      <c r="AE2167" s="117" t="str">
        <f>+'Packing Material - Cost'!A2168</f>
        <v/>
      </c>
    </row>
    <row r="2168" spans="27:31">
      <c r="AA2168" s="117">
        <f>+'Ingredient List - Mother Tinctu'!D2169</f>
        <v>0</v>
      </c>
      <c r="AB2168" s="117">
        <f t="shared" si="36"/>
        <v>0</v>
      </c>
      <c r="AC2168" s="117" t="str">
        <f>IF(AB2168=1,COUNTIF($AB$3:AB2168,1),"")</f>
        <v/>
      </c>
      <c r="AD2168" s="117" t="str">
        <f>IFERROR(INDEX($AA$3:$AA$10000,MATCH(ROWS($AC$3:AC2168),$AC$3:$AC$10000,0)),"")</f>
        <v/>
      </c>
      <c r="AE2168" s="117" t="str">
        <f>+'Packing Material - Cost'!A2169</f>
        <v/>
      </c>
    </row>
    <row r="2169" spans="27:31">
      <c r="AA2169" s="117">
        <f>+'Ingredient List - Mother Tinctu'!D2170</f>
        <v>0</v>
      </c>
      <c r="AB2169" s="117">
        <f t="shared" si="36"/>
        <v>0</v>
      </c>
      <c r="AC2169" s="117" t="str">
        <f>IF(AB2169=1,COUNTIF($AB$3:AB2169,1),"")</f>
        <v/>
      </c>
      <c r="AD2169" s="117" t="str">
        <f>IFERROR(INDEX($AA$3:$AA$10000,MATCH(ROWS($AC$3:AC2169),$AC$3:$AC$10000,0)),"")</f>
        <v/>
      </c>
      <c r="AE2169" s="117" t="str">
        <f>+'Packing Material - Cost'!A2170</f>
        <v/>
      </c>
    </row>
    <row r="2170" spans="27:31">
      <c r="AA2170" s="117">
        <f>+'Ingredient List - Mother Tinctu'!D2171</f>
        <v>0</v>
      </c>
      <c r="AB2170" s="117">
        <f t="shared" si="36"/>
        <v>0</v>
      </c>
      <c r="AC2170" s="117" t="str">
        <f>IF(AB2170=1,COUNTIF($AB$3:AB2170,1),"")</f>
        <v/>
      </c>
      <c r="AD2170" s="117" t="str">
        <f>IFERROR(INDEX($AA$3:$AA$10000,MATCH(ROWS($AC$3:AC2170),$AC$3:$AC$10000,0)),"")</f>
        <v/>
      </c>
      <c r="AE2170" s="117" t="str">
        <f>+'Packing Material - Cost'!A2171</f>
        <v/>
      </c>
    </row>
    <row r="2171" spans="27:31">
      <c r="AA2171" s="117">
        <f>+'Ingredient List - Mother Tinctu'!D2172</f>
        <v>0</v>
      </c>
      <c r="AB2171" s="117">
        <f t="shared" si="36"/>
        <v>0</v>
      </c>
      <c r="AC2171" s="117" t="str">
        <f>IF(AB2171=1,COUNTIF($AB$3:AB2171,1),"")</f>
        <v/>
      </c>
      <c r="AD2171" s="117" t="str">
        <f>IFERROR(INDEX($AA$3:$AA$10000,MATCH(ROWS($AC$3:AC2171),$AC$3:$AC$10000,0)),"")</f>
        <v/>
      </c>
      <c r="AE2171" s="117" t="str">
        <f>+'Packing Material - Cost'!A2172</f>
        <v/>
      </c>
    </row>
    <row r="2172" spans="27:31">
      <c r="AA2172" s="117">
        <f>+'Ingredient List - Mother Tinctu'!D2173</f>
        <v>0</v>
      </c>
      <c r="AB2172" s="117">
        <f t="shared" si="36"/>
        <v>0</v>
      </c>
      <c r="AC2172" s="117" t="str">
        <f>IF(AB2172=1,COUNTIF($AB$3:AB2172,1),"")</f>
        <v/>
      </c>
      <c r="AD2172" s="117" t="str">
        <f>IFERROR(INDEX($AA$3:$AA$10000,MATCH(ROWS($AC$3:AC2172),$AC$3:$AC$10000,0)),"")</f>
        <v/>
      </c>
      <c r="AE2172" s="117" t="str">
        <f>+'Packing Material - Cost'!A2173</f>
        <v/>
      </c>
    </row>
    <row r="2173" spans="27:31">
      <c r="AA2173" s="117">
        <f>+'Ingredient List - Mother Tinctu'!D2174</f>
        <v>0</v>
      </c>
      <c r="AB2173" s="117">
        <f t="shared" si="36"/>
        <v>0</v>
      </c>
      <c r="AC2173" s="117" t="str">
        <f>IF(AB2173=1,COUNTIF($AB$3:AB2173,1),"")</f>
        <v/>
      </c>
      <c r="AD2173" s="117" t="str">
        <f>IFERROR(INDEX($AA$3:$AA$10000,MATCH(ROWS($AC$3:AC2173),$AC$3:$AC$10000,0)),"")</f>
        <v/>
      </c>
      <c r="AE2173" s="117" t="str">
        <f>+'Packing Material - Cost'!A2174</f>
        <v/>
      </c>
    </row>
    <row r="2174" spans="27:31">
      <c r="AA2174" s="117">
        <f>+'Ingredient List - Mother Tinctu'!D2175</f>
        <v>0</v>
      </c>
      <c r="AB2174" s="117">
        <f t="shared" si="36"/>
        <v>0</v>
      </c>
      <c r="AC2174" s="117" t="str">
        <f>IF(AB2174=1,COUNTIF($AB$3:AB2174,1),"")</f>
        <v/>
      </c>
      <c r="AD2174" s="117" t="str">
        <f>IFERROR(INDEX($AA$3:$AA$10000,MATCH(ROWS($AC$3:AC2174),$AC$3:$AC$10000,0)),"")</f>
        <v/>
      </c>
      <c r="AE2174" s="117" t="str">
        <f>+'Packing Material - Cost'!A2175</f>
        <v/>
      </c>
    </row>
    <row r="2175" spans="27:31">
      <c r="AA2175" s="117">
        <f>+'Ingredient List - Mother Tinctu'!D2176</f>
        <v>0</v>
      </c>
      <c r="AB2175" s="117">
        <f t="shared" si="36"/>
        <v>0</v>
      </c>
      <c r="AC2175" s="117" t="str">
        <f>IF(AB2175=1,COUNTIF($AB$3:AB2175,1),"")</f>
        <v/>
      </c>
      <c r="AD2175" s="117" t="str">
        <f>IFERROR(INDEX($AA$3:$AA$10000,MATCH(ROWS($AC$3:AC2175),$AC$3:$AC$10000,0)),"")</f>
        <v/>
      </c>
      <c r="AE2175" s="117" t="str">
        <f>+'Packing Material - Cost'!A2176</f>
        <v/>
      </c>
    </row>
    <row r="2176" spans="27:31">
      <c r="AA2176" s="117">
        <f>+'Ingredient List - Mother Tinctu'!D2177</f>
        <v>0</v>
      </c>
      <c r="AB2176" s="117">
        <f t="shared" si="36"/>
        <v>0</v>
      </c>
      <c r="AC2176" s="117" t="str">
        <f>IF(AB2176=1,COUNTIF($AB$3:AB2176,1),"")</f>
        <v/>
      </c>
      <c r="AD2176" s="117" t="str">
        <f>IFERROR(INDEX($AA$3:$AA$10000,MATCH(ROWS($AC$3:AC2176),$AC$3:$AC$10000,0)),"")</f>
        <v/>
      </c>
      <c r="AE2176" s="117" t="str">
        <f>+'Packing Material - Cost'!A2177</f>
        <v/>
      </c>
    </row>
    <row r="2177" spans="27:31">
      <c r="AA2177" s="117">
        <f>+'Ingredient List - Mother Tinctu'!D2178</f>
        <v>0</v>
      </c>
      <c r="AB2177" s="117">
        <f t="shared" si="36"/>
        <v>0</v>
      </c>
      <c r="AC2177" s="117" t="str">
        <f>IF(AB2177=1,COUNTIF($AB$3:AB2177,1),"")</f>
        <v/>
      </c>
      <c r="AD2177" s="117" t="str">
        <f>IFERROR(INDEX($AA$3:$AA$10000,MATCH(ROWS($AC$3:AC2177),$AC$3:$AC$10000,0)),"")</f>
        <v/>
      </c>
      <c r="AE2177" s="117" t="str">
        <f>+'Packing Material - Cost'!A2178</f>
        <v/>
      </c>
    </row>
    <row r="2178" spans="27:31">
      <c r="AA2178" s="117">
        <f>+'Ingredient List - Mother Tinctu'!D2179</f>
        <v>0</v>
      </c>
      <c r="AB2178" s="117">
        <f t="shared" si="36"/>
        <v>0</v>
      </c>
      <c r="AC2178" s="117" t="str">
        <f>IF(AB2178=1,COUNTIF($AB$3:AB2178,1),"")</f>
        <v/>
      </c>
      <c r="AD2178" s="117" t="str">
        <f>IFERROR(INDEX($AA$3:$AA$10000,MATCH(ROWS($AC$3:AC2178),$AC$3:$AC$10000,0)),"")</f>
        <v/>
      </c>
      <c r="AE2178" s="117" t="str">
        <f>+'Packing Material - Cost'!A2179</f>
        <v/>
      </c>
    </row>
    <row r="2179" spans="27:31">
      <c r="AA2179" s="117">
        <f>+'Ingredient List - Mother Tinctu'!D2180</f>
        <v>0</v>
      </c>
      <c r="AB2179" s="117">
        <f t="shared" si="36"/>
        <v>0</v>
      </c>
      <c r="AC2179" s="117" t="str">
        <f>IF(AB2179=1,COUNTIF($AB$3:AB2179,1),"")</f>
        <v/>
      </c>
      <c r="AD2179" s="117" t="str">
        <f>IFERROR(INDEX($AA$3:$AA$10000,MATCH(ROWS($AC$3:AC2179),$AC$3:$AC$10000,0)),"")</f>
        <v/>
      </c>
      <c r="AE2179" s="117" t="str">
        <f>+'Packing Material - Cost'!A2180</f>
        <v/>
      </c>
    </row>
    <row r="2180" spans="27:31">
      <c r="AA2180" s="117">
        <f>+'Ingredient List - Mother Tinctu'!D2181</f>
        <v>0</v>
      </c>
      <c r="AB2180" s="117">
        <f t="shared" ref="AB2180:AB2243" si="37">--ISNUMBER(IFERROR(SEARCH($D$3,AA2180,1),""))</f>
        <v>0</v>
      </c>
      <c r="AC2180" s="117" t="str">
        <f>IF(AB2180=1,COUNTIF($AB$3:AB2180,1),"")</f>
        <v/>
      </c>
      <c r="AD2180" s="117" t="str">
        <f>IFERROR(INDEX($AA$3:$AA$10000,MATCH(ROWS($AC$3:AC2180),$AC$3:$AC$10000,0)),"")</f>
        <v/>
      </c>
      <c r="AE2180" s="117" t="str">
        <f>+'Packing Material - Cost'!A2181</f>
        <v/>
      </c>
    </row>
    <row r="2181" spans="27:31">
      <c r="AA2181" s="117">
        <f>+'Ingredient List - Mother Tinctu'!D2182</f>
        <v>0</v>
      </c>
      <c r="AB2181" s="117">
        <f t="shared" si="37"/>
        <v>0</v>
      </c>
      <c r="AC2181" s="117" t="str">
        <f>IF(AB2181=1,COUNTIF($AB$3:AB2181,1),"")</f>
        <v/>
      </c>
      <c r="AD2181" s="117" t="str">
        <f>IFERROR(INDEX($AA$3:$AA$10000,MATCH(ROWS($AC$3:AC2181),$AC$3:$AC$10000,0)),"")</f>
        <v/>
      </c>
      <c r="AE2181" s="117" t="str">
        <f>+'Packing Material - Cost'!A2182</f>
        <v/>
      </c>
    </row>
    <row r="2182" spans="27:31">
      <c r="AA2182" s="117">
        <f>+'Ingredient List - Mother Tinctu'!D2183</f>
        <v>0</v>
      </c>
      <c r="AB2182" s="117">
        <f t="shared" si="37"/>
        <v>0</v>
      </c>
      <c r="AC2182" s="117" t="str">
        <f>IF(AB2182=1,COUNTIF($AB$3:AB2182,1),"")</f>
        <v/>
      </c>
      <c r="AD2182" s="117" t="str">
        <f>IFERROR(INDEX($AA$3:$AA$10000,MATCH(ROWS($AC$3:AC2182),$AC$3:$AC$10000,0)),"")</f>
        <v/>
      </c>
      <c r="AE2182" s="117" t="str">
        <f>+'Packing Material - Cost'!A2183</f>
        <v/>
      </c>
    </row>
    <row r="2183" spans="27:31">
      <c r="AA2183" s="117">
        <f>+'Ingredient List - Mother Tinctu'!D2184</f>
        <v>0</v>
      </c>
      <c r="AB2183" s="117">
        <f t="shared" si="37"/>
        <v>0</v>
      </c>
      <c r="AC2183" s="117" t="str">
        <f>IF(AB2183=1,COUNTIF($AB$3:AB2183,1),"")</f>
        <v/>
      </c>
      <c r="AD2183" s="117" t="str">
        <f>IFERROR(INDEX($AA$3:$AA$10000,MATCH(ROWS($AC$3:AC2183),$AC$3:$AC$10000,0)),"")</f>
        <v/>
      </c>
      <c r="AE2183" s="117" t="str">
        <f>+'Packing Material - Cost'!A2184</f>
        <v/>
      </c>
    </row>
    <row r="2184" spans="27:31">
      <c r="AA2184" s="117">
        <f>+'Ingredient List - Mother Tinctu'!D2185</f>
        <v>0</v>
      </c>
      <c r="AB2184" s="117">
        <f t="shared" si="37"/>
        <v>0</v>
      </c>
      <c r="AC2184" s="117" t="str">
        <f>IF(AB2184=1,COUNTIF($AB$3:AB2184,1),"")</f>
        <v/>
      </c>
      <c r="AD2184" s="117" t="str">
        <f>IFERROR(INDEX($AA$3:$AA$10000,MATCH(ROWS($AC$3:AC2184),$AC$3:$AC$10000,0)),"")</f>
        <v/>
      </c>
      <c r="AE2184" s="117" t="str">
        <f>+'Packing Material - Cost'!A2185</f>
        <v/>
      </c>
    </row>
    <row r="2185" spans="27:31">
      <c r="AA2185" s="117">
        <f>+'Ingredient List - Mother Tinctu'!D2186</f>
        <v>0</v>
      </c>
      <c r="AB2185" s="117">
        <f t="shared" si="37"/>
        <v>0</v>
      </c>
      <c r="AC2185" s="117" t="str">
        <f>IF(AB2185=1,COUNTIF($AB$3:AB2185,1),"")</f>
        <v/>
      </c>
      <c r="AD2185" s="117" t="str">
        <f>IFERROR(INDEX($AA$3:$AA$10000,MATCH(ROWS($AC$3:AC2185),$AC$3:$AC$10000,0)),"")</f>
        <v/>
      </c>
      <c r="AE2185" s="117" t="str">
        <f>+'Packing Material - Cost'!A2186</f>
        <v/>
      </c>
    </row>
    <row r="2186" spans="27:31">
      <c r="AA2186" s="117">
        <f>+'Ingredient List - Mother Tinctu'!D2187</f>
        <v>0</v>
      </c>
      <c r="AB2186" s="117">
        <f t="shared" si="37"/>
        <v>0</v>
      </c>
      <c r="AC2186" s="117" t="str">
        <f>IF(AB2186=1,COUNTIF($AB$3:AB2186,1),"")</f>
        <v/>
      </c>
      <c r="AD2186" s="117" t="str">
        <f>IFERROR(INDEX($AA$3:$AA$10000,MATCH(ROWS($AC$3:AC2186),$AC$3:$AC$10000,0)),"")</f>
        <v/>
      </c>
      <c r="AE2186" s="117" t="str">
        <f>+'Packing Material - Cost'!A2187</f>
        <v/>
      </c>
    </row>
    <row r="2187" spans="27:31">
      <c r="AA2187" s="117">
        <f>+'Ingredient List - Mother Tinctu'!D2188</f>
        <v>0</v>
      </c>
      <c r="AB2187" s="117">
        <f t="shared" si="37"/>
        <v>0</v>
      </c>
      <c r="AC2187" s="117" t="str">
        <f>IF(AB2187=1,COUNTIF($AB$3:AB2187,1),"")</f>
        <v/>
      </c>
      <c r="AD2187" s="117" t="str">
        <f>IFERROR(INDEX($AA$3:$AA$10000,MATCH(ROWS($AC$3:AC2187),$AC$3:$AC$10000,0)),"")</f>
        <v/>
      </c>
      <c r="AE2187" s="117" t="str">
        <f>+'Packing Material - Cost'!A2188</f>
        <v/>
      </c>
    </row>
    <row r="2188" spans="27:31">
      <c r="AA2188" s="117">
        <f>+'Ingredient List - Mother Tinctu'!D2189</f>
        <v>0</v>
      </c>
      <c r="AB2188" s="117">
        <f t="shared" si="37"/>
        <v>0</v>
      </c>
      <c r="AC2188" s="117" t="str">
        <f>IF(AB2188=1,COUNTIF($AB$3:AB2188,1),"")</f>
        <v/>
      </c>
      <c r="AD2188" s="117" t="str">
        <f>IFERROR(INDEX($AA$3:$AA$10000,MATCH(ROWS($AC$3:AC2188),$AC$3:$AC$10000,0)),"")</f>
        <v/>
      </c>
      <c r="AE2188" s="117" t="str">
        <f>+'Packing Material - Cost'!A2189</f>
        <v/>
      </c>
    </row>
    <row r="2189" spans="27:31">
      <c r="AA2189" s="117">
        <f>+'Ingredient List - Mother Tinctu'!D2190</f>
        <v>0</v>
      </c>
      <c r="AB2189" s="117">
        <f t="shared" si="37"/>
        <v>0</v>
      </c>
      <c r="AC2189" s="117" t="str">
        <f>IF(AB2189=1,COUNTIF($AB$3:AB2189,1),"")</f>
        <v/>
      </c>
      <c r="AD2189" s="117" t="str">
        <f>IFERROR(INDEX($AA$3:$AA$10000,MATCH(ROWS($AC$3:AC2189),$AC$3:$AC$10000,0)),"")</f>
        <v/>
      </c>
      <c r="AE2189" s="117" t="str">
        <f>+'Packing Material - Cost'!A2190</f>
        <v/>
      </c>
    </row>
    <row r="2190" spans="27:31">
      <c r="AA2190" s="117">
        <f>+'Ingredient List - Mother Tinctu'!D2191</f>
        <v>0</v>
      </c>
      <c r="AB2190" s="117">
        <f t="shared" si="37"/>
        <v>0</v>
      </c>
      <c r="AC2190" s="117" t="str">
        <f>IF(AB2190=1,COUNTIF($AB$3:AB2190,1),"")</f>
        <v/>
      </c>
      <c r="AD2190" s="117" t="str">
        <f>IFERROR(INDEX($AA$3:$AA$10000,MATCH(ROWS($AC$3:AC2190),$AC$3:$AC$10000,0)),"")</f>
        <v/>
      </c>
      <c r="AE2190" s="117" t="str">
        <f>+'Packing Material - Cost'!A2191</f>
        <v/>
      </c>
    </row>
    <row r="2191" spans="27:31">
      <c r="AA2191" s="117">
        <f>+'Ingredient List - Mother Tinctu'!D2192</f>
        <v>0</v>
      </c>
      <c r="AB2191" s="117">
        <f t="shared" si="37"/>
        <v>0</v>
      </c>
      <c r="AC2191" s="117" t="str">
        <f>IF(AB2191=1,COUNTIF($AB$3:AB2191,1),"")</f>
        <v/>
      </c>
      <c r="AD2191" s="117" t="str">
        <f>IFERROR(INDEX($AA$3:$AA$10000,MATCH(ROWS($AC$3:AC2191),$AC$3:$AC$10000,0)),"")</f>
        <v/>
      </c>
      <c r="AE2191" s="117" t="str">
        <f>+'Packing Material - Cost'!A2192</f>
        <v/>
      </c>
    </row>
    <row r="2192" spans="27:31">
      <c r="AA2192" s="117">
        <f>+'Ingredient List - Mother Tinctu'!D2193</f>
        <v>0</v>
      </c>
      <c r="AB2192" s="117">
        <f t="shared" si="37"/>
        <v>0</v>
      </c>
      <c r="AC2192" s="117" t="str">
        <f>IF(AB2192=1,COUNTIF($AB$3:AB2192,1),"")</f>
        <v/>
      </c>
      <c r="AD2192" s="117" t="str">
        <f>IFERROR(INDEX($AA$3:$AA$10000,MATCH(ROWS($AC$3:AC2192),$AC$3:$AC$10000,0)),"")</f>
        <v/>
      </c>
      <c r="AE2192" s="117" t="str">
        <f>+'Packing Material - Cost'!A2193</f>
        <v/>
      </c>
    </row>
    <row r="2193" spans="27:31">
      <c r="AA2193" s="117">
        <f>+'Ingredient List - Mother Tinctu'!D2194</f>
        <v>0</v>
      </c>
      <c r="AB2193" s="117">
        <f t="shared" si="37"/>
        <v>0</v>
      </c>
      <c r="AC2193" s="117" t="str">
        <f>IF(AB2193=1,COUNTIF($AB$3:AB2193,1),"")</f>
        <v/>
      </c>
      <c r="AD2193" s="117" t="str">
        <f>IFERROR(INDEX($AA$3:$AA$10000,MATCH(ROWS($AC$3:AC2193),$AC$3:$AC$10000,0)),"")</f>
        <v/>
      </c>
      <c r="AE2193" s="117" t="str">
        <f>+'Packing Material - Cost'!A2194</f>
        <v/>
      </c>
    </row>
    <row r="2194" spans="27:31">
      <c r="AA2194" s="117">
        <f>+'Ingredient List - Mother Tinctu'!D2195</f>
        <v>0</v>
      </c>
      <c r="AB2194" s="117">
        <f t="shared" si="37"/>
        <v>0</v>
      </c>
      <c r="AC2194" s="117" t="str">
        <f>IF(AB2194=1,COUNTIF($AB$3:AB2194,1),"")</f>
        <v/>
      </c>
      <c r="AD2194" s="117" t="str">
        <f>IFERROR(INDEX($AA$3:$AA$10000,MATCH(ROWS($AC$3:AC2194),$AC$3:$AC$10000,0)),"")</f>
        <v/>
      </c>
      <c r="AE2194" s="117" t="str">
        <f>+'Packing Material - Cost'!A2195</f>
        <v/>
      </c>
    </row>
    <row r="2195" spans="27:31">
      <c r="AA2195" s="117">
        <f>+'Ingredient List - Mother Tinctu'!D2196</f>
        <v>0</v>
      </c>
      <c r="AB2195" s="117">
        <f t="shared" si="37"/>
        <v>0</v>
      </c>
      <c r="AC2195" s="117" t="str">
        <f>IF(AB2195=1,COUNTIF($AB$3:AB2195,1),"")</f>
        <v/>
      </c>
      <c r="AD2195" s="117" t="str">
        <f>IFERROR(INDEX($AA$3:$AA$10000,MATCH(ROWS($AC$3:AC2195),$AC$3:$AC$10000,0)),"")</f>
        <v/>
      </c>
      <c r="AE2195" s="117" t="str">
        <f>+'Packing Material - Cost'!A2196</f>
        <v/>
      </c>
    </row>
    <row r="2196" spans="27:31">
      <c r="AA2196" s="117">
        <f>+'Ingredient List - Mother Tinctu'!D2197</f>
        <v>0</v>
      </c>
      <c r="AB2196" s="117">
        <f t="shared" si="37"/>
        <v>0</v>
      </c>
      <c r="AC2196" s="117" t="str">
        <f>IF(AB2196=1,COUNTIF($AB$3:AB2196,1),"")</f>
        <v/>
      </c>
      <c r="AD2196" s="117" t="str">
        <f>IFERROR(INDEX($AA$3:$AA$10000,MATCH(ROWS($AC$3:AC2196),$AC$3:$AC$10000,0)),"")</f>
        <v/>
      </c>
      <c r="AE2196" s="117" t="str">
        <f>+'Packing Material - Cost'!A2197</f>
        <v/>
      </c>
    </row>
    <row r="2197" spans="27:31">
      <c r="AA2197" s="117">
        <f>+'Ingredient List - Mother Tinctu'!D2198</f>
        <v>0</v>
      </c>
      <c r="AB2197" s="117">
        <f t="shared" si="37"/>
        <v>0</v>
      </c>
      <c r="AC2197" s="117" t="str">
        <f>IF(AB2197=1,COUNTIF($AB$3:AB2197,1),"")</f>
        <v/>
      </c>
      <c r="AD2197" s="117" t="str">
        <f>IFERROR(INDEX($AA$3:$AA$10000,MATCH(ROWS($AC$3:AC2197),$AC$3:$AC$10000,0)),"")</f>
        <v/>
      </c>
      <c r="AE2197" s="117" t="str">
        <f>+'Packing Material - Cost'!A2198</f>
        <v/>
      </c>
    </row>
    <row r="2198" spans="27:31">
      <c r="AA2198" s="117">
        <f>+'Ingredient List - Mother Tinctu'!D2199</f>
        <v>0</v>
      </c>
      <c r="AB2198" s="117">
        <f t="shared" si="37"/>
        <v>0</v>
      </c>
      <c r="AC2198" s="117" t="str">
        <f>IF(AB2198=1,COUNTIF($AB$3:AB2198,1),"")</f>
        <v/>
      </c>
      <c r="AD2198" s="117" t="str">
        <f>IFERROR(INDEX($AA$3:$AA$10000,MATCH(ROWS($AC$3:AC2198),$AC$3:$AC$10000,0)),"")</f>
        <v/>
      </c>
      <c r="AE2198" s="117" t="str">
        <f>+'Packing Material - Cost'!A2199</f>
        <v/>
      </c>
    </row>
    <row r="2199" spans="27:31">
      <c r="AA2199" s="117">
        <f>+'Ingredient List - Mother Tinctu'!D2200</f>
        <v>0</v>
      </c>
      <c r="AB2199" s="117">
        <f t="shared" si="37"/>
        <v>0</v>
      </c>
      <c r="AC2199" s="117" t="str">
        <f>IF(AB2199=1,COUNTIF($AB$3:AB2199,1),"")</f>
        <v/>
      </c>
      <c r="AD2199" s="117" t="str">
        <f>IFERROR(INDEX($AA$3:$AA$10000,MATCH(ROWS($AC$3:AC2199),$AC$3:$AC$10000,0)),"")</f>
        <v/>
      </c>
      <c r="AE2199" s="117" t="str">
        <f>+'Packing Material - Cost'!A2200</f>
        <v/>
      </c>
    </row>
    <row r="2200" spans="27:31">
      <c r="AA2200" s="117">
        <f>+'Ingredient List - Mother Tinctu'!D2201</f>
        <v>0</v>
      </c>
      <c r="AB2200" s="117">
        <f t="shared" si="37"/>
        <v>0</v>
      </c>
      <c r="AC2200" s="117" t="str">
        <f>IF(AB2200=1,COUNTIF($AB$3:AB2200,1),"")</f>
        <v/>
      </c>
      <c r="AD2200" s="117" t="str">
        <f>IFERROR(INDEX($AA$3:$AA$10000,MATCH(ROWS($AC$3:AC2200),$AC$3:$AC$10000,0)),"")</f>
        <v/>
      </c>
      <c r="AE2200" s="117" t="str">
        <f>+'Packing Material - Cost'!A2201</f>
        <v/>
      </c>
    </row>
    <row r="2201" spans="27:31">
      <c r="AA2201" s="117">
        <f>+'Ingredient List - Mother Tinctu'!D2202</f>
        <v>0</v>
      </c>
      <c r="AB2201" s="117">
        <f t="shared" si="37"/>
        <v>0</v>
      </c>
      <c r="AC2201" s="117" t="str">
        <f>IF(AB2201=1,COUNTIF($AB$3:AB2201,1),"")</f>
        <v/>
      </c>
      <c r="AD2201" s="117" t="str">
        <f>IFERROR(INDEX($AA$3:$AA$10000,MATCH(ROWS($AC$3:AC2201),$AC$3:$AC$10000,0)),"")</f>
        <v/>
      </c>
      <c r="AE2201" s="117" t="str">
        <f>+'Packing Material - Cost'!A2202</f>
        <v/>
      </c>
    </row>
    <row r="2202" spans="27:31">
      <c r="AA2202" s="117">
        <f>+'Ingredient List - Mother Tinctu'!D2203</f>
        <v>0</v>
      </c>
      <c r="AB2202" s="117">
        <f t="shared" si="37"/>
        <v>0</v>
      </c>
      <c r="AC2202" s="117" t="str">
        <f>IF(AB2202=1,COUNTIF($AB$3:AB2202,1),"")</f>
        <v/>
      </c>
      <c r="AD2202" s="117" t="str">
        <f>IFERROR(INDEX($AA$3:$AA$10000,MATCH(ROWS($AC$3:AC2202),$AC$3:$AC$10000,0)),"")</f>
        <v/>
      </c>
      <c r="AE2202" s="117" t="str">
        <f>+'Packing Material - Cost'!A2203</f>
        <v/>
      </c>
    </row>
    <row r="2203" spans="27:31">
      <c r="AA2203" s="117">
        <f>+'Ingredient List - Mother Tinctu'!D2204</f>
        <v>0</v>
      </c>
      <c r="AB2203" s="117">
        <f t="shared" si="37"/>
        <v>0</v>
      </c>
      <c r="AC2203" s="117" t="str">
        <f>IF(AB2203=1,COUNTIF($AB$3:AB2203,1),"")</f>
        <v/>
      </c>
      <c r="AD2203" s="117" t="str">
        <f>IFERROR(INDEX($AA$3:$AA$10000,MATCH(ROWS($AC$3:AC2203),$AC$3:$AC$10000,0)),"")</f>
        <v/>
      </c>
      <c r="AE2203" s="117" t="str">
        <f>+'Packing Material - Cost'!A2204</f>
        <v/>
      </c>
    </row>
    <row r="2204" spans="27:31">
      <c r="AA2204" s="117">
        <f>+'Ingredient List - Mother Tinctu'!D2205</f>
        <v>0</v>
      </c>
      <c r="AB2204" s="117">
        <f t="shared" si="37"/>
        <v>0</v>
      </c>
      <c r="AC2204" s="117" t="str">
        <f>IF(AB2204=1,COUNTIF($AB$3:AB2204,1),"")</f>
        <v/>
      </c>
      <c r="AD2204" s="117" t="str">
        <f>IFERROR(INDEX($AA$3:$AA$10000,MATCH(ROWS($AC$3:AC2204),$AC$3:$AC$10000,0)),"")</f>
        <v/>
      </c>
      <c r="AE2204" s="117" t="str">
        <f>+'Packing Material - Cost'!A2205</f>
        <v/>
      </c>
    </row>
    <row r="2205" spans="27:31">
      <c r="AA2205" s="117">
        <f>+'Ingredient List - Mother Tinctu'!D2206</f>
        <v>0</v>
      </c>
      <c r="AB2205" s="117">
        <f t="shared" si="37"/>
        <v>0</v>
      </c>
      <c r="AC2205" s="117" t="str">
        <f>IF(AB2205=1,COUNTIF($AB$3:AB2205,1),"")</f>
        <v/>
      </c>
      <c r="AD2205" s="117" t="str">
        <f>IFERROR(INDEX($AA$3:$AA$10000,MATCH(ROWS($AC$3:AC2205),$AC$3:$AC$10000,0)),"")</f>
        <v/>
      </c>
      <c r="AE2205" s="117" t="str">
        <f>+'Packing Material - Cost'!A2206</f>
        <v/>
      </c>
    </row>
    <row r="2206" spans="27:31">
      <c r="AA2206" s="117">
        <f>+'Ingredient List - Mother Tinctu'!D2207</f>
        <v>0</v>
      </c>
      <c r="AB2206" s="117">
        <f t="shared" si="37"/>
        <v>0</v>
      </c>
      <c r="AC2206" s="117" t="str">
        <f>IF(AB2206=1,COUNTIF($AB$3:AB2206,1),"")</f>
        <v/>
      </c>
      <c r="AD2206" s="117" t="str">
        <f>IFERROR(INDEX($AA$3:$AA$10000,MATCH(ROWS($AC$3:AC2206),$AC$3:$AC$10000,0)),"")</f>
        <v/>
      </c>
      <c r="AE2206" s="117" t="str">
        <f>+'Packing Material - Cost'!A2207</f>
        <v/>
      </c>
    </row>
    <row r="2207" spans="27:31">
      <c r="AA2207" s="117">
        <f>+'Ingredient List - Mother Tinctu'!D2208</f>
        <v>0</v>
      </c>
      <c r="AB2207" s="117">
        <f t="shared" si="37"/>
        <v>0</v>
      </c>
      <c r="AC2207" s="117" t="str">
        <f>IF(AB2207=1,COUNTIF($AB$3:AB2207,1),"")</f>
        <v/>
      </c>
      <c r="AD2207" s="117" t="str">
        <f>IFERROR(INDEX($AA$3:$AA$10000,MATCH(ROWS($AC$3:AC2207),$AC$3:$AC$10000,0)),"")</f>
        <v/>
      </c>
      <c r="AE2207" s="117" t="str">
        <f>+'Packing Material - Cost'!A2208</f>
        <v/>
      </c>
    </row>
    <row r="2208" spans="27:31">
      <c r="AA2208" s="117">
        <f>+'Ingredient List - Mother Tinctu'!D2209</f>
        <v>0</v>
      </c>
      <c r="AB2208" s="117">
        <f t="shared" si="37"/>
        <v>0</v>
      </c>
      <c r="AC2208" s="117" t="str">
        <f>IF(AB2208=1,COUNTIF($AB$3:AB2208,1),"")</f>
        <v/>
      </c>
      <c r="AD2208" s="117" t="str">
        <f>IFERROR(INDEX($AA$3:$AA$10000,MATCH(ROWS($AC$3:AC2208),$AC$3:$AC$10000,0)),"")</f>
        <v/>
      </c>
      <c r="AE2208" s="117" t="str">
        <f>+'Packing Material - Cost'!A2209</f>
        <v/>
      </c>
    </row>
    <row r="2209" spans="27:31">
      <c r="AA2209" s="117">
        <f>+'Ingredient List - Mother Tinctu'!D2210</f>
        <v>0</v>
      </c>
      <c r="AB2209" s="117">
        <f t="shared" si="37"/>
        <v>0</v>
      </c>
      <c r="AC2209" s="117" t="str">
        <f>IF(AB2209=1,COUNTIF($AB$3:AB2209,1),"")</f>
        <v/>
      </c>
      <c r="AD2209" s="117" t="str">
        <f>IFERROR(INDEX($AA$3:$AA$10000,MATCH(ROWS($AC$3:AC2209),$AC$3:$AC$10000,0)),"")</f>
        <v/>
      </c>
      <c r="AE2209" s="117" t="str">
        <f>+'Packing Material - Cost'!A2210</f>
        <v/>
      </c>
    </row>
    <row r="2210" spans="27:31">
      <c r="AA2210" s="117">
        <f>+'Ingredient List - Mother Tinctu'!D2211</f>
        <v>0</v>
      </c>
      <c r="AB2210" s="117">
        <f t="shared" si="37"/>
        <v>0</v>
      </c>
      <c r="AC2210" s="117" t="str">
        <f>IF(AB2210=1,COUNTIF($AB$3:AB2210,1),"")</f>
        <v/>
      </c>
      <c r="AD2210" s="117" t="str">
        <f>IFERROR(INDEX($AA$3:$AA$10000,MATCH(ROWS($AC$3:AC2210),$AC$3:$AC$10000,0)),"")</f>
        <v/>
      </c>
      <c r="AE2210" s="117" t="str">
        <f>+'Packing Material - Cost'!A2211</f>
        <v/>
      </c>
    </row>
    <row r="2211" spans="27:31">
      <c r="AA2211" s="117">
        <f>+'Ingredient List - Mother Tinctu'!D2212</f>
        <v>0</v>
      </c>
      <c r="AB2211" s="117">
        <f t="shared" si="37"/>
        <v>0</v>
      </c>
      <c r="AC2211" s="117" t="str">
        <f>IF(AB2211=1,COUNTIF($AB$3:AB2211,1),"")</f>
        <v/>
      </c>
      <c r="AD2211" s="117" t="str">
        <f>IFERROR(INDEX($AA$3:$AA$10000,MATCH(ROWS($AC$3:AC2211),$AC$3:$AC$10000,0)),"")</f>
        <v/>
      </c>
      <c r="AE2211" s="117" t="str">
        <f>+'Packing Material - Cost'!A2212</f>
        <v/>
      </c>
    </row>
    <row r="2212" spans="27:31">
      <c r="AA2212" s="117">
        <f>+'Ingredient List - Mother Tinctu'!D2213</f>
        <v>0</v>
      </c>
      <c r="AB2212" s="117">
        <f t="shared" si="37"/>
        <v>0</v>
      </c>
      <c r="AC2212" s="117" t="str">
        <f>IF(AB2212=1,COUNTIF($AB$3:AB2212,1),"")</f>
        <v/>
      </c>
      <c r="AD2212" s="117" t="str">
        <f>IFERROR(INDEX($AA$3:$AA$10000,MATCH(ROWS($AC$3:AC2212),$AC$3:$AC$10000,0)),"")</f>
        <v/>
      </c>
      <c r="AE2212" s="117" t="str">
        <f>+'Packing Material - Cost'!A2213</f>
        <v/>
      </c>
    </row>
    <row r="2213" spans="27:31">
      <c r="AA2213" s="117">
        <f>+'Ingredient List - Mother Tinctu'!D2214</f>
        <v>0</v>
      </c>
      <c r="AB2213" s="117">
        <f t="shared" si="37"/>
        <v>0</v>
      </c>
      <c r="AC2213" s="117" t="str">
        <f>IF(AB2213=1,COUNTIF($AB$3:AB2213,1),"")</f>
        <v/>
      </c>
      <c r="AD2213" s="117" t="str">
        <f>IFERROR(INDEX($AA$3:$AA$10000,MATCH(ROWS($AC$3:AC2213),$AC$3:$AC$10000,0)),"")</f>
        <v/>
      </c>
      <c r="AE2213" s="117" t="str">
        <f>+'Packing Material - Cost'!A2214</f>
        <v/>
      </c>
    </row>
    <row r="2214" spans="27:31">
      <c r="AA2214" s="117">
        <f>+'Ingredient List - Mother Tinctu'!D2215</f>
        <v>0</v>
      </c>
      <c r="AB2214" s="117">
        <f t="shared" si="37"/>
        <v>0</v>
      </c>
      <c r="AC2214" s="117" t="str">
        <f>IF(AB2214=1,COUNTIF($AB$3:AB2214,1),"")</f>
        <v/>
      </c>
      <c r="AD2214" s="117" t="str">
        <f>IFERROR(INDEX($AA$3:$AA$10000,MATCH(ROWS($AC$3:AC2214),$AC$3:$AC$10000,0)),"")</f>
        <v/>
      </c>
      <c r="AE2214" s="117" t="str">
        <f>+'Packing Material - Cost'!A2215</f>
        <v/>
      </c>
    </row>
    <row r="2215" spans="27:31">
      <c r="AA2215" s="117">
        <f>+'Ingredient List - Mother Tinctu'!D2216</f>
        <v>0</v>
      </c>
      <c r="AB2215" s="117">
        <f t="shared" si="37"/>
        <v>0</v>
      </c>
      <c r="AC2215" s="117" t="str">
        <f>IF(AB2215=1,COUNTIF($AB$3:AB2215,1),"")</f>
        <v/>
      </c>
      <c r="AD2215" s="117" t="str">
        <f>IFERROR(INDEX($AA$3:$AA$10000,MATCH(ROWS($AC$3:AC2215),$AC$3:$AC$10000,0)),"")</f>
        <v/>
      </c>
      <c r="AE2215" s="117" t="str">
        <f>+'Packing Material - Cost'!A2216</f>
        <v/>
      </c>
    </row>
    <row r="2216" spans="27:31">
      <c r="AA2216" s="117">
        <f>+'Ingredient List - Mother Tinctu'!D2217</f>
        <v>0</v>
      </c>
      <c r="AB2216" s="117">
        <f t="shared" si="37"/>
        <v>0</v>
      </c>
      <c r="AC2216" s="117" t="str">
        <f>IF(AB2216=1,COUNTIF($AB$3:AB2216,1),"")</f>
        <v/>
      </c>
      <c r="AD2216" s="117" t="str">
        <f>IFERROR(INDEX($AA$3:$AA$10000,MATCH(ROWS($AC$3:AC2216),$AC$3:$AC$10000,0)),"")</f>
        <v/>
      </c>
      <c r="AE2216" s="117" t="str">
        <f>+'Packing Material - Cost'!A2217</f>
        <v/>
      </c>
    </row>
    <row r="2217" spans="27:31">
      <c r="AA2217" s="117">
        <f>+'Ingredient List - Mother Tinctu'!D2218</f>
        <v>0</v>
      </c>
      <c r="AB2217" s="117">
        <f t="shared" si="37"/>
        <v>0</v>
      </c>
      <c r="AC2217" s="117" t="str">
        <f>IF(AB2217=1,COUNTIF($AB$3:AB2217,1),"")</f>
        <v/>
      </c>
      <c r="AD2217" s="117" t="str">
        <f>IFERROR(INDEX($AA$3:$AA$10000,MATCH(ROWS($AC$3:AC2217),$AC$3:$AC$10000,0)),"")</f>
        <v/>
      </c>
      <c r="AE2217" s="117" t="str">
        <f>+'Packing Material - Cost'!A2218</f>
        <v/>
      </c>
    </row>
    <row r="2218" spans="27:31">
      <c r="AA2218" s="117">
        <f>+'Ingredient List - Mother Tinctu'!D2219</f>
        <v>0</v>
      </c>
      <c r="AB2218" s="117">
        <f t="shared" si="37"/>
        <v>0</v>
      </c>
      <c r="AC2218" s="117" t="str">
        <f>IF(AB2218=1,COUNTIF($AB$3:AB2218,1),"")</f>
        <v/>
      </c>
      <c r="AD2218" s="117" t="str">
        <f>IFERROR(INDEX($AA$3:$AA$10000,MATCH(ROWS($AC$3:AC2218),$AC$3:$AC$10000,0)),"")</f>
        <v/>
      </c>
      <c r="AE2218" s="117" t="str">
        <f>+'Packing Material - Cost'!A2219</f>
        <v/>
      </c>
    </row>
    <row r="2219" spans="27:31">
      <c r="AA2219" s="117">
        <f>+'Ingredient List - Mother Tinctu'!D2220</f>
        <v>0</v>
      </c>
      <c r="AB2219" s="117">
        <f t="shared" si="37"/>
        <v>0</v>
      </c>
      <c r="AC2219" s="117" t="str">
        <f>IF(AB2219=1,COUNTIF($AB$3:AB2219,1),"")</f>
        <v/>
      </c>
      <c r="AD2219" s="117" t="str">
        <f>IFERROR(INDEX($AA$3:$AA$10000,MATCH(ROWS($AC$3:AC2219),$AC$3:$AC$10000,0)),"")</f>
        <v/>
      </c>
      <c r="AE2219" s="117" t="str">
        <f>+'Packing Material - Cost'!A2220</f>
        <v/>
      </c>
    </row>
    <row r="2220" spans="27:31">
      <c r="AA2220" s="117">
        <f>+'Ingredient List - Mother Tinctu'!D2221</f>
        <v>0</v>
      </c>
      <c r="AB2220" s="117">
        <f t="shared" si="37"/>
        <v>0</v>
      </c>
      <c r="AC2220" s="117" t="str">
        <f>IF(AB2220=1,COUNTIF($AB$3:AB2220,1),"")</f>
        <v/>
      </c>
      <c r="AD2220" s="117" t="str">
        <f>IFERROR(INDEX($AA$3:$AA$10000,MATCH(ROWS($AC$3:AC2220),$AC$3:$AC$10000,0)),"")</f>
        <v/>
      </c>
      <c r="AE2220" s="117" t="str">
        <f>+'Packing Material - Cost'!A2221</f>
        <v/>
      </c>
    </row>
    <row r="2221" spans="27:31">
      <c r="AA2221" s="117">
        <f>+'Ingredient List - Mother Tinctu'!D2222</f>
        <v>0</v>
      </c>
      <c r="AB2221" s="117">
        <f t="shared" si="37"/>
        <v>0</v>
      </c>
      <c r="AC2221" s="117" t="str">
        <f>IF(AB2221=1,COUNTIF($AB$3:AB2221,1),"")</f>
        <v/>
      </c>
      <c r="AD2221" s="117" t="str">
        <f>IFERROR(INDEX($AA$3:$AA$10000,MATCH(ROWS($AC$3:AC2221),$AC$3:$AC$10000,0)),"")</f>
        <v/>
      </c>
      <c r="AE2221" s="117" t="str">
        <f>+'Packing Material - Cost'!A2222</f>
        <v/>
      </c>
    </row>
    <row r="2222" spans="27:31">
      <c r="AA2222" s="117">
        <f>+'Ingredient List - Mother Tinctu'!D2223</f>
        <v>0</v>
      </c>
      <c r="AB2222" s="117">
        <f t="shared" si="37"/>
        <v>0</v>
      </c>
      <c r="AC2222" s="117" t="str">
        <f>IF(AB2222=1,COUNTIF($AB$3:AB2222,1),"")</f>
        <v/>
      </c>
      <c r="AD2222" s="117" t="str">
        <f>IFERROR(INDEX($AA$3:$AA$10000,MATCH(ROWS($AC$3:AC2222),$AC$3:$AC$10000,0)),"")</f>
        <v/>
      </c>
      <c r="AE2222" s="117" t="str">
        <f>+'Packing Material - Cost'!A2223</f>
        <v/>
      </c>
    </row>
    <row r="2223" spans="27:31">
      <c r="AA2223" s="117">
        <f>+'Ingredient List - Mother Tinctu'!D2224</f>
        <v>0</v>
      </c>
      <c r="AB2223" s="117">
        <f t="shared" si="37"/>
        <v>0</v>
      </c>
      <c r="AC2223" s="117" t="str">
        <f>IF(AB2223=1,COUNTIF($AB$3:AB2223,1),"")</f>
        <v/>
      </c>
      <c r="AD2223" s="117" t="str">
        <f>IFERROR(INDEX($AA$3:$AA$10000,MATCH(ROWS($AC$3:AC2223),$AC$3:$AC$10000,0)),"")</f>
        <v/>
      </c>
      <c r="AE2223" s="117" t="str">
        <f>+'Packing Material - Cost'!A2224</f>
        <v/>
      </c>
    </row>
    <row r="2224" spans="27:31">
      <c r="AA2224" s="117">
        <f>+'Ingredient List - Mother Tinctu'!D2225</f>
        <v>0</v>
      </c>
      <c r="AB2224" s="117">
        <f t="shared" si="37"/>
        <v>0</v>
      </c>
      <c r="AC2224" s="117" t="str">
        <f>IF(AB2224=1,COUNTIF($AB$3:AB2224,1),"")</f>
        <v/>
      </c>
      <c r="AD2224" s="117" t="str">
        <f>IFERROR(INDEX($AA$3:$AA$10000,MATCH(ROWS($AC$3:AC2224),$AC$3:$AC$10000,0)),"")</f>
        <v/>
      </c>
      <c r="AE2224" s="117" t="str">
        <f>+'Packing Material - Cost'!A2225</f>
        <v/>
      </c>
    </row>
    <row r="2225" spans="27:31">
      <c r="AA2225" s="117">
        <f>+'Ingredient List - Mother Tinctu'!D2226</f>
        <v>0</v>
      </c>
      <c r="AB2225" s="117">
        <f t="shared" si="37"/>
        <v>0</v>
      </c>
      <c r="AC2225" s="117" t="str">
        <f>IF(AB2225=1,COUNTIF($AB$3:AB2225,1),"")</f>
        <v/>
      </c>
      <c r="AD2225" s="117" t="str">
        <f>IFERROR(INDEX($AA$3:$AA$10000,MATCH(ROWS($AC$3:AC2225),$AC$3:$AC$10000,0)),"")</f>
        <v/>
      </c>
      <c r="AE2225" s="117" t="str">
        <f>+'Packing Material - Cost'!A2226</f>
        <v/>
      </c>
    </row>
    <row r="2226" spans="27:31">
      <c r="AA2226" s="117">
        <f>+'Ingredient List - Mother Tinctu'!D2227</f>
        <v>0</v>
      </c>
      <c r="AB2226" s="117">
        <f t="shared" si="37"/>
        <v>0</v>
      </c>
      <c r="AC2226" s="117" t="str">
        <f>IF(AB2226=1,COUNTIF($AB$3:AB2226,1),"")</f>
        <v/>
      </c>
      <c r="AD2226" s="117" t="str">
        <f>IFERROR(INDEX($AA$3:$AA$10000,MATCH(ROWS($AC$3:AC2226),$AC$3:$AC$10000,0)),"")</f>
        <v/>
      </c>
      <c r="AE2226" s="117" t="str">
        <f>+'Packing Material - Cost'!A2227</f>
        <v/>
      </c>
    </row>
    <row r="2227" spans="27:31">
      <c r="AA2227" s="117">
        <f>+'Ingredient List - Mother Tinctu'!D2228</f>
        <v>0</v>
      </c>
      <c r="AB2227" s="117">
        <f t="shared" si="37"/>
        <v>0</v>
      </c>
      <c r="AC2227" s="117" t="str">
        <f>IF(AB2227=1,COUNTIF($AB$3:AB2227,1),"")</f>
        <v/>
      </c>
      <c r="AD2227" s="117" t="str">
        <f>IFERROR(INDEX($AA$3:$AA$10000,MATCH(ROWS($AC$3:AC2227),$AC$3:$AC$10000,0)),"")</f>
        <v/>
      </c>
      <c r="AE2227" s="117" t="str">
        <f>+'Packing Material - Cost'!A2228</f>
        <v/>
      </c>
    </row>
    <row r="2228" spans="27:31">
      <c r="AA2228" s="117">
        <f>+'Ingredient List - Mother Tinctu'!D2229</f>
        <v>0</v>
      </c>
      <c r="AB2228" s="117">
        <f t="shared" si="37"/>
        <v>0</v>
      </c>
      <c r="AC2228" s="117" t="str">
        <f>IF(AB2228=1,COUNTIF($AB$3:AB2228,1),"")</f>
        <v/>
      </c>
      <c r="AD2228" s="117" t="str">
        <f>IFERROR(INDEX($AA$3:$AA$10000,MATCH(ROWS($AC$3:AC2228),$AC$3:$AC$10000,0)),"")</f>
        <v/>
      </c>
      <c r="AE2228" s="117" t="str">
        <f>+'Packing Material - Cost'!A2229</f>
        <v/>
      </c>
    </row>
    <row r="2229" spans="27:31">
      <c r="AA2229" s="117">
        <f>+'Ingredient List - Mother Tinctu'!D2230</f>
        <v>0</v>
      </c>
      <c r="AB2229" s="117">
        <f t="shared" si="37"/>
        <v>0</v>
      </c>
      <c r="AC2229" s="117" t="str">
        <f>IF(AB2229=1,COUNTIF($AB$3:AB2229,1),"")</f>
        <v/>
      </c>
      <c r="AD2229" s="117" t="str">
        <f>IFERROR(INDEX($AA$3:$AA$10000,MATCH(ROWS($AC$3:AC2229),$AC$3:$AC$10000,0)),"")</f>
        <v/>
      </c>
      <c r="AE2229" s="117" t="str">
        <f>+'Packing Material - Cost'!A2230</f>
        <v/>
      </c>
    </row>
    <row r="2230" spans="27:31">
      <c r="AA2230" s="117">
        <f>+'Ingredient List - Mother Tinctu'!D2231</f>
        <v>0</v>
      </c>
      <c r="AB2230" s="117">
        <f t="shared" si="37"/>
        <v>0</v>
      </c>
      <c r="AC2230" s="117" t="str">
        <f>IF(AB2230=1,COUNTIF($AB$3:AB2230,1),"")</f>
        <v/>
      </c>
      <c r="AD2230" s="117" t="str">
        <f>IFERROR(INDEX($AA$3:$AA$10000,MATCH(ROWS($AC$3:AC2230),$AC$3:$AC$10000,0)),"")</f>
        <v/>
      </c>
      <c r="AE2230" s="117" t="str">
        <f>+'Packing Material - Cost'!A2231</f>
        <v/>
      </c>
    </row>
    <row r="2231" spans="27:31">
      <c r="AA2231" s="117">
        <f>+'Ingredient List - Mother Tinctu'!D2232</f>
        <v>0</v>
      </c>
      <c r="AB2231" s="117">
        <f t="shared" si="37"/>
        <v>0</v>
      </c>
      <c r="AC2231" s="117" t="str">
        <f>IF(AB2231=1,COUNTIF($AB$3:AB2231,1),"")</f>
        <v/>
      </c>
      <c r="AD2231" s="117" t="str">
        <f>IFERROR(INDEX($AA$3:$AA$10000,MATCH(ROWS($AC$3:AC2231),$AC$3:$AC$10000,0)),"")</f>
        <v/>
      </c>
      <c r="AE2231" s="117" t="str">
        <f>+'Packing Material - Cost'!A2232</f>
        <v/>
      </c>
    </row>
    <row r="2232" spans="27:31">
      <c r="AA2232" s="117">
        <f>+'Ingredient List - Mother Tinctu'!D2233</f>
        <v>0</v>
      </c>
      <c r="AB2232" s="117">
        <f t="shared" si="37"/>
        <v>0</v>
      </c>
      <c r="AC2232" s="117" t="str">
        <f>IF(AB2232=1,COUNTIF($AB$3:AB2232,1),"")</f>
        <v/>
      </c>
      <c r="AD2232" s="117" t="str">
        <f>IFERROR(INDEX($AA$3:$AA$10000,MATCH(ROWS($AC$3:AC2232),$AC$3:$AC$10000,0)),"")</f>
        <v/>
      </c>
      <c r="AE2232" s="117" t="str">
        <f>+'Packing Material - Cost'!A2233</f>
        <v/>
      </c>
    </row>
    <row r="2233" spans="27:31">
      <c r="AA2233" s="117">
        <f>+'Ingredient List - Mother Tinctu'!D2234</f>
        <v>0</v>
      </c>
      <c r="AB2233" s="117">
        <f t="shared" si="37"/>
        <v>0</v>
      </c>
      <c r="AC2233" s="117" t="str">
        <f>IF(AB2233=1,COUNTIF($AB$3:AB2233,1),"")</f>
        <v/>
      </c>
      <c r="AD2233" s="117" t="str">
        <f>IFERROR(INDEX($AA$3:$AA$10000,MATCH(ROWS($AC$3:AC2233),$AC$3:$AC$10000,0)),"")</f>
        <v/>
      </c>
      <c r="AE2233" s="117" t="str">
        <f>+'Packing Material - Cost'!A2234</f>
        <v/>
      </c>
    </row>
    <row r="2234" spans="27:31">
      <c r="AA2234" s="117">
        <f>+'Ingredient List - Mother Tinctu'!D2235</f>
        <v>0</v>
      </c>
      <c r="AB2234" s="117">
        <f t="shared" si="37"/>
        <v>0</v>
      </c>
      <c r="AC2234" s="117" t="str">
        <f>IF(AB2234=1,COUNTIF($AB$3:AB2234,1),"")</f>
        <v/>
      </c>
      <c r="AD2234" s="117" t="str">
        <f>IFERROR(INDEX($AA$3:$AA$10000,MATCH(ROWS($AC$3:AC2234),$AC$3:$AC$10000,0)),"")</f>
        <v/>
      </c>
      <c r="AE2234" s="117" t="str">
        <f>+'Packing Material - Cost'!A2235</f>
        <v/>
      </c>
    </row>
    <row r="2235" spans="27:31">
      <c r="AA2235" s="117">
        <f>+'Ingredient List - Mother Tinctu'!D2236</f>
        <v>0</v>
      </c>
      <c r="AB2235" s="117">
        <f t="shared" si="37"/>
        <v>0</v>
      </c>
      <c r="AC2235" s="117" t="str">
        <f>IF(AB2235=1,COUNTIF($AB$3:AB2235,1),"")</f>
        <v/>
      </c>
      <c r="AD2235" s="117" t="str">
        <f>IFERROR(INDEX($AA$3:$AA$10000,MATCH(ROWS($AC$3:AC2235),$AC$3:$AC$10000,0)),"")</f>
        <v/>
      </c>
      <c r="AE2235" s="117" t="str">
        <f>+'Packing Material - Cost'!A2236</f>
        <v/>
      </c>
    </row>
    <row r="2236" spans="27:31">
      <c r="AA2236" s="117">
        <f>+'Ingredient List - Mother Tinctu'!D2237</f>
        <v>0</v>
      </c>
      <c r="AB2236" s="117">
        <f t="shared" si="37"/>
        <v>0</v>
      </c>
      <c r="AC2236" s="117" t="str">
        <f>IF(AB2236=1,COUNTIF($AB$3:AB2236,1),"")</f>
        <v/>
      </c>
      <c r="AD2236" s="117" t="str">
        <f>IFERROR(INDEX($AA$3:$AA$10000,MATCH(ROWS($AC$3:AC2236),$AC$3:$AC$10000,0)),"")</f>
        <v/>
      </c>
      <c r="AE2236" s="117" t="str">
        <f>+'Packing Material - Cost'!A2237</f>
        <v/>
      </c>
    </row>
    <row r="2237" spans="27:31">
      <c r="AA2237" s="117">
        <f>+'Ingredient List - Mother Tinctu'!D2238</f>
        <v>0</v>
      </c>
      <c r="AB2237" s="117">
        <f t="shared" si="37"/>
        <v>0</v>
      </c>
      <c r="AC2237" s="117" t="str">
        <f>IF(AB2237=1,COUNTIF($AB$3:AB2237,1),"")</f>
        <v/>
      </c>
      <c r="AD2237" s="117" t="str">
        <f>IFERROR(INDEX($AA$3:$AA$10000,MATCH(ROWS($AC$3:AC2237),$AC$3:$AC$10000,0)),"")</f>
        <v/>
      </c>
      <c r="AE2237" s="117" t="str">
        <f>+'Packing Material - Cost'!A2238</f>
        <v/>
      </c>
    </row>
    <row r="2238" spans="27:31">
      <c r="AA2238" s="117">
        <f>+'Ingredient List - Mother Tinctu'!D2239</f>
        <v>0</v>
      </c>
      <c r="AB2238" s="117">
        <f t="shared" si="37"/>
        <v>0</v>
      </c>
      <c r="AC2238" s="117" t="str">
        <f>IF(AB2238=1,COUNTIF($AB$3:AB2238,1),"")</f>
        <v/>
      </c>
      <c r="AD2238" s="117" t="str">
        <f>IFERROR(INDEX($AA$3:$AA$10000,MATCH(ROWS($AC$3:AC2238),$AC$3:$AC$10000,0)),"")</f>
        <v/>
      </c>
      <c r="AE2238" s="117" t="str">
        <f>+'Packing Material - Cost'!A2239</f>
        <v/>
      </c>
    </row>
    <row r="2239" spans="27:31">
      <c r="AA2239" s="117">
        <f>+'Ingredient List - Mother Tinctu'!D2240</f>
        <v>0</v>
      </c>
      <c r="AB2239" s="117">
        <f t="shared" si="37"/>
        <v>0</v>
      </c>
      <c r="AC2239" s="117" t="str">
        <f>IF(AB2239=1,COUNTIF($AB$3:AB2239,1),"")</f>
        <v/>
      </c>
      <c r="AD2239" s="117" t="str">
        <f>IFERROR(INDEX($AA$3:$AA$10000,MATCH(ROWS($AC$3:AC2239),$AC$3:$AC$10000,0)),"")</f>
        <v/>
      </c>
      <c r="AE2239" s="117" t="str">
        <f>+'Packing Material - Cost'!A2240</f>
        <v/>
      </c>
    </row>
    <row r="2240" spans="27:31">
      <c r="AA2240" s="117">
        <f>+'Ingredient List - Mother Tinctu'!D2241</f>
        <v>0</v>
      </c>
      <c r="AB2240" s="117">
        <f t="shared" si="37"/>
        <v>0</v>
      </c>
      <c r="AC2240" s="117" t="str">
        <f>IF(AB2240=1,COUNTIF($AB$3:AB2240,1),"")</f>
        <v/>
      </c>
      <c r="AD2240" s="117" t="str">
        <f>IFERROR(INDEX($AA$3:$AA$10000,MATCH(ROWS($AC$3:AC2240),$AC$3:$AC$10000,0)),"")</f>
        <v/>
      </c>
      <c r="AE2240" s="117" t="str">
        <f>+'Packing Material - Cost'!A2241</f>
        <v/>
      </c>
    </row>
    <row r="2241" spans="27:31">
      <c r="AA2241" s="117">
        <f>+'Ingredient List - Mother Tinctu'!D2242</f>
        <v>0</v>
      </c>
      <c r="AB2241" s="117">
        <f t="shared" si="37"/>
        <v>0</v>
      </c>
      <c r="AC2241" s="117" t="str">
        <f>IF(AB2241=1,COUNTIF($AB$3:AB2241,1),"")</f>
        <v/>
      </c>
      <c r="AD2241" s="117" t="str">
        <f>IFERROR(INDEX($AA$3:$AA$10000,MATCH(ROWS($AC$3:AC2241),$AC$3:$AC$10000,0)),"")</f>
        <v/>
      </c>
      <c r="AE2241" s="117" t="str">
        <f>+'Packing Material - Cost'!A2242</f>
        <v/>
      </c>
    </row>
    <row r="2242" spans="27:31">
      <c r="AA2242" s="117">
        <f>+'Ingredient List - Mother Tinctu'!D2243</f>
        <v>0</v>
      </c>
      <c r="AB2242" s="117">
        <f t="shared" si="37"/>
        <v>0</v>
      </c>
      <c r="AC2242" s="117" t="str">
        <f>IF(AB2242=1,COUNTIF($AB$3:AB2242,1),"")</f>
        <v/>
      </c>
      <c r="AD2242" s="117" t="str">
        <f>IFERROR(INDEX($AA$3:$AA$10000,MATCH(ROWS($AC$3:AC2242),$AC$3:$AC$10000,0)),"")</f>
        <v/>
      </c>
      <c r="AE2242" s="117" t="str">
        <f>+'Packing Material - Cost'!A2243</f>
        <v/>
      </c>
    </row>
    <row r="2243" spans="27:31">
      <c r="AA2243" s="117">
        <f>+'Ingredient List - Mother Tinctu'!D2244</f>
        <v>0</v>
      </c>
      <c r="AB2243" s="117">
        <f t="shared" si="37"/>
        <v>0</v>
      </c>
      <c r="AC2243" s="117" t="str">
        <f>IF(AB2243=1,COUNTIF($AB$3:AB2243,1),"")</f>
        <v/>
      </c>
      <c r="AD2243" s="117" t="str">
        <f>IFERROR(INDEX($AA$3:$AA$10000,MATCH(ROWS($AC$3:AC2243),$AC$3:$AC$10000,0)),"")</f>
        <v/>
      </c>
      <c r="AE2243" s="117" t="str">
        <f>+'Packing Material - Cost'!A2244</f>
        <v/>
      </c>
    </row>
    <row r="2244" spans="27:31">
      <c r="AA2244" s="117">
        <f>+'Ingredient List - Mother Tinctu'!D2245</f>
        <v>0</v>
      </c>
      <c r="AB2244" s="117">
        <f t="shared" ref="AB2244:AB2307" si="38">--ISNUMBER(IFERROR(SEARCH($D$3,AA2244,1),""))</f>
        <v>0</v>
      </c>
      <c r="AC2244" s="117" t="str">
        <f>IF(AB2244=1,COUNTIF($AB$3:AB2244,1),"")</f>
        <v/>
      </c>
      <c r="AD2244" s="117" t="str">
        <f>IFERROR(INDEX($AA$3:$AA$10000,MATCH(ROWS($AC$3:AC2244),$AC$3:$AC$10000,0)),"")</f>
        <v/>
      </c>
      <c r="AE2244" s="117" t="str">
        <f>+'Packing Material - Cost'!A2245</f>
        <v/>
      </c>
    </row>
    <row r="2245" spans="27:31">
      <c r="AA2245" s="117">
        <f>+'Ingredient List - Mother Tinctu'!D2246</f>
        <v>0</v>
      </c>
      <c r="AB2245" s="117">
        <f t="shared" si="38"/>
        <v>0</v>
      </c>
      <c r="AC2245" s="117" t="str">
        <f>IF(AB2245=1,COUNTIF($AB$3:AB2245,1),"")</f>
        <v/>
      </c>
      <c r="AD2245" s="117" t="str">
        <f>IFERROR(INDEX($AA$3:$AA$10000,MATCH(ROWS($AC$3:AC2245),$AC$3:$AC$10000,0)),"")</f>
        <v/>
      </c>
      <c r="AE2245" s="117" t="str">
        <f>+'Packing Material - Cost'!A2246</f>
        <v/>
      </c>
    </row>
    <row r="2246" spans="27:31">
      <c r="AA2246" s="117">
        <f>+'Ingredient List - Mother Tinctu'!D2247</f>
        <v>0</v>
      </c>
      <c r="AB2246" s="117">
        <f t="shared" si="38"/>
        <v>0</v>
      </c>
      <c r="AC2246" s="117" t="str">
        <f>IF(AB2246=1,COUNTIF($AB$3:AB2246,1),"")</f>
        <v/>
      </c>
      <c r="AD2246" s="117" t="str">
        <f>IFERROR(INDEX($AA$3:$AA$10000,MATCH(ROWS($AC$3:AC2246),$AC$3:$AC$10000,0)),"")</f>
        <v/>
      </c>
      <c r="AE2246" s="117" t="str">
        <f>+'Packing Material - Cost'!A2247</f>
        <v/>
      </c>
    </row>
    <row r="2247" spans="27:31">
      <c r="AA2247" s="117">
        <f>+'Ingredient List - Mother Tinctu'!D2248</f>
        <v>0</v>
      </c>
      <c r="AB2247" s="117">
        <f t="shared" si="38"/>
        <v>0</v>
      </c>
      <c r="AC2247" s="117" t="str">
        <f>IF(AB2247=1,COUNTIF($AB$3:AB2247,1),"")</f>
        <v/>
      </c>
      <c r="AD2247" s="117" t="str">
        <f>IFERROR(INDEX($AA$3:$AA$10000,MATCH(ROWS($AC$3:AC2247),$AC$3:$AC$10000,0)),"")</f>
        <v/>
      </c>
      <c r="AE2247" s="117" t="str">
        <f>+'Packing Material - Cost'!A2248</f>
        <v/>
      </c>
    </row>
    <row r="2248" spans="27:31">
      <c r="AA2248" s="117">
        <f>+'Ingredient List - Mother Tinctu'!D2249</f>
        <v>0</v>
      </c>
      <c r="AB2248" s="117">
        <f t="shared" si="38"/>
        <v>0</v>
      </c>
      <c r="AC2248" s="117" t="str">
        <f>IF(AB2248=1,COUNTIF($AB$3:AB2248,1),"")</f>
        <v/>
      </c>
      <c r="AD2248" s="117" t="str">
        <f>IFERROR(INDEX($AA$3:$AA$10000,MATCH(ROWS($AC$3:AC2248),$AC$3:$AC$10000,0)),"")</f>
        <v/>
      </c>
      <c r="AE2248" s="117" t="str">
        <f>+'Packing Material - Cost'!A2249</f>
        <v/>
      </c>
    </row>
    <row r="2249" spans="27:31">
      <c r="AA2249" s="117">
        <f>+'Ingredient List - Mother Tinctu'!D2250</f>
        <v>0</v>
      </c>
      <c r="AB2249" s="117">
        <f t="shared" si="38"/>
        <v>0</v>
      </c>
      <c r="AC2249" s="117" t="str">
        <f>IF(AB2249=1,COUNTIF($AB$3:AB2249,1),"")</f>
        <v/>
      </c>
      <c r="AD2249" s="117" t="str">
        <f>IFERROR(INDEX($AA$3:$AA$10000,MATCH(ROWS($AC$3:AC2249),$AC$3:$AC$10000,0)),"")</f>
        <v/>
      </c>
      <c r="AE2249" s="117" t="str">
        <f>+'Packing Material - Cost'!A2250</f>
        <v/>
      </c>
    </row>
    <row r="2250" spans="27:31">
      <c r="AA2250" s="117">
        <f>+'Ingredient List - Mother Tinctu'!D2251</f>
        <v>0</v>
      </c>
      <c r="AB2250" s="117">
        <f t="shared" si="38"/>
        <v>0</v>
      </c>
      <c r="AC2250" s="117" t="str">
        <f>IF(AB2250=1,COUNTIF($AB$3:AB2250,1),"")</f>
        <v/>
      </c>
      <c r="AD2250" s="117" t="str">
        <f>IFERROR(INDEX($AA$3:$AA$10000,MATCH(ROWS($AC$3:AC2250),$AC$3:$AC$10000,0)),"")</f>
        <v/>
      </c>
      <c r="AE2250" s="117" t="str">
        <f>+'Packing Material - Cost'!A2251</f>
        <v/>
      </c>
    </row>
    <row r="2251" spans="27:31">
      <c r="AA2251" s="117">
        <f>+'Ingredient List - Mother Tinctu'!D2252</f>
        <v>0</v>
      </c>
      <c r="AB2251" s="117">
        <f t="shared" si="38"/>
        <v>0</v>
      </c>
      <c r="AC2251" s="117" t="str">
        <f>IF(AB2251=1,COUNTIF($AB$3:AB2251,1),"")</f>
        <v/>
      </c>
      <c r="AD2251" s="117" t="str">
        <f>IFERROR(INDEX($AA$3:$AA$10000,MATCH(ROWS($AC$3:AC2251),$AC$3:$AC$10000,0)),"")</f>
        <v/>
      </c>
      <c r="AE2251" s="117" t="str">
        <f>+'Packing Material - Cost'!A2252</f>
        <v/>
      </c>
    </row>
    <row r="2252" spans="27:31">
      <c r="AA2252" s="117">
        <f>+'Ingredient List - Mother Tinctu'!D2253</f>
        <v>0</v>
      </c>
      <c r="AB2252" s="117">
        <f t="shared" si="38"/>
        <v>0</v>
      </c>
      <c r="AC2252" s="117" t="str">
        <f>IF(AB2252=1,COUNTIF($AB$3:AB2252,1),"")</f>
        <v/>
      </c>
      <c r="AD2252" s="117" t="str">
        <f>IFERROR(INDEX($AA$3:$AA$10000,MATCH(ROWS($AC$3:AC2252),$AC$3:$AC$10000,0)),"")</f>
        <v/>
      </c>
      <c r="AE2252" s="117" t="str">
        <f>+'Packing Material - Cost'!A2253</f>
        <v/>
      </c>
    </row>
    <row r="2253" spans="27:31">
      <c r="AA2253" s="117">
        <f>+'Ingredient List - Mother Tinctu'!D2254</f>
        <v>0</v>
      </c>
      <c r="AB2253" s="117">
        <f t="shared" si="38"/>
        <v>0</v>
      </c>
      <c r="AC2253" s="117" t="str">
        <f>IF(AB2253=1,COUNTIF($AB$3:AB2253,1),"")</f>
        <v/>
      </c>
      <c r="AD2253" s="117" t="str">
        <f>IFERROR(INDEX($AA$3:$AA$10000,MATCH(ROWS($AC$3:AC2253),$AC$3:$AC$10000,0)),"")</f>
        <v/>
      </c>
      <c r="AE2253" s="117" t="str">
        <f>+'Packing Material - Cost'!A2254</f>
        <v/>
      </c>
    </row>
    <row r="2254" spans="27:31">
      <c r="AA2254" s="117">
        <f>+'Ingredient List - Mother Tinctu'!D2255</f>
        <v>0</v>
      </c>
      <c r="AB2254" s="117">
        <f t="shared" si="38"/>
        <v>0</v>
      </c>
      <c r="AC2254" s="117" t="str">
        <f>IF(AB2254=1,COUNTIF($AB$3:AB2254,1),"")</f>
        <v/>
      </c>
      <c r="AD2254" s="117" t="str">
        <f>IFERROR(INDEX($AA$3:$AA$10000,MATCH(ROWS($AC$3:AC2254),$AC$3:$AC$10000,0)),"")</f>
        <v/>
      </c>
      <c r="AE2254" s="117" t="str">
        <f>+'Packing Material - Cost'!A2255</f>
        <v/>
      </c>
    </row>
    <row r="2255" spans="27:31">
      <c r="AA2255" s="117">
        <f>+'Ingredient List - Mother Tinctu'!D2256</f>
        <v>0</v>
      </c>
      <c r="AB2255" s="117">
        <f t="shared" si="38"/>
        <v>0</v>
      </c>
      <c r="AC2255" s="117" t="str">
        <f>IF(AB2255=1,COUNTIF($AB$3:AB2255,1),"")</f>
        <v/>
      </c>
      <c r="AD2255" s="117" t="str">
        <f>IFERROR(INDEX($AA$3:$AA$10000,MATCH(ROWS($AC$3:AC2255),$AC$3:$AC$10000,0)),"")</f>
        <v/>
      </c>
      <c r="AE2255" s="117" t="str">
        <f>+'Packing Material - Cost'!A2256</f>
        <v/>
      </c>
    </row>
    <row r="2256" spans="27:31">
      <c r="AA2256" s="117">
        <f>+'Ingredient List - Mother Tinctu'!D2257</f>
        <v>0</v>
      </c>
      <c r="AB2256" s="117">
        <f t="shared" si="38"/>
        <v>0</v>
      </c>
      <c r="AC2256" s="117" t="str">
        <f>IF(AB2256=1,COUNTIF($AB$3:AB2256,1),"")</f>
        <v/>
      </c>
      <c r="AD2256" s="117" t="str">
        <f>IFERROR(INDEX($AA$3:$AA$10000,MATCH(ROWS($AC$3:AC2256),$AC$3:$AC$10000,0)),"")</f>
        <v/>
      </c>
      <c r="AE2256" s="117" t="str">
        <f>+'Packing Material - Cost'!A2257</f>
        <v/>
      </c>
    </row>
    <row r="2257" spans="27:31">
      <c r="AA2257" s="117">
        <f>+'Ingredient List - Mother Tinctu'!D2258</f>
        <v>0</v>
      </c>
      <c r="AB2257" s="117">
        <f t="shared" si="38"/>
        <v>0</v>
      </c>
      <c r="AC2257" s="117" t="str">
        <f>IF(AB2257=1,COUNTIF($AB$3:AB2257,1),"")</f>
        <v/>
      </c>
      <c r="AD2257" s="117" t="str">
        <f>IFERROR(INDEX($AA$3:$AA$10000,MATCH(ROWS($AC$3:AC2257),$AC$3:$AC$10000,0)),"")</f>
        <v/>
      </c>
      <c r="AE2257" s="117" t="str">
        <f>+'Packing Material - Cost'!A2258</f>
        <v/>
      </c>
    </row>
    <row r="2258" spans="27:31">
      <c r="AA2258" s="117">
        <f>+'Ingredient List - Mother Tinctu'!D2259</f>
        <v>0</v>
      </c>
      <c r="AB2258" s="117">
        <f t="shared" si="38"/>
        <v>0</v>
      </c>
      <c r="AC2258" s="117" t="str">
        <f>IF(AB2258=1,COUNTIF($AB$3:AB2258,1),"")</f>
        <v/>
      </c>
      <c r="AD2258" s="117" t="str">
        <f>IFERROR(INDEX($AA$3:$AA$10000,MATCH(ROWS($AC$3:AC2258),$AC$3:$AC$10000,0)),"")</f>
        <v/>
      </c>
      <c r="AE2258" s="117" t="str">
        <f>+'Packing Material - Cost'!A2259</f>
        <v/>
      </c>
    </row>
    <row r="2259" spans="27:31">
      <c r="AA2259" s="117">
        <f>+'Ingredient List - Mother Tinctu'!D2260</f>
        <v>0</v>
      </c>
      <c r="AB2259" s="117">
        <f t="shared" si="38"/>
        <v>0</v>
      </c>
      <c r="AC2259" s="117" t="str">
        <f>IF(AB2259=1,COUNTIF($AB$3:AB2259,1),"")</f>
        <v/>
      </c>
      <c r="AD2259" s="117" t="str">
        <f>IFERROR(INDEX($AA$3:$AA$10000,MATCH(ROWS($AC$3:AC2259),$AC$3:$AC$10000,0)),"")</f>
        <v/>
      </c>
      <c r="AE2259" s="117" t="str">
        <f>+'Packing Material - Cost'!A2260</f>
        <v/>
      </c>
    </row>
    <row r="2260" spans="27:31">
      <c r="AA2260" s="117">
        <f>+'Ingredient List - Mother Tinctu'!D2261</f>
        <v>0</v>
      </c>
      <c r="AB2260" s="117">
        <f t="shared" si="38"/>
        <v>0</v>
      </c>
      <c r="AC2260" s="117" t="str">
        <f>IF(AB2260=1,COUNTIF($AB$3:AB2260,1),"")</f>
        <v/>
      </c>
      <c r="AD2260" s="117" t="str">
        <f>IFERROR(INDEX($AA$3:$AA$10000,MATCH(ROWS($AC$3:AC2260),$AC$3:$AC$10000,0)),"")</f>
        <v/>
      </c>
      <c r="AE2260" s="117" t="str">
        <f>+'Packing Material - Cost'!A2261</f>
        <v/>
      </c>
    </row>
    <row r="2261" spans="27:31">
      <c r="AA2261" s="117">
        <f>+'Ingredient List - Mother Tinctu'!D2262</f>
        <v>0</v>
      </c>
      <c r="AB2261" s="117">
        <f t="shared" si="38"/>
        <v>0</v>
      </c>
      <c r="AC2261" s="117" t="str">
        <f>IF(AB2261=1,COUNTIF($AB$3:AB2261,1),"")</f>
        <v/>
      </c>
      <c r="AD2261" s="117" t="str">
        <f>IFERROR(INDEX($AA$3:$AA$10000,MATCH(ROWS($AC$3:AC2261),$AC$3:$AC$10000,0)),"")</f>
        <v/>
      </c>
      <c r="AE2261" s="117" t="str">
        <f>+'Packing Material - Cost'!A2262</f>
        <v/>
      </c>
    </row>
    <row r="2262" spans="27:31">
      <c r="AA2262" s="117">
        <f>+'Ingredient List - Mother Tinctu'!D2263</f>
        <v>0</v>
      </c>
      <c r="AB2262" s="117">
        <f t="shared" si="38"/>
        <v>0</v>
      </c>
      <c r="AC2262" s="117" t="str">
        <f>IF(AB2262=1,COUNTIF($AB$3:AB2262,1),"")</f>
        <v/>
      </c>
      <c r="AD2262" s="117" t="str">
        <f>IFERROR(INDEX($AA$3:$AA$10000,MATCH(ROWS($AC$3:AC2262),$AC$3:$AC$10000,0)),"")</f>
        <v/>
      </c>
      <c r="AE2262" s="117" t="str">
        <f>+'Packing Material - Cost'!A2263</f>
        <v/>
      </c>
    </row>
    <row r="2263" spans="27:31">
      <c r="AA2263" s="117">
        <f>+'Ingredient List - Mother Tinctu'!D2264</f>
        <v>0</v>
      </c>
      <c r="AB2263" s="117">
        <f t="shared" si="38"/>
        <v>0</v>
      </c>
      <c r="AC2263" s="117" t="str">
        <f>IF(AB2263=1,COUNTIF($AB$3:AB2263,1),"")</f>
        <v/>
      </c>
      <c r="AD2263" s="117" t="str">
        <f>IFERROR(INDEX($AA$3:$AA$10000,MATCH(ROWS($AC$3:AC2263),$AC$3:$AC$10000,0)),"")</f>
        <v/>
      </c>
      <c r="AE2263" s="117" t="str">
        <f>+'Packing Material - Cost'!A2264</f>
        <v/>
      </c>
    </row>
    <row r="2264" spans="27:31">
      <c r="AA2264" s="117">
        <f>+'Ingredient List - Mother Tinctu'!D2265</f>
        <v>0</v>
      </c>
      <c r="AB2264" s="117">
        <f t="shared" si="38"/>
        <v>0</v>
      </c>
      <c r="AC2264" s="117" t="str">
        <f>IF(AB2264=1,COUNTIF($AB$3:AB2264,1),"")</f>
        <v/>
      </c>
      <c r="AD2264" s="117" t="str">
        <f>IFERROR(INDEX($AA$3:$AA$10000,MATCH(ROWS($AC$3:AC2264),$AC$3:$AC$10000,0)),"")</f>
        <v/>
      </c>
      <c r="AE2264" s="117" t="str">
        <f>+'Packing Material - Cost'!A2265</f>
        <v/>
      </c>
    </row>
    <row r="2265" spans="27:31">
      <c r="AA2265" s="117">
        <f>+'Ingredient List - Mother Tinctu'!D2266</f>
        <v>0</v>
      </c>
      <c r="AB2265" s="117">
        <f t="shared" si="38"/>
        <v>0</v>
      </c>
      <c r="AC2265" s="117" t="str">
        <f>IF(AB2265=1,COUNTIF($AB$3:AB2265,1),"")</f>
        <v/>
      </c>
      <c r="AD2265" s="117" t="str">
        <f>IFERROR(INDEX($AA$3:$AA$10000,MATCH(ROWS($AC$3:AC2265),$AC$3:$AC$10000,0)),"")</f>
        <v/>
      </c>
      <c r="AE2265" s="117" t="str">
        <f>+'Packing Material - Cost'!A2266</f>
        <v/>
      </c>
    </row>
    <row r="2266" spans="27:31">
      <c r="AA2266" s="117">
        <f>+'Ingredient List - Mother Tinctu'!D2267</f>
        <v>0</v>
      </c>
      <c r="AB2266" s="117">
        <f t="shared" si="38"/>
        <v>0</v>
      </c>
      <c r="AC2266" s="117" t="str">
        <f>IF(AB2266=1,COUNTIF($AB$3:AB2266,1),"")</f>
        <v/>
      </c>
      <c r="AD2266" s="117" t="str">
        <f>IFERROR(INDEX($AA$3:$AA$10000,MATCH(ROWS($AC$3:AC2266),$AC$3:$AC$10000,0)),"")</f>
        <v/>
      </c>
      <c r="AE2266" s="117" t="str">
        <f>+'Packing Material - Cost'!A2267</f>
        <v/>
      </c>
    </row>
    <row r="2267" spans="27:31">
      <c r="AA2267" s="117">
        <f>+'Ingredient List - Mother Tinctu'!D2268</f>
        <v>0</v>
      </c>
      <c r="AB2267" s="117">
        <f t="shared" si="38"/>
        <v>0</v>
      </c>
      <c r="AC2267" s="117" t="str">
        <f>IF(AB2267=1,COUNTIF($AB$3:AB2267,1),"")</f>
        <v/>
      </c>
      <c r="AD2267" s="117" t="str">
        <f>IFERROR(INDEX($AA$3:$AA$10000,MATCH(ROWS($AC$3:AC2267),$AC$3:$AC$10000,0)),"")</f>
        <v/>
      </c>
      <c r="AE2267" s="117" t="str">
        <f>+'Packing Material - Cost'!A2268</f>
        <v/>
      </c>
    </row>
    <row r="2268" spans="27:31">
      <c r="AA2268" s="117">
        <f>+'Ingredient List - Mother Tinctu'!D2269</f>
        <v>0</v>
      </c>
      <c r="AB2268" s="117">
        <f t="shared" si="38"/>
        <v>0</v>
      </c>
      <c r="AC2268" s="117" t="str">
        <f>IF(AB2268=1,COUNTIF($AB$3:AB2268,1),"")</f>
        <v/>
      </c>
      <c r="AD2268" s="117" t="str">
        <f>IFERROR(INDEX($AA$3:$AA$10000,MATCH(ROWS($AC$3:AC2268),$AC$3:$AC$10000,0)),"")</f>
        <v/>
      </c>
      <c r="AE2268" s="117" t="str">
        <f>+'Packing Material - Cost'!A2269</f>
        <v/>
      </c>
    </row>
    <row r="2269" spans="27:31">
      <c r="AA2269" s="117">
        <f>+'Ingredient List - Mother Tinctu'!D2270</f>
        <v>0</v>
      </c>
      <c r="AB2269" s="117">
        <f t="shared" si="38"/>
        <v>0</v>
      </c>
      <c r="AC2269" s="117" t="str">
        <f>IF(AB2269=1,COUNTIF($AB$3:AB2269,1),"")</f>
        <v/>
      </c>
      <c r="AD2269" s="117" t="str">
        <f>IFERROR(INDEX($AA$3:$AA$10000,MATCH(ROWS($AC$3:AC2269),$AC$3:$AC$10000,0)),"")</f>
        <v/>
      </c>
      <c r="AE2269" s="117" t="str">
        <f>+'Packing Material - Cost'!A2270</f>
        <v/>
      </c>
    </row>
    <row r="2270" spans="27:31">
      <c r="AA2270" s="117">
        <f>+'Ingredient List - Mother Tinctu'!D2271</f>
        <v>0</v>
      </c>
      <c r="AB2270" s="117">
        <f t="shared" si="38"/>
        <v>0</v>
      </c>
      <c r="AC2270" s="117" t="str">
        <f>IF(AB2270=1,COUNTIF($AB$3:AB2270,1),"")</f>
        <v/>
      </c>
      <c r="AD2270" s="117" t="str">
        <f>IFERROR(INDEX($AA$3:$AA$10000,MATCH(ROWS($AC$3:AC2270),$AC$3:$AC$10000,0)),"")</f>
        <v/>
      </c>
      <c r="AE2270" s="117" t="str">
        <f>+'Packing Material - Cost'!A2271</f>
        <v/>
      </c>
    </row>
    <row r="2271" spans="27:31">
      <c r="AA2271" s="117">
        <f>+'Ingredient List - Mother Tinctu'!D2272</f>
        <v>0</v>
      </c>
      <c r="AB2271" s="117">
        <f t="shared" si="38"/>
        <v>0</v>
      </c>
      <c r="AC2271" s="117" t="str">
        <f>IF(AB2271=1,COUNTIF($AB$3:AB2271,1),"")</f>
        <v/>
      </c>
      <c r="AD2271" s="117" t="str">
        <f>IFERROR(INDEX($AA$3:$AA$10000,MATCH(ROWS($AC$3:AC2271),$AC$3:$AC$10000,0)),"")</f>
        <v/>
      </c>
      <c r="AE2271" s="117" t="str">
        <f>+'Packing Material - Cost'!A2272</f>
        <v/>
      </c>
    </row>
    <row r="2272" spans="27:31">
      <c r="AA2272" s="117">
        <f>+'Ingredient List - Mother Tinctu'!D2273</f>
        <v>0</v>
      </c>
      <c r="AB2272" s="117">
        <f t="shared" si="38"/>
        <v>0</v>
      </c>
      <c r="AC2272" s="117" t="str">
        <f>IF(AB2272=1,COUNTIF($AB$3:AB2272,1),"")</f>
        <v/>
      </c>
      <c r="AD2272" s="117" t="str">
        <f>IFERROR(INDEX($AA$3:$AA$10000,MATCH(ROWS($AC$3:AC2272),$AC$3:$AC$10000,0)),"")</f>
        <v/>
      </c>
      <c r="AE2272" s="117" t="str">
        <f>+'Packing Material - Cost'!A2273</f>
        <v/>
      </c>
    </row>
    <row r="2273" spans="27:31">
      <c r="AA2273" s="117">
        <f>+'Ingredient List - Mother Tinctu'!D2274</f>
        <v>0</v>
      </c>
      <c r="AB2273" s="117">
        <f t="shared" si="38"/>
        <v>0</v>
      </c>
      <c r="AC2273" s="117" t="str">
        <f>IF(AB2273=1,COUNTIF($AB$3:AB2273,1),"")</f>
        <v/>
      </c>
      <c r="AD2273" s="117" t="str">
        <f>IFERROR(INDEX($AA$3:$AA$10000,MATCH(ROWS($AC$3:AC2273),$AC$3:$AC$10000,0)),"")</f>
        <v/>
      </c>
      <c r="AE2273" s="117" t="str">
        <f>+'Packing Material - Cost'!A2274</f>
        <v/>
      </c>
    </row>
    <row r="2274" spans="27:31">
      <c r="AA2274" s="117">
        <f>+'Ingredient List - Mother Tinctu'!D2275</f>
        <v>0</v>
      </c>
      <c r="AB2274" s="117">
        <f t="shared" si="38"/>
        <v>0</v>
      </c>
      <c r="AC2274" s="117" t="str">
        <f>IF(AB2274=1,COUNTIF($AB$3:AB2274,1),"")</f>
        <v/>
      </c>
      <c r="AD2274" s="117" t="str">
        <f>IFERROR(INDEX($AA$3:$AA$10000,MATCH(ROWS($AC$3:AC2274),$AC$3:$AC$10000,0)),"")</f>
        <v/>
      </c>
      <c r="AE2274" s="117" t="str">
        <f>+'Packing Material - Cost'!A2275</f>
        <v/>
      </c>
    </row>
    <row r="2275" spans="27:31">
      <c r="AA2275" s="117">
        <f>+'Ingredient List - Mother Tinctu'!D2276</f>
        <v>0</v>
      </c>
      <c r="AB2275" s="117">
        <f t="shared" si="38"/>
        <v>0</v>
      </c>
      <c r="AC2275" s="117" t="str">
        <f>IF(AB2275=1,COUNTIF($AB$3:AB2275,1),"")</f>
        <v/>
      </c>
      <c r="AD2275" s="117" t="str">
        <f>IFERROR(INDEX($AA$3:$AA$10000,MATCH(ROWS($AC$3:AC2275),$AC$3:$AC$10000,0)),"")</f>
        <v/>
      </c>
      <c r="AE2275" s="117" t="str">
        <f>+'Packing Material - Cost'!A2276</f>
        <v/>
      </c>
    </row>
    <row r="2276" spans="27:31">
      <c r="AA2276" s="117">
        <f>+'Ingredient List - Mother Tinctu'!D2277</f>
        <v>0</v>
      </c>
      <c r="AB2276" s="117">
        <f t="shared" si="38"/>
        <v>0</v>
      </c>
      <c r="AC2276" s="117" t="str">
        <f>IF(AB2276=1,COUNTIF($AB$3:AB2276,1),"")</f>
        <v/>
      </c>
      <c r="AD2276" s="117" t="str">
        <f>IFERROR(INDEX($AA$3:$AA$10000,MATCH(ROWS($AC$3:AC2276),$AC$3:$AC$10000,0)),"")</f>
        <v/>
      </c>
      <c r="AE2276" s="117" t="str">
        <f>+'Packing Material - Cost'!A2277</f>
        <v/>
      </c>
    </row>
    <row r="2277" spans="27:31">
      <c r="AA2277" s="117">
        <f>+'Ingredient List - Mother Tinctu'!D2278</f>
        <v>0</v>
      </c>
      <c r="AB2277" s="117">
        <f t="shared" si="38"/>
        <v>0</v>
      </c>
      <c r="AC2277" s="117" t="str">
        <f>IF(AB2277=1,COUNTIF($AB$3:AB2277,1),"")</f>
        <v/>
      </c>
      <c r="AD2277" s="117" t="str">
        <f>IFERROR(INDEX($AA$3:$AA$10000,MATCH(ROWS($AC$3:AC2277),$AC$3:$AC$10000,0)),"")</f>
        <v/>
      </c>
      <c r="AE2277" s="117" t="str">
        <f>+'Packing Material - Cost'!A2278</f>
        <v/>
      </c>
    </row>
    <row r="2278" spans="27:31">
      <c r="AA2278" s="117">
        <f>+'Ingredient List - Mother Tinctu'!D2279</f>
        <v>0</v>
      </c>
      <c r="AB2278" s="117">
        <f t="shared" si="38"/>
        <v>0</v>
      </c>
      <c r="AC2278" s="117" t="str">
        <f>IF(AB2278=1,COUNTIF($AB$3:AB2278,1),"")</f>
        <v/>
      </c>
      <c r="AD2278" s="117" t="str">
        <f>IFERROR(INDEX($AA$3:$AA$10000,MATCH(ROWS($AC$3:AC2278),$AC$3:$AC$10000,0)),"")</f>
        <v/>
      </c>
      <c r="AE2278" s="117" t="str">
        <f>+'Packing Material - Cost'!A2279</f>
        <v/>
      </c>
    </row>
    <row r="2279" spans="27:31">
      <c r="AA2279" s="117">
        <f>+'Ingredient List - Mother Tinctu'!D2280</f>
        <v>0</v>
      </c>
      <c r="AB2279" s="117">
        <f t="shared" si="38"/>
        <v>0</v>
      </c>
      <c r="AC2279" s="117" t="str">
        <f>IF(AB2279=1,COUNTIF($AB$3:AB2279,1),"")</f>
        <v/>
      </c>
      <c r="AD2279" s="117" t="str">
        <f>IFERROR(INDEX($AA$3:$AA$10000,MATCH(ROWS($AC$3:AC2279),$AC$3:$AC$10000,0)),"")</f>
        <v/>
      </c>
      <c r="AE2279" s="117" t="str">
        <f>+'Packing Material - Cost'!A2280</f>
        <v/>
      </c>
    </row>
    <row r="2280" spans="27:31">
      <c r="AA2280" s="117">
        <f>+'Ingredient List - Mother Tinctu'!D2281</f>
        <v>0</v>
      </c>
      <c r="AB2280" s="117">
        <f t="shared" si="38"/>
        <v>0</v>
      </c>
      <c r="AC2280" s="117" t="str">
        <f>IF(AB2280=1,COUNTIF($AB$3:AB2280,1),"")</f>
        <v/>
      </c>
      <c r="AD2280" s="117" t="str">
        <f>IFERROR(INDEX($AA$3:$AA$10000,MATCH(ROWS($AC$3:AC2280),$AC$3:$AC$10000,0)),"")</f>
        <v/>
      </c>
      <c r="AE2280" s="117" t="str">
        <f>+'Packing Material - Cost'!A2281</f>
        <v/>
      </c>
    </row>
    <row r="2281" spans="27:31">
      <c r="AA2281" s="117">
        <f>+'Ingredient List - Mother Tinctu'!D2282</f>
        <v>0</v>
      </c>
      <c r="AB2281" s="117">
        <f t="shared" si="38"/>
        <v>0</v>
      </c>
      <c r="AC2281" s="117" t="str">
        <f>IF(AB2281=1,COUNTIF($AB$3:AB2281,1),"")</f>
        <v/>
      </c>
      <c r="AD2281" s="117" t="str">
        <f>IFERROR(INDEX($AA$3:$AA$10000,MATCH(ROWS($AC$3:AC2281),$AC$3:$AC$10000,0)),"")</f>
        <v/>
      </c>
      <c r="AE2281" s="117" t="str">
        <f>+'Packing Material - Cost'!A2282</f>
        <v/>
      </c>
    </row>
    <row r="2282" spans="27:31">
      <c r="AA2282" s="117">
        <f>+'Ingredient List - Mother Tinctu'!D2283</f>
        <v>0</v>
      </c>
      <c r="AB2282" s="117">
        <f t="shared" si="38"/>
        <v>0</v>
      </c>
      <c r="AC2282" s="117" t="str">
        <f>IF(AB2282=1,COUNTIF($AB$3:AB2282,1),"")</f>
        <v/>
      </c>
      <c r="AD2282" s="117" t="str">
        <f>IFERROR(INDEX($AA$3:$AA$10000,MATCH(ROWS($AC$3:AC2282),$AC$3:$AC$10000,0)),"")</f>
        <v/>
      </c>
      <c r="AE2282" s="117" t="str">
        <f>+'Packing Material - Cost'!A2283</f>
        <v/>
      </c>
    </row>
    <row r="2283" spans="27:31">
      <c r="AA2283" s="117">
        <f>+'Ingredient List - Mother Tinctu'!D2284</f>
        <v>0</v>
      </c>
      <c r="AB2283" s="117">
        <f t="shared" si="38"/>
        <v>0</v>
      </c>
      <c r="AC2283" s="117" t="str">
        <f>IF(AB2283=1,COUNTIF($AB$3:AB2283,1),"")</f>
        <v/>
      </c>
      <c r="AD2283" s="117" t="str">
        <f>IFERROR(INDEX($AA$3:$AA$10000,MATCH(ROWS($AC$3:AC2283),$AC$3:$AC$10000,0)),"")</f>
        <v/>
      </c>
      <c r="AE2283" s="117" t="str">
        <f>+'Packing Material - Cost'!A2284</f>
        <v/>
      </c>
    </row>
    <row r="2284" spans="27:31">
      <c r="AA2284" s="117">
        <f>+'Ingredient List - Mother Tinctu'!D2285</f>
        <v>0</v>
      </c>
      <c r="AB2284" s="117">
        <f t="shared" si="38"/>
        <v>0</v>
      </c>
      <c r="AC2284" s="117" t="str">
        <f>IF(AB2284=1,COUNTIF($AB$3:AB2284,1),"")</f>
        <v/>
      </c>
      <c r="AD2284" s="117" t="str">
        <f>IFERROR(INDEX($AA$3:$AA$10000,MATCH(ROWS($AC$3:AC2284),$AC$3:$AC$10000,0)),"")</f>
        <v/>
      </c>
      <c r="AE2284" s="117" t="str">
        <f>+'Packing Material - Cost'!A2285</f>
        <v/>
      </c>
    </row>
    <row r="2285" spans="27:31">
      <c r="AA2285" s="117">
        <f>+'Ingredient List - Mother Tinctu'!D2286</f>
        <v>0</v>
      </c>
      <c r="AB2285" s="117">
        <f t="shared" si="38"/>
        <v>0</v>
      </c>
      <c r="AC2285" s="117" t="str">
        <f>IF(AB2285=1,COUNTIF($AB$3:AB2285,1),"")</f>
        <v/>
      </c>
      <c r="AD2285" s="117" t="str">
        <f>IFERROR(INDEX($AA$3:$AA$10000,MATCH(ROWS($AC$3:AC2285),$AC$3:$AC$10000,0)),"")</f>
        <v/>
      </c>
      <c r="AE2285" s="117" t="str">
        <f>+'Packing Material - Cost'!A2286</f>
        <v/>
      </c>
    </row>
    <row r="2286" spans="27:31">
      <c r="AA2286" s="117">
        <f>+'Ingredient List - Mother Tinctu'!D2287</f>
        <v>0</v>
      </c>
      <c r="AB2286" s="117">
        <f t="shared" si="38"/>
        <v>0</v>
      </c>
      <c r="AC2286" s="117" t="str">
        <f>IF(AB2286=1,COUNTIF($AB$3:AB2286,1),"")</f>
        <v/>
      </c>
      <c r="AD2286" s="117" t="str">
        <f>IFERROR(INDEX($AA$3:$AA$10000,MATCH(ROWS($AC$3:AC2286),$AC$3:$AC$10000,0)),"")</f>
        <v/>
      </c>
      <c r="AE2286" s="117" t="str">
        <f>+'Packing Material - Cost'!A2287</f>
        <v/>
      </c>
    </row>
    <row r="2287" spans="27:31">
      <c r="AA2287" s="117">
        <f>+'Ingredient List - Mother Tinctu'!D2288</f>
        <v>0</v>
      </c>
      <c r="AB2287" s="117">
        <f t="shared" si="38"/>
        <v>0</v>
      </c>
      <c r="AC2287" s="117" t="str">
        <f>IF(AB2287=1,COUNTIF($AB$3:AB2287,1),"")</f>
        <v/>
      </c>
      <c r="AD2287" s="117" t="str">
        <f>IFERROR(INDEX($AA$3:$AA$10000,MATCH(ROWS($AC$3:AC2287),$AC$3:$AC$10000,0)),"")</f>
        <v/>
      </c>
      <c r="AE2287" s="117" t="str">
        <f>+'Packing Material - Cost'!A2288</f>
        <v/>
      </c>
    </row>
    <row r="2288" spans="27:31">
      <c r="AA2288" s="117">
        <f>+'Ingredient List - Mother Tinctu'!D2289</f>
        <v>0</v>
      </c>
      <c r="AB2288" s="117">
        <f t="shared" si="38"/>
        <v>0</v>
      </c>
      <c r="AC2288" s="117" t="str">
        <f>IF(AB2288=1,COUNTIF($AB$3:AB2288,1),"")</f>
        <v/>
      </c>
      <c r="AD2288" s="117" t="str">
        <f>IFERROR(INDEX($AA$3:$AA$10000,MATCH(ROWS($AC$3:AC2288),$AC$3:$AC$10000,0)),"")</f>
        <v/>
      </c>
      <c r="AE2288" s="117" t="str">
        <f>+'Packing Material - Cost'!A2289</f>
        <v/>
      </c>
    </row>
    <row r="2289" spans="27:31">
      <c r="AA2289" s="117">
        <f>+'Ingredient List - Mother Tinctu'!D2290</f>
        <v>0</v>
      </c>
      <c r="AB2289" s="117">
        <f t="shared" si="38"/>
        <v>0</v>
      </c>
      <c r="AC2289" s="117" t="str">
        <f>IF(AB2289=1,COUNTIF($AB$3:AB2289,1),"")</f>
        <v/>
      </c>
      <c r="AD2289" s="117" t="str">
        <f>IFERROR(INDEX($AA$3:$AA$10000,MATCH(ROWS($AC$3:AC2289),$AC$3:$AC$10000,0)),"")</f>
        <v/>
      </c>
      <c r="AE2289" s="117" t="str">
        <f>+'Packing Material - Cost'!A2290</f>
        <v/>
      </c>
    </row>
    <row r="2290" spans="27:31">
      <c r="AA2290" s="117">
        <f>+'Ingredient List - Mother Tinctu'!D2291</f>
        <v>0</v>
      </c>
      <c r="AB2290" s="117">
        <f t="shared" si="38"/>
        <v>0</v>
      </c>
      <c r="AC2290" s="117" t="str">
        <f>IF(AB2290=1,COUNTIF($AB$3:AB2290,1),"")</f>
        <v/>
      </c>
      <c r="AD2290" s="117" t="str">
        <f>IFERROR(INDEX($AA$3:$AA$10000,MATCH(ROWS($AC$3:AC2290),$AC$3:$AC$10000,0)),"")</f>
        <v/>
      </c>
      <c r="AE2290" s="117" t="str">
        <f>+'Packing Material - Cost'!A2291</f>
        <v/>
      </c>
    </row>
    <row r="2291" spans="27:31">
      <c r="AA2291" s="117">
        <f>+'Ingredient List - Mother Tinctu'!D2292</f>
        <v>0</v>
      </c>
      <c r="AB2291" s="117">
        <f t="shared" si="38"/>
        <v>0</v>
      </c>
      <c r="AC2291" s="117" t="str">
        <f>IF(AB2291=1,COUNTIF($AB$3:AB2291,1),"")</f>
        <v/>
      </c>
      <c r="AD2291" s="117" t="str">
        <f>IFERROR(INDEX($AA$3:$AA$10000,MATCH(ROWS($AC$3:AC2291),$AC$3:$AC$10000,0)),"")</f>
        <v/>
      </c>
      <c r="AE2291" s="117" t="str">
        <f>+'Packing Material - Cost'!A2292</f>
        <v/>
      </c>
    </row>
    <row r="2292" spans="27:31">
      <c r="AA2292" s="117">
        <f>+'Ingredient List - Mother Tinctu'!D2293</f>
        <v>0</v>
      </c>
      <c r="AB2292" s="117">
        <f t="shared" si="38"/>
        <v>0</v>
      </c>
      <c r="AC2292" s="117" t="str">
        <f>IF(AB2292=1,COUNTIF($AB$3:AB2292,1),"")</f>
        <v/>
      </c>
      <c r="AD2292" s="117" t="str">
        <f>IFERROR(INDEX($AA$3:$AA$10000,MATCH(ROWS($AC$3:AC2292),$AC$3:$AC$10000,0)),"")</f>
        <v/>
      </c>
      <c r="AE2292" s="117" t="str">
        <f>+'Packing Material - Cost'!A2293</f>
        <v/>
      </c>
    </row>
    <row r="2293" spans="27:31">
      <c r="AA2293" s="117">
        <f>+'Ingredient List - Mother Tinctu'!D2294</f>
        <v>0</v>
      </c>
      <c r="AB2293" s="117">
        <f t="shared" si="38"/>
        <v>0</v>
      </c>
      <c r="AC2293" s="117" t="str">
        <f>IF(AB2293=1,COUNTIF($AB$3:AB2293,1),"")</f>
        <v/>
      </c>
      <c r="AD2293" s="117" t="str">
        <f>IFERROR(INDEX($AA$3:$AA$10000,MATCH(ROWS($AC$3:AC2293),$AC$3:$AC$10000,0)),"")</f>
        <v/>
      </c>
      <c r="AE2293" s="117" t="str">
        <f>+'Packing Material - Cost'!A2294</f>
        <v/>
      </c>
    </row>
    <row r="2294" spans="27:31">
      <c r="AA2294" s="117">
        <f>+'Ingredient List - Mother Tinctu'!D2295</f>
        <v>0</v>
      </c>
      <c r="AB2294" s="117">
        <f t="shared" si="38"/>
        <v>0</v>
      </c>
      <c r="AC2294" s="117" t="str">
        <f>IF(AB2294=1,COUNTIF($AB$3:AB2294,1),"")</f>
        <v/>
      </c>
      <c r="AD2294" s="117" t="str">
        <f>IFERROR(INDEX($AA$3:$AA$10000,MATCH(ROWS($AC$3:AC2294),$AC$3:$AC$10000,0)),"")</f>
        <v/>
      </c>
      <c r="AE2294" s="117" t="str">
        <f>+'Packing Material - Cost'!A2295</f>
        <v/>
      </c>
    </row>
    <row r="2295" spans="27:31">
      <c r="AA2295" s="117">
        <f>+'Ingredient List - Mother Tinctu'!D2296</f>
        <v>0</v>
      </c>
      <c r="AB2295" s="117">
        <f t="shared" si="38"/>
        <v>0</v>
      </c>
      <c r="AC2295" s="117" t="str">
        <f>IF(AB2295=1,COUNTIF($AB$3:AB2295,1),"")</f>
        <v/>
      </c>
      <c r="AD2295" s="117" t="str">
        <f>IFERROR(INDEX($AA$3:$AA$10000,MATCH(ROWS($AC$3:AC2295),$AC$3:$AC$10000,0)),"")</f>
        <v/>
      </c>
      <c r="AE2295" s="117" t="str">
        <f>+'Packing Material - Cost'!A2296</f>
        <v/>
      </c>
    </row>
    <row r="2296" spans="27:31">
      <c r="AA2296" s="117">
        <f>+'Ingredient List - Mother Tinctu'!D2297</f>
        <v>0</v>
      </c>
      <c r="AB2296" s="117">
        <f t="shared" si="38"/>
        <v>0</v>
      </c>
      <c r="AC2296" s="117" t="str">
        <f>IF(AB2296=1,COUNTIF($AB$3:AB2296,1),"")</f>
        <v/>
      </c>
      <c r="AD2296" s="117" t="str">
        <f>IFERROR(INDEX($AA$3:$AA$10000,MATCH(ROWS($AC$3:AC2296),$AC$3:$AC$10000,0)),"")</f>
        <v/>
      </c>
      <c r="AE2296" s="117" t="str">
        <f>+'Packing Material - Cost'!A2297</f>
        <v/>
      </c>
    </row>
    <row r="2297" spans="27:31">
      <c r="AA2297" s="117">
        <f>+'Ingredient List - Mother Tinctu'!D2298</f>
        <v>0</v>
      </c>
      <c r="AB2297" s="117">
        <f t="shared" si="38"/>
        <v>0</v>
      </c>
      <c r="AC2297" s="117" t="str">
        <f>IF(AB2297=1,COUNTIF($AB$3:AB2297,1),"")</f>
        <v/>
      </c>
      <c r="AD2297" s="117" t="str">
        <f>IFERROR(INDEX($AA$3:$AA$10000,MATCH(ROWS($AC$3:AC2297),$AC$3:$AC$10000,0)),"")</f>
        <v/>
      </c>
      <c r="AE2297" s="117" t="str">
        <f>+'Packing Material - Cost'!A2298</f>
        <v/>
      </c>
    </row>
    <row r="2298" spans="27:31">
      <c r="AA2298" s="117">
        <f>+'Ingredient List - Mother Tinctu'!D2299</f>
        <v>0</v>
      </c>
      <c r="AB2298" s="117">
        <f t="shared" si="38"/>
        <v>0</v>
      </c>
      <c r="AC2298" s="117" t="str">
        <f>IF(AB2298=1,COUNTIF($AB$3:AB2298,1),"")</f>
        <v/>
      </c>
      <c r="AD2298" s="117" t="str">
        <f>IFERROR(INDEX($AA$3:$AA$10000,MATCH(ROWS($AC$3:AC2298),$AC$3:$AC$10000,0)),"")</f>
        <v/>
      </c>
      <c r="AE2298" s="117" t="str">
        <f>+'Packing Material - Cost'!A2299</f>
        <v/>
      </c>
    </row>
    <row r="2299" spans="27:31">
      <c r="AA2299" s="117">
        <f>+'Ingredient List - Mother Tinctu'!D2300</f>
        <v>0</v>
      </c>
      <c r="AB2299" s="117">
        <f t="shared" si="38"/>
        <v>0</v>
      </c>
      <c r="AC2299" s="117" t="str">
        <f>IF(AB2299=1,COUNTIF($AB$3:AB2299,1),"")</f>
        <v/>
      </c>
      <c r="AD2299" s="117" t="str">
        <f>IFERROR(INDEX($AA$3:$AA$10000,MATCH(ROWS($AC$3:AC2299),$AC$3:$AC$10000,0)),"")</f>
        <v/>
      </c>
      <c r="AE2299" s="117" t="str">
        <f>+'Packing Material - Cost'!A2300</f>
        <v/>
      </c>
    </row>
    <row r="2300" spans="27:31">
      <c r="AA2300" s="117">
        <f>+'Ingredient List - Mother Tinctu'!D2301</f>
        <v>0</v>
      </c>
      <c r="AB2300" s="117">
        <f t="shared" si="38"/>
        <v>0</v>
      </c>
      <c r="AC2300" s="117" t="str">
        <f>IF(AB2300=1,COUNTIF($AB$3:AB2300,1),"")</f>
        <v/>
      </c>
      <c r="AD2300" s="117" t="str">
        <f>IFERROR(INDEX($AA$3:$AA$10000,MATCH(ROWS($AC$3:AC2300),$AC$3:$AC$10000,0)),"")</f>
        <v/>
      </c>
      <c r="AE2300" s="117" t="str">
        <f>+'Packing Material - Cost'!A2301</f>
        <v/>
      </c>
    </row>
    <row r="2301" spans="27:31">
      <c r="AA2301" s="117">
        <f>+'Ingredient List - Mother Tinctu'!D2302</f>
        <v>0</v>
      </c>
      <c r="AB2301" s="117">
        <f t="shared" si="38"/>
        <v>0</v>
      </c>
      <c r="AC2301" s="117" t="str">
        <f>IF(AB2301=1,COUNTIF($AB$3:AB2301,1),"")</f>
        <v/>
      </c>
      <c r="AD2301" s="117" t="str">
        <f>IFERROR(INDEX($AA$3:$AA$10000,MATCH(ROWS($AC$3:AC2301),$AC$3:$AC$10000,0)),"")</f>
        <v/>
      </c>
      <c r="AE2301" s="117" t="str">
        <f>+'Packing Material - Cost'!A2302</f>
        <v/>
      </c>
    </row>
    <row r="2302" spans="27:31">
      <c r="AA2302" s="117">
        <f>+'Ingredient List - Mother Tinctu'!D2303</f>
        <v>0</v>
      </c>
      <c r="AB2302" s="117">
        <f t="shared" si="38"/>
        <v>0</v>
      </c>
      <c r="AC2302" s="117" t="str">
        <f>IF(AB2302=1,COUNTIF($AB$3:AB2302,1),"")</f>
        <v/>
      </c>
      <c r="AD2302" s="117" t="str">
        <f>IFERROR(INDEX($AA$3:$AA$10000,MATCH(ROWS($AC$3:AC2302),$AC$3:$AC$10000,0)),"")</f>
        <v/>
      </c>
      <c r="AE2302" s="117" t="str">
        <f>+'Packing Material - Cost'!A2303</f>
        <v/>
      </c>
    </row>
    <row r="2303" spans="27:31">
      <c r="AA2303" s="117">
        <f>+'Ingredient List - Mother Tinctu'!D2304</f>
        <v>0</v>
      </c>
      <c r="AB2303" s="117">
        <f t="shared" si="38"/>
        <v>0</v>
      </c>
      <c r="AC2303" s="117" t="str">
        <f>IF(AB2303=1,COUNTIF($AB$3:AB2303,1),"")</f>
        <v/>
      </c>
      <c r="AD2303" s="117" t="str">
        <f>IFERROR(INDEX($AA$3:$AA$10000,MATCH(ROWS($AC$3:AC2303),$AC$3:$AC$10000,0)),"")</f>
        <v/>
      </c>
      <c r="AE2303" s="117" t="str">
        <f>+'Packing Material - Cost'!A2304</f>
        <v/>
      </c>
    </row>
    <row r="2304" spans="27:31">
      <c r="AA2304" s="117">
        <f>+'Ingredient List - Mother Tinctu'!D2305</f>
        <v>0</v>
      </c>
      <c r="AB2304" s="117">
        <f t="shared" si="38"/>
        <v>0</v>
      </c>
      <c r="AC2304" s="117" t="str">
        <f>IF(AB2304=1,COUNTIF($AB$3:AB2304,1),"")</f>
        <v/>
      </c>
      <c r="AD2304" s="117" t="str">
        <f>IFERROR(INDEX($AA$3:$AA$10000,MATCH(ROWS($AC$3:AC2304),$AC$3:$AC$10000,0)),"")</f>
        <v/>
      </c>
      <c r="AE2304" s="117" t="str">
        <f>+'Packing Material - Cost'!A2305</f>
        <v/>
      </c>
    </row>
    <row r="2305" spans="27:31">
      <c r="AA2305" s="117">
        <f>+'Ingredient List - Mother Tinctu'!D2306</f>
        <v>0</v>
      </c>
      <c r="AB2305" s="117">
        <f t="shared" si="38"/>
        <v>0</v>
      </c>
      <c r="AC2305" s="117" t="str">
        <f>IF(AB2305=1,COUNTIF($AB$3:AB2305,1),"")</f>
        <v/>
      </c>
      <c r="AD2305" s="117" t="str">
        <f>IFERROR(INDEX($AA$3:$AA$10000,MATCH(ROWS($AC$3:AC2305),$AC$3:$AC$10000,0)),"")</f>
        <v/>
      </c>
      <c r="AE2305" s="117" t="str">
        <f>+'Packing Material - Cost'!A2306</f>
        <v/>
      </c>
    </row>
    <row r="2306" spans="27:31">
      <c r="AA2306" s="117">
        <f>+'Ingredient List - Mother Tinctu'!D2307</f>
        <v>0</v>
      </c>
      <c r="AB2306" s="117">
        <f t="shared" si="38"/>
        <v>0</v>
      </c>
      <c r="AC2306" s="117" t="str">
        <f>IF(AB2306=1,COUNTIF($AB$3:AB2306,1),"")</f>
        <v/>
      </c>
      <c r="AD2306" s="117" t="str">
        <f>IFERROR(INDEX($AA$3:$AA$10000,MATCH(ROWS($AC$3:AC2306),$AC$3:$AC$10000,0)),"")</f>
        <v/>
      </c>
      <c r="AE2306" s="117" t="str">
        <f>+'Packing Material - Cost'!A2307</f>
        <v/>
      </c>
    </row>
    <row r="2307" spans="27:31">
      <c r="AA2307" s="117">
        <f>+'Ingredient List - Mother Tinctu'!D2308</f>
        <v>0</v>
      </c>
      <c r="AB2307" s="117">
        <f t="shared" si="38"/>
        <v>0</v>
      </c>
      <c r="AC2307" s="117" t="str">
        <f>IF(AB2307=1,COUNTIF($AB$3:AB2307,1),"")</f>
        <v/>
      </c>
      <c r="AD2307" s="117" t="str">
        <f>IFERROR(INDEX($AA$3:$AA$10000,MATCH(ROWS($AC$3:AC2307),$AC$3:$AC$10000,0)),"")</f>
        <v/>
      </c>
      <c r="AE2307" s="117" t="str">
        <f>+'Packing Material - Cost'!A2308</f>
        <v/>
      </c>
    </row>
    <row r="2308" spans="27:31">
      <c r="AA2308" s="117">
        <f>+'Ingredient List - Mother Tinctu'!D2309</f>
        <v>0</v>
      </c>
      <c r="AB2308" s="117">
        <f t="shared" ref="AB2308:AB2371" si="39">--ISNUMBER(IFERROR(SEARCH($D$3,AA2308,1),""))</f>
        <v>0</v>
      </c>
      <c r="AC2308" s="117" t="str">
        <f>IF(AB2308=1,COUNTIF($AB$3:AB2308,1),"")</f>
        <v/>
      </c>
      <c r="AD2308" s="117" t="str">
        <f>IFERROR(INDEX($AA$3:$AA$10000,MATCH(ROWS($AC$3:AC2308),$AC$3:$AC$10000,0)),"")</f>
        <v/>
      </c>
      <c r="AE2308" s="117" t="str">
        <f>+'Packing Material - Cost'!A2309</f>
        <v/>
      </c>
    </row>
    <row r="2309" spans="27:31">
      <c r="AA2309" s="117">
        <f>+'Ingredient List - Mother Tinctu'!D2310</f>
        <v>0</v>
      </c>
      <c r="AB2309" s="117">
        <f t="shared" si="39"/>
        <v>0</v>
      </c>
      <c r="AC2309" s="117" t="str">
        <f>IF(AB2309=1,COUNTIF($AB$3:AB2309,1),"")</f>
        <v/>
      </c>
      <c r="AD2309" s="117" t="str">
        <f>IFERROR(INDEX($AA$3:$AA$10000,MATCH(ROWS($AC$3:AC2309),$AC$3:$AC$10000,0)),"")</f>
        <v/>
      </c>
      <c r="AE2309" s="117" t="str">
        <f>+'Packing Material - Cost'!A2310</f>
        <v/>
      </c>
    </row>
    <row r="2310" spans="27:31">
      <c r="AA2310" s="117">
        <f>+'Ingredient List - Mother Tinctu'!D2311</f>
        <v>0</v>
      </c>
      <c r="AB2310" s="117">
        <f t="shared" si="39"/>
        <v>0</v>
      </c>
      <c r="AC2310" s="117" t="str">
        <f>IF(AB2310=1,COUNTIF($AB$3:AB2310,1),"")</f>
        <v/>
      </c>
      <c r="AD2310" s="117" t="str">
        <f>IFERROR(INDEX($AA$3:$AA$10000,MATCH(ROWS($AC$3:AC2310),$AC$3:$AC$10000,0)),"")</f>
        <v/>
      </c>
      <c r="AE2310" s="117" t="str">
        <f>+'Packing Material - Cost'!A2311</f>
        <v/>
      </c>
    </row>
    <row r="2311" spans="27:31">
      <c r="AA2311" s="117">
        <f>+'Ingredient List - Mother Tinctu'!D2312</f>
        <v>0</v>
      </c>
      <c r="AB2311" s="117">
        <f t="shared" si="39"/>
        <v>0</v>
      </c>
      <c r="AC2311" s="117" t="str">
        <f>IF(AB2311=1,COUNTIF($AB$3:AB2311,1),"")</f>
        <v/>
      </c>
      <c r="AD2311" s="117" t="str">
        <f>IFERROR(INDEX($AA$3:$AA$10000,MATCH(ROWS($AC$3:AC2311),$AC$3:$AC$10000,0)),"")</f>
        <v/>
      </c>
      <c r="AE2311" s="117" t="str">
        <f>+'Packing Material - Cost'!A2312</f>
        <v/>
      </c>
    </row>
    <row r="2312" spans="27:31">
      <c r="AA2312" s="117">
        <f>+'Ingredient List - Mother Tinctu'!D2313</f>
        <v>0</v>
      </c>
      <c r="AB2312" s="117">
        <f t="shared" si="39"/>
        <v>0</v>
      </c>
      <c r="AC2312" s="117" t="str">
        <f>IF(AB2312=1,COUNTIF($AB$3:AB2312,1),"")</f>
        <v/>
      </c>
      <c r="AD2312" s="117" t="str">
        <f>IFERROR(INDEX($AA$3:$AA$10000,MATCH(ROWS($AC$3:AC2312),$AC$3:$AC$10000,0)),"")</f>
        <v/>
      </c>
      <c r="AE2312" s="117" t="str">
        <f>+'Packing Material - Cost'!A2313</f>
        <v/>
      </c>
    </row>
    <row r="2313" spans="27:31">
      <c r="AA2313" s="117">
        <f>+'Ingredient List - Mother Tinctu'!D2314</f>
        <v>0</v>
      </c>
      <c r="AB2313" s="117">
        <f t="shared" si="39"/>
        <v>0</v>
      </c>
      <c r="AC2313" s="117" t="str">
        <f>IF(AB2313=1,COUNTIF($AB$3:AB2313,1),"")</f>
        <v/>
      </c>
      <c r="AD2313" s="117" t="str">
        <f>IFERROR(INDEX($AA$3:$AA$10000,MATCH(ROWS($AC$3:AC2313),$AC$3:$AC$10000,0)),"")</f>
        <v/>
      </c>
      <c r="AE2313" s="117" t="str">
        <f>+'Packing Material - Cost'!A2314</f>
        <v/>
      </c>
    </row>
    <row r="2314" spans="27:31">
      <c r="AA2314" s="117">
        <f>+'Ingredient List - Mother Tinctu'!D2315</f>
        <v>0</v>
      </c>
      <c r="AB2314" s="117">
        <f t="shared" si="39"/>
        <v>0</v>
      </c>
      <c r="AC2314" s="117" t="str">
        <f>IF(AB2314=1,COUNTIF($AB$3:AB2314,1),"")</f>
        <v/>
      </c>
      <c r="AD2314" s="117" t="str">
        <f>IFERROR(INDEX($AA$3:$AA$10000,MATCH(ROWS($AC$3:AC2314),$AC$3:$AC$10000,0)),"")</f>
        <v/>
      </c>
      <c r="AE2314" s="117" t="str">
        <f>+'Packing Material - Cost'!A2315</f>
        <v/>
      </c>
    </row>
    <row r="2315" spans="27:31">
      <c r="AA2315" s="117">
        <f>+'Ingredient List - Mother Tinctu'!D2316</f>
        <v>0</v>
      </c>
      <c r="AB2315" s="117">
        <f t="shared" si="39"/>
        <v>0</v>
      </c>
      <c r="AC2315" s="117" t="str">
        <f>IF(AB2315=1,COUNTIF($AB$3:AB2315,1),"")</f>
        <v/>
      </c>
      <c r="AD2315" s="117" t="str">
        <f>IFERROR(INDEX($AA$3:$AA$10000,MATCH(ROWS($AC$3:AC2315),$AC$3:$AC$10000,0)),"")</f>
        <v/>
      </c>
      <c r="AE2315" s="117" t="str">
        <f>+'Packing Material - Cost'!A2316</f>
        <v/>
      </c>
    </row>
    <row r="2316" spans="27:31">
      <c r="AA2316" s="117">
        <f>+'Ingredient List - Mother Tinctu'!D2317</f>
        <v>0</v>
      </c>
      <c r="AB2316" s="117">
        <f t="shared" si="39"/>
        <v>0</v>
      </c>
      <c r="AC2316" s="117" t="str">
        <f>IF(AB2316=1,COUNTIF($AB$3:AB2316,1),"")</f>
        <v/>
      </c>
      <c r="AD2316" s="117" t="str">
        <f>IFERROR(INDEX($AA$3:$AA$10000,MATCH(ROWS($AC$3:AC2316),$AC$3:$AC$10000,0)),"")</f>
        <v/>
      </c>
      <c r="AE2316" s="117" t="str">
        <f>+'Packing Material - Cost'!A2317</f>
        <v/>
      </c>
    </row>
    <row r="2317" spans="27:31">
      <c r="AA2317" s="117">
        <f>+'Ingredient List - Mother Tinctu'!D2318</f>
        <v>0</v>
      </c>
      <c r="AB2317" s="117">
        <f t="shared" si="39"/>
        <v>0</v>
      </c>
      <c r="AC2317" s="117" t="str">
        <f>IF(AB2317=1,COUNTIF($AB$3:AB2317,1),"")</f>
        <v/>
      </c>
      <c r="AD2317" s="117" t="str">
        <f>IFERROR(INDEX($AA$3:$AA$10000,MATCH(ROWS($AC$3:AC2317),$AC$3:$AC$10000,0)),"")</f>
        <v/>
      </c>
      <c r="AE2317" s="117" t="str">
        <f>+'Packing Material - Cost'!A2318</f>
        <v/>
      </c>
    </row>
    <row r="2318" spans="27:31">
      <c r="AA2318" s="117">
        <f>+'Ingredient List - Mother Tinctu'!D2319</f>
        <v>0</v>
      </c>
      <c r="AB2318" s="117">
        <f t="shared" si="39"/>
        <v>0</v>
      </c>
      <c r="AC2318" s="117" t="str">
        <f>IF(AB2318=1,COUNTIF($AB$3:AB2318,1),"")</f>
        <v/>
      </c>
      <c r="AD2318" s="117" t="str">
        <f>IFERROR(INDEX($AA$3:$AA$10000,MATCH(ROWS($AC$3:AC2318),$AC$3:$AC$10000,0)),"")</f>
        <v/>
      </c>
      <c r="AE2318" s="117" t="str">
        <f>+'Packing Material - Cost'!A2319</f>
        <v/>
      </c>
    </row>
    <row r="2319" spans="27:31">
      <c r="AA2319" s="117">
        <f>+'Ingredient List - Mother Tinctu'!D2320</f>
        <v>0</v>
      </c>
      <c r="AB2319" s="117">
        <f t="shared" si="39"/>
        <v>0</v>
      </c>
      <c r="AC2319" s="117" t="str">
        <f>IF(AB2319=1,COUNTIF($AB$3:AB2319,1),"")</f>
        <v/>
      </c>
      <c r="AD2319" s="117" t="str">
        <f>IFERROR(INDEX($AA$3:$AA$10000,MATCH(ROWS($AC$3:AC2319),$AC$3:$AC$10000,0)),"")</f>
        <v/>
      </c>
      <c r="AE2319" s="117" t="str">
        <f>+'Packing Material - Cost'!A2320</f>
        <v/>
      </c>
    </row>
    <row r="2320" spans="27:31">
      <c r="AA2320" s="117">
        <f>+'Ingredient List - Mother Tinctu'!D2321</f>
        <v>0</v>
      </c>
      <c r="AB2320" s="117">
        <f t="shared" si="39"/>
        <v>0</v>
      </c>
      <c r="AC2320" s="117" t="str">
        <f>IF(AB2320=1,COUNTIF($AB$3:AB2320,1),"")</f>
        <v/>
      </c>
      <c r="AD2320" s="117" t="str">
        <f>IFERROR(INDEX($AA$3:$AA$10000,MATCH(ROWS($AC$3:AC2320),$AC$3:$AC$10000,0)),"")</f>
        <v/>
      </c>
      <c r="AE2320" s="117" t="str">
        <f>+'Packing Material - Cost'!A2321</f>
        <v/>
      </c>
    </row>
    <row r="2321" spans="27:31">
      <c r="AA2321" s="117">
        <f>+'Ingredient List - Mother Tinctu'!D2322</f>
        <v>0</v>
      </c>
      <c r="AB2321" s="117">
        <f t="shared" si="39"/>
        <v>0</v>
      </c>
      <c r="AC2321" s="117" t="str">
        <f>IF(AB2321=1,COUNTIF($AB$3:AB2321,1),"")</f>
        <v/>
      </c>
      <c r="AD2321" s="117" t="str">
        <f>IFERROR(INDEX($AA$3:$AA$10000,MATCH(ROWS($AC$3:AC2321),$AC$3:$AC$10000,0)),"")</f>
        <v/>
      </c>
      <c r="AE2321" s="117" t="str">
        <f>+'Packing Material - Cost'!A2322</f>
        <v/>
      </c>
    </row>
    <row r="2322" spans="27:31">
      <c r="AA2322" s="117">
        <f>+'Ingredient List - Mother Tinctu'!D2323</f>
        <v>0</v>
      </c>
      <c r="AB2322" s="117">
        <f t="shared" si="39"/>
        <v>0</v>
      </c>
      <c r="AC2322" s="117" t="str">
        <f>IF(AB2322=1,COUNTIF($AB$3:AB2322,1),"")</f>
        <v/>
      </c>
      <c r="AD2322" s="117" t="str">
        <f>IFERROR(INDEX($AA$3:$AA$10000,MATCH(ROWS($AC$3:AC2322),$AC$3:$AC$10000,0)),"")</f>
        <v/>
      </c>
      <c r="AE2322" s="117" t="str">
        <f>+'Packing Material - Cost'!A2323</f>
        <v/>
      </c>
    </row>
    <row r="2323" spans="27:31">
      <c r="AA2323" s="117">
        <f>+'Ingredient List - Mother Tinctu'!D2324</f>
        <v>0</v>
      </c>
      <c r="AB2323" s="117">
        <f t="shared" si="39"/>
        <v>0</v>
      </c>
      <c r="AC2323" s="117" t="str">
        <f>IF(AB2323=1,COUNTIF($AB$3:AB2323,1),"")</f>
        <v/>
      </c>
      <c r="AD2323" s="117" t="str">
        <f>IFERROR(INDEX($AA$3:$AA$10000,MATCH(ROWS($AC$3:AC2323),$AC$3:$AC$10000,0)),"")</f>
        <v/>
      </c>
      <c r="AE2323" s="117" t="str">
        <f>+'Packing Material - Cost'!A2324</f>
        <v/>
      </c>
    </row>
    <row r="2324" spans="27:31">
      <c r="AA2324" s="117">
        <f>+'Ingredient List - Mother Tinctu'!D2325</f>
        <v>0</v>
      </c>
      <c r="AB2324" s="117">
        <f t="shared" si="39"/>
        <v>0</v>
      </c>
      <c r="AC2324" s="117" t="str">
        <f>IF(AB2324=1,COUNTIF($AB$3:AB2324,1),"")</f>
        <v/>
      </c>
      <c r="AD2324" s="117" t="str">
        <f>IFERROR(INDEX($AA$3:$AA$10000,MATCH(ROWS($AC$3:AC2324),$AC$3:$AC$10000,0)),"")</f>
        <v/>
      </c>
      <c r="AE2324" s="117" t="str">
        <f>+'Packing Material - Cost'!A2325</f>
        <v/>
      </c>
    </row>
    <row r="2325" spans="27:31">
      <c r="AA2325" s="117">
        <f>+'Ingredient List - Mother Tinctu'!D2326</f>
        <v>0</v>
      </c>
      <c r="AB2325" s="117">
        <f t="shared" si="39"/>
        <v>0</v>
      </c>
      <c r="AC2325" s="117" t="str">
        <f>IF(AB2325=1,COUNTIF($AB$3:AB2325,1),"")</f>
        <v/>
      </c>
      <c r="AD2325" s="117" t="str">
        <f>IFERROR(INDEX($AA$3:$AA$10000,MATCH(ROWS($AC$3:AC2325),$AC$3:$AC$10000,0)),"")</f>
        <v/>
      </c>
      <c r="AE2325" s="117" t="str">
        <f>+'Packing Material - Cost'!A2326</f>
        <v/>
      </c>
    </row>
    <row r="2326" spans="27:31">
      <c r="AA2326" s="117">
        <f>+'Ingredient List - Mother Tinctu'!D2327</f>
        <v>0</v>
      </c>
      <c r="AB2326" s="117">
        <f t="shared" si="39"/>
        <v>0</v>
      </c>
      <c r="AC2326" s="117" t="str">
        <f>IF(AB2326=1,COUNTIF($AB$3:AB2326,1),"")</f>
        <v/>
      </c>
      <c r="AD2326" s="117" t="str">
        <f>IFERROR(INDEX($AA$3:$AA$10000,MATCH(ROWS($AC$3:AC2326),$AC$3:$AC$10000,0)),"")</f>
        <v/>
      </c>
      <c r="AE2326" s="117" t="str">
        <f>+'Packing Material - Cost'!A2327</f>
        <v/>
      </c>
    </row>
    <row r="2327" spans="27:31">
      <c r="AA2327" s="117">
        <f>+'Ingredient List - Mother Tinctu'!D2328</f>
        <v>0</v>
      </c>
      <c r="AB2327" s="117">
        <f t="shared" si="39"/>
        <v>0</v>
      </c>
      <c r="AC2327" s="117" t="str">
        <f>IF(AB2327=1,COUNTIF($AB$3:AB2327,1),"")</f>
        <v/>
      </c>
      <c r="AD2327" s="117" t="str">
        <f>IFERROR(INDEX($AA$3:$AA$10000,MATCH(ROWS($AC$3:AC2327),$AC$3:$AC$10000,0)),"")</f>
        <v/>
      </c>
      <c r="AE2327" s="117" t="str">
        <f>+'Packing Material - Cost'!A2328</f>
        <v/>
      </c>
    </row>
    <row r="2328" spans="27:31">
      <c r="AA2328" s="117">
        <f>+'Ingredient List - Mother Tinctu'!D2329</f>
        <v>0</v>
      </c>
      <c r="AB2328" s="117">
        <f t="shared" si="39"/>
        <v>0</v>
      </c>
      <c r="AC2328" s="117" t="str">
        <f>IF(AB2328=1,COUNTIF($AB$3:AB2328,1),"")</f>
        <v/>
      </c>
      <c r="AD2328" s="117" t="str">
        <f>IFERROR(INDEX($AA$3:$AA$10000,MATCH(ROWS($AC$3:AC2328),$AC$3:$AC$10000,0)),"")</f>
        <v/>
      </c>
      <c r="AE2328" s="117" t="str">
        <f>+'Packing Material - Cost'!A2329</f>
        <v/>
      </c>
    </row>
    <row r="2329" spans="27:31">
      <c r="AA2329" s="117">
        <f>+'Ingredient List - Mother Tinctu'!D2330</f>
        <v>0</v>
      </c>
      <c r="AB2329" s="117">
        <f t="shared" si="39"/>
        <v>0</v>
      </c>
      <c r="AC2329" s="117" t="str">
        <f>IF(AB2329=1,COUNTIF($AB$3:AB2329,1),"")</f>
        <v/>
      </c>
      <c r="AD2329" s="117" t="str">
        <f>IFERROR(INDEX($AA$3:$AA$10000,MATCH(ROWS($AC$3:AC2329),$AC$3:$AC$10000,0)),"")</f>
        <v/>
      </c>
      <c r="AE2329" s="117" t="str">
        <f>+'Packing Material - Cost'!A2330</f>
        <v/>
      </c>
    </row>
    <row r="2330" spans="27:31">
      <c r="AA2330" s="117">
        <f>+'Ingredient List - Mother Tinctu'!D2331</f>
        <v>0</v>
      </c>
      <c r="AB2330" s="117">
        <f t="shared" si="39"/>
        <v>0</v>
      </c>
      <c r="AC2330" s="117" t="str">
        <f>IF(AB2330=1,COUNTIF($AB$3:AB2330,1),"")</f>
        <v/>
      </c>
      <c r="AD2330" s="117" t="str">
        <f>IFERROR(INDEX($AA$3:$AA$10000,MATCH(ROWS($AC$3:AC2330),$AC$3:$AC$10000,0)),"")</f>
        <v/>
      </c>
      <c r="AE2330" s="117" t="str">
        <f>+'Packing Material - Cost'!A2331</f>
        <v/>
      </c>
    </row>
    <row r="2331" spans="27:31">
      <c r="AA2331" s="117">
        <f>+'Ingredient List - Mother Tinctu'!D2332</f>
        <v>0</v>
      </c>
      <c r="AB2331" s="117">
        <f t="shared" si="39"/>
        <v>0</v>
      </c>
      <c r="AC2331" s="117" t="str">
        <f>IF(AB2331=1,COUNTIF($AB$3:AB2331,1),"")</f>
        <v/>
      </c>
      <c r="AD2331" s="117" t="str">
        <f>IFERROR(INDEX($AA$3:$AA$10000,MATCH(ROWS($AC$3:AC2331),$AC$3:$AC$10000,0)),"")</f>
        <v/>
      </c>
      <c r="AE2331" s="117" t="str">
        <f>+'Packing Material - Cost'!A2332</f>
        <v/>
      </c>
    </row>
    <row r="2332" spans="27:31">
      <c r="AA2332" s="117">
        <f>+'Ingredient List - Mother Tinctu'!D2333</f>
        <v>0</v>
      </c>
      <c r="AB2332" s="117">
        <f t="shared" si="39"/>
        <v>0</v>
      </c>
      <c r="AC2332" s="117" t="str">
        <f>IF(AB2332=1,COUNTIF($AB$3:AB2332,1),"")</f>
        <v/>
      </c>
      <c r="AD2332" s="117" t="str">
        <f>IFERROR(INDEX($AA$3:$AA$10000,MATCH(ROWS($AC$3:AC2332),$AC$3:$AC$10000,0)),"")</f>
        <v/>
      </c>
      <c r="AE2332" s="117" t="str">
        <f>+'Packing Material - Cost'!A2333</f>
        <v/>
      </c>
    </row>
    <row r="2333" spans="27:31">
      <c r="AA2333" s="117">
        <f>+'Ingredient List - Mother Tinctu'!D2334</f>
        <v>0</v>
      </c>
      <c r="AB2333" s="117">
        <f t="shared" si="39"/>
        <v>0</v>
      </c>
      <c r="AC2333" s="117" t="str">
        <f>IF(AB2333=1,COUNTIF($AB$3:AB2333,1),"")</f>
        <v/>
      </c>
      <c r="AD2333" s="117" t="str">
        <f>IFERROR(INDEX($AA$3:$AA$10000,MATCH(ROWS($AC$3:AC2333),$AC$3:$AC$10000,0)),"")</f>
        <v/>
      </c>
      <c r="AE2333" s="117" t="str">
        <f>+'Packing Material - Cost'!A2334</f>
        <v/>
      </c>
    </row>
    <row r="2334" spans="27:31">
      <c r="AA2334" s="117">
        <f>+'Ingredient List - Mother Tinctu'!D2335</f>
        <v>0</v>
      </c>
      <c r="AB2334" s="117">
        <f t="shared" si="39"/>
        <v>0</v>
      </c>
      <c r="AC2334" s="117" t="str">
        <f>IF(AB2334=1,COUNTIF($AB$3:AB2334,1),"")</f>
        <v/>
      </c>
      <c r="AD2334" s="117" t="str">
        <f>IFERROR(INDEX($AA$3:$AA$10000,MATCH(ROWS($AC$3:AC2334),$AC$3:$AC$10000,0)),"")</f>
        <v/>
      </c>
      <c r="AE2334" s="117" t="str">
        <f>+'Packing Material - Cost'!A2335</f>
        <v/>
      </c>
    </row>
    <row r="2335" spans="27:31">
      <c r="AA2335" s="117">
        <f>+'Ingredient List - Mother Tinctu'!D2336</f>
        <v>0</v>
      </c>
      <c r="AB2335" s="117">
        <f t="shared" si="39"/>
        <v>0</v>
      </c>
      <c r="AC2335" s="117" t="str">
        <f>IF(AB2335=1,COUNTIF($AB$3:AB2335,1),"")</f>
        <v/>
      </c>
      <c r="AD2335" s="117" t="str">
        <f>IFERROR(INDEX($AA$3:$AA$10000,MATCH(ROWS($AC$3:AC2335),$AC$3:$AC$10000,0)),"")</f>
        <v/>
      </c>
      <c r="AE2335" s="117" t="str">
        <f>+'Packing Material - Cost'!A2336</f>
        <v/>
      </c>
    </row>
    <row r="2336" spans="27:31">
      <c r="AA2336" s="117">
        <f>+'Ingredient List - Mother Tinctu'!D2337</f>
        <v>0</v>
      </c>
      <c r="AB2336" s="117">
        <f t="shared" si="39"/>
        <v>0</v>
      </c>
      <c r="AC2336" s="117" t="str">
        <f>IF(AB2336=1,COUNTIF($AB$3:AB2336,1),"")</f>
        <v/>
      </c>
      <c r="AD2336" s="117" t="str">
        <f>IFERROR(INDEX($AA$3:$AA$10000,MATCH(ROWS($AC$3:AC2336),$AC$3:$AC$10000,0)),"")</f>
        <v/>
      </c>
      <c r="AE2336" s="117" t="str">
        <f>+'Packing Material - Cost'!A2337</f>
        <v/>
      </c>
    </row>
    <row r="2337" spans="27:31">
      <c r="AA2337" s="117">
        <f>+'Ingredient List - Mother Tinctu'!D2338</f>
        <v>0</v>
      </c>
      <c r="AB2337" s="117">
        <f t="shared" si="39"/>
        <v>0</v>
      </c>
      <c r="AC2337" s="117" t="str">
        <f>IF(AB2337=1,COUNTIF($AB$3:AB2337,1),"")</f>
        <v/>
      </c>
      <c r="AD2337" s="117" t="str">
        <f>IFERROR(INDEX($AA$3:$AA$10000,MATCH(ROWS($AC$3:AC2337),$AC$3:$AC$10000,0)),"")</f>
        <v/>
      </c>
      <c r="AE2337" s="117" t="str">
        <f>+'Packing Material - Cost'!A2338</f>
        <v/>
      </c>
    </row>
    <row r="2338" spans="27:31">
      <c r="AA2338" s="117">
        <f>+'Ingredient List - Mother Tinctu'!D2339</f>
        <v>0</v>
      </c>
      <c r="AB2338" s="117">
        <f t="shared" si="39"/>
        <v>0</v>
      </c>
      <c r="AC2338" s="117" t="str">
        <f>IF(AB2338=1,COUNTIF($AB$3:AB2338,1),"")</f>
        <v/>
      </c>
      <c r="AD2338" s="117" t="str">
        <f>IFERROR(INDEX($AA$3:$AA$10000,MATCH(ROWS($AC$3:AC2338),$AC$3:$AC$10000,0)),"")</f>
        <v/>
      </c>
      <c r="AE2338" s="117" t="str">
        <f>+'Packing Material - Cost'!A2339</f>
        <v/>
      </c>
    </row>
    <row r="2339" spans="27:31">
      <c r="AA2339" s="117">
        <f>+'Ingredient List - Mother Tinctu'!D2340</f>
        <v>0</v>
      </c>
      <c r="AB2339" s="117">
        <f t="shared" si="39"/>
        <v>0</v>
      </c>
      <c r="AC2339" s="117" t="str">
        <f>IF(AB2339=1,COUNTIF($AB$3:AB2339,1),"")</f>
        <v/>
      </c>
      <c r="AD2339" s="117" t="str">
        <f>IFERROR(INDEX($AA$3:$AA$10000,MATCH(ROWS($AC$3:AC2339),$AC$3:$AC$10000,0)),"")</f>
        <v/>
      </c>
      <c r="AE2339" s="117" t="str">
        <f>+'Packing Material - Cost'!A2340</f>
        <v/>
      </c>
    </row>
    <row r="2340" spans="27:31">
      <c r="AA2340" s="117">
        <f>+'Ingredient List - Mother Tinctu'!D2341</f>
        <v>0</v>
      </c>
      <c r="AB2340" s="117">
        <f t="shared" si="39"/>
        <v>0</v>
      </c>
      <c r="AC2340" s="117" t="str">
        <f>IF(AB2340=1,COUNTIF($AB$3:AB2340,1),"")</f>
        <v/>
      </c>
      <c r="AD2340" s="117" t="str">
        <f>IFERROR(INDEX($AA$3:$AA$10000,MATCH(ROWS($AC$3:AC2340),$AC$3:$AC$10000,0)),"")</f>
        <v/>
      </c>
      <c r="AE2340" s="117" t="str">
        <f>+'Packing Material - Cost'!A2341</f>
        <v/>
      </c>
    </row>
    <row r="2341" spans="27:31">
      <c r="AA2341" s="117">
        <f>+'Ingredient List - Mother Tinctu'!D2342</f>
        <v>0</v>
      </c>
      <c r="AB2341" s="117">
        <f t="shared" si="39"/>
        <v>0</v>
      </c>
      <c r="AC2341" s="117" t="str">
        <f>IF(AB2341=1,COUNTIF($AB$3:AB2341,1),"")</f>
        <v/>
      </c>
      <c r="AD2341" s="117" t="str">
        <f>IFERROR(INDEX($AA$3:$AA$10000,MATCH(ROWS($AC$3:AC2341),$AC$3:$AC$10000,0)),"")</f>
        <v/>
      </c>
      <c r="AE2341" s="117" t="str">
        <f>+'Packing Material - Cost'!A2342</f>
        <v/>
      </c>
    </row>
    <row r="2342" spans="27:31">
      <c r="AA2342" s="117">
        <f>+'Ingredient List - Mother Tinctu'!D2343</f>
        <v>0</v>
      </c>
      <c r="AB2342" s="117">
        <f t="shared" si="39"/>
        <v>0</v>
      </c>
      <c r="AC2342" s="117" t="str">
        <f>IF(AB2342=1,COUNTIF($AB$3:AB2342,1),"")</f>
        <v/>
      </c>
      <c r="AD2342" s="117" t="str">
        <f>IFERROR(INDEX($AA$3:$AA$10000,MATCH(ROWS($AC$3:AC2342),$AC$3:$AC$10000,0)),"")</f>
        <v/>
      </c>
      <c r="AE2342" s="117" t="str">
        <f>+'Packing Material - Cost'!A2343</f>
        <v/>
      </c>
    </row>
    <row r="2343" spans="27:31">
      <c r="AA2343" s="117">
        <f>+'Ingredient List - Mother Tinctu'!D2344</f>
        <v>0</v>
      </c>
      <c r="AB2343" s="117">
        <f t="shared" si="39"/>
        <v>0</v>
      </c>
      <c r="AC2343" s="117" t="str">
        <f>IF(AB2343=1,COUNTIF($AB$3:AB2343,1),"")</f>
        <v/>
      </c>
      <c r="AD2343" s="117" t="str">
        <f>IFERROR(INDEX($AA$3:$AA$10000,MATCH(ROWS($AC$3:AC2343),$AC$3:$AC$10000,0)),"")</f>
        <v/>
      </c>
      <c r="AE2343" s="117" t="str">
        <f>+'Packing Material - Cost'!A2344</f>
        <v/>
      </c>
    </row>
    <row r="2344" spans="27:31">
      <c r="AA2344" s="117">
        <f>+'Ingredient List - Mother Tinctu'!D2345</f>
        <v>0</v>
      </c>
      <c r="AB2344" s="117">
        <f t="shared" si="39"/>
        <v>0</v>
      </c>
      <c r="AC2344" s="117" t="str">
        <f>IF(AB2344=1,COUNTIF($AB$3:AB2344,1),"")</f>
        <v/>
      </c>
      <c r="AD2344" s="117" t="str">
        <f>IFERROR(INDEX($AA$3:$AA$10000,MATCH(ROWS($AC$3:AC2344),$AC$3:$AC$10000,0)),"")</f>
        <v/>
      </c>
      <c r="AE2344" s="117" t="str">
        <f>+'Packing Material - Cost'!A2345</f>
        <v/>
      </c>
    </row>
    <row r="2345" spans="27:31">
      <c r="AA2345" s="117">
        <f>+'Ingredient List - Mother Tinctu'!D2346</f>
        <v>0</v>
      </c>
      <c r="AB2345" s="117">
        <f t="shared" si="39"/>
        <v>0</v>
      </c>
      <c r="AC2345" s="117" t="str">
        <f>IF(AB2345=1,COUNTIF($AB$3:AB2345,1),"")</f>
        <v/>
      </c>
      <c r="AD2345" s="117" t="str">
        <f>IFERROR(INDEX($AA$3:$AA$10000,MATCH(ROWS($AC$3:AC2345),$AC$3:$AC$10000,0)),"")</f>
        <v/>
      </c>
      <c r="AE2345" s="117" t="str">
        <f>+'Packing Material - Cost'!A2346</f>
        <v/>
      </c>
    </row>
    <row r="2346" spans="27:31">
      <c r="AA2346" s="117">
        <f>+'Ingredient List - Mother Tinctu'!D2347</f>
        <v>0</v>
      </c>
      <c r="AB2346" s="117">
        <f t="shared" si="39"/>
        <v>0</v>
      </c>
      <c r="AC2346" s="117" t="str">
        <f>IF(AB2346=1,COUNTIF($AB$3:AB2346,1),"")</f>
        <v/>
      </c>
      <c r="AD2346" s="117" t="str">
        <f>IFERROR(INDEX($AA$3:$AA$10000,MATCH(ROWS($AC$3:AC2346),$AC$3:$AC$10000,0)),"")</f>
        <v/>
      </c>
      <c r="AE2346" s="117" t="str">
        <f>+'Packing Material - Cost'!A2347</f>
        <v/>
      </c>
    </row>
    <row r="2347" spans="27:31">
      <c r="AA2347" s="117">
        <f>+'Ingredient List - Mother Tinctu'!D2348</f>
        <v>0</v>
      </c>
      <c r="AB2347" s="117">
        <f t="shared" si="39"/>
        <v>0</v>
      </c>
      <c r="AC2347" s="117" t="str">
        <f>IF(AB2347=1,COUNTIF($AB$3:AB2347,1),"")</f>
        <v/>
      </c>
      <c r="AD2347" s="117" t="str">
        <f>IFERROR(INDEX($AA$3:$AA$10000,MATCH(ROWS($AC$3:AC2347),$AC$3:$AC$10000,0)),"")</f>
        <v/>
      </c>
      <c r="AE2347" s="117" t="str">
        <f>+'Packing Material - Cost'!A2348</f>
        <v/>
      </c>
    </row>
    <row r="2348" spans="27:31">
      <c r="AA2348" s="117">
        <f>+'Ingredient List - Mother Tinctu'!D2349</f>
        <v>0</v>
      </c>
      <c r="AB2348" s="117">
        <f t="shared" si="39"/>
        <v>0</v>
      </c>
      <c r="AC2348" s="117" t="str">
        <f>IF(AB2348=1,COUNTIF($AB$3:AB2348,1),"")</f>
        <v/>
      </c>
      <c r="AD2348" s="117" t="str">
        <f>IFERROR(INDEX($AA$3:$AA$10000,MATCH(ROWS($AC$3:AC2348),$AC$3:$AC$10000,0)),"")</f>
        <v/>
      </c>
      <c r="AE2348" s="117" t="str">
        <f>+'Packing Material - Cost'!A2349</f>
        <v/>
      </c>
    </row>
    <row r="2349" spans="27:31">
      <c r="AA2349" s="117">
        <f>+'Ingredient List - Mother Tinctu'!D2350</f>
        <v>0</v>
      </c>
      <c r="AB2349" s="117">
        <f t="shared" si="39"/>
        <v>0</v>
      </c>
      <c r="AC2349" s="117" t="str">
        <f>IF(AB2349=1,COUNTIF($AB$3:AB2349,1),"")</f>
        <v/>
      </c>
      <c r="AD2349" s="117" t="str">
        <f>IFERROR(INDEX($AA$3:$AA$10000,MATCH(ROWS($AC$3:AC2349),$AC$3:$AC$10000,0)),"")</f>
        <v/>
      </c>
      <c r="AE2349" s="117" t="str">
        <f>+'Packing Material - Cost'!A2350</f>
        <v/>
      </c>
    </row>
    <row r="2350" spans="27:31">
      <c r="AA2350" s="117">
        <f>+'Ingredient List - Mother Tinctu'!D2351</f>
        <v>0</v>
      </c>
      <c r="AB2350" s="117">
        <f t="shared" si="39"/>
        <v>0</v>
      </c>
      <c r="AC2350" s="117" t="str">
        <f>IF(AB2350=1,COUNTIF($AB$3:AB2350,1),"")</f>
        <v/>
      </c>
      <c r="AD2350" s="117" t="str">
        <f>IFERROR(INDEX($AA$3:$AA$10000,MATCH(ROWS($AC$3:AC2350),$AC$3:$AC$10000,0)),"")</f>
        <v/>
      </c>
      <c r="AE2350" s="117" t="str">
        <f>+'Packing Material - Cost'!A2351</f>
        <v/>
      </c>
    </row>
    <row r="2351" spans="27:31">
      <c r="AA2351" s="117">
        <f>+'Ingredient List - Mother Tinctu'!D2352</f>
        <v>0</v>
      </c>
      <c r="AB2351" s="117">
        <f t="shared" si="39"/>
        <v>0</v>
      </c>
      <c r="AC2351" s="117" t="str">
        <f>IF(AB2351=1,COUNTIF($AB$3:AB2351,1),"")</f>
        <v/>
      </c>
      <c r="AD2351" s="117" t="str">
        <f>IFERROR(INDEX($AA$3:$AA$10000,MATCH(ROWS($AC$3:AC2351),$AC$3:$AC$10000,0)),"")</f>
        <v/>
      </c>
      <c r="AE2351" s="117" t="str">
        <f>+'Packing Material - Cost'!A2352</f>
        <v/>
      </c>
    </row>
    <row r="2352" spans="27:31">
      <c r="AA2352" s="117">
        <f>+'Ingredient List - Mother Tinctu'!D2353</f>
        <v>0</v>
      </c>
      <c r="AB2352" s="117">
        <f t="shared" si="39"/>
        <v>0</v>
      </c>
      <c r="AC2352" s="117" t="str">
        <f>IF(AB2352=1,COUNTIF($AB$3:AB2352,1),"")</f>
        <v/>
      </c>
      <c r="AD2352" s="117" t="str">
        <f>IFERROR(INDEX($AA$3:$AA$10000,MATCH(ROWS($AC$3:AC2352),$AC$3:$AC$10000,0)),"")</f>
        <v/>
      </c>
      <c r="AE2352" s="117" t="str">
        <f>+'Packing Material - Cost'!A2353</f>
        <v/>
      </c>
    </row>
    <row r="2353" spans="27:31">
      <c r="AA2353" s="117">
        <f>+'Ingredient List - Mother Tinctu'!D2354</f>
        <v>0</v>
      </c>
      <c r="AB2353" s="117">
        <f t="shared" si="39"/>
        <v>0</v>
      </c>
      <c r="AC2353" s="117" t="str">
        <f>IF(AB2353=1,COUNTIF($AB$3:AB2353,1),"")</f>
        <v/>
      </c>
      <c r="AD2353" s="117" t="str">
        <f>IFERROR(INDEX($AA$3:$AA$10000,MATCH(ROWS($AC$3:AC2353),$AC$3:$AC$10000,0)),"")</f>
        <v/>
      </c>
      <c r="AE2353" s="117" t="str">
        <f>+'Packing Material - Cost'!A2354</f>
        <v/>
      </c>
    </row>
    <row r="2354" spans="27:31">
      <c r="AA2354" s="117">
        <f>+'Ingredient List - Mother Tinctu'!D2355</f>
        <v>0</v>
      </c>
      <c r="AB2354" s="117">
        <f t="shared" si="39"/>
        <v>0</v>
      </c>
      <c r="AC2354" s="117" t="str">
        <f>IF(AB2354=1,COUNTIF($AB$3:AB2354,1),"")</f>
        <v/>
      </c>
      <c r="AD2354" s="117" t="str">
        <f>IFERROR(INDEX($AA$3:$AA$10000,MATCH(ROWS($AC$3:AC2354),$AC$3:$AC$10000,0)),"")</f>
        <v/>
      </c>
      <c r="AE2354" s="117" t="str">
        <f>+'Packing Material - Cost'!A2355</f>
        <v/>
      </c>
    </row>
    <row r="2355" spans="27:31">
      <c r="AA2355" s="117">
        <f>+'Ingredient List - Mother Tinctu'!D2356</f>
        <v>0</v>
      </c>
      <c r="AB2355" s="117">
        <f t="shared" si="39"/>
        <v>0</v>
      </c>
      <c r="AC2355" s="117" t="str">
        <f>IF(AB2355=1,COUNTIF($AB$3:AB2355,1),"")</f>
        <v/>
      </c>
      <c r="AD2355" s="117" t="str">
        <f>IFERROR(INDEX($AA$3:$AA$10000,MATCH(ROWS($AC$3:AC2355),$AC$3:$AC$10000,0)),"")</f>
        <v/>
      </c>
      <c r="AE2355" s="117" t="str">
        <f>+'Packing Material - Cost'!A2356</f>
        <v/>
      </c>
    </row>
    <row r="2356" spans="27:31">
      <c r="AA2356" s="117">
        <f>+'Ingredient List - Mother Tinctu'!D2357</f>
        <v>0</v>
      </c>
      <c r="AB2356" s="117">
        <f t="shared" si="39"/>
        <v>0</v>
      </c>
      <c r="AC2356" s="117" t="str">
        <f>IF(AB2356=1,COUNTIF($AB$3:AB2356,1),"")</f>
        <v/>
      </c>
      <c r="AD2356" s="117" t="str">
        <f>IFERROR(INDEX($AA$3:$AA$10000,MATCH(ROWS($AC$3:AC2356),$AC$3:$AC$10000,0)),"")</f>
        <v/>
      </c>
      <c r="AE2356" s="117" t="str">
        <f>+'Packing Material - Cost'!A2357</f>
        <v/>
      </c>
    </row>
    <row r="2357" spans="27:31">
      <c r="AA2357" s="117">
        <f>+'Ingredient List - Mother Tinctu'!D2358</f>
        <v>0</v>
      </c>
      <c r="AB2357" s="117">
        <f t="shared" si="39"/>
        <v>0</v>
      </c>
      <c r="AC2357" s="117" t="str">
        <f>IF(AB2357=1,COUNTIF($AB$3:AB2357,1),"")</f>
        <v/>
      </c>
      <c r="AD2357" s="117" t="str">
        <f>IFERROR(INDEX($AA$3:$AA$10000,MATCH(ROWS($AC$3:AC2357),$AC$3:$AC$10000,0)),"")</f>
        <v/>
      </c>
      <c r="AE2357" s="117" t="str">
        <f>+'Packing Material - Cost'!A2358</f>
        <v/>
      </c>
    </row>
    <row r="2358" spans="27:31">
      <c r="AA2358" s="117">
        <f>+'Ingredient List - Mother Tinctu'!D2359</f>
        <v>0</v>
      </c>
      <c r="AB2358" s="117">
        <f t="shared" si="39"/>
        <v>0</v>
      </c>
      <c r="AC2358" s="117" t="str">
        <f>IF(AB2358=1,COUNTIF($AB$3:AB2358,1),"")</f>
        <v/>
      </c>
      <c r="AD2358" s="117" t="str">
        <f>IFERROR(INDEX($AA$3:$AA$10000,MATCH(ROWS($AC$3:AC2358),$AC$3:$AC$10000,0)),"")</f>
        <v/>
      </c>
      <c r="AE2358" s="117" t="str">
        <f>+'Packing Material - Cost'!A2359</f>
        <v/>
      </c>
    </row>
    <row r="2359" spans="27:31">
      <c r="AA2359" s="117">
        <f>+'Ingredient List - Mother Tinctu'!D2360</f>
        <v>0</v>
      </c>
      <c r="AB2359" s="117">
        <f t="shared" si="39"/>
        <v>0</v>
      </c>
      <c r="AC2359" s="117" t="str">
        <f>IF(AB2359=1,COUNTIF($AB$3:AB2359,1),"")</f>
        <v/>
      </c>
      <c r="AD2359" s="117" t="str">
        <f>IFERROR(INDEX($AA$3:$AA$10000,MATCH(ROWS($AC$3:AC2359),$AC$3:$AC$10000,0)),"")</f>
        <v/>
      </c>
      <c r="AE2359" s="117" t="str">
        <f>+'Packing Material - Cost'!A2360</f>
        <v/>
      </c>
    </row>
    <row r="2360" spans="27:31">
      <c r="AA2360" s="117">
        <f>+'Ingredient List - Mother Tinctu'!D2361</f>
        <v>0</v>
      </c>
      <c r="AB2360" s="117">
        <f t="shared" si="39"/>
        <v>0</v>
      </c>
      <c r="AC2360" s="117" t="str">
        <f>IF(AB2360=1,COUNTIF($AB$3:AB2360,1),"")</f>
        <v/>
      </c>
      <c r="AD2360" s="117" t="str">
        <f>IFERROR(INDEX($AA$3:$AA$10000,MATCH(ROWS($AC$3:AC2360),$AC$3:$AC$10000,0)),"")</f>
        <v/>
      </c>
      <c r="AE2360" s="117" t="str">
        <f>+'Packing Material - Cost'!A2361</f>
        <v/>
      </c>
    </row>
    <row r="2361" spans="27:31">
      <c r="AA2361" s="117">
        <f>+'Ingredient List - Mother Tinctu'!D2362</f>
        <v>0</v>
      </c>
      <c r="AB2361" s="117">
        <f t="shared" si="39"/>
        <v>0</v>
      </c>
      <c r="AC2361" s="117" t="str">
        <f>IF(AB2361=1,COUNTIF($AB$3:AB2361,1),"")</f>
        <v/>
      </c>
      <c r="AD2361" s="117" t="str">
        <f>IFERROR(INDEX($AA$3:$AA$10000,MATCH(ROWS($AC$3:AC2361),$AC$3:$AC$10000,0)),"")</f>
        <v/>
      </c>
      <c r="AE2361" s="117" t="str">
        <f>+'Packing Material - Cost'!A2362</f>
        <v/>
      </c>
    </row>
    <row r="2362" spans="27:31">
      <c r="AA2362" s="117">
        <f>+'Ingredient List - Mother Tinctu'!D2363</f>
        <v>0</v>
      </c>
      <c r="AB2362" s="117">
        <f t="shared" si="39"/>
        <v>0</v>
      </c>
      <c r="AC2362" s="117" t="str">
        <f>IF(AB2362=1,COUNTIF($AB$3:AB2362,1),"")</f>
        <v/>
      </c>
      <c r="AD2362" s="117" t="str">
        <f>IFERROR(INDEX($AA$3:$AA$10000,MATCH(ROWS($AC$3:AC2362),$AC$3:$AC$10000,0)),"")</f>
        <v/>
      </c>
      <c r="AE2362" s="117" t="str">
        <f>+'Packing Material - Cost'!A2363</f>
        <v/>
      </c>
    </row>
    <row r="2363" spans="27:31">
      <c r="AA2363" s="117">
        <f>+'Ingredient List - Mother Tinctu'!D2364</f>
        <v>0</v>
      </c>
      <c r="AB2363" s="117">
        <f t="shared" si="39"/>
        <v>0</v>
      </c>
      <c r="AC2363" s="117" t="str">
        <f>IF(AB2363=1,COUNTIF($AB$3:AB2363,1),"")</f>
        <v/>
      </c>
      <c r="AD2363" s="117" t="str">
        <f>IFERROR(INDEX($AA$3:$AA$10000,MATCH(ROWS($AC$3:AC2363),$AC$3:$AC$10000,0)),"")</f>
        <v/>
      </c>
      <c r="AE2363" s="117" t="str">
        <f>+'Packing Material - Cost'!A2364</f>
        <v/>
      </c>
    </row>
    <row r="2364" spans="27:31">
      <c r="AA2364" s="117">
        <f>+'Ingredient List - Mother Tinctu'!D2365</f>
        <v>0</v>
      </c>
      <c r="AB2364" s="117">
        <f t="shared" si="39"/>
        <v>0</v>
      </c>
      <c r="AC2364" s="117" t="str">
        <f>IF(AB2364=1,COUNTIF($AB$3:AB2364,1),"")</f>
        <v/>
      </c>
      <c r="AD2364" s="117" t="str">
        <f>IFERROR(INDEX($AA$3:$AA$10000,MATCH(ROWS($AC$3:AC2364),$AC$3:$AC$10000,0)),"")</f>
        <v/>
      </c>
      <c r="AE2364" s="117" t="str">
        <f>+'Packing Material - Cost'!A2365</f>
        <v/>
      </c>
    </row>
    <row r="2365" spans="27:31">
      <c r="AA2365" s="117">
        <f>+'Ingredient List - Mother Tinctu'!D2366</f>
        <v>0</v>
      </c>
      <c r="AB2365" s="117">
        <f t="shared" si="39"/>
        <v>0</v>
      </c>
      <c r="AC2365" s="117" t="str">
        <f>IF(AB2365=1,COUNTIF($AB$3:AB2365,1),"")</f>
        <v/>
      </c>
      <c r="AD2365" s="117" t="str">
        <f>IFERROR(INDEX($AA$3:$AA$10000,MATCH(ROWS($AC$3:AC2365),$AC$3:$AC$10000,0)),"")</f>
        <v/>
      </c>
      <c r="AE2365" s="117" t="str">
        <f>+'Packing Material - Cost'!A2366</f>
        <v/>
      </c>
    </row>
    <row r="2366" spans="27:31">
      <c r="AA2366" s="117">
        <f>+'Ingredient List - Mother Tinctu'!D2367</f>
        <v>0</v>
      </c>
      <c r="AB2366" s="117">
        <f t="shared" si="39"/>
        <v>0</v>
      </c>
      <c r="AC2366" s="117" t="str">
        <f>IF(AB2366=1,COUNTIF($AB$3:AB2366,1),"")</f>
        <v/>
      </c>
      <c r="AD2366" s="117" t="str">
        <f>IFERROR(INDEX($AA$3:$AA$10000,MATCH(ROWS($AC$3:AC2366),$AC$3:$AC$10000,0)),"")</f>
        <v/>
      </c>
      <c r="AE2366" s="117" t="str">
        <f>+'Packing Material - Cost'!A2367</f>
        <v/>
      </c>
    </row>
    <row r="2367" spans="27:31">
      <c r="AA2367" s="117">
        <f>+'Ingredient List - Mother Tinctu'!D2368</f>
        <v>0</v>
      </c>
      <c r="AB2367" s="117">
        <f t="shared" si="39"/>
        <v>0</v>
      </c>
      <c r="AC2367" s="117" t="str">
        <f>IF(AB2367=1,COUNTIF($AB$3:AB2367,1),"")</f>
        <v/>
      </c>
      <c r="AD2367" s="117" t="str">
        <f>IFERROR(INDEX($AA$3:$AA$10000,MATCH(ROWS($AC$3:AC2367),$AC$3:$AC$10000,0)),"")</f>
        <v/>
      </c>
      <c r="AE2367" s="117" t="str">
        <f>+'Packing Material - Cost'!A2368</f>
        <v/>
      </c>
    </row>
    <row r="2368" spans="27:31">
      <c r="AA2368" s="117">
        <f>+'Ingredient List - Mother Tinctu'!D2369</f>
        <v>0</v>
      </c>
      <c r="AB2368" s="117">
        <f t="shared" si="39"/>
        <v>0</v>
      </c>
      <c r="AC2368" s="117" t="str">
        <f>IF(AB2368=1,COUNTIF($AB$3:AB2368,1),"")</f>
        <v/>
      </c>
      <c r="AD2368" s="117" t="str">
        <f>IFERROR(INDEX($AA$3:$AA$10000,MATCH(ROWS($AC$3:AC2368),$AC$3:$AC$10000,0)),"")</f>
        <v/>
      </c>
      <c r="AE2368" s="117" t="str">
        <f>+'Packing Material - Cost'!A2369</f>
        <v/>
      </c>
    </row>
    <row r="2369" spans="27:31">
      <c r="AA2369" s="117">
        <f>+'Ingredient List - Mother Tinctu'!D2370</f>
        <v>0</v>
      </c>
      <c r="AB2369" s="117">
        <f t="shared" si="39"/>
        <v>0</v>
      </c>
      <c r="AC2369" s="117" t="str">
        <f>IF(AB2369=1,COUNTIF($AB$3:AB2369,1),"")</f>
        <v/>
      </c>
      <c r="AD2369" s="117" t="str">
        <f>IFERROR(INDEX($AA$3:$AA$10000,MATCH(ROWS($AC$3:AC2369),$AC$3:$AC$10000,0)),"")</f>
        <v/>
      </c>
      <c r="AE2369" s="117" t="str">
        <f>+'Packing Material - Cost'!A2370</f>
        <v/>
      </c>
    </row>
    <row r="2370" spans="27:31">
      <c r="AA2370" s="117">
        <f>+'Ingredient List - Mother Tinctu'!D2371</f>
        <v>0</v>
      </c>
      <c r="AB2370" s="117">
        <f t="shared" si="39"/>
        <v>0</v>
      </c>
      <c r="AC2370" s="117" t="str">
        <f>IF(AB2370=1,COUNTIF($AB$3:AB2370,1),"")</f>
        <v/>
      </c>
      <c r="AD2370" s="117" t="str">
        <f>IFERROR(INDEX($AA$3:$AA$10000,MATCH(ROWS($AC$3:AC2370),$AC$3:$AC$10000,0)),"")</f>
        <v/>
      </c>
      <c r="AE2370" s="117" t="str">
        <f>+'Packing Material - Cost'!A2371</f>
        <v/>
      </c>
    </row>
    <row r="2371" spans="27:31">
      <c r="AA2371" s="117">
        <f>+'Ingredient List - Mother Tinctu'!D2372</f>
        <v>0</v>
      </c>
      <c r="AB2371" s="117">
        <f t="shared" si="39"/>
        <v>0</v>
      </c>
      <c r="AC2371" s="117" t="str">
        <f>IF(AB2371=1,COUNTIF($AB$3:AB2371,1),"")</f>
        <v/>
      </c>
      <c r="AD2371" s="117" t="str">
        <f>IFERROR(INDEX($AA$3:$AA$10000,MATCH(ROWS($AC$3:AC2371),$AC$3:$AC$10000,0)),"")</f>
        <v/>
      </c>
      <c r="AE2371" s="117" t="str">
        <f>+'Packing Material - Cost'!A2372</f>
        <v/>
      </c>
    </row>
    <row r="2372" spans="27:31">
      <c r="AA2372" s="117">
        <f>+'Ingredient List - Mother Tinctu'!D2373</f>
        <v>0</v>
      </c>
      <c r="AB2372" s="117">
        <f t="shared" ref="AB2372:AB2435" si="40">--ISNUMBER(IFERROR(SEARCH($D$3,AA2372,1),""))</f>
        <v>0</v>
      </c>
      <c r="AC2372" s="117" t="str">
        <f>IF(AB2372=1,COUNTIF($AB$3:AB2372,1),"")</f>
        <v/>
      </c>
      <c r="AD2372" s="117" t="str">
        <f>IFERROR(INDEX($AA$3:$AA$10000,MATCH(ROWS($AC$3:AC2372),$AC$3:$AC$10000,0)),"")</f>
        <v/>
      </c>
      <c r="AE2372" s="117" t="str">
        <f>+'Packing Material - Cost'!A2373</f>
        <v/>
      </c>
    </row>
    <row r="2373" spans="27:31">
      <c r="AA2373" s="117">
        <f>+'Ingredient List - Mother Tinctu'!D2374</f>
        <v>0</v>
      </c>
      <c r="AB2373" s="117">
        <f t="shared" si="40"/>
        <v>0</v>
      </c>
      <c r="AC2373" s="117" t="str">
        <f>IF(AB2373=1,COUNTIF($AB$3:AB2373,1),"")</f>
        <v/>
      </c>
      <c r="AD2373" s="117" t="str">
        <f>IFERROR(INDEX($AA$3:$AA$10000,MATCH(ROWS($AC$3:AC2373),$AC$3:$AC$10000,0)),"")</f>
        <v/>
      </c>
      <c r="AE2373" s="117" t="str">
        <f>+'Packing Material - Cost'!A2374</f>
        <v/>
      </c>
    </row>
    <row r="2374" spans="27:31">
      <c r="AA2374" s="117">
        <f>+'Ingredient List - Mother Tinctu'!D2375</f>
        <v>0</v>
      </c>
      <c r="AB2374" s="117">
        <f t="shared" si="40"/>
        <v>0</v>
      </c>
      <c r="AC2374" s="117" t="str">
        <f>IF(AB2374=1,COUNTIF($AB$3:AB2374,1),"")</f>
        <v/>
      </c>
      <c r="AD2374" s="117" t="str">
        <f>IFERROR(INDEX($AA$3:$AA$10000,MATCH(ROWS($AC$3:AC2374),$AC$3:$AC$10000,0)),"")</f>
        <v/>
      </c>
      <c r="AE2374" s="117" t="str">
        <f>+'Packing Material - Cost'!A2375</f>
        <v/>
      </c>
    </row>
    <row r="2375" spans="27:31">
      <c r="AA2375" s="117">
        <f>+'Ingredient List - Mother Tinctu'!D2376</f>
        <v>0</v>
      </c>
      <c r="AB2375" s="117">
        <f t="shared" si="40"/>
        <v>0</v>
      </c>
      <c r="AC2375" s="117" t="str">
        <f>IF(AB2375=1,COUNTIF($AB$3:AB2375,1),"")</f>
        <v/>
      </c>
      <c r="AD2375" s="117" t="str">
        <f>IFERROR(INDEX($AA$3:$AA$10000,MATCH(ROWS($AC$3:AC2375),$AC$3:$AC$10000,0)),"")</f>
        <v/>
      </c>
      <c r="AE2375" s="117" t="str">
        <f>+'Packing Material - Cost'!A2376</f>
        <v/>
      </c>
    </row>
    <row r="2376" spans="27:31">
      <c r="AA2376" s="117">
        <f>+'Ingredient List - Mother Tinctu'!D2377</f>
        <v>0</v>
      </c>
      <c r="AB2376" s="117">
        <f t="shared" si="40"/>
        <v>0</v>
      </c>
      <c r="AC2376" s="117" t="str">
        <f>IF(AB2376=1,COUNTIF($AB$3:AB2376,1),"")</f>
        <v/>
      </c>
      <c r="AD2376" s="117" t="str">
        <f>IFERROR(INDEX($AA$3:$AA$10000,MATCH(ROWS($AC$3:AC2376),$AC$3:$AC$10000,0)),"")</f>
        <v/>
      </c>
      <c r="AE2376" s="117" t="str">
        <f>+'Packing Material - Cost'!A2377</f>
        <v/>
      </c>
    </row>
    <row r="2377" spans="27:31">
      <c r="AA2377" s="117">
        <f>+'Ingredient List - Mother Tinctu'!D2378</f>
        <v>0</v>
      </c>
      <c r="AB2377" s="117">
        <f t="shared" si="40"/>
        <v>0</v>
      </c>
      <c r="AC2377" s="117" t="str">
        <f>IF(AB2377=1,COUNTIF($AB$3:AB2377,1),"")</f>
        <v/>
      </c>
      <c r="AD2377" s="117" t="str">
        <f>IFERROR(INDEX($AA$3:$AA$10000,MATCH(ROWS($AC$3:AC2377),$AC$3:$AC$10000,0)),"")</f>
        <v/>
      </c>
      <c r="AE2377" s="117" t="str">
        <f>+'Packing Material - Cost'!A2378</f>
        <v/>
      </c>
    </row>
    <row r="2378" spans="27:31">
      <c r="AA2378" s="117">
        <f>+'Ingredient List - Mother Tinctu'!D2379</f>
        <v>0</v>
      </c>
      <c r="AB2378" s="117">
        <f t="shared" si="40"/>
        <v>0</v>
      </c>
      <c r="AC2378" s="117" t="str">
        <f>IF(AB2378=1,COUNTIF($AB$3:AB2378,1),"")</f>
        <v/>
      </c>
      <c r="AD2378" s="117" t="str">
        <f>IFERROR(INDEX($AA$3:$AA$10000,MATCH(ROWS($AC$3:AC2378),$AC$3:$AC$10000,0)),"")</f>
        <v/>
      </c>
      <c r="AE2378" s="117" t="str">
        <f>+'Packing Material - Cost'!A2379</f>
        <v/>
      </c>
    </row>
    <row r="2379" spans="27:31">
      <c r="AA2379" s="117">
        <f>+'Ingredient List - Mother Tinctu'!D2380</f>
        <v>0</v>
      </c>
      <c r="AB2379" s="117">
        <f t="shared" si="40"/>
        <v>0</v>
      </c>
      <c r="AC2379" s="117" t="str">
        <f>IF(AB2379=1,COUNTIF($AB$3:AB2379,1),"")</f>
        <v/>
      </c>
      <c r="AD2379" s="117" t="str">
        <f>IFERROR(INDEX($AA$3:$AA$10000,MATCH(ROWS($AC$3:AC2379),$AC$3:$AC$10000,0)),"")</f>
        <v/>
      </c>
      <c r="AE2379" s="117" t="str">
        <f>+'Packing Material - Cost'!A2380</f>
        <v/>
      </c>
    </row>
    <row r="2380" spans="27:31">
      <c r="AA2380" s="117">
        <f>+'Ingredient List - Mother Tinctu'!D2381</f>
        <v>0</v>
      </c>
      <c r="AB2380" s="117">
        <f t="shared" si="40"/>
        <v>0</v>
      </c>
      <c r="AC2380" s="117" t="str">
        <f>IF(AB2380=1,COUNTIF($AB$3:AB2380,1),"")</f>
        <v/>
      </c>
      <c r="AD2380" s="117" t="str">
        <f>IFERROR(INDEX($AA$3:$AA$10000,MATCH(ROWS($AC$3:AC2380),$AC$3:$AC$10000,0)),"")</f>
        <v/>
      </c>
      <c r="AE2380" s="117" t="str">
        <f>+'Packing Material - Cost'!A2381</f>
        <v/>
      </c>
    </row>
    <row r="2381" spans="27:31">
      <c r="AA2381" s="117">
        <f>+'Ingredient List - Mother Tinctu'!D2382</f>
        <v>0</v>
      </c>
      <c r="AB2381" s="117">
        <f t="shared" si="40"/>
        <v>0</v>
      </c>
      <c r="AC2381" s="117" t="str">
        <f>IF(AB2381=1,COUNTIF($AB$3:AB2381,1),"")</f>
        <v/>
      </c>
      <c r="AD2381" s="117" t="str">
        <f>IFERROR(INDEX($AA$3:$AA$10000,MATCH(ROWS($AC$3:AC2381),$AC$3:$AC$10000,0)),"")</f>
        <v/>
      </c>
      <c r="AE2381" s="117" t="str">
        <f>+'Packing Material - Cost'!A2382</f>
        <v/>
      </c>
    </row>
    <row r="2382" spans="27:31">
      <c r="AA2382" s="117">
        <f>+'Ingredient List - Mother Tinctu'!D2383</f>
        <v>0</v>
      </c>
      <c r="AB2382" s="117">
        <f t="shared" si="40"/>
        <v>0</v>
      </c>
      <c r="AC2382" s="117" t="str">
        <f>IF(AB2382=1,COUNTIF($AB$3:AB2382,1),"")</f>
        <v/>
      </c>
      <c r="AD2382" s="117" t="str">
        <f>IFERROR(INDEX($AA$3:$AA$10000,MATCH(ROWS($AC$3:AC2382),$AC$3:$AC$10000,0)),"")</f>
        <v/>
      </c>
      <c r="AE2382" s="117" t="str">
        <f>+'Packing Material - Cost'!A2383</f>
        <v/>
      </c>
    </row>
    <row r="2383" spans="27:31">
      <c r="AA2383" s="117">
        <f>+'Ingredient List - Mother Tinctu'!D2384</f>
        <v>0</v>
      </c>
      <c r="AB2383" s="117">
        <f t="shared" si="40"/>
        <v>0</v>
      </c>
      <c r="AC2383" s="117" t="str">
        <f>IF(AB2383=1,COUNTIF($AB$3:AB2383,1),"")</f>
        <v/>
      </c>
      <c r="AD2383" s="117" t="str">
        <f>IFERROR(INDEX($AA$3:$AA$10000,MATCH(ROWS($AC$3:AC2383),$AC$3:$AC$10000,0)),"")</f>
        <v/>
      </c>
      <c r="AE2383" s="117" t="str">
        <f>+'Packing Material - Cost'!A2384</f>
        <v/>
      </c>
    </row>
    <row r="2384" spans="27:31">
      <c r="AA2384" s="117">
        <f>+'Ingredient List - Mother Tinctu'!D2385</f>
        <v>0</v>
      </c>
      <c r="AB2384" s="117">
        <f t="shared" si="40"/>
        <v>0</v>
      </c>
      <c r="AC2384" s="117" t="str">
        <f>IF(AB2384=1,COUNTIF($AB$3:AB2384,1),"")</f>
        <v/>
      </c>
      <c r="AD2384" s="117" t="str">
        <f>IFERROR(INDEX($AA$3:$AA$10000,MATCH(ROWS($AC$3:AC2384),$AC$3:$AC$10000,0)),"")</f>
        <v/>
      </c>
      <c r="AE2384" s="117" t="str">
        <f>+'Packing Material - Cost'!A2385</f>
        <v/>
      </c>
    </row>
    <row r="2385" spans="27:31">
      <c r="AA2385" s="117">
        <f>+'Ingredient List - Mother Tinctu'!D2386</f>
        <v>0</v>
      </c>
      <c r="AB2385" s="117">
        <f t="shared" si="40"/>
        <v>0</v>
      </c>
      <c r="AC2385" s="117" t="str">
        <f>IF(AB2385=1,COUNTIF($AB$3:AB2385,1),"")</f>
        <v/>
      </c>
      <c r="AD2385" s="117" t="str">
        <f>IFERROR(INDEX($AA$3:$AA$10000,MATCH(ROWS($AC$3:AC2385),$AC$3:$AC$10000,0)),"")</f>
        <v/>
      </c>
      <c r="AE2385" s="117" t="str">
        <f>+'Packing Material - Cost'!A2386</f>
        <v/>
      </c>
    </row>
    <row r="2386" spans="27:31">
      <c r="AA2386" s="117">
        <f>+'Ingredient List - Mother Tinctu'!D2387</f>
        <v>0</v>
      </c>
      <c r="AB2386" s="117">
        <f t="shared" si="40"/>
        <v>0</v>
      </c>
      <c r="AC2386" s="117" t="str">
        <f>IF(AB2386=1,COUNTIF($AB$3:AB2386,1),"")</f>
        <v/>
      </c>
      <c r="AD2386" s="117" t="str">
        <f>IFERROR(INDEX($AA$3:$AA$10000,MATCH(ROWS($AC$3:AC2386),$AC$3:$AC$10000,0)),"")</f>
        <v/>
      </c>
      <c r="AE2386" s="117" t="str">
        <f>+'Packing Material - Cost'!A2387</f>
        <v/>
      </c>
    </row>
    <row r="2387" spans="27:31">
      <c r="AA2387" s="117">
        <f>+'Ingredient List - Mother Tinctu'!D2388</f>
        <v>0</v>
      </c>
      <c r="AB2387" s="117">
        <f t="shared" si="40"/>
        <v>0</v>
      </c>
      <c r="AC2387" s="117" t="str">
        <f>IF(AB2387=1,COUNTIF($AB$3:AB2387,1),"")</f>
        <v/>
      </c>
      <c r="AD2387" s="117" t="str">
        <f>IFERROR(INDEX($AA$3:$AA$10000,MATCH(ROWS($AC$3:AC2387),$AC$3:$AC$10000,0)),"")</f>
        <v/>
      </c>
      <c r="AE2387" s="117" t="str">
        <f>+'Packing Material - Cost'!A2388</f>
        <v/>
      </c>
    </row>
    <row r="2388" spans="27:31">
      <c r="AA2388" s="117">
        <f>+'Ingredient List - Mother Tinctu'!D2389</f>
        <v>0</v>
      </c>
      <c r="AB2388" s="117">
        <f t="shared" si="40"/>
        <v>0</v>
      </c>
      <c r="AC2388" s="117" t="str">
        <f>IF(AB2388=1,COUNTIF($AB$3:AB2388,1),"")</f>
        <v/>
      </c>
      <c r="AD2388" s="117" t="str">
        <f>IFERROR(INDEX($AA$3:$AA$10000,MATCH(ROWS($AC$3:AC2388),$AC$3:$AC$10000,0)),"")</f>
        <v/>
      </c>
      <c r="AE2388" s="117" t="str">
        <f>+'Packing Material - Cost'!A2389</f>
        <v/>
      </c>
    </row>
    <row r="2389" spans="27:31">
      <c r="AA2389" s="117">
        <f>+'Ingredient List - Mother Tinctu'!D2390</f>
        <v>0</v>
      </c>
      <c r="AB2389" s="117">
        <f t="shared" si="40"/>
        <v>0</v>
      </c>
      <c r="AC2389" s="117" t="str">
        <f>IF(AB2389=1,COUNTIF($AB$3:AB2389,1),"")</f>
        <v/>
      </c>
      <c r="AD2389" s="117" t="str">
        <f>IFERROR(INDEX($AA$3:$AA$10000,MATCH(ROWS($AC$3:AC2389),$AC$3:$AC$10000,0)),"")</f>
        <v/>
      </c>
      <c r="AE2389" s="117" t="str">
        <f>+'Packing Material - Cost'!A2390</f>
        <v/>
      </c>
    </row>
    <row r="2390" spans="27:31">
      <c r="AA2390" s="117">
        <f>+'Ingredient List - Mother Tinctu'!D2391</f>
        <v>0</v>
      </c>
      <c r="AB2390" s="117">
        <f t="shared" si="40"/>
        <v>0</v>
      </c>
      <c r="AC2390" s="117" t="str">
        <f>IF(AB2390=1,COUNTIF($AB$3:AB2390,1),"")</f>
        <v/>
      </c>
      <c r="AD2390" s="117" t="str">
        <f>IFERROR(INDEX($AA$3:$AA$10000,MATCH(ROWS($AC$3:AC2390),$AC$3:$AC$10000,0)),"")</f>
        <v/>
      </c>
      <c r="AE2390" s="117" t="str">
        <f>+'Packing Material - Cost'!A2391</f>
        <v/>
      </c>
    </row>
    <row r="2391" spans="27:31">
      <c r="AA2391" s="117">
        <f>+'Ingredient List - Mother Tinctu'!D2392</f>
        <v>0</v>
      </c>
      <c r="AB2391" s="117">
        <f t="shared" si="40"/>
        <v>0</v>
      </c>
      <c r="AC2391" s="117" t="str">
        <f>IF(AB2391=1,COUNTIF($AB$3:AB2391,1),"")</f>
        <v/>
      </c>
      <c r="AD2391" s="117" t="str">
        <f>IFERROR(INDEX($AA$3:$AA$10000,MATCH(ROWS($AC$3:AC2391),$AC$3:$AC$10000,0)),"")</f>
        <v/>
      </c>
      <c r="AE2391" s="117" t="str">
        <f>+'Packing Material - Cost'!A2392</f>
        <v/>
      </c>
    </row>
    <row r="2392" spans="27:31">
      <c r="AA2392" s="117">
        <f>+'Ingredient List - Mother Tinctu'!D2393</f>
        <v>0</v>
      </c>
      <c r="AB2392" s="117">
        <f t="shared" si="40"/>
        <v>0</v>
      </c>
      <c r="AC2392" s="117" t="str">
        <f>IF(AB2392=1,COUNTIF($AB$3:AB2392,1),"")</f>
        <v/>
      </c>
      <c r="AD2392" s="117" t="str">
        <f>IFERROR(INDEX($AA$3:$AA$10000,MATCH(ROWS($AC$3:AC2392),$AC$3:$AC$10000,0)),"")</f>
        <v/>
      </c>
      <c r="AE2392" s="117" t="str">
        <f>+'Packing Material - Cost'!A2393</f>
        <v/>
      </c>
    </row>
    <row r="2393" spans="27:31">
      <c r="AA2393" s="117">
        <f>+'Ingredient List - Mother Tinctu'!D2394</f>
        <v>0</v>
      </c>
      <c r="AB2393" s="117">
        <f t="shared" si="40"/>
        <v>0</v>
      </c>
      <c r="AC2393" s="117" t="str">
        <f>IF(AB2393=1,COUNTIF($AB$3:AB2393,1),"")</f>
        <v/>
      </c>
      <c r="AD2393" s="117" t="str">
        <f>IFERROR(INDEX($AA$3:$AA$10000,MATCH(ROWS($AC$3:AC2393),$AC$3:$AC$10000,0)),"")</f>
        <v/>
      </c>
      <c r="AE2393" s="117" t="str">
        <f>+'Packing Material - Cost'!A2394</f>
        <v/>
      </c>
    </row>
    <row r="2394" spans="27:31">
      <c r="AA2394" s="117">
        <f>+'Ingredient List - Mother Tinctu'!D2395</f>
        <v>0</v>
      </c>
      <c r="AB2394" s="117">
        <f t="shared" si="40"/>
        <v>0</v>
      </c>
      <c r="AC2394" s="117" t="str">
        <f>IF(AB2394=1,COUNTIF($AB$3:AB2394,1),"")</f>
        <v/>
      </c>
      <c r="AD2394" s="117" t="str">
        <f>IFERROR(INDEX($AA$3:$AA$10000,MATCH(ROWS($AC$3:AC2394),$AC$3:$AC$10000,0)),"")</f>
        <v/>
      </c>
      <c r="AE2394" s="117" t="str">
        <f>+'Packing Material - Cost'!A2395</f>
        <v/>
      </c>
    </row>
    <row r="2395" spans="27:31">
      <c r="AA2395" s="117">
        <f>+'Ingredient List - Mother Tinctu'!D2396</f>
        <v>0</v>
      </c>
      <c r="AB2395" s="117">
        <f t="shared" si="40"/>
        <v>0</v>
      </c>
      <c r="AC2395" s="117" t="str">
        <f>IF(AB2395=1,COUNTIF($AB$3:AB2395,1),"")</f>
        <v/>
      </c>
      <c r="AD2395" s="117" t="str">
        <f>IFERROR(INDEX($AA$3:$AA$10000,MATCH(ROWS($AC$3:AC2395),$AC$3:$AC$10000,0)),"")</f>
        <v/>
      </c>
      <c r="AE2395" s="117" t="str">
        <f>+'Packing Material - Cost'!A2396</f>
        <v/>
      </c>
    </row>
    <row r="2396" spans="27:31">
      <c r="AA2396" s="117">
        <f>+'Ingredient List - Mother Tinctu'!D2397</f>
        <v>0</v>
      </c>
      <c r="AB2396" s="117">
        <f t="shared" si="40"/>
        <v>0</v>
      </c>
      <c r="AC2396" s="117" t="str">
        <f>IF(AB2396=1,COUNTIF($AB$3:AB2396,1),"")</f>
        <v/>
      </c>
      <c r="AD2396" s="117" t="str">
        <f>IFERROR(INDEX($AA$3:$AA$10000,MATCH(ROWS($AC$3:AC2396),$AC$3:$AC$10000,0)),"")</f>
        <v/>
      </c>
      <c r="AE2396" s="117" t="str">
        <f>+'Packing Material - Cost'!A2397</f>
        <v/>
      </c>
    </row>
    <row r="2397" spans="27:31">
      <c r="AA2397" s="117">
        <f>+'Ingredient List - Mother Tinctu'!D2398</f>
        <v>0</v>
      </c>
      <c r="AB2397" s="117">
        <f t="shared" si="40"/>
        <v>0</v>
      </c>
      <c r="AC2397" s="117" t="str">
        <f>IF(AB2397=1,COUNTIF($AB$3:AB2397,1),"")</f>
        <v/>
      </c>
      <c r="AD2397" s="117" t="str">
        <f>IFERROR(INDEX($AA$3:$AA$10000,MATCH(ROWS($AC$3:AC2397),$AC$3:$AC$10000,0)),"")</f>
        <v/>
      </c>
      <c r="AE2397" s="117" t="str">
        <f>+'Packing Material - Cost'!A2398</f>
        <v/>
      </c>
    </row>
    <row r="2398" spans="27:31">
      <c r="AA2398" s="117">
        <f>+'Ingredient List - Mother Tinctu'!D2399</f>
        <v>0</v>
      </c>
      <c r="AB2398" s="117">
        <f t="shared" si="40"/>
        <v>0</v>
      </c>
      <c r="AC2398" s="117" t="str">
        <f>IF(AB2398=1,COUNTIF($AB$3:AB2398,1),"")</f>
        <v/>
      </c>
      <c r="AD2398" s="117" t="str">
        <f>IFERROR(INDEX($AA$3:$AA$10000,MATCH(ROWS($AC$3:AC2398),$AC$3:$AC$10000,0)),"")</f>
        <v/>
      </c>
      <c r="AE2398" s="117" t="str">
        <f>+'Packing Material - Cost'!A2399</f>
        <v/>
      </c>
    </row>
    <row r="2399" spans="27:31">
      <c r="AA2399" s="117">
        <f>+'Ingredient List - Mother Tinctu'!D2400</f>
        <v>0</v>
      </c>
      <c r="AB2399" s="117">
        <f t="shared" si="40"/>
        <v>0</v>
      </c>
      <c r="AC2399" s="117" t="str">
        <f>IF(AB2399=1,COUNTIF($AB$3:AB2399,1),"")</f>
        <v/>
      </c>
      <c r="AD2399" s="117" t="str">
        <f>IFERROR(INDEX($AA$3:$AA$10000,MATCH(ROWS($AC$3:AC2399),$AC$3:$AC$10000,0)),"")</f>
        <v/>
      </c>
      <c r="AE2399" s="117" t="str">
        <f>+'Packing Material - Cost'!A2400</f>
        <v/>
      </c>
    </row>
    <row r="2400" spans="27:31">
      <c r="AA2400" s="117">
        <f>+'Ingredient List - Mother Tinctu'!D2401</f>
        <v>0</v>
      </c>
      <c r="AB2400" s="117">
        <f t="shared" si="40"/>
        <v>0</v>
      </c>
      <c r="AC2400" s="117" t="str">
        <f>IF(AB2400=1,COUNTIF($AB$3:AB2400,1),"")</f>
        <v/>
      </c>
      <c r="AD2400" s="117" t="str">
        <f>IFERROR(INDEX($AA$3:$AA$10000,MATCH(ROWS($AC$3:AC2400),$AC$3:$AC$10000,0)),"")</f>
        <v/>
      </c>
      <c r="AE2400" s="117" t="str">
        <f>+'Packing Material - Cost'!A2401</f>
        <v/>
      </c>
    </row>
    <row r="2401" spans="27:31">
      <c r="AA2401" s="117">
        <f>+'Ingredient List - Mother Tinctu'!D2402</f>
        <v>0</v>
      </c>
      <c r="AB2401" s="117">
        <f t="shared" si="40"/>
        <v>0</v>
      </c>
      <c r="AC2401" s="117" t="str">
        <f>IF(AB2401=1,COUNTIF($AB$3:AB2401,1),"")</f>
        <v/>
      </c>
      <c r="AD2401" s="117" t="str">
        <f>IFERROR(INDEX($AA$3:$AA$10000,MATCH(ROWS($AC$3:AC2401),$AC$3:$AC$10000,0)),"")</f>
        <v/>
      </c>
      <c r="AE2401" s="117" t="str">
        <f>+'Packing Material - Cost'!A2402</f>
        <v/>
      </c>
    </row>
    <row r="2402" spans="27:31">
      <c r="AA2402" s="117">
        <f>+'Ingredient List - Mother Tinctu'!D2403</f>
        <v>0</v>
      </c>
      <c r="AB2402" s="117">
        <f t="shared" si="40"/>
        <v>0</v>
      </c>
      <c r="AC2402" s="117" t="str">
        <f>IF(AB2402=1,COUNTIF($AB$3:AB2402,1),"")</f>
        <v/>
      </c>
      <c r="AD2402" s="117" t="str">
        <f>IFERROR(INDEX($AA$3:$AA$10000,MATCH(ROWS($AC$3:AC2402),$AC$3:$AC$10000,0)),"")</f>
        <v/>
      </c>
      <c r="AE2402" s="117" t="str">
        <f>+'Packing Material - Cost'!A2403</f>
        <v/>
      </c>
    </row>
    <row r="2403" spans="27:31">
      <c r="AA2403" s="117">
        <f>+'Ingredient List - Mother Tinctu'!D2404</f>
        <v>0</v>
      </c>
      <c r="AB2403" s="117">
        <f t="shared" si="40"/>
        <v>0</v>
      </c>
      <c r="AC2403" s="117" t="str">
        <f>IF(AB2403=1,COUNTIF($AB$3:AB2403,1),"")</f>
        <v/>
      </c>
      <c r="AD2403" s="117" t="str">
        <f>IFERROR(INDEX($AA$3:$AA$10000,MATCH(ROWS($AC$3:AC2403),$AC$3:$AC$10000,0)),"")</f>
        <v/>
      </c>
      <c r="AE2403" s="117" t="str">
        <f>+'Packing Material - Cost'!A2404</f>
        <v/>
      </c>
    </row>
    <row r="2404" spans="27:31">
      <c r="AA2404" s="117">
        <f>+'Ingredient List - Mother Tinctu'!D2405</f>
        <v>0</v>
      </c>
      <c r="AB2404" s="117">
        <f t="shared" si="40"/>
        <v>0</v>
      </c>
      <c r="AC2404" s="117" t="str">
        <f>IF(AB2404=1,COUNTIF($AB$3:AB2404,1),"")</f>
        <v/>
      </c>
      <c r="AD2404" s="117" t="str">
        <f>IFERROR(INDEX($AA$3:$AA$10000,MATCH(ROWS($AC$3:AC2404),$AC$3:$AC$10000,0)),"")</f>
        <v/>
      </c>
      <c r="AE2404" s="117" t="str">
        <f>+'Packing Material - Cost'!A2405</f>
        <v/>
      </c>
    </row>
    <row r="2405" spans="27:31">
      <c r="AA2405" s="117">
        <f>+'Ingredient List - Mother Tinctu'!D2406</f>
        <v>0</v>
      </c>
      <c r="AB2405" s="117">
        <f t="shared" si="40"/>
        <v>0</v>
      </c>
      <c r="AC2405" s="117" t="str">
        <f>IF(AB2405=1,COUNTIF($AB$3:AB2405,1),"")</f>
        <v/>
      </c>
      <c r="AD2405" s="117" t="str">
        <f>IFERROR(INDEX($AA$3:$AA$10000,MATCH(ROWS($AC$3:AC2405),$AC$3:$AC$10000,0)),"")</f>
        <v/>
      </c>
      <c r="AE2405" s="117" t="str">
        <f>+'Packing Material - Cost'!A2406</f>
        <v/>
      </c>
    </row>
    <row r="2406" spans="27:31">
      <c r="AA2406" s="117">
        <f>+'Ingredient List - Mother Tinctu'!D2407</f>
        <v>0</v>
      </c>
      <c r="AB2406" s="117">
        <f t="shared" si="40"/>
        <v>0</v>
      </c>
      <c r="AC2406" s="117" t="str">
        <f>IF(AB2406=1,COUNTIF($AB$3:AB2406,1),"")</f>
        <v/>
      </c>
      <c r="AD2406" s="117" t="str">
        <f>IFERROR(INDEX($AA$3:$AA$10000,MATCH(ROWS($AC$3:AC2406),$AC$3:$AC$10000,0)),"")</f>
        <v/>
      </c>
      <c r="AE2406" s="117" t="str">
        <f>+'Packing Material - Cost'!A2407</f>
        <v/>
      </c>
    </row>
    <row r="2407" spans="27:31">
      <c r="AA2407" s="117">
        <f>+'Ingredient List - Mother Tinctu'!D2408</f>
        <v>0</v>
      </c>
      <c r="AB2407" s="117">
        <f t="shared" si="40"/>
        <v>0</v>
      </c>
      <c r="AC2407" s="117" t="str">
        <f>IF(AB2407=1,COUNTIF($AB$3:AB2407,1),"")</f>
        <v/>
      </c>
      <c r="AD2407" s="117" t="str">
        <f>IFERROR(INDEX($AA$3:$AA$10000,MATCH(ROWS($AC$3:AC2407),$AC$3:$AC$10000,0)),"")</f>
        <v/>
      </c>
      <c r="AE2407" s="117" t="str">
        <f>+'Packing Material - Cost'!A2408</f>
        <v/>
      </c>
    </row>
    <row r="2408" spans="27:31">
      <c r="AA2408" s="117">
        <f>+'Ingredient List - Mother Tinctu'!D2409</f>
        <v>0</v>
      </c>
      <c r="AB2408" s="117">
        <f t="shared" si="40"/>
        <v>0</v>
      </c>
      <c r="AC2408" s="117" t="str">
        <f>IF(AB2408=1,COUNTIF($AB$3:AB2408,1),"")</f>
        <v/>
      </c>
      <c r="AD2408" s="117" t="str">
        <f>IFERROR(INDEX($AA$3:$AA$10000,MATCH(ROWS($AC$3:AC2408),$AC$3:$AC$10000,0)),"")</f>
        <v/>
      </c>
      <c r="AE2408" s="117" t="str">
        <f>+'Packing Material - Cost'!A2409</f>
        <v/>
      </c>
    </row>
    <row r="2409" spans="27:31">
      <c r="AA2409" s="117">
        <f>+'Ingredient List - Mother Tinctu'!D2410</f>
        <v>0</v>
      </c>
      <c r="AB2409" s="117">
        <f t="shared" si="40"/>
        <v>0</v>
      </c>
      <c r="AC2409" s="117" t="str">
        <f>IF(AB2409=1,COUNTIF($AB$3:AB2409,1),"")</f>
        <v/>
      </c>
      <c r="AD2409" s="117" t="str">
        <f>IFERROR(INDEX($AA$3:$AA$10000,MATCH(ROWS($AC$3:AC2409),$AC$3:$AC$10000,0)),"")</f>
        <v/>
      </c>
      <c r="AE2409" s="117" t="str">
        <f>+'Packing Material - Cost'!A2410</f>
        <v/>
      </c>
    </row>
    <row r="2410" spans="27:31">
      <c r="AA2410" s="117">
        <f>+'Ingredient List - Mother Tinctu'!D2411</f>
        <v>0</v>
      </c>
      <c r="AB2410" s="117">
        <f t="shared" si="40"/>
        <v>0</v>
      </c>
      <c r="AC2410" s="117" t="str">
        <f>IF(AB2410=1,COUNTIF($AB$3:AB2410,1),"")</f>
        <v/>
      </c>
      <c r="AD2410" s="117" t="str">
        <f>IFERROR(INDEX($AA$3:$AA$10000,MATCH(ROWS($AC$3:AC2410),$AC$3:$AC$10000,0)),"")</f>
        <v/>
      </c>
      <c r="AE2410" s="117" t="str">
        <f>+'Packing Material - Cost'!A2411</f>
        <v/>
      </c>
    </row>
    <row r="2411" spans="27:31">
      <c r="AA2411" s="117">
        <f>+'Ingredient List - Mother Tinctu'!D2412</f>
        <v>0</v>
      </c>
      <c r="AB2411" s="117">
        <f t="shared" si="40"/>
        <v>0</v>
      </c>
      <c r="AC2411" s="117" t="str">
        <f>IF(AB2411=1,COUNTIF($AB$3:AB2411,1),"")</f>
        <v/>
      </c>
      <c r="AD2411" s="117" t="str">
        <f>IFERROR(INDEX($AA$3:$AA$10000,MATCH(ROWS($AC$3:AC2411),$AC$3:$AC$10000,0)),"")</f>
        <v/>
      </c>
      <c r="AE2411" s="117" t="str">
        <f>+'Packing Material - Cost'!A2412</f>
        <v/>
      </c>
    </row>
    <row r="2412" spans="27:31">
      <c r="AA2412" s="117">
        <f>+'Ingredient List - Mother Tinctu'!D2413</f>
        <v>0</v>
      </c>
      <c r="AB2412" s="117">
        <f t="shared" si="40"/>
        <v>0</v>
      </c>
      <c r="AC2412" s="117" t="str">
        <f>IF(AB2412=1,COUNTIF($AB$3:AB2412,1),"")</f>
        <v/>
      </c>
      <c r="AD2412" s="117" t="str">
        <f>IFERROR(INDEX($AA$3:$AA$10000,MATCH(ROWS($AC$3:AC2412),$AC$3:$AC$10000,0)),"")</f>
        <v/>
      </c>
      <c r="AE2412" s="117" t="str">
        <f>+'Packing Material - Cost'!A2413</f>
        <v/>
      </c>
    </row>
    <row r="2413" spans="27:31">
      <c r="AA2413" s="117">
        <f>+'Ingredient List - Mother Tinctu'!D2414</f>
        <v>0</v>
      </c>
      <c r="AB2413" s="117">
        <f t="shared" si="40"/>
        <v>0</v>
      </c>
      <c r="AC2413" s="117" t="str">
        <f>IF(AB2413=1,COUNTIF($AB$3:AB2413,1),"")</f>
        <v/>
      </c>
      <c r="AD2413" s="117" t="str">
        <f>IFERROR(INDEX($AA$3:$AA$10000,MATCH(ROWS($AC$3:AC2413),$AC$3:$AC$10000,0)),"")</f>
        <v/>
      </c>
      <c r="AE2413" s="117" t="str">
        <f>+'Packing Material - Cost'!A2414</f>
        <v/>
      </c>
    </row>
    <row r="2414" spans="27:31">
      <c r="AA2414" s="117">
        <f>+'Ingredient List - Mother Tinctu'!D2415</f>
        <v>0</v>
      </c>
      <c r="AB2414" s="117">
        <f t="shared" si="40"/>
        <v>0</v>
      </c>
      <c r="AC2414" s="117" t="str">
        <f>IF(AB2414=1,COUNTIF($AB$3:AB2414,1),"")</f>
        <v/>
      </c>
      <c r="AD2414" s="117" t="str">
        <f>IFERROR(INDEX($AA$3:$AA$10000,MATCH(ROWS($AC$3:AC2414),$AC$3:$AC$10000,0)),"")</f>
        <v/>
      </c>
      <c r="AE2414" s="117" t="str">
        <f>+'Packing Material - Cost'!A2415</f>
        <v/>
      </c>
    </row>
    <row r="2415" spans="27:31">
      <c r="AA2415" s="117">
        <f>+'Ingredient List - Mother Tinctu'!D2416</f>
        <v>0</v>
      </c>
      <c r="AB2415" s="117">
        <f t="shared" si="40"/>
        <v>0</v>
      </c>
      <c r="AC2415" s="117" t="str">
        <f>IF(AB2415=1,COUNTIF($AB$3:AB2415,1),"")</f>
        <v/>
      </c>
      <c r="AD2415" s="117" t="str">
        <f>IFERROR(INDEX($AA$3:$AA$10000,MATCH(ROWS($AC$3:AC2415),$AC$3:$AC$10000,0)),"")</f>
        <v/>
      </c>
      <c r="AE2415" s="117" t="str">
        <f>+'Packing Material - Cost'!A2416</f>
        <v/>
      </c>
    </row>
    <row r="2416" spans="27:31">
      <c r="AA2416" s="117">
        <f>+'Ingredient List - Mother Tinctu'!D2417</f>
        <v>0</v>
      </c>
      <c r="AB2416" s="117">
        <f t="shared" si="40"/>
        <v>0</v>
      </c>
      <c r="AC2416" s="117" t="str">
        <f>IF(AB2416=1,COUNTIF($AB$3:AB2416,1),"")</f>
        <v/>
      </c>
      <c r="AD2416" s="117" t="str">
        <f>IFERROR(INDEX($AA$3:$AA$10000,MATCH(ROWS($AC$3:AC2416),$AC$3:$AC$10000,0)),"")</f>
        <v/>
      </c>
      <c r="AE2416" s="117" t="str">
        <f>+'Packing Material - Cost'!A2417</f>
        <v/>
      </c>
    </row>
    <row r="2417" spans="27:31">
      <c r="AA2417" s="117">
        <f>+'Ingredient List - Mother Tinctu'!D2418</f>
        <v>0</v>
      </c>
      <c r="AB2417" s="117">
        <f t="shared" si="40"/>
        <v>0</v>
      </c>
      <c r="AC2417" s="117" t="str">
        <f>IF(AB2417=1,COUNTIF($AB$3:AB2417,1),"")</f>
        <v/>
      </c>
      <c r="AD2417" s="117" t="str">
        <f>IFERROR(INDEX($AA$3:$AA$10000,MATCH(ROWS($AC$3:AC2417),$AC$3:$AC$10000,0)),"")</f>
        <v/>
      </c>
      <c r="AE2417" s="117" t="str">
        <f>+'Packing Material - Cost'!A2418</f>
        <v/>
      </c>
    </row>
    <row r="2418" spans="27:31">
      <c r="AA2418" s="117">
        <f>+'Ingredient List - Mother Tinctu'!D2419</f>
        <v>0</v>
      </c>
      <c r="AB2418" s="117">
        <f t="shared" si="40"/>
        <v>0</v>
      </c>
      <c r="AC2418" s="117" t="str">
        <f>IF(AB2418=1,COUNTIF($AB$3:AB2418,1),"")</f>
        <v/>
      </c>
      <c r="AD2418" s="117" t="str">
        <f>IFERROR(INDEX($AA$3:$AA$10000,MATCH(ROWS($AC$3:AC2418),$AC$3:$AC$10000,0)),"")</f>
        <v/>
      </c>
      <c r="AE2418" s="117" t="str">
        <f>+'Packing Material - Cost'!A2419</f>
        <v/>
      </c>
    </row>
    <row r="2419" spans="27:31">
      <c r="AA2419" s="117">
        <f>+'Ingredient List - Mother Tinctu'!D2420</f>
        <v>0</v>
      </c>
      <c r="AB2419" s="117">
        <f t="shared" si="40"/>
        <v>0</v>
      </c>
      <c r="AC2419" s="117" t="str">
        <f>IF(AB2419=1,COUNTIF($AB$3:AB2419,1),"")</f>
        <v/>
      </c>
      <c r="AD2419" s="117" t="str">
        <f>IFERROR(INDEX($AA$3:$AA$10000,MATCH(ROWS($AC$3:AC2419),$AC$3:$AC$10000,0)),"")</f>
        <v/>
      </c>
      <c r="AE2419" s="117" t="str">
        <f>+'Packing Material - Cost'!A2420</f>
        <v/>
      </c>
    </row>
    <row r="2420" spans="27:31">
      <c r="AA2420" s="117">
        <f>+'Ingredient List - Mother Tinctu'!D2421</f>
        <v>0</v>
      </c>
      <c r="AB2420" s="117">
        <f t="shared" si="40"/>
        <v>0</v>
      </c>
      <c r="AC2420" s="117" t="str">
        <f>IF(AB2420=1,COUNTIF($AB$3:AB2420,1),"")</f>
        <v/>
      </c>
      <c r="AD2420" s="117" t="str">
        <f>IFERROR(INDEX($AA$3:$AA$10000,MATCH(ROWS($AC$3:AC2420),$AC$3:$AC$10000,0)),"")</f>
        <v/>
      </c>
      <c r="AE2420" s="117" t="str">
        <f>+'Packing Material - Cost'!A2421</f>
        <v/>
      </c>
    </row>
    <row r="2421" spans="27:31">
      <c r="AA2421" s="117">
        <f>+'Ingredient List - Mother Tinctu'!D2422</f>
        <v>0</v>
      </c>
      <c r="AB2421" s="117">
        <f t="shared" si="40"/>
        <v>0</v>
      </c>
      <c r="AC2421" s="117" t="str">
        <f>IF(AB2421=1,COUNTIF($AB$3:AB2421,1),"")</f>
        <v/>
      </c>
      <c r="AD2421" s="117" t="str">
        <f>IFERROR(INDEX($AA$3:$AA$10000,MATCH(ROWS($AC$3:AC2421),$AC$3:$AC$10000,0)),"")</f>
        <v/>
      </c>
      <c r="AE2421" s="117" t="str">
        <f>+'Packing Material - Cost'!A2422</f>
        <v/>
      </c>
    </row>
    <row r="2422" spans="27:31">
      <c r="AA2422" s="117">
        <f>+'Ingredient List - Mother Tinctu'!D2423</f>
        <v>0</v>
      </c>
      <c r="AB2422" s="117">
        <f t="shared" si="40"/>
        <v>0</v>
      </c>
      <c r="AC2422" s="117" t="str">
        <f>IF(AB2422=1,COUNTIF($AB$3:AB2422,1),"")</f>
        <v/>
      </c>
      <c r="AD2422" s="117" t="str">
        <f>IFERROR(INDEX($AA$3:$AA$10000,MATCH(ROWS($AC$3:AC2422),$AC$3:$AC$10000,0)),"")</f>
        <v/>
      </c>
      <c r="AE2422" s="117" t="str">
        <f>+'Packing Material - Cost'!A2423</f>
        <v/>
      </c>
    </row>
    <row r="2423" spans="27:31">
      <c r="AA2423" s="117">
        <f>+'Ingredient List - Mother Tinctu'!D2424</f>
        <v>0</v>
      </c>
      <c r="AB2423" s="117">
        <f t="shared" si="40"/>
        <v>0</v>
      </c>
      <c r="AC2423" s="117" t="str">
        <f>IF(AB2423=1,COUNTIF($AB$3:AB2423,1),"")</f>
        <v/>
      </c>
      <c r="AD2423" s="117" t="str">
        <f>IFERROR(INDEX($AA$3:$AA$10000,MATCH(ROWS($AC$3:AC2423),$AC$3:$AC$10000,0)),"")</f>
        <v/>
      </c>
      <c r="AE2423" s="117" t="str">
        <f>+'Packing Material - Cost'!A2424</f>
        <v/>
      </c>
    </row>
    <row r="2424" spans="27:31">
      <c r="AA2424" s="117">
        <f>+'Ingredient List - Mother Tinctu'!D2425</f>
        <v>0</v>
      </c>
      <c r="AB2424" s="117">
        <f t="shared" si="40"/>
        <v>0</v>
      </c>
      <c r="AC2424" s="117" t="str">
        <f>IF(AB2424=1,COUNTIF($AB$3:AB2424,1),"")</f>
        <v/>
      </c>
      <c r="AD2424" s="117" t="str">
        <f>IFERROR(INDEX($AA$3:$AA$10000,MATCH(ROWS($AC$3:AC2424),$AC$3:$AC$10000,0)),"")</f>
        <v/>
      </c>
      <c r="AE2424" s="117" t="str">
        <f>+'Packing Material - Cost'!A2425</f>
        <v/>
      </c>
    </row>
    <row r="2425" spans="27:31">
      <c r="AA2425" s="117">
        <f>+'Ingredient List - Mother Tinctu'!D2426</f>
        <v>0</v>
      </c>
      <c r="AB2425" s="117">
        <f t="shared" si="40"/>
        <v>0</v>
      </c>
      <c r="AC2425" s="117" t="str">
        <f>IF(AB2425=1,COUNTIF($AB$3:AB2425,1),"")</f>
        <v/>
      </c>
      <c r="AD2425" s="117" t="str">
        <f>IFERROR(INDEX($AA$3:$AA$10000,MATCH(ROWS($AC$3:AC2425),$AC$3:$AC$10000,0)),"")</f>
        <v/>
      </c>
      <c r="AE2425" s="117" t="str">
        <f>+'Packing Material - Cost'!A2426</f>
        <v/>
      </c>
    </row>
    <row r="2426" spans="27:31">
      <c r="AA2426" s="117">
        <f>+'Ingredient List - Mother Tinctu'!D2427</f>
        <v>0</v>
      </c>
      <c r="AB2426" s="117">
        <f t="shared" si="40"/>
        <v>0</v>
      </c>
      <c r="AC2426" s="117" t="str">
        <f>IF(AB2426=1,COUNTIF($AB$3:AB2426,1),"")</f>
        <v/>
      </c>
      <c r="AD2426" s="117" t="str">
        <f>IFERROR(INDEX($AA$3:$AA$10000,MATCH(ROWS($AC$3:AC2426),$AC$3:$AC$10000,0)),"")</f>
        <v/>
      </c>
      <c r="AE2426" s="117" t="str">
        <f>+'Packing Material - Cost'!A2427</f>
        <v/>
      </c>
    </row>
    <row r="2427" spans="27:31">
      <c r="AA2427" s="117">
        <f>+'Ingredient List - Mother Tinctu'!D2428</f>
        <v>0</v>
      </c>
      <c r="AB2427" s="117">
        <f t="shared" si="40"/>
        <v>0</v>
      </c>
      <c r="AC2427" s="117" t="str">
        <f>IF(AB2427=1,COUNTIF($AB$3:AB2427,1),"")</f>
        <v/>
      </c>
      <c r="AD2427" s="117" t="str">
        <f>IFERROR(INDEX($AA$3:$AA$10000,MATCH(ROWS($AC$3:AC2427),$AC$3:$AC$10000,0)),"")</f>
        <v/>
      </c>
      <c r="AE2427" s="117" t="str">
        <f>+'Packing Material - Cost'!A2428</f>
        <v/>
      </c>
    </row>
    <row r="2428" spans="27:31">
      <c r="AA2428" s="117">
        <f>+'Ingredient List - Mother Tinctu'!D2429</f>
        <v>0</v>
      </c>
      <c r="AB2428" s="117">
        <f t="shared" si="40"/>
        <v>0</v>
      </c>
      <c r="AC2428" s="117" t="str">
        <f>IF(AB2428=1,COUNTIF($AB$3:AB2428,1),"")</f>
        <v/>
      </c>
      <c r="AD2428" s="117" t="str">
        <f>IFERROR(INDEX($AA$3:$AA$10000,MATCH(ROWS($AC$3:AC2428),$AC$3:$AC$10000,0)),"")</f>
        <v/>
      </c>
      <c r="AE2428" s="117" t="str">
        <f>+'Packing Material - Cost'!A2429</f>
        <v/>
      </c>
    </row>
    <row r="2429" spans="27:31">
      <c r="AA2429" s="117">
        <f>+'Ingredient List - Mother Tinctu'!D2430</f>
        <v>0</v>
      </c>
      <c r="AB2429" s="117">
        <f t="shared" si="40"/>
        <v>0</v>
      </c>
      <c r="AC2429" s="117" t="str">
        <f>IF(AB2429=1,COUNTIF($AB$3:AB2429,1),"")</f>
        <v/>
      </c>
      <c r="AD2429" s="117" t="str">
        <f>IFERROR(INDEX($AA$3:$AA$10000,MATCH(ROWS($AC$3:AC2429),$AC$3:$AC$10000,0)),"")</f>
        <v/>
      </c>
      <c r="AE2429" s="117" t="str">
        <f>+'Packing Material - Cost'!A2430</f>
        <v/>
      </c>
    </row>
    <row r="2430" spans="27:31">
      <c r="AA2430" s="117">
        <f>+'Ingredient List - Mother Tinctu'!D2431</f>
        <v>0</v>
      </c>
      <c r="AB2430" s="117">
        <f t="shared" si="40"/>
        <v>0</v>
      </c>
      <c r="AC2430" s="117" t="str">
        <f>IF(AB2430=1,COUNTIF($AB$3:AB2430,1),"")</f>
        <v/>
      </c>
      <c r="AD2430" s="117" t="str">
        <f>IFERROR(INDEX($AA$3:$AA$10000,MATCH(ROWS($AC$3:AC2430),$AC$3:$AC$10000,0)),"")</f>
        <v/>
      </c>
      <c r="AE2430" s="117" t="str">
        <f>+'Packing Material - Cost'!A2431</f>
        <v/>
      </c>
    </row>
    <row r="2431" spans="27:31">
      <c r="AA2431" s="117">
        <f>+'Ingredient List - Mother Tinctu'!D2432</f>
        <v>0</v>
      </c>
      <c r="AB2431" s="117">
        <f t="shared" si="40"/>
        <v>0</v>
      </c>
      <c r="AC2431" s="117" t="str">
        <f>IF(AB2431=1,COUNTIF($AB$3:AB2431,1),"")</f>
        <v/>
      </c>
      <c r="AD2431" s="117" t="str">
        <f>IFERROR(INDEX($AA$3:$AA$10000,MATCH(ROWS($AC$3:AC2431),$AC$3:$AC$10000,0)),"")</f>
        <v/>
      </c>
      <c r="AE2431" s="117" t="str">
        <f>+'Packing Material - Cost'!A2432</f>
        <v/>
      </c>
    </row>
    <row r="2432" spans="27:31">
      <c r="AA2432" s="117">
        <f>+'Ingredient List - Mother Tinctu'!D2433</f>
        <v>0</v>
      </c>
      <c r="AB2432" s="117">
        <f t="shared" si="40"/>
        <v>0</v>
      </c>
      <c r="AC2432" s="117" t="str">
        <f>IF(AB2432=1,COUNTIF($AB$3:AB2432,1),"")</f>
        <v/>
      </c>
      <c r="AD2432" s="117" t="str">
        <f>IFERROR(INDEX($AA$3:$AA$10000,MATCH(ROWS($AC$3:AC2432),$AC$3:$AC$10000,0)),"")</f>
        <v/>
      </c>
      <c r="AE2432" s="117" t="str">
        <f>+'Packing Material - Cost'!A2433</f>
        <v/>
      </c>
    </row>
    <row r="2433" spans="27:31">
      <c r="AA2433" s="117">
        <f>+'Ingredient List - Mother Tinctu'!D2434</f>
        <v>0</v>
      </c>
      <c r="AB2433" s="117">
        <f t="shared" si="40"/>
        <v>0</v>
      </c>
      <c r="AC2433" s="117" t="str">
        <f>IF(AB2433=1,COUNTIF($AB$3:AB2433,1),"")</f>
        <v/>
      </c>
      <c r="AD2433" s="117" t="str">
        <f>IFERROR(INDEX($AA$3:$AA$10000,MATCH(ROWS($AC$3:AC2433),$AC$3:$AC$10000,0)),"")</f>
        <v/>
      </c>
      <c r="AE2433" s="117" t="str">
        <f>+'Packing Material - Cost'!A2434</f>
        <v/>
      </c>
    </row>
    <row r="2434" spans="27:31">
      <c r="AA2434" s="117">
        <f>+'Ingredient List - Mother Tinctu'!D2435</f>
        <v>0</v>
      </c>
      <c r="AB2434" s="117">
        <f t="shared" si="40"/>
        <v>0</v>
      </c>
      <c r="AC2434" s="117" t="str">
        <f>IF(AB2434=1,COUNTIF($AB$3:AB2434,1),"")</f>
        <v/>
      </c>
      <c r="AD2434" s="117" t="str">
        <f>IFERROR(INDEX($AA$3:$AA$10000,MATCH(ROWS($AC$3:AC2434),$AC$3:$AC$10000,0)),"")</f>
        <v/>
      </c>
      <c r="AE2434" s="117" t="str">
        <f>+'Packing Material - Cost'!A2435</f>
        <v/>
      </c>
    </row>
    <row r="2435" spans="27:31">
      <c r="AA2435" s="117">
        <f>+'Ingredient List - Mother Tinctu'!D2436</f>
        <v>0</v>
      </c>
      <c r="AB2435" s="117">
        <f t="shared" si="40"/>
        <v>0</v>
      </c>
      <c r="AC2435" s="117" t="str">
        <f>IF(AB2435=1,COUNTIF($AB$3:AB2435,1),"")</f>
        <v/>
      </c>
      <c r="AD2435" s="117" t="str">
        <f>IFERROR(INDEX($AA$3:$AA$10000,MATCH(ROWS($AC$3:AC2435),$AC$3:$AC$10000,0)),"")</f>
        <v/>
      </c>
      <c r="AE2435" s="117" t="str">
        <f>+'Packing Material - Cost'!A2436</f>
        <v/>
      </c>
    </row>
    <row r="2436" spans="27:31">
      <c r="AA2436" s="117">
        <f>+'Ingredient List - Mother Tinctu'!D2437</f>
        <v>0</v>
      </c>
      <c r="AB2436" s="117">
        <f t="shared" ref="AB2436:AB2499" si="41">--ISNUMBER(IFERROR(SEARCH($D$3,AA2436,1),""))</f>
        <v>0</v>
      </c>
      <c r="AC2436" s="117" t="str">
        <f>IF(AB2436=1,COUNTIF($AB$3:AB2436,1),"")</f>
        <v/>
      </c>
      <c r="AD2436" s="117" t="str">
        <f>IFERROR(INDEX($AA$3:$AA$10000,MATCH(ROWS($AC$3:AC2436),$AC$3:$AC$10000,0)),"")</f>
        <v/>
      </c>
      <c r="AE2436" s="117" t="str">
        <f>+'Packing Material - Cost'!A2437</f>
        <v/>
      </c>
    </row>
    <row r="2437" spans="27:31">
      <c r="AA2437" s="117">
        <f>+'Ingredient List - Mother Tinctu'!D2438</f>
        <v>0</v>
      </c>
      <c r="AB2437" s="117">
        <f t="shared" si="41"/>
        <v>0</v>
      </c>
      <c r="AC2437" s="117" t="str">
        <f>IF(AB2437=1,COUNTIF($AB$3:AB2437,1),"")</f>
        <v/>
      </c>
      <c r="AD2437" s="117" t="str">
        <f>IFERROR(INDEX($AA$3:$AA$10000,MATCH(ROWS($AC$3:AC2437),$AC$3:$AC$10000,0)),"")</f>
        <v/>
      </c>
      <c r="AE2437" s="117" t="str">
        <f>+'Packing Material - Cost'!A2438</f>
        <v/>
      </c>
    </row>
    <row r="2438" spans="27:31">
      <c r="AA2438" s="117">
        <f>+'Ingredient List - Mother Tinctu'!D2439</f>
        <v>0</v>
      </c>
      <c r="AB2438" s="117">
        <f t="shared" si="41"/>
        <v>0</v>
      </c>
      <c r="AC2438" s="117" t="str">
        <f>IF(AB2438=1,COUNTIF($AB$3:AB2438,1),"")</f>
        <v/>
      </c>
      <c r="AD2438" s="117" t="str">
        <f>IFERROR(INDEX($AA$3:$AA$10000,MATCH(ROWS($AC$3:AC2438),$AC$3:$AC$10000,0)),"")</f>
        <v/>
      </c>
      <c r="AE2438" s="117" t="str">
        <f>+'Packing Material - Cost'!A2439</f>
        <v/>
      </c>
    </row>
    <row r="2439" spans="27:31">
      <c r="AA2439" s="117">
        <f>+'Ingredient List - Mother Tinctu'!D2440</f>
        <v>0</v>
      </c>
      <c r="AB2439" s="117">
        <f t="shared" si="41"/>
        <v>0</v>
      </c>
      <c r="AC2439" s="117" t="str">
        <f>IF(AB2439=1,COUNTIF($AB$3:AB2439,1),"")</f>
        <v/>
      </c>
      <c r="AD2439" s="117" t="str">
        <f>IFERROR(INDEX($AA$3:$AA$10000,MATCH(ROWS($AC$3:AC2439),$AC$3:$AC$10000,0)),"")</f>
        <v/>
      </c>
      <c r="AE2439" s="117" t="str">
        <f>+'Packing Material - Cost'!A2440</f>
        <v/>
      </c>
    </row>
    <row r="2440" spans="27:31">
      <c r="AA2440" s="117">
        <f>+'Ingredient List - Mother Tinctu'!D2441</f>
        <v>0</v>
      </c>
      <c r="AB2440" s="117">
        <f t="shared" si="41"/>
        <v>0</v>
      </c>
      <c r="AC2440" s="117" t="str">
        <f>IF(AB2440=1,COUNTIF($AB$3:AB2440,1),"")</f>
        <v/>
      </c>
      <c r="AD2440" s="117" t="str">
        <f>IFERROR(INDEX($AA$3:$AA$10000,MATCH(ROWS($AC$3:AC2440),$AC$3:$AC$10000,0)),"")</f>
        <v/>
      </c>
      <c r="AE2440" s="117" t="str">
        <f>+'Packing Material - Cost'!A2441</f>
        <v/>
      </c>
    </row>
    <row r="2441" spans="27:31">
      <c r="AA2441" s="117">
        <f>+'Ingredient List - Mother Tinctu'!D2442</f>
        <v>0</v>
      </c>
      <c r="AB2441" s="117">
        <f t="shared" si="41"/>
        <v>0</v>
      </c>
      <c r="AC2441" s="117" t="str">
        <f>IF(AB2441=1,COUNTIF($AB$3:AB2441,1),"")</f>
        <v/>
      </c>
      <c r="AD2441" s="117" t="str">
        <f>IFERROR(INDEX($AA$3:$AA$10000,MATCH(ROWS($AC$3:AC2441),$AC$3:$AC$10000,0)),"")</f>
        <v/>
      </c>
      <c r="AE2441" s="117" t="str">
        <f>+'Packing Material - Cost'!A2442</f>
        <v/>
      </c>
    </row>
    <row r="2442" spans="27:31">
      <c r="AA2442" s="117">
        <f>+'Ingredient List - Mother Tinctu'!D2443</f>
        <v>0</v>
      </c>
      <c r="AB2442" s="117">
        <f t="shared" si="41"/>
        <v>0</v>
      </c>
      <c r="AC2442" s="117" t="str">
        <f>IF(AB2442=1,COUNTIF($AB$3:AB2442,1),"")</f>
        <v/>
      </c>
      <c r="AD2442" s="117" t="str">
        <f>IFERROR(INDEX($AA$3:$AA$10000,MATCH(ROWS($AC$3:AC2442),$AC$3:$AC$10000,0)),"")</f>
        <v/>
      </c>
      <c r="AE2442" s="117" t="str">
        <f>+'Packing Material - Cost'!A2443</f>
        <v/>
      </c>
    </row>
    <row r="2443" spans="27:31">
      <c r="AA2443" s="117">
        <f>+'Ingredient List - Mother Tinctu'!D2444</f>
        <v>0</v>
      </c>
      <c r="AB2443" s="117">
        <f t="shared" si="41"/>
        <v>0</v>
      </c>
      <c r="AC2443" s="117" t="str">
        <f>IF(AB2443=1,COUNTIF($AB$3:AB2443,1),"")</f>
        <v/>
      </c>
      <c r="AD2443" s="117" t="str">
        <f>IFERROR(INDEX($AA$3:$AA$10000,MATCH(ROWS($AC$3:AC2443),$AC$3:$AC$10000,0)),"")</f>
        <v/>
      </c>
      <c r="AE2443" s="117" t="str">
        <f>+'Packing Material - Cost'!A2444</f>
        <v/>
      </c>
    </row>
    <row r="2444" spans="27:31">
      <c r="AA2444" s="117">
        <f>+'Ingredient List - Mother Tinctu'!D2445</f>
        <v>0</v>
      </c>
      <c r="AB2444" s="117">
        <f t="shared" si="41"/>
        <v>0</v>
      </c>
      <c r="AC2444" s="117" t="str">
        <f>IF(AB2444=1,COUNTIF($AB$3:AB2444,1),"")</f>
        <v/>
      </c>
      <c r="AD2444" s="117" t="str">
        <f>IFERROR(INDEX($AA$3:$AA$10000,MATCH(ROWS($AC$3:AC2444),$AC$3:$AC$10000,0)),"")</f>
        <v/>
      </c>
      <c r="AE2444" s="117" t="str">
        <f>+'Packing Material - Cost'!A2445</f>
        <v/>
      </c>
    </row>
    <row r="2445" spans="27:31">
      <c r="AA2445" s="117">
        <f>+'Ingredient List - Mother Tinctu'!D2446</f>
        <v>0</v>
      </c>
      <c r="AB2445" s="117">
        <f t="shared" si="41"/>
        <v>0</v>
      </c>
      <c r="AC2445" s="117" t="str">
        <f>IF(AB2445=1,COUNTIF($AB$3:AB2445,1),"")</f>
        <v/>
      </c>
      <c r="AD2445" s="117" t="str">
        <f>IFERROR(INDEX($AA$3:$AA$10000,MATCH(ROWS($AC$3:AC2445),$AC$3:$AC$10000,0)),"")</f>
        <v/>
      </c>
      <c r="AE2445" s="117" t="str">
        <f>+'Packing Material - Cost'!A2446</f>
        <v/>
      </c>
    </row>
    <row r="2446" spans="27:31">
      <c r="AA2446" s="117">
        <f>+'Ingredient List - Mother Tinctu'!D2447</f>
        <v>0</v>
      </c>
      <c r="AB2446" s="117">
        <f t="shared" si="41"/>
        <v>0</v>
      </c>
      <c r="AC2446" s="117" t="str">
        <f>IF(AB2446=1,COUNTIF($AB$3:AB2446,1),"")</f>
        <v/>
      </c>
      <c r="AD2446" s="117" t="str">
        <f>IFERROR(INDEX($AA$3:$AA$10000,MATCH(ROWS($AC$3:AC2446),$AC$3:$AC$10000,0)),"")</f>
        <v/>
      </c>
      <c r="AE2446" s="117" t="str">
        <f>+'Packing Material - Cost'!A2447</f>
        <v/>
      </c>
    </row>
    <row r="2447" spans="27:31">
      <c r="AA2447" s="117">
        <f>+'Ingredient List - Mother Tinctu'!D2448</f>
        <v>0</v>
      </c>
      <c r="AB2447" s="117">
        <f t="shared" si="41"/>
        <v>0</v>
      </c>
      <c r="AC2447" s="117" t="str">
        <f>IF(AB2447=1,COUNTIF($AB$3:AB2447,1),"")</f>
        <v/>
      </c>
      <c r="AD2447" s="117" t="str">
        <f>IFERROR(INDEX($AA$3:$AA$10000,MATCH(ROWS($AC$3:AC2447),$AC$3:$AC$10000,0)),"")</f>
        <v/>
      </c>
      <c r="AE2447" s="117" t="str">
        <f>+'Packing Material - Cost'!A2448</f>
        <v/>
      </c>
    </row>
    <row r="2448" spans="27:31">
      <c r="AA2448" s="117">
        <f>+'Ingredient List - Mother Tinctu'!D2449</f>
        <v>0</v>
      </c>
      <c r="AB2448" s="117">
        <f t="shared" si="41"/>
        <v>0</v>
      </c>
      <c r="AC2448" s="117" t="str">
        <f>IF(AB2448=1,COUNTIF($AB$3:AB2448,1),"")</f>
        <v/>
      </c>
      <c r="AD2448" s="117" t="str">
        <f>IFERROR(INDEX($AA$3:$AA$10000,MATCH(ROWS($AC$3:AC2448),$AC$3:$AC$10000,0)),"")</f>
        <v/>
      </c>
      <c r="AE2448" s="117" t="str">
        <f>+'Packing Material - Cost'!A2449</f>
        <v/>
      </c>
    </row>
    <row r="2449" spans="27:31">
      <c r="AA2449" s="117">
        <f>+'Ingredient List - Mother Tinctu'!D2450</f>
        <v>0</v>
      </c>
      <c r="AB2449" s="117">
        <f t="shared" si="41"/>
        <v>0</v>
      </c>
      <c r="AC2449" s="117" t="str">
        <f>IF(AB2449=1,COUNTIF($AB$3:AB2449,1),"")</f>
        <v/>
      </c>
      <c r="AD2449" s="117" t="str">
        <f>IFERROR(INDEX($AA$3:$AA$10000,MATCH(ROWS($AC$3:AC2449),$AC$3:$AC$10000,0)),"")</f>
        <v/>
      </c>
      <c r="AE2449" s="117" t="str">
        <f>+'Packing Material - Cost'!A2450</f>
        <v/>
      </c>
    </row>
    <row r="2450" spans="27:31">
      <c r="AA2450" s="117">
        <f>+'Ingredient List - Mother Tinctu'!D2451</f>
        <v>0</v>
      </c>
      <c r="AB2450" s="117">
        <f t="shared" si="41"/>
        <v>0</v>
      </c>
      <c r="AC2450" s="117" t="str">
        <f>IF(AB2450=1,COUNTIF($AB$3:AB2450,1),"")</f>
        <v/>
      </c>
      <c r="AD2450" s="117" t="str">
        <f>IFERROR(INDEX($AA$3:$AA$10000,MATCH(ROWS($AC$3:AC2450),$AC$3:$AC$10000,0)),"")</f>
        <v/>
      </c>
      <c r="AE2450" s="117" t="str">
        <f>+'Packing Material - Cost'!A2451</f>
        <v/>
      </c>
    </row>
    <row r="2451" spans="27:31">
      <c r="AA2451" s="117">
        <f>+'Ingredient List - Mother Tinctu'!D2452</f>
        <v>0</v>
      </c>
      <c r="AB2451" s="117">
        <f t="shared" si="41"/>
        <v>0</v>
      </c>
      <c r="AC2451" s="117" t="str">
        <f>IF(AB2451=1,COUNTIF($AB$3:AB2451,1),"")</f>
        <v/>
      </c>
      <c r="AD2451" s="117" t="str">
        <f>IFERROR(INDEX($AA$3:$AA$10000,MATCH(ROWS($AC$3:AC2451),$AC$3:$AC$10000,0)),"")</f>
        <v/>
      </c>
      <c r="AE2451" s="117" t="str">
        <f>+'Packing Material - Cost'!A2452</f>
        <v/>
      </c>
    </row>
    <row r="2452" spans="27:31">
      <c r="AA2452" s="117">
        <f>+'Ingredient List - Mother Tinctu'!D2453</f>
        <v>0</v>
      </c>
      <c r="AB2452" s="117">
        <f t="shared" si="41"/>
        <v>0</v>
      </c>
      <c r="AC2452" s="117" t="str">
        <f>IF(AB2452=1,COUNTIF($AB$3:AB2452,1),"")</f>
        <v/>
      </c>
      <c r="AD2452" s="117" t="str">
        <f>IFERROR(INDEX($AA$3:$AA$10000,MATCH(ROWS($AC$3:AC2452),$AC$3:$AC$10000,0)),"")</f>
        <v/>
      </c>
      <c r="AE2452" s="117" t="str">
        <f>+'Packing Material - Cost'!A2453</f>
        <v/>
      </c>
    </row>
    <row r="2453" spans="27:31">
      <c r="AA2453" s="117">
        <f>+'Ingredient List - Mother Tinctu'!D2454</f>
        <v>0</v>
      </c>
      <c r="AB2453" s="117">
        <f t="shared" si="41"/>
        <v>0</v>
      </c>
      <c r="AC2453" s="117" t="str">
        <f>IF(AB2453=1,COUNTIF($AB$3:AB2453,1),"")</f>
        <v/>
      </c>
      <c r="AD2453" s="117" t="str">
        <f>IFERROR(INDEX($AA$3:$AA$10000,MATCH(ROWS($AC$3:AC2453),$AC$3:$AC$10000,0)),"")</f>
        <v/>
      </c>
      <c r="AE2453" s="117" t="str">
        <f>+'Packing Material - Cost'!A2454</f>
        <v/>
      </c>
    </row>
    <row r="2454" spans="27:31">
      <c r="AA2454" s="117">
        <f>+'Ingredient List - Mother Tinctu'!D2455</f>
        <v>0</v>
      </c>
      <c r="AB2454" s="117">
        <f t="shared" si="41"/>
        <v>0</v>
      </c>
      <c r="AC2454" s="117" t="str">
        <f>IF(AB2454=1,COUNTIF($AB$3:AB2454,1),"")</f>
        <v/>
      </c>
      <c r="AD2454" s="117" t="str">
        <f>IFERROR(INDEX($AA$3:$AA$10000,MATCH(ROWS($AC$3:AC2454),$AC$3:$AC$10000,0)),"")</f>
        <v/>
      </c>
      <c r="AE2454" s="117" t="str">
        <f>+'Packing Material - Cost'!A2455</f>
        <v/>
      </c>
    </row>
    <row r="2455" spans="27:31">
      <c r="AA2455" s="117">
        <f>+'Ingredient List - Mother Tinctu'!D2456</f>
        <v>0</v>
      </c>
      <c r="AB2455" s="117">
        <f t="shared" si="41"/>
        <v>0</v>
      </c>
      <c r="AC2455" s="117" t="str">
        <f>IF(AB2455=1,COUNTIF($AB$3:AB2455,1),"")</f>
        <v/>
      </c>
      <c r="AD2455" s="117" t="str">
        <f>IFERROR(INDEX($AA$3:$AA$10000,MATCH(ROWS($AC$3:AC2455),$AC$3:$AC$10000,0)),"")</f>
        <v/>
      </c>
      <c r="AE2455" s="117" t="str">
        <f>+'Packing Material - Cost'!A2456</f>
        <v/>
      </c>
    </row>
    <row r="2456" spans="27:31">
      <c r="AA2456" s="117">
        <f>+'Ingredient List - Mother Tinctu'!D2457</f>
        <v>0</v>
      </c>
      <c r="AB2456" s="117">
        <f t="shared" si="41"/>
        <v>0</v>
      </c>
      <c r="AC2456" s="117" t="str">
        <f>IF(AB2456=1,COUNTIF($AB$3:AB2456,1),"")</f>
        <v/>
      </c>
      <c r="AD2456" s="117" t="str">
        <f>IFERROR(INDEX($AA$3:$AA$10000,MATCH(ROWS($AC$3:AC2456),$AC$3:$AC$10000,0)),"")</f>
        <v/>
      </c>
      <c r="AE2456" s="117" t="str">
        <f>+'Packing Material - Cost'!A2457</f>
        <v/>
      </c>
    </row>
    <row r="2457" spans="27:31">
      <c r="AA2457" s="117">
        <f>+'Ingredient List - Mother Tinctu'!D2458</f>
        <v>0</v>
      </c>
      <c r="AB2457" s="117">
        <f t="shared" si="41"/>
        <v>0</v>
      </c>
      <c r="AC2457" s="117" t="str">
        <f>IF(AB2457=1,COUNTIF($AB$3:AB2457,1),"")</f>
        <v/>
      </c>
      <c r="AD2457" s="117" t="str">
        <f>IFERROR(INDEX($AA$3:$AA$10000,MATCH(ROWS($AC$3:AC2457),$AC$3:$AC$10000,0)),"")</f>
        <v/>
      </c>
      <c r="AE2457" s="117" t="str">
        <f>+'Packing Material - Cost'!A2458</f>
        <v/>
      </c>
    </row>
    <row r="2458" spans="27:31">
      <c r="AA2458" s="117">
        <f>+'Ingredient List - Mother Tinctu'!D2459</f>
        <v>0</v>
      </c>
      <c r="AB2458" s="117">
        <f t="shared" si="41"/>
        <v>0</v>
      </c>
      <c r="AC2458" s="117" t="str">
        <f>IF(AB2458=1,COUNTIF($AB$3:AB2458,1),"")</f>
        <v/>
      </c>
      <c r="AD2458" s="117" t="str">
        <f>IFERROR(INDEX($AA$3:$AA$10000,MATCH(ROWS($AC$3:AC2458),$AC$3:$AC$10000,0)),"")</f>
        <v/>
      </c>
      <c r="AE2458" s="117" t="str">
        <f>+'Packing Material - Cost'!A2459</f>
        <v/>
      </c>
    </row>
    <row r="2459" spans="27:31">
      <c r="AA2459" s="117">
        <f>+'Ingredient List - Mother Tinctu'!D2460</f>
        <v>0</v>
      </c>
      <c r="AB2459" s="117">
        <f t="shared" si="41"/>
        <v>0</v>
      </c>
      <c r="AC2459" s="117" t="str">
        <f>IF(AB2459=1,COUNTIF($AB$3:AB2459,1),"")</f>
        <v/>
      </c>
      <c r="AD2459" s="117" t="str">
        <f>IFERROR(INDEX($AA$3:$AA$10000,MATCH(ROWS($AC$3:AC2459),$AC$3:$AC$10000,0)),"")</f>
        <v/>
      </c>
      <c r="AE2459" s="117" t="str">
        <f>+'Packing Material - Cost'!A2460</f>
        <v/>
      </c>
    </row>
    <row r="2460" spans="27:31">
      <c r="AA2460" s="117">
        <f>+'Ingredient List - Mother Tinctu'!D2461</f>
        <v>0</v>
      </c>
      <c r="AB2460" s="117">
        <f t="shared" si="41"/>
        <v>0</v>
      </c>
      <c r="AC2460" s="117" t="str">
        <f>IF(AB2460=1,COUNTIF($AB$3:AB2460,1),"")</f>
        <v/>
      </c>
      <c r="AD2460" s="117" t="str">
        <f>IFERROR(INDEX($AA$3:$AA$10000,MATCH(ROWS($AC$3:AC2460),$AC$3:$AC$10000,0)),"")</f>
        <v/>
      </c>
      <c r="AE2460" s="117" t="str">
        <f>+'Packing Material - Cost'!A2461</f>
        <v/>
      </c>
    </row>
    <row r="2461" spans="27:31">
      <c r="AA2461" s="117">
        <f>+'Ingredient List - Mother Tinctu'!D2462</f>
        <v>0</v>
      </c>
      <c r="AB2461" s="117">
        <f t="shared" si="41"/>
        <v>0</v>
      </c>
      <c r="AC2461" s="117" t="str">
        <f>IF(AB2461=1,COUNTIF($AB$3:AB2461,1),"")</f>
        <v/>
      </c>
      <c r="AD2461" s="117" t="str">
        <f>IFERROR(INDEX($AA$3:$AA$10000,MATCH(ROWS($AC$3:AC2461),$AC$3:$AC$10000,0)),"")</f>
        <v/>
      </c>
      <c r="AE2461" s="117" t="str">
        <f>+'Packing Material - Cost'!A2462</f>
        <v/>
      </c>
    </row>
    <row r="2462" spans="27:31">
      <c r="AA2462" s="117">
        <f>+'Ingredient List - Mother Tinctu'!D2463</f>
        <v>0</v>
      </c>
      <c r="AB2462" s="117">
        <f t="shared" si="41"/>
        <v>0</v>
      </c>
      <c r="AC2462" s="117" t="str">
        <f>IF(AB2462=1,COUNTIF($AB$3:AB2462,1),"")</f>
        <v/>
      </c>
      <c r="AD2462" s="117" t="str">
        <f>IFERROR(INDEX($AA$3:$AA$10000,MATCH(ROWS($AC$3:AC2462),$AC$3:$AC$10000,0)),"")</f>
        <v/>
      </c>
      <c r="AE2462" s="117" t="str">
        <f>+'Packing Material - Cost'!A2463</f>
        <v/>
      </c>
    </row>
    <row r="2463" spans="27:31">
      <c r="AA2463" s="117">
        <f>+'Ingredient List - Mother Tinctu'!D2464</f>
        <v>0</v>
      </c>
      <c r="AB2463" s="117">
        <f t="shared" si="41"/>
        <v>0</v>
      </c>
      <c r="AC2463" s="117" t="str">
        <f>IF(AB2463=1,COUNTIF($AB$3:AB2463,1),"")</f>
        <v/>
      </c>
      <c r="AD2463" s="117" t="str">
        <f>IFERROR(INDEX($AA$3:$AA$10000,MATCH(ROWS($AC$3:AC2463),$AC$3:$AC$10000,0)),"")</f>
        <v/>
      </c>
      <c r="AE2463" s="117" t="str">
        <f>+'Packing Material - Cost'!A2464</f>
        <v/>
      </c>
    </row>
    <row r="2464" spans="27:31">
      <c r="AA2464" s="117">
        <f>+'Ingredient List - Mother Tinctu'!D2465</f>
        <v>0</v>
      </c>
      <c r="AB2464" s="117">
        <f t="shared" si="41"/>
        <v>0</v>
      </c>
      <c r="AC2464" s="117" t="str">
        <f>IF(AB2464=1,COUNTIF($AB$3:AB2464,1),"")</f>
        <v/>
      </c>
      <c r="AD2464" s="117" t="str">
        <f>IFERROR(INDEX($AA$3:$AA$10000,MATCH(ROWS($AC$3:AC2464),$AC$3:$AC$10000,0)),"")</f>
        <v/>
      </c>
      <c r="AE2464" s="117" t="str">
        <f>+'Packing Material - Cost'!A2465</f>
        <v/>
      </c>
    </row>
    <row r="2465" spans="27:31">
      <c r="AA2465" s="117">
        <f>+'Ingredient List - Mother Tinctu'!D2466</f>
        <v>0</v>
      </c>
      <c r="AB2465" s="117">
        <f t="shared" si="41"/>
        <v>0</v>
      </c>
      <c r="AC2465" s="117" t="str">
        <f>IF(AB2465=1,COUNTIF($AB$3:AB2465,1),"")</f>
        <v/>
      </c>
      <c r="AD2465" s="117" t="str">
        <f>IFERROR(INDEX($AA$3:$AA$10000,MATCH(ROWS($AC$3:AC2465),$AC$3:$AC$10000,0)),"")</f>
        <v/>
      </c>
      <c r="AE2465" s="117" t="str">
        <f>+'Packing Material - Cost'!A2466</f>
        <v/>
      </c>
    </row>
    <row r="2466" spans="27:31">
      <c r="AA2466" s="117">
        <f>+'Ingredient List - Mother Tinctu'!D2467</f>
        <v>0</v>
      </c>
      <c r="AB2466" s="117">
        <f t="shared" si="41"/>
        <v>0</v>
      </c>
      <c r="AC2466" s="117" t="str">
        <f>IF(AB2466=1,COUNTIF($AB$3:AB2466,1),"")</f>
        <v/>
      </c>
      <c r="AD2466" s="117" t="str">
        <f>IFERROR(INDEX($AA$3:$AA$10000,MATCH(ROWS($AC$3:AC2466),$AC$3:$AC$10000,0)),"")</f>
        <v/>
      </c>
      <c r="AE2466" s="117" t="str">
        <f>+'Packing Material - Cost'!A2467</f>
        <v/>
      </c>
    </row>
    <row r="2467" spans="27:31">
      <c r="AA2467" s="117">
        <f>+'Ingredient List - Mother Tinctu'!D2468</f>
        <v>0</v>
      </c>
      <c r="AB2467" s="117">
        <f t="shared" si="41"/>
        <v>0</v>
      </c>
      <c r="AC2467" s="117" t="str">
        <f>IF(AB2467=1,COUNTIF($AB$3:AB2467,1),"")</f>
        <v/>
      </c>
      <c r="AD2467" s="117" t="str">
        <f>IFERROR(INDEX($AA$3:$AA$10000,MATCH(ROWS($AC$3:AC2467),$AC$3:$AC$10000,0)),"")</f>
        <v/>
      </c>
      <c r="AE2467" s="117" t="str">
        <f>+'Packing Material - Cost'!A2468</f>
        <v/>
      </c>
    </row>
    <row r="2468" spans="27:31">
      <c r="AA2468" s="117">
        <f>+'Ingredient List - Mother Tinctu'!D2469</f>
        <v>0</v>
      </c>
      <c r="AB2468" s="117">
        <f t="shared" si="41"/>
        <v>0</v>
      </c>
      <c r="AC2468" s="117" t="str">
        <f>IF(AB2468=1,COUNTIF($AB$3:AB2468,1),"")</f>
        <v/>
      </c>
      <c r="AD2468" s="117" t="str">
        <f>IFERROR(INDEX($AA$3:$AA$10000,MATCH(ROWS($AC$3:AC2468),$AC$3:$AC$10000,0)),"")</f>
        <v/>
      </c>
      <c r="AE2468" s="117" t="str">
        <f>+'Packing Material - Cost'!A2469</f>
        <v/>
      </c>
    </row>
    <row r="2469" spans="27:31">
      <c r="AA2469" s="117">
        <f>+'Ingredient List - Mother Tinctu'!D2470</f>
        <v>0</v>
      </c>
      <c r="AB2469" s="117">
        <f t="shared" si="41"/>
        <v>0</v>
      </c>
      <c r="AC2469" s="117" t="str">
        <f>IF(AB2469=1,COUNTIF($AB$3:AB2469,1),"")</f>
        <v/>
      </c>
      <c r="AD2469" s="117" t="str">
        <f>IFERROR(INDEX($AA$3:$AA$10000,MATCH(ROWS($AC$3:AC2469),$AC$3:$AC$10000,0)),"")</f>
        <v/>
      </c>
      <c r="AE2469" s="117" t="str">
        <f>+'Packing Material - Cost'!A2470</f>
        <v/>
      </c>
    </row>
    <row r="2470" spans="27:31">
      <c r="AA2470" s="117">
        <f>+'Ingredient List - Mother Tinctu'!D2471</f>
        <v>0</v>
      </c>
      <c r="AB2470" s="117">
        <f t="shared" si="41"/>
        <v>0</v>
      </c>
      <c r="AC2470" s="117" t="str">
        <f>IF(AB2470=1,COUNTIF($AB$3:AB2470,1),"")</f>
        <v/>
      </c>
      <c r="AD2470" s="117" t="str">
        <f>IFERROR(INDEX($AA$3:$AA$10000,MATCH(ROWS($AC$3:AC2470),$AC$3:$AC$10000,0)),"")</f>
        <v/>
      </c>
      <c r="AE2470" s="117" t="str">
        <f>+'Packing Material - Cost'!A2471</f>
        <v/>
      </c>
    </row>
    <row r="2471" spans="27:31">
      <c r="AA2471" s="117">
        <f>+'Ingredient List - Mother Tinctu'!D2472</f>
        <v>0</v>
      </c>
      <c r="AB2471" s="117">
        <f t="shared" si="41"/>
        <v>0</v>
      </c>
      <c r="AC2471" s="117" t="str">
        <f>IF(AB2471=1,COUNTIF($AB$3:AB2471,1),"")</f>
        <v/>
      </c>
      <c r="AD2471" s="117" t="str">
        <f>IFERROR(INDEX($AA$3:$AA$10000,MATCH(ROWS($AC$3:AC2471),$AC$3:$AC$10000,0)),"")</f>
        <v/>
      </c>
      <c r="AE2471" s="117" t="str">
        <f>+'Packing Material - Cost'!A2472</f>
        <v/>
      </c>
    </row>
    <row r="2472" spans="27:31">
      <c r="AA2472" s="117">
        <f>+'Ingredient List - Mother Tinctu'!D2473</f>
        <v>0</v>
      </c>
      <c r="AB2472" s="117">
        <f t="shared" si="41"/>
        <v>0</v>
      </c>
      <c r="AC2472" s="117" t="str">
        <f>IF(AB2472=1,COUNTIF($AB$3:AB2472,1),"")</f>
        <v/>
      </c>
      <c r="AD2472" s="117" t="str">
        <f>IFERROR(INDEX($AA$3:$AA$10000,MATCH(ROWS($AC$3:AC2472),$AC$3:$AC$10000,0)),"")</f>
        <v/>
      </c>
      <c r="AE2472" s="117" t="str">
        <f>+'Packing Material - Cost'!A2473</f>
        <v/>
      </c>
    </row>
    <row r="2473" spans="27:31">
      <c r="AA2473" s="117">
        <f>+'Ingredient List - Mother Tinctu'!D2474</f>
        <v>0</v>
      </c>
      <c r="AB2473" s="117">
        <f t="shared" si="41"/>
        <v>0</v>
      </c>
      <c r="AC2473" s="117" t="str">
        <f>IF(AB2473=1,COUNTIF($AB$3:AB2473,1),"")</f>
        <v/>
      </c>
      <c r="AD2473" s="117" t="str">
        <f>IFERROR(INDEX($AA$3:$AA$10000,MATCH(ROWS($AC$3:AC2473),$AC$3:$AC$10000,0)),"")</f>
        <v/>
      </c>
      <c r="AE2473" s="117" t="str">
        <f>+'Packing Material - Cost'!A2474</f>
        <v/>
      </c>
    </row>
    <row r="2474" spans="27:31">
      <c r="AA2474" s="117">
        <f>+'Ingredient List - Mother Tinctu'!D2475</f>
        <v>0</v>
      </c>
      <c r="AB2474" s="117">
        <f t="shared" si="41"/>
        <v>0</v>
      </c>
      <c r="AC2474" s="117" t="str">
        <f>IF(AB2474=1,COUNTIF($AB$3:AB2474,1),"")</f>
        <v/>
      </c>
      <c r="AD2474" s="117" t="str">
        <f>IFERROR(INDEX($AA$3:$AA$10000,MATCH(ROWS($AC$3:AC2474),$AC$3:$AC$10000,0)),"")</f>
        <v/>
      </c>
      <c r="AE2474" s="117" t="str">
        <f>+'Packing Material - Cost'!A2475</f>
        <v/>
      </c>
    </row>
    <row r="2475" spans="27:31">
      <c r="AA2475" s="117">
        <f>+'Ingredient List - Mother Tinctu'!D2476</f>
        <v>0</v>
      </c>
      <c r="AB2475" s="117">
        <f t="shared" si="41"/>
        <v>0</v>
      </c>
      <c r="AC2475" s="117" t="str">
        <f>IF(AB2475=1,COUNTIF($AB$3:AB2475,1),"")</f>
        <v/>
      </c>
      <c r="AD2475" s="117" t="str">
        <f>IFERROR(INDEX($AA$3:$AA$10000,MATCH(ROWS($AC$3:AC2475),$AC$3:$AC$10000,0)),"")</f>
        <v/>
      </c>
      <c r="AE2475" s="117" t="str">
        <f>+'Packing Material - Cost'!A2476</f>
        <v/>
      </c>
    </row>
    <row r="2476" spans="27:31">
      <c r="AA2476" s="117">
        <f>+'Ingredient List - Mother Tinctu'!D2477</f>
        <v>0</v>
      </c>
      <c r="AB2476" s="117">
        <f t="shared" si="41"/>
        <v>0</v>
      </c>
      <c r="AC2476" s="117" t="str">
        <f>IF(AB2476=1,COUNTIF($AB$3:AB2476,1),"")</f>
        <v/>
      </c>
      <c r="AD2476" s="117" t="str">
        <f>IFERROR(INDEX($AA$3:$AA$10000,MATCH(ROWS($AC$3:AC2476),$AC$3:$AC$10000,0)),"")</f>
        <v/>
      </c>
      <c r="AE2476" s="117" t="str">
        <f>+'Packing Material - Cost'!A2477</f>
        <v/>
      </c>
    </row>
    <row r="2477" spans="27:31">
      <c r="AA2477" s="117">
        <f>+'Ingredient List - Mother Tinctu'!D2478</f>
        <v>0</v>
      </c>
      <c r="AB2477" s="117">
        <f t="shared" si="41"/>
        <v>0</v>
      </c>
      <c r="AC2477" s="117" t="str">
        <f>IF(AB2477=1,COUNTIF($AB$3:AB2477,1),"")</f>
        <v/>
      </c>
      <c r="AD2477" s="117" t="str">
        <f>IFERROR(INDEX($AA$3:$AA$10000,MATCH(ROWS($AC$3:AC2477),$AC$3:$AC$10000,0)),"")</f>
        <v/>
      </c>
      <c r="AE2477" s="117" t="str">
        <f>+'Packing Material - Cost'!A2478</f>
        <v/>
      </c>
    </row>
    <row r="2478" spans="27:31">
      <c r="AA2478" s="117">
        <f>+'Ingredient List - Mother Tinctu'!D2479</f>
        <v>0</v>
      </c>
      <c r="AB2478" s="117">
        <f t="shared" si="41"/>
        <v>0</v>
      </c>
      <c r="AC2478" s="117" t="str">
        <f>IF(AB2478=1,COUNTIF($AB$3:AB2478,1),"")</f>
        <v/>
      </c>
      <c r="AD2478" s="117" t="str">
        <f>IFERROR(INDEX($AA$3:$AA$10000,MATCH(ROWS($AC$3:AC2478),$AC$3:$AC$10000,0)),"")</f>
        <v/>
      </c>
      <c r="AE2478" s="117" t="str">
        <f>+'Packing Material - Cost'!A2479</f>
        <v/>
      </c>
    </row>
    <row r="2479" spans="27:31">
      <c r="AA2479" s="117">
        <f>+'Ingredient List - Mother Tinctu'!D2480</f>
        <v>0</v>
      </c>
      <c r="AB2479" s="117">
        <f t="shared" si="41"/>
        <v>0</v>
      </c>
      <c r="AC2479" s="117" t="str">
        <f>IF(AB2479=1,COUNTIF($AB$3:AB2479,1),"")</f>
        <v/>
      </c>
      <c r="AD2479" s="117" t="str">
        <f>IFERROR(INDEX($AA$3:$AA$10000,MATCH(ROWS($AC$3:AC2479),$AC$3:$AC$10000,0)),"")</f>
        <v/>
      </c>
      <c r="AE2479" s="117" t="str">
        <f>+'Packing Material - Cost'!A2480</f>
        <v/>
      </c>
    </row>
    <row r="2480" spans="27:31">
      <c r="AA2480" s="117">
        <f>+'Ingredient List - Mother Tinctu'!D2481</f>
        <v>0</v>
      </c>
      <c r="AB2480" s="117">
        <f t="shared" si="41"/>
        <v>0</v>
      </c>
      <c r="AC2480" s="117" t="str">
        <f>IF(AB2480=1,COUNTIF($AB$3:AB2480,1),"")</f>
        <v/>
      </c>
      <c r="AD2480" s="117" t="str">
        <f>IFERROR(INDEX($AA$3:$AA$10000,MATCH(ROWS($AC$3:AC2480),$AC$3:$AC$10000,0)),"")</f>
        <v/>
      </c>
      <c r="AE2480" s="117" t="str">
        <f>+'Packing Material - Cost'!A2481</f>
        <v/>
      </c>
    </row>
    <row r="2481" spans="27:31">
      <c r="AA2481" s="117">
        <f>+'Ingredient List - Mother Tinctu'!D2482</f>
        <v>0</v>
      </c>
      <c r="AB2481" s="117">
        <f t="shared" si="41"/>
        <v>0</v>
      </c>
      <c r="AC2481" s="117" t="str">
        <f>IF(AB2481=1,COUNTIF($AB$3:AB2481,1),"")</f>
        <v/>
      </c>
      <c r="AD2481" s="117" t="str">
        <f>IFERROR(INDEX($AA$3:$AA$10000,MATCH(ROWS($AC$3:AC2481),$AC$3:$AC$10000,0)),"")</f>
        <v/>
      </c>
      <c r="AE2481" s="117" t="str">
        <f>+'Packing Material - Cost'!A2482</f>
        <v/>
      </c>
    </row>
    <row r="2482" spans="27:31">
      <c r="AA2482" s="117">
        <f>+'Ingredient List - Mother Tinctu'!D2483</f>
        <v>0</v>
      </c>
      <c r="AB2482" s="117">
        <f t="shared" si="41"/>
        <v>0</v>
      </c>
      <c r="AC2482" s="117" t="str">
        <f>IF(AB2482=1,COUNTIF($AB$3:AB2482,1),"")</f>
        <v/>
      </c>
      <c r="AD2482" s="117" t="str">
        <f>IFERROR(INDEX($AA$3:$AA$10000,MATCH(ROWS($AC$3:AC2482),$AC$3:$AC$10000,0)),"")</f>
        <v/>
      </c>
      <c r="AE2482" s="117" t="str">
        <f>+'Packing Material - Cost'!A2483</f>
        <v/>
      </c>
    </row>
    <row r="2483" spans="27:31">
      <c r="AA2483" s="117">
        <f>+'Ingredient List - Mother Tinctu'!D2484</f>
        <v>0</v>
      </c>
      <c r="AB2483" s="117">
        <f t="shared" si="41"/>
        <v>0</v>
      </c>
      <c r="AC2483" s="117" t="str">
        <f>IF(AB2483=1,COUNTIF($AB$3:AB2483,1),"")</f>
        <v/>
      </c>
      <c r="AD2483" s="117" t="str">
        <f>IFERROR(INDEX($AA$3:$AA$10000,MATCH(ROWS($AC$3:AC2483),$AC$3:$AC$10000,0)),"")</f>
        <v/>
      </c>
      <c r="AE2483" s="117" t="str">
        <f>+'Packing Material - Cost'!A2484</f>
        <v/>
      </c>
    </row>
    <row r="2484" spans="27:31">
      <c r="AA2484" s="117">
        <f>+'Ingredient List - Mother Tinctu'!D2485</f>
        <v>0</v>
      </c>
      <c r="AB2484" s="117">
        <f t="shared" si="41"/>
        <v>0</v>
      </c>
      <c r="AC2484" s="117" t="str">
        <f>IF(AB2484=1,COUNTIF($AB$3:AB2484,1),"")</f>
        <v/>
      </c>
      <c r="AD2484" s="117" t="str">
        <f>IFERROR(INDEX($AA$3:$AA$10000,MATCH(ROWS($AC$3:AC2484),$AC$3:$AC$10000,0)),"")</f>
        <v/>
      </c>
      <c r="AE2484" s="117" t="str">
        <f>+'Packing Material - Cost'!A2485</f>
        <v/>
      </c>
    </row>
    <row r="2485" spans="27:31">
      <c r="AA2485" s="117">
        <f>+'Ingredient List - Mother Tinctu'!D2486</f>
        <v>0</v>
      </c>
      <c r="AB2485" s="117">
        <f t="shared" si="41"/>
        <v>0</v>
      </c>
      <c r="AC2485" s="117" t="str">
        <f>IF(AB2485=1,COUNTIF($AB$3:AB2485,1),"")</f>
        <v/>
      </c>
      <c r="AD2485" s="117" t="str">
        <f>IFERROR(INDEX($AA$3:$AA$10000,MATCH(ROWS($AC$3:AC2485),$AC$3:$AC$10000,0)),"")</f>
        <v/>
      </c>
      <c r="AE2485" s="117" t="str">
        <f>+'Packing Material - Cost'!A2486</f>
        <v/>
      </c>
    </row>
    <row r="2486" spans="27:31">
      <c r="AA2486" s="117">
        <f>+'Ingredient List - Mother Tinctu'!D2487</f>
        <v>0</v>
      </c>
      <c r="AB2486" s="117">
        <f t="shared" si="41"/>
        <v>0</v>
      </c>
      <c r="AC2486" s="117" t="str">
        <f>IF(AB2486=1,COUNTIF($AB$3:AB2486,1),"")</f>
        <v/>
      </c>
      <c r="AD2486" s="117" t="str">
        <f>IFERROR(INDEX($AA$3:$AA$10000,MATCH(ROWS($AC$3:AC2486),$AC$3:$AC$10000,0)),"")</f>
        <v/>
      </c>
      <c r="AE2486" s="117" t="str">
        <f>+'Packing Material - Cost'!A2487</f>
        <v/>
      </c>
    </row>
    <row r="2487" spans="27:31">
      <c r="AA2487" s="117">
        <f>+'Ingredient List - Mother Tinctu'!D2488</f>
        <v>0</v>
      </c>
      <c r="AB2487" s="117">
        <f t="shared" si="41"/>
        <v>0</v>
      </c>
      <c r="AC2487" s="117" t="str">
        <f>IF(AB2487=1,COUNTIF($AB$3:AB2487,1),"")</f>
        <v/>
      </c>
      <c r="AD2487" s="117" t="str">
        <f>IFERROR(INDEX($AA$3:$AA$10000,MATCH(ROWS($AC$3:AC2487),$AC$3:$AC$10000,0)),"")</f>
        <v/>
      </c>
      <c r="AE2487" s="117" t="str">
        <f>+'Packing Material - Cost'!A2488</f>
        <v/>
      </c>
    </row>
    <row r="2488" spans="27:31">
      <c r="AA2488" s="117">
        <f>+'Ingredient List - Mother Tinctu'!D2489</f>
        <v>0</v>
      </c>
      <c r="AB2488" s="117">
        <f t="shared" si="41"/>
        <v>0</v>
      </c>
      <c r="AC2488" s="117" t="str">
        <f>IF(AB2488=1,COUNTIF($AB$3:AB2488,1),"")</f>
        <v/>
      </c>
      <c r="AD2488" s="117" t="str">
        <f>IFERROR(INDEX($AA$3:$AA$10000,MATCH(ROWS($AC$3:AC2488),$AC$3:$AC$10000,0)),"")</f>
        <v/>
      </c>
      <c r="AE2488" s="117" t="str">
        <f>+'Packing Material - Cost'!A2489</f>
        <v/>
      </c>
    </row>
    <row r="2489" spans="27:31">
      <c r="AA2489" s="117">
        <f>+'Ingredient List - Mother Tinctu'!D2490</f>
        <v>0</v>
      </c>
      <c r="AB2489" s="117">
        <f t="shared" si="41"/>
        <v>0</v>
      </c>
      <c r="AC2489" s="117" t="str">
        <f>IF(AB2489=1,COUNTIF($AB$3:AB2489,1),"")</f>
        <v/>
      </c>
      <c r="AD2489" s="117" t="str">
        <f>IFERROR(INDEX($AA$3:$AA$10000,MATCH(ROWS($AC$3:AC2489),$AC$3:$AC$10000,0)),"")</f>
        <v/>
      </c>
      <c r="AE2489" s="117" t="str">
        <f>+'Packing Material - Cost'!A2490</f>
        <v/>
      </c>
    </row>
    <row r="2490" spans="27:31">
      <c r="AA2490" s="117">
        <f>+'Ingredient List - Mother Tinctu'!D2491</f>
        <v>0</v>
      </c>
      <c r="AB2490" s="117">
        <f t="shared" si="41"/>
        <v>0</v>
      </c>
      <c r="AC2490" s="117" t="str">
        <f>IF(AB2490=1,COUNTIF($AB$3:AB2490,1),"")</f>
        <v/>
      </c>
      <c r="AD2490" s="117" t="str">
        <f>IFERROR(INDEX($AA$3:$AA$10000,MATCH(ROWS($AC$3:AC2490),$AC$3:$AC$10000,0)),"")</f>
        <v/>
      </c>
      <c r="AE2490" s="117" t="str">
        <f>+'Packing Material - Cost'!A2491</f>
        <v/>
      </c>
    </row>
    <row r="2491" spans="27:31">
      <c r="AA2491" s="117">
        <f>+'Ingredient List - Mother Tinctu'!D2492</f>
        <v>0</v>
      </c>
      <c r="AB2491" s="117">
        <f t="shared" si="41"/>
        <v>0</v>
      </c>
      <c r="AC2491" s="117" t="str">
        <f>IF(AB2491=1,COUNTIF($AB$3:AB2491,1),"")</f>
        <v/>
      </c>
      <c r="AD2491" s="117" t="str">
        <f>IFERROR(INDEX($AA$3:$AA$10000,MATCH(ROWS($AC$3:AC2491),$AC$3:$AC$10000,0)),"")</f>
        <v/>
      </c>
      <c r="AE2491" s="117" t="str">
        <f>+'Packing Material - Cost'!A2492</f>
        <v/>
      </c>
    </row>
    <row r="2492" spans="27:31">
      <c r="AA2492" s="117">
        <f>+'Ingredient List - Mother Tinctu'!D2493</f>
        <v>0</v>
      </c>
      <c r="AB2492" s="117">
        <f t="shared" si="41"/>
        <v>0</v>
      </c>
      <c r="AC2492" s="117" t="str">
        <f>IF(AB2492=1,COUNTIF($AB$3:AB2492,1),"")</f>
        <v/>
      </c>
      <c r="AD2492" s="117" t="str">
        <f>IFERROR(INDEX($AA$3:$AA$10000,MATCH(ROWS($AC$3:AC2492),$AC$3:$AC$10000,0)),"")</f>
        <v/>
      </c>
      <c r="AE2492" s="117" t="str">
        <f>+'Packing Material - Cost'!A2493</f>
        <v/>
      </c>
    </row>
    <row r="2493" spans="27:31">
      <c r="AA2493" s="117">
        <f>+'Ingredient List - Mother Tinctu'!D2494</f>
        <v>0</v>
      </c>
      <c r="AB2493" s="117">
        <f t="shared" si="41"/>
        <v>0</v>
      </c>
      <c r="AC2493" s="117" t="str">
        <f>IF(AB2493=1,COUNTIF($AB$3:AB2493,1),"")</f>
        <v/>
      </c>
      <c r="AD2493" s="117" t="str">
        <f>IFERROR(INDEX($AA$3:$AA$10000,MATCH(ROWS($AC$3:AC2493),$AC$3:$AC$10000,0)),"")</f>
        <v/>
      </c>
      <c r="AE2493" s="117" t="str">
        <f>+'Packing Material - Cost'!A2494</f>
        <v/>
      </c>
    </row>
    <row r="2494" spans="27:31">
      <c r="AA2494" s="117">
        <f>+'Ingredient List - Mother Tinctu'!D2495</f>
        <v>0</v>
      </c>
      <c r="AB2494" s="117">
        <f t="shared" si="41"/>
        <v>0</v>
      </c>
      <c r="AC2494" s="117" t="str">
        <f>IF(AB2494=1,COUNTIF($AB$3:AB2494,1),"")</f>
        <v/>
      </c>
      <c r="AD2494" s="117" t="str">
        <f>IFERROR(INDEX($AA$3:$AA$10000,MATCH(ROWS($AC$3:AC2494),$AC$3:$AC$10000,0)),"")</f>
        <v/>
      </c>
      <c r="AE2494" s="117" t="str">
        <f>+'Packing Material - Cost'!A2495</f>
        <v/>
      </c>
    </row>
    <row r="2495" spans="27:31">
      <c r="AA2495" s="117">
        <f>+'Ingredient List - Mother Tinctu'!D2496</f>
        <v>0</v>
      </c>
      <c r="AB2495" s="117">
        <f t="shared" si="41"/>
        <v>0</v>
      </c>
      <c r="AC2495" s="117" t="str">
        <f>IF(AB2495=1,COUNTIF($AB$3:AB2495,1),"")</f>
        <v/>
      </c>
      <c r="AD2495" s="117" t="str">
        <f>IFERROR(INDEX($AA$3:$AA$10000,MATCH(ROWS($AC$3:AC2495),$AC$3:$AC$10000,0)),"")</f>
        <v/>
      </c>
      <c r="AE2495" s="117" t="str">
        <f>+'Packing Material - Cost'!A2496</f>
        <v/>
      </c>
    </row>
    <row r="2496" spans="27:31">
      <c r="AA2496" s="117">
        <f>+'Ingredient List - Mother Tinctu'!D2497</f>
        <v>0</v>
      </c>
      <c r="AB2496" s="117">
        <f t="shared" si="41"/>
        <v>0</v>
      </c>
      <c r="AC2496" s="117" t="str">
        <f>IF(AB2496=1,COUNTIF($AB$3:AB2496,1),"")</f>
        <v/>
      </c>
      <c r="AD2496" s="117" t="str">
        <f>IFERROR(INDEX($AA$3:$AA$10000,MATCH(ROWS($AC$3:AC2496),$AC$3:$AC$10000,0)),"")</f>
        <v/>
      </c>
      <c r="AE2496" s="117" t="str">
        <f>+'Packing Material - Cost'!A2497</f>
        <v/>
      </c>
    </row>
    <row r="2497" spans="27:31">
      <c r="AA2497" s="117">
        <f>+'Ingredient List - Mother Tinctu'!D2498</f>
        <v>0</v>
      </c>
      <c r="AB2497" s="117">
        <f t="shared" si="41"/>
        <v>0</v>
      </c>
      <c r="AC2497" s="117" t="str">
        <f>IF(AB2497=1,COUNTIF($AB$3:AB2497,1),"")</f>
        <v/>
      </c>
      <c r="AD2497" s="117" t="str">
        <f>IFERROR(INDEX($AA$3:$AA$10000,MATCH(ROWS($AC$3:AC2497),$AC$3:$AC$10000,0)),"")</f>
        <v/>
      </c>
      <c r="AE2497" s="117" t="str">
        <f>+'Packing Material - Cost'!A2498</f>
        <v/>
      </c>
    </row>
    <row r="2498" spans="27:31">
      <c r="AA2498" s="117">
        <f>+'Ingredient List - Mother Tinctu'!D2499</f>
        <v>0</v>
      </c>
      <c r="AB2498" s="117">
        <f t="shared" si="41"/>
        <v>0</v>
      </c>
      <c r="AC2498" s="117" t="str">
        <f>IF(AB2498=1,COUNTIF($AB$3:AB2498,1),"")</f>
        <v/>
      </c>
      <c r="AD2498" s="117" t="str">
        <f>IFERROR(INDEX($AA$3:$AA$10000,MATCH(ROWS($AC$3:AC2498),$AC$3:$AC$10000,0)),"")</f>
        <v/>
      </c>
      <c r="AE2498" s="117" t="str">
        <f>+'Packing Material - Cost'!A2499</f>
        <v/>
      </c>
    </row>
    <row r="2499" spans="27:31">
      <c r="AA2499" s="117">
        <f>+'Ingredient List - Mother Tinctu'!D2500</f>
        <v>0</v>
      </c>
      <c r="AB2499" s="117">
        <f t="shared" si="41"/>
        <v>0</v>
      </c>
      <c r="AC2499" s="117" t="str">
        <f>IF(AB2499=1,COUNTIF($AB$3:AB2499,1),"")</f>
        <v/>
      </c>
      <c r="AD2499" s="117" t="str">
        <f>IFERROR(INDEX($AA$3:$AA$10000,MATCH(ROWS($AC$3:AC2499),$AC$3:$AC$10000,0)),"")</f>
        <v/>
      </c>
      <c r="AE2499" s="117" t="str">
        <f>+'Packing Material - Cost'!A2500</f>
        <v/>
      </c>
    </row>
    <row r="2500" spans="27:31">
      <c r="AA2500" s="117">
        <f>+'Ingredient List - Mother Tinctu'!D2501</f>
        <v>0</v>
      </c>
      <c r="AB2500" s="117">
        <f t="shared" ref="AB2500:AB2563" si="42">--ISNUMBER(IFERROR(SEARCH($D$3,AA2500,1),""))</f>
        <v>0</v>
      </c>
      <c r="AC2500" s="117" t="str">
        <f>IF(AB2500=1,COUNTIF($AB$3:AB2500,1),"")</f>
        <v/>
      </c>
      <c r="AD2500" s="117" t="str">
        <f>IFERROR(INDEX($AA$3:$AA$10000,MATCH(ROWS($AC$3:AC2500),$AC$3:$AC$10000,0)),"")</f>
        <v/>
      </c>
      <c r="AE2500" s="117" t="str">
        <f>+'Packing Material - Cost'!A2501</f>
        <v/>
      </c>
    </row>
    <row r="2501" spans="27:31">
      <c r="AA2501" s="117">
        <f>+'Ingredient List - Mother Tinctu'!D2502</f>
        <v>0</v>
      </c>
      <c r="AB2501" s="117">
        <f t="shared" si="42"/>
        <v>0</v>
      </c>
      <c r="AC2501" s="117" t="str">
        <f>IF(AB2501=1,COUNTIF($AB$3:AB2501,1),"")</f>
        <v/>
      </c>
      <c r="AD2501" s="117" t="str">
        <f>IFERROR(INDEX($AA$3:$AA$10000,MATCH(ROWS($AC$3:AC2501),$AC$3:$AC$10000,0)),"")</f>
        <v/>
      </c>
      <c r="AE2501" s="117" t="str">
        <f>+'Packing Material - Cost'!A2502</f>
        <v/>
      </c>
    </row>
    <row r="2502" spans="27:31">
      <c r="AA2502" s="117">
        <f>+'Ingredient List - Mother Tinctu'!D2503</f>
        <v>0</v>
      </c>
      <c r="AB2502" s="117">
        <f t="shared" si="42"/>
        <v>0</v>
      </c>
      <c r="AC2502" s="117" t="str">
        <f>IF(AB2502=1,COUNTIF($AB$3:AB2502,1),"")</f>
        <v/>
      </c>
      <c r="AD2502" s="117" t="str">
        <f>IFERROR(INDEX($AA$3:$AA$10000,MATCH(ROWS($AC$3:AC2502),$AC$3:$AC$10000,0)),"")</f>
        <v/>
      </c>
      <c r="AE2502" s="117" t="str">
        <f>+'Packing Material - Cost'!A2503</f>
        <v/>
      </c>
    </row>
    <row r="2503" spans="27:31">
      <c r="AA2503" s="117">
        <f>+'Ingredient List - Mother Tinctu'!D2504</f>
        <v>0</v>
      </c>
      <c r="AB2503" s="117">
        <f t="shared" si="42"/>
        <v>0</v>
      </c>
      <c r="AC2503" s="117" t="str">
        <f>IF(AB2503=1,COUNTIF($AB$3:AB2503,1),"")</f>
        <v/>
      </c>
      <c r="AD2503" s="117" t="str">
        <f>IFERROR(INDEX($AA$3:$AA$10000,MATCH(ROWS($AC$3:AC2503),$AC$3:$AC$10000,0)),"")</f>
        <v/>
      </c>
      <c r="AE2503" s="117" t="str">
        <f>+'Packing Material - Cost'!A2504</f>
        <v/>
      </c>
    </row>
    <row r="2504" spans="27:31">
      <c r="AA2504" s="117">
        <f>+'Ingredient List - Mother Tinctu'!D2505</f>
        <v>0</v>
      </c>
      <c r="AB2504" s="117">
        <f t="shared" si="42"/>
        <v>0</v>
      </c>
      <c r="AC2504" s="117" t="str">
        <f>IF(AB2504=1,COUNTIF($AB$3:AB2504,1),"")</f>
        <v/>
      </c>
      <c r="AD2504" s="117" t="str">
        <f>IFERROR(INDEX($AA$3:$AA$10000,MATCH(ROWS($AC$3:AC2504),$AC$3:$AC$10000,0)),"")</f>
        <v/>
      </c>
      <c r="AE2504" s="117" t="str">
        <f>+'Packing Material - Cost'!A2505</f>
        <v/>
      </c>
    </row>
    <row r="2505" spans="27:31">
      <c r="AA2505" s="117">
        <f>+'Ingredient List - Mother Tinctu'!D2506</f>
        <v>0</v>
      </c>
      <c r="AB2505" s="117">
        <f t="shared" si="42"/>
        <v>0</v>
      </c>
      <c r="AC2505" s="117" t="str">
        <f>IF(AB2505=1,COUNTIF($AB$3:AB2505,1),"")</f>
        <v/>
      </c>
      <c r="AD2505" s="117" t="str">
        <f>IFERROR(INDEX($AA$3:$AA$10000,MATCH(ROWS($AC$3:AC2505),$AC$3:$AC$10000,0)),"")</f>
        <v/>
      </c>
      <c r="AE2505" s="117" t="str">
        <f>+'Packing Material - Cost'!A2506</f>
        <v/>
      </c>
    </row>
    <row r="2506" spans="27:31">
      <c r="AA2506" s="117">
        <f>+'Ingredient List - Mother Tinctu'!D2507</f>
        <v>0</v>
      </c>
      <c r="AB2506" s="117">
        <f t="shared" si="42"/>
        <v>0</v>
      </c>
      <c r="AC2506" s="117" t="str">
        <f>IF(AB2506=1,COUNTIF($AB$3:AB2506,1),"")</f>
        <v/>
      </c>
      <c r="AD2506" s="117" t="str">
        <f>IFERROR(INDEX($AA$3:$AA$10000,MATCH(ROWS($AC$3:AC2506),$AC$3:$AC$10000,0)),"")</f>
        <v/>
      </c>
      <c r="AE2506" s="117" t="str">
        <f>+'Packing Material - Cost'!A2507</f>
        <v/>
      </c>
    </row>
    <row r="2507" spans="27:31">
      <c r="AA2507" s="117">
        <f>+'Ingredient List - Mother Tinctu'!D2508</f>
        <v>0</v>
      </c>
      <c r="AB2507" s="117">
        <f t="shared" si="42"/>
        <v>0</v>
      </c>
      <c r="AC2507" s="117" t="str">
        <f>IF(AB2507=1,COUNTIF($AB$3:AB2507,1),"")</f>
        <v/>
      </c>
      <c r="AD2507" s="117" t="str">
        <f>IFERROR(INDEX($AA$3:$AA$10000,MATCH(ROWS($AC$3:AC2507),$AC$3:$AC$10000,0)),"")</f>
        <v/>
      </c>
      <c r="AE2507" s="117" t="str">
        <f>+'Packing Material - Cost'!A2508</f>
        <v/>
      </c>
    </row>
    <row r="2508" spans="27:31">
      <c r="AA2508" s="117">
        <f>+'Ingredient List - Mother Tinctu'!D2509</f>
        <v>0</v>
      </c>
      <c r="AB2508" s="117">
        <f t="shared" si="42"/>
        <v>0</v>
      </c>
      <c r="AC2508" s="117" t="str">
        <f>IF(AB2508=1,COUNTIF($AB$3:AB2508,1),"")</f>
        <v/>
      </c>
      <c r="AD2508" s="117" t="str">
        <f>IFERROR(INDEX($AA$3:$AA$10000,MATCH(ROWS($AC$3:AC2508),$AC$3:$AC$10000,0)),"")</f>
        <v/>
      </c>
      <c r="AE2508" s="117" t="str">
        <f>+'Packing Material - Cost'!A2509</f>
        <v/>
      </c>
    </row>
    <row r="2509" spans="27:31">
      <c r="AA2509" s="117">
        <f>+'Ingredient List - Mother Tinctu'!D2510</f>
        <v>0</v>
      </c>
      <c r="AB2509" s="117">
        <f t="shared" si="42"/>
        <v>0</v>
      </c>
      <c r="AC2509" s="117" t="str">
        <f>IF(AB2509=1,COUNTIF($AB$3:AB2509,1),"")</f>
        <v/>
      </c>
      <c r="AD2509" s="117" t="str">
        <f>IFERROR(INDEX($AA$3:$AA$10000,MATCH(ROWS($AC$3:AC2509),$AC$3:$AC$10000,0)),"")</f>
        <v/>
      </c>
      <c r="AE2509" s="117" t="str">
        <f>+'Packing Material - Cost'!A2510</f>
        <v/>
      </c>
    </row>
    <row r="2510" spans="27:31">
      <c r="AA2510" s="117">
        <f>+'Ingredient List - Mother Tinctu'!D2511</f>
        <v>0</v>
      </c>
      <c r="AB2510" s="117">
        <f t="shared" si="42"/>
        <v>0</v>
      </c>
      <c r="AC2510" s="117" t="str">
        <f>IF(AB2510=1,COUNTIF($AB$3:AB2510,1),"")</f>
        <v/>
      </c>
      <c r="AD2510" s="117" t="str">
        <f>IFERROR(INDEX($AA$3:$AA$10000,MATCH(ROWS($AC$3:AC2510),$AC$3:$AC$10000,0)),"")</f>
        <v/>
      </c>
      <c r="AE2510" s="117" t="str">
        <f>+'Packing Material - Cost'!A2511</f>
        <v/>
      </c>
    </row>
    <row r="2511" spans="27:31">
      <c r="AA2511" s="117">
        <f>+'Ingredient List - Mother Tinctu'!D2512</f>
        <v>0</v>
      </c>
      <c r="AB2511" s="117">
        <f t="shared" si="42"/>
        <v>0</v>
      </c>
      <c r="AC2511" s="117" t="str">
        <f>IF(AB2511=1,COUNTIF($AB$3:AB2511,1),"")</f>
        <v/>
      </c>
      <c r="AD2511" s="117" t="str">
        <f>IFERROR(INDEX($AA$3:$AA$10000,MATCH(ROWS($AC$3:AC2511),$AC$3:$AC$10000,0)),"")</f>
        <v/>
      </c>
      <c r="AE2511" s="117" t="str">
        <f>+'Packing Material - Cost'!A2512</f>
        <v/>
      </c>
    </row>
    <row r="2512" spans="27:31">
      <c r="AA2512" s="117">
        <f>+'Ingredient List - Mother Tinctu'!D2513</f>
        <v>0</v>
      </c>
      <c r="AB2512" s="117">
        <f t="shared" si="42"/>
        <v>0</v>
      </c>
      <c r="AC2512" s="117" t="str">
        <f>IF(AB2512=1,COUNTIF($AB$3:AB2512,1),"")</f>
        <v/>
      </c>
      <c r="AD2512" s="117" t="str">
        <f>IFERROR(INDEX($AA$3:$AA$10000,MATCH(ROWS($AC$3:AC2512),$AC$3:$AC$10000,0)),"")</f>
        <v/>
      </c>
      <c r="AE2512" s="117" t="str">
        <f>+'Packing Material - Cost'!A2513</f>
        <v/>
      </c>
    </row>
    <row r="2513" spans="27:31">
      <c r="AA2513" s="117">
        <f>+'Ingredient List - Mother Tinctu'!D2514</f>
        <v>0</v>
      </c>
      <c r="AB2513" s="117">
        <f t="shared" si="42"/>
        <v>0</v>
      </c>
      <c r="AC2513" s="117" t="str">
        <f>IF(AB2513=1,COUNTIF($AB$3:AB2513,1),"")</f>
        <v/>
      </c>
      <c r="AD2513" s="117" t="str">
        <f>IFERROR(INDEX($AA$3:$AA$10000,MATCH(ROWS($AC$3:AC2513),$AC$3:$AC$10000,0)),"")</f>
        <v/>
      </c>
      <c r="AE2513" s="117" t="str">
        <f>+'Packing Material - Cost'!A2514</f>
        <v/>
      </c>
    </row>
    <row r="2514" spans="27:31">
      <c r="AA2514" s="117">
        <f>+'Ingredient List - Mother Tinctu'!D2515</f>
        <v>0</v>
      </c>
      <c r="AB2514" s="117">
        <f t="shared" si="42"/>
        <v>0</v>
      </c>
      <c r="AC2514" s="117" t="str">
        <f>IF(AB2514=1,COUNTIF($AB$3:AB2514,1),"")</f>
        <v/>
      </c>
      <c r="AD2514" s="117" t="str">
        <f>IFERROR(INDEX($AA$3:$AA$10000,MATCH(ROWS($AC$3:AC2514),$AC$3:$AC$10000,0)),"")</f>
        <v/>
      </c>
      <c r="AE2514" s="117" t="str">
        <f>+'Packing Material - Cost'!A2515</f>
        <v/>
      </c>
    </row>
    <row r="2515" spans="27:31">
      <c r="AA2515" s="117">
        <f>+'Ingredient List - Mother Tinctu'!D2516</f>
        <v>0</v>
      </c>
      <c r="AB2515" s="117">
        <f t="shared" si="42"/>
        <v>0</v>
      </c>
      <c r="AC2515" s="117" t="str">
        <f>IF(AB2515=1,COUNTIF($AB$3:AB2515,1),"")</f>
        <v/>
      </c>
      <c r="AD2515" s="117" t="str">
        <f>IFERROR(INDEX($AA$3:$AA$10000,MATCH(ROWS($AC$3:AC2515),$AC$3:$AC$10000,0)),"")</f>
        <v/>
      </c>
      <c r="AE2515" s="117" t="str">
        <f>+'Packing Material - Cost'!A2516</f>
        <v/>
      </c>
    </row>
    <row r="2516" spans="27:31">
      <c r="AA2516" s="117">
        <f>+'Ingredient List - Mother Tinctu'!D2517</f>
        <v>0</v>
      </c>
      <c r="AB2516" s="117">
        <f t="shared" si="42"/>
        <v>0</v>
      </c>
      <c r="AC2516" s="117" t="str">
        <f>IF(AB2516=1,COUNTIF($AB$3:AB2516,1),"")</f>
        <v/>
      </c>
      <c r="AD2516" s="117" t="str">
        <f>IFERROR(INDEX($AA$3:$AA$10000,MATCH(ROWS($AC$3:AC2516),$AC$3:$AC$10000,0)),"")</f>
        <v/>
      </c>
      <c r="AE2516" s="117" t="str">
        <f>+'Packing Material - Cost'!A2517</f>
        <v/>
      </c>
    </row>
    <row r="2517" spans="27:31">
      <c r="AA2517" s="117">
        <f>+'Ingredient List - Mother Tinctu'!D2518</f>
        <v>0</v>
      </c>
      <c r="AB2517" s="117">
        <f t="shared" si="42"/>
        <v>0</v>
      </c>
      <c r="AC2517" s="117" t="str">
        <f>IF(AB2517=1,COUNTIF($AB$3:AB2517,1),"")</f>
        <v/>
      </c>
      <c r="AD2517" s="117" t="str">
        <f>IFERROR(INDEX($AA$3:$AA$10000,MATCH(ROWS($AC$3:AC2517),$AC$3:$AC$10000,0)),"")</f>
        <v/>
      </c>
      <c r="AE2517" s="117" t="str">
        <f>+'Packing Material - Cost'!A2518</f>
        <v/>
      </c>
    </row>
    <row r="2518" spans="27:31">
      <c r="AA2518" s="117">
        <f>+'Ingredient List - Mother Tinctu'!D2519</f>
        <v>0</v>
      </c>
      <c r="AB2518" s="117">
        <f t="shared" si="42"/>
        <v>0</v>
      </c>
      <c r="AC2518" s="117" t="str">
        <f>IF(AB2518=1,COUNTIF($AB$3:AB2518,1),"")</f>
        <v/>
      </c>
      <c r="AD2518" s="117" t="str">
        <f>IFERROR(INDEX($AA$3:$AA$10000,MATCH(ROWS($AC$3:AC2518),$AC$3:$AC$10000,0)),"")</f>
        <v/>
      </c>
      <c r="AE2518" s="117" t="str">
        <f>+'Packing Material - Cost'!A2519</f>
        <v/>
      </c>
    </row>
    <row r="2519" spans="27:31">
      <c r="AA2519" s="117">
        <f>+'Ingredient List - Mother Tinctu'!D2520</f>
        <v>0</v>
      </c>
      <c r="AB2519" s="117">
        <f t="shared" si="42"/>
        <v>0</v>
      </c>
      <c r="AC2519" s="117" t="str">
        <f>IF(AB2519=1,COUNTIF($AB$3:AB2519,1),"")</f>
        <v/>
      </c>
      <c r="AD2519" s="117" t="str">
        <f>IFERROR(INDEX($AA$3:$AA$10000,MATCH(ROWS($AC$3:AC2519),$AC$3:$AC$10000,0)),"")</f>
        <v/>
      </c>
      <c r="AE2519" s="117" t="str">
        <f>+'Packing Material - Cost'!A2520</f>
        <v/>
      </c>
    </row>
    <row r="2520" spans="27:31">
      <c r="AA2520" s="117">
        <f>+'Ingredient List - Mother Tinctu'!D2521</f>
        <v>0</v>
      </c>
      <c r="AB2520" s="117">
        <f t="shared" si="42"/>
        <v>0</v>
      </c>
      <c r="AC2520" s="117" t="str">
        <f>IF(AB2520=1,COUNTIF($AB$3:AB2520,1),"")</f>
        <v/>
      </c>
      <c r="AD2520" s="117" t="str">
        <f>IFERROR(INDEX($AA$3:$AA$10000,MATCH(ROWS($AC$3:AC2520),$AC$3:$AC$10000,0)),"")</f>
        <v/>
      </c>
      <c r="AE2520" s="117" t="str">
        <f>+'Packing Material - Cost'!A2521</f>
        <v/>
      </c>
    </row>
    <row r="2521" spans="27:31">
      <c r="AA2521" s="117">
        <f>+'Ingredient List - Mother Tinctu'!D2522</f>
        <v>0</v>
      </c>
      <c r="AB2521" s="117">
        <f t="shared" si="42"/>
        <v>0</v>
      </c>
      <c r="AC2521" s="117" t="str">
        <f>IF(AB2521=1,COUNTIF($AB$3:AB2521,1),"")</f>
        <v/>
      </c>
      <c r="AD2521" s="117" t="str">
        <f>IFERROR(INDEX($AA$3:$AA$10000,MATCH(ROWS($AC$3:AC2521),$AC$3:$AC$10000,0)),"")</f>
        <v/>
      </c>
      <c r="AE2521" s="117" t="str">
        <f>+'Packing Material - Cost'!A2522</f>
        <v/>
      </c>
    </row>
    <row r="2522" spans="27:31">
      <c r="AA2522" s="117">
        <f>+'Ingredient List - Mother Tinctu'!D2523</f>
        <v>0</v>
      </c>
      <c r="AB2522" s="117">
        <f t="shared" si="42"/>
        <v>0</v>
      </c>
      <c r="AC2522" s="117" t="str">
        <f>IF(AB2522=1,COUNTIF($AB$3:AB2522,1),"")</f>
        <v/>
      </c>
      <c r="AD2522" s="117" t="str">
        <f>IFERROR(INDEX($AA$3:$AA$10000,MATCH(ROWS($AC$3:AC2522),$AC$3:$AC$10000,0)),"")</f>
        <v/>
      </c>
      <c r="AE2522" s="117" t="str">
        <f>+'Packing Material - Cost'!A2523</f>
        <v/>
      </c>
    </row>
    <row r="2523" spans="27:31">
      <c r="AA2523" s="117">
        <f>+'Ingredient List - Mother Tinctu'!D2524</f>
        <v>0</v>
      </c>
      <c r="AB2523" s="117">
        <f t="shared" si="42"/>
        <v>0</v>
      </c>
      <c r="AC2523" s="117" t="str">
        <f>IF(AB2523=1,COUNTIF($AB$3:AB2523,1),"")</f>
        <v/>
      </c>
      <c r="AD2523" s="117" t="str">
        <f>IFERROR(INDEX($AA$3:$AA$10000,MATCH(ROWS($AC$3:AC2523),$AC$3:$AC$10000,0)),"")</f>
        <v/>
      </c>
      <c r="AE2523" s="117" t="str">
        <f>+'Packing Material - Cost'!A2524</f>
        <v/>
      </c>
    </row>
    <row r="2524" spans="27:31">
      <c r="AA2524" s="117">
        <f>+'Ingredient List - Mother Tinctu'!D2525</f>
        <v>0</v>
      </c>
      <c r="AB2524" s="117">
        <f t="shared" si="42"/>
        <v>0</v>
      </c>
      <c r="AC2524" s="117" t="str">
        <f>IF(AB2524=1,COUNTIF($AB$3:AB2524,1),"")</f>
        <v/>
      </c>
      <c r="AD2524" s="117" t="str">
        <f>IFERROR(INDEX($AA$3:$AA$10000,MATCH(ROWS($AC$3:AC2524),$AC$3:$AC$10000,0)),"")</f>
        <v/>
      </c>
      <c r="AE2524" s="117" t="str">
        <f>+'Packing Material - Cost'!A2525</f>
        <v/>
      </c>
    </row>
    <row r="2525" spans="27:31">
      <c r="AA2525" s="117">
        <f>+'Ingredient List - Mother Tinctu'!D2526</f>
        <v>0</v>
      </c>
      <c r="AB2525" s="117">
        <f t="shared" si="42"/>
        <v>0</v>
      </c>
      <c r="AC2525" s="117" t="str">
        <f>IF(AB2525=1,COUNTIF($AB$3:AB2525,1),"")</f>
        <v/>
      </c>
      <c r="AD2525" s="117" t="str">
        <f>IFERROR(INDEX($AA$3:$AA$10000,MATCH(ROWS($AC$3:AC2525),$AC$3:$AC$10000,0)),"")</f>
        <v/>
      </c>
      <c r="AE2525" s="117" t="str">
        <f>+'Packing Material - Cost'!A2526</f>
        <v/>
      </c>
    </row>
    <row r="2526" spans="27:31">
      <c r="AA2526" s="117">
        <f>+'Ingredient List - Mother Tinctu'!D2527</f>
        <v>0</v>
      </c>
      <c r="AB2526" s="117">
        <f t="shared" si="42"/>
        <v>0</v>
      </c>
      <c r="AC2526" s="117" t="str">
        <f>IF(AB2526=1,COUNTIF($AB$3:AB2526,1),"")</f>
        <v/>
      </c>
      <c r="AD2526" s="117" t="str">
        <f>IFERROR(INDEX($AA$3:$AA$10000,MATCH(ROWS($AC$3:AC2526),$AC$3:$AC$10000,0)),"")</f>
        <v/>
      </c>
      <c r="AE2526" s="117" t="str">
        <f>+'Packing Material - Cost'!A2527</f>
        <v/>
      </c>
    </row>
    <row r="2527" spans="27:31">
      <c r="AA2527" s="117">
        <f>+'Ingredient List - Mother Tinctu'!D2528</f>
        <v>0</v>
      </c>
      <c r="AB2527" s="117">
        <f t="shared" si="42"/>
        <v>0</v>
      </c>
      <c r="AC2527" s="117" t="str">
        <f>IF(AB2527=1,COUNTIF($AB$3:AB2527,1),"")</f>
        <v/>
      </c>
      <c r="AD2527" s="117" t="str">
        <f>IFERROR(INDEX($AA$3:$AA$10000,MATCH(ROWS($AC$3:AC2527),$AC$3:$AC$10000,0)),"")</f>
        <v/>
      </c>
      <c r="AE2527" s="117" t="str">
        <f>+'Packing Material - Cost'!A2528</f>
        <v/>
      </c>
    </row>
    <row r="2528" spans="27:31">
      <c r="AA2528" s="117">
        <f>+'Ingredient List - Mother Tinctu'!D2529</f>
        <v>0</v>
      </c>
      <c r="AB2528" s="117">
        <f t="shared" si="42"/>
        <v>0</v>
      </c>
      <c r="AC2528" s="117" t="str">
        <f>IF(AB2528=1,COUNTIF($AB$3:AB2528,1),"")</f>
        <v/>
      </c>
      <c r="AD2528" s="117" t="str">
        <f>IFERROR(INDEX($AA$3:$AA$10000,MATCH(ROWS($AC$3:AC2528),$AC$3:$AC$10000,0)),"")</f>
        <v/>
      </c>
      <c r="AE2528" s="117" t="str">
        <f>+'Packing Material - Cost'!A2529</f>
        <v/>
      </c>
    </row>
    <row r="2529" spans="27:31">
      <c r="AA2529" s="117">
        <f>+'Ingredient List - Mother Tinctu'!D2530</f>
        <v>0</v>
      </c>
      <c r="AB2529" s="117">
        <f t="shared" si="42"/>
        <v>0</v>
      </c>
      <c r="AC2529" s="117" t="str">
        <f>IF(AB2529=1,COUNTIF($AB$3:AB2529,1),"")</f>
        <v/>
      </c>
      <c r="AD2529" s="117" t="str">
        <f>IFERROR(INDEX($AA$3:$AA$10000,MATCH(ROWS($AC$3:AC2529),$AC$3:$AC$10000,0)),"")</f>
        <v/>
      </c>
      <c r="AE2529" s="117" t="str">
        <f>+'Packing Material - Cost'!A2530</f>
        <v/>
      </c>
    </row>
    <row r="2530" spans="27:31">
      <c r="AA2530" s="117">
        <f>+'Ingredient List - Mother Tinctu'!D2531</f>
        <v>0</v>
      </c>
      <c r="AB2530" s="117">
        <f t="shared" si="42"/>
        <v>0</v>
      </c>
      <c r="AC2530" s="117" t="str">
        <f>IF(AB2530=1,COUNTIF($AB$3:AB2530,1),"")</f>
        <v/>
      </c>
      <c r="AD2530" s="117" t="str">
        <f>IFERROR(INDEX($AA$3:$AA$10000,MATCH(ROWS($AC$3:AC2530),$AC$3:$AC$10000,0)),"")</f>
        <v/>
      </c>
      <c r="AE2530" s="117" t="str">
        <f>+'Packing Material - Cost'!A2531</f>
        <v/>
      </c>
    </row>
    <row r="2531" spans="27:31">
      <c r="AA2531" s="117">
        <f>+'Ingredient List - Mother Tinctu'!D2532</f>
        <v>0</v>
      </c>
      <c r="AB2531" s="117">
        <f t="shared" si="42"/>
        <v>0</v>
      </c>
      <c r="AC2531" s="117" t="str">
        <f>IF(AB2531=1,COUNTIF($AB$3:AB2531,1),"")</f>
        <v/>
      </c>
      <c r="AD2531" s="117" t="str">
        <f>IFERROR(INDEX($AA$3:$AA$10000,MATCH(ROWS($AC$3:AC2531),$AC$3:$AC$10000,0)),"")</f>
        <v/>
      </c>
      <c r="AE2531" s="117" t="str">
        <f>+'Packing Material - Cost'!A2532</f>
        <v/>
      </c>
    </row>
    <row r="2532" spans="27:31">
      <c r="AA2532" s="117">
        <f>+'Ingredient List - Mother Tinctu'!D2533</f>
        <v>0</v>
      </c>
      <c r="AB2532" s="117">
        <f t="shared" si="42"/>
        <v>0</v>
      </c>
      <c r="AC2532" s="117" t="str">
        <f>IF(AB2532=1,COUNTIF($AB$3:AB2532,1),"")</f>
        <v/>
      </c>
      <c r="AD2532" s="117" t="str">
        <f>IFERROR(INDEX($AA$3:$AA$10000,MATCH(ROWS($AC$3:AC2532),$AC$3:$AC$10000,0)),"")</f>
        <v/>
      </c>
      <c r="AE2532" s="117" t="str">
        <f>+'Packing Material - Cost'!A2533</f>
        <v/>
      </c>
    </row>
    <row r="2533" spans="27:31">
      <c r="AA2533" s="117">
        <f>+'Ingredient List - Mother Tinctu'!D2534</f>
        <v>0</v>
      </c>
      <c r="AB2533" s="117">
        <f t="shared" si="42"/>
        <v>0</v>
      </c>
      <c r="AC2533" s="117" t="str">
        <f>IF(AB2533=1,COUNTIF($AB$3:AB2533,1),"")</f>
        <v/>
      </c>
      <c r="AD2533" s="117" t="str">
        <f>IFERROR(INDEX($AA$3:$AA$10000,MATCH(ROWS($AC$3:AC2533),$AC$3:$AC$10000,0)),"")</f>
        <v/>
      </c>
      <c r="AE2533" s="117" t="str">
        <f>+'Packing Material - Cost'!A2534</f>
        <v/>
      </c>
    </row>
    <row r="2534" spans="27:31">
      <c r="AA2534" s="117">
        <f>+'Ingredient List - Mother Tinctu'!D2535</f>
        <v>0</v>
      </c>
      <c r="AB2534" s="117">
        <f t="shared" si="42"/>
        <v>0</v>
      </c>
      <c r="AC2534" s="117" t="str">
        <f>IF(AB2534=1,COUNTIF($AB$3:AB2534,1),"")</f>
        <v/>
      </c>
      <c r="AD2534" s="117" t="str">
        <f>IFERROR(INDEX($AA$3:$AA$10000,MATCH(ROWS($AC$3:AC2534),$AC$3:$AC$10000,0)),"")</f>
        <v/>
      </c>
      <c r="AE2534" s="117" t="str">
        <f>+'Packing Material - Cost'!A2535</f>
        <v/>
      </c>
    </row>
    <row r="2535" spans="27:31">
      <c r="AA2535" s="117">
        <f>+'Ingredient List - Mother Tinctu'!D2536</f>
        <v>0</v>
      </c>
      <c r="AB2535" s="117">
        <f t="shared" si="42"/>
        <v>0</v>
      </c>
      <c r="AC2535" s="117" t="str">
        <f>IF(AB2535=1,COUNTIF($AB$3:AB2535,1),"")</f>
        <v/>
      </c>
      <c r="AD2535" s="117" t="str">
        <f>IFERROR(INDEX($AA$3:$AA$10000,MATCH(ROWS($AC$3:AC2535),$AC$3:$AC$10000,0)),"")</f>
        <v/>
      </c>
      <c r="AE2535" s="117" t="str">
        <f>+'Packing Material - Cost'!A2536</f>
        <v/>
      </c>
    </row>
    <row r="2536" spans="27:31">
      <c r="AA2536" s="117">
        <f>+'Ingredient List - Mother Tinctu'!D2537</f>
        <v>0</v>
      </c>
      <c r="AB2536" s="117">
        <f t="shared" si="42"/>
        <v>0</v>
      </c>
      <c r="AC2536" s="117" t="str">
        <f>IF(AB2536=1,COUNTIF($AB$3:AB2536,1),"")</f>
        <v/>
      </c>
      <c r="AD2536" s="117" t="str">
        <f>IFERROR(INDEX($AA$3:$AA$10000,MATCH(ROWS($AC$3:AC2536),$AC$3:$AC$10000,0)),"")</f>
        <v/>
      </c>
      <c r="AE2536" s="117" t="str">
        <f>+'Packing Material - Cost'!A2537</f>
        <v/>
      </c>
    </row>
    <row r="2537" spans="27:31">
      <c r="AA2537" s="117">
        <f>+'Ingredient List - Mother Tinctu'!D2538</f>
        <v>0</v>
      </c>
      <c r="AB2537" s="117">
        <f t="shared" si="42"/>
        <v>0</v>
      </c>
      <c r="AC2537" s="117" t="str">
        <f>IF(AB2537=1,COUNTIF($AB$3:AB2537,1),"")</f>
        <v/>
      </c>
      <c r="AD2537" s="117" t="str">
        <f>IFERROR(INDEX($AA$3:$AA$10000,MATCH(ROWS($AC$3:AC2537),$AC$3:$AC$10000,0)),"")</f>
        <v/>
      </c>
      <c r="AE2537" s="117" t="str">
        <f>+'Packing Material - Cost'!A2538</f>
        <v/>
      </c>
    </row>
    <row r="2538" spans="27:31">
      <c r="AA2538" s="117">
        <f>+'Ingredient List - Mother Tinctu'!D2539</f>
        <v>0</v>
      </c>
      <c r="AB2538" s="117">
        <f t="shared" si="42"/>
        <v>0</v>
      </c>
      <c r="AC2538" s="117" t="str">
        <f>IF(AB2538=1,COUNTIF($AB$3:AB2538,1),"")</f>
        <v/>
      </c>
      <c r="AD2538" s="117" t="str">
        <f>IFERROR(INDEX($AA$3:$AA$10000,MATCH(ROWS($AC$3:AC2538),$AC$3:$AC$10000,0)),"")</f>
        <v/>
      </c>
      <c r="AE2538" s="117" t="str">
        <f>+'Packing Material - Cost'!A2539</f>
        <v/>
      </c>
    </row>
    <row r="2539" spans="27:31">
      <c r="AA2539" s="117">
        <f>+'Ingredient List - Mother Tinctu'!D2540</f>
        <v>0</v>
      </c>
      <c r="AB2539" s="117">
        <f t="shared" si="42"/>
        <v>0</v>
      </c>
      <c r="AC2539" s="117" t="str">
        <f>IF(AB2539=1,COUNTIF($AB$3:AB2539,1),"")</f>
        <v/>
      </c>
      <c r="AD2539" s="117" t="str">
        <f>IFERROR(INDEX($AA$3:$AA$10000,MATCH(ROWS($AC$3:AC2539),$AC$3:$AC$10000,0)),"")</f>
        <v/>
      </c>
      <c r="AE2539" s="117" t="str">
        <f>+'Packing Material - Cost'!A2540</f>
        <v/>
      </c>
    </row>
    <row r="2540" spans="27:31">
      <c r="AA2540" s="117">
        <f>+'Ingredient List - Mother Tinctu'!D2541</f>
        <v>0</v>
      </c>
      <c r="AB2540" s="117">
        <f t="shared" si="42"/>
        <v>0</v>
      </c>
      <c r="AC2540" s="117" t="str">
        <f>IF(AB2540=1,COUNTIF($AB$3:AB2540,1),"")</f>
        <v/>
      </c>
      <c r="AD2540" s="117" t="str">
        <f>IFERROR(INDEX($AA$3:$AA$10000,MATCH(ROWS($AC$3:AC2540),$AC$3:$AC$10000,0)),"")</f>
        <v/>
      </c>
      <c r="AE2540" s="117" t="str">
        <f>+'Packing Material - Cost'!A2541</f>
        <v/>
      </c>
    </row>
    <row r="2541" spans="27:31">
      <c r="AA2541" s="117">
        <f>+'Ingredient List - Mother Tinctu'!D2542</f>
        <v>0</v>
      </c>
      <c r="AB2541" s="117">
        <f t="shared" si="42"/>
        <v>0</v>
      </c>
      <c r="AC2541" s="117" t="str">
        <f>IF(AB2541=1,COUNTIF($AB$3:AB2541,1),"")</f>
        <v/>
      </c>
      <c r="AD2541" s="117" t="str">
        <f>IFERROR(INDEX($AA$3:$AA$10000,MATCH(ROWS($AC$3:AC2541),$AC$3:$AC$10000,0)),"")</f>
        <v/>
      </c>
      <c r="AE2541" s="117" t="str">
        <f>+'Packing Material - Cost'!A2542</f>
        <v/>
      </c>
    </row>
    <row r="2542" spans="27:31">
      <c r="AA2542" s="117">
        <f>+'Ingredient List - Mother Tinctu'!D2543</f>
        <v>0</v>
      </c>
      <c r="AB2542" s="117">
        <f t="shared" si="42"/>
        <v>0</v>
      </c>
      <c r="AC2542" s="117" t="str">
        <f>IF(AB2542=1,COUNTIF($AB$3:AB2542,1),"")</f>
        <v/>
      </c>
      <c r="AD2542" s="117" t="str">
        <f>IFERROR(INDEX($AA$3:$AA$10000,MATCH(ROWS($AC$3:AC2542),$AC$3:$AC$10000,0)),"")</f>
        <v/>
      </c>
      <c r="AE2542" s="117" t="str">
        <f>+'Packing Material - Cost'!A2543</f>
        <v/>
      </c>
    </row>
    <row r="2543" spans="27:31">
      <c r="AA2543" s="117">
        <f>+'Ingredient List - Mother Tinctu'!D2544</f>
        <v>0</v>
      </c>
      <c r="AB2543" s="117">
        <f t="shared" si="42"/>
        <v>0</v>
      </c>
      <c r="AC2543" s="117" t="str">
        <f>IF(AB2543=1,COUNTIF($AB$3:AB2543,1),"")</f>
        <v/>
      </c>
      <c r="AD2543" s="117" t="str">
        <f>IFERROR(INDEX($AA$3:$AA$10000,MATCH(ROWS($AC$3:AC2543),$AC$3:$AC$10000,0)),"")</f>
        <v/>
      </c>
      <c r="AE2543" s="117" t="str">
        <f>+'Packing Material - Cost'!A2544</f>
        <v/>
      </c>
    </row>
    <row r="2544" spans="27:31">
      <c r="AA2544" s="117">
        <f>+'Ingredient List - Mother Tinctu'!D2545</f>
        <v>0</v>
      </c>
      <c r="AB2544" s="117">
        <f t="shared" si="42"/>
        <v>0</v>
      </c>
      <c r="AC2544" s="117" t="str">
        <f>IF(AB2544=1,COUNTIF($AB$3:AB2544,1),"")</f>
        <v/>
      </c>
      <c r="AD2544" s="117" t="str">
        <f>IFERROR(INDEX($AA$3:$AA$10000,MATCH(ROWS($AC$3:AC2544),$AC$3:$AC$10000,0)),"")</f>
        <v/>
      </c>
      <c r="AE2544" s="117" t="str">
        <f>+'Packing Material - Cost'!A2545</f>
        <v/>
      </c>
    </row>
    <row r="2545" spans="27:31">
      <c r="AA2545" s="117">
        <f>+'Ingredient List - Mother Tinctu'!D2546</f>
        <v>0</v>
      </c>
      <c r="AB2545" s="117">
        <f t="shared" si="42"/>
        <v>0</v>
      </c>
      <c r="AC2545" s="117" t="str">
        <f>IF(AB2545=1,COUNTIF($AB$3:AB2545,1),"")</f>
        <v/>
      </c>
      <c r="AD2545" s="117" t="str">
        <f>IFERROR(INDEX($AA$3:$AA$10000,MATCH(ROWS($AC$3:AC2545),$AC$3:$AC$10000,0)),"")</f>
        <v/>
      </c>
      <c r="AE2545" s="117" t="str">
        <f>+'Packing Material - Cost'!A2546</f>
        <v/>
      </c>
    </row>
    <row r="2546" spans="27:31">
      <c r="AA2546" s="117">
        <f>+'Ingredient List - Mother Tinctu'!D2547</f>
        <v>0</v>
      </c>
      <c r="AB2546" s="117">
        <f t="shared" si="42"/>
        <v>0</v>
      </c>
      <c r="AC2546" s="117" t="str">
        <f>IF(AB2546=1,COUNTIF($AB$3:AB2546,1),"")</f>
        <v/>
      </c>
      <c r="AD2546" s="117" t="str">
        <f>IFERROR(INDEX($AA$3:$AA$10000,MATCH(ROWS($AC$3:AC2546),$AC$3:$AC$10000,0)),"")</f>
        <v/>
      </c>
      <c r="AE2546" s="117" t="str">
        <f>+'Packing Material - Cost'!A2547</f>
        <v/>
      </c>
    </row>
    <row r="2547" spans="27:31">
      <c r="AA2547" s="117">
        <f>+'Ingredient List - Mother Tinctu'!D2548</f>
        <v>0</v>
      </c>
      <c r="AB2547" s="117">
        <f t="shared" si="42"/>
        <v>0</v>
      </c>
      <c r="AC2547" s="117" t="str">
        <f>IF(AB2547=1,COUNTIF($AB$3:AB2547,1),"")</f>
        <v/>
      </c>
      <c r="AD2547" s="117" t="str">
        <f>IFERROR(INDEX($AA$3:$AA$10000,MATCH(ROWS($AC$3:AC2547),$AC$3:$AC$10000,0)),"")</f>
        <v/>
      </c>
      <c r="AE2547" s="117" t="str">
        <f>+'Packing Material - Cost'!A2548</f>
        <v/>
      </c>
    </row>
    <row r="2548" spans="27:31">
      <c r="AA2548" s="117">
        <f>+'Ingredient List - Mother Tinctu'!D2549</f>
        <v>0</v>
      </c>
      <c r="AB2548" s="117">
        <f t="shared" si="42"/>
        <v>0</v>
      </c>
      <c r="AC2548" s="117" t="str">
        <f>IF(AB2548=1,COUNTIF($AB$3:AB2548,1),"")</f>
        <v/>
      </c>
      <c r="AD2548" s="117" t="str">
        <f>IFERROR(INDEX($AA$3:$AA$10000,MATCH(ROWS($AC$3:AC2548),$AC$3:$AC$10000,0)),"")</f>
        <v/>
      </c>
      <c r="AE2548" s="117" t="str">
        <f>+'Packing Material - Cost'!A2549</f>
        <v/>
      </c>
    </row>
    <row r="2549" spans="27:31">
      <c r="AA2549" s="117">
        <f>+'Ingredient List - Mother Tinctu'!D2550</f>
        <v>0</v>
      </c>
      <c r="AB2549" s="117">
        <f t="shared" si="42"/>
        <v>0</v>
      </c>
      <c r="AC2549" s="117" t="str">
        <f>IF(AB2549=1,COUNTIF($AB$3:AB2549,1),"")</f>
        <v/>
      </c>
      <c r="AD2549" s="117" t="str">
        <f>IFERROR(INDEX($AA$3:$AA$10000,MATCH(ROWS($AC$3:AC2549),$AC$3:$AC$10000,0)),"")</f>
        <v/>
      </c>
      <c r="AE2549" s="117" t="str">
        <f>+'Packing Material - Cost'!A2550</f>
        <v/>
      </c>
    </row>
    <row r="2550" spans="27:31">
      <c r="AA2550" s="117">
        <f>+'Ingredient List - Mother Tinctu'!D2551</f>
        <v>0</v>
      </c>
      <c r="AB2550" s="117">
        <f t="shared" si="42"/>
        <v>0</v>
      </c>
      <c r="AC2550" s="117" t="str">
        <f>IF(AB2550=1,COUNTIF($AB$3:AB2550,1),"")</f>
        <v/>
      </c>
      <c r="AD2550" s="117" t="str">
        <f>IFERROR(INDEX($AA$3:$AA$10000,MATCH(ROWS($AC$3:AC2550),$AC$3:$AC$10000,0)),"")</f>
        <v/>
      </c>
      <c r="AE2550" s="117" t="str">
        <f>+'Packing Material - Cost'!A2551</f>
        <v/>
      </c>
    </row>
    <row r="2551" spans="27:31">
      <c r="AA2551" s="117">
        <f>+'Ingredient List - Mother Tinctu'!D2552</f>
        <v>0</v>
      </c>
      <c r="AB2551" s="117">
        <f t="shared" si="42"/>
        <v>0</v>
      </c>
      <c r="AC2551" s="117" t="str">
        <f>IF(AB2551=1,COUNTIF($AB$3:AB2551,1),"")</f>
        <v/>
      </c>
      <c r="AD2551" s="117" t="str">
        <f>IFERROR(INDEX($AA$3:$AA$10000,MATCH(ROWS($AC$3:AC2551),$AC$3:$AC$10000,0)),"")</f>
        <v/>
      </c>
      <c r="AE2551" s="117" t="str">
        <f>+'Packing Material - Cost'!A2552</f>
        <v/>
      </c>
    </row>
    <row r="2552" spans="27:31">
      <c r="AA2552" s="117">
        <f>+'Ingredient List - Mother Tinctu'!D2553</f>
        <v>0</v>
      </c>
      <c r="AB2552" s="117">
        <f t="shared" si="42"/>
        <v>0</v>
      </c>
      <c r="AC2552" s="117" t="str">
        <f>IF(AB2552=1,COUNTIF($AB$3:AB2552,1),"")</f>
        <v/>
      </c>
      <c r="AD2552" s="117" t="str">
        <f>IFERROR(INDEX($AA$3:$AA$10000,MATCH(ROWS($AC$3:AC2552),$AC$3:$AC$10000,0)),"")</f>
        <v/>
      </c>
      <c r="AE2552" s="117" t="str">
        <f>+'Packing Material - Cost'!A2553</f>
        <v/>
      </c>
    </row>
    <row r="2553" spans="27:31">
      <c r="AA2553" s="117">
        <f>+'Ingredient List - Mother Tinctu'!D2554</f>
        <v>0</v>
      </c>
      <c r="AB2553" s="117">
        <f t="shared" si="42"/>
        <v>0</v>
      </c>
      <c r="AC2553" s="117" t="str">
        <f>IF(AB2553=1,COUNTIF($AB$3:AB2553,1),"")</f>
        <v/>
      </c>
      <c r="AD2553" s="117" t="str">
        <f>IFERROR(INDEX($AA$3:$AA$10000,MATCH(ROWS($AC$3:AC2553),$AC$3:$AC$10000,0)),"")</f>
        <v/>
      </c>
      <c r="AE2553" s="117" t="str">
        <f>+'Packing Material - Cost'!A2554</f>
        <v/>
      </c>
    </row>
    <row r="2554" spans="27:31">
      <c r="AA2554" s="117">
        <f>+'Ingredient List - Mother Tinctu'!D2555</f>
        <v>0</v>
      </c>
      <c r="AB2554" s="117">
        <f t="shared" si="42"/>
        <v>0</v>
      </c>
      <c r="AC2554" s="117" t="str">
        <f>IF(AB2554=1,COUNTIF($AB$3:AB2554,1),"")</f>
        <v/>
      </c>
      <c r="AD2554" s="117" t="str">
        <f>IFERROR(INDEX($AA$3:$AA$10000,MATCH(ROWS($AC$3:AC2554),$AC$3:$AC$10000,0)),"")</f>
        <v/>
      </c>
      <c r="AE2554" s="117" t="str">
        <f>+'Packing Material - Cost'!A2555</f>
        <v/>
      </c>
    </row>
    <row r="2555" spans="27:31">
      <c r="AA2555" s="117">
        <f>+'Ingredient List - Mother Tinctu'!D2556</f>
        <v>0</v>
      </c>
      <c r="AB2555" s="117">
        <f t="shared" si="42"/>
        <v>0</v>
      </c>
      <c r="AC2555" s="117" t="str">
        <f>IF(AB2555=1,COUNTIF($AB$3:AB2555,1),"")</f>
        <v/>
      </c>
      <c r="AD2555" s="117" t="str">
        <f>IFERROR(INDEX($AA$3:$AA$10000,MATCH(ROWS($AC$3:AC2555),$AC$3:$AC$10000,0)),"")</f>
        <v/>
      </c>
      <c r="AE2555" s="117" t="str">
        <f>+'Packing Material - Cost'!A2556</f>
        <v/>
      </c>
    </row>
    <row r="2556" spans="27:31">
      <c r="AA2556" s="117">
        <f>+'Ingredient List - Mother Tinctu'!D2557</f>
        <v>0</v>
      </c>
      <c r="AB2556" s="117">
        <f t="shared" si="42"/>
        <v>0</v>
      </c>
      <c r="AC2556" s="117" t="str">
        <f>IF(AB2556=1,COUNTIF($AB$3:AB2556,1),"")</f>
        <v/>
      </c>
      <c r="AD2556" s="117" t="str">
        <f>IFERROR(INDEX($AA$3:$AA$10000,MATCH(ROWS($AC$3:AC2556),$AC$3:$AC$10000,0)),"")</f>
        <v/>
      </c>
      <c r="AE2556" s="117" t="str">
        <f>+'Packing Material - Cost'!A2557</f>
        <v/>
      </c>
    </row>
    <row r="2557" spans="27:31">
      <c r="AA2557" s="117">
        <f>+'Ingredient List - Mother Tinctu'!D2558</f>
        <v>0</v>
      </c>
      <c r="AB2557" s="117">
        <f t="shared" si="42"/>
        <v>0</v>
      </c>
      <c r="AC2557" s="117" t="str">
        <f>IF(AB2557=1,COUNTIF($AB$3:AB2557,1),"")</f>
        <v/>
      </c>
      <c r="AD2557" s="117" t="str">
        <f>IFERROR(INDEX($AA$3:$AA$10000,MATCH(ROWS($AC$3:AC2557),$AC$3:$AC$10000,0)),"")</f>
        <v/>
      </c>
      <c r="AE2557" s="117" t="str">
        <f>+'Packing Material - Cost'!A2558</f>
        <v/>
      </c>
    </row>
    <row r="2558" spans="27:31">
      <c r="AA2558" s="117">
        <f>+'Ingredient List - Mother Tinctu'!D2559</f>
        <v>0</v>
      </c>
      <c r="AB2558" s="117">
        <f t="shared" si="42"/>
        <v>0</v>
      </c>
      <c r="AC2558" s="117" t="str">
        <f>IF(AB2558=1,COUNTIF($AB$3:AB2558,1),"")</f>
        <v/>
      </c>
      <c r="AD2558" s="117" t="str">
        <f>IFERROR(INDEX($AA$3:$AA$10000,MATCH(ROWS($AC$3:AC2558),$AC$3:$AC$10000,0)),"")</f>
        <v/>
      </c>
      <c r="AE2558" s="117" t="str">
        <f>+'Packing Material - Cost'!A2559</f>
        <v/>
      </c>
    </row>
    <row r="2559" spans="27:31">
      <c r="AA2559" s="117">
        <f>+'Ingredient List - Mother Tinctu'!D2560</f>
        <v>0</v>
      </c>
      <c r="AB2559" s="117">
        <f t="shared" si="42"/>
        <v>0</v>
      </c>
      <c r="AC2559" s="117" t="str">
        <f>IF(AB2559=1,COUNTIF($AB$3:AB2559,1),"")</f>
        <v/>
      </c>
      <c r="AD2559" s="117" t="str">
        <f>IFERROR(INDEX($AA$3:$AA$10000,MATCH(ROWS($AC$3:AC2559),$AC$3:$AC$10000,0)),"")</f>
        <v/>
      </c>
      <c r="AE2559" s="117" t="str">
        <f>+'Packing Material - Cost'!A2560</f>
        <v/>
      </c>
    </row>
    <row r="2560" spans="27:31">
      <c r="AA2560" s="117">
        <f>+'Ingredient List - Mother Tinctu'!D2561</f>
        <v>0</v>
      </c>
      <c r="AB2560" s="117">
        <f t="shared" si="42"/>
        <v>0</v>
      </c>
      <c r="AC2560" s="117" t="str">
        <f>IF(AB2560=1,COUNTIF($AB$3:AB2560,1),"")</f>
        <v/>
      </c>
      <c r="AD2560" s="117" t="str">
        <f>IFERROR(INDEX($AA$3:$AA$10000,MATCH(ROWS($AC$3:AC2560),$AC$3:$AC$10000,0)),"")</f>
        <v/>
      </c>
      <c r="AE2560" s="117" t="str">
        <f>+'Packing Material - Cost'!A2561</f>
        <v/>
      </c>
    </row>
    <row r="2561" spans="27:31">
      <c r="AA2561" s="117">
        <f>+'Ingredient List - Mother Tinctu'!D2562</f>
        <v>0</v>
      </c>
      <c r="AB2561" s="117">
        <f t="shared" si="42"/>
        <v>0</v>
      </c>
      <c r="AC2561" s="117" t="str">
        <f>IF(AB2561=1,COUNTIF($AB$3:AB2561,1),"")</f>
        <v/>
      </c>
      <c r="AD2561" s="117" t="str">
        <f>IFERROR(INDEX($AA$3:$AA$10000,MATCH(ROWS($AC$3:AC2561),$AC$3:$AC$10000,0)),"")</f>
        <v/>
      </c>
      <c r="AE2561" s="117" t="str">
        <f>+'Packing Material - Cost'!A2562</f>
        <v/>
      </c>
    </row>
    <row r="2562" spans="27:31">
      <c r="AA2562" s="117">
        <f>+'Ingredient List - Mother Tinctu'!D2563</f>
        <v>0</v>
      </c>
      <c r="AB2562" s="117">
        <f t="shared" si="42"/>
        <v>0</v>
      </c>
      <c r="AC2562" s="117" t="str">
        <f>IF(AB2562=1,COUNTIF($AB$3:AB2562,1),"")</f>
        <v/>
      </c>
      <c r="AD2562" s="117" t="str">
        <f>IFERROR(INDEX($AA$3:$AA$10000,MATCH(ROWS($AC$3:AC2562),$AC$3:$AC$10000,0)),"")</f>
        <v/>
      </c>
      <c r="AE2562" s="117" t="str">
        <f>+'Packing Material - Cost'!A2563</f>
        <v/>
      </c>
    </row>
    <row r="2563" spans="27:31">
      <c r="AA2563" s="117">
        <f>+'Ingredient List - Mother Tinctu'!D2564</f>
        <v>0</v>
      </c>
      <c r="AB2563" s="117">
        <f t="shared" si="42"/>
        <v>0</v>
      </c>
      <c r="AC2563" s="117" t="str">
        <f>IF(AB2563=1,COUNTIF($AB$3:AB2563,1),"")</f>
        <v/>
      </c>
      <c r="AD2563" s="117" t="str">
        <f>IFERROR(INDEX($AA$3:$AA$10000,MATCH(ROWS($AC$3:AC2563),$AC$3:$AC$10000,0)),"")</f>
        <v/>
      </c>
      <c r="AE2563" s="117" t="str">
        <f>+'Packing Material - Cost'!A2564</f>
        <v/>
      </c>
    </row>
    <row r="2564" spans="27:31">
      <c r="AA2564" s="117">
        <f>+'Ingredient List - Mother Tinctu'!D2565</f>
        <v>0</v>
      </c>
      <c r="AB2564" s="117">
        <f t="shared" ref="AB2564:AB2627" si="43">--ISNUMBER(IFERROR(SEARCH($D$3,AA2564,1),""))</f>
        <v>0</v>
      </c>
      <c r="AC2564" s="117" t="str">
        <f>IF(AB2564=1,COUNTIF($AB$3:AB2564,1),"")</f>
        <v/>
      </c>
      <c r="AD2564" s="117" t="str">
        <f>IFERROR(INDEX($AA$3:$AA$10000,MATCH(ROWS($AC$3:AC2564),$AC$3:$AC$10000,0)),"")</f>
        <v/>
      </c>
      <c r="AE2564" s="117" t="str">
        <f>+'Packing Material - Cost'!A2565</f>
        <v/>
      </c>
    </row>
    <row r="2565" spans="27:31">
      <c r="AA2565" s="117">
        <f>+'Ingredient List - Mother Tinctu'!D2566</f>
        <v>0</v>
      </c>
      <c r="AB2565" s="117">
        <f t="shared" si="43"/>
        <v>0</v>
      </c>
      <c r="AC2565" s="117" t="str">
        <f>IF(AB2565=1,COUNTIF($AB$3:AB2565,1),"")</f>
        <v/>
      </c>
      <c r="AD2565" s="117" t="str">
        <f>IFERROR(INDEX($AA$3:$AA$10000,MATCH(ROWS($AC$3:AC2565),$AC$3:$AC$10000,0)),"")</f>
        <v/>
      </c>
      <c r="AE2565" s="117" t="str">
        <f>+'Packing Material - Cost'!A2566</f>
        <v/>
      </c>
    </row>
    <row r="2566" spans="27:31">
      <c r="AA2566" s="117">
        <f>+'Ingredient List - Mother Tinctu'!D2567</f>
        <v>0</v>
      </c>
      <c r="AB2566" s="117">
        <f t="shared" si="43"/>
        <v>0</v>
      </c>
      <c r="AC2566" s="117" t="str">
        <f>IF(AB2566=1,COUNTIF($AB$3:AB2566,1),"")</f>
        <v/>
      </c>
      <c r="AD2566" s="117" t="str">
        <f>IFERROR(INDEX($AA$3:$AA$10000,MATCH(ROWS($AC$3:AC2566),$AC$3:$AC$10000,0)),"")</f>
        <v/>
      </c>
      <c r="AE2566" s="117" t="str">
        <f>+'Packing Material - Cost'!A2567</f>
        <v/>
      </c>
    </row>
    <row r="2567" spans="27:31">
      <c r="AA2567" s="117">
        <f>+'Ingredient List - Mother Tinctu'!D2568</f>
        <v>0</v>
      </c>
      <c r="AB2567" s="117">
        <f t="shared" si="43"/>
        <v>0</v>
      </c>
      <c r="AC2567" s="117" t="str">
        <f>IF(AB2567=1,COUNTIF($AB$3:AB2567,1),"")</f>
        <v/>
      </c>
      <c r="AD2567" s="117" t="str">
        <f>IFERROR(INDEX($AA$3:$AA$10000,MATCH(ROWS($AC$3:AC2567),$AC$3:$AC$10000,0)),"")</f>
        <v/>
      </c>
      <c r="AE2567" s="117" t="str">
        <f>+'Packing Material - Cost'!A2568</f>
        <v/>
      </c>
    </row>
    <row r="2568" spans="27:31">
      <c r="AA2568" s="117">
        <f>+'Ingredient List - Mother Tinctu'!D2569</f>
        <v>0</v>
      </c>
      <c r="AB2568" s="117">
        <f t="shared" si="43"/>
        <v>0</v>
      </c>
      <c r="AC2568" s="117" t="str">
        <f>IF(AB2568=1,COUNTIF($AB$3:AB2568,1),"")</f>
        <v/>
      </c>
      <c r="AD2568" s="117" t="str">
        <f>IFERROR(INDEX($AA$3:$AA$10000,MATCH(ROWS($AC$3:AC2568),$AC$3:$AC$10000,0)),"")</f>
        <v/>
      </c>
      <c r="AE2568" s="117" t="str">
        <f>+'Packing Material - Cost'!A2569</f>
        <v/>
      </c>
    </row>
    <row r="2569" spans="27:31">
      <c r="AA2569" s="117">
        <f>+'Ingredient List - Mother Tinctu'!D2570</f>
        <v>0</v>
      </c>
      <c r="AB2569" s="117">
        <f t="shared" si="43"/>
        <v>0</v>
      </c>
      <c r="AC2569" s="117" t="str">
        <f>IF(AB2569=1,COUNTIF($AB$3:AB2569,1),"")</f>
        <v/>
      </c>
      <c r="AD2569" s="117" t="str">
        <f>IFERROR(INDEX($AA$3:$AA$10000,MATCH(ROWS($AC$3:AC2569),$AC$3:$AC$10000,0)),"")</f>
        <v/>
      </c>
      <c r="AE2569" s="117" t="str">
        <f>+'Packing Material - Cost'!A2570</f>
        <v/>
      </c>
    </row>
    <row r="2570" spans="27:31">
      <c r="AA2570" s="117">
        <f>+'Ingredient List - Mother Tinctu'!D2571</f>
        <v>0</v>
      </c>
      <c r="AB2570" s="117">
        <f t="shared" si="43"/>
        <v>0</v>
      </c>
      <c r="AC2570" s="117" t="str">
        <f>IF(AB2570=1,COUNTIF($AB$3:AB2570,1),"")</f>
        <v/>
      </c>
      <c r="AD2570" s="117" t="str">
        <f>IFERROR(INDEX($AA$3:$AA$10000,MATCH(ROWS($AC$3:AC2570),$AC$3:$AC$10000,0)),"")</f>
        <v/>
      </c>
      <c r="AE2570" s="117" t="str">
        <f>+'Packing Material - Cost'!A2571</f>
        <v/>
      </c>
    </row>
    <row r="2571" spans="27:31">
      <c r="AA2571" s="117">
        <f>+'Ingredient List - Mother Tinctu'!D2572</f>
        <v>0</v>
      </c>
      <c r="AB2571" s="117">
        <f t="shared" si="43"/>
        <v>0</v>
      </c>
      <c r="AC2571" s="117" t="str">
        <f>IF(AB2571=1,COUNTIF($AB$3:AB2571,1),"")</f>
        <v/>
      </c>
      <c r="AD2571" s="117" t="str">
        <f>IFERROR(INDEX($AA$3:$AA$10000,MATCH(ROWS($AC$3:AC2571),$AC$3:$AC$10000,0)),"")</f>
        <v/>
      </c>
      <c r="AE2571" s="117" t="str">
        <f>+'Packing Material - Cost'!A2572</f>
        <v/>
      </c>
    </row>
    <row r="2572" spans="27:31">
      <c r="AA2572" s="117">
        <f>+'Ingredient List - Mother Tinctu'!D2573</f>
        <v>0</v>
      </c>
      <c r="AB2572" s="117">
        <f t="shared" si="43"/>
        <v>0</v>
      </c>
      <c r="AC2572" s="117" t="str">
        <f>IF(AB2572=1,COUNTIF($AB$3:AB2572,1),"")</f>
        <v/>
      </c>
      <c r="AD2572" s="117" t="str">
        <f>IFERROR(INDEX($AA$3:$AA$10000,MATCH(ROWS($AC$3:AC2572),$AC$3:$AC$10000,0)),"")</f>
        <v/>
      </c>
      <c r="AE2572" s="117" t="str">
        <f>+'Packing Material - Cost'!A2573</f>
        <v/>
      </c>
    </row>
    <row r="2573" spans="27:31">
      <c r="AA2573" s="117">
        <f>+'Ingredient List - Mother Tinctu'!D2574</f>
        <v>0</v>
      </c>
      <c r="AB2573" s="117">
        <f t="shared" si="43"/>
        <v>0</v>
      </c>
      <c r="AC2573" s="117" t="str">
        <f>IF(AB2573=1,COUNTIF($AB$3:AB2573,1),"")</f>
        <v/>
      </c>
      <c r="AD2573" s="117" t="str">
        <f>IFERROR(INDEX($AA$3:$AA$10000,MATCH(ROWS($AC$3:AC2573),$AC$3:$AC$10000,0)),"")</f>
        <v/>
      </c>
      <c r="AE2573" s="117" t="str">
        <f>+'Packing Material - Cost'!A2574</f>
        <v/>
      </c>
    </row>
    <row r="2574" spans="27:31">
      <c r="AA2574" s="117">
        <f>+'Ingredient List - Mother Tinctu'!D2575</f>
        <v>0</v>
      </c>
      <c r="AB2574" s="117">
        <f t="shared" si="43"/>
        <v>0</v>
      </c>
      <c r="AC2574" s="117" t="str">
        <f>IF(AB2574=1,COUNTIF($AB$3:AB2574,1),"")</f>
        <v/>
      </c>
      <c r="AD2574" s="117" t="str">
        <f>IFERROR(INDEX($AA$3:$AA$10000,MATCH(ROWS($AC$3:AC2574),$AC$3:$AC$10000,0)),"")</f>
        <v/>
      </c>
      <c r="AE2574" s="117" t="str">
        <f>+'Packing Material - Cost'!A2575</f>
        <v/>
      </c>
    </row>
    <row r="2575" spans="27:31">
      <c r="AA2575" s="117">
        <f>+'Ingredient List - Mother Tinctu'!D2576</f>
        <v>0</v>
      </c>
      <c r="AB2575" s="117">
        <f t="shared" si="43"/>
        <v>0</v>
      </c>
      <c r="AC2575" s="117" t="str">
        <f>IF(AB2575=1,COUNTIF($AB$3:AB2575,1),"")</f>
        <v/>
      </c>
      <c r="AD2575" s="117" t="str">
        <f>IFERROR(INDEX($AA$3:$AA$10000,MATCH(ROWS($AC$3:AC2575),$AC$3:$AC$10000,0)),"")</f>
        <v/>
      </c>
      <c r="AE2575" s="117" t="str">
        <f>+'Packing Material - Cost'!A2576</f>
        <v/>
      </c>
    </row>
    <row r="2576" spans="27:31">
      <c r="AA2576" s="117">
        <f>+'Ingredient List - Mother Tinctu'!D2577</f>
        <v>0</v>
      </c>
      <c r="AB2576" s="117">
        <f t="shared" si="43"/>
        <v>0</v>
      </c>
      <c r="AC2576" s="117" t="str">
        <f>IF(AB2576=1,COUNTIF($AB$3:AB2576,1),"")</f>
        <v/>
      </c>
      <c r="AD2576" s="117" t="str">
        <f>IFERROR(INDEX($AA$3:$AA$10000,MATCH(ROWS($AC$3:AC2576),$AC$3:$AC$10000,0)),"")</f>
        <v/>
      </c>
      <c r="AE2576" s="117" t="str">
        <f>+'Packing Material - Cost'!A2577</f>
        <v/>
      </c>
    </row>
    <row r="2577" spans="27:31">
      <c r="AA2577" s="117">
        <f>+'Ingredient List - Mother Tinctu'!D2578</f>
        <v>0</v>
      </c>
      <c r="AB2577" s="117">
        <f t="shared" si="43"/>
        <v>0</v>
      </c>
      <c r="AC2577" s="117" t="str">
        <f>IF(AB2577=1,COUNTIF($AB$3:AB2577,1),"")</f>
        <v/>
      </c>
      <c r="AD2577" s="117" t="str">
        <f>IFERROR(INDEX($AA$3:$AA$10000,MATCH(ROWS($AC$3:AC2577),$AC$3:$AC$10000,0)),"")</f>
        <v/>
      </c>
      <c r="AE2577" s="117" t="str">
        <f>+'Packing Material - Cost'!A2578</f>
        <v/>
      </c>
    </row>
    <row r="2578" spans="27:31">
      <c r="AA2578" s="117">
        <f>+'Ingredient List - Mother Tinctu'!D2579</f>
        <v>0</v>
      </c>
      <c r="AB2578" s="117">
        <f t="shared" si="43"/>
        <v>0</v>
      </c>
      <c r="AC2578" s="117" t="str">
        <f>IF(AB2578=1,COUNTIF($AB$3:AB2578,1),"")</f>
        <v/>
      </c>
      <c r="AD2578" s="117" t="str">
        <f>IFERROR(INDEX($AA$3:$AA$10000,MATCH(ROWS($AC$3:AC2578),$AC$3:$AC$10000,0)),"")</f>
        <v/>
      </c>
      <c r="AE2578" s="117" t="str">
        <f>+'Packing Material - Cost'!A2579</f>
        <v/>
      </c>
    </row>
    <row r="2579" spans="27:31">
      <c r="AA2579" s="117">
        <f>+'Ingredient List - Mother Tinctu'!D2580</f>
        <v>0</v>
      </c>
      <c r="AB2579" s="117">
        <f t="shared" si="43"/>
        <v>0</v>
      </c>
      <c r="AC2579" s="117" t="str">
        <f>IF(AB2579=1,COUNTIF($AB$3:AB2579,1),"")</f>
        <v/>
      </c>
      <c r="AD2579" s="117" t="str">
        <f>IFERROR(INDEX($AA$3:$AA$10000,MATCH(ROWS($AC$3:AC2579),$AC$3:$AC$10000,0)),"")</f>
        <v/>
      </c>
      <c r="AE2579" s="117" t="str">
        <f>+'Packing Material - Cost'!A2580</f>
        <v/>
      </c>
    </row>
    <row r="2580" spans="27:31">
      <c r="AA2580" s="117">
        <f>+'Ingredient List - Mother Tinctu'!D2581</f>
        <v>0</v>
      </c>
      <c r="AB2580" s="117">
        <f t="shared" si="43"/>
        <v>0</v>
      </c>
      <c r="AC2580" s="117" t="str">
        <f>IF(AB2580=1,COUNTIF($AB$3:AB2580,1),"")</f>
        <v/>
      </c>
      <c r="AD2580" s="117" t="str">
        <f>IFERROR(INDEX($AA$3:$AA$10000,MATCH(ROWS($AC$3:AC2580),$AC$3:$AC$10000,0)),"")</f>
        <v/>
      </c>
      <c r="AE2580" s="117" t="str">
        <f>+'Packing Material - Cost'!A2581</f>
        <v/>
      </c>
    </row>
    <row r="2581" spans="27:31">
      <c r="AA2581" s="117">
        <f>+'Ingredient List - Mother Tinctu'!D2582</f>
        <v>0</v>
      </c>
      <c r="AB2581" s="117">
        <f t="shared" si="43"/>
        <v>0</v>
      </c>
      <c r="AC2581" s="117" t="str">
        <f>IF(AB2581=1,COUNTIF($AB$3:AB2581,1),"")</f>
        <v/>
      </c>
      <c r="AD2581" s="117" t="str">
        <f>IFERROR(INDEX($AA$3:$AA$10000,MATCH(ROWS($AC$3:AC2581),$AC$3:$AC$10000,0)),"")</f>
        <v/>
      </c>
      <c r="AE2581" s="117" t="str">
        <f>+'Packing Material - Cost'!A2582</f>
        <v/>
      </c>
    </row>
    <row r="2582" spans="27:31">
      <c r="AA2582" s="117">
        <f>+'Ingredient List - Mother Tinctu'!D2583</f>
        <v>0</v>
      </c>
      <c r="AB2582" s="117">
        <f t="shared" si="43"/>
        <v>0</v>
      </c>
      <c r="AC2582" s="117" t="str">
        <f>IF(AB2582=1,COUNTIF($AB$3:AB2582,1),"")</f>
        <v/>
      </c>
      <c r="AD2582" s="117" t="str">
        <f>IFERROR(INDEX($AA$3:$AA$10000,MATCH(ROWS($AC$3:AC2582),$AC$3:$AC$10000,0)),"")</f>
        <v/>
      </c>
      <c r="AE2582" s="117" t="str">
        <f>+'Packing Material - Cost'!A2583</f>
        <v/>
      </c>
    </row>
    <row r="2583" spans="27:31">
      <c r="AA2583" s="117">
        <f>+'Ingredient List - Mother Tinctu'!D2584</f>
        <v>0</v>
      </c>
      <c r="AB2583" s="117">
        <f t="shared" si="43"/>
        <v>0</v>
      </c>
      <c r="AC2583" s="117" t="str">
        <f>IF(AB2583=1,COUNTIF($AB$3:AB2583,1),"")</f>
        <v/>
      </c>
      <c r="AD2583" s="117" t="str">
        <f>IFERROR(INDEX($AA$3:$AA$10000,MATCH(ROWS($AC$3:AC2583),$AC$3:$AC$10000,0)),"")</f>
        <v/>
      </c>
      <c r="AE2583" s="117" t="str">
        <f>+'Packing Material - Cost'!A2584</f>
        <v/>
      </c>
    </row>
    <row r="2584" spans="27:31">
      <c r="AA2584" s="117">
        <f>+'Ingredient List - Mother Tinctu'!D2585</f>
        <v>0</v>
      </c>
      <c r="AB2584" s="117">
        <f t="shared" si="43"/>
        <v>0</v>
      </c>
      <c r="AC2584" s="117" t="str">
        <f>IF(AB2584=1,COUNTIF($AB$3:AB2584,1),"")</f>
        <v/>
      </c>
      <c r="AD2584" s="117" t="str">
        <f>IFERROR(INDEX($AA$3:$AA$10000,MATCH(ROWS($AC$3:AC2584),$AC$3:$AC$10000,0)),"")</f>
        <v/>
      </c>
      <c r="AE2584" s="117" t="str">
        <f>+'Packing Material - Cost'!A2585</f>
        <v/>
      </c>
    </row>
    <row r="2585" spans="27:31">
      <c r="AA2585" s="117">
        <f>+'Ingredient List - Mother Tinctu'!D2586</f>
        <v>0</v>
      </c>
      <c r="AB2585" s="117">
        <f t="shared" si="43"/>
        <v>0</v>
      </c>
      <c r="AC2585" s="117" t="str">
        <f>IF(AB2585=1,COUNTIF($AB$3:AB2585,1),"")</f>
        <v/>
      </c>
      <c r="AD2585" s="117" t="str">
        <f>IFERROR(INDEX($AA$3:$AA$10000,MATCH(ROWS($AC$3:AC2585),$AC$3:$AC$10000,0)),"")</f>
        <v/>
      </c>
      <c r="AE2585" s="117" t="str">
        <f>+'Packing Material - Cost'!A2586</f>
        <v/>
      </c>
    </row>
    <row r="2586" spans="27:31">
      <c r="AA2586" s="117">
        <f>+'Ingredient List - Mother Tinctu'!D2587</f>
        <v>0</v>
      </c>
      <c r="AB2586" s="117">
        <f t="shared" si="43"/>
        <v>0</v>
      </c>
      <c r="AC2586" s="117" t="str">
        <f>IF(AB2586=1,COUNTIF($AB$3:AB2586,1),"")</f>
        <v/>
      </c>
      <c r="AD2586" s="117" t="str">
        <f>IFERROR(INDEX($AA$3:$AA$10000,MATCH(ROWS($AC$3:AC2586),$AC$3:$AC$10000,0)),"")</f>
        <v/>
      </c>
      <c r="AE2586" s="117" t="str">
        <f>+'Packing Material - Cost'!A2587</f>
        <v/>
      </c>
    </row>
    <row r="2587" spans="27:31">
      <c r="AA2587" s="117">
        <f>+'Ingredient List - Mother Tinctu'!D2588</f>
        <v>0</v>
      </c>
      <c r="AB2587" s="117">
        <f t="shared" si="43"/>
        <v>0</v>
      </c>
      <c r="AC2587" s="117" t="str">
        <f>IF(AB2587=1,COUNTIF($AB$3:AB2587,1),"")</f>
        <v/>
      </c>
      <c r="AD2587" s="117" t="str">
        <f>IFERROR(INDEX($AA$3:$AA$10000,MATCH(ROWS($AC$3:AC2587),$AC$3:$AC$10000,0)),"")</f>
        <v/>
      </c>
      <c r="AE2587" s="117" t="str">
        <f>+'Packing Material - Cost'!A2588</f>
        <v/>
      </c>
    </row>
    <row r="2588" spans="27:31">
      <c r="AA2588" s="117">
        <f>+'Ingredient List - Mother Tinctu'!D2589</f>
        <v>0</v>
      </c>
      <c r="AB2588" s="117">
        <f t="shared" si="43"/>
        <v>0</v>
      </c>
      <c r="AC2588" s="117" t="str">
        <f>IF(AB2588=1,COUNTIF($AB$3:AB2588,1),"")</f>
        <v/>
      </c>
      <c r="AD2588" s="117" t="str">
        <f>IFERROR(INDEX($AA$3:$AA$10000,MATCH(ROWS($AC$3:AC2588),$AC$3:$AC$10000,0)),"")</f>
        <v/>
      </c>
      <c r="AE2588" s="117" t="str">
        <f>+'Packing Material - Cost'!A2589</f>
        <v/>
      </c>
    </row>
    <row r="2589" spans="27:31">
      <c r="AA2589" s="117">
        <f>+'Ingredient List - Mother Tinctu'!D2590</f>
        <v>0</v>
      </c>
      <c r="AB2589" s="117">
        <f t="shared" si="43"/>
        <v>0</v>
      </c>
      <c r="AC2589" s="117" t="str">
        <f>IF(AB2589=1,COUNTIF($AB$3:AB2589,1),"")</f>
        <v/>
      </c>
      <c r="AD2589" s="117" t="str">
        <f>IFERROR(INDEX($AA$3:$AA$10000,MATCH(ROWS($AC$3:AC2589),$AC$3:$AC$10000,0)),"")</f>
        <v/>
      </c>
      <c r="AE2589" s="117" t="str">
        <f>+'Packing Material - Cost'!A2590</f>
        <v/>
      </c>
    </row>
    <row r="2590" spans="27:31">
      <c r="AA2590" s="117">
        <f>+'Ingredient List - Mother Tinctu'!D2591</f>
        <v>0</v>
      </c>
      <c r="AB2590" s="117">
        <f t="shared" si="43"/>
        <v>0</v>
      </c>
      <c r="AC2590" s="117" t="str">
        <f>IF(AB2590=1,COUNTIF($AB$3:AB2590,1),"")</f>
        <v/>
      </c>
      <c r="AD2590" s="117" t="str">
        <f>IFERROR(INDEX($AA$3:$AA$10000,MATCH(ROWS($AC$3:AC2590),$AC$3:$AC$10000,0)),"")</f>
        <v/>
      </c>
      <c r="AE2590" s="117" t="str">
        <f>+'Packing Material - Cost'!A2591</f>
        <v/>
      </c>
    </row>
    <row r="2591" spans="27:31">
      <c r="AA2591" s="117">
        <f>+'Ingredient List - Mother Tinctu'!D2592</f>
        <v>0</v>
      </c>
      <c r="AB2591" s="117">
        <f t="shared" si="43"/>
        <v>0</v>
      </c>
      <c r="AC2591" s="117" t="str">
        <f>IF(AB2591=1,COUNTIF($AB$3:AB2591,1),"")</f>
        <v/>
      </c>
      <c r="AD2591" s="117" t="str">
        <f>IFERROR(INDEX($AA$3:$AA$10000,MATCH(ROWS($AC$3:AC2591),$AC$3:$AC$10000,0)),"")</f>
        <v/>
      </c>
      <c r="AE2591" s="117" t="str">
        <f>+'Packing Material - Cost'!A2592</f>
        <v/>
      </c>
    </row>
    <row r="2592" spans="27:31">
      <c r="AA2592" s="117">
        <f>+'Ingredient List - Mother Tinctu'!D2593</f>
        <v>0</v>
      </c>
      <c r="AB2592" s="117">
        <f t="shared" si="43"/>
        <v>0</v>
      </c>
      <c r="AC2592" s="117" t="str">
        <f>IF(AB2592=1,COUNTIF($AB$3:AB2592,1),"")</f>
        <v/>
      </c>
      <c r="AD2592" s="117" t="str">
        <f>IFERROR(INDEX($AA$3:$AA$10000,MATCH(ROWS($AC$3:AC2592),$AC$3:$AC$10000,0)),"")</f>
        <v/>
      </c>
      <c r="AE2592" s="117" t="str">
        <f>+'Packing Material - Cost'!A2593</f>
        <v/>
      </c>
    </row>
    <row r="2593" spans="27:31">
      <c r="AA2593" s="117">
        <f>+'Ingredient List - Mother Tinctu'!D2594</f>
        <v>0</v>
      </c>
      <c r="AB2593" s="117">
        <f t="shared" si="43"/>
        <v>0</v>
      </c>
      <c r="AC2593" s="117" t="str">
        <f>IF(AB2593=1,COUNTIF($AB$3:AB2593,1),"")</f>
        <v/>
      </c>
      <c r="AD2593" s="117" t="str">
        <f>IFERROR(INDEX($AA$3:$AA$10000,MATCH(ROWS($AC$3:AC2593),$AC$3:$AC$10000,0)),"")</f>
        <v/>
      </c>
      <c r="AE2593" s="117" t="str">
        <f>+'Packing Material - Cost'!A2594</f>
        <v/>
      </c>
    </row>
    <row r="2594" spans="27:31">
      <c r="AA2594" s="117">
        <f>+'Ingredient List - Mother Tinctu'!D2595</f>
        <v>0</v>
      </c>
      <c r="AB2594" s="117">
        <f t="shared" si="43"/>
        <v>0</v>
      </c>
      <c r="AC2594" s="117" t="str">
        <f>IF(AB2594=1,COUNTIF($AB$3:AB2594,1),"")</f>
        <v/>
      </c>
      <c r="AD2594" s="117" t="str">
        <f>IFERROR(INDEX($AA$3:$AA$10000,MATCH(ROWS($AC$3:AC2594),$AC$3:$AC$10000,0)),"")</f>
        <v/>
      </c>
      <c r="AE2594" s="117" t="str">
        <f>+'Packing Material - Cost'!A2595</f>
        <v/>
      </c>
    </row>
    <row r="2595" spans="27:31">
      <c r="AA2595" s="117">
        <f>+'Ingredient List - Mother Tinctu'!D2596</f>
        <v>0</v>
      </c>
      <c r="AB2595" s="117">
        <f t="shared" si="43"/>
        <v>0</v>
      </c>
      <c r="AC2595" s="117" t="str">
        <f>IF(AB2595=1,COUNTIF($AB$3:AB2595,1),"")</f>
        <v/>
      </c>
      <c r="AD2595" s="117" t="str">
        <f>IFERROR(INDEX($AA$3:$AA$10000,MATCH(ROWS($AC$3:AC2595),$AC$3:$AC$10000,0)),"")</f>
        <v/>
      </c>
      <c r="AE2595" s="117" t="str">
        <f>+'Packing Material - Cost'!A2596</f>
        <v/>
      </c>
    </row>
    <row r="2596" spans="27:31">
      <c r="AA2596" s="117">
        <f>+'Ingredient List - Mother Tinctu'!D2597</f>
        <v>0</v>
      </c>
      <c r="AB2596" s="117">
        <f t="shared" si="43"/>
        <v>0</v>
      </c>
      <c r="AC2596" s="117" t="str">
        <f>IF(AB2596=1,COUNTIF($AB$3:AB2596,1),"")</f>
        <v/>
      </c>
      <c r="AD2596" s="117" t="str">
        <f>IFERROR(INDEX($AA$3:$AA$10000,MATCH(ROWS($AC$3:AC2596),$AC$3:$AC$10000,0)),"")</f>
        <v/>
      </c>
      <c r="AE2596" s="117" t="str">
        <f>+'Packing Material - Cost'!A2597</f>
        <v/>
      </c>
    </row>
    <row r="2597" spans="27:31">
      <c r="AA2597" s="117">
        <f>+'Ingredient List - Mother Tinctu'!D2598</f>
        <v>0</v>
      </c>
      <c r="AB2597" s="117">
        <f t="shared" si="43"/>
        <v>0</v>
      </c>
      <c r="AC2597" s="117" t="str">
        <f>IF(AB2597=1,COUNTIF($AB$3:AB2597,1),"")</f>
        <v/>
      </c>
      <c r="AD2597" s="117" t="str">
        <f>IFERROR(INDEX($AA$3:$AA$10000,MATCH(ROWS($AC$3:AC2597),$AC$3:$AC$10000,0)),"")</f>
        <v/>
      </c>
      <c r="AE2597" s="117" t="str">
        <f>+'Packing Material - Cost'!A2598</f>
        <v/>
      </c>
    </row>
    <row r="2598" spans="27:31">
      <c r="AA2598" s="117">
        <f>+'Ingredient List - Mother Tinctu'!D2599</f>
        <v>0</v>
      </c>
      <c r="AB2598" s="117">
        <f t="shared" si="43"/>
        <v>0</v>
      </c>
      <c r="AC2598" s="117" t="str">
        <f>IF(AB2598=1,COUNTIF($AB$3:AB2598,1),"")</f>
        <v/>
      </c>
      <c r="AD2598" s="117" t="str">
        <f>IFERROR(INDEX($AA$3:$AA$10000,MATCH(ROWS($AC$3:AC2598),$AC$3:$AC$10000,0)),"")</f>
        <v/>
      </c>
      <c r="AE2598" s="117" t="str">
        <f>+'Packing Material - Cost'!A2599</f>
        <v/>
      </c>
    </row>
    <row r="2599" spans="27:31">
      <c r="AA2599" s="117">
        <f>+'Ingredient List - Mother Tinctu'!D2600</f>
        <v>0</v>
      </c>
      <c r="AB2599" s="117">
        <f t="shared" si="43"/>
        <v>0</v>
      </c>
      <c r="AC2599" s="117" t="str">
        <f>IF(AB2599=1,COUNTIF($AB$3:AB2599,1),"")</f>
        <v/>
      </c>
      <c r="AD2599" s="117" t="str">
        <f>IFERROR(INDEX($AA$3:$AA$10000,MATCH(ROWS($AC$3:AC2599),$AC$3:$AC$10000,0)),"")</f>
        <v/>
      </c>
      <c r="AE2599" s="117" t="str">
        <f>+'Packing Material - Cost'!A2600</f>
        <v/>
      </c>
    </row>
    <row r="2600" spans="27:31">
      <c r="AA2600" s="117">
        <f>+'Ingredient List - Mother Tinctu'!D2601</f>
        <v>0</v>
      </c>
      <c r="AB2600" s="117">
        <f t="shared" si="43"/>
        <v>0</v>
      </c>
      <c r="AC2600" s="117" t="str">
        <f>IF(AB2600=1,COUNTIF($AB$3:AB2600,1),"")</f>
        <v/>
      </c>
      <c r="AD2600" s="117" t="str">
        <f>IFERROR(INDEX($AA$3:$AA$10000,MATCH(ROWS($AC$3:AC2600),$AC$3:$AC$10000,0)),"")</f>
        <v/>
      </c>
      <c r="AE2600" s="117" t="str">
        <f>+'Packing Material - Cost'!A2601</f>
        <v/>
      </c>
    </row>
    <row r="2601" spans="27:31">
      <c r="AA2601" s="117">
        <f>+'Ingredient List - Mother Tinctu'!D2602</f>
        <v>0</v>
      </c>
      <c r="AB2601" s="117">
        <f t="shared" si="43"/>
        <v>0</v>
      </c>
      <c r="AC2601" s="117" t="str">
        <f>IF(AB2601=1,COUNTIF($AB$3:AB2601,1),"")</f>
        <v/>
      </c>
      <c r="AD2601" s="117" t="str">
        <f>IFERROR(INDEX($AA$3:$AA$10000,MATCH(ROWS($AC$3:AC2601),$AC$3:$AC$10000,0)),"")</f>
        <v/>
      </c>
      <c r="AE2601" s="117" t="str">
        <f>+'Packing Material - Cost'!A2602</f>
        <v/>
      </c>
    </row>
    <row r="2602" spans="27:31">
      <c r="AA2602" s="117">
        <f>+'Ingredient List - Mother Tinctu'!D2603</f>
        <v>0</v>
      </c>
      <c r="AB2602" s="117">
        <f t="shared" si="43"/>
        <v>0</v>
      </c>
      <c r="AC2602" s="117" t="str">
        <f>IF(AB2602=1,COUNTIF($AB$3:AB2602,1),"")</f>
        <v/>
      </c>
      <c r="AD2602" s="117" t="str">
        <f>IFERROR(INDEX($AA$3:$AA$10000,MATCH(ROWS($AC$3:AC2602),$AC$3:$AC$10000,0)),"")</f>
        <v/>
      </c>
      <c r="AE2602" s="117" t="str">
        <f>+'Packing Material - Cost'!A2603</f>
        <v/>
      </c>
    </row>
    <row r="2603" spans="27:31">
      <c r="AA2603" s="117">
        <f>+'Ingredient List - Mother Tinctu'!D2604</f>
        <v>0</v>
      </c>
      <c r="AB2603" s="117">
        <f t="shared" si="43"/>
        <v>0</v>
      </c>
      <c r="AC2603" s="117" t="str">
        <f>IF(AB2603=1,COUNTIF($AB$3:AB2603,1),"")</f>
        <v/>
      </c>
      <c r="AD2603" s="117" t="str">
        <f>IFERROR(INDEX($AA$3:$AA$10000,MATCH(ROWS($AC$3:AC2603),$AC$3:$AC$10000,0)),"")</f>
        <v/>
      </c>
      <c r="AE2603" s="117" t="str">
        <f>+'Packing Material - Cost'!A2604</f>
        <v/>
      </c>
    </row>
    <row r="2604" spans="27:31">
      <c r="AA2604" s="117">
        <f>+'Ingredient List - Mother Tinctu'!D2605</f>
        <v>0</v>
      </c>
      <c r="AB2604" s="117">
        <f t="shared" si="43"/>
        <v>0</v>
      </c>
      <c r="AC2604" s="117" t="str">
        <f>IF(AB2604=1,COUNTIF($AB$3:AB2604,1),"")</f>
        <v/>
      </c>
      <c r="AD2604" s="117" t="str">
        <f>IFERROR(INDEX($AA$3:$AA$10000,MATCH(ROWS($AC$3:AC2604),$AC$3:$AC$10000,0)),"")</f>
        <v/>
      </c>
      <c r="AE2604" s="117" t="str">
        <f>+'Packing Material - Cost'!A2605</f>
        <v/>
      </c>
    </row>
    <row r="2605" spans="27:31">
      <c r="AA2605" s="117">
        <f>+'Ingredient List - Mother Tinctu'!D2606</f>
        <v>0</v>
      </c>
      <c r="AB2605" s="117">
        <f t="shared" si="43"/>
        <v>0</v>
      </c>
      <c r="AC2605" s="117" t="str">
        <f>IF(AB2605=1,COUNTIF($AB$3:AB2605,1),"")</f>
        <v/>
      </c>
      <c r="AD2605" s="117" t="str">
        <f>IFERROR(INDEX($AA$3:$AA$10000,MATCH(ROWS($AC$3:AC2605),$AC$3:$AC$10000,0)),"")</f>
        <v/>
      </c>
      <c r="AE2605" s="117" t="str">
        <f>+'Packing Material - Cost'!A2606</f>
        <v/>
      </c>
    </row>
    <row r="2606" spans="27:31">
      <c r="AA2606" s="117">
        <f>+'Ingredient List - Mother Tinctu'!D2607</f>
        <v>0</v>
      </c>
      <c r="AB2606" s="117">
        <f t="shared" si="43"/>
        <v>0</v>
      </c>
      <c r="AC2606" s="117" t="str">
        <f>IF(AB2606=1,COUNTIF($AB$3:AB2606,1),"")</f>
        <v/>
      </c>
      <c r="AD2606" s="117" t="str">
        <f>IFERROR(INDEX($AA$3:$AA$10000,MATCH(ROWS($AC$3:AC2606),$AC$3:$AC$10000,0)),"")</f>
        <v/>
      </c>
      <c r="AE2606" s="117" t="str">
        <f>+'Packing Material - Cost'!A2607</f>
        <v/>
      </c>
    </row>
    <row r="2607" spans="27:31">
      <c r="AA2607" s="117">
        <f>+'Ingredient List - Mother Tinctu'!D2608</f>
        <v>0</v>
      </c>
      <c r="AB2607" s="117">
        <f t="shared" si="43"/>
        <v>0</v>
      </c>
      <c r="AC2607" s="117" t="str">
        <f>IF(AB2607=1,COUNTIF($AB$3:AB2607,1),"")</f>
        <v/>
      </c>
      <c r="AD2607" s="117" t="str">
        <f>IFERROR(INDEX($AA$3:$AA$10000,MATCH(ROWS($AC$3:AC2607),$AC$3:$AC$10000,0)),"")</f>
        <v/>
      </c>
      <c r="AE2607" s="117" t="str">
        <f>+'Packing Material - Cost'!A2608</f>
        <v/>
      </c>
    </row>
    <row r="2608" spans="27:31">
      <c r="AA2608" s="117">
        <f>+'Ingredient List - Mother Tinctu'!D2609</f>
        <v>0</v>
      </c>
      <c r="AB2608" s="117">
        <f t="shared" si="43"/>
        <v>0</v>
      </c>
      <c r="AC2608" s="117" t="str">
        <f>IF(AB2608=1,COUNTIF($AB$3:AB2608,1),"")</f>
        <v/>
      </c>
      <c r="AD2608" s="117" t="str">
        <f>IFERROR(INDEX($AA$3:$AA$10000,MATCH(ROWS($AC$3:AC2608),$AC$3:$AC$10000,0)),"")</f>
        <v/>
      </c>
      <c r="AE2608" s="117" t="str">
        <f>+'Packing Material - Cost'!A2609</f>
        <v/>
      </c>
    </row>
    <row r="2609" spans="27:31">
      <c r="AA2609" s="117">
        <f>+'Ingredient List - Mother Tinctu'!D2610</f>
        <v>0</v>
      </c>
      <c r="AB2609" s="117">
        <f t="shared" si="43"/>
        <v>0</v>
      </c>
      <c r="AC2609" s="117" t="str">
        <f>IF(AB2609=1,COUNTIF($AB$3:AB2609,1),"")</f>
        <v/>
      </c>
      <c r="AD2609" s="117" t="str">
        <f>IFERROR(INDEX($AA$3:$AA$10000,MATCH(ROWS($AC$3:AC2609),$AC$3:$AC$10000,0)),"")</f>
        <v/>
      </c>
      <c r="AE2609" s="117" t="str">
        <f>+'Packing Material - Cost'!A2610</f>
        <v/>
      </c>
    </row>
    <row r="2610" spans="27:31">
      <c r="AA2610" s="117">
        <f>+'Ingredient List - Mother Tinctu'!D2611</f>
        <v>0</v>
      </c>
      <c r="AB2610" s="117">
        <f t="shared" si="43"/>
        <v>0</v>
      </c>
      <c r="AC2610" s="117" t="str">
        <f>IF(AB2610=1,COUNTIF($AB$3:AB2610,1),"")</f>
        <v/>
      </c>
      <c r="AD2610" s="117" t="str">
        <f>IFERROR(INDEX($AA$3:$AA$10000,MATCH(ROWS($AC$3:AC2610),$AC$3:$AC$10000,0)),"")</f>
        <v/>
      </c>
      <c r="AE2610" s="117" t="str">
        <f>+'Packing Material - Cost'!A2611</f>
        <v/>
      </c>
    </row>
    <row r="2611" spans="27:31">
      <c r="AA2611" s="117">
        <f>+'Ingredient List - Mother Tinctu'!D2612</f>
        <v>0</v>
      </c>
      <c r="AB2611" s="117">
        <f t="shared" si="43"/>
        <v>0</v>
      </c>
      <c r="AC2611" s="117" t="str">
        <f>IF(AB2611=1,COUNTIF($AB$3:AB2611,1),"")</f>
        <v/>
      </c>
      <c r="AD2611" s="117" t="str">
        <f>IFERROR(INDEX($AA$3:$AA$10000,MATCH(ROWS($AC$3:AC2611),$AC$3:$AC$10000,0)),"")</f>
        <v/>
      </c>
      <c r="AE2611" s="117" t="str">
        <f>+'Packing Material - Cost'!A2612</f>
        <v/>
      </c>
    </row>
    <row r="2612" spans="27:31">
      <c r="AA2612" s="117">
        <f>+'Ingredient List - Mother Tinctu'!D2613</f>
        <v>0</v>
      </c>
      <c r="AB2612" s="117">
        <f t="shared" si="43"/>
        <v>0</v>
      </c>
      <c r="AC2612" s="117" t="str">
        <f>IF(AB2612=1,COUNTIF($AB$3:AB2612,1),"")</f>
        <v/>
      </c>
      <c r="AD2612" s="117" t="str">
        <f>IFERROR(INDEX($AA$3:$AA$10000,MATCH(ROWS($AC$3:AC2612),$AC$3:$AC$10000,0)),"")</f>
        <v/>
      </c>
      <c r="AE2612" s="117" t="str">
        <f>+'Packing Material - Cost'!A2613</f>
        <v/>
      </c>
    </row>
    <row r="2613" spans="27:31">
      <c r="AA2613" s="117">
        <f>+'Ingredient List - Mother Tinctu'!D2614</f>
        <v>0</v>
      </c>
      <c r="AB2613" s="117">
        <f t="shared" si="43"/>
        <v>0</v>
      </c>
      <c r="AC2613" s="117" t="str">
        <f>IF(AB2613=1,COUNTIF($AB$3:AB2613,1),"")</f>
        <v/>
      </c>
      <c r="AD2613" s="117" t="str">
        <f>IFERROR(INDEX($AA$3:$AA$10000,MATCH(ROWS($AC$3:AC2613),$AC$3:$AC$10000,0)),"")</f>
        <v/>
      </c>
      <c r="AE2613" s="117" t="str">
        <f>+'Packing Material - Cost'!A2614</f>
        <v/>
      </c>
    </row>
    <row r="2614" spans="27:31">
      <c r="AA2614" s="117">
        <f>+'Ingredient List - Mother Tinctu'!D2615</f>
        <v>0</v>
      </c>
      <c r="AB2614" s="117">
        <f t="shared" si="43"/>
        <v>0</v>
      </c>
      <c r="AC2614" s="117" t="str">
        <f>IF(AB2614=1,COUNTIF($AB$3:AB2614,1),"")</f>
        <v/>
      </c>
      <c r="AD2614" s="117" t="str">
        <f>IFERROR(INDEX($AA$3:$AA$10000,MATCH(ROWS($AC$3:AC2614),$AC$3:$AC$10000,0)),"")</f>
        <v/>
      </c>
      <c r="AE2614" s="117" t="str">
        <f>+'Packing Material - Cost'!A2615</f>
        <v/>
      </c>
    </row>
    <row r="2615" spans="27:31">
      <c r="AA2615" s="117">
        <f>+'Ingredient List - Mother Tinctu'!D2616</f>
        <v>0</v>
      </c>
      <c r="AB2615" s="117">
        <f t="shared" si="43"/>
        <v>0</v>
      </c>
      <c r="AC2615" s="117" t="str">
        <f>IF(AB2615=1,COUNTIF($AB$3:AB2615,1),"")</f>
        <v/>
      </c>
      <c r="AD2615" s="117" t="str">
        <f>IFERROR(INDEX($AA$3:$AA$10000,MATCH(ROWS($AC$3:AC2615),$AC$3:$AC$10000,0)),"")</f>
        <v/>
      </c>
      <c r="AE2615" s="117" t="str">
        <f>+'Packing Material - Cost'!A2616</f>
        <v/>
      </c>
    </row>
    <row r="2616" spans="27:31">
      <c r="AA2616" s="117">
        <f>+'Ingredient List - Mother Tinctu'!D2617</f>
        <v>0</v>
      </c>
      <c r="AB2616" s="117">
        <f t="shared" si="43"/>
        <v>0</v>
      </c>
      <c r="AC2616" s="117" t="str">
        <f>IF(AB2616=1,COUNTIF($AB$3:AB2616,1),"")</f>
        <v/>
      </c>
      <c r="AD2616" s="117" t="str">
        <f>IFERROR(INDEX($AA$3:$AA$10000,MATCH(ROWS($AC$3:AC2616),$AC$3:$AC$10000,0)),"")</f>
        <v/>
      </c>
      <c r="AE2616" s="117" t="str">
        <f>+'Packing Material - Cost'!A2617</f>
        <v/>
      </c>
    </row>
    <row r="2617" spans="27:31">
      <c r="AA2617" s="117">
        <f>+'Ingredient List - Mother Tinctu'!D2618</f>
        <v>0</v>
      </c>
      <c r="AB2617" s="117">
        <f t="shared" si="43"/>
        <v>0</v>
      </c>
      <c r="AC2617" s="117" t="str">
        <f>IF(AB2617=1,COUNTIF($AB$3:AB2617,1),"")</f>
        <v/>
      </c>
      <c r="AD2617" s="117" t="str">
        <f>IFERROR(INDEX($AA$3:$AA$10000,MATCH(ROWS($AC$3:AC2617),$AC$3:$AC$10000,0)),"")</f>
        <v/>
      </c>
      <c r="AE2617" s="117" t="str">
        <f>+'Packing Material - Cost'!A2618</f>
        <v/>
      </c>
    </row>
    <row r="2618" spans="27:31">
      <c r="AA2618" s="117">
        <f>+'Ingredient List - Mother Tinctu'!D2619</f>
        <v>0</v>
      </c>
      <c r="AB2618" s="117">
        <f t="shared" si="43"/>
        <v>0</v>
      </c>
      <c r="AC2618" s="117" t="str">
        <f>IF(AB2618=1,COUNTIF($AB$3:AB2618,1),"")</f>
        <v/>
      </c>
      <c r="AD2618" s="117" t="str">
        <f>IFERROR(INDEX($AA$3:$AA$10000,MATCH(ROWS($AC$3:AC2618),$AC$3:$AC$10000,0)),"")</f>
        <v/>
      </c>
      <c r="AE2618" s="117" t="str">
        <f>+'Packing Material - Cost'!A2619</f>
        <v/>
      </c>
    </row>
    <row r="2619" spans="27:31">
      <c r="AA2619" s="117">
        <f>+'Ingredient List - Mother Tinctu'!D2620</f>
        <v>0</v>
      </c>
      <c r="AB2619" s="117">
        <f t="shared" si="43"/>
        <v>0</v>
      </c>
      <c r="AC2619" s="117" t="str">
        <f>IF(AB2619=1,COUNTIF($AB$3:AB2619,1),"")</f>
        <v/>
      </c>
      <c r="AD2619" s="117" t="str">
        <f>IFERROR(INDEX($AA$3:$AA$10000,MATCH(ROWS($AC$3:AC2619),$AC$3:$AC$10000,0)),"")</f>
        <v/>
      </c>
      <c r="AE2619" s="117" t="str">
        <f>+'Packing Material - Cost'!A2620</f>
        <v/>
      </c>
    </row>
    <row r="2620" spans="27:31">
      <c r="AA2620" s="117">
        <f>+'Ingredient List - Mother Tinctu'!D2621</f>
        <v>0</v>
      </c>
      <c r="AB2620" s="117">
        <f t="shared" si="43"/>
        <v>0</v>
      </c>
      <c r="AC2620" s="117" t="str">
        <f>IF(AB2620=1,COUNTIF($AB$3:AB2620,1),"")</f>
        <v/>
      </c>
      <c r="AD2620" s="117" t="str">
        <f>IFERROR(INDEX($AA$3:$AA$10000,MATCH(ROWS($AC$3:AC2620),$AC$3:$AC$10000,0)),"")</f>
        <v/>
      </c>
      <c r="AE2620" s="117" t="str">
        <f>+'Packing Material - Cost'!A2621</f>
        <v/>
      </c>
    </row>
    <row r="2621" spans="27:31">
      <c r="AA2621" s="117">
        <f>+'Ingredient List - Mother Tinctu'!D2622</f>
        <v>0</v>
      </c>
      <c r="AB2621" s="117">
        <f t="shared" si="43"/>
        <v>0</v>
      </c>
      <c r="AC2621" s="117" t="str">
        <f>IF(AB2621=1,COUNTIF($AB$3:AB2621,1),"")</f>
        <v/>
      </c>
      <c r="AD2621" s="117" t="str">
        <f>IFERROR(INDEX($AA$3:$AA$10000,MATCH(ROWS($AC$3:AC2621),$AC$3:$AC$10000,0)),"")</f>
        <v/>
      </c>
      <c r="AE2621" s="117" t="str">
        <f>+'Packing Material - Cost'!A2622</f>
        <v/>
      </c>
    </row>
    <row r="2622" spans="27:31">
      <c r="AA2622" s="117">
        <f>+'Ingredient List - Mother Tinctu'!D2623</f>
        <v>0</v>
      </c>
      <c r="AB2622" s="117">
        <f t="shared" si="43"/>
        <v>0</v>
      </c>
      <c r="AC2622" s="117" t="str">
        <f>IF(AB2622=1,COUNTIF($AB$3:AB2622,1),"")</f>
        <v/>
      </c>
      <c r="AD2622" s="117" t="str">
        <f>IFERROR(INDEX($AA$3:$AA$10000,MATCH(ROWS($AC$3:AC2622),$AC$3:$AC$10000,0)),"")</f>
        <v/>
      </c>
      <c r="AE2622" s="117" t="str">
        <f>+'Packing Material - Cost'!A2623</f>
        <v/>
      </c>
    </row>
    <row r="2623" spans="27:31">
      <c r="AA2623" s="117">
        <f>+'Ingredient List - Mother Tinctu'!D2624</f>
        <v>0</v>
      </c>
      <c r="AB2623" s="117">
        <f t="shared" si="43"/>
        <v>0</v>
      </c>
      <c r="AC2623" s="117" t="str">
        <f>IF(AB2623=1,COUNTIF($AB$3:AB2623,1),"")</f>
        <v/>
      </c>
      <c r="AD2623" s="117" t="str">
        <f>IFERROR(INDEX($AA$3:$AA$10000,MATCH(ROWS($AC$3:AC2623),$AC$3:$AC$10000,0)),"")</f>
        <v/>
      </c>
      <c r="AE2623" s="117" t="str">
        <f>+'Packing Material - Cost'!A2624</f>
        <v/>
      </c>
    </row>
    <row r="2624" spans="27:31">
      <c r="AA2624" s="117">
        <f>+'Ingredient List - Mother Tinctu'!D2625</f>
        <v>0</v>
      </c>
      <c r="AB2624" s="117">
        <f t="shared" si="43"/>
        <v>0</v>
      </c>
      <c r="AC2624" s="117" t="str">
        <f>IF(AB2624=1,COUNTIF($AB$3:AB2624,1),"")</f>
        <v/>
      </c>
      <c r="AD2624" s="117" t="str">
        <f>IFERROR(INDEX($AA$3:$AA$10000,MATCH(ROWS($AC$3:AC2624),$AC$3:$AC$10000,0)),"")</f>
        <v/>
      </c>
      <c r="AE2624" s="117" t="str">
        <f>+'Packing Material - Cost'!A2625</f>
        <v/>
      </c>
    </row>
    <row r="2625" spans="27:31">
      <c r="AA2625" s="117">
        <f>+'Ingredient List - Mother Tinctu'!D2626</f>
        <v>0</v>
      </c>
      <c r="AB2625" s="117">
        <f t="shared" si="43"/>
        <v>0</v>
      </c>
      <c r="AC2625" s="117" t="str">
        <f>IF(AB2625=1,COUNTIF($AB$3:AB2625,1),"")</f>
        <v/>
      </c>
      <c r="AD2625" s="117" t="str">
        <f>IFERROR(INDEX($AA$3:$AA$10000,MATCH(ROWS($AC$3:AC2625),$AC$3:$AC$10000,0)),"")</f>
        <v/>
      </c>
      <c r="AE2625" s="117" t="str">
        <f>+'Packing Material - Cost'!A2626</f>
        <v/>
      </c>
    </row>
    <row r="2626" spans="27:31">
      <c r="AA2626" s="117">
        <f>+'Ingredient List - Mother Tinctu'!D2627</f>
        <v>0</v>
      </c>
      <c r="AB2626" s="117">
        <f t="shared" si="43"/>
        <v>0</v>
      </c>
      <c r="AC2626" s="117" t="str">
        <f>IF(AB2626=1,COUNTIF($AB$3:AB2626,1),"")</f>
        <v/>
      </c>
      <c r="AD2626" s="117" t="str">
        <f>IFERROR(INDEX($AA$3:$AA$10000,MATCH(ROWS($AC$3:AC2626),$AC$3:$AC$10000,0)),"")</f>
        <v/>
      </c>
      <c r="AE2626" s="117" t="str">
        <f>+'Packing Material - Cost'!A2627</f>
        <v/>
      </c>
    </row>
    <row r="2627" spans="27:31">
      <c r="AA2627" s="117">
        <f>+'Ingredient List - Mother Tinctu'!D2628</f>
        <v>0</v>
      </c>
      <c r="AB2627" s="117">
        <f t="shared" si="43"/>
        <v>0</v>
      </c>
      <c r="AC2627" s="117" t="str">
        <f>IF(AB2627=1,COUNTIF($AB$3:AB2627,1),"")</f>
        <v/>
      </c>
      <c r="AD2627" s="117" t="str">
        <f>IFERROR(INDEX($AA$3:$AA$10000,MATCH(ROWS($AC$3:AC2627),$AC$3:$AC$10000,0)),"")</f>
        <v/>
      </c>
      <c r="AE2627" s="117" t="str">
        <f>+'Packing Material - Cost'!A2628</f>
        <v/>
      </c>
    </row>
    <row r="2628" spans="27:31">
      <c r="AA2628" s="117">
        <f>+'Ingredient List - Mother Tinctu'!D2629</f>
        <v>0</v>
      </c>
      <c r="AB2628" s="117">
        <f t="shared" ref="AB2628:AB2691" si="44">--ISNUMBER(IFERROR(SEARCH($D$3,AA2628,1),""))</f>
        <v>0</v>
      </c>
      <c r="AC2628" s="117" t="str">
        <f>IF(AB2628=1,COUNTIF($AB$3:AB2628,1),"")</f>
        <v/>
      </c>
      <c r="AD2628" s="117" t="str">
        <f>IFERROR(INDEX($AA$3:$AA$10000,MATCH(ROWS($AC$3:AC2628),$AC$3:$AC$10000,0)),"")</f>
        <v/>
      </c>
      <c r="AE2628" s="117" t="str">
        <f>+'Packing Material - Cost'!A2629</f>
        <v/>
      </c>
    </row>
    <row r="2629" spans="27:31">
      <c r="AA2629" s="117">
        <f>+'Ingredient List - Mother Tinctu'!D2630</f>
        <v>0</v>
      </c>
      <c r="AB2629" s="117">
        <f t="shared" si="44"/>
        <v>0</v>
      </c>
      <c r="AC2629" s="117" t="str">
        <f>IF(AB2629=1,COUNTIF($AB$3:AB2629,1),"")</f>
        <v/>
      </c>
      <c r="AD2629" s="117" t="str">
        <f>IFERROR(INDEX($AA$3:$AA$10000,MATCH(ROWS($AC$3:AC2629),$AC$3:$AC$10000,0)),"")</f>
        <v/>
      </c>
      <c r="AE2629" s="117" t="str">
        <f>+'Packing Material - Cost'!A2630</f>
        <v/>
      </c>
    </row>
    <row r="2630" spans="27:31">
      <c r="AA2630" s="117">
        <f>+'Ingredient List - Mother Tinctu'!D2631</f>
        <v>0</v>
      </c>
      <c r="AB2630" s="117">
        <f t="shared" si="44"/>
        <v>0</v>
      </c>
      <c r="AC2630" s="117" t="str">
        <f>IF(AB2630=1,COUNTIF($AB$3:AB2630,1),"")</f>
        <v/>
      </c>
      <c r="AD2630" s="117" t="str">
        <f>IFERROR(INDEX($AA$3:$AA$10000,MATCH(ROWS($AC$3:AC2630),$AC$3:$AC$10000,0)),"")</f>
        <v/>
      </c>
      <c r="AE2630" s="117" t="str">
        <f>+'Packing Material - Cost'!A2631</f>
        <v/>
      </c>
    </row>
    <row r="2631" spans="27:31">
      <c r="AA2631" s="117">
        <f>+'Ingredient List - Mother Tinctu'!D2632</f>
        <v>0</v>
      </c>
      <c r="AB2631" s="117">
        <f t="shared" si="44"/>
        <v>0</v>
      </c>
      <c r="AC2631" s="117" t="str">
        <f>IF(AB2631=1,COUNTIF($AB$3:AB2631,1),"")</f>
        <v/>
      </c>
      <c r="AD2631" s="117" t="str">
        <f>IFERROR(INDEX($AA$3:$AA$10000,MATCH(ROWS($AC$3:AC2631),$AC$3:$AC$10000,0)),"")</f>
        <v/>
      </c>
      <c r="AE2631" s="117" t="str">
        <f>+'Packing Material - Cost'!A2632</f>
        <v/>
      </c>
    </row>
    <row r="2632" spans="27:31">
      <c r="AA2632" s="117">
        <f>+'Ingredient List - Mother Tinctu'!D2633</f>
        <v>0</v>
      </c>
      <c r="AB2632" s="117">
        <f t="shared" si="44"/>
        <v>0</v>
      </c>
      <c r="AC2632" s="117" t="str">
        <f>IF(AB2632=1,COUNTIF($AB$3:AB2632,1),"")</f>
        <v/>
      </c>
      <c r="AD2632" s="117" t="str">
        <f>IFERROR(INDEX($AA$3:$AA$10000,MATCH(ROWS($AC$3:AC2632),$AC$3:$AC$10000,0)),"")</f>
        <v/>
      </c>
      <c r="AE2632" s="117" t="str">
        <f>+'Packing Material - Cost'!A2633</f>
        <v/>
      </c>
    </row>
    <row r="2633" spans="27:31">
      <c r="AA2633" s="117">
        <f>+'Ingredient List - Mother Tinctu'!D2634</f>
        <v>0</v>
      </c>
      <c r="AB2633" s="117">
        <f t="shared" si="44"/>
        <v>0</v>
      </c>
      <c r="AC2633" s="117" t="str">
        <f>IF(AB2633=1,COUNTIF($AB$3:AB2633,1),"")</f>
        <v/>
      </c>
      <c r="AD2633" s="117" t="str">
        <f>IFERROR(INDEX($AA$3:$AA$10000,MATCH(ROWS($AC$3:AC2633),$AC$3:$AC$10000,0)),"")</f>
        <v/>
      </c>
      <c r="AE2633" s="117" t="str">
        <f>+'Packing Material - Cost'!A2634</f>
        <v/>
      </c>
    </row>
    <row r="2634" spans="27:31">
      <c r="AA2634" s="117">
        <f>+'Ingredient List - Mother Tinctu'!D2635</f>
        <v>0</v>
      </c>
      <c r="AB2634" s="117">
        <f t="shared" si="44"/>
        <v>0</v>
      </c>
      <c r="AC2634" s="117" t="str">
        <f>IF(AB2634=1,COUNTIF($AB$3:AB2634,1),"")</f>
        <v/>
      </c>
      <c r="AD2634" s="117" t="str">
        <f>IFERROR(INDEX($AA$3:$AA$10000,MATCH(ROWS($AC$3:AC2634),$AC$3:$AC$10000,0)),"")</f>
        <v/>
      </c>
      <c r="AE2634" s="117" t="str">
        <f>+'Packing Material - Cost'!A2635</f>
        <v/>
      </c>
    </row>
    <row r="2635" spans="27:31">
      <c r="AA2635" s="117">
        <f>+'Ingredient List - Mother Tinctu'!D2636</f>
        <v>0</v>
      </c>
      <c r="AB2635" s="117">
        <f t="shared" si="44"/>
        <v>0</v>
      </c>
      <c r="AC2635" s="117" t="str">
        <f>IF(AB2635=1,COUNTIF($AB$3:AB2635,1),"")</f>
        <v/>
      </c>
      <c r="AD2635" s="117" t="str">
        <f>IFERROR(INDEX($AA$3:$AA$10000,MATCH(ROWS($AC$3:AC2635),$AC$3:$AC$10000,0)),"")</f>
        <v/>
      </c>
      <c r="AE2635" s="117" t="str">
        <f>+'Packing Material - Cost'!A2636</f>
        <v/>
      </c>
    </row>
    <row r="2636" spans="27:31">
      <c r="AA2636" s="117">
        <f>+'Ingredient List - Mother Tinctu'!D2637</f>
        <v>0</v>
      </c>
      <c r="AB2636" s="117">
        <f t="shared" si="44"/>
        <v>0</v>
      </c>
      <c r="AC2636" s="117" t="str">
        <f>IF(AB2636=1,COUNTIF($AB$3:AB2636,1),"")</f>
        <v/>
      </c>
      <c r="AD2636" s="117" t="str">
        <f>IFERROR(INDEX($AA$3:$AA$10000,MATCH(ROWS($AC$3:AC2636),$AC$3:$AC$10000,0)),"")</f>
        <v/>
      </c>
      <c r="AE2636" s="117" t="str">
        <f>+'Packing Material - Cost'!A2637</f>
        <v/>
      </c>
    </row>
    <row r="2637" spans="27:31">
      <c r="AA2637" s="117">
        <f>+'Ingredient List - Mother Tinctu'!D2638</f>
        <v>0</v>
      </c>
      <c r="AB2637" s="117">
        <f t="shared" si="44"/>
        <v>0</v>
      </c>
      <c r="AC2637" s="117" t="str">
        <f>IF(AB2637=1,COUNTIF($AB$3:AB2637,1),"")</f>
        <v/>
      </c>
      <c r="AD2637" s="117" t="str">
        <f>IFERROR(INDEX($AA$3:$AA$10000,MATCH(ROWS($AC$3:AC2637),$AC$3:$AC$10000,0)),"")</f>
        <v/>
      </c>
      <c r="AE2637" s="117" t="str">
        <f>+'Packing Material - Cost'!A2638</f>
        <v/>
      </c>
    </row>
    <row r="2638" spans="27:31">
      <c r="AA2638" s="117">
        <f>+'Ingredient List - Mother Tinctu'!D2639</f>
        <v>0</v>
      </c>
      <c r="AB2638" s="117">
        <f t="shared" si="44"/>
        <v>0</v>
      </c>
      <c r="AC2638" s="117" t="str">
        <f>IF(AB2638=1,COUNTIF($AB$3:AB2638,1),"")</f>
        <v/>
      </c>
      <c r="AD2638" s="117" t="str">
        <f>IFERROR(INDEX($AA$3:$AA$10000,MATCH(ROWS($AC$3:AC2638),$AC$3:$AC$10000,0)),"")</f>
        <v/>
      </c>
      <c r="AE2638" s="117" t="str">
        <f>+'Packing Material - Cost'!A2639</f>
        <v/>
      </c>
    </row>
    <row r="2639" spans="27:31">
      <c r="AA2639" s="117">
        <f>+'Ingredient List - Mother Tinctu'!D2640</f>
        <v>0</v>
      </c>
      <c r="AB2639" s="117">
        <f t="shared" si="44"/>
        <v>0</v>
      </c>
      <c r="AC2639" s="117" t="str">
        <f>IF(AB2639=1,COUNTIF($AB$3:AB2639,1),"")</f>
        <v/>
      </c>
      <c r="AD2639" s="117" t="str">
        <f>IFERROR(INDEX($AA$3:$AA$10000,MATCH(ROWS($AC$3:AC2639),$AC$3:$AC$10000,0)),"")</f>
        <v/>
      </c>
      <c r="AE2639" s="117" t="str">
        <f>+'Packing Material - Cost'!A2640</f>
        <v/>
      </c>
    </row>
    <row r="2640" spans="27:31">
      <c r="AA2640" s="117">
        <f>+'Ingredient List - Mother Tinctu'!D2641</f>
        <v>0</v>
      </c>
      <c r="AB2640" s="117">
        <f t="shared" si="44"/>
        <v>0</v>
      </c>
      <c r="AC2640" s="117" t="str">
        <f>IF(AB2640=1,COUNTIF($AB$3:AB2640,1),"")</f>
        <v/>
      </c>
      <c r="AD2640" s="117" t="str">
        <f>IFERROR(INDEX($AA$3:$AA$10000,MATCH(ROWS($AC$3:AC2640),$AC$3:$AC$10000,0)),"")</f>
        <v/>
      </c>
      <c r="AE2640" s="117" t="str">
        <f>+'Packing Material - Cost'!A2641</f>
        <v/>
      </c>
    </row>
    <row r="2641" spans="27:31">
      <c r="AA2641" s="117">
        <f>+'Ingredient List - Mother Tinctu'!D2642</f>
        <v>0</v>
      </c>
      <c r="AB2641" s="117">
        <f t="shared" si="44"/>
        <v>0</v>
      </c>
      <c r="AC2641" s="117" t="str">
        <f>IF(AB2641=1,COUNTIF($AB$3:AB2641,1),"")</f>
        <v/>
      </c>
      <c r="AD2641" s="117" t="str">
        <f>IFERROR(INDEX($AA$3:$AA$10000,MATCH(ROWS($AC$3:AC2641),$AC$3:$AC$10000,0)),"")</f>
        <v/>
      </c>
      <c r="AE2641" s="117" t="str">
        <f>+'Packing Material - Cost'!A2642</f>
        <v/>
      </c>
    </row>
    <row r="2642" spans="27:31">
      <c r="AA2642" s="117">
        <f>+'Ingredient List - Mother Tinctu'!D2643</f>
        <v>0</v>
      </c>
      <c r="AB2642" s="117">
        <f t="shared" si="44"/>
        <v>0</v>
      </c>
      <c r="AC2642" s="117" t="str">
        <f>IF(AB2642=1,COUNTIF($AB$3:AB2642,1),"")</f>
        <v/>
      </c>
      <c r="AD2642" s="117" t="str">
        <f>IFERROR(INDEX($AA$3:$AA$10000,MATCH(ROWS($AC$3:AC2642),$AC$3:$AC$10000,0)),"")</f>
        <v/>
      </c>
      <c r="AE2642" s="117" t="str">
        <f>+'Packing Material - Cost'!A2643</f>
        <v/>
      </c>
    </row>
    <row r="2643" spans="27:31">
      <c r="AA2643" s="117">
        <f>+'Ingredient List - Mother Tinctu'!D2644</f>
        <v>0</v>
      </c>
      <c r="AB2643" s="117">
        <f t="shared" si="44"/>
        <v>0</v>
      </c>
      <c r="AC2643" s="117" t="str">
        <f>IF(AB2643=1,COUNTIF($AB$3:AB2643,1),"")</f>
        <v/>
      </c>
      <c r="AD2643" s="117" t="str">
        <f>IFERROR(INDEX($AA$3:$AA$10000,MATCH(ROWS($AC$3:AC2643),$AC$3:$AC$10000,0)),"")</f>
        <v/>
      </c>
      <c r="AE2643" s="117" t="str">
        <f>+'Packing Material - Cost'!A2644</f>
        <v/>
      </c>
    </row>
    <row r="2644" spans="27:31">
      <c r="AA2644" s="117">
        <f>+'Ingredient List - Mother Tinctu'!D2645</f>
        <v>0</v>
      </c>
      <c r="AB2644" s="117">
        <f t="shared" si="44"/>
        <v>0</v>
      </c>
      <c r="AC2644" s="117" t="str">
        <f>IF(AB2644=1,COUNTIF($AB$3:AB2644,1),"")</f>
        <v/>
      </c>
      <c r="AD2644" s="117" t="str">
        <f>IFERROR(INDEX($AA$3:$AA$10000,MATCH(ROWS($AC$3:AC2644),$AC$3:$AC$10000,0)),"")</f>
        <v/>
      </c>
      <c r="AE2644" s="117" t="str">
        <f>+'Packing Material - Cost'!A2645</f>
        <v/>
      </c>
    </row>
    <row r="2645" spans="27:31">
      <c r="AA2645" s="117">
        <f>+'Ingredient List - Mother Tinctu'!D2646</f>
        <v>0</v>
      </c>
      <c r="AB2645" s="117">
        <f t="shared" si="44"/>
        <v>0</v>
      </c>
      <c r="AC2645" s="117" t="str">
        <f>IF(AB2645=1,COUNTIF($AB$3:AB2645,1),"")</f>
        <v/>
      </c>
      <c r="AD2645" s="117" t="str">
        <f>IFERROR(INDEX($AA$3:$AA$10000,MATCH(ROWS($AC$3:AC2645),$AC$3:$AC$10000,0)),"")</f>
        <v/>
      </c>
      <c r="AE2645" s="117" t="str">
        <f>+'Packing Material - Cost'!A2646</f>
        <v/>
      </c>
    </row>
    <row r="2646" spans="27:31">
      <c r="AA2646" s="117">
        <f>+'Ingredient List - Mother Tinctu'!D2647</f>
        <v>0</v>
      </c>
      <c r="AB2646" s="117">
        <f t="shared" si="44"/>
        <v>0</v>
      </c>
      <c r="AC2646" s="117" t="str">
        <f>IF(AB2646=1,COUNTIF($AB$3:AB2646,1),"")</f>
        <v/>
      </c>
      <c r="AD2646" s="117" t="str">
        <f>IFERROR(INDEX($AA$3:$AA$10000,MATCH(ROWS($AC$3:AC2646),$AC$3:$AC$10000,0)),"")</f>
        <v/>
      </c>
      <c r="AE2646" s="117" t="str">
        <f>+'Packing Material - Cost'!A2647</f>
        <v/>
      </c>
    </row>
    <row r="2647" spans="27:31">
      <c r="AA2647" s="117">
        <f>+'Ingredient List - Mother Tinctu'!D2648</f>
        <v>0</v>
      </c>
      <c r="AB2647" s="117">
        <f t="shared" si="44"/>
        <v>0</v>
      </c>
      <c r="AC2647" s="117" t="str">
        <f>IF(AB2647=1,COUNTIF($AB$3:AB2647,1),"")</f>
        <v/>
      </c>
      <c r="AD2647" s="117" t="str">
        <f>IFERROR(INDEX($AA$3:$AA$10000,MATCH(ROWS($AC$3:AC2647),$AC$3:$AC$10000,0)),"")</f>
        <v/>
      </c>
      <c r="AE2647" s="117" t="str">
        <f>+'Packing Material - Cost'!A2648</f>
        <v/>
      </c>
    </row>
    <row r="2648" spans="27:31">
      <c r="AA2648" s="117">
        <f>+'Ingredient List - Mother Tinctu'!D2649</f>
        <v>0</v>
      </c>
      <c r="AB2648" s="117">
        <f t="shared" si="44"/>
        <v>0</v>
      </c>
      <c r="AC2648" s="117" t="str">
        <f>IF(AB2648=1,COUNTIF($AB$3:AB2648,1),"")</f>
        <v/>
      </c>
      <c r="AD2648" s="117" t="str">
        <f>IFERROR(INDEX($AA$3:$AA$10000,MATCH(ROWS($AC$3:AC2648),$AC$3:$AC$10000,0)),"")</f>
        <v/>
      </c>
      <c r="AE2648" s="117" t="str">
        <f>+'Packing Material - Cost'!A2649</f>
        <v/>
      </c>
    </row>
    <row r="2649" spans="27:31">
      <c r="AA2649" s="117">
        <f>+'Ingredient List - Mother Tinctu'!D2650</f>
        <v>0</v>
      </c>
      <c r="AB2649" s="117">
        <f t="shared" si="44"/>
        <v>0</v>
      </c>
      <c r="AC2649" s="117" t="str">
        <f>IF(AB2649=1,COUNTIF($AB$3:AB2649,1),"")</f>
        <v/>
      </c>
      <c r="AD2649" s="117" t="str">
        <f>IFERROR(INDEX($AA$3:$AA$10000,MATCH(ROWS($AC$3:AC2649),$AC$3:$AC$10000,0)),"")</f>
        <v/>
      </c>
      <c r="AE2649" s="117" t="str">
        <f>+'Packing Material - Cost'!A2650</f>
        <v/>
      </c>
    </row>
    <row r="2650" spans="27:31">
      <c r="AA2650" s="117">
        <f>+'Ingredient List - Mother Tinctu'!D2651</f>
        <v>0</v>
      </c>
      <c r="AB2650" s="117">
        <f t="shared" si="44"/>
        <v>0</v>
      </c>
      <c r="AC2650" s="117" t="str">
        <f>IF(AB2650=1,COUNTIF($AB$3:AB2650,1),"")</f>
        <v/>
      </c>
      <c r="AD2650" s="117" t="str">
        <f>IFERROR(INDEX($AA$3:$AA$10000,MATCH(ROWS($AC$3:AC2650),$AC$3:$AC$10000,0)),"")</f>
        <v/>
      </c>
      <c r="AE2650" s="117" t="str">
        <f>+'Packing Material - Cost'!A2651</f>
        <v/>
      </c>
    </row>
    <row r="2651" spans="27:31">
      <c r="AA2651" s="117">
        <f>+'Ingredient List - Mother Tinctu'!D2652</f>
        <v>0</v>
      </c>
      <c r="AB2651" s="117">
        <f t="shared" si="44"/>
        <v>0</v>
      </c>
      <c r="AC2651" s="117" t="str">
        <f>IF(AB2651=1,COUNTIF($AB$3:AB2651,1),"")</f>
        <v/>
      </c>
      <c r="AD2651" s="117" t="str">
        <f>IFERROR(INDEX($AA$3:$AA$10000,MATCH(ROWS($AC$3:AC2651),$AC$3:$AC$10000,0)),"")</f>
        <v/>
      </c>
      <c r="AE2651" s="117" t="str">
        <f>+'Packing Material - Cost'!A2652</f>
        <v/>
      </c>
    </row>
    <row r="2652" spans="27:31">
      <c r="AA2652" s="117">
        <f>+'Ingredient List - Mother Tinctu'!D2653</f>
        <v>0</v>
      </c>
      <c r="AB2652" s="117">
        <f t="shared" si="44"/>
        <v>0</v>
      </c>
      <c r="AC2652" s="117" t="str">
        <f>IF(AB2652=1,COUNTIF($AB$3:AB2652,1),"")</f>
        <v/>
      </c>
      <c r="AD2652" s="117" t="str">
        <f>IFERROR(INDEX($AA$3:$AA$10000,MATCH(ROWS($AC$3:AC2652),$AC$3:$AC$10000,0)),"")</f>
        <v/>
      </c>
      <c r="AE2652" s="117" t="str">
        <f>+'Packing Material - Cost'!A2653</f>
        <v/>
      </c>
    </row>
    <row r="2653" spans="27:31">
      <c r="AA2653" s="117">
        <f>+'Ingredient List - Mother Tinctu'!D2654</f>
        <v>0</v>
      </c>
      <c r="AB2653" s="117">
        <f t="shared" si="44"/>
        <v>0</v>
      </c>
      <c r="AC2653" s="117" t="str">
        <f>IF(AB2653=1,COUNTIF($AB$3:AB2653,1),"")</f>
        <v/>
      </c>
      <c r="AD2653" s="117" t="str">
        <f>IFERROR(INDEX($AA$3:$AA$10000,MATCH(ROWS($AC$3:AC2653),$AC$3:$AC$10000,0)),"")</f>
        <v/>
      </c>
      <c r="AE2653" s="117" t="str">
        <f>+'Packing Material - Cost'!A2654</f>
        <v/>
      </c>
    </row>
    <row r="2654" spans="27:31">
      <c r="AA2654" s="117">
        <f>+'Ingredient List - Mother Tinctu'!D2655</f>
        <v>0</v>
      </c>
      <c r="AB2654" s="117">
        <f t="shared" si="44"/>
        <v>0</v>
      </c>
      <c r="AC2654" s="117" t="str">
        <f>IF(AB2654=1,COUNTIF($AB$3:AB2654,1),"")</f>
        <v/>
      </c>
      <c r="AD2654" s="117" t="str">
        <f>IFERROR(INDEX($AA$3:$AA$10000,MATCH(ROWS($AC$3:AC2654),$AC$3:$AC$10000,0)),"")</f>
        <v/>
      </c>
      <c r="AE2654" s="117" t="str">
        <f>+'Packing Material - Cost'!A2655</f>
        <v/>
      </c>
    </row>
    <row r="2655" spans="27:31">
      <c r="AA2655" s="117">
        <f>+'Ingredient List - Mother Tinctu'!D2656</f>
        <v>0</v>
      </c>
      <c r="AB2655" s="117">
        <f t="shared" si="44"/>
        <v>0</v>
      </c>
      <c r="AC2655" s="117" t="str">
        <f>IF(AB2655=1,COUNTIF($AB$3:AB2655,1),"")</f>
        <v/>
      </c>
      <c r="AD2655" s="117" t="str">
        <f>IFERROR(INDEX($AA$3:$AA$10000,MATCH(ROWS($AC$3:AC2655),$AC$3:$AC$10000,0)),"")</f>
        <v/>
      </c>
      <c r="AE2655" s="117" t="str">
        <f>+'Packing Material - Cost'!A2656</f>
        <v/>
      </c>
    </row>
    <row r="2656" spans="27:31">
      <c r="AA2656" s="117">
        <f>+'Ingredient List - Mother Tinctu'!D2657</f>
        <v>0</v>
      </c>
      <c r="AB2656" s="117">
        <f t="shared" si="44"/>
        <v>0</v>
      </c>
      <c r="AC2656" s="117" t="str">
        <f>IF(AB2656=1,COUNTIF($AB$3:AB2656,1),"")</f>
        <v/>
      </c>
      <c r="AD2656" s="117" t="str">
        <f>IFERROR(INDEX($AA$3:$AA$10000,MATCH(ROWS($AC$3:AC2656),$AC$3:$AC$10000,0)),"")</f>
        <v/>
      </c>
      <c r="AE2656" s="117" t="str">
        <f>+'Packing Material - Cost'!A2657</f>
        <v/>
      </c>
    </row>
    <row r="2657" spans="27:31">
      <c r="AA2657" s="117">
        <f>+'Ingredient List - Mother Tinctu'!D2658</f>
        <v>0</v>
      </c>
      <c r="AB2657" s="117">
        <f t="shared" si="44"/>
        <v>0</v>
      </c>
      <c r="AC2657" s="117" t="str">
        <f>IF(AB2657=1,COUNTIF($AB$3:AB2657,1),"")</f>
        <v/>
      </c>
      <c r="AD2657" s="117" t="str">
        <f>IFERROR(INDEX($AA$3:$AA$10000,MATCH(ROWS($AC$3:AC2657),$AC$3:$AC$10000,0)),"")</f>
        <v/>
      </c>
      <c r="AE2657" s="117" t="str">
        <f>+'Packing Material - Cost'!A2658</f>
        <v/>
      </c>
    </row>
    <row r="2658" spans="27:31">
      <c r="AA2658" s="117">
        <f>+'Ingredient List - Mother Tinctu'!D2659</f>
        <v>0</v>
      </c>
      <c r="AB2658" s="117">
        <f t="shared" si="44"/>
        <v>0</v>
      </c>
      <c r="AC2658" s="117" t="str">
        <f>IF(AB2658=1,COUNTIF($AB$3:AB2658,1),"")</f>
        <v/>
      </c>
      <c r="AD2658" s="117" t="str">
        <f>IFERROR(INDEX($AA$3:$AA$10000,MATCH(ROWS($AC$3:AC2658),$AC$3:$AC$10000,0)),"")</f>
        <v/>
      </c>
      <c r="AE2658" s="117" t="str">
        <f>+'Packing Material - Cost'!A2659</f>
        <v/>
      </c>
    </row>
    <row r="2659" spans="27:31">
      <c r="AA2659" s="117">
        <f>+'Ingredient List - Mother Tinctu'!D2660</f>
        <v>0</v>
      </c>
      <c r="AB2659" s="117">
        <f t="shared" si="44"/>
        <v>0</v>
      </c>
      <c r="AC2659" s="117" t="str">
        <f>IF(AB2659=1,COUNTIF($AB$3:AB2659,1),"")</f>
        <v/>
      </c>
      <c r="AD2659" s="117" t="str">
        <f>IFERROR(INDEX($AA$3:$AA$10000,MATCH(ROWS($AC$3:AC2659),$AC$3:$AC$10000,0)),"")</f>
        <v/>
      </c>
      <c r="AE2659" s="117" t="str">
        <f>+'Packing Material - Cost'!A2660</f>
        <v/>
      </c>
    </row>
    <row r="2660" spans="27:31">
      <c r="AA2660" s="117">
        <f>+'Ingredient List - Mother Tinctu'!D2661</f>
        <v>0</v>
      </c>
      <c r="AB2660" s="117">
        <f t="shared" si="44"/>
        <v>0</v>
      </c>
      <c r="AC2660" s="117" t="str">
        <f>IF(AB2660=1,COUNTIF($AB$3:AB2660,1),"")</f>
        <v/>
      </c>
      <c r="AD2660" s="117" t="str">
        <f>IFERROR(INDEX($AA$3:$AA$10000,MATCH(ROWS($AC$3:AC2660),$AC$3:$AC$10000,0)),"")</f>
        <v/>
      </c>
      <c r="AE2660" s="117" t="str">
        <f>+'Packing Material - Cost'!A2661</f>
        <v/>
      </c>
    </row>
    <row r="2661" spans="27:31">
      <c r="AA2661" s="117">
        <f>+'Ingredient List - Mother Tinctu'!D2662</f>
        <v>0</v>
      </c>
      <c r="AB2661" s="117">
        <f t="shared" si="44"/>
        <v>0</v>
      </c>
      <c r="AC2661" s="117" t="str">
        <f>IF(AB2661=1,COUNTIF($AB$3:AB2661,1),"")</f>
        <v/>
      </c>
      <c r="AD2661" s="117" t="str">
        <f>IFERROR(INDEX($AA$3:$AA$10000,MATCH(ROWS($AC$3:AC2661),$AC$3:$AC$10000,0)),"")</f>
        <v/>
      </c>
      <c r="AE2661" s="117" t="str">
        <f>+'Packing Material - Cost'!A2662</f>
        <v/>
      </c>
    </row>
    <row r="2662" spans="27:31">
      <c r="AA2662" s="117">
        <f>+'Ingredient List - Mother Tinctu'!D2663</f>
        <v>0</v>
      </c>
      <c r="AB2662" s="117">
        <f t="shared" si="44"/>
        <v>0</v>
      </c>
      <c r="AC2662" s="117" t="str">
        <f>IF(AB2662=1,COUNTIF($AB$3:AB2662,1),"")</f>
        <v/>
      </c>
      <c r="AD2662" s="117" t="str">
        <f>IFERROR(INDEX($AA$3:$AA$10000,MATCH(ROWS($AC$3:AC2662),$AC$3:$AC$10000,0)),"")</f>
        <v/>
      </c>
      <c r="AE2662" s="117" t="str">
        <f>+'Packing Material - Cost'!A2663</f>
        <v/>
      </c>
    </row>
    <row r="2663" spans="27:31">
      <c r="AA2663" s="117">
        <f>+'Ingredient List - Mother Tinctu'!D2664</f>
        <v>0</v>
      </c>
      <c r="AB2663" s="117">
        <f t="shared" si="44"/>
        <v>0</v>
      </c>
      <c r="AC2663" s="117" t="str">
        <f>IF(AB2663=1,COUNTIF($AB$3:AB2663,1),"")</f>
        <v/>
      </c>
      <c r="AD2663" s="117" t="str">
        <f>IFERROR(INDEX($AA$3:$AA$10000,MATCH(ROWS($AC$3:AC2663),$AC$3:$AC$10000,0)),"")</f>
        <v/>
      </c>
      <c r="AE2663" s="117" t="str">
        <f>+'Packing Material - Cost'!A2664</f>
        <v/>
      </c>
    </row>
    <row r="2664" spans="27:31">
      <c r="AA2664" s="117">
        <f>+'Ingredient List - Mother Tinctu'!D2665</f>
        <v>0</v>
      </c>
      <c r="AB2664" s="117">
        <f t="shared" si="44"/>
        <v>0</v>
      </c>
      <c r="AC2664" s="117" t="str">
        <f>IF(AB2664=1,COUNTIF($AB$3:AB2664,1),"")</f>
        <v/>
      </c>
      <c r="AD2664" s="117" t="str">
        <f>IFERROR(INDEX($AA$3:$AA$10000,MATCH(ROWS($AC$3:AC2664),$AC$3:$AC$10000,0)),"")</f>
        <v/>
      </c>
      <c r="AE2664" s="117" t="str">
        <f>+'Packing Material - Cost'!A2665</f>
        <v/>
      </c>
    </row>
    <row r="2665" spans="27:31">
      <c r="AA2665" s="117">
        <f>+'Ingredient List - Mother Tinctu'!D2666</f>
        <v>0</v>
      </c>
      <c r="AB2665" s="117">
        <f t="shared" si="44"/>
        <v>0</v>
      </c>
      <c r="AC2665" s="117" t="str">
        <f>IF(AB2665=1,COUNTIF($AB$3:AB2665,1),"")</f>
        <v/>
      </c>
      <c r="AD2665" s="117" t="str">
        <f>IFERROR(INDEX($AA$3:$AA$10000,MATCH(ROWS($AC$3:AC2665),$AC$3:$AC$10000,0)),"")</f>
        <v/>
      </c>
      <c r="AE2665" s="117" t="str">
        <f>+'Packing Material - Cost'!A2666</f>
        <v/>
      </c>
    </row>
    <row r="2666" spans="27:31">
      <c r="AA2666" s="117">
        <f>+'Ingredient List - Mother Tinctu'!D2667</f>
        <v>0</v>
      </c>
      <c r="AB2666" s="117">
        <f t="shared" si="44"/>
        <v>0</v>
      </c>
      <c r="AC2666" s="117" t="str">
        <f>IF(AB2666=1,COUNTIF($AB$3:AB2666,1),"")</f>
        <v/>
      </c>
      <c r="AD2666" s="117" t="str">
        <f>IFERROR(INDEX($AA$3:$AA$10000,MATCH(ROWS($AC$3:AC2666),$AC$3:$AC$10000,0)),"")</f>
        <v/>
      </c>
      <c r="AE2666" s="117" t="str">
        <f>+'Packing Material - Cost'!A2667</f>
        <v/>
      </c>
    </row>
    <row r="2667" spans="27:31">
      <c r="AA2667" s="117">
        <f>+'Ingredient List - Mother Tinctu'!D2668</f>
        <v>0</v>
      </c>
      <c r="AB2667" s="117">
        <f t="shared" si="44"/>
        <v>0</v>
      </c>
      <c r="AC2667" s="117" t="str">
        <f>IF(AB2667=1,COUNTIF($AB$3:AB2667,1),"")</f>
        <v/>
      </c>
      <c r="AD2667" s="117" t="str">
        <f>IFERROR(INDEX($AA$3:$AA$10000,MATCH(ROWS($AC$3:AC2667),$AC$3:$AC$10000,0)),"")</f>
        <v/>
      </c>
      <c r="AE2667" s="117" t="str">
        <f>+'Packing Material - Cost'!A2668</f>
        <v/>
      </c>
    </row>
    <row r="2668" spans="27:31">
      <c r="AA2668" s="117">
        <f>+'Ingredient List - Mother Tinctu'!D2669</f>
        <v>0</v>
      </c>
      <c r="AB2668" s="117">
        <f t="shared" si="44"/>
        <v>0</v>
      </c>
      <c r="AC2668" s="117" t="str">
        <f>IF(AB2668=1,COUNTIF($AB$3:AB2668,1),"")</f>
        <v/>
      </c>
      <c r="AD2668" s="117" t="str">
        <f>IFERROR(INDEX($AA$3:$AA$10000,MATCH(ROWS($AC$3:AC2668),$AC$3:$AC$10000,0)),"")</f>
        <v/>
      </c>
      <c r="AE2668" s="117" t="str">
        <f>+'Packing Material - Cost'!A2669</f>
        <v/>
      </c>
    </row>
    <row r="2669" spans="27:31">
      <c r="AA2669" s="117">
        <f>+'Ingredient List - Mother Tinctu'!D2670</f>
        <v>0</v>
      </c>
      <c r="AB2669" s="117">
        <f t="shared" si="44"/>
        <v>0</v>
      </c>
      <c r="AC2669" s="117" t="str">
        <f>IF(AB2669=1,COUNTIF($AB$3:AB2669,1),"")</f>
        <v/>
      </c>
      <c r="AD2669" s="117" t="str">
        <f>IFERROR(INDEX($AA$3:$AA$10000,MATCH(ROWS($AC$3:AC2669),$AC$3:$AC$10000,0)),"")</f>
        <v/>
      </c>
      <c r="AE2669" s="117" t="str">
        <f>+'Packing Material - Cost'!A2670</f>
        <v/>
      </c>
    </row>
    <row r="2670" spans="27:31">
      <c r="AA2670" s="117">
        <f>+'Ingredient List - Mother Tinctu'!D2671</f>
        <v>0</v>
      </c>
      <c r="AB2670" s="117">
        <f t="shared" si="44"/>
        <v>0</v>
      </c>
      <c r="AC2670" s="117" t="str">
        <f>IF(AB2670=1,COUNTIF($AB$3:AB2670,1),"")</f>
        <v/>
      </c>
      <c r="AD2670" s="117" t="str">
        <f>IFERROR(INDEX($AA$3:$AA$10000,MATCH(ROWS($AC$3:AC2670),$AC$3:$AC$10000,0)),"")</f>
        <v/>
      </c>
      <c r="AE2670" s="117" t="str">
        <f>+'Packing Material - Cost'!A2671</f>
        <v/>
      </c>
    </row>
    <row r="2671" spans="27:31">
      <c r="AA2671" s="117">
        <f>+'Ingredient List - Mother Tinctu'!D2672</f>
        <v>0</v>
      </c>
      <c r="AB2671" s="117">
        <f t="shared" si="44"/>
        <v>0</v>
      </c>
      <c r="AC2671" s="117" t="str">
        <f>IF(AB2671=1,COUNTIF($AB$3:AB2671,1),"")</f>
        <v/>
      </c>
      <c r="AD2671" s="117" t="str">
        <f>IFERROR(INDEX($AA$3:$AA$10000,MATCH(ROWS($AC$3:AC2671),$AC$3:$AC$10000,0)),"")</f>
        <v/>
      </c>
      <c r="AE2671" s="117" t="str">
        <f>+'Packing Material - Cost'!A2672</f>
        <v/>
      </c>
    </row>
    <row r="2672" spans="27:31">
      <c r="AA2672" s="117">
        <f>+'Ingredient List - Mother Tinctu'!D2673</f>
        <v>0</v>
      </c>
      <c r="AB2672" s="117">
        <f t="shared" si="44"/>
        <v>0</v>
      </c>
      <c r="AC2672" s="117" t="str">
        <f>IF(AB2672=1,COUNTIF($AB$3:AB2672,1),"")</f>
        <v/>
      </c>
      <c r="AD2672" s="117" t="str">
        <f>IFERROR(INDEX($AA$3:$AA$10000,MATCH(ROWS($AC$3:AC2672),$AC$3:$AC$10000,0)),"")</f>
        <v/>
      </c>
      <c r="AE2672" s="117" t="str">
        <f>+'Packing Material - Cost'!A2673</f>
        <v/>
      </c>
    </row>
    <row r="2673" spans="27:31">
      <c r="AA2673" s="117">
        <f>+'Ingredient List - Mother Tinctu'!D2674</f>
        <v>0</v>
      </c>
      <c r="AB2673" s="117">
        <f t="shared" si="44"/>
        <v>0</v>
      </c>
      <c r="AC2673" s="117" t="str">
        <f>IF(AB2673=1,COUNTIF($AB$3:AB2673,1),"")</f>
        <v/>
      </c>
      <c r="AD2673" s="117" t="str">
        <f>IFERROR(INDEX($AA$3:$AA$10000,MATCH(ROWS($AC$3:AC2673),$AC$3:$AC$10000,0)),"")</f>
        <v/>
      </c>
      <c r="AE2673" s="117" t="str">
        <f>+'Packing Material - Cost'!A2674</f>
        <v/>
      </c>
    </row>
    <row r="2674" spans="27:31">
      <c r="AA2674" s="117">
        <f>+'Ingredient List - Mother Tinctu'!D2675</f>
        <v>0</v>
      </c>
      <c r="AB2674" s="117">
        <f t="shared" si="44"/>
        <v>0</v>
      </c>
      <c r="AC2674" s="117" t="str">
        <f>IF(AB2674=1,COUNTIF($AB$3:AB2674,1),"")</f>
        <v/>
      </c>
      <c r="AD2674" s="117" t="str">
        <f>IFERROR(INDEX($AA$3:$AA$10000,MATCH(ROWS($AC$3:AC2674),$AC$3:$AC$10000,0)),"")</f>
        <v/>
      </c>
      <c r="AE2674" s="117" t="str">
        <f>+'Packing Material - Cost'!A2675</f>
        <v/>
      </c>
    </row>
    <row r="2675" spans="27:31">
      <c r="AA2675" s="117">
        <f>+'Ingredient List - Mother Tinctu'!D2676</f>
        <v>0</v>
      </c>
      <c r="AB2675" s="117">
        <f t="shared" si="44"/>
        <v>0</v>
      </c>
      <c r="AC2675" s="117" t="str">
        <f>IF(AB2675=1,COUNTIF($AB$3:AB2675,1),"")</f>
        <v/>
      </c>
      <c r="AD2675" s="117" t="str">
        <f>IFERROR(INDEX($AA$3:$AA$10000,MATCH(ROWS($AC$3:AC2675),$AC$3:$AC$10000,0)),"")</f>
        <v/>
      </c>
      <c r="AE2675" s="117" t="str">
        <f>+'Packing Material - Cost'!A2676</f>
        <v/>
      </c>
    </row>
    <row r="2676" spans="27:31">
      <c r="AA2676" s="117">
        <f>+'Ingredient List - Mother Tinctu'!D2677</f>
        <v>0</v>
      </c>
      <c r="AB2676" s="117">
        <f t="shared" si="44"/>
        <v>0</v>
      </c>
      <c r="AC2676" s="117" t="str">
        <f>IF(AB2676=1,COUNTIF($AB$3:AB2676,1),"")</f>
        <v/>
      </c>
      <c r="AD2676" s="117" t="str">
        <f>IFERROR(INDEX($AA$3:$AA$10000,MATCH(ROWS($AC$3:AC2676),$AC$3:$AC$10000,0)),"")</f>
        <v/>
      </c>
      <c r="AE2676" s="117" t="str">
        <f>+'Packing Material - Cost'!A2677</f>
        <v/>
      </c>
    </row>
    <row r="2677" spans="27:31">
      <c r="AA2677" s="117">
        <f>+'Ingredient List - Mother Tinctu'!D2678</f>
        <v>0</v>
      </c>
      <c r="AB2677" s="117">
        <f t="shared" si="44"/>
        <v>0</v>
      </c>
      <c r="AC2677" s="117" t="str">
        <f>IF(AB2677=1,COUNTIF($AB$3:AB2677,1),"")</f>
        <v/>
      </c>
      <c r="AD2677" s="117" t="str">
        <f>IFERROR(INDEX($AA$3:$AA$10000,MATCH(ROWS($AC$3:AC2677),$AC$3:$AC$10000,0)),"")</f>
        <v/>
      </c>
      <c r="AE2677" s="117" t="str">
        <f>+'Packing Material - Cost'!A2678</f>
        <v/>
      </c>
    </row>
    <row r="2678" spans="27:31">
      <c r="AA2678" s="117">
        <f>+'Ingredient List - Mother Tinctu'!D2679</f>
        <v>0</v>
      </c>
      <c r="AB2678" s="117">
        <f t="shared" si="44"/>
        <v>0</v>
      </c>
      <c r="AC2678" s="117" t="str">
        <f>IF(AB2678=1,COUNTIF($AB$3:AB2678,1),"")</f>
        <v/>
      </c>
      <c r="AD2678" s="117" t="str">
        <f>IFERROR(INDEX($AA$3:$AA$10000,MATCH(ROWS($AC$3:AC2678),$AC$3:$AC$10000,0)),"")</f>
        <v/>
      </c>
      <c r="AE2678" s="117" t="str">
        <f>+'Packing Material - Cost'!A2679</f>
        <v/>
      </c>
    </row>
    <row r="2679" spans="27:31">
      <c r="AA2679" s="117">
        <f>+'Ingredient List - Mother Tinctu'!D2680</f>
        <v>0</v>
      </c>
      <c r="AB2679" s="117">
        <f t="shared" si="44"/>
        <v>0</v>
      </c>
      <c r="AC2679" s="117" t="str">
        <f>IF(AB2679=1,COUNTIF($AB$3:AB2679,1),"")</f>
        <v/>
      </c>
      <c r="AD2679" s="117" t="str">
        <f>IFERROR(INDEX($AA$3:$AA$10000,MATCH(ROWS($AC$3:AC2679),$AC$3:$AC$10000,0)),"")</f>
        <v/>
      </c>
      <c r="AE2679" s="117" t="str">
        <f>+'Packing Material - Cost'!A2680</f>
        <v/>
      </c>
    </row>
    <row r="2680" spans="27:31">
      <c r="AA2680" s="117">
        <f>+'Ingredient List - Mother Tinctu'!D2681</f>
        <v>0</v>
      </c>
      <c r="AB2680" s="117">
        <f t="shared" si="44"/>
        <v>0</v>
      </c>
      <c r="AC2680" s="117" t="str">
        <f>IF(AB2680=1,COUNTIF($AB$3:AB2680,1),"")</f>
        <v/>
      </c>
      <c r="AD2680" s="117" t="str">
        <f>IFERROR(INDEX($AA$3:$AA$10000,MATCH(ROWS($AC$3:AC2680),$AC$3:$AC$10000,0)),"")</f>
        <v/>
      </c>
      <c r="AE2680" s="117" t="str">
        <f>+'Packing Material - Cost'!A2681</f>
        <v/>
      </c>
    </row>
    <row r="2681" spans="27:31">
      <c r="AA2681" s="117">
        <f>+'Ingredient List - Mother Tinctu'!D2682</f>
        <v>0</v>
      </c>
      <c r="AB2681" s="117">
        <f t="shared" si="44"/>
        <v>0</v>
      </c>
      <c r="AC2681" s="117" t="str">
        <f>IF(AB2681=1,COUNTIF($AB$3:AB2681,1),"")</f>
        <v/>
      </c>
      <c r="AD2681" s="117" t="str">
        <f>IFERROR(INDEX($AA$3:$AA$10000,MATCH(ROWS($AC$3:AC2681),$AC$3:$AC$10000,0)),"")</f>
        <v/>
      </c>
      <c r="AE2681" s="117" t="str">
        <f>+'Packing Material - Cost'!A2682</f>
        <v/>
      </c>
    </row>
    <row r="2682" spans="27:31">
      <c r="AA2682" s="117">
        <f>+'Ingredient List - Mother Tinctu'!D2683</f>
        <v>0</v>
      </c>
      <c r="AB2682" s="117">
        <f t="shared" si="44"/>
        <v>0</v>
      </c>
      <c r="AC2682" s="117" t="str">
        <f>IF(AB2682=1,COUNTIF($AB$3:AB2682,1),"")</f>
        <v/>
      </c>
      <c r="AD2682" s="117" t="str">
        <f>IFERROR(INDEX($AA$3:$AA$10000,MATCH(ROWS($AC$3:AC2682),$AC$3:$AC$10000,0)),"")</f>
        <v/>
      </c>
      <c r="AE2682" s="117" t="str">
        <f>+'Packing Material - Cost'!A2683</f>
        <v/>
      </c>
    </row>
    <row r="2683" spans="27:31">
      <c r="AA2683" s="117">
        <f>+'Ingredient List - Mother Tinctu'!D2684</f>
        <v>0</v>
      </c>
      <c r="AB2683" s="117">
        <f t="shared" si="44"/>
        <v>0</v>
      </c>
      <c r="AC2683" s="117" t="str">
        <f>IF(AB2683=1,COUNTIF($AB$3:AB2683,1),"")</f>
        <v/>
      </c>
      <c r="AD2683" s="117" t="str">
        <f>IFERROR(INDEX($AA$3:$AA$10000,MATCH(ROWS($AC$3:AC2683),$AC$3:$AC$10000,0)),"")</f>
        <v/>
      </c>
      <c r="AE2683" s="117" t="str">
        <f>+'Packing Material - Cost'!A2684</f>
        <v/>
      </c>
    </row>
    <row r="2684" spans="27:31">
      <c r="AA2684" s="117">
        <f>+'Ingredient List - Mother Tinctu'!D2685</f>
        <v>0</v>
      </c>
      <c r="AB2684" s="117">
        <f t="shared" si="44"/>
        <v>0</v>
      </c>
      <c r="AC2684" s="117" t="str">
        <f>IF(AB2684=1,COUNTIF($AB$3:AB2684,1),"")</f>
        <v/>
      </c>
      <c r="AD2684" s="117" t="str">
        <f>IFERROR(INDEX($AA$3:$AA$10000,MATCH(ROWS($AC$3:AC2684),$AC$3:$AC$10000,0)),"")</f>
        <v/>
      </c>
      <c r="AE2684" s="117" t="str">
        <f>+'Packing Material - Cost'!A2685</f>
        <v/>
      </c>
    </row>
    <row r="2685" spans="27:31">
      <c r="AA2685" s="117">
        <f>+'Ingredient List - Mother Tinctu'!D2686</f>
        <v>0</v>
      </c>
      <c r="AB2685" s="117">
        <f t="shared" si="44"/>
        <v>0</v>
      </c>
      <c r="AC2685" s="117" t="str">
        <f>IF(AB2685=1,COUNTIF($AB$3:AB2685,1),"")</f>
        <v/>
      </c>
      <c r="AD2685" s="117" t="str">
        <f>IFERROR(INDEX($AA$3:$AA$10000,MATCH(ROWS($AC$3:AC2685),$AC$3:$AC$10000,0)),"")</f>
        <v/>
      </c>
      <c r="AE2685" s="117" t="str">
        <f>+'Packing Material - Cost'!A2686</f>
        <v/>
      </c>
    </row>
    <row r="2686" spans="27:31">
      <c r="AA2686" s="117">
        <f>+'Ingredient List - Mother Tinctu'!D2687</f>
        <v>0</v>
      </c>
      <c r="AB2686" s="117">
        <f t="shared" si="44"/>
        <v>0</v>
      </c>
      <c r="AC2686" s="117" t="str">
        <f>IF(AB2686=1,COUNTIF($AB$3:AB2686,1),"")</f>
        <v/>
      </c>
      <c r="AD2686" s="117" t="str">
        <f>IFERROR(INDEX($AA$3:$AA$10000,MATCH(ROWS($AC$3:AC2686),$AC$3:$AC$10000,0)),"")</f>
        <v/>
      </c>
      <c r="AE2686" s="117" t="str">
        <f>+'Packing Material - Cost'!A2687</f>
        <v/>
      </c>
    </row>
    <row r="2687" spans="27:31">
      <c r="AA2687" s="117">
        <f>+'Ingredient List - Mother Tinctu'!D2688</f>
        <v>0</v>
      </c>
      <c r="AB2687" s="117">
        <f t="shared" si="44"/>
        <v>0</v>
      </c>
      <c r="AC2687" s="117" t="str">
        <f>IF(AB2687=1,COUNTIF($AB$3:AB2687,1),"")</f>
        <v/>
      </c>
      <c r="AD2687" s="117" t="str">
        <f>IFERROR(INDEX($AA$3:$AA$10000,MATCH(ROWS($AC$3:AC2687),$AC$3:$AC$10000,0)),"")</f>
        <v/>
      </c>
      <c r="AE2687" s="117" t="str">
        <f>+'Packing Material - Cost'!A2688</f>
        <v/>
      </c>
    </row>
    <row r="2688" spans="27:31">
      <c r="AA2688" s="117">
        <f>+'Ingredient List - Mother Tinctu'!D2689</f>
        <v>0</v>
      </c>
      <c r="AB2688" s="117">
        <f t="shared" si="44"/>
        <v>0</v>
      </c>
      <c r="AC2688" s="117" t="str">
        <f>IF(AB2688=1,COUNTIF($AB$3:AB2688,1),"")</f>
        <v/>
      </c>
      <c r="AD2688" s="117" t="str">
        <f>IFERROR(INDEX($AA$3:$AA$10000,MATCH(ROWS($AC$3:AC2688),$AC$3:$AC$10000,0)),"")</f>
        <v/>
      </c>
      <c r="AE2688" s="117" t="str">
        <f>+'Packing Material - Cost'!A2689</f>
        <v/>
      </c>
    </row>
    <row r="2689" spans="27:31">
      <c r="AA2689" s="117">
        <f>+'Ingredient List - Mother Tinctu'!D2690</f>
        <v>0</v>
      </c>
      <c r="AB2689" s="117">
        <f t="shared" si="44"/>
        <v>0</v>
      </c>
      <c r="AC2689" s="117" t="str">
        <f>IF(AB2689=1,COUNTIF($AB$3:AB2689,1),"")</f>
        <v/>
      </c>
      <c r="AD2689" s="117" t="str">
        <f>IFERROR(INDEX($AA$3:$AA$10000,MATCH(ROWS($AC$3:AC2689),$AC$3:$AC$10000,0)),"")</f>
        <v/>
      </c>
      <c r="AE2689" s="117" t="str">
        <f>+'Packing Material - Cost'!A2690</f>
        <v/>
      </c>
    </row>
    <row r="2690" spans="27:31">
      <c r="AA2690" s="117">
        <f>+'Ingredient List - Mother Tinctu'!D2691</f>
        <v>0</v>
      </c>
      <c r="AB2690" s="117">
        <f t="shared" si="44"/>
        <v>0</v>
      </c>
      <c r="AC2690" s="117" t="str">
        <f>IF(AB2690=1,COUNTIF($AB$3:AB2690,1),"")</f>
        <v/>
      </c>
      <c r="AD2690" s="117" t="str">
        <f>IFERROR(INDEX($AA$3:$AA$10000,MATCH(ROWS($AC$3:AC2690),$AC$3:$AC$10000,0)),"")</f>
        <v/>
      </c>
      <c r="AE2690" s="117" t="str">
        <f>+'Packing Material - Cost'!A2691</f>
        <v/>
      </c>
    </row>
    <row r="2691" spans="27:31">
      <c r="AA2691" s="117">
        <f>+'Ingredient List - Mother Tinctu'!D2692</f>
        <v>0</v>
      </c>
      <c r="AB2691" s="117">
        <f t="shared" si="44"/>
        <v>0</v>
      </c>
      <c r="AC2691" s="117" t="str">
        <f>IF(AB2691=1,COUNTIF($AB$3:AB2691,1),"")</f>
        <v/>
      </c>
      <c r="AD2691" s="117" t="str">
        <f>IFERROR(INDEX($AA$3:$AA$10000,MATCH(ROWS($AC$3:AC2691),$AC$3:$AC$10000,0)),"")</f>
        <v/>
      </c>
      <c r="AE2691" s="117" t="str">
        <f>+'Packing Material - Cost'!A2692</f>
        <v/>
      </c>
    </row>
    <row r="2692" spans="27:31">
      <c r="AA2692" s="117">
        <f>+'Ingredient List - Mother Tinctu'!D2693</f>
        <v>0</v>
      </c>
      <c r="AB2692" s="117">
        <f t="shared" ref="AB2692:AB2755" si="45">--ISNUMBER(IFERROR(SEARCH($D$3,AA2692,1),""))</f>
        <v>0</v>
      </c>
      <c r="AC2692" s="117" t="str">
        <f>IF(AB2692=1,COUNTIF($AB$3:AB2692,1),"")</f>
        <v/>
      </c>
      <c r="AD2692" s="117" t="str">
        <f>IFERROR(INDEX($AA$3:$AA$10000,MATCH(ROWS($AC$3:AC2692),$AC$3:$AC$10000,0)),"")</f>
        <v/>
      </c>
      <c r="AE2692" s="117" t="str">
        <f>+'Packing Material - Cost'!A2693</f>
        <v/>
      </c>
    </row>
    <row r="2693" spans="27:31">
      <c r="AA2693" s="117">
        <f>+'Ingredient List - Mother Tinctu'!D2694</f>
        <v>0</v>
      </c>
      <c r="AB2693" s="117">
        <f t="shared" si="45"/>
        <v>0</v>
      </c>
      <c r="AC2693" s="117" t="str">
        <f>IF(AB2693=1,COUNTIF($AB$3:AB2693,1),"")</f>
        <v/>
      </c>
      <c r="AD2693" s="117" t="str">
        <f>IFERROR(INDEX($AA$3:$AA$10000,MATCH(ROWS($AC$3:AC2693),$AC$3:$AC$10000,0)),"")</f>
        <v/>
      </c>
      <c r="AE2693" s="117" t="str">
        <f>+'Packing Material - Cost'!A2694</f>
        <v/>
      </c>
    </row>
    <row r="2694" spans="27:31">
      <c r="AA2694" s="117">
        <f>+'Ingredient List - Mother Tinctu'!D2695</f>
        <v>0</v>
      </c>
      <c r="AB2694" s="117">
        <f t="shared" si="45"/>
        <v>0</v>
      </c>
      <c r="AC2694" s="117" t="str">
        <f>IF(AB2694=1,COUNTIF($AB$3:AB2694,1),"")</f>
        <v/>
      </c>
      <c r="AD2694" s="117" t="str">
        <f>IFERROR(INDEX($AA$3:$AA$10000,MATCH(ROWS($AC$3:AC2694),$AC$3:$AC$10000,0)),"")</f>
        <v/>
      </c>
      <c r="AE2694" s="117" t="str">
        <f>+'Packing Material - Cost'!A2695</f>
        <v/>
      </c>
    </row>
    <row r="2695" spans="27:31">
      <c r="AA2695" s="117">
        <f>+'Ingredient List - Mother Tinctu'!D2696</f>
        <v>0</v>
      </c>
      <c r="AB2695" s="117">
        <f t="shared" si="45"/>
        <v>0</v>
      </c>
      <c r="AC2695" s="117" t="str">
        <f>IF(AB2695=1,COUNTIF($AB$3:AB2695,1),"")</f>
        <v/>
      </c>
      <c r="AD2695" s="117" t="str">
        <f>IFERROR(INDEX($AA$3:$AA$10000,MATCH(ROWS($AC$3:AC2695),$AC$3:$AC$10000,0)),"")</f>
        <v/>
      </c>
      <c r="AE2695" s="117" t="str">
        <f>+'Packing Material - Cost'!A2696</f>
        <v/>
      </c>
    </row>
    <row r="2696" spans="27:31">
      <c r="AA2696" s="117">
        <f>+'Ingredient List - Mother Tinctu'!D2697</f>
        <v>0</v>
      </c>
      <c r="AB2696" s="117">
        <f t="shared" si="45"/>
        <v>0</v>
      </c>
      <c r="AC2696" s="117" t="str">
        <f>IF(AB2696=1,COUNTIF($AB$3:AB2696,1),"")</f>
        <v/>
      </c>
      <c r="AD2696" s="117" t="str">
        <f>IFERROR(INDEX($AA$3:$AA$10000,MATCH(ROWS($AC$3:AC2696),$AC$3:$AC$10000,0)),"")</f>
        <v/>
      </c>
      <c r="AE2696" s="117" t="str">
        <f>+'Packing Material - Cost'!A2697</f>
        <v/>
      </c>
    </row>
    <row r="2697" spans="27:31">
      <c r="AA2697" s="117">
        <f>+'Ingredient List - Mother Tinctu'!D2698</f>
        <v>0</v>
      </c>
      <c r="AB2697" s="117">
        <f t="shared" si="45"/>
        <v>0</v>
      </c>
      <c r="AC2697" s="117" t="str">
        <f>IF(AB2697=1,COUNTIF($AB$3:AB2697,1),"")</f>
        <v/>
      </c>
      <c r="AD2697" s="117" t="str">
        <f>IFERROR(INDEX($AA$3:$AA$10000,MATCH(ROWS($AC$3:AC2697),$AC$3:$AC$10000,0)),"")</f>
        <v/>
      </c>
      <c r="AE2697" s="117" t="str">
        <f>+'Packing Material - Cost'!A2698</f>
        <v/>
      </c>
    </row>
    <row r="2698" spans="27:31">
      <c r="AA2698" s="117">
        <f>+'Ingredient List - Mother Tinctu'!D2699</f>
        <v>0</v>
      </c>
      <c r="AB2698" s="117">
        <f t="shared" si="45"/>
        <v>0</v>
      </c>
      <c r="AC2698" s="117" t="str">
        <f>IF(AB2698=1,COUNTIF($AB$3:AB2698,1),"")</f>
        <v/>
      </c>
      <c r="AD2698" s="117" t="str">
        <f>IFERROR(INDEX($AA$3:$AA$10000,MATCH(ROWS($AC$3:AC2698),$AC$3:$AC$10000,0)),"")</f>
        <v/>
      </c>
      <c r="AE2698" s="117" t="str">
        <f>+'Packing Material - Cost'!A2699</f>
        <v/>
      </c>
    </row>
    <row r="2699" spans="27:31">
      <c r="AA2699" s="117">
        <f>+'Ingredient List - Mother Tinctu'!D2700</f>
        <v>0</v>
      </c>
      <c r="AB2699" s="117">
        <f t="shared" si="45"/>
        <v>0</v>
      </c>
      <c r="AC2699" s="117" t="str">
        <f>IF(AB2699=1,COUNTIF($AB$3:AB2699,1),"")</f>
        <v/>
      </c>
      <c r="AD2699" s="117" t="str">
        <f>IFERROR(INDEX($AA$3:$AA$10000,MATCH(ROWS($AC$3:AC2699),$AC$3:$AC$10000,0)),"")</f>
        <v/>
      </c>
      <c r="AE2699" s="117" t="str">
        <f>+'Packing Material - Cost'!A2700</f>
        <v/>
      </c>
    </row>
    <row r="2700" spans="27:31">
      <c r="AA2700" s="117">
        <f>+'Ingredient List - Mother Tinctu'!D2701</f>
        <v>0</v>
      </c>
      <c r="AB2700" s="117">
        <f t="shared" si="45"/>
        <v>0</v>
      </c>
      <c r="AC2700" s="117" t="str">
        <f>IF(AB2700=1,COUNTIF($AB$3:AB2700,1),"")</f>
        <v/>
      </c>
      <c r="AD2700" s="117" t="str">
        <f>IFERROR(INDEX($AA$3:$AA$10000,MATCH(ROWS($AC$3:AC2700),$AC$3:$AC$10000,0)),"")</f>
        <v/>
      </c>
      <c r="AE2700" s="117" t="str">
        <f>+'Packing Material - Cost'!A2701</f>
        <v/>
      </c>
    </row>
    <row r="2701" spans="27:31">
      <c r="AA2701" s="117">
        <f>+'Ingredient List - Mother Tinctu'!D2702</f>
        <v>0</v>
      </c>
      <c r="AB2701" s="117">
        <f t="shared" si="45"/>
        <v>0</v>
      </c>
      <c r="AC2701" s="117" t="str">
        <f>IF(AB2701=1,COUNTIF($AB$3:AB2701,1),"")</f>
        <v/>
      </c>
      <c r="AD2701" s="117" t="str">
        <f>IFERROR(INDEX($AA$3:$AA$10000,MATCH(ROWS($AC$3:AC2701),$AC$3:$AC$10000,0)),"")</f>
        <v/>
      </c>
      <c r="AE2701" s="117" t="str">
        <f>+'Packing Material - Cost'!A2702</f>
        <v/>
      </c>
    </row>
    <row r="2702" spans="27:31">
      <c r="AA2702" s="117">
        <f>+'Ingredient List - Mother Tinctu'!D2703</f>
        <v>0</v>
      </c>
      <c r="AB2702" s="117">
        <f t="shared" si="45"/>
        <v>0</v>
      </c>
      <c r="AC2702" s="117" t="str">
        <f>IF(AB2702=1,COUNTIF($AB$3:AB2702,1),"")</f>
        <v/>
      </c>
      <c r="AD2702" s="117" t="str">
        <f>IFERROR(INDEX($AA$3:$AA$10000,MATCH(ROWS($AC$3:AC2702),$AC$3:$AC$10000,0)),"")</f>
        <v/>
      </c>
      <c r="AE2702" s="117" t="str">
        <f>+'Packing Material - Cost'!A2703</f>
        <v/>
      </c>
    </row>
    <row r="2703" spans="27:31">
      <c r="AA2703" s="117">
        <f>+'Ingredient List - Mother Tinctu'!D2704</f>
        <v>0</v>
      </c>
      <c r="AB2703" s="117">
        <f t="shared" si="45"/>
        <v>0</v>
      </c>
      <c r="AC2703" s="117" t="str">
        <f>IF(AB2703=1,COUNTIF($AB$3:AB2703,1),"")</f>
        <v/>
      </c>
      <c r="AD2703" s="117" t="str">
        <f>IFERROR(INDEX($AA$3:$AA$10000,MATCH(ROWS($AC$3:AC2703),$AC$3:$AC$10000,0)),"")</f>
        <v/>
      </c>
      <c r="AE2703" s="117" t="str">
        <f>+'Packing Material - Cost'!A2704</f>
        <v/>
      </c>
    </row>
    <row r="2704" spans="27:31">
      <c r="AA2704" s="117">
        <f>+'Ingredient List - Mother Tinctu'!D2705</f>
        <v>0</v>
      </c>
      <c r="AB2704" s="117">
        <f t="shared" si="45"/>
        <v>0</v>
      </c>
      <c r="AC2704" s="117" t="str">
        <f>IF(AB2704=1,COUNTIF($AB$3:AB2704,1),"")</f>
        <v/>
      </c>
      <c r="AD2704" s="117" t="str">
        <f>IFERROR(INDEX($AA$3:$AA$10000,MATCH(ROWS($AC$3:AC2704),$AC$3:$AC$10000,0)),"")</f>
        <v/>
      </c>
      <c r="AE2704" s="117" t="str">
        <f>+'Packing Material - Cost'!A2705</f>
        <v/>
      </c>
    </row>
    <row r="2705" spans="27:31">
      <c r="AA2705" s="117">
        <f>+'Ingredient List - Mother Tinctu'!D2706</f>
        <v>0</v>
      </c>
      <c r="AB2705" s="117">
        <f t="shared" si="45"/>
        <v>0</v>
      </c>
      <c r="AC2705" s="117" t="str">
        <f>IF(AB2705=1,COUNTIF($AB$3:AB2705,1),"")</f>
        <v/>
      </c>
      <c r="AD2705" s="117" t="str">
        <f>IFERROR(INDEX($AA$3:$AA$10000,MATCH(ROWS($AC$3:AC2705),$AC$3:$AC$10000,0)),"")</f>
        <v/>
      </c>
      <c r="AE2705" s="117" t="str">
        <f>+'Packing Material - Cost'!A2706</f>
        <v/>
      </c>
    </row>
    <row r="2706" spans="27:31">
      <c r="AA2706" s="117">
        <f>+'Ingredient List - Mother Tinctu'!D2707</f>
        <v>0</v>
      </c>
      <c r="AB2706" s="117">
        <f t="shared" si="45"/>
        <v>0</v>
      </c>
      <c r="AC2706" s="117" t="str">
        <f>IF(AB2706=1,COUNTIF($AB$3:AB2706,1),"")</f>
        <v/>
      </c>
      <c r="AD2706" s="117" t="str">
        <f>IFERROR(INDEX($AA$3:$AA$10000,MATCH(ROWS($AC$3:AC2706),$AC$3:$AC$10000,0)),"")</f>
        <v/>
      </c>
      <c r="AE2706" s="117" t="str">
        <f>+'Packing Material - Cost'!A2707</f>
        <v/>
      </c>
    </row>
    <row r="2707" spans="27:31">
      <c r="AA2707" s="117">
        <f>+'Ingredient List - Mother Tinctu'!D2708</f>
        <v>0</v>
      </c>
      <c r="AB2707" s="117">
        <f t="shared" si="45"/>
        <v>0</v>
      </c>
      <c r="AC2707" s="117" t="str">
        <f>IF(AB2707=1,COUNTIF($AB$3:AB2707,1),"")</f>
        <v/>
      </c>
      <c r="AD2707" s="117" t="str">
        <f>IFERROR(INDEX($AA$3:$AA$10000,MATCH(ROWS($AC$3:AC2707),$AC$3:$AC$10000,0)),"")</f>
        <v/>
      </c>
      <c r="AE2707" s="117" t="str">
        <f>+'Packing Material - Cost'!A2708</f>
        <v/>
      </c>
    </row>
    <row r="2708" spans="27:31">
      <c r="AA2708" s="117">
        <f>+'Ingredient List - Mother Tinctu'!D2709</f>
        <v>0</v>
      </c>
      <c r="AB2708" s="117">
        <f t="shared" si="45"/>
        <v>0</v>
      </c>
      <c r="AC2708" s="117" t="str">
        <f>IF(AB2708=1,COUNTIF($AB$3:AB2708,1),"")</f>
        <v/>
      </c>
      <c r="AD2708" s="117" t="str">
        <f>IFERROR(INDEX($AA$3:$AA$10000,MATCH(ROWS($AC$3:AC2708),$AC$3:$AC$10000,0)),"")</f>
        <v/>
      </c>
      <c r="AE2708" s="117" t="str">
        <f>+'Packing Material - Cost'!A2709</f>
        <v/>
      </c>
    </row>
    <row r="2709" spans="27:31">
      <c r="AA2709" s="117">
        <f>+'Ingredient List - Mother Tinctu'!D2710</f>
        <v>0</v>
      </c>
      <c r="AB2709" s="117">
        <f t="shared" si="45"/>
        <v>0</v>
      </c>
      <c r="AC2709" s="117" t="str">
        <f>IF(AB2709=1,COUNTIF($AB$3:AB2709,1),"")</f>
        <v/>
      </c>
      <c r="AD2709" s="117" t="str">
        <f>IFERROR(INDEX($AA$3:$AA$10000,MATCH(ROWS($AC$3:AC2709),$AC$3:$AC$10000,0)),"")</f>
        <v/>
      </c>
      <c r="AE2709" s="117" t="str">
        <f>+'Packing Material - Cost'!A2710</f>
        <v/>
      </c>
    </row>
    <row r="2710" spans="27:31">
      <c r="AA2710" s="117">
        <f>+'Ingredient List - Mother Tinctu'!D2711</f>
        <v>0</v>
      </c>
      <c r="AB2710" s="117">
        <f t="shared" si="45"/>
        <v>0</v>
      </c>
      <c r="AC2710" s="117" t="str">
        <f>IF(AB2710=1,COUNTIF($AB$3:AB2710,1),"")</f>
        <v/>
      </c>
      <c r="AD2710" s="117" t="str">
        <f>IFERROR(INDEX($AA$3:$AA$10000,MATCH(ROWS($AC$3:AC2710),$AC$3:$AC$10000,0)),"")</f>
        <v/>
      </c>
      <c r="AE2710" s="117" t="str">
        <f>+'Packing Material - Cost'!A2711</f>
        <v/>
      </c>
    </row>
    <row r="2711" spans="27:31">
      <c r="AA2711" s="117">
        <f>+'Ingredient List - Mother Tinctu'!D2712</f>
        <v>0</v>
      </c>
      <c r="AB2711" s="117">
        <f t="shared" si="45"/>
        <v>0</v>
      </c>
      <c r="AC2711" s="117" t="str">
        <f>IF(AB2711=1,COUNTIF($AB$3:AB2711,1),"")</f>
        <v/>
      </c>
      <c r="AD2711" s="117" t="str">
        <f>IFERROR(INDEX($AA$3:$AA$10000,MATCH(ROWS($AC$3:AC2711),$AC$3:$AC$10000,0)),"")</f>
        <v/>
      </c>
      <c r="AE2711" s="117" t="str">
        <f>+'Packing Material - Cost'!A2712</f>
        <v/>
      </c>
    </row>
    <row r="2712" spans="27:31">
      <c r="AA2712" s="117">
        <f>+'Ingredient List - Mother Tinctu'!D2713</f>
        <v>0</v>
      </c>
      <c r="AB2712" s="117">
        <f t="shared" si="45"/>
        <v>0</v>
      </c>
      <c r="AC2712" s="117" t="str">
        <f>IF(AB2712=1,COUNTIF($AB$3:AB2712,1),"")</f>
        <v/>
      </c>
      <c r="AD2712" s="117" t="str">
        <f>IFERROR(INDEX($AA$3:$AA$10000,MATCH(ROWS($AC$3:AC2712),$AC$3:$AC$10000,0)),"")</f>
        <v/>
      </c>
      <c r="AE2712" s="117" t="str">
        <f>+'Packing Material - Cost'!A2713</f>
        <v/>
      </c>
    </row>
    <row r="2713" spans="27:31">
      <c r="AA2713" s="117">
        <f>+'Ingredient List - Mother Tinctu'!D2714</f>
        <v>0</v>
      </c>
      <c r="AB2713" s="117">
        <f t="shared" si="45"/>
        <v>0</v>
      </c>
      <c r="AC2713" s="117" t="str">
        <f>IF(AB2713=1,COUNTIF($AB$3:AB2713,1),"")</f>
        <v/>
      </c>
      <c r="AD2713" s="117" t="str">
        <f>IFERROR(INDEX($AA$3:$AA$10000,MATCH(ROWS($AC$3:AC2713),$AC$3:$AC$10000,0)),"")</f>
        <v/>
      </c>
      <c r="AE2713" s="117" t="str">
        <f>+'Packing Material - Cost'!A2714</f>
        <v/>
      </c>
    </row>
    <row r="2714" spans="27:31">
      <c r="AA2714" s="117">
        <f>+'Ingredient List - Mother Tinctu'!D2715</f>
        <v>0</v>
      </c>
      <c r="AB2714" s="117">
        <f t="shared" si="45"/>
        <v>0</v>
      </c>
      <c r="AC2714" s="117" t="str">
        <f>IF(AB2714=1,COUNTIF($AB$3:AB2714,1),"")</f>
        <v/>
      </c>
      <c r="AD2714" s="117" t="str">
        <f>IFERROR(INDEX($AA$3:$AA$10000,MATCH(ROWS($AC$3:AC2714),$AC$3:$AC$10000,0)),"")</f>
        <v/>
      </c>
      <c r="AE2714" s="117" t="str">
        <f>+'Packing Material - Cost'!A2715</f>
        <v/>
      </c>
    </row>
    <row r="2715" spans="27:31">
      <c r="AA2715" s="117">
        <f>+'Ingredient List - Mother Tinctu'!D2716</f>
        <v>0</v>
      </c>
      <c r="AB2715" s="117">
        <f t="shared" si="45"/>
        <v>0</v>
      </c>
      <c r="AC2715" s="117" t="str">
        <f>IF(AB2715=1,COUNTIF($AB$3:AB2715,1),"")</f>
        <v/>
      </c>
      <c r="AD2715" s="117" t="str">
        <f>IFERROR(INDEX($AA$3:$AA$10000,MATCH(ROWS($AC$3:AC2715),$AC$3:$AC$10000,0)),"")</f>
        <v/>
      </c>
      <c r="AE2715" s="117" t="str">
        <f>+'Packing Material - Cost'!A2716</f>
        <v/>
      </c>
    </row>
    <row r="2716" spans="27:31">
      <c r="AA2716" s="117">
        <f>+'Ingredient List - Mother Tinctu'!D2717</f>
        <v>0</v>
      </c>
      <c r="AB2716" s="117">
        <f t="shared" si="45"/>
        <v>0</v>
      </c>
      <c r="AC2716" s="117" t="str">
        <f>IF(AB2716=1,COUNTIF($AB$3:AB2716,1),"")</f>
        <v/>
      </c>
      <c r="AD2716" s="117" t="str">
        <f>IFERROR(INDEX($AA$3:$AA$10000,MATCH(ROWS($AC$3:AC2716),$AC$3:$AC$10000,0)),"")</f>
        <v/>
      </c>
      <c r="AE2716" s="117" t="str">
        <f>+'Packing Material - Cost'!A2717</f>
        <v/>
      </c>
    </row>
    <row r="2717" spans="27:31">
      <c r="AA2717" s="117">
        <f>+'Ingredient List - Mother Tinctu'!D2718</f>
        <v>0</v>
      </c>
      <c r="AB2717" s="117">
        <f t="shared" si="45"/>
        <v>0</v>
      </c>
      <c r="AC2717" s="117" t="str">
        <f>IF(AB2717=1,COUNTIF($AB$3:AB2717,1),"")</f>
        <v/>
      </c>
      <c r="AD2717" s="117" t="str">
        <f>IFERROR(INDEX($AA$3:$AA$10000,MATCH(ROWS($AC$3:AC2717),$AC$3:$AC$10000,0)),"")</f>
        <v/>
      </c>
      <c r="AE2717" s="117" t="str">
        <f>+'Packing Material - Cost'!A2718</f>
        <v/>
      </c>
    </row>
    <row r="2718" spans="27:31">
      <c r="AA2718" s="117">
        <f>+'Ingredient List - Mother Tinctu'!D2719</f>
        <v>0</v>
      </c>
      <c r="AB2718" s="117">
        <f t="shared" si="45"/>
        <v>0</v>
      </c>
      <c r="AC2718" s="117" t="str">
        <f>IF(AB2718=1,COUNTIF($AB$3:AB2718,1),"")</f>
        <v/>
      </c>
      <c r="AD2718" s="117" t="str">
        <f>IFERROR(INDEX($AA$3:$AA$10000,MATCH(ROWS($AC$3:AC2718),$AC$3:$AC$10000,0)),"")</f>
        <v/>
      </c>
      <c r="AE2718" s="117" t="str">
        <f>+'Packing Material - Cost'!A2719</f>
        <v/>
      </c>
    </row>
    <row r="2719" spans="27:31">
      <c r="AA2719" s="117">
        <f>+'Ingredient List - Mother Tinctu'!D2720</f>
        <v>0</v>
      </c>
      <c r="AB2719" s="117">
        <f t="shared" si="45"/>
        <v>0</v>
      </c>
      <c r="AC2719" s="117" t="str">
        <f>IF(AB2719=1,COUNTIF($AB$3:AB2719,1),"")</f>
        <v/>
      </c>
      <c r="AD2719" s="117" t="str">
        <f>IFERROR(INDEX($AA$3:$AA$10000,MATCH(ROWS($AC$3:AC2719),$AC$3:$AC$10000,0)),"")</f>
        <v/>
      </c>
      <c r="AE2719" s="117" t="str">
        <f>+'Packing Material - Cost'!A2720</f>
        <v/>
      </c>
    </row>
    <row r="2720" spans="27:31">
      <c r="AA2720" s="117">
        <f>+'Ingredient List - Mother Tinctu'!D2721</f>
        <v>0</v>
      </c>
      <c r="AB2720" s="117">
        <f t="shared" si="45"/>
        <v>0</v>
      </c>
      <c r="AC2720" s="117" t="str">
        <f>IF(AB2720=1,COUNTIF($AB$3:AB2720,1),"")</f>
        <v/>
      </c>
      <c r="AD2720" s="117" t="str">
        <f>IFERROR(INDEX($AA$3:$AA$10000,MATCH(ROWS($AC$3:AC2720),$AC$3:$AC$10000,0)),"")</f>
        <v/>
      </c>
      <c r="AE2720" s="117" t="str">
        <f>+'Packing Material - Cost'!A2721</f>
        <v/>
      </c>
    </row>
    <row r="2721" spans="27:31">
      <c r="AA2721" s="117">
        <f>+'Ingredient List - Mother Tinctu'!D2722</f>
        <v>0</v>
      </c>
      <c r="AB2721" s="117">
        <f t="shared" si="45"/>
        <v>0</v>
      </c>
      <c r="AC2721" s="117" t="str">
        <f>IF(AB2721=1,COUNTIF($AB$3:AB2721,1),"")</f>
        <v/>
      </c>
      <c r="AD2721" s="117" t="str">
        <f>IFERROR(INDEX($AA$3:$AA$10000,MATCH(ROWS($AC$3:AC2721),$AC$3:$AC$10000,0)),"")</f>
        <v/>
      </c>
      <c r="AE2721" s="117" t="str">
        <f>+'Packing Material - Cost'!A2722</f>
        <v/>
      </c>
    </row>
    <row r="2722" spans="27:31">
      <c r="AA2722" s="117">
        <f>+'Ingredient List - Mother Tinctu'!D2723</f>
        <v>0</v>
      </c>
      <c r="AB2722" s="117">
        <f t="shared" si="45"/>
        <v>0</v>
      </c>
      <c r="AC2722" s="117" t="str">
        <f>IF(AB2722=1,COUNTIF($AB$3:AB2722,1),"")</f>
        <v/>
      </c>
      <c r="AD2722" s="117" t="str">
        <f>IFERROR(INDEX($AA$3:$AA$10000,MATCH(ROWS($AC$3:AC2722),$AC$3:$AC$10000,0)),"")</f>
        <v/>
      </c>
      <c r="AE2722" s="117" t="str">
        <f>+'Packing Material - Cost'!A2723</f>
        <v/>
      </c>
    </row>
    <row r="2723" spans="27:31">
      <c r="AA2723" s="117">
        <f>+'Ingredient List - Mother Tinctu'!D2724</f>
        <v>0</v>
      </c>
      <c r="AB2723" s="117">
        <f t="shared" si="45"/>
        <v>0</v>
      </c>
      <c r="AC2723" s="117" t="str">
        <f>IF(AB2723=1,COUNTIF($AB$3:AB2723,1),"")</f>
        <v/>
      </c>
      <c r="AD2723" s="117" t="str">
        <f>IFERROR(INDEX($AA$3:$AA$10000,MATCH(ROWS($AC$3:AC2723),$AC$3:$AC$10000,0)),"")</f>
        <v/>
      </c>
      <c r="AE2723" s="117" t="str">
        <f>+'Packing Material - Cost'!A2724</f>
        <v/>
      </c>
    </row>
    <row r="2724" spans="27:31">
      <c r="AA2724" s="117">
        <f>+'Ingredient List - Mother Tinctu'!D2725</f>
        <v>0</v>
      </c>
      <c r="AB2724" s="117">
        <f t="shared" si="45"/>
        <v>0</v>
      </c>
      <c r="AC2724" s="117" t="str">
        <f>IF(AB2724=1,COUNTIF($AB$3:AB2724,1),"")</f>
        <v/>
      </c>
      <c r="AD2724" s="117" t="str">
        <f>IFERROR(INDEX($AA$3:$AA$10000,MATCH(ROWS($AC$3:AC2724),$AC$3:$AC$10000,0)),"")</f>
        <v/>
      </c>
      <c r="AE2724" s="117" t="str">
        <f>+'Packing Material - Cost'!A2725</f>
        <v/>
      </c>
    </row>
    <row r="2725" spans="27:31">
      <c r="AA2725" s="117">
        <f>+'Ingredient List - Mother Tinctu'!D2726</f>
        <v>0</v>
      </c>
      <c r="AB2725" s="117">
        <f t="shared" si="45"/>
        <v>0</v>
      </c>
      <c r="AC2725" s="117" t="str">
        <f>IF(AB2725=1,COUNTIF($AB$3:AB2725,1),"")</f>
        <v/>
      </c>
      <c r="AD2725" s="117" t="str">
        <f>IFERROR(INDEX($AA$3:$AA$10000,MATCH(ROWS($AC$3:AC2725),$AC$3:$AC$10000,0)),"")</f>
        <v/>
      </c>
      <c r="AE2725" s="117" t="str">
        <f>+'Packing Material - Cost'!A2726</f>
        <v/>
      </c>
    </row>
    <row r="2726" spans="27:31">
      <c r="AA2726" s="117">
        <f>+'Ingredient List - Mother Tinctu'!D2727</f>
        <v>0</v>
      </c>
      <c r="AB2726" s="117">
        <f t="shared" si="45"/>
        <v>0</v>
      </c>
      <c r="AC2726" s="117" t="str">
        <f>IF(AB2726=1,COUNTIF($AB$3:AB2726,1),"")</f>
        <v/>
      </c>
      <c r="AD2726" s="117" t="str">
        <f>IFERROR(INDEX($AA$3:$AA$10000,MATCH(ROWS($AC$3:AC2726),$AC$3:$AC$10000,0)),"")</f>
        <v/>
      </c>
      <c r="AE2726" s="117" t="str">
        <f>+'Packing Material - Cost'!A2727</f>
        <v/>
      </c>
    </row>
    <row r="2727" spans="27:31">
      <c r="AA2727" s="117">
        <f>+'Ingredient List - Mother Tinctu'!D2728</f>
        <v>0</v>
      </c>
      <c r="AB2727" s="117">
        <f t="shared" si="45"/>
        <v>0</v>
      </c>
      <c r="AC2727" s="117" t="str">
        <f>IF(AB2727=1,COUNTIF($AB$3:AB2727,1),"")</f>
        <v/>
      </c>
      <c r="AD2727" s="117" t="str">
        <f>IFERROR(INDEX($AA$3:$AA$10000,MATCH(ROWS($AC$3:AC2727),$AC$3:$AC$10000,0)),"")</f>
        <v/>
      </c>
      <c r="AE2727" s="117" t="str">
        <f>+'Packing Material - Cost'!A2728</f>
        <v/>
      </c>
    </row>
    <row r="2728" spans="27:31">
      <c r="AA2728" s="117">
        <f>+'Ingredient List - Mother Tinctu'!D2729</f>
        <v>0</v>
      </c>
      <c r="AB2728" s="117">
        <f t="shared" si="45"/>
        <v>0</v>
      </c>
      <c r="AC2728" s="117" t="str">
        <f>IF(AB2728=1,COUNTIF($AB$3:AB2728,1),"")</f>
        <v/>
      </c>
      <c r="AD2728" s="117" t="str">
        <f>IFERROR(INDEX($AA$3:$AA$10000,MATCH(ROWS($AC$3:AC2728),$AC$3:$AC$10000,0)),"")</f>
        <v/>
      </c>
      <c r="AE2728" s="117" t="str">
        <f>+'Packing Material - Cost'!A2729</f>
        <v/>
      </c>
    </row>
    <row r="2729" spans="27:31">
      <c r="AA2729" s="117">
        <f>+'Ingredient List - Mother Tinctu'!D2730</f>
        <v>0</v>
      </c>
      <c r="AB2729" s="117">
        <f t="shared" si="45"/>
        <v>0</v>
      </c>
      <c r="AC2729" s="117" t="str">
        <f>IF(AB2729=1,COUNTIF($AB$3:AB2729,1),"")</f>
        <v/>
      </c>
      <c r="AD2729" s="117" t="str">
        <f>IFERROR(INDEX($AA$3:$AA$10000,MATCH(ROWS($AC$3:AC2729),$AC$3:$AC$10000,0)),"")</f>
        <v/>
      </c>
      <c r="AE2729" s="117" t="str">
        <f>+'Packing Material - Cost'!A2730</f>
        <v/>
      </c>
    </row>
    <row r="2730" spans="27:31">
      <c r="AA2730" s="117">
        <f>+'Ingredient List - Mother Tinctu'!D2731</f>
        <v>0</v>
      </c>
      <c r="AB2730" s="117">
        <f t="shared" si="45"/>
        <v>0</v>
      </c>
      <c r="AC2730" s="117" t="str">
        <f>IF(AB2730=1,COUNTIF($AB$3:AB2730,1),"")</f>
        <v/>
      </c>
      <c r="AD2730" s="117" t="str">
        <f>IFERROR(INDEX($AA$3:$AA$10000,MATCH(ROWS($AC$3:AC2730),$AC$3:$AC$10000,0)),"")</f>
        <v/>
      </c>
      <c r="AE2730" s="117" t="str">
        <f>+'Packing Material - Cost'!A2731</f>
        <v/>
      </c>
    </row>
    <row r="2731" spans="27:31">
      <c r="AA2731" s="117">
        <f>+'Ingredient List - Mother Tinctu'!D2732</f>
        <v>0</v>
      </c>
      <c r="AB2731" s="117">
        <f t="shared" si="45"/>
        <v>0</v>
      </c>
      <c r="AC2731" s="117" t="str">
        <f>IF(AB2731=1,COUNTIF($AB$3:AB2731,1),"")</f>
        <v/>
      </c>
      <c r="AD2731" s="117" t="str">
        <f>IFERROR(INDEX($AA$3:$AA$10000,MATCH(ROWS($AC$3:AC2731),$AC$3:$AC$10000,0)),"")</f>
        <v/>
      </c>
      <c r="AE2731" s="117" t="str">
        <f>+'Packing Material - Cost'!A2732</f>
        <v/>
      </c>
    </row>
    <row r="2732" spans="27:31">
      <c r="AA2732" s="117">
        <f>+'Ingredient List - Mother Tinctu'!D2733</f>
        <v>0</v>
      </c>
      <c r="AB2732" s="117">
        <f t="shared" si="45"/>
        <v>0</v>
      </c>
      <c r="AC2732" s="117" t="str">
        <f>IF(AB2732=1,COUNTIF($AB$3:AB2732,1),"")</f>
        <v/>
      </c>
      <c r="AD2732" s="117" t="str">
        <f>IFERROR(INDEX($AA$3:$AA$10000,MATCH(ROWS($AC$3:AC2732),$AC$3:$AC$10000,0)),"")</f>
        <v/>
      </c>
      <c r="AE2732" s="117" t="str">
        <f>+'Packing Material - Cost'!A2733</f>
        <v/>
      </c>
    </row>
    <row r="2733" spans="27:31">
      <c r="AA2733" s="117">
        <f>+'Ingredient List - Mother Tinctu'!D2734</f>
        <v>0</v>
      </c>
      <c r="AB2733" s="117">
        <f t="shared" si="45"/>
        <v>0</v>
      </c>
      <c r="AC2733" s="117" t="str">
        <f>IF(AB2733=1,COUNTIF($AB$3:AB2733,1),"")</f>
        <v/>
      </c>
      <c r="AD2733" s="117" t="str">
        <f>IFERROR(INDEX($AA$3:$AA$10000,MATCH(ROWS($AC$3:AC2733),$AC$3:$AC$10000,0)),"")</f>
        <v/>
      </c>
      <c r="AE2733" s="117" t="str">
        <f>+'Packing Material - Cost'!A2734</f>
        <v/>
      </c>
    </row>
    <row r="2734" spans="27:31">
      <c r="AA2734" s="117">
        <f>+'Ingredient List - Mother Tinctu'!D2735</f>
        <v>0</v>
      </c>
      <c r="AB2734" s="117">
        <f t="shared" si="45"/>
        <v>0</v>
      </c>
      <c r="AC2734" s="117" t="str">
        <f>IF(AB2734=1,COUNTIF($AB$3:AB2734,1),"")</f>
        <v/>
      </c>
      <c r="AD2734" s="117" t="str">
        <f>IFERROR(INDEX($AA$3:$AA$10000,MATCH(ROWS($AC$3:AC2734),$AC$3:$AC$10000,0)),"")</f>
        <v/>
      </c>
      <c r="AE2734" s="117" t="str">
        <f>+'Packing Material - Cost'!A2735</f>
        <v/>
      </c>
    </row>
    <row r="2735" spans="27:31">
      <c r="AA2735" s="117">
        <f>+'Ingredient List - Mother Tinctu'!D2736</f>
        <v>0</v>
      </c>
      <c r="AB2735" s="117">
        <f t="shared" si="45"/>
        <v>0</v>
      </c>
      <c r="AC2735" s="117" t="str">
        <f>IF(AB2735=1,COUNTIF($AB$3:AB2735,1),"")</f>
        <v/>
      </c>
      <c r="AD2735" s="117" t="str">
        <f>IFERROR(INDEX($AA$3:$AA$10000,MATCH(ROWS($AC$3:AC2735),$AC$3:$AC$10000,0)),"")</f>
        <v/>
      </c>
      <c r="AE2735" s="117" t="str">
        <f>+'Packing Material - Cost'!A2736</f>
        <v/>
      </c>
    </row>
    <row r="2736" spans="27:31">
      <c r="AA2736" s="117">
        <f>+'Ingredient List - Mother Tinctu'!D2737</f>
        <v>0</v>
      </c>
      <c r="AB2736" s="117">
        <f t="shared" si="45"/>
        <v>0</v>
      </c>
      <c r="AC2736" s="117" t="str">
        <f>IF(AB2736=1,COUNTIF($AB$3:AB2736,1),"")</f>
        <v/>
      </c>
      <c r="AD2736" s="117" t="str">
        <f>IFERROR(INDEX($AA$3:$AA$10000,MATCH(ROWS($AC$3:AC2736),$AC$3:$AC$10000,0)),"")</f>
        <v/>
      </c>
      <c r="AE2736" s="117" t="str">
        <f>+'Packing Material - Cost'!A2737</f>
        <v/>
      </c>
    </row>
    <row r="2737" spans="27:31">
      <c r="AA2737" s="117">
        <f>+'Ingredient List - Mother Tinctu'!D2738</f>
        <v>0</v>
      </c>
      <c r="AB2737" s="117">
        <f t="shared" si="45"/>
        <v>0</v>
      </c>
      <c r="AC2737" s="117" t="str">
        <f>IF(AB2737=1,COUNTIF($AB$3:AB2737,1),"")</f>
        <v/>
      </c>
      <c r="AD2737" s="117" t="str">
        <f>IFERROR(INDEX($AA$3:$AA$10000,MATCH(ROWS($AC$3:AC2737),$AC$3:$AC$10000,0)),"")</f>
        <v/>
      </c>
      <c r="AE2737" s="117" t="str">
        <f>+'Packing Material - Cost'!A2738</f>
        <v/>
      </c>
    </row>
    <row r="2738" spans="27:31">
      <c r="AA2738" s="117">
        <f>+'Ingredient List - Mother Tinctu'!D2739</f>
        <v>0</v>
      </c>
      <c r="AB2738" s="117">
        <f t="shared" si="45"/>
        <v>0</v>
      </c>
      <c r="AC2738" s="117" t="str">
        <f>IF(AB2738=1,COUNTIF($AB$3:AB2738,1),"")</f>
        <v/>
      </c>
      <c r="AD2738" s="117" t="str">
        <f>IFERROR(INDEX($AA$3:$AA$10000,MATCH(ROWS($AC$3:AC2738),$AC$3:$AC$10000,0)),"")</f>
        <v/>
      </c>
      <c r="AE2738" s="117" t="str">
        <f>+'Packing Material - Cost'!A2739</f>
        <v/>
      </c>
    </row>
    <row r="2739" spans="27:31">
      <c r="AA2739" s="117">
        <f>+'Ingredient List - Mother Tinctu'!D2740</f>
        <v>0</v>
      </c>
      <c r="AB2739" s="117">
        <f t="shared" si="45"/>
        <v>0</v>
      </c>
      <c r="AC2739" s="117" t="str">
        <f>IF(AB2739=1,COUNTIF($AB$3:AB2739,1),"")</f>
        <v/>
      </c>
      <c r="AD2739" s="117" t="str">
        <f>IFERROR(INDEX($AA$3:$AA$10000,MATCH(ROWS($AC$3:AC2739),$AC$3:$AC$10000,0)),"")</f>
        <v/>
      </c>
      <c r="AE2739" s="117" t="str">
        <f>+'Packing Material - Cost'!A2740</f>
        <v/>
      </c>
    </row>
    <row r="2740" spans="27:31">
      <c r="AA2740" s="117">
        <f>+'Ingredient List - Mother Tinctu'!D2741</f>
        <v>0</v>
      </c>
      <c r="AB2740" s="117">
        <f t="shared" si="45"/>
        <v>0</v>
      </c>
      <c r="AC2740" s="117" t="str">
        <f>IF(AB2740=1,COUNTIF($AB$3:AB2740,1),"")</f>
        <v/>
      </c>
      <c r="AD2740" s="117" t="str">
        <f>IFERROR(INDEX($AA$3:$AA$10000,MATCH(ROWS($AC$3:AC2740),$AC$3:$AC$10000,0)),"")</f>
        <v/>
      </c>
      <c r="AE2740" s="117" t="str">
        <f>+'Packing Material - Cost'!A2741</f>
        <v/>
      </c>
    </row>
    <row r="2741" spans="27:31">
      <c r="AA2741" s="117">
        <f>+'Ingredient List - Mother Tinctu'!D2742</f>
        <v>0</v>
      </c>
      <c r="AB2741" s="117">
        <f t="shared" si="45"/>
        <v>0</v>
      </c>
      <c r="AC2741" s="117" t="str">
        <f>IF(AB2741=1,COUNTIF($AB$3:AB2741,1),"")</f>
        <v/>
      </c>
      <c r="AD2741" s="117" t="str">
        <f>IFERROR(INDEX($AA$3:$AA$10000,MATCH(ROWS($AC$3:AC2741),$AC$3:$AC$10000,0)),"")</f>
        <v/>
      </c>
      <c r="AE2741" s="117" t="str">
        <f>+'Packing Material - Cost'!A2742</f>
        <v/>
      </c>
    </row>
    <row r="2742" spans="27:31">
      <c r="AA2742" s="117">
        <f>+'Ingredient List - Mother Tinctu'!D2743</f>
        <v>0</v>
      </c>
      <c r="AB2742" s="117">
        <f t="shared" si="45"/>
        <v>0</v>
      </c>
      <c r="AC2742" s="117" t="str">
        <f>IF(AB2742=1,COUNTIF($AB$3:AB2742,1),"")</f>
        <v/>
      </c>
      <c r="AD2742" s="117" t="str">
        <f>IFERROR(INDEX($AA$3:$AA$10000,MATCH(ROWS($AC$3:AC2742),$AC$3:$AC$10000,0)),"")</f>
        <v/>
      </c>
      <c r="AE2742" s="117" t="str">
        <f>+'Packing Material - Cost'!A2743</f>
        <v/>
      </c>
    </row>
    <row r="2743" spans="27:31">
      <c r="AA2743" s="117">
        <f>+'Ingredient List - Mother Tinctu'!D2744</f>
        <v>0</v>
      </c>
      <c r="AB2743" s="117">
        <f t="shared" si="45"/>
        <v>0</v>
      </c>
      <c r="AC2743" s="117" t="str">
        <f>IF(AB2743=1,COUNTIF($AB$3:AB2743,1),"")</f>
        <v/>
      </c>
      <c r="AD2743" s="117" t="str">
        <f>IFERROR(INDEX($AA$3:$AA$10000,MATCH(ROWS($AC$3:AC2743),$AC$3:$AC$10000,0)),"")</f>
        <v/>
      </c>
      <c r="AE2743" s="117" t="str">
        <f>+'Packing Material - Cost'!A2744</f>
        <v/>
      </c>
    </row>
    <row r="2744" spans="27:31">
      <c r="AA2744" s="117">
        <f>+'Ingredient List - Mother Tinctu'!D2745</f>
        <v>0</v>
      </c>
      <c r="AB2744" s="117">
        <f t="shared" si="45"/>
        <v>0</v>
      </c>
      <c r="AC2744" s="117" t="str">
        <f>IF(AB2744=1,COUNTIF($AB$3:AB2744,1),"")</f>
        <v/>
      </c>
      <c r="AD2744" s="117" t="str">
        <f>IFERROR(INDEX($AA$3:$AA$10000,MATCH(ROWS($AC$3:AC2744),$AC$3:$AC$10000,0)),"")</f>
        <v/>
      </c>
      <c r="AE2744" s="117" t="str">
        <f>+'Packing Material - Cost'!A2745</f>
        <v/>
      </c>
    </row>
    <row r="2745" spans="27:31">
      <c r="AA2745" s="117">
        <f>+'Ingredient List - Mother Tinctu'!D2746</f>
        <v>0</v>
      </c>
      <c r="AB2745" s="117">
        <f t="shared" si="45"/>
        <v>0</v>
      </c>
      <c r="AC2745" s="117" t="str">
        <f>IF(AB2745=1,COUNTIF($AB$3:AB2745,1),"")</f>
        <v/>
      </c>
      <c r="AD2745" s="117" t="str">
        <f>IFERROR(INDEX($AA$3:$AA$10000,MATCH(ROWS($AC$3:AC2745),$AC$3:$AC$10000,0)),"")</f>
        <v/>
      </c>
      <c r="AE2745" s="117" t="str">
        <f>+'Packing Material - Cost'!A2746</f>
        <v/>
      </c>
    </row>
    <row r="2746" spans="27:31">
      <c r="AA2746" s="117">
        <f>+'Ingredient List - Mother Tinctu'!D2747</f>
        <v>0</v>
      </c>
      <c r="AB2746" s="117">
        <f t="shared" si="45"/>
        <v>0</v>
      </c>
      <c r="AC2746" s="117" t="str">
        <f>IF(AB2746=1,COUNTIF($AB$3:AB2746,1),"")</f>
        <v/>
      </c>
      <c r="AD2746" s="117" t="str">
        <f>IFERROR(INDEX($AA$3:$AA$10000,MATCH(ROWS($AC$3:AC2746),$AC$3:$AC$10000,0)),"")</f>
        <v/>
      </c>
      <c r="AE2746" s="117" t="str">
        <f>+'Packing Material - Cost'!A2747</f>
        <v/>
      </c>
    </row>
    <row r="2747" spans="27:31">
      <c r="AA2747" s="117">
        <f>+'Ingredient List - Mother Tinctu'!D2748</f>
        <v>0</v>
      </c>
      <c r="AB2747" s="117">
        <f t="shared" si="45"/>
        <v>0</v>
      </c>
      <c r="AC2747" s="117" t="str">
        <f>IF(AB2747=1,COUNTIF($AB$3:AB2747,1),"")</f>
        <v/>
      </c>
      <c r="AD2747" s="117" t="str">
        <f>IFERROR(INDEX($AA$3:$AA$10000,MATCH(ROWS($AC$3:AC2747),$AC$3:$AC$10000,0)),"")</f>
        <v/>
      </c>
      <c r="AE2747" s="117" t="str">
        <f>+'Packing Material - Cost'!A2748</f>
        <v/>
      </c>
    </row>
    <row r="2748" spans="27:31">
      <c r="AA2748" s="117">
        <f>+'Ingredient List - Mother Tinctu'!D2749</f>
        <v>0</v>
      </c>
      <c r="AB2748" s="117">
        <f t="shared" si="45"/>
        <v>0</v>
      </c>
      <c r="AC2748" s="117" t="str">
        <f>IF(AB2748=1,COUNTIF($AB$3:AB2748,1),"")</f>
        <v/>
      </c>
      <c r="AD2748" s="117" t="str">
        <f>IFERROR(INDEX($AA$3:$AA$10000,MATCH(ROWS($AC$3:AC2748),$AC$3:$AC$10000,0)),"")</f>
        <v/>
      </c>
      <c r="AE2748" s="117" t="str">
        <f>+'Packing Material - Cost'!A2749</f>
        <v/>
      </c>
    </row>
    <row r="2749" spans="27:31">
      <c r="AA2749" s="117">
        <f>+'Ingredient List - Mother Tinctu'!D2750</f>
        <v>0</v>
      </c>
      <c r="AB2749" s="117">
        <f t="shared" si="45"/>
        <v>0</v>
      </c>
      <c r="AC2749" s="117" t="str">
        <f>IF(AB2749=1,COUNTIF($AB$3:AB2749,1),"")</f>
        <v/>
      </c>
      <c r="AD2749" s="117" t="str">
        <f>IFERROR(INDEX($AA$3:$AA$10000,MATCH(ROWS($AC$3:AC2749),$AC$3:$AC$10000,0)),"")</f>
        <v/>
      </c>
      <c r="AE2749" s="117" t="str">
        <f>+'Packing Material - Cost'!A2750</f>
        <v/>
      </c>
    </row>
    <row r="2750" spans="27:31">
      <c r="AA2750" s="117">
        <f>+'Ingredient List - Mother Tinctu'!D2751</f>
        <v>0</v>
      </c>
      <c r="AB2750" s="117">
        <f t="shared" si="45"/>
        <v>0</v>
      </c>
      <c r="AC2750" s="117" t="str">
        <f>IF(AB2750=1,COUNTIF($AB$3:AB2750,1),"")</f>
        <v/>
      </c>
      <c r="AD2750" s="117" t="str">
        <f>IFERROR(INDEX($AA$3:$AA$10000,MATCH(ROWS($AC$3:AC2750),$AC$3:$AC$10000,0)),"")</f>
        <v/>
      </c>
      <c r="AE2750" s="117" t="str">
        <f>+'Packing Material - Cost'!A2751</f>
        <v/>
      </c>
    </row>
    <row r="2751" spans="27:31">
      <c r="AA2751" s="117">
        <f>+'Ingredient List - Mother Tinctu'!D2752</f>
        <v>0</v>
      </c>
      <c r="AB2751" s="117">
        <f t="shared" si="45"/>
        <v>0</v>
      </c>
      <c r="AC2751" s="117" t="str">
        <f>IF(AB2751=1,COUNTIF($AB$3:AB2751,1),"")</f>
        <v/>
      </c>
      <c r="AD2751" s="117" t="str">
        <f>IFERROR(INDEX($AA$3:$AA$10000,MATCH(ROWS($AC$3:AC2751),$AC$3:$AC$10000,0)),"")</f>
        <v/>
      </c>
      <c r="AE2751" s="117" t="str">
        <f>+'Packing Material - Cost'!A2752</f>
        <v/>
      </c>
    </row>
    <row r="2752" spans="27:31">
      <c r="AA2752" s="117">
        <f>+'Ingredient List - Mother Tinctu'!D2753</f>
        <v>0</v>
      </c>
      <c r="AB2752" s="117">
        <f t="shared" si="45"/>
        <v>0</v>
      </c>
      <c r="AC2752" s="117" t="str">
        <f>IF(AB2752=1,COUNTIF($AB$3:AB2752,1),"")</f>
        <v/>
      </c>
      <c r="AD2752" s="117" t="str">
        <f>IFERROR(INDEX($AA$3:$AA$10000,MATCH(ROWS($AC$3:AC2752),$AC$3:$AC$10000,0)),"")</f>
        <v/>
      </c>
      <c r="AE2752" s="117" t="str">
        <f>+'Packing Material - Cost'!A2753</f>
        <v/>
      </c>
    </row>
    <row r="2753" spans="27:31">
      <c r="AA2753" s="117">
        <f>+'Ingredient List - Mother Tinctu'!D2754</f>
        <v>0</v>
      </c>
      <c r="AB2753" s="117">
        <f t="shared" si="45"/>
        <v>0</v>
      </c>
      <c r="AC2753" s="117" t="str">
        <f>IF(AB2753=1,COUNTIF($AB$3:AB2753,1),"")</f>
        <v/>
      </c>
      <c r="AD2753" s="117" t="str">
        <f>IFERROR(INDEX($AA$3:$AA$10000,MATCH(ROWS($AC$3:AC2753),$AC$3:$AC$10000,0)),"")</f>
        <v/>
      </c>
      <c r="AE2753" s="117" t="str">
        <f>+'Packing Material - Cost'!A2754</f>
        <v/>
      </c>
    </row>
    <row r="2754" spans="27:31">
      <c r="AA2754" s="117">
        <f>+'Ingredient List - Mother Tinctu'!D2755</f>
        <v>0</v>
      </c>
      <c r="AB2754" s="117">
        <f t="shared" si="45"/>
        <v>0</v>
      </c>
      <c r="AC2754" s="117" t="str">
        <f>IF(AB2754=1,COUNTIF($AB$3:AB2754,1),"")</f>
        <v/>
      </c>
      <c r="AD2754" s="117" t="str">
        <f>IFERROR(INDEX($AA$3:$AA$10000,MATCH(ROWS($AC$3:AC2754),$AC$3:$AC$10000,0)),"")</f>
        <v/>
      </c>
      <c r="AE2754" s="117" t="str">
        <f>+'Packing Material - Cost'!A2755</f>
        <v/>
      </c>
    </row>
    <row r="2755" spans="27:31">
      <c r="AA2755" s="117">
        <f>+'Ingredient List - Mother Tinctu'!D2756</f>
        <v>0</v>
      </c>
      <c r="AB2755" s="117">
        <f t="shared" si="45"/>
        <v>0</v>
      </c>
      <c r="AC2755" s="117" t="str">
        <f>IF(AB2755=1,COUNTIF($AB$3:AB2755,1),"")</f>
        <v/>
      </c>
      <c r="AD2755" s="117" t="str">
        <f>IFERROR(INDEX($AA$3:$AA$10000,MATCH(ROWS($AC$3:AC2755),$AC$3:$AC$10000,0)),"")</f>
        <v/>
      </c>
      <c r="AE2755" s="117" t="str">
        <f>+'Packing Material - Cost'!A2756</f>
        <v/>
      </c>
    </row>
    <row r="2756" spans="27:31">
      <c r="AA2756" s="117">
        <f>+'Ingredient List - Mother Tinctu'!D2757</f>
        <v>0</v>
      </c>
      <c r="AB2756" s="117">
        <f t="shared" ref="AB2756:AB2819" si="46">--ISNUMBER(IFERROR(SEARCH($D$3,AA2756,1),""))</f>
        <v>0</v>
      </c>
      <c r="AC2756" s="117" t="str">
        <f>IF(AB2756=1,COUNTIF($AB$3:AB2756,1),"")</f>
        <v/>
      </c>
      <c r="AD2756" s="117" t="str">
        <f>IFERROR(INDEX($AA$3:$AA$10000,MATCH(ROWS($AC$3:AC2756),$AC$3:$AC$10000,0)),"")</f>
        <v/>
      </c>
      <c r="AE2756" s="117" t="str">
        <f>+'Packing Material - Cost'!A2757</f>
        <v/>
      </c>
    </row>
    <row r="2757" spans="27:31">
      <c r="AA2757" s="117">
        <f>+'Ingredient List - Mother Tinctu'!D2758</f>
        <v>0</v>
      </c>
      <c r="AB2757" s="117">
        <f t="shared" si="46"/>
        <v>0</v>
      </c>
      <c r="AC2757" s="117" t="str">
        <f>IF(AB2757=1,COUNTIF($AB$3:AB2757,1),"")</f>
        <v/>
      </c>
      <c r="AD2757" s="117" t="str">
        <f>IFERROR(INDEX($AA$3:$AA$10000,MATCH(ROWS($AC$3:AC2757),$AC$3:$AC$10000,0)),"")</f>
        <v/>
      </c>
      <c r="AE2757" s="117" t="str">
        <f>+'Packing Material - Cost'!A2758</f>
        <v/>
      </c>
    </row>
    <row r="2758" spans="27:31">
      <c r="AA2758" s="117">
        <f>+'Ingredient List - Mother Tinctu'!D2759</f>
        <v>0</v>
      </c>
      <c r="AB2758" s="117">
        <f t="shared" si="46"/>
        <v>0</v>
      </c>
      <c r="AC2758" s="117" t="str">
        <f>IF(AB2758=1,COUNTIF($AB$3:AB2758,1),"")</f>
        <v/>
      </c>
      <c r="AD2758" s="117" t="str">
        <f>IFERROR(INDEX($AA$3:$AA$10000,MATCH(ROWS($AC$3:AC2758),$AC$3:$AC$10000,0)),"")</f>
        <v/>
      </c>
      <c r="AE2758" s="117" t="str">
        <f>+'Packing Material - Cost'!A2759</f>
        <v/>
      </c>
    </row>
    <row r="2759" spans="27:31">
      <c r="AA2759" s="117">
        <f>+'Ingredient List - Mother Tinctu'!D2760</f>
        <v>0</v>
      </c>
      <c r="AB2759" s="117">
        <f t="shared" si="46"/>
        <v>0</v>
      </c>
      <c r="AC2759" s="117" t="str">
        <f>IF(AB2759=1,COUNTIF($AB$3:AB2759,1),"")</f>
        <v/>
      </c>
      <c r="AD2759" s="117" t="str">
        <f>IFERROR(INDEX($AA$3:$AA$10000,MATCH(ROWS($AC$3:AC2759),$AC$3:$AC$10000,0)),"")</f>
        <v/>
      </c>
      <c r="AE2759" s="117" t="str">
        <f>+'Packing Material - Cost'!A2760</f>
        <v/>
      </c>
    </row>
    <row r="2760" spans="27:31">
      <c r="AA2760" s="117">
        <f>+'Ingredient List - Mother Tinctu'!D2761</f>
        <v>0</v>
      </c>
      <c r="AB2760" s="117">
        <f t="shared" si="46"/>
        <v>0</v>
      </c>
      <c r="AC2760" s="117" t="str">
        <f>IF(AB2760=1,COUNTIF($AB$3:AB2760,1),"")</f>
        <v/>
      </c>
      <c r="AD2760" s="117" t="str">
        <f>IFERROR(INDEX($AA$3:$AA$10000,MATCH(ROWS($AC$3:AC2760),$AC$3:$AC$10000,0)),"")</f>
        <v/>
      </c>
      <c r="AE2760" s="117" t="str">
        <f>+'Packing Material - Cost'!A2761</f>
        <v/>
      </c>
    </row>
    <row r="2761" spans="27:31">
      <c r="AA2761" s="117">
        <f>+'Ingredient List - Mother Tinctu'!D2762</f>
        <v>0</v>
      </c>
      <c r="AB2761" s="117">
        <f t="shared" si="46"/>
        <v>0</v>
      </c>
      <c r="AC2761" s="117" t="str">
        <f>IF(AB2761=1,COUNTIF($AB$3:AB2761,1),"")</f>
        <v/>
      </c>
      <c r="AD2761" s="117" t="str">
        <f>IFERROR(INDEX($AA$3:$AA$10000,MATCH(ROWS($AC$3:AC2761),$AC$3:$AC$10000,0)),"")</f>
        <v/>
      </c>
      <c r="AE2761" s="117" t="str">
        <f>+'Packing Material - Cost'!A2762</f>
        <v/>
      </c>
    </row>
    <row r="2762" spans="27:31">
      <c r="AA2762" s="117">
        <f>+'Ingredient List - Mother Tinctu'!D2763</f>
        <v>0</v>
      </c>
      <c r="AB2762" s="117">
        <f t="shared" si="46"/>
        <v>0</v>
      </c>
      <c r="AC2762" s="117" t="str">
        <f>IF(AB2762=1,COUNTIF($AB$3:AB2762,1),"")</f>
        <v/>
      </c>
      <c r="AD2762" s="117" t="str">
        <f>IFERROR(INDEX($AA$3:$AA$10000,MATCH(ROWS($AC$3:AC2762),$AC$3:$AC$10000,0)),"")</f>
        <v/>
      </c>
      <c r="AE2762" s="117" t="str">
        <f>+'Packing Material - Cost'!A2763</f>
        <v/>
      </c>
    </row>
    <row r="2763" spans="27:31">
      <c r="AA2763" s="117">
        <f>+'Ingredient List - Mother Tinctu'!D2764</f>
        <v>0</v>
      </c>
      <c r="AB2763" s="117">
        <f t="shared" si="46"/>
        <v>0</v>
      </c>
      <c r="AC2763" s="117" t="str">
        <f>IF(AB2763=1,COUNTIF($AB$3:AB2763,1),"")</f>
        <v/>
      </c>
      <c r="AD2763" s="117" t="str">
        <f>IFERROR(INDEX($AA$3:$AA$10000,MATCH(ROWS($AC$3:AC2763),$AC$3:$AC$10000,0)),"")</f>
        <v/>
      </c>
      <c r="AE2763" s="117" t="str">
        <f>+'Packing Material - Cost'!A2764</f>
        <v/>
      </c>
    </row>
    <row r="2764" spans="27:31">
      <c r="AA2764" s="117">
        <f>+'Ingredient List - Mother Tinctu'!D2765</f>
        <v>0</v>
      </c>
      <c r="AB2764" s="117">
        <f t="shared" si="46"/>
        <v>0</v>
      </c>
      <c r="AC2764" s="117" t="str">
        <f>IF(AB2764=1,COUNTIF($AB$3:AB2764,1),"")</f>
        <v/>
      </c>
      <c r="AD2764" s="117" t="str">
        <f>IFERROR(INDEX($AA$3:$AA$10000,MATCH(ROWS($AC$3:AC2764),$AC$3:$AC$10000,0)),"")</f>
        <v/>
      </c>
      <c r="AE2764" s="117" t="str">
        <f>+'Packing Material - Cost'!A2765</f>
        <v/>
      </c>
    </row>
    <row r="2765" spans="27:31">
      <c r="AA2765" s="117">
        <f>+'Ingredient List - Mother Tinctu'!D2766</f>
        <v>0</v>
      </c>
      <c r="AB2765" s="117">
        <f t="shared" si="46"/>
        <v>0</v>
      </c>
      <c r="AC2765" s="117" t="str">
        <f>IF(AB2765=1,COUNTIF($AB$3:AB2765,1),"")</f>
        <v/>
      </c>
      <c r="AD2765" s="117" t="str">
        <f>IFERROR(INDEX($AA$3:$AA$10000,MATCH(ROWS($AC$3:AC2765),$AC$3:$AC$10000,0)),"")</f>
        <v/>
      </c>
      <c r="AE2765" s="117" t="str">
        <f>+'Packing Material - Cost'!A2766</f>
        <v/>
      </c>
    </row>
    <row r="2766" spans="27:31">
      <c r="AA2766" s="117">
        <f>+'Ingredient List - Mother Tinctu'!D2767</f>
        <v>0</v>
      </c>
      <c r="AB2766" s="117">
        <f t="shared" si="46"/>
        <v>0</v>
      </c>
      <c r="AC2766" s="117" t="str">
        <f>IF(AB2766=1,COUNTIF($AB$3:AB2766,1),"")</f>
        <v/>
      </c>
      <c r="AD2766" s="117" t="str">
        <f>IFERROR(INDEX($AA$3:$AA$10000,MATCH(ROWS($AC$3:AC2766),$AC$3:$AC$10000,0)),"")</f>
        <v/>
      </c>
      <c r="AE2766" s="117" t="str">
        <f>+'Packing Material - Cost'!A2767</f>
        <v/>
      </c>
    </row>
    <row r="2767" spans="27:31">
      <c r="AA2767" s="117">
        <f>+'Ingredient List - Mother Tinctu'!D2768</f>
        <v>0</v>
      </c>
      <c r="AB2767" s="117">
        <f t="shared" si="46"/>
        <v>0</v>
      </c>
      <c r="AC2767" s="117" t="str">
        <f>IF(AB2767=1,COUNTIF($AB$3:AB2767,1),"")</f>
        <v/>
      </c>
      <c r="AD2767" s="117" t="str">
        <f>IFERROR(INDEX($AA$3:$AA$10000,MATCH(ROWS($AC$3:AC2767),$AC$3:$AC$10000,0)),"")</f>
        <v/>
      </c>
      <c r="AE2767" s="117" t="str">
        <f>+'Packing Material - Cost'!A2768</f>
        <v/>
      </c>
    </row>
    <row r="2768" spans="27:31">
      <c r="AA2768" s="117">
        <f>+'Ingredient List - Mother Tinctu'!D2769</f>
        <v>0</v>
      </c>
      <c r="AB2768" s="117">
        <f t="shared" si="46"/>
        <v>0</v>
      </c>
      <c r="AC2768" s="117" t="str">
        <f>IF(AB2768=1,COUNTIF($AB$3:AB2768,1),"")</f>
        <v/>
      </c>
      <c r="AD2768" s="117" t="str">
        <f>IFERROR(INDEX($AA$3:$AA$10000,MATCH(ROWS($AC$3:AC2768),$AC$3:$AC$10000,0)),"")</f>
        <v/>
      </c>
      <c r="AE2768" s="117" t="str">
        <f>+'Packing Material - Cost'!A2769</f>
        <v/>
      </c>
    </row>
    <row r="2769" spans="27:31">
      <c r="AA2769" s="117">
        <f>+'Ingredient List - Mother Tinctu'!D2770</f>
        <v>0</v>
      </c>
      <c r="AB2769" s="117">
        <f t="shared" si="46"/>
        <v>0</v>
      </c>
      <c r="AC2769" s="117" t="str">
        <f>IF(AB2769=1,COUNTIF($AB$3:AB2769,1),"")</f>
        <v/>
      </c>
      <c r="AD2769" s="117" t="str">
        <f>IFERROR(INDEX($AA$3:$AA$10000,MATCH(ROWS($AC$3:AC2769),$AC$3:$AC$10000,0)),"")</f>
        <v/>
      </c>
      <c r="AE2769" s="117" t="str">
        <f>+'Packing Material - Cost'!A2770</f>
        <v/>
      </c>
    </row>
    <row r="2770" spans="27:31">
      <c r="AA2770" s="117">
        <f>+'Ingredient List - Mother Tinctu'!D2771</f>
        <v>0</v>
      </c>
      <c r="AB2770" s="117">
        <f t="shared" si="46"/>
        <v>0</v>
      </c>
      <c r="AC2770" s="117" t="str">
        <f>IF(AB2770=1,COUNTIF($AB$3:AB2770,1),"")</f>
        <v/>
      </c>
      <c r="AD2770" s="117" t="str">
        <f>IFERROR(INDEX($AA$3:$AA$10000,MATCH(ROWS($AC$3:AC2770),$AC$3:$AC$10000,0)),"")</f>
        <v/>
      </c>
      <c r="AE2770" s="117" t="str">
        <f>+'Packing Material - Cost'!A2771</f>
        <v/>
      </c>
    </row>
    <row r="2771" spans="27:31">
      <c r="AA2771" s="117">
        <f>+'Ingredient List - Mother Tinctu'!D2772</f>
        <v>0</v>
      </c>
      <c r="AB2771" s="117">
        <f t="shared" si="46"/>
        <v>0</v>
      </c>
      <c r="AC2771" s="117" t="str">
        <f>IF(AB2771=1,COUNTIF($AB$3:AB2771,1),"")</f>
        <v/>
      </c>
      <c r="AD2771" s="117" t="str">
        <f>IFERROR(INDEX($AA$3:$AA$10000,MATCH(ROWS($AC$3:AC2771),$AC$3:$AC$10000,0)),"")</f>
        <v/>
      </c>
      <c r="AE2771" s="117" t="str">
        <f>+'Packing Material - Cost'!A2772</f>
        <v/>
      </c>
    </row>
    <row r="2772" spans="27:31">
      <c r="AA2772" s="117">
        <f>+'Ingredient List - Mother Tinctu'!D2773</f>
        <v>0</v>
      </c>
      <c r="AB2772" s="117">
        <f t="shared" si="46"/>
        <v>0</v>
      </c>
      <c r="AC2772" s="117" t="str">
        <f>IF(AB2772=1,COUNTIF($AB$3:AB2772,1),"")</f>
        <v/>
      </c>
      <c r="AD2772" s="117" t="str">
        <f>IFERROR(INDEX($AA$3:$AA$10000,MATCH(ROWS($AC$3:AC2772),$AC$3:$AC$10000,0)),"")</f>
        <v/>
      </c>
      <c r="AE2772" s="117" t="str">
        <f>+'Packing Material - Cost'!A2773</f>
        <v/>
      </c>
    </row>
    <row r="2773" spans="27:31">
      <c r="AA2773" s="117">
        <f>+'Ingredient List - Mother Tinctu'!D2774</f>
        <v>0</v>
      </c>
      <c r="AB2773" s="117">
        <f t="shared" si="46"/>
        <v>0</v>
      </c>
      <c r="AC2773" s="117" t="str">
        <f>IF(AB2773=1,COUNTIF($AB$3:AB2773,1),"")</f>
        <v/>
      </c>
      <c r="AD2773" s="117" t="str">
        <f>IFERROR(INDEX($AA$3:$AA$10000,MATCH(ROWS($AC$3:AC2773),$AC$3:$AC$10000,0)),"")</f>
        <v/>
      </c>
      <c r="AE2773" s="117" t="str">
        <f>+'Packing Material - Cost'!A2774</f>
        <v/>
      </c>
    </row>
    <row r="2774" spans="27:31">
      <c r="AA2774" s="117">
        <f>+'Ingredient List - Mother Tinctu'!D2775</f>
        <v>0</v>
      </c>
      <c r="AB2774" s="117">
        <f t="shared" si="46"/>
        <v>0</v>
      </c>
      <c r="AC2774" s="117" t="str">
        <f>IF(AB2774=1,COUNTIF($AB$3:AB2774,1),"")</f>
        <v/>
      </c>
      <c r="AD2774" s="117" t="str">
        <f>IFERROR(INDEX($AA$3:$AA$10000,MATCH(ROWS($AC$3:AC2774),$AC$3:$AC$10000,0)),"")</f>
        <v/>
      </c>
      <c r="AE2774" s="117" t="str">
        <f>+'Packing Material - Cost'!A2775</f>
        <v/>
      </c>
    </row>
    <row r="2775" spans="27:31">
      <c r="AA2775" s="117">
        <f>+'Ingredient List - Mother Tinctu'!D2776</f>
        <v>0</v>
      </c>
      <c r="AB2775" s="117">
        <f t="shared" si="46"/>
        <v>0</v>
      </c>
      <c r="AC2775" s="117" t="str">
        <f>IF(AB2775=1,COUNTIF($AB$3:AB2775,1),"")</f>
        <v/>
      </c>
      <c r="AD2775" s="117" t="str">
        <f>IFERROR(INDEX($AA$3:$AA$10000,MATCH(ROWS($AC$3:AC2775),$AC$3:$AC$10000,0)),"")</f>
        <v/>
      </c>
      <c r="AE2775" s="117" t="str">
        <f>+'Packing Material - Cost'!A2776</f>
        <v/>
      </c>
    </row>
    <row r="2776" spans="27:31">
      <c r="AA2776" s="117">
        <f>+'Ingredient List - Mother Tinctu'!D2777</f>
        <v>0</v>
      </c>
      <c r="AB2776" s="117">
        <f t="shared" si="46"/>
        <v>0</v>
      </c>
      <c r="AC2776" s="117" t="str">
        <f>IF(AB2776=1,COUNTIF($AB$3:AB2776,1),"")</f>
        <v/>
      </c>
      <c r="AD2776" s="117" t="str">
        <f>IFERROR(INDEX($AA$3:$AA$10000,MATCH(ROWS($AC$3:AC2776),$AC$3:$AC$10000,0)),"")</f>
        <v/>
      </c>
      <c r="AE2776" s="117" t="str">
        <f>+'Packing Material - Cost'!A2777</f>
        <v/>
      </c>
    </row>
    <row r="2777" spans="27:31">
      <c r="AA2777" s="117">
        <f>+'Ingredient List - Mother Tinctu'!D2778</f>
        <v>0</v>
      </c>
      <c r="AB2777" s="117">
        <f t="shared" si="46"/>
        <v>0</v>
      </c>
      <c r="AC2777" s="117" t="str">
        <f>IF(AB2777=1,COUNTIF($AB$3:AB2777,1),"")</f>
        <v/>
      </c>
      <c r="AD2777" s="117" t="str">
        <f>IFERROR(INDEX($AA$3:$AA$10000,MATCH(ROWS($AC$3:AC2777),$AC$3:$AC$10000,0)),"")</f>
        <v/>
      </c>
      <c r="AE2777" s="117" t="str">
        <f>+'Packing Material - Cost'!A2778</f>
        <v/>
      </c>
    </row>
    <row r="2778" spans="27:31">
      <c r="AA2778" s="117">
        <f>+'Ingredient List - Mother Tinctu'!D2779</f>
        <v>0</v>
      </c>
      <c r="AB2778" s="117">
        <f t="shared" si="46"/>
        <v>0</v>
      </c>
      <c r="AC2778" s="117" t="str">
        <f>IF(AB2778=1,COUNTIF($AB$3:AB2778,1),"")</f>
        <v/>
      </c>
      <c r="AD2778" s="117" t="str">
        <f>IFERROR(INDEX($AA$3:$AA$10000,MATCH(ROWS($AC$3:AC2778),$AC$3:$AC$10000,0)),"")</f>
        <v/>
      </c>
      <c r="AE2778" s="117" t="str">
        <f>+'Packing Material - Cost'!A2779</f>
        <v/>
      </c>
    </row>
    <row r="2779" spans="27:31">
      <c r="AA2779" s="117">
        <f>+'Ingredient List - Mother Tinctu'!D2780</f>
        <v>0</v>
      </c>
      <c r="AB2779" s="117">
        <f t="shared" si="46"/>
        <v>0</v>
      </c>
      <c r="AC2779" s="117" t="str">
        <f>IF(AB2779=1,COUNTIF($AB$3:AB2779,1),"")</f>
        <v/>
      </c>
      <c r="AD2779" s="117" t="str">
        <f>IFERROR(INDEX($AA$3:$AA$10000,MATCH(ROWS($AC$3:AC2779),$AC$3:$AC$10000,0)),"")</f>
        <v/>
      </c>
      <c r="AE2779" s="117" t="str">
        <f>+'Packing Material - Cost'!A2780</f>
        <v/>
      </c>
    </row>
    <row r="2780" spans="27:31">
      <c r="AA2780" s="117">
        <f>+'Ingredient List - Mother Tinctu'!D2781</f>
        <v>0</v>
      </c>
      <c r="AB2780" s="117">
        <f t="shared" si="46"/>
        <v>0</v>
      </c>
      <c r="AC2780" s="117" t="str">
        <f>IF(AB2780=1,COUNTIF($AB$3:AB2780,1),"")</f>
        <v/>
      </c>
      <c r="AD2780" s="117" t="str">
        <f>IFERROR(INDEX($AA$3:$AA$10000,MATCH(ROWS($AC$3:AC2780),$AC$3:$AC$10000,0)),"")</f>
        <v/>
      </c>
      <c r="AE2780" s="117" t="str">
        <f>+'Packing Material - Cost'!A2781</f>
        <v/>
      </c>
    </row>
    <row r="2781" spans="27:31">
      <c r="AA2781" s="117">
        <f>+'Ingredient List - Mother Tinctu'!D2782</f>
        <v>0</v>
      </c>
      <c r="AB2781" s="117">
        <f t="shared" si="46"/>
        <v>0</v>
      </c>
      <c r="AC2781" s="117" t="str">
        <f>IF(AB2781=1,COUNTIF($AB$3:AB2781,1),"")</f>
        <v/>
      </c>
      <c r="AD2781" s="117" t="str">
        <f>IFERROR(INDEX($AA$3:$AA$10000,MATCH(ROWS($AC$3:AC2781),$AC$3:$AC$10000,0)),"")</f>
        <v/>
      </c>
      <c r="AE2781" s="117" t="str">
        <f>+'Packing Material - Cost'!A2782</f>
        <v/>
      </c>
    </row>
    <row r="2782" spans="27:31">
      <c r="AA2782" s="117">
        <f>+'Ingredient List - Mother Tinctu'!D2783</f>
        <v>0</v>
      </c>
      <c r="AB2782" s="117">
        <f t="shared" si="46"/>
        <v>0</v>
      </c>
      <c r="AC2782" s="117" t="str">
        <f>IF(AB2782=1,COUNTIF($AB$3:AB2782,1),"")</f>
        <v/>
      </c>
      <c r="AD2782" s="117" t="str">
        <f>IFERROR(INDEX($AA$3:$AA$10000,MATCH(ROWS($AC$3:AC2782),$AC$3:$AC$10000,0)),"")</f>
        <v/>
      </c>
      <c r="AE2782" s="117" t="str">
        <f>+'Packing Material - Cost'!A2783</f>
        <v/>
      </c>
    </row>
    <row r="2783" spans="27:31">
      <c r="AA2783" s="117">
        <f>+'Ingredient List - Mother Tinctu'!D2784</f>
        <v>0</v>
      </c>
      <c r="AB2783" s="117">
        <f t="shared" si="46"/>
        <v>0</v>
      </c>
      <c r="AC2783" s="117" t="str">
        <f>IF(AB2783=1,COUNTIF($AB$3:AB2783,1),"")</f>
        <v/>
      </c>
      <c r="AD2783" s="117" t="str">
        <f>IFERROR(INDEX($AA$3:$AA$10000,MATCH(ROWS($AC$3:AC2783),$AC$3:$AC$10000,0)),"")</f>
        <v/>
      </c>
      <c r="AE2783" s="117" t="str">
        <f>+'Packing Material - Cost'!A2784</f>
        <v/>
      </c>
    </row>
    <row r="2784" spans="27:31">
      <c r="AA2784" s="117">
        <f>+'Ingredient List - Mother Tinctu'!D2785</f>
        <v>0</v>
      </c>
      <c r="AB2784" s="117">
        <f t="shared" si="46"/>
        <v>0</v>
      </c>
      <c r="AC2784" s="117" t="str">
        <f>IF(AB2784=1,COUNTIF($AB$3:AB2784,1),"")</f>
        <v/>
      </c>
      <c r="AD2784" s="117" t="str">
        <f>IFERROR(INDEX($AA$3:$AA$10000,MATCH(ROWS($AC$3:AC2784),$AC$3:$AC$10000,0)),"")</f>
        <v/>
      </c>
      <c r="AE2784" s="117" t="str">
        <f>+'Packing Material - Cost'!A2785</f>
        <v/>
      </c>
    </row>
    <row r="2785" spans="27:31">
      <c r="AA2785" s="117">
        <f>+'Ingredient List - Mother Tinctu'!D2786</f>
        <v>0</v>
      </c>
      <c r="AB2785" s="117">
        <f t="shared" si="46"/>
        <v>0</v>
      </c>
      <c r="AC2785" s="117" t="str">
        <f>IF(AB2785=1,COUNTIF($AB$3:AB2785,1),"")</f>
        <v/>
      </c>
      <c r="AD2785" s="117" t="str">
        <f>IFERROR(INDEX($AA$3:$AA$10000,MATCH(ROWS($AC$3:AC2785),$AC$3:$AC$10000,0)),"")</f>
        <v/>
      </c>
      <c r="AE2785" s="117" t="str">
        <f>+'Packing Material - Cost'!A2786</f>
        <v/>
      </c>
    </row>
    <row r="2786" spans="27:31">
      <c r="AA2786" s="117">
        <f>+'Ingredient List - Mother Tinctu'!D2787</f>
        <v>0</v>
      </c>
      <c r="AB2786" s="117">
        <f t="shared" si="46"/>
        <v>0</v>
      </c>
      <c r="AC2786" s="117" t="str">
        <f>IF(AB2786=1,COUNTIF($AB$3:AB2786,1),"")</f>
        <v/>
      </c>
      <c r="AD2786" s="117" t="str">
        <f>IFERROR(INDEX($AA$3:$AA$10000,MATCH(ROWS($AC$3:AC2786),$AC$3:$AC$10000,0)),"")</f>
        <v/>
      </c>
      <c r="AE2786" s="117" t="str">
        <f>+'Packing Material - Cost'!A2787</f>
        <v/>
      </c>
    </row>
    <row r="2787" spans="27:31">
      <c r="AA2787" s="117">
        <f>+'Ingredient List - Mother Tinctu'!D2788</f>
        <v>0</v>
      </c>
      <c r="AB2787" s="117">
        <f t="shared" si="46"/>
        <v>0</v>
      </c>
      <c r="AC2787" s="117" t="str">
        <f>IF(AB2787=1,COUNTIF($AB$3:AB2787,1),"")</f>
        <v/>
      </c>
      <c r="AD2787" s="117" t="str">
        <f>IFERROR(INDEX($AA$3:$AA$10000,MATCH(ROWS($AC$3:AC2787),$AC$3:$AC$10000,0)),"")</f>
        <v/>
      </c>
      <c r="AE2787" s="117" t="str">
        <f>+'Packing Material - Cost'!A2788</f>
        <v/>
      </c>
    </row>
    <row r="2788" spans="27:31">
      <c r="AA2788" s="117">
        <f>+'Ingredient List - Mother Tinctu'!D2789</f>
        <v>0</v>
      </c>
      <c r="AB2788" s="117">
        <f t="shared" si="46"/>
        <v>0</v>
      </c>
      <c r="AC2788" s="117" t="str">
        <f>IF(AB2788=1,COUNTIF($AB$3:AB2788,1),"")</f>
        <v/>
      </c>
      <c r="AD2788" s="117" t="str">
        <f>IFERROR(INDEX($AA$3:$AA$10000,MATCH(ROWS($AC$3:AC2788),$AC$3:$AC$10000,0)),"")</f>
        <v/>
      </c>
      <c r="AE2788" s="117" t="str">
        <f>+'Packing Material - Cost'!A2789</f>
        <v/>
      </c>
    </row>
    <row r="2789" spans="27:31">
      <c r="AA2789" s="117">
        <f>+'Ingredient List - Mother Tinctu'!D2790</f>
        <v>0</v>
      </c>
      <c r="AB2789" s="117">
        <f t="shared" si="46"/>
        <v>0</v>
      </c>
      <c r="AC2789" s="117" t="str">
        <f>IF(AB2789=1,COUNTIF($AB$3:AB2789,1),"")</f>
        <v/>
      </c>
      <c r="AD2789" s="117" t="str">
        <f>IFERROR(INDEX($AA$3:$AA$10000,MATCH(ROWS($AC$3:AC2789),$AC$3:$AC$10000,0)),"")</f>
        <v/>
      </c>
      <c r="AE2789" s="117" t="str">
        <f>+'Packing Material - Cost'!A2790</f>
        <v/>
      </c>
    </row>
    <row r="2790" spans="27:31">
      <c r="AA2790" s="117">
        <f>+'Ingredient List - Mother Tinctu'!D2791</f>
        <v>0</v>
      </c>
      <c r="AB2790" s="117">
        <f t="shared" si="46"/>
        <v>0</v>
      </c>
      <c r="AC2790" s="117" t="str">
        <f>IF(AB2790=1,COUNTIF($AB$3:AB2790,1),"")</f>
        <v/>
      </c>
      <c r="AD2790" s="117" t="str">
        <f>IFERROR(INDEX($AA$3:$AA$10000,MATCH(ROWS($AC$3:AC2790),$AC$3:$AC$10000,0)),"")</f>
        <v/>
      </c>
      <c r="AE2790" s="117" t="str">
        <f>+'Packing Material - Cost'!A2791</f>
        <v/>
      </c>
    </row>
    <row r="2791" spans="27:31">
      <c r="AA2791" s="117">
        <f>+'Ingredient List - Mother Tinctu'!D2792</f>
        <v>0</v>
      </c>
      <c r="AB2791" s="117">
        <f t="shared" si="46"/>
        <v>0</v>
      </c>
      <c r="AC2791" s="117" t="str">
        <f>IF(AB2791=1,COUNTIF($AB$3:AB2791,1),"")</f>
        <v/>
      </c>
      <c r="AD2791" s="117" t="str">
        <f>IFERROR(INDEX($AA$3:$AA$10000,MATCH(ROWS($AC$3:AC2791),$AC$3:$AC$10000,0)),"")</f>
        <v/>
      </c>
      <c r="AE2791" s="117" t="str">
        <f>+'Packing Material - Cost'!A2792</f>
        <v/>
      </c>
    </row>
    <row r="2792" spans="27:31">
      <c r="AA2792" s="117">
        <f>+'Ingredient List - Mother Tinctu'!D2793</f>
        <v>0</v>
      </c>
      <c r="AB2792" s="117">
        <f t="shared" si="46"/>
        <v>0</v>
      </c>
      <c r="AC2792" s="117" t="str">
        <f>IF(AB2792=1,COUNTIF($AB$3:AB2792,1),"")</f>
        <v/>
      </c>
      <c r="AD2792" s="117" t="str">
        <f>IFERROR(INDEX($AA$3:$AA$10000,MATCH(ROWS($AC$3:AC2792),$AC$3:$AC$10000,0)),"")</f>
        <v/>
      </c>
      <c r="AE2792" s="117" t="str">
        <f>+'Packing Material - Cost'!A2793</f>
        <v/>
      </c>
    </row>
    <row r="2793" spans="27:31">
      <c r="AA2793" s="117">
        <f>+'Ingredient List - Mother Tinctu'!D2794</f>
        <v>0</v>
      </c>
      <c r="AB2793" s="117">
        <f t="shared" si="46"/>
        <v>0</v>
      </c>
      <c r="AC2793" s="117" t="str">
        <f>IF(AB2793=1,COUNTIF($AB$3:AB2793,1),"")</f>
        <v/>
      </c>
      <c r="AD2793" s="117" t="str">
        <f>IFERROR(INDEX($AA$3:$AA$10000,MATCH(ROWS($AC$3:AC2793),$AC$3:$AC$10000,0)),"")</f>
        <v/>
      </c>
      <c r="AE2793" s="117" t="str">
        <f>+'Packing Material - Cost'!A2794</f>
        <v/>
      </c>
    </row>
    <row r="2794" spans="27:31">
      <c r="AA2794" s="117">
        <f>+'Ingredient List - Mother Tinctu'!D2795</f>
        <v>0</v>
      </c>
      <c r="AB2794" s="117">
        <f t="shared" si="46"/>
        <v>0</v>
      </c>
      <c r="AC2794" s="117" t="str">
        <f>IF(AB2794=1,COUNTIF($AB$3:AB2794,1),"")</f>
        <v/>
      </c>
      <c r="AD2794" s="117" t="str">
        <f>IFERROR(INDEX($AA$3:$AA$10000,MATCH(ROWS($AC$3:AC2794),$AC$3:$AC$10000,0)),"")</f>
        <v/>
      </c>
      <c r="AE2794" s="117" t="str">
        <f>+'Packing Material - Cost'!A2795</f>
        <v/>
      </c>
    </row>
    <row r="2795" spans="27:31">
      <c r="AA2795" s="117">
        <f>+'Ingredient List - Mother Tinctu'!D2796</f>
        <v>0</v>
      </c>
      <c r="AB2795" s="117">
        <f t="shared" si="46"/>
        <v>0</v>
      </c>
      <c r="AC2795" s="117" t="str">
        <f>IF(AB2795=1,COUNTIF($AB$3:AB2795,1),"")</f>
        <v/>
      </c>
      <c r="AD2795" s="117" t="str">
        <f>IFERROR(INDEX($AA$3:$AA$10000,MATCH(ROWS($AC$3:AC2795),$AC$3:$AC$10000,0)),"")</f>
        <v/>
      </c>
      <c r="AE2795" s="117" t="str">
        <f>+'Packing Material - Cost'!A2796</f>
        <v/>
      </c>
    </row>
    <row r="2796" spans="27:31">
      <c r="AA2796" s="117">
        <f>+'Ingredient List - Mother Tinctu'!D2797</f>
        <v>0</v>
      </c>
      <c r="AB2796" s="117">
        <f t="shared" si="46"/>
        <v>0</v>
      </c>
      <c r="AC2796" s="117" t="str">
        <f>IF(AB2796=1,COUNTIF($AB$3:AB2796,1),"")</f>
        <v/>
      </c>
      <c r="AD2796" s="117" t="str">
        <f>IFERROR(INDEX($AA$3:$AA$10000,MATCH(ROWS($AC$3:AC2796),$AC$3:$AC$10000,0)),"")</f>
        <v/>
      </c>
      <c r="AE2796" s="117" t="str">
        <f>+'Packing Material - Cost'!A2797</f>
        <v/>
      </c>
    </row>
    <row r="2797" spans="27:31">
      <c r="AA2797" s="117">
        <f>+'Ingredient List - Mother Tinctu'!D2798</f>
        <v>0</v>
      </c>
      <c r="AB2797" s="117">
        <f t="shared" si="46"/>
        <v>0</v>
      </c>
      <c r="AC2797" s="117" t="str">
        <f>IF(AB2797=1,COUNTIF($AB$3:AB2797,1),"")</f>
        <v/>
      </c>
      <c r="AD2797" s="117" t="str">
        <f>IFERROR(INDEX($AA$3:$AA$10000,MATCH(ROWS($AC$3:AC2797),$AC$3:$AC$10000,0)),"")</f>
        <v/>
      </c>
      <c r="AE2797" s="117" t="str">
        <f>+'Packing Material - Cost'!A2798</f>
        <v/>
      </c>
    </row>
    <row r="2798" spans="27:31">
      <c r="AA2798" s="117">
        <f>+'Ingredient List - Mother Tinctu'!D2799</f>
        <v>0</v>
      </c>
      <c r="AB2798" s="117">
        <f t="shared" si="46"/>
        <v>0</v>
      </c>
      <c r="AC2798" s="117" t="str">
        <f>IF(AB2798=1,COUNTIF($AB$3:AB2798,1),"")</f>
        <v/>
      </c>
      <c r="AD2798" s="117" t="str">
        <f>IFERROR(INDEX($AA$3:$AA$10000,MATCH(ROWS($AC$3:AC2798),$AC$3:$AC$10000,0)),"")</f>
        <v/>
      </c>
      <c r="AE2798" s="117" t="str">
        <f>+'Packing Material - Cost'!A2799</f>
        <v/>
      </c>
    </row>
    <row r="2799" spans="27:31">
      <c r="AA2799" s="117">
        <f>+'Ingredient List - Mother Tinctu'!D2800</f>
        <v>0</v>
      </c>
      <c r="AB2799" s="117">
        <f t="shared" si="46"/>
        <v>0</v>
      </c>
      <c r="AC2799" s="117" t="str">
        <f>IF(AB2799=1,COUNTIF($AB$3:AB2799,1),"")</f>
        <v/>
      </c>
      <c r="AD2799" s="117" t="str">
        <f>IFERROR(INDEX($AA$3:$AA$10000,MATCH(ROWS($AC$3:AC2799),$AC$3:$AC$10000,0)),"")</f>
        <v/>
      </c>
      <c r="AE2799" s="117" t="str">
        <f>+'Packing Material - Cost'!A2800</f>
        <v/>
      </c>
    </row>
    <row r="2800" spans="27:31">
      <c r="AA2800" s="117">
        <f>+'Ingredient List - Mother Tinctu'!D2801</f>
        <v>0</v>
      </c>
      <c r="AB2800" s="117">
        <f t="shared" si="46"/>
        <v>0</v>
      </c>
      <c r="AC2800" s="117" t="str">
        <f>IF(AB2800=1,COUNTIF($AB$3:AB2800,1),"")</f>
        <v/>
      </c>
      <c r="AD2800" s="117" t="str">
        <f>IFERROR(INDEX($AA$3:$AA$10000,MATCH(ROWS($AC$3:AC2800),$AC$3:$AC$10000,0)),"")</f>
        <v/>
      </c>
      <c r="AE2800" s="117" t="str">
        <f>+'Packing Material - Cost'!A2801</f>
        <v/>
      </c>
    </row>
    <row r="2801" spans="27:31">
      <c r="AA2801" s="117">
        <f>+'Ingredient List - Mother Tinctu'!D2802</f>
        <v>0</v>
      </c>
      <c r="AB2801" s="117">
        <f t="shared" si="46"/>
        <v>0</v>
      </c>
      <c r="AC2801" s="117" t="str">
        <f>IF(AB2801=1,COUNTIF($AB$3:AB2801,1),"")</f>
        <v/>
      </c>
      <c r="AD2801" s="117" t="str">
        <f>IFERROR(INDEX($AA$3:$AA$10000,MATCH(ROWS($AC$3:AC2801),$AC$3:$AC$10000,0)),"")</f>
        <v/>
      </c>
      <c r="AE2801" s="117" t="str">
        <f>+'Packing Material - Cost'!A2802</f>
        <v/>
      </c>
    </row>
    <row r="2802" spans="27:31">
      <c r="AA2802" s="117">
        <f>+'Ingredient List - Mother Tinctu'!D2803</f>
        <v>0</v>
      </c>
      <c r="AB2802" s="117">
        <f t="shared" si="46"/>
        <v>0</v>
      </c>
      <c r="AC2802" s="117" t="str">
        <f>IF(AB2802=1,COUNTIF($AB$3:AB2802,1),"")</f>
        <v/>
      </c>
      <c r="AD2802" s="117" t="str">
        <f>IFERROR(INDEX($AA$3:$AA$10000,MATCH(ROWS($AC$3:AC2802),$AC$3:$AC$10000,0)),"")</f>
        <v/>
      </c>
      <c r="AE2802" s="117" t="str">
        <f>+'Packing Material - Cost'!A2803</f>
        <v/>
      </c>
    </row>
    <row r="2803" spans="27:31">
      <c r="AA2803" s="117">
        <f>+'Ingredient List - Mother Tinctu'!D2804</f>
        <v>0</v>
      </c>
      <c r="AB2803" s="117">
        <f t="shared" si="46"/>
        <v>0</v>
      </c>
      <c r="AC2803" s="117" t="str">
        <f>IF(AB2803=1,COUNTIF($AB$3:AB2803,1),"")</f>
        <v/>
      </c>
      <c r="AD2803" s="117" t="str">
        <f>IFERROR(INDEX($AA$3:$AA$10000,MATCH(ROWS($AC$3:AC2803),$AC$3:$AC$10000,0)),"")</f>
        <v/>
      </c>
      <c r="AE2803" s="117" t="str">
        <f>+'Packing Material - Cost'!A2804</f>
        <v/>
      </c>
    </row>
    <row r="2804" spans="27:31">
      <c r="AA2804" s="117">
        <f>+'Ingredient List - Mother Tinctu'!D2805</f>
        <v>0</v>
      </c>
      <c r="AB2804" s="117">
        <f t="shared" si="46"/>
        <v>0</v>
      </c>
      <c r="AC2804" s="117" t="str">
        <f>IF(AB2804=1,COUNTIF($AB$3:AB2804,1),"")</f>
        <v/>
      </c>
      <c r="AD2804" s="117" t="str">
        <f>IFERROR(INDEX($AA$3:$AA$10000,MATCH(ROWS($AC$3:AC2804),$AC$3:$AC$10000,0)),"")</f>
        <v/>
      </c>
      <c r="AE2804" s="117" t="str">
        <f>+'Packing Material - Cost'!A2805</f>
        <v/>
      </c>
    </row>
    <row r="2805" spans="27:31">
      <c r="AA2805" s="117">
        <f>+'Ingredient List - Mother Tinctu'!D2806</f>
        <v>0</v>
      </c>
      <c r="AB2805" s="117">
        <f t="shared" si="46"/>
        <v>0</v>
      </c>
      <c r="AC2805" s="117" t="str">
        <f>IF(AB2805=1,COUNTIF($AB$3:AB2805,1),"")</f>
        <v/>
      </c>
      <c r="AD2805" s="117" t="str">
        <f>IFERROR(INDEX($AA$3:$AA$10000,MATCH(ROWS($AC$3:AC2805),$AC$3:$AC$10000,0)),"")</f>
        <v/>
      </c>
      <c r="AE2805" s="117" t="str">
        <f>+'Packing Material - Cost'!A2806</f>
        <v/>
      </c>
    </row>
    <row r="2806" spans="27:31">
      <c r="AA2806" s="117">
        <f>+'Ingredient List - Mother Tinctu'!D2807</f>
        <v>0</v>
      </c>
      <c r="AB2806" s="117">
        <f t="shared" si="46"/>
        <v>0</v>
      </c>
      <c r="AC2806" s="117" t="str">
        <f>IF(AB2806=1,COUNTIF($AB$3:AB2806,1),"")</f>
        <v/>
      </c>
      <c r="AD2806" s="117" t="str">
        <f>IFERROR(INDEX($AA$3:$AA$10000,MATCH(ROWS($AC$3:AC2806),$AC$3:$AC$10000,0)),"")</f>
        <v/>
      </c>
      <c r="AE2806" s="117" t="str">
        <f>+'Packing Material - Cost'!A2807</f>
        <v/>
      </c>
    </row>
    <row r="2807" spans="27:31">
      <c r="AA2807" s="117">
        <f>+'Ingredient List - Mother Tinctu'!D2808</f>
        <v>0</v>
      </c>
      <c r="AB2807" s="117">
        <f t="shared" si="46"/>
        <v>0</v>
      </c>
      <c r="AC2807" s="117" t="str">
        <f>IF(AB2807=1,COUNTIF($AB$3:AB2807,1),"")</f>
        <v/>
      </c>
      <c r="AD2807" s="117" t="str">
        <f>IFERROR(INDEX($AA$3:$AA$10000,MATCH(ROWS($AC$3:AC2807),$AC$3:$AC$10000,0)),"")</f>
        <v/>
      </c>
      <c r="AE2807" s="117" t="str">
        <f>+'Packing Material - Cost'!A2808</f>
        <v/>
      </c>
    </row>
    <row r="2808" spans="27:31">
      <c r="AA2808" s="117">
        <f>+'Ingredient List - Mother Tinctu'!D2809</f>
        <v>0</v>
      </c>
      <c r="AB2808" s="117">
        <f t="shared" si="46"/>
        <v>0</v>
      </c>
      <c r="AC2808" s="117" t="str">
        <f>IF(AB2808=1,COUNTIF($AB$3:AB2808,1),"")</f>
        <v/>
      </c>
      <c r="AD2808" s="117" t="str">
        <f>IFERROR(INDEX($AA$3:$AA$10000,MATCH(ROWS($AC$3:AC2808),$AC$3:$AC$10000,0)),"")</f>
        <v/>
      </c>
      <c r="AE2808" s="117" t="str">
        <f>+'Packing Material - Cost'!A2809</f>
        <v/>
      </c>
    </row>
    <row r="2809" spans="27:31">
      <c r="AA2809" s="117">
        <f>+'Ingredient List - Mother Tinctu'!D2810</f>
        <v>0</v>
      </c>
      <c r="AB2809" s="117">
        <f t="shared" si="46"/>
        <v>0</v>
      </c>
      <c r="AC2809" s="117" t="str">
        <f>IF(AB2809=1,COUNTIF($AB$3:AB2809,1),"")</f>
        <v/>
      </c>
      <c r="AD2809" s="117" t="str">
        <f>IFERROR(INDEX($AA$3:$AA$10000,MATCH(ROWS($AC$3:AC2809),$AC$3:$AC$10000,0)),"")</f>
        <v/>
      </c>
      <c r="AE2809" s="117" t="str">
        <f>+'Packing Material - Cost'!A2810</f>
        <v/>
      </c>
    </row>
    <row r="2810" spans="27:31">
      <c r="AA2810" s="117">
        <f>+'Ingredient List - Mother Tinctu'!D2811</f>
        <v>0</v>
      </c>
      <c r="AB2810" s="117">
        <f t="shared" si="46"/>
        <v>0</v>
      </c>
      <c r="AC2810" s="117" t="str">
        <f>IF(AB2810=1,COUNTIF($AB$3:AB2810,1),"")</f>
        <v/>
      </c>
      <c r="AD2810" s="117" t="str">
        <f>IFERROR(INDEX($AA$3:$AA$10000,MATCH(ROWS($AC$3:AC2810),$AC$3:$AC$10000,0)),"")</f>
        <v/>
      </c>
      <c r="AE2810" s="117" t="str">
        <f>+'Packing Material - Cost'!A2811</f>
        <v/>
      </c>
    </row>
    <row r="2811" spans="27:31">
      <c r="AA2811" s="117">
        <f>+'Ingredient List - Mother Tinctu'!D2812</f>
        <v>0</v>
      </c>
      <c r="AB2811" s="117">
        <f t="shared" si="46"/>
        <v>0</v>
      </c>
      <c r="AC2811" s="117" t="str">
        <f>IF(AB2811=1,COUNTIF($AB$3:AB2811,1),"")</f>
        <v/>
      </c>
      <c r="AD2811" s="117" t="str">
        <f>IFERROR(INDEX($AA$3:$AA$10000,MATCH(ROWS($AC$3:AC2811),$AC$3:$AC$10000,0)),"")</f>
        <v/>
      </c>
      <c r="AE2811" s="117" t="str">
        <f>+'Packing Material - Cost'!A2812</f>
        <v/>
      </c>
    </row>
    <row r="2812" spans="27:31">
      <c r="AA2812" s="117">
        <f>+'Ingredient List - Mother Tinctu'!D2813</f>
        <v>0</v>
      </c>
      <c r="AB2812" s="117">
        <f t="shared" si="46"/>
        <v>0</v>
      </c>
      <c r="AC2812" s="117" t="str">
        <f>IF(AB2812=1,COUNTIF($AB$3:AB2812,1),"")</f>
        <v/>
      </c>
      <c r="AD2812" s="117" t="str">
        <f>IFERROR(INDEX($AA$3:$AA$10000,MATCH(ROWS($AC$3:AC2812),$AC$3:$AC$10000,0)),"")</f>
        <v/>
      </c>
      <c r="AE2812" s="117" t="str">
        <f>+'Packing Material - Cost'!A2813</f>
        <v/>
      </c>
    </row>
    <row r="2813" spans="27:31">
      <c r="AA2813" s="117">
        <f>+'Ingredient List - Mother Tinctu'!D2814</f>
        <v>0</v>
      </c>
      <c r="AB2813" s="117">
        <f t="shared" si="46"/>
        <v>0</v>
      </c>
      <c r="AC2813" s="117" t="str">
        <f>IF(AB2813=1,COUNTIF($AB$3:AB2813,1),"")</f>
        <v/>
      </c>
      <c r="AD2813" s="117" t="str">
        <f>IFERROR(INDEX($AA$3:$AA$10000,MATCH(ROWS($AC$3:AC2813),$AC$3:$AC$10000,0)),"")</f>
        <v/>
      </c>
      <c r="AE2813" s="117" t="str">
        <f>+'Packing Material - Cost'!A2814</f>
        <v/>
      </c>
    </row>
    <row r="2814" spans="27:31">
      <c r="AA2814" s="117">
        <f>+'Ingredient List - Mother Tinctu'!D2815</f>
        <v>0</v>
      </c>
      <c r="AB2814" s="117">
        <f t="shared" si="46"/>
        <v>0</v>
      </c>
      <c r="AC2814" s="117" t="str">
        <f>IF(AB2814=1,COUNTIF($AB$3:AB2814,1),"")</f>
        <v/>
      </c>
      <c r="AD2814" s="117" t="str">
        <f>IFERROR(INDEX($AA$3:$AA$10000,MATCH(ROWS($AC$3:AC2814),$AC$3:$AC$10000,0)),"")</f>
        <v/>
      </c>
      <c r="AE2814" s="117" t="str">
        <f>+'Packing Material - Cost'!A2815</f>
        <v/>
      </c>
    </row>
    <row r="2815" spans="27:31">
      <c r="AA2815" s="117">
        <f>+'Ingredient List - Mother Tinctu'!D2816</f>
        <v>0</v>
      </c>
      <c r="AB2815" s="117">
        <f t="shared" si="46"/>
        <v>0</v>
      </c>
      <c r="AC2815" s="117" t="str">
        <f>IF(AB2815=1,COUNTIF($AB$3:AB2815,1),"")</f>
        <v/>
      </c>
      <c r="AD2815" s="117" t="str">
        <f>IFERROR(INDEX($AA$3:$AA$10000,MATCH(ROWS($AC$3:AC2815),$AC$3:$AC$10000,0)),"")</f>
        <v/>
      </c>
      <c r="AE2815" s="117" t="str">
        <f>+'Packing Material - Cost'!A2816</f>
        <v/>
      </c>
    </row>
    <row r="2816" spans="27:31">
      <c r="AA2816" s="117">
        <f>+'Ingredient List - Mother Tinctu'!D2817</f>
        <v>0</v>
      </c>
      <c r="AB2816" s="117">
        <f t="shared" si="46"/>
        <v>0</v>
      </c>
      <c r="AC2816" s="117" t="str">
        <f>IF(AB2816=1,COUNTIF($AB$3:AB2816,1),"")</f>
        <v/>
      </c>
      <c r="AD2816" s="117" t="str">
        <f>IFERROR(INDEX($AA$3:$AA$10000,MATCH(ROWS($AC$3:AC2816),$AC$3:$AC$10000,0)),"")</f>
        <v/>
      </c>
      <c r="AE2816" s="117" t="str">
        <f>+'Packing Material - Cost'!A2817</f>
        <v/>
      </c>
    </row>
    <row r="2817" spans="27:31">
      <c r="AA2817" s="117">
        <f>+'Ingredient List - Mother Tinctu'!D2818</f>
        <v>0</v>
      </c>
      <c r="AB2817" s="117">
        <f t="shared" si="46"/>
        <v>0</v>
      </c>
      <c r="AC2817" s="117" t="str">
        <f>IF(AB2817=1,COUNTIF($AB$3:AB2817,1),"")</f>
        <v/>
      </c>
      <c r="AD2817" s="117" t="str">
        <f>IFERROR(INDEX($AA$3:$AA$10000,MATCH(ROWS($AC$3:AC2817),$AC$3:$AC$10000,0)),"")</f>
        <v/>
      </c>
      <c r="AE2817" s="117" t="str">
        <f>+'Packing Material - Cost'!A2818</f>
        <v/>
      </c>
    </row>
    <row r="2818" spans="27:31">
      <c r="AA2818" s="117">
        <f>+'Ingredient List - Mother Tinctu'!D2819</f>
        <v>0</v>
      </c>
      <c r="AB2818" s="117">
        <f t="shared" si="46"/>
        <v>0</v>
      </c>
      <c r="AC2818" s="117" t="str">
        <f>IF(AB2818=1,COUNTIF($AB$3:AB2818,1),"")</f>
        <v/>
      </c>
      <c r="AD2818" s="117" t="str">
        <f>IFERROR(INDEX($AA$3:$AA$10000,MATCH(ROWS($AC$3:AC2818),$AC$3:$AC$10000,0)),"")</f>
        <v/>
      </c>
      <c r="AE2818" s="117" t="str">
        <f>+'Packing Material - Cost'!A2819</f>
        <v/>
      </c>
    </row>
    <row r="2819" spans="27:31">
      <c r="AA2819" s="117">
        <f>+'Ingredient List - Mother Tinctu'!D2820</f>
        <v>0</v>
      </c>
      <c r="AB2819" s="117">
        <f t="shared" si="46"/>
        <v>0</v>
      </c>
      <c r="AC2819" s="117" t="str">
        <f>IF(AB2819=1,COUNTIF($AB$3:AB2819,1),"")</f>
        <v/>
      </c>
      <c r="AD2819" s="117" t="str">
        <f>IFERROR(INDEX($AA$3:$AA$10000,MATCH(ROWS($AC$3:AC2819),$AC$3:$AC$10000,0)),"")</f>
        <v/>
      </c>
      <c r="AE2819" s="117" t="str">
        <f>+'Packing Material - Cost'!A2820</f>
        <v/>
      </c>
    </row>
    <row r="2820" spans="27:31">
      <c r="AA2820" s="117">
        <f>+'Ingredient List - Mother Tinctu'!D2821</f>
        <v>0</v>
      </c>
      <c r="AB2820" s="117">
        <f t="shared" ref="AB2820:AB2883" si="47">--ISNUMBER(IFERROR(SEARCH($D$3,AA2820,1),""))</f>
        <v>0</v>
      </c>
      <c r="AC2820" s="117" t="str">
        <f>IF(AB2820=1,COUNTIF($AB$3:AB2820,1),"")</f>
        <v/>
      </c>
      <c r="AD2820" s="117" t="str">
        <f>IFERROR(INDEX($AA$3:$AA$10000,MATCH(ROWS($AC$3:AC2820),$AC$3:$AC$10000,0)),"")</f>
        <v/>
      </c>
      <c r="AE2820" s="117" t="str">
        <f>+'Packing Material - Cost'!A2821</f>
        <v/>
      </c>
    </row>
    <row r="2821" spans="27:31">
      <c r="AA2821" s="117">
        <f>+'Ingredient List - Mother Tinctu'!D2822</f>
        <v>0</v>
      </c>
      <c r="AB2821" s="117">
        <f t="shared" si="47"/>
        <v>0</v>
      </c>
      <c r="AC2821" s="117" t="str">
        <f>IF(AB2821=1,COUNTIF($AB$3:AB2821,1),"")</f>
        <v/>
      </c>
      <c r="AD2821" s="117" t="str">
        <f>IFERROR(INDEX($AA$3:$AA$10000,MATCH(ROWS($AC$3:AC2821),$AC$3:$AC$10000,0)),"")</f>
        <v/>
      </c>
      <c r="AE2821" s="117" t="str">
        <f>+'Packing Material - Cost'!A2822</f>
        <v/>
      </c>
    </row>
    <row r="2822" spans="27:31">
      <c r="AA2822" s="117">
        <f>+'Ingredient List - Mother Tinctu'!D2823</f>
        <v>0</v>
      </c>
      <c r="AB2822" s="117">
        <f t="shared" si="47"/>
        <v>0</v>
      </c>
      <c r="AC2822" s="117" t="str">
        <f>IF(AB2822=1,COUNTIF($AB$3:AB2822,1),"")</f>
        <v/>
      </c>
      <c r="AD2822" s="117" t="str">
        <f>IFERROR(INDEX($AA$3:$AA$10000,MATCH(ROWS($AC$3:AC2822),$AC$3:$AC$10000,0)),"")</f>
        <v/>
      </c>
      <c r="AE2822" s="117" t="str">
        <f>+'Packing Material - Cost'!A2823</f>
        <v/>
      </c>
    </row>
    <row r="2823" spans="27:31">
      <c r="AA2823" s="117">
        <f>+'Ingredient List - Mother Tinctu'!D2824</f>
        <v>0</v>
      </c>
      <c r="AB2823" s="117">
        <f t="shared" si="47"/>
        <v>0</v>
      </c>
      <c r="AC2823" s="117" t="str">
        <f>IF(AB2823=1,COUNTIF($AB$3:AB2823,1),"")</f>
        <v/>
      </c>
      <c r="AD2823" s="117" t="str">
        <f>IFERROR(INDEX($AA$3:$AA$10000,MATCH(ROWS($AC$3:AC2823),$AC$3:$AC$10000,0)),"")</f>
        <v/>
      </c>
      <c r="AE2823" s="117" t="str">
        <f>+'Packing Material - Cost'!A2824</f>
        <v/>
      </c>
    </row>
    <row r="2824" spans="27:31">
      <c r="AA2824" s="117">
        <f>+'Ingredient List - Mother Tinctu'!D2825</f>
        <v>0</v>
      </c>
      <c r="AB2824" s="117">
        <f t="shared" si="47"/>
        <v>0</v>
      </c>
      <c r="AC2824" s="117" t="str">
        <f>IF(AB2824=1,COUNTIF($AB$3:AB2824,1),"")</f>
        <v/>
      </c>
      <c r="AD2824" s="117" t="str">
        <f>IFERROR(INDEX($AA$3:$AA$10000,MATCH(ROWS($AC$3:AC2824),$AC$3:$AC$10000,0)),"")</f>
        <v/>
      </c>
      <c r="AE2824" s="117" t="str">
        <f>+'Packing Material - Cost'!A2825</f>
        <v/>
      </c>
    </row>
    <row r="2825" spans="27:31">
      <c r="AA2825" s="117">
        <f>+'Ingredient List - Mother Tinctu'!D2826</f>
        <v>0</v>
      </c>
      <c r="AB2825" s="117">
        <f t="shared" si="47"/>
        <v>0</v>
      </c>
      <c r="AC2825" s="117" t="str">
        <f>IF(AB2825=1,COUNTIF($AB$3:AB2825,1),"")</f>
        <v/>
      </c>
      <c r="AD2825" s="117" t="str">
        <f>IFERROR(INDEX($AA$3:$AA$10000,MATCH(ROWS($AC$3:AC2825),$AC$3:$AC$10000,0)),"")</f>
        <v/>
      </c>
      <c r="AE2825" s="117" t="str">
        <f>+'Packing Material - Cost'!A2826</f>
        <v/>
      </c>
    </row>
    <row r="2826" spans="27:31">
      <c r="AA2826" s="117">
        <f>+'Ingredient List - Mother Tinctu'!D2827</f>
        <v>0</v>
      </c>
      <c r="AB2826" s="117">
        <f t="shared" si="47"/>
        <v>0</v>
      </c>
      <c r="AC2826" s="117" t="str">
        <f>IF(AB2826=1,COUNTIF($AB$3:AB2826,1),"")</f>
        <v/>
      </c>
      <c r="AD2826" s="117" t="str">
        <f>IFERROR(INDEX($AA$3:$AA$10000,MATCH(ROWS($AC$3:AC2826),$AC$3:$AC$10000,0)),"")</f>
        <v/>
      </c>
      <c r="AE2826" s="117" t="str">
        <f>+'Packing Material - Cost'!A2827</f>
        <v/>
      </c>
    </row>
    <row r="2827" spans="27:31">
      <c r="AA2827" s="117">
        <f>+'Ingredient List - Mother Tinctu'!D2828</f>
        <v>0</v>
      </c>
      <c r="AB2827" s="117">
        <f t="shared" si="47"/>
        <v>0</v>
      </c>
      <c r="AC2827" s="117" t="str">
        <f>IF(AB2827=1,COUNTIF($AB$3:AB2827,1),"")</f>
        <v/>
      </c>
      <c r="AD2827" s="117" t="str">
        <f>IFERROR(INDEX($AA$3:$AA$10000,MATCH(ROWS($AC$3:AC2827),$AC$3:$AC$10000,0)),"")</f>
        <v/>
      </c>
      <c r="AE2827" s="117" t="str">
        <f>+'Packing Material - Cost'!A2828</f>
        <v/>
      </c>
    </row>
    <row r="2828" spans="27:31">
      <c r="AA2828" s="117">
        <f>+'Ingredient List - Mother Tinctu'!D2829</f>
        <v>0</v>
      </c>
      <c r="AB2828" s="117">
        <f t="shared" si="47"/>
        <v>0</v>
      </c>
      <c r="AC2828" s="117" t="str">
        <f>IF(AB2828=1,COUNTIF($AB$3:AB2828,1),"")</f>
        <v/>
      </c>
      <c r="AD2828" s="117" t="str">
        <f>IFERROR(INDEX($AA$3:$AA$10000,MATCH(ROWS($AC$3:AC2828),$AC$3:$AC$10000,0)),"")</f>
        <v/>
      </c>
      <c r="AE2828" s="117" t="str">
        <f>+'Packing Material - Cost'!A2829</f>
        <v/>
      </c>
    </row>
    <row r="2829" spans="27:31">
      <c r="AA2829" s="117">
        <f>+'Ingredient List - Mother Tinctu'!D2830</f>
        <v>0</v>
      </c>
      <c r="AB2829" s="117">
        <f t="shared" si="47"/>
        <v>0</v>
      </c>
      <c r="AC2829" s="117" t="str">
        <f>IF(AB2829=1,COUNTIF($AB$3:AB2829,1),"")</f>
        <v/>
      </c>
      <c r="AD2829" s="117" t="str">
        <f>IFERROR(INDEX($AA$3:$AA$10000,MATCH(ROWS($AC$3:AC2829),$AC$3:$AC$10000,0)),"")</f>
        <v/>
      </c>
      <c r="AE2829" s="117" t="str">
        <f>+'Packing Material - Cost'!A2830</f>
        <v/>
      </c>
    </row>
    <row r="2830" spans="27:31">
      <c r="AA2830" s="117">
        <f>+'Ingredient List - Mother Tinctu'!D2831</f>
        <v>0</v>
      </c>
      <c r="AB2830" s="117">
        <f t="shared" si="47"/>
        <v>0</v>
      </c>
      <c r="AC2830" s="117" t="str">
        <f>IF(AB2830=1,COUNTIF($AB$3:AB2830,1),"")</f>
        <v/>
      </c>
      <c r="AD2830" s="117" t="str">
        <f>IFERROR(INDEX($AA$3:$AA$10000,MATCH(ROWS($AC$3:AC2830),$AC$3:$AC$10000,0)),"")</f>
        <v/>
      </c>
      <c r="AE2830" s="117" t="str">
        <f>+'Packing Material - Cost'!A2831</f>
        <v/>
      </c>
    </row>
    <row r="2831" spans="27:31">
      <c r="AA2831" s="117">
        <f>+'Ingredient List - Mother Tinctu'!D2832</f>
        <v>0</v>
      </c>
      <c r="AB2831" s="117">
        <f t="shared" si="47"/>
        <v>0</v>
      </c>
      <c r="AC2831" s="117" t="str">
        <f>IF(AB2831=1,COUNTIF($AB$3:AB2831,1),"")</f>
        <v/>
      </c>
      <c r="AD2831" s="117" t="str">
        <f>IFERROR(INDEX($AA$3:$AA$10000,MATCH(ROWS($AC$3:AC2831),$AC$3:$AC$10000,0)),"")</f>
        <v/>
      </c>
      <c r="AE2831" s="117" t="str">
        <f>+'Packing Material - Cost'!A2832</f>
        <v/>
      </c>
    </row>
    <row r="2832" spans="27:31">
      <c r="AA2832" s="117">
        <f>+'Ingredient List - Mother Tinctu'!D2833</f>
        <v>0</v>
      </c>
      <c r="AB2832" s="117">
        <f t="shared" si="47"/>
        <v>0</v>
      </c>
      <c r="AC2832" s="117" t="str">
        <f>IF(AB2832=1,COUNTIF($AB$3:AB2832,1),"")</f>
        <v/>
      </c>
      <c r="AD2832" s="117" t="str">
        <f>IFERROR(INDEX($AA$3:$AA$10000,MATCH(ROWS($AC$3:AC2832),$AC$3:$AC$10000,0)),"")</f>
        <v/>
      </c>
      <c r="AE2832" s="117" t="str">
        <f>+'Packing Material - Cost'!A2833</f>
        <v/>
      </c>
    </row>
    <row r="2833" spans="27:31">
      <c r="AA2833" s="117">
        <f>+'Ingredient List - Mother Tinctu'!D2834</f>
        <v>0</v>
      </c>
      <c r="AB2833" s="117">
        <f t="shared" si="47"/>
        <v>0</v>
      </c>
      <c r="AC2833" s="117" t="str">
        <f>IF(AB2833=1,COUNTIF($AB$3:AB2833,1),"")</f>
        <v/>
      </c>
      <c r="AD2833" s="117" t="str">
        <f>IFERROR(INDEX($AA$3:$AA$10000,MATCH(ROWS($AC$3:AC2833),$AC$3:$AC$10000,0)),"")</f>
        <v/>
      </c>
      <c r="AE2833" s="117" t="str">
        <f>+'Packing Material - Cost'!A2834</f>
        <v/>
      </c>
    </row>
    <row r="2834" spans="27:31">
      <c r="AA2834" s="117">
        <f>+'Ingredient List - Mother Tinctu'!D2835</f>
        <v>0</v>
      </c>
      <c r="AB2834" s="117">
        <f t="shared" si="47"/>
        <v>0</v>
      </c>
      <c r="AC2834" s="117" t="str">
        <f>IF(AB2834=1,COUNTIF($AB$3:AB2834,1),"")</f>
        <v/>
      </c>
      <c r="AD2834" s="117" t="str">
        <f>IFERROR(INDEX($AA$3:$AA$10000,MATCH(ROWS($AC$3:AC2834),$AC$3:$AC$10000,0)),"")</f>
        <v/>
      </c>
      <c r="AE2834" s="117" t="str">
        <f>+'Packing Material - Cost'!A2835</f>
        <v/>
      </c>
    </row>
    <row r="2835" spans="27:31">
      <c r="AA2835" s="117">
        <f>+'Ingredient List - Mother Tinctu'!D2836</f>
        <v>0</v>
      </c>
      <c r="AB2835" s="117">
        <f t="shared" si="47"/>
        <v>0</v>
      </c>
      <c r="AC2835" s="117" t="str">
        <f>IF(AB2835=1,COUNTIF($AB$3:AB2835,1),"")</f>
        <v/>
      </c>
      <c r="AD2835" s="117" t="str">
        <f>IFERROR(INDEX($AA$3:$AA$10000,MATCH(ROWS($AC$3:AC2835),$AC$3:$AC$10000,0)),"")</f>
        <v/>
      </c>
      <c r="AE2835" s="117" t="str">
        <f>+'Packing Material - Cost'!A2836</f>
        <v/>
      </c>
    </row>
    <row r="2836" spans="27:31">
      <c r="AA2836" s="117">
        <f>+'Ingredient List - Mother Tinctu'!D2837</f>
        <v>0</v>
      </c>
      <c r="AB2836" s="117">
        <f t="shared" si="47"/>
        <v>0</v>
      </c>
      <c r="AC2836" s="117" t="str">
        <f>IF(AB2836=1,COUNTIF($AB$3:AB2836,1),"")</f>
        <v/>
      </c>
      <c r="AD2836" s="117" t="str">
        <f>IFERROR(INDEX($AA$3:$AA$10000,MATCH(ROWS($AC$3:AC2836),$AC$3:$AC$10000,0)),"")</f>
        <v/>
      </c>
      <c r="AE2836" s="117" t="str">
        <f>+'Packing Material - Cost'!A2837</f>
        <v/>
      </c>
    </row>
    <row r="2837" spans="27:31">
      <c r="AA2837" s="117">
        <f>+'Ingredient List - Mother Tinctu'!D2838</f>
        <v>0</v>
      </c>
      <c r="AB2837" s="117">
        <f t="shared" si="47"/>
        <v>0</v>
      </c>
      <c r="AC2837" s="117" t="str">
        <f>IF(AB2837=1,COUNTIF($AB$3:AB2837,1),"")</f>
        <v/>
      </c>
      <c r="AD2837" s="117" t="str">
        <f>IFERROR(INDEX($AA$3:$AA$10000,MATCH(ROWS($AC$3:AC2837),$AC$3:$AC$10000,0)),"")</f>
        <v/>
      </c>
      <c r="AE2837" s="117" t="str">
        <f>+'Packing Material - Cost'!A2838</f>
        <v/>
      </c>
    </row>
    <row r="2838" spans="27:31">
      <c r="AA2838" s="117">
        <f>+'Ingredient List - Mother Tinctu'!D2839</f>
        <v>0</v>
      </c>
      <c r="AB2838" s="117">
        <f t="shared" si="47"/>
        <v>0</v>
      </c>
      <c r="AC2838" s="117" t="str">
        <f>IF(AB2838=1,COUNTIF($AB$3:AB2838,1),"")</f>
        <v/>
      </c>
      <c r="AD2838" s="117" t="str">
        <f>IFERROR(INDEX($AA$3:$AA$10000,MATCH(ROWS($AC$3:AC2838),$AC$3:$AC$10000,0)),"")</f>
        <v/>
      </c>
      <c r="AE2838" s="117" t="str">
        <f>+'Packing Material - Cost'!A2839</f>
        <v/>
      </c>
    </row>
    <row r="2839" spans="27:31">
      <c r="AA2839" s="117">
        <f>+'Ingredient List - Mother Tinctu'!D2840</f>
        <v>0</v>
      </c>
      <c r="AB2839" s="117">
        <f t="shared" si="47"/>
        <v>0</v>
      </c>
      <c r="AC2839" s="117" t="str">
        <f>IF(AB2839=1,COUNTIF($AB$3:AB2839,1),"")</f>
        <v/>
      </c>
      <c r="AD2839" s="117" t="str">
        <f>IFERROR(INDEX($AA$3:$AA$10000,MATCH(ROWS($AC$3:AC2839),$AC$3:$AC$10000,0)),"")</f>
        <v/>
      </c>
      <c r="AE2839" s="117" t="str">
        <f>+'Packing Material - Cost'!A2840</f>
        <v/>
      </c>
    </row>
    <row r="2840" spans="27:31">
      <c r="AA2840" s="117">
        <f>+'Ingredient List - Mother Tinctu'!D2841</f>
        <v>0</v>
      </c>
      <c r="AB2840" s="117">
        <f t="shared" si="47"/>
        <v>0</v>
      </c>
      <c r="AC2840" s="117" t="str">
        <f>IF(AB2840=1,COUNTIF($AB$3:AB2840,1),"")</f>
        <v/>
      </c>
      <c r="AD2840" s="117" t="str">
        <f>IFERROR(INDEX($AA$3:$AA$10000,MATCH(ROWS($AC$3:AC2840),$AC$3:$AC$10000,0)),"")</f>
        <v/>
      </c>
      <c r="AE2840" s="117" t="str">
        <f>+'Packing Material - Cost'!A2841</f>
        <v/>
      </c>
    </row>
    <row r="2841" spans="27:31">
      <c r="AA2841" s="117">
        <f>+'Ingredient List - Mother Tinctu'!D2842</f>
        <v>0</v>
      </c>
      <c r="AB2841" s="117">
        <f t="shared" si="47"/>
        <v>0</v>
      </c>
      <c r="AC2841" s="117" t="str">
        <f>IF(AB2841=1,COUNTIF($AB$3:AB2841,1),"")</f>
        <v/>
      </c>
      <c r="AD2841" s="117" t="str">
        <f>IFERROR(INDEX($AA$3:$AA$10000,MATCH(ROWS($AC$3:AC2841),$AC$3:$AC$10000,0)),"")</f>
        <v/>
      </c>
      <c r="AE2841" s="117" t="str">
        <f>+'Packing Material - Cost'!A2842</f>
        <v/>
      </c>
    </row>
    <row r="2842" spans="27:31">
      <c r="AA2842" s="117">
        <f>+'Ingredient List - Mother Tinctu'!D2843</f>
        <v>0</v>
      </c>
      <c r="AB2842" s="117">
        <f t="shared" si="47"/>
        <v>0</v>
      </c>
      <c r="AC2842" s="117" t="str">
        <f>IF(AB2842=1,COUNTIF($AB$3:AB2842,1),"")</f>
        <v/>
      </c>
      <c r="AD2842" s="117" t="str">
        <f>IFERROR(INDEX($AA$3:$AA$10000,MATCH(ROWS($AC$3:AC2842),$AC$3:$AC$10000,0)),"")</f>
        <v/>
      </c>
      <c r="AE2842" s="117" t="str">
        <f>+'Packing Material - Cost'!A2843</f>
        <v/>
      </c>
    </row>
    <row r="2843" spans="27:31">
      <c r="AA2843" s="117">
        <f>+'Ingredient List - Mother Tinctu'!D2844</f>
        <v>0</v>
      </c>
      <c r="AB2843" s="117">
        <f t="shared" si="47"/>
        <v>0</v>
      </c>
      <c r="AC2843" s="117" t="str">
        <f>IF(AB2843=1,COUNTIF($AB$3:AB2843,1),"")</f>
        <v/>
      </c>
      <c r="AD2843" s="117" t="str">
        <f>IFERROR(INDEX($AA$3:$AA$10000,MATCH(ROWS($AC$3:AC2843),$AC$3:$AC$10000,0)),"")</f>
        <v/>
      </c>
      <c r="AE2843" s="117" t="str">
        <f>+'Packing Material - Cost'!A2844</f>
        <v/>
      </c>
    </row>
    <row r="2844" spans="27:31">
      <c r="AA2844" s="117">
        <f>+'Ingredient List - Mother Tinctu'!D2845</f>
        <v>0</v>
      </c>
      <c r="AB2844" s="117">
        <f t="shared" si="47"/>
        <v>0</v>
      </c>
      <c r="AC2844" s="117" t="str">
        <f>IF(AB2844=1,COUNTIF($AB$3:AB2844,1),"")</f>
        <v/>
      </c>
      <c r="AD2844" s="117" t="str">
        <f>IFERROR(INDEX($AA$3:$AA$10000,MATCH(ROWS($AC$3:AC2844),$AC$3:$AC$10000,0)),"")</f>
        <v/>
      </c>
      <c r="AE2844" s="117" t="str">
        <f>+'Packing Material - Cost'!A2845</f>
        <v/>
      </c>
    </row>
    <row r="2845" spans="27:31">
      <c r="AA2845" s="117">
        <f>+'Ingredient List - Mother Tinctu'!D2846</f>
        <v>0</v>
      </c>
      <c r="AB2845" s="117">
        <f t="shared" si="47"/>
        <v>0</v>
      </c>
      <c r="AC2845" s="117" t="str">
        <f>IF(AB2845=1,COUNTIF($AB$3:AB2845,1),"")</f>
        <v/>
      </c>
      <c r="AD2845" s="117" t="str">
        <f>IFERROR(INDEX($AA$3:$AA$10000,MATCH(ROWS($AC$3:AC2845),$AC$3:$AC$10000,0)),"")</f>
        <v/>
      </c>
      <c r="AE2845" s="117" t="str">
        <f>+'Packing Material - Cost'!A2846</f>
        <v/>
      </c>
    </row>
    <row r="2846" spans="27:31">
      <c r="AA2846" s="117">
        <f>+'Ingredient List - Mother Tinctu'!D2847</f>
        <v>0</v>
      </c>
      <c r="AB2846" s="117">
        <f t="shared" si="47"/>
        <v>0</v>
      </c>
      <c r="AC2846" s="117" t="str">
        <f>IF(AB2846=1,COUNTIF($AB$3:AB2846,1),"")</f>
        <v/>
      </c>
      <c r="AD2846" s="117" t="str">
        <f>IFERROR(INDEX($AA$3:$AA$10000,MATCH(ROWS($AC$3:AC2846),$AC$3:$AC$10000,0)),"")</f>
        <v/>
      </c>
      <c r="AE2846" s="117" t="str">
        <f>+'Packing Material - Cost'!A2847</f>
        <v/>
      </c>
    </row>
    <row r="2847" spans="27:31">
      <c r="AA2847" s="117">
        <f>+'Ingredient List - Mother Tinctu'!D2848</f>
        <v>0</v>
      </c>
      <c r="AB2847" s="117">
        <f t="shared" si="47"/>
        <v>0</v>
      </c>
      <c r="AC2847" s="117" t="str">
        <f>IF(AB2847=1,COUNTIF($AB$3:AB2847,1),"")</f>
        <v/>
      </c>
      <c r="AD2847" s="117" t="str">
        <f>IFERROR(INDEX($AA$3:$AA$10000,MATCH(ROWS($AC$3:AC2847),$AC$3:$AC$10000,0)),"")</f>
        <v/>
      </c>
      <c r="AE2847" s="117" t="str">
        <f>+'Packing Material - Cost'!A2848</f>
        <v/>
      </c>
    </row>
    <row r="2848" spans="27:31">
      <c r="AA2848" s="117">
        <f>+'Ingredient List - Mother Tinctu'!D2849</f>
        <v>0</v>
      </c>
      <c r="AB2848" s="117">
        <f t="shared" si="47"/>
        <v>0</v>
      </c>
      <c r="AC2848" s="117" t="str">
        <f>IF(AB2848=1,COUNTIF($AB$3:AB2848,1),"")</f>
        <v/>
      </c>
      <c r="AD2848" s="117" t="str">
        <f>IFERROR(INDEX($AA$3:$AA$10000,MATCH(ROWS($AC$3:AC2848),$AC$3:$AC$10000,0)),"")</f>
        <v/>
      </c>
      <c r="AE2848" s="117" t="str">
        <f>+'Packing Material - Cost'!A2849</f>
        <v/>
      </c>
    </row>
    <row r="2849" spans="27:31">
      <c r="AA2849" s="117">
        <f>+'Ingredient List - Mother Tinctu'!D2850</f>
        <v>0</v>
      </c>
      <c r="AB2849" s="117">
        <f t="shared" si="47"/>
        <v>0</v>
      </c>
      <c r="AC2849" s="117" t="str">
        <f>IF(AB2849=1,COUNTIF($AB$3:AB2849,1),"")</f>
        <v/>
      </c>
      <c r="AD2849" s="117" t="str">
        <f>IFERROR(INDEX($AA$3:$AA$10000,MATCH(ROWS($AC$3:AC2849),$AC$3:$AC$10000,0)),"")</f>
        <v/>
      </c>
      <c r="AE2849" s="117" t="str">
        <f>+'Packing Material - Cost'!A2850</f>
        <v/>
      </c>
    </row>
    <row r="2850" spans="27:31">
      <c r="AA2850" s="117">
        <f>+'Ingredient List - Mother Tinctu'!D2851</f>
        <v>0</v>
      </c>
      <c r="AB2850" s="117">
        <f t="shared" si="47"/>
        <v>0</v>
      </c>
      <c r="AC2850" s="117" t="str">
        <f>IF(AB2850=1,COUNTIF($AB$3:AB2850,1),"")</f>
        <v/>
      </c>
      <c r="AD2850" s="117" t="str">
        <f>IFERROR(INDEX($AA$3:$AA$10000,MATCH(ROWS($AC$3:AC2850),$AC$3:$AC$10000,0)),"")</f>
        <v/>
      </c>
      <c r="AE2850" s="117" t="str">
        <f>+'Packing Material - Cost'!A2851</f>
        <v/>
      </c>
    </row>
    <row r="2851" spans="27:31">
      <c r="AA2851" s="117">
        <f>+'Ingredient List - Mother Tinctu'!D2852</f>
        <v>0</v>
      </c>
      <c r="AB2851" s="117">
        <f t="shared" si="47"/>
        <v>0</v>
      </c>
      <c r="AC2851" s="117" t="str">
        <f>IF(AB2851=1,COUNTIF($AB$3:AB2851,1),"")</f>
        <v/>
      </c>
      <c r="AD2851" s="117" t="str">
        <f>IFERROR(INDEX($AA$3:$AA$10000,MATCH(ROWS($AC$3:AC2851),$AC$3:$AC$10000,0)),"")</f>
        <v/>
      </c>
      <c r="AE2851" s="117" t="str">
        <f>+'Packing Material - Cost'!A2852</f>
        <v/>
      </c>
    </row>
    <row r="2852" spans="27:31">
      <c r="AA2852" s="117">
        <f>+'Ingredient List - Mother Tinctu'!D2853</f>
        <v>0</v>
      </c>
      <c r="AB2852" s="117">
        <f t="shared" si="47"/>
        <v>0</v>
      </c>
      <c r="AC2852" s="117" t="str">
        <f>IF(AB2852=1,COUNTIF($AB$3:AB2852,1),"")</f>
        <v/>
      </c>
      <c r="AD2852" s="117" t="str">
        <f>IFERROR(INDEX($AA$3:$AA$10000,MATCH(ROWS($AC$3:AC2852),$AC$3:$AC$10000,0)),"")</f>
        <v/>
      </c>
      <c r="AE2852" s="117" t="str">
        <f>+'Packing Material - Cost'!A2853</f>
        <v/>
      </c>
    </row>
    <row r="2853" spans="27:31">
      <c r="AA2853" s="117">
        <f>+'Ingredient List - Mother Tinctu'!D2854</f>
        <v>0</v>
      </c>
      <c r="AB2853" s="117">
        <f t="shared" si="47"/>
        <v>0</v>
      </c>
      <c r="AC2853" s="117" t="str">
        <f>IF(AB2853=1,COUNTIF($AB$3:AB2853,1),"")</f>
        <v/>
      </c>
      <c r="AD2853" s="117" t="str">
        <f>IFERROR(INDEX($AA$3:$AA$10000,MATCH(ROWS($AC$3:AC2853),$AC$3:$AC$10000,0)),"")</f>
        <v/>
      </c>
      <c r="AE2853" s="117" t="str">
        <f>+'Packing Material - Cost'!A2854</f>
        <v/>
      </c>
    </row>
    <row r="2854" spans="27:31">
      <c r="AA2854" s="117">
        <f>+'Ingredient List - Mother Tinctu'!D2855</f>
        <v>0</v>
      </c>
      <c r="AB2854" s="117">
        <f t="shared" si="47"/>
        <v>0</v>
      </c>
      <c r="AC2854" s="117" t="str">
        <f>IF(AB2854=1,COUNTIF($AB$3:AB2854,1),"")</f>
        <v/>
      </c>
      <c r="AD2854" s="117" t="str">
        <f>IFERROR(INDEX($AA$3:$AA$10000,MATCH(ROWS($AC$3:AC2854),$AC$3:$AC$10000,0)),"")</f>
        <v/>
      </c>
      <c r="AE2854" s="117" t="str">
        <f>+'Packing Material - Cost'!A2855</f>
        <v/>
      </c>
    </row>
    <row r="2855" spans="27:31">
      <c r="AA2855" s="117">
        <f>+'Ingredient List - Mother Tinctu'!D2856</f>
        <v>0</v>
      </c>
      <c r="AB2855" s="117">
        <f t="shared" si="47"/>
        <v>0</v>
      </c>
      <c r="AC2855" s="117" t="str">
        <f>IF(AB2855=1,COUNTIF($AB$3:AB2855,1),"")</f>
        <v/>
      </c>
      <c r="AD2855" s="117" t="str">
        <f>IFERROR(INDEX($AA$3:$AA$10000,MATCH(ROWS($AC$3:AC2855),$AC$3:$AC$10000,0)),"")</f>
        <v/>
      </c>
      <c r="AE2855" s="117" t="str">
        <f>+'Packing Material - Cost'!A2856</f>
        <v/>
      </c>
    </row>
    <row r="2856" spans="27:31">
      <c r="AA2856" s="117">
        <f>+'Ingredient List - Mother Tinctu'!D2857</f>
        <v>0</v>
      </c>
      <c r="AB2856" s="117">
        <f t="shared" si="47"/>
        <v>0</v>
      </c>
      <c r="AC2856" s="117" t="str">
        <f>IF(AB2856=1,COUNTIF($AB$3:AB2856,1),"")</f>
        <v/>
      </c>
      <c r="AD2856" s="117" t="str">
        <f>IFERROR(INDEX($AA$3:$AA$10000,MATCH(ROWS($AC$3:AC2856),$AC$3:$AC$10000,0)),"")</f>
        <v/>
      </c>
      <c r="AE2856" s="117" t="str">
        <f>+'Packing Material - Cost'!A2857</f>
        <v/>
      </c>
    </row>
    <row r="2857" spans="27:31">
      <c r="AA2857" s="117">
        <f>+'Ingredient List - Mother Tinctu'!D2858</f>
        <v>0</v>
      </c>
      <c r="AB2857" s="117">
        <f t="shared" si="47"/>
        <v>0</v>
      </c>
      <c r="AC2857" s="117" t="str">
        <f>IF(AB2857=1,COUNTIF($AB$3:AB2857,1),"")</f>
        <v/>
      </c>
      <c r="AD2857" s="117" t="str">
        <f>IFERROR(INDEX($AA$3:$AA$10000,MATCH(ROWS($AC$3:AC2857),$AC$3:$AC$10000,0)),"")</f>
        <v/>
      </c>
      <c r="AE2857" s="117" t="str">
        <f>+'Packing Material - Cost'!A2858</f>
        <v/>
      </c>
    </row>
    <row r="2858" spans="27:31">
      <c r="AA2858" s="117">
        <f>+'Ingredient List - Mother Tinctu'!D2859</f>
        <v>0</v>
      </c>
      <c r="AB2858" s="117">
        <f t="shared" si="47"/>
        <v>0</v>
      </c>
      <c r="AC2858" s="117" t="str">
        <f>IF(AB2858=1,COUNTIF($AB$3:AB2858,1),"")</f>
        <v/>
      </c>
      <c r="AD2858" s="117" t="str">
        <f>IFERROR(INDEX($AA$3:$AA$10000,MATCH(ROWS($AC$3:AC2858),$AC$3:$AC$10000,0)),"")</f>
        <v/>
      </c>
      <c r="AE2858" s="117" t="str">
        <f>+'Packing Material - Cost'!A2859</f>
        <v/>
      </c>
    </row>
    <row r="2859" spans="27:31">
      <c r="AA2859" s="117">
        <f>+'Ingredient List - Mother Tinctu'!D2860</f>
        <v>0</v>
      </c>
      <c r="AB2859" s="117">
        <f t="shared" si="47"/>
        <v>0</v>
      </c>
      <c r="AC2859" s="117" t="str">
        <f>IF(AB2859=1,COUNTIF($AB$3:AB2859,1),"")</f>
        <v/>
      </c>
      <c r="AD2859" s="117" t="str">
        <f>IFERROR(INDEX($AA$3:$AA$10000,MATCH(ROWS($AC$3:AC2859),$AC$3:$AC$10000,0)),"")</f>
        <v/>
      </c>
      <c r="AE2859" s="117" t="str">
        <f>+'Packing Material - Cost'!A2860</f>
        <v/>
      </c>
    </row>
    <row r="2860" spans="27:31">
      <c r="AA2860" s="117">
        <f>+'Ingredient List - Mother Tinctu'!D2861</f>
        <v>0</v>
      </c>
      <c r="AB2860" s="117">
        <f t="shared" si="47"/>
        <v>0</v>
      </c>
      <c r="AC2860" s="117" t="str">
        <f>IF(AB2860=1,COUNTIF($AB$3:AB2860,1),"")</f>
        <v/>
      </c>
      <c r="AD2860" s="117" t="str">
        <f>IFERROR(INDEX($AA$3:$AA$10000,MATCH(ROWS($AC$3:AC2860),$AC$3:$AC$10000,0)),"")</f>
        <v/>
      </c>
      <c r="AE2860" s="117" t="str">
        <f>+'Packing Material - Cost'!A2861</f>
        <v/>
      </c>
    </row>
    <row r="2861" spans="27:31">
      <c r="AA2861" s="117">
        <f>+'Ingredient List - Mother Tinctu'!D2862</f>
        <v>0</v>
      </c>
      <c r="AB2861" s="117">
        <f t="shared" si="47"/>
        <v>0</v>
      </c>
      <c r="AC2861" s="117" t="str">
        <f>IF(AB2861=1,COUNTIF($AB$3:AB2861,1),"")</f>
        <v/>
      </c>
      <c r="AD2861" s="117" t="str">
        <f>IFERROR(INDEX($AA$3:$AA$10000,MATCH(ROWS($AC$3:AC2861),$AC$3:$AC$10000,0)),"")</f>
        <v/>
      </c>
      <c r="AE2861" s="117" t="str">
        <f>+'Packing Material - Cost'!A2862</f>
        <v/>
      </c>
    </row>
    <row r="2862" spans="27:31">
      <c r="AA2862" s="117">
        <f>+'Ingredient List - Mother Tinctu'!D2863</f>
        <v>0</v>
      </c>
      <c r="AB2862" s="117">
        <f t="shared" si="47"/>
        <v>0</v>
      </c>
      <c r="AC2862" s="117" t="str">
        <f>IF(AB2862=1,COUNTIF($AB$3:AB2862,1),"")</f>
        <v/>
      </c>
      <c r="AD2862" s="117" t="str">
        <f>IFERROR(INDEX($AA$3:$AA$10000,MATCH(ROWS($AC$3:AC2862),$AC$3:$AC$10000,0)),"")</f>
        <v/>
      </c>
      <c r="AE2862" s="117" t="str">
        <f>+'Packing Material - Cost'!A2863</f>
        <v/>
      </c>
    </row>
    <row r="2863" spans="27:31">
      <c r="AA2863" s="117">
        <f>+'Ingredient List - Mother Tinctu'!D2864</f>
        <v>0</v>
      </c>
      <c r="AB2863" s="117">
        <f t="shared" si="47"/>
        <v>0</v>
      </c>
      <c r="AC2863" s="117" t="str">
        <f>IF(AB2863=1,COUNTIF($AB$3:AB2863,1),"")</f>
        <v/>
      </c>
      <c r="AD2863" s="117" t="str">
        <f>IFERROR(INDEX($AA$3:$AA$10000,MATCH(ROWS($AC$3:AC2863),$AC$3:$AC$10000,0)),"")</f>
        <v/>
      </c>
      <c r="AE2863" s="117" t="str">
        <f>+'Packing Material - Cost'!A2864</f>
        <v/>
      </c>
    </row>
    <row r="2864" spans="27:31">
      <c r="AA2864" s="117">
        <f>+'Ingredient List - Mother Tinctu'!D2865</f>
        <v>0</v>
      </c>
      <c r="AB2864" s="117">
        <f t="shared" si="47"/>
        <v>0</v>
      </c>
      <c r="AC2864" s="117" t="str">
        <f>IF(AB2864=1,COUNTIF($AB$3:AB2864,1),"")</f>
        <v/>
      </c>
      <c r="AD2864" s="117" t="str">
        <f>IFERROR(INDEX($AA$3:$AA$10000,MATCH(ROWS($AC$3:AC2864),$AC$3:$AC$10000,0)),"")</f>
        <v/>
      </c>
      <c r="AE2864" s="117" t="str">
        <f>+'Packing Material - Cost'!A2865</f>
        <v/>
      </c>
    </row>
    <row r="2865" spans="27:31">
      <c r="AA2865" s="117">
        <f>+'Ingredient List - Mother Tinctu'!D2866</f>
        <v>0</v>
      </c>
      <c r="AB2865" s="117">
        <f t="shared" si="47"/>
        <v>0</v>
      </c>
      <c r="AC2865" s="117" t="str">
        <f>IF(AB2865=1,COUNTIF($AB$3:AB2865,1),"")</f>
        <v/>
      </c>
      <c r="AD2865" s="117" t="str">
        <f>IFERROR(INDEX($AA$3:$AA$10000,MATCH(ROWS($AC$3:AC2865),$AC$3:$AC$10000,0)),"")</f>
        <v/>
      </c>
      <c r="AE2865" s="117" t="str">
        <f>+'Packing Material - Cost'!A2866</f>
        <v/>
      </c>
    </row>
    <row r="2866" spans="27:31">
      <c r="AA2866" s="117">
        <f>+'Ingredient List - Mother Tinctu'!D2867</f>
        <v>0</v>
      </c>
      <c r="AB2866" s="117">
        <f t="shared" si="47"/>
        <v>0</v>
      </c>
      <c r="AC2866" s="117" t="str">
        <f>IF(AB2866=1,COUNTIF($AB$3:AB2866,1),"")</f>
        <v/>
      </c>
      <c r="AD2866" s="117" t="str">
        <f>IFERROR(INDEX($AA$3:$AA$10000,MATCH(ROWS($AC$3:AC2866),$AC$3:$AC$10000,0)),"")</f>
        <v/>
      </c>
      <c r="AE2866" s="117" t="str">
        <f>+'Packing Material - Cost'!A2867</f>
        <v/>
      </c>
    </row>
    <row r="2867" spans="27:31">
      <c r="AA2867" s="117">
        <f>+'Ingredient List - Mother Tinctu'!D2868</f>
        <v>0</v>
      </c>
      <c r="AB2867" s="117">
        <f t="shared" si="47"/>
        <v>0</v>
      </c>
      <c r="AC2867" s="117" t="str">
        <f>IF(AB2867=1,COUNTIF($AB$3:AB2867,1),"")</f>
        <v/>
      </c>
      <c r="AD2867" s="117" t="str">
        <f>IFERROR(INDEX($AA$3:$AA$10000,MATCH(ROWS($AC$3:AC2867),$AC$3:$AC$10000,0)),"")</f>
        <v/>
      </c>
      <c r="AE2867" s="117" t="str">
        <f>+'Packing Material - Cost'!A2868</f>
        <v/>
      </c>
    </row>
    <row r="2868" spans="27:31">
      <c r="AA2868" s="117">
        <f>+'Ingredient List - Mother Tinctu'!D2869</f>
        <v>0</v>
      </c>
      <c r="AB2868" s="117">
        <f t="shared" si="47"/>
        <v>0</v>
      </c>
      <c r="AC2868" s="117" t="str">
        <f>IF(AB2868=1,COUNTIF($AB$3:AB2868,1),"")</f>
        <v/>
      </c>
      <c r="AD2868" s="117" t="str">
        <f>IFERROR(INDEX($AA$3:$AA$10000,MATCH(ROWS($AC$3:AC2868),$AC$3:$AC$10000,0)),"")</f>
        <v/>
      </c>
      <c r="AE2868" s="117" t="str">
        <f>+'Packing Material - Cost'!A2869</f>
        <v/>
      </c>
    </row>
    <row r="2869" spans="27:31">
      <c r="AA2869" s="117">
        <f>+'Ingredient List - Mother Tinctu'!D2870</f>
        <v>0</v>
      </c>
      <c r="AB2869" s="117">
        <f t="shared" si="47"/>
        <v>0</v>
      </c>
      <c r="AC2869" s="117" t="str">
        <f>IF(AB2869=1,COUNTIF($AB$3:AB2869,1),"")</f>
        <v/>
      </c>
      <c r="AD2869" s="117" t="str">
        <f>IFERROR(INDEX($AA$3:$AA$10000,MATCH(ROWS($AC$3:AC2869),$AC$3:$AC$10000,0)),"")</f>
        <v/>
      </c>
      <c r="AE2869" s="117" t="str">
        <f>+'Packing Material - Cost'!A2870</f>
        <v/>
      </c>
    </row>
    <row r="2870" spans="27:31">
      <c r="AA2870" s="117">
        <f>+'Ingredient List - Mother Tinctu'!D2871</f>
        <v>0</v>
      </c>
      <c r="AB2870" s="117">
        <f t="shared" si="47"/>
        <v>0</v>
      </c>
      <c r="AC2870" s="117" t="str">
        <f>IF(AB2870=1,COUNTIF($AB$3:AB2870,1),"")</f>
        <v/>
      </c>
      <c r="AD2870" s="117" t="str">
        <f>IFERROR(INDEX($AA$3:$AA$10000,MATCH(ROWS($AC$3:AC2870),$AC$3:$AC$10000,0)),"")</f>
        <v/>
      </c>
      <c r="AE2870" s="117" t="str">
        <f>+'Packing Material - Cost'!A2871</f>
        <v/>
      </c>
    </row>
    <row r="2871" spans="27:31">
      <c r="AA2871" s="117">
        <f>+'Ingredient List - Mother Tinctu'!D2872</f>
        <v>0</v>
      </c>
      <c r="AB2871" s="117">
        <f t="shared" si="47"/>
        <v>0</v>
      </c>
      <c r="AC2871" s="117" t="str">
        <f>IF(AB2871=1,COUNTIF($AB$3:AB2871,1),"")</f>
        <v/>
      </c>
      <c r="AD2871" s="117" t="str">
        <f>IFERROR(INDEX($AA$3:$AA$10000,MATCH(ROWS($AC$3:AC2871),$AC$3:$AC$10000,0)),"")</f>
        <v/>
      </c>
      <c r="AE2871" s="117" t="str">
        <f>+'Packing Material - Cost'!A2872</f>
        <v/>
      </c>
    </row>
    <row r="2872" spans="27:31">
      <c r="AA2872" s="117">
        <f>+'Ingredient List - Mother Tinctu'!D2873</f>
        <v>0</v>
      </c>
      <c r="AB2872" s="117">
        <f t="shared" si="47"/>
        <v>0</v>
      </c>
      <c r="AC2872" s="117" t="str">
        <f>IF(AB2872=1,COUNTIF($AB$3:AB2872,1),"")</f>
        <v/>
      </c>
      <c r="AD2872" s="117" t="str">
        <f>IFERROR(INDEX($AA$3:$AA$10000,MATCH(ROWS($AC$3:AC2872),$AC$3:$AC$10000,0)),"")</f>
        <v/>
      </c>
      <c r="AE2872" s="117" t="str">
        <f>+'Packing Material - Cost'!A2873</f>
        <v/>
      </c>
    </row>
    <row r="2873" spans="27:31">
      <c r="AA2873" s="117">
        <f>+'Ingredient List - Mother Tinctu'!D2874</f>
        <v>0</v>
      </c>
      <c r="AB2873" s="117">
        <f t="shared" si="47"/>
        <v>0</v>
      </c>
      <c r="AC2873" s="117" t="str">
        <f>IF(AB2873=1,COUNTIF($AB$3:AB2873,1),"")</f>
        <v/>
      </c>
      <c r="AD2873" s="117" t="str">
        <f>IFERROR(INDEX($AA$3:$AA$10000,MATCH(ROWS($AC$3:AC2873),$AC$3:$AC$10000,0)),"")</f>
        <v/>
      </c>
      <c r="AE2873" s="117" t="str">
        <f>+'Packing Material - Cost'!A2874</f>
        <v/>
      </c>
    </row>
    <row r="2874" spans="27:31">
      <c r="AA2874" s="117">
        <f>+'Ingredient List - Mother Tinctu'!D2875</f>
        <v>0</v>
      </c>
      <c r="AB2874" s="117">
        <f t="shared" si="47"/>
        <v>0</v>
      </c>
      <c r="AC2874" s="117" t="str">
        <f>IF(AB2874=1,COUNTIF($AB$3:AB2874,1),"")</f>
        <v/>
      </c>
      <c r="AD2874" s="117" t="str">
        <f>IFERROR(INDEX($AA$3:$AA$10000,MATCH(ROWS($AC$3:AC2874),$AC$3:$AC$10000,0)),"")</f>
        <v/>
      </c>
      <c r="AE2874" s="117" t="str">
        <f>+'Packing Material - Cost'!A2875</f>
        <v/>
      </c>
    </row>
    <row r="2875" spans="27:31">
      <c r="AA2875" s="117">
        <f>+'Ingredient List - Mother Tinctu'!D2876</f>
        <v>0</v>
      </c>
      <c r="AB2875" s="117">
        <f t="shared" si="47"/>
        <v>0</v>
      </c>
      <c r="AC2875" s="117" t="str">
        <f>IF(AB2875=1,COUNTIF($AB$3:AB2875,1),"")</f>
        <v/>
      </c>
      <c r="AD2875" s="117" t="str">
        <f>IFERROR(INDEX($AA$3:$AA$10000,MATCH(ROWS($AC$3:AC2875),$AC$3:$AC$10000,0)),"")</f>
        <v/>
      </c>
      <c r="AE2875" s="117" t="str">
        <f>+'Packing Material - Cost'!A2876</f>
        <v/>
      </c>
    </row>
    <row r="2876" spans="27:31">
      <c r="AA2876" s="117">
        <f>+'Ingredient List - Mother Tinctu'!D2877</f>
        <v>0</v>
      </c>
      <c r="AB2876" s="117">
        <f t="shared" si="47"/>
        <v>0</v>
      </c>
      <c r="AC2876" s="117" t="str">
        <f>IF(AB2876=1,COUNTIF($AB$3:AB2876,1),"")</f>
        <v/>
      </c>
      <c r="AD2876" s="117" t="str">
        <f>IFERROR(INDEX($AA$3:$AA$10000,MATCH(ROWS($AC$3:AC2876),$AC$3:$AC$10000,0)),"")</f>
        <v/>
      </c>
      <c r="AE2876" s="117" t="str">
        <f>+'Packing Material - Cost'!A2877</f>
        <v/>
      </c>
    </row>
    <row r="2877" spans="27:31">
      <c r="AA2877" s="117">
        <f>+'Ingredient List - Mother Tinctu'!D2878</f>
        <v>0</v>
      </c>
      <c r="AB2877" s="117">
        <f t="shared" si="47"/>
        <v>0</v>
      </c>
      <c r="AC2877" s="117" t="str">
        <f>IF(AB2877=1,COUNTIF($AB$3:AB2877,1),"")</f>
        <v/>
      </c>
      <c r="AD2877" s="117" t="str">
        <f>IFERROR(INDEX($AA$3:$AA$10000,MATCH(ROWS($AC$3:AC2877),$AC$3:$AC$10000,0)),"")</f>
        <v/>
      </c>
      <c r="AE2877" s="117" t="str">
        <f>+'Packing Material - Cost'!A2878</f>
        <v/>
      </c>
    </row>
    <row r="2878" spans="27:31">
      <c r="AA2878" s="117">
        <f>+'Ingredient List - Mother Tinctu'!D2879</f>
        <v>0</v>
      </c>
      <c r="AB2878" s="117">
        <f t="shared" si="47"/>
        <v>0</v>
      </c>
      <c r="AC2878" s="117" t="str">
        <f>IF(AB2878=1,COUNTIF($AB$3:AB2878,1),"")</f>
        <v/>
      </c>
      <c r="AD2878" s="117" t="str">
        <f>IFERROR(INDEX($AA$3:$AA$10000,MATCH(ROWS($AC$3:AC2878),$AC$3:$AC$10000,0)),"")</f>
        <v/>
      </c>
      <c r="AE2878" s="117" t="str">
        <f>+'Packing Material - Cost'!A2879</f>
        <v/>
      </c>
    </row>
    <row r="2879" spans="27:31">
      <c r="AA2879" s="117">
        <f>+'Ingredient List - Mother Tinctu'!D2880</f>
        <v>0</v>
      </c>
      <c r="AB2879" s="117">
        <f t="shared" si="47"/>
        <v>0</v>
      </c>
      <c r="AC2879" s="117" t="str">
        <f>IF(AB2879=1,COUNTIF($AB$3:AB2879,1),"")</f>
        <v/>
      </c>
      <c r="AD2879" s="117" t="str">
        <f>IFERROR(INDEX($AA$3:$AA$10000,MATCH(ROWS($AC$3:AC2879),$AC$3:$AC$10000,0)),"")</f>
        <v/>
      </c>
      <c r="AE2879" s="117" t="str">
        <f>+'Packing Material - Cost'!A2880</f>
        <v/>
      </c>
    </row>
    <row r="2880" spans="27:31">
      <c r="AA2880" s="117">
        <f>+'Ingredient List - Mother Tinctu'!D2881</f>
        <v>0</v>
      </c>
      <c r="AB2880" s="117">
        <f t="shared" si="47"/>
        <v>0</v>
      </c>
      <c r="AC2880" s="117" t="str">
        <f>IF(AB2880=1,COUNTIF($AB$3:AB2880,1),"")</f>
        <v/>
      </c>
      <c r="AD2880" s="117" t="str">
        <f>IFERROR(INDEX($AA$3:$AA$10000,MATCH(ROWS($AC$3:AC2880),$AC$3:$AC$10000,0)),"")</f>
        <v/>
      </c>
      <c r="AE2880" s="117" t="str">
        <f>+'Packing Material - Cost'!A2881</f>
        <v/>
      </c>
    </row>
    <row r="2881" spans="27:31">
      <c r="AA2881" s="117">
        <f>+'Ingredient List - Mother Tinctu'!D2882</f>
        <v>0</v>
      </c>
      <c r="AB2881" s="117">
        <f t="shared" si="47"/>
        <v>0</v>
      </c>
      <c r="AC2881" s="117" t="str">
        <f>IF(AB2881=1,COUNTIF($AB$3:AB2881,1),"")</f>
        <v/>
      </c>
      <c r="AD2881" s="117" t="str">
        <f>IFERROR(INDEX($AA$3:$AA$10000,MATCH(ROWS($AC$3:AC2881),$AC$3:$AC$10000,0)),"")</f>
        <v/>
      </c>
      <c r="AE2881" s="117" t="str">
        <f>+'Packing Material - Cost'!A2882</f>
        <v/>
      </c>
    </row>
    <row r="2882" spans="27:31">
      <c r="AA2882" s="117">
        <f>+'Ingredient List - Mother Tinctu'!D2883</f>
        <v>0</v>
      </c>
      <c r="AB2882" s="117">
        <f t="shared" si="47"/>
        <v>0</v>
      </c>
      <c r="AC2882" s="117" t="str">
        <f>IF(AB2882=1,COUNTIF($AB$3:AB2882,1),"")</f>
        <v/>
      </c>
      <c r="AD2882" s="117" t="str">
        <f>IFERROR(INDEX($AA$3:$AA$10000,MATCH(ROWS($AC$3:AC2882),$AC$3:$AC$10000,0)),"")</f>
        <v/>
      </c>
      <c r="AE2882" s="117" t="str">
        <f>+'Packing Material - Cost'!A2883</f>
        <v/>
      </c>
    </row>
    <row r="2883" spans="27:31">
      <c r="AA2883" s="117">
        <f>+'Ingredient List - Mother Tinctu'!D2884</f>
        <v>0</v>
      </c>
      <c r="AB2883" s="117">
        <f t="shared" si="47"/>
        <v>0</v>
      </c>
      <c r="AC2883" s="117" t="str">
        <f>IF(AB2883=1,COUNTIF($AB$3:AB2883,1),"")</f>
        <v/>
      </c>
      <c r="AD2883" s="117" t="str">
        <f>IFERROR(INDEX($AA$3:$AA$10000,MATCH(ROWS($AC$3:AC2883),$AC$3:$AC$10000,0)),"")</f>
        <v/>
      </c>
      <c r="AE2883" s="117" t="str">
        <f>+'Packing Material - Cost'!A2884</f>
        <v/>
      </c>
    </row>
    <row r="2884" spans="27:31">
      <c r="AA2884" s="117">
        <f>+'Ingredient List - Mother Tinctu'!D2885</f>
        <v>0</v>
      </c>
      <c r="AB2884" s="117">
        <f t="shared" ref="AB2884:AB2947" si="48">--ISNUMBER(IFERROR(SEARCH($D$3,AA2884,1),""))</f>
        <v>0</v>
      </c>
      <c r="AC2884" s="117" t="str">
        <f>IF(AB2884=1,COUNTIF($AB$3:AB2884,1),"")</f>
        <v/>
      </c>
      <c r="AD2884" s="117" t="str">
        <f>IFERROR(INDEX($AA$3:$AA$10000,MATCH(ROWS($AC$3:AC2884),$AC$3:$AC$10000,0)),"")</f>
        <v/>
      </c>
      <c r="AE2884" s="117" t="str">
        <f>+'Packing Material - Cost'!A2885</f>
        <v/>
      </c>
    </row>
    <row r="2885" spans="27:31">
      <c r="AA2885" s="117">
        <f>+'Ingredient List - Mother Tinctu'!D2886</f>
        <v>0</v>
      </c>
      <c r="AB2885" s="117">
        <f t="shared" si="48"/>
        <v>0</v>
      </c>
      <c r="AC2885" s="117" t="str">
        <f>IF(AB2885=1,COUNTIF($AB$3:AB2885,1),"")</f>
        <v/>
      </c>
      <c r="AD2885" s="117" t="str">
        <f>IFERROR(INDEX($AA$3:$AA$10000,MATCH(ROWS($AC$3:AC2885),$AC$3:$AC$10000,0)),"")</f>
        <v/>
      </c>
      <c r="AE2885" s="117" t="str">
        <f>+'Packing Material - Cost'!A2886</f>
        <v/>
      </c>
    </row>
    <row r="2886" spans="27:31">
      <c r="AA2886" s="117">
        <f>+'Ingredient List - Mother Tinctu'!D2887</f>
        <v>0</v>
      </c>
      <c r="AB2886" s="117">
        <f t="shared" si="48"/>
        <v>0</v>
      </c>
      <c r="AC2886" s="117" t="str">
        <f>IF(AB2886=1,COUNTIF($AB$3:AB2886,1),"")</f>
        <v/>
      </c>
      <c r="AD2886" s="117" t="str">
        <f>IFERROR(INDEX($AA$3:$AA$10000,MATCH(ROWS($AC$3:AC2886),$AC$3:$AC$10000,0)),"")</f>
        <v/>
      </c>
      <c r="AE2886" s="117" t="str">
        <f>+'Packing Material - Cost'!A2887</f>
        <v/>
      </c>
    </row>
    <row r="2887" spans="27:31">
      <c r="AA2887" s="117">
        <f>+'Ingredient List - Mother Tinctu'!D2888</f>
        <v>0</v>
      </c>
      <c r="AB2887" s="117">
        <f t="shared" si="48"/>
        <v>0</v>
      </c>
      <c r="AC2887" s="117" t="str">
        <f>IF(AB2887=1,COUNTIF($AB$3:AB2887,1),"")</f>
        <v/>
      </c>
      <c r="AD2887" s="117" t="str">
        <f>IFERROR(INDEX($AA$3:$AA$10000,MATCH(ROWS($AC$3:AC2887),$AC$3:$AC$10000,0)),"")</f>
        <v/>
      </c>
      <c r="AE2887" s="117" t="str">
        <f>+'Packing Material - Cost'!A2888</f>
        <v/>
      </c>
    </row>
    <row r="2888" spans="27:31">
      <c r="AA2888" s="117">
        <f>+'Ingredient List - Mother Tinctu'!D2889</f>
        <v>0</v>
      </c>
      <c r="AB2888" s="117">
        <f t="shared" si="48"/>
        <v>0</v>
      </c>
      <c r="AC2888" s="117" t="str">
        <f>IF(AB2888=1,COUNTIF($AB$3:AB2888,1),"")</f>
        <v/>
      </c>
      <c r="AD2888" s="117" t="str">
        <f>IFERROR(INDEX($AA$3:$AA$10000,MATCH(ROWS($AC$3:AC2888),$AC$3:$AC$10000,0)),"")</f>
        <v/>
      </c>
      <c r="AE2888" s="117" t="str">
        <f>+'Packing Material - Cost'!A2889</f>
        <v/>
      </c>
    </row>
    <row r="2889" spans="27:31">
      <c r="AA2889" s="117">
        <f>+'Ingredient List - Mother Tinctu'!D2890</f>
        <v>0</v>
      </c>
      <c r="AB2889" s="117">
        <f t="shared" si="48"/>
        <v>0</v>
      </c>
      <c r="AC2889" s="117" t="str">
        <f>IF(AB2889=1,COUNTIF($AB$3:AB2889,1),"")</f>
        <v/>
      </c>
      <c r="AD2889" s="117" t="str">
        <f>IFERROR(INDEX($AA$3:$AA$10000,MATCH(ROWS($AC$3:AC2889),$AC$3:$AC$10000,0)),"")</f>
        <v/>
      </c>
      <c r="AE2889" s="117" t="str">
        <f>+'Packing Material - Cost'!A2890</f>
        <v/>
      </c>
    </row>
    <row r="2890" spans="27:31">
      <c r="AA2890" s="117">
        <f>+'Ingredient List - Mother Tinctu'!D2891</f>
        <v>0</v>
      </c>
      <c r="AB2890" s="117">
        <f t="shared" si="48"/>
        <v>0</v>
      </c>
      <c r="AC2890" s="117" t="str">
        <f>IF(AB2890=1,COUNTIF($AB$3:AB2890,1),"")</f>
        <v/>
      </c>
      <c r="AD2890" s="117" t="str">
        <f>IFERROR(INDEX($AA$3:$AA$10000,MATCH(ROWS($AC$3:AC2890),$AC$3:$AC$10000,0)),"")</f>
        <v/>
      </c>
      <c r="AE2890" s="117" t="str">
        <f>+'Packing Material - Cost'!A2891</f>
        <v/>
      </c>
    </row>
    <row r="2891" spans="27:31">
      <c r="AA2891" s="117">
        <f>+'Ingredient List - Mother Tinctu'!D2892</f>
        <v>0</v>
      </c>
      <c r="AB2891" s="117">
        <f t="shared" si="48"/>
        <v>0</v>
      </c>
      <c r="AC2891" s="117" t="str">
        <f>IF(AB2891=1,COUNTIF($AB$3:AB2891,1),"")</f>
        <v/>
      </c>
      <c r="AD2891" s="117" t="str">
        <f>IFERROR(INDEX($AA$3:$AA$10000,MATCH(ROWS($AC$3:AC2891),$AC$3:$AC$10000,0)),"")</f>
        <v/>
      </c>
      <c r="AE2891" s="117" t="str">
        <f>+'Packing Material - Cost'!A2892</f>
        <v/>
      </c>
    </row>
    <row r="2892" spans="27:31">
      <c r="AA2892" s="117">
        <f>+'Ingredient List - Mother Tinctu'!D2893</f>
        <v>0</v>
      </c>
      <c r="AB2892" s="117">
        <f t="shared" si="48"/>
        <v>0</v>
      </c>
      <c r="AC2892" s="117" t="str">
        <f>IF(AB2892=1,COUNTIF($AB$3:AB2892,1),"")</f>
        <v/>
      </c>
      <c r="AD2892" s="117" t="str">
        <f>IFERROR(INDEX($AA$3:$AA$10000,MATCH(ROWS($AC$3:AC2892),$AC$3:$AC$10000,0)),"")</f>
        <v/>
      </c>
      <c r="AE2892" s="117" t="str">
        <f>+'Packing Material - Cost'!A2893</f>
        <v/>
      </c>
    </row>
    <row r="2893" spans="27:31">
      <c r="AA2893" s="117">
        <f>+'Ingredient List - Mother Tinctu'!D2894</f>
        <v>0</v>
      </c>
      <c r="AB2893" s="117">
        <f t="shared" si="48"/>
        <v>0</v>
      </c>
      <c r="AC2893" s="117" t="str">
        <f>IF(AB2893=1,COUNTIF($AB$3:AB2893,1),"")</f>
        <v/>
      </c>
      <c r="AD2893" s="117" t="str">
        <f>IFERROR(INDEX($AA$3:$AA$10000,MATCH(ROWS($AC$3:AC2893),$AC$3:$AC$10000,0)),"")</f>
        <v/>
      </c>
      <c r="AE2893" s="117" t="str">
        <f>+'Packing Material - Cost'!A2894</f>
        <v/>
      </c>
    </row>
    <row r="2894" spans="27:31">
      <c r="AA2894" s="117">
        <f>+'Ingredient List - Mother Tinctu'!D2895</f>
        <v>0</v>
      </c>
      <c r="AB2894" s="117">
        <f t="shared" si="48"/>
        <v>0</v>
      </c>
      <c r="AC2894" s="117" t="str">
        <f>IF(AB2894=1,COUNTIF($AB$3:AB2894,1),"")</f>
        <v/>
      </c>
      <c r="AD2894" s="117" t="str">
        <f>IFERROR(INDEX($AA$3:$AA$10000,MATCH(ROWS($AC$3:AC2894),$AC$3:$AC$10000,0)),"")</f>
        <v/>
      </c>
      <c r="AE2894" s="117" t="str">
        <f>+'Packing Material - Cost'!A2895</f>
        <v/>
      </c>
    </row>
    <row r="2895" spans="27:31">
      <c r="AA2895" s="117">
        <f>+'Ingredient List - Mother Tinctu'!D2896</f>
        <v>0</v>
      </c>
      <c r="AB2895" s="117">
        <f t="shared" si="48"/>
        <v>0</v>
      </c>
      <c r="AC2895" s="117" t="str">
        <f>IF(AB2895=1,COUNTIF($AB$3:AB2895,1),"")</f>
        <v/>
      </c>
      <c r="AD2895" s="117" t="str">
        <f>IFERROR(INDEX($AA$3:$AA$10000,MATCH(ROWS($AC$3:AC2895),$AC$3:$AC$10000,0)),"")</f>
        <v/>
      </c>
      <c r="AE2895" s="117" t="str">
        <f>+'Packing Material - Cost'!A2896</f>
        <v/>
      </c>
    </row>
    <row r="2896" spans="27:31">
      <c r="AA2896" s="117">
        <f>+'Ingredient List - Mother Tinctu'!D2897</f>
        <v>0</v>
      </c>
      <c r="AB2896" s="117">
        <f t="shared" si="48"/>
        <v>0</v>
      </c>
      <c r="AC2896" s="117" t="str">
        <f>IF(AB2896=1,COUNTIF($AB$3:AB2896,1),"")</f>
        <v/>
      </c>
      <c r="AD2896" s="117" t="str">
        <f>IFERROR(INDEX($AA$3:$AA$10000,MATCH(ROWS($AC$3:AC2896),$AC$3:$AC$10000,0)),"")</f>
        <v/>
      </c>
      <c r="AE2896" s="117" t="str">
        <f>+'Packing Material - Cost'!A2897</f>
        <v/>
      </c>
    </row>
    <row r="2897" spans="27:31">
      <c r="AA2897" s="117">
        <f>+'Ingredient List - Mother Tinctu'!D2898</f>
        <v>0</v>
      </c>
      <c r="AB2897" s="117">
        <f t="shared" si="48"/>
        <v>0</v>
      </c>
      <c r="AC2897" s="117" t="str">
        <f>IF(AB2897=1,COUNTIF($AB$3:AB2897,1),"")</f>
        <v/>
      </c>
      <c r="AD2897" s="117" t="str">
        <f>IFERROR(INDEX($AA$3:$AA$10000,MATCH(ROWS($AC$3:AC2897),$AC$3:$AC$10000,0)),"")</f>
        <v/>
      </c>
      <c r="AE2897" s="117" t="str">
        <f>+'Packing Material - Cost'!A2898</f>
        <v/>
      </c>
    </row>
    <row r="2898" spans="27:31">
      <c r="AA2898" s="117">
        <f>+'Ingredient List - Mother Tinctu'!D2899</f>
        <v>0</v>
      </c>
      <c r="AB2898" s="117">
        <f t="shared" si="48"/>
        <v>0</v>
      </c>
      <c r="AC2898" s="117" t="str">
        <f>IF(AB2898=1,COUNTIF($AB$3:AB2898,1),"")</f>
        <v/>
      </c>
      <c r="AD2898" s="117" t="str">
        <f>IFERROR(INDEX($AA$3:$AA$10000,MATCH(ROWS($AC$3:AC2898),$AC$3:$AC$10000,0)),"")</f>
        <v/>
      </c>
      <c r="AE2898" s="117" t="str">
        <f>+'Packing Material - Cost'!A2899</f>
        <v/>
      </c>
    </row>
    <row r="2899" spans="27:31">
      <c r="AA2899" s="117">
        <f>+'Ingredient List - Mother Tinctu'!D2900</f>
        <v>0</v>
      </c>
      <c r="AB2899" s="117">
        <f t="shared" si="48"/>
        <v>0</v>
      </c>
      <c r="AC2899" s="117" t="str">
        <f>IF(AB2899=1,COUNTIF($AB$3:AB2899,1),"")</f>
        <v/>
      </c>
      <c r="AD2899" s="117" t="str">
        <f>IFERROR(INDEX($AA$3:$AA$10000,MATCH(ROWS($AC$3:AC2899),$AC$3:$AC$10000,0)),"")</f>
        <v/>
      </c>
      <c r="AE2899" s="117" t="str">
        <f>+'Packing Material - Cost'!A2900</f>
        <v/>
      </c>
    </row>
    <row r="2900" spans="27:31">
      <c r="AA2900" s="117">
        <f>+'Ingredient List - Mother Tinctu'!D2901</f>
        <v>0</v>
      </c>
      <c r="AB2900" s="117">
        <f t="shared" si="48"/>
        <v>0</v>
      </c>
      <c r="AC2900" s="117" t="str">
        <f>IF(AB2900=1,COUNTIF($AB$3:AB2900,1),"")</f>
        <v/>
      </c>
      <c r="AD2900" s="117" t="str">
        <f>IFERROR(INDEX($AA$3:$AA$10000,MATCH(ROWS($AC$3:AC2900),$AC$3:$AC$10000,0)),"")</f>
        <v/>
      </c>
      <c r="AE2900" s="117" t="str">
        <f>+'Packing Material - Cost'!A2901</f>
        <v/>
      </c>
    </row>
    <row r="2901" spans="27:31">
      <c r="AA2901" s="117">
        <f>+'Ingredient List - Mother Tinctu'!D2902</f>
        <v>0</v>
      </c>
      <c r="AB2901" s="117">
        <f t="shared" si="48"/>
        <v>0</v>
      </c>
      <c r="AC2901" s="117" t="str">
        <f>IF(AB2901=1,COUNTIF($AB$3:AB2901,1),"")</f>
        <v/>
      </c>
      <c r="AD2901" s="117" t="str">
        <f>IFERROR(INDEX($AA$3:$AA$10000,MATCH(ROWS($AC$3:AC2901),$AC$3:$AC$10000,0)),"")</f>
        <v/>
      </c>
      <c r="AE2901" s="117" t="str">
        <f>+'Packing Material - Cost'!A2902</f>
        <v/>
      </c>
    </row>
    <row r="2902" spans="27:31">
      <c r="AA2902" s="117">
        <f>+'Ingredient List - Mother Tinctu'!D2903</f>
        <v>0</v>
      </c>
      <c r="AB2902" s="117">
        <f t="shared" si="48"/>
        <v>0</v>
      </c>
      <c r="AC2902" s="117" t="str">
        <f>IF(AB2902=1,COUNTIF($AB$3:AB2902,1),"")</f>
        <v/>
      </c>
      <c r="AD2902" s="117" t="str">
        <f>IFERROR(INDEX($AA$3:$AA$10000,MATCH(ROWS($AC$3:AC2902),$AC$3:$AC$10000,0)),"")</f>
        <v/>
      </c>
      <c r="AE2902" s="117" t="str">
        <f>+'Packing Material - Cost'!A2903</f>
        <v/>
      </c>
    </row>
    <row r="2903" spans="27:31">
      <c r="AA2903" s="117">
        <f>+'Ingredient List - Mother Tinctu'!D2904</f>
        <v>0</v>
      </c>
      <c r="AB2903" s="117">
        <f t="shared" si="48"/>
        <v>0</v>
      </c>
      <c r="AC2903" s="117" t="str">
        <f>IF(AB2903=1,COUNTIF($AB$3:AB2903,1),"")</f>
        <v/>
      </c>
      <c r="AD2903" s="117" t="str">
        <f>IFERROR(INDEX($AA$3:$AA$10000,MATCH(ROWS($AC$3:AC2903),$AC$3:$AC$10000,0)),"")</f>
        <v/>
      </c>
      <c r="AE2903" s="117" t="str">
        <f>+'Packing Material - Cost'!A2904</f>
        <v/>
      </c>
    </row>
    <row r="2904" spans="27:31">
      <c r="AA2904" s="117">
        <f>+'Ingredient List - Mother Tinctu'!D2905</f>
        <v>0</v>
      </c>
      <c r="AB2904" s="117">
        <f t="shared" si="48"/>
        <v>0</v>
      </c>
      <c r="AC2904" s="117" t="str">
        <f>IF(AB2904=1,COUNTIF($AB$3:AB2904,1),"")</f>
        <v/>
      </c>
      <c r="AD2904" s="117" t="str">
        <f>IFERROR(INDEX($AA$3:$AA$10000,MATCH(ROWS($AC$3:AC2904),$AC$3:$AC$10000,0)),"")</f>
        <v/>
      </c>
      <c r="AE2904" s="117" t="str">
        <f>+'Packing Material - Cost'!A2905</f>
        <v/>
      </c>
    </row>
    <row r="2905" spans="27:31">
      <c r="AA2905" s="117">
        <f>+'Ingredient List - Mother Tinctu'!D2906</f>
        <v>0</v>
      </c>
      <c r="AB2905" s="117">
        <f t="shared" si="48"/>
        <v>0</v>
      </c>
      <c r="AC2905" s="117" t="str">
        <f>IF(AB2905=1,COUNTIF($AB$3:AB2905,1),"")</f>
        <v/>
      </c>
      <c r="AD2905" s="117" t="str">
        <f>IFERROR(INDEX($AA$3:$AA$10000,MATCH(ROWS($AC$3:AC2905),$AC$3:$AC$10000,0)),"")</f>
        <v/>
      </c>
      <c r="AE2905" s="117" t="str">
        <f>+'Packing Material - Cost'!A2906</f>
        <v/>
      </c>
    </row>
    <row r="2906" spans="27:31">
      <c r="AA2906" s="117">
        <f>+'Ingredient List - Mother Tinctu'!D2907</f>
        <v>0</v>
      </c>
      <c r="AB2906" s="117">
        <f t="shared" si="48"/>
        <v>0</v>
      </c>
      <c r="AC2906" s="117" t="str">
        <f>IF(AB2906=1,COUNTIF($AB$3:AB2906,1),"")</f>
        <v/>
      </c>
      <c r="AD2906" s="117" t="str">
        <f>IFERROR(INDEX($AA$3:$AA$10000,MATCH(ROWS($AC$3:AC2906),$AC$3:$AC$10000,0)),"")</f>
        <v/>
      </c>
      <c r="AE2906" s="117" t="str">
        <f>+'Packing Material - Cost'!A2907</f>
        <v/>
      </c>
    </row>
    <row r="2907" spans="27:31">
      <c r="AA2907" s="117">
        <f>+'Ingredient List - Mother Tinctu'!D2908</f>
        <v>0</v>
      </c>
      <c r="AB2907" s="117">
        <f t="shared" si="48"/>
        <v>0</v>
      </c>
      <c r="AC2907" s="117" t="str">
        <f>IF(AB2907=1,COUNTIF($AB$3:AB2907,1),"")</f>
        <v/>
      </c>
      <c r="AD2907" s="117" t="str">
        <f>IFERROR(INDEX($AA$3:$AA$10000,MATCH(ROWS($AC$3:AC2907),$AC$3:$AC$10000,0)),"")</f>
        <v/>
      </c>
      <c r="AE2907" s="117" t="str">
        <f>+'Packing Material - Cost'!A2908</f>
        <v/>
      </c>
    </row>
    <row r="2908" spans="27:31">
      <c r="AA2908" s="117">
        <f>+'Ingredient List - Mother Tinctu'!D2909</f>
        <v>0</v>
      </c>
      <c r="AB2908" s="117">
        <f t="shared" si="48"/>
        <v>0</v>
      </c>
      <c r="AC2908" s="117" t="str">
        <f>IF(AB2908=1,COUNTIF($AB$3:AB2908,1),"")</f>
        <v/>
      </c>
      <c r="AD2908" s="117" t="str">
        <f>IFERROR(INDEX($AA$3:$AA$10000,MATCH(ROWS($AC$3:AC2908),$AC$3:$AC$10000,0)),"")</f>
        <v/>
      </c>
      <c r="AE2908" s="117" t="str">
        <f>+'Packing Material - Cost'!A2909</f>
        <v/>
      </c>
    </row>
    <row r="2909" spans="27:31">
      <c r="AA2909" s="117">
        <f>+'Ingredient List - Mother Tinctu'!D2910</f>
        <v>0</v>
      </c>
      <c r="AB2909" s="117">
        <f t="shared" si="48"/>
        <v>0</v>
      </c>
      <c r="AC2909" s="117" t="str">
        <f>IF(AB2909=1,COUNTIF($AB$3:AB2909,1),"")</f>
        <v/>
      </c>
      <c r="AD2909" s="117" t="str">
        <f>IFERROR(INDEX($AA$3:$AA$10000,MATCH(ROWS($AC$3:AC2909),$AC$3:$AC$10000,0)),"")</f>
        <v/>
      </c>
      <c r="AE2909" s="117" t="str">
        <f>+'Packing Material - Cost'!A2910</f>
        <v/>
      </c>
    </row>
    <row r="2910" spans="27:31">
      <c r="AA2910" s="117">
        <f>+'Ingredient List - Mother Tinctu'!D2911</f>
        <v>0</v>
      </c>
      <c r="AB2910" s="117">
        <f t="shared" si="48"/>
        <v>0</v>
      </c>
      <c r="AC2910" s="117" t="str">
        <f>IF(AB2910=1,COUNTIF($AB$3:AB2910,1),"")</f>
        <v/>
      </c>
      <c r="AD2910" s="117" t="str">
        <f>IFERROR(INDEX($AA$3:$AA$10000,MATCH(ROWS($AC$3:AC2910),$AC$3:$AC$10000,0)),"")</f>
        <v/>
      </c>
      <c r="AE2910" s="117" t="str">
        <f>+'Packing Material - Cost'!A2911</f>
        <v/>
      </c>
    </row>
    <row r="2911" spans="27:31">
      <c r="AA2911" s="117">
        <f>+'Ingredient List - Mother Tinctu'!D2912</f>
        <v>0</v>
      </c>
      <c r="AB2911" s="117">
        <f t="shared" si="48"/>
        <v>0</v>
      </c>
      <c r="AC2911" s="117" t="str">
        <f>IF(AB2911=1,COUNTIF($AB$3:AB2911,1),"")</f>
        <v/>
      </c>
      <c r="AD2911" s="117" t="str">
        <f>IFERROR(INDEX($AA$3:$AA$10000,MATCH(ROWS($AC$3:AC2911),$AC$3:$AC$10000,0)),"")</f>
        <v/>
      </c>
      <c r="AE2911" s="117" t="str">
        <f>+'Packing Material - Cost'!A2912</f>
        <v/>
      </c>
    </row>
    <row r="2912" spans="27:31">
      <c r="AA2912" s="117">
        <f>+'Ingredient List - Mother Tinctu'!D2913</f>
        <v>0</v>
      </c>
      <c r="AB2912" s="117">
        <f t="shared" si="48"/>
        <v>0</v>
      </c>
      <c r="AC2912" s="117" t="str">
        <f>IF(AB2912=1,COUNTIF($AB$3:AB2912,1),"")</f>
        <v/>
      </c>
      <c r="AD2912" s="117" t="str">
        <f>IFERROR(INDEX($AA$3:$AA$10000,MATCH(ROWS($AC$3:AC2912),$AC$3:$AC$10000,0)),"")</f>
        <v/>
      </c>
      <c r="AE2912" s="117" t="str">
        <f>+'Packing Material - Cost'!A2913</f>
        <v/>
      </c>
    </row>
    <row r="2913" spans="27:31">
      <c r="AA2913" s="117">
        <f>+'Ingredient List - Mother Tinctu'!D2914</f>
        <v>0</v>
      </c>
      <c r="AB2913" s="117">
        <f t="shared" si="48"/>
        <v>0</v>
      </c>
      <c r="AC2913" s="117" t="str">
        <f>IF(AB2913=1,COUNTIF($AB$3:AB2913,1),"")</f>
        <v/>
      </c>
      <c r="AD2913" s="117" t="str">
        <f>IFERROR(INDEX($AA$3:$AA$10000,MATCH(ROWS($AC$3:AC2913),$AC$3:$AC$10000,0)),"")</f>
        <v/>
      </c>
      <c r="AE2913" s="117" t="str">
        <f>+'Packing Material - Cost'!A2914</f>
        <v/>
      </c>
    </row>
    <row r="2914" spans="27:31">
      <c r="AA2914" s="117">
        <f>+'Ingredient List - Mother Tinctu'!D2915</f>
        <v>0</v>
      </c>
      <c r="AB2914" s="117">
        <f t="shared" si="48"/>
        <v>0</v>
      </c>
      <c r="AC2914" s="117" t="str">
        <f>IF(AB2914=1,COUNTIF($AB$3:AB2914,1),"")</f>
        <v/>
      </c>
      <c r="AD2914" s="117" t="str">
        <f>IFERROR(INDEX($AA$3:$AA$10000,MATCH(ROWS($AC$3:AC2914),$AC$3:$AC$10000,0)),"")</f>
        <v/>
      </c>
      <c r="AE2914" s="117" t="str">
        <f>+'Packing Material - Cost'!A2915</f>
        <v/>
      </c>
    </row>
    <row r="2915" spans="27:31">
      <c r="AA2915" s="117">
        <f>+'Ingredient List - Mother Tinctu'!D2916</f>
        <v>0</v>
      </c>
      <c r="AB2915" s="117">
        <f t="shared" si="48"/>
        <v>0</v>
      </c>
      <c r="AC2915" s="117" t="str">
        <f>IF(AB2915=1,COUNTIF($AB$3:AB2915,1),"")</f>
        <v/>
      </c>
      <c r="AD2915" s="117" t="str">
        <f>IFERROR(INDEX($AA$3:$AA$10000,MATCH(ROWS($AC$3:AC2915),$AC$3:$AC$10000,0)),"")</f>
        <v/>
      </c>
      <c r="AE2915" s="117" t="str">
        <f>+'Packing Material - Cost'!A2916</f>
        <v/>
      </c>
    </row>
    <row r="2916" spans="27:31">
      <c r="AA2916" s="117">
        <f>+'Ingredient List - Mother Tinctu'!D2917</f>
        <v>0</v>
      </c>
      <c r="AB2916" s="117">
        <f t="shared" si="48"/>
        <v>0</v>
      </c>
      <c r="AC2916" s="117" t="str">
        <f>IF(AB2916=1,COUNTIF($AB$3:AB2916,1),"")</f>
        <v/>
      </c>
      <c r="AD2916" s="117" t="str">
        <f>IFERROR(INDEX($AA$3:$AA$10000,MATCH(ROWS($AC$3:AC2916),$AC$3:$AC$10000,0)),"")</f>
        <v/>
      </c>
      <c r="AE2916" s="117" t="str">
        <f>+'Packing Material - Cost'!A2917</f>
        <v/>
      </c>
    </row>
    <row r="2917" spans="27:31">
      <c r="AA2917" s="117">
        <f>+'Ingredient List - Mother Tinctu'!D2918</f>
        <v>0</v>
      </c>
      <c r="AB2917" s="117">
        <f t="shared" si="48"/>
        <v>0</v>
      </c>
      <c r="AC2917" s="117" t="str">
        <f>IF(AB2917=1,COUNTIF($AB$3:AB2917,1),"")</f>
        <v/>
      </c>
      <c r="AD2917" s="117" t="str">
        <f>IFERROR(INDEX($AA$3:$AA$10000,MATCH(ROWS($AC$3:AC2917),$AC$3:$AC$10000,0)),"")</f>
        <v/>
      </c>
      <c r="AE2917" s="117" t="str">
        <f>+'Packing Material - Cost'!A2918</f>
        <v/>
      </c>
    </row>
    <row r="2918" spans="27:31">
      <c r="AA2918" s="117">
        <f>+'Ingredient List - Mother Tinctu'!D2919</f>
        <v>0</v>
      </c>
      <c r="AB2918" s="117">
        <f t="shared" si="48"/>
        <v>0</v>
      </c>
      <c r="AC2918" s="117" t="str">
        <f>IF(AB2918=1,COUNTIF($AB$3:AB2918,1),"")</f>
        <v/>
      </c>
      <c r="AD2918" s="117" t="str">
        <f>IFERROR(INDEX($AA$3:$AA$10000,MATCH(ROWS($AC$3:AC2918),$AC$3:$AC$10000,0)),"")</f>
        <v/>
      </c>
      <c r="AE2918" s="117" t="str">
        <f>+'Packing Material - Cost'!A2919</f>
        <v/>
      </c>
    </row>
    <row r="2919" spans="27:31">
      <c r="AA2919" s="117">
        <f>+'Ingredient List - Mother Tinctu'!D2920</f>
        <v>0</v>
      </c>
      <c r="AB2919" s="117">
        <f t="shared" si="48"/>
        <v>0</v>
      </c>
      <c r="AC2919" s="117" t="str">
        <f>IF(AB2919=1,COUNTIF($AB$3:AB2919,1),"")</f>
        <v/>
      </c>
      <c r="AD2919" s="117" t="str">
        <f>IFERROR(INDEX($AA$3:$AA$10000,MATCH(ROWS($AC$3:AC2919),$AC$3:$AC$10000,0)),"")</f>
        <v/>
      </c>
      <c r="AE2919" s="117" t="str">
        <f>+'Packing Material - Cost'!A2920</f>
        <v/>
      </c>
    </row>
    <row r="2920" spans="27:31">
      <c r="AA2920" s="117">
        <f>+'Ingredient List - Mother Tinctu'!D2921</f>
        <v>0</v>
      </c>
      <c r="AB2920" s="117">
        <f t="shared" si="48"/>
        <v>0</v>
      </c>
      <c r="AC2920" s="117" t="str">
        <f>IF(AB2920=1,COUNTIF($AB$3:AB2920,1),"")</f>
        <v/>
      </c>
      <c r="AD2920" s="117" t="str">
        <f>IFERROR(INDEX($AA$3:$AA$10000,MATCH(ROWS($AC$3:AC2920),$AC$3:$AC$10000,0)),"")</f>
        <v/>
      </c>
      <c r="AE2920" s="117" t="str">
        <f>+'Packing Material - Cost'!A2921</f>
        <v/>
      </c>
    </row>
    <row r="2921" spans="27:31">
      <c r="AA2921" s="117">
        <f>+'Ingredient List - Mother Tinctu'!D2922</f>
        <v>0</v>
      </c>
      <c r="AB2921" s="117">
        <f t="shared" si="48"/>
        <v>0</v>
      </c>
      <c r="AC2921" s="117" t="str">
        <f>IF(AB2921=1,COUNTIF($AB$3:AB2921,1),"")</f>
        <v/>
      </c>
      <c r="AD2921" s="117" t="str">
        <f>IFERROR(INDEX($AA$3:$AA$10000,MATCH(ROWS($AC$3:AC2921),$AC$3:$AC$10000,0)),"")</f>
        <v/>
      </c>
      <c r="AE2921" s="117" t="str">
        <f>+'Packing Material - Cost'!A2922</f>
        <v/>
      </c>
    </row>
    <row r="2922" spans="27:31">
      <c r="AA2922" s="117">
        <f>+'Ingredient List - Mother Tinctu'!D2923</f>
        <v>0</v>
      </c>
      <c r="AB2922" s="117">
        <f t="shared" si="48"/>
        <v>0</v>
      </c>
      <c r="AC2922" s="117" t="str">
        <f>IF(AB2922=1,COUNTIF($AB$3:AB2922,1),"")</f>
        <v/>
      </c>
      <c r="AD2922" s="117" t="str">
        <f>IFERROR(INDEX($AA$3:$AA$10000,MATCH(ROWS($AC$3:AC2922),$AC$3:$AC$10000,0)),"")</f>
        <v/>
      </c>
      <c r="AE2922" s="117" t="str">
        <f>+'Packing Material - Cost'!A2923</f>
        <v/>
      </c>
    </row>
    <row r="2923" spans="27:31">
      <c r="AA2923" s="117">
        <f>+'Ingredient List - Mother Tinctu'!D2924</f>
        <v>0</v>
      </c>
      <c r="AB2923" s="117">
        <f t="shared" si="48"/>
        <v>0</v>
      </c>
      <c r="AC2923" s="117" t="str">
        <f>IF(AB2923=1,COUNTIF($AB$3:AB2923,1),"")</f>
        <v/>
      </c>
      <c r="AD2923" s="117" t="str">
        <f>IFERROR(INDEX($AA$3:$AA$10000,MATCH(ROWS($AC$3:AC2923),$AC$3:$AC$10000,0)),"")</f>
        <v/>
      </c>
      <c r="AE2923" s="117" t="str">
        <f>+'Packing Material - Cost'!A2924</f>
        <v/>
      </c>
    </row>
    <row r="2924" spans="27:31">
      <c r="AA2924" s="117">
        <f>+'Ingredient List - Mother Tinctu'!D2925</f>
        <v>0</v>
      </c>
      <c r="AB2924" s="117">
        <f t="shared" si="48"/>
        <v>0</v>
      </c>
      <c r="AC2924" s="117" t="str">
        <f>IF(AB2924=1,COUNTIF($AB$3:AB2924,1),"")</f>
        <v/>
      </c>
      <c r="AD2924" s="117" t="str">
        <f>IFERROR(INDEX($AA$3:$AA$10000,MATCH(ROWS($AC$3:AC2924),$AC$3:$AC$10000,0)),"")</f>
        <v/>
      </c>
      <c r="AE2924" s="117" t="str">
        <f>+'Packing Material - Cost'!A2925</f>
        <v/>
      </c>
    </row>
    <row r="2925" spans="27:31">
      <c r="AA2925" s="117">
        <f>+'Ingredient List - Mother Tinctu'!D2926</f>
        <v>0</v>
      </c>
      <c r="AB2925" s="117">
        <f t="shared" si="48"/>
        <v>0</v>
      </c>
      <c r="AC2925" s="117" t="str">
        <f>IF(AB2925=1,COUNTIF($AB$3:AB2925,1),"")</f>
        <v/>
      </c>
      <c r="AD2925" s="117" t="str">
        <f>IFERROR(INDEX($AA$3:$AA$10000,MATCH(ROWS($AC$3:AC2925),$AC$3:$AC$10000,0)),"")</f>
        <v/>
      </c>
      <c r="AE2925" s="117" t="str">
        <f>+'Packing Material - Cost'!A2926</f>
        <v/>
      </c>
    </row>
    <row r="2926" spans="27:31">
      <c r="AA2926" s="117">
        <f>+'Ingredient List - Mother Tinctu'!D2927</f>
        <v>0</v>
      </c>
      <c r="AB2926" s="117">
        <f t="shared" si="48"/>
        <v>0</v>
      </c>
      <c r="AC2926" s="117" t="str">
        <f>IF(AB2926=1,COUNTIF($AB$3:AB2926,1),"")</f>
        <v/>
      </c>
      <c r="AD2926" s="117" t="str">
        <f>IFERROR(INDEX($AA$3:$AA$10000,MATCH(ROWS($AC$3:AC2926),$AC$3:$AC$10000,0)),"")</f>
        <v/>
      </c>
      <c r="AE2926" s="117" t="str">
        <f>+'Packing Material - Cost'!A2927</f>
        <v/>
      </c>
    </row>
    <row r="2927" spans="27:31">
      <c r="AA2927" s="117">
        <f>+'Ingredient List - Mother Tinctu'!D2928</f>
        <v>0</v>
      </c>
      <c r="AB2927" s="117">
        <f t="shared" si="48"/>
        <v>0</v>
      </c>
      <c r="AC2927" s="117" t="str">
        <f>IF(AB2927=1,COUNTIF($AB$3:AB2927,1),"")</f>
        <v/>
      </c>
      <c r="AD2927" s="117" t="str">
        <f>IFERROR(INDEX($AA$3:$AA$10000,MATCH(ROWS($AC$3:AC2927),$AC$3:$AC$10000,0)),"")</f>
        <v/>
      </c>
      <c r="AE2927" s="117" t="str">
        <f>+'Packing Material - Cost'!A2928</f>
        <v/>
      </c>
    </row>
    <row r="2928" spans="27:31">
      <c r="AA2928" s="117">
        <f>+'Ingredient List - Mother Tinctu'!D2929</f>
        <v>0</v>
      </c>
      <c r="AB2928" s="117">
        <f t="shared" si="48"/>
        <v>0</v>
      </c>
      <c r="AC2928" s="117" t="str">
        <f>IF(AB2928=1,COUNTIF($AB$3:AB2928,1),"")</f>
        <v/>
      </c>
      <c r="AD2928" s="117" t="str">
        <f>IFERROR(INDEX($AA$3:$AA$10000,MATCH(ROWS($AC$3:AC2928),$AC$3:$AC$10000,0)),"")</f>
        <v/>
      </c>
      <c r="AE2928" s="117" t="str">
        <f>+'Packing Material - Cost'!A2929</f>
        <v/>
      </c>
    </row>
    <row r="2929" spans="27:31">
      <c r="AA2929" s="117">
        <f>+'Ingredient List - Mother Tinctu'!D2930</f>
        <v>0</v>
      </c>
      <c r="AB2929" s="117">
        <f t="shared" si="48"/>
        <v>0</v>
      </c>
      <c r="AC2929" s="117" t="str">
        <f>IF(AB2929=1,COUNTIF($AB$3:AB2929,1),"")</f>
        <v/>
      </c>
      <c r="AD2929" s="117" t="str">
        <f>IFERROR(INDEX($AA$3:$AA$10000,MATCH(ROWS($AC$3:AC2929),$AC$3:$AC$10000,0)),"")</f>
        <v/>
      </c>
      <c r="AE2929" s="117" t="str">
        <f>+'Packing Material - Cost'!A2930</f>
        <v/>
      </c>
    </row>
    <row r="2930" spans="27:31">
      <c r="AA2930" s="117">
        <f>+'Ingredient List - Mother Tinctu'!D2931</f>
        <v>0</v>
      </c>
      <c r="AB2930" s="117">
        <f t="shared" si="48"/>
        <v>0</v>
      </c>
      <c r="AC2930" s="117" t="str">
        <f>IF(AB2930=1,COUNTIF($AB$3:AB2930,1),"")</f>
        <v/>
      </c>
      <c r="AD2930" s="117" t="str">
        <f>IFERROR(INDEX($AA$3:$AA$10000,MATCH(ROWS($AC$3:AC2930),$AC$3:$AC$10000,0)),"")</f>
        <v/>
      </c>
      <c r="AE2930" s="117" t="str">
        <f>+'Packing Material - Cost'!A2931</f>
        <v/>
      </c>
    </row>
    <row r="2931" spans="27:31">
      <c r="AA2931" s="117">
        <f>+'Ingredient List - Mother Tinctu'!D2932</f>
        <v>0</v>
      </c>
      <c r="AB2931" s="117">
        <f t="shared" si="48"/>
        <v>0</v>
      </c>
      <c r="AC2931" s="117" t="str">
        <f>IF(AB2931=1,COUNTIF($AB$3:AB2931,1),"")</f>
        <v/>
      </c>
      <c r="AD2931" s="117" t="str">
        <f>IFERROR(INDEX($AA$3:$AA$10000,MATCH(ROWS($AC$3:AC2931),$AC$3:$AC$10000,0)),"")</f>
        <v/>
      </c>
      <c r="AE2931" s="117" t="str">
        <f>+'Packing Material - Cost'!A2932</f>
        <v/>
      </c>
    </row>
    <row r="2932" spans="27:31">
      <c r="AA2932" s="117">
        <f>+'Ingredient List - Mother Tinctu'!D2933</f>
        <v>0</v>
      </c>
      <c r="AB2932" s="117">
        <f t="shared" si="48"/>
        <v>0</v>
      </c>
      <c r="AC2932" s="117" t="str">
        <f>IF(AB2932=1,COUNTIF($AB$3:AB2932,1),"")</f>
        <v/>
      </c>
      <c r="AD2932" s="117" t="str">
        <f>IFERROR(INDEX($AA$3:$AA$10000,MATCH(ROWS($AC$3:AC2932),$AC$3:$AC$10000,0)),"")</f>
        <v/>
      </c>
      <c r="AE2932" s="117" t="str">
        <f>+'Packing Material - Cost'!A2933</f>
        <v/>
      </c>
    </row>
    <row r="2933" spans="27:31">
      <c r="AA2933" s="117">
        <f>+'Ingredient List - Mother Tinctu'!D2934</f>
        <v>0</v>
      </c>
      <c r="AB2933" s="117">
        <f t="shared" si="48"/>
        <v>0</v>
      </c>
      <c r="AC2933" s="117" t="str">
        <f>IF(AB2933=1,COUNTIF($AB$3:AB2933,1),"")</f>
        <v/>
      </c>
      <c r="AD2933" s="117" t="str">
        <f>IFERROR(INDEX($AA$3:$AA$10000,MATCH(ROWS($AC$3:AC2933),$AC$3:$AC$10000,0)),"")</f>
        <v/>
      </c>
      <c r="AE2933" s="117" t="str">
        <f>+'Packing Material - Cost'!A2934</f>
        <v/>
      </c>
    </row>
    <row r="2934" spans="27:31">
      <c r="AA2934" s="117">
        <f>+'Ingredient List - Mother Tinctu'!D2935</f>
        <v>0</v>
      </c>
      <c r="AB2934" s="117">
        <f t="shared" si="48"/>
        <v>0</v>
      </c>
      <c r="AC2934" s="117" t="str">
        <f>IF(AB2934=1,COUNTIF($AB$3:AB2934,1),"")</f>
        <v/>
      </c>
      <c r="AD2934" s="117" t="str">
        <f>IFERROR(INDEX($AA$3:$AA$10000,MATCH(ROWS($AC$3:AC2934),$AC$3:$AC$10000,0)),"")</f>
        <v/>
      </c>
      <c r="AE2934" s="117" t="str">
        <f>+'Packing Material - Cost'!A2935</f>
        <v/>
      </c>
    </row>
    <row r="2935" spans="27:31">
      <c r="AA2935" s="117">
        <f>+'Ingredient List - Mother Tinctu'!D2936</f>
        <v>0</v>
      </c>
      <c r="AB2935" s="117">
        <f t="shared" si="48"/>
        <v>0</v>
      </c>
      <c r="AC2935" s="117" t="str">
        <f>IF(AB2935=1,COUNTIF($AB$3:AB2935,1),"")</f>
        <v/>
      </c>
      <c r="AD2935" s="117" t="str">
        <f>IFERROR(INDEX($AA$3:$AA$10000,MATCH(ROWS($AC$3:AC2935),$AC$3:$AC$10000,0)),"")</f>
        <v/>
      </c>
      <c r="AE2935" s="117" t="str">
        <f>+'Packing Material - Cost'!A2936</f>
        <v/>
      </c>
    </row>
    <row r="2936" spans="27:31">
      <c r="AA2936" s="117">
        <f>+'Ingredient List - Mother Tinctu'!D2937</f>
        <v>0</v>
      </c>
      <c r="AB2936" s="117">
        <f t="shared" si="48"/>
        <v>0</v>
      </c>
      <c r="AC2936" s="117" t="str">
        <f>IF(AB2936=1,COUNTIF($AB$3:AB2936,1),"")</f>
        <v/>
      </c>
      <c r="AD2936" s="117" t="str">
        <f>IFERROR(INDEX($AA$3:$AA$10000,MATCH(ROWS($AC$3:AC2936),$AC$3:$AC$10000,0)),"")</f>
        <v/>
      </c>
      <c r="AE2936" s="117" t="str">
        <f>+'Packing Material - Cost'!A2937</f>
        <v/>
      </c>
    </row>
    <row r="2937" spans="27:31">
      <c r="AA2937" s="117">
        <f>+'Ingredient List - Mother Tinctu'!D2938</f>
        <v>0</v>
      </c>
      <c r="AB2937" s="117">
        <f t="shared" si="48"/>
        <v>0</v>
      </c>
      <c r="AC2937" s="117" t="str">
        <f>IF(AB2937=1,COUNTIF($AB$3:AB2937,1),"")</f>
        <v/>
      </c>
      <c r="AD2937" s="117" t="str">
        <f>IFERROR(INDEX($AA$3:$AA$10000,MATCH(ROWS($AC$3:AC2937),$AC$3:$AC$10000,0)),"")</f>
        <v/>
      </c>
      <c r="AE2937" s="117" t="str">
        <f>+'Packing Material - Cost'!A2938</f>
        <v/>
      </c>
    </row>
    <row r="2938" spans="27:31">
      <c r="AA2938" s="117">
        <f>+'Ingredient List - Mother Tinctu'!D2939</f>
        <v>0</v>
      </c>
      <c r="AB2938" s="117">
        <f t="shared" si="48"/>
        <v>0</v>
      </c>
      <c r="AC2938" s="117" t="str">
        <f>IF(AB2938=1,COUNTIF($AB$3:AB2938,1),"")</f>
        <v/>
      </c>
      <c r="AD2938" s="117" t="str">
        <f>IFERROR(INDEX($AA$3:$AA$10000,MATCH(ROWS($AC$3:AC2938),$AC$3:$AC$10000,0)),"")</f>
        <v/>
      </c>
      <c r="AE2938" s="117" t="str">
        <f>+'Packing Material - Cost'!A2939</f>
        <v/>
      </c>
    </row>
    <row r="2939" spans="27:31">
      <c r="AA2939" s="117">
        <f>+'Ingredient List - Mother Tinctu'!D2940</f>
        <v>0</v>
      </c>
      <c r="AB2939" s="117">
        <f t="shared" si="48"/>
        <v>0</v>
      </c>
      <c r="AC2939" s="117" t="str">
        <f>IF(AB2939=1,COUNTIF($AB$3:AB2939,1),"")</f>
        <v/>
      </c>
      <c r="AD2939" s="117" t="str">
        <f>IFERROR(INDEX($AA$3:$AA$10000,MATCH(ROWS($AC$3:AC2939),$AC$3:$AC$10000,0)),"")</f>
        <v/>
      </c>
      <c r="AE2939" s="117" t="str">
        <f>+'Packing Material - Cost'!A2940</f>
        <v/>
      </c>
    </row>
    <row r="2940" spans="27:31">
      <c r="AA2940" s="117">
        <f>+'Ingredient List - Mother Tinctu'!D2941</f>
        <v>0</v>
      </c>
      <c r="AB2940" s="117">
        <f t="shared" si="48"/>
        <v>0</v>
      </c>
      <c r="AC2940" s="117" t="str">
        <f>IF(AB2940=1,COUNTIF($AB$3:AB2940,1),"")</f>
        <v/>
      </c>
      <c r="AD2940" s="117" t="str">
        <f>IFERROR(INDEX($AA$3:$AA$10000,MATCH(ROWS($AC$3:AC2940),$AC$3:$AC$10000,0)),"")</f>
        <v/>
      </c>
      <c r="AE2940" s="117" t="str">
        <f>+'Packing Material - Cost'!A2941</f>
        <v/>
      </c>
    </row>
    <row r="2941" spans="27:31">
      <c r="AA2941" s="117">
        <f>+'Ingredient List - Mother Tinctu'!D2942</f>
        <v>0</v>
      </c>
      <c r="AB2941" s="117">
        <f t="shared" si="48"/>
        <v>0</v>
      </c>
      <c r="AC2941" s="117" t="str">
        <f>IF(AB2941=1,COUNTIF($AB$3:AB2941,1),"")</f>
        <v/>
      </c>
      <c r="AD2941" s="117" t="str">
        <f>IFERROR(INDEX($AA$3:$AA$10000,MATCH(ROWS($AC$3:AC2941),$AC$3:$AC$10000,0)),"")</f>
        <v/>
      </c>
      <c r="AE2941" s="117" t="str">
        <f>+'Packing Material - Cost'!A2942</f>
        <v/>
      </c>
    </row>
    <row r="2942" spans="27:31">
      <c r="AA2942" s="117">
        <f>+'Ingredient List - Mother Tinctu'!D2943</f>
        <v>0</v>
      </c>
      <c r="AB2942" s="117">
        <f t="shared" si="48"/>
        <v>0</v>
      </c>
      <c r="AC2942" s="117" t="str">
        <f>IF(AB2942=1,COUNTIF($AB$3:AB2942,1),"")</f>
        <v/>
      </c>
      <c r="AD2942" s="117" t="str">
        <f>IFERROR(INDEX($AA$3:$AA$10000,MATCH(ROWS($AC$3:AC2942),$AC$3:$AC$10000,0)),"")</f>
        <v/>
      </c>
      <c r="AE2942" s="117" t="str">
        <f>+'Packing Material - Cost'!A2943</f>
        <v/>
      </c>
    </row>
    <row r="2943" spans="27:31">
      <c r="AA2943" s="117">
        <f>+'Ingredient List - Mother Tinctu'!D2944</f>
        <v>0</v>
      </c>
      <c r="AB2943" s="117">
        <f t="shared" si="48"/>
        <v>0</v>
      </c>
      <c r="AC2943" s="117" t="str">
        <f>IF(AB2943=1,COUNTIF($AB$3:AB2943,1),"")</f>
        <v/>
      </c>
      <c r="AD2943" s="117" t="str">
        <f>IFERROR(INDEX($AA$3:$AA$10000,MATCH(ROWS($AC$3:AC2943),$AC$3:$AC$10000,0)),"")</f>
        <v/>
      </c>
      <c r="AE2943" s="117" t="str">
        <f>+'Packing Material - Cost'!A2944</f>
        <v/>
      </c>
    </row>
    <row r="2944" spans="27:31">
      <c r="AA2944" s="117">
        <f>+'Ingredient List - Mother Tinctu'!D2945</f>
        <v>0</v>
      </c>
      <c r="AB2944" s="117">
        <f t="shared" si="48"/>
        <v>0</v>
      </c>
      <c r="AC2944" s="117" t="str">
        <f>IF(AB2944=1,COUNTIF($AB$3:AB2944,1),"")</f>
        <v/>
      </c>
      <c r="AD2944" s="117" t="str">
        <f>IFERROR(INDEX($AA$3:$AA$10000,MATCH(ROWS($AC$3:AC2944),$AC$3:$AC$10000,0)),"")</f>
        <v/>
      </c>
      <c r="AE2944" s="117" t="str">
        <f>+'Packing Material - Cost'!A2945</f>
        <v/>
      </c>
    </row>
    <row r="2945" spans="27:31">
      <c r="AA2945" s="117">
        <f>+'Ingredient List - Mother Tinctu'!D2946</f>
        <v>0</v>
      </c>
      <c r="AB2945" s="117">
        <f t="shared" si="48"/>
        <v>0</v>
      </c>
      <c r="AC2945" s="117" t="str">
        <f>IF(AB2945=1,COUNTIF($AB$3:AB2945,1),"")</f>
        <v/>
      </c>
      <c r="AD2945" s="117" t="str">
        <f>IFERROR(INDEX($AA$3:$AA$10000,MATCH(ROWS($AC$3:AC2945),$AC$3:$AC$10000,0)),"")</f>
        <v/>
      </c>
      <c r="AE2945" s="117" t="str">
        <f>+'Packing Material - Cost'!A2946</f>
        <v/>
      </c>
    </row>
    <row r="2946" spans="27:31">
      <c r="AA2946" s="117">
        <f>+'Ingredient List - Mother Tinctu'!D2947</f>
        <v>0</v>
      </c>
      <c r="AB2946" s="117">
        <f t="shared" si="48"/>
        <v>0</v>
      </c>
      <c r="AC2946" s="117" t="str">
        <f>IF(AB2946=1,COUNTIF($AB$3:AB2946,1),"")</f>
        <v/>
      </c>
      <c r="AD2946" s="117" t="str">
        <f>IFERROR(INDEX($AA$3:$AA$10000,MATCH(ROWS($AC$3:AC2946),$AC$3:$AC$10000,0)),"")</f>
        <v/>
      </c>
      <c r="AE2946" s="117" t="str">
        <f>+'Packing Material - Cost'!A2947</f>
        <v/>
      </c>
    </row>
    <row r="2947" spans="27:31">
      <c r="AA2947" s="117">
        <f>+'Ingredient List - Mother Tinctu'!D2948</f>
        <v>0</v>
      </c>
      <c r="AB2947" s="117">
        <f t="shared" si="48"/>
        <v>0</v>
      </c>
      <c r="AC2947" s="117" t="str">
        <f>IF(AB2947=1,COUNTIF($AB$3:AB2947,1),"")</f>
        <v/>
      </c>
      <c r="AD2947" s="117" t="str">
        <f>IFERROR(INDEX($AA$3:$AA$10000,MATCH(ROWS($AC$3:AC2947),$AC$3:$AC$10000,0)),"")</f>
        <v/>
      </c>
      <c r="AE2947" s="117" t="str">
        <f>+'Packing Material - Cost'!A2948</f>
        <v/>
      </c>
    </row>
    <row r="2948" spans="27:31">
      <c r="AA2948" s="117">
        <f>+'Ingredient List - Mother Tinctu'!D2949</f>
        <v>0</v>
      </c>
      <c r="AB2948" s="117">
        <f t="shared" ref="AB2948:AB3011" si="49">--ISNUMBER(IFERROR(SEARCH($D$3,AA2948,1),""))</f>
        <v>0</v>
      </c>
      <c r="AC2948" s="117" t="str">
        <f>IF(AB2948=1,COUNTIF($AB$3:AB2948,1),"")</f>
        <v/>
      </c>
      <c r="AD2948" s="117" t="str">
        <f>IFERROR(INDEX($AA$3:$AA$10000,MATCH(ROWS($AC$3:AC2948),$AC$3:$AC$10000,0)),"")</f>
        <v/>
      </c>
      <c r="AE2948" s="117" t="str">
        <f>+'Packing Material - Cost'!A2949</f>
        <v/>
      </c>
    </row>
    <row r="2949" spans="27:31">
      <c r="AA2949" s="117">
        <f>+'Ingredient List - Mother Tinctu'!D2950</f>
        <v>0</v>
      </c>
      <c r="AB2949" s="117">
        <f t="shared" si="49"/>
        <v>0</v>
      </c>
      <c r="AC2949" s="117" t="str">
        <f>IF(AB2949=1,COUNTIF($AB$3:AB2949,1),"")</f>
        <v/>
      </c>
      <c r="AD2949" s="117" t="str">
        <f>IFERROR(INDEX($AA$3:$AA$10000,MATCH(ROWS($AC$3:AC2949),$AC$3:$AC$10000,0)),"")</f>
        <v/>
      </c>
      <c r="AE2949" s="117" t="str">
        <f>+'Packing Material - Cost'!A2950</f>
        <v/>
      </c>
    </row>
    <row r="2950" spans="27:31">
      <c r="AA2950" s="117">
        <f>+'Ingredient List - Mother Tinctu'!D2951</f>
        <v>0</v>
      </c>
      <c r="AB2950" s="117">
        <f t="shared" si="49"/>
        <v>0</v>
      </c>
      <c r="AC2950" s="117" t="str">
        <f>IF(AB2950=1,COUNTIF($AB$3:AB2950,1),"")</f>
        <v/>
      </c>
      <c r="AD2950" s="117" t="str">
        <f>IFERROR(INDEX($AA$3:$AA$10000,MATCH(ROWS($AC$3:AC2950),$AC$3:$AC$10000,0)),"")</f>
        <v/>
      </c>
      <c r="AE2950" s="117" t="str">
        <f>+'Packing Material - Cost'!A2951</f>
        <v/>
      </c>
    </row>
    <row r="2951" spans="27:31">
      <c r="AA2951" s="117">
        <f>+'Ingredient List - Mother Tinctu'!D2952</f>
        <v>0</v>
      </c>
      <c r="AB2951" s="117">
        <f t="shared" si="49"/>
        <v>0</v>
      </c>
      <c r="AC2951" s="117" t="str">
        <f>IF(AB2951=1,COUNTIF($AB$3:AB2951,1),"")</f>
        <v/>
      </c>
      <c r="AD2951" s="117" t="str">
        <f>IFERROR(INDEX($AA$3:$AA$10000,MATCH(ROWS($AC$3:AC2951),$AC$3:$AC$10000,0)),"")</f>
        <v/>
      </c>
      <c r="AE2951" s="117" t="str">
        <f>+'Packing Material - Cost'!A2952</f>
        <v/>
      </c>
    </row>
    <row r="2952" spans="27:31">
      <c r="AA2952" s="117">
        <f>+'Ingredient List - Mother Tinctu'!D2953</f>
        <v>0</v>
      </c>
      <c r="AB2952" s="117">
        <f t="shared" si="49"/>
        <v>0</v>
      </c>
      <c r="AC2952" s="117" t="str">
        <f>IF(AB2952=1,COUNTIF($AB$3:AB2952,1),"")</f>
        <v/>
      </c>
      <c r="AD2952" s="117" t="str">
        <f>IFERROR(INDEX($AA$3:$AA$10000,MATCH(ROWS($AC$3:AC2952),$AC$3:$AC$10000,0)),"")</f>
        <v/>
      </c>
      <c r="AE2952" s="117" t="str">
        <f>+'Packing Material - Cost'!A2953</f>
        <v/>
      </c>
    </row>
    <row r="2953" spans="27:31">
      <c r="AA2953" s="117">
        <f>+'Ingredient List - Mother Tinctu'!D2954</f>
        <v>0</v>
      </c>
      <c r="AB2953" s="117">
        <f t="shared" si="49"/>
        <v>0</v>
      </c>
      <c r="AC2953" s="117" t="str">
        <f>IF(AB2953=1,COUNTIF($AB$3:AB2953,1),"")</f>
        <v/>
      </c>
      <c r="AD2953" s="117" t="str">
        <f>IFERROR(INDEX($AA$3:$AA$10000,MATCH(ROWS($AC$3:AC2953),$AC$3:$AC$10000,0)),"")</f>
        <v/>
      </c>
      <c r="AE2953" s="117" t="str">
        <f>+'Packing Material - Cost'!A2954</f>
        <v/>
      </c>
    </row>
    <row r="2954" spans="27:31">
      <c r="AA2954" s="117">
        <f>+'Ingredient List - Mother Tinctu'!D2955</f>
        <v>0</v>
      </c>
      <c r="AB2954" s="117">
        <f t="shared" si="49"/>
        <v>0</v>
      </c>
      <c r="AC2954" s="117" t="str">
        <f>IF(AB2954=1,COUNTIF($AB$3:AB2954,1),"")</f>
        <v/>
      </c>
      <c r="AD2954" s="117" t="str">
        <f>IFERROR(INDEX($AA$3:$AA$10000,MATCH(ROWS($AC$3:AC2954),$AC$3:$AC$10000,0)),"")</f>
        <v/>
      </c>
      <c r="AE2954" s="117" t="str">
        <f>+'Packing Material - Cost'!A2955</f>
        <v/>
      </c>
    </row>
    <row r="2955" spans="27:31">
      <c r="AA2955" s="117">
        <f>+'Ingredient List - Mother Tinctu'!D2956</f>
        <v>0</v>
      </c>
      <c r="AB2955" s="117">
        <f t="shared" si="49"/>
        <v>0</v>
      </c>
      <c r="AC2955" s="117" t="str">
        <f>IF(AB2955=1,COUNTIF($AB$3:AB2955,1),"")</f>
        <v/>
      </c>
      <c r="AD2955" s="117" t="str">
        <f>IFERROR(INDEX($AA$3:$AA$10000,MATCH(ROWS($AC$3:AC2955),$AC$3:$AC$10000,0)),"")</f>
        <v/>
      </c>
      <c r="AE2955" s="117" t="str">
        <f>+'Packing Material - Cost'!A2956</f>
        <v/>
      </c>
    </row>
    <row r="2956" spans="27:31">
      <c r="AA2956" s="117">
        <f>+'Ingredient List - Mother Tinctu'!D2957</f>
        <v>0</v>
      </c>
      <c r="AB2956" s="117">
        <f t="shared" si="49"/>
        <v>0</v>
      </c>
      <c r="AC2956" s="117" t="str">
        <f>IF(AB2956=1,COUNTIF($AB$3:AB2956,1),"")</f>
        <v/>
      </c>
      <c r="AD2956" s="117" t="str">
        <f>IFERROR(INDEX($AA$3:$AA$10000,MATCH(ROWS($AC$3:AC2956),$AC$3:$AC$10000,0)),"")</f>
        <v/>
      </c>
      <c r="AE2956" s="117" t="str">
        <f>+'Packing Material - Cost'!A2957</f>
        <v/>
      </c>
    </row>
    <row r="2957" spans="27:31">
      <c r="AA2957" s="117">
        <f>+'Ingredient List - Mother Tinctu'!D2958</f>
        <v>0</v>
      </c>
      <c r="AB2957" s="117">
        <f t="shared" si="49"/>
        <v>0</v>
      </c>
      <c r="AC2957" s="117" t="str">
        <f>IF(AB2957=1,COUNTIF($AB$3:AB2957,1),"")</f>
        <v/>
      </c>
      <c r="AD2957" s="117" t="str">
        <f>IFERROR(INDEX($AA$3:$AA$10000,MATCH(ROWS($AC$3:AC2957),$AC$3:$AC$10000,0)),"")</f>
        <v/>
      </c>
      <c r="AE2957" s="117" t="str">
        <f>+'Packing Material - Cost'!A2958</f>
        <v/>
      </c>
    </row>
    <row r="2958" spans="27:31">
      <c r="AA2958" s="117">
        <f>+'Ingredient List - Mother Tinctu'!D2959</f>
        <v>0</v>
      </c>
      <c r="AB2958" s="117">
        <f t="shared" si="49"/>
        <v>0</v>
      </c>
      <c r="AC2958" s="117" t="str">
        <f>IF(AB2958=1,COUNTIF($AB$3:AB2958,1),"")</f>
        <v/>
      </c>
      <c r="AD2958" s="117" t="str">
        <f>IFERROR(INDEX($AA$3:$AA$10000,MATCH(ROWS($AC$3:AC2958),$AC$3:$AC$10000,0)),"")</f>
        <v/>
      </c>
      <c r="AE2958" s="117" t="str">
        <f>+'Packing Material - Cost'!A2959</f>
        <v/>
      </c>
    </row>
    <row r="2959" spans="27:31">
      <c r="AA2959" s="117">
        <f>+'Ingredient List - Mother Tinctu'!D2960</f>
        <v>0</v>
      </c>
      <c r="AB2959" s="117">
        <f t="shared" si="49"/>
        <v>0</v>
      </c>
      <c r="AC2959" s="117" t="str">
        <f>IF(AB2959=1,COUNTIF($AB$3:AB2959,1),"")</f>
        <v/>
      </c>
      <c r="AD2959" s="117" t="str">
        <f>IFERROR(INDEX($AA$3:$AA$10000,MATCH(ROWS($AC$3:AC2959),$AC$3:$AC$10000,0)),"")</f>
        <v/>
      </c>
      <c r="AE2959" s="117" t="str">
        <f>+'Packing Material - Cost'!A2960</f>
        <v/>
      </c>
    </row>
    <row r="2960" spans="27:31">
      <c r="AA2960" s="117">
        <f>+'Ingredient List - Mother Tinctu'!D2961</f>
        <v>0</v>
      </c>
      <c r="AB2960" s="117">
        <f t="shared" si="49"/>
        <v>0</v>
      </c>
      <c r="AC2960" s="117" t="str">
        <f>IF(AB2960=1,COUNTIF($AB$3:AB2960,1),"")</f>
        <v/>
      </c>
      <c r="AD2960" s="117" t="str">
        <f>IFERROR(INDEX($AA$3:$AA$10000,MATCH(ROWS($AC$3:AC2960),$AC$3:$AC$10000,0)),"")</f>
        <v/>
      </c>
      <c r="AE2960" s="117" t="str">
        <f>+'Packing Material - Cost'!A2961</f>
        <v/>
      </c>
    </row>
    <row r="2961" spans="27:31">
      <c r="AA2961" s="117">
        <f>+'Ingredient List - Mother Tinctu'!D2962</f>
        <v>0</v>
      </c>
      <c r="AB2961" s="117">
        <f t="shared" si="49"/>
        <v>0</v>
      </c>
      <c r="AC2961" s="117" t="str">
        <f>IF(AB2961=1,COUNTIF($AB$3:AB2961,1),"")</f>
        <v/>
      </c>
      <c r="AD2961" s="117" t="str">
        <f>IFERROR(INDEX($AA$3:$AA$10000,MATCH(ROWS($AC$3:AC2961),$AC$3:$AC$10000,0)),"")</f>
        <v/>
      </c>
      <c r="AE2961" s="117" t="str">
        <f>+'Packing Material - Cost'!A2962</f>
        <v/>
      </c>
    </row>
    <row r="2962" spans="27:31">
      <c r="AA2962" s="117">
        <f>+'Ingredient List - Mother Tinctu'!D2963</f>
        <v>0</v>
      </c>
      <c r="AB2962" s="117">
        <f t="shared" si="49"/>
        <v>0</v>
      </c>
      <c r="AC2962" s="117" t="str">
        <f>IF(AB2962=1,COUNTIF($AB$3:AB2962,1),"")</f>
        <v/>
      </c>
      <c r="AD2962" s="117" t="str">
        <f>IFERROR(INDEX($AA$3:$AA$10000,MATCH(ROWS($AC$3:AC2962),$AC$3:$AC$10000,0)),"")</f>
        <v/>
      </c>
      <c r="AE2962" s="117" t="str">
        <f>+'Packing Material - Cost'!A2963</f>
        <v/>
      </c>
    </row>
    <row r="2963" spans="27:31">
      <c r="AA2963" s="117">
        <f>+'Ingredient List - Mother Tinctu'!D2964</f>
        <v>0</v>
      </c>
      <c r="AB2963" s="117">
        <f t="shared" si="49"/>
        <v>0</v>
      </c>
      <c r="AC2963" s="117" t="str">
        <f>IF(AB2963=1,COUNTIF($AB$3:AB2963,1),"")</f>
        <v/>
      </c>
      <c r="AD2963" s="117" t="str">
        <f>IFERROR(INDEX($AA$3:$AA$10000,MATCH(ROWS($AC$3:AC2963),$AC$3:$AC$10000,0)),"")</f>
        <v/>
      </c>
      <c r="AE2963" s="117" t="str">
        <f>+'Packing Material - Cost'!A2964</f>
        <v/>
      </c>
    </row>
    <row r="2964" spans="27:31">
      <c r="AA2964" s="117">
        <f>+'Ingredient List - Mother Tinctu'!D2965</f>
        <v>0</v>
      </c>
      <c r="AB2964" s="117">
        <f t="shared" si="49"/>
        <v>0</v>
      </c>
      <c r="AC2964" s="117" t="str">
        <f>IF(AB2964=1,COUNTIF($AB$3:AB2964,1),"")</f>
        <v/>
      </c>
      <c r="AD2964" s="117" t="str">
        <f>IFERROR(INDEX($AA$3:$AA$10000,MATCH(ROWS($AC$3:AC2964),$AC$3:$AC$10000,0)),"")</f>
        <v/>
      </c>
      <c r="AE2964" s="117" t="str">
        <f>+'Packing Material - Cost'!A2965</f>
        <v/>
      </c>
    </row>
    <row r="2965" spans="27:31">
      <c r="AA2965" s="117">
        <f>+'Ingredient List - Mother Tinctu'!D2966</f>
        <v>0</v>
      </c>
      <c r="AB2965" s="117">
        <f t="shared" si="49"/>
        <v>0</v>
      </c>
      <c r="AC2965" s="117" t="str">
        <f>IF(AB2965=1,COUNTIF($AB$3:AB2965,1),"")</f>
        <v/>
      </c>
      <c r="AD2965" s="117" t="str">
        <f>IFERROR(INDEX($AA$3:$AA$10000,MATCH(ROWS($AC$3:AC2965),$AC$3:$AC$10000,0)),"")</f>
        <v/>
      </c>
      <c r="AE2965" s="117" t="str">
        <f>+'Packing Material - Cost'!A2966</f>
        <v/>
      </c>
    </row>
    <row r="2966" spans="27:31">
      <c r="AA2966" s="117">
        <f>+'Ingredient List - Mother Tinctu'!D2967</f>
        <v>0</v>
      </c>
      <c r="AB2966" s="117">
        <f t="shared" si="49"/>
        <v>0</v>
      </c>
      <c r="AC2966" s="117" t="str">
        <f>IF(AB2966=1,COUNTIF($AB$3:AB2966,1),"")</f>
        <v/>
      </c>
      <c r="AD2966" s="117" t="str">
        <f>IFERROR(INDEX($AA$3:$AA$10000,MATCH(ROWS($AC$3:AC2966),$AC$3:$AC$10000,0)),"")</f>
        <v/>
      </c>
      <c r="AE2966" s="117" t="str">
        <f>+'Packing Material - Cost'!A2967</f>
        <v/>
      </c>
    </row>
    <row r="2967" spans="27:31">
      <c r="AA2967" s="117">
        <f>+'Ingredient List - Mother Tinctu'!D2968</f>
        <v>0</v>
      </c>
      <c r="AB2967" s="117">
        <f t="shared" si="49"/>
        <v>0</v>
      </c>
      <c r="AC2967" s="117" t="str">
        <f>IF(AB2967=1,COUNTIF($AB$3:AB2967,1),"")</f>
        <v/>
      </c>
      <c r="AD2967" s="117" t="str">
        <f>IFERROR(INDEX($AA$3:$AA$10000,MATCH(ROWS($AC$3:AC2967),$AC$3:$AC$10000,0)),"")</f>
        <v/>
      </c>
      <c r="AE2967" s="117" t="str">
        <f>+'Packing Material - Cost'!A2968</f>
        <v/>
      </c>
    </row>
    <row r="2968" spans="27:31">
      <c r="AA2968" s="117">
        <f>+'Ingredient List - Mother Tinctu'!D2969</f>
        <v>0</v>
      </c>
      <c r="AB2968" s="117">
        <f t="shared" si="49"/>
        <v>0</v>
      </c>
      <c r="AC2968" s="117" t="str">
        <f>IF(AB2968=1,COUNTIF($AB$3:AB2968,1),"")</f>
        <v/>
      </c>
      <c r="AD2968" s="117" t="str">
        <f>IFERROR(INDEX($AA$3:$AA$10000,MATCH(ROWS($AC$3:AC2968),$AC$3:$AC$10000,0)),"")</f>
        <v/>
      </c>
      <c r="AE2968" s="117" t="str">
        <f>+'Packing Material - Cost'!A2969</f>
        <v/>
      </c>
    </row>
    <row r="2969" spans="27:31">
      <c r="AA2969" s="117">
        <f>+'Ingredient List - Mother Tinctu'!D2970</f>
        <v>0</v>
      </c>
      <c r="AB2969" s="117">
        <f t="shared" si="49"/>
        <v>0</v>
      </c>
      <c r="AC2969" s="117" t="str">
        <f>IF(AB2969=1,COUNTIF($AB$3:AB2969,1),"")</f>
        <v/>
      </c>
      <c r="AD2969" s="117" t="str">
        <f>IFERROR(INDEX($AA$3:$AA$10000,MATCH(ROWS($AC$3:AC2969),$AC$3:$AC$10000,0)),"")</f>
        <v/>
      </c>
      <c r="AE2969" s="117" t="str">
        <f>+'Packing Material - Cost'!A2970</f>
        <v/>
      </c>
    </row>
    <row r="2970" spans="27:31">
      <c r="AA2970" s="117">
        <f>+'Ingredient List - Mother Tinctu'!D2971</f>
        <v>0</v>
      </c>
      <c r="AB2970" s="117">
        <f t="shared" si="49"/>
        <v>0</v>
      </c>
      <c r="AC2970" s="117" t="str">
        <f>IF(AB2970=1,COUNTIF($AB$3:AB2970,1),"")</f>
        <v/>
      </c>
      <c r="AD2970" s="117" t="str">
        <f>IFERROR(INDEX($AA$3:$AA$10000,MATCH(ROWS($AC$3:AC2970),$AC$3:$AC$10000,0)),"")</f>
        <v/>
      </c>
      <c r="AE2970" s="117" t="str">
        <f>+'Packing Material - Cost'!A2971</f>
        <v/>
      </c>
    </row>
    <row r="2971" spans="27:31">
      <c r="AA2971" s="117">
        <f>+'Ingredient List - Mother Tinctu'!D2972</f>
        <v>0</v>
      </c>
      <c r="AB2971" s="117">
        <f t="shared" si="49"/>
        <v>0</v>
      </c>
      <c r="AC2971" s="117" t="str">
        <f>IF(AB2971=1,COUNTIF($AB$3:AB2971,1),"")</f>
        <v/>
      </c>
      <c r="AD2971" s="117" t="str">
        <f>IFERROR(INDEX($AA$3:$AA$10000,MATCH(ROWS($AC$3:AC2971),$AC$3:$AC$10000,0)),"")</f>
        <v/>
      </c>
      <c r="AE2971" s="117" t="str">
        <f>+'Packing Material - Cost'!A2972</f>
        <v/>
      </c>
    </row>
    <row r="2972" spans="27:31">
      <c r="AA2972" s="117">
        <f>+'Ingredient List - Mother Tinctu'!D2973</f>
        <v>0</v>
      </c>
      <c r="AB2972" s="117">
        <f t="shared" si="49"/>
        <v>0</v>
      </c>
      <c r="AC2972" s="117" t="str">
        <f>IF(AB2972=1,COUNTIF($AB$3:AB2972,1),"")</f>
        <v/>
      </c>
      <c r="AD2972" s="117" t="str">
        <f>IFERROR(INDEX($AA$3:$AA$10000,MATCH(ROWS($AC$3:AC2972),$AC$3:$AC$10000,0)),"")</f>
        <v/>
      </c>
      <c r="AE2972" s="117" t="str">
        <f>+'Packing Material - Cost'!A2973</f>
        <v/>
      </c>
    </row>
    <row r="2973" spans="27:31">
      <c r="AA2973" s="117">
        <f>+'Ingredient List - Mother Tinctu'!D2974</f>
        <v>0</v>
      </c>
      <c r="AB2973" s="117">
        <f t="shared" si="49"/>
        <v>0</v>
      </c>
      <c r="AC2973" s="117" t="str">
        <f>IF(AB2973=1,COUNTIF($AB$3:AB2973,1),"")</f>
        <v/>
      </c>
      <c r="AD2973" s="117" t="str">
        <f>IFERROR(INDEX($AA$3:$AA$10000,MATCH(ROWS($AC$3:AC2973),$AC$3:$AC$10000,0)),"")</f>
        <v/>
      </c>
      <c r="AE2973" s="117" t="str">
        <f>+'Packing Material - Cost'!A2974</f>
        <v/>
      </c>
    </row>
    <row r="2974" spans="27:31">
      <c r="AA2974" s="117">
        <f>+'Ingredient List - Mother Tinctu'!D2975</f>
        <v>0</v>
      </c>
      <c r="AB2974" s="117">
        <f t="shared" si="49"/>
        <v>0</v>
      </c>
      <c r="AC2974" s="117" t="str">
        <f>IF(AB2974=1,COUNTIF($AB$3:AB2974,1),"")</f>
        <v/>
      </c>
      <c r="AD2974" s="117" t="str">
        <f>IFERROR(INDEX($AA$3:$AA$10000,MATCH(ROWS($AC$3:AC2974),$AC$3:$AC$10000,0)),"")</f>
        <v/>
      </c>
      <c r="AE2974" s="117" t="str">
        <f>+'Packing Material - Cost'!A2975</f>
        <v/>
      </c>
    </row>
    <row r="2975" spans="27:31">
      <c r="AA2975" s="117">
        <f>+'Ingredient List - Mother Tinctu'!D2976</f>
        <v>0</v>
      </c>
      <c r="AB2975" s="117">
        <f t="shared" si="49"/>
        <v>0</v>
      </c>
      <c r="AC2975" s="117" t="str">
        <f>IF(AB2975=1,COUNTIF($AB$3:AB2975,1),"")</f>
        <v/>
      </c>
      <c r="AD2975" s="117" t="str">
        <f>IFERROR(INDEX($AA$3:$AA$10000,MATCH(ROWS($AC$3:AC2975),$AC$3:$AC$10000,0)),"")</f>
        <v/>
      </c>
      <c r="AE2975" s="117" t="str">
        <f>+'Packing Material - Cost'!A2976</f>
        <v/>
      </c>
    </row>
    <row r="2976" spans="27:31">
      <c r="AA2976" s="117">
        <f>+'Ingredient List - Mother Tinctu'!D2977</f>
        <v>0</v>
      </c>
      <c r="AB2976" s="117">
        <f t="shared" si="49"/>
        <v>0</v>
      </c>
      <c r="AC2976" s="117" t="str">
        <f>IF(AB2976=1,COUNTIF($AB$3:AB2976,1),"")</f>
        <v/>
      </c>
      <c r="AD2976" s="117" t="str">
        <f>IFERROR(INDEX($AA$3:$AA$10000,MATCH(ROWS($AC$3:AC2976),$AC$3:$AC$10000,0)),"")</f>
        <v/>
      </c>
      <c r="AE2976" s="117" t="str">
        <f>+'Packing Material - Cost'!A2977</f>
        <v/>
      </c>
    </row>
    <row r="2977" spans="27:31">
      <c r="AA2977" s="117">
        <f>+'Ingredient List - Mother Tinctu'!D2978</f>
        <v>0</v>
      </c>
      <c r="AB2977" s="117">
        <f t="shared" si="49"/>
        <v>0</v>
      </c>
      <c r="AC2977" s="117" t="str">
        <f>IF(AB2977=1,COUNTIF($AB$3:AB2977,1),"")</f>
        <v/>
      </c>
      <c r="AD2977" s="117" t="str">
        <f>IFERROR(INDEX($AA$3:$AA$10000,MATCH(ROWS($AC$3:AC2977),$AC$3:$AC$10000,0)),"")</f>
        <v/>
      </c>
      <c r="AE2977" s="117" t="str">
        <f>+'Packing Material - Cost'!A2978</f>
        <v/>
      </c>
    </row>
    <row r="2978" spans="27:31">
      <c r="AA2978" s="117">
        <f>+'Ingredient List - Mother Tinctu'!D2979</f>
        <v>0</v>
      </c>
      <c r="AB2978" s="117">
        <f t="shared" si="49"/>
        <v>0</v>
      </c>
      <c r="AC2978" s="117" t="str">
        <f>IF(AB2978=1,COUNTIF($AB$3:AB2978,1),"")</f>
        <v/>
      </c>
      <c r="AD2978" s="117" t="str">
        <f>IFERROR(INDEX($AA$3:$AA$10000,MATCH(ROWS($AC$3:AC2978),$AC$3:$AC$10000,0)),"")</f>
        <v/>
      </c>
      <c r="AE2978" s="117" t="str">
        <f>+'Packing Material - Cost'!A2979</f>
        <v/>
      </c>
    </row>
    <row r="2979" spans="27:31">
      <c r="AA2979" s="117">
        <f>+'Ingredient List - Mother Tinctu'!D2980</f>
        <v>0</v>
      </c>
      <c r="AB2979" s="117">
        <f t="shared" si="49"/>
        <v>0</v>
      </c>
      <c r="AC2979" s="117" t="str">
        <f>IF(AB2979=1,COUNTIF($AB$3:AB2979,1),"")</f>
        <v/>
      </c>
      <c r="AD2979" s="117" t="str">
        <f>IFERROR(INDEX($AA$3:$AA$10000,MATCH(ROWS($AC$3:AC2979),$AC$3:$AC$10000,0)),"")</f>
        <v/>
      </c>
      <c r="AE2979" s="117" t="str">
        <f>+'Packing Material - Cost'!A2980</f>
        <v/>
      </c>
    </row>
    <row r="2980" spans="27:31">
      <c r="AA2980" s="117">
        <f>+'Ingredient List - Mother Tinctu'!D2981</f>
        <v>0</v>
      </c>
      <c r="AB2980" s="117">
        <f t="shared" si="49"/>
        <v>0</v>
      </c>
      <c r="AC2980" s="117" t="str">
        <f>IF(AB2980=1,COUNTIF($AB$3:AB2980,1),"")</f>
        <v/>
      </c>
      <c r="AD2980" s="117" t="str">
        <f>IFERROR(INDEX($AA$3:$AA$10000,MATCH(ROWS($AC$3:AC2980),$AC$3:$AC$10000,0)),"")</f>
        <v/>
      </c>
      <c r="AE2980" s="117" t="str">
        <f>+'Packing Material - Cost'!A2981</f>
        <v/>
      </c>
    </row>
    <row r="2981" spans="27:31">
      <c r="AA2981" s="117">
        <f>+'Ingredient List - Mother Tinctu'!D2982</f>
        <v>0</v>
      </c>
      <c r="AB2981" s="117">
        <f t="shared" si="49"/>
        <v>0</v>
      </c>
      <c r="AC2981" s="117" t="str">
        <f>IF(AB2981=1,COUNTIF($AB$3:AB2981,1),"")</f>
        <v/>
      </c>
      <c r="AD2981" s="117" t="str">
        <f>IFERROR(INDEX($AA$3:$AA$10000,MATCH(ROWS($AC$3:AC2981),$AC$3:$AC$10000,0)),"")</f>
        <v/>
      </c>
      <c r="AE2981" s="117" t="str">
        <f>+'Packing Material - Cost'!A2982</f>
        <v/>
      </c>
    </row>
    <row r="2982" spans="27:31">
      <c r="AA2982" s="117">
        <f>+'Ingredient List - Mother Tinctu'!D2983</f>
        <v>0</v>
      </c>
      <c r="AB2982" s="117">
        <f t="shared" si="49"/>
        <v>0</v>
      </c>
      <c r="AC2982" s="117" t="str">
        <f>IF(AB2982=1,COUNTIF($AB$3:AB2982,1),"")</f>
        <v/>
      </c>
      <c r="AD2982" s="117" t="str">
        <f>IFERROR(INDEX($AA$3:$AA$10000,MATCH(ROWS($AC$3:AC2982),$AC$3:$AC$10000,0)),"")</f>
        <v/>
      </c>
      <c r="AE2982" s="117" t="str">
        <f>+'Packing Material - Cost'!A2983</f>
        <v/>
      </c>
    </row>
    <row r="2983" spans="27:31">
      <c r="AA2983" s="117">
        <f>+'Ingredient List - Mother Tinctu'!D2984</f>
        <v>0</v>
      </c>
      <c r="AB2983" s="117">
        <f t="shared" si="49"/>
        <v>0</v>
      </c>
      <c r="AC2983" s="117" t="str">
        <f>IF(AB2983=1,COUNTIF($AB$3:AB2983,1),"")</f>
        <v/>
      </c>
      <c r="AD2983" s="117" t="str">
        <f>IFERROR(INDEX($AA$3:$AA$10000,MATCH(ROWS($AC$3:AC2983),$AC$3:$AC$10000,0)),"")</f>
        <v/>
      </c>
      <c r="AE2983" s="117" t="str">
        <f>+'Packing Material - Cost'!A2984</f>
        <v/>
      </c>
    </row>
    <row r="2984" spans="27:31">
      <c r="AA2984" s="117">
        <f>+'Ingredient List - Mother Tinctu'!D2985</f>
        <v>0</v>
      </c>
      <c r="AB2984" s="117">
        <f t="shared" si="49"/>
        <v>0</v>
      </c>
      <c r="AC2984" s="117" t="str">
        <f>IF(AB2984=1,COUNTIF($AB$3:AB2984,1),"")</f>
        <v/>
      </c>
      <c r="AD2984" s="117" t="str">
        <f>IFERROR(INDEX($AA$3:$AA$10000,MATCH(ROWS($AC$3:AC2984),$AC$3:$AC$10000,0)),"")</f>
        <v/>
      </c>
      <c r="AE2984" s="117" t="str">
        <f>+'Packing Material - Cost'!A2985</f>
        <v/>
      </c>
    </row>
    <row r="2985" spans="27:31">
      <c r="AA2985" s="117">
        <f>+'Ingredient List - Mother Tinctu'!D2986</f>
        <v>0</v>
      </c>
      <c r="AB2985" s="117">
        <f t="shared" si="49"/>
        <v>0</v>
      </c>
      <c r="AC2985" s="117" t="str">
        <f>IF(AB2985=1,COUNTIF($AB$3:AB2985,1),"")</f>
        <v/>
      </c>
      <c r="AD2985" s="117" t="str">
        <f>IFERROR(INDEX($AA$3:$AA$10000,MATCH(ROWS($AC$3:AC2985),$AC$3:$AC$10000,0)),"")</f>
        <v/>
      </c>
      <c r="AE2985" s="117" t="str">
        <f>+'Packing Material - Cost'!A2986</f>
        <v/>
      </c>
    </row>
    <row r="2986" spans="27:31">
      <c r="AA2986" s="117">
        <f>+'Ingredient List - Mother Tinctu'!D2987</f>
        <v>0</v>
      </c>
      <c r="AB2986" s="117">
        <f t="shared" si="49"/>
        <v>0</v>
      </c>
      <c r="AC2986" s="117" t="str">
        <f>IF(AB2986=1,COUNTIF($AB$3:AB2986,1),"")</f>
        <v/>
      </c>
      <c r="AD2986" s="117" t="str">
        <f>IFERROR(INDEX($AA$3:$AA$10000,MATCH(ROWS($AC$3:AC2986),$AC$3:$AC$10000,0)),"")</f>
        <v/>
      </c>
      <c r="AE2986" s="117" t="str">
        <f>+'Packing Material - Cost'!A2987</f>
        <v/>
      </c>
    </row>
    <row r="2987" spans="27:31">
      <c r="AA2987" s="117">
        <f>+'Ingredient List - Mother Tinctu'!D2988</f>
        <v>0</v>
      </c>
      <c r="AB2987" s="117">
        <f t="shared" si="49"/>
        <v>0</v>
      </c>
      <c r="AC2987" s="117" t="str">
        <f>IF(AB2987=1,COUNTIF($AB$3:AB2987,1),"")</f>
        <v/>
      </c>
      <c r="AD2987" s="117" t="str">
        <f>IFERROR(INDEX($AA$3:$AA$10000,MATCH(ROWS($AC$3:AC2987),$AC$3:$AC$10000,0)),"")</f>
        <v/>
      </c>
      <c r="AE2987" s="117" t="str">
        <f>+'Packing Material - Cost'!A2988</f>
        <v/>
      </c>
    </row>
    <row r="2988" spans="27:31">
      <c r="AA2988" s="117">
        <f>+'Ingredient List - Mother Tinctu'!D2989</f>
        <v>0</v>
      </c>
      <c r="AB2988" s="117">
        <f t="shared" si="49"/>
        <v>0</v>
      </c>
      <c r="AC2988" s="117" t="str">
        <f>IF(AB2988=1,COUNTIF($AB$3:AB2988,1),"")</f>
        <v/>
      </c>
      <c r="AD2988" s="117" t="str">
        <f>IFERROR(INDEX($AA$3:$AA$10000,MATCH(ROWS($AC$3:AC2988),$AC$3:$AC$10000,0)),"")</f>
        <v/>
      </c>
      <c r="AE2988" s="117" t="str">
        <f>+'Packing Material - Cost'!A2989</f>
        <v/>
      </c>
    </row>
    <row r="2989" spans="27:31">
      <c r="AA2989" s="117">
        <f>+'Ingredient List - Mother Tinctu'!D2990</f>
        <v>0</v>
      </c>
      <c r="AB2989" s="117">
        <f t="shared" si="49"/>
        <v>0</v>
      </c>
      <c r="AC2989" s="117" t="str">
        <f>IF(AB2989=1,COUNTIF($AB$3:AB2989,1),"")</f>
        <v/>
      </c>
      <c r="AD2989" s="117" t="str">
        <f>IFERROR(INDEX($AA$3:$AA$10000,MATCH(ROWS($AC$3:AC2989),$AC$3:$AC$10000,0)),"")</f>
        <v/>
      </c>
      <c r="AE2989" s="117" t="str">
        <f>+'Packing Material - Cost'!A2990</f>
        <v/>
      </c>
    </row>
    <row r="2990" spans="27:31">
      <c r="AA2990" s="117">
        <f>+'Ingredient List - Mother Tinctu'!D2991</f>
        <v>0</v>
      </c>
      <c r="AB2990" s="117">
        <f t="shared" si="49"/>
        <v>0</v>
      </c>
      <c r="AC2990" s="117" t="str">
        <f>IF(AB2990=1,COUNTIF($AB$3:AB2990,1),"")</f>
        <v/>
      </c>
      <c r="AD2990" s="117" t="str">
        <f>IFERROR(INDEX($AA$3:$AA$10000,MATCH(ROWS($AC$3:AC2990),$AC$3:$AC$10000,0)),"")</f>
        <v/>
      </c>
      <c r="AE2990" s="117" t="str">
        <f>+'Packing Material - Cost'!A2991</f>
        <v/>
      </c>
    </row>
    <row r="2991" spans="27:31">
      <c r="AA2991" s="117">
        <f>+'Ingredient List - Mother Tinctu'!D2992</f>
        <v>0</v>
      </c>
      <c r="AB2991" s="117">
        <f t="shared" si="49"/>
        <v>0</v>
      </c>
      <c r="AC2991" s="117" t="str">
        <f>IF(AB2991=1,COUNTIF($AB$3:AB2991,1),"")</f>
        <v/>
      </c>
      <c r="AD2991" s="117" t="str">
        <f>IFERROR(INDEX($AA$3:$AA$10000,MATCH(ROWS($AC$3:AC2991),$AC$3:$AC$10000,0)),"")</f>
        <v/>
      </c>
      <c r="AE2991" s="117" t="str">
        <f>+'Packing Material - Cost'!A2992</f>
        <v/>
      </c>
    </row>
    <row r="2992" spans="27:31">
      <c r="AA2992" s="117">
        <f>+'Ingredient List - Mother Tinctu'!D2993</f>
        <v>0</v>
      </c>
      <c r="AB2992" s="117">
        <f t="shared" si="49"/>
        <v>0</v>
      </c>
      <c r="AC2992" s="117" t="str">
        <f>IF(AB2992=1,COUNTIF($AB$3:AB2992,1),"")</f>
        <v/>
      </c>
      <c r="AD2992" s="117" t="str">
        <f>IFERROR(INDEX($AA$3:$AA$10000,MATCH(ROWS($AC$3:AC2992),$AC$3:$AC$10000,0)),"")</f>
        <v/>
      </c>
      <c r="AE2992" s="117" t="str">
        <f>+'Packing Material - Cost'!A2993</f>
        <v/>
      </c>
    </row>
    <row r="2993" spans="27:31">
      <c r="AA2993" s="117">
        <f>+'Ingredient List - Mother Tinctu'!D2994</f>
        <v>0</v>
      </c>
      <c r="AB2993" s="117">
        <f t="shared" si="49"/>
        <v>0</v>
      </c>
      <c r="AC2993" s="117" t="str">
        <f>IF(AB2993=1,COUNTIF($AB$3:AB2993,1),"")</f>
        <v/>
      </c>
      <c r="AD2993" s="117" t="str">
        <f>IFERROR(INDEX($AA$3:$AA$10000,MATCH(ROWS($AC$3:AC2993),$AC$3:$AC$10000,0)),"")</f>
        <v/>
      </c>
      <c r="AE2993" s="117" t="str">
        <f>+'Packing Material - Cost'!A2994</f>
        <v/>
      </c>
    </row>
    <row r="2994" spans="27:31">
      <c r="AA2994" s="117">
        <f>+'Ingredient List - Mother Tinctu'!D2995</f>
        <v>0</v>
      </c>
      <c r="AB2994" s="117">
        <f t="shared" si="49"/>
        <v>0</v>
      </c>
      <c r="AC2994" s="117" t="str">
        <f>IF(AB2994=1,COUNTIF($AB$3:AB2994,1),"")</f>
        <v/>
      </c>
      <c r="AD2994" s="117" t="str">
        <f>IFERROR(INDEX($AA$3:$AA$10000,MATCH(ROWS($AC$3:AC2994),$AC$3:$AC$10000,0)),"")</f>
        <v/>
      </c>
      <c r="AE2994" s="117" t="str">
        <f>+'Packing Material - Cost'!A2995</f>
        <v/>
      </c>
    </row>
    <row r="2995" spans="27:31">
      <c r="AA2995" s="117">
        <f>+'Ingredient List - Mother Tinctu'!D2996</f>
        <v>0</v>
      </c>
      <c r="AB2995" s="117">
        <f t="shared" si="49"/>
        <v>0</v>
      </c>
      <c r="AC2995" s="117" t="str">
        <f>IF(AB2995=1,COUNTIF($AB$3:AB2995,1),"")</f>
        <v/>
      </c>
      <c r="AD2995" s="117" t="str">
        <f>IFERROR(INDEX($AA$3:$AA$10000,MATCH(ROWS($AC$3:AC2995),$AC$3:$AC$10000,0)),"")</f>
        <v/>
      </c>
      <c r="AE2995" s="117" t="str">
        <f>+'Packing Material - Cost'!A2996</f>
        <v/>
      </c>
    </row>
    <row r="2996" spans="27:31">
      <c r="AA2996" s="117">
        <f>+'Ingredient List - Mother Tinctu'!D2997</f>
        <v>0</v>
      </c>
      <c r="AB2996" s="117">
        <f t="shared" si="49"/>
        <v>0</v>
      </c>
      <c r="AC2996" s="117" t="str">
        <f>IF(AB2996=1,COUNTIF($AB$3:AB2996,1),"")</f>
        <v/>
      </c>
      <c r="AD2996" s="117" t="str">
        <f>IFERROR(INDEX($AA$3:$AA$10000,MATCH(ROWS($AC$3:AC2996),$AC$3:$AC$10000,0)),"")</f>
        <v/>
      </c>
      <c r="AE2996" s="117" t="str">
        <f>+'Packing Material - Cost'!A2997</f>
        <v/>
      </c>
    </row>
    <row r="2997" spans="27:31">
      <c r="AA2997" s="117">
        <f>+'Ingredient List - Mother Tinctu'!D2998</f>
        <v>0</v>
      </c>
      <c r="AB2997" s="117">
        <f t="shared" si="49"/>
        <v>0</v>
      </c>
      <c r="AC2997" s="117" t="str">
        <f>IF(AB2997=1,COUNTIF($AB$3:AB2997,1),"")</f>
        <v/>
      </c>
      <c r="AD2997" s="117" t="str">
        <f>IFERROR(INDEX($AA$3:$AA$10000,MATCH(ROWS($AC$3:AC2997),$AC$3:$AC$10000,0)),"")</f>
        <v/>
      </c>
      <c r="AE2997" s="117" t="str">
        <f>+'Packing Material - Cost'!A2998</f>
        <v/>
      </c>
    </row>
    <row r="2998" spans="27:31">
      <c r="AA2998" s="117">
        <f>+'Ingredient List - Mother Tinctu'!D2999</f>
        <v>0</v>
      </c>
      <c r="AB2998" s="117">
        <f t="shared" si="49"/>
        <v>0</v>
      </c>
      <c r="AC2998" s="117" t="str">
        <f>IF(AB2998=1,COUNTIF($AB$3:AB2998,1),"")</f>
        <v/>
      </c>
      <c r="AD2998" s="117" t="str">
        <f>IFERROR(INDEX($AA$3:$AA$10000,MATCH(ROWS($AC$3:AC2998),$AC$3:$AC$10000,0)),"")</f>
        <v/>
      </c>
      <c r="AE2998" s="117" t="str">
        <f>+'Packing Material - Cost'!A2999</f>
        <v/>
      </c>
    </row>
    <row r="2999" spans="27:31">
      <c r="AA2999" s="117">
        <f>+'Ingredient List - Mother Tinctu'!D3000</f>
        <v>0</v>
      </c>
      <c r="AB2999" s="117">
        <f t="shared" si="49"/>
        <v>0</v>
      </c>
      <c r="AC2999" s="117" t="str">
        <f>IF(AB2999=1,COUNTIF($AB$3:AB2999,1),"")</f>
        <v/>
      </c>
      <c r="AD2999" s="117" t="str">
        <f>IFERROR(INDEX($AA$3:$AA$10000,MATCH(ROWS($AC$3:AC2999),$AC$3:$AC$10000,0)),"")</f>
        <v/>
      </c>
      <c r="AE2999" s="117" t="str">
        <f>+'Packing Material - Cost'!A3000</f>
        <v/>
      </c>
    </row>
    <row r="3000" spans="27:31">
      <c r="AA3000" s="117">
        <f>+'Ingredient List - Mother Tinctu'!D3001</f>
        <v>0</v>
      </c>
      <c r="AB3000" s="117">
        <f t="shared" si="49"/>
        <v>0</v>
      </c>
      <c r="AC3000" s="117" t="str">
        <f>IF(AB3000=1,COUNTIF($AB$3:AB3000,1),"")</f>
        <v/>
      </c>
      <c r="AD3000" s="117" t="str">
        <f>IFERROR(INDEX($AA$3:$AA$10000,MATCH(ROWS($AC$3:AC3000),$AC$3:$AC$10000,0)),"")</f>
        <v/>
      </c>
      <c r="AE3000" s="117" t="str">
        <f>+'Packing Material - Cost'!A3001</f>
        <v/>
      </c>
    </row>
    <row r="3001" spans="27:31">
      <c r="AA3001" s="117">
        <f>+'Ingredient List - Mother Tinctu'!D3002</f>
        <v>0</v>
      </c>
      <c r="AB3001" s="117">
        <f t="shared" si="49"/>
        <v>0</v>
      </c>
      <c r="AC3001" s="117" t="str">
        <f>IF(AB3001=1,COUNTIF($AB$3:AB3001,1),"")</f>
        <v/>
      </c>
      <c r="AD3001" s="117" t="str">
        <f>IFERROR(INDEX($AA$3:$AA$10000,MATCH(ROWS($AC$3:AC3001),$AC$3:$AC$10000,0)),"")</f>
        <v/>
      </c>
      <c r="AE3001" s="117" t="str">
        <f>+'Packing Material - Cost'!A3002</f>
        <v/>
      </c>
    </row>
    <row r="3002" spans="27:31">
      <c r="AA3002" s="117">
        <f>+'Ingredient List - Mother Tinctu'!D3003</f>
        <v>0</v>
      </c>
      <c r="AB3002" s="117">
        <f t="shared" si="49"/>
        <v>0</v>
      </c>
      <c r="AC3002" s="117" t="str">
        <f>IF(AB3002=1,COUNTIF($AB$3:AB3002,1),"")</f>
        <v/>
      </c>
      <c r="AD3002" s="117" t="str">
        <f>IFERROR(INDEX($AA$3:$AA$10000,MATCH(ROWS($AC$3:AC3002),$AC$3:$AC$10000,0)),"")</f>
        <v/>
      </c>
      <c r="AE3002" s="117" t="str">
        <f>+'Packing Material - Cost'!A3003</f>
        <v/>
      </c>
    </row>
    <row r="3003" spans="27:31">
      <c r="AA3003" s="117">
        <f>+'Ingredient List - Mother Tinctu'!D3004</f>
        <v>0</v>
      </c>
      <c r="AB3003" s="117">
        <f t="shared" si="49"/>
        <v>0</v>
      </c>
      <c r="AC3003" s="117" t="str">
        <f>IF(AB3003=1,COUNTIF($AB$3:AB3003,1),"")</f>
        <v/>
      </c>
      <c r="AD3003" s="117" t="str">
        <f>IFERROR(INDEX($AA$3:$AA$10000,MATCH(ROWS($AC$3:AC3003),$AC$3:$AC$10000,0)),"")</f>
        <v/>
      </c>
      <c r="AE3003" s="117" t="str">
        <f>+'Packing Material - Cost'!A3004</f>
        <v/>
      </c>
    </row>
    <row r="3004" spans="27:30">
      <c r="AA3004" s="117">
        <f>+'Ingredient List - Mother Tinctu'!D3005</f>
        <v>0</v>
      </c>
      <c r="AB3004" s="117">
        <f t="shared" si="49"/>
        <v>0</v>
      </c>
      <c r="AC3004" s="117" t="str">
        <f>IF(AB3004=1,COUNTIF($AB$3:AB3004,1),"")</f>
        <v/>
      </c>
      <c r="AD3004" s="117" t="str">
        <f>IFERROR(INDEX($AA$3:$AA$10000,MATCH(ROWS($AC$3:AC3004),$AC$3:$AC$10000,0)),"")</f>
        <v/>
      </c>
    </row>
    <row r="3005" spans="27:30">
      <c r="AA3005" s="117">
        <f>+'Ingredient List - Mother Tinctu'!D3006</f>
        <v>0</v>
      </c>
      <c r="AB3005" s="117">
        <f t="shared" si="49"/>
        <v>0</v>
      </c>
      <c r="AC3005" s="117" t="str">
        <f>IF(AB3005=1,COUNTIF($AB$3:AB3005,1),"")</f>
        <v/>
      </c>
      <c r="AD3005" s="117" t="str">
        <f>IFERROR(INDEX($AA$3:$AA$10000,MATCH(ROWS($AC$3:AC3005),$AC$3:$AC$10000,0)),"")</f>
        <v/>
      </c>
    </row>
    <row r="3006" spans="27:30">
      <c r="AA3006" s="117">
        <f>+'Ingredient List - Mother Tinctu'!D3007</f>
        <v>0</v>
      </c>
      <c r="AB3006" s="117">
        <f t="shared" si="49"/>
        <v>0</v>
      </c>
      <c r="AC3006" s="117" t="str">
        <f>IF(AB3006=1,COUNTIF($AB$3:AB3006,1),"")</f>
        <v/>
      </c>
      <c r="AD3006" s="117" t="str">
        <f>IFERROR(INDEX($AA$3:$AA$10000,MATCH(ROWS($AC$3:AC3006),$AC$3:$AC$10000,0)),"")</f>
        <v/>
      </c>
    </row>
    <row r="3007" spans="27:30">
      <c r="AA3007" s="117">
        <f>+'Ingredient List - Mother Tinctu'!D3008</f>
        <v>0</v>
      </c>
      <c r="AB3007" s="117">
        <f t="shared" si="49"/>
        <v>0</v>
      </c>
      <c r="AC3007" s="117" t="str">
        <f>IF(AB3007=1,COUNTIF($AB$3:AB3007,1),"")</f>
        <v/>
      </c>
      <c r="AD3007" s="117" t="str">
        <f>IFERROR(INDEX($AA$3:$AA$10000,MATCH(ROWS($AC$3:AC3007),$AC$3:$AC$10000,0)),"")</f>
        <v/>
      </c>
    </row>
    <row r="3008" spans="27:30">
      <c r="AA3008" s="117">
        <f>+'Ingredient List - Mother Tinctu'!D3009</f>
        <v>0</v>
      </c>
      <c r="AB3008" s="117">
        <f t="shared" si="49"/>
        <v>0</v>
      </c>
      <c r="AC3008" s="117" t="str">
        <f>IF(AB3008=1,COUNTIF($AB$3:AB3008,1),"")</f>
        <v/>
      </c>
      <c r="AD3008" s="117" t="str">
        <f>IFERROR(INDEX($AA$3:$AA$10000,MATCH(ROWS($AC$3:AC3008),$AC$3:$AC$10000,0)),"")</f>
        <v/>
      </c>
    </row>
    <row r="3009" spans="27:30">
      <c r="AA3009" s="117">
        <f>+'Ingredient List - Mother Tinctu'!D3010</f>
        <v>0</v>
      </c>
      <c r="AB3009" s="117">
        <f t="shared" si="49"/>
        <v>0</v>
      </c>
      <c r="AC3009" s="117" t="str">
        <f>IF(AB3009=1,COUNTIF($AB$3:AB3009,1),"")</f>
        <v/>
      </c>
      <c r="AD3009" s="117" t="str">
        <f>IFERROR(INDEX($AA$3:$AA$10000,MATCH(ROWS($AC$3:AC3009),$AC$3:$AC$10000,0)),"")</f>
        <v/>
      </c>
    </row>
    <row r="3010" spans="27:30">
      <c r="AA3010" s="117">
        <f>+'Ingredient List - Mother Tinctu'!D3011</f>
        <v>0</v>
      </c>
      <c r="AB3010" s="117">
        <f t="shared" si="49"/>
        <v>0</v>
      </c>
      <c r="AC3010" s="117" t="str">
        <f>IF(AB3010=1,COUNTIF($AB$3:AB3010,1),"")</f>
        <v/>
      </c>
      <c r="AD3010" s="117" t="str">
        <f>IFERROR(INDEX($AA$3:$AA$10000,MATCH(ROWS($AC$3:AC3010),$AC$3:$AC$10000,0)),"")</f>
        <v/>
      </c>
    </row>
    <row r="3011" spans="27:30">
      <c r="AA3011" s="117">
        <f>+'Ingredient List - Mother Tinctu'!D3012</f>
        <v>0</v>
      </c>
      <c r="AB3011" s="117">
        <f t="shared" si="49"/>
        <v>0</v>
      </c>
      <c r="AC3011" s="117" t="str">
        <f>IF(AB3011=1,COUNTIF($AB$3:AB3011,1),"")</f>
        <v/>
      </c>
      <c r="AD3011" s="117" t="str">
        <f>IFERROR(INDEX($AA$3:$AA$10000,MATCH(ROWS($AC$3:AC3011),$AC$3:$AC$10000,0)),"")</f>
        <v/>
      </c>
    </row>
    <row r="3012" spans="27:30">
      <c r="AA3012" s="117">
        <f>+'Ingredient List - Mother Tinctu'!D3013</f>
        <v>0</v>
      </c>
      <c r="AB3012" s="117">
        <f t="shared" ref="AB3012:AB3075" si="50">--ISNUMBER(IFERROR(SEARCH($D$3,AA3012,1),""))</f>
        <v>0</v>
      </c>
      <c r="AC3012" s="117" t="str">
        <f>IF(AB3012=1,COUNTIF($AB$3:AB3012,1),"")</f>
        <v/>
      </c>
      <c r="AD3012" s="117" t="str">
        <f>IFERROR(INDEX($AA$3:$AA$10000,MATCH(ROWS($AC$3:AC3012),$AC$3:$AC$10000,0)),"")</f>
        <v/>
      </c>
    </row>
    <row r="3013" spans="27:30">
      <c r="AA3013" s="117">
        <f>+'Ingredient List - Mother Tinctu'!D3014</f>
        <v>0</v>
      </c>
      <c r="AB3013" s="117">
        <f t="shared" si="50"/>
        <v>0</v>
      </c>
      <c r="AC3013" s="117" t="str">
        <f>IF(AB3013=1,COUNTIF($AB$3:AB3013,1),"")</f>
        <v/>
      </c>
      <c r="AD3013" s="117" t="str">
        <f>IFERROR(INDEX($AA$3:$AA$10000,MATCH(ROWS($AC$3:AC3013),$AC$3:$AC$10000,0)),"")</f>
        <v/>
      </c>
    </row>
    <row r="3014" spans="27:30">
      <c r="AA3014" s="117">
        <f>+'Ingredient List - Mother Tinctu'!D3015</f>
        <v>0</v>
      </c>
      <c r="AB3014" s="117">
        <f t="shared" si="50"/>
        <v>0</v>
      </c>
      <c r="AC3014" s="117" t="str">
        <f>IF(AB3014=1,COUNTIF($AB$3:AB3014,1),"")</f>
        <v/>
      </c>
      <c r="AD3014" s="117" t="str">
        <f>IFERROR(INDEX($AA$3:$AA$10000,MATCH(ROWS($AC$3:AC3014),$AC$3:$AC$10000,0)),"")</f>
        <v/>
      </c>
    </row>
    <row r="3015" spans="27:30">
      <c r="AA3015" s="117">
        <f>+'Ingredient List - Mother Tinctu'!D3016</f>
        <v>0</v>
      </c>
      <c r="AB3015" s="117">
        <f t="shared" si="50"/>
        <v>0</v>
      </c>
      <c r="AC3015" s="117" t="str">
        <f>IF(AB3015=1,COUNTIF($AB$3:AB3015,1),"")</f>
        <v/>
      </c>
      <c r="AD3015" s="117" t="str">
        <f>IFERROR(INDEX($AA$3:$AA$10000,MATCH(ROWS($AC$3:AC3015),$AC$3:$AC$10000,0)),"")</f>
        <v/>
      </c>
    </row>
    <row r="3016" spans="27:30">
      <c r="AA3016" s="117">
        <f>+'Ingredient List - Mother Tinctu'!D3017</f>
        <v>0</v>
      </c>
      <c r="AB3016" s="117">
        <f t="shared" si="50"/>
        <v>0</v>
      </c>
      <c r="AC3016" s="117" t="str">
        <f>IF(AB3016=1,COUNTIF($AB$3:AB3016,1),"")</f>
        <v/>
      </c>
      <c r="AD3016" s="117" t="str">
        <f>IFERROR(INDEX($AA$3:$AA$10000,MATCH(ROWS($AC$3:AC3016),$AC$3:$AC$10000,0)),"")</f>
        <v/>
      </c>
    </row>
    <row r="3017" spans="27:30">
      <c r="AA3017" s="117">
        <f>+'Ingredient List - Mother Tinctu'!D3018</f>
        <v>0</v>
      </c>
      <c r="AB3017" s="117">
        <f t="shared" si="50"/>
        <v>0</v>
      </c>
      <c r="AC3017" s="117" t="str">
        <f>IF(AB3017=1,COUNTIF($AB$3:AB3017,1),"")</f>
        <v/>
      </c>
      <c r="AD3017" s="117" t="str">
        <f>IFERROR(INDEX($AA$3:$AA$10000,MATCH(ROWS($AC$3:AC3017),$AC$3:$AC$10000,0)),"")</f>
        <v/>
      </c>
    </row>
    <row r="3018" spans="27:30">
      <c r="AA3018" s="117">
        <f>+'Ingredient List - Mother Tinctu'!D3019</f>
        <v>0</v>
      </c>
      <c r="AB3018" s="117">
        <f t="shared" si="50"/>
        <v>0</v>
      </c>
      <c r="AC3018" s="117" t="str">
        <f>IF(AB3018=1,COUNTIF($AB$3:AB3018,1),"")</f>
        <v/>
      </c>
      <c r="AD3018" s="117" t="str">
        <f>IFERROR(INDEX($AA$3:$AA$10000,MATCH(ROWS($AC$3:AC3018),$AC$3:$AC$10000,0)),"")</f>
        <v/>
      </c>
    </row>
    <row r="3019" spans="27:30">
      <c r="AA3019" s="117">
        <f>+'Ingredient List - Mother Tinctu'!D3020</f>
        <v>0</v>
      </c>
      <c r="AB3019" s="117">
        <f t="shared" si="50"/>
        <v>0</v>
      </c>
      <c r="AC3019" s="117" t="str">
        <f>IF(AB3019=1,COUNTIF($AB$3:AB3019,1),"")</f>
        <v/>
      </c>
      <c r="AD3019" s="117" t="str">
        <f>IFERROR(INDEX($AA$3:$AA$10000,MATCH(ROWS($AC$3:AC3019),$AC$3:$AC$10000,0)),"")</f>
        <v/>
      </c>
    </row>
    <row r="3020" spans="27:30">
      <c r="AA3020" s="117">
        <f>+'Ingredient List - Mother Tinctu'!D3021</f>
        <v>0</v>
      </c>
      <c r="AB3020" s="117">
        <f t="shared" si="50"/>
        <v>0</v>
      </c>
      <c r="AC3020" s="117" t="str">
        <f>IF(AB3020=1,COUNTIF($AB$3:AB3020,1),"")</f>
        <v/>
      </c>
      <c r="AD3020" s="117" t="str">
        <f>IFERROR(INDEX($AA$3:$AA$10000,MATCH(ROWS($AC$3:AC3020),$AC$3:$AC$10000,0)),"")</f>
        <v/>
      </c>
    </row>
    <row r="3021" spans="27:30">
      <c r="AA3021" s="117">
        <f>+'Ingredient List - Mother Tinctu'!D3022</f>
        <v>0</v>
      </c>
      <c r="AB3021" s="117">
        <f t="shared" si="50"/>
        <v>0</v>
      </c>
      <c r="AC3021" s="117" t="str">
        <f>IF(AB3021=1,COUNTIF($AB$3:AB3021,1),"")</f>
        <v/>
      </c>
      <c r="AD3021" s="117" t="str">
        <f>IFERROR(INDEX($AA$3:$AA$10000,MATCH(ROWS($AC$3:AC3021),$AC$3:$AC$10000,0)),"")</f>
        <v/>
      </c>
    </row>
    <row r="3022" spans="27:30">
      <c r="AA3022" s="117">
        <f>+'Ingredient List - Mother Tinctu'!D3023</f>
        <v>0</v>
      </c>
      <c r="AB3022" s="117">
        <f t="shared" si="50"/>
        <v>0</v>
      </c>
      <c r="AC3022" s="117" t="str">
        <f>IF(AB3022=1,COUNTIF($AB$3:AB3022,1),"")</f>
        <v/>
      </c>
      <c r="AD3022" s="117" t="str">
        <f>IFERROR(INDEX($AA$3:$AA$10000,MATCH(ROWS($AC$3:AC3022),$AC$3:$AC$10000,0)),"")</f>
        <v/>
      </c>
    </row>
    <row r="3023" spans="27:30">
      <c r="AA3023" s="117">
        <f>+'Ingredient List - Mother Tinctu'!D3024</f>
        <v>0</v>
      </c>
      <c r="AB3023" s="117">
        <f t="shared" si="50"/>
        <v>0</v>
      </c>
      <c r="AC3023" s="117" t="str">
        <f>IF(AB3023=1,COUNTIF($AB$3:AB3023,1),"")</f>
        <v/>
      </c>
      <c r="AD3023" s="117" t="str">
        <f>IFERROR(INDEX($AA$3:$AA$10000,MATCH(ROWS($AC$3:AC3023),$AC$3:$AC$10000,0)),"")</f>
        <v/>
      </c>
    </row>
    <row r="3024" spans="27:30">
      <c r="AA3024" s="117">
        <f>+'Ingredient List - Mother Tinctu'!D3025</f>
        <v>0</v>
      </c>
      <c r="AB3024" s="117">
        <f t="shared" si="50"/>
        <v>0</v>
      </c>
      <c r="AC3024" s="117" t="str">
        <f>IF(AB3024=1,COUNTIF($AB$3:AB3024,1),"")</f>
        <v/>
      </c>
      <c r="AD3024" s="117" t="str">
        <f>IFERROR(INDEX($AA$3:$AA$10000,MATCH(ROWS($AC$3:AC3024),$AC$3:$AC$10000,0)),"")</f>
        <v/>
      </c>
    </row>
    <row r="3025" spans="27:30">
      <c r="AA3025" s="117">
        <f>+'Ingredient List - Mother Tinctu'!D3026</f>
        <v>0</v>
      </c>
      <c r="AB3025" s="117">
        <f t="shared" si="50"/>
        <v>0</v>
      </c>
      <c r="AC3025" s="117" t="str">
        <f>IF(AB3025=1,COUNTIF($AB$3:AB3025,1),"")</f>
        <v/>
      </c>
      <c r="AD3025" s="117" t="str">
        <f>IFERROR(INDEX($AA$3:$AA$10000,MATCH(ROWS($AC$3:AC3025),$AC$3:$AC$10000,0)),"")</f>
        <v/>
      </c>
    </row>
    <row r="3026" spans="27:30">
      <c r="AA3026" s="117">
        <f>+'Ingredient List - Mother Tinctu'!D3027</f>
        <v>0</v>
      </c>
      <c r="AB3026" s="117">
        <f t="shared" si="50"/>
        <v>0</v>
      </c>
      <c r="AC3026" s="117" t="str">
        <f>IF(AB3026=1,COUNTIF($AB$3:AB3026,1),"")</f>
        <v/>
      </c>
      <c r="AD3026" s="117" t="str">
        <f>IFERROR(INDEX($AA$3:$AA$10000,MATCH(ROWS($AC$3:AC3026),$AC$3:$AC$10000,0)),"")</f>
        <v/>
      </c>
    </row>
    <row r="3027" spans="27:30">
      <c r="AA3027" s="117">
        <f>+'Ingredient List - Mother Tinctu'!D3028</f>
        <v>0</v>
      </c>
      <c r="AB3027" s="117">
        <f t="shared" si="50"/>
        <v>0</v>
      </c>
      <c r="AC3027" s="117" t="str">
        <f>IF(AB3027=1,COUNTIF($AB$3:AB3027,1),"")</f>
        <v/>
      </c>
      <c r="AD3027" s="117" t="str">
        <f>IFERROR(INDEX($AA$3:$AA$10000,MATCH(ROWS($AC$3:AC3027),$AC$3:$AC$10000,0)),"")</f>
        <v/>
      </c>
    </row>
    <row r="3028" spans="27:30">
      <c r="AA3028" s="117">
        <f>+'Ingredient List - Mother Tinctu'!D3029</f>
        <v>0</v>
      </c>
      <c r="AB3028" s="117">
        <f t="shared" si="50"/>
        <v>0</v>
      </c>
      <c r="AC3028" s="117" t="str">
        <f>IF(AB3028=1,COUNTIF($AB$3:AB3028,1),"")</f>
        <v/>
      </c>
      <c r="AD3028" s="117" t="str">
        <f>IFERROR(INDEX($AA$3:$AA$10000,MATCH(ROWS($AC$3:AC3028),$AC$3:$AC$10000,0)),"")</f>
        <v/>
      </c>
    </row>
    <row r="3029" spans="27:30">
      <c r="AA3029" s="117">
        <f>+'Ingredient List - Mother Tinctu'!D3030</f>
        <v>0</v>
      </c>
      <c r="AB3029" s="117">
        <f t="shared" si="50"/>
        <v>0</v>
      </c>
      <c r="AC3029" s="117" t="str">
        <f>IF(AB3029=1,COUNTIF($AB$3:AB3029,1),"")</f>
        <v/>
      </c>
      <c r="AD3029" s="117" t="str">
        <f>IFERROR(INDEX($AA$3:$AA$10000,MATCH(ROWS($AC$3:AC3029),$AC$3:$AC$10000,0)),"")</f>
        <v/>
      </c>
    </row>
    <row r="3030" spans="27:30">
      <c r="AA3030" s="117">
        <f>+'Ingredient List - Mother Tinctu'!D3031</f>
        <v>0</v>
      </c>
      <c r="AB3030" s="117">
        <f t="shared" si="50"/>
        <v>0</v>
      </c>
      <c r="AC3030" s="117" t="str">
        <f>IF(AB3030=1,COUNTIF($AB$3:AB3030,1),"")</f>
        <v/>
      </c>
      <c r="AD3030" s="117" t="str">
        <f>IFERROR(INDEX($AA$3:$AA$10000,MATCH(ROWS($AC$3:AC3030),$AC$3:$AC$10000,0)),"")</f>
        <v/>
      </c>
    </row>
    <row r="3031" spans="27:30">
      <c r="AA3031" s="117">
        <f>+'Ingredient List - Mother Tinctu'!D3032</f>
        <v>0</v>
      </c>
      <c r="AB3031" s="117">
        <f t="shared" si="50"/>
        <v>0</v>
      </c>
      <c r="AC3031" s="117" t="str">
        <f>IF(AB3031=1,COUNTIF($AB$3:AB3031,1),"")</f>
        <v/>
      </c>
      <c r="AD3031" s="117" t="str">
        <f>IFERROR(INDEX($AA$3:$AA$10000,MATCH(ROWS($AC$3:AC3031),$AC$3:$AC$10000,0)),"")</f>
        <v/>
      </c>
    </row>
    <row r="3032" spans="27:30">
      <c r="AA3032" s="117">
        <f>+'Ingredient List - Mother Tinctu'!D3033</f>
        <v>0</v>
      </c>
      <c r="AB3032" s="117">
        <f t="shared" si="50"/>
        <v>0</v>
      </c>
      <c r="AC3032" s="117" t="str">
        <f>IF(AB3032=1,COUNTIF($AB$3:AB3032,1),"")</f>
        <v/>
      </c>
      <c r="AD3032" s="117" t="str">
        <f>IFERROR(INDEX($AA$3:$AA$10000,MATCH(ROWS($AC$3:AC3032),$AC$3:$AC$10000,0)),"")</f>
        <v/>
      </c>
    </row>
    <row r="3033" spans="27:30">
      <c r="AA3033" s="117">
        <f>+'Ingredient List - Mother Tinctu'!D3034</f>
        <v>0</v>
      </c>
      <c r="AB3033" s="117">
        <f t="shared" si="50"/>
        <v>0</v>
      </c>
      <c r="AC3033" s="117" t="str">
        <f>IF(AB3033=1,COUNTIF($AB$3:AB3033,1),"")</f>
        <v/>
      </c>
      <c r="AD3033" s="117" t="str">
        <f>IFERROR(INDEX($AA$3:$AA$10000,MATCH(ROWS($AC$3:AC3033),$AC$3:$AC$10000,0)),"")</f>
        <v/>
      </c>
    </row>
    <row r="3034" spans="27:30">
      <c r="AA3034" s="117">
        <f>+'Ingredient List - Mother Tinctu'!D3035</f>
        <v>0</v>
      </c>
      <c r="AB3034" s="117">
        <f t="shared" si="50"/>
        <v>0</v>
      </c>
      <c r="AC3034" s="117" t="str">
        <f>IF(AB3034=1,COUNTIF($AB$3:AB3034,1),"")</f>
        <v/>
      </c>
      <c r="AD3034" s="117" t="str">
        <f>IFERROR(INDEX($AA$3:$AA$10000,MATCH(ROWS($AC$3:AC3034),$AC$3:$AC$10000,0)),"")</f>
        <v/>
      </c>
    </row>
    <row r="3035" spans="27:30">
      <c r="AA3035" s="117">
        <f>+'Ingredient List - Mother Tinctu'!D3036</f>
        <v>0</v>
      </c>
      <c r="AB3035" s="117">
        <f t="shared" si="50"/>
        <v>0</v>
      </c>
      <c r="AC3035" s="117" t="str">
        <f>IF(AB3035=1,COUNTIF($AB$3:AB3035,1),"")</f>
        <v/>
      </c>
      <c r="AD3035" s="117" t="str">
        <f>IFERROR(INDEX($AA$3:$AA$10000,MATCH(ROWS($AC$3:AC3035),$AC$3:$AC$10000,0)),"")</f>
        <v/>
      </c>
    </row>
    <row r="3036" spans="27:30">
      <c r="AA3036" s="117">
        <f>+'Ingredient List - Mother Tinctu'!D3037</f>
        <v>0</v>
      </c>
      <c r="AB3036" s="117">
        <f t="shared" si="50"/>
        <v>0</v>
      </c>
      <c r="AC3036" s="117" t="str">
        <f>IF(AB3036=1,COUNTIF($AB$3:AB3036,1),"")</f>
        <v/>
      </c>
      <c r="AD3036" s="117" t="str">
        <f>IFERROR(INDEX($AA$3:$AA$10000,MATCH(ROWS($AC$3:AC3036),$AC$3:$AC$10000,0)),"")</f>
        <v/>
      </c>
    </row>
    <row r="3037" spans="27:30">
      <c r="AA3037" s="117">
        <f>+'Ingredient List - Mother Tinctu'!D3038</f>
        <v>0</v>
      </c>
      <c r="AB3037" s="117">
        <f t="shared" si="50"/>
        <v>0</v>
      </c>
      <c r="AC3037" s="117" t="str">
        <f>IF(AB3037=1,COUNTIF($AB$3:AB3037,1),"")</f>
        <v/>
      </c>
      <c r="AD3037" s="117" t="str">
        <f>IFERROR(INDEX($AA$3:$AA$10000,MATCH(ROWS($AC$3:AC3037),$AC$3:$AC$10000,0)),"")</f>
        <v/>
      </c>
    </row>
    <row r="3038" spans="27:30">
      <c r="AA3038" s="117">
        <f>+'Ingredient List - Mother Tinctu'!D3039</f>
        <v>0</v>
      </c>
      <c r="AB3038" s="117">
        <f t="shared" si="50"/>
        <v>0</v>
      </c>
      <c r="AC3038" s="117" t="str">
        <f>IF(AB3038=1,COUNTIF($AB$3:AB3038,1),"")</f>
        <v/>
      </c>
      <c r="AD3038" s="117" t="str">
        <f>IFERROR(INDEX($AA$3:$AA$10000,MATCH(ROWS($AC$3:AC3038),$AC$3:$AC$10000,0)),"")</f>
        <v/>
      </c>
    </row>
    <row r="3039" spans="27:30">
      <c r="AA3039" s="117">
        <f>+'Ingredient List - Mother Tinctu'!D3040</f>
        <v>0</v>
      </c>
      <c r="AB3039" s="117">
        <f t="shared" si="50"/>
        <v>0</v>
      </c>
      <c r="AC3039" s="117" t="str">
        <f>IF(AB3039=1,COUNTIF($AB$3:AB3039,1),"")</f>
        <v/>
      </c>
      <c r="AD3039" s="117" t="str">
        <f>IFERROR(INDEX($AA$3:$AA$10000,MATCH(ROWS($AC$3:AC3039),$AC$3:$AC$10000,0)),"")</f>
        <v/>
      </c>
    </row>
    <row r="3040" spans="27:30">
      <c r="AA3040" s="117">
        <f>+'Ingredient List - Mother Tinctu'!D3041</f>
        <v>0</v>
      </c>
      <c r="AB3040" s="117">
        <f t="shared" si="50"/>
        <v>0</v>
      </c>
      <c r="AC3040" s="117" t="str">
        <f>IF(AB3040=1,COUNTIF($AB$3:AB3040,1),"")</f>
        <v/>
      </c>
      <c r="AD3040" s="117" t="str">
        <f>IFERROR(INDEX($AA$3:$AA$10000,MATCH(ROWS($AC$3:AC3040),$AC$3:$AC$10000,0)),"")</f>
        <v/>
      </c>
    </row>
    <row r="3041" spans="27:30">
      <c r="AA3041" s="117">
        <f>+'Ingredient List - Mother Tinctu'!D3042</f>
        <v>0</v>
      </c>
      <c r="AB3041" s="117">
        <f t="shared" si="50"/>
        <v>0</v>
      </c>
      <c r="AC3041" s="117" t="str">
        <f>IF(AB3041=1,COUNTIF($AB$3:AB3041,1),"")</f>
        <v/>
      </c>
      <c r="AD3041" s="117" t="str">
        <f>IFERROR(INDEX($AA$3:$AA$10000,MATCH(ROWS($AC$3:AC3041),$AC$3:$AC$10000,0)),"")</f>
        <v/>
      </c>
    </row>
    <row r="3042" spans="27:30">
      <c r="AA3042" s="117">
        <f>+'Ingredient List - Mother Tinctu'!D3043</f>
        <v>0</v>
      </c>
      <c r="AB3042" s="117">
        <f t="shared" si="50"/>
        <v>0</v>
      </c>
      <c r="AC3042" s="117" t="str">
        <f>IF(AB3042=1,COUNTIF($AB$3:AB3042,1),"")</f>
        <v/>
      </c>
      <c r="AD3042" s="117" t="str">
        <f>IFERROR(INDEX($AA$3:$AA$10000,MATCH(ROWS($AC$3:AC3042),$AC$3:$AC$10000,0)),"")</f>
        <v/>
      </c>
    </row>
    <row r="3043" spans="27:30">
      <c r="AA3043" s="117">
        <f>+'Ingredient List - Mother Tinctu'!D3044</f>
        <v>0</v>
      </c>
      <c r="AB3043" s="117">
        <f t="shared" si="50"/>
        <v>0</v>
      </c>
      <c r="AC3043" s="117" t="str">
        <f>IF(AB3043=1,COUNTIF($AB$3:AB3043,1),"")</f>
        <v/>
      </c>
      <c r="AD3043" s="117" t="str">
        <f>IFERROR(INDEX($AA$3:$AA$10000,MATCH(ROWS($AC$3:AC3043),$AC$3:$AC$10000,0)),"")</f>
        <v/>
      </c>
    </row>
    <row r="3044" spans="27:30">
      <c r="AA3044" s="117">
        <f>+'Ingredient List - Mother Tinctu'!D3045</f>
        <v>0</v>
      </c>
      <c r="AB3044" s="117">
        <f t="shared" si="50"/>
        <v>0</v>
      </c>
      <c r="AC3044" s="117" t="str">
        <f>IF(AB3044=1,COUNTIF($AB$3:AB3044,1),"")</f>
        <v/>
      </c>
      <c r="AD3044" s="117" t="str">
        <f>IFERROR(INDEX($AA$3:$AA$10000,MATCH(ROWS($AC$3:AC3044),$AC$3:$AC$10000,0)),"")</f>
        <v/>
      </c>
    </row>
    <row r="3045" spans="27:30">
      <c r="AA3045" s="117">
        <f>+'Ingredient List - Mother Tinctu'!D3046</f>
        <v>0</v>
      </c>
      <c r="AB3045" s="117">
        <f t="shared" si="50"/>
        <v>0</v>
      </c>
      <c r="AC3045" s="117" t="str">
        <f>IF(AB3045=1,COUNTIF($AB$3:AB3045,1),"")</f>
        <v/>
      </c>
      <c r="AD3045" s="117" t="str">
        <f>IFERROR(INDEX($AA$3:$AA$10000,MATCH(ROWS($AC$3:AC3045),$AC$3:$AC$10000,0)),"")</f>
        <v/>
      </c>
    </row>
    <row r="3046" spans="27:30">
      <c r="AA3046" s="117">
        <f>+'Ingredient List - Mother Tinctu'!D3047</f>
        <v>0</v>
      </c>
      <c r="AB3046" s="117">
        <f t="shared" si="50"/>
        <v>0</v>
      </c>
      <c r="AC3046" s="117" t="str">
        <f>IF(AB3046=1,COUNTIF($AB$3:AB3046,1),"")</f>
        <v/>
      </c>
      <c r="AD3046" s="117" t="str">
        <f>IFERROR(INDEX($AA$3:$AA$10000,MATCH(ROWS($AC$3:AC3046),$AC$3:$AC$10000,0)),"")</f>
        <v/>
      </c>
    </row>
    <row r="3047" spans="27:30">
      <c r="AA3047" s="117">
        <f>+'Ingredient List - Mother Tinctu'!D3048</f>
        <v>0</v>
      </c>
      <c r="AB3047" s="117">
        <f t="shared" si="50"/>
        <v>0</v>
      </c>
      <c r="AC3047" s="117" t="str">
        <f>IF(AB3047=1,COUNTIF($AB$3:AB3047,1),"")</f>
        <v/>
      </c>
      <c r="AD3047" s="117" t="str">
        <f>IFERROR(INDEX($AA$3:$AA$10000,MATCH(ROWS($AC$3:AC3047),$AC$3:$AC$10000,0)),"")</f>
        <v/>
      </c>
    </row>
    <row r="3048" spans="27:30">
      <c r="AA3048" s="117">
        <f>+'Ingredient List - Mother Tinctu'!D3049</f>
        <v>0</v>
      </c>
      <c r="AB3048" s="117">
        <f t="shared" si="50"/>
        <v>0</v>
      </c>
      <c r="AC3048" s="117" t="str">
        <f>IF(AB3048=1,COUNTIF($AB$3:AB3048,1),"")</f>
        <v/>
      </c>
      <c r="AD3048" s="117" t="str">
        <f>IFERROR(INDEX($AA$3:$AA$10000,MATCH(ROWS($AC$3:AC3048),$AC$3:$AC$10000,0)),"")</f>
        <v/>
      </c>
    </row>
    <row r="3049" spans="27:30">
      <c r="AA3049" s="117">
        <f>+'Ingredient List - Mother Tinctu'!D3050</f>
        <v>0</v>
      </c>
      <c r="AB3049" s="117">
        <f t="shared" si="50"/>
        <v>0</v>
      </c>
      <c r="AC3049" s="117" t="str">
        <f>IF(AB3049=1,COUNTIF($AB$3:AB3049,1),"")</f>
        <v/>
      </c>
      <c r="AD3049" s="117" t="str">
        <f>IFERROR(INDEX($AA$3:$AA$10000,MATCH(ROWS($AC$3:AC3049),$AC$3:$AC$10000,0)),"")</f>
        <v/>
      </c>
    </row>
    <row r="3050" spans="27:30">
      <c r="AA3050" s="117">
        <f>+'Ingredient List - Mother Tinctu'!D3051</f>
        <v>0</v>
      </c>
      <c r="AB3050" s="117">
        <f t="shared" si="50"/>
        <v>0</v>
      </c>
      <c r="AC3050" s="117" t="str">
        <f>IF(AB3050=1,COUNTIF($AB$3:AB3050,1),"")</f>
        <v/>
      </c>
      <c r="AD3050" s="117" t="str">
        <f>IFERROR(INDEX($AA$3:$AA$10000,MATCH(ROWS($AC$3:AC3050),$AC$3:$AC$10000,0)),"")</f>
        <v/>
      </c>
    </row>
    <row r="3051" spans="27:30">
      <c r="AA3051" s="117">
        <f>+'Ingredient List - Mother Tinctu'!D3052</f>
        <v>0</v>
      </c>
      <c r="AB3051" s="117">
        <f t="shared" si="50"/>
        <v>0</v>
      </c>
      <c r="AC3051" s="117" t="str">
        <f>IF(AB3051=1,COUNTIF($AB$3:AB3051,1),"")</f>
        <v/>
      </c>
      <c r="AD3051" s="117" t="str">
        <f>IFERROR(INDEX($AA$3:$AA$10000,MATCH(ROWS($AC$3:AC3051),$AC$3:$AC$10000,0)),"")</f>
        <v/>
      </c>
    </row>
    <row r="3052" spans="27:30">
      <c r="AA3052" s="117">
        <f>+'Ingredient List - Mother Tinctu'!D3053</f>
        <v>0</v>
      </c>
      <c r="AB3052" s="117">
        <f t="shared" si="50"/>
        <v>0</v>
      </c>
      <c r="AC3052" s="117" t="str">
        <f>IF(AB3052=1,COUNTIF($AB$3:AB3052,1),"")</f>
        <v/>
      </c>
      <c r="AD3052" s="117" t="str">
        <f>IFERROR(INDEX($AA$3:$AA$10000,MATCH(ROWS($AC$3:AC3052),$AC$3:$AC$10000,0)),"")</f>
        <v/>
      </c>
    </row>
    <row r="3053" spans="27:30">
      <c r="AA3053" s="117">
        <f>+'Ingredient List - Mother Tinctu'!D3054</f>
        <v>0</v>
      </c>
      <c r="AB3053" s="117">
        <f t="shared" si="50"/>
        <v>0</v>
      </c>
      <c r="AC3053" s="117" t="str">
        <f>IF(AB3053=1,COUNTIF($AB$3:AB3053,1),"")</f>
        <v/>
      </c>
      <c r="AD3053" s="117" t="str">
        <f>IFERROR(INDEX($AA$3:$AA$10000,MATCH(ROWS($AC$3:AC3053),$AC$3:$AC$10000,0)),"")</f>
        <v/>
      </c>
    </row>
    <row r="3054" spans="27:30">
      <c r="AA3054" s="117">
        <f>+'Ingredient List - Mother Tinctu'!D3055</f>
        <v>0</v>
      </c>
      <c r="AB3054" s="117">
        <f t="shared" si="50"/>
        <v>0</v>
      </c>
      <c r="AC3054" s="117" t="str">
        <f>IF(AB3054=1,COUNTIF($AB$3:AB3054,1),"")</f>
        <v/>
      </c>
      <c r="AD3054" s="117" t="str">
        <f>IFERROR(INDEX($AA$3:$AA$10000,MATCH(ROWS($AC$3:AC3054),$AC$3:$AC$10000,0)),"")</f>
        <v/>
      </c>
    </row>
    <row r="3055" spans="27:30">
      <c r="AA3055" s="117">
        <f>+'Ingredient List - Mother Tinctu'!D3056</f>
        <v>0</v>
      </c>
      <c r="AB3055" s="117">
        <f t="shared" si="50"/>
        <v>0</v>
      </c>
      <c r="AC3055" s="117" t="str">
        <f>IF(AB3055=1,COUNTIF($AB$3:AB3055,1),"")</f>
        <v/>
      </c>
      <c r="AD3055" s="117" t="str">
        <f>IFERROR(INDEX($AA$3:$AA$10000,MATCH(ROWS($AC$3:AC3055),$AC$3:$AC$10000,0)),"")</f>
        <v/>
      </c>
    </row>
    <row r="3056" spans="27:30">
      <c r="AA3056" s="117">
        <f>+'Ingredient List - Mother Tinctu'!D3057</f>
        <v>0</v>
      </c>
      <c r="AB3056" s="117">
        <f t="shared" si="50"/>
        <v>0</v>
      </c>
      <c r="AC3056" s="117" t="str">
        <f>IF(AB3056=1,COUNTIF($AB$3:AB3056,1),"")</f>
        <v/>
      </c>
      <c r="AD3056" s="117" t="str">
        <f>IFERROR(INDEX($AA$3:$AA$10000,MATCH(ROWS($AC$3:AC3056),$AC$3:$AC$10000,0)),"")</f>
        <v/>
      </c>
    </row>
    <row r="3057" spans="27:30">
      <c r="AA3057" s="117">
        <f>+'Ingredient List - Mother Tinctu'!D3058</f>
        <v>0</v>
      </c>
      <c r="AB3057" s="117">
        <f t="shared" si="50"/>
        <v>0</v>
      </c>
      <c r="AC3057" s="117" t="str">
        <f>IF(AB3057=1,COUNTIF($AB$3:AB3057,1),"")</f>
        <v/>
      </c>
      <c r="AD3057" s="117" t="str">
        <f>IFERROR(INDEX($AA$3:$AA$10000,MATCH(ROWS($AC$3:AC3057),$AC$3:$AC$10000,0)),"")</f>
        <v/>
      </c>
    </row>
    <row r="3058" spans="27:30">
      <c r="AA3058" s="117">
        <f>+'Ingredient List - Mother Tinctu'!D3059</f>
        <v>0</v>
      </c>
      <c r="AB3058" s="117">
        <f t="shared" si="50"/>
        <v>0</v>
      </c>
      <c r="AC3058" s="117" t="str">
        <f>IF(AB3058=1,COUNTIF($AB$3:AB3058,1),"")</f>
        <v/>
      </c>
      <c r="AD3058" s="117" t="str">
        <f>IFERROR(INDEX($AA$3:$AA$10000,MATCH(ROWS($AC$3:AC3058),$AC$3:$AC$10000,0)),"")</f>
        <v/>
      </c>
    </row>
    <row r="3059" spans="27:30">
      <c r="AA3059" s="117">
        <f>+'Ingredient List - Mother Tinctu'!D3060</f>
        <v>0</v>
      </c>
      <c r="AB3059" s="117">
        <f t="shared" si="50"/>
        <v>0</v>
      </c>
      <c r="AC3059" s="117" t="str">
        <f>IF(AB3059=1,COUNTIF($AB$3:AB3059,1),"")</f>
        <v/>
      </c>
      <c r="AD3059" s="117" t="str">
        <f>IFERROR(INDEX($AA$3:$AA$10000,MATCH(ROWS($AC$3:AC3059),$AC$3:$AC$10000,0)),"")</f>
        <v/>
      </c>
    </row>
    <row r="3060" spans="27:30">
      <c r="AA3060" s="117">
        <f>+'Ingredient List - Mother Tinctu'!D3061</f>
        <v>0</v>
      </c>
      <c r="AB3060" s="117">
        <f t="shared" si="50"/>
        <v>0</v>
      </c>
      <c r="AC3060" s="117" t="str">
        <f>IF(AB3060=1,COUNTIF($AB$3:AB3060,1),"")</f>
        <v/>
      </c>
      <c r="AD3060" s="117" t="str">
        <f>IFERROR(INDEX($AA$3:$AA$10000,MATCH(ROWS($AC$3:AC3060),$AC$3:$AC$10000,0)),"")</f>
        <v/>
      </c>
    </row>
    <row r="3061" spans="27:30">
      <c r="AA3061" s="117">
        <f>+'Ingredient List - Mother Tinctu'!D3062</f>
        <v>0</v>
      </c>
      <c r="AB3061" s="117">
        <f t="shared" si="50"/>
        <v>0</v>
      </c>
      <c r="AC3061" s="117" t="str">
        <f>IF(AB3061=1,COUNTIF($AB$3:AB3061,1),"")</f>
        <v/>
      </c>
      <c r="AD3061" s="117" t="str">
        <f>IFERROR(INDEX($AA$3:$AA$10000,MATCH(ROWS($AC$3:AC3061),$AC$3:$AC$10000,0)),"")</f>
        <v/>
      </c>
    </row>
    <row r="3062" spans="27:30">
      <c r="AA3062" s="117">
        <f>+'Ingredient List - Mother Tinctu'!D3063</f>
        <v>0</v>
      </c>
      <c r="AB3062" s="117">
        <f t="shared" si="50"/>
        <v>0</v>
      </c>
      <c r="AC3062" s="117" t="str">
        <f>IF(AB3062=1,COUNTIF($AB$3:AB3062,1),"")</f>
        <v/>
      </c>
      <c r="AD3062" s="117" t="str">
        <f>IFERROR(INDEX($AA$3:$AA$10000,MATCH(ROWS($AC$3:AC3062),$AC$3:$AC$10000,0)),"")</f>
        <v/>
      </c>
    </row>
    <row r="3063" spans="27:30">
      <c r="AA3063" s="117">
        <f>+'Ingredient List - Mother Tinctu'!D3064</f>
        <v>0</v>
      </c>
      <c r="AB3063" s="117">
        <f t="shared" si="50"/>
        <v>0</v>
      </c>
      <c r="AC3063" s="117" t="str">
        <f>IF(AB3063=1,COUNTIF($AB$3:AB3063,1),"")</f>
        <v/>
      </c>
      <c r="AD3063" s="117" t="str">
        <f>IFERROR(INDEX($AA$3:$AA$10000,MATCH(ROWS($AC$3:AC3063),$AC$3:$AC$10000,0)),"")</f>
        <v/>
      </c>
    </row>
    <row r="3064" spans="27:30">
      <c r="AA3064" s="117">
        <f>+'Ingredient List - Mother Tinctu'!D3065</f>
        <v>0</v>
      </c>
      <c r="AB3064" s="117">
        <f t="shared" si="50"/>
        <v>0</v>
      </c>
      <c r="AC3064" s="117" t="str">
        <f>IF(AB3064=1,COUNTIF($AB$3:AB3064,1),"")</f>
        <v/>
      </c>
      <c r="AD3064" s="117" t="str">
        <f>IFERROR(INDEX($AA$3:$AA$10000,MATCH(ROWS($AC$3:AC3064),$AC$3:$AC$10000,0)),"")</f>
        <v/>
      </c>
    </row>
    <row r="3065" spans="27:30">
      <c r="AA3065" s="117">
        <f>+'Ingredient List - Mother Tinctu'!D3066</f>
        <v>0</v>
      </c>
      <c r="AB3065" s="117">
        <f t="shared" si="50"/>
        <v>0</v>
      </c>
      <c r="AC3065" s="117" t="str">
        <f>IF(AB3065=1,COUNTIF($AB$3:AB3065,1),"")</f>
        <v/>
      </c>
      <c r="AD3065" s="117" t="str">
        <f>IFERROR(INDEX($AA$3:$AA$10000,MATCH(ROWS($AC$3:AC3065),$AC$3:$AC$10000,0)),"")</f>
        <v/>
      </c>
    </row>
    <row r="3066" spans="27:30">
      <c r="AA3066" s="117">
        <f>+'Ingredient List - Mother Tinctu'!D3067</f>
        <v>0</v>
      </c>
      <c r="AB3066" s="117">
        <f t="shared" si="50"/>
        <v>0</v>
      </c>
      <c r="AC3066" s="117" t="str">
        <f>IF(AB3066=1,COUNTIF($AB$3:AB3066,1),"")</f>
        <v/>
      </c>
      <c r="AD3066" s="117" t="str">
        <f>IFERROR(INDEX($AA$3:$AA$10000,MATCH(ROWS($AC$3:AC3066),$AC$3:$AC$10000,0)),"")</f>
        <v/>
      </c>
    </row>
    <row r="3067" spans="27:30">
      <c r="AA3067" s="117">
        <f>+'Ingredient List - Mother Tinctu'!D3068</f>
        <v>0</v>
      </c>
      <c r="AB3067" s="117">
        <f t="shared" si="50"/>
        <v>0</v>
      </c>
      <c r="AC3067" s="117" t="str">
        <f>IF(AB3067=1,COUNTIF($AB$3:AB3067,1),"")</f>
        <v/>
      </c>
      <c r="AD3067" s="117" t="str">
        <f>IFERROR(INDEX($AA$3:$AA$10000,MATCH(ROWS($AC$3:AC3067),$AC$3:$AC$10000,0)),"")</f>
        <v/>
      </c>
    </row>
    <row r="3068" spans="27:30">
      <c r="AA3068" s="117">
        <f>+'Ingredient List - Mother Tinctu'!D3069</f>
        <v>0</v>
      </c>
      <c r="AB3068" s="117">
        <f t="shared" si="50"/>
        <v>0</v>
      </c>
      <c r="AC3068" s="117" t="str">
        <f>IF(AB3068=1,COUNTIF($AB$3:AB3068,1),"")</f>
        <v/>
      </c>
      <c r="AD3068" s="117" t="str">
        <f>IFERROR(INDEX($AA$3:$AA$10000,MATCH(ROWS($AC$3:AC3068),$AC$3:$AC$10000,0)),"")</f>
        <v/>
      </c>
    </row>
    <row r="3069" spans="27:30">
      <c r="AA3069" s="117">
        <f>+'Ingredient List - Mother Tinctu'!D3070</f>
        <v>0</v>
      </c>
      <c r="AB3069" s="117">
        <f t="shared" si="50"/>
        <v>0</v>
      </c>
      <c r="AC3069" s="117" t="str">
        <f>IF(AB3069=1,COUNTIF($AB$3:AB3069,1),"")</f>
        <v/>
      </c>
      <c r="AD3069" s="117" t="str">
        <f>IFERROR(INDEX($AA$3:$AA$10000,MATCH(ROWS($AC$3:AC3069),$AC$3:$AC$10000,0)),"")</f>
        <v/>
      </c>
    </row>
    <row r="3070" spans="27:30">
      <c r="AA3070" s="117">
        <f>+'Ingredient List - Mother Tinctu'!D3071</f>
        <v>0</v>
      </c>
      <c r="AB3070" s="117">
        <f t="shared" si="50"/>
        <v>0</v>
      </c>
      <c r="AC3070" s="117" t="str">
        <f>IF(AB3070=1,COUNTIF($AB$3:AB3070,1),"")</f>
        <v/>
      </c>
      <c r="AD3070" s="117" t="str">
        <f>IFERROR(INDEX($AA$3:$AA$10000,MATCH(ROWS($AC$3:AC3070),$AC$3:$AC$10000,0)),"")</f>
        <v/>
      </c>
    </row>
    <row r="3071" spans="27:30">
      <c r="AA3071" s="117">
        <f>+'Ingredient List - Mother Tinctu'!D3072</f>
        <v>0</v>
      </c>
      <c r="AB3071" s="117">
        <f t="shared" si="50"/>
        <v>0</v>
      </c>
      <c r="AC3071" s="117" t="str">
        <f>IF(AB3071=1,COUNTIF($AB$3:AB3071,1),"")</f>
        <v/>
      </c>
      <c r="AD3071" s="117" t="str">
        <f>IFERROR(INDEX($AA$3:$AA$10000,MATCH(ROWS($AC$3:AC3071),$AC$3:$AC$10000,0)),"")</f>
        <v/>
      </c>
    </row>
    <row r="3072" spans="27:30">
      <c r="AA3072" s="117">
        <f>+'Ingredient List - Mother Tinctu'!D3073</f>
        <v>0</v>
      </c>
      <c r="AB3072" s="117">
        <f t="shared" si="50"/>
        <v>0</v>
      </c>
      <c r="AC3072" s="117" t="str">
        <f>IF(AB3072=1,COUNTIF($AB$3:AB3072,1),"")</f>
        <v/>
      </c>
      <c r="AD3072" s="117" t="str">
        <f>IFERROR(INDEX($AA$3:$AA$10000,MATCH(ROWS($AC$3:AC3072),$AC$3:$AC$10000,0)),"")</f>
        <v/>
      </c>
    </row>
    <row r="3073" spans="27:30">
      <c r="AA3073" s="117">
        <f>+'Ingredient List - Mother Tinctu'!D3074</f>
        <v>0</v>
      </c>
      <c r="AB3073" s="117">
        <f t="shared" si="50"/>
        <v>0</v>
      </c>
      <c r="AC3073" s="117" t="str">
        <f>IF(AB3073=1,COUNTIF($AB$3:AB3073,1),"")</f>
        <v/>
      </c>
      <c r="AD3073" s="117" t="str">
        <f>IFERROR(INDEX($AA$3:$AA$10000,MATCH(ROWS($AC$3:AC3073),$AC$3:$AC$10000,0)),"")</f>
        <v/>
      </c>
    </row>
    <row r="3074" spans="27:30">
      <c r="AA3074" s="117">
        <f>+'Ingredient List - Mother Tinctu'!D3075</f>
        <v>0</v>
      </c>
      <c r="AB3074" s="117">
        <f t="shared" si="50"/>
        <v>0</v>
      </c>
      <c r="AC3074" s="117" t="str">
        <f>IF(AB3074=1,COUNTIF($AB$3:AB3074,1),"")</f>
        <v/>
      </c>
      <c r="AD3074" s="117" t="str">
        <f>IFERROR(INDEX($AA$3:$AA$10000,MATCH(ROWS($AC$3:AC3074),$AC$3:$AC$10000,0)),"")</f>
        <v/>
      </c>
    </row>
    <row r="3075" spans="27:30">
      <c r="AA3075" s="117">
        <f>+'Ingredient List - Mother Tinctu'!D3076</f>
        <v>0</v>
      </c>
      <c r="AB3075" s="117">
        <f t="shared" si="50"/>
        <v>0</v>
      </c>
      <c r="AC3075" s="117" t="str">
        <f>IF(AB3075=1,COUNTIF($AB$3:AB3075,1),"")</f>
        <v/>
      </c>
      <c r="AD3075" s="117" t="str">
        <f>IFERROR(INDEX($AA$3:$AA$10000,MATCH(ROWS($AC$3:AC3075),$AC$3:$AC$10000,0)),"")</f>
        <v/>
      </c>
    </row>
    <row r="3076" spans="27:30">
      <c r="AA3076" s="117">
        <f>+'Ingredient List - Mother Tinctu'!D3077</f>
        <v>0</v>
      </c>
      <c r="AB3076" s="117">
        <f t="shared" ref="AB3076:AB3139" si="51">--ISNUMBER(IFERROR(SEARCH($D$3,AA3076,1),""))</f>
        <v>0</v>
      </c>
      <c r="AC3076" s="117" t="str">
        <f>IF(AB3076=1,COUNTIF($AB$3:AB3076,1),"")</f>
        <v/>
      </c>
      <c r="AD3076" s="117" t="str">
        <f>IFERROR(INDEX($AA$3:$AA$10000,MATCH(ROWS($AC$3:AC3076),$AC$3:$AC$10000,0)),"")</f>
        <v/>
      </c>
    </row>
    <row r="3077" spans="27:30">
      <c r="AA3077" s="117">
        <f>+'Ingredient List - Mother Tinctu'!D3078</f>
        <v>0</v>
      </c>
      <c r="AB3077" s="117">
        <f t="shared" si="51"/>
        <v>0</v>
      </c>
      <c r="AC3077" s="117" t="str">
        <f>IF(AB3077=1,COUNTIF($AB$3:AB3077,1),"")</f>
        <v/>
      </c>
      <c r="AD3077" s="117" t="str">
        <f>IFERROR(INDEX($AA$3:$AA$10000,MATCH(ROWS($AC$3:AC3077),$AC$3:$AC$10000,0)),"")</f>
        <v/>
      </c>
    </row>
    <row r="3078" spans="27:30">
      <c r="AA3078" s="117">
        <f>+'Ingredient List - Mother Tinctu'!D3079</f>
        <v>0</v>
      </c>
      <c r="AB3078" s="117">
        <f t="shared" si="51"/>
        <v>0</v>
      </c>
      <c r="AC3078" s="117" t="str">
        <f>IF(AB3078=1,COUNTIF($AB$3:AB3078,1),"")</f>
        <v/>
      </c>
      <c r="AD3078" s="117" t="str">
        <f>IFERROR(INDEX($AA$3:$AA$10000,MATCH(ROWS($AC$3:AC3078),$AC$3:$AC$10000,0)),"")</f>
        <v/>
      </c>
    </row>
    <row r="3079" spans="27:30">
      <c r="AA3079" s="117">
        <f>+'Ingredient List - Mother Tinctu'!D3080</f>
        <v>0</v>
      </c>
      <c r="AB3079" s="117">
        <f t="shared" si="51"/>
        <v>0</v>
      </c>
      <c r="AC3079" s="117" t="str">
        <f>IF(AB3079=1,COUNTIF($AB$3:AB3079,1),"")</f>
        <v/>
      </c>
      <c r="AD3079" s="117" t="str">
        <f>IFERROR(INDEX($AA$3:$AA$10000,MATCH(ROWS($AC$3:AC3079),$AC$3:$AC$10000,0)),"")</f>
        <v/>
      </c>
    </row>
    <row r="3080" spans="27:30">
      <c r="AA3080" s="117">
        <f>+'Ingredient List - Mother Tinctu'!D3081</f>
        <v>0</v>
      </c>
      <c r="AB3080" s="117">
        <f t="shared" si="51"/>
        <v>0</v>
      </c>
      <c r="AC3080" s="117" t="str">
        <f>IF(AB3080=1,COUNTIF($AB$3:AB3080,1),"")</f>
        <v/>
      </c>
      <c r="AD3080" s="117" t="str">
        <f>IFERROR(INDEX($AA$3:$AA$10000,MATCH(ROWS($AC$3:AC3080),$AC$3:$AC$10000,0)),"")</f>
        <v/>
      </c>
    </row>
    <row r="3081" spans="27:30">
      <c r="AA3081" s="117">
        <f>+'Ingredient List - Mother Tinctu'!D3082</f>
        <v>0</v>
      </c>
      <c r="AB3081" s="117">
        <f t="shared" si="51"/>
        <v>0</v>
      </c>
      <c r="AC3081" s="117" t="str">
        <f>IF(AB3081=1,COUNTIF($AB$3:AB3081,1),"")</f>
        <v/>
      </c>
      <c r="AD3081" s="117" t="str">
        <f>IFERROR(INDEX($AA$3:$AA$10000,MATCH(ROWS($AC$3:AC3081),$AC$3:$AC$10000,0)),"")</f>
        <v/>
      </c>
    </row>
    <row r="3082" spans="27:30">
      <c r="AA3082" s="117">
        <f>+'Ingredient List - Mother Tinctu'!D3083</f>
        <v>0</v>
      </c>
      <c r="AB3082" s="117">
        <f t="shared" si="51"/>
        <v>0</v>
      </c>
      <c r="AC3082" s="117" t="str">
        <f>IF(AB3082=1,COUNTIF($AB$3:AB3082,1),"")</f>
        <v/>
      </c>
      <c r="AD3082" s="117" t="str">
        <f>IFERROR(INDEX($AA$3:$AA$10000,MATCH(ROWS($AC$3:AC3082),$AC$3:$AC$10000,0)),"")</f>
        <v/>
      </c>
    </row>
    <row r="3083" spans="27:30">
      <c r="AA3083" s="117">
        <f>+'Ingredient List - Mother Tinctu'!D3084</f>
        <v>0</v>
      </c>
      <c r="AB3083" s="117">
        <f t="shared" si="51"/>
        <v>0</v>
      </c>
      <c r="AC3083" s="117" t="str">
        <f>IF(AB3083=1,COUNTIF($AB$3:AB3083,1),"")</f>
        <v/>
      </c>
      <c r="AD3083" s="117" t="str">
        <f>IFERROR(INDEX($AA$3:$AA$10000,MATCH(ROWS($AC$3:AC3083),$AC$3:$AC$10000,0)),"")</f>
        <v/>
      </c>
    </row>
    <row r="3084" spans="27:30">
      <c r="AA3084" s="117">
        <f>+'Ingredient List - Mother Tinctu'!D3085</f>
        <v>0</v>
      </c>
      <c r="AB3084" s="117">
        <f t="shared" si="51"/>
        <v>0</v>
      </c>
      <c r="AC3084" s="117" t="str">
        <f>IF(AB3084=1,COUNTIF($AB$3:AB3084,1),"")</f>
        <v/>
      </c>
      <c r="AD3084" s="117" t="str">
        <f>IFERROR(INDEX($AA$3:$AA$10000,MATCH(ROWS($AC$3:AC3084),$AC$3:$AC$10000,0)),"")</f>
        <v/>
      </c>
    </row>
    <row r="3085" spans="27:30">
      <c r="AA3085" s="117">
        <f>+'Ingredient List - Mother Tinctu'!D3086</f>
        <v>0</v>
      </c>
      <c r="AB3085" s="117">
        <f t="shared" si="51"/>
        <v>0</v>
      </c>
      <c r="AC3085" s="117" t="str">
        <f>IF(AB3085=1,COUNTIF($AB$3:AB3085,1),"")</f>
        <v/>
      </c>
      <c r="AD3085" s="117" t="str">
        <f>IFERROR(INDEX($AA$3:$AA$10000,MATCH(ROWS($AC$3:AC3085),$AC$3:$AC$10000,0)),"")</f>
        <v/>
      </c>
    </row>
    <row r="3086" spans="27:30">
      <c r="AA3086" s="117">
        <f>+'Ingredient List - Mother Tinctu'!D3087</f>
        <v>0</v>
      </c>
      <c r="AB3086" s="117">
        <f t="shared" si="51"/>
        <v>0</v>
      </c>
      <c r="AC3086" s="117" t="str">
        <f>IF(AB3086=1,COUNTIF($AB$3:AB3086,1),"")</f>
        <v/>
      </c>
      <c r="AD3086" s="117" t="str">
        <f>IFERROR(INDEX($AA$3:$AA$10000,MATCH(ROWS($AC$3:AC3086),$AC$3:$AC$10000,0)),"")</f>
        <v/>
      </c>
    </row>
    <row r="3087" spans="27:30">
      <c r="AA3087" s="117">
        <f>+'Ingredient List - Mother Tinctu'!D3088</f>
        <v>0</v>
      </c>
      <c r="AB3087" s="117">
        <f t="shared" si="51"/>
        <v>0</v>
      </c>
      <c r="AC3087" s="117" t="str">
        <f>IF(AB3087=1,COUNTIF($AB$3:AB3087,1),"")</f>
        <v/>
      </c>
      <c r="AD3087" s="117" t="str">
        <f>IFERROR(INDEX($AA$3:$AA$10000,MATCH(ROWS($AC$3:AC3087),$AC$3:$AC$10000,0)),"")</f>
        <v/>
      </c>
    </row>
    <row r="3088" spans="27:30">
      <c r="AA3088" s="117">
        <f>+'Ingredient List - Mother Tinctu'!D3089</f>
        <v>0</v>
      </c>
      <c r="AB3088" s="117">
        <f t="shared" si="51"/>
        <v>0</v>
      </c>
      <c r="AC3088" s="117" t="str">
        <f>IF(AB3088=1,COUNTIF($AB$3:AB3088,1),"")</f>
        <v/>
      </c>
      <c r="AD3088" s="117" t="str">
        <f>IFERROR(INDEX($AA$3:$AA$10000,MATCH(ROWS($AC$3:AC3088),$AC$3:$AC$10000,0)),"")</f>
        <v/>
      </c>
    </row>
    <row r="3089" spans="27:30">
      <c r="AA3089" s="117">
        <f>+'Ingredient List - Mother Tinctu'!D3090</f>
        <v>0</v>
      </c>
      <c r="AB3089" s="117">
        <f t="shared" si="51"/>
        <v>0</v>
      </c>
      <c r="AC3089" s="117" t="str">
        <f>IF(AB3089=1,COUNTIF($AB$3:AB3089,1),"")</f>
        <v/>
      </c>
      <c r="AD3089" s="117" t="str">
        <f>IFERROR(INDEX($AA$3:$AA$10000,MATCH(ROWS($AC$3:AC3089),$AC$3:$AC$10000,0)),"")</f>
        <v/>
      </c>
    </row>
    <row r="3090" spans="27:30">
      <c r="AA3090" s="117">
        <f>+'Ingredient List - Mother Tinctu'!D3091</f>
        <v>0</v>
      </c>
      <c r="AB3090" s="117">
        <f t="shared" si="51"/>
        <v>0</v>
      </c>
      <c r="AC3090" s="117" t="str">
        <f>IF(AB3090=1,COUNTIF($AB$3:AB3090,1),"")</f>
        <v/>
      </c>
      <c r="AD3090" s="117" t="str">
        <f>IFERROR(INDEX($AA$3:$AA$10000,MATCH(ROWS($AC$3:AC3090),$AC$3:$AC$10000,0)),"")</f>
        <v/>
      </c>
    </row>
    <row r="3091" spans="27:30">
      <c r="AA3091" s="117">
        <f>+'Ingredient List - Mother Tinctu'!D3092</f>
        <v>0</v>
      </c>
      <c r="AB3091" s="117">
        <f t="shared" si="51"/>
        <v>0</v>
      </c>
      <c r="AC3091" s="117" t="str">
        <f>IF(AB3091=1,COUNTIF($AB$3:AB3091,1),"")</f>
        <v/>
      </c>
      <c r="AD3091" s="117" t="str">
        <f>IFERROR(INDEX($AA$3:$AA$10000,MATCH(ROWS($AC$3:AC3091),$AC$3:$AC$10000,0)),"")</f>
        <v/>
      </c>
    </row>
    <row r="3092" spans="27:30">
      <c r="AA3092" s="117">
        <f>+'Ingredient List - Mother Tinctu'!D3093</f>
        <v>0</v>
      </c>
      <c r="AB3092" s="117">
        <f t="shared" si="51"/>
        <v>0</v>
      </c>
      <c r="AC3092" s="117" t="str">
        <f>IF(AB3092=1,COUNTIF($AB$3:AB3092,1),"")</f>
        <v/>
      </c>
      <c r="AD3092" s="117" t="str">
        <f>IFERROR(INDEX($AA$3:$AA$10000,MATCH(ROWS($AC$3:AC3092),$AC$3:$AC$10000,0)),"")</f>
        <v/>
      </c>
    </row>
    <row r="3093" spans="27:30">
      <c r="AA3093" s="117">
        <f>+'Ingredient List - Mother Tinctu'!D3094</f>
        <v>0</v>
      </c>
      <c r="AB3093" s="117">
        <f t="shared" si="51"/>
        <v>0</v>
      </c>
      <c r="AC3093" s="117" t="str">
        <f>IF(AB3093=1,COUNTIF($AB$3:AB3093,1),"")</f>
        <v/>
      </c>
      <c r="AD3093" s="117" t="str">
        <f>IFERROR(INDEX($AA$3:$AA$10000,MATCH(ROWS($AC$3:AC3093),$AC$3:$AC$10000,0)),"")</f>
        <v/>
      </c>
    </row>
    <row r="3094" spans="27:30">
      <c r="AA3094" s="117">
        <f>+'Ingredient List - Mother Tinctu'!D3095</f>
        <v>0</v>
      </c>
      <c r="AB3094" s="117">
        <f t="shared" si="51"/>
        <v>0</v>
      </c>
      <c r="AC3094" s="117" t="str">
        <f>IF(AB3094=1,COUNTIF($AB$3:AB3094,1),"")</f>
        <v/>
      </c>
      <c r="AD3094" s="117" t="str">
        <f>IFERROR(INDEX($AA$3:$AA$10000,MATCH(ROWS($AC$3:AC3094),$AC$3:$AC$10000,0)),"")</f>
        <v/>
      </c>
    </row>
    <row r="3095" spans="27:30">
      <c r="AA3095" s="117">
        <f>+'Ingredient List - Mother Tinctu'!D3096</f>
        <v>0</v>
      </c>
      <c r="AB3095" s="117">
        <f t="shared" si="51"/>
        <v>0</v>
      </c>
      <c r="AC3095" s="117" t="str">
        <f>IF(AB3095=1,COUNTIF($AB$3:AB3095,1),"")</f>
        <v/>
      </c>
      <c r="AD3095" s="117" t="str">
        <f>IFERROR(INDEX($AA$3:$AA$10000,MATCH(ROWS($AC$3:AC3095),$AC$3:$AC$10000,0)),"")</f>
        <v/>
      </c>
    </row>
    <row r="3096" spans="27:30">
      <c r="AA3096" s="117">
        <f>+'Ingredient List - Mother Tinctu'!D3097</f>
        <v>0</v>
      </c>
      <c r="AB3096" s="117">
        <f t="shared" si="51"/>
        <v>0</v>
      </c>
      <c r="AC3096" s="117" t="str">
        <f>IF(AB3096=1,COUNTIF($AB$3:AB3096,1),"")</f>
        <v/>
      </c>
      <c r="AD3096" s="117" t="str">
        <f>IFERROR(INDEX($AA$3:$AA$10000,MATCH(ROWS($AC$3:AC3096),$AC$3:$AC$10000,0)),"")</f>
        <v/>
      </c>
    </row>
    <row r="3097" spans="27:30">
      <c r="AA3097" s="117">
        <f>+'Ingredient List - Mother Tinctu'!D3098</f>
        <v>0</v>
      </c>
      <c r="AB3097" s="117">
        <f t="shared" si="51"/>
        <v>0</v>
      </c>
      <c r="AC3097" s="117" t="str">
        <f>IF(AB3097=1,COUNTIF($AB$3:AB3097,1),"")</f>
        <v/>
      </c>
      <c r="AD3097" s="117" t="str">
        <f>IFERROR(INDEX($AA$3:$AA$10000,MATCH(ROWS($AC$3:AC3097),$AC$3:$AC$10000,0)),"")</f>
        <v/>
      </c>
    </row>
    <row r="3098" spans="27:30">
      <c r="AA3098" s="117">
        <f>+'Ingredient List - Mother Tinctu'!D3099</f>
        <v>0</v>
      </c>
      <c r="AB3098" s="117">
        <f t="shared" si="51"/>
        <v>0</v>
      </c>
      <c r="AC3098" s="117" t="str">
        <f>IF(AB3098=1,COUNTIF($AB$3:AB3098,1),"")</f>
        <v/>
      </c>
      <c r="AD3098" s="117" t="str">
        <f>IFERROR(INDEX($AA$3:$AA$10000,MATCH(ROWS($AC$3:AC3098),$AC$3:$AC$10000,0)),"")</f>
        <v/>
      </c>
    </row>
    <row r="3099" spans="27:30">
      <c r="AA3099" s="117">
        <f>+'Ingredient List - Mother Tinctu'!D3100</f>
        <v>0</v>
      </c>
      <c r="AB3099" s="117">
        <f t="shared" si="51"/>
        <v>0</v>
      </c>
      <c r="AC3099" s="117" t="str">
        <f>IF(AB3099=1,COUNTIF($AB$3:AB3099,1),"")</f>
        <v/>
      </c>
      <c r="AD3099" s="117" t="str">
        <f>IFERROR(INDEX($AA$3:$AA$10000,MATCH(ROWS($AC$3:AC3099),$AC$3:$AC$10000,0)),"")</f>
        <v/>
      </c>
    </row>
    <row r="3100" spans="27:30">
      <c r="AA3100" s="117">
        <f>+'Ingredient List - Mother Tinctu'!D3101</f>
        <v>0</v>
      </c>
      <c r="AB3100" s="117">
        <f t="shared" si="51"/>
        <v>0</v>
      </c>
      <c r="AC3100" s="117" t="str">
        <f>IF(AB3100=1,COUNTIF($AB$3:AB3100,1),"")</f>
        <v/>
      </c>
      <c r="AD3100" s="117" t="str">
        <f>IFERROR(INDEX($AA$3:$AA$10000,MATCH(ROWS($AC$3:AC3100),$AC$3:$AC$10000,0)),"")</f>
        <v/>
      </c>
    </row>
    <row r="3101" spans="27:30">
      <c r="AA3101" s="117">
        <f>+'Ingredient List - Mother Tinctu'!D3102</f>
        <v>0</v>
      </c>
      <c r="AB3101" s="117">
        <f t="shared" si="51"/>
        <v>0</v>
      </c>
      <c r="AC3101" s="117" t="str">
        <f>IF(AB3101=1,COUNTIF($AB$3:AB3101,1),"")</f>
        <v/>
      </c>
      <c r="AD3101" s="117" t="str">
        <f>IFERROR(INDEX($AA$3:$AA$10000,MATCH(ROWS($AC$3:AC3101),$AC$3:$AC$10000,0)),"")</f>
        <v/>
      </c>
    </row>
    <row r="3102" spans="27:30">
      <c r="AA3102" s="117">
        <f>+'Ingredient List - Mother Tinctu'!D3103</f>
        <v>0</v>
      </c>
      <c r="AB3102" s="117">
        <f t="shared" si="51"/>
        <v>0</v>
      </c>
      <c r="AC3102" s="117" t="str">
        <f>IF(AB3102=1,COUNTIF($AB$3:AB3102,1),"")</f>
        <v/>
      </c>
      <c r="AD3102" s="117" t="str">
        <f>IFERROR(INDEX($AA$3:$AA$10000,MATCH(ROWS($AC$3:AC3102),$AC$3:$AC$10000,0)),"")</f>
        <v/>
      </c>
    </row>
    <row r="3103" spans="27:30">
      <c r="AA3103" s="117">
        <f>+'Ingredient List - Mother Tinctu'!D3104</f>
        <v>0</v>
      </c>
      <c r="AB3103" s="117">
        <f t="shared" si="51"/>
        <v>0</v>
      </c>
      <c r="AC3103" s="117" t="str">
        <f>IF(AB3103=1,COUNTIF($AB$3:AB3103,1),"")</f>
        <v/>
      </c>
      <c r="AD3103" s="117" t="str">
        <f>IFERROR(INDEX($AA$3:$AA$10000,MATCH(ROWS($AC$3:AC3103),$AC$3:$AC$10000,0)),"")</f>
        <v/>
      </c>
    </row>
    <row r="3104" spans="27:30">
      <c r="AA3104" s="117">
        <f>+'Ingredient List - Mother Tinctu'!D3105</f>
        <v>0</v>
      </c>
      <c r="AB3104" s="117">
        <f t="shared" si="51"/>
        <v>0</v>
      </c>
      <c r="AC3104" s="117" t="str">
        <f>IF(AB3104=1,COUNTIF($AB$3:AB3104,1),"")</f>
        <v/>
      </c>
      <c r="AD3104" s="117" t="str">
        <f>IFERROR(INDEX($AA$3:$AA$10000,MATCH(ROWS($AC$3:AC3104),$AC$3:$AC$10000,0)),"")</f>
        <v/>
      </c>
    </row>
    <row r="3105" spans="27:30">
      <c r="AA3105" s="117">
        <f>+'Ingredient List - Mother Tinctu'!D3106</f>
        <v>0</v>
      </c>
      <c r="AB3105" s="117">
        <f t="shared" si="51"/>
        <v>0</v>
      </c>
      <c r="AC3105" s="117" t="str">
        <f>IF(AB3105=1,COUNTIF($AB$3:AB3105,1),"")</f>
        <v/>
      </c>
      <c r="AD3105" s="117" t="str">
        <f>IFERROR(INDEX($AA$3:$AA$10000,MATCH(ROWS($AC$3:AC3105),$AC$3:$AC$10000,0)),"")</f>
        <v/>
      </c>
    </row>
    <row r="3106" spans="27:30">
      <c r="AA3106" s="117">
        <f>+'Ingredient List - Mother Tinctu'!D3107</f>
        <v>0</v>
      </c>
      <c r="AB3106" s="117">
        <f t="shared" si="51"/>
        <v>0</v>
      </c>
      <c r="AC3106" s="117" t="str">
        <f>IF(AB3106=1,COUNTIF($AB$3:AB3106,1),"")</f>
        <v/>
      </c>
      <c r="AD3106" s="117" t="str">
        <f>IFERROR(INDEX($AA$3:$AA$10000,MATCH(ROWS($AC$3:AC3106),$AC$3:$AC$10000,0)),"")</f>
        <v/>
      </c>
    </row>
    <row r="3107" spans="27:30">
      <c r="AA3107" s="117">
        <f>+'Ingredient List - Mother Tinctu'!D3108</f>
        <v>0</v>
      </c>
      <c r="AB3107" s="117">
        <f t="shared" si="51"/>
        <v>0</v>
      </c>
      <c r="AC3107" s="117" t="str">
        <f>IF(AB3107=1,COUNTIF($AB$3:AB3107,1),"")</f>
        <v/>
      </c>
      <c r="AD3107" s="117" t="str">
        <f>IFERROR(INDEX($AA$3:$AA$10000,MATCH(ROWS($AC$3:AC3107),$AC$3:$AC$10000,0)),"")</f>
        <v/>
      </c>
    </row>
    <row r="3108" spans="27:30">
      <c r="AA3108" s="117">
        <f>+'Ingredient List - Mother Tinctu'!D3109</f>
        <v>0</v>
      </c>
      <c r="AB3108" s="117">
        <f t="shared" si="51"/>
        <v>0</v>
      </c>
      <c r="AC3108" s="117" t="str">
        <f>IF(AB3108=1,COUNTIF($AB$3:AB3108,1),"")</f>
        <v/>
      </c>
      <c r="AD3108" s="117" t="str">
        <f>IFERROR(INDEX($AA$3:$AA$10000,MATCH(ROWS($AC$3:AC3108),$AC$3:$AC$10000,0)),"")</f>
        <v/>
      </c>
    </row>
    <row r="3109" spans="27:30">
      <c r="AA3109" s="117">
        <f>+'Ingredient List - Mother Tinctu'!D3110</f>
        <v>0</v>
      </c>
      <c r="AB3109" s="117">
        <f t="shared" si="51"/>
        <v>0</v>
      </c>
      <c r="AC3109" s="117" t="str">
        <f>IF(AB3109=1,COUNTIF($AB$3:AB3109,1),"")</f>
        <v/>
      </c>
      <c r="AD3109" s="117" t="str">
        <f>IFERROR(INDEX($AA$3:$AA$10000,MATCH(ROWS($AC$3:AC3109),$AC$3:$AC$10000,0)),"")</f>
        <v/>
      </c>
    </row>
    <row r="3110" spans="27:30">
      <c r="AA3110" s="117">
        <f>+'Ingredient List - Mother Tinctu'!D3111</f>
        <v>0</v>
      </c>
      <c r="AB3110" s="117">
        <f t="shared" si="51"/>
        <v>0</v>
      </c>
      <c r="AC3110" s="117" t="str">
        <f>IF(AB3110=1,COUNTIF($AB$3:AB3110,1),"")</f>
        <v/>
      </c>
      <c r="AD3110" s="117" t="str">
        <f>IFERROR(INDEX($AA$3:$AA$10000,MATCH(ROWS($AC$3:AC3110),$AC$3:$AC$10000,0)),"")</f>
        <v/>
      </c>
    </row>
    <row r="3111" spans="27:30">
      <c r="AA3111" s="117">
        <f>+'Ingredient List - Mother Tinctu'!D3112</f>
        <v>0</v>
      </c>
      <c r="AB3111" s="117">
        <f t="shared" si="51"/>
        <v>0</v>
      </c>
      <c r="AC3111" s="117" t="str">
        <f>IF(AB3111=1,COUNTIF($AB$3:AB3111,1),"")</f>
        <v/>
      </c>
      <c r="AD3111" s="117" t="str">
        <f>IFERROR(INDEX($AA$3:$AA$10000,MATCH(ROWS($AC$3:AC3111),$AC$3:$AC$10000,0)),"")</f>
        <v/>
      </c>
    </row>
    <row r="3112" spans="27:30">
      <c r="AA3112" s="117">
        <f>+'Ingredient List - Mother Tinctu'!D3113</f>
        <v>0</v>
      </c>
      <c r="AB3112" s="117">
        <f t="shared" si="51"/>
        <v>0</v>
      </c>
      <c r="AC3112" s="117" t="str">
        <f>IF(AB3112=1,COUNTIF($AB$3:AB3112,1),"")</f>
        <v/>
      </c>
      <c r="AD3112" s="117" t="str">
        <f>IFERROR(INDEX($AA$3:$AA$10000,MATCH(ROWS($AC$3:AC3112),$AC$3:$AC$10000,0)),"")</f>
        <v/>
      </c>
    </row>
    <row r="3113" spans="27:30">
      <c r="AA3113" s="117">
        <f>+'Ingredient List - Mother Tinctu'!D3114</f>
        <v>0</v>
      </c>
      <c r="AB3113" s="117">
        <f t="shared" si="51"/>
        <v>0</v>
      </c>
      <c r="AC3113" s="117" t="str">
        <f>IF(AB3113=1,COUNTIF($AB$3:AB3113,1),"")</f>
        <v/>
      </c>
      <c r="AD3113" s="117" t="str">
        <f>IFERROR(INDEX($AA$3:$AA$10000,MATCH(ROWS($AC$3:AC3113),$AC$3:$AC$10000,0)),"")</f>
        <v/>
      </c>
    </row>
    <row r="3114" spans="27:30">
      <c r="AA3114" s="117">
        <f>+'Ingredient List - Mother Tinctu'!D3115</f>
        <v>0</v>
      </c>
      <c r="AB3114" s="117">
        <f t="shared" si="51"/>
        <v>0</v>
      </c>
      <c r="AC3114" s="117" t="str">
        <f>IF(AB3114=1,COUNTIF($AB$3:AB3114,1),"")</f>
        <v/>
      </c>
      <c r="AD3114" s="117" t="str">
        <f>IFERROR(INDEX($AA$3:$AA$10000,MATCH(ROWS($AC$3:AC3114),$AC$3:$AC$10000,0)),"")</f>
        <v/>
      </c>
    </row>
    <row r="3115" spans="27:30">
      <c r="AA3115" s="117">
        <f>+'Ingredient List - Mother Tinctu'!D3116</f>
        <v>0</v>
      </c>
      <c r="AB3115" s="117">
        <f t="shared" si="51"/>
        <v>0</v>
      </c>
      <c r="AC3115" s="117" t="str">
        <f>IF(AB3115=1,COUNTIF($AB$3:AB3115,1),"")</f>
        <v/>
      </c>
      <c r="AD3115" s="117" t="str">
        <f>IFERROR(INDEX($AA$3:$AA$10000,MATCH(ROWS($AC$3:AC3115),$AC$3:$AC$10000,0)),"")</f>
        <v/>
      </c>
    </row>
    <row r="3116" spans="27:30">
      <c r="AA3116" s="117">
        <f>+'Ingredient List - Mother Tinctu'!D3117</f>
        <v>0</v>
      </c>
      <c r="AB3116" s="117">
        <f t="shared" si="51"/>
        <v>0</v>
      </c>
      <c r="AC3116" s="117" t="str">
        <f>IF(AB3116=1,COUNTIF($AB$3:AB3116,1),"")</f>
        <v/>
      </c>
      <c r="AD3116" s="117" t="str">
        <f>IFERROR(INDEX($AA$3:$AA$10000,MATCH(ROWS($AC$3:AC3116),$AC$3:$AC$10000,0)),"")</f>
        <v/>
      </c>
    </row>
    <row r="3117" spans="27:30">
      <c r="AA3117" s="117">
        <f>+'Ingredient List - Mother Tinctu'!D3118</f>
        <v>0</v>
      </c>
      <c r="AB3117" s="117">
        <f t="shared" si="51"/>
        <v>0</v>
      </c>
      <c r="AC3117" s="117" t="str">
        <f>IF(AB3117=1,COUNTIF($AB$3:AB3117,1),"")</f>
        <v/>
      </c>
      <c r="AD3117" s="117" t="str">
        <f>IFERROR(INDEX($AA$3:$AA$10000,MATCH(ROWS($AC$3:AC3117),$AC$3:$AC$10000,0)),"")</f>
        <v/>
      </c>
    </row>
    <row r="3118" spans="27:30">
      <c r="AA3118" s="117">
        <f>+'Ingredient List - Mother Tinctu'!D3119</f>
        <v>0</v>
      </c>
      <c r="AB3118" s="117">
        <f t="shared" si="51"/>
        <v>0</v>
      </c>
      <c r="AC3118" s="117" t="str">
        <f>IF(AB3118=1,COUNTIF($AB$3:AB3118,1),"")</f>
        <v/>
      </c>
      <c r="AD3118" s="117" t="str">
        <f>IFERROR(INDEX($AA$3:$AA$10000,MATCH(ROWS($AC$3:AC3118),$AC$3:$AC$10000,0)),"")</f>
        <v/>
      </c>
    </row>
    <row r="3119" spans="27:30">
      <c r="AA3119" s="117">
        <f>+'Ingredient List - Mother Tinctu'!D3120</f>
        <v>0</v>
      </c>
      <c r="AB3119" s="117">
        <f t="shared" si="51"/>
        <v>0</v>
      </c>
      <c r="AC3119" s="117" t="str">
        <f>IF(AB3119=1,COUNTIF($AB$3:AB3119,1),"")</f>
        <v/>
      </c>
      <c r="AD3119" s="117" t="str">
        <f>IFERROR(INDEX($AA$3:$AA$10000,MATCH(ROWS($AC$3:AC3119),$AC$3:$AC$10000,0)),"")</f>
        <v/>
      </c>
    </row>
    <row r="3120" spans="27:30">
      <c r="AA3120" s="117">
        <f>+'Ingredient List - Mother Tinctu'!D3121</f>
        <v>0</v>
      </c>
      <c r="AB3120" s="117">
        <f t="shared" si="51"/>
        <v>0</v>
      </c>
      <c r="AC3120" s="117" t="str">
        <f>IF(AB3120=1,COUNTIF($AB$3:AB3120,1),"")</f>
        <v/>
      </c>
      <c r="AD3120" s="117" t="str">
        <f>IFERROR(INDEX($AA$3:$AA$10000,MATCH(ROWS($AC$3:AC3120),$AC$3:$AC$10000,0)),"")</f>
        <v/>
      </c>
    </row>
    <row r="3121" spans="27:30">
      <c r="AA3121" s="117">
        <f>+'Ingredient List - Mother Tinctu'!D3122</f>
        <v>0</v>
      </c>
      <c r="AB3121" s="117">
        <f t="shared" si="51"/>
        <v>0</v>
      </c>
      <c r="AC3121" s="117" t="str">
        <f>IF(AB3121=1,COUNTIF($AB$3:AB3121,1),"")</f>
        <v/>
      </c>
      <c r="AD3121" s="117" t="str">
        <f>IFERROR(INDEX($AA$3:$AA$10000,MATCH(ROWS($AC$3:AC3121),$AC$3:$AC$10000,0)),"")</f>
        <v/>
      </c>
    </row>
    <row r="3122" spans="27:30">
      <c r="AA3122" s="117">
        <f>+'Ingredient List - Mother Tinctu'!D3123</f>
        <v>0</v>
      </c>
      <c r="AB3122" s="117">
        <f t="shared" si="51"/>
        <v>0</v>
      </c>
      <c r="AC3122" s="117" t="str">
        <f>IF(AB3122=1,COUNTIF($AB$3:AB3122,1),"")</f>
        <v/>
      </c>
      <c r="AD3122" s="117" t="str">
        <f>IFERROR(INDEX($AA$3:$AA$10000,MATCH(ROWS($AC$3:AC3122),$AC$3:$AC$10000,0)),"")</f>
        <v/>
      </c>
    </row>
    <row r="3123" spans="27:30">
      <c r="AA3123" s="117">
        <f>+'Ingredient List - Mother Tinctu'!D3124</f>
        <v>0</v>
      </c>
      <c r="AB3123" s="117">
        <f t="shared" si="51"/>
        <v>0</v>
      </c>
      <c r="AC3123" s="117" t="str">
        <f>IF(AB3123=1,COUNTIF($AB$3:AB3123,1),"")</f>
        <v/>
      </c>
      <c r="AD3123" s="117" t="str">
        <f>IFERROR(INDEX($AA$3:$AA$10000,MATCH(ROWS($AC$3:AC3123),$AC$3:$AC$10000,0)),"")</f>
        <v/>
      </c>
    </row>
    <row r="3124" spans="27:30">
      <c r="AA3124" s="117">
        <f>+'Ingredient List - Mother Tinctu'!D3125</f>
        <v>0</v>
      </c>
      <c r="AB3124" s="117">
        <f t="shared" si="51"/>
        <v>0</v>
      </c>
      <c r="AC3124" s="117" t="str">
        <f>IF(AB3124=1,COUNTIF($AB$3:AB3124,1),"")</f>
        <v/>
      </c>
      <c r="AD3124" s="117" t="str">
        <f>IFERROR(INDEX($AA$3:$AA$10000,MATCH(ROWS($AC$3:AC3124),$AC$3:$AC$10000,0)),"")</f>
        <v/>
      </c>
    </row>
    <row r="3125" spans="27:30">
      <c r="AA3125" s="117">
        <f>+'Ingredient List - Mother Tinctu'!D3126</f>
        <v>0</v>
      </c>
      <c r="AB3125" s="117">
        <f t="shared" si="51"/>
        <v>0</v>
      </c>
      <c r="AC3125" s="117" t="str">
        <f>IF(AB3125=1,COUNTIF($AB$3:AB3125,1),"")</f>
        <v/>
      </c>
      <c r="AD3125" s="117" t="str">
        <f>IFERROR(INDEX($AA$3:$AA$10000,MATCH(ROWS($AC$3:AC3125),$AC$3:$AC$10000,0)),"")</f>
        <v/>
      </c>
    </row>
    <row r="3126" spans="27:30">
      <c r="AA3126" s="117">
        <f>+'Ingredient List - Mother Tinctu'!D3127</f>
        <v>0</v>
      </c>
      <c r="AB3126" s="117">
        <f t="shared" si="51"/>
        <v>0</v>
      </c>
      <c r="AC3126" s="117" t="str">
        <f>IF(AB3126=1,COUNTIF($AB$3:AB3126,1),"")</f>
        <v/>
      </c>
      <c r="AD3126" s="117" t="str">
        <f>IFERROR(INDEX($AA$3:$AA$10000,MATCH(ROWS($AC$3:AC3126),$AC$3:$AC$10000,0)),"")</f>
        <v/>
      </c>
    </row>
    <row r="3127" spans="27:30">
      <c r="AA3127" s="117">
        <f>+'Ingredient List - Mother Tinctu'!D3128</f>
        <v>0</v>
      </c>
      <c r="AB3127" s="117">
        <f t="shared" si="51"/>
        <v>0</v>
      </c>
      <c r="AC3127" s="117" t="str">
        <f>IF(AB3127=1,COUNTIF($AB$3:AB3127,1),"")</f>
        <v/>
      </c>
      <c r="AD3127" s="117" t="str">
        <f>IFERROR(INDEX($AA$3:$AA$10000,MATCH(ROWS($AC$3:AC3127),$AC$3:$AC$10000,0)),"")</f>
        <v/>
      </c>
    </row>
    <row r="3128" spans="27:30">
      <c r="AA3128" s="117">
        <f>+'Ingredient List - Mother Tinctu'!D3129</f>
        <v>0</v>
      </c>
      <c r="AB3128" s="117">
        <f t="shared" si="51"/>
        <v>0</v>
      </c>
      <c r="AC3128" s="117" t="str">
        <f>IF(AB3128=1,COUNTIF($AB$3:AB3128,1),"")</f>
        <v/>
      </c>
      <c r="AD3128" s="117" t="str">
        <f>IFERROR(INDEX($AA$3:$AA$10000,MATCH(ROWS($AC$3:AC3128),$AC$3:$AC$10000,0)),"")</f>
        <v/>
      </c>
    </row>
    <row r="3129" spans="27:30">
      <c r="AA3129" s="117">
        <f>+'Ingredient List - Mother Tinctu'!D3130</f>
        <v>0</v>
      </c>
      <c r="AB3129" s="117">
        <f t="shared" si="51"/>
        <v>0</v>
      </c>
      <c r="AC3129" s="117" t="str">
        <f>IF(AB3129=1,COUNTIF($AB$3:AB3129,1),"")</f>
        <v/>
      </c>
      <c r="AD3129" s="117" t="str">
        <f>IFERROR(INDEX($AA$3:$AA$10000,MATCH(ROWS($AC$3:AC3129),$AC$3:$AC$10000,0)),"")</f>
        <v/>
      </c>
    </row>
    <row r="3130" spans="27:30">
      <c r="AA3130" s="117">
        <f>+'Ingredient List - Mother Tinctu'!D3131</f>
        <v>0</v>
      </c>
      <c r="AB3130" s="117">
        <f t="shared" si="51"/>
        <v>0</v>
      </c>
      <c r="AC3130" s="117" t="str">
        <f>IF(AB3130=1,COUNTIF($AB$3:AB3130,1),"")</f>
        <v/>
      </c>
      <c r="AD3130" s="117" t="str">
        <f>IFERROR(INDEX($AA$3:$AA$10000,MATCH(ROWS($AC$3:AC3130),$AC$3:$AC$10000,0)),"")</f>
        <v/>
      </c>
    </row>
    <row r="3131" spans="27:30">
      <c r="AA3131" s="117">
        <f>+'Ingredient List - Mother Tinctu'!D3132</f>
        <v>0</v>
      </c>
      <c r="AB3131" s="117">
        <f t="shared" si="51"/>
        <v>0</v>
      </c>
      <c r="AC3131" s="117" t="str">
        <f>IF(AB3131=1,COUNTIF($AB$3:AB3131,1),"")</f>
        <v/>
      </c>
      <c r="AD3131" s="117" t="str">
        <f>IFERROR(INDEX($AA$3:$AA$10000,MATCH(ROWS($AC$3:AC3131),$AC$3:$AC$10000,0)),"")</f>
        <v/>
      </c>
    </row>
    <row r="3132" spans="27:30">
      <c r="AA3132" s="117">
        <f>+'Ingredient List - Mother Tinctu'!D3133</f>
        <v>0</v>
      </c>
      <c r="AB3132" s="117">
        <f t="shared" si="51"/>
        <v>0</v>
      </c>
      <c r="AC3132" s="117" t="str">
        <f>IF(AB3132=1,COUNTIF($AB$3:AB3132,1),"")</f>
        <v/>
      </c>
      <c r="AD3132" s="117" t="str">
        <f>IFERROR(INDEX($AA$3:$AA$10000,MATCH(ROWS($AC$3:AC3132),$AC$3:$AC$10000,0)),"")</f>
        <v/>
      </c>
    </row>
    <row r="3133" spans="27:30">
      <c r="AA3133" s="117">
        <f>+'Ingredient List - Mother Tinctu'!D3134</f>
        <v>0</v>
      </c>
      <c r="AB3133" s="117">
        <f t="shared" si="51"/>
        <v>0</v>
      </c>
      <c r="AC3133" s="117" t="str">
        <f>IF(AB3133=1,COUNTIF($AB$3:AB3133,1),"")</f>
        <v/>
      </c>
      <c r="AD3133" s="117" t="str">
        <f>IFERROR(INDEX($AA$3:$AA$10000,MATCH(ROWS($AC$3:AC3133),$AC$3:$AC$10000,0)),"")</f>
        <v/>
      </c>
    </row>
    <row r="3134" spans="27:30">
      <c r="AA3134" s="117">
        <f>+'Ingredient List - Mother Tinctu'!D3135</f>
        <v>0</v>
      </c>
      <c r="AB3134" s="117">
        <f t="shared" si="51"/>
        <v>0</v>
      </c>
      <c r="AC3134" s="117" t="str">
        <f>IF(AB3134=1,COUNTIF($AB$3:AB3134,1),"")</f>
        <v/>
      </c>
      <c r="AD3134" s="117" t="str">
        <f>IFERROR(INDEX($AA$3:$AA$10000,MATCH(ROWS($AC$3:AC3134),$AC$3:$AC$10000,0)),"")</f>
        <v/>
      </c>
    </row>
    <row r="3135" spans="27:30">
      <c r="AA3135" s="117">
        <f>+'Ingredient List - Mother Tinctu'!D3136</f>
        <v>0</v>
      </c>
      <c r="AB3135" s="117">
        <f t="shared" si="51"/>
        <v>0</v>
      </c>
      <c r="AC3135" s="117" t="str">
        <f>IF(AB3135=1,COUNTIF($AB$3:AB3135,1),"")</f>
        <v/>
      </c>
      <c r="AD3135" s="117" t="str">
        <f>IFERROR(INDEX($AA$3:$AA$10000,MATCH(ROWS($AC$3:AC3135),$AC$3:$AC$10000,0)),"")</f>
        <v/>
      </c>
    </row>
    <row r="3136" spans="27:30">
      <c r="AA3136" s="117">
        <f>+'Ingredient List - Mother Tinctu'!D3137</f>
        <v>0</v>
      </c>
      <c r="AB3136" s="117">
        <f t="shared" si="51"/>
        <v>0</v>
      </c>
      <c r="AC3136" s="117" t="str">
        <f>IF(AB3136=1,COUNTIF($AB$3:AB3136,1),"")</f>
        <v/>
      </c>
      <c r="AD3136" s="117" t="str">
        <f>IFERROR(INDEX($AA$3:$AA$10000,MATCH(ROWS($AC$3:AC3136),$AC$3:$AC$10000,0)),"")</f>
        <v/>
      </c>
    </row>
    <row r="3137" spans="27:30">
      <c r="AA3137" s="117">
        <f>+'Ingredient List - Mother Tinctu'!D3138</f>
        <v>0</v>
      </c>
      <c r="AB3137" s="117">
        <f t="shared" si="51"/>
        <v>0</v>
      </c>
      <c r="AC3137" s="117" t="str">
        <f>IF(AB3137=1,COUNTIF($AB$3:AB3137,1),"")</f>
        <v/>
      </c>
      <c r="AD3137" s="117" t="str">
        <f>IFERROR(INDEX($AA$3:$AA$10000,MATCH(ROWS($AC$3:AC3137),$AC$3:$AC$10000,0)),"")</f>
        <v/>
      </c>
    </row>
    <row r="3138" spans="27:30">
      <c r="AA3138" s="117">
        <f>+'Ingredient List - Mother Tinctu'!D3139</f>
        <v>0</v>
      </c>
      <c r="AB3138" s="117">
        <f t="shared" si="51"/>
        <v>0</v>
      </c>
      <c r="AC3138" s="117" t="str">
        <f>IF(AB3138=1,COUNTIF($AB$3:AB3138,1),"")</f>
        <v/>
      </c>
      <c r="AD3138" s="117" t="str">
        <f>IFERROR(INDEX($AA$3:$AA$10000,MATCH(ROWS($AC$3:AC3138),$AC$3:$AC$10000,0)),"")</f>
        <v/>
      </c>
    </row>
    <row r="3139" spans="27:30">
      <c r="AA3139" s="117">
        <f>+'Ingredient List - Mother Tinctu'!D3140</f>
        <v>0</v>
      </c>
      <c r="AB3139" s="117">
        <f t="shared" si="51"/>
        <v>0</v>
      </c>
      <c r="AC3139" s="117" t="str">
        <f>IF(AB3139=1,COUNTIF($AB$3:AB3139,1),"")</f>
        <v/>
      </c>
      <c r="AD3139" s="117" t="str">
        <f>IFERROR(INDEX($AA$3:$AA$10000,MATCH(ROWS($AC$3:AC3139),$AC$3:$AC$10000,0)),"")</f>
        <v/>
      </c>
    </row>
    <row r="3140" spans="27:30">
      <c r="AA3140" s="117">
        <f>+'Ingredient List - Mother Tinctu'!D3141</f>
        <v>0</v>
      </c>
      <c r="AB3140" s="117">
        <f t="shared" ref="AB3140:AB3203" si="52">--ISNUMBER(IFERROR(SEARCH($D$3,AA3140,1),""))</f>
        <v>0</v>
      </c>
      <c r="AC3140" s="117" t="str">
        <f>IF(AB3140=1,COUNTIF($AB$3:AB3140,1),"")</f>
        <v/>
      </c>
      <c r="AD3140" s="117" t="str">
        <f>IFERROR(INDEX($AA$3:$AA$10000,MATCH(ROWS($AC$3:AC3140),$AC$3:$AC$10000,0)),"")</f>
        <v/>
      </c>
    </row>
    <row r="3141" spans="27:30">
      <c r="AA3141" s="117">
        <f>+'Ingredient List - Mother Tinctu'!D3142</f>
        <v>0</v>
      </c>
      <c r="AB3141" s="117">
        <f t="shared" si="52"/>
        <v>0</v>
      </c>
      <c r="AC3141" s="117" t="str">
        <f>IF(AB3141=1,COUNTIF($AB$3:AB3141,1),"")</f>
        <v/>
      </c>
      <c r="AD3141" s="117" t="str">
        <f>IFERROR(INDEX($AA$3:$AA$10000,MATCH(ROWS($AC$3:AC3141),$AC$3:$AC$10000,0)),"")</f>
        <v/>
      </c>
    </row>
    <row r="3142" spans="27:30">
      <c r="AA3142" s="117">
        <f>+'Ingredient List - Mother Tinctu'!D3143</f>
        <v>0</v>
      </c>
      <c r="AB3142" s="117">
        <f t="shared" si="52"/>
        <v>0</v>
      </c>
      <c r="AC3142" s="117" t="str">
        <f>IF(AB3142=1,COUNTIF($AB$3:AB3142,1),"")</f>
        <v/>
      </c>
      <c r="AD3142" s="117" t="str">
        <f>IFERROR(INDEX($AA$3:$AA$10000,MATCH(ROWS($AC$3:AC3142),$AC$3:$AC$10000,0)),"")</f>
        <v/>
      </c>
    </row>
    <row r="3143" spans="27:30">
      <c r="AA3143" s="117">
        <f>+'Ingredient List - Mother Tinctu'!D3144</f>
        <v>0</v>
      </c>
      <c r="AB3143" s="117">
        <f t="shared" si="52"/>
        <v>0</v>
      </c>
      <c r="AC3143" s="117" t="str">
        <f>IF(AB3143=1,COUNTIF($AB$3:AB3143,1),"")</f>
        <v/>
      </c>
      <c r="AD3143" s="117" t="str">
        <f>IFERROR(INDEX($AA$3:$AA$10000,MATCH(ROWS($AC$3:AC3143),$AC$3:$AC$10000,0)),"")</f>
        <v/>
      </c>
    </row>
    <row r="3144" spans="27:30">
      <c r="AA3144" s="117">
        <f>+'Ingredient List - Mother Tinctu'!D3145</f>
        <v>0</v>
      </c>
      <c r="AB3144" s="117">
        <f t="shared" si="52"/>
        <v>0</v>
      </c>
      <c r="AC3144" s="117" t="str">
        <f>IF(AB3144=1,COUNTIF($AB$3:AB3144,1),"")</f>
        <v/>
      </c>
      <c r="AD3144" s="117" t="str">
        <f>IFERROR(INDEX($AA$3:$AA$10000,MATCH(ROWS($AC$3:AC3144),$AC$3:$AC$10000,0)),"")</f>
        <v/>
      </c>
    </row>
    <row r="3145" spans="27:30">
      <c r="AA3145" s="117">
        <f>+'Ingredient List - Mother Tinctu'!D3146</f>
        <v>0</v>
      </c>
      <c r="AB3145" s="117">
        <f t="shared" si="52"/>
        <v>0</v>
      </c>
      <c r="AC3145" s="117" t="str">
        <f>IF(AB3145=1,COUNTIF($AB$3:AB3145,1),"")</f>
        <v/>
      </c>
      <c r="AD3145" s="117" t="str">
        <f>IFERROR(INDEX($AA$3:$AA$10000,MATCH(ROWS($AC$3:AC3145),$AC$3:$AC$10000,0)),"")</f>
        <v/>
      </c>
    </row>
    <row r="3146" spans="27:30">
      <c r="AA3146" s="117">
        <f>+'Ingredient List - Mother Tinctu'!D3147</f>
        <v>0</v>
      </c>
      <c r="AB3146" s="117">
        <f t="shared" si="52"/>
        <v>0</v>
      </c>
      <c r="AC3146" s="117" t="str">
        <f>IF(AB3146=1,COUNTIF($AB$3:AB3146,1),"")</f>
        <v/>
      </c>
      <c r="AD3146" s="117" t="str">
        <f>IFERROR(INDEX($AA$3:$AA$10000,MATCH(ROWS($AC$3:AC3146),$AC$3:$AC$10000,0)),"")</f>
        <v/>
      </c>
    </row>
    <row r="3147" spans="27:30">
      <c r="AA3147" s="117">
        <f>+'Ingredient List - Mother Tinctu'!D3148</f>
        <v>0</v>
      </c>
      <c r="AB3147" s="117">
        <f t="shared" si="52"/>
        <v>0</v>
      </c>
      <c r="AC3147" s="117" t="str">
        <f>IF(AB3147=1,COUNTIF($AB$3:AB3147,1),"")</f>
        <v/>
      </c>
      <c r="AD3147" s="117" t="str">
        <f>IFERROR(INDEX($AA$3:$AA$10000,MATCH(ROWS($AC$3:AC3147),$AC$3:$AC$10000,0)),"")</f>
        <v/>
      </c>
    </row>
    <row r="3148" spans="27:30">
      <c r="AA3148" s="117">
        <f>+'Ingredient List - Mother Tinctu'!D3149</f>
        <v>0</v>
      </c>
      <c r="AB3148" s="117">
        <f t="shared" si="52"/>
        <v>0</v>
      </c>
      <c r="AC3148" s="117" t="str">
        <f>IF(AB3148=1,COUNTIF($AB$3:AB3148,1),"")</f>
        <v/>
      </c>
      <c r="AD3148" s="117" t="str">
        <f>IFERROR(INDEX($AA$3:$AA$10000,MATCH(ROWS($AC$3:AC3148),$AC$3:$AC$10000,0)),"")</f>
        <v/>
      </c>
    </row>
    <row r="3149" spans="27:30">
      <c r="AA3149" s="117">
        <f>+'Ingredient List - Mother Tinctu'!D3150</f>
        <v>0</v>
      </c>
      <c r="AB3149" s="117">
        <f t="shared" si="52"/>
        <v>0</v>
      </c>
      <c r="AC3149" s="117" t="str">
        <f>IF(AB3149=1,COUNTIF($AB$3:AB3149,1),"")</f>
        <v/>
      </c>
      <c r="AD3149" s="117" t="str">
        <f>IFERROR(INDEX($AA$3:$AA$10000,MATCH(ROWS($AC$3:AC3149),$AC$3:$AC$10000,0)),"")</f>
        <v/>
      </c>
    </row>
    <row r="3150" spans="27:30">
      <c r="AA3150" s="117">
        <f>+'Ingredient List - Mother Tinctu'!D3151</f>
        <v>0</v>
      </c>
      <c r="AB3150" s="117">
        <f t="shared" si="52"/>
        <v>0</v>
      </c>
      <c r="AC3150" s="117" t="str">
        <f>IF(AB3150=1,COUNTIF($AB$3:AB3150,1),"")</f>
        <v/>
      </c>
      <c r="AD3150" s="117" t="str">
        <f>IFERROR(INDEX($AA$3:$AA$10000,MATCH(ROWS($AC$3:AC3150),$AC$3:$AC$10000,0)),"")</f>
        <v/>
      </c>
    </row>
    <row r="3151" spans="27:30">
      <c r="AA3151" s="117">
        <f>+'Ingredient List - Mother Tinctu'!D3152</f>
        <v>0</v>
      </c>
      <c r="AB3151" s="117">
        <f t="shared" si="52"/>
        <v>0</v>
      </c>
      <c r="AC3151" s="117" t="str">
        <f>IF(AB3151=1,COUNTIF($AB$3:AB3151,1),"")</f>
        <v/>
      </c>
      <c r="AD3151" s="117" t="str">
        <f>IFERROR(INDEX($AA$3:$AA$10000,MATCH(ROWS($AC$3:AC3151),$AC$3:$AC$10000,0)),"")</f>
        <v/>
      </c>
    </row>
    <row r="3152" spans="27:30">
      <c r="AA3152" s="117">
        <f>+'Ingredient List - Mother Tinctu'!D3153</f>
        <v>0</v>
      </c>
      <c r="AB3152" s="117">
        <f t="shared" si="52"/>
        <v>0</v>
      </c>
      <c r="AC3152" s="117" t="str">
        <f>IF(AB3152=1,COUNTIF($AB$3:AB3152,1),"")</f>
        <v/>
      </c>
      <c r="AD3152" s="117" t="str">
        <f>IFERROR(INDEX($AA$3:$AA$10000,MATCH(ROWS($AC$3:AC3152),$AC$3:$AC$10000,0)),"")</f>
        <v/>
      </c>
    </row>
    <row r="3153" spans="27:30">
      <c r="AA3153" s="117">
        <f>+'Ingredient List - Mother Tinctu'!D3154</f>
        <v>0</v>
      </c>
      <c r="AB3153" s="117">
        <f t="shared" si="52"/>
        <v>0</v>
      </c>
      <c r="AC3153" s="117" t="str">
        <f>IF(AB3153=1,COUNTIF($AB$3:AB3153,1),"")</f>
        <v/>
      </c>
      <c r="AD3153" s="117" t="str">
        <f>IFERROR(INDEX($AA$3:$AA$10000,MATCH(ROWS($AC$3:AC3153),$AC$3:$AC$10000,0)),"")</f>
        <v/>
      </c>
    </row>
    <row r="3154" spans="27:30">
      <c r="AA3154" s="117">
        <f>+'Ingredient List - Mother Tinctu'!D3155</f>
        <v>0</v>
      </c>
      <c r="AB3154" s="117">
        <f t="shared" si="52"/>
        <v>0</v>
      </c>
      <c r="AC3154" s="117" t="str">
        <f>IF(AB3154=1,COUNTIF($AB$3:AB3154,1),"")</f>
        <v/>
      </c>
      <c r="AD3154" s="117" t="str">
        <f>IFERROR(INDEX($AA$3:$AA$10000,MATCH(ROWS($AC$3:AC3154),$AC$3:$AC$10000,0)),"")</f>
        <v/>
      </c>
    </row>
    <row r="3155" spans="27:30">
      <c r="AA3155" s="117">
        <f>+'Ingredient List - Mother Tinctu'!D3156</f>
        <v>0</v>
      </c>
      <c r="AB3155" s="117">
        <f t="shared" si="52"/>
        <v>0</v>
      </c>
      <c r="AC3155" s="117" t="str">
        <f>IF(AB3155=1,COUNTIF($AB$3:AB3155,1),"")</f>
        <v/>
      </c>
      <c r="AD3155" s="117" t="str">
        <f>IFERROR(INDEX($AA$3:$AA$10000,MATCH(ROWS($AC$3:AC3155),$AC$3:$AC$10000,0)),"")</f>
        <v/>
      </c>
    </row>
    <row r="3156" spans="27:30">
      <c r="AA3156" s="117">
        <f>+'Ingredient List - Mother Tinctu'!D3157</f>
        <v>0</v>
      </c>
      <c r="AB3156" s="117">
        <f t="shared" si="52"/>
        <v>0</v>
      </c>
      <c r="AC3156" s="117" t="str">
        <f>IF(AB3156=1,COUNTIF($AB$3:AB3156,1),"")</f>
        <v/>
      </c>
      <c r="AD3156" s="117" t="str">
        <f>IFERROR(INDEX($AA$3:$AA$10000,MATCH(ROWS($AC$3:AC3156),$AC$3:$AC$10000,0)),"")</f>
        <v/>
      </c>
    </row>
    <row r="3157" spans="27:30">
      <c r="AA3157" s="117">
        <f>+'Ingredient List - Mother Tinctu'!D3158</f>
        <v>0</v>
      </c>
      <c r="AB3157" s="117">
        <f t="shared" si="52"/>
        <v>0</v>
      </c>
      <c r="AC3157" s="117" t="str">
        <f>IF(AB3157=1,COUNTIF($AB$3:AB3157,1),"")</f>
        <v/>
      </c>
      <c r="AD3157" s="117" t="str">
        <f>IFERROR(INDEX($AA$3:$AA$10000,MATCH(ROWS($AC$3:AC3157),$AC$3:$AC$10000,0)),"")</f>
        <v/>
      </c>
    </row>
    <row r="3158" spans="27:30">
      <c r="AA3158" s="117">
        <f>+'Ingredient List - Mother Tinctu'!D3159</f>
        <v>0</v>
      </c>
      <c r="AB3158" s="117">
        <f t="shared" si="52"/>
        <v>0</v>
      </c>
      <c r="AC3158" s="117" t="str">
        <f>IF(AB3158=1,COUNTIF($AB$3:AB3158,1),"")</f>
        <v/>
      </c>
      <c r="AD3158" s="117" t="str">
        <f>IFERROR(INDEX($AA$3:$AA$10000,MATCH(ROWS($AC$3:AC3158),$AC$3:$AC$10000,0)),"")</f>
        <v/>
      </c>
    </row>
    <row r="3159" spans="27:30">
      <c r="AA3159" s="117">
        <f>+'Ingredient List - Mother Tinctu'!D3160</f>
        <v>0</v>
      </c>
      <c r="AB3159" s="117">
        <f t="shared" si="52"/>
        <v>0</v>
      </c>
      <c r="AC3159" s="117" t="str">
        <f>IF(AB3159=1,COUNTIF($AB$3:AB3159,1),"")</f>
        <v/>
      </c>
      <c r="AD3159" s="117" t="str">
        <f>IFERROR(INDEX($AA$3:$AA$10000,MATCH(ROWS($AC$3:AC3159),$AC$3:$AC$10000,0)),"")</f>
        <v/>
      </c>
    </row>
    <row r="3160" spans="27:30">
      <c r="AA3160" s="117">
        <f>+'Ingredient List - Mother Tinctu'!D3161</f>
        <v>0</v>
      </c>
      <c r="AB3160" s="117">
        <f t="shared" si="52"/>
        <v>0</v>
      </c>
      <c r="AC3160" s="117" t="str">
        <f>IF(AB3160=1,COUNTIF($AB$3:AB3160,1),"")</f>
        <v/>
      </c>
      <c r="AD3160" s="117" t="str">
        <f>IFERROR(INDEX($AA$3:$AA$10000,MATCH(ROWS($AC$3:AC3160),$AC$3:$AC$10000,0)),"")</f>
        <v/>
      </c>
    </row>
    <row r="3161" spans="27:30">
      <c r="AA3161" s="117">
        <f>+'Ingredient List - Mother Tinctu'!D3162</f>
        <v>0</v>
      </c>
      <c r="AB3161" s="117">
        <f t="shared" si="52"/>
        <v>0</v>
      </c>
      <c r="AC3161" s="117" t="str">
        <f>IF(AB3161=1,COUNTIF($AB$3:AB3161,1),"")</f>
        <v/>
      </c>
      <c r="AD3161" s="117" t="str">
        <f>IFERROR(INDEX($AA$3:$AA$10000,MATCH(ROWS($AC$3:AC3161),$AC$3:$AC$10000,0)),"")</f>
        <v/>
      </c>
    </row>
    <row r="3162" spans="27:30">
      <c r="AA3162" s="117">
        <f>+'Ingredient List - Mother Tinctu'!D3163</f>
        <v>0</v>
      </c>
      <c r="AB3162" s="117">
        <f t="shared" si="52"/>
        <v>0</v>
      </c>
      <c r="AC3162" s="117" t="str">
        <f>IF(AB3162=1,COUNTIF($AB$3:AB3162,1),"")</f>
        <v/>
      </c>
      <c r="AD3162" s="117" t="str">
        <f>IFERROR(INDEX($AA$3:$AA$10000,MATCH(ROWS($AC$3:AC3162),$AC$3:$AC$10000,0)),"")</f>
        <v/>
      </c>
    </row>
    <row r="3163" spans="27:30">
      <c r="AA3163" s="117">
        <f>+'Ingredient List - Mother Tinctu'!D3164</f>
        <v>0</v>
      </c>
      <c r="AB3163" s="117">
        <f t="shared" si="52"/>
        <v>0</v>
      </c>
      <c r="AC3163" s="117" t="str">
        <f>IF(AB3163=1,COUNTIF($AB$3:AB3163,1),"")</f>
        <v/>
      </c>
      <c r="AD3163" s="117" t="str">
        <f>IFERROR(INDEX($AA$3:$AA$10000,MATCH(ROWS($AC$3:AC3163),$AC$3:$AC$10000,0)),"")</f>
        <v/>
      </c>
    </row>
    <row r="3164" spans="27:30">
      <c r="AA3164" s="117">
        <f>+'Ingredient List - Mother Tinctu'!D3165</f>
        <v>0</v>
      </c>
      <c r="AB3164" s="117">
        <f t="shared" si="52"/>
        <v>0</v>
      </c>
      <c r="AC3164" s="117" t="str">
        <f>IF(AB3164=1,COUNTIF($AB$3:AB3164,1),"")</f>
        <v/>
      </c>
      <c r="AD3164" s="117" t="str">
        <f>IFERROR(INDEX($AA$3:$AA$10000,MATCH(ROWS($AC$3:AC3164),$AC$3:$AC$10000,0)),"")</f>
        <v/>
      </c>
    </row>
    <row r="3165" spans="27:30">
      <c r="AA3165" s="117">
        <f>+'Ingredient List - Mother Tinctu'!D3166</f>
        <v>0</v>
      </c>
      <c r="AB3165" s="117">
        <f t="shared" si="52"/>
        <v>0</v>
      </c>
      <c r="AC3165" s="117" t="str">
        <f>IF(AB3165=1,COUNTIF($AB$3:AB3165,1),"")</f>
        <v/>
      </c>
      <c r="AD3165" s="117" t="str">
        <f>IFERROR(INDEX($AA$3:$AA$10000,MATCH(ROWS($AC$3:AC3165),$AC$3:$AC$10000,0)),"")</f>
        <v/>
      </c>
    </row>
    <row r="3166" spans="27:30">
      <c r="AA3166" s="117">
        <f>+'Ingredient List - Mother Tinctu'!D3167</f>
        <v>0</v>
      </c>
      <c r="AB3166" s="117">
        <f t="shared" si="52"/>
        <v>0</v>
      </c>
      <c r="AC3166" s="117" t="str">
        <f>IF(AB3166=1,COUNTIF($AB$3:AB3166,1),"")</f>
        <v/>
      </c>
      <c r="AD3166" s="117" t="str">
        <f>IFERROR(INDEX($AA$3:$AA$10000,MATCH(ROWS($AC$3:AC3166),$AC$3:$AC$10000,0)),"")</f>
        <v/>
      </c>
    </row>
    <row r="3167" spans="27:30">
      <c r="AA3167" s="117">
        <f>+'Ingredient List - Mother Tinctu'!D3168</f>
        <v>0</v>
      </c>
      <c r="AB3167" s="117">
        <f t="shared" si="52"/>
        <v>0</v>
      </c>
      <c r="AC3167" s="117" t="str">
        <f>IF(AB3167=1,COUNTIF($AB$3:AB3167,1),"")</f>
        <v/>
      </c>
      <c r="AD3167" s="117" t="str">
        <f>IFERROR(INDEX($AA$3:$AA$10000,MATCH(ROWS($AC$3:AC3167),$AC$3:$AC$10000,0)),"")</f>
        <v/>
      </c>
    </row>
    <row r="3168" spans="27:30">
      <c r="AA3168" s="117">
        <f>+'Ingredient List - Mother Tinctu'!D3169</f>
        <v>0</v>
      </c>
      <c r="AB3168" s="117">
        <f t="shared" si="52"/>
        <v>0</v>
      </c>
      <c r="AC3168" s="117" t="str">
        <f>IF(AB3168=1,COUNTIF($AB$3:AB3168,1),"")</f>
        <v/>
      </c>
      <c r="AD3168" s="117" t="str">
        <f>IFERROR(INDEX($AA$3:$AA$10000,MATCH(ROWS($AC$3:AC3168),$AC$3:$AC$10000,0)),"")</f>
        <v/>
      </c>
    </row>
    <row r="3169" spans="27:30">
      <c r="AA3169" s="117">
        <f>+'Ingredient List - Mother Tinctu'!D3170</f>
        <v>0</v>
      </c>
      <c r="AB3169" s="117">
        <f t="shared" si="52"/>
        <v>0</v>
      </c>
      <c r="AC3169" s="117" t="str">
        <f>IF(AB3169=1,COUNTIF($AB$3:AB3169,1),"")</f>
        <v/>
      </c>
      <c r="AD3169" s="117" t="str">
        <f>IFERROR(INDEX($AA$3:$AA$10000,MATCH(ROWS($AC$3:AC3169),$AC$3:$AC$10000,0)),"")</f>
        <v/>
      </c>
    </row>
    <row r="3170" spans="27:30">
      <c r="AA3170" s="117">
        <f>+'Ingredient List - Mother Tinctu'!D3171</f>
        <v>0</v>
      </c>
      <c r="AB3170" s="117">
        <f t="shared" si="52"/>
        <v>0</v>
      </c>
      <c r="AC3170" s="117" t="str">
        <f>IF(AB3170=1,COUNTIF($AB$3:AB3170,1),"")</f>
        <v/>
      </c>
      <c r="AD3170" s="117" t="str">
        <f>IFERROR(INDEX($AA$3:$AA$10000,MATCH(ROWS($AC$3:AC3170),$AC$3:$AC$10000,0)),"")</f>
        <v/>
      </c>
    </row>
    <row r="3171" spans="27:30">
      <c r="AA3171" s="117">
        <f>+'Ingredient List - Mother Tinctu'!D3172</f>
        <v>0</v>
      </c>
      <c r="AB3171" s="117">
        <f t="shared" si="52"/>
        <v>0</v>
      </c>
      <c r="AC3171" s="117" t="str">
        <f>IF(AB3171=1,COUNTIF($AB$3:AB3171,1),"")</f>
        <v/>
      </c>
      <c r="AD3171" s="117" t="str">
        <f>IFERROR(INDEX($AA$3:$AA$10000,MATCH(ROWS($AC$3:AC3171),$AC$3:$AC$10000,0)),"")</f>
        <v/>
      </c>
    </row>
    <row r="3172" spans="27:30">
      <c r="AA3172" s="117">
        <f>+'Ingredient List - Mother Tinctu'!D3173</f>
        <v>0</v>
      </c>
      <c r="AB3172" s="117">
        <f t="shared" si="52"/>
        <v>0</v>
      </c>
      <c r="AC3172" s="117" t="str">
        <f>IF(AB3172=1,COUNTIF($AB$3:AB3172,1),"")</f>
        <v/>
      </c>
      <c r="AD3172" s="117" t="str">
        <f>IFERROR(INDEX($AA$3:$AA$10000,MATCH(ROWS($AC$3:AC3172),$AC$3:$AC$10000,0)),"")</f>
        <v/>
      </c>
    </row>
    <row r="3173" spans="27:30">
      <c r="AA3173" s="117">
        <f>+'Ingredient List - Mother Tinctu'!D3174</f>
        <v>0</v>
      </c>
      <c r="AB3173" s="117">
        <f t="shared" si="52"/>
        <v>0</v>
      </c>
      <c r="AC3173" s="117" t="str">
        <f>IF(AB3173=1,COUNTIF($AB$3:AB3173,1),"")</f>
        <v/>
      </c>
      <c r="AD3173" s="117" t="str">
        <f>IFERROR(INDEX($AA$3:$AA$10000,MATCH(ROWS($AC$3:AC3173),$AC$3:$AC$10000,0)),"")</f>
        <v/>
      </c>
    </row>
    <row r="3174" spans="27:30">
      <c r="AA3174" s="117">
        <f>+'Ingredient List - Mother Tinctu'!D3175</f>
        <v>0</v>
      </c>
      <c r="AB3174" s="117">
        <f t="shared" si="52"/>
        <v>0</v>
      </c>
      <c r="AC3174" s="117" t="str">
        <f>IF(AB3174=1,COUNTIF($AB$3:AB3174,1),"")</f>
        <v/>
      </c>
      <c r="AD3174" s="117" t="str">
        <f>IFERROR(INDEX($AA$3:$AA$10000,MATCH(ROWS($AC$3:AC3174),$AC$3:$AC$10000,0)),"")</f>
        <v/>
      </c>
    </row>
    <row r="3175" spans="27:30">
      <c r="AA3175" s="117">
        <f>+'Ingredient List - Mother Tinctu'!D3176</f>
        <v>0</v>
      </c>
      <c r="AB3175" s="117">
        <f t="shared" si="52"/>
        <v>0</v>
      </c>
      <c r="AC3175" s="117" t="str">
        <f>IF(AB3175=1,COUNTIF($AB$3:AB3175,1),"")</f>
        <v/>
      </c>
      <c r="AD3175" s="117" t="str">
        <f>IFERROR(INDEX($AA$3:$AA$10000,MATCH(ROWS($AC$3:AC3175),$AC$3:$AC$10000,0)),"")</f>
        <v/>
      </c>
    </row>
    <row r="3176" spans="27:30">
      <c r="AA3176" s="117">
        <f>+'Ingredient List - Mother Tinctu'!D3177</f>
        <v>0</v>
      </c>
      <c r="AB3176" s="117">
        <f t="shared" si="52"/>
        <v>0</v>
      </c>
      <c r="AC3176" s="117" t="str">
        <f>IF(AB3176=1,COUNTIF($AB$3:AB3176,1),"")</f>
        <v/>
      </c>
      <c r="AD3176" s="117" t="str">
        <f>IFERROR(INDEX($AA$3:$AA$10000,MATCH(ROWS($AC$3:AC3176),$AC$3:$AC$10000,0)),"")</f>
        <v/>
      </c>
    </row>
    <row r="3177" spans="27:30">
      <c r="AA3177" s="117">
        <f>+'Ingredient List - Mother Tinctu'!D3178</f>
        <v>0</v>
      </c>
      <c r="AB3177" s="117">
        <f t="shared" si="52"/>
        <v>0</v>
      </c>
      <c r="AC3177" s="117" t="str">
        <f>IF(AB3177=1,COUNTIF($AB$3:AB3177,1),"")</f>
        <v/>
      </c>
      <c r="AD3177" s="117" t="str">
        <f>IFERROR(INDEX($AA$3:$AA$10000,MATCH(ROWS($AC$3:AC3177),$AC$3:$AC$10000,0)),"")</f>
        <v/>
      </c>
    </row>
    <row r="3178" spans="27:30">
      <c r="AA3178" s="117">
        <f>+'Ingredient List - Mother Tinctu'!D3179</f>
        <v>0</v>
      </c>
      <c r="AB3178" s="117">
        <f t="shared" si="52"/>
        <v>0</v>
      </c>
      <c r="AC3178" s="117" t="str">
        <f>IF(AB3178=1,COUNTIF($AB$3:AB3178,1),"")</f>
        <v/>
      </c>
      <c r="AD3178" s="117" t="str">
        <f>IFERROR(INDEX($AA$3:$AA$10000,MATCH(ROWS($AC$3:AC3178),$AC$3:$AC$10000,0)),"")</f>
        <v/>
      </c>
    </row>
    <row r="3179" spans="27:30">
      <c r="AA3179" s="117">
        <f>+'Ingredient List - Mother Tinctu'!D3180</f>
        <v>0</v>
      </c>
      <c r="AB3179" s="117">
        <f t="shared" si="52"/>
        <v>0</v>
      </c>
      <c r="AC3179" s="117" t="str">
        <f>IF(AB3179=1,COUNTIF($AB$3:AB3179,1),"")</f>
        <v/>
      </c>
      <c r="AD3179" s="117" t="str">
        <f>IFERROR(INDEX($AA$3:$AA$10000,MATCH(ROWS($AC$3:AC3179),$AC$3:$AC$10000,0)),"")</f>
        <v/>
      </c>
    </row>
    <row r="3180" spans="27:30">
      <c r="AA3180" s="117">
        <f>+'Ingredient List - Mother Tinctu'!D3181</f>
        <v>0</v>
      </c>
      <c r="AB3180" s="117">
        <f t="shared" si="52"/>
        <v>0</v>
      </c>
      <c r="AC3180" s="117" t="str">
        <f>IF(AB3180=1,COUNTIF($AB$3:AB3180,1),"")</f>
        <v/>
      </c>
      <c r="AD3180" s="117" t="str">
        <f>IFERROR(INDEX($AA$3:$AA$10000,MATCH(ROWS($AC$3:AC3180),$AC$3:$AC$10000,0)),"")</f>
        <v/>
      </c>
    </row>
    <row r="3181" spans="27:30">
      <c r="AA3181" s="117">
        <f>+'Ingredient List - Mother Tinctu'!D3182</f>
        <v>0</v>
      </c>
      <c r="AB3181" s="117">
        <f t="shared" si="52"/>
        <v>0</v>
      </c>
      <c r="AC3181" s="117" t="str">
        <f>IF(AB3181=1,COUNTIF($AB$3:AB3181,1),"")</f>
        <v/>
      </c>
      <c r="AD3181" s="117" t="str">
        <f>IFERROR(INDEX($AA$3:$AA$10000,MATCH(ROWS($AC$3:AC3181),$AC$3:$AC$10000,0)),"")</f>
        <v/>
      </c>
    </row>
    <row r="3182" spans="27:30">
      <c r="AA3182" s="117">
        <f>+'Ingredient List - Mother Tinctu'!D3183</f>
        <v>0</v>
      </c>
      <c r="AB3182" s="117">
        <f t="shared" si="52"/>
        <v>0</v>
      </c>
      <c r="AC3182" s="117" t="str">
        <f>IF(AB3182=1,COUNTIF($AB$3:AB3182,1),"")</f>
        <v/>
      </c>
      <c r="AD3182" s="117" t="str">
        <f>IFERROR(INDEX($AA$3:$AA$10000,MATCH(ROWS($AC$3:AC3182),$AC$3:$AC$10000,0)),"")</f>
        <v/>
      </c>
    </row>
    <row r="3183" spans="27:30">
      <c r="AA3183" s="117">
        <f>+'Ingredient List - Mother Tinctu'!D3184</f>
        <v>0</v>
      </c>
      <c r="AB3183" s="117">
        <f t="shared" si="52"/>
        <v>0</v>
      </c>
      <c r="AC3183" s="117" t="str">
        <f>IF(AB3183=1,COUNTIF($AB$3:AB3183,1),"")</f>
        <v/>
      </c>
      <c r="AD3183" s="117" t="str">
        <f>IFERROR(INDEX($AA$3:$AA$10000,MATCH(ROWS($AC$3:AC3183),$AC$3:$AC$10000,0)),"")</f>
        <v/>
      </c>
    </row>
    <row r="3184" spans="27:30">
      <c r="AA3184" s="117">
        <f>+'Ingredient List - Mother Tinctu'!D3185</f>
        <v>0</v>
      </c>
      <c r="AB3184" s="117">
        <f t="shared" si="52"/>
        <v>0</v>
      </c>
      <c r="AC3184" s="117" t="str">
        <f>IF(AB3184=1,COUNTIF($AB$3:AB3184,1),"")</f>
        <v/>
      </c>
      <c r="AD3184" s="117" t="str">
        <f>IFERROR(INDEX($AA$3:$AA$10000,MATCH(ROWS($AC$3:AC3184),$AC$3:$AC$10000,0)),"")</f>
        <v/>
      </c>
    </row>
    <row r="3185" spans="27:30">
      <c r="AA3185" s="117">
        <f>+'Ingredient List - Mother Tinctu'!D3186</f>
        <v>0</v>
      </c>
      <c r="AB3185" s="117">
        <f t="shared" si="52"/>
        <v>0</v>
      </c>
      <c r="AC3185" s="117" t="str">
        <f>IF(AB3185=1,COUNTIF($AB$3:AB3185,1),"")</f>
        <v/>
      </c>
      <c r="AD3185" s="117" t="str">
        <f>IFERROR(INDEX($AA$3:$AA$10000,MATCH(ROWS($AC$3:AC3185),$AC$3:$AC$10000,0)),"")</f>
        <v/>
      </c>
    </row>
    <row r="3186" spans="27:30">
      <c r="AA3186" s="117">
        <f>+'Ingredient List - Mother Tinctu'!D3187</f>
        <v>0</v>
      </c>
      <c r="AB3186" s="117">
        <f t="shared" si="52"/>
        <v>0</v>
      </c>
      <c r="AC3186" s="117" t="str">
        <f>IF(AB3186=1,COUNTIF($AB$3:AB3186,1),"")</f>
        <v/>
      </c>
      <c r="AD3186" s="117" t="str">
        <f>IFERROR(INDEX($AA$3:$AA$10000,MATCH(ROWS($AC$3:AC3186),$AC$3:$AC$10000,0)),"")</f>
        <v/>
      </c>
    </row>
    <row r="3187" spans="27:30">
      <c r="AA3187" s="117">
        <f>+'Ingredient List - Mother Tinctu'!D3188</f>
        <v>0</v>
      </c>
      <c r="AB3187" s="117">
        <f t="shared" si="52"/>
        <v>0</v>
      </c>
      <c r="AC3187" s="117" t="str">
        <f>IF(AB3187=1,COUNTIF($AB$3:AB3187,1),"")</f>
        <v/>
      </c>
      <c r="AD3187" s="117" t="str">
        <f>IFERROR(INDEX($AA$3:$AA$10000,MATCH(ROWS($AC$3:AC3187),$AC$3:$AC$10000,0)),"")</f>
        <v/>
      </c>
    </row>
    <row r="3188" spans="27:30">
      <c r="AA3188" s="117">
        <f>+'Ingredient List - Mother Tinctu'!D3189</f>
        <v>0</v>
      </c>
      <c r="AB3188" s="117">
        <f t="shared" si="52"/>
        <v>0</v>
      </c>
      <c r="AC3188" s="117" t="str">
        <f>IF(AB3188=1,COUNTIF($AB$3:AB3188,1),"")</f>
        <v/>
      </c>
      <c r="AD3188" s="117" t="str">
        <f>IFERROR(INDEX($AA$3:$AA$10000,MATCH(ROWS($AC$3:AC3188),$AC$3:$AC$10000,0)),"")</f>
        <v/>
      </c>
    </row>
    <row r="3189" spans="27:30">
      <c r="AA3189" s="117">
        <f>+'Ingredient List - Mother Tinctu'!D3190</f>
        <v>0</v>
      </c>
      <c r="AB3189" s="117">
        <f t="shared" si="52"/>
        <v>0</v>
      </c>
      <c r="AC3189" s="117" t="str">
        <f>IF(AB3189=1,COUNTIF($AB$3:AB3189,1),"")</f>
        <v/>
      </c>
      <c r="AD3189" s="117" t="str">
        <f>IFERROR(INDEX($AA$3:$AA$10000,MATCH(ROWS($AC$3:AC3189),$AC$3:$AC$10000,0)),"")</f>
        <v/>
      </c>
    </row>
    <row r="3190" spans="27:30">
      <c r="AA3190" s="117">
        <f>+'Ingredient List - Mother Tinctu'!D3191</f>
        <v>0</v>
      </c>
      <c r="AB3190" s="117">
        <f t="shared" si="52"/>
        <v>0</v>
      </c>
      <c r="AC3190" s="117" t="str">
        <f>IF(AB3190=1,COUNTIF($AB$3:AB3190,1),"")</f>
        <v/>
      </c>
      <c r="AD3190" s="117" t="str">
        <f>IFERROR(INDEX($AA$3:$AA$10000,MATCH(ROWS($AC$3:AC3190),$AC$3:$AC$10000,0)),"")</f>
        <v/>
      </c>
    </row>
    <row r="3191" spans="27:30">
      <c r="AA3191" s="117">
        <f>+'Ingredient List - Mother Tinctu'!D3192</f>
        <v>0</v>
      </c>
      <c r="AB3191" s="117">
        <f t="shared" si="52"/>
        <v>0</v>
      </c>
      <c r="AC3191" s="117" t="str">
        <f>IF(AB3191=1,COUNTIF($AB$3:AB3191,1),"")</f>
        <v/>
      </c>
      <c r="AD3191" s="117" t="str">
        <f>IFERROR(INDEX($AA$3:$AA$10000,MATCH(ROWS($AC$3:AC3191),$AC$3:$AC$10000,0)),"")</f>
        <v/>
      </c>
    </row>
    <row r="3192" spans="27:30">
      <c r="AA3192" s="117">
        <f>+'Ingredient List - Mother Tinctu'!D3193</f>
        <v>0</v>
      </c>
      <c r="AB3192" s="117">
        <f t="shared" si="52"/>
        <v>0</v>
      </c>
      <c r="AC3192" s="117" t="str">
        <f>IF(AB3192=1,COUNTIF($AB$3:AB3192,1),"")</f>
        <v/>
      </c>
      <c r="AD3192" s="117" t="str">
        <f>IFERROR(INDEX($AA$3:$AA$10000,MATCH(ROWS($AC$3:AC3192),$AC$3:$AC$10000,0)),"")</f>
        <v/>
      </c>
    </row>
    <row r="3193" spans="27:30">
      <c r="AA3193" s="117">
        <f>+'Ingredient List - Mother Tinctu'!D3194</f>
        <v>0</v>
      </c>
      <c r="AB3193" s="117">
        <f t="shared" si="52"/>
        <v>0</v>
      </c>
      <c r="AC3193" s="117" t="str">
        <f>IF(AB3193=1,COUNTIF($AB$3:AB3193,1),"")</f>
        <v/>
      </c>
      <c r="AD3193" s="117" t="str">
        <f>IFERROR(INDEX($AA$3:$AA$10000,MATCH(ROWS($AC$3:AC3193),$AC$3:$AC$10000,0)),"")</f>
        <v/>
      </c>
    </row>
    <row r="3194" spans="27:30">
      <c r="AA3194" s="117">
        <f>+'Ingredient List - Mother Tinctu'!D3195</f>
        <v>0</v>
      </c>
      <c r="AB3194" s="117">
        <f t="shared" si="52"/>
        <v>0</v>
      </c>
      <c r="AC3194" s="117" t="str">
        <f>IF(AB3194=1,COUNTIF($AB$3:AB3194,1),"")</f>
        <v/>
      </c>
      <c r="AD3194" s="117" t="str">
        <f>IFERROR(INDEX($AA$3:$AA$10000,MATCH(ROWS($AC$3:AC3194),$AC$3:$AC$10000,0)),"")</f>
        <v/>
      </c>
    </row>
    <row r="3195" spans="27:30">
      <c r="AA3195" s="117">
        <f>+'Ingredient List - Mother Tinctu'!D3196</f>
        <v>0</v>
      </c>
      <c r="AB3195" s="117">
        <f t="shared" si="52"/>
        <v>0</v>
      </c>
      <c r="AC3195" s="117" t="str">
        <f>IF(AB3195=1,COUNTIF($AB$3:AB3195,1),"")</f>
        <v/>
      </c>
      <c r="AD3195" s="117" t="str">
        <f>IFERROR(INDEX($AA$3:$AA$10000,MATCH(ROWS($AC$3:AC3195),$AC$3:$AC$10000,0)),"")</f>
        <v/>
      </c>
    </row>
    <row r="3196" spans="27:30">
      <c r="AA3196" s="117">
        <f>+'Ingredient List - Mother Tinctu'!D3197</f>
        <v>0</v>
      </c>
      <c r="AB3196" s="117">
        <f t="shared" si="52"/>
        <v>0</v>
      </c>
      <c r="AC3196" s="117" t="str">
        <f>IF(AB3196=1,COUNTIF($AB$3:AB3196,1),"")</f>
        <v/>
      </c>
      <c r="AD3196" s="117" t="str">
        <f>IFERROR(INDEX($AA$3:$AA$10000,MATCH(ROWS($AC$3:AC3196),$AC$3:$AC$10000,0)),"")</f>
        <v/>
      </c>
    </row>
    <row r="3197" spans="27:30">
      <c r="AA3197" s="117">
        <f>+'Ingredient List - Mother Tinctu'!D3198</f>
        <v>0</v>
      </c>
      <c r="AB3197" s="117">
        <f t="shared" si="52"/>
        <v>0</v>
      </c>
      <c r="AC3197" s="117" t="str">
        <f>IF(AB3197=1,COUNTIF($AB$3:AB3197,1),"")</f>
        <v/>
      </c>
      <c r="AD3197" s="117" t="str">
        <f>IFERROR(INDEX($AA$3:$AA$10000,MATCH(ROWS($AC$3:AC3197),$AC$3:$AC$10000,0)),"")</f>
        <v/>
      </c>
    </row>
    <row r="3198" spans="27:30">
      <c r="AA3198" s="117">
        <f>+'Ingredient List - Mother Tinctu'!D3199</f>
        <v>0</v>
      </c>
      <c r="AB3198" s="117">
        <f t="shared" si="52"/>
        <v>0</v>
      </c>
      <c r="AC3198" s="117" t="str">
        <f>IF(AB3198=1,COUNTIF($AB$3:AB3198,1),"")</f>
        <v/>
      </c>
      <c r="AD3198" s="117" t="str">
        <f>IFERROR(INDEX($AA$3:$AA$10000,MATCH(ROWS($AC$3:AC3198),$AC$3:$AC$10000,0)),"")</f>
        <v/>
      </c>
    </row>
    <row r="3199" spans="27:30">
      <c r="AA3199" s="117">
        <f>+'Ingredient List - Mother Tinctu'!D3200</f>
        <v>0</v>
      </c>
      <c r="AB3199" s="117">
        <f t="shared" si="52"/>
        <v>0</v>
      </c>
      <c r="AC3199" s="117" t="str">
        <f>IF(AB3199=1,COUNTIF($AB$3:AB3199,1),"")</f>
        <v/>
      </c>
      <c r="AD3199" s="117" t="str">
        <f>IFERROR(INDEX($AA$3:$AA$10000,MATCH(ROWS($AC$3:AC3199),$AC$3:$AC$10000,0)),"")</f>
        <v/>
      </c>
    </row>
    <row r="3200" spans="27:30">
      <c r="AA3200" s="117">
        <f>+'Ingredient List - Mother Tinctu'!D3201</f>
        <v>0</v>
      </c>
      <c r="AB3200" s="117">
        <f t="shared" si="52"/>
        <v>0</v>
      </c>
      <c r="AC3200" s="117" t="str">
        <f>IF(AB3200=1,COUNTIF($AB$3:AB3200,1),"")</f>
        <v/>
      </c>
      <c r="AD3200" s="117" t="str">
        <f>IFERROR(INDEX($AA$3:$AA$10000,MATCH(ROWS($AC$3:AC3200),$AC$3:$AC$10000,0)),"")</f>
        <v/>
      </c>
    </row>
    <row r="3201" spans="27:30">
      <c r="AA3201" s="117">
        <f>+'Ingredient List - Mother Tinctu'!D3202</f>
        <v>0</v>
      </c>
      <c r="AB3201" s="117">
        <f t="shared" si="52"/>
        <v>0</v>
      </c>
      <c r="AC3201" s="117" t="str">
        <f>IF(AB3201=1,COUNTIF($AB$3:AB3201,1),"")</f>
        <v/>
      </c>
      <c r="AD3201" s="117" t="str">
        <f>IFERROR(INDEX($AA$3:$AA$10000,MATCH(ROWS($AC$3:AC3201),$AC$3:$AC$10000,0)),"")</f>
        <v/>
      </c>
    </row>
    <row r="3202" spans="27:30">
      <c r="AA3202" s="117">
        <f>+'Ingredient List - Mother Tinctu'!D3203</f>
        <v>0</v>
      </c>
      <c r="AB3202" s="117">
        <f t="shared" si="52"/>
        <v>0</v>
      </c>
      <c r="AC3202" s="117" t="str">
        <f>IF(AB3202=1,COUNTIF($AB$3:AB3202,1),"")</f>
        <v/>
      </c>
      <c r="AD3202" s="117" t="str">
        <f>IFERROR(INDEX($AA$3:$AA$10000,MATCH(ROWS($AC$3:AC3202),$AC$3:$AC$10000,0)),"")</f>
        <v/>
      </c>
    </row>
    <row r="3203" spans="27:30">
      <c r="AA3203" s="117">
        <f>+'Ingredient List - Mother Tinctu'!D3204</f>
        <v>0</v>
      </c>
      <c r="AB3203" s="117">
        <f t="shared" si="52"/>
        <v>0</v>
      </c>
      <c r="AC3203" s="117" t="str">
        <f>IF(AB3203=1,COUNTIF($AB$3:AB3203,1),"")</f>
        <v/>
      </c>
      <c r="AD3203" s="117" t="str">
        <f>IFERROR(INDEX($AA$3:$AA$10000,MATCH(ROWS($AC$3:AC3203),$AC$3:$AC$10000,0)),"")</f>
        <v/>
      </c>
    </row>
    <row r="3204" spans="27:30">
      <c r="AA3204" s="117">
        <f>+'Ingredient List - Mother Tinctu'!D3205</f>
        <v>0</v>
      </c>
      <c r="AB3204" s="117">
        <f t="shared" ref="AB3204:AB3267" si="53">--ISNUMBER(IFERROR(SEARCH($D$3,AA3204,1),""))</f>
        <v>0</v>
      </c>
      <c r="AC3204" s="117" t="str">
        <f>IF(AB3204=1,COUNTIF($AB$3:AB3204,1),"")</f>
        <v/>
      </c>
      <c r="AD3204" s="117" t="str">
        <f>IFERROR(INDEX($AA$3:$AA$10000,MATCH(ROWS($AC$3:AC3204),$AC$3:$AC$10000,0)),"")</f>
        <v/>
      </c>
    </row>
    <row r="3205" spans="27:30">
      <c r="AA3205" s="117">
        <f>+'Ingredient List - Mother Tinctu'!D3206</f>
        <v>0</v>
      </c>
      <c r="AB3205" s="117">
        <f t="shared" si="53"/>
        <v>0</v>
      </c>
      <c r="AC3205" s="117" t="str">
        <f>IF(AB3205=1,COUNTIF($AB$3:AB3205,1),"")</f>
        <v/>
      </c>
      <c r="AD3205" s="117" t="str">
        <f>IFERROR(INDEX($AA$3:$AA$10000,MATCH(ROWS($AC$3:AC3205),$AC$3:$AC$10000,0)),"")</f>
        <v/>
      </c>
    </row>
    <row r="3206" spans="27:30">
      <c r="AA3206" s="117">
        <f>+'Ingredient List - Mother Tinctu'!D3207</f>
        <v>0</v>
      </c>
      <c r="AB3206" s="117">
        <f t="shared" si="53"/>
        <v>0</v>
      </c>
      <c r="AC3206" s="117" t="str">
        <f>IF(AB3206=1,COUNTIF($AB$3:AB3206,1),"")</f>
        <v/>
      </c>
      <c r="AD3206" s="117" t="str">
        <f>IFERROR(INDEX($AA$3:$AA$10000,MATCH(ROWS($AC$3:AC3206),$AC$3:$AC$10000,0)),"")</f>
        <v/>
      </c>
    </row>
    <row r="3207" spans="27:30">
      <c r="AA3207" s="117">
        <f>+'Ingredient List - Mother Tinctu'!D3208</f>
        <v>0</v>
      </c>
      <c r="AB3207" s="117">
        <f t="shared" si="53"/>
        <v>0</v>
      </c>
      <c r="AC3207" s="117" t="str">
        <f>IF(AB3207=1,COUNTIF($AB$3:AB3207,1),"")</f>
        <v/>
      </c>
      <c r="AD3207" s="117" t="str">
        <f>IFERROR(INDEX($AA$3:$AA$10000,MATCH(ROWS($AC$3:AC3207),$AC$3:$AC$10000,0)),"")</f>
        <v/>
      </c>
    </row>
    <row r="3208" spans="27:30">
      <c r="AA3208" s="117">
        <f>+'Ingredient List - Mother Tinctu'!D3209</f>
        <v>0</v>
      </c>
      <c r="AB3208" s="117">
        <f t="shared" si="53"/>
        <v>0</v>
      </c>
      <c r="AC3208" s="117" t="str">
        <f>IF(AB3208=1,COUNTIF($AB$3:AB3208,1),"")</f>
        <v/>
      </c>
      <c r="AD3208" s="117" t="str">
        <f>IFERROR(INDEX($AA$3:$AA$10000,MATCH(ROWS($AC$3:AC3208),$AC$3:$AC$10000,0)),"")</f>
        <v/>
      </c>
    </row>
    <row r="3209" spans="27:30">
      <c r="AA3209" s="117">
        <f>+'Ingredient List - Mother Tinctu'!D3210</f>
        <v>0</v>
      </c>
      <c r="AB3209" s="117">
        <f t="shared" si="53"/>
        <v>0</v>
      </c>
      <c r="AC3209" s="117" t="str">
        <f>IF(AB3209=1,COUNTIF($AB$3:AB3209,1),"")</f>
        <v/>
      </c>
      <c r="AD3209" s="117" t="str">
        <f>IFERROR(INDEX($AA$3:$AA$10000,MATCH(ROWS($AC$3:AC3209),$AC$3:$AC$10000,0)),"")</f>
        <v/>
      </c>
    </row>
    <row r="3210" spans="27:30">
      <c r="AA3210" s="117">
        <f>+'Ingredient List - Mother Tinctu'!D3211</f>
        <v>0</v>
      </c>
      <c r="AB3210" s="117">
        <f t="shared" si="53"/>
        <v>0</v>
      </c>
      <c r="AC3210" s="117" t="str">
        <f>IF(AB3210=1,COUNTIF($AB$3:AB3210,1),"")</f>
        <v/>
      </c>
      <c r="AD3210" s="117" t="str">
        <f>IFERROR(INDEX($AA$3:$AA$10000,MATCH(ROWS($AC$3:AC3210),$AC$3:$AC$10000,0)),"")</f>
        <v/>
      </c>
    </row>
    <row r="3211" spans="27:30">
      <c r="AA3211" s="117">
        <f>+'Ingredient List - Mother Tinctu'!D3212</f>
        <v>0</v>
      </c>
      <c r="AB3211" s="117">
        <f t="shared" si="53"/>
        <v>0</v>
      </c>
      <c r="AC3211" s="117" t="str">
        <f>IF(AB3211=1,COUNTIF($AB$3:AB3211,1),"")</f>
        <v/>
      </c>
      <c r="AD3211" s="117" t="str">
        <f>IFERROR(INDEX($AA$3:$AA$10000,MATCH(ROWS($AC$3:AC3211),$AC$3:$AC$10000,0)),"")</f>
        <v/>
      </c>
    </row>
    <row r="3212" spans="27:30">
      <c r="AA3212" s="117">
        <f>+'Ingredient List - Mother Tinctu'!D3213</f>
        <v>0</v>
      </c>
      <c r="AB3212" s="117">
        <f t="shared" si="53"/>
        <v>0</v>
      </c>
      <c r="AC3212" s="117" t="str">
        <f>IF(AB3212=1,COUNTIF($AB$3:AB3212,1),"")</f>
        <v/>
      </c>
      <c r="AD3212" s="117" t="str">
        <f>IFERROR(INDEX($AA$3:$AA$10000,MATCH(ROWS($AC$3:AC3212),$AC$3:$AC$10000,0)),"")</f>
        <v/>
      </c>
    </row>
    <row r="3213" spans="27:30">
      <c r="AA3213" s="117">
        <f>+'Ingredient List - Mother Tinctu'!D3214</f>
        <v>0</v>
      </c>
      <c r="AB3213" s="117">
        <f t="shared" si="53"/>
        <v>0</v>
      </c>
      <c r="AC3213" s="117" t="str">
        <f>IF(AB3213=1,COUNTIF($AB$3:AB3213,1),"")</f>
        <v/>
      </c>
      <c r="AD3213" s="117" t="str">
        <f>IFERROR(INDEX($AA$3:$AA$10000,MATCH(ROWS($AC$3:AC3213),$AC$3:$AC$10000,0)),"")</f>
        <v/>
      </c>
    </row>
    <row r="3214" spans="27:30">
      <c r="AA3214" s="117">
        <f>+'Ingredient List - Mother Tinctu'!D3215</f>
        <v>0</v>
      </c>
      <c r="AB3214" s="117">
        <f t="shared" si="53"/>
        <v>0</v>
      </c>
      <c r="AC3214" s="117" t="str">
        <f>IF(AB3214=1,COUNTIF($AB$3:AB3214,1),"")</f>
        <v/>
      </c>
      <c r="AD3214" s="117" t="str">
        <f>IFERROR(INDEX($AA$3:$AA$10000,MATCH(ROWS($AC$3:AC3214),$AC$3:$AC$10000,0)),"")</f>
        <v/>
      </c>
    </row>
    <row r="3215" spans="27:30">
      <c r="AA3215" s="117">
        <f>+'Ingredient List - Mother Tinctu'!D3216</f>
        <v>0</v>
      </c>
      <c r="AB3215" s="117">
        <f t="shared" si="53"/>
        <v>0</v>
      </c>
      <c r="AC3215" s="117" t="str">
        <f>IF(AB3215=1,COUNTIF($AB$3:AB3215,1),"")</f>
        <v/>
      </c>
      <c r="AD3215" s="117" t="str">
        <f>IFERROR(INDEX($AA$3:$AA$10000,MATCH(ROWS($AC$3:AC3215),$AC$3:$AC$10000,0)),"")</f>
        <v/>
      </c>
    </row>
    <row r="3216" spans="27:30">
      <c r="AA3216" s="117">
        <f>+'Ingredient List - Mother Tinctu'!D3217</f>
        <v>0</v>
      </c>
      <c r="AB3216" s="117">
        <f t="shared" si="53"/>
        <v>0</v>
      </c>
      <c r="AC3216" s="117" t="str">
        <f>IF(AB3216=1,COUNTIF($AB$3:AB3216,1),"")</f>
        <v/>
      </c>
      <c r="AD3216" s="117" t="str">
        <f>IFERROR(INDEX($AA$3:$AA$10000,MATCH(ROWS($AC$3:AC3216),$AC$3:$AC$10000,0)),"")</f>
        <v/>
      </c>
    </row>
    <row r="3217" spans="27:30">
      <c r="AA3217" s="117">
        <f>+'Ingredient List - Mother Tinctu'!D3218</f>
        <v>0</v>
      </c>
      <c r="AB3217" s="117">
        <f t="shared" si="53"/>
        <v>0</v>
      </c>
      <c r="AC3217" s="117" t="str">
        <f>IF(AB3217=1,COUNTIF($AB$3:AB3217,1),"")</f>
        <v/>
      </c>
      <c r="AD3217" s="117" t="str">
        <f>IFERROR(INDEX($AA$3:$AA$10000,MATCH(ROWS($AC$3:AC3217),$AC$3:$AC$10000,0)),"")</f>
        <v/>
      </c>
    </row>
    <row r="3218" spans="27:30">
      <c r="AA3218" s="117">
        <f>+'Ingredient List - Mother Tinctu'!D3219</f>
        <v>0</v>
      </c>
      <c r="AB3218" s="117">
        <f t="shared" si="53"/>
        <v>0</v>
      </c>
      <c r="AC3218" s="117" t="str">
        <f>IF(AB3218=1,COUNTIF($AB$3:AB3218,1),"")</f>
        <v/>
      </c>
      <c r="AD3218" s="117" t="str">
        <f>IFERROR(INDEX($AA$3:$AA$10000,MATCH(ROWS($AC$3:AC3218),$AC$3:$AC$10000,0)),"")</f>
        <v/>
      </c>
    </row>
    <row r="3219" spans="27:30">
      <c r="AA3219" s="117">
        <f>+'Ingredient List - Mother Tinctu'!D3220</f>
        <v>0</v>
      </c>
      <c r="AB3219" s="117">
        <f t="shared" si="53"/>
        <v>0</v>
      </c>
      <c r="AC3219" s="117" t="str">
        <f>IF(AB3219=1,COUNTIF($AB$3:AB3219,1),"")</f>
        <v/>
      </c>
      <c r="AD3219" s="117" t="str">
        <f>IFERROR(INDEX($AA$3:$AA$10000,MATCH(ROWS($AC$3:AC3219),$AC$3:$AC$10000,0)),"")</f>
        <v/>
      </c>
    </row>
    <row r="3220" spans="27:30">
      <c r="AA3220" s="117">
        <f>+'Ingredient List - Mother Tinctu'!D3221</f>
        <v>0</v>
      </c>
      <c r="AB3220" s="117">
        <f t="shared" si="53"/>
        <v>0</v>
      </c>
      <c r="AC3220" s="117" t="str">
        <f>IF(AB3220=1,COUNTIF($AB$3:AB3220,1),"")</f>
        <v/>
      </c>
      <c r="AD3220" s="117" t="str">
        <f>IFERROR(INDEX($AA$3:$AA$10000,MATCH(ROWS($AC$3:AC3220),$AC$3:$AC$10000,0)),"")</f>
        <v/>
      </c>
    </row>
    <row r="3221" spans="27:30">
      <c r="AA3221" s="117">
        <f>+'Ingredient List - Mother Tinctu'!D3222</f>
        <v>0</v>
      </c>
      <c r="AB3221" s="117">
        <f t="shared" si="53"/>
        <v>0</v>
      </c>
      <c r="AC3221" s="117" t="str">
        <f>IF(AB3221=1,COUNTIF($AB$3:AB3221,1),"")</f>
        <v/>
      </c>
      <c r="AD3221" s="117" t="str">
        <f>IFERROR(INDEX($AA$3:$AA$10000,MATCH(ROWS($AC$3:AC3221),$AC$3:$AC$10000,0)),"")</f>
        <v/>
      </c>
    </row>
    <row r="3222" spans="27:30">
      <c r="AA3222" s="117">
        <f>+'Ingredient List - Mother Tinctu'!D3223</f>
        <v>0</v>
      </c>
      <c r="AB3222" s="117">
        <f t="shared" si="53"/>
        <v>0</v>
      </c>
      <c r="AC3222" s="117" t="str">
        <f>IF(AB3222=1,COUNTIF($AB$3:AB3222,1),"")</f>
        <v/>
      </c>
      <c r="AD3222" s="117" t="str">
        <f>IFERROR(INDEX($AA$3:$AA$10000,MATCH(ROWS($AC$3:AC3222),$AC$3:$AC$10000,0)),"")</f>
        <v/>
      </c>
    </row>
    <row r="3223" spans="27:30">
      <c r="AA3223" s="117">
        <f>+'Ingredient List - Mother Tinctu'!D3224</f>
        <v>0</v>
      </c>
      <c r="AB3223" s="117">
        <f t="shared" si="53"/>
        <v>0</v>
      </c>
      <c r="AC3223" s="117" t="str">
        <f>IF(AB3223=1,COUNTIF($AB$3:AB3223,1),"")</f>
        <v/>
      </c>
      <c r="AD3223" s="117" t="str">
        <f>IFERROR(INDEX($AA$3:$AA$10000,MATCH(ROWS($AC$3:AC3223),$AC$3:$AC$10000,0)),"")</f>
        <v/>
      </c>
    </row>
    <row r="3224" spans="27:30">
      <c r="AA3224" s="117">
        <f>+'Ingredient List - Mother Tinctu'!D3225</f>
        <v>0</v>
      </c>
      <c r="AB3224" s="117">
        <f t="shared" si="53"/>
        <v>0</v>
      </c>
      <c r="AC3224" s="117" t="str">
        <f>IF(AB3224=1,COUNTIF($AB$3:AB3224,1),"")</f>
        <v/>
      </c>
      <c r="AD3224" s="117" t="str">
        <f>IFERROR(INDEX($AA$3:$AA$10000,MATCH(ROWS($AC$3:AC3224),$AC$3:$AC$10000,0)),"")</f>
        <v/>
      </c>
    </row>
    <row r="3225" spans="27:30">
      <c r="AA3225" s="117">
        <f>+'Ingredient List - Mother Tinctu'!D3226</f>
        <v>0</v>
      </c>
      <c r="AB3225" s="117">
        <f t="shared" si="53"/>
        <v>0</v>
      </c>
      <c r="AC3225" s="117" t="str">
        <f>IF(AB3225=1,COUNTIF($AB$3:AB3225,1),"")</f>
        <v/>
      </c>
      <c r="AD3225" s="117" t="str">
        <f>IFERROR(INDEX($AA$3:$AA$10000,MATCH(ROWS($AC$3:AC3225),$AC$3:$AC$10000,0)),"")</f>
        <v/>
      </c>
    </row>
    <row r="3226" spans="27:30">
      <c r="AA3226" s="117">
        <f>+'Ingredient List - Mother Tinctu'!D3227</f>
        <v>0</v>
      </c>
      <c r="AB3226" s="117">
        <f t="shared" si="53"/>
        <v>0</v>
      </c>
      <c r="AC3226" s="117" t="str">
        <f>IF(AB3226=1,COUNTIF($AB$3:AB3226,1),"")</f>
        <v/>
      </c>
      <c r="AD3226" s="117" t="str">
        <f>IFERROR(INDEX($AA$3:$AA$10000,MATCH(ROWS($AC$3:AC3226),$AC$3:$AC$10000,0)),"")</f>
        <v/>
      </c>
    </row>
    <row r="3227" spans="27:30">
      <c r="AA3227" s="117">
        <f>+'Ingredient List - Mother Tinctu'!D3228</f>
        <v>0</v>
      </c>
      <c r="AB3227" s="117">
        <f t="shared" si="53"/>
        <v>0</v>
      </c>
      <c r="AC3227" s="117" t="str">
        <f>IF(AB3227=1,COUNTIF($AB$3:AB3227,1),"")</f>
        <v/>
      </c>
      <c r="AD3227" s="117" t="str">
        <f>IFERROR(INDEX($AA$3:$AA$10000,MATCH(ROWS($AC$3:AC3227),$AC$3:$AC$10000,0)),"")</f>
        <v/>
      </c>
    </row>
    <row r="3228" spans="27:30">
      <c r="AA3228" s="117">
        <f>+'Ingredient List - Mother Tinctu'!D3229</f>
        <v>0</v>
      </c>
      <c r="AB3228" s="117">
        <f t="shared" si="53"/>
        <v>0</v>
      </c>
      <c r="AC3228" s="117" t="str">
        <f>IF(AB3228=1,COUNTIF($AB$3:AB3228,1),"")</f>
        <v/>
      </c>
      <c r="AD3228" s="117" t="str">
        <f>IFERROR(INDEX($AA$3:$AA$10000,MATCH(ROWS($AC$3:AC3228),$AC$3:$AC$10000,0)),"")</f>
        <v/>
      </c>
    </row>
    <row r="3229" spans="27:30">
      <c r="AA3229" s="117">
        <f>+'Ingredient List - Mother Tinctu'!D3230</f>
        <v>0</v>
      </c>
      <c r="AB3229" s="117">
        <f t="shared" si="53"/>
        <v>0</v>
      </c>
      <c r="AC3229" s="117" t="str">
        <f>IF(AB3229=1,COUNTIF($AB$3:AB3229,1),"")</f>
        <v/>
      </c>
      <c r="AD3229" s="117" t="str">
        <f>IFERROR(INDEX($AA$3:$AA$10000,MATCH(ROWS($AC$3:AC3229),$AC$3:$AC$10000,0)),"")</f>
        <v/>
      </c>
    </row>
    <row r="3230" spans="27:30">
      <c r="AA3230" s="117">
        <f>+'Ingredient List - Mother Tinctu'!D3231</f>
        <v>0</v>
      </c>
      <c r="AB3230" s="117">
        <f t="shared" si="53"/>
        <v>0</v>
      </c>
      <c r="AC3230" s="117" t="str">
        <f>IF(AB3230=1,COUNTIF($AB$3:AB3230,1),"")</f>
        <v/>
      </c>
      <c r="AD3230" s="117" t="str">
        <f>IFERROR(INDEX($AA$3:$AA$10000,MATCH(ROWS($AC$3:AC3230),$AC$3:$AC$10000,0)),"")</f>
        <v/>
      </c>
    </row>
    <row r="3231" spans="27:30">
      <c r="AA3231" s="117">
        <f>+'Ingredient List - Mother Tinctu'!D3232</f>
        <v>0</v>
      </c>
      <c r="AB3231" s="117">
        <f t="shared" si="53"/>
        <v>0</v>
      </c>
      <c r="AC3231" s="117" t="str">
        <f>IF(AB3231=1,COUNTIF($AB$3:AB3231,1),"")</f>
        <v/>
      </c>
      <c r="AD3231" s="117" t="str">
        <f>IFERROR(INDEX($AA$3:$AA$10000,MATCH(ROWS($AC$3:AC3231),$AC$3:$AC$10000,0)),"")</f>
        <v/>
      </c>
    </row>
    <row r="3232" spans="27:30">
      <c r="AA3232" s="117">
        <f>+'Ingredient List - Mother Tinctu'!D3233</f>
        <v>0</v>
      </c>
      <c r="AB3232" s="117">
        <f t="shared" si="53"/>
        <v>0</v>
      </c>
      <c r="AC3232" s="117" t="str">
        <f>IF(AB3232=1,COUNTIF($AB$3:AB3232,1),"")</f>
        <v/>
      </c>
      <c r="AD3232" s="117" t="str">
        <f>IFERROR(INDEX($AA$3:$AA$10000,MATCH(ROWS($AC$3:AC3232),$AC$3:$AC$10000,0)),"")</f>
        <v/>
      </c>
    </row>
    <row r="3233" spans="27:30">
      <c r="AA3233" s="117">
        <f>+'Ingredient List - Mother Tinctu'!D3234</f>
        <v>0</v>
      </c>
      <c r="AB3233" s="117">
        <f t="shared" si="53"/>
        <v>0</v>
      </c>
      <c r="AC3233" s="117" t="str">
        <f>IF(AB3233=1,COUNTIF($AB$3:AB3233,1),"")</f>
        <v/>
      </c>
      <c r="AD3233" s="117" t="str">
        <f>IFERROR(INDEX($AA$3:$AA$10000,MATCH(ROWS($AC$3:AC3233),$AC$3:$AC$10000,0)),"")</f>
        <v/>
      </c>
    </row>
    <row r="3234" spans="27:30">
      <c r="AA3234" s="117">
        <f>+'Ingredient List - Mother Tinctu'!D3235</f>
        <v>0</v>
      </c>
      <c r="AB3234" s="117">
        <f t="shared" si="53"/>
        <v>0</v>
      </c>
      <c r="AC3234" s="117" t="str">
        <f>IF(AB3234=1,COUNTIF($AB$3:AB3234,1),"")</f>
        <v/>
      </c>
      <c r="AD3234" s="117" t="str">
        <f>IFERROR(INDEX($AA$3:$AA$10000,MATCH(ROWS($AC$3:AC3234),$AC$3:$AC$10000,0)),"")</f>
        <v/>
      </c>
    </row>
    <row r="3235" spans="27:30">
      <c r="AA3235" s="117">
        <f>+'Ingredient List - Mother Tinctu'!D3236</f>
        <v>0</v>
      </c>
      <c r="AB3235" s="117">
        <f t="shared" si="53"/>
        <v>0</v>
      </c>
      <c r="AC3235" s="117" t="str">
        <f>IF(AB3235=1,COUNTIF($AB$3:AB3235,1),"")</f>
        <v/>
      </c>
      <c r="AD3235" s="117" t="str">
        <f>IFERROR(INDEX($AA$3:$AA$10000,MATCH(ROWS($AC$3:AC3235),$AC$3:$AC$10000,0)),"")</f>
        <v/>
      </c>
    </row>
    <row r="3236" spans="27:30">
      <c r="AA3236" s="117">
        <f>+'Ingredient List - Mother Tinctu'!D3237</f>
        <v>0</v>
      </c>
      <c r="AB3236" s="117">
        <f t="shared" si="53"/>
        <v>0</v>
      </c>
      <c r="AC3236" s="117" t="str">
        <f>IF(AB3236=1,COUNTIF($AB$3:AB3236,1),"")</f>
        <v/>
      </c>
      <c r="AD3236" s="117" t="str">
        <f>IFERROR(INDEX($AA$3:$AA$10000,MATCH(ROWS($AC$3:AC3236),$AC$3:$AC$10000,0)),"")</f>
        <v/>
      </c>
    </row>
    <row r="3237" spans="27:30">
      <c r="AA3237" s="117">
        <f>+'Ingredient List - Mother Tinctu'!D3238</f>
        <v>0</v>
      </c>
      <c r="AB3237" s="117">
        <f t="shared" si="53"/>
        <v>0</v>
      </c>
      <c r="AC3237" s="117" t="str">
        <f>IF(AB3237=1,COUNTIF($AB$3:AB3237,1),"")</f>
        <v/>
      </c>
      <c r="AD3237" s="117" t="str">
        <f>IFERROR(INDEX($AA$3:$AA$10000,MATCH(ROWS($AC$3:AC3237),$AC$3:$AC$10000,0)),"")</f>
        <v/>
      </c>
    </row>
    <row r="3238" spans="27:30">
      <c r="AA3238" s="117">
        <f>+'Ingredient List - Mother Tinctu'!D3239</f>
        <v>0</v>
      </c>
      <c r="AB3238" s="117">
        <f t="shared" si="53"/>
        <v>0</v>
      </c>
      <c r="AC3238" s="117" t="str">
        <f>IF(AB3238=1,COUNTIF($AB$3:AB3238,1),"")</f>
        <v/>
      </c>
      <c r="AD3238" s="117" t="str">
        <f>IFERROR(INDEX($AA$3:$AA$10000,MATCH(ROWS($AC$3:AC3238),$AC$3:$AC$10000,0)),"")</f>
        <v/>
      </c>
    </row>
    <row r="3239" spans="27:30">
      <c r="AA3239" s="117">
        <f>+'Ingredient List - Mother Tinctu'!D3240</f>
        <v>0</v>
      </c>
      <c r="AB3239" s="117">
        <f t="shared" si="53"/>
        <v>0</v>
      </c>
      <c r="AC3239" s="117" t="str">
        <f>IF(AB3239=1,COUNTIF($AB$3:AB3239,1),"")</f>
        <v/>
      </c>
      <c r="AD3239" s="117" t="str">
        <f>IFERROR(INDEX($AA$3:$AA$10000,MATCH(ROWS($AC$3:AC3239),$AC$3:$AC$10000,0)),"")</f>
        <v/>
      </c>
    </row>
    <row r="3240" spans="27:30">
      <c r="AA3240" s="117">
        <f>+'Ingredient List - Mother Tinctu'!D3241</f>
        <v>0</v>
      </c>
      <c r="AB3240" s="117">
        <f t="shared" si="53"/>
        <v>0</v>
      </c>
      <c r="AC3240" s="117" t="str">
        <f>IF(AB3240=1,COUNTIF($AB$3:AB3240,1),"")</f>
        <v/>
      </c>
      <c r="AD3240" s="117" t="str">
        <f>IFERROR(INDEX($AA$3:$AA$10000,MATCH(ROWS($AC$3:AC3240),$AC$3:$AC$10000,0)),"")</f>
        <v/>
      </c>
    </row>
    <row r="3241" spans="27:30">
      <c r="AA3241" s="117">
        <f>+'Ingredient List - Mother Tinctu'!D3242</f>
        <v>0</v>
      </c>
      <c r="AB3241" s="117">
        <f t="shared" si="53"/>
        <v>0</v>
      </c>
      <c r="AC3241" s="117" t="str">
        <f>IF(AB3241=1,COUNTIF($AB$3:AB3241,1),"")</f>
        <v/>
      </c>
      <c r="AD3241" s="117" t="str">
        <f>IFERROR(INDEX($AA$3:$AA$10000,MATCH(ROWS($AC$3:AC3241),$AC$3:$AC$10000,0)),"")</f>
        <v/>
      </c>
    </row>
    <row r="3242" spans="27:30">
      <c r="AA3242" s="117">
        <f>+'Ingredient List - Mother Tinctu'!D3243</f>
        <v>0</v>
      </c>
      <c r="AB3242" s="117">
        <f t="shared" si="53"/>
        <v>0</v>
      </c>
      <c r="AC3242" s="117" t="str">
        <f>IF(AB3242=1,COUNTIF($AB$3:AB3242,1),"")</f>
        <v/>
      </c>
      <c r="AD3242" s="117" t="str">
        <f>IFERROR(INDEX($AA$3:$AA$10000,MATCH(ROWS($AC$3:AC3242),$AC$3:$AC$10000,0)),"")</f>
        <v/>
      </c>
    </row>
    <row r="3243" spans="27:30">
      <c r="AA3243" s="117">
        <f>+'Ingredient List - Mother Tinctu'!D3244</f>
        <v>0</v>
      </c>
      <c r="AB3243" s="117">
        <f t="shared" si="53"/>
        <v>0</v>
      </c>
      <c r="AC3243" s="117" t="str">
        <f>IF(AB3243=1,COUNTIF($AB$3:AB3243,1),"")</f>
        <v/>
      </c>
      <c r="AD3243" s="117" t="str">
        <f>IFERROR(INDEX($AA$3:$AA$10000,MATCH(ROWS($AC$3:AC3243),$AC$3:$AC$10000,0)),"")</f>
        <v/>
      </c>
    </row>
    <row r="3244" spans="27:30">
      <c r="AA3244" s="117">
        <f>+'Ingredient List - Mother Tinctu'!D3245</f>
        <v>0</v>
      </c>
      <c r="AB3244" s="117">
        <f t="shared" si="53"/>
        <v>0</v>
      </c>
      <c r="AC3244" s="117" t="str">
        <f>IF(AB3244=1,COUNTIF($AB$3:AB3244,1),"")</f>
        <v/>
      </c>
      <c r="AD3244" s="117" t="str">
        <f>IFERROR(INDEX($AA$3:$AA$10000,MATCH(ROWS($AC$3:AC3244),$AC$3:$AC$10000,0)),"")</f>
        <v/>
      </c>
    </row>
    <row r="3245" spans="27:30">
      <c r="AA3245" s="117">
        <f>+'Ingredient List - Mother Tinctu'!D3246</f>
        <v>0</v>
      </c>
      <c r="AB3245" s="117">
        <f t="shared" si="53"/>
        <v>0</v>
      </c>
      <c r="AC3245" s="117" t="str">
        <f>IF(AB3245=1,COUNTIF($AB$3:AB3245,1),"")</f>
        <v/>
      </c>
      <c r="AD3245" s="117" t="str">
        <f>IFERROR(INDEX($AA$3:$AA$10000,MATCH(ROWS($AC$3:AC3245),$AC$3:$AC$10000,0)),"")</f>
        <v/>
      </c>
    </row>
    <row r="3246" spans="27:30">
      <c r="AA3246" s="117">
        <f>+'Ingredient List - Mother Tinctu'!D3247</f>
        <v>0</v>
      </c>
      <c r="AB3246" s="117">
        <f t="shared" si="53"/>
        <v>0</v>
      </c>
      <c r="AC3246" s="117" t="str">
        <f>IF(AB3246=1,COUNTIF($AB$3:AB3246,1),"")</f>
        <v/>
      </c>
      <c r="AD3246" s="117" t="str">
        <f>IFERROR(INDEX($AA$3:$AA$10000,MATCH(ROWS($AC$3:AC3246),$AC$3:$AC$10000,0)),"")</f>
        <v/>
      </c>
    </row>
    <row r="3247" spans="27:30">
      <c r="AA3247" s="117">
        <f>+'Ingredient List - Mother Tinctu'!D3248</f>
        <v>0</v>
      </c>
      <c r="AB3247" s="117">
        <f t="shared" si="53"/>
        <v>0</v>
      </c>
      <c r="AC3247" s="117" t="str">
        <f>IF(AB3247=1,COUNTIF($AB$3:AB3247,1),"")</f>
        <v/>
      </c>
      <c r="AD3247" s="117" t="str">
        <f>IFERROR(INDEX($AA$3:$AA$10000,MATCH(ROWS($AC$3:AC3247),$AC$3:$AC$10000,0)),"")</f>
        <v/>
      </c>
    </row>
    <row r="3248" spans="27:30">
      <c r="AA3248" s="117">
        <f>+'Ingredient List - Mother Tinctu'!D3249</f>
        <v>0</v>
      </c>
      <c r="AB3248" s="117">
        <f t="shared" si="53"/>
        <v>0</v>
      </c>
      <c r="AC3248" s="117" t="str">
        <f>IF(AB3248=1,COUNTIF($AB$3:AB3248,1),"")</f>
        <v/>
      </c>
      <c r="AD3248" s="117" t="str">
        <f>IFERROR(INDEX($AA$3:$AA$10000,MATCH(ROWS($AC$3:AC3248),$AC$3:$AC$10000,0)),"")</f>
        <v/>
      </c>
    </row>
    <row r="3249" spans="27:30">
      <c r="AA3249" s="117">
        <f>+'Ingredient List - Mother Tinctu'!D3250</f>
        <v>0</v>
      </c>
      <c r="AB3249" s="117">
        <f t="shared" si="53"/>
        <v>0</v>
      </c>
      <c r="AC3249" s="117" t="str">
        <f>IF(AB3249=1,COUNTIF($AB$3:AB3249,1),"")</f>
        <v/>
      </c>
      <c r="AD3249" s="117" t="str">
        <f>IFERROR(INDEX($AA$3:$AA$10000,MATCH(ROWS($AC$3:AC3249),$AC$3:$AC$10000,0)),"")</f>
        <v/>
      </c>
    </row>
    <row r="3250" spans="27:30">
      <c r="AA3250" s="117">
        <f>+'Ingredient List - Mother Tinctu'!D3251</f>
        <v>0</v>
      </c>
      <c r="AB3250" s="117">
        <f t="shared" si="53"/>
        <v>0</v>
      </c>
      <c r="AC3250" s="117" t="str">
        <f>IF(AB3250=1,COUNTIF($AB$3:AB3250,1),"")</f>
        <v/>
      </c>
      <c r="AD3250" s="117" t="str">
        <f>IFERROR(INDEX($AA$3:$AA$10000,MATCH(ROWS($AC$3:AC3250),$AC$3:$AC$10000,0)),"")</f>
        <v/>
      </c>
    </row>
    <row r="3251" spans="27:30">
      <c r="AA3251" s="117">
        <f>+'Ingredient List - Mother Tinctu'!D3252</f>
        <v>0</v>
      </c>
      <c r="AB3251" s="117">
        <f t="shared" si="53"/>
        <v>0</v>
      </c>
      <c r="AC3251" s="117" t="str">
        <f>IF(AB3251=1,COUNTIF($AB$3:AB3251,1),"")</f>
        <v/>
      </c>
      <c r="AD3251" s="117" t="str">
        <f>IFERROR(INDEX($AA$3:$AA$10000,MATCH(ROWS($AC$3:AC3251),$AC$3:$AC$10000,0)),"")</f>
        <v/>
      </c>
    </row>
    <row r="3252" spans="27:30">
      <c r="AA3252" s="117">
        <f>+'Ingredient List - Mother Tinctu'!D3253</f>
        <v>0</v>
      </c>
      <c r="AB3252" s="117">
        <f t="shared" si="53"/>
        <v>0</v>
      </c>
      <c r="AC3252" s="117" t="str">
        <f>IF(AB3252=1,COUNTIF($AB$3:AB3252,1),"")</f>
        <v/>
      </c>
      <c r="AD3252" s="117" t="str">
        <f>IFERROR(INDEX($AA$3:$AA$10000,MATCH(ROWS($AC$3:AC3252),$AC$3:$AC$10000,0)),"")</f>
        <v/>
      </c>
    </row>
    <row r="3253" spans="27:30">
      <c r="AA3253" s="117">
        <f>+'Ingredient List - Mother Tinctu'!D3254</f>
        <v>0</v>
      </c>
      <c r="AB3253" s="117">
        <f t="shared" si="53"/>
        <v>0</v>
      </c>
      <c r="AC3253" s="117" t="str">
        <f>IF(AB3253=1,COUNTIF($AB$3:AB3253,1),"")</f>
        <v/>
      </c>
      <c r="AD3253" s="117" t="str">
        <f>IFERROR(INDEX($AA$3:$AA$10000,MATCH(ROWS($AC$3:AC3253),$AC$3:$AC$10000,0)),"")</f>
        <v/>
      </c>
    </row>
    <row r="3254" spans="27:30">
      <c r="AA3254" s="117">
        <f>+'Ingredient List - Mother Tinctu'!D3255</f>
        <v>0</v>
      </c>
      <c r="AB3254" s="117">
        <f t="shared" si="53"/>
        <v>0</v>
      </c>
      <c r="AC3254" s="117" t="str">
        <f>IF(AB3254=1,COUNTIF($AB$3:AB3254,1),"")</f>
        <v/>
      </c>
      <c r="AD3254" s="117" t="str">
        <f>IFERROR(INDEX($AA$3:$AA$10000,MATCH(ROWS($AC$3:AC3254),$AC$3:$AC$10000,0)),"")</f>
        <v/>
      </c>
    </row>
    <row r="3255" spans="27:30">
      <c r="AA3255" s="117">
        <f>+'Ingredient List - Mother Tinctu'!D3256</f>
        <v>0</v>
      </c>
      <c r="AB3255" s="117">
        <f t="shared" si="53"/>
        <v>0</v>
      </c>
      <c r="AC3255" s="117" t="str">
        <f>IF(AB3255=1,COUNTIF($AB$3:AB3255,1),"")</f>
        <v/>
      </c>
      <c r="AD3255" s="117" t="str">
        <f>IFERROR(INDEX($AA$3:$AA$10000,MATCH(ROWS($AC$3:AC3255),$AC$3:$AC$10000,0)),"")</f>
        <v/>
      </c>
    </row>
    <row r="3256" spans="27:30">
      <c r="AA3256" s="117">
        <f>+'Ingredient List - Mother Tinctu'!D3257</f>
        <v>0</v>
      </c>
      <c r="AB3256" s="117">
        <f t="shared" si="53"/>
        <v>0</v>
      </c>
      <c r="AC3256" s="117" t="str">
        <f>IF(AB3256=1,COUNTIF($AB$3:AB3256,1),"")</f>
        <v/>
      </c>
      <c r="AD3256" s="117" t="str">
        <f>IFERROR(INDEX($AA$3:$AA$10000,MATCH(ROWS($AC$3:AC3256),$AC$3:$AC$10000,0)),"")</f>
        <v/>
      </c>
    </row>
    <row r="3257" spans="27:30">
      <c r="AA3257" s="117">
        <f>+'Ingredient List - Mother Tinctu'!D3258</f>
        <v>0</v>
      </c>
      <c r="AB3257" s="117">
        <f t="shared" si="53"/>
        <v>0</v>
      </c>
      <c r="AC3257" s="117" t="str">
        <f>IF(AB3257=1,COUNTIF($AB$3:AB3257,1),"")</f>
        <v/>
      </c>
      <c r="AD3257" s="117" t="str">
        <f>IFERROR(INDEX($AA$3:$AA$10000,MATCH(ROWS($AC$3:AC3257),$AC$3:$AC$10000,0)),"")</f>
        <v/>
      </c>
    </row>
    <row r="3258" spans="27:30">
      <c r="AA3258" s="117">
        <f>+'Ingredient List - Mother Tinctu'!D3259</f>
        <v>0</v>
      </c>
      <c r="AB3258" s="117">
        <f t="shared" si="53"/>
        <v>0</v>
      </c>
      <c r="AC3258" s="117" t="str">
        <f>IF(AB3258=1,COUNTIF($AB$3:AB3258,1),"")</f>
        <v/>
      </c>
      <c r="AD3258" s="117" t="str">
        <f>IFERROR(INDEX($AA$3:$AA$10000,MATCH(ROWS($AC$3:AC3258),$AC$3:$AC$10000,0)),"")</f>
        <v/>
      </c>
    </row>
    <row r="3259" spans="27:30">
      <c r="AA3259" s="117">
        <f>+'Ingredient List - Mother Tinctu'!D3260</f>
        <v>0</v>
      </c>
      <c r="AB3259" s="117">
        <f t="shared" si="53"/>
        <v>0</v>
      </c>
      <c r="AC3259" s="117" t="str">
        <f>IF(AB3259=1,COUNTIF($AB$3:AB3259,1),"")</f>
        <v/>
      </c>
      <c r="AD3259" s="117" t="str">
        <f>IFERROR(INDEX($AA$3:$AA$10000,MATCH(ROWS($AC$3:AC3259),$AC$3:$AC$10000,0)),"")</f>
        <v/>
      </c>
    </row>
    <row r="3260" spans="27:30">
      <c r="AA3260" s="117">
        <f>+'Ingredient List - Mother Tinctu'!D3261</f>
        <v>0</v>
      </c>
      <c r="AB3260" s="117">
        <f t="shared" si="53"/>
        <v>0</v>
      </c>
      <c r="AC3260" s="117" t="str">
        <f>IF(AB3260=1,COUNTIF($AB$3:AB3260,1),"")</f>
        <v/>
      </c>
      <c r="AD3260" s="117" t="str">
        <f>IFERROR(INDEX($AA$3:$AA$10000,MATCH(ROWS($AC$3:AC3260),$AC$3:$AC$10000,0)),"")</f>
        <v/>
      </c>
    </row>
    <row r="3261" spans="27:30">
      <c r="AA3261" s="117">
        <f>+'Ingredient List - Mother Tinctu'!D3262</f>
        <v>0</v>
      </c>
      <c r="AB3261" s="117">
        <f t="shared" si="53"/>
        <v>0</v>
      </c>
      <c r="AC3261" s="117" t="str">
        <f>IF(AB3261=1,COUNTIF($AB$3:AB3261,1),"")</f>
        <v/>
      </c>
      <c r="AD3261" s="117" t="str">
        <f>IFERROR(INDEX($AA$3:$AA$10000,MATCH(ROWS($AC$3:AC3261),$AC$3:$AC$10000,0)),"")</f>
        <v/>
      </c>
    </row>
    <row r="3262" spans="27:30">
      <c r="AA3262" s="117">
        <f>+'Ingredient List - Mother Tinctu'!D3263</f>
        <v>0</v>
      </c>
      <c r="AB3262" s="117">
        <f t="shared" si="53"/>
        <v>0</v>
      </c>
      <c r="AC3262" s="117" t="str">
        <f>IF(AB3262=1,COUNTIF($AB$3:AB3262,1),"")</f>
        <v/>
      </c>
      <c r="AD3262" s="117" t="str">
        <f>IFERROR(INDEX($AA$3:$AA$10000,MATCH(ROWS($AC$3:AC3262),$AC$3:$AC$10000,0)),"")</f>
        <v/>
      </c>
    </row>
    <row r="3263" spans="27:30">
      <c r="AA3263" s="117">
        <f>+'Ingredient List - Mother Tinctu'!D3264</f>
        <v>0</v>
      </c>
      <c r="AB3263" s="117">
        <f t="shared" si="53"/>
        <v>0</v>
      </c>
      <c r="AC3263" s="117" t="str">
        <f>IF(AB3263=1,COUNTIF($AB$3:AB3263,1),"")</f>
        <v/>
      </c>
      <c r="AD3263" s="117" t="str">
        <f>IFERROR(INDEX($AA$3:$AA$10000,MATCH(ROWS($AC$3:AC3263),$AC$3:$AC$10000,0)),"")</f>
        <v/>
      </c>
    </row>
    <row r="3264" spans="27:30">
      <c r="AA3264" s="117">
        <f>+'Ingredient List - Mother Tinctu'!D3265</f>
        <v>0</v>
      </c>
      <c r="AB3264" s="117">
        <f t="shared" si="53"/>
        <v>0</v>
      </c>
      <c r="AC3264" s="117" t="str">
        <f>IF(AB3264=1,COUNTIF($AB$3:AB3264,1),"")</f>
        <v/>
      </c>
      <c r="AD3264" s="117" t="str">
        <f>IFERROR(INDEX($AA$3:$AA$10000,MATCH(ROWS($AC$3:AC3264),$AC$3:$AC$10000,0)),"")</f>
        <v/>
      </c>
    </row>
    <row r="3265" spans="27:30">
      <c r="AA3265" s="117">
        <f>+'Ingredient List - Mother Tinctu'!D3266</f>
        <v>0</v>
      </c>
      <c r="AB3265" s="117">
        <f t="shared" si="53"/>
        <v>0</v>
      </c>
      <c r="AC3265" s="117" t="str">
        <f>IF(AB3265=1,COUNTIF($AB$3:AB3265,1),"")</f>
        <v/>
      </c>
      <c r="AD3265" s="117" t="str">
        <f>IFERROR(INDEX($AA$3:$AA$10000,MATCH(ROWS($AC$3:AC3265),$AC$3:$AC$10000,0)),"")</f>
        <v/>
      </c>
    </row>
    <row r="3266" spans="27:30">
      <c r="AA3266" s="117">
        <f>+'Ingredient List - Mother Tinctu'!D3267</f>
        <v>0</v>
      </c>
      <c r="AB3266" s="117">
        <f t="shared" si="53"/>
        <v>0</v>
      </c>
      <c r="AC3266" s="117" t="str">
        <f>IF(AB3266=1,COUNTIF($AB$3:AB3266,1),"")</f>
        <v/>
      </c>
      <c r="AD3266" s="117" t="str">
        <f>IFERROR(INDEX($AA$3:$AA$10000,MATCH(ROWS($AC$3:AC3266),$AC$3:$AC$10000,0)),"")</f>
        <v/>
      </c>
    </row>
    <row r="3267" spans="27:30">
      <c r="AA3267" s="117">
        <f>+'Ingredient List - Mother Tinctu'!D3268</f>
        <v>0</v>
      </c>
      <c r="AB3267" s="117">
        <f t="shared" si="53"/>
        <v>0</v>
      </c>
      <c r="AC3267" s="117" t="str">
        <f>IF(AB3267=1,COUNTIF($AB$3:AB3267,1),"")</f>
        <v/>
      </c>
      <c r="AD3267" s="117" t="str">
        <f>IFERROR(INDEX($AA$3:$AA$10000,MATCH(ROWS($AC$3:AC3267),$AC$3:$AC$10000,0)),"")</f>
        <v/>
      </c>
    </row>
    <row r="3268" spans="27:30">
      <c r="AA3268" s="117">
        <f>+'Ingredient List - Mother Tinctu'!D3269</f>
        <v>0</v>
      </c>
      <c r="AB3268" s="117">
        <f t="shared" ref="AB3268:AB3331" si="54">--ISNUMBER(IFERROR(SEARCH($D$3,AA3268,1),""))</f>
        <v>0</v>
      </c>
      <c r="AC3268" s="117" t="str">
        <f>IF(AB3268=1,COUNTIF($AB$3:AB3268,1),"")</f>
        <v/>
      </c>
      <c r="AD3268" s="117" t="str">
        <f>IFERROR(INDEX($AA$3:$AA$10000,MATCH(ROWS($AC$3:AC3268),$AC$3:$AC$10000,0)),"")</f>
        <v/>
      </c>
    </row>
    <row r="3269" spans="27:30">
      <c r="AA3269" s="117">
        <f>+'Ingredient List - Mother Tinctu'!D3270</f>
        <v>0</v>
      </c>
      <c r="AB3269" s="117">
        <f t="shared" si="54"/>
        <v>0</v>
      </c>
      <c r="AC3269" s="117" t="str">
        <f>IF(AB3269=1,COUNTIF($AB$3:AB3269,1),"")</f>
        <v/>
      </c>
      <c r="AD3269" s="117" t="str">
        <f>IFERROR(INDEX($AA$3:$AA$10000,MATCH(ROWS($AC$3:AC3269),$AC$3:$AC$10000,0)),"")</f>
        <v/>
      </c>
    </row>
    <row r="3270" spans="27:30">
      <c r="AA3270" s="117">
        <f>+'Ingredient List - Mother Tinctu'!D3271</f>
        <v>0</v>
      </c>
      <c r="AB3270" s="117">
        <f t="shared" si="54"/>
        <v>0</v>
      </c>
      <c r="AC3270" s="117" t="str">
        <f>IF(AB3270=1,COUNTIF($AB$3:AB3270,1),"")</f>
        <v/>
      </c>
      <c r="AD3270" s="117" t="str">
        <f>IFERROR(INDEX($AA$3:$AA$10000,MATCH(ROWS($AC$3:AC3270),$AC$3:$AC$10000,0)),"")</f>
        <v/>
      </c>
    </row>
    <row r="3271" spans="27:30">
      <c r="AA3271" s="117">
        <f>+'Ingredient List - Mother Tinctu'!D3272</f>
        <v>0</v>
      </c>
      <c r="AB3271" s="117">
        <f t="shared" si="54"/>
        <v>0</v>
      </c>
      <c r="AC3271" s="117" t="str">
        <f>IF(AB3271=1,COUNTIF($AB$3:AB3271,1),"")</f>
        <v/>
      </c>
      <c r="AD3271" s="117" t="str">
        <f>IFERROR(INDEX($AA$3:$AA$10000,MATCH(ROWS($AC$3:AC3271),$AC$3:$AC$10000,0)),"")</f>
        <v/>
      </c>
    </row>
    <row r="3272" spans="27:30">
      <c r="AA3272" s="117">
        <f>+'Ingredient List - Mother Tinctu'!D3273</f>
        <v>0</v>
      </c>
      <c r="AB3272" s="117">
        <f t="shared" si="54"/>
        <v>0</v>
      </c>
      <c r="AC3272" s="117" t="str">
        <f>IF(AB3272=1,COUNTIF($AB$3:AB3272,1),"")</f>
        <v/>
      </c>
      <c r="AD3272" s="117" t="str">
        <f>IFERROR(INDEX($AA$3:$AA$10000,MATCH(ROWS($AC$3:AC3272),$AC$3:$AC$10000,0)),"")</f>
        <v/>
      </c>
    </row>
    <row r="3273" spans="27:30">
      <c r="AA3273" s="117">
        <f>+'Ingredient List - Mother Tinctu'!D3274</f>
        <v>0</v>
      </c>
      <c r="AB3273" s="117">
        <f t="shared" si="54"/>
        <v>0</v>
      </c>
      <c r="AC3273" s="117" t="str">
        <f>IF(AB3273=1,COUNTIF($AB$3:AB3273,1),"")</f>
        <v/>
      </c>
      <c r="AD3273" s="117" t="str">
        <f>IFERROR(INDEX($AA$3:$AA$10000,MATCH(ROWS($AC$3:AC3273),$AC$3:$AC$10000,0)),"")</f>
        <v/>
      </c>
    </row>
    <row r="3274" spans="27:30">
      <c r="AA3274" s="117">
        <f>+'Ingredient List - Mother Tinctu'!D3275</f>
        <v>0</v>
      </c>
      <c r="AB3274" s="117">
        <f t="shared" si="54"/>
        <v>0</v>
      </c>
      <c r="AC3274" s="117" t="str">
        <f>IF(AB3274=1,COUNTIF($AB$3:AB3274,1),"")</f>
        <v/>
      </c>
      <c r="AD3274" s="117" t="str">
        <f>IFERROR(INDEX($AA$3:$AA$10000,MATCH(ROWS($AC$3:AC3274),$AC$3:$AC$10000,0)),"")</f>
        <v/>
      </c>
    </row>
    <row r="3275" spans="27:30">
      <c r="AA3275" s="117">
        <f>+'Ingredient List - Mother Tinctu'!D3276</f>
        <v>0</v>
      </c>
      <c r="AB3275" s="117">
        <f t="shared" si="54"/>
        <v>0</v>
      </c>
      <c r="AC3275" s="117" t="str">
        <f>IF(AB3275=1,COUNTIF($AB$3:AB3275,1),"")</f>
        <v/>
      </c>
      <c r="AD3275" s="117" t="str">
        <f>IFERROR(INDEX($AA$3:$AA$10000,MATCH(ROWS($AC$3:AC3275),$AC$3:$AC$10000,0)),"")</f>
        <v/>
      </c>
    </row>
    <row r="3276" spans="27:30">
      <c r="AA3276" s="117">
        <f>+'Ingredient List - Mother Tinctu'!D3277</f>
        <v>0</v>
      </c>
      <c r="AB3276" s="117">
        <f t="shared" si="54"/>
        <v>0</v>
      </c>
      <c r="AC3276" s="117" t="str">
        <f>IF(AB3276=1,COUNTIF($AB$3:AB3276,1),"")</f>
        <v/>
      </c>
      <c r="AD3276" s="117" t="str">
        <f>IFERROR(INDEX($AA$3:$AA$10000,MATCH(ROWS($AC$3:AC3276),$AC$3:$AC$10000,0)),"")</f>
        <v/>
      </c>
    </row>
    <row r="3277" spans="27:30">
      <c r="AA3277" s="117">
        <f>+'Ingredient List - Mother Tinctu'!D3278</f>
        <v>0</v>
      </c>
      <c r="AB3277" s="117">
        <f t="shared" si="54"/>
        <v>0</v>
      </c>
      <c r="AC3277" s="117" t="str">
        <f>IF(AB3277=1,COUNTIF($AB$3:AB3277,1),"")</f>
        <v/>
      </c>
      <c r="AD3277" s="117" t="str">
        <f>IFERROR(INDEX($AA$3:$AA$10000,MATCH(ROWS($AC$3:AC3277),$AC$3:$AC$10000,0)),"")</f>
        <v/>
      </c>
    </row>
    <row r="3278" spans="27:30">
      <c r="AA3278" s="117">
        <f>+'Ingredient List - Mother Tinctu'!D3279</f>
        <v>0</v>
      </c>
      <c r="AB3278" s="117">
        <f t="shared" si="54"/>
        <v>0</v>
      </c>
      <c r="AC3278" s="117" t="str">
        <f>IF(AB3278=1,COUNTIF($AB$3:AB3278,1),"")</f>
        <v/>
      </c>
      <c r="AD3278" s="117" t="str">
        <f>IFERROR(INDEX($AA$3:$AA$10000,MATCH(ROWS($AC$3:AC3278),$AC$3:$AC$10000,0)),"")</f>
        <v/>
      </c>
    </row>
    <row r="3279" spans="27:30">
      <c r="AA3279" s="117">
        <f>+'Ingredient List - Mother Tinctu'!D3280</f>
        <v>0</v>
      </c>
      <c r="AB3279" s="117">
        <f t="shared" si="54"/>
        <v>0</v>
      </c>
      <c r="AC3279" s="117" t="str">
        <f>IF(AB3279=1,COUNTIF($AB$3:AB3279,1),"")</f>
        <v/>
      </c>
      <c r="AD3279" s="117" t="str">
        <f>IFERROR(INDEX($AA$3:$AA$10000,MATCH(ROWS($AC$3:AC3279),$AC$3:$AC$10000,0)),"")</f>
        <v/>
      </c>
    </row>
    <row r="3280" spans="27:30">
      <c r="AA3280" s="117">
        <f>+'Ingredient List - Mother Tinctu'!D3281</f>
        <v>0</v>
      </c>
      <c r="AB3280" s="117">
        <f t="shared" si="54"/>
        <v>0</v>
      </c>
      <c r="AC3280" s="117" t="str">
        <f>IF(AB3280=1,COUNTIF($AB$3:AB3280,1),"")</f>
        <v/>
      </c>
      <c r="AD3280" s="117" t="str">
        <f>IFERROR(INDEX($AA$3:$AA$10000,MATCH(ROWS($AC$3:AC3280),$AC$3:$AC$10000,0)),"")</f>
        <v/>
      </c>
    </row>
    <row r="3281" spans="27:30">
      <c r="AA3281" s="117">
        <f>+'Ingredient List - Mother Tinctu'!D3282</f>
        <v>0</v>
      </c>
      <c r="AB3281" s="117">
        <f t="shared" si="54"/>
        <v>0</v>
      </c>
      <c r="AC3281" s="117" t="str">
        <f>IF(AB3281=1,COUNTIF($AB$3:AB3281,1),"")</f>
        <v/>
      </c>
      <c r="AD3281" s="117" t="str">
        <f>IFERROR(INDEX($AA$3:$AA$10000,MATCH(ROWS($AC$3:AC3281),$AC$3:$AC$10000,0)),"")</f>
        <v/>
      </c>
    </row>
    <row r="3282" spans="27:30">
      <c r="AA3282" s="117">
        <f>+'Ingredient List - Mother Tinctu'!D3283</f>
        <v>0</v>
      </c>
      <c r="AB3282" s="117">
        <f t="shared" si="54"/>
        <v>0</v>
      </c>
      <c r="AC3282" s="117" t="str">
        <f>IF(AB3282=1,COUNTIF($AB$3:AB3282,1),"")</f>
        <v/>
      </c>
      <c r="AD3282" s="117" t="str">
        <f>IFERROR(INDEX($AA$3:$AA$10000,MATCH(ROWS($AC$3:AC3282),$AC$3:$AC$10000,0)),"")</f>
        <v/>
      </c>
    </row>
    <row r="3283" spans="27:30">
      <c r="AA3283" s="117">
        <f>+'Ingredient List - Mother Tinctu'!D3284</f>
        <v>0</v>
      </c>
      <c r="AB3283" s="117">
        <f t="shared" si="54"/>
        <v>0</v>
      </c>
      <c r="AC3283" s="117" t="str">
        <f>IF(AB3283=1,COUNTIF($AB$3:AB3283,1),"")</f>
        <v/>
      </c>
      <c r="AD3283" s="117" t="str">
        <f>IFERROR(INDEX($AA$3:$AA$10000,MATCH(ROWS($AC$3:AC3283),$AC$3:$AC$10000,0)),"")</f>
        <v/>
      </c>
    </row>
    <row r="3284" spans="27:30">
      <c r="AA3284" s="117">
        <f>+'Ingredient List - Mother Tinctu'!D3285</f>
        <v>0</v>
      </c>
      <c r="AB3284" s="117">
        <f t="shared" si="54"/>
        <v>0</v>
      </c>
      <c r="AC3284" s="117" t="str">
        <f>IF(AB3284=1,COUNTIF($AB$3:AB3284,1),"")</f>
        <v/>
      </c>
      <c r="AD3284" s="117" t="str">
        <f>IFERROR(INDEX($AA$3:$AA$10000,MATCH(ROWS($AC$3:AC3284),$AC$3:$AC$10000,0)),"")</f>
        <v/>
      </c>
    </row>
    <row r="3285" spans="27:30">
      <c r="AA3285" s="117">
        <f>+'Ingredient List - Mother Tinctu'!D3286</f>
        <v>0</v>
      </c>
      <c r="AB3285" s="117">
        <f t="shared" si="54"/>
        <v>0</v>
      </c>
      <c r="AC3285" s="117" t="str">
        <f>IF(AB3285=1,COUNTIF($AB$3:AB3285,1),"")</f>
        <v/>
      </c>
      <c r="AD3285" s="117" t="str">
        <f>IFERROR(INDEX($AA$3:$AA$10000,MATCH(ROWS($AC$3:AC3285),$AC$3:$AC$10000,0)),"")</f>
        <v/>
      </c>
    </row>
    <row r="3286" spans="27:30">
      <c r="AA3286" s="117">
        <f>+'Ingredient List - Mother Tinctu'!D3287</f>
        <v>0</v>
      </c>
      <c r="AB3286" s="117">
        <f t="shared" si="54"/>
        <v>0</v>
      </c>
      <c r="AC3286" s="117" t="str">
        <f>IF(AB3286=1,COUNTIF($AB$3:AB3286,1),"")</f>
        <v/>
      </c>
      <c r="AD3286" s="117" t="str">
        <f>IFERROR(INDEX($AA$3:$AA$10000,MATCH(ROWS($AC$3:AC3286),$AC$3:$AC$10000,0)),"")</f>
        <v/>
      </c>
    </row>
    <row r="3287" spans="27:30">
      <c r="AA3287" s="117">
        <f>+'Ingredient List - Mother Tinctu'!D3288</f>
        <v>0</v>
      </c>
      <c r="AB3287" s="117">
        <f t="shared" si="54"/>
        <v>0</v>
      </c>
      <c r="AC3287" s="117" t="str">
        <f>IF(AB3287=1,COUNTIF($AB$3:AB3287,1),"")</f>
        <v/>
      </c>
      <c r="AD3287" s="117" t="str">
        <f>IFERROR(INDEX($AA$3:$AA$10000,MATCH(ROWS($AC$3:AC3287),$AC$3:$AC$10000,0)),"")</f>
        <v/>
      </c>
    </row>
    <row r="3288" spans="27:30">
      <c r="AA3288" s="117">
        <f>+'Ingredient List - Mother Tinctu'!D3289</f>
        <v>0</v>
      </c>
      <c r="AB3288" s="117">
        <f t="shared" si="54"/>
        <v>0</v>
      </c>
      <c r="AC3288" s="117" t="str">
        <f>IF(AB3288=1,COUNTIF($AB$3:AB3288,1),"")</f>
        <v/>
      </c>
      <c r="AD3288" s="117" t="str">
        <f>IFERROR(INDEX($AA$3:$AA$10000,MATCH(ROWS($AC$3:AC3288),$AC$3:$AC$10000,0)),"")</f>
        <v/>
      </c>
    </row>
    <row r="3289" spans="27:30">
      <c r="AA3289" s="117">
        <f>+'Ingredient List - Mother Tinctu'!D3290</f>
        <v>0</v>
      </c>
      <c r="AB3289" s="117">
        <f t="shared" si="54"/>
        <v>0</v>
      </c>
      <c r="AC3289" s="117" t="str">
        <f>IF(AB3289=1,COUNTIF($AB$3:AB3289,1),"")</f>
        <v/>
      </c>
      <c r="AD3289" s="117" t="str">
        <f>IFERROR(INDEX($AA$3:$AA$10000,MATCH(ROWS($AC$3:AC3289),$AC$3:$AC$10000,0)),"")</f>
        <v/>
      </c>
    </row>
    <row r="3290" spans="27:30">
      <c r="AA3290" s="117">
        <f>+'Ingredient List - Mother Tinctu'!D3291</f>
        <v>0</v>
      </c>
      <c r="AB3290" s="117">
        <f t="shared" si="54"/>
        <v>0</v>
      </c>
      <c r="AC3290" s="117" t="str">
        <f>IF(AB3290=1,COUNTIF($AB$3:AB3290,1),"")</f>
        <v/>
      </c>
      <c r="AD3290" s="117" t="str">
        <f>IFERROR(INDEX($AA$3:$AA$10000,MATCH(ROWS($AC$3:AC3290),$AC$3:$AC$10000,0)),"")</f>
        <v/>
      </c>
    </row>
    <row r="3291" spans="27:30">
      <c r="AA3291" s="117">
        <f>+'Ingredient List - Mother Tinctu'!D3292</f>
        <v>0</v>
      </c>
      <c r="AB3291" s="117">
        <f t="shared" si="54"/>
        <v>0</v>
      </c>
      <c r="AC3291" s="117" t="str">
        <f>IF(AB3291=1,COUNTIF($AB$3:AB3291,1),"")</f>
        <v/>
      </c>
      <c r="AD3291" s="117" t="str">
        <f>IFERROR(INDEX($AA$3:$AA$10000,MATCH(ROWS($AC$3:AC3291),$AC$3:$AC$10000,0)),"")</f>
        <v/>
      </c>
    </row>
    <row r="3292" spans="27:30">
      <c r="AA3292" s="117">
        <f>+'Ingredient List - Mother Tinctu'!D3293</f>
        <v>0</v>
      </c>
      <c r="AB3292" s="117">
        <f t="shared" si="54"/>
        <v>0</v>
      </c>
      <c r="AC3292" s="117" t="str">
        <f>IF(AB3292=1,COUNTIF($AB$3:AB3292,1),"")</f>
        <v/>
      </c>
      <c r="AD3292" s="117" t="str">
        <f>IFERROR(INDEX($AA$3:$AA$10000,MATCH(ROWS($AC$3:AC3292),$AC$3:$AC$10000,0)),"")</f>
        <v/>
      </c>
    </row>
    <row r="3293" spans="27:30">
      <c r="AA3293" s="117">
        <f>+'Ingredient List - Mother Tinctu'!D3294</f>
        <v>0</v>
      </c>
      <c r="AB3293" s="117">
        <f t="shared" si="54"/>
        <v>0</v>
      </c>
      <c r="AC3293" s="117" t="str">
        <f>IF(AB3293=1,COUNTIF($AB$3:AB3293,1),"")</f>
        <v/>
      </c>
      <c r="AD3293" s="117" t="str">
        <f>IFERROR(INDEX($AA$3:$AA$10000,MATCH(ROWS($AC$3:AC3293),$AC$3:$AC$10000,0)),"")</f>
        <v/>
      </c>
    </row>
    <row r="3294" spans="27:30">
      <c r="AA3294" s="117">
        <f>+'Ingredient List - Mother Tinctu'!D3295</f>
        <v>0</v>
      </c>
      <c r="AB3294" s="117">
        <f t="shared" si="54"/>
        <v>0</v>
      </c>
      <c r="AC3294" s="117" t="str">
        <f>IF(AB3294=1,COUNTIF($AB$3:AB3294,1),"")</f>
        <v/>
      </c>
      <c r="AD3294" s="117" t="str">
        <f>IFERROR(INDEX($AA$3:$AA$10000,MATCH(ROWS($AC$3:AC3294),$AC$3:$AC$10000,0)),"")</f>
        <v/>
      </c>
    </row>
    <row r="3295" spans="27:30">
      <c r="AA3295" s="117">
        <f>+'Ingredient List - Mother Tinctu'!D3296</f>
        <v>0</v>
      </c>
      <c r="AB3295" s="117">
        <f t="shared" si="54"/>
        <v>0</v>
      </c>
      <c r="AC3295" s="117" t="str">
        <f>IF(AB3295=1,COUNTIF($AB$3:AB3295,1),"")</f>
        <v/>
      </c>
      <c r="AD3295" s="117" t="str">
        <f>IFERROR(INDEX($AA$3:$AA$10000,MATCH(ROWS($AC$3:AC3295),$AC$3:$AC$10000,0)),"")</f>
        <v/>
      </c>
    </row>
    <row r="3296" spans="27:30">
      <c r="AA3296" s="117">
        <f>+'Ingredient List - Mother Tinctu'!D3297</f>
        <v>0</v>
      </c>
      <c r="AB3296" s="117">
        <f t="shared" si="54"/>
        <v>0</v>
      </c>
      <c r="AC3296" s="117" t="str">
        <f>IF(AB3296=1,COUNTIF($AB$3:AB3296,1),"")</f>
        <v/>
      </c>
      <c r="AD3296" s="117" t="str">
        <f>IFERROR(INDEX($AA$3:$AA$10000,MATCH(ROWS($AC$3:AC3296),$AC$3:$AC$10000,0)),"")</f>
        <v/>
      </c>
    </row>
    <row r="3297" spans="27:30">
      <c r="AA3297" s="117">
        <f>+'Ingredient List - Mother Tinctu'!D3298</f>
        <v>0</v>
      </c>
      <c r="AB3297" s="117">
        <f t="shared" si="54"/>
        <v>0</v>
      </c>
      <c r="AC3297" s="117" t="str">
        <f>IF(AB3297=1,COUNTIF($AB$3:AB3297,1),"")</f>
        <v/>
      </c>
      <c r="AD3297" s="117" t="str">
        <f>IFERROR(INDEX($AA$3:$AA$10000,MATCH(ROWS($AC$3:AC3297),$AC$3:$AC$10000,0)),"")</f>
        <v/>
      </c>
    </row>
    <row r="3298" spans="27:30">
      <c r="AA3298" s="117">
        <f>+'Ingredient List - Mother Tinctu'!D3299</f>
        <v>0</v>
      </c>
      <c r="AB3298" s="117">
        <f t="shared" si="54"/>
        <v>0</v>
      </c>
      <c r="AC3298" s="117" t="str">
        <f>IF(AB3298=1,COUNTIF($AB$3:AB3298,1),"")</f>
        <v/>
      </c>
      <c r="AD3298" s="117" t="str">
        <f>IFERROR(INDEX($AA$3:$AA$10000,MATCH(ROWS($AC$3:AC3298),$AC$3:$AC$10000,0)),"")</f>
        <v/>
      </c>
    </row>
    <row r="3299" spans="27:30">
      <c r="AA3299" s="117">
        <f>+'Ingredient List - Mother Tinctu'!D3300</f>
        <v>0</v>
      </c>
      <c r="AB3299" s="117">
        <f t="shared" si="54"/>
        <v>0</v>
      </c>
      <c r="AC3299" s="117" t="str">
        <f>IF(AB3299=1,COUNTIF($AB$3:AB3299,1),"")</f>
        <v/>
      </c>
      <c r="AD3299" s="117" t="str">
        <f>IFERROR(INDEX($AA$3:$AA$10000,MATCH(ROWS($AC$3:AC3299),$AC$3:$AC$10000,0)),"")</f>
        <v/>
      </c>
    </row>
    <row r="3300" spans="27:30">
      <c r="AA3300" s="117">
        <f>+'Ingredient List - Mother Tinctu'!D3301</f>
        <v>0</v>
      </c>
      <c r="AB3300" s="117">
        <f t="shared" si="54"/>
        <v>0</v>
      </c>
      <c r="AC3300" s="117" t="str">
        <f>IF(AB3300=1,COUNTIF($AB$3:AB3300,1),"")</f>
        <v/>
      </c>
      <c r="AD3300" s="117" t="str">
        <f>IFERROR(INDEX($AA$3:$AA$10000,MATCH(ROWS($AC$3:AC3300),$AC$3:$AC$10000,0)),"")</f>
        <v/>
      </c>
    </row>
    <row r="3301" spans="27:30">
      <c r="AA3301" s="117">
        <f>+'Ingredient List - Mother Tinctu'!D3302</f>
        <v>0</v>
      </c>
      <c r="AB3301" s="117">
        <f t="shared" si="54"/>
        <v>0</v>
      </c>
      <c r="AC3301" s="117" t="str">
        <f>IF(AB3301=1,COUNTIF($AB$3:AB3301,1),"")</f>
        <v/>
      </c>
      <c r="AD3301" s="117" t="str">
        <f>IFERROR(INDEX($AA$3:$AA$10000,MATCH(ROWS($AC$3:AC3301),$AC$3:$AC$10000,0)),"")</f>
        <v/>
      </c>
    </row>
    <row r="3302" spans="27:30">
      <c r="AA3302" s="117">
        <f>+'Ingredient List - Mother Tinctu'!D3303</f>
        <v>0</v>
      </c>
      <c r="AB3302" s="117">
        <f t="shared" si="54"/>
        <v>0</v>
      </c>
      <c r="AC3302" s="117" t="str">
        <f>IF(AB3302=1,COUNTIF($AB$3:AB3302,1),"")</f>
        <v/>
      </c>
      <c r="AD3302" s="117" t="str">
        <f>IFERROR(INDEX($AA$3:$AA$10000,MATCH(ROWS($AC$3:AC3302),$AC$3:$AC$10000,0)),"")</f>
        <v/>
      </c>
    </row>
    <row r="3303" spans="27:30">
      <c r="AA3303" s="117">
        <f>+'Ingredient List - Mother Tinctu'!D3304</f>
        <v>0</v>
      </c>
      <c r="AB3303" s="117">
        <f t="shared" si="54"/>
        <v>0</v>
      </c>
      <c r="AC3303" s="117" t="str">
        <f>IF(AB3303=1,COUNTIF($AB$3:AB3303,1),"")</f>
        <v/>
      </c>
      <c r="AD3303" s="117" t="str">
        <f>IFERROR(INDEX($AA$3:$AA$10000,MATCH(ROWS($AC$3:AC3303),$AC$3:$AC$10000,0)),"")</f>
        <v/>
      </c>
    </row>
    <row r="3304" spans="27:30">
      <c r="AA3304" s="117">
        <f>+'Ingredient List - Mother Tinctu'!D3305</f>
        <v>0</v>
      </c>
      <c r="AB3304" s="117">
        <f t="shared" si="54"/>
        <v>0</v>
      </c>
      <c r="AC3304" s="117" t="str">
        <f>IF(AB3304=1,COUNTIF($AB$3:AB3304,1),"")</f>
        <v/>
      </c>
      <c r="AD3304" s="117" t="str">
        <f>IFERROR(INDEX($AA$3:$AA$10000,MATCH(ROWS($AC$3:AC3304),$AC$3:$AC$10000,0)),"")</f>
        <v/>
      </c>
    </row>
    <row r="3305" spans="27:30">
      <c r="AA3305" s="117">
        <f>+'Ingredient List - Mother Tinctu'!D3306</f>
        <v>0</v>
      </c>
      <c r="AB3305" s="117">
        <f t="shared" si="54"/>
        <v>0</v>
      </c>
      <c r="AC3305" s="117" t="str">
        <f>IF(AB3305=1,COUNTIF($AB$3:AB3305,1),"")</f>
        <v/>
      </c>
      <c r="AD3305" s="117" t="str">
        <f>IFERROR(INDEX($AA$3:$AA$10000,MATCH(ROWS($AC$3:AC3305),$AC$3:$AC$10000,0)),"")</f>
        <v/>
      </c>
    </row>
    <row r="3306" spans="27:30">
      <c r="AA3306" s="117">
        <f>+'Ingredient List - Mother Tinctu'!D3307</f>
        <v>0</v>
      </c>
      <c r="AB3306" s="117">
        <f t="shared" si="54"/>
        <v>0</v>
      </c>
      <c r="AC3306" s="117" t="str">
        <f>IF(AB3306=1,COUNTIF($AB$3:AB3306,1),"")</f>
        <v/>
      </c>
      <c r="AD3306" s="117" t="str">
        <f>IFERROR(INDEX($AA$3:$AA$10000,MATCH(ROWS($AC$3:AC3306),$AC$3:$AC$10000,0)),"")</f>
        <v/>
      </c>
    </row>
    <row r="3307" spans="27:30">
      <c r="AA3307" s="117">
        <f>+'Ingredient List - Mother Tinctu'!D3308</f>
        <v>0</v>
      </c>
      <c r="AB3307" s="117">
        <f t="shared" si="54"/>
        <v>0</v>
      </c>
      <c r="AC3307" s="117" t="str">
        <f>IF(AB3307=1,COUNTIF($AB$3:AB3307,1),"")</f>
        <v/>
      </c>
      <c r="AD3307" s="117" t="str">
        <f>IFERROR(INDEX($AA$3:$AA$10000,MATCH(ROWS($AC$3:AC3307),$AC$3:$AC$10000,0)),"")</f>
        <v/>
      </c>
    </row>
    <row r="3308" spans="27:30">
      <c r="AA3308" s="117">
        <f>+'Ingredient List - Mother Tinctu'!D3309</f>
        <v>0</v>
      </c>
      <c r="AB3308" s="117">
        <f t="shared" si="54"/>
        <v>0</v>
      </c>
      <c r="AC3308" s="117" t="str">
        <f>IF(AB3308=1,COUNTIF($AB$3:AB3308,1),"")</f>
        <v/>
      </c>
      <c r="AD3308" s="117" t="str">
        <f>IFERROR(INDEX($AA$3:$AA$10000,MATCH(ROWS($AC$3:AC3308),$AC$3:$AC$10000,0)),"")</f>
        <v/>
      </c>
    </row>
    <row r="3309" spans="27:30">
      <c r="AA3309" s="117">
        <f>+'Ingredient List - Mother Tinctu'!D3310</f>
        <v>0</v>
      </c>
      <c r="AB3309" s="117">
        <f t="shared" si="54"/>
        <v>0</v>
      </c>
      <c r="AC3309" s="117" t="str">
        <f>IF(AB3309=1,COUNTIF($AB$3:AB3309,1),"")</f>
        <v/>
      </c>
      <c r="AD3309" s="117" t="str">
        <f>IFERROR(INDEX($AA$3:$AA$10000,MATCH(ROWS($AC$3:AC3309),$AC$3:$AC$10000,0)),"")</f>
        <v/>
      </c>
    </row>
    <row r="3310" spans="27:30">
      <c r="AA3310" s="117">
        <f>+'Ingredient List - Mother Tinctu'!D3311</f>
        <v>0</v>
      </c>
      <c r="AB3310" s="117">
        <f t="shared" si="54"/>
        <v>0</v>
      </c>
      <c r="AC3310" s="117" t="str">
        <f>IF(AB3310=1,COUNTIF($AB$3:AB3310,1),"")</f>
        <v/>
      </c>
      <c r="AD3310" s="117" t="str">
        <f>IFERROR(INDEX($AA$3:$AA$10000,MATCH(ROWS($AC$3:AC3310),$AC$3:$AC$10000,0)),"")</f>
        <v/>
      </c>
    </row>
    <row r="3311" spans="27:30">
      <c r="AA3311" s="117">
        <f>+'Ingredient List - Mother Tinctu'!D3312</f>
        <v>0</v>
      </c>
      <c r="AB3311" s="117">
        <f t="shared" si="54"/>
        <v>0</v>
      </c>
      <c r="AC3311" s="117" t="str">
        <f>IF(AB3311=1,COUNTIF($AB$3:AB3311,1),"")</f>
        <v/>
      </c>
      <c r="AD3311" s="117" t="str">
        <f>IFERROR(INDEX($AA$3:$AA$10000,MATCH(ROWS($AC$3:AC3311),$AC$3:$AC$10000,0)),"")</f>
        <v/>
      </c>
    </row>
    <row r="3312" spans="27:30">
      <c r="AA3312" s="117">
        <f>+'Ingredient List - Mother Tinctu'!D3313</f>
        <v>0</v>
      </c>
      <c r="AB3312" s="117">
        <f t="shared" si="54"/>
        <v>0</v>
      </c>
      <c r="AC3312" s="117" t="str">
        <f>IF(AB3312=1,COUNTIF($AB$3:AB3312,1),"")</f>
        <v/>
      </c>
      <c r="AD3312" s="117" t="str">
        <f>IFERROR(INDEX($AA$3:$AA$10000,MATCH(ROWS($AC$3:AC3312),$AC$3:$AC$10000,0)),"")</f>
        <v/>
      </c>
    </row>
    <row r="3313" spans="27:30">
      <c r="AA3313" s="117">
        <f>+'Ingredient List - Mother Tinctu'!D3314</f>
        <v>0</v>
      </c>
      <c r="AB3313" s="117">
        <f t="shared" si="54"/>
        <v>0</v>
      </c>
      <c r="AC3313" s="117" t="str">
        <f>IF(AB3313=1,COUNTIF($AB$3:AB3313,1),"")</f>
        <v/>
      </c>
      <c r="AD3313" s="117" t="str">
        <f>IFERROR(INDEX($AA$3:$AA$10000,MATCH(ROWS($AC$3:AC3313),$AC$3:$AC$10000,0)),"")</f>
        <v/>
      </c>
    </row>
    <row r="3314" spans="27:30">
      <c r="AA3314" s="117">
        <f>+'Ingredient List - Mother Tinctu'!D3315</f>
        <v>0</v>
      </c>
      <c r="AB3314" s="117">
        <f t="shared" si="54"/>
        <v>0</v>
      </c>
      <c r="AC3314" s="117" t="str">
        <f>IF(AB3314=1,COUNTIF($AB$3:AB3314,1),"")</f>
        <v/>
      </c>
      <c r="AD3314" s="117" t="str">
        <f>IFERROR(INDEX($AA$3:$AA$10000,MATCH(ROWS($AC$3:AC3314),$AC$3:$AC$10000,0)),"")</f>
        <v/>
      </c>
    </row>
    <row r="3315" spans="27:30">
      <c r="AA3315" s="117">
        <f>+'Ingredient List - Mother Tinctu'!D3316</f>
        <v>0</v>
      </c>
      <c r="AB3315" s="117">
        <f t="shared" si="54"/>
        <v>0</v>
      </c>
      <c r="AC3315" s="117" t="str">
        <f>IF(AB3315=1,COUNTIF($AB$3:AB3315,1),"")</f>
        <v/>
      </c>
      <c r="AD3315" s="117" t="str">
        <f>IFERROR(INDEX($AA$3:$AA$10000,MATCH(ROWS($AC$3:AC3315),$AC$3:$AC$10000,0)),"")</f>
        <v/>
      </c>
    </row>
    <row r="3316" spans="27:30">
      <c r="AA3316" s="117">
        <f>+'Ingredient List - Mother Tinctu'!D3317</f>
        <v>0</v>
      </c>
      <c r="AB3316" s="117">
        <f t="shared" si="54"/>
        <v>0</v>
      </c>
      <c r="AC3316" s="117" t="str">
        <f>IF(AB3316=1,COUNTIF($AB$3:AB3316,1),"")</f>
        <v/>
      </c>
      <c r="AD3316" s="117" t="str">
        <f>IFERROR(INDEX($AA$3:$AA$10000,MATCH(ROWS($AC$3:AC3316),$AC$3:$AC$10000,0)),"")</f>
        <v/>
      </c>
    </row>
    <row r="3317" spans="27:30">
      <c r="AA3317" s="117">
        <f>+'Ingredient List - Mother Tinctu'!D3318</f>
        <v>0</v>
      </c>
      <c r="AB3317" s="117">
        <f t="shared" si="54"/>
        <v>0</v>
      </c>
      <c r="AC3317" s="117" t="str">
        <f>IF(AB3317=1,COUNTIF($AB$3:AB3317,1),"")</f>
        <v/>
      </c>
      <c r="AD3317" s="117" t="str">
        <f>IFERROR(INDEX($AA$3:$AA$10000,MATCH(ROWS($AC$3:AC3317),$AC$3:$AC$10000,0)),"")</f>
        <v/>
      </c>
    </row>
    <row r="3318" spans="27:30">
      <c r="AA3318" s="117">
        <f>+'Ingredient List - Mother Tinctu'!D3319</f>
        <v>0</v>
      </c>
      <c r="AB3318" s="117">
        <f t="shared" si="54"/>
        <v>0</v>
      </c>
      <c r="AC3318" s="117" t="str">
        <f>IF(AB3318=1,COUNTIF($AB$3:AB3318,1),"")</f>
        <v/>
      </c>
      <c r="AD3318" s="117" t="str">
        <f>IFERROR(INDEX($AA$3:$AA$10000,MATCH(ROWS($AC$3:AC3318),$AC$3:$AC$10000,0)),"")</f>
        <v/>
      </c>
    </row>
    <row r="3319" spans="27:30">
      <c r="AA3319" s="117">
        <f>+'Ingredient List - Mother Tinctu'!D3320</f>
        <v>0</v>
      </c>
      <c r="AB3319" s="117">
        <f t="shared" si="54"/>
        <v>0</v>
      </c>
      <c r="AC3319" s="117" t="str">
        <f>IF(AB3319=1,COUNTIF($AB$3:AB3319,1),"")</f>
        <v/>
      </c>
      <c r="AD3319" s="117" t="str">
        <f>IFERROR(INDEX($AA$3:$AA$10000,MATCH(ROWS($AC$3:AC3319),$AC$3:$AC$10000,0)),"")</f>
        <v/>
      </c>
    </row>
    <row r="3320" spans="27:30">
      <c r="AA3320" s="117">
        <f>+'Ingredient List - Mother Tinctu'!D3321</f>
        <v>0</v>
      </c>
      <c r="AB3320" s="117">
        <f t="shared" si="54"/>
        <v>0</v>
      </c>
      <c r="AC3320" s="117" t="str">
        <f>IF(AB3320=1,COUNTIF($AB$3:AB3320,1),"")</f>
        <v/>
      </c>
      <c r="AD3320" s="117" t="str">
        <f>IFERROR(INDEX($AA$3:$AA$10000,MATCH(ROWS($AC$3:AC3320),$AC$3:$AC$10000,0)),"")</f>
        <v/>
      </c>
    </row>
    <row r="3321" spans="27:30">
      <c r="AA3321" s="117">
        <f>+'Ingredient List - Mother Tinctu'!D3322</f>
        <v>0</v>
      </c>
      <c r="AB3321" s="117">
        <f t="shared" si="54"/>
        <v>0</v>
      </c>
      <c r="AC3321" s="117" t="str">
        <f>IF(AB3321=1,COUNTIF($AB$3:AB3321,1),"")</f>
        <v/>
      </c>
      <c r="AD3321" s="117" t="str">
        <f>IFERROR(INDEX($AA$3:$AA$10000,MATCH(ROWS($AC$3:AC3321),$AC$3:$AC$10000,0)),"")</f>
        <v/>
      </c>
    </row>
    <row r="3322" spans="27:30">
      <c r="AA3322" s="117">
        <f>+'Ingredient List - Mother Tinctu'!D3323</f>
        <v>0</v>
      </c>
      <c r="AB3322" s="117">
        <f t="shared" si="54"/>
        <v>0</v>
      </c>
      <c r="AC3322" s="117" t="str">
        <f>IF(AB3322=1,COUNTIF($AB$3:AB3322,1),"")</f>
        <v/>
      </c>
      <c r="AD3322" s="117" t="str">
        <f>IFERROR(INDEX($AA$3:$AA$10000,MATCH(ROWS($AC$3:AC3322),$AC$3:$AC$10000,0)),"")</f>
        <v/>
      </c>
    </row>
    <row r="3323" spans="27:30">
      <c r="AA3323" s="117">
        <f>+'Ingredient List - Mother Tinctu'!D3324</f>
        <v>0</v>
      </c>
      <c r="AB3323" s="117">
        <f t="shared" si="54"/>
        <v>0</v>
      </c>
      <c r="AC3323" s="117" t="str">
        <f>IF(AB3323=1,COUNTIF($AB$3:AB3323,1),"")</f>
        <v/>
      </c>
      <c r="AD3323" s="117" t="str">
        <f>IFERROR(INDEX($AA$3:$AA$10000,MATCH(ROWS($AC$3:AC3323),$AC$3:$AC$10000,0)),"")</f>
        <v/>
      </c>
    </row>
    <row r="3324" spans="27:30">
      <c r="AA3324" s="117">
        <f>+'Ingredient List - Mother Tinctu'!D3325</f>
        <v>0</v>
      </c>
      <c r="AB3324" s="117">
        <f t="shared" si="54"/>
        <v>0</v>
      </c>
      <c r="AC3324" s="117" t="str">
        <f>IF(AB3324=1,COUNTIF($AB$3:AB3324,1),"")</f>
        <v/>
      </c>
      <c r="AD3324" s="117" t="str">
        <f>IFERROR(INDEX($AA$3:$AA$10000,MATCH(ROWS($AC$3:AC3324),$AC$3:$AC$10000,0)),"")</f>
        <v/>
      </c>
    </row>
    <row r="3325" spans="27:30">
      <c r="AA3325" s="117">
        <f>+'Ingredient List - Mother Tinctu'!D3326</f>
        <v>0</v>
      </c>
      <c r="AB3325" s="117">
        <f t="shared" si="54"/>
        <v>0</v>
      </c>
      <c r="AC3325" s="117" t="str">
        <f>IF(AB3325=1,COUNTIF($AB$3:AB3325,1),"")</f>
        <v/>
      </c>
      <c r="AD3325" s="117" t="str">
        <f>IFERROR(INDEX($AA$3:$AA$10000,MATCH(ROWS($AC$3:AC3325),$AC$3:$AC$10000,0)),"")</f>
        <v/>
      </c>
    </row>
    <row r="3326" spans="27:30">
      <c r="AA3326" s="117">
        <f>+'Ingredient List - Mother Tinctu'!D3327</f>
        <v>0</v>
      </c>
      <c r="AB3326" s="117">
        <f t="shared" si="54"/>
        <v>0</v>
      </c>
      <c r="AC3326" s="117" t="str">
        <f>IF(AB3326=1,COUNTIF($AB$3:AB3326,1),"")</f>
        <v/>
      </c>
      <c r="AD3326" s="117" t="str">
        <f>IFERROR(INDEX($AA$3:$AA$10000,MATCH(ROWS($AC$3:AC3326),$AC$3:$AC$10000,0)),"")</f>
        <v/>
      </c>
    </row>
    <row r="3327" spans="27:30">
      <c r="AA3327" s="117">
        <f>+'Ingredient List - Mother Tinctu'!D3328</f>
        <v>0</v>
      </c>
      <c r="AB3327" s="117">
        <f t="shared" si="54"/>
        <v>0</v>
      </c>
      <c r="AC3327" s="117" t="str">
        <f>IF(AB3327=1,COUNTIF($AB$3:AB3327,1),"")</f>
        <v/>
      </c>
      <c r="AD3327" s="117" t="str">
        <f>IFERROR(INDEX($AA$3:$AA$10000,MATCH(ROWS($AC$3:AC3327),$AC$3:$AC$10000,0)),"")</f>
        <v/>
      </c>
    </row>
    <row r="3328" spans="27:30">
      <c r="AA3328" s="117">
        <f>+'Ingredient List - Mother Tinctu'!D3329</f>
        <v>0</v>
      </c>
      <c r="AB3328" s="117">
        <f t="shared" si="54"/>
        <v>0</v>
      </c>
      <c r="AC3328" s="117" t="str">
        <f>IF(AB3328=1,COUNTIF($AB$3:AB3328,1),"")</f>
        <v/>
      </c>
      <c r="AD3328" s="117" t="str">
        <f>IFERROR(INDEX($AA$3:$AA$10000,MATCH(ROWS($AC$3:AC3328),$AC$3:$AC$10000,0)),"")</f>
        <v/>
      </c>
    </row>
    <row r="3329" spans="27:30">
      <c r="AA3329" s="117">
        <f>+'Ingredient List - Mother Tinctu'!D3330</f>
        <v>0</v>
      </c>
      <c r="AB3329" s="117">
        <f t="shared" si="54"/>
        <v>0</v>
      </c>
      <c r="AC3329" s="117" t="str">
        <f>IF(AB3329=1,COUNTIF($AB$3:AB3329,1),"")</f>
        <v/>
      </c>
      <c r="AD3329" s="117" t="str">
        <f>IFERROR(INDEX($AA$3:$AA$10000,MATCH(ROWS($AC$3:AC3329),$AC$3:$AC$10000,0)),"")</f>
        <v/>
      </c>
    </row>
    <row r="3330" spans="27:30">
      <c r="AA3330" s="117">
        <f>+'Ingredient List - Mother Tinctu'!D3331</f>
        <v>0</v>
      </c>
      <c r="AB3330" s="117">
        <f t="shared" si="54"/>
        <v>0</v>
      </c>
      <c r="AC3330" s="117" t="str">
        <f>IF(AB3330=1,COUNTIF($AB$3:AB3330,1),"")</f>
        <v/>
      </c>
      <c r="AD3330" s="117" t="str">
        <f>IFERROR(INDEX($AA$3:$AA$10000,MATCH(ROWS($AC$3:AC3330),$AC$3:$AC$10000,0)),"")</f>
        <v/>
      </c>
    </row>
    <row r="3331" spans="27:30">
      <c r="AA3331" s="117">
        <f>+'Ingredient List - Mother Tinctu'!D3332</f>
        <v>0</v>
      </c>
      <c r="AB3331" s="117">
        <f t="shared" si="54"/>
        <v>0</v>
      </c>
      <c r="AC3331" s="117" t="str">
        <f>IF(AB3331=1,COUNTIF($AB$3:AB3331,1),"")</f>
        <v/>
      </c>
      <c r="AD3331" s="117" t="str">
        <f>IFERROR(INDEX($AA$3:$AA$10000,MATCH(ROWS($AC$3:AC3331),$AC$3:$AC$10000,0)),"")</f>
        <v/>
      </c>
    </row>
    <row r="3332" spans="27:30">
      <c r="AA3332" s="117">
        <f>+'Ingredient List - Mother Tinctu'!D3333</f>
        <v>0</v>
      </c>
      <c r="AB3332" s="117">
        <f t="shared" ref="AB3332:AB3395" si="55">--ISNUMBER(IFERROR(SEARCH($D$3,AA3332,1),""))</f>
        <v>0</v>
      </c>
      <c r="AC3332" s="117" t="str">
        <f>IF(AB3332=1,COUNTIF($AB$3:AB3332,1),"")</f>
        <v/>
      </c>
      <c r="AD3332" s="117" t="str">
        <f>IFERROR(INDEX($AA$3:$AA$10000,MATCH(ROWS($AC$3:AC3332),$AC$3:$AC$10000,0)),"")</f>
        <v/>
      </c>
    </row>
    <row r="3333" spans="27:30">
      <c r="AA3333" s="117">
        <f>+'Ingredient List - Mother Tinctu'!D3334</f>
        <v>0</v>
      </c>
      <c r="AB3333" s="117">
        <f t="shared" si="55"/>
        <v>0</v>
      </c>
      <c r="AC3333" s="117" t="str">
        <f>IF(AB3333=1,COUNTIF($AB$3:AB3333,1),"")</f>
        <v/>
      </c>
      <c r="AD3333" s="117" t="str">
        <f>IFERROR(INDEX($AA$3:$AA$10000,MATCH(ROWS($AC$3:AC3333),$AC$3:$AC$10000,0)),"")</f>
        <v/>
      </c>
    </row>
    <row r="3334" spans="27:30">
      <c r="AA3334" s="117">
        <f>+'Ingredient List - Mother Tinctu'!D3335</f>
        <v>0</v>
      </c>
      <c r="AB3334" s="117">
        <f t="shared" si="55"/>
        <v>0</v>
      </c>
      <c r="AC3334" s="117" t="str">
        <f>IF(AB3334=1,COUNTIF($AB$3:AB3334,1),"")</f>
        <v/>
      </c>
      <c r="AD3334" s="117" t="str">
        <f>IFERROR(INDEX($AA$3:$AA$10000,MATCH(ROWS($AC$3:AC3334),$AC$3:$AC$10000,0)),"")</f>
        <v/>
      </c>
    </row>
    <row r="3335" spans="27:30">
      <c r="AA3335" s="117">
        <f>+'Ingredient List - Mother Tinctu'!D3336</f>
        <v>0</v>
      </c>
      <c r="AB3335" s="117">
        <f t="shared" si="55"/>
        <v>0</v>
      </c>
      <c r="AC3335" s="117" t="str">
        <f>IF(AB3335=1,COUNTIF($AB$3:AB3335,1),"")</f>
        <v/>
      </c>
      <c r="AD3335" s="117" t="str">
        <f>IFERROR(INDEX($AA$3:$AA$10000,MATCH(ROWS($AC$3:AC3335),$AC$3:$AC$10000,0)),"")</f>
        <v/>
      </c>
    </row>
    <row r="3336" spans="27:30">
      <c r="AA3336" s="117">
        <f>+'Ingredient List - Mother Tinctu'!D3337</f>
        <v>0</v>
      </c>
      <c r="AB3336" s="117">
        <f t="shared" si="55"/>
        <v>0</v>
      </c>
      <c r="AC3336" s="117" t="str">
        <f>IF(AB3336=1,COUNTIF($AB$3:AB3336,1),"")</f>
        <v/>
      </c>
      <c r="AD3336" s="117" t="str">
        <f>IFERROR(INDEX($AA$3:$AA$10000,MATCH(ROWS($AC$3:AC3336),$AC$3:$AC$10000,0)),"")</f>
        <v/>
      </c>
    </row>
    <row r="3337" spans="27:30">
      <c r="AA3337" s="117">
        <f>+'Ingredient List - Mother Tinctu'!D3338</f>
        <v>0</v>
      </c>
      <c r="AB3337" s="117">
        <f t="shared" si="55"/>
        <v>0</v>
      </c>
      <c r="AC3337" s="117" t="str">
        <f>IF(AB3337=1,COUNTIF($AB$3:AB3337,1),"")</f>
        <v/>
      </c>
      <c r="AD3337" s="117" t="str">
        <f>IFERROR(INDEX($AA$3:$AA$10000,MATCH(ROWS($AC$3:AC3337),$AC$3:$AC$10000,0)),"")</f>
        <v/>
      </c>
    </row>
    <row r="3338" spans="27:30">
      <c r="AA3338" s="117">
        <f>+'Ingredient List - Mother Tinctu'!D3339</f>
        <v>0</v>
      </c>
      <c r="AB3338" s="117">
        <f t="shared" si="55"/>
        <v>0</v>
      </c>
      <c r="AC3338" s="117" t="str">
        <f>IF(AB3338=1,COUNTIF($AB$3:AB3338,1),"")</f>
        <v/>
      </c>
      <c r="AD3338" s="117" t="str">
        <f>IFERROR(INDEX($AA$3:$AA$10000,MATCH(ROWS($AC$3:AC3338),$AC$3:$AC$10000,0)),"")</f>
        <v/>
      </c>
    </row>
    <row r="3339" spans="27:30">
      <c r="AA3339" s="117">
        <f>+'Ingredient List - Mother Tinctu'!D3340</f>
        <v>0</v>
      </c>
      <c r="AB3339" s="117">
        <f t="shared" si="55"/>
        <v>0</v>
      </c>
      <c r="AC3339" s="117" t="str">
        <f>IF(AB3339=1,COUNTIF($AB$3:AB3339,1),"")</f>
        <v/>
      </c>
      <c r="AD3339" s="117" t="str">
        <f>IFERROR(INDEX($AA$3:$AA$10000,MATCH(ROWS($AC$3:AC3339),$AC$3:$AC$10000,0)),"")</f>
        <v/>
      </c>
    </row>
    <row r="3340" spans="27:30">
      <c r="AA3340" s="117">
        <f>+'Ingredient List - Mother Tinctu'!D3341</f>
        <v>0</v>
      </c>
      <c r="AB3340" s="117">
        <f t="shared" si="55"/>
        <v>0</v>
      </c>
      <c r="AC3340" s="117" t="str">
        <f>IF(AB3340=1,COUNTIF($AB$3:AB3340,1),"")</f>
        <v/>
      </c>
      <c r="AD3340" s="117" t="str">
        <f>IFERROR(INDEX($AA$3:$AA$10000,MATCH(ROWS($AC$3:AC3340),$AC$3:$AC$10000,0)),"")</f>
        <v/>
      </c>
    </row>
    <row r="3341" spans="27:30">
      <c r="AA3341" s="117">
        <f>+'Ingredient List - Mother Tinctu'!D3342</f>
        <v>0</v>
      </c>
      <c r="AB3341" s="117">
        <f t="shared" si="55"/>
        <v>0</v>
      </c>
      <c r="AC3341" s="117" t="str">
        <f>IF(AB3341=1,COUNTIF($AB$3:AB3341,1),"")</f>
        <v/>
      </c>
      <c r="AD3341" s="117" t="str">
        <f>IFERROR(INDEX($AA$3:$AA$10000,MATCH(ROWS($AC$3:AC3341),$AC$3:$AC$10000,0)),"")</f>
        <v/>
      </c>
    </row>
    <row r="3342" spans="27:30">
      <c r="AA3342" s="117">
        <f>+'Ingredient List - Mother Tinctu'!D3343</f>
        <v>0</v>
      </c>
      <c r="AB3342" s="117">
        <f t="shared" si="55"/>
        <v>0</v>
      </c>
      <c r="AC3342" s="117" t="str">
        <f>IF(AB3342=1,COUNTIF($AB$3:AB3342,1),"")</f>
        <v/>
      </c>
      <c r="AD3342" s="117" t="str">
        <f>IFERROR(INDEX($AA$3:$AA$10000,MATCH(ROWS($AC$3:AC3342),$AC$3:$AC$10000,0)),"")</f>
        <v/>
      </c>
    </row>
    <row r="3343" spans="27:30">
      <c r="AA3343" s="117">
        <f>+'Ingredient List - Mother Tinctu'!D3344</f>
        <v>0</v>
      </c>
      <c r="AB3343" s="117">
        <f t="shared" si="55"/>
        <v>0</v>
      </c>
      <c r="AC3343" s="117" t="str">
        <f>IF(AB3343=1,COUNTIF($AB$3:AB3343,1),"")</f>
        <v/>
      </c>
      <c r="AD3343" s="117" t="str">
        <f>IFERROR(INDEX($AA$3:$AA$10000,MATCH(ROWS($AC$3:AC3343),$AC$3:$AC$10000,0)),"")</f>
        <v/>
      </c>
    </row>
    <row r="3344" spans="27:30">
      <c r="AA3344" s="117">
        <f>+'Ingredient List - Mother Tinctu'!D3345</f>
        <v>0</v>
      </c>
      <c r="AB3344" s="117">
        <f t="shared" si="55"/>
        <v>0</v>
      </c>
      <c r="AC3344" s="117" t="str">
        <f>IF(AB3344=1,COUNTIF($AB$3:AB3344,1),"")</f>
        <v/>
      </c>
      <c r="AD3344" s="117" t="str">
        <f>IFERROR(INDEX($AA$3:$AA$10000,MATCH(ROWS($AC$3:AC3344),$AC$3:$AC$10000,0)),"")</f>
        <v/>
      </c>
    </row>
    <row r="3345" spans="27:30">
      <c r="AA3345" s="117">
        <f>+'Ingredient List - Mother Tinctu'!D3346</f>
        <v>0</v>
      </c>
      <c r="AB3345" s="117">
        <f t="shared" si="55"/>
        <v>0</v>
      </c>
      <c r="AC3345" s="117" t="str">
        <f>IF(AB3345=1,COUNTIF($AB$3:AB3345,1),"")</f>
        <v/>
      </c>
      <c r="AD3345" s="117" t="str">
        <f>IFERROR(INDEX($AA$3:$AA$10000,MATCH(ROWS($AC$3:AC3345),$AC$3:$AC$10000,0)),"")</f>
        <v/>
      </c>
    </row>
    <row r="3346" spans="27:30">
      <c r="AA3346" s="117">
        <f>+'Ingredient List - Mother Tinctu'!D3347</f>
        <v>0</v>
      </c>
      <c r="AB3346" s="117">
        <f t="shared" si="55"/>
        <v>0</v>
      </c>
      <c r="AC3346" s="117" t="str">
        <f>IF(AB3346=1,COUNTIF($AB$3:AB3346,1),"")</f>
        <v/>
      </c>
      <c r="AD3346" s="117" t="str">
        <f>IFERROR(INDEX($AA$3:$AA$10000,MATCH(ROWS($AC$3:AC3346),$AC$3:$AC$10000,0)),"")</f>
        <v/>
      </c>
    </row>
    <row r="3347" spans="27:30">
      <c r="AA3347" s="117">
        <f>+'Ingredient List - Mother Tinctu'!D3348</f>
        <v>0</v>
      </c>
      <c r="AB3347" s="117">
        <f t="shared" si="55"/>
        <v>0</v>
      </c>
      <c r="AC3347" s="117" t="str">
        <f>IF(AB3347=1,COUNTIF($AB$3:AB3347,1),"")</f>
        <v/>
      </c>
      <c r="AD3347" s="117" t="str">
        <f>IFERROR(INDEX($AA$3:$AA$10000,MATCH(ROWS($AC$3:AC3347),$AC$3:$AC$10000,0)),"")</f>
        <v/>
      </c>
    </row>
    <row r="3348" spans="27:30">
      <c r="AA3348" s="117">
        <f>+'Ingredient List - Mother Tinctu'!D3349</f>
        <v>0</v>
      </c>
      <c r="AB3348" s="117">
        <f t="shared" si="55"/>
        <v>0</v>
      </c>
      <c r="AC3348" s="117" t="str">
        <f>IF(AB3348=1,COUNTIF($AB$3:AB3348,1),"")</f>
        <v/>
      </c>
      <c r="AD3348" s="117" t="str">
        <f>IFERROR(INDEX($AA$3:$AA$10000,MATCH(ROWS($AC$3:AC3348),$AC$3:$AC$10000,0)),"")</f>
        <v/>
      </c>
    </row>
    <row r="3349" spans="27:30">
      <c r="AA3349" s="117">
        <f>+'Ingredient List - Mother Tinctu'!D3350</f>
        <v>0</v>
      </c>
      <c r="AB3349" s="117">
        <f t="shared" si="55"/>
        <v>0</v>
      </c>
      <c r="AC3349" s="117" t="str">
        <f>IF(AB3349=1,COUNTIF($AB$3:AB3349,1),"")</f>
        <v/>
      </c>
      <c r="AD3349" s="117" t="str">
        <f>IFERROR(INDEX($AA$3:$AA$10000,MATCH(ROWS($AC$3:AC3349),$AC$3:$AC$10000,0)),"")</f>
        <v/>
      </c>
    </row>
    <row r="3350" spans="27:30">
      <c r="AA3350" s="117">
        <f>+'Ingredient List - Mother Tinctu'!D3351</f>
        <v>0</v>
      </c>
      <c r="AB3350" s="117">
        <f t="shared" si="55"/>
        <v>0</v>
      </c>
      <c r="AC3350" s="117" t="str">
        <f>IF(AB3350=1,COUNTIF($AB$3:AB3350,1),"")</f>
        <v/>
      </c>
      <c r="AD3350" s="117" t="str">
        <f>IFERROR(INDEX($AA$3:$AA$10000,MATCH(ROWS($AC$3:AC3350),$AC$3:$AC$10000,0)),"")</f>
        <v/>
      </c>
    </row>
    <row r="3351" spans="27:30">
      <c r="AA3351" s="117">
        <f>+'Ingredient List - Mother Tinctu'!D3352</f>
        <v>0</v>
      </c>
      <c r="AB3351" s="117">
        <f t="shared" si="55"/>
        <v>0</v>
      </c>
      <c r="AC3351" s="117" t="str">
        <f>IF(AB3351=1,COUNTIF($AB$3:AB3351,1),"")</f>
        <v/>
      </c>
      <c r="AD3351" s="117" t="str">
        <f>IFERROR(INDEX($AA$3:$AA$10000,MATCH(ROWS($AC$3:AC3351),$AC$3:$AC$10000,0)),"")</f>
        <v/>
      </c>
    </row>
    <row r="3352" spans="27:30">
      <c r="AA3352" s="117">
        <f>+'Ingredient List - Mother Tinctu'!D3353</f>
        <v>0</v>
      </c>
      <c r="AB3352" s="117">
        <f t="shared" si="55"/>
        <v>0</v>
      </c>
      <c r="AC3352" s="117" t="str">
        <f>IF(AB3352=1,COUNTIF($AB$3:AB3352,1),"")</f>
        <v/>
      </c>
      <c r="AD3352" s="117" t="str">
        <f>IFERROR(INDEX($AA$3:$AA$10000,MATCH(ROWS($AC$3:AC3352),$AC$3:$AC$10000,0)),"")</f>
        <v/>
      </c>
    </row>
    <row r="3353" spans="27:30">
      <c r="AA3353" s="117">
        <f>+'Ingredient List - Mother Tinctu'!D3354</f>
        <v>0</v>
      </c>
      <c r="AB3353" s="117">
        <f t="shared" si="55"/>
        <v>0</v>
      </c>
      <c r="AC3353" s="117" t="str">
        <f>IF(AB3353=1,COUNTIF($AB$3:AB3353,1),"")</f>
        <v/>
      </c>
      <c r="AD3353" s="117" t="str">
        <f>IFERROR(INDEX($AA$3:$AA$10000,MATCH(ROWS($AC$3:AC3353),$AC$3:$AC$10000,0)),"")</f>
        <v/>
      </c>
    </row>
    <row r="3354" spans="27:30">
      <c r="AA3354" s="117">
        <f>+'Ingredient List - Mother Tinctu'!D3355</f>
        <v>0</v>
      </c>
      <c r="AB3354" s="117">
        <f t="shared" si="55"/>
        <v>0</v>
      </c>
      <c r="AC3354" s="117" t="str">
        <f>IF(AB3354=1,COUNTIF($AB$3:AB3354,1),"")</f>
        <v/>
      </c>
      <c r="AD3354" s="117" t="str">
        <f>IFERROR(INDEX($AA$3:$AA$10000,MATCH(ROWS($AC$3:AC3354),$AC$3:$AC$10000,0)),"")</f>
        <v/>
      </c>
    </row>
    <row r="3355" spans="27:30">
      <c r="AA3355" s="117">
        <f>+'Ingredient List - Mother Tinctu'!D3356</f>
        <v>0</v>
      </c>
      <c r="AB3355" s="117">
        <f t="shared" si="55"/>
        <v>0</v>
      </c>
      <c r="AC3355" s="117" t="str">
        <f>IF(AB3355=1,COUNTIF($AB$3:AB3355,1),"")</f>
        <v/>
      </c>
      <c r="AD3355" s="117" t="str">
        <f>IFERROR(INDEX($AA$3:$AA$10000,MATCH(ROWS($AC$3:AC3355),$AC$3:$AC$10000,0)),"")</f>
        <v/>
      </c>
    </row>
    <row r="3356" spans="27:30">
      <c r="AA3356" s="117">
        <f>+'Ingredient List - Mother Tinctu'!D3357</f>
        <v>0</v>
      </c>
      <c r="AB3356" s="117">
        <f t="shared" si="55"/>
        <v>0</v>
      </c>
      <c r="AC3356" s="117" t="str">
        <f>IF(AB3356=1,COUNTIF($AB$3:AB3356,1),"")</f>
        <v/>
      </c>
      <c r="AD3356" s="117" t="str">
        <f>IFERROR(INDEX($AA$3:$AA$10000,MATCH(ROWS($AC$3:AC3356),$AC$3:$AC$10000,0)),"")</f>
        <v/>
      </c>
    </row>
    <row r="3357" spans="27:30">
      <c r="AA3357" s="117">
        <f>+'Ingredient List - Mother Tinctu'!D3358</f>
        <v>0</v>
      </c>
      <c r="AB3357" s="117">
        <f t="shared" si="55"/>
        <v>0</v>
      </c>
      <c r="AC3357" s="117" t="str">
        <f>IF(AB3357=1,COUNTIF($AB$3:AB3357,1),"")</f>
        <v/>
      </c>
      <c r="AD3357" s="117" t="str">
        <f>IFERROR(INDEX($AA$3:$AA$10000,MATCH(ROWS($AC$3:AC3357),$AC$3:$AC$10000,0)),"")</f>
        <v/>
      </c>
    </row>
    <row r="3358" spans="27:30">
      <c r="AA3358" s="117">
        <f>+'Ingredient List - Mother Tinctu'!D3359</f>
        <v>0</v>
      </c>
      <c r="AB3358" s="117">
        <f t="shared" si="55"/>
        <v>0</v>
      </c>
      <c r="AC3358" s="117" t="str">
        <f>IF(AB3358=1,COUNTIF($AB$3:AB3358,1),"")</f>
        <v/>
      </c>
      <c r="AD3358" s="117" t="str">
        <f>IFERROR(INDEX($AA$3:$AA$10000,MATCH(ROWS($AC$3:AC3358),$AC$3:$AC$10000,0)),"")</f>
        <v/>
      </c>
    </row>
    <row r="3359" spans="27:30">
      <c r="AA3359" s="117">
        <f>+'Ingredient List - Mother Tinctu'!D3360</f>
        <v>0</v>
      </c>
      <c r="AB3359" s="117">
        <f t="shared" si="55"/>
        <v>0</v>
      </c>
      <c r="AC3359" s="117" t="str">
        <f>IF(AB3359=1,COUNTIF($AB$3:AB3359,1),"")</f>
        <v/>
      </c>
      <c r="AD3359" s="117" t="str">
        <f>IFERROR(INDEX($AA$3:$AA$10000,MATCH(ROWS($AC$3:AC3359),$AC$3:$AC$10000,0)),"")</f>
        <v/>
      </c>
    </row>
    <row r="3360" spans="27:30">
      <c r="AA3360" s="117">
        <f>+'Ingredient List - Mother Tinctu'!D3361</f>
        <v>0</v>
      </c>
      <c r="AB3360" s="117">
        <f t="shared" si="55"/>
        <v>0</v>
      </c>
      <c r="AC3360" s="117" t="str">
        <f>IF(AB3360=1,COUNTIF($AB$3:AB3360,1),"")</f>
        <v/>
      </c>
      <c r="AD3360" s="117" t="str">
        <f>IFERROR(INDEX($AA$3:$AA$10000,MATCH(ROWS($AC$3:AC3360),$AC$3:$AC$10000,0)),"")</f>
        <v/>
      </c>
    </row>
    <row r="3361" spans="27:30">
      <c r="AA3361" s="117">
        <f>+'Ingredient List - Mother Tinctu'!D3362</f>
        <v>0</v>
      </c>
      <c r="AB3361" s="117">
        <f t="shared" si="55"/>
        <v>0</v>
      </c>
      <c r="AC3361" s="117" t="str">
        <f>IF(AB3361=1,COUNTIF($AB$3:AB3361,1),"")</f>
        <v/>
      </c>
      <c r="AD3361" s="117" t="str">
        <f>IFERROR(INDEX($AA$3:$AA$10000,MATCH(ROWS($AC$3:AC3361),$AC$3:$AC$10000,0)),"")</f>
        <v/>
      </c>
    </row>
    <row r="3362" spans="27:30">
      <c r="AA3362" s="117">
        <f>+'Ingredient List - Mother Tinctu'!D3363</f>
        <v>0</v>
      </c>
      <c r="AB3362" s="117">
        <f t="shared" si="55"/>
        <v>0</v>
      </c>
      <c r="AC3362" s="117" t="str">
        <f>IF(AB3362=1,COUNTIF($AB$3:AB3362,1),"")</f>
        <v/>
      </c>
      <c r="AD3362" s="117" t="str">
        <f>IFERROR(INDEX($AA$3:$AA$10000,MATCH(ROWS($AC$3:AC3362),$AC$3:$AC$10000,0)),"")</f>
        <v/>
      </c>
    </row>
    <row r="3363" spans="27:30">
      <c r="AA3363" s="117">
        <f>+'Ingredient List - Mother Tinctu'!D3364</f>
        <v>0</v>
      </c>
      <c r="AB3363" s="117">
        <f t="shared" si="55"/>
        <v>0</v>
      </c>
      <c r="AC3363" s="117" t="str">
        <f>IF(AB3363=1,COUNTIF($AB$3:AB3363,1),"")</f>
        <v/>
      </c>
      <c r="AD3363" s="117" t="str">
        <f>IFERROR(INDEX($AA$3:$AA$10000,MATCH(ROWS($AC$3:AC3363),$AC$3:$AC$10000,0)),"")</f>
        <v/>
      </c>
    </row>
    <row r="3364" spans="27:30">
      <c r="AA3364" s="117">
        <f>+'Ingredient List - Mother Tinctu'!D3365</f>
        <v>0</v>
      </c>
      <c r="AB3364" s="117">
        <f t="shared" si="55"/>
        <v>0</v>
      </c>
      <c r="AC3364" s="117" t="str">
        <f>IF(AB3364=1,COUNTIF($AB$3:AB3364,1),"")</f>
        <v/>
      </c>
      <c r="AD3364" s="117" t="str">
        <f>IFERROR(INDEX($AA$3:$AA$10000,MATCH(ROWS($AC$3:AC3364),$AC$3:$AC$10000,0)),"")</f>
        <v/>
      </c>
    </row>
    <row r="3365" spans="27:30">
      <c r="AA3365" s="117">
        <f>+'Ingredient List - Mother Tinctu'!D3366</f>
        <v>0</v>
      </c>
      <c r="AB3365" s="117">
        <f t="shared" si="55"/>
        <v>0</v>
      </c>
      <c r="AC3365" s="117" t="str">
        <f>IF(AB3365=1,COUNTIF($AB$3:AB3365,1),"")</f>
        <v/>
      </c>
      <c r="AD3365" s="117" t="str">
        <f>IFERROR(INDEX($AA$3:$AA$10000,MATCH(ROWS($AC$3:AC3365),$AC$3:$AC$10000,0)),"")</f>
        <v/>
      </c>
    </row>
    <row r="3366" spans="27:30">
      <c r="AA3366" s="117">
        <f>+'Ingredient List - Mother Tinctu'!D3367</f>
        <v>0</v>
      </c>
      <c r="AB3366" s="117">
        <f t="shared" si="55"/>
        <v>0</v>
      </c>
      <c r="AC3366" s="117" t="str">
        <f>IF(AB3366=1,COUNTIF($AB$3:AB3366,1),"")</f>
        <v/>
      </c>
      <c r="AD3366" s="117" t="str">
        <f>IFERROR(INDEX($AA$3:$AA$10000,MATCH(ROWS($AC$3:AC3366),$AC$3:$AC$10000,0)),"")</f>
        <v/>
      </c>
    </row>
    <row r="3367" spans="27:30">
      <c r="AA3367" s="117">
        <f>+'Ingredient List - Mother Tinctu'!D3368</f>
        <v>0</v>
      </c>
      <c r="AB3367" s="117">
        <f t="shared" si="55"/>
        <v>0</v>
      </c>
      <c r="AC3367" s="117" t="str">
        <f>IF(AB3367=1,COUNTIF($AB$3:AB3367,1),"")</f>
        <v/>
      </c>
      <c r="AD3367" s="117" t="str">
        <f>IFERROR(INDEX($AA$3:$AA$10000,MATCH(ROWS($AC$3:AC3367),$AC$3:$AC$10000,0)),"")</f>
        <v/>
      </c>
    </row>
    <row r="3368" spans="27:30">
      <c r="AA3368" s="117">
        <f>+'Ingredient List - Mother Tinctu'!D3369</f>
        <v>0</v>
      </c>
      <c r="AB3368" s="117">
        <f t="shared" si="55"/>
        <v>0</v>
      </c>
      <c r="AC3368" s="117" t="str">
        <f>IF(AB3368=1,COUNTIF($AB$3:AB3368,1),"")</f>
        <v/>
      </c>
      <c r="AD3368" s="117" t="str">
        <f>IFERROR(INDEX($AA$3:$AA$10000,MATCH(ROWS($AC$3:AC3368),$AC$3:$AC$10000,0)),"")</f>
        <v/>
      </c>
    </row>
    <row r="3369" spans="27:30">
      <c r="AA3369" s="117">
        <f>+'Ingredient List - Mother Tinctu'!D3370</f>
        <v>0</v>
      </c>
      <c r="AB3369" s="117">
        <f t="shared" si="55"/>
        <v>0</v>
      </c>
      <c r="AC3369" s="117" t="str">
        <f>IF(AB3369=1,COUNTIF($AB$3:AB3369,1),"")</f>
        <v/>
      </c>
      <c r="AD3369" s="117" t="str">
        <f>IFERROR(INDEX($AA$3:$AA$10000,MATCH(ROWS($AC$3:AC3369),$AC$3:$AC$10000,0)),"")</f>
        <v/>
      </c>
    </row>
    <row r="3370" spans="27:30">
      <c r="AA3370" s="117">
        <f>+'Ingredient List - Mother Tinctu'!D3371</f>
        <v>0</v>
      </c>
      <c r="AB3370" s="117">
        <f t="shared" si="55"/>
        <v>0</v>
      </c>
      <c r="AC3370" s="117" t="str">
        <f>IF(AB3370=1,COUNTIF($AB$3:AB3370,1),"")</f>
        <v/>
      </c>
      <c r="AD3370" s="117" t="str">
        <f>IFERROR(INDEX($AA$3:$AA$10000,MATCH(ROWS($AC$3:AC3370),$AC$3:$AC$10000,0)),"")</f>
        <v/>
      </c>
    </row>
    <row r="3371" spans="27:30">
      <c r="AA3371" s="117">
        <f>+'Ingredient List - Mother Tinctu'!D3372</f>
        <v>0</v>
      </c>
      <c r="AB3371" s="117">
        <f t="shared" si="55"/>
        <v>0</v>
      </c>
      <c r="AC3371" s="117" t="str">
        <f>IF(AB3371=1,COUNTIF($AB$3:AB3371,1),"")</f>
        <v/>
      </c>
      <c r="AD3371" s="117" t="str">
        <f>IFERROR(INDEX($AA$3:$AA$10000,MATCH(ROWS($AC$3:AC3371),$AC$3:$AC$10000,0)),"")</f>
        <v/>
      </c>
    </row>
    <row r="3372" spans="27:30">
      <c r="AA3372" s="117">
        <f>+'Ingredient List - Mother Tinctu'!D3373</f>
        <v>0</v>
      </c>
      <c r="AB3372" s="117">
        <f t="shared" si="55"/>
        <v>0</v>
      </c>
      <c r="AC3372" s="117" t="str">
        <f>IF(AB3372=1,COUNTIF($AB$3:AB3372,1),"")</f>
        <v/>
      </c>
      <c r="AD3372" s="117" t="str">
        <f>IFERROR(INDEX($AA$3:$AA$10000,MATCH(ROWS($AC$3:AC3372),$AC$3:$AC$10000,0)),"")</f>
        <v/>
      </c>
    </row>
    <row r="3373" spans="27:30">
      <c r="AA3373" s="117">
        <f>+'Ingredient List - Mother Tinctu'!D3374</f>
        <v>0</v>
      </c>
      <c r="AB3373" s="117">
        <f t="shared" si="55"/>
        <v>0</v>
      </c>
      <c r="AC3373" s="117" t="str">
        <f>IF(AB3373=1,COUNTIF($AB$3:AB3373,1),"")</f>
        <v/>
      </c>
      <c r="AD3373" s="117" t="str">
        <f>IFERROR(INDEX($AA$3:$AA$10000,MATCH(ROWS($AC$3:AC3373),$AC$3:$AC$10000,0)),"")</f>
        <v/>
      </c>
    </row>
    <row r="3374" spans="27:30">
      <c r="AA3374" s="117">
        <f>+'Ingredient List - Mother Tinctu'!D3375</f>
        <v>0</v>
      </c>
      <c r="AB3374" s="117">
        <f t="shared" si="55"/>
        <v>0</v>
      </c>
      <c r="AC3374" s="117" t="str">
        <f>IF(AB3374=1,COUNTIF($AB$3:AB3374,1),"")</f>
        <v/>
      </c>
      <c r="AD3374" s="117" t="str">
        <f>IFERROR(INDEX($AA$3:$AA$10000,MATCH(ROWS($AC$3:AC3374),$AC$3:$AC$10000,0)),"")</f>
        <v/>
      </c>
    </row>
    <row r="3375" spans="27:30">
      <c r="AA3375" s="117">
        <f>+'Ingredient List - Mother Tinctu'!D3376</f>
        <v>0</v>
      </c>
      <c r="AB3375" s="117">
        <f t="shared" si="55"/>
        <v>0</v>
      </c>
      <c r="AC3375" s="117" t="str">
        <f>IF(AB3375=1,COUNTIF($AB$3:AB3375,1),"")</f>
        <v/>
      </c>
      <c r="AD3375" s="117" t="str">
        <f>IFERROR(INDEX($AA$3:$AA$10000,MATCH(ROWS($AC$3:AC3375),$AC$3:$AC$10000,0)),"")</f>
        <v/>
      </c>
    </row>
    <row r="3376" spans="27:30">
      <c r="AA3376" s="117">
        <f>+'Ingredient List - Mother Tinctu'!D3377</f>
        <v>0</v>
      </c>
      <c r="AB3376" s="117">
        <f t="shared" si="55"/>
        <v>0</v>
      </c>
      <c r="AC3376" s="117" t="str">
        <f>IF(AB3376=1,COUNTIF($AB$3:AB3376,1),"")</f>
        <v/>
      </c>
      <c r="AD3376" s="117" t="str">
        <f>IFERROR(INDEX($AA$3:$AA$10000,MATCH(ROWS($AC$3:AC3376),$AC$3:$AC$10000,0)),"")</f>
        <v/>
      </c>
    </row>
    <row r="3377" spans="27:30">
      <c r="AA3377" s="117">
        <f>+'Ingredient List - Mother Tinctu'!D3378</f>
        <v>0</v>
      </c>
      <c r="AB3377" s="117">
        <f t="shared" si="55"/>
        <v>0</v>
      </c>
      <c r="AC3377" s="117" t="str">
        <f>IF(AB3377=1,COUNTIF($AB$3:AB3377,1),"")</f>
        <v/>
      </c>
      <c r="AD3377" s="117" t="str">
        <f>IFERROR(INDEX($AA$3:$AA$10000,MATCH(ROWS($AC$3:AC3377),$AC$3:$AC$10000,0)),"")</f>
        <v/>
      </c>
    </row>
    <row r="3378" spans="27:30">
      <c r="AA3378" s="117">
        <f>+'Ingredient List - Mother Tinctu'!D3379</f>
        <v>0</v>
      </c>
      <c r="AB3378" s="117">
        <f t="shared" si="55"/>
        <v>0</v>
      </c>
      <c r="AC3378" s="117" t="str">
        <f>IF(AB3378=1,COUNTIF($AB$3:AB3378,1),"")</f>
        <v/>
      </c>
      <c r="AD3378" s="117" t="str">
        <f>IFERROR(INDEX($AA$3:$AA$10000,MATCH(ROWS($AC$3:AC3378),$AC$3:$AC$10000,0)),"")</f>
        <v/>
      </c>
    </row>
    <row r="3379" spans="27:30">
      <c r="AA3379" s="117">
        <f>+'Ingredient List - Mother Tinctu'!D3380</f>
        <v>0</v>
      </c>
      <c r="AB3379" s="117">
        <f t="shared" si="55"/>
        <v>0</v>
      </c>
      <c r="AC3379" s="117" t="str">
        <f>IF(AB3379=1,COUNTIF($AB$3:AB3379,1),"")</f>
        <v/>
      </c>
      <c r="AD3379" s="117" t="str">
        <f>IFERROR(INDEX($AA$3:$AA$10000,MATCH(ROWS($AC$3:AC3379),$AC$3:$AC$10000,0)),"")</f>
        <v/>
      </c>
    </row>
    <row r="3380" spans="27:30">
      <c r="AA3380" s="117">
        <f>+'Ingredient List - Mother Tinctu'!D3381</f>
        <v>0</v>
      </c>
      <c r="AB3380" s="117">
        <f t="shared" si="55"/>
        <v>0</v>
      </c>
      <c r="AC3380" s="117" t="str">
        <f>IF(AB3380=1,COUNTIF($AB$3:AB3380,1),"")</f>
        <v/>
      </c>
      <c r="AD3380" s="117" t="str">
        <f>IFERROR(INDEX($AA$3:$AA$10000,MATCH(ROWS($AC$3:AC3380),$AC$3:$AC$10000,0)),"")</f>
        <v/>
      </c>
    </row>
    <row r="3381" spans="27:30">
      <c r="AA3381" s="117">
        <f>+'Ingredient List - Mother Tinctu'!D3382</f>
        <v>0</v>
      </c>
      <c r="AB3381" s="117">
        <f t="shared" si="55"/>
        <v>0</v>
      </c>
      <c r="AC3381" s="117" t="str">
        <f>IF(AB3381=1,COUNTIF($AB$3:AB3381,1),"")</f>
        <v/>
      </c>
      <c r="AD3381" s="117" t="str">
        <f>IFERROR(INDEX($AA$3:$AA$10000,MATCH(ROWS($AC$3:AC3381),$AC$3:$AC$10000,0)),"")</f>
        <v/>
      </c>
    </row>
    <row r="3382" spans="27:30">
      <c r="AA3382" s="117">
        <f>+'Ingredient List - Mother Tinctu'!D3383</f>
        <v>0</v>
      </c>
      <c r="AB3382" s="117">
        <f t="shared" si="55"/>
        <v>0</v>
      </c>
      <c r="AC3382" s="117" t="str">
        <f>IF(AB3382=1,COUNTIF($AB$3:AB3382,1),"")</f>
        <v/>
      </c>
      <c r="AD3382" s="117" t="str">
        <f>IFERROR(INDEX($AA$3:$AA$10000,MATCH(ROWS($AC$3:AC3382),$AC$3:$AC$10000,0)),"")</f>
        <v/>
      </c>
    </row>
    <row r="3383" spans="27:30">
      <c r="AA3383" s="117">
        <f>+'Ingredient List - Mother Tinctu'!D3384</f>
        <v>0</v>
      </c>
      <c r="AB3383" s="117">
        <f t="shared" si="55"/>
        <v>0</v>
      </c>
      <c r="AC3383" s="117" t="str">
        <f>IF(AB3383=1,COUNTIF($AB$3:AB3383,1),"")</f>
        <v/>
      </c>
      <c r="AD3383" s="117" t="str">
        <f>IFERROR(INDEX($AA$3:$AA$10000,MATCH(ROWS($AC$3:AC3383),$AC$3:$AC$10000,0)),"")</f>
        <v/>
      </c>
    </row>
    <row r="3384" spans="27:30">
      <c r="AA3384" s="117">
        <f>+'Ingredient List - Mother Tinctu'!D3385</f>
        <v>0</v>
      </c>
      <c r="AB3384" s="117">
        <f t="shared" si="55"/>
        <v>0</v>
      </c>
      <c r="AC3384" s="117" t="str">
        <f>IF(AB3384=1,COUNTIF($AB$3:AB3384,1),"")</f>
        <v/>
      </c>
      <c r="AD3384" s="117" t="str">
        <f>IFERROR(INDEX($AA$3:$AA$10000,MATCH(ROWS($AC$3:AC3384),$AC$3:$AC$10000,0)),"")</f>
        <v/>
      </c>
    </row>
    <row r="3385" spans="27:30">
      <c r="AA3385" s="117">
        <f>+'Ingredient List - Mother Tinctu'!D3386</f>
        <v>0</v>
      </c>
      <c r="AB3385" s="117">
        <f t="shared" si="55"/>
        <v>0</v>
      </c>
      <c r="AC3385" s="117" t="str">
        <f>IF(AB3385=1,COUNTIF($AB$3:AB3385,1),"")</f>
        <v/>
      </c>
      <c r="AD3385" s="117" t="str">
        <f>IFERROR(INDEX($AA$3:$AA$10000,MATCH(ROWS($AC$3:AC3385),$AC$3:$AC$10000,0)),"")</f>
        <v/>
      </c>
    </row>
    <row r="3386" spans="27:30">
      <c r="AA3386" s="117">
        <f>+'Ingredient List - Mother Tinctu'!D3387</f>
        <v>0</v>
      </c>
      <c r="AB3386" s="117">
        <f t="shared" si="55"/>
        <v>0</v>
      </c>
      <c r="AC3386" s="117" t="str">
        <f>IF(AB3386=1,COUNTIF($AB$3:AB3386,1),"")</f>
        <v/>
      </c>
      <c r="AD3386" s="117" t="str">
        <f>IFERROR(INDEX($AA$3:$AA$10000,MATCH(ROWS($AC$3:AC3386),$AC$3:$AC$10000,0)),"")</f>
        <v/>
      </c>
    </row>
    <row r="3387" spans="27:30">
      <c r="AA3387" s="117">
        <f>+'Ingredient List - Mother Tinctu'!D3388</f>
        <v>0</v>
      </c>
      <c r="AB3387" s="117">
        <f t="shared" si="55"/>
        <v>0</v>
      </c>
      <c r="AC3387" s="117" t="str">
        <f>IF(AB3387=1,COUNTIF($AB$3:AB3387,1),"")</f>
        <v/>
      </c>
      <c r="AD3387" s="117" t="str">
        <f>IFERROR(INDEX($AA$3:$AA$10000,MATCH(ROWS($AC$3:AC3387),$AC$3:$AC$10000,0)),"")</f>
        <v/>
      </c>
    </row>
    <row r="3388" spans="27:30">
      <c r="AA3388" s="117">
        <f>+'Ingredient List - Mother Tinctu'!D3389</f>
        <v>0</v>
      </c>
      <c r="AB3388" s="117">
        <f t="shared" si="55"/>
        <v>0</v>
      </c>
      <c r="AC3388" s="117" t="str">
        <f>IF(AB3388=1,COUNTIF($AB$3:AB3388,1),"")</f>
        <v/>
      </c>
      <c r="AD3388" s="117" t="str">
        <f>IFERROR(INDEX($AA$3:$AA$10000,MATCH(ROWS($AC$3:AC3388),$AC$3:$AC$10000,0)),"")</f>
        <v/>
      </c>
    </row>
    <row r="3389" spans="27:30">
      <c r="AA3389" s="117">
        <f>+'Ingredient List - Mother Tinctu'!D3390</f>
        <v>0</v>
      </c>
      <c r="AB3389" s="117">
        <f t="shared" si="55"/>
        <v>0</v>
      </c>
      <c r="AC3389" s="117" t="str">
        <f>IF(AB3389=1,COUNTIF($AB$3:AB3389,1),"")</f>
        <v/>
      </c>
      <c r="AD3389" s="117" t="str">
        <f>IFERROR(INDEX($AA$3:$AA$10000,MATCH(ROWS($AC$3:AC3389),$AC$3:$AC$10000,0)),"")</f>
        <v/>
      </c>
    </row>
    <row r="3390" spans="27:30">
      <c r="AA3390" s="117">
        <f>+'Ingredient List - Mother Tinctu'!D3391</f>
        <v>0</v>
      </c>
      <c r="AB3390" s="117">
        <f t="shared" si="55"/>
        <v>0</v>
      </c>
      <c r="AC3390" s="117" t="str">
        <f>IF(AB3390=1,COUNTIF($AB$3:AB3390,1),"")</f>
        <v/>
      </c>
      <c r="AD3390" s="117" t="str">
        <f>IFERROR(INDEX($AA$3:$AA$10000,MATCH(ROWS($AC$3:AC3390),$AC$3:$AC$10000,0)),"")</f>
        <v/>
      </c>
    </row>
    <row r="3391" spans="27:30">
      <c r="AA3391" s="117">
        <f>+'Ingredient List - Mother Tinctu'!D3392</f>
        <v>0</v>
      </c>
      <c r="AB3391" s="117">
        <f t="shared" si="55"/>
        <v>0</v>
      </c>
      <c r="AC3391" s="117" t="str">
        <f>IF(AB3391=1,COUNTIF($AB$3:AB3391,1),"")</f>
        <v/>
      </c>
      <c r="AD3391" s="117" t="str">
        <f>IFERROR(INDEX($AA$3:$AA$10000,MATCH(ROWS($AC$3:AC3391),$AC$3:$AC$10000,0)),"")</f>
        <v/>
      </c>
    </row>
    <row r="3392" spans="27:30">
      <c r="AA3392" s="117">
        <f>+'Ingredient List - Mother Tinctu'!D3393</f>
        <v>0</v>
      </c>
      <c r="AB3392" s="117">
        <f t="shared" si="55"/>
        <v>0</v>
      </c>
      <c r="AC3392" s="117" t="str">
        <f>IF(AB3392=1,COUNTIF($AB$3:AB3392,1),"")</f>
        <v/>
      </c>
      <c r="AD3392" s="117" t="str">
        <f>IFERROR(INDEX($AA$3:$AA$10000,MATCH(ROWS($AC$3:AC3392),$AC$3:$AC$10000,0)),"")</f>
        <v/>
      </c>
    </row>
    <row r="3393" spans="27:30">
      <c r="AA3393" s="117">
        <f>+'Ingredient List - Mother Tinctu'!D3394</f>
        <v>0</v>
      </c>
      <c r="AB3393" s="117">
        <f t="shared" si="55"/>
        <v>0</v>
      </c>
      <c r="AC3393" s="117" t="str">
        <f>IF(AB3393=1,COUNTIF($AB$3:AB3393,1),"")</f>
        <v/>
      </c>
      <c r="AD3393" s="117" t="str">
        <f>IFERROR(INDEX($AA$3:$AA$10000,MATCH(ROWS($AC$3:AC3393),$AC$3:$AC$10000,0)),"")</f>
        <v/>
      </c>
    </row>
    <row r="3394" spans="27:30">
      <c r="AA3394" s="117">
        <f>+'Ingredient List - Mother Tinctu'!D3395</f>
        <v>0</v>
      </c>
      <c r="AB3394" s="117">
        <f t="shared" si="55"/>
        <v>0</v>
      </c>
      <c r="AC3394" s="117" t="str">
        <f>IF(AB3394=1,COUNTIF($AB$3:AB3394,1),"")</f>
        <v/>
      </c>
      <c r="AD3394" s="117" t="str">
        <f>IFERROR(INDEX($AA$3:$AA$10000,MATCH(ROWS($AC$3:AC3394),$AC$3:$AC$10000,0)),"")</f>
        <v/>
      </c>
    </row>
    <row r="3395" spans="27:30">
      <c r="AA3395" s="117">
        <f>+'Ingredient List - Mother Tinctu'!D3396</f>
        <v>0</v>
      </c>
      <c r="AB3395" s="117">
        <f t="shared" si="55"/>
        <v>0</v>
      </c>
      <c r="AC3395" s="117" t="str">
        <f>IF(AB3395=1,COUNTIF($AB$3:AB3395,1),"")</f>
        <v/>
      </c>
      <c r="AD3395" s="117" t="str">
        <f>IFERROR(INDEX($AA$3:$AA$10000,MATCH(ROWS($AC$3:AC3395),$AC$3:$AC$10000,0)),"")</f>
        <v/>
      </c>
    </row>
    <row r="3396" spans="27:30">
      <c r="AA3396" s="117">
        <f>+'Ingredient List - Mother Tinctu'!D3397</f>
        <v>0</v>
      </c>
      <c r="AB3396" s="117">
        <f t="shared" ref="AB3396:AB3459" si="56">--ISNUMBER(IFERROR(SEARCH($D$3,AA3396,1),""))</f>
        <v>0</v>
      </c>
      <c r="AC3396" s="117" t="str">
        <f>IF(AB3396=1,COUNTIF($AB$3:AB3396,1),"")</f>
        <v/>
      </c>
      <c r="AD3396" s="117" t="str">
        <f>IFERROR(INDEX($AA$3:$AA$10000,MATCH(ROWS($AC$3:AC3396),$AC$3:$AC$10000,0)),"")</f>
        <v/>
      </c>
    </row>
    <row r="3397" spans="27:30">
      <c r="AA3397" s="117">
        <f>+'Ingredient List - Mother Tinctu'!D3398</f>
        <v>0</v>
      </c>
      <c r="AB3397" s="117">
        <f t="shared" si="56"/>
        <v>0</v>
      </c>
      <c r="AC3397" s="117" t="str">
        <f>IF(AB3397=1,COUNTIF($AB$3:AB3397,1),"")</f>
        <v/>
      </c>
      <c r="AD3397" s="117" t="str">
        <f>IFERROR(INDEX($AA$3:$AA$10000,MATCH(ROWS($AC$3:AC3397),$AC$3:$AC$10000,0)),"")</f>
        <v/>
      </c>
    </row>
    <row r="3398" spans="27:30">
      <c r="AA3398" s="117">
        <f>+'Ingredient List - Mother Tinctu'!D3399</f>
        <v>0</v>
      </c>
      <c r="AB3398" s="117">
        <f t="shared" si="56"/>
        <v>0</v>
      </c>
      <c r="AC3398" s="117" t="str">
        <f>IF(AB3398=1,COUNTIF($AB$3:AB3398,1),"")</f>
        <v/>
      </c>
      <c r="AD3398" s="117" t="str">
        <f>IFERROR(INDEX($AA$3:$AA$10000,MATCH(ROWS($AC$3:AC3398),$AC$3:$AC$10000,0)),"")</f>
        <v/>
      </c>
    </row>
    <row r="3399" spans="27:30">
      <c r="AA3399" s="117">
        <f>+'Ingredient List - Mother Tinctu'!D3400</f>
        <v>0</v>
      </c>
      <c r="AB3399" s="117">
        <f t="shared" si="56"/>
        <v>0</v>
      </c>
      <c r="AC3399" s="117" t="str">
        <f>IF(AB3399=1,COUNTIF($AB$3:AB3399,1),"")</f>
        <v/>
      </c>
      <c r="AD3399" s="117" t="str">
        <f>IFERROR(INDEX($AA$3:$AA$10000,MATCH(ROWS($AC$3:AC3399),$AC$3:$AC$10000,0)),"")</f>
        <v/>
      </c>
    </row>
    <row r="3400" spans="27:30">
      <c r="AA3400" s="117">
        <f>+'Ingredient List - Mother Tinctu'!D3401</f>
        <v>0</v>
      </c>
      <c r="AB3400" s="117">
        <f t="shared" si="56"/>
        <v>0</v>
      </c>
      <c r="AC3400" s="117" t="str">
        <f>IF(AB3400=1,COUNTIF($AB$3:AB3400,1),"")</f>
        <v/>
      </c>
      <c r="AD3400" s="117" t="str">
        <f>IFERROR(INDEX($AA$3:$AA$10000,MATCH(ROWS($AC$3:AC3400),$AC$3:$AC$10000,0)),"")</f>
        <v/>
      </c>
    </row>
    <row r="3401" spans="27:30">
      <c r="AA3401" s="117">
        <f>+'Ingredient List - Mother Tinctu'!D3402</f>
        <v>0</v>
      </c>
      <c r="AB3401" s="117">
        <f t="shared" si="56"/>
        <v>0</v>
      </c>
      <c r="AC3401" s="117" t="str">
        <f>IF(AB3401=1,COUNTIF($AB$3:AB3401,1),"")</f>
        <v/>
      </c>
      <c r="AD3401" s="117" t="str">
        <f>IFERROR(INDEX($AA$3:$AA$10000,MATCH(ROWS($AC$3:AC3401),$AC$3:$AC$10000,0)),"")</f>
        <v/>
      </c>
    </row>
    <row r="3402" spans="27:30">
      <c r="AA3402" s="117">
        <f>+'Ingredient List - Mother Tinctu'!D3403</f>
        <v>0</v>
      </c>
      <c r="AB3402" s="117">
        <f t="shared" si="56"/>
        <v>0</v>
      </c>
      <c r="AC3402" s="117" t="str">
        <f>IF(AB3402=1,COUNTIF($AB$3:AB3402,1),"")</f>
        <v/>
      </c>
      <c r="AD3402" s="117" t="str">
        <f>IFERROR(INDEX($AA$3:$AA$10000,MATCH(ROWS($AC$3:AC3402),$AC$3:$AC$10000,0)),"")</f>
        <v/>
      </c>
    </row>
    <row r="3403" spans="27:30">
      <c r="AA3403" s="117">
        <f>+'Ingredient List - Mother Tinctu'!D3404</f>
        <v>0</v>
      </c>
      <c r="AB3403" s="117">
        <f t="shared" si="56"/>
        <v>0</v>
      </c>
      <c r="AC3403" s="117" t="str">
        <f>IF(AB3403=1,COUNTIF($AB$3:AB3403,1),"")</f>
        <v/>
      </c>
      <c r="AD3403" s="117" t="str">
        <f>IFERROR(INDEX($AA$3:$AA$10000,MATCH(ROWS($AC$3:AC3403),$AC$3:$AC$10000,0)),"")</f>
        <v/>
      </c>
    </row>
    <row r="3404" spans="27:30">
      <c r="AA3404" s="117">
        <f>+'Ingredient List - Mother Tinctu'!D3405</f>
        <v>0</v>
      </c>
      <c r="AB3404" s="117">
        <f t="shared" si="56"/>
        <v>0</v>
      </c>
      <c r="AC3404" s="117" t="str">
        <f>IF(AB3404=1,COUNTIF($AB$3:AB3404,1),"")</f>
        <v/>
      </c>
      <c r="AD3404" s="117" t="str">
        <f>IFERROR(INDEX($AA$3:$AA$10000,MATCH(ROWS($AC$3:AC3404),$AC$3:$AC$10000,0)),"")</f>
        <v/>
      </c>
    </row>
    <row r="3405" spans="27:30">
      <c r="AA3405" s="117">
        <f>+'Ingredient List - Mother Tinctu'!D3406</f>
        <v>0</v>
      </c>
      <c r="AB3405" s="117">
        <f t="shared" si="56"/>
        <v>0</v>
      </c>
      <c r="AC3405" s="117" t="str">
        <f>IF(AB3405=1,COUNTIF($AB$3:AB3405,1),"")</f>
        <v/>
      </c>
      <c r="AD3405" s="117" t="str">
        <f>IFERROR(INDEX($AA$3:$AA$10000,MATCH(ROWS($AC$3:AC3405),$AC$3:$AC$10000,0)),"")</f>
        <v/>
      </c>
    </row>
    <row r="3406" spans="27:30">
      <c r="AA3406" s="117">
        <f>+'Ingredient List - Mother Tinctu'!D3407</f>
        <v>0</v>
      </c>
      <c r="AB3406" s="117">
        <f t="shared" si="56"/>
        <v>0</v>
      </c>
      <c r="AC3406" s="117" t="str">
        <f>IF(AB3406=1,COUNTIF($AB$3:AB3406,1),"")</f>
        <v/>
      </c>
      <c r="AD3406" s="117" t="str">
        <f>IFERROR(INDEX($AA$3:$AA$10000,MATCH(ROWS($AC$3:AC3406),$AC$3:$AC$10000,0)),"")</f>
        <v/>
      </c>
    </row>
    <row r="3407" spans="27:30">
      <c r="AA3407" s="117">
        <f>+'Ingredient List - Mother Tinctu'!D3408</f>
        <v>0</v>
      </c>
      <c r="AB3407" s="117">
        <f t="shared" si="56"/>
        <v>0</v>
      </c>
      <c r="AC3407" s="117" t="str">
        <f>IF(AB3407=1,COUNTIF($AB$3:AB3407,1),"")</f>
        <v/>
      </c>
      <c r="AD3407" s="117" t="str">
        <f>IFERROR(INDEX($AA$3:$AA$10000,MATCH(ROWS($AC$3:AC3407),$AC$3:$AC$10000,0)),"")</f>
        <v/>
      </c>
    </row>
    <row r="3408" spans="27:30">
      <c r="AA3408" s="117">
        <f>+'Ingredient List - Mother Tinctu'!D3409</f>
        <v>0</v>
      </c>
      <c r="AB3408" s="117">
        <f t="shared" si="56"/>
        <v>0</v>
      </c>
      <c r="AC3408" s="117" t="str">
        <f>IF(AB3408=1,COUNTIF($AB$3:AB3408,1),"")</f>
        <v/>
      </c>
      <c r="AD3408" s="117" t="str">
        <f>IFERROR(INDEX($AA$3:$AA$10000,MATCH(ROWS($AC$3:AC3408),$AC$3:$AC$10000,0)),"")</f>
        <v/>
      </c>
    </row>
    <row r="3409" spans="27:30">
      <c r="AA3409" s="117">
        <f>+'Ingredient List - Mother Tinctu'!D3410</f>
        <v>0</v>
      </c>
      <c r="AB3409" s="117">
        <f t="shared" si="56"/>
        <v>0</v>
      </c>
      <c r="AC3409" s="117" t="str">
        <f>IF(AB3409=1,COUNTIF($AB$3:AB3409,1),"")</f>
        <v/>
      </c>
      <c r="AD3409" s="117" t="str">
        <f>IFERROR(INDEX($AA$3:$AA$10000,MATCH(ROWS($AC$3:AC3409),$AC$3:$AC$10000,0)),"")</f>
        <v/>
      </c>
    </row>
    <row r="3410" spans="27:30">
      <c r="AA3410" s="117">
        <f>+'Ingredient List - Mother Tinctu'!D3411</f>
        <v>0</v>
      </c>
      <c r="AB3410" s="117">
        <f t="shared" si="56"/>
        <v>0</v>
      </c>
      <c r="AC3410" s="117" t="str">
        <f>IF(AB3410=1,COUNTIF($AB$3:AB3410,1),"")</f>
        <v/>
      </c>
      <c r="AD3410" s="117" t="str">
        <f>IFERROR(INDEX($AA$3:$AA$10000,MATCH(ROWS($AC$3:AC3410),$AC$3:$AC$10000,0)),"")</f>
        <v/>
      </c>
    </row>
    <row r="3411" spans="27:30">
      <c r="AA3411" s="117">
        <f>+'Ingredient List - Mother Tinctu'!D3412</f>
        <v>0</v>
      </c>
      <c r="AB3411" s="117">
        <f t="shared" si="56"/>
        <v>0</v>
      </c>
      <c r="AC3411" s="117" t="str">
        <f>IF(AB3411=1,COUNTIF($AB$3:AB3411,1),"")</f>
        <v/>
      </c>
      <c r="AD3411" s="117" t="str">
        <f>IFERROR(INDEX($AA$3:$AA$10000,MATCH(ROWS($AC$3:AC3411),$AC$3:$AC$10000,0)),"")</f>
        <v/>
      </c>
    </row>
    <row r="3412" spans="27:30">
      <c r="AA3412" s="117">
        <f>+'Ingredient List - Mother Tinctu'!D3413</f>
        <v>0</v>
      </c>
      <c r="AB3412" s="117">
        <f t="shared" si="56"/>
        <v>0</v>
      </c>
      <c r="AC3412" s="117" t="str">
        <f>IF(AB3412=1,COUNTIF($AB$3:AB3412,1),"")</f>
        <v/>
      </c>
      <c r="AD3412" s="117" t="str">
        <f>IFERROR(INDEX($AA$3:$AA$10000,MATCH(ROWS($AC$3:AC3412),$AC$3:$AC$10000,0)),"")</f>
        <v/>
      </c>
    </row>
    <row r="3413" spans="27:30">
      <c r="AA3413" s="117">
        <f>+'Ingredient List - Mother Tinctu'!D3414</f>
        <v>0</v>
      </c>
      <c r="AB3413" s="117">
        <f t="shared" si="56"/>
        <v>0</v>
      </c>
      <c r="AC3413" s="117" t="str">
        <f>IF(AB3413=1,COUNTIF($AB$3:AB3413,1),"")</f>
        <v/>
      </c>
      <c r="AD3413" s="117" t="str">
        <f>IFERROR(INDEX($AA$3:$AA$10000,MATCH(ROWS($AC$3:AC3413),$AC$3:$AC$10000,0)),"")</f>
        <v/>
      </c>
    </row>
    <row r="3414" spans="27:30">
      <c r="AA3414" s="117">
        <f>+'Ingredient List - Mother Tinctu'!D3415</f>
        <v>0</v>
      </c>
      <c r="AB3414" s="117">
        <f t="shared" si="56"/>
        <v>0</v>
      </c>
      <c r="AC3414" s="117" t="str">
        <f>IF(AB3414=1,COUNTIF($AB$3:AB3414,1),"")</f>
        <v/>
      </c>
      <c r="AD3414" s="117" t="str">
        <f>IFERROR(INDEX($AA$3:$AA$10000,MATCH(ROWS($AC$3:AC3414),$AC$3:$AC$10000,0)),"")</f>
        <v/>
      </c>
    </row>
    <row r="3415" spans="27:30">
      <c r="AA3415" s="117">
        <f>+'Ingredient List - Mother Tinctu'!D3416</f>
        <v>0</v>
      </c>
      <c r="AB3415" s="117">
        <f t="shared" si="56"/>
        <v>0</v>
      </c>
      <c r="AC3415" s="117" t="str">
        <f>IF(AB3415=1,COUNTIF($AB$3:AB3415,1),"")</f>
        <v/>
      </c>
      <c r="AD3415" s="117" t="str">
        <f>IFERROR(INDEX($AA$3:$AA$10000,MATCH(ROWS($AC$3:AC3415),$AC$3:$AC$10000,0)),"")</f>
        <v/>
      </c>
    </row>
    <row r="3416" spans="27:30">
      <c r="AA3416" s="117">
        <f>+'Ingredient List - Mother Tinctu'!D3417</f>
        <v>0</v>
      </c>
      <c r="AB3416" s="117">
        <f t="shared" si="56"/>
        <v>0</v>
      </c>
      <c r="AC3416" s="117" t="str">
        <f>IF(AB3416=1,COUNTIF($AB$3:AB3416,1),"")</f>
        <v/>
      </c>
      <c r="AD3416" s="117" t="str">
        <f>IFERROR(INDEX($AA$3:$AA$10000,MATCH(ROWS($AC$3:AC3416),$AC$3:$AC$10000,0)),"")</f>
        <v/>
      </c>
    </row>
    <row r="3417" spans="27:30">
      <c r="AA3417" s="117">
        <f>+'Ingredient List - Mother Tinctu'!D3418</f>
        <v>0</v>
      </c>
      <c r="AB3417" s="117">
        <f t="shared" si="56"/>
        <v>0</v>
      </c>
      <c r="AC3417" s="117" t="str">
        <f>IF(AB3417=1,COUNTIF($AB$3:AB3417,1),"")</f>
        <v/>
      </c>
      <c r="AD3417" s="117" t="str">
        <f>IFERROR(INDEX($AA$3:$AA$10000,MATCH(ROWS($AC$3:AC3417),$AC$3:$AC$10000,0)),"")</f>
        <v/>
      </c>
    </row>
    <row r="3418" spans="27:30">
      <c r="AA3418" s="117">
        <f>+'Ingredient List - Mother Tinctu'!D3419</f>
        <v>0</v>
      </c>
      <c r="AB3418" s="117">
        <f t="shared" si="56"/>
        <v>0</v>
      </c>
      <c r="AC3418" s="117" t="str">
        <f>IF(AB3418=1,COUNTIF($AB$3:AB3418,1),"")</f>
        <v/>
      </c>
      <c r="AD3418" s="117" t="str">
        <f>IFERROR(INDEX($AA$3:$AA$10000,MATCH(ROWS($AC$3:AC3418),$AC$3:$AC$10000,0)),"")</f>
        <v/>
      </c>
    </row>
    <row r="3419" spans="27:30">
      <c r="AA3419" s="117">
        <f>+'Ingredient List - Mother Tinctu'!D3420</f>
        <v>0</v>
      </c>
      <c r="AB3419" s="117">
        <f t="shared" si="56"/>
        <v>0</v>
      </c>
      <c r="AC3419" s="117" t="str">
        <f>IF(AB3419=1,COUNTIF($AB$3:AB3419,1),"")</f>
        <v/>
      </c>
      <c r="AD3419" s="117" t="str">
        <f>IFERROR(INDEX($AA$3:$AA$10000,MATCH(ROWS($AC$3:AC3419),$AC$3:$AC$10000,0)),"")</f>
        <v/>
      </c>
    </row>
    <row r="3420" spans="27:30">
      <c r="AA3420" s="117">
        <f>+'Ingredient List - Mother Tinctu'!D3421</f>
        <v>0</v>
      </c>
      <c r="AB3420" s="117">
        <f t="shared" si="56"/>
        <v>0</v>
      </c>
      <c r="AC3420" s="117" t="str">
        <f>IF(AB3420=1,COUNTIF($AB$3:AB3420,1),"")</f>
        <v/>
      </c>
      <c r="AD3420" s="117" t="str">
        <f>IFERROR(INDEX($AA$3:$AA$10000,MATCH(ROWS($AC$3:AC3420),$AC$3:$AC$10000,0)),"")</f>
        <v/>
      </c>
    </row>
    <row r="3421" spans="27:30">
      <c r="AA3421" s="117">
        <f>+'Ingredient List - Mother Tinctu'!D3422</f>
        <v>0</v>
      </c>
      <c r="AB3421" s="117">
        <f t="shared" si="56"/>
        <v>0</v>
      </c>
      <c r="AC3421" s="117" t="str">
        <f>IF(AB3421=1,COUNTIF($AB$3:AB3421,1),"")</f>
        <v/>
      </c>
      <c r="AD3421" s="117" t="str">
        <f>IFERROR(INDEX($AA$3:$AA$10000,MATCH(ROWS($AC$3:AC3421),$AC$3:$AC$10000,0)),"")</f>
        <v/>
      </c>
    </row>
    <row r="3422" spans="27:30">
      <c r="AA3422" s="117">
        <f>+'Ingredient List - Mother Tinctu'!D3423</f>
        <v>0</v>
      </c>
      <c r="AB3422" s="117">
        <f t="shared" si="56"/>
        <v>0</v>
      </c>
      <c r="AC3422" s="117" t="str">
        <f>IF(AB3422=1,COUNTIF($AB$3:AB3422,1),"")</f>
        <v/>
      </c>
      <c r="AD3422" s="117" t="str">
        <f>IFERROR(INDEX($AA$3:$AA$10000,MATCH(ROWS($AC$3:AC3422),$AC$3:$AC$10000,0)),"")</f>
        <v/>
      </c>
    </row>
    <row r="3423" spans="27:30">
      <c r="AA3423" s="117">
        <f>+'Ingredient List - Mother Tinctu'!D3424</f>
        <v>0</v>
      </c>
      <c r="AB3423" s="117">
        <f t="shared" si="56"/>
        <v>0</v>
      </c>
      <c r="AC3423" s="117" t="str">
        <f>IF(AB3423=1,COUNTIF($AB$3:AB3423,1),"")</f>
        <v/>
      </c>
      <c r="AD3423" s="117" t="str">
        <f>IFERROR(INDEX($AA$3:$AA$10000,MATCH(ROWS($AC$3:AC3423),$AC$3:$AC$10000,0)),"")</f>
        <v/>
      </c>
    </row>
    <row r="3424" spans="27:30">
      <c r="AA3424" s="117">
        <f>+'Ingredient List - Mother Tinctu'!D3425</f>
        <v>0</v>
      </c>
      <c r="AB3424" s="117">
        <f t="shared" si="56"/>
        <v>0</v>
      </c>
      <c r="AC3424" s="117" t="str">
        <f>IF(AB3424=1,COUNTIF($AB$3:AB3424,1),"")</f>
        <v/>
      </c>
      <c r="AD3424" s="117" t="str">
        <f>IFERROR(INDEX($AA$3:$AA$10000,MATCH(ROWS($AC$3:AC3424),$AC$3:$AC$10000,0)),"")</f>
        <v/>
      </c>
    </row>
    <row r="3425" spans="27:30">
      <c r="AA3425" s="117">
        <f>+'Ingredient List - Mother Tinctu'!D3426</f>
        <v>0</v>
      </c>
      <c r="AB3425" s="117">
        <f t="shared" si="56"/>
        <v>0</v>
      </c>
      <c r="AC3425" s="117" t="str">
        <f>IF(AB3425=1,COUNTIF($AB$3:AB3425,1),"")</f>
        <v/>
      </c>
      <c r="AD3425" s="117" t="str">
        <f>IFERROR(INDEX($AA$3:$AA$10000,MATCH(ROWS($AC$3:AC3425),$AC$3:$AC$10000,0)),"")</f>
        <v/>
      </c>
    </row>
    <row r="3426" spans="27:30">
      <c r="AA3426" s="117">
        <f>+'Ingredient List - Mother Tinctu'!D3427</f>
        <v>0</v>
      </c>
      <c r="AB3426" s="117">
        <f t="shared" si="56"/>
        <v>0</v>
      </c>
      <c r="AC3426" s="117" t="str">
        <f>IF(AB3426=1,COUNTIF($AB$3:AB3426,1),"")</f>
        <v/>
      </c>
      <c r="AD3426" s="117" t="str">
        <f>IFERROR(INDEX($AA$3:$AA$10000,MATCH(ROWS($AC$3:AC3426),$AC$3:$AC$10000,0)),"")</f>
        <v/>
      </c>
    </row>
    <row r="3427" spans="27:30">
      <c r="AA3427" s="117">
        <f>+'Ingredient List - Mother Tinctu'!D3428</f>
        <v>0</v>
      </c>
      <c r="AB3427" s="117">
        <f t="shared" si="56"/>
        <v>0</v>
      </c>
      <c r="AC3427" s="117" t="str">
        <f>IF(AB3427=1,COUNTIF($AB$3:AB3427,1),"")</f>
        <v/>
      </c>
      <c r="AD3427" s="117" t="str">
        <f>IFERROR(INDEX($AA$3:$AA$10000,MATCH(ROWS($AC$3:AC3427),$AC$3:$AC$10000,0)),"")</f>
        <v/>
      </c>
    </row>
    <row r="3428" spans="27:30">
      <c r="AA3428" s="117">
        <f>+'Ingredient List - Mother Tinctu'!D3429</f>
        <v>0</v>
      </c>
      <c r="AB3428" s="117">
        <f t="shared" si="56"/>
        <v>0</v>
      </c>
      <c r="AC3428" s="117" t="str">
        <f>IF(AB3428=1,COUNTIF($AB$3:AB3428,1),"")</f>
        <v/>
      </c>
      <c r="AD3428" s="117" t="str">
        <f>IFERROR(INDEX($AA$3:$AA$10000,MATCH(ROWS($AC$3:AC3428),$AC$3:$AC$10000,0)),"")</f>
        <v/>
      </c>
    </row>
    <row r="3429" spans="27:30">
      <c r="AA3429" s="117">
        <f>+'Ingredient List - Mother Tinctu'!D3430</f>
        <v>0</v>
      </c>
      <c r="AB3429" s="117">
        <f t="shared" si="56"/>
        <v>0</v>
      </c>
      <c r="AC3429" s="117" t="str">
        <f>IF(AB3429=1,COUNTIF($AB$3:AB3429,1),"")</f>
        <v/>
      </c>
      <c r="AD3429" s="117" t="str">
        <f>IFERROR(INDEX($AA$3:$AA$10000,MATCH(ROWS($AC$3:AC3429),$AC$3:$AC$10000,0)),"")</f>
        <v/>
      </c>
    </row>
    <row r="3430" spans="27:30">
      <c r="AA3430" s="117">
        <f>+'Ingredient List - Mother Tinctu'!D3431</f>
        <v>0</v>
      </c>
      <c r="AB3430" s="117">
        <f t="shared" si="56"/>
        <v>0</v>
      </c>
      <c r="AC3430" s="117" t="str">
        <f>IF(AB3430=1,COUNTIF($AB$3:AB3430,1),"")</f>
        <v/>
      </c>
      <c r="AD3430" s="117" t="str">
        <f>IFERROR(INDEX($AA$3:$AA$10000,MATCH(ROWS($AC$3:AC3430),$AC$3:$AC$10000,0)),"")</f>
        <v/>
      </c>
    </row>
    <row r="3431" spans="27:30">
      <c r="AA3431" s="117">
        <f>+'Ingredient List - Mother Tinctu'!D3432</f>
        <v>0</v>
      </c>
      <c r="AB3431" s="117">
        <f t="shared" si="56"/>
        <v>0</v>
      </c>
      <c r="AC3431" s="117" t="str">
        <f>IF(AB3431=1,COUNTIF($AB$3:AB3431,1),"")</f>
        <v/>
      </c>
      <c r="AD3431" s="117" t="str">
        <f>IFERROR(INDEX($AA$3:$AA$10000,MATCH(ROWS($AC$3:AC3431),$AC$3:$AC$10000,0)),"")</f>
        <v/>
      </c>
    </row>
    <row r="3432" spans="27:30">
      <c r="AA3432" s="117">
        <f>+'Ingredient List - Mother Tinctu'!D3433</f>
        <v>0</v>
      </c>
      <c r="AB3432" s="117">
        <f t="shared" si="56"/>
        <v>0</v>
      </c>
      <c r="AC3432" s="117" t="str">
        <f>IF(AB3432=1,COUNTIF($AB$3:AB3432,1),"")</f>
        <v/>
      </c>
      <c r="AD3432" s="117" t="str">
        <f>IFERROR(INDEX($AA$3:$AA$10000,MATCH(ROWS($AC$3:AC3432),$AC$3:$AC$10000,0)),"")</f>
        <v/>
      </c>
    </row>
    <row r="3433" spans="27:30">
      <c r="AA3433" s="117">
        <f>+'Ingredient List - Mother Tinctu'!D3434</f>
        <v>0</v>
      </c>
      <c r="AB3433" s="117">
        <f t="shared" si="56"/>
        <v>0</v>
      </c>
      <c r="AC3433" s="117" t="str">
        <f>IF(AB3433=1,COUNTIF($AB$3:AB3433,1),"")</f>
        <v/>
      </c>
      <c r="AD3433" s="117" t="str">
        <f>IFERROR(INDEX($AA$3:$AA$10000,MATCH(ROWS($AC$3:AC3433),$AC$3:$AC$10000,0)),"")</f>
        <v/>
      </c>
    </row>
    <row r="3434" spans="27:30">
      <c r="AA3434" s="117">
        <f>+'Ingredient List - Mother Tinctu'!D3435</f>
        <v>0</v>
      </c>
      <c r="AB3434" s="117">
        <f t="shared" si="56"/>
        <v>0</v>
      </c>
      <c r="AC3434" s="117" t="str">
        <f>IF(AB3434=1,COUNTIF($AB$3:AB3434,1),"")</f>
        <v/>
      </c>
      <c r="AD3434" s="117" t="str">
        <f>IFERROR(INDEX($AA$3:$AA$10000,MATCH(ROWS($AC$3:AC3434),$AC$3:$AC$10000,0)),"")</f>
        <v/>
      </c>
    </row>
    <row r="3435" spans="27:30">
      <c r="AA3435" s="117">
        <f>+'Ingredient List - Mother Tinctu'!D3436</f>
        <v>0</v>
      </c>
      <c r="AB3435" s="117">
        <f t="shared" si="56"/>
        <v>0</v>
      </c>
      <c r="AC3435" s="117" t="str">
        <f>IF(AB3435=1,COUNTIF($AB$3:AB3435,1),"")</f>
        <v/>
      </c>
      <c r="AD3435" s="117" t="str">
        <f>IFERROR(INDEX($AA$3:$AA$10000,MATCH(ROWS($AC$3:AC3435),$AC$3:$AC$10000,0)),"")</f>
        <v/>
      </c>
    </row>
    <row r="3436" spans="27:30">
      <c r="AA3436" s="117">
        <f>+'Ingredient List - Mother Tinctu'!D3437</f>
        <v>0</v>
      </c>
      <c r="AB3436" s="117">
        <f t="shared" si="56"/>
        <v>0</v>
      </c>
      <c r="AC3436" s="117" t="str">
        <f>IF(AB3436=1,COUNTIF($AB$3:AB3436,1),"")</f>
        <v/>
      </c>
      <c r="AD3436" s="117" t="str">
        <f>IFERROR(INDEX($AA$3:$AA$10000,MATCH(ROWS($AC$3:AC3436),$AC$3:$AC$10000,0)),"")</f>
        <v/>
      </c>
    </row>
    <row r="3437" spans="27:30">
      <c r="AA3437" s="117">
        <f>+'Ingredient List - Mother Tinctu'!D3438</f>
        <v>0</v>
      </c>
      <c r="AB3437" s="117">
        <f t="shared" si="56"/>
        <v>0</v>
      </c>
      <c r="AC3437" s="117" t="str">
        <f>IF(AB3437=1,COUNTIF($AB$3:AB3437,1),"")</f>
        <v/>
      </c>
      <c r="AD3437" s="117" t="str">
        <f>IFERROR(INDEX($AA$3:$AA$10000,MATCH(ROWS($AC$3:AC3437),$AC$3:$AC$10000,0)),"")</f>
        <v/>
      </c>
    </row>
    <row r="3438" spans="27:30">
      <c r="AA3438" s="117">
        <f>+'Ingredient List - Mother Tinctu'!D3439</f>
        <v>0</v>
      </c>
      <c r="AB3438" s="117">
        <f t="shared" si="56"/>
        <v>0</v>
      </c>
      <c r="AC3438" s="117" t="str">
        <f>IF(AB3438=1,COUNTIF($AB$3:AB3438,1),"")</f>
        <v/>
      </c>
      <c r="AD3438" s="117" t="str">
        <f>IFERROR(INDEX($AA$3:$AA$10000,MATCH(ROWS($AC$3:AC3438),$AC$3:$AC$10000,0)),"")</f>
        <v/>
      </c>
    </row>
    <row r="3439" spans="27:30">
      <c r="AA3439" s="117">
        <f>+'Ingredient List - Mother Tinctu'!D3440</f>
        <v>0</v>
      </c>
      <c r="AB3439" s="117">
        <f t="shared" si="56"/>
        <v>0</v>
      </c>
      <c r="AC3439" s="117" t="str">
        <f>IF(AB3439=1,COUNTIF($AB$3:AB3439,1),"")</f>
        <v/>
      </c>
      <c r="AD3439" s="117" t="str">
        <f>IFERROR(INDEX($AA$3:$AA$10000,MATCH(ROWS($AC$3:AC3439),$AC$3:$AC$10000,0)),"")</f>
        <v/>
      </c>
    </row>
    <row r="3440" spans="27:30">
      <c r="AA3440" s="117">
        <f>+'Ingredient List - Mother Tinctu'!D3441</f>
        <v>0</v>
      </c>
      <c r="AB3440" s="117">
        <f t="shared" si="56"/>
        <v>0</v>
      </c>
      <c r="AC3440" s="117" t="str">
        <f>IF(AB3440=1,COUNTIF($AB$3:AB3440,1),"")</f>
        <v/>
      </c>
      <c r="AD3440" s="117" t="str">
        <f>IFERROR(INDEX($AA$3:$AA$10000,MATCH(ROWS($AC$3:AC3440),$AC$3:$AC$10000,0)),"")</f>
        <v/>
      </c>
    </row>
    <row r="3441" spans="27:30">
      <c r="AA3441" s="117">
        <f>+'Ingredient List - Mother Tinctu'!D3442</f>
        <v>0</v>
      </c>
      <c r="AB3441" s="117">
        <f t="shared" si="56"/>
        <v>0</v>
      </c>
      <c r="AC3441" s="117" t="str">
        <f>IF(AB3441=1,COUNTIF($AB$3:AB3441,1),"")</f>
        <v/>
      </c>
      <c r="AD3441" s="117" t="str">
        <f>IFERROR(INDEX($AA$3:$AA$10000,MATCH(ROWS($AC$3:AC3441),$AC$3:$AC$10000,0)),"")</f>
        <v/>
      </c>
    </row>
    <row r="3442" spans="27:30">
      <c r="AA3442" s="117">
        <f>+'Ingredient List - Mother Tinctu'!D3443</f>
        <v>0</v>
      </c>
      <c r="AB3442" s="117">
        <f t="shared" si="56"/>
        <v>0</v>
      </c>
      <c r="AC3442" s="117" t="str">
        <f>IF(AB3442=1,COUNTIF($AB$3:AB3442,1),"")</f>
        <v/>
      </c>
      <c r="AD3442" s="117" t="str">
        <f>IFERROR(INDEX($AA$3:$AA$10000,MATCH(ROWS($AC$3:AC3442),$AC$3:$AC$10000,0)),"")</f>
        <v/>
      </c>
    </row>
    <row r="3443" spans="27:30">
      <c r="AA3443" s="117">
        <f>+'Ingredient List - Mother Tinctu'!D3444</f>
        <v>0</v>
      </c>
      <c r="AB3443" s="117">
        <f t="shared" si="56"/>
        <v>0</v>
      </c>
      <c r="AC3443" s="117" t="str">
        <f>IF(AB3443=1,COUNTIF($AB$3:AB3443,1),"")</f>
        <v/>
      </c>
      <c r="AD3443" s="117" t="str">
        <f>IFERROR(INDEX($AA$3:$AA$10000,MATCH(ROWS($AC$3:AC3443),$AC$3:$AC$10000,0)),"")</f>
        <v/>
      </c>
    </row>
    <row r="3444" spans="27:30">
      <c r="AA3444" s="117">
        <f>+'Ingredient List - Mother Tinctu'!D3445</f>
        <v>0</v>
      </c>
      <c r="AB3444" s="117">
        <f t="shared" si="56"/>
        <v>0</v>
      </c>
      <c r="AC3444" s="117" t="str">
        <f>IF(AB3444=1,COUNTIF($AB$3:AB3444,1),"")</f>
        <v/>
      </c>
      <c r="AD3444" s="117" t="str">
        <f>IFERROR(INDEX($AA$3:$AA$10000,MATCH(ROWS($AC$3:AC3444),$AC$3:$AC$10000,0)),"")</f>
        <v/>
      </c>
    </row>
    <row r="3445" spans="27:30">
      <c r="AA3445" s="117">
        <f>+'Ingredient List - Mother Tinctu'!D3446</f>
        <v>0</v>
      </c>
      <c r="AB3445" s="117">
        <f t="shared" si="56"/>
        <v>0</v>
      </c>
      <c r="AC3445" s="117" t="str">
        <f>IF(AB3445=1,COUNTIF($AB$3:AB3445,1),"")</f>
        <v/>
      </c>
      <c r="AD3445" s="117" t="str">
        <f>IFERROR(INDEX($AA$3:$AA$10000,MATCH(ROWS($AC$3:AC3445),$AC$3:$AC$10000,0)),"")</f>
        <v/>
      </c>
    </row>
    <row r="3446" spans="27:30">
      <c r="AA3446" s="117">
        <f>+'Ingredient List - Mother Tinctu'!D3447</f>
        <v>0</v>
      </c>
      <c r="AB3446" s="117">
        <f t="shared" si="56"/>
        <v>0</v>
      </c>
      <c r="AC3446" s="117" t="str">
        <f>IF(AB3446=1,COUNTIF($AB$3:AB3446,1),"")</f>
        <v/>
      </c>
      <c r="AD3446" s="117" t="str">
        <f>IFERROR(INDEX($AA$3:$AA$10000,MATCH(ROWS($AC$3:AC3446),$AC$3:$AC$10000,0)),"")</f>
        <v/>
      </c>
    </row>
    <row r="3447" spans="27:30">
      <c r="AA3447" s="117">
        <f>+'Ingredient List - Mother Tinctu'!D3448</f>
        <v>0</v>
      </c>
      <c r="AB3447" s="117">
        <f t="shared" si="56"/>
        <v>0</v>
      </c>
      <c r="AC3447" s="117" t="str">
        <f>IF(AB3447=1,COUNTIF($AB$3:AB3447,1),"")</f>
        <v/>
      </c>
      <c r="AD3447" s="117" t="str">
        <f>IFERROR(INDEX($AA$3:$AA$10000,MATCH(ROWS($AC$3:AC3447),$AC$3:$AC$10000,0)),"")</f>
        <v/>
      </c>
    </row>
    <row r="3448" spans="27:30">
      <c r="AA3448" s="117">
        <f>+'Ingredient List - Mother Tinctu'!D3449</f>
        <v>0</v>
      </c>
      <c r="AB3448" s="117">
        <f t="shared" si="56"/>
        <v>0</v>
      </c>
      <c r="AC3448" s="117" t="str">
        <f>IF(AB3448=1,COUNTIF($AB$3:AB3448,1),"")</f>
        <v/>
      </c>
      <c r="AD3448" s="117" t="str">
        <f>IFERROR(INDEX($AA$3:$AA$10000,MATCH(ROWS($AC$3:AC3448),$AC$3:$AC$10000,0)),"")</f>
        <v/>
      </c>
    </row>
    <row r="3449" spans="27:30">
      <c r="AA3449" s="117">
        <f>+'Ingredient List - Mother Tinctu'!D3450</f>
        <v>0</v>
      </c>
      <c r="AB3449" s="117">
        <f t="shared" si="56"/>
        <v>0</v>
      </c>
      <c r="AC3449" s="117" t="str">
        <f>IF(AB3449=1,COUNTIF($AB$3:AB3449,1),"")</f>
        <v/>
      </c>
      <c r="AD3449" s="117" t="str">
        <f>IFERROR(INDEX($AA$3:$AA$10000,MATCH(ROWS($AC$3:AC3449),$AC$3:$AC$10000,0)),"")</f>
        <v/>
      </c>
    </row>
    <row r="3450" spans="27:30">
      <c r="AA3450" s="117">
        <f>+'Ingredient List - Mother Tinctu'!D3451</f>
        <v>0</v>
      </c>
      <c r="AB3450" s="117">
        <f t="shared" si="56"/>
        <v>0</v>
      </c>
      <c r="AC3450" s="117" t="str">
        <f>IF(AB3450=1,COUNTIF($AB$3:AB3450,1),"")</f>
        <v/>
      </c>
      <c r="AD3450" s="117" t="str">
        <f>IFERROR(INDEX($AA$3:$AA$10000,MATCH(ROWS($AC$3:AC3450),$AC$3:$AC$10000,0)),"")</f>
        <v/>
      </c>
    </row>
    <row r="3451" spans="27:30">
      <c r="AA3451" s="117">
        <f>+'Ingredient List - Mother Tinctu'!D3452</f>
        <v>0</v>
      </c>
      <c r="AB3451" s="117">
        <f t="shared" si="56"/>
        <v>0</v>
      </c>
      <c r="AC3451" s="117" t="str">
        <f>IF(AB3451=1,COUNTIF($AB$3:AB3451,1),"")</f>
        <v/>
      </c>
      <c r="AD3451" s="117" t="str">
        <f>IFERROR(INDEX($AA$3:$AA$10000,MATCH(ROWS($AC$3:AC3451),$AC$3:$AC$10000,0)),"")</f>
        <v/>
      </c>
    </row>
    <row r="3452" spans="27:30">
      <c r="AA3452" s="117">
        <f>+'Ingredient List - Mother Tinctu'!D3453</f>
        <v>0</v>
      </c>
      <c r="AB3452" s="117">
        <f t="shared" si="56"/>
        <v>0</v>
      </c>
      <c r="AC3452" s="117" t="str">
        <f>IF(AB3452=1,COUNTIF($AB$3:AB3452,1),"")</f>
        <v/>
      </c>
      <c r="AD3452" s="117" t="str">
        <f>IFERROR(INDEX($AA$3:$AA$10000,MATCH(ROWS($AC$3:AC3452),$AC$3:$AC$10000,0)),"")</f>
        <v/>
      </c>
    </row>
    <row r="3453" spans="27:30">
      <c r="AA3453" s="117">
        <f>+'Ingredient List - Mother Tinctu'!D3454</f>
        <v>0</v>
      </c>
      <c r="AB3453" s="117">
        <f t="shared" si="56"/>
        <v>0</v>
      </c>
      <c r="AC3453" s="117" t="str">
        <f>IF(AB3453=1,COUNTIF($AB$3:AB3453,1),"")</f>
        <v/>
      </c>
      <c r="AD3453" s="117" t="str">
        <f>IFERROR(INDEX($AA$3:$AA$10000,MATCH(ROWS($AC$3:AC3453),$AC$3:$AC$10000,0)),"")</f>
        <v/>
      </c>
    </row>
    <row r="3454" spans="27:30">
      <c r="AA3454" s="117">
        <f>+'Ingredient List - Mother Tinctu'!D3455</f>
        <v>0</v>
      </c>
      <c r="AB3454" s="117">
        <f t="shared" si="56"/>
        <v>0</v>
      </c>
      <c r="AC3454" s="117" t="str">
        <f>IF(AB3454=1,COUNTIF($AB$3:AB3454,1),"")</f>
        <v/>
      </c>
      <c r="AD3454" s="117" t="str">
        <f>IFERROR(INDEX($AA$3:$AA$10000,MATCH(ROWS($AC$3:AC3454),$AC$3:$AC$10000,0)),"")</f>
        <v/>
      </c>
    </row>
    <row r="3455" spans="27:30">
      <c r="AA3455" s="117">
        <f>+'Ingredient List - Mother Tinctu'!D3456</f>
        <v>0</v>
      </c>
      <c r="AB3455" s="117">
        <f t="shared" si="56"/>
        <v>0</v>
      </c>
      <c r="AC3455" s="117" t="str">
        <f>IF(AB3455=1,COUNTIF($AB$3:AB3455,1),"")</f>
        <v/>
      </c>
      <c r="AD3455" s="117" t="str">
        <f>IFERROR(INDEX($AA$3:$AA$10000,MATCH(ROWS($AC$3:AC3455),$AC$3:$AC$10000,0)),"")</f>
        <v/>
      </c>
    </row>
    <row r="3456" spans="27:30">
      <c r="AA3456" s="117">
        <f>+'Ingredient List - Mother Tinctu'!D3457</f>
        <v>0</v>
      </c>
      <c r="AB3456" s="117">
        <f t="shared" si="56"/>
        <v>0</v>
      </c>
      <c r="AC3456" s="117" t="str">
        <f>IF(AB3456=1,COUNTIF($AB$3:AB3456,1),"")</f>
        <v/>
      </c>
      <c r="AD3456" s="117" t="str">
        <f>IFERROR(INDEX($AA$3:$AA$10000,MATCH(ROWS($AC$3:AC3456),$AC$3:$AC$10000,0)),"")</f>
        <v/>
      </c>
    </row>
    <row r="3457" spans="27:30">
      <c r="AA3457" s="117">
        <f>+'Ingredient List - Mother Tinctu'!D3458</f>
        <v>0</v>
      </c>
      <c r="AB3457" s="117">
        <f t="shared" si="56"/>
        <v>0</v>
      </c>
      <c r="AC3457" s="117" t="str">
        <f>IF(AB3457=1,COUNTIF($AB$3:AB3457,1),"")</f>
        <v/>
      </c>
      <c r="AD3457" s="117" t="str">
        <f>IFERROR(INDEX($AA$3:$AA$10000,MATCH(ROWS($AC$3:AC3457),$AC$3:$AC$10000,0)),"")</f>
        <v/>
      </c>
    </row>
    <row r="3458" spans="27:30">
      <c r="AA3458" s="117">
        <f>+'Ingredient List - Mother Tinctu'!D3459</f>
        <v>0</v>
      </c>
      <c r="AB3458" s="117">
        <f t="shared" si="56"/>
        <v>0</v>
      </c>
      <c r="AC3458" s="117" t="str">
        <f>IF(AB3458=1,COUNTIF($AB$3:AB3458,1),"")</f>
        <v/>
      </c>
      <c r="AD3458" s="117" t="str">
        <f>IFERROR(INDEX($AA$3:$AA$10000,MATCH(ROWS($AC$3:AC3458),$AC$3:$AC$10000,0)),"")</f>
        <v/>
      </c>
    </row>
    <row r="3459" spans="27:30">
      <c r="AA3459" s="117">
        <f>+'Ingredient List - Mother Tinctu'!D3460</f>
        <v>0</v>
      </c>
      <c r="AB3459" s="117">
        <f t="shared" si="56"/>
        <v>0</v>
      </c>
      <c r="AC3459" s="117" t="str">
        <f>IF(AB3459=1,COUNTIF($AB$3:AB3459,1),"")</f>
        <v/>
      </c>
      <c r="AD3459" s="117" t="str">
        <f>IFERROR(INDEX($AA$3:$AA$10000,MATCH(ROWS($AC$3:AC3459),$AC$3:$AC$10000,0)),"")</f>
        <v/>
      </c>
    </row>
    <row r="3460" spans="27:30">
      <c r="AA3460" s="117">
        <f>+'Ingredient List - Mother Tinctu'!D3461</f>
        <v>0</v>
      </c>
      <c r="AB3460" s="117">
        <f t="shared" ref="AB3460:AB3523" si="57">--ISNUMBER(IFERROR(SEARCH($D$3,AA3460,1),""))</f>
        <v>0</v>
      </c>
      <c r="AC3460" s="117" t="str">
        <f>IF(AB3460=1,COUNTIF($AB$3:AB3460,1),"")</f>
        <v/>
      </c>
      <c r="AD3460" s="117" t="str">
        <f>IFERROR(INDEX($AA$3:$AA$10000,MATCH(ROWS($AC$3:AC3460),$AC$3:$AC$10000,0)),"")</f>
        <v/>
      </c>
    </row>
    <row r="3461" spans="27:30">
      <c r="AA3461" s="117">
        <f>+'Ingredient List - Mother Tinctu'!D3462</f>
        <v>0</v>
      </c>
      <c r="AB3461" s="117">
        <f t="shared" si="57"/>
        <v>0</v>
      </c>
      <c r="AC3461" s="117" t="str">
        <f>IF(AB3461=1,COUNTIF($AB$3:AB3461,1),"")</f>
        <v/>
      </c>
      <c r="AD3461" s="117" t="str">
        <f>IFERROR(INDEX($AA$3:$AA$10000,MATCH(ROWS($AC$3:AC3461),$AC$3:$AC$10000,0)),"")</f>
        <v/>
      </c>
    </row>
    <row r="3462" spans="27:30">
      <c r="AA3462" s="117">
        <f>+'Ingredient List - Mother Tinctu'!D3463</f>
        <v>0</v>
      </c>
      <c r="AB3462" s="117">
        <f t="shared" si="57"/>
        <v>0</v>
      </c>
      <c r="AC3462" s="117" t="str">
        <f>IF(AB3462=1,COUNTIF($AB$3:AB3462,1),"")</f>
        <v/>
      </c>
      <c r="AD3462" s="117" t="str">
        <f>IFERROR(INDEX($AA$3:$AA$10000,MATCH(ROWS($AC$3:AC3462),$AC$3:$AC$10000,0)),"")</f>
        <v/>
      </c>
    </row>
    <row r="3463" spans="27:30">
      <c r="AA3463" s="117">
        <f>+'Ingredient List - Mother Tinctu'!D3464</f>
        <v>0</v>
      </c>
      <c r="AB3463" s="117">
        <f t="shared" si="57"/>
        <v>0</v>
      </c>
      <c r="AC3463" s="117" t="str">
        <f>IF(AB3463=1,COUNTIF($AB$3:AB3463,1),"")</f>
        <v/>
      </c>
      <c r="AD3463" s="117" t="str">
        <f>IFERROR(INDEX($AA$3:$AA$10000,MATCH(ROWS($AC$3:AC3463),$AC$3:$AC$10000,0)),"")</f>
        <v/>
      </c>
    </row>
    <row r="3464" spans="27:30">
      <c r="AA3464" s="117">
        <f>+'Ingredient List - Mother Tinctu'!D3465</f>
        <v>0</v>
      </c>
      <c r="AB3464" s="117">
        <f t="shared" si="57"/>
        <v>0</v>
      </c>
      <c r="AC3464" s="117" t="str">
        <f>IF(AB3464=1,COUNTIF($AB$3:AB3464,1),"")</f>
        <v/>
      </c>
      <c r="AD3464" s="117" t="str">
        <f>IFERROR(INDEX($AA$3:$AA$10000,MATCH(ROWS($AC$3:AC3464),$AC$3:$AC$10000,0)),"")</f>
        <v/>
      </c>
    </row>
    <row r="3465" spans="27:30">
      <c r="AA3465" s="117">
        <f>+'Ingredient List - Mother Tinctu'!D3466</f>
        <v>0</v>
      </c>
      <c r="AB3465" s="117">
        <f t="shared" si="57"/>
        <v>0</v>
      </c>
      <c r="AC3465" s="117" t="str">
        <f>IF(AB3465=1,COUNTIF($AB$3:AB3465,1),"")</f>
        <v/>
      </c>
      <c r="AD3465" s="117" t="str">
        <f>IFERROR(INDEX($AA$3:$AA$10000,MATCH(ROWS($AC$3:AC3465),$AC$3:$AC$10000,0)),"")</f>
        <v/>
      </c>
    </row>
    <row r="3466" spans="27:30">
      <c r="AA3466" s="117">
        <f>+'Ingredient List - Mother Tinctu'!D3467</f>
        <v>0</v>
      </c>
      <c r="AB3466" s="117">
        <f t="shared" si="57"/>
        <v>0</v>
      </c>
      <c r="AC3466" s="117" t="str">
        <f>IF(AB3466=1,COUNTIF($AB$3:AB3466,1),"")</f>
        <v/>
      </c>
      <c r="AD3466" s="117" t="str">
        <f>IFERROR(INDEX($AA$3:$AA$10000,MATCH(ROWS($AC$3:AC3466),$AC$3:$AC$10000,0)),"")</f>
        <v/>
      </c>
    </row>
    <row r="3467" spans="27:30">
      <c r="AA3467" s="117">
        <f>+'Ingredient List - Mother Tinctu'!D3468</f>
        <v>0</v>
      </c>
      <c r="AB3467" s="117">
        <f t="shared" si="57"/>
        <v>0</v>
      </c>
      <c r="AC3467" s="117" t="str">
        <f>IF(AB3467=1,COUNTIF($AB$3:AB3467,1),"")</f>
        <v/>
      </c>
      <c r="AD3467" s="117" t="str">
        <f>IFERROR(INDEX($AA$3:$AA$10000,MATCH(ROWS($AC$3:AC3467),$AC$3:$AC$10000,0)),"")</f>
        <v/>
      </c>
    </row>
    <row r="3468" spans="27:30">
      <c r="AA3468" s="117">
        <f>+'Ingredient List - Mother Tinctu'!D3469</f>
        <v>0</v>
      </c>
      <c r="AB3468" s="117">
        <f t="shared" si="57"/>
        <v>0</v>
      </c>
      <c r="AC3468" s="117" t="str">
        <f>IF(AB3468=1,COUNTIF($AB$3:AB3468,1),"")</f>
        <v/>
      </c>
      <c r="AD3468" s="117" t="str">
        <f>IFERROR(INDEX($AA$3:$AA$10000,MATCH(ROWS($AC$3:AC3468),$AC$3:$AC$10000,0)),"")</f>
        <v/>
      </c>
    </row>
    <row r="3469" spans="27:30">
      <c r="AA3469" s="117">
        <f>+'Ingredient List - Mother Tinctu'!D3470</f>
        <v>0</v>
      </c>
      <c r="AB3469" s="117">
        <f t="shared" si="57"/>
        <v>0</v>
      </c>
      <c r="AC3469" s="117" t="str">
        <f>IF(AB3469=1,COUNTIF($AB$3:AB3469,1),"")</f>
        <v/>
      </c>
      <c r="AD3469" s="117" t="str">
        <f>IFERROR(INDEX($AA$3:$AA$10000,MATCH(ROWS($AC$3:AC3469),$AC$3:$AC$10000,0)),"")</f>
        <v/>
      </c>
    </row>
    <row r="3470" spans="27:30">
      <c r="AA3470" s="117">
        <f>+'Ingredient List - Mother Tinctu'!D3471</f>
        <v>0</v>
      </c>
      <c r="AB3470" s="117">
        <f t="shared" si="57"/>
        <v>0</v>
      </c>
      <c r="AC3470" s="117" t="str">
        <f>IF(AB3470=1,COUNTIF($AB$3:AB3470,1),"")</f>
        <v/>
      </c>
      <c r="AD3470" s="117" t="str">
        <f>IFERROR(INDEX($AA$3:$AA$10000,MATCH(ROWS($AC$3:AC3470),$AC$3:$AC$10000,0)),"")</f>
        <v/>
      </c>
    </row>
    <row r="3471" spans="27:30">
      <c r="AA3471" s="117">
        <f>+'Ingredient List - Mother Tinctu'!D3472</f>
        <v>0</v>
      </c>
      <c r="AB3471" s="117">
        <f t="shared" si="57"/>
        <v>0</v>
      </c>
      <c r="AC3471" s="117" t="str">
        <f>IF(AB3471=1,COUNTIF($AB$3:AB3471,1),"")</f>
        <v/>
      </c>
      <c r="AD3471" s="117" t="str">
        <f>IFERROR(INDEX($AA$3:$AA$10000,MATCH(ROWS($AC$3:AC3471),$AC$3:$AC$10000,0)),"")</f>
        <v/>
      </c>
    </row>
    <row r="3472" spans="27:30">
      <c r="AA3472" s="117">
        <f>+'Ingredient List - Mother Tinctu'!D3473</f>
        <v>0</v>
      </c>
      <c r="AB3472" s="117">
        <f t="shared" si="57"/>
        <v>0</v>
      </c>
      <c r="AC3472" s="117" t="str">
        <f>IF(AB3472=1,COUNTIF($AB$3:AB3472,1),"")</f>
        <v/>
      </c>
      <c r="AD3472" s="117" t="str">
        <f>IFERROR(INDEX($AA$3:$AA$10000,MATCH(ROWS($AC$3:AC3472),$AC$3:$AC$10000,0)),"")</f>
        <v/>
      </c>
    </row>
    <row r="3473" spans="27:30">
      <c r="AA3473" s="117">
        <f>+'Ingredient List - Mother Tinctu'!D3474</f>
        <v>0</v>
      </c>
      <c r="AB3473" s="117">
        <f t="shared" si="57"/>
        <v>0</v>
      </c>
      <c r="AC3473" s="117" t="str">
        <f>IF(AB3473=1,COUNTIF($AB$3:AB3473,1),"")</f>
        <v/>
      </c>
      <c r="AD3473" s="117" t="str">
        <f>IFERROR(INDEX($AA$3:$AA$10000,MATCH(ROWS($AC$3:AC3473),$AC$3:$AC$10000,0)),"")</f>
        <v/>
      </c>
    </row>
    <row r="3474" spans="27:30">
      <c r="AA3474" s="117">
        <f>+'Ingredient List - Mother Tinctu'!D3475</f>
        <v>0</v>
      </c>
      <c r="AB3474" s="117">
        <f t="shared" si="57"/>
        <v>0</v>
      </c>
      <c r="AC3474" s="117" t="str">
        <f>IF(AB3474=1,COUNTIF($AB$3:AB3474,1),"")</f>
        <v/>
      </c>
      <c r="AD3474" s="117" t="str">
        <f>IFERROR(INDEX($AA$3:$AA$10000,MATCH(ROWS($AC$3:AC3474),$AC$3:$AC$10000,0)),"")</f>
        <v/>
      </c>
    </row>
    <row r="3475" spans="27:30">
      <c r="AA3475" s="117">
        <f>+'Ingredient List - Mother Tinctu'!D3476</f>
        <v>0</v>
      </c>
      <c r="AB3475" s="117">
        <f t="shared" si="57"/>
        <v>0</v>
      </c>
      <c r="AC3475" s="117" t="str">
        <f>IF(AB3475=1,COUNTIF($AB$3:AB3475,1),"")</f>
        <v/>
      </c>
      <c r="AD3475" s="117" t="str">
        <f>IFERROR(INDEX($AA$3:$AA$10000,MATCH(ROWS($AC$3:AC3475),$AC$3:$AC$10000,0)),"")</f>
        <v/>
      </c>
    </row>
    <row r="3476" spans="27:30">
      <c r="AA3476" s="117">
        <f>+'Ingredient List - Mother Tinctu'!D3477</f>
        <v>0</v>
      </c>
      <c r="AB3476" s="117">
        <f t="shared" si="57"/>
        <v>0</v>
      </c>
      <c r="AC3476" s="117" t="str">
        <f>IF(AB3476=1,COUNTIF($AB$3:AB3476,1),"")</f>
        <v/>
      </c>
      <c r="AD3476" s="117" t="str">
        <f>IFERROR(INDEX($AA$3:$AA$10000,MATCH(ROWS($AC$3:AC3476),$AC$3:$AC$10000,0)),"")</f>
        <v/>
      </c>
    </row>
    <row r="3477" spans="27:30">
      <c r="AA3477" s="117">
        <f>+'Ingredient List - Mother Tinctu'!D3478</f>
        <v>0</v>
      </c>
      <c r="AB3477" s="117">
        <f t="shared" si="57"/>
        <v>0</v>
      </c>
      <c r="AC3477" s="117" t="str">
        <f>IF(AB3477=1,COUNTIF($AB$3:AB3477,1),"")</f>
        <v/>
      </c>
      <c r="AD3477" s="117" t="str">
        <f>IFERROR(INDEX($AA$3:$AA$10000,MATCH(ROWS($AC$3:AC3477),$AC$3:$AC$10000,0)),"")</f>
        <v/>
      </c>
    </row>
    <row r="3478" spans="27:30">
      <c r="AA3478" s="117">
        <f>+'Ingredient List - Mother Tinctu'!D3479</f>
        <v>0</v>
      </c>
      <c r="AB3478" s="117">
        <f t="shared" si="57"/>
        <v>0</v>
      </c>
      <c r="AC3478" s="117" t="str">
        <f>IF(AB3478=1,COUNTIF($AB$3:AB3478,1),"")</f>
        <v/>
      </c>
      <c r="AD3478" s="117" t="str">
        <f>IFERROR(INDEX($AA$3:$AA$10000,MATCH(ROWS($AC$3:AC3478),$AC$3:$AC$10000,0)),"")</f>
        <v/>
      </c>
    </row>
    <row r="3479" spans="27:30">
      <c r="AA3479" s="117">
        <f>+'Ingredient List - Mother Tinctu'!D3480</f>
        <v>0</v>
      </c>
      <c r="AB3479" s="117">
        <f t="shared" si="57"/>
        <v>0</v>
      </c>
      <c r="AC3479" s="117" t="str">
        <f>IF(AB3479=1,COUNTIF($AB$3:AB3479,1),"")</f>
        <v/>
      </c>
      <c r="AD3479" s="117" t="str">
        <f>IFERROR(INDEX($AA$3:$AA$10000,MATCH(ROWS($AC$3:AC3479),$AC$3:$AC$10000,0)),"")</f>
        <v/>
      </c>
    </row>
    <row r="3480" spans="27:30">
      <c r="AA3480" s="117">
        <f>+'Ingredient List - Mother Tinctu'!D3481</f>
        <v>0</v>
      </c>
      <c r="AB3480" s="117">
        <f t="shared" si="57"/>
        <v>0</v>
      </c>
      <c r="AC3480" s="117" t="str">
        <f>IF(AB3480=1,COUNTIF($AB$3:AB3480,1),"")</f>
        <v/>
      </c>
      <c r="AD3480" s="117" t="str">
        <f>IFERROR(INDEX($AA$3:$AA$10000,MATCH(ROWS($AC$3:AC3480),$AC$3:$AC$10000,0)),"")</f>
        <v/>
      </c>
    </row>
    <row r="3481" spans="27:30">
      <c r="AA3481" s="117">
        <f>+'Ingredient List - Mother Tinctu'!D3482</f>
        <v>0</v>
      </c>
      <c r="AB3481" s="117">
        <f t="shared" si="57"/>
        <v>0</v>
      </c>
      <c r="AC3481" s="117" t="str">
        <f>IF(AB3481=1,COUNTIF($AB$3:AB3481,1),"")</f>
        <v/>
      </c>
      <c r="AD3481" s="117" t="str">
        <f>IFERROR(INDEX($AA$3:$AA$10000,MATCH(ROWS($AC$3:AC3481),$AC$3:$AC$10000,0)),"")</f>
        <v/>
      </c>
    </row>
    <row r="3482" spans="27:30">
      <c r="AA3482" s="117">
        <f>+'Ingredient List - Mother Tinctu'!D3483</f>
        <v>0</v>
      </c>
      <c r="AB3482" s="117">
        <f t="shared" si="57"/>
        <v>0</v>
      </c>
      <c r="AC3482" s="117" t="str">
        <f>IF(AB3482=1,COUNTIF($AB$3:AB3482,1),"")</f>
        <v/>
      </c>
      <c r="AD3482" s="117" t="str">
        <f>IFERROR(INDEX($AA$3:$AA$10000,MATCH(ROWS($AC$3:AC3482),$AC$3:$AC$10000,0)),"")</f>
        <v/>
      </c>
    </row>
    <row r="3483" spans="27:30">
      <c r="AA3483" s="117">
        <f>+'Ingredient List - Mother Tinctu'!D3484</f>
        <v>0</v>
      </c>
      <c r="AB3483" s="117">
        <f t="shared" si="57"/>
        <v>0</v>
      </c>
      <c r="AC3483" s="117" t="str">
        <f>IF(AB3483=1,COUNTIF($AB$3:AB3483,1),"")</f>
        <v/>
      </c>
      <c r="AD3483" s="117" t="str">
        <f>IFERROR(INDEX($AA$3:$AA$10000,MATCH(ROWS($AC$3:AC3483),$AC$3:$AC$10000,0)),"")</f>
        <v/>
      </c>
    </row>
    <row r="3484" spans="27:30">
      <c r="AA3484" s="117">
        <f>+'Ingredient List - Mother Tinctu'!D3485</f>
        <v>0</v>
      </c>
      <c r="AB3484" s="117">
        <f t="shared" si="57"/>
        <v>0</v>
      </c>
      <c r="AC3484" s="117" t="str">
        <f>IF(AB3484=1,COUNTIF($AB$3:AB3484,1),"")</f>
        <v/>
      </c>
      <c r="AD3484" s="117" t="str">
        <f>IFERROR(INDEX($AA$3:$AA$10000,MATCH(ROWS($AC$3:AC3484),$AC$3:$AC$10000,0)),"")</f>
        <v/>
      </c>
    </row>
    <row r="3485" spans="27:30">
      <c r="AA3485" s="117">
        <f>+'Ingredient List - Mother Tinctu'!D3486</f>
        <v>0</v>
      </c>
      <c r="AB3485" s="117">
        <f t="shared" si="57"/>
        <v>0</v>
      </c>
      <c r="AC3485" s="117" t="str">
        <f>IF(AB3485=1,COUNTIF($AB$3:AB3485,1),"")</f>
        <v/>
      </c>
      <c r="AD3485" s="117" t="str">
        <f>IFERROR(INDEX($AA$3:$AA$10000,MATCH(ROWS($AC$3:AC3485),$AC$3:$AC$10000,0)),"")</f>
        <v/>
      </c>
    </row>
    <row r="3486" spans="27:30">
      <c r="AA3486" s="117">
        <f>+'Ingredient List - Mother Tinctu'!D3487</f>
        <v>0</v>
      </c>
      <c r="AB3486" s="117">
        <f t="shared" si="57"/>
        <v>0</v>
      </c>
      <c r="AC3486" s="117" t="str">
        <f>IF(AB3486=1,COUNTIF($AB$3:AB3486,1),"")</f>
        <v/>
      </c>
      <c r="AD3486" s="117" t="str">
        <f>IFERROR(INDEX($AA$3:$AA$10000,MATCH(ROWS($AC$3:AC3486),$AC$3:$AC$10000,0)),"")</f>
        <v/>
      </c>
    </row>
    <row r="3487" spans="27:30">
      <c r="AA3487" s="117">
        <f>+'Ingredient List - Mother Tinctu'!D3488</f>
        <v>0</v>
      </c>
      <c r="AB3487" s="117">
        <f t="shared" si="57"/>
        <v>0</v>
      </c>
      <c r="AC3487" s="117" t="str">
        <f>IF(AB3487=1,COUNTIF($AB$3:AB3487,1),"")</f>
        <v/>
      </c>
      <c r="AD3487" s="117" t="str">
        <f>IFERROR(INDEX($AA$3:$AA$10000,MATCH(ROWS($AC$3:AC3487),$AC$3:$AC$10000,0)),"")</f>
        <v/>
      </c>
    </row>
    <row r="3488" spans="27:30">
      <c r="AA3488" s="117">
        <f>+'Ingredient List - Mother Tinctu'!D3489</f>
        <v>0</v>
      </c>
      <c r="AB3488" s="117">
        <f t="shared" si="57"/>
        <v>0</v>
      </c>
      <c r="AC3488" s="117" t="str">
        <f>IF(AB3488=1,COUNTIF($AB$3:AB3488,1),"")</f>
        <v/>
      </c>
      <c r="AD3488" s="117" t="str">
        <f>IFERROR(INDEX($AA$3:$AA$10000,MATCH(ROWS($AC$3:AC3488),$AC$3:$AC$10000,0)),"")</f>
        <v/>
      </c>
    </row>
    <row r="3489" spans="27:30">
      <c r="AA3489" s="117">
        <f>+'Ingredient List - Mother Tinctu'!D3490</f>
        <v>0</v>
      </c>
      <c r="AB3489" s="117">
        <f t="shared" si="57"/>
        <v>0</v>
      </c>
      <c r="AC3489" s="117" t="str">
        <f>IF(AB3489=1,COUNTIF($AB$3:AB3489,1),"")</f>
        <v/>
      </c>
      <c r="AD3489" s="117" t="str">
        <f>IFERROR(INDEX($AA$3:$AA$10000,MATCH(ROWS($AC$3:AC3489),$AC$3:$AC$10000,0)),"")</f>
        <v/>
      </c>
    </row>
    <row r="3490" spans="27:30">
      <c r="AA3490" s="117">
        <f>+'Ingredient List - Mother Tinctu'!D3491</f>
        <v>0</v>
      </c>
      <c r="AB3490" s="117">
        <f t="shared" si="57"/>
        <v>0</v>
      </c>
      <c r="AC3490" s="117" t="str">
        <f>IF(AB3490=1,COUNTIF($AB$3:AB3490,1),"")</f>
        <v/>
      </c>
      <c r="AD3490" s="117" t="str">
        <f>IFERROR(INDEX($AA$3:$AA$10000,MATCH(ROWS($AC$3:AC3490),$AC$3:$AC$10000,0)),"")</f>
        <v/>
      </c>
    </row>
    <row r="3491" spans="27:30">
      <c r="AA3491" s="117">
        <f>+'Ingredient List - Mother Tinctu'!D3492</f>
        <v>0</v>
      </c>
      <c r="AB3491" s="117">
        <f t="shared" si="57"/>
        <v>0</v>
      </c>
      <c r="AC3491" s="117" t="str">
        <f>IF(AB3491=1,COUNTIF($AB$3:AB3491,1),"")</f>
        <v/>
      </c>
      <c r="AD3491" s="117" t="str">
        <f>IFERROR(INDEX($AA$3:$AA$10000,MATCH(ROWS($AC$3:AC3491),$AC$3:$AC$10000,0)),"")</f>
        <v/>
      </c>
    </row>
    <row r="3492" spans="27:30">
      <c r="AA3492" s="117">
        <f>+'Ingredient List - Mother Tinctu'!D3493</f>
        <v>0</v>
      </c>
      <c r="AB3492" s="117">
        <f t="shared" si="57"/>
        <v>0</v>
      </c>
      <c r="AC3492" s="117" t="str">
        <f>IF(AB3492=1,COUNTIF($AB$3:AB3492,1),"")</f>
        <v/>
      </c>
      <c r="AD3492" s="117" t="str">
        <f>IFERROR(INDEX($AA$3:$AA$10000,MATCH(ROWS($AC$3:AC3492),$AC$3:$AC$10000,0)),"")</f>
        <v/>
      </c>
    </row>
    <row r="3493" spans="27:30">
      <c r="AA3493" s="117">
        <f>+'Ingredient List - Mother Tinctu'!D3494</f>
        <v>0</v>
      </c>
      <c r="AB3493" s="117">
        <f t="shared" si="57"/>
        <v>0</v>
      </c>
      <c r="AC3493" s="117" t="str">
        <f>IF(AB3493=1,COUNTIF($AB$3:AB3493,1),"")</f>
        <v/>
      </c>
      <c r="AD3493" s="117" t="str">
        <f>IFERROR(INDEX($AA$3:$AA$10000,MATCH(ROWS($AC$3:AC3493),$AC$3:$AC$10000,0)),"")</f>
        <v/>
      </c>
    </row>
    <row r="3494" spans="27:30">
      <c r="AA3494" s="117">
        <f>+'Ingredient List - Mother Tinctu'!D3495</f>
        <v>0</v>
      </c>
      <c r="AB3494" s="117">
        <f t="shared" si="57"/>
        <v>0</v>
      </c>
      <c r="AC3494" s="117" t="str">
        <f>IF(AB3494=1,COUNTIF($AB$3:AB3494,1),"")</f>
        <v/>
      </c>
      <c r="AD3494" s="117" t="str">
        <f>IFERROR(INDEX($AA$3:$AA$10000,MATCH(ROWS($AC$3:AC3494),$AC$3:$AC$10000,0)),"")</f>
        <v/>
      </c>
    </row>
    <row r="3495" spans="27:30">
      <c r="AA3495" s="117">
        <f>+'Ingredient List - Mother Tinctu'!D3496</f>
        <v>0</v>
      </c>
      <c r="AB3495" s="117">
        <f t="shared" si="57"/>
        <v>0</v>
      </c>
      <c r="AC3495" s="117" t="str">
        <f>IF(AB3495=1,COUNTIF($AB$3:AB3495,1),"")</f>
        <v/>
      </c>
      <c r="AD3495" s="117" t="str">
        <f>IFERROR(INDEX($AA$3:$AA$10000,MATCH(ROWS($AC$3:AC3495),$AC$3:$AC$10000,0)),"")</f>
        <v/>
      </c>
    </row>
    <row r="3496" spans="27:30">
      <c r="AA3496" s="117">
        <f>+'Ingredient List - Mother Tinctu'!D3497</f>
        <v>0</v>
      </c>
      <c r="AB3496" s="117">
        <f t="shared" si="57"/>
        <v>0</v>
      </c>
      <c r="AC3496" s="117" t="str">
        <f>IF(AB3496=1,COUNTIF($AB$3:AB3496,1),"")</f>
        <v/>
      </c>
      <c r="AD3496" s="117" t="str">
        <f>IFERROR(INDEX($AA$3:$AA$10000,MATCH(ROWS($AC$3:AC3496),$AC$3:$AC$10000,0)),"")</f>
        <v/>
      </c>
    </row>
    <row r="3497" spans="27:30">
      <c r="AA3497" s="117">
        <f>+'Ingredient List - Mother Tinctu'!D3498</f>
        <v>0</v>
      </c>
      <c r="AB3497" s="117">
        <f t="shared" si="57"/>
        <v>0</v>
      </c>
      <c r="AC3497" s="117" t="str">
        <f>IF(AB3497=1,COUNTIF($AB$3:AB3497,1),"")</f>
        <v/>
      </c>
      <c r="AD3497" s="117" t="str">
        <f>IFERROR(INDEX($AA$3:$AA$10000,MATCH(ROWS($AC$3:AC3497),$AC$3:$AC$10000,0)),"")</f>
        <v/>
      </c>
    </row>
    <row r="3498" spans="27:30">
      <c r="AA3498" s="117">
        <f>+'Ingredient List - Mother Tinctu'!D3499</f>
        <v>0</v>
      </c>
      <c r="AB3498" s="117">
        <f t="shared" si="57"/>
        <v>0</v>
      </c>
      <c r="AC3498" s="117" t="str">
        <f>IF(AB3498=1,COUNTIF($AB$3:AB3498,1),"")</f>
        <v/>
      </c>
      <c r="AD3498" s="117" t="str">
        <f>IFERROR(INDEX($AA$3:$AA$10000,MATCH(ROWS($AC$3:AC3498),$AC$3:$AC$10000,0)),"")</f>
        <v/>
      </c>
    </row>
    <row r="3499" spans="27:30">
      <c r="AA3499" s="117">
        <f>+'Ingredient List - Mother Tinctu'!D3500</f>
        <v>0</v>
      </c>
      <c r="AB3499" s="117">
        <f t="shared" si="57"/>
        <v>0</v>
      </c>
      <c r="AC3499" s="117" t="str">
        <f>IF(AB3499=1,COUNTIF($AB$3:AB3499,1),"")</f>
        <v/>
      </c>
      <c r="AD3499" s="117" t="str">
        <f>IFERROR(INDEX($AA$3:$AA$10000,MATCH(ROWS($AC$3:AC3499),$AC$3:$AC$10000,0)),"")</f>
        <v/>
      </c>
    </row>
    <row r="3500" spans="27:30">
      <c r="AA3500" s="117">
        <f>+'Ingredient List - Mother Tinctu'!D3501</f>
        <v>0</v>
      </c>
      <c r="AB3500" s="117">
        <f t="shared" si="57"/>
        <v>0</v>
      </c>
      <c r="AC3500" s="117" t="str">
        <f>IF(AB3500=1,COUNTIF($AB$3:AB3500,1),"")</f>
        <v/>
      </c>
      <c r="AD3500" s="117" t="str">
        <f>IFERROR(INDEX($AA$3:$AA$10000,MATCH(ROWS($AC$3:AC3500),$AC$3:$AC$10000,0)),"")</f>
        <v/>
      </c>
    </row>
    <row r="3501" spans="27:30">
      <c r="AA3501" s="117">
        <f>+'Ingredient List - Mother Tinctu'!D3502</f>
        <v>0</v>
      </c>
      <c r="AB3501" s="117">
        <f t="shared" si="57"/>
        <v>0</v>
      </c>
      <c r="AC3501" s="117" t="str">
        <f>IF(AB3501=1,COUNTIF($AB$3:AB3501,1),"")</f>
        <v/>
      </c>
      <c r="AD3501" s="117" t="str">
        <f>IFERROR(INDEX($AA$3:$AA$10000,MATCH(ROWS($AC$3:AC3501),$AC$3:$AC$10000,0)),"")</f>
        <v/>
      </c>
    </row>
    <row r="3502" spans="27:30">
      <c r="AA3502" s="117">
        <f>+'Ingredient List - Mother Tinctu'!D3503</f>
        <v>0</v>
      </c>
      <c r="AB3502" s="117">
        <f t="shared" si="57"/>
        <v>0</v>
      </c>
      <c r="AC3502" s="117" t="str">
        <f>IF(AB3502=1,COUNTIF($AB$3:AB3502,1),"")</f>
        <v/>
      </c>
      <c r="AD3502" s="117" t="str">
        <f>IFERROR(INDEX($AA$3:$AA$10000,MATCH(ROWS($AC$3:AC3502),$AC$3:$AC$10000,0)),"")</f>
        <v/>
      </c>
    </row>
    <row r="3503" spans="27:30">
      <c r="AA3503" s="117">
        <f>+'Ingredient List - Mother Tinctu'!D3504</f>
        <v>0</v>
      </c>
      <c r="AB3503" s="117">
        <f t="shared" si="57"/>
        <v>0</v>
      </c>
      <c r="AC3503" s="117" t="str">
        <f>IF(AB3503=1,COUNTIF($AB$3:AB3503,1),"")</f>
        <v/>
      </c>
      <c r="AD3503" s="117" t="str">
        <f>IFERROR(INDEX($AA$3:$AA$10000,MATCH(ROWS($AC$3:AC3503),$AC$3:$AC$10000,0)),"")</f>
        <v/>
      </c>
    </row>
    <row r="3504" spans="27:30">
      <c r="AA3504" s="117">
        <f>+'Ingredient List - Mother Tinctu'!D3505</f>
        <v>0</v>
      </c>
      <c r="AB3504" s="117">
        <f t="shared" si="57"/>
        <v>0</v>
      </c>
      <c r="AC3504" s="117" t="str">
        <f>IF(AB3504=1,COUNTIF($AB$3:AB3504,1),"")</f>
        <v/>
      </c>
      <c r="AD3504" s="117" t="str">
        <f>IFERROR(INDEX($AA$3:$AA$10000,MATCH(ROWS($AC$3:AC3504),$AC$3:$AC$10000,0)),"")</f>
        <v/>
      </c>
    </row>
    <row r="3505" spans="27:30">
      <c r="AA3505" s="117">
        <f>+'Ingredient List - Mother Tinctu'!D3506</f>
        <v>0</v>
      </c>
      <c r="AB3505" s="117">
        <f t="shared" si="57"/>
        <v>0</v>
      </c>
      <c r="AC3505" s="117" t="str">
        <f>IF(AB3505=1,COUNTIF($AB$3:AB3505,1),"")</f>
        <v/>
      </c>
      <c r="AD3505" s="117" t="str">
        <f>IFERROR(INDEX($AA$3:$AA$10000,MATCH(ROWS($AC$3:AC3505),$AC$3:$AC$10000,0)),"")</f>
        <v/>
      </c>
    </row>
    <row r="3506" spans="27:30">
      <c r="AA3506" s="117">
        <f>+'Ingredient List - Mother Tinctu'!D3507</f>
        <v>0</v>
      </c>
      <c r="AB3506" s="117">
        <f t="shared" si="57"/>
        <v>0</v>
      </c>
      <c r="AC3506" s="117" t="str">
        <f>IF(AB3506=1,COUNTIF($AB$3:AB3506,1),"")</f>
        <v/>
      </c>
      <c r="AD3506" s="117" t="str">
        <f>IFERROR(INDEX($AA$3:$AA$10000,MATCH(ROWS($AC$3:AC3506),$AC$3:$AC$10000,0)),"")</f>
        <v/>
      </c>
    </row>
    <row r="3507" spans="27:30">
      <c r="AA3507" s="117">
        <f>+'Ingredient List - Mother Tinctu'!D3508</f>
        <v>0</v>
      </c>
      <c r="AB3507" s="117">
        <f t="shared" si="57"/>
        <v>0</v>
      </c>
      <c r="AC3507" s="117" t="str">
        <f>IF(AB3507=1,COUNTIF($AB$3:AB3507,1),"")</f>
        <v/>
      </c>
      <c r="AD3507" s="117" t="str">
        <f>IFERROR(INDEX($AA$3:$AA$10000,MATCH(ROWS($AC$3:AC3507),$AC$3:$AC$10000,0)),"")</f>
        <v/>
      </c>
    </row>
    <row r="3508" spans="27:30">
      <c r="AA3508" s="117">
        <f>+'Ingredient List - Mother Tinctu'!D3509</f>
        <v>0</v>
      </c>
      <c r="AB3508" s="117">
        <f t="shared" si="57"/>
        <v>0</v>
      </c>
      <c r="AC3508" s="117" t="str">
        <f>IF(AB3508=1,COUNTIF($AB$3:AB3508,1),"")</f>
        <v/>
      </c>
      <c r="AD3508" s="117" t="str">
        <f>IFERROR(INDEX($AA$3:$AA$10000,MATCH(ROWS($AC$3:AC3508),$AC$3:$AC$10000,0)),"")</f>
        <v/>
      </c>
    </row>
    <row r="3509" spans="27:30">
      <c r="AA3509" s="117">
        <f>+'Ingredient List - Mother Tinctu'!D3510</f>
        <v>0</v>
      </c>
      <c r="AB3509" s="117">
        <f t="shared" si="57"/>
        <v>0</v>
      </c>
      <c r="AC3509" s="117" t="str">
        <f>IF(AB3509=1,COUNTIF($AB$3:AB3509,1),"")</f>
        <v/>
      </c>
      <c r="AD3509" s="117" t="str">
        <f>IFERROR(INDEX($AA$3:$AA$10000,MATCH(ROWS($AC$3:AC3509),$AC$3:$AC$10000,0)),"")</f>
        <v/>
      </c>
    </row>
    <row r="3510" spans="27:30">
      <c r="AA3510" s="117">
        <f>+'Ingredient List - Mother Tinctu'!D3511</f>
        <v>0</v>
      </c>
      <c r="AB3510" s="117">
        <f t="shared" si="57"/>
        <v>0</v>
      </c>
      <c r="AC3510" s="117" t="str">
        <f>IF(AB3510=1,COUNTIF($AB$3:AB3510,1),"")</f>
        <v/>
      </c>
      <c r="AD3510" s="117" t="str">
        <f>IFERROR(INDEX($AA$3:$AA$10000,MATCH(ROWS($AC$3:AC3510),$AC$3:$AC$10000,0)),"")</f>
        <v/>
      </c>
    </row>
    <row r="3511" spans="27:30">
      <c r="AA3511" s="117">
        <f>+'Ingredient List - Mother Tinctu'!D3512</f>
        <v>0</v>
      </c>
      <c r="AB3511" s="117">
        <f t="shared" si="57"/>
        <v>0</v>
      </c>
      <c r="AC3511" s="117" t="str">
        <f>IF(AB3511=1,COUNTIF($AB$3:AB3511,1),"")</f>
        <v/>
      </c>
      <c r="AD3511" s="117" t="str">
        <f>IFERROR(INDEX($AA$3:$AA$10000,MATCH(ROWS($AC$3:AC3511),$AC$3:$AC$10000,0)),"")</f>
        <v/>
      </c>
    </row>
    <row r="3512" spans="27:30">
      <c r="AA3512" s="117">
        <f>+'Ingredient List - Mother Tinctu'!D3513</f>
        <v>0</v>
      </c>
      <c r="AB3512" s="117">
        <f t="shared" si="57"/>
        <v>0</v>
      </c>
      <c r="AC3512" s="117" t="str">
        <f>IF(AB3512=1,COUNTIF($AB$3:AB3512,1),"")</f>
        <v/>
      </c>
      <c r="AD3512" s="117" t="str">
        <f>IFERROR(INDEX($AA$3:$AA$10000,MATCH(ROWS($AC$3:AC3512),$AC$3:$AC$10000,0)),"")</f>
        <v/>
      </c>
    </row>
    <row r="3513" spans="27:30">
      <c r="AA3513" s="117">
        <f>+'Ingredient List - Mother Tinctu'!D3514</f>
        <v>0</v>
      </c>
      <c r="AB3513" s="117">
        <f t="shared" si="57"/>
        <v>0</v>
      </c>
      <c r="AC3513" s="117" t="str">
        <f>IF(AB3513=1,COUNTIF($AB$3:AB3513,1),"")</f>
        <v/>
      </c>
      <c r="AD3513" s="117" t="str">
        <f>IFERROR(INDEX($AA$3:$AA$10000,MATCH(ROWS($AC$3:AC3513),$AC$3:$AC$10000,0)),"")</f>
        <v/>
      </c>
    </row>
    <row r="3514" spans="27:30">
      <c r="AA3514" s="117">
        <f>+'Ingredient List - Mother Tinctu'!D3515</f>
        <v>0</v>
      </c>
      <c r="AB3514" s="117">
        <f t="shared" si="57"/>
        <v>0</v>
      </c>
      <c r="AC3514" s="117" t="str">
        <f>IF(AB3514=1,COUNTIF($AB$3:AB3514,1),"")</f>
        <v/>
      </c>
      <c r="AD3514" s="117" t="str">
        <f>IFERROR(INDEX($AA$3:$AA$10000,MATCH(ROWS($AC$3:AC3514),$AC$3:$AC$10000,0)),"")</f>
        <v/>
      </c>
    </row>
    <row r="3515" spans="27:30">
      <c r="AA3515" s="117">
        <f>+'Ingredient List - Mother Tinctu'!D3516</f>
        <v>0</v>
      </c>
      <c r="AB3515" s="117">
        <f t="shared" si="57"/>
        <v>0</v>
      </c>
      <c r="AC3515" s="117" t="str">
        <f>IF(AB3515=1,COUNTIF($AB$3:AB3515,1),"")</f>
        <v/>
      </c>
      <c r="AD3515" s="117" t="str">
        <f>IFERROR(INDEX($AA$3:$AA$10000,MATCH(ROWS($AC$3:AC3515),$AC$3:$AC$10000,0)),"")</f>
        <v/>
      </c>
    </row>
    <row r="3516" spans="27:30">
      <c r="AA3516" s="117">
        <f>+'Ingredient List - Mother Tinctu'!D3517</f>
        <v>0</v>
      </c>
      <c r="AB3516" s="117">
        <f t="shared" si="57"/>
        <v>0</v>
      </c>
      <c r="AC3516" s="117" t="str">
        <f>IF(AB3516=1,COUNTIF($AB$3:AB3516,1),"")</f>
        <v/>
      </c>
      <c r="AD3516" s="117" t="str">
        <f>IFERROR(INDEX($AA$3:$AA$10000,MATCH(ROWS($AC$3:AC3516),$AC$3:$AC$10000,0)),"")</f>
        <v/>
      </c>
    </row>
    <row r="3517" spans="27:30">
      <c r="AA3517" s="117">
        <f>+'Ingredient List - Mother Tinctu'!D3518</f>
        <v>0</v>
      </c>
      <c r="AB3517" s="117">
        <f t="shared" si="57"/>
        <v>0</v>
      </c>
      <c r="AC3517" s="117" t="str">
        <f>IF(AB3517=1,COUNTIF($AB$3:AB3517,1),"")</f>
        <v/>
      </c>
      <c r="AD3517" s="117" t="str">
        <f>IFERROR(INDEX($AA$3:$AA$10000,MATCH(ROWS($AC$3:AC3517),$AC$3:$AC$10000,0)),"")</f>
        <v/>
      </c>
    </row>
    <row r="3518" spans="27:30">
      <c r="AA3518" s="117">
        <f>+'Ingredient List - Mother Tinctu'!D3519</f>
        <v>0</v>
      </c>
      <c r="AB3518" s="117">
        <f t="shared" si="57"/>
        <v>0</v>
      </c>
      <c r="AC3518" s="117" t="str">
        <f>IF(AB3518=1,COUNTIF($AB$3:AB3518,1),"")</f>
        <v/>
      </c>
      <c r="AD3518" s="117" t="str">
        <f>IFERROR(INDEX($AA$3:$AA$10000,MATCH(ROWS($AC$3:AC3518),$AC$3:$AC$10000,0)),"")</f>
        <v/>
      </c>
    </row>
    <row r="3519" spans="27:30">
      <c r="AA3519" s="117">
        <f>+'Ingredient List - Mother Tinctu'!D3520</f>
        <v>0</v>
      </c>
      <c r="AB3519" s="117">
        <f t="shared" si="57"/>
        <v>0</v>
      </c>
      <c r="AC3519" s="117" t="str">
        <f>IF(AB3519=1,COUNTIF($AB$3:AB3519,1),"")</f>
        <v/>
      </c>
      <c r="AD3519" s="117" t="str">
        <f>IFERROR(INDEX($AA$3:$AA$10000,MATCH(ROWS($AC$3:AC3519),$AC$3:$AC$10000,0)),"")</f>
        <v/>
      </c>
    </row>
    <row r="3520" spans="27:30">
      <c r="AA3520" s="117">
        <f>+'Ingredient List - Mother Tinctu'!D3521</f>
        <v>0</v>
      </c>
      <c r="AB3520" s="117">
        <f t="shared" si="57"/>
        <v>0</v>
      </c>
      <c r="AC3520" s="117" t="str">
        <f>IF(AB3520=1,COUNTIF($AB$3:AB3520,1),"")</f>
        <v/>
      </c>
      <c r="AD3520" s="117" t="str">
        <f>IFERROR(INDEX($AA$3:$AA$10000,MATCH(ROWS($AC$3:AC3520),$AC$3:$AC$10000,0)),"")</f>
        <v/>
      </c>
    </row>
    <row r="3521" spans="27:30">
      <c r="AA3521" s="117">
        <f>+'Ingredient List - Mother Tinctu'!D3522</f>
        <v>0</v>
      </c>
      <c r="AB3521" s="117">
        <f t="shared" si="57"/>
        <v>0</v>
      </c>
      <c r="AC3521" s="117" t="str">
        <f>IF(AB3521=1,COUNTIF($AB$3:AB3521,1),"")</f>
        <v/>
      </c>
      <c r="AD3521" s="117" t="str">
        <f>IFERROR(INDEX($AA$3:$AA$10000,MATCH(ROWS($AC$3:AC3521),$AC$3:$AC$10000,0)),"")</f>
        <v/>
      </c>
    </row>
    <row r="3522" spans="27:30">
      <c r="AA3522" s="117">
        <f>+'Ingredient List - Mother Tinctu'!D3523</f>
        <v>0</v>
      </c>
      <c r="AB3522" s="117">
        <f t="shared" si="57"/>
        <v>0</v>
      </c>
      <c r="AC3522" s="117" t="str">
        <f>IF(AB3522=1,COUNTIF($AB$3:AB3522,1),"")</f>
        <v/>
      </c>
      <c r="AD3522" s="117" t="str">
        <f>IFERROR(INDEX($AA$3:$AA$10000,MATCH(ROWS($AC$3:AC3522),$AC$3:$AC$10000,0)),"")</f>
        <v/>
      </c>
    </row>
    <row r="3523" spans="27:30">
      <c r="AA3523" s="117">
        <f>+'Ingredient List - Mother Tinctu'!D3524</f>
        <v>0</v>
      </c>
      <c r="AB3523" s="117">
        <f t="shared" si="57"/>
        <v>0</v>
      </c>
      <c r="AC3523" s="117" t="str">
        <f>IF(AB3523=1,COUNTIF($AB$3:AB3523,1),"")</f>
        <v/>
      </c>
      <c r="AD3523" s="117" t="str">
        <f>IFERROR(INDEX($AA$3:$AA$10000,MATCH(ROWS($AC$3:AC3523),$AC$3:$AC$10000,0)),"")</f>
        <v/>
      </c>
    </row>
    <row r="3524" spans="27:30">
      <c r="AA3524" s="117">
        <f>+'Ingredient List - Mother Tinctu'!D3525</f>
        <v>0</v>
      </c>
      <c r="AB3524" s="117">
        <f t="shared" ref="AB3524:AB3587" si="58">--ISNUMBER(IFERROR(SEARCH($D$3,AA3524,1),""))</f>
        <v>0</v>
      </c>
      <c r="AC3524" s="117" t="str">
        <f>IF(AB3524=1,COUNTIF($AB$3:AB3524,1),"")</f>
        <v/>
      </c>
      <c r="AD3524" s="117" t="str">
        <f>IFERROR(INDEX($AA$3:$AA$10000,MATCH(ROWS($AC$3:AC3524),$AC$3:$AC$10000,0)),"")</f>
        <v/>
      </c>
    </row>
    <row r="3525" spans="27:30">
      <c r="AA3525" s="117">
        <f>+'Ingredient List - Mother Tinctu'!D3526</f>
        <v>0</v>
      </c>
      <c r="AB3525" s="117">
        <f t="shared" si="58"/>
        <v>0</v>
      </c>
      <c r="AC3525" s="117" t="str">
        <f>IF(AB3525=1,COUNTIF($AB$3:AB3525,1),"")</f>
        <v/>
      </c>
      <c r="AD3525" s="117" t="str">
        <f>IFERROR(INDEX($AA$3:$AA$10000,MATCH(ROWS($AC$3:AC3525),$AC$3:$AC$10000,0)),"")</f>
        <v/>
      </c>
    </row>
    <row r="3526" spans="27:30">
      <c r="AA3526" s="117">
        <f>+'Ingredient List - Mother Tinctu'!D3527</f>
        <v>0</v>
      </c>
      <c r="AB3526" s="117">
        <f t="shared" si="58"/>
        <v>0</v>
      </c>
      <c r="AC3526" s="117" t="str">
        <f>IF(AB3526=1,COUNTIF($AB$3:AB3526,1),"")</f>
        <v/>
      </c>
      <c r="AD3526" s="117" t="str">
        <f>IFERROR(INDEX($AA$3:$AA$10000,MATCH(ROWS($AC$3:AC3526),$AC$3:$AC$10000,0)),"")</f>
        <v/>
      </c>
    </row>
    <row r="3527" spans="27:30">
      <c r="AA3527" s="117">
        <f>+'Ingredient List - Mother Tinctu'!D3528</f>
        <v>0</v>
      </c>
      <c r="AB3527" s="117">
        <f t="shared" si="58"/>
        <v>0</v>
      </c>
      <c r="AC3527" s="117" t="str">
        <f>IF(AB3527=1,COUNTIF($AB$3:AB3527,1),"")</f>
        <v/>
      </c>
      <c r="AD3527" s="117" t="str">
        <f>IFERROR(INDEX($AA$3:$AA$10000,MATCH(ROWS($AC$3:AC3527),$AC$3:$AC$10000,0)),"")</f>
        <v/>
      </c>
    </row>
    <row r="3528" spans="27:30">
      <c r="AA3528" s="117">
        <f>+'Ingredient List - Mother Tinctu'!D3529</f>
        <v>0</v>
      </c>
      <c r="AB3528" s="117">
        <f t="shared" si="58"/>
        <v>0</v>
      </c>
      <c r="AC3528" s="117" t="str">
        <f>IF(AB3528=1,COUNTIF($AB$3:AB3528,1),"")</f>
        <v/>
      </c>
      <c r="AD3528" s="117" t="str">
        <f>IFERROR(INDEX($AA$3:$AA$10000,MATCH(ROWS($AC$3:AC3528),$AC$3:$AC$10000,0)),"")</f>
        <v/>
      </c>
    </row>
    <row r="3529" spans="27:30">
      <c r="AA3529" s="117">
        <f>+'Ingredient List - Mother Tinctu'!D3530</f>
        <v>0</v>
      </c>
      <c r="AB3529" s="117">
        <f t="shared" si="58"/>
        <v>0</v>
      </c>
      <c r="AC3529" s="117" t="str">
        <f>IF(AB3529=1,COUNTIF($AB$3:AB3529,1),"")</f>
        <v/>
      </c>
      <c r="AD3529" s="117" t="str">
        <f>IFERROR(INDEX($AA$3:$AA$10000,MATCH(ROWS($AC$3:AC3529),$AC$3:$AC$10000,0)),"")</f>
        <v/>
      </c>
    </row>
    <row r="3530" spans="27:30">
      <c r="AA3530" s="117">
        <f>+'Ingredient List - Mother Tinctu'!D3531</f>
        <v>0</v>
      </c>
      <c r="AB3530" s="117">
        <f t="shared" si="58"/>
        <v>0</v>
      </c>
      <c r="AC3530" s="117" t="str">
        <f>IF(AB3530=1,COUNTIF($AB$3:AB3530,1),"")</f>
        <v/>
      </c>
      <c r="AD3530" s="117" t="str">
        <f>IFERROR(INDEX($AA$3:$AA$10000,MATCH(ROWS($AC$3:AC3530),$AC$3:$AC$10000,0)),"")</f>
        <v/>
      </c>
    </row>
    <row r="3531" spans="27:30">
      <c r="AA3531" s="117">
        <f>+'Ingredient List - Mother Tinctu'!D3532</f>
        <v>0</v>
      </c>
      <c r="AB3531" s="117">
        <f t="shared" si="58"/>
        <v>0</v>
      </c>
      <c r="AC3531" s="117" t="str">
        <f>IF(AB3531=1,COUNTIF($AB$3:AB3531,1),"")</f>
        <v/>
      </c>
      <c r="AD3531" s="117" t="str">
        <f>IFERROR(INDEX($AA$3:$AA$10000,MATCH(ROWS($AC$3:AC3531),$AC$3:$AC$10000,0)),"")</f>
        <v/>
      </c>
    </row>
    <row r="3532" spans="27:30">
      <c r="AA3532" s="117">
        <f>+'Ingredient List - Mother Tinctu'!D3533</f>
        <v>0</v>
      </c>
      <c r="AB3532" s="117">
        <f t="shared" si="58"/>
        <v>0</v>
      </c>
      <c r="AC3532" s="117" t="str">
        <f>IF(AB3532=1,COUNTIF($AB$3:AB3532,1),"")</f>
        <v/>
      </c>
      <c r="AD3532" s="117" t="str">
        <f>IFERROR(INDEX($AA$3:$AA$10000,MATCH(ROWS($AC$3:AC3532),$AC$3:$AC$10000,0)),"")</f>
        <v/>
      </c>
    </row>
    <row r="3533" spans="27:30">
      <c r="AA3533" s="117">
        <f>+'Ingredient List - Mother Tinctu'!D3534</f>
        <v>0</v>
      </c>
      <c r="AB3533" s="117">
        <f t="shared" si="58"/>
        <v>0</v>
      </c>
      <c r="AC3533" s="117" t="str">
        <f>IF(AB3533=1,COUNTIF($AB$3:AB3533,1),"")</f>
        <v/>
      </c>
      <c r="AD3533" s="117" t="str">
        <f>IFERROR(INDEX($AA$3:$AA$10000,MATCH(ROWS($AC$3:AC3533),$AC$3:$AC$10000,0)),"")</f>
        <v/>
      </c>
    </row>
    <row r="3534" spans="27:30">
      <c r="AA3534" s="117">
        <f>+'Ingredient List - Mother Tinctu'!D3535</f>
        <v>0</v>
      </c>
      <c r="AB3534" s="117">
        <f t="shared" si="58"/>
        <v>0</v>
      </c>
      <c r="AC3534" s="117" t="str">
        <f>IF(AB3534=1,COUNTIF($AB$3:AB3534,1),"")</f>
        <v/>
      </c>
      <c r="AD3534" s="117" t="str">
        <f>IFERROR(INDEX($AA$3:$AA$10000,MATCH(ROWS($AC$3:AC3534),$AC$3:$AC$10000,0)),"")</f>
        <v/>
      </c>
    </row>
    <row r="3535" spans="27:30">
      <c r="AA3535" s="117">
        <f>+'Ingredient List - Mother Tinctu'!D3536</f>
        <v>0</v>
      </c>
      <c r="AB3535" s="117">
        <f t="shared" si="58"/>
        <v>0</v>
      </c>
      <c r="AC3535" s="117" t="str">
        <f>IF(AB3535=1,COUNTIF($AB$3:AB3535,1),"")</f>
        <v/>
      </c>
      <c r="AD3535" s="117" t="str">
        <f>IFERROR(INDEX($AA$3:$AA$10000,MATCH(ROWS($AC$3:AC3535),$AC$3:$AC$10000,0)),"")</f>
        <v/>
      </c>
    </row>
    <row r="3536" spans="27:30">
      <c r="AA3536" s="117">
        <f>+'Ingredient List - Mother Tinctu'!D3537</f>
        <v>0</v>
      </c>
      <c r="AB3536" s="117">
        <f t="shared" si="58"/>
        <v>0</v>
      </c>
      <c r="AC3536" s="117" t="str">
        <f>IF(AB3536=1,COUNTIF($AB$3:AB3536,1),"")</f>
        <v/>
      </c>
      <c r="AD3536" s="117" t="str">
        <f>IFERROR(INDEX($AA$3:$AA$10000,MATCH(ROWS($AC$3:AC3536),$AC$3:$AC$10000,0)),"")</f>
        <v/>
      </c>
    </row>
    <row r="3537" spans="27:30">
      <c r="AA3537" s="117">
        <f>+'Ingredient List - Mother Tinctu'!D3538</f>
        <v>0</v>
      </c>
      <c r="AB3537" s="117">
        <f t="shared" si="58"/>
        <v>0</v>
      </c>
      <c r="AC3537" s="117" t="str">
        <f>IF(AB3537=1,COUNTIF($AB$3:AB3537,1),"")</f>
        <v/>
      </c>
      <c r="AD3537" s="117" t="str">
        <f>IFERROR(INDEX($AA$3:$AA$10000,MATCH(ROWS($AC$3:AC3537),$AC$3:$AC$10000,0)),"")</f>
        <v/>
      </c>
    </row>
    <row r="3538" spans="27:30">
      <c r="AA3538" s="117">
        <f>+'Ingredient List - Mother Tinctu'!D3539</f>
        <v>0</v>
      </c>
      <c r="AB3538" s="117">
        <f t="shared" si="58"/>
        <v>0</v>
      </c>
      <c r="AC3538" s="117" t="str">
        <f>IF(AB3538=1,COUNTIF($AB$3:AB3538,1),"")</f>
        <v/>
      </c>
      <c r="AD3538" s="117" t="str">
        <f>IFERROR(INDEX($AA$3:$AA$10000,MATCH(ROWS($AC$3:AC3538),$AC$3:$AC$10000,0)),"")</f>
        <v/>
      </c>
    </row>
    <row r="3539" spans="27:30">
      <c r="AA3539" s="117">
        <f>+'Ingredient List - Mother Tinctu'!D3540</f>
        <v>0</v>
      </c>
      <c r="AB3539" s="117">
        <f t="shared" si="58"/>
        <v>0</v>
      </c>
      <c r="AC3539" s="117" t="str">
        <f>IF(AB3539=1,COUNTIF($AB$3:AB3539,1),"")</f>
        <v/>
      </c>
      <c r="AD3539" s="117" t="str">
        <f>IFERROR(INDEX($AA$3:$AA$10000,MATCH(ROWS($AC$3:AC3539),$AC$3:$AC$10000,0)),"")</f>
        <v/>
      </c>
    </row>
    <row r="3540" spans="27:30">
      <c r="AA3540" s="117">
        <f>+'Ingredient List - Mother Tinctu'!D3541</f>
        <v>0</v>
      </c>
      <c r="AB3540" s="117">
        <f t="shared" si="58"/>
        <v>0</v>
      </c>
      <c r="AC3540" s="117" t="str">
        <f>IF(AB3540=1,COUNTIF($AB$3:AB3540,1),"")</f>
        <v/>
      </c>
      <c r="AD3540" s="117" t="str">
        <f>IFERROR(INDEX($AA$3:$AA$10000,MATCH(ROWS($AC$3:AC3540),$AC$3:$AC$10000,0)),"")</f>
        <v/>
      </c>
    </row>
    <row r="3541" spans="27:30">
      <c r="AA3541" s="117">
        <f>+'Ingredient List - Mother Tinctu'!D3542</f>
        <v>0</v>
      </c>
      <c r="AB3541" s="117">
        <f t="shared" si="58"/>
        <v>0</v>
      </c>
      <c r="AC3541" s="117" t="str">
        <f>IF(AB3541=1,COUNTIF($AB$3:AB3541,1),"")</f>
        <v/>
      </c>
      <c r="AD3541" s="117" t="str">
        <f>IFERROR(INDEX($AA$3:$AA$10000,MATCH(ROWS($AC$3:AC3541),$AC$3:$AC$10000,0)),"")</f>
        <v/>
      </c>
    </row>
    <row r="3542" spans="27:30">
      <c r="AA3542" s="117">
        <f>+'Ingredient List - Mother Tinctu'!D3543</f>
        <v>0</v>
      </c>
      <c r="AB3542" s="117">
        <f t="shared" si="58"/>
        <v>0</v>
      </c>
      <c r="AC3542" s="117" t="str">
        <f>IF(AB3542=1,COUNTIF($AB$3:AB3542,1),"")</f>
        <v/>
      </c>
      <c r="AD3542" s="117" t="str">
        <f>IFERROR(INDEX($AA$3:$AA$10000,MATCH(ROWS($AC$3:AC3542),$AC$3:$AC$10000,0)),"")</f>
        <v/>
      </c>
    </row>
    <row r="3543" spans="27:30">
      <c r="AA3543" s="117">
        <f>+'Ingredient List - Mother Tinctu'!D3544</f>
        <v>0</v>
      </c>
      <c r="AB3543" s="117">
        <f t="shared" si="58"/>
        <v>0</v>
      </c>
      <c r="AC3543" s="117" t="str">
        <f>IF(AB3543=1,COUNTIF($AB$3:AB3543,1),"")</f>
        <v/>
      </c>
      <c r="AD3543" s="117" t="str">
        <f>IFERROR(INDEX($AA$3:$AA$10000,MATCH(ROWS($AC$3:AC3543),$AC$3:$AC$10000,0)),"")</f>
        <v/>
      </c>
    </row>
    <row r="3544" spans="27:30">
      <c r="AA3544" s="117">
        <f>+'Ingredient List - Mother Tinctu'!D3545</f>
        <v>0</v>
      </c>
      <c r="AB3544" s="117">
        <f t="shared" si="58"/>
        <v>0</v>
      </c>
      <c r="AC3544" s="117" t="str">
        <f>IF(AB3544=1,COUNTIF($AB$3:AB3544,1),"")</f>
        <v/>
      </c>
      <c r="AD3544" s="117" t="str">
        <f>IFERROR(INDEX($AA$3:$AA$10000,MATCH(ROWS($AC$3:AC3544),$AC$3:$AC$10000,0)),"")</f>
        <v/>
      </c>
    </row>
    <row r="3545" spans="27:30">
      <c r="AA3545" s="117">
        <f>+'Ingredient List - Mother Tinctu'!D3546</f>
        <v>0</v>
      </c>
      <c r="AB3545" s="117">
        <f t="shared" si="58"/>
        <v>0</v>
      </c>
      <c r="AC3545" s="117" t="str">
        <f>IF(AB3545=1,COUNTIF($AB$3:AB3545,1),"")</f>
        <v/>
      </c>
      <c r="AD3545" s="117" t="str">
        <f>IFERROR(INDEX($AA$3:$AA$10000,MATCH(ROWS($AC$3:AC3545),$AC$3:$AC$10000,0)),"")</f>
        <v/>
      </c>
    </row>
    <row r="3546" spans="27:30">
      <c r="AA3546" s="117">
        <f>+'Ingredient List - Mother Tinctu'!D3547</f>
        <v>0</v>
      </c>
      <c r="AB3546" s="117">
        <f t="shared" si="58"/>
        <v>0</v>
      </c>
      <c r="AC3546" s="117" t="str">
        <f>IF(AB3546=1,COUNTIF($AB$3:AB3546,1),"")</f>
        <v/>
      </c>
      <c r="AD3546" s="117" t="str">
        <f>IFERROR(INDEX($AA$3:$AA$10000,MATCH(ROWS($AC$3:AC3546),$AC$3:$AC$10000,0)),"")</f>
        <v/>
      </c>
    </row>
    <row r="3547" spans="27:30">
      <c r="AA3547" s="117">
        <f>+'Ingredient List - Mother Tinctu'!D3548</f>
        <v>0</v>
      </c>
      <c r="AB3547" s="117">
        <f t="shared" si="58"/>
        <v>0</v>
      </c>
      <c r="AC3547" s="117" t="str">
        <f>IF(AB3547=1,COUNTIF($AB$3:AB3547,1),"")</f>
        <v/>
      </c>
      <c r="AD3547" s="117" t="str">
        <f>IFERROR(INDEX($AA$3:$AA$10000,MATCH(ROWS($AC$3:AC3547),$AC$3:$AC$10000,0)),"")</f>
        <v/>
      </c>
    </row>
    <row r="3548" spans="27:30">
      <c r="AA3548" s="117">
        <f>+'Ingredient List - Mother Tinctu'!D3549</f>
        <v>0</v>
      </c>
      <c r="AB3548" s="117">
        <f t="shared" si="58"/>
        <v>0</v>
      </c>
      <c r="AC3548" s="117" t="str">
        <f>IF(AB3548=1,COUNTIF($AB$3:AB3548,1),"")</f>
        <v/>
      </c>
      <c r="AD3548" s="117" t="str">
        <f>IFERROR(INDEX($AA$3:$AA$10000,MATCH(ROWS($AC$3:AC3548),$AC$3:$AC$10000,0)),"")</f>
        <v/>
      </c>
    </row>
    <row r="3549" spans="27:30">
      <c r="AA3549" s="117">
        <f>+'Ingredient List - Mother Tinctu'!D3550</f>
        <v>0</v>
      </c>
      <c r="AB3549" s="117">
        <f t="shared" si="58"/>
        <v>0</v>
      </c>
      <c r="AC3549" s="117" t="str">
        <f>IF(AB3549=1,COUNTIF($AB$3:AB3549,1),"")</f>
        <v/>
      </c>
      <c r="AD3549" s="117" t="str">
        <f>IFERROR(INDEX($AA$3:$AA$10000,MATCH(ROWS($AC$3:AC3549),$AC$3:$AC$10000,0)),"")</f>
        <v/>
      </c>
    </row>
    <row r="3550" spans="27:30">
      <c r="AA3550" s="117">
        <f>+'Ingredient List - Mother Tinctu'!D3551</f>
        <v>0</v>
      </c>
      <c r="AB3550" s="117">
        <f t="shared" si="58"/>
        <v>0</v>
      </c>
      <c r="AC3550" s="117" t="str">
        <f>IF(AB3550=1,COUNTIF($AB$3:AB3550,1),"")</f>
        <v/>
      </c>
      <c r="AD3550" s="117" t="str">
        <f>IFERROR(INDEX($AA$3:$AA$10000,MATCH(ROWS($AC$3:AC3550),$AC$3:$AC$10000,0)),"")</f>
        <v/>
      </c>
    </row>
    <row r="3551" spans="27:30">
      <c r="AA3551" s="117">
        <f>+'Ingredient List - Mother Tinctu'!D3552</f>
        <v>0</v>
      </c>
      <c r="AB3551" s="117">
        <f t="shared" si="58"/>
        <v>0</v>
      </c>
      <c r="AC3551" s="117" t="str">
        <f>IF(AB3551=1,COUNTIF($AB$3:AB3551,1),"")</f>
        <v/>
      </c>
      <c r="AD3551" s="117" t="str">
        <f>IFERROR(INDEX($AA$3:$AA$10000,MATCH(ROWS($AC$3:AC3551),$AC$3:$AC$10000,0)),"")</f>
        <v/>
      </c>
    </row>
    <row r="3552" spans="27:30">
      <c r="AA3552" s="117">
        <f>+'Ingredient List - Mother Tinctu'!D3553</f>
        <v>0</v>
      </c>
      <c r="AB3552" s="117">
        <f t="shared" si="58"/>
        <v>0</v>
      </c>
      <c r="AC3552" s="117" t="str">
        <f>IF(AB3552=1,COUNTIF($AB$3:AB3552,1),"")</f>
        <v/>
      </c>
      <c r="AD3552" s="117" t="str">
        <f>IFERROR(INDEX($AA$3:$AA$10000,MATCH(ROWS($AC$3:AC3552),$AC$3:$AC$10000,0)),"")</f>
        <v/>
      </c>
    </row>
    <row r="3553" spans="27:30">
      <c r="AA3553" s="117">
        <f>+'Ingredient List - Mother Tinctu'!D3554</f>
        <v>0</v>
      </c>
      <c r="AB3553" s="117">
        <f t="shared" si="58"/>
        <v>0</v>
      </c>
      <c r="AC3553" s="117" t="str">
        <f>IF(AB3553=1,COUNTIF($AB$3:AB3553,1),"")</f>
        <v/>
      </c>
      <c r="AD3553" s="117" t="str">
        <f>IFERROR(INDEX($AA$3:$AA$10000,MATCH(ROWS($AC$3:AC3553),$AC$3:$AC$10000,0)),"")</f>
        <v/>
      </c>
    </row>
    <row r="3554" spans="27:30">
      <c r="AA3554" s="117">
        <f>+'Ingredient List - Mother Tinctu'!D3555</f>
        <v>0</v>
      </c>
      <c r="AB3554" s="117">
        <f t="shared" si="58"/>
        <v>0</v>
      </c>
      <c r="AC3554" s="117" t="str">
        <f>IF(AB3554=1,COUNTIF($AB$3:AB3554,1),"")</f>
        <v/>
      </c>
      <c r="AD3554" s="117" t="str">
        <f>IFERROR(INDEX($AA$3:$AA$10000,MATCH(ROWS($AC$3:AC3554),$AC$3:$AC$10000,0)),"")</f>
        <v/>
      </c>
    </row>
    <row r="3555" spans="27:30">
      <c r="AA3555" s="117">
        <f>+'Ingredient List - Mother Tinctu'!D3556</f>
        <v>0</v>
      </c>
      <c r="AB3555" s="117">
        <f t="shared" si="58"/>
        <v>0</v>
      </c>
      <c r="AC3555" s="117" t="str">
        <f>IF(AB3555=1,COUNTIF($AB$3:AB3555,1),"")</f>
        <v/>
      </c>
      <c r="AD3555" s="117" t="str">
        <f>IFERROR(INDEX($AA$3:$AA$10000,MATCH(ROWS($AC$3:AC3555),$AC$3:$AC$10000,0)),"")</f>
        <v/>
      </c>
    </row>
    <row r="3556" spans="27:30">
      <c r="AA3556" s="117">
        <f>+'Ingredient List - Mother Tinctu'!D3557</f>
        <v>0</v>
      </c>
      <c r="AB3556" s="117">
        <f t="shared" si="58"/>
        <v>0</v>
      </c>
      <c r="AC3556" s="117" t="str">
        <f>IF(AB3556=1,COUNTIF($AB$3:AB3556,1),"")</f>
        <v/>
      </c>
      <c r="AD3556" s="117" t="str">
        <f>IFERROR(INDEX($AA$3:$AA$10000,MATCH(ROWS($AC$3:AC3556),$AC$3:$AC$10000,0)),"")</f>
        <v/>
      </c>
    </row>
    <row r="3557" spans="27:30">
      <c r="AA3557" s="117">
        <f>+'Ingredient List - Mother Tinctu'!D3558</f>
        <v>0</v>
      </c>
      <c r="AB3557" s="117">
        <f t="shared" si="58"/>
        <v>0</v>
      </c>
      <c r="AC3557" s="117" t="str">
        <f>IF(AB3557=1,COUNTIF($AB$3:AB3557,1),"")</f>
        <v/>
      </c>
      <c r="AD3557" s="117" t="str">
        <f>IFERROR(INDEX($AA$3:$AA$10000,MATCH(ROWS($AC$3:AC3557),$AC$3:$AC$10000,0)),"")</f>
        <v/>
      </c>
    </row>
    <row r="3558" spans="27:30">
      <c r="AA3558" s="117">
        <f>+'Ingredient List - Mother Tinctu'!D3559</f>
        <v>0</v>
      </c>
      <c r="AB3558" s="117">
        <f t="shared" si="58"/>
        <v>0</v>
      </c>
      <c r="AC3558" s="117" t="str">
        <f>IF(AB3558=1,COUNTIF($AB$3:AB3558,1),"")</f>
        <v/>
      </c>
      <c r="AD3558" s="117" t="str">
        <f>IFERROR(INDEX($AA$3:$AA$10000,MATCH(ROWS($AC$3:AC3558),$AC$3:$AC$10000,0)),"")</f>
        <v/>
      </c>
    </row>
    <row r="3559" spans="27:30">
      <c r="AA3559" s="117">
        <f>+'Ingredient List - Mother Tinctu'!D3560</f>
        <v>0</v>
      </c>
      <c r="AB3559" s="117">
        <f t="shared" si="58"/>
        <v>0</v>
      </c>
      <c r="AC3559" s="117" t="str">
        <f>IF(AB3559=1,COUNTIF($AB$3:AB3559,1),"")</f>
        <v/>
      </c>
      <c r="AD3559" s="117" t="str">
        <f>IFERROR(INDEX($AA$3:$AA$10000,MATCH(ROWS($AC$3:AC3559),$AC$3:$AC$10000,0)),"")</f>
        <v/>
      </c>
    </row>
    <row r="3560" spans="27:30">
      <c r="AA3560" s="117">
        <f>+'Ingredient List - Mother Tinctu'!D3561</f>
        <v>0</v>
      </c>
      <c r="AB3560" s="117">
        <f t="shared" si="58"/>
        <v>0</v>
      </c>
      <c r="AC3560" s="117" t="str">
        <f>IF(AB3560=1,COUNTIF($AB$3:AB3560,1),"")</f>
        <v/>
      </c>
      <c r="AD3560" s="117" t="str">
        <f>IFERROR(INDEX($AA$3:$AA$10000,MATCH(ROWS($AC$3:AC3560),$AC$3:$AC$10000,0)),"")</f>
        <v/>
      </c>
    </row>
    <row r="3561" spans="27:30">
      <c r="AA3561" s="117">
        <f>+'Ingredient List - Mother Tinctu'!D3562</f>
        <v>0</v>
      </c>
      <c r="AB3561" s="117">
        <f t="shared" si="58"/>
        <v>0</v>
      </c>
      <c r="AC3561" s="117" t="str">
        <f>IF(AB3561=1,COUNTIF($AB$3:AB3561,1),"")</f>
        <v/>
      </c>
      <c r="AD3561" s="117" t="str">
        <f>IFERROR(INDEX($AA$3:$AA$10000,MATCH(ROWS($AC$3:AC3561),$AC$3:$AC$10000,0)),"")</f>
        <v/>
      </c>
    </row>
    <row r="3562" spans="27:30">
      <c r="AA3562" s="117">
        <f>+'Ingredient List - Mother Tinctu'!D3563</f>
        <v>0</v>
      </c>
      <c r="AB3562" s="117">
        <f t="shared" si="58"/>
        <v>0</v>
      </c>
      <c r="AC3562" s="117" t="str">
        <f>IF(AB3562=1,COUNTIF($AB$3:AB3562,1),"")</f>
        <v/>
      </c>
      <c r="AD3562" s="117" t="str">
        <f>IFERROR(INDEX($AA$3:$AA$10000,MATCH(ROWS($AC$3:AC3562),$AC$3:$AC$10000,0)),"")</f>
        <v/>
      </c>
    </row>
    <row r="3563" spans="27:30">
      <c r="AA3563" s="117">
        <f>+'Ingredient List - Mother Tinctu'!D3564</f>
        <v>0</v>
      </c>
      <c r="AB3563" s="117">
        <f t="shared" si="58"/>
        <v>0</v>
      </c>
      <c r="AC3563" s="117" t="str">
        <f>IF(AB3563=1,COUNTIF($AB$3:AB3563,1),"")</f>
        <v/>
      </c>
      <c r="AD3563" s="117" t="str">
        <f>IFERROR(INDEX($AA$3:$AA$10000,MATCH(ROWS($AC$3:AC3563),$AC$3:$AC$10000,0)),"")</f>
        <v/>
      </c>
    </row>
    <row r="3564" spans="27:30">
      <c r="AA3564" s="117">
        <f>+'Ingredient List - Mother Tinctu'!D3565</f>
        <v>0</v>
      </c>
      <c r="AB3564" s="117">
        <f t="shared" si="58"/>
        <v>0</v>
      </c>
      <c r="AC3564" s="117" t="str">
        <f>IF(AB3564=1,COUNTIF($AB$3:AB3564,1),"")</f>
        <v/>
      </c>
      <c r="AD3564" s="117" t="str">
        <f>IFERROR(INDEX($AA$3:$AA$10000,MATCH(ROWS($AC$3:AC3564),$AC$3:$AC$10000,0)),"")</f>
        <v/>
      </c>
    </row>
    <row r="3565" spans="27:30">
      <c r="AA3565" s="117">
        <f>+'Ingredient List - Mother Tinctu'!D3566</f>
        <v>0</v>
      </c>
      <c r="AB3565" s="117">
        <f t="shared" si="58"/>
        <v>0</v>
      </c>
      <c r="AC3565" s="117" t="str">
        <f>IF(AB3565=1,COUNTIF($AB$3:AB3565,1),"")</f>
        <v/>
      </c>
      <c r="AD3565" s="117" t="str">
        <f>IFERROR(INDEX($AA$3:$AA$10000,MATCH(ROWS($AC$3:AC3565),$AC$3:$AC$10000,0)),"")</f>
        <v/>
      </c>
    </row>
    <row r="3566" spans="27:30">
      <c r="AA3566" s="117">
        <f>+'Ingredient List - Mother Tinctu'!D3567</f>
        <v>0</v>
      </c>
      <c r="AB3566" s="117">
        <f t="shared" si="58"/>
        <v>0</v>
      </c>
      <c r="AC3566" s="117" t="str">
        <f>IF(AB3566=1,COUNTIF($AB$3:AB3566,1),"")</f>
        <v/>
      </c>
      <c r="AD3566" s="117" t="str">
        <f>IFERROR(INDEX($AA$3:$AA$10000,MATCH(ROWS($AC$3:AC3566),$AC$3:$AC$10000,0)),"")</f>
        <v/>
      </c>
    </row>
    <row r="3567" spans="27:30">
      <c r="AA3567" s="117">
        <f>+'Ingredient List - Mother Tinctu'!D3568</f>
        <v>0</v>
      </c>
      <c r="AB3567" s="117">
        <f t="shared" si="58"/>
        <v>0</v>
      </c>
      <c r="AC3567" s="117" t="str">
        <f>IF(AB3567=1,COUNTIF($AB$3:AB3567,1),"")</f>
        <v/>
      </c>
      <c r="AD3567" s="117" t="str">
        <f>IFERROR(INDEX($AA$3:$AA$10000,MATCH(ROWS($AC$3:AC3567),$AC$3:$AC$10000,0)),"")</f>
        <v/>
      </c>
    </row>
    <row r="3568" spans="27:30">
      <c r="AA3568" s="117">
        <f>+'Ingredient List - Mother Tinctu'!D3569</f>
        <v>0</v>
      </c>
      <c r="AB3568" s="117">
        <f t="shared" si="58"/>
        <v>0</v>
      </c>
      <c r="AC3568" s="117" t="str">
        <f>IF(AB3568=1,COUNTIF($AB$3:AB3568,1),"")</f>
        <v/>
      </c>
      <c r="AD3568" s="117" t="str">
        <f>IFERROR(INDEX($AA$3:$AA$10000,MATCH(ROWS($AC$3:AC3568),$AC$3:$AC$10000,0)),"")</f>
        <v/>
      </c>
    </row>
    <row r="3569" spans="27:30">
      <c r="AA3569" s="117">
        <f>+'Ingredient List - Mother Tinctu'!D3570</f>
        <v>0</v>
      </c>
      <c r="AB3569" s="117">
        <f t="shared" si="58"/>
        <v>0</v>
      </c>
      <c r="AC3569" s="117" t="str">
        <f>IF(AB3569=1,COUNTIF($AB$3:AB3569,1),"")</f>
        <v/>
      </c>
      <c r="AD3569" s="117" t="str">
        <f>IFERROR(INDEX($AA$3:$AA$10000,MATCH(ROWS($AC$3:AC3569),$AC$3:$AC$10000,0)),"")</f>
        <v/>
      </c>
    </row>
    <row r="3570" spans="27:30">
      <c r="AA3570" s="117">
        <f>+'Ingredient List - Mother Tinctu'!D3571</f>
        <v>0</v>
      </c>
      <c r="AB3570" s="117">
        <f t="shared" si="58"/>
        <v>0</v>
      </c>
      <c r="AC3570" s="117" t="str">
        <f>IF(AB3570=1,COUNTIF($AB$3:AB3570,1),"")</f>
        <v/>
      </c>
      <c r="AD3570" s="117" t="str">
        <f>IFERROR(INDEX($AA$3:$AA$10000,MATCH(ROWS($AC$3:AC3570),$AC$3:$AC$10000,0)),"")</f>
        <v/>
      </c>
    </row>
    <row r="3571" spans="27:30">
      <c r="AA3571" s="117">
        <f>+'Ingredient List - Mother Tinctu'!D3572</f>
        <v>0</v>
      </c>
      <c r="AB3571" s="117">
        <f t="shared" si="58"/>
        <v>0</v>
      </c>
      <c r="AC3571" s="117" t="str">
        <f>IF(AB3571=1,COUNTIF($AB$3:AB3571,1),"")</f>
        <v/>
      </c>
      <c r="AD3571" s="117" t="str">
        <f>IFERROR(INDEX($AA$3:$AA$10000,MATCH(ROWS($AC$3:AC3571),$AC$3:$AC$10000,0)),"")</f>
        <v/>
      </c>
    </row>
    <row r="3572" spans="27:30">
      <c r="AA3572" s="117">
        <f>+'Ingredient List - Mother Tinctu'!D3573</f>
        <v>0</v>
      </c>
      <c r="AB3572" s="117">
        <f t="shared" si="58"/>
        <v>0</v>
      </c>
      <c r="AC3572" s="117" t="str">
        <f>IF(AB3572=1,COUNTIF($AB$3:AB3572,1),"")</f>
        <v/>
      </c>
      <c r="AD3572" s="117" t="str">
        <f>IFERROR(INDEX($AA$3:$AA$10000,MATCH(ROWS($AC$3:AC3572),$AC$3:$AC$10000,0)),"")</f>
        <v/>
      </c>
    </row>
    <row r="3573" spans="27:30">
      <c r="AA3573" s="117">
        <f>+'Ingredient List - Mother Tinctu'!D3574</f>
        <v>0</v>
      </c>
      <c r="AB3573" s="117">
        <f t="shared" si="58"/>
        <v>0</v>
      </c>
      <c r="AC3573" s="117" t="str">
        <f>IF(AB3573=1,COUNTIF($AB$3:AB3573,1),"")</f>
        <v/>
      </c>
      <c r="AD3573" s="117" t="str">
        <f>IFERROR(INDEX($AA$3:$AA$10000,MATCH(ROWS($AC$3:AC3573),$AC$3:$AC$10000,0)),"")</f>
        <v/>
      </c>
    </row>
    <row r="3574" spans="27:30">
      <c r="AA3574" s="117">
        <f>+'Ingredient List - Mother Tinctu'!D3575</f>
        <v>0</v>
      </c>
      <c r="AB3574" s="117">
        <f t="shared" si="58"/>
        <v>0</v>
      </c>
      <c r="AC3574" s="117" t="str">
        <f>IF(AB3574=1,COUNTIF($AB$3:AB3574,1),"")</f>
        <v/>
      </c>
      <c r="AD3574" s="117" t="str">
        <f>IFERROR(INDEX($AA$3:$AA$10000,MATCH(ROWS($AC$3:AC3574),$AC$3:$AC$10000,0)),"")</f>
        <v/>
      </c>
    </row>
    <row r="3575" spans="27:30">
      <c r="AA3575" s="117">
        <f>+'Ingredient List - Mother Tinctu'!D3576</f>
        <v>0</v>
      </c>
      <c r="AB3575" s="117">
        <f t="shared" si="58"/>
        <v>0</v>
      </c>
      <c r="AC3575" s="117" t="str">
        <f>IF(AB3575=1,COUNTIF($AB$3:AB3575,1),"")</f>
        <v/>
      </c>
      <c r="AD3575" s="117" t="str">
        <f>IFERROR(INDEX($AA$3:$AA$10000,MATCH(ROWS($AC$3:AC3575),$AC$3:$AC$10000,0)),"")</f>
        <v/>
      </c>
    </row>
    <row r="3576" spans="27:30">
      <c r="AA3576" s="117">
        <f>+'Ingredient List - Mother Tinctu'!D3577</f>
        <v>0</v>
      </c>
      <c r="AB3576" s="117">
        <f t="shared" si="58"/>
        <v>0</v>
      </c>
      <c r="AC3576" s="117" t="str">
        <f>IF(AB3576=1,COUNTIF($AB$3:AB3576,1),"")</f>
        <v/>
      </c>
      <c r="AD3576" s="117" t="str">
        <f>IFERROR(INDEX($AA$3:$AA$10000,MATCH(ROWS($AC$3:AC3576),$AC$3:$AC$10000,0)),"")</f>
        <v/>
      </c>
    </row>
    <row r="3577" spans="27:30">
      <c r="AA3577" s="117">
        <f>+'Ingredient List - Mother Tinctu'!D3578</f>
        <v>0</v>
      </c>
      <c r="AB3577" s="117">
        <f t="shared" si="58"/>
        <v>0</v>
      </c>
      <c r="AC3577" s="117" t="str">
        <f>IF(AB3577=1,COUNTIF($AB$3:AB3577,1),"")</f>
        <v/>
      </c>
      <c r="AD3577" s="117" t="str">
        <f>IFERROR(INDEX($AA$3:$AA$10000,MATCH(ROWS($AC$3:AC3577),$AC$3:$AC$10000,0)),"")</f>
        <v/>
      </c>
    </row>
    <row r="3578" spans="27:30">
      <c r="AA3578" s="117">
        <f>+'Ingredient List - Mother Tinctu'!D3579</f>
        <v>0</v>
      </c>
      <c r="AB3578" s="117">
        <f t="shared" si="58"/>
        <v>0</v>
      </c>
      <c r="AC3578" s="117" t="str">
        <f>IF(AB3578=1,COUNTIF($AB$3:AB3578,1),"")</f>
        <v/>
      </c>
      <c r="AD3578" s="117" t="str">
        <f>IFERROR(INDEX($AA$3:$AA$10000,MATCH(ROWS($AC$3:AC3578),$AC$3:$AC$10000,0)),"")</f>
        <v/>
      </c>
    </row>
    <row r="3579" spans="27:30">
      <c r="AA3579" s="117">
        <f>+'Ingredient List - Mother Tinctu'!D3580</f>
        <v>0</v>
      </c>
      <c r="AB3579" s="117">
        <f t="shared" si="58"/>
        <v>0</v>
      </c>
      <c r="AC3579" s="117" t="str">
        <f>IF(AB3579=1,COUNTIF($AB$3:AB3579,1),"")</f>
        <v/>
      </c>
      <c r="AD3579" s="117" t="str">
        <f>IFERROR(INDEX($AA$3:$AA$10000,MATCH(ROWS($AC$3:AC3579),$AC$3:$AC$10000,0)),"")</f>
        <v/>
      </c>
    </row>
    <row r="3580" spans="27:30">
      <c r="AA3580" s="117">
        <f>+'Ingredient List - Mother Tinctu'!D3581</f>
        <v>0</v>
      </c>
      <c r="AB3580" s="117">
        <f t="shared" si="58"/>
        <v>0</v>
      </c>
      <c r="AC3580" s="117" t="str">
        <f>IF(AB3580=1,COUNTIF($AB$3:AB3580,1),"")</f>
        <v/>
      </c>
      <c r="AD3580" s="117" t="str">
        <f>IFERROR(INDEX($AA$3:$AA$10000,MATCH(ROWS($AC$3:AC3580),$AC$3:$AC$10000,0)),"")</f>
        <v/>
      </c>
    </row>
    <row r="3581" spans="27:30">
      <c r="AA3581" s="117">
        <f>+'Ingredient List - Mother Tinctu'!D3582</f>
        <v>0</v>
      </c>
      <c r="AB3581" s="117">
        <f t="shared" si="58"/>
        <v>0</v>
      </c>
      <c r="AC3581" s="117" t="str">
        <f>IF(AB3581=1,COUNTIF($AB$3:AB3581,1),"")</f>
        <v/>
      </c>
      <c r="AD3581" s="117" t="str">
        <f>IFERROR(INDEX($AA$3:$AA$10000,MATCH(ROWS($AC$3:AC3581),$AC$3:$AC$10000,0)),"")</f>
        <v/>
      </c>
    </row>
    <row r="3582" spans="27:30">
      <c r="AA3582" s="117">
        <f>+'Ingredient List - Mother Tinctu'!D3583</f>
        <v>0</v>
      </c>
      <c r="AB3582" s="117">
        <f t="shared" si="58"/>
        <v>0</v>
      </c>
      <c r="AC3582" s="117" t="str">
        <f>IF(AB3582=1,COUNTIF($AB$3:AB3582,1),"")</f>
        <v/>
      </c>
      <c r="AD3582" s="117" t="str">
        <f>IFERROR(INDEX($AA$3:$AA$10000,MATCH(ROWS($AC$3:AC3582),$AC$3:$AC$10000,0)),"")</f>
        <v/>
      </c>
    </row>
    <row r="3583" spans="27:30">
      <c r="AA3583" s="117">
        <f>+'Ingredient List - Mother Tinctu'!D3584</f>
        <v>0</v>
      </c>
      <c r="AB3583" s="117">
        <f t="shared" si="58"/>
        <v>0</v>
      </c>
      <c r="AC3583" s="117" t="str">
        <f>IF(AB3583=1,COUNTIF($AB$3:AB3583,1),"")</f>
        <v/>
      </c>
      <c r="AD3583" s="117" t="str">
        <f>IFERROR(INDEX($AA$3:$AA$10000,MATCH(ROWS($AC$3:AC3583),$AC$3:$AC$10000,0)),"")</f>
        <v/>
      </c>
    </row>
    <row r="3584" spans="27:30">
      <c r="AA3584" s="117">
        <f>+'Ingredient List - Mother Tinctu'!D3585</f>
        <v>0</v>
      </c>
      <c r="AB3584" s="117">
        <f t="shared" si="58"/>
        <v>0</v>
      </c>
      <c r="AC3584" s="117" t="str">
        <f>IF(AB3584=1,COUNTIF($AB$3:AB3584,1),"")</f>
        <v/>
      </c>
      <c r="AD3584" s="117" t="str">
        <f>IFERROR(INDEX($AA$3:$AA$10000,MATCH(ROWS($AC$3:AC3584),$AC$3:$AC$10000,0)),"")</f>
        <v/>
      </c>
    </row>
    <row r="3585" spans="27:30">
      <c r="AA3585" s="117">
        <f>+'Ingredient List - Mother Tinctu'!D3586</f>
        <v>0</v>
      </c>
      <c r="AB3585" s="117">
        <f t="shared" si="58"/>
        <v>0</v>
      </c>
      <c r="AC3585" s="117" t="str">
        <f>IF(AB3585=1,COUNTIF($AB$3:AB3585,1),"")</f>
        <v/>
      </c>
      <c r="AD3585" s="117" t="str">
        <f>IFERROR(INDEX($AA$3:$AA$10000,MATCH(ROWS($AC$3:AC3585),$AC$3:$AC$10000,0)),"")</f>
        <v/>
      </c>
    </row>
    <row r="3586" spans="27:30">
      <c r="AA3586" s="117">
        <f>+'Ingredient List - Mother Tinctu'!D3587</f>
        <v>0</v>
      </c>
      <c r="AB3586" s="117">
        <f t="shared" si="58"/>
        <v>0</v>
      </c>
      <c r="AC3586" s="117" t="str">
        <f>IF(AB3586=1,COUNTIF($AB$3:AB3586,1),"")</f>
        <v/>
      </c>
      <c r="AD3586" s="117" t="str">
        <f>IFERROR(INDEX($AA$3:$AA$10000,MATCH(ROWS($AC$3:AC3586),$AC$3:$AC$10000,0)),"")</f>
        <v/>
      </c>
    </row>
    <row r="3587" spans="27:30">
      <c r="AA3587" s="117">
        <f>+'Ingredient List - Mother Tinctu'!D3588</f>
        <v>0</v>
      </c>
      <c r="AB3587" s="117">
        <f t="shared" si="58"/>
        <v>0</v>
      </c>
      <c r="AC3587" s="117" t="str">
        <f>IF(AB3587=1,COUNTIF($AB$3:AB3587,1),"")</f>
        <v/>
      </c>
      <c r="AD3587" s="117" t="str">
        <f>IFERROR(INDEX($AA$3:$AA$10000,MATCH(ROWS($AC$3:AC3587),$AC$3:$AC$10000,0)),"")</f>
        <v/>
      </c>
    </row>
    <row r="3588" spans="27:30">
      <c r="AA3588" s="117">
        <f>+'Ingredient List - Mother Tinctu'!D3589</f>
        <v>0</v>
      </c>
      <c r="AB3588" s="117">
        <f t="shared" ref="AB3588:AB3651" si="59">--ISNUMBER(IFERROR(SEARCH($D$3,AA3588,1),""))</f>
        <v>0</v>
      </c>
      <c r="AC3588" s="117" t="str">
        <f>IF(AB3588=1,COUNTIF($AB$3:AB3588,1),"")</f>
        <v/>
      </c>
      <c r="AD3588" s="117" t="str">
        <f>IFERROR(INDEX($AA$3:$AA$10000,MATCH(ROWS($AC$3:AC3588),$AC$3:$AC$10000,0)),"")</f>
        <v/>
      </c>
    </row>
    <row r="3589" spans="27:30">
      <c r="AA3589" s="117">
        <f>+'Ingredient List - Mother Tinctu'!D3590</f>
        <v>0</v>
      </c>
      <c r="AB3589" s="117">
        <f t="shared" si="59"/>
        <v>0</v>
      </c>
      <c r="AC3589" s="117" t="str">
        <f>IF(AB3589=1,COUNTIF($AB$3:AB3589,1),"")</f>
        <v/>
      </c>
      <c r="AD3589" s="117" t="str">
        <f>IFERROR(INDEX($AA$3:$AA$10000,MATCH(ROWS($AC$3:AC3589),$AC$3:$AC$10000,0)),"")</f>
        <v/>
      </c>
    </row>
    <row r="3590" spans="27:30">
      <c r="AA3590" s="117">
        <f>+'Ingredient List - Mother Tinctu'!D3591</f>
        <v>0</v>
      </c>
      <c r="AB3590" s="117">
        <f t="shared" si="59"/>
        <v>0</v>
      </c>
      <c r="AC3590" s="117" t="str">
        <f>IF(AB3590=1,COUNTIF($AB$3:AB3590,1),"")</f>
        <v/>
      </c>
      <c r="AD3590" s="117" t="str">
        <f>IFERROR(INDEX($AA$3:$AA$10000,MATCH(ROWS($AC$3:AC3590),$AC$3:$AC$10000,0)),"")</f>
        <v/>
      </c>
    </row>
    <row r="3591" spans="27:30">
      <c r="AA3591" s="117">
        <f>+'Ingredient List - Mother Tinctu'!D3592</f>
        <v>0</v>
      </c>
      <c r="AB3591" s="117">
        <f t="shared" si="59"/>
        <v>0</v>
      </c>
      <c r="AC3591" s="117" t="str">
        <f>IF(AB3591=1,COUNTIF($AB$3:AB3591,1),"")</f>
        <v/>
      </c>
      <c r="AD3591" s="117" t="str">
        <f>IFERROR(INDEX($AA$3:$AA$10000,MATCH(ROWS($AC$3:AC3591),$AC$3:$AC$10000,0)),"")</f>
        <v/>
      </c>
    </row>
    <row r="3592" spans="27:30">
      <c r="AA3592" s="117">
        <f>+'Ingredient List - Mother Tinctu'!D3593</f>
        <v>0</v>
      </c>
      <c r="AB3592" s="117">
        <f t="shared" si="59"/>
        <v>0</v>
      </c>
      <c r="AC3592" s="117" t="str">
        <f>IF(AB3592=1,COUNTIF($AB$3:AB3592,1),"")</f>
        <v/>
      </c>
      <c r="AD3592" s="117" t="str">
        <f>IFERROR(INDEX($AA$3:$AA$10000,MATCH(ROWS($AC$3:AC3592),$AC$3:$AC$10000,0)),"")</f>
        <v/>
      </c>
    </row>
    <row r="3593" spans="27:30">
      <c r="AA3593" s="117">
        <f>+'Ingredient List - Mother Tinctu'!D3594</f>
        <v>0</v>
      </c>
      <c r="AB3593" s="117">
        <f t="shared" si="59"/>
        <v>0</v>
      </c>
      <c r="AC3593" s="117" t="str">
        <f>IF(AB3593=1,COUNTIF($AB$3:AB3593,1),"")</f>
        <v/>
      </c>
      <c r="AD3593" s="117" t="str">
        <f>IFERROR(INDEX($AA$3:$AA$10000,MATCH(ROWS($AC$3:AC3593),$AC$3:$AC$10000,0)),"")</f>
        <v/>
      </c>
    </row>
    <row r="3594" spans="27:30">
      <c r="AA3594" s="117">
        <f>+'Ingredient List - Mother Tinctu'!D3595</f>
        <v>0</v>
      </c>
      <c r="AB3594" s="117">
        <f t="shared" si="59"/>
        <v>0</v>
      </c>
      <c r="AC3594" s="117" t="str">
        <f>IF(AB3594=1,COUNTIF($AB$3:AB3594,1),"")</f>
        <v/>
      </c>
      <c r="AD3594" s="117" t="str">
        <f>IFERROR(INDEX($AA$3:$AA$10000,MATCH(ROWS($AC$3:AC3594),$AC$3:$AC$10000,0)),"")</f>
        <v/>
      </c>
    </row>
    <row r="3595" spans="27:30">
      <c r="AA3595" s="117">
        <f>+'Ingredient List - Mother Tinctu'!D3596</f>
        <v>0</v>
      </c>
      <c r="AB3595" s="117">
        <f t="shared" si="59"/>
        <v>0</v>
      </c>
      <c r="AC3595" s="117" t="str">
        <f>IF(AB3595=1,COUNTIF($AB$3:AB3595,1),"")</f>
        <v/>
      </c>
      <c r="AD3595" s="117" t="str">
        <f>IFERROR(INDEX($AA$3:$AA$10000,MATCH(ROWS($AC$3:AC3595),$AC$3:$AC$10000,0)),"")</f>
        <v/>
      </c>
    </row>
    <row r="3596" spans="27:30">
      <c r="AA3596" s="117">
        <f>+'Ingredient List - Mother Tinctu'!D3597</f>
        <v>0</v>
      </c>
      <c r="AB3596" s="117">
        <f t="shared" si="59"/>
        <v>0</v>
      </c>
      <c r="AC3596" s="117" t="str">
        <f>IF(AB3596=1,COUNTIF($AB$3:AB3596,1),"")</f>
        <v/>
      </c>
      <c r="AD3596" s="117" t="str">
        <f>IFERROR(INDEX($AA$3:$AA$10000,MATCH(ROWS($AC$3:AC3596),$AC$3:$AC$10000,0)),"")</f>
        <v/>
      </c>
    </row>
    <row r="3597" spans="27:30">
      <c r="AA3597" s="117">
        <f>+'Ingredient List - Mother Tinctu'!D3598</f>
        <v>0</v>
      </c>
      <c r="AB3597" s="117">
        <f t="shared" si="59"/>
        <v>0</v>
      </c>
      <c r="AC3597" s="117" t="str">
        <f>IF(AB3597=1,COUNTIF($AB$3:AB3597,1),"")</f>
        <v/>
      </c>
      <c r="AD3597" s="117" t="str">
        <f>IFERROR(INDEX($AA$3:$AA$10000,MATCH(ROWS($AC$3:AC3597),$AC$3:$AC$10000,0)),"")</f>
        <v/>
      </c>
    </row>
    <row r="3598" spans="27:30">
      <c r="AA3598" s="117">
        <f>+'Ingredient List - Mother Tinctu'!D3599</f>
        <v>0</v>
      </c>
      <c r="AB3598" s="117">
        <f t="shared" si="59"/>
        <v>0</v>
      </c>
      <c r="AC3598" s="117" t="str">
        <f>IF(AB3598=1,COUNTIF($AB$3:AB3598,1),"")</f>
        <v/>
      </c>
      <c r="AD3598" s="117" t="str">
        <f>IFERROR(INDEX($AA$3:$AA$10000,MATCH(ROWS($AC$3:AC3598),$AC$3:$AC$10000,0)),"")</f>
        <v/>
      </c>
    </row>
    <row r="3599" spans="27:30">
      <c r="AA3599" s="117">
        <f>+'Ingredient List - Mother Tinctu'!D3600</f>
        <v>0</v>
      </c>
      <c r="AB3599" s="117">
        <f t="shared" si="59"/>
        <v>0</v>
      </c>
      <c r="AC3599" s="117" t="str">
        <f>IF(AB3599=1,COUNTIF($AB$3:AB3599,1),"")</f>
        <v/>
      </c>
      <c r="AD3599" s="117" t="str">
        <f>IFERROR(INDEX($AA$3:$AA$10000,MATCH(ROWS($AC$3:AC3599),$AC$3:$AC$10000,0)),"")</f>
        <v/>
      </c>
    </row>
    <row r="3600" spans="27:30">
      <c r="AA3600" s="117">
        <f>+'Ingredient List - Mother Tinctu'!D3601</f>
        <v>0</v>
      </c>
      <c r="AB3600" s="117">
        <f t="shared" si="59"/>
        <v>0</v>
      </c>
      <c r="AC3600" s="117" t="str">
        <f>IF(AB3600=1,COUNTIF($AB$3:AB3600,1),"")</f>
        <v/>
      </c>
      <c r="AD3600" s="117" t="str">
        <f>IFERROR(INDEX($AA$3:$AA$10000,MATCH(ROWS($AC$3:AC3600),$AC$3:$AC$10000,0)),"")</f>
        <v/>
      </c>
    </row>
    <row r="3601" spans="27:30">
      <c r="AA3601" s="117">
        <f>+'Ingredient List - Mother Tinctu'!D3602</f>
        <v>0</v>
      </c>
      <c r="AB3601" s="117">
        <f t="shared" si="59"/>
        <v>0</v>
      </c>
      <c r="AC3601" s="117" t="str">
        <f>IF(AB3601=1,COUNTIF($AB$3:AB3601,1),"")</f>
        <v/>
      </c>
      <c r="AD3601" s="117" t="str">
        <f>IFERROR(INDEX($AA$3:$AA$10000,MATCH(ROWS($AC$3:AC3601),$AC$3:$AC$10000,0)),"")</f>
        <v/>
      </c>
    </row>
    <row r="3602" spans="27:30">
      <c r="AA3602" s="117">
        <f>+'Ingredient List - Mother Tinctu'!D3603</f>
        <v>0</v>
      </c>
      <c r="AB3602" s="117">
        <f t="shared" si="59"/>
        <v>0</v>
      </c>
      <c r="AC3602" s="117" t="str">
        <f>IF(AB3602=1,COUNTIF($AB$3:AB3602,1),"")</f>
        <v/>
      </c>
      <c r="AD3602" s="117" t="str">
        <f>IFERROR(INDEX($AA$3:$AA$10000,MATCH(ROWS($AC$3:AC3602),$AC$3:$AC$10000,0)),"")</f>
        <v/>
      </c>
    </row>
    <row r="3603" spans="27:30">
      <c r="AA3603" s="117">
        <f>+'Ingredient List - Mother Tinctu'!D3604</f>
        <v>0</v>
      </c>
      <c r="AB3603" s="117">
        <f t="shared" si="59"/>
        <v>0</v>
      </c>
      <c r="AC3603" s="117" t="str">
        <f>IF(AB3603=1,COUNTIF($AB$3:AB3603,1),"")</f>
        <v/>
      </c>
      <c r="AD3603" s="117" t="str">
        <f>IFERROR(INDEX($AA$3:$AA$10000,MATCH(ROWS($AC$3:AC3603),$AC$3:$AC$10000,0)),"")</f>
        <v/>
      </c>
    </row>
    <row r="3604" spans="27:30">
      <c r="AA3604" s="117">
        <f>+'Ingredient List - Mother Tinctu'!D3605</f>
        <v>0</v>
      </c>
      <c r="AB3604" s="117">
        <f t="shared" si="59"/>
        <v>0</v>
      </c>
      <c r="AC3604" s="117" t="str">
        <f>IF(AB3604=1,COUNTIF($AB$3:AB3604,1),"")</f>
        <v/>
      </c>
      <c r="AD3604" s="117" t="str">
        <f>IFERROR(INDEX($AA$3:$AA$10000,MATCH(ROWS($AC$3:AC3604),$AC$3:$AC$10000,0)),"")</f>
        <v/>
      </c>
    </row>
    <row r="3605" spans="27:30">
      <c r="AA3605" s="117">
        <f>+'Ingredient List - Mother Tinctu'!D3606</f>
        <v>0</v>
      </c>
      <c r="AB3605" s="117">
        <f t="shared" si="59"/>
        <v>0</v>
      </c>
      <c r="AC3605" s="117" t="str">
        <f>IF(AB3605=1,COUNTIF($AB$3:AB3605,1),"")</f>
        <v/>
      </c>
      <c r="AD3605" s="117" t="str">
        <f>IFERROR(INDEX($AA$3:$AA$10000,MATCH(ROWS($AC$3:AC3605),$AC$3:$AC$10000,0)),"")</f>
        <v/>
      </c>
    </row>
    <row r="3606" spans="27:30">
      <c r="AA3606" s="117">
        <f>+'Ingredient List - Mother Tinctu'!D3607</f>
        <v>0</v>
      </c>
      <c r="AB3606" s="117">
        <f t="shared" si="59"/>
        <v>0</v>
      </c>
      <c r="AC3606" s="117" t="str">
        <f>IF(AB3606=1,COUNTIF($AB$3:AB3606,1),"")</f>
        <v/>
      </c>
      <c r="AD3606" s="117" t="str">
        <f>IFERROR(INDEX($AA$3:$AA$10000,MATCH(ROWS($AC$3:AC3606),$AC$3:$AC$10000,0)),"")</f>
        <v/>
      </c>
    </row>
    <row r="3607" spans="27:30">
      <c r="AA3607" s="117">
        <f>+'Ingredient List - Mother Tinctu'!D3608</f>
        <v>0</v>
      </c>
      <c r="AB3607" s="117">
        <f t="shared" si="59"/>
        <v>0</v>
      </c>
      <c r="AC3607" s="117" t="str">
        <f>IF(AB3607=1,COUNTIF($AB$3:AB3607,1),"")</f>
        <v/>
      </c>
      <c r="AD3607" s="117" t="str">
        <f>IFERROR(INDEX($AA$3:$AA$10000,MATCH(ROWS($AC$3:AC3607),$AC$3:$AC$10000,0)),"")</f>
        <v/>
      </c>
    </row>
    <row r="3608" spans="27:30">
      <c r="AA3608" s="117">
        <f>+'Ingredient List - Mother Tinctu'!D3609</f>
        <v>0</v>
      </c>
      <c r="AB3608" s="117">
        <f t="shared" si="59"/>
        <v>0</v>
      </c>
      <c r="AC3608" s="117" t="str">
        <f>IF(AB3608=1,COUNTIF($AB$3:AB3608,1),"")</f>
        <v/>
      </c>
      <c r="AD3608" s="117" t="str">
        <f>IFERROR(INDEX($AA$3:$AA$10000,MATCH(ROWS($AC$3:AC3608),$AC$3:$AC$10000,0)),"")</f>
        <v/>
      </c>
    </row>
    <row r="3609" spans="27:30">
      <c r="AA3609" s="117">
        <f>+'Ingredient List - Mother Tinctu'!D3610</f>
        <v>0</v>
      </c>
      <c r="AB3609" s="117">
        <f t="shared" si="59"/>
        <v>0</v>
      </c>
      <c r="AC3609" s="117" t="str">
        <f>IF(AB3609=1,COUNTIF($AB$3:AB3609,1),"")</f>
        <v/>
      </c>
      <c r="AD3609" s="117" t="str">
        <f>IFERROR(INDEX($AA$3:$AA$10000,MATCH(ROWS($AC$3:AC3609),$AC$3:$AC$10000,0)),"")</f>
        <v/>
      </c>
    </row>
    <row r="3610" spans="27:30">
      <c r="AA3610" s="117">
        <f>+'Ingredient List - Mother Tinctu'!D3611</f>
        <v>0</v>
      </c>
      <c r="AB3610" s="117">
        <f t="shared" si="59"/>
        <v>0</v>
      </c>
      <c r="AC3610" s="117" t="str">
        <f>IF(AB3610=1,COUNTIF($AB$3:AB3610,1),"")</f>
        <v/>
      </c>
      <c r="AD3610" s="117" t="str">
        <f>IFERROR(INDEX($AA$3:$AA$10000,MATCH(ROWS($AC$3:AC3610),$AC$3:$AC$10000,0)),"")</f>
        <v/>
      </c>
    </row>
    <row r="3611" spans="27:30">
      <c r="AA3611" s="117">
        <f>+'Ingredient List - Mother Tinctu'!D3612</f>
        <v>0</v>
      </c>
      <c r="AB3611" s="117">
        <f t="shared" si="59"/>
        <v>0</v>
      </c>
      <c r="AC3611" s="117" t="str">
        <f>IF(AB3611=1,COUNTIF($AB$3:AB3611,1),"")</f>
        <v/>
      </c>
      <c r="AD3611" s="117" t="str">
        <f>IFERROR(INDEX($AA$3:$AA$10000,MATCH(ROWS($AC$3:AC3611),$AC$3:$AC$10000,0)),"")</f>
        <v/>
      </c>
    </row>
    <row r="3612" spans="27:30">
      <c r="AA3612" s="117">
        <f>+'Ingredient List - Mother Tinctu'!D3613</f>
        <v>0</v>
      </c>
      <c r="AB3612" s="117">
        <f t="shared" si="59"/>
        <v>0</v>
      </c>
      <c r="AC3612" s="117" t="str">
        <f>IF(AB3612=1,COUNTIF($AB$3:AB3612,1),"")</f>
        <v/>
      </c>
      <c r="AD3612" s="117" t="str">
        <f>IFERROR(INDEX($AA$3:$AA$10000,MATCH(ROWS($AC$3:AC3612),$AC$3:$AC$10000,0)),"")</f>
        <v/>
      </c>
    </row>
    <row r="3613" spans="27:30">
      <c r="AA3613" s="117">
        <f>+'Ingredient List - Mother Tinctu'!D3614</f>
        <v>0</v>
      </c>
      <c r="AB3613" s="117">
        <f t="shared" si="59"/>
        <v>0</v>
      </c>
      <c r="AC3613" s="117" t="str">
        <f>IF(AB3613=1,COUNTIF($AB$3:AB3613,1),"")</f>
        <v/>
      </c>
      <c r="AD3613" s="117" t="str">
        <f>IFERROR(INDEX($AA$3:$AA$10000,MATCH(ROWS($AC$3:AC3613),$AC$3:$AC$10000,0)),"")</f>
        <v/>
      </c>
    </row>
    <row r="3614" spans="27:30">
      <c r="AA3614" s="117">
        <f>+'Ingredient List - Mother Tinctu'!D3615</f>
        <v>0</v>
      </c>
      <c r="AB3614" s="117">
        <f t="shared" si="59"/>
        <v>0</v>
      </c>
      <c r="AC3614" s="117" t="str">
        <f>IF(AB3614=1,COUNTIF($AB$3:AB3614,1),"")</f>
        <v/>
      </c>
      <c r="AD3614" s="117" t="str">
        <f>IFERROR(INDEX($AA$3:$AA$10000,MATCH(ROWS($AC$3:AC3614),$AC$3:$AC$10000,0)),"")</f>
        <v/>
      </c>
    </row>
    <row r="3615" spans="27:30">
      <c r="AA3615" s="117">
        <f>+'Ingredient List - Mother Tinctu'!D3616</f>
        <v>0</v>
      </c>
      <c r="AB3615" s="117">
        <f t="shared" si="59"/>
        <v>0</v>
      </c>
      <c r="AC3615" s="117" t="str">
        <f>IF(AB3615=1,COUNTIF($AB$3:AB3615,1),"")</f>
        <v/>
      </c>
      <c r="AD3615" s="117" t="str">
        <f>IFERROR(INDEX($AA$3:$AA$10000,MATCH(ROWS($AC$3:AC3615),$AC$3:$AC$10000,0)),"")</f>
        <v/>
      </c>
    </row>
    <row r="3616" spans="27:30">
      <c r="AA3616" s="117">
        <f>+'Ingredient List - Mother Tinctu'!D3617</f>
        <v>0</v>
      </c>
      <c r="AB3616" s="117">
        <f t="shared" si="59"/>
        <v>0</v>
      </c>
      <c r="AC3616" s="117" t="str">
        <f>IF(AB3616=1,COUNTIF($AB$3:AB3616,1),"")</f>
        <v/>
      </c>
      <c r="AD3616" s="117" t="str">
        <f>IFERROR(INDEX($AA$3:$AA$10000,MATCH(ROWS($AC$3:AC3616),$AC$3:$AC$10000,0)),"")</f>
        <v/>
      </c>
    </row>
    <row r="3617" spans="27:30">
      <c r="AA3617" s="117">
        <f>+'Ingredient List - Mother Tinctu'!D3618</f>
        <v>0</v>
      </c>
      <c r="AB3617" s="117">
        <f t="shared" si="59"/>
        <v>0</v>
      </c>
      <c r="AC3617" s="117" t="str">
        <f>IF(AB3617=1,COUNTIF($AB$3:AB3617,1),"")</f>
        <v/>
      </c>
      <c r="AD3617" s="117" t="str">
        <f>IFERROR(INDEX($AA$3:$AA$10000,MATCH(ROWS($AC$3:AC3617),$AC$3:$AC$10000,0)),"")</f>
        <v/>
      </c>
    </row>
    <row r="3618" spans="27:30">
      <c r="AA3618" s="117">
        <f>+'Ingredient List - Mother Tinctu'!D3619</f>
        <v>0</v>
      </c>
      <c r="AB3618" s="117">
        <f t="shared" si="59"/>
        <v>0</v>
      </c>
      <c r="AC3618" s="117" t="str">
        <f>IF(AB3618=1,COUNTIF($AB$3:AB3618,1),"")</f>
        <v/>
      </c>
      <c r="AD3618" s="117" t="str">
        <f>IFERROR(INDEX($AA$3:$AA$10000,MATCH(ROWS($AC$3:AC3618),$AC$3:$AC$10000,0)),"")</f>
        <v/>
      </c>
    </row>
    <row r="3619" spans="27:30">
      <c r="AA3619" s="117">
        <f>+'Ingredient List - Mother Tinctu'!D3620</f>
        <v>0</v>
      </c>
      <c r="AB3619" s="117">
        <f t="shared" si="59"/>
        <v>0</v>
      </c>
      <c r="AC3619" s="117" t="str">
        <f>IF(AB3619=1,COUNTIF($AB$3:AB3619,1),"")</f>
        <v/>
      </c>
      <c r="AD3619" s="117" t="str">
        <f>IFERROR(INDEX($AA$3:$AA$10000,MATCH(ROWS($AC$3:AC3619),$AC$3:$AC$10000,0)),"")</f>
        <v/>
      </c>
    </row>
    <row r="3620" spans="27:30">
      <c r="AA3620" s="117">
        <f>+'Ingredient List - Mother Tinctu'!D3621</f>
        <v>0</v>
      </c>
      <c r="AB3620" s="117">
        <f t="shared" si="59"/>
        <v>0</v>
      </c>
      <c r="AC3620" s="117" t="str">
        <f>IF(AB3620=1,COUNTIF($AB$3:AB3620,1),"")</f>
        <v/>
      </c>
      <c r="AD3620" s="117" t="str">
        <f>IFERROR(INDEX($AA$3:$AA$10000,MATCH(ROWS($AC$3:AC3620),$AC$3:$AC$10000,0)),"")</f>
        <v/>
      </c>
    </row>
    <row r="3621" spans="27:30">
      <c r="AA3621" s="117">
        <f>+'Ingredient List - Mother Tinctu'!D3622</f>
        <v>0</v>
      </c>
      <c r="AB3621" s="117">
        <f t="shared" si="59"/>
        <v>0</v>
      </c>
      <c r="AC3621" s="117" t="str">
        <f>IF(AB3621=1,COUNTIF($AB$3:AB3621,1),"")</f>
        <v/>
      </c>
      <c r="AD3621" s="117" t="str">
        <f>IFERROR(INDEX($AA$3:$AA$10000,MATCH(ROWS($AC$3:AC3621),$AC$3:$AC$10000,0)),"")</f>
        <v/>
      </c>
    </row>
    <row r="3622" spans="27:30">
      <c r="AA3622" s="117">
        <f>+'Ingredient List - Mother Tinctu'!D3623</f>
        <v>0</v>
      </c>
      <c r="AB3622" s="117">
        <f t="shared" si="59"/>
        <v>0</v>
      </c>
      <c r="AC3622" s="117" t="str">
        <f>IF(AB3622=1,COUNTIF($AB$3:AB3622,1),"")</f>
        <v/>
      </c>
      <c r="AD3622" s="117" t="str">
        <f>IFERROR(INDEX($AA$3:$AA$10000,MATCH(ROWS($AC$3:AC3622),$AC$3:$AC$10000,0)),"")</f>
        <v/>
      </c>
    </row>
    <row r="3623" spans="27:30">
      <c r="AA3623" s="117">
        <f>+'Ingredient List - Mother Tinctu'!D3624</f>
        <v>0</v>
      </c>
      <c r="AB3623" s="117">
        <f t="shared" si="59"/>
        <v>0</v>
      </c>
      <c r="AC3623" s="117" t="str">
        <f>IF(AB3623=1,COUNTIF($AB$3:AB3623,1),"")</f>
        <v/>
      </c>
      <c r="AD3623" s="117" t="str">
        <f>IFERROR(INDEX($AA$3:$AA$10000,MATCH(ROWS($AC$3:AC3623),$AC$3:$AC$10000,0)),"")</f>
        <v/>
      </c>
    </row>
    <row r="3624" spans="27:30">
      <c r="AA3624" s="117">
        <f>+'Ingredient List - Mother Tinctu'!D3625</f>
        <v>0</v>
      </c>
      <c r="AB3624" s="117">
        <f t="shared" si="59"/>
        <v>0</v>
      </c>
      <c r="AC3624" s="117" t="str">
        <f>IF(AB3624=1,COUNTIF($AB$3:AB3624,1),"")</f>
        <v/>
      </c>
      <c r="AD3624" s="117" t="str">
        <f>IFERROR(INDEX($AA$3:$AA$10000,MATCH(ROWS($AC$3:AC3624),$AC$3:$AC$10000,0)),"")</f>
        <v/>
      </c>
    </row>
    <row r="3625" spans="27:30">
      <c r="AA3625" s="117">
        <f>+'Ingredient List - Mother Tinctu'!D3626</f>
        <v>0</v>
      </c>
      <c r="AB3625" s="117">
        <f t="shared" si="59"/>
        <v>0</v>
      </c>
      <c r="AC3625" s="117" t="str">
        <f>IF(AB3625=1,COUNTIF($AB$3:AB3625,1),"")</f>
        <v/>
      </c>
      <c r="AD3625" s="117" t="str">
        <f>IFERROR(INDEX($AA$3:$AA$10000,MATCH(ROWS($AC$3:AC3625),$AC$3:$AC$10000,0)),"")</f>
        <v/>
      </c>
    </row>
    <row r="3626" spans="27:30">
      <c r="AA3626" s="117">
        <f>+'Ingredient List - Mother Tinctu'!D3627</f>
        <v>0</v>
      </c>
      <c r="AB3626" s="117">
        <f t="shared" si="59"/>
        <v>0</v>
      </c>
      <c r="AC3626" s="117" t="str">
        <f>IF(AB3626=1,COUNTIF($AB$3:AB3626,1),"")</f>
        <v/>
      </c>
      <c r="AD3626" s="117" t="str">
        <f>IFERROR(INDEX($AA$3:$AA$10000,MATCH(ROWS($AC$3:AC3626),$AC$3:$AC$10000,0)),"")</f>
        <v/>
      </c>
    </row>
    <row r="3627" spans="27:30">
      <c r="AA3627" s="117">
        <f>+'Ingredient List - Mother Tinctu'!D3628</f>
        <v>0</v>
      </c>
      <c r="AB3627" s="117">
        <f t="shared" si="59"/>
        <v>0</v>
      </c>
      <c r="AC3627" s="117" t="str">
        <f>IF(AB3627=1,COUNTIF($AB$3:AB3627,1),"")</f>
        <v/>
      </c>
      <c r="AD3627" s="117" t="str">
        <f>IFERROR(INDEX($AA$3:$AA$10000,MATCH(ROWS($AC$3:AC3627),$AC$3:$AC$10000,0)),"")</f>
        <v/>
      </c>
    </row>
    <row r="3628" spans="27:30">
      <c r="AA3628" s="117">
        <f>+'Ingredient List - Mother Tinctu'!D3629</f>
        <v>0</v>
      </c>
      <c r="AB3628" s="117">
        <f t="shared" si="59"/>
        <v>0</v>
      </c>
      <c r="AC3628" s="117" t="str">
        <f>IF(AB3628=1,COUNTIF($AB$3:AB3628,1),"")</f>
        <v/>
      </c>
      <c r="AD3628" s="117" t="str">
        <f>IFERROR(INDEX($AA$3:$AA$10000,MATCH(ROWS($AC$3:AC3628),$AC$3:$AC$10000,0)),"")</f>
        <v/>
      </c>
    </row>
    <row r="3629" spans="27:30">
      <c r="AA3629" s="117">
        <f>+'Ingredient List - Mother Tinctu'!D3630</f>
        <v>0</v>
      </c>
      <c r="AB3629" s="117">
        <f t="shared" si="59"/>
        <v>0</v>
      </c>
      <c r="AC3629" s="117" t="str">
        <f>IF(AB3629=1,COUNTIF($AB$3:AB3629,1),"")</f>
        <v/>
      </c>
      <c r="AD3629" s="117" t="str">
        <f>IFERROR(INDEX($AA$3:$AA$10000,MATCH(ROWS($AC$3:AC3629),$AC$3:$AC$10000,0)),"")</f>
        <v/>
      </c>
    </row>
    <row r="3630" spans="27:30">
      <c r="AA3630" s="117">
        <f>+'Ingredient List - Mother Tinctu'!D3631</f>
        <v>0</v>
      </c>
      <c r="AB3630" s="117">
        <f t="shared" si="59"/>
        <v>0</v>
      </c>
      <c r="AC3630" s="117" t="str">
        <f>IF(AB3630=1,COUNTIF($AB$3:AB3630,1),"")</f>
        <v/>
      </c>
      <c r="AD3630" s="117" t="str">
        <f>IFERROR(INDEX($AA$3:$AA$10000,MATCH(ROWS($AC$3:AC3630),$AC$3:$AC$10000,0)),"")</f>
        <v/>
      </c>
    </row>
    <row r="3631" spans="27:30">
      <c r="AA3631" s="117">
        <f>+'Ingredient List - Mother Tinctu'!D3632</f>
        <v>0</v>
      </c>
      <c r="AB3631" s="117">
        <f t="shared" si="59"/>
        <v>0</v>
      </c>
      <c r="AC3631" s="117" t="str">
        <f>IF(AB3631=1,COUNTIF($AB$3:AB3631,1),"")</f>
        <v/>
      </c>
      <c r="AD3631" s="117" t="str">
        <f>IFERROR(INDEX($AA$3:$AA$10000,MATCH(ROWS($AC$3:AC3631),$AC$3:$AC$10000,0)),"")</f>
        <v/>
      </c>
    </row>
    <row r="3632" spans="27:30">
      <c r="AA3632" s="117">
        <f>+'Ingredient List - Mother Tinctu'!D3633</f>
        <v>0</v>
      </c>
      <c r="AB3632" s="117">
        <f t="shared" si="59"/>
        <v>0</v>
      </c>
      <c r="AC3632" s="117" t="str">
        <f>IF(AB3632=1,COUNTIF($AB$3:AB3632,1),"")</f>
        <v/>
      </c>
      <c r="AD3632" s="117" t="str">
        <f>IFERROR(INDEX($AA$3:$AA$10000,MATCH(ROWS($AC$3:AC3632),$AC$3:$AC$10000,0)),"")</f>
        <v/>
      </c>
    </row>
    <row r="3633" spans="27:30">
      <c r="AA3633" s="117">
        <f>+'Ingredient List - Mother Tinctu'!D3634</f>
        <v>0</v>
      </c>
      <c r="AB3633" s="117">
        <f t="shared" si="59"/>
        <v>0</v>
      </c>
      <c r="AC3633" s="117" t="str">
        <f>IF(AB3633=1,COUNTIF($AB$3:AB3633,1),"")</f>
        <v/>
      </c>
      <c r="AD3633" s="117" t="str">
        <f>IFERROR(INDEX($AA$3:$AA$10000,MATCH(ROWS($AC$3:AC3633),$AC$3:$AC$10000,0)),"")</f>
        <v/>
      </c>
    </row>
    <row r="3634" spans="27:30">
      <c r="AA3634" s="117">
        <f>+'Ingredient List - Mother Tinctu'!D3635</f>
        <v>0</v>
      </c>
      <c r="AB3634" s="117">
        <f t="shared" si="59"/>
        <v>0</v>
      </c>
      <c r="AC3634" s="117" t="str">
        <f>IF(AB3634=1,COUNTIF($AB$3:AB3634,1),"")</f>
        <v/>
      </c>
      <c r="AD3634" s="117" t="str">
        <f>IFERROR(INDEX($AA$3:$AA$10000,MATCH(ROWS($AC$3:AC3634),$AC$3:$AC$10000,0)),"")</f>
        <v/>
      </c>
    </row>
    <row r="3635" spans="27:30">
      <c r="AA3635" s="117">
        <f>+'Ingredient List - Mother Tinctu'!D3636</f>
        <v>0</v>
      </c>
      <c r="AB3635" s="117">
        <f t="shared" si="59"/>
        <v>0</v>
      </c>
      <c r="AC3635" s="117" t="str">
        <f>IF(AB3635=1,COUNTIF($AB$3:AB3635,1),"")</f>
        <v/>
      </c>
      <c r="AD3635" s="117" t="str">
        <f>IFERROR(INDEX($AA$3:$AA$10000,MATCH(ROWS($AC$3:AC3635),$AC$3:$AC$10000,0)),"")</f>
        <v/>
      </c>
    </row>
    <row r="3636" spans="27:30">
      <c r="AA3636" s="117">
        <f>+'Ingredient List - Mother Tinctu'!D3637</f>
        <v>0</v>
      </c>
      <c r="AB3636" s="117">
        <f t="shared" si="59"/>
        <v>0</v>
      </c>
      <c r="AC3636" s="117" t="str">
        <f>IF(AB3636=1,COUNTIF($AB$3:AB3636,1),"")</f>
        <v/>
      </c>
      <c r="AD3636" s="117" t="str">
        <f>IFERROR(INDEX($AA$3:$AA$10000,MATCH(ROWS($AC$3:AC3636),$AC$3:$AC$10000,0)),"")</f>
        <v/>
      </c>
    </row>
    <row r="3637" spans="27:30">
      <c r="AA3637" s="117">
        <f>+'Ingredient List - Mother Tinctu'!D3638</f>
        <v>0</v>
      </c>
      <c r="AB3637" s="117">
        <f t="shared" si="59"/>
        <v>0</v>
      </c>
      <c r="AC3637" s="117" t="str">
        <f>IF(AB3637=1,COUNTIF($AB$3:AB3637,1),"")</f>
        <v/>
      </c>
      <c r="AD3637" s="117" t="str">
        <f>IFERROR(INDEX($AA$3:$AA$10000,MATCH(ROWS($AC$3:AC3637),$AC$3:$AC$10000,0)),"")</f>
        <v/>
      </c>
    </row>
    <row r="3638" spans="27:30">
      <c r="AA3638" s="117">
        <f>+'Ingredient List - Mother Tinctu'!D3639</f>
        <v>0</v>
      </c>
      <c r="AB3638" s="117">
        <f t="shared" si="59"/>
        <v>0</v>
      </c>
      <c r="AC3638" s="117" t="str">
        <f>IF(AB3638=1,COUNTIF($AB$3:AB3638,1),"")</f>
        <v/>
      </c>
      <c r="AD3638" s="117" t="str">
        <f>IFERROR(INDEX($AA$3:$AA$10000,MATCH(ROWS($AC$3:AC3638),$AC$3:$AC$10000,0)),"")</f>
        <v/>
      </c>
    </row>
    <row r="3639" spans="27:30">
      <c r="AA3639" s="117">
        <f>+'Ingredient List - Mother Tinctu'!D3640</f>
        <v>0</v>
      </c>
      <c r="AB3639" s="117">
        <f t="shared" si="59"/>
        <v>0</v>
      </c>
      <c r="AC3639" s="117" t="str">
        <f>IF(AB3639=1,COUNTIF($AB$3:AB3639,1),"")</f>
        <v/>
      </c>
      <c r="AD3639" s="117" t="str">
        <f>IFERROR(INDEX($AA$3:$AA$10000,MATCH(ROWS($AC$3:AC3639),$AC$3:$AC$10000,0)),"")</f>
        <v/>
      </c>
    </row>
    <row r="3640" spans="27:30">
      <c r="AA3640" s="117">
        <f>+'Ingredient List - Mother Tinctu'!D3641</f>
        <v>0</v>
      </c>
      <c r="AB3640" s="117">
        <f t="shared" si="59"/>
        <v>0</v>
      </c>
      <c r="AC3640" s="117" t="str">
        <f>IF(AB3640=1,COUNTIF($AB$3:AB3640,1),"")</f>
        <v/>
      </c>
      <c r="AD3640" s="117" t="str">
        <f>IFERROR(INDEX($AA$3:$AA$10000,MATCH(ROWS($AC$3:AC3640),$AC$3:$AC$10000,0)),"")</f>
        <v/>
      </c>
    </row>
    <row r="3641" spans="27:30">
      <c r="AA3641" s="117">
        <f>+'Ingredient List - Mother Tinctu'!D3642</f>
        <v>0</v>
      </c>
      <c r="AB3641" s="117">
        <f t="shared" si="59"/>
        <v>0</v>
      </c>
      <c r="AC3641" s="117" t="str">
        <f>IF(AB3641=1,COUNTIF($AB$3:AB3641,1),"")</f>
        <v/>
      </c>
      <c r="AD3641" s="117" t="str">
        <f>IFERROR(INDEX($AA$3:$AA$10000,MATCH(ROWS($AC$3:AC3641),$AC$3:$AC$10000,0)),"")</f>
        <v/>
      </c>
    </row>
    <row r="3642" spans="27:30">
      <c r="AA3642" s="117">
        <f>+'Ingredient List - Mother Tinctu'!D3643</f>
        <v>0</v>
      </c>
      <c r="AB3642" s="117">
        <f t="shared" si="59"/>
        <v>0</v>
      </c>
      <c r="AC3642" s="117" t="str">
        <f>IF(AB3642=1,COUNTIF($AB$3:AB3642,1),"")</f>
        <v/>
      </c>
      <c r="AD3642" s="117" t="str">
        <f>IFERROR(INDEX($AA$3:$AA$10000,MATCH(ROWS($AC$3:AC3642),$AC$3:$AC$10000,0)),"")</f>
        <v/>
      </c>
    </row>
    <row r="3643" spans="27:30">
      <c r="AA3643" s="117">
        <f>+'Ingredient List - Mother Tinctu'!D3644</f>
        <v>0</v>
      </c>
      <c r="AB3643" s="117">
        <f t="shared" si="59"/>
        <v>0</v>
      </c>
      <c r="AC3643" s="117" t="str">
        <f>IF(AB3643=1,COUNTIF($AB$3:AB3643,1),"")</f>
        <v/>
      </c>
      <c r="AD3643" s="117" t="str">
        <f>IFERROR(INDEX($AA$3:$AA$10000,MATCH(ROWS($AC$3:AC3643),$AC$3:$AC$10000,0)),"")</f>
        <v/>
      </c>
    </row>
    <row r="3644" spans="27:30">
      <c r="AA3644" s="117">
        <f>+'Ingredient List - Mother Tinctu'!D3645</f>
        <v>0</v>
      </c>
      <c r="AB3644" s="117">
        <f t="shared" si="59"/>
        <v>0</v>
      </c>
      <c r="AC3644" s="117" t="str">
        <f>IF(AB3644=1,COUNTIF($AB$3:AB3644,1),"")</f>
        <v/>
      </c>
      <c r="AD3644" s="117" t="str">
        <f>IFERROR(INDEX($AA$3:$AA$10000,MATCH(ROWS($AC$3:AC3644),$AC$3:$AC$10000,0)),"")</f>
        <v/>
      </c>
    </row>
    <row r="3645" spans="27:30">
      <c r="AA3645" s="117">
        <f>+'Ingredient List - Mother Tinctu'!D3646</f>
        <v>0</v>
      </c>
      <c r="AB3645" s="117">
        <f t="shared" si="59"/>
        <v>0</v>
      </c>
      <c r="AC3645" s="117" t="str">
        <f>IF(AB3645=1,COUNTIF($AB$3:AB3645,1),"")</f>
        <v/>
      </c>
      <c r="AD3645" s="117" t="str">
        <f>IFERROR(INDEX($AA$3:$AA$10000,MATCH(ROWS($AC$3:AC3645),$AC$3:$AC$10000,0)),"")</f>
        <v/>
      </c>
    </row>
    <row r="3646" spans="27:30">
      <c r="AA3646" s="117">
        <f>+'Ingredient List - Mother Tinctu'!D3647</f>
        <v>0</v>
      </c>
      <c r="AB3646" s="117">
        <f t="shared" si="59"/>
        <v>0</v>
      </c>
      <c r="AC3646" s="117" t="str">
        <f>IF(AB3646=1,COUNTIF($AB$3:AB3646,1),"")</f>
        <v/>
      </c>
      <c r="AD3646" s="117" t="str">
        <f>IFERROR(INDEX($AA$3:$AA$10000,MATCH(ROWS($AC$3:AC3646),$AC$3:$AC$10000,0)),"")</f>
        <v/>
      </c>
    </row>
    <row r="3647" spans="27:30">
      <c r="AA3647" s="117">
        <f>+'Ingredient List - Mother Tinctu'!D3648</f>
        <v>0</v>
      </c>
      <c r="AB3647" s="117">
        <f t="shared" si="59"/>
        <v>0</v>
      </c>
      <c r="AC3647" s="117" t="str">
        <f>IF(AB3647=1,COUNTIF($AB$3:AB3647,1),"")</f>
        <v/>
      </c>
      <c r="AD3647" s="117" t="str">
        <f>IFERROR(INDEX($AA$3:$AA$10000,MATCH(ROWS($AC$3:AC3647),$AC$3:$AC$10000,0)),"")</f>
        <v/>
      </c>
    </row>
    <row r="3648" spans="27:30">
      <c r="AA3648" s="117">
        <f>+'Ingredient List - Mother Tinctu'!D3649</f>
        <v>0</v>
      </c>
      <c r="AB3648" s="117">
        <f t="shared" si="59"/>
        <v>0</v>
      </c>
      <c r="AC3648" s="117" t="str">
        <f>IF(AB3648=1,COUNTIF($AB$3:AB3648,1),"")</f>
        <v/>
      </c>
      <c r="AD3648" s="117" t="str">
        <f>IFERROR(INDEX($AA$3:$AA$10000,MATCH(ROWS($AC$3:AC3648),$AC$3:$AC$10000,0)),"")</f>
        <v/>
      </c>
    </row>
    <row r="3649" spans="27:30">
      <c r="AA3649" s="117">
        <f>+'Ingredient List - Mother Tinctu'!D3650</f>
        <v>0</v>
      </c>
      <c r="AB3649" s="117">
        <f t="shared" si="59"/>
        <v>0</v>
      </c>
      <c r="AC3649" s="117" t="str">
        <f>IF(AB3649=1,COUNTIF($AB$3:AB3649,1),"")</f>
        <v/>
      </c>
      <c r="AD3649" s="117" t="str">
        <f>IFERROR(INDEX($AA$3:$AA$10000,MATCH(ROWS($AC$3:AC3649),$AC$3:$AC$10000,0)),"")</f>
        <v/>
      </c>
    </row>
    <row r="3650" spans="27:30">
      <c r="AA3650" s="117">
        <f>+'Ingredient List - Mother Tinctu'!D3651</f>
        <v>0</v>
      </c>
      <c r="AB3650" s="117">
        <f t="shared" si="59"/>
        <v>0</v>
      </c>
      <c r="AC3650" s="117" t="str">
        <f>IF(AB3650=1,COUNTIF($AB$3:AB3650,1),"")</f>
        <v/>
      </c>
      <c r="AD3650" s="117" t="str">
        <f>IFERROR(INDEX($AA$3:$AA$10000,MATCH(ROWS($AC$3:AC3650),$AC$3:$AC$10000,0)),"")</f>
        <v/>
      </c>
    </row>
    <row r="3651" spans="27:30">
      <c r="AA3651" s="117">
        <f>+'Ingredient List - Mother Tinctu'!D3652</f>
        <v>0</v>
      </c>
      <c r="AB3651" s="117">
        <f t="shared" si="59"/>
        <v>0</v>
      </c>
      <c r="AC3651" s="117" t="str">
        <f>IF(AB3651=1,COUNTIF($AB$3:AB3651,1),"")</f>
        <v/>
      </c>
      <c r="AD3651" s="117" t="str">
        <f>IFERROR(INDEX($AA$3:$AA$10000,MATCH(ROWS($AC$3:AC3651),$AC$3:$AC$10000,0)),"")</f>
        <v/>
      </c>
    </row>
    <row r="3652" spans="27:30">
      <c r="AA3652" s="117">
        <f>+'Ingredient List - Mother Tinctu'!D3653</f>
        <v>0</v>
      </c>
      <c r="AB3652" s="117">
        <f t="shared" ref="AB3652:AB3715" si="60">--ISNUMBER(IFERROR(SEARCH($D$3,AA3652,1),""))</f>
        <v>0</v>
      </c>
      <c r="AC3652" s="117" t="str">
        <f>IF(AB3652=1,COUNTIF($AB$3:AB3652,1),"")</f>
        <v/>
      </c>
      <c r="AD3652" s="117" t="str">
        <f>IFERROR(INDEX($AA$3:$AA$10000,MATCH(ROWS($AC$3:AC3652),$AC$3:$AC$10000,0)),"")</f>
        <v/>
      </c>
    </row>
    <row r="3653" spans="27:30">
      <c r="AA3653" s="117">
        <f>+'Ingredient List - Mother Tinctu'!D3654</f>
        <v>0</v>
      </c>
      <c r="AB3653" s="117">
        <f t="shared" si="60"/>
        <v>0</v>
      </c>
      <c r="AC3653" s="117" t="str">
        <f>IF(AB3653=1,COUNTIF($AB$3:AB3653,1),"")</f>
        <v/>
      </c>
      <c r="AD3653" s="117" t="str">
        <f>IFERROR(INDEX($AA$3:$AA$10000,MATCH(ROWS($AC$3:AC3653),$AC$3:$AC$10000,0)),"")</f>
        <v/>
      </c>
    </row>
    <row r="3654" spans="27:30">
      <c r="AA3654" s="117">
        <f>+'Ingredient List - Mother Tinctu'!D3655</f>
        <v>0</v>
      </c>
      <c r="AB3654" s="117">
        <f t="shared" si="60"/>
        <v>0</v>
      </c>
      <c r="AC3654" s="117" t="str">
        <f>IF(AB3654=1,COUNTIF($AB$3:AB3654,1),"")</f>
        <v/>
      </c>
      <c r="AD3654" s="117" t="str">
        <f>IFERROR(INDEX($AA$3:$AA$10000,MATCH(ROWS($AC$3:AC3654),$AC$3:$AC$10000,0)),"")</f>
        <v/>
      </c>
    </row>
    <row r="3655" spans="27:30">
      <c r="AA3655" s="117">
        <f>+'Ingredient List - Mother Tinctu'!D3656</f>
        <v>0</v>
      </c>
      <c r="AB3655" s="117">
        <f t="shared" si="60"/>
        <v>0</v>
      </c>
      <c r="AC3655" s="117" t="str">
        <f>IF(AB3655=1,COUNTIF($AB$3:AB3655,1),"")</f>
        <v/>
      </c>
      <c r="AD3655" s="117" t="str">
        <f>IFERROR(INDEX($AA$3:$AA$10000,MATCH(ROWS($AC$3:AC3655),$AC$3:$AC$10000,0)),"")</f>
        <v/>
      </c>
    </row>
    <row r="3656" spans="27:30">
      <c r="AA3656" s="117">
        <f>+'Ingredient List - Mother Tinctu'!D3657</f>
        <v>0</v>
      </c>
      <c r="AB3656" s="117">
        <f t="shared" si="60"/>
        <v>0</v>
      </c>
      <c r="AC3656" s="117" t="str">
        <f>IF(AB3656=1,COUNTIF($AB$3:AB3656,1),"")</f>
        <v/>
      </c>
      <c r="AD3656" s="117" t="str">
        <f>IFERROR(INDEX($AA$3:$AA$10000,MATCH(ROWS($AC$3:AC3656),$AC$3:$AC$10000,0)),"")</f>
        <v/>
      </c>
    </row>
    <row r="3657" spans="27:30">
      <c r="AA3657" s="117">
        <f>+'Ingredient List - Mother Tinctu'!D3658</f>
        <v>0</v>
      </c>
      <c r="AB3657" s="117">
        <f t="shared" si="60"/>
        <v>0</v>
      </c>
      <c r="AC3657" s="117" t="str">
        <f>IF(AB3657=1,COUNTIF($AB$3:AB3657,1),"")</f>
        <v/>
      </c>
      <c r="AD3657" s="117" t="str">
        <f>IFERROR(INDEX($AA$3:$AA$10000,MATCH(ROWS($AC$3:AC3657),$AC$3:$AC$10000,0)),"")</f>
        <v/>
      </c>
    </row>
    <row r="3658" spans="27:30">
      <c r="AA3658" s="117">
        <f>+'Ingredient List - Mother Tinctu'!D3659</f>
        <v>0</v>
      </c>
      <c r="AB3658" s="117">
        <f t="shared" si="60"/>
        <v>0</v>
      </c>
      <c r="AC3658" s="117" t="str">
        <f>IF(AB3658=1,COUNTIF($AB$3:AB3658,1),"")</f>
        <v/>
      </c>
      <c r="AD3658" s="117" t="str">
        <f>IFERROR(INDEX($AA$3:$AA$10000,MATCH(ROWS($AC$3:AC3658),$AC$3:$AC$10000,0)),"")</f>
        <v/>
      </c>
    </row>
    <row r="3659" spans="27:30">
      <c r="AA3659" s="117">
        <f>+'Ingredient List - Mother Tinctu'!D3660</f>
        <v>0</v>
      </c>
      <c r="AB3659" s="117">
        <f t="shared" si="60"/>
        <v>0</v>
      </c>
      <c r="AC3659" s="117" t="str">
        <f>IF(AB3659=1,COUNTIF($AB$3:AB3659,1),"")</f>
        <v/>
      </c>
      <c r="AD3659" s="117" t="str">
        <f>IFERROR(INDEX($AA$3:$AA$10000,MATCH(ROWS($AC$3:AC3659),$AC$3:$AC$10000,0)),"")</f>
        <v/>
      </c>
    </row>
    <row r="3660" spans="27:30">
      <c r="AA3660" s="117">
        <f>+'Ingredient List - Mother Tinctu'!D3661</f>
        <v>0</v>
      </c>
      <c r="AB3660" s="117">
        <f t="shared" si="60"/>
        <v>0</v>
      </c>
      <c r="AC3660" s="117" t="str">
        <f>IF(AB3660=1,COUNTIF($AB$3:AB3660,1),"")</f>
        <v/>
      </c>
      <c r="AD3660" s="117" t="str">
        <f>IFERROR(INDEX($AA$3:$AA$10000,MATCH(ROWS($AC$3:AC3660),$AC$3:$AC$10000,0)),"")</f>
        <v/>
      </c>
    </row>
    <row r="3661" spans="27:30">
      <c r="AA3661" s="117">
        <f>+'Ingredient List - Mother Tinctu'!D3662</f>
        <v>0</v>
      </c>
      <c r="AB3661" s="117">
        <f t="shared" si="60"/>
        <v>0</v>
      </c>
      <c r="AC3661" s="117" t="str">
        <f>IF(AB3661=1,COUNTIF($AB$3:AB3661,1),"")</f>
        <v/>
      </c>
      <c r="AD3661" s="117" t="str">
        <f>IFERROR(INDEX($AA$3:$AA$10000,MATCH(ROWS($AC$3:AC3661),$AC$3:$AC$10000,0)),"")</f>
        <v/>
      </c>
    </row>
    <row r="3662" spans="27:30">
      <c r="AA3662" s="117">
        <f>+'Ingredient List - Mother Tinctu'!D3663</f>
        <v>0</v>
      </c>
      <c r="AB3662" s="117">
        <f t="shared" si="60"/>
        <v>0</v>
      </c>
      <c r="AC3662" s="117" t="str">
        <f>IF(AB3662=1,COUNTIF($AB$3:AB3662,1),"")</f>
        <v/>
      </c>
      <c r="AD3662" s="117" t="str">
        <f>IFERROR(INDEX($AA$3:$AA$10000,MATCH(ROWS($AC$3:AC3662),$AC$3:$AC$10000,0)),"")</f>
        <v/>
      </c>
    </row>
    <row r="3663" spans="27:30">
      <c r="AA3663" s="117">
        <f>+'Ingredient List - Mother Tinctu'!D3664</f>
        <v>0</v>
      </c>
      <c r="AB3663" s="117">
        <f t="shared" si="60"/>
        <v>0</v>
      </c>
      <c r="AC3663" s="117" t="str">
        <f>IF(AB3663=1,COUNTIF($AB$3:AB3663,1),"")</f>
        <v/>
      </c>
      <c r="AD3663" s="117" t="str">
        <f>IFERROR(INDEX($AA$3:$AA$10000,MATCH(ROWS($AC$3:AC3663),$AC$3:$AC$10000,0)),"")</f>
        <v/>
      </c>
    </row>
    <row r="3664" spans="27:30">
      <c r="AA3664" s="117">
        <f>+'Ingredient List - Mother Tinctu'!D3665</f>
        <v>0</v>
      </c>
      <c r="AB3664" s="117">
        <f t="shared" si="60"/>
        <v>0</v>
      </c>
      <c r="AC3664" s="117" t="str">
        <f>IF(AB3664=1,COUNTIF($AB$3:AB3664,1),"")</f>
        <v/>
      </c>
      <c r="AD3664" s="117" t="str">
        <f>IFERROR(INDEX($AA$3:$AA$10000,MATCH(ROWS($AC$3:AC3664),$AC$3:$AC$10000,0)),"")</f>
        <v/>
      </c>
    </row>
    <row r="3665" spans="27:30">
      <c r="AA3665" s="117">
        <f>+'Ingredient List - Mother Tinctu'!D3666</f>
        <v>0</v>
      </c>
      <c r="AB3665" s="117">
        <f t="shared" si="60"/>
        <v>0</v>
      </c>
      <c r="AC3665" s="117" t="str">
        <f>IF(AB3665=1,COUNTIF($AB$3:AB3665,1),"")</f>
        <v/>
      </c>
      <c r="AD3665" s="117" t="str">
        <f>IFERROR(INDEX($AA$3:$AA$10000,MATCH(ROWS($AC$3:AC3665),$AC$3:$AC$10000,0)),"")</f>
        <v/>
      </c>
    </row>
    <row r="3666" spans="27:30">
      <c r="AA3666" s="117">
        <f>+'Ingredient List - Mother Tinctu'!D3667</f>
        <v>0</v>
      </c>
      <c r="AB3666" s="117">
        <f t="shared" si="60"/>
        <v>0</v>
      </c>
      <c r="AC3666" s="117" t="str">
        <f>IF(AB3666=1,COUNTIF($AB$3:AB3666,1),"")</f>
        <v/>
      </c>
      <c r="AD3666" s="117" t="str">
        <f>IFERROR(INDEX($AA$3:$AA$10000,MATCH(ROWS($AC$3:AC3666),$AC$3:$AC$10000,0)),"")</f>
        <v/>
      </c>
    </row>
    <row r="3667" spans="27:30">
      <c r="AA3667" s="117">
        <f>+'Ingredient List - Mother Tinctu'!D3668</f>
        <v>0</v>
      </c>
      <c r="AB3667" s="117">
        <f t="shared" si="60"/>
        <v>0</v>
      </c>
      <c r="AC3667" s="117" t="str">
        <f>IF(AB3667=1,COUNTIF($AB$3:AB3667,1),"")</f>
        <v/>
      </c>
      <c r="AD3667" s="117" t="str">
        <f>IFERROR(INDEX($AA$3:$AA$10000,MATCH(ROWS($AC$3:AC3667),$AC$3:$AC$10000,0)),"")</f>
        <v/>
      </c>
    </row>
    <row r="3668" spans="27:30">
      <c r="AA3668" s="117">
        <f>+'Ingredient List - Mother Tinctu'!D3669</f>
        <v>0</v>
      </c>
      <c r="AB3668" s="117">
        <f t="shared" si="60"/>
        <v>0</v>
      </c>
      <c r="AC3668" s="117" t="str">
        <f>IF(AB3668=1,COUNTIF($AB$3:AB3668,1),"")</f>
        <v/>
      </c>
      <c r="AD3668" s="117" t="str">
        <f>IFERROR(INDEX($AA$3:$AA$10000,MATCH(ROWS($AC$3:AC3668),$AC$3:$AC$10000,0)),"")</f>
        <v/>
      </c>
    </row>
    <row r="3669" spans="27:30">
      <c r="AA3669" s="117">
        <f>+'Ingredient List - Mother Tinctu'!D3670</f>
        <v>0</v>
      </c>
      <c r="AB3669" s="117">
        <f t="shared" si="60"/>
        <v>0</v>
      </c>
      <c r="AC3669" s="117" t="str">
        <f>IF(AB3669=1,COUNTIF($AB$3:AB3669,1),"")</f>
        <v/>
      </c>
      <c r="AD3669" s="117" t="str">
        <f>IFERROR(INDEX($AA$3:$AA$10000,MATCH(ROWS($AC$3:AC3669),$AC$3:$AC$10000,0)),"")</f>
        <v/>
      </c>
    </row>
    <row r="3670" spans="27:30">
      <c r="AA3670" s="117">
        <f>+'Ingredient List - Mother Tinctu'!D3671</f>
        <v>0</v>
      </c>
      <c r="AB3670" s="117">
        <f t="shared" si="60"/>
        <v>0</v>
      </c>
      <c r="AC3670" s="117" t="str">
        <f>IF(AB3670=1,COUNTIF($AB$3:AB3670,1),"")</f>
        <v/>
      </c>
      <c r="AD3670" s="117" t="str">
        <f>IFERROR(INDEX($AA$3:$AA$10000,MATCH(ROWS($AC$3:AC3670),$AC$3:$AC$10000,0)),"")</f>
        <v/>
      </c>
    </row>
    <row r="3671" spans="27:30">
      <c r="AA3671" s="117">
        <f>+'Ingredient List - Mother Tinctu'!D3672</f>
        <v>0</v>
      </c>
      <c r="AB3671" s="117">
        <f t="shared" si="60"/>
        <v>0</v>
      </c>
      <c r="AC3671" s="117" t="str">
        <f>IF(AB3671=1,COUNTIF($AB$3:AB3671,1),"")</f>
        <v/>
      </c>
      <c r="AD3671" s="117" t="str">
        <f>IFERROR(INDEX($AA$3:$AA$10000,MATCH(ROWS($AC$3:AC3671),$AC$3:$AC$10000,0)),"")</f>
        <v/>
      </c>
    </row>
    <row r="3672" spans="27:30">
      <c r="AA3672" s="117">
        <f>+'Ingredient List - Mother Tinctu'!D3673</f>
        <v>0</v>
      </c>
      <c r="AB3672" s="117">
        <f t="shared" si="60"/>
        <v>0</v>
      </c>
      <c r="AC3672" s="117" t="str">
        <f>IF(AB3672=1,COUNTIF($AB$3:AB3672,1),"")</f>
        <v/>
      </c>
      <c r="AD3672" s="117" t="str">
        <f>IFERROR(INDEX($AA$3:$AA$10000,MATCH(ROWS($AC$3:AC3672),$AC$3:$AC$10000,0)),"")</f>
        <v/>
      </c>
    </row>
    <row r="3673" spans="27:30">
      <c r="AA3673" s="117">
        <f>+'Ingredient List - Mother Tinctu'!D3674</f>
        <v>0</v>
      </c>
      <c r="AB3673" s="117">
        <f t="shared" si="60"/>
        <v>0</v>
      </c>
      <c r="AC3673" s="117" t="str">
        <f>IF(AB3673=1,COUNTIF($AB$3:AB3673,1),"")</f>
        <v/>
      </c>
      <c r="AD3673" s="117" t="str">
        <f>IFERROR(INDEX($AA$3:$AA$10000,MATCH(ROWS($AC$3:AC3673),$AC$3:$AC$10000,0)),"")</f>
        <v/>
      </c>
    </row>
    <row r="3674" spans="27:30">
      <c r="AA3674" s="117">
        <f>+'Ingredient List - Mother Tinctu'!D3675</f>
        <v>0</v>
      </c>
      <c r="AB3674" s="117">
        <f t="shared" si="60"/>
        <v>0</v>
      </c>
      <c r="AC3674" s="117" t="str">
        <f>IF(AB3674=1,COUNTIF($AB$3:AB3674,1),"")</f>
        <v/>
      </c>
      <c r="AD3674" s="117" t="str">
        <f>IFERROR(INDEX($AA$3:$AA$10000,MATCH(ROWS($AC$3:AC3674),$AC$3:$AC$10000,0)),"")</f>
        <v/>
      </c>
    </row>
    <row r="3675" spans="27:30">
      <c r="AA3675" s="117">
        <f>+'Ingredient List - Mother Tinctu'!D3676</f>
        <v>0</v>
      </c>
      <c r="AB3675" s="117">
        <f t="shared" si="60"/>
        <v>0</v>
      </c>
      <c r="AC3675" s="117" t="str">
        <f>IF(AB3675=1,COUNTIF($AB$3:AB3675,1),"")</f>
        <v/>
      </c>
      <c r="AD3675" s="117" t="str">
        <f>IFERROR(INDEX($AA$3:$AA$10000,MATCH(ROWS($AC$3:AC3675),$AC$3:$AC$10000,0)),"")</f>
        <v/>
      </c>
    </row>
    <row r="3676" spans="27:30">
      <c r="AA3676" s="117">
        <f>+'Ingredient List - Mother Tinctu'!D3677</f>
        <v>0</v>
      </c>
      <c r="AB3676" s="117">
        <f t="shared" si="60"/>
        <v>0</v>
      </c>
      <c r="AC3676" s="117" t="str">
        <f>IF(AB3676=1,COUNTIF($AB$3:AB3676,1),"")</f>
        <v/>
      </c>
      <c r="AD3676" s="117" t="str">
        <f>IFERROR(INDEX($AA$3:$AA$10000,MATCH(ROWS($AC$3:AC3676),$AC$3:$AC$10000,0)),"")</f>
        <v/>
      </c>
    </row>
    <row r="3677" spans="27:30">
      <c r="AA3677" s="117">
        <f>+'Ingredient List - Mother Tinctu'!D3678</f>
        <v>0</v>
      </c>
      <c r="AB3677" s="117">
        <f t="shared" si="60"/>
        <v>0</v>
      </c>
      <c r="AC3677" s="117" t="str">
        <f>IF(AB3677=1,COUNTIF($AB$3:AB3677,1),"")</f>
        <v/>
      </c>
      <c r="AD3677" s="117" t="str">
        <f>IFERROR(INDEX($AA$3:$AA$10000,MATCH(ROWS($AC$3:AC3677),$AC$3:$AC$10000,0)),"")</f>
        <v/>
      </c>
    </row>
    <row r="3678" spans="27:30">
      <c r="AA3678" s="117">
        <f>+'Ingredient List - Mother Tinctu'!D3679</f>
        <v>0</v>
      </c>
      <c r="AB3678" s="117">
        <f t="shared" si="60"/>
        <v>0</v>
      </c>
      <c r="AC3678" s="117" t="str">
        <f>IF(AB3678=1,COUNTIF($AB$3:AB3678,1),"")</f>
        <v/>
      </c>
      <c r="AD3678" s="117" t="str">
        <f>IFERROR(INDEX($AA$3:$AA$10000,MATCH(ROWS($AC$3:AC3678),$AC$3:$AC$10000,0)),"")</f>
        <v/>
      </c>
    </row>
    <row r="3679" spans="27:30">
      <c r="AA3679" s="117">
        <f>+'Ingredient List - Mother Tinctu'!D3680</f>
        <v>0</v>
      </c>
      <c r="AB3679" s="117">
        <f t="shared" si="60"/>
        <v>0</v>
      </c>
      <c r="AC3679" s="117" t="str">
        <f>IF(AB3679=1,COUNTIF($AB$3:AB3679,1),"")</f>
        <v/>
      </c>
      <c r="AD3679" s="117" t="str">
        <f>IFERROR(INDEX($AA$3:$AA$10000,MATCH(ROWS($AC$3:AC3679),$AC$3:$AC$10000,0)),"")</f>
        <v/>
      </c>
    </row>
    <row r="3680" spans="27:30">
      <c r="AA3680" s="117">
        <f>+'Ingredient List - Mother Tinctu'!D3681</f>
        <v>0</v>
      </c>
      <c r="AB3680" s="117">
        <f t="shared" si="60"/>
        <v>0</v>
      </c>
      <c r="AC3680" s="117" t="str">
        <f>IF(AB3680=1,COUNTIF($AB$3:AB3680,1),"")</f>
        <v/>
      </c>
      <c r="AD3680" s="117" t="str">
        <f>IFERROR(INDEX($AA$3:$AA$10000,MATCH(ROWS($AC$3:AC3680),$AC$3:$AC$10000,0)),"")</f>
        <v/>
      </c>
    </row>
    <row r="3681" spans="27:30">
      <c r="AA3681" s="117">
        <f>+'Ingredient List - Mother Tinctu'!D3682</f>
        <v>0</v>
      </c>
      <c r="AB3681" s="117">
        <f t="shared" si="60"/>
        <v>0</v>
      </c>
      <c r="AC3681" s="117" t="str">
        <f>IF(AB3681=1,COUNTIF($AB$3:AB3681,1),"")</f>
        <v/>
      </c>
      <c r="AD3681" s="117" t="str">
        <f>IFERROR(INDEX($AA$3:$AA$10000,MATCH(ROWS($AC$3:AC3681),$AC$3:$AC$10000,0)),"")</f>
        <v/>
      </c>
    </row>
    <row r="3682" spans="27:30">
      <c r="AA3682" s="117">
        <f>+'Ingredient List - Mother Tinctu'!D3683</f>
        <v>0</v>
      </c>
      <c r="AB3682" s="117">
        <f t="shared" si="60"/>
        <v>0</v>
      </c>
      <c r="AC3682" s="117" t="str">
        <f>IF(AB3682=1,COUNTIF($AB$3:AB3682,1),"")</f>
        <v/>
      </c>
      <c r="AD3682" s="117" t="str">
        <f>IFERROR(INDEX($AA$3:$AA$10000,MATCH(ROWS($AC$3:AC3682),$AC$3:$AC$10000,0)),"")</f>
        <v/>
      </c>
    </row>
    <row r="3683" spans="27:30">
      <c r="AA3683" s="117">
        <f>+'Ingredient List - Mother Tinctu'!D3684</f>
        <v>0</v>
      </c>
      <c r="AB3683" s="117">
        <f t="shared" si="60"/>
        <v>0</v>
      </c>
      <c r="AC3683" s="117" t="str">
        <f>IF(AB3683=1,COUNTIF($AB$3:AB3683,1),"")</f>
        <v/>
      </c>
      <c r="AD3683" s="117" t="str">
        <f>IFERROR(INDEX($AA$3:$AA$10000,MATCH(ROWS($AC$3:AC3683),$AC$3:$AC$10000,0)),"")</f>
        <v/>
      </c>
    </row>
    <row r="3684" spans="27:30">
      <c r="AA3684" s="117">
        <f>+'Ingredient List - Mother Tinctu'!D3685</f>
        <v>0</v>
      </c>
      <c r="AB3684" s="117">
        <f t="shared" si="60"/>
        <v>0</v>
      </c>
      <c r="AC3684" s="117" t="str">
        <f>IF(AB3684=1,COUNTIF($AB$3:AB3684,1),"")</f>
        <v/>
      </c>
      <c r="AD3684" s="117" t="str">
        <f>IFERROR(INDEX($AA$3:$AA$10000,MATCH(ROWS($AC$3:AC3684),$AC$3:$AC$10000,0)),"")</f>
        <v/>
      </c>
    </row>
    <row r="3685" spans="27:30">
      <c r="AA3685" s="117">
        <f>+'Ingredient List - Mother Tinctu'!D3686</f>
        <v>0</v>
      </c>
      <c r="AB3685" s="117">
        <f t="shared" si="60"/>
        <v>0</v>
      </c>
      <c r="AC3685" s="117" t="str">
        <f>IF(AB3685=1,COUNTIF($AB$3:AB3685,1),"")</f>
        <v/>
      </c>
      <c r="AD3685" s="117" t="str">
        <f>IFERROR(INDEX($AA$3:$AA$10000,MATCH(ROWS($AC$3:AC3685),$AC$3:$AC$10000,0)),"")</f>
        <v/>
      </c>
    </row>
    <row r="3686" spans="27:30">
      <c r="AA3686" s="117">
        <f>+'Ingredient List - Mother Tinctu'!D3687</f>
        <v>0</v>
      </c>
      <c r="AB3686" s="117">
        <f t="shared" si="60"/>
        <v>0</v>
      </c>
      <c r="AC3686" s="117" t="str">
        <f>IF(AB3686=1,COUNTIF($AB$3:AB3686,1),"")</f>
        <v/>
      </c>
      <c r="AD3686" s="117" t="str">
        <f>IFERROR(INDEX($AA$3:$AA$10000,MATCH(ROWS($AC$3:AC3686),$AC$3:$AC$10000,0)),"")</f>
        <v/>
      </c>
    </row>
    <row r="3687" spans="27:30">
      <c r="AA3687" s="117">
        <f>+'Ingredient List - Mother Tinctu'!D3688</f>
        <v>0</v>
      </c>
      <c r="AB3687" s="117">
        <f t="shared" si="60"/>
        <v>0</v>
      </c>
      <c r="AC3687" s="117" t="str">
        <f>IF(AB3687=1,COUNTIF($AB$3:AB3687,1),"")</f>
        <v/>
      </c>
      <c r="AD3687" s="117" t="str">
        <f>IFERROR(INDEX($AA$3:$AA$10000,MATCH(ROWS($AC$3:AC3687),$AC$3:$AC$10000,0)),"")</f>
        <v/>
      </c>
    </row>
    <row r="3688" spans="27:30">
      <c r="AA3688" s="117">
        <f>+'Ingredient List - Mother Tinctu'!D3689</f>
        <v>0</v>
      </c>
      <c r="AB3688" s="117">
        <f t="shared" si="60"/>
        <v>0</v>
      </c>
      <c r="AC3688" s="117" t="str">
        <f>IF(AB3688=1,COUNTIF($AB$3:AB3688,1),"")</f>
        <v/>
      </c>
      <c r="AD3688" s="117" t="str">
        <f>IFERROR(INDEX($AA$3:$AA$10000,MATCH(ROWS($AC$3:AC3688),$AC$3:$AC$10000,0)),"")</f>
        <v/>
      </c>
    </row>
    <row r="3689" spans="27:30">
      <c r="AA3689" s="117">
        <f>+'Ingredient List - Mother Tinctu'!D3690</f>
        <v>0</v>
      </c>
      <c r="AB3689" s="117">
        <f t="shared" si="60"/>
        <v>0</v>
      </c>
      <c r="AC3689" s="117" t="str">
        <f>IF(AB3689=1,COUNTIF($AB$3:AB3689,1),"")</f>
        <v/>
      </c>
      <c r="AD3689" s="117" t="str">
        <f>IFERROR(INDEX($AA$3:$AA$10000,MATCH(ROWS($AC$3:AC3689),$AC$3:$AC$10000,0)),"")</f>
        <v/>
      </c>
    </row>
    <row r="3690" spans="27:30">
      <c r="AA3690" s="117">
        <f>+'Ingredient List - Mother Tinctu'!D3691</f>
        <v>0</v>
      </c>
      <c r="AB3690" s="117">
        <f t="shared" si="60"/>
        <v>0</v>
      </c>
      <c r="AC3690" s="117" t="str">
        <f>IF(AB3690=1,COUNTIF($AB$3:AB3690,1),"")</f>
        <v/>
      </c>
      <c r="AD3690" s="117" t="str">
        <f>IFERROR(INDEX($AA$3:$AA$10000,MATCH(ROWS($AC$3:AC3690),$AC$3:$AC$10000,0)),"")</f>
        <v/>
      </c>
    </row>
    <row r="3691" spans="27:30">
      <c r="AA3691" s="117">
        <f>+'Ingredient List - Mother Tinctu'!D3692</f>
        <v>0</v>
      </c>
      <c r="AB3691" s="117">
        <f t="shared" si="60"/>
        <v>0</v>
      </c>
      <c r="AC3691" s="117" t="str">
        <f>IF(AB3691=1,COUNTIF($AB$3:AB3691,1),"")</f>
        <v/>
      </c>
      <c r="AD3691" s="117" t="str">
        <f>IFERROR(INDEX($AA$3:$AA$10000,MATCH(ROWS($AC$3:AC3691),$AC$3:$AC$10000,0)),"")</f>
        <v/>
      </c>
    </row>
    <row r="3692" spans="27:30">
      <c r="AA3692" s="117">
        <f>+'Ingredient List - Mother Tinctu'!D3693</f>
        <v>0</v>
      </c>
      <c r="AB3692" s="117">
        <f t="shared" si="60"/>
        <v>0</v>
      </c>
      <c r="AC3692" s="117" t="str">
        <f>IF(AB3692=1,COUNTIF($AB$3:AB3692,1),"")</f>
        <v/>
      </c>
      <c r="AD3692" s="117" t="str">
        <f>IFERROR(INDEX($AA$3:$AA$10000,MATCH(ROWS($AC$3:AC3692),$AC$3:$AC$10000,0)),"")</f>
        <v/>
      </c>
    </row>
    <row r="3693" spans="27:30">
      <c r="AA3693" s="117">
        <f>+'Ingredient List - Mother Tinctu'!D3694</f>
        <v>0</v>
      </c>
      <c r="AB3693" s="117">
        <f t="shared" si="60"/>
        <v>0</v>
      </c>
      <c r="AC3693" s="117" t="str">
        <f>IF(AB3693=1,COUNTIF($AB$3:AB3693,1),"")</f>
        <v/>
      </c>
      <c r="AD3693" s="117" t="str">
        <f>IFERROR(INDEX($AA$3:$AA$10000,MATCH(ROWS($AC$3:AC3693),$AC$3:$AC$10000,0)),"")</f>
        <v/>
      </c>
    </row>
    <row r="3694" spans="27:30">
      <c r="AA3694" s="117">
        <f>+'Ingredient List - Mother Tinctu'!D3695</f>
        <v>0</v>
      </c>
      <c r="AB3694" s="117">
        <f t="shared" si="60"/>
        <v>0</v>
      </c>
      <c r="AC3694" s="117" t="str">
        <f>IF(AB3694=1,COUNTIF($AB$3:AB3694,1),"")</f>
        <v/>
      </c>
      <c r="AD3694" s="117" t="str">
        <f>IFERROR(INDEX($AA$3:$AA$10000,MATCH(ROWS($AC$3:AC3694),$AC$3:$AC$10000,0)),"")</f>
        <v/>
      </c>
    </row>
    <row r="3695" spans="27:30">
      <c r="AA3695" s="117">
        <f>+'Ingredient List - Mother Tinctu'!D3696</f>
        <v>0</v>
      </c>
      <c r="AB3695" s="117">
        <f t="shared" si="60"/>
        <v>0</v>
      </c>
      <c r="AC3695" s="117" t="str">
        <f>IF(AB3695=1,COUNTIF($AB$3:AB3695,1),"")</f>
        <v/>
      </c>
      <c r="AD3695" s="117" t="str">
        <f>IFERROR(INDEX($AA$3:$AA$10000,MATCH(ROWS($AC$3:AC3695),$AC$3:$AC$10000,0)),"")</f>
        <v/>
      </c>
    </row>
    <row r="3696" spans="27:30">
      <c r="AA3696" s="117">
        <f>+'Ingredient List - Mother Tinctu'!D3697</f>
        <v>0</v>
      </c>
      <c r="AB3696" s="117">
        <f t="shared" si="60"/>
        <v>0</v>
      </c>
      <c r="AC3696" s="117" t="str">
        <f>IF(AB3696=1,COUNTIF($AB$3:AB3696,1),"")</f>
        <v/>
      </c>
      <c r="AD3696" s="117" t="str">
        <f>IFERROR(INDEX($AA$3:$AA$10000,MATCH(ROWS($AC$3:AC3696),$AC$3:$AC$10000,0)),"")</f>
        <v/>
      </c>
    </row>
    <row r="3697" spans="27:30">
      <c r="AA3697" s="117">
        <f>+'Ingredient List - Mother Tinctu'!D3698</f>
        <v>0</v>
      </c>
      <c r="AB3697" s="117">
        <f t="shared" si="60"/>
        <v>0</v>
      </c>
      <c r="AC3697" s="117" t="str">
        <f>IF(AB3697=1,COUNTIF($AB$3:AB3697,1),"")</f>
        <v/>
      </c>
      <c r="AD3697" s="117" t="str">
        <f>IFERROR(INDEX($AA$3:$AA$10000,MATCH(ROWS($AC$3:AC3697),$AC$3:$AC$10000,0)),"")</f>
        <v/>
      </c>
    </row>
    <row r="3698" spans="27:30">
      <c r="AA3698" s="117">
        <f>+'Ingredient List - Mother Tinctu'!D3699</f>
        <v>0</v>
      </c>
      <c r="AB3698" s="117">
        <f t="shared" si="60"/>
        <v>0</v>
      </c>
      <c r="AC3698" s="117" t="str">
        <f>IF(AB3698=1,COUNTIF($AB$3:AB3698,1),"")</f>
        <v/>
      </c>
      <c r="AD3698" s="117" t="str">
        <f>IFERROR(INDEX($AA$3:$AA$10000,MATCH(ROWS($AC$3:AC3698),$AC$3:$AC$10000,0)),"")</f>
        <v/>
      </c>
    </row>
    <row r="3699" spans="27:30">
      <c r="AA3699" s="117">
        <f>+'Ingredient List - Mother Tinctu'!D3700</f>
        <v>0</v>
      </c>
      <c r="AB3699" s="117">
        <f t="shared" si="60"/>
        <v>0</v>
      </c>
      <c r="AC3699" s="117" t="str">
        <f>IF(AB3699=1,COUNTIF($AB$3:AB3699,1),"")</f>
        <v/>
      </c>
      <c r="AD3699" s="117" t="str">
        <f>IFERROR(INDEX($AA$3:$AA$10000,MATCH(ROWS($AC$3:AC3699),$AC$3:$AC$10000,0)),"")</f>
        <v/>
      </c>
    </row>
    <row r="3700" spans="27:30">
      <c r="AA3700" s="117">
        <f>+'Ingredient List - Mother Tinctu'!D3701</f>
        <v>0</v>
      </c>
      <c r="AB3700" s="117">
        <f t="shared" si="60"/>
        <v>0</v>
      </c>
      <c r="AC3700" s="117" t="str">
        <f>IF(AB3700=1,COUNTIF($AB$3:AB3700,1),"")</f>
        <v/>
      </c>
      <c r="AD3700" s="117" t="str">
        <f>IFERROR(INDEX($AA$3:$AA$10000,MATCH(ROWS($AC$3:AC3700),$AC$3:$AC$10000,0)),"")</f>
        <v/>
      </c>
    </row>
    <row r="3701" spans="27:30">
      <c r="AA3701" s="117">
        <f>+'Ingredient List - Mother Tinctu'!D3702</f>
        <v>0</v>
      </c>
      <c r="AB3701" s="117">
        <f t="shared" si="60"/>
        <v>0</v>
      </c>
      <c r="AC3701" s="117" t="str">
        <f>IF(AB3701=1,COUNTIF($AB$3:AB3701,1),"")</f>
        <v/>
      </c>
      <c r="AD3701" s="117" t="str">
        <f>IFERROR(INDEX($AA$3:$AA$10000,MATCH(ROWS($AC$3:AC3701),$AC$3:$AC$10000,0)),"")</f>
        <v/>
      </c>
    </row>
    <row r="3702" spans="27:30">
      <c r="AA3702" s="117">
        <f>+'Ingredient List - Mother Tinctu'!D3703</f>
        <v>0</v>
      </c>
      <c r="AB3702" s="117">
        <f t="shared" si="60"/>
        <v>0</v>
      </c>
      <c r="AC3702" s="117" t="str">
        <f>IF(AB3702=1,COUNTIF($AB$3:AB3702,1),"")</f>
        <v/>
      </c>
      <c r="AD3702" s="117" t="str">
        <f>IFERROR(INDEX($AA$3:$AA$10000,MATCH(ROWS($AC$3:AC3702),$AC$3:$AC$10000,0)),"")</f>
        <v/>
      </c>
    </row>
    <row r="3703" spans="27:30">
      <c r="AA3703" s="117">
        <f>+'Ingredient List - Mother Tinctu'!D3704</f>
        <v>0</v>
      </c>
      <c r="AB3703" s="117">
        <f t="shared" si="60"/>
        <v>0</v>
      </c>
      <c r="AC3703" s="117" t="str">
        <f>IF(AB3703=1,COUNTIF($AB$3:AB3703,1),"")</f>
        <v/>
      </c>
      <c r="AD3703" s="117" t="str">
        <f>IFERROR(INDEX($AA$3:$AA$10000,MATCH(ROWS($AC$3:AC3703),$AC$3:$AC$10000,0)),"")</f>
        <v/>
      </c>
    </row>
    <row r="3704" spans="27:30">
      <c r="AA3704" s="117">
        <f>+'Ingredient List - Mother Tinctu'!D3705</f>
        <v>0</v>
      </c>
      <c r="AB3704" s="117">
        <f t="shared" si="60"/>
        <v>0</v>
      </c>
      <c r="AC3704" s="117" t="str">
        <f>IF(AB3704=1,COUNTIF($AB$3:AB3704,1),"")</f>
        <v/>
      </c>
      <c r="AD3704" s="117" t="str">
        <f>IFERROR(INDEX($AA$3:$AA$10000,MATCH(ROWS($AC$3:AC3704),$AC$3:$AC$10000,0)),"")</f>
        <v/>
      </c>
    </row>
    <row r="3705" spans="27:30">
      <c r="AA3705" s="117">
        <f>+'Ingredient List - Mother Tinctu'!D3706</f>
        <v>0</v>
      </c>
      <c r="AB3705" s="117">
        <f t="shared" si="60"/>
        <v>0</v>
      </c>
      <c r="AC3705" s="117" t="str">
        <f>IF(AB3705=1,COUNTIF($AB$3:AB3705,1),"")</f>
        <v/>
      </c>
      <c r="AD3705" s="117" t="str">
        <f>IFERROR(INDEX($AA$3:$AA$10000,MATCH(ROWS($AC$3:AC3705),$AC$3:$AC$10000,0)),"")</f>
        <v/>
      </c>
    </row>
    <row r="3706" spans="27:30">
      <c r="AA3706" s="117">
        <f>+'Ingredient List - Mother Tinctu'!D3707</f>
        <v>0</v>
      </c>
      <c r="AB3706" s="117">
        <f t="shared" si="60"/>
        <v>0</v>
      </c>
      <c r="AC3706" s="117" t="str">
        <f>IF(AB3706=1,COUNTIF($AB$3:AB3706,1),"")</f>
        <v/>
      </c>
      <c r="AD3706" s="117" t="str">
        <f>IFERROR(INDEX($AA$3:$AA$10000,MATCH(ROWS($AC$3:AC3706),$AC$3:$AC$10000,0)),"")</f>
        <v/>
      </c>
    </row>
    <row r="3707" spans="27:30">
      <c r="AA3707" s="117">
        <f>+'Ingredient List - Mother Tinctu'!D3708</f>
        <v>0</v>
      </c>
      <c r="AB3707" s="117">
        <f t="shared" si="60"/>
        <v>0</v>
      </c>
      <c r="AC3707" s="117" t="str">
        <f>IF(AB3707=1,COUNTIF($AB$3:AB3707,1),"")</f>
        <v/>
      </c>
      <c r="AD3707" s="117" t="str">
        <f>IFERROR(INDEX($AA$3:$AA$10000,MATCH(ROWS($AC$3:AC3707),$AC$3:$AC$10000,0)),"")</f>
        <v/>
      </c>
    </row>
    <row r="3708" spans="27:30">
      <c r="AA3708" s="117">
        <f>+'Ingredient List - Mother Tinctu'!D3709</f>
        <v>0</v>
      </c>
      <c r="AB3708" s="117">
        <f t="shared" si="60"/>
        <v>0</v>
      </c>
      <c r="AC3708" s="117" t="str">
        <f>IF(AB3708=1,COUNTIF($AB$3:AB3708,1),"")</f>
        <v/>
      </c>
      <c r="AD3708" s="117" t="str">
        <f>IFERROR(INDEX($AA$3:$AA$10000,MATCH(ROWS($AC$3:AC3708),$AC$3:$AC$10000,0)),"")</f>
        <v/>
      </c>
    </row>
    <row r="3709" spans="27:30">
      <c r="AA3709" s="117">
        <f>+'Ingredient List - Mother Tinctu'!D3710</f>
        <v>0</v>
      </c>
      <c r="AB3709" s="117">
        <f t="shared" si="60"/>
        <v>0</v>
      </c>
      <c r="AC3709" s="117" t="str">
        <f>IF(AB3709=1,COUNTIF($AB$3:AB3709,1),"")</f>
        <v/>
      </c>
      <c r="AD3709" s="117" t="str">
        <f>IFERROR(INDEX($AA$3:$AA$10000,MATCH(ROWS($AC$3:AC3709),$AC$3:$AC$10000,0)),"")</f>
        <v/>
      </c>
    </row>
    <row r="3710" spans="27:30">
      <c r="AA3710" s="117">
        <f>+'Ingredient List - Mother Tinctu'!D3711</f>
        <v>0</v>
      </c>
      <c r="AB3710" s="117">
        <f t="shared" si="60"/>
        <v>0</v>
      </c>
      <c r="AC3710" s="117" t="str">
        <f>IF(AB3710=1,COUNTIF($AB$3:AB3710,1),"")</f>
        <v/>
      </c>
      <c r="AD3710" s="117" t="str">
        <f>IFERROR(INDEX($AA$3:$AA$10000,MATCH(ROWS($AC$3:AC3710),$AC$3:$AC$10000,0)),"")</f>
        <v/>
      </c>
    </row>
    <row r="3711" spans="27:30">
      <c r="AA3711" s="117">
        <f>+'Ingredient List - Mother Tinctu'!D3712</f>
        <v>0</v>
      </c>
      <c r="AB3711" s="117">
        <f t="shared" si="60"/>
        <v>0</v>
      </c>
      <c r="AC3711" s="117" t="str">
        <f>IF(AB3711=1,COUNTIF($AB$3:AB3711,1),"")</f>
        <v/>
      </c>
      <c r="AD3711" s="117" t="str">
        <f>IFERROR(INDEX($AA$3:$AA$10000,MATCH(ROWS($AC$3:AC3711),$AC$3:$AC$10000,0)),"")</f>
        <v/>
      </c>
    </row>
    <row r="3712" spans="27:30">
      <c r="AA3712" s="117">
        <f>+'Ingredient List - Mother Tinctu'!D3713</f>
        <v>0</v>
      </c>
      <c r="AB3712" s="117">
        <f t="shared" si="60"/>
        <v>0</v>
      </c>
      <c r="AC3712" s="117" t="str">
        <f>IF(AB3712=1,COUNTIF($AB$3:AB3712,1),"")</f>
        <v/>
      </c>
      <c r="AD3712" s="117" t="str">
        <f>IFERROR(INDEX($AA$3:$AA$10000,MATCH(ROWS($AC$3:AC3712),$AC$3:$AC$10000,0)),"")</f>
        <v/>
      </c>
    </row>
    <row r="3713" spans="27:30">
      <c r="AA3713" s="117">
        <f>+'Ingredient List - Mother Tinctu'!D3714</f>
        <v>0</v>
      </c>
      <c r="AB3713" s="117">
        <f t="shared" si="60"/>
        <v>0</v>
      </c>
      <c r="AC3713" s="117" t="str">
        <f>IF(AB3713=1,COUNTIF($AB$3:AB3713,1),"")</f>
        <v/>
      </c>
      <c r="AD3713" s="117" t="str">
        <f>IFERROR(INDEX($AA$3:$AA$10000,MATCH(ROWS($AC$3:AC3713),$AC$3:$AC$10000,0)),"")</f>
        <v/>
      </c>
    </row>
    <row r="3714" spans="27:30">
      <c r="AA3714" s="117">
        <f>+'Ingredient List - Mother Tinctu'!D3715</f>
        <v>0</v>
      </c>
      <c r="AB3714" s="117">
        <f t="shared" si="60"/>
        <v>0</v>
      </c>
      <c r="AC3714" s="117" t="str">
        <f>IF(AB3714=1,COUNTIF($AB$3:AB3714,1),"")</f>
        <v/>
      </c>
      <c r="AD3714" s="117" t="str">
        <f>IFERROR(INDEX($AA$3:$AA$10000,MATCH(ROWS($AC$3:AC3714),$AC$3:$AC$10000,0)),"")</f>
        <v/>
      </c>
    </row>
    <row r="3715" spans="27:30">
      <c r="AA3715" s="117">
        <f>+'Ingredient List - Mother Tinctu'!D3716</f>
        <v>0</v>
      </c>
      <c r="AB3715" s="117">
        <f t="shared" si="60"/>
        <v>0</v>
      </c>
      <c r="AC3715" s="117" t="str">
        <f>IF(AB3715=1,COUNTIF($AB$3:AB3715,1),"")</f>
        <v/>
      </c>
      <c r="AD3715" s="117" t="str">
        <f>IFERROR(INDEX($AA$3:$AA$10000,MATCH(ROWS($AC$3:AC3715),$AC$3:$AC$10000,0)),"")</f>
        <v/>
      </c>
    </row>
    <row r="3716" spans="27:30">
      <c r="AA3716" s="117">
        <f>+'Ingredient List - Mother Tinctu'!D3717</f>
        <v>0</v>
      </c>
      <c r="AB3716" s="117">
        <f t="shared" ref="AB3716:AB3779" si="61">--ISNUMBER(IFERROR(SEARCH($D$3,AA3716,1),""))</f>
        <v>0</v>
      </c>
      <c r="AC3716" s="117" t="str">
        <f>IF(AB3716=1,COUNTIF($AB$3:AB3716,1),"")</f>
        <v/>
      </c>
      <c r="AD3716" s="117" t="str">
        <f>IFERROR(INDEX($AA$3:$AA$10000,MATCH(ROWS($AC$3:AC3716),$AC$3:$AC$10000,0)),"")</f>
        <v/>
      </c>
    </row>
    <row r="3717" spans="27:30">
      <c r="AA3717" s="117">
        <f>+'Ingredient List - Mother Tinctu'!D3718</f>
        <v>0</v>
      </c>
      <c r="AB3717" s="117">
        <f t="shared" si="61"/>
        <v>0</v>
      </c>
      <c r="AC3717" s="117" t="str">
        <f>IF(AB3717=1,COUNTIF($AB$3:AB3717,1),"")</f>
        <v/>
      </c>
      <c r="AD3717" s="117" t="str">
        <f>IFERROR(INDEX($AA$3:$AA$10000,MATCH(ROWS($AC$3:AC3717),$AC$3:$AC$10000,0)),"")</f>
        <v/>
      </c>
    </row>
    <row r="3718" spans="27:30">
      <c r="AA3718" s="117">
        <f>+'Ingredient List - Mother Tinctu'!D3719</f>
        <v>0</v>
      </c>
      <c r="AB3718" s="117">
        <f t="shared" si="61"/>
        <v>0</v>
      </c>
      <c r="AC3718" s="117" t="str">
        <f>IF(AB3718=1,COUNTIF($AB$3:AB3718,1),"")</f>
        <v/>
      </c>
      <c r="AD3718" s="117" t="str">
        <f>IFERROR(INDEX($AA$3:$AA$10000,MATCH(ROWS($AC$3:AC3718),$AC$3:$AC$10000,0)),"")</f>
        <v/>
      </c>
    </row>
    <row r="3719" spans="27:30">
      <c r="AA3719" s="117">
        <f>+'Ingredient List - Mother Tinctu'!D3720</f>
        <v>0</v>
      </c>
      <c r="AB3719" s="117">
        <f t="shared" si="61"/>
        <v>0</v>
      </c>
      <c r="AC3719" s="117" t="str">
        <f>IF(AB3719=1,COUNTIF($AB$3:AB3719,1),"")</f>
        <v/>
      </c>
      <c r="AD3719" s="117" t="str">
        <f>IFERROR(INDEX($AA$3:$AA$10000,MATCH(ROWS($AC$3:AC3719),$AC$3:$AC$10000,0)),"")</f>
        <v/>
      </c>
    </row>
    <row r="3720" spans="27:30">
      <c r="AA3720" s="117">
        <f>+'Ingredient List - Mother Tinctu'!D3721</f>
        <v>0</v>
      </c>
      <c r="AB3720" s="117">
        <f t="shared" si="61"/>
        <v>0</v>
      </c>
      <c r="AC3720" s="117" t="str">
        <f>IF(AB3720=1,COUNTIF($AB$3:AB3720,1),"")</f>
        <v/>
      </c>
      <c r="AD3720" s="117" t="str">
        <f>IFERROR(INDEX($AA$3:$AA$10000,MATCH(ROWS($AC$3:AC3720),$AC$3:$AC$10000,0)),"")</f>
        <v/>
      </c>
    </row>
    <row r="3721" spans="27:30">
      <c r="AA3721" s="117">
        <f>+'Ingredient List - Mother Tinctu'!D3722</f>
        <v>0</v>
      </c>
      <c r="AB3721" s="117">
        <f t="shared" si="61"/>
        <v>0</v>
      </c>
      <c r="AC3721" s="117" t="str">
        <f>IF(AB3721=1,COUNTIF($AB$3:AB3721,1),"")</f>
        <v/>
      </c>
      <c r="AD3721" s="117" t="str">
        <f>IFERROR(INDEX($AA$3:$AA$10000,MATCH(ROWS($AC$3:AC3721),$AC$3:$AC$10000,0)),"")</f>
        <v/>
      </c>
    </row>
    <row r="3722" spans="27:30">
      <c r="AA3722" s="117">
        <f>+'Ingredient List - Mother Tinctu'!D3723</f>
        <v>0</v>
      </c>
      <c r="AB3722" s="117">
        <f t="shared" si="61"/>
        <v>0</v>
      </c>
      <c r="AC3722" s="117" t="str">
        <f>IF(AB3722=1,COUNTIF($AB$3:AB3722,1),"")</f>
        <v/>
      </c>
      <c r="AD3722" s="117" t="str">
        <f>IFERROR(INDEX($AA$3:$AA$10000,MATCH(ROWS($AC$3:AC3722),$AC$3:$AC$10000,0)),"")</f>
        <v/>
      </c>
    </row>
    <row r="3723" spans="27:30">
      <c r="AA3723" s="117">
        <f>+'Ingredient List - Mother Tinctu'!D3724</f>
        <v>0</v>
      </c>
      <c r="AB3723" s="117">
        <f t="shared" si="61"/>
        <v>0</v>
      </c>
      <c r="AC3723" s="117" t="str">
        <f>IF(AB3723=1,COUNTIF($AB$3:AB3723,1),"")</f>
        <v/>
      </c>
      <c r="AD3723" s="117" t="str">
        <f>IFERROR(INDEX($AA$3:$AA$10000,MATCH(ROWS($AC$3:AC3723),$AC$3:$AC$10000,0)),"")</f>
        <v/>
      </c>
    </row>
    <row r="3724" spans="27:30">
      <c r="AA3724" s="117">
        <f>+'Ingredient List - Mother Tinctu'!D3725</f>
        <v>0</v>
      </c>
      <c r="AB3724" s="117">
        <f t="shared" si="61"/>
        <v>0</v>
      </c>
      <c r="AC3724" s="117" t="str">
        <f>IF(AB3724=1,COUNTIF($AB$3:AB3724,1),"")</f>
        <v/>
      </c>
      <c r="AD3724" s="117" t="str">
        <f>IFERROR(INDEX($AA$3:$AA$10000,MATCH(ROWS($AC$3:AC3724),$AC$3:$AC$10000,0)),"")</f>
        <v/>
      </c>
    </row>
    <row r="3725" spans="27:30">
      <c r="AA3725" s="117">
        <f>+'Ingredient List - Mother Tinctu'!D3726</f>
        <v>0</v>
      </c>
      <c r="AB3725" s="117">
        <f t="shared" si="61"/>
        <v>0</v>
      </c>
      <c r="AC3725" s="117" t="str">
        <f>IF(AB3725=1,COUNTIF($AB$3:AB3725,1),"")</f>
        <v/>
      </c>
      <c r="AD3725" s="117" t="str">
        <f>IFERROR(INDEX($AA$3:$AA$10000,MATCH(ROWS($AC$3:AC3725),$AC$3:$AC$10000,0)),"")</f>
        <v/>
      </c>
    </row>
    <row r="3726" spans="27:30">
      <c r="AA3726" s="117">
        <f>+'Ingredient List - Mother Tinctu'!D3727</f>
        <v>0</v>
      </c>
      <c r="AB3726" s="117">
        <f t="shared" si="61"/>
        <v>0</v>
      </c>
      <c r="AC3726" s="117" t="str">
        <f>IF(AB3726=1,COUNTIF($AB$3:AB3726,1),"")</f>
        <v/>
      </c>
      <c r="AD3726" s="117" t="str">
        <f>IFERROR(INDEX($AA$3:$AA$10000,MATCH(ROWS($AC$3:AC3726),$AC$3:$AC$10000,0)),"")</f>
        <v/>
      </c>
    </row>
    <row r="3727" spans="27:30">
      <c r="AA3727" s="117">
        <f>+'Ingredient List - Mother Tinctu'!D3728</f>
        <v>0</v>
      </c>
      <c r="AB3727" s="117">
        <f t="shared" si="61"/>
        <v>0</v>
      </c>
      <c r="AC3727" s="117" t="str">
        <f>IF(AB3727=1,COUNTIF($AB$3:AB3727,1),"")</f>
        <v/>
      </c>
      <c r="AD3727" s="117" t="str">
        <f>IFERROR(INDEX($AA$3:$AA$10000,MATCH(ROWS($AC$3:AC3727),$AC$3:$AC$10000,0)),"")</f>
        <v/>
      </c>
    </row>
    <row r="3728" spans="27:30">
      <c r="AA3728" s="117">
        <f>+'Ingredient List - Mother Tinctu'!D3729</f>
        <v>0</v>
      </c>
      <c r="AB3728" s="117">
        <f t="shared" si="61"/>
        <v>0</v>
      </c>
      <c r="AC3728" s="117" t="str">
        <f>IF(AB3728=1,COUNTIF($AB$3:AB3728,1),"")</f>
        <v/>
      </c>
      <c r="AD3728" s="117" t="str">
        <f>IFERROR(INDEX($AA$3:$AA$10000,MATCH(ROWS($AC$3:AC3728),$AC$3:$AC$10000,0)),"")</f>
        <v/>
      </c>
    </row>
    <row r="3729" spans="27:30">
      <c r="AA3729" s="117">
        <f>+'Ingredient List - Mother Tinctu'!D3730</f>
        <v>0</v>
      </c>
      <c r="AB3729" s="117">
        <f t="shared" si="61"/>
        <v>0</v>
      </c>
      <c r="AC3729" s="117" t="str">
        <f>IF(AB3729=1,COUNTIF($AB$3:AB3729,1),"")</f>
        <v/>
      </c>
      <c r="AD3729" s="117" t="str">
        <f>IFERROR(INDEX($AA$3:$AA$10000,MATCH(ROWS($AC$3:AC3729),$AC$3:$AC$10000,0)),"")</f>
        <v/>
      </c>
    </row>
    <row r="3730" spans="27:30">
      <c r="AA3730" s="117">
        <f>+'Ingredient List - Mother Tinctu'!D3731</f>
        <v>0</v>
      </c>
      <c r="AB3730" s="117">
        <f t="shared" si="61"/>
        <v>0</v>
      </c>
      <c r="AC3730" s="117" t="str">
        <f>IF(AB3730=1,COUNTIF($AB$3:AB3730,1),"")</f>
        <v/>
      </c>
      <c r="AD3730" s="117" t="str">
        <f>IFERROR(INDEX($AA$3:$AA$10000,MATCH(ROWS($AC$3:AC3730),$AC$3:$AC$10000,0)),"")</f>
        <v/>
      </c>
    </row>
    <row r="3731" spans="27:30">
      <c r="AA3731" s="117">
        <f>+'Ingredient List - Mother Tinctu'!D3732</f>
        <v>0</v>
      </c>
      <c r="AB3731" s="117">
        <f t="shared" si="61"/>
        <v>0</v>
      </c>
      <c r="AC3731" s="117" t="str">
        <f>IF(AB3731=1,COUNTIF($AB$3:AB3731,1),"")</f>
        <v/>
      </c>
      <c r="AD3731" s="117" t="str">
        <f>IFERROR(INDEX($AA$3:$AA$10000,MATCH(ROWS($AC$3:AC3731),$AC$3:$AC$10000,0)),"")</f>
        <v/>
      </c>
    </row>
    <row r="3732" spans="27:30">
      <c r="AA3732" s="117">
        <f>+'Ingredient List - Mother Tinctu'!D3733</f>
        <v>0</v>
      </c>
      <c r="AB3732" s="117">
        <f t="shared" si="61"/>
        <v>0</v>
      </c>
      <c r="AC3732" s="117" t="str">
        <f>IF(AB3732=1,COUNTIF($AB$3:AB3732,1),"")</f>
        <v/>
      </c>
      <c r="AD3732" s="117" t="str">
        <f>IFERROR(INDEX($AA$3:$AA$10000,MATCH(ROWS($AC$3:AC3732),$AC$3:$AC$10000,0)),"")</f>
        <v/>
      </c>
    </row>
    <row r="3733" spans="27:30">
      <c r="AA3733" s="117">
        <f>+'Ingredient List - Mother Tinctu'!D3734</f>
        <v>0</v>
      </c>
      <c r="AB3733" s="117">
        <f t="shared" si="61"/>
        <v>0</v>
      </c>
      <c r="AC3733" s="117" t="str">
        <f>IF(AB3733=1,COUNTIF($AB$3:AB3733,1),"")</f>
        <v/>
      </c>
      <c r="AD3733" s="117" t="str">
        <f>IFERROR(INDEX($AA$3:$AA$10000,MATCH(ROWS($AC$3:AC3733),$AC$3:$AC$10000,0)),"")</f>
        <v/>
      </c>
    </row>
    <row r="3734" spans="27:30">
      <c r="AA3734" s="117">
        <f>+'Ingredient List - Mother Tinctu'!D3735</f>
        <v>0</v>
      </c>
      <c r="AB3734" s="117">
        <f t="shared" si="61"/>
        <v>0</v>
      </c>
      <c r="AC3734" s="117" t="str">
        <f>IF(AB3734=1,COUNTIF($AB$3:AB3734,1),"")</f>
        <v/>
      </c>
      <c r="AD3734" s="117" t="str">
        <f>IFERROR(INDEX($AA$3:$AA$10000,MATCH(ROWS($AC$3:AC3734),$AC$3:$AC$10000,0)),"")</f>
        <v/>
      </c>
    </row>
    <row r="3735" spans="27:30">
      <c r="AA3735" s="117">
        <f>+'Ingredient List - Mother Tinctu'!D3736</f>
        <v>0</v>
      </c>
      <c r="AB3735" s="117">
        <f t="shared" si="61"/>
        <v>0</v>
      </c>
      <c r="AC3735" s="117" t="str">
        <f>IF(AB3735=1,COUNTIF($AB$3:AB3735,1),"")</f>
        <v/>
      </c>
      <c r="AD3735" s="117" t="str">
        <f>IFERROR(INDEX($AA$3:$AA$10000,MATCH(ROWS($AC$3:AC3735),$AC$3:$AC$10000,0)),"")</f>
        <v/>
      </c>
    </row>
    <row r="3736" spans="27:30">
      <c r="AA3736" s="117">
        <f>+'Ingredient List - Mother Tinctu'!D3737</f>
        <v>0</v>
      </c>
      <c r="AB3736" s="117">
        <f t="shared" si="61"/>
        <v>0</v>
      </c>
      <c r="AC3736" s="117" t="str">
        <f>IF(AB3736=1,COUNTIF($AB$3:AB3736,1),"")</f>
        <v/>
      </c>
      <c r="AD3736" s="117" t="str">
        <f>IFERROR(INDEX($AA$3:$AA$10000,MATCH(ROWS($AC$3:AC3736),$AC$3:$AC$10000,0)),"")</f>
        <v/>
      </c>
    </row>
    <row r="3737" spans="27:30">
      <c r="AA3737" s="117">
        <f>+'Ingredient List - Mother Tinctu'!D3738</f>
        <v>0</v>
      </c>
      <c r="AB3737" s="117">
        <f t="shared" si="61"/>
        <v>0</v>
      </c>
      <c r="AC3737" s="117" t="str">
        <f>IF(AB3737=1,COUNTIF($AB$3:AB3737,1),"")</f>
        <v/>
      </c>
      <c r="AD3737" s="117" t="str">
        <f>IFERROR(INDEX($AA$3:$AA$10000,MATCH(ROWS($AC$3:AC3737),$AC$3:$AC$10000,0)),"")</f>
        <v/>
      </c>
    </row>
    <row r="3738" spans="27:30">
      <c r="AA3738" s="117">
        <f>+'Ingredient List - Mother Tinctu'!D3739</f>
        <v>0</v>
      </c>
      <c r="AB3738" s="117">
        <f t="shared" si="61"/>
        <v>0</v>
      </c>
      <c r="AC3738" s="117" t="str">
        <f>IF(AB3738=1,COUNTIF($AB$3:AB3738,1),"")</f>
        <v/>
      </c>
      <c r="AD3738" s="117" t="str">
        <f>IFERROR(INDEX($AA$3:$AA$10000,MATCH(ROWS($AC$3:AC3738),$AC$3:$AC$10000,0)),"")</f>
        <v/>
      </c>
    </row>
    <row r="3739" spans="27:30">
      <c r="AA3739" s="117">
        <f>+'Ingredient List - Mother Tinctu'!D3740</f>
        <v>0</v>
      </c>
      <c r="AB3739" s="117">
        <f t="shared" si="61"/>
        <v>0</v>
      </c>
      <c r="AC3739" s="117" t="str">
        <f>IF(AB3739=1,COUNTIF($AB$3:AB3739,1),"")</f>
        <v/>
      </c>
      <c r="AD3739" s="117" t="str">
        <f>IFERROR(INDEX($AA$3:$AA$10000,MATCH(ROWS($AC$3:AC3739),$AC$3:$AC$10000,0)),"")</f>
        <v/>
      </c>
    </row>
    <row r="3740" spans="27:30">
      <c r="AA3740" s="117">
        <f>+'Ingredient List - Mother Tinctu'!D3741</f>
        <v>0</v>
      </c>
      <c r="AB3740" s="117">
        <f t="shared" si="61"/>
        <v>0</v>
      </c>
      <c r="AC3740" s="117" t="str">
        <f>IF(AB3740=1,COUNTIF($AB$3:AB3740,1),"")</f>
        <v/>
      </c>
      <c r="AD3740" s="117" t="str">
        <f>IFERROR(INDEX($AA$3:$AA$10000,MATCH(ROWS($AC$3:AC3740),$AC$3:$AC$10000,0)),"")</f>
        <v/>
      </c>
    </row>
    <row r="3741" spans="27:30">
      <c r="AA3741" s="117">
        <f>+'Ingredient List - Mother Tinctu'!D3742</f>
        <v>0</v>
      </c>
      <c r="AB3741" s="117">
        <f t="shared" si="61"/>
        <v>0</v>
      </c>
      <c r="AC3741" s="117" t="str">
        <f>IF(AB3741=1,COUNTIF($AB$3:AB3741,1),"")</f>
        <v/>
      </c>
      <c r="AD3741" s="117" t="str">
        <f>IFERROR(INDEX($AA$3:$AA$10000,MATCH(ROWS($AC$3:AC3741),$AC$3:$AC$10000,0)),"")</f>
        <v/>
      </c>
    </row>
    <row r="3742" spans="27:30">
      <c r="AA3742" s="117">
        <f>+'Ingredient List - Mother Tinctu'!D3743</f>
        <v>0</v>
      </c>
      <c r="AB3742" s="117">
        <f t="shared" si="61"/>
        <v>0</v>
      </c>
      <c r="AC3742" s="117" t="str">
        <f>IF(AB3742=1,COUNTIF($AB$3:AB3742,1),"")</f>
        <v/>
      </c>
      <c r="AD3742" s="117" t="str">
        <f>IFERROR(INDEX($AA$3:$AA$10000,MATCH(ROWS($AC$3:AC3742),$AC$3:$AC$10000,0)),"")</f>
        <v/>
      </c>
    </row>
    <row r="3743" spans="27:30">
      <c r="AA3743" s="117">
        <f>+'Ingredient List - Mother Tinctu'!D3744</f>
        <v>0</v>
      </c>
      <c r="AB3743" s="117">
        <f t="shared" si="61"/>
        <v>0</v>
      </c>
      <c r="AC3743" s="117" t="str">
        <f>IF(AB3743=1,COUNTIF($AB$3:AB3743,1),"")</f>
        <v/>
      </c>
      <c r="AD3743" s="117" t="str">
        <f>IFERROR(INDEX($AA$3:$AA$10000,MATCH(ROWS($AC$3:AC3743),$AC$3:$AC$10000,0)),"")</f>
        <v/>
      </c>
    </row>
    <row r="3744" spans="27:30">
      <c r="AA3744" s="117">
        <f>+'Ingredient List - Mother Tinctu'!D3745</f>
        <v>0</v>
      </c>
      <c r="AB3744" s="117">
        <f t="shared" si="61"/>
        <v>0</v>
      </c>
      <c r="AC3744" s="117" t="str">
        <f>IF(AB3744=1,COUNTIF($AB$3:AB3744,1),"")</f>
        <v/>
      </c>
      <c r="AD3744" s="117" t="str">
        <f>IFERROR(INDEX($AA$3:$AA$10000,MATCH(ROWS($AC$3:AC3744),$AC$3:$AC$10000,0)),"")</f>
        <v/>
      </c>
    </row>
    <row r="3745" spans="27:30">
      <c r="AA3745" s="117">
        <f>+'Ingredient List - Mother Tinctu'!D3746</f>
        <v>0</v>
      </c>
      <c r="AB3745" s="117">
        <f t="shared" si="61"/>
        <v>0</v>
      </c>
      <c r="AC3745" s="117" t="str">
        <f>IF(AB3745=1,COUNTIF($AB$3:AB3745,1),"")</f>
        <v/>
      </c>
      <c r="AD3745" s="117" t="str">
        <f>IFERROR(INDEX($AA$3:$AA$10000,MATCH(ROWS($AC$3:AC3745),$AC$3:$AC$10000,0)),"")</f>
        <v/>
      </c>
    </row>
    <row r="3746" spans="27:30">
      <c r="AA3746" s="117">
        <f>+'Ingredient List - Mother Tinctu'!D3747</f>
        <v>0</v>
      </c>
      <c r="AB3746" s="117">
        <f t="shared" si="61"/>
        <v>0</v>
      </c>
      <c r="AC3746" s="117" t="str">
        <f>IF(AB3746=1,COUNTIF($AB$3:AB3746,1),"")</f>
        <v/>
      </c>
      <c r="AD3746" s="117" t="str">
        <f>IFERROR(INDEX($AA$3:$AA$10000,MATCH(ROWS($AC$3:AC3746),$AC$3:$AC$10000,0)),"")</f>
        <v/>
      </c>
    </row>
    <row r="3747" spans="27:30">
      <c r="AA3747" s="117">
        <f>+'Ingredient List - Mother Tinctu'!D3748</f>
        <v>0</v>
      </c>
      <c r="AB3747" s="117">
        <f t="shared" si="61"/>
        <v>0</v>
      </c>
      <c r="AC3747" s="117" t="str">
        <f>IF(AB3747=1,COUNTIF($AB$3:AB3747,1),"")</f>
        <v/>
      </c>
      <c r="AD3747" s="117" t="str">
        <f>IFERROR(INDEX($AA$3:$AA$10000,MATCH(ROWS($AC$3:AC3747),$AC$3:$AC$10000,0)),"")</f>
        <v/>
      </c>
    </row>
    <row r="3748" spans="27:30">
      <c r="AA3748" s="117">
        <f>+'Ingredient List - Mother Tinctu'!D3749</f>
        <v>0</v>
      </c>
      <c r="AB3748" s="117">
        <f t="shared" si="61"/>
        <v>0</v>
      </c>
      <c r="AC3748" s="117" t="str">
        <f>IF(AB3748=1,COUNTIF($AB$3:AB3748,1),"")</f>
        <v/>
      </c>
      <c r="AD3748" s="117" t="str">
        <f>IFERROR(INDEX($AA$3:$AA$10000,MATCH(ROWS($AC$3:AC3748),$AC$3:$AC$10000,0)),"")</f>
        <v/>
      </c>
    </row>
    <row r="3749" spans="27:30">
      <c r="AA3749" s="117">
        <f>+'Ingredient List - Mother Tinctu'!D3750</f>
        <v>0</v>
      </c>
      <c r="AB3749" s="117">
        <f t="shared" si="61"/>
        <v>0</v>
      </c>
      <c r="AC3749" s="117" t="str">
        <f>IF(AB3749=1,COUNTIF($AB$3:AB3749,1),"")</f>
        <v/>
      </c>
      <c r="AD3749" s="117" t="str">
        <f>IFERROR(INDEX($AA$3:$AA$10000,MATCH(ROWS($AC$3:AC3749),$AC$3:$AC$10000,0)),"")</f>
        <v/>
      </c>
    </row>
    <row r="3750" spans="27:30">
      <c r="AA3750" s="117">
        <f>+'Ingredient List - Mother Tinctu'!D3751</f>
        <v>0</v>
      </c>
      <c r="AB3750" s="117">
        <f t="shared" si="61"/>
        <v>0</v>
      </c>
      <c r="AC3750" s="117" t="str">
        <f>IF(AB3750=1,COUNTIF($AB$3:AB3750,1),"")</f>
        <v/>
      </c>
      <c r="AD3750" s="117" t="str">
        <f>IFERROR(INDEX($AA$3:$AA$10000,MATCH(ROWS($AC$3:AC3750),$AC$3:$AC$10000,0)),"")</f>
        <v/>
      </c>
    </row>
    <row r="3751" spans="27:30">
      <c r="AA3751" s="117">
        <f>+'Ingredient List - Mother Tinctu'!D3752</f>
        <v>0</v>
      </c>
      <c r="AB3751" s="117">
        <f t="shared" si="61"/>
        <v>0</v>
      </c>
      <c r="AC3751" s="117" t="str">
        <f>IF(AB3751=1,COUNTIF($AB$3:AB3751,1),"")</f>
        <v/>
      </c>
      <c r="AD3751" s="117" t="str">
        <f>IFERROR(INDEX($AA$3:$AA$10000,MATCH(ROWS($AC$3:AC3751),$AC$3:$AC$10000,0)),"")</f>
        <v/>
      </c>
    </row>
    <row r="3752" spans="27:30">
      <c r="AA3752" s="117">
        <f>+'Ingredient List - Mother Tinctu'!D3753</f>
        <v>0</v>
      </c>
      <c r="AB3752" s="117">
        <f t="shared" si="61"/>
        <v>0</v>
      </c>
      <c r="AC3752" s="117" t="str">
        <f>IF(AB3752=1,COUNTIF($AB$3:AB3752,1),"")</f>
        <v/>
      </c>
      <c r="AD3752" s="117" t="str">
        <f>IFERROR(INDEX($AA$3:$AA$10000,MATCH(ROWS($AC$3:AC3752),$AC$3:$AC$10000,0)),"")</f>
        <v/>
      </c>
    </row>
    <row r="3753" spans="27:30">
      <c r="AA3753" s="117">
        <f>+'Ingredient List - Mother Tinctu'!D3754</f>
        <v>0</v>
      </c>
      <c r="AB3753" s="117">
        <f t="shared" si="61"/>
        <v>0</v>
      </c>
      <c r="AC3753" s="117" t="str">
        <f>IF(AB3753=1,COUNTIF($AB$3:AB3753,1),"")</f>
        <v/>
      </c>
      <c r="AD3753" s="117" t="str">
        <f>IFERROR(INDEX($AA$3:$AA$10000,MATCH(ROWS($AC$3:AC3753),$AC$3:$AC$10000,0)),"")</f>
        <v/>
      </c>
    </row>
    <row r="3754" spans="27:30">
      <c r="AA3754" s="117">
        <f>+'Ingredient List - Mother Tinctu'!D3755</f>
        <v>0</v>
      </c>
      <c r="AB3754" s="117">
        <f t="shared" si="61"/>
        <v>0</v>
      </c>
      <c r="AC3754" s="117" t="str">
        <f>IF(AB3754=1,COUNTIF($AB$3:AB3754,1),"")</f>
        <v/>
      </c>
      <c r="AD3754" s="117" t="str">
        <f>IFERROR(INDEX($AA$3:$AA$10000,MATCH(ROWS($AC$3:AC3754),$AC$3:$AC$10000,0)),"")</f>
        <v/>
      </c>
    </row>
    <row r="3755" spans="27:30">
      <c r="AA3755" s="117">
        <f>+'Ingredient List - Mother Tinctu'!D3756</f>
        <v>0</v>
      </c>
      <c r="AB3755" s="117">
        <f t="shared" si="61"/>
        <v>0</v>
      </c>
      <c r="AC3755" s="117" t="str">
        <f>IF(AB3755=1,COUNTIF($AB$3:AB3755,1),"")</f>
        <v/>
      </c>
      <c r="AD3755" s="117" t="str">
        <f>IFERROR(INDEX($AA$3:$AA$10000,MATCH(ROWS($AC$3:AC3755),$AC$3:$AC$10000,0)),"")</f>
        <v/>
      </c>
    </row>
    <row r="3756" spans="27:30">
      <c r="AA3756" s="117">
        <f>+'Ingredient List - Mother Tinctu'!D3757</f>
        <v>0</v>
      </c>
      <c r="AB3756" s="117">
        <f t="shared" si="61"/>
        <v>0</v>
      </c>
      <c r="AC3756" s="117" t="str">
        <f>IF(AB3756=1,COUNTIF($AB$3:AB3756,1),"")</f>
        <v/>
      </c>
      <c r="AD3756" s="117" t="str">
        <f>IFERROR(INDEX($AA$3:$AA$10000,MATCH(ROWS($AC$3:AC3756),$AC$3:$AC$10000,0)),"")</f>
        <v/>
      </c>
    </row>
    <row r="3757" spans="27:30">
      <c r="AA3757" s="117">
        <f>+'Ingredient List - Mother Tinctu'!D3758</f>
        <v>0</v>
      </c>
      <c r="AB3757" s="117">
        <f t="shared" si="61"/>
        <v>0</v>
      </c>
      <c r="AC3757" s="117" t="str">
        <f>IF(AB3757=1,COUNTIF($AB$3:AB3757,1),"")</f>
        <v/>
      </c>
      <c r="AD3757" s="117" t="str">
        <f>IFERROR(INDEX($AA$3:$AA$10000,MATCH(ROWS($AC$3:AC3757),$AC$3:$AC$10000,0)),"")</f>
        <v/>
      </c>
    </row>
    <row r="3758" spans="27:30">
      <c r="AA3758" s="117">
        <f>+'Ingredient List - Mother Tinctu'!D3759</f>
        <v>0</v>
      </c>
      <c r="AB3758" s="117">
        <f t="shared" si="61"/>
        <v>0</v>
      </c>
      <c r="AC3758" s="117" t="str">
        <f>IF(AB3758=1,COUNTIF($AB$3:AB3758,1),"")</f>
        <v/>
      </c>
      <c r="AD3758" s="117" t="str">
        <f>IFERROR(INDEX($AA$3:$AA$10000,MATCH(ROWS($AC$3:AC3758),$AC$3:$AC$10000,0)),"")</f>
        <v/>
      </c>
    </row>
    <row r="3759" spans="27:30">
      <c r="AA3759" s="117">
        <f>+'Ingredient List - Mother Tinctu'!D3760</f>
        <v>0</v>
      </c>
      <c r="AB3759" s="117">
        <f t="shared" si="61"/>
        <v>0</v>
      </c>
      <c r="AC3759" s="117" t="str">
        <f>IF(AB3759=1,COUNTIF($AB$3:AB3759,1),"")</f>
        <v/>
      </c>
      <c r="AD3759" s="117" t="str">
        <f>IFERROR(INDEX($AA$3:$AA$10000,MATCH(ROWS($AC$3:AC3759),$AC$3:$AC$10000,0)),"")</f>
        <v/>
      </c>
    </row>
    <row r="3760" spans="27:30">
      <c r="AA3760" s="117">
        <f>+'Ingredient List - Mother Tinctu'!D3761</f>
        <v>0</v>
      </c>
      <c r="AB3760" s="117">
        <f t="shared" si="61"/>
        <v>0</v>
      </c>
      <c r="AC3760" s="117" t="str">
        <f>IF(AB3760=1,COUNTIF($AB$3:AB3760,1),"")</f>
        <v/>
      </c>
      <c r="AD3760" s="117" t="str">
        <f>IFERROR(INDEX($AA$3:$AA$10000,MATCH(ROWS($AC$3:AC3760),$AC$3:$AC$10000,0)),"")</f>
        <v/>
      </c>
    </row>
    <row r="3761" spans="27:30">
      <c r="AA3761" s="117">
        <f>+'Ingredient List - Mother Tinctu'!D3762</f>
        <v>0</v>
      </c>
      <c r="AB3761" s="117">
        <f t="shared" si="61"/>
        <v>0</v>
      </c>
      <c r="AC3761" s="117" t="str">
        <f>IF(AB3761=1,COUNTIF($AB$3:AB3761,1),"")</f>
        <v/>
      </c>
      <c r="AD3761" s="117" t="str">
        <f>IFERROR(INDEX($AA$3:$AA$10000,MATCH(ROWS($AC$3:AC3761),$AC$3:$AC$10000,0)),"")</f>
        <v/>
      </c>
    </row>
    <row r="3762" spans="27:30">
      <c r="AA3762" s="117">
        <f>+'Ingredient List - Mother Tinctu'!D3763</f>
        <v>0</v>
      </c>
      <c r="AB3762" s="117">
        <f t="shared" si="61"/>
        <v>0</v>
      </c>
      <c r="AC3762" s="117" t="str">
        <f>IF(AB3762=1,COUNTIF($AB$3:AB3762,1),"")</f>
        <v/>
      </c>
      <c r="AD3762" s="117" t="str">
        <f>IFERROR(INDEX($AA$3:$AA$10000,MATCH(ROWS($AC$3:AC3762),$AC$3:$AC$10000,0)),"")</f>
        <v/>
      </c>
    </row>
    <row r="3763" spans="27:30">
      <c r="AA3763" s="117">
        <f>+'Ingredient List - Mother Tinctu'!D3764</f>
        <v>0</v>
      </c>
      <c r="AB3763" s="117">
        <f t="shared" si="61"/>
        <v>0</v>
      </c>
      <c r="AC3763" s="117" t="str">
        <f>IF(AB3763=1,COUNTIF($AB$3:AB3763,1),"")</f>
        <v/>
      </c>
      <c r="AD3763" s="117" t="str">
        <f>IFERROR(INDEX($AA$3:$AA$10000,MATCH(ROWS($AC$3:AC3763),$AC$3:$AC$10000,0)),"")</f>
        <v/>
      </c>
    </row>
    <row r="3764" spans="27:30">
      <c r="AA3764" s="117">
        <f>+'Ingredient List - Mother Tinctu'!D3765</f>
        <v>0</v>
      </c>
      <c r="AB3764" s="117">
        <f t="shared" si="61"/>
        <v>0</v>
      </c>
      <c r="AC3764" s="117" t="str">
        <f>IF(AB3764=1,COUNTIF($AB$3:AB3764,1),"")</f>
        <v/>
      </c>
      <c r="AD3764" s="117" t="str">
        <f>IFERROR(INDEX($AA$3:$AA$10000,MATCH(ROWS($AC$3:AC3764),$AC$3:$AC$10000,0)),"")</f>
        <v/>
      </c>
    </row>
    <row r="3765" spans="27:30">
      <c r="AA3765" s="117">
        <f>+'Ingredient List - Mother Tinctu'!D3766</f>
        <v>0</v>
      </c>
      <c r="AB3765" s="117">
        <f t="shared" si="61"/>
        <v>0</v>
      </c>
      <c r="AC3765" s="117" t="str">
        <f>IF(AB3765=1,COUNTIF($AB$3:AB3765,1),"")</f>
        <v/>
      </c>
      <c r="AD3765" s="117" t="str">
        <f>IFERROR(INDEX($AA$3:$AA$10000,MATCH(ROWS($AC$3:AC3765),$AC$3:$AC$10000,0)),"")</f>
        <v/>
      </c>
    </row>
    <row r="3766" spans="27:30">
      <c r="AA3766" s="117">
        <f>+'Ingredient List - Mother Tinctu'!D3767</f>
        <v>0</v>
      </c>
      <c r="AB3766" s="117">
        <f t="shared" si="61"/>
        <v>0</v>
      </c>
      <c r="AC3766" s="117" t="str">
        <f>IF(AB3766=1,COUNTIF($AB$3:AB3766,1),"")</f>
        <v/>
      </c>
      <c r="AD3766" s="117" t="str">
        <f>IFERROR(INDEX($AA$3:$AA$10000,MATCH(ROWS($AC$3:AC3766),$AC$3:$AC$10000,0)),"")</f>
        <v/>
      </c>
    </row>
    <row r="3767" spans="27:30">
      <c r="AA3767" s="117">
        <f>+'Ingredient List - Mother Tinctu'!D3768</f>
        <v>0</v>
      </c>
      <c r="AB3767" s="117">
        <f t="shared" si="61"/>
        <v>0</v>
      </c>
      <c r="AC3767" s="117" t="str">
        <f>IF(AB3767=1,COUNTIF($AB$3:AB3767,1),"")</f>
        <v/>
      </c>
      <c r="AD3767" s="117" t="str">
        <f>IFERROR(INDEX($AA$3:$AA$10000,MATCH(ROWS($AC$3:AC3767),$AC$3:$AC$10000,0)),"")</f>
        <v/>
      </c>
    </row>
    <row r="3768" spans="27:30">
      <c r="AA3768" s="117">
        <f>+'Ingredient List - Mother Tinctu'!D3769</f>
        <v>0</v>
      </c>
      <c r="AB3768" s="117">
        <f t="shared" si="61"/>
        <v>0</v>
      </c>
      <c r="AC3768" s="117" t="str">
        <f>IF(AB3768=1,COUNTIF($AB$3:AB3768,1),"")</f>
        <v/>
      </c>
      <c r="AD3768" s="117" t="str">
        <f>IFERROR(INDEX($AA$3:$AA$10000,MATCH(ROWS($AC$3:AC3768),$AC$3:$AC$10000,0)),"")</f>
        <v/>
      </c>
    </row>
    <row r="3769" spans="27:30">
      <c r="AA3769" s="117">
        <f>+'Ingredient List - Mother Tinctu'!D3770</f>
        <v>0</v>
      </c>
      <c r="AB3769" s="117">
        <f t="shared" si="61"/>
        <v>0</v>
      </c>
      <c r="AC3769" s="117" t="str">
        <f>IF(AB3769=1,COUNTIF($AB$3:AB3769,1),"")</f>
        <v/>
      </c>
      <c r="AD3769" s="117" t="str">
        <f>IFERROR(INDEX($AA$3:$AA$10000,MATCH(ROWS($AC$3:AC3769),$AC$3:$AC$10000,0)),"")</f>
        <v/>
      </c>
    </row>
    <row r="3770" spans="27:30">
      <c r="AA3770" s="117">
        <f>+'Ingredient List - Mother Tinctu'!D3771</f>
        <v>0</v>
      </c>
      <c r="AB3770" s="117">
        <f t="shared" si="61"/>
        <v>0</v>
      </c>
      <c r="AC3770" s="117" t="str">
        <f>IF(AB3770=1,COUNTIF($AB$3:AB3770,1),"")</f>
        <v/>
      </c>
      <c r="AD3770" s="117" t="str">
        <f>IFERROR(INDEX($AA$3:$AA$10000,MATCH(ROWS($AC$3:AC3770),$AC$3:$AC$10000,0)),"")</f>
        <v/>
      </c>
    </row>
    <row r="3771" spans="27:30">
      <c r="AA3771" s="117">
        <f>+'Ingredient List - Mother Tinctu'!D3772</f>
        <v>0</v>
      </c>
      <c r="AB3771" s="117">
        <f t="shared" si="61"/>
        <v>0</v>
      </c>
      <c r="AC3771" s="117" t="str">
        <f>IF(AB3771=1,COUNTIF($AB$3:AB3771,1),"")</f>
        <v/>
      </c>
      <c r="AD3771" s="117" t="str">
        <f>IFERROR(INDEX($AA$3:$AA$10000,MATCH(ROWS($AC$3:AC3771),$AC$3:$AC$10000,0)),"")</f>
        <v/>
      </c>
    </row>
    <row r="3772" spans="27:30">
      <c r="AA3772" s="117">
        <f>+'Ingredient List - Mother Tinctu'!D3773</f>
        <v>0</v>
      </c>
      <c r="AB3772" s="117">
        <f t="shared" si="61"/>
        <v>0</v>
      </c>
      <c r="AC3772" s="117" t="str">
        <f>IF(AB3772=1,COUNTIF($AB$3:AB3772,1),"")</f>
        <v/>
      </c>
      <c r="AD3772" s="117" t="str">
        <f>IFERROR(INDEX($AA$3:$AA$10000,MATCH(ROWS($AC$3:AC3772),$AC$3:$AC$10000,0)),"")</f>
        <v/>
      </c>
    </row>
    <row r="3773" spans="27:30">
      <c r="AA3773" s="117">
        <f>+'Ingredient List - Mother Tinctu'!D3774</f>
        <v>0</v>
      </c>
      <c r="AB3773" s="117">
        <f t="shared" si="61"/>
        <v>0</v>
      </c>
      <c r="AC3773" s="117" t="str">
        <f>IF(AB3773=1,COUNTIF($AB$3:AB3773,1),"")</f>
        <v/>
      </c>
      <c r="AD3773" s="117" t="str">
        <f>IFERROR(INDEX($AA$3:$AA$10000,MATCH(ROWS($AC$3:AC3773),$AC$3:$AC$10000,0)),"")</f>
        <v/>
      </c>
    </row>
    <row r="3774" spans="27:30">
      <c r="AA3774" s="117">
        <f>+'Ingredient List - Mother Tinctu'!D3775</f>
        <v>0</v>
      </c>
      <c r="AB3774" s="117">
        <f t="shared" si="61"/>
        <v>0</v>
      </c>
      <c r="AC3774" s="117" t="str">
        <f>IF(AB3774=1,COUNTIF($AB$3:AB3774,1),"")</f>
        <v/>
      </c>
      <c r="AD3774" s="117" t="str">
        <f>IFERROR(INDEX($AA$3:$AA$10000,MATCH(ROWS($AC$3:AC3774),$AC$3:$AC$10000,0)),"")</f>
        <v/>
      </c>
    </row>
    <row r="3775" spans="27:30">
      <c r="AA3775" s="117">
        <f>+'Ingredient List - Mother Tinctu'!D3776</f>
        <v>0</v>
      </c>
      <c r="AB3775" s="117">
        <f t="shared" si="61"/>
        <v>0</v>
      </c>
      <c r="AC3775" s="117" t="str">
        <f>IF(AB3775=1,COUNTIF($AB$3:AB3775,1),"")</f>
        <v/>
      </c>
      <c r="AD3775" s="117" t="str">
        <f>IFERROR(INDEX($AA$3:$AA$10000,MATCH(ROWS($AC$3:AC3775),$AC$3:$AC$10000,0)),"")</f>
        <v/>
      </c>
    </row>
    <row r="3776" spans="27:30">
      <c r="AA3776" s="117">
        <f>+'Ingredient List - Mother Tinctu'!D3777</f>
        <v>0</v>
      </c>
      <c r="AB3776" s="117">
        <f t="shared" si="61"/>
        <v>0</v>
      </c>
      <c r="AC3776" s="117" t="str">
        <f>IF(AB3776=1,COUNTIF($AB$3:AB3776,1),"")</f>
        <v/>
      </c>
      <c r="AD3776" s="117" t="str">
        <f>IFERROR(INDEX($AA$3:$AA$10000,MATCH(ROWS($AC$3:AC3776),$AC$3:$AC$10000,0)),"")</f>
        <v/>
      </c>
    </row>
    <row r="3777" spans="27:30">
      <c r="AA3777" s="117">
        <f>+'Ingredient List - Mother Tinctu'!D3778</f>
        <v>0</v>
      </c>
      <c r="AB3777" s="117">
        <f t="shared" si="61"/>
        <v>0</v>
      </c>
      <c r="AC3777" s="117" t="str">
        <f>IF(AB3777=1,COUNTIF($AB$3:AB3777,1),"")</f>
        <v/>
      </c>
      <c r="AD3777" s="117" t="str">
        <f>IFERROR(INDEX($AA$3:$AA$10000,MATCH(ROWS($AC$3:AC3777),$AC$3:$AC$10000,0)),"")</f>
        <v/>
      </c>
    </row>
    <row r="3778" spans="27:30">
      <c r="AA3778" s="117">
        <f>+'Ingredient List - Mother Tinctu'!D3779</f>
        <v>0</v>
      </c>
      <c r="AB3778" s="117">
        <f t="shared" si="61"/>
        <v>0</v>
      </c>
      <c r="AC3778" s="117" t="str">
        <f>IF(AB3778=1,COUNTIF($AB$3:AB3778,1),"")</f>
        <v/>
      </c>
      <c r="AD3778" s="117" t="str">
        <f>IFERROR(INDEX($AA$3:$AA$10000,MATCH(ROWS($AC$3:AC3778),$AC$3:$AC$10000,0)),"")</f>
        <v/>
      </c>
    </row>
    <row r="3779" spans="27:30">
      <c r="AA3779" s="117">
        <f>+'Ingredient List - Mother Tinctu'!D3780</f>
        <v>0</v>
      </c>
      <c r="AB3779" s="117">
        <f t="shared" si="61"/>
        <v>0</v>
      </c>
      <c r="AC3779" s="117" t="str">
        <f>IF(AB3779=1,COUNTIF($AB$3:AB3779,1),"")</f>
        <v/>
      </c>
      <c r="AD3779" s="117" t="str">
        <f>IFERROR(INDEX($AA$3:$AA$10000,MATCH(ROWS($AC$3:AC3779),$AC$3:$AC$10000,0)),"")</f>
        <v/>
      </c>
    </row>
    <row r="3780" spans="27:30">
      <c r="AA3780" s="117">
        <f>+'Ingredient List - Mother Tinctu'!D3781</f>
        <v>0</v>
      </c>
      <c r="AB3780" s="117">
        <f t="shared" ref="AB3780:AB3843" si="62">--ISNUMBER(IFERROR(SEARCH($D$3,AA3780,1),""))</f>
        <v>0</v>
      </c>
      <c r="AC3780" s="117" t="str">
        <f>IF(AB3780=1,COUNTIF($AB$3:AB3780,1),"")</f>
        <v/>
      </c>
      <c r="AD3780" s="117" t="str">
        <f>IFERROR(INDEX($AA$3:$AA$10000,MATCH(ROWS($AC$3:AC3780),$AC$3:$AC$10000,0)),"")</f>
        <v/>
      </c>
    </row>
    <row r="3781" spans="27:30">
      <c r="AA3781" s="117">
        <f>+'Ingredient List - Mother Tinctu'!D3782</f>
        <v>0</v>
      </c>
      <c r="AB3781" s="117">
        <f t="shared" si="62"/>
        <v>0</v>
      </c>
      <c r="AC3781" s="117" t="str">
        <f>IF(AB3781=1,COUNTIF($AB$3:AB3781,1),"")</f>
        <v/>
      </c>
      <c r="AD3781" s="117" t="str">
        <f>IFERROR(INDEX($AA$3:$AA$10000,MATCH(ROWS($AC$3:AC3781),$AC$3:$AC$10000,0)),"")</f>
        <v/>
      </c>
    </row>
    <row r="3782" spans="27:30">
      <c r="AA3782" s="117">
        <f>+'Ingredient List - Mother Tinctu'!D3783</f>
        <v>0</v>
      </c>
      <c r="AB3782" s="117">
        <f t="shared" si="62"/>
        <v>0</v>
      </c>
      <c r="AC3782" s="117" t="str">
        <f>IF(AB3782=1,COUNTIF($AB$3:AB3782,1),"")</f>
        <v/>
      </c>
      <c r="AD3782" s="117" t="str">
        <f>IFERROR(INDEX($AA$3:$AA$10000,MATCH(ROWS($AC$3:AC3782),$AC$3:$AC$10000,0)),"")</f>
        <v/>
      </c>
    </row>
    <row r="3783" spans="27:30">
      <c r="AA3783" s="117">
        <f>+'Ingredient List - Mother Tinctu'!D3784</f>
        <v>0</v>
      </c>
      <c r="AB3783" s="117">
        <f t="shared" si="62"/>
        <v>0</v>
      </c>
      <c r="AC3783" s="117" t="str">
        <f>IF(AB3783=1,COUNTIF($AB$3:AB3783,1),"")</f>
        <v/>
      </c>
      <c r="AD3783" s="117" t="str">
        <f>IFERROR(INDEX($AA$3:$AA$10000,MATCH(ROWS($AC$3:AC3783),$AC$3:$AC$10000,0)),"")</f>
        <v/>
      </c>
    </row>
    <row r="3784" spans="27:30">
      <c r="AA3784" s="117">
        <f>+'Ingredient List - Mother Tinctu'!D3785</f>
        <v>0</v>
      </c>
      <c r="AB3784" s="117">
        <f t="shared" si="62"/>
        <v>0</v>
      </c>
      <c r="AC3784" s="117" t="str">
        <f>IF(AB3784=1,COUNTIF($AB$3:AB3784,1),"")</f>
        <v/>
      </c>
      <c r="AD3784" s="117" t="str">
        <f>IFERROR(INDEX($AA$3:$AA$10000,MATCH(ROWS($AC$3:AC3784),$AC$3:$AC$10000,0)),"")</f>
        <v/>
      </c>
    </row>
    <row r="3785" spans="27:30">
      <c r="AA3785" s="117">
        <f>+'Ingredient List - Mother Tinctu'!D3786</f>
        <v>0</v>
      </c>
      <c r="AB3785" s="117">
        <f t="shared" si="62"/>
        <v>0</v>
      </c>
      <c r="AC3785" s="117" t="str">
        <f>IF(AB3785=1,COUNTIF($AB$3:AB3785,1),"")</f>
        <v/>
      </c>
      <c r="AD3785" s="117" t="str">
        <f>IFERROR(INDEX($AA$3:$AA$10000,MATCH(ROWS($AC$3:AC3785),$AC$3:$AC$10000,0)),"")</f>
        <v/>
      </c>
    </row>
    <row r="3786" spans="27:30">
      <c r="AA3786" s="117">
        <f>+'Ingredient List - Mother Tinctu'!D3787</f>
        <v>0</v>
      </c>
      <c r="AB3786" s="117">
        <f t="shared" si="62"/>
        <v>0</v>
      </c>
      <c r="AC3786" s="117" t="str">
        <f>IF(AB3786=1,COUNTIF($AB$3:AB3786,1),"")</f>
        <v/>
      </c>
      <c r="AD3786" s="117" t="str">
        <f>IFERROR(INDEX($AA$3:$AA$10000,MATCH(ROWS($AC$3:AC3786),$AC$3:$AC$10000,0)),"")</f>
        <v/>
      </c>
    </row>
    <row r="3787" spans="27:30">
      <c r="AA3787" s="117">
        <f>+'Ingredient List - Mother Tinctu'!D3788</f>
        <v>0</v>
      </c>
      <c r="AB3787" s="117">
        <f t="shared" si="62"/>
        <v>0</v>
      </c>
      <c r="AC3787" s="117" t="str">
        <f>IF(AB3787=1,COUNTIF($AB$3:AB3787,1),"")</f>
        <v/>
      </c>
      <c r="AD3787" s="117" t="str">
        <f>IFERROR(INDEX($AA$3:$AA$10000,MATCH(ROWS($AC$3:AC3787),$AC$3:$AC$10000,0)),"")</f>
        <v/>
      </c>
    </row>
    <row r="3788" spans="27:30">
      <c r="AA3788" s="117">
        <f>+'Ingredient List - Mother Tinctu'!D3789</f>
        <v>0</v>
      </c>
      <c r="AB3788" s="117">
        <f t="shared" si="62"/>
        <v>0</v>
      </c>
      <c r="AC3788" s="117" t="str">
        <f>IF(AB3788=1,COUNTIF($AB$3:AB3788,1),"")</f>
        <v/>
      </c>
      <c r="AD3788" s="117" t="str">
        <f>IFERROR(INDEX($AA$3:$AA$10000,MATCH(ROWS($AC$3:AC3788),$AC$3:$AC$10000,0)),"")</f>
        <v/>
      </c>
    </row>
    <row r="3789" spans="27:30">
      <c r="AA3789" s="117">
        <f>+'Ingredient List - Mother Tinctu'!D3790</f>
        <v>0</v>
      </c>
      <c r="AB3789" s="117">
        <f t="shared" si="62"/>
        <v>0</v>
      </c>
      <c r="AC3789" s="117" t="str">
        <f>IF(AB3789=1,COUNTIF($AB$3:AB3789,1),"")</f>
        <v/>
      </c>
      <c r="AD3789" s="117" t="str">
        <f>IFERROR(INDEX($AA$3:$AA$10000,MATCH(ROWS($AC$3:AC3789),$AC$3:$AC$10000,0)),"")</f>
        <v/>
      </c>
    </row>
    <row r="3790" spans="27:30">
      <c r="AA3790" s="117">
        <f>+'Ingredient List - Mother Tinctu'!D3791</f>
        <v>0</v>
      </c>
      <c r="AB3790" s="117">
        <f t="shared" si="62"/>
        <v>0</v>
      </c>
      <c r="AC3790" s="117" t="str">
        <f>IF(AB3790=1,COUNTIF($AB$3:AB3790,1),"")</f>
        <v/>
      </c>
      <c r="AD3790" s="117" t="str">
        <f>IFERROR(INDEX($AA$3:$AA$10000,MATCH(ROWS($AC$3:AC3790),$AC$3:$AC$10000,0)),"")</f>
        <v/>
      </c>
    </row>
    <row r="3791" spans="27:30">
      <c r="AA3791" s="117">
        <f>+'Ingredient List - Mother Tinctu'!D3792</f>
        <v>0</v>
      </c>
      <c r="AB3791" s="117">
        <f t="shared" si="62"/>
        <v>0</v>
      </c>
      <c r="AC3791" s="117" t="str">
        <f>IF(AB3791=1,COUNTIF($AB$3:AB3791,1),"")</f>
        <v/>
      </c>
      <c r="AD3791" s="117" t="str">
        <f>IFERROR(INDEX($AA$3:$AA$10000,MATCH(ROWS($AC$3:AC3791),$AC$3:$AC$10000,0)),"")</f>
        <v/>
      </c>
    </row>
    <row r="3792" spans="27:30">
      <c r="AA3792" s="117">
        <f>+'Ingredient List - Mother Tinctu'!D3793</f>
        <v>0</v>
      </c>
      <c r="AB3792" s="117">
        <f t="shared" si="62"/>
        <v>0</v>
      </c>
      <c r="AC3792" s="117" t="str">
        <f>IF(AB3792=1,COUNTIF($AB$3:AB3792,1),"")</f>
        <v/>
      </c>
      <c r="AD3792" s="117" t="str">
        <f>IFERROR(INDEX($AA$3:$AA$10000,MATCH(ROWS($AC$3:AC3792),$AC$3:$AC$10000,0)),"")</f>
        <v/>
      </c>
    </row>
    <row r="3793" spans="27:30">
      <c r="AA3793" s="117">
        <f>+'Ingredient List - Mother Tinctu'!D3794</f>
        <v>0</v>
      </c>
      <c r="AB3793" s="117">
        <f t="shared" si="62"/>
        <v>0</v>
      </c>
      <c r="AC3793" s="117" t="str">
        <f>IF(AB3793=1,COUNTIF($AB$3:AB3793,1),"")</f>
        <v/>
      </c>
      <c r="AD3793" s="117" t="str">
        <f>IFERROR(INDEX($AA$3:$AA$10000,MATCH(ROWS($AC$3:AC3793),$AC$3:$AC$10000,0)),"")</f>
        <v/>
      </c>
    </row>
    <row r="3794" spans="27:30">
      <c r="AA3794" s="117">
        <f>+'Ingredient List - Mother Tinctu'!D3795</f>
        <v>0</v>
      </c>
      <c r="AB3794" s="117">
        <f t="shared" si="62"/>
        <v>0</v>
      </c>
      <c r="AC3794" s="117" t="str">
        <f>IF(AB3794=1,COUNTIF($AB$3:AB3794,1),"")</f>
        <v/>
      </c>
      <c r="AD3794" s="117" t="str">
        <f>IFERROR(INDEX($AA$3:$AA$10000,MATCH(ROWS($AC$3:AC3794),$AC$3:$AC$10000,0)),"")</f>
        <v/>
      </c>
    </row>
    <row r="3795" spans="27:30">
      <c r="AA3795" s="117">
        <f>+'Ingredient List - Mother Tinctu'!D3796</f>
        <v>0</v>
      </c>
      <c r="AB3795" s="117">
        <f t="shared" si="62"/>
        <v>0</v>
      </c>
      <c r="AC3795" s="117" t="str">
        <f>IF(AB3795=1,COUNTIF($AB$3:AB3795,1),"")</f>
        <v/>
      </c>
      <c r="AD3795" s="117" t="str">
        <f>IFERROR(INDEX($AA$3:$AA$10000,MATCH(ROWS($AC$3:AC3795),$AC$3:$AC$10000,0)),"")</f>
        <v/>
      </c>
    </row>
    <row r="3796" spans="27:30">
      <c r="AA3796" s="117">
        <f>+'Ingredient List - Mother Tinctu'!D3797</f>
        <v>0</v>
      </c>
      <c r="AB3796" s="117">
        <f t="shared" si="62"/>
        <v>0</v>
      </c>
      <c r="AC3796" s="117" t="str">
        <f>IF(AB3796=1,COUNTIF($AB$3:AB3796,1),"")</f>
        <v/>
      </c>
      <c r="AD3796" s="117" t="str">
        <f>IFERROR(INDEX($AA$3:$AA$10000,MATCH(ROWS($AC$3:AC3796),$AC$3:$AC$10000,0)),"")</f>
        <v/>
      </c>
    </row>
    <row r="3797" spans="27:30">
      <c r="AA3797" s="117">
        <f>+'Ingredient List - Mother Tinctu'!D3798</f>
        <v>0</v>
      </c>
      <c r="AB3797" s="117">
        <f t="shared" si="62"/>
        <v>0</v>
      </c>
      <c r="AC3797" s="117" t="str">
        <f>IF(AB3797=1,COUNTIF($AB$3:AB3797,1),"")</f>
        <v/>
      </c>
      <c r="AD3797" s="117" t="str">
        <f>IFERROR(INDEX($AA$3:$AA$10000,MATCH(ROWS($AC$3:AC3797),$AC$3:$AC$10000,0)),"")</f>
        <v/>
      </c>
    </row>
    <row r="3798" spans="27:30">
      <c r="AA3798" s="117">
        <f>+'Ingredient List - Mother Tinctu'!D3799</f>
        <v>0</v>
      </c>
      <c r="AB3798" s="117">
        <f t="shared" si="62"/>
        <v>0</v>
      </c>
      <c r="AC3798" s="117" t="str">
        <f>IF(AB3798=1,COUNTIF($AB$3:AB3798,1),"")</f>
        <v/>
      </c>
      <c r="AD3798" s="117" t="str">
        <f>IFERROR(INDEX($AA$3:$AA$10000,MATCH(ROWS($AC$3:AC3798),$AC$3:$AC$10000,0)),"")</f>
        <v/>
      </c>
    </row>
    <row r="3799" spans="27:30">
      <c r="AA3799" s="117">
        <f>+'Ingredient List - Mother Tinctu'!D3800</f>
        <v>0</v>
      </c>
      <c r="AB3799" s="117">
        <f t="shared" si="62"/>
        <v>0</v>
      </c>
      <c r="AC3799" s="117" t="str">
        <f>IF(AB3799=1,COUNTIF($AB$3:AB3799,1),"")</f>
        <v/>
      </c>
      <c r="AD3799" s="117" t="str">
        <f>IFERROR(INDEX($AA$3:$AA$10000,MATCH(ROWS($AC$3:AC3799),$AC$3:$AC$10000,0)),"")</f>
        <v/>
      </c>
    </row>
    <row r="3800" spans="27:30">
      <c r="AA3800" s="117">
        <f>+'Ingredient List - Mother Tinctu'!D3801</f>
        <v>0</v>
      </c>
      <c r="AB3800" s="117">
        <f t="shared" si="62"/>
        <v>0</v>
      </c>
      <c r="AC3800" s="117" t="str">
        <f>IF(AB3800=1,COUNTIF($AB$3:AB3800,1),"")</f>
        <v/>
      </c>
      <c r="AD3800" s="117" t="str">
        <f>IFERROR(INDEX($AA$3:$AA$10000,MATCH(ROWS($AC$3:AC3800),$AC$3:$AC$10000,0)),"")</f>
        <v/>
      </c>
    </row>
    <row r="3801" spans="27:30">
      <c r="AA3801" s="117">
        <f>+'Ingredient List - Mother Tinctu'!D3802</f>
        <v>0</v>
      </c>
      <c r="AB3801" s="117">
        <f t="shared" si="62"/>
        <v>0</v>
      </c>
      <c r="AC3801" s="117" t="str">
        <f>IF(AB3801=1,COUNTIF($AB$3:AB3801,1),"")</f>
        <v/>
      </c>
      <c r="AD3801" s="117" t="str">
        <f>IFERROR(INDEX($AA$3:$AA$10000,MATCH(ROWS($AC$3:AC3801),$AC$3:$AC$10000,0)),"")</f>
        <v/>
      </c>
    </row>
    <row r="3802" spans="27:30">
      <c r="AA3802" s="117">
        <f>+'Ingredient List - Mother Tinctu'!D3803</f>
        <v>0</v>
      </c>
      <c r="AB3802" s="117">
        <f t="shared" si="62"/>
        <v>0</v>
      </c>
      <c r="AC3802" s="117" t="str">
        <f>IF(AB3802=1,COUNTIF($AB$3:AB3802,1),"")</f>
        <v/>
      </c>
      <c r="AD3802" s="117" t="str">
        <f>IFERROR(INDEX($AA$3:$AA$10000,MATCH(ROWS($AC$3:AC3802),$AC$3:$AC$10000,0)),"")</f>
        <v/>
      </c>
    </row>
    <row r="3803" spans="27:30">
      <c r="AA3803" s="117">
        <f>+'Ingredient List - Mother Tinctu'!D3804</f>
        <v>0</v>
      </c>
      <c r="AB3803" s="117">
        <f t="shared" si="62"/>
        <v>0</v>
      </c>
      <c r="AC3803" s="117" t="str">
        <f>IF(AB3803=1,COUNTIF($AB$3:AB3803,1),"")</f>
        <v/>
      </c>
      <c r="AD3803" s="117" t="str">
        <f>IFERROR(INDEX($AA$3:$AA$10000,MATCH(ROWS($AC$3:AC3803),$AC$3:$AC$10000,0)),"")</f>
        <v/>
      </c>
    </row>
    <row r="3804" spans="27:30">
      <c r="AA3804" s="117">
        <f>+'Ingredient List - Mother Tinctu'!D3805</f>
        <v>0</v>
      </c>
      <c r="AB3804" s="117">
        <f t="shared" si="62"/>
        <v>0</v>
      </c>
      <c r="AC3804" s="117" t="str">
        <f>IF(AB3804=1,COUNTIF($AB$3:AB3804,1),"")</f>
        <v/>
      </c>
      <c r="AD3804" s="117" t="str">
        <f>IFERROR(INDEX($AA$3:$AA$10000,MATCH(ROWS($AC$3:AC3804),$AC$3:$AC$10000,0)),"")</f>
        <v/>
      </c>
    </row>
    <row r="3805" spans="27:30">
      <c r="AA3805" s="117">
        <f>+'Ingredient List - Mother Tinctu'!D3806</f>
        <v>0</v>
      </c>
      <c r="AB3805" s="117">
        <f t="shared" si="62"/>
        <v>0</v>
      </c>
      <c r="AC3805" s="117" t="str">
        <f>IF(AB3805=1,COUNTIF($AB$3:AB3805,1),"")</f>
        <v/>
      </c>
      <c r="AD3805" s="117" t="str">
        <f>IFERROR(INDEX($AA$3:$AA$10000,MATCH(ROWS($AC$3:AC3805),$AC$3:$AC$10000,0)),"")</f>
        <v/>
      </c>
    </row>
    <row r="3806" spans="27:30">
      <c r="AA3806" s="117">
        <f>+'Ingredient List - Mother Tinctu'!D3807</f>
        <v>0</v>
      </c>
      <c r="AB3806" s="117">
        <f t="shared" si="62"/>
        <v>0</v>
      </c>
      <c r="AC3806" s="117" t="str">
        <f>IF(AB3806=1,COUNTIF($AB$3:AB3806,1),"")</f>
        <v/>
      </c>
      <c r="AD3806" s="117" t="str">
        <f>IFERROR(INDEX($AA$3:$AA$10000,MATCH(ROWS($AC$3:AC3806),$AC$3:$AC$10000,0)),"")</f>
        <v/>
      </c>
    </row>
    <row r="3807" spans="27:30">
      <c r="AA3807" s="117">
        <f>+'Ingredient List - Mother Tinctu'!D3808</f>
        <v>0</v>
      </c>
      <c r="AB3807" s="117">
        <f t="shared" si="62"/>
        <v>0</v>
      </c>
      <c r="AC3807" s="117" t="str">
        <f>IF(AB3807=1,COUNTIF($AB$3:AB3807,1),"")</f>
        <v/>
      </c>
      <c r="AD3807" s="117" t="str">
        <f>IFERROR(INDEX($AA$3:$AA$10000,MATCH(ROWS($AC$3:AC3807),$AC$3:$AC$10000,0)),"")</f>
        <v/>
      </c>
    </row>
    <row r="3808" spans="27:30">
      <c r="AA3808" s="117">
        <f>+'Ingredient List - Mother Tinctu'!D3809</f>
        <v>0</v>
      </c>
      <c r="AB3808" s="117">
        <f t="shared" si="62"/>
        <v>0</v>
      </c>
      <c r="AC3808" s="117" t="str">
        <f>IF(AB3808=1,COUNTIF($AB$3:AB3808,1),"")</f>
        <v/>
      </c>
      <c r="AD3808" s="117" t="str">
        <f>IFERROR(INDEX($AA$3:$AA$10000,MATCH(ROWS($AC$3:AC3808),$AC$3:$AC$10000,0)),"")</f>
        <v/>
      </c>
    </row>
    <row r="3809" spans="27:30">
      <c r="AA3809" s="117">
        <f>+'Ingredient List - Mother Tinctu'!D3810</f>
        <v>0</v>
      </c>
      <c r="AB3809" s="117">
        <f t="shared" si="62"/>
        <v>0</v>
      </c>
      <c r="AC3809" s="117" t="str">
        <f>IF(AB3809=1,COUNTIF($AB$3:AB3809,1),"")</f>
        <v/>
      </c>
      <c r="AD3809" s="117" t="str">
        <f>IFERROR(INDEX($AA$3:$AA$10000,MATCH(ROWS($AC$3:AC3809),$AC$3:$AC$10000,0)),"")</f>
        <v/>
      </c>
    </row>
    <row r="3810" spans="27:30">
      <c r="AA3810" s="117">
        <f>+'Ingredient List - Mother Tinctu'!D3811</f>
        <v>0</v>
      </c>
      <c r="AB3810" s="117">
        <f t="shared" si="62"/>
        <v>0</v>
      </c>
      <c r="AC3810" s="117" t="str">
        <f>IF(AB3810=1,COUNTIF($AB$3:AB3810,1),"")</f>
        <v/>
      </c>
      <c r="AD3810" s="117" t="str">
        <f>IFERROR(INDEX($AA$3:$AA$10000,MATCH(ROWS($AC$3:AC3810),$AC$3:$AC$10000,0)),"")</f>
        <v/>
      </c>
    </row>
    <row r="3811" spans="27:30">
      <c r="AA3811" s="117">
        <f>+'Ingredient List - Mother Tinctu'!D3812</f>
        <v>0</v>
      </c>
      <c r="AB3811" s="117">
        <f t="shared" si="62"/>
        <v>0</v>
      </c>
      <c r="AC3811" s="117" t="str">
        <f>IF(AB3811=1,COUNTIF($AB$3:AB3811,1),"")</f>
        <v/>
      </c>
      <c r="AD3811" s="117" t="str">
        <f>IFERROR(INDEX($AA$3:$AA$10000,MATCH(ROWS($AC$3:AC3811),$AC$3:$AC$10000,0)),"")</f>
        <v/>
      </c>
    </row>
    <row r="3812" spans="27:30">
      <c r="AA3812" s="117">
        <f>+'Ingredient List - Mother Tinctu'!D3813</f>
        <v>0</v>
      </c>
      <c r="AB3812" s="117">
        <f t="shared" si="62"/>
        <v>0</v>
      </c>
      <c r="AC3812" s="117" t="str">
        <f>IF(AB3812=1,COUNTIF($AB$3:AB3812,1),"")</f>
        <v/>
      </c>
      <c r="AD3812" s="117" t="str">
        <f>IFERROR(INDEX($AA$3:$AA$10000,MATCH(ROWS($AC$3:AC3812),$AC$3:$AC$10000,0)),"")</f>
        <v/>
      </c>
    </row>
    <row r="3813" spans="27:30">
      <c r="AA3813" s="117">
        <f>+'Ingredient List - Mother Tinctu'!D3814</f>
        <v>0</v>
      </c>
      <c r="AB3813" s="117">
        <f t="shared" si="62"/>
        <v>0</v>
      </c>
      <c r="AC3813" s="117" t="str">
        <f>IF(AB3813=1,COUNTIF($AB$3:AB3813,1),"")</f>
        <v/>
      </c>
      <c r="AD3813" s="117" t="str">
        <f>IFERROR(INDEX($AA$3:$AA$10000,MATCH(ROWS($AC$3:AC3813),$AC$3:$AC$10000,0)),"")</f>
        <v/>
      </c>
    </row>
    <row r="3814" spans="27:30">
      <c r="AA3814" s="117">
        <f>+'Ingredient List - Mother Tinctu'!D3815</f>
        <v>0</v>
      </c>
      <c r="AB3814" s="117">
        <f t="shared" si="62"/>
        <v>0</v>
      </c>
      <c r="AC3814" s="117" t="str">
        <f>IF(AB3814=1,COUNTIF($AB$3:AB3814,1),"")</f>
        <v/>
      </c>
      <c r="AD3814" s="117" t="str">
        <f>IFERROR(INDEX($AA$3:$AA$10000,MATCH(ROWS($AC$3:AC3814),$AC$3:$AC$10000,0)),"")</f>
        <v/>
      </c>
    </row>
    <row r="3815" spans="27:30">
      <c r="AA3815" s="117">
        <f>+'Ingredient List - Mother Tinctu'!D3816</f>
        <v>0</v>
      </c>
      <c r="AB3815" s="117">
        <f t="shared" si="62"/>
        <v>0</v>
      </c>
      <c r="AC3815" s="117" t="str">
        <f>IF(AB3815=1,COUNTIF($AB$3:AB3815,1),"")</f>
        <v/>
      </c>
      <c r="AD3815" s="117" t="str">
        <f>IFERROR(INDEX($AA$3:$AA$10000,MATCH(ROWS($AC$3:AC3815),$AC$3:$AC$10000,0)),"")</f>
        <v/>
      </c>
    </row>
    <row r="3816" spans="27:30">
      <c r="AA3816" s="117">
        <f>+'Ingredient List - Mother Tinctu'!D3817</f>
        <v>0</v>
      </c>
      <c r="AB3816" s="117">
        <f t="shared" si="62"/>
        <v>0</v>
      </c>
      <c r="AC3816" s="117" t="str">
        <f>IF(AB3816=1,COUNTIF($AB$3:AB3816,1),"")</f>
        <v/>
      </c>
      <c r="AD3816" s="117" t="str">
        <f>IFERROR(INDEX($AA$3:$AA$10000,MATCH(ROWS($AC$3:AC3816),$AC$3:$AC$10000,0)),"")</f>
        <v/>
      </c>
    </row>
    <row r="3817" spans="27:30">
      <c r="AA3817" s="117">
        <f>+'Ingredient List - Mother Tinctu'!D3818</f>
        <v>0</v>
      </c>
      <c r="AB3817" s="117">
        <f t="shared" si="62"/>
        <v>0</v>
      </c>
      <c r="AC3817" s="117" t="str">
        <f>IF(AB3817=1,COUNTIF($AB$3:AB3817,1),"")</f>
        <v/>
      </c>
      <c r="AD3817" s="117" t="str">
        <f>IFERROR(INDEX($AA$3:$AA$10000,MATCH(ROWS($AC$3:AC3817),$AC$3:$AC$10000,0)),"")</f>
        <v/>
      </c>
    </row>
    <row r="3818" spans="27:30">
      <c r="AA3818" s="117">
        <f>+'Ingredient List - Mother Tinctu'!D3819</f>
        <v>0</v>
      </c>
      <c r="AB3818" s="117">
        <f t="shared" si="62"/>
        <v>0</v>
      </c>
      <c r="AC3818" s="117" t="str">
        <f>IF(AB3818=1,COUNTIF($AB$3:AB3818,1),"")</f>
        <v/>
      </c>
      <c r="AD3818" s="117" t="str">
        <f>IFERROR(INDEX($AA$3:$AA$10000,MATCH(ROWS($AC$3:AC3818),$AC$3:$AC$10000,0)),"")</f>
        <v/>
      </c>
    </row>
    <row r="3819" spans="27:30">
      <c r="AA3819" s="117">
        <f>+'Ingredient List - Mother Tinctu'!D3820</f>
        <v>0</v>
      </c>
      <c r="AB3819" s="117">
        <f t="shared" si="62"/>
        <v>0</v>
      </c>
      <c r="AC3819" s="117" t="str">
        <f>IF(AB3819=1,COUNTIF($AB$3:AB3819,1),"")</f>
        <v/>
      </c>
      <c r="AD3819" s="117" t="str">
        <f>IFERROR(INDEX($AA$3:$AA$10000,MATCH(ROWS($AC$3:AC3819),$AC$3:$AC$10000,0)),"")</f>
        <v/>
      </c>
    </row>
    <row r="3820" spans="27:30">
      <c r="AA3820" s="117">
        <f>+'Ingredient List - Mother Tinctu'!D3821</f>
        <v>0</v>
      </c>
      <c r="AB3820" s="117">
        <f t="shared" si="62"/>
        <v>0</v>
      </c>
      <c r="AC3820" s="117" t="str">
        <f>IF(AB3820=1,COUNTIF($AB$3:AB3820,1),"")</f>
        <v/>
      </c>
      <c r="AD3820" s="117" t="str">
        <f>IFERROR(INDEX($AA$3:$AA$10000,MATCH(ROWS($AC$3:AC3820),$AC$3:$AC$10000,0)),"")</f>
        <v/>
      </c>
    </row>
    <row r="3821" spans="27:30">
      <c r="AA3821" s="117">
        <f>+'Ingredient List - Mother Tinctu'!D3822</f>
        <v>0</v>
      </c>
      <c r="AB3821" s="117">
        <f t="shared" si="62"/>
        <v>0</v>
      </c>
      <c r="AC3821" s="117" t="str">
        <f>IF(AB3821=1,COUNTIF($AB$3:AB3821,1),"")</f>
        <v/>
      </c>
      <c r="AD3821" s="117" t="str">
        <f>IFERROR(INDEX($AA$3:$AA$10000,MATCH(ROWS($AC$3:AC3821),$AC$3:$AC$10000,0)),"")</f>
        <v/>
      </c>
    </row>
    <row r="3822" spans="27:30">
      <c r="AA3822" s="117">
        <f>+'Ingredient List - Mother Tinctu'!D3823</f>
        <v>0</v>
      </c>
      <c r="AB3822" s="117">
        <f t="shared" si="62"/>
        <v>0</v>
      </c>
      <c r="AC3822" s="117" t="str">
        <f>IF(AB3822=1,COUNTIF($AB$3:AB3822,1),"")</f>
        <v/>
      </c>
      <c r="AD3822" s="117" t="str">
        <f>IFERROR(INDEX($AA$3:$AA$10000,MATCH(ROWS($AC$3:AC3822),$AC$3:$AC$10000,0)),"")</f>
        <v/>
      </c>
    </row>
    <row r="3823" spans="27:30">
      <c r="AA3823" s="117">
        <f>+'Ingredient List - Mother Tinctu'!D3824</f>
        <v>0</v>
      </c>
      <c r="AB3823" s="117">
        <f t="shared" si="62"/>
        <v>0</v>
      </c>
      <c r="AC3823" s="117" t="str">
        <f>IF(AB3823=1,COUNTIF($AB$3:AB3823,1),"")</f>
        <v/>
      </c>
      <c r="AD3823" s="117" t="str">
        <f>IFERROR(INDEX($AA$3:$AA$10000,MATCH(ROWS($AC$3:AC3823),$AC$3:$AC$10000,0)),"")</f>
        <v/>
      </c>
    </row>
    <row r="3824" spans="27:30">
      <c r="AA3824" s="117">
        <f>+'Ingredient List - Mother Tinctu'!D3825</f>
        <v>0</v>
      </c>
      <c r="AB3824" s="117">
        <f t="shared" si="62"/>
        <v>0</v>
      </c>
      <c r="AC3824" s="117" t="str">
        <f>IF(AB3824=1,COUNTIF($AB$3:AB3824,1),"")</f>
        <v/>
      </c>
      <c r="AD3824" s="117" t="str">
        <f>IFERROR(INDEX($AA$3:$AA$10000,MATCH(ROWS($AC$3:AC3824),$AC$3:$AC$10000,0)),"")</f>
        <v/>
      </c>
    </row>
    <row r="3825" spans="27:30">
      <c r="AA3825" s="117">
        <f>+'Ingredient List - Mother Tinctu'!D3826</f>
        <v>0</v>
      </c>
      <c r="AB3825" s="117">
        <f t="shared" si="62"/>
        <v>0</v>
      </c>
      <c r="AC3825" s="117" t="str">
        <f>IF(AB3825=1,COUNTIF($AB$3:AB3825,1),"")</f>
        <v/>
      </c>
      <c r="AD3825" s="117" t="str">
        <f>IFERROR(INDEX($AA$3:$AA$10000,MATCH(ROWS($AC$3:AC3825),$AC$3:$AC$10000,0)),"")</f>
        <v/>
      </c>
    </row>
    <row r="3826" spans="27:30">
      <c r="AA3826" s="117">
        <f>+'Ingredient List - Mother Tinctu'!D3827</f>
        <v>0</v>
      </c>
      <c r="AB3826" s="117">
        <f t="shared" si="62"/>
        <v>0</v>
      </c>
      <c r="AC3826" s="117" t="str">
        <f>IF(AB3826=1,COUNTIF($AB$3:AB3826,1),"")</f>
        <v/>
      </c>
      <c r="AD3826" s="117" t="str">
        <f>IFERROR(INDEX($AA$3:$AA$10000,MATCH(ROWS($AC$3:AC3826),$AC$3:$AC$10000,0)),"")</f>
        <v/>
      </c>
    </row>
    <row r="3827" spans="27:30">
      <c r="AA3827" s="117">
        <f>+'Ingredient List - Mother Tinctu'!D3828</f>
        <v>0</v>
      </c>
      <c r="AB3827" s="117">
        <f t="shared" si="62"/>
        <v>0</v>
      </c>
      <c r="AC3827" s="117" t="str">
        <f>IF(AB3827=1,COUNTIF($AB$3:AB3827,1),"")</f>
        <v/>
      </c>
      <c r="AD3827" s="117" t="str">
        <f>IFERROR(INDEX($AA$3:$AA$10000,MATCH(ROWS($AC$3:AC3827),$AC$3:$AC$10000,0)),"")</f>
        <v/>
      </c>
    </row>
    <row r="3828" spans="27:30">
      <c r="AA3828" s="117">
        <f>+'Ingredient List - Mother Tinctu'!D3829</f>
        <v>0</v>
      </c>
      <c r="AB3828" s="117">
        <f t="shared" si="62"/>
        <v>0</v>
      </c>
      <c r="AC3828" s="117" t="str">
        <f>IF(AB3828=1,COUNTIF($AB$3:AB3828,1),"")</f>
        <v/>
      </c>
      <c r="AD3828" s="117" t="str">
        <f>IFERROR(INDEX($AA$3:$AA$10000,MATCH(ROWS($AC$3:AC3828),$AC$3:$AC$10000,0)),"")</f>
        <v/>
      </c>
    </row>
    <row r="3829" spans="27:30">
      <c r="AA3829" s="117">
        <f>+'Ingredient List - Mother Tinctu'!D3830</f>
        <v>0</v>
      </c>
      <c r="AB3829" s="117">
        <f t="shared" si="62"/>
        <v>0</v>
      </c>
      <c r="AC3829" s="117" t="str">
        <f>IF(AB3829=1,COUNTIF($AB$3:AB3829,1),"")</f>
        <v/>
      </c>
      <c r="AD3829" s="117" t="str">
        <f>IFERROR(INDEX($AA$3:$AA$10000,MATCH(ROWS($AC$3:AC3829),$AC$3:$AC$10000,0)),"")</f>
        <v/>
      </c>
    </row>
    <row r="3830" spans="27:30">
      <c r="AA3830" s="117">
        <f>+'Ingredient List - Mother Tinctu'!D3831</f>
        <v>0</v>
      </c>
      <c r="AB3830" s="117">
        <f t="shared" si="62"/>
        <v>0</v>
      </c>
      <c r="AC3830" s="117" t="str">
        <f>IF(AB3830=1,COUNTIF($AB$3:AB3830,1),"")</f>
        <v/>
      </c>
      <c r="AD3830" s="117" t="str">
        <f>IFERROR(INDEX($AA$3:$AA$10000,MATCH(ROWS($AC$3:AC3830),$AC$3:$AC$10000,0)),"")</f>
        <v/>
      </c>
    </row>
    <row r="3831" spans="27:30">
      <c r="AA3831" s="117">
        <f>+'Ingredient List - Mother Tinctu'!D3832</f>
        <v>0</v>
      </c>
      <c r="AB3831" s="117">
        <f t="shared" si="62"/>
        <v>0</v>
      </c>
      <c r="AC3831" s="117" t="str">
        <f>IF(AB3831=1,COUNTIF($AB$3:AB3831,1),"")</f>
        <v/>
      </c>
      <c r="AD3831" s="117" t="str">
        <f>IFERROR(INDEX($AA$3:$AA$10000,MATCH(ROWS($AC$3:AC3831),$AC$3:$AC$10000,0)),"")</f>
        <v/>
      </c>
    </row>
    <row r="3832" spans="27:30">
      <c r="AA3832" s="117">
        <f>+'Ingredient List - Mother Tinctu'!D3833</f>
        <v>0</v>
      </c>
      <c r="AB3832" s="117">
        <f t="shared" si="62"/>
        <v>0</v>
      </c>
      <c r="AC3832" s="117" t="str">
        <f>IF(AB3832=1,COUNTIF($AB$3:AB3832,1),"")</f>
        <v/>
      </c>
      <c r="AD3832" s="117" t="str">
        <f>IFERROR(INDEX($AA$3:$AA$10000,MATCH(ROWS($AC$3:AC3832),$AC$3:$AC$10000,0)),"")</f>
        <v/>
      </c>
    </row>
    <row r="3833" spans="27:30">
      <c r="AA3833" s="117">
        <f>+'Ingredient List - Mother Tinctu'!D3834</f>
        <v>0</v>
      </c>
      <c r="AB3833" s="117">
        <f t="shared" si="62"/>
        <v>0</v>
      </c>
      <c r="AC3833" s="117" t="str">
        <f>IF(AB3833=1,COUNTIF($AB$3:AB3833,1),"")</f>
        <v/>
      </c>
      <c r="AD3833" s="117" t="str">
        <f>IFERROR(INDEX($AA$3:$AA$10000,MATCH(ROWS($AC$3:AC3833),$AC$3:$AC$10000,0)),"")</f>
        <v/>
      </c>
    </row>
    <row r="3834" spans="27:30">
      <c r="AA3834" s="117">
        <f>+'Ingredient List - Mother Tinctu'!D3835</f>
        <v>0</v>
      </c>
      <c r="AB3834" s="117">
        <f t="shared" si="62"/>
        <v>0</v>
      </c>
      <c r="AC3834" s="117" t="str">
        <f>IF(AB3834=1,COUNTIF($AB$3:AB3834,1),"")</f>
        <v/>
      </c>
      <c r="AD3834" s="117" t="str">
        <f>IFERROR(INDEX($AA$3:$AA$10000,MATCH(ROWS($AC$3:AC3834),$AC$3:$AC$10000,0)),"")</f>
        <v/>
      </c>
    </row>
    <row r="3835" spans="27:30">
      <c r="AA3835" s="117">
        <f>+'Ingredient List - Mother Tinctu'!D3836</f>
        <v>0</v>
      </c>
      <c r="AB3835" s="117">
        <f t="shared" si="62"/>
        <v>0</v>
      </c>
      <c r="AC3835" s="117" t="str">
        <f>IF(AB3835=1,COUNTIF($AB$3:AB3835,1),"")</f>
        <v/>
      </c>
      <c r="AD3835" s="117" t="str">
        <f>IFERROR(INDEX($AA$3:$AA$10000,MATCH(ROWS($AC$3:AC3835),$AC$3:$AC$10000,0)),"")</f>
        <v/>
      </c>
    </row>
    <row r="3836" spans="27:30">
      <c r="AA3836" s="117">
        <f>+'Ingredient List - Mother Tinctu'!D3837</f>
        <v>0</v>
      </c>
      <c r="AB3836" s="117">
        <f t="shared" si="62"/>
        <v>0</v>
      </c>
      <c r="AC3836" s="117" t="str">
        <f>IF(AB3836=1,COUNTIF($AB$3:AB3836,1),"")</f>
        <v/>
      </c>
      <c r="AD3836" s="117" t="str">
        <f>IFERROR(INDEX($AA$3:$AA$10000,MATCH(ROWS($AC$3:AC3836),$AC$3:$AC$10000,0)),"")</f>
        <v/>
      </c>
    </row>
    <row r="3837" spans="27:30">
      <c r="AA3837" s="117">
        <f>+'Ingredient List - Mother Tinctu'!D3838</f>
        <v>0</v>
      </c>
      <c r="AB3837" s="117">
        <f t="shared" si="62"/>
        <v>0</v>
      </c>
      <c r="AC3837" s="117" t="str">
        <f>IF(AB3837=1,COUNTIF($AB$3:AB3837,1),"")</f>
        <v/>
      </c>
      <c r="AD3837" s="117" t="str">
        <f>IFERROR(INDEX($AA$3:$AA$10000,MATCH(ROWS($AC$3:AC3837),$AC$3:$AC$10000,0)),"")</f>
        <v/>
      </c>
    </row>
    <row r="3838" spans="27:30">
      <c r="AA3838" s="117">
        <f>+'Ingredient List - Mother Tinctu'!D3839</f>
        <v>0</v>
      </c>
      <c r="AB3838" s="117">
        <f t="shared" si="62"/>
        <v>0</v>
      </c>
      <c r="AC3838" s="117" t="str">
        <f>IF(AB3838=1,COUNTIF($AB$3:AB3838,1),"")</f>
        <v/>
      </c>
      <c r="AD3838" s="117" t="str">
        <f>IFERROR(INDEX($AA$3:$AA$10000,MATCH(ROWS($AC$3:AC3838),$AC$3:$AC$10000,0)),"")</f>
        <v/>
      </c>
    </row>
    <row r="3839" spans="27:30">
      <c r="AA3839" s="117">
        <f>+'Ingredient List - Mother Tinctu'!D3840</f>
        <v>0</v>
      </c>
      <c r="AB3839" s="117">
        <f t="shared" si="62"/>
        <v>0</v>
      </c>
      <c r="AC3839" s="117" t="str">
        <f>IF(AB3839=1,COUNTIF($AB$3:AB3839,1),"")</f>
        <v/>
      </c>
      <c r="AD3839" s="117" t="str">
        <f>IFERROR(INDEX($AA$3:$AA$10000,MATCH(ROWS($AC$3:AC3839),$AC$3:$AC$10000,0)),"")</f>
        <v/>
      </c>
    </row>
    <row r="3840" spans="27:30">
      <c r="AA3840" s="117">
        <f>+'Ingredient List - Mother Tinctu'!D3841</f>
        <v>0</v>
      </c>
      <c r="AB3840" s="117">
        <f t="shared" si="62"/>
        <v>0</v>
      </c>
      <c r="AC3840" s="117" t="str">
        <f>IF(AB3840=1,COUNTIF($AB$3:AB3840,1),"")</f>
        <v/>
      </c>
      <c r="AD3840" s="117" t="str">
        <f>IFERROR(INDEX($AA$3:$AA$10000,MATCH(ROWS($AC$3:AC3840),$AC$3:$AC$10000,0)),"")</f>
        <v/>
      </c>
    </row>
    <row r="3841" spans="27:30">
      <c r="AA3841" s="117">
        <f>+'Ingredient List - Mother Tinctu'!D3842</f>
        <v>0</v>
      </c>
      <c r="AB3841" s="117">
        <f t="shared" si="62"/>
        <v>0</v>
      </c>
      <c r="AC3841" s="117" t="str">
        <f>IF(AB3841=1,COUNTIF($AB$3:AB3841,1),"")</f>
        <v/>
      </c>
      <c r="AD3841" s="117" t="str">
        <f>IFERROR(INDEX($AA$3:$AA$10000,MATCH(ROWS($AC$3:AC3841),$AC$3:$AC$10000,0)),"")</f>
        <v/>
      </c>
    </row>
    <row r="3842" spans="27:30">
      <c r="AA3842" s="117">
        <f>+'Ingredient List - Mother Tinctu'!D3843</f>
        <v>0</v>
      </c>
      <c r="AB3842" s="117">
        <f t="shared" si="62"/>
        <v>0</v>
      </c>
      <c r="AC3842" s="117" t="str">
        <f>IF(AB3842=1,COUNTIF($AB$3:AB3842,1),"")</f>
        <v/>
      </c>
      <c r="AD3842" s="117" t="str">
        <f>IFERROR(INDEX($AA$3:$AA$10000,MATCH(ROWS($AC$3:AC3842),$AC$3:$AC$10000,0)),"")</f>
        <v/>
      </c>
    </row>
    <row r="3843" spans="27:30">
      <c r="AA3843" s="117">
        <f>+'Ingredient List - Mother Tinctu'!D3844</f>
        <v>0</v>
      </c>
      <c r="AB3843" s="117">
        <f t="shared" si="62"/>
        <v>0</v>
      </c>
      <c r="AC3843" s="117" t="str">
        <f>IF(AB3843=1,COUNTIF($AB$3:AB3843,1),"")</f>
        <v/>
      </c>
      <c r="AD3843" s="117" t="str">
        <f>IFERROR(INDEX($AA$3:$AA$10000,MATCH(ROWS($AC$3:AC3843),$AC$3:$AC$10000,0)),"")</f>
        <v/>
      </c>
    </row>
    <row r="3844" spans="27:30">
      <c r="AA3844" s="117">
        <f>+'Ingredient List - Mother Tinctu'!D3845</f>
        <v>0</v>
      </c>
      <c r="AB3844" s="117">
        <f t="shared" ref="AB3844:AB3907" si="63">--ISNUMBER(IFERROR(SEARCH($D$3,AA3844,1),""))</f>
        <v>0</v>
      </c>
      <c r="AC3844" s="117" t="str">
        <f>IF(AB3844=1,COUNTIF($AB$3:AB3844,1),"")</f>
        <v/>
      </c>
      <c r="AD3844" s="117" t="str">
        <f>IFERROR(INDEX($AA$3:$AA$10000,MATCH(ROWS($AC$3:AC3844),$AC$3:$AC$10000,0)),"")</f>
        <v/>
      </c>
    </row>
    <row r="3845" spans="27:30">
      <c r="AA3845" s="117">
        <f>+'Ingredient List - Mother Tinctu'!D3846</f>
        <v>0</v>
      </c>
      <c r="AB3845" s="117">
        <f t="shared" si="63"/>
        <v>0</v>
      </c>
      <c r="AC3845" s="117" t="str">
        <f>IF(AB3845=1,COUNTIF($AB$3:AB3845,1),"")</f>
        <v/>
      </c>
      <c r="AD3845" s="117" t="str">
        <f>IFERROR(INDEX($AA$3:$AA$10000,MATCH(ROWS($AC$3:AC3845),$AC$3:$AC$10000,0)),"")</f>
        <v/>
      </c>
    </row>
    <row r="3846" spans="27:30">
      <c r="AA3846" s="117">
        <f>+'Ingredient List - Mother Tinctu'!D3847</f>
        <v>0</v>
      </c>
      <c r="AB3846" s="117">
        <f t="shared" si="63"/>
        <v>0</v>
      </c>
      <c r="AC3846" s="117" t="str">
        <f>IF(AB3846=1,COUNTIF($AB$3:AB3846,1),"")</f>
        <v/>
      </c>
      <c r="AD3846" s="117" t="str">
        <f>IFERROR(INDEX($AA$3:$AA$10000,MATCH(ROWS($AC$3:AC3846),$AC$3:$AC$10000,0)),"")</f>
        <v/>
      </c>
    </row>
    <row r="3847" spans="27:30">
      <c r="AA3847" s="117">
        <f>+'Ingredient List - Mother Tinctu'!D3848</f>
        <v>0</v>
      </c>
      <c r="AB3847" s="117">
        <f t="shared" si="63"/>
        <v>0</v>
      </c>
      <c r="AC3847" s="117" t="str">
        <f>IF(AB3847=1,COUNTIF($AB$3:AB3847,1),"")</f>
        <v/>
      </c>
      <c r="AD3847" s="117" t="str">
        <f>IFERROR(INDEX($AA$3:$AA$10000,MATCH(ROWS($AC$3:AC3847),$AC$3:$AC$10000,0)),"")</f>
        <v/>
      </c>
    </row>
    <row r="3848" spans="27:30">
      <c r="AA3848" s="117">
        <f>+'Ingredient List - Mother Tinctu'!D3849</f>
        <v>0</v>
      </c>
      <c r="AB3848" s="117">
        <f t="shared" si="63"/>
        <v>0</v>
      </c>
      <c r="AC3848" s="117" t="str">
        <f>IF(AB3848=1,COUNTIF($AB$3:AB3848,1),"")</f>
        <v/>
      </c>
      <c r="AD3848" s="117" t="str">
        <f>IFERROR(INDEX($AA$3:$AA$10000,MATCH(ROWS($AC$3:AC3848),$AC$3:$AC$10000,0)),"")</f>
        <v/>
      </c>
    </row>
    <row r="3849" spans="27:30">
      <c r="AA3849" s="117">
        <f>+'Ingredient List - Mother Tinctu'!D3850</f>
        <v>0</v>
      </c>
      <c r="AB3849" s="117">
        <f t="shared" si="63"/>
        <v>0</v>
      </c>
      <c r="AC3849" s="117" t="str">
        <f>IF(AB3849=1,COUNTIF($AB$3:AB3849,1),"")</f>
        <v/>
      </c>
      <c r="AD3849" s="117" t="str">
        <f>IFERROR(INDEX($AA$3:$AA$10000,MATCH(ROWS($AC$3:AC3849),$AC$3:$AC$10000,0)),"")</f>
        <v/>
      </c>
    </row>
    <row r="3850" spans="27:30">
      <c r="AA3850" s="117">
        <f>+'Ingredient List - Mother Tinctu'!D3851</f>
        <v>0</v>
      </c>
      <c r="AB3850" s="117">
        <f t="shared" si="63"/>
        <v>0</v>
      </c>
      <c r="AC3850" s="117" t="str">
        <f>IF(AB3850=1,COUNTIF($AB$3:AB3850,1),"")</f>
        <v/>
      </c>
      <c r="AD3850" s="117" t="str">
        <f>IFERROR(INDEX($AA$3:$AA$10000,MATCH(ROWS($AC$3:AC3850),$AC$3:$AC$10000,0)),"")</f>
        <v/>
      </c>
    </row>
    <row r="3851" spans="27:30">
      <c r="AA3851" s="117">
        <f>+'Ingredient List - Mother Tinctu'!D3852</f>
        <v>0</v>
      </c>
      <c r="AB3851" s="117">
        <f t="shared" si="63"/>
        <v>0</v>
      </c>
      <c r="AC3851" s="117" t="str">
        <f>IF(AB3851=1,COUNTIF($AB$3:AB3851,1),"")</f>
        <v/>
      </c>
      <c r="AD3851" s="117" t="str">
        <f>IFERROR(INDEX($AA$3:$AA$10000,MATCH(ROWS($AC$3:AC3851),$AC$3:$AC$10000,0)),"")</f>
        <v/>
      </c>
    </row>
    <row r="3852" spans="27:30">
      <c r="AA3852" s="117">
        <f>+'Ingredient List - Mother Tinctu'!D3853</f>
        <v>0</v>
      </c>
      <c r="AB3852" s="117">
        <f t="shared" si="63"/>
        <v>0</v>
      </c>
      <c r="AC3852" s="117" t="str">
        <f>IF(AB3852=1,COUNTIF($AB$3:AB3852,1),"")</f>
        <v/>
      </c>
      <c r="AD3852" s="117" t="str">
        <f>IFERROR(INDEX($AA$3:$AA$10000,MATCH(ROWS($AC$3:AC3852),$AC$3:$AC$10000,0)),"")</f>
        <v/>
      </c>
    </row>
    <row r="3853" spans="27:30">
      <c r="AA3853" s="117">
        <f>+'Ingredient List - Mother Tinctu'!D3854</f>
        <v>0</v>
      </c>
      <c r="AB3853" s="117">
        <f t="shared" si="63"/>
        <v>0</v>
      </c>
      <c r="AC3853" s="117" t="str">
        <f>IF(AB3853=1,COUNTIF($AB$3:AB3853,1),"")</f>
        <v/>
      </c>
      <c r="AD3853" s="117" t="str">
        <f>IFERROR(INDEX($AA$3:$AA$10000,MATCH(ROWS($AC$3:AC3853),$AC$3:$AC$10000,0)),"")</f>
        <v/>
      </c>
    </row>
    <row r="3854" spans="27:30">
      <c r="AA3854" s="117">
        <f>+'Ingredient List - Mother Tinctu'!D3855</f>
        <v>0</v>
      </c>
      <c r="AB3854" s="117">
        <f t="shared" si="63"/>
        <v>0</v>
      </c>
      <c r="AC3854" s="117" t="str">
        <f>IF(AB3854=1,COUNTIF($AB$3:AB3854,1),"")</f>
        <v/>
      </c>
      <c r="AD3854" s="117" t="str">
        <f>IFERROR(INDEX($AA$3:$AA$10000,MATCH(ROWS($AC$3:AC3854),$AC$3:$AC$10000,0)),"")</f>
        <v/>
      </c>
    </row>
    <row r="3855" spans="27:30">
      <c r="AA3855" s="117">
        <f>+'Ingredient List - Mother Tinctu'!D3856</f>
        <v>0</v>
      </c>
      <c r="AB3855" s="117">
        <f t="shared" si="63"/>
        <v>0</v>
      </c>
      <c r="AC3855" s="117" t="str">
        <f>IF(AB3855=1,COUNTIF($AB$3:AB3855,1),"")</f>
        <v/>
      </c>
      <c r="AD3855" s="117" t="str">
        <f>IFERROR(INDEX($AA$3:$AA$10000,MATCH(ROWS($AC$3:AC3855),$AC$3:$AC$10000,0)),"")</f>
        <v/>
      </c>
    </row>
    <row r="3856" spans="27:30">
      <c r="AA3856" s="117">
        <f>+'Ingredient List - Mother Tinctu'!D3857</f>
        <v>0</v>
      </c>
      <c r="AB3856" s="117">
        <f t="shared" si="63"/>
        <v>0</v>
      </c>
      <c r="AC3856" s="117" t="str">
        <f>IF(AB3856=1,COUNTIF($AB$3:AB3856,1),"")</f>
        <v/>
      </c>
      <c r="AD3856" s="117" t="str">
        <f>IFERROR(INDEX($AA$3:$AA$10000,MATCH(ROWS($AC$3:AC3856),$AC$3:$AC$10000,0)),"")</f>
        <v/>
      </c>
    </row>
    <row r="3857" spans="27:30">
      <c r="AA3857" s="117">
        <f>+'Ingredient List - Mother Tinctu'!D3858</f>
        <v>0</v>
      </c>
      <c r="AB3857" s="117">
        <f t="shared" si="63"/>
        <v>0</v>
      </c>
      <c r="AC3857" s="117" t="str">
        <f>IF(AB3857=1,COUNTIF($AB$3:AB3857,1),"")</f>
        <v/>
      </c>
      <c r="AD3857" s="117" t="str">
        <f>IFERROR(INDEX($AA$3:$AA$10000,MATCH(ROWS($AC$3:AC3857),$AC$3:$AC$10000,0)),"")</f>
        <v/>
      </c>
    </row>
    <row r="3858" spans="27:30">
      <c r="AA3858" s="117">
        <f>+'Ingredient List - Mother Tinctu'!D3859</f>
        <v>0</v>
      </c>
      <c r="AB3858" s="117">
        <f t="shared" si="63"/>
        <v>0</v>
      </c>
      <c r="AC3858" s="117" t="str">
        <f>IF(AB3858=1,COUNTIF($AB$3:AB3858,1),"")</f>
        <v/>
      </c>
      <c r="AD3858" s="117" t="str">
        <f>IFERROR(INDEX($AA$3:$AA$10000,MATCH(ROWS($AC$3:AC3858),$AC$3:$AC$10000,0)),"")</f>
        <v/>
      </c>
    </row>
    <row r="3859" spans="27:30">
      <c r="AA3859" s="117">
        <f>+'Ingredient List - Mother Tinctu'!D3860</f>
        <v>0</v>
      </c>
      <c r="AB3859" s="117">
        <f t="shared" si="63"/>
        <v>0</v>
      </c>
      <c r="AC3859" s="117" t="str">
        <f>IF(AB3859=1,COUNTIF($AB$3:AB3859,1),"")</f>
        <v/>
      </c>
      <c r="AD3859" s="117" t="str">
        <f>IFERROR(INDEX($AA$3:$AA$10000,MATCH(ROWS($AC$3:AC3859),$AC$3:$AC$10000,0)),"")</f>
        <v/>
      </c>
    </row>
    <row r="3860" spans="27:30">
      <c r="AA3860" s="117">
        <f>+'Ingredient List - Mother Tinctu'!D3861</f>
        <v>0</v>
      </c>
      <c r="AB3860" s="117">
        <f t="shared" si="63"/>
        <v>0</v>
      </c>
      <c r="AC3860" s="117" t="str">
        <f>IF(AB3860=1,COUNTIF($AB$3:AB3860,1),"")</f>
        <v/>
      </c>
      <c r="AD3860" s="117" t="str">
        <f>IFERROR(INDEX($AA$3:$AA$10000,MATCH(ROWS($AC$3:AC3860),$AC$3:$AC$10000,0)),"")</f>
        <v/>
      </c>
    </row>
    <row r="3861" spans="27:30">
      <c r="AA3861" s="117">
        <f>+'Ingredient List - Mother Tinctu'!D3862</f>
        <v>0</v>
      </c>
      <c r="AB3861" s="117">
        <f t="shared" si="63"/>
        <v>0</v>
      </c>
      <c r="AC3861" s="117" t="str">
        <f>IF(AB3861=1,COUNTIF($AB$3:AB3861,1),"")</f>
        <v/>
      </c>
      <c r="AD3861" s="117" t="str">
        <f>IFERROR(INDEX($AA$3:$AA$10000,MATCH(ROWS($AC$3:AC3861),$AC$3:$AC$10000,0)),"")</f>
        <v/>
      </c>
    </row>
    <row r="3862" spans="27:30">
      <c r="AA3862" s="117">
        <f>+'Ingredient List - Mother Tinctu'!D3863</f>
        <v>0</v>
      </c>
      <c r="AB3862" s="117">
        <f t="shared" si="63"/>
        <v>0</v>
      </c>
      <c r="AC3862" s="117" t="str">
        <f>IF(AB3862=1,COUNTIF($AB$3:AB3862,1),"")</f>
        <v/>
      </c>
      <c r="AD3862" s="117" t="str">
        <f>IFERROR(INDEX($AA$3:$AA$10000,MATCH(ROWS($AC$3:AC3862),$AC$3:$AC$10000,0)),"")</f>
        <v/>
      </c>
    </row>
    <row r="3863" spans="27:30">
      <c r="AA3863" s="117">
        <f>+'Ingredient List - Mother Tinctu'!D3864</f>
        <v>0</v>
      </c>
      <c r="AB3863" s="117">
        <f t="shared" si="63"/>
        <v>0</v>
      </c>
      <c r="AC3863" s="117" t="str">
        <f>IF(AB3863=1,COUNTIF($AB$3:AB3863,1),"")</f>
        <v/>
      </c>
      <c r="AD3863" s="117" t="str">
        <f>IFERROR(INDEX($AA$3:$AA$10000,MATCH(ROWS($AC$3:AC3863),$AC$3:$AC$10000,0)),"")</f>
        <v/>
      </c>
    </row>
    <row r="3864" spans="27:30">
      <c r="AA3864" s="117">
        <f>+'Ingredient List - Mother Tinctu'!D3865</f>
        <v>0</v>
      </c>
      <c r="AB3864" s="117">
        <f t="shared" si="63"/>
        <v>0</v>
      </c>
      <c r="AC3864" s="117" t="str">
        <f>IF(AB3864=1,COUNTIF($AB$3:AB3864,1),"")</f>
        <v/>
      </c>
      <c r="AD3864" s="117" t="str">
        <f>IFERROR(INDEX($AA$3:$AA$10000,MATCH(ROWS($AC$3:AC3864),$AC$3:$AC$10000,0)),"")</f>
        <v/>
      </c>
    </row>
    <row r="3865" spans="27:30">
      <c r="AA3865" s="117">
        <f>+'Ingredient List - Mother Tinctu'!D3866</f>
        <v>0</v>
      </c>
      <c r="AB3865" s="117">
        <f t="shared" si="63"/>
        <v>0</v>
      </c>
      <c r="AC3865" s="117" t="str">
        <f>IF(AB3865=1,COUNTIF($AB$3:AB3865,1),"")</f>
        <v/>
      </c>
      <c r="AD3865" s="117" t="str">
        <f>IFERROR(INDEX($AA$3:$AA$10000,MATCH(ROWS($AC$3:AC3865),$AC$3:$AC$10000,0)),"")</f>
        <v/>
      </c>
    </row>
    <row r="3866" spans="27:30">
      <c r="AA3866" s="117">
        <f>+'Ingredient List - Mother Tinctu'!D3867</f>
        <v>0</v>
      </c>
      <c r="AB3866" s="117">
        <f t="shared" si="63"/>
        <v>0</v>
      </c>
      <c r="AC3866" s="117" t="str">
        <f>IF(AB3866=1,COUNTIF($AB$3:AB3866,1),"")</f>
        <v/>
      </c>
      <c r="AD3866" s="117" t="str">
        <f>IFERROR(INDEX($AA$3:$AA$10000,MATCH(ROWS($AC$3:AC3866),$AC$3:$AC$10000,0)),"")</f>
        <v/>
      </c>
    </row>
    <row r="3867" spans="27:30">
      <c r="AA3867" s="117">
        <f>+'Ingredient List - Mother Tinctu'!D3868</f>
        <v>0</v>
      </c>
      <c r="AB3867" s="117">
        <f t="shared" si="63"/>
        <v>0</v>
      </c>
      <c r="AC3867" s="117" t="str">
        <f>IF(AB3867=1,COUNTIF($AB$3:AB3867,1),"")</f>
        <v/>
      </c>
      <c r="AD3867" s="117" t="str">
        <f>IFERROR(INDEX($AA$3:$AA$10000,MATCH(ROWS($AC$3:AC3867),$AC$3:$AC$10000,0)),"")</f>
        <v/>
      </c>
    </row>
    <row r="3868" spans="27:30">
      <c r="AA3868" s="117">
        <f>+'Ingredient List - Mother Tinctu'!D3869</f>
        <v>0</v>
      </c>
      <c r="AB3868" s="117">
        <f t="shared" si="63"/>
        <v>0</v>
      </c>
      <c r="AC3868" s="117" t="str">
        <f>IF(AB3868=1,COUNTIF($AB$3:AB3868,1),"")</f>
        <v/>
      </c>
      <c r="AD3868" s="117" t="str">
        <f>IFERROR(INDEX($AA$3:$AA$10000,MATCH(ROWS($AC$3:AC3868),$AC$3:$AC$10000,0)),"")</f>
        <v/>
      </c>
    </row>
    <row r="3869" spans="27:30">
      <c r="AA3869" s="117">
        <f>+'Ingredient List - Mother Tinctu'!D3870</f>
        <v>0</v>
      </c>
      <c r="AB3869" s="117">
        <f t="shared" si="63"/>
        <v>0</v>
      </c>
      <c r="AC3869" s="117" t="str">
        <f>IF(AB3869=1,COUNTIF($AB$3:AB3869,1),"")</f>
        <v/>
      </c>
      <c r="AD3869" s="117" t="str">
        <f>IFERROR(INDEX($AA$3:$AA$10000,MATCH(ROWS($AC$3:AC3869),$AC$3:$AC$10000,0)),"")</f>
        <v/>
      </c>
    </row>
    <row r="3870" spans="27:30">
      <c r="AA3870" s="117">
        <f>+'Ingredient List - Mother Tinctu'!D3871</f>
        <v>0</v>
      </c>
      <c r="AB3870" s="117">
        <f t="shared" si="63"/>
        <v>0</v>
      </c>
      <c r="AC3870" s="117" t="str">
        <f>IF(AB3870=1,COUNTIF($AB$3:AB3870,1),"")</f>
        <v/>
      </c>
      <c r="AD3870" s="117" t="str">
        <f>IFERROR(INDEX($AA$3:$AA$10000,MATCH(ROWS($AC$3:AC3870),$AC$3:$AC$10000,0)),"")</f>
        <v/>
      </c>
    </row>
    <row r="3871" spans="27:30">
      <c r="AA3871" s="117">
        <f>+'Ingredient List - Mother Tinctu'!D3872</f>
        <v>0</v>
      </c>
      <c r="AB3871" s="117">
        <f t="shared" si="63"/>
        <v>0</v>
      </c>
      <c r="AC3871" s="117" t="str">
        <f>IF(AB3871=1,COUNTIF($AB$3:AB3871,1),"")</f>
        <v/>
      </c>
      <c r="AD3871" s="117" t="str">
        <f>IFERROR(INDEX($AA$3:$AA$10000,MATCH(ROWS($AC$3:AC3871),$AC$3:$AC$10000,0)),"")</f>
        <v/>
      </c>
    </row>
    <row r="3872" spans="27:30">
      <c r="AA3872" s="117">
        <f>+'Ingredient List - Mother Tinctu'!D3873</f>
        <v>0</v>
      </c>
      <c r="AB3872" s="117">
        <f t="shared" si="63"/>
        <v>0</v>
      </c>
      <c r="AC3872" s="117" t="str">
        <f>IF(AB3872=1,COUNTIF($AB$3:AB3872,1),"")</f>
        <v/>
      </c>
      <c r="AD3872" s="117" t="str">
        <f>IFERROR(INDEX($AA$3:$AA$10000,MATCH(ROWS($AC$3:AC3872),$AC$3:$AC$10000,0)),"")</f>
        <v/>
      </c>
    </row>
    <row r="3873" spans="27:30">
      <c r="AA3873" s="117">
        <f>+'Ingredient List - Mother Tinctu'!D3874</f>
        <v>0</v>
      </c>
      <c r="AB3873" s="117">
        <f t="shared" si="63"/>
        <v>0</v>
      </c>
      <c r="AC3873" s="117" t="str">
        <f>IF(AB3873=1,COUNTIF($AB$3:AB3873,1),"")</f>
        <v/>
      </c>
      <c r="AD3873" s="117" t="str">
        <f>IFERROR(INDEX($AA$3:$AA$10000,MATCH(ROWS($AC$3:AC3873),$AC$3:$AC$10000,0)),"")</f>
        <v/>
      </c>
    </row>
    <row r="3874" spans="27:30">
      <c r="AA3874" s="117">
        <f>+'Ingredient List - Mother Tinctu'!D3875</f>
        <v>0</v>
      </c>
      <c r="AB3874" s="117">
        <f t="shared" si="63"/>
        <v>0</v>
      </c>
      <c r="AC3874" s="117" t="str">
        <f>IF(AB3874=1,COUNTIF($AB$3:AB3874,1),"")</f>
        <v/>
      </c>
      <c r="AD3874" s="117" t="str">
        <f>IFERROR(INDEX($AA$3:$AA$10000,MATCH(ROWS($AC$3:AC3874),$AC$3:$AC$10000,0)),"")</f>
        <v/>
      </c>
    </row>
    <row r="3875" spans="27:30">
      <c r="AA3875" s="117">
        <f>+'Ingredient List - Mother Tinctu'!D3876</f>
        <v>0</v>
      </c>
      <c r="AB3875" s="117">
        <f t="shared" si="63"/>
        <v>0</v>
      </c>
      <c r="AC3875" s="117" t="str">
        <f>IF(AB3875=1,COUNTIF($AB$3:AB3875,1),"")</f>
        <v/>
      </c>
      <c r="AD3875" s="117" t="str">
        <f>IFERROR(INDEX($AA$3:$AA$10000,MATCH(ROWS($AC$3:AC3875),$AC$3:$AC$10000,0)),"")</f>
        <v/>
      </c>
    </row>
    <row r="3876" spans="27:30">
      <c r="AA3876" s="117">
        <f>+'Ingredient List - Mother Tinctu'!D3877</f>
        <v>0</v>
      </c>
      <c r="AB3876" s="117">
        <f t="shared" si="63"/>
        <v>0</v>
      </c>
      <c r="AC3876" s="117" t="str">
        <f>IF(AB3876=1,COUNTIF($AB$3:AB3876,1),"")</f>
        <v/>
      </c>
      <c r="AD3876" s="117" t="str">
        <f>IFERROR(INDEX($AA$3:$AA$10000,MATCH(ROWS($AC$3:AC3876),$AC$3:$AC$10000,0)),"")</f>
        <v/>
      </c>
    </row>
    <row r="3877" spans="27:30">
      <c r="AA3877" s="117">
        <f>+'Ingredient List - Mother Tinctu'!D3878</f>
        <v>0</v>
      </c>
      <c r="AB3877" s="117">
        <f t="shared" si="63"/>
        <v>0</v>
      </c>
      <c r="AC3877" s="117" t="str">
        <f>IF(AB3877=1,COUNTIF($AB$3:AB3877,1),"")</f>
        <v/>
      </c>
      <c r="AD3877" s="117" t="str">
        <f>IFERROR(INDEX($AA$3:$AA$10000,MATCH(ROWS($AC$3:AC3877),$AC$3:$AC$10000,0)),"")</f>
        <v/>
      </c>
    </row>
    <row r="3878" spans="27:30">
      <c r="AA3878" s="117">
        <f>+'Ingredient List - Mother Tinctu'!D3879</f>
        <v>0</v>
      </c>
      <c r="AB3878" s="117">
        <f t="shared" si="63"/>
        <v>0</v>
      </c>
      <c r="AC3878" s="117" t="str">
        <f>IF(AB3878=1,COUNTIF($AB$3:AB3878,1),"")</f>
        <v/>
      </c>
      <c r="AD3878" s="117" t="str">
        <f>IFERROR(INDEX($AA$3:$AA$10000,MATCH(ROWS($AC$3:AC3878),$AC$3:$AC$10000,0)),"")</f>
        <v/>
      </c>
    </row>
    <row r="3879" spans="27:30">
      <c r="AA3879" s="117">
        <f>+'Ingredient List - Mother Tinctu'!D3880</f>
        <v>0</v>
      </c>
      <c r="AB3879" s="117">
        <f t="shared" si="63"/>
        <v>0</v>
      </c>
      <c r="AC3879" s="117" t="str">
        <f>IF(AB3879=1,COUNTIF($AB$3:AB3879,1),"")</f>
        <v/>
      </c>
      <c r="AD3879" s="117" t="str">
        <f>IFERROR(INDEX($AA$3:$AA$10000,MATCH(ROWS($AC$3:AC3879),$AC$3:$AC$10000,0)),"")</f>
        <v/>
      </c>
    </row>
    <row r="3880" spans="27:30">
      <c r="AA3880" s="117">
        <f>+'Ingredient List - Mother Tinctu'!D3881</f>
        <v>0</v>
      </c>
      <c r="AB3880" s="117">
        <f t="shared" si="63"/>
        <v>0</v>
      </c>
      <c r="AC3880" s="117" t="str">
        <f>IF(AB3880=1,COUNTIF($AB$3:AB3880,1),"")</f>
        <v/>
      </c>
      <c r="AD3880" s="117" t="str">
        <f>IFERROR(INDEX($AA$3:$AA$10000,MATCH(ROWS($AC$3:AC3880),$AC$3:$AC$10000,0)),"")</f>
        <v/>
      </c>
    </row>
    <row r="3881" spans="27:30">
      <c r="AA3881" s="117">
        <f>+'Ingredient List - Mother Tinctu'!D3882</f>
        <v>0</v>
      </c>
      <c r="AB3881" s="117">
        <f t="shared" si="63"/>
        <v>0</v>
      </c>
      <c r="AC3881" s="117" t="str">
        <f>IF(AB3881=1,COUNTIF($AB$3:AB3881,1),"")</f>
        <v/>
      </c>
      <c r="AD3881" s="117" t="str">
        <f>IFERROR(INDEX($AA$3:$AA$10000,MATCH(ROWS($AC$3:AC3881),$AC$3:$AC$10000,0)),"")</f>
        <v/>
      </c>
    </row>
    <row r="3882" spans="27:30">
      <c r="AA3882" s="117">
        <f>+'Ingredient List - Mother Tinctu'!D3883</f>
        <v>0</v>
      </c>
      <c r="AB3882" s="117">
        <f t="shared" si="63"/>
        <v>0</v>
      </c>
      <c r="AC3882" s="117" t="str">
        <f>IF(AB3882=1,COUNTIF($AB$3:AB3882,1),"")</f>
        <v/>
      </c>
      <c r="AD3882" s="117" t="str">
        <f>IFERROR(INDEX($AA$3:$AA$10000,MATCH(ROWS($AC$3:AC3882),$AC$3:$AC$10000,0)),"")</f>
        <v/>
      </c>
    </row>
    <row r="3883" spans="27:30">
      <c r="AA3883" s="117">
        <f>+'Ingredient List - Mother Tinctu'!D3884</f>
        <v>0</v>
      </c>
      <c r="AB3883" s="117">
        <f t="shared" si="63"/>
        <v>0</v>
      </c>
      <c r="AC3883" s="117" t="str">
        <f>IF(AB3883=1,COUNTIF($AB$3:AB3883,1),"")</f>
        <v/>
      </c>
      <c r="AD3883" s="117" t="str">
        <f>IFERROR(INDEX($AA$3:$AA$10000,MATCH(ROWS($AC$3:AC3883),$AC$3:$AC$10000,0)),"")</f>
        <v/>
      </c>
    </row>
    <row r="3884" spans="27:30">
      <c r="AA3884" s="117">
        <f>+'Ingredient List - Mother Tinctu'!D3885</f>
        <v>0</v>
      </c>
      <c r="AB3884" s="117">
        <f t="shared" si="63"/>
        <v>0</v>
      </c>
      <c r="AC3884" s="117" t="str">
        <f>IF(AB3884=1,COUNTIF($AB$3:AB3884,1),"")</f>
        <v/>
      </c>
      <c r="AD3884" s="117" t="str">
        <f>IFERROR(INDEX($AA$3:$AA$10000,MATCH(ROWS($AC$3:AC3884),$AC$3:$AC$10000,0)),"")</f>
        <v/>
      </c>
    </row>
    <row r="3885" spans="27:30">
      <c r="AA3885" s="117">
        <f>+'Ingredient List - Mother Tinctu'!D3886</f>
        <v>0</v>
      </c>
      <c r="AB3885" s="117">
        <f t="shared" si="63"/>
        <v>0</v>
      </c>
      <c r="AC3885" s="117" t="str">
        <f>IF(AB3885=1,COUNTIF($AB$3:AB3885,1),"")</f>
        <v/>
      </c>
      <c r="AD3885" s="117" t="str">
        <f>IFERROR(INDEX($AA$3:$AA$10000,MATCH(ROWS($AC$3:AC3885),$AC$3:$AC$10000,0)),"")</f>
        <v/>
      </c>
    </row>
    <row r="3886" spans="27:30">
      <c r="AA3886" s="117">
        <f>+'Ingredient List - Mother Tinctu'!D3887</f>
        <v>0</v>
      </c>
      <c r="AB3886" s="117">
        <f t="shared" si="63"/>
        <v>0</v>
      </c>
      <c r="AC3886" s="117" t="str">
        <f>IF(AB3886=1,COUNTIF($AB$3:AB3886,1),"")</f>
        <v/>
      </c>
      <c r="AD3886" s="117" t="str">
        <f>IFERROR(INDEX($AA$3:$AA$10000,MATCH(ROWS($AC$3:AC3886),$AC$3:$AC$10000,0)),"")</f>
        <v/>
      </c>
    </row>
    <row r="3887" spans="27:30">
      <c r="AA3887" s="117">
        <f>+'Ingredient List - Mother Tinctu'!D3888</f>
        <v>0</v>
      </c>
      <c r="AB3887" s="117">
        <f t="shared" si="63"/>
        <v>0</v>
      </c>
      <c r="AC3887" s="117" t="str">
        <f>IF(AB3887=1,COUNTIF($AB$3:AB3887,1),"")</f>
        <v/>
      </c>
      <c r="AD3887" s="117" t="str">
        <f>IFERROR(INDEX($AA$3:$AA$10000,MATCH(ROWS($AC$3:AC3887),$AC$3:$AC$10000,0)),"")</f>
        <v/>
      </c>
    </row>
    <row r="3888" spans="27:30">
      <c r="AA3888" s="117">
        <f>+'Ingredient List - Mother Tinctu'!D3889</f>
        <v>0</v>
      </c>
      <c r="AB3888" s="117">
        <f t="shared" si="63"/>
        <v>0</v>
      </c>
      <c r="AC3888" s="117" t="str">
        <f>IF(AB3888=1,COUNTIF($AB$3:AB3888,1),"")</f>
        <v/>
      </c>
      <c r="AD3888" s="117" t="str">
        <f>IFERROR(INDEX($AA$3:$AA$10000,MATCH(ROWS($AC$3:AC3888),$AC$3:$AC$10000,0)),"")</f>
        <v/>
      </c>
    </row>
    <row r="3889" spans="27:30">
      <c r="AA3889" s="117">
        <f>+'Ingredient List - Mother Tinctu'!D3890</f>
        <v>0</v>
      </c>
      <c r="AB3889" s="117">
        <f t="shared" si="63"/>
        <v>0</v>
      </c>
      <c r="AC3889" s="117" t="str">
        <f>IF(AB3889=1,COUNTIF($AB$3:AB3889,1),"")</f>
        <v/>
      </c>
      <c r="AD3889" s="117" t="str">
        <f>IFERROR(INDEX($AA$3:$AA$10000,MATCH(ROWS($AC$3:AC3889),$AC$3:$AC$10000,0)),"")</f>
        <v/>
      </c>
    </row>
    <row r="3890" spans="27:30">
      <c r="AA3890" s="117">
        <f>+'Ingredient List - Mother Tinctu'!D3891</f>
        <v>0</v>
      </c>
      <c r="AB3890" s="117">
        <f t="shared" si="63"/>
        <v>0</v>
      </c>
      <c r="AC3890" s="117" t="str">
        <f>IF(AB3890=1,COUNTIF($AB$3:AB3890,1),"")</f>
        <v/>
      </c>
      <c r="AD3890" s="117" t="str">
        <f>IFERROR(INDEX($AA$3:$AA$10000,MATCH(ROWS($AC$3:AC3890),$AC$3:$AC$10000,0)),"")</f>
        <v/>
      </c>
    </row>
    <row r="3891" spans="27:30">
      <c r="AA3891" s="117">
        <f>+'Ingredient List - Mother Tinctu'!D3892</f>
        <v>0</v>
      </c>
      <c r="AB3891" s="117">
        <f t="shared" si="63"/>
        <v>0</v>
      </c>
      <c r="AC3891" s="117" t="str">
        <f>IF(AB3891=1,COUNTIF($AB$3:AB3891,1),"")</f>
        <v/>
      </c>
      <c r="AD3891" s="117" t="str">
        <f>IFERROR(INDEX($AA$3:$AA$10000,MATCH(ROWS($AC$3:AC3891),$AC$3:$AC$10000,0)),"")</f>
        <v/>
      </c>
    </row>
    <row r="3892" spans="27:30">
      <c r="AA3892" s="117">
        <f>+'Ingredient List - Mother Tinctu'!D3893</f>
        <v>0</v>
      </c>
      <c r="AB3892" s="117">
        <f t="shared" si="63"/>
        <v>0</v>
      </c>
      <c r="AC3892" s="117" t="str">
        <f>IF(AB3892=1,COUNTIF($AB$3:AB3892,1),"")</f>
        <v/>
      </c>
      <c r="AD3892" s="117" t="str">
        <f>IFERROR(INDEX($AA$3:$AA$10000,MATCH(ROWS($AC$3:AC3892),$AC$3:$AC$10000,0)),"")</f>
        <v/>
      </c>
    </row>
    <row r="3893" spans="27:30">
      <c r="AA3893" s="117">
        <f>+'Ingredient List - Mother Tinctu'!D3894</f>
        <v>0</v>
      </c>
      <c r="AB3893" s="117">
        <f t="shared" si="63"/>
        <v>0</v>
      </c>
      <c r="AC3893" s="117" t="str">
        <f>IF(AB3893=1,COUNTIF($AB$3:AB3893,1),"")</f>
        <v/>
      </c>
      <c r="AD3893" s="117" t="str">
        <f>IFERROR(INDEX($AA$3:$AA$10000,MATCH(ROWS($AC$3:AC3893),$AC$3:$AC$10000,0)),"")</f>
        <v/>
      </c>
    </row>
    <row r="3894" spans="27:30">
      <c r="AA3894" s="117">
        <f>+'Ingredient List - Mother Tinctu'!D3895</f>
        <v>0</v>
      </c>
      <c r="AB3894" s="117">
        <f t="shared" si="63"/>
        <v>0</v>
      </c>
      <c r="AC3894" s="117" t="str">
        <f>IF(AB3894=1,COUNTIF($AB$3:AB3894,1),"")</f>
        <v/>
      </c>
      <c r="AD3894" s="117" t="str">
        <f>IFERROR(INDEX($AA$3:$AA$10000,MATCH(ROWS($AC$3:AC3894),$AC$3:$AC$10000,0)),"")</f>
        <v/>
      </c>
    </row>
    <row r="3895" spans="27:30">
      <c r="AA3895" s="117">
        <f>+'Ingredient List - Mother Tinctu'!D3896</f>
        <v>0</v>
      </c>
      <c r="AB3895" s="117">
        <f t="shared" si="63"/>
        <v>0</v>
      </c>
      <c r="AC3895" s="117" t="str">
        <f>IF(AB3895=1,COUNTIF($AB$3:AB3895,1),"")</f>
        <v/>
      </c>
      <c r="AD3895" s="117" t="str">
        <f>IFERROR(INDEX($AA$3:$AA$10000,MATCH(ROWS($AC$3:AC3895),$AC$3:$AC$10000,0)),"")</f>
        <v/>
      </c>
    </row>
    <row r="3896" spans="27:30">
      <c r="AA3896" s="117">
        <f>+'Ingredient List - Mother Tinctu'!D3897</f>
        <v>0</v>
      </c>
      <c r="AB3896" s="117">
        <f t="shared" si="63"/>
        <v>0</v>
      </c>
      <c r="AC3896" s="117" t="str">
        <f>IF(AB3896=1,COUNTIF($AB$3:AB3896,1),"")</f>
        <v/>
      </c>
      <c r="AD3896" s="117" t="str">
        <f>IFERROR(INDEX($AA$3:$AA$10000,MATCH(ROWS($AC$3:AC3896),$AC$3:$AC$10000,0)),"")</f>
        <v/>
      </c>
    </row>
    <row r="3897" spans="27:30">
      <c r="AA3897" s="117">
        <f>+'Ingredient List - Mother Tinctu'!D3898</f>
        <v>0</v>
      </c>
      <c r="AB3897" s="117">
        <f t="shared" si="63"/>
        <v>0</v>
      </c>
      <c r="AC3897" s="117" t="str">
        <f>IF(AB3897=1,COUNTIF($AB$3:AB3897,1),"")</f>
        <v/>
      </c>
      <c r="AD3897" s="117" t="str">
        <f>IFERROR(INDEX($AA$3:$AA$10000,MATCH(ROWS($AC$3:AC3897),$AC$3:$AC$10000,0)),"")</f>
        <v/>
      </c>
    </row>
    <row r="3898" spans="27:30">
      <c r="AA3898" s="117">
        <f>+'Ingredient List - Mother Tinctu'!D3899</f>
        <v>0</v>
      </c>
      <c r="AB3898" s="117">
        <f t="shared" si="63"/>
        <v>0</v>
      </c>
      <c r="AC3898" s="117" t="str">
        <f>IF(AB3898=1,COUNTIF($AB$3:AB3898,1),"")</f>
        <v/>
      </c>
      <c r="AD3898" s="117" t="str">
        <f>IFERROR(INDEX($AA$3:$AA$10000,MATCH(ROWS($AC$3:AC3898),$AC$3:$AC$10000,0)),"")</f>
        <v/>
      </c>
    </row>
    <row r="3899" spans="27:30">
      <c r="AA3899" s="117">
        <f>+'Ingredient List - Mother Tinctu'!D3900</f>
        <v>0</v>
      </c>
      <c r="AB3899" s="117">
        <f t="shared" si="63"/>
        <v>0</v>
      </c>
      <c r="AC3899" s="117" t="str">
        <f>IF(AB3899=1,COUNTIF($AB$3:AB3899,1),"")</f>
        <v/>
      </c>
      <c r="AD3899" s="117" t="str">
        <f>IFERROR(INDEX($AA$3:$AA$10000,MATCH(ROWS($AC$3:AC3899),$AC$3:$AC$10000,0)),"")</f>
        <v/>
      </c>
    </row>
    <row r="3900" spans="27:30">
      <c r="AA3900" s="117">
        <f>+'Ingredient List - Mother Tinctu'!D3901</f>
        <v>0</v>
      </c>
      <c r="AB3900" s="117">
        <f t="shared" si="63"/>
        <v>0</v>
      </c>
      <c r="AC3900" s="117" t="str">
        <f>IF(AB3900=1,COUNTIF($AB$3:AB3900,1),"")</f>
        <v/>
      </c>
      <c r="AD3900" s="117" t="str">
        <f>IFERROR(INDEX($AA$3:$AA$10000,MATCH(ROWS($AC$3:AC3900),$AC$3:$AC$10000,0)),"")</f>
        <v/>
      </c>
    </row>
    <row r="3901" spans="27:30">
      <c r="AA3901" s="117">
        <f>+'Ingredient List - Mother Tinctu'!D3902</f>
        <v>0</v>
      </c>
      <c r="AB3901" s="117">
        <f t="shared" si="63"/>
        <v>0</v>
      </c>
      <c r="AC3901" s="117" t="str">
        <f>IF(AB3901=1,COUNTIF($AB$3:AB3901,1),"")</f>
        <v/>
      </c>
      <c r="AD3901" s="117" t="str">
        <f>IFERROR(INDEX($AA$3:$AA$10000,MATCH(ROWS($AC$3:AC3901),$AC$3:$AC$10000,0)),"")</f>
        <v/>
      </c>
    </row>
    <row r="3902" spans="27:30">
      <c r="AA3902" s="117">
        <f>+'Ingredient List - Mother Tinctu'!D3903</f>
        <v>0</v>
      </c>
      <c r="AB3902" s="117">
        <f t="shared" si="63"/>
        <v>0</v>
      </c>
      <c r="AC3902" s="117" t="str">
        <f>IF(AB3902=1,COUNTIF($AB$3:AB3902,1),"")</f>
        <v/>
      </c>
      <c r="AD3902" s="117" t="str">
        <f>IFERROR(INDEX($AA$3:$AA$10000,MATCH(ROWS($AC$3:AC3902),$AC$3:$AC$10000,0)),"")</f>
        <v/>
      </c>
    </row>
    <row r="3903" spans="27:30">
      <c r="AA3903" s="117">
        <f>+'Ingredient List - Mother Tinctu'!D3904</f>
        <v>0</v>
      </c>
      <c r="AB3903" s="117">
        <f t="shared" si="63"/>
        <v>0</v>
      </c>
      <c r="AC3903" s="117" t="str">
        <f>IF(AB3903=1,COUNTIF($AB$3:AB3903,1),"")</f>
        <v/>
      </c>
      <c r="AD3903" s="117" t="str">
        <f>IFERROR(INDEX($AA$3:$AA$10000,MATCH(ROWS($AC$3:AC3903),$AC$3:$AC$10000,0)),"")</f>
        <v/>
      </c>
    </row>
    <row r="3904" spans="27:30">
      <c r="AA3904" s="117">
        <f>+'Ingredient List - Mother Tinctu'!D3905</f>
        <v>0</v>
      </c>
      <c r="AB3904" s="117">
        <f t="shared" si="63"/>
        <v>0</v>
      </c>
      <c r="AC3904" s="117" t="str">
        <f>IF(AB3904=1,COUNTIF($AB$3:AB3904,1),"")</f>
        <v/>
      </c>
      <c r="AD3904" s="117" t="str">
        <f>IFERROR(INDEX($AA$3:$AA$10000,MATCH(ROWS($AC$3:AC3904),$AC$3:$AC$10000,0)),"")</f>
        <v/>
      </c>
    </row>
    <row r="3905" spans="27:30">
      <c r="AA3905" s="117">
        <f>+'Ingredient List - Mother Tinctu'!D3906</f>
        <v>0</v>
      </c>
      <c r="AB3905" s="117">
        <f t="shared" si="63"/>
        <v>0</v>
      </c>
      <c r="AC3905" s="117" t="str">
        <f>IF(AB3905=1,COUNTIF($AB$3:AB3905,1),"")</f>
        <v/>
      </c>
      <c r="AD3905" s="117" t="str">
        <f>IFERROR(INDEX($AA$3:$AA$10000,MATCH(ROWS($AC$3:AC3905),$AC$3:$AC$10000,0)),"")</f>
        <v/>
      </c>
    </row>
    <row r="3906" spans="27:30">
      <c r="AA3906" s="117">
        <f>+'Ingredient List - Mother Tinctu'!D3907</f>
        <v>0</v>
      </c>
      <c r="AB3906" s="117">
        <f t="shared" si="63"/>
        <v>0</v>
      </c>
      <c r="AC3906" s="117" t="str">
        <f>IF(AB3906=1,COUNTIF($AB$3:AB3906,1),"")</f>
        <v/>
      </c>
      <c r="AD3906" s="117" t="str">
        <f>IFERROR(INDEX($AA$3:$AA$10000,MATCH(ROWS($AC$3:AC3906),$AC$3:$AC$10000,0)),"")</f>
        <v/>
      </c>
    </row>
    <row r="3907" spans="27:30">
      <c r="AA3907" s="117">
        <f>+'Ingredient List - Mother Tinctu'!D3908</f>
        <v>0</v>
      </c>
      <c r="AB3907" s="117">
        <f t="shared" si="63"/>
        <v>0</v>
      </c>
      <c r="AC3907" s="117" t="str">
        <f>IF(AB3907=1,COUNTIF($AB$3:AB3907,1),"")</f>
        <v/>
      </c>
      <c r="AD3907" s="117" t="str">
        <f>IFERROR(INDEX($AA$3:$AA$10000,MATCH(ROWS($AC$3:AC3907),$AC$3:$AC$10000,0)),"")</f>
        <v/>
      </c>
    </row>
    <row r="3908" spans="27:30">
      <c r="AA3908" s="117">
        <f>+'Ingredient List - Mother Tinctu'!D3909</f>
        <v>0</v>
      </c>
      <c r="AB3908" s="117">
        <f t="shared" ref="AB3908:AB3971" si="64">--ISNUMBER(IFERROR(SEARCH($D$3,AA3908,1),""))</f>
        <v>0</v>
      </c>
      <c r="AC3908" s="117" t="str">
        <f>IF(AB3908=1,COUNTIF($AB$3:AB3908,1),"")</f>
        <v/>
      </c>
      <c r="AD3908" s="117" t="str">
        <f>IFERROR(INDEX($AA$3:$AA$10000,MATCH(ROWS($AC$3:AC3908),$AC$3:$AC$10000,0)),"")</f>
        <v/>
      </c>
    </row>
    <row r="3909" spans="27:30">
      <c r="AA3909" s="117">
        <f>+'Ingredient List - Mother Tinctu'!D3910</f>
        <v>0</v>
      </c>
      <c r="AB3909" s="117">
        <f t="shared" si="64"/>
        <v>0</v>
      </c>
      <c r="AC3909" s="117" t="str">
        <f>IF(AB3909=1,COUNTIF($AB$3:AB3909,1),"")</f>
        <v/>
      </c>
      <c r="AD3909" s="117" t="str">
        <f>IFERROR(INDEX($AA$3:$AA$10000,MATCH(ROWS($AC$3:AC3909),$AC$3:$AC$10000,0)),"")</f>
        <v/>
      </c>
    </row>
    <row r="3910" spans="27:30">
      <c r="AA3910" s="117">
        <f>+'Ingredient List - Mother Tinctu'!D3911</f>
        <v>0</v>
      </c>
      <c r="AB3910" s="117">
        <f t="shared" si="64"/>
        <v>0</v>
      </c>
      <c r="AC3910" s="117" t="str">
        <f>IF(AB3910=1,COUNTIF($AB$3:AB3910,1),"")</f>
        <v/>
      </c>
      <c r="AD3910" s="117" t="str">
        <f>IFERROR(INDEX($AA$3:$AA$10000,MATCH(ROWS($AC$3:AC3910),$AC$3:$AC$10000,0)),"")</f>
        <v/>
      </c>
    </row>
    <row r="3911" spans="27:30">
      <c r="AA3911" s="117">
        <f>+'Ingredient List - Mother Tinctu'!D3912</f>
        <v>0</v>
      </c>
      <c r="AB3911" s="117">
        <f t="shared" si="64"/>
        <v>0</v>
      </c>
      <c r="AC3911" s="117" t="str">
        <f>IF(AB3911=1,COUNTIF($AB$3:AB3911,1),"")</f>
        <v/>
      </c>
      <c r="AD3911" s="117" t="str">
        <f>IFERROR(INDEX($AA$3:$AA$10000,MATCH(ROWS($AC$3:AC3911),$AC$3:$AC$10000,0)),"")</f>
        <v/>
      </c>
    </row>
    <row r="3912" spans="27:30">
      <c r="AA3912" s="117">
        <f>+'Ingredient List - Mother Tinctu'!D3913</f>
        <v>0</v>
      </c>
      <c r="AB3912" s="117">
        <f t="shared" si="64"/>
        <v>0</v>
      </c>
      <c r="AC3912" s="117" t="str">
        <f>IF(AB3912=1,COUNTIF($AB$3:AB3912,1),"")</f>
        <v/>
      </c>
      <c r="AD3912" s="117" t="str">
        <f>IFERROR(INDEX($AA$3:$AA$10000,MATCH(ROWS($AC$3:AC3912),$AC$3:$AC$10000,0)),"")</f>
        <v/>
      </c>
    </row>
    <row r="3913" spans="27:30">
      <c r="AA3913" s="117">
        <f>+'Ingredient List - Mother Tinctu'!D3914</f>
        <v>0</v>
      </c>
      <c r="AB3913" s="117">
        <f t="shared" si="64"/>
        <v>0</v>
      </c>
      <c r="AC3913" s="117" t="str">
        <f>IF(AB3913=1,COUNTIF($AB$3:AB3913,1),"")</f>
        <v/>
      </c>
      <c r="AD3913" s="117" t="str">
        <f>IFERROR(INDEX($AA$3:$AA$10000,MATCH(ROWS($AC$3:AC3913),$AC$3:$AC$10000,0)),"")</f>
        <v/>
      </c>
    </row>
    <row r="3914" spans="27:30">
      <c r="AA3914" s="117">
        <f>+'Ingredient List - Mother Tinctu'!D3915</f>
        <v>0</v>
      </c>
      <c r="AB3914" s="117">
        <f t="shared" si="64"/>
        <v>0</v>
      </c>
      <c r="AC3914" s="117" t="str">
        <f>IF(AB3914=1,COUNTIF($AB$3:AB3914,1),"")</f>
        <v/>
      </c>
      <c r="AD3914" s="117" t="str">
        <f>IFERROR(INDEX($AA$3:$AA$10000,MATCH(ROWS($AC$3:AC3914),$AC$3:$AC$10000,0)),"")</f>
        <v/>
      </c>
    </row>
    <row r="3915" spans="27:30">
      <c r="AA3915" s="117">
        <f>+'Ingredient List - Mother Tinctu'!D3916</f>
        <v>0</v>
      </c>
      <c r="AB3915" s="117">
        <f t="shared" si="64"/>
        <v>0</v>
      </c>
      <c r="AC3915" s="117" t="str">
        <f>IF(AB3915=1,COUNTIF($AB$3:AB3915,1),"")</f>
        <v/>
      </c>
      <c r="AD3915" s="117" t="str">
        <f>IFERROR(INDEX($AA$3:$AA$10000,MATCH(ROWS($AC$3:AC3915),$AC$3:$AC$10000,0)),"")</f>
        <v/>
      </c>
    </row>
    <row r="3916" spans="27:30">
      <c r="AA3916" s="117">
        <f>+'Ingredient List - Mother Tinctu'!D3917</f>
        <v>0</v>
      </c>
      <c r="AB3916" s="117">
        <f t="shared" si="64"/>
        <v>0</v>
      </c>
      <c r="AC3916" s="117" t="str">
        <f>IF(AB3916=1,COUNTIF($AB$3:AB3916,1),"")</f>
        <v/>
      </c>
      <c r="AD3916" s="117" t="str">
        <f>IFERROR(INDEX($AA$3:$AA$10000,MATCH(ROWS($AC$3:AC3916),$AC$3:$AC$10000,0)),"")</f>
        <v/>
      </c>
    </row>
    <row r="3917" spans="27:30">
      <c r="AA3917" s="117">
        <f>+'Ingredient List - Mother Tinctu'!D3918</f>
        <v>0</v>
      </c>
      <c r="AB3917" s="117">
        <f t="shared" si="64"/>
        <v>0</v>
      </c>
      <c r="AC3917" s="117" t="str">
        <f>IF(AB3917=1,COUNTIF($AB$3:AB3917,1),"")</f>
        <v/>
      </c>
      <c r="AD3917" s="117" t="str">
        <f>IFERROR(INDEX($AA$3:$AA$10000,MATCH(ROWS($AC$3:AC3917),$AC$3:$AC$10000,0)),"")</f>
        <v/>
      </c>
    </row>
    <row r="3918" spans="27:30">
      <c r="AA3918" s="117">
        <f>+'Ingredient List - Mother Tinctu'!D3919</f>
        <v>0</v>
      </c>
      <c r="AB3918" s="117">
        <f t="shared" si="64"/>
        <v>0</v>
      </c>
      <c r="AC3918" s="117" t="str">
        <f>IF(AB3918=1,COUNTIF($AB$3:AB3918,1),"")</f>
        <v/>
      </c>
      <c r="AD3918" s="117" t="str">
        <f>IFERROR(INDEX($AA$3:$AA$10000,MATCH(ROWS($AC$3:AC3918),$AC$3:$AC$10000,0)),"")</f>
        <v/>
      </c>
    </row>
    <row r="3919" spans="27:30">
      <c r="AA3919" s="117">
        <f>+'Ingredient List - Mother Tinctu'!D3920</f>
        <v>0</v>
      </c>
      <c r="AB3919" s="117">
        <f t="shared" si="64"/>
        <v>0</v>
      </c>
      <c r="AC3919" s="117" t="str">
        <f>IF(AB3919=1,COUNTIF($AB$3:AB3919,1),"")</f>
        <v/>
      </c>
      <c r="AD3919" s="117" t="str">
        <f>IFERROR(INDEX($AA$3:$AA$10000,MATCH(ROWS($AC$3:AC3919),$AC$3:$AC$10000,0)),"")</f>
        <v/>
      </c>
    </row>
    <row r="3920" spans="27:30">
      <c r="AA3920" s="117">
        <f>+'Ingredient List - Mother Tinctu'!D3921</f>
        <v>0</v>
      </c>
      <c r="AB3920" s="117">
        <f t="shared" si="64"/>
        <v>0</v>
      </c>
      <c r="AC3920" s="117" t="str">
        <f>IF(AB3920=1,COUNTIF($AB$3:AB3920,1),"")</f>
        <v/>
      </c>
      <c r="AD3920" s="117" t="str">
        <f>IFERROR(INDEX($AA$3:$AA$10000,MATCH(ROWS($AC$3:AC3920),$AC$3:$AC$10000,0)),"")</f>
        <v/>
      </c>
    </row>
    <row r="3921" spans="27:30">
      <c r="AA3921" s="117">
        <f>+'Ingredient List - Mother Tinctu'!D3922</f>
        <v>0</v>
      </c>
      <c r="AB3921" s="117">
        <f t="shared" si="64"/>
        <v>0</v>
      </c>
      <c r="AC3921" s="117" t="str">
        <f>IF(AB3921=1,COUNTIF($AB$3:AB3921,1),"")</f>
        <v/>
      </c>
      <c r="AD3921" s="117" t="str">
        <f>IFERROR(INDEX($AA$3:$AA$10000,MATCH(ROWS($AC$3:AC3921),$AC$3:$AC$10000,0)),"")</f>
        <v/>
      </c>
    </row>
    <row r="3922" spans="27:30">
      <c r="AA3922" s="117">
        <f>+'Ingredient List - Mother Tinctu'!D3923</f>
        <v>0</v>
      </c>
      <c r="AB3922" s="117">
        <f t="shared" si="64"/>
        <v>0</v>
      </c>
      <c r="AC3922" s="117" t="str">
        <f>IF(AB3922=1,COUNTIF($AB$3:AB3922,1),"")</f>
        <v/>
      </c>
      <c r="AD3922" s="117" t="str">
        <f>IFERROR(INDEX($AA$3:$AA$10000,MATCH(ROWS($AC$3:AC3922),$AC$3:$AC$10000,0)),"")</f>
        <v/>
      </c>
    </row>
    <row r="3923" spans="27:30">
      <c r="AA3923" s="117">
        <f>+'Ingredient List - Mother Tinctu'!D3924</f>
        <v>0</v>
      </c>
      <c r="AB3923" s="117">
        <f t="shared" si="64"/>
        <v>0</v>
      </c>
      <c r="AC3923" s="117" t="str">
        <f>IF(AB3923=1,COUNTIF($AB$3:AB3923,1),"")</f>
        <v/>
      </c>
      <c r="AD3923" s="117" t="str">
        <f>IFERROR(INDEX($AA$3:$AA$10000,MATCH(ROWS($AC$3:AC3923),$AC$3:$AC$10000,0)),"")</f>
        <v/>
      </c>
    </row>
    <row r="3924" spans="27:30">
      <c r="AA3924" s="117">
        <f>+'Ingredient List - Mother Tinctu'!D3925</f>
        <v>0</v>
      </c>
      <c r="AB3924" s="117">
        <f t="shared" si="64"/>
        <v>0</v>
      </c>
      <c r="AC3924" s="117" t="str">
        <f>IF(AB3924=1,COUNTIF($AB$3:AB3924,1),"")</f>
        <v/>
      </c>
      <c r="AD3924" s="117" t="str">
        <f>IFERROR(INDEX($AA$3:$AA$10000,MATCH(ROWS($AC$3:AC3924),$AC$3:$AC$10000,0)),"")</f>
        <v/>
      </c>
    </row>
    <row r="3925" spans="27:30">
      <c r="AA3925" s="117">
        <f>+'Ingredient List - Mother Tinctu'!D3926</f>
        <v>0</v>
      </c>
      <c r="AB3925" s="117">
        <f t="shared" si="64"/>
        <v>0</v>
      </c>
      <c r="AC3925" s="117" t="str">
        <f>IF(AB3925=1,COUNTIF($AB$3:AB3925,1),"")</f>
        <v/>
      </c>
      <c r="AD3925" s="117" t="str">
        <f>IFERROR(INDEX($AA$3:$AA$10000,MATCH(ROWS($AC$3:AC3925),$AC$3:$AC$10000,0)),"")</f>
        <v/>
      </c>
    </row>
    <row r="3926" spans="27:30">
      <c r="AA3926" s="117">
        <f>+'Ingredient List - Mother Tinctu'!D3927</f>
        <v>0</v>
      </c>
      <c r="AB3926" s="117">
        <f t="shared" si="64"/>
        <v>0</v>
      </c>
      <c r="AC3926" s="117" t="str">
        <f>IF(AB3926=1,COUNTIF($AB$3:AB3926,1),"")</f>
        <v/>
      </c>
      <c r="AD3926" s="117" t="str">
        <f>IFERROR(INDEX($AA$3:$AA$10000,MATCH(ROWS($AC$3:AC3926),$AC$3:$AC$10000,0)),"")</f>
        <v/>
      </c>
    </row>
    <row r="3927" spans="27:30">
      <c r="AA3927" s="117">
        <f>+'Ingredient List - Mother Tinctu'!D3928</f>
        <v>0</v>
      </c>
      <c r="AB3927" s="117">
        <f t="shared" si="64"/>
        <v>0</v>
      </c>
      <c r="AC3927" s="117" t="str">
        <f>IF(AB3927=1,COUNTIF($AB$3:AB3927,1),"")</f>
        <v/>
      </c>
      <c r="AD3927" s="117" t="str">
        <f>IFERROR(INDEX($AA$3:$AA$10000,MATCH(ROWS($AC$3:AC3927),$AC$3:$AC$10000,0)),"")</f>
        <v/>
      </c>
    </row>
    <row r="3928" spans="27:30">
      <c r="AA3928" s="117">
        <f>+'Ingredient List - Mother Tinctu'!D3929</f>
        <v>0</v>
      </c>
      <c r="AB3928" s="117">
        <f t="shared" si="64"/>
        <v>0</v>
      </c>
      <c r="AC3928" s="117" t="str">
        <f>IF(AB3928=1,COUNTIF($AB$3:AB3928,1),"")</f>
        <v/>
      </c>
      <c r="AD3928" s="117" t="str">
        <f>IFERROR(INDEX($AA$3:$AA$10000,MATCH(ROWS($AC$3:AC3928),$AC$3:$AC$10000,0)),"")</f>
        <v/>
      </c>
    </row>
    <row r="3929" spans="27:30">
      <c r="AA3929" s="117">
        <f>+'Ingredient List - Mother Tinctu'!D3930</f>
        <v>0</v>
      </c>
      <c r="AB3929" s="117">
        <f t="shared" si="64"/>
        <v>0</v>
      </c>
      <c r="AC3929" s="117" t="str">
        <f>IF(AB3929=1,COUNTIF($AB$3:AB3929,1),"")</f>
        <v/>
      </c>
      <c r="AD3929" s="117" t="str">
        <f>IFERROR(INDEX($AA$3:$AA$10000,MATCH(ROWS($AC$3:AC3929),$AC$3:$AC$10000,0)),"")</f>
        <v/>
      </c>
    </row>
    <row r="3930" spans="27:30">
      <c r="AA3930" s="117">
        <f>+'Ingredient List - Mother Tinctu'!D3931</f>
        <v>0</v>
      </c>
      <c r="AB3930" s="117">
        <f t="shared" si="64"/>
        <v>0</v>
      </c>
      <c r="AC3930" s="117" t="str">
        <f>IF(AB3930=1,COUNTIF($AB$3:AB3930,1),"")</f>
        <v/>
      </c>
      <c r="AD3930" s="117" t="str">
        <f>IFERROR(INDEX($AA$3:$AA$10000,MATCH(ROWS($AC$3:AC3930),$AC$3:$AC$10000,0)),"")</f>
        <v/>
      </c>
    </row>
    <row r="3931" spans="27:30">
      <c r="AA3931" s="117">
        <f>+'Ingredient List - Mother Tinctu'!D3932</f>
        <v>0</v>
      </c>
      <c r="AB3931" s="117">
        <f t="shared" si="64"/>
        <v>0</v>
      </c>
      <c r="AC3931" s="117" t="str">
        <f>IF(AB3931=1,COUNTIF($AB$3:AB3931,1),"")</f>
        <v/>
      </c>
      <c r="AD3931" s="117" t="str">
        <f>IFERROR(INDEX($AA$3:$AA$10000,MATCH(ROWS($AC$3:AC3931),$AC$3:$AC$10000,0)),"")</f>
        <v/>
      </c>
    </row>
    <row r="3932" spans="27:30">
      <c r="AA3932" s="117">
        <f>+'Ingredient List - Mother Tinctu'!D3933</f>
        <v>0</v>
      </c>
      <c r="AB3932" s="117">
        <f t="shared" si="64"/>
        <v>0</v>
      </c>
      <c r="AC3932" s="117" t="str">
        <f>IF(AB3932=1,COUNTIF($AB$3:AB3932,1),"")</f>
        <v/>
      </c>
      <c r="AD3932" s="117" t="str">
        <f>IFERROR(INDEX($AA$3:$AA$10000,MATCH(ROWS($AC$3:AC3932),$AC$3:$AC$10000,0)),"")</f>
        <v/>
      </c>
    </row>
    <row r="3933" spans="27:30">
      <c r="AA3933" s="117">
        <f>+'Ingredient List - Mother Tinctu'!D3934</f>
        <v>0</v>
      </c>
      <c r="AB3933" s="117">
        <f t="shared" si="64"/>
        <v>0</v>
      </c>
      <c r="AC3933" s="117" t="str">
        <f>IF(AB3933=1,COUNTIF($AB$3:AB3933,1),"")</f>
        <v/>
      </c>
      <c r="AD3933" s="117" t="str">
        <f>IFERROR(INDEX($AA$3:$AA$10000,MATCH(ROWS($AC$3:AC3933),$AC$3:$AC$10000,0)),"")</f>
        <v/>
      </c>
    </row>
    <row r="3934" spans="27:30">
      <c r="AA3934" s="117">
        <f>+'Ingredient List - Mother Tinctu'!D3935</f>
        <v>0</v>
      </c>
      <c r="AB3934" s="117">
        <f t="shared" si="64"/>
        <v>0</v>
      </c>
      <c r="AC3934" s="117" t="str">
        <f>IF(AB3934=1,COUNTIF($AB$3:AB3934,1),"")</f>
        <v/>
      </c>
      <c r="AD3934" s="117" t="str">
        <f>IFERROR(INDEX($AA$3:$AA$10000,MATCH(ROWS($AC$3:AC3934),$AC$3:$AC$10000,0)),"")</f>
        <v/>
      </c>
    </row>
    <row r="3935" spans="27:30">
      <c r="AA3935" s="117">
        <f>+'Ingredient List - Mother Tinctu'!D3936</f>
        <v>0</v>
      </c>
      <c r="AB3935" s="117">
        <f t="shared" si="64"/>
        <v>0</v>
      </c>
      <c r="AC3935" s="117" t="str">
        <f>IF(AB3935=1,COUNTIF($AB$3:AB3935,1),"")</f>
        <v/>
      </c>
      <c r="AD3935" s="117" t="str">
        <f>IFERROR(INDEX($AA$3:$AA$10000,MATCH(ROWS($AC$3:AC3935),$AC$3:$AC$10000,0)),"")</f>
        <v/>
      </c>
    </row>
    <row r="3936" spans="27:30">
      <c r="AA3936" s="117">
        <f>+'Ingredient List - Mother Tinctu'!D3937</f>
        <v>0</v>
      </c>
      <c r="AB3936" s="117">
        <f t="shared" si="64"/>
        <v>0</v>
      </c>
      <c r="AC3936" s="117" t="str">
        <f>IF(AB3936=1,COUNTIF($AB$3:AB3936,1),"")</f>
        <v/>
      </c>
      <c r="AD3936" s="117" t="str">
        <f>IFERROR(INDEX($AA$3:$AA$10000,MATCH(ROWS($AC$3:AC3936),$AC$3:$AC$10000,0)),"")</f>
        <v/>
      </c>
    </row>
    <row r="3937" spans="27:30">
      <c r="AA3937" s="117">
        <f>+'Ingredient List - Mother Tinctu'!D3938</f>
        <v>0</v>
      </c>
      <c r="AB3937" s="117">
        <f t="shared" si="64"/>
        <v>0</v>
      </c>
      <c r="AC3937" s="117" t="str">
        <f>IF(AB3937=1,COUNTIF($AB$3:AB3937,1),"")</f>
        <v/>
      </c>
      <c r="AD3937" s="117" t="str">
        <f>IFERROR(INDEX($AA$3:$AA$10000,MATCH(ROWS($AC$3:AC3937),$AC$3:$AC$10000,0)),"")</f>
        <v/>
      </c>
    </row>
    <row r="3938" spans="27:30">
      <c r="AA3938" s="117">
        <f>+'Ingredient List - Mother Tinctu'!D3939</f>
        <v>0</v>
      </c>
      <c r="AB3938" s="117">
        <f t="shared" si="64"/>
        <v>0</v>
      </c>
      <c r="AC3938" s="117" t="str">
        <f>IF(AB3938=1,COUNTIF($AB$3:AB3938,1),"")</f>
        <v/>
      </c>
      <c r="AD3938" s="117" t="str">
        <f>IFERROR(INDEX($AA$3:$AA$10000,MATCH(ROWS($AC$3:AC3938),$AC$3:$AC$10000,0)),"")</f>
        <v/>
      </c>
    </row>
    <row r="3939" spans="27:30">
      <c r="AA3939" s="117">
        <f>+'Ingredient List - Mother Tinctu'!D3940</f>
        <v>0</v>
      </c>
      <c r="AB3939" s="117">
        <f t="shared" si="64"/>
        <v>0</v>
      </c>
      <c r="AC3939" s="117" t="str">
        <f>IF(AB3939=1,COUNTIF($AB$3:AB3939,1),"")</f>
        <v/>
      </c>
      <c r="AD3939" s="117" t="str">
        <f>IFERROR(INDEX($AA$3:$AA$10000,MATCH(ROWS($AC$3:AC3939),$AC$3:$AC$10000,0)),"")</f>
        <v/>
      </c>
    </row>
    <row r="3940" spans="27:30">
      <c r="AA3940" s="117">
        <f>+'Ingredient List - Mother Tinctu'!D3941</f>
        <v>0</v>
      </c>
      <c r="AB3940" s="117">
        <f t="shared" si="64"/>
        <v>0</v>
      </c>
      <c r="AC3940" s="117" t="str">
        <f>IF(AB3940=1,COUNTIF($AB$3:AB3940,1),"")</f>
        <v/>
      </c>
      <c r="AD3940" s="117" t="str">
        <f>IFERROR(INDEX($AA$3:$AA$10000,MATCH(ROWS($AC$3:AC3940),$AC$3:$AC$10000,0)),"")</f>
        <v/>
      </c>
    </row>
    <row r="3941" spans="27:30">
      <c r="AA3941" s="117">
        <f>+'Ingredient List - Mother Tinctu'!D3942</f>
        <v>0</v>
      </c>
      <c r="AB3941" s="117">
        <f t="shared" si="64"/>
        <v>0</v>
      </c>
      <c r="AC3941" s="117" t="str">
        <f>IF(AB3941=1,COUNTIF($AB$3:AB3941,1),"")</f>
        <v/>
      </c>
      <c r="AD3941" s="117" t="str">
        <f>IFERROR(INDEX($AA$3:$AA$10000,MATCH(ROWS($AC$3:AC3941),$AC$3:$AC$10000,0)),"")</f>
        <v/>
      </c>
    </row>
    <row r="3942" spans="27:30">
      <c r="AA3942" s="117">
        <f>+'Ingredient List - Mother Tinctu'!D3943</f>
        <v>0</v>
      </c>
      <c r="AB3942" s="117">
        <f t="shared" si="64"/>
        <v>0</v>
      </c>
      <c r="AC3942" s="117" t="str">
        <f>IF(AB3942=1,COUNTIF($AB$3:AB3942,1),"")</f>
        <v/>
      </c>
      <c r="AD3942" s="117" t="str">
        <f>IFERROR(INDEX($AA$3:$AA$10000,MATCH(ROWS($AC$3:AC3942),$AC$3:$AC$10000,0)),"")</f>
        <v/>
      </c>
    </row>
    <row r="3943" spans="27:30">
      <c r="AA3943" s="117">
        <f>+'Ingredient List - Mother Tinctu'!D3944</f>
        <v>0</v>
      </c>
      <c r="AB3943" s="117">
        <f t="shared" si="64"/>
        <v>0</v>
      </c>
      <c r="AC3943" s="117" t="str">
        <f>IF(AB3943=1,COUNTIF($AB$3:AB3943,1),"")</f>
        <v/>
      </c>
      <c r="AD3943" s="117" t="str">
        <f>IFERROR(INDEX($AA$3:$AA$10000,MATCH(ROWS($AC$3:AC3943),$AC$3:$AC$10000,0)),"")</f>
        <v/>
      </c>
    </row>
    <row r="3944" spans="27:30">
      <c r="AA3944" s="117">
        <f>+'Ingredient List - Mother Tinctu'!D3945</f>
        <v>0</v>
      </c>
      <c r="AB3944" s="117">
        <f t="shared" si="64"/>
        <v>0</v>
      </c>
      <c r="AC3944" s="117" t="str">
        <f>IF(AB3944=1,COUNTIF($AB$3:AB3944,1),"")</f>
        <v/>
      </c>
      <c r="AD3944" s="117" t="str">
        <f>IFERROR(INDEX($AA$3:$AA$10000,MATCH(ROWS($AC$3:AC3944),$AC$3:$AC$10000,0)),"")</f>
        <v/>
      </c>
    </row>
    <row r="3945" spans="27:30">
      <c r="AA3945" s="117">
        <f>+'Ingredient List - Mother Tinctu'!D3946</f>
        <v>0</v>
      </c>
      <c r="AB3945" s="117">
        <f t="shared" si="64"/>
        <v>0</v>
      </c>
      <c r="AC3945" s="117" t="str">
        <f>IF(AB3945=1,COUNTIF($AB$3:AB3945,1),"")</f>
        <v/>
      </c>
      <c r="AD3945" s="117" t="str">
        <f>IFERROR(INDEX($AA$3:$AA$10000,MATCH(ROWS($AC$3:AC3945),$AC$3:$AC$10000,0)),"")</f>
        <v/>
      </c>
    </row>
    <row r="3946" spans="27:30">
      <c r="AA3946" s="117">
        <f>+'Ingredient List - Mother Tinctu'!D3947</f>
        <v>0</v>
      </c>
      <c r="AB3946" s="117">
        <f t="shared" si="64"/>
        <v>0</v>
      </c>
      <c r="AC3946" s="117" t="str">
        <f>IF(AB3946=1,COUNTIF($AB$3:AB3946,1),"")</f>
        <v/>
      </c>
      <c r="AD3946" s="117" t="str">
        <f>IFERROR(INDEX($AA$3:$AA$10000,MATCH(ROWS($AC$3:AC3946),$AC$3:$AC$10000,0)),"")</f>
        <v/>
      </c>
    </row>
    <row r="3947" spans="27:30">
      <c r="AA3947" s="117">
        <f>+'Ingredient List - Mother Tinctu'!D3948</f>
        <v>0</v>
      </c>
      <c r="AB3947" s="117">
        <f t="shared" si="64"/>
        <v>0</v>
      </c>
      <c r="AC3947" s="117" t="str">
        <f>IF(AB3947=1,COUNTIF($AB$3:AB3947,1),"")</f>
        <v/>
      </c>
      <c r="AD3947" s="117" t="str">
        <f>IFERROR(INDEX($AA$3:$AA$10000,MATCH(ROWS($AC$3:AC3947),$AC$3:$AC$10000,0)),"")</f>
        <v/>
      </c>
    </row>
    <row r="3948" spans="27:30">
      <c r="AA3948" s="117">
        <f>+'Ingredient List - Mother Tinctu'!D3949</f>
        <v>0</v>
      </c>
      <c r="AB3948" s="117">
        <f t="shared" si="64"/>
        <v>0</v>
      </c>
      <c r="AC3948" s="117" t="str">
        <f>IF(AB3948=1,COUNTIF($AB$3:AB3948,1),"")</f>
        <v/>
      </c>
      <c r="AD3948" s="117" t="str">
        <f>IFERROR(INDEX($AA$3:$AA$10000,MATCH(ROWS($AC$3:AC3948),$AC$3:$AC$10000,0)),"")</f>
        <v/>
      </c>
    </row>
    <row r="3949" spans="27:30">
      <c r="AA3949" s="117">
        <f>+'Ingredient List - Mother Tinctu'!D3950</f>
        <v>0</v>
      </c>
      <c r="AB3949" s="117">
        <f t="shared" si="64"/>
        <v>0</v>
      </c>
      <c r="AC3949" s="117" t="str">
        <f>IF(AB3949=1,COUNTIF($AB$3:AB3949,1),"")</f>
        <v/>
      </c>
      <c r="AD3949" s="117" t="str">
        <f>IFERROR(INDEX($AA$3:$AA$10000,MATCH(ROWS($AC$3:AC3949),$AC$3:$AC$10000,0)),"")</f>
        <v/>
      </c>
    </row>
    <row r="3950" spans="27:30">
      <c r="AA3950" s="117">
        <f>+'Ingredient List - Mother Tinctu'!D3951</f>
        <v>0</v>
      </c>
      <c r="AB3950" s="117">
        <f t="shared" si="64"/>
        <v>0</v>
      </c>
      <c r="AC3950" s="117" t="str">
        <f>IF(AB3950=1,COUNTIF($AB$3:AB3950,1),"")</f>
        <v/>
      </c>
      <c r="AD3950" s="117" t="str">
        <f>IFERROR(INDEX($AA$3:$AA$10000,MATCH(ROWS($AC$3:AC3950),$AC$3:$AC$10000,0)),"")</f>
        <v/>
      </c>
    </row>
    <row r="3951" spans="27:30">
      <c r="AA3951" s="117">
        <f>+'Ingredient List - Mother Tinctu'!D3952</f>
        <v>0</v>
      </c>
      <c r="AB3951" s="117">
        <f t="shared" si="64"/>
        <v>0</v>
      </c>
      <c r="AC3951" s="117" t="str">
        <f>IF(AB3951=1,COUNTIF($AB$3:AB3951,1),"")</f>
        <v/>
      </c>
      <c r="AD3951" s="117" t="str">
        <f>IFERROR(INDEX($AA$3:$AA$10000,MATCH(ROWS($AC$3:AC3951),$AC$3:$AC$10000,0)),"")</f>
        <v/>
      </c>
    </row>
    <row r="3952" spans="27:30">
      <c r="AA3952" s="117">
        <f>+'Ingredient List - Mother Tinctu'!D3953</f>
        <v>0</v>
      </c>
      <c r="AB3952" s="117">
        <f t="shared" si="64"/>
        <v>0</v>
      </c>
      <c r="AC3952" s="117" t="str">
        <f>IF(AB3952=1,COUNTIF($AB$3:AB3952,1),"")</f>
        <v/>
      </c>
      <c r="AD3952" s="117" t="str">
        <f>IFERROR(INDEX($AA$3:$AA$10000,MATCH(ROWS($AC$3:AC3952),$AC$3:$AC$10000,0)),"")</f>
        <v/>
      </c>
    </row>
    <row r="3953" spans="27:30">
      <c r="AA3953" s="117">
        <f>+'Ingredient List - Mother Tinctu'!D3954</f>
        <v>0</v>
      </c>
      <c r="AB3953" s="117">
        <f t="shared" si="64"/>
        <v>0</v>
      </c>
      <c r="AC3953" s="117" t="str">
        <f>IF(AB3953=1,COUNTIF($AB$3:AB3953,1),"")</f>
        <v/>
      </c>
      <c r="AD3953" s="117" t="str">
        <f>IFERROR(INDEX($AA$3:$AA$10000,MATCH(ROWS($AC$3:AC3953),$AC$3:$AC$10000,0)),"")</f>
        <v/>
      </c>
    </row>
    <row r="3954" spans="27:30">
      <c r="AA3954" s="117">
        <f>+'Ingredient List - Mother Tinctu'!D3955</f>
        <v>0</v>
      </c>
      <c r="AB3954" s="117">
        <f t="shared" si="64"/>
        <v>0</v>
      </c>
      <c r="AC3954" s="117" t="str">
        <f>IF(AB3954=1,COUNTIF($AB$3:AB3954,1),"")</f>
        <v/>
      </c>
      <c r="AD3954" s="117" t="str">
        <f>IFERROR(INDEX($AA$3:$AA$10000,MATCH(ROWS($AC$3:AC3954),$AC$3:$AC$10000,0)),"")</f>
        <v/>
      </c>
    </row>
    <row r="3955" spans="27:30">
      <c r="AA3955" s="117">
        <f>+'Ingredient List - Mother Tinctu'!D3956</f>
        <v>0</v>
      </c>
      <c r="AB3955" s="117">
        <f t="shared" si="64"/>
        <v>0</v>
      </c>
      <c r="AC3955" s="117" t="str">
        <f>IF(AB3955=1,COUNTIF($AB$3:AB3955,1),"")</f>
        <v/>
      </c>
      <c r="AD3955" s="117" t="str">
        <f>IFERROR(INDEX($AA$3:$AA$10000,MATCH(ROWS($AC$3:AC3955),$AC$3:$AC$10000,0)),"")</f>
        <v/>
      </c>
    </row>
    <row r="3956" spans="27:30">
      <c r="AA3956" s="117">
        <f>+'Ingredient List - Mother Tinctu'!D3957</f>
        <v>0</v>
      </c>
      <c r="AB3956" s="117">
        <f t="shared" si="64"/>
        <v>0</v>
      </c>
      <c r="AC3956" s="117" t="str">
        <f>IF(AB3956=1,COUNTIF($AB$3:AB3956,1),"")</f>
        <v/>
      </c>
      <c r="AD3956" s="117" t="str">
        <f>IFERROR(INDEX($AA$3:$AA$10000,MATCH(ROWS($AC$3:AC3956),$AC$3:$AC$10000,0)),"")</f>
        <v/>
      </c>
    </row>
    <row r="3957" spans="27:30">
      <c r="AA3957" s="117">
        <f>+'Ingredient List - Mother Tinctu'!D3958</f>
        <v>0</v>
      </c>
      <c r="AB3957" s="117">
        <f t="shared" si="64"/>
        <v>0</v>
      </c>
      <c r="AC3957" s="117" t="str">
        <f>IF(AB3957=1,COUNTIF($AB$3:AB3957,1),"")</f>
        <v/>
      </c>
      <c r="AD3957" s="117" t="str">
        <f>IFERROR(INDEX($AA$3:$AA$10000,MATCH(ROWS($AC$3:AC3957),$AC$3:$AC$10000,0)),"")</f>
        <v/>
      </c>
    </row>
    <row r="3958" spans="27:30">
      <c r="AA3958" s="117">
        <f>+'Ingredient List - Mother Tinctu'!D3959</f>
        <v>0</v>
      </c>
      <c r="AB3958" s="117">
        <f t="shared" si="64"/>
        <v>0</v>
      </c>
      <c r="AC3958" s="117" t="str">
        <f>IF(AB3958=1,COUNTIF($AB$3:AB3958,1),"")</f>
        <v/>
      </c>
      <c r="AD3958" s="117" t="str">
        <f>IFERROR(INDEX($AA$3:$AA$10000,MATCH(ROWS($AC$3:AC3958),$AC$3:$AC$10000,0)),"")</f>
        <v/>
      </c>
    </row>
    <row r="3959" spans="27:30">
      <c r="AA3959" s="117">
        <f>+'Ingredient List - Mother Tinctu'!D3960</f>
        <v>0</v>
      </c>
      <c r="AB3959" s="117">
        <f t="shared" si="64"/>
        <v>0</v>
      </c>
      <c r="AC3959" s="117" t="str">
        <f>IF(AB3959=1,COUNTIF($AB$3:AB3959,1),"")</f>
        <v/>
      </c>
      <c r="AD3959" s="117" t="str">
        <f>IFERROR(INDEX($AA$3:$AA$10000,MATCH(ROWS($AC$3:AC3959),$AC$3:$AC$10000,0)),"")</f>
        <v/>
      </c>
    </row>
    <row r="3960" spans="27:30">
      <c r="AA3960" s="117">
        <f>+'Ingredient List - Mother Tinctu'!D3961</f>
        <v>0</v>
      </c>
      <c r="AB3960" s="117">
        <f t="shared" si="64"/>
        <v>0</v>
      </c>
      <c r="AC3960" s="117" t="str">
        <f>IF(AB3960=1,COUNTIF($AB$3:AB3960,1),"")</f>
        <v/>
      </c>
      <c r="AD3960" s="117" t="str">
        <f>IFERROR(INDEX($AA$3:$AA$10000,MATCH(ROWS($AC$3:AC3960),$AC$3:$AC$10000,0)),"")</f>
        <v/>
      </c>
    </row>
    <row r="3961" spans="27:30">
      <c r="AA3961" s="117">
        <f>+'Ingredient List - Mother Tinctu'!D3962</f>
        <v>0</v>
      </c>
      <c r="AB3961" s="117">
        <f t="shared" si="64"/>
        <v>0</v>
      </c>
      <c r="AC3961" s="117" t="str">
        <f>IF(AB3961=1,COUNTIF($AB$3:AB3961,1),"")</f>
        <v/>
      </c>
      <c r="AD3961" s="117" t="str">
        <f>IFERROR(INDEX($AA$3:$AA$10000,MATCH(ROWS($AC$3:AC3961),$AC$3:$AC$10000,0)),"")</f>
        <v/>
      </c>
    </row>
    <row r="3962" spans="27:30">
      <c r="AA3962" s="117">
        <f>+'Ingredient List - Mother Tinctu'!D3963</f>
        <v>0</v>
      </c>
      <c r="AB3962" s="117">
        <f t="shared" si="64"/>
        <v>0</v>
      </c>
      <c r="AC3962" s="117" t="str">
        <f>IF(AB3962=1,COUNTIF($AB$3:AB3962,1),"")</f>
        <v/>
      </c>
      <c r="AD3962" s="117" t="str">
        <f>IFERROR(INDEX($AA$3:$AA$10000,MATCH(ROWS($AC$3:AC3962),$AC$3:$AC$10000,0)),"")</f>
        <v/>
      </c>
    </row>
    <row r="3963" spans="27:30">
      <c r="AA3963" s="117">
        <f>+'Ingredient List - Mother Tinctu'!D3964</f>
        <v>0</v>
      </c>
      <c r="AB3963" s="117">
        <f t="shared" si="64"/>
        <v>0</v>
      </c>
      <c r="AC3963" s="117" t="str">
        <f>IF(AB3963=1,COUNTIF($AB$3:AB3963,1),"")</f>
        <v/>
      </c>
      <c r="AD3963" s="117" t="str">
        <f>IFERROR(INDEX($AA$3:$AA$10000,MATCH(ROWS($AC$3:AC3963),$AC$3:$AC$10000,0)),"")</f>
        <v/>
      </c>
    </row>
    <row r="3964" spans="27:30">
      <c r="AA3964" s="117">
        <f>+'Ingredient List - Mother Tinctu'!D3965</f>
        <v>0</v>
      </c>
      <c r="AB3964" s="117">
        <f t="shared" si="64"/>
        <v>0</v>
      </c>
      <c r="AC3964" s="117" t="str">
        <f>IF(AB3964=1,COUNTIF($AB$3:AB3964,1),"")</f>
        <v/>
      </c>
      <c r="AD3964" s="117" t="str">
        <f>IFERROR(INDEX($AA$3:$AA$10000,MATCH(ROWS($AC$3:AC3964),$AC$3:$AC$10000,0)),"")</f>
        <v/>
      </c>
    </row>
    <row r="3965" spans="27:30">
      <c r="AA3965" s="117">
        <f>+'Ingredient List - Mother Tinctu'!D3966</f>
        <v>0</v>
      </c>
      <c r="AB3965" s="117">
        <f t="shared" si="64"/>
        <v>0</v>
      </c>
      <c r="AC3965" s="117" t="str">
        <f>IF(AB3965=1,COUNTIF($AB$3:AB3965,1),"")</f>
        <v/>
      </c>
      <c r="AD3965" s="117" t="str">
        <f>IFERROR(INDEX($AA$3:$AA$10000,MATCH(ROWS($AC$3:AC3965),$AC$3:$AC$10000,0)),"")</f>
        <v/>
      </c>
    </row>
    <row r="3966" spans="27:30">
      <c r="AA3966" s="117">
        <f>+'Ingredient List - Mother Tinctu'!D3967</f>
        <v>0</v>
      </c>
      <c r="AB3966" s="117">
        <f t="shared" si="64"/>
        <v>0</v>
      </c>
      <c r="AC3966" s="117" t="str">
        <f>IF(AB3966=1,COUNTIF($AB$3:AB3966,1),"")</f>
        <v/>
      </c>
      <c r="AD3966" s="117" t="str">
        <f>IFERROR(INDEX($AA$3:$AA$10000,MATCH(ROWS($AC$3:AC3966),$AC$3:$AC$10000,0)),"")</f>
        <v/>
      </c>
    </row>
    <row r="3967" spans="27:30">
      <c r="AA3967" s="117">
        <f>+'Ingredient List - Mother Tinctu'!D3968</f>
        <v>0</v>
      </c>
      <c r="AB3967" s="117">
        <f t="shared" si="64"/>
        <v>0</v>
      </c>
      <c r="AC3967" s="117" t="str">
        <f>IF(AB3967=1,COUNTIF($AB$3:AB3967,1),"")</f>
        <v/>
      </c>
      <c r="AD3967" s="117" t="str">
        <f>IFERROR(INDEX($AA$3:$AA$10000,MATCH(ROWS($AC$3:AC3967),$AC$3:$AC$10000,0)),"")</f>
        <v/>
      </c>
    </row>
    <row r="3968" spans="27:30">
      <c r="AA3968" s="117">
        <f>+'Ingredient List - Mother Tinctu'!D3969</f>
        <v>0</v>
      </c>
      <c r="AB3968" s="117">
        <f t="shared" si="64"/>
        <v>0</v>
      </c>
      <c r="AC3968" s="117" t="str">
        <f>IF(AB3968=1,COUNTIF($AB$3:AB3968,1),"")</f>
        <v/>
      </c>
      <c r="AD3968" s="117" t="str">
        <f>IFERROR(INDEX($AA$3:$AA$10000,MATCH(ROWS($AC$3:AC3968),$AC$3:$AC$10000,0)),"")</f>
        <v/>
      </c>
    </row>
    <row r="3969" spans="27:30">
      <c r="AA3969" s="117">
        <f>+'Ingredient List - Mother Tinctu'!D3970</f>
        <v>0</v>
      </c>
      <c r="AB3969" s="117">
        <f t="shared" si="64"/>
        <v>0</v>
      </c>
      <c r="AC3969" s="117" t="str">
        <f>IF(AB3969=1,COUNTIF($AB$3:AB3969,1),"")</f>
        <v/>
      </c>
      <c r="AD3969" s="117" t="str">
        <f>IFERROR(INDEX($AA$3:$AA$10000,MATCH(ROWS($AC$3:AC3969),$AC$3:$AC$10000,0)),"")</f>
        <v/>
      </c>
    </row>
    <row r="3970" spans="27:30">
      <c r="AA3970" s="117">
        <f>+'Ingredient List - Mother Tinctu'!D3971</f>
        <v>0</v>
      </c>
      <c r="AB3970" s="117">
        <f t="shared" si="64"/>
        <v>0</v>
      </c>
      <c r="AC3970" s="117" t="str">
        <f>IF(AB3970=1,COUNTIF($AB$3:AB3970,1),"")</f>
        <v/>
      </c>
      <c r="AD3970" s="117" t="str">
        <f>IFERROR(INDEX($AA$3:$AA$10000,MATCH(ROWS($AC$3:AC3970),$AC$3:$AC$10000,0)),"")</f>
        <v/>
      </c>
    </row>
    <row r="3971" spans="27:30">
      <c r="AA3971" s="117">
        <f>+'Ingredient List - Mother Tinctu'!D3972</f>
        <v>0</v>
      </c>
      <c r="AB3971" s="117">
        <f t="shared" si="64"/>
        <v>0</v>
      </c>
      <c r="AC3971" s="117" t="str">
        <f>IF(AB3971=1,COUNTIF($AB$3:AB3971,1),"")</f>
        <v/>
      </c>
      <c r="AD3971" s="117" t="str">
        <f>IFERROR(INDEX($AA$3:$AA$10000,MATCH(ROWS($AC$3:AC3971),$AC$3:$AC$10000,0)),"")</f>
        <v/>
      </c>
    </row>
    <row r="3972" spans="27:30">
      <c r="AA3972" s="117">
        <f>+'Ingredient List - Mother Tinctu'!D3973</f>
        <v>0</v>
      </c>
      <c r="AB3972" s="117">
        <f t="shared" ref="AB3972:AB4035" si="65">--ISNUMBER(IFERROR(SEARCH($D$3,AA3972,1),""))</f>
        <v>0</v>
      </c>
      <c r="AC3972" s="117" t="str">
        <f>IF(AB3972=1,COUNTIF($AB$3:AB3972,1),"")</f>
        <v/>
      </c>
      <c r="AD3972" s="117" t="str">
        <f>IFERROR(INDEX($AA$3:$AA$10000,MATCH(ROWS($AC$3:AC3972),$AC$3:$AC$10000,0)),"")</f>
        <v/>
      </c>
    </row>
    <row r="3973" spans="27:30">
      <c r="AA3973" s="117">
        <f>+'Ingredient List - Mother Tinctu'!D3974</f>
        <v>0</v>
      </c>
      <c r="AB3973" s="117">
        <f t="shared" si="65"/>
        <v>0</v>
      </c>
      <c r="AC3973" s="117" t="str">
        <f>IF(AB3973=1,COUNTIF($AB$3:AB3973,1),"")</f>
        <v/>
      </c>
      <c r="AD3973" s="117" t="str">
        <f>IFERROR(INDEX($AA$3:$AA$10000,MATCH(ROWS($AC$3:AC3973),$AC$3:$AC$10000,0)),"")</f>
        <v/>
      </c>
    </row>
    <row r="3974" spans="27:30">
      <c r="AA3974" s="117">
        <f>+'Ingredient List - Mother Tinctu'!D3975</f>
        <v>0</v>
      </c>
      <c r="AB3974" s="117">
        <f t="shared" si="65"/>
        <v>0</v>
      </c>
      <c r="AC3974" s="117" t="str">
        <f>IF(AB3974=1,COUNTIF($AB$3:AB3974,1),"")</f>
        <v/>
      </c>
      <c r="AD3974" s="117" t="str">
        <f>IFERROR(INDEX($AA$3:$AA$10000,MATCH(ROWS($AC$3:AC3974),$AC$3:$AC$10000,0)),"")</f>
        <v/>
      </c>
    </row>
    <row r="3975" spans="27:30">
      <c r="AA3975" s="117">
        <f>+'Ingredient List - Mother Tinctu'!D3976</f>
        <v>0</v>
      </c>
      <c r="AB3975" s="117">
        <f t="shared" si="65"/>
        <v>0</v>
      </c>
      <c r="AC3975" s="117" t="str">
        <f>IF(AB3975=1,COUNTIF($AB$3:AB3975,1),"")</f>
        <v/>
      </c>
      <c r="AD3975" s="117" t="str">
        <f>IFERROR(INDEX($AA$3:$AA$10000,MATCH(ROWS($AC$3:AC3975),$AC$3:$AC$10000,0)),"")</f>
        <v/>
      </c>
    </row>
    <row r="3976" spans="27:30">
      <c r="AA3976" s="117">
        <f>+'Ingredient List - Mother Tinctu'!D3977</f>
        <v>0</v>
      </c>
      <c r="AB3976" s="117">
        <f t="shared" si="65"/>
        <v>0</v>
      </c>
      <c r="AC3976" s="117" t="str">
        <f>IF(AB3976=1,COUNTIF($AB$3:AB3976,1),"")</f>
        <v/>
      </c>
      <c r="AD3976" s="117" t="str">
        <f>IFERROR(INDEX($AA$3:$AA$10000,MATCH(ROWS($AC$3:AC3976),$AC$3:$AC$10000,0)),"")</f>
        <v/>
      </c>
    </row>
    <row r="3977" spans="27:30">
      <c r="AA3977" s="117">
        <f>+'Ingredient List - Mother Tinctu'!D3978</f>
        <v>0</v>
      </c>
      <c r="AB3977" s="117">
        <f t="shared" si="65"/>
        <v>0</v>
      </c>
      <c r="AC3977" s="117" t="str">
        <f>IF(AB3977=1,COUNTIF($AB$3:AB3977,1),"")</f>
        <v/>
      </c>
      <c r="AD3977" s="117" t="str">
        <f>IFERROR(INDEX($AA$3:$AA$10000,MATCH(ROWS($AC$3:AC3977),$AC$3:$AC$10000,0)),"")</f>
        <v/>
      </c>
    </row>
    <row r="3978" spans="27:30">
      <c r="AA3978" s="117">
        <f>+'Ingredient List - Mother Tinctu'!D3979</f>
        <v>0</v>
      </c>
      <c r="AB3978" s="117">
        <f t="shared" si="65"/>
        <v>0</v>
      </c>
      <c r="AC3978" s="117" t="str">
        <f>IF(AB3978=1,COUNTIF($AB$3:AB3978,1),"")</f>
        <v/>
      </c>
      <c r="AD3978" s="117" t="str">
        <f>IFERROR(INDEX($AA$3:$AA$10000,MATCH(ROWS($AC$3:AC3978),$AC$3:$AC$10000,0)),"")</f>
        <v/>
      </c>
    </row>
    <row r="3979" spans="27:30">
      <c r="AA3979" s="117">
        <f>+'Ingredient List - Mother Tinctu'!D3980</f>
        <v>0</v>
      </c>
      <c r="AB3979" s="117">
        <f t="shared" si="65"/>
        <v>0</v>
      </c>
      <c r="AC3979" s="117" t="str">
        <f>IF(AB3979=1,COUNTIF($AB$3:AB3979,1),"")</f>
        <v/>
      </c>
      <c r="AD3979" s="117" t="str">
        <f>IFERROR(INDEX($AA$3:$AA$10000,MATCH(ROWS($AC$3:AC3979),$AC$3:$AC$10000,0)),"")</f>
        <v/>
      </c>
    </row>
    <row r="3980" spans="27:30">
      <c r="AA3980" s="117">
        <f>+'Ingredient List - Mother Tinctu'!D3981</f>
        <v>0</v>
      </c>
      <c r="AB3980" s="117">
        <f t="shared" si="65"/>
        <v>0</v>
      </c>
      <c r="AC3980" s="117" t="str">
        <f>IF(AB3980=1,COUNTIF($AB$3:AB3980,1),"")</f>
        <v/>
      </c>
      <c r="AD3980" s="117" t="str">
        <f>IFERROR(INDEX($AA$3:$AA$10000,MATCH(ROWS($AC$3:AC3980),$AC$3:$AC$10000,0)),"")</f>
        <v/>
      </c>
    </row>
    <row r="3981" spans="27:30">
      <c r="AA3981" s="117">
        <f>+'Ingredient List - Mother Tinctu'!D3982</f>
        <v>0</v>
      </c>
      <c r="AB3981" s="117">
        <f t="shared" si="65"/>
        <v>0</v>
      </c>
      <c r="AC3981" s="117" t="str">
        <f>IF(AB3981=1,COUNTIF($AB$3:AB3981,1),"")</f>
        <v/>
      </c>
      <c r="AD3981" s="117" t="str">
        <f>IFERROR(INDEX($AA$3:$AA$10000,MATCH(ROWS($AC$3:AC3981),$AC$3:$AC$10000,0)),"")</f>
        <v/>
      </c>
    </row>
    <row r="3982" spans="27:30">
      <c r="AA3982" s="117">
        <f>+'Ingredient List - Mother Tinctu'!D3983</f>
        <v>0</v>
      </c>
      <c r="AB3982" s="117">
        <f t="shared" si="65"/>
        <v>0</v>
      </c>
      <c r="AC3982" s="117" t="str">
        <f>IF(AB3982=1,COUNTIF($AB$3:AB3982,1),"")</f>
        <v/>
      </c>
      <c r="AD3982" s="117" t="str">
        <f>IFERROR(INDEX($AA$3:$AA$10000,MATCH(ROWS($AC$3:AC3982),$AC$3:$AC$10000,0)),"")</f>
        <v/>
      </c>
    </row>
    <row r="3983" spans="27:30">
      <c r="AA3983" s="117">
        <f>+'Ingredient List - Mother Tinctu'!D3984</f>
        <v>0</v>
      </c>
      <c r="AB3983" s="117">
        <f t="shared" si="65"/>
        <v>0</v>
      </c>
      <c r="AC3983" s="117" t="str">
        <f>IF(AB3983=1,COUNTIF($AB$3:AB3983,1),"")</f>
        <v/>
      </c>
      <c r="AD3983" s="117" t="str">
        <f>IFERROR(INDEX($AA$3:$AA$10000,MATCH(ROWS($AC$3:AC3983),$AC$3:$AC$10000,0)),"")</f>
        <v/>
      </c>
    </row>
    <row r="3984" spans="27:30">
      <c r="AA3984" s="117">
        <f>+'Ingredient List - Mother Tinctu'!D3985</f>
        <v>0</v>
      </c>
      <c r="AB3984" s="117">
        <f t="shared" si="65"/>
        <v>0</v>
      </c>
      <c r="AC3984" s="117" t="str">
        <f>IF(AB3984=1,COUNTIF($AB$3:AB3984,1),"")</f>
        <v/>
      </c>
      <c r="AD3984" s="117" t="str">
        <f>IFERROR(INDEX($AA$3:$AA$10000,MATCH(ROWS($AC$3:AC3984),$AC$3:$AC$10000,0)),"")</f>
        <v/>
      </c>
    </row>
    <row r="3985" spans="27:30">
      <c r="AA3985" s="117">
        <f>+'Ingredient List - Mother Tinctu'!D3986</f>
        <v>0</v>
      </c>
      <c r="AB3985" s="117">
        <f t="shared" si="65"/>
        <v>0</v>
      </c>
      <c r="AC3985" s="117" t="str">
        <f>IF(AB3985=1,COUNTIF($AB$3:AB3985,1),"")</f>
        <v/>
      </c>
      <c r="AD3985" s="117" t="str">
        <f>IFERROR(INDEX($AA$3:$AA$10000,MATCH(ROWS($AC$3:AC3985),$AC$3:$AC$10000,0)),"")</f>
        <v/>
      </c>
    </row>
    <row r="3986" spans="27:30">
      <c r="AA3986" s="117">
        <f>+'Ingredient List - Mother Tinctu'!D3987</f>
        <v>0</v>
      </c>
      <c r="AB3986" s="117">
        <f t="shared" si="65"/>
        <v>0</v>
      </c>
      <c r="AC3986" s="117" t="str">
        <f>IF(AB3986=1,COUNTIF($AB$3:AB3986,1),"")</f>
        <v/>
      </c>
      <c r="AD3986" s="117" t="str">
        <f>IFERROR(INDEX($AA$3:$AA$10000,MATCH(ROWS($AC$3:AC3986),$AC$3:$AC$10000,0)),"")</f>
        <v/>
      </c>
    </row>
    <row r="3987" spans="27:30">
      <c r="AA3987" s="117">
        <f>+'Ingredient List - Mother Tinctu'!D3988</f>
        <v>0</v>
      </c>
      <c r="AB3987" s="117">
        <f t="shared" si="65"/>
        <v>0</v>
      </c>
      <c r="AC3987" s="117" t="str">
        <f>IF(AB3987=1,COUNTIF($AB$3:AB3987,1),"")</f>
        <v/>
      </c>
      <c r="AD3987" s="117" t="str">
        <f>IFERROR(INDEX($AA$3:$AA$10000,MATCH(ROWS($AC$3:AC3987),$AC$3:$AC$10000,0)),"")</f>
        <v/>
      </c>
    </row>
    <row r="3988" spans="27:30">
      <c r="AA3988" s="117">
        <f>+'Ingredient List - Mother Tinctu'!D3989</f>
        <v>0</v>
      </c>
      <c r="AB3988" s="117">
        <f t="shared" si="65"/>
        <v>0</v>
      </c>
      <c r="AC3988" s="117" t="str">
        <f>IF(AB3988=1,COUNTIF($AB$3:AB3988,1),"")</f>
        <v/>
      </c>
      <c r="AD3988" s="117" t="str">
        <f>IFERROR(INDEX($AA$3:$AA$10000,MATCH(ROWS($AC$3:AC3988),$AC$3:$AC$10000,0)),"")</f>
        <v/>
      </c>
    </row>
    <row r="3989" spans="27:30">
      <c r="AA3989" s="117">
        <f>+'Ingredient List - Mother Tinctu'!D3990</f>
        <v>0</v>
      </c>
      <c r="AB3989" s="117">
        <f t="shared" si="65"/>
        <v>0</v>
      </c>
      <c r="AC3989" s="117" t="str">
        <f>IF(AB3989=1,COUNTIF($AB$3:AB3989,1),"")</f>
        <v/>
      </c>
      <c r="AD3989" s="117" t="str">
        <f>IFERROR(INDEX($AA$3:$AA$10000,MATCH(ROWS($AC$3:AC3989),$AC$3:$AC$10000,0)),"")</f>
        <v/>
      </c>
    </row>
    <row r="3990" spans="27:30">
      <c r="AA3990" s="117">
        <f>+'Ingredient List - Mother Tinctu'!D3991</f>
        <v>0</v>
      </c>
      <c r="AB3990" s="117">
        <f t="shared" si="65"/>
        <v>0</v>
      </c>
      <c r="AC3990" s="117" t="str">
        <f>IF(AB3990=1,COUNTIF($AB$3:AB3990,1),"")</f>
        <v/>
      </c>
      <c r="AD3990" s="117" t="str">
        <f>IFERROR(INDEX($AA$3:$AA$10000,MATCH(ROWS($AC$3:AC3990),$AC$3:$AC$10000,0)),"")</f>
        <v/>
      </c>
    </row>
    <row r="3991" spans="27:30">
      <c r="AA3991" s="117">
        <f>+'Ingredient List - Mother Tinctu'!D3992</f>
        <v>0</v>
      </c>
      <c r="AB3991" s="117">
        <f t="shared" si="65"/>
        <v>0</v>
      </c>
      <c r="AC3991" s="117" t="str">
        <f>IF(AB3991=1,COUNTIF($AB$3:AB3991,1),"")</f>
        <v/>
      </c>
      <c r="AD3991" s="117" t="str">
        <f>IFERROR(INDEX($AA$3:$AA$10000,MATCH(ROWS($AC$3:AC3991),$AC$3:$AC$10000,0)),"")</f>
        <v/>
      </c>
    </row>
    <row r="3992" spans="27:30">
      <c r="AA3992" s="117">
        <f>+'Ingredient List - Mother Tinctu'!D3993</f>
        <v>0</v>
      </c>
      <c r="AB3992" s="117">
        <f t="shared" si="65"/>
        <v>0</v>
      </c>
      <c r="AC3992" s="117" t="str">
        <f>IF(AB3992=1,COUNTIF($AB$3:AB3992,1),"")</f>
        <v/>
      </c>
      <c r="AD3992" s="117" t="str">
        <f>IFERROR(INDEX($AA$3:$AA$10000,MATCH(ROWS($AC$3:AC3992),$AC$3:$AC$10000,0)),"")</f>
        <v/>
      </c>
    </row>
    <row r="3993" spans="27:30">
      <c r="AA3993" s="117">
        <f>+'Ingredient List - Mother Tinctu'!D3994</f>
        <v>0</v>
      </c>
      <c r="AB3993" s="117">
        <f t="shared" si="65"/>
        <v>0</v>
      </c>
      <c r="AC3993" s="117" t="str">
        <f>IF(AB3993=1,COUNTIF($AB$3:AB3993,1),"")</f>
        <v/>
      </c>
      <c r="AD3993" s="117" t="str">
        <f>IFERROR(INDEX($AA$3:$AA$10000,MATCH(ROWS($AC$3:AC3993),$AC$3:$AC$10000,0)),"")</f>
        <v/>
      </c>
    </row>
    <row r="3994" spans="27:30">
      <c r="AA3994" s="117">
        <f>+'Ingredient List - Mother Tinctu'!D3995</f>
        <v>0</v>
      </c>
      <c r="AB3994" s="117">
        <f t="shared" si="65"/>
        <v>0</v>
      </c>
      <c r="AC3994" s="117" t="str">
        <f>IF(AB3994=1,COUNTIF($AB$3:AB3994,1),"")</f>
        <v/>
      </c>
      <c r="AD3994" s="117" t="str">
        <f>IFERROR(INDEX($AA$3:$AA$10000,MATCH(ROWS($AC$3:AC3994),$AC$3:$AC$10000,0)),"")</f>
        <v/>
      </c>
    </row>
    <row r="3995" spans="27:30">
      <c r="AA3995" s="117">
        <f>+'Ingredient List - Mother Tinctu'!D3996</f>
        <v>0</v>
      </c>
      <c r="AB3995" s="117">
        <f t="shared" si="65"/>
        <v>0</v>
      </c>
      <c r="AC3995" s="117" t="str">
        <f>IF(AB3995=1,COUNTIF($AB$3:AB3995,1),"")</f>
        <v/>
      </c>
      <c r="AD3995" s="117" t="str">
        <f>IFERROR(INDEX($AA$3:$AA$10000,MATCH(ROWS($AC$3:AC3995),$AC$3:$AC$10000,0)),"")</f>
        <v/>
      </c>
    </row>
    <row r="3996" spans="27:30">
      <c r="AA3996" s="117">
        <f>+'Ingredient List - Mother Tinctu'!D3997</f>
        <v>0</v>
      </c>
      <c r="AB3996" s="117">
        <f t="shared" si="65"/>
        <v>0</v>
      </c>
      <c r="AC3996" s="117" t="str">
        <f>IF(AB3996=1,COUNTIF($AB$3:AB3996,1),"")</f>
        <v/>
      </c>
      <c r="AD3996" s="117" t="str">
        <f>IFERROR(INDEX($AA$3:$AA$10000,MATCH(ROWS($AC$3:AC3996),$AC$3:$AC$10000,0)),"")</f>
        <v/>
      </c>
    </row>
    <row r="3997" spans="27:30">
      <c r="AA3997" s="117">
        <f>+'Ingredient List - Mother Tinctu'!D3998</f>
        <v>0</v>
      </c>
      <c r="AB3997" s="117">
        <f t="shared" si="65"/>
        <v>0</v>
      </c>
      <c r="AC3997" s="117" t="str">
        <f>IF(AB3997=1,COUNTIF($AB$3:AB3997,1),"")</f>
        <v/>
      </c>
      <c r="AD3997" s="117" t="str">
        <f>IFERROR(INDEX($AA$3:$AA$10000,MATCH(ROWS($AC$3:AC3997),$AC$3:$AC$10000,0)),"")</f>
        <v/>
      </c>
    </row>
    <row r="3998" spans="27:30">
      <c r="AA3998" s="117">
        <f>+'Ingredient List - Mother Tinctu'!D3999</f>
        <v>0</v>
      </c>
      <c r="AB3998" s="117">
        <f t="shared" si="65"/>
        <v>0</v>
      </c>
      <c r="AC3998" s="117" t="str">
        <f>IF(AB3998=1,COUNTIF($AB$3:AB3998,1),"")</f>
        <v/>
      </c>
      <c r="AD3998" s="117" t="str">
        <f>IFERROR(INDEX($AA$3:$AA$10000,MATCH(ROWS($AC$3:AC3998),$AC$3:$AC$10000,0)),"")</f>
        <v/>
      </c>
    </row>
    <row r="3999" spans="27:30">
      <c r="AA3999" s="117">
        <f>+'Ingredient List - Mother Tinctu'!D4000</f>
        <v>0</v>
      </c>
      <c r="AB3999" s="117">
        <f t="shared" si="65"/>
        <v>0</v>
      </c>
      <c r="AC3999" s="117" t="str">
        <f>IF(AB3999=1,COUNTIF($AB$3:AB3999,1),"")</f>
        <v/>
      </c>
      <c r="AD3999" s="117" t="str">
        <f>IFERROR(INDEX($AA$3:$AA$10000,MATCH(ROWS($AC$3:AC3999),$AC$3:$AC$10000,0)),"")</f>
        <v/>
      </c>
    </row>
    <row r="4000" spans="27:30">
      <c r="AA4000" s="117">
        <f>+'Ingredient List - Mother Tinctu'!D4001</f>
        <v>0</v>
      </c>
      <c r="AB4000" s="117">
        <f t="shared" si="65"/>
        <v>0</v>
      </c>
      <c r="AC4000" s="117" t="str">
        <f>IF(AB4000=1,COUNTIF($AB$3:AB4000,1),"")</f>
        <v/>
      </c>
      <c r="AD4000" s="117" t="str">
        <f>IFERROR(INDEX($AA$3:$AA$10000,MATCH(ROWS($AC$3:AC4000),$AC$3:$AC$10000,0)),"")</f>
        <v/>
      </c>
    </row>
    <row r="4001" spans="27:30">
      <c r="AA4001" s="117">
        <f>+'Ingredient List - Mother Tinctu'!D4002</f>
        <v>0</v>
      </c>
      <c r="AB4001" s="117">
        <f t="shared" si="65"/>
        <v>0</v>
      </c>
      <c r="AC4001" s="117" t="str">
        <f>IF(AB4001=1,COUNTIF($AB$3:AB4001,1),"")</f>
        <v/>
      </c>
      <c r="AD4001" s="117" t="str">
        <f>IFERROR(INDEX($AA$3:$AA$10000,MATCH(ROWS($AC$3:AC4001),$AC$3:$AC$10000,0)),"")</f>
        <v/>
      </c>
    </row>
    <row r="4002" spans="27:30">
      <c r="AA4002" s="117">
        <f>+'Ingredient List - Mother Tinctu'!D4003</f>
        <v>0</v>
      </c>
      <c r="AB4002" s="117">
        <f t="shared" si="65"/>
        <v>0</v>
      </c>
      <c r="AC4002" s="117" t="str">
        <f>IF(AB4002=1,COUNTIF($AB$3:AB4002,1),"")</f>
        <v/>
      </c>
      <c r="AD4002" s="117" t="str">
        <f>IFERROR(INDEX($AA$3:$AA$10000,MATCH(ROWS($AC$3:AC4002),$AC$3:$AC$10000,0)),"")</f>
        <v/>
      </c>
    </row>
    <row r="4003" spans="27:30">
      <c r="AA4003" s="117">
        <f>+'Ingredient List - Mother Tinctu'!D4004</f>
        <v>0</v>
      </c>
      <c r="AB4003" s="117">
        <f t="shared" si="65"/>
        <v>0</v>
      </c>
      <c r="AC4003" s="117" t="str">
        <f>IF(AB4003=1,COUNTIF($AB$3:AB4003,1),"")</f>
        <v/>
      </c>
      <c r="AD4003" s="117" t="str">
        <f>IFERROR(INDEX($AA$3:$AA$10000,MATCH(ROWS($AC$3:AC4003),$AC$3:$AC$10000,0)),"")</f>
        <v/>
      </c>
    </row>
    <row r="4004" spans="27:30">
      <c r="AA4004" s="117">
        <f>+'Ingredient List - Mother Tinctu'!D4005</f>
        <v>0</v>
      </c>
      <c r="AB4004" s="117">
        <f t="shared" si="65"/>
        <v>0</v>
      </c>
      <c r="AC4004" s="117" t="str">
        <f>IF(AB4004=1,COUNTIF($AB$3:AB4004,1),"")</f>
        <v/>
      </c>
      <c r="AD4004" s="117" t="str">
        <f>IFERROR(INDEX($AA$3:$AA$10000,MATCH(ROWS($AC$3:AC4004),$AC$3:$AC$10000,0)),"")</f>
        <v/>
      </c>
    </row>
    <row r="4005" spans="27:30">
      <c r="AA4005" s="117">
        <f>+'Ingredient List - Mother Tinctu'!D4006</f>
        <v>0</v>
      </c>
      <c r="AB4005" s="117">
        <f t="shared" si="65"/>
        <v>0</v>
      </c>
      <c r="AC4005" s="117" t="str">
        <f>IF(AB4005=1,COUNTIF($AB$3:AB4005,1),"")</f>
        <v/>
      </c>
      <c r="AD4005" s="117" t="str">
        <f>IFERROR(INDEX($AA$3:$AA$10000,MATCH(ROWS($AC$3:AC4005),$AC$3:$AC$10000,0)),"")</f>
        <v/>
      </c>
    </row>
    <row r="4006" spans="27:30">
      <c r="AA4006" s="117">
        <f>+'Ingredient List - Mother Tinctu'!D4007</f>
        <v>0</v>
      </c>
      <c r="AB4006" s="117">
        <f t="shared" si="65"/>
        <v>0</v>
      </c>
      <c r="AC4006" s="117" t="str">
        <f>IF(AB4006=1,COUNTIF($AB$3:AB4006,1),"")</f>
        <v/>
      </c>
      <c r="AD4006" s="117" t="str">
        <f>IFERROR(INDEX($AA$3:$AA$10000,MATCH(ROWS($AC$3:AC4006),$AC$3:$AC$10000,0)),"")</f>
        <v/>
      </c>
    </row>
    <row r="4007" spans="27:30">
      <c r="AA4007" s="117">
        <f>+'Ingredient List - Mother Tinctu'!D4008</f>
        <v>0</v>
      </c>
      <c r="AB4007" s="117">
        <f t="shared" si="65"/>
        <v>0</v>
      </c>
      <c r="AC4007" s="117" t="str">
        <f>IF(AB4007=1,COUNTIF($AB$3:AB4007,1),"")</f>
        <v/>
      </c>
      <c r="AD4007" s="117" t="str">
        <f>IFERROR(INDEX($AA$3:$AA$10000,MATCH(ROWS($AC$3:AC4007),$AC$3:$AC$10000,0)),"")</f>
        <v/>
      </c>
    </row>
    <row r="4008" spans="27:30">
      <c r="AA4008" s="117">
        <f>+'Ingredient List - Mother Tinctu'!D4009</f>
        <v>0</v>
      </c>
      <c r="AB4008" s="117">
        <f t="shared" si="65"/>
        <v>0</v>
      </c>
      <c r="AC4008" s="117" t="str">
        <f>IF(AB4008=1,COUNTIF($AB$3:AB4008,1),"")</f>
        <v/>
      </c>
      <c r="AD4008" s="117" t="str">
        <f>IFERROR(INDEX($AA$3:$AA$10000,MATCH(ROWS($AC$3:AC4008),$AC$3:$AC$10000,0)),"")</f>
        <v/>
      </c>
    </row>
    <row r="4009" spans="27:30">
      <c r="AA4009" s="117">
        <f>+'Ingredient List - Mother Tinctu'!D4010</f>
        <v>0</v>
      </c>
      <c r="AB4009" s="117">
        <f t="shared" si="65"/>
        <v>0</v>
      </c>
      <c r="AC4009" s="117" t="str">
        <f>IF(AB4009=1,COUNTIF($AB$3:AB4009,1),"")</f>
        <v/>
      </c>
      <c r="AD4009" s="117" t="str">
        <f>IFERROR(INDEX($AA$3:$AA$10000,MATCH(ROWS($AC$3:AC4009),$AC$3:$AC$10000,0)),"")</f>
        <v/>
      </c>
    </row>
    <row r="4010" spans="27:30">
      <c r="AA4010" s="117">
        <f>+'Ingredient List - Mother Tinctu'!D4011</f>
        <v>0</v>
      </c>
      <c r="AB4010" s="117">
        <f t="shared" si="65"/>
        <v>0</v>
      </c>
      <c r="AC4010" s="117" t="str">
        <f>IF(AB4010=1,COUNTIF($AB$3:AB4010,1),"")</f>
        <v/>
      </c>
      <c r="AD4010" s="117" t="str">
        <f>IFERROR(INDEX($AA$3:$AA$10000,MATCH(ROWS($AC$3:AC4010),$AC$3:$AC$10000,0)),"")</f>
        <v/>
      </c>
    </row>
    <row r="4011" spans="27:30">
      <c r="AA4011" s="117">
        <f>+'Ingredient List - Mother Tinctu'!D4012</f>
        <v>0</v>
      </c>
      <c r="AB4011" s="117">
        <f t="shared" si="65"/>
        <v>0</v>
      </c>
      <c r="AC4011" s="117" t="str">
        <f>IF(AB4011=1,COUNTIF($AB$3:AB4011,1),"")</f>
        <v/>
      </c>
      <c r="AD4011" s="117" t="str">
        <f>IFERROR(INDEX($AA$3:$AA$10000,MATCH(ROWS($AC$3:AC4011),$AC$3:$AC$10000,0)),"")</f>
        <v/>
      </c>
    </row>
    <row r="4012" spans="27:30">
      <c r="AA4012" s="117">
        <f>+'Ingredient List - Mother Tinctu'!D4013</f>
        <v>0</v>
      </c>
      <c r="AB4012" s="117">
        <f t="shared" si="65"/>
        <v>0</v>
      </c>
      <c r="AC4012" s="117" t="str">
        <f>IF(AB4012=1,COUNTIF($AB$3:AB4012,1),"")</f>
        <v/>
      </c>
      <c r="AD4012" s="117" t="str">
        <f>IFERROR(INDEX($AA$3:$AA$10000,MATCH(ROWS($AC$3:AC4012),$AC$3:$AC$10000,0)),"")</f>
        <v/>
      </c>
    </row>
    <row r="4013" spans="27:30">
      <c r="AA4013" s="117">
        <f>+'Ingredient List - Mother Tinctu'!D4014</f>
        <v>0</v>
      </c>
      <c r="AB4013" s="117">
        <f t="shared" si="65"/>
        <v>0</v>
      </c>
      <c r="AC4013" s="117" t="str">
        <f>IF(AB4013=1,COUNTIF($AB$3:AB4013,1),"")</f>
        <v/>
      </c>
      <c r="AD4013" s="117" t="str">
        <f>IFERROR(INDEX($AA$3:$AA$10000,MATCH(ROWS($AC$3:AC4013),$AC$3:$AC$10000,0)),"")</f>
        <v/>
      </c>
    </row>
    <row r="4014" spans="27:30">
      <c r="AA4014" s="117">
        <f>+'Ingredient List - Mother Tinctu'!D4015</f>
        <v>0</v>
      </c>
      <c r="AB4014" s="117">
        <f t="shared" si="65"/>
        <v>0</v>
      </c>
      <c r="AC4014" s="117" t="str">
        <f>IF(AB4014=1,COUNTIF($AB$3:AB4014,1),"")</f>
        <v/>
      </c>
      <c r="AD4014" s="117" t="str">
        <f>IFERROR(INDEX($AA$3:$AA$10000,MATCH(ROWS($AC$3:AC4014),$AC$3:$AC$10000,0)),"")</f>
        <v/>
      </c>
    </row>
    <row r="4015" spans="27:30">
      <c r="AA4015" s="117">
        <f>+'Ingredient List - Mother Tinctu'!D4016</f>
        <v>0</v>
      </c>
      <c r="AB4015" s="117">
        <f t="shared" si="65"/>
        <v>0</v>
      </c>
      <c r="AC4015" s="117" t="str">
        <f>IF(AB4015=1,COUNTIF($AB$3:AB4015,1),"")</f>
        <v/>
      </c>
      <c r="AD4015" s="117" t="str">
        <f>IFERROR(INDEX($AA$3:$AA$10000,MATCH(ROWS($AC$3:AC4015),$AC$3:$AC$10000,0)),"")</f>
        <v/>
      </c>
    </row>
    <row r="4016" spans="27:30">
      <c r="AA4016" s="117">
        <f>+'Ingredient List - Mother Tinctu'!D4017</f>
        <v>0</v>
      </c>
      <c r="AB4016" s="117">
        <f t="shared" si="65"/>
        <v>0</v>
      </c>
      <c r="AC4016" s="117" t="str">
        <f>IF(AB4016=1,COUNTIF($AB$3:AB4016,1),"")</f>
        <v/>
      </c>
      <c r="AD4016" s="117" t="str">
        <f>IFERROR(INDEX($AA$3:$AA$10000,MATCH(ROWS($AC$3:AC4016),$AC$3:$AC$10000,0)),"")</f>
        <v/>
      </c>
    </row>
    <row r="4017" spans="27:30">
      <c r="AA4017" s="117">
        <f>+'Ingredient List - Mother Tinctu'!D4018</f>
        <v>0</v>
      </c>
      <c r="AB4017" s="117">
        <f t="shared" si="65"/>
        <v>0</v>
      </c>
      <c r="AC4017" s="117" t="str">
        <f>IF(AB4017=1,COUNTIF($AB$3:AB4017,1),"")</f>
        <v/>
      </c>
      <c r="AD4017" s="117" t="str">
        <f>IFERROR(INDEX($AA$3:$AA$10000,MATCH(ROWS($AC$3:AC4017),$AC$3:$AC$10000,0)),"")</f>
        <v/>
      </c>
    </row>
    <row r="4018" spans="27:30">
      <c r="AA4018" s="117">
        <f>+'Ingredient List - Mother Tinctu'!D4019</f>
        <v>0</v>
      </c>
      <c r="AB4018" s="117">
        <f t="shared" si="65"/>
        <v>0</v>
      </c>
      <c r="AC4018" s="117" t="str">
        <f>IF(AB4018=1,COUNTIF($AB$3:AB4018,1),"")</f>
        <v/>
      </c>
      <c r="AD4018" s="117" t="str">
        <f>IFERROR(INDEX($AA$3:$AA$10000,MATCH(ROWS($AC$3:AC4018),$AC$3:$AC$10000,0)),"")</f>
        <v/>
      </c>
    </row>
    <row r="4019" spans="27:30">
      <c r="AA4019" s="117">
        <f>+'Ingredient List - Mother Tinctu'!D4020</f>
        <v>0</v>
      </c>
      <c r="AB4019" s="117">
        <f t="shared" si="65"/>
        <v>0</v>
      </c>
      <c r="AC4019" s="117" t="str">
        <f>IF(AB4019=1,COUNTIF($AB$3:AB4019,1),"")</f>
        <v/>
      </c>
      <c r="AD4019" s="117" t="str">
        <f>IFERROR(INDEX($AA$3:$AA$10000,MATCH(ROWS($AC$3:AC4019),$AC$3:$AC$10000,0)),"")</f>
        <v/>
      </c>
    </row>
    <row r="4020" spans="27:30">
      <c r="AA4020" s="117">
        <f>+'Ingredient List - Mother Tinctu'!D4021</f>
        <v>0</v>
      </c>
      <c r="AB4020" s="117">
        <f t="shared" si="65"/>
        <v>0</v>
      </c>
      <c r="AC4020" s="117" t="str">
        <f>IF(AB4020=1,COUNTIF($AB$3:AB4020,1),"")</f>
        <v/>
      </c>
      <c r="AD4020" s="117" t="str">
        <f>IFERROR(INDEX($AA$3:$AA$10000,MATCH(ROWS($AC$3:AC4020),$AC$3:$AC$10000,0)),"")</f>
        <v/>
      </c>
    </row>
    <row r="4021" spans="27:30">
      <c r="AA4021" s="117">
        <f>+'Ingredient List - Mother Tinctu'!D4022</f>
        <v>0</v>
      </c>
      <c r="AB4021" s="117">
        <f t="shared" si="65"/>
        <v>0</v>
      </c>
      <c r="AC4021" s="117" t="str">
        <f>IF(AB4021=1,COUNTIF($AB$3:AB4021,1),"")</f>
        <v/>
      </c>
      <c r="AD4021" s="117" t="str">
        <f>IFERROR(INDEX($AA$3:$AA$10000,MATCH(ROWS($AC$3:AC4021),$AC$3:$AC$10000,0)),"")</f>
        <v/>
      </c>
    </row>
    <row r="4022" spans="27:30">
      <c r="AA4022" s="117">
        <f>+'Ingredient List - Mother Tinctu'!D4023</f>
        <v>0</v>
      </c>
      <c r="AB4022" s="117">
        <f t="shared" si="65"/>
        <v>0</v>
      </c>
      <c r="AC4022" s="117" t="str">
        <f>IF(AB4022=1,COUNTIF($AB$3:AB4022,1),"")</f>
        <v/>
      </c>
      <c r="AD4022" s="117" t="str">
        <f>IFERROR(INDEX($AA$3:$AA$10000,MATCH(ROWS($AC$3:AC4022),$AC$3:$AC$10000,0)),"")</f>
        <v/>
      </c>
    </row>
    <row r="4023" spans="27:30">
      <c r="AA4023" s="117">
        <f>+'Ingredient List - Mother Tinctu'!D4024</f>
        <v>0</v>
      </c>
      <c r="AB4023" s="117">
        <f t="shared" si="65"/>
        <v>0</v>
      </c>
      <c r="AC4023" s="117" t="str">
        <f>IF(AB4023=1,COUNTIF($AB$3:AB4023,1),"")</f>
        <v/>
      </c>
      <c r="AD4023" s="117" t="str">
        <f>IFERROR(INDEX($AA$3:$AA$10000,MATCH(ROWS($AC$3:AC4023),$AC$3:$AC$10000,0)),"")</f>
        <v/>
      </c>
    </row>
    <row r="4024" spans="27:30">
      <c r="AA4024" s="117">
        <f>+'Ingredient List - Mother Tinctu'!D4025</f>
        <v>0</v>
      </c>
      <c r="AB4024" s="117">
        <f t="shared" si="65"/>
        <v>0</v>
      </c>
      <c r="AC4024" s="117" t="str">
        <f>IF(AB4024=1,COUNTIF($AB$3:AB4024,1),"")</f>
        <v/>
      </c>
      <c r="AD4024" s="117" t="str">
        <f>IFERROR(INDEX($AA$3:$AA$10000,MATCH(ROWS($AC$3:AC4024),$AC$3:$AC$10000,0)),"")</f>
        <v/>
      </c>
    </row>
    <row r="4025" spans="27:30">
      <c r="AA4025" s="117">
        <f>+'Ingredient List - Mother Tinctu'!D4026</f>
        <v>0</v>
      </c>
      <c r="AB4025" s="117">
        <f t="shared" si="65"/>
        <v>0</v>
      </c>
      <c r="AC4025" s="117" t="str">
        <f>IF(AB4025=1,COUNTIF($AB$3:AB4025,1),"")</f>
        <v/>
      </c>
      <c r="AD4025" s="117" t="str">
        <f>IFERROR(INDEX($AA$3:$AA$10000,MATCH(ROWS($AC$3:AC4025),$AC$3:$AC$10000,0)),"")</f>
        <v/>
      </c>
    </row>
    <row r="4026" spans="27:30">
      <c r="AA4026" s="117">
        <f>+'Ingredient List - Mother Tinctu'!D4027</f>
        <v>0</v>
      </c>
      <c r="AB4026" s="117">
        <f t="shared" si="65"/>
        <v>0</v>
      </c>
      <c r="AC4026" s="117" t="str">
        <f>IF(AB4026=1,COUNTIF($AB$3:AB4026,1),"")</f>
        <v/>
      </c>
      <c r="AD4026" s="117" t="str">
        <f>IFERROR(INDEX($AA$3:$AA$10000,MATCH(ROWS($AC$3:AC4026),$AC$3:$AC$10000,0)),"")</f>
        <v/>
      </c>
    </row>
    <row r="4027" spans="27:30">
      <c r="AA4027" s="117">
        <f>+'Ingredient List - Mother Tinctu'!D4028</f>
        <v>0</v>
      </c>
      <c r="AB4027" s="117">
        <f t="shared" si="65"/>
        <v>0</v>
      </c>
      <c r="AC4027" s="117" t="str">
        <f>IF(AB4027=1,COUNTIF($AB$3:AB4027,1),"")</f>
        <v/>
      </c>
      <c r="AD4027" s="117" t="str">
        <f>IFERROR(INDEX($AA$3:$AA$10000,MATCH(ROWS($AC$3:AC4027),$AC$3:$AC$10000,0)),"")</f>
        <v/>
      </c>
    </row>
    <row r="4028" spans="27:30">
      <c r="AA4028" s="117">
        <f>+'Ingredient List - Mother Tinctu'!D4029</f>
        <v>0</v>
      </c>
      <c r="AB4028" s="117">
        <f t="shared" si="65"/>
        <v>0</v>
      </c>
      <c r="AC4028" s="117" t="str">
        <f>IF(AB4028=1,COUNTIF($AB$3:AB4028,1),"")</f>
        <v/>
      </c>
      <c r="AD4028" s="117" t="str">
        <f>IFERROR(INDEX($AA$3:$AA$10000,MATCH(ROWS($AC$3:AC4028),$AC$3:$AC$10000,0)),"")</f>
        <v/>
      </c>
    </row>
    <row r="4029" spans="27:30">
      <c r="AA4029" s="117">
        <f>+'Ingredient List - Mother Tinctu'!D4030</f>
        <v>0</v>
      </c>
      <c r="AB4029" s="117">
        <f t="shared" si="65"/>
        <v>0</v>
      </c>
      <c r="AC4029" s="117" t="str">
        <f>IF(AB4029=1,COUNTIF($AB$3:AB4029,1),"")</f>
        <v/>
      </c>
      <c r="AD4029" s="117" t="str">
        <f>IFERROR(INDEX($AA$3:$AA$10000,MATCH(ROWS($AC$3:AC4029),$AC$3:$AC$10000,0)),"")</f>
        <v/>
      </c>
    </row>
    <row r="4030" spans="27:30">
      <c r="AA4030" s="117">
        <f>+'Ingredient List - Mother Tinctu'!D4031</f>
        <v>0</v>
      </c>
      <c r="AB4030" s="117">
        <f t="shared" si="65"/>
        <v>0</v>
      </c>
      <c r="AC4030" s="117" t="str">
        <f>IF(AB4030=1,COUNTIF($AB$3:AB4030,1),"")</f>
        <v/>
      </c>
      <c r="AD4030" s="117" t="str">
        <f>IFERROR(INDEX($AA$3:$AA$10000,MATCH(ROWS($AC$3:AC4030),$AC$3:$AC$10000,0)),"")</f>
        <v/>
      </c>
    </row>
    <row r="4031" spans="27:30">
      <c r="AA4031" s="117">
        <f>+'Ingredient List - Mother Tinctu'!D4032</f>
        <v>0</v>
      </c>
      <c r="AB4031" s="117">
        <f t="shared" si="65"/>
        <v>0</v>
      </c>
      <c r="AC4031" s="117" t="str">
        <f>IF(AB4031=1,COUNTIF($AB$3:AB4031,1),"")</f>
        <v/>
      </c>
      <c r="AD4031" s="117" t="str">
        <f>IFERROR(INDEX($AA$3:$AA$10000,MATCH(ROWS($AC$3:AC4031),$AC$3:$AC$10000,0)),"")</f>
        <v/>
      </c>
    </row>
    <row r="4032" spans="27:30">
      <c r="AA4032" s="117">
        <f>+'Ingredient List - Mother Tinctu'!D4033</f>
        <v>0</v>
      </c>
      <c r="AB4032" s="117">
        <f t="shared" si="65"/>
        <v>0</v>
      </c>
      <c r="AC4032" s="117" t="str">
        <f>IF(AB4032=1,COUNTIF($AB$3:AB4032,1),"")</f>
        <v/>
      </c>
      <c r="AD4032" s="117" t="str">
        <f>IFERROR(INDEX($AA$3:$AA$10000,MATCH(ROWS($AC$3:AC4032),$AC$3:$AC$10000,0)),"")</f>
        <v/>
      </c>
    </row>
    <row r="4033" spans="27:30">
      <c r="AA4033" s="117">
        <f>+'Ingredient List - Mother Tinctu'!D4034</f>
        <v>0</v>
      </c>
      <c r="AB4033" s="117">
        <f t="shared" si="65"/>
        <v>0</v>
      </c>
      <c r="AC4033" s="117" t="str">
        <f>IF(AB4033=1,COUNTIF($AB$3:AB4033,1),"")</f>
        <v/>
      </c>
      <c r="AD4033" s="117" t="str">
        <f>IFERROR(INDEX($AA$3:$AA$10000,MATCH(ROWS($AC$3:AC4033),$AC$3:$AC$10000,0)),"")</f>
        <v/>
      </c>
    </row>
    <row r="4034" spans="27:30">
      <c r="AA4034" s="117">
        <f>+'Ingredient List - Mother Tinctu'!D4035</f>
        <v>0</v>
      </c>
      <c r="AB4034" s="117">
        <f t="shared" si="65"/>
        <v>0</v>
      </c>
      <c r="AC4034" s="117" t="str">
        <f>IF(AB4034=1,COUNTIF($AB$3:AB4034,1),"")</f>
        <v/>
      </c>
      <c r="AD4034" s="117" t="str">
        <f>IFERROR(INDEX($AA$3:$AA$10000,MATCH(ROWS($AC$3:AC4034),$AC$3:$AC$10000,0)),"")</f>
        <v/>
      </c>
    </row>
    <row r="4035" spans="27:30">
      <c r="AA4035" s="117">
        <f>+'Ingredient List - Mother Tinctu'!D4036</f>
        <v>0</v>
      </c>
      <c r="AB4035" s="117">
        <f t="shared" si="65"/>
        <v>0</v>
      </c>
      <c r="AC4035" s="117" t="str">
        <f>IF(AB4035=1,COUNTIF($AB$3:AB4035,1),"")</f>
        <v/>
      </c>
      <c r="AD4035" s="117" t="str">
        <f>IFERROR(INDEX($AA$3:$AA$10000,MATCH(ROWS($AC$3:AC4035),$AC$3:$AC$10000,0)),"")</f>
        <v/>
      </c>
    </row>
    <row r="4036" spans="27:30">
      <c r="AA4036" s="117">
        <f>+'Ingredient List - Mother Tinctu'!D4037</f>
        <v>0</v>
      </c>
      <c r="AB4036" s="117">
        <f t="shared" ref="AB4036:AB4099" si="66">--ISNUMBER(IFERROR(SEARCH($D$3,AA4036,1),""))</f>
        <v>0</v>
      </c>
      <c r="AC4036" s="117" t="str">
        <f>IF(AB4036=1,COUNTIF($AB$3:AB4036,1),"")</f>
        <v/>
      </c>
      <c r="AD4036" s="117" t="str">
        <f>IFERROR(INDEX($AA$3:$AA$10000,MATCH(ROWS($AC$3:AC4036),$AC$3:$AC$10000,0)),"")</f>
        <v/>
      </c>
    </row>
    <row r="4037" spans="27:30">
      <c r="AA4037" s="117">
        <f>+'Ingredient List - Mother Tinctu'!D4038</f>
        <v>0</v>
      </c>
      <c r="AB4037" s="117">
        <f t="shared" si="66"/>
        <v>0</v>
      </c>
      <c r="AC4037" s="117" t="str">
        <f>IF(AB4037=1,COUNTIF($AB$3:AB4037,1),"")</f>
        <v/>
      </c>
      <c r="AD4037" s="117" t="str">
        <f>IFERROR(INDEX($AA$3:$AA$10000,MATCH(ROWS($AC$3:AC4037),$AC$3:$AC$10000,0)),"")</f>
        <v/>
      </c>
    </row>
    <row r="4038" spans="27:30">
      <c r="AA4038" s="117">
        <f>+'Ingredient List - Mother Tinctu'!D4039</f>
        <v>0</v>
      </c>
      <c r="AB4038" s="117">
        <f t="shared" si="66"/>
        <v>0</v>
      </c>
      <c r="AC4038" s="117" t="str">
        <f>IF(AB4038=1,COUNTIF($AB$3:AB4038,1),"")</f>
        <v/>
      </c>
      <c r="AD4038" s="117" t="str">
        <f>IFERROR(INDEX($AA$3:$AA$10000,MATCH(ROWS($AC$3:AC4038),$AC$3:$AC$10000,0)),"")</f>
        <v/>
      </c>
    </row>
    <row r="4039" spans="27:30">
      <c r="AA4039" s="117">
        <f>+'Ingredient List - Mother Tinctu'!D4040</f>
        <v>0</v>
      </c>
      <c r="AB4039" s="117">
        <f t="shared" si="66"/>
        <v>0</v>
      </c>
      <c r="AC4039" s="117" t="str">
        <f>IF(AB4039=1,COUNTIF($AB$3:AB4039,1),"")</f>
        <v/>
      </c>
      <c r="AD4039" s="117" t="str">
        <f>IFERROR(INDEX($AA$3:$AA$10000,MATCH(ROWS($AC$3:AC4039),$AC$3:$AC$10000,0)),"")</f>
        <v/>
      </c>
    </row>
    <row r="4040" spans="27:30">
      <c r="AA4040" s="117">
        <f>+'Ingredient List - Mother Tinctu'!D4041</f>
        <v>0</v>
      </c>
      <c r="AB4040" s="117">
        <f t="shared" si="66"/>
        <v>0</v>
      </c>
      <c r="AC4040" s="117" t="str">
        <f>IF(AB4040=1,COUNTIF($AB$3:AB4040,1),"")</f>
        <v/>
      </c>
      <c r="AD4040" s="117" t="str">
        <f>IFERROR(INDEX($AA$3:$AA$10000,MATCH(ROWS($AC$3:AC4040),$AC$3:$AC$10000,0)),"")</f>
        <v/>
      </c>
    </row>
    <row r="4041" spans="27:30">
      <c r="AA4041" s="117">
        <f>+'Ingredient List - Mother Tinctu'!D4042</f>
        <v>0</v>
      </c>
      <c r="AB4041" s="117">
        <f t="shared" si="66"/>
        <v>0</v>
      </c>
      <c r="AC4041" s="117" t="str">
        <f>IF(AB4041=1,COUNTIF($AB$3:AB4041,1),"")</f>
        <v/>
      </c>
      <c r="AD4041" s="117" t="str">
        <f>IFERROR(INDEX($AA$3:$AA$10000,MATCH(ROWS($AC$3:AC4041),$AC$3:$AC$10000,0)),"")</f>
        <v/>
      </c>
    </row>
    <row r="4042" spans="27:30">
      <c r="AA4042" s="117">
        <f>+'Ingredient List - Mother Tinctu'!D4043</f>
        <v>0</v>
      </c>
      <c r="AB4042" s="117">
        <f t="shared" si="66"/>
        <v>0</v>
      </c>
      <c r="AC4042" s="117" t="str">
        <f>IF(AB4042=1,COUNTIF($AB$3:AB4042,1),"")</f>
        <v/>
      </c>
      <c r="AD4042" s="117" t="str">
        <f>IFERROR(INDEX($AA$3:$AA$10000,MATCH(ROWS($AC$3:AC4042),$AC$3:$AC$10000,0)),"")</f>
        <v/>
      </c>
    </row>
    <row r="4043" spans="27:30">
      <c r="AA4043" s="117">
        <f>+'Ingredient List - Mother Tinctu'!D4044</f>
        <v>0</v>
      </c>
      <c r="AB4043" s="117">
        <f t="shared" si="66"/>
        <v>0</v>
      </c>
      <c r="AC4043" s="117" t="str">
        <f>IF(AB4043=1,COUNTIF($AB$3:AB4043,1),"")</f>
        <v/>
      </c>
      <c r="AD4043" s="117" t="str">
        <f>IFERROR(INDEX($AA$3:$AA$10000,MATCH(ROWS($AC$3:AC4043),$AC$3:$AC$10000,0)),"")</f>
        <v/>
      </c>
    </row>
    <row r="4044" spans="27:30">
      <c r="AA4044" s="117">
        <f>+'Ingredient List - Mother Tinctu'!D4045</f>
        <v>0</v>
      </c>
      <c r="AB4044" s="117">
        <f t="shared" si="66"/>
        <v>0</v>
      </c>
      <c r="AC4044" s="117" t="str">
        <f>IF(AB4044=1,COUNTIF($AB$3:AB4044,1),"")</f>
        <v/>
      </c>
      <c r="AD4044" s="117" t="str">
        <f>IFERROR(INDEX($AA$3:$AA$10000,MATCH(ROWS($AC$3:AC4044),$AC$3:$AC$10000,0)),"")</f>
        <v/>
      </c>
    </row>
    <row r="4045" spans="27:30">
      <c r="AA4045" s="117">
        <f>+'Ingredient List - Mother Tinctu'!D4046</f>
        <v>0</v>
      </c>
      <c r="AB4045" s="117">
        <f t="shared" si="66"/>
        <v>0</v>
      </c>
      <c r="AC4045" s="117" t="str">
        <f>IF(AB4045=1,COUNTIF($AB$3:AB4045,1),"")</f>
        <v/>
      </c>
      <c r="AD4045" s="117" t="str">
        <f>IFERROR(INDEX($AA$3:$AA$10000,MATCH(ROWS($AC$3:AC4045),$AC$3:$AC$10000,0)),"")</f>
        <v/>
      </c>
    </row>
    <row r="4046" spans="27:30">
      <c r="AA4046" s="117">
        <f>+'Ingredient List - Mother Tinctu'!D4047</f>
        <v>0</v>
      </c>
      <c r="AB4046" s="117">
        <f t="shared" si="66"/>
        <v>0</v>
      </c>
      <c r="AC4046" s="117" t="str">
        <f>IF(AB4046=1,COUNTIF($AB$3:AB4046,1),"")</f>
        <v/>
      </c>
      <c r="AD4046" s="117" t="str">
        <f>IFERROR(INDEX($AA$3:$AA$10000,MATCH(ROWS($AC$3:AC4046),$AC$3:$AC$10000,0)),"")</f>
        <v/>
      </c>
    </row>
    <row r="4047" spans="27:30">
      <c r="AA4047" s="117">
        <f>+'Ingredient List - Mother Tinctu'!D4048</f>
        <v>0</v>
      </c>
      <c r="AB4047" s="117">
        <f t="shared" si="66"/>
        <v>0</v>
      </c>
      <c r="AC4047" s="117" t="str">
        <f>IF(AB4047=1,COUNTIF($AB$3:AB4047,1),"")</f>
        <v/>
      </c>
      <c r="AD4047" s="117" t="str">
        <f>IFERROR(INDEX($AA$3:$AA$10000,MATCH(ROWS($AC$3:AC4047),$AC$3:$AC$10000,0)),"")</f>
        <v/>
      </c>
    </row>
    <row r="4048" spans="27:30">
      <c r="AA4048" s="117">
        <f>+'Ingredient List - Mother Tinctu'!D4049</f>
        <v>0</v>
      </c>
      <c r="AB4048" s="117">
        <f t="shared" si="66"/>
        <v>0</v>
      </c>
      <c r="AC4048" s="117" t="str">
        <f>IF(AB4048=1,COUNTIF($AB$3:AB4048,1),"")</f>
        <v/>
      </c>
      <c r="AD4048" s="117" t="str">
        <f>IFERROR(INDEX($AA$3:$AA$10000,MATCH(ROWS($AC$3:AC4048),$AC$3:$AC$10000,0)),"")</f>
        <v/>
      </c>
    </row>
    <row r="4049" spans="27:30">
      <c r="AA4049" s="117">
        <f>+'Ingredient List - Mother Tinctu'!D4050</f>
        <v>0</v>
      </c>
      <c r="AB4049" s="117">
        <f t="shared" si="66"/>
        <v>0</v>
      </c>
      <c r="AC4049" s="117" t="str">
        <f>IF(AB4049=1,COUNTIF($AB$3:AB4049,1),"")</f>
        <v/>
      </c>
      <c r="AD4049" s="117" t="str">
        <f>IFERROR(INDEX($AA$3:$AA$10000,MATCH(ROWS($AC$3:AC4049),$AC$3:$AC$10000,0)),"")</f>
        <v/>
      </c>
    </row>
    <row r="4050" spans="27:30">
      <c r="AA4050" s="117">
        <f>+'Ingredient List - Mother Tinctu'!D4051</f>
        <v>0</v>
      </c>
      <c r="AB4050" s="117">
        <f t="shared" si="66"/>
        <v>0</v>
      </c>
      <c r="AC4050" s="117" t="str">
        <f>IF(AB4050=1,COUNTIF($AB$3:AB4050,1),"")</f>
        <v/>
      </c>
      <c r="AD4050" s="117" t="str">
        <f>IFERROR(INDEX($AA$3:$AA$10000,MATCH(ROWS($AC$3:AC4050),$AC$3:$AC$10000,0)),"")</f>
        <v/>
      </c>
    </row>
    <row r="4051" spans="27:30">
      <c r="AA4051" s="117">
        <f>+'Ingredient List - Mother Tinctu'!D4052</f>
        <v>0</v>
      </c>
      <c r="AB4051" s="117">
        <f t="shared" si="66"/>
        <v>0</v>
      </c>
      <c r="AC4051" s="117" t="str">
        <f>IF(AB4051=1,COUNTIF($AB$3:AB4051,1),"")</f>
        <v/>
      </c>
      <c r="AD4051" s="117" t="str">
        <f>IFERROR(INDEX($AA$3:$AA$10000,MATCH(ROWS($AC$3:AC4051),$AC$3:$AC$10000,0)),"")</f>
        <v/>
      </c>
    </row>
    <row r="4052" spans="27:30">
      <c r="AA4052" s="117">
        <f>+'Ingredient List - Mother Tinctu'!D4053</f>
        <v>0</v>
      </c>
      <c r="AB4052" s="117">
        <f t="shared" si="66"/>
        <v>0</v>
      </c>
      <c r="AC4052" s="117" t="str">
        <f>IF(AB4052=1,COUNTIF($AB$3:AB4052,1),"")</f>
        <v/>
      </c>
      <c r="AD4052" s="117" t="str">
        <f>IFERROR(INDEX($AA$3:$AA$10000,MATCH(ROWS($AC$3:AC4052),$AC$3:$AC$10000,0)),"")</f>
        <v/>
      </c>
    </row>
    <row r="4053" spans="27:30">
      <c r="AA4053" s="117">
        <f>+'Ingredient List - Mother Tinctu'!D4054</f>
        <v>0</v>
      </c>
      <c r="AB4053" s="117">
        <f t="shared" si="66"/>
        <v>0</v>
      </c>
      <c r="AC4053" s="117" t="str">
        <f>IF(AB4053=1,COUNTIF($AB$3:AB4053,1),"")</f>
        <v/>
      </c>
      <c r="AD4053" s="117" t="str">
        <f>IFERROR(INDEX($AA$3:$AA$10000,MATCH(ROWS($AC$3:AC4053),$AC$3:$AC$10000,0)),"")</f>
        <v/>
      </c>
    </row>
    <row r="4054" spans="27:30">
      <c r="AA4054" s="117">
        <f>+'Ingredient List - Mother Tinctu'!D4055</f>
        <v>0</v>
      </c>
      <c r="AB4054" s="117">
        <f t="shared" si="66"/>
        <v>0</v>
      </c>
      <c r="AC4054" s="117" t="str">
        <f>IF(AB4054=1,COUNTIF($AB$3:AB4054,1),"")</f>
        <v/>
      </c>
      <c r="AD4054" s="117" t="str">
        <f>IFERROR(INDEX($AA$3:$AA$10000,MATCH(ROWS($AC$3:AC4054),$AC$3:$AC$10000,0)),"")</f>
        <v/>
      </c>
    </row>
    <row r="4055" spans="27:30">
      <c r="AA4055" s="117">
        <f>+'Ingredient List - Mother Tinctu'!D4056</f>
        <v>0</v>
      </c>
      <c r="AB4055" s="117">
        <f t="shared" si="66"/>
        <v>0</v>
      </c>
      <c r="AC4055" s="117" t="str">
        <f>IF(AB4055=1,COUNTIF($AB$3:AB4055,1),"")</f>
        <v/>
      </c>
      <c r="AD4055" s="117" t="str">
        <f>IFERROR(INDEX($AA$3:$AA$10000,MATCH(ROWS($AC$3:AC4055),$AC$3:$AC$10000,0)),"")</f>
        <v/>
      </c>
    </row>
    <row r="4056" spans="27:30">
      <c r="AA4056" s="117">
        <f>+'Ingredient List - Mother Tinctu'!D4057</f>
        <v>0</v>
      </c>
      <c r="AB4056" s="117">
        <f t="shared" si="66"/>
        <v>0</v>
      </c>
      <c r="AC4056" s="117" t="str">
        <f>IF(AB4056=1,COUNTIF($AB$3:AB4056,1),"")</f>
        <v/>
      </c>
      <c r="AD4056" s="117" t="str">
        <f>IFERROR(INDEX($AA$3:$AA$10000,MATCH(ROWS($AC$3:AC4056),$AC$3:$AC$10000,0)),"")</f>
        <v/>
      </c>
    </row>
    <row r="4057" spans="27:30">
      <c r="AA4057" s="117">
        <f>+'Ingredient List - Mother Tinctu'!D4058</f>
        <v>0</v>
      </c>
      <c r="AB4057" s="117">
        <f t="shared" si="66"/>
        <v>0</v>
      </c>
      <c r="AC4057" s="117" t="str">
        <f>IF(AB4057=1,COUNTIF($AB$3:AB4057,1),"")</f>
        <v/>
      </c>
      <c r="AD4057" s="117" t="str">
        <f>IFERROR(INDEX($AA$3:$AA$10000,MATCH(ROWS($AC$3:AC4057),$AC$3:$AC$10000,0)),"")</f>
        <v/>
      </c>
    </row>
    <row r="4058" spans="27:30">
      <c r="AA4058" s="117">
        <f>+'Ingredient List - Mother Tinctu'!D4059</f>
        <v>0</v>
      </c>
      <c r="AB4058" s="117">
        <f t="shared" si="66"/>
        <v>0</v>
      </c>
      <c r="AC4058" s="117" t="str">
        <f>IF(AB4058=1,COUNTIF($AB$3:AB4058,1),"")</f>
        <v/>
      </c>
      <c r="AD4058" s="117" t="str">
        <f>IFERROR(INDEX($AA$3:$AA$10000,MATCH(ROWS($AC$3:AC4058),$AC$3:$AC$10000,0)),"")</f>
        <v/>
      </c>
    </row>
    <row r="4059" spans="27:30">
      <c r="AA4059" s="117">
        <f>+'Ingredient List - Mother Tinctu'!D4060</f>
        <v>0</v>
      </c>
      <c r="AB4059" s="117">
        <f t="shared" si="66"/>
        <v>0</v>
      </c>
      <c r="AC4059" s="117" t="str">
        <f>IF(AB4059=1,COUNTIF($AB$3:AB4059,1),"")</f>
        <v/>
      </c>
      <c r="AD4059" s="117" t="str">
        <f>IFERROR(INDEX($AA$3:$AA$10000,MATCH(ROWS($AC$3:AC4059),$AC$3:$AC$10000,0)),"")</f>
        <v/>
      </c>
    </row>
    <row r="4060" spans="27:30">
      <c r="AA4060" s="117">
        <f>+'Ingredient List - Mother Tinctu'!D4061</f>
        <v>0</v>
      </c>
      <c r="AB4060" s="117">
        <f t="shared" si="66"/>
        <v>0</v>
      </c>
      <c r="AC4060" s="117" t="str">
        <f>IF(AB4060=1,COUNTIF($AB$3:AB4060,1),"")</f>
        <v/>
      </c>
      <c r="AD4060" s="117" t="str">
        <f>IFERROR(INDEX($AA$3:$AA$10000,MATCH(ROWS($AC$3:AC4060),$AC$3:$AC$10000,0)),"")</f>
        <v/>
      </c>
    </row>
    <row r="4061" spans="27:30">
      <c r="AA4061" s="117">
        <f>+'Ingredient List - Mother Tinctu'!D4062</f>
        <v>0</v>
      </c>
      <c r="AB4061" s="117">
        <f t="shared" si="66"/>
        <v>0</v>
      </c>
      <c r="AC4061" s="117" t="str">
        <f>IF(AB4061=1,COUNTIF($AB$3:AB4061,1),"")</f>
        <v/>
      </c>
      <c r="AD4061" s="117" t="str">
        <f>IFERROR(INDEX($AA$3:$AA$10000,MATCH(ROWS($AC$3:AC4061),$AC$3:$AC$10000,0)),"")</f>
        <v/>
      </c>
    </row>
    <row r="4062" spans="27:30">
      <c r="AA4062" s="117">
        <f>+'Ingredient List - Mother Tinctu'!D4063</f>
        <v>0</v>
      </c>
      <c r="AB4062" s="117">
        <f t="shared" si="66"/>
        <v>0</v>
      </c>
      <c r="AC4062" s="117" t="str">
        <f>IF(AB4062=1,COUNTIF($AB$3:AB4062,1),"")</f>
        <v/>
      </c>
      <c r="AD4062" s="117" t="str">
        <f>IFERROR(INDEX($AA$3:$AA$10000,MATCH(ROWS($AC$3:AC4062),$AC$3:$AC$10000,0)),"")</f>
        <v/>
      </c>
    </row>
    <row r="4063" spans="27:30">
      <c r="AA4063" s="117">
        <f>+'Ingredient List - Mother Tinctu'!D4064</f>
        <v>0</v>
      </c>
      <c r="AB4063" s="117">
        <f t="shared" si="66"/>
        <v>0</v>
      </c>
      <c r="AC4063" s="117" t="str">
        <f>IF(AB4063=1,COUNTIF($AB$3:AB4063,1),"")</f>
        <v/>
      </c>
      <c r="AD4063" s="117" t="str">
        <f>IFERROR(INDEX($AA$3:$AA$10000,MATCH(ROWS($AC$3:AC4063),$AC$3:$AC$10000,0)),"")</f>
        <v/>
      </c>
    </row>
    <row r="4064" spans="27:30">
      <c r="AA4064" s="117">
        <f>+'Ingredient List - Mother Tinctu'!D4065</f>
        <v>0</v>
      </c>
      <c r="AB4064" s="117">
        <f t="shared" si="66"/>
        <v>0</v>
      </c>
      <c r="AC4064" s="117" t="str">
        <f>IF(AB4064=1,COUNTIF($AB$3:AB4064,1),"")</f>
        <v/>
      </c>
      <c r="AD4064" s="117" t="str">
        <f>IFERROR(INDEX($AA$3:$AA$10000,MATCH(ROWS($AC$3:AC4064),$AC$3:$AC$10000,0)),"")</f>
        <v/>
      </c>
    </row>
    <row r="4065" spans="27:30">
      <c r="AA4065" s="117">
        <f>+'Ingredient List - Mother Tinctu'!D4066</f>
        <v>0</v>
      </c>
      <c r="AB4065" s="117">
        <f t="shared" si="66"/>
        <v>0</v>
      </c>
      <c r="AC4065" s="117" t="str">
        <f>IF(AB4065=1,COUNTIF($AB$3:AB4065,1),"")</f>
        <v/>
      </c>
      <c r="AD4065" s="117" t="str">
        <f>IFERROR(INDEX($AA$3:$AA$10000,MATCH(ROWS($AC$3:AC4065),$AC$3:$AC$10000,0)),"")</f>
        <v/>
      </c>
    </row>
    <row r="4066" spans="27:30">
      <c r="AA4066" s="117">
        <f>+'Ingredient List - Mother Tinctu'!D4067</f>
        <v>0</v>
      </c>
      <c r="AB4066" s="117">
        <f t="shared" si="66"/>
        <v>0</v>
      </c>
      <c r="AC4066" s="117" t="str">
        <f>IF(AB4066=1,COUNTIF($AB$3:AB4066,1),"")</f>
        <v/>
      </c>
      <c r="AD4066" s="117" t="str">
        <f>IFERROR(INDEX($AA$3:$AA$10000,MATCH(ROWS($AC$3:AC4066),$AC$3:$AC$10000,0)),"")</f>
        <v/>
      </c>
    </row>
    <row r="4067" spans="27:30">
      <c r="AA4067" s="117">
        <f>+'Ingredient List - Mother Tinctu'!D4068</f>
        <v>0</v>
      </c>
      <c r="AB4067" s="117">
        <f t="shared" si="66"/>
        <v>0</v>
      </c>
      <c r="AC4067" s="117" t="str">
        <f>IF(AB4067=1,COUNTIF($AB$3:AB4067,1),"")</f>
        <v/>
      </c>
      <c r="AD4067" s="117" t="str">
        <f>IFERROR(INDEX($AA$3:$AA$10000,MATCH(ROWS($AC$3:AC4067),$AC$3:$AC$10000,0)),"")</f>
        <v/>
      </c>
    </row>
    <row r="4068" spans="27:30">
      <c r="AA4068" s="117">
        <f>+'Ingredient List - Mother Tinctu'!D4069</f>
        <v>0</v>
      </c>
      <c r="AB4068" s="117">
        <f t="shared" si="66"/>
        <v>0</v>
      </c>
      <c r="AC4068" s="117" t="str">
        <f>IF(AB4068=1,COUNTIF($AB$3:AB4068,1),"")</f>
        <v/>
      </c>
      <c r="AD4068" s="117" t="str">
        <f>IFERROR(INDEX($AA$3:$AA$10000,MATCH(ROWS($AC$3:AC4068),$AC$3:$AC$10000,0)),"")</f>
        <v/>
      </c>
    </row>
    <row r="4069" spans="27:30">
      <c r="AA4069" s="117">
        <f>+'Ingredient List - Mother Tinctu'!D4070</f>
        <v>0</v>
      </c>
      <c r="AB4069" s="117">
        <f t="shared" si="66"/>
        <v>0</v>
      </c>
      <c r="AC4069" s="117" t="str">
        <f>IF(AB4069=1,COUNTIF($AB$3:AB4069,1),"")</f>
        <v/>
      </c>
      <c r="AD4069" s="117" t="str">
        <f>IFERROR(INDEX($AA$3:$AA$10000,MATCH(ROWS($AC$3:AC4069),$AC$3:$AC$10000,0)),"")</f>
        <v/>
      </c>
    </row>
    <row r="4070" spans="27:30">
      <c r="AA4070" s="117">
        <f>+'Ingredient List - Mother Tinctu'!D4071</f>
        <v>0</v>
      </c>
      <c r="AB4070" s="117">
        <f t="shared" si="66"/>
        <v>0</v>
      </c>
      <c r="AC4070" s="117" t="str">
        <f>IF(AB4070=1,COUNTIF($AB$3:AB4070,1),"")</f>
        <v/>
      </c>
      <c r="AD4070" s="117" t="str">
        <f>IFERROR(INDEX($AA$3:$AA$10000,MATCH(ROWS($AC$3:AC4070),$AC$3:$AC$10000,0)),"")</f>
        <v/>
      </c>
    </row>
    <row r="4071" spans="27:30">
      <c r="AA4071" s="117">
        <f>+'Ingredient List - Mother Tinctu'!D4072</f>
        <v>0</v>
      </c>
      <c r="AB4071" s="117">
        <f t="shared" si="66"/>
        <v>0</v>
      </c>
      <c r="AC4071" s="117" t="str">
        <f>IF(AB4071=1,COUNTIF($AB$3:AB4071,1),"")</f>
        <v/>
      </c>
      <c r="AD4071" s="117" t="str">
        <f>IFERROR(INDEX($AA$3:$AA$10000,MATCH(ROWS($AC$3:AC4071),$AC$3:$AC$10000,0)),"")</f>
        <v/>
      </c>
    </row>
    <row r="4072" spans="27:30">
      <c r="AA4072" s="117">
        <f>+'Ingredient List - Mother Tinctu'!D4073</f>
        <v>0</v>
      </c>
      <c r="AB4072" s="117">
        <f t="shared" si="66"/>
        <v>0</v>
      </c>
      <c r="AC4072" s="117" t="str">
        <f>IF(AB4072=1,COUNTIF($AB$3:AB4072,1),"")</f>
        <v/>
      </c>
      <c r="AD4072" s="117" t="str">
        <f>IFERROR(INDEX($AA$3:$AA$10000,MATCH(ROWS($AC$3:AC4072),$AC$3:$AC$10000,0)),"")</f>
        <v/>
      </c>
    </row>
    <row r="4073" spans="27:30">
      <c r="AA4073" s="117">
        <f>+'Ingredient List - Mother Tinctu'!D4074</f>
        <v>0</v>
      </c>
      <c r="AB4073" s="117">
        <f t="shared" si="66"/>
        <v>0</v>
      </c>
      <c r="AC4073" s="117" t="str">
        <f>IF(AB4073=1,COUNTIF($AB$3:AB4073,1),"")</f>
        <v/>
      </c>
      <c r="AD4073" s="117" t="str">
        <f>IFERROR(INDEX($AA$3:$AA$10000,MATCH(ROWS($AC$3:AC4073),$AC$3:$AC$10000,0)),"")</f>
        <v/>
      </c>
    </row>
    <row r="4074" spans="27:30">
      <c r="AA4074" s="117">
        <f>+'Ingredient List - Mother Tinctu'!D4075</f>
        <v>0</v>
      </c>
      <c r="AB4074" s="117">
        <f t="shared" si="66"/>
        <v>0</v>
      </c>
      <c r="AC4074" s="117" t="str">
        <f>IF(AB4074=1,COUNTIF($AB$3:AB4074,1),"")</f>
        <v/>
      </c>
      <c r="AD4074" s="117" t="str">
        <f>IFERROR(INDEX($AA$3:$AA$10000,MATCH(ROWS($AC$3:AC4074),$AC$3:$AC$10000,0)),"")</f>
        <v/>
      </c>
    </row>
    <row r="4075" spans="27:30">
      <c r="AA4075" s="117">
        <f>+'Ingredient List - Mother Tinctu'!D4076</f>
        <v>0</v>
      </c>
      <c r="AB4075" s="117">
        <f t="shared" si="66"/>
        <v>0</v>
      </c>
      <c r="AC4075" s="117" t="str">
        <f>IF(AB4075=1,COUNTIF($AB$3:AB4075,1),"")</f>
        <v/>
      </c>
      <c r="AD4075" s="117" t="str">
        <f>IFERROR(INDEX($AA$3:$AA$10000,MATCH(ROWS($AC$3:AC4075),$AC$3:$AC$10000,0)),"")</f>
        <v/>
      </c>
    </row>
    <row r="4076" spans="27:30">
      <c r="AA4076" s="117">
        <f>+'Ingredient List - Mother Tinctu'!D4077</f>
        <v>0</v>
      </c>
      <c r="AB4076" s="117">
        <f t="shared" si="66"/>
        <v>0</v>
      </c>
      <c r="AC4076" s="117" t="str">
        <f>IF(AB4076=1,COUNTIF($AB$3:AB4076,1),"")</f>
        <v/>
      </c>
      <c r="AD4076" s="117" t="str">
        <f>IFERROR(INDEX($AA$3:$AA$10000,MATCH(ROWS($AC$3:AC4076),$AC$3:$AC$10000,0)),"")</f>
        <v/>
      </c>
    </row>
    <row r="4077" spans="27:30">
      <c r="AA4077" s="117">
        <f>+'Ingredient List - Mother Tinctu'!D4078</f>
        <v>0</v>
      </c>
      <c r="AB4077" s="117">
        <f t="shared" si="66"/>
        <v>0</v>
      </c>
      <c r="AC4077" s="117" t="str">
        <f>IF(AB4077=1,COUNTIF($AB$3:AB4077,1),"")</f>
        <v/>
      </c>
      <c r="AD4077" s="117" t="str">
        <f>IFERROR(INDEX($AA$3:$AA$10000,MATCH(ROWS($AC$3:AC4077),$AC$3:$AC$10000,0)),"")</f>
        <v/>
      </c>
    </row>
    <row r="4078" spans="27:30">
      <c r="AA4078" s="117">
        <f>+'Ingredient List - Mother Tinctu'!D4079</f>
        <v>0</v>
      </c>
      <c r="AB4078" s="117">
        <f t="shared" si="66"/>
        <v>0</v>
      </c>
      <c r="AC4078" s="117" t="str">
        <f>IF(AB4078=1,COUNTIF($AB$3:AB4078,1),"")</f>
        <v/>
      </c>
      <c r="AD4078" s="117" t="str">
        <f>IFERROR(INDEX($AA$3:$AA$10000,MATCH(ROWS($AC$3:AC4078),$AC$3:$AC$10000,0)),"")</f>
        <v/>
      </c>
    </row>
    <row r="4079" spans="27:30">
      <c r="AA4079" s="117">
        <f>+'Ingredient List - Mother Tinctu'!D4080</f>
        <v>0</v>
      </c>
      <c r="AB4079" s="117">
        <f t="shared" si="66"/>
        <v>0</v>
      </c>
      <c r="AC4079" s="117" t="str">
        <f>IF(AB4079=1,COUNTIF($AB$3:AB4079,1),"")</f>
        <v/>
      </c>
      <c r="AD4079" s="117" t="str">
        <f>IFERROR(INDEX($AA$3:$AA$10000,MATCH(ROWS($AC$3:AC4079),$AC$3:$AC$10000,0)),"")</f>
        <v/>
      </c>
    </row>
    <row r="4080" spans="27:30">
      <c r="AA4080" s="117">
        <f>+'Ingredient List - Mother Tinctu'!D4081</f>
        <v>0</v>
      </c>
      <c r="AB4080" s="117">
        <f t="shared" si="66"/>
        <v>0</v>
      </c>
      <c r="AC4080" s="117" t="str">
        <f>IF(AB4080=1,COUNTIF($AB$3:AB4080,1),"")</f>
        <v/>
      </c>
      <c r="AD4080" s="117" t="str">
        <f>IFERROR(INDEX($AA$3:$AA$10000,MATCH(ROWS($AC$3:AC4080),$AC$3:$AC$10000,0)),"")</f>
        <v/>
      </c>
    </row>
    <row r="4081" spans="27:30">
      <c r="AA4081" s="117">
        <f>+'Ingredient List - Mother Tinctu'!D4082</f>
        <v>0</v>
      </c>
      <c r="AB4081" s="117">
        <f t="shared" si="66"/>
        <v>0</v>
      </c>
      <c r="AC4081" s="117" t="str">
        <f>IF(AB4081=1,COUNTIF($AB$3:AB4081,1),"")</f>
        <v/>
      </c>
      <c r="AD4081" s="117" t="str">
        <f>IFERROR(INDEX($AA$3:$AA$10000,MATCH(ROWS($AC$3:AC4081),$AC$3:$AC$10000,0)),"")</f>
        <v/>
      </c>
    </row>
    <row r="4082" spans="27:30">
      <c r="AA4082" s="117">
        <f>+'Ingredient List - Mother Tinctu'!D4083</f>
        <v>0</v>
      </c>
      <c r="AB4082" s="117">
        <f t="shared" si="66"/>
        <v>0</v>
      </c>
      <c r="AC4082" s="117" t="str">
        <f>IF(AB4082=1,COUNTIF($AB$3:AB4082,1),"")</f>
        <v/>
      </c>
      <c r="AD4082" s="117" t="str">
        <f>IFERROR(INDEX($AA$3:$AA$10000,MATCH(ROWS($AC$3:AC4082),$AC$3:$AC$10000,0)),"")</f>
        <v/>
      </c>
    </row>
    <row r="4083" spans="27:30">
      <c r="AA4083" s="117">
        <f>+'Ingredient List - Mother Tinctu'!D4084</f>
        <v>0</v>
      </c>
      <c r="AB4083" s="117">
        <f t="shared" si="66"/>
        <v>0</v>
      </c>
      <c r="AC4083" s="117" t="str">
        <f>IF(AB4083=1,COUNTIF($AB$3:AB4083,1),"")</f>
        <v/>
      </c>
      <c r="AD4083" s="117" t="str">
        <f>IFERROR(INDEX($AA$3:$AA$10000,MATCH(ROWS($AC$3:AC4083),$AC$3:$AC$10000,0)),"")</f>
        <v/>
      </c>
    </row>
    <row r="4084" spans="27:30">
      <c r="AA4084" s="117">
        <f>+'Ingredient List - Mother Tinctu'!D4085</f>
        <v>0</v>
      </c>
      <c r="AB4084" s="117">
        <f t="shared" si="66"/>
        <v>0</v>
      </c>
      <c r="AC4084" s="117" t="str">
        <f>IF(AB4084=1,COUNTIF($AB$3:AB4084,1),"")</f>
        <v/>
      </c>
      <c r="AD4084" s="117" t="str">
        <f>IFERROR(INDEX($AA$3:$AA$10000,MATCH(ROWS($AC$3:AC4084),$AC$3:$AC$10000,0)),"")</f>
        <v/>
      </c>
    </row>
    <row r="4085" spans="27:30">
      <c r="AA4085" s="117">
        <f>+'Ingredient List - Mother Tinctu'!D4086</f>
        <v>0</v>
      </c>
      <c r="AB4085" s="117">
        <f t="shared" si="66"/>
        <v>0</v>
      </c>
      <c r="AC4085" s="117" t="str">
        <f>IF(AB4085=1,COUNTIF($AB$3:AB4085,1),"")</f>
        <v/>
      </c>
      <c r="AD4085" s="117" t="str">
        <f>IFERROR(INDEX($AA$3:$AA$10000,MATCH(ROWS($AC$3:AC4085),$AC$3:$AC$10000,0)),"")</f>
        <v/>
      </c>
    </row>
    <row r="4086" spans="27:30">
      <c r="AA4086" s="117">
        <f>+'Ingredient List - Mother Tinctu'!D4087</f>
        <v>0</v>
      </c>
      <c r="AB4086" s="117">
        <f t="shared" si="66"/>
        <v>0</v>
      </c>
      <c r="AC4086" s="117" t="str">
        <f>IF(AB4086=1,COUNTIF($AB$3:AB4086,1),"")</f>
        <v/>
      </c>
      <c r="AD4086" s="117" t="str">
        <f>IFERROR(INDEX($AA$3:$AA$10000,MATCH(ROWS($AC$3:AC4086),$AC$3:$AC$10000,0)),"")</f>
        <v/>
      </c>
    </row>
    <row r="4087" spans="27:30">
      <c r="AA4087" s="117">
        <f>+'Ingredient List - Mother Tinctu'!D4088</f>
        <v>0</v>
      </c>
      <c r="AB4087" s="117">
        <f t="shared" si="66"/>
        <v>0</v>
      </c>
      <c r="AC4087" s="117" t="str">
        <f>IF(AB4087=1,COUNTIF($AB$3:AB4087,1),"")</f>
        <v/>
      </c>
      <c r="AD4087" s="117" t="str">
        <f>IFERROR(INDEX($AA$3:$AA$10000,MATCH(ROWS($AC$3:AC4087),$AC$3:$AC$10000,0)),"")</f>
        <v/>
      </c>
    </row>
    <row r="4088" spans="27:30">
      <c r="AA4088" s="117">
        <f>+'Ingredient List - Mother Tinctu'!D4089</f>
        <v>0</v>
      </c>
      <c r="AB4088" s="117">
        <f t="shared" si="66"/>
        <v>0</v>
      </c>
      <c r="AC4088" s="117" t="str">
        <f>IF(AB4088=1,COUNTIF($AB$3:AB4088,1),"")</f>
        <v/>
      </c>
      <c r="AD4088" s="117" t="str">
        <f>IFERROR(INDEX($AA$3:$AA$10000,MATCH(ROWS($AC$3:AC4088),$AC$3:$AC$10000,0)),"")</f>
        <v/>
      </c>
    </row>
    <row r="4089" spans="27:30">
      <c r="AA4089" s="117">
        <f>+'Ingredient List - Mother Tinctu'!D4090</f>
        <v>0</v>
      </c>
      <c r="AB4089" s="117">
        <f t="shared" si="66"/>
        <v>0</v>
      </c>
      <c r="AC4089" s="117" t="str">
        <f>IF(AB4089=1,COUNTIF($AB$3:AB4089,1),"")</f>
        <v/>
      </c>
      <c r="AD4089" s="117" t="str">
        <f>IFERROR(INDEX($AA$3:$AA$10000,MATCH(ROWS($AC$3:AC4089),$AC$3:$AC$10000,0)),"")</f>
        <v/>
      </c>
    </row>
    <row r="4090" spans="27:30">
      <c r="AA4090" s="117">
        <f>+'Ingredient List - Mother Tinctu'!D4091</f>
        <v>0</v>
      </c>
      <c r="AB4090" s="117">
        <f t="shared" si="66"/>
        <v>0</v>
      </c>
      <c r="AC4090" s="117" t="str">
        <f>IF(AB4090=1,COUNTIF($AB$3:AB4090,1),"")</f>
        <v/>
      </c>
      <c r="AD4090" s="117" t="str">
        <f>IFERROR(INDEX($AA$3:$AA$10000,MATCH(ROWS($AC$3:AC4090),$AC$3:$AC$10000,0)),"")</f>
        <v/>
      </c>
    </row>
    <row r="4091" spans="27:30">
      <c r="AA4091" s="117">
        <f>+'Ingredient List - Mother Tinctu'!D4092</f>
        <v>0</v>
      </c>
      <c r="AB4091" s="117">
        <f t="shared" si="66"/>
        <v>0</v>
      </c>
      <c r="AC4091" s="117" t="str">
        <f>IF(AB4091=1,COUNTIF($AB$3:AB4091,1),"")</f>
        <v/>
      </c>
      <c r="AD4091" s="117" t="str">
        <f>IFERROR(INDEX($AA$3:$AA$10000,MATCH(ROWS($AC$3:AC4091),$AC$3:$AC$10000,0)),"")</f>
        <v/>
      </c>
    </row>
    <row r="4092" spans="27:30">
      <c r="AA4092" s="117">
        <f>+'Ingredient List - Mother Tinctu'!D4093</f>
        <v>0</v>
      </c>
      <c r="AB4092" s="117">
        <f t="shared" si="66"/>
        <v>0</v>
      </c>
      <c r="AC4092" s="117" t="str">
        <f>IF(AB4092=1,COUNTIF($AB$3:AB4092,1),"")</f>
        <v/>
      </c>
      <c r="AD4092" s="117" t="str">
        <f>IFERROR(INDEX($AA$3:$AA$10000,MATCH(ROWS($AC$3:AC4092),$AC$3:$AC$10000,0)),"")</f>
        <v/>
      </c>
    </row>
    <row r="4093" spans="27:30">
      <c r="AA4093" s="117">
        <f>+'Ingredient List - Mother Tinctu'!D4094</f>
        <v>0</v>
      </c>
      <c r="AB4093" s="117">
        <f t="shared" si="66"/>
        <v>0</v>
      </c>
      <c r="AC4093" s="117" t="str">
        <f>IF(AB4093=1,COUNTIF($AB$3:AB4093,1),"")</f>
        <v/>
      </c>
      <c r="AD4093" s="117" t="str">
        <f>IFERROR(INDEX($AA$3:$AA$10000,MATCH(ROWS($AC$3:AC4093),$AC$3:$AC$10000,0)),"")</f>
        <v/>
      </c>
    </row>
    <row r="4094" spans="27:30">
      <c r="AA4094" s="117">
        <f>+'Ingredient List - Mother Tinctu'!D4095</f>
        <v>0</v>
      </c>
      <c r="AB4094" s="117">
        <f t="shared" si="66"/>
        <v>0</v>
      </c>
      <c r="AC4094" s="117" t="str">
        <f>IF(AB4094=1,COUNTIF($AB$3:AB4094,1),"")</f>
        <v/>
      </c>
      <c r="AD4094" s="117" t="str">
        <f>IFERROR(INDEX($AA$3:$AA$10000,MATCH(ROWS($AC$3:AC4094),$AC$3:$AC$10000,0)),"")</f>
        <v/>
      </c>
    </row>
    <row r="4095" spans="27:30">
      <c r="AA4095" s="117">
        <f>+'Ingredient List - Mother Tinctu'!D4096</f>
        <v>0</v>
      </c>
      <c r="AB4095" s="117">
        <f t="shared" si="66"/>
        <v>0</v>
      </c>
      <c r="AC4095" s="117" t="str">
        <f>IF(AB4095=1,COUNTIF($AB$3:AB4095,1),"")</f>
        <v/>
      </c>
      <c r="AD4095" s="117" t="str">
        <f>IFERROR(INDEX($AA$3:$AA$10000,MATCH(ROWS($AC$3:AC4095),$AC$3:$AC$10000,0)),"")</f>
        <v/>
      </c>
    </row>
    <row r="4096" spans="27:30">
      <c r="AA4096" s="117">
        <f>+'Ingredient List - Mother Tinctu'!D4097</f>
        <v>0</v>
      </c>
      <c r="AB4096" s="117">
        <f t="shared" si="66"/>
        <v>0</v>
      </c>
      <c r="AC4096" s="117" t="str">
        <f>IF(AB4096=1,COUNTIF($AB$3:AB4096,1),"")</f>
        <v/>
      </c>
      <c r="AD4096" s="117" t="str">
        <f>IFERROR(INDEX($AA$3:$AA$10000,MATCH(ROWS($AC$3:AC4096),$AC$3:$AC$10000,0)),"")</f>
        <v/>
      </c>
    </row>
    <row r="4097" spans="27:30">
      <c r="AA4097" s="117">
        <f>+'Ingredient List - Mother Tinctu'!D4098</f>
        <v>0</v>
      </c>
      <c r="AB4097" s="117">
        <f t="shared" si="66"/>
        <v>0</v>
      </c>
      <c r="AC4097" s="117" t="str">
        <f>IF(AB4097=1,COUNTIF($AB$3:AB4097,1),"")</f>
        <v/>
      </c>
      <c r="AD4097" s="117" t="str">
        <f>IFERROR(INDEX($AA$3:$AA$10000,MATCH(ROWS($AC$3:AC4097),$AC$3:$AC$10000,0)),"")</f>
        <v/>
      </c>
    </row>
    <row r="4098" spans="27:30">
      <c r="AA4098" s="117">
        <f>+'Ingredient List - Mother Tinctu'!D4099</f>
        <v>0</v>
      </c>
      <c r="AB4098" s="117">
        <f t="shared" si="66"/>
        <v>0</v>
      </c>
      <c r="AC4098" s="117" t="str">
        <f>IF(AB4098=1,COUNTIF($AB$3:AB4098,1),"")</f>
        <v/>
      </c>
      <c r="AD4098" s="117" t="str">
        <f>IFERROR(INDEX($AA$3:$AA$10000,MATCH(ROWS($AC$3:AC4098),$AC$3:$AC$10000,0)),"")</f>
        <v/>
      </c>
    </row>
    <row r="4099" spans="27:30">
      <c r="AA4099" s="117">
        <f>+'Ingredient List - Mother Tinctu'!D4100</f>
        <v>0</v>
      </c>
      <c r="AB4099" s="117">
        <f t="shared" si="66"/>
        <v>0</v>
      </c>
      <c r="AC4099" s="117" t="str">
        <f>IF(AB4099=1,COUNTIF($AB$3:AB4099,1),"")</f>
        <v/>
      </c>
      <c r="AD4099" s="117" t="str">
        <f>IFERROR(INDEX($AA$3:$AA$10000,MATCH(ROWS($AC$3:AC4099),$AC$3:$AC$10000,0)),"")</f>
        <v/>
      </c>
    </row>
    <row r="4100" spans="27:30">
      <c r="AA4100" s="117">
        <f>+'Ingredient List - Mother Tinctu'!D4101</f>
        <v>0</v>
      </c>
      <c r="AB4100" s="117">
        <f t="shared" ref="AB4100:AB4163" si="67">--ISNUMBER(IFERROR(SEARCH($D$3,AA4100,1),""))</f>
        <v>0</v>
      </c>
      <c r="AC4100" s="117" t="str">
        <f>IF(AB4100=1,COUNTIF($AB$3:AB4100,1),"")</f>
        <v/>
      </c>
      <c r="AD4100" s="117" t="str">
        <f>IFERROR(INDEX($AA$3:$AA$10000,MATCH(ROWS($AC$3:AC4100),$AC$3:$AC$10000,0)),"")</f>
        <v/>
      </c>
    </row>
    <row r="4101" spans="27:30">
      <c r="AA4101" s="117">
        <f>+'Ingredient List - Mother Tinctu'!D4102</f>
        <v>0</v>
      </c>
      <c r="AB4101" s="117">
        <f t="shared" si="67"/>
        <v>0</v>
      </c>
      <c r="AC4101" s="117" t="str">
        <f>IF(AB4101=1,COUNTIF($AB$3:AB4101,1),"")</f>
        <v/>
      </c>
      <c r="AD4101" s="117" t="str">
        <f>IFERROR(INDEX($AA$3:$AA$10000,MATCH(ROWS($AC$3:AC4101),$AC$3:$AC$10000,0)),"")</f>
        <v/>
      </c>
    </row>
    <row r="4102" spans="27:30">
      <c r="AA4102" s="117">
        <f>+'Ingredient List - Mother Tinctu'!D4103</f>
        <v>0</v>
      </c>
      <c r="AB4102" s="117">
        <f t="shared" si="67"/>
        <v>0</v>
      </c>
      <c r="AC4102" s="117" t="str">
        <f>IF(AB4102=1,COUNTIF($AB$3:AB4102,1),"")</f>
        <v/>
      </c>
      <c r="AD4102" s="117" t="str">
        <f>IFERROR(INDEX($AA$3:$AA$10000,MATCH(ROWS($AC$3:AC4102),$AC$3:$AC$10000,0)),"")</f>
        <v/>
      </c>
    </row>
    <row r="4103" spans="27:30">
      <c r="AA4103" s="117">
        <f>+'Ingredient List - Mother Tinctu'!D4104</f>
        <v>0</v>
      </c>
      <c r="AB4103" s="117">
        <f t="shared" si="67"/>
        <v>0</v>
      </c>
      <c r="AC4103" s="117" t="str">
        <f>IF(AB4103=1,COUNTIF($AB$3:AB4103,1),"")</f>
        <v/>
      </c>
      <c r="AD4103" s="117" t="str">
        <f>IFERROR(INDEX($AA$3:$AA$10000,MATCH(ROWS($AC$3:AC4103),$AC$3:$AC$10000,0)),"")</f>
        <v/>
      </c>
    </row>
    <row r="4104" spans="27:30">
      <c r="AA4104" s="117">
        <f>+'Ingredient List - Mother Tinctu'!D4105</f>
        <v>0</v>
      </c>
      <c r="AB4104" s="117">
        <f t="shared" si="67"/>
        <v>0</v>
      </c>
      <c r="AC4104" s="117" t="str">
        <f>IF(AB4104=1,COUNTIF($AB$3:AB4104,1),"")</f>
        <v/>
      </c>
      <c r="AD4104" s="117" t="str">
        <f>IFERROR(INDEX($AA$3:$AA$10000,MATCH(ROWS($AC$3:AC4104),$AC$3:$AC$10000,0)),"")</f>
        <v/>
      </c>
    </row>
    <row r="4105" spans="27:30">
      <c r="AA4105" s="117">
        <f>+'Ingredient List - Mother Tinctu'!D4106</f>
        <v>0</v>
      </c>
      <c r="AB4105" s="117">
        <f t="shared" si="67"/>
        <v>0</v>
      </c>
      <c r="AC4105" s="117" t="str">
        <f>IF(AB4105=1,COUNTIF($AB$3:AB4105,1),"")</f>
        <v/>
      </c>
      <c r="AD4105" s="117" t="str">
        <f>IFERROR(INDEX($AA$3:$AA$10000,MATCH(ROWS($AC$3:AC4105),$AC$3:$AC$10000,0)),"")</f>
        <v/>
      </c>
    </row>
    <row r="4106" spans="27:30">
      <c r="AA4106" s="117">
        <f>+'Ingredient List - Mother Tinctu'!D4107</f>
        <v>0</v>
      </c>
      <c r="AB4106" s="117">
        <f t="shared" si="67"/>
        <v>0</v>
      </c>
      <c r="AC4106" s="117" t="str">
        <f>IF(AB4106=1,COUNTIF($AB$3:AB4106,1),"")</f>
        <v/>
      </c>
      <c r="AD4106" s="117" t="str">
        <f>IFERROR(INDEX($AA$3:$AA$10000,MATCH(ROWS($AC$3:AC4106),$AC$3:$AC$10000,0)),"")</f>
        <v/>
      </c>
    </row>
    <row r="4107" spans="27:30">
      <c r="AA4107" s="117">
        <f>+'Ingredient List - Mother Tinctu'!D4108</f>
        <v>0</v>
      </c>
      <c r="AB4107" s="117">
        <f t="shared" si="67"/>
        <v>0</v>
      </c>
      <c r="AC4107" s="117" t="str">
        <f>IF(AB4107=1,COUNTIF($AB$3:AB4107,1),"")</f>
        <v/>
      </c>
      <c r="AD4107" s="117" t="str">
        <f>IFERROR(INDEX($AA$3:$AA$10000,MATCH(ROWS($AC$3:AC4107),$AC$3:$AC$10000,0)),"")</f>
        <v/>
      </c>
    </row>
    <row r="4108" spans="27:30">
      <c r="AA4108" s="117">
        <f>+'Ingredient List - Mother Tinctu'!D4109</f>
        <v>0</v>
      </c>
      <c r="AB4108" s="117">
        <f t="shared" si="67"/>
        <v>0</v>
      </c>
      <c r="AC4108" s="117" t="str">
        <f>IF(AB4108=1,COUNTIF($AB$3:AB4108,1),"")</f>
        <v/>
      </c>
      <c r="AD4108" s="117" t="str">
        <f>IFERROR(INDEX($AA$3:$AA$10000,MATCH(ROWS($AC$3:AC4108),$AC$3:$AC$10000,0)),"")</f>
        <v/>
      </c>
    </row>
    <row r="4109" spans="27:30">
      <c r="AA4109" s="117">
        <f>+'Ingredient List - Mother Tinctu'!D4110</f>
        <v>0</v>
      </c>
      <c r="AB4109" s="117">
        <f t="shared" si="67"/>
        <v>0</v>
      </c>
      <c r="AC4109" s="117" t="str">
        <f>IF(AB4109=1,COUNTIF($AB$3:AB4109,1),"")</f>
        <v/>
      </c>
      <c r="AD4109" s="117" t="str">
        <f>IFERROR(INDEX($AA$3:$AA$10000,MATCH(ROWS($AC$3:AC4109),$AC$3:$AC$10000,0)),"")</f>
        <v/>
      </c>
    </row>
    <row r="4110" spans="27:30">
      <c r="AA4110" s="117">
        <f>+'Ingredient List - Mother Tinctu'!D4111</f>
        <v>0</v>
      </c>
      <c r="AB4110" s="117">
        <f t="shared" si="67"/>
        <v>0</v>
      </c>
      <c r="AC4110" s="117" t="str">
        <f>IF(AB4110=1,COUNTIF($AB$3:AB4110,1),"")</f>
        <v/>
      </c>
      <c r="AD4110" s="117" t="str">
        <f>IFERROR(INDEX($AA$3:$AA$10000,MATCH(ROWS($AC$3:AC4110),$AC$3:$AC$10000,0)),"")</f>
        <v/>
      </c>
    </row>
    <row r="4111" spans="27:30">
      <c r="AA4111" s="117">
        <f>+'Ingredient List - Mother Tinctu'!D4112</f>
        <v>0</v>
      </c>
      <c r="AB4111" s="117">
        <f t="shared" si="67"/>
        <v>0</v>
      </c>
      <c r="AC4111" s="117" t="str">
        <f>IF(AB4111=1,COUNTIF($AB$3:AB4111,1),"")</f>
        <v/>
      </c>
      <c r="AD4111" s="117" t="str">
        <f>IFERROR(INDEX($AA$3:$AA$10000,MATCH(ROWS($AC$3:AC4111),$AC$3:$AC$10000,0)),"")</f>
        <v/>
      </c>
    </row>
    <row r="4112" spans="27:30">
      <c r="AA4112" s="117">
        <f>+'Ingredient List - Mother Tinctu'!D4113</f>
        <v>0</v>
      </c>
      <c r="AB4112" s="117">
        <f t="shared" si="67"/>
        <v>0</v>
      </c>
      <c r="AC4112" s="117" t="str">
        <f>IF(AB4112=1,COUNTIF($AB$3:AB4112,1),"")</f>
        <v/>
      </c>
      <c r="AD4112" s="117" t="str">
        <f>IFERROR(INDEX($AA$3:$AA$10000,MATCH(ROWS($AC$3:AC4112),$AC$3:$AC$10000,0)),"")</f>
        <v/>
      </c>
    </row>
    <row r="4113" spans="27:30">
      <c r="AA4113" s="117">
        <f>+'Ingredient List - Mother Tinctu'!D4114</f>
        <v>0</v>
      </c>
      <c r="AB4113" s="117">
        <f t="shared" si="67"/>
        <v>0</v>
      </c>
      <c r="AC4113" s="117" t="str">
        <f>IF(AB4113=1,COUNTIF($AB$3:AB4113,1),"")</f>
        <v/>
      </c>
      <c r="AD4113" s="117" t="str">
        <f>IFERROR(INDEX($AA$3:$AA$10000,MATCH(ROWS($AC$3:AC4113),$AC$3:$AC$10000,0)),"")</f>
        <v/>
      </c>
    </row>
    <row r="4114" spans="27:30">
      <c r="AA4114" s="117">
        <f>+'Ingredient List - Mother Tinctu'!D4115</f>
        <v>0</v>
      </c>
      <c r="AB4114" s="117">
        <f t="shared" si="67"/>
        <v>0</v>
      </c>
      <c r="AC4114" s="117" t="str">
        <f>IF(AB4114=1,COUNTIF($AB$3:AB4114,1),"")</f>
        <v/>
      </c>
      <c r="AD4114" s="117" t="str">
        <f>IFERROR(INDEX($AA$3:$AA$10000,MATCH(ROWS($AC$3:AC4114),$AC$3:$AC$10000,0)),"")</f>
        <v/>
      </c>
    </row>
    <row r="4115" spans="27:30">
      <c r="AA4115" s="117">
        <f>+'Ingredient List - Mother Tinctu'!D4116</f>
        <v>0</v>
      </c>
      <c r="AB4115" s="117">
        <f t="shared" si="67"/>
        <v>0</v>
      </c>
      <c r="AC4115" s="117" t="str">
        <f>IF(AB4115=1,COUNTIF($AB$3:AB4115,1),"")</f>
        <v/>
      </c>
      <c r="AD4115" s="117" t="str">
        <f>IFERROR(INDEX($AA$3:$AA$10000,MATCH(ROWS($AC$3:AC4115),$AC$3:$AC$10000,0)),"")</f>
        <v/>
      </c>
    </row>
    <row r="4116" spans="27:30">
      <c r="AA4116" s="117">
        <f>+'Ingredient List - Mother Tinctu'!D4117</f>
        <v>0</v>
      </c>
      <c r="AB4116" s="117">
        <f t="shared" si="67"/>
        <v>0</v>
      </c>
      <c r="AC4116" s="117" t="str">
        <f>IF(AB4116=1,COUNTIF($AB$3:AB4116,1),"")</f>
        <v/>
      </c>
      <c r="AD4116" s="117" t="str">
        <f>IFERROR(INDEX($AA$3:$AA$10000,MATCH(ROWS($AC$3:AC4116),$AC$3:$AC$10000,0)),"")</f>
        <v/>
      </c>
    </row>
    <row r="4117" spans="27:30">
      <c r="AA4117" s="117">
        <f>+'Ingredient List - Mother Tinctu'!D4118</f>
        <v>0</v>
      </c>
      <c r="AB4117" s="117">
        <f t="shared" si="67"/>
        <v>0</v>
      </c>
      <c r="AC4117" s="117" t="str">
        <f>IF(AB4117=1,COUNTIF($AB$3:AB4117,1),"")</f>
        <v/>
      </c>
      <c r="AD4117" s="117" t="str">
        <f>IFERROR(INDEX($AA$3:$AA$10000,MATCH(ROWS($AC$3:AC4117),$AC$3:$AC$10000,0)),"")</f>
        <v/>
      </c>
    </row>
    <row r="4118" spans="27:30">
      <c r="AA4118" s="117">
        <f>+'Ingredient List - Mother Tinctu'!D4119</f>
        <v>0</v>
      </c>
      <c r="AB4118" s="117">
        <f t="shared" si="67"/>
        <v>0</v>
      </c>
      <c r="AC4118" s="117" t="str">
        <f>IF(AB4118=1,COUNTIF($AB$3:AB4118,1),"")</f>
        <v/>
      </c>
      <c r="AD4118" s="117" t="str">
        <f>IFERROR(INDEX($AA$3:$AA$10000,MATCH(ROWS($AC$3:AC4118),$AC$3:$AC$10000,0)),"")</f>
        <v/>
      </c>
    </row>
    <row r="4119" spans="27:30">
      <c r="AA4119" s="117">
        <f>+'Ingredient List - Mother Tinctu'!D4120</f>
        <v>0</v>
      </c>
      <c r="AB4119" s="117">
        <f t="shared" si="67"/>
        <v>0</v>
      </c>
      <c r="AC4119" s="117" t="str">
        <f>IF(AB4119=1,COUNTIF($AB$3:AB4119,1),"")</f>
        <v/>
      </c>
      <c r="AD4119" s="117" t="str">
        <f>IFERROR(INDEX($AA$3:$AA$10000,MATCH(ROWS($AC$3:AC4119),$AC$3:$AC$10000,0)),"")</f>
        <v/>
      </c>
    </row>
    <row r="4120" spans="27:30">
      <c r="AA4120" s="117">
        <f>+'Ingredient List - Mother Tinctu'!D4121</f>
        <v>0</v>
      </c>
      <c r="AB4120" s="117">
        <f t="shared" si="67"/>
        <v>0</v>
      </c>
      <c r="AC4120" s="117" t="str">
        <f>IF(AB4120=1,COUNTIF($AB$3:AB4120,1),"")</f>
        <v/>
      </c>
      <c r="AD4120" s="117" t="str">
        <f>IFERROR(INDEX($AA$3:$AA$10000,MATCH(ROWS($AC$3:AC4120),$AC$3:$AC$10000,0)),"")</f>
        <v/>
      </c>
    </row>
    <row r="4121" spans="27:30">
      <c r="AA4121" s="117">
        <f>+'Ingredient List - Mother Tinctu'!D4122</f>
        <v>0</v>
      </c>
      <c r="AB4121" s="117">
        <f t="shared" si="67"/>
        <v>0</v>
      </c>
      <c r="AC4121" s="117" t="str">
        <f>IF(AB4121=1,COUNTIF($AB$3:AB4121,1),"")</f>
        <v/>
      </c>
      <c r="AD4121" s="117" t="str">
        <f>IFERROR(INDEX($AA$3:$AA$10000,MATCH(ROWS($AC$3:AC4121),$AC$3:$AC$10000,0)),"")</f>
        <v/>
      </c>
    </row>
    <row r="4122" spans="27:30">
      <c r="AA4122" s="117">
        <f>+'Ingredient List - Mother Tinctu'!D4123</f>
        <v>0</v>
      </c>
      <c r="AB4122" s="117">
        <f t="shared" si="67"/>
        <v>0</v>
      </c>
      <c r="AC4122" s="117" t="str">
        <f>IF(AB4122=1,COUNTIF($AB$3:AB4122,1),"")</f>
        <v/>
      </c>
      <c r="AD4122" s="117" t="str">
        <f>IFERROR(INDEX($AA$3:$AA$10000,MATCH(ROWS($AC$3:AC4122),$AC$3:$AC$10000,0)),"")</f>
        <v/>
      </c>
    </row>
    <row r="4123" spans="27:30">
      <c r="AA4123" s="117">
        <f>+'Ingredient List - Mother Tinctu'!D4124</f>
        <v>0</v>
      </c>
      <c r="AB4123" s="117">
        <f t="shared" si="67"/>
        <v>0</v>
      </c>
      <c r="AC4123" s="117" t="str">
        <f>IF(AB4123=1,COUNTIF($AB$3:AB4123,1),"")</f>
        <v/>
      </c>
      <c r="AD4123" s="117" t="str">
        <f>IFERROR(INDEX($AA$3:$AA$10000,MATCH(ROWS($AC$3:AC4123),$AC$3:$AC$10000,0)),"")</f>
        <v/>
      </c>
    </row>
    <row r="4124" spans="27:30">
      <c r="AA4124" s="117">
        <f>+'Ingredient List - Mother Tinctu'!D4125</f>
        <v>0</v>
      </c>
      <c r="AB4124" s="117">
        <f t="shared" si="67"/>
        <v>0</v>
      </c>
      <c r="AC4124" s="117" t="str">
        <f>IF(AB4124=1,COUNTIF($AB$3:AB4124,1),"")</f>
        <v/>
      </c>
      <c r="AD4124" s="117" t="str">
        <f>IFERROR(INDEX($AA$3:$AA$10000,MATCH(ROWS($AC$3:AC4124),$AC$3:$AC$10000,0)),"")</f>
        <v/>
      </c>
    </row>
    <row r="4125" spans="27:30">
      <c r="AA4125" s="117">
        <f>+'Ingredient List - Mother Tinctu'!D4126</f>
        <v>0</v>
      </c>
      <c r="AB4125" s="117">
        <f t="shared" si="67"/>
        <v>0</v>
      </c>
      <c r="AC4125" s="117" t="str">
        <f>IF(AB4125=1,COUNTIF($AB$3:AB4125,1),"")</f>
        <v/>
      </c>
      <c r="AD4125" s="117" t="str">
        <f>IFERROR(INDEX($AA$3:$AA$10000,MATCH(ROWS($AC$3:AC4125),$AC$3:$AC$10000,0)),"")</f>
        <v/>
      </c>
    </row>
    <row r="4126" spans="27:30">
      <c r="AA4126" s="117">
        <f>+'Ingredient List - Mother Tinctu'!D4127</f>
        <v>0</v>
      </c>
      <c r="AB4126" s="117">
        <f t="shared" si="67"/>
        <v>0</v>
      </c>
      <c r="AC4126" s="117" t="str">
        <f>IF(AB4126=1,COUNTIF($AB$3:AB4126,1),"")</f>
        <v/>
      </c>
      <c r="AD4126" s="117" t="str">
        <f>IFERROR(INDEX($AA$3:$AA$10000,MATCH(ROWS($AC$3:AC4126),$AC$3:$AC$10000,0)),"")</f>
        <v/>
      </c>
    </row>
    <row r="4127" spans="27:30">
      <c r="AA4127" s="117">
        <f>+'Ingredient List - Mother Tinctu'!D4128</f>
        <v>0</v>
      </c>
      <c r="AB4127" s="117">
        <f t="shared" si="67"/>
        <v>0</v>
      </c>
      <c r="AC4127" s="117" t="str">
        <f>IF(AB4127=1,COUNTIF($AB$3:AB4127,1),"")</f>
        <v/>
      </c>
      <c r="AD4127" s="117" t="str">
        <f>IFERROR(INDEX($AA$3:$AA$10000,MATCH(ROWS($AC$3:AC4127),$AC$3:$AC$10000,0)),"")</f>
        <v/>
      </c>
    </row>
    <row r="4128" spans="27:30">
      <c r="AA4128" s="117">
        <f>+'Ingredient List - Mother Tinctu'!D4129</f>
        <v>0</v>
      </c>
      <c r="AB4128" s="117">
        <f t="shared" si="67"/>
        <v>0</v>
      </c>
      <c r="AC4128" s="117" t="str">
        <f>IF(AB4128=1,COUNTIF($AB$3:AB4128,1),"")</f>
        <v/>
      </c>
      <c r="AD4128" s="117" t="str">
        <f>IFERROR(INDEX($AA$3:$AA$10000,MATCH(ROWS($AC$3:AC4128),$AC$3:$AC$10000,0)),"")</f>
        <v/>
      </c>
    </row>
    <row r="4129" spans="27:30">
      <c r="AA4129" s="117">
        <f>+'Ingredient List - Mother Tinctu'!D4130</f>
        <v>0</v>
      </c>
      <c r="AB4129" s="117">
        <f t="shared" si="67"/>
        <v>0</v>
      </c>
      <c r="AC4129" s="117" t="str">
        <f>IF(AB4129=1,COUNTIF($AB$3:AB4129,1),"")</f>
        <v/>
      </c>
      <c r="AD4129" s="117" t="str">
        <f>IFERROR(INDEX($AA$3:$AA$10000,MATCH(ROWS($AC$3:AC4129),$AC$3:$AC$10000,0)),"")</f>
        <v/>
      </c>
    </row>
    <row r="4130" spans="27:30">
      <c r="AA4130" s="117">
        <f>+'Ingredient List - Mother Tinctu'!D4131</f>
        <v>0</v>
      </c>
      <c r="AB4130" s="117">
        <f t="shared" si="67"/>
        <v>0</v>
      </c>
      <c r="AC4130" s="117" t="str">
        <f>IF(AB4130=1,COUNTIF($AB$3:AB4130,1),"")</f>
        <v/>
      </c>
      <c r="AD4130" s="117" t="str">
        <f>IFERROR(INDEX($AA$3:$AA$10000,MATCH(ROWS($AC$3:AC4130),$AC$3:$AC$10000,0)),"")</f>
        <v/>
      </c>
    </row>
    <row r="4131" spans="27:30">
      <c r="AA4131" s="117">
        <f>+'Ingredient List - Mother Tinctu'!D4132</f>
        <v>0</v>
      </c>
      <c r="AB4131" s="117">
        <f t="shared" si="67"/>
        <v>0</v>
      </c>
      <c r="AC4131" s="117" t="str">
        <f>IF(AB4131=1,COUNTIF($AB$3:AB4131,1),"")</f>
        <v/>
      </c>
      <c r="AD4131" s="117" t="str">
        <f>IFERROR(INDEX($AA$3:$AA$10000,MATCH(ROWS($AC$3:AC4131),$AC$3:$AC$10000,0)),"")</f>
        <v/>
      </c>
    </row>
    <row r="4132" spans="27:30">
      <c r="AA4132" s="117">
        <f>+'Ingredient List - Mother Tinctu'!D4133</f>
        <v>0</v>
      </c>
      <c r="AB4132" s="117">
        <f t="shared" si="67"/>
        <v>0</v>
      </c>
      <c r="AC4132" s="117" t="str">
        <f>IF(AB4132=1,COUNTIF($AB$3:AB4132,1),"")</f>
        <v/>
      </c>
      <c r="AD4132" s="117" t="str">
        <f>IFERROR(INDEX($AA$3:$AA$10000,MATCH(ROWS($AC$3:AC4132),$AC$3:$AC$10000,0)),"")</f>
        <v/>
      </c>
    </row>
    <row r="4133" spans="27:30">
      <c r="AA4133" s="117">
        <f>+'Ingredient List - Mother Tinctu'!D4134</f>
        <v>0</v>
      </c>
      <c r="AB4133" s="117">
        <f t="shared" si="67"/>
        <v>0</v>
      </c>
      <c r="AC4133" s="117" t="str">
        <f>IF(AB4133=1,COUNTIF($AB$3:AB4133,1),"")</f>
        <v/>
      </c>
      <c r="AD4133" s="117" t="str">
        <f>IFERROR(INDEX($AA$3:$AA$10000,MATCH(ROWS($AC$3:AC4133),$AC$3:$AC$10000,0)),"")</f>
        <v/>
      </c>
    </row>
    <row r="4134" spans="27:30">
      <c r="AA4134" s="117">
        <f>+'Ingredient List - Mother Tinctu'!D4135</f>
        <v>0</v>
      </c>
      <c r="AB4134" s="117">
        <f t="shared" si="67"/>
        <v>0</v>
      </c>
      <c r="AC4134" s="117" t="str">
        <f>IF(AB4134=1,COUNTIF($AB$3:AB4134,1),"")</f>
        <v/>
      </c>
      <c r="AD4134" s="117" t="str">
        <f>IFERROR(INDEX($AA$3:$AA$10000,MATCH(ROWS($AC$3:AC4134),$AC$3:$AC$10000,0)),"")</f>
        <v/>
      </c>
    </row>
    <row r="4135" spans="27:30">
      <c r="AA4135" s="117">
        <f>+'Ingredient List - Mother Tinctu'!D4136</f>
        <v>0</v>
      </c>
      <c r="AB4135" s="117">
        <f t="shared" si="67"/>
        <v>0</v>
      </c>
      <c r="AC4135" s="117" t="str">
        <f>IF(AB4135=1,COUNTIF($AB$3:AB4135,1),"")</f>
        <v/>
      </c>
      <c r="AD4135" s="117" t="str">
        <f>IFERROR(INDEX($AA$3:$AA$10000,MATCH(ROWS($AC$3:AC4135),$AC$3:$AC$10000,0)),"")</f>
        <v/>
      </c>
    </row>
    <row r="4136" spans="27:30">
      <c r="AA4136" s="117">
        <f>+'Ingredient List - Mother Tinctu'!D4137</f>
        <v>0</v>
      </c>
      <c r="AB4136" s="117">
        <f t="shared" si="67"/>
        <v>0</v>
      </c>
      <c r="AC4136" s="117" t="str">
        <f>IF(AB4136=1,COUNTIF($AB$3:AB4136,1),"")</f>
        <v/>
      </c>
      <c r="AD4136" s="117" t="str">
        <f>IFERROR(INDEX($AA$3:$AA$10000,MATCH(ROWS($AC$3:AC4136),$AC$3:$AC$10000,0)),"")</f>
        <v/>
      </c>
    </row>
    <row r="4137" spans="27:30">
      <c r="AA4137" s="117">
        <f>+'Ingredient List - Mother Tinctu'!D4138</f>
        <v>0</v>
      </c>
      <c r="AB4137" s="117">
        <f t="shared" si="67"/>
        <v>0</v>
      </c>
      <c r="AC4137" s="117" t="str">
        <f>IF(AB4137=1,COUNTIF($AB$3:AB4137,1),"")</f>
        <v/>
      </c>
      <c r="AD4137" s="117" t="str">
        <f>IFERROR(INDEX($AA$3:$AA$10000,MATCH(ROWS($AC$3:AC4137),$AC$3:$AC$10000,0)),"")</f>
        <v/>
      </c>
    </row>
    <row r="4138" spans="27:30">
      <c r="AA4138" s="117">
        <f>+'Ingredient List - Mother Tinctu'!D4139</f>
        <v>0</v>
      </c>
      <c r="AB4138" s="117">
        <f t="shared" si="67"/>
        <v>0</v>
      </c>
      <c r="AC4138" s="117" t="str">
        <f>IF(AB4138=1,COUNTIF($AB$3:AB4138,1),"")</f>
        <v/>
      </c>
      <c r="AD4138" s="117" t="str">
        <f>IFERROR(INDEX($AA$3:$AA$10000,MATCH(ROWS($AC$3:AC4138),$AC$3:$AC$10000,0)),"")</f>
        <v/>
      </c>
    </row>
    <row r="4139" spans="27:30">
      <c r="AA4139" s="117">
        <f>+'Ingredient List - Mother Tinctu'!D4140</f>
        <v>0</v>
      </c>
      <c r="AB4139" s="117">
        <f t="shared" si="67"/>
        <v>0</v>
      </c>
      <c r="AC4139" s="117" t="str">
        <f>IF(AB4139=1,COUNTIF($AB$3:AB4139,1),"")</f>
        <v/>
      </c>
      <c r="AD4139" s="117" t="str">
        <f>IFERROR(INDEX($AA$3:$AA$10000,MATCH(ROWS($AC$3:AC4139),$AC$3:$AC$10000,0)),"")</f>
        <v/>
      </c>
    </row>
    <row r="4140" spans="27:30">
      <c r="AA4140" s="117">
        <f>+'Ingredient List - Mother Tinctu'!D4141</f>
        <v>0</v>
      </c>
      <c r="AB4140" s="117">
        <f t="shared" si="67"/>
        <v>0</v>
      </c>
      <c r="AC4140" s="117" t="str">
        <f>IF(AB4140=1,COUNTIF($AB$3:AB4140,1),"")</f>
        <v/>
      </c>
      <c r="AD4140" s="117" t="str">
        <f>IFERROR(INDEX($AA$3:$AA$10000,MATCH(ROWS($AC$3:AC4140),$AC$3:$AC$10000,0)),"")</f>
        <v/>
      </c>
    </row>
    <row r="4141" spans="27:30">
      <c r="AA4141" s="117">
        <f>+'Ingredient List - Mother Tinctu'!D4142</f>
        <v>0</v>
      </c>
      <c r="AB4141" s="117">
        <f t="shared" si="67"/>
        <v>0</v>
      </c>
      <c r="AC4141" s="117" t="str">
        <f>IF(AB4141=1,COUNTIF($AB$3:AB4141,1),"")</f>
        <v/>
      </c>
      <c r="AD4141" s="117" t="str">
        <f>IFERROR(INDEX($AA$3:$AA$10000,MATCH(ROWS($AC$3:AC4141),$AC$3:$AC$10000,0)),"")</f>
        <v/>
      </c>
    </row>
    <row r="4142" spans="27:30">
      <c r="AA4142" s="117">
        <f>+'Ingredient List - Mother Tinctu'!D4143</f>
        <v>0</v>
      </c>
      <c r="AB4142" s="117">
        <f t="shared" si="67"/>
        <v>0</v>
      </c>
      <c r="AC4142" s="117" t="str">
        <f>IF(AB4142=1,COUNTIF($AB$3:AB4142,1),"")</f>
        <v/>
      </c>
      <c r="AD4142" s="117" t="str">
        <f>IFERROR(INDEX($AA$3:$AA$10000,MATCH(ROWS($AC$3:AC4142),$AC$3:$AC$10000,0)),"")</f>
        <v/>
      </c>
    </row>
    <row r="4143" spans="27:30">
      <c r="AA4143" s="117">
        <f>+'Ingredient List - Mother Tinctu'!D4144</f>
        <v>0</v>
      </c>
      <c r="AB4143" s="117">
        <f t="shared" si="67"/>
        <v>0</v>
      </c>
      <c r="AC4143" s="117" t="str">
        <f>IF(AB4143=1,COUNTIF($AB$3:AB4143,1),"")</f>
        <v/>
      </c>
      <c r="AD4143" s="117" t="str">
        <f>IFERROR(INDEX($AA$3:$AA$10000,MATCH(ROWS($AC$3:AC4143),$AC$3:$AC$10000,0)),"")</f>
        <v/>
      </c>
    </row>
    <row r="4144" spans="27:30">
      <c r="AA4144" s="117">
        <f>+'Ingredient List - Mother Tinctu'!D4145</f>
        <v>0</v>
      </c>
      <c r="AB4144" s="117">
        <f t="shared" si="67"/>
        <v>0</v>
      </c>
      <c r="AC4144" s="117" t="str">
        <f>IF(AB4144=1,COUNTIF($AB$3:AB4144,1),"")</f>
        <v/>
      </c>
      <c r="AD4144" s="117" t="str">
        <f>IFERROR(INDEX($AA$3:$AA$10000,MATCH(ROWS($AC$3:AC4144),$AC$3:$AC$10000,0)),"")</f>
        <v/>
      </c>
    </row>
    <row r="4145" spans="27:30">
      <c r="AA4145" s="117">
        <f>+'Ingredient List - Mother Tinctu'!D4146</f>
        <v>0</v>
      </c>
      <c r="AB4145" s="117">
        <f t="shared" si="67"/>
        <v>0</v>
      </c>
      <c r="AC4145" s="117" t="str">
        <f>IF(AB4145=1,COUNTIF($AB$3:AB4145,1),"")</f>
        <v/>
      </c>
      <c r="AD4145" s="117" t="str">
        <f>IFERROR(INDEX($AA$3:$AA$10000,MATCH(ROWS($AC$3:AC4145),$AC$3:$AC$10000,0)),"")</f>
        <v/>
      </c>
    </row>
    <row r="4146" spans="27:30">
      <c r="AA4146" s="117">
        <f>+'Ingredient List - Mother Tinctu'!D4147</f>
        <v>0</v>
      </c>
      <c r="AB4146" s="117">
        <f t="shared" si="67"/>
        <v>0</v>
      </c>
      <c r="AC4146" s="117" t="str">
        <f>IF(AB4146=1,COUNTIF($AB$3:AB4146,1),"")</f>
        <v/>
      </c>
      <c r="AD4146" s="117" t="str">
        <f>IFERROR(INDEX($AA$3:$AA$10000,MATCH(ROWS($AC$3:AC4146),$AC$3:$AC$10000,0)),"")</f>
        <v/>
      </c>
    </row>
    <row r="4147" spans="27:30">
      <c r="AA4147" s="117">
        <f>+'Ingredient List - Mother Tinctu'!D4148</f>
        <v>0</v>
      </c>
      <c r="AB4147" s="117">
        <f t="shared" si="67"/>
        <v>0</v>
      </c>
      <c r="AC4147" s="117" t="str">
        <f>IF(AB4147=1,COUNTIF($AB$3:AB4147,1),"")</f>
        <v/>
      </c>
      <c r="AD4147" s="117" t="str">
        <f>IFERROR(INDEX($AA$3:$AA$10000,MATCH(ROWS($AC$3:AC4147),$AC$3:$AC$10000,0)),"")</f>
        <v/>
      </c>
    </row>
    <row r="4148" spans="27:30">
      <c r="AA4148" s="117">
        <f>+'Ingredient List - Mother Tinctu'!D4149</f>
        <v>0</v>
      </c>
      <c r="AB4148" s="117">
        <f t="shared" si="67"/>
        <v>0</v>
      </c>
      <c r="AC4148" s="117" t="str">
        <f>IF(AB4148=1,COUNTIF($AB$3:AB4148,1),"")</f>
        <v/>
      </c>
      <c r="AD4148" s="117" t="str">
        <f>IFERROR(INDEX($AA$3:$AA$10000,MATCH(ROWS($AC$3:AC4148),$AC$3:$AC$10000,0)),"")</f>
        <v/>
      </c>
    </row>
    <row r="4149" spans="27:30">
      <c r="AA4149" s="117">
        <f>+'Ingredient List - Mother Tinctu'!D4150</f>
        <v>0</v>
      </c>
      <c r="AB4149" s="117">
        <f t="shared" si="67"/>
        <v>0</v>
      </c>
      <c r="AC4149" s="117" t="str">
        <f>IF(AB4149=1,COUNTIF($AB$3:AB4149,1),"")</f>
        <v/>
      </c>
      <c r="AD4149" s="117" t="str">
        <f>IFERROR(INDEX($AA$3:$AA$10000,MATCH(ROWS($AC$3:AC4149),$AC$3:$AC$10000,0)),"")</f>
        <v/>
      </c>
    </row>
    <row r="4150" spans="27:30">
      <c r="AA4150" s="117">
        <f>+'Ingredient List - Mother Tinctu'!D4151</f>
        <v>0</v>
      </c>
      <c r="AB4150" s="117">
        <f t="shared" si="67"/>
        <v>0</v>
      </c>
      <c r="AC4150" s="117" t="str">
        <f>IF(AB4150=1,COUNTIF($AB$3:AB4150,1),"")</f>
        <v/>
      </c>
      <c r="AD4150" s="117" t="str">
        <f>IFERROR(INDEX($AA$3:$AA$10000,MATCH(ROWS($AC$3:AC4150),$AC$3:$AC$10000,0)),"")</f>
        <v/>
      </c>
    </row>
    <row r="4151" spans="27:30">
      <c r="AA4151" s="117">
        <f>+'Ingredient List - Mother Tinctu'!D4152</f>
        <v>0</v>
      </c>
      <c r="AB4151" s="117">
        <f t="shared" si="67"/>
        <v>0</v>
      </c>
      <c r="AC4151" s="117" t="str">
        <f>IF(AB4151=1,COUNTIF($AB$3:AB4151,1),"")</f>
        <v/>
      </c>
      <c r="AD4151" s="117" t="str">
        <f>IFERROR(INDEX($AA$3:$AA$10000,MATCH(ROWS($AC$3:AC4151),$AC$3:$AC$10000,0)),"")</f>
        <v/>
      </c>
    </row>
    <row r="4152" spans="27:30">
      <c r="AA4152" s="117">
        <f>+'Ingredient List - Mother Tinctu'!D4153</f>
        <v>0</v>
      </c>
      <c r="AB4152" s="117">
        <f t="shared" si="67"/>
        <v>0</v>
      </c>
      <c r="AC4152" s="117" t="str">
        <f>IF(AB4152=1,COUNTIF($AB$3:AB4152,1),"")</f>
        <v/>
      </c>
      <c r="AD4152" s="117" t="str">
        <f>IFERROR(INDEX($AA$3:$AA$10000,MATCH(ROWS($AC$3:AC4152),$AC$3:$AC$10000,0)),"")</f>
        <v/>
      </c>
    </row>
    <row r="4153" spans="27:30">
      <c r="AA4153" s="117">
        <f>+'Ingredient List - Mother Tinctu'!D4154</f>
        <v>0</v>
      </c>
      <c r="AB4153" s="117">
        <f t="shared" si="67"/>
        <v>0</v>
      </c>
      <c r="AC4153" s="117" t="str">
        <f>IF(AB4153=1,COUNTIF($AB$3:AB4153,1),"")</f>
        <v/>
      </c>
      <c r="AD4153" s="117" t="str">
        <f>IFERROR(INDEX($AA$3:$AA$10000,MATCH(ROWS($AC$3:AC4153),$AC$3:$AC$10000,0)),"")</f>
        <v/>
      </c>
    </row>
    <row r="4154" spans="27:30">
      <c r="AA4154" s="117">
        <f>+'Ingredient List - Mother Tinctu'!D4155</f>
        <v>0</v>
      </c>
      <c r="AB4154" s="117">
        <f t="shared" si="67"/>
        <v>0</v>
      </c>
      <c r="AC4154" s="117" t="str">
        <f>IF(AB4154=1,COUNTIF($AB$3:AB4154,1),"")</f>
        <v/>
      </c>
      <c r="AD4154" s="117" t="str">
        <f>IFERROR(INDEX($AA$3:$AA$10000,MATCH(ROWS($AC$3:AC4154),$AC$3:$AC$10000,0)),"")</f>
        <v/>
      </c>
    </row>
    <row r="4155" spans="27:30">
      <c r="AA4155" s="117">
        <f>+'Ingredient List - Mother Tinctu'!D4156</f>
        <v>0</v>
      </c>
      <c r="AB4155" s="117">
        <f t="shared" si="67"/>
        <v>0</v>
      </c>
      <c r="AC4155" s="117" t="str">
        <f>IF(AB4155=1,COUNTIF($AB$3:AB4155,1),"")</f>
        <v/>
      </c>
      <c r="AD4155" s="117" t="str">
        <f>IFERROR(INDEX($AA$3:$AA$10000,MATCH(ROWS($AC$3:AC4155),$AC$3:$AC$10000,0)),"")</f>
        <v/>
      </c>
    </row>
    <row r="4156" spans="27:30">
      <c r="AA4156" s="117">
        <f>+'Ingredient List - Mother Tinctu'!D4157</f>
        <v>0</v>
      </c>
      <c r="AB4156" s="117">
        <f t="shared" si="67"/>
        <v>0</v>
      </c>
      <c r="AC4156" s="117" t="str">
        <f>IF(AB4156=1,COUNTIF($AB$3:AB4156,1),"")</f>
        <v/>
      </c>
      <c r="AD4156" s="117" t="str">
        <f>IFERROR(INDEX($AA$3:$AA$10000,MATCH(ROWS($AC$3:AC4156),$AC$3:$AC$10000,0)),"")</f>
        <v/>
      </c>
    </row>
    <row r="4157" spans="27:30">
      <c r="AA4157" s="117">
        <f>+'Ingredient List - Mother Tinctu'!D4158</f>
        <v>0</v>
      </c>
      <c r="AB4157" s="117">
        <f t="shared" si="67"/>
        <v>0</v>
      </c>
      <c r="AC4157" s="117" t="str">
        <f>IF(AB4157=1,COUNTIF($AB$3:AB4157,1),"")</f>
        <v/>
      </c>
      <c r="AD4157" s="117" t="str">
        <f>IFERROR(INDEX($AA$3:$AA$10000,MATCH(ROWS($AC$3:AC4157),$AC$3:$AC$10000,0)),"")</f>
        <v/>
      </c>
    </row>
    <row r="4158" spans="27:30">
      <c r="AA4158" s="117">
        <f>+'Ingredient List - Mother Tinctu'!D4159</f>
        <v>0</v>
      </c>
      <c r="AB4158" s="117">
        <f t="shared" si="67"/>
        <v>0</v>
      </c>
      <c r="AC4158" s="117" t="str">
        <f>IF(AB4158=1,COUNTIF($AB$3:AB4158,1),"")</f>
        <v/>
      </c>
      <c r="AD4158" s="117" t="str">
        <f>IFERROR(INDEX($AA$3:$AA$10000,MATCH(ROWS($AC$3:AC4158),$AC$3:$AC$10000,0)),"")</f>
        <v/>
      </c>
    </row>
    <row r="4159" spans="27:30">
      <c r="AA4159" s="117">
        <f>+'Ingredient List - Mother Tinctu'!D4160</f>
        <v>0</v>
      </c>
      <c r="AB4159" s="117">
        <f t="shared" si="67"/>
        <v>0</v>
      </c>
      <c r="AC4159" s="117" t="str">
        <f>IF(AB4159=1,COUNTIF($AB$3:AB4159,1),"")</f>
        <v/>
      </c>
      <c r="AD4159" s="117" t="str">
        <f>IFERROR(INDEX($AA$3:$AA$10000,MATCH(ROWS($AC$3:AC4159),$AC$3:$AC$10000,0)),"")</f>
        <v/>
      </c>
    </row>
    <row r="4160" spans="27:30">
      <c r="AA4160" s="117">
        <f>+'Ingredient List - Mother Tinctu'!D4161</f>
        <v>0</v>
      </c>
      <c r="AB4160" s="117">
        <f t="shared" si="67"/>
        <v>0</v>
      </c>
      <c r="AC4160" s="117" t="str">
        <f>IF(AB4160=1,COUNTIF($AB$3:AB4160,1),"")</f>
        <v/>
      </c>
      <c r="AD4160" s="117" t="str">
        <f>IFERROR(INDEX($AA$3:$AA$10000,MATCH(ROWS($AC$3:AC4160),$AC$3:$AC$10000,0)),"")</f>
        <v/>
      </c>
    </row>
    <row r="4161" spans="27:30">
      <c r="AA4161" s="117">
        <f>+'Ingredient List - Mother Tinctu'!D4162</f>
        <v>0</v>
      </c>
      <c r="AB4161" s="117">
        <f t="shared" si="67"/>
        <v>0</v>
      </c>
      <c r="AC4161" s="117" t="str">
        <f>IF(AB4161=1,COUNTIF($AB$3:AB4161,1),"")</f>
        <v/>
      </c>
      <c r="AD4161" s="117" t="str">
        <f>IFERROR(INDEX($AA$3:$AA$10000,MATCH(ROWS($AC$3:AC4161),$AC$3:$AC$10000,0)),"")</f>
        <v/>
      </c>
    </row>
    <row r="4162" spans="27:30">
      <c r="AA4162" s="117">
        <f>+'Ingredient List - Mother Tinctu'!D4163</f>
        <v>0</v>
      </c>
      <c r="AB4162" s="117">
        <f t="shared" si="67"/>
        <v>0</v>
      </c>
      <c r="AC4162" s="117" t="str">
        <f>IF(AB4162=1,COUNTIF($AB$3:AB4162,1),"")</f>
        <v/>
      </c>
      <c r="AD4162" s="117" t="str">
        <f>IFERROR(INDEX($AA$3:$AA$10000,MATCH(ROWS($AC$3:AC4162),$AC$3:$AC$10000,0)),"")</f>
        <v/>
      </c>
    </row>
    <row r="4163" spans="27:30">
      <c r="AA4163" s="117">
        <f>+'Ingredient List - Mother Tinctu'!D4164</f>
        <v>0</v>
      </c>
      <c r="AB4163" s="117">
        <f t="shared" si="67"/>
        <v>0</v>
      </c>
      <c r="AC4163" s="117" t="str">
        <f>IF(AB4163=1,COUNTIF($AB$3:AB4163,1),"")</f>
        <v/>
      </c>
      <c r="AD4163" s="117" t="str">
        <f>IFERROR(INDEX($AA$3:$AA$10000,MATCH(ROWS($AC$3:AC4163),$AC$3:$AC$10000,0)),"")</f>
        <v/>
      </c>
    </row>
    <row r="4164" spans="27:30">
      <c r="AA4164" s="117">
        <f>+'Ingredient List - Mother Tinctu'!D4165</f>
        <v>0</v>
      </c>
      <c r="AB4164" s="117">
        <f t="shared" ref="AB4164:AB4227" si="68">--ISNUMBER(IFERROR(SEARCH($D$3,AA4164,1),""))</f>
        <v>0</v>
      </c>
      <c r="AC4164" s="117" t="str">
        <f>IF(AB4164=1,COUNTIF($AB$3:AB4164,1),"")</f>
        <v/>
      </c>
      <c r="AD4164" s="117" t="str">
        <f>IFERROR(INDEX($AA$3:$AA$10000,MATCH(ROWS($AC$3:AC4164),$AC$3:$AC$10000,0)),"")</f>
        <v/>
      </c>
    </row>
    <row r="4165" spans="27:30">
      <c r="AA4165" s="117">
        <f>+'Ingredient List - Mother Tinctu'!D4166</f>
        <v>0</v>
      </c>
      <c r="AB4165" s="117">
        <f t="shared" si="68"/>
        <v>0</v>
      </c>
      <c r="AC4165" s="117" t="str">
        <f>IF(AB4165=1,COUNTIF($AB$3:AB4165,1),"")</f>
        <v/>
      </c>
      <c r="AD4165" s="117" t="str">
        <f>IFERROR(INDEX($AA$3:$AA$10000,MATCH(ROWS($AC$3:AC4165),$AC$3:$AC$10000,0)),"")</f>
        <v/>
      </c>
    </row>
    <row r="4166" spans="27:30">
      <c r="AA4166" s="117">
        <f>+'Ingredient List - Mother Tinctu'!D4167</f>
        <v>0</v>
      </c>
      <c r="AB4166" s="117">
        <f t="shared" si="68"/>
        <v>0</v>
      </c>
      <c r="AC4166" s="117" t="str">
        <f>IF(AB4166=1,COUNTIF($AB$3:AB4166,1),"")</f>
        <v/>
      </c>
      <c r="AD4166" s="117" t="str">
        <f>IFERROR(INDEX($AA$3:$AA$10000,MATCH(ROWS($AC$3:AC4166),$AC$3:$AC$10000,0)),"")</f>
        <v/>
      </c>
    </row>
    <row r="4167" spans="27:30">
      <c r="AA4167" s="117">
        <f>+'Ingredient List - Mother Tinctu'!D4168</f>
        <v>0</v>
      </c>
      <c r="AB4167" s="117">
        <f t="shared" si="68"/>
        <v>0</v>
      </c>
      <c r="AC4167" s="117" t="str">
        <f>IF(AB4167=1,COUNTIF($AB$3:AB4167,1),"")</f>
        <v/>
      </c>
      <c r="AD4167" s="117" t="str">
        <f>IFERROR(INDEX($AA$3:$AA$10000,MATCH(ROWS($AC$3:AC4167),$AC$3:$AC$10000,0)),"")</f>
        <v/>
      </c>
    </row>
    <row r="4168" spans="27:30">
      <c r="AA4168" s="117">
        <f>+'Ingredient List - Mother Tinctu'!D4169</f>
        <v>0</v>
      </c>
      <c r="AB4168" s="117">
        <f t="shared" si="68"/>
        <v>0</v>
      </c>
      <c r="AC4168" s="117" t="str">
        <f>IF(AB4168=1,COUNTIF($AB$3:AB4168,1),"")</f>
        <v/>
      </c>
      <c r="AD4168" s="117" t="str">
        <f>IFERROR(INDEX($AA$3:$AA$10000,MATCH(ROWS($AC$3:AC4168),$AC$3:$AC$10000,0)),"")</f>
        <v/>
      </c>
    </row>
    <row r="4169" spans="27:30">
      <c r="AA4169" s="117">
        <f>+'Ingredient List - Mother Tinctu'!D4170</f>
        <v>0</v>
      </c>
      <c r="AB4169" s="117">
        <f t="shared" si="68"/>
        <v>0</v>
      </c>
      <c r="AC4169" s="117" t="str">
        <f>IF(AB4169=1,COUNTIF($AB$3:AB4169,1),"")</f>
        <v/>
      </c>
      <c r="AD4169" s="117" t="str">
        <f>IFERROR(INDEX($AA$3:$AA$10000,MATCH(ROWS($AC$3:AC4169),$AC$3:$AC$10000,0)),"")</f>
        <v/>
      </c>
    </row>
    <row r="4170" spans="27:30">
      <c r="AA4170" s="117">
        <f>+'Ingredient List - Mother Tinctu'!D4171</f>
        <v>0</v>
      </c>
      <c r="AB4170" s="117">
        <f t="shared" si="68"/>
        <v>0</v>
      </c>
      <c r="AC4170" s="117" t="str">
        <f>IF(AB4170=1,COUNTIF($AB$3:AB4170,1),"")</f>
        <v/>
      </c>
      <c r="AD4170" s="117" t="str">
        <f>IFERROR(INDEX($AA$3:$AA$10000,MATCH(ROWS($AC$3:AC4170),$AC$3:$AC$10000,0)),"")</f>
        <v/>
      </c>
    </row>
    <row r="4171" spans="27:30">
      <c r="AA4171" s="117">
        <f>+'Ingredient List - Mother Tinctu'!D4172</f>
        <v>0</v>
      </c>
      <c r="AB4171" s="117">
        <f t="shared" si="68"/>
        <v>0</v>
      </c>
      <c r="AC4171" s="117" t="str">
        <f>IF(AB4171=1,COUNTIF($AB$3:AB4171,1),"")</f>
        <v/>
      </c>
      <c r="AD4171" s="117" t="str">
        <f>IFERROR(INDEX($AA$3:$AA$10000,MATCH(ROWS($AC$3:AC4171),$AC$3:$AC$10000,0)),"")</f>
        <v/>
      </c>
    </row>
    <row r="4172" spans="27:30">
      <c r="AA4172" s="117">
        <f>+'Ingredient List - Mother Tinctu'!D4173</f>
        <v>0</v>
      </c>
      <c r="AB4172" s="117">
        <f t="shared" si="68"/>
        <v>0</v>
      </c>
      <c r="AC4172" s="117" t="str">
        <f>IF(AB4172=1,COUNTIF($AB$3:AB4172,1),"")</f>
        <v/>
      </c>
      <c r="AD4172" s="117" t="str">
        <f>IFERROR(INDEX($AA$3:$AA$10000,MATCH(ROWS($AC$3:AC4172),$AC$3:$AC$10000,0)),"")</f>
        <v/>
      </c>
    </row>
    <row r="4173" spans="27:30">
      <c r="AA4173" s="117">
        <f>+'Ingredient List - Mother Tinctu'!D4174</f>
        <v>0</v>
      </c>
      <c r="AB4173" s="117">
        <f t="shared" si="68"/>
        <v>0</v>
      </c>
      <c r="AC4173" s="117" t="str">
        <f>IF(AB4173=1,COUNTIF($AB$3:AB4173,1),"")</f>
        <v/>
      </c>
      <c r="AD4173" s="117" t="str">
        <f>IFERROR(INDEX($AA$3:$AA$10000,MATCH(ROWS($AC$3:AC4173),$AC$3:$AC$10000,0)),"")</f>
        <v/>
      </c>
    </row>
    <row r="4174" spans="27:30">
      <c r="AA4174" s="117">
        <f>+'Ingredient List - Mother Tinctu'!D4175</f>
        <v>0</v>
      </c>
      <c r="AB4174" s="117">
        <f t="shared" si="68"/>
        <v>0</v>
      </c>
      <c r="AC4174" s="117" t="str">
        <f>IF(AB4174=1,COUNTIF($AB$3:AB4174,1),"")</f>
        <v/>
      </c>
      <c r="AD4174" s="117" t="str">
        <f>IFERROR(INDEX($AA$3:$AA$10000,MATCH(ROWS($AC$3:AC4174),$AC$3:$AC$10000,0)),"")</f>
        <v/>
      </c>
    </row>
    <row r="4175" spans="27:30">
      <c r="AA4175" s="117">
        <f>+'Ingredient List - Mother Tinctu'!D4176</f>
        <v>0</v>
      </c>
      <c r="AB4175" s="117">
        <f t="shared" si="68"/>
        <v>0</v>
      </c>
      <c r="AC4175" s="117" t="str">
        <f>IF(AB4175=1,COUNTIF($AB$3:AB4175,1),"")</f>
        <v/>
      </c>
      <c r="AD4175" s="117" t="str">
        <f>IFERROR(INDEX($AA$3:$AA$10000,MATCH(ROWS($AC$3:AC4175),$AC$3:$AC$10000,0)),"")</f>
        <v/>
      </c>
    </row>
    <row r="4176" spans="27:30">
      <c r="AA4176" s="117">
        <f>+'Ingredient List - Mother Tinctu'!D4177</f>
        <v>0</v>
      </c>
      <c r="AB4176" s="117">
        <f t="shared" si="68"/>
        <v>0</v>
      </c>
      <c r="AC4176" s="117" t="str">
        <f>IF(AB4176=1,COUNTIF($AB$3:AB4176,1),"")</f>
        <v/>
      </c>
      <c r="AD4176" s="117" t="str">
        <f>IFERROR(INDEX($AA$3:$AA$10000,MATCH(ROWS($AC$3:AC4176),$AC$3:$AC$10000,0)),"")</f>
        <v/>
      </c>
    </row>
    <row r="4177" spans="27:30">
      <c r="AA4177" s="117">
        <f>+'Ingredient List - Mother Tinctu'!D4178</f>
        <v>0</v>
      </c>
      <c r="AB4177" s="117">
        <f t="shared" si="68"/>
        <v>0</v>
      </c>
      <c r="AC4177" s="117" t="str">
        <f>IF(AB4177=1,COUNTIF($AB$3:AB4177,1),"")</f>
        <v/>
      </c>
      <c r="AD4177" s="117" t="str">
        <f>IFERROR(INDEX($AA$3:$AA$10000,MATCH(ROWS($AC$3:AC4177),$AC$3:$AC$10000,0)),"")</f>
        <v/>
      </c>
    </row>
    <row r="4178" spans="27:30">
      <c r="AA4178" s="117">
        <f>+'Ingredient List - Mother Tinctu'!D4179</f>
        <v>0</v>
      </c>
      <c r="AB4178" s="117">
        <f t="shared" si="68"/>
        <v>0</v>
      </c>
      <c r="AC4178" s="117" t="str">
        <f>IF(AB4178=1,COUNTIF($AB$3:AB4178,1),"")</f>
        <v/>
      </c>
      <c r="AD4178" s="117" t="str">
        <f>IFERROR(INDEX($AA$3:$AA$10000,MATCH(ROWS($AC$3:AC4178),$AC$3:$AC$10000,0)),"")</f>
        <v/>
      </c>
    </row>
    <row r="4179" spans="27:30">
      <c r="AA4179" s="117">
        <f>+'Ingredient List - Mother Tinctu'!D4180</f>
        <v>0</v>
      </c>
      <c r="AB4179" s="117">
        <f t="shared" si="68"/>
        <v>0</v>
      </c>
      <c r="AC4179" s="117" t="str">
        <f>IF(AB4179=1,COUNTIF($AB$3:AB4179,1),"")</f>
        <v/>
      </c>
      <c r="AD4179" s="117" t="str">
        <f>IFERROR(INDEX($AA$3:$AA$10000,MATCH(ROWS($AC$3:AC4179),$AC$3:$AC$10000,0)),"")</f>
        <v/>
      </c>
    </row>
    <row r="4180" spans="27:30">
      <c r="AA4180" s="117">
        <f>+'Ingredient List - Mother Tinctu'!D4181</f>
        <v>0</v>
      </c>
      <c r="AB4180" s="117">
        <f t="shared" si="68"/>
        <v>0</v>
      </c>
      <c r="AC4180" s="117" t="str">
        <f>IF(AB4180=1,COUNTIF($AB$3:AB4180,1),"")</f>
        <v/>
      </c>
      <c r="AD4180" s="117" t="str">
        <f>IFERROR(INDEX($AA$3:$AA$10000,MATCH(ROWS($AC$3:AC4180),$AC$3:$AC$10000,0)),"")</f>
        <v/>
      </c>
    </row>
    <row r="4181" spans="27:30">
      <c r="AA4181" s="117">
        <f>+'Ingredient List - Mother Tinctu'!D4182</f>
        <v>0</v>
      </c>
      <c r="AB4181" s="117">
        <f t="shared" si="68"/>
        <v>0</v>
      </c>
      <c r="AC4181" s="117" t="str">
        <f>IF(AB4181=1,COUNTIF($AB$3:AB4181,1),"")</f>
        <v/>
      </c>
      <c r="AD4181" s="117" t="str">
        <f>IFERROR(INDEX($AA$3:$AA$10000,MATCH(ROWS($AC$3:AC4181),$AC$3:$AC$10000,0)),"")</f>
        <v/>
      </c>
    </row>
    <row r="4182" spans="27:30">
      <c r="AA4182" s="117">
        <f>+'Ingredient List - Mother Tinctu'!D4183</f>
        <v>0</v>
      </c>
      <c r="AB4182" s="117">
        <f t="shared" si="68"/>
        <v>0</v>
      </c>
      <c r="AC4182" s="117" t="str">
        <f>IF(AB4182=1,COUNTIF($AB$3:AB4182,1),"")</f>
        <v/>
      </c>
      <c r="AD4182" s="117" t="str">
        <f>IFERROR(INDEX($AA$3:$AA$10000,MATCH(ROWS($AC$3:AC4182),$AC$3:$AC$10000,0)),"")</f>
        <v/>
      </c>
    </row>
    <row r="4183" spans="27:30">
      <c r="AA4183" s="117">
        <f>+'Ingredient List - Mother Tinctu'!D4184</f>
        <v>0</v>
      </c>
      <c r="AB4183" s="117">
        <f t="shared" si="68"/>
        <v>0</v>
      </c>
      <c r="AC4183" s="117" t="str">
        <f>IF(AB4183=1,COUNTIF($AB$3:AB4183,1),"")</f>
        <v/>
      </c>
      <c r="AD4183" s="117" t="str">
        <f>IFERROR(INDEX($AA$3:$AA$10000,MATCH(ROWS($AC$3:AC4183),$AC$3:$AC$10000,0)),"")</f>
        <v/>
      </c>
    </row>
    <row r="4184" spans="27:30">
      <c r="AA4184" s="117">
        <f>+'Ingredient List - Mother Tinctu'!D4185</f>
        <v>0</v>
      </c>
      <c r="AB4184" s="117">
        <f t="shared" si="68"/>
        <v>0</v>
      </c>
      <c r="AC4184" s="117" t="str">
        <f>IF(AB4184=1,COUNTIF($AB$3:AB4184,1),"")</f>
        <v/>
      </c>
      <c r="AD4184" s="117" t="str">
        <f>IFERROR(INDEX($AA$3:$AA$10000,MATCH(ROWS($AC$3:AC4184),$AC$3:$AC$10000,0)),"")</f>
        <v/>
      </c>
    </row>
    <row r="4185" spans="27:30">
      <c r="AA4185" s="117">
        <f>+'Ingredient List - Mother Tinctu'!D4186</f>
        <v>0</v>
      </c>
      <c r="AB4185" s="117">
        <f t="shared" si="68"/>
        <v>0</v>
      </c>
      <c r="AC4185" s="117" t="str">
        <f>IF(AB4185=1,COUNTIF($AB$3:AB4185,1),"")</f>
        <v/>
      </c>
      <c r="AD4185" s="117" t="str">
        <f>IFERROR(INDEX($AA$3:$AA$10000,MATCH(ROWS($AC$3:AC4185),$AC$3:$AC$10000,0)),"")</f>
        <v/>
      </c>
    </row>
    <row r="4186" spans="27:30">
      <c r="AA4186" s="117">
        <f>+'Ingredient List - Mother Tinctu'!D4187</f>
        <v>0</v>
      </c>
      <c r="AB4186" s="117">
        <f t="shared" si="68"/>
        <v>0</v>
      </c>
      <c r="AC4186" s="117" t="str">
        <f>IF(AB4186=1,COUNTIF($AB$3:AB4186,1),"")</f>
        <v/>
      </c>
      <c r="AD4186" s="117" t="str">
        <f>IFERROR(INDEX($AA$3:$AA$10000,MATCH(ROWS($AC$3:AC4186),$AC$3:$AC$10000,0)),"")</f>
        <v/>
      </c>
    </row>
    <row r="4187" spans="27:30">
      <c r="AA4187" s="117">
        <f>+'Ingredient List - Mother Tinctu'!D4188</f>
        <v>0</v>
      </c>
      <c r="AB4187" s="117">
        <f t="shared" si="68"/>
        <v>0</v>
      </c>
      <c r="AC4187" s="117" t="str">
        <f>IF(AB4187=1,COUNTIF($AB$3:AB4187,1),"")</f>
        <v/>
      </c>
      <c r="AD4187" s="117" t="str">
        <f>IFERROR(INDEX($AA$3:$AA$10000,MATCH(ROWS($AC$3:AC4187),$AC$3:$AC$10000,0)),"")</f>
        <v/>
      </c>
    </row>
    <row r="4188" spans="27:30">
      <c r="AA4188" s="117">
        <f>+'Ingredient List - Mother Tinctu'!D4189</f>
        <v>0</v>
      </c>
      <c r="AB4188" s="117">
        <f t="shared" si="68"/>
        <v>0</v>
      </c>
      <c r="AC4188" s="117" t="str">
        <f>IF(AB4188=1,COUNTIF($AB$3:AB4188,1),"")</f>
        <v/>
      </c>
      <c r="AD4188" s="117" t="str">
        <f>IFERROR(INDEX($AA$3:$AA$10000,MATCH(ROWS($AC$3:AC4188),$AC$3:$AC$10000,0)),"")</f>
        <v/>
      </c>
    </row>
    <row r="4189" spans="27:30">
      <c r="AA4189" s="117">
        <f>+'Ingredient List - Mother Tinctu'!D4190</f>
        <v>0</v>
      </c>
      <c r="AB4189" s="117">
        <f t="shared" si="68"/>
        <v>0</v>
      </c>
      <c r="AC4189" s="117" t="str">
        <f>IF(AB4189=1,COUNTIF($AB$3:AB4189,1),"")</f>
        <v/>
      </c>
      <c r="AD4189" s="117" t="str">
        <f>IFERROR(INDEX($AA$3:$AA$10000,MATCH(ROWS($AC$3:AC4189),$AC$3:$AC$10000,0)),"")</f>
        <v/>
      </c>
    </row>
    <row r="4190" spans="27:30">
      <c r="AA4190" s="117">
        <f>+'Ingredient List - Mother Tinctu'!D4191</f>
        <v>0</v>
      </c>
      <c r="AB4190" s="117">
        <f t="shared" si="68"/>
        <v>0</v>
      </c>
      <c r="AC4190" s="117" t="str">
        <f>IF(AB4190=1,COUNTIF($AB$3:AB4190,1),"")</f>
        <v/>
      </c>
      <c r="AD4190" s="117" t="str">
        <f>IFERROR(INDEX($AA$3:$AA$10000,MATCH(ROWS($AC$3:AC4190),$AC$3:$AC$10000,0)),"")</f>
        <v/>
      </c>
    </row>
    <row r="4191" spans="27:30">
      <c r="AA4191" s="117">
        <f>+'Ingredient List - Mother Tinctu'!D4192</f>
        <v>0</v>
      </c>
      <c r="AB4191" s="117">
        <f t="shared" si="68"/>
        <v>0</v>
      </c>
      <c r="AC4191" s="117" t="str">
        <f>IF(AB4191=1,COUNTIF($AB$3:AB4191,1),"")</f>
        <v/>
      </c>
      <c r="AD4191" s="117" t="str">
        <f>IFERROR(INDEX($AA$3:$AA$10000,MATCH(ROWS($AC$3:AC4191),$AC$3:$AC$10000,0)),"")</f>
        <v/>
      </c>
    </row>
    <row r="4192" spans="27:30">
      <c r="AA4192" s="117">
        <f>+'Ingredient List - Mother Tinctu'!D4193</f>
        <v>0</v>
      </c>
      <c r="AB4192" s="117">
        <f t="shared" si="68"/>
        <v>0</v>
      </c>
      <c r="AC4192" s="117" t="str">
        <f>IF(AB4192=1,COUNTIF($AB$3:AB4192,1),"")</f>
        <v/>
      </c>
      <c r="AD4192" s="117" t="str">
        <f>IFERROR(INDEX($AA$3:$AA$10000,MATCH(ROWS($AC$3:AC4192),$AC$3:$AC$10000,0)),"")</f>
        <v/>
      </c>
    </row>
    <row r="4193" spans="27:30">
      <c r="AA4193" s="117">
        <f>+'Ingredient List - Mother Tinctu'!D4194</f>
        <v>0</v>
      </c>
      <c r="AB4193" s="117">
        <f t="shared" si="68"/>
        <v>0</v>
      </c>
      <c r="AC4193" s="117" t="str">
        <f>IF(AB4193=1,COUNTIF($AB$3:AB4193,1),"")</f>
        <v/>
      </c>
      <c r="AD4193" s="117" t="str">
        <f>IFERROR(INDEX($AA$3:$AA$10000,MATCH(ROWS($AC$3:AC4193),$AC$3:$AC$10000,0)),"")</f>
        <v/>
      </c>
    </row>
    <row r="4194" spans="27:30">
      <c r="AA4194" s="117">
        <f>+'Ingredient List - Mother Tinctu'!D4195</f>
        <v>0</v>
      </c>
      <c r="AB4194" s="117">
        <f t="shared" si="68"/>
        <v>0</v>
      </c>
      <c r="AC4194" s="117" t="str">
        <f>IF(AB4194=1,COUNTIF($AB$3:AB4194,1),"")</f>
        <v/>
      </c>
      <c r="AD4194" s="117" t="str">
        <f>IFERROR(INDEX($AA$3:$AA$10000,MATCH(ROWS($AC$3:AC4194),$AC$3:$AC$10000,0)),"")</f>
        <v/>
      </c>
    </row>
    <row r="4195" spans="27:30">
      <c r="AA4195" s="117">
        <f>+'Ingredient List - Mother Tinctu'!D4196</f>
        <v>0</v>
      </c>
      <c r="AB4195" s="117">
        <f t="shared" si="68"/>
        <v>0</v>
      </c>
      <c r="AC4195" s="117" t="str">
        <f>IF(AB4195=1,COUNTIF($AB$3:AB4195,1),"")</f>
        <v/>
      </c>
      <c r="AD4195" s="117" t="str">
        <f>IFERROR(INDEX($AA$3:$AA$10000,MATCH(ROWS($AC$3:AC4195),$AC$3:$AC$10000,0)),"")</f>
        <v/>
      </c>
    </row>
    <row r="4196" spans="27:30">
      <c r="AA4196" s="117">
        <f>+'Ingredient List - Mother Tinctu'!D4197</f>
        <v>0</v>
      </c>
      <c r="AB4196" s="117">
        <f t="shared" si="68"/>
        <v>0</v>
      </c>
      <c r="AC4196" s="117" t="str">
        <f>IF(AB4196=1,COUNTIF($AB$3:AB4196,1),"")</f>
        <v/>
      </c>
      <c r="AD4196" s="117" t="str">
        <f>IFERROR(INDEX($AA$3:$AA$10000,MATCH(ROWS($AC$3:AC4196),$AC$3:$AC$10000,0)),"")</f>
        <v/>
      </c>
    </row>
    <row r="4197" spans="27:30">
      <c r="AA4197" s="117">
        <f>+'Ingredient List - Mother Tinctu'!D4198</f>
        <v>0</v>
      </c>
      <c r="AB4197" s="117">
        <f t="shared" si="68"/>
        <v>0</v>
      </c>
      <c r="AC4197" s="117" t="str">
        <f>IF(AB4197=1,COUNTIF($AB$3:AB4197,1),"")</f>
        <v/>
      </c>
      <c r="AD4197" s="117" t="str">
        <f>IFERROR(INDEX($AA$3:$AA$10000,MATCH(ROWS($AC$3:AC4197),$AC$3:$AC$10000,0)),"")</f>
        <v/>
      </c>
    </row>
    <row r="4198" spans="27:30">
      <c r="AA4198" s="117">
        <f>+'Ingredient List - Mother Tinctu'!D4199</f>
        <v>0</v>
      </c>
      <c r="AB4198" s="117">
        <f t="shared" si="68"/>
        <v>0</v>
      </c>
      <c r="AC4198" s="117" t="str">
        <f>IF(AB4198=1,COUNTIF($AB$3:AB4198,1),"")</f>
        <v/>
      </c>
      <c r="AD4198" s="117" t="str">
        <f>IFERROR(INDEX($AA$3:$AA$10000,MATCH(ROWS($AC$3:AC4198),$AC$3:$AC$10000,0)),"")</f>
        <v/>
      </c>
    </row>
    <row r="4199" spans="27:30">
      <c r="AA4199" s="117">
        <f>+'Ingredient List - Mother Tinctu'!D4200</f>
        <v>0</v>
      </c>
      <c r="AB4199" s="117">
        <f t="shared" si="68"/>
        <v>0</v>
      </c>
      <c r="AC4199" s="117" t="str">
        <f>IF(AB4199=1,COUNTIF($AB$3:AB4199,1),"")</f>
        <v/>
      </c>
      <c r="AD4199" s="117" t="str">
        <f>IFERROR(INDEX($AA$3:$AA$10000,MATCH(ROWS($AC$3:AC4199),$AC$3:$AC$10000,0)),"")</f>
        <v/>
      </c>
    </row>
    <row r="4200" spans="27:30">
      <c r="AA4200" s="117">
        <f>+'Ingredient List - Mother Tinctu'!D4201</f>
        <v>0</v>
      </c>
      <c r="AB4200" s="117">
        <f t="shared" si="68"/>
        <v>0</v>
      </c>
      <c r="AC4200" s="117" t="str">
        <f>IF(AB4200=1,COUNTIF($AB$3:AB4200,1),"")</f>
        <v/>
      </c>
      <c r="AD4200" s="117" t="str">
        <f>IFERROR(INDEX($AA$3:$AA$10000,MATCH(ROWS($AC$3:AC4200),$AC$3:$AC$10000,0)),"")</f>
        <v/>
      </c>
    </row>
    <row r="4201" spans="27:30">
      <c r="AA4201" s="117">
        <f>+'Ingredient List - Mother Tinctu'!D4202</f>
        <v>0</v>
      </c>
      <c r="AB4201" s="117">
        <f t="shared" si="68"/>
        <v>0</v>
      </c>
      <c r="AC4201" s="117" t="str">
        <f>IF(AB4201=1,COUNTIF($AB$3:AB4201,1),"")</f>
        <v/>
      </c>
      <c r="AD4201" s="117" t="str">
        <f>IFERROR(INDEX($AA$3:$AA$10000,MATCH(ROWS($AC$3:AC4201),$AC$3:$AC$10000,0)),"")</f>
        <v/>
      </c>
    </row>
    <row r="4202" spans="27:30">
      <c r="AA4202" s="117">
        <f>+'Ingredient List - Mother Tinctu'!D4203</f>
        <v>0</v>
      </c>
      <c r="AB4202" s="117">
        <f t="shared" si="68"/>
        <v>0</v>
      </c>
      <c r="AC4202" s="117" t="str">
        <f>IF(AB4202=1,COUNTIF($AB$3:AB4202,1),"")</f>
        <v/>
      </c>
      <c r="AD4202" s="117" t="str">
        <f>IFERROR(INDEX($AA$3:$AA$10000,MATCH(ROWS($AC$3:AC4202),$AC$3:$AC$10000,0)),"")</f>
        <v/>
      </c>
    </row>
    <row r="4203" spans="27:30">
      <c r="AA4203" s="117">
        <f>+'Ingredient List - Mother Tinctu'!D4204</f>
        <v>0</v>
      </c>
      <c r="AB4203" s="117">
        <f t="shared" si="68"/>
        <v>0</v>
      </c>
      <c r="AC4203" s="117" t="str">
        <f>IF(AB4203=1,COUNTIF($AB$3:AB4203,1),"")</f>
        <v/>
      </c>
      <c r="AD4203" s="117" t="str">
        <f>IFERROR(INDEX($AA$3:$AA$10000,MATCH(ROWS($AC$3:AC4203),$AC$3:$AC$10000,0)),"")</f>
        <v/>
      </c>
    </row>
    <row r="4204" spans="27:30">
      <c r="AA4204" s="117">
        <f>+'Ingredient List - Mother Tinctu'!D4205</f>
        <v>0</v>
      </c>
      <c r="AB4204" s="117">
        <f t="shared" si="68"/>
        <v>0</v>
      </c>
      <c r="AC4204" s="117" t="str">
        <f>IF(AB4204=1,COUNTIF($AB$3:AB4204,1),"")</f>
        <v/>
      </c>
      <c r="AD4204" s="117" t="str">
        <f>IFERROR(INDEX($AA$3:$AA$10000,MATCH(ROWS($AC$3:AC4204),$AC$3:$AC$10000,0)),"")</f>
        <v/>
      </c>
    </row>
    <row r="4205" spans="27:30">
      <c r="AA4205" s="117">
        <f>+'Ingredient List - Mother Tinctu'!D4206</f>
        <v>0</v>
      </c>
      <c r="AB4205" s="117">
        <f t="shared" si="68"/>
        <v>0</v>
      </c>
      <c r="AC4205" s="117" t="str">
        <f>IF(AB4205=1,COUNTIF($AB$3:AB4205,1),"")</f>
        <v/>
      </c>
      <c r="AD4205" s="117" t="str">
        <f>IFERROR(INDEX($AA$3:$AA$10000,MATCH(ROWS($AC$3:AC4205),$AC$3:$AC$10000,0)),"")</f>
        <v/>
      </c>
    </row>
    <row r="4206" spans="27:30">
      <c r="AA4206" s="117">
        <f>+'Ingredient List - Mother Tinctu'!D4207</f>
        <v>0</v>
      </c>
      <c r="AB4206" s="117">
        <f t="shared" si="68"/>
        <v>0</v>
      </c>
      <c r="AC4206" s="117" t="str">
        <f>IF(AB4206=1,COUNTIF($AB$3:AB4206,1),"")</f>
        <v/>
      </c>
      <c r="AD4206" s="117" t="str">
        <f>IFERROR(INDEX($AA$3:$AA$10000,MATCH(ROWS($AC$3:AC4206),$AC$3:$AC$10000,0)),"")</f>
        <v/>
      </c>
    </row>
    <row r="4207" spans="27:30">
      <c r="AA4207" s="117">
        <f>+'Ingredient List - Mother Tinctu'!D4208</f>
        <v>0</v>
      </c>
      <c r="AB4207" s="117">
        <f t="shared" si="68"/>
        <v>0</v>
      </c>
      <c r="AC4207" s="117" t="str">
        <f>IF(AB4207=1,COUNTIF($AB$3:AB4207,1),"")</f>
        <v/>
      </c>
      <c r="AD4207" s="117" t="str">
        <f>IFERROR(INDEX($AA$3:$AA$10000,MATCH(ROWS($AC$3:AC4207),$AC$3:$AC$10000,0)),"")</f>
        <v/>
      </c>
    </row>
    <row r="4208" spans="27:30">
      <c r="AA4208" s="117">
        <f>+'Ingredient List - Mother Tinctu'!D4209</f>
        <v>0</v>
      </c>
      <c r="AB4208" s="117">
        <f t="shared" si="68"/>
        <v>0</v>
      </c>
      <c r="AC4208" s="117" t="str">
        <f>IF(AB4208=1,COUNTIF($AB$3:AB4208,1),"")</f>
        <v/>
      </c>
      <c r="AD4208" s="117" t="str">
        <f>IFERROR(INDEX($AA$3:$AA$10000,MATCH(ROWS($AC$3:AC4208),$AC$3:$AC$10000,0)),"")</f>
        <v/>
      </c>
    </row>
    <row r="4209" spans="27:30">
      <c r="AA4209" s="117">
        <f>+'Ingredient List - Mother Tinctu'!D4210</f>
        <v>0</v>
      </c>
      <c r="AB4209" s="117">
        <f t="shared" si="68"/>
        <v>0</v>
      </c>
      <c r="AC4209" s="117" t="str">
        <f>IF(AB4209=1,COUNTIF($AB$3:AB4209,1),"")</f>
        <v/>
      </c>
      <c r="AD4209" s="117" t="str">
        <f>IFERROR(INDEX($AA$3:$AA$10000,MATCH(ROWS($AC$3:AC4209),$AC$3:$AC$10000,0)),"")</f>
        <v/>
      </c>
    </row>
    <row r="4210" spans="27:30">
      <c r="AA4210" s="117">
        <f>+'Ingredient List - Mother Tinctu'!D4211</f>
        <v>0</v>
      </c>
      <c r="AB4210" s="117">
        <f t="shared" si="68"/>
        <v>0</v>
      </c>
      <c r="AC4210" s="117" t="str">
        <f>IF(AB4210=1,COUNTIF($AB$3:AB4210,1),"")</f>
        <v/>
      </c>
      <c r="AD4210" s="117" t="str">
        <f>IFERROR(INDEX($AA$3:$AA$10000,MATCH(ROWS($AC$3:AC4210),$AC$3:$AC$10000,0)),"")</f>
        <v/>
      </c>
    </row>
    <row r="4211" spans="27:30">
      <c r="AA4211" s="117">
        <f>+'Ingredient List - Mother Tinctu'!D4212</f>
        <v>0</v>
      </c>
      <c r="AB4211" s="117">
        <f t="shared" si="68"/>
        <v>0</v>
      </c>
      <c r="AC4211" s="117" t="str">
        <f>IF(AB4211=1,COUNTIF($AB$3:AB4211,1),"")</f>
        <v/>
      </c>
      <c r="AD4211" s="117" t="str">
        <f>IFERROR(INDEX($AA$3:$AA$10000,MATCH(ROWS($AC$3:AC4211),$AC$3:$AC$10000,0)),"")</f>
        <v/>
      </c>
    </row>
    <row r="4212" spans="27:30">
      <c r="AA4212" s="117">
        <f>+'Ingredient List - Mother Tinctu'!D4213</f>
        <v>0</v>
      </c>
      <c r="AB4212" s="117">
        <f t="shared" si="68"/>
        <v>0</v>
      </c>
      <c r="AC4212" s="117" t="str">
        <f>IF(AB4212=1,COUNTIF($AB$3:AB4212,1),"")</f>
        <v/>
      </c>
      <c r="AD4212" s="117" t="str">
        <f>IFERROR(INDEX($AA$3:$AA$10000,MATCH(ROWS($AC$3:AC4212),$AC$3:$AC$10000,0)),"")</f>
        <v/>
      </c>
    </row>
    <row r="4213" spans="27:30">
      <c r="AA4213" s="117">
        <f>+'Ingredient List - Mother Tinctu'!D4214</f>
        <v>0</v>
      </c>
      <c r="AB4213" s="117">
        <f t="shared" si="68"/>
        <v>0</v>
      </c>
      <c r="AC4213" s="117" t="str">
        <f>IF(AB4213=1,COUNTIF($AB$3:AB4213,1),"")</f>
        <v/>
      </c>
      <c r="AD4213" s="117" t="str">
        <f>IFERROR(INDEX($AA$3:$AA$10000,MATCH(ROWS($AC$3:AC4213),$AC$3:$AC$10000,0)),"")</f>
        <v/>
      </c>
    </row>
    <row r="4214" spans="27:30">
      <c r="AA4214" s="117">
        <f>+'Ingredient List - Mother Tinctu'!D4215</f>
        <v>0</v>
      </c>
      <c r="AB4214" s="117">
        <f t="shared" si="68"/>
        <v>0</v>
      </c>
      <c r="AC4214" s="117" t="str">
        <f>IF(AB4214=1,COUNTIF($AB$3:AB4214,1),"")</f>
        <v/>
      </c>
      <c r="AD4214" s="117" t="str">
        <f>IFERROR(INDEX($AA$3:$AA$10000,MATCH(ROWS($AC$3:AC4214),$AC$3:$AC$10000,0)),"")</f>
        <v/>
      </c>
    </row>
    <row r="4215" spans="27:30">
      <c r="AA4215" s="117">
        <f>+'Ingredient List - Mother Tinctu'!D4216</f>
        <v>0</v>
      </c>
      <c r="AB4215" s="117">
        <f t="shared" si="68"/>
        <v>0</v>
      </c>
      <c r="AC4215" s="117" t="str">
        <f>IF(AB4215=1,COUNTIF($AB$3:AB4215,1),"")</f>
        <v/>
      </c>
      <c r="AD4215" s="117" t="str">
        <f>IFERROR(INDEX($AA$3:$AA$10000,MATCH(ROWS($AC$3:AC4215),$AC$3:$AC$10000,0)),"")</f>
        <v/>
      </c>
    </row>
    <row r="4216" spans="27:30">
      <c r="AA4216" s="117">
        <f>+'Ingredient List - Mother Tinctu'!D4217</f>
        <v>0</v>
      </c>
      <c r="AB4216" s="117">
        <f t="shared" si="68"/>
        <v>0</v>
      </c>
      <c r="AC4216" s="117" t="str">
        <f>IF(AB4216=1,COUNTIF($AB$3:AB4216,1),"")</f>
        <v/>
      </c>
      <c r="AD4216" s="117" t="str">
        <f>IFERROR(INDEX($AA$3:$AA$10000,MATCH(ROWS($AC$3:AC4216),$AC$3:$AC$10000,0)),"")</f>
        <v/>
      </c>
    </row>
    <row r="4217" spans="27:30">
      <c r="AA4217" s="117">
        <f>+'Ingredient List - Mother Tinctu'!D4218</f>
        <v>0</v>
      </c>
      <c r="AB4217" s="117">
        <f t="shared" si="68"/>
        <v>0</v>
      </c>
      <c r="AC4217" s="117" t="str">
        <f>IF(AB4217=1,COUNTIF($AB$3:AB4217,1),"")</f>
        <v/>
      </c>
      <c r="AD4217" s="117" t="str">
        <f>IFERROR(INDEX($AA$3:$AA$10000,MATCH(ROWS($AC$3:AC4217),$AC$3:$AC$10000,0)),"")</f>
        <v/>
      </c>
    </row>
    <row r="4218" spans="27:30">
      <c r="AA4218" s="117">
        <f>+'Ingredient List - Mother Tinctu'!D4219</f>
        <v>0</v>
      </c>
      <c r="AB4218" s="117">
        <f t="shared" si="68"/>
        <v>0</v>
      </c>
      <c r="AC4218" s="117" t="str">
        <f>IF(AB4218=1,COUNTIF($AB$3:AB4218,1),"")</f>
        <v/>
      </c>
      <c r="AD4218" s="117" t="str">
        <f>IFERROR(INDEX($AA$3:$AA$10000,MATCH(ROWS($AC$3:AC4218),$AC$3:$AC$10000,0)),"")</f>
        <v/>
      </c>
    </row>
    <row r="4219" spans="27:30">
      <c r="AA4219" s="117">
        <f>+'Ingredient List - Mother Tinctu'!D4220</f>
        <v>0</v>
      </c>
      <c r="AB4219" s="117">
        <f t="shared" si="68"/>
        <v>0</v>
      </c>
      <c r="AC4219" s="117" t="str">
        <f>IF(AB4219=1,COUNTIF($AB$3:AB4219,1),"")</f>
        <v/>
      </c>
      <c r="AD4219" s="117" t="str">
        <f>IFERROR(INDEX($AA$3:$AA$10000,MATCH(ROWS($AC$3:AC4219),$AC$3:$AC$10000,0)),"")</f>
        <v/>
      </c>
    </row>
    <row r="4220" spans="27:30">
      <c r="AA4220" s="117">
        <f>+'Ingredient List - Mother Tinctu'!D4221</f>
        <v>0</v>
      </c>
      <c r="AB4220" s="117">
        <f t="shared" si="68"/>
        <v>0</v>
      </c>
      <c r="AC4220" s="117" t="str">
        <f>IF(AB4220=1,COUNTIF($AB$3:AB4220,1),"")</f>
        <v/>
      </c>
      <c r="AD4220" s="117" t="str">
        <f>IFERROR(INDEX($AA$3:$AA$10000,MATCH(ROWS($AC$3:AC4220),$AC$3:$AC$10000,0)),"")</f>
        <v/>
      </c>
    </row>
    <row r="4221" spans="27:30">
      <c r="AA4221" s="117">
        <f>+'Ingredient List - Mother Tinctu'!D4222</f>
        <v>0</v>
      </c>
      <c r="AB4221" s="117">
        <f t="shared" si="68"/>
        <v>0</v>
      </c>
      <c r="AC4221" s="117" t="str">
        <f>IF(AB4221=1,COUNTIF($AB$3:AB4221,1),"")</f>
        <v/>
      </c>
      <c r="AD4221" s="117" t="str">
        <f>IFERROR(INDEX($AA$3:$AA$10000,MATCH(ROWS($AC$3:AC4221),$AC$3:$AC$10000,0)),"")</f>
        <v/>
      </c>
    </row>
    <row r="4222" spans="27:30">
      <c r="AA4222" s="117">
        <f>+'Ingredient List - Mother Tinctu'!D4223</f>
        <v>0</v>
      </c>
      <c r="AB4222" s="117">
        <f t="shared" si="68"/>
        <v>0</v>
      </c>
      <c r="AC4222" s="117" t="str">
        <f>IF(AB4222=1,COUNTIF($AB$3:AB4222,1),"")</f>
        <v/>
      </c>
      <c r="AD4222" s="117" t="str">
        <f>IFERROR(INDEX($AA$3:$AA$10000,MATCH(ROWS($AC$3:AC4222),$AC$3:$AC$10000,0)),"")</f>
        <v/>
      </c>
    </row>
    <row r="4223" spans="27:30">
      <c r="AA4223" s="117">
        <f>+'Ingredient List - Mother Tinctu'!D4224</f>
        <v>0</v>
      </c>
      <c r="AB4223" s="117">
        <f t="shared" si="68"/>
        <v>0</v>
      </c>
      <c r="AC4223" s="117" t="str">
        <f>IF(AB4223=1,COUNTIF($AB$3:AB4223,1),"")</f>
        <v/>
      </c>
      <c r="AD4223" s="117" t="str">
        <f>IFERROR(INDEX($AA$3:$AA$10000,MATCH(ROWS($AC$3:AC4223),$AC$3:$AC$10000,0)),"")</f>
        <v/>
      </c>
    </row>
    <row r="4224" spans="27:30">
      <c r="AA4224" s="117">
        <f>+'Ingredient List - Mother Tinctu'!D4225</f>
        <v>0</v>
      </c>
      <c r="AB4224" s="117">
        <f t="shared" si="68"/>
        <v>0</v>
      </c>
      <c r="AC4224" s="117" t="str">
        <f>IF(AB4224=1,COUNTIF($AB$3:AB4224,1),"")</f>
        <v/>
      </c>
      <c r="AD4224" s="117" t="str">
        <f>IFERROR(INDEX($AA$3:$AA$10000,MATCH(ROWS($AC$3:AC4224),$AC$3:$AC$10000,0)),"")</f>
        <v/>
      </c>
    </row>
    <row r="4225" spans="27:30">
      <c r="AA4225" s="117">
        <f>+'Ingredient List - Mother Tinctu'!D4226</f>
        <v>0</v>
      </c>
      <c r="AB4225" s="117">
        <f t="shared" si="68"/>
        <v>0</v>
      </c>
      <c r="AC4225" s="117" t="str">
        <f>IF(AB4225=1,COUNTIF($AB$3:AB4225,1),"")</f>
        <v/>
      </c>
      <c r="AD4225" s="117" t="str">
        <f>IFERROR(INDEX($AA$3:$AA$10000,MATCH(ROWS($AC$3:AC4225),$AC$3:$AC$10000,0)),"")</f>
        <v/>
      </c>
    </row>
    <row r="4226" spans="27:30">
      <c r="AA4226" s="117">
        <f>+'Ingredient List - Mother Tinctu'!D4227</f>
        <v>0</v>
      </c>
      <c r="AB4226" s="117">
        <f t="shared" si="68"/>
        <v>0</v>
      </c>
      <c r="AC4226" s="117" t="str">
        <f>IF(AB4226=1,COUNTIF($AB$3:AB4226,1),"")</f>
        <v/>
      </c>
      <c r="AD4226" s="117" t="str">
        <f>IFERROR(INDEX($AA$3:$AA$10000,MATCH(ROWS($AC$3:AC4226),$AC$3:$AC$10000,0)),"")</f>
        <v/>
      </c>
    </row>
    <row r="4227" spans="27:30">
      <c r="AA4227" s="117">
        <f>+'Ingredient List - Mother Tinctu'!D4228</f>
        <v>0</v>
      </c>
      <c r="AB4227" s="117">
        <f t="shared" si="68"/>
        <v>0</v>
      </c>
      <c r="AC4227" s="117" t="str">
        <f>IF(AB4227=1,COUNTIF($AB$3:AB4227,1),"")</f>
        <v/>
      </c>
      <c r="AD4227" s="117" t="str">
        <f>IFERROR(INDEX($AA$3:$AA$10000,MATCH(ROWS($AC$3:AC4227),$AC$3:$AC$10000,0)),"")</f>
        <v/>
      </c>
    </row>
    <row r="4228" spans="27:30">
      <c r="AA4228" s="117">
        <f>+'Ingredient List - Mother Tinctu'!D4229</f>
        <v>0</v>
      </c>
      <c r="AB4228" s="117">
        <f t="shared" ref="AB4228:AB4291" si="69">--ISNUMBER(IFERROR(SEARCH($D$3,AA4228,1),""))</f>
        <v>0</v>
      </c>
      <c r="AC4228" s="117" t="str">
        <f>IF(AB4228=1,COUNTIF($AB$3:AB4228,1),"")</f>
        <v/>
      </c>
      <c r="AD4228" s="117" t="str">
        <f>IFERROR(INDEX($AA$3:$AA$10000,MATCH(ROWS($AC$3:AC4228),$AC$3:$AC$10000,0)),"")</f>
        <v/>
      </c>
    </row>
    <row r="4229" spans="27:30">
      <c r="AA4229" s="117">
        <f>+'Ingredient List - Mother Tinctu'!D4230</f>
        <v>0</v>
      </c>
      <c r="AB4229" s="117">
        <f t="shared" si="69"/>
        <v>0</v>
      </c>
      <c r="AC4229" s="117" t="str">
        <f>IF(AB4229=1,COUNTIF($AB$3:AB4229,1),"")</f>
        <v/>
      </c>
      <c r="AD4229" s="117" t="str">
        <f>IFERROR(INDEX($AA$3:$AA$10000,MATCH(ROWS($AC$3:AC4229),$AC$3:$AC$10000,0)),"")</f>
        <v/>
      </c>
    </row>
    <row r="4230" spans="27:30">
      <c r="AA4230" s="117">
        <f>+'Ingredient List - Mother Tinctu'!D4231</f>
        <v>0</v>
      </c>
      <c r="AB4230" s="117">
        <f t="shared" si="69"/>
        <v>0</v>
      </c>
      <c r="AC4230" s="117" t="str">
        <f>IF(AB4230=1,COUNTIF($AB$3:AB4230,1),"")</f>
        <v/>
      </c>
      <c r="AD4230" s="117" t="str">
        <f>IFERROR(INDEX($AA$3:$AA$10000,MATCH(ROWS($AC$3:AC4230),$AC$3:$AC$10000,0)),"")</f>
        <v/>
      </c>
    </row>
    <row r="4231" spans="27:30">
      <c r="AA4231" s="117">
        <f>+'Ingredient List - Mother Tinctu'!D4232</f>
        <v>0</v>
      </c>
      <c r="AB4231" s="117">
        <f t="shared" si="69"/>
        <v>0</v>
      </c>
      <c r="AC4231" s="117" t="str">
        <f>IF(AB4231=1,COUNTIF($AB$3:AB4231,1),"")</f>
        <v/>
      </c>
      <c r="AD4231" s="117" t="str">
        <f>IFERROR(INDEX($AA$3:$AA$10000,MATCH(ROWS($AC$3:AC4231),$AC$3:$AC$10000,0)),"")</f>
        <v/>
      </c>
    </row>
    <row r="4232" spans="27:30">
      <c r="AA4232" s="117">
        <f>+'Ingredient List - Mother Tinctu'!D4233</f>
        <v>0</v>
      </c>
      <c r="AB4232" s="117">
        <f t="shared" si="69"/>
        <v>0</v>
      </c>
      <c r="AC4232" s="117" t="str">
        <f>IF(AB4232=1,COUNTIF($AB$3:AB4232,1),"")</f>
        <v/>
      </c>
      <c r="AD4232" s="117" t="str">
        <f>IFERROR(INDEX($AA$3:$AA$10000,MATCH(ROWS($AC$3:AC4232),$AC$3:$AC$10000,0)),"")</f>
        <v/>
      </c>
    </row>
    <row r="4233" spans="27:30">
      <c r="AA4233" s="117">
        <f>+'Ingredient List - Mother Tinctu'!D4234</f>
        <v>0</v>
      </c>
      <c r="AB4233" s="117">
        <f t="shared" si="69"/>
        <v>0</v>
      </c>
      <c r="AC4233" s="117" t="str">
        <f>IF(AB4233=1,COUNTIF($AB$3:AB4233,1),"")</f>
        <v/>
      </c>
      <c r="AD4233" s="117" t="str">
        <f>IFERROR(INDEX($AA$3:$AA$10000,MATCH(ROWS($AC$3:AC4233),$AC$3:$AC$10000,0)),"")</f>
        <v/>
      </c>
    </row>
    <row r="4234" spans="27:30">
      <c r="AA4234" s="117">
        <f>+'Ingredient List - Mother Tinctu'!D4235</f>
        <v>0</v>
      </c>
      <c r="AB4234" s="117">
        <f t="shared" si="69"/>
        <v>0</v>
      </c>
      <c r="AC4234" s="117" t="str">
        <f>IF(AB4234=1,COUNTIF($AB$3:AB4234,1),"")</f>
        <v/>
      </c>
      <c r="AD4234" s="117" t="str">
        <f>IFERROR(INDEX($AA$3:$AA$10000,MATCH(ROWS($AC$3:AC4234),$AC$3:$AC$10000,0)),"")</f>
        <v/>
      </c>
    </row>
    <row r="4235" spans="27:30">
      <c r="AA4235" s="117">
        <f>+'Ingredient List - Mother Tinctu'!D4236</f>
        <v>0</v>
      </c>
      <c r="AB4235" s="117">
        <f t="shared" si="69"/>
        <v>0</v>
      </c>
      <c r="AC4235" s="117" t="str">
        <f>IF(AB4235=1,COUNTIF($AB$3:AB4235,1),"")</f>
        <v/>
      </c>
      <c r="AD4235" s="117" t="str">
        <f>IFERROR(INDEX($AA$3:$AA$10000,MATCH(ROWS($AC$3:AC4235),$AC$3:$AC$10000,0)),"")</f>
        <v/>
      </c>
    </row>
    <row r="4236" spans="27:30">
      <c r="AA4236" s="117">
        <f>+'Ingredient List - Mother Tinctu'!D4237</f>
        <v>0</v>
      </c>
      <c r="AB4236" s="117">
        <f t="shared" si="69"/>
        <v>0</v>
      </c>
      <c r="AC4236" s="117" t="str">
        <f>IF(AB4236=1,COUNTIF($AB$3:AB4236,1),"")</f>
        <v/>
      </c>
      <c r="AD4236" s="117" t="str">
        <f>IFERROR(INDEX($AA$3:$AA$10000,MATCH(ROWS($AC$3:AC4236),$AC$3:$AC$10000,0)),"")</f>
        <v/>
      </c>
    </row>
    <row r="4237" spans="27:30">
      <c r="AA4237" s="117">
        <f>+'Ingredient List - Mother Tinctu'!D4238</f>
        <v>0</v>
      </c>
      <c r="AB4237" s="117">
        <f t="shared" si="69"/>
        <v>0</v>
      </c>
      <c r="AC4237" s="117" t="str">
        <f>IF(AB4237=1,COUNTIF($AB$3:AB4237,1),"")</f>
        <v/>
      </c>
      <c r="AD4237" s="117" t="str">
        <f>IFERROR(INDEX($AA$3:$AA$10000,MATCH(ROWS($AC$3:AC4237),$AC$3:$AC$10000,0)),"")</f>
        <v/>
      </c>
    </row>
    <row r="4238" spans="27:30">
      <c r="AA4238" s="117">
        <f>+'Ingredient List - Mother Tinctu'!D4239</f>
        <v>0</v>
      </c>
      <c r="AB4238" s="117">
        <f t="shared" si="69"/>
        <v>0</v>
      </c>
      <c r="AC4238" s="117" t="str">
        <f>IF(AB4238=1,COUNTIF($AB$3:AB4238,1),"")</f>
        <v/>
      </c>
      <c r="AD4238" s="117" t="str">
        <f>IFERROR(INDEX($AA$3:$AA$10000,MATCH(ROWS($AC$3:AC4238),$AC$3:$AC$10000,0)),"")</f>
        <v/>
      </c>
    </row>
    <row r="4239" spans="27:30">
      <c r="AA4239" s="117">
        <f>+'Ingredient List - Mother Tinctu'!D4240</f>
        <v>0</v>
      </c>
      <c r="AB4239" s="117">
        <f t="shared" si="69"/>
        <v>0</v>
      </c>
      <c r="AC4239" s="117" t="str">
        <f>IF(AB4239=1,COUNTIF($AB$3:AB4239,1),"")</f>
        <v/>
      </c>
      <c r="AD4239" s="117" t="str">
        <f>IFERROR(INDEX($AA$3:$AA$10000,MATCH(ROWS($AC$3:AC4239),$AC$3:$AC$10000,0)),"")</f>
        <v/>
      </c>
    </row>
    <row r="4240" spans="27:30">
      <c r="AA4240" s="117">
        <f>+'Ingredient List - Mother Tinctu'!D4241</f>
        <v>0</v>
      </c>
      <c r="AB4240" s="117">
        <f t="shared" si="69"/>
        <v>0</v>
      </c>
      <c r="AC4240" s="117" t="str">
        <f>IF(AB4240=1,COUNTIF($AB$3:AB4240,1),"")</f>
        <v/>
      </c>
      <c r="AD4240" s="117" t="str">
        <f>IFERROR(INDEX($AA$3:$AA$10000,MATCH(ROWS($AC$3:AC4240),$AC$3:$AC$10000,0)),"")</f>
        <v/>
      </c>
    </row>
    <row r="4241" spans="27:30">
      <c r="AA4241" s="117">
        <f>+'Ingredient List - Mother Tinctu'!D4242</f>
        <v>0</v>
      </c>
      <c r="AB4241" s="117">
        <f t="shared" si="69"/>
        <v>0</v>
      </c>
      <c r="AC4241" s="117" t="str">
        <f>IF(AB4241=1,COUNTIF($AB$3:AB4241,1),"")</f>
        <v/>
      </c>
      <c r="AD4241" s="117" t="str">
        <f>IFERROR(INDEX($AA$3:$AA$10000,MATCH(ROWS($AC$3:AC4241),$AC$3:$AC$10000,0)),"")</f>
        <v/>
      </c>
    </row>
    <row r="4242" spans="27:30">
      <c r="AA4242" s="117">
        <f>+'Ingredient List - Mother Tinctu'!D4243</f>
        <v>0</v>
      </c>
      <c r="AB4242" s="117">
        <f t="shared" si="69"/>
        <v>0</v>
      </c>
      <c r="AC4242" s="117" t="str">
        <f>IF(AB4242=1,COUNTIF($AB$3:AB4242,1),"")</f>
        <v/>
      </c>
      <c r="AD4242" s="117" t="str">
        <f>IFERROR(INDEX($AA$3:$AA$10000,MATCH(ROWS($AC$3:AC4242),$AC$3:$AC$10000,0)),"")</f>
        <v/>
      </c>
    </row>
    <row r="4243" spans="27:30">
      <c r="AA4243" s="117">
        <f>+'Ingredient List - Mother Tinctu'!D4244</f>
        <v>0</v>
      </c>
      <c r="AB4243" s="117">
        <f t="shared" si="69"/>
        <v>0</v>
      </c>
      <c r="AC4243" s="117" t="str">
        <f>IF(AB4243=1,COUNTIF($AB$3:AB4243,1),"")</f>
        <v/>
      </c>
      <c r="AD4243" s="117" t="str">
        <f>IFERROR(INDEX($AA$3:$AA$10000,MATCH(ROWS($AC$3:AC4243),$AC$3:$AC$10000,0)),"")</f>
        <v/>
      </c>
    </row>
    <row r="4244" spans="27:30">
      <c r="AA4244" s="117">
        <f>+'Ingredient List - Mother Tinctu'!D4245</f>
        <v>0</v>
      </c>
      <c r="AB4244" s="117">
        <f t="shared" si="69"/>
        <v>0</v>
      </c>
      <c r="AC4244" s="117" t="str">
        <f>IF(AB4244=1,COUNTIF($AB$3:AB4244,1),"")</f>
        <v/>
      </c>
      <c r="AD4244" s="117" t="str">
        <f>IFERROR(INDEX($AA$3:$AA$10000,MATCH(ROWS($AC$3:AC4244),$AC$3:$AC$10000,0)),"")</f>
        <v/>
      </c>
    </row>
    <row r="4245" spans="27:30">
      <c r="AA4245" s="117">
        <f>+'Ingredient List - Mother Tinctu'!D4246</f>
        <v>0</v>
      </c>
      <c r="AB4245" s="117">
        <f t="shared" si="69"/>
        <v>0</v>
      </c>
      <c r="AC4245" s="117" t="str">
        <f>IF(AB4245=1,COUNTIF($AB$3:AB4245,1),"")</f>
        <v/>
      </c>
      <c r="AD4245" s="117" t="str">
        <f>IFERROR(INDEX($AA$3:$AA$10000,MATCH(ROWS($AC$3:AC4245),$AC$3:$AC$10000,0)),"")</f>
        <v/>
      </c>
    </row>
    <row r="4246" spans="27:30">
      <c r="AA4246" s="117">
        <f>+'Ingredient List - Mother Tinctu'!D4247</f>
        <v>0</v>
      </c>
      <c r="AB4246" s="117">
        <f t="shared" si="69"/>
        <v>0</v>
      </c>
      <c r="AC4246" s="117" t="str">
        <f>IF(AB4246=1,COUNTIF($AB$3:AB4246,1),"")</f>
        <v/>
      </c>
      <c r="AD4246" s="117" t="str">
        <f>IFERROR(INDEX($AA$3:$AA$10000,MATCH(ROWS($AC$3:AC4246),$AC$3:$AC$10000,0)),"")</f>
        <v/>
      </c>
    </row>
    <row r="4247" spans="27:30">
      <c r="AA4247" s="117">
        <f>+'Ingredient List - Mother Tinctu'!D4248</f>
        <v>0</v>
      </c>
      <c r="AB4247" s="117">
        <f t="shared" si="69"/>
        <v>0</v>
      </c>
      <c r="AC4247" s="117" t="str">
        <f>IF(AB4247=1,COUNTIF($AB$3:AB4247,1),"")</f>
        <v/>
      </c>
      <c r="AD4247" s="117" t="str">
        <f>IFERROR(INDEX($AA$3:$AA$10000,MATCH(ROWS($AC$3:AC4247),$AC$3:$AC$10000,0)),"")</f>
        <v/>
      </c>
    </row>
    <row r="4248" spans="27:30">
      <c r="AA4248" s="117">
        <f>+'Ingredient List - Mother Tinctu'!D4249</f>
        <v>0</v>
      </c>
      <c r="AB4248" s="117">
        <f t="shared" si="69"/>
        <v>0</v>
      </c>
      <c r="AC4248" s="117" t="str">
        <f>IF(AB4248=1,COUNTIF($AB$3:AB4248,1),"")</f>
        <v/>
      </c>
      <c r="AD4248" s="117" t="str">
        <f>IFERROR(INDEX($AA$3:$AA$10000,MATCH(ROWS($AC$3:AC4248),$AC$3:$AC$10000,0)),"")</f>
        <v/>
      </c>
    </row>
    <row r="4249" spans="27:30">
      <c r="AA4249" s="117">
        <f>+'Ingredient List - Mother Tinctu'!D4250</f>
        <v>0</v>
      </c>
      <c r="AB4249" s="117">
        <f t="shared" si="69"/>
        <v>0</v>
      </c>
      <c r="AC4249" s="117" t="str">
        <f>IF(AB4249=1,COUNTIF($AB$3:AB4249,1),"")</f>
        <v/>
      </c>
      <c r="AD4249" s="117" t="str">
        <f>IFERROR(INDEX($AA$3:$AA$10000,MATCH(ROWS($AC$3:AC4249),$AC$3:$AC$10000,0)),"")</f>
        <v/>
      </c>
    </row>
    <row r="4250" spans="27:30">
      <c r="AA4250" s="117">
        <f>+'Ingredient List - Mother Tinctu'!D4251</f>
        <v>0</v>
      </c>
      <c r="AB4250" s="117">
        <f t="shared" si="69"/>
        <v>0</v>
      </c>
      <c r="AC4250" s="117" t="str">
        <f>IF(AB4250=1,COUNTIF($AB$3:AB4250,1),"")</f>
        <v/>
      </c>
      <c r="AD4250" s="117" t="str">
        <f>IFERROR(INDEX($AA$3:$AA$10000,MATCH(ROWS($AC$3:AC4250),$AC$3:$AC$10000,0)),"")</f>
        <v/>
      </c>
    </row>
    <row r="4251" spans="27:30">
      <c r="AA4251" s="117">
        <f>+'Ingredient List - Mother Tinctu'!D4252</f>
        <v>0</v>
      </c>
      <c r="AB4251" s="117">
        <f t="shared" si="69"/>
        <v>0</v>
      </c>
      <c r="AC4251" s="117" t="str">
        <f>IF(AB4251=1,COUNTIF($AB$3:AB4251,1),"")</f>
        <v/>
      </c>
      <c r="AD4251" s="117" t="str">
        <f>IFERROR(INDEX($AA$3:$AA$10000,MATCH(ROWS($AC$3:AC4251),$AC$3:$AC$10000,0)),"")</f>
        <v/>
      </c>
    </row>
    <row r="4252" spans="27:30">
      <c r="AA4252" s="117">
        <f>+'Ingredient List - Mother Tinctu'!D4253</f>
        <v>0</v>
      </c>
      <c r="AB4252" s="117">
        <f t="shared" si="69"/>
        <v>0</v>
      </c>
      <c r="AC4252" s="117" t="str">
        <f>IF(AB4252=1,COUNTIF($AB$3:AB4252,1),"")</f>
        <v/>
      </c>
      <c r="AD4252" s="117" t="str">
        <f>IFERROR(INDEX($AA$3:$AA$10000,MATCH(ROWS($AC$3:AC4252),$AC$3:$AC$10000,0)),"")</f>
        <v/>
      </c>
    </row>
    <row r="4253" spans="27:30">
      <c r="AA4253" s="117">
        <f>+'Ingredient List - Mother Tinctu'!D4254</f>
        <v>0</v>
      </c>
      <c r="AB4253" s="117">
        <f t="shared" si="69"/>
        <v>0</v>
      </c>
      <c r="AC4253" s="117" t="str">
        <f>IF(AB4253=1,COUNTIF($AB$3:AB4253,1),"")</f>
        <v/>
      </c>
      <c r="AD4253" s="117" t="str">
        <f>IFERROR(INDEX($AA$3:$AA$10000,MATCH(ROWS($AC$3:AC4253),$AC$3:$AC$10000,0)),"")</f>
        <v/>
      </c>
    </row>
    <row r="4254" spans="27:30">
      <c r="AA4254" s="117">
        <f>+'Ingredient List - Mother Tinctu'!D4255</f>
        <v>0</v>
      </c>
      <c r="AB4254" s="117">
        <f t="shared" si="69"/>
        <v>0</v>
      </c>
      <c r="AC4254" s="117" t="str">
        <f>IF(AB4254=1,COUNTIF($AB$3:AB4254,1),"")</f>
        <v/>
      </c>
      <c r="AD4254" s="117" t="str">
        <f>IFERROR(INDEX($AA$3:$AA$10000,MATCH(ROWS($AC$3:AC4254),$AC$3:$AC$10000,0)),"")</f>
        <v/>
      </c>
    </row>
    <row r="4255" spans="27:30">
      <c r="AA4255" s="117">
        <f>+'Ingredient List - Mother Tinctu'!D4256</f>
        <v>0</v>
      </c>
      <c r="AB4255" s="117">
        <f t="shared" si="69"/>
        <v>0</v>
      </c>
      <c r="AC4255" s="117" t="str">
        <f>IF(AB4255=1,COUNTIF($AB$3:AB4255,1),"")</f>
        <v/>
      </c>
      <c r="AD4255" s="117" t="str">
        <f>IFERROR(INDEX($AA$3:$AA$10000,MATCH(ROWS($AC$3:AC4255),$AC$3:$AC$10000,0)),"")</f>
        <v/>
      </c>
    </row>
    <row r="4256" spans="27:30">
      <c r="AA4256" s="117">
        <f>+'Ingredient List - Mother Tinctu'!D4257</f>
        <v>0</v>
      </c>
      <c r="AB4256" s="117">
        <f t="shared" si="69"/>
        <v>0</v>
      </c>
      <c r="AC4256" s="117" t="str">
        <f>IF(AB4256=1,COUNTIF($AB$3:AB4256,1),"")</f>
        <v/>
      </c>
      <c r="AD4256" s="117" t="str">
        <f>IFERROR(INDEX($AA$3:$AA$10000,MATCH(ROWS($AC$3:AC4256),$AC$3:$AC$10000,0)),"")</f>
        <v/>
      </c>
    </row>
    <row r="4257" spans="27:30">
      <c r="AA4257" s="117">
        <f>+'Ingredient List - Mother Tinctu'!D4258</f>
        <v>0</v>
      </c>
      <c r="AB4257" s="117">
        <f t="shared" si="69"/>
        <v>0</v>
      </c>
      <c r="AC4257" s="117" t="str">
        <f>IF(AB4257=1,COUNTIF($AB$3:AB4257,1),"")</f>
        <v/>
      </c>
      <c r="AD4257" s="117" t="str">
        <f>IFERROR(INDEX($AA$3:$AA$10000,MATCH(ROWS($AC$3:AC4257),$AC$3:$AC$10000,0)),"")</f>
        <v/>
      </c>
    </row>
    <row r="4258" spans="27:30">
      <c r="AA4258" s="117">
        <f>+'Ingredient List - Mother Tinctu'!D4259</f>
        <v>0</v>
      </c>
      <c r="AB4258" s="117">
        <f t="shared" si="69"/>
        <v>0</v>
      </c>
      <c r="AC4258" s="117" t="str">
        <f>IF(AB4258=1,COUNTIF($AB$3:AB4258,1),"")</f>
        <v/>
      </c>
      <c r="AD4258" s="117" t="str">
        <f>IFERROR(INDEX($AA$3:$AA$10000,MATCH(ROWS($AC$3:AC4258),$AC$3:$AC$10000,0)),"")</f>
        <v/>
      </c>
    </row>
    <row r="4259" spans="27:30">
      <c r="AA4259" s="117">
        <f>+'Ingredient List - Mother Tinctu'!D4260</f>
        <v>0</v>
      </c>
      <c r="AB4259" s="117">
        <f t="shared" si="69"/>
        <v>0</v>
      </c>
      <c r="AC4259" s="117" t="str">
        <f>IF(AB4259=1,COUNTIF($AB$3:AB4259,1),"")</f>
        <v/>
      </c>
      <c r="AD4259" s="117" t="str">
        <f>IFERROR(INDEX($AA$3:$AA$10000,MATCH(ROWS($AC$3:AC4259),$AC$3:$AC$10000,0)),"")</f>
        <v/>
      </c>
    </row>
    <row r="4260" spans="27:30">
      <c r="AA4260" s="117">
        <f>+'Ingredient List - Mother Tinctu'!D4261</f>
        <v>0</v>
      </c>
      <c r="AB4260" s="117">
        <f t="shared" si="69"/>
        <v>0</v>
      </c>
      <c r="AC4260" s="117" t="str">
        <f>IF(AB4260=1,COUNTIF($AB$3:AB4260,1),"")</f>
        <v/>
      </c>
      <c r="AD4260" s="117" t="str">
        <f>IFERROR(INDEX($AA$3:$AA$10000,MATCH(ROWS($AC$3:AC4260),$AC$3:$AC$10000,0)),"")</f>
        <v/>
      </c>
    </row>
    <row r="4261" spans="27:30">
      <c r="AA4261" s="117">
        <f>+'Ingredient List - Mother Tinctu'!D4262</f>
        <v>0</v>
      </c>
      <c r="AB4261" s="117">
        <f t="shared" si="69"/>
        <v>0</v>
      </c>
      <c r="AC4261" s="117" t="str">
        <f>IF(AB4261=1,COUNTIF($AB$3:AB4261,1),"")</f>
        <v/>
      </c>
      <c r="AD4261" s="117" t="str">
        <f>IFERROR(INDEX($AA$3:$AA$10000,MATCH(ROWS($AC$3:AC4261),$AC$3:$AC$10000,0)),"")</f>
        <v/>
      </c>
    </row>
    <row r="4262" spans="27:30">
      <c r="AA4262" s="117">
        <f>+'Ingredient List - Mother Tinctu'!D4263</f>
        <v>0</v>
      </c>
      <c r="AB4262" s="117">
        <f t="shared" si="69"/>
        <v>0</v>
      </c>
      <c r="AC4262" s="117" t="str">
        <f>IF(AB4262=1,COUNTIF($AB$3:AB4262,1),"")</f>
        <v/>
      </c>
      <c r="AD4262" s="117" t="str">
        <f>IFERROR(INDEX($AA$3:$AA$10000,MATCH(ROWS($AC$3:AC4262),$AC$3:$AC$10000,0)),"")</f>
        <v/>
      </c>
    </row>
    <row r="4263" spans="27:30">
      <c r="AA4263" s="117">
        <f>+'Ingredient List - Mother Tinctu'!D4264</f>
        <v>0</v>
      </c>
      <c r="AB4263" s="117">
        <f t="shared" si="69"/>
        <v>0</v>
      </c>
      <c r="AC4263" s="117" t="str">
        <f>IF(AB4263=1,COUNTIF($AB$3:AB4263,1),"")</f>
        <v/>
      </c>
      <c r="AD4263" s="117" t="str">
        <f>IFERROR(INDEX($AA$3:$AA$10000,MATCH(ROWS($AC$3:AC4263),$AC$3:$AC$10000,0)),"")</f>
        <v/>
      </c>
    </row>
    <row r="4264" spans="27:30">
      <c r="AA4264" s="117">
        <f>+'Ingredient List - Mother Tinctu'!D4265</f>
        <v>0</v>
      </c>
      <c r="AB4264" s="117">
        <f t="shared" si="69"/>
        <v>0</v>
      </c>
      <c r="AC4264" s="117" t="str">
        <f>IF(AB4264=1,COUNTIF($AB$3:AB4264,1),"")</f>
        <v/>
      </c>
      <c r="AD4264" s="117" t="str">
        <f>IFERROR(INDEX($AA$3:$AA$10000,MATCH(ROWS($AC$3:AC4264),$AC$3:$AC$10000,0)),"")</f>
        <v/>
      </c>
    </row>
    <row r="4265" spans="27:30">
      <c r="AA4265" s="117">
        <f>+'Ingredient List - Mother Tinctu'!D4266</f>
        <v>0</v>
      </c>
      <c r="AB4265" s="117">
        <f t="shared" si="69"/>
        <v>0</v>
      </c>
      <c r="AC4265" s="117" t="str">
        <f>IF(AB4265=1,COUNTIF($AB$3:AB4265,1),"")</f>
        <v/>
      </c>
      <c r="AD4265" s="117" t="str">
        <f>IFERROR(INDEX($AA$3:$AA$10000,MATCH(ROWS($AC$3:AC4265),$AC$3:$AC$10000,0)),"")</f>
        <v/>
      </c>
    </row>
    <row r="4266" spans="27:30">
      <c r="AA4266" s="117">
        <f>+'Ingredient List - Mother Tinctu'!D4267</f>
        <v>0</v>
      </c>
      <c r="AB4266" s="117">
        <f t="shared" si="69"/>
        <v>0</v>
      </c>
      <c r="AC4266" s="117" t="str">
        <f>IF(AB4266=1,COUNTIF($AB$3:AB4266,1),"")</f>
        <v/>
      </c>
      <c r="AD4266" s="117" t="str">
        <f>IFERROR(INDEX($AA$3:$AA$10000,MATCH(ROWS($AC$3:AC4266),$AC$3:$AC$10000,0)),"")</f>
        <v/>
      </c>
    </row>
    <row r="4267" spans="27:30">
      <c r="AA4267" s="117">
        <f>+'Ingredient List - Mother Tinctu'!D4268</f>
        <v>0</v>
      </c>
      <c r="AB4267" s="117">
        <f t="shared" si="69"/>
        <v>0</v>
      </c>
      <c r="AC4267" s="117" t="str">
        <f>IF(AB4267=1,COUNTIF($AB$3:AB4267,1),"")</f>
        <v/>
      </c>
      <c r="AD4267" s="117" t="str">
        <f>IFERROR(INDEX($AA$3:$AA$10000,MATCH(ROWS($AC$3:AC4267),$AC$3:$AC$10000,0)),"")</f>
        <v/>
      </c>
    </row>
    <row r="4268" spans="27:30">
      <c r="AA4268" s="117">
        <f>+'Ingredient List - Mother Tinctu'!D4269</f>
        <v>0</v>
      </c>
      <c r="AB4268" s="117">
        <f t="shared" si="69"/>
        <v>0</v>
      </c>
      <c r="AC4268" s="117" t="str">
        <f>IF(AB4268=1,COUNTIF($AB$3:AB4268,1),"")</f>
        <v/>
      </c>
      <c r="AD4268" s="117" t="str">
        <f>IFERROR(INDEX($AA$3:$AA$10000,MATCH(ROWS($AC$3:AC4268),$AC$3:$AC$10000,0)),"")</f>
        <v/>
      </c>
    </row>
    <row r="4269" spans="27:30">
      <c r="AA4269" s="117">
        <f>+'Ingredient List - Mother Tinctu'!D4270</f>
        <v>0</v>
      </c>
      <c r="AB4269" s="117">
        <f t="shared" si="69"/>
        <v>0</v>
      </c>
      <c r="AC4269" s="117" t="str">
        <f>IF(AB4269=1,COUNTIF($AB$3:AB4269,1),"")</f>
        <v/>
      </c>
      <c r="AD4269" s="117" t="str">
        <f>IFERROR(INDEX($AA$3:$AA$10000,MATCH(ROWS($AC$3:AC4269),$AC$3:$AC$10000,0)),"")</f>
        <v/>
      </c>
    </row>
    <row r="4270" spans="27:30">
      <c r="AA4270" s="117">
        <f>+'Ingredient List - Mother Tinctu'!D4271</f>
        <v>0</v>
      </c>
      <c r="AB4270" s="117">
        <f t="shared" si="69"/>
        <v>0</v>
      </c>
      <c r="AC4270" s="117" t="str">
        <f>IF(AB4270=1,COUNTIF($AB$3:AB4270,1),"")</f>
        <v/>
      </c>
      <c r="AD4270" s="117" t="str">
        <f>IFERROR(INDEX($AA$3:$AA$10000,MATCH(ROWS($AC$3:AC4270),$AC$3:$AC$10000,0)),"")</f>
        <v/>
      </c>
    </row>
    <row r="4271" spans="27:30">
      <c r="AA4271" s="117">
        <f>+'Ingredient List - Mother Tinctu'!D4272</f>
        <v>0</v>
      </c>
      <c r="AB4271" s="117">
        <f t="shared" si="69"/>
        <v>0</v>
      </c>
      <c r="AC4271" s="117" t="str">
        <f>IF(AB4271=1,COUNTIF($AB$3:AB4271,1),"")</f>
        <v/>
      </c>
      <c r="AD4271" s="117" t="str">
        <f>IFERROR(INDEX($AA$3:$AA$10000,MATCH(ROWS($AC$3:AC4271),$AC$3:$AC$10000,0)),"")</f>
        <v/>
      </c>
    </row>
    <row r="4272" spans="27:30">
      <c r="AA4272" s="117">
        <f>+'Ingredient List - Mother Tinctu'!D4273</f>
        <v>0</v>
      </c>
      <c r="AB4272" s="117">
        <f t="shared" si="69"/>
        <v>0</v>
      </c>
      <c r="AC4272" s="117" t="str">
        <f>IF(AB4272=1,COUNTIF($AB$3:AB4272,1),"")</f>
        <v/>
      </c>
      <c r="AD4272" s="117" t="str">
        <f>IFERROR(INDEX($AA$3:$AA$10000,MATCH(ROWS($AC$3:AC4272),$AC$3:$AC$10000,0)),"")</f>
        <v/>
      </c>
    </row>
    <row r="4273" spans="27:30">
      <c r="AA4273" s="117">
        <f>+'Ingredient List - Mother Tinctu'!D4274</f>
        <v>0</v>
      </c>
      <c r="AB4273" s="117">
        <f t="shared" si="69"/>
        <v>0</v>
      </c>
      <c r="AC4273" s="117" t="str">
        <f>IF(AB4273=1,COUNTIF($AB$3:AB4273,1),"")</f>
        <v/>
      </c>
      <c r="AD4273" s="117" t="str">
        <f>IFERROR(INDEX($AA$3:$AA$10000,MATCH(ROWS($AC$3:AC4273),$AC$3:$AC$10000,0)),"")</f>
        <v/>
      </c>
    </row>
    <row r="4274" spans="27:30">
      <c r="AA4274" s="117">
        <f>+'Ingredient List - Mother Tinctu'!D4275</f>
        <v>0</v>
      </c>
      <c r="AB4274" s="117">
        <f t="shared" si="69"/>
        <v>0</v>
      </c>
      <c r="AC4274" s="117" t="str">
        <f>IF(AB4274=1,COUNTIF($AB$3:AB4274,1),"")</f>
        <v/>
      </c>
      <c r="AD4274" s="117" t="str">
        <f>IFERROR(INDEX($AA$3:$AA$10000,MATCH(ROWS($AC$3:AC4274),$AC$3:$AC$10000,0)),"")</f>
        <v/>
      </c>
    </row>
    <row r="4275" spans="27:30">
      <c r="AA4275" s="117">
        <f>+'Ingredient List - Mother Tinctu'!D4276</f>
        <v>0</v>
      </c>
      <c r="AB4275" s="117">
        <f t="shared" si="69"/>
        <v>0</v>
      </c>
      <c r="AC4275" s="117" t="str">
        <f>IF(AB4275=1,COUNTIF($AB$3:AB4275,1),"")</f>
        <v/>
      </c>
      <c r="AD4275" s="117" t="str">
        <f>IFERROR(INDEX($AA$3:$AA$10000,MATCH(ROWS($AC$3:AC4275),$AC$3:$AC$10000,0)),"")</f>
        <v/>
      </c>
    </row>
    <row r="4276" spans="27:30">
      <c r="AA4276" s="117">
        <f>+'Ingredient List - Mother Tinctu'!D4277</f>
        <v>0</v>
      </c>
      <c r="AB4276" s="117">
        <f t="shared" si="69"/>
        <v>0</v>
      </c>
      <c r="AC4276" s="117" t="str">
        <f>IF(AB4276=1,COUNTIF($AB$3:AB4276,1),"")</f>
        <v/>
      </c>
      <c r="AD4276" s="117" t="str">
        <f>IFERROR(INDEX($AA$3:$AA$10000,MATCH(ROWS($AC$3:AC4276),$AC$3:$AC$10000,0)),"")</f>
        <v/>
      </c>
    </row>
    <row r="4277" spans="27:30">
      <c r="AA4277" s="117">
        <f>+'Ingredient List - Mother Tinctu'!D4278</f>
        <v>0</v>
      </c>
      <c r="AB4277" s="117">
        <f t="shared" si="69"/>
        <v>0</v>
      </c>
      <c r="AC4277" s="117" t="str">
        <f>IF(AB4277=1,COUNTIF($AB$3:AB4277,1),"")</f>
        <v/>
      </c>
      <c r="AD4277" s="117" t="str">
        <f>IFERROR(INDEX($AA$3:$AA$10000,MATCH(ROWS($AC$3:AC4277),$AC$3:$AC$10000,0)),"")</f>
        <v/>
      </c>
    </row>
    <row r="4278" spans="27:30">
      <c r="AA4278" s="117">
        <f>+'Ingredient List - Mother Tinctu'!D4279</f>
        <v>0</v>
      </c>
      <c r="AB4278" s="117">
        <f t="shared" si="69"/>
        <v>0</v>
      </c>
      <c r="AC4278" s="117" t="str">
        <f>IF(AB4278=1,COUNTIF($AB$3:AB4278,1),"")</f>
        <v/>
      </c>
      <c r="AD4278" s="117" t="str">
        <f>IFERROR(INDEX($AA$3:$AA$10000,MATCH(ROWS($AC$3:AC4278),$AC$3:$AC$10000,0)),"")</f>
        <v/>
      </c>
    </row>
    <row r="4279" spans="27:30">
      <c r="AA4279" s="117">
        <f>+'Ingredient List - Mother Tinctu'!D4280</f>
        <v>0</v>
      </c>
      <c r="AB4279" s="117">
        <f t="shared" si="69"/>
        <v>0</v>
      </c>
      <c r="AC4279" s="117" t="str">
        <f>IF(AB4279=1,COUNTIF($AB$3:AB4279,1),"")</f>
        <v/>
      </c>
      <c r="AD4279" s="117" t="str">
        <f>IFERROR(INDEX($AA$3:$AA$10000,MATCH(ROWS($AC$3:AC4279),$AC$3:$AC$10000,0)),"")</f>
        <v/>
      </c>
    </row>
    <row r="4280" spans="27:30">
      <c r="AA4280" s="117">
        <f>+'Ingredient List - Mother Tinctu'!D4281</f>
        <v>0</v>
      </c>
      <c r="AB4280" s="117">
        <f t="shared" si="69"/>
        <v>0</v>
      </c>
      <c r="AC4280" s="117" t="str">
        <f>IF(AB4280=1,COUNTIF($AB$3:AB4280,1),"")</f>
        <v/>
      </c>
      <c r="AD4280" s="117" t="str">
        <f>IFERROR(INDEX($AA$3:$AA$10000,MATCH(ROWS($AC$3:AC4280),$AC$3:$AC$10000,0)),"")</f>
        <v/>
      </c>
    </row>
    <row r="4281" spans="27:30">
      <c r="AA4281" s="117">
        <f>+'Ingredient List - Mother Tinctu'!D4282</f>
        <v>0</v>
      </c>
      <c r="AB4281" s="117">
        <f t="shared" si="69"/>
        <v>0</v>
      </c>
      <c r="AC4281" s="117" t="str">
        <f>IF(AB4281=1,COUNTIF($AB$3:AB4281,1),"")</f>
        <v/>
      </c>
      <c r="AD4281" s="117" t="str">
        <f>IFERROR(INDEX($AA$3:$AA$10000,MATCH(ROWS($AC$3:AC4281),$AC$3:$AC$10000,0)),"")</f>
        <v/>
      </c>
    </row>
    <row r="4282" spans="27:30">
      <c r="AA4282" s="117">
        <f>+'Ingredient List - Mother Tinctu'!D4283</f>
        <v>0</v>
      </c>
      <c r="AB4282" s="117">
        <f t="shared" si="69"/>
        <v>0</v>
      </c>
      <c r="AC4282" s="117" t="str">
        <f>IF(AB4282=1,COUNTIF($AB$3:AB4282,1),"")</f>
        <v/>
      </c>
      <c r="AD4282" s="117" t="str">
        <f>IFERROR(INDEX($AA$3:$AA$10000,MATCH(ROWS($AC$3:AC4282),$AC$3:$AC$10000,0)),"")</f>
        <v/>
      </c>
    </row>
    <row r="4283" spans="27:30">
      <c r="AA4283" s="117">
        <f>+'Ingredient List - Mother Tinctu'!D4284</f>
        <v>0</v>
      </c>
      <c r="AB4283" s="117">
        <f t="shared" si="69"/>
        <v>0</v>
      </c>
      <c r="AC4283" s="117" t="str">
        <f>IF(AB4283=1,COUNTIF($AB$3:AB4283,1),"")</f>
        <v/>
      </c>
      <c r="AD4283" s="117" t="str">
        <f>IFERROR(INDEX($AA$3:$AA$10000,MATCH(ROWS($AC$3:AC4283),$AC$3:$AC$10000,0)),"")</f>
        <v/>
      </c>
    </row>
    <row r="4284" spans="27:30">
      <c r="AA4284" s="117">
        <f>+'Ingredient List - Mother Tinctu'!D4285</f>
        <v>0</v>
      </c>
      <c r="AB4284" s="117">
        <f t="shared" si="69"/>
        <v>0</v>
      </c>
      <c r="AC4284" s="117" t="str">
        <f>IF(AB4284=1,COUNTIF($AB$3:AB4284,1),"")</f>
        <v/>
      </c>
      <c r="AD4284" s="117" t="str">
        <f>IFERROR(INDEX($AA$3:$AA$10000,MATCH(ROWS($AC$3:AC4284),$AC$3:$AC$10000,0)),"")</f>
        <v/>
      </c>
    </row>
    <row r="4285" spans="27:30">
      <c r="AA4285" s="117">
        <f>+'Ingredient List - Mother Tinctu'!D4286</f>
        <v>0</v>
      </c>
      <c r="AB4285" s="117">
        <f t="shared" si="69"/>
        <v>0</v>
      </c>
      <c r="AC4285" s="117" t="str">
        <f>IF(AB4285=1,COUNTIF($AB$3:AB4285,1),"")</f>
        <v/>
      </c>
      <c r="AD4285" s="117" t="str">
        <f>IFERROR(INDEX($AA$3:$AA$10000,MATCH(ROWS($AC$3:AC4285),$AC$3:$AC$10000,0)),"")</f>
        <v/>
      </c>
    </row>
    <row r="4286" spans="27:30">
      <c r="AA4286" s="117">
        <f>+'Ingredient List - Mother Tinctu'!D4287</f>
        <v>0</v>
      </c>
      <c r="AB4286" s="117">
        <f t="shared" si="69"/>
        <v>0</v>
      </c>
      <c r="AC4286" s="117" t="str">
        <f>IF(AB4286=1,COUNTIF($AB$3:AB4286,1),"")</f>
        <v/>
      </c>
      <c r="AD4286" s="117" t="str">
        <f>IFERROR(INDEX($AA$3:$AA$10000,MATCH(ROWS($AC$3:AC4286),$AC$3:$AC$10000,0)),"")</f>
        <v/>
      </c>
    </row>
    <row r="4287" spans="27:30">
      <c r="AA4287" s="117">
        <f>+'Ingredient List - Mother Tinctu'!D4288</f>
        <v>0</v>
      </c>
      <c r="AB4287" s="117">
        <f t="shared" si="69"/>
        <v>0</v>
      </c>
      <c r="AC4287" s="117" t="str">
        <f>IF(AB4287=1,COUNTIF($AB$3:AB4287,1),"")</f>
        <v/>
      </c>
      <c r="AD4287" s="117" t="str">
        <f>IFERROR(INDEX($AA$3:$AA$10000,MATCH(ROWS($AC$3:AC4287),$AC$3:$AC$10000,0)),"")</f>
        <v/>
      </c>
    </row>
    <row r="4288" spans="27:30">
      <c r="AA4288" s="117">
        <f>+'Ingredient List - Mother Tinctu'!D4289</f>
        <v>0</v>
      </c>
      <c r="AB4288" s="117">
        <f t="shared" si="69"/>
        <v>0</v>
      </c>
      <c r="AC4288" s="117" t="str">
        <f>IF(AB4288=1,COUNTIF($AB$3:AB4288,1),"")</f>
        <v/>
      </c>
      <c r="AD4288" s="117" t="str">
        <f>IFERROR(INDEX($AA$3:$AA$10000,MATCH(ROWS($AC$3:AC4288),$AC$3:$AC$10000,0)),"")</f>
        <v/>
      </c>
    </row>
    <row r="4289" spans="27:30">
      <c r="AA4289" s="117">
        <f>+'Ingredient List - Mother Tinctu'!D4290</f>
        <v>0</v>
      </c>
      <c r="AB4289" s="117">
        <f t="shared" si="69"/>
        <v>0</v>
      </c>
      <c r="AC4289" s="117" t="str">
        <f>IF(AB4289=1,COUNTIF($AB$3:AB4289,1),"")</f>
        <v/>
      </c>
      <c r="AD4289" s="117" t="str">
        <f>IFERROR(INDEX($AA$3:$AA$10000,MATCH(ROWS($AC$3:AC4289),$AC$3:$AC$10000,0)),"")</f>
        <v/>
      </c>
    </row>
    <row r="4290" spans="27:30">
      <c r="AA4290" s="117">
        <f>+'Ingredient List - Mother Tinctu'!D4291</f>
        <v>0</v>
      </c>
      <c r="AB4290" s="117">
        <f t="shared" si="69"/>
        <v>0</v>
      </c>
      <c r="AC4290" s="117" t="str">
        <f>IF(AB4290=1,COUNTIF($AB$3:AB4290,1),"")</f>
        <v/>
      </c>
      <c r="AD4290" s="117" t="str">
        <f>IFERROR(INDEX($AA$3:$AA$10000,MATCH(ROWS($AC$3:AC4290),$AC$3:$AC$10000,0)),"")</f>
        <v/>
      </c>
    </row>
    <row r="4291" spans="27:30">
      <c r="AA4291" s="117">
        <f>+'Ingredient List - Mother Tinctu'!D4292</f>
        <v>0</v>
      </c>
      <c r="AB4291" s="117">
        <f t="shared" si="69"/>
        <v>0</v>
      </c>
      <c r="AC4291" s="117" t="str">
        <f>IF(AB4291=1,COUNTIF($AB$3:AB4291,1),"")</f>
        <v/>
      </c>
      <c r="AD4291" s="117" t="str">
        <f>IFERROR(INDEX($AA$3:$AA$10000,MATCH(ROWS($AC$3:AC4291),$AC$3:$AC$10000,0)),"")</f>
        <v/>
      </c>
    </row>
    <row r="4292" spans="27:30">
      <c r="AA4292" s="117">
        <f>+'Ingredient List - Mother Tinctu'!D4293</f>
        <v>0</v>
      </c>
      <c r="AB4292" s="117">
        <f t="shared" ref="AB4292:AB4355" si="70">--ISNUMBER(IFERROR(SEARCH($D$3,AA4292,1),""))</f>
        <v>0</v>
      </c>
      <c r="AC4292" s="117" t="str">
        <f>IF(AB4292=1,COUNTIF($AB$3:AB4292,1),"")</f>
        <v/>
      </c>
      <c r="AD4292" s="117" t="str">
        <f>IFERROR(INDEX($AA$3:$AA$10000,MATCH(ROWS($AC$3:AC4292),$AC$3:$AC$10000,0)),"")</f>
        <v/>
      </c>
    </row>
    <row r="4293" spans="27:30">
      <c r="AA4293" s="117">
        <f>+'Ingredient List - Mother Tinctu'!D4294</f>
        <v>0</v>
      </c>
      <c r="AB4293" s="117">
        <f t="shared" si="70"/>
        <v>0</v>
      </c>
      <c r="AC4293" s="117" t="str">
        <f>IF(AB4293=1,COUNTIF($AB$3:AB4293,1),"")</f>
        <v/>
      </c>
      <c r="AD4293" s="117" t="str">
        <f>IFERROR(INDEX($AA$3:$AA$10000,MATCH(ROWS($AC$3:AC4293),$AC$3:$AC$10000,0)),"")</f>
        <v/>
      </c>
    </row>
    <row r="4294" spans="27:30">
      <c r="AA4294" s="117">
        <f>+'Ingredient List - Mother Tinctu'!D4295</f>
        <v>0</v>
      </c>
      <c r="AB4294" s="117">
        <f t="shared" si="70"/>
        <v>0</v>
      </c>
      <c r="AC4294" s="117" t="str">
        <f>IF(AB4294=1,COUNTIF($AB$3:AB4294,1),"")</f>
        <v/>
      </c>
      <c r="AD4294" s="117" t="str">
        <f>IFERROR(INDEX($AA$3:$AA$10000,MATCH(ROWS($AC$3:AC4294),$AC$3:$AC$10000,0)),"")</f>
        <v/>
      </c>
    </row>
    <row r="4295" spans="27:30">
      <c r="AA4295" s="117">
        <f>+'Ingredient List - Mother Tinctu'!D4296</f>
        <v>0</v>
      </c>
      <c r="AB4295" s="117">
        <f t="shared" si="70"/>
        <v>0</v>
      </c>
      <c r="AC4295" s="117" t="str">
        <f>IF(AB4295=1,COUNTIF($AB$3:AB4295,1),"")</f>
        <v/>
      </c>
      <c r="AD4295" s="117" t="str">
        <f>IFERROR(INDEX($AA$3:$AA$10000,MATCH(ROWS($AC$3:AC4295),$AC$3:$AC$10000,0)),"")</f>
        <v/>
      </c>
    </row>
    <row r="4296" spans="27:30">
      <c r="AA4296" s="117">
        <f>+'Ingredient List - Mother Tinctu'!D4297</f>
        <v>0</v>
      </c>
      <c r="AB4296" s="117">
        <f t="shared" si="70"/>
        <v>0</v>
      </c>
      <c r="AC4296" s="117" t="str">
        <f>IF(AB4296=1,COUNTIF($AB$3:AB4296,1),"")</f>
        <v/>
      </c>
      <c r="AD4296" s="117" t="str">
        <f>IFERROR(INDEX($AA$3:$AA$10000,MATCH(ROWS($AC$3:AC4296),$AC$3:$AC$10000,0)),"")</f>
        <v/>
      </c>
    </row>
    <row r="4297" spans="27:30">
      <c r="AA4297" s="117">
        <f>+'Ingredient List - Mother Tinctu'!D4298</f>
        <v>0</v>
      </c>
      <c r="AB4297" s="117">
        <f t="shared" si="70"/>
        <v>0</v>
      </c>
      <c r="AC4297" s="117" t="str">
        <f>IF(AB4297=1,COUNTIF($AB$3:AB4297,1),"")</f>
        <v/>
      </c>
      <c r="AD4297" s="117" t="str">
        <f>IFERROR(INDEX($AA$3:$AA$10000,MATCH(ROWS($AC$3:AC4297),$AC$3:$AC$10000,0)),"")</f>
        <v/>
      </c>
    </row>
    <row r="4298" spans="27:30">
      <c r="AA4298" s="117">
        <f>+'Ingredient List - Mother Tinctu'!D4299</f>
        <v>0</v>
      </c>
      <c r="AB4298" s="117">
        <f t="shared" si="70"/>
        <v>0</v>
      </c>
      <c r="AC4298" s="117" t="str">
        <f>IF(AB4298=1,COUNTIF($AB$3:AB4298,1),"")</f>
        <v/>
      </c>
      <c r="AD4298" s="117" t="str">
        <f>IFERROR(INDEX($AA$3:$AA$10000,MATCH(ROWS($AC$3:AC4298),$AC$3:$AC$10000,0)),"")</f>
        <v/>
      </c>
    </row>
    <row r="4299" spans="27:30">
      <c r="AA4299" s="117">
        <f>+'Ingredient List - Mother Tinctu'!D4300</f>
        <v>0</v>
      </c>
      <c r="AB4299" s="117">
        <f t="shared" si="70"/>
        <v>0</v>
      </c>
      <c r="AC4299" s="117" t="str">
        <f>IF(AB4299=1,COUNTIF($AB$3:AB4299,1),"")</f>
        <v/>
      </c>
      <c r="AD4299" s="117" t="str">
        <f>IFERROR(INDEX($AA$3:$AA$10000,MATCH(ROWS($AC$3:AC4299),$AC$3:$AC$10000,0)),"")</f>
        <v/>
      </c>
    </row>
    <row r="4300" spans="27:30">
      <c r="AA4300" s="117">
        <f>+'Ingredient List - Mother Tinctu'!D4301</f>
        <v>0</v>
      </c>
      <c r="AB4300" s="117">
        <f t="shared" si="70"/>
        <v>0</v>
      </c>
      <c r="AC4300" s="117" t="str">
        <f>IF(AB4300=1,COUNTIF($AB$3:AB4300,1),"")</f>
        <v/>
      </c>
      <c r="AD4300" s="117" t="str">
        <f>IFERROR(INDEX($AA$3:$AA$10000,MATCH(ROWS($AC$3:AC4300),$AC$3:$AC$10000,0)),"")</f>
        <v/>
      </c>
    </row>
    <row r="4301" spans="27:30">
      <c r="AA4301" s="117">
        <f>+'Ingredient List - Mother Tinctu'!D4302</f>
        <v>0</v>
      </c>
      <c r="AB4301" s="117">
        <f t="shared" si="70"/>
        <v>0</v>
      </c>
      <c r="AC4301" s="117" t="str">
        <f>IF(AB4301=1,COUNTIF($AB$3:AB4301,1),"")</f>
        <v/>
      </c>
      <c r="AD4301" s="117" t="str">
        <f>IFERROR(INDEX($AA$3:$AA$10000,MATCH(ROWS($AC$3:AC4301),$AC$3:$AC$10000,0)),"")</f>
        <v/>
      </c>
    </row>
    <row r="4302" spans="27:30">
      <c r="AA4302" s="117">
        <f>+'Ingredient List - Mother Tinctu'!D4303</f>
        <v>0</v>
      </c>
      <c r="AB4302" s="117">
        <f t="shared" si="70"/>
        <v>0</v>
      </c>
      <c r="AC4302" s="117" t="str">
        <f>IF(AB4302=1,COUNTIF($AB$3:AB4302,1),"")</f>
        <v/>
      </c>
      <c r="AD4302" s="117" t="str">
        <f>IFERROR(INDEX($AA$3:$AA$10000,MATCH(ROWS($AC$3:AC4302),$AC$3:$AC$10000,0)),"")</f>
        <v/>
      </c>
    </row>
    <row r="4303" spans="27:30">
      <c r="AA4303" s="117">
        <f>+'Ingredient List - Mother Tinctu'!D4304</f>
        <v>0</v>
      </c>
      <c r="AB4303" s="117">
        <f t="shared" si="70"/>
        <v>0</v>
      </c>
      <c r="AC4303" s="117" t="str">
        <f>IF(AB4303=1,COUNTIF($AB$3:AB4303,1),"")</f>
        <v/>
      </c>
      <c r="AD4303" s="117" t="str">
        <f>IFERROR(INDEX($AA$3:$AA$10000,MATCH(ROWS($AC$3:AC4303),$AC$3:$AC$10000,0)),"")</f>
        <v/>
      </c>
    </row>
    <row r="4304" spans="27:30">
      <c r="AA4304" s="117">
        <f>+'Ingredient List - Mother Tinctu'!D4305</f>
        <v>0</v>
      </c>
      <c r="AB4304" s="117">
        <f t="shared" si="70"/>
        <v>0</v>
      </c>
      <c r="AC4304" s="117" t="str">
        <f>IF(AB4304=1,COUNTIF($AB$3:AB4304,1),"")</f>
        <v/>
      </c>
      <c r="AD4304" s="117" t="str">
        <f>IFERROR(INDEX($AA$3:$AA$10000,MATCH(ROWS($AC$3:AC4304),$AC$3:$AC$10000,0)),"")</f>
        <v/>
      </c>
    </row>
    <row r="4305" spans="27:30">
      <c r="AA4305" s="117">
        <f>+'Ingredient List - Mother Tinctu'!D4306</f>
        <v>0</v>
      </c>
      <c r="AB4305" s="117">
        <f t="shared" si="70"/>
        <v>0</v>
      </c>
      <c r="AC4305" s="117" t="str">
        <f>IF(AB4305=1,COUNTIF($AB$3:AB4305,1),"")</f>
        <v/>
      </c>
      <c r="AD4305" s="117" t="str">
        <f>IFERROR(INDEX($AA$3:$AA$10000,MATCH(ROWS($AC$3:AC4305),$AC$3:$AC$10000,0)),"")</f>
        <v/>
      </c>
    </row>
    <row r="4306" spans="27:30">
      <c r="AA4306" s="117">
        <f>+'Ingredient List - Mother Tinctu'!D4307</f>
        <v>0</v>
      </c>
      <c r="AB4306" s="117">
        <f t="shared" si="70"/>
        <v>0</v>
      </c>
      <c r="AC4306" s="117" t="str">
        <f>IF(AB4306=1,COUNTIF($AB$3:AB4306,1),"")</f>
        <v/>
      </c>
      <c r="AD4306" s="117" t="str">
        <f>IFERROR(INDEX($AA$3:$AA$10000,MATCH(ROWS($AC$3:AC4306),$AC$3:$AC$10000,0)),"")</f>
        <v/>
      </c>
    </row>
    <row r="4307" spans="27:30">
      <c r="AA4307" s="117">
        <f>+'Ingredient List - Mother Tinctu'!D4308</f>
        <v>0</v>
      </c>
      <c r="AB4307" s="117">
        <f t="shared" si="70"/>
        <v>0</v>
      </c>
      <c r="AC4307" s="117" t="str">
        <f>IF(AB4307=1,COUNTIF($AB$3:AB4307,1),"")</f>
        <v/>
      </c>
      <c r="AD4307" s="117" t="str">
        <f>IFERROR(INDEX($AA$3:$AA$10000,MATCH(ROWS($AC$3:AC4307),$AC$3:$AC$10000,0)),"")</f>
        <v/>
      </c>
    </row>
    <row r="4308" spans="27:30">
      <c r="AA4308" s="117">
        <f>+'Ingredient List - Mother Tinctu'!D4309</f>
        <v>0</v>
      </c>
      <c r="AB4308" s="117">
        <f t="shared" si="70"/>
        <v>0</v>
      </c>
      <c r="AC4308" s="117" t="str">
        <f>IF(AB4308=1,COUNTIF($AB$3:AB4308,1),"")</f>
        <v/>
      </c>
      <c r="AD4308" s="117" t="str">
        <f>IFERROR(INDEX($AA$3:$AA$10000,MATCH(ROWS($AC$3:AC4308),$AC$3:$AC$10000,0)),"")</f>
        <v/>
      </c>
    </row>
    <row r="4309" spans="27:30">
      <c r="AA4309" s="117">
        <f>+'Ingredient List - Mother Tinctu'!D4310</f>
        <v>0</v>
      </c>
      <c r="AB4309" s="117">
        <f t="shared" si="70"/>
        <v>0</v>
      </c>
      <c r="AC4309" s="117" t="str">
        <f>IF(AB4309=1,COUNTIF($AB$3:AB4309,1),"")</f>
        <v/>
      </c>
      <c r="AD4309" s="117" t="str">
        <f>IFERROR(INDEX($AA$3:$AA$10000,MATCH(ROWS($AC$3:AC4309),$AC$3:$AC$10000,0)),"")</f>
        <v/>
      </c>
    </row>
    <row r="4310" spans="27:30">
      <c r="AA4310" s="117">
        <f>+'Ingredient List - Mother Tinctu'!D4311</f>
        <v>0</v>
      </c>
      <c r="AB4310" s="117">
        <f t="shared" si="70"/>
        <v>0</v>
      </c>
      <c r="AC4310" s="117" t="str">
        <f>IF(AB4310=1,COUNTIF($AB$3:AB4310,1),"")</f>
        <v/>
      </c>
      <c r="AD4310" s="117" t="str">
        <f>IFERROR(INDEX($AA$3:$AA$10000,MATCH(ROWS($AC$3:AC4310),$AC$3:$AC$10000,0)),"")</f>
        <v/>
      </c>
    </row>
    <row r="4311" spans="27:30">
      <c r="AA4311" s="117">
        <f>+'Ingredient List - Mother Tinctu'!D4312</f>
        <v>0</v>
      </c>
      <c r="AB4311" s="117">
        <f t="shared" si="70"/>
        <v>0</v>
      </c>
      <c r="AC4311" s="117" t="str">
        <f>IF(AB4311=1,COUNTIF($AB$3:AB4311,1),"")</f>
        <v/>
      </c>
      <c r="AD4311" s="117" t="str">
        <f>IFERROR(INDEX($AA$3:$AA$10000,MATCH(ROWS($AC$3:AC4311),$AC$3:$AC$10000,0)),"")</f>
        <v/>
      </c>
    </row>
    <row r="4312" spans="27:30">
      <c r="AA4312" s="117">
        <f>+'Ingredient List - Mother Tinctu'!D4313</f>
        <v>0</v>
      </c>
      <c r="AB4312" s="117">
        <f t="shared" si="70"/>
        <v>0</v>
      </c>
      <c r="AC4312" s="117" t="str">
        <f>IF(AB4312=1,COUNTIF($AB$3:AB4312,1),"")</f>
        <v/>
      </c>
      <c r="AD4312" s="117" t="str">
        <f>IFERROR(INDEX($AA$3:$AA$10000,MATCH(ROWS($AC$3:AC4312),$AC$3:$AC$10000,0)),"")</f>
        <v/>
      </c>
    </row>
    <row r="4313" spans="27:30">
      <c r="AA4313" s="117">
        <f>+'Ingredient List - Mother Tinctu'!D4314</f>
        <v>0</v>
      </c>
      <c r="AB4313" s="117">
        <f t="shared" si="70"/>
        <v>0</v>
      </c>
      <c r="AC4313" s="117" t="str">
        <f>IF(AB4313=1,COUNTIF($AB$3:AB4313,1),"")</f>
        <v/>
      </c>
      <c r="AD4313" s="117" t="str">
        <f>IFERROR(INDEX($AA$3:$AA$10000,MATCH(ROWS($AC$3:AC4313),$AC$3:$AC$10000,0)),"")</f>
        <v/>
      </c>
    </row>
    <row r="4314" spans="27:30">
      <c r="AA4314" s="117">
        <f>+'Ingredient List - Mother Tinctu'!D4315</f>
        <v>0</v>
      </c>
      <c r="AB4314" s="117">
        <f t="shared" si="70"/>
        <v>0</v>
      </c>
      <c r="AC4314" s="117" t="str">
        <f>IF(AB4314=1,COUNTIF($AB$3:AB4314,1),"")</f>
        <v/>
      </c>
      <c r="AD4314" s="117" t="str">
        <f>IFERROR(INDEX($AA$3:$AA$10000,MATCH(ROWS($AC$3:AC4314),$AC$3:$AC$10000,0)),"")</f>
        <v/>
      </c>
    </row>
    <row r="4315" spans="27:30">
      <c r="AA4315" s="117">
        <f>+'Ingredient List - Mother Tinctu'!D4316</f>
        <v>0</v>
      </c>
      <c r="AB4315" s="117">
        <f t="shared" si="70"/>
        <v>0</v>
      </c>
      <c r="AC4315" s="117" t="str">
        <f>IF(AB4315=1,COUNTIF($AB$3:AB4315,1),"")</f>
        <v/>
      </c>
      <c r="AD4315" s="117" t="str">
        <f>IFERROR(INDEX($AA$3:$AA$10000,MATCH(ROWS($AC$3:AC4315),$AC$3:$AC$10000,0)),"")</f>
        <v/>
      </c>
    </row>
    <row r="4316" spans="27:30">
      <c r="AA4316" s="117">
        <f>+'Ingredient List - Mother Tinctu'!D4317</f>
        <v>0</v>
      </c>
      <c r="AB4316" s="117">
        <f t="shared" si="70"/>
        <v>0</v>
      </c>
      <c r="AC4316" s="117" t="str">
        <f>IF(AB4316=1,COUNTIF($AB$3:AB4316,1),"")</f>
        <v/>
      </c>
      <c r="AD4316" s="117" t="str">
        <f>IFERROR(INDEX($AA$3:$AA$10000,MATCH(ROWS($AC$3:AC4316),$AC$3:$AC$10000,0)),"")</f>
        <v/>
      </c>
    </row>
    <row r="4317" spans="27:30">
      <c r="AA4317" s="117">
        <f>+'Ingredient List - Mother Tinctu'!D4318</f>
        <v>0</v>
      </c>
      <c r="AB4317" s="117">
        <f t="shared" si="70"/>
        <v>0</v>
      </c>
      <c r="AC4317" s="117" t="str">
        <f>IF(AB4317=1,COUNTIF($AB$3:AB4317,1),"")</f>
        <v/>
      </c>
      <c r="AD4317" s="117" t="str">
        <f>IFERROR(INDEX($AA$3:$AA$10000,MATCH(ROWS($AC$3:AC4317),$AC$3:$AC$10000,0)),"")</f>
        <v/>
      </c>
    </row>
    <row r="4318" spans="27:30">
      <c r="AA4318" s="117">
        <f>+'Ingredient List - Mother Tinctu'!D4319</f>
        <v>0</v>
      </c>
      <c r="AB4318" s="117">
        <f t="shared" si="70"/>
        <v>0</v>
      </c>
      <c r="AC4318" s="117" t="str">
        <f>IF(AB4318=1,COUNTIF($AB$3:AB4318,1),"")</f>
        <v/>
      </c>
      <c r="AD4318" s="117" t="str">
        <f>IFERROR(INDEX($AA$3:$AA$10000,MATCH(ROWS($AC$3:AC4318),$AC$3:$AC$10000,0)),"")</f>
        <v/>
      </c>
    </row>
    <row r="4319" spans="27:30">
      <c r="AA4319" s="117">
        <f>+'Ingredient List - Mother Tinctu'!D4320</f>
        <v>0</v>
      </c>
      <c r="AB4319" s="117">
        <f t="shared" si="70"/>
        <v>0</v>
      </c>
      <c r="AC4319" s="117" t="str">
        <f>IF(AB4319=1,COUNTIF($AB$3:AB4319,1),"")</f>
        <v/>
      </c>
      <c r="AD4319" s="117" t="str">
        <f>IFERROR(INDEX($AA$3:$AA$10000,MATCH(ROWS($AC$3:AC4319),$AC$3:$AC$10000,0)),"")</f>
        <v/>
      </c>
    </row>
    <row r="4320" spans="27:30">
      <c r="AA4320" s="117">
        <f>+'Ingredient List - Mother Tinctu'!D4321</f>
        <v>0</v>
      </c>
      <c r="AB4320" s="117">
        <f t="shared" si="70"/>
        <v>0</v>
      </c>
      <c r="AC4320" s="117" t="str">
        <f>IF(AB4320=1,COUNTIF($AB$3:AB4320,1),"")</f>
        <v/>
      </c>
      <c r="AD4320" s="117" t="str">
        <f>IFERROR(INDEX($AA$3:$AA$10000,MATCH(ROWS($AC$3:AC4320),$AC$3:$AC$10000,0)),"")</f>
        <v/>
      </c>
    </row>
    <row r="4321" spans="27:30">
      <c r="AA4321" s="117">
        <f>+'Ingredient List - Mother Tinctu'!D4322</f>
        <v>0</v>
      </c>
      <c r="AB4321" s="117">
        <f t="shared" si="70"/>
        <v>0</v>
      </c>
      <c r="AC4321" s="117" t="str">
        <f>IF(AB4321=1,COUNTIF($AB$3:AB4321,1),"")</f>
        <v/>
      </c>
      <c r="AD4321" s="117" t="str">
        <f>IFERROR(INDEX($AA$3:$AA$10000,MATCH(ROWS($AC$3:AC4321),$AC$3:$AC$10000,0)),"")</f>
        <v/>
      </c>
    </row>
    <row r="4322" spans="27:30">
      <c r="AA4322" s="117">
        <f>+'Ingredient List - Mother Tinctu'!D4323</f>
        <v>0</v>
      </c>
      <c r="AB4322" s="117">
        <f t="shared" si="70"/>
        <v>0</v>
      </c>
      <c r="AC4322" s="117" t="str">
        <f>IF(AB4322=1,COUNTIF($AB$3:AB4322,1),"")</f>
        <v/>
      </c>
      <c r="AD4322" s="117" t="str">
        <f>IFERROR(INDEX($AA$3:$AA$10000,MATCH(ROWS($AC$3:AC4322),$AC$3:$AC$10000,0)),"")</f>
        <v/>
      </c>
    </row>
    <row r="4323" spans="27:30">
      <c r="AA4323" s="117">
        <f>+'Ingredient List - Mother Tinctu'!D4324</f>
        <v>0</v>
      </c>
      <c r="AB4323" s="117">
        <f t="shared" si="70"/>
        <v>0</v>
      </c>
      <c r="AC4323" s="117" t="str">
        <f>IF(AB4323=1,COUNTIF($AB$3:AB4323,1),"")</f>
        <v/>
      </c>
      <c r="AD4323" s="117" t="str">
        <f>IFERROR(INDEX($AA$3:$AA$10000,MATCH(ROWS($AC$3:AC4323),$AC$3:$AC$10000,0)),"")</f>
        <v/>
      </c>
    </row>
    <row r="4324" spans="27:30">
      <c r="AA4324" s="117">
        <f>+'Ingredient List - Mother Tinctu'!D4325</f>
        <v>0</v>
      </c>
      <c r="AB4324" s="117">
        <f t="shared" si="70"/>
        <v>0</v>
      </c>
      <c r="AC4324" s="117" t="str">
        <f>IF(AB4324=1,COUNTIF($AB$3:AB4324,1),"")</f>
        <v/>
      </c>
      <c r="AD4324" s="117" t="str">
        <f>IFERROR(INDEX($AA$3:$AA$10000,MATCH(ROWS($AC$3:AC4324),$AC$3:$AC$10000,0)),"")</f>
        <v/>
      </c>
    </row>
    <row r="4325" spans="27:30">
      <c r="AA4325" s="117">
        <f>+'Ingredient List - Mother Tinctu'!D4326</f>
        <v>0</v>
      </c>
      <c r="AB4325" s="117">
        <f t="shared" si="70"/>
        <v>0</v>
      </c>
      <c r="AC4325" s="117" t="str">
        <f>IF(AB4325=1,COUNTIF($AB$3:AB4325,1),"")</f>
        <v/>
      </c>
      <c r="AD4325" s="117" t="str">
        <f>IFERROR(INDEX($AA$3:$AA$10000,MATCH(ROWS($AC$3:AC4325),$AC$3:$AC$10000,0)),"")</f>
        <v/>
      </c>
    </row>
    <row r="4326" spans="27:30">
      <c r="AA4326" s="117">
        <f>+'Ingredient List - Mother Tinctu'!D4327</f>
        <v>0</v>
      </c>
      <c r="AB4326" s="117">
        <f t="shared" si="70"/>
        <v>0</v>
      </c>
      <c r="AC4326" s="117" t="str">
        <f>IF(AB4326=1,COUNTIF($AB$3:AB4326,1),"")</f>
        <v/>
      </c>
      <c r="AD4326" s="117" t="str">
        <f>IFERROR(INDEX($AA$3:$AA$10000,MATCH(ROWS($AC$3:AC4326),$AC$3:$AC$10000,0)),"")</f>
        <v/>
      </c>
    </row>
    <row r="4327" spans="27:30">
      <c r="AA4327" s="117">
        <f>+'Ingredient List - Mother Tinctu'!D4328</f>
        <v>0</v>
      </c>
      <c r="AB4327" s="117">
        <f t="shared" si="70"/>
        <v>0</v>
      </c>
      <c r="AC4327" s="117" t="str">
        <f>IF(AB4327=1,COUNTIF($AB$3:AB4327,1),"")</f>
        <v/>
      </c>
      <c r="AD4327" s="117" t="str">
        <f>IFERROR(INDEX($AA$3:$AA$10000,MATCH(ROWS($AC$3:AC4327),$AC$3:$AC$10000,0)),"")</f>
        <v/>
      </c>
    </row>
    <row r="4328" spans="27:30">
      <c r="AA4328" s="117">
        <f>+'Ingredient List - Mother Tinctu'!D4329</f>
        <v>0</v>
      </c>
      <c r="AB4328" s="117">
        <f t="shared" si="70"/>
        <v>0</v>
      </c>
      <c r="AC4328" s="117" t="str">
        <f>IF(AB4328=1,COUNTIF($AB$3:AB4328,1),"")</f>
        <v/>
      </c>
      <c r="AD4328" s="117" t="str">
        <f>IFERROR(INDEX($AA$3:$AA$10000,MATCH(ROWS($AC$3:AC4328),$AC$3:$AC$10000,0)),"")</f>
        <v/>
      </c>
    </row>
    <row r="4329" spans="27:30">
      <c r="AA4329" s="117">
        <f>+'Ingredient List - Mother Tinctu'!D4330</f>
        <v>0</v>
      </c>
      <c r="AB4329" s="117">
        <f t="shared" si="70"/>
        <v>0</v>
      </c>
      <c r="AC4329" s="117" t="str">
        <f>IF(AB4329=1,COUNTIF($AB$3:AB4329,1),"")</f>
        <v/>
      </c>
      <c r="AD4329" s="117" t="str">
        <f>IFERROR(INDEX($AA$3:$AA$10000,MATCH(ROWS($AC$3:AC4329),$AC$3:$AC$10000,0)),"")</f>
        <v/>
      </c>
    </row>
    <row r="4330" spans="27:30">
      <c r="AA4330" s="117">
        <f>+'Ingredient List - Mother Tinctu'!D4331</f>
        <v>0</v>
      </c>
      <c r="AB4330" s="117">
        <f t="shared" si="70"/>
        <v>0</v>
      </c>
      <c r="AC4330" s="117" t="str">
        <f>IF(AB4330=1,COUNTIF($AB$3:AB4330,1),"")</f>
        <v/>
      </c>
      <c r="AD4330" s="117" t="str">
        <f>IFERROR(INDEX($AA$3:$AA$10000,MATCH(ROWS($AC$3:AC4330),$AC$3:$AC$10000,0)),"")</f>
        <v/>
      </c>
    </row>
    <row r="4331" spans="27:30">
      <c r="AA4331" s="117">
        <f>+'Ingredient List - Mother Tinctu'!D4332</f>
        <v>0</v>
      </c>
      <c r="AB4331" s="117">
        <f t="shared" si="70"/>
        <v>0</v>
      </c>
      <c r="AC4331" s="117" t="str">
        <f>IF(AB4331=1,COUNTIF($AB$3:AB4331,1),"")</f>
        <v/>
      </c>
      <c r="AD4331" s="117" t="str">
        <f>IFERROR(INDEX($AA$3:$AA$10000,MATCH(ROWS($AC$3:AC4331),$AC$3:$AC$10000,0)),"")</f>
        <v/>
      </c>
    </row>
    <row r="4332" spans="27:30">
      <c r="AA4332" s="117">
        <f>+'Ingredient List - Mother Tinctu'!D4333</f>
        <v>0</v>
      </c>
      <c r="AB4332" s="117">
        <f t="shared" si="70"/>
        <v>0</v>
      </c>
      <c r="AC4332" s="117" t="str">
        <f>IF(AB4332=1,COUNTIF($AB$3:AB4332,1),"")</f>
        <v/>
      </c>
      <c r="AD4332" s="117" t="str">
        <f>IFERROR(INDEX($AA$3:$AA$10000,MATCH(ROWS($AC$3:AC4332),$AC$3:$AC$10000,0)),"")</f>
        <v/>
      </c>
    </row>
    <row r="4333" spans="27:30">
      <c r="AA4333" s="117">
        <f>+'Ingredient List - Mother Tinctu'!D4334</f>
        <v>0</v>
      </c>
      <c r="AB4333" s="117">
        <f t="shared" si="70"/>
        <v>0</v>
      </c>
      <c r="AC4333" s="117" t="str">
        <f>IF(AB4333=1,COUNTIF($AB$3:AB4333,1),"")</f>
        <v/>
      </c>
      <c r="AD4333" s="117" t="str">
        <f>IFERROR(INDEX($AA$3:$AA$10000,MATCH(ROWS($AC$3:AC4333),$AC$3:$AC$10000,0)),"")</f>
        <v/>
      </c>
    </row>
    <row r="4334" spans="27:30">
      <c r="AA4334" s="117">
        <f>+'Ingredient List - Mother Tinctu'!D4335</f>
        <v>0</v>
      </c>
      <c r="AB4334" s="117">
        <f t="shared" si="70"/>
        <v>0</v>
      </c>
      <c r="AC4334" s="117" t="str">
        <f>IF(AB4334=1,COUNTIF($AB$3:AB4334,1),"")</f>
        <v/>
      </c>
      <c r="AD4334" s="117" t="str">
        <f>IFERROR(INDEX($AA$3:$AA$10000,MATCH(ROWS($AC$3:AC4334),$AC$3:$AC$10000,0)),"")</f>
        <v/>
      </c>
    </row>
    <row r="4335" spans="27:30">
      <c r="AA4335" s="117">
        <f>+'Ingredient List - Mother Tinctu'!D4336</f>
        <v>0</v>
      </c>
      <c r="AB4335" s="117">
        <f t="shared" si="70"/>
        <v>0</v>
      </c>
      <c r="AC4335" s="117" t="str">
        <f>IF(AB4335=1,COUNTIF($AB$3:AB4335,1),"")</f>
        <v/>
      </c>
      <c r="AD4335" s="117" t="str">
        <f>IFERROR(INDEX($AA$3:$AA$10000,MATCH(ROWS($AC$3:AC4335),$AC$3:$AC$10000,0)),"")</f>
        <v/>
      </c>
    </row>
    <row r="4336" spans="27:30">
      <c r="AA4336" s="117">
        <f>+'Ingredient List - Mother Tinctu'!D4337</f>
        <v>0</v>
      </c>
      <c r="AB4336" s="117">
        <f t="shared" si="70"/>
        <v>0</v>
      </c>
      <c r="AC4336" s="117" t="str">
        <f>IF(AB4336=1,COUNTIF($AB$3:AB4336,1),"")</f>
        <v/>
      </c>
      <c r="AD4336" s="117" t="str">
        <f>IFERROR(INDEX($AA$3:$AA$10000,MATCH(ROWS($AC$3:AC4336),$AC$3:$AC$10000,0)),"")</f>
        <v/>
      </c>
    </row>
    <row r="4337" spans="27:30">
      <c r="AA4337" s="117">
        <f>+'Ingredient List - Mother Tinctu'!D4338</f>
        <v>0</v>
      </c>
      <c r="AB4337" s="117">
        <f t="shared" si="70"/>
        <v>0</v>
      </c>
      <c r="AC4337" s="117" t="str">
        <f>IF(AB4337=1,COUNTIF($AB$3:AB4337,1),"")</f>
        <v/>
      </c>
      <c r="AD4337" s="117" t="str">
        <f>IFERROR(INDEX($AA$3:$AA$10000,MATCH(ROWS($AC$3:AC4337),$AC$3:$AC$10000,0)),"")</f>
        <v/>
      </c>
    </row>
    <row r="4338" spans="27:30">
      <c r="AA4338" s="117">
        <f>+'Ingredient List - Mother Tinctu'!D4339</f>
        <v>0</v>
      </c>
      <c r="AB4338" s="117">
        <f t="shared" si="70"/>
        <v>0</v>
      </c>
      <c r="AC4338" s="117" t="str">
        <f>IF(AB4338=1,COUNTIF($AB$3:AB4338,1),"")</f>
        <v/>
      </c>
      <c r="AD4338" s="117" t="str">
        <f>IFERROR(INDEX($AA$3:$AA$10000,MATCH(ROWS($AC$3:AC4338),$AC$3:$AC$10000,0)),"")</f>
        <v/>
      </c>
    </row>
    <row r="4339" spans="27:30">
      <c r="AA4339" s="117">
        <f>+'Ingredient List - Mother Tinctu'!D4340</f>
        <v>0</v>
      </c>
      <c r="AB4339" s="117">
        <f t="shared" si="70"/>
        <v>0</v>
      </c>
      <c r="AC4339" s="117" t="str">
        <f>IF(AB4339=1,COUNTIF($AB$3:AB4339,1),"")</f>
        <v/>
      </c>
      <c r="AD4339" s="117" t="str">
        <f>IFERROR(INDEX($AA$3:$AA$10000,MATCH(ROWS($AC$3:AC4339),$AC$3:$AC$10000,0)),"")</f>
        <v/>
      </c>
    </row>
    <row r="4340" spans="27:30">
      <c r="AA4340" s="117">
        <f>+'Ingredient List - Mother Tinctu'!D4341</f>
        <v>0</v>
      </c>
      <c r="AB4340" s="117">
        <f t="shared" si="70"/>
        <v>0</v>
      </c>
      <c r="AC4340" s="117" t="str">
        <f>IF(AB4340=1,COUNTIF($AB$3:AB4340,1),"")</f>
        <v/>
      </c>
      <c r="AD4340" s="117" t="str">
        <f>IFERROR(INDEX($AA$3:$AA$10000,MATCH(ROWS($AC$3:AC4340),$AC$3:$AC$10000,0)),"")</f>
        <v/>
      </c>
    </row>
    <row r="4341" spans="27:30">
      <c r="AA4341" s="117">
        <f>+'Ingredient List - Mother Tinctu'!D4342</f>
        <v>0</v>
      </c>
      <c r="AB4341" s="117">
        <f t="shared" si="70"/>
        <v>0</v>
      </c>
      <c r="AC4341" s="117" t="str">
        <f>IF(AB4341=1,COUNTIF($AB$3:AB4341,1),"")</f>
        <v/>
      </c>
      <c r="AD4341" s="117" t="str">
        <f>IFERROR(INDEX($AA$3:$AA$10000,MATCH(ROWS($AC$3:AC4341),$AC$3:$AC$10000,0)),"")</f>
        <v/>
      </c>
    </row>
    <row r="4342" spans="27:30">
      <c r="AA4342" s="117">
        <f>+'Ingredient List - Mother Tinctu'!D4343</f>
        <v>0</v>
      </c>
      <c r="AB4342" s="117">
        <f t="shared" si="70"/>
        <v>0</v>
      </c>
      <c r="AC4342" s="117" t="str">
        <f>IF(AB4342=1,COUNTIF($AB$3:AB4342,1),"")</f>
        <v/>
      </c>
      <c r="AD4342" s="117" t="str">
        <f>IFERROR(INDEX($AA$3:$AA$10000,MATCH(ROWS($AC$3:AC4342),$AC$3:$AC$10000,0)),"")</f>
        <v/>
      </c>
    </row>
    <row r="4343" spans="27:30">
      <c r="AA4343" s="117">
        <f>+'Ingredient List - Mother Tinctu'!D4344</f>
        <v>0</v>
      </c>
      <c r="AB4343" s="117">
        <f t="shared" si="70"/>
        <v>0</v>
      </c>
      <c r="AC4343" s="117" t="str">
        <f>IF(AB4343=1,COUNTIF($AB$3:AB4343,1),"")</f>
        <v/>
      </c>
      <c r="AD4343" s="117" t="str">
        <f>IFERROR(INDEX($AA$3:$AA$10000,MATCH(ROWS($AC$3:AC4343),$AC$3:$AC$10000,0)),"")</f>
        <v/>
      </c>
    </row>
    <row r="4344" spans="27:30">
      <c r="AA4344" s="117">
        <f>+'Ingredient List - Mother Tinctu'!D4345</f>
        <v>0</v>
      </c>
      <c r="AB4344" s="117">
        <f t="shared" si="70"/>
        <v>0</v>
      </c>
      <c r="AC4344" s="117" t="str">
        <f>IF(AB4344=1,COUNTIF($AB$3:AB4344,1),"")</f>
        <v/>
      </c>
      <c r="AD4344" s="117" t="str">
        <f>IFERROR(INDEX($AA$3:$AA$10000,MATCH(ROWS($AC$3:AC4344),$AC$3:$AC$10000,0)),"")</f>
        <v/>
      </c>
    </row>
    <row r="4345" spans="27:30">
      <c r="AA4345" s="117">
        <f>+'Ingredient List - Mother Tinctu'!D4346</f>
        <v>0</v>
      </c>
      <c r="AB4345" s="117">
        <f t="shared" si="70"/>
        <v>0</v>
      </c>
      <c r="AC4345" s="117" t="str">
        <f>IF(AB4345=1,COUNTIF($AB$3:AB4345,1),"")</f>
        <v/>
      </c>
      <c r="AD4345" s="117" t="str">
        <f>IFERROR(INDEX($AA$3:$AA$10000,MATCH(ROWS($AC$3:AC4345),$AC$3:$AC$10000,0)),"")</f>
        <v/>
      </c>
    </row>
    <row r="4346" spans="27:30">
      <c r="AA4346" s="117">
        <f>+'Ingredient List - Mother Tinctu'!D4347</f>
        <v>0</v>
      </c>
      <c r="AB4346" s="117">
        <f t="shared" si="70"/>
        <v>0</v>
      </c>
      <c r="AC4346" s="117" t="str">
        <f>IF(AB4346=1,COUNTIF($AB$3:AB4346,1),"")</f>
        <v/>
      </c>
      <c r="AD4346" s="117" t="str">
        <f>IFERROR(INDEX($AA$3:$AA$10000,MATCH(ROWS($AC$3:AC4346),$AC$3:$AC$10000,0)),"")</f>
        <v/>
      </c>
    </row>
    <row r="4347" spans="27:30">
      <c r="AA4347" s="117">
        <f>+'Ingredient List - Mother Tinctu'!D4348</f>
        <v>0</v>
      </c>
      <c r="AB4347" s="117">
        <f t="shared" si="70"/>
        <v>0</v>
      </c>
      <c r="AC4347" s="117" t="str">
        <f>IF(AB4347=1,COUNTIF($AB$3:AB4347,1),"")</f>
        <v/>
      </c>
      <c r="AD4347" s="117" t="str">
        <f>IFERROR(INDEX($AA$3:$AA$10000,MATCH(ROWS($AC$3:AC4347),$AC$3:$AC$10000,0)),"")</f>
        <v/>
      </c>
    </row>
    <row r="4348" spans="27:30">
      <c r="AA4348" s="117">
        <f>+'Ingredient List - Mother Tinctu'!D4349</f>
        <v>0</v>
      </c>
      <c r="AB4348" s="117">
        <f t="shared" si="70"/>
        <v>0</v>
      </c>
      <c r="AC4348" s="117" t="str">
        <f>IF(AB4348=1,COUNTIF($AB$3:AB4348,1),"")</f>
        <v/>
      </c>
      <c r="AD4348" s="117" t="str">
        <f>IFERROR(INDEX($AA$3:$AA$10000,MATCH(ROWS($AC$3:AC4348),$AC$3:$AC$10000,0)),"")</f>
        <v/>
      </c>
    </row>
    <row r="4349" spans="27:30">
      <c r="AA4349" s="117">
        <f>+'Ingredient List - Mother Tinctu'!D4350</f>
        <v>0</v>
      </c>
      <c r="AB4349" s="117">
        <f t="shared" si="70"/>
        <v>0</v>
      </c>
      <c r="AC4349" s="117" t="str">
        <f>IF(AB4349=1,COUNTIF($AB$3:AB4349,1),"")</f>
        <v/>
      </c>
      <c r="AD4349" s="117" t="str">
        <f>IFERROR(INDEX($AA$3:$AA$10000,MATCH(ROWS($AC$3:AC4349),$AC$3:$AC$10000,0)),"")</f>
        <v/>
      </c>
    </row>
    <row r="4350" spans="27:30">
      <c r="AA4350" s="117">
        <f>+'Ingredient List - Mother Tinctu'!D4351</f>
        <v>0</v>
      </c>
      <c r="AB4350" s="117">
        <f t="shared" si="70"/>
        <v>0</v>
      </c>
      <c r="AC4350" s="117" t="str">
        <f>IF(AB4350=1,COUNTIF($AB$3:AB4350,1),"")</f>
        <v/>
      </c>
      <c r="AD4350" s="117" t="str">
        <f>IFERROR(INDEX($AA$3:$AA$10000,MATCH(ROWS($AC$3:AC4350),$AC$3:$AC$10000,0)),"")</f>
        <v/>
      </c>
    </row>
    <row r="4351" spans="27:30">
      <c r="AA4351" s="117">
        <f>+'Ingredient List - Mother Tinctu'!D4352</f>
        <v>0</v>
      </c>
      <c r="AB4351" s="117">
        <f t="shared" si="70"/>
        <v>0</v>
      </c>
      <c r="AC4351" s="117" t="str">
        <f>IF(AB4351=1,COUNTIF($AB$3:AB4351,1),"")</f>
        <v/>
      </c>
      <c r="AD4351" s="117" t="str">
        <f>IFERROR(INDEX($AA$3:$AA$10000,MATCH(ROWS($AC$3:AC4351),$AC$3:$AC$10000,0)),"")</f>
        <v/>
      </c>
    </row>
    <row r="4352" spans="27:30">
      <c r="AA4352" s="117">
        <f>+'Ingredient List - Mother Tinctu'!D4353</f>
        <v>0</v>
      </c>
      <c r="AB4352" s="117">
        <f t="shared" si="70"/>
        <v>0</v>
      </c>
      <c r="AC4352" s="117" t="str">
        <f>IF(AB4352=1,COUNTIF($AB$3:AB4352,1),"")</f>
        <v/>
      </c>
      <c r="AD4352" s="117" t="str">
        <f>IFERROR(INDEX($AA$3:$AA$10000,MATCH(ROWS($AC$3:AC4352),$AC$3:$AC$10000,0)),"")</f>
        <v/>
      </c>
    </row>
    <row r="4353" spans="27:30">
      <c r="AA4353" s="117">
        <f>+'Ingredient List - Mother Tinctu'!D4354</f>
        <v>0</v>
      </c>
      <c r="AB4353" s="117">
        <f t="shared" si="70"/>
        <v>0</v>
      </c>
      <c r="AC4353" s="117" t="str">
        <f>IF(AB4353=1,COUNTIF($AB$3:AB4353,1),"")</f>
        <v/>
      </c>
      <c r="AD4353" s="117" t="str">
        <f>IFERROR(INDEX($AA$3:$AA$10000,MATCH(ROWS($AC$3:AC4353),$AC$3:$AC$10000,0)),"")</f>
        <v/>
      </c>
    </row>
    <row r="4354" spans="27:30">
      <c r="AA4354" s="117">
        <f>+'Ingredient List - Mother Tinctu'!D4355</f>
        <v>0</v>
      </c>
      <c r="AB4354" s="117">
        <f t="shared" si="70"/>
        <v>0</v>
      </c>
      <c r="AC4354" s="117" t="str">
        <f>IF(AB4354=1,COUNTIF($AB$3:AB4354,1),"")</f>
        <v/>
      </c>
      <c r="AD4354" s="117" t="str">
        <f>IFERROR(INDEX($AA$3:$AA$10000,MATCH(ROWS($AC$3:AC4354),$AC$3:$AC$10000,0)),"")</f>
        <v/>
      </c>
    </row>
    <row r="4355" spans="27:30">
      <c r="AA4355" s="117">
        <f>+'Ingredient List - Mother Tinctu'!D4356</f>
        <v>0</v>
      </c>
      <c r="AB4355" s="117">
        <f t="shared" si="70"/>
        <v>0</v>
      </c>
      <c r="AC4355" s="117" t="str">
        <f>IF(AB4355=1,COUNTIF($AB$3:AB4355,1),"")</f>
        <v/>
      </c>
      <c r="AD4355" s="117" t="str">
        <f>IFERROR(INDEX($AA$3:$AA$10000,MATCH(ROWS($AC$3:AC4355),$AC$3:$AC$10000,0)),"")</f>
        <v/>
      </c>
    </row>
    <row r="4356" spans="27:30">
      <c r="AA4356" s="117">
        <f>+'Ingredient List - Mother Tinctu'!D4357</f>
        <v>0</v>
      </c>
      <c r="AB4356" s="117">
        <f t="shared" ref="AB4356:AB4419" si="71">--ISNUMBER(IFERROR(SEARCH($D$3,AA4356,1),""))</f>
        <v>0</v>
      </c>
      <c r="AC4356" s="117" t="str">
        <f>IF(AB4356=1,COUNTIF($AB$3:AB4356,1),"")</f>
        <v/>
      </c>
      <c r="AD4356" s="117" t="str">
        <f>IFERROR(INDEX($AA$3:$AA$10000,MATCH(ROWS($AC$3:AC4356),$AC$3:$AC$10000,0)),"")</f>
        <v/>
      </c>
    </row>
    <row r="4357" spans="27:30">
      <c r="AA4357" s="117">
        <f>+'Ingredient List - Mother Tinctu'!D4358</f>
        <v>0</v>
      </c>
      <c r="AB4357" s="117">
        <f t="shared" si="71"/>
        <v>0</v>
      </c>
      <c r="AC4357" s="117" t="str">
        <f>IF(AB4357=1,COUNTIF($AB$3:AB4357,1),"")</f>
        <v/>
      </c>
      <c r="AD4357" s="117" t="str">
        <f>IFERROR(INDEX($AA$3:$AA$10000,MATCH(ROWS($AC$3:AC4357),$AC$3:$AC$10000,0)),"")</f>
        <v/>
      </c>
    </row>
    <row r="4358" spans="27:30">
      <c r="AA4358" s="117">
        <f>+'Ingredient List - Mother Tinctu'!D4359</f>
        <v>0</v>
      </c>
      <c r="AB4358" s="117">
        <f t="shared" si="71"/>
        <v>0</v>
      </c>
      <c r="AC4358" s="117" t="str">
        <f>IF(AB4358=1,COUNTIF($AB$3:AB4358,1),"")</f>
        <v/>
      </c>
      <c r="AD4358" s="117" t="str">
        <f>IFERROR(INDEX($AA$3:$AA$10000,MATCH(ROWS($AC$3:AC4358),$AC$3:$AC$10000,0)),"")</f>
        <v/>
      </c>
    </row>
    <row r="4359" spans="27:30">
      <c r="AA4359" s="117">
        <f>+'Ingredient List - Mother Tinctu'!D4360</f>
        <v>0</v>
      </c>
      <c r="AB4359" s="117">
        <f t="shared" si="71"/>
        <v>0</v>
      </c>
      <c r="AC4359" s="117" t="str">
        <f>IF(AB4359=1,COUNTIF($AB$3:AB4359,1),"")</f>
        <v/>
      </c>
      <c r="AD4359" s="117" t="str">
        <f>IFERROR(INDEX($AA$3:$AA$10000,MATCH(ROWS($AC$3:AC4359),$AC$3:$AC$10000,0)),"")</f>
        <v/>
      </c>
    </row>
    <row r="4360" spans="27:30">
      <c r="AA4360" s="117">
        <f>+'Ingredient List - Mother Tinctu'!D4361</f>
        <v>0</v>
      </c>
      <c r="AB4360" s="117">
        <f t="shared" si="71"/>
        <v>0</v>
      </c>
      <c r="AC4360" s="117" t="str">
        <f>IF(AB4360=1,COUNTIF($AB$3:AB4360,1),"")</f>
        <v/>
      </c>
      <c r="AD4360" s="117" t="str">
        <f>IFERROR(INDEX($AA$3:$AA$10000,MATCH(ROWS($AC$3:AC4360),$AC$3:$AC$10000,0)),"")</f>
        <v/>
      </c>
    </row>
    <row r="4361" spans="27:30">
      <c r="AA4361" s="117">
        <f>+'Ingredient List - Mother Tinctu'!D4362</f>
        <v>0</v>
      </c>
      <c r="AB4361" s="117">
        <f t="shared" si="71"/>
        <v>0</v>
      </c>
      <c r="AC4361" s="117" t="str">
        <f>IF(AB4361=1,COUNTIF($AB$3:AB4361,1),"")</f>
        <v/>
      </c>
      <c r="AD4361" s="117" t="str">
        <f>IFERROR(INDEX($AA$3:$AA$10000,MATCH(ROWS($AC$3:AC4361),$AC$3:$AC$10000,0)),"")</f>
        <v/>
      </c>
    </row>
    <row r="4362" spans="27:30">
      <c r="AA4362" s="117">
        <f>+'Ingredient List - Mother Tinctu'!D4363</f>
        <v>0</v>
      </c>
      <c r="AB4362" s="117">
        <f t="shared" si="71"/>
        <v>0</v>
      </c>
      <c r="AC4362" s="117" t="str">
        <f>IF(AB4362=1,COUNTIF($AB$3:AB4362,1),"")</f>
        <v/>
      </c>
      <c r="AD4362" s="117" t="str">
        <f>IFERROR(INDEX($AA$3:$AA$10000,MATCH(ROWS($AC$3:AC4362),$AC$3:$AC$10000,0)),"")</f>
        <v/>
      </c>
    </row>
    <row r="4363" spans="27:30">
      <c r="AA4363" s="117">
        <f>+'Ingredient List - Mother Tinctu'!D4364</f>
        <v>0</v>
      </c>
      <c r="AB4363" s="117">
        <f t="shared" si="71"/>
        <v>0</v>
      </c>
      <c r="AC4363" s="117" t="str">
        <f>IF(AB4363=1,COUNTIF($AB$3:AB4363,1),"")</f>
        <v/>
      </c>
      <c r="AD4363" s="117" t="str">
        <f>IFERROR(INDEX($AA$3:$AA$10000,MATCH(ROWS($AC$3:AC4363),$AC$3:$AC$10000,0)),"")</f>
        <v/>
      </c>
    </row>
    <row r="4364" spans="27:30">
      <c r="AA4364" s="117">
        <f>+'Ingredient List - Mother Tinctu'!D4365</f>
        <v>0</v>
      </c>
      <c r="AB4364" s="117">
        <f t="shared" si="71"/>
        <v>0</v>
      </c>
      <c r="AC4364" s="117" t="str">
        <f>IF(AB4364=1,COUNTIF($AB$3:AB4364,1),"")</f>
        <v/>
      </c>
      <c r="AD4364" s="117" t="str">
        <f>IFERROR(INDEX($AA$3:$AA$10000,MATCH(ROWS($AC$3:AC4364),$AC$3:$AC$10000,0)),"")</f>
        <v/>
      </c>
    </row>
    <row r="4365" spans="27:30">
      <c r="AA4365" s="117">
        <f>+'Ingredient List - Mother Tinctu'!D4366</f>
        <v>0</v>
      </c>
      <c r="AB4365" s="117">
        <f t="shared" si="71"/>
        <v>0</v>
      </c>
      <c r="AC4365" s="117" t="str">
        <f>IF(AB4365=1,COUNTIF($AB$3:AB4365,1),"")</f>
        <v/>
      </c>
      <c r="AD4365" s="117" t="str">
        <f>IFERROR(INDEX($AA$3:$AA$10000,MATCH(ROWS($AC$3:AC4365),$AC$3:$AC$10000,0)),"")</f>
        <v/>
      </c>
    </row>
    <row r="4366" spans="27:30">
      <c r="AA4366" s="117">
        <f>+'Ingredient List - Mother Tinctu'!D4367</f>
        <v>0</v>
      </c>
      <c r="AB4366" s="117">
        <f t="shared" si="71"/>
        <v>0</v>
      </c>
      <c r="AC4366" s="117" t="str">
        <f>IF(AB4366=1,COUNTIF($AB$3:AB4366,1),"")</f>
        <v/>
      </c>
      <c r="AD4366" s="117" t="str">
        <f>IFERROR(INDEX($AA$3:$AA$10000,MATCH(ROWS($AC$3:AC4366),$AC$3:$AC$10000,0)),"")</f>
        <v/>
      </c>
    </row>
    <row r="4367" spans="27:30">
      <c r="AA4367" s="117">
        <f>+'Ingredient List - Mother Tinctu'!D4368</f>
        <v>0</v>
      </c>
      <c r="AB4367" s="117">
        <f t="shared" si="71"/>
        <v>0</v>
      </c>
      <c r="AC4367" s="117" t="str">
        <f>IF(AB4367=1,COUNTIF($AB$3:AB4367,1),"")</f>
        <v/>
      </c>
      <c r="AD4367" s="117" t="str">
        <f>IFERROR(INDEX($AA$3:$AA$10000,MATCH(ROWS($AC$3:AC4367),$AC$3:$AC$10000,0)),"")</f>
        <v/>
      </c>
    </row>
    <row r="4368" spans="27:30">
      <c r="AA4368" s="117">
        <f>+'Ingredient List - Mother Tinctu'!D4369</f>
        <v>0</v>
      </c>
      <c r="AB4368" s="117">
        <f t="shared" si="71"/>
        <v>0</v>
      </c>
      <c r="AC4368" s="117" t="str">
        <f>IF(AB4368=1,COUNTIF($AB$3:AB4368,1),"")</f>
        <v/>
      </c>
      <c r="AD4368" s="117" t="str">
        <f>IFERROR(INDEX($AA$3:$AA$10000,MATCH(ROWS($AC$3:AC4368),$AC$3:$AC$10000,0)),"")</f>
        <v/>
      </c>
    </row>
    <row r="4369" spans="27:30">
      <c r="AA4369" s="117">
        <f>+'Ingredient List - Mother Tinctu'!D4370</f>
        <v>0</v>
      </c>
      <c r="AB4369" s="117">
        <f t="shared" si="71"/>
        <v>0</v>
      </c>
      <c r="AC4369" s="117" t="str">
        <f>IF(AB4369=1,COUNTIF($AB$3:AB4369,1),"")</f>
        <v/>
      </c>
      <c r="AD4369" s="117" t="str">
        <f>IFERROR(INDEX($AA$3:$AA$10000,MATCH(ROWS($AC$3:AC4369),$AC$3:$AC$10000,0)),"")</f>
        <v/>
      </c>
    </row>
    <row r="4370" spans="27:30">
      <c r="AA4370" s="117">
        <f>+'Ingredient List - Mother Tinctu'!D4371</f>
        <v>0</v>
      </c>
      <c r="AB4370" s="117">
        <f t="shared" si="71"/>
        <v>0</v>
      </c>
      <c r="AC4370" s="117" t="str">
        <f>IF(AB4370=1,COUNTIF($AB$3:AB4370,1),"")</f>
        <v/>
      </c>
      <c r="AD4370" s="117" t="str">
        <f>IFERROR(INDEX($AA$3:$AA$10000,MATCH(ROWS($AC$3:AC4370),$AC$3:$AC$10000,0)),"")</f>
        <v/>
      </c>
    </row>
    <row r="4371" spans="27:30">
      <c r="AA4371" s="117">
        <f>+'Ingredient List - Mother Tinctu'!D4372</f>
        <v>0</v>
      </c>
      <c r="AB4371" s="117">
        <f t="shared" si="71"/>
        <v>0</v>
      </c>
      <c r="AC4371" s="117" t="str">
        <f>IF(AB4371=1,COUNTIF($AB$3:AB4371,1),"")</f>
        <v/>
      </c>
      <c r="AD4371" s="117" t="str">
        <f>IFERROR(INDEX($AA$3:$AA$10000,MATCH(ROWS($AC$3:AC4371),$AC$3:$AC$10000,0)),"")</f>
        <v/>
      </c>
    </row>
    <row r="4372" spans="27:30">
      <c r="AA4372" s="117">
        <f>+'Ingredient List - Mother Tinctu'!D4373</f>
        <v>0</v>
      </c>
      <c r="AB4372" s="117">
        <f t="shared" si="71"/>
        <v>0</v>
      </c>
      <c r="AC4372" s="117" t="str">
        <f>IF(AB4372=1,COUNTIF($AB$3:AB4372,1),"")</f>
        <v/>
      </c>
      <c r="AD4372" s="117" t="str">
        <f>IFERROR(INDEX($AA$3:$AA$10000,MATCH(ROWS($AC$3:AC4372),$AC$3:$AC$10000,0)),"")</f>
        <v/>
      </c>
    </row>
    <row r="4373" spans="27:30">
      <c r="AA4373" s="117">
        <f>+'Ingredient List - Mother Tinctu'!D4374</f>
        <v>0</v>
      </c>
      <c r="AB4373" s="117">
        <f t="shared" si="71"/>
        <v>0</v>
      </c>
      <c r="AC4373" s="117" t="str">
        <f>IF(AB4373=1,COUNTIF($AB$3:AB4373,1),"")</f>
        <v/>
      </c>
      <c r="AD4373" s="117" t="str">
        <f>IFERROR(INDEX($AA$3:$AA$10000,MATCH(ROWS($AC$3:AC4373),$AC$3:$AC$10000,0)),"")</f>
        <v/>
      </c>
    </row>
    <row r="4374" spans="27:30">
      <c r="AA4374" s="117">
        <f>+'Ingredient List - Mother Tinctu'!D4375</f>
        <v>0</v>
      </c>
      <c r="AB4374" s="117">
        <f t="shared" si="71"/>
        <v>0</v>
      </c>
      <c r="AC4374" s="117" t="str">
        <f>IF(AB4374=1,COUNTIF($AB$3:AB4374,1),"")</f>
        <v/>
      </c>
      <c r="AD4374" s="117" t="str">
        <f>IFERROR(INDEX($AA$3:$AA$10000,MATCH(ROWS($AC$3:AC4374),$AC$3:$AC$10000,0)),"")</f>
        <v/>
      </c>
    </row>
    <row r="4375" spans="27:30">
      <c r="AA4375" s="117">
        <f>+'Ingredient List - Mother Tinctu'!D4376</f>
        <v>0</v>
      </c>
      <c r="AB4375" s="117">
        <f t="shared" si="71"/>
        <v>0</v>
      </c>
      <c r="AC4375" s="117" t="str">
        <f>IF(AB4375=1,COUNTIF($AB$3:AB4375,1),"")</f>
        <v/>
      </c>
      <c r="AD4375" s="117" t="str">
        <f>IFERROR(INDEX($AA$3:$AA$10000,MATCH(ROWS($AC$3:AC4375),$AC$3:$AC$10000,0)),"")</f>
        <v/>
      </c>
    </row>
    <row r="4376" spans="27:30">
      <c r="AA4376" s="117">
        <f>+'Ingredient List - Mother Tinctu'!D4377</f>
        <v>0</v>
      </c>
      <c r="AB4376" s="117">
        <f t="shared" si="71"/>
        <v>0</v>
      </c>
      <c r="AC4376" s="117" t="str">
        <f>IF(AB4376=1,COUNTIF($AB$3:AB4376,1),"")</f>
        <v/>
      </c>
      <c r="AD4376" s="117" t="str">
        <f>IFERROR(INDEX($AA$3:$AA$10000,MATCH(ROWS($AC$3:AC4376),$AC$3:$AC$10000,0)),"")</f>
        <v/>
      </c>
    </row>
    <row r="4377" spans="27:30">
      <c r="AA4377" s="117">
        <f>+'Ingredient List - Mother Tinctu'!D4378</f>
        <v>0</v>
      </c>
      <c r="AB4377" s="117">
        <f t="shared" si="71"/>
        <v>0</v>
      </c>
      <c r="AC4377" s="117" t="str">
        <f>IF(AB4377=1,COUNTIF($AB$3:AB4377,1),"")</f>
        <v/>
      </c>
      <c r="AD4377" s="117" t="str">
        <f>IFERROR(INDEX($AA$3:$AA$10000,MATCH(ROWS($AC$3:AC4377),$AC$3:$AC$10000,0)),"")</f>
        <v/>
      </c>
    </row>
    <row r="4378" spans="27:30">
      <c r="AA4378" s="117">
        <f>+'Ingredient List - Mother Tinctu'!D4379</f>
        <v>0</v>
      </c>
      <c r="AB4378" s="117">
        <f t="shared" si="71"/>
        <v>0</v>
      </c>
      <c r="AC4378" s="117" t="str">
        <f>IF(AB4378=1,COUNTIF($AB$3:AB4378,1),"")</f>
        <v/>
      </c>
      <c r="AD4378" s="117" t="str">
        <f>IFERROR(INDEX($AA$3:$AA$10000,MATCH(ROWS($AC$3:AC4378),$AC$3:$AC$10000,0)),"")</f>
        <v/>
      </c>
    </row>
    <row r="4379" spans="27:30">
      <c r="AA4379" s="117">
        <f>+'Ingredient List - Mother Tinctu'!D4380</f>
        <v>0</v>
      </c>
      <c r="AB4379" s="117">
        <f t="shared" si="71"/>
        <v>0</v>
      </c>
      <c r="AC4379" s="117" t="str">
        <f>IF(AB4379=1,COUNTIF($AB$3:AB4379,1),"")</f>
        <v/>
      </c>
      <c r="AD4379" s="117" t="str">
        <f>IFERROR(INDEX($AA$3:$AA$10000,MATCH(ROWS($AC$3:AC4379),$AC$3:$AC$10000,0)),"")</f>
        <v/>
      </c>
    </row>
    <row r="4380" spans="27:30">
      <c r="AA4380" s="117">
        <f>+'Ingredient List - Mother Tinctu'!D4381</f>
        <v>0</v>
      </c>
      <c r="AB4380" s="117">
        <f t="shared" si="71"/>
        <v>0</v>
      </c>
      <c r="AC4380" s="117" t="str">
        <f>IF(AB4380=1,COUNTIF($AB$3:AB4380,1),"")</f>
        <v/>
      </c>
      <c r="AD4380" s="117" t="str">
        <f>IFERROR(INDEX($AA$3:$AA$10000,MATCH(ROWS($AC$3:AC4380),$AC$3:$AC$10000,0)),"")</f>
        <v/>
      </c>
    </row>
    <row r="4381" spans="27:30">
      <c r="AA4381" s="117">
        <f>+'Ingredient List - Mother Tinctu'!D4382</f>
        <v>0</v>
      </c>
      <c r="AB4381" s="117">
        <f t="shared" si="71"/>
        <v>0</v>
      </c>
      <c r="AC4381" s="117" t="str">
        <f>IF(AB4381=1,COUNTIF($AB$3:AB4381,1),"")</f>
        <v/>
      </c>
      <c r="AD4381" s="117" t="str">
        <f>IFERROR(INDEX($AA$3:$AA$10000,MATCH(ROWS($AC$3:AC4381),$AC$3:$AC$10000,0)),"")</f>
        <v/>
      </c>
    </row>
    <row r="4382" spans="27:30">
      <c r="AA4382" s="117">
        <f>+'Ingredient List - Mother Tinctu'!D4383</f>
        <v>0</v>
      </c>
      <c r="AB4382" s="117">
        <f t="shared" si="71"/>
        <v>0</v>
      </c>
      <c r="AC4382" s="117" t="str">
        <f>IF(AB4382=1,COUNTIF($AB$3:AB4382,1),"")</f>
        <v/>
      </c>
      <c r="AD4382" s="117" t="str">
        <f>IFERROR(INDEX($AA$3:$AA$10000,MATCH(ROWS($AC$3:AC4382),$AC$3:$AC$10000,0)),"")</f>
        <v/>
      </c>
    </row>
    <row r="4383" spans="27:30">
      <c r="AA4383" s="117">
        <f>+'Ingredient List - Mother Tinctu'!D4384</f>
        <v>0</v>
      </c>
      <c r="AB4383" s="117">
        <f t="shared" si="71"/>
        <v>0</v>
      </c>
      <c r="AC4383" s="117" t="str">
        <f>IF(AB4383=1,COUNTIF($AB$3:AB4383,1),"")</f>
        <v/>
      </c>
      <c r="AD4383" s="117" t="str">
        <f>IFERROR(INDEX($AA$3:$AA$10000,MATCH(ROWS($AC$3:AC4383),$AC$3:$AC$10000,0)),"")</f>
        <v/>
      </c>
    </row>
    <row r="4384" spans="27:30">
      <c r="AA4384" s="117">
        <f>+'Ingredient List - Mother Tinctu'!D4385</f>
        <v>0</v>
      </c>
      <c r="AB4384" s="117">
        <f t="shared" si="71"/>
        <v>0</v>
      </c>
      <c r="AC4384" s="117" t="str">
        <f>IF(AB4384=1,COUNTIF($AB$3:AB4384,1),"")</f>
        <v/>
      </c>
      <c r="AD4384" s="117" t="str">
        <f>IFERROR(INDEX($AA$3:$AA$10000,MATCH(ROWS($AC$3:AC4384),$AC$3:$AC$10000,0)),"")</f>
        <v/>
      </c>
    </row>
    <row r="4385" spans="27:30">
      <c r="AA4385" s="117">
        <f>+'Ingredient List - Mother Tinctu'!D4386</f>
        <v>0</v>
      </c>
      <c r="AB4385" s="117">
        <f t="shared" si="71"/>
        <v>0</v>
      </c>
      <c r="AC4385" s="117" t="str">
        <f>IF(AB4385=1,COUNTIF($AB$3:AB4385,1),"")</f>
        <v/>
      </c>
      <c r="AD4385" s="117" t="str">
        <f>IFERROR(INDEX($AA$3:$AA$10000,MATCH(ROWS($AC$3:AC4385),$AC$3:$AC$10000,0)),"")</f>
        <v/>
      </c>
    </row>
    <row r="4386" spans="27:30">
      <c r="AA4386" s="117">
        <f>+'Ingredient List - Mother Tinctu'!D4387</f>
        <v>0</v>
      </c>
      <c r="AB4386" s="117">
        <f t="shared" si="71"/>
        <v>0</v>
      </c>
      <c r="AC4386" s="117" t="str">
        <f>IF(AB4386=1,COUNTIF($AB$3:AB4386,1),"")</f>
        <v/>
      </c>
      <c r="AD4386" s="117" t="str">
        <f>IFERROR(INDEX($AA$3:$AA$10000,MATCH(ROWS($AC$3:AC4386),$AC$3:$AC$10000,0)),"")</f>
        <v/>
      </c>
    </row>
    <row r="4387" spans="27:30">
      <c r="AA4387" s="117">
        <f>+'Ingredient List - Mother Tinctu'!D4388</f>
        <v>0</v>
      </c>
      <c r="AB4387" s="117">
        <f t="shared" si="71"/>
        <v>0</v>
      </c>
      <c r="AC4387" s="117" t="str">
        <f>IF(AB4387=1,COUNTIF($AB$3:AB4387,1),"")</f>
        <v/>
      </c>
      <c r="AD4387" s="117" t="str">
        <f>IFERROR(INDEX($AA$3:$AA$10000,MATCH(ROWS($AC$3:AC4387),$AC$3:$AC$10000,0)),"")</f>
        <v/>
      </c>
    </row>
    <row r="4388" spans="27:30">
      <c r="AA4388" s="117">
        <f>+'Ingredient List - Mother Tinctu'!D4389</f>
        <v>0</v>
      </c>
      <c r="AB4388" s="117">
        <f t="shared" si="71"/>
        <v>0</v>
      </c>
      <c r="AC4388" s="117" t="str">
        <f>IF(AB4388=1,COUNTIF($AB$3:AB4388,1),"")</f>
        <v/>
      </c>
      <c r="AD4388" s="117" t="str">
        <f>IFERROR(INDEX($AA$3:$AA$10000,MATCH(ROWS($AC$3:AC4388),$AC$3:$AC$10000,0)),"")</f>
        <v/>
      </c>
    </row>
    <row r="4389" spans="27:30">
      <c r="AA4389" s="117">
        <f>+'Ingredient List - Mother Tinctu'!D4390</f>
        <v>0</v>
      </c>
      <c r="AB4389" s="117">
        <f t="shared" si="71"/>
        <v>0</v>
      </c>
      <c r="AC4389" s="117" t="str">
        <f>IF(AB4389=1,COUNTIF($AB$3:AB4389,1),"")</f>
        <v/>
      </c>
      <c r="AD4389" s="117" t="str">
        <f>IFERROR(INDEX($AA$3:$AA$10000,MATCH(ROWS($AC$3:AC4389),$AC$3:$AC$10000,0)),"")</f>
        <v/>
      </c>
    </row>
    <row r="4390" spans="27:30">
      <c r="AA4390" s="117">
        <f>+'Ingredient List - Mother Tinctu'!D4391</f>
        <v>0</v>
      </c>
      <c r="AB4390" s="117">
        <f t="shared" si="71"/>
        <v>0</v>
      </c>
      <c r="AC4390" s="117" t="str">
        <f>IF(AB4390=1,COUNTIF($AB$3:AB4390,1),"")</f>
        <v/>
      </c>
      <c r="AD4390" s="117" t="str">
        <f>IFERROR(INDEX($AA$3:$AA$10000,MATCH(ROWS($AC$3:AC4390),$AC$3:$AC$10000,0)),"")</f>
        <v/>
      </c>
    </row>
    <row r="4391" spans="27:30">
      <c r="AA4391" s="117">
        <f>+'Ingredient List - Mother Tinctu'!D4392</f>
        <v>0</v>
      </c>
      <c r="AB4391" s="117">
        <f t="shared" si="71"/>
        <v>0</v>
      </c>
      <c r="AC4391" s="117" t="str">
        <f>IF(AB4391=1,COUNTIF($AB$3:AB4391,1),"")</f>
        <v/>
      </c>
      <c r="AD4391" s="117" t="str">
        <f>IFERROR(INDEX($AA$3:$AA$10000,MATCH(ROWS($AC$3:AC4391),$AC$3:$AC$10000,0)),"")</f>
        <v/>
      </c>
    </row>
    <row r="4392" spans="27:30">
      <c r="AA4392" s="117">
        <f>+'Ingredient List - Mother Tinctu'!D4393</f>
        <v>0</v>
      </c>
      <c r="AB4392" s="117">
        <f t="shared" si="71"/>
        <v>0</v>
      </c>
      <c r="AC4392" s="117" t="str">
        <f>IF(AB4392=1,COUNTIF($AB$3:AB4392,1),"")</f>
        <v/>
      </c>
      <c r="AD4392" s="117" t="str">
        <f>IFERROR(INDEX($AA$3:$AA$10000,MATCH(ROWS($AC$3:AC4392),$AC$3:$AC$10000,0)),"")</f>
        <v/>
      </c>
    </row>
    <row r="4393" spans="27:30">
      <c r="AA4393" s="117">
        <f>+'Ingredient List - Mother Tinctu'!D4394</f>
        <v>0</v>
      </c>
      <c r="AB4393" s="117">
        <f t="shared" si="71"/>
        <v>0</v>
      </c>
      <c r="AC4393" s="117" t="str">
        <f>IF(AB4393=1,COUNTIF($AB$3:AB4393,1),"")</f>
        <v/>
      </c>
      <c r="AD4393" s="117" t="str">
        <f>IFERROR(INDEX($AA$3:$AA$10000,MATCH(ROWS($AC$3:AC4393),$AC$3:$AC$10000,0)),"")</f>
        <v/>
      </c>
    </row>
    <row r="4394" spans="27:30">
      <c r="AA4394" s="117">
        <f>+'Ingredient List - Mother Tinctu'!D4395</f>
        <v>0</v>
      </c>
      <c r="AB4394" s="117">
        <f t="shared" si="71"/>
        <v>0</v>
      </c>
      <c r="AC4394" s="117" t="str">
        <f>IF(AB4394=1,COUNTIF($AB$3:AB4394,1),"")</f>
        <v/>
      </c>
      <c r="AD4394" s="117" t="str">
        <f>IFERROR(INDEX($AA$3:$AA$10000,MATCH(ROWS($AC$3:AC4394),$AC$3:$AC$10000,0)),"")</f>
        <v/>
      </c>
    </row>
    <row r="4395" spans="27:30">
      <c r="AA4395" s="117">
        <f>+'Ingredient List - Mother Tinctu'!D4396</f>
        <v>0</v>
      </c>
      <c r="AB4395" s="117">
        <f t="shared" si="71"/>
        <v>0</v>
      </c>
      <c r="AC4395" s="117" t="str">
        <f>IF(AB4395=1,COUNTIF($AB$3:AB4395,1),"")</f>
        <v/>
      </c>
      <c r="AD4395" s="117" t="str">
        <f>IFERROR(INDEX($AA$3:$AA$10000,MATCH(ROWS($AC$3:AC4395),$AC$3:$AC$10000,0)),"")</f>
        <v/>
      </c>
    </row>
    <row r="4396" spans="27:30">
      <c r="AA4396" s="117">
        <f>+'Ingredient List - Mother Tinctu'!D4397</f>
        <v>0</v>
      </c>
      <c r="AB4396" s="117">
        <f t="shared" si="71"/>
        <v>0</v>
      </c>
      <c r="AC4396" s="117" t="str">
        <f>IF(AB4396=1,COUNTIF($AB$3:AB4396,1),"")</f>
        <v/>
      </c>
      <c r="AD4396" s="117" t="str">
        <f>IFERROR(INDEX($AA$3:$AA$10000,MATCH(ROWS($AC$3:AC4396),$AC$3:$AC$10000,0)),"")</f>
        <v/>
      </c>
    </row>
    <row r="4397" spans="27:30">
      <c r="AA4397" s="117">
        <f>+'Ingredient List - Mother Tinctu'!D4398</f>
        <v>0</v>
      </c>
      <c r="AB4397" s="117">
        <f t="shared" si="71"/>
        <v>0</v>
      </c>
      <c r="AC4397" s="117" t="str">
        <f>IF(AB4397=1,COUNTIF($AB$3:AB4397,1),"")</f>
        <v/>
      </c>
      <c r="AD4397" s="117" t="str">
        <f>IFERROR(INDEX($AA$3:$AA$10000,MATCH(ROWS($AC$3:AC4397),$AC$3:$AC$10000,0)),"")</f>
        <v/>
      </c>
    </row>
    <row r="4398" spans="27:30">
      <c r="AA4398" s="117">
        <f>+'Ingredient List - Mother Tinctu'!D4399</f>
        <v>0</v>
      </c>
      <c r="AB4398" s="117">
        <f t="shared" si="71"/>
        <v>0</v>
      </c>
      <c r="AC4398" s="117" t="str">
        <f>IF(AB4398=1,COUNTIF($AB$3:AB4398,1),"")</f>
        <v/>
      </c>
      <c r="AD4398" s="117" t="str">
        <f>IFERROR(INDEX($AA$3:$AA$10000,MATCH(ROWS($AC$3:AC4398),$AC$3:$AC$10000,0)),"")</f>
        <v/>
      </c>
    </row>
    <row r="4399" spans="27:30">
      <c r="AA4399" s="117">
        <f>+'Ingredient List - Mother Tinctu'!D4400</f>
        <v>0</v>
      </c>
      <c r="AB4399" s="117">
        <f t="shared" si="71"/>
        <v>0</v>
      </c>
      <c r="AC4399" s="117" t="str">
        <f>IF(AB4399=1,COUNTIF($AB$3:AB4399,1),"")</f>
        <v/>
      </c>
      <c r="AD4399" s="117" t="str">
        <f>IFERROR(INDEX($AA$3:$AA$10000,MATCH(ROWS($AC$3:AC4399),$AC$3:$AC$10000,0)),"")</f>
        <v/>
      </c>
    </row>
    <row r="4400" spans="27:30">
      <c r="AA4400" s="117">
        <f>+'Ingredient List - Mother Tinctu'!D4401</f>
        <v>0</v>
      </c>
      <c r="AB4400" s="117">
        <f t="shared" si="71"/>
        <v>0</v>
      </c>
      <c r="AC4400" s="117" t="str">
        <f>IF(AB4400=1,COUNTIF($AB$3:AB4400,1),"")</f>
        <v/>
      </c>
      <c r="AD4400" s="117" t="str">
        <f>IFERROR(INDEX($AA$3:$AA$10000,MATCH(ROWS($AC$3:AC4400),$AC$3:$AC$10000,0)),"")</f>
        <v/>
      </c>
    </row>
    <row r="4401" spans="27:30">
      <c r="AA4401" s="117">
        <f>+'Ingredient List - Mother Tinctu'!D4402</f>
        <v>0</v>
      </c>
      <c r="AB4401" s="117">
        <f t="shared" si="71"/>
        <v>0</v>
      </c>
      <c r="AC4401" s="117" t="str">
        <f>IF(AB4401=1,COUNTIF($AB$3:AB4401,1),"")</f>
        <v/>
      </c>
      <c r="AD4401" s="117" t="str">
        <f>IFERROR(INDEX($AA$3:$AA$10000,MATCH(ROWS($AC$3:AC4401),$AC$3:$AC$10000,0)),"")</f>
        <v/>
      </c>
    </row>
    <row r="4402" spans="27:30">
      <c r="AA4402" s="117">
        <f>+'Ingredient List - Mother Tinctu'!D4403</f>
        <v>0</v>
      </c>
      <c r="AB4402" s="117">
        <f t="shared" si="71"/>
        <v>0</v>
      </c>
      <c r="AC4402" s="117" t="str">
        <f>IF(AB4402=1,COUNTIF($AB$3:AB4402,1),"")</f>
        <v/>
      </c>
      <c r="AD4402" s="117" t="str">
        <f>IFERROR(INDEX($AA$3:$AA$10000,MATCH(ROWS($AC$3:AC4402),$AC$3:$AC$10000,0)),"")</f>
        <v/>
      </c>
    </row>
    <row r="4403" spans="27:30">
      <c r="AA4403" s="117">
        <f>+'Ingredient List - Mother Tinctu'!D4404</f>
        <v>0</v>
      </c>
      <c r="AB4403" s="117">
        <f t="shared" si="71"/>
        <v>0</v>
      </c>
      <c r="AC4403" s="117" t="str">
        <f>IF(AB4403=1,COUNTIF($AB$3:AB4403,1),"")</f>
        <v/>
      </c>
      <c r="AD4403" s="117" t="str">
        <f>IFERROR(INDEX($AA$3:$AA$10000,MATCH(ROWS($AC$3:AC4403),$AC$3:$AC$10000,0)),"")</f>
        <v/>
      </c>
    </row>
    <row r="4404" spans="27:30">
      <c r="AA4404" s="117">
        <f>+'Ingredient List - Mother Tinctu'!D4405</f>
        <v>0</v>
      </c>
      <c r="AB4404" s="117">
        <f t="shared" si="71"/>
        <v>0</v>
      </c>
      <c r="AC4404" s="117" t="str">
        <f>IF(AB4404=1,COUNTIF($AB$3:AB4404,1),"")</f>
        <v/>
      </c>
      <c r="AD4404" s="117" t="str">
        <f>IFERROR(INDEX($AA$3:$AA$10000,MATCH(ROWS($AC$3:AC4404),$AC$3:$AC$10000,0)),"")</f>
        <v/>
      </c>
    </row>
    <row r="4405" spans="27:30">
      <c r="AA4405" s="117">
        <f>+'Ingredient List - Mother Tinctu'!D4406</f>
        <v>0</v>
      </c>
      <c r="AB4405" s="117">
        <f t="shared" si="71"/>
        <v>0</v>
      </c>
      <c r="AC4405" s="117" t="str">
        <f>IF(AB4405=1,COUNTIF($AB$3:AB4405,1),"")</f>
        <v/>
      </c>
      <c r="AD4405" s="117" t="str">
        <f>IFERROR(INDEX($AA$3:$AA$10000,MATCH(ROWS($AC$3:AC4405),$AC$3:$AC$10000,0)),"")</f>
        <v/>
      </c>
    </row>
    <row r="4406" spans="27:30">
      <c r="AA4406" s="117">
        <f>+'Ingredient List - Mother Tinctu'!D4407</f>
        <v>0</v>
      </c>
      <c r="AB4406" s="117">
        <f t="shared" si="71"/>
        <v>0</v>
      </c>
      <c r="AC4406" s="117" t="str">
        <f>IF(AB4406=1,COUNTIF($AB$3:AB4406,1),"")</f>
        <v/>
      </c>
      <c r="AD4406" s="117" t="str">
        <f>IFERROR(INDEX($AA$3:$AA$10000,MATCH(ROWS($AC$3:AC4406),$AC$3:$AC$10000,0)),"")</f>
        <v/>
      </c>
    </row>
    <row r="4407" spans="27:30">
      <c r="AA4407" s="117">
        <f>+'Ingredient List - Mother Tinctu'!D4408</f>
        <v>0</v>
      </c>
      <c r="AB4407" s="117">
        <f t="shared" si="71"/>
        <v>0</v>
      </c>
      <c r="AC4407" s="117" t="str">
        <f>IF(AB4407=1,COUNTIF($AB$3:AB4407,1),"")</f>
        <v/>
      </c>
      <c r="AD4407" s="117" t="str">
        <f>IFERROR(INDEX($AA$3:$AA$10000,MATCH(ROWS($AC$3:AC4407),$AC$3:$AC$10000,0)),"")</f>
        <v/>
      </c>
    </row>
    <row r="4408" spans="27:30">
      <c r="AA4408" s="117">
        <f>+'Ingredient List - Mother Tinctu'!D4409</f>
        <v>0</v>
      </c>
      <c r="AB4408" s="117">
        <f t="shared" si="71"/>
        <v>0</v>
      </c>
      <c r="AC4408" s="117" t="str">
        <f>IF(AB4408=1,COUNTIF($AB$3:AB4408,1),"")</f>
        <v/>
      </c>
      <c r="AD4408" s="117" t="str">
        <f>IFERROR(INDEX($AA$3:$AA$10000,MATCH(ROWS($AC$3:AC4408),$AC$3:$AC$10000,0)),"")</f>
        <v/>
      </c>
    </row>
    <row r="4409" spans="27:30">
      <c r="AA4409" s="117">
        <f>+'Ingredient List - Mother Tinctu'!D4410</f>
        <v>0</v>
      </c>
      <c r="AB4409" s="117">
        <f t="shared" si="71"/>
        <v>0</v>
      </c>
      <c r="AC4409" s="117" t="str">
        <f>IF(AB4409=1,COUNTIF($AB$3:AB4409,1),"")</f>
        <v/>
      </c>
      <c r="AD4409" s="117" t="str">
        <f>IFERROR(INDEX($AA$3:$AA$10000,MATCH(ROWS($AC$3:AC4409),$AC$3:$AC$10000,0)),"")</f>
        <v/>
      </c>
    </row>
    <row r="4410" spans="27:30">
      <c r="AA4410" s="117">
        <f>+'Ingredient List - Mother Tinctu'!D4411</f>
        <v>0</v>
      </c>
      <c r="AB4410" s="117">
        <f t="shared" si="71"/>
        <v>0</v>
      </c>
      <c r="AC4410" s="117" t="str">
        <f>IF(AB4410=1,COUNTIF($AB$3:AB4410,1),"")</f>
        <v/>
      </c>
      <c r="AD4410" s="117" t="str">
        <f>IFERROR(INDEX($AA$3:$AA$10000,MATCH(ROWS($AC$3:AC4410),$AC$3:$AC$10000,0)),"")</f>
        <v/>
      </c>
    </row>
    <row r="4411" spans="27:30">
      <c r="AA4411" s="117">
        <f>+'Ingredient List - Mother Tinctu'!D4412</f>
        <v>0</v>
      </c>
      <c r="AB4411" s="117">
        <f t="shared" si="71"/>
        <v>0</v>
      </c>
      <c r="AC4411" s="117" t="str">
        <f>IF(AB4411=1,COUNTIF($AB$3:AB4411,1),"")</f>
        <v/>
      </c>
      <c r="AD4411" s="117" t="str">
        <f>IFERROR(INDEX($AA$3:$AA$10000,MATCH(ROWS($AC$3:AC4411),$AC$3:$AC$10000,0)),"")</f>
        <v/>
      </c>
    </row>
    <row r="4412" spans="27:30">
      <c r="AA4412" s="117">
        <f>+'Ingredient List - Mother Tinctu'!D4413</f>
        <v>0</v>
      </c>
      <c r="AB4412" s="117">
        <f t="shared" si="71"/>
        <v>0</v>
      </c>
      <c r="AC4412" s="117" t="str">
        <f>IF(AB4412=1,COUNTIF($AB$3:AB4412,1),"")</f>
        <v/>
      </c>
      <c r="AD4412" s="117" t="str">
        <f>IFERROR(INDEX($AA$3:$AA$10000,MATCH(ROWS($AC$3:AC4412),$AC$3:$AC$10000,0)),"")</f>
        <v/>
      </c>
    </row>
    <row r="4413" spans="27:30">
      <c r="AA4413" s="117">
        <f>+'Ingredient List - Mother Tinctu'!D4414</f>
        <v>0</v>
      </c>
      <c r="AB4413" s="117">
        <f t="shared" si="71"/>
        <v>0</v>
      </c>
      <c r="AC4413" s="117" t="str">
        <f>IF(AB4413=1,COUNTIF($AB$3:AB4413,1),"")</f>
        <v/>
      </c>
      <c r="AD4413" s="117" t="str">
        <f>IFERROR(INDEX($AA$3:$AA$10000,MATCH(ROWS($AC$3:AC4413),$AC$3:$AC$10000,0)),"")</f>
        <v/>
      </c>
    </row>
    <row r="4414" spans="27:30">
      <c r="AA4414" s="117">
        <f>+'Ingredient List - Mother Tinctu'!D4415</f>
        <v>0</v>
      </c>
      <c r="AB4414" s="117">
        <f t="shared" si="71"/>
        <v>0</v>
      </c>
      <c r="AC4414" s="117" t="str">
        <f>IF(AB4414=1,COUNTIF($AB$3:AB4414,1),"")</f>
        <v/>
      </c>
      <c r="AD4414" s="117" t="str">
        <f>IFERROR(INDEX($AA$3:$AA$10000,MATCH(ROWS($AC$3:AC4414),$AC$3:$AC$10000,0)),"")</f>
        <v/>
      </c>
    </row>
    <row r="4415" spans="27:30">
      <c r="AA4415" s="117">
        <f>+'Ingredient List - Mother Tinctu'!D4416</f>
        <v>0</v>
      </c>
      <c r="AB4415" s="117">
        <f t="shared" si="71"/>
        <v>0</v>
      </c>
      <c r="AC4415" s="117" t="str">
        <f>IF(AB4415=1,COUNTIF($AB$3:AB4415,1),"")</f>
        <v/>
      </c>
      <c r="AD4415" s="117" t="str">
        <f>IFERROR(INDEX($AA$3:$AA$10000,MATCH(ROWS($AC$3:AC4415),$AC$3:$AC$10000,0)),"")</f>
        <v/>
      </c>
    </row>
    <row r="4416" spans="27:30">
      <c r="AA4416" s="117">
        <f>+'Ingredient List - Mother Tinctu'!D4417</f>
        <v>0</v>
      </c>
      <c r="AB4416" s="117">
        <f t="shared" si="71"/>
        <v>0</v>
      </c>
      <c r="AC4416" s="117" t="str">
        <f>IF(AB4416=1,COUNTIF($AB$3:AB4416,1),"")</f>
        <v/>
      </c>
      <c r="AD4416" s="117" t="str">
        <f>IFERROR(INDEX($AA$3:$AA$10000,MATCH(ROWS($AC$3:AC4416),$AC$3:$AC$10000,0)),"")</f>
        <v/>
      </c>
    </row>
    <row r="4417" spans="27:30">
      <c r="AA4417" s="117">
        <f>+'Ingredient List - Mother Tinctu'!D4418</f>
        <v>0</v>
      </c>
      <c r="AB4417" s="117">
        <f t="shared" si="71"/>
        <v>0</v>
      </c>
      <c r="AC4417" s="117" t="str">
        <f>IF(AB4417=1,COUNTIF($AB$3:AB4417,1),"")</f>
        <v/>
      </c>
      <c r="AD4417" s="117" t="str">
        <f>IFERROR(INDEX($AA$3:$AA$10000,MATCH(ROWS($AC$3:AC4417),$AC$3:$AC$10000,0)),"")</f>
        <v/>
      </c>
    </row>
    <row r="4418" spans="27:30">
      <c r="AA4418" s="117">
        <f>+'Ingredient List - Mother Tinctu'!D4419</f>
        <v>0</v>
      </c>
      <c r="AB4418" s="117">
        <f t="shared" si="71"/>
        <v>0</v>
      </c>
      <c r="AC4418" s="117" t="str">
        <f>IF(AB4418=1,COUNTIF($AB$3:AB4418,1),"")</f>
        <v/>
      </c>
      <c r="AD4418" s="117" t="str">
        <f>IFERROR(INDEX($AA$3:$AA$10000,MATCH(ROWS($AC$3:AC4418),$AC$3:$AC$10000,0)),"")</f>
        <v/>
      </c>
    </row>
    <row r="4419" spans="27:30">
      <c r="AA4419" s="117">
        <f>+'Ingredient List - Mother Tinctu'!D4420</f>
        <v>0</v>
      </c>
      <c r="AB4419" s="117">
        <f t="shared" si="71"/>
        <v>0</v>
      </c>
      <c r="AC4419" s="117" t="str">
        <f>IF(AB4419=1,COUNTIF($AB$3:AB4419,1),"")</f>
        <v/>
      </c>
      <c r="AD4419" s="117" t="str">
        <f>IFERROR(INDEX($AA$3:$AA$10000,MATCH(ROWS($AC$3:AC4419),$AC$3:$AC$10000,0)),"")</f>
        <v/>
      </c>
    </row>
    <row r="4420" spans="27:30">
      <c r="AA4420" s="117">
        <f>+'Ingredient List - Mother Tinctu'!D4421</f>
        <v>0</v>
      </c>
      <c r="AB4420" s="117">
        <f t="shared" ref="AB4420:AB4483" si="72">--ISNUMBER(IFERROR(SEARCH($D$3,AA4420,1),""))</f>
        <v>0</v>
      </c>
      <c r="AC4420" s="117" t="str">
        <f>IF(AB4420=1,COUNTIF($AB$3:AB4420,1),"")</f>
        <v/>
      </c>
      <c r="AD4420" s="117" t="str">
        <f>IFERROR(INDEX($AA$3:$AA$10000,MATCH(ROWS($AC$3:AC4420),$AC$3:$AC$10000,0)),"")</f>
        <v/>
      </c>
    </row>
    <row r="4421" spans="27:30">
      <c r="AA4421" s="117">
        <f>+'Ingredient List - Mother Tinctu'!D4422</f>
        <v>0</v>
      </c>
      <c r="AB4421" s="117">
        <f t="shared" si="72"/>
        <v>0</v>
      </c>
      <c r="AC4421" s="117" t="str">
        <f>IF(AB4421=1,COUNTIF($AB$3:AB4421,1),"")</f>
        <v/>
      </c>
      <c r="AD4421" s="117" t="str">
        <f>IFERROR(INDEX($AA$3:$AA$10000,MATCH(ROWS($AC$3:AC4421),$AC$3:$AC$10000,0)),"")</f>
        <v/>
      </c>
    </row>
    <row r="4422" spans="27:30">
      <c r="AA4422" s="117">
        <f>+'Ingredient List - Mother Tinctu'!D4423</f>
        <v>0</v>
      </c>
      <c r="AB4422" s="117">
        <f t="shared" si="72"/>
        <v>0</v>
      </c>
      <c r="AC4422" s="117" t="str">
        <f>IF(AB4422=1,COUNTIF($AB$3:AB4422,1),"")</f>
        <v/>
      </c>
      <c r="AD4422" s="117" t="str">
        <f>IFERROR(INDEX($AA$3:$AA$10000,MATCH(ROWS($AC$3:AC4422),$AC$3:$AC$10000,0)),"")</f>
        <v/>
      </c>
    </row>
    <row r="4423" spans="27:30">
      <c r="AA4423" s="117">
        <f>+'Ingredient List - Mother Tinctu'!D4424</f>
        <v>0</v>
      </c>
      <c r="AB4423" s="117">
        <f t="shared" si="72"/>
        <v>0</v>
      </c>
      <c r="AC4423" s="117" t="str">
        <f>IF(AB4423=1,COUNTIF($AB$3:AB4423,1),"")</f>
        <v/>
      </c>
      <c r="AD4423" s="117" t="str">
        <f>IFERROR(INDEX($AA$3:$AA$10000,MATCH(ROWS($AC$3:AC4423),$AC$3:$AC$10000,0)),"")</f>
        <v/>
      </c>
    </row>
    <row r="4424" spans="27:30">
      <c r="AA4424" s="117">
        <f>+'Ingredient List - Mother Tinctu'!D4425</f>
        <v>0</v>
      </c>
      <c r="AB4424" s="117">
        <f t="shared" si="72"/>
        <v>0</v>
      </c>
      <c r="AC4424" s="117" t="str">
        <f>IF(AB4424=1,COUNTIF($AB$3:AB4424,1),"")</f>
        <v/>
      </c>
      <c r="AD4424" s="117" t="str">
        <f>IFERROR(INDEX($AA$3:$AA$10000,MATCH(ROWS($AC$3:AC4424),$AC$3:$AC$10000,0)),"")</f>
        <v/>
      </c>
    </row>
    <row r="4425" spans="27:30">
      <c r="AA4425" s="117">
        <f>+'Ingredient List - Mother Tinctu'!D4426</f>
        <v>0</v>
      </c>
      <c r="AB4425" s="117">
        <f t="shared" si="72"/>
        <v>0</v>
      </c>
      <c r="AC4425" s="117" t="str">
        <f>IF(AB4425=1,COUNTIF($AB$3:AB4425,1),"")</f>
        <v/>
      </c>
      <c r="AD4425" s="117" t="str">
        <f>IFERROR(INDEX($AA$3:$AA$10000,MATCH(ROWS($AC$3:AC4425),$AC$3:$AC$10000,0)),"")</f>
        <v/>
      </c>
    </row>
    <row r="4426" spans="27:30">
      <c r="AA4426" s="117">
        <f>+'Ingredient List - Mother Tinctu'!D4427</f>
        <v>0</v>
      </c>
      <c r="AB4426" s="117">
        <f t="shared" si="72"/>
        <v>0</v>
      </c>
      <c r="AC4426" s="117" t="str">
        <f>IF(AB4426=1,COUNTIF($AB$3:AB4426,1),"")</f>
        <v/>
      </c>
      <c r="AD4426" s="117" t="str">
        <f>IFERROR(INDEX($AA$3:$AA$10000,MATCH(ROWS($AC$3:AC4426),$AC$3:$AC$10000,0)),"")</f>
        <v/>
      </c>
    </row>
    <row r="4427" spans="27:30">
      <c r="AA4427" s="117">
        <f>+'Ingredient List - Mother Tinctu'!D4428</f>
        <v>0</v>
      </c>
      <c r="AB4427" s="117">
        <f t="shared" si="72"/>
        <v>0</v>
      </c>
      <c r="AC4427" s="117" t="str">
        <f>IF(AB4427=1,COUNTIF($AB$3:AB4427,1),"")</f>
        <v/>
      </c>
      <c r="AD4427" s="117" t="str">
        <f>IFERROR(INDEX($AA$3:$AA$10000,MATCH(ROWS($AC$3:AC4427),$AC$3:$AC$10000,0)),"")</f>
        <v/>
      </c>
    </row>
    <row r="4428" spans="27:30">
      <c r="AA4428" s="117">
        <f>+'Ingredient List - Mother Tinctu'!D4429</f>
        <v>0</v>
      </c>
      <c r="AB4428" s="117">
        <f t="shared" si="72"/>
        <v>0</v>
      </c>
      <c r="AC4428" s="117" t="str">
        <f>IF(AB4428=1,COUNTIF($AB$3:AB4428,1),"")</f>
        <v/>
      </c>
      <c r="AD4428" s="117" t="str">
        <f>IFERROR(INDEX($AA$3:$AA$10000,MATCH(ROWS($AC$3:AC4428),$AC$3:$AC$10000,0)),"")</f>
        <v/>
      </c>
    </row>
    <row r="4429" spans="27:30">
      <c r="AA4429" s="117">
        <f>+'Ingredient List - Mother Tinctu'!D4430</f>
        <v>0</v>
      </c>
      <c r="AB4429" s="117">
        <f t="shared" si="72"/>
        <v>0</v>
      </c>
      <c r="AC4429" s="117" t="str">
        <f>IF(AB4429=1,COUNTIF($AB$3:AB4429,1),"")</f>
        <v/>
      </c>
      <c r="AD4429" s="117" t="str">
        <f>IFERROR(INDEX($AA$3:$AA$10000,MATCH(ROWS($AC$3:AC4429),$AC$3:$AC$10000,0)),"")</f>
        <v/>
      </c>
    </row>
    <row r="4430" spans="27:30">
      <c r="AA4430" s="117">
        <f>+'Ingredient List - Mother Tinctu'!D4431</f>
        <v>0</v>
      </c>
      <c r="AB4430" s="117">
        <f t="shared" si="72"/>
        <v>0</v>
      </c>
      <c r="AC4430" s="117" t="str">
        <f>IF(AB4430=1,COUNTIF($AB$3:AB4430,1),"")</f>
        <v/>
      </c>
      <c r="AD4430" s="117" t="str">
        <f>IFERROR(INDEX($AA$3:$AA$10000,MATCH(ROWS($AC$3:AC4430),$AC$3:$AC$10000,0)),"")</f>
        <v/>
      </c>
    </row>
    <row r="4431" spans="27:30">
      <c r="AA4431" s="117">
        <f>+'Ingredient List - Mother Tinctu'!D4432</f>
        <v>0</v>
      </c>
      <c r="AB4431" s="117">
        <f t="shared" si="72"/>
        <v>0</v>
      </c>
      <c r="AC4431" s="117" t="str">
        <f>IF(AB4431=1,COUNTIF($AB$3:AB4431,1),"")</f>
        <v/>
      </c>
      <c r="AD4431" s="117" t="str">
        <f>IFERROR(INDEX($AA$3:$AA$10000,MATCH(ROWS($AC$3:AC4431),$AC$3:$AC$10000,0)),"")</f>
        <v/>
      </c>
    </row>
    <row r="4432" spans="27:30">
      <c r="AA4432" s="117">
        <f>+'Ingredient List - Mother Tinctu'!D4433</f>
        <v>0</v>
      </c>
      <c r="AB4432" s="117">
        <f t="shared" si="72"/>
        <v>0</v>
      </c>
      <c r="AC4432" s="117" t="str">
        <f>IF(AB4432=1,COUNTIF($AB$3:AB4432,1),"")</f>
        <v/>
      </c>
      <c r="AD4432" s="117" t="str">
        <f>IFERROR(INDEX($AA$3:$AA$10000,MATCH(ROWS($AC$3:AC4432),$AC$3:$AC$10000,0)),"")</f>
        <v/>
      </c>
    </row>
    <row r="4433" spans="27:30">
      <c r="AA4433" s="117">
        <f>+'Ingredient List - Mother Tinctu'!D4434</f>
        <v>0</v>
      </c>
      <c r="AB4433" s="117">
        <f t="shared" si="72"/>
        <v>0</v>
      </c>
      <c r="AC4433" s="117" t="str">
        <f>IF(AB4433=1,COUNTIF($AB$3:AB4433,1),"")</f>
        <v/>
      </c>
      <c r="AD4433" s="117" t="str">
        <f>IFERROR(INDEX($AA$3:$AA$10000,MATCH(ROWS($AC$3:AC4433),$AC$3:$AC$10000,0)),"")</f>
        <v/>
      </c>
    </row>
    <row r="4434" spans="27:30">
      <c r="AA4434" s="117">
        <f>+'Ingredient List - Mother Tinctu'!D4435</f>
        <v>0</v>
      </c>
      <c r="AB4434" s="117">
        <f t="shared" si="72"/>
        <v>0</v>
      </c>
      <c r="AC4434" s="117" t="str">
        <f>IF(AB4434=1,COUNTIF($AB$3:AB4434,1),"")</f>
        <v/>
      </c>
      <c r="AD4434" s="117" t="str">
        <f>IFERROR(INDEX($AA$3:$AA$10000,MATCH(ROWS($AC$3:AC4434),$AC$3:$AC$10000,0)),"")</f>
        <v/>
      </c>
    </row>
    <row r="4435" spans="27:30">
      <c r="AA4435" s="117">
        <f>+'Ingredient List - Mother Tinctu'!D4436</f>
        <v>0</v>
      </c>
      <c r="AB4435" s="117">
        <f t="shared" si="72"/>
        <v>0</v>
      </c>
      <c r="AC4435" s="117" t="str">
        <f>IF(AB4435=1,COUNTIF($AB$3:AB4435,1),"")</f>
        <v/>
      </c>
      <c r="AD4435" s="117" t="str">
        <f>IFERROR(INDEX($AA$3:$AA$10000,MATCH(ROWS($AC$3:AC4435),$AC$3:$AC$10000,0)),"")</f>
        <v/>
      </c>
    </row>
    <row r="4436" spans="27:30">
      <c r="AA4436" s="117">
        <f>+'Ingredient List - Mother Tinctu'!D4437</f>
        <v>0</v>
      </c>
      <c r="AB4436" s="117">
        <f t="shared" si="72"/>
        <v>0</v>
      </c>
      <c r="AC4436" s="117" t="str">
        <f>IF(AB4436=1,COUNTIF($AB$3:AB4436,1),"")</f>
        <v/>
      </c>
      <c r="AD4436" s="117" t="str">
        <f>IFERROR(INDEX($AA$3:$AA$10000,MATCH(ROWS($AC$3:AC4436),$AC$3:$AC$10000,0)),"")</f>
        <v/>
      </c>
    </row>
    <row r="4437" spans="27:30">
      <c r="AA4437" s="117">
        <f>+'Ingredient List - Mother Tinctu'!D4438</f>
        <v>0</v>
      </c>
      <c r="AB4437" s="117">
        <f t="shared" si="72"/>
        <v>0</v>
      </c>
      <c r="AC4437" s="117" t="str">
        <f>IF(AB4437=1,COUNTIF($AB$3:AB4437,1),"")</f>
        <v/>
      </c>
      <c r="AD4437" s="117" t="str">
        <f>IFERROR(INDEX($AA$3:$AA$10000,MATCH(ROWS($AC$3:AC4437),$AC$3:$AC$10000,0)),"")</f>
        <v/>
      </c>
    </row>
    <row r="4438" spans="27:30">
      <c r="AA4438" s="117">
        <f>+'Ingredient List - Mother Tinctu'!D4439</f>
        <v>0</v>
      </c>
      <c r="AB4438" s="117">
        <f t="shared" si="72"/>
        <v>0</v>
      </c>
      <c r="AC4438" s="117" t="str">
        <f>IF(AB4438=1,COUNTIF($AB$3:AB4438,1),"")</f>
        <v/>
      </c>
      <c r="AD4438" s="117" t="str">
        <f>IFERROR(INDEX($AA$3:$AA$10000,MATCH(ROWS($AC$3:AC4438),$AC$3:$AC$10000,0)),"")</f>
        <v/>
      </c>
    </row>
    <row r="4439" spans="27:30">
      <c r="AA4439" s="117">
        <f>+'Ingredient List - Mother Tinctu'!D4440</f>
        <v>0</v>
      </c>
      <c r="AB4439" s="117">
        <f t="shared" si="72"/>
        <v>0</v>
      </c>
      <c r="AC4439" s="117" t="str">
        <f>IF(AB4439=1,COUNTIF($AB$3:AB4439,1),"")</f>
        <v/>
      </c>
      <c r="AD4439" s="117" t="str">
        <f>IFERROR(INDEX($AA$3:$AA$10000,MATCH(ROWS($AC$3:AC4439),$AC$3:$AC$10000,0)),"")</f>
        <v/>
      </c>
    </row>
    <row r="4440" spans="27:30">
      <c r="AA4440" s="117">
        <f>+'Ingredient List - Mother Tinctu'!D4441</f>
        <v>0</v>
      </c>
      <c r="AB4440" s="117">
        <f t="shared" si="72"/>
        <v>0</v>
      </c>
      <c r="AC4440" s="117" t="str">
        <f>IF(AB4440=1,COUNTIF($AB$3:AB4440,1),"")</f>
        <v/>
      </c>
      <c r="AD4440" s="117" t="str">
        <f>IFERROR(INDEX($AA$3:$AA$10000,MATCH(ROWS($AC$3:AC4440),$AC$3:$AC$10000,0)),"")</f>
        <v/>
      </c>
    </row>
    <row r="4441" spans="27:30">
      <c r="AA4441" s="117">
        <f>+'Ingredient List - Mother Tinctu'!D4442</f>
        <v>0</v>
      </c>
      <c r="AB4441" s="117">
        <f t="shared" si="72"/>
        <v>0</v>
      </c>
      <c r="AC4441" s="117" t="str">
        <f>IF(AB4441=1,COUNTIF($AB$3:AB4441,1),"")</f>
        <v/>
      </c>
      <c r="AD4441" s="117" t="str">
        <f>IFERROR(INDEX($AA$3:$AA$10000,MATCH(ROWS($AC$3:AC4441),$AC$3:$AC$10000,0)),"")</f>
        <v/>
      </c>
    </row>
    <row r="4442" spans="27:30">
      <c r="AA4442" s="117">
        <f>+'Ingredient List - Mother Tinctu'!D4443</f>
        <v>0</v>
      </c>
      <c r="AB4442" s="117">
        <f t="shared" si="72"/>
        <v>0</v>
      </c>
      <c r="AC4442" s="117" t="str">
        <f>IF(AB4442=1,COUNTIF($AB$3:AB4442,1),"")</f>
        <v/>
      </c>
      <c r="AD4442" s="117" t="str">
        <f>IFERROR(INDEX($AA$3:$AA$10000,MATCH(ROWS($AC$3:AC4442),$AC$3:$AC$10000,0)),"")</f>
        <v/>
      </c>
    </row>
    <row r="4443" spans="27:30">
      <c r="AA4443" s="117">
        <f>+'Ingredient List - Mother Tinctu'!D4444</f>
        <v>0</v>
      </c>
      <c r="AB4443" s="117">
        <f t="shared" si="72"/>
        <v>0</v>
      </c>
      <c r="AC4443" s="117" t="str">
        <f>IF(AB4443=1,COUNTIF($AB$3:AB4443,1),"")</f>
        <v/>
      </c>
      <c r="AD4443" s="117" t="str">
        <f>IFERROR(INDEX($AA$3:$AA$10000,MATCH(ROWS($AC$3:AC4443),$AC$3:$AC$10000,0)),"")</f>
        <v/>
      </c>
    </row>
    <row r="4444" spans="27:30">
      <c r="AA4444" s="117">
        <f>+'Ingredient List - Mother Tinctu'!D4445</f>
        <v>0</v>
      </c>
      <c r="AB4444" s="117">
        <f t="shared" si="72"/>
        <v>0</v>
      </c>
      <c r="AC4444" s="117" t="str">
        <f>IF(AB4444=1,COUNTIF($AB$3:AB4444,1),"")</f>
        <v/>
      </c>
      <c r="AD4444" s="117" t="str">
        <f>IFERROR(INDEX($AA$3:$AA$10000,MATCH(ROWS($AC$3:AC4444),$AC$3:$AC$10000,0)),"")</f>
        <v/>
      </c>
    </row>
    <row r="4445" spans="27:30">
      <c r="AA4445" s="117">
        <f>+'Ingredient List - Mother Tinctu'!D4446</f>
        <v>0</v>
      </c>
      <c r="AB4445" s="117">
        <f t="shared" si="72"/>
        <v>0</v>
      </c>
      <c r="AC4445" s="117" t="str">
        <f>IF(AB4445=1,COUNTIF($AB$3:AB4445,1),"")</f>
        <v/>
      </c>
      <c r="AD4445" s="117" t="str">
        <f>IFERROR(INDEX($AA$3:$AA$10000,MATCH(ROWS($AC$3:AC4445),$AC$3:$AC$10000,0)),"")</f>
        <v/>
      </c>
    </row>
    <row r="4446" spans="27:30">
      <c r="AA4446" s="117">
        <f>+'Ingredient List - Mother Tinctu'!D4447</f>
        <v>0</v>
      </c>
      <c r="AB4446" s="117">
        <f t="shared" si="72"/>
        <v>0</v>
      </c>
      <c r="AC4446" s="117" t="str">
        <f>IF(AB4446=1,COUNTIF($AB$3:AB4446,1),"")</f>
        <v/>
      </c>
      <c r="AD4446" s="117" t="str">
        <f>IFERROR(INDEX($AA$3:$AA$10000,MATCH(ROWS($AC$3:AC4446),$AC$3:$AC$10000,0)),"")</f>
        <v/>
      </c>
    </row>
    <row r="4447" spans="27:30">
      <c r="AA4447" s="117">
        <f>+'Ingredient List - Mother Tinctu'!D4448</f>
        <v>0</v>
      </c>
      <c r="AB4447" s="117">
        <f t="shared" si="72"/>
        <v>0</v>
      </c>
      <c r="AC4447" s="117" t="str">
        <f>IF(AB4447=1,COUNTIF($AB$3:AB4447,1),"")</f>
        <v/>
      </c>
      <c r="AD4447" s="117" t="str">
        <f>IFERROR(INDEX($AA$3:$AA$10000,MATCH(ROWS($AC$3:AC4447),$AC$3:$AC$10000,0)),"")</f>
        <v/>
      </c>
    </row>
    <row r="4448" spans="27:30">
      <c r="AA4448" s="117">
        <f>+'Ingredient List - Mother Tinctu'!D4449</f>
        <v>0</v>
      </c>
      <c r="AB4448" s="117">
        <f t="shared" si="72"/>
        <v>0</v>
      </c>
      <c r="AC4448" s="117" t="str">
        <f>IF(AB4448=1,COUNTIF($AB$3:AB4448,1),"")</f>
        <v/>
      </c>
      <c r="AD4448" s="117" t="str">
        <f>IFERROR(INDEX($AA$3:$AA$10000,MATCH(ROWS($AC$3:AC4448),$AC$3:$AC$10000,0)),"")</f>
        <v/>
      </c>
    </row>
    <row r="4449" spans="27:30">
      <c r="AA4449" s="117">
        <f>+'Ingredient List - Mother Tinctu'!D4450</f>
        <v>0</v>
      </c>
      <c r="AB4449" s="117">
        <f t="shared" si="72"/>
        <v>0</v>
      </c>
      <c r="AC4449" s="117" t="str">
        <f>IF(AB4449=1,COUNTIF($AB$3:AB4449,1),"")</f>
        <v/>
      </c>
      <c r="AD4449" s="117" t="str">
        <f>IFERROR(INDEX($AA$3:$AA$10000,MATCH(ROWS($AC$3:AC4449),$AC$3:$AC$10000,0)),"")</f>
        <v/>
      </c>
    </row>
    <row r="4450" spans="27:30">
      <c r="AA4450" s="117">
        <f>+'Ingredient List - Mother Tinctu'!D4451</f>
        <v>0</v>
      </c>
      <c r="AB4450" s="117">
        <f t="shared" si="72"/>
        <v>0</v>
      </c>
      <c r="AC4450" s="117" t="str">
        <f>IF(AB4450=1,COUNTIF($AB$3:AB4450,1),"")</f>
        <v/>
      </c>
      <c r="AD4450" s="117" t="str">
        <f>IFERROR(INDEX($AA$3:$AA$10000,MATCH(ROWS($AC$3:AC4450),$AC$3:$AC$10000,0)),"")</f>
        <v/>
      </c>
    </row>
    <row r="4451" spans="27:30">
      <c r="AA4451" s="117">
        <f>+'Ingredient List - Mother Tinctu'!D4452</f>
        <v>0</v>
      </c>
      <c r="AB4451" s="117">
        <f t="shared" si="72"/>
        <v>0</v>
      </c>
      <c r="AC4451" s="117" t="str">
        <f>IF(AB4451=1,COUNTIF($AB$3:AB4451,1),"")</f>
        <v/>
      </c>
      <c r="AD4451" s="117" t="str">
        <f>IFERROR(INDEX($AA$3:$AA$10000,MATCH(ROWS($AC$3:AC4451),$AC$3:$AC$10000,0)),"")</f>
        <v/>
      </c>
    </row>
    <row r="4452" spans="27:30">
      <c r="AA4452" s="117">
        <f>+'Ingredient List - Mother Tinctu'!D4453</f>
        <v>0</v>
      </c>
      <c r="AB4452" s="117">
        <f t="shared" si="72"/>
        <v>0</v>
      </c>
      <c r="AC4452" s="117" t="str">
        <f>IF(AB4452=1,COUNTIF($AB$3:AB4452,1),"")</f>
        <v/>
      </c>
      <c r="AD4452" s="117" t="str">
        <f>IFERROR(INDEX($AA$3:$AA$10000,MATCH(ROWS($AC$3:AC4452),$AC$3:$AC$10000,0)),"")</f>
        <v/>
      </c>
    </row>
    <row r="4453" spans="27:30">
      <c r="AA4453" s="117">
        <f>+'Ingredient List - Mother Tinctu'!D4454</f>
        <v>0</v>
      </c>
      <c r="AB4453" s="117">
        <f t="shared" si="72"/>
        <v>0</v>
      </c>
      <c r="AC4453" s="117" t="str">
        <f>IF(AB4453=1,COUNTIF($AB$3:AB4453,1),"")</f>
        <v/>
      </c>
      <c r="AD4453" s="117" t="str">
        <f>IFERROR(INDEX($AA$3:$AA$10000,MATCH(ROWS($AC$3:AC4453),$AC$3:$AC$10000,0)),"")</f>
        <v/>
      </c>
    </row>
    <row r="4454" spans="27:30">
      <c r="AA4454" s="117">
        <f>+'Ingredient List - Mother Tinctu'!D4455</f>
        <v>0</v>
      </c>
      <c r="AB4454" s="117">
        <f t="shared" si="72"/>
        <v>0</v>
      </c>
      <c r="AC4454" s="117" t="str">
        <f>IF(AB4454=1,COUNTIF($AB$3:AB4454,1),"")</f>
        <v/>
      </c>
      <c r="AD4454" s="117" t="str">
        <f>IFERROR(INDEX($AA$3:$AA$10000,MATCH(ROWS($AC$3:AC4454),$AC$3:$AC$10000,0)),"")</f>
        <v/>
      </c>
    </row>
    <row r="4455" spans="27:30">
      <c r="AA4455" s="117">
        <f>+'Ingredient List - Mother Tinctu'!D4456</f>
        <v>0</v>
      </c>
      <c r="AB4455" s="117">
        <f t="shared" si="72"/>
        <v>0</v>
      </c>
      <c r="AC4455" s="117" t="str">
        <f>IF(AB4455=1,COUNTIF($AB$3:AB4455,1),"")</f>
        <v/>
      </c>
      <c r="AD4455" s="117" t="str">
        <f>IFERROR(INDEX($AA$3:$AA$10000,MATCH(ROWS($AC$3:AC4455),$AC$3:$AC$10000,0)),"")</f>
        <v/>
      </c>
    </row>
    <row r="4456" spans="27:30">
      <c r="AA4456" s="117">
        <f>+'Ingredient List - Mother Tinctu'!D4457</f>
        <v>0</v>
      </c>
      <c r="AB4456" s="117">
        <f t="shared" si="72"/>
        <v>0</v>
      </c>
      <c r="AC4456" s="117" t="str">
        <f>IF(AB4456=1,COUNTIF($AB$3:AB4456,1),"")</f>
        <v/>
      </c>
      <c r="AD4456" s="117" t="str">
        <f>IFERROR(INDEX($AA$3:$AA$10000,MATCH(ROWS($AC$3:AC4456),$AC$3:$AC$10000,0)),"")</f>
        <v/>
      </c>
    </row>
    <row r="4457" spans="27:30">
      <c r="AA4457" s="117">
        <f>+'Ingredient List - Mother Tinctu'!D4458</f>
        <v>0</v>
      </c>
      <c r="AB4457" s="117">
        <f t="shared" si="72"/>
        <v>0</v>
      </c>
      <c r="AC4457" s="117" t="str">
        <f>IF(AB4457=1,COUNTIF($AB$3:AB4457,1),"")</f>
        <v/>
      </c>
      <c r="AD4457" s="117" t="str">
        <f>IFERROR(INDEX($AA$3:$AA$10000,MATCH(ROWS($AC$3:AC4457),$AC$3:$AC$10000,0)),"")</f>
        <v/>
      </c>
    </row>
    <row r="4458" spans="27:30">
      <c r="AA4458" s="117">
        <f>+'Ingredient List - Mother Tinctu'!D4459</f>
        <v>0</v>
      </c>
      <c r="AB4458" s="117">
        <f t="shared" si="72"/>
        <v>0</v>
      </c>
      <c r="AC4458" s="117" t="str">
        <f>IF(AB4458=1,COUNTIF($AB$3:AB4458,1),"")</f>
        <v/>
      </c>
      <c r="AD4458" s="117" t="str">
        <f>IFERROR(INDEX($AA$3:$AA$10000,MATCH(ROWS($AC$3:AC4458),$AC$3:$AC$10000,0)),"")</f>
        <v/>
      </c>
    </row>
    <row r="4459" spans="27:30">
      <c r="AA4459" s="117">
        <f>+'Ingredient List - Mother Tinctu'!D4460</f>
        <v>0</v>
      </c>
      <c r="AB4459" s="117">
        <f t="shared" si="72"/>
        <v>0</v>
      </c>
      <c r="AC4459" s="117" t="str">
        <f>IF(AB4459=1,COUNTIF($AB$3:AB4459,1),"")</f>
        <v/>
      </c>
      <c r="AD4459" s="117" t="str">
        <f>IFERROR(INDEX($AA$3:$AA$10000,MATCH(ROWS($AC$3:AC4459),$AC$3:$AC$10000,0)),"")</f>
        <v/>
      </c>
    </row>
    <row r="4460" spans="27:30">
      <c r="AA4460" s="117">
        <f>+'Ingredient List - Mother Tinctu'!D4461</f>
        <v>0</v>
      </c>
      <c r="AB4460" s="117">
        <f t="shared" si="72"/>
        <v>0</v>
      </c>
      <c r="AC4460" s="117" t="str">
        <f>IF(AB4460=1,COUNTIF($AB$3:AB4460,1),"")</f>
        <v/>
      </c>
      <c r="AD4460" s="117" t="str">
        <f>IFERROR(INDEX($AA$3:$AA$10000,MATCH(ROWS($AC$3:AC4460),$AC$3:$AC$10000,0)),"")</f>
        <v/>
      </c>
    </row>
    <row r="4461" spans="27:30">
      <c r="AA4461" s="117">
        <f>+'Ingredient List - Mother Tinctu'!D4462</f>
        <v>0</v>
      </c>
      <c r="AB4461" s="117">
        <f t="shared" si="72"/>
        <v>0</v>
      </c>
      <c r="AC4461" s="117" t="str">
        <f>IF(AB4461=1,COUNTIF($AB$3:AB4461,1),"")</f>
        <v/>
      </c>
      <c r="AD4461" s="117" t="str">
        <f>IFERROR(INDEX($AA$3:$AA$10000,MATCH(ROWS($AC$3:AC4461),$AC$3:$AC$10000,0)),"")</f>
        <v/>
      </c>
    </row>
    <row r="4462" spans="27:30">
      <c r="AA4462" s="117">
        <f>+'Ingredient List - Mother Tinctu'!D4463</f>
        <v>0</v>
      </c>
      <c r="AB4462" s="117">
        <f t="shared" si="72"/>
        <v>0</v>
      </c>
      <c r="AC4462" s="117" t="str">
        <f>IF(AB4462=1,COUNTIF($AB$3:AB4462,1),"")</f>
        <v/>
      </c>
      <c r="AD4462" s="117" t="str">
        <f>IFERROR(INDEX($AA$3:$AA$10000,MATCH(ROWS($AC$3:AC4462),$AC$3:$AC$10000,0)),"")</f>
        <v/>
      </c>
    </row>
    <row r="4463" spans="27:30">
      <c r="AA4463" s="117">
        <f>+'Ingredient List - Mother Tinctu'!D4464</f>
        <v>0</v>
      </c>
      <c r="AB4463" s="117">
        <f t="shared" si="72"/>
        <v>0</v>
      </c>
      <c r="AC4463" s="117" t="str">
        <f>IF(AB4463=1,COUNTIF($AB$3:AB4463,1),"")</f>
        <v/>
      </c>
      <c r="AD4463" s="117" t="str">
        <f>IFERROR(INDEX($AA$3:$AA$10000,MATCH(ROWS($AC$3:AC4463),$AC$3:$AC$10000,0)),"")</f>
        <v/>
      </c>
    </row>
    <row r="4464" spans="27:30">
      <c r="AA4464" s="117">
        <f>+'Ingredient List - Mother Tinctu'!D4465</f>
        <v>0</v>
      </c>
      <c r="AB4464" s="117">
        <f t="shared" si="72"/>
        <v>0</v>
      </c>
      <c r="AC4464" s="117" t="str">
        <f>IF(AB4464=1,COUNTIF($AB$3:AB4464,1),"")</f>
        <v/>
      </c>
      <c r="AD4464" s="117" t="str">
        <f>IFERROR(INDEX($AA$3:$AA$10000,MATCH(ROWS($AC$3:AC4464),$AC$3:$AC$10000,0)),"")</f>
        <v/>
      </c>
    </row>
    <row r="4465" spans="27:30">
      <c r="AA4465" s="117">
        <f>+'Ingredient List - Mother Tinctu'!D4466</f>
        <v>0</v>
      </c>
      <c r="AB4465" s="117">
        <f t="shared" si="72"/>
        <v>0</v>
      </c>
      <c r="AC4465" s="117" t="str">
        <f>IF(AB4465=1,COUNTIF($AB$3:AB4465,1),"")</f>
        <v/>
      </c>
      <c r="AD4465" s="117" t="str">
        <f>IFERROR(INDEX($AA$3:$AA$10000,MATCH(ROWS($AC$3:AC4465),$AC$3:$AC$10000,0)),"")</f>
        <v/>
      </c>
    </row>
    <row r="4466" spans="27:30">
      <c r="AA4466" s="117">
        <f>+'Ingredient List - Mother Tinctu'!D4467</f>
        <v>0</v>
      </c>
      <c r="AB4466" s="117">
        <f t="shared" si="72"/>
        <v>0</v>
      </c>
      <c r="AC4466" s="117" t="str">
        <f>IF(AB4466=1,COUNTIF($AB$3:AB4466,1),"")</f>
        <v/>
      </c>
      <c r="AD4466" s="117" t="str">
        <f>IFERROR(INDEX($AA$3:$AA$10000,MATCH(ROWS($AC$3:AC4466),$AC$3:$AC$10000,0)),"")</f>
        <v/>
      </c>
    </row>
    <row r="4467" spans="27:30">
      <c r="AA4467" s="117">
        <f>+'Ingredient List - Mother Tinctu'!D4468</f>
        <v>0</v>
      </c>
      <c r="AB4467" s="117">
        <f t="shared" si="72"/>
        <v>0</v>
      </c>
      <c r="AC4467" s="117" t="str">
        <f>IF(AB4467=1,COUNTIF($AB$3:AB4467,1),"")</f>
        <v/>
      </c>
      <c r="AD4467" s="117" t="str">
        <f>IFERROR(INDEX($AA$3:$AA$10000,MATCH(ROWS($AC$3:AC4467),$AC$3:$AC$10000,0)),"")</f>
        <v/>
      </c>
    </row>
    <row r="4468" spans="27:30">
      <c r="AA4468" s="117">
        <f>+'Ingredient List - Mother Tinctu'!D4469</f>
        <v>0</v>
      </c>
      <c r="AB4468" s="117">
        <f t="shared" si="72"/>
        <v>0</v>
      </c>
      <c r="AC4468" s="117" t="str">
        <f>IF(AB4468=1,COUNTIF($AB$3:AB4468,1),"")</f>
        <v/>
      </c>
      <c r="AD4468" s="117" t="str">
        <f>IFERROR(INDEX($AA$3:$AA$10000,MATCH(ROWS($AC$3:AC4468),$AC$3:$AC$10000,0)),"")</f>
        <v/>
      </c>
    </row>
    <row r="4469" spans="27:30">
      <c r="AA4469" s="117">
        <f>+'Ingredient List - Mother Tinctu'!D4470</f>
        <v>0</v>
      </c>
      <c r="AB4469" s="117">
        <f t="shared" si="72"/>
        <v>0</v>
      </c>
      <c r="AC4469" s="117" t="str">
        <f>IF(AB4469=1,COUNTIF($AB$3:AB4469,1),"")</f>
        <v/>
      </c>
      <c r="AD4469" s="117" t="str">
        <f>IFERROR(INDEX($AA$3:$AA$10000,MATCH(ROWS($AC$3:AC4469),$AC$3:$AC$10000,0)),"")</f>
        <v/>
      </c>
    </row>
    <row r="4470" spans="27:30">
      <c r="AA4470" s="117">
        <f>+'Ingredient List - Mother Tinctu'!D4471</f>
        <v>0</v>
      </c>
      <c r="AB4470" s="117">
        <f t="shared" si="72"/>
        <v>0</v>
      </c>
      <c r="AC4470" s="117" t="str">
        <f>IF(AB4470=1,COUNTIF($AB$3:AB4470,1),"")</f>
        <v/>
      </c>
      <c r="AD4470" s="117" t="str">
        <f>IFERROR(INDEX($AA$3:$AA$10000,MATCH(ROWS($AC$3:AC4470),$AC$3:$AC$10000,0)),"")</f>
        <v/>
      </c>
    </row>
    <row r="4471" spans="27:30">
      <c r="AA4471" s="117">
        <f>+'Ingredient List - Mother Tinctu'!D4472</f>
        <v>0</v>
      </c>
      <c r="AB4471" s="117">
        <f t="shared" si="72"/>
        <v>0</v>
      </c>
      <c r="AC4471" s="117" t="str">
        <f>IF(AB4471=1,COUNTIF($AB$3:AB4471,1),"")</f>
        <v/>
      </c>
      <c r="AD4471" s="117" t="str">
        <f>IFERROR(INDEX($AA$3:$AA$10000,MATCH(ROWS($AC$3:AC4471),$AC$3:$AC$10000,0)),"")</f>
        <v/>
      </c>
    </row>
    <row r="4472" spans="27:30">
      <c r="AA4472" s="117">
        <f>+'Ingredient List - Mother Tinctu'!D4473</f>
        <v>0</v>
      </c>
      <c r="AB4472" s="117">
        <f t="shared" si="72"/>
        <v>0</v>
      </c>
      <c r="AC4472" s="117" t="str">
        <f>IF(AB4472=1,COUNTIF($AB$3:AB4472,1),"")</f>
        <v/>
      </c>
      <c r="AD4472" s="117" t="str">
        <f>IFERROR(INDEX($AA$3:$AA$10000,MATCH(ROWS($AC$3:AC4472),$AC$3:$AC$10000,0)),"")</f>
        <v/>
      </c>
    </row>
    <row r="4473" spans="27:30">
      <c r="AA4473" s="117">
        <f>+'Ingredient List - Mother Tinctu'!D4474</f>
        <v>0</v>
      </c>
      <c r="AB4473" s="117">
        <f t="shared" si="72"/>
        <v>0</v>
      </c>
      <c r="AC4473" s="117" t="str">
        <f>IF(AB4473=1,COUNTIF($AB$3:AB4473,1),"")</f>
        <v/>
      </c>
      <c r="AD4473" s="117" t="str">
        <f>IFERROR(INDEX($AA$3:$AA$10000,MATCH(ROWS($AC$3:AC4473),$AC$3:$AC$10000,0)),"")</f>
        <v/>
      </c>
    </row>
    <row r="4474" spans="27:30">
      <c r="AA4474" s="117">
        <f>+'Ingredient List - Mother Tinctu'!D4475</f>
        <v>0</v>
      </c>
      <c r="AB4474" s="117">
        <f t="shared" si="72"/>
        <v>0</v>
      </c>
      <c r="AC4474" s="117" t="str">
        <f>IF(AB4474=1,COUNTIF($AB$3:AB4474,1),"")</f>
        <v/>
      </c>
      <c r="AD4474" s="117" t="str">
        <f>IFERROR(INDEX($AA$3:$AA$10000,MATCH(ROWS($AC$3:AC4474),$AC$3:$AC$10000,0)),"")</f>
        <v/>
      </c>
    </row>
    <row r="4475" spans="27:30">
      <c r="AA4475" s="117">
        <f>+'Ingredient List - Mother Tinctu'!D4476</f>
        <v>0</v>
      </c>
      <c r="AB4475" s="117">
        <f t="shared" si="72"/>
        <v>0</v>
      </c>
      <c r="AC4475" s="117" t="str">
        <f>IF(AB4475=1,COUNTIF($AB$3:AB4475,1),"")</f>
        <v/>
      </c>
      <c r="AD4475" s="117" t="str">
        <f>IFERROR(INDEX($AA$3:$AA$10000,MATCH(ROWS($AC$3:AC4475),$AC$3:$AC$10000,0)),"")</f>
        <v/>
      </c>
    </row>
    <row r="4476" spans="27:30">
      <c r="AA4476" s="117">
        <f>+'Ingredient List - Mother Tinctu'!D4477</f>
        <v>0</v>
      </c>
      <c r="AB4476" s="117">
        <f t="shared" si="72"/>
        <v>0</v>
      </c>
      <c r="AC4476" s="117" t="str">
        <f>IF(AB4476=1,COUNTIF($AB$3:AB4476,1),"")</f>
        <v/>
      </c>
      <c r="AD4476" s="117" t="str">
        <f>IFERROR(INDEX($AA$3:$AA$10000,MATCH(ROWS($AC$3:AC4476),$AC$3:$AC$10000,0)),"")</f>
        <v/>
      </c>
    </row>
    <row r="4477" spans="27:30">
      <c r="AA4477" s="117">
        <f>+'Ingredient List - Mother Tinctu'!D4478</f>
        <v>0</v>
      </c>
      <c r="AB4477" s="117">
        <f t="shared" si="72"/>
        <v>0</v>
      </c>
      <c r="AC4477" s="117" t="str">
        <f>IF(AB4477=1,COUNTIF($AB$3:AB4477,1),"")</f>
        <v/>
      </c>
      <c r="AD4477" s="117" t="str">
        <f>IFERROR(INDEX($AA$3:$AA$10000,MATCH(ROWS($AC$3:AC4477),$AC$3:$AC$10000,0)),"")</f>
        <v/>
      </c>
    </row>
    <row r="4478" spans="27:30">
      <c r="AA4478" s="117">
        <f>+'Ingredient List - Mother Tinctu'!D4479</f>
        <v>0</v>
      </c>
      <c r="AB4478" s="117">
        <f t="shared" si="72"/>
        <v>0</v>
      </c>
      <c r="AC4478" s="117" t="str">
        <f>IF(AB4478=1,COUNTIF($AB$3:AB4478,1),"")</f>
        <v/>
      </c>
      <c r="AD4478" s="117" t="str">
        <f>IFERROR(INDEX($AA$3:$AA$10000,MATCH(ROWS($AC$3:AC4478),$AC$3:$AC$10000,0)),"")</f>
        <v/>
      </c>
    </row>
    <row r="4479" spans="27:30">
      <c r="AA4479" s="117">
        <f>+'Ingredient List - Mother Tinctu'!D4480</f>
        <v>0</v>
      </c>
      <c r="AB4479" s="117">
        <f t="shared" si="72"/>
        <v>0</v>
      </c>
      <c r="AC4479" s="117" t="str">
        <f>IF(AB4479=1,COUNTIF($AB$3:AB4479,1),"")</f>
        <v/>
      </c>
      <c r="AD4479" s="117" t="str">
        <f>IFERROR(INDEX($AA$3:$AA$10000,MATCH(ROWS($AC$3:AC4479),$AC$3:$AC$10000,0)),"")</f>
        <v/>
      </c>
    </row>
    <row r="4480" spans="27:30">
      <c r="AA4480" s="117">
        <f>+'Ingredient List - Mother Tinctu'!D4481</f>
        <v>0</v>
      </c>
      <c r="AB4480" s="117">
        <f t="shared" si="72"/>
        <v>0</v>
      </c>
      <c r="AC4480" s="117" t="str">
        <f>IF(AB4480=1,COUNTIF($AB$3:AB4480,1),"")</f>
        <v/>
      </c>
      <c r="AD4480" s="117" t="str">
        <f>IFERROR(INDEX($AA$3:$AA$10000,MATCH(ROWS($AC$3:AC4480),$AC$3:$AC$10000,0)),"")</f>
        <v/>
      </c>
    </row>
    <row r="4481" spans="27:30">
      <c r="AA4481" s="117">
        <f>+'Ingredient List - Mother Tinctu'!D4482</f>
        <v>0</v>
      </c>
      <c r="AB4481" s="117">
        <f t="shared" si="72"/>
        <v>0</v>
      </c>
      <c r="AC4481" s="117" t="str">
        <f>IF(AB4481=1,COUNTIF($AB$3:AB4481,1),"")</f>
        <v/>
      </c>
      <c r="AD4481" s="117" t="str">
        <f>IFERROR(INDEX($AA$3:$AA$10000,MATCH(ROWS($AC$3:AC4481),$AC$3:$AC$10000,0)),"")</f>
        <v/>
      </c>
    </row>
    <row r="4482" spans="27:30">
      <c r="AA4482" s="117">
        <f>+'Ingredient List - Mother Tinctu'!D4483</f>
        <v>0</v>
      </c>
      <c r="AB4482" s="117">
        <f t="shared" si="72"/>
        <v>0</v>
      </c>
      <c r="AC4482" s="117" t="str">
        <f>IF(AB4482=1,COUNTIF($AB$3:AB4482,1),"")</f>
        <v/>
      </c>
      <c r="AD4482" s="117" t="str">
        <f>IFERROR(INDEX($AA$3:$AA$10000,MATCH(ROWS($AC$3:AC4482),$AC$3:$AC$10000,0)),"")</f>
        <v/>
      </c>
    </row>
    <row r="4483" spans="27:30">
      <c r="AA4483" s="117">
        <f>+'Ingredient List - Mother Tinctu'!D4484</f>
        <v>0</v>
      </c>
      <c r="AB4483" s="117">
        <f t="shared" si="72"/>
        <v>0</v>
      </c>
      <c r="AC4483" s="117" t="str">
        <f>IF(AB4483=1,COUNTIF($AB$3:AB4483,1),"")</f>
        <v/>
      </c>
      <c r="AD4483" s="117" t="str">
        <f>IFERROR(INDEX($AA$3:$AA$10000,MATCH(ROWS($AC$3:AC4483),$AC$3:$AC$10000,0)),"")</f>
        <v/>
      </c>
    </row>
    <row r="4484" spans="27:30">
      <c r="AA4484" s="117">
        <f>+'Ingredient List - Mother Tinctu'!D4485</f>
        <v>0</v>
      </c>
      <c r="AB4484" s="117">
        <f t="shared" ref="AB4484:AB4547" si="73">--ISNUMBER(IFERROR(SEARCH($D$3,AA4484,1),""))</f>
        <v>0</v>
      </c>
      <c r="AC4484" s="117" t="str">
        <f>IF(AB4484=1,COUNTIF($AB$3:AB4484,1),"")</f>
        <v/>
      </c>
      <c r="AD4484" s="117" t="str">
        <f>IFERROR(INDEX($AA$3:$AA$10000,MATCH(ROWS($AC$3:AC4484),$AC$3:$AC$10000,0)),"")</f>
        <v/>
      </c>
    </row>
    <row r="4485" spans="27:30">
      <c r="AA4485" s="117">
        <f>+'Ingredient List - Mother Tinctu'!D4486</f>
        <v>0</v>
      </c>
      <c r="AB4485" s="117">
        <f t="shared" si="73"/>
        <v>0</v>
      </c>
      <c r="AC4485" s="117" t="str">
        <f>IF(AB4485=1,COUNTIF($AB$3:AB4485,1),"")</f>
        <v/>
      </c>
      <c r="AD4485" s="117" t="str">
        <f>IFERROR(INDEX($AA$3:$AA$10000,MATCH(ROWS($AC$3:AC4485),$AC$3:$AC$10000,0)),"")</f>
        <v/>
      </c>
    </row>
    <row r="4486" spans="27:30">
      <c r="AA4486" s="117">
        <f>+'Ingredient List - Mother Tinctu'!D4487</f>
        <v>0</v>
      </c>
      <c r="AB4486" s="117">
        <f t="shared" si="73"/>
        <v>0</v>
      </c>
      <c r="AC4486" s="117" t="str">
        <f>IF(AB4486=1,COUNTIF($AB$3:AB4486,1),"")</f>
        <v/>
      </c>
      <c r="AD4486" s="117" t="str">
        <f>IFERROR(INDEX($AA$3:$AA$10000,MATCH(ROWS($AC$3:AC4486),$AC$3:$AC$10000,0)),"")</f>
        <v/>
      </c>
    </row>
    <row r="4487" spans="27:30">
      <c r="AA4487" s="117">
        <f>+'Ingredient List - Mother Tinctu'!D4488</f>
        <v>0</v>
      </c>
      <c r="AB4487" s="117">
        <f t="shared" si="73"/>
        <v>0</v>
      </c>
      <c r="AC4487" s="117" t="str">
        <f>IF(AB4487=1,COUNTIF($AB$3:AB4487,1),"")</f>
        <v/>
      </c>
      <c r="AD4487" s="117" t="str">
        <f>IFERROR(INDEX($AA$3:$AA$10000,MATCH(ROWS($AC$3:AC4487),$AC$3:$AC$10000,0)),"")</f>
        <v/>
      </c>
    </row>
    <row r="4488" spans="27:30">
      <c r="AA4488" s="117">
        <f>+'Ingredient List - Mother Tinctu'!D4489</f>
        <v>0</v>
      </c>
      <c r="AB4488" s="117">
        <f t="shared" si="73"/>
        <v>0</v>
      </c>
      <c r="AC4488" s="117" t="str">
        <f>IF(AB4488=1,COUNTIF($AB$3:AB4488,1),"")</f>
        <v/>
      </c>
      <c r="AD4488" s="117" t="str">
        <f>IFERROR(INDEX($AA$3:$AA$10000,MATCH(ROWS($AC$3:AC4488),$AC$3:$AC$10000,0)),"")</f>
        <v/>
      </c>
    </row>
    <row r="4489" spans="27:30">
      <c r="AA4489" s="117">
        <f>+'Ingredient List - Mother Tinctu'!D4490</f>
        <v>0</v>
      </c>
      <c r="AB4489" s="117">
        <f t="shared" si="73"/>
        <v>0</v>
      </c>
      <c r="AC4489" s="117" t="str">
        <f>IF(AB4489=1,COUNTIF($AB$3:AB4489,1),"")</f>
        <v/>
      </c>
      <c r="AD4489" s="117" t="str">
        <f>IFERROR(INDEX($AA$3:$AA$10000,MATCH(ROWS($AC$3:AC4489),$AC$3:$AC$10000,0)),"")</f>
        <v/>
      </c>
    </row>
    <row r="4490" spans="27:30">
      <c r="AA4490" s="117">
        <f>+'Ingredient List - Mother Tinctu'!D4491</f>
        <v>0</v>
      </c>
      <c r="AB4490" s="117">
        <f t="shared" si="73"/>
        <v>0</v>
      </c>
      <c r="AC4490" s="117" t="str">
        <f>IF(AB4490=1,COUNTIF($AB$3:AB4490,1),"")</f>
        <v/>
      </c>
      <c r="AD4490" s="117" t="str">
        <f>IFERROR(INDEX($AA$3:$AA$10000,MATCH(ROWS($AC$3:AC4490),$AC$3:$AC$10000,0)),"")</f>
        <v/>
      </c>
    </row>
    <row r="4491" spans="27:30">
      <c r="AA4491" s="117">
        <f>+'Ingredient List - Mother Tinctu'!D4492</f>
        <v>0</v>
      </c>
      <c r="AB4491" s="117">
        <f t="shared" si="73"/>
        <v>0</v>
      </c>
      <c r="AC4491" s="117" t="str">
        <f>IF(AB4491=1,COUNTIF($AB$3:AB4491,1),"")</f>
        <v/>
      </c>
      <c r="AD4491" s="117" t="str">
        <f>IFERROR(INDEX($AA$3:$AA$10000,MATCH(ROWS($AC$3:AC4491),$AC$3:$AC$10000,0)),"")</f>
        <v/>
      </c>
    </row>
    <row r="4492" spans="27:30">
      <c r="AA4492" s="117">
        <f>+'Ingredient List - Mother Tinctu'!D4493</f>
        <v>0</v>
      </c>
      <c r="AB4492" s="117">
        <f t="shared" si="73"/>
        <v>0</v>
      </c>
      <c r="AC4492" s="117" t="str">
        <f>IF(AB4492=1,COUNTIF($AB$3:AB4492,1),"")</f>
        <v/>
      </c>
      <c r="AD4492" s="117" t="str">
        <f>IFERROR(INDEX($AA$3:$AA$10000,MATCH(ROWS($AC$3:AC4492),$AC$3:$AC$10000,0)),"")</f>
        <v/>
      </c>
    </row>
    <row r="4493" spans="27:30">
      <c r="AA4493" s="117">
        <f>+'Ingredient List - Mother Tinctu'!D4494</f>
        <v>0</v>
      </c>
      <c r="AB4493" s="117">
        <f t="shared" si="73"/>
        <v>0</v>
      </c>
      <c r="AC4493" s="117" t="str">
        <f>IF(AB4493=1,COUNTIF($AB$3:AB4493,1),"")</f>
        <v/>
      </c>
      <c r="AD4493" s="117" t="str">
        <f>IFERROR(INDEX($AA$3:$AA$10000,MATCH(ROWS($AC$3:AC4493),$AC$3:$AC$10000,0)),"")</f>
        <v/>
      </c>
    </row>
    <row r="4494" spans="27:30">
      <c r="AA4494" s="117">
        <f>+'Ingredient List - Mother Tinctu'!D4495</f>
        <v>0</v>
      </c>
      <c r="AB4494" s="117">
        <f t="shared" si="73"/>
        <v>0</v>
      </c>
      <c r="AC4494" s="117" t="str">
        <f>IF(AB4494=1,COUNTIF($AB$3:AB4494,1),"")</f>
        <v/>
      </c>
      <c r="AD4494" s="117" t="str">
        <f>IFERROR(INDEX($AA$3:$AA$10000,MATCH(ROWS($AC$3:AC4494),$AC$3:$AC$10000,0)),"")</f>
        <v/>
      </c>
    </row>
    <row r="4495" spans="27:30">
      <c r="AA4495" s="117">
        <f>+'Ingredient List - Mother Tinctu'!D4496</f>
        <v>0</v>
      </c>
      <c r="AB4495" s="117">
        <f t="shared" si="73"/>
        <v>0</v>
      </c>
      <c r="AC4495" s="117" t="str">
        <f>IF(AB4495=1,COUNTIF($AB$3:AB4495,1),"")</f>
        <v/>
      </c>
      <c r="AD4495" s="117" t="str">
        <f>IFERROR(INDEX($AA$3:$AA$10000,MATCH(ROWS($AC$3:AC4495),$AC$3:$AC$10000,0)),"")</f>
        <v/>
      </c>
    </row>
    <row r="4496" spans="27:30">
      <c r="AA4496" s="117">
        <f>+'Ingredient List - Mother Tinctu'!D4497</f>
        <v>0</v>
      </c>
      <c r="AB4496" s="117">
        <f t="shared" si="73"/>
        <v>0</v>
      </c>
      <c r="AC4496" s="117" t="str">
        <f>IF(AB4496=1,COUNTIF($AB$3:AB4496,1),"")</f>
        <v/>
      </c>
      <c r="AD4496" s="117" t="str">
        <f>IFERROR(INDEX($AA$3:$AA$10000,MATCH(ROWS($AC$3:AC4496),$AC$3:$AC$10000,0)),"")</f>
        <v/>
      </c>
    </row>
    <row r="4497" spans="27:30">
      <c r="AA4497" s="117">
        <f>+'Ingredient List - Mother Tinctu'!D4498</f>
        <v>0</v>
      </c>
      <c r="AB4497" s="117">
        <f t="shared" si="73"/>
        <v>0</v>
      </c>
      <c r="AC4497" s="117" t="str">
        <f>IF(AB4497=1,COUNTIF($AB$3:AB4497,1),"")</f>
        <v/>
      </c>
      <c r="AD4497" s="117" t="str">
        <f>IFERROR(INDEX($AA$3:$AA$10000,MATCH(ROWS($AC$3:AC4497),$AC$3:$AC$10000,0)),"")</f>
        <v/>
      </c>
    </row>
    <row r="4498" spans="27:30">
      <c r="AA4498" s="117">
        <f>+'Ingredient List - Mother Tinctu'!D4499</f>
        <v>0</v>
      </c>
      <c r="AB4498" s="117">
        <f t="shared" si="73"/>
        <v>0</v>
      </c>
      <c r="AC4498" s="117" t="str">
        <f>IF(AB4498=1,COUNTIF($AB$3:AB4498,1),"")</f>
        <v/>
      </c>
      <c r="AD4498" s="117" t="str">
        <f>IFERROR(INDEX($AA$3:$AA$10000,MATCH(ROWS($AC$3:AC4498),$AC$3:$AC$10000,0)),"")</f>
        <v/>
      </c>
    </row>
    <row r="4499" spans="27:30">
      <c r="AA4499" s="117">
        <f>+'Ingredient List - Mother Tinctu'!D4500</f>
        <v>0</v>
      </c>
      <c r="AB4499" s="117">
        <f t="shared" si="73"/>
        <v>0</v>
      </c>
      <c r="AC4499" s="117" t="str">
        <f>IF(AB4499=1,COUNTIF($AB$3:AB4499,1),"")</f>
        <v/>
      </c>
      <c r="AD4499" s="117" t="str">
        <f>IFERROR(INDEX($AA$3:$AA$10000,MATCH(ROWS($AC$3:AC4499),$AC$3:$AC$10000,0)),"")</f>
        <v/>
      </c>
    </row>
    <row r="4500" spans="27:30">
      <c r="AA4500" s="117">
        <f>+'Ingredient List - Mother Tinctu'!D4501</f>
        <v>0</v>
      </c>
      <c r="AB4500" s="117">
        <f t="shared" si="73"/>
        <v>0</v>
      </c>
      <c r="AC4500" s="117" t="str">
        <f>IF(AB4500=1,COUNTIF($AB$3:AB4500,1),"")</f>
        <v/>
      </c>
      <c r="AD4500" s="117" t="str">
        <f>IFERROR(INDEX($AA$3:$AA$10000,MATCH(ROWS($AC$3:AC4500),$AC$3:$AC$10000,0)),"")</f>
        <v/>
      </c>
    </row>
    <row r="4501" spans="27:30">
      <c r="AA4501" s="117">
        <f>+'Ingredient List - Mother Tinctu'!D4502</f>
        <v>0</v>
      </c>
      <c r="AB4501" s="117">
        <f t="shared" si="73"/>
        <v>0</v>
      </c>
      <c r="AC4501" s="117" t="str">
        <f>IF(AB4501=1,COUNTIF($AB$3:AB4501,1),"")</f>
        <v/>
      </c>
      <c r="AD4501" s="117" t="str">
        <f>IFERROR(INDEX($AA$3:$AA$10000,MATCH(ROWS($AC$3:AC4501),$AC$3:$AC$10000,0)),"")</f>
        <v/>
      </c>
    </row>
    <row r="4502" spans="27:30">
      <c r="AA4502" s="117">
        <f>+'Ingredient List - Mother Tinctu'!D4503</f>
        <v>0</v>
      </c>
      <c r="AB4502" s="117">
        <f t="shared" si="73"/>
        <v>0</v>
      </c>
      <c r="AC4502" s="117" t="str">
        <f>IF(AB4502=1,COUNTIF($AB$3:AB4502,1),"")</f>
        <v/>
      </c>
      <c r="AD4502" s="117" t="str">
        <f>IFERROR(INDEX($AA$3:$AA$10000,MATCH(ROWS($AC$3:AC4502),$AC$3:$AC$10000,0)),"")</f>
        <v/>
      </c>
    </row>
    <row r="4503" spans="27:30">
      <c r="AA4503" s="117">
        <f>+'Ingredient List - Mother Tinctu'!D4504</f>
        <v>0</v>
      </c>
      <c r="AB4503" s="117">
        <f t="shared" si="73"/>
        <v>0</v>
      </c>
      <c r="AC4503" s="117" t="str">
        <f>IF(AB4503=1,COUNTIF($AB$3:AB4503,1),"")</f>
        <v/>
      </c>
      <c r="AD4503" s="117" t="str">
        <f>IFERROR(INDEX($AA$3:$AA$10000,MATCH(ROWS($AC$3:AC4503),$AC$3:$AC$10000,0)),"")</f>
        <v/>
      </c>
    </row>
    <row r="4504" spans="27:30">
      <c r="AA4504" s="117">
        <f>+'Ingredient List - Mother Tinctu'!D4505</f>
        <v>0</v>
      </c>
      <c r="AB4504" s="117">
        <f t="shared" si="73"/>
        <v>0</v>
      </c>
      <c r="AC4504" s="117" t="str">
        <f>IF(AB4504=1,COUNTIF($AB$3:AB4504,1),"")</f>
        <v/>
      </c>
      <c r="AD4504" s="117" t="str">
        <f>IFERROR(INDEX($AA$3:$AA$10000,MATCH(ROWS($AC$3:AC4504),$AC$3:$AC$10000,0)),"")</f>
        <v/>
      </c>
    </row>
    <row r="4505" spans="27:30">
      <c r="AA4505" s="117">
        <f>+'Ingredient List - Mother Tinctu'!D4506</f>
        <v>0</v>
      </c>
      <c r="AB4505" s="117">
        <f t="shared" si="73"/>
        <v>0</v>
      </c>
      <c r="AC4505" s="117" t="str">
        <f>IF(AB4505=1,COUNTIF($AB$3:AB4505,1),"")</f>
        <v/>
      </c>
      <c r="AD4505" s="117" t="str">
        <f>IFERROR(INDEX($AA$3:$AA$10000,MATCH(ROWS($AC$3:AC4505),$AC$3:$AC$10000,0)),"")</f>
        <v/>
      </c>
    </row>
    <row r="4506" spans="27:30">
      <c r="AA4506" s="117">
        <f>+'Ingredient List - Mother Tinctu'!D4507</f>
        <v>0</v>
      </c>
      <c r="AB4506" s="117">
        <f t="shared" si="73"/>
        <v>0</v>
      </c>
      <c r="AC4506" s="117" t="str">
        <f>IF(AB4506=1,COUNTIF($AB$3:AB4506,1),"")</f>
        <v/>
      </c>
      <c r="AD4506" s="117" t="str">
        <f>IFERROR(INDEX($AA$3:$AA$10000,MATCH(ROWS($AC$3:AC4506),$AC$3:$AC$10000,0)),"")</f>
        <v/>
      </c>
    </row>
    <row r="4507" spans="27:30">
      <c r="AA4507" s="117">
        <f>+'Ingredient List - Mother Tinctu'!D4508</f>
        <v>0</v>
      </c>
      <c r="AB4507" s="117">
        <f t="shared" si="73"/>
        <v>0</v>
      </c>
      <c r="AC4507" s="117" t="str">
        <f>IF(AB4507=1,COUNTIF($AB$3:AB4507,1),"")</f>
        <v/>
      </c>
      <c r="AD4507" s="117" t="str">
        <f>IFERROR(INDEX($AA$3:$AA$10000,MATCH(ROWS($AC$3:AC4507),$AC$3:$AC$10000,0)),"")</f>
        <v/>
      </c>
    </row>
    <row r="4508" spans="27:30">
      <c r="AA4508" s="117">
        <f>+'Ingredient List - Mother Tinctu'!D4509</f>
        <v>0</v>
      </c>
      <c r="AB4508" s="117">
        <f t="shared" si="73"/>
        <v>0</v>
      </c>
      <c r="AC4508" s="117" t="str">
        <f>IF(AB4508=1,COUNTIF($AB$3:AB4508,1),"")</f>
        <v/>
      </c>
      <c r="AD4508" s="117" t="str">
        <f>IFERROR(INDEX($AA$3:$AA$10000,MATCH(ROWS($AC$3:AC4508),$AC$3:$AC$10000,0)),"")</f>
        <v/>
      </c>
    </row>
    <row r="4509" spans="27:30">
      <c r="AA4509" s="117">
        <f>+'Ingredient List - Mother Tinctu'!D4510</f>
        <v>0</v>
      </c>
      <c r="AB4509" s="117">
        <f t="shared" si="73"/>
        <v>0</v>
      </c>
      <c r="AC4509" s="117" t="str">
        <f>IF(AB4509=1,COUNTIF($AB$3:AB4509,1),"")</f>
        <v/>
      </c>
      <c r="AD4509" s="117" t="str">
        <f>IFERROR(INDEX($AA$3:$AA$10000,MATCH(ROWS($AC$3:AC4509),$AC$3:$AC$10000,0)),"")</f>
        <v/>
      </c>
    </row>
    <row r="4510" spans="27:30">
      <c r="AA4510" s="117">
        <f>+'Ingredient List - Mother Tinctu'!D4511</f>
        <v>0</v>
      </c>
      <c r="AB4510" s="117">
        <f t="shared" si="73"/>
        <v>0</v>
      </c>
      <c r="AC4510" s="117" t="str">
        <f>IF(AB4510=1,COUNTIF($AB$3:AB4510,1),"")</f>
        <v/>
      </c>
      <c r="AD4510" s="117" t="str">
        <f>IFERROR(INDEX($AA$3:$AA$10000,MATCH(ROWS($AC$3:AC4510),$AC$3:$AC$10000,0)),"")</f>
        <v/>
      </c>
    </row>
    <row r="4511" spans="27:30">
      <c r="AA4511" s="117">
        <f>+'Ingredient List - Mother Tinctu'!D4512</f>
        <v>0</v>
      </c>
      <c r="AB4511" s="117">
        <f t="shared" si="73"/>
        <v>0</v>
      </c>
      <c r="AC4511" s="117" t="str">
        <f>IF(AB4511=1,COUNTIF($AB$3:AB4511,1),"")</f>
        <v/>
      </c>
      <c r="AD4511" s="117" t="str">
        <f>IFERROR(INDEX($AA$3:$AA$10000,MATCH(ROWS($AC$3:AC4511),$AC$3:$AC$10000,0)),"")</f>
        <v/>
      </c>
    </row>
    <row r="4512" spans="27:30">
      <c r="AA4512" s="117">
        <f>+'Ingredient List - Mother Tinctu'!D4513</f>
        <v>0</v>
      </c>
      <c r="AB4512" s="117">
        <f t="shared" si="73"/>
        <v>0</v>
      </c>
      <c r="AC4512" s="117" t="str">
        <f>IF(AB4512=1,COUNTIF($AB$3:AB4512,1),"")</f>
        <v/>
      </c>
      <c r="AD4512" s="117" t="str">
        <f>IFERROR(INDEX($AA$3:$AA$10000,MATCH(ROWS($AC$3:AC4512),$AC$3:$AC$10000,0)),"")</f>
        <v/>
      </c>
    </row>
    <row r="4513" spans="27:30">
      <c r="AA4513" s="117">
        <f>+'Ingredient List - Mother Tinctu'!D4514</f>
        <v>0</v>
      </c>
      <c r="AB4513" s="117">
        <f t="shared" si="73"/>
        <v>0</v>
      </c>
      <c r="AC4513" s="117" t="str">
        <f>IF(AB4513=1,COUNTIF($AB$3:AB4513,1),"")</f>
        <v/>
      </c>
      <c r="AD4513" s="117" t="str">
        <f>IFERROR(INDEX($AA$3:$AA$10000,MATCH(ROWS($AC$3:AC4513),$AC$3:$AC$10000,0)),"")</f>
        <v/>
      </c>
    </row>
    <row r="4514" spans="27:30">
      <c r="AA4514" s="117">
        <f>+'Ingredient List - Mother Tinctu'!D4515</f>
        <v>0</v>
      </c>
      <c r="AB4514" s="117">
        <f t="shared" si="73"/>
        <v>0</v>
      </c>
      <c r="AC4514" s="117" t="str">
        <f>IF(AB4514=1,COUNTIF($AB$3:AB4514,1),"")</f>
        <v/>
      </c>
      <c r="AD4514" s="117" t="str">
        <f>IFERROR(INDEX($AA$3:$AA$10000,MATCH(ROWS($AC$3:AC4514),$AC$3:$AC$10000,0)),"")</f>
        <v/>
      </c>
    </row>
    <row r="4515" spans="27:30">
      <c r="AA4515" s="117">
        <f>+'Ingredient List - Mother Tinctu'!D4516</f>
        <v>0</v>
      </c>
      <c r="AB4515" s="117">
        <f t="shared" si="73"/>
        <v>0</v>
      </c>
      <c r="AC4515" s="117" t="str">
        <f>IF(AB4515=1,COUNTIF($AB$3:AB4515,1),"")</f>
        <v/>
      </c>
      <c r="AD4515" s="117" t="str">
        <f>IFERROR(INDEX($AA$3:$AA$10000,MATCH(ROWS($AC$3:AC4515),$AC$3:$AC$10000,0)),"")</f>
        <v/>
      </c>
    </row>
    <row r="4516" spans="27:30">
      <c r="AA4516" s="117">
        <f>+'Ingredient List - Mother Tinctu'!D4517</f>
        <v>0</v>
      </c>
      <c r="AB4516" s="117">
        <f t="shared" si="73"/>
        <v>0</v>
      </c>
      <c r="AC4516" s="117" t="str">
        <f>IF(AB4516=1,COUNTIF($AB$3:AB4516,1),"")</f>
        <v/>
      </c>
      <c r="AD4516" s="117" t="str">
        <f>IFERROR(INDEX($AA$3:$AA$10000,MATCH(ROWS($AC$3:AC4516),$AC$3:$AC$10000,0)),"")</f>
        <v/>
      </c>
    </row>
    <row r="4517" spans="27:30">
      <c r="AA4517" s="117">
        <f>+'Ingredient List - Mother Tinctu'!D4518</f>
        <v>0</v>
      </c>
      <c r="AB4517" s="117">
        <f t="shared" si="73"/>
        <v>0</v>
      </c>
      <c r="AC4517" s="117" t="str">
        <f>IF(AB4517=1,COUNTIF($AB$3:AB4517,1),"")</f>
        <v/>
      </c>
      <c r="AD4517" s="117" t="str">
        <f>IFERROR(INDEX($AA$3:$AA$10000,MATCH(ROWS($AC$3:AC4517),$AC$3:$AC$10000,0)),"")</f>
        <v/>
      </c>
    </row>
    <row r="4518" spans="27:30">
      <c r="AA4518" s="117">
        <f>+'Ingredient List - Mother Tinctu'!D4519</f>
        <v>0</v>
      </c>
      <c r="AB4518" s="117">
        <f t="shared" si="73"/>
        <v>0</v>
      </c>
      <c r="AC4518" s="117" t="str">
        <f>IF(AB4518=1,COUNTIF($AB$3:AB4518,1),"")</f>
        <v/>
      </c>
      <c r="AD4518" s="117" t="str">
        <f>IFERROR(INDEX($AA$3:$AA$10000,MATCH(ROWS($AC$3:AC4518),$AC$3:$AC$10000,0)),"")</f>
        <v/>
      </c>
    </row>
    <row r="4519" spans="27:30">
      <c r="AA4519" s="117">
        <f>+'Ingredient List - Mother Tinctu'!D4520</f>
        <v>0</v>
      </c>
      <c r="AB4519" s="117">
        <f t="shared" si="73"/>
        <v>0</v>
      </c>
      <c r="AC4519" s="117" t="str">
        <f>IF(AB4519=1,COUNTIF($AB$3:AB4519,1),"")</f>
        <v/>
      </c>
      <c r="AD4519" s="117" t="str">
        <f>IFERROR(INDEX($AA$3:$AA$10000,MATCH(ROWS($AC$3:AC4519),$AC$3:$AC$10000,0)),"")</f>
        <v/>
      </c>
    </row>
    <row r="4520" spans="27:30">
      <c r="AA4520" s="117">
        <f>+'Ingredient List - Mother Tinctu'!D4521</f>
        <v>0</v>
      </c>
      <c r="AB4520" s="117">
        <f t="shared" si="73"/>
        <v>0</v>
      </c>
      <c r="AC4520" s="117" t="str">
        <f>IF(AB4520=1,COUNTIF($AB$3:AB4520,1),"")</f>
        <v/>
      </c>
      <c r="AD4520" s="117" t="str">
        <f>IFERROR(INDEX($AA$3:$AA$10000,MATCH(ROWS($AC$3:AC4520),$AC$3:$AC$10000,0)),"")</f>
        <v/>
      </c>
    </row>
    <row r="4521" spans="27:30">
      <c r="AA4521" s="117">
        <f>+'Ingredient List - Mother Tinctu'!D4522</f>
        <v>0</v>
      </c>
      <c r="AB4521" s="117">
        <f t="shared" si="73"/>
        <v>0</v>
      </c>
      <c r="AC4521" s="117" t="str">
        <f>IF(AB4521=1,COUNTIF($AB$3:AB4521,1),"")</f>
        <v/>
      </c>
      <c r="AD4521" s="117" t="str">
        <f>IFERROR(INDEX($AA$3:$AA$10000,MATCH(ROWS($AC$3:AC4521),$AC$3:$AC$10000,0)),"")</f>
        <v/>
      </c>
    </row>
    <row r="4522" spans="27:30">
      <c r="AA4522" s="117">
        <f>+'Ingredient List - Mother Tinctu'!D4523</f>
        <v>0</v>
      </c>
      <c r="AB4522" s="117">
        <f t="shared" si="73"/>
        <v>0</v>
      </c>
      <c r="AC4522" s="117" t="str">
        <f>IF(AB4522=1,COUNTIF($AB$3:AB4522,1),"")</f>
        <v/>
      </c>
      <c r="AD4522" s="117" t="str">
        <f>IFERROR(INDEX($AA$3:$AA$10000,MATCH(ROWS($AC$3:AC4522),$AC$3:$AC$10000,0)),"")</f>
        <v/>
      </c>
    </row>
    <row r="4523" spans="27:30">
      <c r="AA4523" s="117">
        <f>+'Ingredient List - Mother Tinctu'!D4524</f>
        <v>0</v>
      </c>
      <c r="AB4523" s="117">
        <f t="shared" si="73"/>
        <v>0</v>
      </c>
      <c r="AC4523" s="117" t="str">
        <f>IF(AB4523=1,COUNTIF($AB$3:AB4523,1),"")</f>
        <v/>
      </c>
      <c r="AD4523" s="117" t="str">
        <f>IFERROR(INDEX($AA$3:$AA$10000,MATCH(ROWS($AC$3:AC4523),$AC$3:$AC$10000,0)),"")</f>
        <v/>
      </c>
    </row>
    <row r="4524" spans="27:30">
      <c r="AA4524" s="117">
        <f>+'Ingredient List - Mother Tinctu'!D4525</f>
        <v>0</v>
      </c>
      <c r="AB4524" s="117">
        <f t="shared" si="73"/>
        <v>0</v>
      </c>
      <c r="AC4524" s="117" t="str">
        <f>IF(AB4524=1,COUNTIF($AB$3:AB4524,1),"")</f>
        <v/>
      </c>
      <c r="AD4524" s="117" t="str">
        <f>IFERROR(INDEX($AA$3:$AA$10000,MATCH(ROWS($AC$3:AC4524),$AC$3:$AC$10000,0)),"")</f>
        <v/>
      </c>
    </row>
    <row r="4525" spans="27:30">
      <c r="AA4525" s="117">
        <f>+'Ingredient List - Mother Tinctu'!D4526</f>
        <v>0</v>
      </c>
      <c r="AB4525" s="117">
        <f t="shared" si="73"/>
        <v>0</v>
      </c>
      <c r="AC4525" s="117" t="str">
        <f>IF(AB4525=1,COUNTIF($AB$3:AB4525,1),"")</f>
        <v/>
      </c>
      <c r="AD4525" s="117" t="str">
        <f>IFERROR(INDEX($AA$3:$AA$10000,MATCH(ROWS($AC$3:AC4525),$AC$3:$AC$10000,0)),"")</f>
        <v/>
      </c>
    </row>
    <row r="4526" spans="27:30">
      <c r="AA4526" s="117">
        <f>+'Ingredient List - Mother Tinctu'!D4527</f>
        <v>0</v>
      </c>
      <c r="AB4526" s="117">
        <f t="shared" si="73"/>
        <v>0</v>
      </c>
      <c r="AC4526" s="117" t="str">
        <f>IF(AB4526=1,COUNTIF($AB$3:AB4526,1),"")</f>
        <v/>
      </c>
      <c r="AD4526" s="117" t="str">
        <f>IFERROR(INDEX($AA$3:$AA$10000,MATCH(ROWS($AC$3:AC4526),$AC$3:$AC$10000,0)),"")</f>
        <v/>
      </c>
    </row>
    <row r="4527" spans="27:30">
      <c r="AA4527" s="117">
        <f>+'Ingredient List - Mother Tinctu'!D4528</f>
        <v>0</v>
      </c>
      <c r="AB4527" s="117">
        <f t="shared" si="73"/>
        <v>0</v>
      </c>
      <c r="AC4527" s="117" t="str">
        <f>IF(AB4527=1,COUNTIF($AB$3:AB4527,1),"")</f>
        <v/>
      </c>
      <c r="AD4527" s="117" t="str">
        <f>IFERROR(INDEX($AA$3:$AA$10000,MATCH(ROWS($AC$3:AC4527),$AC$3:$AC$10000,0)),"")</f>
        <v/>
      </c>
    </row>
    <row r="4528" spans="27:30">
      <c r="AA4528" s="117">
        <f>+'Ingredient List - Mother Tinctu'!D4529</f>
        <v>0</v>
      </c>
      <c r="AB4528" s="117">
        <f t="shared" si="73"/>
        <v>0</v>
      </c>
      <c r="AC4528" s="117" t="str">
        <f>IF(AB4528=1,COUNTIF($AB$3:AB4528,1),"")</f>
        <v/>
      </c>
      <c r="AD4528" s="117" t="str">
        <f>IFERROR(INDEX($AA$3:$AA$10000,MATCH(ROWS($AC$3:AC4528),$AC$3:$AC$10000,0)),"")</f>
        <v/>
      </c>
    </row>
    <row r="4529" spans="27:30">
      <c r="AA4529" s="117">
        <f>+'Ingredient List - Mother Tinctu'!D4530</f>
        <v>0</v>
      </c>
      <c r="AB4529" s="117">
        <f t="shared" si="73"/>
        <v>0</v>
      </c>
      <c r="AC4529" s="117" t="str">
        <f>IF(AB4529=1,COUNTIF($AB$3:AB4529,1),"")</f>
        <v/>
      </c>
      <c r="AD4529" s="117" t="str">
        <f>IFERROR(INDEX($AA$3:$AA$10000,MATCH(ROWS($AC$3:AC4529),$AC$3:$AC$10000,0)),"")</f>
        <v/>
      </c>
    </row>
    <row r="4530" spans="27:30">
      <c r="AA4530" s="117">
        <f>+'Ingredient List - Mother Tinctu'!D4531</f>
        <v>0</v>
      </c>
      <c r="AB4530" s="117">
        <f t="shared" si="73"/>
        <v>0</v>
      </c>
      <c r="AC4530" s="117" t="str">
        <f>IF(AB4530=1,COUNTIF($AB$3:AB4530,1),"")</f>
        <v/>
      </c>
      <c r="AD4530" s="117" t="str">
        <f>IFERROR(INDEX($AA$3:$AA$10000,MATCH(ROWS($AC$3:AC4530),$AC$3:$AC$10000,0)),"")</f>
        <v/>
      </c>
    </row>
    <row r="4531" spans="27:30">
      <c r="AA4531" s="117">
        <f>+'Ingredient List - Mother Tinctu'!D4532</f>
        <v>0</v>
      </c>
      <c r="AB4531" s="117">
        <f t="shared" si="73"/>
        <v>0</v>
      </c>
      <c r="AC4531" s="117" t="str">
        <f>IF(AB4531=1,COUNTIF($AB$3:AB4531,1),"")</f>
        <v/>
      </c>
      <c r="AD4531" s="117" t="str">
        <f>IFERROR(INDEX($AA$3:$AA$10000,MATCH(ROWS($AC$3:AC4531),$AC$3:$AC$10000,0)),"")</f>
        <v/>
      </c>
    </row>
    <row r="4532" spans="27:30">
      <c r="AA4532" s="117">
        <f>+'Ingredient List - Mother Tinctu'!D4533</f>
        <v>0</v>
      </c>
      <c r="AB4532" s="117">
        <f t="shared" si="73"/>
        <v>0</v>
      </c>
      <c r="AC4532" s="117" t="str">
        <f>IF(AB4532=1,COUNTIF($AB$3:AB4532,1),"")</f>
        <v/>
      </c>
      <c r="AD4532" s="117" t="str">
        <f>IFERROR(INDEX($AA$3:$AA$10000,MATCH(ROWS($AC$3:AC4532),$AC$3:$AC$10000,0)),"")</f>
        <v/>
      </c>
    </row>
    <row r="4533" spans="27:30">
      <c r="AA4533" s="117">
        <f>+'Ingredient List - Mother Tinctu'!D4534</f>
        <v>0</v>
      </c>
      <c r="AB4533" s="117">
        <f t="shared" si="73"/>
        <v>0</v>
      </c>
      <c r="AC4533" s="117" t="str">
        <f>IF(AB4533=1,COUNTIF($AB$3:AB4533,1),"")</f>
        <v/>
      </c>
      <c r="AD4533" s="117" t="str">
        <f>IFERROR(INDEX($AA$3:$AA$10000,MATCH(ROWS($AC$3:AC4533),$AC$3:$AC$10000,0)),"")</f>
        <v/>
      </c>
    </row>
    <row r="4534" spans="27:30">
      <c r="AA4534" s="117">
        <f>+'Ingredient List - Mother Tinctu'!D4535</f>
        <v>0</v>
      </c>
      <c r="AB4534" s="117">
        <f t="shared" si="73"/>
        <v>0</v>
      </c>
      <c r="AC4534" s="117" t="str">
        <f>IF(AB4534=1,COUNTIF($AB$3:AB4534,1),"")</f>
        <v/>
      </c>
      <c r="AD4534" s="117" t="str">
        <f>IFERROR(INDEX($AA$3:$AA$10000,MATCH(ROWS($AC$3:AC4534),$AC$3:$AC$10000,0)),"")</f>
        <v/>
      </c>
    </row>
    <row r="4535" spans="27:30">
      <c r="AA4535" s="117">
        <f>+'Ingredient List - Mother Tinctu'!D4536</f>
        <v>0</v>
      </c>
      <c r="AB4535" s="117">
        <f t="shared" si="73"/>
        <v>0</v>
      </c>
      <c r="AC4535" s="117" t="str">
        <f>IF(AB4535=1,COUNTIF($AB$3:AB4535,1),"")</f>
        <v/>
      </c>
      <c r="AD4535" s="117" t="str">
        <f>IFERROR(INDEX($AA$3:$AA$10000,MATCH(ROWS($AC$3:AC4535),$AC$3:$AC$10000,0)),"")</f>
        <v/>
      </c>
    </row>
    <row r="4536" spans="27:30">
      <c r="AA4536" s="117">
        <f>+'Ingredient List - Mother Tinctu'!D4537</f>
        <v>0</v>
      </c>
      <c r="AB4536" s="117">
        <f t="shared" si="73"/>
        <v>0</v>
      </c>
      <c r="AC4536" s="117" t="str">
        <f>IF(AB4536=1,COUNTIF($AB$3:AB4536,1),"")</f>
        <v/>
      </c>
      <c r="AD4536" s="117" t="str">
        <f>IFERROR(INDEX($AA$3:$AA$10000,MATCH(ROWS($AC$3:AC4536),$AC$3:$AC$10000,0)),"")</f>
        <v/>
      </c>
    </row>
    <row r="4537" spans="27:30">
      <c r="AA4537" s="117">
        <f>+'Ingredient List - Mother Tinctu'!D4538</f>
        <v>0</v>
      </c>
      <c r="AB4537" s="117">
        <f t="shared" si="73"/>
        <v>0</v>
      </c>
      <c r="AC4537" s="117" t="str">
        <f>IF(AB4537=1,COUNTIF($AB$3:AB4537,1),"")</f>
        <v/>
      </c>
      <c r="AD4537" s="117" t="str">
        <f>IFERROR(INDEX($AA$3:$AA$10000,MATCH(ROWS($AC$3:AC4537),$AC$3:$AC$10000,0)),"")</f>
        <v/>
      </c>
    </row>
    <row r="4538" spans="27:30">
      <c r="AA4538" s="117">
        <f>+'Ingredient List - Mother Tinctu'!D4539</f>
        <v>0</v>
      </c>
      <c r="AB4538" s="117">
        <f t="shared" si="73"/>
        <v>0</v>
      </c>
      <c r="AC4538" s="117" t="str">
        <f>IF(AB4538=1,COUNTIF($AB$3:AB4538,1),"")</f>
        <v/>
      </c>
      <c r="AD4538" s="117" t="str">
        <f>IFERROR(INDEX($AA$3:$AA$10000,MATCH(ROWS($AC$3:AC4538),$AC$3:$AC$10000,0)),"")</f>
        <v/>
      </c>
    </row>
    <row r="4539" spans="27:30">
      <c r="AA4539" s="117">
        <f>+'Ingredient List - Mother Tinctu'!D4540</f>
        <v>0</v>
      </c>
      <c r="AB4539" s="117">
        <f t="shared" si="73"/>
        <v>0</v>
      </c>
      <c r="AC4539" s="117" t="str">
        <f>IF(AB4539=1,COUNTIF($AB$3:AB4539,1),"")</f>
        <v/>
      </c>
      <c r="AD4539" s="117" t="str">
        <f>IFERROR(INDEX($AA$3:$AA$10000,MATCH(ROWS($AC$3:AC4539),$AC$3:$AC$10000,0)),"")</f>
        <v/>
      </c>
    </row>
    <row r="4540" spans="27:30">
      <c r="AA4540" s="117">
        <f>+'Ingredient List - Mother Tinctu'!D4541</f>
        <v>0</v>
      </c>
      <c r="AB4540" s="117">
        <f t="shared" si="73"/>
        <v>0</v>
      </c>
      <c r="AC4540" s="117" t="str">
        <f>IF(AB4540=1,COUNTIF($AB$3:AB4540,1),"")</f>
        <v/>
      </c>
      <c r="AD4540" s="117" t="str">
        <f>IFERROR(INDEX($AA$3:$AA$10000,MATCH(ROWS($AC$3:AC4540),$AC$3:$AC$10000,0)),"")</f>
        <v/>
      </c>
    </row>
    <row r="4541" spans="27:30">
      <c r="AA4541" s="117">
        <f>+'Ingredient List - Mother Tinctu'!D4542</f>
        <v>0</v>
      </c>
      <c r="AB4541" s="117">
        <f t="shared" si="73"/>
        <v>0</v>
      </c>
      <c r="AC4541" s="117" t="str">
        <f>IF(AB4541=1,COUNTIF($AB$3:AB4541,1),"")</f>
        <v/>
      </c>
      <c r="AD4541" s="117" t="str">
        <f>IFERROR(INDEX($AA$3:$AA$10000,MATCH(ROWS($AC$3:AC4541),$AC$3:$AC$10000,0)),"")</f>
        <v/>
      </c>
    </row>
    <row r="4542" spans="27:30">
      <c r="AA4542" s="117">
        <f>+'Ingredient List - Mother Tinctu'!D4543</f>
        <v>0</v>
      </c>
      <c r="AB4542" s="117">
        <f t="shared" si="73"/>
        <v>0</v>
      </c>
      <c r="AC4542" s="117" t="str">
        <f>IF(AB4542=1,COUNTIF($AB$3:AB4542,1),"")</f>
        <v/>
      </c>
      <c r="AD4542" s="117" t="str">
        <f>IFERROR(INDEX($AA$3:$AA$10000,MATCH(ROWS($AC$3:AC4542),$AC$3:$AC$10000,0)),"")</f>
        <v/>
      </c>
    </row>
    <row r="4543" spans="27:30">
      <c r="AA4543" s="117">
        <f>+'Ingredient List - Mother Tinctu'!D4544</f>
        <v>0</v>
      </c>
      <c r="AB4543" s="117">
        <f t="shared" si="73"/>
        <v>0</v>
      </c>
      <c r="AC4543" s="117" t="str">
        <f>IF(AB4543=1,COUNTIF($AB$3:AB4543,1),"")</f>
        <v/>
      </c>
      <c r="AD4543" s="117" t="str">
        <f>IFERROR(INDEX($AA$3:$AA$10000,MATCH(ROWS($AC$3:AC4543),$AC$3:$AC$10000,0)),"")</f>
        <v/>
      </c>
    </row>
    <row r="4544" spans="27:30">
      <c r="AA4544" s="117">
        <f>+'Ingredient List - Mother Tinctu'!D4545</f>
        <v>0</v>
      </c>
      <c r="AB4544" s="117">
        <f t="shared" si="73"/>
        <v>0</v>
      </c>
      <c r="AC4544" s="117" t="str">
        <f>IF(AB4544=1,COUNTIF($AB$3:AB4544,1),"")</f>
        <v/>
      </c>
      <c r="AD4544" s="117" t="str">
        <f>IFERROR(INDEX($AA$3:$AA$10000,MATCH(ROWS($AC$3:AC4544),$AC$3:$AC$10000,0)),"")</f>
        <v/>
      </c>
    </row>
    <row r="4545" spans="27:30">
      <c r="AA4545" s="117">
        <f>+'Ingredient List - Mother Tinctu'!D4546</f>
        <v>0</v>
      </c>
      <c r="AB4545" s="117">
        <f t="shared" si="73"/>
        <v>0</v>
      </c>
      <c r="AC4545" s="117" t="str">
        <f>IF(AB4545=1,COUNTIF($AB$3:AB4545,1),"")</f>
        <v/>
      </c>
      <c r="AD4545" s="117" t="str">
        <f>IFERROR(INDEX($AA$3:$AA$10000,MATCH(ROWS($AC$3:AC4545),$AC$3:$AC$10000,0)),"")</f>
        <v/>
      </c>
    </row>
    <row r="4546" spans="27:30">
      <c r="AA4546" s="117">
        <f>+'Ingredient List - Mother Tinctu'!D4547</f>
        <v>0</v>
      </c>
      <c r="AB4546" s="117">
        <f t="shared" si="73"/>
        <v>0</v>
      </c>
      <c r="AC4546" s="117" t="str">
        <f>IF(AB4546=1,COUNTIF($AB$3:AB4546,1),"")</f>
        <v/>
      </c>
      <c r="AD4546" s="117" t="str">
        <f>IFERROR(INDEX($AA$3:$AA$10000,MATCH(ROWS($AC$3:AC4546),$AC$3:$AC$10000,0)),"")</f>
        <v/>
      </c>
    </row>
    <row r="4547" spans="27:30">
      <c r="AA4547" s="117">
        <f>+'Ingredient List - Mother Tinctu'!D4548</f>
        <v>0</v>
      </c>
      <c r="AB4547" s="117">
        <f t="shared" si="73"/>
        <v>0</v>
      </c>
      <c r="AC4547" s="117" t="str">
        <f>IF(AB4547=1,COUNTIF($AB$3:AB4547,1),"")</f>
        <v/>
      </c>
      <c r="AD4547" s="117" t="str">
        <f>IFERROR(INDEX($AA$3:$AA$10000,MATCH(ROWS($AC$3:AC4547),$AC$3:$AC$10000,0)),"")</f>
        <v/>
      </c>
    </row>
    <row r="4548" spans="27:30">
      <c r="AA4548" s="117">
        <f>+'Ingredient List - Mother Tinctu'!D4549</f>
        <v>0</v>
      </c>
      <c r="AB4548" s="117">
        <f t="shared" ref="AB4548:AB4611" si="74">--ISNUMBER(IFERROR(SEARCH($D$3,AA4548,1),""))</f>
        <v>0</v>
      </c>
      <c r="AC4548" s="117" t="str">
        <f>IF(AB4548=1,COUNTIF($AB$3:AB4548,1),"")</f>
        <v/>
      </c>
      <c r="AD4548" s="117" t="str">
        <f>IFERROR(INDEX($AA$3:$AA$10000,MATCH(ROWS($AC$3:AC4548),$AC$3:$AC$10000,0)),"")</f>
        <v/>
      </c>
    </row>
    <row r="4549" spans="27:30">
      <c r="AA4549" s="117">
        <f>+'Ingredient List - Mother Tinctu'!D4550</f>
        <v>0</v>
      </c>
      <c r="AB4549" s="117">
        <f t="shared" si="74"/>
        <v>0</v>
      </c>
      <c r="AC4549" s="117" t="str">
        <f>IF(AB4549=1,COUNTIF($AB$3:AB4549,1),"")</f>
        <v/>
      </c>
      <c r="AD4549" s="117" t="str">
        <f>IFERROR(INDEX($AA$3:$AA$10000,MATCH(ROWS($AC$3:AC4549),$AC$3:$AC$10000,0)),"")</f>
        <v/>
      </c>
    </row>
    <row r="4550" spans="27:30">
      <c r="AA4550" s="117">
        <f>+'Ingredient List - Mother Tinctu'!D4551</f>
        <v>0</v>
      </c>
      <c r="AB4550" s="117">
        <f t="shared" si="74"/>
        <v>0</v>
      </c>
      <c r="AC4550" s="117" t="str">
        <f>IF(AB4550=1,COUNTIF($AB$3:AB4550,1),"")</f>
        <v/>
      </c>
      <c r="AD4550" s="117" t="str">
        <f>IFERROR(INDEX($AA$3:$AA$10000,MATCH(ROWS($AC$3:AC4550),$AC$3:$AC$10000,0)),"")</f>
        <v/>
      </c>
    </row>
    <row r="4551" spans="27:30">
      <c r="AA4551" s="117">
        <f>+'Ingredient List - Mother Tinctu'!D4552</f>
        <v>0</v>
      </c>
      <c r="AB4551" s="117">
        <f t="shared" si="74"/>
        <v>0</v>
      </c>
      <c r="AC4551" s="117" t="str">
        <f>IF(AB4551=1,COUNTIF($AB$3:AB4551,1),"")</f>
        <v/>
      </c>
      <c r="AD4551" s="117" t="str">
        <f>IFERROR(INDEX($AA$3:$AA$10000,MATCH(ROWS($AC$3:AC4551),$AC$3:$AC$10000,0)),"")</f>
        <v/>
      </c>
    </row>
    <row r="4552" spans="27:30">
      <c r="AA4552" s="117">
        <f>+'Ingredient List - Mother Tinctu'!D4553</f>
        <v>0</v>
      </c>
      <c r="AB4552" s="117">
        <f t="shared" si="74"/>
        <v>0</v>
      </c>
      <c r="AC4552" s="117" t="str">
        <f>IF(AB4552=1,COUNTIF($AB$3:AB4552,1),"")</f>
        <v/>
      </c>
      <c r="AD4552" s="117" t="str">
        <f>IFERROR(INDEX($AA$3:$AA$10000,MATCH(ROWS($AC$3:AC4552),$AC$3:$AC$10000,0)),"")</f>
        <v/>
      </c>
    </row>
    <row r="4553" spans="27:30">
      <c r="AA4553" s="117">
        <f>+'Ingredient List - Mother Tinctu'!D4554</f>
        <v>0</v>
      </c>
      <c r="AB4553" s="117">
        <f t="shared" si="74"/>
        <v>0</v>
      </c>
      <c r="AC4553" s="117" t="str">
        <f>IF(AB4553=1,COUNTIF($AB$3:AB4553,1),"")</f>
        <v/>
      </c>
      <c r="AD4553" s="117" t="str">
        <f>IFERROR(INDEX($AA$3:$AA$10000,MATCH(ROWS($AC$3:AC4553),$AC$3:$AC$10000,0)),"")</f>
        <v/>
      </c>
    </row>
    <row r="4554" spans="27:30">
      <c r="AA4554" s="117">
        <f>+'Ingredient List - Mother Tinctu'!D4555</f>
        <v>0</v>
      </c>
      <c r="AB4554" s="117">
        <f t="shared" si="74"/>
        <v>0</v>
      </c>
      <c r="AC4554" s="117" t="str">
        <f>IF(AB4554=1,COUNTIF($AB$3:AB4554,1),"")</f>
        <v/>
      </c>
      <c r="AD4554" s="117" t="str">
        <f>IFERROR(INDEX($AA$3:$AA$10000,MATCH(ROWS($AC$3:AC4554),$AC$3:$AC$10000,0)),"")</f>
        <v/>
      </c>
    </row>
    <row r="4555" spans="27:30">
      <c r="AA4555" s="117">
        <f>+'Ingredient List - Mother Tinctu'!D4556</f>
        <v>0</v>
      </c>
      <c r="AB4555" s="117">
        <f t="shared" si="74"/>
        <v>0</v>
      </c>
      <c r="AC4555" s="117" t="str">
        <f>IF(AB4555=1,COUNTIF($AB$3:AB4555,1),"")</f>
        <v/>
      </c>
      <c r="AD4555" s="117" t="str">
        <f>IFERROR(INDEX($AA$3:$AA$10000,MATCH(ROWS($AC$3:AC4555),$AC$3:$AC$10000,0)),"")</f>
        <v/>
      </c>
    </row>
    <row r="4556" spans="27:30">
      <c r="AA4556" s="117">
        <f>+'Ingredient List - Mother Tinctu'!D4557</f>
        <v>0</v>
      </c>
      <c r="AB4556" s="117">
        <f t="shared" si="74"/>
        <v>0</v>
      </c>
      <c r="AC4556" s="117" t="str">
        <f>IF(AB4556=1,COUNTIF($AB$3:AB4556,1),"")</f>
        <v/>
      </c>
      <c r="AD4556" s="117" t="str">
        <f>IFERROR(INDEX($AA$3:$AA$10000,MATCH(ROWS($AC$3:AC4556),$AC$3:$AC$10000,0)),"")</f>
        <v/>
      </c>
    </row>
    <row r="4557" spans="27:30">
      <c r="AA4557" s="117">
        <f>+'Ingredient List - Mother Tinctu'!D4558</f>
        <v>0</v>
      </c>
      <c r="AB4557" s="117">
        <f t="shared" si="74"/>
        <v>0</v>
      </c>
      <c r="AC4557" s="117" t="str">
        <f>IF(AB4557=1,COUNTIF($AB$3:AB4557,1),"")</f>
        <v/>
      </c>
      <c r="AD4557" s="117" t="str">
        <f>IFERROR(INDEX($AA$3:$AA$10000,MATCH(ROWS($AC$3:AC4557),$AC$3:$AC$10000,0)),"")</f>
        <v/>
      </c>
    </row>
    <row r="4558" spans="27:30">
      <c r="AA4558" s="117">
        <f>+'Ingredient List - Mother Tinctu'!D4559</f>
        <v>0</v>
      </c>
      <c r="AB4558" s="117">
        <f t="shared" si="74"/>
        <v>0</v>
      </c>
      <c r="AC4558" s="117" t="str">
        <f>IF(AB4558=1,COUNTIF($AB$3:AB4558,1),"")</f>
        <v/>
      </c>
      <c r="AD4558" s="117" t="str">
        <f>IFERROR(INDEX($AA$3:$AA$10000,MATCH(ROWS($AC$3:AC4558),$AC$3:$AC$10000,0)),"")</f>
        <v/>
      </c>
    </row>
    <row r="4559" spans="27:30">
      <c r="AA4559" s="117">
        <f>+'Ingredient List - Mother Tinctu'!D4560</f>
        <v>0</v>
      </c>
      <c r="AB4559" s="117">
        <f t="shared" si="74"/>
        <v>0</v>
      </c>
      <c r="AC4559" s="117" t="str">
        <f>IF(AB4559=1,COUNTIF($AB$3:AB4559,1),"")</f>
        <v/>
      </c>
      <c r="AD4559" s="117" t="str">
        <f>IFERROR(INDEX($AA$3:$AA$10000,MATCH(ROWS($AC$3:AC4559),$AC$3:$AC$10000,0)),"")</f>
        <v/>
      </c>
    </row>
    <row r="4560" spans="27:30">
      <c r="AA4560" s="117">
        <f>+'Ingredient List - Mother Tinctu'!D4561</f>
        <v>0</v>
      </c>
      <c r="AB4560" s="117">
        <f t="shared" si="74"/>
        <v>0</v>
      </c>
      <c r="AC4560" s="117" t="str">
        <f>IF(AB4560=1,COUNTIF($AB$3:AB4560,1),"")</f>
        <v/>
      </c>
      <c r="AD4560" s="117" t="str">
        <f>IFERROR(INDEX($AA$3:$AA$10000,MATCH(ROWS($AC$3:AC4560),$AC$3:$AC$10000,0)),"")</f>
        <v/>
      </c>
    </row>
    <row r="4561" spans="27:30">
      <c r="AA4561" s="117">
        <f>+'Ingredient List - Mother Tinctu'!D4562</f>
        <v>0</v>
      </c>
      <c r="AB4561" s="117">
        <f t="shared" si="74"/>
        <v>0</v>
      </c>
      <c r="AC4561" s="117" t="str">
        <f>IF(AB4561=1,COUNTIF($AB$3:AB4561,1),"")</f>
        <v/>
      </c>
      <c r="AD4561" s="117" t="str">
        <f>IFERROR(INDEX($AA$3:$AA$10000,MATCH(ROWS($AC$3:AC4561),$AC$3:$AC$10000,0)),"")</f>
        <v/>
      </c>
    </row>
    <row r="4562" spans="27:30">
      <c r="AA4562" s="117">
        <f>+'Ingredient List - Mother Tinctu'!D4563</f>
        <v>0</v>
      </c>
      <c r="AB4562" s="117">
        <f t="shared" si="74"/>
        <v>0</v>
      </c>
      <c r="AC4562" s="117" t="str">
        <f>IF(AB4562=1,COUNTIF($AB$3:AB4562,1),"")</f>
        <v/>
      </c>
      <c r="AD4562" s="117" t="str">
        <f>IFERROR(INDEX($AA$3:$AA$10000,MATCH(ROWS($AC$3:AC4562),$AC$3:$AC$10000,0)),"")</f>
        <v/>
      </c>
    </row>
    <row r="4563" spans="27:30">
      <c r="AA4563" s="117">
        <f>+'Ingredient List - Mother Tinctu'!D4564</f>
        <v>0</v>
      </c>
      <c r="AB4563" s="117">
        <f t="shared" si="74"/>
        <v>0</v>
      </c>
      <c r="AC4563" s="117" t="str">
        <f>IF(AB4563=1,COUNTIF($AB$3:AB4563,1),"")</f>
        <v/>
      </c>
      <c r="AD4563" s="117" t="str">
        <f>IFERROR(INDEX($AA$3:$AA$10000,MATCH(ROWS($AC$3:AC4563),$AC$3:$AC$10000,0)),"")</f>
        <v/>
      </c>
    </row>
    <row r="4564" spans="27:30">
      <c r="AA4564" s="117">
        <f>+'Ingredient List - Mother Tinctu'!D4565</f>
        <v>0</v>
      </c>
      <c r="AB4564" s="117">
        <f t="shared" si="74"/>
        <v>0</v>
      </c>
      <c r="AC4564" s="117" t="str">
        <f>IF(AB4564=1,COUNTIF($AB$3:AB4564,1),"")</f>
        <v/>
      </c>
      <c r="AD4564" s="117" t="str">
        <f>IFERROR(INDEX($AA$3:$AA$10000,MATCH(ROWS($AC$3:AC4564),$AC$3:$AC$10000,0)),"")</f>
        <v/>
      </c>
    </row>
    <row r="4565" spans="27:30">
      <c r="AA4565" s="117">
        <f>+'Ingredient List - Mother Tinctu'!D4566</f>
        <v>0</v>
      </c>
      <c r="AB4565" s="117">
        <f t="shared" si="74"/>
        <v>0</v>
      </c>
      <c r="AC4565" s="117" t="str">
        <f>IF(AB4565=1,COUNTIF($AB$3:AB4565,1),"")</f>
        <v/>
      </c>
      <c r="AD4565" s="117" t="str">
        <f>IFERROR(INDEX($AA$3:$AA$10000,MATCH(ROWS($AC$3:AC4565),$AC$3:$AC$10000,0)),"")</f>
        <v/>
      </c>
    </row>
    <row r="4566" spans="27:30">
      <c r="AA4566" s="117">
        <f>+'Ingredient List - Mother Tinctu'!D4567</f>
        <v>0</v>
      </c>
      <c r="AB4566" s="117">
        <f t="shared" si="74"/>
        <v>0</v>
      </c>
      <c r="AC4566" s="117" t="str">
        <f>IF(AB4566=1,COUNTIF($AB$3:AB4566,1),"")</f>
        <v/>
      </c>
      <c r="AD4566" s="117" t="str">
        <f>IFERROR(INDEX($AA$3:$AA$10000,MATCH(ROWS($AC$3:AC4566),$AC$3:$AC$10000,0)),"")</f>
        <v/>
      </c>
    </row>
    <row r="4567" spans="27:30">
      <c r="AA4567" s="117">
        <f>+'Ingredient List - Mother Tinctu'!D4568</f>
        <v>0</v>
      </c>
      <c r="AB4567" s="117">
        <f t="shared" si="74"/>
        <v>0</v>
      </c>
      <c r="AC4567" s="117" t="str">
        <f>IF(AB4567=1,COUNTIF($AB$3:AB4567,1),"")</f>
        <v/>
      </c>
      <c r="AD4567" s="117" t="str">
        <f>IFERROR(INDEX($AA$3:$AA$10000,MATCH(ROWS($AC$3:AC4567),$AC$3:$AC$10000,0)),"")</f>
        <v/>
      </c>
    </row>
    <row r="4568" spans="27:30">
      <c r="AA4568" s="117">
        <f>+'Ingredient List - Mother Tinctu'!D4569</f>
        <v>0</v>
      </c>
      <c r="AB4568" s="117">
        <f t="shared" si="74"/>
        <v>0</v>
      </c>
      <c r="AC4568" s="117" t="str">
        <f>IF(AB4568=1,COUNTIF($AB$3:AB4568,1),"")</f>
        <v/>
      </c>
      <c r="AD4568" s="117" t="str">
        <f>IFERROR(INDEX($AA$3:$AA$10000,MATCH(ROWS($AC$3:AC4568),$AC$3:$AC$10000,0)),"")</f>
        <v/>
      </c>
    </row>
    <row r="4569" spans="27:30">
      <c r="AA4569" s="117">
        <f>+'Ingredient List - Mother Tinctu'!D4570</f>
        <v>0</v>
      </c>
      <c r="AB4569" s="117">
        <f t="shared" si="74"/>
        <v>0</v>
      </c>
      <c r="AC4569" s="117" t="str">
        <f>IF(AB4569=1,COUNTIF($AB$3:AB4569,1),"")</f>
        <v/>
      </c>
      <c r="AD4569" s="117" t="str">
        <f>IFERROR(INDEX($AA$3:$AA$10000,MATCH(ROWS($AC$3:AC4569),$AC$3:$AC$10000,0)),"")</f>
        <v/>
      </c>
    </row>
    <row r="4570" spans="27:30">
      <c r="AA4570" s="117">
        <f>+'Ingredient List - Mother Tinctu'!D4571</f>
        <v>0</v>
      </c>
      <c r="AB4570" s="117">
        <f t="shared" si="74"/>
        <v>0</v>
      </c>
      <c r="AC4570" s="117" t="str">
        <f>IF(AB4570=1,COUNTIF($AB$3:AB4570,1),"")</f>
        <v/>
      </c>
      <c r="AD4570" s="117" t="str">
        <f>IFERROR(INDEX($AA$3:$AA$10000,MATCH(ROWS($AC$3:AC4570),$AC$3:$AC$10000,0)),"")</f>
        <v/>
      </c>
    </row>
    <row r="4571" spans="27:30">
      <c r="AA4571" s="117">
        <f>+'Ingredient List - Mother Tinctu'!D4572</f>
        <v>0</v>
      </c>
      <c r="AB4571" s="117">
        <f t="shared" si="74"/>
        <v>0</v>
      </c>
      <c r="AC4571" s="117" t="str">
        <f>IF(AB4571=1,COUNTIF($AB$3:AB4571,1),"")</f>
        <v/>
      </c>
      <c r="AD4571" s="117" t="str">
        <f>IFERROR(INDEX($AA$3:$AA$10000,MATCH(ROWS($AC$3:AC4571),$AC$3:$AC$10000,0)),"")</f>
        <v/>
      </c>
    </row>
    <row r="4572" spans="27:30">
      <c r="AA4572" s="117">
        <f>+'Ingredient List - Mother Tinctu'!D4573</f>
        <v>0</v>
      </c>
      <c r="AB4572" s="117">
        <f t="shared" si="74"/>
        <v>0</v>
      </c>
      <c r="AC4572" s="117" t="str">
        <f>IF(AB4572=1,COUNTIF($AB$3:AB4572,1),"")</f>
        <v/>
      </c>
      <c r="AD4572" s="117" t="str">
        <f>IFERROR(INDEX($AA$3:$AA$10000,MATCH(ROWS($AC$3:AC4572),$AC$3:$AC$10000,0)),"")</f>
        <v/>
      </c>
    </row>
    <row r="4573" spans="27:30">
      <c r="AA4573" s="117">
        <f>+'Ingredient List - Mother Tinctu'!D4574</f>
        <v>0</v>
      </c>
      <c r="AB4573" s="117">
        <f t="shared" si="74"/>
        <v>0</v>
      </c>
      <c r="AC4573" s="117" t="str">
        <f>IF(AB4573=1,COUNTIF($AB$3:AB4573,1),"")</f>
        <v/>
      </c>
      <c r="AD4573" s="117" t="str">
        <f>IFERROR(INDEX($AA$3:$AA$10000,MATCH(ROWS($AC$3:AC4573),$AC$3:$AC$10000,0)),"")</f>
        <v/>
      </c>
    </row>
    <row r="4574" spans="27:30">
      <c r="AA4574" s="117">
        <f>+'Ingredient List - Mother Tinctu'!D4575</f>
        <v>0</v>
      </c>
      <c r="AB4574" s="117">
        <f t="shared" si="74"/>
        <v>0</v>
      </c>
      <c r="AC4574" s="117" t="str">
        <f>IF(AB4574=1,COUNTIF($AB$3:AB4574,1),"")</f>
        <v/>
      </c>
      <c r="AD4574" s="117" t="str">
        <f>IFERROR(INDEX($AA$3:$AA$10000,MATCH(ROWS($AC$3:AC4574),$AC$3:$AC$10000,0)),"")</f>
        <v/>
      </c>
    </row>
    <row r="4575" spans="27:30">
      <c r="AA4575" s="117">
        <f>+'Ingredient List - Mother Tinctu'!D4576</f>
        <v>0</v>
      </c>
      <c r="AB4575" s="117">
        <f t="shared" si="74"/>
        <v>0</v>
      </c>
      <c r="AC4575" s="117" t="str">
        <f>IF(AB4575=1,COUNTIF($AB$3:AB4575,1),"")</f>
        <v/>
      </c>
      <c r="AD4575" s="117" t="str">
        <f>IFERROR(INDEX($AA$3:$AA$10000,MATCH(ROWS($AC$3:AC4575),$AC$3:$AC$10000,0)),"")</f>
        <v/>
      </c>
    </row>
    <row r="4576" spans="27:30">
      <c r="AA4576" s="117">
        <f>+'Ingredient List - Mother Tinctu'!D4577</f>
        <v>0</v>
      </c>
      <c r="AB4576" s="117">
        <f t="shared" si="74"/>
        <v>0</v>
      </c>
      <c r="AC4576" s="117" t="str">
        <f>IF(AB4576=1,COUNTIF($AB$3:AB4576,1),"")</f>
        <v/>
      </c>
      <c r="AD4576" s="117" t="str">
        <f>IFERROR(INDEX($AA$3:$AA$10000,MATCH(ROWS($AC$3:AC4576),$AC$3:$AC$10000,0)),"")</f>
        <v/>
      </c>
    </row>
    <row r="4577" spans="27:30">
      <c r="AA4577" s="117">
        <f>+'Ingredient List - Mother Tinctu'!D4578</f>
        <v>0</v>
      </c>
      <c r="AB4577" s="117">
        <f t="shared" si="74"/>
        <v>0</v>
      </c>
      <c r="AC4577" s="117" t="str">
        <f>IF(AB4577=1,COUNTIF($AB$3:AB4577,1),"")</f>
        <v/>
      </c>
      <c r="AD4577" s="117" t="str">
        <f>IFERROR(INDEX($AA$3:$AA$10000,MATCH(ROWS($AC$3:AC4577),$AC$3:$AC$10000,0)),"")</f>
        <v/>
      </c>
    </row>
    <row r="4578" spans="27:30">
      <c r="AA4578" s="117">
        <f>+'Ingredient List - Mother Tinctu'!D4579</f>
        <v>0</v>
      </c>
      <c r="AB4578" s="117">
        <f t="shared" si="74"/>
        <v>0</v>
      </c>
      <c r="AC4578" s="117" t="str">
        <f>IF(AB4578=1,COUNTIF($AB$3:AB4578,1),"")</f>
        <v/>
      </c>
      <c r="AD4578" s="117" t="str">
        <f>IFERROR(INDEX($AA$3:$AA$10000,MATCH(ROWS($AC$3:AC4578),$AC$3:$AC$10000,0)),"")</f>
        <v/>
      </c>
    </row>
    <row r="4579" spans="27:30">
      <c r="AA4579" s="117">
        <f>+'Ingredient List - Mother Tinctu'!D4580</f>
        <v>0</v>
      </c>
      <c r="AB4579" s="117">
        <f t="shared" si="74"/>
        <v>0</v>
      </c>
      <c r="AC4579" s="117" t="str">
        <f>IF(AB4579=1,COUNTIF($AB$3:AB4579,1),"")</f>
        <v/>
      </c>
      <c r="AD4579" s="117" t="str">
        <f>IFERROR(INDEX($AA$3:$AA$10000,MATCH(ROWS($AC$3:AC4579),$AC$3:$AC$10000,0)),"")</f>
        <v/>
      </c>
    </row>
    <row r="4580" spans="27:30">
      <c r="AA4580" s="117">
        <f>+'Ingredient List - Mother Tinctu'!D4581</f>
        <v>0</v>
      </c>
      <c r="AB4580" s="117">
        <f t="shared" si="74"/>
        <v>0</v>
      </c>
      <c r="AC4580" s="117" t="str">
        <f>IF(AB4580=1,COUNTIF($AB$3:AB4580,1),"")</f>
        <v/>
      </c>
      <c r="AD4580" s="117" t="str">
        <f>IFERROR(INDEX($AA$3:$AA$10000,MATCH(ROWS($AC$3:AC4580),$AC$3:$AC$10000,0)),"")</f>
        <v/>
      </c>
    </row>
    <row r="4581" spans="27:30">
      <c r="AA4581" s="117">
        <f>+'Ingredient List - Mother Tinctu'!D4582</f>
        <v>0</v>
      </c>
      <c r="AB4581" s="117">
        <f t="shared" si="74"/>
        <v>0</v>
      </c>
      <c r="AC4581" s="117" t="str">
        <f>IF(AB4581=1,COUNTIF($AB$3:AB4581,1),"")</f>
        <v/>
      </c>
      <c r="AD4581" s="117" t="str">
        <f>IFERROR(INDEX($AA$3:$AA$10000,MATCH(ROWS($AC$3:AC4581),$AC$3:$AC$10000,0)),"")</f>
        <v/>
      </c>
    </row>
    <row r="4582" spans="27:30">
      <c r="AA4582" s="117">
        <f>+'Ingredient List - Mother Tinctu'!D4583</f>
        <v>0</v>
      </c>
      <c r="AB4582" s="117">
        <f t="shared" si="74"/>
        <v>0</v>
      </c>
      <c r="AC4582" s="117" t="str">
        <f>IF(AB4582=1,COUNTIF($AB$3:AB4582,1),"")</f>
        <v/>
      </c>
      <c r="AD4582" s="117" t="str">
        <f>IFERROR(INDEX($AA$3:$AA$10000,MATCH(ROWS($AC$3:AC4582),$AC$3:$AC$10000,0)),"")</f>
        <v/>
      </c>
    </row>
    <row r="4583" spans="27:30">
      <c r="AA4583" s="117">
        <f>+'Ingredient List - Mother Tinctu'!D4584</f>
        <v>0</v>
      </c>
      <c r="AB4583" s="117">
        <f t="shared" si="74"/>
        <v>0</v>
      </c>
      <c r="AC4583" s="117" t="str">
        <f>IF(AB4583=1,COUNTIF($AB$3:AB4583,1),"")</f>
        <v/>
      </c>
      <c r="AD4583" s="117" t="str">
        <f>IFERROR(INDEX($AA$3:$AA$10000,MATCH(ROWS($AC$3:AC4583),$AC$3:$AC$10000,0)),"")</f>
        <v/>
      </c>
    </row>
    <row r="4584" spans="27:30">
      <c r="AA4584" s="117">
        <f>+'Ingredient List - Mother Tinctu'!D4585</f>
        <v>0</v>
      </c>
      <c r="AB4584" s="117">
        <f t="shared" si="74"/>
        <v>0</v>
      </c>
      <c r="AC4584" s="117" t="str">
        <f>IF(AB4584=1,COUNTIF($AB$3:AB4584,1),"")</f>
        <v/>
      </c>
      <c r="AD4584" s="117" t="str">
        <f>IFERROR(INDEX($AA$3:$AA$10000,MATCH(ROWS($AC$3:AC4584),$AC$3:$AC$10000,0)),"")</f>
        <v/>
      </c>
    </row>
    <row r="4585" spans="27:30">
      <c r="AA4585" s="117">
        <f>+'Ingredient List - Mother Tinctu'!D4586</f>
        <v>0</v>
      </c>
      <c r="AB4585" s="117">
        <f t="shared" si="74"/>
        <v>0</v>
      </c>
      <c r="AC4585" s="117" t="str">
        <f>IF(AB4585=1,COUNTIF($AB$3:AB4585,1),"")</f>
        <v/>
      </c>
      <c r="AD4585" s="117" t="str">
        <f>IFERROR(INDEX($AA$3:$AA$10000,MATCH(ROWS($AC$3:AC4585),$AC$3:$AC$10000,0)),"")</f>
        <v/>
      </c>
    </row>
    <row r="4586" spans="27:30">
      <c r="AA4586" s="117">
        <f>+'Ingredient List - Mother Tinctu'!D4587</f>
        <v>0</v>
      </c>
      <c r="AB4586" s="117">
        <f t="shared" si="74"/>
        <v>0</v>
      </c>
      <c r="AC4586" s="117" t="str">
        <f>IF(AB4586=1,COUNTIF($AB$3:AB4586,1),"")</f>
        <v/>
      </c>
      <c r="AD4586" s="117" t="str">
        <f>IFERROR(INDEX($AA$3:$AA$10000,MATCH(ROWS($AC$3:AC4586),$AC$3:$AC$10000,0)),"")</f>
        <v/>
      </c>
    </row>
    <row r="4587" spans="27:30">
      <c r="AA4587" s="117">
        <f>+'Ingredient List - Mother Tinctu'!D4588</f>
        <v>0</v>
      </c>
      <c r="AB4587" s="117">
        <f t="shared" si="74"/>
        <v>0</v>
      </c>
      <c r="AC4587" s="117" t="str">
        <f>IF(AB4587=1,COUNTIF($AB$3:AB4587,1),"")</f>
        <v/>
      </c>
      <c r="AD4587" s="117" t="str">
        <f>IFERROR(INDEX($AA$3:$AA$10000,MATCH(ROWS($AC$3:AC4587),$AC$3:$AC$10000,0)),"")</f>
        <v/>
      </c>
    </row>
    <row r="4588" spans="27:30">
      <c r="AA4588" s="117">
        <f>+'Ingredient List - Mother Tinctu'!D4589</f>
        <v>0</v>
      </c>
      <c r="AB4588" s="117">
        <f t="shared" si="74"/>
        <v>0</v>
      </c>
      <c r="AC4588" s="117" t="str">
        <f>IF(AB4588=1,COUNTIF($AB$3:AB4588,1),"")</f>
        <v/>
      </c>
      <c r="AD4588" s="117" t="str">
        <f>IFERROR(INDEX($AA$3:$AA$10000,MATCH(ROWS($AC$3:AC4588),$AC$3:$AC$10000,0)),"")</f>
        <v/>
      </c>
    </row>
    <row r="4589" spans="27:30">
      <c r="AA4589" s="117">
        <f>+'Ingredient List - Mother Tinctu'!D4590</f>
        <v>0</v>
      </c>
      <c r="AB4589" s="117">
        <f t="shared" si="74"/>
        <v>0</v>
      </c>
      <c r="AC4589" s="117" t="str">
        <f>IF(AB4589=1,COUNTIF($AB$3:AB4589,1),"")</f>
        <v/>
      </c>
      <c r="AD4589" s="117" t="str">
        <f>IFERROR(INDEX($AA$3:$AA$10000,MATCH(ROWS($AC$3:AC4589),$AC$3:$AC$10000,0)),"")</f>
        <v/>
      </c>
    </row>
    <row r="4590" spans="27:30">
      <c r="AA4590" s="117">
        <f>+'Ingredient List - Mother Tinctu'!D4591</f>
        <v>0</v>
      </c>
      <c r="AB4590" s="117">
        <f t="shared" si="74"/>
        <v>0</v>
      </c>
      <c r="AC4590" s="117" t="str">
        <f>IF(AB4590=1,COUNTIF($AB$3:AB4590,1),"")</f>
        <v/>
      </c>
      <c r="AD4590" s="117" t="str">
        <f>IFERROR(INDEX($AA$3:$AA$10000,MATCH(ROWS($AC$3:AC4590),$AC$3:$AC$10000,0)),"")</f>
        <v/>
      </c>
    </row>
    <row r="4591" spans="27:30">
      <c r="AA4591" s="117">
        <f>+'Ingredient List - Mother Tinctu'!D4592</f>
        <v>0</v>
      </c>
      <c r="AB4591" s="117">
        <f t="shared" si="74"/>
        <v>0</v>
      </c>
      <c r="AC4591" s="117" t="str">
        <f>IF(AB4591=1,COUNTIF($AB$3:AB4591,1),"")</f>
        <v/>
      </c>
      <c r="AD4591" s="117" t="str">
        <f>IFERROR(INDEX($AA$3:$AA$10000,MATCH(ROWS($AC$3:AC4591),$AC$3:$AC$10000,0)),"")</f>
        <v/>
      </c>
    </row>
    <row r="4592" spans="27:30">
      <c r="AA4592" s="117">
        <f>+'Ingredient List - Mother Tinctu'!D4593</f>
        <v>0</v>
      </c>
      <c r="AB4592" s="117">
        <f t="shared" si="74"/>
        <v>0</v>
      </c>
      <c r="AC4592" s="117" t="str">
        <f>IF(AB4592=1,COUNTIF($AB$3:AB4592,1),"")</f>
        <v/>
      </c>
      <c r="AD4592" s="117" t="str">
        <f>IFERROR(INDEX($AA$3:$AA$10000,MATCH(ROWS($AC$3:AC4592),$AC$3:$AC$10000,0)),"")</f>
        <v/>
      </c>
    </row>
    <row r="4593" spans="27:30">
      <c r="AA4593" s="117">
        <f>+'Ingredient List - Mother Tinctu'!D4594</f>
        <v>0</v>
      </c>
      <c r="AB4593" s="117">
        <f t="shared" si="74"/>
        <v>0</v>
      </c>
      <c r="AC4593" s="117" t="str">
        <f>IF(AB4593=1,COUNTIF($AB$3:AB4593,1),"")</f>
        <v/>
      </c>
      <c r="AD4593" s="117" t="str">
        <f>IFERROR(INDEX($AA$3:$AA$10000,MATCH(ROWS($AC$3:AC4593),$AC$3:$AC$10000,0)),"")</f>
        <v/>
      </c>
    </row>
    <row r="4594" spans="27:30">
      <c r="AA4594" s="117">
        <f>+'Ingredient List - Mother Tinctu'!D4595</f>
        <v>0</v>
      </c>
      <c r="AB4594" s="117">
        <f t="shared" si="74"/>
        <v>0</v>
      </c>
      <c r="AC4594" s="117" t="str">
        <f>IF(AB4594=1,COUNTIF($AB$3:AB4594,1),"")</f>
        <v/>
      </c>
      <c r="AD4594" s="117" t="str">
        <f>IFERROR(INDEX($AA$3:$AA$10000,MATCH(ROWS($AC$3:AC4594),$AC$3:$AC$10000,0)),"")</f>
        <v/>
      </c>
    </row>
    <row r="4595" spans="27:30">
      <c r="AA4595" s="117">
        <f>+'Ingredient List - Mother Tinctu'!D4596</f>
        <v>0</v>
      </c>
      <c r="AB4595" s="117">
        <f t="shared" si="74"/>
        <v>0</v>
      </c>
      <c r="AC4595" s="117" t="str">
        <f>IF(AB4595=1,COUNTIF($AB$3:AB4595,1),"")</f>
        <v/>
      </c>
      <c r="AD4595" s="117" t="str">
        <f>IFERROR(INDEX($AA$3:$AA$10000,MATCH(ROWS($AC$3:AC4595),$AC$3:$AC$10000,0)),"")</f>
        <v/>
      </c>
    </row>
    <row r="4596" spans="27:30">
      <c r="AA4596" s="117">
        <f>+'Ingredient List - Mother Tinctu'!D4597</f>
        <v>0</v>
      </c>
      <c r="AB4596" s="117">
        <f t="shared" si="74"/>
        <v>0</v>
      </c>
      <c r="AC4596" s="117" t="str">
        <f>IF(AB4596=1,COUNTIF($AB$3:AB4596,1),"")</f>
        <v/>
      </c>
      <c r="AD4596" s="117" t="str">
        <f>IFERROR(INDEX($AA$3:$AA$10000,MATCH(ROWS($AC$3:AC4596),$AC$3:$AC$10000,0)),"")</f>
        <v/>
      </c>
    </row>
    <row r="4597" spans="27:30">
      <c r="AA4597" s="117">
        <f>+'Ingredient List - Mother Tinctu'!D4598</f>
        <v>0</v>
      </c>
      <c r="AB4597" s="117">
        <f t="shared" si="74"/>
        <v>0</v>
      </c>
      <c r="AC4597" s="117" t="str">
        <f>IF(AB4597=1,COUNTIF($AB$3:AB4597,1),"")</f>
        <v/>
      </c>
      <c r="AD4597" s="117" t="str">
        <f>IFERROR(INDEX($AA$3:$AA$10000,MATCH(ROWS($AC$3:AC4597),$AC$3:$AC$10000,0)),"")</f>
        <v/>
      </c>
    </row>
    <row r="4598" spans="27:30">
      <c r="AA4598" s="117">
        <f>+'Ingredient List - Mother Tinctu'!D4599</f>
        <v>0</v>
      </c>
      <c r="AB4598" s="117">
        <f t="shared" si="74"/>
        <v>0</v>
      </c>
      <c r="AC4598" s="117" t="str">
        <f>IF(AB4598=1,COUNTIF($AB$3:AB4598,1),"")</f>
        <v/>
      </c>
      <c r="AD4598" s="117" t="str">
        <f>IFERROR(INDEX($AA$3:$AA$10000,MATCH(ROWS($AC$3:AC4598),$AC$3:$AC$10000,0)),"")</f>
        <v/>
      </c>
    </row>
    <row r="4599" spans="27:30">
      <c r="AA4599" s="117">
        <f>+'Ingredient List - Mother Tinctu'!D4600</f>
        <v>0</v>
      </c>
      <c r="AB4599" s="117">
        <f t="shared" si="74"/>
        <v>0</v>
      </c>
      <c r="AC4599" s="117" t="str">
        <f>IF(AB4599=1,COUNTIF($AB$3:AB4599,1),"")</f>
        <v/>
      </c>
      <c r="AD4599" s="117" t="str">
        <f>IFERROR(INDEX($AA$3:$AA$10000,MATCH(ROWS($AC$3:AC4599),$AC$3:$AC$10000,0)),"")</f>
        <v/>
      </c>
    </row>
    <row r="4600" spans="27:30">
      <c r="AA4600" s="117">
        <f>+'Ingredient List - Mother Tinctu'!D4601</f>
        <v>0</v>
      </c>
      <c r="AB4600" s="117">
        <f t="shared" si="74"/>
        <v>0</v>
      </c>
      <c r="AC4600" s="117" t="str">
        <f>IF(AB4600=1,COUNTIF($AB$3:AB4600,1),"")</f>
        <v/>
      </c>
      <c r="AD4600" s="117" t="str">
        <f>IFERROR(INDEX($AA$3:$AA$10000,MATCH(ROWS($AC$3:AC4600),$AC$3:$AC$10000,0)),"")</f>
        <v/>
      </c>
    </row>
    <row r="4601" spans="27:30">
      <c r="AA4601" s="117">
        <f>+'Ingredient List - Mother Tinctu'!D4602</f>
        <v>0</v>
      </c>
      <c r="AB4601" s="117">
        <f t="shared" si="74"/>
        <v>0</v>
      </c>
      <c r="AC4601" s="117" t="str">
        <f>IF(AB4601=1,COUNTIF($AB$3:AB4601,1),"")</f>
        <v/>
      </c>
      <c r="AD4601" s="117" t="str">
        <f>IFERROR(INDEX($AA$3:$AA$10000,MATCH(ROWS($AC$3:AC4601),$AC$3:$AC$10000,0)),"")</f>
        <v/>
      </c>
    </row>
    <row r="4602" spans="27:30">
      <c r="AA4602" s="117">
        <f>+'Ingredient List - Mother Tinctu'!D4603</f>
        <v>0</v>
      </c>
      <c r="AB4602" s="117">
        <f t="shared" si="74"/>
        <v>0</v>
      </c>
      <c r="AC4602" s="117" t="str">
        <f>IF(AB4602=1,COUNTIF($AB$3:AB4602,1),"")</f>
        <v/>
      </c>
      <c r="AD4602" s="117" t="str">
        <f>IFERROR(INDEX($AA$3:$AA$10000,MATCH(ROWS($AC$3:AC4602),$AC$3:$AC$10000,0)),"")</f>
        <v/>
      </c>
    </row>
    <row r="4603" spans="27:30">
      <c r="AA4603" s="117">
        <f>+'Ingredient List - Mother Tinctu'!D4604</f>
        <v>0</v>
      </c>
      <c r="AB4603" s="117">
        <f t="shared" si="74"/>
        <v>0</v>
      </c>
      <c r="AC4603" s="117" t="str">
        <f>IF(AB4603=1,COUNTIF($AB$3:AB4603,1),"")</f>
        <v/>
      </c>
      <c r="AD4603" s="117" t="str">
        <f>IFERROR(INDEX($AA$3:$AA$10000,MATCH(ROWS($AC$3:AC4603),$AC$3:$AC$10000,0)),"")</f>
        <v/>
      </c>
    </row>
    <row r="4604" spans="27:30">
      <c r="AA4604" s="117">
        <f>+'Ingredient List - Mother Tinctu'!D4605</f>
        <v>0</v>
      </c>
      <c r="AB4604" s="117">
        <f t="shared" si="74"/>
        <v>0</v>
      </c>
      <c r="AC4604" s="117" t="str">
        <f>IF(AB4604=1,COUNTIF($AB$3:AB4604,1),"")</f>
        <v/>
      </c>
      <c r="AD4604" s="117" t="str">
        <f>IFERROR(INDEX($AA$3:$AA$10000,MATCH(ROWS($AC$3:AC4604),$AC$3:$AC$10000,0)),"")</f>
        <v/>
      </c>
    </row>
    <row r="4605" spans="27:30">
      <c r="AA4605" s="117">
        <f>+'Ingredient List - Mother Tinctu'!D4606</f>
        <v>0</v>
      </c>
      <c r="AB4605" s="117">
        <f t="shared" si="74"/>
        <v>0</v>
      </c>
      <c r="AC4605" s="117" t="str">
        <f>IF(AB4605=1,COUNTIF($AB$3:AB4605,1),"")</f>
        <v/>
      </c>
      <c r="AD4605" s="117" t="str">
        <f>IFERROR(INDEX($AA$3:$AA$10000,MATCH(ROWS($AC$3:AC4605),$AC$3:$AC$10000,0)),"")</f>
        <v/>
      </c>
    </row>
    <row r="4606" spans="27:30">
      <c r="AA4606" s="117">
        <f>+'Ingredient List - Mother Tinctu'!D4607</f>
        <v>0</v>
      </c>
      <c r="AB4606" s="117">
        <f t="shared" si="74"/>
        <v>0</v>
      </c>
      <c r="AC4606" s="117" t="str">
        <f>IF(AB4606=1,COUNTIF($AB$3:AB4606,1),"")</f>
        <v/>
      </c>
      <c r="AD4606" s="117" t="str">
        <f>IFERROR(INDEX($AA$3:$AA$10000,MATCH(ROWS($AC$3:AC4606),$AC$3:$AC$10000,0)),"")</f>
        <v/>
      </c>
    </row>
    <row r="4607" spans="27:30">
      <c r="AA4607" s="117">
        <f>+'Ingredient List - Mother Tinctu'!D4608</f>
        <v>0</v>
      </c>
      <c r="AB4607" s="117">
        <f t="shared" si="74"/>
        <v>0</v>
      </c>
      <c r="AC4607" s="117" t="str">
        <f>IF(AB4607=1,COUNTIF($AB$3:AB4607,1),"")</f>
        <v/>
      </c>
      <c r="AD4607" s="117" t="str">
        <f>IFERROR(INDEX($AA$3:$AA$10000,MATCH(ROWS($AC$3:AC4607),$AC$3:$AC$10000,0)),"")</f>
        <v/>
      </c>
    </row>
    <row r="4608" spans="27:30">
      <c r="AA4608" s="117">
        <f>+'Ingredient List - Mother Tinctu'!D4609</f>
        <v>0</v>
      </c>
      <c r="AB4608" s="117">
        <f t="shared" si="74"/>
        <v>0</v>
      </c>
      <c r="AC4608" s="117" t="str">
        <f>IF(AB4608=1,COUNTIF($AB$3:AB4608,1),"")</f>
        <v/>
      </c>
      <c r="AD4608" s="117" t="str">
        <f>IFERROR(INDEX($AA$3:$AA$10000,MATCH(ROWS($AC$3:AC4608),$AC$3:$AC$10000,0)),"")</f>
        <v/>
      </c>
    </row>
    <row r="4609" spans="27:30">
      <c r="AA4609" s="117">
        <f>+'Ingredient List - Mother Tinctu'!D4610</f>
        <v>0</v>
      </c>
      <c r="AB4609" s="117">
        <f t="shared" si="74"/>
        <v>0</v>
      </c>
      <c r="AC4609" s="117" t="str">
        <f>IF(AB4609=1,COUNTIF($AB$3:AB4609,1),"")</f>
        <v/>
      </c>
      <c r="AD4609" s="117" t="str">
        <f>IFERROR(INDEX($AA$3:$AA$10000,MATCH(ROWS($AC$3:AC4609),$AC$3:$AC$10000,0)),"")</f>
        <v/>
      </c>
    </row>
    <row r="4610" spans="27:30">
      <c r="AA4610" s="117">
        <f>+'Ingredient List - Mother Tinctu'!D4611</f>
        <v>0</v>
      </c>
      <c r="AB4610" s="117">
        <f t="shared" si="74"/>
        <v>0</v>
      </c>
      <c r="AC4610" s="117" t="str">
        <f>IF(AB4610=1,COUNTIF($AB$3:AB4610,1),"")</f>
        <v/>
      </c>
      <c r="AD4610" s="117" t="str">
        <f>IFERROR(INDEX($AA$3:$AA$10000,MATCH(ROWS($AC$3:AC4610),$AC$3:$AC$10000,0)),"")</f>
        <v/>
      </c>
    </row>
    <row r="4611" spans="27:30">
      <c r="AA4611" s="117">
        <f>+'Ingredient List - Mother Tinctu'!D4612</f>
        <v>0</v>
      </c>
      <c r="AB4611" s="117">
        <f t="shared" si="74"/>
        <v>0</v>
      </c>
      <c r="AC4611" s="117" t="str">
        <f>IF(AB4611=1,COUNTIF($AB$3:AB4611,1),"")</f>
        <v/>
      </c>
      <c r="AD4611" s="117" t="str">
        <f>IFERROR(INDEX($AA$3:$AA$10000,MATCH(ROWS($AC$3:AC4611),$AC$3:$AC$10000,0)),"")</f>
        <v/>
      </c>
    </row>
    <row r="4612" spans="27:30">
      <c r="AA4612" s="117">
        <f>+'Ingredient List - Mother Tinctu'!D4613</f>
        <v>0</v>
      </c>
      <c r="AB4612" s="117">
        <f t="shared" ref="AB4612:AB4675" si="75">--ISNUMBER(IFERROR(SEARCH($D$3,AA4612,1),""))</f>
        <v>0</v>
      </c>
      <c r="AC4612" s="117" t="str">
        <f>IF(AB4612=1,COUNTIF($AB$3:AB4612,1),"")</f>
        <v/>
      </c>
      <c r="AD4612" s="117" t="str">
        <f>IFERROR(INDEX($AA$3:$AA$10000,MATCH(ROWS($AC$3:AC4612),$AC$3:$AC$10000,0)),"")</f>
        <v/>
      </c>
    </row>
    <row r="4613" spans="27:30">
      <c r="AA4613" s="117">
        <f>+'Ingredient List - Mother Tinctu'!D4614</f>
        <v>0</v>
      </c>
      <c r="AB4613" s="117">
        <f t="shared" si="75"/>
        <v>0</v>
      </c>
      <c r="AC4613" s="117" t="str">
        <f>IF(AB4613=1,COUNTIF($AB$3:AB4613,1),"")</f>
        <v/>
      </c>
      <c r="AD4613" s="117" t="str">
        <f>IFERROR(INDEX($AA$3:$AA$10000,MATCH(ROWS($AC$3:AC4613),$AC$3:$AC$10000,0)),"")</f>
        <v/>
      </c>
    </row>
    <row r="4614" spans="27:30">
      <c r="AA4614" s="117">
        <f>+'Ingredient List - Mother Tinctu'!D4615</f>
        <v>0</v>
      </c>
      <c r="AB4614" s="117">
        <f t="shared" si="75"/>
        <v>0</v>
      </c>
      <c r="AC4614" s="117" t="str">
        <f>IF(AB4614=1,COUNTIF($AB$3:AB4614,1),"")</f>
        <v/>
      </c>
      <c r="AD4614" s="117" t="str">
        <f>IFERROR(INDEX($AA$3:$AA$10000,MATCH(ROWS($AC$3:AC4614),$AC$3:$AC$10000,0)),"")</f>
        <v/>
      </c>
    </row>
    <row r="4615" spans="27:30">
      <c r="AA4615" s="117">
        <f>+'Ingredient List - Mother Tinctu'!D4616</f>
        <v>0</v>
      </c>
      <c r="AB4615" s="117">
        <f t="shared" si="75"/>
        <v>0</v>
      </c>
      <c r="AC4615" s="117" t="str">
        <f>IF(AB4615=1,COUNTIF($AB$3:AB4615,1),"")</f>
        <v/>
      </c>
      <c r="AD4615" s="117" t="str">
        <f>IFERROR(INDEX($AA$3:$AA$10000,MATCH(ROWS($AC$3:AC4615),$AC$3:$AC$10000,0)),"")</f>
        <v/>
      </c>
    </row>
    <row r="4616" spans="27:30">
      <c r="AA4616" s="117">
        <f>+'Ingredient List - Mother Tinctu'!D4617</f>
        <v>0</v>
      </c>
      <c r="AB4616" s="117">
        <f t="shared" si="75"/>
        <v>0</v>
      </c>
      <c r="AC4616" s="117" t="str">
        <f>IF(AB4616=1,COUNTIF($AB$3:AB4616,1),"")</f>
        <v/>
      </c>
      <c r="AD4616" s="117" t="str">
        <f>IFERROR(INDEX($AA$3:$AA$10000,MATCH(ROWS($AC$3:AC4616),$AC$3:$AC$10000,0)),"")</f>
        <v/>
      </c>
    </row>
    <row r="4617" spans="27:30">
      <c r="AA4617" s="117">
        <f>+'Ingredient List - Mother Tinctu'!D4618</f>
        <v>0</v>
      </c>
      <c r="AB4617" s="117">
        <f t="shared" si="75"/>
        <v>0</v>
      </c>
      <c r="AC4617" s="117" t="str">
        <f>IF(AB4617=1,COUNTIF($AB$3:AB4617,1),"")</f>
        <v/>
      </c>
      <c r="AD4617" s="117" t="str">
        <f>IFERROR(INDEX($AA$3:$AA$10000,MATCH(ROWS($AC$3:AC4617),$AC$3:$AC$10000,0)),"")</f>
        <v/>
      </c>
    </row>
    <row r="4618" spans="27:30">
      <c r="AA4618" s="117">
        <f>+'Ingredient List - Mother Tinctu'!D4619</f>
        <v>0</v>
      </c>
      <c r="AB4618" s="117">
        <f t="shared" si="75"/>
        <v>0</v>
      </c>
      <c r="AC4618" s="117" t="str">
        <f>IF(AB4618=1,COUNTIF($AB$3:AB4618,1),"")</f>
        <v/>
      </c>
      <c r="AD4618" s="117" t="str">
        <f>IFERROR(INDEX($AA$3:$AA$10000,MATCH(ROWS($AC$3:AC4618),$AC$3:$AC$10000,0)),"")</f>
        <v/>
      </c>
    </row>
    <row r="4619" spans="27:30">
      <c r="AA4619" s="117">
        <f>+'Ingredient List - Mother Tinctu'!D4620</f>
        <v>0</v>
      </c>
      <c r="AB4619" s="117">
        <f t="shared" si="75"/>
        <v>0</v>
      </c>
      <c r="AC4619" s="117" t="str">
        <f>IF(AB4619=1,COUNTIF($AB$3:AB4619,1),"")</f>
        <v/>
      </c>
      <c r="AD4619" s="117" t="str">
        <f>IFERROR(INDEX($AA$3:$AA$10000,MATCH(ROWS($AC$3:AC4619),$AC$3:$AC$10000,0)),"")</f>
        <v/>
      </c>
    </row>
    <row r="4620" spans="27:30">
      <c r="AA4620" s="117">
        <f>+'Ingredient List - Mother Tinctu'!D4621</f>
        <v>0</v>
      </c>
      <c r="AB4620" s="117">
        <f t="shared" si="75"/>
        <v>0</v>
      </c>
      <c r="AC4620" s="117" t="str">
        <f>IF(AB4620=1,COUNTIF($AB$3:AB4620,1),"")</f>
        <v/>
      </c>
      <c r="AD4620" s="117" t="str">
        <f>IFERROR(INDEX($AA$3:$AA$10000,MATCH(ROWS($AC$3:AC4620),$AC$3:$AC$10000,0)),"")</f>
        <v/>
      </c>
    </row>
    <row r="4621" spans="27:30">
      <c r="AA4621" s="117">
        <f>+'Ingredient List - Mother Tinctu'!D4622</f>
        <v>0</v>
      </c>
      <c r="AB4621" s="117">
        <f t="shared" si="75"/>
        <v>0</v>
      </c>
      <c r="AC4621" s="117" t="str">
        <f>IF(AB4621=1,COUNTIF($AB$3:AB4621,1),"")</f>
        <v/>
      </c>
      <c r="AD4621" s="117" t="str">
        <f>IFERROR(INDEX($AA$3:$AA$10000,MATCH(ROWS($AC$3:AC4621),$AC$3:$AC$10000,0)),"")</f>
        <v/>
      </c>
    </row>
    <row r="4622" spans="27:30">
      <c r="AA4622" s="117">
        <f>+'Ingredient List - Mother Tinctu'!D4623</f>
        <v>0</v>
      </c>
      <c r="AB4622" s="117">
        <f t="shared" si="75"/>
        <v>0</v>
      </c>
      <c r="AC4622" s="117" t="str">
        <f>IF(AB4622=1,COUNTIF($AB$3:AB4622,1),"")</f>
        <v/>
      </c>
      <c r="AD4622" s="117" t="str">
        <f>IFERROR(INDEX($AA$3:$AA$10000,MATCH(ROWS($AC$3:AC4622),$AC$3:$AC$10000,0)),"")</f>
        <v/>
      </c>
    </row>
    <row r="4623" spans="27:30">
      <c r="AA4623" s="117">
        <f>+'Ingredient List - Mother Tinctu'!D4624</f>
        <v>0</v>
      </c>
      <c r="AB4623" s="117">
        <f t="shared" si="75"/>
        <v>0</v>
      </c>
      <c r="AC4623" s="117" t="str">
        <f>IF(AB4623=1,COUNTIF($AB$3:AB4623,1),"")</f>
        <v/>
      </c>
      <c r="AD4623" s="117" t="str">
        <f>IFERROR(INDEX($AA$3:$AA$10000,MATCH(ROWS($AC$3:AC4623),$AC$3:$AC$10000,0)),"")</f>
        <v/>
      </c>
    </row>
    <row r="4624" spans="27:30">
      <c r="AA4624" s="117">
        <f>+'Ingredient List - Mother Tinctu'!D4625</f>
        <v>0</v>
      </c>
      <c r="AB4624" s="117">
        <f t="shared" si="75"/>
        <v>0</v>
      </c>
      <c r="AC4624" s="117" t="str">
        <f>IF(AB4624=1,COUNTIF($AB$3:AB4624,1),"")</f>
        <v/>
      </c>
      <c r="AD4624" s="117" t="str">
        <f>IFERROR(INDEX($AA$3:$AA$10000,MATCH(ROWS($AC$3:AC4624),$AC$3:$AC$10000,0)),"")</f>
        <v/>
      </c>
    </row>
    <row r="4625" spans="27:30">
      <c r="AA4625" s="117">
        <f>+'Ingredient List - Mother Tinctu'!D4626</f>
        <v>0</v>
      </c>
      <c r="AB4625" s="117">
        <f t="shared" si="75"/>
        <v>0</v>
      </c>
      <c r="AC4625" s="117" t="str">
        <f>IF(AB4625=1,COUNTIF($AB$3:AB4625,1),"")</f>
        <v/>
      </c>
      <c r="AD4625" s="117" t="str">
        <f>IFERROR(INDEX($AA$3:$AA$10000,MATCH(ROWS($AC$3:AC4625),$AC$3:$AC$10000,0)),"")</f>
        <v/>
      </c>
    </row>
    <row r="4626" spans="27:30">
      <c r="AA4626" s="117">
        <f>+'Ingredient List - Mother Tinctu'!D4627</f>
        <v>0</v>
      </c>
      <c r="AB4626" s="117">
        <f t="shared" si="75"/>
        <v>0</v>
      </c>
      <c r="AC4626" s="117" t="str">
        <f>IF(AB4626=1,COUNTIF($AB$3:AB4626,1),"")</f>
        <v/>
      </c>
      <c r="AD4626" s="117" t="str">
        <f>IFERROR(INDEX($AA$3:$AA$10000,MATCH(ROWS($AC$3:AC4626),$AC$3:$AC$10000,0)),"")</f>
        <v/>
      </c>
    </row>
    <row r="4627" spans="27:30">
      <c r="AA4627" s="117">
        <f>+'Ingredient List - Mother Tinctu'!D4628</f>
        <v>0</v>
      </c>
      <c r="AB4627" s="117">
        <f t="shared" si="75"/>
        <v>0</v>
      </c>
      <c r="AC4627" s="117" t="str">
        <f>IF(AB4627=1,COUNTIF($AB$3:AB4627,1),"")</f>
        <v/>
      </c>
      <c r="AD4627" s="117" t="str">
        <f>IFERROR(INDEX($AA$3:$AA$10000,MATCH(ROWS($AC$3:AC4627),$AC$3:$AC$10000,0)),"")</f>
        <v/>
      </c>
    </row>
    <row r="4628" spans="27:30">
      <c r="AA4628" s="117">
        <f>+'Ingredient List - Mother Tinctu'!D4629</f>
        <v>0</v>
      </c>
      <c r="AB4628" s="117">
        <f t="shared" si="75"/>
        <v>0</v>
      </c>
      <c r="AC4628" s="117" t="str">
        <f>IF(AB4628=1,COUNTIF($AB$3:AB4628,1),"")</f>
        <v/>
      </c>
      <c r="AD4628" s="117" t="str">
        <f>IFERROR(INDEX($AA$3:$AA$10000,MATCH(ROWS($AC$3:AC4628),$AC$3:$AC$10000,0)),"")</f>
        <v/>
      </c>
    </row>
    <row r="4629" spans="27:30">
      <c r="AA4629" s="117">
        <f>+'Ingredient List - Mother Tinctu'!D4630</f>
        <v>0</v>
      </c>
      <c r="AB4629" s="117">
        <f t="shared" si="75"/>
        <v>0</v>
      </c>
      <c r="AC4629" s="117" t="str">
        <f>IF(AB4629=1,COUNTIF($AB$3:AB4629,1),"")</f>
        <v/>
      </c>
      <c r="AD4629" s="117" t="str">
        <f>IFERROR(INDEX($AA$3:$AA$10000,MATCH(ROWS($AC$3:AC4629),$AC$3:$AC$10000,0)),"")</f>
        <v/>
      </c>
    </row>
    <row r="4630" spans="27:30">
      <c r="AA4630" s="117">
        <f>+'Ingredient List - Mother Tinctu'!D4631</f>
        <v>0</v>
      </c>
      <c r="AB4630" s="117">
        <f t="shared" si="75"/>
        <v>0</v>
      </c>
      <c r="AC4630" s="117" t="str">
        <f>IF(AB4630=1,COUNTIF($AB$3:AB4630,1),"")</f>
        <v/>
      </c>
      <c r="AD4630" s="117" t="str">
        <f>IFERROR(INDEX($AA$3:$AA$10000,MATCH(ROWS($AC$3:AC4630),$AC$3:$AC$10000,0)),"")</f>
        <v/>
      </c>
    </row>
    <row r="4631" spans="27:30">
      <c r="AA4631" s="117">
        <f>+'Ingredient List - Mother Tinctu'!D4632</f>
        <v>0</v>
      </c>
      <c r="AB4631" s="117">
        <f t="shared" si="75"/>
        <v>0</v>
      </c>
      <c r="AC4631" s="117" t="str">
        <f>IF(AB4631=1,COUNTIF($AB$3:AB4631,1),"")</f>
        <v/>
      </c>
      <c r="AD4631" s="117" t="str">
        <f>IFERROR(INDEX($AA$3:$AA$10000,MATCH(ROWS($AC$3:AC4631),$AC$3:$AC$10000,0)),"")</f>
        <v/>
      </c>
    </row>
    <row r="4632" spans="27:30">
      <c r="AA4632" s="117">
        <f>+'Ingredient List - Mother Tinctu'!D4633</f>
        <v>0</v>
      </c>
      <c r="AB4632" s="117">
        <f t="shared" si="75"/>
        <v>0</v>
      </c>
      <c r="AC4632" s="117" t="str">
        <f>IF(AB4632=1,COUNTIF($AB$3:AB4632,1),"")</f>
        <v/>
      </c>
      <c r="AD4632" s="117" t="str">
        <f>IFERROR(INDEX($AA$3:$AA$10000,MATCH(ROWS($AC$3:AC4632),$AC$3:$AC$10000,0)),"")</f>
        <v/>
      </c>
    </row>
    <row r="4633" spans="27:30">
      <c r="AA4633" s="117">
        <f>+'Ingredient List - Mother Tinctu'!D4634</f>
        <v>0</v>
      </c>
      <c r="AB4633" s="117">
        <f t="shared" si="75"/>
        <v>0</v>
      </c>
      <c r="AC4633" s="117" t="str">
        <f>IF(AB4633=1,COUNTIF($AB$3:AB4633,1),"")</f>
        <v/>
      </c>
      <c r="AD4633" s="117" t="str">
        <f>IFERROR(INDEX($AA$3:$AA$10000,MATCH(ROWS($AC$3:AC4633),$AC$3:$AC$10000,0)),"")</f>
        <v/>
      </c>
    </row>
    <row r="4634" spans="27:30">
      <c r="AA4634" s="117">
        <f>+'Ingredient List - Mother Tinctu'!D4635</f>
        <v>0</v>
      </c>
      <c r="AB4634" s="117">
        <f t="shared" si="75"/>
        <v>0</v>
      </c>
      <c r="AC4634" s="117" t="str">
        <f>IF(AB4634=1,COUNTIF($AB$3:AB4634,1),"")</f>
        <v/>
      </c>
      <c r="AD4634" s="117" t="str">
        <f>IFERROR(INDEX($AA$3:$AA$10000,MATCH(ROWS($AC$3:AC4634),$AC$3:$AC$10000,0)),"")</f>
        <v/>
      </c>
    </row>
    <row r="4635" spans="27:30">
      <c r="AA4635" s="117">
        <f>+'Ingredient List - Mother Tinctu'!D4636</f>
        <v>0</v>
      </c>
      <c r="AB4635" s="117">
        <f t="shared" si="75"/>
        <v>0</v>
      </c>
      <c r="AC4635" s="117" t="str">
        <f>IF(AB4635=1,COUNTIF($AB$3:AB4635,1),"")</f>
        <v/>
      </c>
      <c r="AD4635" s="117" t="str">
        <f>IFERROR(INDEX($AA$3:$AA$10000,MATCH(ROWS($AC$3:AC4635),$AC$3:$AC$10000,0)),"")</f>
        <v/>
      </c>
    </row>
    <row r="4636" spans="27:30">
      <c r="AA4636" s="117">
        <f>+'Ingredient List - Mother Tinctu'!D4637</f>
        <v>0</v>
      </c>
      <c r="AB4636" s="117">
        <f t="shared" si="75"/>
        <v>0</v>
      </c>
      <c r="AC4636" s="117" t="str">
        <f>IF(AB4636=1,COUNTIF($AB$3:AB4636,1),"")</f>
        <v/>
      </c>
      <c r="AD4636" s="117" t="str">
        <f>IFERROR(INDEX($AA$3:$AA$10000,MATCH(ROWS($AC$3:AC4636),$AC$3:$AC$10000,0)),"")</f>
        <v/>
      </c>
    </row>
    <row r="4637" spans="27:30">
      <c r="AA4637" s="117">
        <f>+'Ingredient List - Mother Tinctu'!D4638</f>
        <v>0</v>
      </c>
      <c r="AB4637" s="117">
        <f t="shared" si="75"/>
        <v>0</v>
      </c>
      <c r="AC4637" s="117" t="str">
        <f>IF(AB4637=1,COUNTIF($AB$3:AB4637,1),"")</f>
        <v/>
      </c>
      <c r="AD4637" s="117" t="str">
        <f>IFERROR(INDEX($AA$3:$AA$10000,MATCH(ROWS($AC$3:AC4637),$AC$3:$AC$10000,0)),"")</f>
        <v/>
      </c>
    </row>
    <row r="4638" spans="27:30">
      <c r="AA4638" s="117">
        <f>+'Ingredient List - Mother Tinctu'!D4639</f>
        <v>0</v>
      </c>
      <c r="AB4638" s="117">
        <f t="shared" si="75"/>
        <v>0</v>
      </c>
      <c r="AC4638" s="117" t="str">
        <f>IF(AB4638=1,COUNTIF($AB$3:AB4638,1),"")</f>
        <v/>
      </c>
      <c r="AD4638" s="117" t="str">
        <f>IFERROR(INDEX($AA$3:$AA$10000,MATCH(ROWS($AC$3:AC4638),$AC$3:$AC$10000,0)),"")</f>
        <v/>
      </c>
    </row>
    <row r="4639" spans="27:30">
      <c r="AA4639" s="117">
        <f>+'Ingredient List - Mother Tinctu'!D4640</f>
        <v>0</v>
      </c>
      <c r="AB4639" s="117">
        <f t="shared" si="75"/>
        <v>0</v>
      </c>
      <c r="AC4639" s="117" t="str">
        <f>IF(AB4639=1,COUNTIF($AB$3:AB4639,1),"")</f>
        <v/>
      </c>
      <c r="AD4639" s="117" t="str">
        <f>IFERROR(INDEX($AA$3:$AA$10000,MATCH(ROWS($AC$3:AC4639),$AC$3:$AC$10000,0)),"")</f>
        <v/>
      </c>
    </row>
    <row r="4640" spans="27:30">
      <c r="AA4640" s="117">
        <f>+'Ingredient List - Mother Tinctu'!D4641</f>
        <v>0</v>
      </c>
      <c r="AB4640" s="117">
        <f t="shared" si="75"/>
        <v>0</v>
      </c>
      <c r="AC4640" s="117" t="str">
        <f>IF(AB4640=1,COUNTIF($AB$3:AB4640,1),"")</f>
        <v/>
      </c>
      <c r="AD4640" s="117" t="str">
        <f>IFERROR(INDEX($AA$3:$AA$10000,MATCH(ROWS($AC$3:AC4640),$AC$3:$AC$10000,0)),"")</f>
        <v/>
      </c>
    </row>
    <row r="4641" spans="27:30">
      <c r="AA4641" s="117">
        <f>+'Ingredient List - Mother Tinctu'!D4642</f>
        <v>0</v>
      </c>
      <c r="AB4641" s="117">
        <f t="shared" si="75"/>
        <v>0</v>
      </c>
      <c r="AC4641" s="117" t="str">
        <f>IF(AB4641=1,COUNTIF($AB$3:AB4641,1),"")</f>
        <v/>
      </c>
      <c r="AD4641" s="117" t="str">
        <f>IFERROR(INDEX($AA$3:$AA$10000,MATCH(ROWS($AC$3:AC4641),$AC$3:$AC$10000,0)),"")</f>
        <v/>
      </c>
    </row>
    <row r="4642" spans="27:30">
      <c r="AA4642" s="117">
        <f>+'Ingredient List - Mother Tinctu'!D4643</f>
        <v>0</v>
      </c>
      <c r="AB4642" s="117">
        <f t="shared" si="75"/>
        <v>0</v>
      </c>
      <c r="AC4642" s="117" t="str">
        <f>IF(AB4642=1,COUNTIF($AB$3:AB4642,1),"")</f>
        <v/>
      </c>
      <c r="AD4642" s="117" t="str">
        <f>IFERROR(INDEX($AA$3:$AA$10000,MATCH(ROWS($AC$3:AC4642),$AC$3:$AC$10000,0)),"")</f>
        <v/>
      </c>
    </row>
    <row r="4643" spans="27:30">
      <c r="AA4643" s="117">
        <f>+'Ingredient List - Mother Tinctu'!D4644</f>
        <v>0</v>
      </c>
      <c r="AB4643" s="117">
        <f t="shared" si="75"/>
        <v>0</v>
      </c>
      <c r="AC4643" s="117" t="str">
        <f>IF(AB4643=1,COUNTIF($AB$3:AB4643,1),"")</f>
        <v/>
      </c>
      <c r="AD4643" s="117" t="str">
        <f>IFERROR(INDEX($AA$3:$AA$10000,MATCH(ROWS($AC$3:AC4643),$AC$3:$AC$10000,0)),"")</f>
        <v/>
      </c>
    </row>
    <row r="4644" spans="27:30">
      <c r="AA4644" s="117">
        <f>+'Ingredient List - Mother Tinctu'!D4645</f>
        <v>0</v>
      </c>
      <c r="AB4644" s="117">
        <f t="shared" si="75"/>
        <v>0</v>
      </c>
      <c r="AC4644" s="117" t="str">
        <f>IF(AB4644=1,COUNTIF($AB$3:AB4644,1),"")</f>
        <v/>
      </c>
      <c r="AD4644" s="117" t="str">
        <f>IFERROR(INDEX($AA$3:$AA$10000,MATCH(ROWS($AC$3:AC4644),$AC$3:$AC$10000,0)),"")</f>
        <v/>
      </c>
    </row>
    <row r="4645" spans="27:30">
      <c r="AA4645" s="117">
        <f>+'Ingredient List - Mother Tinctu'!D4646</f>
        <v>0</v>
      </c>
      <c r="AB4645" s="117">
        <f t="shared" si="75"/>
        <v>0</v>
      </c>
      <c r="AC4645" s="117" t="str">
        <f>IF(AB4645=1,COUNTIF($AB$3:AB4645,1),"")</f>
        <v/>
      </c>
      <c r="AD4645" s="117" t="str">
        <f>IFERROR(INDEX($AA$3:$AA$10000,MATCH(ROWS($AC$3:AC4645),$AC$3:$AC$10000,0)),"")</f>
        <v/>
      </c>
    </row>
    <row r="4646" spans="27:30">
      <c r="AA4646" s="117">
        <f>+'Ingredient List - Mother Tinctu'!D4647</f>
        <v>0</v>
      </c>
      <c r="AB4646" s="117">
        <f t="shared" si="75"/>
        <v>0</v>
      </c>
      <c r="AC4646" s="117" t="str">
        <f>IF(AB4646=1,COUNTIF($AB$3:AB4646,1),"")</f>
        <v/>
      </c>
      <c r="AD4646" s="117" t="str">
        <f>IFERROR(INDEX($AA$3:$AA$10000,MATCH(ROWS($AC$3:AC4646),$AC$3:$AC$10000,0)),"")</f>
        <v/>
      </c>
    </row>
    <row r="4647" spans="27:30">
      <c r="AA4647" s="117">
        <f>+'Ingredient List - Mother Tinctu'!D4648</f>
        <v>0</v>
      </c>
      <c r="AB4647" s="117">
        <f t="shared" si="75"/>
        <v>0</v>
      </c>
      <c r="AC4647" s="117" t="str">
        <f>IF(AB4647=1,COUNTIF($AB$3:AB4647,1),"")</f>
        <v/>
      </c>
      <c r="AD4647" s="117" t="str">
        <f>IFERROR(INDEX($AA$3:$AA$10000,MATCH(ROWS($AC$3:AC4647),$AC$3:$AC$10000,0)),"")</f>
        <v/>
      </c>
    </row>
    <row r="4648" spans="27:30">
      <c r="AA4648" s="117">
        <f>+'Ingredient List - Mother Tinctu'!D4649</f>
        <v>0</v>
      </c>
      <c r="AB4648" s="117">
        <f t="shared" si="75"/>
        <v>0</v>
      </c>
      <c r="AC4648" s="117" t="str">
        <f>IF(AB4648=1,COUNTIF($AB$3:AB4648,1),"")</f>
        <v/>
      </c>
      <c r="AD4648" s="117" t="str">
        <f>IFERROR(INDEX($AA$3:$AA$10000,MATCH(ROWS($AC$3:AC4648),$AC$3:$AC$10000,0)),"")</f>
        <v/>
      </c>
    </row>
    <row r="4649" spans="27:30">
      <c r="AA4649" s="117">
        <f>+'Ingredient List - Mother Tinctu'!D4650</f>
        <v>0</v>
      </c>
      <c r="AB4649" s="117">
        <f t="shared" si="75"/>
        <v>0</v>
      </c>
      <c r="AC4649" s="117" t="str">
        <f>IF(AB4649=1,COUNTIF($AB$3:AB4649,1),"")</f>
        <v/>
      </c>
      <c r="AD4649" s="117" t="str">
        <f>IFERROR(INDEX($AA$3:$AA$10000,MATCH(ROWS($AC$3:AC4649),$AC$3:$AC$10000,0)),"")</f>
        <v/>
      </c>
    </row>
    <row r="4650" spans="27:30">
      <c r="AA4650" s="117">
        <f>+'Ingredient List - Mother Tinctu'!D4651</f>
        <v>0</v>
      </c>
      <c r="AB4650" s="117">
        <f t="shared" si="75"/>
        <v>0</v>
      </c>
      <c r="AC4650" s="117" t="str">
        <f>IF(AB4650=1,COUNTIF($AB$3:AB4650,1),"")</f>
        <v/>
      </c>
      <c r="AD4650" s="117" t="str">
        <f>IFERROR(INDEX($AA$3:$AA$10000,MATCH(ROWS($AC$3:AC4650),$AC$3:$AC$10000,0)),"")</f>
        <v/>
      </c>
    </row>
    <row r="4651" spans="27:30">
      <c r="AA4651" s="117">
        <f>+'Ingredient List - Mother Tinctu'!D4652</f>
        <v>0</v>
      </c>
      <c r="AB4651" s="117">
        <f t="shared" si="75"/>
        <v>0</v>
      </c>
      <c r="AC4651" s="117" t="str">
        <f>IF(AB4651=1,COUNTIF($AB$3:AB4651,1),"")</f>
        <v/>
      </c>
      <c r="AD4651" s="117" t="str">
        <f>IFERROR(INDEX($AA$3:$AA$10000,MATCH(ROWS($AC$3:AC4651),$AC$3:$AC$10000,0)),"")</f>
        <v/>
      </c>
    </row>
    <row r="4652" spans="27:30">
      <c r="AA4652" s="117">
        <f>+'Ingredient List - Mother Tinctu'!D4653</f>
        <v>0</v>
      </c>
      <c r="AB4652" s="117">
        <f t="shared" si="75"/>
        <v>0</v>
      </c>
      <c r="AC4652" s="117" t="str">
        <f>IF(AB4652=1,COUNTIF($AB$3:AB4652,1),"")</f>
        <v/>
      </c>
      <c r="AD4652" s="117" t="str">
        <f>IFERROR(INDEX($AA$3:$AA$10000,MATCH(ROWS($AC$3:AC4652),$AC$3:$AC$10000,0)),"")</f>
        <v/>
      </c>
    </row>
    <row r="4653" spans="27:30">
      <c r="AA4653" s="117">
        <f>+'Ingredient List - Mother Tinctu'!D4654</f>
        <v>0</v>
      </c>
      <c r="AB4653" s="117">
        <f t="shared" si="75"/>
        <v>0</v>
      </c>
      <c r="AC4653" s="117" t="str">
        <f>IF(AB4653=1,COUNTIF($AB$3:AB4653,1),"")</f>
        <v/>
      </c>
      <c r="AD4653" s="117" t="str">
        <f>IFERROR(INDEX($AA$3:$AA$10000,MATCH(ROWS($AC$3:AC4653),$AC$3:$AC$10000,0)),"")</f>
        <v/>
      </c>
    </row>
    <row r="4654" spans="27:30">
      <c r="AA4654" s="117">
        <f>+'Ingredient List - Mother Tinctu'!D4655</f>
        <v>0</v>
      </c>
      <c r="AB4654" s="117">
        <f t="shared" si="75"/>
        <v>0</v>
      </c>
      <c r="AC4654" s="117" t="str">
        <f>IF(AB4654=1,COUNTIF($AB$3:AB4654,1),"")</f>
        <v/>
      </c>
      <c r="AD4654" s="117" t="str">
        <f>IFERROR(INDEX($AA$3:$AA$10000,MATCH(ROWS($AC$3:AC4654),$AC$3:$AC$10000,0)),"")</f>
        <v/>
      </c>
    </row>
    <row r="4655" spans="27:30">
      <c r="AA4655" s="117">
        <f>+'Ingredient List - Mother Tinctu'!D4656</f>
        <v>0</v>
      </c>
      <c r="AB4655" s="117">
        <f t="shared" si="75"/>
        <v>0</v>
      </c>
      <c r="AC4655" s="117" t="str">
        <f>IF(AB4655=1,COUNTIF($AB$3:AB4655,1),"")</f>
        <v/>
      </c>
      <c r="AD4655" s="117" t="str">
        <f>IFERROR(INDEX($AA$3:$AA$10000,MATCH(ROWS($AC$3:AC4655),$AC$3:$AC$10000,0)),"")</f>
        <v/>
      </c>
    </row>
    <row r="4656" spans="27:30">
      <c r="AA4656" s="117">
        <f>+'Ingredient List - Mother Tinctu'!D4657</f>
        <v>0</v>
      </c>
      <c r="AB4656" s="117">
        <f t="shared" si="75"/>
        <v>0</v>
      </c>
      <c r="AC4656" s="117" t="str">
        <f>IF(AB4656=1,COUNTIF($AB$3:AB4656,1),"")</f>
        <v/>
      </c>
      <c r="AD4656" s="117" t="str">
        <f>IFERROR(INDEX($AA$3:$AA$10000,MATCH(ROWS($AC$3:AC4656),$AC$3:$AC$10000,0)),"")</f>
        <v/>
      </c>
    </row>
    <row r="4657" spans="27:30">
      <c r="AA4657" s="117">
        <f>+'Ingredient List - Mother Tinctu'!D4658</f>
        <v>0</v>
      </c>
      <c r="AB4657" s="117">
        <f t="shared" si="75"/>
        <v>0</v>
      </c>
      <c r="AC4657" s="117" t="str">
        <f>IF(AB4657=1,COUNTIF($AB$3:AB4657,1),"")</f>
        <v/>
      </c>
      <c r="AD4657" s="117" t="str">
        <f>IFERROR(INDEX($AA$3:$AA$10000,MATCH(ROWS($AC$3:AC4657),$AC$3:$AC$10000,0)),"")</f>
        <v/>
      </c>
    </row>
    <row r="4658" spans="27:30">
      <c r="AA4658" s="117">
        <f>+'Ingredient List - Mother Tinctu'!D4659</f>
        <v>0</v>
      </c>
      <c r="AB4658" s="117">
        <f t="shared" si="75"/>
        <v>0</v>
      </c>
      <c r="AC4658" s="117" t="str">
        <f>IF(AB4658=1,COUNTIF($AB$3:AB4658,1),"")</f>
        <v/>
      </c>
      <c r="AD4658" s="117" t="str">
        <f>IFERROR(INDEX($AA$3:$AA$10000,MATCH(ROWS($AC$3:AC4658),$AC$3:$AC$10000,0)),"")</f>
        <v/>
      </c>
    </row>
    <row r="4659" spans="27:30">
      <c r="AA4659" s="117">
        <f>+'Ingredient List - Mother Tinctu'!D4660</f>
        <v>0</v>
      </c>
      <c r="AB4659" s="117">
        <f t="shared" si="75"/>
        <v>0</v>
      </c>
      <c r="AC4659" s="117" t="str">
        <f>IF(AB4659=1,COUNTIF($AB$3:AB4659,1),"")</f>
        <v/>
      </c>
      <c r="AD4659" s="117" t="str">
        <f>IFERROR(INDEX($AA$3:$AA$10000,MATCH(ROWS($AC$3:AC4659),$AC$3:$AC$10000,0)),"")</f>
        <v/>
      </c>
    </row>
    <row r="4660" spans="27:30">
      <c r="AA4660" s="117">
        <f>+'Ingredient List - Mother Tinctu'!D4661</f>
        <v>0</v>
      </c>
      <c r="AB4660" s="117">
        <f t="shared" si="75"/>
        <v>0</v>
      </c>
      <c r="AC4660" s="117" t="str">
        <f>IF(AB4660=1,COUNTIF($AB$3:AB4660,1),"")</f>
        <v/>
      </c>
      <c r="AD4660" s="117" t="str">
        <f>IFERROR(INDEX($AA$3:$AA$10000,MATCH(ROWS($AC$3:AC4660),$AC$3:$AC$10000,0)),"")</f>
        <v/>
      </c>
    </row>
    <row r="4661" spans="27:30">
      <c r="AA4661" s="117">
        <f>+'Ingredient List - Mother Tinctu'!D4662</f>
        <v>0</v>
      </c>
      <c r="AB4661" s="117">
        <f t="shared" si="75"/>
        <v>0</v>
      </c>
      <c r="AC4661" s="117" t="str">
        <f>IF(AB4661=1,COUNTIF($AB$3:AB4661,1),"")</f>
        <v/>
      </c>
      <c r="AD4661" s="117" t="str">
        <f>IFERROR(INDEX($AA$3:$AA$10000,MATCH(ROWS($AC$3:AC4661),$AC$3:$AC$10000,0)),"")</f>
        <v/>
      </c>
    </row>
    <row r="4662" spans="27:30">
      <c r="AA4662" s="117">
        <f>+'Ingredient List - Mother Tinctu'!D4663</f>
        <v>0</v>
      </c>
      <c r="AB4662" s="117">
        <f t="shared" si="75"/>
        <v>0</v>
      </c>
      <c r="AC4662" s="117" t="str">
        <f>IF(AB4662=1,COUNTIF($AB$3:AB4662,1),"")</f>
        <v/>
      </c>
      <c r="AD4662" s="117" t="str">
        <f>IFERROR(INDEX($AA$3:$AA$10000,MATCH(ROWS($AC$3:AC4662),$AC$3:$AC$10000,0)),"")</f>
        <v/>
      </c>
    </row>
    <row r="4663" spans="27:30">
      <c r="AA4663" s="117">
        <f>+'Ingredient List - Mother Tinctu'!D4664</f>
        <v>0</v>
      </c>
      <c r="AB4663" s="117">
        <f t="shared" si="75"/>
        <v>0</v>
      </c>
      <c r="AC4663" s="117" t="str">
        <f>IF(AB4663=1,COUNTIF($AB$3:AB4663,1),"")</f>
        <v/>
      </c>
      <c r="AD4663" s="117" t="str">
        <f>IFERROR(INDEX($AA$3:$AA$10000,MATCH(ROWS($AC$3:AC4663),$AC$3:$AC$10000,0)),"")</f>
        <v/>
      </c>
    </row>
    <row r="4664" spans="27:30">
      <c r="AA4664" s="117">
        <f>+'Ingredient List - Mother Tinctu'!D4665</f>
        <v>0</v>
      </c>
      <c r="AB4664" s="117">
        <f t="shared" si="75"/>
        <v>0</v>
      </c>
      <c r="AC4664" s="117" t="str">
        <f>IF(AB4664=1,COUNTIF($AB$3:AB4664,1),"")</f>
        <v/>
      </c>
      <c r="AD4664" s="117" t="str">
        <f>IFERROR(INDEX($AA$3:$AA$10000,MATCH(ROWS($AC$3:AC4664),$AC$3:$AC$10000,0)),"")</f>
        <v/>
      </c>
    </row>
    <row r="4665" spans="27:30">
      <c r="AA4665" s="117">
        <f>+'Ingredient List - Mother Tinctu'!D4666</f>
        <v>0</v>
      </c>
      <c r="AB4665" s="117">
        <f t="shared" si="75"/>
        <v>0</v>
      </c>
      <c r="AC4665" s="117" t="str">
        <f>IF(AB4665=1,COUNTIF($AB$3:AB4665,1),"")</f>
        <v/>
      </c>
      <c r="AD4665" s="117" t="str">
        <f>IFERROR(INDEX($AA$3:$AA$10000,MATCH(ROWS($AC$3:AC4665),$AC$3:$AC$10000,0)),"")</f>
        <v/>
      </c>
    </row>
    <row r="4666" spans="27:30">
      <c r="AA4666" s="117">
        <f>+'Ingredient List - Mother Tinctu'!D4667</f>
        <v>0</v>
      </c>
      <c r="AB4666" s="117">
        <f t="shared" si="75"/>
        <v>0</v>
      </c>
      <c r="AC4666" s="117" t="str">
        <f>IF(AB4666=1,COUNTIF($AB$3:AB4666,1),"")</f>
        <v/>
      </c>
      <c r="AD4666" s="117" t="str">
        <f>IFERROR(INDEX($AA$3:$AA$10000,MATCH(ROWS($AC$3:AC4666),$AC$3:$AC$10000,0)),"")</f>
        <v/>
      </c>
    </row>
    <row r="4667" spans="27:30">
      <c r="AA4667" s="117">
        <f>+'Ingredient List - Mother Tinctu'!D4668</f>
        <v>0</v>
      </c>
      <c r="AB4667" s="117">
        <f t="shared" si="75"/>
        <v>0</v>
      </c>
      <c r="AC4667" s="117" t="str">
        <f>IF(AB4667=1,COUNTIF($AB$3:AB4667,1),"")</f>
        <v/>
      </c>
      <c r="AD4667" s="117" t="str">
        <f>IFERROR(INDEX($AA$3:$AA$10000,MATCH(ROWS($AC$3:AC4667),$AC$3:$AC$10000,0)),"")</f>
        <v/>
      </c>
    </row>
    <row r="4668" spans="27:30">
      <c r="AA4668" s="117">
        <f>+'Ingredient List - Mother Tinctu'!D4669</f>
        <v>0</v>
      </c>
      <c r="AB4668" s="117">
        <f t="shared" si="75"/>
        <v>0</v>
      </c>
      <c r="AC4668" s="117" t="str">
        <f>IF(AB4668=1,COUNTIF($AB$3:AB4668,1),"")</f>
        <v/>
      </c>
      <c r="AD4668" s="117" t="str">
        <f>IFERROR(INDEX($AA$3:$AA$10000,MATCH(ROWS($AC$3:AC4668),$AC$3:$AC$10000,0)),"")</f>
        <v/>
      </c>
    </row>
    <row r="4669" spans="27:30">
      <c r="AA4669" s="117">
        <f>+'Ingredient List - Mother Tinctu'!D4670</f>
        <v>0</v>
      </c>
      <c r="AB4669" s="117">
        <f t="shared" si="75"/>
        <v>0</v>
      </c>
      <c r="AC4669" s="117" t="str">
        <f>IF(AB4669=1,COUNTIF($AB$3:AB4669,1),"")</f>
        <v/>
      </c>
      <c r="AD4669" s="117" t="str">
        <f>IFERROR(INDEX($AA$3:$AA$10000,MATCH(ROWS($AC$3:AC4669),$AC$3:$AC$10000,0)),"")</f>
        <v/>
      </c>
    </row>
    <row r="4670" spans="27:30">
      <c r="AA4670" s="117">
        <f>+'Ingredient List - Mother Tinctu'!D4671</f>
        <v>0</v>
      </c>
      <c r="AB4670" s="117">
        <f t="shared" si="75"/>
        <v>0</v>
      </c>
      <c r="AC4670" s="117" t="str">
        <f>IF(AB4670=1,COUNTIF($AB$3:AB4670,1),"")</f>
        <v/>
      </c>
      <c r="AD4670" s="117" t="str">
        <f>IFERROR(INDEX($AA$3:$AA$10000,MATCH(ROWS($AC$3:AC4670),$AC$3:$AC$10000,0)),"")</f>
        <v/>
      </c>
    </row>
    <row r="4671" spans="27:30">
      <c r="AA4671" s="117">
        <f>+'Ingredient List - Mother Tinctu'!D4672</f>
        <v>0</v>
      </c>
      <c r="AB4671" s="117">
        <f t="shared" si="75"/>
        <v>0</v>
      </c>
      <c r="AC4671" s="117" t="str">
        <f>IF(AB4671=1,COUNTIF($AB$3:AB4671,1),"")</f>
        <v/>
      </c>
      <c r="AD4671" s="117" t="str">
        <f>IFERROR(INDEX($AA$3:$AA$10000,MATCH(ROWS($AC$3:AC4671),$AC$3:$AC$10000,0)),"")</f>
        <v/>
      </c>
    </row>
    <row r="4672" spans="27:30">
      <c r="AA4672" s="117">
        <f>+'Ingredient List - Mother Tinctu'!D4673</f>
        <v>0</v>
      </c>
      <c r="AB4672" s="117">
        <f t="shared" si="75"/>
        <v>0</v>
      </c>
      <c r="AC4672" s="117" t="str">
        <f>IF(AB4672=1,COUNTIF($AB$3:AB4672,1),"")</f>
        <v/>
      </c>
      <c r="AD4672" s="117" t="str">
        <f>IFERROR(INDEX($AA$3:$AA$10000,MATCH(ROWS($AC$3:AC4672),$AC$3:$AC$10000,0)),"")</f>
        <v/>
      </c>
    </row>
    <row r="4673" spans="27:30">
      <c r="AA4673" s="117">
        <f>+'Ingredient List - Mother Tinctu'!D4674</f>
        <v>0</v>
      </c>
      <c r="AB4673" s="117">
        <f t="shared" si="75"/>
        <v>0</v>
      </c>
      <c r="AC4673" s="117" t="str">
        <f>IF(AB4673=1,COUNTIF($AB$3:AB4673,1),"")</f>
        <v/>
      </c>
      <c r="AD4673" s="117" t="str">
        <f>IFERROR(INDEX($AA$3:$AA$10000,MATCH(ROWS($AC$3:AC4673),$AC$3:$AC$10000,0)),"")</f>
        <v/>
      </c>
    </row>
    <row r="4674" spans="27:30">
      <c r="AA4674" s="117">
        <f>+'Ingredient List - Mother Tinctu'!D4675</f>
        <v>0</v>
      </c>
      <c r="AB4674" s="117">
        <f t="shared" si="75"/>
        <v>0</v>
      </c>
      <c r="AC4674" s="117" t="str">
        <f>IF(AB4674=1,COUNTIF($AB$3:AB4674,1),"")</f>
        <v/>
      </c>
      <c r="AD4674" s="117" t="str">
        <f>IFERROR(INDEX($AA$3:$AA$10000,MATCH(ROWS($AC$3:AC4674),$AC$3:$AC$10000,0)),"")</f>
        <v/>
      </c>
    </row>
    <row r="4675" spans="27:30">
      <c r="AA4675" s="117">
        <f>+'Ingredient List - Mother Tinctu'!D4676</f>
        <v>0</v>
      </c>
      <c r="AB4675" s="117">
        <f t="shared" si="75"/>
        <v>0</v>
      </c>
      <c r="AC4675" s="117" t="str">
        <f>IF(AB4675=1,COUNTIF($AB$3:AB4675,1),"")</f>
        <v/>
      </c>
      <c r="AD4675" s="117" t="str">
        <f>IFERROR(INDEX($AA$3:$AA$10000,MATCH(ROWS($AC$3:AC4675),$AC$3:$AC$10000,0)),"")</f>
        <v/>
      </c>
    </row>
    <row r="4676" spans="27:30">
      <c r="AA4676" s="117">
        <f>+'Ingredient List - Mother Tinctu'!D4677</f>
        <v>0</v>
      </c>
      <c r="AB4676" s="117">
        <f t="shared" ref="AB4676:AB4739" si="76">--ISNUMBER(IFERROR(SEARCH($D$3,AA4676,1),""))</f>
        <v>0</v>
      </c>
      <c r="AC4676" s="117" t="str">
        <f>IF(AB4676=1,COUNTIF($AB$3:AB4676,1),"")</f>
        <v/>
      </c>
      <c r="AD4676" s="117" t="str">
        <f>IFERROR(INDEX($AA$3:$AA$10000,MATCH(ROWS($AC$3:AC4676),$AC$3:$AC$10000,0)),"")</f>
        <v/>
      </c>
    </row>
    <row r="4677" spans="27:30">
      <c r="AA4677" s="117">
        <f>+'Ingredient List - Mother Tinctu'!D4678</f>
        <v>0</v>
      </c>
      <c r="AB4677" s="117">
        <f t="shared" si="76"/>
        <v>0</v>
      </c>
      <c r="AC4677" s="117" t="str">
        <f>IF(AB4677=1,COUNTIF($AB$3:AB4677,1),"")</f>
        <v/>
      </c>
      <c r="AD4677" s="117" t="str">
        <f>IFERROR(INDEX($AA$3:$AA$10000,MATCH(ROWS($AC$3:AC4677),$AC$3:$AC$10000,0)),"")</f>
        <v/>
      </c>
    </row>
    <row r="4678" spans="27:30">
      <c r="AA4678" s="117">
        <f>+'Ingredient List - Mother Tinctu'!D4679</f>
        <v>0</v>
      </c>
      <c r="AB4678" s="117">
        <f t="shared" si="76"/>
        <v>0</v>
      </c>
      <c r="AC4678" s="117" t="str">
        <f>IF(AB4678=1,COUNTIF($AB$3:AB4678,1),"")</f>
        <v/>
      </c>
      <c r="AD4678" s="117" t="str">
        <f>IFERROR(INDEX($AA$3:$AA$10000,MATCH(ROWS($AC$3:AC4678),$AC$3:$AC$10000,0)),"")</f>
        <v/>
      </c>
    </row>
    <row r="4679" spans="27:30">
      <c r="AA4679" s="117">
        <f>+'Ingredient List - Mother Tinctu'!D4680</f>
        <v>0</v>
      </c>
      <c r="AB4679" s="117">
        <f t="shared" si="76"/>
        <v>0</v>
      </c>
      <c r="AC4679" s="117" t="str">
        <f>IF(AB4679=1,COUNTIF($AB$3:AB4679,1),"")</f>
        <v/>
      </c>
      <c r="AD4679" s="117" t="str">
        <f>IFERROR(INDEX($AA$3:$AA$10000,MATCH(ROWS($AC$3:AC4679),$AC$3:$AC$10000,0)),"")</f>
        <v/>
      </c>
    </row>
    <row r="4680" spans="27:30">
      <c r="AA4680" s="117">
        <f>+'Ingredient List - Mother Tinctu'!D4681</f>
        <v>0</v>
      </c>
      <c r="AB4680" s="117">
        <f t="shared" si="76"/>
        <v>0</v>
      </c>
      <c r="AC4680" s="117" t="str">
        <f>IF(AB4680=1,COUNTIF($AB$3:AB4680,1),"")</f>
        <v/>
      </c>
      <c r="AD4680" s="117" t="str">
        <f>IFERROR(INDEX($AA$3:$AA$10000,MATCH(ROWS($AC$3:AC4680),$AC$3:$AC$10000,0)),"")</f>
        <v/>
      </c>
    </row>
    <row r="4681" spans="27:30">
      <c r="AA4681" s="117">
        <f>+'Ingredient List - Mother Tinctu'!D4682</f>
        <v>0</v>
      </c>
      <c r="AB4681" s="117">
        <f t="shared" si="76"/>
        <v>0</v>
      </c>
      <c r="AC4681" s="117" t="str">
        <f>IF(AB4681=1,COUNTIF($AB$3:AB4681,1),"")</f>
        <v/>
      </c>
      <c r="AD4681" s="117" t="str">
        <f>IFERROR(INDEX($AA$3:$AA$10000,MATCH(ROWS($AC$3:AC4681),$AC$3:$AC$10000,0)),"")</f>
        <v/>
      </c>
    </row>
    <row r="4682" spans="27:30">
      <c r="AA4682" s="117">
        <f>+'Ingredient List - Mother Tinctu'!D4683</f>
        <v>0</v>
      </c>
      <c r="AB4682" s="117">
        <f t="shared" si="76"/>
        <v>0</v>
      </c>
      <c r="AC4682" s="117" t="str">
        <f>IF(AB4682=1,COUNTIF($AB$3:AB4682,1),"")</f>
        <v/>
      </c>
      <c r="AD4682" s="117" t="str">
        <f>IFERROR(INDEX($AA$3:$AA$10000,MATCH(ROWS($AC$3:AC4682),$AC$3:$AC$10000,0)),"")</f>
        <v/>
      </c>
    </row>
    <row r="4683" spans="27:30">
      <c r="AA4683" s="117">
        <f>+'Ingredient List - Mother Tinctu'!D4684</f>
        <v>0</v>
      </c>
      <c r="AB4683" s="117">
        <f t="shared" si="76"/>
        <v>0</v>
      </c>
      <c r="AC4683" s="117" t="str">
        <f>IF(AB4683=1,COUNTIF($AB$3:AB4683,1),"")</f>
        <v/>
      </c>
      <c r="AD4683" s="117" t="str">
        <f>IFERROR(INDEX($AA$3:$AA$10000,MATCH(ROWS($AC$3:AC4683),$AC$3:$AC$10000,0)),"")</f>
        <v/>
      </c>
    </row>
    <row r="4684" spans="27:30">
      <c r="AA4684" s="117">
        <f>+'Ingredient List - Mother Tinctu'!D4685</f>
        <v>0</v>
      </c>
      <c r="AB4684" s="117">
        <f t="shared" si="76"/>
        <v>0</v>
      </c>
      <c r="AC4684" s="117" t="str">
        <f>IF(AB4684=1,COUNTIF($AB$3:AB4684,1),"")</f>
        <v/>
      </c>
      <c r="AD4684" s="117" t="str">
        <f>IFERROR(INDEX($AA$3:$AA$10000,MATCH(ROWS($AC$3:AC4684),$AC$3:$AC$10000,0)),"")</f>
        <v/>
      </c>
    </row>
    <row r="4685" spans="27:30">
      <c r="AA4685" s="117">
        <f>+'Ingredient List - Mother Tinctu'!D4686</f>
        <v>0</v>
      </c>
      <c r="AB4685" s="117">
        <f t="shared" si="76"/>
        <v>0</v>
      </c>
      <c r="AC4685" s="117" t="str">
        <f>IF(AB4685=1,COUNTIF($AB$3:AB4685,1),"")</f>
        <v/>
      </c>
      <c r="AD4685" s="117" t="str">
        <f>IFERROR(INDEX($AA$3:$AA$10000,MATCH(ROWS($AC$3:AC4685),$AC$3:$AC$10000,0)),"")</f>
        <v/>
      </c>
    </row>
    <row r="4686" spans="27:30">
      <c r="AA4686" s="117">
        <f>+'Ingredient List - Mother Tinctu'!D4687</f>
        <v>0</v>
      </c>
      <c r="AB4686" s="117">
        <f t="shared" si="76"/>
        <v>0</v>
      </c>
      <c r="AC4686" s="117" t="str">
        <f>IF(AB4686=1,COUNTIF($AB$3:AB4686,1),"")</f>
        <v/>
      </c>
      <c r="AD4686" s="117" t="str">
        <f>IFERROR(INDEX($AA$3:$AA$10000,MATCH(ROWS($AC$3:AC4686),$AC$3:$AC$10000,0)),"")</f>
        <v/>
      </c>
    </row>
    <row r="4687" spans="27:30">
      <c r="AA4687" s="117">
        <f>+'Ingredient List - Mother Tinctu'!D4688</f>
        <v>0</v>
      </c>
      <c r="AB4687" s="117">
        <f t="shared" si="76"/>
        <v>0</v>
      </c>
      <c r="AC4687" s="117" t="str">
        <f>IF(AB4687=1,COUNTIF($AB$3:AB4687,1),"")</f>
        <v/>
      </c>
      <c r="AD4687" s="117" t="str">
        <f>IFERROR(INDEX($AA$3:$AA$10000,MATCH(ROWS($AC$3:AC4687),$AC$3:$AC$10000,0)),"")</f>
        <v/>
      </c>
    </row>
    <row r="4688" spans="27:30">
      <c r="AA4688" s="117">
        <f>+'Ingredient List - Mother Tinctu'!D4689</f>
        <v>0</v>
      </c>
      <c r="AB4688" s="117">
        <f t="shared" si="76"/>
        <v>0</v>
      </c>
      <c r="AC4688" s="117" t="str">
        <f>IF(AB4688=1,COUNTIF($AB$3:AB4688,1),"")</f>
        <v/>
      </c>
      <c r="AD4688" s="117" t="str">
        <f>IFERROR(INDEX($AA$3:$AA$10000,MATCH(ROWS($AC$3:AC4688),$AC$3:$AC$10000,0)),"")</f>
        <v/>
      </c>
    </row>
    <row r="4689" spans="27:30">
      <c r="AA4689" s="117">
        <f>+'Ingredient List - Mother Tinctu'!D4690</f>
        <v>0</v>
      </c>
      <c r="AB4689" s="117">
        <f t="shared" si="76"/>
        <v>0</v>
      </c>
      <c r="AC4689" s="117" t="str">
        <f>IF(AB4689=1,COUNTIF($AB$3:AB4689,1),"")</f>
        <v/>
      </c>
      <c r="AD4689" s="117" t="str">
        <f>IFERROR(INDEX($AA$3:$AA$10000,MATCH(ROWS($AC$3:AC4689),$AC$3:$AC$10000,0)),"")</f>
        <v/>
      </c>
    </row>
    <row r="4690" spans="27:30">
      <c r="AA4690" s="117">
        <f>+'Ingredient List - Mother Tinctu'!D4691</f>
        <v>0</v>
      </c>
      <c r="AB4690" s="117">
        <f t="shared" si="76"/>
        <v>0</v>
      </c>
      <c r="AC4690" s="117" t="str">
        <f>IF(AB4690=1,COUNTIF($AB$3:AB4690,1),"")</f>
        <v/>
      </c>
      <c r="AD4690" s="117" t="str">
        <f>IFERROR(INDEX($AA$3:$AA$10000,MATCH(ROWS($AC$3:AC4690),$AC$3:$AC$10000,0)),"")</f>
        <v/>
      </c>
    </row>
    <row r="4691" spans="27:30">
      <c r="AA4691" s="117">
        <f>+'Ingredient List - Mother Tinctu'!D4692</f>
        <v>0</v>
      </c>
      <c r="AB4691" s="117">
        <f t="shared" si="76"/>
        <v>0</v>
      </c>
      <c r="AC4691" s="117" t="str">
        <f>IF(AB4691=1,COUNTIF($AB$3:AB4691,1),"")</f>
        <v/>
      </c>
      <c r="AD4691" s="117" t="str">
        <f>IFERROR(INDEX($AA$3:$AA$10000,MATCH(ROWS($AC$3:AC4691),$AC$3:$AC$10000,0)),"")</f>
        <v/>
      </c>
    </row>
    <row r="4692" spans="27:30">
      <c r="AA4692" s="117">
        <f>+'Ingredient List - Mother Tinctu'!D4693</f>
        <v>0</v>
      </c>
      <c r="AB4692" s="117">
        <f t="shared" si="76"/>
        <v>0</v>
      </c>
      <c r="AC4692" s="117" t="str">
        <f>IF(AB4692=1,COUNTIF($AB$3:AB4692,1),"")</f>
        <v/>
      </c>
      <c r="AD4692" s="117" t="str">
        <f>IFERROR(INDEX($AA$3:$AA$10000,MATCH(ROWS($AC$3:AC4692),$AC$3:$AC$10000,0)),"")</f>
        <v/>
      </c>
    </row>
    <row r="4693" spans="27:30">
      <c r="AA4693" s="117">
        <f>+'Ingredient List - Mother Tinctu'!D4694</f>
        <v>0</v>
      </c>
      <c r="AB4693" s="117">
        <f t="shared" si="76"/>
        <v>0</v>
      </c>
      <c r="AC4693" s="117" t="str">
        <f>IF(AB4693=1,COUNTIF($AB$3:AB4693,1),"")</f>
        <v/>
      </c>
      <c r="AD4693" s="117" t="str">
        <f>IFERROR(INDEX($AA$3:$AA$10000,MATCH(ROWS($AC$3:AC4693),$AC$3:$AC$10000,0)),"")</f>
        <v/>
      </c>
    </row>
    <row r="4694" spans="27:30">
      <c r="AA4694" s="117">
        <f>+'Ingredient List - Mother Tinctu'!D4695</f>
        <v>0</v>
      </c>
      <c r="AB4694" s="117">
        <f t="shared" si="76"/>
        <v>0</v>
      </c>
      <c r="AC4694" s="117" t="str">
        <f>IF(AB4694=1,COUNTIF($AB$3:AB4694,1),"")</f>
        <v/>
      </c>
      <c r="AD4694" s="117" t="str">
        <f>IFERROR(INDEX($AA$3:$AA$10000,MATCH(ROWS($AC$3:AC4694),$AC$3:$AC$10000,0)),"")</f>
        <v/>
      </c>
    </row>
    <row r="4695" spans="27:30">
      <c r="AA4695" s="117">
        <f>+'Ingredient List - Mother Tinctu'!D4696</f>
        <v>0</v>
      </c>
      <c r="AB4695" s="117">
        <f t="shared" si="76"/>
        <v>0</v>
      </c>
      <c r="AC4695" s="117" t="str">
        <f>IF(AB4695=1,COUNTIF($AB$3:AB4695,1),"")</f>
        <v/>
      </c>
      <c r="AD4695" s="117" t="str">
        <f>IFERROR(INDEX($AA$3:$AA$10000,MATCH(ROWS($AC$3:AC4695),$AC$3:$AC$10000,0)),"")</f>
        <v/>
      </c>
    </row>
    <row r="4696" spans="27:30">
      <c r="AA4696" s="117">
        <f>+'Ingredient List - Mother Tinctu'!D4697</f>
        <v>0</v>
      </c>
      <c r="AB4696" s="117">
        <f t="shared" si="76"/>
        <v>0</v>
      </c>
      <c r="AC4696" s="117" t="str">
        <f>IF(AB4696=1,COUNTIF($AB$3:AB4696,1),"")</f>
        <v/>
      </c>
      <c r="AD4696" s="117" t="str">
        <f>IFERROR(INDEX($AA$3:$AA$10000,MATCH(ROWS($AC$3:AC4696),$AC$3:$AC$10000,0)),"")</f>
        <v/>
      </c>
    </row>
    <row r="4697" spans="27:30">
      <c r="AA4697" s="117">
        <f>+'Ingredient List - Mother Tinctu'!D4698</f>
        <v>0</v>
      </c>
      <c r="AB4697" s="117">
        <f t="shared" si="76"/>
        <v>0</v>
      </c>
      <c r="AC4697" s="117" t="str">
        <f>IF(AB4697=1,COUNTIF($AB$3:AB4697,1),"")</f>
        <v/>
      </c>
      <c r="AD4697" s="117" t="str">
        <f>IFERROR(INDEX($AA$3:$AA$10000,MATCH(ROWS($AC$3:AC4697),$AC$3:$AC$10000,0)),"")</f>
        <v/>
      </c>
    </row>
    <row r="4698" spans="27:30">
      <c r="AA4698" s="117">
        <f>+'Ingredient List - Mother Tinctu'!D4699</f>
        <v>0</v>
      </c>
      <c r="AB4698" s="117">
        <f t="shared" si="76"/>
        <v>0</v>
      </c>
      <c r="AC4698" s="117" t="str">
        <f>IF(AB4698=1,COUNTIF($AB$3:AB4698,1),"")</f>
        <v/>
      </c>
      <c r="AD4698" s="117" t="str">
        <f>IFERROR(INDEX($AA$3:$AA$10000,MATCH(ROWS($AC$3:AC4698),$AC$3:$AC$10000,0)),"")</f>
        <v/>
      </c>
    </row>
    <row r="4699" spans="27:30">
      <c r="AA4699" s="117">
        <f>+'Ingredient List - Mother Tinctu'!D4700</f>
        <v>0</v>
      </c>
      <c r="AB4699" s="117">
        <f t="shared" si="76"/>
        <v>0</v>
      </c>
      <c r="AC4699" s="117" t="str">
        <f>IF(AB4699=1,COUNTIF($AB$3:AB4699,1),"")</f>
        <v/>
      </c>
      <c r="AD4699" s="117" t="str">
        <f>IFERROR(INDEX($AA$3:$AA$10000,MATCH(ROWS($AC$3:AC4699),$AC$3:$AC$10000,0)),"")</f>
        <v/>
      </c>
    </row>
    <row r="4700" spans="27:30">
      <c r="AA4700" s="117">
        <f>+'Ingredient List - Mother Tinctu'!D4701</f>
        <v>0</v>
      </c>
      <c r="AB4700" s="117">
        <f t="shared" si="76"/>
        <v>0</v>
      </c>
      <c r="AC4700" s="117" t="str">
        <f>IF(AB4700=1,COUNTIF($AB$3:AB4700,1),"")</f>
        <v/>
      </c>
      <c r="AD4700" s="117" t="str">
        <f>IFERROR(INDEX($AA$3:$AA$10000,MATCH(ROWS($AC$3:AC4700),$AC$3:$AC$10000,0)),"")</f>
        <v/>
      </c>
    </row>
    <row r="4701" spans="27:30">
      <c r="AA4701" s="117">
        <f>+'Ingredient List - Mother Tinctu'!D4702</f>
        <v>0</v>
      </c>
      <c r="AB4701" s="117">
        <f t="shared" si="76"/>
        <v>0</v>
      </c>
      <c r="AC4701" s="117" t="str">
        <f>IF(AB4701=1,COUNTIF($AB$3:AB4701,1),"")</f>
        <v/>
      </c>
      <c r="AD4701" s="117" t="str">
        <f>IFERROR(INDEX($AA$3:$AA$10000,MATCH(ROWS($AC$3:AC4701),$AC$3:$AC$10000,0)),"")</f>
        <v/>
      </c>
    </row>
    <row r="4702" spans="27:30">
      <c r="AA4702" s="117">
        <f>+'Ingredient List - Mother Tinctu'!D4703</f>
        <v>0</v>
      </c>
      <c r="AB4702" s="117">
        <f t="shared" si="76"/>
        <v>0</v>
      </c>
      <c r="AC4702" s="117" t="str">
        <f>IF(AB4702=1,COUNTIF($AB$3:AB4702,1),"")</f>
        <v/>
      </c>
      <c r="AD4702" s="117" t="str">
        <f>IFERROR(INDEX($AA$3:$AA$10000,MATCH(ROWS($AC$3:AC4702),$AC$3:$AC$10000,0)),"")</f>
        <v/>
      </c>
    </row>
    <row r="4703" spans="27:30">
      <c r="AA4703" s="117">
        <f>+'Ingredient List - Mother Tinctu'!D4704</f>
        <v>0</v>
      </c>
      <c r="AB4703" s="117">
        <f t="shared" si="76"/>
        <v>0</v>
      </c>
      <c r="AC4703" s="117" t="str">
        <f>IF(AB4703=1,COUNTIF($AB$3:AB4703,1),"")</f>
        <v/>
      </c>
      <c r="AD4703" s="117" t="str">
        <f>IFERROR(INDEX($AA$3:$AA$10000,MATCH(ROWS($AC$3:AC4703),$AC$3:$AC$10000,0)),"")</f>
        <v/>
      </c>
    </row>
    <row r="4704" spans="27:30">
      <c r="AA4704" s="117">
        <f>+'Ingredient List - Mother Tinctu'!D4705</f>
        <v>0</v>
      </c>
      <c r="AB4704" s="117">
        <f t="shared" si="76"/>
        <v>0</v>
      </c>
      <c r="AC4704" s="117" t="str">
        <f>IF(AB4704=1,COUNTIF($AB$3:AB4704,1),"")</f>
        <v/>
      </c>
      <c r="AD4704" s="117" t="str">
        <f>IFERROR(INDEX($AA$3:$AA$10000,MATCH(ROWS($AC$3:AC4704),$AC$3:$AC$10000,0)),"")</f>
        <v/>
      </c>
    </row>
    <row r="4705" spans="27:30">
      <c r="AA4705" s="117">
        <f>+'Ingredient List - Mother Tinctu'!D4706</f>
        <v>0</v>
      </c>
      <c r="AB4705" s="117">
        <f t="shared" si="76"/>
        <v>0</v>
      </c>
      <c r="AC4705" s="117" t="str">
        <f>IF(AB4705=1,COUNTIF($AB$3:AB4705,1),"")</f>
        <v/>
      </c>
      <c r="AD4705" s="117" t="str">
        <f>IFERROR(INDEX($AA$3:$AA$10000,MATCH(ROWS($AC$3:AC4705),$AC$3:$AC$10000,0)),"")</f>
        <v/>
      </c>
    </row>
    <row r="4706" spans="27:30">
      <c r="AA4706" s="117">
        <f>+'Ingredient List - Mother Tinctu'!D4707</f>
        <v>0</v>
      </c>
      <c r="AB4706" s="117">
        <f t="shared" si="76"/>
        <v>0</v>
      </c>
      <c r="AC4706" s="117" t="str">
        <f>IF(AB4706=1,COUNTIF($AB$3:AB4706,1),"")</f>
        <v/>
      </c>
      <c r="AD4706" s="117" t="str">
        <f>IFERROR(INDEX($AA$3:$AA$10000,MATCH(ROWS($AC$3:AC4706),$AC$3:$AC$10000,0)),"")</f>
        <v/>
      </c>
    </row>
    <row r="4707" spans="27:30">
      <c r="AA4707" s="117">
        <f>+'Ingredient List - Mother Tinctu'!D4708</f>
        <v>0</v>
      </c>
      <c r="AB4707" s="117">
        <f t="shared" si="76"/>
        <v>0</v>
      </c>
      <c r="AC4707" s="117" t="str">
        <f>IF(AB4707=1,COUNTIF($AB$3:AB4707,1),"")</f>
        <v/>
      </c>
      <c r="AD4707" s="117" t="str">
        <f>IFERROR(INDEX($AA$3:$AA$10000,MATCH(ROWS($AC$3:AC4707),$AC$3:$AC$10000,0)),"")</f>
        <v/>
      </c>
    </row>
    <row r="4708" spans="27:30">
      <c r="AA4708" s="117">
        <f>+'Ingredient List - Mother Tinctu'!D4709</f>
        <v>0</v>
      </c>
      <c r="AB4708" s="117">
        <f t="shared" si="76"/>
        <v>0</v>
      </c>
      <c r="AC4708" s="117" t="str">
        <f>IF(AB4708=1,COUNTIF($AB$3:AB4708,1),"")</f>
        <v/>
      </c>
      <c r="AD4708" s="117" t="str">
        <f>IFERROR(INDEX($AA$3:$AA$10000,MATCH(ROWS($AC$3:AC4708),$AC$3:$AC$10000,0)),"")</f>
        <v/>
      </c>
    </row>
    <row r="4709" spans="27:30">
      <c r="AA4709" s="117">
        <f>+'Ingredient List - Mother Tinctu'!D4710</f>
        <v>0</v>
      </c>
      <c r="AB4709" s="117">
        <f t="shared" si="76"/>
        <v>0</v>
      </c>
      <c r="AC4709" s="117" t="str">
        <f>IF(AB4709=1,COUNTIF($AB$3:AB4709,1),"")</f>
        <v/>
      </c>
      <c r="AD4709" s="117" t="str">
        <f>IFERROR(INDEX($AA$3:$AA$10000,MATCH(ROWS($AC$3:AC4709),$AC$3:$AC$10000,0)),"")</f>
        <v/>
      </c>
    </row>
    <row r="4710" spans="27:30">
      <c r="AA4710" s="117">
        <f>+'Ingredient List - Mother Tinctu'!D4711</f>
        <v>0</v>
      </c>
      <c r="AB4710" s="117">
        <f t="shared" si="76"/>
        <v>0</v>
      </c>
      <c r="AC4710" s="117" t="str">
        <f>IF(AB4710=1,COUNTIF($AB$3:AB4710,1),"")</f>
        <v/>
      </c>
      <c r="AD4710" s="117" t="str">
        <f>IFERROR(INDEX($AA$3:$AA$10000,MATCH(ROWS($AC$3:AC4710),$AC$3:$AC$10000,0)),"")</f>
        <v/>
      </c>
    </row>
    <row r="4711" spans="27:30">
      <c r="AA4711" s="117">
        <f>+'Ingredient List - Mother Tinctu'!D4712</f>
        <v>0</v>
      </c>
      <c r="AB4711" s="117">
        <f t="shared" si="76"/>
        <v>0</v>
      </c>
      <c r="AC4711" s="117" t="str">
        <f>IF(AB4711=1,COUNTIF($AB$3:AB4711,1),"")</f>
        <v/>
      </c>
      <c r="AD4711" s="117" t="str">
        <f>IFERROR(INDEX($AA$3:$AA$10000,MATCH(ROWS($AC$3:AC4711),$AC$3:$AC$10000,0)),"")</f>
        <v/>
      </c>
    </row>
    <row r="4712" spans="27:30">
      <c r="AA4712" s="117">
        <f>+'Ingredient List - Mother Tinctu'!D4713</f>
        <v>0</v>
      </c>
      <c r="AB4712" s="117">
        <f t="shared" si="76"/>
        <v>0</v>
      </c>
      <c r="AC4712" s="117" t="str">
        <f>IF(AB4712=1,COUNTIF($AB$3:AB4712,1),"")</f>
        <v/>
      </c>
      <c r="AD4712" s="117" t="str">
        <f>IFERROR(INDEX($AA$3:$AA$10000,MATCH(ROWS($AC$3:AC4712),$AC$3:$AC$10000,0)),"")</f>
        <v/>
      </c>
    </row>
    <row r="4713" spans="27:30">
      <c r="AA4713" s="117">
        <f>+'Ingredient List - Mother Tinctu'!D4714</f>
        <v>0</v>
      </c>
      <c r="AB4713" s="117">
        <f t="shared" si="76"/>
        <v>0</v>
      </c>
      <c r="AC4713" s="117" t="str">
        <f>IF(AB4713=1,COUNTIF($AB$3:AB4713,1),"")</f>
        <v/>
      </c>
      <c r="AD4713" s="117" t="str">
        <f>IFERROR(INDEX($AA$3:$AA$10000,MATCH(ROWS($AC$3:AC4713),$AC$3:$AC$10000,0)),"")</f>
        <v/>
      </c>
    </row>
    <row r="4714" spans="27:30">
      <c r="AA4714" s="117">
        <f>+'Ingredient List - Mother Tinctu'!D4715</f>
        <v>0</v>
      </c>
      <c r="AB4714" s="117">
        <f t="shared" si="76"/>
        <v>0</v>
      </c>
      <c r="AC4714" s="117" t="str">
        <f>IF(AB4714=1,COUNTIF($AB$3:AB4714,1),"")</f>
        <v/>
      </c>
      <c r="AD4714" s="117" t="str">
        <f>IFERROR(INDEX($AA$3:$AA$10000,MATCH(ROWS($AC$3:AC4714),$AC$3:$AC$10000,0)),"")</f>
        <v/>
      </c>
    </row>
    <row r="4715" spans="27:30">
      <c r="AA4715" s="117">
        <f>+'Ingredient List - Mother Tinctu'!D4716</f>
        <v>0</v>
      </c>
      <c r="AB4715" s="117">
        <f t="shared" si="76"/>
        <v>0</v>
      </c>
      <c r="AC4715" s="117" t="str">
        <f>IF(AB4715=1,COUNTIF($AB$3:AB4715,1),"")</f>
        <v/>
      </c>
      <c r="AD4715" s="117" t="str">
        <f>IFERROR(INDEX($AA$3:$AA$10000,MATCH(ROWS($AC$3:AC4715),$AC$3:$AC$10000,0)),"")</f>
        <v/>
      </c>
    </row>
    <row r="4716" spans="27:30">
      <c r="AA4716" s="117">
        <f>+'Ingredient List - Mother Tinctu'!D4717</f>
        <v>0</v>
      </c>
      <c r="AB4716" s="117">
        <f t="shared" si="76"/>
        <v>0</v>
      </c>
      <c r="AC4716" s="117" t="str">
        <f>IF(AB4716=1,COUNTIF($AB$3:AB4716,1),"")</f>
        <v/>
      </c>
      <c r="AD4716" s="117" t="str">
        <f>IFERROR(INDEX($AA$3:$AA$10000,MATCH(ROWS($AC$3:AC4716),$AC$3:$AC$10000,0)),"")</f>
        <v/>
      </c>
    </row>
    <row r="4717" spans="27:30">
      <c r="AA4717" s="117">
        <f>+'Ingredient List - Mother Tinctu'!D4718</f>
        <v>0</v>
      </c>
      <c r="AB4717" s="117">
        <f t="shared" si="76"/>
        <v>0</v>
      </c>
      <c r="AC4717" s="117" t="str">
        <f>IF(AB4717=1,COUNTIF($AB$3:AB4717,1),"")</f>
        <v/>
      </c>
      <c r="AD4717" s="117" t="str">
        <f>IFERROR(INDEX($AA$3:$AA$10000,MATCH(ROWS($AC$3:AC4717),$AC$3:$AC$10000,0)),"")</f>
        <v/>
      </c>
    </row>
    <row r="4718" spans="27:30">
      <c r="AA4718" s="117">
        <f>+'Ingredient List - Mother Tinctu'!D4719</f>
        <v>0</v>
      </c>
      <c r="AB4718" s="117">
        <f t="shared" si="76"/>
        <v>0</v>
      </c>
      <c r="AC4718" s="117" t="str">
        <f>IF(AB4718=1,COUNTIF($AB$3:AB4718,1),"")</f>
        <v/>
      </c>
      <c r="AD4718" s="117" t="str">
        <f>IFERROR(INDEX($AA$3:$AA$10000,MATCH(ROWS($AC$3:AC4718),$AC$3:$AC$10000,0)),"")</f>
        <v/>
      </c>
    </row>
    <row r="4719" spans="27:30">
      <c r="AA4719" s="117">
        <f>+'Ingredient List - Mother Tinctu'!D4720</f>
        <v>0</v>
      </c>
      <c r="AB4719" s="117">
        <f t="shared" si="76"/>
        <v>0</v>
      </c>
      <c r="AC4719" s="117" t="str">
        <f>IF(AB4719=1,COUNTIF($AB$3:AB4719,1),"")</f>
        <v/>
      </c>
      <c r="AD4719" s="117" t="str">
        <f>IFERROR(INDEX($AA$3:$AA$10000,MATCH(ROWS($AC$3:AC4719),$AC$3:$AC$10000,0)),"")</f>
        <v/>
      </c>
    </row>
    <row r="4720" spans="27:30">
      <c r="AA4720" s="117">
        <f>+'Ingredient List - Mother Tinctu'!D4721</f>
        <v>0</v>
      </c>
      <c r="AB4720" s="117">
        <f t="shared" si="76"/>
        <v>0</v>
      </c>
      <c r="AC4720" s="117" t="str">
        <f>IF(AB4720=1,COUNTIF($AB$3:AB4720,1),"")</f>
        <v/>
      </c>
      <c r="AD4720" s="117" t="str">
        <f>IFERROR(INDEX($AA$3:$AA$10000,MATCH(ROWS($AC$3:AC4720),$AC$3:$AC$10000,0)),"")</f>
        <v/>
      </c>
    </row>
    <row r="4721" spans="27:30">
      <c r="AA4721" s="117">
        <f>+'Ingredient List - Mother Tinctu'!D4722</f>
        <v>0</v>
      </c>
      <c r="AB4721" s="117">
        <f t="shared" si="76"/>
        <v>0</v>
      </c>
      <c r="AC4721" s="117" t="str">
        <f>IF(AB4721=1,COUNTIF($AB$3:AB4721,1),"")</f>
        <v/>
      </c>
      <c r="AD4721" s="117" t="str">
        <f>IFERROR(INDEX($AA$3:$AA$10000,MATCH(ROWS($AC$3:AC4721),$AC$3:$AC$10000,0)),"")</f>
        <v/>
      </c>
    </row>
    <row r="4722" spans="27:30">
      <c r="AA4722" s="117">
        <f>+'Ingredient List - Mother Tinctu'!D4723</f>
        <v>0</v>
      </c>
      <c r="AB4722" s="117">
        <f t="shared" si="76"/>
        <v>0</v>
      </c>
      <c r="AC4722" s="117" t="str">
        <f>IF(AB4722=1,COUNTIF($AB$3:AB4722,1),"")</f>
        <v/>
      </c>
      <c r="AD4722" s="117" t="str">
        <f>IFERROR(INDEX($AA$3:$AA$10000,MATCH(ROWS($AC$3:AC4722),$AC$3:$AC$10000,0)),"")</f>
        <v/>
      </c>
    </row>
    <row r="4723" spans="27:30">
      <c r="AA4723" s="117">
        <f>+'Ingredient List - Mother Tinctu'!D4724</f>
        <v>0</v>
      </c>
      <c r="AB4723" s="117">
        <f t="shared" si="76"/>
        <v>0</v>
      </c>
      <c r="AC4723" s="117" t="str">
        <f>IF(AB4723=1,COUNTIF($AB$3:AB4723,1),"")</f>
        <v/>
      </c>
      <c r="AD4723" s="117" t="str">
        <f>IFERROR(INDEX($AA$3:$AA$10000,MATCH(ROWS($AC$3:AC4723),$AC$3:$AC$10000,0)),"")</f>
        <v/>
      </c>
    </row>
    <row r="4724" spans="27:30">
      <c r="AA4724" s="117">
        <f>+'Ingredient List - Mother Tinctu'!D4725</f>
        <v>0</v>
      </c>
      <c r="AB4724" s="117">
        <f t="shared" si="76"/>
        <v>0</v>
      </c>
      <c r="AC4724" s="117" t="str">
        <f>IF(AB4724=1,COUNTIF($AB$3:AB4724,1),"")</f>
        <v/>
      </c>
      <c r="AD4724" s="117" t="str">
        <f>IFERROR(INDEX($AA$3:$AA$10000,MATCH(ROWS($AC$3:AC4724),$AC$3:$AC$10000,0)),"")</f>
        <v/>
      </c>
    </row>
    <row r="4725" spans="27:30">
      <c r="AA4725" s="117">
        <f>+'Ingredient List - Mother Tinctu'!D4726</f>
        <v>0</v>
      </c>
      <c r="AB4725" s="117">
        <f t="shared" si="76"/>
        <v>0</v>
      </c>
      <c r="AC4725" s="117" t="str">
        <f>IF(AB4725=1,COUNTIF($AB$3:AB4725,1),"")</f>
        <v/>
      </c>
      <c r="AD4725" s="117" t="str">
        <f>IFERROR(INDEX($AA$3:$AA$10000,MATCH(ROWS($AC$3:AC4725),$AC$3:$AC$10000,0)),"")</f>
        <v/>
      </c>
    </row>
    <row r="4726" spans="27:30">
      <c r="AA4726" s="117">
        <f>+'Ingredient List - Mother Tinctu'!D4727</f>
        <v>0</v>
      </c>
      <c r="AB4726" s="117">
        <f t="shared" si="76"/>
        <v>0</v>
      </c>
      <c r="AC4726" s="117" t="str">
        <f>IF(AB4726=1,COUNTIF($AB$3:AB4726,1),"")</f>
        <v/>
      </c>
      <c r="AD4726" s="117" t="str">
        <f>IFERROR(INDEX($AA$3:$AA$10000,MATCH(ROWS($AC$3:AC4726),$AC$3:$AC$10000,0)),"")</f>
        <v/>
      </c>
    </row>
    <row r="4727" spans="27:30">
      <c r="AA4727" s="117">
        <f>+'Ingredient List - Mother Tinctu'!D4728</f>
        <v>0</v>
      </c>
      <c r="AB4727" s="117">
        <f t="shared" si="76"/>
        <v>0</v>
      </c>
      <c r="AC4727" s="117" t="str">
        <f>IF(AB4727=1,COUNTIF($AB$3:AB4727,1),"")</f>
        <v/>
      </c>
      <c r="AD4727" s="117" t="str">
        <f>IFERROR(INDEX($AA$3:$AA$10000,MATCH(ROWS($AC$3:AC4727),$AC$3:$AC$10000,0)),"")</f>
        <v/>
      </c>
    </row>
    <row r="4728" spans="27:30">
      <c r="AA4728" s="117">
        <f>+'Ingredient List - Mother Tinctu'!D4729</f>
        <v>0</v>
      </c>
      <c r="AB4728" s="117">
        <f t="shared" si="76"/>
        <v>0</v>
      </c>
      <c r="AC4728" s="117" t="str">
        <f>IF(AB4728=1,COUNTIF($AB$3:AB4728,1),"")</f>
        <v/>
      </c>
      <c r="AD4728" s="117" t="str">
        <f>IFERROR(INDEX($AA$3:$AA$10000,MATCH(ROWS($AC$3:AC4728),$AC$3:$AC$10000,0)),"")</f>
        <v/>
      </c>
    </row>
    <row r="4729" spans="27:30">
      <c r="AA4729" s="117">
        <f>+'Ingredient List - Mother Tinctu'!D4730</f>
        <v>0</v>
      </c>
      <c r="AB4729" s="117">
        <f t="shared" si="76"/>
        <v>0</v>
      </c>
      <c r="AC4729" s="117" t="str">
        <f>IF(AB4729=1,COUNTIF($AB$3:AB4729,1),"")</f>
        <v/>
      </c>
      <c r="AD4729" s="117" t="str">
        <f>IFERROR(INDEX($AA$3:$AA$10000,MATCH(ROWS($AC$3:AC4729),$AC$3:$AC$10000,0)),"")</f>
        <v/>
      </c>
    </row>
    <row r="4730" spans="27:30">
      <c r="AA4730" s="117">
        <f>+'Ingredient List - Mother Tinctu'!D4731</f>
        <v>0</v>
      </c>
      <c r="AB4730" s="117">
        <f t="shared" si="76"/>
        <v>0</v>
      </c>
      <c r="AC4730" s="117" t="str">
        <f>IF(AB4730=1,COUNTIF($AB$3:AB4730,1),"")</f>
        <v/>
      </c>
      <c r="AD4730" s="117" t="str">
        <f>IFERROR(INDEX($AA$3:$AA$10000,MATCH(ROWS($AC$3:AC4730),$AC$3:$AC$10000,0)),"")</f>
        <v/>
      </c>
    </row>
    <row r="4731" spans="27:30">
      <c r="AA4731" s="117">
        <f>+'Ingredient List - Mother Tinctu'!D4732</f>
        <v>0</v>
      </c>
      <c r="AB4731" s="117">
        <f t="shared" si="76"/>
        <v>0</v>
      </c>
      <c r="AC4731" s="117" t="str">
        <f>IF(AB4731=1,COUNTIF($AB$3:AB4731,1),"")</f>
        <v/>
      </c>
      <c r="AD4731" s="117" t="str">
        <f>IFERROR(INDEX($AA$3:$AA$10000,MATCH(ROWS($AC$3:AC4731),$AC$3:$AC$10000,0)),"")</f>
        <v/>
      </c>
    </row>
    <row r="4732" spans="27:30">
      <c r="AA4732" s="117">
        <f>+'Ingredient List - Mother Tinctu'!D4733</f>
        <v>0</v>
      </c>
      <c r="AB4732" s="117">
        <f t="shared" si="76"/>
        <v>0</v>
      </c>
      <c r="AC4732" s="117" t="str">
        <f>IF(AB4732=1,COUNTIF($AB$3:AB4732,1),"")</f>
        <v/>
      </c>
      <c r="AD4732" s="117" t="str">
        <f>IFERROR(INDEX($AA$3:$AA$10000,MATCH(ROWS($AC$3:AC4732),$AC$3:$AC$10000,0)),"")</f>
        <v/>
      </c>
    </row>
    <row r="4733" spans="27:30">
      <c r="AA4733" s="117">
        <f>+'Ingredient List - Mother Tinctu'!D4734</f>
        <v>0</v>
      </c>
      <c r="AB4733" s="117">
        <f t="shared" si="76"/>
        <v>0</v>
      </c>
      <c r="AC4733" s="117" t="str">
        <f>IF(AB4733=1,COUNTIF($AB$3:AB4733,1),"")</f>
        <v/>
      </c>
      <c r="AD4733" s="117" t="str">
        <f>IFERROR(INDEX($AA$3:$AA$10000,MATCH(ROWS($AC$3:AC4733),$AC$3:$AC$10000,0)),"")</f>
        <v/>
      </c>
    </row>
    <row r="4734" spans="27:30">
      <c r="AA4734" s="117">
        <f>+'Ingredient List - Mother Tinctu'!D4735</f>
        <v>0</v>
      </c>
      <c r="AB4734" s="117">
        <f t="shared" si="76"/>
        <v>0</v>
      </c>
      <c r="AC4734" s="117" t="str">
        <f>IF(AB4734=1,COUNTIF($AB$3:AB4734,1),"")</f>
        <v/>
      </c>
      <c r="AD4734" s="117" t="str">
        <f>IFERROR(INDEX($AA$3:$AA$10000,MATCH(ROWS($AC$3:AC4734),$AC$3:$AC$10000,0)),"")</f>
        <v/>
      </c>
    </row>
    <row r="4735" spans="27:30">
      <c r="AA4735" s="117">
        <f>+'Ingredient List - Mother Tinctu'!D4736</f>
        <v>0</v>
      </c>
      <c r="AB4735" s="117">
        <f t="shared" si="76"/>
        <v>0</v>
      </c>
      <c r="AC4735" s="117" t="str">
        <f>IF(AB4735=1,COUNTIF($AB$3:AB4735,1),"")</f>
        <v/>
      </c>
      <c r="AD4735" s="117" t="str">
        <f>IFERROR(INDEX($AA$3:$AA$10000,MATCH(ROWS($AC$3:AC4735),$AC$3:$AC$10000,0)),"")</f>
        <v/>
      </c>
    </row>
    <row r="4736" spans="27:30">
      <c r="AA4736" s="117">
        <f>+'Ingredient List - Mother Tinctu'!D4737</f>
        <v>0</v>
      </c>
      <c r="AB4736" s="117">
        <f t="shared" si="76"/>
        <v>0</v>
      </c>
      <c r="AC4736" s="117" t="str">
        <f>IF(AB4736=1,COUNTIF($AB$3:AB4736,1),"")</f>
        <v/>
      </c>
      <c r="AD4736" s="117" t="str">
        <f>IFERROR(INDEX($AA$3:$AA$10000,MATCH(ROWS($AC$3:AC4736),$AC$3:$AC$10000,0)),"")</f>
        <v/>
      </c>
    </row>
    <row r="4737" spans="27:30">
      <c r="AA4737" s="117">
        <f>+'Ingredient List - Mother Tinctu'!D4738</f>
        <v>0</v>
      </c>
      <c r="AB4737" s="117">
        <f t="shared" si="76"/>
        <v>0</v>
      </c>
      <c r="AC4737" s="117" t="str">
        <f>IF(AB4737=1,COUNTIF($AB$3:AB4737,1),"")</f>
        <v/>
      </c>
      <c r="AD4737" s="117" t="str">
        <f>IFERROR(INDEX($AA$3:$AA$10000,MATCH(ROWS($AC$3:AC4737),$AC$3:$AC$10000,0)),"")</f>
        <v/>
      </c>
    </row>
    <row r="4738" spans="27:30">
      <c r="AA4738" s="117">
        <f>+'Ingredient List - Mother Tinctu'!D4739</f>
        <v>0</v>
      </c>
      <c r="AB4738" s="117">
        <f t="shared" si="76"/>
        <v>0</v>
      </c>
      <c r="AC4738" s="117" t="str">
        <f>IF(AB4738=1,COUNTIF($AB$3:AB4738,1),"")</f>
        <v/>
      </c>
      <c r="AD4738" s="117" t="str">
        <f>IFERROR(INDEX($AA$3:$AA$10000,MATCH(ROWS($AC$3:AC4738),$AC$3:$AC$10000,0)),"")</f>
        <v/>
      </c>
    </row>
    <row r="4739" spans="27:30">
      <c r="AA4739" s="117">
        <f>+'Ingredient List - Mother Tinctu'!D4740</f>
        <v>0</v>
      </c>
      <c r="AB4739" s="117">
        <f t="shared" si="76"/>
        <v>0</v>
      </c>
      <c r="AC4739" s="117" t="str">
        <f>IF(AB4739=1,COUNTIF($AB$3:AB4739,1),"")</f>
        <v/>
      </c>
      <c r="AD4739" s="117" t="str">
        <f>IFERROR(INDEX($AA$3:$AA$10000,MATCH(ROWS($AC$3:AC4739),$AC$3:$AC$10000,0)),"")</f>
        <v/>
      </c>
    </row>
    <row r="4740" spans="27:30">
      <c r="AA4740" s="117">
        <f>+'Ingredient List - Mother Tinctu'!D4741</f>
        <v>0</v>
      </c>
      <c r="AB4740" s="117">
        <f t="shared" ref="AB4740:AB4803" si="77">--ISNUMBER(IFERROR(SEARCH($D$3,AA4740,1),""))</f>
        <v>0</v>
      </c>
      <c r="AC4740" s="117" t="str">
        <f>IF(AB4740=1,COUNTIF($AB$3:AB4740,1),"")</f>
        <v/>
      </c>
      <c r="AD4740" s="117" t="str">
        <f>IFERROR(INDEX($AA$3:$AA$10000,MATCH(ROWS($AC$3:AC4740),$AC$3:$AC$10000,0)),"")</f>
        <v/>
      </c>
    </row>
    <row r="4741" spans="27:30">
      <c r="AA4741" s="117">
        <f>+'Ingredient List - Mother Tinctu'!D4742</f>
        <v>0</v>
      </c>
      <c r="AB4741" s="117">
        <f t="shared" si="77"/>
        <v>0</v>
      </c>
      <c r="AC4741" s="117" t="str">
        <f>IF(AB4741=1,COUNTIF($AB$3:AB4741,1),"")</f>
        <v/>
      </c>
      <c r="AD4741" s="117" t="str">
        <f>IFERROR(INDEX($AA$3:$AA$10000,MATCH(ROWS($AC$3:AC4741),$AC$3:$AC$10000,0)),"")</f>
        <v/>
      </c>
    </row>
    <row r="4742" spans="27:30">
      <c r="AA4742" s="117">
        <f>+'Ingredient List - Mother Tinctu'!D4743</f>
        <v>0</v>
      </c>
      <c r="AB4742" s="117">
        <f t="shared" si="77"/>
        <v>0</v>
      </c>
      <c r="AC4742" s="117" t="str">
        <f>IF(AB4742=1,COUNTIF($AB$3:AB4742,1),"")</f>
        <v/>
      </c>
      <c r="AD4742" s="117" t="str">
        <f>IFERROR(INDEX($AA$3:$AA$10000,MATCH(ROWS($AC$3:AC4742),$AC$3:$AC$10000,0)),"")</f>
        <v/>
      </c>
    </row>
    <row r="4743" spans="27:30">
      <c r="AA4743" s="117">
        <f>+'Ingredient List - Mother Tinctu'!D4744</f>
        <v>0</v>
      </c>
      <c r="AB4743" s="117">
        <f t="shared" si="77"/>
        <v>0</v>
      </c>
      <c r="AC4743" s="117" t="str">
        <f>IF(AB4743=1,COUNTIF($AB$3:AB4743,1),"")</f>
        <v/>
      </c>
      <c r="AD4743" s="117" t="str">
        <f>IFERROR(INDEX($AA$3:$AA$10000,MATCH(ROWS($AC$3:AC4743),$AC$3:$AC$10000,0)),"")</f>
        <v/>
      </c>
    </row>
    <row r="4744" spans="27:30">
      <c r="AA4744" s="117">
        <f>+'Ingredient List - Mother Tinctu'!D4745</f>
        <v>0</v>
      </c>
      <c r="AB4744" s="117">
        <f t="shared" si="77"/>
        <v>0</v>
      </c>
      <c r="AC4744" s="117" t="str">
        <f>IF(AB4744=1,COUNTIF($AB$3:AB4744,1),"")</f>
        <v/>
      </c>
      <c r="AD4744" s="117" t="str">
        <f>IFERROR(INDEX($AA$3:$AA$10000,MATCH(ROWS($AC$3:AC4744),$AC$3:$AC$10000,0)),"")</f>
        <v/>
      </c>
    </row>
    <row r="4745" spans="27:30">
      <c r="AA4745" s="117">
        <f>+'Ingredient List - Mother Tinctu'!D4746</f>
        <v>0</v>
      </c>
      <c r="AB4745" s="117">
        <f t="shared" si="77"/>
        <v>0</v>
      </c>
      <c r="AC4745" s="117" t="str">
        <f>IF(AB4745=1,COUNTIF($AB$3:AB4745,1),"")</f>
        <v/>
      </c>
      <c r="AD4745" s="117" t="str">
        <f>IFERROR(INDEX($AA$3:$AA$10000,MATCH(ROWS($AC$3:AC4745),$AC$3:$AC$10000,0)),"")</f>
        <v/>
      </c>
    </row>
    <row r="4746" spans="27:30">
      <c r="AA4746" s="117">
        <f>+'Ingredient List - Mother Tinctu'!D4747</f>
        <v>0</v>
      </c>
      <c r="AB4746" s="117">
        <f t="shared" si="77"/>
        <v>0</v>
      </c>
      <c r="AC4746" s="117" t="str">
        <f>IF(AB4746=1,COUNTIF($AB$3:AB4746,1),"")</f>
        <v/>
      </c>
      <c r="AD4746" s="117" t="str">
        <f>IFERROR(INDEX($AA$3:$AA$10000,MATCH(ROWS($AC$3:AC4746),$AC$3:$AC$10000,0)),"")</f>
        <v/>
      </c>
    </row>
    <row r="4747" spans="27:30">
      <c r="AA4747" s="117">
        <f>+'Ingredient List - Mother Tinctu'!D4748</f>
        <v>0</v>
      </c>
      <c r="AB4747" s="117">
        <f t="shared" si="77"/>
        <v>0</v>
      </c>
      <c r="AC4747" s="117" t="str">
        <f>IF(AB4747=1,COUNTIF($AB$3:AB4747,1),"")</f>
        <v/>
      </c>
      <c r="AD4747" s="117" t="str">
        <f>IFERROR(INDEX($AA$3:$AA$10000,MATCH(ROWS($AC$3:AC4747),$AC$3:$AC$10000,0)),"")</f>
        <v/>
      </c>
    </row>
    <row r="4748" spans="27:30">
      <c r="AA4748" s="117">
        <f>+'Ingredient List - Mother Tinctu'!D4749</f>
        <v>0</v>
      </c>
      <c r="AB4748" s="117">
        <f t="shared" si="77"/>
        <v>0</v>
      </c>
      <c r="AC4748" s="117" t="str">
        <f>IF(AB4748=1,COUNTIF($AB$3:AB4748,1),"")</f>
        <v/>
      </c>
      <c r="AD4748" s="117" t="str">
        <f>IFERROR(INDEX($AA$3:$AA$10000,MATCH(ROWS($AC$3:AC4748),$AC$3:$AC$10000,0)),"")</f>
        <v/>
      </c>
    </row>
    <row r="4749" spans="27:30">
      <c r="AA4749" s="117">
        <f>+'Ingredient List - Mother Tinctu'!D4750</f>
        <v>0</v>
      </c>
      <c r="AB4749" s="117">
        <f t="shared" si="77"/>
        <v>0</v>
      </c>
      <c r="AC4749" s="117" t="str">
        <f>IF(AB4749=1,COUNTIF($AB$3:AB4749,1),"")</f>
        <v/>
      </c>
      <c r="AD4749" s="117" t="str">
        <f>IFERROR(INDEX($AA$3:$AA$10000,MATCH(ROWS($AC$3:AC4749),$AC$3:$AC$10000,0)),"")</f>
        <v/>
      </c>
    </row>
    <row r="4750" spans="27:30">
      <c r="AA4750" s="117">
        <f>+'Ingredient List - Mother Tinctu'!D4751</f>
        <v>0</v>
      </c>
      <c r="AB4750" s="117">
        <f t="shared" si="77"/>
        <v>0</v>
      </c>
      <c r="AC4750" s="117" t="str">
        <f>IF(AB4750=1,COUNTIF($AB$3:AB4750,1),"")</f>
        <v/>
      </c>
      <c r="AD4750" s="117" t="str">
        <f>IFERROR(INDEX($AA$3:$AA$10000,MATCH(ROWS($AC$3:AC4750),$AC$3:$AC$10000,0)),"")</f>
        <v/>
      </c>
    </row>
    <row r="4751" spans="27:30">
      <c r="AA4751" s="117">
        <f>+'Ingredient List - Mother Tinctu'!D4752</f>
        <v>0</v>
      </c>
      <c r="AB4751" s="117">
        <f t="shared" si="77"/>
        <v>0</v>
      </c>
      <c r="AC4751" s="117" t="str">
        <f>IF(AB4751=1,COUNTIF($AB$3:AB4751,1),"")</f>
        <v/>
      </c>
      <c r="AD4751" s="117" t="str">
        <f>IFERROR(INDEX($AA$3:$AA$10000,MATCH(ROWS($AC$3:AC4751),$AC$3:$AC$10000,0)),"")</f>
        <v/>
      </c>
    </row>
    <row r="4752" spans="27:30">
      <c r="AA4752" s="117">
        <f>+'Ingredient List - Mother Tinctu'!D4753</f>
        <v>0</v>
      </c>
      <c r="AB4752" s="117">
        <f t="shared" si="77"/>
        <v>0</v>
      </c>
      <c r="AC4752" s="117" t="str">
        <f>IF(AB4752=1,COUNTIF($AB$3:AB4752,1),"")</f>
        <v/>
      </c>
      <c r="AD4752" s="117" t="str">
        <f>IFERROR(INDEX($AA$3:$AA$10000,MATCH(ROWS($AC$3:AC4752),$AC$3:$AC$10000,0)),"")</f>
        <v/>
      </c>
    </row>
    <row r="4753" spans="27:30">
      <c r="AA4753" s="117">
        <f>+'Ingredient List - Mother Tinctu'!D4754</f>
        <v>0</v>
      </c>
      <c r="AB4753" s="117">
        <f t="shared" si="77"/>
        <v>0</v>
      </c>
      <c r="AC4753" s="117" t="str">
        <f>IF(AB4753=1,COUNTIF($AB$3:AB4753,1),"")</f>
        <v/>
      </c>
      <c r="AD4753" s="117" t="str">
        <f>IFERROR(INDEX($AA$3:$AA$10000,MATCH(ROWS($AC$3:AC4753),$AC$3:$AC$10000,0)),"")</f>
        <v/>
      </c>
    </row>
    <row r="4754" spans="27:30">
      <c r="AA4754" s="117">
        <f>+'Ingredient List - Mother Tinctu'!D4755</f>
        <v>0</v>
      </c>
      <c r="AB4754" s="117">
        <f t="shared" si="77"/>
        <v>0</v>
      </c>
      <c r="AC4754" s="117" t="str">
        <f>IF(AB4754=1,COUNTIF($AB$3:AB4754,1),"")</f>
        <v/>
      </c>
      <c r="AD4754" s="117" t="str">
        <f>IFERROR(INDEX($AA$3:$AA$10000,MATCH(ROWS($AC$3:AC4754),$AC$3:$AC$10000,0)),"")</f>
        <v/>
      </c>
    </row>
    <row r="4755" spans="27:30">
      <c r="AA4755" s="117">
        <f>+'Ingredient List - Mother Tinctu'!D4756</f>
        <v>0</v>
      </c>
      <c r="AB4755" s="117">
        <f t="shared" si="77"/>
        <v>0</v>
      </c>
      <c r="AC4755" s="117" t="str">
        <f>IF(AB4755=1,COUNTIF($AB$3:AB4755,1),"")</f>
        <v/>
      </c>
      <c r="AD4755" s="117" t="str">
        <f>IFERROR(INDEX($AA$3:$AA$10000,MATCH(ROWS($AC$3:AC4755),$AC$3:$AC$10000,0)),"")</f>
        <v/>
      </c>
    </row>
    <row r="4756" spans="27:30">
      <c r="AA4756" s="117">
        <f>+'Ingredient List - Mother Tinctu'!D4757</f>
        <v>0</v>
      </c>
      <c r="AB4756" s="117">
        <f t="shared" si="77"/>
        <v>0</v>
      </c>
      <c r="AC4756" s="117" t="str">
        <f>IF(AB4756=1,COUNTIF($AB$3:AB4756,1),"")</f>
        <v/>
      </c>
      <c r="AD4756" s="117" t="str">
        <f>IFERROR(INDEX($AA$3:$AA$10000,MATCH(ROWS($AC$3:AC4756),$AC$3:$AC$10000,0)),"")</f>
        <v/>
      </c>
    </row>
    <row r="4757" spans="27:30">
      <c r="AA4757" s="117">
        <f>+'Ingredient List - Mother Tinctu'!D4758</f>
        <v>0</v>
      </c>
      <c r="AB4757" s="117">
        <f t="shared" si="77"/>
        <v>0</v>
      </c>
      <c r="AC4757" s="117" t="str">
        <f>IF(AB4757=1,COUNTIF($AB$3:AB4757,1),"")</f>
        <v/>
      </c>
      <c r="AD4757" s="117" t="str">
        <f>IFERROR(INDEX($AA$3:$AA$10000,MATCH(ROWS($AC$3:AC4757),$AC$3:$AC$10000,0)),"")</f>
        <v/>
      </c>
    </row>
    <row r="4758" spans="27:30">
      <c r="AA4758" s="117">
        <f>+'Ingredient List - Mother Tinctu'!D4759</f>
        <v>0</v>
      </c>
      <c r="AB4758" s="117">
        <f t="shared" si="77"/>
        <v>0</v>
      </c>
      <c r="AC4758" s="117" t="str">
        <f>IF(AB4758=1,COUNTIF($AB$3:AB4758,1),"")</f>
        <v/>
      </c>
      <c r="AD4758" s="117" t="str">
        <f>IFERROR(INDEX($AA$3:$AA$10000,MATCH(ROWS($AC$3:AC4758),$AC$3:$AC$10000,0)),"")</f>
        <v/>
      </c>
    </row>
    <row r="4759" spans="27:30">
      <c r="AA4759" s="117">
        <f>+'Ingredient List - Mother Tinctu'!D4760</f>
        <v>0</v>
      </c>
      <c r="AB4759" s="117">
        <f t="shared" si="77"/>
        <v>0</v>
      </c>
      <c r="AC4759" s="117" t="str">
        <f>IF(AB4759=1,COUNTIF($AB$3:AB4759,1),"")</f>
        <v/>
      </c>
      <c r="AD4759" s="117" t="str">
        <f>IFERROR(INDEX($AA$3:$AA$10000,MATCH(ROWS($AC$3:AC4759),$AC$3:$AC$10000,0)),"")</f>
        <v/>
      </c>
    </row>
    <row r="4760" spans="27:30">
      <c r="AA4760" s="117">
        <f>+'Ingredient List - Mother Tinctu'!D4761</f>
        <v>0</v>
      </c>
      <c r="AB4760" s="117">
        <f t="shared" si="77"/>
        <v>0</v>
      </c>
      <c r="AC4760" s="117" t="str">
        <f>IF(AB4760=1,COUNTIF($AB$3:AB4760,1),"")</f>
        <v/>
      </c>
      <c r="AD4760" s="117" t="str">
        <f>IFERROR(INDEX($AA$3:$AA$10000,MATCH(ROWS($AC$3:AC4760),$AC$3:$AC$10000,0)),"")</f>
        <v/>
      </c>
    </row>
    <row r="4761" spans="27:30">
      <c r="AA4761" s="117">
        <f>+'Ingredient List - Mother Tinctu'!D4762</f>
        <v>0</v>
      </c>
      <c r="AB4761" s="117">
        <f t="shared" si="77"/>
        <v>0</v>
      </c>
      <c r="AC4761" s="117" t="str">
        <f>IF(AB4761=1,COUNTIF($AB$3:AB4761,1),"")</f>
        <v/>
      </c>
      <c r="AD4761" s="117" t="str">
        <f>IFERROR(INDEX($AA$3:$AA$10000,MATCH(ROWS($AC$3:AC4761),$AC$3:$AC$10000,0)),"")</f>
        <v/>
      </c>
    </row>
    <row r="4762" spans="27:30">
      <c r="AA4762" s="117">
        <f>+'Ingredient List - Mother Tinctu'!D4763</f>
        <v>0</v>
      </c>
      <c r="AB4762" s="117">
        <f t="shared" si="77"/>
        <v>0</v>
      </c>
      <c r="AC4762" s="117" t="str">
        <f>IF(AB4762=1,COUNTIF($AB$3:AB4762,1),"")</f>
        <v/>
      </c>
      <c r="AD4762" s="117" t="str">
        <f>IFERROR(INDEX($AA$3:$AA$10000,MATCH(ROWS($AC$3:AC4762),$AC$3:$AC$10000,0)),"")</f>
        <v/>
      </c>
    </row>
    <row r="4763" spans="27:30">
      <c r="AA4763" s="117">
        <f>+'Ingredient List - Mother Tinctu'!D4764</f>
        <v>0</v>
      </c>
      <c r="AB4763" s="117">
        <f t="shared" si="77"/>
        <v>0</v>
      </c>
      <c r="AC4763" s="117" t="str">
        <f>IF(AB4763=1,COUNTIF($AB$3:AB4763,1),"")</f>
        <v/>
      </c>
      <c r="AD4763" s="117" t="str">
        <f>IFERROR(INDEX($AA$3:$AA$10000,MATCH(ROWS($AC$3:AC4763),$AC$3:$AC$10000,0)),"")</f>
        <v/>
      </c>
    </row>
    <row r="4764" spans="27:30">
      <c r="AA4764" s="117">
        <f>+'Ingredient List - Mother Tinctu'!D4765</f>
        <v>0</v>
      </c>
      <c r="AB4764" s="117">
        <f t="shared" si="77"/>
        <v>0</v>
      </c>
      <c r="AC4764" s="117" t="str">
        <f>IF(AB4764=1,COUNTIF($AB$3:AB4764,1),"")</f>
        <v/>
      </c>
      <c r="AD4764" s="117" t="str">
        <f>IFERROR(INDEX($AA$3:$AA$10000,MATCH(ROWS($AC$3:AC4764),$AC$3:$AC$10000,0)),"")</f>
        <v/>
      </c>
    </row>
    <row r="4765" spans="27:30">
      <c r="AA4765" s="117">
        <f>+'Ingredient List - Mother Tinctu'!D4766</f>
        <v>0</v>
      </c>
      <c r="AB4765" s="117">
        <f t="shared" si="77"/>
        <v>0</v>
      </c>
      <c r="AC4765" s="117" t="str">
        <f>IF(AB4765=1,COUNTIF($AB$3:AB4765,1),"")</f>
        <v/>
      </c>
      <c r="AD4765" s="117" t="str">
        <f>IFERROR(INDEX($AA$3:$AA$10000,MATCH(ROWS($AC$3:AC4765),$AC$3:$AC$10000,0)),"")</f>
        <v/>
      </c>
    </row>
    <row r="4766" spans="27:30">
      <c r="AA4766" s="117">
        <f>+'Ingredient List - Mother Tinctu'!D4767</f>
        <v>0</v>
      </c>
      <c r="AB4766" s="117">
        <f t="shared" si="77"/>
        <v>0</v>
      </c>
      <c r="AC4766" s="117" t="str">
        <f>IF(AB4766=1,COUNTIF($AB$3:AB4766,1),"")</f>
        <v/>
      </c>
      <c r="AD4766" s="117" t="str">
        <f>IFERROR(INDEX($AA$3:$AA$10000,MATCH(ROWS($AC$3:AC4766),$AC$3:$AC$10000,0)),"")</f>
        <v/>
      </c>
    </row>
    <row r="4767" spans="27:30">
      <c r="AA4767" s="117">
        <f>+'Ingredient List - Mother Tinctu'!D4768</f>
        <v>0</v>
      </c>
      <c r="AB4767" s="117">
        <f t="shared" si="77"/>
        <v>0</v>
      </c>
      <c r="AC4767" s="117" t="str">
        <f>IF(AB4767=1,COUNTIF($AB$3:AB4767,1),"")</f>
        <v/>
      </c>
      <c r="AD4767" s="117" t="str">
        <f>IFERROR(INDEX($AA$3:$AA$10000,MATCH(ROWS($AC$3:AC4767),$AC$3:$AC$10000,0)),"")</f>
        <v/>
      </c>
    </row>
    <row r="4768" spans="27:30">
      <c r="AA4768" s="117">
        <f>+'Ingredient List - Mother Tinctu'!D4769</f>
        <v>0</v>
      </c>
      <c r="AB4768" s="117">
        <f t="shared" si="77"/>
        <v>0</v>
      </c>
      <c r="AC4768" s="117" t="str">
        <f>IF(AB4768=1,COUNTIF($AB$3:AB4768,1),"")</f>
        <v/>
      </c>
      <c r="AD4768" s="117" t="str">
        <f>IFERROR(INDEX($AA$3:$AA$10000,MATCH(ROWS($AC$3:AC4768),$AC$3:$AC$10000,0)),"")</f>
        <v/>
      </c>
    </row>
    <row r="4769" spans="27:30">
      <c r="AA4769" s="117">
        <f>+'Ingredient List - Mother Tinctu'!D4770</f>
        <v>0</v>
      </c>
      <c r="AB4769" s="117">
        <f t="shared" si="77"/>
        <v>0</v>
      </c>
      <c r="AC4769" s="117" t="str">
        <f>IF(AB4769=1,COUNTIF($AB$3:AB4769,1),"")</f>
        <v/>
      </c>
      <c r="AD4769" s="117" t="str">
        <f>IFERROR(INDEX($AA$3:$AA$10000,MATCH(ROWS($AC$3:AC4769),$AC$3:$AC$10000,0)),"")</f>
        <v/>
      </c>
    </row>
    <row r="4770" spans="27:30">
      <c r="AA4770" s="117">
        <f>+'Ingredient List - Mother Tinctu'!D4771</f>
        <v>0</v>
      </c>
      <c r="AB4770" s="117">
        <f t="shared" si="77"/>
        <v>0</v>
      </c>
      <c r="AC4770" s="117" t="str">
        <f>IF(AB4770=1,COUNTIF($AB$3:AB4770,1),"")</f>
        <v/>
      </c>
      <c r="AD4770" s="117" t="str">
        <f>IFERROR(INDEX($AA$3:$AA$10000,MATCH(ROWS($AC$3:AC4770),$AC$3:$AC$10000,0)),"")</f>
        <v/>
      </c>
    </row>
    <row r="4771" spans="27:30">
      <c r="AA4771" s="117">
        <f>+'Ingredient List - Mother Tinctu'!D4772</f>
        <v>0</v>
      </c>
      <c r="AB4771" s="117">
        <f t="shared" si="77"/>
        <v>0</v>
      </c>
      <c r="AC4771" s="117" t="str">
        <f>IF(AB4771=1,COUNTIF($AB$3:AB4771,1),"")</f>
        <v/>
      </c>
      <c r="AD4771" s="117" t="str">
        <f>IFERROR(INDEX($AA$3:$AA$10000,MATCH(ROWS($AC$3:AC4771),$AC$3:$AC$10000,0)),"")</f>
        <v/>
      </c>
    </row>
    <row r="4772" spans="27:30">
      <c r="AA4772" s="117">
        <f>+'Ingredient List - Mother Tinctu'!D4773</f>
        <v>0</v>
      </c>
      <c r="AB4772" s="117">
        <f t="shared" si="77"/>
        <v>0</v>
      </c>
      <c r="AC4772" s="117" t="str">
        <f>IF(AB4772=1,COUNTIF($AB$3:AB4772,1),"")</f>
        <v/>
      </c>
      <c r="AD4772" s="117" t="str">
        <f>IFERROR(INDEX($AA$3:$AA$10000,MATCH(ROWS($AC$3:AC4772),$AC$3:$AC$10000,0)),"")</f>
        <v/>
      </c>
    </row>
    <row r="4773" spans="27:30">
      <c r="AA4773" s="117">
        <f>+'Ingredient List - Mother Tinctu'!D4774</f>
        <v>0</v>
      </c>
      <c r="AB4773" s="117">
        <f t="shared" si="77"/>
        <v>0</v>
      </c>
      <c r="AC4773" s="117" t="str">
        <f>IF(AB4773=1,COUNTIF($AB$3:AB4773,1),"")</f>
        <v/>
      </c>
      <c r="AD4773" s="117" t="str">
        <f>IFERROR(INDEX($AA$3:$AA$10000,MATCH(ROWS($AC$3:AC4773),$AC$3:$AC$10000,0)),"")</f>
        <v/>
      </c>
    </row>
    <row r="4774" spans="27:30">
      <c r="AA4774" s="117">
        <f>+'Ingredient List - Mother Tinctu'!D4775</f>
        <v>0</v>
      </c>
      <c r="AB4774" s="117">
        <f t="shared" si="77"/>
        <v>0</v>
      </c>
      <c r="AC4774" s="117" t="str">
        <f>IF(AB4774=1,COUNTIF($AB$3:AB4774,1),"")</f>
        <v/>
      </c>
      <c r="AD4774" s="117" t="str">
        <f>IFERROR(INDEX($AA$3:$AA$10000,MATCH(ROWS($AC$3:AC4774),$AC$3:$AC$10000,0)),"")</f>
        <v/>
      </c>
    </row>
    <row r="4775" spans="27:30">
      <c r="AA4775" s="117">
        <f>+'Ingredient List - Mother Tinctu'!D4776</f>
        <v>0</v>
      </c>
      <c r="AB4775" s="117">
        <f t="shared" si="77"/>
        <v>0</v>
      </c>
      <c r="AC4775" s="117" t="str">
        <f>IF(AB4775=1,COUNTIF($AB$3:AB4775,1),"")</f>
        <v/>
      </c>
      <c r="AD4775" s="117" t="str">
        <f>IFERROR(INDEX($AA$3:$AA$10000,MATCH(ROWS($AC$3:AC4775),$AC$3:$AC$10000,0)),"")</f>
        <v/>
      </c>
    </row>
    <row r="4776" spans="27:30">
      <c r="AA4776" s="117">
        <f>+'Ingredient List - Mother Tinctu'!D4777</f>
        <v>0</v>
      </c>
      <c r="AB4776" s="117">
        <f t="shared" si="77"/>
        <v>0</v>
      </c>
      <c r="AC4776" s="117" t="str">
        <f>IF(AB4776=1,COUNTIF($AB$3:AB4776,1),"")</f>
        <v/>
      </c>
      <c r="AD4776" s="117" t="str">
        <f>IFERROR(INDEX($AA$3:$AA$10000,MATCH(ROWS($AC$3:AC4776),$AC$3:$AC$10000,0)),"")</f>
        <v/>
      </c>
    </row>
    <row r="4777" spans="27:30">
      <c r="AA4777" s="117">
        <f>+'Ingredient List - Mother Tinctu'!D4778</f>
        <v>0</v>
      </c>
      <c r="AB4777" s="117">
        <f t="shared" si="77"/>
        <v>0</v>
      </c>
      <c r="AC4777" s="117" t="str">
        <f>IF(AB4777=1,COUNTIF($AB$3:AB4777,1),"")</f>
        <v/>
      </c>
      <c r="AD4777" s="117" t="str">
        <f>IFERROR(INDEX($AA$3:$AA$10000,MATCH(ROWS($AC$3:AC4777),$AC$3:$AC$10000,0)),"")</f>
        <v/>
      </c>
    </row>
    <row r="4778" spans="27:30">
      <c r="AA4778" s="117">
        <f>+'Ingredient List - Mother Tinctu'!D4779</f>
        <v>0</v>
      </c>
      <c r="AB4778" s="117">
        <f t="shared" si="77"/>
        <v>0</v>
      </c>
      <c r="AC4778" s="117" t="str">
        <f>IF(AB4778=1,COUNTIF($AB$3:AB4778,1),"")</f>
        <v/>
      </c>
      <c r="AD4778" s="117" t="str">
        <f>IFERROR(INDEX($AA$3:$AA$10000,MATCH(ROWS($AC$3:AC4778),$AC$3:$AC$10000,0)),"")</f>
        <v/>
      </c>
    </row>
    <row r="4779" spans="27:30">
      <c r="AA4779" s="117">
        <f>+'Ingredient List - Mother Tinctu'!D4780</f>
        <v>0</v>
      </c>
      <c r="AB4779" s="117">
        <f t="shared" si="77"/>
        <v>0</v>
      </c>
      <c r="AC4779" s="117" t="str">
        <f>IF(AB4779=1,COUNTIF($AB$3:AB4779,1),"")</f>
        <v/>
      </c>
      <c r="AD4779" s="117" t="str">
        <f>IFERROR(INDEX($AA$3:$AA$10000,MATCH(ROWS($AC$3:AC4779),$AC$3:$AC$10000,0)),"")</f>
        <v/>
      </c>
    </row>
    <row r="4780" spans="27:30">
      <c r="AA4780" s="117">
        <f>+'Ingredient List - Mother Tinctu'!D4781</f>
        <v>0</v>
      </c>
      <c r="AB4780" s="117">
        <f t="shared" si="77"/>
        <v>0</v>
      </c>
      <c r="AC4780" s="117" t="str">
        <f>IF(AB4780=1,COUNTIF($AB$3:AB4780,1),"")</f>
        <v/>
      </c>
      <c r="AD4780" s="117" t="str">
        <f>IFERROR(INDEX($AA$3:$AA$10000,MATCH(ROWS($AC$3:AC4780),$AC$3:$AC$10000,0)),"")</f>
        <v/>
      </c>
    </row>
    <row r="4781" spans="27:30">
      <c r="AA4781" s="117">
        <f>+'Ingredient List - Mother Tinctu'!D4782</f>
        <v>0</v>
      </c>
      <c r="AB4781" s="117">
        <f t="shared" si="77"/>
        <v>0</v>
      </c>
      <c r="AC4781" s="117" t="str">
        <f>IF(AB4781=1,COUNTIF($AB$3:AB4781,1),"")</f>
        <v/>
      </c>
      <c r="AD4781" s="117" t="str">
        <f>IFERROR(INDEX($AA$3:$AA$10000,MATCH(ROWS($AC$3:AC4781),$AC$3:$AC$10000,0)),"")</f>
        <v/>
      </c>
    </row>
    <row r="4782" spans="27:30">
      <c r="AA4782" s="117">
        <f>+'Ingredient List - Mother Tinctu'!D4783</f>
        <v>0</v>
      </c>
      <c r="AB4782" s="117">
        <f t="shared" si="77"/>
        <v>0</v>
      </c>
      <c r="AC4782" s="117" t="str">
        <f>IF(AB4782=1,COUNTIF($AB$3:AB4782,1),"")</f>
        <v/>
      </c>
      <c r="AD4782" s="117" t="str">
        <f>IFERROR(INDEX($AA$3:$AA$10000,MATCH(ROWS($AC$3:AC4782),$AC$3:$AC$10000,0)),"")</f>
        <v/>
      </c>
    </row>
    <row r="4783" spans="27:30">
      <c r="AA4783" s="117">
        <f>+'Ingredient List - Mother Tinctu'!D4784</f>
        <v>0</v>
      </c>
      <c r="AB4783" s="117">
        <f t="shared" si="77"/>
        <v>0</v>
      </c>
      <c r="AC4783" s="117" t="str">
        <f>IF(AB4783=1,COUNTIF($AB$3:AB4783,1),"")</f>
        <v/>
      </c>
      <c r="AD4783" s="117" t="str">
        <f>IFERROR(INDEX($AA$3:$AA$10000,MATCH(ROWS($AC$3:AC4783),$AC$3:$AC$10000,0)),"")</f>
        <v/>
      </c>
    </row>
    <row r="4784" spans="27:30">
      <c r="AA4784" s="117">
        <f>+'Ingredient List - Mother Tinctu'!D4785</f>
        <v>0</v>
      </c>
      <c r="AB4784" s="117">
        <f t="shared" si="77"/>
        <v>0</v>
      </c>
      <c r="AC4784" s="117" t="str">
        <f>IF(AB4784=1,COUNTIF($AB$3:AB4784,1),"")</f>
        <v/>
      </c>
      <c r="AD4784" s="117" t="str">
        <f>IFERROR(INDEX($AA$3:$AA$10000,MATCH(ROWS($AC$3:AC4784),$AC$3:$AC$10000,0)),"")</f>
        <v/>
      </c>
    </row>
    <row r="4785" spans="27:30">
      <c r="AA4785" s="117">
        <f>+'Ingredient List - Mother Tinctu'!D4786</f>
        <v>0</v>
      </c>
      <c r="AB4785" s="117">
        <f t="shared" si="77"/>
        <v>0</v>
      </c>
      <c r="AC4785" s="117" t="str">
        <f>IF(AB4785=1,COUNTIF($AB$3:AB4785,1),"")</f>
        <v/>
      </c>
      <c r="AD4785" s="117" t="str">
        <f>IFERROR(INDEX($AA$3:$AA$10000,MATCH(ROWS($AC$3:AC4785),$AC$3:$AC$10000,0)),"")</f>
        <v/>
      </c>
    </row>
    <row r="4786" spans="27:30">
      <c r="AA4786" s="117">
        <f>+'Ingredient List - Mother Tinctu'!D4787</f>
        <v>0</v>
      </c>
      <c r="AB4786" s="117">
        <f t="shared" si="77"/>
        <v>0</v>
      </c>
      <c r="AC4786" s="117" t="str">
        <f>IF(AB4786=1,COUNTIF($AB$3:AB4786,1),"")</f>
        <v/>
      </c>
      <c r="AD4786" s="117" t="str">
        <f>IFERROR(INDEX($AA$3:$AA$10000,MATCH(ROWS($AC$3:AC4786),$AC$3:$AC$10000,0)),"")</f>
        <v/>
      </c>
    </row>
    <row r="4787" spans="27:30">
      <c r="AA4787" s="117">
        <f>+'Ingredient List - Mother Tinctu'!D4788</f>
        <v>0</v>
      </c>
      <c r="AB4787" s="117">
        <f t="shared" si="77"/>
        <v>0</v>
      </c>
      <c r="AC4787" s="117" t="str">
        <f>IF(AB4787=1,COUNTIF($AB$3:AB4787,1),"")</f>
        <v/>
      </c>
      <c r="AD4787" s="117" t="str">
        <f>IFERROR(INDEX($AA$3:$AA$10000,MATCH(ROWS($AC$3:AC4787),$AC$3:$AC$10000,0)),"")</f>
        <v/>
      </c>
    </row>
    <row r="4788" spans="27:30">
      <c r="AA4788" s="117">
        <f>+'Ingredient List - Mother Tinctu'!D4789</f>
        <v>0</v>
      </c>
      <c r="AB4788" s="117">
        <f t="shared" si="77"/>
        <v>0</v>
      </c>
      <c r="AC4788" s="117" t="str">
        <f>IF(AB4788=1,COUNTIF($AB$3:AB4788,1),"")</f>
        <v/>
      </c>
      <c r="AD4788" s="117" t="str">
        <f>IFERROR(INDEX($AA$3:$AA$10000,MATCH(ROWS($AC$3:AC4788),$AC$3:$AC$10000,0)),"")</f>
        <v/>
      </c>
    </row>
    <row r="4789" spans="27:30">
      <c r="AA4789" s="117">
        <f>+'Ingredient List - Mother Tinctu'!D4790</f>
        <v>0</v>
      </c>
      <c r="AB4789" s="117">
        <f t="shared" si="77"/>
        <v>0</v>
      </c>
      <c r="AC4789" s="117" t="str">
        <f>IF(AB4789=1,COUNTIF($AB$3:AB4789,1),"")</f>
        <v/>
      </c>
      <c r="AD4789" s="117" t="str">
        <f>IFERROR(INDEX($AA$3:$AA$10000,MATCH(ROWS($AC$3:AC4789),$AC$3:$AC$10000,0)),"")</f>
        <v/>
      </c>
    </row>
    <row r="4790" spans="27:30">
      <c r="AA4790" s="117">
        <f>+'Ingredient List - Mother Tinctu'!D4791</f>
        <v>0</v>
      </c>
      <c r="AB4790" s="117">
        <f t="shared" si="77"/>
        <v>0</v>
      </c>
      <c r="AC4790" s="117" t="str">
        <f>IF(AB4790=1,COUNTIF($AB$3:AB4790,1),"")</f>
        <v/>
      </c>
      <c r="AD4790" s="117" t="str">
        <f>IFERROR(INDEX($AA$3:$AA$10000,MATCH(ROWS($AC$3:AC4790),$AC$3:$AC$10000,0)),"")</f>
        <v/>
      </c>
    </row>
    <row r="4791" spans="27:30">
      <c r="AA4791" s="117">
        <f>+'Ingredient List - Mother Tinctu'!D4792</f>
        <v>0</v>
      </c>
      <c r="AB4791" s="117">
        <f t="shared" si="77"/>
        <v>0</v>
      </c>
      <c r="AC4791" s="117" t="str">
        <f>IF(AB4791=1,COUNTIF($AB$3:AB4791,1),"")</f>
        <v/>
      </c>
      <c r="AD4791" s="117" t="str">
        <f>IFERROR(INDEX($AA$3:$AA$10000,MATCH(ROWS($AC$3:AC4791),$AC$3:$AC$10000,0)),"")</f>
        <v/>
      </c>
    </row>
    <row r="4792" spans="27:30">
      <c r="AA4792" s="117">
        <f>+'Ingredient List - Mother Tinctu'!D4793</f>
        <v>0</v>
      </c>
      <c r="AB4792" s="117">
        <f t="shared" si="77"/>
        <v>0</v>
      </c>
      <c r="AC4792" s="117" t="str">
        <f>IF(AB4792=1,COUNTIF($AB$3:AB4792,1),"")</f>
        <v/>
      </c>
      <c r="AD4792" s="117" t="str">
        <f>IFERROR(INDEX($AA$3:$AA$10000,MATCH(ROWS($AC$3:AC4792),$AC$3:$AC$10000,0)),"")</f>
        <v/>
      </c>
    </row>
    <row r="4793" spans="27:30">
      <c r="AA4793" s="117">
        <f>+'Ingredient List - Mother Tinctu'!D4794</f>
        <v>0</v>
      </c>
      <c r="AB4793" s="117">
        <f t="shared" si="77"/>
        <v>0</v>
      </c>
      <c r="AC4793" s="117" t="str">
        <f>IF(AB4793=1,COUNTIF($AB$3:AB4793,1),"")</f>
        <v/>
      </c>
      <c r="AD4793" s="117" t="str">
        <f>IFERROR(INDEX($AA$3:$AA$10000,MATCH(ROWS($AC$3:AC4793),$AC$3:$AC$10000,0)),"")</f>
        <v/>
      </c>
    </row>
    <row r="4794" spans="27:30">
      <c r="AA4794" s="117">
        <f>+'Ingredient List - Mother Tinctu'!D4795</f>
        <v>0</v>
      </c>
      <c r="AB4794" s="117">
        <f t="shared" si="77"/>
        <v>0</v>
      </c>
      <c r="AC4794" s="117" t="str">
        <f>IF(AB4794=1,COUNTIF($AB$3:AB4794,1),"")</f>
        <v/>
      </c>
      <c r="AD4794" s="117" t="str">
        <f>IFERROR(INDEX($AA$3:$AA$10000,MATCH(ROWS($AC$3:AC4794),$AC$3:$AC$10000,0)),"")</f>
        <v/>
      </c>
    </row>
    <row r="4795" spans="27:30">
      <c r="AA4795" s="117">
        <f>+'Ingredient List - Mother Tinctu'!D4796</f>
        <v>0</v>
      </c>
      <c r="AB4795" s="117">
        <f t="shared" si="77"/>
        <v>0</v>
      </c>
      <c r="AC4795" s="117" t="str">
        <f>IF(AB4795=1,COUNTIF($AB$3:AB4795,1),"")</f>
        <v/>
      </c>
      <c r="AD4795" s="117" t="str">
        <f>IFERROR(INDEX($AA$3:$AA$10000,MATCH(ROWS($AC$3:AC4795),$AC$3:$AC$10000,0)),"")</f>
        <v/>
      </c>
    </row>
    <row r="4796" spans="27:30">
      <c r="AA4796" s="117">
        <f>+'Ingredient List - Mother Tinctu'!D4797</f>
        <v>0</v>
      </c>
      <c r="AB4796" s="117">
        <f t="shared" si="77"/>
        <v>0</v>
      </c>
      <c r="AC4796" s="117" t="str">
        <f>IF(AB4796=1,COUNTIF($AB$3:AB4796,1),"")</f>
        <v/>
      </c>
      <c r="AD4796" s="117" t="str">
        <f>IFERROR(INDEX($AA$3:$AA$10000,MATCH(ROWS($AC$3:AC4796),$AC$3:$AC$10000,0)),"")</f>
        <v/>
      </c>
    </row>
    <row r="4797" spans="27:30">
      <c r="AA4797" s="117">
        <f>+'Ingredient List - Mother Tinctu'!D4798</f>
        <v>0</v>
      </c>
      <c r="AB4797" s="117">
        <f t="shared" si="77"/>
        <v>0</v>
      </c>
      <c r="AC4797" s="117" t="str">
        <f>IF(AB4797=1,COUNTIF($AB$3:AB4797,1),"")</f>
        <v/>
      </c>
      <c r="AD4797" s="117" t="str">
        <f>IFERROR(INDEX($AA$3:$AA$10000,MATCH(ROWS($AC$3:AC4797),$AC$3:$AC$10000,0)),"")</f>
        <v/>
      </c>
    </row>
    <row r="4798" spans="27:30">
      <c r="AA4798" s="117">
        <f>+'Ingredient List - Mother Tinctu'!D4799</f>
        <v>0</v>
      </c>
      <c r="AB4798" s="117">
        <f t="shared" si="77"/>
        <v>0</v>
      </c>
      <c r="AC4798" s="117" t="str">
        <f>IF(AB4798=1,COUNTIF($AB$3:AB4798,1),"")</f>
        <v/>
      </c>
      <c r="AD4798" s="117" t="str">
        <f>IFERROR(INDEX($AA$3:$AA$10000,MATCH(ROWS($AC$3:AC4798),$AC$3:$AC$10000,0)),"")</f>
        <v/>
      </c>
    </row>
    <row r="4799" spans="27:30">
      <c r="AA4799" s="117">
        <f>+'Ingredient List - Mother Tinctu'!D4800</f>
        <v>0</v>
      </c>
      <c r="AB4799" s="117">
        <f t="shared" si="77"/>
        <v>0</v>
      </c>
      <c r="AC4799" s="117" t="str">
        <f>IF(AB4799=1,COUNTIF($AB$3:AB4799,1),"")</f>
        <v/>
      </c>
      <c r="AD4799" s="117" t="str">
        <f>IFERROR(INDEX($AA$3:$AA$10000,MATCH(ROWS($AC$3:AC4799),$AC$3:$AC$10000,0)),"")</f>
        <v/>
      </c>
    </row>
    <row r="4800" spans="27:30">
      <c r="AA4800" s="117">
        <f>+'Ingredient List - Mother Tinctu'!D4801</f>
        <v>0</v>
      </c>
      <c r="AB4800" s="117">
        <f t="shared" si="77"/>
        <v>0</v>
      </c>
      <c r="AC4800" s="117" t="str">
        <f>IF(AB4800=1,COUNTIF($AB$3:AB4800,1),"")</f>
        <v/>
      </c>
      <c r="AD4800" s="117" t="str">
        <f>IFERROR(INDEX($AA$3:$AA$10000,MATCH(ROWS($AC$3:AC4800),$AC$3:$AC$10000,0)),"")</f>
        <v/>
      </c>
    </row>
    <row r="4801" spans="27:30">
      <c r="AA4801" s="117">
        <f>+'Ingredient List - Mother Tinctu'!D4802</f>
        <v>0</v>
      </c>
      <c r="AB4801" s="117">
        <f t="shared" si="77"/>
        <v>0</v>
      </c>
      <c r="AC4801" s="117" t="str">
        <f>IF(AB4801=1,COUNTIF($AB$3:AB4801,1),"")</f>
        <v/>
      </c>
      <c r="AD4801" s="117" t="str">
        <f>IFERROR(INDEX($AA$3:$AA$10000,MATCH(ROWS($AC$3:AC4801),$AC$3:$AC$10000,0)),"")</f>
        <v/>
      </c>
    </row>
    <row r="4802" spans="27:30">
      <c r="AA4802" s="117">
        <f>+'Ingredient List - Mother Tinctu'!D4803</f>
        <v>0</v>
      </c>
      <c r="AB4802" s="117">
        <f t="shared" si="77"/>
        <v>0</v>
      </c>
      <c r="AC4802" s="117" t="str">
        <f>IF(AB4802=1,COUNTIF($AB$3:AB4802,1),"")</f>
        <v/>
      </c>
      <c r="AD4802" s="117" t="str">
        <f>IFERROR(INDEX($AA$3:$AA$10000,MATCH(ROWS($AC$3:AC4802),$AC$3:$AC$10000,0)),"")</f>
        <v/>
      </c>
    </row>
    <row r="4803" spans="27:30">
      <c r="AA4803" s="117">
        <f>+'Ingredient List - Mother Tinctu'!D4804</f>
        <v>0</v>
      </c>
      <c r="AB4803" s="117">
        <f t="shared" si="77"/>
        <v>0</v>
      </c>
      <c r="AC4803" s="117" t="str">
        <f>IF(AB4803=1,COUNTIF($AB$3:AB4803,1),"")</f>
        <v/>
      </c>
      <c r="AD4803" s="117" t="str">
        <f>IFERROR(INDEX($AA$3:$AA$10000,MATCH(ROWS($AC$3:AC4803),$AC$3:$AC$10000,0)),"")</f>
        <v/>
      </c>
    </row>
    <row r="4804" spans="27:30">
      <c r="AA4804" s="117">
        <f>+'Ingredient List - Mother Tinctu'!D4805</f>
        <v>0</v>
      </c>
      <c r="AB4804" s="117">
        <f t="shared" ref="AB4804:AB4867" si="78">--ISNUMBER(IFERROR(SEARCH($D$3,AA4804,1),""))</f>
        <v>0</v>
      </c>
      <c r="AC4804" s="117" t="str">
        <f>IF(AB4804=1,COUNTIF($AB$3:AB4804,1),"")</f>
        <v/>
      </c>
      <c r="AD4804" s="117" t="str">
        <f>IFERROR(INDEX($AA$3:$AA$10000,MATCH(ROWS($AC$3:AC4804),$AC$3:$AC$10000,0)),"")</f>
        <v/>
      </c>
    </row>
    <row r="4805" spans="27:30">
      <c r="AA4805" s="117">
        <f>+'Ingredient List - Mother Tinctu'!D4806</f>
        <v>0</v>
      </c>
      <c r="AB4805" s="117">
        <f t="shared" si="78"/>
        <v>0</v>
      </c>
      <c r="AC4805" s="117" t="str">
        <f>IF(AB4805=1,COUNTIF($AB$3:AB4805,1),"")</f>
        <v/>
      </c>
      <c r="AD4805" s="117" t="str">
        <f>IFERROR(INDEX($AA$3:$AA$10000,MATCH(ROWS($AC$3:AC4805),$AC$3:$AC$10000,0)),"")</f>
        <v/>
      </c>
    </row>
    <row r="4806" spans="27:30">
      <c r="AA4806" s="117">
        <f>+'Ingredient List - Mother Tinctu'!D4807</f>
        <v>0</v>
      </c>
      <c r="AB4806" s="117">
        <f t="shared" si="78"/>
        <v>0</v>
      </c>
      <c r="AC4806" s="117" t="str">
        <f>IF(AB4806=1,COUNTIF($AB$3:AB4806,1),"")</f>
        <v/>
      </c>
      <c r="AD4806" s="117" t="str">
        <f>IFERROR(INDEX($AA$3:$AA$10000,MATCH(ROWS($AC$3:AC4806),$AC$3:$AC$10000,0)),"")</f>
        <v/>
      </c>
    </row>
    <row r="4807" spans="27:30">
      <c r="AA4807" s="117">
        <f>+'Ingredient List - Mother Tinctu'!D4808</f>
        <v>0</v>
      </c>
      <c r="AB4807" s="117">
        <f t="shared" si="78"/>
        <v>0</v>
      </c>
      <c r="AC4807" s="117" t="str">
        <f>IF(AB4807=1,COUNTIF($AB$3:AB4807,1),"")</f>
        <v/>
      </c>
      <c r="AD4807" s="117" t="str">
        <f>IFERROR(INDEX($AA$3:$AA$10000,MATCH(ROWS($AC$3:AC4807),$AC$3:$AC$10000,0)),"")</f>
        <v/>
      </c>
    </row>
    <row r="4808" spans="27:30">
      <c r="AA4808" s="117">
        <f>+'Ingredient List - Mother Tinctu'!D4809</f>
        <v>0</v>
      </c>
      <c r="AB4808" s="117">
        <f t="shared" si="78"/>
        <v>0</v>
      </c>
      <c r="AC4808" s="117" t="str">
        <f>IF(AB4808=1,COUNTIF($AB$3:AB4808,1),"")</f>
        <v/>
      </c>
      <c r="AD4808" s="117" t="str">
        <f>IFERROR(INDEX($AA$3:$AA$10000,MATCH(ROWS($AC$3:AC4808),$AC$3:$AC$10000,0)),"")</f>
        <v/>
      </c>
    </row>
    <row r="4809" spans="27:30">
      <c r="AA4809" s="117">
        <f>+'Ingredient List - Mother Tinctu'!D4810</f>
        <v>0</v>
      </c>
      <c r="AB4809" s="117">
        <f t="shared" si="78"/>
        <v>0</v>
      </c>
      <c r="AC4809" s="117" t="str">
        <f>IF(AB4809=1,COUNTIF($AB$3:AB4809,1),"")</f>
        <v/>
      </c>
      <c r="AD4809" s="117" t="str">
        <f>IFERROR(INDEX($AA$3:$AA$10000,MATCH(ROWS($AC$3:AC4809),$AC$3:$AC$10000,0)),"")</f>
        <v/>
      </c>
    </row>
    <row r="4810" spans="27:30">
      <c r="AA4810" s="117">
        <f>+'Ingredient List - Mother Tinctu'!D4811</f>
        <v>0</v>
      </c>
      <c r="AB4810" s="117">
        <f t="shared" si="78"/>
        <v>0</v>
      </c>
      <c r="AC4810" s="117" t="str">
        <f>IF(AB4810=1,COUNTIF($AB$3:AB4810,1),"")</f>
        <v/>
      </c>
      <c r="AD4810" s="117" t="str">
        <f>IFERROR(INDEX($AA$3:$AA$10000,MATCH(ROWS($AC$3:AC4810),$AC$3:$AC$10000,0)),"")</f>
        <v/>
      </c>
    </row>
    <row r="4811" spans="27:30">
      <c r="AA4811" s="117">
        <f>+'Ingredient List - Mother Tinctu'!D4812</f>
        <v>0</v>
      </c>
      <c r="AB4811" s="117">
        <f t="shared" si="78"/>
        <v>0</v>
      </c>
      <c r="AC4811" s="117" t="str">
        <f>IF(AB4811=1,COUNTIF($AB$3:AB4811,1),"")</f>
        <v/>
      </c>
      <c r="AD4811" s="117" t="str">
        <f>IFERROR(INDEX($AA$3:$AA$10000,MATCH(ROWS($AC$3:AC4811),$AC$3:$AC$10000,0)),"")</f>
        <v/>
      </c>
    </row>
    <row r="4812" spans="27:30">
      <c r="AA4812" s="117">
        <f>+'Ingredient List - Mother Tinctu'!D4813</f>
        <v>0</v>
      </c>
      <c r="AB4812" s="117">
        <f t="shared" si="78"/>
        <v>0</v>
      </c>
      <c r="AC4812" s="117" t="str">
        <f>IF(AB4812=1,COUNTIF($AB$3:AB4812,1),"")</f>
        <v/>
      </c>
      <c r="AD4812" s="117" t="str">
        <f>IFERROR(INDEX($AA$3:$AA$10000,MATCH(ROWS($AC$3:AC4812),$AC$3:$AC$10000,0)),"")</f>
        <v/>
      </c>
    </row>
    <row r="4813" spans="27:30">
      <c r="AA4813" s="117">
        <f>+'Ingredient List - Mother Tinctu'!D4814</f>
        <v>0</v>
      </c>
      <c r="AB4813" s="117">
        <f t="shared" si="78"/>
        <v>0</v>
      </c>
      <c r="AC4813" s="117" t="str">
        <f>IF(AB4813=1,COUNTIF($AB$3:AB4813,1),"")</f>
        <v/>
      </c>
      <c r="AD4813" s="117" t="str">
        <f>IFERROR(INDEX($AA$3:$AA$10000,MATCH(ROWS($AC$3:AC4813),$AC$3:$AC$10000,0)),"")</f>
        <v/>
      </c>
    </row>
    <row r="4814" spans="27:30">
      <c r="AA4814" s="117">
        <f>+'Ingredient List - Mother Tinctu'!D4815</f>
        <v>0</v>
      </c>
      <c r="AB4814" s="117">
        <f t="shared" si="78"/>
        <v>0</v>
      </c>
      <c r="AC4814" s="117" t="str">
        <f>IF(AB4814=1,COUNTIF($AB$3:AB4814,1),"")</f>
        <v/>
      </c>
      <c r="AD4814" s="117" t="str">
        <f>IFERROR(INDEX($AA$3:$AA$10000,MATCH(ROWS($AC$3:AC4814),$AC$3:$AC$10000,0)),"")</f>
        <v/>
      </c>
    </row>
    <row r="4815" spans="27:30">
      <c r="AA4815" s="117">
        <f>+'Ingredient List - Mother Tinctu'!D4816</f>
        <v>0</v>
      </c>
      <c r="AB4815" s="117">
        <f t="shared" si="78"/>
        <v>0</v>
      </c>
      <c r="AC4815" s="117" t="str">
        <f>IF(AB4815=1,COUNTIF($AB$3:AB4815,1),"")</f>
        <v/>
      </c>
      <c r="AD4815" s="117" t="str">
        <f>IFERROR(INDEX($AA$3:$AA$10000,MATCH(ROWS($AC$3:AC4815),$AC$3:$AC$10000,0)),"")</f>
        <v/>
      </c>
    </row>
    <row r="4816" spans="27:30">
      <c r="AA4816" s="117">
        <f>+'Ingredient List - Mother Tinctu'!D4817</f>
        <v>0</v>
      </c>
      <c r="AB4816" s="117">
        <f t="shared" si="78"/>
        <v>0</v>
      </c>
      <c r="AC4816" s="117" t="str">
        <f>IF(AB4816=1,COUNTIF($AB$3:AB4816,1),"")</f>
        <v/>
      </c>
      <c r="AD4816" s="117" t="str">
        <f>IFERROR(INDEX($AA$3:$AA$10000,MATCH(ROWS($AC$3:AC4816),$AC$3:$AC$10000,0)),"")</f>
        <v/>
      </c>
    </row>
    <row r="4817" spans="27:30">
      <c r="AA4817" s="117">
        <f>+'Ingredient List - Mother Tinctu'!D4818</f>
        <v>0</v>
      </c>
      <c r="AB4817" s="117">
        <f t="shared" si="78"/>
        <v>0</v>
      </c>
      <c r="AC4817" s="117" t="str">
        <f>IF(AB4817=1,COUNTIF($AB$3:AB4817,1),"")</f>
        <v/>
      </c>
      <c r="AD4817" s="117" t="str">
        <f>IFERROR(INDEX($AA$3:$AA$10000,MATCH(ROWS($AC$3:AC4817),$AC$3:$AC$10000,0)),"")</f>
        <v/>
      </c>
    </row>
    <row r="4818" spans="27:30">
      <c r="AA4818" s="117">
        <f>+'Ingredient List - Mother Tinctu'!D4819</f>
        <v>0</v>
      </c>
      <c r="AB4818" s="117">
        <f t="shared" si="78"/>
        <v>0</v>
      </c>
      <c r="AC4818" s="117" t="str">
        <f>IF(AB4818=1,COUNTIF($AB$3:AB4818,1),"")</f>
        <v/>
      </c>
      <c r="AD4818" s="117" t="str">
        <f>IFERROR(INDEX($AA$3:$AA$10000,MATCH(ROWS($AC$3:AC4818),$AC$3:$AC$10000,0)),"")</f>
        <v/>
      </c>
    </row>
    <row r="4819" spans="27:30">
      <c r="AA4819" s="117">
        <f>+'Ingredient List - Mother Tinctu'!D4820</f>
        <v>0</v>
      </c>
      <c r="AB4819" s="117">
        <f t="shared" si="78"/>
        <v>0</v>
      </c>
      <c r="AC4819" s="117" t="str">
        <f>IF(AB4819=1,COUNTIF($AB$3:AB4819,1),"")</f>
        <v/>
      </c>
      <c r="AD4819" s="117" t="str">
        <f>IFERROR(INDEX($AA$3:$AA$10000,MATCH(ROWS($AC$3:AC4819),$AC$3:$AC$10000,0)),"")</f>
        <v/>
      </c>
    </row>
    <row r="4820" spans="27:30">
      <c r="AA4820" s="117">
        <f>+'Ingredient List - Mother Tinctu'!D4821</f>
        <v>0</v>
      </c>
      <c r="AB4820" s="117">
        <f t="shared" si="78"/>
        <v>0</v>
      </c>
      <c r="AC4820" s="117" t="str">
        <f>IF(AB4820=1,COUNTIF($AB$3:AB4820,1),"")</f>
        <v/>
      </c>
      <c r="AD4820" s="117" t="str">
        <f>IFERROR(INDEX($AA$3:$AA$10000,MATCH(ROWS($AC$3:AC4820),$AC$3:$AC$10000,0)),"")</f>
        <v/>
      </c>
    </row>
    <row r="4821" spans="27:30">
      <c r="AA4821" s="117">
        <f>+'Ingredient List - Mother Tinctu'!D4822</f>
        <v>0</v>
      </c>
      <c r="AB4821" s="117">
        <f t="shared" si="78"/>
        <v>0</v>
      </c>
      <c r="AC4821" s="117" t="str">
        <f>IF(AB4821=1,COUNTIF($AB$3:AB4821,1),"")</f>
        <v/>
      </c>
      <c r="AD4821" s="117" t="str">
        <f>IFERROR(INDEX($AA$3:$AA$10000,MATCH(ROWS($AC$3:AC4821),$AC$3:$AC$10000,0)),"")</f>
        <v/>
      </c>
    </row>
    <row r="4822" spans="27:30">
      <c r="AA4822" s="117">
        <f>+'Ingredient List - Mother Tinctu'!D4823</f>
        <v>0</v>
      </c>
      <c r="AB4822" s="117">
        <f t="shared" si="78"/>
        <v>0</v>
      </c>
      <c r="AC4822" s="117" t="str">
        <f>IF(AB4822=1,COUNTIF($AB$3:AB4822,1),"")</f>
        <v/>
      </c>
      <c r="AD4822" s="117" t="str">
        <f>IFERROR(INDEX($AA$3:$AA$10000,MATCH(ROWS($AC$3:AC4822),$AC$3:$AC$10000,0)),"")</f>
        <v/>
      </c>
    </row>
    <row r="4823" spans="27:30">
      <c r="AA4823" s="117">
        <f>+'Ingredient List - Mother Tinctu'!D4824</f>
        <v>0</v>
      </c>
      <c r="AB4823" s="117">
        <f t="shared" si="78"/>
        <v>0</v>
      </c>
      <c r="AC4823" s="117" t="str">
        <f>IF(AB4823=1,COUNTIF($AB$3:AB4823,1),"")</f>
        <v/>
      </c>
      <c r="AD4823" s="117" t="str">
        <f>IFERROR(INDEX($AA$3:$AA$10000,MATCH(ROWS($AC$3:AC4823),$AC$3:$AC$10000,0)),"")</f>
        <v/>
      </c>
    </row>
    <row r="4824" spans="27:30">
      <c r="AA4824" s="117">
        <f>+'Ingredient List - Mother Tinctu'!D4825</f>
        <v>0</v>
      </c>
      <c r="AB4824" s="117">
        <f t="shared" si="78"/>
        <v>0</v>
      </c>
      <c r="AC4824" s="117" t="str">
        <f>IF(AB4824=1,COUNTIF($AB$3:AB4824,1),"")</f>
        <v/>
      </c>
      <c r="AD4824" s="117" t="str">
        <f>IFERROR(INDEX($AA$3:$AA$10000,MATCH(ROWS($AC$3:AC4824),$AC$3:$AC$10000,0)),"")</f>
        <v/>
      </c>
    </row>
    <row r="4825" spans="27:30">
      <c r="AA4825" s="117">
        <f>+'Ingredient List - Mother Tinctu'!D4826</f>
        <v>0</v>
      </c>
      <c r="AB4825" s="117">
        <f t="shared" si="78"/>
        <v>0</v>
      </c>
      <c r="AC4825" s="117" t="str">
        <f>IF(AB4825=1,COUNTIF($AB$3:AB4825,1),"")</f>
        <v/>
      </c>
      <c r="AD4825" s="117" t="str">
        <f>IFERROR(INDEX($AA$3:$AA$10000,MATCH(ROWS($AC$3:AC4825),$AC$3:$AC$10000,0)),"")</f>
        <v/>
      </c>
    </row>
    <row r="4826" spans="27:30">
      <c r="AA4826" s="117">
        <f>+'Ingredient List - Mother Tinctu'!D4827</f>
        <v>0</v>
      </c>
      <c r="AB4826" s="117">
        <f t="shared" si="78"/>
        <v>0</v>
      </c>
      <c r="AC4826" s="117" t="str">
        <f>IF(AB4826=1,COUNTIF($AB$3:AB4826,1),"")</f>
        <v/>
      </c>
      <c r="AD4826" s="117" t="str">
        <f>IFERROR(INDEX($AA$3:$AA$10000,MATCH(ROWS($AC$3:AC4826),$AC$3:$AC$10000,0)),"")</f>
        <v/>
      </c>
    </row>
    <row r="4827" spans="27:30">
      <c r="AA4827" s="117">
        <f>+'Ingredient List - Mother Tinctu'!D4828</f>
        <v>0</v>
      </c>
      <c r="AB4827" s="117">
        <f t="shared" si="78"/>
        <v>0</v>
      </c>
      <c r="AC4827" s="117" t="str">
        <f>IF(AB4827=1,COUNTIF($AB$3:AB4827,1),"")</f>
        <v/>
      </c>
      <c r="AD4827" s="117" t="str">
        <f>IFERROR(INDEX($AA$3:$AA$10000,MATCH(ROWS($AC$3:AC4827),$AC$3:$AC$10000,0)),"")</f>
        <v/>
      </c>
    </row>
    <row r="4828" spans="27:30">
      <c r="AA4828" s="117">
        <f>+'Ingredient List - Mother Tinctu'!D4829</f>
        <v>0</v>
      </c>
      <c r="AB4828" s="117">
        <f t="shared" si="78"/>
        <v>0</v>
      </c>
      <c r="AC4828" s="117" t="str">
        <f>IF(AB4828=1,COUNTIF($AB$3:AB4828,1),"")</f>
        <v/>
      </c>
      <c r="AD4828" s="117" t="str">
        <f>IFERROR(INDEX($AA$3:$AA$10000,MATCH(ROWS($AC$3:AC4828),$AC$3:$AC$10000,0)),"")</f>
        <v/>
      </c>
    </row>
    <row r="4829" spans="27:30">
      <c r="AA4829" s="117">
        <f>+'Ingredient List - Mother Tinctu'!D4830</f>
        <v>0</v>
      </c>
      <c r="AB4829" s="117">
        <f t="shared" si="78"/>
        <v>0</v>
      </c>
      <c r="AC4829" s="117" t="str">
        <f>IF(AB4829=1,COUNTIF($AB$3:AB4829,1),"")</f>
        <v/>
      </c>
      <c r="AD4829" s="117" t="str">
        <f>IFERROR(INDEX($AA$3:$AA$10000,MATCH(ROWS($AC$3:AC4829),$AC$3:$AC$10000,0)),"")</f>
        <v/>
      </c>
    </row>
    <row r="4830" spans="27:30">
      <c r="AA4830" s="117">
        <f>+'Ingredient List - Mother Tinctu'!D4831</f>
        <v>0</v>
      </c>
      <c r="AB4830" s="117">
        <f t="shared" si="78"/>
        <v>0</v>
      </c>
      <c r="AC4830" s="117" t="str">
        <f>IF(AB4830=1,COUNTIF($AB$3:AB4830,1),"")</f>
        <v/>
      </c>
      <c r="AD4830" s="117" t="str">
        <f>IFERROR(INDEX($AA$3:$AA$10000,MATCH(ROWS($AC$3:AC4830),$AC$3:$AC$10000,0)),"")</f>
        <v/>
      </c>
    </row>
    <row r="4831" spans="27:30">
      <c r="AA4831" s="117">
        <f>+'Ingredient List - Mother Tinctu'!D4832</f>
        <v>0</v>
      </c>
      <c r="AB4831" s="117">
        <f t="shared" si="78"/>
        <v>0</v>
      </c>
      <c r="AC4831" s="117" t="str">
        <f>IF(AB4831=1,COUNTIF($AB$3:AB4831,1),"")</f>
        <v/>
      </c>
      <c r="AD4831" s="117" t="str">
        <f>IFERROR(INDEX($AA$3:$AA$10000,MATCH(ROWS($AC$3:AC4831),$AC$3:$AC$10000,0)),"")</f>
        <v/>
      </c>
    </row>
    <row r="4832" spans="27:30">
      <c r="AA4832" s="117">
        <f>+'Ingredient List - Mother Tinctu'!D4833</f>
        <v>0</v>
      </c>
      <c r="AB4832" s="117">
        <f t="shared" si="78"/>
        <v>0</v>
      </c>
      <c r="AC4832" s="117" t="str">
        <f>IF(AB4832=1,COUNTIF($AB$3:AB4832,1),"")</f>
        <v/>
      </c>
      <c r="AD4832" s="117" t="str">
        <f>IFERROR(INDEX($AA$3:$AA$10000,MATCH(ROWS($AC$3:AC4832),$AC$3:$AC$10000,0)),"")</f>
        <v/>
      </c>
    </row>
    <row r="4833" spans="27:30">
      <c r="AA4833" s="117">
        <f>+'Ingredient List - Mother Tinctu'!D4834</f>
        <v>0</v>
      </c>
      <c r="AB4833" s="117">
        <f t="shared" si="78"/>
        <v>0</v>
      </c>
      <c r="AC4833" s="117" t="str">
        <f>IF(AB4833=1,COUNTIF($AB$3:AB4833,1),"")</f>
        <v/>
      </c>
      <c r="AD4833" s="117" t="str">
        <f>IFERROR(INDEX($AA$3:$AA$10000,MATCH(ROWS($AC$3:AC4833),$AC$3:$AC$10000,0)),"")</f>
        <v/>
      </c>
    </row>
    <row r="4834" spans="27:30">
      <c r="AA4834" s="117">
        <f>+'Ingredient List - Mother Tinctu'!D4835</f>
        <v>0</v>
      </c>
      <c r="AB4834" s="117">
        <f t="shared" si="78"/>
        <v>0</v>
      </c>
      <c r="AC4834" s="117" t="str">
        <f>IF(AB4834=1,COUNTIF($AB$3:AB4834,1),"")</f>
        <v/>
      </c>
      <c r="AD4834" s="117" t="str">
        <f>IFERROR(INDEX($AA$3:$AA$10000,MATCH(ROWS($AC$3:AC4834),$AC$3:$AC$10000,0)),"")</f>
        <v/>
      </c>
    </row>
    <row r="4835" spans="27:30">
      <c r="AA4835" s="117">
        <f>+'Ingredient List - Mother Tinctu'!D4836</f>
        <v>0</v>
      </c>
      <c r="AB4835" s="117">
        <f t="shared" si="78"/>
        <v>0</v>
      </c>
      <c r="AC4835" s="117" t="str">
        <f>IF(AB4835=1,COUNTIF($AB$3:AB4835,1),"")</f>
        <v/>
      </c>
      <c r="AD4835" s="117" t="str">
        <f>IFERROR(INDEX($AA$3:$AA$10000,MATCH(ROWS($AC$3:AC4835),$AC$3:$AC$10000,0)),"")</f>
        <v/>
      </c>
    </row>
    <row r="4836" spans="27:30">
      <c r="AA4836" s="117">
        <f>+'Ingredient List - Mother Tinctu'!D4837</f>
        <v>0</v>
      </c>
      <c r="AB4836" s="117">
        <f t="shared" si="78"/>
        <v>0</v>
      </c>
      <c r="AC4836" s="117" t="str">
        <f>IF(AB4836=1,COUNTIF($AB$3:AB4836,1),"")</f>
        <v/>
      </c>
      <c r="AD4836" s="117" t="str">
        <f>IFERROR(INDEX($AA$3:$AA$10000,MATCH(ROWS($AC$3:AC4836),$AC$3:$AC$10000,0)),"")</f>
        <v/>
      </c>
    </row>
    <row r="4837" spans="27:30">
      <c r="AA4837" s="117">
        <f>+'Ingredient List - Mother Tinctu'!D4838</f>
        <v>0</v>
      </c>
      <c r="AB4837" s="117">
        <f t="shared" si="78"/>
        <v>0</v>
      </c>
      <c r="AC4837" s="117" t="str">
        <f>IF(AB4837=1,COUNTIF($AB$3:AB4837,1),"")</f>
        <v/>
      </c>
      <c r="AD4837" s="117" t="str">
        <f>IFERROR(INDEX($AA$3:$AA$10000,MATCH(ROWS($AC$3:AC4837),$AC$3:$AC$10000,0)),"")</f>
        <v/>
      </c>
    </row>
    <row r="4838" spans="27:30">
      <c r="AA4838" s="117">
        <f>+'Ingredient List - Mother Tinctu'!D4839</f>
        <v>0</v>
      </c>
      <c r="AB4838" s="117">
        <f t="shared" si="78"/>
        <v>0</v>
      </c>
      <c r="AC4838" s="117" t="str">
        <f>IF(AB4838=1,COUNTIF($AB$3:AB4838,1),"")</f>
        <v/>
      </c>
      <c r="AD4838" s="117" t="str">
        <f>IFERROR(INDEX($AA$3:$AA$10000,MATCH(ROWS($AC$3:AC4838),$AC$3:$AC$10000,0)),"")</f>
        <v/>
      </c>
    </row>
    <row r="4839" spans="27:30">
      <c r="AA4839" s="117">
        <f>+'Ingredient List - Mother Tinctu'!D4840</f>
        <v>0</v>
      </c>
      <c r="AB4839" s="117">
        <f t="shared" si="78"/>
        <v>0</v>
      </c>
      <c r="AC4839" s="117" t="str">
        <f>IF(AB4839=1,COUNTIF($AB$3:AB4839,1),"")</f>
        <v/>
      </c>
      <c r="AD4839" s="117" t="str">
        <f>IFERROR(INDEX($AA$3:$AA$10000,MATCH(ROWS($AC$3:AC4839),$AC$3:$AC$10000,0)),"")</f>
        <v/>
      </c>
    </row>
    <row r="4840" spans="27:30">
      <c r="AA4840" s="117">
        <f>+'Ingredient List - Mother Tinctu'!D4841</f>
        <v>0</v>
      </c>
      <c r="AB4840" s="117">
        <f t="shared" si="78"/>
        <v>0</v>
      </c>
      <c r="AC4840" s="117" t="str">
        <f>IF(AB4840=1,COUNTIF($AB$3:AB4840,1),"")</f>
        <v/>
      </c>
      <c r="AD4840" s="117" t="str">
        <f>IFERROR(INDEX($AA$3:$AA$10000,MATCH(ROWS($AC$3:AC4840),$AC$3:$AC$10000,0)),"")</f>
        <v/>
      </c>
    </row>
    <row r="4841" spans="27:30">
      <c r="AA4841" s="117">
        <f>+'Ingredient List - Mother Tinctu'!D4842</f>
        <v>0</v>
      </c>
      <c r="AB4841" s="117">
        <f t="shared" si="78"/>
        <v>0</v>
      </c>
      <c r="AC4841" s="117" t="str">
        <f>IF(AB4841=1,COUNTIF($AB$3:AB4841,1),"")</f>
        <v/>
      </c>
      <c r="AD4841" s="117" t="str">
        <f>IFERROR(INDEX($AA$3:$AA$10000,MATCH(ROWS($AC$3:AC4841),$AC$3:$AC$10000,0)),"")</f>
        <v/>
      </c>
    </row>
    <row r="4842" spans="27:30">
      <c r="AA4842" s="117">
        <f>+'Ingredient List - Mother Tinctu'!D4843</f>
        <v>0</v>
      </c>
      <c r="AB4842" s="117">
        <f t="shared" si="78"/>
        <v>0</v>
      </c>
      <c r="AC4842" s="117" t="str">
        <f>IF(AB4842=1,COUNTIF($AB$3:AB4842,1),"")</f>
        <v/>
      </c>
      <c r="AD4842" s="117" t="str">
        <f>IFERROR(INDEX($AA$3:$AA$10000,MATCH(ROWS($AC$3:AC4842),$AC$3:$AC$10000,0)),"")</f>
        <v/>
      </c>
    </row>
    <row r="4843" spans="27:30">
      <c r="AA4843" s="117">
        <f>+'Ingredient List - Mother Tinctu'!D4844</f>
        <v>0</v>
      </c>
      <c r="AB4843" s="117">
        <f t="shared" si="78"/>
        <v>0</v>
      </c>
      <c r="AC4843" s="117" t="str">
        <f>IF(AB4843=1,COUNTIF($AB$3:AB4843,1),"")</f>
        <v/>
      </c>
      <c r="AD4843" s="117" t="str">
        <f>IFERROR(INDEX($AA$3:$AA$10000,MATCH(ROWS($AC$3:AC4843),$AC$3:$AC$10000,0)),"")</f>
        <v/>
      </c>
    </row>
    <row r="4844" spans="27:30">
      <c r="AA4844" s="117">
        <f>+'Ingredient List - Mother Tinctu'!D4845</f>
        <v>0</v>
      </c>
      <c r="AB4844" s="117">
        <f t="shared" si="78"/>
        <v>0</v>
      </c>
      <c r="AC4844" s="117" t="str">
        <f>IF(AB4844=1,COUNTIF($AB$3:AB4844,1),"")</f>
        <v/>
      </c>
      <c r="AD4844" s="117" t="str">
        <f>IFERROR(INDEX($AA$3:$AA$10000,MATCH(ROWS($AC$3:AC4844),$AC$3:$AC$10000,0)),"")</f>
        <v/>
      </c>
    </row>
    <row r="4845" spans="27:30">
      <c r="AA4845" s="117">
        <f>+'Ingredient List - Mother Tinctu'!D4846</f>
        <v>0</v>
      </c>
      <c r="AB4845" s="117">
        <f t="shared" si="78"/>
        <v>0</v>
      </c>
      <c r="AC4845" s="117" t="str">
        <f>IF(AB4845=1,COUNTIF($AB$3:AB4845,1),"")</f>
        <v/>
      </c>
      <c r="AD4845" s="117" t="str">
        <f>IFERROR(INDEX($AA$3:$AA$10000,MATCH(ROWS($AC$3:AC4845),$AC$3:$AC$10000,0)),"")</f>
        <v/>
      </c>
    </row>
    <row r="4846" spans="27:30">
      <c r="AA4846" s="117">
        <f>+'Ingredient List - Mother Tinctu'!D4847</f>
        <v>0</v>
      </c>
      <c r="AB4846" s="117">
        <f t="shared" si="78"/>
        <v>0</v>
      </c>
      <c r="AC4846" s="117" t="str">
        <f>IF(AB4846=1,COUNTIF($AB$3:AB4846,1),"")</f>
        <v/>
      </c>
      <c r="AD4846" s="117" t="str">
        <f>IFERROR(INDEX($AA$3:$AA$10000,MATCH(ROWS($AC$3:AC4846),$AC$3:$AC$10000,0)),"")</f>
        <v/>
      </c>
    </row>
    <row r="4847" spans="27:30">
      <c r="AA4847" s="117">
        <f>+'Ingredient List - Mother Tinctu'!D4848</f>
        <v>0</v>
      </c>
      <c r="AB4847" s="117">
        <f t="shared" si="78"/>
        <v>0</v>
      </c>
      <c r="AC4847" s="117" t="str">
        <f>IF(AB4847=1,COUNTIF($AB$3:AB4847,1),"")</f>
        <v/>
      </c>
      <c r="AD4847" s="117" t="str">
        <f>IFERROR(INDEX($AA$3:$AA$10000,MATCH(ROWS($AC$3:AC4847),$AC$3:$AC$10000,0)),"")</f>
        <v/>
      </c>
    </row>
    <row r="4848" spans="27:30">
      <c r="AA4848" s="117">
        <f>+'Ingredient List - Mother Tinctu'!D4849</f>
        <v>0</v>
      </c>
      <c r="AB4848" s="117">
        <f t="shared" si="78"/>
        <v>0</v>
      </c>
      <c r="AC4848" s="117" t="str">
        <f>IF(AB4848=1,COUNTIF($AB$3:AB4848,1),"")</f>
        <v/>
      </c>
      <c r="AD4848" s="117" t="str">
        <f>IFERROR(INDEX($AA$3:$AA$10000,MATCH(ROWS($AC$3:AC4848),$AC$3:$AC$10000,0)),"")</f>
        <v/>
      </c>
    </row>
    <row r="4849" spans="27:30">
      <c r="AA4849" s="117">
        <f>+'Ingredient List - Mother Tinctu'!D4850</f>
        <v>0</v>
      </c>
      <c r="AB4849" s="117">
        <f t="shared" si="78"/>
        <v>0</v>
      </c>
      <c r="AC4849" s="117" t="str">
        <f>IF(AB4849=1,COUNTIF($AB$3:AB4849,1),"")</f>
        <v/>
      </c>
      <c r="AD4849" s="117" t="str">
        <f>IFERROR(INDEX($AA$3:$AA$10000,MATCH(ROWS($AC$3:AC4849),$AC$3:$AC$10000,0)),"")</f>
        <v/>
      </c>
    </row>
    <row r="4850" spans="27:30">
      <c r="AA4850" s="117">
        <f>+'Ingredient List - Mother Tinctu'!D4851</f>
        <v>0</v>
      </c>
      <c r="AB4850" s="117">
        <f t="shared" si="78"/>
        <v>0</v>
      </c>
      <c r="AC4850" s="117" t="str">
        <f>IF(AB4850=1,COUNTIF($AB$3:AB4850,1),"")</f>
        <v/>
      </c>
      <c r="AD4850" s="117" t="str">
        <f>IFERROR(INDEX($AA$3:$AA$10000,MATCH(ROWS($AC$3:AC4850),$AC$3:$AC$10000,0)),"")</f>
        <v/>
      </c>
    </row>
    <row r="4851" spans="27:30">
      <c r="AA4851" s="117">
        <f>+'Ingredient List - Mother Tinctu'!D4852</f>
        <v>0</v>
      </c>
      <c r="AB4851" s="117">
        <f t="shared" si="78"/>
        <v>0</v>
      </c>
      <c r="AC4851" s="117" t="str">
        <f>IF(AB4851=1,COUNTIF($AB$3:AB4851,1),"")</f>
        <v/>
      </c>
      <c r="AD4851" s="117" t="str">
        <f>IFERROR(INDEX($AA$3:$AA$10000,MATCH(ROWS($AC$3:AC4851),$AC$3:$AC$10000,0)),"")</f>
        <v/>
      </c>
    </row>
    <row r="4852" spans="27:30">
      <c r="AA4852" s="117">
        <f>+'Ingredient List - Mother Tinctu'!D4853</f>
        <v>0</v>
      </c>
      <c r="AB4852" s="117">
        <f t="shared" si="78"/>
        <v>0</v>
      </c>
      <c r="AC4852" s="117" t="str">
        <f>IF(AB4852=1,COUNTIF($AB$3:AB4852,1),"")</f>
        <v/>
      </c>
      <c r="AD4852" s="117" t="str">
        <f>IFERROR(INDEX($AA$3:$AA$10000,MATCH(ROWS($AC$3:AC4852),$AC$3:$AC$10000,0)),"")</f>
        <v/>
      </c>
    </row>
    <row r="4853" spans="27:30">
      <c r="AA4853" s="117">
        <f>+'Ingredient List - Mother Tinctu'!D4854</f>
        <v>0</v>
      </c>
      <c r="AB4853" s="117">
        <f t="shared" si="78"/>
        <v>0</v>
      </c>
      <c r="AC4853" s="117" t="str">
        <f>IF(AB4853=1,COUNTIF($AB$3:AB4853,1),"")</f>
        <v/>
      </c>
      <c r="AD4853" s="117" t="str">
        <f>IFERROR(INDEX($AA$3:$AA$10000,MATCH(ROWS($AC$3:AC4853),$AC$3:$AC$10000,0)),"")</f>
        <v/>
      </c>
    </row>
    <row r="4854" spans="27:30">
      <c r="AA4854" s="117">
        <f>+'Ingredient List - Mother Tinctu'!D4855</f>
        <v>0</v>
      </c>
      <c r="AB4854" s="117">
        <f t="shared" si="78"/>
        <v>0</v>
      </c>
      <c r="AC4854" s="117" t="str">
        <f>IF(AB4854=1,COUNTIF($AB$3:AB4854,1),"")</f>
        <v/>
      </c>
      <c r="AD4854" s="117" t="str">
        <f>IFERROR(INDEX($AA$3:$AA$10000,MATCH(ROWS($AC$3:AC4854),$AC$3:$AC$10000,0)),"")</f>
        <v/>
      </c>
    </row>
    <row r="4855" spans="27:30">
      <c r="AA4855" s="117">
        <f>+'Ingredient List - Mother Tinctu'!D4856</f>
        <v>0</v>
      </c>
      <c r="AB4855" s="117">
        <f t="shared" si="78"/>
        <v>0</v>
      </c>
      <c r="AC4855" s="117" t="str">
        <f>IF(AB4855=1,COUNTIF($AB$3:AB4855,1),"")</f>
        <v/>
      </c>
      <c r="AD4855" s="117" t="str">
        <f>IFERROR(INDEX($AA$3:$AA$10000,MATCH(ROWS($AC$3:AC4855),$AC$3:$AC$10000,0)),"")</f>
        <v/>
      </c>
    </row>
    <row r="4856" spans="27:30">
      <c r="AA4856" s="117">
        <f>+'Ingredient List - Mother Tinctu'!D4857</f>
        <v>0</v>
      </c>
      <c r="AB4856" s="117">
        <f t="shared" si="78"/>
        <v>0</v>
      </c>
      <c r="AC4856" s="117" t="str">
        <f>IF(AB4856=1,COUNTIF($AB$3:AB4856,1),"")</f>
        <v/>
      </c>
      <c r="AD4856" s="117" t="str">
        <f>IFERROR(INDEX($AA$3:$AA$10000,MATCH(ROWS($AC$3:AC4856),$AC$3:$AC$10000,0)),"")</f>
        <v/>
      </c>
    </row>
    <row r="4857" spans="27:30">
      <c r="AA4857" s="117">
        <f>+'Ingredient List - Mother Tinctu'!D4858</f>
        <v>0</v>
      </c>
      <c r="AB4857" s="117">
        <f t="shared" si="78"/>
        <v>0</v>
      </c>
      <c r="AC4857" s="117" t="str">
        <f>IF(AB4857=1,COUNTIF($AB$3:AB4857,1),"")</f>
        <v/>
      </c>
      <c r="AD4857" s="117" t="str">
        <f>IFERROR(INDEX($AA$3:$AA$10000,MATCH(ROWS($AC$3:AC4857),$AC$3:$AC$10000,0)),"")</f>
        <v/>
      </c>
    </row>
    <row r="4858" spans="27:30">
      <c r="AA4858" s="117">
        <f>+'Ingredient List - Mother Tinctu'!D4859</f>
        <v>0</v>
      </c>
      <c r="AB4858" s="117">
        <f t="shared" si="78"/>
        <v>0</v>
      </c>
      <c r="AC4858" s="117" t="str">
        <f>IF(AB4858=1,COUNTIF($AB$3:AB4858,1),"")</f>
        <v/>
      </c>
      <c r="AD4858" s="117" t="str">
        <f>IFERROR(INDEX($AA$3:$AA$10000,MATCH(ROWS($AC$3:AC4858),$AC$3:$AC$10000,0)),"")</f>
        <v/>
      </c>
    </row>
    <row r="4859" spans="27:30">
      <c r="AA4859" s="117">
        <f>+'Ingredient List - Mother Tinctu'!D4860</f>
        <v>0</v>
      </c>
      <c r="AB4859" s="117">
        <f t="shared" si="78"/>
        <v>0</v>
      </c>
      <c r="AC4859" s="117" t="str">
        <f>IF(AB4859=1,COUNTIF($AB$3:AB4859,1),"")</f>
        <v/>
      </c>
      <c r="AD4859" s="117" t="str">
        <f>IFERROR(INDEX($AA$3:$AA$10000,MATCH(ROWS($AC$3:AC4859),$AC$3:$AC$10000,0)),"")</f>
        <v/>
      </c>
    </row>
    <row r="4860" spans="27:30">
      <c r="AA4860" s="117">
        <f>+'Ingredient List - Mother Tinctu'!D4861</f>
        <v>0</v>
      </c>
      <c r="AB4860" s="117">
        <f t="shared" si="78"/>
        <v>0</v>
      </c>
      <c r="AC4860" s="117" t="str">
        <f>IF(AB4860=1,COUNTIF($AB$3:AB4860,1),"")</f>
        <v/>
      </c>
      <c r="AD4860" s="117" t="str">
        <f>IFERROR(INDEX($AA$3:$AA$10000,MATCH(ROWS($AC$3:AC4860),$AC$3:$AC$10000,0)),"")</f>
        <v/>
      </c>
    </row>
    <row r="4861" spans="27:30">
      <c r="AA4861" s="117">
        <f>+'Ingredient List - Mother Tinctu'!D4862</f>
        <v>0</v>
      </c>
      <c r="AB4861" s="117">
        <f t="shared" si="78"/>
        <v>0</v>
      </c>
      <c r="AC4861" s="117" t="str">
        <f>IF(AB4861=1,COUNTIF($AB$3:AB4861,1),"")</f>
        <v/>
      </c>
      <c r="AD4861" s="117" t="str">
        <f>IFERROR(INDEX($AA$3:$AA$10000,MATCH(ROWS($AC$3:AC4861),$AC$3:$AC$10000,0)),"")</f>
        <v/>
      </c>
    </row>
    <row r="4862" spans="27:30">
      <c r="AA4862" s="117">
        <f>+'Ingredient List - Mother Tinctu'!D4863</f>
        <v>0</v>
      </c>
      <c r="AB4862" s="117">
        <f t="shared" si="78"/>
        <v>0</v>
      </c>
      <c r="AC4862" s="117" t="str">
        <f>IF(AB4862=1,COUNTIF($AB$3:AB4862,1),"")</f>
        <v/>
      </c>
      <c r="AD4862" s="117" t="str">
        <f>IFERROR(INDEX($AA$3:$AA$10000,MATCH(ROWS($AC$3:AC4862),$AC$3:$AC$10000,0)),"")</f>
        <v/>
      </c>
    </row>
    <row r="4863" spans="27:30">
      <c r="AA4863" s="117">
        <f>+'Ingredient List - Mother Tinctu'!D4864</f>
        <v>0</v>
      </c>
      <c r="AB4863" s="117">
        <f t="shared" si="78"/>
        <v>0</v>
      </c>
      <c r="AC4863" s="117" t="str">
        <f>IF(AB4863=1,COUNTIF($AB$3:AB4863,1),"")</f>
        <v/>
      </c>
      <c r="AD4863" s="117" t="str">
        <f>IFERROR(INDEX($AA$3:$AA$10000,MATCH(ROWS($AC$3:AC4863),$AC$3:$AC$10000,0)),"")</f>
        <v/>
      </c>
    </row>
    <row r="4864" spans="27:30">
      <c r="AA4864" s="117">
        <f>+'Ingredient List - Mother Tinctu'!D4865</f>
        <v>0</v>
      </c>
      <c r="AB4864" s="117">
        <f t="shared" si="78"/>
        <v>0</v>
      </c>
      <c r="AC4864" s="117" t="str">
        <f>IF(AB4864=1,COUNTIF($AB$3:AB4864,1),"")</f>
        <v/>
      </c>
      <c r="AD4864" s="117" t="str">
        <f>IFERROR(INDEX($AA$3:$AA$10000,MATCH(ROWS($AC$3:AC4864),$AC$3:$AC$10000,0)),"")</f>
        <v/>
      </c>
    </row>
    <row r="4865" spans="27:30">
      <c r="AA4865" s="117">
        <f>+'Ingredient List - Mother Tinctu'!D4866</f>
        <v>0</v>
      </c>
      <c r="AB4865" s="117">
        <f t="shared" si="78"/>
        <v>0</v>
      </c>
      <c r="AC4865" s="117" t="str">
        <f>IF(AB4865=1,COUNTIF($AB$3:AB4865,1),"")</f>
        <v/>
      </c>
      <c r="AD4865" s="117" t="str">
        <f>IFERROR(INDEX($AA$3:$AA$10000,MATCH(ROWS($AC$3:AC4865),$AC$3:$AC$10000,0)),"")</f>
        <v/>
      </c>
    </row>
    <row r="4866" spans="27:30">
      <c r="AA4866" s="117">
        <f>+'Ingredient List - Mother Tinctu'!D4867</f>
        <v>0</v>
      </c>
      <c r="AB4866" s="117">
        <f t="shared" si="78"/>
        <v>0</v>
      </c>
      <c r="AC4866" s="117" t="str">
        <f>IF(AB4866=1,COUNTIF($AB$3:AB4866,1),"")</f>
        <v/>
      </c>
      <c r="AD4866" s="117" t="str">
        <f>IFERROR(INDEX($AA$3:$AA$10000,MATCH(ROWS($AC$3:AC4866),$AC$3:$AC$10000,0)),"")</f>
        <v/>
      </c>
    </row>
    <row r="4867" spans="27:30">
      <c r="AA4867" s="117">
        <f>+'Ingredient List - Mother Tinctu'!D4868</f>
        <v>0</v>
      </c>
      <c r="AB4867" s="117">
        <f t="shared" si="78"/>
        <v>0</v>
      </c>
      <c r="AC4867" s="117" t="str">
        <f>IF(AB4867=1,COUNTIF($AB$3:AB4867,1),"")</f>
        <v/>
      </c>
      <c r="AD4867" s="117" t="str">
        <f>IFERROR(INDEX($AA$3:$AA$10000,MATCH(ROWS($AC$3:AC4867),$AC$3:$AC$10000,0)),"")</f>
        <v/>
      </c>
    </row>
    <row r="4868" spans="27:30">
      <c r="AA4868" s="117">
        <f>+'Ingredient List - Mother Tinctu'!D4869</f>
        <v>0</v>
      </c>
      <c r="AB4868" s="117">
        <f t="shared" ref="AB4868:AB4931" si="79">--ISNUMBER(IFERROR(SEARCH($D$3,AA4868,1),""))</f>
        <v>0</v>
      </c>
      <c r="AC4868" s="117" t="str">
        <f>IF(AB4868=1,COUNTIF($AB$3:AB4868,1),"")</f>
        <v/>
      </c>
      <c r="AD4868" s="117" t="str">
        <f>IFERROR(INDEX($AA$3:$AA$10000,MATCH(ROWS($AC$3:AC4868),$AC$3:$AC$10000,0)),"")</f>
        <v/>
      </c>
    </row>
    <row r="4869" spans="27:30">
      <c r="AA4869" s="117">
        <f>+'Ingredient List - Mother Tinctu'!D4870</f>
        <v>0</v>
      </c>
      <c r="AB4869" s="117">
        <f t="shared" si="79"/>
        <v>0</v>
      </c>
      <c r="AC4869" s="117" t="str">
        <f>IF(AB4869=1,COUNTIF($AB$3:AB4869,1),"")</f>
        <v/>
      </c>
      <c r="AD4869" s="117" t="str">
        <f>IFERROR(INDEX($AA$3:$AA$10000,MATCH(ROWS($AC$3:AC4869),$AC$3:$AC$10000,0)),"")</f>
        <v/>
      </c>
    </row>
    <row r="4870" spans="27:30">
      <c r="AA4870" s="117">
        <f>+'Ingredient List - Mother Tinctu'!D4871</f>
        <v>0</v>
      </c>
      <c r="AB4870" s="117">
        <f t="shared" si="79"/>
        <v>0</v>
      </c>
      <c r="AC4870" s="117" t="str">
        <f>IF(AB4870=1,COUNTIF($AB$3:AB4870,1),"")</f>
        <v/>
      </c>
      <c r="AD4870" s="117" t="str">
        <f>IFERROR(INDEX($AA$3:$AA$10000,MATCH(ROWS($AC$3:AC4870),$AC$3:$AC$10000,0)),"")</f>
        <v/>
      </c>
    </row>
    <row r="4871" spans="27:30">
      <c r="AA4871" s="117">
        <f>+'Ingredient List - Mother Tinctu'!D4872</f>
        <v>0</v>
      </c>
      <c r="AB4871" s="117">
        <f t="shared" si="79"/>
        <v>0</v>
      </c>
      <c r="AC4871" s="117" t="str">
        <f>IF(AB4871=1,COUNTIF($AB$3:AB4871,1),"")</f>
        <v/>
      </c>
      <c r="AD4871" s="117" t="str">
        <f>IFERROR(INDEX($AA$3:$AA$10000,MATCH(ROWS($AC$3:AC4871),$AC$3:$AC$10000,0)),"")</f>
        <v/>
      </c>
    </row>
    <row r="4872" spans="27:30">
      <c r="AA4872" s="117">
        <f>+'Ingredient List - Mother Tinctu'!D4873</f>
        <v>0</v>
      </c>
      <c r="AB4872" s="117">
        <f t="shared" si="79"/>
        <v>0</v>
      </c>
      <c r="AC4872" s="117" t="str">
        <f>IF(AB4872=1,COUNTIF($AB$3:AB4872,1),"")</f>
        <v/>
      </c>
      <c r="AD4872" s="117" t="str">
        <f>IFERROR(INDEX($AA$3:$AA$10000,MATCH(ROWS($AC$3:AC4872),$AC$3:$AC$10000,0)),"")</f>
        <v/>
      </c>
    </row>
    <row r="4873" spans="27:30">
      <c r="AA4873" s="117">
        <f>+'Ingredient List - Mother Tinctu'!D4874</f>
        <v>0</v>
      </c>
      <c r="AB4873" s="117">
        <f t="shared" si="79"/>
        <v>0</v>
      </c>
      <c r="AC4873" s="117" t="str">
        <f>IF(AB4873=1,COUNTIF($AB$3:AB4873,1),"")</f>
        <v/>
      </c>
      <c r="AD4873" s="117" t="str">
        <f>IFERROR(INDEX($AA$3:$AA$10000,MATCH(ROWS($AC$3:AC4873),$AC$3:$AC$10000,0)),"")</f>
        <v/>
      </c>
    </row>
    <row r="4874" spans="27:30">
      <c r="AA4874" s="117">
        <f>+'Ingredient List - Mother Tinctu'!D4875</f>
        <v>0</v>
      </c>
      <c r="AB4874" s="117">
        <f t="shared" si="79"/>
        <v>0</v>
      </c>
      <c r="AC4874" s="117" t="str">
        <f>IF(AB4874=1,COUNTIF($AB$3:AB4874,1),"")</f>
        <v/>
      </c>
      <c r="AD4874" s="117" t="str">
        <f>IFERROR(INDEX($AA$3:$AA$10000,MATCH(ROWS($AC$3:AC4874),$AC$3:$AC$10000,0)),"")</f>
        <v/>
      </c>
    </row>
    <row r="4875" spans="27:30">
      <c r="AA4875" s="117">
        <f>+'Ingredient List - Mother Tinctu'!D4876</f>
        <v>0</v>
      </c>
      <c r="AB4875" s="117">
        <f t="shared" si="79"/>
        <v>0</v>
      </c>
      <c r="AC4875" s="117" t="str">
        <f>IF(AB4875=1,COUNTIF($AB$3:AB4875,1),"")</f>
        <v/>
      </c>
      <c r="AD4875" s="117" t="str">
        <f>IFERROR(INDEX($AA$3:$AA$10000,MATCH(ROWS($AC$3:AC4875),$AC$3:$AC$10000,0)),"")</f>
        <v/>
      </c>
    </row>
    <row r="4876" spans="27:30">
      <c r="AA4876" s="117">
        <f>+'Ingredient List - Mother Tinctu'!D4877</f>
        <v>0</v>
      </c>
      <c r="AB4876" s="117">
        <f t="shared" si="79"/>
        <v>0</v>
      </c>
      <c r="AC4876" s="117" t="str">
        <f>IF(AB4876=1,COUNTIF($AB$3:AB4876,1),"")</f>
        <v/>
      </c>
      <c r="AD4876" s="117" t="str">
        <f>IFERROR(INDEX($AA$3:$AA$10000,MATCH(ROWS($AC$3:AC4876),$AC$3:$AC$10000,0)),"")</f>
        <v/>
      </c>
    </row>
    <row r="4877" spans="27:30">
      <c r="AA4877" s="117">
        <f>+'Ingredient List - Mother Tinctu'!D4878</f>
        <v>0</v>
      </c>
      <c r="AB4877" s="117">
        <f t="shared" si="79"/>
        <v>0</v>
      </c>
      <c r="AC4877" s="117" t="str">
        <f>IF(AB4877=1,COUNTIF($AB$3:AB4877,1),"")</f>
        <v/>
      </c>
      <c r="AD4877" s="117" t="str">
        <f>IFERROR(INDEX($AA$3:$AA$10000,MATCH(ROWS($AC$3:AC4877),$AC$3:$AC$10000,0)),"")</f>
        <v/>
      </c>
    </row>
    <row r="4878" spans="27:30">
      <c r="AA4878" s="117">
        <f>+'Ingredient List - Mother Tinctu'!D4879</f>
        <v>0</v>
      </c>
      <c r="AB4878" s="117">
        <f t="shared" si="79"/>
        <v>0</v>
      </c>
      <c r="AC4878" s="117" t="str">
        <f>IF(AB4878=1,COUNTIF($AB$3:AB4878,1),"")</f>
        <v/>
      </c>
      <c r="AD4878" s="117" t="str">
        <f>IFERROR(INDEX($AA$3:$AA$10000,MATCH(ROWS($AC$3:AC4878),$AC$3:$AC$10000,0)),"")</f>
        <v/>
      </c>
    </row>
    <row r="4879" spans="27:30">
      <c r="AA4879" s="117">
        <f>+'Ingredient List - Mother Tinctu'!D4880</f>
        <v>0</v>
      </c>
      <c r="AB4879" s="117">
        <f t="shared" si="79"/>
        <v>0</v>
      </c>
      <c r="AC4879" s="117" t="str">
        <f>IF(AB4879=1,COUNTIF($AB$3:AB4879,1),"")</f>
        <v/>
      </c>
      <c r="AD4879" s="117" t="str">
        <f>IFERROR(INDEX($AA$3:$AA$10000,MATCH(ROWS($AC$3:AC4879),$AC$3:$AC$10000,0)),"")</f>
        <v/>
      </c>
    </row>
    <row r="4880" spans="27:30">
      <c r="AA4880" s="117">
        <f>+'Ingredient List - Mother Tinctu'!D4881</f>
        <v>0</v>
      </c>
      <c r="AB4880" s="117">
        <f t="shared" si="79"/>
        <v>0</v>
      </c>
      <c r="AC4880" s="117" t="str">
        <f>IF(AB4880=1,COUNTIF($AB$3:AB4880,1),"")</f>
        <v/>
      </c>
      <c r="AD4880" s="117" t="str">
        <f>IFERROR(INDEX($AA$3:$AA$10000,MATCH(ROWS($AC$3:AC4880),$AC$3:$AC$10000,0)),"")</f>
        <v/>
      </c>
    </row>
    <row r="4881" spans="27:30">
      <c r="AA4881" s="117">
        <f>+'Ingredient List - Mother Tinctu'!D4882</f>
        <v>0</v>
      </c>
      <c r="AB4881" s="117">
        <f t="shared" si="79"/>
        <v>0</v>
      </c>
      <c r="AC4881" s="117" t="str">
        <f>IF(AB4881=1,COUNTIF($AB$3:AB4881,1),"")</f>
        <v/>
      </c>
      <c r="AD4881" s="117" t="str">
        <f>IFERROR(INDEX($AA$3:$AA$10000,MATCH(ROWS($AC$3:AC4881),$AC$3:$AC$10000,0)),"")</f>
        <v/>
      </c>
    </row>
    <row r="4882" spans="27:30">
      <c r="AA4882" s="117">
        <f>+'Ingredient List - Mother Tinctu'!D4883</f>
        <v>0</v>
      </c>
      <c r="AB4882" s="117">
        <f t="shared" si="79"/>
        <v>0</v>
      </c>
      <c r="AC4882" s="117" t="str">
        <f>IF(AB4882=1,COUNTIF($AB$3:AB4882,1),"")</f>
        <v/>
      </c>
      <c r="AD4882" s="117" t="str">
        <f>IFERROR(INDEX($AA$3:$AA$10000,MATCH(ROWS($AC$3:AC4882),$AC$3:$AC$10000,0)),"")</f>
        <v/>
      </c>
    </row>
    <row r="4883" spans="27:30">
      <c r="AA4883" s="117">
        <f>+'Ingredient List - Mother Tinctu'!D4884</f>
        <v>0</v>
      </c>
      <c r="AB4883" s="117">
        <f t="shared" si="79"/>
        <v>0</v>
      </c>
      <c r="AC4883" s="117" t="str">
        <f>IF(AB4883=1,COUNTIF($AB$3:AB4883,1),"")</f>
        <v/>
      </c>
      <c r="AD4883" s="117" t="str">
        <f>IFERROR(INDEX($AA$3:$AA$10000,MATCH(ROWS($AC$3:AC4883),$AC$3:$AC$10000,0)),"")</f>
        <v/>
      </c>
    </row>
    <row r="4884" spans="27:30">
      <c r="AA4884" s="117">
        <f>+'Ingredient List - Mother Tinctu'!D4885</f>
        <v>0</v>
      </c>
      <c r="AB4884" s="117">
        <f t="shared" si="79"/>
        <v>0</v>
      </c>
      <c r="AC4884" s="117" t="str">
        <f>IF(AB4884=1,COUNTIF($AB$3:AB4884,1),"")</f>
        <v/>
      </c>
      <c r="AD4884" s="117" t="str">
        <f>IFERROR(INDEX($AA$3:$AA$10000,MATCH(ROWS($AC$3:AC4884),$AC$3:$AC$10000,0)),"")</f>
        <v/>
      </c>
    </row>
    <row r="4885" spans="27:30">
      <c r="AA4885" s="117">
        <f>+'Ingredient List - Mother Tinctu'!D4886</f>
        <v>0</v>
      </c>
      <c r="AB4885" s="117">
        <f t="shared" si="79"/>
        <v>0</v>
      </c>
      <c r="AC4885" s="117" t="str">
        <f>IF(AB4885=1,COUNTIF($AB$3:AB4885,1),"")</f>
        <v/>
      </c>
      <c r="AD4885" s="117" t="str">
        <f>IFERROR(INDEX($AA$3:$AA$10000,MATCH(ROWS($AC$3:AC4885),$AC$3:$AC$10000,0)),"")</f>
        <v/>
      </c>
    </row>
    <row r="4886" spans="27:30">
      <c r="AA4886" s="117">
        <f>+'Ingredient List - Mother Tinctu'!D4887</f>
        <v>0</v>
      </c>
      <c r="AB4886" s="117">
        <f t="shared" si="79"/>
        <v>0</v>
      </c>
      <c r="AC4886" s="117" t="str">
        <f>IF(AB4886=1,COUNTIF($AB$3:AB4886,1),"")</f>
        <v/>
      </c>
      <c r="AD4886" s="117" t="str">
        <f>IFERROR(INDEX($AA$3:$AA$10000,MATCH(ROWS($AC$3:AC4886),$AC$3:$AC$10000,0)),"")</f>
        <v/>
      </c>
    </row>
    <row r="4887" spans="27:30">
      <c r="AA4887" s="117">
        <f>+'Ingredient List - Mother Tinctu'!D4888</f>
        <v>0</v>
      </c>
      <c r="AB4887" s="117">
        <f t="shared" si="79"/>
        <v>0</v>
      </c>
      <c r="AC4887" s="117" t="str">
        <f>IF(AB4887=1,COUNTIF($AB$3:AB4887,1),"")</f>
        <v/>
      </c>
      <c r="AD4887" s="117" t="str">
        <f>IFERROR(INDEX($AA$3:$AA$10000,MATCH(ROWS($AC$3:AC4887),$AC$3:$AC$10000,0)),"")</f>
        <v/>
      </c>
    </row>
    <row r="4888" spans="27:30">
      <c r="AA4888" s="117">
        <f>+'Ingredient List - Mother Tinctu'!D4889</f>
        <v>0</v>
      </c>
      <c r="AB4888" s="117">
        <f t="shared" si="79"/>
        <v>0</v>
      </c>
      <c r="AC4888" s="117" t="str">
        <f>IF(AB4888=1,COUNTIF($AB$3:AB4888,1),"")</f>
        <v/>
      </c>
      <c r="AD4888" s="117" t="str">
        <f>IFERROR(INDEX($AA$3:$AA$10000,MATCH(ROWS($AC$3:AC4888),$AC$3:$AC$10000,0)),"")</f>
        <v/>
      </c>
    </row>
    <row r="4889" spans="27:30">
      <c r="AA4889" s="117">
        <f>+'Ingredient List - Mother Tinctu'!D4890</f>
        <v>0</v>
      </c>
      <c r="AB4889" s="117">
        <f t="shared" si="79"/>
        <v>0</v>
      </c>
      <c r="AC4889" s="117" t="str">
        <f>IF(AB4889=1,COUNTIF($AB$3:AB4889,1),"")</f>
        <v/>
      </c>
      <c r="AD4889" s="117" t="str">
        <f>IFERROR(INDEX($AA$3:$AA$10000,MATCH(ROWS($AC$3:AC4889),$AC$3:$AC$10000,0)),"")</f>
        <v/>
      </c>
    </row>
    <row r="4890" spans="27:30">
      <c r="AA4890" s="117">
        <f>+'Ingredient List - Mother Tinctu'!D4891</f>
        <v>0</v>
      </c>
      <c r="AB4890" s="117">
        <f t="shared" si="79"/>
        <v>0</v>
      </c>
      <c r="AC4890" s="117" t="str">
        <f>IF(AB4890=1,COUNTIF($AB$3:AB4890,1),"")</f>
        <v/>
      </c>
      <c r="AD4890" s="117" t="str">
        <f>IFERROR(INDEX($AA$3:$AA$10000,MATCH(ROWS($AC$3:AC4890),$AC$3:$AC$10000,0)),"")</f>
        <v/>
      </c>
    </row>
    <row r="4891" spans="27:30">
      <c r="AA4891" s="117">
        <f>+'Ingredient List - Mother Tinctu'!D4892</f>
        <v>0</v>
      </c>
      <c r="AB4891" s="117">
        <f t="shared" si="79"/>
        <v>0</v>
      </c>
      <c r="AC4891" s="117" t="str">
        <f>IF(AB4891=1,COUNTIF($AB$3:AB4891,1),"")</f>
        <v/>
      </c>
      <c r="AD4891" s="117" t="str">
        <f>IFERROR(INDEX($AA$3:$AA$10000,MATCH(ROWS($AC$3:AC4891),$AC$3:$AC$10000,0)),"")</f>
        <v/>
      </c>
    </row>
    <row r="4892" spans="27:30">
      <c r="AA4892" s="117">
        <f>+'Ingredient List - Mother Tinctu'!D4893</f>
        <v>0</v>
      </c>
      <c r="AB4892" s="117">
        <f t="shared" si="79"/>
        <v>0</v>
      </c>
      <c r="AC4892" s="117" t="str">
        <f>IF(AB4892=1,COUNTIF($AB$3:AB4892,1),"")</f>
        <v/>
      </c>
      <c r="AD4892" s="117" t="str">
        <f>IFERROR(INDEX($AA$3:$AA$10000,MATCH(ROWS($AC$3:AC4892),$AC$3:$AC$10000,0)),"")</f>
        <v/>
      </c>
    </row>
    <row r="4893" spans="27:30">
      <c r="AA4893" s="117">
        <f>+'Ingredient List - Mother Tinctu'!D4894</f>
        <v>0</v>
      </c>
      <c r="AB4893" s="117">
        <f t="shared" si="79"/>
        <v>0</v>
      </c>
      <c r="AC4893" s="117" t="str">
        <f>IF(AB4893=1,COUNTIF($AB$3:AB4893,1),"")</f>
        <v/>
      </c>
      <c r="AD4893" s="117" t="str">
        <f>IFERROR(INDEX($AA$3:$AA$10000,MATCH(ROWS($AC$3:AC4893),$AC$3:$AC$10000,0)),"")</f>
        <v/>
      </c>
    </row>
    <row r="4894" spans="27:30">
      <c r="AA4894" s="117">
        <f>+'Ingredient List - Mother Tinctu'!D4895</f>
        <v>0</v>
      </c>
      <c r="AB4894" s="117">
        <f t="shared" si="79"/>
        <v>0</v>
      </c>
      <c r="AC4894" s="117" t="str">
        <f>IF(AB4894=1,COUNTIF($AB$3:AB4894,1),"")</f>
        <v/>
      </c>
      <c r="AD4894" s="117" t="str">
        <f>IFERROR(INDEX($AA$3:$AA$10000,MATCH(ROWS($AC$3:AC4894),$AC$3:$AC$10000,0)),"")</f>
        <v/>
      </c>
    </row>
    <row r="4895" spans="27:30">
      <c r="AA4895" s="117">
        <f>+'Ingredient List - Mother Tinctu'!D4896</f>
        <v>0</v>
      </c>
      <c r="AB4895" s="117">
        <f t="shared" si="79"/>
        <v>0</v>
      </c>
      <c r="AC4895" s="117" t="str">
        <f>IF(AB4895=1,COUNTIF($AB$3:AB4895,1),"")</f>
        <v/>
      </c>
      <c r="AD4895" s="117" t="str">
        <f>IFERROR(INDEX($AA$3:$AA$10000,MATCH(ROWS($AC$3:AC4895),$AC$3:$AC$10000,0)),"")</f>
        <v/>
      </c>
    </row>
    <row r="4896" spans="27:30">
      <c r="AA4896" s="117">
        <f>+'Ingredient List - Mother Tinctu'!D4897</f>
        <v>0</v>
      </c>
      <c r="AB4896" s="117">
        <f t="shared" si="79"/>
        <v>0</v>
      </c>
      <c r="AC4896" s="117" t="str">
        <f>IF(AB4896=1,COUNTIF($AB$3:AB4896,1),"")</f>
        <v/>
      </c>
      <c r="AD4896" s="117" t="str">
        <f>IFERROR(INDEX($AA$3:$AA$10000,MATCH(ROWS($AC$3:AC4896),$AC$3:$AC$10000,0)),"")</f>
        <v/>
      </c>
    </row>
    <row r="4897" spans="27:30">
      <c r="AA4897" s="117">
        <f>+'Ingredient List - Mother Tinctu'!D4898</f>
        <v>0</v>
      </c>
      <c r="AB4897" s="117">
        <f t="shared" si="79"/>
        <v>0</v>
      </c>
      <c r="AC4897" s="117" t="str">
        <f>IF(AB4897=1,COUNTIF($AB$3:AB4897,1),"")</f>
        <v/>
      </c>
      <c r="AD4897" s="117" t="str">
        <f>IFERROR(INDEX($AA$3:$AA$10000,MATCH(ROWS($AC$3:AC4897),$AC$3:$AC$10000,0)),"")</f>
        <v/>
      </c>
    </row>
    <row r="4898" spans="27:30">
      <c r="AA4898" s="117">
        <f>+'Ingredient List - Mother Tinctu'!D4899</f>
        <v>0</v>
      </c>
      <c r="AB4898" s="117">
        <f t="shared" si="79"/>
        <v>0</v>
      </c>
      <c r="AC4898" s="117" t="str">
        <f>IF(AB4898=1,COUNTIF($AB$3:AB4898,1),"")</f>
        <v/>
      </c>
      <c r="AD4898" s="117" t="str">
        <f>IFERROR(INDEX($AA$3:$AA$10000,MATCH(ROWS($AC$3:AC4898),$AC$3:$AC$10000,0)),"")</f>
        <v/>
      </c>
    </row>
    <row r="4899" spans="27:30">
      <c r="AA4899" s="117">
        <f>+'Ingredient List - Mother Tinctu'!D4900</f>
        <v>0</v>
      </c>
      <c r="AB4899" s="117">
        <f t="shared" si="79"/>
        <v>0</v>
      </c>
      <c r="AC4899" s="117" t="str">
        <f>IF(AB4899=1,COUNTIF($AB$3:AB4899,1),"")</f>
        <v/>
      </c>
      <c r="AD4899" s="117" t="str">
        <f>IFERROR(INDEX($AA$3:$AA$10000,MATCH(ROWS($AC$3:AC4899),$AC$3:$AC$10000,0)),"")</f>
        <v/>
      </c>
    </row>
    <row r="4900" spans="27:30">
      <c r="AA4900" s="117">
        <f>+'Ingredient List - Mother Tinctu'!D4901</f>
        <v>0</v>
      </c>
      <c r="AB4900" s="117">
        <f t="shared" si="79"/>
        <v>0</v>
      </c>
      <c r="AC4900" s="117" t="str">
        <f>IF(AB4900=1,COUNTIF($AB$3:AB4900,1),"")</f>
        <v/>
      </c>
      <c r="AD4900" s="117" t="str">
        <f>IFERROR(INDEX($AA$3:$AA$10000,MATCH(ROWS($AC$3:AC4900),$AC$3:$AC$10000,0)),"")</f>
        <v/>
      </c>
    </row>
    <row r="4901" spans="27:30">
      <c r="AA4901" s="117">
        <f>+'Ingredient List - Mother Tinctu'!D4902</f>
        <v>0</v>
      </c>
      <c r="AB4901" s="117">
        <f t="shared" si="79"/>
        <v>0</v>
      </c>
      <c r="AC4901" s="117" t="str">
        <f>IF(AB4901=1,COUNTIF($AB$3:AB4901,1),"")</f>
        <v/>
      </c>
      <c r="AD4901" s="117" t="str">
        <f>IFERROR(INDEX($AA$3:$AA$10000,MATCH(ROWS($AC$3:AC4901),$AC$3:$AC$10000,0)),"")</f>
        <v/>
      </c>
    </row>
    <row r="4902" spans="27:30">
      <c r="AA4902" s="117">
        <f>+'Ingredient List - Mother Tinctu'!D4903</f>
        <v>0</v>
      </c>
      <c r="AB4902" s="117">
        <f t="shared" si="79"/>
        <v>0</v>
      </c>
      <c r="AC4902" s="117" t="str">
        <f>IF(AB4902=1,COUNTIF($AB$3:AB4902,1),"")</f>
        <v/>
      </c>
      <c r="AD4902" s="117" t="str">
        <f>IFERROR(INDEX($AA$3:$AA$10000,MATCH(ROWS($AC$3:AC4902),$AC$3:$AC$10000,0)),"")</f>
        <v/>
      </c>
    </row>
    <row r="4903" spans="27:30">
      <c r="AA4903" s="117">
        <f>+'Ingredient List - Mother Tinctu'!D4904</f>
        <v>0</v>
      </c>
      <c r="AB4903" s="117">
        <f t="shared" si="79"/>
        <v>0</v>
      </c>
      <c r="AC4903" s="117" t="str">
        <f>IF(AB4903=1,COUNTIF($AB$3:AB4903,1),"")</f>
        <v/>
      </c>
      <c r="AD4903" s="117" t="str">
        <f>IFERROR(INDEX($AA$3:$AA$10000,MATCH(ROWS($AC$3:AC4903),$AC$3:$AC$10000,0)),"")</f>
        <v/>
      </c>
    </row>
    <row r="4904" spans="27:30">
      <c r="AA4904" s="117">
        <f>+'Ingredient List - Mother Tinctu'!D4905</f>
        <v>0</v>
      </c>
      <c r="AB4904" s="117">
        <f t="shared" si="79"/>
        <v>0</v>
      </c>
      <c r="AC4904" s="117" t="str">
        <f>IF(AB4904=1,COUNTIF($AB$3:AB4904,1),"")</f>
        <v/>
      </c>
      <c r="AD4904" s="117" t="str">
        <f>IFERROR(INDEX($AA$3:$AA$10000,MATCH(ROWS($AC$3:AC4904),$AC$3:$AC$10000,0)),"")</f>
        <v/>
      </c>
    </row>
    <row r="4905" spans="27:30">
      <c r="AA4905" s="117">
        <f>+'Ingredient List - Mother Tinctu'!D4906</f>
        <v>0</v>
      </c>
      <c r="AB4905" s="117">
        <f t="shared" si="79"/>
        <v>0</v>
      </c>
      <c r="AC4905" s="117" t="str">
        <f>IF(AB4905=1,COUNTIF($AB$3:AB4905,1),"")</f>
        <v/>
      </c>
      <c r="AD4905" s="117" t="str">
        <f>IFERROR(INDEX($AA$3:$AA$10000,MATCH(ROWS($AC$3:AC4905),$AC$3:$AC$10000,0)),"")</f>
        <v/>
      </c>
    </row>
    <row r="4906" spans="27:30">
      <c r="AA4906" s="117">
        <f>+'Ingredient List - Mother Tinctu'!D4907</f>
        <v>0</v>
      </c>
      <c r="AB4906" s="117">
        <f t="shared" si="79"/>
        <v>0</v>
      </c>
      <c r="AC4906" s="117" t="str">
        <f>IF(AB4906=1,COUNTIF($AB$3:AB4906,1),"")</f>
        <v/>
      </c>
      <c r="AD4906" s="117" t="str">
        <f>IFERROR(INDEX($AA$3:$AA$10000,MATCH(ROWS($AC$3:AC4906),$AC$3:$AC$10000,0)),"")</f>
        <v/>
      </c>
    </row>
    <row r="4907" spans="27:30">
      <c r="AA4907" s="117">
        <f>+'Ingredient List - Mother Tinctu'!D4908</f>
        <v>0</v>
      </c>
      <c r="AB4907" s="117">
        <f t="shared" si="79"/>
        <v>0</v>
      </c>
      <c r="AC4907" s="117" t="str">
        <f>IF(AB4907=1,COUNTIF($AB$3:AB4907,1),"")</f>
        <v/>
      </c>
      <c r="AD4907" s="117" t="str">
        <f>IFERROR(INDEX($AA$3:$AA$10000,MATCH(ROWS($AC$3:AC4907),$AC$3:$AC$10000,0)),"")</f>
        <v/>
      </c>
    </row>
    <row r="4908" spans="27:30">
      <c r="AA4908" s="117">
        <f>+'Ingredient List - Mother Tinctu'!D4909</f>
        <v>0</v>
      </c>
      <c r="AB4908" s="117">
        <f t="shared" si="79"/>
        <v>0</v>
      </c>
      <c r="AC4908" s="117" t="str">
        <f>IF(AB4908=1,COUNTIF($AB$3:AB4908,1),"")</f>
        <v/>
      </c>
      <c r="AD4908" s="117" t="str">
        <f>IFERROR(INDEX($AA$3:$AA$10000,MATCH(ROWS($AC$3:AC4908),$AC$3:$AC$10000,0)),"")</f>
        <v/>
      </c>
    </row>
    <row r="4909" spans="27:30">
      <c r="AA4909" s="117">
        <f>+'Ingredient List - Mother Tinctu'!D4910</f>
        <v>0</v>
      </c>
      <c r="AB4909" s="117">
        <f t="shared" si="79"/>
        <v>0</v>
      </c>
      <c r="AC4909" s="117" t="str">
        <f>IF(AB4909=1,COUNTIF($AB$3:AB4909,1),"")</f>
        <v/>
      </c>
      <c r="AD4909" s="117" t="str">
        <f>IFERROR(INDEX($AA$3:$AA$10000,MATCH(ROWS($AC$3:AC4909),$AC$3:$AC$10000,0)),"")</f>
        <v/>
      </c>
    </row>
    <row r="4910" spans="27:30">
      <c r="AA4910" s="117">
        <f>+'Ingredient List - Mother Tinctu'!D4911</f>
        <v>0</v>
      </c>
      <c r="AB4910" s="117">
        <f t="shared" si="79"/>
        <v>0</v>
      </c>
      <c r="AC4910" s="117" t="str">
        <f>IF(AB4910=1,COUNTIF($AB$3:AB4910,1),"")</f>
        <v/>
      </c>
      <c r="AD4910" s="117" t="str">
        <f>IFERROR(INDEX($AA$3:$AA$10000,MATCH(ROWS($AC$3:AC4910),$AC$3:$AC$10000,0)),"")</f>
        <v/>
      </c>
    </row>
    <row r="4911" spans="27:30">
      <c r="AA4911" s="117">
        <f>+'Ingredient List - Mother Tinctu'!D4912</f>
        <v>0</v>
      </c>
      <c r="AB4911" s="117">
        <f t="shared" si="79"/>
        <v>0</v>
      </c>
      <c r="AC4911" s="117" t="str">
        <f>IF(AB4911=1,COUNTIF($AB$3:AB4911,1),"")</f>
        <v/>
      </c>
      <c r="AD4911" s="117" t="str">
        <f>IFERROR(INDEX($AA$3:$AA$10000,MATCH(ROWS($AC$3:AC4911),$AC$3:$AC$10000,0)),"")</f>
        <v/>
      </c>
    </row>
    <row r="4912" spans="27:30">
      <c r="AA4912" s="117">
        <f>+'Ingredient List - Mother Tinctu'!D4913</f>
        <v>0</v>
      </c>
      <c r="AB4912" s="117">
        <f t="shared" si="79"/>
        <v>0</v>
      </c>
      <c r="AC4912" s="117" t="str">
        <f>IF(AB4912=1,COUNTIF($AB$3:AB4912,1),"")</f>
        <v/>
      </c>
      <c r="AD4912" s="117" t="str">
        <f>IFERROR(INDEX($AA$3:$AA$10000,MATCH(ROWS($AC$3:AC4912),$AC$3:$AC$10000,0)),"")</f>
        <v/>
      </c>
    </row>
    <row r="4913" spans="27:30">
      <c r="AA4913" s="117">
        <f>+'Ingredient List - Mother Tinctu'!D4914</f>
        <v>0</v>
      </c>
      <c r="AB4913" s="117">
        <f t="shared" si="79"/>
        <v>0</v>
      </c>
      <c r="AC4913" s="117" t="str">
        <f>IF(AB4913=1,COUNTIF($AB$3:AB4913,1),"")</f>
        <v/>
      </c>
      <c r="AD4913" s="117" t="str">
        <f>IFERROR(INDEX($AA$3:$AA$10000,MATCH(ROWS($AC$3:AC4913),$AC$3:$AC$10000,0)),"")</f>
        <v/>
      </c>
    </row>
    <row r="4914" spans="27:30">
      <c r="AA4914" s="117">
        <f>+'Ingredient List - Mother Tinctu'!D4915</f>
        <v>0</v>
      </c>
      <c r="AB4914" s="117">
        <f t="shared" si="79"/>
        <v>0</v>
      </c>
      <c r="AC4914" s="117" t="str">
        <f>IF(AB4914=1,COUNTIF($AB$3:AB4914,1),"")</f>
        <v/>
      </c>
      <c r="AD4914" s="117" t="str">
        <f>IFERROR(INDEX($AA$3:$AA$10000,MATCH(ROWS($AC$3:AC4914),$AC$3:$AC$10000,0)),"")</f>
        <v/>
      </c>
    </row>
    <row r="4915" spans="27:30">
      <c r="AA4915" s="117">
        <f>+'Ingredient List - Mother Tinctu'!D4916</f>
        <v>0</v>
      </c>
      <c r="AB4915" s="117">
        <f t="shared" si="79"/>
        <v>0</v>
      </c>
      <c r="AC4915" s="117" t="str">
        <f>IF(AB4915=1,COUNTIF($AB$3:AB4915,1),"")</f>
        <v/>
      </c>
      <c r="AD4915" s="117" t="str">
        <f>IFERROR(INDEX($AA$3:$AA$10000,MATCH(ROWS($AC$3:AC4915),$AC$3:$AC$10000,0)),"")</f>
        <v/>
      </c>
    </row>
    <row r="4916" spans="27:30">
      <c r="AA4916" s="117">
        <f>+'Ingredient List - Mother Tinctu'!D4917</f>
        <v>0</v>
      </c>
      <c r="AB4916" s="117">
        <f t="shared" si="79"/>
        <v>0</v>
      </c>
      <c r="AC4916" s="117" t="str">
        <f>IF(AB4916=1,COUNTIF($AB$3:AB4916,1),"")</f>
        <v/>
      </c>
      <c r="AD4916" s="117" t="str">
        <f>IFERROR(INDEX($AA$3:$AA$10000,MATCH(ROWS($AC$3:AC4916),$AC$3:$AC$10000,0)),"")</f>
        <v/>
      </c>
    </row>
    <row r="4917" spans="27:30">
      <c r="AA4917" s="117">
        <f>+'Ingredient List - Mother Tinctu'!D4918</f>
        <v>0</v>
      </c>
      <c r="AB4917" s="117">
        <f t="shared" si="79"/>
        <v>0</v>
      </c>
      <c r="AC4917" s="117" t="str">
        <f>IF(AB4917=1,COUNTIF($AB$3:AB4917,1),"")</f>
        <v/>
      </c>
      <c r="AD4917" s="117" t="str">
        <f>IFERROR(INDEX($AA$3:$AA$10000,MATCH(ROWS($AC$3:AC4917),$AC$3:$AC$10000,0)),"")</f>
        <v/>
      </c>
    </row>
    <row r="4918" spans="27:30">
      <c r="AA4918" s="117">
        <f>+'Ingredient List - Mother Tinctu'!D4919</f>
        <v>0</v>
      </c>
      <c r="AB4918" s="117">
        <f t="shared" si="79"/>
        <v>0</v>
      </c>
      <c r="AC4918" s="117" t="str">
        <f>IF(AB4918=1,COUNTIF($AB$3:AB4918,1),"")</f>
        <v/>
      </c>
      <c r="AD4918" s="117" t="str">
        <f>IFERROR(INDEX($AA$3:$AA$10000,MATCH(ROWS($AC$3:AC4918),$AC$3:$AC$10000,0)),"")</f>
        <v/>
      </c>
    </row>
    <row r="4919" spans="27:30">
      <c r="AA4919" s="117">
        <f>+'Ingredient List - Mother Tinctu'!D4920</f>
        <v>0</v>
      </c>
      <c r="AB4919" s="117">
        <f t="shared" si="79"/>
        <v>0</v>
      </c>
      <c r="AC4919" s="117" t="str">
        <f>IF(AB4919=1,COUNTIF($AB$3:AB4919,1),"")</f>
        <v/>
      </c>
      <c r="AD4919" s="117" t="str">
        <f>IFERROR(INDEX($AA$3:$AA$10000,MATCH(ROWS($AC$3:AC4919),$AC$3:$AC$10000,0)),"")</f>
        <v/>
      </c>
    </row>
    <row r="4920" spans="27:30">
      <c r="AA4920" s="117">
        <f>+'Ingredient List - Mother Tinctu'!D4921</f>
        <v>0</v>
      </c>
      <c r="AB4920" s="117">
        <f t="shared" si="79"/>
        <v>0</v>
      </c>
      <c r="AC4920" s="117" t="str">
        <f>IF(AB4920=1,COUNTIF($AB$3:AB4920,1),"")</f>
        <v/>
      </c>
      <c r="AD4920" s="117" t="str">
        <f>IFERROR(INDEX($AA$3:$AA$10000,MATCH(ROWS($AC$3:AC4920),$AC$3:$AC$10000,0)),"")</f>
        <v/>
      </c>
    </row>
    <row r="4921" spans="27:30">
      <c r="AA4921" s="117">
        <f>+'Ingredient List - Mother Tinctu'!D4922</f>
        <v>0</v>
      </c>
      <c r="AB4921" s="117">
        <f t="shared" si="79"/>
        <v>0</v>
      </c>
      <c r="AC4921" s="117" t="str">
        <f>IF(AB4921=1,COUNTIF($AB$3:AB4921,1),"")</f>
        <v/>
      </c>
      <c r="AD4921" s="117" t="str">
        <f>IFERROR(INDEX($AA$3:$AA$10000,MATCH(ROWS($AC$3:AC4921),$AC$3:$AC$10000,0)),"")</f>
        <v/>
      </c>
    </row>
    <row r="4922" spans="27:30">
      <c r="AA4922" s="117">
        <f>+'Ingredient List - Mother Tinctu'!D4923</f>
        <v>0</v>
      </c>
      <c r="AB4922" s="117">
        <f t="shared" si="79"/>
        <v>0</v>
      </c>
      <c r="AC4922" s="117" t="str">
        <f>IF(AB4922=1,COUNTIF($AB$3:AB4922,1),"")</f>
        <v/>
      </c>
      <c r="AD4922" s="117" t="str">
        <f>IFERROR(INDEX($AA$3:$AA$10000,MATCH(ROWS($AC$3:AC4922),$AC$3:$AC$10000,0)),"")</f>
        <v/>
      </c>
    </row>
    <row r="4923" spans="27:30">
      <c r="AA4923" s="117">
        <f>+'Ingredient List - Mother Tinctu'!D4924</f>
        <v>0</v>
      </c>
      <c r="AB4923" s="117">
        <f t="shared" si="79"/>
        <v>0</v>
      </c>
      <c r="AC4923" s="117" t="str">
        <f>IF(AB4923=1,COUNTIF($AB$3:AB4923,1),"")</f>
        <v/>
      </c>
      <c r="AD4923" s="117" t="str">
        <f>IFERROR(INDEX($AA$3:$AA$10000,MATCH(ROWS($AC$3:AC4923),$AC$3:$AC$10000,0)),"")</f>
        <v/>
      </c>
    </row>
    <row r="4924" spans="27:30">
      <c r="AA4924" s="117">
        <f>+'Ingredient List - Mother Tinctu'!D4925</f>
        <v>0</v>
      </c>
      <c r="AB4924" s="117">
        <f t="shared" si="79"/>
        <v>0</v>
      </c>
      <c r="AC4924" s="117" t="str">
        <f>IF(AB4924=1,COUNTIF($AB$3:AB4924,1),"")</f>
        <v/>
      </c>
      <c r="AD4924" s="117" t="str">
        <f>IFERROR(INDEX($AA$3:$AA$10000,MATCH(ROWS($AC$3:AC4924),$AC$3:$AC$10000,0)),"")</f>
        <v/>
      </c>
    </row>
    <row r="4925" spans="27:30">
      <c r="AA4925" s="117">
        <f>+'Ingredient List - Mother Tinctu'!D4926</f>
        <v>0</v>
      </c>
      <c r="AB4925" s="117">
        <f t="shared" si="79"/>
        <v>0</v>
      </c>
      <c r="AC4925" s="117" t="str">
        <f>IF(AB4925=1,COUNTIF($AB$3:AB4925,1),"")</f>
        <v/>
      </c>
      <c r="AD4925" s="117" t="str">
        <f>IFERROR(INDEX($AA$3:$AA$10000,MATCH(ROWS($AC$3:AC4925),$AC$3:$AC$10000,0)),"")</f>
        <v/>
      </c>
    </row>
    <row r="4926" spans="27:30">
      <c r="AA4926" s="117">
        <f>+'Ingredient List - Mother Tinctu'!D4927</f>
        <v>0</v>
      </c>
      <c r="AB4926" s="117">
        <f t="shared" si="79"/>
        <v>0</v>
      </c>
      <c r="AC4926" s="117" t="str">
        <f>IF(AB4926=1,COUNTIF($AB$3:AB4926,1),"")</f>
        <v/>
      </c>
      <c r="AD4926" s="117" t="str">
        <f>IFERROR(INDEX($AA$3:$AA$10000,MATCH(ROWS($AC$3:AC4926),$AC$3:$AC$10000,0)),"")</f>
        <v/>
      </c>
    </row>
    <row r="4927" spans="27:30">
      <c r="AA4927" s="117">
        <f>+'Ingredient List - Mother Tinctu'!D4928</f>
        <v>0</v>
      </c>
      <c r="AB4927" s="117">
        <f t="shared" si="79"/>
        <v>0</v>
      </c>
      <c r="AC4927" s="117" t="str">
        <f>IF(AB4927=1,COUNTIF($AB$3:AB4927,1),"")</f>
        <v/>
      </c>
      <c r="AD4927" s="117" t="str">
        <f>IFERROR(INDEX($AA$3:$AA$10000,MATCH(ROWS($AC$3:AC4927),$AC$3:$AC$10000,0)),"")</f>
        <v/>
      </c>
    </row>
    <row r="4928" spans="27:30">
      <c r="AA4928" s="117">
        <f>+'Ingredient List - Mother Tinctu'!D4929</f>
        <v>0</v>
      </c>
      <c r="AB4928" s="117">
        <f t="shared" si="79"/>
        <v>0</v>
      </c>
      <c r="AC4928" s="117" t="str">
        <f>IF(AB4928=1,COUNTIF($AB$3:AB4928,1),"")</f>
        <v/>
      </c>
      <c r="AD4928" s="117" t="str">
        <f>IFERROR(INDEX($AA$3:$AA$10000,MATCH(ROWS($AC$3:AC4928),$AC$3:$AC$10000,0)),"")</f>
        <v/>
      </c>
    </row>
    <row r="4929" spans="27:30">
      <c r="AA4929" s="117">
        <f>+'Ingredient List - Mother Tinctu'!D4930</f>
        <v>0</v>
      </c>
      <c r="AB4929" s="117">
        <f t="shared" si="79"/>
        <v>0</v>
      </c>
      <c r="AC4929" s="117" t="str">
        <f>IF(AB4929=1,COUNTIF($AB$3:AB4929,1),"")</f>
        <v/>
      </c>
      <c r="AD4929" s="117" t="str">
        <f>IFERROR(INDEX($AA$3:$AA$10000,MATCH(ROWS($AC$3:AC4929),$AC$3:$AC$10000,0)),"")</f>
        <v/>
      </c>
    </row>
    <row r="4930" spans="27:30">
      <c r="AA4930" s="117">
        <f>+'Ingredient List - Mother Tinctu'!D4931</f>
        <v>0</v>
      </c>
      <c r="AB4930" s="117">
        <f t="shared" si="79"/>
        <v>0</v>
      </c>
      <c r="AC4930" s="117" t="str">
        <f>IF(AB4930=1,COUNTIF($AB$3:AB4930,1),"")</f>
        <v/>
      </c>
      <c r="AD4930" s="117" t="str">
        <f>IFERROR(INDEX($AA$3:$AA$10000,MATCH(ROWS($AC$3:AC4930),$AC$3:$AC$10000,0)),"")</f>
        <v/>
      </c>
    </row>
    <row r="4931" spans="27:30">
      <c r="AA4931" s="117">
        <f>+'Ingredient List - Mother Tinctu'!D4932</f>
        <v>0</v>
      </c>
      <c r="AB4931" s="117">
        <f t="shared" si="79"/>
        <v>0</v>
      </c>
      <c r="AC4931" s="117" t="str">
        <f>IF(AB4931=1,COUNTIF($AB$3:AB4931,1),"")</f>
        <v/>
      </c>
      <c r="AD4931" s="117" t="str">
        <f>IFERROR(INDEX($AA$3:$AA$10000,MATCH(ROWS($AC$3:AC4931),$AC$3:$AC$10000,0)),"")</f>
        <v/>
      </c>
    </row>
    <row r="4932" spans="27:30">
      <c r="AA4932" s="117">
        <f>+'Ingredient List - Mother Tinctu'!D4933</f>
        <v>0</v>
      </c>
      <c r="AB4932" s="117">
        <f t="shared" ref="AB4932:AB4995" si="80">--ISNUMBER(IFERROR(SEARCH($D$3,AA4932,1),""))</f>
        <v>0</v>
      </c>
      <c r="AC4932" s="117" t="str">
        <f>IF(AB4932=1,COUNTIF($AB$3:AB4932,1),"")</f>
        <v/>
      </c>
      <c r="AD4932" s="117" t="str">
        <f>IFERROR(INDEX($AA$3:$AA$10000,MATCH(ROWS($AC$3:AC4932),$AC$3:$AC$10000,0)),"")</f>
        <v/>
      </c>
    </row>
    <row r="4933" spans="27:30">
      <c r="AA4933" s="117">
        <f>+'Ingredient List - Mother Tinctu'!D4934</f>
        <v>0</v>
      </c>
      <c r="AB4933" s="117">
        <f t="shared" si="80"/>
        <v>0</v>
      </c>
      <c r="AC4933" s="117" t="str">
        <f>IF(AB4933=1,COUNTIF($AB$3:AB4933,1),"")</f>
        <v/>
      </c>
      <c r="AD4933" s="117" t="str">
        <f>IFERROR(INDEX($AA$3:$AA$10000,MATCH(ROWS($AC$3:AC4933),$AC$3:$AC$10000,0)),"")</f>
        <v/>
      </c>
    </row>
    <row r="4934" spans="27:30">
      <c r="AA4934" s="117">
        <f>+'Ingredient List - Mother Tinctu'!D4935</f>
        <v>0</v>
      </c>
      <c r="AB4934" s="117">
        <f t="shared" si="80"/>
        <v>0</v>
      </c>
      <c r="AC4934" s="117" t="str">
        <f>IF(AB4934=1,COUNTIF($AB$3:AB4934,1),"")</f>
        <v/>
      </c>
      <c r="AD4934" s="117" t="str">
        <f>IFERROR(INDEX($AA$3:$AA$10000,MATCH(ROWS($AC$3:AC4934),$AC$3:$AC$10000,0)),"")</f>
        <v/>
      </c>
    </row>
    <row r="4935" spans="27:30">
      <c r="AA4935" s="117">
        <f>+'Ingredient List - Mother Tinctu'!D4936</f>
        <v>0</v>
      </c>
      <c r="AB4935" s="117">
        <f t="shared" si="80"/>
        <v>0</v>
      </c>
      <c r="AC4935" s="117" t="str">
        <f>IF(AB4935=1,COUNTIF($AB$3:AB4935,1),"")</f>
        <v/>
      </c>
      <c r="AD4935" s="117" t="str">
        <f>IFERROR(INDEX($AA$3:$AA$10000,MATCH(ROWS($AC$3:AC4935),$AC$3:$AC$10000,0)),"")</f>
        <v/>
      </c>
    </row>
    <row r="4936" spans="27:30">
      <c r="AA4936" s="117">
        <f>+'Ingredient List - Mother Tinctu'!D4937</f>
        <v>0</v>
      </c>
      <c r="AB4936" s="117">
        <f t="shared" si="80"/>
        <v>0</v>
      </c>
      <c r="AC4936" s="117" t="str">
        <f>IF(AB4936=1,COUNTIF($AB$3:AB4936,1),"")</f>
        <v/>
      </c>
      <c r="AD4936" s="117" t="str">
        <f>IFERROR(INDEX($AA$3:$AA$10000,MATCH(ROWS($AC$3:AC4936),$AC$3:$AC$10000,0)),"")</f>
        <v/>
      </c>
    </row>
    <row r="4937" spans="27:30">
      <c r="AA4937" s="117">
        <f>+'Ingredient List - Mother Tinctu'!D4938</f>
        <v>0</v>
      </c>
      <c r="AB4937" s="117">
        <f t="shared" si="80"/>
        <v>0</v>
      </c>
      <c r="AC4937" s="117" t="str">
        <f>IF(AB4937=1,COUNTIF($AB$3:AB4937,1),"")</f>
        <v/>
      </c>
      <c r="AD4937" s="117" t="str">
        <f>IFERROR(INDEX($AA$3:$AA$10000,MATCH(ROWS($AC$3:AC4937),$AC$3:$AC$10000,0)),"")</f>
        <v/>
      </c>
    </row>
    <row r="4938" spans="27:30">
      <c r="AA4938" s="117">
        <f>+'Ingredient List - Mother Tinctu'!D4939</f>
        <v>0</v>
      </c>
      <c r="AB4938" s="117">
        <f t="shared" si="80"/>
        <v>0</v>
      </c>
      <c r="AC4938" s="117" t="str">
        <f>IF(AB4938=1,COUNTIF($AB$3:AB4938,1),"")</f>
        <v/>
      </c>
      <c r="AD4938" s="117" t="str">
        <f>IFERROR(INDEX($AA$3:$AA$10000,MATCH(ROWS($AC$3:AC4938),$AC$3:$AC$10000,0)),"")</f>
        <v/>
      </c>
    </row>
    <row r="4939" spans="27:30">
      <c r="AA4939" s="117">
        <f>+'Ingredient List - Mother Tinctu'!D4940</f>
        <v>0</v>
      </c>
      <c r="AB4939" s="117">
        <f t="shared" si="80"/>
        <v>0</v>
      </c>
      <c r="AC4939" s="117" t="str">
        <f>IF(AB4939=1,COUNTIF($AB$3:AB4939,1),"")</f>
        <v/>
      </c>
      <c r="AD4939" s="117" t="str">
        <f>IFERROR(INDEX($AA$3:$AA$10000,MATCH(ROWS($AC$3:AC4939),$AC$3:$AC$10000,0)),"")</f>
        <v/>
      </c>
    </row>
    <row r="4940" spans="27:30">
      <c r="AA4940" s="117">
        <f>+'Ingredient List - Mother Tinctu'!D4941</f>
        <v>0</v>
      </c>
      <c r="AB4940" s="117">
        <f t="shared" si="80"/>
        <v>0</v>
      </c>
      <c r="AC4940" s="117" t="str">
        <f>IF(AB4940=1,COUNTIF($AB$3:AB4940,1),"")</f>
        <v/>
      </c>
      <c r="AD4940" s="117" t="str">
        <f>IFERROR(INDEX($AA$3:$AA$10000,MATCH(ROWS($AC$3:AC4940),$AC$3:$AC$10000,0)),"")</f>
        <v/>
      </c>
    </row>
    <row r="4941" spans="27:30">
      <c r="AA4941" s="117">
        <f>+'Ingredient List - Mother Tinctu'!D4942</f>
        <v>0</v>
      </c>
      <c r="AB4941" s="117">
        <f t="shared" si="80"/>
        <v>0</v>
      </c>
      <c r="AC4941" s="117" t="str">
        <f>IF(AB4941=1,COUNTIF($AB$3:AB4941,1),"")</f>
        <v/>
      </c>
      <c r="AD4941" s="117" t="str">
        <f>IFERROR(INDEX($AA$3:$AA$10000,MATCH(ROWS($AC$3:AC4941),$AC$3:$AC$10000,0)),"")</f>
        <v/>
      </c>
    </row>
    <row r="4942" spans="27:30">
      <c r="AA4942" s="117">
        <f>+'Ingredient List - Mother Tinctu'!D4943</f>
        <v>0</v>
      </c>
      <c r="AB4942" s="117">
        <f t="shared" si="80"/>
        <v>0</v>
      </c>
      <c r="AC4942" s="117" t="str">
        <f>IF(AB4942=1,COUNTIF($AB$3:AB4942,1),"")</f>
        <v/>
      </c>
      <c r="AD4942" s="117" t="str">
        <f>IFERROR(INDEX($AA$3:$AA$10000,MATCH(ROWS($AC$3:AC4942),$AC$3:$AC$10000,0)),"")</f>
        <v/>
      </c>
    </row>
    <row r="4943" spans="27:30">
      <c r="AA4943" s="117">
        <f>+'Ingredient List - Mother Tinctu'!D4944</f>
        <v>0</v>
      </c>
      <c r="AB4943" s="117">
        <f t="shared" si="80"/>
        <v>0</v>
      </c>
      <c r="AC4943" s="117" t="str">
        <f>IF(AB4943=1,COUNTIF($AB$3:AB4943,1),"")</f>
        <v/>
      </c>
      <c r="AD4943" s="117" t="str">
        <f>IFERROR(INDEX($AA$3:$AA$10000,MATCH(ROWS($AC$3:AC4943),$AC$3:$AC$10000,0)),"")</f>
        <v/>
      </c>
    </row>
    <row r="4944" spans="27:30">
      <c r="AA4944" s="117">
        <f>+'Ingredient List - Mother Tinctu'!D4945</f>
        <v>0</v>
      </c>
      <c r="AB4944" s="117">
        <f t="shared" si="80"/>
        <v>0</v>
      </c>
      <c r="AC4944" s="117" t="str">
        <f>IF(AB4944=1,COUNTIF($AB$3:AB4944,1),"")</f>
        <v/>
      </c>
      <c r="AD4944" s="117" t="str">
        <f>IFERROR(INDEX($AA$3:$AA$10000,MATCH(ROWS($AC$3:AC4944),$AC$3:$AC$10000,0)),"")</f>
        <v/>
      </c>
    </row>
    <row r="4945" spans="27:30">
      <c r="AA4945" s="117">
        <f>+'Ingredient List - Mother Tinctu'!D4946</f>
        <v>0</v>
      </c>
      <c r="AB4945" s="117">
        <f t="shared" si="80"/>
        <v>0</v>
      </c>
      <c r="AC4945" s="117" t="str">
        <f>IF(AB4945=1,COUNTIF($AB$3:AB4945,1),"")</f>
        <v/>
      </c>
      <c r="AD4945" s="117" t="str">
        <f>IFERROR(INDEX($AA$3:$AA$10000,MATCH(ROWS($AC$3:AC4945),$AC$3:$AC$10000,0)),"")</f>
        <v/>
      </c>
    </row>
    <row r="4946" spans="27:30">
      <c r="AA4946" s="117">
        <f>+'Ingredient List - Mother Tinctu'!D4947</f>
        <v>0</v>
      </c>
      <c r="AB4946" s="117">
        <f t="shared" si="80"/>
        <v>0</v>
      </c>
      <c r="AC4946" s="117" t="str">
        <f>IF(AB4946=1,COUNTIF($AB$3:AB4946,1),"")</f>
        <v/>
      </c>
      <c r="AD4946" s="117" t="str">
        <f>IFERROR(INDEX($AA$3:$AA$10000,MATCH(ROWS($AC$3:AC4946),$AC$3:$AC$10000,0)),"")</f>
        <v/>
      </c>
    </row>
    <row r="4947" spans="27:30">
      <c r="AA4947" s="117">
        <f>+'Ingredient List - Mother Tinctu'!D4948</f>
        <v>0</v>
      </c>
      <c r="AB4947" s="117">
        <f t="shared" si="80"/>
        <v>0</v>
      </c>
      <c r="AC4947" s="117" t="str">
        <f>IF(AB4947=1,COUNTIF($AB$3:AB4947,1),"")</f>
        <v/>
      </c>
      <c r="AD4947" s="117" t="str">
        <f>IFERROR(INDEX($AA$3:$AA$10000,MATCH(ROWS($AC$3:AC4947),$AC$3:$AC$10000,0)),"")</f>
        <v/>
      </c>
    </row>
    <row r="4948" spans="27:30">
      <c r="AA4948" s="117">
        <f>+'Ingredient List - Mother Tinctu'!D4949</f>
        <v>0</v>
      </c>
      <c r="AB4948" s="117">
        <f t="shared" si="80"/>
        <v>0</v>
      </c>
      <c r="AC4948" s="117" t="str">
        <f>IF(AB4948=1,COUNTIF($AB$3:AB4948,1),"")</f>
        <v/>
      </c>
      <c r="AD4948" s="117" t="str">
        <f>IFERROR(INDEX($AA$3:$AA$10000,MATCH(ROWS($AC$3:AC4948),$AC$3:$AC$10000,0)),"")</f>
        <v/>
      </c>
    </row>
    <row r="4949" spans="27:30">
      <c r="AA4949" s="117">
        <f>+'Ingredient List - Mother Tinctu'!D4950</f>
        <v>0</v>
      </c>
      <c r="AB4949" s="117">
        <f t="shared" si="80"/>
        <v>0</v>
      </c>
      <c r="AC4949" s="117" t="str">
        <f>IF(AB4949=1,COUNTIF($AB$3:AB4949,1),"")</f>
        <v/>
      </c>
      <c r="AD4949" s="117" t="str">
        <f>IFERROR(INDEX($AA$3:$AA$10000,MATCH(ROWS($AC$3:AC4949),$AC$3:$AC$10000,0)),"")</f>
        <v/>
      </c>
    </row>
    <row r="4950" spans="27:30">
      <c r="AA4950" s="117">
        <f>+'Ingredient List - Mother Tinctu'!D4951</f>
        <v>0</v>
      </c>
      <c r="AB4950" s="117">
        <f t="shared" si="80"/>
        <v>0</v>
      </c>
      <c r="AC4950" s="117" t="str">
        <f>IF(AB4950=1,COUNTIF($AB$3:AB4950,1),"")</f>
        <v/>
      </c>
      <c r="AD4950" s="117" t="str">
        <f>IFERROR(INDEX($AA$3:$AA$10000,MATCH(ROWS($AC$3:AC4950),$AC$3:$AC$10000,0)),"")</f>
        <v/>
      </c>
    </row>
    <row r="4951" spans="27:30">
      <c r="AA4951" s="117">
        <f>+'Ingredient List - Mother Tinctu'!D4952</f>
        <v>0</v>
      </c>
      <c r="AB4951" s="117">
        <f t="shared" si="80"/>
        <v>0</v>
      </c>
      <c r="AC4951" s="117" t="str">
        <f>IF(AB4951=1,COUNTIF($AB$3:AB4951,1),"")</f>
        <v/>
      </c>
      <c r="AD4951" s="117" t="str">
        <f>IFERROR(INDEX($AA$3:$AA$10000,MATCH(ROWS($AC$3:AC4951),$AC$3:$AC$10000,0)),"")</f>
        <v/>
      </c>
    </row>
    <row r="4952" spans="27:30">
      <c r="AA4952" s="117">
        <f>+'Ingredient List - Mother Tinctu'!D4953</f>
        <v>0</v>
      </c>
      <c r="AB4952" s="117">
        <f t="shared" si="80"/>
        <v>0</v>
      </c>
      <c r="AC4952" s="117" t="str">
        <f>IF(AB4952=1,COUNTIF($AB$3:AB4952,1),"")</f>
        <v/>
      </c>
      <c r="AD4952" s="117" t="str">
        <f>IFERROR(INDEX($AA$3:$AA$10000,MATCH(ROWS($AC$3:AC4952),$AC$3:$AC$10000,0)),"")</f>
        <v/>
      </c>
    </row>
    <row r="4953" spans="27:30">
      <c r="AA4953" s="117">
        <f>+'Ingredient List - Mother Tinctu'!D4954</f>
        <v>0</v>
      </c>
      <c r="AB4953" s="117">
        <f t="shared" si="80"/>
        <v>0</v>
      </c>
      <c r="AC4953" s="117" t="str">
        <f>IF(AB4953=1,COUNTIF($AB$3:AB4953,1),"")</f>
        <v/>
      </c>
      <c r="AD4953" s="117" t="str">
        <f>IFERROR(INDEX($AA$3:$AA$10000,MATCH(ROWS($AC$3:AC4953),$AC$3:$AC$10000,0)),"")</f>
        <v/>
      </c>
    </row>
    <row r="4954" spans="27:30">
      <c r="AA4954" s="117">
        <f>+'Ingredient List - Mother Tinctu'!D4955</f>
        <v>0</v>
      </c>
      <c r="AB4954" s="117">
        <f t="shared" si="80"/>
        <v>0</v>
      </c>
      <c r="AC4954" s="117" t="str">
        <f>IF(AB4954=1,COUNTIF($AB$3:AB4954,1),"")</f>
        <v/>
      </c>
      <c r="AD4954" s="117" t="str">
        <f>IFERROR(INDEX($AA$3:$AA$10000,MATCH(ROWS($AC$3:AC4954),$AC$3:$AC$10000,0)),"")</f>
        <v/>
      </c>
    </row>
    <row r="4955" spans="27:30">
      <c r="AA4955" s="117">
        <f>+'Ingredient List - Mother Tinctu'!D4956</f>
        <v>0</v>
      </c>
      <c r="AB4955" s="117">
        <f t="shared" si="80"/>
        <v>0</v>
      </c>
      <c r="AC4955" s="117" t="str">
        <f>IF(AB4955=1,COUNTIF($AB$3:AB4955,1),"")</f>
        <v/>
      </c>
      <c r="AD4955" s="117" t="str">
        <f>IFERROR(INDEX($AA$3:$AA$10000,MATCH(ROWS($AC$3:AC4955),$AC$3:$AC$10000,0)),"")</f>
        <v/>
      </c>
    </row>
    <row r="4956" spans="27:30">
      <c r="AA4956" s="117">
        <f>+'Ingredient List - Mother Tinctu'!D4957</f>
        <v>0</v>
      </c>
      <c r="AB4956" s="117">
        <f t="shared" si="80"/>
        <v>0</v>
      </c>
      <c r="AC4956" s="117" t="str">
        <f>IF(AB4956=1,COUNTIF($AB$3:AB4956,1),"")</f>
        <v/>
      </c>
      <c r="AD4956" s="117" t="str">
        <f>IFERROR(INDEX($AA$3:$AA$10000,MATCH(ROWS($AC$3:AC4956),$AC$3:$AC$10000,0)),"")</f>
        <v/>
      </c>
    </row>
    <row r="4957" spans="27:30">
      <c r="AA4957" s="117">
        <f>+'Ingredient List - Mother Tinctu'!D4958</f>
        <v>0</v>
      </c>
      <c r="AB4957" s="117">
        <f t="shared" si="80"/>
        <v>0</v>
      </c>
      <c r="AC4957" s="117" t="str">
        <f>IF(AB4957=1,COUNTIF($AB$3:AB4957,1),"")</f>
        <v/>
      </c>
      <c r="AD4957" s="117" t="str">
        <f>IFERROR(INDEX($AA$3:$AA$10000,MATCH(ROWS($AC$3:AC4957),$AC$3:$AC$10000,0)),"")</f>
        <v/>
      </c>
    </row>
    <row r="4958" spans="27:30">
      <c r="AA4958" s="117">
        <f>+'Ingredient List - Mother Tinctu'!D4959</f>
        <v>0</v>
      </c>
      <c r="AB4958" s="117">
        <f t="shared" si="80"/>
        <v>0</v>
      </c>
      <c r="AC4958" s="117" t="str">
        <f>IF(AB4958=1,COUNTIF($AB$3:AB4958,1),"")</f>
        <v/>
      </c>
      <c r="AD4958" s="117" t="str">
        <f>IFERROR(INDEX($AA$3:$AA$10000,MATCH(ROWS($AC$3:AC4958),$AC$3:$AC$10000,0)),"")</f>
        <v/>
      </c>
    </row>
    <row r="4959" spans="27:30">
      <c r="AA4959" s="117">
        <f>+'Ingredient List - Mother Tinctu'!D4960</f>
        <v>0</v>
      </c>
      <c r="AB4959" s="117">
        <f t="shared" si="80"/>
        <v>0</v>
      </c>
      <c r="AC4959" s="117" t="str">
        <f>IF(AB4959=1,COUNTIF($AB$3:AB4959,1),"")</f>
        <v/>
      </c>
      <c r="AD4959" s="117" t="str">
        <f>IFERROR(INDEX($AA$3:$AA$10000,MATCH(ROWS($AC$3:AC4959),$AC$3:$AC$10000,0)),"")</f>
        <v/>
      </c>
    </row>
    <row r="4960" spans="27:30">
      <c r="AA4960" s="117">
        <f>+'Ingredient List - Mother Tinctu'!D4961</f>
        <v>0</v>
      </c>
      <c r="AB4960" s="117">
        <f t="shared" si="80"/>
        <v>0</v>
      </c>
      <c r="AC4960" s="117" t="str">
        <f>IF(AB4960=1,COUNTIF($AB$3:AB4960,1),"")</f>
        <v/>
      </c>
      <c r="AD4960" s="117" t="str">
        <f>IFERROR(INDEX($AA$3:$AA$10000,MATCH(ROWS($AC$3:AC4960),$AC$3:$AC$10000,0)),"")</f>
        <v/>
      </c>
    </row>
    <row r="4961" spans="27:30">
      <c r="AA4961" s="117">
        <f>+'Ingredient List - Mother Tinctu'!D4962</f>
        <v>0</v>
      </c>
      <c r="AB4961" s="117">
        <f t="shared" si="80"/>
        <v>0</v>
      </c>
      <c r="AC4961" s="117" t="str">
        <f>IF(AB4961=1,COUNTIF($AB$3:AB4961,1),"")</f>
        <v/>
      </c>
      <c r="AD4961" s="117" t="str">
        <f>IFERROR(INDEX($AA$3:$AA$10000,MATCH(ROWS($AC$3:AC4961),$AC$3:$AC$10000,0)),"")</f>
        <v/>
      </c>
    </row>
    <row r="4962" spans="27:30">
      <c r="AA4962" s="117">
        <f>+'Ingredient List - Mother Tinctu'!D4963</f>
        <v>0</v>
      </c>
      <c r="AB4962" s="117">
        <f t="shared" si="80"/>
        <v>0</v>
      </c>
      <c r="AC4962" s="117" t="str">
        <f>IF(AB4962=1,COUNTIF($AB$3:AB4962,1),"")</f>
        <v/>
      </c>
      <c r="AD4962" s="117" t="str">
        <f>IFERROR(INDEX($AA$3:$AA$10000,MATCH(ROWS($AC$3:AC4962),$AC$3:$AC$10000,0)),"")</f>
        <v/>
      </c>
    </row>
    <row r="4963" spans="27:30">
      <c r="AA4963" s="117">
        <f>+'Ingredient List - Mother Tinctu'!D4964</f>
        <v>0</v>
      </c>
      <c r="AB4963" s="117">
        <f t="shared" si="80"/>
        <v>0</v>
      </c>
      <c r="AC4963" s="117" t="str">
        <f>IF(AB4963=1,COUNTIF($AB$3:AB4963,1),"")</f>
        <v/>
      </c>
      <c r="AD4963" s="117" t="str">
        <f>IFERROR(INDEX($AA$3:$AA$10000,MATCH(ROWS($AC$3:AC4963),$AC$3:$AC$10000,0)),"")</f>
        <v/>
      </c>
    </row>
    <row r="4964" spans="27:30">
      <c r="AA4964" s="117">
        <f>+'Ingredient List - Mother Tinctu'!D4965</f>
        <v>0</v>
      </c>
      <c r="AB4964" s="117">
        <f t="shared" si="80"/>
        <v>0</v>
      </c>
      <c r="AC4964" s="117" t="str">
        <f>IF(AB4964=1,COUNTIF($AB$3:AB4964,1),"")</f>
        <v/>
      </c>
      <c r="AD4964" s="117" t="str">
        <f>IFERROR(INDEX($AA$3:$AA$10000,MATCH(ROWS($AC$3:AC4964),$AC$3:$AC$10000,0)),"")</f>
        <v/>
      </c>
    </row>
    <row r="4965" spans="27:30">
      <c r="AA4965" s="117">
        <f>+'Ingredient List - Mother Tinctu'!D4966</f>
        <v>0</v>
      </c>
      <c r="AB4965" s="117">
        <f t="shared" si="80"/>
        <v>0</v>
      </c>
      <c r="AC4965" s="117" t="str">
        <f>IF(AB4965=1,COUNTIF($AB$3:AB4965,1),"")</f>
        <v/>
      </c>
      <c r="AD4965" s="117" t="str">
        <f>IFERROR(INDEX($AA$3:$AA$10000,MATCH(ROWS($AC$3:AC4965),$AC$3:$AC$10000,0)),"")</f>
        <v/>
      </c>
    </row>
    <row r="4966" spans="27:30">
      <c r="AA4966" s="117">
        <f>+'Ingredient List - Mother Tinctu'!D4967</f>
        <v>0</v>
      </c>
      <c r="AB4966" s="117">
        <f t="shared" si="80"/>
        <v>0</v>
      </c>
      <c r="AC4966" s="117" t="str">
        <f>IF(AB4966=1,COUNTIF($AB$3:AB4966,1),"")</f>
        <v/>
      </c>
      <c r="AD4966" s="117" t="str">
        <f>IFERROR(INDEX($AA$3:$AA$10000,MATCH(ROWS($AC$3:AC4966),$AC$3:$AC$10000,0)),"")</f>
        <v/>
      </c>
    </row>
    <row r="4967" spans="27:30">
      <c r="AA4967" s="117">
        <f>+'Ingredient List - Mother Tinctu'!D4968</f>
        <v>0</v>
      </c>
      <c r="AB4967" s="117">
        <f t="shared" si="80"/>
        <v>0</v>
      </c>
      <c r="AC4967" s="117" t="str">
        <f>IF(AB4967=1,COUNTIF($AB$3:AB4967,1),"")</f>
        <v/>
      </c>
      <c r="AD4967" s="117" t="str">
        <f>IFERROR(INDEX($AA$3:$AA$10000,MATCH(ROWS($AC$3:AC4967),$AC$3:$AC$10000,0)),"")</f>
        <v/>
      </c>
    </row>
    <row r="4968" spans="27:30">
      <c r="AA4968" s="117">
        <f>+'Ingredient List - Mother Tinctu'!D4969</f>
        <v>0</v>
      </c>
      <c r="AB4968" s="117">
        <f t="shared" si="80"/>
        <v>0</v>
      </c>
      <c r="AC4968" s="117" t="str">
        <f>IF(AB4968=1,COUNTIF($AB$3:AB4968,1),"")</f>
        <v/>
      </c>
      <c r="AD4968" s="117" t="str">
        <f>IFERROR(INDEX($AA$3:$AA$10000,MATCH(ROWS($AC$3:AC4968),$AC$3:$AC$10000,0)),"")</f>
        <v/>
      </c>
    </row>
    <row r="4969" spans="27:30">
      <c r="AA4969" s="117">
        <f>+'Ingredient List - Mother Tinctu'!D4970</f>
        <v>0</v>
      </c>
      <c r="AB4969" s="117">
        <f t="shared" si="80"/>
        <v>0</v>
      </c>
      <c r="AC4969" s="117" t="str">
        <f>IF(AB4969=1,COUNTIF($AB$3:AB4969,1),"")</f>
        <v/>
      </c>
      <c r="AD4969" s="117" t="str">
        <f>IFERROR(INDEX($AA$3:$AA$10000,MATCH(ROWS($AC$3:AC4969),$AC$3:$AC$10000,0)),"")</f>
        <v/>
      </c>
    </row>
    <row r="4970" spans="27:30">
      <c r="AA4970" s="117">
        <f>+'Ingredient List - Mother Tinctu'!D4971</f>
        <v>0</v>
      </c>
      <c r="AB4970" s="117">
        <f t="shared" si="80"/>
        <v>0</v>
      </c>
      <c r="AC4970" s="117" t="str">
        <f>IF(AB4970=1,COUNTIF($AB$3:AB4970,1),"")</f>
        <v/>
      </c>
      <c r="AD4970" s="117" t="str">
        <f>IFERROR(INDEX($AA$3:$AA$10000,MATCH(ROWS($AC$3:AC4970),$AC$3:$AC$10000,0)),"")</f>
        <v/>
      </c>
    </row>
    <row r="4971" spans="27:30">
      <c r="AA4971" s="117">
        <f>+'Ingredient List - Mother Tinctu'!D4972</f>
        <v>0</v>
      </c>
      <c r="AB4971" s="117">
        <f t="shared" si="80"/>
        <v>0</v>
      </c>
      <c r="AC4971" s="117" t="str">
        <f>IF(AB4971=1,COUNTIF($AB$3:AB4971,1),"")</f>
        <v/>
      </c>
      <c r="AD4971" s="117" t="str">
        <f>IFERROR(INDEX($AA$3:$AA$10000,MATCH(ROWS($AC$3:AC4971),$AC$3:$AC$10000,0)),"")</f>
        <v/>
      </c>
    </row>
    <row r="4972" spans="27:30">
      <c r="AA4972" s="117">
        <f>+'Ingredient List - Mother Tinctu'!D4973</f>
        <v>0</v>
      </c>
      <c r="AB4972" s="117">
        <f t="shared" si="80"/>
        <v>0</v>
      </c>
      <c r="AC4972" s="117" t="str">
        <f>IF(AB4972=1,COUNTIF($AB$3:AB4972,1),"")</f>
        <v/>
      </c>
      <c r="AD4972" s="117" t="str">
        <f>IFERROR(INDEX($AA$3:$AA$10000,MATCH(ROWS($AC$3:AC4972),$AC$3:$AC$10000,0)),"")</f>
        <v/>
      </c>
    </row>
    <row r="4973" spans="27:30">
      <c r="AA4973" s="117">
        <f>+'Ingredient List - Mother Tinctu'!D4974</f>
        <v>0</v>
      </c>
      <c r="AB4973" s="117">
        <f t="shared" si="80"/>
        <v>0</v>
      </c>
      <c r="AC4973" s="117" t="str">
        <f>IF(AB4973=1,COUNTIF($AB$3:AB4973,1),"")</f>
        <v/>
      </c>
      <c r="AD4973" s="117" t="str">
        <f>IFERROR(INDEX($AA$3:$AA$10000,MATCH(ROWS($AC$3:AC4973),$AC$3:$AC$10000,0)),"")</f>
        <v/>
      </c>
    </row>
    <row r="4974" spans="27:30">
      <c r="AA4974" s="117">
        <f>+'Ingredient List - Mother Tinctu'!D4975</f>
        <v>0</v>
      </c>
      <c r="AB4974" s="117">
        <f t="shared" si="80"/>
        <v>0</v>
      </c>
      <c r="AC4974" s="117" t="str">
        <f>IF(AB4974=1,COUNTIF($AB$3:AB4974,1),"")</f>
        <v/>
      </c>
      <c r="AD4974" s="117" t="str">
        <f>IFERROR(INDEX($AA$3:$AA$10000,MATCH(ROWS($AC$3:AC4974),$AC$3:$AC$10000,0)),"")</f>
        <v/>
      </c>
    </row>
    <row r="4975" spans="27:30">
      <c r="AA4975" s="117">
        <f>+'Ingredient List - Mother Tinctu'!D4976</f>
        <v>0</v>
      </c>
      <c r="AB4975" s="117">
        <f t="shared" si="80"/>
        <v>0</v>
      </c>
      <c r="AC4975" s="117" t="str">
        <f>IF(AB4975=1,COUNTIF($AB$3:AB4975,1),"")</f>
        <v/>
      </c>
      <c r="AD4975" s="117" t="str">
        <f>IFERROR(INDEX($AA$3:$AA$10000,MATCH(ROWS($AC$3:AC4975),$AC$3:$AC$10000,0)),"")</f>
        <v/>
      </c>
    </row>
    <row r="4976" spans="27:30">
      <c r="AA4976" s="117">
        <f>+'Ingredient List - Mother Tinctu'!D4977</f>
        <v>0</v>
      </c>
      <c r="AB4976" s="117">
        <f t="shared" si="80"/>
        <v>0</v>
      </c>
      <c r="AC4976" s="117" t="str">
        <f>IF(AB4976=1,COUNTIF($AB$3:AB4976,1),"")</f>
        <v/>
      </c>
      <c r="AD4976" s="117" t="str">
        <f>IFERROR(INDEX($AA$3:$AA$10000,MATCH(ROWS($AC$3:AC4976),$AC$3:$AC$10000,0)),"")</f>
        <v/>
      </c>
    </row>
    <row r="4977" spans="27:30">
      <c r="AA4977" s="117">
        <f>+'Ingredient List - Mother Tinctu'!D4978</f>
        <v>0</v>
      </c>
      <c r="AB4977" s="117">
        <f t="shared" si="80"/>
        <v>0</v>
      </c>
      <c r="AC4977" s="117" t="str">
        <f>IF(AB4977=1,COUNTIF($AB$3:AB4977,1),"")</f>
        <v/>
      </c>
      <c r="AD4977" s="117" t="str">
        <f>IFERROR(INDEX($AA$3:$AA$10000,MATCH(ROWS($AC$3:AC4977),$AC$3:$AC$10000,0)),"")</f>
        <v/>
      </c>
    </row>
    <row r="4978" spans="27:30">
      <c r="AA4978" s="117">
        <f>+'Ingredient List - Mother Tinctu'!D4979</f>
        <v>0</v>
      </c>
      <c r="AB4978" s="117">
        <f t="shared" si="80"/>
        <v>0</v>
      </c>
      <c r="AC4978" s="117" t="str">
        <f>IF(AB4978=1,COUNTIF($AB$3:AB4978,1),"")</f>
        <v/>
      </c>
      <c r="AD4978" s="117" t="str">
        <f>IFERROR(INDEX($AA$3:$AA$10000,MATCH(ROWS($AC$3:AC4978),$AC$3:$AC$10000,0)),"")</f>
        <v/>
      </c>
    </row>
    <row r="4979" spans="27:30">
      <c r="AA4979" s="117">
        <f>+'Ingredient List - Mother Tinctu'!D4980</f>
        <v>0</v>
      </c>
      <c r="AB4979" s="117">
        <f t="shared" si="80"/>
        <v>0</v>
      </c>
      <c r="AC4979" s="117" t="str">
        <f>IF(AB4979=1,COUNTIF($AB$3:AB4979,1),"")</f>
        <v/>
      </c>
      <c r="AD4979" s="117" t="str">
        <f>IFERROR(INDEX($AA$3:$AA$10000,MATCH(ROWS($AC$3:AC4979),$AC$3:$AC$10000,0)),"")</f>
        <v/>
      </c>
    </row>
    <row r="4980" spans="27:30">
      <c r="AA4980" s="117">
        <f>+'Ingredient List - Mother Tinctu'!D4981</f>
        <v>0</v>
      </c>
      <c r="AB4980" s="117">
        <f t="shared" si="80"/>
        <v>0</v>
      </c>
      <c r="AC4980" s="117" t="str">
        <f>IF(AB4980=1,COUNTIF($AB$3:AB4980,1),"")</f>
        <v/>
      </c>
      <c r="AD4980" s="117" t="str">
        <f>IFERROR(INDEX($AA$3:$AA$10000,MATCH(ROWS($AC$3:AC4980),$AC$3:$AC$10000,0)),"")</f>
        <v/>
      </c>
    </row>
    <row r="4981" spans="27:30">
      <c r="AA4981" s="117">
        <f>+'Ingredient List - Mother Tinctu'!D4982</f>
        <v>0</v>
      </c>
      <c r="AB4981" s="117">
        <f t="shared" si="80"/>
        <v>0</v>
      </c>
      <c r="AC4981" s="117" t="str">
        <f>IF(AB4981=1,COUNTIF($AB$3:AB4981,1),"")</f>
        <v/>
      </c>
      <c r="AD4981" s="117" t="str">
        <f>IFERROR(INDEX($AA$3:$AA$10000,MATCH(ROWS($AC$3:AC4981),$AC$3:$AC$10000,0)),"")</f>
        <v/>
      </c>
    </row>
    <row r="4982" spans="27:30">
      <c r="AA4982" s="117">
        <f>+'Ingredient List - Mother Tinctu'!D4983</f>
        <v>0</v>
      </c>
      <c r="AB4982" s="117">
        <f t="shared" si="80"/>
        <v>0</v>
      </c>
      <c r="AC4982" s="117" t="str">
        <f>IF(AB4982=1,COUNTIF($AB$3:AB4982,1),"")</f>
        <v/>
      </c>
      <c r="AD4982" s="117" t="str">
        <f>IFERROR(INDEX($AA$3:$AA$10000,MATCH(ROWS($AC$3:AC4982),$AC$3:$AC$10000,0)),"")</f>
        <v/>
      </c>
    </row>
    <row r="4983" spans="27:30">
      <c r="AA4983" s="117">
        <f>+'Ingredient List - Mother Tinctu'!D4984</f>
        <v>0</v>
      </c>
      <c r="AB4983" s="117">
        <f t="shared" si="80"/>
        <v>0</v>
      </c>
      <c r="AC4983" s="117" t="str">
        <f>IF(AB4983=1,COUNTIF($AB$3:AB4983,1),"")</f>
        <v/>
      </c>
      <c r="AD4983" s="117" t="str">
        <f>IFERROR(INDEX($AA$3:$AA$10000,MATCH(ROWS($AC$3:AC4983),$AC$3:$AC$10000,0)),"")</f>
        <v/>
      </c>
    </row>
    <row r="4984" spans="27:30">
      <c r="AA4984" s="117">
        <f>+'Ingredient List - Mother Tinctu'!D4985</f>
        <v>0</v>
      </c>
      <c r="AB4984" s="117">
        <f t="shared" si="80"/>
        <v>0</v>
      </c>
      <c r="AC4984" s="117" t="str">
        <f>IF(AB4984=1,COUNTIF($AB$3:AB4984,1),"")</f>
        <v/>
      </c>
      <c r="AD4984" s="117" t="str">
        <f>IFERROR(INDEX($AA$3:$AA$10000,MATCH(ROWS($AC$3:AC4984),$AC$3:$AC$10000,0)),"")</f>
        <v/>
      </c>
    </row>
    <row r="4985" spans="27:30">
      <c r="AA4985" s="117">
        <f>+'Ingredient List - Mother Tinctu'!D4986</f>
        <v>0</v>
      </c>
      <c r="AB4985" s="117">
        <f t="shared" si="80"/>
        <v>0</v>
      </c>
      <c r="AC4985" s="117" t="str">
        <f>IF(AB4985=1,COUNTIF($AB$3:AB4985,1),"")</f>
        <v/>
      </c>
      <c r="AD4985" s="117" t="str">
        <f>IFERROR(INDEX($AA$3:$AA$10000,MATCH(ROWS($AC$3:AC4985),$AC$3:$AC$10000,0)),"")</f>
        <v/>
      </c>
    </row>
    <row r="4986" spans="27:30">
      <c r="AA4986" s="117">
        <f>+'Ingredient List - Mother Tinctu'!D4987</f>
        <v>0</v>
      </c>
      <c r="AB4986" s="117">
        <f t="shared" si="80"/>
        <v>0</v>
      </c>
      <c r="AC4986" s="117" t="str">
        <f>IF(AB4986=1,COUNTIF($AB$3:AB4986,1),"")</f>
        <v/>
      </c>
      <c r="AD4986" s="117" t="str">
        <f>IFERROR(INDEX($AA$3:$AA$10000,MATCH(ROWS($AC$3:AC4986),$AC$3:$AC$10000,0)),"")</f>
        <v/>
      </c>
    </row>
    <row r="4987" spans="27:30">
      <c r="AA4987" s="117">
        <f>+'Ingredient List - Mother Tinctu'!D4988</f>
        <v>0</v>
      </c>
      <c r="AB4987" s="117">
        <f t="shared" si="80"/>
        <v>0</v>
      </c>
      <c r="AC4987" s="117" t="str">
        <f>IF(AB4987=1,COUNTIF($AB$3:AB4987,1),"")</f>
        <v/>
      </c>
      <c r="AD4987" s="117" t="str">
        <f>IFERROR(INDEX($AA$3:$AA$10000,MATCH(ROWS($AC$3:AC4987),$AC$3:$AC$10000,0)),"")</f>
        <v/>
      </c>
    </row>
    <row r="4988" spans="27:30">
      <c r="AA4988" s="117">
        <f>+'Ingredient List - Mother Tinctu'!D4989</f>
        <v>0</v>
      </c>
      <c r="AB4988" s="117">
        <f t="shared" si="80"/>
        <v>0</v>
      </c>
      <c r="AC4988" s="117" t="str">
        <f>IF(AB4988=1,COUNTIF($AB$3:AB4988,1),"")</f>
        <v/>
      </c>
      <c r="AD4988" s="117" t="str">
        <f>IFERROR(INDEX($AA$3:$AA$10000,MATCH(ROWS($AC$3:AC4988),$AC$3:$AC$10000,0)),"")</f>
        <v/>
      </c>
    </row>
    <row r="4989" spans="27:30">
      <c r="AA4989" s="117">
        <f>+'Ingredient List - Mother Tinctu'!D4990</f>
        <v>0</v>
      </c>
      <c r="AB4989" s="117">
        <f t="shared" si="80"/>
        <v>0</v>
      </c>
      <c r="AC4989" s="117" t="str">
        <f>IF(AB4989=1,COUNTIF($AB$3:AB4989,1),"")</f>
        <v/>
      </c>
      <c r="AD4989" s="117" t="str">
        <f>IFERROR(INDEX($AA$3:$AA$10000,MATCH(ROWS($AC$3:AC4989),$AC$3:$AC$10000,0)),"")</f>
        <v/>
      </c>
    </row>
    <row r="4990" spans="27:30">
      <c r="AA4990" s="117">
        <f>+'Ingredient List - Mother Tinctu'!D4991</f>
        <v>0</v>
      </c>
      <c r="AB4990" s="117">
        <f t="shared" si="80"/>
        <v>0</v>
      </c>
      <c r="AC4990" s="117" t="str">
        <f>IF(AB4990=1,COUNTIF($AB$3:AB4990,1),"")</f>
        <v/>
      </c>
      <c r="AD4990" s="117" t="str">
        <f>IFERROR(INDEX($AA$3:$AA$10000,MATCH(ROWS($AC$3:AC4990),$AC$3:$AC$10000,0)),"")</f>
        <v/>
      </c>
    </row>
    <row r="4991" spans="27:30">
      <c r="AA4991" s="117">
        <f>+'Ingredient List - Mother Tinctu'!D4992</f>
        <v>0</v>
      </c>
      <c r="AB4991" s="117">
        <f t="shared" si="80"/>
        <v>0</v>
      </c>
      <c r="AC4991" s="117" t="str">
        <f>IF(AB4991=1,COUNTIF($AB$3:AB4991,1),"")</f>
        <v/>
      </c>
      <c r="AD4991" s="117" t="str">
        <f>IFERROR(INDEX($AA$3:$AA$10000,MATCH(ROWS($AC$3:AC4991),$AC$3:$AC$10000,0)),"")</f>
        <v/>
      </c>
    </row>
    <row r="4992" spans="27:30">
      <c r="AA4992" s="117">
        <f>+'Ingredient List - Mother Tinctu'!D4993</f>
        <v>0</v>
      </c>
      <c r="AB4992" s="117">
        <f t="shared" si="80"/>
        <v>0</v>
      </c>
      <c r="AC4992" s="117" t="str">
        <f>IF(AB4992=1,COUNTIF($AB$3:AB4992,1),"")</f>
        <v/>
      </c>
      <c r="AD4992" s="117" t="str">
        <f>IFERROR(INDEX($AA$3:$AA$10000,MATCH(ROWS($AC$3:AC4992),$AC$3:$AC$10000,0)),"")</f>
        <v/>
      </c>
    </row>
    <row r="4993" spans="27:30">
      <c r="AA4993" s="117">
        <f>+'Ingredient List - Mother Tinctu'!D4994</f>
        <v>0</v>
      </c>
      <c r="AB4993" s="117">
        <f t="shared" si="80"/>
        <v>0</v>
      </c>
      <c r="AC4993" s="117" t="str">
        <f>IF(AB4993=1,COUNTIF($AB$3:AB4993,1),"")</f>
        <v/>
      </c>
      <c r="AD4993" s="117" t="str">
        <f>IFERROR(INDEX($AA$3:$AA$10000,MATCH(ROWS($AC$3:AC4993),$AC$3:$AC$10000,0)),"")</f>
        <v/>
      </c>
    </row>
    <row r="4994" spans="27:30">
      <c r="AA4994" s="117">
        <f>+'Ingredient List - Mother Tinctu'!D4995</f>
        <v>0</v>
      </c>
      <c r="AB4994" s="117">
        <f t="shared" si="80"/>
        <v>0</v>
      </c>
      <c r="AC4994" s="117" t="str">
        <f>IF(AB4994=1,COUNTIF($AB$3:AB4994,1),"")</f>
        <v/>
      </c>
      <c r="AD4994" s="117" t="str">
        <f>IFERROR(INDEX($AA$3:$AA$10000,MATCH(ROWS($AC$3:AC4994),$AC$3:$AC$10000,0)),"")</f>
        <v/>
      </c>
    </row>
    <row r="4995" spans="27:30">
      <c r="AA4995" s="117">
        <f>+'Ingredient List - Mother Tinctu'!D4996</f>
        <v>0</v>
      </c>
      <c r="AB4995" s="117">
        <f t="shared" si="80"/>
        <v>0</v>
      </c>
      <c r="AC4995" s="117" t="str">
        <f>IF(AB4995=1,COUNTIF($AB$3:AB4995,1),"")</f>
        <v/>
      </c>
      <c r="AD4995" s="117" t="str">
        <f>IFERROR(INDEX($AA$3:$AA$10000,MATCH(ROWS($AC$3:AC4995),$AC$3:$AC$10000,0)),"")</f>
        <v/>
      </c>
    </row>
    <row r="4996" spans="27:30">
      <c r="AA4996" s="117">
        <f>+'Ingredient List - Mother Tinctu'!D4997</f>
        <v>0</v>
      </c>
      <c r="AB4996" s="117">
        <f t="shared" ref="AB4996:AB5059" si="81">--ISNUMBER(IFERROR(SEARCH($D$3,AA4996,1),""))</f>
        <v>0</v>
      </c>
      <c r="AC4996" s="117" t="str">
        <f>IF(AB4996=1,COUNTIF($AB$3:AB4996,1),"")</f>
        <v/>
      </c>
      <c r="AD4996" s="117" t="str">
        <f>IFERROR(INDEX($AA$3:$AA$10000,MATCH(ROWS($AC$3:AC4996),$AC$3:$AC$10000,0)),"")</f>
        <v/>
      </c>
    </row>
    <row r="4997" spans="27:30">
      <c r="AA4997" s="117">
        <f>+'Ingredient List - Mother Tinctu'!D4998</f>
        <v>0</v>
      </c>
      <c r="AB4997" s="117">
        <f t="shared" si="81"/>
        <v>0</v>
      </c>
      <c r="AC4997" s="117" t="str">
        <f>IF(AB4997=1,COUNTIF($AB$3:AB4997,1),"")</f>
        <v/>
      </c>
      <c r="AD4997" s="117" t="str">
        <f>IFERROR(INDEX($AA$3:$AA$10000,MATCH(ROWS($AC$3:AC4997),$AC$3:$AC$10000,0)),"")</f>
        <v/>
      </c>
    </row>
    <row r="4998" spans="27:30">
      <c r="AA4998" s="117">
        <f>+'Ingredient List - Mother Tinctu'!D4999</f>
        <v>0</v>
      </c>
      <c r="AB4998" s="117">
        <f t="shared" si="81"/>
        <v>0</v>
      </c>
      <c r="AC4998" s="117" t="str">
        <f>IF(AB4998=1,COUNTIF($AB$3:AB4998,1),"")</f>
        <v/>
      </c>
      <c r="AD4998" s="117" t="str">
        <f>IFERROR(INDEX($AA$3:$AA$10000,MATCH(ROWS($AC$3:AC4998),$AC$3:$AC$10000,0)),"")</f>
        <v/>
      </c>
    </row>
    <row r="4999" spans="27:30">
      <c r="AA4999" s="117">
        <f>+'Ingredient List - Mother Tinctu'!D5000</f>
        <v>0</v>
      </c>
      <c r="AB4999" s="117">
        <f t="shared" si="81"/>
        <v>0</v>
      </c>
      <c r="AC4999" s="117" t="str">
        <f>IF(AB4999=1,COUNTIF($AB$3:AB4999,1),"")</f>
        <v/>
      </c>
      <c r="AD4999" s="117" t="str">
        <f>IFERROR(INDEX($AA$3:$AA$10000,MATCH(ROWS($AC$3:AC4999),$AC$3:$AC$10000,0)),"")</f>
        <v/>
      </c>
    </row>
    <row r="5000" spans="27:30">
      <c r="AA5000" s="117">
        <f>+'Ingredient List - Mother Tinctu'!D5001</f>
        <v>0</v>
      </c>
      <c r="AB5000" s="117">
        <f t="shared" si="81"/>
        <v>0</v>
      </c>
      <c r="AC5000" s="117" t="str">
        <f>IF(AB5000=1,COUNTIF($AB$3:AB5000,1),"")</f>
        <v/>
      </c>
      <c r="AD5000" s="117" t="str">
        <f>IFERROR(INDEX($AA$3:$AA$10000,MATCH(ROWS($AC$3:AC5000),$AC$3:$AC$10000,0)),"")</f>
        <v/>
      </c>
    </row>
    <row r="5001" spans="27:30">
      <c r="AA5001" s="117">
        <f>+'Ingredient List - Mother Tinctu'!D5002</f>
        <v>0</v>
      </c>
      <c r="AB5001" s="117">
        <f t="shared" si="81"/>
        <v>0</v>
      </c>
      <c r="AC5001" s="117" t="str">
        <f>IF(AB5001=1,COUNTIF($AB$3:AB5001,1),"")</f>
        <v/>
      </c>
      <c r="AD5001" s="117" t="str">
        <f>IFERROR(INDEX($AA$3:$AA$10000,MATCH(ROWS($AC$3:AC5001),$AC$3:$AC$10000,0)),"")</f>
        <v/>
      </c>
    </row>
    <row r="5002" spans="27:30">
      <c r="AA5002" s="117">
        <f>+'Ingredient List - Mother Tinctu'!D5003</f>
        <v>0</v>
      </c>
      <c r="AB5002" s="117">
        <f t="shared" si="81"/>
        <v>0</v>
      </c>
      <c r="AC5002" s="117" t="str">
        <f>IF(AB5002=1,COUNTIF($AB$3:AB5002,1),"")</f>
        <v/>
      </c>
      <c r="AD5002" s="117" t="str">
        <f>IFERROR(INDEX($AA$3:$AA$10000,MATCH(ROWS($AC$3:AC5002),$AC$3:$AC$10000,0)),"")</f>
        <v/>
      </c>
    </row>
    <row r="5003" spans="27:30">
      <c r="AA5003" s="117">
        <f>+'Ingredient List - Mother Tinctu'!D5004</f>
        <v>0</v>
      </c>
      <c r="AB5003" s="117">
        <f t="shared" si="81"/>
        <v>0</v>
      </c>
      <c r="AC5003" s="117" t="str">
        <f>IF(AB5003=1,COUNTIF($AB$3:AB5003,1),"")</f>
        <v/>
      </c>
      <c r="AD5003" s="117" t="str">
        <f>IFERROR(INDEX($AA$3:$AA$10000,MATCH(ROWS($AC$3:AC5003),$AC$3:$AC$10000,0)),"")</f>
        <v/>
      </c>
    </row>
    <row r="5004" spans="27:30">
      <c r="AA5004" s="117">
        <f>+'Ingredient List - Mother Tinctu'!D5005</f>
        <v>0</v>
      </c>
      <c r="AB5004" s="117">
        <f t="shared" si="81"/>
        <v>0</v>
      </c>
      <c r="AC5004" s="117" t="str">
        <f>IF(AB5004=1,COUNTIF($AB$3:AB5004,1),"")</f>
        <v/>
      </c>
      <c r="AD5004" s="117" t="str">
        <f>IFERROR(INDEX($AA$3:$AA$10000,MATCH(ROWS($AC$3:AC5004),$AC$3:$AC$10000,0)),"")</f>
        <v/>
      </c>
    </row>
    <row r="5005" spans="27:30">
      <c r="AA5005" s="117">
        <f>+'Ingredient List - Mother Tinctu'!D5006</f>
        <v>0</v>
      </c>
      <c r="AB5005" s="117">
        <f t="shared" si="81"/>
        <v>0</v>
      </c>
      <c r="AC5005" s="117" t="str">
        <f>IF(AB5005=1,COUNTIF($AB$3:AB5005,1),"")</f>
        <v/>
      </c>
      <c r="AD5005" s="117" t="str">
        <f>IFERROR(INDEX($AA$3:$AA$10000,MATCH(ROWS($AC$3:AC5005),$AC$3:$AC$10000,0)),"")</f>
        <v/>
      </c>
    </row>
    <row r="5006" spans="27:30">
      <c r="AA5006" s="117">
        <f>+'Ingredient List - Mother Tinctu'!D5007</f>
        <v>0</v>
      </c>
      <c r="AB5006" s="117">
        <f t="shared" si="81"/>
        <v>0</v>
      </c>
      <c r="AC5006" s="117" t="str">
        <f>IF(AB5006=1,COUNTIF($AB$3:AB5006,1),"")</f>
        <v/>
      </c>
      <c r="AD5006" s="117" t="str">
        <f>IFERROR(INDEX($AA$3:$AA$10000,MATCH(ROWS($AC$3:AC5006),$AC$3:$AC$10000,0)),"")</f>
        <v/>
      </c>
    </row>
    <row r="5007" spans="27:30">
      <c r="AA5007" s="117">
        <f>+'Ingredient List - Mother Tinctu'!D5008</f>
        <v>0</v>
      </c>
      <c r="AB5007" s="117">
        <f t="shared" si="81"/>
        <v>0</v>
      </c>
      <c r="AC5007" s="117" t="str">
        <f>IF(AB5007=1,COUNTIF($AB$3:AB5007,1),"")</f>
        <v/>
      </c>
      <c r="AD5007" s="117" t="str">
        <f>IFERROR(INDEX($AA$3:$AA$10000,MATCH(ROWS($AC$3:AC5007),$AC$3:$AC$10000,0)),"")</f>
        <v/>
      </c>
    </row>
    <row r="5008" spans="27:30">
      <c r="AA5008" s="117">
        <f>+'Ingredient List - Mother Tinctu'!D5009</f>
        <v>0</v>
      </c>
      <c r="AB5008" s="117">
        <f t="shared" si="81"/>
        <v>0</v>
      </c>
      <c r="AC5008" s="117" t="str">
        <f>IF(AB5008=1,COUNTIF($AB$3:AB5008,1),"")</f>
        <v/>
      </c>
      <c r="AD5008" s="117" t="str">
        <f>IFERROR(INDEX($AA$3:$AA$10000,MATCH(ROWS($AC$3:AC5008),$AC$3:$AC$10000,0)),"")</f>
        <v/>
      </c>
    </row>
    <row r="5009" spans="27:30">
      <c r="AA5009" s="117">
        <f>+'Ingredient List - Mother Tinctu'!D5010</f>
        <v>0</v>
      </c>
      <c r="AB5009" s="117">
        <f t="shared" si="81"/>
        <v>0</v>
      </c>
      <c r="AC5009" s="117" t="str">
        <f>IF(AB5009=1,COUNTIF($AB$3:AB5009,1),"")</f>
        <v/>
      </c>
      <c r="AD5009" s="117" t="str">
        <f>IFERROR(INDEX($AA$3:$AA$10000,MATCH(ROWS($AC$3:AC5009),$AC$3:$AC$10000,0)),"")</f>
        <v/>
      </c>
    </row>
    <row r="5010" spans="27:30">
      <c r="AA5010" s="117">
        <f>+'Ingredient List - Mother Tinctu'!D5011</f>
        <v>0</v>
      </c>
      <c r="AB5010" s="117">
        <f t="shared" si="81"/>
        <v>0</v>
      </c>
      <c r="AC5010" s="117" t="str">
        <f>IF(AB5010=1,COUNTIF($AB$3:AB5010,1),"")</f>
        <v/>
      </c>
      <c r="AD5010" s="117" t="str">
        <f>IFERROR(INDEX($AA$3:$AA$10000,MATCH(ROWS($AC$3:AC5010),$AC$3:$AC$10000,0)),"")</f>
        <v/>
      </c>
    </row>
    <row r="5011" spans="27:30">
      <c r="AA5011" s="117">
        <f>+'Ingredient List - Mother Tinctu'!D5012</f>
        <v>0</v>
      </c>
      <c r="AB5011" s="117">
        <f t="shared" si="81"/>
        <v>0</v>
      </c>
      <c r="AC5011" s="117" t="str">
        <f>IF(AB5011=1,COUNTIF($AB$3:AB5011,1),"")</f>
        <v/>
      </c>
      <c r="AD5011" s="117" t="str">
        <f>IFERROR(INDEX($AA$3:$AA$10000,MATCH(ROWS($AC$3:AC5011),$AC$3:$AC$10000,0)),"")</f>
        <v/>
      </c>
    </row>
    <row r="5012" spans="27:30">
      <c r="AA5012" s="117">
        <f>+'Ingredient List - Mother Tinctu'!D5013</f>
        <v>0</v>
      </c>
      <c r="AB5012" s="117">
        <f t="shared" si="81"/>
        <v>0</v>
      </c>
      <c r="AC5012" s="117" t="str">
        <f>IF(AB5012=1,COUNTIF($AB$3:AB5012,1),"")</f>
        <v/>
      </c>
      <c r="AD5012" s="117" t="str">
        <f>IFERROR(INDEX($AA$3:$AA$10000,MATCH(ROWS($AC$3:AC5012),$AC$3:$AC$10000,0)),"")</f>
        <v/>
      </c>
    </row>
    <row r="5013" spans="27:30">
      <c r="AA5013" s="117">
        <f>+'Ingredient List - Mother Tinctu'!D5014</f>
        <v>0</v>
      </c>
      <c r="AB5013" s="117">
        <f t="shared" si="81"/>
        <v>0</v>
      </c>
      <c r="AC5013" s="117" t="str">
        <f>IF(AB5013=1,COUNTIF($AB$3:AB5013,1),"")</f>
        <v/>
      </c>
      <c r="AD5013" s="117" t="str">
        <f>IFERROR(INDEX($AA$3:$AA$10000,MATCH(ROWS($AC$3:AC5013),$AC$3:$AC$10000,0)),"")</f>
        <v/>
      </c>
    </row>
    <row r="5014" spans="27:30">
      <c r="AA5014" s="117">
        <f>+'Ingredient List - Mother Tinctu'!D5015</f>
        <v>0</v>
      </c>
      <c r="AB5014" s="117">
        <f t="shared" si="81"/>
        <v>0</v>
      </c>
      <c r="AC5014" s="117" t="str">
        <f>IF(AB5014=1,COUNTIF($AB$3:AB5014,1),"")</f>
        <v/>
      </c>
      <c r="AD5014" s="117" t="str">
        <f>IFERROR(INDEX($AA$3:$AA$10000,MATCH(ROWS($AC$3:AC5014),$AC$3:$AC$10000,0)),"")</f>
        <v/>
      </c>
    </row>
    <row r="5015" spans="27:30">
      <c r="AA5015" s="117">
        <f>+'Ingredient List - Mother Tinctu'!D5016</f>
        <v>0</v>
      </c>
      <c r="AB5015" s="117">
        <f t="shared" si="81"/>
        <v>0</v>
      </c>
      <c r="AC5015" s="117" t="str">
        <f>IF(AB5015=1,COUNTIF($AB$3:AB5015,1),"")</f>
        <v/>
      </c>
      <c r="AD5015" s="117" t="str">
        <f>IFERROR(INDEX($AA$3:$AA$10000,MATCH(ROWS($AC$3:AC5015),$AC$3:$AC$10000,0)),"")</f>
        <v/>
      </c>
    </row>
    <row r="5016" spans="27:30">
      <c r="AA5016" s="117">
        <f>+'Ingredient List - Mother Tinctu'!D5017</f>
        <v>0</v>
      </c>
      <c r="AB5016" s="117">
        <f t="shared" si="81"/>
        <v>0</v>
      </c>
      <c r="AC5016" s="117" t="str">
        <f>IF(AB5016=1,COUNTIF($AB$3:AB5016,1),"")</f>
        <v/>
      </c>
      <c r="AD5016" s="117" t="str">
        <f>IFERROR(INDEX($AA$3:$AA$10000,MATCH(ROWS($AC$3:AC5016),$AC$3:$AC$10000,0)),"")</f>
        <v/>
      </c>
    </row>
    <row r="5017" spans="27:30">
      <c r="AA5017" s="117">
        <f>+'Ingredient List - Mother Tinctu'!D5018</f>
        <v>0</v>
      </c>
      <c r="AB5017" s="117">
        <f t="shared" si="81"/>
        <v>0</v>
      </c>
      <c r="AC5017" s="117" t="str">
        <f>IF(AB5017=1,COUNTIF($AB$3:AB5017,1),"")</f>
        <v/>
      </c>
      <c r="AD5017" s="117" t="str">
        <f>IFERROR(INDEX($AA$3:$AA$10000,MATCH(ROWS($AC$3:AC5017),$AC$3:$AC$10000,0)),"")</f>
        <v/>
      </c>
    </row>
    <row r="5018" spans="27:30">
      <c r="AA5018" s="117">
        <f>+'Ingredient List - Mother Tinctu'!D5019</f>
        <v>0</v>
      </c>
      <c r="AB5018" s="117">
        <f t="shared" si="81"/>
        <v>0</v>
      </c>
      <c r="AC5018" s="117" t="str">
        <f>IF(AB5018=1,COUNTIF($AB$3:AB5018,1),"")</f>
        <v/>
      </c>
      <c r="AD5018" s="117" t="str">
        <f>IFERROR(INDEX($AA$3:$AA$10000,MATCH(ROWS($AC$3:AC5018),$AC$3:$AC$10000,0)),"")</f>
        <v/>
      </c>
    </row>
    <row r="5019" spans="27:30">
      <c r="AA5019" s="117">
        <f>+'Ingredient List - Mother Tinctu'!D5020</f>
        <v>0</v>
      </c>
      <c r="AB5019" s="117">
        <f t="shared" si="81"/>
        <v>0</v>
      </c>
      <c r="AC5019" s="117" t="str">
        <f>IF(AB5019=1,COUNTIF($AB$3:AB5019,1),"")</f>
        <v/>
      </c>
      <c r="AD5019" s="117" t="str">
        <f>IFERROR(INDEX($AA$3:$AA$10000,MATCH(ROWS($AC$3:AC5019),$AC$3:$AC$10000,0)),"")</f>
        <v/>
      </c>
    </row>
    <row r="5020" spans="27:30">
      <c r="AA5020" s="117">
        <f>+'Ingredient List - Mother Tinctu'!D5021</f>
        <v>0</v>
      </c>
      <c r="AB5020" s="117">
        <f t="shared" si="81"/>
        <v>0</v>
      </c>
      <c r="AC5020" s="117" t="str">
        <f>IF(AB5020=1,COUNTIF($AB$3:AB5020,1),"")</f>
        <v/>
      </c>
      <c r="AD5020" s="117" t="str">
        <f>IFERROR(INDEX($AA$3:$AA$10000,MATCH(ROWS($AC$3:AC5020),$AC$3:$AC$10000,0)),"")</f>
        <v/>
      </c>
    </row>
    <row r="5021" spans="27:30">
      <c r="AA5021" s="117">
        <f>+'Ingredient List - Mother Tinctu'!D5022</f>
        <v>0</v>
      </c>
      <c r="AB5021" s="117">
        <f t="shared" si="81"/>
        <v>0</v>
      </c>
      <c r="AC5021" s="117" t="str">
        <f>IF(AB5021=1,COUNTIF($AB$3:AB5021,1),"")</f>
        <v/>
      </c>
      <c r="AD5021" s="117" t="str">
        <f>IFERROR(INDEX($AA$3:$AA$10000,MATCH(ROWS($AC$3:AC5021),$AC$3:$AC$10000,0)),"")</f>
        <v/>
      </c>
    </row>
    <row r="5022" spans="27:30">
      <c r="AA5022" s="117">
        <f>+'Ingredient List - Mother Tinctu'!D5023</f>
        <v>0</v>
      </c>
      <c r="AB5022" s="117">
        <f t="shared" si="81"/>
        <v>0</v>
      </c>
      <c r="AC5022" s="117" t="str">
        <f>IF(AB5022=1,COUNTIF($AB$3:AB5022,1),"")</f>
        <v/>
      </c>
      <c r="AD5022" s="117" t="str">
        <f>IFERROR(INDEX($AA$3:$AA$10000,MATCH(ROWS($AC$3:AC5022),$AC$3:$AC$10000,0)),"")</f>
        <v/>
      </c>
    </row>
    <row r="5023" spans="27:30">
      <c r="AA5023" s="117">
        <f>+'Ingredient List - Mother Tinctu'!D5024</f>
        <v>0</v>
      </c>
      <c r="AB5023" s="117">
        <f t="shared" si="81"/>
        <v>0</v>
      </c>
      <c r="AC5023" s="117" t="str">
        <f>IF(AB5023=1,COUNTIF($AB$3:AB5023,1),"")</f>
        <v/>
      </c>
      <c r="AD5023" s="117" t="str">
        <f>IFERROR(INDEX($AA$3:$AA$10000,MATCH(ROWS($AC$3:AC5023),$AC$3:$AC$10000,0)),"")</f>
        <v/>
      </c>
    </row>
    <row r="5024" spans="27:30">
      <c r="AA5024" s="117">
        <f>+'Ingredient List - Mother Tinctu'!D5025</f>
        <v>0</v>
      </c>
      <c r="AB5024" s="117">
        <f t="shared" si="81"/>
        <v>0</v>
      </c>
      <c r="AC5024" s="117" t="str">
        <f>IF(AB5024=1,COUNTIF($AB$3:AB5024,1),"")</f>
        <v/>
      </c>
      <c r="AD5024" s="117" t="str">
        <f>IFERROR(INDEX($AA$3:$AA$10000,MATCH(ROWS($AC$3:AC5024),$AC$3:$AC$10000,0)),"")</f>
        <v/>
      </c>
    </row>
    <row r="5025" spans="27:30">
      <c r="AA5025" s="117">
        <f>+'Ingredient List - Mother Tinctu'!D5026</f>
        <v>0</v>
      </c>
      <c r="AB5025" s="117">
        <f t="shared" si="81"/>
        <v>0</v>
      </c>
      <c r="AC5025" s="117" t="str">
        <f>IF(AB5025=1,COUNTIF($AB$3:AB5025,1),"")</f>
        <v/>
      </c>
      <c r="AD5025" s="117" t="str">
        <f>IFERROR(INDEX($AA$3:$AA$10000,MATCH(ROWS($AC$3:AC5025),$AC$3:$AC$10000,0)),"")</f>
        <v/>
      </c>
    </row>
    <row r="5026" spans="27:30">
      <c r="AA5026" s="117">
        <f>+'Ingredient List - Mother Tinctu'!D5027</f>
        <v>0</v>
      </c>
      <c r="AB5026" s="117">
        <f t="shared" si="81"/>
        <v>0</v>
      </c>
      <c r="AC5026" s="117" t="str">
        <f>IF(AB5026=1,COUNTIF($AB$3:AB5026,1),"")</f>
        <v/>
      </c>
      <c r="AD5026" s="117" t="str">
        <f>IFERROR(INDEX($AA$3:$AA$10000,MATCH(ROWS($AC$3:AC5026),$AC$3:$AC$10000,0)),"")</f>
        <v/>
      </c>
    </row>
    <row r="5027" spans="27:30">
      <c r="AA5027" s="117">
        <f>+'Ingredient List - Mother Tinctu'!D5028</f>
        <v>0</v>
      </c>
      <c r="AB5027" s="117">
        <f t="shared" si="81"/>
        <v>0</v>
      </c>
      <c r="AC5027" s="117" t="str">
        <f>IF(AB5027=1,COUNTIF($AB$3:AB5027,1),"")</f>
        <v/>
      </c>
      <c r="AD5027" s="117" t="str">
        <f>IFERROR(INDEX($AA$3:$AA$10000,MATCH(ROWS($AC$3:AC5027),$AC$3:$AC$10000,0)),"")</f>
        <v/>
      </c>
    </row>
    <row r="5028" spans="27:30">
      <c r="AA5028" s="117">
        <f>+'Ingredient List - Mother Tinctu'!D5029</f>
        <v>0</v>
      </c>
      <c r="AB5028" s="117">
        <f t="shared" si="81"/>
        <v>0</v>
      </c>
      <c r="AC5028" s="117" t="str">
        <f>IF(AB5028=1,COUNTIF($AB$3:AB5028,1),"")</f>
        <v/>
      </c>
      <c r="AD5028" s="117" t="str">
        <f>IFERROR(INDEX($AA$3:$AA$10000,MATCH(ROWS($AC$3:AC5028),$AC$3:$AC$10000,0)),"")</f>
        <v/>
      </c>
    </row>
    <row r="5029" spans="27:30">
      <c r="AA5029" s="117">
        <f>+'Ingredient List - Mother Tinctu'!D5030</f>
        <v>0</v>
      </c>
      <c r="AB5029" s="117">
        <f t="shared" si="81"/>
        <v>0</v>
      </c>
      <c r="AC5029" s="117" t="str">
        <f>IF(AB5029=1,COUNTIF($AB$3:AB5029,1),"")</f>
        <v/>
      </c>
      <c r="AD5029" s="117" t="str">
        <f>IFERROR(INDEX($AA$3:$AA$10000,MATCH(ROWS($AC$3:AC5029),$AC$3:$AC$10000,0)),"")</f>
        <v/>
      </c>
    </row>
    <row r="5030" spans="27:30">
      <c r="AA5030" s="117">
        <f>+'Ingredient List - Mother Tinctu'!D5031</f>
        <v>0</v>
      </c>
      <c r="AB5030" s="117">
        <f t="shared" si="81"/>
        <v>0</v>
      </c>
      <c r="AC5030" s="117" t="str">
        <f>IF(AB5030=1,COUNTIF($AB$3:AB5030,1),"")</f>
        <v/>
      </c>
      <c r="AD5030" s="117" t="str">
        <f>IFERROR(INDEX($AA$3:$AA$10000,MATCH(ROWS($AC$3:AC5030),$AC$3:$AC$10000,0)),"")</f>
        <v/>
      </c>
    </row>
    <row r="5031" spans="27:30">
      <c r="AA5031" s="117">
        <f>+'Ingredient List - Mother Tinctu'!D5032</f>
        <v>0</v>
      </c>
      <c r="AB5031" s="117">
        <f t="shared" si="81"/>
        <v>0</v>
      </c>
      <c r="AC5031" s="117" t="str">
        <f>IF(AB5031=1,COUNTIF($AB$3:AB5031,1),"")</f>
        <v/>
      </c>
      <c r="AD5031" s="117" t="str">
        <f>IFERROR(INDEX($AA$3:$AA$10000,MATCH(ROWS($AC$3:AC5031),$AC$3:$AC$10000,0)),"")</f>
        <v/>
      </c>
    </row>
    <row r="5032" spans="27:30">
      <c r="AA5032" s="117">
        <f>+'Ingredient List - Mother Tinctu'!D5033</f>
        <v>0</v>
      </c>
      <c r="AB5032" s="117">
        <f t="shared" si="81"/>
        <v>0</v>
      </c>
      <c r="AC5032" s="117" t="str">
        <f>IF(AB5032=1,COUNTIF($AB$3:AB5032,1),"")</f>
        <v/>
      </c>
      <c r="AD5032" s="117" t="str">
        <f>IFERROR(INDEX($AA$3:$AA$10000,MATCH(ROWS($AC$3:AC5032),$AC$3:$AC$10000,0)),"")</f>
        <v/>
      </c>
    </row>
    <row r="5033" spans="27:30">
      <c r="AA5033" s="117">
        <f>+'Ingredient List - Mother Tinctu'!D5034</f>
        <v>0</v>
      </c>
      <c r="AB5033" s="117">
        <f t="shared" si="81"/>
        <v>0</v>
      </c>
      <c r="AC5033" s="117" t="str">
        <f>IF(AB5033=1,COUNTIF($AB$3:AB5033,1),"")</f>
        <v/>
      </c>
      <c r="AD5033" s="117" t="str">
        <f>IFERROR(INDEX($AA$3:$AA$10000,MATCH(ROWS($AC$3:AC5033),$AC$3:$AC$10000,0)),"")</f>
        <v/>
      </c>
    </row>
    <row r="5034" spans="27:30">
      <c r="AA5034" s="117">
        <f>+'Ingredient List - Mother Tinctu'!D5035</f>
        <v>0</v>
      </c>
      <c r="AB5034" s="117">
        <f t="shared" si="81"/>
        <v>0</v>
      </c>
      <c r="AC5034" s="117" t="str">
        <f>IF(AB5034=1,COUNTIF($AB$3:AB5034,1),"")</f>
        <v/>
      </c>
      <c r="AD5034" s="117" t="str">
        <f>IFERROR(INDEX($AA$3:$AA$10000,MATCH(ROWS($AC$3:AC5034),$AC$3:$AC$10000,0)),"")</f>
        <v/>
      </c>
    </row>
    <row r="5035" spans="27:30">
      <c r="AA5035" s="117">
        <f>+'Ingredient List - Mother Tinctu'!D5036</f>
        <v>0</v>
      </c>
      <c r="AB5035" s="117">
        <f t="shared" si="81"/>
        <v>0</v>
      </c>
      <c r="AC5035" s="117" t="str">
        <f>IF(AB5035=1,COUNTIF($AB$3:AB5035,1),"")</f>
        <v/>
      </c>
      <c r="AD5035" s="117" t="str">
        <f>IFERROR(INDEX($AA$3:$AA$10000,MATCH(ROWS($AC$3:AC5035),$AC$3:$AC$10000,0)),"")</f>
        <v/>
      </c>
    </row>
    <row r="5036" spans="27:30">
      <c r="AA5036" s="117">
        <f>+'Ingredient List - Mother Tinctu'!D5037</f>
        <v>0</v>
      </c>
      <c r="AB5036" s="117">
        <f t="shared" si="81"/>
        <v>0</v>
      </c>
      <c r="AC5036" s="117" t="str">
        <f>IF(AB5036=1,COUNTIF($AB$3:AB5036,1),"")</f>
        <v/>
      </c>
      <c r="AD5036" s="117" t="str">
        <f>IFERROR(INDEX($AA$3:$AA$10000,MATCH(ROWS($AC$3:AC5036),$AC$3:$AC$10000,0)),"")</f>
        <v/>
      </c>
    </row>
    <row r="5037" spans="27:30">
      <c r="AA5037" s="117">
        <f>+'Ingredient List - Mother Tinctu'!D5038</f>
        <v>0</v>
      </c>
      <c r="AB5037" s="117">
        <f t="shared" si="81"/>
        <v>0</v>
      </c>
      <c r="AC5037" s="117" t="str">
        <f>IF(AB5037=1,COUNTIF($AB$3:AB5037,1),"")</f>
        <v/>
      </c>
      <c r="AD5037" s="117" t="str">
        <f>IFERROR(INDEX($AA$3:$AA$10000,MATCH(ROWS($AC$3:AC5037),$AC$3:$AC$10000,0)),"")</f>
        <v/>
      </c>
    </row>
    <row r="5038" spans="27:30">
      <c r="AA5038" s="117">
        <f>+'Ingredient List - Mother Tinctu'!D5039</f>
        <v>0</v>
      </c>
      <c r="AB5038" s="117">
        <f t="shared" si="81"/>
        <v>0</v>
      </c>
      <c r="AC5038" s="117" t="str">
        <f>IF(AB5038=1,COUNTIF($AB$3:AB5038,1),"")</f>
        <v/>
      </c>
      <c r="AD5038" s="117" t="str">
        <f>IFERROR(INDEX($AA$3:$AA$10000,MATCH(ROWS($AC$3:AC5038),$AC$3:$AC$10000,0)),"")</f>
        <v/>
      </c>
    </row>
    <row r="5039" spans="27:30">
      <c r="AA5039" s="117">
        <f>+'Ingredient List - Mother Tinctu'!D5040</f>
        <v>0</v>
      </c>
      <c r="AB5039" s="117">
        <f t="shared" si="81"/>
        <v>0</v>
      </c>
      <c r="AC5039" s="117" t="str">
        <f>IF(AB5039=1,COUNTIF($AB$3:AB5039,1),"")</f>
        <v/>
      </c>
      <c r="AD5039" s="117" t="str">
        <f>IFERROR(INDEX($AA$3:$AA$10000,MATCH(ROWS($AC$3:AC5039),$AC$3:$AC$10000,0)),"")</f>
        <v/>
      </c>
    </row>
    <row r="5040" spans="27:30">
      <c r="AA5040" s="117">
        <f>+'Ingredient List - Mother Tinctu'!D5041</f>
        <v>0</v>
      </c>
      <c r="AB5040" s="117">
        <f t="shared" si="81"/>
        <v>0</v>
      </c>
      <c r="AC5040" s="117" t="str">
        <f>IF(AB5040=1,COUNTIF($AB$3:AB5040,1),"")</f>
        <v/>
      </c>
      <c r="AD5040" s="117" t="str">
        <f>IFERROR(INDEX($AA$3:$AA$10000,MATCH(ROWS($AC$3:AC5040),$AC$3:$AC$10000,0)),"")</f>
        <v/>
      </c>
    </row>
    <row r="5041" spans="27:30">
      <c r="AA5041" s="117">
        <f>+'Ingredient List - Mother Tinctu'!D5042</f>
        <v>0</v>
      </c>
      <c r="AB5041" s="117">
        <f t="shared" si="81"/>
        <v>0</v>
      </c>
      <c r="AC5041" s="117" t="str">
        <f>IF(AB5041=1,COUNTIF($AB$3:AB5041,1),"")</f>
        <v/>
      </c>
      <c r="AD5041" s="117" t="str">
        <f>IFERROR(INDEX($AA$3:$AA$10000,MATCH(ROWS($AC$3:AC5041),$AC$3:$AC$10000,0)),"")</f>
        <v/>
      </c>
    </row>
    <row r="5042" spans="27:30">
      <c r="AA5042" s="117">
        <f>+'Ingredient List - Mother Tinctu'!D5043</f>
        <v>0</v>
      </c>
      <c r="AB5042" s="117">
        <f t="shared" si="81"/>
        <v>0</v>
      </c>
      <c r="AC5042" s="117" t="str">
        <f>IF(AB5042=1,COUNTIF($AB$3:AB5042,1),"")</f>
        <v/>
      </c>
      <c r="AD5042" s="117" t="str">
        <f>IFERROR(INDEX($AA$3:$AA$10000,MATCH(ROWS($AC$3:AC5042),$AC$3:$AC$10000,0)),"")</f>
        <v/>
      </c>
    </row>
    <row r="5043" spans="27:30">
      <c r="AA5043" s="117">
        <f>+'Ingredient List - Mother Tinctu'!D5044</f>
        <v>0</v>
      </c>
      <c r="AB5043" s="117">
        <f t="shared" si="81"/>
        <v>0</v>
      </c>
      <c r="AC5043" s="117" t="str">
        <f>IF(AB5043=1,COUNTIF($AB$3:AB5043,1),"")</f>
        <v/>
      </c>
      <c r="AD5043" s="117" t="str">
        <f>IFERROR(INDEX($AA$3:$AA$10000,MATCH(ROWS($AC$3:AC5043),$AC$3:$AC$10000,0)),"")</f>
        <v/>
      </c>
    </row>
    <row r="5044" spans="27:30">
      <c r="AA5044" s="117">
        <f>+'Ingredient List - Mother Tinctu'!D5045</f>
        <v>0</v>
      </c>
      <c r="AB5044" s="117">
        <f t="shared" si="81"/>
        <v>0</v>
      </c>
      <c r="AC5044" s="117" t="str">
        <f>IF(AB5044=1,COUNTIF($AB$3:AB5044,1),"")</f>
        <v/>
      </c>
      <c r="AD5044" s="117" t="str">
        <f>IFERROR(INDEX($AA$3:$AA$10000,MATCH(ROWS($AC$3:AC5044),$AC$3:$AC$10000,0)),"")</f>
        <v/>
      </c>
    </row>
    <row r="5045" spans="27:30">
      <c r="AA5045" s="117">
        <f>+'Ingredient List - Mother Tinctu'!D5046</f>
        <v>0</v>
      </c>
      <c r="AB5045" s="117">
        <f t="shared" si="81"/>
        <v>0</v>
      </c>
      <c r="AC5045" s="117" t="str">
        <f>IF(AB5045=1,COUNTIF($AB$3:AB5045,1),"")</f>
        <v/>
      </c>
      <c r="AD5045" s="117" t="str">
        <f>IFERROR(INDEX($AA$3:$AA$10000,MATCH(ROWS($AC$3:AC5045),$AC$3:$AC$10000,0)),"")</f>
        <v/>
      </c>
    </row>
    <row r="5046" spans="27:30">
      <c r="AA5046" s="117">
        <f>+'Ingredient List - Mother Tinctu'!D5047</f>
        <v>0</v>
      </c>
      <c r="AB5046" s="117">
        <f t="shared" si="81"/>
        <v>0</v>
      </c>
      <c r="AC5046" s="117" t="str">
        <f>IF(AB5046=1,COUNTIF($AB$3:AB5046,1),"")</f>
        <v/>
      </c>
      <c r="AD5046" s="117" t="str">
        <f>IFERROR(INDEX($AA$3:$AA$10000,MATCH(ROWS($AC$3:AC5046),$AC$3:$AC$10000,0)),"")</f>
        <v/>
      </c>
    </row>
    <row r="5047" spans="27:30">
      <c r="AA5047" s="117">
        <f>+'Ingredient List - Mother Tinctu'!D5048</f>
        <v>0</v>
      </c>
      <c r="AB5047" s="117">
        <f t="shared" si="81"/>
        <v>0</v>
      </c>
      <c r="AC5047" s="117" t="str">
        <f>IF(AB5047=1,COUNTIF($AB$3:AB5047,1),"")</f>
        <v/>
      </c>
      <c r="AD5047" s="117" t="str">
        <f>IFERROR(INDEX($AA$3:$AA$10000,MATCH(ROWS($AC$3:AC5047),$AC$3:$AC$10000,0)),"")</f>
        <v/>
      </c>
    </row>
    <row r="5048" spans="27:30">
      <c r="AA5048" s="117">
        <f>+'Ingredient List - Mother Tinctu'!D5049</f>
        <v>0</v>
      </c>
      <c r="AB5048" s="117">
        <f t="shared" si="81"/>
        <v>0</v>
      </c>
      <c r="AC5048" s="117" t="str">
        <f>IF(AB5048=1,COUNTIF($AB$3:AB5048,1),"")</f>
        <v/>
      </c>
      <c r="AD5048" s="117" t="str">
        <f>IFERROR(INDEX($AA$3:$AA$10000,MATCH(ROWS($AC$3:AC5048),$AC$3:$AC$10000,0)),"")</f>
        <v/>
      </c>
    </row>
    <row r="5049" spans="27:30">
      <c r="AA5049" s="117">
        <f>+'Ingredient List - Mother Tinctu'!D5050</f>
        <v>0</v>
      </c>
      <c r="AB5049" s="117">
        <f t="shared" si="81"/>
        <v>0</v>
      </c>
      <c r="AC5049" s="117" t="str">
        <f>IF(AB5049=1,COUNTIF($AB$3:AB5049,1),"")</f>
        <v/>
      </c>
      <c r="AD5049" s="117" t="str">
        <f>IFERROR(INDEX($AA$3:$AA$10000,MATCH(ROWS($AC$3:AC5049),$AC$3:$AC$10000,0)),"")</f>
        <v/>
      </c>
    </row>
    <row r="5050" spans="27:30">
      <c r="AA5050" s="117">
        <f>+'Ingredient List - Mother Tinctu'!D5051</f>
        <v>0</v>
      </c>
      <c r="AB5050" s="117">
        <f t="shared" si="81"/>
        <v>0</v>
      </c>
      <c r="AC5050" s="117" t="str">
        <f>IF(AB5050=1,COUNTIF($AB$3:AB5050,1),"")</f>
        <v/>
      </c>
      <c r="AD5050" s="117" t="str">
        <f>IFERROR(INDEX($AA$3:$AA$10000,MATCH(ROWS($AC$3:AC5050),$AC$3:$AC$10000,0)),"")</f>
        <v/>
      </c>
    </row>
    <row r="5051" spans="27:30">
      <c r="AA5051" s="117">
        <f>+'Ingredient List - Mother Tinctu'!D5052</f>
        <v>0</v>
      </c>
      <c r="AB5051" s="117">
        <f t="shared" si="81"/>
        <v>0</v>
      </c>
      <c r="AC5051" s="117" t="str">
        <f>IF(AB5051=1,COUNTIF($AB$3:AB5051,1),"")</f>
        <v/>
      </c>
      <c r="AD5051" s="117" t="str">
        <f>IFERROR(INDEX($AA$3:$AA$10000,MATCH(ROWS($AC$3:AC5051),$AC$3:$AC$10000,0)),"")</f>
        <v/>
      </c>
    </row>
    <row r="5052" spans="27:30">
      <c r="AA5052" s="117">
        <f>+'Ingredient List - Mother Tinctu'!D5053</f>
        <v>0</v>
      </c>
      <c r="AB5052" s="117">
        <f t="shared" si="81"/>
        <v>0</v>
      </c>
      <c r="AC5052" s="117" t="str">
        <f>IF(AB5052=1,COUNTIF($AB$3:AB5052,1),"")</f>
        <v/>
      </c>
      <c r="AD5052" s="117" t="str">
        <f>IFERROR(INDEX($AA$3:$AA$10000,MATCH(ROWS($AC$3:AC5052),$AC$3:$AC$10000,0)),"")</f>
        <v/>
      </c>
    </row>
    <row r="5053" spans="27:30">
      <c r="AA5053" s="117">
        <f>+'Ingredient List - Mother Tinctu'!D5054</f>
        <v>0</v>
      </c>
      <c r="AB5053" s="117">
        <f t="shared" si="81"/>
        <v>0</v>
      </c>
      <c r="AC5053" s="117" t="str">
        <f>IF(AB5053=1,COUNTIF($AB$3:AB5053,1),"")</f>
        <v/>
      </c>
      <c r="AD5053" s="117" t="str">
        <f>IFERROR(INDEX($AA$3:$AA$10000,MATCH(ROWS($AC$3:AC5053),$AC$3:$AC$10000,0)),"")</f>
        <v/>
      </c>
    </row>
    <row r="5054" spans="27:30">
      <c r="AA5054" s="117">
        <f>+'Ingredient List - Mother Tinctu'!D5055</f>
        <v>0</v>
      </c>
      <c r="AB5054" s="117">
        <f t="shared" si="81"/>
        <v>0</v>
      </c>
      <c r="AC5054" s="117" t="str">
        <f>IF(AB5054=1,COUNTIF($AB$3:AB5054,1),"")</f>
        <v/>
      </c>
      <c r="AD5054" s="117" t="str">
        <f>IFERROR(INDEX($AA$3:$AA$10000,MATCH(ROWS($AC$3:AC5054),$AC$3:$AC$10000,0)),"")</f>
        <v/>
      </c>
    </row>
    <row r="5055" spans="27:30">
      <c r="AA5055" s="117">
        <f>+'Ingredient List - Mother Tinctu'!D5056</f>
        <v>0</v>
      </c>
      <c r="AB5055" s="117">
        <f t="shared" si="81"/>
        <v>0</v>
      </c>
      <c r="AC5055" s="117" t="str">
        <f>IF(AB5055=1,COUNTIF($AB$3:AB5055,1),"")</f>
        <v/>
      </c>
      <c r="AD5055" s="117" t="str">
        <f>IFERROR(INDEX($AA$3:$AA$10000,MATCH(ROWS($AC$3:AC5055),$AC$3:$AC$10000,0)),"")</f>
        <v/>
      </c>
    </row>
    <row r="5056" spans="27:30">
      <c r="AA5056" s="117">
        <f>+'Ingredient List - Mother Tinctu'!D5057</f>
        <v>0</v>
      </c>
      <c r="AB5056" s="117">
        <f t="shared" si="81"/>
        <v>0</v>
      </c>
      <c r="AC5056" s="117" t="str">
        <f>IF(AB5056=1,COUNTIF($AB$3:AB5056,1),"")</f>
        <v/>
      </c>
      <c r="AD5056" s="117" t="str">
        <f>IFERROR(INDEX($AA$3:$AA$10000,MATCH(ROWS($AC$3:AC5056),$AC$3:$AC$10000,0)),"")</f>
        <v/>
      </c>
    </row>
    <row r="5057" spans="27:30">
      <c r="AA5057" s="117">
        <f>+'Ingredient List - Mother Tinctu'!D5058</f>
        <v>0</v>
      </c>
      <c r="AB5057" s="117">
        <f t="shared" si="81"/>
        <v>0</v>
      </c>
      <c r="AC5057" s="117" t="str">
        <f>IF(AB5057=1,COUNTIF($AB$3:AB5057,1),"")</f>
        <v/>
      </c>
      <c r="AD5057" s="117" t="str">
        <f>IFERROR(INDEX($AA$3:$AA$10000,MATCH(ROWS($AC$3:AC5057),$AC$3:$AC$10000,0)),"")</f>
        <v/>
      </c>
    </row>
    <row r="5058" spans="27:30">
      <c r="AA5058" s="117">
        <f>+'Ingredient List - Mother Tinctu'!D5059</f>
        <v>0</v>
      </c>
      <c r="AB5058" s="117">
        <f t="shared" si="81"/>
        <v>0</v>
      </c>
      <c r="AC5058" s="117" t="str">
        <f>IF(AB5058=1,COUNTIF($AB$3:AB5058,1),"")</f>
        <v/>
      </c>
      <c r="AD5058" s="117" t="str">
        <f>IFERROR(INDEX($AA$3:$AA$10000,MATCH(ROWS($AC$3:AC5058),$AC$3:$AC$10000,0)),"")</f>
        <v/>
      </c>
    </row>
    <row r="5059" spans="27:30">
      <c r="AA5059" s="117">
        <f>+'Ingredient List - Mother Tinctu'!D5060</f>
        <v>0</v>
      </c>
      <c r="AB5059" s="117">
        <f t="shared" si="81"/>
        <v>0</v>
      </c>
      <c r="AC5059" s="117" t="str">
        <f>IF(AB5059=1,COUNTIF($AB$3:AB5059,1),"")</f>
        <v/>
      </c>
      <c r="AD5059" s="117" t="str">
        <f>IFERROR(INDEX($AA$3:$AA$10000,MATCH(ROWS($AC$3:AC5059),$AC$3:$AC$10000,0)),"")</f>
        <v/>
      </c>
    </row>
    <row r="5060" spans="27:30">
      <c r="AA5060" s="117">
        <f>+'Ingredient List - Mother Tinctu'!D5061</f>
        <v>0</v>
      </c>
      <c r="AB5060" s="117">
        <f t="shared" ref="AB5060:AB5123" si="82">--ISNUMBER(IFERROR(SEARCH($D$3,AA5060,1),""))</f>
        <v>0</v>
      </c>
      <c r="AC5060" s="117" t="str">
        <f>IF(AB5060=1,COUNTIF($AB$3:AB5060,1),"")</f>
        <v/>
      </c>
      <c r="AD5060" s="117" t="str">
        <f>IFERROR(INDEX($AA$3:$AA$10000,MATCH(ROWS($AC$3:AC5060),$AC$3:$AC$10000,0)),"")</f>
        <v/>
      </c>
    </row>
    <row r="5061" spans="27:30">
      <c r="AA5061" s="117">
        <f>+'Ingredient List - Mother Tinctu'!D5062</f>
        <v>0</v>
      </c>
      <c r="AB5061" s="117">
        <f t="shared" si="82"/>
        <v>0</v>
      </c>
      <c r="AC5061" s="117" t="str">
        <f>IF(AB5061=1,COUNTIF($AB$3:AB5061,1),"")</f>
        <v/>
      </c>
      <c r="AD5061" s="117" t="str">
        <f>IFERROR(INDEX($AA$3:$AA$10000,MATCH(ROWS($AC$3:AC5061),$AC$3:$AC$10000,0)),"")</f>
        <v/>
      </c>
    </row>
    <row r="5062" spans="27:30">
      <c r="AA5062" s="117">
        <f>+'Ingredient List - Mother Tinctu'!D5063</f>
        <v>0</v>
      </c>
      <c r="AB5062" s="117">
        <f t="shared" si="82"/>
        <v>0</v>
      </c>
      <c r="AC5062" s="117" t="str">
        <f>IF(AB5062=1,COUNTIF($AB$3:AB5062,1),"")</f>
        <v/>
      </c>
      <c r="AD5062" s="117" t="str">
        <f>IFERROR(INDEX($AA$3:$AA$10000,MATCH(ROWS($AC$3:AC5062),$AC$3:$AC$10000,0)),"")</f>
        <v/>
      </c>
    </row>
    <row r="5063" spans="27:30">
      <c r="AA5063" s="117">
        <f>+'Ingredient List - Mother Tinctu'!D5064</f>
        <v>0</v>
      </c>
      <c r="AB5063" s="117">
        <f t="shared" si="82"/>
        <v>0</v>
      </c>
      <c r="AC5063" s="117" t="str">
        <f>IF(AB5063=1,COUNTIF($AB$3:AB5063,1),"")</f>
        <v/>
      </c>
      <c r="AD5063" s="117" t="str">
        <f>IFERROR(INDEX($AA$3:$AA$10000,MATCH(ROWS($AC$3:AC5063),$AC$3:$AC$10000,0)),"")</f>
        <v/>
      </c>
    </row>
    <row r="5064" spans="27:30">
      <c r="AA5064" s="117">
        <f>+'Ingredient List - Mother Tinctu'!D5065</f>
        <v>0</v>
      </c>
      <c r="AB5064" s="117">
        <f t="shared" si="82"/>
        <v>0</v>
      </c>
      <c r="AC5064" s="117" t="str">
        <f>IF(AB5064=1,COUNTIF($AB$3:AB5064,1),"")</f>
        <v/>
      </c>
      <c r="AD5064" s="117" t="str">
        <f>IFERROR(INDEX($AA$3:$AA$10000,MATCH(ROWS($AC$3:AC5064),$AC$3:$AC$10000,0)),"")</f>
        <v/>
      </c>
    </row>
    <row r="5065" spans="27:30">
      <c r="AA5065" s="117">
        <f>+'Ingredient List - Mother Tinctu'!D5066</f>
        <v>0</v>
      </c>
      <c r="AB5065" s="117">
        <f t="shared" si="82"/>
        <v>0</v>
      </c>
      <c r="AC5065" s="117" t="str">
        <f>IF(AB5065=1,COUNTIF($AB$3:AB5065,1),"")</f>
        <v/>
      </c>
      <c r="AD5065" s="117" t="str">
        <f>IFERROR(INDEX($AA$3:$AA$10000,MATCH(ROWS($AC$3:AC5065),$AC$3:$AC$10000,0)),"")</f>
        <v/>
      </c>
    </row>
    <row r="5066" spans="27:30">
      <c r="AA5066" s="117">
        <f>+'Ingredient List - Mother Tinctu'!D5067</f>
        <v>0</v>
      </c>
      <c r="AB5066" s="117">
        <f t="shared" si="82"/>
        <v>0</v>
      </c>
      <c r="AC5066" s="117" t="str">
        <f>IF(AB5066=1,COUNTIF($AB$3:AB5066,1),"")</f>
        <v/>
      </c>
      <c r="AD5066" s="117" t="str">
        <f>IFERROR(INDEX($AA$3:$AA$10000,MATCH(ROWS($AC$3:AC5066),$AC$3:$AC$10000,0)),"")</f>
        <v/>
      </c>
    </row>
    <row r="5067" spans="27:30">
      <c r="AA5067" s="117">
        <f>+'Ingredient List - Mother Tinctu'!D5068</f>
        <v>0</v>
      </c>
      <c r="AB5067" s="117">
        <f t="shared" si="82"/>
        <v>0</v>
      </c>
      <c r="AC5067" s="117" t="str">
        <f>IF(AB5067=1,COUNTIF($AB$3:AB5067,1),"")</f>
        <v/>
      </c>
      <c r="AD5067" s="117" t="str">
        <f>IFERROR(INDEX($AA$3:$AA$10000,MATCH(ROWS($AC$3:AC5067),$AC$3:$AC$10000,0)),"")</f>
        <v/>
      </c>
    </row>
    <row r="5068" spans="27:30">
      <c r="AA5068" s="117">
        <f>+'Ingredient List - Mother Tinctu'!D5069</f>
        <v>0</v>
      </c>
      <c r="AB5068" s="117">
        <f t="shared" si="82"/>
        <v>0</v>
      </c>
      <c r="AC5068" s="117" t="str">
        <f>IF(AB5068=1,COUNTIF($AB$3:AB5068,1),"")</f>
        <v/>
      </c>
      <c r="AD5068" s="117" t="str">
        <f>IFERROR(INDEX($AA$3:$AA$10000,MATCH(ROWS($AC$3:AC5068),$AC$3:$AC$10000,0)),"")</f>
        <v/>
      </c>
    </row>
    <row r="5069" spans="27:30">
      <c r="AA5069" s="117">
        <f>+'Ingredient List - Mother Tinctu'!D5070</f>
        <v>0</v>
      </c>
      <c r="AB5069" s="117">
        <f t="shared" si="82"/>
        <v>0</v>
      </c>
      <c r="AC5069" s="117" t="str">
        <f>IF(AB5069=1,COUNTIF($AB$3:AB5069,1),"")</f>
        <v/>
      </c>
      <c r="AD5069" s="117" t="str">
        <f>IFERROR(INDEX($AA$3:$AA$10000,MATCH(ROWS($AC$3:AC5069),$AC$3:$AC$10000,0)),"")</f>
        <v/>
      </c>
    </row>
    <row r="5070" spans="27:30">
      <c r="AA5070" s="117">
        <f>+'Ingredient List - Mother Tinctu'!D5071</f>
        <v>0</v>
      </c>
      <c r="AB5070" s="117">
        <f t="shared" si="82"/>
        <v>0</v>
      </c>
      <c r="AC5070" s="117" t="str">
        <f>IF(AB5070=1,COUNTIF($AB$3:AB5070,1),"")</f>
        <v/>
      </c>
      <c r="AD5070" s="117" t="str">
        <f>IFERROR(INDEX($AA$3:$AA$10000,MATCH(ROWS($AC$3:AC5070),$AC$3:$AC$10000,0)),"")</f>
        <v/>
      </c>
    </row>
    <row r="5071" spans="27:30">
      <c r="AA5071" s="117">
        <f>+'Ingredient List - Mother Tinctu'!D5072</f>
        <v>0</v>
      </c>
      <c r="AB5071" s="117">
        <f t="shared" si="82"/>
        <v>0</v>
      </c>
      <c r="AC5071" s="117" t="str">
        <f>IF(AB5071=1,COUNTIF($AB$3:AB5071,1),"")</f>
        <v/>
      </c>
      <c r="AD5071" s="117" t="str">
        <f>IFERROR(INDEX($AA$3:$AA$10000,MATCH(ROWS($AC$3:AC5071),$AC$3:$AC$10000,0)),"")</f>
        <v/>
      </c>
    </row>
    <row r="5072" spans="27:30">
      <c r="AA5072" s="117">
        <f>+'Ingredient List - Mother Tinctu'!D5073</f>
        <v>0</v>
      </c>
      <c r="AB5072" s="117">
        <f t="shared" si="82"/>
        <v>0</v>
      </c>
      <c r="AC5072" s="117" t="str">
        <f>IF(AB5072=1,COUNTIF($AB$3:AB5072,1),"")</f>
        <v/>
      </c>
      <c r="AD5072" s="117" t="str">
        <f>IFERROR(INDEX($AA$3:$AA$10000,MATCH(ROWS($AC$3:AC5072),$AC$3:$AC$10000,0)),"")</f>
        <v/>
      </c>
    </row>
    <row r="5073" spans="27:30">
      <c r="AA5073" s="117">
        <f>+'Ingredient List - Mother Tinctu'!D5074</f>
        <v>0</v>
      </c>
      <c r="AB5073" s="117">
        <f t="shared" si="82"/>
        <v>0</v>
      </c>
      <c r="AC5073" s="117" t="str">
        <f>IF(AB5073=1,COUNTIF($AB$3:AB5073,1),"")</f>
        <v/>
      </c>
      <c r="AD5073" s="117" t="str">
        <f>IFERROR(INDEX($AA$3:$AA$10000,MATCH(ROWS($AC$3:AC5073),$AC$3:$AC$10000,0)),"")</f>
        <v/>
      </c>
    </row>
    <row r="5074" spans="27:30">
      <c r="AA5074" s="117">
        <f>+'Ingredient List - Mother Tinctu'!D5075</f>
        <v>0</v>
      </c>
      <c r="AB5074" s="117">
        <f t="shared" si="82"/>
        <v>0</v>
      </c>
      <c r="AC5074" s="117" t="str">
        <f>IF(AB5074=1,COUNTIF($AB$3:AB5074,1),"")</f>
        <v/>
      </c>
      <c r="AD5074" s="117" t="str">
        <f>IFERROR(INDEX($AA$3:$AA$10000,MATCH(ROWS($AC$3:AC5074),$AC$3:$AC$10000,0)),"")</f>
        <v/>
      </c>
    </row>
    <row r="5075" spans="27:30">
      <c r="AA5075" s="117">
        <f>+'Ingredient List - Mother Tinctu'!D5076</f>
        <v>0</v>
      </c>
      <c r="AB5075" s="117">
        <f t="shared" si="82"/>
        <v>0</v>
      </c>
      <c r="AC5075" s="117" t="str">
        <f>IF(AB5075=1,COUNTIF($AB$3:AB5075,1),"")</f>
        <v/>
      </c>
      <c r="AD5075" s="117" t="str">
        <f>IFERROR(INDEX($AA$3:$AA$10000,MATCH(ROWS($AC$3:AC5075),$AC$3:$AC$10000,0)),"")</f>
        <v/>
      </c>
    </row>
    <row r="5076" spans="27:30">
      <c r="AA5076" s="117">
        <f>+'Ingredient List - Mother Tinctu'!D5077</f>
        <v>0</v>
      </c>
      <c r="AB5076" s="117">
        <f t="shared" si="82"/>
        <v>0</v>
      </c>
      <c r="AC5076" s="117" t="str">
        <f>IF(AB5076=1,COUNTIF($AB$3:AB5076,1),"")</f>
        <v/>
      </c>
      <c r="AD5076" s="117" t="str">
        <f>IFERROR(INDEX($AA$3:$AA$10000,MATCH(ROWS($AC$3:AC5076),$AC$3:$AC$10000,0)),"")</f>
        <v/>
      </c>
    </row>
    <row r="5077" spans="27:30">
      <c r="AA5077" s="117">
        <f>+'Ingredient List - Mother Tinctu'!D5078</f>
        <v>0</v>
      </c>
      <c r="AB5077" s="117">
        <f t="shared" si="82"/>
        <v>0</v>
      </c>
      <c r="AC5077" s="117" t="str">
        <f>IF(AB5077=1,COUNTIF($AB$3:AB5077,1),"")</f>
        <v/>
      </c>
      <c r="AD5077" s="117" t="str">
        <f>IFERROR(INDEX($AA$3:$AA$10000,MATCH(ROWS($AC$3:AC5077),$AC$3:$AC$10000,0)),"")</f>
        <v/>
      </c>
    </row>
    <row r="5078" spans="27:30">
      <c r="AA5078" s="117">
        <f>+'Ingredient List - Mother Tinctu'!D5079</f>
        <v>0</v>
      </c>
      <c r="AB5078" s="117">
        <f t="shared" si="82"/>
        <v>0</v>
      </c>
      <c r="AC5078" s="117" t="str">
        <f>IF(AB5078=1,COUNTIF($AB$3:AB5078,1),"")</f>
        <v/>
      </c>
      <c r="AD5078" s="117" t="str">
        <f>IFERROR(INDEX($AA$3:$AA$10000,MATCH(ROWS($AC$3:AC5078),$AC$3:$AC$10000,0)),"")</f>
        <v/>
      </c>
    </row>
    <row r="5079" spans="27:30">
      <c r="AA5079" s="117">
        <f>+'Ingredient List - Mother Tinctu'!D5080</f>
        <v>0</v>
      </c>
      <c r="AB5079" s="117">
        <f t="shared" si="82"/>
        <v>0</v>
      </c>
      <c r="AC5079" s="117" t="str">
        <f>IF(AB5079=1,COUNTIF($AB$3:AB5079,1),"")</f>
        <v/>
      </c>
      <c r="AD5079" s="117" t="str">
        <f>IFERROR(INDEX($AA$3:$AA$10000,MATCH(ROWS($AC$3:AC5079),$AC$3:$AC$10000,0)),"")</f>
        <v/>
      </c>
    </row>
    <row r="5080" spans="27:30">
      <c r="AA5080" s="117">
        <f>+'Ingredient List - Mother Tinctu'!D5081</f>
        <v>0</v>
      </c>
      <c r="AB5080" s="117">
        <f t="shared" si="82"/>
        <v>0</v>
      </c>
      <c r="AC5080" s="117" t="str">
        <f>IF(AB5080=1,COUNTIF($AB$3:AB5080,1),"")</f>
        <v/>
      </c>
      <c r="AD5080" s="117" t="str">
        <f>IFERROR(INDEX($AA$3:$AA$10000,MATCH(ROWS($AC$3:AC5080),$AC$3:$AC$10000,0)),"")</f>
        <v/>
      </c>
    </row>
    <row r="5081" spans="27:30">
      <c r="AA5081" s="117">
        <f>+'Ingredient List - Mother Tinctu'!D5082</f>
        <v>0</v>
      </c>
      <c r="AB5081" s="117">
        <f t="shared" si="82"/>
        <v>0</v>
      </c>
      <c r="AC5081" s="117" t="str">
        <f>IF(AB5081=1,COUNTIF($AB$3:AB5081,1),"")</f>
        <v/>
      </c>
      <c r="AD5081" s="117" t="str">
        <f>IFERROR(INDEX($AA$3:$AA$10000,MATCH(ROWS($AC$3:AC5081),$AC$3:$AC$10000,0)),"")</f>
        <v/>
      </c>
    </row>
    <row r="5082" spans="27:30">
      <c r="AA5082" s="117">
        <f>+'Ingredient List - Mother Tinctu'!D5083</f>
        <v>0</v>
      </c>
      <c r="AB5082" s="117">
        <f t="shared" si="82"/>
        <v>0</v>
      </c>
      <c r="AC5082" s="117" t="str">
        <f>IF(AB5082=1,COUNTIF($AB$3:AB5082,1),"")</f>
        <v/>
      </c>
      <c r="AD5082" s="117" t="str">
        <f>IFERROR(INDEX($AA$3:$AA$10000,MATCH(ROWS($AC$3:AC5082),$AC$3:$AC$10000,0)),"")</f>
        <v/>
      </c>
    </row>
    <row r="5083" spans="27:30">
      <c r="AA5083" s="117">
        <f>+'Ingredient List - Mother Tinctu'!D5084</f>
        <v>0</v>
      </c>
      <c r="AB5083" s="117">
        <f t="shared" si="82"/>
        <v>0</v>
      </c>
      <c r="AC5083" s="117" t="str">
        <f>IF(AB5083=1,COUNTIF($AB$3:AB5083,1),"")</f>
        <v/>
      </c>
      <c r="AD5083" s="117" t="str">
        <f>IFERROR(INDEX($AA$3:$AA$10000,MATCH(ROWS($AC$3:AC5083),$AC$3:$AC$10000,0)),"")</f>
        <v/>
      </c>
    </row>
    <row r="5084" spans="27:30">
      <c r="AA5084" s="117">
        <f>+'Ingredient List - Mother Tinctu'!D5085</f>
        <v>0</v>
      </c>
      <c r="AB5084" s="117">
        <f t="shared" si="82"/>
        <v>0</v>
      </c>
      <c r="AC5084" s="117" t="str">
        <f>IF(AB5084=1,COUNTIF($AB$3:AB5084,1),"")</f>
        <v/>
      </c>
      <c r="AD5084" s="117" t="str">
        <f>IFERROR(INDEX($AA$3:$AA$10000,MATCH(ROWS($AC$3:AC5084),$AC$3:$AC$10000,0)),"")</f>
        <v/>
      </c>
    </row>
    <row r="5085" spans="27:30">
      <c r="AA5085" s="117">
        <f>+'Ingredient List - Mother Tinctu'!D5086</f>
        <v>0</v>
      </c>
      <c r="AB5085" s="117">
        <f t="shared" si="82"/>
        <v>0</v>
      </c>
      <c r="AC5085" s="117" t="str">
        <f>IF(AB5085=1,COUNTIF($AB$3:AB5085,1),"")</f>
        <v/>
      </c>
      <c r="AD5085" s="117" t="str">
        <f>IFERROR(INDEX($AA$3:$AA$10000,MATCH(ROWS($AC$3:AC5085),$AC$3:$AC$10000,0)),"")</f>
        <v/>
      </c>
    </row>
    <row r="5086" spans="27:30">
      <c r="AA5086" s="117">
        <f>+'Ingredient List - Mother Tinctu'!D5087</f>
        <v>0</v>
      </c>
      <c r="AB5086" s="117">
        <f t="shared" si="82"/>
        <v>0</v>
      </c>
      <c r="AC5086" s="117" t="str">
        <f>IF(AB5086=1,COUNTIF($AB$3:AB5086,1),"")</f>
        <v/>
      </c>
      <c r="AD5086" s="117" t="str">
        <f>IFERROR(INDEX($AA$3:$AA$10000,MATCH(ROWS($AC$3:AC5086),$AC$3:$AC$10000,0)),"")</f>
        <v/>
      </c>
    </row>
    <row r="5087" spans="27:30">
      <c r="AA5087" s="117">
        <f>+'Ingredient List - Mother Tinctu'!D5088</f>
        <v>0</v>
      </c>
      <c r="AB5087" s="117">
        <f t="shared" si="82"/>
        <v>0</v>
      </c>
      <c r="AC5087" s="117" t="str">
        <f>IF(AB5087=1,COUNTIF($AB$3:AB5087,1),"")</f>
        <v/>
      </c>
      <c r="AD5087" s="117" t="str">
        <f>IFERROR(INDEX($AA$3:$AA$10000,MATCH(ROWS($AC$3:AC5087),$AC$3:$AC$10000,0)),"")</f>
        <v/>
      </c>
    </row>
    <row r="5088" spans="27:30">
      <c r="AA5088" s="117">
        <f>+'Ingredient List - Mother Tinctu'!D5089</f>
        <v>0</v>
      </c>
      <c r="AB5088" s="117">
        <f t="shared" si="82"/>
        <v>0</v>
      </c>
      <c r="AC5088" s="117" t="str">
        <f>IF(AB5088=1,COUNTIF($AB$3:AB5088,1),"")</f>
        <v/>
      </c>
      <c r="AD5088" s="117" t="str">
        <f>IFERROR(INDEX($AA$3:$AA$10000,MATCH(ROWS($AC$3:AC5088),$AC$3:$AC$10000,0)),"")</f>
        <v/>
      </c>
    </row>
    <row r="5089" spans="27:30">
      <c r="AA5089" s="117">
        <f>+'Ingredient List - Mother Tinctu'!D5090</f>
        <v>0</v>
      </c>
      <c r="AB5089" s="117">
        <f t="shared" si="82"/>
        <v>0</v>
      </c>
      <c r="AC5089" s="117" t="str">
        <f>IF(AB5089=1,COUNTIF($AB$3:AB5089,1),"")</f>
        <v/>
      </c>
      <c r="AD5089" s="117" t="str">
        <f>IFERROR(INDEX($AA$3:$AA$10000,MATCH(ROWS($AC$3:AC5089),$AC$3:$AC$10000,0)),"")</f>
        <v/>
      </c>
    </row>
    <row r="5090" spans="27:30">
      <c r="AA5090" s="117">
        <f>+'Ingredient List - Mother Tinctu'!D5091</f>
        <v>0</v>
      </c>
      <c r="AB5090" s="117">
        <f t="shared" si="82"/>
        <v>0</v>
      </c>
      <c r="AC5090" s="117" t="str">
        <f>IF(AB5090=1,COUNTIF($AB$3:AB5090,1),"")</f>
        <v/>
      </c>
      <c r="AD5090" s="117" t="str">
        <f>IFERROR(INDEX($AA$3:$AA$10000,MATCH(ROWS($AC$3:AC5090),$AC$3:$AC$10000,0)),"")</f>
        <v/>
      </c>
    </row>
    <row r="5091" spans="27:30">
      <c r="AA5091" s="117">
        <f>+'Ingredient List - Mother Tinctu'!D5092</f>
        <v>0</v>
      </c>
      <c r="AB5091" s="117">
        <f t="shared" si="82"/>
        <v>0</v>
      </c>
      <c r="AC5091" s="117" t="str">
        <f>IF(AB5091=1,COUNTIF($AB$3:AB5091,1),"")</f>
        <v/>
      </c>
      <c r="AD5091" s="117" t="str">
        <f>IFERROR(INDEX($AA$3:$AA$10000,MATCH(ROWS($AC$3:AC5091),$AC$3:$AC$10000,0)),"")</f>
        <v/>
      </c>
    </row>
    <row r="5092" spans="27:30">
      <c r="AA5092" s="117">
        <f>+'Ingredient List - Mother Tinctu'!D5093</f>
        <v>0</v>
      </c>
      <c r="AB5092" s="117">
        <f t="shared" si="82"/>
        <v>0</v>
      </c>
      <c r="AC5092" s="117" t="str">
        <f>IF(AB5092=1,COUNTIF($AB$3:AB5092,1),"")</f>
        <v/>
      </c>
      <c r="AD5092" s="117" t="str">
        <f>IFERROR(INDEX($AA$3:$AA$10000,MATCH(ROWS($AC$3:AC5092),$AC$3:$AC$10000,0)),"")</f>
        <v/>
      </c>
    </row>
    <row r="5093" spans="27:30">
      <c r="AA5093" s="117">
        <f>+'Ingredient List - Mother Tinctu'!D5094</f>
        <v>0</v>
      </c>
      <c r="AB5093" s="117">
        <f t="shared" si="82"/>
        <v>0</v>
      </c>
      <c r="AC5093" s="117" t="str">
        <f>IF(AB5093=1,COUNTIF($AB$3:AB5093,1),"")</f>
        <v/>
      </c>
      <c r="AD5093" s="117" t="str">
        <f>IFERROR(INDEX($AA$3:$AA$10000,MATCH(ROWS($AC$3:AC5093),$AC$3:$AC$10000,0)),"")</f>
        <v/>
      </c>
    </row>
    <row r="5094" spans="27:30">
      <c r="AA5094" s="117">
        <f>+'Ingredient List - Mother Tinctu'!D5095</f>
        <v>0</v>
      </c>
      <c r="AB5094" s="117">
        <f t="shared" si="82"/>
        <v>0</v>
      </c>
      <c r="AC5094" s="117" t="str">
        <f>IF(AB5094=1,COUNTIF($AB$3:AB5094,1),"")</f>
        <v/>
      </c>
      <c r="AD5094" s="117" t="str">
        <f>IFERROR(INDEX($AA$3:$AA$10000,MATCH(ROWS($AC$3:AC5094),$AC$3:$AC$10000,0)),"")</f>
        <v/>
      </c>
    </row>
    <row r="5095" spans="27:30">
      <c r="AA5095" s="117">
        <f>+'Ingredient List - Mother Tinctu'!D5096</f>
        <v>0</v>
      </c>
      <c r="AB5095" s="117">
        <f t="shared" si="82"/>
        <v>0</v>
      </c>
      <c r="AC5095" s="117" t="str">
        <f>IF(AB5095=1,COUNTIF($AB$3:AB5095,1),"")</f>
        <v/>
      </c>
      <c r="AD5095" s="117" t="str">
        <f>IFERROR(INDEX($AA$3:$AA$10000,MATCH(ROWS($AC$3:AC5095),$AC$3:$AC$10000,0)),"")</f>
        <v/>
      </c>
    </row>
    <row r="5096" spans="27:30">
      <c r="AA5096" s="117">
        <f>+'Ingredient List - Mother Tinctu'!D5097</f>
        <v>0</v>
      </c>
      <c r="AB5096" s="117">
        <f t="shared" si="82"/>
        <v>0</v>
      </c>
      <c r="AC5096" s="117" t="str">
        <f>IF(AB5096=1,COUNTIF($AB$3:AB5096,1),"")</f>
        <v/>
      </c>
      <c r="AD5096" s="117" t="str">
        <f>IFERROR(INDEX($AA$3:$AA$10000,MATCH(ROWS($AC$3:AC5096),$AC$3:$AC$10000,0)),"")</f>
        <v/>
      </c>
    </row>
    <row r="5097" spans="27:30">
      <c r="AA5097" s="117">
        <f>+'Ingredient List - Mother Tinctu'!D5098</f>
        <v>0</v>
      </c>
      <c r="AB5097" s="117">
        <f t="shared" si="82"/>
        <v>0</v>
      </c>
      <c r="AC5097" s="117" t="str">
        <f>IF(AB5097=1,COUNTIF($AB$3:AB5097,1),"")</f>
        <v/>
      </c>
      <c r="AD5097" s="117" t="str">
        <f>IFERROR(INDEX($AA$3:$AA$10000,MATCH(ROWS($AC$3:AC5097),$AC$3:$AC$10000,0)),"")</f>
        <v/>
      </c>
    </row>
    <row r="5098" spans="27:30">
      <c r="AA5098" s="117">
        <f>+'Ingredient List - Mother Tinctu'!D5099</f>
        <v>0</v>
      </c>
      <c r="AB5098" s="117">
        <f t="shared" si="82"/>
        <v>0</v>
      </c>
      <c r="AC5098" s="117" t="str">
        <f>IF(AB5098=1,COUNTIF($AB$3:AB5098,1),"")</f>
        <v/>
      </c>
      <c r="AD5098" s="117" t="str">
        <f>IFERROR(INDEX($AA$3:$AA$10000,MATCH(ROWS($AC$3:AC5098),$AC$3:$AC$10000,0)),"")</f>
        <v/>
      </c>
    </row>
    <row r="5099" spans="27:30">
      <c r="AA5099" s="117">
        <f>+'Ingredient List - Mother Tinctu'!D5100</f>
        <v>0</v>
      </c>
      <c r="AB5099" s="117">
        <f t="shared" si="82"/>
        <v>0</v>
      </c>
      <c r="AC5099" s="117" t="str">
        <f>IF(AB5099=1,COUNTIF($AB$3:AB5099,1),"")</f>
        <v/>
      </c>
      <c r="AD5099" s="117" t="str">
        <f>IFERROR(INDEX($AA$3:$AA$10000,MATCH(ROWS($AC$3:AC5099),$AC$3:$AC$10000,0)),"")</f>
        <v/>
      </c>
    </row>
    <row r="5100" spans="27:30">
      <c r="AA5100" s="117">
        <f>+'Ingredient List - Mother Tinctu'!D5101</f>
        <v>0</v>
      </c>
      <c r="AB5100" s="117">
        <f t="shared" si="82"/>
        <v>0</v>
      </c>
      <c r="AC5100" s="117" t="str">
        <f>IF(AB5100=1,COUNTIF($AB$3:AB5100,1),"")</f>
        <v/>
      </c>
      <c r="AD5100" s="117" t="str">
        <f>IFERROR(INDEX($AA$3:$AA$10000,MATCH(ROWS($AC$3:AC5100),$AC$3:$AC$10000,0)),"")</f>
        <v/>
      </c>
    </row>
    <row r="5101" spans="27:30">
      <c r="AA5101" s="117">
        <f>+'Ingredient List - Mother Tinctu'!D5102</f>
        <v>0</v>
      </c>
      <c r="AB5101" s="117">
        <f t="shared" si="82"/>
        <v>0</v>
      </c>
      <c r="AC5101" s="117" t="str">
        <f>IF(AB5101=1,COUNTIF($AB$3:AB5101,1),"")</f>
        <v/>
      </c>
      <c r="AD5101" s="117" t="str">
        <f>IFERROR(INDEX($AA$3:$AA$10000,MATCH(ROWS($AC$3:AC5101),$AC$3:$AC$10000,0)),"")</f>
        <v/>
      </c>
    </row>
    <row r="5102" spans="27:30">
      <c r="AA5102" s="117">
        <f>+'Ingredient List - Mother Tinctu'!D5103</f>
        <v>0</v>
      </c>
      <c r="AB5102" s="117">
        <f t="shared" si="82"/>
        <v>0</v>
      </c>
      <c r="AC5102" s="117" t="str">
        <f>IF(AB5102=1,COUNTIF($AB$3:AB5102,1),"")</f>
        <v/>
      </c>
      <c r="AD5102" s="117" t="str">
        <f>IFERROR(INDEX($AA$3:$AA$10000,MATCH(ROWS($AC$3:AC5102),$AC$3:$AC$10000,0)),"")</f>
        <v/>
      </c>
    </row>
    <row r="5103" spans="27:30">
      <c r="AA5103" s="117">
        <f>+'Ingredient List - Mother Tinctu'!D5104</f>
        <v>0</v>
      </c>
      <c r="AB5103" s="117">
        <f t="shared" si="82"/>
        <v>0</v>
      </c>
      <c r="AC5103" s="117" t="str">
        <f>IF(AB5103=1,COUNTIF($AB$3:AB5103,1),"")</f>
        <v/>
      </c>
      <c r="AD5103" s="117" t="str">
        <f>IFERROR(INDEX($AA$3:$AA$10000,MATCH(ROWS($AC$3:AC5103),$AC$3:$AC$10000,0)),"")</f>
        <v/>
      </c>
    </row>
    <row r="5104" spans="27:30">
      <c r="AA5104" s="117">
        <f>+'Ingredient List - Mother Tinctu'!D5105</f>
        <v>0</v>
      </c>
      <c r="AB5104" s="117">
        <f t="shared" si="82"/>
        <v>0</v>
      </c>
      <c r="AC5104" s="117" t="str">
        <f>IF(AB5104=1,COUNTIF($AB$3:AB5104,1),"")</f>
        <v/>
      </c>
      <c r="AD5104" s="117" t="str">
        <f>IFERROR(INDEX($AA$3:$AA$10000,MATCH(ROWS($AC$3:AC5104),$AC$3:$AC$10000,0)),"")</f>
        <v/>
      </c>
    </row>
    <row r="5105" spans="27:30">
      <c r="AA5105" s="117">
        <f>+'Ingredient List - Mother Tinctu'!D5106</f>
        <v>0</v>
      </c>
      <c r="AB5105" s="117">
        <f t="shared" si="82"/>
        <v>0</v>
      </c>
      <c r="AC5105" s="117" t="str">
        <f>IF(AB5105=1,COUNTIF($AB$3:AB5105,1),"")</f>
        <v/>
      </c>
      <c r="AD5105" s="117" t="str">
        <f>IFERROR(INDEX($AA$3:$AA$10000,MATCH(ROWS($AC$3:AC5105),$AC$3:$AC$10000,0)),"")</f>
        <v/>
      </c>
    </row>
    <row r="5106" spans="27:30">
      <c r="AA5106" s="117">
        <f>+'Ingredient List - Mother Tinctu'!D5107</f>
        <v>0</v>
      </c>
      <c r="AB5106" s="117">
        <f t="shared" si="82"/>
        <v>0</v>
      </c>
      <c r="AC5106" s="117" t="str">
        <f>IF(AB5106=1,COUNTIF($AB$3:AB5106,1),"")</f>
        <v/>
      </c>
      <c r="AD5106" s="117" t="str">
        <f>IFERROR(INDEX($AA$3:$AA$10000,MATCH(ROWS($AC$3:AC5106),$AC$3:$AC$10000,0)),"")</f>
        <v/>
      </c>
    </row>
    <row r="5107" spans="27:30">
      <c r="AA5107" s="117">
        <f>+'Ingredient List - Mother Tinctu'!D5108</f>
        <v>0</v>
      </c>
      <c r="AB5107" s="117">
        <f t="shared" si="82"/>
        <v>0</v>
      </c>
      <c r="AC5107" s="117" t="str">
        <f>IF(AB5107=1,COUNTIF($AB$3:AB5107,1),"")</f>
        <v/>
      </c>
      <c r="AD5107" s="117" t="str">
        <f>IFERROR(INDEX($AA$3:$AA$10000,MATCH(ROWS($AC$3:AC5107),$AC$3:$AC$10000,0)),"")</f>
        <v/>
      </c>
    </row>
    <row r="5108" spans="27:30">
      <c r="AA5108" s="117">
        <f>+'Ingredient List - Mother Tinctu'!D5109</f>
        <v>0</v>
      </c>
      <c r="AB5108" s="117">
        <f t="shared" si="82"/>
        <v>0</v>
      </c>
      <c r="AC5108" s="117" t="str">
        <f>IF(AB5108=1,COUNTIF($AB$3:AB5108,1),"")</f>
        <v/>
      </c>
      <c r="AD5108" s="117" t="str">
        <f>IFERROR(INDEX($AA$3:$AA$10000,MATCH(ROWS($AC$3:AC5108),$AC$3:$AC$10000,0)),"")</f>
        <v/>
      </c>
    </row>
    <row r="5109" spans="27:30">
      <c r="AA5109" s="117">
        <f>+'Ingredient List - Mother Tinctu'!D5110</f>
        <v>0</v>
      </c>
      <c r="AB5109" s="117">
        <f t="shared" si="82"/>
        <v>0</v>
      </c>
      <c r="AC5109" s="117" t="str">
        <f>IF(AB5109=1,COUNTIF($AB$3:AB5109,1),"")</f>
        <v/>
      </c>
      <c r="AD5109" s="117" t="str">
        <f>IFERROR(INDEX($AA$3:$AA$10000,MATCH(ROWS($AC$3:AC5109),$AC$3:$AC$10000,0)),"")</f>
        <v/>
      </c>
    </row>
    <row r="5110" spans="27:30">
      <c r="AA5110" s="117">
        <f>+'Ingredient List - Mother Tinctu'!D5111</f>
        <v>0</v>
      </c>
      <c r="AB5110" s="117">
        <f t="shared" si="82"/>
        <v>0</v>
      </c>
      <c r="AC5110" s="117" t="str">
        <f>IF(AB5110=1,COUNTIF($AB$3:AB5110,1),"")</f>
        <v/>
      </c>
      <c r="AD5110" s="117" t="str">
        <f>IFERROR(INDEX($AA$3:$AA$10000,MATCH(ROWS($AC$3:AC5110),$AC$3:$AC$10000,0)),"")</f>
        <v/>
      </c>
    </row>
    <row r="5111" spans="27:30">
      <c r="AA5111" s="117">
        <f>+'Ingredient List - Mother Tinctu'!D5112</f>
        <v>0</v>
      </c>
      <c r="AB5111" s="117">
        <f t="shared" si="82"/>
        <v>0</v>
      </c>
      <c r="AC5111" s="117" t="str">
        <f>IF(AB5111=1,COUNTIF($AB$3:AB5111,1),"")</f>
        <v/>
      </c>
      <c r="AD5111" s="117" t="str">
        <f>IFERROR(INDEX($AA$3:$AA$10000,MATCH(ROWS($AC$3:AC5111),$AC$3:$AC$10000,0)),"")</f>
        <v/>
      </c>
    </row>
    <row r="5112" spans="27:30">
      <c r="AA5112" s="117">
        <f>+'Ingredient List - Mother Tinctu'!D5113</f>
        <v>0</v>
      </c>
      <c r="AB5112" s="117">
        <f t="shared" si="82"/>
        <v>0</v>
      </c>
      <c r="AC5112" s="117" t="str">
        <f>IF(AB5112=1,COUNTIF($AB$3:AB5112,1),"")</f>
        <v/>
      </c>
      <c r="AD5112" s="117" t="str">
        <f>IFERROR(INDEX($AA$3:$AA$10000,MATCH(ROWS($AC$3:AC5112),$AC$3:$AC$10000,0)),"")</f>
        <v/>
      </c>
    </row>
    <row r="5113" spans="27:30">
      <c r="AA5113" s="117">
        <f>+'Ingredient List - Mother Tinctu'!D5114</f>
        <v>0</v>
      </c>
      <c r="AB5113" s="117">
        <f t="shared" si="82"/>
        <v>0</v>
      </c>
      <c r="AC5113" s="117" t="str">
        <f>IF(AB5113=1,COUNTIF($AB$3:AB5113,1),"")</f>
        <v/>
      </c>
      <c r="AD5113" s="117" t="str">
        <f>IFERROR(INDEX($AA$3:$AA$10000,MATCH(ROWS($AC$3:AC5113),$AC$3:$AC$10000,0)),"")</f>
        <v/>
      </c>
    </row>
    <row r="5114" spans="27:30">
      <c r="AA5114" s="117">
        <f>+'Ingredient List - Mother Tinctu'!D5115</f>
        <v>0</v>
      </c>
      <c r="AB5114" s="117">
        <f t="shared" si="82"/>
        <v>0</v>
      </c>
      <c r="AC5114" s="117" t="str">
        <f>IF(AB5114=1,COUNTIF($AB$3:AB5114,1),"")</f>
        <v/>
      </c>
      <c r="AD5114" s="117" t="str">
        <f>IFERROR(INDEX($AA$3:$AA$10000,MATCH(ROWS($AC$3:AC5114),$AC$3:$AC$10000,0)),"")</f>
        <v/>
      </c>
    </row>
    <row r="5115" spans="27:30">
      <c r="AA5115" s="117">
        <f>+'Ingredient List - Mother Tinctu'!D5116</f>
        <v>0</v>
      </c>
      <c r="AB5115" s="117">
        <f t="shared" si="82"/>
        <v>0</v>
      </c>
      <c r="AC5115" s="117" t="str">
        <f>IF(AB5115=1,COUNTIF($AB$3:AB5115,1),"")</f>
        <v/>
      </c>
      <c r="AD5115" s="117" t="str">
        <f>IFERROR(INDEX($AA$3:$AA$10000,MATCH(ROWS($AC$3:AC5115),$AC$3:$AC$10000,0)),"")</f>
        <v/>
      </c>
    </row>
    <row r="5116" spans="27:30">
      <c r="AA5116" s="117">
        <f>+'Ingredient List - Mother Tinctu'!D5117</f>
        <v>0</v>
      </c>
      <c r="AB5116" s="117">
        <f t="shared" si="82"/>
        <v>0</v>
      </c>
      <c r="AC5116" s="117" t="str">
        <f>IF(AB5116=1,COUNTIF($AB$3:AB5116,1),"")</f>
        <v/>
      </c>
      <c r="AD5116" s="117" t="str">
        <f>IFERROR(INDEX($AA$3:$AA$10000,MATCH(ROWS($AC$3:AC5116),$AC$3:$AC$10000,0)),"")</f>
        <v/>
      </c>
    </row>
    <row r="5117" spans="27:30">
      <c r="AA5117" s="117">
        <f>+'Ingredient List - Mother Tinctu'!D5118</f>
        <v>0</v>
      </c>
      <c r="AB5117" s="117">
        <f t="shared" si="82"/>
        <v>0</v>
      </c>
      <c r="AC5117" s="117" t="str">
        <f>IF(AB5117=1,COUNTIF($AB$3:AB5117,1),"")</f>
        <v/>
      </c>
      <c r="AD5117" s="117" t="str">
        <f>IFERROR(INDEX($AA$3:$AA$10000,MATCH(ROWS($AC$3:AC5117),$AC$3:$AC$10000,0)),"")</f>
        <v/>
      </c>
    </row>
    <row r="5118" spans="27:30">
      <c r="AA5118" s="117">
        <f>+'Ingredient List - Mother Tinctu'!D5119</f>
        <v>0</v>
      </c>
      <c r="AB5118" s="117">
        <f t="shared" si="82"/>
        <v>0</v>
      </c>
      <c r="AC5118" s="117" t="str">
        <f>IF(AB5118=1,COUNTIF($AB$3:AB5118,1),"")</f>
        <v/>
      </c>
      <c r="AD5118" s="117" t="str">
        <f>IFERROR(INDEX($AA$3:$AA$10000,MATCH(ROWS($AC$3:AC5118),$AC$3:$AC$10000,0)),"")</f>
        <v/>
      </c>
    </row>
    <row r="5119" spans="27:30">
      <c r="AA5119" s="117">
        <f>+'Ingredient List - Mother Tinctu'!D5120</f>
        <v>0</v>
      </c>
      <c r="AB5119" s="117">
        <f t="shared" si="82"/>
        <v>0</v>
      </c>
      <c r="AC5119" s="117" t="str">
        <f>IF(AB5119=1,COUNTIF($AB$3:AB5119,1),"")</f>
        <v/>
      </c>
      <c r="AD5119" s="117" t="str">
        <f>IFERROR(INDEX($AA$3:$AA$10000,MATCH(ROWS($AC$3:AC5119),$AC$3:$AC$10000,0)),"")</f>
        <v/>
      </c>
    </row>
    <row r="5120" spans="27:30">
      <c r="AA5120" s="117">
        <f>+'Ingredient List - Mother Tinctu'!D5121</f>
        <v>0</v>
      </c>
      <c r="AB5120" s="117">
        <f t="shared" si="82"/>
        <v>0</v>
      </c>
      <c r="AC5120" s="117" t="str">
        <f>IF(AB5120=1,COUNTIF($AB$3:AB5120,1),"")</f>
        <v/>
      </c>
      <c r="AD5120" s="117" t="str">
        <f>IFERROR(INDEX($AA$3:$AA$10000,MATCH(ROWS($AC$3:AC5120),$AC$3:$AC$10000,0)),"")</f>
        <v/>
      </c>
    </row>
    <row r="5121" spans="27:30">
      <c r="AA5121" s="117">
        <f>+'Ingredient List - Mother Tinctu'!D5122</f>
        <v>0</v>
      </c>
      <c r="AB5121" s="117">
        <f t="shared" si="82"/>
        <v>0</v>
      </c>
      <c r="AC5121" s="117" t="str">
        <f>IF(AB5121=1,COUNTIF($AB$3:AB5121,1),"")</f>
        <v/>
      </c>
      <c r="AD5121" s="117" t="str">
        <f>IFERROR(INDEX($AA$3:$AA$10000,MATCH(ROWS($AC$3:AC5121),$AC$3:$AC$10000,0)),"")</f>
        <v/>
      </c>
    </row>
    <row r="5122" spans="27:30">
      <c r="AA5122" s="117">
        <f>+'Ingredient List - Mother Tinctu'!D5123</f>
        <v>0</v>
      </c>
      <c r="AB5122" s="117">
        <f t="shared" si="82"/>
        <v>0</v>
      </c>
      <c r="AC5122" s="117" t="str">
        <f>IF(AB5122=1,COUNTIF($AB$3:AB5122,1),"")</f>
        <v/>
      </c>
      <c r="AD5122" s="117" t="str">
        <f>IFERROR(INDEX($AA$3:$AA$10000,MATCH(ROWS($AC$3:AC5122),$AC$3:$AC$10000,0)),"")</f>
        <v/>
      </c>
    </row>
    <row r="5123" spans="27:30">
      <c r="AA5123" s="117">
        <f>+'Ingredient List - Mother Tinctu'!D5124</f>
        <v>0</v>
      </c>
      <c r="AB5123" s="117">
        <f t="shared" si="82"/>
        <v>0</v>
      </c>
      <c r="AC5123" s="117" t="str">
        <f>IF(AB5123=1,COUNTIF($AB$3:AB5123,1),"")</f>
        <v/>
      </c>
      <c r="AD5123" s="117" t="str">
        <f>IFERROR(INDEX($AA$3:$AA$10000,MATCH(ROWS($AC$3:AC5123),$AC$3:$AC$10000,0)),"")</f>
        <v/>
      </c>
    </row>
    <row r="5124" spans="27:30">
      <c r="AA5124" s="117">
        <f>+'Ingredient List - Mother Tinctu'!D5125</f>
        <v>0</v>
      </c>
      <c r="AB5124" s="117">
        <f t="shared" ref="AB5124:AB5187" si="83">--ISNUMBER(IFERROR(SEARCH($D$3,AA5124,1),""))</f>
        <v>0</v>
      </c>
      <c r="AC5124" s="117" t="str">
        <f>IF(AB5124=1,COUNTIF($AB$3:AB5124,1),"")</f>
        <v/>
      </c>
      <c r="AD5124" s="117" t="str">
        <f>IFERROR(INDEX($AA$3:$AA$10000,MATCH(ROWS($AC$3:AC5124),$AC$3:$AC$10000,0)),"")</f>
        <v/>
      </c>
    </row>
    <row r="5125" spans="27:30">
      <c r="AA5125" s="117">
        <f>+'Ingredient List - Mother Tinctu'!D5126</f>
        <v>0</v>
      </c>
      <c r="AB5125" s="117">
        <f t="shared" si="83"/>
        <v>0</v>
      </c>
      <c r="AC5125" s="117" t="str">
        <f>IF(AB5125=1,COUNTIF($AB$3:AB5125,1),"")</f>
        <v/>
      </c>
      <c r="AD5125" s="117" t="str">
        <f>IFERROR(INDEX($AA$3:$AA$10000,MATCH(ROWS($AC$3:AC5125),$AC$3:$AC$10000,0)),"")</f>
        <v/>
      </c>
    </row>
    <row r="5126" spans="27:30">
      <c r="AA5126" s="117">
        <f>+'Ingredient List - Mother Tinctu'!D5127</f>
        <v>0</v>
      </c>
      <c r="AB5126" s="117">
        <f t="shared" si="83"/>
        <v>0</v>
      </c>
      <c r="AC5126" s="117" t="str">
        <f>IF(AB5126=1,COUNTIF($AB$3:AB5126,1),"")</f>
        <v/>
      </c>
      <c r="AD5126" s="117" t="str">
        <f>IFERROR(INDEX($AA$3:$AA$10000,MATCH(ROWS($AC$3:AC5126),$AC$3:$AC$10000,0)),"")</f>
        <v/>
      </c>
    </row>
    <row r="5127" spans="27:30">
      <c r="AA5127" s="117">
        <f>+'Ingredient List - Mother Tinctu'!D5128</f>
        <v>0</v>
      </c>
      <c r="AB5127" s="117">
        <f t="shared" si="83"/>
        <v>0</v>
      </c>
      <c r="AC5127" s="117" t="str">
        <f>IF(AB5127=1,COUNTIF($AB$3:AB5127,1),"")</f>
        <v/>
      </c>
      <c r="AD5127" s="117" t="str">
        <f>IFERROR(INDEX($AA$3:$AA$10000,MATCH(ROWS($AC$3:AC5127),$AC$3:$AC$10000,0)),"")</f>
        <v/>
      </c>
    </row>
    <row r="5128" spans="27:30">
      <c r="AA5128" s="117">
        <f>+'Ingredient List - Mother Tinctu'!D5129</f>
        <v>0</v>
      </c>
      <c r="AB5128" s="117">
        <f t="shared" si="83"/>
        <v>0</v>
      </c>
      <c r="AC5128" s="117" t="str">
        <f>IF(AB5128=1,COUNTIF($AB$3:AB5128,1),"")</f>
        <v/>
      </c>
      <c r="AD5128" s="117" t="str">
        <f>IFERROR(INDEX($AA$3:$AA$10000,MATCH(ROWS($AC$3:AC5128),$AC$3:$AC$10000,0)),"")</f>
        <v/>
      </c>
    </row>
    <row r="5129" spans="27:30">
      <c r="AA5129" s="117">
        <f>+'Ingredient List - Mother Tinctu'!D5130</f>
        <v>0</v>
      </c>
      <c r="AB5129" s="117">
        <f t="shared" si="83"/>
        <v>0</v>
      </c>
      <c r="AC5129" s="117" t="str">
        <f>IF(AB5129=1,COUNTIF($AB$3:AB5129,1),"")</f>
        <v/>
      </c>
      <c r="AD5129" s="117" t="str">
        <f>IFERROR(INDEX($AA$3:$AA$10000,MATCH(ROWS($AC$3:AC5129),$AC$3:$AC$10000,0)),"")</f>
        <v/>
      </c>
    </row>
    <row r="5130" spans="27:30">
      <c r="AA5130" s="117">
        <f>+'Ingredient List - Mother Tinctu'!D5131</f>
        <v>0</v>
      </c>
      <c r="AB5130" s="117">
        <f t="shared" si="83"/>
        <v>0</v>
      </c>
      <c r="AC5130" s="117" t="str">
        <f>IF(AB5130=1,COUNTIF($AB$3:AB5130,1),"")</f>
        <v/>
      </c>
      <c r="AD5130" s="117" t="str">
        <f>IFERROR(INDEX($AA$3:$AA$10000,MATCH(ROWS($AC$3:AC5130),$AC$3:$AC$10000,0)),"")</f>
        <v/>
      </c>
    </row>
    <row r="5131" spans="27:30">
      <c r="AA5131" s="117">
        <f>+'Ingredient List - Mother Tinctu'!D5132</f>
        <v>0</v>
      </c>
      <c r="AB5131" s="117">
        <f t="shared" si="83"/>
        <v>0</v>
      </c>
      <c r="AC5131" s="117" t="str">
        <f>IF(AB5131=1,COUNTIF($AB$3:AB5131,1),"")</f>
        <v/>
      </c>
      <c r="AD5131" s="117" t="str">
        <f>IFERROR(INDEX($AA$3:$AA$10000,MATCH(ROWS($AC$3:AC5131),$AC$3:$AC$10000,0)),"")</f>
        <v/>
      </c>
    </row>
    <row r="5132" spans="27:30">
      <c r="AA5132" s="117">
        <f>+'Ingredient List - Mother Tinctu'!D5133</f>
        <v>0</v>
      </c>
      <c r="AB5132" s="117">
        <f t="shared" si="83"/>
        <v>0</v>
      </c>
      <c r="AC5132" s="117" t="str">
        <f>IF(AB5132=1,COUNTIF($AB$3:AB5132,1),"")</f>
        <v/>
      </c>
      <c r="AD5132" s="117" t="str">
        <f>IFERROR(INDEX($AA$3:$AA$10000,MATCH(ROWS($AC$3:AC5132),$AC$3:$AC$10000,0)),"")</f>
        <v/>
      </c>
    </row>
    <row r="5133" spans="27:30">
      <c r="AA5133" s="117">
        <f>+'Ingredient List - Mother Tinctu'!D5134</f>
        <v>0</v>
      </c>
      <c r="AB5133" s="117">
        <f t="shared" si="83"/>
        <v>0</v>
      </c>
      <c r="AC5133" s="117" t="str">
        <f>IF(AB5133=1,COUNTIF($AB$3:AB5133,1),"")</f>
        <v/>
      </c>
      <c r="AD5133" s="117" t="str">
        <f>IFERROR(INDEX($AA$3:$AA$10000,MATCH(ROWS($AC$3:AC5133),$AC$3:$AC$10000,0)),"")</f>
        <v/>
      </c>
    </row>
    <row r="5134" spans="27:30">
      <c r="AA5134" s="117">
        <f>+'Ingredient List - Mother Tinctu'!D5135</f>
        <v>0</v>
      </c>
      <c r="AB5134" s="117">
        <f t="shared" si="83"/>
        <v>0</v>
      </c>
      <c r="AC5134" s="117" t="str">
        <f>IF(AB5134=1,COUNTIF($AB$3:AB5134,1),"")</f>
        <v/>
      </c>
      <c r="AD5134" s="117" t="str">
        <f>IFERROR(INDEX($AA$3:$AA$10000,MATCH(ROWS($AC$3:AC5134),$AC$3:$AC$10000,0)),"")</f>
        <v/>
      </c>
    </row>
    <row r="5135" spans="27:30">
      <c r="AA5135" s="117">
        <f>+'Ingredient List - Mother Tinctu'!D5136</f>
        <v>0</v>
      </c>
      <c r="AB5135" s="117">
        <f t="shared" si="83"/>
        <v>0</v>
      </c>
      <c r="AC5135" s="117" t="str">
        <f>IF(AB5135=1,COUNTIF($AB$3:AB5135,1),"")</f>
        <v/>
      </c>
      <c r="AD5135" s="117" t="str">
        <f>IFERROR(INDEX($AA$3:$AA$10000,MATCH(ROWS($AC$3:AC5135),$AC$3:$AC$10000,0)),"")</f>
        <v/>
      </c>
    </row>
    <row r="5136" spans="27:30">
      <c r="AA5136" s="117">
        <f>+'Ingredient List - Mother Tinctu'!D5137</f>
        <v>0</v>
      </c>
      <c r="AB5136" s="117">
        <f t="shared" si="83"/>
        <v>0</v>
      </c>
      <c r="AC5136" s="117" t="str">
        <f>IF(AB5136=1,COUNTIF($AB$3:AB5136,1),"")</f>
        <v/>
      </c>
      <c r="AD5136" s="117" t="str">
        <f>IFERROR(INDEX($AA$3:$AA$10000,MATCH(ROWS($AC$3:AC5136),$AC$3:$AC$10000,0)),"")</f>
        <v/>
      </c>
    </row>
    <row r="5137" spans="27:30">
      <c r="AA5137" s="117">
        <f>+'Ingredient List - Mother Tinctu'!D5138</f>
        <v>0</v>
      </c>
      <c r="AB5137" s="117">
        <f t="shared" si="83"/>
        <v>0</v>
      </c>
      <c r="AC5137" s="117" t="str">
        <f>IF(AB5137=1,COUNTIF($AB$3:AB5137,1),"")</f>
        <v/>
      </c>
      <c r="AD5137" s="117" t="str">
        <f>IFERROR(INDEX($AA$3:$AA$10000,MATCH(ROWS($AC$3:AC5137),$AC$3:$AC$10000,0)),"")</f>
        <v/>
      </c>
    </row>
    <row r="5138" spans="27:30">
      <c r="AA5138" s="117">
        <f>+'Ingredient List - Mother Tinctu'!D5139</f>
        <v>0</v>
      </c>
      <c r="AB5138" s="117">
        <f t="shared" si="83"/>
        <v>0</v>
      </c>
      <c r="AC5138" s="117" t="str">
        <f>IF(AB5138=1,COUNTIF($AB$3:AB5138,1),"")</f>
        <v/>
      </c>
      <c r="AD5138" s="117" t="str">
        <f>IFERROR(INDEX($AA$3:$AA$10000,MATCH(ROWS($AC$3:AC5138),$AC$3:$AC$10000,0)),"")</f>
        <v/>
      </c>
    </row>
    <row r="5139" spans="27:30">
      <c r="AA5139" s="117">
        <f>+'Ingredient List - Mother Tinctu'!D5140</f>
        <v>0</v>
      </c>
      <c r="AB5139" s="117">
        <f t="shared" si="83"/>
        <v>0</v>
      </c>
      <c r="AC5139" s="117" t="str">
        <f>IF(AB5139=1,COUNTIF($AB$3:AB5139,1),"")</f>
        <v/>
      </c>
      <c r="AD5139" s="117" t="str">
        <f>IFERROR(INDEX($AA$3:$AA$10000,MATCH(ROWS($AC$3:AC5139),$AC$3:$AC$10000,0)),"")</f>
        <v/>
      </c>
    </row>
    <row r="5140" spans="27:30">
      <c r="AA5140" s="117">
        <f>+'Ingredient List - Mother Tinctu'!D5141</f>
        <v>0</v>
      </c>
      <c r="AB5140" s="117">
        <f t="shared" si="83"/>
        <v>0</v>
      </c>
      <c r="AC5140" s="117" t="str">
        <f>IF(AB5140=1,COUNTIF($AB$3:AB5140,1),"")</f>
        <v/>
      </c>
      <c r="AD5140" s="117" t="str">
        <f>IFERROR(INDEX($AA$3:$AA$10000,MATCH(ROWS($AC$3:AC5140),$AC$3:$AC$10000,0)),"")</f>
        <v/>
      </c>
    </row>
    <row r="5141" spans="27:30">
      <c r="AA5141" s="117">
        <f>+'Ingredient List - Mother Tinctu'!D5142</f>
        <v>0</v>
      </c>
      <c r="AB5141" s="117">
        <f t="shared" si="83"/>
        <v>0</v>
      </c>
      <c r="AC5141" s="117" t="str">
        <f>IF(AB5141=1,COUNTIF($AB$3:AB5141,1),"")</f>
        <v/>
      </c>
      <c r="AD5141" s="117" t="str">
        <f>IFERROR(INDEX($AA$3:$AA$10000,MATCH(ROWS($AC$3:AC5141),$AC$3:$AC$10000,0)),"")</f>
        <v/>
      </c>
    </row>
    <row r="5142" spans="27:30">
      <c r="AA5142" s="117">
        <f>+'Ingredient List - Mother Tinctu'!D5143</f>
        <v>0</v>
      </c>
      <c r="AB5142" s="117">
        <f t="shared" si="83"/>
        <v>0</v>
      </c>
      <c r="AC5142" s="117" t="str">
        <f>IF(AB5142=1,COUNTIF($AB$3:AB5142,1),"")</f>
        <v/>
      </c>
      <c r="AD5142" s="117" t="str">
        <f>IFERROR(INDEX($AA$3:$AA$10000,MATCH(ROWS($AC$3:AC5142),$AC$3:$AC$10000,0)),"")</f>
        <v/>
      </c>
    </row>
    <row r="5143" spans="27:30">
      <c r="AA5143" s="117">
        <f>+'Ingredient List - Mother Tinctu'!D5144</f>
        <v>0</v>
      </c>
      <c r="AB5143" s="117">
        <f t="shared" si="83"/>
        <v>0</v>
      </c>
      <c r="AC5143" s="117" t="str">
        <f>IF(AB5143=1,COUNTIF($AB$3:AB5143,1),"")</f>
        <v/>
      </c>
      <c r="AD5143" s="117" t="str">
        <f>IFERROR(INDEX($AA$3:$AA$10000,MATCH(ROWS($AC$3:AC5143),$AC$3:$AC$10000,0)),"")</f>
        <v/>
      </c>
    </row>
    <row r="5144" spans="27:30">
      <c r="AA5144" s="117">
        <f>+'Ingredient List - Mother Tinctu'!D5145</f>
        <v>0</v>
      </c>
      <c r="AB5144" s="117">
        <f t="shared" si="83"/>
        <v>0</v>
      </c>
      <c r="AC5144" s="117" t="str">
        <f>IF(AB5144=1,COUNTIF($AB$3:AB5144,1),"")</f>
        <v/>
      </c>
      <c r="AD5144" s="117" t="str">
        <f>IFERROR(INDEX($AA$3:$AA$10000,MATCH(ROWS($AC$3:AC5144),$AC$3:$AC$10000,0)),"")</f>
        <v/>
      </c>
    </row>
    <row r="5145" spans="27:30">
      <c r="AA5145" s="117">
        <f>+'Ingredient List - Mother Tinctu'!D5146</f>
        <v>0</v>
      </c>
      <c r="AB5145" s="117">
        <f t="shared" si="83"/>
        <v>0</v>
      </c>
      <c r="AC5145" s="117" t="str">
        <f>IF(AB5145=1,COUNTIF($AB$3:AB5145,1),"")</f>
        <v/>
      </c>
      <c r="AD5145" s="117" t="str">
        <f>IFERROR(INDEX($AA$3:$AA$10000,MATCH(ROWS($AC$3:AC5145),$AC$3:$AC$10000,0)),"")</f>
        <v/>
      </c>
    </row>
    <row r="5146" spans="27:30">
      <c r="AA5146" s="117">
        <f>+'Ingredient List - Mother Tinctu'!D5147</f>
        <v>0</v>
      </c>
      <c r="AB5146" s="117">
        <f t="shared" si="83"/>
        <v>0</v>
      </c>
      <c r="AC5146" s="117" t="str">
        <f>IF(AB5146=1,COUNTIF($AB$3:AB5146,1),"")</f>
        <v/>
      </c>
      <c r="AD5146" s="117" t="str">
        <f>IFERROR(INDEX($AA$3:$AA$10000,MATCH(ROWS($AC$3:AC5146),$AC$3:$AC$10000,0)),"")</f>
        <v/>
      </c>
    </row>
    <row r="5147" spans="27:30">
      <c r="AA5147" s="117">
        <f>+'Ingredient List - Mother Tinctu'!D5148</f>
        <v>0</v>
      </c>
      <c r="AB5147" s="117">
        <f t="shared" si="83"/>
        <v>0</v>
      </c>
      <c r="AC5147" s="117" t="str">
        <f>IF(AB5147=1,COUNTIF($AB$3:AB5147,1),"")</f>
        <v/>
      </c>
      <c r="AD5147" s="117" t="str">
        <f>IFERROR(INDEX($AA$3:$AA$10000,MATCH(ROWS($AC$3:AC5147),$AC$3:$AC$10000,0)),"")</f>
        <v/>
      </c>
    </row>
    <row r="5148" spans="27:30">
      <c r="AA5148" s="117">
        <f>+'Ingredient List - Mother Tinctu'!D5149</f>
        <v>0</v>
      </c>
      <c r="AB5148" s="117">
        <f t="shared" si="83"/>
        <v>0</v>
      </c>
      <c r="AC5148" s="117" t="str">
        <f>IF(AB5148=1,COUNTIF($AB$3:AB5148,1),"")</f>
        <v/>
      </c>
      <c r="AD5148" s="117" t="str">
        <f>IFERROR(INDEX($AA$3:$AA$10000,MATCH(ROWS($AC$3:AC5148),$AC$3:$AC$10000,0)),"")</f>
        <v/>
      </c>
    </row>
    <row r="5149" spans="27:30">
      <c r="AA5149" s="117">
        <f>+'Ingredient List - Mother Tinctu'!D5150</f>
        <v>0</v>
      </c>
      <c r="AB5149" s="117">
        <f t="shared" si="83"/>
        <v>0</v>
      </c>
      <c r="AC5149" s="117" t="str">
        <f>IF(AB5149=1,COUNTIF($AB$3:AB5149,1),"")</f>
        <v/>
      </c>
      <c r="AD5149" s="117" t="str">
        <f>IFERROR(INDEX($AA$3:$AA$10000,MATCH(ROWS($AC$3:AC5149),$AC$3:$AC$10000,0)),"")</f>
        <v/>
      </c>
    </row>
    <row r="5150" spans="27:30">
      <c r="AA5150" s="117">
        <f>+'Ingredient List - Mother Tinctu'!D5151</f>
        <v>0</v>
      </c>
      <c r="AB5150" s="117">
        <f t="shared" si="83"/>
        <v>0</v>
      </c>
      <c r="AC5150" s="117" t="str">
        <f>IF(AB5150=1,COUNTIF($AB$3:AB5150,1),"")</f>
        <v/>
      </c>
      <c r="AD5150" s="117" t="str">
        <f>IFERROR(INDEX($AA$3:$AA$10000,MATCH(ROWS($AC$3:AC5150),$AC$3:$AC$10000,0)),"")</f>
        <v/>
      </c>
    </row>
    <row r="5151" spans="27:30">
      <c r="AA5151" s="117">
        <f>+'Ingredient List - Mother Tinctu'!D5152</f>
        <v>0</v>
      </c>
      <c r="AB5151" s="117">
        <f t="shared" si="83"/>
        <v>0</v>
      </c>
      <c r="AC5151" s="117" t="str">
        <f>IF(AB5151=1,COUNTIF($AB$3:AB5151,1),"")</f>
        <v/>
      </c>
      <c r="AD5151" s="117" t="str">
        <f>IFERROR(INDEX($AA$3:$AA$10000,MATCH(ROWS($AC$3:AC5151),$AC$3:$AC$10000,0)),"")</f>
        <v/>
      </c>
    </row>
    <row r="5152" spans="27:30">
      <c r="AA5152" s="117">
        <f>+'Ingredient List - Mother Tinctu'!D5153</f>
        <v>0</v>
      </c>
      <c r="AB5152" s="117">
        <f t="shared" si="83"/>
        <v>0</v>
      </c>
      <c r="AC5152" s="117" t="str">
        <f>IF(AB5152=1,COUNTIF($AB$3:AB5152,1),"")</f>
        <v/>
      </c>
      <c r="AD5152" s="117" t="str">
        <f>IFERROR(INDEX($AA$3:$AA$10000,MATCH(ROWS($AC$3:AC5152),$AC$3:$AC$10000,0)),"")</f>
        <v/>
      </c>
    </row>
    <row r="5153" spans="27:30">
      <c r="AA5153" s="117">
        <f>+'Ingredient List - Mother Tinctu'!D5154</f>
        <v>0</v>
      </c>
      <c r="AB5153" s="117">
        <f t="shared" si="83"/>
        <v>0</v>
      </c>
      <c r="AC5153" s="117" t="str">
        <f>IF(AB5153=1,COUNTIF($AB$3:AB5153,1),"")</f>
        <v/>
      </c>
      <c r="AD5153" s="117" t="str">
        <f>IFERROR(INDEX($AA$3:$AA$10000,MATCH(ROWS($AC$3:AC5153),$AC$3:$AC$10000,0)),"")</f>
        <v/>
      </c>
    </row>
    <row r="5154" spans="27:30">
      <c r="AA5154" s="117">
        <f>+'Ingredient List - Mother Tinctu'!D5155</f>
        <v>0</v>
      </c>
      <c r="AB5154" s="117">
        <f t="shared" si="83"/>
        <v>0</v>
      </c>
      <c r="AC5154" s="117" t="str">
        <f>IF(AB5154=1,COUNTIF($AB$3:AB5154,1),"")</f>
        <v/>
      </c>
      <c r="AD5154" s="117" t="str">
        <f>IFERROR(INDEX($AA$3:$AA$10000,MATCH(ROWS($AC$3:AC5154),$AC$3:$AC$10000,0)),"")</f>
        <v/>
      </c>
    </row>
    <row r="5155" spans="27:30">
      <c r="AA5155" s="117">
        <f>+'Ingredient List - Mother Tinctu'!D5156</f>
        <v>0</v>
      </c>
      <c r="AB5155" s="117">
        <f t="shared" si="83"/>
        <v>0</v>
      </c>
      <c r="AC5155" s="117" t="str">
        <f>IF(AB5155=1,COUNTIF($AB$3:AB5155,1),"")</f>
        <v/>
      </c>
      <c r="AD5155" s="117" t="str">
        <f>IFERROR(INDEX($AA$3:$AA$10000,MATCH(ROWS($AC$3:AC5155),$AC$3:$AC$10000,0)),"")</f>
        <v/>
      </c>
    </row>
    <row r="5156" spans="27:30">
      <c r="AA5156" s="117">
        <f>+'Ingredient List - Mother Tinctu'!D5157</f>
        <v>0</v>
      </c>
      <c r="AB5156" s="117">
        <f t="shared" si="83"/>
        <v>0</v>
      </c>
      <c r="AC5156" s="117" t="str">
        <f>IF(AB5156=1,COUNTIF($AB$3:AB5156,1),"")</f>
        <v/>
      </c>
      <c r="AD5156" s="117" t="str">
        <f>IFERROR(INDEX($AA$3:$AA$10000,MATCH(ROWS($AC$3:AC5156),$AC$3:$AC$10000,0)),"")</f>
        <v/>
      </c>
    </row>
    <row r="5157" spans="27:30">
      <c r="AA5157" s="117">
        <f>+'Ingredient List - Mother Tinctu'!D5158</f>
        <v>0</v>
      </c>
      <c r="AB5157" s="117">
        <f t="shared" si="83"/>
        <v>0</v>
      </c>
      <c r="AC5157" s="117" t="str">
        <f>IF(AB5157=1,COUNTIF($AB$3:AB5157,1),"")</f>
        <v/>
      </c>
      <c r="AD5157" s="117" t="str">
        <f>IFERROR(INDEX($AA$3:$AA$10000,MATCH(ROWS($AC$3:AC5157),$AC$3:$AC$10000,0)),"")</f>
        <v/>
      </c>
    </row>
    <row r="5158" spans="27:30">
      <c r="AA5158" s="117">
        <f>+'Ingredient List - Mother Tinctu'!D5159</f>
        <v>0</v>
      </c>
      <c r="AB5158" s="117">
        <f t="shared" si="83"/>
        <v>0</v>
      </c>
      <c r="AC5158" s="117" t="str">
        <f>IF(AB5158=1,COUNTIF($AB$3:AB5158,1),"")</f>
        <v/>
      </c>
      <c r="AD5158" s="117" t="str">
        <f>IFERROR(INDEX($AA$3:$AA$10000,MATCH(ROWS($AC$3:AC5158),$AC$3:$AC$10000,0)),"")</f>
        <v/>
      </c>
    </row>
    <row r="5159" spans="27:30">
      <c r="AA5159" s="117">
        <f>+'Ingredient List - Mother Tinctu'!D5160</f>
        <v>0</v>
      </c>
      <c r="AB5159" s="117">
        <f t="shared" si="83"/>
        <v>0</v>
      </c>
      <c r="AC5159" s="117" t="str">
        <f>IF(AB5159=1,COUNTIF($AB$3:AB5159,1),"")</f>
        <v/>
      </c>
      <c r="AD5159" s="117" t="str">
        <f>IFERROR(INDEX($AA$3:$AA$10000,MATCH(ROWS($AC$3:AC5159),$AC$3:$AC$10000,0)),"")</f>
        <v/>
      </c>
    </row>
    <row r="5160" spans="27:30">
      <c r="AA5160" s="117">
        <f>+'Ingredient List - Mother Tinctu'!D5161</f>
        <v>0</v>
      </c>
      <c r="AB5160" s="117">
        <f t="shared" si="83"/>
        <v>0</v>
      </c>
      <c r="AC5160" s="117" t="str">
        <f>IF(AB5160=1,COUNTIF($AB$3:AB5160,1),"")</f>
        <v/>
      </c>
      <c r="AD5160" s="117" t="str">
        <f>IFERROR(INDEX($AA$3:$AA$10000,MATCH(ROWS($AC$3:AC5160),$AC$3:$AC$10000,0)),"")</f>
        <v/>
      </c>
    </row>
    <row r="5161" spans="27:30">
      <c r="AA5161" s="117">
        <f>+'Ingredient List - Mother Tinctu'!D5162</f>
        <v>0</v>
      </c>
      <c r="AB5161" s="117">
        <f t="shared" si="83"/>
        <v>0</v>
      </c>
      <c r="AC5161" s="117" t="str">
        <f>IF(AB5161=1,COUNTIF($AB$3:AB5161,1),"")</f>
        <v/>
      </c>
      <c r="AD5161" s="117" t="str">
        <f>IFERROR(INDEX($AA$3:$AA$10000,MATCH(ROWS($AC$3:AC5161),$AC$3:$AC$10000,0)),"")</f>
        <v/>
      </c>
    </row>
    <row r="5162" spans="27:30">
      <c r="AA5162" s="117">
        <f>+'Ingredient List - Mother Tinctu'!D5163</f>
        <v>0</v>
      </c>
      <c r="AB5162" s="117">
        <f t="shared" si="83"/>
        <v>0</v>
      </c>
      <c r="AC5162" s="117" t="str">
        <f>IF(AB5162=1,COUNTIF($AB$3:AB5162,1),"")</f>
        <v/>
      </c>
      <c r="AD5162" s="117" t="str">
        <f>IFERROR(INDEX($AA$3:$AA$10000,MATCH(ROWS($AC$3:AC5162),$AC$3:$AC$10000,0)),"")</f>
        <v/>
      </c>
    </row>
    <row r="5163" spans="27:30">
      <c r="AA5163" s="117">
        <f>+'Ingredient List - Mother Tinctu'!D5164</f>
        <v>0</v>
      </c>
      <c r="AB5163" s="117">
        <f t="shared" si="83"/>
        <v>0</v>
      </c>
      <c r="AC5163" s="117" t="str">
        <f>IF(AB5163=1,COUNTIF($AB$3:AB5163,1),"")</f>
        <v/>
      </c>
      <c r="AD5163" s="117" t="str">
        <f>IFERROR(INDEX($AA$3:$AA$10000,MATCH(ROWS($AC$3:AC5163),$AC$3:$AC$10000,0)),"")</f>
        <v/>
      </c>
    </row>
    <row r="5164" spans="27:30">
      <c r="AA5164" s="117">
        <f>+'Ingredient List - Mother Tinctu'!D5165</f>
        <v>0</v>
      </c>
      <c r="AB5164" s="117">
        <f t="shared" si="83"/>
        <v>0</v>
      </c>
      <c r="AC5164" s="117" t="str">
        <f>IF(AB5164=1,COUNTIF($AB$3:AB5164,1),"")</f>
        <v/>
      </c>
      <c r="AD5164" s="117" t="str">
        <f>IFERROR(INDEX($AA$3:$AA$10000,MATCH(ROWS($AC$3:AC5164),$AC$3:$AC$10000,0)),"")</f>
        <v/>
      </c>
    </row>
    <row r="5165" spans="27:30">
      <c r="AA5165" s="117">
        <f>+'Ingredient List - Mother Tinctu'!D5166</f>
        <v>0</v>
      </c>
      <c r="AB5165" s="117">
        <f t="shared" si="83"/>
        <v>0</v>
      </c>
      <c r="AC5165" s="117" t="str">
        <f>IF(AB5165=1,COUNTIF($AB$3:AB5165,1),"")</f>
        <v/>
      </c>
      <c r="AD5165" s="117" t="str">
        <f>IFERROR(INDEX($AA$3:$AA$10000,MATCH(ROWS($AC$3:AC5165),$AC$3:$AC$10000,0)),"")</f>
        <v/>
      </c>
    </row>
    <row r="5166" spans="27:30">
      <c r="AA5166" s="117">
        <f>+'Ingredient List - Mother Tinctu'!D5167</f>
        <v>0</v>
      </c>
      <c r="AB5166" s="117">
        <f t="shared" si="83"/>
        <v>0</v>
      </c>
      <c r="AC5166" s="117" t="str">
        <f>IF(AB5166=1,COUNTIF($AB$3:AB5166,1),"")</f>
        <v/>
      </c>
      <c r="AD5166" s="117" t="str">
        <f>IFERROR(INDEX($AA$3:$AA$10000,MATCH(ROWS($AC$3:AC5166),$AC$3:$AC$10000,0)),"")</f>
        <v/>
      </c>
    </row>
    <row r="5167" spans="27:30">
      <c r="AA5167" s="117">
        <f>+'Ingredient List - Mother Tinctu'!D5168</f>
        <v>0</v>
      </c>
      <c r="AB5167" s="117">
        <f t="shared" si="83"/>
        <v>0</v>
      </c>
      <c r="AC5167" s="117" t="str">
        <f>IF(AB5167=1,COUNTIF($AB$3:AB5167,1),"")</f>
        <v/>
      </c>
      <c r="AD5167" s="117" t="str">
        <f>IFERROR(INDEX($AA$3:$AA$10000,MATCH(ROWS($AC$3:AC5167),$AC$3:$AC$10000,0)),"")</f>
        <v/>
      </c>
    </row>
    <row r="5168" spans="27:30">
      <c r="AA5168" s="117">
        <f>+'Ingredient List - Mother Tinctu'!D5169</f>
        <v>0</v>
      </c>
      <c r="AB5168" s="117">
        <f t="shared" si="83"/>
        <v>0</v>
      </c>
      <c r="AC5168" s="117" t="str">
        <f>IF(AB5168=1,COUNTIF($AB$3:AB5168,1),"")</f>
        <v/>
      </c>
      <c r="AD5168" s="117" t="str">
        <f>IFERROR(INDEX($AA$3:$AA$10000,MATCH(ROWS($AC$3:AC5168),$AC$3:$AC$10000,0)),"")</f>
        <v/>
      </c>
    </row>
    <row r="5169" spans="27:30">
      <c r="AA5169" s="117">
        <f>+'Ingredient List - Mother Tinctu'!D5170</f>
        <v>0</v>
      </c>
      <c r="AB5169" s="117">
        <f t="shared" si="83"/>
        <v>0</v>
      </c>
      <c r="AC5169" s="117" t="str">
        <f>IF(AB5169=1,COUNTIF($AB$3:AB5169,1),"")</f>
        <v/>
      </c>
      <c r="AD5169" s="117" t="str">
        <f>IFERROR(INDEX($AA$3:$AA$10000,MATCH(ROWS($AC$3:AC5169),$AC$3:$AC$10000,0)),"")</f>
        <v/>
      </c>
    </row>
    <row r="5170" spans="27:30">
      <c r="AA5170" s="117">
        <f>+'Ingredient List - Mother Tinctu'!D5171</f>
        <v>0</v>
      </c>
      <c r="AB5170" s="117">
        <f t="shared" si="83"/>
        <v>0</v>
      </c>
      <c r="AC5170" s="117" t="str">
        <f>IF(AB5170=1,COUNTIF($AB$3:AB5170,1),"")</f>
        <v/>
      </c>
      <c r="AD5170" s="117" t="str">
        <f>IFERROR(INDEX($AA$3:$AA$10000,MATCH(ROWS($AC$3:AC5170),$AC$3:$AC$10000,0)),"")</f>
        <v/>
      </c>
    </row>
    <row r="5171" spans="27:30">
      <c r="AA5171" s="117">
        <f>+'Ingredient List - Mother Tinctu'!D5172</f>
        <v>0</v>
      </c>
      <c r="AB5171" s="117">
        <f t="shared" si="83"/>
        <v>0</v>
      </c>
      <c r="AC5171" s="117" t="str">
        <f>IF(AB5171=1,COUNTIF($AB$3:AB5171,1),"")</f>
        <v/>
      </c>
      <c r="AD5171" s="117" t="str">
        <f>IFERROR(INDEX($AA$3:$AA$10000,MATCH(ROWS($AC$3:AC5171),$AC$3:$AC$10000,0)),"")</f>
        <v/>
      </c>
    </row>
    <row r="5172" spans="27:30">
      <c r="AA5172" s="117">
        <f>+'Ingredient List - Mother Tinctu'!D5173</f>
        <v>0</v>
      </c>
      <c r="AB5172" s="117">
        <f t="shared" si="83"/>
        <v>0</v>
      </c>
      <c r="AC5172" s="117" t="str">
        <f>IF(AB5172=1,COUNTIF($AB$3:AB5172,1),"")</f>
        <v/>
      </c>
      <c r="AD5172" s="117" t="str">
        <f>IFERROR(INDEX($AA$3:$AA$10000,MATCH(ROWS($AC$3:AC5172),$AC$3:$AC$10000,0)),"")</f>
        <v/>
      </c>
    </row>
    <row r="5173" spans="27:30">
      <c r="AA5173" s="117">
        <f>+'Ingredient List - Mother Tinctu'!D5174</f>
        <v>0</v>
      </c>
      <c r="AB5173" s="117">
        <f t="shared" si="83"/>
        <v>0</v>
      </c>
      <c r="AC5173" s="117" t="str">
        <f>IF(AB5173=1,COUNTIF($AB$3:AB5173,1),"")</f>
        <v/>
      </c>
      <c r="AD5173" s="117" t="str">
        <f>IFERROR(INDEX($AA$3:$AA$10000,MATCH(ROWS($AC$3:AC5173),$AC$3:$AC$10000,0)),"")</f>
        <v/>
      </c>
    </row>
    <row r="5174" spans="27:30">
      <c r="AA5174" s="117">
        <f>+'Ingredient List - Mother Tinctu'!D5175</f>
        <v>0</v>
      </c>
      <c r="AB5174" s="117">
        <f t="shared" si="83"/>
        <v>0</v>
      </c>
      <c r="AC5174" s="117" t="str">
        <f>IF(AB5174=1,COUNTIF($AB$3:AB5174,1),"")</f>
        <v/>
      </c>
      <c r="AD5174" s="117" t="str">
        <f>IFERROR(INDEX($AA$3:$AA$10000,MATCH(ROWS($AC$3:AC5174),$AC$3:$AC$10000,0)),"")</f>
        <v/>
      </c>
    </row>
    <row r="5175" spans="27:30">
      <c r="AA5175" s="117">
        <f>+'Ingredient List - Mother Tinctu'!D5176</f>
        <v>0</v>
      </c>
      <c r="AB5175" s="117">
        <f t="shared" si="83"/>
        <v>0</v>
      </c>
      <c r="AC5175" s="117" t="str">
        <f>IF(AB5175=1,COUNTIF($AB$3:AB5175,1),"")</f>
        <v/>
      </c>
      <c r="AD5175" s="117" t="str">
        <f>IFERROR(INDEX($AA$3:$AA$10000,MATCH(ROWS($AC$3:AC5175),$AC$3:$AC$10000,0)),"")</f>
        <v/>
      </c>
    </row>
    <row r="5176" spans="27:30">
      <c r="AA5176" s="117">
        <f>+'Ingredient List - Mother Tinctu'!D5177</f>
        <v>0</v>
      </c>
      <c r="AB5176" s="117">
        <f t="shared" si="83"/>
        <v>0</v>
      </c>
      <c r="AC5176" s="117" t="str">
        <f>IF(AB5176=1,COUNTIF($AB$3:AB5176,1),"")</f>
        <v/>
      </c>
      <c r="AD5176" s="117" t="str">
        <f>IFERROR(INDEX($AA$3:$AA$10000,MATCH(ROWS($AC$3:AC5176),$AC$3:$AC$10000,0)),"")</f>
        <v/>
      </c>
    </row>
    <row r="5177" spans="27:30">
      <c r="AA5177" s="117">
        <f>+'Ingredient List - Mother Tinctu'!D5178</f>
        <v>0</v>
      </c>
      <c r="AB5177" s="117">
        <f t="shared" si="83"/>
        <v>0</v>
      </c>
      <c r="AC5177" s="117" t="str">
        <f>IF(AB5177=1,COUNTIF($AB$3:AB5177,1),"")</f>
        <v/>
      </c>
      <c r="AD5177" s="117" t="str">
        <f>IFERROR(INDEX($AA$3:$AA$10000,MATCH(ROWS($AC$3:AC5177),$AC$3:$AC$10000,0)),"")</f>
        <v/>
      </c>
    </row>
    <row r="5178" spans="27:30">
      <c r="AA5178" s="117">
        <f>+'Ingredient List - Mother Tinctu'!D5179</f>
        <v>0</v>
      </c>
      <c r="AB5178" s="117">
        <f t="shared" si="83"/>
        <v>0</v>
      </c>
      <c r="AC5178" s="117" t="str">
        <f>IF(AB5178=1,COUNTIF($AB$3:AB5178,1),"")</f>
        <v/>
      </c>
      <c r="AD5178" s="117" t="str">
        <f>IFERROR(INDEX($AA$3:$AA$10000,MATCH(ROWS($AC$3:AC5178),$AC$3:$AC$10000,0)),"")</f>
        <v/>
      </c>
    </row>
    <row r="5179" spans="27:30">
      <c r="AA5179" s="117">
        <f>+'Ingredient List - Mother Tinctu'!D5180</f>
        <v>0</v>
      </c>
      <c r="AB5179" s="117">
        <f t="shared" si="83"/>
        <v>0</v>
      </c>
      <c r="AC5179" s="117" t="str">
        <f>IF(AB5179=1,COUNTIF($AB$3:AB5179,1),"")</f>
        <v/>
      </c>
      <c r="AD5179" s="117" t="str">
        <f>IFERROR(INDEX($AA$3:$AA$10000,MATCH(ROWS($AC$3:AC5179),$AC$3:$AC$10000,0)),"")</f>
        <v/>
      </c>
    </row>
    <row r="5180" spans="27:30">
      <c r="AA5180" s="117">
        <f>+'Ingredient List - Mother Tinctu'!D5181</f>
        <v>0</v>
      </c>
      <c r="AB5180" s="117">
        <f t="shared" si="83"/>
        <v>0</v>
      </c>
      <c r="AC5180" s="117" t="str">
        <f>IF(AB5180=1,COUNTIF($AB$3:AB5180,1),"")</f>
        <v/>
      </c>
      <c r="AD5180" s="117" t="str">
        <f>IFERROR(INDEX($AA$3:$AA$10000,MATCH(ROWS($AC$3:AC5180),$AC$3:$AC$10000,0)),"")</f>
        <v/>
      </c>
    </row>
    <row r="5181" spans="27:30">
      <c r="AA5181" s="117">
        <f>+'Ingredient List - Mother Tinctu'!D5182</f>
        <v>0</v>
      </c>
      <c r="AB5181" s="117">
        <f t="shared" si="83"/>
        <v>0</v>
      </c>
      <c r="AC5181" s="117" t="str">
        <f>IF(AB5181=1,COUNTIF($AB$3:AB5181,1),"")</f>
        <v/>
      </c>
      <c r="AD5181" s="117" t="str">
        <f>IFERROR(INDEX($AA$3:$AA$10000,MATCH(ROWS($AC$3:AC5181),$AC$3:$AC$10000,0)),"")</f>
        <v/>
      </c>
    </row>
    <row r="5182" spans="27:30">
      <c r="AA5182" s="117">
        <f>+'Ingredient List - Mother Tinctu'!D5183</f>
        <v>0</v>
      </c>
      <c r="AB5182" s="117">
        <f t="shared" si="83"/>
        <v>0</v>
      </c>
      <c r="AC5182" s="117" t="str">
        <f>IF(AB5182=1,COUNTIF($AB$3:AB5182,1),"")</f>
        <v/>
      </c>
      <c r="AD5182" s="117" t="str">
        <f>IFERROR(INDEX($AA$3:$AA$10000,MATCH(ROWS($AC$3:AC5182),$AC$3:$AC$10000,0)),"")</f>
        <v/>
      </c>
    </row>
    <row r="5183" spans="27:30">
      <c r="AA5183" s="117">
        <f>+'Ingredient List - Mother Tinctu'!D5184</f>
        <v>0</v>
      </c>
      <c r="AB5183" s="117">
        <f t="shared" si="83"/>
        <v>0</v>
      </c>
      <c r="AC5183" s="117" t="str">
        <f>IF(AB5183=1,COUNTIF($AB$3:AB5183,1),"")</f>
        <v/>
      </c>
      <c r="AD5183" s="117" t="str">
        <f>IFERROR(INDEX($AA$3:$AA$10000,MATCH(ROWS($AC$3:AC5183),$AC$3:$AC$10000,0)),"")</f>
        <v/>
      </c>
    </row>
    <row r="5184" spans="27:30">
      <c r="AA5184" s="117">
        <f>+'Ingredient List - Mother Tinctu'!D5185</f>
        <v>0</v>
      </c>
      <c r="AB5184" s="117">
        <f t="shared" si="83"/>
        <v>0</v>
      </c>
      <c r="AC5184" s="117" t="str">
        <f>IF(AB5184=1,COUNTIF($AB$3:AB5184,1),"")</f>
        <v/>
      </c>
      <c r="AD5184" s="117" t="str">
        <f>IFERROR(INDEX($AA$3:$AA$10000,MATCH(ROWS($AC$3:AC5184),$AC$3:$AC$10000,0)),"")</f>
        <v/>
      </c>
    </row>
    <row r="5185" spans="27:30">
      <c r="AA5185" s="117">
        <f>+'Ingredient List - Mother Tinctu'!D5186</f>
        <v>0</v>
      </c>
      <c r="AB5185" s="117">
        <f t="shared" si="83"/>
        <v>0</v>
      </c>
      <c r="AC5185" s="117" t="str">
        <f>IF(AB5185=1,COUNTIF($AB$3:AB5185,1),"")</f>
        <v/>
      </c>
      <c r="AD5185" s="117" t="str">
        <f>IFERROR(INDEX($AA$3:$AA$10000,MATCH(ROWS($AC$3:AC5185),$AC$3:$AC$10000,0)),"")</f>
        <v/>
      </c>
    </row>
    <row r="5186" spans="27:30">
      <c r="AA5186" s="117">
        <f>+'Ingredient List - Mother Tinctu'!D5187</f>
        <v>0</v>
      </c>
      <c r="AB5186" s="117">
        <f t="shared" si="83"/>
        <v>0</v>
      </c>
      <c r="AC5186" s="117" t="str">
        <f>IF(AB5186=1,COUNTIF($AB$3:AB5186,1),"")</f>
        <v/>
      </c>
      <c r="AD5186" s="117" t="str">
        <f>IFERROR(INDEX($AA$3:$AA$10000,MATCH(ROWS($AC$3:AC5186),$AC$3:$AC$10000,0)),"")</f>
        <v/>
      </c>
    </row>
    <row r="5187" spans="27:30">
      <c r="AA5187" s="117">
        <f>+'Ingredient List - Mother Tinctu'!D5188</f>
        <v>0</v>
      </c>
      <c r="AB5187" s="117">
        <f t="shared" si="83"/>
        <v>0</v>
      </c>
      <c r="AC5187" s="117" t="str">
        <f>IF(AB5187=1,COUNTIF($AB$3:AB5187,1),"")</f>
        <v/>
      </c>
      <c r="AD5187" s="117" t="str">
        <f>IFERROR(INDEX($AA$3:$AA$10000,MATCH(ROWS($AC$3:AC5187),$AC$3:$AC$10000,0)),"")</f>
        <v/>
      </c>
    </row>
    <row r="5188" spans="27:30">
      <c r="AA5188" s="117">
        <f>+'Ingredient List - Mother Tinctu'!D5189</f>
        <v>0</v>
      </c>
      <c r="AB5188" s="117">
        <f t="shared" ref="AB5188:AB5251" si="84">--ISNUMBER(IFERROR(SEARCH($D$3,AA5188,1),""))</f>
        <v>0</v>
      </c>
      <c r="AC5188" s="117" t="str">
        <f>IF(AB5188=1,COUNTIF($AB$3:AB5188,1),"")</f>
        <v/>
      </c>
      <c r="AD5188" s="117" t="str">
        <f>IFERROR(INDEX($AA$3:$AA$10000,MATCH(ROWS($AC$3:AC5188),$AC$3:$AC$10000,0)),"")</f>
        <v/>
      </c>
    </row>
    <row r="5189" spans="27:30">
      <c r="AA5189" s="117">
        <f>+'Ingredient List - Mother Tinctu'!D5190</f>
        <v>0</v>
      </c>
      <c r="AB5189" s="117">
        <f t="shared" si="84"/>
        <v>0</v>
      </c>
      <c r="AC5189" s="117" t="str">
        <f>IF(AB5189=1,COUNTIF($AB$3:AB5189,1),"")</f>
        <v/>
      </c>
      <c r="AD5189" s="117" t="str">
        <f>IFERROR(INDEX($AA$3:$AA$10000,MATCH(ROWS($AC$3:AC5189),$AC$3:$AC$10000,0)),"")</f>
        <v/>
      </c>
    </row>
    <row r="5190" spans="27:30">
      <c r="AA5190" s="117">
        <f>+'Ingredient List - Mother Tinctu'!D5191</f>
        <v>0</v>
      </c>
      <c r="AB5190" s="117">
        <f t="shared" si="84"/>
        <v>0</v>
      </c>
      <c r="AC5190" s="117" t="str">
        <f>IF(AB5190=1,COUNTIF($AB$3:AB5190,1),"")</f>
        <v/>
      </c>
      <c r="AD5190" s="117" t="str">
        <f>IFERROR(INDEX($AA$3:$AA$10000,MATCH(ROWS($AC$3:AC5190),$AC$3:$AC$10000,0)),"")</f>
        <v/>
      </c>
    </row>
    <row r="5191" spans="27:30">
      <c r="AA5191" s="117">
        <f>+'Ingredient List - Mother Tinctu'!D5192</f>
        <v>0</v>
      </c>
      <c r="AB5191" s="117">
        <f t="shared" si="84"/>
        <v>0</v>
      </c>
      <c r="AC5191" s="117" t="str">
        <f>IF(AB5191=1,COUNTIF($AB$3:AB5191,1),"")</f>
        <v/>
      </c>
      <c r="AD5191" s="117" t="str">
        <f>IFERROR(INDEX($AA$3:$AA$10000,MATCH(ROWS($AC$3:AC5191),$AC$3:$AC$10000,0)),"")</f>
        <v/>
      </c>
    </row>
    <row r="5192" spans="27:30">
      <c r="AA5192" s="117">
        <f>+'Ingredient List - Mother Tinctu'!D5193</f>
        <v>0</v>
      </c>
      <c r="AB5192" s="117">
        <f t="shared" si="84"/>
        <v>0</v>
      </c>
      <c r="AC5192" s="117" t="str">
        <f>IF(AB5192=1,COUNTIF($AB$3:AB5192,1),"")</f>
        <v/>
      </c>
      <c r="AD5192" s="117" t="str">
        <f>IFERROR(INDEX($AA$3:$AA$10000,MATCH(ROWS($AC$3:AC5192),$AC$3:$AC$10000,0)),"")</f>
        <v/>
      </c>
    </row>
    <row r="5193" spans="27:30">
      <c r="AA5193" s="117">
        <f>+'Ingredient List - Mother Tinctu'!D5194</f>
        <v>0</v>
      </c>
      <c r="AB5193" s="117">
        <f t="shared" si="84"/>
        <v>0</v>
      </c>
      <c r="AC5193" s="117" t="str">
        <f>IF(AB5193=1,COUNTIF($AB$3:AB5193,1),"")</f>
        <v/>
      </c>
      <c r="AD5193" s="117" t="str">
        <f>IFERROR(INDEX($AA$3:$AA$10000,MATCH(ROWS($AC$3:AC5193),$AC$3:$AC$10000,0)),"")</f>
        <v/>
      </c>
    </row>
    <row r="5194" spans="27:30">
      <c r="AA5194" s="117">
        <f>+'Ingredient List - Mother Tinctu'!D5195</f>
        <v>0</v>
      </c>
      <c r="AB5194" s="117">
        <f t="shared" si="84"/>
        <v>0</v>
      </c>
      <c r="AC5194" s="117" t="str">
        <f>IF(AB5194=1,COUNTIF($AB$3:AB5194,1),"")</f>
        <v/>
      </c>
      <c r="AD5194" s="117" t="str">
        <f>IFERROR(INDEX($AA$3:$AA$10000,MATCH(ROWS($AC$3:AC5194),$AC$3:$AC$10000,0)),"")</f>
        <v/>
      </c>
    </row>
    <row r="5195" spans="27:30">
      <c r="AA5195" s="117">
        <f>+'Ingredient List - Mother Tinctu'!D5196</f>
        <v>0</v>
      </c>
      <c r="AB5195" s="117">
        <f t="shared" si="84"/>
        <v>0</v>
      </c>
      <c r="AC5195" s="117" t="str">
        <f>IF(AB5195=1,COUNTIF($AB$3:AB5195,1),"")</f>
        <v/>
      </c>
      <c r="AD5195" s="117" t="str">
        <f>IFERROR(INDEX($AA$3:$AA$10000,MATCH(ROWS($AC$3:AC5195),$AC$3:$AC$10000,0)),"")</f>
        <v/>
      </c>
    </row>
    <row r="5196" spans="27:30">
      <c r="AA5196" s="117">
        <f>+'Ingredient List - Mother Tinctu'!D5197</f>
        <v>0</v>
      </c>
      <c r="AB5196" s="117">
        <f t="shared" si="84"/>
        <v>0</v>
      </c>
      <c r="AC5196" s="117" t="str">
        <f>IF(AB5196=1,COUNTIF($AB$3:AB5196,1),"")</f>
        <v/>
      </c>
      <c r="AD5196" s="117" t="str">
        <f>IFERROR(INDEX($AA$3:$AA$10000,MATCH(ROWS($AC$3:AC5196),$AC$3:$AC$10000,0)),"")</f>
        <v/>
      </c>
    </row>
    <row r="5197" spans="27:30">
      <c r="AA5197" s="117">
        <f>+'Ingredient List - Mother Tinctu'!D5198</f>
        <v>0</v>
      </c>
      <c r="AB5197" s="117">
        <f t="shared" si="84"/>
        <v>0</v>
      </c>
      <c r="AC5197" s="117" t="str">
        <f>IF(AB5197=1,COUNTIF($AB$3:AB5197,1),"")</f>
        <v/>
      </c>
      <c r="AD5197" s="117" t="str">
        <f>IFERROR(INDEX($AA$3:$AA$10000,MATCH(ROWS($AC$3:AC5197),$AC$3:$AC$10000,0)),"")</f>
        <v/>
      </c>
    </row>
    <row r="5198" spans="27:30">
      <c r="AA5198" s="117">
        <f>+'Ingredient List - Mother Tinctu'!D5199</f>
        <v>0</v>
      </c>
      <c r="AB5198" s="117">
        <f t="shared" si="84"/>
        <v>0</v>
      </c>
      <c r="AC5198" s="117" t="str">
        <f>IF(AB5198=1,COUNTIF($AB$3:AB5198,1),"")</f>
        <v/>
      </c>
      <c r="AD5198" s="117" t="str">
        <f>IFERROR(INDEX($AA$3:$AA$10000,MATCH(ROWS($AC$3:AC5198),$AC$3:$AC$10000,0)),"")</f>
        <v/>
      </c>
    </row>
    <row r="5199" spans="27:30">
      <c r="AA5199" s="117">
        <f>+'Ingredient List - Mother Tinctu'!D5200</f>
        <v>0</v>
      </c>
      <c r="AB5199" s="117">
        <f t="shared" si="84"/>
        <v>0</v>
      </c>
      <c r="AC5199" s="117" t="str">
        <f>IF(AB5199=1,COUNTIF($AB$3:AB5199,1),"")</f>
        <v/>
      </c>
      <c r="AD5199" s="117" t="str">
        <f>IFERROR(INDEX($AA$3:$AA$10000,MATCH(ROWS($AC$3:AC5199),$AC$3:$AC$10000,0)),"")</f>
        <v/>
      </c>
    </row>
    <row r="5200" spans="27:30">
      <c r="AA5200" s="117">
        <f>+'Ingredient List - Mother Tinctu'!D5201</f>
        <v>0</v>
      </c>
      <c r="AB5200" s="117">
        <f t="shared" si="84"/>
        <v>0</v>
      </c>
      <c r="AC5200" s="117" t="str">
        <f>IF(AB5200=1,COUNTIF($AB$3:AB5200,1),"")</f>
        <v/>
      </c>
      <c r="AD5200" s="117" t="str">
        <f>IFERROR(INDEX($AA$3:$AA$10000,MATCH(ROWS($AC$3:AC5200),$AC$3:$AC$10000,0)),"")</f>
        <v/>
      </c>
    </row>
    <row r="5201" spans="27:30">
      <c r="AA5201" s="117">
        <f>+'Ingredient List - Mother Tinctu'!D5202</f>
        <v>0</v>
      </c>
      <c r="AB5201" s="117">
        <f t="shared" si="84"/>
        <v>0</v>
      </c>
      <c r="AC5201" s="117" t="str">
        <f>IF(AB5201=1,COUNTIF($AB$3:AB5201,1),"")</f>
        <v/>
      </c>
      <c r="AD5201" s="117" t="str">
        <f>IFERROR(INDEX($AA$3:$AA$10000,MATCH(ROWS($AC$3:AC5201),$AC$3:$AC$10000,0)),"")</f>
        <v/>
      </c>
    </row>
    <row r="5202" spans="27:30">
      <c r="AA5202" s="117">
        <f>+'Ingredient List - Mother Tinctu'!D5203</f>
        <v>0</v>
      </c>
      <c r="AB5202" s="117">
        <f t="shared" si="84"/>
        <v>0</v>
      </c>
      <c r="AC5202" s="117" t="str">
        <f>IF(AB5202=1,COUNTIF($AB$3:AB5202,1),"")</f>
        <v/>
      </c>
      <c r="AD5202" s="117" t="str">
        <f>IFERROR(INDEX($AA$3:$AA$10000,MATCH(ROWS($AC$3:AC5202),$AC$3:$AC$10000,0)),"")</f>
        <v/>
      </c>
    </row>
    <row r="5203" spans="27:30">
      <c r="AA5203" s="117">
        <f>+'Ingredient List - Mother Tinctu'!D5204</f>
        <v>0</v>
      </c>
      <c r="AB5203" s="117">
        <f t="shared" si="84"/>
        <v>0</v>
      </c>
      <c r="AC5203" s="117" t="str">
        <f>IF(AB5203=1,COUNTIF($AB$3:AB5203,1),"")</f>
        <v/>
      </c>
      <c r="AD5203" s="117" t="str">
        <f>IFERROR(INDEX($AA$3:$AA$10000,MATCH(ROWS($AC$3:AC5203),$AC$3:$AC$10000,0)),"")</f>
        <v/>
      </c>
    </row>
    <row r="5204" spans="27:30">
      <c r="AA5204" s="117">
        <f>+'Ingredient List - Mother Tinctu'!D5205</f>
        <v>0</v>
      </c>
      <c r="AB5204" s="117">
        <f t="shared" si="84"/>
        <v>0</v>
      </c>
      <c r="AC5204" s="117" t="str">
        <f>IF(AB5204=1,COUNTIF($AB$3:AB5204,1),"")</f>
        <v/>
      </c>
      <c r="AD5204" s="117" t="str">
        <f>IFERROR(INDEX($AA$3:$AA$10000,MATCH(ROWS($AC$3:AC5204),$AC$3:$AC$10000,0)),"")</f>
        <v/>
      </c>
    </row>
    <row r="5205" spans="27:30">
      <c r="AA5205" s="117">
        <f>+'Ingredient List - Mother Tinctu'!D5206</f>
        <v>0</v>
      </c>
      <c r="AB5205" s="117">
        <f t="shared" si="84"/>
        <v>0</v>
      </c>
      <c r="AC5205" s="117" t="str">
        <f>IF(AB5205=1,COUNTIF($AB$3:AB5205,1),"")</f>
        <v/>
      </c>
      <c r="AD5205" s="117" t="str">
        <f>IFERROR(INDEX($AA$3:$AA$10000,MATCH(ROWS($AC$3:AC5205),$AC$3:$AC$10000,0)),"")</f>
        <v/>
      </c>
    </row>
    <row r="5206" spans="27:30">
      <c r="AA5206" s="117">
        <f>+'Ingredient List - Mother Tinctu'!D5207</f>
        <v>0</v>
      </c>
      <c r="AB5206" s="117">
        <f t="shared" si="84"/>
        <v>0</v>
      </c>
      <c r="AC5206" s="117" t="str">
        <f>IF(AB5206=1,COUNTIF($AB$3:AB5206,1),"")</f>
        <v/>
      </c>
      <c r="AD5206" s="117" t="str">
        <f>IFERROR(INDEX($AA$3:$AA$10000,MATCH(ROWS($AC$3:AC5206),$AC$3:$AC$10000,0)),"")</f>
        <v/>
      </c>
    </row>
    <row r="5207" spans="27:30">
      <c r="AA5207" s="117">
        <f>+'Ingredient List - Mother Tinctu'!D5208</f>
        <v>0</v>
      </c>
      <c r="AB5207" s="117">
        <f t="shared" si="84"/>
        <v>0</v>
      </c>
      <c r="AC5207" s="117" t="str">
        <f>IF(AB5207=1,COUNTIF($AB$3:AB5207,1),"")</f>
        <v/>
      </c>
      <c r="AD5207" s="117" t="str">
        <f>IFERROR(INDEX($AA$3:$AA$10000,MATCH(ROWS($AC$3:AC5207),$AC$3:$AC$10000,0)),"")</f>
        <v/>
      </c>
    </row>
    <row r="5208" spans="27:30">
      <c r="AA5208" s="117">
        <f>+'Ingredient List - Mother Tinctu'!D5209</f>
        <v>0</v>
      </c>
      <c r="AB5208" s="117">
        <f t="shared" si="84"/>
        <v>0</v>
      </c>
      <c r="AC5208" s="117" t="str">
        <f>IF(AB5208=1,COUNTIF($AB$3:AB5208,1),"")</f>
        <v/>
      </c>
      <c r="AD5208" s="117" t="str">
        <f>IFERROR(INDEX($AA$3:$AA$10000,MATCH(ROWS($AC$3:AC5208),$AC$3:$AC$10000,0)),"")</f>
        <v/>
      </c>
    </row>
    <row r="5209" spans="27:30">
      <c r="AA5209" s="117">
        <f>+'Ingredient List - Mother Tinctu'!D5210</f>
        <v>0</v>
      </c>
      <c r="AB5209" s="117">
        <f t="shared" si="84"/>
        <v>0</v>
      </c>
      <c r="AC5209" s="117" t="str">
        <f>IF(AB5209=1,COUNTIF($AB$3:AB5209,1),"")</f>
        <v/>
      </c>
      <c r="AD5209" s="117" t="str">
        <f>IFERROR(INDEX($AA$3:$AA$10000,MATCH(ROWS($AC$3:AC5209),$AC$3:$AC$10000,0)),"")</f>
        <v/>
      </c>
    </row>
    <row r="5210" spans="27:30">
      <c r="AA5210" s="117">
        <f>+'Ingredient List - Mother Tinctu'!D5211</f>
        <v>0</v>
      </c>
      <c r="AB5210" s="117">
        <f t="shared" si="84"/>
        <v>0</v>
      </c>
      <c r="AC5210" s="117" t="str">
        <f>IF(AB5210=1,COUNTIF($AB$3:AB5210,1),"")</f>
        <v/>
      </c>
      <c r="AD5210" s="117" t="str">
        <f>IFERROR(INDEX($AA$3:$AA$10000,MATCH(ROWS($AC$3:AC5210),$AC$3:$AC$10000,0)),"")</f>
        <v/>
      </c>
    </row>
    <row r="5211" spans="27:30">
      <c r="AA5211" s="117">
        <f>+'Ingredient List - Mother Tinctu'!D5212</f>
        <v>0</v>
      </c>
      <c r="AB5211" s="117">
        <f t="shared" si="84"/>
        <v>0</v>
      </c>
      <c r="AC5211" s="117" t="str">
        <f>IF(AB5211=1,COUNTIF($AB$3:AB5211,1),"")</f>
        <v/>
      </c>
      <c r="AD5211" s="117" t="str">
        <f>IFERROR(INDEX($AA$3:$AA$10000,MATCH(ROWS($AC$3:AC5211),$AC$3:$AC$10000,0)),"")</f>
        <v/>
      </c>
    </row>
    <row r="5212" spans="27:30">
      <c r="AA5212" s="117">
        <f>+'Ingredient List - Mother Tinctu'!D5213</f>
        <v>0</v>
      </c>
      <c r="AB5212" s="117">
        <f t="shared" si="84"/>
        <v>0</v>
      </c>
      <c r="AC5212" s="117" t="str">
        <f>IF(AB5212=1,COUNTIF($AB$3:AB5212,1),"")</f>
        <v/>
      </c>
      <c r="AD5212" s="117" t="str">
        <f>IFERROR(INDEX($AA$3:$AA$10000,MATCH(ROWS($AC$3:AC5212),$AC$3:$AC$10000,0)),"")</f>
        <v/>
      </c>
    </row>
    <row r="5213" spans="27:30">
      <c r="AA5213" s="117">
        <f>+'Ingredient List - Mother Tinctu'!D5214</f>
        <v>0</v>
      </c>
      <c r="AB5213" s="117">
        <f t="shared" si="84"/>
        <v>0</v>
      </c>
      <c r="AC5213" s="117" t="str">
        <f>IF(AB5213=1,COUNTIF($AB$3:AB5213,1),"")</f>
        <v/>
      </c>
      <c r="AD5213" s="117" t="str">
        <f>IFERROR(INDEX($AA$3:$AA$10000,MATCH(ROWS($AC$3:AC5213),$AC$3:$AC$10000,0)),"")</f>
        <v/>
      </c>
    </row>
    <row r="5214" spans="27:30">
      <c r="AA5214" s="117">
        <f>+'Ingredient List - Mother Tinctu'!D5215</f>
        <v>0</v>
      </c>
      <c r="AB5214" s="117">
        <f t="shared" si="84"/>
        <v>0</v>
      </c>
      <c r="AC5214" s="117" t="str">
        <f>IF(AB5214=1,COUNTIF($AB$3:AB5214,1),"")</f>
        <v/>
      </c>
      <c r="AD5214" s="117" t="str">
        <f>IFERROR(INDEX($AA$3:$AA$10000,MATCH(ROWS($AC$3:AC5214),$AC$3:$AC$10000,0)),"")</f>
        <v/>
      </c>
    </row>
    <row r="5215" spans="27:30">
      <c r="AA5215" s="117">
        <f>+'Ingredient List - Mother Tinctu'!D5216</f>
        <v>0</v>
      </c>
      <c r="AB5215" s="117">
        <f t="shared" si="84"/>
        <v>0</v>
      </c>
      <c r="AC5215" s="117" t="str">
        <f>IF(AB5215=1,COUNTIF($AB$3:AB5215,1),"")</f>
        <v/>
      </c>
      <c r="AD5215" s="117" t="str">
        <f>IFERROR(INDEX($AA$3:$AA$10000,MATCH(ROWS($AC$3:AC5215),$AC$3:$AC$10000,0)),"")</f>
        <v/>
      </c>
    </row>
    <row r="5216" spans="27:30">
      <c r="AA5216" s="117">
        <f>+'Ingredient List - Mother Tinctu'!D5217</f>
        <v>0</v>
      </c>
      <c r="AB5216" s="117">
        <f t="shared" si="84"/>
        <v>0</v>
      </c>
      <c r="AC5216" s="117" t="str">
        <f>IF(AB5216=1,COUNTIF($AB$3:AB5216,1),"")</f>
        <v/>
      </c>
      <c r="AD5216" s="117" t="str">
        <f>IFERROR(INDEX($AA$3:$AA$10000,MATCH(ROWS($AC$3:AC5216),$AC$3:$AC$10000,0)),"")</f>
        <v/>
      </c>
    </row>
    <row r="5217" spans="27:30">
      <c r="AA5217" s="117">
        <f>+'Ingredient List - Mother Tinctu'!D5218</f>
        <v>0</v>
      </c>
      <c r="AB5217" s="117">
        <f t="shared" si="84"/>
        <v>0</v>
      </c>
      <c r="AC5217" s="117" t="str">
        <f>IF(AB5217=1,COUNTIF($AB$3:AB5217,1),"")</f>
        <v/>
      </c>
      <c r="AD5217" s="117" t="str">
        <f>IFERROR(INDEX($AA$3:$AA$10000,MATCH(ROWS($AC$3:AC5217),$AC$3:$AC$10000,0)),"")</f>
        <v/>
      </c>
    </row>
    <row r="5218" spans="27:30">
      <c r="AA5218" s="117">
        <f>+'Ingredient List - Mother Tinctu'!D5219</f>
        <v>0</v>
      </c>
      <c r="AB5218" s="117">
        <f t="shared" si="84"/>
        <v>0</v>
      </c>
      <c r="AC5218" s="117" t="str">
        <f>IF(AB5218=1,COUNTIF($AB$3:AB5218,1),"")</f>
        <v/>
      </c>
      <c r="AD5218" s="117" t="str">
        <f>IFERROR(INDEX($AA$3:$AA$10000,MATCH(ROWS($AC$3:AC5218),$AC$3:$AC$10000,0)),"")</f>
        <v/>
      </c>
    </row>
    <row r="5219" spans="27:30">
      <c r="AA5219" s="117">
        <f>+'Ingredient List - Mother Tinctu'!D5220</f>
        <v>0</v>
      </c>
      <c r="AB5219" s="117">
        <f t="shared" si="84"/>
        <v>0</v>
      </c>
      <c r="AC5219" s="117" t="str">
        <f>IF(AB5219=1,COUNTIF($AB$3:AB5219,1),"")</f>
        <v/>
      </c>
      <c r="AD5219" s="117" t="str">
        <f>IFERROR(INDEX($AA$3:$AA$10000,MATCH(ROWS($AC$3:AC5219),$AC$3:$AC$10000,0)),"")</f>
        <v/>
      </c>
    </row>
    <row r="5220" spans="27:30">
      <c r="AA5220" s="117">
        <f>+'Ingredient List - Mother Tinctu'!D5221</f>
        <v>0</v>
      </c>
      <c r="AB5220" s="117">
        <f t="shared" si="84"/>
        <v>0</v>
      </c>
      <c r="AC5220" s="117" t="str">
        <f>IF(AB5220=1,COUNTIF($AB$3:AB5220,1),"")</f>
        <v/>
      </c>
      <c r="AD5220" s="117" t="str">
        <f>IFERROR(INDEX($AA$3:$AA$10000,MATCH(ROWS($AC$3:AC5220),$AC$3:$AC$10000,0)),"")</f>
        <v/>
      </c>
    </row>
    <row r="5221" spans="27:30">
      <c r="AA5221" s="117">
        <f>+'Ingredient List - Mother Tinctu'!D5222</f>
        <v>0</v>
      </c>
      <c r="AB5221" s="117">
        <f t="shared" si="84"/>
        <v>0</v>
      </c>
      <c r="AC5221" s="117" t="str">
        <f>IF(AB5221=1,COUNTIF($AB$3:AB5221,1),"")</f>
        <v/>
      </c>
      <c r="AD5221" s="117" t="str">
        <f>IFERROR(INDEX($AA$3:$AA$10000,MATCH(ROWS($AC$3:AC5221),$AC$3:$AC$10000,0)),"")</f>
        <v/>
      </c>
    </row>
    <row r="5222" spans="27:30">
      <c r="AA5222" s="117">
        <f>+'Ingredient List - Mother Tinctu'!D5223</f>
        <v>0</v>
      </c>
      <c r="AB5222" s="117">
        <f t="shared" si="84"/>
        <v>0</v>
      </c>
      <c r="AC5222" s="117" t="str">
        <f>IF(AB5222=1,COUNTIF($AB$3:AB5222,1),"")</f>
        <v/>
      </c>
      <c r="AD5222" s="117" t="str">
        <f>IFERROR(INDEX($AA$3:$AA$10000,MATCH(ROWS($AC$3:AC5222),$AC$3:$AC$10000,0)),"")</f>
        <v/>
      </c>
    </row>
    <row r="5223" spans="27:30">
      <c r="AA5223" s="117">
        <f>+'Ingredient List - Mother Tinctu'!D5224</f>
        <v>0</v>
      </c>
      <c r="AB5223" s="117">
        <f t="shared" si="84"/>
        <v>0</v>
      </c>
      <c r="AC5223" s="117" t="str">
        <f>IF(AB5223=1,COUNTIF($AB$3:AB5223,1),"")</f>
        <v/>
      </c>
      <c r="AD5223" s="117" t="str">
        <f>IFERROR(INDEX($AA$3:$AA$10000,MATCH(ROWS($AC$3:AC5223),$AC$3:$AC$10000,0)),"")</f>
        <v/>
      </c>
    </row>
    <row r="5224" spans="27:30">
      <c r="AA5224" s="117">
        <f>+'Ingredient List - Mother Tinctu'!D5225</f>
        <v>0</v>
      </c>
      <c r="AB5224" s="117">
        <f t="shared" si="84"/>
        <v>0</v>
      </c>
      <c r="AC5224" s="117" t="str">
        <f>IF(AB5224=1,COUNTIF($AB$3:AB5224,1),"")</f>
        <v/>
      </c>
      <c r="AD5224" s="117" t="str">
        <f>IFERROR(INDEX($AA$3:$AA$10000,MATCH(ROWS($AC$3:AC5224),$AC$3:$AC$10000,0)),"")</f>
        <v/>
      </c>
    </row>
    <row r="5225" spans="27:30">
      <c r="AA5225" s="117">
        <f>+'Ingredient List - Mother Tinctu'!D5226</f>
        <v>0</v>
      </c>
      <c r="AB5225" s="117">
        <f t="shared" si="84"/>
        <v>0</v>
      </c>
      <c r="AC5225" s="117" t="str">
        <f>IF(AB5225=1,COUNTIF($AB$3:AB5225,1),"")</f>
        <v/>
      </c>
      <c r="AD5225" s="117" t="str">
        <f>IFERROR(INDEX($AA$3:$AA$10000,MATCH(ROWS($AC$3:AC5225),$AC$3:$AC$10000,0)),"")</f>
        <v/>
      </c>
    </row>
    <row r="5226" spans="27:30">
      <c r="AA5226" s="117">
        <f>+'Ingredient List - Mother Tinctu'!D5227</f>
        <v>0</v>
      </c>
      <c r="AB5226" s="117">
        <f t="shared" si="84"/>
        <v>0</v>
      </c>
      <c r="AC5226" s="117" t="str">
        <f>IF(AB5226=1,COUNTIF($AB$3:AB5226,1),"")</f>
        <v/>
      </c>
      <c r="AD5226" s="117" t="str">
        <f>IFERROR(INDEX($AA$3:$AA$10000,MATCH(ROWS($AC$3:AC5226),$AC$3:$AC$10000,0)),"")</f>
        <v/>
      </c>
    </row>
    <row r="5227" spans="27:30">
      <c r="AA5227" s="117">
        <f>+'Ingredient List - Mother Tinctu'!D5228</f>
        <v>0</v>
      </c>
      <c r="AB5227" s="117">
        <f t="shared" si="84"/>
        <v>0</v>
      </c>
      <c r="AC5227" s="117" t="str">
        <f>IF(AB5227=1,COUNTIF($AB$3:AB5227,1),"")</f>
        <v/>
      </c>
      <c r="AD5227" s="117" t="str">
        <f>IFERROR(INDEX($AA$3:$AA$10000,MATCH(ROWS($AC$3:AC5227),$AC$3:$AC$10000,0)),"")</f>
        <v/>
      </c>
    </row>
    <row r="5228" spans="27:30">
      <c r="AA5228" s="117">
        <f>+'Ingredient List - Mother Tinctu'!D5229</f>
        <v>0</v>
      </c>
      <c r="AB5228" s="117">
        <f t="shared" si="84"/>
        <v>0</v>
      </c>
      <c r="AC5228" s="117" t="str">
        <f>IF(AB5228=1,COUNTIF($AB$3:AB5228,1),"")</f>
        <v/>
      </c>
      <c r="AD5228" s="117" t="str">
        <f>IFERROR(INDEX($AA$3:$AA$10000,MATCH(ROWS($AC$3:AC5228),$AC$3:$AC$10000,0)),"")</f>
        <v/>
      </c>
    </row>
    <row r="5229" spans="27:30">
      <c r="AA5229" s="117">
        <f>+'Ingredient List - Mother Tinctu'!D5230</f>
        <v>0</v>
      </c>
      <c r="AB5229" s="117">
        <f t="shared" si="84"/>
        <v>0</v>
      </c>
      <c r="AC5229" s="117" t="str">
        <f>IF(AB5229=1,COUNTIF($AB$3:AB5229,1),"")</f>
        <v/>
      </c>
      <c r="AD5229" s="117" t="str">
        <f>IFERROR(INDEX($AA$3:$AA$10000,MATCH(ROWS($AC$3:AC5229),$AC$3:$AC$10000,0)),"")</f>
        <v/>
      </c>
    </row>
    <row r="5230" spans="27:30">
      <c r="AA5230" s="117">
        <f>+'Ingredient List - Mother Tinctu'!D5231</f>
        <v>0</v>
      </c>
      <c r="AB5230" s="117">
        <f t="shared" si="84"/>
        <v>0</v>
      </c>
      <c r="AC5230" s="117" t="str">
        <f>IF(AB5230=1,COUNTIF($AB$3:AB5230,1),"")</f>
        <v/>
      </c>
      <c r="AD5230" s="117" t="str">
        <f>IFERROR(INDEX($AA$3:$AA$10000,MATCH(ROWS($AC$3:AC5230),$AC$3:$AC$10000,0)),"")</f>
        <v/>
      </c>
    </row>
    <row r="5231" spans="27:30">
      <c r="AA5231" s="117">
        <f>+'Ingredient List - Mother Tinctu'!D5232</f>
        <v>0</v>
      </c>
      <c r="AB5231" s="117">
        <f t="shared" si="84"/>
        <v>0</v>
      </c>
      <c r="AC5231" s="117" t="str">
        <f>IF(AB5231=1,COUNTIF($AB$3:AB5231,1),"")</f>
        <v/>
      </c>
      <c r="AD5231" s="117" t="str">
        <f>IFERROR(INDEX($AA$3:$AA$10000,MATCH(ROWS($AC$3:AC5231),$AC$3:$AC$10000,0)),"")</f>
        <v/>
      </c>
    </row>
    <row r="5232" spans="27:30">
      <c r="AA5232" s="117">
        <f>+'Ingredient List - Mother Tinctu'!D5233</f>
        <v>0</v>
      </c>
      <c r="AB5232" s="117">
        <f t="shared" si="84"/>
        <v>0</v>
      </c>
      <c r="AC5232" s="117" t="str">
        <f>IF(AB5232=1,COUNTIF($AB$3:AB5232,1),"")</f>
        <v/>
      </c>
      <c r="AD5232" s="117" t="str">
        <f>IFERROR(INDEX($AA$3:$AA$10000,MATCH(ROWS($AC$3:AC5232),$AC$3:$AC$10000,0)),"")</f>
        <v/>
      </c>
    </row>
    <row r="5233" spans="27:30">
      <c r="AA5233" s="117">
        <f>+'Ingredient List - Mother Tinctu'!D5234</f>
        <v>0</v>
      </c>
      <c r="AB5233" s="117">
        <f t="shared" si="84"/>
        <v>0</v>
      </c>
      <c r="AC5233" s="117" t="str">
        <f>IF(AB5233=1,COUNTIF($AB$3:AB5233,1),"")</f>
        <v/>
      </c>
      <c r="AD5233" s="117" t="str">
        <f>IFERROR(INDEX($AA$3:$AA$10000,MATCH(ROWS($AC$3:AC5233),$AC$3:$AC$10000,0)),"")</f>
        <v/>
      </c>
    </row>
    <row r="5234" spans="27:30">
      <c r="AA5234" s="117">
        <f>+'Ingredient List - Mother Tinctu'!D5235</f>
        <v>0</v>
      </c>
      <c r="AB5234" s="117">
        <f t="shared" si="84"/>
        <v>0</v>
      </c>
      <c r="AC5234" s="117" t="str">
        <f>IF(AB5234=1,COUNTIF($AB$3:AB5234,1),"")</f>
        <v/>
      </c>
      <c r="AD5234" s="117" t="str">
        <f>IFERROR(INDEX($AA$3:$AA$10000,MATCH(ROWS($AC$3:AC5234),$AC$3:$AC$10000,0)),"")</f>
        <v/>
      </c>
    </row>
    <row r="5235" spans="27:30">
      <c r="AA5235" s="117">
        <f>+'Ingredient List - Mother Tinctu'!D5236</f>
        <v>0</v>
      </c>
      <c r="AB5235" s="117">
        <f t="shared" si="84"/>
        <v>0</v>
      </c>
      <c r="AC5235" s="117" t="str">
        <f>IF(AB5235=1,COUNTIF($AB$3:AB5235,1),"")</f>
        <v/>
      </c>
      <c r="AD5235" s="117" t="str">
        <f>IFERROR(INDEX($AA$3:$AA$10000,MATCH(ROWS($AC$3:AC5235),$AC$3:$AC$10000,0)),"")</f>
        <v/>
      </c>
    </row>
    <row r="5236" spans="27:30">
      <c r="AA5236" s="117">
        <f>+'Ingredient List - Mother Tinctu'!D5237</f>
        <v>0</v>
      </c>
      <c r="AB5236" s="117">
        <f t="shared" si="84"/>
        <v>0</v>
      </c>
      <c r="AC5236" s="117" t="str">
        <f>IF(AB5236=1,COUNTIF($AB$3:AB5236,1),"")</f>
        <v/>
      </c>
      <c r="AD5236" s="117" t="str">
        <f>IFERROR(INDEX($AA$3:$AA$10000,MATCH(ROWS($AC$3:AC5236),$AC$3:$AC$10000,0)),"")</f>
        <v/>
      </c>
    </row>
    <row r="5237" spans="27:30">
      <c r="AA5237" s="117">
        <f>+'Ingredient List - Mother Tinctu'!D5238</f>
        <v>0</v>
      </c>
      <c r="AB5237" s="117">
        <f t="shared" si="84"/>
        <v>0</v>
      </c>
      <c r="AC5237" s="117" t="str">
        <f>IF(AB5237=1,COUNTIF($AB$3:AB5237,1),"")</f>
        <v/>
      </c>
      <c r="AD5237" s="117" t="str">
        <f>IFERROR(INDEX($AA$3:$AA$10000,MATCH(ROWS($AC$3:AC5237),$AC$3:$AC$10000,0)),"")</f>
        <v/>
      </c>
    </row>
    <row r="5238" spans="27:30">
      <c r="AA5238" s="117">
        <f>+'Ingredient List - Mother Tinctu'!D5239</f>
        <v>0</v>
      </c>
      <c r="AB5238" s="117">
        <f t="shared" si="84"/>
        <v>0</v>
      </c>
      <c r="AC5238" s="117" t="str">
        <f>IF(AB5238=1,COUNTIF($AB$3:AB5238,1),"")</f>
        <v/>
      </c>
      <c r="AD5238" s="117" t="str">
        <f>IFERROR(INDEX($AA$3:$AA$10000,MATCH(ROWS($AC$3:AC5238),$AC$3:$AC$10000,0)),"")</f>
        <v/>
      </c>
    </row>
    <row r="5239" spans="27:30">
      <c r="AA5239" s="117">
        <f>+'Ingredient List - Mother Tinctu'!D5240</f>
        <v>0</v>
      </c>
      <c r="AB5239" s="117">
        <f t="shared" si="84"/>
        <v>0</v>
      </c>
      <c r="AC5239" s="117" t="str">
        <f>IF(AB5239=1,COUNTIF($AB$3:AB5239,1),"")</f>
        <v/>
      </c>
      <c r="AD5239" s="117" t="str">
        <f>IFERROR(INDEX($AA$3:$AA$10000,MATCH(ROWS($AC$3:AC5239),$AC$3:$AC$10000,0)),"")</f>
        <v/>
      </c>
    </row>
    <row r="5240" spans="27:30">
      <c r="AA5240" s="117">
        <f>+'Ingredient List - Mother Tinctu'!D5241</f>
        <v>0</v>
      </c>
      <c r="AB5240" s="117">
        <f t="shared" si="84"/>
        <v>0</v>
      </c>
      <c r="AC5240" s="117" t="str">
        <f>IF(AB5240=1,COUNTIF($AB$3:AB5240,1),"")</f>
        <v/>
      </c>
      <c r="AD5240" s="117" t="str">
        <f>IFERROR(INDEX($AA$3:$AA$10000,MATCH(ROWS($AC$3:AC5240),$AC$3:$AC$10000,0)),"")</f>
        <v/>
      </c>
    </row>
    <row r="5241" spans="27:30">
      <c r="AA5241" s="117">
        <f>+'Ingredient List - Mother Tinctu'!D5242</f>
        <v>0</v>
      </c>
      <c r="AB5241" s="117">
        <f t="shared" si="84"/>
        <v>0</v>
      </c>
      <c r="AC5241" s="117" t="str">
        <f>IF(AB5241=1,COUNTIF($AB$3:AB5241,1),"")</f>
        <v/>
      </c>
      <c r="AD5241" s="117" t="str">
        <f>IFERROR(INDEX($AA$3:$AA$10000,MATCH(ROWS($AC$3:AC5241),$AC$3:$AC$10000,0)),"")</f>
        <v/>
      </c>
    </row>
    <row r="5242" spans="27:30">
      <c r="AA5242" s="117">
        <f>+'Ingredient List - Mother Tinctu'!D5243</f>
        <v>0</v>
      </c>
      <c r="AB5242" s="117">
        <f t="shared" si="84"/>
        <v>0</v>
      </c>
      <c r="AC5242" s="117" t="str">
        <f>IF(AB5242=1,COUNTIF($AB$3:AB5242,1),"")</f>
        <v/>
      </c>
      <c r="AD5242" s="117" t="str">
        <f>IFERROR(INDEX($AA$3:$AA$10000,MATCH(ROWS($AC$3:AC5242),$AC$3:$AC$10000,0)),"")</f>
        <v/>
      </c>
    </row>
    <row r="5243" spans="27:30">
      <c r="AA5243" s="117">
        <f>+'Ingredient List - Mother Tinctu'!D5244</f>
        <v>0</v>
      </c>
      <c r="AB5243" s="117">
        <f t="shared" si="84"/>
        <v>0</v>
      </c>
      <c r="AC5243" s="117" t="str">
        <f>IF(AB5243=1,COUNTIF($AB$3:AB5243,1),"")</f>
        <v/>
      </c>
      <c r="AD5243" s="117" t="str">
        <f>IFERROR(INDEX($AA$3:$AA$10000,MATCH(ROWS($AC$3:AC5243),$AC$3:$AC$10000,0)),"")</f>
        <v/>
      </c>
    </row>
    <row r="5244" spans="27:30">
      <c r="AA5244" s="117">
        <f>+'Ingredient List - Mother Tinctu'!D5245</f>
        <v>0</v>
      </c>
      <c r="AB5244" s="117">
        <f t="shared" si="84"/>
        <v>0</v>
      </c>
      <c r="AC5244" s="117" t="str">
        <f>IF(AB5244=1,COUNTIF($AB$3:AB5244,1),"")</f>
        <v/>
      </c>
      <c r="AD5244" s="117" t="str">
        <f>IFERROR(INDEX($AA$3:$AA$10000,MATCH(ROWS($AC$3:AC5244),$AC$3:$AC$10000,0)),"")</f>
        <v/>
      </c>
    </row>
    <row r="5245" spans="27:30">
      <c r="AA5245" s="117">
        <f>+'Ingredient List - Mother Tinctu'!D5246</f>
        <v>0</v>
      </c>
      <c r="AB5245" s="117">
        <f t="shared" si="84"/>
        <v>0</v>
      </c>
      <c r="AC5245" s="117" t="str">
        <f>IF(AB5245=1,COUNTIF($AB$3:AB5245,1),"")</f>
        <v/>
      </c>
      <c r="AD5245" s="117" t="str">
        <f>IFERROR(INDEX($AA$3:$AA$10000,MATCH(ROWS($AC$3:AC5245),$AC$3:$AC$10000,0)),"")</f>
        <v/>
      </c>
    </row>
    <row r="5246" spans="27:30">
      <c r="AA5246" s="117">
        <f>+'Ingredient List - Mother Tinctu'!D5247</f>
        <v>0</v>
      </c>
      <c r="AB5246" s="117">
        <f t="shared" si="84"/>
        <v>0</v>
      </c>
      <c r="AC5246" s="117" t="str">
        <f>IF(AB5246=1,COUNTIF($AB$3:AB5246,1),"")</f>
        <v/>
      </c>
      <c r="AD5246" s="117" t="str">
        <f>IFERROR(INDEX($AA$3:$AA$10000,MATCH(ROWS($AC$3:AC5246),$AC$3:$AC$10000,0)),"")</f>
        <v/>
      </c>
    </row>
    <row r="5247" spans="27:30">
      <c r="AA5247" s="117">
        <f>+'Ingredient List - Mother Tinctu'!D5248</f>
        <v>0</v>
      </c>
      <c r="AB5247" s="117">
        <f t="shared" si="84"/>
        <v>0</v>
      </c>
      <c r="AC5247" s="117" t="str">
        <f>IF(AB5247=1,COUNTIF($AB$3:AB5247,1),"")</f>
        <v/>
      </c>
      <c r="AD5247" s="117" t="str">
        <f>IFERROR(INDEX($AA$3:$AA$10000,MATCH(ROWS($AC$3:AC5247),$AC$3:$AC$10000,0)),"")</f>
        <v/>
      </c>
    </row>
    <row r="5248" spans="27:30">
      <c r="AA5248" s="117">
        <f>+'Ingredient List - Mother Tinctu'!D5249</f>
        <v>0</v>
      </c>
      <c r="AB5248" s="117">
        <f t="shared" si="84"/>
        <v>0</v>
      </c>
      <c r="AC5248" s="117" t="str">
        <f>IF(AB5248=1,COUNTIF($AB$3:AB5248,1),"")</f>
        <v/>
      </c>
      <c r="AD5248" s="117" t="str">
        <f>IFERROR(INDEX($AA$3:$AA$10000,MATCH(ROWS($AC$3:AC5248),$AC$3:$AC$10000,0)),"")</f>
        <v/>
      </c>
    </row>
    <row r="5249" spans="27:30">
      <c r="AA5249" s="117">
        <f>+'Ingredient List - Mother Tinctu'!D5250</f>
        <v>0</v>
      </c>
      <c r="AB5249" s="117">
        <f t="shared" si="84"/>
        <v>0</v>
      </c>
      <c r="AC5249" s="117" t="str">
        <f>IF(AB5249=1,COUNTIF($AB$3:AB5249,1),"")</f>
        <v/>
      </c>
      <c r="AD5249" s="117" t="str">
        <f>IFERROR(INDEX($AA$3:$AA$10000,MATCH(ROWS($AC$3:AC5249),$AC$3:$AC$10000,0)),"")</f>
        <v/>
      </c>
    </row>
    <row r="5250" spans="27:30">
      <c r="AA5250" s="117">
        <f>+'Ingredient List - Mother Tinctu'!D5251</f>
        <v>0</v>
      </c>
      <c r="AB5250" s="117">
        <f t="shared" si="84"/>
        <v>0</v>
      </c>
      <c r="AC5250" s="117" t="str">
        <f>IF(AB5250=1,COUNTIF($AB$3:AB5250,1),"")</f>
        <v/>
      </c>
      <c r="AD5250" s="117" t="str">
        <f>IFERROR(INDEX($AA$3:$AA$10000,MATCH(ROWS($AC$3:AC5250),$AC$3:$AC$10000,0)),"")</f>
        <v/>
      </c>
    </row>
    <row r="5251" spans="27:30">
      <c r="AA5251" s="117">
        <f>+'Ingredient List - Mother Tinctu'!D5252</f>
        <v>0</v>
      </c>
      <c r="AB5251" s="117">
        <f t="shared" si="84"/>
        <v>0</v>
      </c>
      <c r="AC5251" s="117" t="str">
        <f>IF(AB5251=1,COUNTIF($AB$3:AB5251,1),"")</f>
        <v/>
      </c>
      <c r="AD5251" s="117" t="str">
        <f>IFERROR(INDEX($AA$3:$AA$10000,MATCH(ROWS($AC$3:AC5251),$AC$3:$AC$10000,0)),"")</f>
        <v/>
      </c>
    </row>
    <row r="5252" spans="27:30">
      <c r="AA5252" s="117">
        <f>+'Ingredient List - Mother Tinctu'!D5253</f>
        <v>0</v>
      </c>
      <c r="AB5252" s="117">
        <f t="shared" ref="AB5252:AB5315" si="85">--ISNUMBER(IFERROR(SEARCH($D$3,AA5252,1),""))</f>
        <v>0</v>
      </c>
      <c r="AC5252" s="117" t="str">
        <f>IF(AB5252=1,COUNTIF($AB$3:AB5252,1),"")</f>
        <v/>
      </c>
      <c r="AD5252" s="117" t="str">
        <f>IFERROR(INDEX($AA$3:$AA$10000,MATCH(ROWS($AC$3:AC5252),$AC$3:$AC$10000,0)),"")</f>
        <v/>
      </c>
    </row>
    <row r="5253" spans="27:30">
      <c r="AA5253" s="117">
        <f>+'Ingredient List - Mother Tinctu'!D5254</f>
        <v>0</v>
      </c>
      <c r="AB5253" s="117">
        <f t="shared" si="85"/>
        <v>0</v>
      </c>
      <c r="AC5253" s="117" t="str">
        <f>IF(AB5253=1,COUNTIF($AB$3:AB5253,1),"")</f>
        <v/>
      </c>
      <c r="AD5253" s="117" t="str">
        <f>IFERROR(INDEX($AA$3:$AA$10000,MATCH(ROWS($AC$3:AC5253),$AC$3:$AC$10000,0)),"")</f>
        <v/>
      </c>
    </row>
    <row r="5254" spans="27:30">
      <c r="AA5254" s="117">
        <f>+'Ingredient List - Mother Tinctu'!D5255</f>
        <v>0</v>
      </c>
      <c r="AB5254" s="117">
        <f t="shared" si="85"/>
        <v>0</v>
      </c>
      <c r="AC5254" s="117" t="str">
        <f>IF(AB5254=1,COUNTIF($AB$3:AB5254,1),"")</f>
        <v/>
      </c>
      <c r="AD5254" s="117" t="str">
        <f>IFERROR(INDEX($AA$3:$AA$10000,MATCH(ROWS($AC$3:AC5254),$AC$3:$AC$10000,0)),"")</f>
        <v/>
      </c>
    </row>
    <row r="5255" spans="27:30">
      <c r="AA5255" s="117">
        <f>+'Ingredient List - Mother Tinctu'!D5256</f>
        <v>0</v>
      </c>
      <c r="AB5255" s="117">
        <f t="shared" si="85"/>
        <v>0</v>
      </c>
      <c r="AC5255" s="117" t="str">
        <f>IF(AB5255=1,COUNTIF($AB$3:AB5255,1),"")</f>
        <v/>
      </c>
      <c r="AD5255" s="117" t="str">
        <f>IFERROR(INDEX($AA$3:$AA$10000,MATCH(ROWS($AC$3:AC5255),$AC$3:$AC$10000,0)),"")</f>
        <v/>
      </c>
    </row>
    <row r="5256" spans="27:30">
      <c r="AA5256" s="117">
        <f>+'Ingredient List - Mother Tinctu'!D5257</f>
        <v>0</v>
      </c>
      <c r="AB5256" s="117">
        <f t="shared" si="85"/>
        <v>0</v>
      </c>
      <c r="AC5256" s="117" t="str">
        <f>IF(AB5256=1,COUNTIF($AB$3:AB5256,1),"")</f>
        <v/>
      </c>
      <c r="AD5256" s="117" t="str">
        <f>IFERROR(INDEX($AA$3:$AA$10000,MATCH(ROWS($AC$3:AC5256),$AC$3:$AC$10000,0)),"")</f>
        <v/>
      </c>
    </row>
    <row r="5257" spans="27:30">
      <c r="AA5257" s="117">
        <f>+'Ingredient List - Mother Tinctu'!D5258</f>
        <v>0</v>
      </c>
      <c r="AB5257" s="117">
        <f t="shared" si="85"/>
        <v>0</v>
      </c>
      <c r="AC5257" s="117" t="str">
        <f>IF(AB5257=1,COUNTIF($AB$3:AB5257,1),"")</f>
        <v/>
      </c>
      <c r="AD5257" s="117" t="str">
        <f>IFERROR(INDEX($AA$3:$AA$10000,MATCH(ROWS($AC$3:AC5257),$AC$3:$AC$10000,0)),"")</f>
        <v/>
      </c>
    </row>
    <row r="5258" spans="27:30">
      <c r="AA5258" s="117">
        <f>+'Ingredient List - Mother Tinctu'!D5259</f>
        <v>0</v>
      </c>
      <c r="AB5258" s="117">
        <f t="shared" si="85"/>
        <v>0</v>
      </c>
      <c r="AC5258" s="117" t="str">
        <f>IF(AB5258=1,COUNTIF($AB$3:AB5258,1),"")</f>
        <v/>
      </c>
      <c r="AD5258" s="117" t="str">
        <f>IFERROR(INDEX($AA$3:$AA$10000,MATCH(ROWS($AC$3:AC5258),$AC$3:$AC$10000,0)),"")</f>
        <v/>
      </c>
    </row>
    <row r="5259" spans="27:30">
      <c r="AA5259" s="117">
        <f>+'Ingredient List - Mother Tinctu'!D5260</f>
        <v>0</v>
      </c>
      <c r="AB5259" s="117">
        <f t="shared" si="85"/>
        <v>0</v>
      </c>
      <c r="AC5259" s="117" t="str">
        <f>IF(AB5259=1,COUNTIF($AB$3:AB5259,1),"")</f>
        <v/>
      </c>
      <c r="AD5259" s="117" t="str">
        <f>IFERROR(INDEX($AA$3:$AA$10000,MATCH(ROWS($AC$3:AC5259),$AC$3:$AC$10000,0)),"")</f>
        <v/>
      </c>
    </row>
    <row r="5260" spans="27:30">
      <c r="AA5260" s="117">
        <f>+'Ingredient List - Mother Tinctu'!D5261</f>
        <v>0</v>
      </c>
      <c r="AB5260" s="117">
        <f t="shared" si="85"/>
        <v>0</v>
      </c>
      <c r="AC5260" s="117" t="str">
        <f>IF(AB5260=1,COUNTIF($AB$3:AB5260,1),"")</f>
        <v/>
      </c>
      <c r="AD5260" s="117" t="str">
        <f>IFERROR(INDEX($AA$3:$AA$10000,MATCH(ROWS($AC$3:AC5260),$AC$3:$AC$10000,0)),"")</f>
        <v/>
      </c>
    </row>
    <row r="5261" spans="27:30">
      <c r="AA5261" s="117">
        <f>+'Ingredient List - Mother Tinctu'!D5262</f>
        <v>0</v>
      </c>
      <c r="AB5261" s="117">
        <f t="shared" si="85"/>
        <v>0</v>
      </c>
      <c r="AC5261" s="117" t="str">
        <f>IF(AB5261=1,COUNTIF($AB$3:AB5261,1),"")</f>
        <v/>
      </c>
      <c r="AD5261" s="117" t="str">
        <f>IFERROR(INDEX($AA$3:$AA$10000,MATCH(ROWS($AC$3:AC5261),$AC$3:$AC$10000,0)),"")</f>
        <v/>
      </c>
    </row>
    <row r="5262" spans="27:30">
      <c r="AA5262" s="117">
        <f>+'Ingredient List - Mother Tinctu'!D5263</f>
        <v>0</v>
      </c>
      <c r="AB5262" s="117">
        <f t="shared" si="85"/>
        <v>0</v>
      </c>
      <c r="AC5262" s="117" t="str">
        <f>IF(AB5262=1,COUNTIF($AB$3:AB5262,1),"")</f>
        <v/>
      </c>
      <c r="AD5262" s="117" t="str">
        <f>IFERROR(INDEX($AA$3:$AA$10000,MATCH(ROWS($AC$3:AC5262),$AC$3:$AC$10000,0)),"")</f>
        <v/>
      </c>
    </row>
    <row r="5263" spans="27:30">
      <c r="AA5263" s="117">
        <f>+'Ingredient List - Mother Tinctu'!D5264</f>
        <v>0</v>
      </c>
      <c r="AB5263" s="117">
        <f t="shared" si="85"/>
        <v>0</v>
      </c>
      <c r="AC5263" s="117" t="str">
        <f>IF(AB5263=1,COUNTIF($AB$3:AB5263,1),"")</f>
        <v/>
      </c>
      <c r="AD5263" s="117" t="str">
        <f>IFERROR(INDEX($AA$3:$AA$10000,MATCH(ROWS($AC$3:AC5263),$AC$3:$AC$10000,0)),"")</f>
        <v/>
      </c>
    </row>
    <row r="5264" spans="27:30">
      <c r="AA5264" s="117">
        <f>+'Ingredient List - Mother Tinctu'!D5265</f>
        <v>0</v>
      </c>
      <c r="AB5264" s="117">
        <f t="shared" si="85"/>
        <v>0</v>
      </c>
      <c r="AC5264" s="117" t="str">
        <f>IF(AB5264=1,COUNTIF($AB$3:AB5264,1),"")</f>
        <v/>
      </c>
      <c r="AD5264" s="117" t="str">
        <f>IFERROR(INDEX($AA$3:$AA$10000,MATCH(ROWS($AC$3:AC5264),$AC$3:$AC$10000,0)),"")</f>
        <v/>
      </c>
    </row>
    <row r="5265" spans="27:30">
      <c r="AA5265" s="117">
        <f>+'Ingredient List - Mother Tinctu'!D5266</f>
        <v>0</v>
      </c>
      <c r="AB5265" s="117">
        <f t="shared" si="85"/>
        <v>0</v>
      </c>
      <c r="AC5265" s="117" t="str">
        <f>IF(AB5265=1,COUNTIF($AB$3:AB5265,1),"")</f>
        <v/>
      </c>
      <c r="AD5265" s="117" t="str">
        <f>IFERROR(INDEX($AA$3:$AA$10000,MATCH(ROWS($AC$3:AC5265),$AC$3:$AC$10000,0)),"")</f>
        <v/>
      </c>
    </row>
    <row r="5266" spans="27:30">
      <c r="AA5266" s="117">
        <f>+'Ingredient List - Mother Tinctu'!D5267</f>
        <v>0</v>
      </c>
      <c r="AB5266" s="117">
        <f t="shared" si="85"/>
        <v>0</v>
      </c>
      <c r="AC5266" s="117" t="str">
        <f>IF(AB5266=1,COUNTIF($AB$3:AB5266,1),"")</f>
        <v/>
      </c>
      <c r="AD5266" s="117" t="str">
        <f>IFERROR(INDEX($AA$3:$AA$10000,MATCH(ROWS($AC$3:AC5266),$AC$3:$AC$10000,0)),"")</f>
        <v/>
      </c>
    </row>
    <row r="5267" spans="27:30">
      <c r="AA5267" s="117">
        <f>+'Ingredient List - Mother Tinctu'!D5268</f>
        <v>0</v>
      </c>
      <c r="AB5267" s="117">
        <f t="shared" si="85"/>
        <v>0</v>
      </c>
      <c r="AC5267" s="117" t="str">
        <f>IF(AB5267=1,COUNTIF($AB$3:AB5267,1),"")</f>
        <v/>
      </c>
      <c r="AD5267" s="117" t="str">
        <f>IFERROR(INDEX($AA$3:$AA$10000,MATCH(ROWS($AC$3:AC5267),$AC$3:$AC$10000,0)),"")</f>
        <v/>
      </c>
    </row>
    <row r="5268" spans="27:30">
      <c r="AA5268" s="117">
        <f>+'Ingredient List - Mother Tinctu'!D5269</f>
        <v>0</v>
      </c>
      <c r="AB5268" s="117">
        <f t="shared" si="85"/>
        <v>0</v>
      </c>
      <c r="AC5268" s="117" t="str">
        <f>IF(AB5268=1,COUNTIF($AB$3:AB5268,1),"")</f>
        <v/>
      </c>
      <c r="AD5268" s="117" t="str">
        <f>IFERROR(INDEX($AA$3:$AA$10000,MATCH(ROWS($AC$3:AC5268),$AC$3:$AC$10000,0)),"")</f>
        <v/>
      </c>
    </row>
    <row r="5269" spans="27:30">
      <c r="AA5269" s="117">
        <f>+'Ingredient List - Mother Tinctu'!D5270</f>
        <v>0</v>
      </c>
      <c r="AB5269" s="117">
        <f t="shared" si="85"/>
        <v>0</v>
      </c>
      <c r="AC5269" s="117" t="str">
        <f>IF(AB5269=1,COUNTIF($AB$3:AB5269,1),"")</f>
        <v/>
      </c>
      <c r="AD5269" s="117" t="str">
        <f>IFERROR(INDEX($AA$3:$AA$10000,MATCH(ROWS($AC$3:AC5269),$AC$3:$AC$10000,0)),"")</f>
        <v/>
      </c>
    </row>
    <row r="5270" spans="27:30">
      <c r="AA5270" s="117">
        <f>+'Ingredient List - Mother Tinctu'!D5271</f>
        <v>0</v>
      </c>
      <c r="AB5270" s="117">
        <f t="shared" si="85"/>
        <v>0</v>
      </c>
      <c r="AC5270" s="117" t="str">
        <f>IF(AB5270=1,COUNTIF($AB$3:AB5270,1),"")</f>
        <v/>
      </c>
      <c r="AD5270" s="117" t="str">
        <f>IFERROR(INDEX($AA$3:$AA$10000,MATCH(ROWS($AC$3:AC5270),$AC$3:$AC$10000,0)),"")</f>
        <v/>
      </c>
    </row>
    <row r="5271" spans="27:30">
      <c r="AA5271" s="117">
        <f>+'Ingredient List - Mother Tinctu'!D5272</f>
        <v>0</v>
      </c>
      <c r="AB5271" s="117">
        <f t="shared" si="85"/>
        <v>0</v>
      </c>
      <c r="AC5271" s="117" t="str">
        <f>IF(AB5271=1,COUNTIF($AB$3:AB5271,1),"")</f>
        <v/>
      </c>
      <c r="AD5271" s="117" t="str">
        <f>IFERROR(INDEX($AA$3:$AA$10000,MATCH(ROWS($AC$3:AC5271),$AC$3:$AC$10000,0)),"")</f>
        <v/>
      </c>
    </row>
    <row r="5272" spans="27:30">
      <c r="AA5272" s="117">
        <f>+'Ingredient List - Mother Tinctu'!D5273</f>
        <v>0</v>
      </c>
      <c r="AB5272" s="117">
        <f t="shared" si="85"/>
        <v>0</v>
      </c>
      <c r="AC5272" s="117" t="str">
        <f>IF(AB5272=1,COUNTIF($AB$3:AB5272,1),"")</f>
        <v/>
      </c>
      <c r="AD5272" s="117" t="str">
        <f>IFERROR(INDEX($AA$3:$AA$10000,MATCH(ROWS($AC$3:AC5272),$AC$3:$AC$10000,0)),"")</f>
        <v/>
      </c>
    </row>
    <row r="5273" spans="27:30">
      <c r="AA5273" s="117">
        <f>+'Ingredient List - Mother Tinctu'!D5274</f>
        <v>0</v>
      </c>
      <c r="AB5273" s="117">
        <f t="shared" si="85"/>
        <v>0</v>
      </c>
      <c r="AC5273" s="117" t="str">
        <f>IF(AB5273=1,COUNTIF($AB$3:AB5273,1),"")</f>
        <v/>
      </c>
      <c r="AD5273" s="117" t="str">
        <f>IFERROR(INDEX($AA$3:$AA$10000,MATCH(ROWS($AC$3:AC5273),$AC$3:$AC$10000,0)),"")</f>
        <v/>
      </c>
    </row>
    <row r="5274" spans="27:30">
      <c r="AA5274" s="117">
        <f>+'Ingredient List - Mother Tinctu'!D5275</f>
        <v>0</v>
      </c>
      <c r="AB5274" s="117">
        <f t="shared" si="85"/>
        <v>0</v>
      </c>
      <c r="AC5274" s="117" t="str">
        <f>IF(AB5274=1,COUNTIF($AB$3:AB5274,1),"")</f>
        <v/>
      </c>
      <c r="AD5274" s="117" t="str">
        <f>IFERROR(INDEX($AA$3:$AA$10000,MATCH(ROWS($AC$3:AC5274),$AC$3:$AC$10000,0)),"")</f>
        <v/>
      </c>
    </row>
    <row r="5275" spans="27:30">
      <c r="AA5275" s="117">
        <f>+'Ingredient List - Mother Tinctu'!D5276</f>
        <v>0</v>
      </c>
      <c r="AB5275" s="117">
        <f t="shared" si="85"/>
        <v>0</v>
      </c>
      <c r="AC5275" s="117" t="str">
        <f>IF(AB5275=1,COUNTIF($AB$3:AB5275,1),"")</f>
        <v/>
      </c>
      <c r="AD5275" s="117" t="str">
        <f>IFERROR(INDEX($AA$3:$AA$10000,MATCH(ROWS($AC$3:AC5275),$AC$3:$AC$10000,0)),"")</f>
        <v/>
      </c>
    </row>
    <row r="5276" spans="27:30">
      <c r="AA5276" s="117">
        <f>+'Ingredient List - Mother Tinctu'!D5277</f>
        <v>0</v>
      </c>
      <c r="AB5276" s="117">
        <f t="shared" si="85"/>
        <v>0</v>
      </c>
      <c r="AC5276" s="117" t="str">
        <f>IF(AB5276=1,COUNTIF($AB$3:AB5276,1),"")</f>
        <v/>
      </c>
      <c r="AD5276" s="117" t="str">
        <f>IFERROR(INDEX($AA$3:$AA$10000,MATCH(ROWS($AC$3:AC5276),$AC$3:$AC$10000,0)),"")</f>
        <v/>
      </c>
    </row>
    <row r="5277" spans="27:30">
      <c r="AA5277" s="117">
        <f>+'Ingredient List - Mother Tinctu'!D5278</f>
        <v>0</v>
      </c>
      <c r="AB5277" s="117">
        <f t="shared" si="85"/>
        <v>0</v>
      </c>
      <c r="AC5277" s="117" t="str">
        <f>IF(AB5277=1,COUNTIF($AB$3:AB5277,1),"")</f>
        <v/>
      </c>
      <c r="AD5277" s="117" t="str">
        <f>IFERROR(INDEX($AA$3:$AA$10000,MATCH(ROWS($AC$3:AC5277),$AC$3:$AC$10000,0)),"")</f>
        <v/>
      </c>
    </row>
    <row r="5278" spans="27:30">
      <c r="AA5278" s="117">
        <f>+'Ingredient List - Mother Tinctu'!D5279</f>
        <v>0</v>
      </c>
      <c r="AB5278" s="117">
        <f t="shared" si="85"/>
        <v>0</v>
      </c>
      <c r="AC5278" s="117" t="str">
        <f>IF(AB5278=1,COUNTIF($AB$3:AB5278,1),"")</f>
        <v/>
      </c>
      <c r="AD5278" s="117" t="str">
        <f>IFERROR(INDEX($AA$3:$AA$10000,MATCH(ROWS($AC$3:AC5278),$AC$3:$AC$10000,0)),"")</f>
        <v/>
      </c>
    </row>
    <row r="5279" spans="27:30">
      <c r="AA5279" s="117">
        <f>+'Ingredient List - Mother Tinctu'!D5280</f>
        <v>0</v>
      </c>
      <c r="AB5279" s="117">
        <f t="shared" si="85"/>
        <v>0</v>
      </c>
      <c r="AC5279" s="117" t="str">
        <f>IF(AB5279=1,COUNTIF($AB$3:AB5279,1),"")</f>
        <v/>
      </c>
      <c r="AD5279" s="117" t="str">
        <f>IFERROR(INDEX($AA$3:$AA$10000,MATCH(ROWS($AC$3:AC5279),$AC$3:$AC$10000,0)),"")</f>
        <v/>
      </c>
    </row>
    <row r="5280" spans="27:30">
      <c r="AA5280" s="117">
        <f>+'Ingredient List - Mother Tinctu'!D5281</f>
        <v>0</v>
      </c>
      <c r="AB5280" s="117">
        <f t="shared" si="85"/>
        <v>0</v>
      </c>
      <c r="AC5280" s="117" t="str">
        <f>IF(AB5280=1,COUNTIF($AB$3:AB5280,1),"")</f>
        <v/>
      </c>
      <c r="AD5280" s="117" t="str">
        <f>IFERROR(INDEX($AA$3:$AA$10000,MATCH(ROWS($AC$3:AC5280),$AC$3:$AC$10000,0)),"")</f>
        <v/>
      </c>
    </row>
    <row r="5281" spans="27:30">
      <c r="AA5281" s="117">
        <f>+'Ingredient List - Mother Tinctu'!D5282</f>
        <v>0</v>
      </c>
      <c r="AB5281" s="117">
        <f t="shared" si="85"/>
        <v>0</v>
      </c>
      <c r="AC5281" s="117" t="str">
        <f>IF(AB5281=1,COUNTIF($AB$3:AB5281,1),"")</f>
        <v/>
      </c>
      <c r="AD5281" s="117" t="str">
        <f>IFERROR(INDEX($AA$3:$AA$10000,MATCH(ROWS($AC$3:AC5281),$AC$3:$AC$10000,0)),"")</f>
        <v/>
      </c>
    </row>
    <row r="5282" spans="27:30">
      <c r="AA5282" s="117">
        <f>+'Ingredient List - Mother Tinctu'!D5283</f>
        <v>0</v>
      </c>
      <c r="AB5282" s="117">
        <f t="shared" si="85"/>
        <v>0</v>
      </c>
      <c r="AC5282" s="117" t="str">
        <f>IF(AB5282=1,COUNTIF($AB$3:AB5282,1),"")</f>
        <v/>
      </c>
      <c r="AD5282" s="117" t="str">
        <f>IFERROR(INDEX($AA$3:$AA$10000,MATCH(ROWS($AC$3:AC5282),$AC$3:$AC$10000,0)),"")</f>
        <v/>
      </c>
    </row>
    <row r="5283" spans="27:30">
      <c r="AA5283" s="117">
        <f>+'Ingredient List - Mother Tinctu'!D5284</f>
        <v>0</v>
      </c>
      <c r="AB5283" s="117">
        <f t="shared" si="85"/>
        <v>0</v>
      </c>
      <c r="AC5283" s="117" t="str">
        <f>IF(AB5283=1,COUNTIF($AB$3:AB5283,1),"")</f>
        <v/>
      </c>
      <c r="AD5283" s="117" t="str">
        <f>IFERROR(INDEX($AA$3:$AA$10000,MATCH(ROWS($AC$3:AC5283),$AC$3:$AC$10000,0)),"")</f>
        <v/>
      </c>
    </row>
    <row r="5284" spans="27:30">
      <c r="AA5284" s="117">
        <f>+'Ingredient List - Mother Tinctu'!D5285</f>
        <v>0</v>
      </c>
      <c r="AB5284" s="117">
        <f t="shared" si="85"/>
        <v>0</v>
      </c>
      <c r="AC5284" s="117" t="str">
        <f>IF(AB5284=1,COUNTIF($AB$3:AB5284,1),"")</f>
        <v/>
      </c>
      <c r="AD5284" s="117" t="str">
        <f>IFERROR(INDEX($AA$3:$AA$10000,MATCH(ROWS($AC$3:AC5284),$AC$3:$AC$10000,0)),"")</f>
        <v/>
      </c>
    </row>
    <row r="5285" spans="27:30">
      <c r="AA5285" s="117">
        <f>+'Ingredient List - Mother Tinctu'!D5286</f>
        <v>0</v>
      </c>
      <c r="AB5285" s="117">
        <f t="shared" si="85"/>
        <v>0</v>
      </c>
      <c r="AC5285" s="117" t="str">
        <f>IF(AB5285=1,COUNTIF($AB$3:AB5285,1),"")</f>
        <v/>
      </c>
      <c r="AD5285" s="117" t="str">
        <f>IFERROR(INDEX($AA$3:$AA$10000,MATCH(ROWS($AC$3:AC5285),$AC$3:$AC$10000,0)),"")</f>
        <v/>
      </c>
    </row>
    <row r="5286" spans="27:30">
      <c r="AA5286" s="117">
        <f>+'Ingredient List - Mother Tinctu'!D5287</f>
        <v>0</v>
      </c>
      <c r="AB5286" s="117">
        <f t="shared" si="85"/>
        <v>0</v>
      </c>
      <c r="AC5286" s="117" t="str">
        <f>IF(AB5286=1,COUNTIF($AB$3:AB5286,1),"")</f>
        <v/>
      </c>
      <c r="AD5286" s="117" t="str">
        <f>IFERROR(INDEX($AA$3:$AA$10000,MATCH(ROWS($AC$3:AC5286),$AC$3:$AC$10000,0)),"")</f>
        <v/>
      </c>
    </row>
    <row r="5287" spans="27:30">
      <c r="AA5287" s="117">
        <f>+'Ingredient List - Mother Tinctu'!D5288</f>
        <v>0</v>
      </c>
      <c r="AB5287" s="117">
        <f t="shared" si="85"/>
        <v>0</v>
      </c>
      <c r="AC5287" s="117" t="str">
        <f>IF(AB5287=1,COUNTIF($AB$3:AB5287,1),"")</f>
        <v/>
      </c>
      <c r="AD5287" s="117" t="str">
        <f>IFERROR(INDEX($AA$3:$AA$10000,MATCH(ROWS($AC$3:AC5287),$AC$3:$AC$10000,0)),"")</f>
        <v/>
      </c>
    </row>
    <row r="5288" spans="27:30">
      <c r="AA5288" s="117">
        <f>+'Ingredient List - Mother Tinctu'!D5289</f>
        <v>0</v>
      </c>
      <c r="AB5288" s="117">
        <f t="shared" si="85"/>
        <v>0</v>
      </c>
      <c r="AC5288" s="117" t="str">
        <f>IF(AB5288=1,COUNTIF($AB$3:AB5288,1),"")</f>
        <v/>
      </c>
      <c r="AD5288" s="117" t="str">
        <f>IFERROR(INDEX($AA$3:$AA$10000,MATCH(ROWS($AC$3:AC5288),$AC$3:$AC$10000,0)),"")</f>
        <v/>
      </c>
    </row>
    <row r="5289" spans="27:30">
      <c r="AA5289" s="117">
        <f>+'Ingredient List - Mother Tinctu'!D5290</f>
        <v>0</v>
      </c>
      <c r="AB5289" s="117">
        <f t="shared" si="85"/>
        <v>0</v>
      </c>
      <c r="AC5289" s="117" t="str">
        <f>IF(AB5289=1,COUNTIF($AB$3:AB5289,1),"")</f>
        <v/>
      </c>
      <c r="AD5289" s="117" t="str">
        <f>IFERROR(INDEX($AA$3:$AA$10000,MATCH(ROWS($AC$3:AC5289),$AC$3:$AC$10000,0)),"")</f>
        <v/>
      </c>
    </row>
    <row r="5290" spans="27:30">
      <c r="AA5290" s="117">
        <f>+'Ingredient List - Mother Tinctu'!D5291</f>
        <v>0</v>
      </c>
      <c r="AB5290" s="117">
        <f t="shared" si="85"/>
        <v>0</v>
      </c>
      <c r="AC5290" s="117" t="str">
        <f>IF(AB5290=1,COUNTIF($AB$3:AB5290,1),"")</f>
        <v/>
      </c>
      <c r="AD5290" s="117" t="str">
        <f>IFERROR(INDEX($AA$3:$AA$10000,MATCH(ROWS($AC$3:AC5290),$AC$3:$AC$10000,0)),"")</f>
        <v/>
      </c>
    </row>
    <row r="5291" spans="27:30">
      <c r="AA5291" s="117">
        <f>+'Ingredient List - Mother Tinctu'!D5292</f>
        <v>0</v>
      </c>
      <c r="AB5291" s="117">
        <f t="shared" si="85"/>
        <v>0</v>
      </c>
      <c r="AC5291" s="117" t="str">
        <f>IF(AB5291=1,COUNTIF($AB$3:AB5291,1),"")</f>
        <v/>
      </c>
      <c r="AD5291" s="117" t="str">
        <f>IFERROR(INDEX($AA$3:$AA$10000,MATCH(ROWS($AC$3:AC5291),$AC$3:$AC$10000,0)),"")</f>
        <v/>
      </c>
    </row>
    <row r="5292" spans="27:30">
      <c r="AA5292" s="117">
        <f>+'Ingredient List - Mother Tinctu'!D5293</f>
        <v>0</v>
      </c>
      <c r="AB5292" s="117">
        <f t="shared" si="85"/>
        <v>0</v>
      </c>
      <c r="AC5292" s="117" t="str">
        <f>IF(AB5292=1,COUNTIF($AB$3:AB5292,1),"")</f>
        <v/>
      </c>
      <c r="AD5292" s="117" t="str">
        <f>IFERROR(INDEX($AA$3:$AA$10000,MATCH(ROWS($AC$3:AC5292),$AC$3:$AC$10000,0)),"")</f>
        <v/>
      </c>
    </row>
    <row r="5293" spans="27:30">
      <c r="AA5293" s="117">
        <f>+'Ingredient List - Mother Tinctu'!D5294</f>
        <v>0</v>
      </c>
      <c r="AB5293" s="117">
        <f t="shared" si="85"/>
        <v>0</v>
      </c>
      <c r="AC5293" s="117" t="str">
        <f>IF(AB5293=1,COUNTIF($AB$3:AB5293,1),"")</f>
        <v/>
      </c>
      <c r="AD5293" s="117" t="str">
        <f>IFERROR(INDEX($AA$3:$AA$10000,MATCH(ROWS($AC$3:AC5293),$AC$3:$AC$10000,0)),"")</f>
        <v/>
      </c>
    </row>
    <row r="5294" spans="27:30">
      <c r="AA5294" s="117">
        <f>+'Ingredient List - Mother Tinctu'!D5295</f>
        <v>0</v>
      </c>
      <c r="AB5294" s="117">
        <f t="shared" si="85"/>
        <v>0</v>
      </c>
      <c r="AC5294" s="117" t="str">
        <f>IF(AB5294=1,COUNTIF($AB$3:AB5294,1),"")</f>
        <v/>
      </c>
      <c r="AD5294" s="117" t="str">
        <f>IFERROR(INDEX($AA$3:$AA$10000,MATCH(ROWS($AC$3:AC5294),$AC$3:$AC$10000,0)),"")</f>
        <v/>
      </c>
    </row>
    <row r="5295" spans="27:30">
      <c r="AA5295" s="117">
        <f>+'Ingredient List - Mother Tinctu'!D5296</f>
        <v>0</v>
      </c>
      <c r="AB5295" s="117">
        <f t="shared" si="85"/>
        <v>0</v>
      </c>
      <c r="AC5295" s="117" t="str">
        <f>IF(AB5295=1,COUNTIF($AB$3:AB5295,1),"")</f>
        <v/>
      </c>
      <c r="AD5295" s="117" t="str">
        <f>IFERROR(INDEX($AA$3:$AA$10000,MATCH(ROWS($AC$3:AC5295),$AC$3:$AC$10000,0)),"")</f>
        <v/>
      </c>
    </row>
    <row r="5296" spans="27:30">
      <c r="AA5296" s="117">
        <f>+'Ingredient List - Mother Tinctu'!D5297</f>
        <v>0</v>
      </c>
      <c r="AB5296" s="117">
        <f t="shared" si="85"/>
        <v>0</v>
      </c>
      <c r="AC5296" s="117" t="str">
        <f>IF(AB5296=1,COUNTIF($AB$3:AB5296,1),"")</f>
        <v/>
      </c>
      <c r="AD5296" s="117" t="str">
        <f>IFERROR(INDEX($AA$3:$AA$10000,MATCH(ROWS($AC$3:AC5296),$AC$3:$AC$10000,0)),"")</f>
        <v/>
      </c>
    </row>
    <row r="5297" spans="27:30">
      <c r="AA5297" s="117">
        <f>+'Ingredient List - Mother Tinctu'!D5298</f>
        <v>0</v>
      </c>
      <c r="AB5297" s="117">
        <f t="shared" si="85"/>
        <v>0</v>
      </c>
      <c r="AC5297" s="117" t="str">
        <f>IF(AB5297=1,COUNTIF($AB$3:AB5297,1),"")</f>
        <v/>
      </c>
      <c r="AD5297" s="117" t="str">
        <f>IFERROR(INDEX($AA$3:$AA$10000,MATCH(ROWS($AC$3:AC5297),$AC$3:$AC$10000,0)),"")</f>
        <v/>
      </c>
    </row>
    <row r="5298" spans="27:30">
      <c r="AA5298" s="117">
        <f>+'Ingredient List - Mother Tinctu'!D5299</f>
        <v>0</v>
      </c>
      <c r="AB5298" s="117">
        <f t="shared" si="85"/>
        <v>0</v>
      </c>
      <c r="AC5298" s="117" t="str">
        <f>IF(AB5298=1,COUNTIF($AB$3:AB5298,1),"")</f>
        <v/>
      </c>
      <c r="AD5298" s="117" t="str">
        <f>IFERROR(INDEX($AA$3:$AA$10000,MATCH(ROWS($AC$3:AC5298),$AC$3:$AC$10000,0)),"")</f>
        <v/>
      </c>
    </row>
    <row r="5299" spans="27:30">
      <c r="AA5299" s="117">
        <f>+'Ingredient List - Mother Tinctu'!D5300</f>
        <v>0</v>
      </c>
      <c r="AB5299" s="117">
        <f t="shared" si="85"/>
        <v>0</v>
      </c>
      <c r="AC5299" s="117" t="str">
        <f>IF(AB5299=1,COUNTIF($AB$3:AB5299,1),"")</f>
        <v/>
      </c>
      <c r="AD5299" s="117" t="str">
        <f>IFERROR(INDEX($AA$3:$AA$10000,MATCH(ROWS($AC$3:AC5299),$AC$3:$AC$10000,0)),"")</f>
        <v/>
      </c>
    </row>
    <row r="5300" spans="27:30">
      <c r="AA5300" s="117">
        <f>+'Ingredient List - Mother Tinctu'!D5301</f>
        <v>0</v>
      </c>
      <c r="AB5300" s="117">
        <f t="shared" si="85"/>
        <v>0</v>
      </c>
      <c r="AC5300" s="117" t="str">
        <f>IF(AB5300=1,COUNTIF($AB$3:AB5300,1),"")</f>
        <v/>
      </c>
      <c r="AD5300" s="117" t="str">
        <f>IFERROR(INDEX($AA$3:$AA$10000,MATCH(ROWS($AC$3:AC5300),$AC$3:$AC$10000,0)),"")</f>
        <v/>
      </c>
    </row>
    <row r="5301" spans="27:30">
      <c r="AA5301" s="117">
        <f>+'Ingredient List - Mother Tinctu'!D5302</f>
        <v>0</v>
      </c>
      <c r="AB5301" s="117">
        <f t="shared" si="85"/>
        <v>0</v>
      </c>
      <c r="AC5301" s="117" t="str">
        <f>IF(AB5301=1,COUNTIF($AB$3:AB5301,1),"")</f>
        <v/>
      </c>
      <c r="AD5301" s="117" t="str">
        <f>IFERROR(INDEX($AA$3:$AA$10000,MATCH(ROWS($AC$3:AC5301),$AC$3:$AC$10000,0)),"")</f>
        <v/>
      </c>
    </row>
    <row r="5302" spans="27:30">
      <c r="AA5302" s="117">
        <f>+'Ingredient List - Mother Tinctu'!D5303</f>
        <v>0</v>
      </c>
      <c r="AB5302" s="117">
        <f t="shared" si="85"/>
        <v>0</v>
      </c>
      <c r="AC5302" s="117" t="str">
        <f>IF(AB5302=1,COUNTIF($AB$3:AB5302,1),"")</f>
        <v/>
      </c>
      <c r="AD5302" s="117" t="str">
        <f>IFERROR(INDEX($AA$3:$AA$10000,MATCH(ROWS($AC$3:AC5302),$AC$3:$AC$10000,0)),"")</f>
        <v/>
      </c>
    </row>
    <row r="5303" spans="27:30">
      <c r="AA5303" s="117">
        <f>+'Ingredient List - Mother Tinctu'!D5304</f>
        <v>0</v>
      </c>
      <c r="AB5303" s="117">
        <f t="shared" si="85"/>
        <v>0</v>
      </c>
      <c r="AC5303" s="117" t="str">
        <f>IF(AB5303=1,COUNTIF($AB$3:AB5303,1),"")</f>
        <v/>
      </c>
      <c r="AD5303" s="117" t="str">
        <f>IFERROR(INDEX($AA$3:$AA$10000,MATCH(ROWS($AC$3:AC5303),$AC$3:$AC$10000,0)),"")</f>
        <v/>
      </c>
    </row>
    <row r="5304" spans="27:30">
      <c r="AA5304" s="117">
        <f>+'Ingredient List - Mother Tinctu'!D5305</f>
        <v>0</v>
      </c>
      <c r="AB5304" s="117">
        <f t="shared" si="85"/>
        <v>0</v>
      </c>
      <c r="AC5304" s="117" t="str">
        <f>IF(AB5304=1,COUNTIF($AB$3:AB5304,1),"")</f>
        <v/>
      </c>
      <c r="AD5304" s="117" t="str">
        <f>IFERROR(INDEX($AA$3:$AA$10000,MATCH(ROWS($AC$3:AC5304),$AC$3:$AC$10000,0)),"")</f>
        <v/>
      </c>
    </row>
    <row r="5305" spans="27:30">
      <c r="AA5305" s="117">
        <f>+'Ingredient List - Mother Tinctu'!D5306</f>
        <v>0</v>
      </c>
      <c r="AB5305" s="117">
        <f t="shared" si="85"/>
        <v>0</v>
      </c>
      <c r="AC5305" s="117" t="str">
        <f>IF(AB5305=1,COUNTIF($AB$3:AB5305,1),"")</f>
        <v/>
      </c>
      <c r="AD5305" s="117" t="str">
        <f>IFERROR(INDEX($AA$3:$AA$10000,MATCH(ROWS($AC$3:AC5305),$AC$3:$AC$10000,0)),"")</f>
        <v/>
      </c>
    </row>
    <row r="5306" spans="27:30">
      <c r="AA5306" s="117">
        <f>+'Ingredient List - Mother Tinctu'!D5307</f>
        <v>0</v>
      </c>
      <c r="AB5306" s="117">
        <f t="shared" si="85"/>
        <v>0</v>
      </c>
      <c r="AC5306" s="117" t="str">
        <f>IF(AB5306=1,COUNTIF($AB$3:AB5306,1),"")</f>
        <v/>
      </c>
      <c r="AD5306" s="117" t="str">
        <f>IFERROR(INDEX($AA$3:$AA$10000,MATCH(ROWS($AC$3:AC5306),$AC$3:$AC$10000,0)),"")</f>
        <v/>
      </c>
    </row>
    <row r="5307" spans="27:30">
      <c r="AA5307" s="117">
        <f>+'Ingredient List - Mother Tinctu'!D5308</f>
        <v>0</v>
      </c>
      <c r="AB5307" s="117">
        <f t="shared" si="85"/>
        <v>0</v>
      </c>
      <c r="AC5307" s="117" t="str">
        <f>IF(AB5307=1,COUNTIF($AB$3:AB5307,1),"")</f>
        <v/>
      </c>
      <c r="AD5307" s="117" t="str">
        <f>IFERROR(INDEX($AA$3:$AA$10000,MATCH(ROWS($AC$3:AC5307),$AC$3:$AC$10000,0)),"")</f>
        <v/>
      </c>
    </row>
    <row r="5308" spans="27:30">
      <c r="AA5308" s="117">
        <f>+'Ingredient List - Mother Tinctu'!D5309</f>
        <v>0</v>
      </c>
      <c r="AB5308" s="117">
        <f t="shared" si="85"/>
        <v>0</v>
      </c>
      <c r="AC5308" s="117" t="str">
        <f>IF(AB5308=1,COUNTIF($AB$3:AB5308,1),"")</f>
        <v/>
      </c>
      <c r="AD5308" s="117" t="str">
        <f>IFERROR(INDEX($AA$3:$AA$10000,MATCH(ROWS($AC$3:AC5308),$AC$3:$AC$10000,0)),"")</f>
        <v/>
      </c>
    </row>
    <row r="5309" spans="27:30">
      <c r="AA5309" s="117">
        <f>+'Ingredient List - Mother Tinctu'!D5310</f>
        <v>0</v>
      </c>
      <c r="AB5309" s="117">
        <f t="shared" si="85"/>
        <v>0</v>
      </c>
      <c r="AC5309" s="117" t="str">
        <f>IF(AB5309=1,COUNTIF($AB$3:AB5309,1),"")</f>
        <v/>
      </c>
      <c r="AD5309" s="117" t="str">
        <f>IFERROR(INDEX($AA$3:$AA$10000,MATCH(ROWS($AC$3:AC5309),$AC$3:$AC$10000,0)),"")</f>
        <v/>
      </c>
    </row>
    <row r="5310" spans="27:30">
      <c r="AA5310" s="117">
        <f>+'Ingredient List - Mother Tinctu'!D5311</f>
        <v>0</v>
      </c>
      <c r="AB5310" s="117">
        <f t="shared" si="85"/>
        <v>0</v>
      </c>
      <c r="AC5310" s="117" t="str">
        <f>IF(AB5310=1,COUNTIF($AB$3:AB5310,1),"")</f>
        <v/>
      </c>
      <c r="AD5310" s="117" t="str">
        <f>IFERROR(INDEX($AA$3:$AA$10000,MATCH(ROWS($AC$3:AC5310),$AC$3:$AC$10000,0)),"")</f>
        <v/>
      </c>
    </row>
    <row r="5311" spans="27:30">
      <c r="AA5311" s="117">
        <f>+'Ingredient List - Mother Tinctu'!D5312</f>
        <v>0</v>
      </c>
      <c r="AB5311" s="117">
        <f t="shared" si="85"/>
        <v>0</v>
      </c>
      <c r="AC5311" s="117" t="str">
        <f>IF(AB5311=1,COUNTIF($AB$3:AB5311,1),"")</f>
        <v/>
      </c>
      <c r="AD5311" s="117" t="str">
        <f>IFERROR(INDEX($AA$3:$AA$10000,MATCH(ROWS($AC$3:AC5311),$AC$3:$AC$10000,0)),"")</f>
        <v/>
      </c>
    </row>
    <row r="5312" spans="27:30">
      <c r="AA5312" s="117">
        <f>+'Ingredient List - Mother Tinctu'!D5313</f>
        <v>0</v>
      </c>
      <c r="AB5312" s="117">
        <f t="shared" si="85"/>
        <v>0</v>
      </c>
      <c r="AC5312" s="117" t="str">
        <f>IF(AB5312=1,COUNTIF($AB$3:AB5312,1),"")</f>
        <v/>
      </c>
      <c r="AD5312" s="117" t="str">
        <f>IFERROR(INDEX($AA$3:$AA$10000,MATCH(ROWS($AC$3:AC5312),$AC$3:$AC$10000,0)),"")</f>
        <v/>
      </c>
    </row>
    <row r="5313" spans="27:30">
      <c r="AA5313" s="117">
        <f>+'Ingredient List - Mother Tinctu'!D5314</f>
        <v>0</v>
      </c>
      <c r="AB5313" s="117">
        <f t="shared" si="85"/>
        <v>0</v>
      </c>
      <c r="AC5313" s="117" t="str">
        <f>IF(AB5313=1,COUNTIF($AB$3:AB5313,1),"")</f>
        <v/>
      </c>
      <c r="AD5313" s="117" t="str">
        <f>IFERROR(INDEX($AA$3:$AA$10000,MATCH(ROWS($AC$3:AC5313),$AC$3:$AC$10000,0)),"")</f>
        <v/>
      </c>
    </row>
    <row r="5314" spans="27:30">
      <c r="AA5314" s="117">
        <f>+'Ingredient List - Mother Tinctu'!D5315</f>
        <v>0</v>
      </c>
      <c r="AB5314" s="117">
        <f t="shared" si="85"/>
        <v>0</v>
      </c>
      <c r="AC5314" s="117" t="str">
        <f>IF(AB5314=1,COUNTIF($AB$3:AB5314,1),"")</f>
        <v/>
      </c>
      <c r="AD5314" s="117" t="str">
        <f>IFERROR(INDEX($AA$3:$AA$10000,MATCH(ROWS($AC$3:AC5314),$AC$3:$AC$10000,0)),"")</f>
        <v/>
      </c>
    </row>
    <row r="5315" spans="27:30">
      <c r="AA5315" s="117">
        <f>+'Ingredient List - Mother Tinctu'!D5316</f>
        <v>0</v>
      </c>
      <c r="AB5315" s="117">
        <f t="shared" si="85"/>
        <v>0</v>
      </c>
      <c r="AC5315" s="117" t="str">
        <f>IF(AB5315=1,COUNTIF($AB$3:AB5315,1),"")</f>
        <v/>
      </c>
      <c r="AD5315" s="117" t="str">
        <f>IFERROR(INDEX($AA$3:$AA$10000,MATCH(ROWS($AC$3:AC5315),$AC$3:$AC$10000,0)),"")</f>
        <v/>
      </c>
    </row>
    <row r="5316" spans="27:30">
      <c r="AA5316" s="117">
        <f>+'Ingredient List - Mother Tinctu'!D5317</f>
        <v>0</v>
      </c>
      <c r="AB5316" s="117">
        <f t="shared" ref="AB5316:AB5379" si="86">--ISNUMBER(IFERROR(SEARCH($D$3,AA5316,1),""))</f>
        <v>0</v>
      </c>
      <c r="AC5316" s="117" t="str">
        <f>IF(AB5316=1,COUNTIF($AB$3:AB5316,1),"")</f>
        <v/>
      </c>
      <c r="AD5316" s="117" t="str">
        <f>IFERROR(INDEX($AA$3:$AA$10000,MATCH(ROWS($AC$3:AC5316),$AC$3:$AC$10000,0)),"")</f>
        <v/>
      </c>
    </row>
    <row r="5317" spans="27:30">
      <c r="AA5317" s="117">
        <f>+'Ingredient List - Mother Tinctu'!D5318</f>
        <v>0</v>
      </c>
      <c r="AB5317" s="117">
        <f t="shared" si="86"/>
        <v>0</v>
      </c>
      <c r="AC5317" s="117" t="str">
        <f>IF(AB5317=1,COUNTIF($AB$3:AB5317,1),"")</f>
        <v/>
      </c>
      <c r="AD5317" s="117" t="str">
        <f>IFERROR(INDEX($AA$3:$AA$10000,MATCH(ROWS($AC$3:AC5317),$AC$3:$AC$10000,0)),"")</f>
        <v/>
      </c>
    </row>
    <row r="5318" spans="27:30">
      <c r="AA5318" s="117">
        <f>+'Ingredient List - Mother Tinctu'!D5319</f>
        <v>0</v>
      </c>
      <c r="AB5318" s="117">
        <f t="shared" si="86"/>
        <v>0</v>
      </c>
      <c r="AC5318" s="117" t="str">
        <f>IF(AB5318=1,COUNTIF($AB$3:AB5318,1),"")</f>
        <v/>
      </c>
      <c r="AD5318" s="117" t="str">
        <f>IFERROR(INDEX($AA$3:$AA$10000,MATCH(ROWS($AC$3:AC5318),$AC$3:$AC$10000,0)),"")</f>
        <v/>
      </c>
    </row>
    <row r="5319" spans="27:30">
      <c r="AA5319" s="117">
        <f>+'Ingredient List - Mother Tinctu'!D5320</f>
        <v>0</v>
      </c>
      <c r="AB5319" s="117">
        <f t="shared" si="86"/>
        <v>0</v>
      </c>
      <c r="AC5319" s="117" t="str">
        <f>IF(AB5319=1,COUNTIF($AB$3:AB5319,1),"")</f>
        <v/>
      </c>
      <c r="AD5319" s="117" t="str">
        <f>IFERROR(INDEX($AA$3:$AA$10000,MATCH(ROWS($AC$3:AC5319),$AC$3:$AC$10000,0)),"")</f>
        <v/>
      </c>
    </row>
    <row r="5320" spans="27:30">
      <c r="AA5320" s="117">
        <f>+'Ingredient List - Mother Tinctu'!D5321</f>
        <v>0</v>
      </c>
      <c r="AB5320" s="117">
        <f t="shared" si="86"/>
        <v>0</v>
      </c>
      <c r="AC5320" s="117" t="str">
        <f>IF(AB5320=1,COUNTIF($AB$3:AB5320,1),"")</f>
        <v/>
      </c>
      <c r="AD5320" s="117" t="str">
        <f>IFERROR(INDEX($AA$3:$AA$10000,MATCH(ROWS($AC$3:AC5320),$AC$3:$AC$10000,0)),"")</f>
        <v/>
      </c>
    </row>
    <row r="5321" spans="27:30">
      <c r="AA5321" s="117">
        <f>+'Ingredient List - Mother Tinctu'!D5322</f>
        <v>0</v>
      </c>
      <c r="AB5321" s="117">
        <f t="shared" si="86"/>
        <v>0</v>
      </c>
      <c r="AC5321" s="117" t="str">
        <f>IF(AB5321=1,COUNTIF($AB$3:AB5321,1),"")</f>
        <v/>
      </c>
      <c r="AD5321" s="117" t="str">
        <f>IFERROR(INDEX($AA$3:$AA$10000,MATCH(ROWS($AC$3:AC5321),$AC$3:$AC$10000,0)),"")</f>
        <v/>
      </c>
    </row>
    <row r="5322" spans="27:30">
      <c r="AA5322" s="117">
        <f>+'Ingredient List - Mother Tinctu'!D5323</f>
        <v>0</v>
      </c>
      <c r="AB5322" s="117">
        <f t="shared" si="86"/>
        <v>0</v>
      </c>
      <c r="AC5322" s="117" t="str">
        <f>IF(AB5322=1,COUNTIF($AB$3:AB5322,1),"")</f>
        <v/>
      </c>
      <c r="AD5322" s="117" t="str">
        <f>IFERROR(INDEX($AA$3:$AA$10000,MATCH(ROWS($AC$3:AC5322),$AC$3:$AC$10000,0)),"")</f>
        <v/>
      </c>
    </row>
    <row r="5323" spans="27:30">
      <c r="AA5323" s="117">
        <f>+'Ingredient List - Mother Tinctu'!D5324</f>
        <v>0</v>
      </c>
      <c r="AB5323" s="117">
        <f t="shared" si="86"/>
        <v>0</v>
      </c>
      <c r="AC5323" s="117" t="str">
        <f>IF(AB5323=1,COUNTIF($AB$3:AB5323,1),"")</f>
        <v/>
      </c>
      <c r="AD5323" s="117" t="str">
        <f>IFERROR(INDEX($AA$3:$AA$10000,MATCH(ROWS($AC$3:AC5323),$AC$3:$AC$10000,0)),"")</f>
        <v/>
      </c>
    </row>
    <row r="5324" spans="27:30">
      <c r="AA5324" s="117">
        <f>+'Ingredient List - Mother Tinctu'!D5325</f>
        <v>0</v>
      </c>
      <c r="AB5324" s="117">
        <f t="shared" si="86"/>
        <v>0</v>
      </c>
      <c r="AC5324" s="117" t="str">
        <f>IF(AB5324=1,COUNTIF($AB$3:AB5324,1),"")</f>
        <v/>
      </c>
      <c r="AD5324" s="117" t="str">
        <f>IFERROR(INDEX($AA$3:$AA$10000,MATCH(ROWS($AC$3:AC5324),$AC$3:$AC$10000,0)),"")</f>
        <v/>
      </c>
    </row>
    <row r="5325" spans="27:30">
      <c r="AA5325" s="117">
        <f>+'Ingredient List - Mother Tinctu'!D5326</f>
        <v>0</v>
      </c>
      <c r="AB5325" s="117">
        <f t="shared" si="86"/>
        <v>0</v>
      </c>
      <c r="AC5325" s="117" t="str">
        <f>IF(AB5325=1,COUNTIF($AB$3:AB5325,1),"")</f>
        <v/>
      </c>
      <c r="AD5325" s="117" t="str">
        <f>IFERROR(INDEX($AA$3:$AA$10000,MATCH(ROWS($AC$3:AC5325),$AC$3:$AC$10000,0)),"")</f>
        <v/>
      </c>
    </row>
    <row r="5326" spans="27:30">
      <c r="AA5326" s="117">
        <f>+'Ingredient List - Mother Tinctu'!D5327</f>
        <v>0</v>
      </c>
      <c r="AB5326" s="117">
        <f t="shared" si="86"/>
        <v>0</v>
      </c>
      <c r="AC5326" s="117" t="str">
        <f>IF(AB5326=1,COUNTIF($AB$3:AB5326,1),"")</f>
        <v/>
      </c>
      <c r="AD5326" s="117" t="str">
        <f>IFERROR(INDEX($AA$3:$AA$10000,MATCH(ROWS($AC$3:AC5326),$AC$3:$AC$10000,0)),"")</f>
        <v/>
      </c>
    </row>
    <row r="5327" spans="27:30">
      <c r="AA5327" s="117">
        <f>+'Ingredient List - Mother Tinctu'!D5328</f>
        <v>0</v>
      </c>
      <c r="AB5327" s="117">
        <f t="shared" si="86"/>
        <v>0</v>
      </c>
      <c r="AC5327" s="117" t="str">
        <f>IF(AB5327=1,COUNTIF($AB$3:AB5327,1),"")</f>
        <v/>
      </c>
      <c r="AD5327" s="117" t="str">
        <f>IFERROR(INDEX($AA$3:$AA$10000,MATCH(ROWS($AC$3:AC5327),$AC$3:$AC$10000,0)),"")</f>
        <v/>
      </c>
    </row>
    <row r="5328" spans="27:30">
      <c r="AA5328" s="117">
        <f>+'Ingredient List - Mother Tinctu'!D5329</f>
        <v>0</v>
      </c>
      <c r="AB5328" s="117">
        <f t="shared" si="86"/>
        <v>0</v>
      </c>
      <c r="AC5328" s="117" t="str">
        <f>IF(AB5328=1,COUNTIF($AB$3:AB5328,1),"")</f>
        <v/>
      </c>
      <c r="AD5328" s="117" t="str">
        <f>IFERROR(INDEX($AA$3:$AA$10000,MATCH(ROWS($AC$3:AC5328),$AC$3:$AC$10000,0)),"")</f>
        <v/>
      </c>
    </row>
    <row r="5329" spans="27:30">
      <c r="AA5329" s="117">
        <f>+'Ingredient List - Mother Tinctu'!D5330</f>
        <v>0</v>
      </c>
      <c r="AB5329" s="117">
        <f t="shared" si="86"/>
        <v>0</v>
      </c>
      <c r="AC5329" s="117" t="str">
        <f>IF(AB5329=1,COUNTIF($AB$3:AB5329,1),"")</f>
        <v/>
      </c>
      <c r="AD5329" s="117" t="str">
        <f>IFERROR(INDEX($AA$3:$AA$10000,MATCH(ROWS($AC$3:AC5329),$AC$3:$AC$10000,0)),"")</f>
        <v/>
      </c>
    </row>
    <row r="5330" spans="27:30">
      <c r="AA5330" s="117">
        <f>+'Ingredient List - Mother Tinctu'!D5331</f>
        <v>0</v>
      </c>
      <c r="AB5330" s="117">
        <f t="shared" si="86"/>
        <v>0</v>
      </c>
      <c r="AC5330" s="117" t="str">
        <f>IF(AB5330=1,COUNTIF($AB$3:AB5330,1),"")</f>
        <v/>
      </c>
      <c r="AD5330" s="117" t="str">
        <f>IFERROR(INDEX($AA$3:$AA$10000,MATCH(ROWS($AC$3:AC5330),$AC$3:$AC$10000,0)),"")</f>
        <v/>
      </c>
    </row>
    <row r="5331" spans="27:30">
      <c r="AA5331" s="117">
        <f>+'Ingredient List - Mother Tinctu'!D5332</f>
        <v>0</v>
      </c>
      <c r="AB5331" s="117">
        <f t="shared" si="86"/>
        <v>0</v>
      </c>
      <c r="AC5331" s="117" t="str">
        <f>IF(AB5331=1,COUNTIF($AB$3:AB5331,1),"")</f>
        <v/>
      </c>
      <c r="AD5331" s="117" t="str">
        <f>IFERROR(INDEX($AA$3:$AA$10000,MATCH(ROWS($AC$3:AC5331),$AC$3:$AC$10000,0)),"")</f>
        <v/>
      </c>
    </row>
    <row r="5332" spans="27:30">
      <c r="AA5332" s="117">
        <f>+'Ingredient List - Mother Tinctu'!D5333</f>
        <v>0</v>
      </c>
      <c r="AB5332" s="117">
        <f t="shared" si="86"/>
        <v>0</v>
      </c>
      <c r="AC5332" s="117" t="str">
        <f>IF(AB5332=1,COUNTIF($AB$3:AB5332,1),"")</f>
        <v/>
      </c>
      <c r="AD5332" s="117" t="str">
        <f>IFERROR(INDEX($AA$3:$AA$10000,MATCH(ROWS($AC$3:AC5332),$AC$3:$AC$10000,0)),"")</f>
        <v/>
      </c>
    </row>
    <row r="5333" spans="27:30">
      <c r="AA5333" s="117">
        <f>+'Ingredient List - Mother Tinctu'!D5334</f>
        <v>0</v>
      </c>
      <c r="AB5333" s="117">
        <f t="shared" si="86"/>
        <v>0</v>
      </c>
      <c r="AC5333" s="117" t="str">
        <f>IF(AB5333=1,COUNTIF($AB$3:AB5333,1),"")</f>
        <v/>
      </c>
      <c r="AD5333" s="117" t="str">
        <f>IFERROR(INDEX($AA$3:$AA$10000,MATCH(ROWS($AC$3:AC5333),$AC$3:$AC$10000,0)),"")</f>
        <v/>
      </c>
    </row>
    <row r="5334" spans="27:30">
      <c r="AA5334" s="117">
        <f>+'Ingredient List - Mother Tinctu'!D5335</f>
        <v>0</v>
      </c>
      <c r="AB5334" s="117">
        <f t="shared" si="86"/>
        <v>0</v>
      </c>
      <c r="AC5334" s="117" t="str">
        <f>IF(AB5334=1,COUNTIF($AB$3:AB5334,1),"")</f>
        <v/>
      </c>
      <c r="AD5334" s="117" t="str">
        <f>IFERROR(INDEX($AA$3:$AA$10000,MATCH(ROWS($AC$3:AC5334),$AC$3:$AC$10000,0)),"")</f>
        <v/>
      </c>
    </row>
    <row r="5335" spans="27:30">
      <c r="AA5335" s="117">
        <f>+'Ingredient List - Mother Tinctu'!D5336</f>
        <v>0</v>
      </c>
      <c r="AB5335" s="117">
        <f t="shared" si="86"/>
        <v>0</v>
      </c>
      <c r="AC5335" s="117" t="str">
        <f>IF(AB5335=1,COUNTIF($AB$3:AB5335,1),"")</f>
        <v/>
      </c>
      <c r="AD5335" s="117" t="str">
        <f>IFERROR(INDEX($AA$3:$AA$10000,MATCH(ROWS($AC$3:AC5335),$AC$3:$AC$10000,0)),"")</f>
        <v/>
      </c>
    </row>
    <row r="5336" spans="27:30">
      <c r="AA5336" s="117">
        <f>+'Ingredient List - Mother Tinctu'!D5337</f>
        <v>0</v>
      </c>
      <c r="AB5336" s="117">
        <f t="shared" si="86"/>
        <v>0</v>
      </c>
      <c r="AC5336" s="117" t="str">
        <f>IF(AB5336=1,COUNTIF($AB$3:AB5336,1),"")</f>
        <v/>
      </c>
      <c r="AD5336" s="117" t="str">
        <f>IFERROR(INDEX($AA$3:$AA$10000,MATCH(ROWS($AC$3:AC5336),$AC$3:$AC$10000,0)),"")</f>
        <v/>
      </c>
    </row>
    <row r="5337" spans="27:30">
      <c r="AA5337" s="117">
        <f>+'Ingredient List - Mother Tinctu'!D5338</f>
        <v>0</v>
      </c>
      <c r="AB5337" s="117">
        <f t="shared" si="86"/>
        <v>0</v>
      </c>
      <c r="AC5337" s="117" t="str">
        <f>IF(AB5337=1,COUNTIF($AB$3:AB5337,1),"")</f>
        <v/>
      </c>
      <c r="AD5337" s="117" t="str">
        <f>IFERROR(INDEX($AA$3:$AA$10000,MATCH(ROWS($AC$3:AC5337),$AC$3:$AC$10000,0)),"")</f>
        <v/>
      </c>
    </row>
    <row r="5338" spans="27:30">
      <c r="AA5338" s="117">
        <f>+'Ingredient List - Mother Tinctu'!D5339</f>
        <v>0</v>
      </c>
      <c r="AB5338" s="117">
        <f t="shared" si="86"/>
        <v>0</v>
      </c>
      <c r="AC5338" s="117" t="str">
        <f>IF(AB5338=1,COUNTIF($AB$3:AB5338,1),"")</f>
        <v/>
      </c>
      <c r="AD5338" s="117" t="str">
        <f>IFERROR(INDEX($AA$3:$AA$10000,MATCH(ROWS($AC$3:AC5338),$AC$3:$AC$10000,0)),"")</f>
        <v/>
      </c>
    </row>
    <row r="5339" spans="27:30">
      <c r="AA5339" s="117">
        <f>+'Ingredient List - Mother Tinctu'!D5340</f>
        <v>0</v>
      </c>
      <c r="AB5339" s="117">
        <f t="shared" si="86"/>
        <v>0</v>
      </c>
      <c r="AC5339" s="117" t="str">
        <f>IF(AB5339=1,COUNTIF($AB$3:AB5339,1),"")</f>
        <v/>
      </c>
      <c r="AD5339" s="117" t="str">
        <f>IFERROR(INDEX($AA$3:$AA$10000,MATCH(ROWS($AC$3:AC5339),$AC$3:$AC$10000,0)),"")</f>
        <v/>
      </c>
    </row>
    <row r="5340" spans="27:30">
      <c r="AA5340" s="117">
        <f>+'Ingredient List - Mother Tinctu'!D5341</f>
        <v>0</v>
      </c>
      <c r="AB5340" s="117">
        <f t="shared" si="86"/>
        <v>0</v>
      </c>
      <c r="AC5340" s="117" t="str">
        <f>IF(AB5340=1,COUNTIF($AB$3:AB5340,1),"")</f>
        <v/>
      </c>
      <c r="AD5340" s="117" t="str">
        <f>IFERROR(INDEX($AA$3:$AA$10000,MATCH(ROWS($AC$3:AC5340),$AC$3:$AC$10000,0)),"")</f>
        <v/>
      </c>
    </row>
    <row r="5341" spans="27:30">
      <c r="AA5341" s="117">
        <f>+'Ingredient List - Mother Tinctu'!D5342</f>
        <v>0</v>
      </c>
      <c r="AB5341" s="117">
        <f t="shared" si="86"/>
        <v>0</v>
      </c>
      <c r="AC5341" s="117" t="str">
        <f>IF(AB5341=1,COUNTIF($AB$3:AB5341,1),"")</f>
        <v/>
      </c>
      <c r="AD5341" s="117" t="str">
        <f>IFERROR(INDEX($AA$3:$AA$10000,MATCH(ROWS($AC$3:AC5341),$AC$3:$AC$10000,0)),"")</f>
        <v/>
      </c>
    </row>
    <row r="5342" spans="27:30">
      <c r="AA5342" s="117">
        <f>+'Ingredient List - Mother Tinctu'!D5343</f>
        <v>0</v>
      </c>
      <c r="AB5342" s="117">
        <f t="shared" si="86"/>
        <v>0</v>
      </c>
      <c r="AC5342" s="117" t="str">
        <f>IF(AB5342=1,COUNTIF($AB$3:AB5342,1),"")</f>
        <v/>
      </c>
      <c r="AD5342" s="117" t="str">
        <f>IFERROR(INDEX($AA$3:$AA$10000,MATCH(ROWS($AC$3:AC5342),$AC$3:$AC$10000,0)),"")</f>
        <v/>
      </c>
    </row>
    <row r="5343" spans="27:30">
      <c r="AA5343" s="117">
        <f>+'Ingredient List - Mother Tinctu'!D5344</f>
        <v>0</v>
      </c>
      <c r="AB5343" s="117">
        <f t="shared" si="86"/>
        <v>0</v>
      </c>
      <c r="AC5343" s="117" t="str">
        <f>IF(AB5343=1,COUNTIF($AB$3:AB5343,1),"")</f>
        <v/>
      </c>
      <c r="AD5343" s="117" t="str">
        <f>IFERROR(INDEX($AA$3:$AA$10000,MATCH(ROWS($AC$3:AC5343),$AC$3:$AC$10000,0)),"")</f>
        <v/>
      </c>
    </row>
    <row r="5344" spans="27:30">
      <c r="AA5344" s="117">
        <f>+'Ingredient List - Mother Tinctu'!D5345</f>
        <v>0</v>
      </c>
      <c r="AB5344" s="117">
        <f t="shared" si="86"/>
        <v>0</v>
      </c>
      <c r="AC5344" s="117" t="str">
        <f>IF(AB5344=1,COUNTIF($AB$3:AB5344,1),"")</f>
        <v/>
      </c>
      <c r="AD5344" s="117" t="str">
        <f>IFERROR(INDEX($AA$3:$AA$10000,MATCH(ROWS($AC$3:AC5344),$AC$3:$AC$10000,0)),"")</f>
        <v/>
      </c>
    </row>
    <row r="5345" spans="27:30">
      <c r="AA5345" s="117">
        <f>+'Ingredient List - Mother Tinctu'!D5346</f>
        <v>0</v>
      </c>
      <c r="AB5345" s="117">
        <f t="shared" si="86"/>
        <v>0</v>
      </c>
      <c r="AC5345" s="117" t="str">
        <f>IF(AB5345=1,COUNTIF($AB$3:AB5345,1),"")</f>
        <v/>
      </c>
      <c r="AD5345" s="117" t="str">
        <f>IFERROR(INDEX($AA$3:$AA$10000,MATCH(ROWS($AC$3:AC5345),$AC$3:$AC$10000,0)),"")</f>
        <v/>
      </c>
    </row>
    <row r="5346" spans="27:30">
      <c r="AA5346" s="117">
        <f>+'Ingredient List - Mother Tinctu'!D5347</f>
        <v>0</v>
      </c>
      <c r="AB5346" s="117">
        <f t="shared" si="86"/>
        <v>0</v>
      </c>
      <c r="AC5346" s="117" t="str">
        <f>IF(AB5346=1,COUNTIF($AB$3:AB5346,1),"")</f>
        <v/>
      </c>
      <c r="AD5346" s="117" t="str">
        <f>IFERROR(INDEX($AA$3:$AA$10000,MATCH(ROWS($AC$3:AC5346),$AC$3:$AC$10000,0)),"")</f>
        <v/>
      </c>
    </row>
    <row r="5347" spans="27:30">
      <c r="AA5347" s="117">
        <f>+'Ingredient List - Mother Tinctu'!D5348</f>
        <v>0</v>
      </c>
      <c r="AB5347" s="117">
        <f t="shared" si="86"/>
        <v>0</v>
      </c>
      <c r="AC5347" s="117" t="str">
        <f>IF(AB5347=1,COUNTIF($AB$3:AB5347,1),"")</f>
        <v/>
      </c>
      <c r="AD5347" s="117" t="str">
        <f>IFERROR(INDEX($AA$3:$AA$10000,MATCH(ROWS($AC$3:AC5347),$AC$3:$AC$10000,0)),"")</f>
        <v/>
      </c>
    </row>
    <row r="5348" spans="27:30">
      <c r="AA5348" s="117">
        <f>+'Ingredient List - Mother Tinctu'!D5349</f>
        <v>0</v>
      </c>
      <c r="AB5348" s="117">
        <f t="shared" si="86"/>
        <v>0</v>
      </c>
      <c r="AC5348" s="117" t="str">
        <f>IF(AB5348=1,COUNTIF($AB$3:AB5348,1),"")</f>
        <v/>
      </c>
      <c r="AD5348" s="117" t="str">
        <f>IFERROR(INDEX($AA$3:$AA$10000,MATCH(ROWS($AC$3:AC5348),$AC$3:$AC$10000,0)),"")</f>
        <v/>
      </c>
    </row>
    <row r="5349" spans="27:30">
      <c r="AA5349" s="117">
        <f>+'Ingredient List - Mother Tinctu'!D5350</f>
        <v>0</v>
      </c>
      <c r="AB5349" s="117">
        <f t="shared" si="86"/>
        <v>0</v>
      </c>
      <c r="AC5349" s="117" t="str">
        <f>IF(AB5349=1,COUNTIF($AB$3:AB5349,1),"")</f>
        <v/>
      </c>
      <c r="AD5349" s="117" t="str">
        <f>IFERROR(INDEX($AA$3:$AA$10000,MATCH(ROWS($AC$3:AC5349),$AC$3:$AC$10000,0)),"")</f>
        <v/>
      </c>
    </row>
    <row r="5350" spans="27:30">
      <c r="AA5350" s="117">
        <f>+'Ingredient List - Mother Tinctu'!D5351</f>
        <v>0</v>
      </c>
      <c r="AB5350" s="117">
        <f t="shared" si="86"/>
        <v>0</v>
      </c>
      <c r="AC5350" s="117" t="str">
        <f>IF(AB5350=1,COUNTIF($AB$3:AB5350,1),"")</f>
        <v/>
      </c>
      <c r="AD5350" s="117" t="str">
        <f>IFERROR(INDEX($AA$3:$AA$10000,MATCH(ROWS($AC$3:AC5350),$AC$3:$AC$10000,0)),"")</f>
        <v/>
      </c>
    </row>
    <row r="5351" spans="27:30">
      <c r="AA5351" s="117">
        <f>+'Ingredient List - Mother Tinctu'!D5352</f>
        <v>0</v>
      </c>
      <c r="AB5351" s="117">
        <f t="shared" si="86"/>
        <v>0</v>
      </c>
      <c r="AC5351" s="117" t="str">
        <f>IF(AB5351=1,COUNTIF($AB$3:AB5351,1),"")</f>
        <v/>
      </c>
      <c r="AD5351" s="117" t="str">
        <f>IFERROR(INDEX($AA$3:$AA$10000,MATCH(ROWS($AC$3:AC5351),$AC$3:$AC$10000,0)),"")</f>
        <v/>
      </c>
    </row>
    <row r="5352" spans="27:30">
      <c r="AA5352" s="117">
        <f>+'Ingredient List - Mother Tinctu'!D5353</f>
        <v>0</v>
      </c>
      <c r="AB5352" s="117">
        <f t="shared" si="86"/>
        <v>0</v>
      </c>
      <c r="AC5352" s="117" t="str">
        <f>IF(AB5352=1,COUNTIF($AB$3:AB5352,1),"")</f>
        <v/>
      </c>
      <c r="AD5352" s="117" t="str">
        <f>IFERROR(INDEX($AA$3:$AA$10000,MATCH(ROWS($AC$3:AC5352),$AC$3:$AC$10000,0)),"")</f>
        <v/>
      </c>
    </row>
    <row r="5353" spans="27:30">
      <c r="AA5353" s="117">
        <f>+'Ingredient List - Mother Tinctu'!D5354</f>
        <v>0</v>
      </c>
      <c r="AB5353" s="117">
        <f t="shared" si="86"/>
        <v>0</v>
      </c>
      <c r="AC5353" s="117" t="str">
        <f>IF(AB5353=1,COUNTIF($AB$3:AB5353,1),"")</f>
        <v/>
      </c>
      <c r="AD5353" s="117" t="str">
        <f>IFERROR(INDEX($AA$3:$AA$10000,MATCH(ROWS($AC$3:AC5353),$AC$3:$AC$10000,0)),"")</f>
        <v/>
      </c>
    </row>
    <row r="5354" spans="27:30">
      <c r="AA5354" s="117">
        <f>+'Ingredient List - Mother Tinctu'!D5355</f>
        <v>0</v>
      </c>
      <c r="AB5354" s="117">
        <f t="shared" si="86"/>
        <v>0</v>
      </c>
      <c r="AC5354" s="117" t="str">
        <f>IF(AB5354=1,COUNTIF($AB$3:AB5354,1),"")</f>
        <v/>
      </c>
      <c r="AD5354" s="117" t="str">
        <f>IFERROR(INDEX($AA$3:$AA$10000,MATCH(ROWS($AC$3:AC5354),$AC$3:$AC$10000,0)),"")</f>
        <v/>
      </c>
    </row>
    <row r="5355" spans="27:30">
      <c r="AA5355" s="117">
        <f>+'Ingredient List - Mother Tinctu'!D5356</f>
        <v>0</v>
      </c>
      <c r="AB5355" s="117">
        <f t="shared" si="86"/>
        <v>0</v>
      </c>
      <c r="AC5355" s="117" t="str">
        <f>IF(AB5355=1,COUNTIF($AB$3:AB5355,1),"")</f>
        <v/>
      </c>
      <c r="AD5355" s="117" t="str">
        <f>IFERROR(INDEX($AA$3:$AA$10000,MATCH(ROWS($AC$3:AC5355),$AC$3:$AC$10000,0)),"")</f>
        <v/>
      </c>
    </row>
    <row r="5356" spans="27:30">
      <c r="AA5356" s="117">
        <f>+'Ingredient List - Mother Tinctu'!D5357</f>
        <v>0</v>
      </c>
      <c r="AB5356" s="117">
        <f t="shared" si="86"/>
        <v>0</v>
      </c>
      <c r="AC5356" s="117" t="str">
        <f>IF(AB5356=1,COUNTIF($AB$3:AB5356,1),"")</f>
        <v/>
      </c>
      <c r="AD5356" s="117" t="str">
        <f>IFERROR(INDEX($AA$3:$AA$10000,MATCH(ROWS($AC$3:AC5356),$AC$3:$AC$10000,0)),"")</f>
        <v/>
      </c>
    </row>
    <row r="5357" spans="27:30">
      <c r="AA5357" s="117">
        <f>+'Ingredient List - Mother Tinctu'!D5358</f>
        <v>0</v>
      </c>
      <c r="AB5357" s="117">
        <f t="shared" si="86"/>
        <v>0</v>
      </c>
      <c r="AC5357" s="117" t="str">
        <f>IF(AB5357=1,COUNTIF($AB$3:AB5357,1),"")</f>
        <v/>
      </c>
      <c r="AD5357" s="117" t="str">
        <f>IFERROR(INDEX($AA$3:$AA$10000,MATCH(ROWS($AC$3:AC5357),$AC$3:$AC$10000,0)),"")</f>
        <v/>
      </c>
    </row>
    <row r="5358" spans="27:30">
      <c r="AA5358" s="117">
        <f>+'Ingredient List - Mother Tinctu'!D5359</f>
        <v>0</v>
      </c>
      <c r="AB5358" s="117">
        <f t="shared" si="86"/>
        <v>0</v>
      </c>
      <c r="AC5358" s="117" t="str">
        <f>IF(AB5358=1,COUNTIF($AB$3:AB5358,1),"")</f>
        <v/>
      </c>
      <c r="AD5358" s="117" t="str">
        <f>IFERROR(INDEX($AA$3:$AA$10000,MATCH(ROWS($AC$3:AC5358),$AC$3:$AC$10000,0)),"")</f>
        <v/>
      </c>
    </row>
    <row r="5359" spans="27:30">
      <c r="AA5359" s="117">
        <f>+'Ingredient List - Mother Tinctu'!D5360</f>
        <v>0</v>
      </c>
      <c r="AB5359" s="117">
        <f t="shared" si="86"/>
        <v>0</v>
      </c>
      <c r="AC5359" s="117" t="str">
        <f>IF(AB5359=1,COUNTIF($AB$3:AB5359,1),"")</f>
        <v/>
      </c>
      <c r="AD5359" s="117" t="str">
        <f>IFERROR(INDEX($AA$3:$AA$10000,MATCH(ROWS($AC$3:AC5359),$AC$3:$AC$10000,0)),"")</f>
        <v/>
      </c>
    </row>
    <row r="5360" spans="27:30">
      <c r="AA5360" s="117">
        <f>+'Ingredient List - Mother Tinctu'!D5361</f>
        <v>0</v>
      </c>
      <c r="AB5360" s="117">
        <f t="shared" si="86"/>
        <v>0</v>
      </c>
      <c r="AC5360" s="117" t="str">
        <f>IF(AB5360=1,COUNTIF($AB$3:AB5360,1),"")</f>
        <v/>
      </c>
      <c r="AD5360" s="117" t="str">
        <f>IFERROR(INDEX($AA$3:$AA$10000,MATCH(ROWS($AC$3:AC5360),$AC$3:$AC$10000,0)),"")</f>
        <v/>
      </c>
    </row>
    <row r="5361" spans="27:30">
      <c r="AA5361" s="117">
        <f>+'Ingredient List - Mother Tinctu'!D5362</f>
        <v>0</v>
      </c>
      <c r="AB5361" s="117">
        <f t="shared" si="86"/>
        <v>0</v>
      </c>
      <c r="AC5361" s="117" t="str">
        <f>IF(AB5361=1,COUNTIF($AB$3:AB5361,1),"")</f>
        <v/>
      </c>
      <c r="AD5361" s="117" t="str">
        <f>IFERROR(INDEX($AA$3:$AA$10000,MATCH(ROWS($AC$3:AC5361),$AC$3:$AC$10000,0)),"")</f>
        <v/>
      </c>
    </row>
    <row r="5362" spans="27:30">
      <c r="AA5362" s="117">
        <f>+'Ingredient List - Mother Tinctu'!D5363</f>
        <v>0</v>
      </c>
      <c r="AB5362" s="117">
        <f t="shared" si="86"/>
        <v>0</v>
      </c>
      <c r="AC5362" s="117" t="str">
        <f>IF(AB5362=1,COUNTIF($AB$3:AB5362,1),"")</f>
        <v/>
      </c>
      <c r="AD5362" s="117" t="str">
        <f>IFERROR(INDEX($AA$3:$AA$10000,MATCH(ROWS($AC$3:AC5362),$AC$3:$AC$10000,0)),"")</f>
        <v/>
      </c>
    </row>
    <row r="5363" spans="27:30">
      <c r="AA5363" s="117">
        <f>+'Ingredient List - Mother Tinctu'!D5364</f>
        <v>0</v>
      </c>
      <c r="AB5363" s="117">
        <f t="shared" si="86"/>
        <v>0</v>
      </c>
      <c r="AC5363" s="117" t="str">
        <f>IF(AB5363=1,COUNTIF($AB$3:AB5363,1),"")</f>
        <v/>
      </c>
      <c r="AD5363" s="117" t="str">
        <f>IFERROR(INDEX($AA$3:$AA$10000,MATCH(ROWS($AC$3:AC5363),$AC$3:$AC$10000,0)),"")</f>
        <v/>
      </c>
    </row>
    <row r="5364" spans="27:30">
      <c r="AA5364" s="117">
        <f>+'Ingredient List - Mother Tinctu'!D5365</f>
        <v>0</v>
      </c>
      <c r="AB5364" s="117">
        <f t="shared" si="86"/>
        <v>0</v>
      </c>
      <c r="AC5364" s="117" t="str">
        <f>IF(AB5364=1,COUNTIF($AB$3:AB5364,1),"")</f>
        <v/>
      </c>
      <c r="AD5364" s="117" t="str">
        <f>IFERROR(INDEX($AA$3:$AA$10000,MATCH(ROWS($AC$3:AC5364),$AC$3:$AC$10000,0)),"")</f>
        <v/>
      </c>
    </row>
    <row r="5365" spans="27:30">
      <c r="AA5365" s="117">
        <f>+'Ingredient List - Mother Tinctu'!D5366</f>
        <v>0</v>
      </c>
      <c r="AB5365" s="117">
        <f t="shared" si="86"/>
        <v>0</v>
      </c>
      <c r="AC5365" s="117" t="str">
        <f>IF(AB5365=1,COUNTIF($AB$3:AB5365,1),"")</f>
        <v/>
      </c>
      <c r="AD5365" s="117" t="str">
        <f>IFERROR(INDEX($AA$3:$AA$10000,MATCH(ROWS($AC$3:AC5365),$AC$3:$AC$10000,0)),"")</f>
        <v/>
      </c>
    </row>
    <row r="5366" spans="27:30">
      <c r="AA5366" s="117">
        <f>+'Ingredient List - Mother Tinctu'!D5367</f>
        <v>0</v>
      </c>
      <c r="AB5366" s="117">
        <f t="shared" si="86"/>
        <v>0</v>
      </c>
      <c r="AC5366" s="117" t="str">
        <f>IF(AB5366=1,COUNTIF($AB$3:AB5366,1),"")</f>
        <v/>
      </c>
      <c r="AD5366" s="117" t="str">
        <f>IFERROR(INDEX($AA$3:$AA$10000,MATCH(ROWS($AC$3:AC5366),$AC$3:$AC$10000,0)),"")</f>
        <v/>
      </c>
    </row>
    <row r="5367" spans="27:30">
      <c r="AA5367" s="117">
        <f>+'Ingredient List - Mother Tinctu'!D5368</f>
        <v>0</v>
      </c>
      <c r="AB5367" s="117">
        <f t="shared" si="86"/>
        <v>0</v>
      </c>
      <c r="AC5367" s="117" t="str">
        <f>IF(AB5367=1,COUNTIF($AB$3:AB5367,1),"")</f>
        <v/>
      </c>
      <c r="AD5367" s="117" t="str">
        <f>IFERROR(INDEX($AA$3:$AA$10000,MATCH(ROWS($AC$3:AC5367),$AC$3:$AC$10000,0)),"")</f>
        <v/>
      </c>
    </row>
    <row r="5368" spans="27:30">
      <c r="AA5368" s="117">
        <f>+'Ingredient List - Mother Tinctu'!D5369</f>
        <v>0</v>
      </c>
      <c r="AB5368" s="117">
        <f t="shared" si="86"/>
        <v>0</v>
      </c>
      <c r="AC5368" s="117" t="str">
        <f>IF(AB5368=1,COUNTIF($AB$3:AB5368,1),"")</f>
        <v/>
      </c>
      <c r="AD5368" s="117" t="str">
        <f>IFERROR(INDEX($AA$3:$AA$10000,MATCH(ROWS($AC$3:AC5368),$AC$3:$AC$10000,0)),"")</f>
        <v/>
      </c>
    </row>
    <row r="5369" spans="27:30">
      <c r="AA5369" s="117">
        <f>+'Ingredient List - Mother Tinctu'!D5370</f>
        <v>0</v>
      </c>
      <c r="AB5369" s="117">
        <f t="shared" si="86"/>
        <v>0</v>
      </c>
      <c r="AC5369" s="117" t="str">
        <f>IF(AB5369=1,COUNTIF($AB$3:AB5369,1),"")</f>
        <v/>
      </c>
      <c r="AD5369" s="117" t="str">
        <f>IFERROR(INDEX($AA$3:$AA$10000,MATCH(ROWS($AC$3:AC5369),$AC$3:$AC$10000,0)),"")</f>
        <v/>
      </c>
    </row>
    <row r="5370" spans="27:30">
      <c r="AA5370" s="117">
        <f>+'Ingredient List - Mother Tinctu'!D5371</f>
        <v>0</v>
      </c>
      <c r="AB5370" s="117">
        <f t="shared" si="86"/>
        <v>0</v>
      </c>
      <c r="AC5370" s="117" t="str">
        <f>IF(AB5370=1,COUNTIF($AB$3:AB5370,1),"")</f>
        <v/>
      </c>
      <c r="AD5370" s="117" t="str">
        <f>IFERROR(INDEX($AA$3:$AA$10000,MATCH(ROWS($AC$3:AC5370),$AC$3:$AC$10000,0)),"")</f>
        <v/>
      </c>
    </row>
    <row r="5371" spans="27:30">
      <c r="AA5371" s="117">
        <f>+'Ingredient List - Mother Tinctu'!D5372</f>
        <v>0</v>
      </c>
      <c r="AB5371" s="117">
        <f t="shared" si="86"/>
        <v>0</v>
      </c>
      <c r="AC5371" s="117" t="str">
        <f>IF(AB5371=1,COUNTIF($AB$3:AB5371,1),"")</f>
        <v/>
      </c>
      <c r="AD5371" s="117" t="str">
        <f>IFERROR(INDEX($AA$3:$AA$10000,MATCH(ROWS($AC$3:AC5371),$AC$3:$AC$10000,0)),"")</f>
        <v/>
      </c>
    </row>
    <row r="5372" spans="27:30">
      <c r="AA5372" s="117">
        <f>+'Ingredient List - Mother Tinctu'!D5373</f>
        <v>0</v>
      </c>
      <c r="AB5372" s="117">
        <f t="shared" si="86"/>
        <v>0</v>
      </c>
      <c r="AC5372" s="117" t="str">
        <f>IF(AB5372=1,COUNTIF($AB$3:AB5372,1),"")</f>
        <v/>
      </c>
      <c r="AD5372" s="117" t="str">
        <f>IFERROR(INDEX($AA$3:$AA$10000,MATCH(ROWS($AC$3:AC5372),$AC$3:$AC$10000,0)),"")</f>
        <v/>
      </c>
    </row>
    <row r="5373" spans="27:30">
      <c r="AA5373" s="117">
        <f>+'Ingredient List - Mother Tinctu'!D5374</f>
        <v>0</v>
      </c>
      <c r="AB5373" s="117">
        <f t="shared" si="86"/>
        <v>0</v>
      </c>
      <c r="AC5373" s="117" t="str">
        <f>IF(AB5373=1,COUNTIF($AB$3:AB5373,1),"")</f>
        <v/>
      </c>
      <c r="AD5373" s="117" t="str">
        <f>IFERROR(INDEX($AA$3:$AA$10000,MATCH(ROWS($AC$3:AC5373),$AC$3:$AC$10000,0)),"")</f>
        <v/>
      </c>
    </row>
    <row r="5374" spans="27:30">
      <c r="AA5374" s="117">
        <f>+'Ingredient List - Mother Tinctu'!D5375</f>
        <v>0</v>
      </c>
      <c r="AB5374" s="117">
        <f t="shared" si="86"/>
        <v>0</v>
      </c>
      <c r="AC5374" s="117" t="str">
        <f>IF(AB5374=1,COUNTIF($AB$3:AB5374,1),"")</f>
        <v/>
      </c>
      <c r="AD5374" s="117" t="str">
        <f>IFERROR(INDEX($AA$3:$AA$10000,MATCH(ROWS($AC$3:AC5374),$AC$3:$AC$10000,0)),"")</f>
        <v/>
      </c>
    </row>
    <row r="5375" spans="27:30">
      <c r="AA5375" s="117">
        <f>+'Ingredient List - Mother Tinctu'!D5376</f>
        <v>0</v>
      </c>
      <c r="AB5375" s="117">
        <f t="shared" si="86"/>
        <v>0</v>
      </c>
      <c r="AC5375" s="117" t="str">
        <f>IF(AB5375=1,COUNTIF($AB$3:AB5375,1),"")</f>
        <v/>
      </c>
      <c r="AD5375" s="117" t="str">
        <f>IFERROR(INDEX($AA$3:$AA$10000,MATCH(ROWS($AC$3:AC5375),$AC$3:$AC$10000,0)),"")</f>
        <v/>
      </c>
    </row>
    <row r="5376" spans="27:30">
      <c r="AA5376" s="117">
        <f>+'Ingredient List - Mother Tinctu'!D5377</f>
        <v>0</v>
      </c>
      <c r="AB5376" s="117">
        <f t="shared" si="86"/>
        <v>0</v>
      </c>
      <c r="AC5376" s="117" t="str">
        <f>IF(AB5376=1,COUNTIF($AB$3:AB5376,1),"")</f>
        <v/>
      </c>
      <c r="AD5376" s="117" t="str">
        <f>IFERROR(INDEX($AA$3:$AA$10000,MATCH(ROWS($AC$3:AC5376),$AC$3:$AC$10000,0)),"")</f>
        <v/>
      </c>
    </row>
    <row r="5377" spans="27:30">
      <c r="AA5377" s="117">
        <f>+'Ingredient List - Mother Tinctu'!D5378</f>
        <v>0</v>
      </c>
      <c r="AB5377" s="117">
        <f t="shared" si="86"/>
        <v>0</v>
      </c>
      <c r="AC5377" s="117" t="str">
        <f>IF(AB5377=1,COUNTIF($AB$3:AB5377,1),"")</f>
        <v/>
      </c>
      <c r="AD5377" s="117" t="str">
        <f>IFERROR(INDEX($AA$3:$AA$10000,MATCH(ROWS($AC$3:AC5377),$AC$3:$AC$10000,0)),"")</f>
        <v/>
      </c>
    </row>
    <row r="5378" spans="27:30">
      <c r="AA5378" s="117">
        <f>+'Ingredient List - Mother Tinctu'!D5379</f>
        <v>0</v>
      </c>
      <c r="AB5378" s="117">
        <f t="shared" si="86"/>
        <v>0</v>
      </c>
      <c r="AC5378" s="117" t="str">
        <f>IF(AB5378=1,COUNTIF($AB$3:AB5378,1),"")</f>
        <v/>
      </c>
      <c r="AD5378" s="117" t="str">
        <f>IFERROR(INDEX($AA$3:$AA$10000,MATCH(ROWS($AC$3:AC5378),$AC$3:$AC$10000,0)),"")</f>
        <v/>
      </c>
    </row>
    <row r="5379" spans="27:30">
      <c r="AA5379" s="117">
        <f>+'Ingredient List - Mother Tinctu'!D5380</f>
        <v>0</v>
      </c>
      <c r="AB5379" s="117">
        <f t="shared" si="86"/>
        <v>0</v>
      </c>
      <c r="AC5379" s="117" t="str">
        <f>IF(AB5379=1,COUNTIF($AB$3:AB5379,1),"")</f>
        <v/>
      </c>
      <c r="AD5379" s="117" t="str">
        <f>IFERROR(INDEX($AA$3:$AA$10000,MATCH(ROWS($AC$3:AC5379),$AC$3:$AC$10000,0)),"")</f>
        <v/>
      </c>
    </row>
    <row r="5380" spans="27:30">
      <c r="AA5380" s="117">
        <f>+'Ingredient List - Mother Tinctu'!D5381</f>
        <v>0</v>
      </c>
      <c r="AB5380" s="117">
        <f t="shared" ref="AB5380:AB5443" si="87">--ISNUMBER(IFERROR(SEARCH($D$3,AA5380,1),""))</f>
        <v>0</v>
      </c>
      <c r="AC5380" s="117" t="str">
        <f>IF(AB5380=1,COUNTIF($AB$3:AB5380,1),"")</f>
        <v/>
      </c>
      <c r="AD5380" s="117" t="str">
        <f>IFERROR(INDEX($AA$3:$AA$10000,MATCH(ROWS($AC$3:AC5380),$AC$3:$AC$10000,0)),"")</f>
        <v/>
      </c>
    </row>
    <row r="5381" spans="27:30">
      <c r="AA5381" s="117">
        <f>+'Ingredient List - Mother Tinctu'!D5382</f>
        <v>0</v>
      </c>
      <c r="AB5381" s="117">
        <f t="shared" si="87"/>
        <v>0</v>
      </c>
      <c r="AC5381" s="117" t="str">
        <f>IF(AB5381=1,COUNTIF($AB$3:AB5381,1),"")</f>
        <v/>
      </c>
      <c r="AD5381" s="117" t="str">
        <f>IFERROR(INDEX($AA$3:$AA$10000,MATCH(ROWS($AC$3:AC5381),$AC$3:$AC$10000,0)),"")</f>
        <v/>
      </c>
    </row>
    <row r="5382" spans="27:30">
      <c r="AA5382" s="117">
        <f>+'Ingredient List - Mother Tinctu'!D5383</f>
        <v>0</v>
      </c>
      <c r="AB5382" s="117">
        <f t="shared" si="87"/>
        <v>0</v>
      </c>
      <c r="AC5382" s="117" t="str">
        <f>IF(AB5382=1,COUNTIF($AB$3:AB5382,1),"")</f>
        <v/>
      </c>
      <c r="AD5382" s="117" t="str">
        <f>IFERROR(INDEX($AA$3:$AA$10000,MATCH(ROWS($AC$3:AC5382),$AC$3:$AC$10000,0)),"")</f>
        <v/>
      </c>
    </row>
    <row r="5383" spans="27:30">
      <c r="AA5383" s="117">
        <f>+'Ingredient List - Mother Tinctu'!D5384</f>
        <v>0</v>
      </c>
      <c r="AB5383" s="117">
        <f t="shared" si="87"/>
        <v>0</v>
      </c>
      <c r="AC5383" s="117" t="str">
        <f>IF(AB5383=1,COUNTIF($AB$3:AB5383,1),"")</f>
        <v/>
      </c>
      <c r="AD5383" s="117" t="str">
        <f>IFERROR(INDEX($AA$3:$AA$10000,MATCH(ROWS($AC$3:AC5383),$AC$3:$AC$10000,0)),"")</f>
        <v/>
      </c>
    </row>
    <row r="5384" spans="27:30">
      <c r="AA5384" s="117">
        <f>+'Ingredient List - Mother Tinctu'!D5385</f>
        <v>0</v>
      </c>
      <c r="AB5384" s="117">
        <f t="shared" si="87"/>
        <v>0</v>
      </c>
      <c r="AC5384" s="117" t="str">
        <f>IF(AB5384=1,COUNTIF($AB$3:AB5384,1),"")</f>
        <v/>
      </c>
      <c r="AD5384" s="117" t="str">
        <f>IFERROR(INDEX($AA$3:$AA$10000,MATCH(ROWS($AC$3:AC5384),$AC$3:$AC$10000,0)),"")</f>
        <v/>
      </c>
    </row>
    <row r="5385" spans="27:30">
      <c r="AA5385" s="117">
        <f>+'Ingredient List - Mother Tinctu'!D5386</f>
        <v>0</v>
      </c>
      <c r="AB5385" s="117">
        <f t="shared" si="87"/>
        <v>0</v>
      </c>
      <c r="AC5385" s="117" t="str">
        <f>IF(AB5385=1,COUNTIF($AB$3:AB5385,1),"")</f>
        <v/>
      </c>
      <c r="AD5385" s="117" t="str">
        <f>IFERROR(INDEX($AA$3:$AA$10000,MATCH(ROWS($AC$3:AC5385),$AC$3:$AC$10000,0)),"")</f>
        <v/>
      </c>
    </row>
    <row r="5386" spans="27:30">
      <c r="AA5386" s="117">
        <f>+'Ingredient List - Mother Tinctu'!D5387</f>
        <v>0</v>
      </c>
      <c r="AB5386" s="117">
        <f t="shared" si="87"/>
        <v>0</v>
      </c>
      <c r="AC5386" s="117" t="str">
        <f>IF(AB5386=1,COUNTIF($AB$3:AB5386,1),"")</f>
        <v/>
      </c>
      <c r="AD5386" s="117" t="str">
        <f>IFERROR(INDEX($AA$3:$AA$10000,MATCH(ROWS($AC$3:AC5386),$AC$3:$AC$10000,0)),"")</f>
        <v/>
      </c>
    </row>
    <row r="5387" spans="27:30">
      <c r="AA5387" s="117">
        <f>+'Ingredient List - Mother Tinctu'!D5388</f>
        <v>0</v>
      </c>
      <c r="AB5387" s="117">
        <f t="shared" si="87"/>
        <v>0</v>
      </c>
      <c r="AC5387" s="117" t="str">
        <f>IF(AB5387=1,COUNTIF($AB$3:AB5387,1),"")</f>
        <v/>
      </c>
      <c r="AD5387" s="117" t="str">
        <f>IFERROR(INDEX($AA$3:$AA$10000,MATCH(ROWS($AC$3:AC5387),$AC$3:$AC$10000,0)),"")</f>
        <v/>
      </c>
    </row>
    <row r="5388" spans="27:30">
      <c r="AA5388" s="117">
        <f>+'Ingredient List - Mother Tinctu'!D5389</f>
        <v>0</v>
      </c>
      <c r="AB5388" s="117">
        <f t="shared" si="87"/>
        <v>0</v>
      </c>
      <c r="AC5388" s="117" t="str">
        <f>IF(AB5388=1,COUNTIF($AB$3:AB5388,1),"")</f>
        <v/>
      </c>
      <c r="AD5388" s="117" t="str">
        <f>IFERROR(INDEX($AA$3:$AA$10000,MATCH(ROWS($AC$3:AC5388),$AC$3:$AC$10000,0)),"")</f>
        <v/>
      </c>
    </row>
    <row r="5389" spans="27:30">
      <c r="AA5389" s="117">
        <f>+'Ingredient List - Mother Tinctu'!D5390</f>
        <v>0</v>
      </c>
      <c r="AB5389" s="117">
        <f t="shared" si="87"/>
        <v>0</v>
      </c>
      <c r="AC5389" s="117" t="str">
        <f>IF(AB5389=1,COUNTIF($AB$3:AB5389,1),"")</f>
        <v/>
      </c>
      <c r="AD5389" s="117" t="str">
        <f>IFERROR(INDEX($AA$3:$AA$10000,MATCH(ROWS($AC$3:AC5389),$AC$3:$AC$10000,0)),"")</f>
        <v/>
      </c>
    </row>
    <row r="5390" spans="27:30">
      <c r="AA5390" s="117">
        <f>+'Ingredient List - Mother Tinctu'!D5391</f>
        <v>0</v>
      </c>
      <c r="AB5390" s="117">
        <f t="shared" si="87"/>
        <v>0</v>
      </c>
      <c r="AC5390" s="117" t="str">
        <f>IF(AB5390=1,COUNTIF($AB$3:AB5390,1),"")</f>
        <v/>
      </c>
      <c r="AD5390" s="117" t="str">
        <f>IFERROR(INDEX($AA$3:$AA$10000,MATCH(ROWS($AC$3:AC5390),$AC$3:$AC$10000,0)),"")</f>
        <v/>
      </c>
    </row>
    <row r="5391" spans="27:30">
      <c r="AA5391" s="117">
        <f>+'Ingredient List - Mother Tinctu'!D5392</f>
        <v>0</v>
      </c>
      <c r="AB5391" s="117">
        <f t="shared" si="87"/>
        <v>0</v>
      </c>
      <c r="AC5391" s="117" t="str">
        <f>IF(AB5391=1,COUNTIF($AB$3:AB5391,1),"")</f>
        <v/>
      </c>
      <c r="AD5391" s="117" t="str">
        <f>IFERROR(INDEX($AA$3:$AA$10000,MATCH(ROWS($AC$3:AC5391),$AC$3:$AC$10000,0)),"")</f>
        <v/>
      </c>
    </row>
    <row r="5392" spans="27:30">
      <c r="AA5392" s="117">
        <f>+'Ingredient List - Mother Tinctu'!D5393</f>
        <v>0</v>
      </c>
      <c r="AB5392" s="117">
        <f t="shared" si="87"/>
        <v>0</v>
      </c>
      <c r="AC5392" s="117" t="str">
        <f>IF(AB5392=1,COUNTIF($AB$3:AB5392,1),"")</f>
        <v/>
      </c>
      <c r="AD5392" s="117" t="str">
        <f>IFERROR(INDEX($AA$3:$AA$10000,MATCH(ROWS($AC$3:AC5392),$AC$3:$AC$10000,0)),"")</f>
        <v/>
      </c>
    </row>
    <row r="5393" spans="27:30">
      <c r="AA5393" s="117">
        <f>+'Ingredient List - Mother Tinctu'!D5394</f>
        <v>0</v>
      </c>
      <c r="AB5393" s="117">
        <f t="shared" si="87"/>
        <v>0</v>
      </c>
      <c r="AC5393" s="117" t="str">
        <f>IF(AB5393=1,COUNTIF($AB$3:AB5393,1),"")</f>
        <v/>
      </c>
      <c r="AD5393" s="117" t="str">
        <f>IFERROR(INDEX($AA$3:$AA$10000,MATCH(ROWS($AC$3:AC5393),$AC$3:$AC$10000,0)),"")</f>
        <v/>
      </c>
    </row>
    <row r="5394" spans="27:30">
      <c r="AA5394" s="117">
        <f>+'Ingredient List - Mother Tinctu'!D5395</f>
        <v>0</v>
      </c>
      <c r="AB5394" s="117">
        <f t="shared" si="87"/>
        <v>0</v>
      </c>
      <c r="AC5394" s="117" t="str">
        <f>IF(AB5394=1,COUNTIF($AB$3:AB5394,1),"")</f>
        <v/>
      </c>
      <c r="AD5394" s="117" t="str">
        <f>IFERROR(INDEX($AA$3:$AA$10000,MATCH(ROWS($AC$3:AC5394),$AC$3:$AC$10000,0)),"")</f>
        <v/>
      </c>
    </row>
    <row r="5395" spans="27:30">
      <c r="AA5395" s="117">
        <f>+'Ingredient List - Mother Tinctu'!D5396</f>
        <v>0</v>
      </c>
      <c r="AB5395" s="117">
        <f t="shared" si="87"/>
        <v>0</v>
      </c>
      <c r="AC5395" s="117" t="str">
        <f>IF(AB5395=1,COUNTIF($AB$3:AB5395,1),"")</f>
        <v/>
      </c>
      <c r="AD5395" s="117" t="str">
        <f>IFERROR(INDEX($AA$3:$AA$10000,MATCH(ROWS($AC$3:AC5395),$AC$3:$AC$10000,0)),"")</f>
        <v/>
      </c>
    </row>
    <row r="5396" spans="27:30">
      <c r="AA5396" s="117">
        <f>+'Ingredient List - Mother Tinctu'!D5397</f>
        <v>0</v>
      </c>
      <c r="AB5396" s="117">
        <f t="shared" si="87"/>
        <v>0</v>
      </c>
      <c r="AC5396" s="117" t="str">
        <f>IF(AB5396=1,COUNTIF($AB$3:AB5396,1),"")</f>
        <v/>
      </c>
      <c r="AD5396" s="117" t="str">
        <f>IFERROR(INDEX($AA$3:$AA$10000,MATCH(ROWS($AC$3:AC5396),$AC$3:$AC$10000,0)),"")</f>
        <v/>
      </c>
    </row>
    <row r="5397" spans="27:30">
      <c r="AA5397" s="117">
        <f>+'Ingredient List - Mother Tinctu'!D5398</f>
        <v>0</v>
      </c>
      <c r="AB5397" s="117">
        <f t="shared" si="87"/>
        <v>0</v>
      </c>
      <c r="AC5397" s="117" t="str">
        <f>IF(AB5397=1,COUNTIF($AB$3:AB5397,1),"")</f>
        <v/>
      </c>
      <c r="AD5397" s="117" t="str">
        <f>IFERROR(INDEX($AA$3:$AA$10000,MATCH(ROWS($AC$3:AC5397),$AC$3:$AC$10000,0)),"")</f>
        <v/>
      </c>
    </row>
    <row r="5398" spans="27:30">
      <c r="AA5398" s="117">
        <f>+'Ingredient List - Mother Tinctu'!D5399</f>
        <v>0</v>
      </c>
      <c r="AB5398" s="117">
        <f t="shared" si="87"/>
        <v>0</v>
      </c>
      <c r="AC5398" s="117" t="str">
        <f>IF(AB5398=1,COUNTIF($AB$3:AB5398,1),"")</f>
        <v/>
      </c>
      <c r="AD5398" s="117" t="str">
        <f>IFERROR(INDEX($AA$3:$AA$10000,MATCH(ROWS($AC$3:AC5398),$AC$3:$AC$10000,0)),"")</f>
        <v/>
      </c>
    </row>
    <row r="5399" spans="27:30">
      <c r="AA5399" s="117">
        <f>+'Ingredient List - Mother Tinctu'!D5400</f>
        <v>0</v>
      </c>
      <c r="AB5399" s="117">
        <f t="shared" si="87"/>
        <v>0</v>
      </c>
      <c r="AC5399" s="117" t="str">
        <f>IF(AB5399=1,COUNTIF($AB$3:AB5399,1),"")</f>
        <v/>
      </c>
      <c r="AD5399" s="117" t="str">
        <f>IFERROR(INDEX($AA$3:$AA$10000,MATCH(ROWS($AC$3:AC5399),$AC$3:$AC$10000,0)),"")</f>
        <v/>
      </c>
    </row>
    <row r="5400" spans="27:30">
      <c r="AA5400" s="117">
        <f>+'Ingredient List - Mother Tinctu'!D5401</f>
        <v>0</v>
      </c>
      <c r="AB5400" s="117">
        <f t="shared" si="87"/>
        <v>0</v>
      </c>
      <c r="AC5400" s="117" t="str">
        <f>IF(AB5400=1,COUNTIF($AB$3:AB5400,1),"")</f>
        <v/>
      </c>
      <c r="AD5400" s="117" t="str">
        <f>IFERROR(INDEX($AA$3:$AA$10000,MATCH(ROWS($AC$3:AC5400),$AC$3:$AC$10000,0)),"")</f>
        <v/>
      </c>
    </row>
    <row r="5401" spans="27:30">
      <c r="AA5401" s="117">
        <f>+'Ingredient List - Mother Tinctu'!D5402</f>
        <v>0</v>
      </c>
      <c r="AB5401" s="117">
        <f t="shared" si="87"/>
        <v>0</v>
      </c>
      <c r="AC5401" s="117" t="str">
        <f>IF(AB5401=1,COUNTIF($AB$3:AB5401,1),"")</f>
        <v/>
      </c>
      <c r="AD5401" s="117" t="str">
        <f>IFERROR(INDEX($AA$3:$AA$10000,MATCH(ROWS($AC$3:AC5401),$AC$3:$AC$10000,0)),"")</f>
        <v/>
      </c>
    </row>
    <row r="5402" spans="27:30">
      <c r="AA5402" s="117">
        <f>+'Ingredient List - Mother Tinctu'!D5403</f>
        <v>0</v>
      </c>
      <c r="AB5402" s="117">
        <f t="shared" si="87"/>
        <v>0</v>
      </c>
      <c r="AC5402" s="117" t="str">
        <f>IF(AB5402=1,COUNTIF($AB$3:AB5402,1),"")</f>
        <v/>
      </c>
      <c r="AD5402" s="117" t="str">
        <f>IFERROR(INDEX($AA$3:$AA$10000,MATCH(ROWS($AC$3:AC5402),$AC$3:$AC$10000,0)),"")</f>
        <v/>
      </c>
    </row>
    <row r="5403" spans="27:30">
      <c r="AA5403" s="117">
        <f>+'Ingredient List - Mother Tinctu'!D5404</f>
        <v>0</v>
      </c>
      <c r="AB5403" s="117">
        <f t="shared" si="87"/>
        <v>0</v>
      </c>
      <c r="AC5403" s="117" t="str">
        <f>IF(AB5403=1,COUNTIF($AB$3:AB5403,1),"")</f>
        <v/>
      </c>
      <c r="AD5403" s="117" t="str">
        <f>IFERROR(INDEX($AA$3:$AA$10000,MATCH(ROWS($AC$3:AC5403),$AC$3:$AC$10000,0)),"")</f>
        <v/>
      </c>
    </row>
    <row r="5404" spans="27:30">
      <c r="AA5404" s="117">
        <f>+'Ingredient List - Mother Tinctu'!D5405</f>
        <v>0</v>
      </c>
      <c r="AB5404" s="117">
        <f t="shared" si="87"/>
        <v>0</v>
      </c>
      <c r="AC5404" s="117" t="str">
        <f>IF(AB5404=1,COUNTIF($AB$3:AB5404,1),"")</f>
        <v/>
      </c>
      <c r="AD5404" s="117" t="str">
        <f>IFERROR(INDEX($AA$3:$AA$10000,MATCH(ROWS($AC$3:AC5404),$AC$3:$AC$10000,0)),"")</f>
        <v/>
      </c>
    </row>
    <row r="5405" spans="27:30">
      <c r="AA5405" s="117">
        <f>+'Ingredient List - Mother Tinctu'!D5406</f>
        <v>0</v>
      </c>
      <c r="AB5405" s="117">
        <f t="shared" si="87"/>
        <v>0</v>
      </c>
      <c r="AC5405" s="117" t="str">
        <f>IF(AB5405=1,COUNTIF($AB$3:AB5405,1),"")</f>
        <v/>
      </c>
      <c r="AD5405" s="117" t="str">
        <f>IFERROR(INDEX($AA$3:$AA$10000,MATCH(ROWS($AC$3:AC5405),$AC$3:$AC$10000,0)),"")</f>
        <v/>
      </c>
    </row>
    <row r="5406" spans="27:30">
      <c r="AA5406" s="117">
        <f>+'Ingredient List - Mother Tinctu'!D5407</f>
        <v>0</v>
      </c>
      <c r="AB5406" s="117">
        <f t="shared" si="87"/>
        <v>0</v>
      </c>
      <c r="AC5406" s="117" t="str">
        <f>IF(AB5406=1,COUNTIF($AB$3:AB5406,1),"")</f>
        <v/>
      </c>
      <c r="AD5406" s="117" t="str">
        <f>IFERROR(INDEX($AA$3:$AA$10000,MATCH(ROWS($AC$3:AC5406),$AC$3:$AC$10000,0)),"")</f>
        <v/>
      </c>
    </row>
    <row r="5407" spans="27:30">
      <c r="AA5407" s="117">
        <f>+'Ingredient List - Mother Tinctu'!D5408</f>
        <v>0</v>
      </c>
      <c r="AB5407" s="117">
        <f t="shared" si="87"/>
        <v>0</v>
      </c>
      <c r="AC5407" s="117" t="str">
        <f>IF(AB5407=1,COUNTIF($AB$3:AB5407,1),"")</f>
        <v/>
      </c>
      <c r="AD5407" s="117" t="str">
        <f>IFERROR(INDEX($AA$3:$AA$10000,MATCH(ROWS($AC$3:AC5407),$AC$3:$AC$10000,0)),"")</f>
        <v/>
      </c>
    </row>
    <row r="5408" spans="27:30">
      <c r="AA5408" s="117">
        <f>+'Ingredient List - Mother Tinctu'!D5409</f>
        <v>0</v>
      </c>
      <c r="AB5408" s="117">
        <f t="shared" si="87"/>
        <v>0</v>
      </c>
      <c r="AC5408" s="117" t="str">
        <f>IF(AB5408=1,COUNTIF($AB$3:AB5408,1),"")</f>
        <v/>
      </c>
      <c r="AD5408" s="117" t="str">
        <f>IFERROR(INDEX($AA$3:$AA$10000,MATCH(ROWS($AC$3:AC5408),$AC$3:$AC$10000,0)),"")</f>
        <v/>
      </c>
    </row>
    <row r="5409" spans="27:30">
      <c r="AA5409" s="117">
        <f>+'Ingredient List - Mother Tinctu'!D5410</f>
        <v>0</v>
      </c>
      <c r="AB5409" s="117">
        <f t="shared" si="87"/>
        <v>0</v>
      </c>
      <c r="AC5409" s="117" t="str">
        <f>IF(AB5409=1,COUNTIF($AB$3:AB5409,1),"")</f>
        <v/>
      </c>
      <c r="AD5409" s="117" t="str">
        <f>IFERROR(INDEX($AA$3:$AA$10000,MATCH(ROWS($AC$3:AC5409),$AC$3:$AC$10000,0)),"")</f>
        <v/>
      </c>
    </row>
    <row r="5410" spans="27:30">
      <c r="AA5410" s="117">
        <f>+'Ingredient List - Mother Tinctu'!D5411</f>
        <v>0</v>
      </c>
      <c r="AB5410" s="117">
        <f t="shared" si="87"/>
        <v>0</v>
      </c>
      <c r="AC5410" s="117" t="str">
        <f>IF(AB5410=1,COUNTIF($AB$3:AB5410,1),"")</f>
        <v/>
      </c>
      <c r="AD5410" s="117" t="str">
        <f>IFERROR(INDEX($AA$3:$AA$10000,MATCH(ROWS($AC$3:AC5410),$AC$3:$AC$10000,0)),"")</f>
        <v/>
      </c>
    </row>
    <row r="5411" spans="27:30">
      <c r="AA5411" s="117">
        <f>+'Ingredient List - Mother Tinctu'!D5412</f>
        <v>0</v>
      </c>
      <c r="AB5411" s="117">
        <f t="shared" si="87"/>
        <v>0</v>
      </c>
      <c r="AC5411" s="117" t="str">
        <f>IF(AB5411=1,COUNTIF($AB$3:AB5411,1),"")</f>
        <v/>
      </c>
      <c r="AD5411" s="117" t="str">
        <f>IFERROR(INDEX($AA$3:$AA$10000,MATCH(ROWS($AC$3:AC5411),$AC$3:$AC$10000,0)),"")</f>
        <v/>
      </c>
    </row>
    <row r="5412" spans="27:30">
      <c r="AA5412" s="117">
        <f>+'Ingredient List - Mother Tinctu'!D5413</f>
        <v>0</v>
      </c>
      <c r="AB5412" s="117">
        <f t="shared" si="87"/>
        <v>0</v>
      </c>
      <c r="AC5412" s="117" t="str">
        <f>IF(AB5412=1,COUNTIF($AB$3:AB5412,1),"")</f>
        <v/>
      </c>
      <c r="AD5412" s="117" t="str">
        <f>IFERROR(INDEX($AA$3:$AA$10000,MATCH(ROWS($AC$3:AC5412),$AC$3:$AC$10000,0)),"")</f>
        <v/>
      </c>
    </row>
    <row r="5413" spans="27:30">
      <c r="AA5413" s="117">
        <f>+'Ingredient List - Mother Tinctu'!D5414</f>
        <v>0</v>
      </c>
      <c r="AB5413" s="117">
        <f t="shared" si="87"/>
        <v>0</v>
      </c>
      <c r="AC5413" s="117" t="str">
        <f>IF(AB5413=1,COUNTIF($AB$3:AB5413,1),"")</f>
        <v/>
      </c>
      <c r="AD5413" s="117" t="str">
        <f>IFERROR(INDEX($AA$3:$AA$10000,MATCH(ROWS($AC$3:AC5413),$AC$3:$AC$10000,0)),"")</f>
        <v/>
      </c>
    </row>
    <row r="5414" spans="27:30">
      <c r="AA5414" s="117">
        <f>+'Ingredient List - Mother Tinctu'!D5415</f>
        <v>0</v>
      </c>
      <c r="AB5414" s="117">
        <f t="shared" si="87"/>
        <v>0</v>
      </c>
      <c r="AC5414" s="117" t="str">
        <f>IF(AB5414=1,COUNTIF($AB$3:AB5414,1),"")</f>
        <v/>
      </c>
      <c r="AD5414" s="117" t="str">
        <f>IFERROR(INDEX($AA$3:$AA$10000,MATCH(ROWS($AC$3:AC5414),$AC$3:$AC$10000,0)),"")</f>
        <v/>
      </c>
    </row>
    <row r="5415" spans="27:30">
      <c r="AA5415" s="117">
        <f>+'Ingredient List - Mother Tinctu'!D5416</f>
        <v>0</v>
      </c>
      <c r="AB5415" s="117">
        <f t="shared" si="87"/>
        <v>0</v>
      </c>
      <c r="AC5415" s="117" t="str">
        <f>IF(AB5415=1,COUNTIF($AB$3:AB5415,1),"")</f>
        <v/>
      </c>
      <c r="AD5415" s="117" t="str">
        <f>IFERROR(INDEX($AA$3:$AA$10000,MATCH(ROWS($AC$3:AC5415),$AC$3:$AC$10000,0)),"")</f>
        <v/>
      </c>
    </row>
    <row r="5416" spans="27:30">
      <c r="AA5416" s="117">
        <f>+'Ingredient List - Mother Tinctu'!D5417</f>
        <v>0</v>
      </c>
      <c r="AB5416" s="117">
        <f t="shared" si="87"/>
        <v>0</v>
      </c>
      <c r="AC5416" s="117" t="str">
        <f>IF(AB5416=1,COUNTIF($AB$3:AB5416,1),"")</f>
        <v/>
      </c>
      <c r="AD5416" s="117" t="str">
        <f>IFERROR(INDEX($AA$3:$AA$10000,MATCH(ROWS($AC$3:AC5416),$AC$3:$AC$10000,0)),"")</f>
        <v/>
      </c>
    </row>
    <row r="5417" spans="27:30">
      <c r="AA5417" s="117">
        <f>+'Ingredient List - Mother Tinctu'!D5418</f>
        <v>0</v>
      </c>
      <c r="AB5417" s="117">
        <f t="shared" si="87"/>
        <v>0</v>
      </c>
      <c r="AC5417" s="117" t="str">
        <f>IF(AB5417=1,COUNTIF($AB$3:AB5417,1),"")</f>
        <v/>
      </c>
      <c r="AD5417" s="117" t="str">
        <f>IFERROR(INDEX($AA$3:$AA$10000,MATCH(ROWS($AC$3:AC5417),$AC$3:$AC$10000,0)),"")</f>
        <v/>
      </c>
    </row>
    <row r="5418" spans="27:30">
      <c r="AA5418" s="117">
        <f>+'Ingredient List - Mother Tinctu'!D5419</f>
        <v>0</v>
      </c>
      <c r="AB5418" s="117">
        <f t="shared" si="87"/>
        <v>0</v>
      </c>
      <c r="AC5418" s="117" t="str">
        <f>IF(AB5418=1,COUNTIF($AB$3:AB5418,1),"")</f>
        <v/>
      </c>
      <c r="AD5418" s="117" t="str">
        <f>IFERROR(INDEX($AA$3:$AA$10000,MATCH(ROWS($AC$3:AC5418),$AC$3:$AC$10000,0)),"")</f>
        <v/>
      </c>
    </row>
    <row r="5419" spans="27:30">
      <c r="AA5419" s="117">
        <f>+'Ingredient List - Mother Tinctu'!D5420</f>
        <v>0</v>
      </c>
      <c r="AB5419" s="117">
        <f t="shared" si="87"/>
        <v>0</v>
      </c>
      <c r="AC5419" s="117" t="str">
        <f>IF(AB5419=1,COUNTIF($AB$3:AB5419,1),"")</f>
        <v/>
      </c>
      <c r="AD5419" s="117" t="str">
        <f>IFERROR(INDEX($AA$3:$AA$10000,MATCH(ROWS($AC$3:AC5419),$AC$3:$AC$10000,0)),"")</f>
        <v/>
      </c>
    </row>
    <row r="5420" spans="27:30">
      <c r="AA5420" s="117">
        <f>+'Ingredient List - Mother Tinctu'!D5421</f>
        <v>0</v>
      </c>
      <c r="AB5420" s="117">
        <f t="shared" si="87"/>
        <v>0</v>
      </c>
      <c r="AC5420" s="117" t="str">
        <f>IF(AB5420=1,COUNTIF($AB$3:AB5420,1),"")</f>
        <v/>
      </c>
      <c r="AD5420" s="117" t="str">
        <f>IFERROR(INDEX($AA$3:$AA$10000,MATCH(ROWS($AC$3:AC5420),$AC$3:$AC$10000,0)),"")</f>
        <v/>
      </c>
    </row>
    <row r="5421" spans="27:30">
      <c r="AA5421" s="117">
        <f>+'Ingredient List - Mother Tinctu'!D5422</f>
        <v>0</v>
      </c>
      <c r="AB5421" s="117">
        <f t="shared" si="87"/>
        <v>0</v>
      </c>
      <c r="AC5421" s="117" t="str">
        <f>IF(AB5421=1,COUNTIF($AB$3:AB5421,1),"")</f>
        <v/>
      </c>
      <c r="AD5421" s="117" t="str">
        <f>IFERROR(INDEX($AA$3:$AA$10000,MATCH(ROWS($AC$3:AC5421),$AC$3:$AC$10000,0)),"")</f>
        <v/>
      </c>
    </row>
    <row r="5422" spans="27:30">
      <c r="AA5422" s="117">
        <f>+'Ingredient List - Mother Tinctu'!D5423</f>
        <v>0</v>
      </c>
      <c r="AB5422" s="117">
        <f t="shared" si="87"/>
        <v>0</v>
      </c>
      <c r="AC5422" s="117" t="str">
        <f>IF(AB5422=1,COUNTIF($AB$3:AB5422,1),"")</f>
        <v/>
      </c>
      <c r="AD5422" s="117" t="str">
        <f>IFERROR(INDEX($AA$3:$AA$10000,MATCH(ROWS($AC$3:AC5422),$AC$3:$AC$10000,0)),"")</f>
        <v/>
      </c>
    </row>
    <row r="5423" spans="27:30">
      <c r="AA5423" s="117">
        <f>+'Ingredient List - Mother Tinctu'!D5424</f>
        <v>0</v>
      </c>
      <c r="AB5423" s="117">
        <f t="shared" si="87"/>
        <v>0</v>
      </c>
      <c r="AC5423" s="117" t="str">
        <f>IF(AB5423=1,COUNTIF($AB$3:AB5423,1),"")</f>
        <v/>
      </c>
      <c r="AD5423" s="117" t="str">
        <f>IFERROR(INDEX($AA$3:$AA$10000,MATCH(ROWS($AC$3:AC5423),$AC$3:$AC$10000,0)),"")</f>
        <v/>
      </c>
    </row>
    <row r="5424" spans="27:30">
      <c r="AA5424" s="117">
        <f>+'Ingredient List - Mother Tinctu'!D5425</f>
        <v>0</v>
      </c>
      <c r="AB5424" s="117">
        <f t="shared" si="87"/>
        <v>0</v>
      </c>
      <c r="AC5424" s="117" t="str">
        <f>IF(AB5424=1,COUNTIF($AB$3:AB5424,1),"")</f>
        <v/>
      </c>
      <c r="AD5424" s="117" t="str">
        <f>IFERROR(INDEX($AA$3:$AA$10000,MATCH(ROWS($AC$3:AC5424),$AC$3:$AC$10000,0)),"")</f>
        <v/>
      </c>
    </row>
    <row r="5425" spans="27:30">
      <c r="AA5425" s="117">
        <f>+'Ingredient List - Mother Tinctu'!D5426</f>
        <v>0</v>
      </c>
      <c r="AB5425" s="117">
        <f t="shared" si="87"/>
        <v>0</v>
      </c>
      <c r="AC5425" s="117" t="str">
        <f>IF(AB5425=1,COUNTIF($AB$3:AB5425,1),"")</f>
        <v/>
      </c>
      <c r="AD5425" s="117" t="str">
        <f>IFERROR(INDEX($AA$3:$AA$10000,MATCH(ROWS($AC$3:AC5425),$AC$3:$AC$10000,0)),"")</f>
        <v/>
      </c>
    </row>
    <row r="5426" spans="27:30">
      <c r="AA5426" s="117">
        <f>+'Ingredient List - Mother Tinctu'!D5427</f>
        <v>0</v>
      </c>
      <c r="AB5426" s="117">
        <f t="shared" si="87"/>
        <v>0</v>
      </c>
      <c r="AC5426" s="117" t="str">
        <f>IF(AB5426=1,COUNTIF($AB$3:AB5426,1),"")</f>
        <v/>
      </c>
      <c r="AD5426" s="117" t="str">
        <f>IFERROR(INDEX($AA$3:$AA$10000,MATCH(ROWS($AC$3:AC5426),$AC$3:$AC$10000,0)),"")</f>
        <v/>
      </c>
    </row>
    <row r="5427" spans="27:30">
      <c r="AA5427" s="117">
        <f>+'Ingredient List - Mother Tinctu'!D5428</f>
        <v>0</v>
      </c>
      <c r="AB5427" s="117">
        <f t="shared" si="87"/>
        <v>0</v>
      </c>
      <c r="AC5427" s="117" t="str">
        <f>IF(AB5427=1,COUNTIF($AB$3:AB5427,1),"")</f>
        <v/>
      </c>
      <c r="AD5427" s="117" t="str">
        <f>IFERROR(INDEX($AA$3:$AA$10000,MATCH(ROWS($AC$3:AC5427),$AC$3:$AC$10000,0)),"")</f>
        <v/>
      </c>
    </row>
    <row r="5428" spans="27:30">
      <c r="AA5428" s="117">
        <f>+'Ingredient List - Mother Tinctu'!D5429</f>
        <v>0</v>
      </c>
      <c r="AB5428" s="117">
        <f t="shared" si="87"/>
        <v>0</v>
      </c>
      <c r="AC5428" s="117" t="str">
        <f>IF(AB5428=1,COUNTIF($AB$3:AB5428,1),"")</f>
        <v/>
      </c>
      <c r="AD5428" s="117" t="str">
        <f>IFERROR(INDEX($AA$3:$AA$10000,MATCH(ROWS($AC$3:AC5428),$AC$3:$AC$10000,0)),"")</f>
        <v/>
      </c>
    </row>
    <row r="5429" spans="27:30">
      <c r="AA5429" s="117">
        <f>+'Ingredient List - Mother Tinctu'!D5430</f>
        <v>0</v>
      </c>
      <c r="AB5429" s="117">
        <f t="shared" si="87"/>
        <v>0</v>
      </c>
      <c r="AC5429" s="117" t="str">
        <f>IF(AB5429=1,COUNTIF($AB$3:AB5429,1),"")</f>
        <v/>
      </c>
      <c r="AD5429" s="117" t="str">
        <f>IFERROR(INDEX($AA$3:$AA$10000,MATCH(ROWS($AC$3:AC5429),$AC$3:$AC$10000,0)),"")</f>
        <v/>
      </c>
    </row>
    <row r="5430" spans="27:30">
      <c r="AA5430" s="117">
        <f>+'Ingredient List - Mother Tinctu'!D5431</f>
        <v>0</v>
      </c>
      <c r="AB5430" s="117">
        <f t="shared" si="87"/>
        <v>0</v>
      </c>
      <c r="AC5430" s="117" t="str">
        <f>IF(AB5430=1,COUNTIF($AB$3:AB5430,1),"")</f>
        <v/>
      </c>
      <c r="AD5430" s="117" t="str">
        <f>IFERROR(INDEX($AA$3:$AA$10000,MATCH(ROWS($AC$3:AC5430),$AC$3:$AC$10000,0)),"")</f>
        <v/>
      </c>
    </row>
    <row r="5431" spans="27:30">
      <c r="AA5431" s="117">
        <f>+'Ingredient List - Mother Tinctu'!D5432</f>
        <v>0</v>
      </c>
      <c r="AB5431" s="117">
        <f t="shared" si="87"/>
        <v>0</v>
      </c>
      <c r="AC5431" s="117" t="str">
        <f>IF(AB5431=1,COUNTIF($AB$3:AB5431,1),"")</f>
        <v/>
      </c>
      <c r="AD5431" s="117" t="str">
        <f>IFERROR(INDEX($AA$3:$AA$10000,MATCH(ROWS($AC$3:AC5431),$AC$3:$AC$10000,0)),"")</f>
        <v/>
      </c>
    </row>
    <row r="5432" spans="27:30">
      <c r="AA5432" s="117">
        <f>+'Ingredient List - Mother Tinctu'!D5433</f>
        <v>0</v>
      </c>
      <c r="AB5432" s="117">
        <f t="shared" si="87"/>
        <v>0</v>
      </c>
      <c r="AC5432" s="117" t="str">
        <f>IF(AB5432=1,COUNTIF($AB$3:AB5432,1),"")</f>
        <v/>
      </c>
      <c r="AD5432" s="117" t="str">
        <f>IFERROR(INDEX($AA$3:$AA$10000,MATCH(ROWS($AC$3:AC5432),$AC$3:$AC$10000,0)),"")</f>
        <v/>
      </c>
    </row>
    <row r="5433" spans="27:30">
      <c r="AA5433" s="117">
        <f>+'Ingredient List - Mother Tinctu'!D5434</f>
        <v>0</v>
      </c>
      <c r="AB5433" s="117">
        <f t="shared" si="87"/>
        <v>0</v>
      </c>
      <c r="AC5433" s="117" t="str">
        <f>IF(AB5433=1,COUNTIF($AB$3:AB5433,1),"")</f>
        <v/>
      </c>
      <c r="AD5433" s="117" t="str">
        <f>IFERROR(INDEX($AA$3:$AA$10000,MATCH(ROWS($AC$3:AC5433),$AC$3:$AC$10000,0)),"")</f>
        <v/>
      </c>
    </row>
    <row r="5434" spans="27:30">
      <c r="AA5434" s="117">
        <f>+'Ingredient List - Mother Tinctu'!D5435</f>
        <v>0</v>
      </c>
      <c r="AB5434" s="117">
        <f t="shared" si="87"/>
        <v>0</v>
      </c>
      <c r="AC5434" s="117" t="str">
        <f>IF(AB5434=1,COUNTIF($AB$3:AB5434,1),"")</f>
        <v/>
      </c>
      <c r="AD5434" s="117" t="str">
        <f>IFERROR(INDEX($AA$3:$AA$10000,MATCH(ROWS($AC$3:AC5434),$AC$3:$AC$10000,0)),"")</f>
        <v/>
      </c>
    </row>
    <row r="5435" spans="27:30">
      <c r="AA5435" s="117">
        <f>+'Ingredient List - Mother Tinctu'!D5436</f>
        <v>0</v>
      </c>
      <c r="AB5435" s="117">
        <f t="shared" si="87"/>
        <v>0</v>
      </c>
      <c r="AC5435" s="117" t="str">
        <f>IF(AB5435=1,COUNTIF($AB$3:AB5435,1),"")</f>
        <v/>
      </c>
      <c r="AD5435" s="117" t="str">
        <f>IFERROR(INDEX($AA$3:$AA$10000,MATCH(ROWS($AC$3:AC5435),$AC$3:$AC$10000,0)),"")</f>
        <v/>
      </c>
    </row>
    <row r="5436" spans="27:30">
      <c r="AA5436" s="117">
        <f>+'Ingredient List - Mother Tinctu'!D5437</f>
        <v>0</v>
      </c>
      <c r="AB5436" s="117">
        <f t="shared" si="87"/>
        <v>0</v>
      </c>
      <c r="AC5436" s="117" t="str">
        <f>IF(AB5436=1,COUNTIF($AB$3:AB5436,1),"")</f>
        <v/>
      </c>
      <c r="AD5436" s="117" t="str">
        <f>IFERROR(INDEX($AA$3:$AA$10000,MATCH(ROWS($AC$3:AC5436),$AC$3:$AC$10000,0)),"")</f>
        <v/>
      </c>
    </row>
    <row r="5437" spans="27:30">
      <c r="AA5437" s="117">
        <f>+'Ingredient List - Mother Tinctu'!D5438</f>
        <v>0</v>
      </c>
      <c r="AB5437" s="117">
        <f t="shared" si="87"/>
        <v>0</v>
      </c>
      <c r="AC5437" s="117" t="str">
        <f>IF(AB5437=1,COUNTIF($AB$3:AB5437,1),"")</f>
        <v/>
      </c>
      <c r="AD5437" s="117" t="str">
        <f>IFERROR(INDEX($AA$3:$AA$10000,MATCH(ROWS($AC$3:AC5437),$AC$3:$AC$10000,0)),"")</f>
        <v/>
      </c>
    </row>
    <row r="5438" spans="27:30">
      <c r="AA5438" s="117">
        <f>+'Ingredient List - Mother Tinctu'!D5439</f>
        <v>0</v>
      </c>
      <c r="AB5438" s="117">
        <f t="shared" si="87"/>
        <v>0</v>
      </c>
      <c r="AC5438" s="117" t="str">
        <f>IF(AB5438=1,COUNTIF($AB$3:AB5438,1),"")</f>
        <v/>
      </c>
      <c r="AD5438" s="117" t="str">
        <f>IFERROR(INDEX($AA$3:$AA$10000,MATCH(ROWS($AC$3:AC5438),$AC$3:$AC$10000,0)),"")</f>
        <v/>
      </c>
    </row>
    <row r="5439" spans="27:30">
      <c r="AA5439" s="117">
        <f>+'Ingredient List - Mother Tinctu'!D5440</f>
        <v>0</v>
      </c>
      <c r="AB5439" s="117">
        <f t="shared" si="87"/>
        <v>0</v>
      </c>
      <c r="AC5439" s="117" t="str">
        <f>IF(AB5439=1,COUNTIF($AB$3:AB5439,1),"")</f>
        <v/>
      </c>
      <c r="AD5439" s="117" t="str">
        <f>IFERROR(INDEX($AA$3:$AA$10000,MATCH(ROWS($AC$3:AC5439),$AC$3:$AC$10000,0)),"")</f>
        <v/>
      </c>
    </row>
    <row r="5440" spans="27:30">
      <c r="AA5440" s="117">
        <f>+'Ingredient List - Mother Tinctu'!D5441</f>
        <v>0</v>
      </c>
      <c r="AB5440" s="117">
        <f t="shared" si="87"/>
        <v>0</v>
      </c>
      <c r="AC5440" s="117" t="str">
        <f>IF(AB5440=1,COUNTIF($AB$3:AB5440,1),"")</f>
        <v/>
      </c>
      <c r="AD5440" s="117" t="str">
        <f>IFERROR(INDEX($AA$3:$AA$10000,MATCH(ROWS($AC$3:AC5440),$AC$3:$AC$10000,0)),"")</f>
        <v/>
      </c>
    </row>
    <row r="5441" spans="27:30">
      <c r="AA5441" s="117">
        <f>+'Ingredient List - Mother Tinctu'!D5442</f>
        <v>0</v>
      </c>
      <c r="AB5441" s="117">
        <f t="shared" si="87"/>
        <v>0</v>
      </c>
      <c r="AC5441" s="117" t="str">
        <f>IF(AB5441=1,COUNTIF($AB$3:AB5441,1),"")</f>
        <v/>
      </c>
      <c r="AD5441" s="117" t="str">
        <f>IFERROR(INDEX($AA$3:$AA$10000,MATCH(ROWS($AC$3:AC5441),$AC$3:$AC$10000,0)),"")</f>
        <v/>
      </c>
    </row>
    <row r="5442" spans="27:30">
      <c r="AA5442" s="117">
        <f>+'Ingredient List - Mother Tinctu'!D5443</f>
        <v>0</v>
      </c>
      <c r="AB5442" s="117">
        <f t="shared" si="87"/>
        <v>0</v>
      </c>
      <c r="AC5442" s="117" t="str">
        <f>IF(AB5442=1,COUNTIF($AB$3:AB5442,1),"")</f>
        <v/>
      </c>
      <c r="AD5442" s="117" t="str">
        <f>IFERROR(INDEX($AA$3:$AA$10000,MATCH(ROWS($AC$3:AC5442),$AC$3:$AC$10000,0)),"")</f>
        <v/>
      </c>
    </row>
    <row r="5443" spans="27:30">
      <c r="AA5443" s="117">
        <f>+'Ingredient List - Mother Tinctu'!D5444</f>
        <v>0</v>
      </c>
      <c r="AB5443" s="117">
        <f t="shared" si="87"/>
        <v>0</v>
      </c>
      <c r="AC5443" s="117" t="str">
        <f>IF(AB5443=1,COUNTIF($AB$3:AB5443,1),"")</f>
        <v/>
      </c>
      <c r="AD5443" s="117" t="str">
        <f>IFERROR(INDEX($AA$3:$AA$10000,MATCH(ROWS($AC$3:AC5443),$AC$3:$AC$10000,0)),"")</f>
        <v/>
      </c>
    </row>
    <row r="5444" spans="27:30">
      <c r="AA5444" s="117">
        <f>+'Ingredient List - Mother Tinctu'!D5445</f>
        <v>0</v>
      </c>
      <c r="AB5444" s="117">
        <f t="shared" ref="AB5444:AB5507" si="88">--ISNUMBER(IFERROR(SEARCH($D$3,AA5444,1),""))</f>
        <v>0</v>
      </c>
      <c r="AC5444" s="117" t="str">
        <f>IF(AB5444=1,COUNTIF($AB$3:AB5444,1),"")</f>
        <v/>
      </c>
      <c r="AD5444" s="117" t="str">
        <f>IFERROR(INDEX($AA$3:$AA$10000,MATCH(ROWS($AC$3:AC5444),$AC$3:$AC$10000,0)),"")</f>
        <v/>
      </c>
    </row>
    <row r="5445" spans="27:30">
      <c r="AA5445" s="117">
        <f>+'Ingredient List - Mother Tinctu'!D5446</f>
        <v>0</v>
      </c>
      <c r="AB5445" s="117">
        <f t="shared" si="88"/>
        <v>0</v>
      </c>
      <c r="AC5445" s="117" t="str">
        <f>IF(AB5445=1,COUNTIF($AB$3:AB5445,1),"")</f>
        <v/>
      </c>
      <c r="AD5445" s="117" t="str">
        <f>IFERROR(INDEX($AA$3:$AA$10000,MATCH(ROWS($AC$3:AC5445),$AC$3:$AC$10000,0)),"")</f>
        <v/>
      </c>
    </row>
    <row r="5446" spans="27:30">
      <c r="AA5446" s="117">
        <f>+'Ingredient List - Mother Tinctu'!D5447</f>
        <v>0</v>
      </c>
      <c r="AB5446" s="117">
        <f t="shared" si="88"/>
        <v>0</v>
      </c>
      <c r="AC5446" s="117" t="str">
        <f>IF(AB5446=1,COUNTIF($AB$3:AB5446,1),"")</f>
        <v/>
      </c>
      <c r="AD5446" s="117" t="str">
        <f>IFERROR(INDEX($AA$3:$AA$10000,MATCH(ROWS($AC$3:AC5446),$AC$3:$AC$10000,0)),"")</f>
        <v/>
      </c>
    </row>
    <row r="5447" spans="27:30">
      <c r="AA5447" s="117">
        <f>+'Ingredient List - Mother Tinctu'!D5448</f>
        <v>0</v>
      </c>
      <c r="AB5447" s="117">
        <f t="shared" si="88"/>
        <v>0</v>
      </c>
      <c r="AC5447" s="117" t="str">
        <f>IF(AB5447=1,COUNTIF($AB$3:AB5447,1),"")</f>
        <v/>
      </c>
      <c r="AD5447" s="117" t="str">
        <f>IFERROR(INDEX($AA$3:$AA$10000,MATCH(ROWS($AC$3:AC5447),$AC$3:$AC$10000,0)),"")</f>
        <v/>
      </c>
    </row>
    <row r="5448" spans="27:30">
      <c r="AA5448" s="117">
        <f>+'Ingredient List - Mother Tinctu'!D5449</f>
        <v>0</v>
      </c>
      <c r="AB5448" s="117">
        <f t="shared" si="88"/>
        <v>0</v>
      </c>
      <c r="AC5448" s="117" t="str">
        <f>IF(AB5448=1,COUNTIF($AB$3:AB5448,1),"")</f>
        <v/>
      </c>
      <c r="AD5448" s="117" t="str">
        <f>IFERROR(INDEX($AA$3:$AA$10000,MATCH(ROWS($AC$3:AC5448),$AC$3:$AC$10000,0)),"")</f>
        <v/>
      </c>
    </row>
    <row r="5449" spans="27:30">
      <c r="AA5449" s="117">
        <f>+'Ingredient List - Mother Tinctu'!D5450</f>
        <v>0</v>
      </c>
      <c r="AB5449" s="117">
        <f t="shared" si="88"/>
        <v>0</v>
      </c>
      <c r="AC5449" s="117" t="str">
        <f>IF(AB5449=1,COUNTIF($AB$3:AB5449,1),"")</f>
        <v/>
      </c>
      <c r="AD5449" s="117" t="str">
        <f>IFERROR(INDEX($AA$3:$AA$10000,MATCH(ROWS($AC$3:AC5449),$AC$3:$AC$10000,0)),"")</f>
        <v/>
      </c>
    </row>
    <row r="5450" spans="27:30">
      <c r="AA5450" s="117">
        <f>+'Ingredient List - Mother Tinctu'!D5451</f>
        <v>0</v>
      </c>
      <c r="AB5450" s="117">
        <f t="shared" si="88"/>
        <v>0</v>
      </c>
      <c r="AC5450" s="117" t="str">
        <f>IF(AB5450=1,COUNTIF($AB$3:AB5450,1),"")</f>
        <v/>
      </c>
      <c r="AD5450" s="117" t="str">
        <f>IFERROR(INDEX($AA$3:$AA$10000,MATCH(ROWS($AC$3:AC5450),$AC$3:$AC$10000,0)),"")</f>
        <v/>
      </c>
    </row>
    <row r="5451" spans="27:30">
      <c r="AA5451" s="117">
        <f>+'Ingredient List - Mother Tinctu'!D5452</f>
        <v>0</v>
      </c>
      <c r="AB5451" s="117">
        <f t="shared" si="88"/>
        <v>0</v>
      </c>
      <c r="AC5451" s="117" t="str">
        <f>IF(AB5451=1,COUNTIF($AB$3:AB5451,1),"")</f>
        <v/>
      </c>
      <c r="AD5451" s="117" t="str">
        <f>IFERROR(INDEX($AA$3:$AA$10000,MATCH(ROWS($AC$3:AC5451),$AC$3:$AC$10000,0)),"")</f>
        <v/>
      </c>
    </row>
    <row r="5452" spans="27:30">
      <c r="AA5452" s="117">
        <f>+'Ingredient List - Mother Tinctu'!D5453</f>
        <v>0</v>
      </c>
      <c r="AB5452" s="117">
        <f t="shared" si="88"/>
        <v>0</v>
      </c>
      <c r="AC5452" s="117" t="str">
        <f>IF(AB5452=1,COUNTIF($AB$3:AB5452,1),"")</f>
        <v/>
      </c>
      <c r="AD5452" s="117" t="str">
        <f>IFERROR(INDEX($AA$3:$AA$10000,MATCH(ROWS($AC$3:AC5452),$AC$3:$AC$10000,0)),"")</f>
        <v/>
      </c>
    </row>
    <row r="5453" spans="27:30">
      <c r="AA5453" s="117">
        <f>+'Ingredient List - Mother Tinctu'!D5454</f>
        <v>0</v>
      </c>
      <c r="AB5453" s="117">
        <f t="shared" si="88"/>
        <v>0</v>
      </c>
      <c r="AC5453" s="117" t="str">
        <f>IF(AB5453=1,COUNTIF($AB$3:AB5453,1),"")</f>
        <v/>
      </c>
      <c r="AD5453" s="117" t="str">
        <f>IFERROR(INDEX($AA$3:$AA$10000,MATCH(ROWS($AC$3:AC5453),$AC$3:$AC$10000,0)),"")</f>
        <v/>
      </c>
    </row>
    <row r="5454" spans="27:30">
      <c r="AA5454" s="117">
        <f>+'Ingredient List - Mother Tinctu'!D5455</f>
        <v>0</v>
      </c>
      <c r="AB5454" s="117">
        <f t="shared" si="88"/>
        <v>0</v>
      </c>
      <c r="AC5454" s="117" t="str">
        <f>IF(AB5454=1,COUNTIF($AB$3:AB5454,1),"")</f>
        <v/>
      </c>
      <c r="AD5454" s="117" t="str">
        <f>IFERROR(INDEX($AA$3:$AA$10000,MATCH(ROWS($AC$3:AC5454),$AC$3:$AC$10000,0)),"")</f>
        <v/>
      </c>
    </row>
    <row r="5455" spans="27:30">
      <c r="AA5455" s="117">
        <f>+'Ingredient List - Mother Tinctu'!D5456</f>
        <v>0</v>
      </c>
      <c r="AB5455" s="117">
        <f t="shared" si="88"/>
        <v>0</v>
      </c>
      <c r="AC5455" s="117" t="str">
        <f>IF(AB5455=1,COUNTIF($AB$3:AB5455,1),"")</f>
        <v/>
      </c>
      <c r="AD5455" s="117" t="str">
        <f>IFERROR(INDEX($AA$3:$AA$10000,MATCH(ROWS($AC$3:AC5455),$AC$3:$AC$10000,0)),"")</f>
        <v/>
      </c>
    </row>
    <row r="5456" spans="27:30">
      <c r="AA5456" s="117">
        <f>+'Ingredient List - Mother Tinctu'!D5457</f>
        <v>0</v>
      </c>
      <c r="AB5456" s="117">
        <f t="shared" si="88"/>
        <v>0</v>
      </c>
      <c r="AC5456" s="117" t="str">
        <f>IF(AB5456=1,COUNTIF($AB$3:AB5456,1),"")</f>
        <v/>
      </c>
      <c r="AD5456" s="117" t="str">
        <f>IFERROR(INDEX($AA$3:$AA$10000,MATCH(ROWS($AC$3:AC5456),$AC$3:$AC$10000,0)),"")</f>
        <v/>
      </c>
    </row>
    <row r="5457" spans="27:30">
      <c r="AA5457" s="117">
        <f>+'Ingredient List - Mother Tinctu'!D5458</f>
        <v>0</v>
      </c>
      <c r="AB5457" s="117">
        <f t="shared" si="88"/>
        <v>0</v>
      </c>
      <c r="AC5457" s="117" t="str">
        <f>IF(AB5457=1,COUNTIF($AB$3:AB5457,1),"")</f>
        <v/>
      </c>
      <c r="AD5457" s="117" t="str">
        <f>IFERROR(INDEX($AA$3:$AA$10000,MATCH(ROWS($AC$3:AC5457),$AC$3:$AC$10000,0)),"")</f>
        <v/>
      </c>
    </row>
    <row r="5458" spans="27:30">
      <c r="AA5458" s="117">
        <f>+'Ingredient List - Mother Tinctu'!D5459</f>
        <v>0</v>
      </c>
      <c r="AB5458" s="117">
        <f t="shared" si="88"/>
        <v>0</v>
      </c>
      <c r="AC5458" s="117" t="str">
        <f>IF(AB5458=1,COUNTIF($AB$3:AB5458,1),"")</f>
        <v/>
      </c>
      <c r="AD5458" s="117" t="str">
        <f>IFERROR(INDEX($AA$3:$AA$10000,MATCH(ROWS($AC$3:AC5458),$AC$3:$AC$10000,0)),"")</f>
        <v/>
      </c>
    </row>
    <row r="5459" spans="27:30">
      <c r="AA5459" s="117">
        <f>+'Ingredient List - Mother Tinctu'!D5460</f>
        <v>0</v>
      </c>
      <c r="AB5459" s="117">
        <f t="shared" si="88"/>
        <v>0</v>
      </c>
      <c r="AC5459" s="117" t="str">
        <f>IF(AB5459=1,COUNTIF($AB$3:AB5459,1),"")</f>
        <v/>
      </c>
      <c r="AD5459" s="117" t="str">
        <f>IFERROR(INDEX($AA$3:$AA$10000,MATCH(ROWS($AC$3:AC5459),$AC$3:$AC$10000,0)),"")</f>
        <v/>
      </c>
    </row>
    <row r="5460" spans="27:30">
      <c r="AA5460" s="117">
        <f>+'Ingredient List - Mother Tinctu'!D5461</f>
        <v>0</v>
      </c>
      <c r="AB5460" s="117">
        <f t="shared" si="88"/>
        <v>0</v>
      </c>
      <c r="AC5460" s="117" t="str">
        <f>IF(AB5460=1,COUNTIF($AB$3:AB5460,1),"")</f>
        <v/>
      </c>
      <c r="AD5460" s="117" t="str">
        <f>IFERROR(INDEX($AA$3:$AA$10000,MATCH(ROWS($AC$3:AC5460),$AC$3:$AC$10000,0)),"")</f>
        <v/>
      </c>
    </row>
    <row r="5461" spans="27:30">
      <c r="AA5461" s="117">
        <f>+'Ingredient List - Mother Tinctu'!D5462</f>
        <v>0</v>
      </c>
      <c r="AB5461" s="117">
        <f t="shared" si="88"/>
        <v>0</v>
      </c>
      <c r="AC5461" s="117" t="str">
        <f>IF(AB5461=1,COUNTIF($AB$3:AB5461,1),"")</f>
        <v/>
      </c>
      <c r="AD5461" s="117" t="str">
        <f>IFERROR(INDEX($AA$3:$AA$10000,MATCH(ROWS($AC$3:AC5461),$AC$3:$AC$10000,0)),"")</f>
        <v/>
      </c>
    </row>
    <row r="5462" spans="27:30">
      <c r="AA5462" s="117">
        <f>+'Ingredient List - Mother Tinctu'!D5463</f>
        <v>0</v>
      </c>
      <c r="AB5462" s="117">
        <f t="shared" si="88"/>
        <v>0</v>
      </c>
      <c r="AC5462" s="117" t="str">
        <f>IF(AB5462=1,COUNTIF($AB$3:AB5462,1),"")</f>
        <v/>
      </c>
      <c r="AD5462" s="117" t="str">
        <f>IFERROR(INDEX($AA$3:$AA$10000,MATCH(ROWS($AC$3:AC5462),$AC$3:$AC$10000,0)),"")</f>
        <v/>
      </c>
    </row>
    <row r="5463" spans="27:30">
      <c r="AA5463" s="117">
        <f>+'Ingredient List - Mother Tinctu'!D5464</f>
        <v>0</v>
      </c>
      <c r="AB5463" s="117">
        <f t="shared" si="88"/>
        <v>0</v>
      </c>
      <c r="AC5463" s="117" t="str">
        <f>IF(AB5463=1,COUNTIF($AB$3:AB5463,1),"")</f>
        <v/>
      </c>
      <c r="AD5463" s="117" t="str">
        <f>IFERROR(INDEX($AA$3:$AA$10000,MATCH(ROWS($AC$3:AC5463),$AC$3:$AC$10000,0)),"")</f>
        <v/>
      </c>
    </row>
    <row r="5464" spans="27:30">
      <c r="AA5464" s="117">
        <f>+'Ingredient List - Mother Tinctu'!D5465</f>
        <v>0</v>
      </c>
      <c r="AB5464" s="117">
        <f t="shared" si="88"/>
        <v>0</v>
      </c>
      <c r="AC5464" s="117" t="str">
        <f>IF(AB5464=1,COUNTIF($AB$3:AB5464,1),"")</f>
        <v/>
      </c>
      <c r="AD5464" s="117" t="str">
        <f>IFERROR(INDEX($AA$3:$AA$10000,MATCH(ROWS($AC$3:AC5464),$AC$3:$AC$10000,0)),"")</f>
        <v/>
      </c>
    </row>
    <row r="5465" spans="27:30">
      <c r="AA5465" s="117">
        <f>+'Ingredient List - Mother Tinctu'!D5466</f>
        <v>0</v>
      </c>
      <c r="AB5465" s="117">
        <f t="shared" si="88"/>
        <v>0</v>
      </c>
      <c r="AC5465" s="117" t="str">
        <f>IF(AB5465=1,COUNTIF($AB$3:AB5465,1),"")</f>
        <v/>
      </c>
      <c r="AD5465" s="117" t="str">
        <f>IFERROR(INDEX($AA$3:$AA$10000,MATCH(ROWS($AC$3:AC5465),$AC$3:$AC$10000,0)),"")</f>
        <v/>
      </c>
    </row>
    <row r="5466" spans="27:30">
      <c r="AA5466" s="117">
        <f>+'Ingredient List - Mother Tinctu'!D5467</f>
        <v>0</v>
      </c>
      <c r="AB5466" s="117">
        <f t="shared" si="88"/>
        <v>0</v>
      </c>
      <c r="AC5466" s="117" t="str">
        <f>IF(AB5466=1,COUNTIF($AB$3:AB5466,1),"")</f>
        <v/>
      </c>
      <c r="AD5466" s="117" t="str">
        <f>IFERROR(INDEX($AA$3:$AA$10000,MATCH(ROWS($AC$3:AC5466),$AC$3:$AC$10000,0)),"")</f>
        <v/>
      </c>
    </row>
    <row r="5467" spans="27:30">
      <c r="AA5467" s="117">
        <f>+'Ingredient List - Mother Tinctu'!D5468</f>
        <v>0</v>
      </c>
      <c r="AB5467" s="117">
        <f t="shared" si="88"/>
        <v>0</v>
      </c>
      <c r="AC5467" s="117" t="str">
        <f>IF(AB5467=1,COUNTIF($AB$3:AB5467,1),"")</f>
        <v/>
      </c>
      <c r="AD5467" s="117" t="str">
        <f>IFERROR(INDEX($AA$3:$AA$10000,MATCH(ROWS($AC$3:AC5467),$AC$3:$AC$10000,0)),"")</f>
        <v/>
      </c>
    </row>
    <row r="5468" spans="27:30">
      <c r="AA5468" s="117">
        <f>+'Ingredient List - Mother Tinctu'!D5469</f>
        <v>0</v>
      </c>
      <c r="AB5468" s="117">
        <f t="shared" si="88"/>
        <v>0</v>
      </c>
      <c r="AC5468" s="117" t="str">
        <f>IF(AB5468=1,COUNTIF($AB$3:AB5468,1),"")</f>
        <v/>
      </c>
      <c r="AD5468" s="117" t="str">
        <f>IFERROR(INDEX($AA$3:$AA$10000,MATCH(ROWS($AC$3:AC5468),$AC$3:$AC$10000,0)),"")</f>
        <v/>
      </c>
    </row>
    <row r="5469" spans="27:30">
      <c r="AA5469" s="117">
        <f>+'Ingredient List - Mother Tinctu'!D5470</f>
        <v>0</v>
      </c>
      <c r="AB5469" s="117">
        <f t="shared" si="88"/>
        <v>0</v>
      </c>
      <c r="AC5469" s="117" t="str">
        <f>IF(AB5469=1,COUNTIF($AB$3:AB5469,1),"")</f>
        <v/>
      </c>
      <c r="AD5469" s="117" t="str">
        <f>IFERROR(INDEX($AA$3:$AA$10000,MATCH(ROWS($AC$3:AC5469),$AC$3:$AC$10000,0)),"")</f>
        <v/>
      </c>
    </row>
    <row r="5470" spans="27:30">
      <c r="AA5470" s="117">
        <f>+'Ingredient List - Mother Tinctu'!D5471</f>
        <v>0</v>
      </c>
      <c r="AB5470" s="117">
        <f t="shared" si="88"/>
        <v>0</v>
      </c>
      <c r="AC5470" s="117" t="str">
        <f>IF(AB5470=1,COUNTIF($AB$3:AB5470,1),"")</f>
        <v/>
      </c>
      <c r="AD5470" s="117" t="str">
        <f>IFERROR(INDEX($AA$3:$AA$10000,MATCH(ROWS($AC$3:AC5470),$AC$3:$AC$10000,0)),"")</f>
        <v/>
      </c>
    </row>
    <row r="5471" spans="27:30">
      <c r="AA5471" s="117">
        <f>+'Ingredient List - Mother Tinctu'!D5472</f>
        <v>0</v>
      </c>
      <c r="AB5471" s="117">
        <f t="shared" si="88"/>
        <v>0</v>
      </c>
      <c r="AC5471" s="117" t="str">
        <f>IF(AB5471=1,COUNTIF($AB$3:AB5471,1),"")</f>
        <v/>
      </c>
      <c r="AD5471" s="117" t="str">
        <f>IFERROR(INDEX($AA$3:$AA$10000,MATCH(ROWS($AC$3:AC5471),$AC$3:$AC$10000,0)),"")</f>
        <v/>
      </c>
    </row>
    <row r="5472" spans="27:30">
      <c r="AA5472" s="117">
        <f>+'Ingredient List - Mother Tinctu'!D5473</f>
        <v>0</v>
      </c>
      <c r="AB5472" s="117">
        <f t="shared" si="88"/>
        <v>0</v>
      </c>
      <c r="AC5472" s="117" t="str">
        <f>IF(AB5472=1,COUNTIF($AB$3:AB5472,1),"")</f>
        <v/>
      </c>
      <c r="AD5472" s="117" t="str">
        <f>IFERROR(INDEX($AA$3:$AA$10000,MATCH(ROWS($AC$3:AC5472),$AC$3:$AC$10000,0)),"")</f>
        <v/>
      </c>
    </row>
    <row r="5473" spans="27:30">
      <c r="AA5473" s="117">
        <f>+'Ingredient List - Mother Tinctu'!D5474</f>
        <v>0</v>
      </c>
      <c r="AB5473" s="117">
        <f t="shared" si="88"/>
        <v>0</v>
      </c>
      <c r="AC5473" s="117" t="str">
        <f>IF(AB5473=1,COUNTIF($AB$3:AB5473,1),"")</f>
        <v/>
      </c>
      <c r="AD5473" s="117" t="str">
        <f>IFERROR(INDEX($AA$3:$AA$10000,MATCH(ROWS($AC$3:AC5473),$AC$3:$AC$10000,0)),"")</f>
        <v/>
      </c>
    </row>
    <row r="5474" spans="27:30">
      <c r="AA5474" s="117">
        <f>+'Ingredient List - Mother Tinctu'!D5475</f>
        <v>0</v>
      </c>
      <c r="AB5474" s="117">
        <f t="shared" si="88"/>
        <v>0</v>
      </c>
      <c r="AC5474" s="117" t="str">
        <f>IF(AB5474=1,COUNTIF($AB$3:AB5474,1),"")</f>
        <v/>
      </c>
      <c r="AD5474" s="117" t="str">
        <f>IFERROR(INDEX($AA$3:$AA$10000,MATCH(ROWS($AC$3:AC5474),$AC$3:$AC$10000,0)),"")</f>
        <v/>
      </c>
    </row>
    <row r="5475" spans="27:30">
      <c r="AA5475" s="117">
        <f>+'Ingredient List - Mother Tinctu'!D5476</f>
        <v>0</v>
      </c>
      <c r="AB5475" s="117">
        <f t="shared" si="88"/>
        <v>0</v>
      </c>
      <c r="AC5475" s="117" t="str">
        <f>IF(AB5475=1,COUNTIF($AB$3:AB5475,1),"")</f>
        <v/>
      </c>
      <c r="AD5475" s="117" t="str">
        <f>IFERROR(INDEX($AA$3:$AA$10000,MATCH(ROWS($AC$3:AC5475),$AC$3:$AC$10000,0)),"")</f>
        <v/>
      </c>
    </row>
    <row r="5476" spans="27:30">
      <c r="AA5476" s="117">
        <f>+'Ingredient List - Mother Tinctu'!D5477</f>
        <v>0</v>
      </c>
      <c r="AB5476" s="117">
        <f t="shared" si="88"/>
        <v>0</v>
      </c>
      <c r="AC5476" s="117" t="str">
        <f>IF(AB5476=1,COUNTIF($AB$3:AB5476,1),"")</f>
        <v/>
      </c>
      <c r="AD5476" s="117" t="str">
        <f>IFERROR(INDEX($AA$3:$AA$10000,MATCH(ROWS($AC$3:AC5476),$AC$3:$AC$10000,0)),"")</f>
        <v/>
      </c>
    </row>
    <row r="5477" spans="27:30">
      <c r="AA5477" s="117">
        <f>+'Ingredient List - Mother Tinctu'!D5478</f>
        <v>0</v>
      </c>
      <c r="AB5477" s="117">
        <f t="shared" si="88"/>
        <v>0</v>
      </c>
      <c r="AC5477" s="117" t="str">
        <f>IF(AB5477=1,COUNTIF($AB$3:AB5477,1),"")</f>
        <v/>
      </c>
      <c r="AD5477" s="117" t="str">
        <f>IFERROR(INDEX($AA$3:$AA$10000,MATCH(ROWS($AC$3:AC5477),$AC$3:$AC$10000,0)),"")</f>
        <v/>
      </c>
    </row>
    <row r="5478" spans="27:30">
      <c r="AA5478" s="117">
        <f>+'Ingredient List - Mother Tinctu'!D5479</f>
        <v>0</v>
      </c>
      <c r="AB5478" s="117">
        <f t="shared" si="88"/>
        <v>0</v>
      </c>
      <c r="AC5478" s="117" t="str">
        <f>IF(AB5478=1,COUNTIF($AB$3:AB5478,1),"")</f>
        <v/>
      </c>
      <c r="AD5478" s="117" t="str">
        <f>IFERROR(INDEX($AA$3:$AA$10000,MATCH(ROWS($AC$3:AC5478),$AC$3:$AC$10000,0)),"")</f>
        <v/>
      </c>
    </row>
    <row r="5479" spans="27:30">
      <c r="AA5479" s="117">
        <f>+'Ingredient List - Mother Tinctu'!D5480</f>
        <v>0</v>
      </c>
      <c r="AB5479" s="117">
        <f t="shared" si="88"/>
        <v>0</v>
      </c>
      <c r="AC5479" s="117" t="str">
        <f>IF(AB5479=1,COUNTIF($AB$3:AB5479,1),"")</f>
        <v/>
      </c>
      <c r="AD5479" s="117" t="str">
        <f>IFERROR(INDEX($AA$3:$AA$10000,MATCH(ROWS($AC$3:AC5479),$AC$3:$AC$10000,0)),"")</f>
        <v/>
      </c>
    </row>
    <row r="5480" spans="27:30">
      <c r="AA5480" s="117">
        <f>+'Ingredient List - Mother Tinctu'!D5481</f>
        <v>0</v>
      </c>
      <c r="AB5480" s="117">
        <f t="shared" si="88"/>
        <v>0</v>
      </c>
      <c r="AC5480" s="117" t="str">
        <f>IF(AB5480=1,COUNTIF($AB$3:AB5480,1),"")</f>
        <v/>
      </c>
      <c r="AD5480" s="117" t="str">
        <f>IFERROR(INDEX($AA$3:$AA$10000,MATCH(ROWS($AC$3:AC5480),$AC$3:$AC$10000,0)),"")</f>
        <v/>
      </c>
    </row>
    <row r="5481" spans="27:30">
      <c r="AA5481" s="117">
        <f>+'Ingredient List - Mother Tinctu'!D5482</f>
        <v>0</v>
      </c>
      <c r="AB5481" s="117">
        <f t="shared" si="88"/>
        <v>0</v>
      </c>
      <c r="AC5481" s="117" t="str">
        <f>IF(AB5481=1,COUNTIF($AB$3:AB5481,1),"")</f>
        <v/>
      </c>
      <c r="AD5481" s="117" t="str">
        <f>IFERROR(INDEX($AA$3:$AA$10000,MATCH(ROWS($AC$3:AC5481),$AC$3:$AC$10000,0)),"")</f>
        <v/>
      </c>
    </row>
    <row r="5482" spans="27:30">
      <c r="AA5482" s="117">
        <f>+'Ingredient List - Mother Tinctu'!D5483</f>
        <v>0</v>
      </c>
      <c r="AB5482" s="117">
        <f t="shared" si="88"/>
        <v>0</v>
      </c>
      <c r="AC5482" s="117" t="str">
        <f>IF(AB5482=1,COUNTIF($AB$3:AB5482,1),"")</f>
        <v/>
      </c>
      <c r="AD5482" s="117" t="str">
        <f>IFERROR(INDEX($AA$3:$AA$10000,MATCH(ROWS($AC$3:AC5482),$AC$3:$AC$10000,0)),"")</f>
        <v/>
      </c>
    </row>
    <row r="5483" spans="27:30">
      <c r="AA5483" s="117">
        <f>+'Ingredient List - Mother Tinctu'!D5484</f>
        <v>0</v>
      </c>
      <c r="AB5483" s="117">
        <f t="shared" si="88"/>
        <v>0</v>
      </c>
      <c r="AC5483" s="117" t="str">
        <f>IF(AB5483=1,COUNTIF($AB$3:AB5483,1),"")</f>
        <v/>
      </c>
      <c r="AD5483" s="117" t="str">
        <f>IFERROR(INDEX($AA$3:$AA$10000,MATCH(ROWS($AC$3:AC5483),$AC$3:$AC$10000,0)),"")</f>
        <v/>
      </c>
    </row>
    <row r="5484" spans="27:30">
      <c r="AA5484" s="117">
        <f>+'Ingredient List - Mother Tinctu'!D5485</f>
        <v>0</v>
      </c>
      <c r="AB5484" s="117">
        <f t="shared" si="88"/>
        <v>0</v>
      </c>
      <c r="AC5484" s="117" t="str">
        <f>IF(AB5484=1,COUNTIF($AB$3:AB5484,1),"")</f>
        <v/>
      </c>
      <c r="AD5484" s="117" t="str">
        <f>IFERROR(INDEX($AA$3:$AA$10000,MATCH(ROWS($AC$3:AC5484),$AC$3:$AC$10000,0)),"")</f>
        <v/>
      </c>
    </row>
    <row r="5485" spans="27:30">
      <c r="AA5485" s="117">
        <f>+'Ingredient List - Mother Tinctu'!D5486</f>
        <v>0</v>
      </c>
      <c r="AB5485" s="117">
        <f t="shared" si="88"/>
        <v>0</v>
      </c>
      <c r="AC5485" s="117" t="str">
        <f>IF(AB5485=1,COUNTIF($AB$3:AB5485,1),"")</f>
        <v/>
      </c>
      <c r="AD5485" s="117" t="str">
        <f>IFERROR(INDEX($AA$3:$AA$10000,MATCH(ROWS($AC$3:AC5485),$AC$3:$AC$10000,0)),"")</f>
        <v/>
      </c>
    </row>
    <row r="5486" spans="27:30">
      <c r="AA5486" s="117">
        <f>+'Ingredient List - Mother Tinctu'!D5487</f>
        <v>0</v>
      </c>
      <c r="AB5486" s="117">
        <f t="shared" si="88"/>
        <v>0</v>
      </c>
      <c r="AC5486" s="117" t="str">
        <f>IF(AB5486=1,COUNTIF($AB$3:AB5486,1),"")</f>
        <v/>
      </c>
      <c r="AD5486" s="117" t="str">
        <f>IFERROR(INDEX($AA$3:$AA$10000,MATCH(ROWS($AC$3:AC5486),$AC$3:$AC$10000,0)),"")</f>
        <v/>
      </c>
    </row>
    <row r="5487" spans="27:30">
      <c r="AA5487" s="117">
        <f>+'Ingredient List - Mother Tinctu'!D5488</f>
        <v>0</v>
      </c>
      <c r="AB5487" s="117">
        <f t="shared" si="88"/>
        <v>0</v>
      </c>
      <c r="AC5487" s="117" t="str">
        <f>IF(AB5487=1,COUNTIF($AB$3:AB5487,1),"")</f>
        <v/>
      </c>
      <c r="AD5487" s="117" t="str">
        <f>IFERROR(INDEX($AA$3:$AA$10000,MATCH(ROWS($AC$3:AC5487),$AC$3:$AC$10000,0)),"")</f>
        <v/>
      </c>
    </row>
    <row r="5488" spans="27:30">
      <c r="AA5488" s="117">
        <f>+'Ingredient List - Mother Tinctu'!D5489</f>
        <v>0</v>
      </c>
      <c r="AB5488" s="117">
        <f t="shared" si="88"/>
        <v>0</v>
      </c>
      <c r="AC5488" s="117" t="str">
        <f>IF(AB5488=1,COUNTIF($AB$3:AB5488,1),"")</f>
        <v/>
      </c>
      <c r="AD5488" s="117" t="str">
        <f>IFERROR(INDEX($AA$3:$AA$10000,MATCH(ROWS($AC$3:AC5488),$AC$3:$AC$10000,0)),"")</f>
        <v/>
      </c>
    </row>
    <row r="5489" spans="27:30">
      <c r="AA5489" s="117">
        <f>+'Ingredient List - Mother Tinctu'!D5490</f>
        <v>0</v>
      </c>
      <c r="AB5489" s="117">
        <f t="shared" si="88"/>
        <v>0</v>
      </c>
      <c r="AC5489" s="117" t="str">
        <f>IF(AB5489=1,COUNTIF($AB$3:AB5489,1),"")</f>
        <v/>
      </c>
      <c r="AD5489" s="117" t="str">
        <f>IFERROR(INDEX($AA$3:$AA$10000,MATCH(ROWS($AC$3:AC5489),$AC$3:$AC$10000,0)),"")</f>
        <v/>
      </c>
    </row>
    <row r="5490" spans="27:30">
      <c r="AA5490" s="117">
        <f>+'Ingredient List - Mother Tinctu'!D5491</f>
        <v>0</v>
      </c>
      <c r="AB5490" s="117">
        <f t="shared" si="88"/>
        <v>0</v>
      </c>
      <c r="AC5490" s="117" t="str">
        <f>IF(AB5490=1,COUNTIF($AB$3:AB5490,1),"")</f>
        <v/>
      </c>
      <c r="AD5490" s="117" t="str">
        <f>IFERROR(INDEX($AA$3:$AA$10000,MATCH(ROWS($AC$3:AC5490),$AC$3:$AC$10000,0)),"")</f>
        <v/>
      </c>
    </row>
    <row r="5491" spans="27:30">
      <c r="AA5491" s="117">
        <f>+'Ingredient List - Mother Tinctu'!D5492</f>
        <v>0</v>
      </c>
      <c r="AB5491" s="117">
        <f t="shared" si="88"/>
        <v>0</v>
      </c>
      <c r="AC5491" s="117" t="str">
        <f>IF(AB5491=1,COUNTIF($AB$3:AB5491,1),"")</f>
        <v/>
      </c>
      <c r="AD5491" s="117" t="str">
        <f>IFERROR(INDEX($AA$3:$AA$10000,MATCH(ROWS($AC$3:AC5491),$AC$3:$AC$10000,0)),"")</f>
        <v/>
      </c>
    </row>
    <row r="5492" spans="27:30">
      <c r="AA5492" s="117">
        <f>+'Ingredient List - Mother Tinctu'!D5493</f>
        <v>0</v>
      </c>
      <c r="AB5492" s="117">
        <f t="shared" si="88"/>
        <v>0</v>
      </c>
      <c r="AC5492" s="117" t="str">
        <f>IF(AB5492=1,COUNTIF($AB$3:AB5492,1),"")</f>
        <v/>
      </c>
      <c r="AD5492" s="117" t="str">
        <f>IFERROR(INDEX($AA$3:$AA$10000,MATCH(ROWS($AC$3:AC5492),$AC$3:$AC$10000,0)),"")</f>
        <v/>
      </c>
    </row>
    <row r="5493" spans="27:30">
      <c r="AA5493" s="117">
        <f>+'Ingredient List - Mother Tinctu'!D5494</f>
        <v>0</v>
      </c>
      <c r="AB5493" s="117">
        <f t="shared" si="88"/>
        <v>0</v>
      </c>
      <c r="AC5493" s="117" t="str">
        <f>IF(AB5493=1,COUNTIF($AB$3:AB5493,1),"")</f>
        <v/>
      </c>
      <c r="AD5493" s="117" t="str">
        <f>IFERROR(INDEX($AA$3:$AA$10000,MATCH(ROWS($AC$3:AC5493),$AC$3:$AC$10000,0)),"")</f>
        <v/>
      </c>
    </row>
    <row r="5494" spans="27:30">
      <c r="AA5494" s="117">
        <f>+'Ingredient List - Mother Tinctu'!D5495</f>
        <v>0</v>
      </c>
      <c r="AB5494" s="117">
        <f t="shared" si="88"/>
        <v>0</v>
      </c>
      <c r="AC5494" s="117" t="str">
        <f>IF(AB5494=1,COUNTIF($AB$3:AB5494,1),"")</f>
        <v/>
      </c>
      <c r="AD5494" s="117" t="str">
        <f>IFERROR(INDEX($AA$3:$AA$10000,MATCH(ROWS($AC$3:AC5494),$AC$3:$AC$10000,0)),"")</f>
        <v/>
      </c>
    </row>
    <row r="5495" spans="27:30">
      <c r="AA5495" s="117">
        <f>+'Ingredient List - Mother Tinctu'!D5496</f>
        <v>0</v>
      </c>
      <c r="AB5495" s="117">
        <f t="shared" si="88"/>
        <v>0</v>
      </c>
      <c r="AC5495" s="117" t="str">
        <f>IF(AB5495=1,COUNTIF($AB$3:AB5495,1),"")</f>
        <v/>
      </c>
      <c r="AD5495" s="117" t="str">
        <f>IFERROR(INDEX($AA$3:$AA$10000,MATCH(ROWS($AC$3:AC5495),$AC$3:$AC$10000,0)),"")</f>
        <v/>
      </c>
    </row>
    <row r="5496" spans="27:30">
      <c r="AA5496" s="117">
        <f>+'Ingredient List - Mother Tinctu'!D5497</f>
        <v>0</v>
      </c>
      <c r="AB5496" s="117">
        <f t="shared" si="88"/>
        <v>0</v>
      </c>
      <c r="AC5496" s="117" t="str">
        <f>IF(AB5496=1,COUNTIF($AB$3:AB5496,1),"")</f>
        <v/>
      </c>
      <c r="AD5496" s="117" t="str">
        <f>IFERROR(INDEX($AA$3:$AA$10000,MATCH(ROWS($AC$3:AC5496),$AC$3:$AC$10000,0)),"")</f>
        <v/>
      </c>
    </row>
    <row r="5497" spans="27:30">
      <c r="AA5497" s="117">
        <f>+'Ingredient List - Mother Tinctu'!D5498</f>
        <v>0</v>
      </c>
      <c r="AB5497" s="117">
        <f t="shared" si="88"/>
        <v>0</v>
      </c>
      <c r="AC5497" s="117" t="str">
        <f>IF(AB5497=1,COUNTIF($AB$3:AB5497,1),"")</f>
        <v/>
      </c>
      <c r="AD5497" s="117" t="str">
        <f>IFERROR(INDEX($AA$3:$AA$10000,MATCH(ROWS($AC$3:AC5497),$AC$3:$AC$10000,0)),"")</f>
        <v/>
      </c>
    </row>
    <row r="5498" spans="27:30">
      <c r="AA5498" s="117">
        <f>+'Ingredient List - Mother Tinctu'!D5499</f>
        <v>0</v>
      </c>
      <c r="AB5498" s="117">
        <f t="shared" si="88"/>
        <v>0</v>
      </c>
      <c r="AC5498" s="117" t="str">
        <f>IF(AB5498=1,COUNTIF($AB$3:AB5498,1),"")</f>
        <v/>
      </c>
      <c r="AD5498" s="117" t="str">
        <f>IFERROR(INDEX($AA$3:$AA$10000,MATCH(ROWS($AC$3:AC5498),$AC$3:$AC$10000,0)),"")</f>
        <v/>
      </c>
    </row>
    <row r="5499" spans="27:30">
      <c r="AA5499" s="117">
        <f>+'Ingredient List - Mother Tinctu'!D5500</f>
        <v>0</v>
      </c>
      <c r="AB5499" s="117">
        <f t="shared" si="88"/>
        <v>0</v>
      </c>
      <c r="AC5499" s="117" t="str">
        <f>IF(AB5499=1,COUNTIF($AB$3:AB5499,1),"")</f>
        <v/>
      </c>
      <c r="AD5499" s="117" t="str">
        <f>IFERROR(INDEX($AA$3:$AA$10000,MATCH(ROWS($AC$3:AC5499),$AC$3:$AC$10000,0)),"")</f>
        <v/>
      </c>
    </row>
    <row r="5500" spans="27:30">
      <c r="AA5500" s="117">
        <f>+'Ingredient List - Mother Tinctu'!D5501</f>
        <v>0</v>
      </c>
      <c r="AB5500" s="117">
        <f t="shared" si="88"/>
        <v>0</v>
      </c>
      <c r="AC5500" s="117" t="str">
        <f>IF(AB5500=1,COUNTIF($AB$3:AB5500,1),"")</f>
        <v/>
      </c>
      <c r="AD5500" s="117" t="str">
        <f>IFERROR(INDEX($AA$3:$AA$10000,MATCH(ROWS($AC$3:AC5500),$AC$3:$AC$10000,0)),"")</f>
        <v/>
      </c>
    </row>
    <row r="5501" spans="27:30">
      <c r="AA5501" s="117">
        <f>+'Ingredient List - Mother Tinctu'!D5502</f>
        <v>0</v>
      </c>
      <c r="AB5501" s="117">
        <f t="shared" si="88"/>
        <v>0</v>
      </c>
      <c r="AC5501" s="117" t="str">
        <f>IF(AB5501=1,COUNTIF($AB$3:AB5501,1),"")</f>
        <v/>
      </c>
      <c r="AD5501" s="117" t="str">
        <f>IFERROR(INDEX($AA$3:$AA$10000,MATCH(ROWS($AC$3:AC5501),$AC$3:$AC$10000,0)),"")</f>
        <v/>
      </c>
    </row>
    <row r="5502" spans="27:30">
      <c r="AA5502" s="117">
        <f>+'Ingredient List - Mother Tinctu'!D5503</f>
        <v>0</v>
      </c>
      <c r="AB5502" s="117">
        <f t="shared" si="88"/>
        <v>0</v>
      </c>
      <c r="AC5502" s="117" t="str">
        <f>IF(AB5502=1,COUNTIF($AB$3:AB5502,1),"")</f>
        <v/>
      </c>
      <c r="AD5502" s="117" t="str">
        <f>IFERROR(INDEX($AA$3:$AA$10000,MATCH(ROWS($AC$3:AC5502),$AC$3:$AC$10000,0)),"")</f>
        <v/>
      </c>
    </row>
    <row r="5503" spans="27:30">
      <c r="AA5503" s="117">
        <f>+'Ingredient List - Mother Tinctu'!D5504</f>
        <v>0</v>
      </c>
      <c r="AB5503" s="117">
        <f t="shared" si="88"/>
        <v>0</v>
      </c>
      <c r="AC5503" s="117" t="str">
        <f>IF(AB5503=1,COUNTIF($AB$3:AB5503,1),"")</f>
        <v/>
      </c>
      <c r="AD5503" s="117" t="str">
        <f>IFERROR(INDEX($AA$3:$AA$10000,MATCH(ROWS($AC$3:AC5503),$AC$3:$AC$10000,0)),"")</f>
        <v/>
      </c>
    </row>
    <row r="5504" spans="27:30">
      <c r="AA5504" s="117">
        <f>+'Ingredient List - Mother Tinctu'!D5505</f>
        <v>0</v>
      </c>
      <c r="AB5504" s="117">
        <f t="shared" si="88"/>
        <v>0</v>
      </c>
      <c r="AC5504" s="117" t="str">
        <f>IF(AB5504=1,COUNTIF($AB$3:AB5504,1),"")</f>
        <v/>
      </c>
      <c r="AD5504" s="117" t="str">
        <f>IFERROR(INDEX($AA$3:$AA$10000,MATCH(ROWS($AC$3:AC5504),$AC$3:$AC$10000,0)),"")</f>
        <v/>
      </c>
    </row>
    <row r="5505" spans="27:30">
      <c r="AA5505" s="117">
        <f>+'Ingredient List - Mother Tinctu'!D5506</f>
        <v>0</v>
      </c>
      <c r="AB5505" s="117">
        <f t="shared" si="88"/>
        <v>0</v>
      </c>
      <c r="AC5505" s="117" t="str">
        <f>IF(AB5505=1,COUNTIF($AB$3:AB5505,1),"")</f>
        <v/>
      </c>
      <c r="AD5505" s="117" t="str">
        <f>IFERROR(INDEX($AA$3:$AA$10000,MATCH(ROWS($AC$3:AC5505),$AC$3:$AC$10000,0)),"")</f>
        <v/>
      </c>
    </row>
    <row r="5506" spans="27:30">
      <c r="AA5506" s="117">
        <f>+'Ingredient List - Mother Tinctu'!D5507</f>
        <v>0</v>
      </c>
      <c r="AB5506" s="117">
        <f t="shared" si="88"/>
        <v>0</v>
      </c>
      <c r="AC5506" s="117" t="str">
        <f>IF(AB5506=1,COUNTIF($AB$3:AB5506,1),"")</f>
        <v/>
      </c>
      <c r="AD5506" s="117" t="str">
        <f>IFERROR(INDEX($AA$3:$AA$10000,MATCH(ROWS($AC$3:AC5506),$AC$3:$AC$10000,0)),"")</f>
        <v/>
      </c>
    </row>
    <row r="5507" spans="27:30">
      <c r="AA5507" s="117">
        <f>+'Ingredient List - Mother Tinctu'!D5508</f>
        <v>0</v>
      </c>
      <c r="AB5507" s="117">
        <f t="shared" si="88"/>
        <v>0</v>
      </c>
      <c r="AC5507" s="117" t="str">
        <f>IF(AB5507=1,COUNTIF($AB$3:AB5507,1),"")</f>
        <v/>
      </c>
      <c r="AD5507" s="117" t="str">
        <f>IFERROR(INDEX($AA$3:$AA$10000,MATCH(ROWS($AC$3:AC5507),$AC$3:$AC$10000,0)),"")</f>
        <v/>
      </c>
    </row>
    <row r="5508" spans="27:30">
      <c r="AA5508" s="117">
        <f>+'Ingredient List - Mother Tinctu'!D5509</f>
        <v>0</v>
      </c>
      <c r="AB5508" s="117">
        <f t="shared" ref="AB5508:AB5571" si="89">--ISNUMBER(IFERROR(SEARCH($D$3,AA5508,1),""))</f>
        <v>0</v>
      </c>
      <c r="AC5508" s="117" t="str">
        <f>IF(AB5508=1,COUNTIF($AB$3:AB5508,1),"")</f>
        <v/>
      </c>
      <c r="AD5508" s="117" t="str">
        <f>IFERROR(INDEX($AA$3:$AA$10000,MATCH(ROWS($AC$3:AC5508),$AC$3:$AC$10000,0)),"")</f>
        <v/>
      </c>
    </row>
    <row r="5509" spans="27:30">
      <c r="AA5509" s="117">
        <f>+'Ingredient List - Mother Tinctu'!D5510</f>
        <v>0</v>
      </c>
      <c r="AB5509" s="117">
        <f t="shared" si="89"/>
        <v>0</v>
      </c>
      <c r="AC5509" s="117" t="str">
        <f>IF(AB5509=1,COUNTIF($AB$3:AB5509,1),"")</f>
        <v/>
      </c>
      <c r="AD5509" s="117" t="str">
        <f>IFERROR(INDEX($AA$3:$AA$10000,MATCH(ROWS($AC$3:AC5509),$AC$3:$AC$10000,0)),"")</f>
        <v/>
      </c>
    </row>
    <row r="5510" spans="27:30">
      <c r="AA5510" s="117">
        <f>+'Ingredient List - Mother Tinctu'!D5511</f>
        <v>0</v>
      </c>
      <c r="AB5510" s="117">
        <f t="shared" si="89"/>
        <v>0</v>
      </c>
      <c r="AC5510" s="117" t="str">
        <f>IF(AB5510=1,COUNTIF($AB$3:AB5510,1),"")</f>
        <v/>
      </c>
      <c r="AD5510" s="117" t="str">
        <f>IFERROR(INDEX($AA$3:$AA$10000,MATCH(ROWS($AC$3:AC5510),$AC$3:$AC$10000,0)),"")</f>
        <v/>
      </c>
    </row>
    <row r="5511" spans="27:30">
      <c r="AA5511" s="117">
        <f>+'Ingredient List - Mother Tinctu'!D5512</f>
        <v>0</v>
      </c>
      <c r="AB5511" s="117">
        <f t="shared" si="89"/>
        <v>0</v>
      </c>
      <c r="AC5511" s="117" t="str">
        <f>IF(AB5511=1,COUNTIF($AB$3:AB5511,1),"")</f>
        <v/>
      </c>
      <c r="AD5511" s="117" t="str">
        <f>IFERROR(INDEX($AA$3:$AA$10000,MATCH(ROWS($AC$3:AC5511),$AC$3:$AC$10000,0)),"")</f>
        <v/>
      </c>
    </row>
    <row r="5512" spans="27:30">
      <c r="AA5512" s="117">
        <f>+'Ingredient List - Mother Tinctu'!D5513</f>
        <v>0</v>
      </c>
      <c r="AB5512" s="117">
        <f t="shared" si="89"/>
        <v>0</v>
      </c>
      <c r="AC5512" s="117" t="str">
        <f>IF(AB5512=1,COUNTIF($AB$3:AB5512,1),"")</f>
        <v/>
      </c>
      <c r="AD5512" s="117" t="str">
        <f>IFERROR(INDEX($AA$3:$AA$10000,MATCH(ROWS($AC$3:AC5512),$AC$3:$AC$10000,0)),"")</f>
        <v/>
      </c>
    </row>
    <row r="5513" spans="27:30">
      <c r="AA5513" s="117">
        <f>+'Ingredient List - Mother Tinctu'!D5514</f>
        <v>0</v>
      </c>
      <c r="AB5513" s="117">
        <f t="shared" si="89"/>
        <v>0</v>
      </c>
      <c r="AC5513" s="117" t="str">
        <f>IF(AB5513=1,COUNTIF($AB$3:AB5513,1),"")</f>
        <v/>
      </c>
      <c r="AD5513" s="117" t="str">
        <f>IFERROR(INDEX($AA$3:$AA$10000,MATCH(ROWS($AC$3:AC5513),$AC$3:$AC$10000,0)),"")</f>
        <v/>
      </c>
    </row>
    <row r="5514" spans="27:30">
      <c r="AA5514" s="117">
        <f>+'Ingredient List - Mother Tinctu'!D5515</f>
        <v>0</v>
      </c>
      <c r="AB5514" s="117">
        <f t="shared" si="89"/>
        <v>0</v>
      </c>
      <c r="AC5514" s="117" t="str">
        <f>IF(AB5514=1,COUNTIF($AB$3:AB5514,1),"")</f>
        <v/>
      </c>
      <c r="AD5514" s="117" t="str">
        <f>IFERROR(INDEX($AA$3:$AA$10000,MATCH(ROWS($AC$3:AC5514),$AC$3:$AC$10000,0)),"")</f>
        <v/>
      </c>
    </row>
    <row r="5515" spans="27:30">
      <c r="AA5515" s="117">
        <f>+'Ingredient List - Mother Tinctu'!D5516</f>
        <v>0</v>
      </c>
      <c r="AB5515" s="117">
        <f t="shared" si="89"/>
        <v>0</v>
      </c>
      <c r="AC5515" s="117" t="str">
        <f>IF(AB5515=1,COUNTIF($AB$3:AB5515,1),"")</f>
        <v/>
      </c>
      <c r="AD5515" s="117" t="str">
        <f>IFERROR(INDEX($AA$3:$AA$10000,MATCH(ROWS($AC$3:AC5515),$AC$3:$AC$10000,0)),"")</f>
        <v/>
      </c>
    </row>
    <row r="5516" spans="27:30">
      <c r="AA5516" s="117">
        <f>+'Ingredient List - Mother Tinctu'!D5517</f>
        <v>0</v>
      </c>
      <c r="AB5516" s="117">
        <f t="shared" si="89"/>
        <v>0</v>
      </c>
      <c r="AC5516" s="117" t="str">
        <f>IF(AB5516=1,COUNTIF($AB$3:AB5516,1),"")</f>
        <v/>
      </c>
      <c r="AD5516" s="117" t="str">
        <f>IFERROR(INDEX($AA$3:$AA$10000,MATCH(ROWS($AC$3:AC5516),$AC$3:$AC$10000,0)),"")</f>
        <v/>
      </c>
    </row>
    <row r="5517" spans="27:30">
      <c r="AA5517" s="117">
        <f>+'Ingredient List - Mother Tinctu'!D5518</f>
        <v>0</v>
      </c>
      <c r="AB5517" s="117">
        <f t="shared" si="89"/>
        <v>0</v>
      </c>
      <c r="AC5517" s="117" t="str">
        <f>IF(AB5517=1,COUNTIF($AB$3:AB5517,1),"")</f>
        <v/>
      </c>
      <c r="AD5517" s="117" t="str">
        <f>IFERROR(INDEX($AA$3:$AA$10000,MATCH(ROWS($AC$3:AC5517),$AC$3:$AC$10000,0)),"")</f>
        <v/>
      </c>
    </row>
    <row r="5518" spans="27:30">
      <c r="AA5518" s="117">
        <f>+'Ingredient List - Mother Tinctu'!D5519</f>
        <v>0</v>
      </c>
      <c r="AB5518" s="117">
        <f t="shared" si="89"/>
        <v>0</v>
      </c>
      <c r="AC5518" s="117" t="str">
        <f>IF(AB5518=1,COUNTIF($AB$3:AB5518,1),"")</f>
        <v/>
      </c>
      <c r="AD5518" s="117" t="str">
        <f>IFERROR(INDEX($AA$3:$AA$10000,MATCH(ROWS($AC$3:AC5518),$AC$3:$AC$10000,0)),"")</f>
        <v/>
      </c>
    </row>
    <row r="5519" spans="27:30">
      <c r="AA5519" s="117">
        <f>+'Ingredient List - Mother Tinctu'!D5520</f>
        <v>0</v>
      </c>
      <c r="AB5519" s="117">
        <f t="shared" si="89"/>
        <v>0</v>
      </c>
      <c r="AC5519" s="117" t="str">
        <f>IF(AB5519=1,COUNTIF($AB$3:AB5519,1),"")</f>
        <v/>
      </c>
      <c r="AD5519" s="117" t="str">
        <f>IFERROR(INDEX($AA$3:$AA$10000,MATCH(ROWS($AC$3:AC5519),$AC$3:$AC$10000,0)),"")</f>
        <v/>
      </c>
    </row>
    <row r="5520" spans="27:30">
      <c r="AA5520" s="117">
        <f>+'Ingredient List - Mother Tinctu'!D5521</f>
        <v>0</v>
      </c>
      <c r="AB5520" s="117">
        <f t="shared" si="89"/>
        <v>0</v>
      </c>
      <c r="AC5520" s="117" t="str">
        <f>IF(AB5520=1,COUNTIF($AB$3:AB5520,1),"")</f>
        <v/>
      </c>
      <c r="AD5520" s="117" t="str">
        <f>IFERROR(INDEX($AA$3:$AA$10000,MATCH(ROWS($AC$3:AC5520),$AC$3:$AC$10000,0)),"")</f>
        <v/>
      </c>
    </row>
    <row r="5521" spans="27:30">
      <c r="AA5521" s="117">
        <f>+'Ingredient List - Mother Tinctu'!D5522</f>
        <v>0</v>
      </c>
      <c r="AB5521" s="117">
        <f t="shared" si="89"/>
        <v>0</v>
      </c>
      <c r="AC5521" s="117" t="str">
        <f>IF(AB5521=1,COUNTIF($AB$3:AB5521,1),"")</f>
        <v/>
      </c>
      <c r="AD5521" s="117" t="str">
        <f>IFERROR(INDEX($AA$3:$AA$10000,MATCH(ROWS($AC$3:AC5521),$AC$3:$AC$10000,0)),"")</f>
        <v/>
      </c>
    </row>
    <row r="5522" spans="27:30">
      <c r="AA5522" s="117">
        <f>+'Ingredient List - Mother Tinctu'!D5523</f>
        <v>0</v>
      </c>
      <c r="AB5522" s="117">
        <f t="shared" si="89"/>
        <v>0</v>
      </c>
      <c r="AC5522" s="117" t="str">
        <f>IF(AB5522=1,COUNTIF($AB$3:AB5522,1),"")</f>
        <v/>
      </c>
      <c r="AD5522" s="117" t="str">
        <f>IFERROR(INDEX($AA$3:$AA$10000,MATCH(ROWS($AC$3:AC5522),$AC$3:$AC$10000,0)),"")</f>
        <v/>
      </c>
    </row>
    <row r="5523" spans="27:30">
      <c r="AA5523" s="117">
        <f>+'Ingredient List - Mother Tinctu'!D5524</f>
        <v>0</v>
      </c>
      <c r="AB5523" s="117">
        <f t="shared" si="89"/>
        <v>0</v>
      </c>
      <c r="AC5523" s="117" t="str">
        <f>IF(AB5523=1,COUNTIF($AB$3:AB5523,1),"")</f>
        <v/>
      </c>
      <c r="AD5523" s="117" t="str">
        <f>IFERROR(INDEX($AA$3:$AA$10000,MATCH(ROWS($AC$3:AC5523),$AC$3:$AC$10000,0)),"")</f>
        <v/>
      </c>
    </row>
    <row r="5524" spans="27:30">
      <c r="AA5524" s="117">
        <f>+'Ingredient List - Mother Tinctu'!D5525</f>
        <v>0</v>
      </c>
      <c r="AB5524" s="117">
        <f t="shared" si="89"/>
        <v>0</v>
      </c>
      <c r="AC5524" s="117" t="str">
        <f>IF(AB5524=1,COUNTIF($AB$3:AB5524,1),"")</f>
        <v/>
      </c>
      <c r="AD5524" s="117" t="str">
        <f>IFERROR(INDEX($AA$3:$AA$10000,MATCH(ROWS($AC$3:AC5524),$AC$3:$AC$10000,0)),"")</f>
        <v/>
      </c>
    </row>
    <row r="5525" spans="27:30">
      <c r="AA5525" s="117">
        <f>+'Ingredient List - Mother Tinctu'!D5526</f>
        <v>0</v>
      </c>
      <c r="AB5525" s="117">
        <f t="shared" si="89"/>
        <v>0</v>
      </c>
      <c r="AC5525" s="117" t="str">
        <f>IF(AB5525=1,COUNTIF($AB$3:AB5525,1),"")</f>
        <v/>
      </c>
      <c r="AD5525" s="117" t="str">
        <f>IFERROR(INDEX($AA$3:$AA$10000,MATCH(ROWS($AC$3:AC5525),$AC$3:$AC$10000,0)),"")</f>
        <v/>
      </c>
    </row>
    <row r="5526" spans="27:30">
      <c r="AA5526" s="117">
        <f>+'Ingredient List - Mother Tinctu'!D5527</f>
        <v>0</v>
      </c>
      <c r="AB5526" s="117">
        <f t="shared" si="89"/>
        <v>0</v>
      </c>
      <c r="AC5526" s="117" t="str">
        <f>IF(AB5526=1,COUNTIF($AB$3:AB5526,1),"")</f>
        <v/>
      </c>
      <c r="AD5526" s="117" t="str">
        <f>IFERROR(INDEX($AA$3:$AA$10000,MATCH(ROWS($AC$3:AC5526),$AC$3:$AC$10000,0)),"")</f>
        <v/>
      </c>
    </row>
    <row r="5527" spans="27:30">
      <c r="AA5527" s="117">
        <f>+'Ingredient List - Mother Tinctu'!D5528</f>
        <v>0</v>
      </c>
      <c r="AB5527" s="117">
        <f t="shared" si="89"/>
        <v>0</v>
      </c>
      <c r="AC5527" s="117" t="str">
        <f>IF(AB5527=1,COUNTIF($AB$3:AB5527,1),"")</f>
        <v/>
      </c>
      <c r="AD5527" s="117" t="str">
        <f>IFERROR(INDEX($AA$3:$AA$10000,MATCH(ROWS($AC$3:AC5527),$AC$3:$AC$10000,0)),"")</f>
        <v/>
      </c>
    </row>
    <row r="5528" spans="27:30">
      <c r="AA5528" s="117">
        <f>+'Ingredient List - Mother Tinctu'!D5529</f>
        <v>0</v>
      </c>
      <c r="AB5528" s="117">
        <f t="shared" si="89"/>
        <v>0</v>
      </c>
      <c r="AC5528" s="117" t="str">
        <f>IF(AB5528=1,COUNTIF($AB$3:AB5528,1),"")</f>
        <v/>
      </c>
      <c r="AD5528" s="117" t="str">
        <f>IFERROR(INDEX($AA$3:$AA$10000,MATCH(ROWS($AC$3:AC5528),$AC$3:$AC$10000,0)),"")</f>
        <v/>
      </c>
    </row>
    <row r="5529" spans="27:30">
      <c r="AA5529" s="117">
        <f>+'Ingredient List - Mother Tinctu'!D5530</f>
        <v>0</v>
      </c>
      <c r="AB5529" s="117">
        <f t="shared" si="89"/>
        <v>0</v>
      </c>
      <c r="AC5529" s="117" t="str">
        <f>IF(AB5529=1,COUNTIF($AB$3:AB5529,1),"")</f>
        <v/>
      </c>
      <c r="AD5529" s="117" t="str">
        <f>IFERROR(INDEX($AA$3:$AA$10000,MATCH(ROWS($AC$3:AC5529),$AC$3:$AC$10000,0)),"")</f>
        <v/>
      </c>
    </row>
    <row r="5530" spans="27:30">
      <c r="AA5530" s="117">
        <f>+'Ingredient List - Mother Tinctu'!D5531</f>
        <v>0</v>
      </c>
      <c r="AB5530" s="117">
        <f t="shared" si="89"/>
        <v>0</v>
      </c>
      <c r="AC5530" s="117" t="str">
        <f>IF(AB5530=1,COUNTIF($AB$3:AB5530,1),"")</f>
        <v/>
      </c>
      <c r="AD5530" s="117" t="str">
        <f>IFERROR(INDEX($AA$3:$AA$10000,MATCH(ROWS($AC$3:AC5530),$AC$3:$AC$10000,0)),"")</f>
        <v/>
      </c>
    </row>
    <row r="5531" spans="27:30">
      <c r="AA5531" s="117">
        <f>+'Ingredient List - Mother Tinctu'!D5532</f>
        <v>0</v>
      </c>
      <c r="AB5531" s="117">
        <f t="shared" si="89"/>
        <v>0</v>
      </c>
      <c r="AC5531" s="117" t="str">
        <f>IF(AB5531=1,COUNTIF($AB$3:AB5531,1),"")</f>
        <v/>
      </c>
      <c r="AD5531" s="117" t="str">
        <f>IFERROR(INDEX($AA$3:$AA$10000,MATCH(ROWS($AC$3:AC5531),$AC$3:$AC$10000,0)),"")</f>
        <v/>
      </c>
    </row>
    <row r="5532" spans="27:30">
      <c r="AA5532" s="117">
        <f>+'Ingredient List - Mother Tinctu'!D5533</f>
        <v>0</v>
      </c>
      <c r="AB5532" s="117">
        <f t="shared" si="89"/>
        <v>0</v>
      </c>
      <c r="AC5532" s="117" t="str">
        <f>IF(AB5532=1,COUNTIF($AB$3:AB5532,1),"")</f>
        <v/>
      </c>
      <c r="AD5532" s="117" t="str">
        <f>IFERROR(INDEX($AA$3:$AA$10000,MATCH(ROWS($AC$3:AC5532),$AC$3:$AC$10000,0)),"")</f>
        <v/>
      </c>
    </row>
    <row r="5533" spans="27:30">
      <c r="AA5533" s="117">
        <f>+'Ingredient List - Mother Tinctu'!D5534</f>
        <v>0</v>
      </c>
      <c r="AB5533" s="117">
        <f t="shared" si="89"/>
        <v>0</v>
      </c>
      <c r="AC5533" s="117" t="str">
        <f>IF(AB5533=1,COUNTIF($AB$3:AB5533,1),"")</f>
        <v/>
      </c>
      <c r="AD5533" s="117" t="str">
        <f>IFERROR(INDEX($AA$3:$AA$10000,MATCH(ROWS($AC$3:AC5533),$AC$3:$AC$10000,0)),"")</f>
        <v/>
      </c>
    </row>
    <row r="5534" spans="27:30">
      <c r="AA5534" s="117">
        <f>+'Ingredient List - Mother Tinctu'!D5535</f>
        <v>0</v>
      </c>
      <c r="AB5534" s="117">
        <f t="shared" si="89"/>
        <v>0</v>
      </c>
      <c r="AC5534" s="117" t="str">
        <f>IF(AB5534=1,COUNTIF($AB$3:AB5534,1),"")</f>
        <v/>
      </c>
      <c r="AD5534" s="117" t="str">
        <f>IFERROR(INDEX($AA$3:$AA$10000,MATCH(ROWS($AC$3:AC5534),$AC$3:$AC$10000,0)),"")</f>
        <v/>
      </c>
    </row>
    <row r="5535" spans="27:30">
      <c r="AA5535" s="117">
        <f>+'Ingredient List - Mother Tinctu'!D5536</f>
        <v>0</v>
      </c>
      <c r="AB5535" s="117">
        <f t="shared" si="89"/>
        <v>0</v>
      </c>
      <c r="AC5535" s="117" t="str">
        <f>IF(AB5535=1,COUNTIF($AB$3:AB5535,1),"")</f>
        <v/>
      </c>
      <c r="AD5535" s="117" t="str">
        <f>IFERROR(INDEX($AA$3:$AA$10000,MATCH(ROWS($AC$3:AC5535),$AC$3:$AC$10000,0)),"")</f>
        <v/>
      </c>
    </row>
    <row r="5536" spans="27:30">
      <c r="AA5536" s="117">
        <f>+'Ingredient List - Mother Tinctu'!D5537</f>
        <v>0</v>
      </c>
      <c r="AB5536" s="117">
        <f t="shared" si="89"/>
        <v>0</v>
      </c>
      <c r="AC5536" s="117" t="str">
        <f>IF(AB5536=1,COUNTIF($AB$3:AB5536,1),"")</f>
        <v/>
      </c>
      <c r="AD5536" s="117" t="str">
        <f>IFERROR(INDEX($AA$3:$AA$10000,MATCH(ROWS($AC$3:AC5536),$AC$3:$AC$10000,0)),"")</f>
        <v/>
      </c>
    </row>
    <row r="5537" spans="27:30">
      <c r="AA5537" s="117">
        <f>+'Ingredient List - Mother Tinctu'!D5538</f>
        <v>0</v>
      </c>
      <c r="AB5537" s="117">
        <f t="shared" si="89"/>
        <v>0</v>
      </c>
      <c r="AC5537" s="117" t="str">
        <f>IF(AB5537=1,COUNTIF($AB$3:AB5537,1),"")</f>
        <v/>
      </c>
      <c r="AD5537" s="117" t="str">
        <f>IFERROR(INDEX($AA$3:$AA$10000,MATCH(ROWS($AC$3:AC5537),$AC$3:$AC$10000,0)),"")</f>
        <v/>
      </c>
    </row>
    <row r="5538" spans="27:30">
      <c r="AA5538" s="117">
        <f>+'Ingredient List - Mother Tinctu'!D5539</f>
        <v>0</v>
      </c>
      <c r="AB5538" s="117">
        <f t="shared" si="89"/>
        <v>0</v>
      </c>
      <c r="AC5538" s="117" t="str">
        <f>IF(AB5538=1,COUNTIF($AB$3:AB5538,1),"")</f>
        <v/>
      </c>
      <c r="AD5538" s="117" t="str">
        <f>IFERROR(INDEX($AA$3:$AA$10000,MATCH(ROWS($AC$3:AC5538),$AC$3:$AC$10000,0)),"")</f>
        <v/>
      </c>
    </row>
    <row r="5539" spans="27:30">
      <c r="AA5539" s="117">
        <f>+'Ingredient List - Mother Tinctu'!D5540</f>
        <v>0</v>
      </c>
      <c r="AB5539" s="117">
        <f t="shared" si="89"/>
        <v>0</v>
      </c>
      <c r="AC5539" s="117" t="str">
        <f>IF(AB5539=1,COUNTIF($AB$3:AB5539,1),"")</f>
        <v/>
      </c>
      <c r="AD5539" s="117" t="str">
        <f>IFERROR(INDEX($AA$3:$AA$10000,MATCH(ROWS($AC$3:AC5539),$AC$3:$AC$10000,0)),"")</f>
        <v/>
      </c>
    </row>
    <row r="5540" spans="27:30">
      <c r="AA5540" s="117">
        <f>+'Ingredient List - Mother Tinctu'!D5541</f>
        <v>0</v>
      </c>
      <c r="AB5540" s="117">
        <f t="shared" si="89"/>
        <v>0</v>
      </c>
      <c r="AC5540" s="117" t="str">
        <f>IF(AB5540=1,COUNTIF($AB$3:AB5540,1),"")</f>
        <v/>
      </c>
      <c r="AD5540" s="117" t="str">
        <f>IFERROR(INDEX($AA$3:$AA$10000,MATCH(ROWS($AC$3:AC5540),$AC$3:$AC$10000,0)),"")</f>
        <v/>
      </c>
    </row>
    <row r="5541" spans="27:30">
      <c r="AA5541" s="117">
        <f>+'Ingredient List - Mother Tinctu'!D5542</f>
        <v>0</v>
      </c>
      <c r="AB5541" s="117">
        <f t="shared" si="89"/>
        <v>0</v>
      </c>
      <c r="AC5541" s="117" t="str">
        <f>IF(AB5541=1,COUNTIF($AB$3:AB5541,1),"")</f>
        <v/>
      </c>
      <c r="AD5541" s="117" t="str">
        <f>IFERROR(INDEX($AA$3:$AA$10000,MATCH(ROWS($AC$3:AC5541),$AC$3:$AC$10000,0)),"")</f>
        <v/>
      </c>
    </row>
    <row r="5542" spans="27:30">
      <c r="AA5542" s="117">
        <f>+'Ingredient List - Mother Tinctu'!D5543</f>
        <v>0</v>
      </c>
      <c r="AB5542" s="117">
        <f t="shared" si="89"/>
        <v>0</v>
      </c>
      <c r="AC5542" s="117" t="str">
        <f>IF(AB5542=1,COUNTIF($AB$3:AB5542,1),"")</f>
        <v/>
      </c>
      <c r="AD5542" s="117" t="str">
        <f>IFERROR(INDEX($AA$3:$AA$10000,MATCH(ROWS($AC$3:AC5542),$AC$3:$AC$10000,0)),"")</f>
        <v/>
      </c>
    </row>
    <row r="5543" spans="27:30">
      <c r="AA5543" s="117">
        <f>+'Ingredient List - Mother Tinctu'!D5544</f>
        <v>0</v>
      </c>
      <c r="AB5543" s="117">
        <f t="shared" si="89"/>
        <v>0</v>
      </c>
      <c r="AC5543" s="117" t="str">
        <f>IF(AB5543=1,COUNTIF($AB$3:AB5543,1),"")</f>
        <v/>
      </c>
      <c r="AD5543" s="117" t="str">
        <f>IFERROR(INDEX($AA$3:$AA$10000,MATCH(ROWS($AC$3:AC5543),$AC$3:$AC$10000,0)),"")</f>
        <v/>
      </c>
    </row>
    <row r="5544" spans="27:30">
      <c r="AA5544" s="117">
        <f>+'Ingredient List - Mother Tinctu'!D5545</f>
        <v>0</v>
      </c>
      <c r="AB5544" s="117">
        <f t="shared" si="89"/>
        <v>0</v>
      </c>
      <c r="AC5544" s="117" t="str">
        <f>IF(AB5544=1,COUNTIF($AB$3:AB5544,1),"")</f>
        <v/>
      </c>
      <c r="AD5544" s="117" t="str">
        <f>IFERROR(INDEX($AA$3:$AA$10000,MATCH(ROWS($AC$3:AC5544),$AC$3:$AC$10000,0)),"")</f>
        <v/>
      </c>
    </row>
    <row r="5545" spans="27:30">
      <c r="AA5545" s="117">
        <f>+'Ingredient List - Mother Tinctu'!D5546</f>
        <v>0</v>
      </c>
      <c r="AB5545" s="117">
        <f t="shared" si="89"/>
        <v>0</v>
      </c>
      <c r="AC5545" s="117" t="str">
        <f>IF(AB5545=1,COUNTIF($AB$3:AB5545,1),"")</f>
        <v/>
      </c>
      <c r="AD5545" s="117" t="str">
        <f>IFERROR(INDEX($AA$3:$AA$10000,MATCH(ROWS($AC$3:AC5545),$AC$3:$AC$10000,0)),"")</f>
        <v/>
      </c>
    </row>
    <row r="5546" spans="27:30">
      <c r="AA5546" s="117">
        <f>+'Ingredient List - Mother Tinctu'!D5547</f>
        <v>0</v>
      </c>
      <c r="AB5546" s="117">
        <f t="shared" si="89"/>
        <v>0</v>
      </c>
      <c r="AC5546" s="117" t="str">
        <f>IF(AB5546=1,COUNTIF($AB$3:AB5546,1),"")</f>
        <v/>
      </c>
      <c r="AD5546" s="117" t="str">
        <f>IFERROR(INDEX($AA$3:$AA$10000,MATCH(ROWS($AC$3:AC5546),$AC$3:$AC$10000,0)),"")</f>
        <v/>
      </c>
    </row>
    <row r="5547" spans="27:30">
      <c r="AA5547" s="117">
        <f>+'Ingredient List - Mother Tinctu'!D5548</f>
        <v>0</v>
      </c>
      <c r="AB5547" s="117">
        <f t="shared" si="89"/>
        <v>0</v>
      </c>
      <c r="AC5547" s="117" t="str">
        <f>IF(AB5547=1,COUNTIF($AB$3:AB5547,1),"")</f>
        <v/>
      </c>
      <c r="AD5547" s="117" t="str">
        <f>IFERROR(INDEX($AA$3:$AA$10000,MATCH(ROWS($AC$3:AC5547),$AC$3:$AC$10000,0)),"")</f>
        <v/>
      </c>
    </row>
    <row r="5548" spans="27:30">
      <c r="AA5548" s="117">
        <f>+'Ingredient List - Mother Tinctu'!D5549</f>
        <v>0</v>
      </c>
      <c r="AB5548" s="117">
        <f t="shared" si="89"/>
        <v>0</v>
      </c>
      <c r="AC5548" s="117" t="str">
        <f>IF(AB5548=1,COUNTIF($AB$3:AB5548,1),"")</f>
        <v/>
      </c>
      <c r="AD5548" s="117" t="str">
        <f>IFERROR(INDEX($AA$3:$AA$10000,MATCH(ROWS($AC$3:AC5548),$AC$3:$AC$10000,0)),"")</f>
        <v/>
      </c>
    </row>
    <row r="5549" spans="27:30">
      <c r="AA5549" s="117">
        <f>+'Ingredient List - Mother Tinctu'!D5550</f>
        <v>0</v>
      </c>
      <c r="AB5549" s="117">
        <f t="shared" si="89"/>
        <v>0</v>
      </c>
      <c r="AC5549" s="117" t="str">
        <f>IF(AB5549=1,COUNTIF($AB$3:AB5549,1),"")</f>
        <v/>
      </c>
      <c r="AD5549" s="117" t="str">
        <f>IFERROR(INDEX($AA$3:$AA$10000,MATCH(ROWS($AC$3:AC5549),$AC$3:$AC$10000,0)),"")</f>
        <v/>
      </c>
    </row>
    <row r="5550" spans="27:30">
      <c r="AA5550" s="117">
        <f>+'Ingredient List - Mother Tinctu'!D5551</f>
        <v>0</v>
      </c>
      <c r="AB5550" s="117">
        <f t="shared" si="89"/>
        <v>0</v>
      </c>
      <c r="AC5550" s="117" t="str">
        <f>IF(AB5550=1,COUNTIF($AB$3:AB5550,1),"")</f>
        <v/>
      </c>
      <c r="AD5550" s="117" t="str">
        <f>IFERROR(INDEX($AA$3:$AA$10000,MATCH(ROWS($AC$3:AC5550),$AC$3:$AC$10000,0)),"")</f>
        <v/>
      </c>
    </row>
    <row r="5551" spans="27:30">
      <c r="AA5551" s="117">
        <f>+'Ingredient List - Mother Tinctu'!D5552</f>
        <v>0</v>
      </c>
      <c r="AB5551" s="117">
        <f t="shared" si="89"/>
        <v>0</v>
      </c>
      <c r="AC5551" s="117" t="str">
        <f>IF(AB5551=1,COUNTIF($AB$3:AB5551,1),"")</f>
        <v/>
      </c>
      <c r="AD5551" s="117" t="str">
        <f>IFERROR(INDEX($AA$3:$AA$10000,MATCH(ROWS($AC$3:AC5551),$AC$3:$AC$10000,0)),"")</f>
        <v/>
      </c>
    </row>
    <row r="5552" spans="27:30">
      <c r="AA5552" s="117">
        <f>+'Ingredient List - Mother Tinctu'!D5553</f>
        <v>0</v>
      </c>
      <c r="AB5552" s="117">
        <f t="shared" si="89"/>
        <v>0</v>
      </c>
      <c r="AC5552" s="117" t="str">
        <f>IF(AB5552=1,COUNTIF($AB$3:AB5552,1),"")</f>
        <v/>
      </c>
      <c r="AD5552" s="117" t="str">
        <f>IFERROR(INDEX($AA$3:$AA$10000,MATCH(ROWS($AC$3:AC5552),$AC$3:$AC$10000,0)),"")</f>
        <v/>
      </c>
    </row>
    <row r="5553" spans="27:30">
      <c r="AA5553" s="117">
        <f>+'Ingredient List - Mother Tinctu'!D5554</f>
        <v>0</v>
      </c>
      <c r="AB5553" s="117">
        <f t="shared" si="89"/>
        <v>0</v>
      </c>
      <c r="AC5553" s="117" t="str">
        <f>IF(AB5553=1,COUNTIF($AB$3:AB5553,1),"")</f>
        <v/>
      </c>
      <c r="AD5553" s="117" t="str">
        <f>IFERROR(INDEX($AA$3:$AA$10000,MATCH(ROWS($AC$3:AC5553),$AC$3:$AC$10000,0)),"")</f>
        <v/>
      </c>
    </row>
    <row r="5554" spans="27:30">
      <c r="AA5554" s="117">
        <f>+'Ingredient List - Mother Tinctu'!D5555</f>
        <v>0</v>
      </c>
      <c r="AB5554" s="117">
        <f t="shared" si="89"/>
        <v>0</v>
      </c>
      <c r="AC5554" s="117" t="str">
        <f>IF(AB5554=1,COUNTIF($AB$3:AB5554,1),"")</f>
        <v/>
      </c>
      <c r="AD5554" s="117" t="str">
        <f>IFERROR(INDEX($AA$3:$AA$10000,MATCH(ROWS($AC$3:AC5554),$AC$3:$AC$10000,0)),"")</f>
        <v/>
      </c>
    </row>
    <row r="5555" spans="27:30">
      <c r="AA5555" s="117">
        <f>+'Ingredient List - Mother Tinctu'!D5556</f>
        <v>0</v>
      </c>
      <c r="AB5555" s="117">
        <f t="shared" si="89"/>
        <v>0</v>
      </c>
      <c r="AC5555" s="117" t="str">
        <f>IF(AB5555=1,COUNTIF($AB$3:AB5555,1),"")</f>
        <v/>
      </c>
      <c r="AD5555" s="117" t="str">
        <f>IFERROR(INDEX($AA$3:$AA$10000,MATCH(ROWS($AC$3:AC5555),$AC$3:$AC$10000,0)),"")</f>
        <v/>
      </c>
    </row>
    <row r="5556" spans="27:30">
      <c r="AA5556" s="117">
        <f>+'Ingredient List - Mother Tinctu'!D5557</f>
        <v>0</v>
      </c>
      <c r="AB5556" s="117">
        <f t="shared" si="89"/>
        <v>0</v>
      </c>
      <c r="AC5556" s="117" t="str">
        <f>IF(AB5556=1,COUNTIF($AB$3:AB5556,1),"")</f>
        <v/>
      </c>
      <c r="AD5556" s="117" t="str">
        <f>IFERROR(INDEX($AA$3:$AA$10000,MATCH(ROWS($AC$3:AC5556),$AC$3:$AC$10000,0)),"")</f>
        <v/>
      </c>
    </row>
    <row r="5557" spans="27:30">
      <c r="AA5557" s="117">
        <f>+'Ingredient List - Mother Tinctu'!D5558</f>
        <v>0</v>
      </c>
      <c r="AB5557" s="117">
        <f t="shared" si="89"/>
        <v>0</v>
      </c>
      <c r="AC5557" s="117" t="str">
        <f>IF(AB5557=1,COUNTIF($AB$3:AB5557,1),"")</f>
        <v/>
      </c>
      <c r="AD5557" s="117" t="str">
        <f>IFERROR(INDEX($AA$3:$AA$10000,MATCH(ROWS($AC$3:AC5557),$AC$3:$AC$10000,0)),"")</f>
        <v/>
      </c>
    </row>
    <row r="5558" spans="27:30">
      <c r="AA5558" s="117">
        <f>+'Ingredient List - Mother Tinctu'!D5559</f>
        <v>0</v>
      </c>
      <c r="AB5558" s="117">
        <f t="shared" si="89"/>
        <v>0</v>
      </c>
      <c r="AC5558" s="117" t="str">
        <f>IF(AB5558=1,COUNTIF($AB$3:AB5558,1),"")</f>
        <v/>
      </c>
      <c r="AD5558" s="117" t="str">
        <f>IFERROR(INDEX($AA$3:$AA$10000,MATCH(ROWS($AC$3:AC5558),$AC$3:$AC$10000,0)),"")</f>
        <v/>
      </c>
    </row>
    <row r="5559" spans="27:30">
      <c r="AA5559" s="117">
        <f>+'Ingredient List - Mother Tinctu'!D5560</f>
        <v>0</v>
      </c>
      <c r="AB5559" s="117">
        <f t="shared" si="89"/>
        <v>0</v>
      </c>
      <c r="AC5559" s="117" t="str">
        <f>IF(AB5559=1,COUNTIF($AB$3:AB5559,1),"")</f>
        <v/>
      </c>
      <c r="AD5559" s="117" t="str">
        <f>IFERROR(INDEX($AA$3:$AA$10000,MATCH(ROWS($AC$3:AC5559),$AC$3:$AC$10000,0)),"")</f>
        <v/>
      </c>
    </row>
    <row r="5560" spans="27:30">
      <c r="AA5560" s="117">
        <f>+'Ingredient List - Mother Tinctu'!D5561</f>
        <v>0</v>
      </c>
      <c r="AB5560" s="117">
        <f t="shared" si="89"/>
        <v>0</v>
      </c>
      <c r="AC5560" s="117" t="str">
        <f>IF(AB5560=1,COUNTIF($AB$3:AB5560,1),"")</f>
        <v/>
      </c>
      <c r="AD5560" s="117" t="str">
        <f>IFERROR(INDEX($AA$3:$AA$10000,MATCH(ROWS($AC$3:AC5560),$AC$3:$AC$10000,0)),"")</f>
        <v/>
      </c>
    </row>
    <row r="5561" spans="27:30">
      <c r="AA5561" s="117">
        <f>+'Ingredient List - Mother Tinctu'!D5562</f>
        <v>0</v>
      </c>
      <c r="AB5561" s="117">
        <f t="shared" si="89"/>
        <v>0</v>
      </c>
      <c r="AC5561" s="117" t="str">
        <f>IF(AB5561=1,COUNTIF($AB$3:AB5561,1),"")</f>
        <v/>
      </c>
      <c r="AD5561" s="117" t="str">
        <f>IFERROR(INDEX($AA$3:$AA$10000,MATCH(ROWS($AC$3:AC5561),$AC$3:$AC$10000,0)),"")</f>
        <v/>
      </c>
    </row>
    <row r="5562" spans="27:30">
      <c r="AA5562" s="117">
        <f>+'Ingredient List - Mother Tinctu'!D5563</f>
        <v>0</v>
      </c>
      <c r="AB5562" s="117">
        <f t="shared" si="89"/>
        <v>0</v>
      </c>
      <c r="AC5562" s="117" t="str">
        <f>IF(AB5562=1,COUNTIF($AB$3:AB5562,1),"")</f>
        <v/>
      </c>
      <c r="AD5562" s="117" t="str">
        <f>IFERROR(INDEX($AA$3:$AA$10000,MATCH(ROWS($AC$3:AC5562),$AC$3:$AC$10000,0)),"")</f>
        <v/>
      </c>
    </row>
    <row r="5563" spans="27:30">
      <c r="AA5563" s="117">
        <f>+'Ingredient List - Mother Tinctu'!D5564</f>
        <v>0</v>
      </c>
      <c r="AB5563" s="117">
        <f t="shared" si="89"/>
        <v>0</v>
      </c>
      <c r="AC5563" s="117" t="str">
        <f>IF(AB5563=1,COUNTIF($AB$3:AB5563,1),"")</f>
        <v/>
      </c>
      <c r="AD5563" s="117" t="str">
        <f>IFERROR(INDEX($AA$3:$AA$10000,MATCH(ROWS($AC$3:AC5563),$AC$3:$AC$10000,0)),"")</f>
        <v/>
      </c>
    </row>
    <row r="5564" spans="27:30">
      <c r="AA5564" s="117">
        <f>+'Ingredient List - Mother Tinctu'!D5565</f>
        <v>0</v>
      </c>
      <c r="AB5564" s="117">
        <f t="shared" si="89"/>
        <v>0</v>
      </c>
      <c r="AC5564" s="117" t="str">
        <f>IF(AB5564=1,COUNTIF($AB$3:AB5564,1),"")</f>
        <v/>
      </c>
      <c r="AD5564" s="117" t="str">
        <f>IFERROR(INDEX($AA$3:$AA$10000,MATCH(ROWS($AC$3:AC5564),$AC$3:$AC$10000,0)),"")</f>
        <v/>
      </c>
    </row>
    <row r="5565" spans="27:30">
      <c r="AA5565" s="117">
        <f>+'Ingredient List - Mother Tinctu'!D5566</f>
        <v>0</v>
      </c>
      <c r="AB5565" s="117">
        <f t="shared" si="89"/>
        <v>0</v>
      </c>
      <c r="AC5565" s="117" t="str">
        <f>IF(AB5565=1,COUNTIF($AB$3:AB5565,1),"")</f>
        <v/>
      </c>
      <c r="AD5565" s="117" t="str">
        <f>IFERROR(INDEX($AA$3:$AA$10000,MATCH(ROWS($AC$3:AC5565),$AC$3:$AC$10000,0)),"")</f>
        <v/>
      </c>
    </row>
    <row r="5566" spans="27:30">
      <c r="AA5566" s="117">
        <f>+'Ingredient List - Mother Tinctu'!D5567</f>
        <v>0</v>
      </c>
      <c r="AB5566" s="117">
        <f t="shared" si="89"/>
        <v>0</v>
      </c>
      <c r="AC5566" s="117" t="str">
        <f>IF(AB5566=1,COUNTIF($AB$3:AB5566,1),"")</f>
        <v/>
      </c>
      <c r="AD5566" s="117" t="str">
        <f>IFERROR(INDEX($AA$3:$AA$10000,MATCH(ROWS($AC$3:AC5566),$AC$3:$AC$10000,0)),"")</f>
        <v/>
      </c>
    </row>
    <row r="5567" spans="27:30">
      <c r="AA5567" s="117">
        <f>+'Ingredient List - Mother Tinctu'!D5568</f>
        <v>0</v>
      </c>
      <c r="AB5567" s="117">
        <f t="shared" si="89"/>
        <v>0</v>
      </c>
      <c r="AC5567" s="117" t="str">
        <f>IF(AB5567=1,COUNTIF($AB$3:AB5567,1),"")</f>
        <v/>
      </c>
      <c r="AD5567" s="117" t="str">
        <f>IFERROR(INDEX($AA$3:$AA$10000,MATCH(ROWS($AC$3:AC5567),$AC$3:$AC$10000,0)),"")</f>
        <v/>
      </c>
    </row>
    <row r="5568" spans="27:30">
      <c r="AA5568" s="117">
        <f>+'Ingredient List - Mother Tinctu'!D5569</f>
        <v>0</v>
      </c>
      <c r="AB5568" s="117">
        <f t="shared" si="89"/>
        <v>0</v>
      </c>
      <c r="AC5568" s="117" t="str">
        <f>IF(AB5568=1,COUNTIF($AB$3:AB5568,1),"")</f>
        <v/>
      </c>
      <c r="AD5568" s="117" t="str">
        <f>IFERROR(INDEX($AA$3:$AA$10000,MATCH(ROWS($AC$3:AC5568),$AC$3:$AC$10000,0)),"")</f>
        <v/>
      </c>
    </row>
    <row r="5569" spans="27:30">
      <c r="AA5569" s="117">
        <f>+'Ingredient List - Mother Tinctu'!D5570</f>
        <v>0</v>
      </c>
      <c r="AB5569" s="117">
        <f t="shared" si="89"/>
        <v>0</v>
      </c>
      <c r="AC5569" s="117" t="str">
        <f>IF(AB5569=1,COUNTIF($AB$3:AB5569,1),"")</f>
        <v/>
      </c>
      <c r="AD5569" s="117" t="str">
        <f>IFERROR(INDEX($AA$3:$AA$10000,MATCH(ROWS($AC$3:AC5569),$AC$3:$AC$10000,0)),"")</f>
        <v/>
      </c>
    </row>
    <row r="5570" spans="27:30">
      <c r="AA5570" s="117">
        <f>+'Ingredient List - Mother Tinctu'!D5571</f>
        <v>0</v>
      </c>
      <c r="AB5570" s="117">
        <f t="shared" si="89"/>
        <v>0</v>
      </c>
      <c r="AC5570" s="117" t="str">
        <f>IF(AB5570=1,COUNTIF($AB$3:AB5570,1),"")</f>
        <v/>
      </c>
      <c r="AD5570" s="117" t="str">
        <f>IFERROR(INDEX($AA$3:$AA$10000,MATCH(ROWS($AC$3:AC5570),$AC$3:$AC$10000,0)),"")</f>
        <v/>
      </c>
    </row>
    <row r="5571" spans="27:30">
      <c r="AA5571" s="117">
        <f>+'Ingredient List - Mother Tinctu'!D5572</f>
        <v>0</v>
      </c>
      <c r="AB5571" s="117">
        <f t="shared" si="89"/>
        <v>0</v>
      </c>
      <c r="AC5571" s="117" t="str">
        <f>IF(AB5571=1,COUNTIF($AB$3:AB5571,1),"")</f>
        <v/>
      </c>
      <c r="AD5571" s="117" t="str">
        <f>IFERROR(INDEX($AA$3:$AA$10000,MATCH(ROWS($AC$3:AC5571),$AC$3:$AC$10000,0)),"")</f>
        <v/>
      </c>
    </row>
    <row r="5572" spans="27:30">
      <c r="AA5572" s="117">
        <f>+'Ingredient List - Mother Tinctu'!D5573</f>
        <v>0</v>
      </c>
      <c r="AB5572" s="117">
        <f t="shared" ref="AB5572:AB5635" si="90">--ISNUMBER(IFERROR(SEARCH($D$3,AA5572,1),""))</f>
        <v>0</v>
      </c>
      <c r="AC5572" s="117" t="str">
        <f>IF(AB5572=1,COUNTIF($AB$3:AB5572,1),"")</f>
        <v/>
      </c>
      <c r="AD5572" s="117" t="str">
        <f>IFERROR(INDEX($AA$3:$AA$10000,MATCH(ROWS($AC$3:AC5572),$AC$3:$AC$10000,0)),"")</f>
        <v/>
      </c>
    </row>
    <row r="5573" spans="27:30">
      <c r="AA5573" s="117">
        <f>+'Ingredient List - Mother Tinctu'!D5574</f>
        <v>0</v>
      </c>
      <c r="AB5573" s="117">
        <f t="shared" si="90"/>
        <v>0</v>
      </c>
      <c r="AC5573" s="117" t="str">
        <f>IF(AB5573=1,COUNTIF($AB$3:AB5573,1),"")</f>
        <v/>
      </c>
      <c r="AD5573" s="117" t="str">
        <f>IFERROR(INDEX($AA$3:$AA$10000,MATCH(ROWS($AC$3:AC5573),$AC$3:$AC$10000,0)),"")</f>
        <v/>
      </c>
    </row>
    <row r="5574" spans="27:30">
      <c r="AA5574" s="117">
        <f>+'Ingredient List - Mother Tinctu'!D5575</f>
        <v>0</v>
      </c>
      <c r="AB5574" s="117">
        <f t="shared" si="90"/>
        <v>0</v>
      </c>
      <c r="AC5574" s="117" t="str">
        <f>IF(AB5574=1,COUNTIF($AB$3:AB5574,1),"")</f>
        <v/>
      </c>
      <c r="AD5574" s="117" t="str">
        <f>IFERROR(INDEX($AA$3:$AA$10000,MATCH(ROWS($AC$3:AC5574),$AC$3:$AC$10000,0)),"")</f>
        <v/>
      </c>
    </row>
    <row r="5575" spans="27:30">
      <c r="AA5575" s="117">
        <f>+'Ingredient List - Mother Tinctu'!D5576</f>
        <v>0</v>
      </c>
      <c r="AB5575" s="117">
        <f t="shared" si="90"/>
        <v>0</v>
      </c>
      <c r="AC5575" s="117" t="str">
        <f>IF(AB5575=1,COUNTIF($AB$3:AB5575,1),"")</f>
        <v/>
      </c>
      <c r="AD5575" s="117" t="str">
        <f>IFERROR(INDEX($AA$3:$AA$10000,MATCH(ROWS($AC$3:AC5575),$AC$3:$AC$10000,0)),"")</f>
        <v/>
      </c>
    </row>
    <row r="5576" spans="27:30">
      <c r="AA5576" s="117">
        <f>+'Ingredient List - Mother Tinctu'!D5577</f>
        <v>0</v>
      </c>
      <c r="AB5576" s="117">
        <f t="shared" si="90"/>
        <v>0</v>
      </c>
      <c r="AC5576" s="117" t="str">
        <f>IF(AB5576=1,COUNTIF($AB$3:AB5576,1),"")</f>
        <v/>
      </c>
      <c r="AD5576" s="117" t="str">
        <f>IFERROR(INDEX($AA$3:$AA$10000,MATCH(ROWS($AC$3:AC5576),$AC$3:$AC$10000,0)),"")</f>
        <v/>
      </c>
    </row>
    <row r="5577" spans="27:30">
      <c r="AA5577" s="117">
        <f>+'Ingredient List - Mother Tinctu'!D5578</f>
        <v>0</v>
      </c>
      <c r="AB5577" s="117">
        <f t="shared" si="90"/>
        <v>0</v>
      </c>
      <c r="AC5577" s="117" t="str">
        <f>IF(AB5577=1,COUNTIF($AB$3:AB5577,1),"")</f>
        <v/>
      </c>
      <c r="AD5577" s="117" t="str">
        <f>IFERROR(INDEX($AA$3:$AA$10000,MATCH(ROWS($AC$3:AC5577),$AC$3:$AC$10000,0)),"")</f>
        <v/>
      </c>
    </row>
    <row r="5578" spans="27:30">
      <c r="AA5578" s="117">
        <f>+'Ingredient List - Mother Tinctu'!D5579</f>
        <v>0</v>
      </c>
      <c r="AB5578" s="117">
        <f t="shared" si="90"/>
        <v>0</v>
      </c>
      <c r="AC5578" s="117" t="str">
        <f>IF(AB5578=1,COUNTIF($AB$3:AB5578,1),"")</f>
        <v/>
      </c>
      <c r="AD5578" s="117" t="str">
        <f>IFERROR(INDEX($AA$3:$AA$10000,MATCH(ROWS($AC$3:AC5578),$AC$3:$AC$10000,0)),"")</f>
        <v/>
      </c>
    </row>
    <row r="5579" spans="27:30">
      <c r="AA5579" s="117">
        <f>+'Ingredient List - Mother Tinctu'!D5580</f>
        <v>0</v>
      </c>
      <c r="AB5579" s="117">
        <f t="shared" si="90"/>
        <v>0</v>
      </c>
      <c r="AC5579" s="117" t="str">
        <f>IF(AB5579=1,COUNTIF($AB$3:AB5579,1),"")</f>
        <v/>
      </c>
      <c r="AD5579" s="117" t="str">
        <f>IFERROR(INDEX($AA$3:$AA$10000,MATCH(ROWS($AC$3:AC5579),$AC$3:$AC$10000,0)),"")</f>
        <v/>
      </c>
    </row>
    <row r="5580" spans="27:30">
      <c r="AA5580" s="117">
        <f>+'Ingredient List - Mother Tinctu'!D5581</f>
        <v>0</v>
      </c>
      <c r="AB5580" s="117">
        <f t="shared" si="90"/>
        <v>0</v>
      </c>
      <c r="AC5580" s="117" t="str">
        <f>IF(AB5580=1,COUNTIF($AB$3:AB5580,1),"")</f>
        <v/>
      </c>
      <c r="AD5580" s="117" t="str">
        <f>IFERROR(INDEX($AA$3:$AA$10000,MATCH(ROWS($AC$3:AC5580),$AC$3:$AC$10000,0)),"")</f>
        <v/>
      </c>
    </row>
    <row r="5581" spans="27:30">
      <c r="AA5581" s="117">
        <f>+'Ingredient List - Mother Tinctu'!D5582</f>
        <v>0</v>
      </c>
      <c r="AB5581" s="117">
        <f t="shared" si="90"/>
        <v>0</v>
      </c>
      <c r="AC5581" s="117" t="str">
        <f>IF(AB5581=1,COUNTIF($AB$3:AB5581,1),"")</f>
        <v/>
      </c>
      <c r="AD5581" s="117" t="str">
        <f>IFERROR(INDEX($AA$3:$AA$10000,MATCH(ROWS($AC$3:AC5581),$AC$3:$AC$10000,0)),"")</f>
        <v/>
      </c>
    </row>
    <row r="5582" spans="27:30">
      <c r="AA5582" s="117">
        <f>+'Ingredient List - Mother Tinctu'!D5583</f>
        <v>0</v>
      </c>
      <c r="AB5582" s="117">
        <f t="shared" si="90"/>
        <v>0</v>
      </c>
      <c r="AC5582" s="117" t="str">
        <f>IF(AB5582=1,COUNTIF($AB$3:AB5582,1),"")</f>
        <v/>
      </c>
      <c r="AD5582" s="117" t="str">
        <f>IFERROR(INDEX($AA$3:$AA$10000,MATCH(ROWS($AC$3:AC5582),$AC$3:$AC$10000,0)),"")</f>
        <v/>
      </c>
    </row>
    <row r="5583" spans="27:30">
      <c r="AA5583" s="117">
        <f>+'Ingredient List - Mother Tinctu'!D5584</f>
        <v>0</v>
      </c>
      <c r="AB5583" s="117">
        <f t="shared" si="90"/>
        <v>0</v>
      </c>
      <c r="AC5583" s="117" t="str">
        <f>IF(AB5583=1,COUNTIF($AB$3:AB5583,1),"")</f>
        <v/>
      </c>
      <c r="AD5583" s="117" t="str">
        <f>IFERROR(INDEX($AA$3:$AA$10000,MATCH(ROWS($AC$3:AC5583),$AC$3:$AC$10000,0)),"")</f>
        <v/>
      </c>
    </row>
    <row r="5584" spans="27:30">
      <c r="AA5584" s="117">
        <f>+'Ingredient List - Mother Tinctu'!D5585</f>
        <v>0</v>
      </c>
      <c r="AB5584" s="117">
        <f t="shared" si="90"/>
        <v>0</v>
      </c>
      <c r="AC5584" s="117" t="str">
        <f>IF(AB5584=1,COUNTIF($AB$3:AB5584,1),"")</f>
        <v/>
      </c>
      <c r="AD5584" s="117" t="str">
        <f>IFERROR(INDEX($AA$3:$AA$10000,MATCH(ROWS($AC$3:AC5584),$AC$3:$AC$10000,0)),"")</f>
        <v/>
      </c>
    </row>
    <row r="5585" spans="27:30">
      <c r="AA5585" s="117">
        <f>+'Ingredient List - Mother Tinctu'!D5586</f>
        <v>0</v>
      </c>
      <c r="AB5585" s="117">
        <f t="shared" si="90"/>
        <v>0</v>
      </c>
      <c r="AC5585" s="117" t="str">
        <f>IF(AB5585=1,COUNTIF($AB$3:AB5585,1),"")</f>
        <v/>
      </c>
      <c r="AD5585" s="117" t="str">
        <f>IFERROR(INDEX($AA$3:$AA$10000,MATCH(ROWS($AC$3:AC5585),$AC$3:$AC$10000,0)),"")</f>
        <v/>
      </c>
    </row>
    <row r="5586" spans="27:30">
      <c r="AA5586" s="117">
        <f>+'Ingredient List - Mother Tinctu'!D5587</f>
        <v>0</v>
      </c>
      <c r="AB5586" s="117">
        <f t="shared" si="90"/>
        <v>0</v>
      </c>
      <c r="AC5586" s="117" t="str">
        <f>IF(AB5586=1,COUNTIF($AB$3:AB5586,1),"")</f>
        <v/>
      </c>
      <c r="AD5586" s="117" t="str">
        <f>IFERROR(INDEX($AA$3:$AA$10000,MATCH(ROWS($AC$3:AC5586),$AC$3:$AC$10000,0)),"")</f>
        <v/>
      </c>
    </row>
    <row r="5587" spans="27:30">
      <c r="AA5587" s="117">
        <f>+'Ingredient List - Mother Tinctu'!D5588</f>
        <v>0</v>
      </c>
      <c r="AB5587" s="117">
        <f t="shared" si="90"/>
        <v>0</v>
      </c>
      <c r="AC5587" s="117" t="str">
        <f>IF(AB5587=1,COUNTIF($AB$3:AB5587,1),"")</f>
        <v/>
      </c>
      <c r="AD5587" s="117" t="str">
        <f>IFERROR(INDEX($AA$3:$AA$10000,MATCH(ROWS($AC$3:AC5587),$AC$3:$AC$10000,0)),"")</f>
        <v/>
      </c>
    </row>
    <row r="5588" spans="27:30">
      <c r="AA5588" s="117">
        <f>+'Ingredient List - Mother Tinctu'!D5589</f>
        <v>0</v>
      </c>
      <c r="AB5588" s="117">
        <f t="shared" si="90"/>
        <v>0</v>
      </c>
      <c r="AC5588" s="117" t="str">
        <f>IF(AB5588=1,COUNTIF($AB$3:AB5588,1),"")</f>
        <v/>
      </c>
      <c r="AD5588" s="117" t="str">
        <f>IFERROR(INDEX($AA$3:$AA$10000,MATCH(ROWS($AC$3:AC5588),$AC$3:$AC$10000,0)),"")</f>
        <v/>
      </c>
    </row>
    <row r="5589" spans="27:30">
      <c r="AA5589" s="117">
        <f>+'Ingredient List - Mother Tinctu'!D5590</f>
        <v>0</v>
      </c>
      <c r="AB5589" s="117">
        <f t="shared" si="90"/>
        <v>0</v>
      </c>
      <c r="AC5589" s="117" t="str">
        <f>IF(AB5589=1,COUNTIF($AB$3:AB5589,1),"")</f>
        <v/>
      </c>
      <c r="AD5589" s="117" t="str">
        <f>IFERROR(INDEX($AA$3:$AA$10000,MATCH(ROWS($AC$3:AC5589),$AC$3:$AC$10000,0)),"")</f>
        <v/>
      </c>
    </row>
    <row r="5590" spans="27:30">
      <c r="AA5590" s="117">
        <f>+'Ingredient List - Mother Tinctu'!D5591</f>
        <v>0</v>
      </c>
      <c r="AB5590" s="117">
        <f t="shared" si="90"/>
        <v>0</v>
      </c>
      <c r="AC5590" s="117" t="str">
        <f>IF(AB5590=1,COUNTIF($AB$3:AB5590,1),"")</f>
        <v/>
      </c>
      <c r="AD5590" s="117" t="str">
        <f>IFERROR(INDEX($AA$3:$AA$10000,MATCH(ROWS($AC$3:AC5590),$AC$3:$AC$10000,0)),"")</f>
        <v/>
      </c>
    </row>
    <row r="5591" spans="27:30">
      <c r="AA5591" s="117">
        <f>+'Ingredient List - Mother Tinctu'!D5592</f>
        <v>0</v>
      </c>
      <c r="AB5591" s="117">
        <f t="shared" si="90"/>
        <v>0</v>
      </c>
      <c r="AC5591" s="117" t="str">
        <f>IF(AB5591=1,COUNTIF($AB$3:AB5591,1),"")</f>
        <v/>
      </c>
      <c r="AD5591" s="117" t="str">
        <f>IFERROR(INDEX($AA$3:$AA$10000,MATCH(ROWS($AC$3:AC5591),$AC$3:$AC$10000,0)),"")</f>
        <v/>
      </c>
    </row>
    <row r="5592" spans="27:30">
      <c r="AA5592" s="117">
        <f>+'Ingredient List - Mother Tinctu'!D5593</f>
        <v>0</v>
      </c>
      <c r="AB5592" s="117">
        <f t="shared" si="90"/>
        <v>0</v>
      </c>
      <c r="AC5592" s="117" t="str">
        <f>IF(AB5592=1,COUNTIF($AB$3:AB5592,1),"")</f>
        <v/>
      </c>
      <c r="AD5592" s="117" t="str">
        <f>IFERROR(INDEX($AA$3:$AA$10000,MATCH(ROWS($AC$3:AC5592),$AC$3:$AC$10000,0)),"")</f>
        <v/>
      </c>
    </row>
    <row r="5593" spans="27:30">
      <c r="AA5593" s="117">
        <f>+'Ingredient List - Mother Tinctu'!D5594</f>
        <v>0</v>
      </c>
      <c r="AB5593" s="117">
        <f t="shared" si="90"/>
        <v>0</v>
      </c>
      <c r="AC5593" s="117" t="str">
        <f>IF(AB5593=1,COUNTIF($AB$3:AB5593,1),"")</f>
        <v/>
      </c>
      <c r="AD5593" s="117" t="str">
        <f>IFERROR(INDEX($AA$3:$AA$10000,MATCH(ROWS($AC$3:AC5593),$AC$3:$AC$10000,0)),"")</f>
        <v/>
      </c>
    </row>
    <row r="5594" spans="27:30">
      <c r="AA5594" s="117">
        <f>+'Ingredient List - Mother Tinctu'!D5595</f>
        <v>0</v>
      </c>
      <c r="AB5594" s="117">
        <f t="shared" si="90"/>
        <v>0</v>
      </c>
      <c r="AC5594" s="117" t="str">
        <f>IF(AB5594=1,COUNTIF($AB$3:AB5594,1),"")</f>
        <v/>
      </c>
      <c r="AD5594" s="117" t="str">
        <f>IFERROR(INDEX($AA$3:$AA$10000,MATCH(ROWS($AC$3:AC5594),$AC$3:$AC$10000,0)),"")</f>
        <v/>
      </c>
    </row>
    <row r="5595" spans="27:30">
      <c r="AA5595" s="117">
        <f>+'Ingredient List - Mother Tinctu'!D5596</f>
        <v>0</v>
      </c>
      <c r="AB5595" s="117">
        <f t="shared" si="90"/>
        <v>0</v>
      </c>
      <c r="AC5595" s="117" t="str">
        <f>IF(AB5595=1,COUNTIF($AB$3:AB5595,1),"")</f>
        <v/>
      </c>
      <c r="AD5595" s="117" t="str">
        <f>IFERROR(INDEX($AA$3:$AA$10000,MATCH(ROWS($AC$3:AC5595),$AC$3:$AC$10000,0)),"")</f>
        <v/>
      </c>
    </row>
    <row r="5596" spans="27:30">
      <c r="AA5596" s="117">
        <f>+'Ingredient List - Mother Tinctu'!D5597</f>
        <v>0</v>
      </c>
      <c r="AB5596" s="117">
        <f t="shared" si="90"/>
        <v>0</v>
      </c>
      <c r="AC5596" s="117" t="str">
        <f>IF(AB5596=1,COUNTIF($AB$3:AB5596,1),"")</f>
        <v/>
      </c>
      <c r="AD5596" s="117" t="str">
        <f>IFERROR(INDEX($AA$3:$AA$10000,MATCH(ROWS($AC$3:AC5596),$AC$3:$AC$10000,0)),"")</f>
        <v/>
      </c>
    </row>
    <row r="5597" spans="27:30">
      <c r="AA5597" s="117">
        <f>+'Ingredient List - Mother Tinctu'!D5598</f>
        <v>0</v>
      </c>
      <c r="AB5597" s="117">
        <f t="shared" si="90"/>
        <v>0</v>
      </c>
      <c r="AC5597" s="117" t="str">
        <f>IF(AB5597=1,COUNTIF($AB$3:AB5597,1),"")</f>
        <v/>
      </c>
      <c r="AD5597" s="117" t="str">
        <f>IFERROR(INDEX($AA$3:$AA$10000,MATCH(ROWS($AC$3:AC5597),$AC$3:$AC$10000,0)),"")</f>
        <v/>
      </c>
    </row>
    <row r="5598" spans="27:30">
      <c r="AA5598" s="117">
        <f>+'Ingredient List - Mother Tinctu'!D5599</f>
        <v>0</v>
      </c>
      <c r="AB5598" s="117">
        <f t="shared" si="90"/>
        <v>0</v>
      </c>
      <c r="AC5598" s="117" t="str">
        <f>IF(AB5598=1,COUNTIF($AB$3:AB5598,1),"")</f>
        <v/>
      </c>
      <c r="AD5598" s="117" t="str">
        <f>IFERROR(INDEX($AA$3:$AA$10000,MATCH(ROWS($AC$3:AC5598),$AC$3:$AC$10000,0)),"")</f>
        <v/>
      </c>
    </row>
    <row r="5599" spans="27:30">
      <c r="AA5599" s="117">
        <f>+'Ingredient List - Mother Tinctu'!D5600</f>
        <v>0</v>
      </c>
      <c r="AB5599" s="117">
        <f t="shared" si="90"/>
        <v>0</v>
      </c>
      <c r="AC5599" s="117" t="str">
        <f>IF(AB5599=1,COUNTIF($AB$3:AB5599,1),"")</f>
        <v/>
      </c>
      <c r="AD5599" s="117" t="str">
        <f>IFERROR(INDEX($AA$3:$AA$10000,MATCH(ROWS($AC$3:AC5599),$AC$3:$AC$10000,0)),"")</f>
        <v/>
      </c>
    </row>
    <row r="5600" spans="27:30">
      <c r="AA5600" s="117">
        <f>+'Ingredient List - Mother Tinctu'!D5601</f>
        <v>0</v>
      </c>
      <c r="AB5600" s="117">
        <f t="shared" si="90"/>
        <v>0</v>
      </c>
      <c r="AC5600" s="117" t="str">
        <f>IF(AB5600=1,COUNTIF($AB$3:AB5600,1),"")</f>
        <v/>
      </c>
      <c r="AD5600" s="117" t="str">
        <f>IFERROR(INDEX($AA$3:$AA$10000,MATCH(ROWS($AC$3:AC5600),$AC$3:$AC$10000,0)),"")</f>
        <v/>
      </c>
    </row>
    <row r="5601" spans="27:30">
      <c r="AA5601" s="117">
        <f>+'Ingredient List - Mother Tinctu'!D5602</f>
        <v>0</v>
      </c>
      <c r="AB5601" s="117">
        <f t="shared" si="90"/>
        <v>0</v>
      </c>
      <c r="AC5601" s="117" t="str">
        <f>IF(AB5601=1,COUNTIF($AB$3:AB5601,1),"")</f>
        <v/>
      </c>
      <c r="AD5601" s="117" t="str">
        <f>IFERROR(INDEX($AA$3:$AA$10000,MATCH(ROWS($AC$3:AC5601),$AC$3:$AC$10000,0)),"")</f>
        <v/>
      </c>
    </row>
    <row r="5602" spans="27:30">
      <c r="AA5602" s="117">
        <f>+'Ingredient List - Mother Tinctu'!D5603</f>
        <v>0</v>
      </c>
      <c r="AB5602" s="117">
        <f t="shared" si="90"/>
        <v>0</v>
      </c>
      <c r="AC5602" s="117" t="str">
        <f>IF(AB5602=1,COUNTIF($AB$3:AB5602,1),"")</f>
        <v/>
      </c>
      <c r="AD5602" s="117" t="str">
        <f>IFERROR(INDEX($AA$3:$AA$10000,MATCH(ROWS($AC$3:AC5602),$AC$3:$AC$10000,0)),"")</f>
        <v/>
      </c>
    </row>
    <row r="5603" spans="27:30">
      <c r="AA5603" s="117">
        <f>+'Ingredient List - Mother Tinctu'!D5604</f>
        <v>0</v>
      </c>
      <c r="AB5603" s="117">
        <f t="shared" si="90"/>
        <v>0</v>
      </c>
      <c r="AC5603" s="117" t="str">
        <f>IF(AB5603=1,COUNTIF($AB$3:AB5603,1),"")</f>
        <v/>
      </c>
      <c r="AD5603" s="117" t="str">
        <f>IFERROR(INDEX($AA$3:$AA$10000,MATCH(ROWS($AC$3:AC5603),$AC$3:$AC$10000,0)),"")</f>
        <v/>
      </c>
    </row>
    <row r="5604" spans="27:30">
      <c r="AA5604" s="117">
        <f>+'Ingredient List - Mother Tinctu'!D5605</f>
        <v>0</v>
      </c>
      <c r="AB5604" s="117">
        <f t="shared" si="90"/>
        <v>0</v>
      </c>
      <c r="AC5604" s="117" t="str">
        <f>IF(AB5604=1,COUNTIF($AB$3:AB5604,1),"")</f>
        <v/>
      </c>
      <c r="AD5604" s="117" t="str">
        <f>IFERROR(INDEX($AA$3:$AA$10000,MATCH(ROWS($AC$3:AC5604),$AC$3:$AC$10000,0)),"")</f>
        <v/>
      </c>
    </row>
    <row r="5605" spans="27:30">
      <c r="AA5605" s="117">
        <f>+'Ingredient List - Mother Tinctu'!D5606</f>
        <v>0</v>
      </c>
      <c r="AB5605" s="117">
        <f t="shared" si="90"/>
        <v>0</v>
      </c>
      <c r="AC5605" s="117" t="str">
        <f>IF(AB5605=1,COUNTIF($AB$3:AB5605,1),"")</f>
        <v/>
      </c>
      <c r="AD5605" s="117" t="str">
        <f>IFERROR(INDEX($AA$3:$AA$10000,MATCH(ROWS($AC$3:AC5605),$AC$3:$AC$10000,0)),"")</f>
        <v/>
      </c>
    </row>
    <row r="5606" spans="27:30">
      <c r="AA5606" s="117">
        <f>+'Ingredient List - Mother Tinctu'!D5607</f>
        <v>0</v>
      </c>
      <c r="AB5606" s="117">
        <f t="shared" si="90"/>
        <v>0</v>
      </c>
      <c r="AC5606" s="117" t="str">
        <f>IF(AB5606=1,COUNTIF($AB$3:AB5606,1),"")</f>
        <v/>
      </c>
      <c r="AD5606" s="117" t="str">
        <f>IFERROR(INDEX($AA$3:$AA$10000,MATCH(ROWS($AC$3:AC5606),$AC$3:$AC$10000,0)),"")</f>
        <v/>
      </c>
    </row>
    <row r="5607" spans="27:30">
      <c r="AA5607" s="117">
        <f>+'Ingredient List - Mother Tinctu'!D5608</f>
        <v>0</v>
      </c>
      <c r="AB5607" s="117">
        <f t="shared" si="90"/>
        <v>0</v>
      </c>
      <c r="AC5607" s="117" t="str">
        <f>IF(AB5607=1,COUNTIF($AB$3:AB5607,1),"")</f>
        <v/>
      </c>
      <c r="AD5607" s="117" t="str">
        <f>IFERROR(INDEX($AA$3:$AA$10000,MATCH(ROWS($AC$3:AC5607),$AC$3:$AC$10000,0)),"")</f>
        <v/>
      </c>
    </row>
    <row r="5608" spans="27:30">
      <c r="AA5608" s="117">
        <f>+'Ingredient List - Mother Tinctu'!D5609</f>
        <v>0</v>
      </c>
      <c r="AB5608" s="117">
        <f t="shared" si="90"/>
        <v>0</v>
      </c>
      <c r="AC5608" s="117" t="str">
        <f>IF(AB5608=1,COUNTIF($AB$3:AB5608,1),"")</f>
        <v/>
      </c>
      <c r="AD5608" s="117" t="str">
        <f>IFERROR(INDEX($AA$3:$AA$10000,MATCH(ROWS($AC$3:AC5608),$AC$3:$AC$10000,0)),"")</f>
        <v/>
      </c>
    </row>
    <row r="5609" spans="27:30">
      <c r="AA5609" s="117">
        <f>+'Ingredient List - Mother Tinctu'!D5610</f>
        <v>0</v>
      </c>
      <c r="AB5609" s="117">
        <f t="shared" si="90"/>
        <v>0</v>
      </c>
      <c r="AC5609" s="117" t="str">
        <f>IF(AB5609=1,COUNTIF($AB$3:AB5609,1),"")</f>
        <v/>
      </c>
      <c r="AD5609" s="117" t="str">
        <f>IFERROR(INDEX($AA$3:$AA$10000,MATCH(ROWS($AC$3:AC5609),$AC$3:$AC$10000,0)),"")</f>
        <v/>
      </c>
    </row>
    <row r="5610" spans="27:30">
      <c r="AA5610" s="117">
        <f>+'Ingredient List - Mother Tinctu'!D5611</f>
        <v>0</v>
      </c>
      <c r="AB5610" s="117">
        <f t="shared" si="90"/>
        <v>0</v>
      </c>
      <c r="AC5610" s="117" t="str">
        <f>IF(AB5610=1,COUNTIF($AB$3:AB5610,1),"")</f>
        <v/>
      </c>
      <c r="AD5610" s="117" t="str">
        <f>IFERROR(INDEX($AA$3:$AA$10000,MATCH(ROWS($AC$3:AC5610),$AC$3:$AC$10000,0)),"")</f>
        <v/>
      </c>
    </row>
    <row r="5611" spans="27:30">
      <c r="AA5611" s="117">
        <f>+'Ingredient List - Mother Tinctu'!D5612</f>
        <v>0</v>
      </c>
      <c r="AB5611" s="117">
        <f t="shared" si="90"/>
        <v>0</v>
      </c>
      <c r="AC5611" s="117" t="str">
        <f>IF(AB5611=1,COUNTIF($AB$3:AB5611,1),"")</f>
        <v/>
      </c>
      <c r="AD5611" s="117" t="str">
        <f>IFERROR(INDEX($AA$3:$AA$10000,MATCH(ROWS($AC$3:AC5611),$AC$3:$AC$10000,0)),"")</f>
        <v/>
      </c>
    </row>
    <row r="5612" spans="27:30">
      <c r="AA5612" s="117">
        <f>+'Ingredient List - Mother Tinctu'!D5613</f>
        <v>0</v>
      </c>
      <c r="AB5612" s="117">
        <f t="shared" si="90"/>
        <v>0</v>
      </c>
      <c r="AC5612" s="117" t="str">
        <f>IF(AB5612=1,COUNTIF($AB$3:AB5612,1),"")</f>
        <v/>
      </c>
      <c r="AD5612" s="117" t="str">
        <f>IFERROR(INDEX($AA$3:$AA$10000,MATCH(ROWS($AC$3:AC5612),$AC$3:$AC$10000,0)),"")</f>
        <v/>
      </c>
    </row>
    <row r="5613" spans="27:30">
      <c r="AA5613" s="117">
        <f>+'Ingredient List - Mother Tinctu'!D5614</f>
        <v>0</v>
      </c>
      <c r="AB5613" s="117">
        <f t="shared" si="90"/>
        <v>0</v>
      </c>
      <c r="AC5613" s="117" t="str">
        <f>IF(AB5613=1,COUNTIF($AB$3:AB5613,1),"")</f>
        <v/>
      </c>
      <c r="AD5613" s="117" t="str">
        <f>IFERROR(INDEX($AA$3:$AA$10000,MATCH(ROWS($AC$3:AC5613),$AC$3:$AC$10000,0)),"")</f>
        <v/>
      </c>
    </row>
    <row r="5614" spans="27:30">
      <c r="AA5614" s="117">
        <f>+'Ingredient List - Mother Tinctu'!D5615</f>
        <v>0</v>
      </c>
      <c r="AB5614" s="117">
        <f t="shared" si="90"/>
        <v>0</v>
      </c>
      <c r="AC5614" s="117" t="str">
        <f>IF(AB5614=1,COUNTIF($AB$3:AB5614,1),"")</f>
        <v/>
      </c>
      <c r="AD5614" s="117" t="str">
        <f>IFERROR(INDEX($AA$3:$AA$10000,MATCH(ROWS($AC$3:AC5614),$AC$3:$AC$10000,0)),"")</f>
        <v/>
      </c>
    </row>
    <row r="5615" spans="27:30">
      <c r="AA5615" s="117">
        <f>+'Ingredient List - Mother Tinctu'!D5616</f>
        <v>0</v>
      </c>
      <c r="AB5615" s="117">
        <f t="shared" si="90"/>
        <v>0</v>
      </c>
      <c r="AC5615" s="117" t="str">
        <f>IF(AB5615=1,COUNTIF($AB$3:AB5615,1),"")</f>
        <v/>
      </c>
      <c r="AD5615" s="117" t="str">
        <f>IFERROR(INDEX($AA$3:$AA$10000,MATCH(ROWS($AC$3:AC5615),$AC$3:$AC$10000,0)),"")</f>
        <v/>
      </c>
    </row>
    <row r="5616" spans="27:30">
      <c r="AA5616" s="117">
        <f>+'Ingredient List - Mother Tinctu'!D5617</f>
        <v>0</v>
      </c>
      <c r="AB5616" s="117">
        <f t="shared" si="90"/>
        <v>0</v>
      </c>
      <c r="AC5616" s="117" t="str">
        <f>IF(AB5616=1,COUNTIF($AB$3:AB5616,1),"")</f>
        <v/>
      </c>
      <c r="AD5616" s="117" t="str">
        <f>IFERROR(INDEX($AA$3:$AA$10000,MATCH(ROWS($AC$3:AC5616),$AC$3:$AC$10000,0)),"")</f>
        <v/>
      </c>
    </row>
    <row r="5617" spans="27:30">
      <c r="AA5617" s="117">
        <f>+'Ingredient List - Mother Tinctu'!D5618</f>
        <v>0</v>
      </c>
      <c r="AB5617" s="117">
        <f t="shared" si="90"/>
        <v>0</v>
      </c>
      <c r="AC5617" s="117" t="str">
        <f>IF(AB5617=1,COUNTIF($AB$3:AB5617,1),"")</f>
        <v/>
      </c>
      <c r="AD5617" s="117" t="str">
        <f>IFERROR(INDEX($AA$3:$AA$10000,MATCH(ROWS($AC$3:AC5617),$AC$3:$AC$10000,0)),"")</f>
        <v/>
      </c>
    </row>
    <row r="5618" spans="27:30">
      <c r="AA5618" s="117">
        <f>+'Ingredient List - Mother Tinctu'!D5619</f>
        <v>0</v>
      </c>
      <c r="AB5618" s="117">
        <f t="shared" si="90"/>
        <v>0</v>
      </c>
      <c r="AC5618" s="117" t="str">
        <f>IF(AB5618=1,COUNTIF($AB$3:AB5618,1),"")</f>
        <v/>
      </c>
      <c r="AD5618" s="117" t="str">
        <f>IFERROR(INDEX($AA$3:$AA$10000,MATCH(ROWS($AC$3:AC5618),$AC$3:$AC$10000,0)),"")</f>
        <v/>
      </c>
    </row>
    <row r="5619" spans="27:30">
      <c r="AA5619" s="117">
        <f>+'Ingredient List - Mother Tinctu'!D5620</f>
        <v>0</v>
      </c>
      <c r="AB5619" s="117">
        <f t="shared" si="90"/>
        <v>0</v>
      </c>
      <c r="AC5619" s="117" t="str">
        <f>IF(AB5619=1,COUNTIF($AB$3:AB5619,1),"")</f>
        <v/>
      </c>
      <c r="AD5619" s="117" t="str">
        <f>IFERROR(INDEX($AA$3:$AA$10000,MATCH(ROWS($AC$3:AC5619),$AC$3:$AC$10000,0)),"")</f>
        <v/>
      </c>
    </row>
    <row r="5620" spans="27:30">
      <c r="AA5620" s="117">
        <f>+'Ingredient List - Mother Tinctu'!D5621</f>
        <v>0</v>
      </c>
      <c r="AB5620" s="117">
        <f t="shared" si="90"/>
        <v>0</v>
      </c>
      <c r="AC5620" s="117" t="str">
        <f>IF(AB5620=1,COUNTIF($AB$3:AB5620,1),"")</f>
        <v/>
      </c>
      <c r="AD5620" s="117" t="str">
        <f>IFERROR(INDEX($AA$3:$AA$10000,MATCH(ROWS($AC$3:AC5620),$AC$3:$AC$10000,0)),"")</f>
        <v/>
      </c>
    </row>
    <row r="5621" spans="27:30">
      <c r="AA5621" s="117">
        <f>+'Ingredient List - Mother Tinctu'!D5622</f>
        <v>0</v>
      </c>
      <c r="AB5621" s="117">
        <f t="shared" si="90"/>
        <v>0</v>
      </c>
      <c r="AC5621" s="117" t="str">
        <f>IF(AB5621=1,COUNTIF($AB$3:AB5621,1),"")</f>
        <v/>
      </c>
      <c r="AD5621" s="117" t="str">
        <f>IFERROR(INDEX($AA$3:$AA$10000,MATCH(ROWS($AC$3:AC5621),$AC$3:$AC$10000,0)),"")</f>
        <v/>
      </c>
    </row>
    <row r="5622" spans="27:30">
      <c r="AA5622" s="117">
        <f>+'Ingredient List - Mother Tinctu'!D5623</f>
        <v>0</v>
      </c>
      <c r="AB5622" s="117">
        <f t="shared" si="90"/>
        <v>0</v>
      </c>
      <c r="AC5622" s="117" t="str">
        <f>IF(AB5622=1,COUNTIF($AB$3:AB5622,1),"")</f>
        <v/>
      </c>
      <c r="AD5622" s="117" t="str">
        <f>IFERROR(INDEX($AA$3:$AA$10000,MATCH(ROWS($AC$3:AC5622),$AC$3:$AC$10000,0)),"")</f>
        <v/>
      </c>
    </row>
    <row r="5623" spans="27:30">
      <c r="AA5623" s="117">
        <f>+'Ingredient List - Mother Tinctu'!D5624</f>
        <v>0</v>
      </c>
      <c r="AB5623" s="117">
        <f t="shared" si="90"/>
        <v>0</v>
      </c>
      <c r="AC5623" s="117" t="str">
        <f>IF(AB5623=1,COUNTIF($AB$3:AB5623,1),"")</f>
        <v/>
      </c>
      <c r="AD5623" s="117" t="str">
        <f>IFERROR(INDEX($AA$3:$AA$10000,MATCH(ROWS($AC$3:AC5623),$AC$3:$AC$10000,0)),"")</f>
        <v/>
      </c>
    </row>
    <row r="5624" spans="27:30">
      <c r="AA5624" s="117">
        <f>+'Ingredient List - Mother Tinctu'!D5625</f>
        <v>0</v>
      </c>
      <c r="AB5624" s="117">
        <f t="shared" si="90"/>
        <v>0</v>
      </c>
      <c r="AC5624" s="117" t="str">
        <f>IF(AB5624=1,COUNTIF($AB$3:AB5624,1),"")</f>
        <v/>
      </c>
      <c r="AD5624" s="117" t="str">
        <f>IFERROR(INDEX($AA$3:$AA$10000,MATCH(ROWS($AC$3:AC5624),$AC$3:$AC$10000,0)),"")</f>
        <v/>
      </c>
    </row>
    <row r="5625" spans="27:30">
      <c r="AA5625" s="117">
        <f>+'Ingredient List - Mother Tinctu'!D5626</f>
        <v>0</v>
      </c>
      <c r="AB5625" s="117">
        <f t="shared" si="90"/>
        <v>0</v>
      </c>
      <c r="AC5625" s="117" t="str">
        <f>IF(AB5625=1,COUNTIF($AB$3:AB5625,1),"")</f>
        <v/>
      </c>
      <c r="AD5625" s="117" t="str">
        <f>IFERROR(INDEX($AA$3:$AA$10000,MATCH(ROWS($AC$3:AC5625),$AC$3:$AC$10000,0)),"")</f>
        <v/>
      </c>
    </row>
    <row r="5626" spans="27:30">
      <c r="AA5626" s="117">
        <f>+'Ingredient List - Mother Tinctu'!D5627</f>
        <v>0</v>
      </c>
      <c r="AB5626" s="117">
        <f t="shared" si="90"/>
        <v>0</v>
      </c>
      <c r="AC5626" s="117" t="str">
        <f>IF(AB5626=1,COUNTIF($AB$3:AB5626,1),"")</f>
        <v/>
      </c>
      <c r="AD5626" s="117" t="str">
        <f>IFERROR(INDEX($AA$3:$AA$10000,MATCH(ROWS($AC$3:AC5626),$AC$3:$AC$10000,0)),"")</f>
        <v/>
      </c>
    </row>
    <row r="5627" spans="27:30">
      <c r="AA5627" s="117">
        <f>+'Ingredient List - Mother Tinctu'!D5628</f>
        <v>0</v>
      </c>
      <c r="AB5627" s="117">
        <f t="shared" si="90"/>
        <v>0</v>
      </c>
      <c r="AC5627" s="117" t="str">
        <f>IF(AB5627=1,COUNTIF($AB$3:AB5627,1),"")</f>
        <v/>
      </c>
      <c r="AD5627" s="117" t="str">
        <f>IFERROR(INDEX($AA$3:$AA$10000,MATCH(ROWS($AC$3:AC5627),$AC$3:$AC$10000,0)),"")</f>
        <v/>
      </c>
    </row>
    <row r="5628" spans="27:30">
      <c r="AA5628" s="117">
        <f>+'Ingredient List - Mother Tinctu'!D5629</f>
        <v>0</v>
      </c>
      <c r="AB5628" s="117">
        <f t="shared" si="90"/>
        <v>0</v>
      </c>
      <c r="AC5628" s="117" t="str">
        <f>IF(AB5628=1,COUNTIF($AB$3:AB5628,1),"")</f>
        <v/>
      </c>
      <c r="AD5628" s="117" t="str">
        <f>IFERROR(INDEX($AA$3:$AA$10000,MATCH(ROWS($AC$3:AC5628),$AC$3:$AC$10000,0)),"")</f>
        <v/>
      </c>
    </row>
    <row r="5629" spans="27:30">
      <c r="AA5629" s="117">
        <f>+'Ingredient List - Mother Tinctu'!D5630</f>
        <v>0</v>
      </c>
      <c r="AB5629" s="117">
        <f t="shared" si="90"/>
        <v>0</v>
      </c>
      <c r="AC5629" s="117" t="str">
        <f>IF(AB5629=1,COUNTIF($AB$3:AB5629,1),"")</f>
        <v/>
      </c>
      <c r="AD5629" s="117" t="str">
        <f>IFERROR(INDEX($AA$3:$AA$10000,MATCH(ROWS($AC$3:AC5629),$AC$3:$AC$10000,0)),"")</f>
        <v/>
      </c>
    </row>
    <row r="5630" spans="27:30">
      <c r="AA5630" s="117">
        <f>+'Ingredient List - Mother Tinctu'!D5631</f>
        <v>0</v>
      </c>
      <c r="AB5630" s="117">
        <f t="shared" si="90"/>
        <v>0</v>
      </c>
      <c r="AC5630" s="117" t="str">
        <f>IF(AB5630=1,COUNTIF($AB$3:AB5630,1),"")</f>
        <v/>
      </c>
      <c r="AD5630" s="117" t="str">
        <f>IFERROR(INDEX($AA$3:$AA$10000,MATCH(ROWS($AC$3:AC5630),$AC$3:$AC$10000,0)),"")</f>
        <v/>
      </c>
    </row>
    <row r="5631" spans="27:30">
      <c r="AA5631" s="117">
        <f>+'Ingredient List - Mother Tinctu'!D5632</f>
        <v>0</v>
      </c>
      <c r="AB5631" s="117">
        <f t="shared" si="90"/>
        <v>0</v>
      </c>
      <c r="AC5631" s="117" t="str">
        <f>IF(AB5631=1,COUNTIF($AB$3:AB5631,1),"")</f>
        <v/>
      </c>
      <c r="AD5631" s="117" t="str">
        <f>IFERROR(INDEX($AA$3:$AA$10000,MATCH(ROWS($AC$3:AC5631),$AC$3:$AC$10000,0)),"")</f>
        <v/>
      </c>
    </row>
    <row r="5632" spans="27:30">
      <c r="AA5632" s="117">
        <f>+'Ingredient List - Mother Tinctu'!D5633</f>
        <v>0</v>
      </c>
      <c r="AB5632" s="117">
        <f t="shared" si="90"/>
        <v>0</v>
      </c>
      <c r="AC5632" s="117" t="str">
        <f>IF(AB5632=1,COUNTIF($AB$3:AB5632,1),"")</f>
        <v/>
      </c>
      <c r="AD5632" s="117" t="str">
        <f>IFERROR(INDEX($AA$3:$AA$10000,MATCH(ROWS($AC$3:AC5632),$AC$3:$AC$10000,0)),"")</f>
        <v/>
      </c>
    </row>
    <row r="5633" spans="27:30">
      <c r="AA5633" s="117">
        <f>+'Ingredient List - Mother Tinctu'!D5634</f>
        <v>0</v>
      </c>
      <c r="AB5633" s="117">
        <f t="shared" si="90"/>
        <v>0</v>
      </c>
      <c r="AC5633" s="117" t="str">
        <f>IF(AB5633=1,COUNTIF($AB$3:AB5633,1),"")</f>
        <v/>
      </c>
      <c r="AD5633" s="117" t="str">
        <f>IFERROR(INDEX($AA$3:$AA$10000,MATCH(ROWS($AC$3:AC5633),$AC$3:$AC$10000,0)),"")</f>
        <v/>
      </c>
    </row>
    <row r="5634" spans="27:30">
      <c r="AA5634" s="117">
        <f>+'Ingredient List - Mother Tinctu'!D5635</f>
        <v>0</v>
      </c>
      <c r="AB5634" s="117">
        <f t="shared" si="90"/>
        <v>0</v>
      </c>
      <c r="AC5634" s="117" t="str">
        <f>IF(AB5634=1,COUNTIF($AB$3:AB5634,1),"")</f>
        <v/>
      </c>
      <c r="AD5634" s="117" t="str">
        <f>IFERROR(INDEX($AA$3:$AA$10000,MATCH(ROWS($AC$3:AC5634),$AC$3:$AC$10000,0)),"")</f>
        <v/>
      </c>
    </row>
    <row r="5635" spans="27:30">
      <c r="AA5635" s="117">
        <f>+'Ingredient List - Mother Tinctu'!D5636</f>
        <v>0</v>
      </c>
      <c r="AB5635" s="117">
        <f t="shared" si="90"/>
        <v>0</v>
      </c>
      <c r="AC5635" s="117" t="str">
        <f>IF(AB5635=1,COUNTIF($AB$3:AB5635,1),"")</f>
        <v/>
      </c>
      <c r="AD5635" s="117" t="str">
        <f>IFERROR(INDEX($AA$3:$AA$10000,MATCH(ROWS($AC$3:AC5635),$AC$3:$AC$10000,0)),"")</f>
        <v/>
      </c>
    </row>
    <row r="5636" spans="27:30">
      <c r="AA5636" s="117">
        <f>+'Ingredient List - Mother Tinctu'!D5637</f>
        <v>0</v>
      </c>
      <c r="AB5636" s="117">
        <f t="shared" ref="AB5636:AB5699" si="91">--ISNUMBER(IFERROR(SEARCH($D$3,AA5636,1),""))</f>
        <v>0</v>
      </c>
      <c r="AC5636" s="117" t="str">
        <f>IF(AB5636=1,COUNTIF($AB$3:AB5636,1),"")</f>
        <v/>
      </c>
      <c r="AD5636" s="117" t="str">
        <f>IFERROR(INDEX($AA$3:$AA$10000,MATCH(ROWS($AC$3:AC5636),$AC$3:$AC$10000,0)),"")</f>
        <v/>
      </c>
    </row>
    <row r="5637" spans="27:30">
      <c r="AA5637" s="117">
        <f>+'Ingredient List - Mother Tinctu'!D5638</f>
        <v>0</v>
      </c>
      <c r="AB5637" s="117">
        <f t="shared" si="91"/>
        <v>0</v>
      </c>
      <c r="AC5637" s="117" t="str">
        <f>IF(AB5637=1,COUNTIF($AB$3:AB5637,1),"")</f>
        <v/>
      </c>
      <c r="AD5637" s="117" t="str">
        <f>IFERROR(INDEX($AA$3:$AA$10000,MATCH(ROWS($AC$3:AC5637),$AC$3:$AC$10000,0)),"")</f>
        <v/>
      </c>
    </row>
    <row r="5638" spans="27:30">
      <c r="AA5638" s="117">
        <f>+'Ingredient List - Mother Tinctu'!D5639</f>
        <v>0</v>
      </c>
      <c r="AB5638" s="117">
        <f t="shared" si="91"/>
        <v>0</v>
      </c>
      <c r="AC5638" s="117" t="str">
        <f>IF(AB5638=1,COUNTIF($AB$3:AB5638,1),"")</f>
        <v/>
      </c>
      <c r="AD5638" s="117" t="str">
        <f>IFERROR(INDEX($AA$3:$AA$10000,MATCH(ROWS($AC$3:AC5638),$AC$3:$AC$10000,0)),"")</f>
        <v/>
      </c>
    </row>
    <row r="5639" spans="27:30">
      <c r="AA5639" s="117">
        <f>+'Ingredient List - Mother Tinctu'!D5640</f>
        <v>0</v>
      </c>
      <c r="AB5639" s="117">
        <f t="shared" si="91"/>
        <v>0</v>
      </c>
      <c r="AC5639" s="117" t="str">
        <f>IF(AB5639=1,COUNTIF($AB$3:AB5639,1),"")</f>
        <v/>
      </c>
      <c r="AD5639" s="117" t="str">
        <f>IFERROR(INDEX($AA$3:$AA$10000,MATCH(ROWS($AC$3:AC5639),$AC$3:$AC$10000,0)),"")</f>
        <v/>
      </c>
    </row>
    <row r="5640" spans="27:30">
      <c r="AA5640" s="117">
        <f>+'Ingredient List - Mother Tinctu'!D5641</f>
        <v>0</v>
      </c>
      <c r="AB5640" s="117">
        <f t="shared" si="91"/>
        <v>0</v>
      </c>
      <c r="AC5640" s="117" t="str">
        <f>IF(AB5640=1,COUNTIF($AB$3:AB5640,1),"")</f>
        <v/>
      </c>
      <c r="AD5640" s="117" t="str">
        <f>IFERROR(INDEX($AA$3:$AA$10000,MATCH(ROWS($AC$3:AC5640),$AC$3:$AC$10000,0)),"")</f>
        <v/>
      </c>
    </row>
    <row r="5641" spans="27:30">
      <c r="AA5641" s="117">
        <f>+'Ingredient List - Mother Tinctu'!D5642</f>
        <v>0</v>
      </c>
      <c r="AB5641" s="117">
        <f t="shared" si="91"/>
        <v>0</v>
      </c>
      <c r="AC5641" s="117" t="str">
        <f>IF(AB5641=1,COUNTIF($AB$3:AB5641,1),"")</f>
        <v/>
      </c>
      <c r="AD5641" s="117" t="str">
        <f>IFERROR(INDEX($AA$3:$AA$10000,MATCH(ROWS($AC$3:AC5641),$AC$3:$AC$10000,0)),"")</f>
        <v/>
      </c>
    </row>
    <row r="5642" spans="27:30">
      <c r="AA5642" s="117">
        <f>+'Ingredient List - Mother Tinctu'!D5643</f>
        <v>0</v>
      </c>
      <c r="AB5642" s="117">
        <f t="shared" si="91"/>
        <v>0</v>
      </c>
      <c r="AC5642" s="117" t="str">
        <f>IF(AB5642=1,COUNTIF($AB$3:AB5642,1),"")</f>
        <v/>
      </c>
      <c r="AD5642" s="117" t="str">
        <f>IFERROR(INDEX($AA$3:$AA$10000,MATCH(ROWS($AC$3:AC5642),$AC$3:$AC$10000,0)),"")</f>
        <v/>
      </c>
    </row>
    <row r="5643" spans="27:30">
      <c r="AA5643" s="117">
        <f>+'Ingredient List - Mother Tinctu'!D5644</f>
        <v>0</v>
      </c>
      <c r="AB5643" s="117">
        <f t="shared" si="91"/>
        <v>0</v>
      </c>
      <c r="AC5643" s="117" t="str">
        <f>IF(AB5643=1,COUNTIF($AB$3:AB5643,1),"")</f>
        <v/>
      </c>
      <c r="AD5643" s="117" t="str">
        <f>IFERROR(INDEX($AA$3:$AA$10000,MATCH(ROWS($AC$3:AC5643),$AC$3:$AC$10000,0)),"")</f>
        <v/>
      </c>
    </row>
    <row r="5644" spans="27:30">
      <c r="AA5644" s="117">
        <f>+'Ingredient List - Mother Tinctu'!D5645</f>
        <v>0</v>
      </c>
      <c r="AB5644" s="117">
        <f t="shared" si="91"/>
        <v>0</v>
      </c>
      <c r="AC5644" s="117" t="str">
        <f>IF(AB5644=1,COUNTIF($AB$3:AB5644,1),"")</f>
        <v/>
      </c>
      <c r="AD5644" s="117" t="str">
        <f>IFERROR(INDEX($AA$3:$AA$10000,MATCH(ROWS($AC$3:AC5644),$AC$3:$AC$10000,0)),"")</f>
        <v/>
      </c>
    </row>
    <row r="5645" spans="27:30">
      <c r="AA5645" s="117">
        <f>+'Ingredient List - Mother Tinctu'!D5646</f>
        <v>0</v>
      </c>
      <c r="AB5645" s="117">
        <f t="shared" si="91"/>
        <v>0</v>
      </c>
      <c r="AC5645" s="117" t="str">
        <f>IF(AB5645=1,COUNTIF($AB$3:AB5645,1),"")</f>
        <v/>
      </c>
      <c r="AD5645" s="117" t="str">
        <f>IFERROR(INDEX($AA$3:$AA$10000,MATCH(ROWS($AC$3:AC5645),$AC$3:$AC$10000,0)),"")</f>
        <v/>
      </c>
    </row>
    <row r="5646" spans="27:30">
      <c r="AA5646" s="117">
        <f>+'Ingredient List - Mother Tinctu'!D5647</f>
        <v>0</v>
      </c>
      <c r="AB5646" s="117">
        <f t="shared" si="91"/>
        <v>0</v>
      </c>
      <c r="AC5646" s="117" t="str">
        <f>IF(AB5646=1,COUNTIF($AB$3:AB5646,1),"")</f>
        <v/>
      </c>
      <c r="AD5646" s="117" t="str">
        <f>IFERROR(INDEX($AA$3:$AA$10000,MATCH(ROWS($AC$3:AC5646),$AC$3:$AC$10000,0)),"")</f>
        <v/>
      </c>
    </row>
    <row r="5647" spans="27:30">
      <c r="AA5647" s="117">
        <f>+'Ingredient List - Mother Tinctu'!D5648</f>
        <v>0</v>
      </c>
      <c r="AB5647" s="117">
        <f t="shared" si="91"/>
        <v>0</v>
      </c>
      <c r="AC5647" s="117" t="str">
        <f>IF(AB5647=1,COUNTIF($AB$3:AB5647,1),"")</f>
        <v/>
      </c>
      <c r="AD5647" s="117" t="str">
        <f>IFERROR(INDEX($AA$3:$AA$10000,MATCH(ROWS($AC$3:AC5647),$AC$3:$AC$10000,0)),"")</f>
        <v/>
      </c>
    </row>
    <row r="5648" spans="27:30">
      <c r="AA5648" s="117">
        <f>+'Ingredient List - Mother Tinctu'!D5649</f>
        <v>0</v>
      </c>
      <c r="AB5648" s="117">
        <f t="shared" si="91"/>
        <v>0</v>
      </c>
      <c r="AC5648" s="117" t="str">
        <f>IF(AB5648=1,COUNTIF($AB$3:AB5648,1),"")</f>
        <v/>
      </c>
      <c r="AD5648" s="117" t="str">
        <f>IFERROR(INDEX($AA$3:$AA$10000,MATCH(ROWS($AC$3:AC5648),$AC$3:$AC$10000,0)),"")</f>
        <v/>
      </c>
    </row>
    <row r="5649" spans="27:30">
      <c r="AA5649" s="117">
        <f>+'Ingredient List - Mother Tinctu'!D5650</f>
        <v>0</v>
      </c>
      <c r="AB5649" s="117">
        <f t="shared" si="91"/>
        <v>0</v>
      </c>
      <c r="AC5649" s="117" t="str">
        <f>IF(AB5649=1,COUNTIF($AB$3:AB5649,1),"")</f>
        <v/>
      </c>
      <c r="AD5649" s="117" t="str">
        <f>IFERROR(INDEX($AA$3:$AA$10000,MATCH(ROWS($AC$3:AC5649),$AC$3:$AC$10000,0)),"")</f>
        <v/>
      </c>
    </row>
    <row r="5650" spans="27:30">
      <c r="AA5650" s="117">
        <f>+'Ingredient List - Mother Tinctu'!D5651</f>
        <v>0</v>
      </c>
      <c r="AB5650" s="117">
        <f t="shared" si="91"/>
        <v>0</v>
      </c>
      <c r="AC5650" s="117" t="str">
        <f>IF(AB5650=1,COUNTIF($AB$3:AB5650,1),"")</f>
        <v/>
      </c>
      <c r="AD5650" s="117" t="str">
        <f>IFERROR(INDEX($AA$3:$AA$10000,MATCH(ROWS($AC$3:AC5650),$AC$3:$AC$10000,0)),"")</f>
        <v/>
      </c>
    </row>
    <row r="5651" spans="27:30">
      <c r="AA5651" s="117">
        <f>+'Ingredient List - Mother Tinctu'!D5652</f>
        <v>0</v>
      </c>
      <c r="AB5651" s="117">
        <f t="shared" si="91"/>
        <v>0</v>
      </c>
      <c r="AC5651" s="117" t="str">
        <f>IF(AB5651=1,COUNTIF($AB$3:AB5651,1),"")</f>
        <v/>
      </c>
      <c r="AD5651" s="117" t="str">
        <f>IFERROR(INDEX($AA$3:$AA$10000,MATCH(ROWS($AC$3:AC5651),$AC$3:$AC$10000,0)),"")</f>
        <v/>
      </c>
    </row>
    <row r="5652" spans="27:30">
      <c r="AA5652" s="117">
        <f>+'Ingredient List - Mother Tinctu'!D5653</f>
        <v>0</v>
      </c>
      <c r="AB5652" s="117">
        <f t="shared" si="91"/>
        <v>0</v>
      </c>
      <c r="AC5652" s="117" t="str">
        <f>IF(AB5652=1,COUNTIF($AB$3:AB5652,1),"")</f>
        <v/>
      </c>
      <c r="AD5652" s="117" t="str">
        <f>IFERROR(INDEX($AA$3:$AA$10000,MATCH(ROWS($AC$3:AC5652),$AC$3:$AC$10000,0)),"")</f>
        <v/>
      </c>
    </row>
    <row r="5653" spans="27:30">
      <c r="AA5653" s="117">
        <f>+'Ingredient List - Mother Tinctu'!D5654</f>
        <v>0</v>
      </c>
      <c r="AB5653" s="117">
        <f t="shared" si="91"/>
        <v>0</v>
      </c>
      <c r="AC5653" s="117" t="str">
        <f>IF(AB5653=1,COUNTIF($AB$3:AB5653,1),"")</f>
        <v/>
      </c>
      <c r="AD5653" s="117" t="str">
        <f>IFERROR(INDEX($AA$3:$AA$10000,MATCH(ROWS($AC$3:AC5653),$AC$3:$AC$10000,0)),"")</f>
        <v/>
      </c>
    </row>
    <row r="5654" spans="27:30">
      <c r="AA5654" s="117">
        <f>+'Ingredient List - Mother Tinctu'!D5655</f>
        <v>0</v>
      </c>
      <c r="AB5654" s="117">
        <f t="shared" si="91"/>
        <v>0</v>
      </c>
      <c r="AC5654" s="117" t="str">
        <f>IF(AB5654=1,COUNTIF($AB$3:AB5654,1),"")</f>
        <v/>
      </c>
      <c r="AD5654" s="117" t="str">
        <f>IFERROR(INDEX($AA$3:$AA$10000,MATCH(ROWS($AC$3:AC5654),$AC$3:$AC$10000,0)),"")</f>
        <v/>
      </c>
    </row>
    <row r="5655" spans="27:30">
      <c r="AA5655" s="117">
        <f>+'Ingredient List - Mother Tinctu'!D5656</f>
        <v>0</v>
      </c>
      <c r="AB5655" s="117">
        <f t="shared" si="91"/>
        <v>0</v>
      </c>
      <c r="AC5655" s="117" t="str">
        <f>IF(AB5655=1,COUNTIF($AB$3:AB5655,1),"")</f>
        <v/>
      </c>
      <c r="AD5655" s="117" t="str">
        <f>IFERROR(INDEX($AA$3:$AA$10000,MATCH(ROWS($AC$3:AC5655),$AC$3:$AC$10000,0)),"")</f>
        <v/>
      </c>
    </row>
    <row r="5656" spans="27:30">
      <c r="AA5656" s="117">
        <f>+'Ingredient List - Mother Tinctu'!D5657</f>
        <v>0</v>
      </c>
      <c r="AB5656" s="117">
        <f t="shared" si="91"/>
        <v>0</v>
      </c>
      <c r="AC5656" s="117" t="str">
        <f>IF(AB5656=1,COUNTIF($AB$3:AB5656,1),"")</f>
        <v/>
      </c>
      <c r="AD5656" s="117" t="str">
        <f>IFERROR(INDEX($AA$3:$AA$10000,MATCH(ROWS($AC$3:AC5656),$AC$3:$AC$10000,0)),"")</f>
        <v/>
      </c>
    </row>
    <row r="5657" spans="27:30">
      <c r="AA5657" s="117">
        <f>+'Ingredient List - Mother Tinctu'!D5658</f>
        <v>0</v>
      </c>
      <c r="AB5657" s="117">
        <f t="shared" si="91"/>
        <v>0</v>
      </c>
      <c r="AC5657" s="117" t="str">
        <f>IF(AB5657=1,COUNTIF($AB$3:AB5657,1),"")</f>
        <v/>
      </c>
      <c r="AD5657" s="117" t="str">
        <f>IFERROR(INDEX($AA$3:$AA$10000,MATCH(ROWS($AC$3:AC5657),$AC$3:$AC$10000,0)),"")</f>
        <v/>
      </c>
    </row>
    <row r="5658" spans="27:30">
      <c r="AA5658" s="117">
        <f>+'Ingredient List - Mother Tinctu'!D5659</f>
        <v>0</v>
      </c>
      <c r="AB5658" s="117">
        <f t="shared" si="91"/>
        <v>0</v>
      </c>
      <c r="AC5658" s="117" t="str">
        <f>IF(AB5658=1,COUNTIF($AB$3:AB5658,1),"")</f>
        <v/>
      </c>
      <c r="AD5658" s="117" t="str">
        <f>IFERROR(INDEX($AA$3:$AA$10000,MATCH(ROWS($AC$3:AC5658),$AC$3:$AC$10000,0)),"")</f>
        <v/>
      </c>
    </row>
    <row r="5659" spans="27:30">
      <c r="AA5659" s="117">
        <f>+'Ingredient List - Mother Tinctu'!D5660</f>
        <v>0</v>
      </c>
      <c r="AB5659" s="117">
        <f t="shared" si="91"/>
        <v>0</v>
      </c>
      <c r="AC5659" s="117" t="str">
        <f>IF(AB5659=1,COUNTIF($AB$3:AB5659,1),"")</f>
        <v/>
      </c>
      <c r="AD5659" s="117" t="str">
        <f>IFERROR(INDEX($AA$3:$AA$10000,MATCH(ROWS($AC$3:AC5659),$AC$3:$AC$10000,0)),"")</f>
        <v/>
      </c>
    </row>
    <row r="5660" spans="27:30">
      <c r="AA5660" s="117">
        <f>+'Ingredient List - Mother Tinctu'!D5661</f>
        <v>0</v>
      </c>
      <c r="AB5660" s="117">
        <f t="shared" si="91"/>
        <v>0</v>
      </c>
      <c r="AC5660" s="117" t="str">
        <f>IF(AB5660=1,COUNTIF($AB$3:AB5660,1),"")</f>
        <v/>
      </c>
      <c r="AD5660" s="117" t="str">
        <f>IFERROR(INDEX($AA$3:$AA$10000,MATCH(ROWS($AC$3:AC5660),$AC$3:$AC$10000,0)),"")</f>
        <v/>
      </c>
    </row>
    <row r="5661" spans="27:30">
      <c r="AA5661" s="117">
        <f>+'Ingredient List - Mother Tinctu'!D5662</f>
        <v>0</v>
      </c>
      <c r="AB5661" s="117">
        <f t="shared" si="91"/>
        <v>0</v>
      </c>
      <c r="AC5661" s="117" t="str">
        <f>IF(AB5661=1,COUNTIF($AB$3:AB5661,1),"")</f>
        <v/>
      </c>
      <c r="AD5661" s="117" t="str">
        <f>IFERROR(INDEX($AA$3:$AA$10000,MATCH(ROWS($AC$3:AC5661),$AC$3:$AC$10000,0)),"")</f>
        <v/>
      </c>
    </row>
    <row r="5662" spans="27:30">
      <c r="AA5662" s="117">
        <f>+'Ingredient List - Mother Tinctu'!D5663</f>
        <v>0</v>
      </c>
      <c r="AB5662" s="117">
        <f t="shared" si="91"/>
        <v>0</v>
      </c>
      <c r="AC5662" s="117" t="str">
        <f>IF(AB5662=1,COUNTIF($AB$3:AB5662,1),"")</f>
        <v/>
      </c>
      <c r="AD5662" s="117" t="str">
        <f>IFERROR(INDEX($AA$3:$AA$10000,MATCH(ROWS($AC$3:AC5662),$AC$3:$AC$10000,0)),"")</f>
        <v/>
      </c>
    </row>
    <row r="5663" spans="27:30">
      <c r="AA5663" s="117">
        <f>+'Ingredient List - Mother Tinctu'!D5664</f>
        <v>0</v>
      </c>
      <c r="AB5663" s="117">
        <f t="shared" si="91"/>
        <v>0</v>
      </c>
      <c r="AC5663" s="117" t="str">
        <f>IF(AB5663=1,COUNTIF($AB$3:AB5663,1),"")</f>
        <v/>
      </c>
      <c r="AD5663" s="117" t="str">
        <f>IFERROR(INDEX($AA$3:$AA$10000,MATCH(ROWS($AC$3:AC5663),$AC$3:$AC$10000,0)),"")</f>
        <v/>
      </c>
    </row>
    <row r="5664" spans="27:30">
      <c r="AA5664" s="117">
        <f>+'Ingredient List - Mother Tinctu'!D5665</f>
        <v>0</v>
      </c>
      <c r="AB5664" s="117">
        <f t="shared" si="91"/>
        <v>0</v>
      </c>
      <c r="AC5664" s="117" t="str">
        <f>IF(AB5664=1,COUNTIF($AB$3:AB5664,1),"")</f>
        <v/>
      </c>
      <c r="AD5664" s="117" t="str">
        <f>IFERROR(INDEX($AA$3:$AA$10000,MATCH(ROWS($AC$3:AC5664),$AC$3:$AC$10000,0)),"")</f>
        <v/>
      </c>
    </row>
    <row r="5665" spans="27:30">
      <c r="AA5665" s="117">
        <f>+'Ingredient List - Mother Tinctu'!D5666</f>
        <v>0</v>
      </c>
      <c r="AB5665" s="117">
        <f t="shared" si="91"/>
        <v>0</v>
      </c>
      <c r="AC5665" s="117" t="str">
        <f>IF(AB5665=1,COUNTIF($AB$3:AB5665,1),"")</f>
        <v/>
      </c>
      <c r="AD5665" s="117" t="str">
        <f>IFERROR(INDEX($AA$3:$AA$10000,MATCH(ROWS($AC$3:AC5665),$AC$3:$AC$10000,0)),"")</f>
        <v/>
      </c>
    </row>
    <row r="5666" spans="27:30">
      <c r="AA5666" s="117">
        <f>+'Ingredient List - Mother Tinctu'!D5667</f>
        <v>0</v>
      </c>
      <c r="AB5666" s="117">
        <f t="shared" si="91"/>
        <v>0</v>
      </c>
      <c r="AC5666" s="117" t="str">
        <f>IF(AB5666=1,COUNTIF($AB$3:AB5666,1),"")</f>
        <v/>
      </c>
      <c r="AD5666" s="117" t="str">
        <f>IFERROR(INDEX($AA$3:$AA$10000,MATCH(ROWS($AC$3:AC5666),$AC$3:$AC$10000,0)),"")</f>
        <v/>
      </c>
    </row>
    <row r="5667" spans="27:30">
      <c r="AA5667" s="117">
        <f>+'Ingredient List - Mother Tinctu'!D5668</f>
        <v>0</v>
      </c>
      <c r="AB5667" s="117">
        <f t="shared" si="91"/>
        <v>0</v>
      </c>
      <c r="AC5667" s="117" t="str">
        <f>IF(AB5667=1,COUNTIF($AB$3:AB5667,1),"")</f>
        <v/>
      </c>
      <c r="AD5667" s="117" t="str">
        <f>IFERROR(INDEX($AA$3:$AA$10000,MATCH(ROWS($AC$3:AC5667),$AC$3:$AC$10000,0)),"")</f>
        <v/>
      </c>
    </row>
    <row r="5668" spans="27:30">
      <c r="AA5668" s="117">
        <f>+'Ingredient List - Mother Tinctu'!D5669</f>
        <v>0</v>
      </c>
      <c r="AB5668" s="117">
        <f t="shared" si="91"/>
        <v>0</v>
      </c>
      <c r="AC5668" s="117" t="str">
        <f>IF(AB5668=1,COUNTIF($AB$3:AB5668,1),"")</f>
        <v/>
      </c>
      <c r="AD5668" s="117" t="str">
        <f>IFERROR(INDEX($AA$3:$AA$10000,MATCH(ROWS($AC$3:AC5668),$AC$3:$AC$10000,0)),"")</f>
        <v/>
      </c>
    </row>
    <row r="5669" spans="27:30">
      <c r="AA5669" s="117">
        <f>+'Ingredient List - Mother Tinctu'!D5670</f>
        <v>0</v>
      </c>
      <c r="AB5669" s="117">
        <f t="shared" si="91"/>
        <v>0</v>
      </c>
      <c r="AC5669" s="117" t="str">
        <f>IF(AB5669=1,COUNTIF($AB$3:AB5669,1),"")</f>
        <v/>
      </c>
      <c r="AD5669" s="117" t="str">
        <f>IFERROR(INDEX($AA$3:$AA$10000,MATCH(ROWS($AC$3:AC5669),$AC$3:$AC$10000,0)),"")</f>
        <v/>
      </c>
    </row>
    <row r="5670" spans="27:30">
      <c r="AA5670" s="117">
        <f>+'Ingredient List - Mother Tinctu'!D5671</f>
        <v>0</v>
      </c>
      <c r="AB5670" s="117">
        <f t="shared" si="91"/>
        <v>0</v>
      </c>
      <c r="AC5670" s="117" t="str">
        <f>IF(AB5670=1,COUNTIF($AB$3:AB5670,1),"")</f>
        <v/>
      </c>
      <c r="AD5670" s="117" t="str">
        <f>IFERROR(INDEX($AA$3:$AA$10000,MATCH(ROWS($AC$3:AC5670),$AC$3:$AC$10000,0)),"")</f>
        <v/>
      </c>
    </row>
    <row r="5671" spans="27:30">
      <c r="AA5671" s="117">
        <f>+'Ingredient List - Mother Tinctu'!D5672</f>
        <v>0</v>
      </c>
      <c r="AB5671" s="117">
        <f t="shared" si="91"/>
        <v>0</v>
      </c>
      <c r="AC5671" s="117" t="str">
        <f>IF(AB5671=1,COUNTIF($AB$3:AB5671,1),"")</f>
        <v/>
      </c>
      <c r="AD5671" s="117" t="str">
        <f>IFERROR(INDEX($AA$3:$AA$10000,MATCH(ROWS($AC$3:AC5671),$AC$3:$AC$10000,0)),"")</f>
        <v/>
      </c>
    </row>
    <row r="5672" spans="27:30">
      <c r="AA5672" s="117">
        <f>+'Ingredient List - Mother Tinctu'!D5673</f>
        <v>0</v>
      </c>
      <c r="AB5672" s="117">
        <f t="shared" si="91"/>
        <v>0</v>
      </c>
      <c r="AC5672" s="117" t="str">
        <f>IF(AB5672=1,COUNTIF($AB$3:AB5672,1),"")</f>
        <v/>
      </c>
      <c r="AD5672" s="117" t="str">
        <f>IFERROR(INDEX($AA$3:$AA$10000,MATCH(ROWS($AC$3:AC5672),$AC$3:$AC$10000,0)),"")</f>
        <v/>
      </c>
    </row>
    <row r="5673" spans="27:30">
      <c r="AA5673" s="117">
        <f>+'Ingredient List - Mother Tinctu'!D5674</f>
        <v>0</v>
      </c>
      <c r="AB5673" s="117">
        <f t="shared" si="91"/>
        <v>0</v>
      </c>
      <c r="AC5673" s="117" t="str">
        <f>IF(AB5673=1,COUNTIF($AB$3:AB5673,1),"")</f>
        <v/>
      </c>
      <c r="AD5673" s="117" t="str">
        <f>IFERROR(INDEX($AA$3:$AA$10000,MATCH(ROWS($AC$3:AC5673),$AC$3:$AC$10000,0)),"")</f>
        <v/>
      </c>
    </row>
    <row r="5674" spans="27:30">
      <c r="AA5674" s="117">
        <f>+'Ingredient List - Mother Tinctu'!D5675</f>
        <v>0</v>
      </c>
      <c r="AB5674" s="117">
        <f t="shared" si="91"/>
        <v>0</v>
      </c>
      <c r="AC5674" s="117" t="str">
        <f>IF(AB5674=1,COUNTIF($AB$3:AB5674,1),"")</f>
        <v/>
      </c>
      <c r="AD5674" s="117" t="str">
        <f>IFERROR(INDEX($AA$3:$AA$10000,MATCH(ROWS($AC$3:AC5674),$AC$3:$AC$10000,0)),"")</f>
        <v/>
      </c>
    </row>
    <row r="5675" spans="27:30">
      <c r="AA5675" s="117">
        <f>+'Ingredient List - Mother Tinctu'!D5676</f>
        <v>0</v>
      </c>
      <c r="AB5675" s="117">
        <f t="shared" si="91"/>
        <v>0</v>
      </c>
      <c r="AC5675" s="117" t="str">
        <f>IF(AB5675=1,COUNTIF($AB$3:AB5675,1),"")</f>
        <v/>
      </c>
      <c r="AD5675" s="117" t="str">
        <f>IFERROR(INDEX($AA$3:$AA$10000,MATCH(ROWS($AC$3:AC5675),$AC$3:$AC$10000,0)),"")</f>
        <v/>
      </c>
    </row>
    <row r="5676" spans="27:30">
      <c r="AA5676" s="117">
        <f>+'Ingredient List - Mother Tinctu'!D5677</f>
        <v>0</v>
      </c>
      <c r="AB5676" s="117">
        <f t="shared" si="91"/>
        <v>0</v>
      </c>
      <c r="AC5676" s="117" t="str">
        <f>IF(AB5676=1,COUNTIF($AB$3:AB5676,1),"")</f>
        <v/>
      </c>
      <c r="AD5676" s="117" t="str">
        <f>IFERROR(INDEX($AA$3:$AA$10000,MATCH(ROWS($AC$3:AC5676),$AC$3:$AC$10000,0)),"")</f>
        <v/>
      </c>
    </row>
    <row r="5677" spans="27:30">
      <c r="AA5677" s="117">
        <f>+'Ingredient List - Mother Tinctu'!D5678</f>
        <v>0</v>
      </c>
      <c r="AB5677" s="117">
        <f t="shared" si="91"/>
        <v>0</v>
      </c>
      <c r="AC5677" s="117" t="str">
        <f>IF(AB5677=1,COUNTIF($AB$3:AB5677,1),"")</f>
        <v/>
      </c>
      <c r="AD5677" s="117" t="str">
        <f>IFERROR(INDEX($AA$3:$AA$10000,MATCH(ROWS($AC$3:AC5677),$AC$3:$AC$10000,0)),"")</f>
        <v/>
      </c>
    </row>
    <row r="5678" spans="27:30">
      <c r="AA5678" s="117">
        <f>+'Ingredient List - Mother Tinctu'!D5679</f>
        <v>0</v>
      </c>
      <c r="AB5678" s="117">
        <f t="shared" si="91"/>
        <v>0</v>
      </c>
      <c r="AC5678" s="117" t="str">
        <f>IF(AB5678=1,COUNTIF($AB$3:AB5678,1),"")</f>
        <v/>
      </c>
      <c r="AD5678" s="117" t="str">
        <f>IFERROR(INDEX($AA$3:$AA$10000,MATCH(ROWS($AC$3:AC5678),$AC$3:$AC$10000,0)),"")</f>
        <v/>
      </c>
    </row>
    <row r="5679" spans="27:30">
      <c r="AA5679" s="117">
        <f>+'Ingredient List - Mother Tinctu'!D5680</f>
        <v>0</v>
      </c>
      <c r="AB5679" s="117">
        <f t="shared" si="91"/>
        <v>0</v>
      </c>
      <c r="AC5679" s="117" t="str">
        <f>IF(AB5679=1,COUNTIF($AB$3:AB5679,1),"")</f>
        <v/>
      </c>
      <c r="AD5679" s="117" t="str">
        <f>IFERROR(INDEX($AA$3:$AA$10000,MATCH(ROWS($AC$3:AC5679),$AC$3:$AC$10000,0)),"")</f>
        <v/>
      </c>
    </row>
    <row r="5680" spans="27:30">
      <c r="AA5680" s="117">
        <f>+'Ingredient List - Mother Tinctu'!D5681</f>
        <v>0</v>
      </c>
      <c r="AB5680" s="117">
        <f t="shared" si="91"/>
        <v>0</v>
      </c>
      <c r="AC5680" s="117" t="str">
        <f>IF(AB5680=1,COUNTIF($AB$3:AB5680,1),"")</f>
        <v/>
      </c>
      <c r="AD5680" s="117" t="str">
        <f>IFERROR(INDEX($AA$3:$AA$10000,MATCH(ROWS($AC$3:AC5680),$AC$3:$AC$10000,0)),"")</f>
        <v/>
      </c>
    </row>
    <row r="5681" spans="27:30">
      <c r="AA5681" s="117">
        <f>+'Ingredient List - Mother Tinctu'!D5682</f>
        <v>0</v>
      </c>
      <c r="AB5681" s="117">
        <f t="shared" si="91"/>
        <v>0</v>
      </c>
      <c r="AC5681" s="117" t="str">
        <f>IF(AB5681=1,COUNTIF($AB$3:AB5681,1),"")</f>
        <v/>
      </c>
      <c r="AD5681" s="117" t="str">
        <f>IFERROR(INDEX($AA$3:$AA$10000,MATCH(ROWS($AC$3:AC5681),$AC$3:$AC$10000,0)),"")</f>
        <v/>
      </c>
    </row>
    <row r="5682" spans="27:30">
      <c r="AA5682" s="117">
        <f>+'Ingredient List - Mother Tinctu'!D5683</f>
        <v>0</v>
      </c>
      <c r="AB5682" s="117">
        <f t="shared" si="91"/>
        <v>0</v>
      </c>
      <c r="AC5682" s="117" t="str">
        <f>IF(AB5682=1,COUNTIF($AB$3:AB5682,1),"")</f>
        <v/>
      </c>
      <c r="AD5682" s="117" t="str">
        <f>IFERROR(INDEX($AA$3:$AA$10000,MATCH(ROWS($AC$3:AC5682),$AC$3:$AC$10000,0)),"")</f>
        <v/>
      </c>
    </row>
    <row r="5683" spans="27:30">
      <c r="AA5683" s="117">
        <f>+'Ingredient List - Mother Tinctu'!D5684</f>
        <v>0</v>
      </c>
      <c r="AB5683" s="117">
        <f t="shared" si="91"/>
        <v>0</v>
      </c>
      <c r="AC5683" s="117" t="str">
        <f>IF(AB5683=1,COUNTIF($AB$3:AB5683,1),"")</f>
        <v/>
      </c>
      <c r="AD5683" s="117" t="str">
        <f>IFERROR(INDEX($AA$3:$AA$10000,MATCH(ROWS($AC$3:AC5683),$AC$3:$AC$10000,0)),"")</f>
        <v/>
      </c>
    </row>
    <row r="5684" spans="27:30">
      <c r="AA5684" s="117">
        <f>+'Ingredient List - Mother Tinctu'!D5685</f>
        <v>0</v>
      </c>
      <c r="AB5684" s="117">
        <f t="shared" si="91"/>
        <v>0</v>
      </c>
      <c r="AC5684" s="117" t="str">
        <f>IF(AB5684=1,COUNTIF($AB$3:AB5684,1),"")</f>
        <v/>
      </c>
      <c r="AD5684" s="117" t="str">
        <f>IFERROR(INDEX($AA$3:$AA$10000,MATCH(ROWS($AC$3:AC5684),$AC$3:$AC$10000,0)),"")</f>
        <v/>
      </c>
    </row>
    <row r="5685" spans="27:30">
      <c r="AA5685" s="117">
        <f>+'Ingredient List - Mother Tinctu'!D5686</f>
        <v>0</v>
      </c>
      <c r="AB5685" s="117">
        <f t="shared" si="91"/>
        <v>0</v>
      </c>
      <c r="AC5685" s="117" t="str">
        <f>IF(AB5685=1,COUNTIF($AB$3:AB5685,1),"")</f>
        <v/>
      </c>
      <c r="AD5685" s="117" t="str">
        <f>IFERROR(INDEX($AA$3:$AA$10000,MATCH(ROWS($AC$3:AC5685),$AC$3:$AC$10000,0)),"")</f>
        <v/>
      </c>
    </row>
    <row r="5686" spans="27:30">
      <c r="AA5686" s="117">
        <f>+'Ingredient List - Mother Tinctu'!D5687</f>
        <v>0</v>
      </c>
      <c r="AB5686" s="117">
        <f t="shared" si="91"/>
        <v>0</v>
      </c>
      <c r="AC5686" s="117" t="str">
        <f>IF(AB5686=1,COUNTIF($AB$3:AB5686,1),"")</f>
        <v/>
      </c>
      <c r="AD5686" s="117" t="str">
        <f>IFERROR(INDEX($AA$3:$AA$10000,MATCH(ROWS($AC$3:AC5686),$AC$3:$AC$10000,0)),"")</f>
        <v/>
      </c>
    </row>
    <row r="5687" spans="27:30">
      <c r="AA5687" s="117">
        <f>+'Ingredient List - Mother Tinctu'!D5688</f>
        <v>0</v>
      </c>
      <c r="AB5687" s="117">
        <f t="shared" si="91"/>
        <v>0</v>
      </c>
      <c r="AC5687" s="117" t="str">
        <f>IF(AB5687=1,COUNTIF($AB$3:AB5687,1),"")</f>
        <v/>
      </c>
      <c r="AD5687" s="117" t="str">
        <f>IFERROR(INDEX($AA$3:$AA$10000,MATCH(ROWS($AC$3:AC5687),$AC$3:$AC$10000,0)),"")</f>
        <v/>
      </c>
    </row>
    <row r="5688" spans="27:30">
      <c r="AA5688" s="117">
        <f>+'Ingredient List - Mother Tinctu'!D5689</f>
        <v>0</v>
      </c>
      <c r="AB5688" s="117">
        <f t="shared" si="91"/>
        <v>0</v>
      </c>
      <c r="AC5688" s="117" t="str">
        <f>IF(AB5688=1,COUNTIF($AB$3:AB5688,1),"")</f>
        <v/>
      </c>
      <c r="AD5688" s="117" t="str">
        <f>IFERROR(INDEX($AA$3:$AA$10000,MATCH(ROWS($AC$3:AC5688),$AC$3:$AC$10000,0)),"")</f>
        <v/>
      </c>
    </row>
    <row r="5689" spans="27:30">
      <c r="AA5689" s="117">
        <f>+'Ingredient List - Mother Tinctu'!D5690</f>
        <v>0</v>
      </c>
      <c r="AB5689" s="117">
        <f t="shared" si="91"/>
        <v>0</v>
      </c>
      <c r="AC5689" s="117" t="str">
        <f>IF(AB5689=1,COUNTIF($AB$3:AB5689,1),"")</f>
        <v/>
      </c>
      <c r="AD5689" s="117" t="str">
        <f>IFERROR(INDEX($AA$3:$AA$10000,MATCH(ROWS($AC$3:AC5689),$AC$3:$AC$10000,0)),"")</f>
        <v/>
      </c>
    </row>
    <row r="5690" spans="27:30">
      <c r="AA5690" s="117">
        <f>+'Ingredient List - Mother Tinctu'!D5691</f>
        <v>0</v>
      </c>
      <c r="AB5690" s="117">
        <f t="shared" si="91"/>
        <v>0</v>
      </c>
      <c r="AC5690" s="117" t="str">
        <f>IF(AB5690=1,COUNTIF($AB$3:AB5690,1),"")</f>
        <v/>
      </c>
      <c r="AD5690" s="117" t="str">
        <f>IFERROR(INDEX($AA$3:$AA$10000,MATCH(ROWS($AC$3:AC5690),$AC$3:$AC$10000,0)),"")</f>
        <v/>
      </c>
    </row>
    <row r="5691" spans="27:30">
      <c r="AA5691" s="117">
        <f>+'Ingredient List - Mother Tinctu'!D5692</f>
        <v>0</v>
      </c>
      <c r="AB5691" s="117">
        <f t="shared" si="91"/>
        <v>0</v>
      </c>
      <c r="AC5691" s="117" t="str">
        <f>IF(AB5691=1,COUNTIF($AB$3:AB5691,1),"")</f>
        <v/>
      </c>
      <c r="AD5691" s="117" t="str">
        <f>IFERROR(INDEX($AA$3:$AA$10000,MATCH(ROWS($AC$3:AC5691),$AC$3:$AC$10000,0)),"")</f>
        <v/>
      </c>
    </row>
    <row r="5692" spans="27:30">
      <c r="AA5692" s="117">
        <f>+'Ingredient List - Mother Tinctu'!D5693</f>
        <v>0</v>
      </c>
      <c r="AB5692" s="117">
        <f t="shared" si="91"/>
        <v>0</v>
      </c>
      <c r="AC5692" s="117" t="str">
        <f>IF(AB5692=1,COUNTIF($AB$3:AB5692,1),"")</f>
        <v/>
      </c>
      <c r="AD5692" s="117" t="str">
        <f>IFERROR(INDEX($AA$3:$AA$10000,MATCH(ROWS($AC$3:AC5692),$AC$3:$AC$10000,0)),"")</f>
        <v/>
      </c>
    </row>
    <row r="5693" spans="27:30">
      <c r="AA5693" s="117">
        <f>+'Ingredient List - Mother Tinctu'!D5694</f>
        <v>0</v>
      </c>
      <c r="AB5693" s="117">
        <f t="shared" si="91"/>
        <v>0</v>
      </c>
      <c r="AC5693" s="117" t="str">
        <f>IF(AB5693=1,COUNTIF($AB$3:AB5693,1),"")</f>
        <v/>
      </c>
      <c r="AD5693" s="117" t="str">
        <f>IFERROR(INDEX($AA$3:$AA$10000,MATCH(ROWS($AC$3:AC5693),$AC$3:$AC$10000,0)),"")</f>
        <v/>
      </c>
    </row>
    <row r="5694" spans="27:30">
      <c r="AA5694" s="117">
        <f>+'Ingredient List - Mother Tinctu'!D5695</f>
        <v>0</v>
      </c>
      <c r="AB5694" s="117">
        <f t="shared" si="91"/>
        <v>0</v>
      </c>
      <c r="AC5694" s="117" t="str">
        <f>IF(AB5694=1,COUNTIF($AB$3:AB5694,1),"")</f>
        <v/>
      </c>
      <c r="AD5694" s="117" t="str">
        <f>IFERROR(INDEX($AA$3:$AA$10000,MATCH(ROWS($AC$3:AC5694),$AC$3:$AC$10000,0)),"")</f>
        <v/>
      </c>
    </row>
    <row r="5695" spans="27:30">
      <c r="AA5695" s="117">
        <f>+'Ingredient List - Mother Tinctu'!D5696</f>
        <v>0</v>
      </c>
      <c r="AB5695" s="117">
        <f t="shared" si="91"/>
        <v>0</v>
      </c>
      <c r="AC5695" s="117" t="str">
        <f>IF(AB5695=1,COUNTIF($AB$3:AB5695,1),"")</f>
        <v/>
      </c>
      <c r="AD5695" s="117" t="str">
        <f>IFERROR(INDEX($AA$3:$AA$10000,MATCH(ROWS($AC$3:AC5695),$AC$3:$AC$10000,0)),"")</f>
        <v/>
      </c>
    </row>
    <row r="5696" spans="27:30">
      <c r="AA5696" s="117">
        <f>+'Ingredient List - Mother Tinctu'!D5697</f>
        <v>0</v>
      </c>
      <c r="AB5696" s="117">
        <f t="shared" si="91"/>
        <v>0</v>
      </c>
      <c r="AC5696" s="117" t="str">
        <f>IF(AB5696=1,COUNTIF($AB$3:AB5696,1),"")</f>
        <v/>
      </c>
      <c r="AD5696" s="117" t="str">
        <f>IFERROR(INDEX($AA$3:$AA$10000,MATCH(ROWS($AC$3:AC5696),$AC$3:$AC$10000,0)),"")</f>
        <v/>
      </c>
    </row>
    <row r="5697" spans="27:30">
      <c r="AA5697" s="117">
        <f>+'Ingredient List - Mother Tinctu'!D5698</f>
        <v>0</v>
      </c>
      <c r="AB5697" s="117">
        <f t="shared" si="91"/>
        <v>0</v>
      </c>
      <c r="AC5697" s="117" t="str">
        <f>IF(AB5697=1,COUNTIF($AB$3:AB5697,1),"")</f>
        <v/>
      </c>
      <c r="AD5697" s="117" t="str">
        <f>IFERROR(INDEX($AA$3:$AA$10000,MATCH(ROWS($AC$3:AC5697),$AC$3:$AC$10000,0)),"")</f>
        <v/>
      </c>
    </row>
    <row r="5698" spans="27:30">
      <c r="AA5698" s="117">
        <f>+'Ingredient List - Mother Tinctu'!D5699</f>
        <v>0</v>
      </c>
      <c r="AB5698" s="117">
        <f t="shared" si="91"/>
        <v>0</v>
      </c>
      <c r="AC5698" s="117" t="str">
        <f>IF(AB5698=1,COUNTIF($AB$3:AB5698,1),"")</f>
        <v/>
      </c>
      <c r="AD5698" s="117" t="str">
        <f>IFERROR(INDEX($AA$3:$AA$10000,MATCH(ROWS($AC$3:AC5698),$AC$3:$AC$10000,0)),"")</f>
        <v/>
      </c>
    </row>
    <row r="5699" spans="27:30">
      <c r="AA5699" s="117">
        <f>+'Ingredient List - Mother Tinctu'!D5700</f>
        <v>0</v>
      </c>
      <c r="AB5699" s="117">
        <f t="shared" si="91"/>
        <v>0</v>
      </c>
      <c r="AC5699" s="117" t="str">
        <f>IF(AB5699=1,COUNTIF($AB$3:AB5699,1),"")</f>
        <v/>
      </c>
      <c r="AD5699" s="117" t="str">
        <f>IFERROR(INDEX($AA$3:$AA$10000,MATCH(ROWS($AC$3:AC5699),$AC$3:$AC$10000,0)),"")</f>
        <v/>
      </c>
    </row>
    <row r="5700" spans="27:30">
      <c r="AA5700" s="117">
        <f>+'Ingredient List - Mother Tinctu'!D5701</f>
        <v>0</v>
      </c>
      <c r="AB5700" s="117">
        <f t="shared" ref="AB5700:AB5763" si="92">--ISNUMBER(IFERROR(SEARCH($D$3,AA5700,1),""))</f>
        <v>0</v>
      </c>
      <c r="AC5700" s="117" t="str">
        <f>IF(AB5700=1,COUNTIF($AB$3:AB5700,1),"")</f>
        <v/>
      </c>
      <c r="AD5700" s="117" t="str">
        <f>IFERROR(INDEX($AA$3:$AA$10000,MATCH(ROWS($AC$3:AC5700),$AC$3:$AC$10000,0)),"")</f>
        <v/>
      </c>
    </row>
    <row r="5701" spans="27:30">
      <c r="AA5701" s="117">
        <f>+'Ingredient List - Mother Tinctu'!D5702</f>
        <v>0</v>
      </c>
      <c r="AB5701" s="117">
        <f t="shared" si="92"/>
        <v>0</v>
      </c>
      <c r="AC5701" s="117" t="str">
        <f>IF(AB5701=1,COUNTIF($AB$3:AB5701,1),"")</f>
        <v/>
      </c>
      <c r="AD5701" s="117" t="str">
        <f>IFERROR(INDEX($AA$3:$AA$10000,MATCH(ROWS($AC$3:AC5701),$AC$3:$AC$10000,0)),"")</f>
        <v/>
      </c>
    </row>
    <row r="5702" spans="27:30">
      <c r="AA5702" s="117">
        <f>+'Ingredient List - Mother Tinctu'!D5703</f>
        <v>0</v>
      </c>
      <c r="AB5702" s="117">
        <f t="shared" si="92"/>
        <v>0</v>
      </c>
      <c r="AC5702" s="117" t="str">
        <f>IF(AB5702=1,COUNTIF($AB$3:AB5702,1),"")</f>
        <v/>
      </c>
      <c r="AD5702" s="117" t="str">
        <f>IFERROR(INDEX($AA$3:$AA$10000,MATCH(ROWS($AC$3:AC5702),$AC$3:$AC$10000,0)),"")</f>
        <v/>
      </c>
    </row>
    <row r="5703" spans="27:30">
      <c r="AA5703" s="117">
        <f>+'Ingredient List - Mother Tinctu'!D5704</f>
        <v>0</v>
      </c>
      <c r="AB5703" s="117">
        <f t="shared" si="92"/>
        <v>0</v>
      </c>
      <c r="AC5703" s="117" t="str">
        <f>IF(AB5703=1,COUNTIF($AB$3:AB5703,1),"")</f>
        <v/>
      </c>
      <c r="AD5703" s="117" t="str">
        <f>IFERROR(INDEX($AA$3:$AA$10000,MATCH(ROWS($AC$3:AC5703),$AC$3:$AC$10000,0)),"")</f>
        <v/>
      </c>
    </row>
    <row r="5704" spans="27:30">
      <c r="AA5704" s="117">
        <f>+'Ingredient List - Mother Tinctu'!D5705</f>
        <v>0</v>
      </c>
      <c r="AB5704" s="117">
        <f t="shared" si="92"/>
        <v>0</v>
      </c>
      <c r="AC5704" s="117" t="str">
        <f>IF(AB5704=1,COUNTIF($AB$3:AB5704,1),"")</f>
        <v/>
      </c>
      <c r="AD5704" s="117" t="str">
        <f>IFERROR(INDEX($AA$3:$AA$10000,MATCH(ROWS($AC$3:AC5704),$AC$3:$AC$10000,0)),"")</f>
        <v/>
      </c>
    </row>
    <row r="5705" spans="27:30">
      <c r="AA5705" s="117">
        <f>+'Ingredient List - Mother Tinctu'!D5706</f>
        <v>0</v>
      </c>
      <c r="AB5705" s="117">
        <f t="shared" si="92"/>
        <v>0</v>
      </c>
      <c r="AC5705" s="117" t="str">
        <f>IF(AB5705=1,COUNTIF($AB$3:AB5705,1),"")</f>
        <v/>
      </c>
      <c r="AD5705" s="117" t="str">
        <f>IFERROR(INDEX($AA$3:$AA$10000,MATCH(ROWS($AC$3:AC5705),$AC$3:$AC$10000,0)),"")</f>
        <v/>
      </c>
    </row>
    <row r="5706" spans="27:30">
      <c r="AA5706" s="117">
        <f>+'Ingredient List - Mother Tinctu'!D5707</f>
        <v>0</v>
      </c>
      <c r="AB5706" s="117">
        <f t="shared" si="92"/>
        <v>0</v>
      </c>
      <c r="AC5706" s="117" t="str">
        <f>IF(AB5706=1,COUNTIF($AB$3:AB5706,1),"")</f>
        <v/>
      </c>
      <c r="AD5706" s="117" t="str">
        <f>IFERROR(INDEX($AA$3:$AA$10000,MATCH(ROWS($AC$3:AC5706),$AC$3:$AC$10000,0)),"")</f>
        <v/>
      </c>
    </row>
    <row r="5707" spans="27:30">
      <c r="AA5707" s="117">
        <f>+'Ingredient List - Mother Tinctu'!D5708</f>
        <v>0</v>
      </c>
      <c r="AB5707" s="117">
        <f t="shared" si="92"/>
        <v>0</v>
      </c>
      <c r="AC5707" s="117" t="str">
        <f>IF(AB5707=1,COUNTIF($AB$3:AB5707,1),"")</f>
        <v/>
      </c>
      <c r="AD5707" s="117" t="str">
        <f>IFERROR(INDEX($AA$3:$AA$10000,MATCH(ROWS($AC$3:AC5707),$AC$3:$AC$10000,0)),"")</f>
        <v/>
      </c>
    </row>
    <row r="5708" spans="27:30">
      <c r="AA5708" s="117">
        <f>+'Ingredient List - Mother Tinctu'!D5709</f>
        <v>0</v>
      </c>
      <c r="AB5708" s="117">
        <f t="shared" si="92"/>
        <v>0</v>
      </c>
      <c r="AC5708" s="117" t="str">
        <f>IF(AB5708=1,COUNTIF($AB$3:AB5708,1),"")</f>
        <v/>
      </c>
      <c r="AD5708" s="117" t="str">
        <f>IFERROR(INDEX($AA$3:$AA$10000,MATCH(ROWS($AC$3:AC5708),$AC$3:$AC$10000,0)),"")</f>
        <v/>
      </c>
    </row>
    <row r="5709" spans="27:30">
      <c r="AA5709" s="117">
        <f>+'Ingredient List - Mother Tinctu'!D5710</f>
        <v>0</v>
      </c>
      <c r="AB5709" s="117">
        <f t="shared" si="92"/>
        <v>0</v>
      </c>
      <c r="AC5709" s="117" t="str">
        <f>IF(AB5709=1,COUNTIF($AB$3:AB5709,1),"")</f>
        <v/>
      </c>
      <c r="AD5709" s="117" t="str">
        <f>IFERROR(INDEX($AA$3:$AA$10000,MATCH(ROWS($AC$3:AC5709),$AC$3:$AC$10000,0)),"")</f>
        <v/>
      </c>
    </row>
    <row r="5710" spans="27:30">
      <c r="AA5710" s="117">
        <f>+'Ingredient List - Mother Tinctu'!D5711</f>
        <v>0</v>
      </c>
      <c r="AB5710" s="117">
        <f t="shared" si="92"/>
        <v>0</v>
      </c>
      <c r="AC5710" s="117" t="str">
        <f>IF(AB5710=1,COUNTIF($AB$3:AB5710,1),"")</f>
        <v/>
      </c>
      <c r="AD5710" s="117" t="str">
        <f>IFERROR(INDEX($AA$3:$AA$10000,MATCH(ROWS($AC$3:AC5710),$AC$3:$AC$10000,0)),"")</f>
        <v/>
      </c>
    </row>
    <row r="5711" spans="27:30">
      <c r="AA5711" s="117">
        <f>+'Ingredient List - Mother Tinctu'!D5712</f>
        <v>0</v>
      </c>
      <c r="AB5711" s="117">
        <f t="shared" si="92"/>
        <v>0</v>
      </c>
      <c r="AC5711" s="117" t="str">
        <f>IF(AB5711=1,COUNTIF($AB$3:AB5711,1),"")</f>
        <v/>
      </c>
      <c r="AD5711" s="117" t="str">
        <f>IFERROR(INDEX($AA$3:$AA$10000,MATCH(ROWS($AC$3:AC5711),$AC$3:$AC$10000,0)),"")</f>
        <v/>
      </c>
    </row>
    <row r="5712" spans="27:30">
      <c r="AA5712" s="117">
        <f>+'Ingredient List - Mother Tinctu'!D5713</f>
        <v>0</v>
      </c>
      <c r="AB5712" s="117">
        <f t="shared" si="92"/>
        <v>0</v>
      </c>
      <c r="AC5712" s="117" t="str">
        <f>IF(AB5712=1,COUNTIF($AB$3:AB5712,1),"")</f>
        <v/>
      </c>
      <c r="AD5712" s="117" t="str">
        <f>IFERROR(INDEX($AA$3:$AA$10000,MATCH(ROWS($AC$3:AC5712),$AC$3:$AC$10000,0)),"")</f>
        <v/>
      </c>
    </row>
    <row r="5713" spans="27:30">
      <c r="AA5713" s="117">
        <f>+'Ingredient List - Mother Tinctu'!D5714</f>
        <v>0</v>
      </c>
      <c r="AB5713" s="117">
        <f t="shared" si="92"/>
        <v>0</v>
      </c>
      <c r="AC5713" s="117" t="str">
        <f>IF(AB5713=1,COUNTIF($AB$3:AB5713,1),"")</f>
        <v/>
      </c>
      <c r="AD5713" s="117" t="str">
        <f>IFERROR(INDEX($AA$3:$AA$10000,MATCH(ROWS($AC$3:AC5713),$AC$3:$AC$10000,0)),"")</f>
        <v/>
      </c>
    </row>
    <row r="5714" spans="27:30">
      <c r="AA5714" s="117">
        <f>+'Ingredient List - Mother Tinctu'!D5715</f>
        <v>0</v>
      </c>
      <c r="AB5714" s="117">
        <f t="shared" si="92"/>
        <v>0</v>
      </c>
      <c r="AC5714" s="117" t="str">
        <f>IF(AB5714=1,COUNTIF($AB$3:AB5714,1),"")</f>
        <v/>
      </c>
      <c r="AD5714" s="117" t="str">
        <f>IFERROR(INDEX($AA$3:$AA$10000,MATCH(ROWS($AC$3:AC5714),$AC$3:$AC$10000,0)),"")</f>
        <v/>
      </c>
    </row>
    <row r="5715" spans="27:30">
      <c r="AA5715" s="117">
        <f>+'Ingredient List - Mother Tinctu'!D5716</f>
        <v>0</v>
      </c>
      <c r="AB5715" s="117">
        <f t="shared" si="92"/>
        <v>0</v>
      </c>
      <c r="AC5715" s="117" t="str">
        <f>IF(AB5715=1,COUNTIF($AB$3:AB5715,1),"")</f>
        <v/>
      </c>
      <c r="AD5715" s="117" t="str">
        <f>IFERROR(INDEX($AA$3:$AA$10000,MATCH(ROWS($AC$3:AC5715),$AC$3:$AC$10000,0)),"")</f>
        <v/>
      </c>
    </row>
    <row r="5716" spans="27:30">
      <c r="AA5716" s="117">
        <f>+'Ingredient List - Mother Tinctu'!D5717</f>
        <v>0</v>
      </c>
      <c r="AB5716" s="117">
        <f t="shared" si="92"/>
        <v>0</v>
      </c>
      <c r="AC5716" s="117" t="str">
        <f>IF(AB5716=1,COUNTIF($AB$3:AB5716,1),"")</f>
        <v/>
      </c>
      <c r="AD5716" s="117" t="str">
        <f>IFERROR(INDEX($AA$3:$AA$10000,MATCH(ROWS($AC$3:AC5716),$AC$3:$AC$10000,0)),"")</f>
        <v/>
      </c>
    </row>
    <row r="5717" spans="27:30">
      <c r="AA5717" s="117">
        <f>+'Ingredient List - Mother Tinctu'!D5718</f>
        <v>0</v>
      </c>
      <c r="AB5717" s="117">
        <f t="shared" si="92"/>
        <v>0</v>
      </c>
      <c r="AC5717" s="117" t="str">
        <f>IF(AB5717=1,COUNTIF($AB$3:AB5717,1),"")</f>
        <v/>
      </c>
      <c r="AD5717" s="117" t="str">
        <f>IFERROR(INDEX($AA$3:$AA$10000,MATCH(ROWS($AC$3:AC5717),$AC$3:$AC$10000,0)),"")</f>
        <v/>
      </c>
    </row>
    <row r="5718" spans="27:30">
      <c r="AA5718" s="117">
        <f>+'Ingredient List - Mother Tinctu'!D5719</f>
        <v>0</v>
      </c>
      <c r="AB5718" s="117">
        <f t="shared" si="92"/>
        <v>0</v>
      </c>
      <c r="AC5718" s="117" t="str">
        <f>IF(AB5718=1,COUNTIF($AB$3:AB5718,1),"")</f>
        <v/>
      </c>
      <c r="AD5718" s="117" t="str">
        <f>IFERROR(INDEX($AA$3:$AA$10000,MATCH(ROWS($AC$3:AC5718),$AC$3:$AC$10000,0)),"")</f>
        <v/>
      </c>
    </row>
    <row r="5719" spans="27:30">
      <c r="AA5719" s="117">
        <f>+'Ingredient List - Mother Tinctu'!D5720</f>
        <v>0</v>
      </c>
      <c r="AB5719" s="117">
        <f t="shared" si="92"/>
        <v>0</v>
      </c>
      <c r="AC5719" s="117" t="str">
        <f>IF(AB5719=1,COUNTIF($AB$3:AB5719,1),"")</f>
        <v/>
      </c>
      <c r="AD5719" s="117" t="str">
        <f>IFERROR(INDEX($AA$3:$AA$10000,MATCH(ROWS($AC$3:AC5719),$AC$3:$AC$10000,0)),"")</f>
        <v/>
      </c>
    </row>
    <row r="5720" spans="27:30">
      <c r="AA5720" s="117">
        <f>+'Ingredient List - Mother Tinctu'!D5721</f>
        <v>0</v>
      </c>
      <c r="AB5720" s="117">
        <f t="shared" si="92"/>
        <v>0</v>
      </c>
      <c r="AC5720" s="117" t="str">
        <f>IF(AB5720=1,COUNTIF($AB$3:AB5720,1),"")</f>
        <v/>
      </c>
      <c r="AD5720" s="117" t="str">
        <f>IFERROR(INDEX($AA$3:$AA$10000,MATCH(ROWS($AC$3:AC5720),$AC$3:$AC$10000,0)),"")</f>
        <v/>
      </c>
    </row>
    <row r="5721" spans="27:30">
      <c r="AA5721" s="117">
        <f>+'Ingredient List - Mother Tinctu'!D5722</f>
        <v>0</v>
      </c>
      <c r="AB5721" s="117">
        <f t="shared" si="92"/>
        <v>0</v>
      </c>
      <c r="AC5721" s="117" t="str">
        <f>IF(AB5721=1,COUNTIF($AB$3:AB5721,1),"")</f>
        <v/>
      </c>
      <c r="AD5721" s="117" t="str">
        <f>IFERROR(INDEX($AA$3:$AA$10000,MATCH(ROWS($AC$3:AC5721),$AC$3:$AC$10000,0)),"")</f>
        <v/>
      </c>
    </row>
    <row r="5722" spans="27:30">
      <c r="AA5722" s="117">
        <f>+'Ingredient List - Mother Tinctu'!D5723</f>
        <v>0</v>
      </c>
      <c r="AB5722" s="117">
        <f t="shared" si="92"/>
        <v>0</v>
      </c>
      <c r="AC5722" s="117" t="str">
        <f>IF(AB5722=1,COUNTIF($AB$3:AB5722,1),"")</f>
        <v/>
      </c>
      <c r="AD5722" s="117" t="str">
        <f>IFERROR(INDEX($AA$3:$AA$10000,MATCH(ROWS($AC$3:AC5722),$AC$3:$AC$10000,0)),"")</f>
        <v/>
      </c>
    </row>
    <row r="5723" spans="27:30">
      <c r="AA5723" s="117">
        <f>+'Ingredient List - Mother Tinctu'!D5724</f>
        <v>0</v>
      </c>
      <c r="AB5723" s="117">
        <f t="shared" si="92"/>
        <v>0</v>
      </c>
      <c r="AC5723" s="117" t="str">
        <f>IF(AB5723=1,COUNTIF($AB$3:AB5723,1),"")</f>
        <v/>
      </c>
      <c r="AD5723" s="117" t="str">
        <f>IFERROR(INDEX($AA$3:$AA$10000,MATCH(ROWS($AC$3:AC5723),$AC$3:$AC$10000,0)),"")</f>
        <v/>
      </c>
    </row>
    <row r="5724" spans="27:30">
      <c r="AA5724" s="117">
        <f>+'Ingredient List - Mother Tinctu'!D5725</f>
        <v>0</v>
      </c>
      <c r="AB5724" s="117">
        <f t="shared" si="92"/>
        <v>0</v>
      </c>
      <c r="AC5724" s="117" t="str">
        <f>IF(AB5724=1,COUNTIF($AB$3:AB5724,1),"")</f>
        <v/>
      </c>
      <c r="AD5724" s="117" t="str">
        <f>IFERROR(INDEX($AA$3:$AA$10000,MATCH(ROWS($AC$3:AC5724),$AC$3:$AC$10000,0)),"")</f>
        <v/>
      </c>
    </row>
    <row r="5725" spans="27:30">
      <c r="AA5725" s="117">
        <f>+'Ingredient List - Mother Tinctu'!D5726</f>
        <v>0</v>
      </c>
      <c r="AB5725" s="117">
        <f t="shared" si="92"/>
        <v>0</v>
      </c>
      <c r="AC5725" s="117" t="str">
        <f>IF(AB5725=1,COUNTIF($AB$3:AB5725,1),"")</f>
        <v/>
      </c>
      <c r="AD5725" s="117" t="str">
        <f>IFERROR(INDEX($AA$3:$AA$10000,MATCH(ROWS($AC$3:AC5725),$AC$3:$AC$10000,0)),"")</f>
        <v/>
      </c>
    </row>
    <row r="5726" spans="27:30">
      <c r="AA5726" s="117">
        <f>+'Ingredient List - Mother Tinctu'!D5727</f>
        <v>0</v>
      </c>
      <c r="AB5726" s="117">
        <f t="shared" si="92"/>
        <v>0</v>
      </c>
      <c r="AC5726" s="117" t="str">
        <f>IF(AB5726=1,COUNTIF($AB$3:AB5726,1),"")</f>
        <v/>
      </c>
      <c r="AD5726" s="117" t="str">
        <f>IFERROR(INDEX($AA$3:$AA$10000,MATCH(ROWS($AC$3:AC5726),$AC$3:$AC$10000,0)),"")</f>
        <v/>
      </c>
    </row>
    <row r="5727" spans="27:30">
      <c r="AA5727" s="117">
        <f>+'Ingredient List - Mother Tinctu'!D5728</f>
        <v>0</v>
      </c>
      <c r="AB5727" s="117">
        <f t="shared" si="92"/>
        <v>0</v>
      </c>
      <c r="AC5727" s="117" t="str">
        <f>IF(AB5727=1,COUNTIF($AB$3:AB5727,1),"")</f>
        <v/>
      </c>
      <c r="AD5727" s="117" t="str">
        <f>IFERROR(INDEX($AA$3:$AA$10000,MATCH(ROWS($AC$3:AC5727),$AC$3:$AC$10000,0)),"")</f>
        <v/>
      </c>
    </row>
    <row r="5728" spans="27:30">
      <c r="AA5728" s="117">
        <f>+'Ingredient List - Mother Tinctu'!D5729</f>
        <v>0</v>
      </c>
      <c r="AB5728" s="117">
        <f t="shared" si="92"/>
        <v>0</v>
      </c>
      <c r="AC5728" s="117" t="str">
        <f>IF(AB5728=1,COUNTIF($AB$3:AB5728,1),"")</f>
        <v/>
      </c>
      <c r="AD5728" s="117" t="str">
        <f>IFERROR(INDEX($AA$3:$AA$10000,MATCH(ROWS($AC$3:AC5728),$AC$3:$AC$10000,0)),"")</f>
        <v/>
      </c>
    </row>
    <row r="5729" spans="27:30">
      <c r="AA5729" s="117">
        <f>+'Ingredient List - Mother Tinctu'!D5730</f>
        <v>0</v>
      </c>
      <c r="AB5729" s="117">
        <f t="shared" si="92"/>
        <v>0</v>
      </c>
      <c r="AC5729" s="117" t="str">
        <f>IF(AB5729=1,COUNTIF($AB$3:AB5729,1),"")</f>
        <v/>
      </c>
      <c r="AD5729" s="117" t="str">
        <f>IFERROR(INDEX($AA$3:$AA$10000,MATCH(ROWS($AC$3:AC5729),$AC$3:$AC$10000,0)),"")</f>
        <v/>
      </c>
    </row>
    <row r="5730" spans="27:30">
      <c r="AA5730" s="117">
        <f>+'Ingredient List - Mother Tinctu'!D5731</f>
        <v>0</v>
      </c>
      <c r="AB5730" s="117">
        <f t="shared" si="92"/>
        <v>0</v>
      </c>
      <c r="AC5730" s="117" t="str">
        <f>IF(AB5730=1,COUNTIF($AB$3:AB5730,1),"")</f>
        <v/>
      </c>
      <c r="AD5730" s="117" t="str">
        <f>IFERROR(INDEX($AA$3:$AA$10000,MATCH(ROWS($AC$3:AC5730),$AC$3:$AC$10000,0)),"")</f>
        <v/>
      </c>
    </row>
    <row r="5731" spans="27:30">
      <c r="AA5731" s="117">
        <f>+'Ingredient List - Mother Tinctu'!D5732</f>
        <v>0</v>
      </c>
      <c r="AB5731" s="117">
        <f t="shared" si="92"/>
        <v>0</v>
      </c>
      <c r="AC5731" s="117" t="str">
        <f>IF(AB5731=1,COUNTIF($AB$3:AB5731,1),"")</f>
        <v/>
      </c>
      <c r="AD5731" s="117" t="str">
        <f>IFERROR(INDEX($AA$3:$AA$10000,MATCH(ROWS($AC$3:AC5731),$AC$3:$AC$10000,0)),"")</f>
        <v/>
      </c>
    </row>
    <row r="5732" spans="27:30">
      <c r="AA5732" s="117">
        <f>+'Ingredient List - Mother Tinctu'!D5733</f>
        <v>0</v>
      </c>
      <c r="AB5732" s="117">
        <f t="shared" si="92"/>
        <v>0</v>
      </c>
      <c r="AC5732" s="117" t="str">
        <f>IF(AB5732=1,COUNTIF($AB$3:AB5732,1),"")</f>
        <v/>
      </c>
      <c r="AD5732" s="117" t="str">
        <f>IFERROR(INDEX($AA$3:$AA$10000,MATCH(ROWS($AC$3:AC5732),$AC$3:$AC$10000,0)),"")</f>
        <v/>
      </c>
    </row>
    <row r="5733" spans="27:30">
      <c r="AA5733" s="117">
        <f>+'Ingredient List - Mother Tinctu'!D5734</f>
        <v>0</v>
      </c>
      <c r="AB5733" s="117">
        <f t="shared" si="92"/>
        <v>0</v>
      </c>
      <c r="AC5733" s="117" t="str">
        <f>IF(AB5733=1,COUNTIF($AB$3:AB5733,1),"")</f>
        <v/>
      </c>
      <c r="AD5733" s="117" t="str">
        <f>IFERROR(INDEX($AA$3:$AA$10000,MATCH(ROWS($AC$3:AC5733),$AC$3:$AC$10000,0)),"")</f>
        <v/>
      </c>
    </row>
    <row r="5734" spans="27:30">
      <c r="AA5734" s="117">
        <f>+'Ingredient List - Mother Tinctu'!D5735</f>
        <v>0</v>
      </c>
      <c r="AB5734" s="117">
        <f t="shared" si="92"/>
        <v>0</v>
      </c>
      <c r="AC5734" s="117" t="str">
        <f>IF(AB5734=1,COUNTIF($AB$3:AB5734,1),"")</f>
        <v/>
      </c>
      <c r="AD5734" s="117" t="str">
        <f>IFERROR(INDEX($AA$3:$AA$10000,MATCH(ROWS($AC$3:AC5734),$AC$3:$AC$10000,0)),"")</f>
        <v/>
      </c>
    </row>
    <row r="5735" spans="27:30">
      <c r="AA5735" s="117">
        <f>+'Ingredient List - Mother Tinctu'!D5736</f>
        <v>0</v>
      </c>
      <c r="AB5735" s="117">
        <f t="shared" si="92"/>
        <v>0</v>
      </c>
      <c r="AC5735" s="117" t="str">
        <f>IF(AB5735=1,COUNTIF($AB$3:AB5735,1),"")</f>
        <v/>
      </c>
      <c r="AD5735" s="117" t="str">
        <f>IFERROR(INDEX($AA$3:$AA$10000,MATCH(ROWS($AC$3:AC5735),$AC$3:$AC$10000,0)),"")</f>
        <v/>
      </c>
    </row>
    <row r="5736" spans="27:30">
      <c r="AA5736" s="117">
        <f>+'Ingredient List - Mother Tinctu'!D5737</f>
        <v>0</v>
      </c>
      <c r="AB5736" s="117">
        <f t="shared" si="92"/>
        <v>0</v>
      </c>
      <c r="AC5736" s="117" t="str">
        <f>IF(AB5736=1,COUNTIF($AB$3:AB5736,1),"")</f>
        <v/>
      </c>
      <c r="AD5736" s="117" t="str">
        <f>IFERROR(INDEX($AA$3:$AA$10000,MATCH(ROWS($AC$3:AC5736),$AC$3:$AC$10000,0)),"")</f>
        <v/>
      </c>
    </row>
    <row r="5737" spans="27:30">
      <c r="AA5737" s="117">
        <f>+'Ingredient List - Mother Tinctu'!D5738</f>
        <v>0</v>
      </c>
      <c r="AB5737" s="117">
        <f t="shared" si="92"/>
        <v>0</v>
      </c>
      <c r="AC5737" s="117" t="str">
        <f>IF(AB5737=1,COUNTIF($AB$3:AB5737,1),"")</f>
        <v/>
      </c>
      <c r="AD5737" s="117" t="str">
        <f>IFERROR(INDEX($AA$3:$AA$10000,MATCH(ROWS($AC$3:AC5737),$AC$3:$AC$10000,0)),"")</f>
        <v/>
      </c>
    </row>
    <row r="5738" spans="27:30">
      <c r="AA5738" s="117">
        <f>+'Ingredient List - Mother Tinctu'!D5739</f>
        <v>0</v>
      </c>
      <c r="AB5738" s="117">
        <f t="shared" si="92"/>
        <v>0</v>
      </c>
      <c r="AC5738" s="117" t="str">
        <f>IF(AB5738=1,COUNTIF($AB$3:AB5738,1),"")</f>
        <v/>
      </c>
      <c r="AD5738" s="117" t="str">
        <f>IFERROR(INDEX($AA$3:$AA$10000,MATCH(ROWS($AC$3:AC5738),$AC$3:$AC$10000,0)),"")</f>
        <v/>
      </c>
    </row>
    <row r="5739" spans="27:30">
      <c r="AA5739" s="117">
        <f>+'Ingredient List - Mother Tinctu'!D5740</f>
        <v>0</v>
      </c>
      <c r="AB5739" s="117">
        <f t="shared" si="92"/>
        <v>0</v>
      </c>
      <c r="AC5739" s="117" t="str">
        <f>IF(AB5739=1,COUNTIF($AB$3:AB5739,1),"")</f>
        <v/>
      </c>
      <c r="AD5739" s="117" t="str">
        <f>IFERROR(INDEX($AA$3:$AA$10000,MATCH(ROWS($AC$3:AC5739),$AC$3:$AC$10000,0)),"")</f>
        <v/>
      </c>
    </row>
    <row r="5740" spans="27:30">
      <c r="AA5740" s="117">
        <f>+'Ingredient List - Mother Tinctu'!D5741</f>
        <v>0</v>
      </c>
      <c r="AB5740" s="117">
        <f t="shared" si="92"/>
        <v>0</v>
      </c>
      <c r="AC5740" s="117" t="str">
        <f>IF(AB5740=1,COUNTIF($AB$3:AB5740,1),"")</f>
        <v/>
      </c>
      <c r="AD5740" s="117" t="str">
        <f>IFERROR(INDEX($AA$3:$AA$10000,MATCH(ROWS($AC$3:AC5740),$AC$3:$AC$10000,0)),"")</f>
        <v/>
      </c>
    </row>
    <row r="5741" spans="27:30">
      <c r="AA5741" s="117">
        <f>+'Ingredient List - Mother Tinctu'!D5742</f>
        <v>0</v>
      </c>
      <c r="AB5741" s="117">
        <f t="shared" si="92"/>
        <v>0</v>
      </c>
      <c r="AC5741" s="117" t="str">
        <f>IF(AB5741=1,COUNTIF($AB$3:AB5741,1),"")</f>
        <v/>
      </c>
      <c r="AD5741" s="117" t="str">
        <f>IFERROR(INDEX($AA$3:$AA$10000,MATCH(ROWS($AC$3:AC5741),$AC$3:$AC$10000,0)),"")</f>
        <v/>
      </c>
    </row>
    <row r="5742" spans="27:30">
      <c r="AA5742" s="117">
        <f>+'Ingredient List - Mother Tinctu'!D5743</f>
        <v>0</v>
      </c>
      <c r="AB5742" s="117">
        <f t="shared" si="92"/>
        <v>0</v>
      </c>
      <c r="AC5742" s="117" t="str">
        <f>IF(AB5742=1,COUNTIF($AB$3:AB5742,1),"")</f>
        <v/>
      </c>
      <c r="AD5742" s="117" t="str">
        <f>IFERROR(INDEX($AA$3:$AA$10000,MATCH(ROWS($AC$3:AC5742),$AC$3:$AC$10000,0)),"")</f>
        <v/>
      </c>
    </row>
    <row r="5743" spans="27:30">
      <c r="AA5743" s="117">
        <f>+'Ingredient List - Mother Tinctu'!D5744</f>
        <v>0</v>
      </c>
      <c r="AB5743" s="117">
        <f t="shared" si="92"/>
        <v>0</v>
      </c>
      <c r="AC5743" s="117" t="str">
        <f>IF(AB5743=1,COUNTIF($AB$3:AB5743,1),"")</f>
        <v/>
      </c>
      <c r="AD5743" s="117" t="str">
        <f>IFERROR(INDEX($AA$3:$AA$10000,MATCH(ROWS($AC$3:AC5743),$AC$3:$AC$10000,0)),"")</f>
        <v/>
      </c>
    </row>
    <row r="5744" spans="27:30">
      <c r="AA5744" s="117">
        <f>+'Ingredient List - Mother Tinctu'!D5745</f>
        <v>0</v>
      </c>
      <c r="AB5744" s="117">
        <f t="shared" si="92"/>
        <v>0</v>
      </c>
      <c r="AC5744" s="117" t="str">
        <f>IF(AB5744=1,COUNTIF($AB$3:AB5744,1),"")</f>
        <v/>
      </c>
      <c r="AD5744" s="117" t="str">
        <f>IFERROR(INDEX($AA$3:$AA$10000,MATCH(ROWS($AC$3:AC5744),$AC$3:$AC$10000,0)),"")</f>
        <v/>
      </c>
    </row>
    <row r="5745" spans="27:30">
      <c r="AA5745" s="117">
        <f>+'Ingredient List - Mother Tinctu'!D5746</f>
        <v>0</v>
      </c>
      <c r="AB5745" s="117">
        <f t="shared" si="92"/>
        <v>0</v>
      </c>
      <c r="AC5745" s="117" t="str">
        <f>IF(AB5745=1,COUNTIF($AB$3:AB5745,1),"")</f>
        <v/>
      </c>
      <c r="AD5745" s="117" t="str">
        <f>IFERROR(INDEX($AA$3:$AA$10000,MATCH(ROWS($AC$3:AC5745),$AC$3:$AC$10000,0)),"")</f>
        <v/>
      </c>
    </row>
    <row r="5746" spans="27:30">
      <c r="AA5746" s="117">
        <f>+'Ingredient List - Mother Tinctu'!D5747</f>
        <v>0</v>
      </c>
      <c r="AB5746" s="117">
        <f t="shared" si="92"/>
        <v>0</v>
      </c>
      <c r="AC5746" s="117" t="str">
        <f>IF(AB5746=1,COUNTIF($AB$3:AB5746,1),"")</f>
        <v/>
      </c>
      <c r="AD5746" s="117" t="str">
        <f>IFERROR(INDEX($AA$3:$AA$10000,MATCH(ROWS($AC$3:AC5746),$AC$3:$AC$10000,0)),"")</f>
        <v/>
      </c>
    </row>
    <row r="5747" spans="27:30">
      <c r="AA5747" s="117">
        <f>+'Ingredient List - Mother Tinctu'!D5748</f>
        <v>0</v>
      </c>
      <c r="AB5747" s="117">
        <f t="shared" si="92"/>
        <v>0</v>
      </c>
      <c r="AC5747" s="117" t="str">
        <f>IF(AB5747=1,COUNTIF($AB$3:AB5747,1),"")</f>
        <v/>
      </c>
      <c r="AD5747" s="117" t="str">
        <f>IFERROR(INDEX($AA$3:$AA$10000,MATCH(ROWS($AC$3:AC5747),$AC$3:$AC$10000,0)),"")</f>
        <v/>
      </c>
    </row>
    <row r="5748" spans="27:30">
      <c r="AA5748" s="117">
        <f>+'Ingredient List - Mother Tinctu'!D5749</f>
        <v>0</v>
      </c>
      <c r="AB5748" s="117">
        <f t="shared" si="92"/>
        <v>0</v>
      </c>
      <c r="AC5748" s="117" t="str">
        <f>IF(AB5748=1,COUNTIF($AB$3:AB5748,1),"")</f>
        <v/>
      </c>
      <c r="AD5748" s="117" t="str">
        <f>IFERROR(INDEX($AA$3:$AA$10000,MATCH(ROWS($AC$3:AC5748),$AC$3:$AC$10000,0)),"")</f>
        <v/>
      </c>
    </row>
    <row r="5749" spans="27:30">
      <c r="AA5749" s="117">
        <f>+'Ingredient List - Mother Tinctu'!D5750</f>
        <v>0</v>
      </c>
      <c r="AB5749" s="117">
        <f t="shared" si="92"/>
        <v>0</v>
      </c>
      <c r="AC5749" s="117" t="str">
        <f>IF(AB5749=1,COUNTIF($AB$3:AB5749,1),"")</f>
        <v/>
      </c>
      <c r="AD5749" s="117" t="str">
        <f>IFERROR(INDEX($AA$3:$AA$10000,MATCH(ROWS($AC$3:AC5749),$AC$3:$AC$10000,0)),"")</f>
        <v/>
      </c>
    </row>
    <row r="5750" spans="27:30">
      <c r="AA5750" s="117">
        <f>+'Ingredient List - Mother Tinctu'!D5751</f>
        <v>0</v>
      </c>
      <c r="AB5750" s="117">
        <f t="shared" si="92"/>
        <v>0</v>
      </c>
      <c r="AC5750" s="117" t="str">
        <f>IF(AB5750=1,COUNTIF($AB$3:AB5750,1),"")</f>
        <v/>
      </c>
      <c r="AD5750" s="117" t="str">
        <f>IFERROR(INDEX($AA$3:$AA$10000,MATCH(ROWS($AC$3:AC5750),$AC$3:$AC$10000,0)),"")</f>
        <v/>
      </c>
    </row>
    <row r="5751" spans="27:30">
      <c r="AA5751" s="117">
        <f>+'Ingredient List - Mother Tinctu'!D5752</f>
        <v>0</v>
      </c>
      <c r="AB5751" s="117">
        <f t="shared" si="92"/>
        <v>0</v>
      </c>
      <c r="AC5751" s="117" t="str">
        <f>IF(AB5751=1,COUNTIF($AB$3:AB5751,1),"")</f>
        <v/>
      </c>
      <c r="AD5751" s="117" t="str">
        <f>IFERROR(INDEX($AA$3:$AA$10000,MATCH(ROWS($AC$3:AC5751),$AC$3:$AC$10000,0)),"")</f>
        <v/>
      </c>
    </row>
    <row r="5752" spans="27:30">
      <c r="AA5752" s="117">
        <f>+'Ingredient List - Mother Tinctu'!D5753</f>
        <v>0</v>
      </c>
      <c r="AB5752" s="117">
        <f t="shared" si="92"/>
        <v>0</v>
      </c>
      <c r="AC5752" s="117" t="str">
        <f>IF(AB5752=1,COUNTIF($AB$3:AB5752,1),"")</f>
        <v/>
      </c>
      <c r="AD5752" s="117" t="str">
        <f>IFERROR(INDEX($AA$3:$AA$10000,MATCH(ROWS($AC$3:AC5752),$AC$3:$AC$10000,0)),"")</f>
        <v/>
      </c>
    </row>
    <row r="5753" spans="27:30">
      <c r="AA5753" s="117">
        <f>+'Ingredient List - Mother Tinctu'!D5754</f>
        <v>0</v>
      </c>
      <c r="AB5753" s="117">
        <f t="shared" si="92"/>
        <v>0</v>
      </c>
      <c r="AC5753" s="117" t="str">
        <f>IF(AB5753=1,COUNTIF($AB$3:AB5753,1),"")</f>
        <v/>
      </c>
      <c r="AD5753" s="117" t="str">
        <f>IFERROR(INDEX($AA$3:$AA$10000,MATCH(ROWS($AC$3:AC5753),$AC$3:$AC$10000,0)),"")</f>
        <v/>
      </c>
    </row>
    <row r="5754" spans="27:30">
      <c r="AA5754" s="117">
        <f>+'Ingredient List - Mother Tinctu'!D5755</f>
        <v>0</v>
      </c>
      <c r="AB5754" s="117">
        <f t="shared" si="92"/>
        <v>0</v>
      </c>
      <c r="AC5754" s="117" t="str">
        <f>IF(AB5754=1,COUNTIF($AB$3:AB5754,1),"")</f>
        <v/>
      </c>
      <c r="AD5754" s="117" t="str">
        <f>IFERROR(INDEX($AA$3:$AA$10000,MATCH(ROWS($AC$3:AC5754),$AC$3:$AC$10000,0)),"")</f>
        <v/>
      </c>
    </row>
    <row r="5755" spans="27:30">
      <c r="AA5755" s="117">
        <f>+'Ingredient List - Mother Tinctu'!D5756</f>
        <v>0</v>
      </c>
      <c r="AB5755" s="117">
        <f t="shared" si="92"/>
        <v>0</v>
      </c>
      <c r="AC5755" s="117" t="str">
        <f>IF(AB5755=1,COUNTIF($AB$3:AB5755,1),"")</f>
        <v/>
      </c>
      <c r="AD5755" s="117" t="str">
        <f>IFERROR(INDEX($AA$3:$AA$10000,MATCH(ROWS($AC$3:AC5755),$AC$3:$AC$10000,0)),"")</f>
        <v/>
      </c>
    </row>
    <row r="5756" spans="27:30">
      <c r="AA5756" s="117">
        <f>+'Ingredient List - Mother Tinctu'!D5757</f>
        <v>0</v>
      </c>
      <c r="AB5756" s="117">
        <f t="shared" si="92"/>
        <v>0</v>
      </c>
      <c r="AC5756" s="117" t="str">
        <f>IF(AB5756=1,COUNTIF($AB$3:AB5756,1),"")</f>
        <v/>
      </c>
      <c r="AD5756" s="117" t="str">
        <f>IFERROR(INDEX($AA$3:$AA$10000,MATCH(ROWS($AC$3:AC5756),$AC$3:$AC$10000,0)),"")</f>
        <v/>
      </c>
    </row>
    <row r="5757" spans="27:30">
      <c r="AA5757" s="117">
        <f>+'Ingredient List - Mother Tinctu'!D5758</f>
        <v>0</v>
      </c>
      <c r="AB5757" s="117">
        <f t="shared" si="92"/>
        <v>0</v>
      </c>
      <c r="AC5757" s="117" t="str">
        <f>IF(AB5757=1,COUNTIF($AB$3:AB5757,1),"")</f>
        <v/>
      </c>
      <c r="AD5757" s="117" t="str">
        <f>IFERROR(INDEX($AA$3:$AA$10000,MATCH(ROWS($AC$3:AC5757),$AC$3:$AC$10000,0)),"")</f>
        <v/>
      </c>
    </row>
    <row r="5758" spans="27:30">
      <c r="AA5758" s="117">
        <f>+'Ingredient List - Mother Tinctu'!D5759</f>
        <v>0</v>
      </c>
      <c r="AB5758" s="117">
        <f t="shared" si="92"/>
        <v>0</v>
      </c>
      <c r="AC5758" s="117" t="str">
        <f>IF(AB5758=1,COUNTIF($AB$3:AB5758,1),"")</f>
        <v/>
      </c>
      <c r="AD5758" s="117" t="str">
        <f>IFERROR(INDEX($AA$3:$AA$10000,MATCH(ROWS($AC$3:AC5758),$AC$3:$AC$10000,0)),"")</f>
        <v/>
      </c>
    </row>
    <row r="5759" spans="27:30">
      <c r="AA5759" s="117">
        <f>+'Ingredient List - Mother Tinctu'!D5760</f>
        <v>0</v>
      </c>
      <c r="AB5759" s="117">
        <f t="shared" si="92"/>
        <v>0</v>
      </c>
      <c r="AC5759" s="117" t="str">
        <f>IF(AB5759=1,COUNTIF($AB$3:AB5759,1),"")</f>
        <v/>
      </c>
      <c r="AD5759" s="117" t="str">
        <f>IFERROR(INDEX($AA$3:$AA$10000,MATCH(ROWS($AC$3:AC5759),$AC$3:$AC$10000,0)),"")</f>
        <v/>
      </c>
    </row>
    <row r="5760" spans="27:30">
      <c r="AA5760" s="117">
        <f>+'Ingredient List - Mother Tinctu'!D5761</f>
        <v>0</v>
      </c>
      <c r="AB5760" s="117">
        <f t="shared" si="92"/>
        <v>0</v>
      </c>
      <c r="AC5760" s="117" t="str">
        <f>IF(AB5760=1,COUNTIF($AB$3:AB5760,1),"")</f>
        <v/>
      </c>
      <c r="AD5760" s="117" t="str">
        <f>IFERROR(INDEX($AA$3:$AA$10000,MATCH(ROWS($AC$3:AC5760),$AC$3:$AC$10000,0)),"")</f>
        <v/>
      </c>
    </row>
    <row r="5761" spans="27:30">
      <c r="AA5761" s="117">
        <f>+'Ingredient List - Mother Tinctu'!D5762</f>
        <v>0</v>
      </c>
      <c r="AB5761" s="117">
        <f t="shared" si="92"/>
        <v>0</v>
      </c>
      <c r="AC5761" s="117" t="str">
        <f>IF(AB5761=1,COUNTIF($AB$3:AB5761,1),"")</f>
        <v/>
      </c>
      <c r="AD5761" s="117" t="str">
        <f>IFERROR(INDEX($AA$3:$AA$10000,MATCH(ROWS($AC$3:AC5761),$AC$3:$AC$10000,0)),"")</f>
        <v/>
      </c>
    </row>
    <row r="5762" spans="27:30">
      <c r="AA5762" s="117">
        <f>+'Ingredient List - Mother Tinctu'!D5763</f>
        <v>0</v>
      </c>
      <c r="AB5762" s="117">
        <f t="shared" si="92"/>
        <v>0</v>
      </c>
      <c r="AC5762" s="117" t="str">
        <f>IF(AB5762=1,COUNTIF($AB$3:AB5762,1),"")</f>
        <v/>
      </c>
      <c r="AD5762" s="117" t="str">
        <f>IFERROR(INDEX($AA$3:$AA$10000,MATCH(ROWS($AC$3:AC5762),$AC$3:$AC$10000,0)),"")</f>
        <v/>
      </c>
    </row>
    <row r="5763" spans="27:30">
      <c r="AA5763" s="117">
        <f>+'Ingredient List - Mother Tinctu'!D5764</f>
        <v>0</v>
      </c>
      <c r="AB5763" s="117">
        <f t="shared" si="92"/>
        <v>0</v>
      </c>
      <c r="AC5763" s="117" t="str">
        <f>IF(AB5763=1,COUNTIF($AB$3:AB5763,1),"")</f>
        <v/>
      </c>
      <c r="AD5763" s="117" t="str">
        <f>IFERROR(INDEX($AA$3:$AA$10000,MATCH(ROWS($AC$3:AC5763),$AC$3:$AC$10000,0)),"")</f>
        <v/>
      </c>
    </row>
    <row r="5764" spans="27:30">
      <c r="AA5764" s="117">
        <f>+'Ingredient List - Mother Tinctu'!D5765</f>
        <v>0</v>
      </c>
      <c r="AB5764" s="117">
        <f t="shared" ref="AB5764:AB5827" si="93">--ISNUMBER(IFERROR(SEARCH($D$3,AA5764,1),""))</f>
        <v>0</v>
      </c>
      <c r="AC5764" s="117" t="str">
        <f>IF(AB5764=1,COUNTIF($AB$3:AB5764,1),"")</f>
        <v/>
      </c>
      <c r="AD5764" s="117" t="str">
        <f>IFERROR(INDEX($AA$3:$AA$10000,MATCH(ROWS($AC$3:AC5764),$AC$3:$AC$10000,0)),"")</f>
        <v/>
      </c>
    </row>
    <row r="5765" spans="27:30">
      <c r="AA5765" s="117">
        <f>+'Ingredient List - Mother Tinctu'!D5766</f>
        <v>0</v>
      </c>
      <c r="AB5765" s="117">
        <f t="shared" si="93"/>
        <v>0</v>
      </c>
      <c r="AC5765" s="117" t="str">
        <f>IF(AB5765=1,COUNTIF($AB$3:AB5765,1),"")</f>
        <v/>
      </c>
      <c r="AD5765" s="117" t="str">
        <f>IFERROR(INDEX($AA$3:$AA$10000,MATCH(ROWS($AC$3:AC5765),$AC$3:$AC$10000,0)),"")</f>
        <v/>
      </c>
    </row>
    <row r="5766" spans="27:30">
      <c r="AA5766" s="117">
        <f>+'Ingredient List - Mother Tinctu'!D5767</f>
        <v>0</v>
      </c>
      <c r="AB5766" s="117">
        <f t="shared" si="93"/>
        <v>0</v>
      </c>
      <c r="AC5766" s="117" t="str">
        <f>IF(AB5766=1,COUNTIF($AB$3:AB5766,1),"")</f>
        <v/>
      </c>
      <c r="AD5766" s="117" t="str">
        <f>IFERROR(INDEX($AA$3:$AA$10000,MATCH(ROWS($AC$3:AC5766),$AC$3:$AC$10000,0)),"")</f>
        <v/>
      </c>
    </row>
    <row r="5767" spans="27:30">
      <c r="AA5767" s="117">
        <f>+'Ingredient List - Mother Tinctu'!D5768</f>
        <v>0</v>
      </c>
      <c r="AB5767" s="117">
        <f t="shared" si="93"/>
        <v>0</v>
      </c>
      <c r="AC5767" s="117" t="str">
        <f>IF(AB5767=1,COUNTIF($AB$3:AB5767,1),"")</f>
        <v/>
      </c>
      <c r="AD5767" s="117" t="str">
        <f>IFERROR(INDEX($AA$3:$AA$10000,MATCH(ROWS($AC$3:AC5767),$AC$3:$AC$10000,0)),"")</f>
        <v/>
      </c>
    </row>
    <row r="5768" spans="27:30">
      <c r="AA5768" s="117">
        <f>+'Ingredient List - Mother Tinctu'!D5769</f>
        <v>0</v>
      </c>
      <c r="AB5768" s="117">
        <f t="shared" si="93"/>
        <v>0</v>
      </c>
      <c r="AC5768" s="117" t="str">
        <f>IF(AB5768=1,COUNTIF($AB$3:AB5768,1),"")</f>
        <v/>
      </c>
      <c r="AD5768" s="117" t="str">
        <f>IFERROR(INDEX($AA$3:$AA$10000,MATCH(ROWS($AC$3:AC5768),$AC$3:$AC$10000,0)),"")</f>
        <v/>
      </c>
    </row>
    <row r="5769" spans="27:30">
      <c r="AA5769" s="117">
        <f>+'Ingredient List - Mother Tinctu'!D5770</f>
        <v>0</v>
      </c>
      <c r="AB5769" s="117">
        <f t="shared" si="93"/>
        <v>0</v>
      </c>
      <c r="AC5769" s="117" t="str">
        <f>IF(AB5769=1,COUNTIF($AB$3:AB5769,1),"")</f>
        <v/>
      </c>
      <c r="AD5769" s="117" t="str">
        <f>IFERROR(INDEX($AA$3:$AA$10000,MATCH(ROWS($AC$3:AC5769),$AC$3:$AC$10000,0)),"")</f>
        <v/>
      </c>
    </row>
    <row r="5770" spans="27:30">
      <c r="AA5770" s="117">
        <f>+'Ingredient List - Mother Tinctu'!D5771</f>
        <v>0</v>
      </c>
      <c r="AB5770" s="117">
        <f t="shared" si="93"/>
        <v>0</v>
      </c>
      <c r="AC5770" s="117" t="str">
        <f>IF(AB5770=1,COUNTIF($AB$3:AB5770,1),"")</f>
        <v/>
      </c>
      <c r="AD5770" s="117" t="str">
        <f>IFERROR(INDEX($AA$3:$AA$10000,MATCH(ROWS($AC$3:AC5770),$AC$3:$AC$10000,0)),"")</f>
        <v/>
      </c>
    </row>
    <row r="5771" spans="27:30">
      <c r="AA5771" s="117">
        <f>+'Ingredient List - Mother Tinctu'!D5772</f>
        <v>0</v>
      </c>
      <c r="AB5771" s="117">
        <f t="shared" si="93"/>
        <v>0</v>
      </c>
      <c r="AC5771" s="117" t="str">
        <f>IF(AB5771=1,COUNTIF($AB$3:AB5771,1),"")</f>
        <v/>
      </c>
      <c r="AD5771" s="117" t="str">
        <f>IFERROR(INDEX($AA$3:$AA$10000,MATCH(ROWS($AC$3:AC5771),$AC$3:$AC$10000,0)),"")</f>
        <v/>
      </c>
    </row>
    <row r="5772" spans="27:30">
      <c r="AA5772" s="117">
        <f>+'Ingredient List - Mother Tinctu'!D5773</f>
        <v>0</v>
      </c>
      <c r="AB5772" s="117">
        <f t="shared" si="93"/>
        <v>0</v>
      </c>
      <c r="AC5772" s="117" t="str">
        <f>IF(AB5772=1,COUNTIF($AB$3:AB5772,1),"")</f>
        <v/>
      </c>
      <c r="AD5772" s="117" t="str">
        <f>IFERROR(INDEX($AA$3:$AA$10000,MATCH(ROWS($AC$3:AC5772),$AC$3:$AC$10000,0)),"")</f>
        <v/>
      </c>
    </row>
    <row r="5773" spans="27:30">
      <c r="AA5773" s="117">
        <f>+'Ingredient List - Mother Tinctu'!D5774</f>
        <v>0</v>
      </c>
      <c r="AB5773" s="117">
        <f t="shared" si="93"/>
        <v>0</v>
      </c>
      <c r="AC5773" s="117" t="str">
        <f>IF(AB5773=1,COUNTIF($AB$3:AB5773,1),"")</f>
        <v/>
      </c>
      <c r="AD5773" s="117" t="str">
        <f>IFERROR(INDEX($AA$3:$AA$10000,MATCH(ROWS($AC$3:AC5773),$AC$3:$AC$10000,0)),"")</f>
        <v/>
      </c>
    </row>
    <row r="5774" spans="27:30">
      <c r="AA5774" s="117">
        <f>+'Ingredient List - Mother Tinctu'!D5775</f>
        <v>0</v>
      </c>
      <c r="AB5774" s="117">
        <f t="shared" si="93"/>
        <v>0</v>
      </c>
      <c r="AC5774" s="117" t="str">
        <f>IF(AB5774=1,COUNTIF($AB$3:AB5774,1),"")</f>
        <v/>
      </c>
      <c r="AD5774" s="117" t="str">
        <f>IFERROR(INDEX($AA$3:$AA$10000,MATCH(ROWS($AC$3:AC5774),$AC$3:$AC$10000,0)),"")</f>
        <v/>
      </c>
    </row>
    <row r="5775" spans="27:30">
      <c r="AA5775" s="117">
        <f>+'Ingredient List - Mother Tinctu'!D5776</f>
        <v>0</v>
      </c>
      <c r="AB5775" s="117">
        <f t="shared" si="93"/>
        <v>0</v>
      </c>
      <c r="AC5775" s="117" t="str">
        <f>IF(AB5775=1,COUNTIF($AB$3:AB5775,1),"")</f>
        <v/>
      </c>
      <c r="AD5775" s="117" t="str">
        <f>IFERROR(INDEX($AA$3:$AA$10000,MATCH(ROWS($AC$3:AC5775),$AC$3:$AC$10000,0)),"")</f>
        <v/>
      </c>
    </row>
    <row r="5776" spans="27:30">
      <c r="AA5776" s="117">
        <f>+'Ingredient List - Mother Tinctu'!D5777</f>
        <v>0</v>
      </c>
      <c r="AB5776" s="117">
        <f t="shared" si="93"/>
        <v>0</v>
      </c>
      <c r="AC5776" s="117" t="str">
        <f>IF(AB5776=1,COUNTIF($AB$3:AB5776,1),"")</f>
        <v/>
      </c>
      <c r="AD5776" s="117" t="str">
        <f>IFERROR(INDEX($AA$3:$AA$10000,MATCH(ROWS($AC$3:AC5776),$AC$3:$AC$10000,0)),"")</f>
        <v/>
      </c>
    </row>
    <row r="5777" spans="27:30">
      <c r="AA5777" s="117">
        <f>+'Ingredient List - Mother Tinctu'!D5778</f>
        <v>0</v>
      </c>
      <c r="AB5777" s="117">
        <f t="shared" si="93"/>
        <v>0</v>
      </c>
      <c r="AC5777" s="117" t="str">
        <f>IF(AB5777=1,COUNTIF($AB$3:AB5777,1),"")</f>
        <v/>
      </c>
      <c r="AD5777" s="117" t="str">
        <f>IFERROR(INDEX($AA$3:$AA$10000,MATCH(ROWS($AC$3:AC5777),$AC$3:$AC$10000,0)),"")</f>
        <v/>
      </c>
    </row>
    <row r="5778" spans="27:30">
      <c r="AA5778" s="117">
        <f>+'Ingredient List - Mother Tinctu'!D5779</f>
        <v>0</v>
      </c>
      <c r="AB5778" s="117">
        <f t="shared" si="93"/>
        <v>0</v>
      </c>
      <c r="AC5778" s="117" t="str">
        <f>IF(AB5778=1,COUNTIF($AB$3:AB5778,1),"")</f>
        <v/>
      </c>
      <c r="AD5778" s="117" t="str">
        <f>IFERROR(INDEX($AA$3:$AA$10000,MATCH(ROWS($AC$3:AC5778),$AC$3:$AC$10000,0)),"")</f>
        <v/>
      </c>
    </row>
    <row r="5779" spans="27:30">
      <c r="AA5779" s="117">
        <f>+'Ingredient List - Mother Tinctu'!D5780</f>
        <v>0</v>
      </c>
      <c r="AB5779" s="117">
        <f t="shared" si="93"/>
        <v>0</v>
      </c>
      <c r="AC5779" s="117" t="str">
        <f>IF(AB5779=1,COUNTIF($AB$3:AB5779,1),"")</f>
        <v/>
      </c>
      <c r="AD5779" s="117" t="str">
        <f>IFERROR(INDEX($AA$3:$AA$10000,MATCH(ROWS($AC$3:AC5779),$AC$3:$AC$10000,0)),"")</f>
        <v/>
      </c>
    </row>
    <row r="5780" spans="27:30">
      <c r="AA5780" s="117">
        <f>+'Ingredient List - Mother Tinctu'!D5781</f>
        <v>0</v>
      </c>
      <c r="AB5780" s="117">
        <f t="shared" si="93"/>
        <v>0</v>
      </c>
      <c r="AC5780" s="117" t="str">
        <f>IF(AB5780=1,COUNTIF($AB$3:AB5780,1),"")</f>
        <v/>
      </c>
      <c r="AD5780" s="117" t="str">
        <f>IFERROR(INDEX($AA$3:$AA$10000,MATCH(ROWS($AC$3:AC5780),$AC$3:$AC$10000,0)),"")</f>
        <v/>
      </c>
    </row>
    <row r="5781" spans="27:30">
      <c r="AA5781" s="117">
        <f>+'Ingredient List - Mother Tinctu'!D5782</f>
        <v>0</v>
      </c>
      <c r="AB5781" s="117">
        <f t="shared" si="93"/>
        <v>0</v>
      </c>
      <c r="AC5781" s="117" t="str">
        <f>IF(AB5781=1,COUNTIF($AB$3:AB5781,1),"")</f>
        <v/>
      </c>
      <c r="AD5781" s="117" t="str">
        <f>IFERROR(INDEX($AA$3:$AA$10000,MATCH(ROWS($AC$3:AC5781),$AC$3:$AC$10000,0)),"")</f>
        <v/>
      </c>
    </row>
    <row r="5782" spans="27:30">
      <c r="AA5782" s="117">
        <f>+'Ingredient List - Mother Tinctu'!D5783</f>
        <v>0</v>
      </c>
      <c r="AB5782" s="117">
        <f t="shared" si="93"/>
        <v>0</v>
      </c>
      <c r="AC5782" s="117" t="str">
        <f>IF(AB5782=1,COUNTIF($AB$3:AB5782,1),"")</f>
        <v/>
      </c>
      <c r="AD5782" s="117" t="str">
        <f>IFERROR(INDEX($AA$3:$AA$10000,MATCH(ROWS($AC$3:AC5782),$AC$3:$AC$10000,0)),"")</f>
        <v/>
      </c>
    </row>
    <row r="5783" spans="27:30">
      <c r="AA5783" s="117">
        <f>+'Ingredient List - Mother Tinctu'!D5784</f>
        <v>0</v>
      </c>
      <c r="AB5783" s="117">
        <f t="shared" si="93"/>
        <v>0</v>
      </c>
      <c r="AC5783" s="117" t="str">
        <f>IF(AB5783=1,COUNTIF($AB$3:AB5783,1),"")</f>
        <v/>
      </c>
      <c r="AD5783" s="117" t="str">
        <f>IFERROR(INDEX($AA$3:$AA$10000,MATCH(ROWS($AC$3:AC5783),$AC$3:$AC$10000,0)),"")</f>
        <v/>
      </c>
    </row>
    <row r="5784" spans="27:30">
      <c r="AA5784" s="117">
        <f>+'Ingredient List - Mother Tinctu'!D5785</f>
        <v>0</v>
      </c>
      <c r="AB5784" s="117">
        <f t="shared" si="93"/>
        <v>0</v>
      </c>
      <c r="AC5784" s="117" t="str">
        <f>IF(AB5784=1,COUNTIF($AB$3:AB5784,1),"")</f>
        <v/>
      </c>
      <c r="AD5784" s="117" t="str">
        <f>IFERROR(INDEX($AA$3:$AA$10000,MATCH(ROWS($AC$3:AC5784),$AC$3:$AC$10000,0)),"")</f>
        <v/>
      </c>
    </row>
    <row r="5785" spans="27:30">
      <c r="AA5785" s="117">
        <f>+'Ingredient List - Mother Tinctu'!D5786</f>
        <v>0</v>
      </c>
      <c r="AB5785" s="117">
        <f t="shared" si="93"/>
        <v>0</v>
      </c>
      <c r="AC5785" s="117" t="str">
        <f>IF(AB5785=1,COUNTIF($AB$3:AB5785,1),"")</f>
        <v/>
      </c>
      <c r="AD5785" s="117" t="str">
        <f>IFERROR(INDEX($AA$3:$AA$10000,MATCH(ROWS($AC$3:AC5785),$AC$3:$AC$10000,0)),"")</f>
        <v/>
      </c>
    </row>
    <row r="5786" spans="27:30">
      <c r="AA5786" s="117">
        <f>+'Ingredient List - Mother Tinctu'!D5787</f>
        <v>0</v>
      </c>
      <c r="AB5786" s="117">
        <f t="shared" si="93"/>
        <v>0</v>
      </c>
      <c r="AC5786" s="117" t="str">
        <f>IF(AB5786=1,COUNTIF($AB$3:AB5786,1),"")</f>
        <v/>
      </c>
      <c r="AD5786" s="117" t="str">
        <f>IFERROR(INDEX($AA$3:$AA$10000,MATCH(ROWS($AC$3:AC5786),$AC$3:$AC$10000,0)),"")</f>
        <v/>
      </c>
    </row>
    <row r="5787" spans="27:30">
      <c r="AA5787" s="117">
        <f>+'Ingredient List - Mother Tinctu'!D5788</f>
        <v>0</v>
      </c>
      <c r="AB5787" s="117">
        <f t="shared" si="93"/>
        <v>0</v>
      </c>
      <c r="AC5787" s="117" t="str">
        <f>IF(AB5787=1,COUNTIF($AB$3:AB5787,1),"")</f>
        <v/>
      </c>
      <c r="AD5787" s="117" t="str">
        <f>IFERROR(INDEX($AA$3:$AA$10000,MATCH(ROWS($AC$3:AC5787),$AC$3:$AC$10000,0)),"")</f>
        <v/>
      </c>
    </row>
    <row r="5788" spans="27:30">
      <c r="AA5788" s="117">
        <f>+'Ingredient List - Mother Tinctu'!D5789</f>
        <v>0</v>
      </c>
      <c r="AB5788" s="117">
        <f t="shared" si="93"/>
        <v>0</v>
      </c>
      <c r="AC5788" s="117" t="str">
        <f>IF(AB5788=1,COUNTIF($AB$3:AB5788,1),"")</f>
        <v/>
      </c>
      <c r="AD5788" s="117" t="str">
        <f>IFERROR(INDEX($AA$3:$AA$10000,MATCH(ROWS($AC$3:AC5788),$AC$3:$AC$10000,0)),"")</f>
        <v/>
      </c>
    </row>
    <row r="5789" spans="27:30">
      <c r="AA5789" s="117">
        <f>+'Ingredient List - Mother Tinctu'!D5790</f>
        <v>0</v>
      </c>
      <c r="AB5789" s="117">
        <f t="shared" si="93"/>
        <v>0</v>
      </c>
      <c r="AC5789" s="117" t="str">
        <f>IF(AB5789=1,COUNTIF($AB$3:AB5789,1),"")</f>
        <v/>
      </c>
      <c r="AD5789" s="117" t="str">
        <f>IFERROR(INDEX($AA$3:$AA$10000,MATCH(ROWS($AC$3:AC5789),$AC$3:$AC$10000,0)),"")</f>
        <v/>
      </c>
    </row>
    <row r="5790" spans="27:30">
      <c r="AA5790" s="117">
        <f>+'Ingredient List - Mother Tinctu'!D5791</f>
        <v>0</v>
      </c>
      <c r="AB5790" s="117">
        <f t="shared" si="93"/>
        <v>0</v>
      </c>
      <c r="AC5790" s="117" t="str">
        <f>IF(AB5790=1,COUNTIF($AB$3:AB5790,1),"")</f>
        <v/>
      </c>
      <c r="AD5790" s="117" t="str">
        <f>IFERROR(INDEX($AA$3:$AA$10000,MATCH(ROWS($AC$3:AC5790),$AC$3:$AC$10000,0)),"")</f>
        <v/>
      </c>
    </row>
    <row r="5791" spans="27:30">
      <c r="AA5791" s="117">
        <f>+'Ingredient List - Mother Tinctu'!D5792</f>
        <v>0</v>
      </c>
      <c r="AB5791" s="117">
        <f t="shared" si="93"/>
        <v>0</v>
      </c>
      <c r="AC5791" s="117" t="str">
        <f>IF(AB5791=1,COUNTIF($AB$3:AB5791,1),"")</f>
        <v/>
      </c>
      <c r="AD5791" s="117" t="str">
        <f>IFERROR(INDEX($AA$3:$AA$10000,MATCH(ROWS($AC$3:AC5791),$AC$3:$AC$10000,0)),"")</f>
        <v/>
      </c>
    </row>
    <row r="5792" spans="27:30">
      <c r="AA5792" s="117">
        <f>+'Ingredient List - Mother Tinctu'!D5793</f>
        <v>0</v>
      </c>
      <c r="AB5792" s="117">
        <f t="shared" si="93"/>
        <v>0</v>
      </c>
      <c r="AC5792" s="117" t="str">
        <f>IF(AB5792=1,COUNTIF($AB$3:AB5792,1),"")</f>
        <v/>
      </c>
      <c r="AD5792" s="117" t="str">
        <f>IFERROR(INDEX($AA$3:$AA$10000,MATCH(ROWS($AC$3:AC5792),$AC$3:$AC$10000,0)),"")</f>
        <v/>
      </c>
    </row>
    <row r="5793" spans="27:30">
      <c r="AA5793" s="117">
        <f>+'Ingredient List - Mother Tinctu'!D5794</f>
        <v>0</v>
      </c>
      <c r="AB5793" s="117">
        <f t="shared" si="93"/>
        <v>0</v>
      </c>
      <c r="AC5793" s="117" t="str">
        <f>IF(AB5793=1,COUNTIF($AB$3:AB5793,1),"")</f>
        <v/>
      </c>
      <c r="AD5793" s="117" t="str">
        <f>IFERROR(INDEX($AA$3:$AA$10000,MATCH(ROWS($AC$3:AC5793),$AC$3:$AC$10000,0)),"")</f>
        <v/>
      </c>
    </row>
    <row r="5794" spans="27:30">
      <c r="AA5794" s="117">
        <f>+'Ingredient List - Mother Tinctu'!D5795</f>
        <v>0</v>
      </c>
      <c r="AB5794" s="117">
        <f t="shared" si="93"/>
        <v>0</v>
      </c>
      <c r="AC5794" s="117" t="str">
        <f>IF(AB5794=1,COUNTIF($AB$3:AB5794,1),"")</f>
        <v/>
      </c>
      <c r="AD5794" s="117" t="str">
        <f>IFERROR(INDEX($AA$3:$AA$10000,MATCH(ROWS($AC$3:AC5794),$AC$3:$AC$10000,0)),"")</f>
        <v/>
      </c>
    </row>
    <row r="5795" spans="27:30">
      <c r="AA5795" s="117">
        <f>+'Ingredient List - Mother Tinctu'!D5796</f>
        <v>0</v>
      </c>
      <c r="AB5795" s="117">
        <f t="shared" si="93"/>
        <v>0</v>
      </c>
      <c r="AC5795" s="117" t="str">
        <f>IF(AB5795=1,COUNTIF($AB$3:AB5795,1),"")</f>
        <v/>
      </c>
      <c r="AD5795" s="117" t="str">
        <f>IFERROR(INDEX($AA$3:$AA$10000,MATCH(ROWS($AC$3:AC5795),$AC$3:$AC$10000,0)),"")</f>
        <v/>
      </c>
    </row>
    <row r="5796" spans="27:30">
      <c r="AA5796" s="117">
        <f>+'Ingredient List - Mother Tinctu'!D5797</f>
        <v>0</v>
      </c>
      <c r="AB5796" s="117">
        <f t="shared" si="93"/>
        <v>0</v>
      </c>
      <c r="AC5796" s="117" t="str">
        <f>IF(AB5796=1,COUNTIF($AB$3:AB5796,1),"")</f>
        <v/>
      </c>
      <c r="AD5796" s="117" t="str">
        <f>IFERROR(INDEX($AA$3:$AA$10000,MATCH(ROWS($AC$3:AC5796),$AC$3:$AC$10000,0)),"")</f>
        <v/>
      </c>
    </row>
    <row r="5797" spans="27:30">
      <c r="AA5797" s="117">
        <f>+'Ingredient List - Mother Tinctu'!D5798</f>
        <v>0</v>
      </c>
      <c r="AB5797" s="117">
        <f t="shared" si="93"/>
        <v>0</v>
      </c>
      <c r="AC5797" s="117" t="str">
        <f>IF(AB5797=1,COUNTIF($AB$3:AB5797,1),"")</f>
        <v/>
      </c>
      <c r="AD5797" s="117" t="str">
        <f>IFERROR(INDEX($AA$3:$AA$10000,MATCH(ROWS($AC$3:AC5797),$AC$3:$AC$10000,0)),"")</f>
        <v/>
      </c>
    </row>
    <row r="5798" spans="27:30">
      <c r="AA5798" s="117">
        <f>+'Ingredient List - Mother Tinctu'!D5799</f>
        <v>0</v>
      </c>
      <c r="AB5798" s="117">
        <f t="shared" si="93"/>
        <v>0</v>
      </c>
      <c r="AC5798" s="117" t="str">
        <f>IF(AB5798=1,COUNTIF($AB$3:AB5798,1),"")</f>
        <v/>
      </c>
      <c r="AD5798" s="117" t="str">
        <f>IFERROR(INDEX($AA$3:$AA$10000,MATCH(ROWS($AC$3:AC5798),$AC$3:$AC$10000,0)),"")</f>
        <v/>
      </c>
    </row>
    <row r="5799" spans="27:30">
      <c r="AA5799" s="117">
        <f>+'Ingredient List - Mother Tinctu'!D5800</f>
        <v>0</v>
      </c>
      <c r="AB5799" s="117">
        <f t="shared" si="93"/>
        <v>0</v>
      </c>
      <c r="AC5799" s="117" t="str">
        <f>IF(AB5799=1,COUNTIF($AB$3:AB5799,1),"")</f>
        <v/>
      </c>
      <c r="AD5799" s="117" t="str">
        <f>IFERROR(INDEX($AA$3:$AA$10000,MATCH(ROWS($AC$3:AC5799),$AC$3:$AC$10000,0)),"")</f>
        <v/>
      </c>
    </row>
    <row r="5800" spans="27:30">
      <c r="AA5800" s="117">
        <f>+'Ingredient List - Mother Tinctu'!D5801</f>
        <v>0</v>
      </c>
      <c r="AB5800" s="117">
        <f t="shared" si="93"/>
        <v>0</v>
      </c>
      <c r="AC5800" s="117" t="str">
        <f>IF(AB5800=1,COUNTIF($AB$3:AB5800,1),"")</f>
        <v/>
      </c>
      <c r="AD5800" s="117" t="str">
        <f>IFERROR(INDEX($AA$3:$AA$10000,MATCH(ROWS($AC$3:AC5800),$AC$3:$AC$10000,0)),"")</f>
        <v/>
      </c>
    </row>
    <row r="5801" spans="27:30">
      <c r="AA5801" s="117">
        <f>+'Ingredient List - Mother Tinctu'!D5802</f>
        <v>0</v>
      </c>
      <c r="AB5801" s="117">
        <f t="shared" si="93"/>
        <v>0</v>
      </c>
      <c r="AC5801" s="117" t="str">
        <f>IF(AB5801=1,COUNTIF($AB$3:AB5801,1),"")</f>
        <v/>
      </c>
      <c r="AD5801" s="117" t="str">
        <f>IFERROR(INDEX($AA$3:$AA$10000,MATCH(ROWS($AC$3:AC5801),$AC$3:$AC$10000,0)),"")</f>
        <v/>
      </c>
    </row>
    <row r="5802" spans="27:30">
      <c r="AA5802" s="117">
        <f>+'Ingredient List - Mother Tinctu'!D5803</f>
        <v>0</v>
      </c>
      <c r="AB5802" s="117">
        <f t="shared" si="93"/>
        <v>0</v>
      </c>
      <c r="AC5802" s="117" t="str">
        <f>IF(AB5802=1,COUNTIF($AB$3:AB5802,1),"")</f>
        <v/>
      </c>
      <c r="AD5802" s="117" t="str">
        <f>IFERROR(INDEX($AA$3:$AA$10000,MATCH(ROWS($AC$3:AC5802),$AC$3:$AC$10000,0)),"")</f>
        <v/>
      </c>
    </row>
    <row r="5803" spans="27:30">
      <c r="AA5803" s="117">
        <f>+'Ingredient List - Mother Tinctu'!D5804</f>
        <v>0</v>
      </c>
      <c r="AB5803" s="117">
        <f t="shared" si="93"/>
        <v>0</v>
      </c>
      <c r="AC5803" s="117" t="str">
        <f>IF(AB5803=1,COUNTIF($AB$3:AB5803,1),"")</f>
        <v/>
      </c>
      <c r="AD5803" s="117" t="str">
        <f>IFERROR(INDEX($AA$3:$AA$10000,MATCH(ROWS($AC$3:AC5803),$AC$3:$AC$10000,0)),"")</f>
        <v/>
      </c>
    </row>
    <row r="5804" spans="27:30">
      <c r="AA5804" s="117">
        <f>+'Ingredient List - Mother Tinctu'!D5805</f>
        <v>0</v>
      </c>
      <c r="AB5804" s="117">
        <f t="shared" si="93"/>
        <v>0</v>
      </c>
      <c r="AC5804" s="117" t="str">
        <f>IF(AB5804=1,COUNTIF($AB$3:AB5804,1),"")</f>
        <v/>
      </c>
      <c r="AD5804" s="117" t="str">
        <f>IFERROR(INDEX($AA$3:$AA$10000,MATCH(ROWS($AC$3:AC5804),$AC$3:$AC$10000,0)),"")</f>
        <v/>
      </c>
    </row>
    <row r="5805" spans="27:30">
      <c r="AA5805" s="117">
        <f>+'Ingredient List - Mother Tinctu'!D5806</f>
        <v>0</v>
      </c>
      <c r="AB5805" s="117">
        <f t="shared" si="93"/>
        <v>0</v>
      </c>
      <c r="AC5805" s="117" t="str">
        <f>IF(AB5805=1,COUNTIF($AB$3:AB5805,1),"")</f>
        <v/>
      </c>
      <c r="AD5805" s="117" t="str">
        <f>IFERROR(INDEX($AA$3:$AA$10000,MATCH(ROWS($AC$3:AC5805),$AC$3:$AC$10000,0)),"")</f>
        <v/>
      </c>
    </row>
    <row r="5806" spans="27:30">
      <c r="AA5806" s="117">
        <f>+'Ingredient List - Mother Tinctu'!D5807</f>
        <v>0</v>
      </c>
      <c r="AB5806" s="117">
        <f t="shared" si="93"/>
        <v>0</v>
      </c>
      <c r="AC5806" s="117" t="str">
        <f>IF(AB5806=1,COUNTIF($AB$3:AB5806,1),"")</f>
        <v/>
      </c>
      <c r="AD5806" s="117" t="str">
        <f>IFERROR(INDEX($AA$3:$AA$10000,MATCH(ROWS($AC$3:AC5806),$AC$3:$AC$10000,0)),"")</f>
        <v/>
      </c>
    </row>
    <row r="5807" spans="27:30">
      <c r="AA5807" s="117">
        <f>+'Ingredient List - Mother Tinctu'!D5808</f>
        <v>0</v>
      </c>
      <c r="AB5807" s="117">
        <f t="shared" si="93"/>
        <v>0</v>
      </c>
      <c r="AC5807" s="117" t="str">
        <f>IF(AB5807=1,COUNTIF($AB$3:AB5807,1),"")</f>
        <v/>
      </c>
      <c r="AD5807" s="117" t="str">
        <f>IFERROR(INDEX($AA$3:$AA$10000,MATCH(ROWS($AC$3:AC5807),$AC$3:$AC$10000,0)),"")</f>
        <v/>
      </c>
    </row>
    <row r="5808" spans="27:30">
      <c r="AA5808" s="117">
        <f>+'Ingredient List - Mother Tinctu'!D5809</f>
        <v>0</v>
      </c>
      <c r="AB5808" s="117">
        <f t="shared" si="93"/>
        <v>0</v>
      </c>
      <c r="AC5808" s="117" t="str">
        <f>IF(AB5808=1,COUNTIF($AB$3:AB5808,1),"")</f>
        <v/>
      </c>
      <c r="AD5808" s="117" t="str">
        <f>IFERROR(INDEX($AA$3:$AA$10000,MATCH(ROWS($AC$3:AC5808),$AC$3:$AC$10000,0)),"")</f>
        <v/>
      </c>
    </row>
    <row r="5809" spans="27:30">
      <c r="AA5809" s="117">
        <f>+'Ingredient List - Mother Tinctu'!D5810</f>
        <v>0</v>
      </c>
      <c r="AB5809" s="117">
        <f t="shared" si="93"/>
        <v>0</v>
      </c>
      <c r="AC5809" s="117" t="str">
        <f>IF(AB5809=1,COUNTIF($AB$3:AB5809,1),"")</f>
        <v/>
      </c>
      <c r="AD5809" s="117" t="str">
        <f>IFERROR(INDEX($AA$3:$AA$10000,MATCH(ROWS($AC$3:AC5809),$AC$3:$AC$10000,0)),"")</f>
        <v/>
      </c>
    </row>
    <row r="5810" spans="27:30">
      <c r="AA5810" s="117">
        <f>+'Ingredient List - Mother Tinctu'!D5811</f>
        <v>0</v>
      </c>
      <c r="AB5810" s="117">
        <f t="shared" si="93"/>
        <v>0</v>
      </c>
      <c r="AC5810" s="117" t="str">
        <f>IF(AB5810=1,COUNTIF($AB$3:AB5810,1),"")</f>
        <v/>
      </c>
      <c r="AD5810" s="117" t="str">
        <f>IFERROR(INDEX($AA$3:$AA$10000,MATCH(ROWS($AC$3:AC5810),$AC$3:$AC$10000,0)),"")</f>
        <v/>
      </c>
    </row>
    <row r="5811" spans="27:30">
      <c r="AA5811" s="117">
        <f>+'Ingredient List - Mother Tinctu'!D5812</f>
        <v>0</v>
      </c>
      <c r="AB5811" s="117">
        <f t="shared" si="93"/>
        <v>0</v>
      </c>
      <c r="AC5811" s="117" t="str">
        <f>IF(AB5811=1,COUNTIF($AB$3:AB5811,1),"")</f>
        <v/>
      </c>
      <c r="AD5811" s="117" t="str">
        <f>IFERROR(INDEX($AA$3:$AA$10000,MATCH(ROWS($AC$3:AC5811),$AC$3:$AC$10000,0)),"")</f>
        <v/>
      </c>
    </row>
    <row r="5812" spans="27:30">
      <c r="AA5812" s="117">
        <f>+'Ingredient List - Mother Tinctu'!D5813</f>
        <v>0</v>
      </c>
      <c r="AB5812" s="117">
        <f t="shared" si="93"/>
        <v>0</v>
      </c>
      <c r="AC5812" s="117" t="str">
        <f>IF(AB5812=1,COUNTIF($AB$3:AB5812,1),"")</f>
        <v/>
      </c>
      <c r="AD5812" s="117" t="str">
        <f>IFERROR(INDEX($AA$3:$AA$10000,MATCH(ROWS($AC$3:AC5812),$AC$3:$AC$10000,0)),"")</f>
        <v/>
      </c>
    </row>
    <row r="5813" spans="27:30">
      <c r="AA5813" s="117">
        <f>+'Ingredient List - Mother Tinctu'!D5814</f>
        <v>0</v>
      </c>
      <c r="AB5813" s="117">
        <f t="shared" si="93"/>
        <v>0</v>
      </c>
      <c r="AC5813" s="117" t="str">
        <f>IF(AB5813=1,COUNTIF($AB$3:AB5813,1),"")</f>
        <v/>
      </c>
      <c r="AD5813" s="117" t="str">
        <f>IFERROR(INDEX($AA$3:$AA$10000,MATCH(ROWS($AC$3:AC5813),$AC$3:$AC$10000,0)),"")</f>
        <v/>
      </c>
    </row>
    <row r="5814" spans="27:30">
      <c r="AA5814" s="117">
        <f>+'Ingredient List - Mother Tinctu'!D5815</f>
        <v>0</v>
      </c>
      <c r="AB5814" s="117">
        <f t="shared" si="93"/>
        <v>0</v>
      </c>
      <c r="AC5814" s="117" t="str">
        <f>IF(AB5814=1,COUNTIF($AB$3:AB5814,1),"")</f>
        <v/>
      </c>
      <c r="AD5814" s="117" t="str">
        <f>IFERROR(INDEX($AA$3:$AA$10000,MATCH(ROWS($AC$3:AC5814),$AC$3:$AC$10000,0)),"")</f>
        <v/>
      </c>
    </row>
    <row r="5815" spans="27:30">
      <c r="AA5815" s="117">
        <f>+'Ingredient List - Mother Tinctu'!D5816</f>
        <v>0</v>
      </c>
      <c r="AB5815" s="117">
        <f t="shared" si="93"/>
        <v>0</v>
      </c>
      <c r="AC5815" s="117" t="str">
        <f>IF(AB5815=1,COUNTIF($AB$3:AB5815,1),"")</f>
        <v/>
      </c>
      <c r="AD5815" s="117" t="str">
        <f>IFERROR(INDEX($AA$3:$AA$10000,MATCH(ROWS($AC$3:AC5815),$AC$3:$AC$10000,0)),"")</f>
        <v/>
      </c>
    </row>
    <row r="5816" spans="27:30">
      <c r="AA5816" s="117">
        <f>+'Ingredient List - Mother Tinctu'!D5817</f>
        <v>0</v>
      </c>
      <c r="AB5816" s="117">
        <f t="shared" si="93"/>
        <v>0</v>
      </c>
      <c r="AC5816" s="117" t="str">
        <f>IF(AB5816=1,COUNTIF($AB$3:AB5816,1),"")</f>
        <v/>
      </c>
      <c r="AD5816" s="117" t="str">
        <f>IFERROR(INDEX($AA$3:$AA$10000,MATCH(ROWS($AC$3:AC5816),$AC$3:$AC$10000,0)),"")</f>
        <v/>
      </c>
    </row>
    <row r="5817" spans="27:30">
      <c r="AA5817" s="117">
        <f>+'Ingredient List - Mother Tinctu'!D5818</f>
        <v>0</v>
      </c>
      <c r="AB5817" s="117">
        <f t="shared" si="93"/>
        <v>0</v>
      </c>
      <c r="AC5817" s="117" t="str">
        <f>IF(AB5817=1,COUNTIF($AB$3:AB5817,1),"")</f>
        <v/>
      </c>
      <c r="AD5817" s="117" t="str">
        <f>IFERROR(INDEX($AA$3:$AA$10000,MATCH(ROWS($AC$3:AC5817),$AC$3:$AC$10000,0)),"")</f>
        <v/>
      </c>
    </row>
    <row r="5818" spans="27:30">
      <c r="AA5818" s="117">
        <f>+'Ingredient List - Mother Tinctu'!D5819</f>
        <v>0</v>
      </c>
      <c r="AB5818" s="117">
        <f t="shared" si="93"/>
        <v>0</v>
      </c>
      <c r="AC5818" s="117" t="str">
        <f>IF(AB5818=1,COUNTIF($AB$3:AB5818,1),"")</f>
        <v/>
      </c>
      <c r="AD5818" s="117" t="str">
        <f>IFERROR(INDEX($AA$3:$AA$10000,MATCH(ROWS($AC$3:AC5818),$AC$3:$AC$10000,0)),"")</f>
        <v/>
      </c>
    </row>
    <row r="5819" spans="27:30">
      <c r="AA5819" s="117">
        <f>+'Ingredient List - Mother Tinctu'!D5820</f>
        <v>0</v>
      </c>
      <c r="AB5819" s="117">
        <f t="shared" si="93"/>
        <v>0</v>
      </c>
      <c r="AC5819" s="117" t="str">
        <f>IF(AB5819=1,COUNTIF($AB$3:AB5819,1),"")</f>
        <v/>
      </c>
      <c r="AD5819" s="117" t="str">
        <f>IFERROR(INDEX($AA$3:$AA$10000,MATCH(ROWS($AC$3:AC5819),$AC$3:$AC$10000,0)),"")</f>
        <v/>
      </c>
    </row>
    <row r="5820" spans="27:30">
      <c r="AA5820" s="117">
        <f>+'Ingredient List - Mother Tinctu'!D5821</f>
        <v>0</v>
      </c>
      <c r="AB5820" s="117">
        <f t="shared" si="93"/>
        <v>0</v>
      </c>
      <c r="AC5820" s="117" t="str">
        <f>IF(AB5820=1,COUNTIF($AB$3:AB5820,1),"")</f>
        <v/>
      </c>
      <c r="AD5820" s="117" t="str">
        <f>IFERROR(INDEX($AA$3:$AA$10000,MATCH(ROWS($AC$3:AC5820),$AC$3:$AC$10000,0)),"")</f>
        <v/>
      </c>
    </row>
    <row r="5821" spans="27:30">
      <c r="AA5821" s="117">
        <f>+'Ingredient List - Mother Tinctu'!D5822</f>
        <v>0</v>
      </c>
      <c r="AB5821" s="117">
        <f t="shared" si="93"/>
        <v>0</v>
      </c>
      <c r="AC5821" s="117" t="str">
        <f>IF(AB5821=1,COUNTIF($AB$3:AB5821,1),"")</f>
        <v/>
      </c>
      <c r="AD5821" s="117" t="str">
        <f>IFERROR(INDEX($AA$3:$AA$10000,MATCH(ROWS($AC$3:AC5821),$AC$3:$AC$10000,0)),"")</f>
        <v/>
      </c>
    </row>
    <row r="5822" spans="27:30">
      <c r="AA5822" s="117">
        <f>+'Ingredient List - Mother Tinctu'!D5823</f>
        <v>0</v>
      </c>
      <c r="AB5822" s="117">
        <f t="shared" si="93"/>
        <v>0</v>
      </c>
      <c r="AC5822" s="117" t="str">
        <f>IF(AB5822=1,COUNTIF($AB$3:AB5822,1),"")</f>
        <v/>
      </c>
      <c r="AD5822" s="117" t="str">
        <f>IFERROR(INDEX($AA$3:$AA$10000,MATCH(ROWS($AC$3:AC5822),$AC$3:$AC$10000,0)),"")</f>
        <v/>
      </c>
    </row>
    <row r="5823" spans="27:30">
      <c r="AA5823" s="117">
        <f>+'Ingredient List - Mother Tinctu'!D5824</f>
        <v>0</v>
      </c>
      <c r="AB5823" s="117">
        <f t="shared" si="93"/>
        <v>0</v>
      </c>
      <c r="AC5823" s="117" t="str">
        <f>IF(AB5823=1,COUNTIF($AB$3:AB5823,1),"")</f>
        <v/>
      </c>
      <c r="AD5823" s="117" t="str">
        <f>IFERROR(INDEX($AA$3:$AA$10000,MATCH(ROWS($AC$3:AC5823),$AC$3:$AC$10000,0)),"")</f>
        <v/>
      </c>
    </row>
    <row r="5824" spans="27:30">
      <c r="AA5824" s="117">
        <f>+'Ingredient List - Mother Tinctu'!D5825</f>
        <v>0</v>
      </c>
      <c r="AB5824" s="117">
        <f t="shared" si="93"/>
        <v>0</v>
      </c>
      <c r="AC5824" s="117" t="str">
        <f>IF(AB5824=1,COUNTIF($AB$3:AB5824,1),"")</f>
        <v/>
      </c>
      <c r="AD5824" s="117" t="str">
        <f>IFERROR(INDEX($AA$3:$AA$10000,MATCH(ROWS($AC$3:AC5824),$AC$3:$AC$10000,0)),"")</f>
        <v/>
      </c>
    </row>
    <row r="5825" spans="27:30">
      <c r="AA5825" s="117">
        <f>+'Ingredient List - Mother Tinctu'!D5826</f>
        <v>0</v>
      </c>
      <c r="AB5825" s="117">
        <f t="shared" si="93"/>
        <v>0</v>
      </c>
      <c r="AC5825" s="117" t="str">
        <f>IF(AB5825=1,COUNTIF($AB$3:AB5825,1),"")</f>
        <v/>
      </c>
      <c r="AD5825" s="117" t="str">
        <f>IFERROR(INDEX($AA$3:$AA$10000,MATCH(ROWS($AC$3:AC5825),$AC$3:$AC$10000,0)),"")</f>
        <v/>
      </c>
    </row>
    <row r="5826" spans="27:30">
      <c r="AA5826" s="117">
        <f>+'Ingredient List - Mother Tinctu'!D5827</f>
        <v>0</v>
      </c>
      <c r="AB5826" s="117">
        <f t="shared" si="93"/>
        <v>0</v>
      </c>
      <c r="AC5826" s="117" t="str">
        <f>IF(AB5826=1,COUNTIF($AB$3:AB5826,1),"")</f>
        <v/>
      </c>
      <c r="AD5826" s="117" t="str">
        <f>IFERROR(INDEX($AA$3:$AA$10000,MATCH(ROWS($AC$3:AC5826),$AC$3:$AC$10000,0)),"")</f>
        <v/>
      </c>
    </row>
    <row r="5827" spans="27:30">
      <c r="AA5827" s="117">
        <f>+'Ingredient List - Mother Tinctu'!D5828</f>
        <v>0</v>
      </c>
      <c r="AB5827" s="117">
        <f t="shared" si="93"/>
        <v>0</v>
      </c>
      <c r="AC5827" s="117" t="str">
        <f>IF(AB5827=1,COUNTIF($AB$3:AB5827,1),"")</f>
        <v/>
      </c>
      <c r="AD5827" s="117" t="str">
        <f>IFERROR(INDEX($AA$3:$AA$10000,MATCH(ROWS($AC$3:AC5827),$AC$3:$AC$10000,0)),"")</f>
        <v/>
      </c>
    </row>
    <row r="5828" spans="27:30">
      <c r="AA5828" s="117">
        <f>+'Ingredient List - Mother Tinctu'!D5829</f>
        <v>0</v>
      </c>
      <c r="AB5828" s="117">
        <f t="shared" ref="AB5828:AB5891" si="94">--ISNUMBER(IFERROR(SEARCH($D$3,AA5828,1),""))</f>
        <v>0</v>
      </c>
      <c r="AC5828" s="117" t="str">
        <f>IF(AB5828=1,COUNTIF($AB$3:AB5828,1),"")</f>
        <v/>
      </c>
      <c r="AD5828" s="117" t="str">
        <f>IFERROR(INDEX($AA$3:$AA$10000,MATCH(ROWS($AC$3:AC5828),$AC$3:$AC$10000,0)),"")</f>
        <v/>
      </c>
    </row>
    <row r="5829" spans="27:30">
      <c r="AA5829" s="117">
        <f>+'Ingredient List - Mother Tinctu'!D5830</f>
        <v>0</v>
      </c>
      <c r="AB5829" s="117">
        <f t="shared" si="94"/>
        <v>0</v>
      </c>
      <c r="AC5829" s="117" t="str">
        <f>IF(AB5829=1,COUNTIF($AB$3:AB5829,1),"")</f>
        <v/>
      </c>
      <c r="AD5829" s="117" t="str">
        <f>IFERROR(INDEX($AA$3:$AA$10000,MATCH(ROWS($AC$3:AC5829),$AC$3:$AC$10000,0)),"")</f>
        <v/>
      </c>
    </row>
    <row r="5830" spans="27:30">
      <c r="AA5830" s="117">
        <f>+'Ingredient List - Mother Tinctu'!D5831</f>
        <v>0</v>
      </c>
      <c r="AB5830" s="117">
        <f t="shared" si="94"/>
        <v>0</v>
      </c>
      <c r="AC5830" s="117" t="str">
        <f>IF(AB5830=1,COUNTIF($AB$3:AB5830,1),"")</f>
        <v/>
      </c>
      <c r="AD5830" s="117" t="str">
        <f>IFERROR(INDEX($AA$3:$AA$10000,MATCH(ROWS($AC$3:AC5830),$AC$3:$AC$10000,0)),"")</f>
        <v/>
      </c>
    </row>
    <row r="5831" spans="27:30">
      <c r="AA5831" s="117">
        <f>+'Ingredient List - Mother Tinctu'!D5832</f>
        <v>0</v>
      </c>
      <c r="AB5831" s="117">
        <f t="shared" si="94"/>
        <v>0</v>
      </c>
      <c r="AC5831" s="117" t="str">
        <f>IF(AB5831=1,COUNTIF($AB$3:AB5831,1),"")</f>
        <v/>
      </c>
      <c r="AD5831" s="117" t="str">
        <f>IFERROR(INDEX($AA$3:$AA$10000,MATCH(ROWS($AC$3:AC5831),$AC$3:$AC$10000,0)),"")</f>
        <v/>
      </c>
    </row>
    <row r="5832" spans="27:30">
      <c r="AA5832" s="117">
        <f>+'Ingredient List - Mother Tinctu'!D5833</f>
        <v>0</v>
      </c>
      <c r="AB5832" s="117">
        <f t="shared" si="94"/>
        <v>0</v>
      </c>
      <c r="AC5832" s="117" t="str">
        <f>IF(AB5832=1,COUNTIF($AB$3:AB5832,1),"")</f>
        <v/>
      </c>
      <c r="AD5832" s="117" t="str">
        <f>IFERROR(INDEX($AA$3:$AA$10000,MATCH(ROWS($AC$3:AC5832),$AC$3:$AC$10000,0)),"")</f>
        <v/>
      </c>
    </row>
    <row r="5833" spans="27:30">
      <c r="AA5833" s="117">
        <f>+'Ingredient List - Mother Tinctu'!D5834</f>
        <v>0</v>
      </c>
      <c r="AB5833" s="117">
        <f t="shared" si="94"/>
        <v>0</v>
      </c>
      <c r="AC5833" s="117" t="str">
        <f>IF(AB5833=1,COUNTIF($AB$3:AB5833,1),"")</f>
        <v/>
      </c>
      <c r="AD5833" s="117" t="str">
        <f>IFERROR(INDEX($AA$3:$AA$10000,MATCH(ROWS($AC$3:AC5833),$AC$3:$AC$10000,0)),"")</f>
        <v/>
      </c>
    </row>
    <row r="5834" spans="27:30">
      <c r="AA5834" s="117">
        <f>+'Ingredient List - Mother Tinctu'!D5835</f>
        <v>0</v>
      </c>
      <c r="AB5834" s="117">
        <f t="shared" si="94"/>
        <v>0</v>
      </c>
      <c r="AC5834" s="117" t="str">
        <f>IF(AB5834=1,COUNTIF($AB$3:AB5834,1),"")</f>
        <v/>
      </c>
      <c r="AD5834" s="117" t="str">
        <f>IFERROR(INDEX($AA$3:$AA$10000,MATCH(ROWS($AC$3:AC5834),$AC$3:$AC$10000,0)),"")</f>
        <v/>
      </c>
    </row>
    <row r="5835" spans="27:30">
      <c r="AA5835" s="117">
        <f>+'Ingredient List - Mother Tinctu'!D5836</f>
        <v>0</v>
      </c>
      <c r="AB5835" s="117">
        <f t="shared" si="94"/>
        <v>0</v>
      </c>
      <c r="AC5835" s="117" t="str">
        <f>IF(AB5835=1,COUNTIF($AB$3:AB5835,1),"")</f>
        <v/>
      </c>
      <c r="AD5835" s="117" t="str">
        <f>IFERROR(INDEX($AA$3:$AA$10000,MATCH(ROWS($AC$3:AC5835),$AC$3:$AC$10000,0)),"")</f>
        <v/>
      </c>
    </row>
    <row r="5836" spans="27:30">
      <c r="AA5836" s="117">
        <f>+'Ingredient List - Mother Tinctu'!D5837</f>
        <v>0</v>
      </c>
      <c r="AB5836" s="117">
        <f t="shared" si="94"/>
        <v>0</v>
      </c>
      <c r="AC5836" s="117" t="str">
        <f>IF(AB5836=1,COUNTIF($AB$3:AB5836,1),"")</f>
        <v/>
      </c>
      <c r="AD5836" s="117" t="str">
        <f>IFERROR(INDEX($AA$3:$AA$10000,MATCH(ROWS($AC$3:AC5836),$AC$3:$AC$10000,0)),"")</f>
        <v/>
      </c>
    </row>
    <row r="5837" spans="27:30">
      <c r="AA5837" s="117">
        <f>+'Ingredient List - Mother Tinctu'!D5838</f>
        <v>0</v>
      </c>
      <c r="AB5837" s="117">
        <f t="shared" si="94"/>
        <v>0</v>
      </c>
      <c r="AC5837" s="117" t="str">
        <f>IF(AB5837=1,COUNTIF($AB$3:AB5837,1),"")</f>
        <v/>
      </c>
      <c r="AD5837" s="117" t="str">
        <f>IFERROR(INDEX($AA$3:$AA$10000,MATCH(ROWS($AC$3:AC5837),$AC$3:$AC$10000,0)),"")</f>
        <v/>
      </c>
    </row>
    <row r="5838" spans="27:30">
      <c r="AA5838" s="117">
        <f>+'Ingredient List - Mother Tinctu'!D5839</f>
        <v>0</v>
      </c>
      <c r="AB5838" s="117">
        <f t="shared" si="94"/>
        <v>0</v>
      </c>
      <c r="AC5838" s="117" t="str">
        <f>IF(AB5838=1,COUNTIF($AB$3:AB5838,1),"")</f>
        <v/>
      </c>
      <c r="AD5838" s="117" t="str">
        <f>IFERROR(INDEX($AA$3:$AA$10000,MATCH(ROWS($AC$3:AC5838),$AC$3:$AC$10000,0)),"")</f>
        <v/>
      </c>
    </row>
    <row r="5839" spans="27:30">
      <c r="AA5839" s="117">
        <f>+'Ingredient List - Mother Tinctu'!D5840</f>
        <v>0</v>
      </c>
      <c r="AB5839" s="117">
        <f t="shared" si="94"/>
        <v>0</v>
      </c>
      <c r="AC5839" s="117" t="str">
        <f>IF(AB5839=1,COUNTIF($AB$3:AB5839,1),"")</f>
        <v/>
      </c>
      <c r="AD5839" s="117" t="str">
        <f>IFERROR(INDEX($AA$3:$AA$10000,MATCH(ROWS($AC$3:AC5839),$AC$3:$AC$10000,0)),"")</f>
        <v/>
      </c>
    </row>
    <row r="5840" spans="27:30">
      <c r="AA5840" s="117">
        <f>+'Ingredient List - Mother Tinctu'!D5841</f>
        <v>0</v>
      </c>
      <c r="AB5840" s="117">
        <f t="shared" si="94"/>
        <v>0</v>
      </c>
      <c r="AC5840" s="117" t="str">
        <f>IF(AB5840=1,COUNTIF($AB$3:AB5840,1),"")</f>
        <v/>
      </c>
      <c r="AD5840" s="117" t="str">
        <f>IFERROR(INDEX($AA$3:$AA$10000,MATCH(ROWS($AC$3:AC5840),$AC$3:$AC$10000,0)),"")</f>
        <v/>
      </c>
    </row>
    <row r="5841" spans="27:30">
      <c r="AA5841" s="117">
        <f>+'Ingredient List - Mother Tinctu'!D5842</f>
        <v>0</v>
      </c>
      <c r="AB5841" s="117">
        <f t="shared" si="94"/>
        <v>0</v>
      </c>
      <c r="AC5841" s="117" t="str">
        <f>IF(AB5841=1,COUNTIF($AB$3:AB5841,1),"")</f>
        <v/>
      </c>
      <c r="AD5841" s="117" t="str">
        <f>IFERROR(INDEX($AA$3:$AA$10000,MATCH(ROWS($AC$3:AC5841),$AC$3:$AC$10000,0)),"")</f>
        <v/>
      </c>
    </row>
    <row r="5842" spans="27:30">
      <c r="AA5842" s="117">
        <f>+'Ingredient List - Mother Tinctu'!D5843</f>
        <v>0</v>
      </c>
      <c r="AB5842" s="117">
        <f t="shared" si="94"/>
        <v>0</v>
      </c>
      <c r="AC5842" s="117" t="str">
        <f>IF(AB5842=1,COUNTIF($AB$3:AB5842,1),"")</f>
        <v/>
      </c>
      <c r="AD5842" s="117" t="str">
        <f>IFERROR(INDEX($AA$3:$AA$10000,MATCH(ROWS($AC$3:AC5842),$AC$3:$AC$10000,0)),"")</f>
        <v/>
      </c>
    </row>
    <row r="5843" spans="27:30">
      <c r="AA5843" s="117">
        <f>+'Ingredient List - Mother Tinctu'!D5844</f>
        <v>0</v>
      </c>
      <c r="AB5843" s="117">
        <f t="shared" si="94"/>
        <v>0</v>
      </c>
      <c r="AC5843" s="117" t="str">
        <f>IF(AB5843=1,COUNTIF($AB$3:AB5843,1),"")</f>
        <v/>
      </c>
      <c r="AD5843" s="117" t="str">
        <f>IFERROR(INDEX($AA$3:$AA$10000,MATCH(ROWS($AC$3:AC5843),$AC$3:$AC$10000,0)),"")</f>
        <v/>
      </c>
    </row>
    <row r="5844" spans="27:30">
      <c r="AA5844" s="117">
        <f>+'Ingredient List - Mother Tinctu'!D5845</f>
        <v>0</v>
      </c>
      <c r="AB5844" s="117">
        <f t="shared" si="94"/>
        <v>0</v>
      </c>
      <c r="AC5844" s="117" t="str">
        <f>IF(AB5844=1,COUNTIF($AB$3:AB5844,1),"")</f>
        <v/>
      </c>
      <c r="AD5844" s="117" t="str">
        <f>IFERROR(INDEX($AA$3:$AA$10000,MATCH(ROWS($AC$3:AC5844),$AC$3:$AC$10000,0)),"")</f>
        <v/>
      </c>
    </row>
    <row r="5845" spans="27:30">
      <c r="AA5845" s="117">
        <f>+'Ingredient List - Mother Tinctu'!D5846</f>
        <v>0</v>
      </c>
      <c r="AB5845" s="117">
        <f t="shared" si="94"/>
        <v>0</v>
      </c>
      <c r="AC5845" s="117" t="str">
        <f>IF(AB5845=1,COUNTIF($AB$3:AB5845,1),"")</f>
        <v/>
      </c>
      <c r="AD5845" s="117" t="str">
        <f>IFERROR(INDEX($AA$3:$AA$10000,MATCH(ROWS($AC$3:AC5845),$AC$3:$AC$10000,0)),"")</f>
        <v/>
      </c>
    </row>
    <row r="5846" spans="27:30">
      <c r="AA5846" s="117">
        <f>+'Ingredient List - Mother Tinctu'!D5847</f>
        <v>0</v>
      </c>
      <c r="AB5846" s="117">
        <f t="shared" si="94"/>
        <v>0</v>
      </c>
      <c r="AC5846" s="117" t="str">
        <f>IF(AB5846=1,COUNTIF($AB$3:AB5846,1),"")</f>
        <v/>
      </c>
      <c r="AD5846" s="117" t="str">
        <f>IFERROR(INDEX($AA$3:$AA$10000,MATCH(ROWS($AC$3:AC5846),$AC$3:$AC$10000,0)),"")</f>
        <v/>
      </c>
    </row>
    <row r="5847" spans="27:30">
      <c r="AA5847" s="117">
        <f>+'Ingredient List - Mother Tinctu'!D5848</f>
        <v>0</v>
      </c>
      <c r="AB5847" s="117">
        <f t="shared" si="94"/>
        <v>0</v>
      </c>
      <c r="AC5847" s="117" t="str">
        <f>IF(AB5847=1,COUNTIF($AB$3:AB5847,1),"")</f>
        <v/>
      </c>
      <c r="AD5847" s="117" t="str">
        <f>IFERROR(INDEX($AA$3:$AA$10000,MATCH(ROWS($AC$3:AC5847),$AC$3:$AC$10000,0)),"")</f>
        <v/>
      </c>
    </row>
    <row r="5848" spans="27:30">
      <c r="AA5848" s="117">
        <f>+'Ingredient List - Mother Tinctu'!D5849</f>
        <v>0</v>
      </c>
      <c r="AB5848" s="117">
        <f t="shared" si="94"/>
        <v>0</v>
      </c>
      <c r="AC5848" s="117" t="str">
        <f>IF(AB5848=1,COUNTIF($AB$3:AB5848,1),"")</f>
        <v/>
      </c>
      <c r="AD5848" s="117" t="str">
        <f>IFERROR(INDEX($AA$3:$AA$10000,MATCH(ROWS($AC$3:AC5848),$AC$3:$AC$10000,0)),"")</f>
        <v/>
      </c>
    </row>
    <row r="5849" spans="27:30">
      <c r="AA5849" s="117">
        <f>+'Ingredient List - Mother Tinctu'!D5850</f>
        <v>0</v>
      </c>
      <c r="AB5849" s="117">
        <f t="shared" si="94"/>
        <v>0</v>
      </c>
      <c r="AC5849" s="117" t="str">
        <f>IF(AB5849=1,COUNTIF($AB$3:AB5849,1),"")</f>
        <v/>
      </c>
      <c r="AD5849" s="117" t="str">
        <f>IFERROR(INDEX($AA$3:$AA$10000,MATCH(ROWS($AC$3:AC5849),$AC$3:$AC$10000,0)),"")</f>
        <v/>
      </c>
    </row>
    <row r="5850" spans="27:30">
      <c r="AA5850" s="117">
        <f>+'Ingredient List - Mother Tinctu'!D5851</f>
        <v>0</v>
      </c>
      <c r="AB5850" s="117">
        <f t="shared" si="94"/>
        <v>0</v>
      </c>
      <c r="AC5850" s="117" t="str">
        <f>IF(AB5850=1,COUNTIF($AB$3:AB5850,1),"")</f>
        <v/>
      </c>
      <c r="AD5850" s="117" t="str">
        <f>IFERROR(INDEX($AA$3:$AA$10000,MATCH(ROWS($AC$3:AC5850),$AC$3:$AC$10000,0)),"")</f>
        <v/>
      </c>
    </row>
    <row r="5851" spans="27:30">
      <c r="AA5851" s="117">
        <f>+'Ingredient List - Mother Tinctu'!D5852</f>
        <v>0</v>
      </c>
      <c r="AB5851" s="117">
        <f t="shared" si="94"/>
        <v>0</v>
      </c>
      <c r="AC5851" s="117" t="str">
        <f>IF(AB5851=1,COUNTIF($AB$3:AB5851,1),"")</f>
        <v/>
      </c>
      <c r="AD5851" s="117" t="str">
        <f>IFERROR(INDEX($AA$3:$AA$10000,MATCH(ROWS($AC$3:AC5851),$AC$3:$AC$10000,0)),"")</f>
        <v/>
      </c>
    </row>
    <row r="5852" spans="27:30">
      <c r="AA5852" s="117">
        <f>+'Ingredient List - Mother Tinctu'!D5853</f>
        <v>0</v>
      </c>
      <c r="AB5852" s="117">
        <f t="shared" si="94"/>
        <v>0</v>
      </c>
      <c r="AC5852" s="117" t="str">
        <f>IF(AB5852=1,COUNTIF($AB$3:AB5852,1),"")</f>
        <v/>
      </c>
      <c r="AD5852" s="117" t="str">
        <f>IFERROR(INDEX($AA$3:$AA$10000,MATCH(ROWS($AC$3:AC5852),$AC$3:$AC$10000,0)),"")</f>
        <v/>
      </c>
    </row>
    <row r="5853" spans="27:30">
      <c r="AA5853" s="117">
        <f>+'Ingredient List - Mother Tinctu'!D5854</f>
        <v>0</v>
      </c>
      <c r="AB5853" s="117">
        <f t="shared" si="94"/>
        <v>0</v>
      </c>
      <c r="AC5853" s="117" t="str">
        <f>IF(AB5853=1,COUNTIF($AB$3:AB5853,1),"")</f>
        <v/>
      </c>
      <c r="AD5853" s="117" t="str">
        <f>IFERROR(INDEX($AA$3:$AA$10000,MATCH(ROWS($AC$3:AC5853),$AC$3:$AC$10000,0)),"")</f>
        <v/>
      </c>
    </row>
    <row r="5854" spans="27:30">
      <c r="AA5854" s="117">
        <f>+'Ingredient List - Mother Tinctu'!D5855</f>
        <v>0</v>
      </c>
      <c r="AB5854" s="117">
        <f t="shared" si="94"/>
        <v>0</v>
      </c>
      <c r="AC5854" s="117" t="str">
        <f>IF(AB5854=1,COUNTIF($AB$3:AB5854,1),"")</f>
        <v/>
      </c>
      <c r="AD5854" s="117" t="str">
        <f>IFERROR(INDEX($AA$3:$AA$10000,MATCH(ROWS($AC$3:AC5854),$AC$3:$AC$10000,0)),"")</f>
        <v/>
      </c>
    </row>
    <row r="5855" spans="27:30">
      <c r="AA5855" s="117">
        <f>+'Ingredient List - Mother Tinctu'!D5856</f>
        <v>0</v>
      </c>
      <c r="AB5855" s="117">
        <f t="shared" si="94"/>
        <v>0</v>
      </c>
      <c r="AC5855" s="117" t="str">
        <f>IF(AB5855=1,COUNTIF($AB$3:AB5855,1),"")</f>
        <v/>
      </c>
      <c r="AD5855" s="117" t="str">
        <f>IFERROR(INDEX($AA$3:$AA$10000,MATCH(ROWS($AC$3:AC5855),$AC$3:$AC$10000,0)),"")</f>
        <v/>
      </c>
    </row>
    <row r="5856" spans="27:30">
      <c r="AA5856" s="117">
        <f>+'Ingredient List - Mother Tinctu'!D5857</f>
        <v>0</v>
      </c>
      <c r="AB5856" s="117">
        <f t="shared" si="94"/>
        <v>0</v>
      </c>
      <c r="AC5856" s="117" t="str">
        <f>IF(AB5856=1,COUNTIF($AB$3:AB5856,1),"")</f>
        <v/>
      </c>
      <c r="AD5856" s="117" t="str">
        <f>IFERROR(INDEX($AA$3:$AA$10000,MATCH(ROWS($AC$3:AC5856),$AC$3:$AC$10000,0)),"")</f>
        <v/>
      </c>
    </row>
    <row r="5857" spans="27:30">
      <c r="AA5857" s="117">
        <f>+'Ingredient List - Mother Tinctu'!D5858</f>
        <v>0</v>
      </c>
      <c r="AB5857" s="117">
        <f t="shared" si="94"/>
        <v>0</v>
      </c>
      <c r="AC5857" s="117" t="str">
        <f>IF(AB5857=1,COUNTIF($AB$3:AB5857,1),"")</f>
        <v/>
      </c>
      <c r="AD5857" s="117" t="str">
        <f>IFERROR(INDEX($AA$3:$AA$10000,MATCH(ROWS($AC$3:AC5857),$AC$3:$AC$10000,0)),"")</f>
        <v/>
      </c>
    </row>
    <row r="5858" spans="27:30">
      <c r="AA5858" s="117">
        <f>+'Ingredient List - Mother Tinctu'!D5859</f>
        <v>0</v>
      </c>
      <c r="AB5858" s="117">
        <f t="shared" si="94"/>
        <v>0</v>
      </c>
      <c r="AC5858" s="117" t="str">
        <f>IF(AB5858=1,COUNTIF($AB$3:AB5858,1),"")</f>
        <v/>
      </c>
      <c r="AD5858" s="117" t="str">
        <f>IFERROR(INDEX($AA$3:$AA$10000,MATCH(ROWS($AC$3:AC5858),$AC$3:$AC$10000,0)),"")</f>
        <v/>
      </c>
    </row>
    <row r="5859" spans="27:30">
      <c r="AA5859" s="117">
        <f>+'Ingredient List - Mother Tinctu'!D5860</f>
        <v>0</v>
      </c>
      <c r="AB5859" s="117">
        <f t="shared" si="94"/>
        <v>0</v>
      </c>
      <c r="AC5859" s="117" t="str">
        <f>IF(AB5859=1,COUNTIF($AB$3:AB5859,1),"")</f>
        <v/>
      </c>
      <c r="AD5859" s="117" t="str">
        <f>IFERROR(INDEX($AA$3:$AA$10000,MATCH(ROWS($AC$3:AC5859),$AC$3:$AC$10000,0)),"")</f>
        <v/>
      </c>
    </row>
    <row r="5860" spans="27:30">
      <c r="AA5860" s="117">
        <f>+'Ingredient List - Mother Tinctu'!D5861</f>
        <v>0</v>
      </c>
      <c r="AB5860" s="117">
        <f t="shared" si="94"/>
        <v>0</v>
      </c>
      <c r="AC5860" s="117" t="str">
        <f>IF(AB5860=1,COUNTIF($AB$3:AB5860,1),"")</f>
        <v/>
      </c>
      <c r="AD5860" s="117" t="str">
        <f>IFERROR(INDEX($AA$3:$AA$10000,MATCH(ROWS($AC$3:AC5860),$AC$3:$AC$10000,0)),"")</f>
        <v/>
      </c>
    </row>
    <row r="5861" spans="27:30">
      <c r="AA5861" s="117">
        <f>+'Ingredient List - Mother Tinctu'!D5862</f>
        <v>0</v>
      </c>
      <c r="AB5861" s="117">
        <f t="shared" si="94"/>
        <v>0</v>
      </c>
      <c r="AC5861" s="117" t="str">
        <f>IF(AB5861=1,COUNTIF($AB$3:AB5861,1),"")</f>
        <v/>
      </c>
      <c r="AD5861" s="117" t="str">
        <f>IFERROR(INDEX($AA$3:$AA$10000,MATCH(ROWS($AC$3:AC5861),$AC$3:$AC$10000,0)),"")</f>
        <v/>
      </c>
    </row>
    <row r="5862" spans="27:30">
      <c r="AA5862" s="117">
        <f>+'Ingredient List - Mother Tinctu'!D5863</f>
        <v>0</v>
      </c>
      <c r="AB5862" s="117">
        <f t="shared" si="94"/>
        <v>0</v>
      </c>
      <c r="AC5862" s="117" t="str">
        <f>IF(AB5862=1,COUNTIF($AB$3:AB5862,1),"")</f>
        <v/>
      </c>
      <c r="AD5862" s="117" t="str">
        <f>IFERROR(INDEX($AA$3:$AA$10000,MATCH(ROWS($AC$3:AC5862),$AC$3:$AC$10000,0)),"")</f>
        <v/>
      </c>
    </row>
    <row r="5863" spans="27:30">
      <c r="AA5863" s="117">
        <f>+'Ingredient List - Mother Tinctu'!D5864</f>
        <v>0</v>
      </c>
      <c r="AB5863" s="117">
        <f t="shared" si="94"/>
        <v>0</v>
      </c>
      <c r="AC5863" s="117" t="str">
        <f>IF(AB5863=1,COUNTIF($AB$3:AB5863,1),"")</f>
        <v/>
      </c>
      <c r="AD5863" s="117" t="str">
        <f>IFERROR(INDEX($AA$3:$AA$10000,MATCH(ROWS($AC$3:AC5863),$AC$3:$AC$10000,0)),"")</f>
        <v/>
      </c>
    </row>
    <row r="5864" spans="27:30">
      <c r="AA5864" s="117">
        <f>+'Ingredient List - Mother Tinctu'!D5865</f>
        <v>0</v>
      </c>
      <c r="AB5864" s="117">
        <f t="shared" si="94"/>
        <v>0</v>
      </c>
      <c r="AC5864" s="117" t="str">
        <f>IF(AB5864=1,COUNTIF($AB$3:AB5864,1),"")</f>
        <v/>
      </c>
      <c r="AD5864" s="117" t="str">
        <f>IFERROR(INDEX($AA$3:$AA$10000,MATCH(ROWS($AC$3:AC5864),$AC$3:$AC$10000,0)),"")</f>
        <v/>
      </c>
    </row>
    <row r="5865" spans="27:30">
      <c r="AA5865" s="117">
        <f>+'Ingredient List - Mother Tinctu'!D5866</f>
        <v>0</v>
      </c>
      <c r="AB5865" s="117">
        <f t="shared" si="94"/>
        <v>0</v>
      </c>
      <c r="AC5865" s="117" t="str">
        <f>IF(AB5865=1,COUNTIF($AB$3:AB5865,1),"")</f>
        <v/>
      </c>
      <c r="AD5865" s="117" t="str">
        <f>IFERROR(INDEX($AA$3:$AA$10000,MATCH(ROWS($AC$3:AC5865),$AC$3:$AC$10000,0)),"")</f>
        <v/>
      </c>
    </row>
    <row r="5866" spans="27:30">
      <c r="AA5866" s="117">
        <f>+'Ingredient List - Mother Tinctu'!D5867</f>
        <v>0</v>
      </c>
      <c r="AB5866" s="117">
        <f t="shared" si="94"/>
        <v>0</v>
      </c>
      <c r="AC5866" s="117" t="str">
        <f>IF(AB5866=1,COUNTIF($AB$3:AB5866,1),"")</f>
        <v/>
      </c>
      <c r="AD5866" s="117" t="str">
        <f>IFERROR(INDEX($AA$3:$AA$10000,MATCH(ROWS($AC$3:AC5866),$AC$3:$AC$10000,0)),"")</f>
        <v/>
      </c>
    </row>
    <row r="5867" spans="27:30">
      <c r="AA5867" s="117">
        <f>+'Ingredient List - Mother Tinctu'!D5868</f>
        <v>0</v>
      </c>
      <c r="AB5867" s="117">
        <f t="shared" si="94"/>
        <v>0</v>
      </c>
      <c r="AC5867" s="117" t="str">
        <f>IF(AB5867=1,COUNTIF($AB$3:AB5867,1),"")</f>
        <v/>
      </c>
      <c r="AD5867" s="117" t="str">
        <f>IFERROR(INDEX($AA$3:$AA$10000,MATCH(ROWS($AC$3:AC5867),$AC$3:$AC$10000,0)),"")</f>
        <v/>
      </c>
    </row>
    <row r="5868" spans="27:30">
      <c r="AA5868" s="117">
        <f>+'Ingredient List - Mother Tinctu'!D5869</f>
        <v>0</v>
      </c>
      <c r="AB5868" s="117">
        <f t="shared" si="94"/>
        <v>0</v>
      </c>
      <c r="AC5868" s="117" t="str">
        <f>IF(AB5868=1,COUNTIF($AB$3:AB5868,1),"")</f>
        <v/>
      </c>
      <c r="AD5868" s="117" t="str">
        <f>IFERROR(INDEX($AA$3:$AA$10000,MATCH(ROWS($AC$3:AC5868),$AC$3:$AC$10000,0)),"")</f>
        <v/>
      </c>
    </row>
    <row r="5869" spans="27:30">
      <c r="AA5869" s="117">
        <f>+'Ingredient List - Mother Tinctu'!D5870</f>
        <v>0</v>
      </c>
      <c r="AB5869" s="117">
        <f t="shared" si="94"/>
        <v>0</v>
      </c>
      <c r="AC5869" s="117" t="str">
        <f>IF(AB5869=1,COUNTIF($AB$3:AB5869,1),"")</f>
        <v/>
      </c>
      <c r="AD5869" s="117" t="str">
        <f>IFERROR(INDEX($AA$3:$AA$10000,MATCH(ROWS($AC$3:AC5869),$AC$3:$AC$10000,0)),"")</f>
        <v/>
      </c>
    </row>
    <row r="5870" spans="27:30">
      <c r="AA5870" s="117">
        <f>+'Ingredient List - Mother Tinctu'!D5871</f>
        <v>0</v>
      </c>
      <c r="AB5870" s="117">
        <f t="shared" si="94"/>
        <v>0</v>
      </c>
      <c r="AC5870" s="117" t="str">
        <f>IF(AB5870=1,COUNTIF($AB$3:AB5870,1),"")</f>
        <v/>
      </c>
      <c r="AD5870" s="117" t="str">
        <f>IFERROR(INDEX($AA$3:$AA$10000,MATCH(ROWS($AC$3:AC5870),$AC$3:$AC$10000,0)),"")</f>
        <v/>
      </c>
    </row>
    <row r="5871" spans="27:30">
      <c r="AA5871" s="117">
        <f>+'Ingredient List - Mother Tinctu'!D5872</f>
        <v>0</v>
      </c>
      <c r="AB5871" s="117">
        <f t="shared" si="94"/>
        <v>0</v>
      </c>
      <c r="AC5871" s="117" t="str">
        <f>IF(AB5871=1,COUNTIF($AB$3:AB5871,1),"")</f>
        <v/>
      </c>
      <c r="AD5871" s="117" t="str">
        <f>IFERROR(INDEX($AA$3:$AA$10000,MATCH(ROWS($AC$3:AC5871),$AC$3:$AC$10000,0)),"")</f>
        <v/>
      </c>
    </row>
    <row r="5872" spans="27:30">
      <c r="AA5872" s="117">
        <f>+'Ingredient List - Mother Tinctu'!D5873</f>
        <v>0</v>
      </c>
      <c r="AB5872" s="117">
        <f t="shared" si="94"/>
        <v>0</v>
      </c>
      <c r="AC5872" s="117" t="str">
        <f>IF(AB5872=1,COUNTIF($AB$3:AB5872,1),"")</f>
        <v/>
      </c>
      <c r="AD5872" s="117" t="str">
        <f>IFERROR(INDEX($AA$3:$AA$10000,MATCH(ROWS($AC$3:AC5872),$AC$3:$AC$10000,0)),"")</f>
        <v/>
      </c>
    </row>
    <row r="5873" spans="27:30">
      <c r="AA5873" s="117">
        <f>+'Ingredient List - Mother Tinctu'!D5874</f>
        <v>0</v>
      </c>
      <c r="AB5873" s="117">
        <f t="shared" si="94"/>
        <v>0</v>
      </c>
      <c r="AC5873" s="117" t="str">
        <f>IF(AB5873=1,COUNTIF($AB$3:AB5873,1),"")</f>
        <v/>
      </c>
      <c r="AD5873" s="117" t="str">
        <f>IFERROR(INDEX($AA$3:$AA$10000,MATCH(ROWS($AC$3:AC5873),$AC$3:$AC$10000,0)),"")</f>
        <v/>
      </c>
    </row>
    <row r="5874" spans="27:30">
      <c r="AA5874" s="117">
        <f>+'Ingredient List - Mother Tinctu'!D5875</f>
        <v>0</v>
      </c>
      <c r="AB5874" s="117">
        <f t="shared" si="94"/>
        <v>0</v>
      </c>
      <c r="AC5874" s="117" t="str">
        <f>IF(AB5874=1,COUNTIF($AB$3:AB5874,1),"")</f>
        <v/>
      </c>
      <c r="AD5874" s="117" t="str">
        <f>IFERROR(INDEX($AA$3:$AA$10000,MATCH(ROWS($AC$3:AC5874),$AC$3:$AC$10000,0)),"")</f>
        <v/>
      </c>
    </row>
    <row r="5875" spans="27:30">
      <c r="AA5875" s="117">
        <f>+'Ingredient List - Mother Tinctu'!D5876</f>
        <v>0</v>
      </c>
      <c r="AB5875" s="117">
        <f t="shared" si="94"/>
        <v>0</v>
      </c>
      <c r="AC5875" s="117" t="str">
        <f>IF(AB5875=1,COUNTIF($AB$3:AB5875,1),"")</f>
        <v/>
      </c>
      <c r="AD5875" s="117" t="str">
        <f>IFERROR(INDEX($AA$3:$AA$10000,MATCH(ROWS($AC$3:AC5875),$AC$3:$AC$10000,0)),"")</f>
        <v/>
      </c>
    </row>
    <row r="5876" spans="27:30">
      <c r="AA5876" s="117">
        <f>+'Ingredient List - Mother Tinctu'!D5877</f>
        <v>0</v>
      </c>
      <c r="AB5876" s="117">
        <f t="shared" si="94"/>
        <v>0</v>
      </c>
      <c r="AC5876" s="117" t="str">
        <f>IF(AB5876=1,COUNTIF($AB$3:AB5876,1),"")</f>
        <v/>
      </c>
      <c r="AD5876" s="117" t="str">
        <f>IFERROR(INDEX($AA$3:$AA$10000,MATCH(ROWS($AC$3:AC5876),$AC$3:$AC$10000,0)),"")</f>
        <v/>
      </c>
    </row>
    <row r="5877" spans="27:30">
      <c r="AA5877" s="117">
        <f>+'Ingredient List - Mother Tinctu'!D5878</f>
        <v>0</v>
      </c>
      <c r="AB5877" s="117">
        <f t="shared" si="94"/>
        <v>0</v>
      </c>
      <c r="AC5877" s="117" t="str">
        <f>IF(AB5877=1,COUNTIF($AB$3:AB5877,1),"")</f>
        <v/>
      </c>
      <c r="AD5877" s="117" t="str">
        <f>IFERROR(INDEX($AA$3:$AA$10000,MATCH(ROWS($AC$3:AC5877),$AC$3:$AC$10000,0)),"")</f>
        <v/>
      </c>
    </row>
    <row r="5878" spans="27:30">
      <c r="AA5878" s="117">
        <f>+'Ingredient List - Mother Tinctu'!D5879</f>
        <v>0</v>
      </c>
      <c r="AB5878" s="117">
        <f t="shared" si="94"/>
        <v>0</v>
      </c>
      <c r="AC5878" s="117" t="str">
        <f>IF(AB5878=1,COUNTIF($AB$3:AB5878,1),"")</f>
        <v/>
      </c>
      <c r="AD5878" s="117" t="str">
        <f>IFERROR(INDEX($AA$3:$AA$10000,MATCH(ROWS($AC$3:AC5878),$AC$3:$AC$10000,0)),"")</f>
        <v/>
      </c>
    </row>
    <row r="5879" spans="27:30">
      <c r="AA5879" s="117">
        <f>+'Ingredient List - Mother Tinctu'!D5880</f>
        <v>0</v>
      </c>
      <c r="AB5879" s="117">
        <f t="shared" si="94"/>
        <v>0</v>
      </c>
      <c r="AC5879" s="117" t="str">
        <f>IF(AB5879=1,COUNTIF($AB$3:AB5879,1),"")</f>
        <v/>
      </c>
      <c r="AD5879" s="117" t="str">
        <f>IFERROR(INDEX($AA$3:$AA$10000,MATCH(ROWS($AC$3:AC5879),$AC$3:$AC$10000,0)),"")</f>
        <v/>
      </c>
    </row>
    <row r="5880" spans="27:30">
      <c r="AA5880" s="117">
        <f>+'Ingredient List - Mother Tinctu'!D5881</f>
        <v>0</v>
      </c>
      <c r="AB5880" s="117">
        <f t="shared" si="94"/>
        <v>0</v>
      </c>
      <c r="AC5880" s="117" t="str">
        <f>IF(AB5880=1,COUNTIF($AB$3:AB5880,1),"")</f>
        <v/>
      </c>
      <c r="AD5880" s="117" t="str">
        <f>IFERROR(INDEX($AA$3:$AA$10000,MATCH(ROWS($AC$3:AC5880),$AC$3:$AC$10000,0)),"")</f>
        <v/>
      </c>
    </row>
    <row r="5881" spans="27:30">
      <c r="AA5881" s="117">
        <f>+'Ingredient List - Mother Tinctu'!D5882</f>
        <v>0</v>
      </c>
      <c r="AB5881" s="117">
        <f t="shared" si="94"/>
        <v>0</v>
      </c>
      <c r="AC5881" s="117" t="str">
        <f>IF(AB5881=1,COUNTIF($AB$3:AB5881,1),"")</f>
        <v/>
      </c>
      <c r="AD5881" s="117" t="str">
        <f>IFERROR(INDEX($AA$3:$AA$10000,MATCH(ROWS($AC$3:AC5881),$AC$3:$AC$10000,0)),"")</f>
        <v/>
      </c>
    </row>
    <row r="5882" spans="27:30">
      <c r="AA5882" s="117">
        <f>+'Ingredient List - Mother Tinctu'!D5883</f>
        <v>0</v>
      </c>
      <c r="AB5882" s="117">
        <f t="shared" si="94"/>
        <v>0</v>
      </c>
      <c r="AC5882" s="117" t="str">
        <f>IF(AB5882=1,COUNTIF($AB$3:AB5882,1),"")</f>
        <v/>
      </c>
      <c r="AD5882" s="117" t="str">
        <f>IFERROR(INDEX($AA$3:$AA$10000,MATCH(ROWS($AC$3:AC5882),$AC$3:$AC$10000,0)),"")</f>
        <v/>
      </c>
    </row>
    <row r="5883" spans="27:30">
      <c r="AA5883" s="117">
        <f>+'Ingredient List - Mother Tinctu'!D5884</f>
        <v>0</v>
      </c>
      <c r="AB5883" s="117">
        <f t="shared" si="94"/>
        <v>0</v>
      </c>
      <c r="AC5883" s="117" t="str">
        <f>IF(AB5883=1,COUNTIF($AB$3:AB5883,1),"")</f>
        <v/>
      </c>
      <c r="AD5883" s="117" t="str">
        <f>IFERROR(INDEX($AA$3:$AA$10000,MATCH(ROWS($AC$3:AC5883),$AC$3:$AC$10000,0)),"")</f>
        <v/>
      </c>
    </row>
    <row r="5884" spans="27:30">
      <c r="AA5884" s="117">
        <f>+'Ingredient List - Mother Tinctu'!D5885</f>
        <v>0</v>
      </c>
      <c r="AB5884" s="117">
        <f t="shared" si="94"/>
        <v>0</v>
      </c>
      <c r="AC5884" s="117" t="str">
        <f>IF(AB5884=1,COUNTIF($AB$3:AB5884,1),"")</f>
        <v/>
      </c>
      <c r="AD5884" s="117" t="str">
        <f>IFERROR(INDEX($AA$3:$AA$10000,MATCH(ROWS($AC$3:AC5884),$AC$3:$AC$10000,0)),"")</f>
        <v/>
      </c>
    </row>
    <row r="5885" spans="27:30">
      <c r="AA5885" s="117">
        <f>+'Ingredient List - Mother Tinctu'!D5886</f>
        <v>0</v>
      </c>
      <c r="AB5885" s="117">
        <f t="shared" si="94"/>
        <v>0</v>
      </c>
      <c r="AC5885" s="117" t="str">
        <f>IF(AB5885=1,COUNTIF($AB$3:AB5885,1),"")</f>
        <v/>
      </c>
      <c r="AD5885" s="117" t="str">
        <f>IFERROR(INDEX($AA$3:$AA$10000,MATCH(ROWS($AC$3:AC5885),$AC$3:$AC$10000,0)),"")</f>
        <v/>
      </c>
    </row>
    <row r="5886" spans="27:30">
      <c r="AA5886" s="117">
        <f>+'Ingredient List - Mother Tinctu'!D5887</f>
        <v>0</v>
      </c>
      <c r="AB5886" s="117">
        <f t="shared" si="94"/>
        <v>0</v>
      </c>
      <c r="AC5886" s="117" t="str">
        <f>IF(AB5886=1,COUNTIF($AB$3:AB5886,1),"")</f>
        <v/>
      </c>
      <c r="AD5886" s="117" t="str">
        <f>IFERROR(INDEX($AA$3:$AA$10000,MATCH(ROWS($AC$3:AC5886),$AC$3:$AC$10000,0)),"")</f>
        <v/>
      </c>
    </row>
    <row r="5887" spans="27:30">
      <c r="AA5887" s="117">
        <f>+'Ingredient List - Mother Tinctu'!D5888</f>
        <v>0</v>
      </c>
      <c r="AB5887" s="117">
        <f t="shared" si="94"/>
        <v>0</v>
      </c>
      <c r="AC5887" s="117" t="str">
        <f>IF(AB5887=1,COUNTIF($AB$3:AB5887,1),"")</f>
        <v/>
      </c>
      <c r="AD5887" s="117" t="str">
        <f>IFERROR(INDEX($AA$3:$AA$10000,MATCH(ROWS($AC$3:AC5887),$AC$3:$AC$10000,0)),"")</f>
        <v/>
      </c>
    </row>
    <row r="5888" spans="27:30">
      <c r="AA5888" s="117">
        <f>+'Ingredient List - Mother Tinctu'!D5889</f>
        <v>0</v>
      </c>
      <c r="AB5888" s="117">
        <f t="shared" si="94"/>
        <v>0</v>
      </c>
      <c r="AC5888" s="117" t="str">
        <f>IF(AB5888=1,COUNTIF($AB$3:AB5888,1),"")</f>
        <v/>
      </c>
      <c r="AD5888" s="117" t="str">
        <f>IFERROR(INDEX($AA$3:$AA$10000,MATCH(ROWS($AC$3:AC5888),$AC$3:$AC$10000,0)),"")</f>
        <v/>
      </c>
    </row>
    <row r="5889" spans="27:30">
      <c r="AA5889" s="117">
        <f>+'Ingredient List - Mother Tinctu'!D5890</f>
        <v>0</v>
      </c>
      <c r="AB5889" s="117">
        <f t="shared" si="94"/>
        <v>0</v>
      </c>
      <c r="AC5889" s="117" t="str">
        <f>IF(AB5889=1,COUNTIF($AB$3:AB5889,1),"")</f>
        <v/>
      </c>
      <c r="AD5889" s="117" t="str">
        <f>IFERROR(INDEX($AA$3:$AA$10000,MATCH(ROWS($AC$3:AC5889),$AC$3:$AC$10000,0)),"")</f>
        <v/>
      </c>
    </row>
    <row r="5890" spans="27:30">
      <c r="AA5890" s="117">
        <f>+'Ingredient List - Mother Tinctu'!D5891</f>
        <v>0</v>
      </c>
      <c r="AB5890" s="117">
        <f t="shared" si="94"/>
        <v>0</v>
      </c>
      <c r="AC5890" s="117" t="str">
        <f>IF(AB5890=1,COUNTIF($AB$3:AB5890,1),"")</f>
        <v/>
      </c>
      <c r="AD5890" s="117" t="str">
        <f>IFERROR(INDEX($AA$3:$AA$10000,MATCH(ROWS($AC$3:AC5890),$AC$3:$AC$10000,0)),"")</f>
        <v/>
      </c>
    </row>
    <row r="5891" spans="27:30">
      <c r="AA5891" s="117">
        <f>+'Ingredient List - Mother Tinctu'!D5892</f>
        <v>0</v>
      </c>
      <c r="AB5891" s="117">
        <f t="shared" si="94"/>
        <v>0</v>
      </c>
      <c r="AC5891" s="117" t="str">
        <f>IF(AB5891=1,COUNTIF($AB$3:AB5891,1),"")</f>
        <v/>
      </c>
      <c r="AD5891" s="117" t="str">
        <f>IFERROR(INDEX($AA$3:$AA$10000,MATCH(ROWS($AC$3:AC5891),$AC$3:$AC$10000,0)),"")</f>
        <v/>
      </c>
    </row>
    <row r="5892" spans="27:30">
      <c r="AA5892" s="117">
        <f>+'Ingredient List - Mother Tinctu'!D5893</f>
        <v>0</v>
      </c>
      <c r="AB5892" s="117">
        <f t="shared" ref="AB5892:AB5955" si="95">--ISNUMBER(IFERROR(SEARCH($D$3,AA5892,1),""))</f>
        <v>0</v>
      </c>
      <c r="AC5892" s="117" t="str">
        <f>IF(AB5892=1,COUNTIF($AB$3:AB5892,1),"")</f>
        <v/>
      </c>
      <c r="AD5892" s="117" t="str">
        <f>IFERROR(INDEX($AA$3:$AA$10000,MATCH(ROWS($AC$3:AC5892),$AC$3:$AC$10000,0)),"")</f>
        <v/>
      </c>
    </row>
    <row r="5893" spans="27:30">
      <c r="AA5893" s="117">
        <f>+'Ingredient List - Mother Tinctu'!D5894</f>
        <v>0</v>
      </c>
      <c r="AB5893" s="117">
        <f t="shared" si="95"/>
        <v>0</v>
      </c>
      <c r="AC5893" s="117" t="str">
        <f>IF(AB5893=1,COUNTIF($AB$3:AB5893,1),"")</f>
        <v/>
      </c>
      <c r="AD5893" s="117" t="str">
        <f>IFERROR(INDEX($AA$3:$AA$10000,MATCH(ROWS($AC$3:AC5893),$AC$3:$AC$10000,0)),"")</f>
        <v/>
      </c>
    </row>
    <row r="5894" spans="27:30">
      <c r="AA5894" s="117">
        <f>+'Ingredient List - Mother Tinctu'!D5895</f>
        <v>0</v>
      </c>
      <c r="AB5894" s="117">
        <f t="shared" si="95"/>
        <v>0</v>
      </c>
      <c r="AC5894" s="117" t="str">
        <f>IF(AB5894=1,COUNTIF($AB$3:AB5894,1),"")</f>
        <v/>
      </c>
      <c r="AD5894" s="117" t="str">
        <f>IFERROR(INDEX($AA$3:$AA$10000,MATCH(ROWS($AC$3:AC5894),$AC$3:$AC$10000,0)),"")</f>
        <v/>
      </c>
    </row>
    <row r="5895" spans="27:30">
      <c r="AA5895" s="117">
        <f>+'Ingredient List - Mother Tinctu'!D5896</f>
        <v>0</v>
      </c>
      <c r="AB5895" s="117">
        <f t="shared" si="95"/>
        <v>0</v>
      </c>
      <c r="AC5895" s="117" t="str">
        <f>IF(AB5895=1,COUNTIF($AB$3:AB5895,1),"")</f>
        <v/>
      </c>
      <c r="AD5895" s="117" t="str">
        <f>IFERROR(INDEX($AA$3:$AA$10000,MATCH(ROWS($AC$3:AC5895),$AC$3:$AC$10000,0)),"")</f>
        <v/>
      </c>
    </row>
    <row r="5896" spans="27:30">
      <c r="AA5896" s="117">
        <f>+'Ingredient List - Mother Tinctu'!D5897</f>
        <v>0</v>
      </c>
      <c r="AB5896" s="117">
        <f t="shared" si="95"/>
        <v>0</v>
      </c>
      <c r="AC5896" s="117" t="str">
        <f>IF(AB5896=1,COUNTIF($AB$3:AB5896,1),"")</f>
        <v/>
      </c>
      <c r="AD5896" s="117" t="str">
        <f>IFERROR(INDEX($AA$3:$AA$10000,MATCH(ROWS($AC$3:AC5896),$AC$3:$AC$10000,0)),"")</f>
        <v/>
      </c>
    </row>
    <row r="5897" spans="27:30">
      <c r="AA5897" s="117">
        <f>+'Ingredient List - Mother Tinctu'!D5898</f>
        <v>0</v>
      </c>
      <c r="AB5897" s="117">
        <f t="shared" si="95"/>
        <v>0</v>
      </c>
      <c r="AC5897" s="117" t="str">
        <f>IF(AB5897=1,COUNTIF($AB$3:AB5897,1),"")</f>
        <v/>
      </c>
      <c r="AD5897" s="117" t="str">
        <f>IFERROR(INDEX($AA$3:$AA$10000,MATCH(ROWS($AC$3:AC5897),$AC$3:$AC$10000,0)),"")</f>
        <v/>
      </c>
    </row>
    <row r="5898" spans="27:30">
      <c r="AA5898" s="117">
        <f>+'Ingredient List - Mother Tinctu'!D5899</f>
        <v>0</v>
      </c>
      <c r="AB5898" s="117">
        <f t="shared" si="95"/>
        <v>0</v>
      </c>
      <c r="AC5898" s="117" t="str">
        <f>IF(AB5898=1,COUNTIF($AB$3:AB5898,1),"")</f>
        <v/>
      </c>
      <c r="AD5898" s="117" t="str">
        <f>IFERROR(INDEX($AA$3:$AA$10000,MATCH(ROWS($AC$3:AC5898),$AC$3:$AC$10000,0)),"")</f>
        <v/>
      </c>
    </row>
    <row r="5899" spans="27:30">
      <c r="AA5899" s="117">
        <f>+'Ingredient List - Mother Tinctu'!D5900</f>
        <v>0</v>
      </c>
      <c r="AB5899" s="117">
        <f t="shared" si="95"/>
        <v>0</v>
      </c>
      <c r="AC5899" s="117" t="str">
        <f>IF(AB5899=1,COUNTIF($AB$3:AB5899,1),"")</f>
        <v/>
      </c>
      <c r="AD5899" s="117" t="str">
        <f>IFERROR(INDEX($AA$3:$AA$10000,MATCH(ROWS($AC$3:AC5899),$AC$3:$AC$10000,0)),"")</f>
        <v/>
      </c>
    </row>
    <row r="5900" spans="27:30">
      <c r="AA5900" s="117">
        <f>+'Ingredient List - Mother Tinctu'!D5901</f>
        <v>0</v>
      </c>
      <c r="AB5900" s="117">
        <f t="shared" si="95"/>
        <v>0</v>
      </c>
      <c r="AC5900" s="117" t="str">
        <f>IF(AB5900=1,COUNTIF($AB$3:AB5900,1),"")</f>
        <v/>
      </c>
      <c r="AD5900" s="117" t="str">
        <f>IFERROR(INDEX($AA$3:$AA$10000,MATCH(ROWS($AC$3:AC5900),$AC$3:$AC$10000,0)),"")</f>
        <v/>
      </c>
    </row>
    <row r="5901" spans="27:30">
      <c r="AA5901" s="117">
        <f>+'Ingredient List - Mother Tinctu'!D5902</f>
        <v>0</v>
      </c>
      <c r="AB5901" s="117">
        <f t="shared" si="95"/>
        <v>0</v>
      </c>
      <c r="AC5901" s="117" t="str">
        <f>IF(AB5901=1,COUNTIF($AB$3:AB5901,1),"")</f>
        <v/>
      </c>
      <c r="AD5901" s="117" t="str">
        <f>IFERROR(INDEX($AA$3:$AA$10000,MATCH(ROWS($AC$3:AC5901),$AC$3:$AC$10000,0)),"")</f>
        <v/>
      </c>
    </row>
    <row r="5902" spans="27:30">
      <c r="AA5902" s="117">
        <f>+'Ingredient List - Mother Tinctu'!D5903</f>
        <v>0</v>
      </c>
      <c r="AB5902" s="117">
        <f t="shared" si="95"/>
        <v>0</v>
      </c>
      <c r="AC5902" s="117" t="str">
        <f>IF(AB5902=1,COUNTIF($AB$3:AB5902,1),"")</f>
        <v/>
      </c>
      <c r="AD5902" s="117" t="str">
        <f>IFERROR(INDEX($AA$3:$AA$10000,MATCH(ROWS($AC$3:AC5902),$AC$3:$AC$10000,0)),"")</f>
        <v/>
      </c>
    </row>
    <row r="5903" spans="27:30">
      <c r="AA5903" s="117">
        <f>+'Ingredient List - Mother Tinctu'!D5904</f>
        <v>0</v>
      </c>
      <c r="AB5903" s="117">
        <f t="shared" si="95"/>
        <v>0</v>
      </c>
      <c r="AC5903" s="117" t="str">
        <f>IF(AB5903=1,COUNTIF($AB$3:AB5903,1),"")</f>
        <v/>
      </c>
      <c r="AD5903" s="117" t="str">
        <f>IFERROR(INDEX($AA$3:$AA$10000,MATCH(ROWS($AC$3:AC5903),$AC$3:$AC$10000,0)),"")</f>
        <v/>
      </c>
    </row>
    <row r="5904" spans="27:30">
      <c r="AA5904" s="117">
        <f>+'Ingredient List - Mother Tinctu'!D5905</f>
        <v>0</v>
      </c>
      <c r="AB5904" s="117">
        <f t="shared" si="95"/>
        <v>0</v>
      </c>
      <c r="AC5904" s="117" t="str">
        <f>IF(AB5904=1,COUNTIF($AB$3:AB5904,1),"")</f>
        <v/>
      </c>
      <c r="AD5904" s="117" t="str">
        <f>IFERROR(INDEX($AA$3:$AA$10000,MATCH(ROWS($AC$3:AC5904),$AC$3:$AC$10000,0)),"")</f>
        <v/>
      </c>
    </row>
    <row r="5905" spans="27:30">
      <c r="AA5905" s="117">
        <f>+'Ingredient List - Mother Tinctu'!D5906</f>
        <v>0</v>
      </c>
      <c r="AB5905" s="117">
        <f t="shared" si="95"/>
        <v>0</v>
      </c>
      <c r="AC5905" s="117" t="str">
        <f>IF(AB5905=1,COUNTIF($AB$3:AB5905,1),"")</f>
        <v/>
      </c>
      <c r="AD5905" s="117" t="str">
        <f>IFERROR(INDEX($AA$3:$AA$10000,MATCH(ROWS($AC$3:AC5905),$AC$3:$AC$10000,0)),"")</f>
        <v/>
      </c>
    </row>
    <row r="5906" spans="27:30">
      <c r="AA5906" s="117">
        <f>+'Ingredient List - Mother Tinctu'!D5907</f>
        <v>0</v>
      </c>
      <c r="AB5906" s="117">
        <f t="shared" si="95"/>
        <v>0</v>
      </c>
      <c r="AC5906" s="117" t="str">
        <f>IF(AB5906=1,COUNTIF($AB$3:AB5906,1),"")</f>
        <v/>
      </c>
      <c r="AD5906" s="117" t="str">
        <f>IFERROR(INDEX($AA$3:$AA$10000,MATCH(ROWS($AC$3:AC5906),$AC$3:$AC$10000,0)),"")</f>
        <v/>
      </c>
    </row>
    <row r="5907" spans="27:30">
      <c r="AA5907" s="117">
        <f>+'Ingredient List - Mother Tinctu'!D5908</f>
        <v>0</v>
      </c>
      <c r="AB5907" s="117">
        <f t="shared" si="95"/>
        <v>0</v>
      </c>
      <c r="AC5907" s="117" t="str">
        <f>IF(AB5907=1,COUNTIF($AB$3:AB5907,1),"")</f>
        <v/>
      </c>
      <c r="AD5907" s="117" t="str">
        <f>IFERROR(INDEX($AA$3:$AA$10000,MATCH(ROWS($AC$3:AC5907),$AC$3:$AC$10000,0)),"")</f>
        <v/>
      </c>
    </row>
    <row r="5908" spans="27:30">
      <c r="AA5908" s="117">
        <f>+'Ingredient List - Mother Tinctu'!D5909</f>
        <v>0</v>
      </c>
      <c r="AB5908" s="117">
        <f t="shared" si="95"/>
        <v>0</v>
      </c>
      <c r="AC5908" s="117" t="str">
        <f>IF(AB5908=1,COUNTIF($AB$3:AB5908,1),"")</f>
        <v/>
      </c>
      <c r="AD5908" s="117" t="str">
        <f>IFERROR(INDEX($AA$3:$AA$10000,MATCH(ROWS($AC$3:AC5908),$AC$3:$AC$10000,0)),"")</f>
        <v/>
      </c>
    </row>
    <row r="5909" spans="27:30">
      <c r="AA5909" s="117">
        <f>+'Ingredient List - Mother Tinctu'!D5910</f>
        <v>0</v>
      </c>
      <c r="AB5909" s="117">
        <f t="shared" si="95"/>
        <v>0</v>
      </c>
      <c r="AC5909" s="117" t="str">
        <f>IF(AB5909=1,COUNTIF($AB$3:AB5909,1),"")</f>
        <v/>
      </c>
      <c r="AD5909" s="117" t="str">
        <f>IFERROR(INDEX($AA$3:$AA$10000,MATCH(ROWS($AC$3:AC5909),$AC$3:$AC$10000,0)),"")</f>
        <v/>
      </c>
    </row>
    <row r="5910" spans="27:30">
      <c r="AA5910" s="117">
        <f>+'Ingredient List - Mother Tinctu'!D5911</f>
        <v>0</v>
      </c>
      <c r="AB5910" s="117">
        <f t="shared" si="95"/>
        <v>0</v>
      </c>
      <c r="AC5910" s="117" t="str">
        <f>IF(AB5910=1,COUNTIF($AB$3:AB5910,1),"")</f>
        <v/>
      </c>
      <c r="AD5910" s="117" t="str">
        <f>IFERROR(INDEX($AA$3:$AA$10000,MATCH(ROWS($AC$3:AC5910),$AC$3:$AC$10000,0)),"")</f>
        <v/>
      </c>
    </row>
    <row r="5911" spans="27:30">
      <c r="AA5911" s="117">
        <f>+'Ingredient List - Mother Tinctu'!D5912</f>
        <v>0</v>
      </c>
      <c r="AB5911" s="117">
        <f t="shared" si="95"/>
        <v>0</v>
      </c>
      <c r="AC5911" s="117" t="str">
        <f>IF(AB5911=1,COUNTIF($AB$3:AB5911,1),"")</f>
        <v/>
      </c>
      <c r="AD5911" s="117" t="str">
        <f>IFERROR(INDEX($AA$3:$AA$10000,MATCH(ROWS($AC$3:AC5911),$AC$3:$AC$10000,0)),"")</f>
        <v/>
      </c>
    </row>
    <row r="5912" spans="27:30">
      <c r="AA5912" s="117">
        <f>+'Ingredient List - Mother Tinctu'!D5913</f>
        <v>0</v>
      </c>
      <c r="AB5912" s="117">
        <f t="shared" si="95"/>
        <v>0</v>
      </c>
      <c r="AC5912" s="117" t="str">
        <f>IF(AB5912=1,COUNTIF($AB$3:AB5912,1),"")</f>
        <v/>
      </c>
      <c r="AD5912" s="117" t="str">
        <f>IFERROR(INDEX($AA$3:$AA$10000,MATCH(ROWS($AC$3:AC5912),$AC$3:$AC$10000,0)),"")</f>
        <v/>
      </c>
    </row>
    <row r="5913" spans="27:30">
      <c r="AA5913" s="117">
        <f>+'Ingredient List - Mother Tinctu'!D5914</f>
        <v>0</v>
      </c>
      <c r="AB5913" s="117">
        <f t="shared" si="95"/>
        <v>0</v>
      </c>
      <c r="AC5913" s="117" t="str">
        <f>IF(AB5913=1,COUNTIF($AB$3:AB5913,1),"")</f>
        <v/>
      </c>
      <c r="AD5913" s="117" t="str">
        <f>IFERROR(INDEX($AA$3:$AA$10000,MATCH(ROWS($AC$3:AC5913),$AC$3:$AC$10000,0)),"")</f>
        <v/>
      </c>
    </row>
    <row r="5914" spans="27:30">
      <c r="AA5914" s="117">
        <f>+'Ingredient List - Mother Tinctu'!D5915</f>
        <v>0</v>
      </c>
      <c r="AB5914" s="117">
        <f t="shared" si="95"/>
        <v>0</v>
      </c>
      <c r="AC5914" s="117" t="str">
        <f>IF(AB5914=1,COUNTIF($AB$3:AB5914,1),"")</f>
        <v/>
      </c>
      <c r="AD5914" s="117" t="str">
        <f>IFERROR(INDEX($AA$3:$AA$10000,MATCH(ROWS($AC$3:AC5914),$AC$3:$AC$10000,0)),"")</f>
        <v/>
      </c>
    </row>
    <row r="5915" spans="27:30">
      <c r="AA5915" s="117">
        <f>+'Ingredient List - Mother Tinctu'!D5916</f>
        <v>0</v>
      </c>
      <c r="AB5915" s="117">
        <f t="shared" si="95"/>
        <v>0</v>
      </c>
      <c r="AC5915" s="117" t="str">
        <f>IF(AB5915=1,COUNTIF($AB$3:AB5915,1),"")</f>
        <v/>
      </c>
      <c r="AD5915" s="117" t="str">
        <f>IFERROR(INDEX($AA$3:$AA$10000,MATCH(ROWS($AC$3:AC5915),$AC$3:$AC$10000,0)),"")</f>
        <v/>
      </c>
    </row>
    <row r="5916" spans="27:30">
      <c r="AA5916" s="117">
        <f>+'Ingredient List - Mother Tinctu'!D5917</f>
        <v>0</v>
      </c>
      <c r="AB5916" s="117">
        <f t="shared" si="95"/>
        <v>0</v>
      </c>
      <c r="AC5916" s="117" t="str">
        <f>IF(AB5916=1,COUNTIF($AB$3:AB5916,1),"")</f>
        <v/>
      </c>
      <c r="AD5916" s="117" t="str">
        <f>IFERROR(INDEX($AA$3:$AA$10000,MATCH(ROWS($AC$3:AC5916),$AC$3:$AC$10000,0)),"")</f>
        <v/>
      </c>
    </row>
    <row r="5917" spans="27:30">
      <c r="AA5917" s="117">
        <f>+'Ingredient List - Mother Tinctu'!D5918</f>
        <v>0</v>
      </c>
      <c r="AB5917" s="117">
        <f t="shared" si="95"/>
        <v>0</v>
      </c>
      <c r="AC5917" s="117" t="str">
        <f>IF(AB5917=1,COUNTIF($AB$3:AB5917,1),"")</f>
        <v/>
      </c>
      <c r="AD5917" s="117" t="str">
        <f>IFERROR(INDEX($AA$3:$AA$10000,MATCH(ROWS($AC$3:AC5917),$AC$3:$AC$10000,0)),"")</f>
        <v/>
      </c>
    </row>
    <row r="5918" spans="27:30">
      <c r="AA5918" s="117">
        <f>+'Ingredient List - Mother Tinctu'!D5919</f>
        <v>0</v>
      </c>
      <c r="AB5918" s="117">
        <f t="shared" si="95"/>
        <v>0</v>
      </c>
      <c r="AC5918" s="117" t="str">
        <f>IF(AB5918=1,COUNTIF($AB$3:AB5918,1),"")</f>
        <v/>
      </c>
      <c r="AD5918" s="117" t="str">
        <f>IFERROR(INDEX($AA$3:$AA$10000,MATCH(ROWS($AC$3:AC5918),$AC$3:$AC$10000,0)),"")</f>
        <v/>
      </c>
    </row>
    <row r="5919" spans="27:30">
      <c r="AA5919" s="117">
        <f>+'Ingredient List - Mother Tinctu'!D5920</f>
        <v>0</v>
      </c>
      <c r="AB5919" s="117">
        <f t="shared" si="95"/>
        <v>0</v>
      </c>
      <c r="AC5919" s="117" t="str">
        <f>IF(AB5919=1,COUNTIF($AB$3:AB5919,1),"")</f>
        <v/>
      </c>
      <c r="AD5919" s="117" t="str">
        <f>IFERROR(INDEX($AA$3:$AA$10000,MATCH(ROWS($AC$3:AC5919),$AC$3:$AC$10000,0)),"")</f>
        <v/>
      </c>
    </row>
    <row r="5920" spans="27:30">
      <c r="AA5920" s="117">
        <f>+'Ingredient List - Mother Tinctu'!D5921</f>
        <v>0</v>
      </c>
      <c r="AB5920" s="117">
        <f t="shared" si="95"/>
        <v>0</v>
      </c>
      <c r="AC5920" s="117" t="str">
        <f>IF(AB5920=1,COUNTIF($AB$3:AB5920,1),"")</f>
        <v/>
      </c>
      <c r="AD5920" s="117" t="str">
        <f>IFERROR(INDEX($AA$3:$AA$10000,MATCH(ROWS($AC$3:AC5920),$AC$3:$AC$10000,0)),"")</f>
        <v/>
      </c>
    </row>
    <row r="5921" spans="27:30">
      <c r="AA5921" s="117">
        <f>+'Ingredient List - Mother Tinctu'!D5922</f>
        <v>0</v>
      </c>
      <c r="AB5921" s="117">
        <f t="shared" si="95"/>
        <v>0</v>
      </c>
      <c r="AC5921" s="117" t="str">
        <f>IF(AB5921=1,COUNTIF($AB$3:AB5921,1),"")</f>
        <v/>
      </c>
      <c r="AD5921" s="117" t="str">
        <f>IFERROR(INDEX($AA$3:$AA$10000,MATCH(ROWS($AC$3:AC5921),$AC$3:$AC$10000,0)),"")</f>
        <v/>
      </c>
    </row>
    <row r="5922" spans="27:30">
      <c r="AA5922" s="117">
        <f>+'Ingredient List - Mother Tinctu'!D5923</f>
        <v>0</v>
      </c>
      <c r="AB5922" s="117">
        <f t="shared" si="95"/>
        <v>0</v>
      </c>
      <c r="AC5922" s="117" t="str">
        <f>IF(AB5922=1,COUNTIF($AB$3:AB5922,1),"")</f>
        <v/>
      </c>
      <c r="AD5922" s="117" t="str">
        <f>IFERROR(INDEX($AA$3:$AA$10000,MATCH(ROWS($AC$3:AC5922),$AC$3:$AC$10000,0)),"")</f>
        <v/>
      </c>
    </row>
    <row r="5923" spans="27:30">
      <c r="AA5923" s="117">
        <f>+'Ingredient List - Mother Tinctu'!D5924</f>
        <v>0</v>
      </c>
      <c r="AB5923" s="117">
        <f t="shared" si="95"/>
        <v>0</v>
      </c>
      <c r="AC5923" s="117" t="str">
        <f>IF(AB5923=1,COUNTIF($AB$3:AB5923,1),"")</f>
        <v/>
      </c>
      <c r="AD5923" s="117" t="str">
        <f>IFERROR(INDEX($AA$3:$AA$10000,MATCH(ROWS($AC$3:AC5923),$AC$3:$AC$10000,0)),"")</f>
        <v/>
      </c>
    </row>
    <row r="5924" spans="27:30">
      <c r="AA5924" s="117">
        <f>+'Ingredient List - Mother Tinctu'!D5925</f>
        <v>0</v>
      </c>
      <c r="AB5924" s="117">
        <f t="shared" si="95"/>
        <v>0</v>
      </c>
      <c r="AC5924" s="117" t="str">
        <f>IF(AB5924=1,COUNTIF($AB$3:AB5924,1),"")</f>
        <v/>
      </c>
      <c r="AD5924" s="117" t="str">
        <f>IFERROR(INDEX($AA$3:$AA$10000,MATCH(ROWS($AC$3:AC5924),$AC$3:$AC$10000,0)),"")</f>
        <v/>
      </c>
    </row>
    <row r="5925" spans="27:30">
      <c r="AA5925" s="117">
        <f>+'Ingredient List - Mother Tinctu'!D5926</f>
        <v>0</v>
      </c>
      <c r="AB5925" s="117">
        <f t="shared" si="95"/>
        <v>0</v>
      </c>
      <c r="AC5925" s="117" t="str">
        <f>IF(AB5925=1,COUNTIF($AB$3:AB5925,1),"")</f>
        <v/>
      </c>
      <c r="AD5925" s="117" t="str">
        <f>IFERROR(INDEX($AA$3:$AA$10000,MATCH(ROWS($AC$3:AC5925),$AC$3:$AC$10000,0)),"")</f>
        <v/>
      </c>
    </row>
    <row r="5926" spans="27:30">
      <c r="AA5926" s="117">
        <f>+'Ingredient List - Mother Tinctu'!D5927</f>
        <v>0</v>
      </c>
      <c r="AB5926" s="117">
        <f t="shared" si="95"/>
        <v>0</v>
      </c>
      <c r="AC5926" s="117" t="str">
        <f>IF(AB5926=1,COUNTIF($AB$3:AB5926,1),"")</f>
        <v/>
      </c>
      <c r="AD5926" s="117" t="str">
        <f>IFERROR(INDEX($AA$3:$AA$10000,MATCH(ROWS($AC$3:AC5926),$AC$3:$AC$10000,0)),"")</f>
        <v/>
      </c>
    </row>
    <row r="5927" spans="27:30">
      <c r="AA5927" s="117">
        <f>+'Ingredient List - Mother Tinctu'!D5928</f>
        <v>0</v>
      </c>
      <c r="AB5927" s="117">
        <f t="shared" si="95"/>
        <v>0</v>
      </c>
      <c r="AC5927" s="117" t="str">
        <f>IF(AB5927=1,COUNTIF($AB$3:AB5927,1),"")</f>
        <v/>
      </c>
      <c r="AD5927" s="117" t="str">
        <f>IFERROR(INDEX($AA$3:$AA$10000,MATCH(ROWS($AC$3:AC5927),$AC$3:$AC$10000,0)),"")</f>
        <v/>
      </c>
    </row>
    <row r="5928" spans="27:30">
      <c r="AA5928" s="117">
        <f>+'Ingredient List - Mother Tinctu'!D5929</f>
        <v>0</v>
      </c>
      <c r="AB5928" s="117">
        <f t="shared" si="95"/>
        <v>0</v>
      </c>
      <c r="AC5928" s="117" t="str">
        <f>IF(AB5928=1,COUNTIF($AB$3:AB5928,1),"")</f>
        <v/>
      </c>
      <c r="AD5928" s="117" t="str">
        <f>IFERROR(INDEX($AA$3:$AA$10000,MATCH(ROWS($AC$3:AC5928),$AC$3:$AC$10000,0)),"")</f>
        <v/>
      </c>
    </row>
    <row r="5929" spans="27:30">
      <c r="AA5929" s="117">
        <f>+'Ingredient List - Mother Tinctu'!D5930</f>
        <v>0</v>
      </c>
      <c r="AB5929" s="117">
        <f t="shared" si="95"/>
        <v>0</v>
      </c>
      <c r="AC5929" s="117" t="str">
        <f>IF(AB5929=1,COUNTIF($AB$3:AB5929,1),"")</f>
        <v/>
      </c>
      <c r="AD5929" s="117" t="str">
        <f>IFERROR(INDEX($AA$3:$AA$10000,MATCH(ROWS($AC$3:AC5929),$AC$3:$AC$10000,0)),"")</f>
        <v/>
      </c>
    </row>
    <row r="5930" spans="27:30">
      <c r="AA5930" s="117">
        <f>+'Ingredient List - Mother Tinctu'!D5931</f>
        <v>0</v>
      </c>
      <c r="AB5930" s="117">
        <f t="shared" si="95"/>
        <v>0</v>
      </c>
      <c r="AC5930" s="117" t="str">
        <f>IF(AB5930=1,COUNTIF($AB$3:AB5930,1),"")</f>
        <v/>
      </c>
      <c r="AD5930" s="117" t="str">
        <f>IFERROR(INDEX($AA$3:$AA$10000,MATCH(ROWS($AC$3:AC5930),$AC$3:$AC$10000,0)),"")</f>
        <v/>
      </c>
    </row>
    <row r="5931" spans="27:30">
      <c r="AA5931" s="117">
        <f>+'Ingredient List - Mother Tinctu'!D5932</f>
        <v>0</v>
      </c>
      <c r="AB5931" s="117">
        <f t="shared" si="95"/>
        <v>0</v>
      </c>
      <c r="AC5931" s="117" t="str">
        <f>IF(AB5931=1,COUNTIF($AB$3:AB5931,1),"")</f>
        <v/>
      </c>
      <c r="AD5931" s="117" t="str">
        <f>IFERROR(INDEX($AA$3:$AA$10000,MATCH(ROWS($AC$3:AC5931),$AC$3:$AC$10000,0)),"")</f>
        <v/>
      </c>
    </row>
    <row r="5932" spans="27:30">
      <c r="AA5932" s="117">
        <f>+'Ingredient List - Mother Tinctu'!D5933</f>
        <v>0</v>
      </c>
      <c r="AB5932" s="117">
        <f t="shared" si="95"/>
        <v>0</v>
      </c>
      <c r="AC5932" s="117" t="str">
        <f>IF(AB5932=1,COUNTIF($AB$3:AB5932,1),"")</f>
        <v/>
      </c>
      <c r="AD5932" s="117" t="str">
        <f>IFERROR(INDEX($AA$3:$AA$10000,MATCH(ROWS($AC$3:AC5932),$AC$3:$AC$10000,0)),"")</f>
        <v/>
      </c>
    </row>
    <row r="5933" spans="27:30">
      <c r="AA5933" s="117">
        <f>+'Ingredient List - Mother Tinctu'!D5934</f>
        <v>0</v>
      </c>
      <c r="AB5933" s="117">
        <f t="shared" si="95"/>
        <v>0</v>
      </c>
      <c r="AC5933" s="117" t="str">
        <f>IF(AB5933=1,COUNTIF($AB$3:AB5933,1),"")</f>
        <v/>
      </c>
      <c r="AD5933" s="117" t="str">
        <f>IFERROR(INDEX($AA$3:$AA$10000,MATCH(ROWS($AC$3:AC5933),$AC$3:$AC$10000,0)),"")</f>
        <v/>
      </c>
    </row>
    <row r="5934" spans="27:30">
      <c r="AA5934" s="117">
        <f>+'Ingredient List - Mother Tinctu'!D5935</f>
        <v>0</v>
      </c>
      <c r="AB5934" s="117">
        <f t="shared" si="95"/>
        <v>0</v>
      </c>
      <c r="AC5934" s="117" t="str">
        <f>IF(AB5934=1,COUNTIF($AB$3:AB5934,1),"")</f>
        <v/>
      </c>
      <c r="AD5934" s="117" t="str">
        <f>IFERROR(INDEX($AA$3:$AA$10000,MATCH(ROWS($AC$3:AC5934),$AC$3:$AC$10000,0)),"")</f>
        <v/>
      </c>
    </row>
    <row r="5935" spans="27:30">
      <c r="AA5935" s="117">
        <f>+'Ingredient List - Mother Tinctu'!D5936</f>
        <v>0</v>
      </c>
      <c r="AB5935" s="117">
        <f t="shared" si="95"/>
        <v>0</v>
      </c>
      <c r="AC5935" s="117" t="str">
        <f>IF(AB5935=1,COUNTIF($AB$3:AB5935,1),"")</f>
        <v/>
      </c>
      <c r="AD5935" s="117" t="str">
        <f>IFERROR(INDEX($AA$3:$AA$10000,MATCH(ROWS($AC$3:AC5935),$AC$3:$AC$10000,0)),"")</f>
        <v/>
      </c>
    </row>
    <row r="5936" spans="27:30">
      <c r="AA5936" s="117">
        <f>+'Ingredient List - Mother Tinctu'!D5937</f>
        <v>0</v>
      </c>
      <c r="AB5936" s="117">
        <f t="shared" si="95"/>
        <v>0</v>
      </c>
      <c r="AC5936" s="117" t="str">
        <f>IF(AB5936=1,COUNTIF($AB$3:AB5936,1),"")</f>
        <v/>
      </c>
      <c r="AD5936" s="117" t="str">
        <f>IFERROR(INDEX($AA$3:$AA$10000,MATCH(ROWS($AC$3:AC5936),$AC$3:$AC$10000,0)),"")</f>
        <v/>
      </c>
    </row>
    <row r="5937" spans="27:30">
      <c r="AA5937" s="117">
        <f>+'Ingredient List - Mother Tinctu'!D5938</f>
        <v>0</v>
      </c>
      <c r="AB5937" s="117">
        <f t="shared" si="95"/>
        <v>0</v>
      </c>
      <c r="AC5937" s="117" t="str">
        <f>IF(AB5937=1,COUNTIF($AB$3:AB5937,1),"")</f>
        <v/>
      </c>
      <c r="AD5937" s="117" t="str">
        <f>IFERROR(INDEX($AA$3:$AA$10000,MATCH(ROWS($AC$3:AC5937),$AC$3:$AC$10000,0)),"")</f>
        <v/>
      </c>
    </row>
    <row r="5938" spans="27:30">
      <c r="AA5938" s="117">
        <f>+'Ingredient List - Mother Tinctu'!D5939</f>
        <v>0</v>
      </c>
      <c r="AB5938" s="117">
        <f t="shared" si="95"/>
        <v>0</v>
      </c>
      <c r="AC5938" s="117" t="str">
        <f>IF(AB5938=1,COUNTIF($AB$3:AB5938,1),"")</f>
        <v/>
      </c>
      <c r="AD5938" s="117" t="str">
        <f>IFERROR(INDEX($AA$3:$AA$10000,MATCH(ROWS($AC$3:AC5938),$AC$3:$AC$10000,0)),"")</f>
        <v/>
      </c>
    </row>
    <row r="5939" spans="27:30">
      <c r="AA5939" s="117">
        <f>+'Ingredient List - Mother Tinctu'!D5940</f>
        <v>0</v>
      </c>
      <c r="AB5939" s="117">
        <f t="shared" si="95"/>
        <v>0</v>
      </c>
      <c r="AC5939" s="117" t="str">
        <f>IF(AB5939=1,COUNTIF($AB$3:AB5939,1),"")</f>
        <v/>
      </c>
      <c r="AD5939" s="117" t="str">
        <f>IFERROR(INDEX($AA$3:$AA$10000,MATCH(ROWS($AC$3:AC5939),$AC$3:$AC$10000,0)),"")</f>
        <v/>
      </c>
    </row>
    <row r="5940" spans="27:30">
      <c r="AA5940" s="117">
        <f>+'Ingredient List - Mother Tinctu'!D5941</f>
        <v>0</v>
      </c>
      <c r="AB5940" s="117">
        <f t="shared" si="95"/>
        <v>0</v>
      </c>
      <c r="AC5940" s="117" t="str">
        <f>IF(AB5940=1,COUNTIF($AB$3:AB5940,1),"")</f>
        <v/>
      </c>
      <c r="AD5940" s="117" t="str">
        <f>IFERROR(INDEX($AA$3:$AA$10000,MATCH(ROWS($AC$3:AC5940),$AC$3:$AC$10000,0)),"")</f>
        <v/>
      </c>
    </row>
    <row r="5941" spans="27:30">
      <c r="AA5941" s="117">
        <f>+'Ingredient List - Mother Tinctu'!D5942</f>
        <v>0</v>
      </c>
      <c r="AB5941" s="117">
        <f t="shared" si="95"/>
        <v>0</v>
      </c>
      <c r="AC5941" s="117" t="str">
        <f>IF(AB5941=1,COUNTIF($AB$3:AB5941,1),"")</f>
        <v/>
      </c>
      <c r="AD5941" s="117" t="str">
        <f>IFERROR(INDEX($AA$3:$AA$10000,MATCH(ROWS($AC$3:AC5941),$AC$3:$AC$10000,0)),"")</f>
        <v/>
      </c>
    </row>
    <row r="5942" spans="27:30">
      <c r="AA5942" s="117">
        <f>+'Ingredient List - Mother Tinctu'!D5943</f>
        <v>0</v>
      </c>
      <c r="AB5942" s="117">
        <f t="shared" si="95"/>
        <v>0</v>
      </c>
      <c r="AC5942" s="117" t="str">
        <f>IF(AB5942=1,COUNTIF($AB$3:AB5942,1),"")</f>
        <v/>
      </c>
      <c r="AD5942" s="117" t="str">
        <f>IFERROR(INDEX($AA$3:$AA$10000,MATCH(ROWS($AC$3:AC5942),$AC$3:$AC$10000,0)),"")</f>
        <v/>
      </c>
    </row>
    <row r="5943" spans="27:30">
      <c r="AA5943" s="117">
        <f>+'Ingredient List - Mother Tinctu'!D5944</f>
        <v>0</v>
      </c>
      <c r="AB5943" s="117">
        <f t="shared" si="95"/>
        <v>0</v>
      </c>
      <c r="AC5943" s="117" t="str">
        <f>IF(AB5943=1,COUNTIF($AB$3:AB5943,1),"")</f>
        <v/>
      </c>
      <c r="AD5943" s="117" t="str">
        <f>IFERROR(INDEX($AA$3:$AA$10000,MATCH(ROWS($AC$3:AC5943),$AC$3:$AC$10000,0)),"")</f>
        <v/>
      </c>
    </row>
    <row r="5944" spans="27:30">
      <c r="AA5944" s="117">
        <f>+'Ingredient List - Mother Tinctu'!D5945</f>
        <v>0</v>
      </c>
      <c r="AB5944" s="117">
        <f t="shared" si="95"/>
        <v>0</v>
      </c>
      <c r="AC5944" s="117" t="str">
        <f>IF(AB5944=1,COUNTIF($AB$3:AB5944,1),"")</f>
        <v/>
      </c>
      <c r="AD5944" s="117" t="str">
        <f>IFERROR(INDEX($AA$3:$AA$10000,MATCH(ROWS($AC$3:AC5944),$AC$3:$AC$10000,0)),"")</f>
        <v/>
      </c>
    </row>
    <row r="5945" spans="27:30">
      <c r="AA5945" s="117">
        <f>+'Ingredient List - Mother Tinctu'!D5946</f>
        <v>0</v>
      </c>
      <c r="AB5945" s="117">
        <f t="shared" si="95"/>
        <v>0</v>
      </c>
      <c r="AC5945" s="117" t="str">
        <f>IF(AB5945=1,COUNTIF($AB$3:AB5945,1),"")</f>
        <v/>
      </c>
      <c r="AD5945" s="117" t="str">
        <f>IFERROR(INDEX($AA$3:$AA$10000,MATCH(ROWS($AC$3:AC5945),$AC$3:$AC$10000,0)),"")</f>
        <v/>
      </c>
    </row>
    <row r="5946" spans="27:30">
      <c r="AA5946" s="117">
        <f>+'Ingredient List - Mother Tinctu'!D5947</f>
        <v>0</v>
      </c>
      <c r="AB5946" s="117">
        <f t="shared" si="95"/>
        <v>0</v>
      </c>
      <c r="AC5946" s="117" t="str">
        <f>IF(AB5946=1,COUNTIF($AB$3:AB5946,1),"")</f>
        <v/>
      </c>
      <c r="AD5946" s="117" t="str">
        <f>IFERROR(INDEX($AA$3:$AA$10000,MATCH(ROWS($AC$3:AC5946),$AC$3:$AC$10000,0)),"")</f>
        <v/>
      </c>
    </row>
    <row r="5947" spans="27:30">
      <c r="AA5947" s="117">
        <f>+'Ingredient List - Mother Tinctu'!D5948</f>
        <v>0</v>
      </c>
      <c r="AB5947" s="117">
        <f t="shared" si="95"/>
        <v>0</v>
      </c>
      <c r="AC5947" s="117" t="str">
        <f>IF(AB5947=1,COUNTIF($AB$3:AB5947,1),"")</f>
        <v/>
      </c>
      <c r="AD5947" s="117" t="str">
        <f>IFERROR(INDEX($AA$3:$AA$10000,MATCH(ROWS($AC$3:AC5947),$AC$3:$AC$10000,0)),"")</f>
        <v/>
      </c>
    </row>
    <row r="5948" spans="27:30">
      <c r="AA5948" s="117">
        <f>+'Ingredient List - Mother Tinctu'!D5949</f>
        <v>0</v>
      </c>
      <c r="AB5948" s="117">
        <f t="shared" si="95"/>
        <v>0</v>
      </c>
      <c r="AC5948" s="117" t="str">
        <f>IF(AB5948=1,COUNTIF($AB$3:AB5948,1),"")</f>
        <v/>
      </c>
      <c r="AD5948" s="117" t="str">
        <f>IFERROR(INDEX($AA$3:$AA$10000,MATCH(ROWS($AC$3:AC5948),$AC$3:$AC$10000,0)),"")</f>
        <v/>
      </c>
    </row>
    <row r="5949" spans="27:30">
      <c r="AA5949" s="117">
        <f>+'Ingredient List - Mother Tinctu'!D5950</f>
        <v>0</v>
      </c>
      <c r="AB5949" s="117">
        <f t="shared" si="95"/>
        <v>0</v>
      </c>
      <c r="AC5949" s="117" t="str">
        <f>IF(AB5949=1,COUNTIF($AB$3:AB5949,1),"")</f>
        <v/>
      </c>
      <c r="AD5949" s="117" t="str">
        <f>IFERROR(INDEX($AA$3:$AA$10000,MATCH(ROWS($AC$3:AC5949),$AC$3:$AC$10000,0)),"")</f>
        <v/>
      </c>
    </row>
    <row r="5950" spans="27:30">
      <c r="AA5950" s="117">
        <f>+'Ingredient List - Mother Tinctu'!D5951</f>
        <v>0</v>
      </c>
      <c r="AB5950" s="117">
        <f t="shared" si="95"/>
        <v>0</v>
      </c>
      <c r="AC5950" s="117" t="str">
        <f>IF(AB5950=1,COUNTIF($AB$3:AB5950,1),"")</f>
        <v/>
      </c>
      <c r="AD5950" s="117" t="str">
        <f>IFERROR(INDEX($AA$3:$AA$10000,MATCH(ROWS($AC$3:AC5950),$AC$3:$AC$10000,0)),"")</f>
        <v/>
      </c>
    </row>
    <row r="5951" spans="27:30">
      <c r="AA5951" s="117">
        <f>+'Ingredient List - Mother Tinctu'!D5952</f>
        <v>0</v>
      </c>
      <c r="AB5951" s="117">
        <f t="shared" si="95"/>
        <v>0</v>
      </c>
      <c r="AC5951" s="117" t="str">
        <f>IF(AB5951=1,COUNTIF($AB$3:AB5951,1),"")</f>
        <v/>
      </c>
      <c r="AD5951" s="117" t="str">
        <f>IFERROR(INDEX($AA$3:$AA$10000,MATCH(ROWS($AC$3:AC5951),$AC$3:$AC$10000,0)),"")</f>
        <v/>
      </c>
    </row>
    <row r="5952" spans="27:30">
      <c r="AA5952" s="117">
        <f>+'Ingredient List - Mother Tinctu'!D5953</f>
        <v>0</v>
      </c>
      <c r="AB5952" s="117">
        <f t="shared" si="95"/>
        <v>0</v>
      </c>
      <c r="AC5952" s="117" t="str">
        <f>IF(AB5952=1,COUNTIF($AB$3:AB5952,1),"")</f>
        <v/>
      </c>
      <c r="AD5952" s="117" t="str">
        <f>IFERROR(INDEX($AA$3:$AA$10000,MATCH(ROWS($AC$3:AC5952),$AC$3:$AC$10000,0)),"")</f>
        <v/>
      </c>
    </row>
    <row r="5953" spans="27:30">
      <c r="AA5953" s="117">
        <f>+'Ingredient List - Mother Tinctu'!D5954</f>
        <v>0</v>
      </c>
      <c r="AB5953" s="117">
        <f t="shared" si="95"/>
        <v>0</v>
      </c>
      <c r="AC5953" s="117" t="str">
        <f>IF(AB5953=1,COUNTIF($AB$3:AB5953,1),"")</f>
        <v/>
      </c>
      <c r="AD5953" s="117" t="str">
        <f>IFERROR(INDEX($AA$3:$AA$10000,MATCH(ROWS($AC$3:AC5953),$AC$3:$AC$10000,0)),"")</f>
        <v/>
      </c>
    </row>
    <row r="5954" spans="27:30">
      <c r="AA5954" s="117">
        <f>+'Ingredient List - Mother Tinctu'!D5955</f>
        <v>0</v>
      </c>
      <c r="AB5954" s="117">
        <f t="shared" si="95"/>
        <v>0</v>
      </c>
      <c r="AC5954" s="117" t="str">
        <f>IF(AB5954=1,COUNTIF($AB$3:AB5954,1),"")</f>
        <v/>
      </c>
      <c r="AD5954" s="117" t="str">
        <f>IFERROR(INDEX($AA$3:$AA$10000,MATCH(ROWS($AC$3:AC5954),$AC$3:$AC$10000,0)),"")</f>
        <v/>
      </c>
    </row>
    <row r="5955" spans="27:30">
      <c r="AA5955" s="117">
        <f>+'Ingredient List - Mother Tinctu'!D5956</f>
        <v>0</v>
      </c>
      <c r="AB5955" s="117">
        <f t="shared" si="95"/>
        <v>0</v>
      </c>
      <c r="AC5955" s="117" t="str">
        <f>IF(AB5955=1,COUNTIF($AB$3:AB5955,1),"")</f>
        <v/>
      </c>
      <c r="AD5955" s="117" t="str">
        <f>IFERROR(INDEX($AA$3:$AA$10000,MATCH(ROWS($AC$3:AC5955),$AC$3:$AC$10000,0)),"")</f>
        <v/>
      </c>
    </row>
    <row r="5956" spans="27:30">
      <c r="AA5956" s="117">
        <f>+'Ingredient List - Mother Tinctu'!D5957</f>
        <v>0</v>
      </c>
      <c r="AB5956" s="117">
        <f t="shared" ref="AB5956:AB6019" si="96">--ISNUMBER(IFERROR(SEARCH($D$3,AA5956,1),""))</f>
        <v>0</v>
      </c>
      <c r="AC5956" s="117" t="str">
        <f>IF(AB5956=1,COUNTIF($AB$3:AB5956,1),"")</f>
        <v/>
      </c>
      <c r="AD5956" s="117" t="str">
        <f>IFERROR(INDEX($AA$3:$AA$10000,MATCH(ROWS($AC$3:AC5956),$AC$3:$AC$10000,0)),"")</f>
        <v/>
      </c>
    </row>
    <row r="5957" spans="27:30">
      <c r="AA5957" s="117">
        <f>+'Ingredient List - Mother Tinctu'!D5958</f>
        <v>0</v>
      </c>
      <c r="AB5957" s="117">
        <f t="shared" si="96"/>
        <v>0</v>
      </c>
      <c r="AC5957" s="117" t="str">
        <f>IF(AB5957=1,COUNTIF($AB$3:AB5957,1),"")</f>
        <v/>
      </c>
      <c r="AD5957" s="117" t="str">
        <f>IFERROR(INDEX($AA$3:$AA$10000,MATCH(ROWS($AC$3:AC5957),$AC$3:$AC$10000,0)),"")</f>
        <v/>
      </c>
    </row>
    <row r="5958" spans="27:30">
      <c r="AA5958" s="117">
        <f>+'Ingredient List - Mother Tinctu'!D5959</f>
        <v>0</v>
      </c>
      <c r="AB5958" s="117">
        <f t="shared" si="96"/>
        <v>0</v>
      </c>
      <c r="AC5958" s="117" t="str">
        <f>IF(AB5958=1,COUNTIF($AB$3:AB5958,1),"")</f>
        <v/>
      </c>
      <c r="AD5958" s="117" t="str">
        <f>IFERROR(INDEX($AA$3:$AA$10000,MATCH(ROWS($AC$3:AC5958),$AC$3:$AC$10000,0)),"")</f>
        <v/>
      </c>
    </row>
    <row r="5959" spans="27:30">
      <c r="AA5959" s="117">
        <f>+'Ingredient List - Mother Tinctu'!D5960</f>
        <v>0</v>
      </c>
      <c r="AB5959" s="117">
        <f t="shared" si="96"/>
        <v>0</v>
      </c>
      <c r="AC5959" s="117" t="str">
        <f>IF(AB5959=1,COUNTIF($AB$3:AB5959,1),"")</f>
        <v/>
      </c>
      <c r="AD5959" s="117" t="str">
        <f>IFERROR(INDEX($AA$3:$AA$10000,MATCH(ROWS($AC$3:AC5959),$AC$3:$AC$10000,0)),"")</f>
        <v/>
      </c>
    </row>
    <row r="5960" spans="27:30">
      <c r="AA5960" s="117">
        <f>+'Ingredient List - Mother Tinctu'!D5961</f>
        <v>0</v>
      </c>
      <c r="AB5960" s="117">
        <f t="shared" si="96"/>
        <v>0</v>
      </c>
      <c r="AC5960" s="117" t="str">
        <f>IF(AB5960=1,COUNTIF($AB$3:AB5960,1),"")</f>
        <v/>
      </c>
      <c r="AD5960" s="117" t="str">
        <f>IFERROR(INDEX($AA$3:$AA$10000,MATCH(ROWS($AC$3:AC5960),$AC$3:$AC$10000,0)),"")</f>
        <v/>
      </c>
    </row>
    <row r="5961" spans="27:30">
      <c r="AA5961" s="117">
        <f>+'Ingredient List - Mother Tinctu'!D5962</f>
        <v>0</v>
      </c>
      <c r="AB5961" s="117">
        <f t="shared" si="96"/>
        <v>0</v>
      </c>
      <c r="AC5961" s="117" t="str">
        <f>IF(AB5961=1,COUNTIF($AB$3:AB5961,1),"")</f>
        <v/>
      </c>
      <c r="AD5961" s="117" t="str">
        <f>IFERROR(INDEX($AA$3:$AA$10000,MATCH(ROWS($AC$3:AC5961),$AC$3:$AC$10000,0)),"")</f>
        <v/>
      </c>
    </row>
    <row r="5962" spans="27:30">
      <c r="AA5962" s="117">
        <f>+'Ingredient List - Mother Tinctu'!D5963</f>
        <v>0</v>
      </c>
      <c r="AB5962" s="117">
        <f t="shared" si="96"/>
        <v>0</v>
      </c>
      <c r="AC5962" s="117" t="str">
        <f>IF(AB5962=1,COUNTIF($AB$3:AB5962,1),"")</f>
        <v/>
      </c>
      <c r="AD5962" s="117" t="str">
        <f>IFERROR(INDEX($AA$3:$AA$10000,MATCH(ROWS($AC$3:AC5962),$AC$3:$AC$10000,0)),"")</f>
        <v/>
      </c>
    </row>
    <row r="5963" spans="27:30">
      <c r="AA5963" s="117">
        <f>+'Ingredient List - Mother Tinctu'!D5964</f>
        <v>0</v>
      </c>
      <c r="AB5963" s="117">
        <f t="shared" si="96"/>
        <v>0</v>
      </c>
      <c r="AC5963" s="117" t="str">
        <f>IF(AB5963=1,COUNTIF($AB$3:AB5963,1),"")</f>
        <v/>
      </c>
      <c r="AD5963" s="117" t="str">
        <f>IFERROR(INDEX($AA$3:$AA$10000,MATCH(ROWS($AC$3:AC5963),$AC$3:$AC$10000,0)),"")</f>
        <v/>
      </c>
    </row>
    <row r="5964" spans="27:30">
      <c r="AA5964" s="117">
        <f>+'Ingredient List - Mother Tinctu'!D5965</f>
        <v>0</v>
      </c>
      <c r="AB5964" s="117">
        <f t="shared" si="96"/>
        <v>0</v>
      </c>
      <c r="AC5964" s="117" t="str">
        <f>IF(AB5964=1,COUNTIF($AB$3:AB5964,1),"")</f>
        <v/>
      </c>
      <c r="AD5964" s="117" t="str">
        <f>IFERROR(INDEX($AA$3:$AA$10000,MATCH(ROWS($AC$3:AC5964),$AC$3:$AC$10000,0)),"")</f>
        <v/>
      </c>
    </row>
    <row r="5965" spans="27:30">
      <c r="AA5965" s="117">
        <f>+'Ingredient List - Mother Tinctu'!D5966</f>
        <v>0</v>
      </c>
      <c r="AB5965" s="117">
        <f t="shared" si="96"/>
        <v>0</v>
      </c>
      <c r="AC5965" s="117" t="str">
        <f>IF(AB5965=1,COUNTIF($AB$3:AB5965,1),"")</f>
        <v/>
      </c>
      <c r="AD5965" s="117" t="str">
        <f>IFERROR(INDEX($AA$3:$AA$10000,MATCH(ROWS($AC$3:AC5965),$AC$3:$AC$10000,0)),"")</f>
        <v/>
      </c>
    </row>
    <row r="5966" spans="27:30">
      <c r="AA5966" s="117">
        <f>+'Ingredient List - Mother Tinctu'!D5967</f>
        <v>0</v>
      </c>
      <c r="AB5966" s="117">
        <f t="shared" si="96"/>
        <v>0</v>
      </c>
      <c r="AC5966" s="117" t="str">
        <f>IF(AB5966=1,COUNTIF($AB$3:AB5966,1),"")</f>
        <v/>
      </c>
      <c r="AD5966" s="117" t="str">
        <f>IFERROR(INDEX($AA$3:$AA$10000,MATCH(ROWS($AC$3:AC5966),$AC$3:$AC$10000,0)),"")</f>
        <v/>
      </c>
    </row>
    <row r="5967" spans="27:30">
      <c r="AA5967" s="117">
        <f>+'Ingredient List - Mother Tinctu'!D5968</f>
        <v>0</v>
      </c>
      <c r="AB5967" s="117">
        <f t="shared" si="96"/>
        <v>0</v>
      </c>
      <c r="AC5967" s="117" t="str">
        <f>IF(AB5967=1,COUNTIF($AB$3:AB5967,1),"")</f>
        <v/>
      </c>
      <c r="AD5967" s="117" t="str">
        <f>IFERROR(INDEX($AA$3:$AA$10000,MATCH(ROWS($AC$3:AC5967),$AC$3:$AC$10000,0)),"")</f>
        <v/>
      </c>
    </row>
    <row r="5968" spans="27:30">
      <c r="AA5968" s="117">
        <f>+'Ingredient List - Mother Tinctu'!D5969</f>
        <v>0</v>
      </c>
      <c r="AB5968" s="117">
        <f t="shared" si="96"/>
        <v>0</v>
      </c>
      <c r="AC5968" s="117" t="str">
        <f>IF(AB5968=1,COUNTIF($AB$3:AB5968,1),"")</f>
        <v/>
      </c>
      <c r="AD5968" s="117" t="str">
        <f>IFERROR(INDEX($AA$3:$AA$10000,MATCH(ROWS($AC$3:AC5968),$AC$3:$AC$10000,0)),"")</f>
        <v/>
      </c>
    </row>
    <row r="5969" spans="27:30">
      <c r="AA5969" s="117">
        <f>+'Ingredient List - Mother Tinctu'!D5970</f>
        <v>0</v>
      </c>
      <c r="AB5969" s="117">
        <f t="shared" si="96"/>
        <v>0</v>
      </c>
      <c r="AC5969" s="117" t="str">
        <f>IF(AB5969=1,COUNTIF($AB$3:AB5969,1),"")</f>
        <v/>
      </c>
      <c r="AD5969" s="117" t="str">
        <f>IFERROR(INDEX($AA$3:$AA$10000,MATCH(ROWS($AC$3:AC5969),$AC$3:$AC$10000,0)),"")</f>
        <v/>
      </c>
    </row>
    <row r="5970" spans="27:30">
      <c r="AA5970" s="117">
        <f>+'Ingredient List - Mother Tinctu'!D5971</f>
        <v>0</v>
      </c>
      <c r="AB5970" s="117">
        <f t="shared" si="96"/>
        <v>0</v>
      </c>
      <c r="AC5970" s="117" t="str">
        <f>IF(AB5970=1,COUNTIF($AB$3:AB5970,1),"")</f>
        <v/>
      </c>
      <c r="AD5970" s="117" t="str">
        <f>IFERROR(INDEX($AA$3:$AA$10000,MATCH(ROWS($AC$3:AC5970),$AC$3:$AC$10000,0)),"")</f>
        <v/>
      </c>
    </row>
    <row r="5971" spans="27:30">
      <c r="AA5971" s="117">
        <f>+'Ingredient List - Mother Tinctu'!D5972</f>
        <v>0</v>
      </c>
      <c r="AB5971" s="117">
        <f t="shared" si="96"/>
        <v>0</v>
      </c>
      <c r="AC5971" s="117" t="str">
        <f>IF(AB5971=1,COUNTIF($AB$3:AB5971,1),"")</f>
        <v/>
      </c>
      <c r="AD5971" s="117" t="str">
        <f>IFERROR(INDEX($AA$3:$AA$10000,MATCH(ROWS($AC$3:AC5971),$AC$3:$AC$10000,0)),"")</f>
        <v/>
      </c>
    </row>
    <row r="5972" spans="27:30">
      <c r="AA5972" s="117">
        <f>+'Ingredient List - Mother Tinctu'!D5973</f>
        <v>0</v>
      </c>
      <c r="AB5972" s="117">
        <f t="shared" si="96"/>
        <v>0</v>
      </c>
      <c r="AC5972" s="117" t="str">
        <f>IF(AB5972=1,COUNTIF($AB$3:AB5972,1),"")</f>
        <v/>
      </c>
      <c r="AD5972" s="117" t="str">
        <f>IFERROR(INDEX($AA$3:$AA$10000,MATCH(ROWS($AC$3:AC5972),$AC$3:$AC$10000,0)),"")</f>
        <v/>
      </c>
    </row>
    <row r="5973" spans="27:30">
      <c r="AA5973" s="117">
        <f>+'Ingredient List - Mother Tinctu'!D5974</f>
        <v>0</v>
      </c>
      <c r="AB5973" s="117">
        <f t="shared" si="96"/>
        <v>0</v>
      </c>
      <c r="AC5973" s="117" t="str">
        <f>IF(AB5973=1,COUNTIF($AB$3:AB5973,1),"")</f>
        <v/>
      </c>
      <c r="AD5973" s="117" t="str">
        <f>IFERROR(INDEX($AA$3:$AA$10000,MATCH(ROWS($AC$3:AC5973),$AC$3:$AC$10000,0)),"")</f>
        <v/>
      </c>
    </row>
    <row r="5974" spans="27:30">
      <c r="AA5974" s="117">
        <f>+'Ingredient List - Mother Tinctu'!D5975</f>
        <v>0</v>
      </c>
      <c r="AB5974" s="117">
        <f t="shared" si="96"/>
        <v>0</v>
      </c>
      <c r="AC5974" s="117" t="str">
        <f>IF(AB5974=1,COUNTIF($AB$3:AB5974,1),"")</f>
        <v/>
      </c>
      <c r="AD5974" s="117" t="str">
        <f>IFERROR(INDEX($AA$3:$AA$10000,MATCH(ROWS($AC$3:AC5974),$AC$3:$AC$10000,0)),"")</f>
        <v/>
      </c>
    </row>
    <row r="5975" spans="27:30">
      <c r="AA5975" s="117">
        <f>+'Ingredient List - Mother Tinctu'!D5976</f>
        <v>0</v>
      </c>
      <c r="AB5975" s="117">
        <f t="shared" si="96"/>
        <v>0</v>
      </c>
      <c r="AC5975" s="117" t="str">
        <f>IF(AB5975=1,COUNTIF($AB$3:AB5975,1),"")</f>
        <v/>
      </c>
      <c r="AD5975" s="117" t="str">
        <f>IFERROR(INDEX($AA$3:$AA$10000,MATCH(ROWS($AC$3:AC5975),$AC$3:$AC$10000,0)),"")</f>
        <v/>
      </c>
    </row>
    <row r="5976" spans="27:30">
      <c r="AA5976" s="117">
        <f>+'Ingredient List - Mother Tinctu'!D5977</f>
        <v>0</v>
      </c>
      <c r="AB5976" s="117">
        <f t="shared" si="96"/>
        <v>0</v>
      </c>
      <c r="AC5976" s="117" t="str">
        <f>IF(AB5976=1,COUNTIF($AB$3:AB5976,1),"")</f>
        <v/>
      </c>
      <c r="AD5976" s="117" t="str">
        <f>IFERROR(INDEX($AA$3:$AA$10000,MATCH(ROWS($AC$3:AC5976),$AC$3:$AC$10000,0)),"")</f>
        <v/>
      </c>
    </row>
    <row r="5977" spans="27:30">
      <c r="AA5977" s="117">
        <f>+'Ingredient List - Mother Tinctu'!D5978</f>
        <v>0</v>
      </c>
      <c r="AB5977" s="117">
        <f t="shared" si="96"/>
        <v>0</v>
      </c>
      <c r="AC5977" s="117" t="str">
        <f>IF(AB5977=1,COUNTIF($AB$3:AB5977,1),"")</f>
        <v/>
      </c>
      <c r="AD5977" s="117" t="str">
        <f>IFERROR(INDEX($AA$3:$AA$10000,MATCH(ROWS($AC$3:AC5977),$AC$3:$AC$10000,0)),"")</f>
        <v/>
      </c>
    </row>
    <row r="5978" spans="27:30">
      <c r="AA5978" s="117">
        <f>+'Ingredient List - Mother Tinctu'!D5979</f>
        <v>0</v>
      </c>
      <c r="AB5978" s="117">
        <f t="shared" si="96"/>
        <v>0</v>
      </c>
      <c r="AC5978" s="117" t="str">
        <f>IF(AB5978=1,COUNTIF($AB$3:AB5978,1),"")</f>
        <v/>
      </c>
      <c r="AD5978" s="117" t="str">
        <f>IFERROR(INDEX($AA$3:$AA$10000,MATCH(ROWS($AC$3:AC5978),$AC$3:$AC$10000,0)),"")</f>
        <v/>
      </c>
    </row>
    <row r="5979" spans="27:30">
      <c r="AA5979" s="117">
        <f>+'Ingredient List - Mother Tinctu'!D5980</f>
        <v>0</v>
      </c>
      <c r="AB5979" s="117">
        <f t="shared" si="96"/>
        <v>0</v>
      </c>
      <c r="AC5979" s="117" t="str">
        <f>IF(AB5979=1,COUNTIF($AB$3:AB5979,1),"")</f>
        <v/>
      </c>
      <c r="AD5979" s="117" t="str">
        <f>IFERROR(INDEX($AA$3:$AA$10000,MATCH(ROWS($AC$3:AC5979),$AC$3:$AC$10000,0)),"")</f>
        <v/>
      </c>
    </row>
    <row r="5980" spans="27:30">
      <c r="AA5980" s="117">
        <f>+'Ingredient List - Mother Tinctu'!D5981</f>
        <v>0</v>
      </c>
      <c r="AB5980" s="117">
        <f t="shared" si="96"/>
        <v>0</v>
      </c>
      <c r="AC5980" s="117" t="str">
        <f>IF(AB5980=1,COUNTIF($AB$3:AB5980,1),"")</f>
        <v/>
      </c>
      <c r="AD5980" s="117" t="str">
        <f>IFERROR(INDEX($AA$3:$AA$10000,MATCH(ROWS($AC$3:AC5980),$AC$3:$AC$10000,0)),"")</f>
        <v/>
      </c>
    </row>
    <row r="5981" spans="27:30">
      <c r="AA5981" s="117">
        <f>+'Ingredient List - Mother Tinctu'!D5982</f>
        <v>0</v>
      </c>
      <c r="AB5981" s="117">
        <f t="shared" si="96"/>
        <v>0</v>
      </c>
      <c r="AC5981" s="117" t="str">
        <f>IF(AB5981=1,COUNTIF($AB$3:AB5981,1),"")</f>
        <v/>
      </c>
      <c r="AD5981" s="117" t="str">
        <f>IFERROR(INDEX($AA$3:$AA$10000,MATCH(ROWS($AC$3:AC5981),$AC$3:$AC$10000,0)),"")</f>
        <v/>
      </c>
    </row>
    <row r="5982" spans="27:30">
      <c r="AA5982" s="117">
        <f>+'Ingredient List - Mother Tinctu'!D5983</f>
        <v>0</v>
      </c>
      <c r="AB5982" s="117">
        <f t="shared" si="96"/>
        <v>0</v>
      </c>
      <c r="AC5982" s="117" t="str">
        <f>IF(AB5982=1,COUNTIF($AB$3:AB5982,1),"")</f>
        <v/>
      </c>
      <c r="AD5982" s="117" t="str">
        <f>IFERROR(INDEX($AA$3:$AA$10000,MATCH(ROWS($AC$3:AC5982),$AC$3:$AC$10000,0)),"")</f>
        <v/>
      </c>
    </row>
    <row r="5983" spans="27:30">
      <c r="AA5983" s="117">
        <f>+'Ingredient List - Mother Tinctu'!D5984</f>
        <v>0</v>
      </c>
      <c r="AB5983" s="117">
        <f t="shared" si="96"/>
        <v>0</v>
      </c>
      <c r="AC5983" s="117" t="str">
        <f>IF(AB5983=1,COUNTIF($AB$3:AB5983,1),"")</f>
        <v/>
      </c>
      <c r="AD5983" s="117" t="str">
        <f>IFERROR(INDEX($AA$3:$AA$10000,MATCH(ROWS($AC$3:AC5983),$AC$3:$AC$10000,0)),"")</f>
        <v/>
      </c>
    </row>
    <row r="5984" spans="27:30">
      <c r="AA5984" s="117">
        <f>+'Ingredient List - Mother Tinctu'!D5985</f>
        <v>0</v>
      </c>
      <c r="AB5984" s="117">
        <f t="shared" si="96"/>
        <v>0</v>
      </c>
      <c r="AC5984" s="117" t="str">
        <f>IF(AB5984=1,COUNTIF($AB$3:AB5984,1),"")</f>
        <v/>
      </c>
      <c r="AD5984" s="117" t="str">
        <f>IFERROR(INDEX($AA$3:$AA$10000,MATCH(ROWS($AC$3:AC5984),$AC$3:$AC$10000,0)),"")</f>
        <v/>
      </c>
    </row>
    <row r="5985" spans="27:30">
      <c r="AA5985" s="117">
        <f>+'Ingredient List - Mother Tinctu'!D5986</f>
        <v>0</v>
      </c>
      <c r="AB5985" s="117">
        <f t="shared" si="96"/>
        <v>0</v>
      </c>
      <c r="AC5985" s="117" t="str">
        <f>IF(AB5985=1,COUNTIF($AB$3:AB5985,1),"")</f>
        <v/>
      </c>
      <c r="AD5985" s="117" t="str">
        <f>IFERROR(INDEX($AA$3:$AA$10000,MATCH(ROWS($AC$3:AC5985),$AC$3:$AC$10000,0)),"")</f>
        <v/>
      </c>
    </row>
    <row r="5986" spans="27:30">
      <c r="AA5986" s="117">
        <f>+'Ingredient List - Mother Tinctu'!D5987</f>
        <v>0</v>
      </c>
      <c r="AB5986" s="117">
        <f t="shared" si="96"/>
        <v>0</v>
      </c>
      <c r="AC5986" s="117" t="str">
        <f>IF(AB5986=1,COUNTIF($AB$3:AB5986,1),"")</f>
        <v/>
      </c>
      <c r="AD5986" s="117" t="str">
        <f>IFERROR(INDEX($AA$3:$AA$10000,MATCH(ROWS($AC$3:AC5986),$AC$3:$AC$10000,0)),"")</f>
        <v/>
      </c>
    </row>
    <row r="5987" spans="27:30">
      <c r="AA5987" s="117">
        <f>+'Ingredient List - Mother Tinctu'!D5988</f>
        <v>0</v>
      </c>
      <c r="AB5987" s="117">
        <f t="shared" si="96"/>
        <v>0</v>
      </c>
      <c r="AC5987" s="117" t="str">
        <f>IF(AB5987=1,COUNTIF($AB$3:AB5987,1),"")</f>
        <v/>
      </c>
      <c r="AD5987" s="117" t="str">
        <f>IFERROR(INDEX($AA$3:$AA$10000,MATCH(ROWS($AC$3:AC5987),$AC$3:$AC$10000,0)),"")</f>
        <v/>
      </c>
    </row>
    <row r="5988" spans="27:30">
      <c r="AA5988" s="117">
        <f>+'Ingredient List - Mother Tinctu'!D5989</f>
        <v>0</v>
      </c>
      <c r="AB5988" s="117">
        <f t="shared" si="96"/>
        <v>0</v>
      </c>
      <c r="AC5988" s="117" t="str">
        <f>IF(AB5988=1,COUNTIF($AB$3:AB5988,1),"")</f>
        <v/>
      </c>
      <c r="AD5988" s="117" t="str">
        <f>IFERROR(INDEX($AA$3:$AA$10000,MATCH(ROWS($AC$3:AC5988),$AC$3:$AC$10000,0)),"")</f>
        <v/>
      </c>
    </row>
    <row r="5989" spans="27:30">
      <c r="AA5989" s="117">
        <f>+'Ingredient List - Mother Tinctu'!D5990</f>
        <v>0</v>
      </c>
      <c r="AB5989" s="117">
        <f t="shared" si="96"/>
        <v>0</v>
      </c>
      <c r="AC5989" s="117" t="str">
        <f>IF(AB5989=1,COUNTIF($AB$3:AB5989,1),"")</f>
        <v/>
      </c>
      <c r="AD5989" s="117" t="str">
        <f>IFERROR(INDEX($AA$3:$AA$10000,MATCH(ROWS($AC$3:AC5989),$AC$3:$AC$10000,0)),"")</f>
        <v/>
      </c>
    </row>
    <row r="5990" spans="27:30">
      <c r="AA5990" s="117">
        <f>+'Ingredient List - Mother Tinctu'!D5991</f>
        <v>0</v>
      </c>
      <c r="AB5990" s="117">
        <f t="shared" si="96"/>
        <v>0</v>
      </c>
      <c r="AC5990" s="117" t="str">
        <f>IF(AB5990=1,COUNTIF($AB$3:AB5990,1),"")</f>
        <v/>
      </c>
      <c r="AD5990" s="117" t="str">
        <f>IFERROR(INDEX($AA$3:$AA$10000,MATCH(ROWS($AC$3:AC5990),$AC$3:$AC$10000,0)),"")</f>
        <v/>
      </c>
    </row>
    <row r="5991" spans="27:30">
      <c r="AA5991" s="117">
        <f>+'Ingredient List - Mother Tinctu'!D5992</f>
        <v>0</v>
      </c>
      <c r="AB5991" s="117">
        <f t="shared" si="96"/>
        <v>0</v>
      </c>
      <c r="AC5991" s="117" t="str">
        <f>IF(AB5991=1,COUNTIF($AB$3:AB5991,1),"")</f>
        <v/>
      </c>
      <c r="AD5991" s="117" t="str">
        <f>IFERROR(INDEX($AA$3:$AA$10000,MATCH(ROWS($AC$3:AC5991),$AC$3:$AC$10000,0)),"")</f>
        <v/>
      </c>
    </row>
    <row r="5992" spans="27:30">
      <c r="AA5992" s="117">
        <f>+'Ingredient List - Mother Tinctu'!D5993</f>
        <v>0</v>
      </c>
      <c r="AB5992" s="117">
        <f t="shared" si="96"/>
        <v>0</v>
      </c>
      <c r="AC5992" s="117" t="str">
        <f>IF(AB5992=1,COUNTIF($AB$3:AB5992,1),"")</f>
        <v/>
      </c>
      <c r="AD5992" s="117" t="str">
        <f>IFERROR(INDEX($AA$3:$AA$10000,MATCH(ROWS($AC$3:AC5992),$AC$3:$AC$10000,0)),"")</f>
        <v/>
      </c>
    </row>
    <row r="5993" spans="27:30">
      <c r="AA5993" s="117">
        <f>+'Ingredient List - Mother Tinctu'!D5994</f>
        <v>0</v>
      </c>
      <c r="AB5993" s="117">
        <f t="shared" si="96"/>
        <v>0</v>
      </c>
      <c r="AC5993" s="117" t="str">
        <f>IF(AB5993=1,COUNTIF($AB$3:AB5993,1),"")</f>
        <v/>
      </c>
      <c r="AD5993" s="117" t="str">
        <f>IFERROR(INDEX($AA$3:$AA$10000,MATCH(ROWS($AC$3:AC5993),$AC$3:$AC$10000,0)),"")</f>
        <v/>
      </c>
    </row>
    <row r="5994" spans="27:30">
      <c r="AA5994" s="117">
        <f>+'Ingredient List - Mother Tinctu'!D5995</f>
        <v>0</v>
      </c>
      <c r="AB5994" s="117">
        <f t="shared" si="96"/>
        <v>0</v>
      </c>
      <c r="AC5994" s="117" t="str">
        <f>IF(AB5994=1,COUNTIF($AB$3:AB5994,1),"")</f>
        <v/>
      </c>
      <c r="AD5994" s="117" t="str">
        <f>IFERROR(INDEX($AA$3:$AA$10000,MATCH(ROWS($AC$3:AC5994),$AC$3:$AC$10000,0)),"")</f>
        <v/>
      </c>
    </row>
    <row r="5995" spans="27:30">
      <c r="AA5995" s="117">
        <f>+'Ingredient List - Mother Tinctu'!D5996</f>
        <v>0</v>
      </c>
      <c r="AB5995" s="117">
        <f t="shared" si="96"/>
        <v>0</v>
      </c>
      <c r="AC5995" s="117" t="str">
        <f>IF(AB5995=1,COUNTIF($AB$3:AB5995,1),"")</f>
        <v/>
      </c>
      <c r="AD5995" s="117" t="str">
        <f>IFERROR(INDEX($AA$3:$AA$10000,MATCH(ROWS($AC$3:AC5995),$AC$3:$AC$10000,0)),"")</f>
        <v/>
      </c>
    </row>
    <row r="5996" spans="27:30">
      <c r="AA5996" s="117">
        <f>+'Ingredient List - Mother Tinctu'!D5997</f>
        <v>0</v>
      </c>
      <c r="AB5996" s="117">
        <f t="shared" si="96"/>
        <v>0</v>
      </c>
      <c r="AC5996" s="117" t="str">
        <f>IF(AB5996=1,COUNTIF($AB$3:AB5996,1),"")</f>
        <v/>
      </c>
      <c r="AD5996" s="117" t="str">
        <f>IFERROR(INDEX($AA$3:$AA$10000,MATCH(ROWS($AC$3:AC5996),$AC$3:$AC$10000,0)),"")</f>
        <v/>
      </c>
    </row>
    <row r="5997" spans="27:30">
      <c r="AA5997" s="117">
        <f>+'Ingredient List - Mother Tinctu'!D5998</f>
        <v>0</v>
      </c>
      <c r="AB5997" s="117">
        <f t="shared" si="96"/>
        <v>0</v>
      </c>
      <c r="AC5997" s="117" t="str">
        <f>IF(AB5997=1,COUNTIF($AB$3:AB5997,1),"")</f>
        <v/>
      </c>
      <c r="AD5997" s="117" t="str">
        <f>IFERROR(INDEX($AA$3:$AA$10000,MATCH(ROWS($AC$3:AC5997),$AC$3:$AC$10000,0)),"")</f>
        <v/>
      </c>
    </row>
    <row r="5998" spans="27:30">
      <c r="AA5998" s="117">
        <f>+'Ingredient List - Mother Tinctu'!D5999</f>
        <v>0</v>
      </c>
      <c r="AB5998" s="117">
        <f t="shared" si="96"/>
        <v>0</v>
      </c>
      <c r="AC5998" s="117" t="str">
        <f>IF(AB5998=1,COUNTIF($AB$3:AB5998,1),"")</f>
        <v/>
      </c>
      <c r="AD5998" s="117" t="str">
        <f>IFERROR(INDEX($AA$3:$AA$10000,MATCH(ROWS($AC$3:AC5998),$AC$3:$AC$10000,0)),"")</f>
        <v/>
      </c>
    </row>
    <row r="5999" spans="27:30">
      <c r="AA5999" s="117">
        <f>+'Ingredient List - Mother Tinctu'!D6000</f>
        <v>0</v>
      </c>
      <c r="AB5999" s="117">
        <f t="shared" si="96"/>
        <v>0</v>
      </c>
      <c r="AC5999" s="117" t="str">
        <f>IF(AB5999=1,COUNTIF($AB$3:AB5999,1),"")</f>
        <v/>
      </c>
      <c r="AD5999" s="117" t="str">
        <f>IFERROR(INDEX($AA$3:$AA$10000,MATCH(ROWS($AC$3:AC5999),$AC$3:$AC$10000,0)),"")</f>
        <v/>
      </c>
    </row>
    <row r="6000" spans="27:30">
      <c r="AA6000" s="117">
        <f>+'Ingredient List - Mother Tinctu'!D6001</f>
        <v>0</v>
      </c>
      <c r="AB6000" s="117">
        <f t="shared" si="96"/>
        <v>0</v>
      </c>
      <c r="AC6000" s="117" t="str">
        <f>IF(AB6000=1,COUNTIF($AB$3:AB6000,1),"")</f>
        <v/>
      </c>
      <c r="AD6000" s="117" t="str">
        <f>IFERROR(INDEX($AA$3:$AA$10000,MATCH(ROWS($AC$3:AC6000),$AC$3:$AC$10000,0)),"")</f>
        <v/>
      </c>
    </row>
    <row r="6001" spans="27:30">
      <c r="AA6001" s="117">
        <f>+'Ingredient List - Mother Tinctu'!D6002</f>
        <v>0</v>
      </c>
      <c r="AB6001" s="117">
        <f t="shared" si="96"/>
        <v>0</v>
      </c>
      <c r="AC6001" s="117" t="str">
        <f>IF(AB6001=1,COUNTIF($AB$3:AB6001,1),"")</f>
        <v/>
      </c>
      <c r="AD6001" s="117" t="str">
        <f>IFERROR(INDEX($AA$3:$AA$10000,MATCH(ROWS($AC$3:AC6001),$AC$3:$AC$10000,0)),"")</f>
        <v/>
      </c>
    </row>
    <row r="6002" spans="27:30">
      <c r="AA6002" s="117">
        <f>+'Ingredient List - Mother Tinctu'!D6003</f>
        <v>0</v>
      </c>
      <c r="AB6002" s="117">
        <f t="shared" si="96"/>
        <v>0</v>
      </c>
      <c r="AC6002" s="117" t="str">
        <f>IF(AB6002=1,COUNTIF($AB$3:AB6002,1),"")</f>
        <v/>
      </c>
      <c r="AD6002" s="117" t="str">
        <f>IFERROR(INDEX($AA$3:$AA$10000,MATCH(ROWS($AC$3:AC6002),$AC$3:$AC$10000,0)),"")</f>
        <v/>
      </c>
    </row>
    <row r="6003" spans="27:30">
      <c r="AA6003" s="117">
        <f>+'Ingredient List - Mother Tinctu'!D6004</f>
        <v>0</v>
      </c>
      <c r="AB6003" s="117">
        <f t="shared" si="96"/>
        <v>0</v>
      </c>
      <c r="AC6003" s="117" t="str">
        <f>IF(AB6003=1,COUNTIF($AB$3:AB6003,1),"")</f>
        <v/>
      </c>
      <c r="AD6003" s="117" t="str">
        <f>IFERROR(INDEX($AA$3:$AA$10000,MATCH(ROWS($AC$3:AC6003),$AC$3:$AC$10000,0)),"")</f>
        <v/>
      </c>
    </row>
    <row r="6004" spans="27:30">
      <c r="AA6004" s="117">
        <f>+'Ingredient List - Mother Tinctu'!D6005</f>
        <v>0</v>
      </c>
      <c r="AB6004" s="117">
        <f t="shared" si="96"/>
        <v>0</v>
      </c>
      <c r="AC6004" s="117" t="str">
        <f>IF(AB6004=1,COUNTIF($AB$3:AB6004,1),"")</f>
        <v/>
      </c>
      <c r="AD6004" s="117" t="str">
        <f>IFERROR(INDEX($AA$3:$AA$10000,MATCH(ROWS($AC$3:AC6004),$AC$3:$AC$10000,0)),"")</f>
        <v/>
      </c>
    </row>
    <row r="6005" spans="27:30">
      <c r="AA6005" s="117">
        <f>+'Ingredient List - Mother Tinctu'!D6006</f>
        <v>0</v>
      </c>
      <c r="AB6005" s="117">
        <f t="shared" si="96"/>
        <v>0</v>
      </c>
      <c r="AC6005" s="117" t="str">
        <f>IF(AB6005=1,COUNTIF($AB$3:AB6005,1),"")</f>
        <v/>
      </c>
      <c r="AD6005" s="117" t="str">
        <f>IFERROR(INDEX($AA$3:$AA$10000,MATCH(ROWS($AC$3:AC6005),$AC$3:$AC$10000,0)),"")</f>
        <v/>
      </c>
    </row>
    <row r="6006" spans="27:30">
      <c r="AA6006" s="117">
        <f>+'Ingredient List - Mother Tinctu'!D6007</f>
        <v>0</v>
      </c>
      <c r="AB6006" s="117">
        <f t="shared" si="96"/>
        <v>0</v>
      </c>
      <c r="AC6006" s="117" t="str">
        <f>IF(AB6006=1,COUNTIF($AB$3:AB6006,1),"")</f>
        <v/>
      </c>
      <c r="AD6006" s="117" t="str">
        <f>IFERROR(INDEX($AA$3:$AA$10000,MATCH(ROWS($AC$3:AC6006),$AC$3:$AC$10000,0)),"")</f>
        <v/>
      </c>
    </row>
    <row r="6007" spans="27:30">
      <c r="AA6007" s="117">
        <f>+'Ingredient List - Mother Tinctu'!D6008</f>
        <v>0</v>
      </c>
      <c r="AB6007" s="117">
        <f t="shared" si="96"/>
        <v>0</v>
      </c>
      <c r="AC6007" s="117" t="str">
        <f>IF(AB6007=1,COUNTIF($AB$3:AB6007,1),"")</f>
        <v/>
      </c>
      <c r="AD6007" s="117" t="str">
        <f>IFERROR(INDEX($AA$3:$AA$10000,MATCH(ROWS($AC$3:AC6007),$AC$3:$AC$10000,0)),"")</f>
        <v/>
      </c>
    </row>
    <row r="6008" spans="27:30">
      <c r="AA6008" s="117">
        <f>+'Ingredient List - Mother Tinctu'!D6009</f>
        <v>0</v>
      </c>
      <c r="AB6008" s="117">
        <f t="shared" si="96"/>
        <v>0</v>
      </c>
      <c r="AC6008" s="117" t="str">
        <f>IF(AB6008=1,COUNTIF($AB$3:AB6008,1),"")</f>
        <v/>
      </c>
      <c r="AD6008" s="117" t="str">
        <f>IFERROR(INDEX($AA$3:$AA$10000,MATCH(ROWS($AC$3:AC6008),$AC$3:$AC$10000,0)),"")</f>
        <v/>
      </c>
    </row>
    <row r="6009" spans="27:30">
      <c r="AA6009" s="117">
        <f>+'Ingredient List - Mother Tinctu'!D6010</f>
        <v>0</v>
      </c>
      <c r="AB6009" s="117">
        <f t="shared" si="96"/>
        <v>0</v>
      </c>
      <c r="AC6009" s="117" t="str">
        <f>IF(AB6009=1,COUNTIF($AB$3:AB6009,1),"")</f>
        <v/>
      </c>
      <c r="AD6009" s="117" t="str">
        <f>IFERROR(INDEX($AA$3:$AA$10000,MATCH(ROWS($AC$3:AC6009),$AC$3:$AC$10000,0)),"")</f>
        <v/>
      </c>
    </row>
    <row r="6010" spans="27:30">
      <c r="AA6010" s="117">
        <f>+'Ingredient List - Mother Tinctu'!D6011</f>
        <v>0</v>
      </c>
      <c r="AB6010" s="117">
        <f t="shared" si="96"/>
        <v>0</v>
      </c>
      <c r="AC6010" s="117" t="str">
        <f>IF(AB6010=1,COUNTIF($AB$3:AB6010,1),"")</f>
        <v/>
      </c>
      <c r="AD6010" s="117" t="str">
        <f>IFERROR(INDEX($AA$3:$AA$10000,MATCH(ROWS($AC$3:AC6010),$AC$3:$AC$10000,0)),"")</f>
        <v/>
      </c>
    </row>
    <row r="6011" spans="27:30">
      <c r="AA6011" s="117">
        <f>+'Ingredient List - Mother Tinctu'!D6012</f>
        <v>0</v>
      </c>
      <c r="AB6011" s="117">
        <f t="shared" si="96"/>
        <v>0</v>
      </c>
      <c r="AC6011" s="117" t="str">
        <f>IF(AB6011=1,COUNTIF($AB$3:AB6011,1),"")</f>
        <v/>
      </c>
      <c r="AD6011" s="117" t="str">
        <f>IFERROR(INDEX($AA$3:$AA$10000,MATCH(ROWS($AC$3:AC6011),$AC$3:$AC$10000,0)),"")</f>
        <v/>
      </c>
    </row>
    <row r="6012" spans="27:30">
      <c r="AA6012" s="117">
        <f>+'Ingredient List - Mother Tinctu'!D6013</f>
        <v>0</v>
      </c>
      <c r="AB6012" s="117">
        <f t="shared" si="96"/>
        <v>0</v>
      </c>
      <c r="AC6012" s="117" t="str">
        <f>IF(AB6012=1,COUNTIF($AB$3:AB6012,1),"")</f>
        <v/>
      </c>
      <c r="AD6012" s="117" t="str">
        <f>IFERROR(INDEX($AA$3:$AA$10000,MATCH(ROWS($AC$3:AC6012),$AC$3:$AC$10000,0)),"")</f>
        <v/>
      </c>
    </row>
    <row r="6013" spans="27:30">
      <c r="AA6013" s="117">
        <f>+'Ingredient List - Mother Tinctu'!D6014</f>
        <v>0</v>
      </c>
      <c r="AB6013" s="117">
        <f t="shared" si="96"/>
        <v>0</v>
      </c>
      <c r="AC6013" s="117" t="str">
        <f>IF(AB6013=1,COUNTIF($AB$3:AB6013,1),"")</f>
        <v/>
      </c>
      <c r="AD6013" s="117" t="str">
        <f>IFERROR(INDEX($AA$3:$AA$10000,MATCH(ROWS($AC$3:AC6013),$AC$3:$AC$10000,0)),"")</f>
        <v/>
      </c>
    </row>
    <row r="6014" spans="27:30">
      <c r="AA6014" s="117">
        <f>+'Ingredient List - Mother Tinctu'!D6015</f>
        <v>0</v>
      </c>
      <c r="AB6014" s="117">
        <f t="shared" si="96"/>
        <v>0</v>
      </c>
      <c r="AC6014" s="117" t="str">
        <f>IF(AB6014=1,COUNTIF($AB$3:AB6014,1),"")</f>
        <v/>
      </c>
      <c r="AD6014" s="117" t="str">
        <f>IFERROR(INDEX($AA$3:$AA$10000,MATCH(ROWS($AC$3:AC6014),$AC$3:$AC$10000,0)),"")</f>
        <v/>
      </c>
    </row>
    <row r="6015" spans="27:30">
      <c r="AA6015" s="117">
        <f>+'Ingredient List - Mother Tinctu'!D6016</f>
        <v>0</v>
      </c>
      <c r="AB6015" s="117">
        <f t="shared" si="96"/>
        <v>0</v>
      </c>
      <c r="AC6015" s="117" t="str">
        <f>IF(AB6015=1,COUNTIF($AB$3:AB6015,1),"")</f>
        <v/>
      </c>
      <c r="AD6015" s="117" t="str">
        <f>IFERROR(INDEX($AA$3:$AA$10000,MATCH(ROWS($AC$3:AC6015),$AC$3:$AC$10000,0)),"")</f>
        <v/>
      </c>
    </row>
    <row r="6016" spans="27:30">
      <c r="AA6016" s="117">
        <f>+'Ingredient List - Mother Tinctu'!D6017</f>
        <v>0</v>
      </c>
      <c r="AB6016" s="117">
        <f t="shared" si="96"/>
        <v>0</v>
      </c>
      <c r="AC6016" s="117" t="str">
        <f>IF(AB6016=1,COUNTIF($AB$3:AB6016,1),"")</f>
        <v/>
      </c>
      <c r="AD6016" s="117" t="str">
        <f>IFERROR(INDEX($AA$3:$AA$10000,MATCH(ROWS($AC$3:AC6016),$AC$3:$AC$10000,0)),"")</f>
        <v/>
      </c>
    </row>
    <row r="6017" spans="27:30">
      <c r="AA6017" s="117">
        <f>+'Ingredient List - Mother Tinctu'!D6018</f>
        <v>0</v>
      </c>
      <c r="AB6017" s="117">
        <f t="shared" si="96"/>
        <v>0</v>
      </c>
      <c r="AC6017" s="117" t="str">
        <f>IF(AB6017=1,COUNTIF($AB$3:AB6017,1),"")</f>
        <v/>
      </c>
      <c r="AD6017" s="117" t="str">
        <f>IFERROR(INDEX($AA$3:$AA$10000,MATCH(ROWS($AC$3:AC6017),$AC$3:$AC$10000,0)),"")</f>
        <v/>
      </c>
    </row>
    <row r="6018" spans="27:30">
      <c r="AA6018" s="117">
        <f>+'Ingredient List - Mother Tinctu'!D6019</f>
        <v>0</v>
      </c>
      <c r="AB6018" s="117">
        <f t="shared" si="96"/>
        <v>0</v>
      </c>
      <c r="AC6018" s="117" t="str">
        <f>IF(AB6018=1,COUNTIF($AB$3:AB6018,1),"")</f>
        <v/>
      </c>
      <c r="AD6018" s="117" t="str">
        <f>IFERROR(INDEX($AA$3:$AA$10000,MATCH(ROWS($AC$3:AC6018),$AC$3:$AC$10000,0)),"")</f>
        <v/>
      </c>
    </row>
    <row r="6019" spans="27:30">
      <c r="AA6019" s="117">
        <f>+'Ingredient List - Mother Tinctu'!D6020</f>
        <v>0</v>
      </c>
      <c r="AB6019" s="117">
        <f t="shared" si="96"/>
        <v>0</v>
      </c>
      <c r="AC6019" s="117" t="str">
        <f>IF(AB6019=1,COUNTIF($AB$3:AB6019,1),"")</f>
        <v/>
      </c>
      <c r="AD6019" s="117" t="str">
        <f>IFERROR(INDEX($AA$3:$AA$10000,MATCH(ROWS($AC$3:AC6019),$AC$3:$AC$10000,0)),"")</f>
        <v/>
      </c>
    </row>
    <row r="6020" spans="27:30">
      <c r="AA6020" s="117">
        <f>+'Ingredient List - Mother Tinctu'!D6021</f>
        <v>0</v>
      </c>
      <c r="AB6020" s="117">
        <f t="shared" ref="AB6020:AB6083" si="97">--ISNUMBER(IFERROR(SEARCH($D$3,AA6020,1),""))</f>
        <v>0</v>
      </c>
      <c r="AC6020" s="117" t="str">
        <f>IF(AB6020=1,COUNTIF($AB$3:AB6020,1),"")</f>
        <v/>
      </c>
      <c r="AD6020" s="117" t="str">
        <f>IFERROR(INDEX($AA$3:$AA$10000,MATCH(ROWS($AC$3:AC6020),$AC$3:$AC$10000,0)),"")</f>
        <v/>
      </c>
    </row>
    <row r="6021" spans="27:30">
      <c r="AA6021" s="117">
        <f>+'Ingredient List - Mother Tinctu'!D6022</f>
        <v>0</v>
      </c>
      <c r="AB6021" s="117">
        <f t="shared" si="97"/>
        <v>0</v>
      </c>
      <c r="AC6021" s="117" t="str">
        <f>IF(AB6021=1,COUNTIF($AB$3:AB6021,1),"")</f>
        <v/>
      </c>
      <c r="AD6021" s="117" t="str">
        <f>IFERROR(INDEX($AA$3:$AA$10000,MATCH(ROWS($AC$3:AC6021),$AC$3:$AC$10000,0)),"")</f>
        <v/>
      </c>
    </row>
    <row r="6022" spans="27:30">
      <c r="AA6022" s="117">
        <f>+'Ingredient List - Mother Tinctu'!D6023</f>
        <v>0</v>
      </c>
      <c r="AB6022" s="117">
        <f t="shared" si="97"/>
        <v>0</v>
      </c>
      <c r="AC6022" s="117" t="str">
        <f>IF(AB6022=1,COUNTIF($AB$3:AB6022,1),"")</f>
        <v/>
      </c>
      <c r="AD6022" s="117" t="str">
        <f>IFERROR(INDEX($AA$3:$AA$10000,MATCH(ROWS($AC$3:AC6022),$AC$3:$AC$10000,0)),"")</f>
        <v/>
      </c>
    </row>
    <row r="6023" spans="27:30">
      <c r="AA6023" s="117">
        <f>+'Ingredient List - Mother Tinctu'!D6024</f>
        <v>0</v>
      </c>
      <c r="AB6023" s="117">
        <f t="shared" si="97"/>
        <v>0</v>
      </c>
      <c r="AC6023" s="117" t="str">
        <f>IF(AB6023=1,COUNTIF($AB$3:AB6023,1),"")</f>
        <v/>
      </c>
      <c r="AD6023" s="117" t="str">
        <f>IFERROR(INDEX($AA$3:$AA$10000,MATCH(ROWS($AC$3:AC6023),$AC$3:$AC$10000,0)),"")</f>
        <v/>
      </c>
    </row>
    <row r="6024" spans="27:30">
      <c r="AA6024" s="117">
        <f>+'Ingredient List - Mother Tinctu'!D6025</f>
        <v>0</v>
      </c>
      <c r="AB6024" s="117">
        <f t="shared" si="97"/>
        <v>0</v>
      </c>
      <c r="AC6024" s="117" t="str">
        <f>IF(AB6024=1,COUNTIF($AB$3:AB6024,1),"")</f>
        <v/>
      </c>
      <c r="AD6024" s="117" t="str">
        <f>IFERROR(INDEX($AA$3:$AA$10000,MATCH(ROWS($AC$3:AC6024),$AC$3:$AC$10000,0)),"")</f>
        <v/>
      </c>
    </row>
    <row r="6025" spans="27:30">
      <c r="AA6025" s="117">
        <f>+'Ingredient List - Mother Tinctu'!D6026</f>
        <v>0</v>
      </c>
      <c r="AB6025" s="117">
        <f t="shared" si="97"/>
        <v>0</v>
      </c>
      <c r="AC6025" s="117" t="str">
        <f>IF(AB6025=1,COUNTIF($AB$3:AB6025,1),"")</f>
        <v/>
      </c>
      <c r="AD6025" s="117" t="str">
        <f>IFERROR(INDEX($AA$3:$AA$10000,MATCH(ROWS($AC$3:AC6025),$AC$3:$AC$10000,0)),"")</f>
        <v/>
      </c>
    </row>
    <row r="6026" spans="27:30">
      <c r="AA6026" s="117">
        <f>+'Ingredient List - Mother Tinctu'!D6027</f>
        <v>0</v>
      </c>
      <c r="AB6026" s="117">
        <f t="shared" si="97"/>
        <v>0</v>
      </c>
      <c r="AC6026" s="117" t="str">
        <f>IF(AB6026=1,COUNTIF($AB$3:AB6026,1),"")</f>
        <v/>
      </c>
      <c r="AD6026" s="117" t="str">
        <f>IFERROR(INDEX($AA$3:$AA$10000,MATCH(ROWS($AC$3:AC6026),$AC$3:$AC$10000,0)),"")</f>
        <v/>
      </c>
    </row>
    <row r="6027" spans="27:30">
      <c r="AA6027" s="117">
        <f>+'Ingredient List - Mother Tinctu'!D6028</f>
        <v>0</v>
      </c>
      <c r="AB6027" s="117">
        <f t="shared" si="97"/>
        <v>0</v>
      </c>
      <c r="AC6027" s="117" t="str">
        <f>IF(AB6027=1,COUNTIF($AB$3:AB6027,1),"")</f>
        <v/>
      </c>
      <c r="AD6027" s="117" t="str">
        <f>IFERROR(INDEX($AA$3:$AA$10000,MATCH(ROWS($AC$3:AC6027),$AC$3:$AC$10000,0)),"")</f>
        <v/>
      </c>
    </row>
    <row r="6028" spans="27:30">
      <c r="AA6028" s="117">
        <f>+'Ingredient List - Mother Tinctu'!D6029</f>
        <v>0</v>
      </c>
      <c r="AB6028" s="117">
        <f t="shared" si="97"/>
        <v>0</v>
      </c>
      <c r="AC6028" s="117" t="str">
        <f>IF(AB6028=1,COUNTIF($AB$3:AB6028,1),"")</f>
        <v/>
      </c>
      <c r="AD6028" s="117" t="str">
        <f>IFERROR(INDEX($AA$3:$AA$10000,MATCH(ROWS($AC$3:AC6028),$AC$3:$AC$10000,0)),"")</f>
        <v/>
      </c>
    </row>
    <row r="6029" spans="27:30">
      <c r="AA6029" s="117">
        <f>+'Ingredient List - Mother Tinctu'!D6030</f>
        <v>0</v>
      </c>
      <c r="AB6029" s="117">
        <f t="shared" si="97"/>
        <v>0</v>
      </c>
      <c r="AC6029" s="117" t="str">
        <f>IF(AB6029=1,COUNTIF($AB$3:AB6029,1),"")</f>
        <v/>
      </c>
      <c r="AD6029" s="117" t="str">
        <f>IFERROR(INDEX($AA$3:$AA$10000,MATCH(ROWS($AC$3:AC6029),$AC$3:$AC$10000,0)),"")</f>
        <v/>
      </c>
    </row>
    <row r="6030" spans="27:30">
      <c r="AA6030" s="117">
        <f>+'Ingredient List - Mother Tinctu'!D6031</f>
        <v>0</v>
      </c>
      <c r="AB6030" s="117">
        <f t="shared" si="97"/>
        <v>0</v>
      </c>
      <c r="AC6030" s="117" t="str">
        <f>IF(AB6030=1,COUNTIF($AB$3:AB6030,1),"")</f>
        <v/>
      </c>
      <c r="AD6030" s="117" t="str">
        <f>IFERROR(INDEX($AA$3:$AA$10000,MATCH(ROWS($AC$3:AC6030),$AC$3:$AC$10000,0)),"")</f>
        <v/>
      </c>
    </row>
    <row r="6031" spans="27:30">
      <c r="AA6031" s="117">
        <f>+'Ingredient List - Mother Tinctu'!D6032</f>
        <v>0</v>
      </c>
      <c r="AB6031" s="117">
        <f t="shared" si="97"/>
        <v>0</v>
      </c>
      <c r="AC6031" s="117" t="str">
        <f>IF(AB6031=1,COUNTIF($AB$3:AB6031,1),"")</f>
        <v/>
      </c>
      <c r="AD6031" s="117" t="str">
        <f>IFERROR(INDEX($AA$3:$AA$10000,MATCH(ROWS($AC$3:AC6031),$AC$3:$AC$10000,0)),"")</f>
        <v/>
      </c>
    </row>
    <row r="6032" spans="27:30">
      <c r="AA6032" s="117">
        <f>+'Ingredient List - Mother Tinctu'!D6033</f>
        <v>0</v>
      </c>
      <c r="AB6032" s="117">
        <f t="shared" si="97"/>
        <v>0</v>
      </c>
      <c r="AC6032" s="117" t="str">
        <f>IF(AB6032=1,COUNTIF($AB$3:AB6032,1),"")</f>
        <v/>
      </c>
      <c r="AD6032" s="117" t="str">
        <f>IFERROR(INDEX($AA$3:$AA$10000,MATCH(ROWS($AC$3:AC6032),$AC$3:$AC$10000,0)),"")</f>
        <v/>
      </c>
    </row>
    <row r="6033" spans="27:30">
      <c r="AA6033" s="117">
        <f>+'Ingredient List - Mother Tinctu'!D6034</f>
        <v>0</v>
      </c>
      <c r="AB6033" s="117">
        <f t="shared" si="97"/>
        <v>0</v>
      </c>
      <c r="AC6033" s="117" t="str">
        <f>IF(AB6033=1,COUNTIF($AB$3:AB6033,1),"")</f>
        <v/>
      </c>
      <c r="AD6033" s="117" t="str">
        <f>IFERROR(INDEX($AA$3:$AA$10000,MATCH(ROWS($AC$3:AC6033),$AC$3:$AC$10000,0)),"")</f>
        <v/>
      </c>
    </row>
    <row r="6034" spans="27:30">
      <c r="AA6034" s="117">
        <f>+'Ingredient List - Mother Tinctu'!D6035</f>
        <v>0</v>
      </c>
      <c r="AB6034" s="117">
        <f t="shared" si="97"/>
        <v>0</v>
      </c>
      <c r="AC6034" s="117" t="str">
        <f>IF(AB6034=1,COUNTIF($AB$3:AB6034,1),"")</f>
        <v/>
      </c>
      <c r="AD6034" s="117" t="str">
        <f>IFERROR(INDEX($AA$3:$AA$10000,MATCH(ROWS($AC$3:AC6034),$AC$3:$AC$10000,0)),"")</f>
        <v/>
      </c>
    </row>
    <row r="6035" spans="27:30">
      <c r="AA6035" s="117">
        <f>+'Ingredient List - Mother Tinctu'!D6036</f>
        <v>0</v>
      </c>
      <c r="AB6035" s="117">
        <f t="shared" si="97"/>
        <v>0</v>
      </c>
      <c r="AC6035" s="117" t="str">
        <f>IF(AB6035=1,COUNTIF($AB$3:AB6035,1),"")</f>
        <v/>
      </c>
      <c r="AD6035" s="117" t="str">
        <f>IFERROR(INDEX($AA$3:$AA$10000,MATCH(ROWS($AC$3:AC6035),$AC$3:$AC$10000,0)),"")</f>
        <v/>
      </c>
    </row>
    <row r="6036" spans="27:30">
      <c r="AA6036" s="117">
        <f>+'Ingredient List - Mother Tinctu'!D6037</f>
        <v>0</v>
      </c>
      <c r="AB6036" s="117">
        <f t="shared" si="97"/>
        <v>0</v>
      </c>
      <c r="AC6036" s="117" t="str">
        <f>IF(AB6036=1,COUNTIF($AB$3:AB6036,1),"")</f>
        <v/>
      </c>
      <c r="AD6036" s="117" t="str">
        <f>IFERROR(INDEX($AA$3:$AA$10000,MATCH(ROWS($AC$3:AC6036),$AC$3:$AC$10000,0)),"")</f>
        <v/>
      </c>
    </row>
    <row r="6037" spans="27:30">
      <c r="AA6037" s="117">
        <f>+'Ingredient List - Mother Tinctu'!D6038</f>
        <v>0</v>
      </c>
      <c r="AB6037" s="117">
        <f t="shared" si="97"/>
        <v>0</v>
      </c>
      <c r="AC6037" s="117" t="str">
        <f>IF(AB6037=1,COUNTIF($AB$3:AB6037,1),"")</f>
        <v/>
      </c>
      <c r="AD6037" s="117" t="str">
        <f>IFERROR(INDEX($AA$3:$AA$10000,MATCH(ROWS($AC$3:AC6037),$AC$3:$AC$10000,0)),"")</f>
        <v/>
      </c>
    </row>
    <row r="6038" spans="27:30">
      <c r="AA6038" s="117">
        <f>+'Ingredient List - Mother Tinctu'!D6039</f>
        <v>0</v>
      </c>
      <c r="AB6038" s="117">
        <f t="shared" si="97"/>
        <v>0</v>
      </c>
      <c r="AC6038" s="117" t="str">
        <f>IF(AB6038=1,COUNTIF($AB$3:AB6038,1),"")</f>
        <v/>
      </c>
      <c r="AD6038" s="117" t="str">
        <f>IFERROR(INDEX($AA$3:$AA$10000,MATCH(ROWS($AC$3:AC6038),$AC$3:$AC$10000,0)),"")</f>
        <v/>
      </c>
    </row>
    <row r="6039" spans="27:30">
      <c r="AA6039" s="117">
        <f>+'Ingredient List - Mother Tinctu'!D6040</f>
        <v>0</v>
      </c>
      <c r="AB6039" s="117">
        <f t="shared" si="97"/>
        <v>0</v>
      </c>
      <c r="AC6039" s="117" t="str">
        <f>IF(AB6039=1,COUNTIF($AB$3:AB6039,1),"")</f>
        <v/>
      </c>
      <c r="AD6039" s="117" t="str">
        <f>IFERROR(INDEX($AA$3:$AA$10000,MATCH(ROWS($AC$3:AC6039),$AC$3:$AC$10000,0)),"")</f>
        <v/>
      </c>
    </row>
    <row r="6040" spans="27:30">
      <c r="AA6040" s="117">
        <f>+'Ingredient List - Mother Tinctu'!D6041</f>
        <v>0</v>
      </c>
      <c r="AB6040" s="117">
        <f t="shared" si="97"/>
        <v>0</v>
      </c>
      <c r="AC6040" s="117" t="str">
        <f>IF(AB6040=1,COUNTIF($AB$3:AB6040,1),"")</f>
        <v/>
      </c>
      <c r="AD6040" s="117" t="str">
        <f>IFERROR(INDEX($AA$3:$AA$10000,MATCH(ROWS($AC$3:AC6040),$AC$3:$AC$10000,0)),"")</f>
        <v/>
      </c>
    </row>
    <row r="6041" spans="27:30">
      <c r="AA6041" s="117">
        <f>+'Ingredient List - Mother Tinctu'!D6042</f>
        <v>0</v>
      </c>
      <c r="AB6041" s="117">
        <f t="shared" si="97"/>
        <v>0</v>
      </c>
      <c r="AC6041" s="117" t="str">
        <f>IF(AB6041=1,COUNTIF($AB$3:AB6041,1),"")</f>
        <v/>
      </c>
      <c r="AD6041" s="117" t="str">
        <f>IFERROR(INDEX($AA$3:$AA$10000,MATCH(ROWS($AC$3:AC6041),$AC$3:$AC$10000,0)),"")</f>
        <v/>
      </c>
    </row>
    <row r="6042" spans="27:30">
      <c r="AA6042" s="117">
        <f>+'Ingredient List - Mother Tinctu'!D6043</f>
        <v>0</v>
      </c>
      <c r="AB6042" s="117">
        <f t="shared" si="97"/>
        <v>0</v>
      </c>
      <c r="AC6042" s="117" t="str">
        <f>IF(AB6042=1,COUNTIF($AB$3:AB6042,1),"")</f>
        <v/>
      </c>
      <c r="AD6042" s="117" t="str">
        <f>IFERROR(INDEX($AA$3:$AA$10000,MATCH(ROWS($AC$3:AC6042),$AC$3:$AC$10000,0)),"")</f>
        <v/>
      </c>
    </row>
    <row r="6043" spans="27:30">
      <c r="AA6043" s="117">
        <f>+'Ingredient List - Mother Tinctu'!D6044</f>
        <v>0</v>
      </c>
      <c r="AB6043" s="117">
        <f t="shared" si="97"/>
        <v>0</v>
      </c>
      <c r="AC6043" s="117" t="str">
        <f>IF(AB6043=1,COUNTIF($AB$3:AB6043,1),"")</f>
        <v/>
      </c>
      <c r="AD6043" s="117" t="str">
        <f>IFERROR(INDEX($AA$3:$AA$10000,MATCH(ROWS($AC$3:AC6043),$AC$3:$AC$10000,0)),"")</f>
        <v/>
      </c>
    </row>
    <row r="6044" spans="27:30">
      <c r="AA6044" s="117">
        <f>+'Ingredient List - Mother Tinctu'!D6045</f>
        <v>0</v>
      </c>
      <c r="AB6044" s="117">
        <f t="shared" si="97"/>
        <v>0</v>
      </c>
      <c r="AC6044" s="117" t="str">
        <f>IF(AB6044=1,COUNTIF($AB$3:AB6044,1),"")</f>
        <v/>
      </c>
      <c r="AD6044" s="117" t="str">
        <f>IFERROR(INDEX($AA$3:$AA$10000,MATCH(ROWS($AC$3:AC6044),$AC$3:$AC$10000,0)),"")</f>
        <v/>
      </c>
    </row>
    <row r="6045" spans="27:30">
      <c r="AA6045" s="117">
        <f>+'Ingredient List - Mother Tinctu'!D6046</f>
        <v>0</v>
      </c>
      <c r="AB6045" s="117">
        <f t="shared" si="97"/>
        <v>0</v>
      </c>
      <c r="AC6045" s="117" t="str">
        <f>IF(AB6045=1,COUNTIF($AB$3:AB6045,1),"")</f>
        <v/>
      </c>
      <c r="AD6045" s="117" t="str">
        <f>IFERROR(INDEX($AA$3:$AA$10000,MATCH(ROWS($AC$3:AC6045),$AC$3:$AC$10000,0)),"")</f>
        <v/>
      </c>
    </row>
    <row r="6046" spans="27:30">
      <c r="AA6046" s="117">
        <f>+'Ingredient List - Mother Tinctu'!D6047</f>
        <v>0</v>
      </c>
      <c r="AB6046" s="117">
        <f t="shared" si="97"/>
        <v>0</v>
      </c>
      <c r="AC6046" s="117" t="str">
        <f>IF(AB6046=1,COUNTIF($AB$3:AB6046,1),"")</f>
        <v/>
      </c>
      <c r="AD6046" s="117" t="str">
        <f>IFERROR(INDEX($AA$3:$AA$10000,MATCH(ROWS($AC$3:AC6046),$AC$3:$AC$10000,0)),"")</f>
        <v/>
      </c>
    </row>
    <row r="6047" spans="27:30">
      <c r="AA6047" s="117">
        <f>+'Ingredient List - Mother Tinctu'!D6048</f>
        <v>0</v>
      </c>
      <c r="AB6047" s="117">
        <f t="shared" si="97"/>
        <v>0</v>
      </c>
      <c r="AC6047" s="117" t="str">
        <f>IF(AB6047=1,COUNTIF($AB$3:AB6047,1),"")</f>
        <v/>
      </c>
      <c r="AD6047" s="117" t="str">
        <f>IFERROR(INDEX($AA$3:$AA$10000,MATCH(ROWS($AC$3:AC6047),$AC$3:$AC$10000,0)),"")</f>
        <v/>
      </c>
    </row>
    <row r="6048" spans="27:30">
      <c r="AA6048" s="117">
        <f>+'Ingredient List - Mother Tinctu'!D6049</f>
        <v>0</v>
      </c>
      <c r="AB6048" s="117">
        <f t="shared" si="97"/>
        <v>0</v>
      </c>
      <c r="AC6048" s="117" t="str">
        <f>IF(AB6048=1,COUNTIF($AB$3:AB6048,1),"")</f>
        <v/>
      </c>
      <c r="AD6048" s="117" t="str">
        <f>IFERROR(INDEX($AA$3:$AA$10000,MATCH(ROWS($AC$3:AC6048),$AC$3:$AC$10000,0)),"")</f>
        <v/>
      </c>
    </row>
    <row r="6049" spans="27:30">
      <c r="AA6049" s="117">
        <f>+'Ingredient List - Mother Tinctu'!D6050</f>
        <v>0</v>
      </c>
      <c r="AB6049" s="117">
        <f t="shared" si="97"/>
        <v>0</v>
      </c>
      <c r="AC6049" s="117" t="str">
        <f>IF(AB6049=1,COUNTIF($AB$3:AB6049,1),"")</f>
        <v/>
      </c>
      <c r="AD6049" s="117" t="str">
        <f>IFERROR(INDEX($AA$3:$AA$10000,MATCH(ROWS($AC$3:AC6049),$AC$3:$AC$10000,0)),"")</f>
        <v/>
      </c>
    </row>
    <row r="6050" spans="27:30">
      <c r="AA6050" s="117">
        <f>+'Ingredient List - Mother Tinctu'!D6051</f>
        <v>0</v>
      </c>
      <c r="AB6050" s="117">
        <f t="shared" si="97"/>
        <v>0</v>
      </c>
      <c r="AC6050" s="117" t="str">
        <f>IF(AB6050=1,COUNTIF($AB$3:AB6050,1),"")</f>
        <v/>
      </c>
      <c r="AD6050" s="117" t="str">
        <f>IFERROR(INDEX($AA$3:$AA$10000,MATCH(ROWS($AC$3:AC6050),$AC$3:$AC$10000,0)),"")</f>
        <v/>
      </c>
    </row>
    <row r="6051" spans="27:30">
      <c r="AA6051" s="117">
        <f>+'Ingredient List - Mother Tinctu'!D6052</f>
        <v>0</v>
      </c>
      <c r="AB6051" s="117">
        <f t="shared" si="97"/>
        <v>0</v>
      </c>
      <c r="AC6051" s="117" t="str">
        <f>IF(AB6051=1,COUNTIF($AB$3:AB6051,1),"")</f>
        <v/>
      </c>
      <c r="AD6051" s="117" t="str">
        <f>IFERROR(INDEX($AA$3:$AA$10000,MATCH(ROWS($AC$3:AC6051),$AC$3:$AC$10000,0)),"")</f>
        <v/>
      </c>
    </row>
    <row r="6052" spans="27:30">
      <c r="AA6052" s="117">
        <f>+'Ingredient List - Mother Tinctu'!D6053</f>
        <v>0</v>
      </c>
      <c r="AB6052" s="117">
        <f t="shared" si="97"/>
        <v>0</v>
      </c>
      <c r="AC6052" s="117" t="str">
        <f>IF(AB6052=1,COUNTIF($AB$3:AB6052,1),"")</f>
        <v/>
      </c>
      <c r="AD6052" s="117" t="str">
        <f>IFERROR(INDEX($AA$3:$AA$10000,MATCH(ROWS($AC$3:AC6052),$AC$3:$AC$10000,0)),"")</f>
        <v/>
      </c>
    </row>
    <row r="6053" spans="27:30">
      <c r="AA6053" s="117">
        <f>+'Ingredient List - Mother Tinctu'!D6054</f>
        <v>0</v>
      </c>
      <c r="AB6053" s="117">
        <f t="shared" si="97"/>
        <v>0</v>
      </c>
      <c r="AC6053" s="117" t="str">
        <f>IF(AB6053=1,COUNTIF($AB$3:AB6053,1),"")</f>
        <v/>
      </c>
      <c r="AD6053" s="117" t="str">
        <f>IFERROR(INDEX($AA$3:$AA$10000,MATCH(ROWS($AC$3:AC6053),$AC$3:$AC$10000,0)),"")</f>
        <v/>
      </c>
    </row>
    <row r="6054" spans="27:30">
      <c r="AA6054" s="117">
        <f>+'Ingredient List - Mother Tinctu'!D6055</f>
        <v>0</v>
      </c>
      <c r="AB6054" s="117">
        <f t="shared" si="97"/>
        <v>0</v>
      </c>
      <c r="AC6054" s="117" t="str">
        <f>IF(AB6054=1,COUNTIF($AB$3:AB6054,1),"")</f>
        <v/>
      </c>
      <c r="AD6054" s="117" t="str">
        <f>IFERROR(INDEX($AA$3:$AA$10000,MATCH(ROWS($AC$3:AC6054),$AC$3:$AC$10000,0)),"")</f>
        <v/>
      </c>
    </row>
    <row r="6055" spans="27:30">
      <c r="AA6055" s="117">
        <f>+'Ingredient List - Mother Tinctu'!D6056</f>
        <v>0</v>
      </c>
      <c r="AB6055" s="117">
        <f t="shared" si="97"/>
        <v>0</v>
      </c>
      <c r="AC6055" s="117" t="str">
        <f>IF(AB6055=1,COUNTIF($AB$3:AB6055,1),"")</f>
        <v/>
      </c>
      <c r="AD6055" s="117" t="str">
        <f>IFERROR(INDEX($AA$3:$AA$10000,MATCH(ROWS($AC$3:AC6055),$AC$3:$AC$10000,0)),"")</f>
        <v/>
      </c>
    </row>
    <row r="6056" spans="27:30">
      <c r="AA6056" s="117">
        <f>+'Ingredient List - Mother Tinctu'!D6057</f>
        <v>0</v>
      </c>
      <c r="AB6056" s="117">
        <f t="shared" si="97"/>
        <v>0</v>
      </c>
      <c r="AC6056" s="117" t="str">
        <f>IF(AB6056=1,COUNTIF($AB$3:AB6056,1),"")</f>
        <v/>
      </c>
      <c r="AD6056" s="117" t="str">
        <f>IFERROR(INDEX($AA$3:$AA$10000,MATCH(ROWS($AC$3:AC6056),$AC$3:$AC$10000,0)),"")</f>
        <v/>
      </c>
    </row>
    <row r="6057" spans="27:30">
      <c r="AA6057" s="117">
        <f>+'Ingredient List - Mother Tinctu'!D6058</f>
        <v>0</v>
      </c>
      <c r="AB6057" s="117">
        <f t="shared" si="97"/>
        <v>0</v>
      </c>
      <c r="AC6057" s="117" t="str">
        <f>IF(AB6057=1,COUNTIF($AB$3:AB6057,1),"")</f>
        <v/>
      </c>
      <c r="AD6057" s="117" t="str">
        <f>IFERROR(INDEX($AA$3:$AA$10000,MATCH(ROWS($AC$3:AC6057),$AC$3:$AC$10000,0)),"")</f>
        <v/>
      </c>
    </row>
    <row r="6058" spans="27:30">
      <c r="AA6058" s="117">
        <f>+'Ingredient List - Mother Tinctu'!D6059</f>
        <v>0</v>
      </c>
      <c r="AB6058" s="117">
        <f t="shared" si="97"/>
        <v>0</v>
      </c>
      <c r="AC6058" s="117" t="str">
        <f>IF(AB6058=1,COUNTIF($AB$3:AB6058,1),"")</f>
        <v/>
      </c>
      <c r="AD6058" s="117" t="str">
        <f>IFERROR(INDEX($AA$3:$AA$10000,MATCH(ROWS($AC$3:AC6058),$AC$3:$AC$10000,0)),"")</f>
        <v/>
      </c>
    </row>
    <row r="6059" spans="27:30">
      <c r="AA6059" s="117">
        <f>+'Ingredient List - Mother Tinctu'!D6060</f>
        <v>0</v>
      </c>
      <c r="AB6059" s="117">
        <f t="shared" si="97"/>
        <v>0</v>
      </c>
      <c r="AC6059" s="117" t="str">
        <f>IF(AB6059=1,COUNTIF($AB$3:AB6059,1),"")</f>
        <v/>
      </c>
      <c r="AD6059" s="117" t="str">
        <f>IFERROR(INDEX($AA$3:$AA$10000,MATCH(ROWS($AC$3:AC6059),$AC$3:$AC$10000,0)),"")</f>
        <v/>
      </c>
    </row>
    <row r="6060" spans="27:30">
      <c r="AA6060" s="117">
        <f>+'Ingredient List - Mother Tinctu'!D6061</f>
        <v>0</v>
      </c>
      <c r="AB6060" s="117">
        <f t="shared" si="97"/>
        <v>0</v>
      </c>
      <c r="AC6060" s="117" t="str">
        <f>IF(AB6060=1,COUNTIF($AB$3:AB6060,1),"")</f>
        <v/>
      </c>
      <c r="AD6060" s="117" t="str">
        <f>IFERROR(INDEX($AA$3:$AA$10000,MATCH(ROWS($AC$3:AC6060),$AC$3:$AC$10000,0)),"")</f>
        <v/>
      </c>
    </row>
    <row r="6061" spans="27:30">
      <c r="AA6061" s="117">
        <f>+'Ingredient List - Mother Tinctu'!D6062</f>
        <v>0</v>
      </c>
      <c r="AB6061" s="117">
        <f t="shared" si="97"/>
        <v>0</v>
      </c>
      <c r="AC6061" s="117" t="str">
        <f>IF(AB6061=1,COUNTIF($AB$3:AB6061,1),"")</f>
        <v/>
      </c>
      <c r="AD6061" s="117" t="str">
        <f>IFERROR(INDEX($AA$3:$AA$10000,MATCH(ROWS($AC$3:AC6061),$AC$3:$AC$10000,0)),"")</f>
        <v/>
      </c>
    </row>
    <row r="6062" spans="27:30">
      <c r="AA6062" s="117">
        <f>+'Ingredient List - Mother Tinctu'!D6063</f>
        <v>0</v>
      </c>
      <c r="AB6062" s="117">
        <f t="shared" si="97"/>
        <v>0</v>
      </c>
      <c r="AC6062" s="117" t="str">
        <f>IF(AB6062=1,COUNTIF($AB$3:AB6062,1),"")</f>
        <v/>
      </c>
      <c r="AD6062" s="117" t="str">
        <f>IFERROR(INDEX($AA$3:$AA$10000,MATCH(ROWS($AC$3:AC6062),$AC$3:$AC$10000,0)),"")</f>
        <v/>
      </c>
    </row>
    <row r="6063" spans="27:30">
      <c r="AA6063" s="117">
        <f>+'Ingredient List - Mother Tinctu'!D6064</f>
        <v>0</v>
      </c>
      <c r="AB6063" s="117">
        <f t="shared" si="97"/>
        <v>0</v>
      </c>
      <c r="AC6063" s="117" t="str">
        <f>IF(AB6063=1,COUNTIF($AB$3:AB6063,1),"")</f>
        <v/>
      </c>
      <c r="AD6063" s="117" t="str">
        <f>IFERROR(INDEX($AA$3:$AA$10000,MATCH(ROWS($AC$3:AC6063),$AC$3:$AC$10000,0)),"")</f>
        <v/>
      </c>
    </row>
    <row r="6064" spans="27:30">
      <c r="AA6064" s="117">
        <f>+'Ingredient List - Mother Tinctu'!D6065</f>
        <v>0</v>
      </c>
      <c r="AB6064" s="117">
        <f t="shared" si="97"/>
        <v>0</v>
      </c>
      <c r="AC6064" s="117" t="str">
        <f>IF(AB6064=1,COUNTIF($AB$3:AB6064,1),"")</f>
        <v/>
      </c>
      <c r="AD6064" s="117" t="str">
        <f>IFERROR(INDEX($AA$3:$AA$10000,MATCH(ROWS($AC$3:AC6064),$AC$3:$AC$10000,0)),"")</f>
        <v/>
      </c>
    </row>
    <row r="6065" spans="27:30">
      <c r="AA6065" s="117">
        <f>+'Ingredient List - Mother Tinctu'!D6066</f>
        <v>0</v>
      </c>
      <c r="AB6065" s="117">
        <f t="shared" si="97"/>
        <v>0</v>
      </c>
      <c r="AC6065" s="117" t="str">
        <f>IF(AB6065=1,COUNTIF($AB$3:AB6065,1),"")</f>
        <v/>
      </c>
      <c r="AD6065" s="117" t="str">
        <f>IFERROR(INDEX($AA$3:$AA$10000,MATCH(ROWS($AC$3:AC6065),$AC$3:$AC$10000,0)),"")</f>
        <v/>
      </c>
    </row>
    <row r="6066" spans="27:30">
      <c r="AA6066" s="117">
        <f>+'Ingredient List - Mother Tinctu'!D6067</f>
        <v>0</v>
      </c>
      <c r="AB6066" s="117">
        <f t="shared" si="97"/>
        <v>0</v>
      </c>
      <c r="AC6066" s="117" t="str">
        <f>IF(AB6066=1,COUNTIF($AB$3:AB6066,1),"")</f>
        <v/>
      </c>
      <c r="AD6066" s="117" t="str">
        <f>IFERROR(INDEX($AA$3:$AA$10000,MATCH(ROWS($AC$3:AC6066),$AC$3:$AC$10000,0)),"")</f>
        <v/>
      </c>
    </row>
    <row r="6067" spans="27:30">
      <c r="AA6067" s="117">
        <f>+'Ingredient List - Mother Tinctu'!D6068</f>
        <v>0</v>
      </c>
      <c r="AB6067" s="117">
        <f t="shared" si="97"/>
        <v>0</v>
      </c>
      <c r="AC6067" s="117" t="str">
        <f>IF(AB6067=1,COUNTIF($AB$3:AB6067,1),"")</f>
        <v/>
      </c>
      <c r="AD6067" s="117" t="str">
        <f>IFERROR(INDEX($AA$3:$AA$10000,MATCH(ROWS($AC$3:AC6067),$AC$3:$AC$10000,0)),"")</f>
        <v/>
      </c>
    </row>
    <row r="6068" spans="27:30">
      <c r="AA6068" s="117">
        <f>+'Ingredient List - Mother Tinctu'!D6069</f>
        <v>0</v>
      </c>
      <c r="AB6068" s="117">
        <f t="shared" si="97"/>
        <v>0</v>
      </c>
      <c r="AC6068" s="117" t="str">
        <f>IF(AB6068=1,COUNTIF($AB$3:AB6068,1),"")</f>
        <v/>
      </c>
      <c r="AD6068" s="117" t="str">
        <f>IFERROR(INDEX($AA$3:$AA$10000,MATCH(ROWS($AC$3:AC6068),$AC$3:$AC$10000,0)),"")</f>
        <v/>
      </c>
    </row>
    <row r="6069" spans="27:30">
      <c r="AA6069" s="117">
        <f>+'Ingredient List - Mother Tinctu'!D6070</f>
        <v>0</v>
      </c>
      <c r="AB6069" s="117">
        <f t="shared" si="97"/>
        <v>0</v>
      </c>
      <c r="AC6069" s="117" t="str">
        <f>IF(AB6069=1,COUNTIF($AB$3:AB6069,1),"")</f>
        <v/>
      </c>
      <c r="AD6069" s="117" t="str">
        <f>IFERROR(INDEX($AA$3:$AA$10000,MATCH(ROWS($AC$3:AC6069),$AC$3:$AC$10000,0)),"")</f>
        <v/>
      </c>
    </row>
    <row r="6070" spans="27:30">
      <c r="AA6070" s="117">
        <f>+'Ingredient List - Mother Tinctu'!D6071</f>
        <v>0</v>
      </c>
      <c r="AB6070" s="117">
        <f t="shared" si="97"/>
        <v>0</v>
      </c>
      <c r="AC6070" s="117" t="str">
        <f>IF(AB6070=1,COUNTIF($AB$3:AB6070,1),"")</f>
        <v/>
      </c>
      <c r="AD6070" s="117" t="str">
        <f>IFERROR(INDEX($AA$3:$AA$10000,MATCH(ROWS($AC$3:AC6070),$AC$3:$AC$10000,0)),"")</f>
        <v/>
      </c>
    </row>
    <row r="6071" spans="27:30">
      <c r="AA6071" s="117">
        <f>+'Ingredient List - Mother Tinctu'!D6072</f>
        <v>0</v>
      </c>
      <c r="AB6071" s="117">
        <f t="shared" si="97"/>
        <v>0</v>
      </c>
      <c r="AC6071" s="117" t="str">
        <f>IF(AB6071=1,COUNTIF($AB$3:AB6071,1),"")</f>
        <v/>
      </c>
      <c r="AD6071" s="117" t="str">
        <f>IFERROR(INDEX($AA$3:$AA$10000,MATCH(ROWS($AC$3:AC6071),$AC$3:$AC$10000,0)),"")</f>
        <v/>
      </c>
    </row>
    <row r="6072" spans="27:30">
      <c r="AA6072" s="117">
        <f>+'Ingredient List - Mother Tinctu'!D6073</f>
        <v>0</v>
      </c>
      <c r="AB6072" s="117">
        <f t="shared" si="97"/>
        <v>0</v>
      </c>
      <c r="AC6072" s="117" t="str">
        <f>IF(AB6072=1,COUNTIF($AB$3:AB6072,1),"")</f>
        <v/>
      </c>
      <c r="AD6072" s="117" t="str">
        <f>IFERROR(INDEX($AA$3:$AA$10000,MATCH(ROWS($AC$3:AC6072),$AC$3:$AC$10000,0)),"")</f>
        <v/>
      </c>
    </row>
    <row r="6073" spans="27:30">
      <c r="AA6073" s="117">
        <f>+'Ingredient List - Mother Tinctu'!D6074</f>
        <v>0</v>
      </c>
      <c r="AB6073" s="117">
        <f t="shared" si="97"/>
        <v>0</v>
      </c>
      <c r="AC6073" s="117" t="str">
        <f>IF(AB6073=1,COUNTIF($AB$3:AB6073,1),"")</f>
        <v/>
      </c>
      <c r="AD6073" s="117" t="str">
        <f>IFERROR(INDEX($AA$3:$AA$10000,MATCH(ROWS($AC$3:AC6073),$AC$3:$AC$10000,0)),"")</f>
        <v/>
      </c>
    </row>
    <row r="6074" spans="27:30">
      <c r="AA6074" s="117">
        <f>+'Ingredient List - Mother Tinctu'!D6075</f>
        <v>0</v>
      </c>
      <c r="AB6074" s="117">
        <f t="shared" si="97"/>
        <v>0</v>
      </c>
      <c r="AC6074" s="117" t="str">
        <f>IF(AB6074=1,COUNTIF($AB$3:AB6074,1),"")</f>
        <v/>
      </c>
      <c r="AD6074" s="117" t="str">
        <f>IFERROR(INDEX($AA$3:$AA$10000,MATCH(ROWS($AC$3:AC6074),$AC$3:$AC$10000,0)),"")</f>
        <v/>
      </c>
    </row>
    <row r="6075" spans="27:30">
      <c r="AA6075" s="117">
        <f>+'Ingredient List - Mother Tinctu'!D6076</f>
        <v>0</v>
      </c>
      <c r="AB6075" s="117">
        <f t="shared" si="97"/>
        <v>0</v>
      </c>
      <c r="AC6075" s="117" t="str">
        <f>IF(AB6075=1,COUNTIF($AB$3:AB6075,1),"")</f>
        <v/>
      </c>
      <c r="AD6075" s="117" t="str">
        <f>IFERROR(INDEX($AA$3:$AA$10000,MATCH(ROWS($AC$3:AC6075),$AC$3:$AC$10000,0)),"")</f>
        <v/>
      </c>
    </row>
    <row r="6076" spans="27:30">
      <c r="AA6076" s="117">
        <f>+'Ingredient List - Mother Tinctu'!D6077</f>
        <v>0</v>
      </c>
      <c r="AB6076" s="117">
        <f t="shared" si="97"/>
        <v>0</v>
      </c>
      <c r="AC6076" s="117" t="str">
        <f>IF(AB6076=1,COUNTIF($AB$3:AB6076,1),"")</f>
        <v/>
      </c>
      <c r="AD6076" s="117" t="str">
        <f>IFERROR(INDEX($AA$3:$AA$10000,MATCH(ROWS($AC$3:AC6076),$AC$3:$AC$10000,0)),"")</f>
        <v/>
      </c>
    </row>
    <row r="6077" spans="27:30">
      <c r="AA6077" s="117">
        <f>+'Ingredient List - Mother Tinctu'!D6078</f>
        <v>0</v>
      </c>
      <c r="AB6077" s="117">
        <f t="shared" si="97"/>
        <v>0</v>
      </c>
      <c r="AC6077" s="117" t="str">
        <f>IF(AB6077=1,COUNTIF($AB$3:AB6077,1),"")</f>
        <v/>
      </c>
      <c r="AD6077" s="117" t="str">
        <f>IFERROR(INDEX($AA$3:$AA$10000,MATCH(ROWS($AC$3:AC6077),$AC$3:$AC$10000,0)),"")</f>
        <v/>
      </c>
    </row>
    <row r="6078" spans="27:30">
      <c r="AA6078" s="117">
        <f>+'Ingredient List - Mother Tinctu'!D6079</f>
        <v>0</v>
      </c>
      <c r="AB6078" s="117">
        <f t="shared" si="97"/>
        <v>0</v>
      </c>
      <c r="AC6078" s="117" t="str">
        <f>IF(AB6078=1,COUNTIF($AB$3:AB6078,1),"")</f>
        <v/>
      </c>
      <c r="AD6078" s="117" t="str">
        <f>IFERROR(INDEX($AA$3:$AA$10000,MATCH(ROWS($AC$3:AC6078),$AC$3:$AC$10000,0)),"")</f>
        <v/>
      </c>
    </row>
    <row r="6079" spans="27:30">
      <c r="AA6079" s="117">
        <f>+'Ingredient List - Mother Tinctu'!D6080</f>
        <v>0</v>
      </c>
      <c r="AB6079" s="117">
        <f t="shared" si="97"/>
        <v>0</v>
      </c>
      <c r="AC6079" s="117" t="str">
        <f>IF(AB6079=1,COUNTIF($AB$3:AB6079,1),"")</f>
        <v/>
      </c>
      <c r="AD6079" s="117" t="str">
        <f>IFERROR(INDEX($AA$3:$AA$10000,MATCH(ROWS($AC$3:AC6079),$AC$3:$AC$10000,0)),"")</f>
        <v/>
      </c>
    </row>
    <row r="6080" spans="27:30">
      <c r="AA6080" s="117">
        <f>+'Ingredient List - Mother Tinctu'!D6081</f>
        <v>0</v>
      </c>
      <c r="AB6080" s="117">
        <f t="shared" si="97"/>
        <v>0</v>
      </c>
      <c r="AC6080" s="117" t="str">
        <f>IF(AB6080=1,COUNTIF($AB$3:AB6080,1),"")</f>
        <v/>
      </c>
      <c r="AD6080" s="117" t="str">
        <f>IFERROR(INDEX($AA$3:$AA$10000,MATCH(ROWS($AC$3:AC6080),$AC$3:$AC$10000,0)),"")</f>
        <v/>
      </c>
    </row>
    <row r="6081" spans="27:30">
      <c r="AA6081" s="117">
        <f>+'Ingredient List - Mother Tinctu'!D6082</f>
        <v>0</v>
      </c>
      <c r="AB6081" s="117">
        <f t="shared" si="97"/>
        <v>0</v>
      </c>
      <c r="AC6081" s="117" t="str">
        <f>IF(AB6081=1,COUNTIF($AB$3:AB6081,1),"")</f>
        <v/>
      </c>
      <c r="AD6081" s="117" t="str">
        <f>IFERROR(INDEX($AA$3:$AA$10000,MATCH(ROWS($AC$3:AC6081),$AC$3:$AC$10000,0)),"")</f>
        <v/>
      </c>
    </row>
    <row r="6082" spans="27:30">
      <c r="AA6082" s="117">
        <f>+'Ingredient List - Mother Tinctu'!D6083</f>
        <v>0</v>
      </c>
      <c r="AB6082" s="117">
        <f t="shared" si="97"/>
        <v>0</v>
      </c>
      <c r="AC6082" s="117" t="str">
        <f>IF(AB6082=1,COUNTIF($AB$3:AB6082,1),"")</f>
        <v/>
      </c>
      <c r="AD6082" s="117" t="str">
        <f>IFERROR(INDEX($AA$3:$AA$10000,MATCH(ROWS($AC$3:AC6082),$AC$3:$AC$10000,0)),"")</f>
        <v/>
      </c>
    </row>
    <row r="6083" spans="27:30">
      <c r="AA6083" s="117">
        <f>+'Ingredient List - Mother Tinctu'!D6084</f>
        <v>0</v>
      </c>
      <c r="AB6083" s="117">
        <f t="shared" si="97"/>
        <v>0</v>
      </c>
      <c r="AC6083" s="117" t="str">
        <f>IF(AB6083=1,COUNTIF($AB$3:AB6083,1),"")</f>
        <v/>
      </c>
      <c r="AD6083" s="117" t="str">
        <f>IFERROR(INDEX($AA$3:$AA$10000,MATCH(ROWS($AC$3:AC6083),$AC$3:$AC$10000,0)),"")</f>
        <v/>
      </c>
    </row>
    <row r="6084" spans="27:30">
      <c r="AA6084" s="117">
        <f>+'Ingredient List - Mother Tinctu'!D6085</f>
        <v>0</v>
      </c>
      <c r="AB6084" s="117">
        <f t="shared" ref="AB6084:AB6147" si="98">--ISNUMBER(IFERROR(SEARCH($D$3,AA6084,1),""))</f>
        <v>0</v>
      </c>
      <c r="AC6084" s="117" t="str">
        <f>IF(AB6084=1,COUNTIF($AB$3:AB6084,1),"")</f>
        <v/>
      </c>
      <c r="AD6084" s="117" t="str">
        <f>IFERROR(INDEX($AA$3:$AA$10000,MATCH(ROWS($AC$3:AC6084),$AC$3:$AC$10000,0)),"")</f>
        <v/>
      </c>
    </row>
    <row r="6085" spans="27:30">
      <c r="AA6085" s="117">
        <f>+'Ingredient List - Mother Tinctu'!D6086</f>
        <v>0</v>
      </c>
      <c r="AB6085" s="117">
        <f t="shared" si="98"/>
        <v>0</v>
      </c>
      <c r="AC6085" s="117" t="str">
        <f>IF(AB6085=1,COUNTIF($AB$3:AB6085,1),"")</f>
        <v/>
      </c>
      <c r="AD6085" s="117" t="str">
        <f>IFERROR(INDEX($AA$3:$AA$10000,MATCH(ROWS($AC$3:AC6085),$AC$3:$AC$10000,0)),"")</f>
        <v/>
      </c>
    </row>
    <row r="6086" spans="27:30">
      <c r="AA6086" s="117">
        <f>+'Ingredient List - Mother Tinctu'!D6087</f>
        <v>0</v>
      </c>
      <c r="AB6086" s="117">
        <f t="shared" si="98"/>
        <v>0</v>
      </c>
      <c r="AC6086" s="117" t="str">
        <f>IF(AB6086=1,COUNTIF($AB$3:AB6086,1),"")</f>
        <v/>
      </c>
      <c r="AD6086" s="117" t="str">
        <f>IFERROR(INDEX($AA$3:$AA$10000,MATCH(ROWS($AC$3:AC6086),$AC$3:$AC$10000,0)),"")</f>
        <v/>
      </c>
    </row>
    <row r="6087" spans="27:30">
      <c r="AA6087" s="117">
        <f>+'Ingredient List - Mother Tinctu'!D6088</f>
        <v>0</v>
      </c>
      <c r="AB6087" s="117">
        <f t="shared" si="98"/>
        <v>0</v>
      </c>
      <c r="AC6087" s="117" t="str">
        <f>IF(AB6087=1,COUNTIF($AB$3:AB6087,1),"")</f>
        <v/>
      </c>
      <c r="AD6087" s="117" t="str">
        <f>IFERROR(INDEX($AA$3:$AA$10000,MATCH(ROWS($AC$3:AC6087),$AC$3:$AC$10000,0)),"")</f>
        <v/>
      </c>
    </row>
    <row r="6088" spans="27:30">
      <c r="AA6088" s="117">
        <f>+'Ingredient List - Mother Tinctu'!D6089</f>
        <v>0</v>
      </c>
      <c r="AB6088" s="117">
        <f t="shared" si="98"/>
        <v>0</v>
      </c>
      <c r="AC6088" s="117" t="str">
        <f>IF(AB6088=1,COUNTIF($AB$3:AB6088,1),"")</f>
        <v/>
      </c>
      <c r="AD6088" s="117" t="str">
        <f>IFERROR(INDEX($AA$3:$AA$10000,MATCH(ROWS($AC$3:AC6088),$AC$3:$AC$10000,0)),"")</f>
        <v/>
      </c>
    </row>
    <row r="6089" spans="27:30">
      <c r="AA6089" s="117">
        <f>+'Ingredient List - Mother Tinctu'!D6090</f>
        <v>0</v>
      </c>
      <c r="AB6089" s="117">
        <f t="shared" si="98"/>
        <v>0</v>
      </c>
      <c r="AC6089" s="117" t="str">
        <f>IF(AB6089=1,COUNTIF($AB$3:AB6089,1),"")</f>
        <v/>
      </c>
      <c r="AD6089" s="117" t="str">
        <f>IFERROR(INDEX($AA$3:$AA$10000,MATCH(ROWS($AC$3:AC6089),$AC$3:$AC$10000,0)),"")</f>
        <v/>
      </c>
    </row>
    <row r="6090" spans="27:30">
      <c r="AA6090" s="117">
        <f>+'Ingredient List - Mother Tinctu'!D6091</f>
        <v>0</v>
      </c>
      <c r="AB6090" s="117">
        <f t="shared" si="98"/>
        <v>0</v>
      </c>
      <c r="AC6090" s="117" t="str">
        <f>IF(AB6090=1,COUNTIF($AB$3:AB6090,1),"")</f>
        <v/>
      </c>
      <c r="AD6090" s="117" t="str">
        <f>IFERROR(INDEX($AA$3:$AA$10000,MATCH(ROWS($AC$3:AC6090),$AC$3:$AC$10000,0)),"")</f>
        <v/>
      </c>
    </row>
    <row r="6091" spans="27:30">
      <c r="AA6091" s="117">
        <f>+'Ingredient List - Mother Tinctu'!D6092</f>
        <v>0</v>
      </c>
      <c r="AB6091" s="117">
        <f t="shared" si="98"/>
        <v>0</v>
      </c>
      <c r="AC6091" s="117" t="str">
        <f>IF(AB6091=1,COUNTIF($AB$3:AB6091,1),"")</f>
        <v/>
      </c>
      <c r="AD6091" s="117" t="str">
        <f>IFERROR(INDEX($AA$3:$AA$10000,MATCH(ROWS($AC$3:AC6091),$AC$3:$AC$10000,0)),"")</f>
        <v/>
      </c>
    </row>
    <row r="6092" spans="27:30">
      <c r="AA6092" s="117">
        <f>+'Ingredient List - Mother Tinctu'!D6093</f>
        <v>0</v>
      </c>
      <c r="AB6092" s="117">
        <f t="shared" si="98"/>
        <v>0</v>
      </c>
      <c r="AC6092" s="117" t="str">
        <f>IF(AB6092=1,COUNTIF($AB$3:AB6092,1),"")</f>
        <v/>
      </c>
      <c r="AD6092" s="117" t="str">
        <f>IFERROR(INDEX($AA$3:$AA$10000,MATCH(ROWS($AC$3:AC6092),$AC$3:$AC$10000,0)),"")</f>
        <v/>
      </c>
    </row>
    <row r="6093" spans="27:30">
      <c r="AA6093" s="117">
        <f>+'Ingredient List - Mother Tinctu'!D6094</f>
        <v>0</v>
      </c>
      <c r="AB6093" s="117">
        <f t="shared" si="98"/>
        <v>0</v>
      </c>
      <c r="AC6093" s="117" t="str">
        <f>IF(AB6093=1,COUNTIF($AB$3:AB6093,1),"")</f>
        <v/>
      </c>
      <c r="AD6093" s="117" t="str">
        <f>IFERROR(INDEX($AA$3:$AA$10000,MATCH(ROWS($AC$3:AC6093),$AC$3:$AC$10000,0)),"")</f>
        <v/>
      </c>
    </row>
    <row r="6094" spans="27:30">
      <c r="AA6094" s="117">
        <f>+'Ingredient List - Mother Tinctu'!D6095</f>
        <v>0</v>
      </c>
      <c r="AB6094" s="117">
        <f t="shared" si="98"/>
        <v>0</v>
      </c>
      <c r="AC6094" s="117" t="str">
        <f>IF(AB6094=1,COUNTIF($AB$3:AB6094,1),"")</f>
        <v/>
      </c>
      <c r="AD6094" s="117" t="str">
        <f>IFERROR(INDEX($AA$3:$AA$10000,MATCH(ROWS($AC$3:AC6094),$AC$3:$AC$10000,0)),"")</f>
        <v/>
      </c>
    </row>
    <row r="6095" spans="27:30">
      <c r="AA6095" s="117">
        <f>+'Ingredient List - Mother Tinctu'!D6096</f>
        <v>0</v>
      </c>
      <c r="AB6095" s="117">
        <f t="shared" si="98"/>
        <v>0</v>
      </c>
      <c r="AC6095" s="117" t="str">
        <f>IF(AB6095=1,COUNTIF($AB$3:AB6095,1),"")</f>
        <v/>
      </c>
      <c r="AD6095" s="117" t="str">
        <f>IFERROR(INDEX($AA$3:$AA$10000,MATCH(ROWS($AC$3:AC6095),$AC$3:$AC$10000,0)),"")</f>
        <v/>
      </c>
    </row>
    <row r="6096" spans="27:30">
      <c r="AA6096" s="117">
        <f>+'Ingredient List - Mother Tinctu'!D6097</f>
        <v>0</v>
      </c>
      <c r="AB6096" s="117">
        <f t="shared" si="98"/>
        <v>0</v>
      </c>
      <c r="AC6096" s="117" t="str">
        <f>IF(AB6096=1,COUNTIF($AB$3:AB6096,1),"")</f>
        <v/>
      </c>
      <c r="AD6096" s="117" t="str">
        <f>IFERROR(INDEX($AA$3:$AA$10000,MATCH(ROWS($AC$3:AC6096),$AC$3:$AC$10000,0)),"")</f>
        <v/>
      </c>
    </row>
    <row r="6097" spans="27:30">
      <c r="AA6097" s="117">
        <f>+'Ingredient List - Mother Tinctu'!D6098</f>
        <v>0</v>
      </c>
      <c r="AB6097" s="117">
        <f t="shared" si="98"/>
        <v>0</v>
      </c>
      <c r="AC6097" s="117" t="str">
        <f>IF(AB6097=1,COUNTIF($AB$3:AB6097,1),"")</f>
        <v/>
      </c>
      <c r="AD6097" s="117" t="str">
        <f>IFERROR(INDEX($AA$3:$AA$10000,MATCH(ROWS($AC$3:AC6097),$AC$3:$AC$10000,0)),"")</f>
        <v/>
      </c>
    </row>
    <row r="6098" spans="27:30">
      <c r="AA6098" s="117">
        <f>+'Ingredient List - Mother Tinctu'!D6099</f>
        <v>0</v>
      </c>
      <c r="AB6098" s="117">
        <f t="shared" si="98"/>
        <v>0</v>
      </c>
      <c r="AC6098" s="117" t="str">
        <f>IF(AB6098=1,COUNTIF($AB$3:AB6098,1),"")</f>
        <v/>
      </c>
      <c r="AD6098" s="117" t="str">
        <f>IFERROR(INDEX($AA$3:$AA$10000,MATCH(ROWS($AC$3:AC6098),$AC$3:$AC$10000,0)),"")</f>
        <v/>
      </c>
    </row>
    <row r="6099" spans="27:30">
      <c r="AA6099" s="117">
        <f>+'Ingredient List - Mother Tinctu'!D6100</f>
        <v>0</v>
      </c>
      <c r="AB6099" s="117">
        <f t="shared" si="98"/>
        <v>0</v>
      </c>
      <c r="AC6099" s="117" t="str">
        <f>IF(AB6099=1,COUNTIF($AB$3:AB6099,1),"")</f>
        <v/>
      </c>
      <c r="AD6099" s="117" t="str">
        <f>IFERROR(INDEX($AA$3:$AA$10000,MATCH(ROWS($AC$3:AC6099),$AC$3:$AC$10000,0)),"")</f>
        <v/>
      </c>
    </row>
    <row r="6100" spans="27:30">
      <c r="AA6100" s="117">
        <f>+'Ingredient List - Mother Tinctu'!D6101</f>
        <v>0</v>
      </c>
      <c r="AB6100" s="117">
        <f t="shared" si="98"/>
        <v>0</v>
      </c>
      <c r="AC6100" s="117" t="str">
        <f>IF(AB6100=1,COUNTIF($AB$3:AB6100,1),"")</f>
        <v/>
      </c>
      <c r="AD6100" s="117" t="str">
        <f>IFERROR(INDEX($AA$3:$AA$10000,MATCH(ROWS($AC$3:AC6100),$AC$3:$AC$10000,0)),"")</f>
        <v/>
      </c>
    </row>
    <row r="6101" spans="27:30">
      <c r="AA6101" s="117">
        <f>+'Ingredient List - Mother Tinctu'!D6102</f>
        <v>0</v>
      </c>
      <c r="AB6101" s="117">
        <f t="shared" si="98"/>
        <v>0</v>
      </c>
      <c r="AC6101" s="117" t="str">
        <f>IF(AB6101=1,COUNTIF($AB$3:AB6101,1),"")</f>
        <v/>
      </c>
      <c r="AD6101" s="117" t="str">
        <f>IFERROR(INDEX($AA$3:$AA$10000,MATCH(ROWS($AC$3:AC6101),$AC$3:$AC$10000,0)),"")</f>
        <v/>
      </c>
    </row>
    <row r="6102" spans="27:30">
      <c r="AA6102" s="117">
        <f>+'Ingredient List - Mother Tinctu'!D6103</f>
        <v>0</v>
      </c>
      <c r="AB6102" s="117">
        <f t="shared" si="98"/>
        <v>0</v>
      </c>
      <c r="AC6102" s="117" t="str">
        <f>IF(AB6102=1,COUNTIF($AB$3:AB6102,1),"")</f>
        <v/>
      </c>
      <c r="AD6102" s="117" t="str">
        <f>IFERROR(INDEX($AA$3:$AA$10000,MATCH(ROWS($AC$3:AC6102),$AC$3:$AC$10000,0)),"")</f>
        <v/>
      </c>
    </row>
    <row r="6103" spans="27:30">
      <c r="AA6103" s="117">
        <f>+'Ingredient List - Mother Tinctu'!D6104</f>
        <v>0</v>
      </c>
      <c r="AB6103" s="117">
        <f t="shared" si="98"/>
        <v>0</v>
      </c>
      <c r="AC6103" s="117" t="str">
        <f>IF(AB6103=1,COUNTIF($AB$3:AB6103,1),"")</f>
        <v/>
      </c>
      <c r="AD6103" s="117" t="str">
        <f>IFERROR(INDEX($AA$3:$AA$10000,MATCH(ROWS($AC$3:AC6103),$AC$3:$AC$10000,0)),"")</f>
        <v/>
      </c>
    </row>
    <row r="6104" spans="27:30">
      <c r="AA6104" s="117">
        <f>+'Ingredient List - Mother Tinctu'!D6105</f>
        <v>0</v>
      </c>
      <c r="AB6104" s="117">
        <f t="shared" si="98"/>
        <v>0</v>
      </c>
      <c r="AC6104" s="117" t="str">
        <f>IF(AB6104=1,COUNTIF($AB$3:AB6104,1),"")</f>
        <v/>
      </c>
      <c r="AD6104" s="117" t="str">
        <f>IFERROR(INDEX($AA$3:$AA$10000,MATCH(ROWS($AC$3:AC6104),$AC$3:$AC$10000,0)),"")</f>
        <v/>
      </c>
    </row>
    <row r="6105" spans="27:30">
      <c r="AA6105" s="117">
        <f>+'Ingredient List - Mother Tinctu'!D6106</f>
        <v>0</v>
      </c>
      <c r="AB6105" s="117">
        <f t="shared" si="98"/>
        <v>0</v>
      </c>
      <c r="AC6105" s="117" t="str">
        <f>IF(AB6105=1,COUNTIF($AB$3:AB6105,1),"")</f>
        <v/>
      </c>
      <c r="AD6105" s="117" t="str">
        <f>IFERROR(INDEX($AA$3:$AA$10000,MATCH(ROWS($AC$3:AC6105),$AC$3:$AC$10000,0)),"")</f>
        <v/>
      </c>
    </row>
    <row r="6106" spans="27:30">
      <c r="AA6106" s="117">
        <f>+'Ingredient List - Mother Tinctu'!D6107</f>
        <v>0</v>
      </c>
      <c r="AB6106" s="117">
        <f t="shared" si="98"/>
        <v>0</v>
      </c>
      <c r="AC6106" s="117" t="str">
        <f>IF(AB6106=1,COUNTIF($AB$3:AB6106,1),"")</f>
        <v/>
      </c>
      <c r="AD6106" s="117" t="str">
        <f>IFERROR(INDEX($AA$3:$AA$10000,MATCH(ROWS($AC$3:AC6106),$AC$3:$AC$10000,0)),"")</f>
        <v/>
      </c>
    </row>
    <row r="6107" spans="27:30">
      <c r="AA6107" s="117">
        <f>+'Ingredient List - Mother Tinctu'!D6108</f>
        <v>0</v>
      </c>
      <c r="AB6107" s="117">
        <f t="shared" si="98"/>
        <v>0</v>
      </c>
      <c r="AC6107" s="117" t="str">
        <f>IF(AB6107=1,COUNTIF($AB$3:AB6107,1),"")</f>
        <v/>
      </c>
      <c r="AD6107" s="117" t="str">
        <f>IFERROR(INDEX($AA$3:$AA$10000,MATCH(ROWS($AC$3:AC6107),$AC$3:$AC$10000,0)),"")</f>
        <v/>
      </c>
    </row>
    <row r="6108" spans="27:30">
      <c r="AA6108" s="117">
        <f>+'Ingredient List - Mother Tinctu'!D6109</f>
        <v>0</v>
      </c>
      <c r="AB6108" s="117">
        <f t="shared" si="98"/>
        <v>0</v>
      </c>
      <c r="AC6108" s="117" t="str">
        <f>IF(AB6108=1,COUNTIF($AB$3:AB6108,1),"")</f>
        <v/>
      </c>
      <c r="AD6108" s="117" t="str">
        <f>IFERROR(INDEX($AA$3:$AA$10000,MATCH(ROWS($AC$3:AC6108),$AC$3:$AC$10000,0)),"")</f>
        <v/>
      </c>
    </row>
    <row r="6109" spans="27:30">
      <c r="AA6109" s="117">
        <f>+'Ingredient List - Mother Tinctu'!D6110</f>
        <v>0</v>
      </c>
      <c r="AB6109" s="117">
        <f t="shared" si="98"/>
        <v>0</v>
      </c>
      <c r="AC6109" s="117" t="str">
        <f>IF(AB6109=1,COUNTIF($AB$3:AB6109,1),"")</f>
        <v/>
      </c>
      <c r="AD6109" s="117" t="str">
        <f>IFERROR(INDEX($AA$3:$AA$10000,MATCH(ROWS($AC$3:AC6109),$AC$3:$AC$10000,0)),"")</f>
        <v/>
      </c>
    </row>
    <row r="6110" spans="27:30">
      <c r="AA6110" s="117">
        <f>+'Ingredient List - Mother Tinctu'!D6111</f>
        <v>0</v>
      </c>
      <c r="AB6110" s="117">
        <f t="shared" si="98"/>
        <v>0</v>
      </c>
      <c r="AC6110" s="117" t="str">
        <f>IF(AB6110=1,COUNTIF($AB$3:AB6110,1),"")</f>
        <v/>
      </c>
      <c r="AD6110" s="117" t="str">
        <f>IFERROR(INDEX($AA$3:$AA$10000,MATCH(ROWS($AC$3:AC6110),$AC$3:$AC$10000,0)),"")</f>
        <v/>
      </c>
    </row>
    <row r="6111" spans="27:30">
      <c r="AA6111" s="117">
        <f>+'Ingredient List - Mother Tinctu'!D6112</f>
        <v>0</v>
      </c>
      <c r="AB6111" s="117">
        <f t="shared" si="98"/>
        <v>0</v>
      </c>
      <c r="AC6111" s="117" t="str">
        <f>IF(AB6111=1,COUNTIF($AB$3:AB6111,1),"")</f>
        <v/>
      </c>
      <c r="AD6111" s="117" t="str">
        <f>IFERROR(INDEX($AA$3:$AA$10000,MATCH(ROWS($AC$3:AC6111),$AC$3:$AC$10000,0)),"")</f>
        <v/>
      </c>
    </row>
    <row r="6112" spans="27:30">
      <c r="AA6112" s="117">
        <f>+'Ingredient List - Mother Tinctu'!D6113</f>
        <v>0</v>
      </c>
      <c r="AB6112" s="117">
        <f t="shared" si="98"/>
        <v>0</v>
      </c>
      <c r="AC6112" s="117" t="str">
        <f>IF(AB6112=1,COUNTIF($AB$3:AB6112,1),"")</f>
        <v/>
      </c>
      <c r="AD6112" s="117" t="str">
        <f>IFERROR(INDEX($AA$3:$AA$10000,MATCH(ROWS($AC$3:AC6112),$AC$3:$AC$10000,0)),"")</f>
        <v/>
      </c>
    </row>
    <row r="6113" spans="27:30">
      <c r="AA6113" s="117">
        <f>+'Ingredient List - Mother Tinctu'!D6114</f>
        <v>0</v>
      </c>
      <c r="AB6113" s="117">
        <f t="shared" si="98"/>
        <v>0</v>
      </c>
      <c r="AC6113" s="117" t="str">
        <f>IF(AB6113=1,COUNTIF($AB$3:AB6113,1),"")</f>
        <v/>
      </c>
      <c r="AD6113" s="117" t="str">
        <f>IFERROR(INDEX($AA$3:$AA$10000,MATCH(ROWS($AC$3:AC6113),$AC$3:$AC$10000,0)),"")</f>
        <v/>
      </c>
    </row>
    <row r="6114" spans="27:30">
      <c r="AA6114" s="117">
        <f>+'Ingredient List - Mother Tinctu'!D6115</f>
        <v>0</v>
      </c>
      <c r="AB6114" s="117">
        <f t="shared" si="98"/>
        <v>0</v>
      </c>
      <c r="AC6114" s="117" t="str">
        <f>IF(AB6114=1,COUNTIF($AB$3:AB6114,1),"")</f>
        <v/>
      </c>
      <c r="AD6114" s="117" t="str">
        <f>IFERROR(INDEX($AA$3:$AA$10000,MATCH(ROWS($AC$3:AC6114),$AC$3:$AC$10000,0)),"")</f>
        <v/>
      </c>
    </row>
    <row r="6115" spans="27:30">
      <c r="AA6115" s="117">
        <f>+'Ingredient List - Mother Tinctu'!D6116</f>
        <v>0</v>
      </c>
      <c r="AB6115" s="117">
        <f t="shared" si="98"/>
        <v>0</v>
      </c>
      <c r="AC6115" s="117" t="str">
        <f>IF(AB6115=1,COUNTIF($AB$3:AB6115,1),"")</f>
        <v/>
      </c>
      <c r="AD6115" s="117" t="str">
        <f>IFERROR(INDEX($AA$3:$AA$10000,MATCH(ROWS($AC$3:AC6115),$AC$3:$AC$10000,0)),"")</f>
        <v/>
      </c>
    </row>
    <row r="6116" spans="27:30">
      <c r="AA6116" s="117">
        <f>+'Ingredient List - Mother Tinctu'!D6117</f>
        <v>0</v>
      </c>
      <c r="AB6116" s="117">
        <f t="shared" si="98"/>
        <v>0</v>
      </c>
      <c r="AC6116" s="117" t="str">
        <f>IF(AB6116=1,COUNTIF($AB$3:AB6116,1),"")</f>
        <v/>
      </c>
      <c r="AD6116" s="117" t="str">
        <f>IFERROR(INDEX($AA$3:$AA$10000,MATCH(ROWS($AC$3:AC6116),$AC$3:$AC$10000,0)),"")</f>
        <v/>
      </c>
    </row>
    <row r="6117" spans="27:30">
      <c r="AA6117" s="117">
        <f>+'Ingredient List - Mother Tinctu'!D6118</f>
        <v>0</v>
      </c>
      <c r="AB6117" s="117">
        <f t="shared" si="98"/>
        <v>0</v>
      </c>
      <c r="AC6117" s="117" t="str">
        <f>IF(AB6117=1,COUNTIF($AB$3:AB6117,1),"")</f>
        <v/>
      </c>
      <c r="AD6117" s="117" t="str">
        <f>IFERROR(INDEX($AA$3:$AA$10000,MATCH(ROWS($AC$3:AC6117),$AC$3:$AC$10000,0)),"")</f>
        <v/>
      </c>
    </row>
    <row r="6118" spans="27:30">
      <c r="AA6118" s="117">
        <f>+'Ingredient List - Mother Tinctu'!D6119</f>
        <v>0</v>
      </c>
      <c r="AB6118" s="117">
        <f t="shared" si="98"/>
        <v>0</v>
      </c>
      <c r="AC6118" s="117" t="str">
        <f>IF(AB6118=1,COUNTIF($AB$3:AB6118,1),"")</f>
        <v/>
      </c>
      <c r="AD6118" s="117" t="str">
        <f>IFERROR(INDEX($AA$3:$AA$10000,MATCH(ROWS($AC$3:AC6118),$AC$3:$AC$10000,0)),"")</f>
        <v/>
      </c>
    </row>
    <row r="6119" spans="27:30">
      <c r="AA6119" s="117">
        <f>+'Ingredient List - Mother Tinctu'!D6120</f>
        <v>0</v>
      </c>
      <c r="AB6119" s="117">
        <f t="shared" si="98"/>
        <v>0</v>
      </c>
      <c r="AC6119" s="117" t="str">
        <f>IF(AB6119=1,COUNTIF($AB$3:AB6119,1),"")</f>
        <v/>
      </c>
      <c r="AD6119" s="117" t="str">
        <f>IFERROR(INDEX($AA$3:$AA$10000,MATCH(ROWS($AC$3:AC6119),$AC$3:$AC$10000,0)),"")</f>
        <v/>
      </c>
    </row>
    <row r="6120" spans="27:30">
      <c r="AA6120" s="117">
        <f>+'Ingredient List - Mother Tinctu'!D6121</f>
        <v>0</v>
      </c>
      <c r="AB6120" s="117">
        <f t="shared" si="98"/>
        <v>0</v>
      </c>
      <c r="AC6120" s="117" t="str">
        <f>IF(AB6120=1,COUNTIF($AB$3:AB6120,1),"")</f>
        <v/>
      </c>
      <c r="AD6120" s="117" t="str">
        <f>IFERROR(INDEX($AA$3:$AA$10000,MATCH(ROWS($AC$3:AC6120),$AC$3:$AC$10000,0)),"")</f>
        <v/>
      </c>
    </row>
    <row r="6121" spans="27:30">
      <c r="AA6121" s="117">
        <f>+'Ingredient List - Mother Tinctu'!D6122</f>
        <v>0</v>
      </c>
      <c r="AB6121" s="117">
        <f t="shared" si="98"/>
        <v>0</v>
      </c>
      <c r="AC6121" s="117" t="str">
        <f>IF(AB6121=1,COUNTIF($AB$3:AB6121,1),"")</f>
        <v/>
      </c>
      <c r="AD6121" s="117" t="str">
        <f>IFERROR(INDEX($AA$3:$AA$10000,MATCH(ROWS($AC$3:AC6121),$AC$3:$AC$10000,0)),"")</f>
        <v/>
      </c>
    </row>
    <row r="6122" spans="27:30">
      <c r="AA6122" s="117">
        <f>+'Ingredient List - Mother Tinctu'!D6123</f>
        <v>0</v>
      </c>
      <c r="AB6122" s="117">
        <f t="shared" si="98"/>
        <v>0</v>
      </c>
      <c r="AC6122" s="117" t="str">
        <f>IF(AB6122=1,COUNTIF($AB$3:AB6122,1),"")</f>
        <v/>
      </c>
      <c r="AD6122" s="117" t="str">
        <f>IFERROR(INDEX($AA$3:$AA$10000,MATCH(ROWS($AC$3:AC6122),$AC$3:$AC$10000,0)),"")</f>
        <v/>
      </c>
    </row>
    <row r="6123" spans="27:30">
      <c r="AA6123" s="117">
        <f>+'Ingredient List - Mother Tinctu'!D6124</f>
        <v>0</v>
      </c>
      <c r="AB6123" s="117">
        <f t="shared" si="98"/>
        <v>0</v>
      </c>
      <c r="AC6123" s="117" t="str">
        <f>IF(AB6123=1,COUNTIF($AB$3:AB6123,1),"")</f>
        <v/>
      </c>
      <c r="AD6123" s="117" t="str">
        <f>IFERROR(INDEX($AA$3:$AA$10000,MATCH(ROWS($AC$3:AC6123),$AC$3:$AC$10000,0)),"")</f>
        <v/>
      </c>
    </row>
    <row r="6124" spans="27:30">
      <c r="AA6124" s="117">
        <f>+'Ingredient List - Mother Tinctu'!D6125</f>
        <v>0</v>
      </c>
      <c r="AB6124" s="117">
        <f t="shared" si="98"/>
        <v>0</v>
      </c>
      <c r="AC6124" s="117" t="str">
        <f>IF(AB6124=1,COUNTIF($AB$3:AB6124,1),"")</f>
        <v/>
      </c>
      <c r="AD6124" s="117" t="str">
        <f>IFERROR(INDEX($AA$3:$AA$10000,MATCH(ROWS($AC$3:AC6124),$AC$3:$AC$10000,0)),"")</f>
        <v/>
      </c>
    </row>
    <row r="6125" spans="27:30">
      <c r="AA6125" s="117">
        <f>+'Ingredient List - Mother Tinctu'!D6126</f>
        <v>0</v>
      </c>
      <c r="AB6125" s="117">
        <f t="shared" si="98"/>
        <v>0</v>
      </c>
      <c r="AC6125" s="117" t="str">
        <f>IF(AB6125=1,COUNTIF($AB$3:AB6125,1),"")</f>
        <v/>
      </c>
      <c r="AD6125" s="117" t="str">
        <f>IFERROR(INDEX($AA$3:$AA$10000,MATCH(ROWS($AC$3:AC6125),$AC$3:$AC$10000,0)),"")</f>
        <v/>
      </c>
    </row>
    <row r="6126" spans="27:30">
      <c r="AA6126" s="117">
        <f>+'Ingredient List - Mother Tinctu'!D6127</f>
        <v>0</v>
      </c>
      <c r="AB6126" s="117">
        <f t="shared" si="98"/>
        <v>0</v>
      </c>
      <c r="AC6126" s="117" t="str">
        <f>IF(AB6126=1,COUNTIF($AB$3:AB6126,1),"")</f>
        <v/>
      </c>
      <c r="AD6126" s="117" t="str">
        <f>IFERROR(INDEX($AA$3:$AA$10000,MATCH(ROWS($AC$3:AC6126),$AC$3:$AC$10000,0)),"")</f>
        <v/>
      </c>
    </row>
    <row r="6127" spans="27:30">
      <c r="AA6127" s="117">
        <f>+'Ingredient List - Mother Tinctu'!D6128</f>
        <v>0</v>
      </c>
      <c r="AB6127" s="117">
        <f t="shared" si="98"/>
        <v>0</v>
      </c>
      <c r="AC6127" s="117" t="str">
        <f>IF(AB6127=1,COUNTIF($AB$3:AB6127,1),"")</f>
        <v/>
      </c>
      <c r="AD6127" s="117" t="str">
        <f>IFERROR(INDEX($AA$3:$AA$10000,MATCH(ROWS($AC$3:AC6127),$AC$3:$AC$10000,0)),"")</f>
        <v/>
      </c>
    </row>
    <row r="6128" spans="27:30">
      <c r="AA6128" s="117">
        <f>+'Ingredient List - Mother Tinctu'!D6129</f>
        <v>0</v>
      </c>
      <c r="AB6128" s="117">
        <f t="shared" si="98"/>
        <v>0</v>
      </c>
      <c r="AC6128" s="117" t="str">
        <f>IF(AB6128=1,COUNTIF($AB$3:AB6128,1),"")</f>
        <v/>
      </c>
      <c r="AD6128" s="117" t="str">
        <f>IFERROR(INDEX($AA$3:$AA$10000,MATCH(ROWS($AC$3:AC6128),$AC$3:$AC$10000,0)),"")</f>
        <v/>
      </c>
    </row>
    <row r="6129" spans="27:30">
      <c r="AA6129" s="117">
        <f>+'Ingredient List - Mother Tinctu'!D6130</f>
        <v>0</v>
      </c>
      <c r="AB6129" s="117">
        <f t="shared" si="98"/>
        <v>0</v>
      </c>
      <c r="AC6129" s="117" t="str">
        <f>IF(AB6129=1,COUNTIF($AB$3:AB6129,1),"")</f>
        <v/>
      </c>
      <c r="AD6129" s="117" t="str">
        <f>IFERROR(INDEX($AA$3:$AA$10000,MATCH(ROWS($AC$3:AC6129),$AC$3:$AC$10000,0)),"")</f>
        <v/>
      </c>
    </row>
    <row r="6130" spans="27:30">
      <c r="AA6130" s="117">
        <f>+'Ingredient List - Mother Tinctu'!D6131</f>
        <v>0</v>
      </c>
      <c r="AB6130" s="117">
        <f t="shared" si="98"/>
        <v>0</v>
      </c>
      <c r="AC6130" s="117" t="str">
        <f>IF(AB6130=1,COUNTIF($AB$3:AB6130,1),"")</f>
        <v/>
      </c>
      <c r="AD6130" s="117" t="str">
        <f>IFERROR(INDEX($AA$3:$AA$10000,MATCH(ROWS($AC$3:AC6130),$AC$3:$AC$10000,0)),"")</f>
        <v/>
      </c>
    </row>
    <row r="6131" spans="27:30">
      <c r="AA6131" s="117">
        <f>+'Ingredient List - Mother Tinctu'!D6132</f>
        <v>0</v>
      </c>
      <c r="AB6131" s="117">
        <f t="shared" si="98"/>
        <v>0</v>
      </c>
      <c r="AC6131" s="117" t="str">
        <f>IF(AB6131=1,COUNTIF($AB$3:AB6131,1),"")</f>
        <v/>
      </c>
      <c r="AD6131" s="117" t="str">
        <f>IFERROR(INDEX($AA$3:$AA$10000,MATCH(ROWS($AC$3:AC6131),$AC$3:$AC$10000,0)),"")</f>
        <v/>
      </c>
    </row>
    <row r="6132" spans="27:30">
      <c r="AA6132" s="117">
        <f>+'Ingredient List - Mother Tinctu'!D6133</f>
        <v>0</v>
      </c>
      <c r="AB6132" s="117">
        <f t="shared" si="98"/>
        <v>0</v>
      </c>
      <c r="AC6132" s="117" t="str">
        <f>IF(AB6132=1,COUNTIF($AB$3:AB6132,1),"")</f>
        <v/>
      </c>
      <c r="AD6132" s="117" t="str">
        <f>IFERROR(INDEX($AA$3:$AA$10000,MATCH(ROWS($AC$3:AC6132),$AC$3:$AC$10000,0)),"")</f>
        <v/>
      </c>
    </row>
    <row r="6133" spans="27:30">
      <c r="AA6133" s="117">
        <f>+'Ingredient List - Mother Tinctu'!D6134</f>
        <v>0</v>
      </c>
      <c r="AB6133" s="117">
        <f t="shared" si="98"/>
        <v>0</v>
      </c>
      <c r="AC6133" s="117" t="str">
        <f>IF(AB6133=1,COUNTIF($AB$3:AB6133,1),"")</f>
        <v/>
      </c>
      <c r="AD6133" s="117" t="str">
        <f>IFERROR(INDEX($AA$3:$AA$10000,MATCH(ROWS($AC$3:AC6133),$AC$3:$AC$10000,0)),"")</f>
        <v/>
      </c>
    </row>
    <row r="6134" spans="27:30">
      <c r="AA6134" s="117">
        <f>+'Ingredient List - Mother Tinctu'!D6135</f>
        <v>0</v>
      </c>
      <c r="AB6134" s="117">
        <f t="shared" si="98"/>
        <v>0</v>
      </c>
      <c r="AC6134" s="117" t="str">
        <f>IF(AB6134=1,COUNTIF($AB$3:AB6134,1),"")</f>
        <v/>
      </c>
      <c r="AD6134" s="117" t="str">
        <f>IFERROR(INDEX($AA$3:$AA$10000,MATCH(ROWS($AC$3:AC6134),$AC$3:$AC$10000,0)),"")</f>
        <v/>
      </c>
    </row>
    <row r="6135" spans="27:30">
      <c r="AA6135" s="117">
        <f>+'Ingredient List - Mother Tinctu'!D6136</f>
        <v>0</v>
      </c>
      <c r="AB6135" s="117">
        <f t="shared" si="98"/>
        <v>0</v>
      </c>
      <c r="AC6135" s="117" t="str">
        <f>IF(AB6135=1,COUNTIF($AB$3:AB6135,1),"")</f>
        <v/>
      </c>
      <c r="AD6135" s="117" t="str">
        <f>IFERROR(INDEX($AA$3:$AA$10000,MATCH(ROWS($AC$3:AC6135),$AC$3:$AC$10000,0)),"")</f>
        <v/>
      </c>
    </row>
    <row r="6136" spans="27:30">
      <c r="AA6136" s="117">
        <f>+'Ingredient List - Mother Tinctu'!D6137</f>
        <v>0</v>
      </c>
      <c r="AB6136" s="117">
        <f t="shared" si="98"/>
        <v>0</v>
      </c>
      <c r="AC6136" s="117" t="str">
        <f>IF(AB6136=1,COUNTIF($AB$3:AB6136,1),"")</f>
        <v/>
      </c>
      <c r="AD6136" s="117" t="str">
        <f>IFERROR(INDEX($AA$3:$AA$10000,MATCH(ROWS($AC$3:AC6136),$AC$3:$AC$10000,0)),"")</f>
        <v/>
      </c>
    </row>
    <row r="6137" spans="27:30">
      <c r="AA6137" s="117">
        <f>+'Ingredient List - Mother Tinctu'!D6138</f>
        <v>0</v>
      </c>
      <c r="AB6137" s="117">
        <f t="shared" si="98"/>
        <v>0</v>
      </c>
      <c r="AC6137" s="117" t="str">
        <f>IF(AB6137=1,COUNTIF($AB$3:AB6137,1),"")</f>
        <v/>
      </c>
      <c r="AD6137" s="117" t="str">
        <f>IFERROR(INDEX($AA$3:$AA$10000,MATCH(ROWS($AC$3:AC6137),$AC$3:$AC$10000,0)),"")</f>
        <v/>
      </c>
    </row>
    <row r="6138" spans="27:30">
      <c r="AA6138" s="117">
        <f>+'Ingredient List - Mother Tinctu'!D6139</f>
        <v>0</v>
      </c>
      <c r="AB6138" s="117">
        <f t="shared" si="98"/>
        <v>0</v>
      </c>
      <c r="AC6138" s="117" t="str">
        <f>IF(AB6138=1,COUNTIF($AB$3:AB6138,1),"")</f>
        <v/>
      </c>
      <c r="AD6138" s="117" t="str">
        <f>IFERROR(INDEX($AA$3:$AA$10000,MATCH(ROWS($AC$3:AC6138),$AC$3:$AC$10000,0)),"")</f>
        <v/>
      </c>
    </row>
    <row r="6139" spans="27:30">
      <c r="AA6139" s="117">
        <f>+'Ingredient List - Mother Tinctu'!D6140</f>
        <v>0</v>
      </c>
      <c r="AB6139" s="117">
        <f t="shared" si="98"/>
        <v>0</v>
      </c>
      <c r="AC6139" s="117" t="str">
        <f>IF(AB6139=1,COUNTIF($AB$3:AB6139,1),"")</f>
        <v/>
      </c>
      <c r="AD6139" s="117" t="str">
        <f>IFERROR(INDEX($AA$3:$AA$10000,MATCH(ROWS($AC$3:AC6139),$AC$3:$AC$10000,0)),"")</f>
        <v/>
      </c>
    </row>
    <row r="6140" spans="27:30">
      <c r="AA6140" s="117">
        <f>+'Ingredient List - Mother Tinctu'!D6141</f>
        <v>0</v>
      </c>
      <c r="AB6140" s="117">
        <f t="shared" si="98"/>
        <v>0</v>
      </c>
      <c r="AC6140" s="117" t="str">
        <f>IF(AB6140=1,COUNTIF($AB$3:AB6140,1),"")</f>
        <v/>
      </c>
      <c r="AD6140" s="117" t="str">
        <f>IFERROR(INDEX($AA$3:$AA$10000,MATCH(ROWS($AC$3:AC6140),$AC$3:$AC$10000,0)),"")</f>
        <v/>
      </c>
    </row>
    <row r="6141" spans="27:30">
      <c r="AA6141" s="117">
        <f>+'Ingredient List - Mother Tinctu'!D6142</f>
        <v>0</v>
      </c>
      <c r="AB6141" s="117">
        <f t="shared" si="98"/>
        <v>0</v>
      </c>
      <c r="AC6141" s="117" t="str">
        <f>IF(AB6141=1,COUNTIF($AB$3:AB6141,1),"")</f>
        <v/>
      </c>
      <c r="AD6141" s="117" t="str">
        <f>IFERROR(INDEX($AA$3:$AA$10000,MATCH(ROWS($AC$3:AC6141),$AC$3:$AC$10000,0)),"")</f>
        <v/>
      </c>
    </row>
    <row r="6142" spans="27:30">
      <c r="AA6142" s="117">
        <f>+'Ingredient List - Mother Tinctu'!D6143</f>
        <v>0</v>
      </c>
      <c r="AB6142" s="117">
        <f t="shared" si="98"/>
        <v>0</v>
      </c>
      <c r="AC6142" s="117" t="str">
        <f>IF(AB6142=1,COUNTIF($AB$3:AB6142,1),"")</f>
        <v/>
      </c>
      <c r="AD6142" s="117" t="str">
        <f>IFERROR(INDEX($AA$3:$AA$10000,MATCH(ROWS($AC$3:AC6142),$AC$3:$AC$10000,0)),"")</f>
        <v/>
      </c>
    </row>
    <row r="6143" spans="27:30">
      <c r="AA6143" s="117">
        <f>+'Ingredient List - Mother Tinctu'!D6144</f>
        <v>0</v>
      </c>
      <c r="AB6143" s="117">
        <f t="shared" si="98"/>
        <v>0</v>
      </c>
      <c r="AC6143" s="117" t="str">
        <f>IF(AB6143=1,COUNTIF($AB$3:AB6143,1),"")</f>
        <v/>
      </c>
      <c r="AD6143" s="117" t="str">
        <f>IFERROR(INDEX($AA$3:$AA$10000,MATCH(ROWS($AC$3:AC6143),$AC$3:$AC$10000,0)),"")</f>
        <v/>
      </c>
    </row>
    <row r="6144" spans="27:30">
      <c r="AA6144" s="117">
        <f>+'Ingredient List - Mother Tinctu'!D6145</f>
        <v>0</v>
      </c>
      <c r="AB6144" s="117">
        <f t="shared" si="98"/>
        <v>0</v>
      </c>
      <c r="AC6144" s="117" t="str">
        <f>IF(AB6144=1,COUNTIF($AB$3:AB6144,1),"")</f>
        <v/>
      </c>
      <c r="AD6144" s="117" t="str">
        <f>IFERROR(INDEX($AA$3:$AA$10000,MATCH(ROWS($AC$3:AC6144),$AC$3:$AC$10000,0)),"")</f>
        <v/>
      </c>
    </row>
    <row r="6145" spans="27:30">
      <c r="AA6145" s="117">
        <f>+'Ingredient List - Mother Tinctu'!D6146</f>
        <v>0</v>
      </c>
      <c r="AB6145" s="117">
        <f t="shared" si="98"/>
        <v>0</v>
      </c>
      <c r="AC6145" s="117" t="str">
        <f>IF(AB6145=1,COUNTIF($AB$3:AB6145,1),"")</f>
        <v/>
      </c>
      <c r="AD6145" s="117" t="str">
        <f>IFERROR(INDEX($AA$3:$AA$10000,MATCH(ROWS($AC$3:AC6145),$AC$3:$AC$10000,0)),"")</f>
        <v/>
      </c>
    </row>
    <row r="6146" spans="27:30">
      <c r="AA6146" s="117">
        <f>+'Ingredient List - Mother Tinctu'!D6147</f>
        <v>0</v>
      </c>
      <c r="AB6146" s="117">
        <f t="shared" si="98"/>
        <v>0</v>
      </c>
      <c r="AC6146" s="117" t="str">
        <f>IF(AB6146=1,COUNTIF($AB$3:AB6146,1),"")</f>
        <v/>
      </c>
      <c r="AD6146" s="117" t="str">
        <f>IFERROR(INDEX($AA$3:$AA$10000,MATCH(ROWS($AC$3:AC6146),$AC$3:$AC$10000,0)),"")</f>
        <v/>
      </c>
    </row>
    <row r="6147" spans="27:30">
      <c r="AA6147" s="117">
        <f>+'Ingredient List - Mother Tinctu'!D6148</f>
        <v>0</v>
      </c>
      <c r="AB6147" s="117">
        <f t="shared" si="98"/>
        <v>0</v>
      </c>
      <c r="AC6147" s="117" t="str">
        <f>IF(AB6147=1,COUNTIF($AB$3:AB6147,1),"")</f>
        <v/>
      </c>
      <c r="AD6147" s="117" t="str">
        <f>IFERROR(INDEX($AA$3:$AA$10000,MATCH(ROWS($AC$3:AC6147),$AC$3:$AC$10000,0)),"")</f>
        <v/>
      </c>
    </row>
    <row r="6148" spans="27:30">
      <c r="AA6148" s="117">
        <f>+'Ingredient List - Mother Tinctu'!D6149</f>
        <v>0</v>
      </c>
      <c r="AB6148" s="117">
        <f t="shared" ref="AB6148:AB6211" si="99">--ISNUMBER(IFERROR(SEARCH($D$3,AA6148,1),""))</f>
        <v>0</v>
      </c>
      <c r="AC6148" s="117" t="str">
        <f>IF(AB6148=1,COUNTIF($AB$3:AB6148,1),"")</f>
        <v/>
      </c>
      <c r="AD6148" s="117" t="str">
        <f>IFERROR(INDEX($AA$3:$AA$10000,MATCH(ROWS($AC$3:AC6148),$AC$3:$AC$10000,0)),"")</f>
        <v/>
      </c>
    </row>
    <row r="6149" spans="27:30">
      <c r="AA6149" s="117">
        <f>+'Ingredient List - Mother Tinctu'!D6150</f>
        <v>0</v>
      </c>
      <c r="AB6149" s="117">
        <f t="shared" si="99"/>
        <v>0</v>
      </c>
      <c r="AC6149" s="117" t="str">
        <f>IF(AB6149=1,COUNTIF($AB$3:AB6149,1),"")</f>
        <v/>
      </c>
      <c r="AD6149" s="117" t="str">
        <f>IFERROR(INDEX($AA$3:$AA$10000,MATCH(ROWS($AC$3:AC6149),$AC$3:$AC$10000,0)),"")</f>
        <v/>
      </c>
    </row>
    <row r="6150" spans="27:30">
      <c r="AA6150" s="117">
        <f>+'Ingredient List - Mother Tinctu'!D6151</f>
        <v>0</v>
      </c>
      <c r="AB6150" s="117">
        <f t="shared" si="99"/>
        <v>0</v>
      </c>
      <c r="AC6150" s="117" t="str">
        <f>IF(AB6150=1,COUNTIF($AB$3:AB6150,1),"")</f>
        <v/>
      </c>
      <c r="AD6150" s="117" t="str">
        <f>IFERROR(INDEX($AA$3:$AA$10000,MATCH(ROWS($AC$3:AC6150),$AC$3:$AC$10000,0)),"")</f>
        <v/>
      </c>
    </row>
    <row r="6151" spans="27:30">
      <c r="AA6151" s="117">
        <f>+'Ingredient List - Mother Tinctu'!D6152</f>
        <v>0</v>
      </c>
      <c r="AB6151" s="117">
        <f t="shared" si="99"/>
        <v>0</v>
      </c>
      <c r="AC6151" s="117" t="str">
        <f>IF(AB6151=1,COUNTIF($AB$3:AB6151,1),"")</f>
        <v/>
      </c>
      <c r="AD6151" s="117" t="str">
        <f>IFERROR(INDEX($AA$3:$AA$10000,MATCH(ROWS($AC$3:AC6151),$AC$3:$AC$10000,0)),"")</f>
        <v/>
      </c>
    </row>
    <row r="6152" spans="27:30">
      <c r="AA6152" s="117">
        <f>+'Ingredient List - Mother Tinctu'!D6153</f>
        <v>0</v>
      </c>
      <c r="AB6152" s="117">
        <f t="shared" si="99"/>
        <v>0</v>
      </c>
      <c r="AC6152" s="117" t="str">
        <f>IF(AB6152=1,COUNTIF($AB$3:AB6152,1),"")</f>
        <v/>
      </c>
      <c r="AD6152" s="117" t="str">
        <f>IFERROR(INDEX($AA$3:$AA$10000,MATCH(ROWS($AC$3:AC6152),$AC$3:$AC$10000,0)),"")</f>
        <v/>
      </c>
    </row>
    <row r="6153" spans="27:30">
      <c r="AA6153" s="117">
        <f>+'Ingredient List - Mother Tinctu'!D6154</f>
        <v>0</v>
      </c>
      <c r="AB6153" s="117">
        <f t="shared" si="99"/>
        <v>0</v>
      </c>
      <c r="AC6153" s="117" t="str">
        <f>IF(AB6153=1,COUNTIF($AB$3:AB6153,1),"")</f>
        <v/>
      </c>
      <c r="AD6153" s="117" t="str">
        <f>IFERROR(INDEX($AA$3:$AA$10000,MATCH(ROWS($AC$3:AC6153),$AC$3:$AC$10000,0)),"")</f>
        <v/>
      </c>
    </row>
    <row r="6154" spans="27:30">
      <c r="AA6154" s="117">
        <f>+'Ingredient List - Mother Tinctu'!D6155</f>
        <v>0</v>
      </c>
      <c r="AB6154" s="117">
        <f t="shared" si="99"/>
        <v>0</v>
      </c>
      <c r="AC6154" s="117" t="str">
        <f>IF(AB6154=1,COUNTIF($AB$3:AB6154,1),"")</f>
        <v/>
      </c>
      <c r="AD6154" s="117" t="str">
        <f>IFERROR(INDEX($AA$3:$AA$10000,MATCH(ROWS($AC$3:AC6154),$AC$3:$AC$10000,0)),"")</f>
        <v/>
      </c>
    </row>
    <row r="6155" spans="27:30">
      <c r="AA6155" s="117">
        <f>+'Ingredient List - Mother Tinctu'!D6156</f>
        <v>0</v>
      </c>
      <c r="AB6155" s="117">
        <f t="shared" si="99"/>
        <v>0</v>
      </c>
      <c r="AC6155" s="117" t="str">
        <f>IF(AB6155=1,COUNTIF($AB$3:AB6155,1),"")</f>
        <v/>
      </c>
      <c r="AD6155" s="117" t="str">
        <f>IFERROR(INDEX($AA$3:$AA$10000,MATCH(ROWS($AC$3:AC6155),$AC$3:$AC$10000,0)),"")</f>
        <v/>
      </c>
    </row>
    <row r="6156" spans="27:30">
      <c r="AA6156" s="117">
        <f>+'Ingredient List - Mother Tinctu'!D6157</f>
        <v>0</v>
      </c>
      <c r="AB6156" s="117">
        <f t="shared" si="99"/>
        <v>0</v>
      </c>
      <c r="AC6156" s="117" t="str">
        <f>IF(AB6156=1,COUNTIF($AB$3:AB6156,1),"")</f>
        <v/>
      </c>
      <c r="AD6156" s="117" t="str">
        <f>IFERROR(INDEX($AA$3:$AA$10000,MATCH(ROWS($AC$3:AC6156),$AC$3:$AC$10000,0)),"")</f>
        <v/>
      </c>
    </row>
    <row r="6157" spans="27:30">
      <c r="AA6157" s="117">
        <f>+'Ingredient List - Mother Tinctu'!D6158</f>
        <v>0</v>
      </c>
      <c r="AB6157" s="117">
        <f t="shared" si="99"/>
        <v>0</v>
      </c>
      <c r="AC6157" s="117" t="str">
        <f>IF(AB6157=1,COUNTIF($AB$3:AB6157,1),"")</f>
        <v/>
      </c>
      <c r="AD6157" s="117" t="str">
        <f>IFERROR(INDEX($AA$3:$AA$10000,MATCH(ROWS($AC$3:AC6157),$AC$3:$AC$10000,0)),"")</f>
        <v/>
      </c>
    </row>
    <row r="6158" spans="27:30">
      <c r="AA6158" s="117">
        <f>+'Ingredient List - Mother Tinctu'!D6159</f>
        <v>0</v>
      </c>
      <c r="AB6158" s="117">
        <f t="shared" si="99"/>
        <v>0</v>
      </c>
      <c r="AC6158" s="117" t="str">
        <f>IF(AB6158=1,COUNTIF($AB$3:AB6158,1),"")</f>
        <v/>
      </c>
      <c r="AD6158" s="117" t="str">
        <f>IFERROR(INDEX($AA$3:$AA$10000,MATCH(ROWS($AC$3:AC6158),$AC$3:$AC$10000,0)),"")</f>
        <v/>
      </c>
    </row>
    <row r="6159" spans="27:30">
      <c r="AA6159" s="117">
        <f>+'Ingredient List - Mother Tinctu'!D6160</f>
        <v>0</v>
      </c>
      <c r="AB6159" s="117">
        <f t="shared" si="99"/>
        <v>0</v>
      </c>
      <c r="AC6159" s="117" t="str">
        <f>IF(AB6159=1,COUNTIF($AB$3:AB6159,1),"")</f>
        <v/>
      </c>
      <c r="AD6159" s="117" t="str">
        <f>IFERROR(INDEX($AA$3:$AA$10000,MATCH(ROWS($AC$3:AC6159),$AC$3:$AC$10000,0)),"")</f>
        <v/>
      </c>
    </row>
    <row r="6160" spans="27:30">
      <c r="AA6160" s="117">
        <f>+'Ingredient List - Mother Tinctu'!D6161</f>
        <v>0</v>
      </c>
      <c r="AB6160" s="117">
        <f t="shared" si="99"/>
        <v>0</v>
      </c>
      <c r="AC6160" s="117" t="str">
        <f>IF(AB6160=1,COUNTIF($AB$3:AB6160,1),"")</f>
        <v/>
      </c>
      <c r="AD6160" s="117" t="str">
        <f>IFERROR(INDEX($AA$3:$AA$10000,MATCH(ROWS($AC$3:AC6160),$AC$3:$AC$10000,0)),"")</f>
        <v/>
      </c>
    </row>
    <row r="6161" spans="27:30">
      <c r="AA6161" s="117">
        <f>+'Ingredient List - Mother Tinctu'!D6162</f>
        <v>0</v>
      </c>
      <c r="AB6161" s="117">
        <f t="shared" si="99"/>
        <v>0</v>
      </c>
      <c r="AC6161" s="117" t="str">
        <f>IF(AB6161=1,COUNTIF($AB$3:AB6161,1),"")</f>
        <v/>
      </c>
      <c r="AD6161" s="117" t="str">
        <f>IFERROR(INDEX($AA$3:$AA$10000,MATCH(ROWS($AC$3:AC6161),$AC$3:$AC$10000,0)),"")</f>
        <v/>
      </c>
    </row>
    <row r="6162" spans="27:30">
      <c r="AA6162" s="117">
        <f>+'Ingredient List - Mother Tinctu'!D6163</f>
        <v>0</v>
      </c>
      <c r="AB6162" s="117">
        <f t="shared" si="99"/>
        <v>0</v>
      </c>
      <c r="AC6162" s="117" t="str">
        <f>IF(AB6162=1,COUNTIF($AB$3:AB6162,1),"")</f>
        <v/>
      </c>
      <c r="AD6162" s="117" t="str">
        <f>IFERROR(INDEX($AA$3:$AA$10000,MATCH(ROWS($AC$3:AC6162),$AC$3:$AC$10000,0)),"")</f>
        <v/>
      </c>
    </row>
    <row r="6163" spans="27:30">
      <c r="AA6163" s="117">
        <f>+'Ingredient List - Mother Tinctu'!D6164</f>
        <v>0</v>
      </c>
      <c r="AB6163" s="117">
        <f t="shared" si="99"/>
        <v>0</v>
      </c>
      <c r="AC6163" s="117" t="str">
        <f>IF(AB6163=1,COUNTIF($AB$3:AB6163,1),"")</f>
        <v/>
      </c>
      <c r="AD6163" s="117" t="str">
        <f>IFERROR(INDEX($AA$3:$AA$10000,MATCH(ROWS($AC$3:AC6163),$AC$3:$AC$10000,0)),"")</f>
        <v/>
      </c>
    </row>
    <row r="6164" spans="27:30">
      <c r="AA6164" s="117">
        <f>+'Ingredient List - Mother Tinctu'!D6165</f>
        <v>0</v>
      </c>
      <c r="AB6164" s="117">
        <f t="shared" si="99"/>
        <v>0</v>
      </c>
      <c r="AC6164" s="117" t="str">
        <f>IF(AB6164=1,COUNTIF($AB$3:AB6164,1),"")</f>
        <v/>
      </c>
      <c r="AD6164" s="117" t="str">
        <f>IFERROR(INDEX($AA$3:$AA$10000,MATCH(ROWS($AC$3:AC6164),$AC$3:$AC$10000,0)),"")</f>
        <v/>
      </c>
    </row>
    <row r="6165" spans="27:30">
      <c r="AA6165" s="117">
        <f>+'Ingredient List - Mother Tinctu'!D6166</f>
        <v>0</v>
      </c>
      <c r="AB6165" s="117">
        <f t="shared" si="99"/>
        <v>0</v>
      </c>
      <c r="AC6165" s="117" t="str">
        <f>IF(AB6165=1,COUNTIF($AB$3:AB6165,1),"")</f>
        <v/>
      </c>
      <c r="AD6165" s="117" t="str">
        <f>IFERROR(INDEX($AA$3:$AA$10000,MATCH(ROWS($AC$3:AC6165),$AC$3:$AC$10000,0)),"")</f>
        <v/>
      </c>
    </row>
    <row r="6166" spans="27:30">
      <c r="AA6166" s="117">
        <f>+'Ingredient List - Mother Tinctu'!D6167</f>
        <v>0</v>
      </c>
      <c r="AB6166" s="117">
        <f t="shared" si="99"/>
        <v>0</v>
      </c>
      <c r="AC6166" s="117" t="str">
        <f>IF(AB6166=1,COUNTIF($AB$3:AB6166,1),"")</f>
        <v/>
      </c>
      <c r="AD6166" s="117" t="str">
        <f>IFERROR(INDEX($AA$3:$AA$10000,MATCH(ROWS($AC$3:AC6166),$AC$3:$AC$10000,0)),"")</f>
        <v/>
      </c>
    </row>
    <row r="6167" spans="27:30">
      <c r="AA6167" s="117">
        <f>+'Ingredient List - Mother Tinctu'!D6168</f>
        <v>0</v>
      </c>
      <c r="AB6167" s="117">
        <f t="shared" si="99"/>
        <v>0</v>
      </c>
      <c r="AC6167" s="117" t="str">
        <f>IF(AB6167=1,COUNTIF($AB$3:AB6167,1),"")</f>
        <v/>
      </c>
      <c r="AD6167" s="117" t="str">
        <f>IFERROR(INDEX($AA$3:$AA$10000,MATCH(ROWS($AC$3:AC6167),$AC$3:$AC$10000,0)),"")</f>
        <v/>
      </c>
    </row>
    <row r="6168" spans="27:30">
      <c r="AA6168" s="117">
        <f>+'Ingredient List - Mother Tinctu'!D6169</f>
        <v>0</v>
      </c>
      <c r="AB6168" s="117">
        <f t="shared" si="99"/>
        <v>0</v>
      </c>
      <c r="AC6168" s="117" t="str">
        <f>IF(AB6168=1,COUNTIF($AB$3:AB6168,1),"")</f>
        <v/>
      </c>
      <c r="AD6168" s="117" t="str">
        <f>IFERROR(INDEX($AA$3:$AA$10000,MATCH(ROWS($AC$3:AC6168),$AC$3:$AC$10000,0)),"")</f>
        <v/>
      </c>
    </row>
    <row r="6169" spans="27:30">
      <c r="AA6169" s="117">
        <f>+'Ingredient List - Mother Tinctu'!D6170</f>
        <v>0</v>
      </c>
      <c r="AB6169" s="117">
        <f t="shared" si="99"/>
        <v>0</v>
      </c>
      <c r="AC6169" s="117" t="str">
        <f>IF(AB6169=1,COUNTIF($AB$3:AB6169,1),"")</f>
        <v/>
      </c>
      <c r="AD6169" s="117" t="str">
        <f>IFERROR(INDEX($AA$3:$AA$10000,MATCH(ROWS($AC$3:AC6169),$AC$3:$AC$10000,0)),"")</f>
        <v/>
      </c>
    </row>
    <row r="6170" spans="27:30">
      <c r="AA6170" s="117">
        <f>+'Ingredient List - Mother Tinctu'!D6171</f>
        <v>0</v>
      </c>
      <c r="AB6170" s="117">
        <f t="shared" si="99"/>
        <v>0</v>
      </c>
      <c r="AC6170" s="117" t="str">
        <f>IF(AB6170=1,COUNTIF($AB$3:AB6170,1),"")</f>
        <v/>
      </c>
      <c r="AD6170" s="117" t="str">
        <f>IFERROR(INDEX($AA$3:$AA$10000,MATCH(ROWS($AC$3:AC6170),$AC$3:$AC$10000,0)),"")</f>
        <v/>
      </c>
    </row>
    <row r="6171" spans="27:30">
      <c r="AA6171" s="117">
        <f>+'Ingredient List - Mother Tinctu'!D6172</f>
        <v>0</v>
      </c>
      <c r="AB6171" s="117">
        <f t="shared" si="99"/>
        <v>0</v>
      </c>
      <c r="AC6171" s="117" t="str">
        <f>IF(AB6171=1,COUNTIF($AB$3:AB6171,1),"")</f>
        <v/>
      </c>
      <c r="AD6171" s="117" t="str">
        <f>IFERROR(INDEX($AA$3:$AA$10000,MATCH(ROWS($AC$3:AC6171),$AC$3:$AC$10000,0)),"")</f>
        <v/>
      </c>
    </row>
    <row r="6172" spans="27:30">
      <c r="AA6172" s="117">
        <f>+'Ingredient List - Mother Tinctu'!D6173</f>
        <v>0</v>
      </c>
      <c r="AB6172" s="117">
        <f t="shared" si="99"/>
        <v>0</v>
      </c>
      <c r="AC6172" s="117" t="str">
        <f>IF(AB6172=1,COUNTIF($AB$3:AB6172,1),"")</f>
        <v/>
      </c>
      <c r="AD6172" s="117" t="str">
        <f>IFERROR(INDEX($AA$3:$AA$10000,MATCH(ROWS($AC$3:AC6172),$AC$3:$AC$10000,0)),"")</f>
        <v/>
      </c>
    </row>
    <row r="6173" spans="27:30">
      <c r="AA6173" s="117">
        <f>+'Ingredient List - Mother Tinctu'!D6174</f>
        <v>0</v>
      </c>
      <c r="AB6173" s="117">
        <f t="shared" si="99"/>
        <v>0</v>
      </c>
      <c r="AC6173" s="117" t="str">
        <f>IF(AB6173=1,COUNTIF($AB$3:AB6173,1),"")</f>
        <v/>
      </c>
      <c r="AD6173" s="117" t="str">
        <f>IFERROR(INDEX($AA$3:$AA$10000,MATCH(ROWS($AC$3:AC6173),$AC$3:$AC$10000,0)),"")</f>
        <v/>
      </c>
    </row>
    <row r="6174" spans="27:30">
      <c r="AA6174" s="117">
        <f>+'Ingredient List - Mother Tinctu'!D6175</f>
        <v>0</v>
      </c>
      <c r="AB6174" s="117">
        <f t="shared" si="99"/>
        <v>0</v>
      </c>
      <c r="AC6174" s="117" t="str">
        <f>IF(AB6174=1,COUNTIF($AB$3:AB6174,1),"")</f>
        <v/>
      </c>
      <c r="AD6174" s="117" t="str">
        <f>IFERROR(INDEX($AA$3:$AA$10000,MATCH(ROWS($AC$3:AC6174),$AC$3:$AC$10000,0)),"")</f>
        <v/>
      </c>
    </row>
    <row r="6175" spans="27:30">
      <c r="AA6175" s="117">
        <f>+'Ingredient List - Mother Tinctu'!D6176</f>
        <v>0</v>
      </c>
      <c r="AB6175" s="117">
        <f t="shared" si="99"/>
        <v>0</v>
      </c>
      <c r="AC6175" s="117" t="str">
        <f>IF(AB6175=1,COUNTIF($AB$3:AB6175,1),"")</f>
        <v/>
      </c>
      <c r="AD6175" s="117" t="str">
        <f>IFERROR(INDEX($AA$3:$AA$10000,MATCH(ROWS($AC$3:AC6175),$AC$3:$AC$10000,0)),"")</f>
        <v/>
      </c>
    </row>
    <row r="6176" spans="27:30">
      <c r="AA6176" s="117">
        <f>+'Ingredient List - Mother Tinctu'!D6177</f>
        <v>0</v>
      </c>
      <c r="AB6176" s="117">
        <f t="shared" si="99"/>
        <v>0</v>
      </c>
      <c r="AC6176" s="117" t="str">
        <f>IF(AB6176=1,COUNTIF($AB$3:AB6176,1),"")</f>
        <v/>
      </c>
      <c r="AD6176" s="117" t="str">
        <f>IFERROR(INDEX($AA$3:$AA$10000,MATCH(ROWS($AC$3:AC6176),$AC$3:$AC$10000,0)),"")</f>
        <v/>
      </c>
    </row>
    <row r="6177" spans="27:30">
      <c r="AA6177" s="117">
        <f>+'Ingredient List - Mother Tinctu'!D6178</f>
        <v>0</v>
      </c>
      <c r="AB6177" s="117">
        <f t="shared" si="99"/>
        <v>0</v>
      </c>
      <c r="AC6177" s="117" t="str">
        <f>IF(AB6177=1,COUNTIF($AB$3:AB6177,1),"")</f>
        <v/>
      </c>
      <c r="AD6177" s="117" t="str">
        <f>IFERROR(INDEX($AA$3:$AA$10000,MATCH(ROWS($AC$3:AC6177),$AC$3:$AC$10000,0)),"")</f>
        <v/>
      </c>
    </row>
    <row r="6178" spans="27:30">
      <c r="AA6178" s="117">
        <f>+'Ingredient List - Mother Tinctu'!D6179</f>
        <v>0</v>
      </c>
      <c r="AB6178" s="117">
        <f t="shared" si="99"/>
        <v>0</v>
      </c>
      <c r="AC6178" s="117" t="str">
        <f>IF(AB6178=1,COUNTIF($AB$3:AB6178,1),"")</f>
        <v/>
      </c>
      <c r="AD6178" s="117" t="str">
        <f>IFERROR(INDEX($AA$3:$AA$10000,MATCH(ROWS($AC$3:AC6178),$AC$3:$AC$10000,0)),"")</f>
        <v/>
      </c>
    </row>
    <row r="6179" spans="27:30">
      <c r="AA6179" s="117">
        <f>+'Ingredient List - Mother Tinctu'!D6180</f>
        <v>0</v>
      </c>
      <c r="AB6179" s="117">
        <f t="shared" si="99"/>
        <v>0</v>
      </c>
      <c r="AC6179" s="117" t="str">
        <f>IF(AB6179=1,COUNTIF($AB$3:AB6179,1),"")</f>
        <v/>
      </c>
      <c r="AD6179" s="117" t="str">
        <f>IFERROR(INDEX($AA$3:$AA$10000,MATCH(ROWS($AC$3:AC6179),$AC$3:$AC$10000,0)),"")</f>
        <v/>
      </c>
    </row>
    <row r="6180" spans="27:30">
      <c r="AA6180" s="117">
        <f>+'Ingredient List - Mother Tinctu'!D6181</f>
        <v>0</v>
      </c>
      <c r="AB6180" s="117">
        <f t="shared" si="99"/>
        <v>0</v>
      </c>
      <c r="AC6180" s="117" t="str">
        <f>IF(AB6180=1,COUNTIF($AB$3:AB6180,1),"")</f>
        <v/>
      </c>
      <c r="AD6180" s="117" t="str">
        <f>IFERROR(INDEX($AA$3:$AA$10000,MATCH(ROWS($AC$3:AC6180),$AC$3:$AC$10000,0)),"")</f>
        <v/>
      </c>
    </row>
    <row r="6181" spans="27:30">
      <c r="AA6181" s="117">
        <f>+'Ingredient List - Mother Tinctu'!D6182</f>
        <v>0</v>
      </c>
      <c r="AB6181" s="117">
        <f t="shared" si="99"/>
        <v>0</v>
      </c>
      <c r="AC6181" s="117" t="str">
        <f>IF(AB6181=1,COUNTIF($AB$3:AB6181,1),"")</f>
        <v/>
      </c>
      <c r="AD6181" s="117" t="str">
        <f>IFERROR(INDEX($AA$3:$AA$10000,MATCH(ROWS($AC$3:AC6181),$AC$3:$AC$10000,0)),"")</f>
        <v/>
      </c>
    </row>
    <row r="6182" spans="27:30">
      <c r="AA6182" s="117">
        <f>+'Ingredient List - Mother Tinctu'!D6183</f>
        <v>0</v>
      </c>
      <c r="AB6182" s="117">
        <f t="shared" si="99"/>
        <v>0</v>
      </c>
      <c r="AC6182" s="117" t="str">
        <f>IF(AB6182=1,COUNTIF($AB$3:AB6182,1),"")</f>
        <v/>
      </c>
      <c r="AD6182" s="117" t="str">
        <f>IFERROR(INDEX($AA$3:$AA$10000,MATCH(ROWS($AC$3:AC6182),$AC$3:$AC$10000,0)),"")</f>
        <v/>
      </c>
    </row>
    <row r="6183" spans="27:30">
      <c r="AA6183" s="117">
        <f>+'Ingredient List - Mother Tinctu'!D6184</f>
        <v>0</v>
      </c>
      <c r="AB6183" s="117">
        <f t="shared" si="99"/>
        <v>0</v>
      </c>
      <c r="AC6183" s="117" t="str">
        <f>IF(AB6183=1,COUNTIF($AB$3:AB6183,1),"")</f>
        <v/>
      </c>
      <c r="AD6183" s="117" t="str">
        <f>IFERROR(INDEX($AA$3:$AA$10000,MATCH(ROWS($AC$3:AC6183),$AC$3:$AC$10000,0)),"")</f>
        <v/>
      </c>
    </row>
    <row r="6184" spans="27:30">
      <c r="AA6184" s="117">
        <f>+'Ingredient List - Mother Tinctu'!D6185</f>
        <v>0</v>
      </c>
      <c r="AB6184" s="117">
        <f t="shared" si="99"/>
        <v>0</v>
      </c>
      <c r="AC6184" s="117" t="str">
        <f>IF(AB6184=1,COUNTIF($AB$3:AB6184,1),"")</f>
        <v/>
      </c>
      <c r="AD6184" s="117" t="str">
        <f>IFERROR(INDEX($AA$3:$AA$10000,MATCH(ROWS($AC$3:AC6184),$AC$3:$AC$10000,0)),"")</f>
        <v/>
      </c>
    </row>
    <row r="6185" spans="27:30">
      <c r="AA6185" s="117">
        <f>+'Ingredient List - Mother Tinctu'!D6186</f>
        <v>0</v>
      </c>
      <c r="AB6185" s="117">
        <f t="shared" si="99"/>
        <v>0</v>
      </c>
      <c r="AC6185" s="117" t="str">
        <f>IF(AB6185=1,COUNTIF($AB$3:AB6185,1),"")</f>
        <v/>
      </c>
      <c r="AD6185" s="117" t="str">
        <f>IFERROR(INDEX($AA$3:$AA$10000,MATCH(ROWS($AC$3:AC6185),$AC$3:$AC$10000,0)),"")</f>
        <v/>
      </c>
    </row>
    <row r="6186" spans="27:30">
      <c r="AA6186" s="117">
        <f>+'Ingredient List - Mother Tinctu'!D6187</f>
        <v>0</v>
      </c>
      <c r="AB6186" s="117">
        <f t="shared" si="99"/>
        <v>0</v>
      </c>
      <c r="AC6186" s="117" t="str">
        <f>IF(AB6186=1,COUNTIF($AB$3:AB6186,1),"")</f>
        <v/>
      </c>
      <c r="AD6186" s="117" t="str">
        <f>IFERROR(INDEX($AA$3:$AA$10000,MATCH(ROWS($AC$3:AC6186),$AC$3:$AC$10000,0)),"")</f>
        <v/>
      </c>
    </row>
    <row r="6187" spans="27:30">
      <c r="AA6187" s="117">
        <f>+'Ingredient List - Mother Tinctu'!D6188</f>
        <v>0</v>
      </c>
      <c r="AB6187" s="117">
        <f t="shared" si="99"/>
        <v>0</v>
      </c>
      <c r="AC6187" s="117" t="str">
        <f>IF(AB6187=1,COUNTIF($AB$3:AB6187,1),"")</f>
        <v/>
      </c>
      <c r="AD6187" s="117" t="str">
        <f>IFERROR(INDEX($AA$3:$AA$10000,MATCH(ROWS($AC$3:AC6187),$AC$3:$AC$10000,0)),"")</f>
        <v/>
      </c>
    </row>
    <row r="6188" spans="27:30">
      <c r="AA6188" s="117">
        <f>+'Ingredient List - Mother Tinctu'!D6189</f>
        <v>0</v>
      </c>
      <c r="AB6188" s="117">
        <f t="shared" si="99"/>
        <v>0</v>
      </c>
      <c r="AC6188" s="117" t="str">
        <f>IF(AB6188=1,COUNTIF($AB$3:AB6188,1),"")</f>
        <v/>
      </c>
      <c r="AD6188" s="117" t="str">
        <f>IFERROR(INDEX($AA$3:$AA$10000,MATCH(ROWS($AC$3:AC6188),$AC$3:$AC$10000,0)),"")</f>
        <v/>
      </c>
    </row>
    <row r="6189" spans="27:30">
      <c r="AA6189" s="117">
        <f>+'Ingredient List - Mother Tinctu'!D6190</f>
        <v>0</v>
      </c>
      <c r="AB6189" s="117">
        <f t="shared" si="99"/>
        <v>0</v>
      </c>
      <c r="AC6189" s="117" t="str">
        <f>IF(AB6189=1,COUNTIF($AB$3:AB6189,1),"")</f>
        <v/>
      </c>
      <c r="AD6189" s="117" t="str">
        <f>IFERROR(INDEX($AA$3:$AA$10000,MATCH(ROWS($AC$3:AC6189),$AC$3:$AC$10000,0)),"")</f>
        <v/>
      </c>
    </row>
    <row r="6190" spans="27:30">
      <c r="AA6190" s="117">
        <f>+'Ingredient List - Mother Tinctu'!D6191</f>
        <v>0</v>
      </c>
      <c r="AB6190" s="117">
        <f t="shared" si="99"/>
        <v>0</v>
      </c>
      <c r="AC6190" s="117" t="str">
        <f>IF(AB6190=1,COUNTIF($AB$3:AB6190,1),"")</f>
        <v/>
      </c>
      <c r="AD6190" s="117" t="str">
        <f>IFERROR(INDEX($AA$3:$AA$10000,MATCH(ROWS($AC$3:AC6190),$AC$3:$AC$10000,0)),"")</f>
        <v/>
      </c>
    </row>
    <row r="6191" spans="27:30">
      <c r="AA6191" s="117">
        <f>+'Ingredient List - Mother Tinctu'!D6192</f>
        <v>0</v>
      </c>
      <c r="AB6191" s="117">
        <f t="shared" si="99"/>
        <v>0</v>
      </c>
      <c r="AC6191" s="117" t="str">
        <f>IF(AB6191=1,COUNTIF($AB$3:AB6191,1),"")</f>
        <v/>
      </c>
      <c r="AD6191" s="117" t="str">
        <f>IFERROR(INDEX($AA$3:$AA$10000,MATCH(ROWS($AC$3:AC6191),$AC$3:$AC$10000,0)),"")</f>
        <v/>
      </c>
    </row>
    <row r="6192" spans="27:30">
      <c r="AA6192" s="117">
        <f>+'Ingredient List - Mother Tinctu'!D6193</f>
        <v>0</v>
      </c>
      <c r="AB6192" s="117">
        <f t="shared" si="99"/>
        <v>0</v>
      </c>
      <c r="AC6192" s="117" t="str">
        <f>IF(AB6192=1,COUNTIF($AB$3:AB6192,1),"")</f>
        <v/>
      </c>
      <c r="AD6192" s="117" t="str">
        <f>IFERROR(INDEX($AA$3:$AA$10000,MATCH(ROWS($AC$3:AC6192),$AC$3:$AC$10000,0)),"")</f>
        <v/>
      </c>
    </row>
    <row r="6193" spans="27:30">
      <c r="AA6193" s="117">
        <f>+'Ingredient List - Mother Tinctu'!D6194</f>
        <v>0</v>
      </c>
      <c r="AB6193" s="117">
        <f t="shared" si="99"/>
        <v>0</v>
      </c>
      <c r="AC6193" s="117" t="str">
        <f>IF(AB6193=1,COUNTIF($AB$3:AB6193,1),"")</f>
        <v/>
      </c>
      <c r="AD6193" s="117" t="str">
        <f>IFERROR(INDEX($AA$3:$AA$10000,MATCH(ROWS($AC$3:AC6193),$AC$3:$AC$10000,0)),"")</f>
        <v/>
      </c>
    </row>
    <row r="6194" spans="27:30">
      <c r="AA6194" s="117">
        <f>+'Ingredient List - Mother Tinctu'!D6195</f>
        <v>0</v>
      </c>
      <c r="AB6194" s="117">
        <f t="shared" si="99"/>
        <v>0</v>
      </c>
      <c r="AC6194" s="117" t="str">
        <f>IF(AB6194=1,COUNTIF($AB$3:AB6194,1),"")</f>
        <v/>
      </c>
      <c r="AD6194" s="117" t="str">
        <f>IFERROR(INDEX($AA$3:$AA$10000,MATCH(ROWS($AC$3:AC6194),$AC$3:$AC$10000,0)),"")</f>
        <v/>
      </c>
    </row>
    <row r="6195" spans="27:30">
      <c r="AA6195" s="117">
        <f>+'Ingredient List - Mother Tinctu'!D6196</f>
        <v>0</v>
      </c>
      <c r="AB6195" s="117">
        <f t="shared" si="99"/>
        <v>0</v>
      </c>
      <c r="AC6195" s="117" t="str">
        <f>IF(AB6195=1,COUNTIF($AB$3:AB6195,1),"")</f>
        <v/>
      </c>
      <c r="AD6195" s="117" t="str">
        <f>IFERROR(INDEX($AA$3:$AA$10000,MATCH(ROWS($AC$3:AC6195),$AC$3:$AC$10000,0)),"")</f>
        <v/>
      </c>
    </row>
    <row r="6196" spans="27:30">
      <c r="AA6196" s="117">
        <f>+'Ingredient List - Mother Tinctu'!D6197</f>
        <v>0</v>
      </c>
      <c r="AB6196" s="117">
        <f t="shared" si="99"/>
        <v>0</v>
      </c>
      <c r="AC6196" s="117" t="str">
        <f>IF(AB6196=1,COUNTIF($AB$3:AB6196,1),"")</f>
        <v/>
      </c>
      <c r="AD6196" s="117" t="str">
        <f>IFERROR(INDEX($AA$3:$AA$10000,MATCH(ROWS($AC$3:AC6196),$AC$3:$AC$10000,0)),"")</f>
        <v/>
      </c>
    </row>
    <row r="6197" spans="27:30">
      <c r="AA6197" s="117">
        <f>+'Ingredient List - Mother Tinctu'!D6198</f>
        <v>0</v>
      </c>
      <c r="AB6197" s="117">
        <f t="shared" si="99"/>
        <v>0</v>
      </c>
      <c r="AC6197" s="117" t="str">
        <f>IF(AB6197=1,COUNTIF($AB$3:AB6197,1),"")</f>
        <v/>
      </c>
      <c r="AD6197" s="117" t="str">
        <f>IFERROR(INDEX($AA$3:$AA$10000,MATCH(ROWS($AC$3:AC6197),$AC$3:$AC$10000,0)),"")</f>
        <v/>
      </c>
    </row>
    <row r="6198" spans="27:30">
      <c r="AA6198" s="117">
        <f>+'Ingredient List - Mother Tinctu'!D6199</f>
        <v>0</v>
      </c>
      <c r="AB6198" s="117">
        <f t="shared" si="99"/>
        <v>0</v>
      </c>
      <c r="AC6198" s="117" t="str">
        <f>IF(AB6198=1,COUNTIF($AB$3:AB6198,1),"")</f>
        <v/>
      </c>
      <c r="AD6198" s="117" t="str">
        <f>IFERROR(INDEX($AA$3:$AA$10000,MATCH(ROWS($AC$3:AC6198),$AC$3:$AC$10000,0)),"")</f>
        <v/>
      </c>
    </row>
    <row r="6199" spans="27:30">
      <c r="AA6199" s="117">
        <f>+'Ingredient List - Mother Tinctu'!D6200</f>
        <v>0</v>
      </c>
      <c r="AB6199" s="117">
        <f t="shared" si="99"/>
        <v>0</v>
      </c>
      <c r="AC6199" s="117" t="str">
        <f>IF(AB6199=1,COUNTIF($AB$3:AB6199,1),"")</f>
        <v/>
      </c>
      <c r="AD6199" s="117" t="str">
        <f>IFERROR(INDEX($AA$3:$AA$10000,MATCH(ROWS($AC$3:AC6199),$AC$3:$AC$10000,0)),"")</f>
        <v/>
      </c>
    </row>
    <row r="6200" spans="27:30">
      <c r="AA6200" s="117">
        <f>+'Ingredient List - Mother Tinctu'!D6201</f>
        <v>0</v>
      </c>
      <c r="AB6200" s="117">
        <f t="shared" si="99"/>
        <v>0</v>
      </c>
      <c r="AC6200" s="117" t="str">
        <f>IF(AB6200=1,COUNTIF($AB$3:AB6200,1),"")</f>
        <v/>
      </c>
      <c r="AD6200" s="117" t="str">
        <f>IFERROR(INDEX($AA$3:$AA$10000,MATCH(ROWS($AC$3:AC6200),$AC$3:$AC$10000,0)),"")</f>
        <v/>
      </c>
    </row>
    <row r="6201" spans="27:30">
      <c r="AA6201" s="117">
        <f>+'Ingredient List - Mother Tinctu'!D6202</f>
        <v>0</v>
      </c>
      <c r="AB6201" s="117">
        <f t="shared" si="99"/>
        <v>0</v>
      </c>
      <c r="AC6201" s="117" t="str">
        <f>IF(AB6201=1,COUNTIF($AB$3:AB6201,1),"")</f>
        <v/>
      </c>
      <c r="AD6201" s="117" t="str">
        <f>IFERROR(INDEX($AA$3:$AA$10000,MATCH(ROWS($AC$3:AC6201),$AC$3:$AC$10000,0)),"")</f>
        <v/>
      </c>
    </row>
    <row r="6202" spans="27:30">
      <c r="AA6202" s="117">
        <f>+'Ingredient List - Mother Tinctu'!D6203</f>
        <v>0</v>
      </c>
      <c r="AB6202" s="117">
        <f t="shared" si="99"/>
        <v>0</v>
      </c>
      <c r="AC6202" s="117" t="str">
        <f>IF(AB6202=1,COUNTIF($AB$3:AB6202,1),"")</f>
        <v/>
      </c>
      <c r="AD6202" s="117" t="str">
        <f>IFERROR(INDEX($AA$3:$AA$10000,MATCH(ROWS($AC$3:AC6202),$AC$3:$AC$10000,0)),"")</f>
        <v/>
      </c>
    </row>
    <row r="6203" spans="27:30">
      <c r="AA6203" s="117">
        <f>+'Ingredient List - Mother Tinctu'!D6204</f>
        <v>0</v>
      </c>
      <c r="AB6203" s="117">
        <f t="shared" si="99"/>
        <v>0</v>
      </c>
      <c r="AC6203" s="117" t="str">
        <f>IF(AB6203=1,COUNTIF($AB$3:AB6203,1),"")</f>
        <v/>
      </c>
      <c r="AD6203" s="117" t="str">
        <f>IFERROR(INDEX($AA$3:$AA$10000,MATCH(ROWS($AC$3:AC6203),$AC$3:$AC$10000,0)),"")</f>
        <v/>
      </c>
    </row>
    <row r="6204" spans="27:30">
      <c r="AA6204" s="117">
        <f>+'Ingredient List - Mother Tinctu'!D6205</f>
        <v>0</v>
      </c>
      <c r="AB6204" s="117">
        <f t="shared" si="99"/>
        <v>0</v>
      </c>
      <c r="AC6204" s="117" t="str">
        <f>IF(AB6204=1,COUNTIF($AB$3:AB6204,1),"")</f>
        <v/>
      </c>
      <c r="AD6204" s="117" t="str">
        <f>IFERROR(INDEX($AA$3:$AA$10000,MATCH(ROWS($AC$3:AC6204),$AC$3:$AC$10000,0)),"")</f>
        <v/>
      </c>
    </row>
    <row r="6205" spans="27:30">
      <c r="AA6205" s="117">
        <f>+'Ingredient List - Mother Tinctu'!D6206</f>
        <v>0</v>
      </c>
      <c r="AB6205" s="117">
        <f t="shared" si="99"/>
        <v>0</v>
      </c>
      <c r="AC6205" s="117" t="str">
        <f>IF(AB6205=1,COUNTIF($AB$3:AB6205,1),"")</f>
        <v/>
      </c>
      <c r="AD6205" s="117" t="str">
        <f>IFERROR(INDEX($AA$3:$AA$10000,MATCH(ROWS($AC$3:AC6205),$AC$3:$AC$10000,0)),"")</f>
        <v/>
      </c>
    </row>
    <row r="6206" spans="27:30">
      <c r="AA6206" s="117">
        <f>+'Ingredient List - Mother Tinctu'!D6207</f>
        <v>0</v>
      </c>
      <c r="AB6206" s="117">
        <f t="shared" si="99"/>
        <v>0</v>
      </c>
      <c r="AC6206" s="117" t="str">
        <f>IF(AB6206=1,COUNTIF($AB$3:AB6206,1),"")</f>
        <v/>
      </c>
      <c r="AD6206" s="117" t="str">
        <f>IFERROR(INDEX($AA$3:$AA$10000,MATCH(ROWS($AC$3:AC6206),$AC$3:$AC$10000,0)),"")</f>
        <v/>
      </c>
    </row>
    <row r="6207" spans="27:30">
      <c r="AA6207" s="117">
        <f>+'Ingredient List - Mother Tinctu'!D6208</f>
        <v>0</v>
      </c>
      <c r="AB6207" s="117">
        <f t="shared" si="99"/>
        <v>0</v>
      </c>
      <c r="AC6207" s="117" t="str">
        <f>IF(AB6207=1,COUNTIF($AB$3:AB6207,1),"")</f>
        <v/>
      </c>
      <c r="AD6207" s="117" t="str">
        <f>IFERROR(INDEX($AA$3:$AA$10000,MATCH(ROWS($AC$3:AC6207),$AC$3:$AC$10000,0)),"")</f>
        <v/>
      </c>
    </row>
    <row r="6208" spans="27:30">
      <c r="AA6208" s="117">
        <f>+'Ingredient List - Mother Tinctu'!D6209</f>
        <v>0</v>
      </c>
      <c r="AB6208" s="117">
        <f t="shared" si="99"/>
        <v>0</v>
      </c>
      <c r="AC6208" s="117" t="str">
        <f>IF(AB6208=1,COUNTIF($AB$3:AB6208,1),"")</f>
        <v/>
      </c>
      <c r="AD6208" s="117" t="str">
        <f>IFERROR(INDEX($AA$3:$AA$10000,MATCH(ROWS($AC$3:AC6208),$AC$3:$AC$10000,0)),"")</f>
        <v/>
      </c>
    </row>
    <row r="6209" spans="27:30">
      <c r="AA6209" s="117">
        <f>+'Ingredient List - Mother Tinctu'!D6210</f>
        <v>0</v>
      </c>
      <c r="AB6209" s="117">
        <f t="shared" si="99"/>
        <v>0</v>
      </c>
      <c r="AC6209" s="117" t="str">
        <f>IF(AB6209=1,COUNTIF($AB$3:AB6209,1),"")</f>
        <v/>
      </c>
      <c r="AD6209" s="117" t="str">
        <f>IFERROR(INDEX($AA$3:$AA$10000,MATCH(ROWS($AC$3:AC6209),$AC$3:$AC$10000,0)),"")</f>
        <v/>
      </c>
    </row>
    <row r="6210" spans="27:30">
      <c r="AA6210" s="117">
        <f>+'Ingredient List - Mother Tinctu'!D6211</f>
        <v>0</v>
      </c>
      <c r="AB6210" s="117">
        <f t="shared" si="99"/>
        <v>0</v>
      </c>
      <c r="AC6210" s="117" t="str">
        <f>IF(AB6210=1,COUNTIF($AB$3:AB6210,1),"")</f>
        <v/>
      </c>
      <c r="AD6210" s="117" t="str">
        <f>IFERROR(INDEX($AA$3:$AA$10000,MATCH(ROWS($AC$3:AC6210),$AC$3:$AC$10000,0)),"")</f>
        <v/>
      </c>
    </row>
    <row r="6211" spans="27:30">
      <c r="AA6211" s="117">
        <f>+'Ingredient List - Mother Tinctu'!D6212</f>
        <v>0</v>
      </c>
      <c r="AB6211" s="117">
        <f t="shared" si="99"/>
        <v>0</v>
      </c>
      <c r="AC6211" s="117" t="str">
        <f>IF(AB6211=1,COUNTIF($AB$3:AB6211,1),"")</f>
        <v/>
      </c>
      <c r="AD6211" s="117" t="str">
        <f>IFERROR(INDEX($AA$3:$AA$10000,MATCH(ROWS($AC$3:AC6211),$AC$3:$AC$10000,0)),"")</f>
        <v/>
      </c>
    </row>
    <row r="6212" spans="27:30">
      <c r="AA6212" s="117">
        <f>+'Ingredient List - Mother Tinctu'!D6213</f>
        <v>0</v>
      </c>
      <c r="AB6212" s="117">
        <f t="shared" ref="AB6212:AB6275" si="100">--ISNUMBER(IFERROR(SEARCH($D$3,AA6212,1),""))</f>
        <v>0</v>
      </c>
      <c r="AC6212" s="117" t="str">
        <f>IF(AB6212=1,COUNTIF($AB$3:AB6212,1),"")</f>
        <v/>
      </c>
      <c r="AD6212" s="117" t="str">
        <f>IFERROR(INDEX($AA$3:$AA$10000,MATCH(ROWS($AC$3:AC6212),$AC$3:$AC$10000,0)),"")</f>
        <v/>
      </c>
    </row>
    <row r="6213" spans="27:30">
      <c r="AA6213" s="117">
        <f>+'Ingredient List - Mother Tinctu'!D6214</f>
        <v>0</v>
      </c>
      <c r="AB6213" s="117">
        <f t="shared" si="100"/>
        <v>0</v>
      </c>
      <c r="AC6213" s="117" t="str">
        <f>IF(AB6213=1,COUNTIF($AB$3:AB6213,1),"")</f>
        <v/>
      </c>
      <c r="AD6213" s="117" t="str">
        <f>IFERROR(INDEX($AA$3:$AA$10000,MATCH(ROWS($AC$3:AC6213),$AC$3:$AC$10000,0)),"")</f>
        <v/>
      </c>
    </row>
    <row r="6214" spans="27:30">
      <c r="AA6214" s="117">
        <f>+'Ingredient List - Mother Tinctu'!D6215</f>
        <v>0</v>
      </c>
      <c r="AB6214" s="117">
        <f t="shared" si="100"/>
        <v>0</v>
      </c>
      <c r="AC6214" s="117" t="str">
        <f>IF(AB6214=1,COUNTIF($AB$3:AB6214,1),"")</f>
        <v/>
      </c>
      <c r="AD6214" s="117" t="str">
        <f>IFERROR(INDEX($AA$3:$AA$10000,MATCH(ROWS($AC$3:AC6214),$AC$3:$AC$10000,0)),"")</f>
        <v/>
      </c>
    </row>
    <row r="6215" spans="27:30">
      <c r="AA6215" s="117">
        <f>+'Ingredient List - Mother Tinctu'!D6216</f>
        <v>0</v>
      </c>
      <c r="AB6215" s="117">
        <f t="shared" si="100"/>
        <v>0</v>
      </c>
      <c r="AC6215" s="117" t="str">
        <f>IF(AB6215=1,COUNTIF($AB$3:AB6215,1),"")</f>
        <v/>
      </c>
      <c r="AD6215" s="117" t="str">
        <f>IFERROR(INDEX($AA$3:$AA$10000,MATCH(ROWS($AC$3:AC6215),$AC$3:$AC$10000,0)),"")</f>
        <v/>
      </c>
    </row>
    <row r="6216" spans="27:30">
      <c r="AA6216" s="117">
        <f>+'Ingredient List - Mother Tinctu'!D6217</f>
        <v>0</v>
      </c>
      <c r="AB6216" s="117">
        <f t="shared" si="100"/>
        <v>0</v>
      </c>
      <c r="AC6216" s="117" t="str">
        <f>IF(AB6216=1,COUNTIF($AB$3:AB6216,1),"")</f>
        <v/>
      </c>
      <c r="AD6216" s="117" t="str">
        <f>IFERROR(INDEX($AA$3:$AA$10000,MATCH(ROWS($AC$3:AC6216),$AC$3:$AC$10000,0)),"")</f>
        <v/>
      </c>
    </row>
    <row r="6217" spans="27:30">
      <c r="AA6217" s="117">
        <f>+'Ingredient List - Mother Tinctu'!D6218</f>
        <v>0</v>
      </c>
      <c r="AB6217" s="117">
        <f t="shared" si="100"/>
        <v>0</v>
      </c>
      <c r="AC6217" s="117" t="str">
        <f>IF(AB6217=1,COUNTIF($AB$3:AB6217,1),"")</f>
        <v/>
      </c>
      <c r="AD6217" s="117" t="str">
        <f>IFERROR(INDEX($AA$3:$AA$10000,MATCH(ROWS($AC$3:AC6217),$AC$3:$AC$10000,0)),"")</f>
        <v/>
      </c>
    </row>
    <row r="6218" spans="27:30">
      <c r="AA6218" s="117">
        <f>+'Ingredient List - Mother Tinctu'!D6219</f>
        <v>0</v>
      </c>
      <c r="AB6218" s="117">
        <f t="shared" si="100"/>
        <v>0</v>
      </c>
      <c r="AC6218" s="117" t="str">
        <f>IF(AB6218=1,COUNTIF($AB$3:AB6218,1),"")</f>
        <v/>
      </c>
      <c r="AD6218" s="117" t="str">
        <f>IFERROR(INDEX($AA$3:$AA$10000,MATCH(ROWS($AC$3:AC6218),$AC$3:$AC$10000,0)),"")</f>
        <v/>
      </c>
    </row>
    <row r="6219" spans="27:30">
      <c r="AA6219" s="117">
        <f>+'Ingredient List - Mother Tinctu'!D6220</f>
        <v>0</v>
      </c>
      <c r="AB6219" s="117">
        <f t="shared" si="100"/>
        <v>0</v>
      </c>
      <c r="AC6219" s="117" t="str">
        <f>IF(AB6219=1,COUNTIF($AB$3:AB6219,1),"")</f>
        <v/>
      </c>
      <c r="AD6219" s="117" t="str">
        <f>IFERROR(INDEX($AA$3:$AA$10000,MATCH(ROWS($AC$3:AC6219),$AC$3:$AC$10000,0)),"")</f>
        <v/>
      </c>
    </row>
    <row r="6220" spans="27:30">
      <c r="AA6220" s="117">
        <f>+'Ingredient List - Mother Tinctu'!D6221</f>
        <v>0</v>
      </c>
      <c r="AB6220" s="117">
        <f t="shared" si="100"/>
        <v>0</v>
      </c>
      <c r="AC6220" s="117" t="str">
        <f>IF(AB6220=1,COUNTIF($AB$3:AB6220,1),"")</f>
        <v/>
      </c>
      <c r="AD6220" s="117" t="str">
        <f>IFERROR(INDEX($AA$3:$AA$10000,MATCH(ROWS($AC$3:AC6220),$AC$3:$AC$10000,0)),"")</f>
        <v/>
      </c>
    </row>
    <row r="6221" spans="27:30">
      <c r="AA6221" s="117">
        <f>+'Ingredient List - Mother Tinctu'!D6222</f>
        <v>0</v>
      </c>
      <c r="AB6221" s="117">
        <f t="shared" si="100"/>
        <v>0</v>
      </c>
      <c r="AC6221" s="117" t="str">
        <f>IF(AB6221=1,COUNTIF($AB$3:AB6221,1),"")</f>
        <v/>
      </c>
      <c r="AD6221" s="117" t="str">
        <f>IFERROR(INDEX($AA$3:$AA$10000,MATCH(ROWS($AC$3:AC6221),$AC$3:$AC$10000,0)),"")</f>
        <v/>
      </c>
    </row>
    <row r="6222" spans="27:30">
      <c r="AA6222" s="117">
        <f>+'Ingredient List - Mother Tinctu'!D6223</f>
        <v>0</v>
      </c>
      <c r="AB6222" s="117">
        <f t="shared" si="100"/>
        <v>0</v>
      </c>
      <c r="AC6222" s="117" t="str">
        <f>IF(AB6222=1,COUNTIF($AB$3:AB6222,1),"")</f>
        <v/>
      </c>
      <c r="AD6222" s="117" t="str">
        <f>IFERROR(INDEX($AA$3:$AA$10000,MATCH(ROWS($AC$3:AC6222),$AC$3:$AC$10000,0)),"")</f>
        <v/>
      </c>
    </row>
    <row r="6223" spans="27:30">
      <c r="AA6223" s="117">
        <f>+'Ingredient List - Mother Tinctu'!D6224</f>
        <v>0</v>
      </c>
      <c r="AB6223" s="117">
        <f t="shared" si="100"/>
        <v>0</v>
      </c>
      <c r="AC6223" s="117" t="str">
        <f>IF(AB6223=1,COUNTIF($AB$3:AB6223,1),"")</f>
        <v/>
      </c>
      <c r="AD6223" s="117" t="str">
        <f>IFERROR(INDEX($AA$3:$AA$10000,MATCH(ROWS($AC$3:AC6223),$AC$3:$AC$10000,0)),"")</f>
        <v/>
      </c>
    </row>
    <row r="6224" spans="27:30">
      <c r="AA6224" s="117">
        <f>+'Ingredient List - Mother Tinctu'!D6225</f>
        <v>0</v>
      </c>
      <c r="AB6224" s="117">
        <f t="shared" si="100"/>
        <v>0</v>
      </c>
      <c r="AC6224" s="117" t="str">
        <f>IF(AB6224=1,COUNTIF($AB$3:AB6224,1),"")</f>
        <v/>
      </c>
      <c r="AD6224" s="117" t="str">
        <f>IFERROR(INDEX($AA$3:$AA$10000,MATCH(ROWS($AC$3:AC6224),$AC$3:$AC$10000,0)),"")</f>
        <v/>
      </c>
    </row>
    <row r="6225" spans="27:30">
      <c r="AA6225" s="117">
        <f>+'Ingredient List - Mother Tinctu'!D6226</f>
        <v>0</v>
      </c>
      <c r="AB6225" s="117">
        <f t="shared" si="100"/>
        <v>0</v>
      </c>
      <c r="AC6225" s="117" t="str">
        <f>IF(AB6225=1,COUNTIF($AB$3:AB6225,1),"")</f>
        <v/>
      </c>
      <c r="AD6225" s="117" t="str">
        <f>IFERROR(INDEX($AA$3:$AA$10000,MATCH(ROWS($AC$3:AC6225),$AC$3:$AC$10000,0)),"")</f>
        <v/>
      </c>
    </row>
    <row r="6226" spans="27:30">
      <c r="AA6226" s="117">
        <f>+'Ingredient List - Mother Tinctu'!D6227</f>
        <v>0</v>
      </c>
      <c r="AB6226" s="117">
        <f t="shared" si="100"/>
        <v>0</v>
      </c>
      <c r="AC6226" s="117" t="str">
        <f>IF(AB6226=1,COUNTIF($AB$3:AB6226,1),"")</f>
        <v/>
      </c>
      <c r="AD6226" s="117" t="str">
        <f>IFERROR(INDEX($AA$3:$AA$10000,MATCH(ROWS($AC$3:AC6226),$AC$3:$AC$10000,0)),"")</f>
        <v/>
      </c>
    </row>
    <row r="6227" spans="27:30">
      <c r="AA6227" s="117">
        <f>+'Ingredient List - Mother Tinctu'!D6228</f>
        <v>0</v>
      </c>
      <c r="AB6227" s="117">
        <f t="shared" si="100"/>
        <v>0</v>
      </c>
      <c r="AC6227" s="117" t="str">
        <f>IF(AB6227=1,COUNTIF($AB$3:AB6227,1),"")</f>
        <v/>
      </c>
      <c r="AD6227" s="117" t="str">
        <f>IFERROR(INDEX($AA$3:$AA$10000,MATCH(ROWS($AC$3:AC6227),$AC$3:$AC$10000,0)),"")</f>
        <v/>
      </c>
    </row>
    <row r="6228" spans="27:30">
      <c r="AA6228" s="117">
        <f>+'Ingredient List - Mother Tinctu'!D6229</f>
        <v>0</v>
      </c>
      <c r="AB6228" s="117">
        <f t="shared" si="100"/>
        <v>0</v>
      </c>
      <c r="AC6228" s="117" t="str">
        <f>IF(AB6228=1,COUNTIF($AB$3:AB6228,1),"")</f>
        <v/>
      </c>
      <c r="AD6228" s="117" t="str">
        <f>IFERROR(INDEX($AA$3:$AA$10000,MATCH(ROWS($AC$3:AC6228),$AC$3:$AC$10000,0)),"")</f>
        <v/>
      </c>
    </row>
    <row r="6229" spans="27:30">
      <c r="AA6229" s="117">
        <f>+'Ingredient List - Mother Tinctu'!D6230</f>
        <v>0</v>
      </c>
      <c r="AB6229" s="117">
        <f t="shared" si="100"/>
        <v>0</v>
      </c>
      <c r="AC6229" s="117" t="str">
        <f>IF(AB6229=1,COUNTIF($AB$3:AB6229,1),"")</f>
        <v/>
      </c>
      <c r="AD6229" s="117" t="str">
        <f>IFERROR(INDEX($AA$3:$AA$10000,MATCH(ROWS($AC$3:AC6229),$AC$3:$AC$10000,0)),"")</f>
        <v/>
      </c>
    </row>
    <row r="6230" spans="27:30">
      <c r="AA6230" s="117">
        <f>+'Ingredient List - Mother Tinctu'!D6231</f>
        <v>0</v>
      </c>
      <c r="AB6230" s="117">
        <f t="shared" si="100"/>
        <v>0</v>
      </c>
      <c r="AC6230" s="117" t="str">
        <f>IF(AB6230=1,COUNTIF($AB$3:AB6230,1),"")</f>
        <v/>
      </c>
      <c r="AD6230" s="117" t="str">
        <f>IFERROR(INDEX($AA$3:$AA$10000,MATCH(ROWS($AC$3:AC6230),$AC$3:$AC$10000,0)),"")</f>
        <v/>
      </c>
    </row>
    <row r="6231" spans="27:30">
      <c r="AA6231" s="117">
        <f>+'Ingredient List - Mother Tinctu'!D6232</f>
        <v>0</v>
      </c>
      <c r="AB6231" s="117">
        <f t="shared" si="100"/>
        <v>0</v>
      </c>
      <c r="AC6231" s="117" t="str">
        <f>IF(AB6231=1,COUNTIF($AB$3:AB6231,1),"")</f>
        <v/>
      </c>
      <c r="AD6231" s="117" t="str">
        <f>IFERROR(INDEX($AA$3:$AA$10000,MATCH(ROWS($AC$3:AC6231),$AC$3:$AC$10000,0)),"")</f>
        <v/>
      </c>
    </row>
    <row r="6232" spans="27:30">
      <c r="AA6232" s="117">
        <f>+'Ingredient List - Mother Tinctu'!D6233</f>
        <v>0</v>
      </c>
      <c r="AB6232" s="117">
        <f t="shared" si="100"/>
        <v>0</v>
      </c>
      <c r="AC6232" s="117" t="str">
        <f>IF(AB6232=1,COUNTIF($AB$3:AB6232,1),"")</f>
        <v/>
      </c>
      <c r="AD6232" s="117" t="str">
        <f>IFERROR(INDEX($AA$3:$AA$10000,MATCH(ROWS($AC$3:AC6232),$AC$3:$AC$10000,0)),"")</f>
        <v/>
      </c>
    </row>
    <row r="6233" spans="27:30">
      <c r="AA6233" s="117">
        <f>+'Ingredient List - Mother Tinctu'!D6234</f>
        <v>0</v>
      </c>
      <c r="AB6233" s="117">
        <f t="shared" si="100"/>
        <v>0</v>
      </c>
      <c r="AC6233" s="117" t="str">
        <f>IF(AB6233=1,COUNTIF($AB$3:AB6233,1),"")</f>
        <v/>
      </c>
      <c r="AD6233" s="117" t="str">
        <f>IFERROR(INDEX($AA$3:$AA$10000,MATCH(ROWS($AC$3:AC6233),$AC$3:$AC$10000,0)),"")</f>
        <v/>
      </c>
    </row>
    <row r="6234" spans="27:30">
      <c r="AA6234" s="117">
        <f>+'Ingredient List - Mother Tinctu'!D6235</f>
        <v>0</v>
      </c>
      <c r="AB6234" s="117">
        <f t="shared" si="100"/>
        <v>0</v>
      </c>
      <c r="AC6234" s="117" t="str">
        <f>IF(AB6234=1,COUNTIF($AB$3:AB6234,1),"")</f>
        <v/>
      </c>
      <c r="AD6234" s="117" t="str">
        <f>IFERROR(INDEX($AA$3:$AA$10000,MATCH(ROWS($AC$3:AC6234),$AC$3:$AC$10000,0)),"")</f>
        <v/>
      </c>
    </row>
    <row r="6235" spans="27:30">
      <c r="AA6235" s="117">
        <f>+'Ingredient List - Mother Tinctu'!D6236</f>
        <v>0</v>
      </c>
      <c r="AB6235" s="117">
        <f t="shared" si="100"/>
        <v>0</v>
      </c>
      <c r="AC6235" s="117" t="str">
        <f>IF(AB6235=1,COUNTIF($AB$3:AB6235,1),"")</f>
        <v/>
      </c>
      <c r="AD6235" s="117" t="str">
        <f>IFERROR(INDEX($AA$3:$AA$10000,MATCH(ROWS($AC$3:AC6235),$AC$3:$AC$10000,0)),"")</f>
        <v/>
      </c>
    </row>
    <row r="6236" spans="27:30">
      <c r="AA6236" s="117">
        <f>+'Ingredient List - Mother Tinctu'!D6237</f>
        <v>0</v>
      </c>
      <c r="AB6236" s="117">
        <f t="shared" si="100"/>
        <v>0</v>
      </c>
      <c r="AC6236" s="117" t="str">
        <f>IF(AB6236=1,COUNTIF($AB$3:AB6236,1),"")</f>
        <v/>
      </c>
      <c r="AD6236" s="117" t="str">
        <f>IFERROR(INDEX($AA$3:$AA$10000,MATCH(ROWS($AC$3:AC6236),$AC$3:$AC$10000,0)),"")</f>
        <v/>
      </c>
    </row>
    <row r="6237" spans="27:30">
      <c r="AA6237" s="117">
        <f>+'Ingredient List - Mother Tinctu'!D6238</f>
        <v>0</v>
      </c>
      <c r="AB6237" s="117">
        <f t="shared" si="100"/>
        <v>0</v>
      </c>
      <c r="AC6237" s="117" t="str">
        <f>IF(AB6237=1,COUNTIF($AB$3:AB6237,1),"")</f>
        <v/>
      </c>
      <c r="AD6237" s="117" t="str">
        <f>IFERROR(INDEX($AA$3:$AA$10000,MATCH(ROWS($AC$3:AC6237),$AC$3:$AC$10000,0)),"")</f>
        <v/>
      </c>
    </row>
    <row r="6238" spans="27:30">
      <c r="AA6238" s="117">
        <f>+'Ingredient List - Mother Tinctu'!D6239</f>
        <v>0</v>
      </c>
      <c r="AB6238" s="117">
        <f t="shared" si="100"/>
        <v>0</v>
      </c>
      <c r="AC6238" s="117" t="str">
        <f>IF(AB6238=1,COUNTIF($AB$3:AB6238,1),"")</f>
        <v/>
      </c>
      <c r="AD6238" s="117" t="str">
        <f>IFERROR(INDEX($AA$3:$AA$10000,MATCH(ROWS($AC$3:AC6238),$AC$3:$AC$10000,0)),"")</f>
        <v/>
      </c>
    </row>
    <row r="6239" spans="27:30">
      <c r="AA6239" s="117">
        <f>+'Ingredient List - Mother Tinctu'!D6240</f>
        <v>0</v>
      </c>
      <c r="AB6239" s="117">
        <f t="shared" si="100"/>
        <v>0</v>
      </c>
      <c r="AC6239" s="117" t="str">
        <f>IF(AB6239=1,COUNTIF($AB$3:AB6239,1),"")</f>
        <v/>
      </c>
      <c r="AD6239" s="117" t="str">
        <f>IFERROR(INDEX($AA$3:$AA$10000,MATCH(ROWS($AC$3:AC6239),$AC$3:$AC$10000,0)),"")</f>
        <v/>
      </c>
    </row>
    <row r="6240" spans="27:30">
      <c r="AA6240" s="117">
        <f>+'Ingredient List - Mother Tinctu'!D6241</f>
        <v>0</v>
      </c>
      <c r="AB6240" s="117">
        <f t="shared" si="100"/>
        <v>0</v>
      </c>
      <c r="AC6240" s="117" t="str">
        <f>IF(AB6240=1,COUNTIF($AB$3:AB6240,1),"")</f>
        <v/>
      </c>
      <c r="AD6240" s="117" t="str">
        <f>IFERROR(INDEX($AA$3:$AA$10000,MATCH(ROWS($AC$3:AC6240),$AC$3:$AC$10000,0)),"")</f>
        <v/>
      </c>
    </row>
    <row r="6241" spans="27:30">
      <c r="AA6241" s="117">
        <f>+'Ingredient List - Mother Tinctu'!D6242</f>
        <v>0</v>
      </c>
      <c r="AB6241" s="117">
        <f t="shared" si="100"/>
        <v>0</v>
      </c>
      <c r="AC6241" s="117" t="str">
        <f>IF(AB6241=1,COUNTIF($AB$3:AB6241,1),"")</f>
        <v/>
      </c>
      <c r="AD6241" s="117" t="str">
        <f>IFERROR(INDEX($AA$3:$AA$10000,MATCH(ROWS($AC$3:AC6241),$AC$3:$AC$10000,0)),"")</f>
        <v/>
      </c>
    </row>
    <row r="6242" spans="27:30">
      <c r="AA6242" s="117">
        <f>+'Ingredient List - Mother Tinctu'!D6243</f>
        <v>0</v>
      </c>
      <c r="AB6242" s="117">
        <f t="shared" si="100"/>
        <v>0</v>
      </c>
      <c r="AC6242" s="117" t="str">
        <f>IF(AB6242=1,COUNTIF($AB$3:AB6242,1),"")</f>
        <v/>
      </c>
      <c r="AD6242" s="117" t="str">
        <f>IFERROR(INDEX($AA$3:$AA$10000,MATCH(ROWS($AC$3:AC6242),$AC$3:$AC$10000,0)),"")</f>
        <v/>
      </c>
    </row>
    <row r="6243" spans="27:30">
      <c r="AA6243" s="117">
        <f>+'Ingredient List - Mother Tinctu'!D6244</f>
        <v>0</v>
      </c>
      <c r="AB6243" s="117">
        <f t="shared" si="100"/>
        <v>0</v>
      </c>
      <c r="AC6243" s="117" t="str">
        <f>IF(AB6243=1,COUNTIF($AB$3:AB6243,1),"")</f>
        <v/>
      </c>
      <c r="AD6243" s="117" t="str">
        <f>IFERROR(INDEX($AA$3:$AA$10000,MATCH(ROWS($AC$3:AC6243),$AC$3:$AC$10000,0)),"")</f>
        <v/>
      </c>
    </row>
    <row r="6244" spans="27:30">
      <c r="AA6244" s="117">
        <f>+'Ingredient List - Mother Tinctu'!D6245</f>
        <v>0</v>
      </c>
      <c r="AB6244" s="117">
        <f t="shared" si="100"/>
        <v>0</v>
      </c>
      <c r="AC6244" s="117" t="str">
        <f>IF(AB6244=1,COUNTIF($AB$3:AB6244,1),"")</f>
        <v/>
      </c>
      <c r="AD6244" s="117" t="str">
        <f>IFERROR(INDEX($AA$3:$AA$10000,MATCH(ROWS($AC$3:AC6244),$AC$3:$AC$10000,0)),"")</f>
        <v/>
      </c>
    </row>
    <row r="6245" spans="27:30">
      <c r="AA6245" s="117">
        <f>+'Ingredient List - Mother Tinctu'!D6246</f>
        <v>0</v>
      </c>
      <c r="AB6245" s="117">
        <f t="shared" si="100"/>
        <v>0</v>
      </c>
      <c r="AC6245" s="117" t="str">
        <f>IF(AB6245=1,COUNTIF($AB$3:AB6245,1),"")</f>
        <v/>
      </c>
      <c r="AD6245" s="117" t="str">
        <f>IFERROR(INDEX($AA$3:$AA$10000,MATCH(ROWS($AC$3:AC6245),$AC$3:$AC$10000,0)),"")</f>
        <v/>
      </c>
    </row>
    <row r="6246" spans="27:30">
      <c r="AA6246" s="117">
        <f>+'Ingredient List - Mother Tinctu'!D6247</f>
        <v>0</v>
      </c>
      <c r="AB6246" s="117">
        <f t="shared" si="100"/>
        <v>0</v>
      </c>
      <c r="AC6246" s="117" t="str">
        <f>IF(AB6246=1,COUNTIF($AB$3:AB6246,1),"")</f>
        <v/>
      </c>
      <c r="AD6246" s="117" t="str">
        <f>IFERROR(INDEX($AA$3:$AA$10000,MATCH(ROWS($AC$3:AC6246),$AC$3:$AC$10000,0)),"")</f>
        <v/>
      </c>
    </row>
    <row r="6247" spans="27:30">
      <c r="AA6247" s="117">
        <f>+'Ingredient List - Mother Tinctu'!D6248</f>
        <v>0</v>
      </c>
      <c r="AB6247" s="117">
        <f t="shared" si="100"/>
        <v>0</v>
      </c>
      <c r="AC6247" s="117" t="str">
        <f>IF(AB6247=1,COUNTIF($AB$3:AB6247,1),"")</f>
        <v/>
      </c>
      <c r="AD6247" s="117" t="str">
        <f>IFERROR(INDEX($AA$3:$AA$10000,MATCH(ROWS($AC$3:AC6247),$AC$3:$AC$10000,0)),"")</f>
        <v/>
      </c>
    </row>
    <row r="6248" spans="27:30">
      <c r="AA6248" s="117">
        <f>+'Ingredient List - Mother Tinctu'!D6249</f>
        <v>0</v>
      </c>
      <c r="AB6248" s="117">
        <f t="shared" si="100"/>
        <v>0</v>
      </c>
      <c r="AC6248" s="117" t="str">
        <f>IF(AB6248=1,COUNTIF($AB$3:AB6248,1),"")</f>
        <v/>
      </c>
      <c r="AD6248" s="117" t="str">
        <f>IFERROR(INDEX($AA$3:$AA$10000,MATCH(ROWS($AC$3:AC6248),$AC$3:$AC$10000,0)),"")</f>
        <v/>
      </c>
    </row>
    <row r="6249" spans="27:30">
      <c r="AA6249" s="117">
        <f>+'Ingredient List - Mother Tinctu'!D6250</f>
        <v>0</v>
      </c>
      <c r="AB6249" s="117">
        <f t="shared" si="100"/>
        <v>0</v>
      </c>
      <c r="AC6249" s="117" t="str">
        <f>IF(AB6249=1,COUNTIF($AB$3:AB6249,1),"")</f>
        <v/>
      </c>
      <c r="AD6249" s="117" t="str">
        <f>IFERROR(INDEX($AA$3:$AA$10000,MATCH(ROWS($AC$3:AC6249),$AC$3:$AC$10000,0)),"")</f>
        <v/>
      </c>
    </row>
    <row r="6250" spans="27:30">
      <c r="AA6250" s="117">
        <f>+'Ingredient List - Mother Tinctu'!D6251</f>
        <v>0</v>
      </c>
      <c r="AB6250" s="117">
        <f t="shared" si="100"/>
        <v>0</v>
      </c>
      <c r="AC6250" s="117" t="str">
        <f>IF(AB6250=1,COUNTIF($AB$3:AB6250,1),"")</f>
        <v/>
      </c>
      <c r="AD6250" s="117" t="str">
        <f>IFERROR(INDEX($AA$3:$AA$10000,MATCH(ROWS($AC$3:AC6250),$AC$3:$AC$10000,0)),"")</f>
        <v/>
      </c>
    </row>
    <row r="6251" spans="27:30">
      <c r="AA6251" s="117">
        <f>+'Ingredient List - Mother Tinctu'!D6252</f>
        <v>0</v>
      </c>
      <c r="AB6251" s="117">
        <f t="shared" si="100"/>
        <v>0</v>
      </c>
      <c r="AC6251" s="117" t="str">
        <f>IF(AB6251=1,COUNTIF($AB$3:AB6251,1),"")</f>
        <v/>
      </c>
      <c r="AD6251" s="117" t="str">
        <f>IFERROR(INDEX($AA$3:$AA$10000,MATCH(ROWS($AC$3:AC6251),$AC$3:$AC$10000,0)),"")</f>
        <v/>
      </c>
    </row>
    <row r="6252" spans="27:30">
      <c r="AA6252" s="117">
        <f>+'Ingredient List - Mother Tinctu'!D6253</f>
        <v>0</v>
      </c>
      <c r="AB6252" s="117">
        <f t="shared" si="100"/>
        <v>0</v>
      </c>
      <c r="AC6252" s="117" t="str">
        <f>IF(AB6252=1,COUNTIF($AB$3:AB6252,1),"")</f>
        <v/>
      </c>
      <c r="AD6252" s="117" t="str">
        <f>IFERROR(INDEX($AA$3:$AA$10000,MATCH(ROWS($AC$3:AC6252),$AC$3:$AC$10000,0)),"")</f>
        <v/>
      </c>
    </row>
    <row r="6253" spans="27:30">
      <c r="AA6253" s="117">
        <f>+'Ingredient List - Mother Tinctu'!D6254</f>
        <v>0</v>
      </c>
      <c r="AB6253" s="117">
        <f t="shared" si="100"/>
        <v>0</v>
      </c>
      <c r="AC6253" s="117" t="str">
        <f>IF(AB6253=1,COUNTIF($AB$3:AB6253,1),"")</f>
        <v/>
      </c>
      <c r="AD6253" s="117" t="str">
        <f>IFERROR(INDEX($AA$3:$AA$10000,MATCH(ROWS($AC$3:AC6253),$AC$3:$AC$10000,0)),"")</f>
        <v/>
      </c>
    </row>
    <row r="6254" spans="27:30">
      <c r="AA6254" s="117">
        <f>+'Ingredient List - Mother Tinctu'!D6255</f>
        <v>0</v>
      </c>
      <c r="AB6254" s="117">
        <f t="shared" si="100"/>
        <v>0</v>
      </c>
      <c r="AC6254" s="117" t="str">
        <f>IF(AB6254=1,COUNTIF($AB$3:AB6254,1),"")</f>
        <v/>
      </c>
      <c r="AD6254" s="117" t="str">
        <f>IFERROR(INDEX($AA$3:$AA$10000,MATCH(ROWS($AC$3:AC6254),$AC$3:$AC$10000,0)),"")</f>
        <v/>
      </c>
    </row>
    <row r="6255" spans="27:30">
      <c r="AA6255" s="117">
        <f>+'Ingredient List - Mother Tinctu'!D6256</f>
        <v>0</v>
      </c>
      <c r="AB6255" s="117">
        <f t="shared" si="100"/>
        <v>0</v>
      </c>
      <c r="AC6255" s="117" t="str">
        <f>IF(AB6255=1,COUNTIF($AB$3:AB6255,1),"")</f>
        <v/>
      </c>
      <c r="AD6255" s="117" t="str">
        <f>IFERROR(INDEX($AA$3:$AA$10000,MATCH(ROWS($AC$3:AC6255),$AC$3:$AC$10000,0)),"")</f>
        <v/>
      </c>
    </row>
    <row r="6256" spans="27:30">
      <c r="AA6256" s="117">
        <f>+'Ingredient List - Mother Tinctu'!D6257</f>
        <v>0</v>
      </c>
      <c r="AB6256" s="117">
        <f t="shared" si="100"/>
        <v>0</v>
      </c>
      <c r="AC6256" s="117" t="str">
        <f>IF(AB6256=1,COUNTIF($AB$3:AB6256,1),"")</f>
        <v/>
      </c>
      <c r="AD6256" s="117" t="str">
        <f>IFERROR(INDEX($AA$3:$AA$10000,MATCH(ROWS($AC$3:AC6256),$AC$3:$AC$10000,0)),"")</f>
        <v/>
      </c>
    </row>
    <row r="6257" spans="27:30">
      <c r="AA6257" s="117">
        <f>+'Ingredient List - Mother Tinctu'!D6258</f>
        <v>0</v>
      </c>
      <c r="AB6257" s="117">
        <f t="shared" si="100"/>
        <v>0</v>
      </c>
      <c r="AC6257" s="117" t="str">
        <f>IF(AB6257=1,COUNTIF($AB$3:AB6257,1),"")</f>
        <v/>
      </c>
      <c r="AD6257" s="117" t="str">
        <f>IFERROR(INDEX($AA$3:$AA$10000,MATCH(ROWS($AC$3:AC6257),$AC$3:$AC$10000,0)),"")</f>
        <v/>
      </c>
    </row>
    <row r="6258" spans="27:30">
      <c r="AA6258" s="117">
        <f>+'Ingredient List - Mother Tinctu'!D6259</f>
        <v>0</v>
      </c>
      <c r="AB6258" s="117">
        <f t="shared" si="100"/>
        <v>0</v>
      </c>
      <c r="AC6258" s="117" t="str">
        <f>IF(AB6258=1,COUNTIF($AB$3:AB6258,1),"")</f>
        <v/>
      </c>
      <c r="AD6258" s="117" t="str">
        <f>IFERROR(INDEX($AA$3:$AA$10000,MATCH(ROWS($AC$3:AC6258),$AC$3:$AC$10000,0)),"")</f>
        <v/>
      </c>
    </row>
    <row r="6259" spans="27:30">
      <c r="AA6259" s="117">
        <f>+'Ingredient List - Mother Tinctu'!D6260</f>
        <v>0</v>
      </c>
      <c r="AB6259" s="117">
        <f t="shared" si="100"/>
        <v>0</v>
      </c>
      <c r="AC6259" s="117" t="str">
        <f>IF(AB6259=1,COUNTIF($AB$3:AB6259,1),"")</f>
        <v/>
      </c>
      <c r="AD6259" s="117" t="str">
        <f>IFERROR(INDEX($AA$3:$AA$10000,MATCH(ROWS($AC$3:AC6259),$AC$3:$AC$10000,0)),"")</f>
        <v/>
      </c>
    </row>
    <row r="6260" spans="27:30">
      <c r="AA6260" s="117">
        <f>+'Ingredient List - Mother Tinctu'!D6261</f>
        <v>0</v>
      </c>
      <c r="AB6260" s="117">
        <f t="shared" si="100"/>
        <v>0</v>
      </c>
      <c r="AC6260" s="117" t="str">
        <f>IF(AB6260=1,COUNTIF($AB$3:AB6260,1),"")</f>
        <v/>
      </c>
      <c r="AD6260" s="117" t="str">
        <f>IFERROR(INDEX($AA$3:$AA$10000,MATCH(ROWS($AC$3:AC6260),$AC$3:$AC$10000,0)),"")</f>
        <v/>
      </c>
    </row>
    <row r="6261" spans="27:30">
      <c r="AA6261" s="117">
        <f>+'Ingredient List - Mother Tinctu'!D6262</f>
        <v>0</v>
      </c>
      <c r="AB6261" s="117">
        <f t="shared" si="100"/>
        <v>0</v>
      </c>
      <c r="AC6261" s="117" t="str">
        <f>IF(AB6261=1,COUNTIF($AB$3:AB6261,1),"")</f>
        <v/>
      </c>
      <c r="AD6261" s="117" t="str">
        <f>IFERROR(INDEX($AA$3:$AA$10000,MATCH(ROWS($AC$3:AC6261),$AC$3:$AC$10000,0)),"")</f>
        <v/>
      </c>
    </row>
    <row r="6262" spans="27:30">
      <c r="AA6262" s="117">
        <f>+'Ingredient List - Mother Tinctu'!D6263</f>
        <v>0</v>
      </c>
      <c r="AB6262" s="117">
        <f t="shared" si="100"/>
        <v>0</v>
      </c>
      <c r="AC6262" s="117" t="str">
        <f>IF(AB6262=1,COUNTIF($AB$3:AB6262,1),"")</f>
        <v/>
      </c>
      <c r="AD6262" s="117" t="str">
        <f>IFERROR(INDEX($AA$3:$AA$10000,MATCH(ROWS($AC$3:AC6262),$AC$3:$AC$10000,0)),"")</f>
        <v/>
      </c>
    </row>
    <row r="6263" spans="27:30">
      <c r="AA6263" s="117">
        <f>+'Ingredient List - Mother Tinctu'!D6264</f>
        <v>0</v>
      </c>
      <c r="AB6263" s="117">
        <f t="shared" si="100"/>
        <v>0</v>
      </c>
      <c r="AC6263" s="117" t="str">
        <f>IF(AB6263=1,COUNTIF($AB$3:AB6263,1),"")</f>
        <v/>
      </c>
      <c r="AD6263" s="117" t="str">
        <f>IFERROR(INDEX($AA$3:$AA$10000,MATCH(ROWS($AC$3:AC6263),$AC$3:$AC$10000,0)),"")</f>
        <v/>
      </c>
    </row>
    <row r="6264" spans="27:30">
      <c r="AA6264" s="117">
        <f>+'Ingredient List - Mother Tinctu'!D6265</f>
        <v>0</v>
      </c>
      <c r="AB6264" s="117">
        <f t="shared" si="100"/>
        <v>0</v>
      </c>
      <c r="AC6264" s="117" t="str">
        <f>IF(AB6264=1,COUNTIF($AB$3:AB6264,1),"")</f>
        <v/>
      </c>
      <c r="AD6264" s="117" t="str">
        <f>IFERROR(INDEX($AA$3:$AA$10000,MATCH(ROWS($AC$3:AC6264),$AC$3:$AC$10000,0)),"")</f>
        <v/>
      </c>
    </row>
    <row r="6265" spans="27:30">
      <c r="AA6265" s="117">
        <f>+'Ingredient List - Mother Tinctu'!D6266</f>
        <v>0</v>
      </c>
      <c r="AB6265" s="117">
        <f t="shared" si="100"/>
        <v>0</v>
      </c>
      <c r="AC6265" s="117" t="str">
        <f>IF(AB6265=1,COUNTIF($AB$3:AB6265,1),"")</f>
        <v/>
      </c>
      <c r="AD6265" s="117" t="str">
        <f>IFERROR(INDEX($AA$3:$AA$10000,MATCH(ROWS($AC$3:AC6265),$AC$3:$AC$10000,0)),"")</f>
        <v/>
      </c>
    </row>
    <row r="6266" spans="27:30">
      <c r="AA6266" s="117">
        <f>+'Ingredient List - Mother Tinctu'!D6267</f>
        <v>0</v>
      </c>
      <c r="AB6266" s="117">
        <f t="shared" si="100"/>
        <v>0</v>
      </c>
      <c r="AC6266" s="117" t="str">
        <f>IF(AB6266=1,COUNTIF($AB$3:AB6266,1),"")</f>
        <v/>
      </c>
      <c r="AD6266" s="117" t="str">
        <f>IFERROR(INDEX($AA$3:$AA$10000,MATCH(ROWS($AC$3:AC6266),$AC$3:$AC$10000,0)),"")</f>
        <v/>
      </c>
    </row>
    <row r="6267" spans="27:30">
      <c r="AA6267" s="117">
        <f>+'Ingredient List - Mother Tinctu'!D6268</f>
        <v>0</v>
      </c>
      <c r="AB6267" s="117">
        <f t="shared" si="100"/>
        <v>0</v>
      </c>
      <c r="AC6267" s="117" t="str">
        <f>IF(AB6267=1,COUNTIF($AB$3:AB6267,1),"")</f>
        <v/>
      </c>
      <c r="AD6267" s="117" t="str">
        <f>IFERROR(INDEX($AA$3:$AA$10000,MATCH(ROWS($AC$3:AC6267),$AC$3:$AC$10000,0)),"")</f>
        <v/>
      </c>
    </row>
    <row r="6268" spans="27:30">
      <c r="AA6268" s="117">
        <f>+'Ingredient List - Mother Tinctu'!D6269</f>
        <v>0</v>
      </c>
      <c r="AB6268" s="117">
        <f t="shared" si="100"/>
        <v>0</v>
      </c>
      <c r="AC6268" s="117" t="str">
        <f>IF(AB6268=1,COUNTIF($AB$3:AB6268,1),"")</f>
        <v/>
      </c>
      <c r="AD6268" s="117" t="str">
        <f>IFERROR(INDEX($AA$3:$AA$10000,MATCH(ROWS($AC$3:AC6268),$AC$3:$AC$10000,0)),"")</f>
        <v/>
      </c>
    </row>
    <row r="6269" spans="27:30">
      <c r="AA6269" s="117">
        <f>+'Ingredient List - Mother Tinctu'!D6270</f>
        <v>0</v>
      </c>
      <c r="AB6269" s="117">
        <f t="shared" si="100"/>
        <v>0</v>
      </c>
      <c r="AC6269" s="117" t="str">
        <f>IF(AB6269=1,COUNTIF($AB$3:AB6269,1),"")</f>
        <v/>
      </c>
      <c r="AD6269" s="117" t="str">
        <f>IFERROR(INDEX($AA$3:$AA$10000,MATCH(ROWS($AC$3:AC6269),$AC$3:$AC$10000,0)),"")</f>
        <v/>
      </c>
    </row>
    <row r="6270" spans="27:30">
      <c r="AA6270" s="117">
        <f>+'Ingredient List - Mother Tinctu'!D6271</f>
        <v>0</v>
      </c>
      <c r="AB6270" s="117">
        <f t="shared" si="100"/>
        <v>0</v>
      </c>
      <c r="AC6270" s="117" t="str">
        <f>IF(AB6270=1,COUNTIF($AB$3:AB6270,1),"")</f>
        <v/>
      </c>
      <c r="AD6270" s="117" t="str">
        <f>IFERROR(INDEX($AA$3:$AA$10000,MATCH(ROWS($AC$3:AC6270),$AC$3:$AC$10000,0)),"")</f>
        <v/>
      </c>
    </row>
    <row r="6271" spans="27:30">
      <c r="AA6271" s="117">
        <f>+'Ingredient List - Mother Tinctu'!D6272</f>
        <v>0</v>
      </c>
      <c r="AB6271" s="117">
        <f t="shared" si="100"/>
        <v>0</v>
      </c>
      <c r="AC6271" s="117" t="str">
        <f>IF(AB6271=1,COUNTIF($AB$3:AB6271,1),"")</f>
        <v/>
      </c>
      <c r="AD6271" s="117" t="str">
        <f>IFERROR(INDEX($AA$3:$AA$10000,MATCH(ROWS($AC$3:AC6271),$AC$3:$AC$10000,0)),"")</f>
        <v/>
      </c>
    </row>
    <row r="6272" spans="27:30">
      <c r="AA6272" s="117">
        <f>+'Ingredient List - Mother Tinctu'!D6273</f>
        <v>0</v>
      </c>
      <c r="AB6272" s="117">
        <f t="shared" si="100"/>
        <v>0</v>
      </c>
      <c r="AC6272" s="117" t="str">
        <f>IF(AB6272=1,COUNTIF($AB$3:AB6272,1),"")</f>
        <v/>
      </c>
      <c r="AD6272" s="117" t="str">
        <f>IFERROR(INDEX($AA$3:$AA$10000,MATCH(ROWS($AC$3:AC6272),$AC$3:$AC$10000,0)),"")</f>
        <v/>
      </c>
    </row>
    <row r="6273" spans="27:30">
      <c r="AA6273" s="117">
        <f>+'Ingredient List - Mother Tinctu'!D6274</f>
        <v>0</v>
      </c>
      <c r="AB6273" s="117">
        <f t="shared" si="100"/>
        <v>0</v>
      </c>
      <c r="AC6273" s="117" t="str">
        <f>IF(AB6273=1,COUNTIF($AB$3:AB6273,1),"")</f>
        <v/>
      </c>
      <c r="AD6273" s="117" t="str">
        <f>IFERROR(INDEX($AA$3:$AA$10000,MATCH(ROWS($AC$3:AC6273),$AC$3:$AC$10000,0)),"")</f>
        <v/>
      </c>
    </row>
    <row r="6274" spans="27:30">
      <c r="AA6274" s="117">
        <f>+'Ingredient List - Mother Tinctu'!D6275</f>
        <v>0</v>
      </c>
      <c r="AB6274" s="117">
        <f t="shared" si="100"/>
        <v>0</v>
      </c>
      <c r="AC6274" s="117" t="str">
        <f>IF(AB6274=1,COUNTIF($AB$3:AB6274,1),"")</f>
        <v/>
      </c>
      <c r="AD6274" s="117" t="str">
        <f>IFERROR(INDEX($AA$3:$AA$10000,MATCH(ROWS($AC$3:AC6274),$AC$3:$AC$10000,0)),"")</f>
        <v/>
      </c>
    </row>
    <row r="6275" spans="27:30">
      <c r="AA6275" s="117">
        <f>+'Ingredient List - Mother Tinctu'!D6276</f>
        <v>0</v>
      </c>
      <c r="AB6275" s="117">
        <f t="shared" si="100"/>
        <v>0</v>
      </c>
      <c r="AC6275" s="117" t="str">
        <f>IF(AB6275=1,COUNTIF($AB$3:AB6275,1),"")</f>
        <v/>
      </c>
      <c r="AD6275" s="117" t="str">
        <f>IFERROR(INDEX($AA$3:$AA$10000,MATCH(ROWS($AC$3:AC6275),$AC$3:$AC$10000,0)),"")</f>
        <v/>
      </c>
    </row>
    <row r="6276" spans="27:30">
      <c r="AA6276" s="117">
        <f>+'Ingredient List - Mother Tinctu'!D6277</f>
        <v>0</v>
      </c>
      <c r="AB6276" s="117">
        <f t="shared" ref="AB6276:AB6339" si="101">--ISNUMBER(IFERROR(SEARCH($D$3,AA6276,1),""))</f>
        <v>0</v>
      </c>
      <c r="AC6276" s="117" t="str">
        <f>IF(AB6276=1,COUNTIF($AB$3:AB6276,1),"")</f>
        <v/>
      </c>
      <c r="AD6276" s="117" t="str">
        <f>IFERROR(INDEX($AA$3:$AA$10000,MATCH(ROWS($AC$3:AC6276),$AC$3:$AC$10000,0)),"")</f>
        <v/>
      </c>
    </row>
    <row r="6277" spans="27:30">
      <c r="AA6277" s="117">
        <f>+'Ingredient List - Mother Tinctu'!D6278</f>
        <v>0</v>
      </c>
      <c r="AB6277" s="117">
        <f t="shared" si="101"/>
        <v>0</v>
      </c>
      <c r="AC6277" s="117" t="str">
        <f>IF(AB6277=1,COUNTIF($AB$3:AB6277,1),"")</f>
        <v/>
      </c>
      <c r="AD6277" s="117" t="str">
        <f>IFERROR(INDEX($AA$3:$AA$10000,MATCH(ROWS($AC$3:AC6277),$AC$3:$AC$10000,0)),"")</f>
        <v/>
      </c>
    </row>
    <row r="6278" spans="27:30">
      <c r="AA6278" s="117">
        <f>+'Ingredient List - Mother Tinctu'!D6279</f>
        <v>0</v>
      </c>
      <c r="AB6278" s="117">
        <f t="shared" si="101"/>
        <v>0</v>
      </c>
      <c r="AC6278" s="117" t="str">
        <f>IF(AB6278=1,COUNTIF($AB$3:AB6278,1),"")</f>
        <v/>
      </c>
      <c r="AD6278" s="117" t="str">
        <f>IFERROR(INDEX($AA$3:$AA$10000,MATCH(ROWS($AC$3:AC6278),$AC$3:$AC$10000,0)),"")</f>
        <v/>
      </c>
    </row>
    <row r="6279" spans="27:30">
      <c r="AA6279" s="117">
        <f>+'Ingredient List - Mother Tinctu'!D6280</f>
        <v>0</v>
      </c>
      <c r="AB6279" s="117">
        <f t="shared" si="101"/>
        <v>0</v>
      </c>
      <c r="AC6279" s="117" t="str">
        <f>IF(AB6279=1,COUNTIF($AB$3:AB6279,1),"")</f>
        <v/>
      </c>
      <c r="AD6279" s="117" t="str">
        <f>IFERROR(INDEX($AA$3:$AA$10000,MATCH(ROWS($AC$3:AC6279),$AC$3:$AC$10000,0)),"")</f>
        <v/>
      </c>
    </row>
    <row r="6280" spans="27:30">
      <c r="AA6280" s="117">
        <f>+'Ingredient List - Mother Tinctu'!D6281</f>
        <v>0</v>
      </c>
      <c r="AB6280" s="117">
        <f t="shared" si="101"/>
        <v>0</v>
      </c>
      <c r="AC6280" s="117" t="str">
        <f>IF(AB6280=1,COUNTIF($AB$3:AB6280,1),"")</f>
        <v/>
      </c>
      <c r="AD6280" s="117" t="str">
        <f>IFERROR(INDEX($AA$3:$AA$10000,MATCH(ROWS($AC$3:AC6280),$AC$3:$AC$10000,0)),"")</f>
        <v/>
      </c>
    </row>
    <row r="6281" spans="27:30">
      <c r="AA6281" s="117">
        <f>+'Ingredient List - Mother Tinctu'!D6282</f>
        <v>0</v>
      </c>
      <c r="AB6281" s="117">
        <f t="shared" si="101"/>
        <v>0</v>
      </c>
      <c r="AC6281" s="117" t="str">
        <f>IF(AB6281=1,COUNTIF($AB$3:AB6281,1),"")</f>
        <v/>
      </c>
      <c r="AD6281" s="117" t="str">
        <f>IFERROR(INDEX($AA$3:$AA$10000,MATCH(ROWS($AC$3:AC6281),$AC$3:$AC$10000,0)),"")</f>
        <v/>
      </c>
    </row>
    <row r="6282" spans="27:30">
      <c r="AA6282" s="117">
        <f>+'Ingredient List - Mother Tinctu'!D6283</f>
        <v>0</v>
      </c>
      <c r="AB6282" s="117">
        <f t="shared" si="101"/>
        <v>0</v>
      </c>
      <c r="AC6282" s="117" t="str">
        <f>IF(AB6282=1,COUNTIF($AB$3:AB6282,1),"")</f>
        <v/>
      </c>
      <c r="AD6282" s="117" t="str">
        <f>IFERROR(INDEX($AA$3:$AA$10000,MATCH(ROWS($AC$3:AC6282),$AC$3:$AC$10000,0)),"")</f>
        <v/>
      </c>
    </row>
    <row r="6283" spans="27:30">
      <c r="AA6283" s="117">
        <f>+'Ingredient List - Mother Tinctu'!D6284</f>
        <v>0</v>
      </c>
      <c r="AB6283" s="117">
        <f t="shared" si="101"/>
        <v>0</v>
      </c>
      <c r="AC6283" s="117" t="str">
        <f>IF(AB6283=1,COUNTIF($AB$3:AB6283,1),"")</f>
        <v/>
      </c>
      <c r="AD6283" s="117" t="str">
        <f>IFERROR(INDEX($AA$3:$AA$10000,MATCH(ROWS($AC$3:AC6283),$AC$3:$AC$10000,0)),"")</f>
        <v/>
      </c>
    </row>
    <row r="6284" spans="27:30">
      <c r="AA6284" s="117">
        <f>+'Ingredient List - Mother Tinctu'!D6285</f>
        <v>0</v>
      </c>
      <c r="AB6284" s="117">
        <f t="shared" si="101"/>
        <v>0</v>
      </c>
      <c r="AC6284" s="117" t="str">
        <f>IF(AB6284=1,COUNTIF($AB$3:AB6284,1),"")</f>
        <v/>
      </c>
      <c r="AD6284" s="117" t="str">
        <f>IFERROR(INDEX($AA$3:$AA$10000,MATCH(ROWS($AC$3:AC6284),$AC$3:$AC$10000,0)),"")</f>
        <v/>
      </c>
    </row>
    <row r="6285" spans="27:30">
      <c r="AA6285" s="117">
        <f>+'Ingredient List - Mother Tinctu'!D6286</f>
        <v>0</v>
      </c>
      <c r="AB6285" s="117">
        <f t="shared" si="101"/>
        <v>0</v>
      </c>
      <c r="AC6285" s="117" t="str">
        <f>IF(AB6285=1,COUNTIF($AB$3:AB6285,1),"")</f>
        <v/>
      </c>
      <c r="AD6285" s="117" t="str">
        <f>IFERROR(INDEX($AA$3:$AA$10000,MATCH(ROWS($AC$3:AC6285),$AC$3:$AC$10000,0)),"")</f>
        <v/>
      </c>
    </row>
    <row r="6286" spans="27:30">
      <c r="AA6286" s="117">
        <f>+'Ingredient List - Mother Tinctu'!D6287</f>
        <v>0</v>
      </c>
      <c r="AB6286" s="117">
        <f t="shared" si="101"/>
        <v>0</v>
      </c>
      <c r="AC6286" s="117" t="str">
        <f>IF(AB6286=1,COUNTIF($AB$3:AB6286,1),"")</f>
        <v/>
      </c>
      <c r="AD6286" s="117" t="str">
        <f>IFERROR(INDEX($AA$3:$AA$10000,MATCH(ROWS($AC$3:AC6286),$AC$3:$AC$10000,0)),"")</f>
        <v/>
      </c>
    </row>
    <row r="6287" spans="27:30">
      <c r="AA6287" s="117">
        <f>+'Ingredient List - Mother Tinctu'!D6288</f>
        <v>0</v>
      </c>
      <c r="AB6287" s="117">
        <f t="shared" si="101"/>
        <v>0</v>
      </c>
      <c r="AC6287" s="117" t="str">
        <f>IF(AB6287=1,COUNTIF($AB$3:AB6287,1),"")</f>
        <v/>
      </c>
      <c r="AD6287" s="117" t="str">
        <f>IFERROR(INDEX($AA$3:$AA$10000,MATCH(ROWS($AC$3:AC6287),$AC$3:$AC$10000,0)),"")</f>
        <v/>
      </c>
    </row>
    <row r="6288" spans="27:30">
      <c r="AA6288" s="117">
        <f>+'Ingredient List - Mother Tinctu'!D6289</f>
        <v>0</v>
      </c>
      <c r="AB6288" s="117">
        <f t="shared" si="101"/>
        <v>0</v>
      </c>
      <c r="AC6288" s="117" t="str">
        <f>IF(AB6288=1,COUNTIF($AB$3:AB6288,1),"")</f>
        <v/>
      </c>
      <c r="AD6288" s="117" t="str">
        <f>IFERROR(INDEX($AA$3:$AA$10000,MATCH(ROWS($AC$3:AC6288),$AC$3:$AC$10000,0)),"")</f>
        <v/>
      </c>
    </row>
    <row r="6289" spans="27:30">
      <c r="AA6289" s="117">
        <f>+'Ingredient List - Mother Tinctu'!D6290</f>
        <v>0</v>
      </c>
      <c r="AB6289" s="117">
        <f t="shared" si="101"/>
        <v>0</v>
      </c>
      <c r="AC6289" s="117" t="str">
        <f>IF(AB6289=1,COUNTIF($AB$3:AB6289,1),"")</f>
        <v/>
      </c>
      <c r="AD6289" s="117" t="str">
        <f>IFERROR(INDEX($AA$3:$AA$10000,MATCH(ROWS($AC$3:AC6289),$AC$3:$AC$10000,0)),"")</f>
        <v/>
      </c>
    </row>
    <row r="6290" spans="27:30">
      <c r="AA6290" s="117">
        <f>+'Ingredient List - Mother Tinctu'!D6291</f>
        <v>0</v>
      </c>
      <c r="AB6290" s="117">
        <f t="shared" si="101"/>
        <v>0</v>
      </c>
      <c r="AC6290" s="117" t="str">
        <f>IF(AB6290=1,COUNTIF($AB$3:AB6290,1),"")</f>
        <v/>
      </c>
      <c r="AD6290" s="117" t="str">
        <f>IFERROR(INDEX($AA$3:$AA$10000,MATCH(ROWS($AC$3:AC6290),$AC$3:$AC$10000,0)),"")</f>
        <v/>
      </c>
    </row>
    <row r="6291" spans="27:30">
      <c r="AA6291" s="117">
        <f>+'Ingredient List - Mother Tinctu'!D6292</f>
        <v>0</v>
      </c>
      <c r="AB6291" s="117">
        <f t="shared" si="101"/>
        <v>0</v>
      </c>
      <c r="AC6291" s="117" t="str">
        <f>IF(AB6291=1,COUNTIF($AB$3:AB6291,1),"")</f>
        <v/>
      </c>
      <c r="AD6291" s="117" t="str">
        <f>IFERROR(INDEX($AA$3:$AA$10000,MATCH(ROWS($AC$3:AC6291),$AC$3:$AC$10000,0)),"")</f>
        <v/>
      </c>
    </row>
    <row r="6292" spans="27:30">
      <c r="AA6292" s="117">
        <f>+'Ingredient List - Mother Tinctu'!D6293</f>
        <v>0</v>
      </c>
      <c r="AB6292" s="117">
        <f t="shared" si="101"/>
        <v>0</v>
      </c>
      <c r="AC6292" s="117" t="str">
        <f>IF(AB6292=1,COUNTIF($AB$3:AB6292,1),"")</f>
        <v/>
      </c>
      <c r="AD6292" s="117" t="str">
        <f>IFERROR(INDEX($AA$3:$AA$10000,MATCH(ROWS($AC$3:AC6292),$AC$3:$AC$10000,0)),"")</f>
        <v/>
      </c>
    </row>
    <row r="6293" spans="27:30">
      <c r="AA6293" s="117">
        <f>+'Ingredient List - Mother Tinctu'!D6294</f>
        <v>0</v>
      </c>
      <c r="AB6293" s="117">
        <f t="shared" si="101"/>
        <v>0</v>
      </c>
      <c r="AC6293" s="117" t="str">
        <f>IF(AB6293=1,COUNTIF($AB$3:AB6293,1),"")</f>
        <v/>
      </c>
      <c r="AD6293" s="117" t="str">
        <f>IFERROR(INDEX($AA$3:$AA$10000,MATCH(ROWS($AC$3:AC6293),$AC$3:$AC$10000,0)),"")</f>
        <v/>
      </c>
    </row>
    <row r="6294" spans="27:30">
      <c r="AA6294" s="117">
        <f>+'Ingredient List - Mother Tinctu'!D6295</f>
        <v>0</v>
      </c>
      <c r="AB6294" s="117">
        <f t="shared" si="101"/>
        <v>0</v>
      </c>
      <c r="AC6294" s="117" t="str">
        <f>IF(AB6294=1,COUNTIF($AB$3:AB6294,1),"")</f>
        <v/>
      </c>
      <c r="AD6294" s="117" t="str">
        <f>IFERROR(INDEX($AA$3:$AA$10000,MATCH(ROWS($AC$3:AC6294),$AC$3:$AC$10000,0)),"")</f>
        <v/>
      </c>
    </row>
    <row r="6295" spans="27:30">
      <c r="AA6295" s="117">
        <f>+'Ingredient List - Mother Tinctu'!D6296</f>
        <v>0</v>
      </c>
      <c r="AB6295" s="117">
        <f t="shared" si="101"/>
        <v>0</v>
      </c>
      <c r="AC6295" s="117" t="str">
        <f>IF(AB6295=1,COUNTIF($AB$3:AB6295,1),"")</f>
        <v/>
      </c>
      <c r="AD6295" s="117" t="str">
        <f>IFERROR(INDEX($AA$3:$AA$10000,MATCH(ROWS($AC$3:AC6295),$AC$3:$AC$10000,0)),"")</f>
        <v/>
      </c>
    </row>
    <row r="6296" spans="27:30">
      <c r="AA6296" s="117">
        <f>+'Ingredient List - Mother Tinctu'!D6297</f>
        <v>0</v>
      </c>
      <c r="AB6296" s="117">
        <f t="shared" si="101"/>
        <v>0</v>
      </c>
      <c r="AC6296" s="117" t="str">
        <f>IF(AB6296=1,COUNTIF($AB$3:AB6296,1),"")</f>
        <v/>
      </c>
      <c r="AD6296" s="117" t="str">
        <f>IFERROR(INDEX($AA$3:$AA$10000,MATCH(ROWS($AC$3:AC6296),$AC$3:$AC$10000,0)),"")</f>
        <v/>
      </c>
    </row>
    <row r="6297" spans="27:30">
      <c r="AA6297" s="117">
        <f>+'Ingredient List - Mother Tinctu'!D6298</f>
        <v>0</v>
      </c>
      <c r="AB6297" s="117">
        <f t="shared" si="101"/>
        <v>0</v>
      </c>
      <c r="AC6297" s="117" t="str">
        <f>IF(AB6297=1,COUNTIF($AB$3:AB6297,1),"")</f>
        <v/>
      </c>
      <c r="AD6297" s="117" t="str">
        <f>IFERROR(INDEX($AA$3:$AA$10000,MATCH(ROWS($AC$3:AC6297),$AC$3:$AC$10000,0)),"")</f>
        <v/>
      </c>
    </row>
    <row r="6298" spans="27:30">
      <c r="AA6298" s="117">
        <f>+'Ingredient List - Mother Tinctu'!D6299</f>
        <v>0</v>
      </c>
      <c r="AB6298" s="117">
        <f t="shared" si="101"/>
        <v>0</v>
      </c>
      <c r="AC6298" s="117" t="str">
        <f>IF(AB6298=1,COUNTIF($AB$3:AB6298,1),"")</f>
        <v/>
      </c>
      <c r="AD6298" s="117" t="str">
        <f>IFERROR(INDEX($AA$3:$AA$10000,MATCH(ROWS($AC$3:AC6298),$AC$3:$AC$10000,0)),"")</f>
        <v/>
      </c>
    </row>
    <row r="6299" spans="27:30">
      <c r="AA6299" s="117">
        <f>+'Ingredient List - Mother Tinctu'!D6300</f>
        <v>0</v>
      </c>
      <c r="AB6299" s="117">
        <f t="shared" si="101"/>
        <v>0</v>
      </c>
      <c r="AC6299" s="117" t="str">
        <f>IF(AB6299=1,COUNTIF($AB$3:AB6299,1),"")</f>
        <v/>
      </c>
      <c r="AD6299" s="117" t="str">
        <f>IFERROR(INDEX($AA$3:$AA$10000,MATCH(ROWS($AC$3:AC6299),$AC$3:$AC$10000,0)),"")</f>
        <v/>
      </c>
    </row>
    <row r="6300" spans="27:30">
      <c r="AA6300" s="117">
        <f>+'Ingredient List - Mother Tinctu'!D6301</f>
        <v>0</v>
      </c>
      <c r="AB6300" s="117">
        <f t="shared" si="101"/>
        <v>0</v>
      </c>
      <c r="AC6300" s="117" t="str">
        <f>IF(AB6300=1,COUNTIF($AB$3:AB6300,1),"")</f>
        <v/>
      </c>
      <c r="AD6300" s="117" t="str">
        <f>IFERROR(INDEX($AA$3:$AA$10000,MATCH(ROWS($AC$3:AC6300),$AC$3:$AC$10000,0)),"")</f>
        <v/>
      </c>
    </row>
    <row r="6301" spans="27:30">
      <c r="AA6301" s="117">
        <f>+'Ingredient List - Mother Tinctu'!D6302</f>
        <v>0</v>
      </c>
      <c r="AB6301" s="117">
        <f t="shared" si="101"/>
        <v>0</v>
      </c>
      <c r="AC6301" s="117" t="str">
        <f>IF(AB6301=1,COUNTIF($AB$3:AB6301,1),"")</f>
        <v/>
      </c>
      <c r="AD6301" s="117" t="str">
        <f>IFERROR(INDEX($AA$3:$AA$10000,MATCH(ROWS($AC$3:AC6301),$AC$3:$AC$10000,0)),"")</f>
        <v/>
      </c>
    </row>
    <row r="6302" spans="27:30">
      <c r="AA6302" s="117">
        <f>+'Ingredient List - Mother Tinctu'!D6303</f>
        <v>0</v>
      </c>
      <c r="AB6302" s="117">
        <f t="shared" si="101"/>
        <v>0</v>
      </c>
      <c r="AC6302" s="117" t="str">
        <f>IF(AB6302=1,COUNTIF($AB$3:AB6302,1),"")</f>
        <v/>
      </c>
      <c r="AD6302" s="117" t="str">
        <f>IFERROR(INDEX($AA$3:$AA$10000,MATCH(ROWS($AC$3:AC6302),$AC$3:$AC$10000,0)),"")</f>
        <v/>
      </c>
    </row>
    <row r="6303" spans="27:30">
      <c r="AA6303" s="117">
        <f>+'Ingredient List - Mother Tinctu'!D6304</f>
        <v>0</v>
      </c>
      <c r="AB6303" s="117">
        <f t="shared" si="101"/>
        <v>0</v>
      </c>
      <c r="AC6303" s="117" t="str">
        <f>IF(AB6303=1,COUNTIF($AB$3:AB6303,1),"")</f>
        <v/>
      </c>
      <c r="AD6303" s="117" t="str">
        <f>IFERROR(INDEX($AA$3:$AA$10000,MATCH(ROWS($AC$3:AC6303),$AC$3:$AC$10000,0)),"")</f>
        <v/>
      </c>
    </row>
    <row r="6304" spans="27:30">
      <c r="AA6304" s="117">
        <f>+'Ingredient List - Mother Tinctu'!D6305</f>
        <v>0</v>
      </c>
      <c r="AB6304" s="117">
        <f t="shared" si="101"/>
        <v>0</v>
      </c>
      <c r="AC6304" s="117" t="str">
        <f>IF(AB6304=1,COUNTIF($AB$3:AB6304,1),"")</f>
        <v/>
      </c>
      <c r="AD6304" s="117" t="str">
        <f>IFERROR(INDEX($AA$3:$AA$10000,MATCH(ROWS($AC$3:AC6304),$AC$3:$AC$10000,0)),"")</f>
        <v/>
      </c>
    </row>
    <row r="6305" spans="27:30">
      <c r="AA6305" s="117">
        <f>+'Ingredient List - Mother Tinctu'!D6306</f>
        <v>0</v>
      </c>
      <c r="AB6305" s="117">
        <f t="shared" si="101"/>
        <v>0</v>
      </c>
      <c r="AC6305" s="117" t="str">
        <f>IF(AB6305=1,COUNTIF($AB$3:AB6305,1),"")</f>
        <v/>
      </c>
      <c r="AD6305" s="117" t="str">
        <f>IFERROR(INDEX($AA$3:$AA$10000,MATCH(ROWS($AC$3:AC6305),$AC$3:$AC$10000,0)),"")</f>
        <v/>
      </c>
    </row>
    <row r="6306" spans="27:30">
      <c r="AA6306" s="117">
        <f>+'Ingredient List - Mother Tinctu'!D6307</f>
        <v>0</v>
      </c>
      <c r="AB6306" s="117">
        <f t="shared" si="101"/>
        <v>0</v>
      </c>
      <c r="AC6306" s="117" t="str">
        <f>IF(AB6306=1,COUNTIF($AB$3:AB6306,1),"")</f>
        <v/>
      </c>
      <c r="AD6306" s="117" t="str">
        <f>IFERROR(INDEX($AA$3:$AA$10000,MATCH(ROWS($AC$3:AC6306),$AC$3:$AC$10000,0)),"")</f>
        <v/>
      </c>
    </row>
    <row r="6307" spans="27:30">
      <c r="AA6307" s="117">
        <f>+'Ingredient List - Mother Tinctu'!D6308</f>
        <v>0</v>
      </c>
      <c r="AB6307" s="117">
        <f t="shared" si="101"/>
        <v>0</v>
      </c>
      <c r="AC6307" s="117" t="str">
        <f>IF(AB6307=1,COUNTIF($AB$3:AB6307,1),"")</f>
        <v/>
      </c>
      <c r="AD6307" s="117" t="str">
        <f>IFERROR(INDEX($AA$3:$AA$10000,MATCH(ROWS($AC$3:AC6307),$AC$3:$AC$10000,0)),"")</f>
        <v/>
      </c>
    </row>
    <row r="6308" spans="27:30">
      <c r="AA6308" s="117">
        <f>+'Ingredient List - Mother Tinctu'!D6309</f>
        <v>0</v>
      </c>
      <c r="AB6308" s="117">
        <f t="shared" si="101"/>
        <v>0</v>
      </c>
      <c r="AC6308" s="117" t="str">
        <f>IF(AB6308=1,COUNTIF($AB$3:AB6308,1),"")</f>
        <v/>
      </c>
      <c r="AD6308" s="117" t="str">
        <f>IFERROR(INDEX($AA$3:$AA$10000,MATCH(ROWS($AC$3:AC6308),$AC$3:$AC$10000,0)),"")</f>
        <v/>
      </c>
    </row>
    <row r="6309" spans="27:30">
      <c r="AA6309" s="117">
        <f>+'Ingredient List - Mother Tinctu'!D6310</f>
        <v>0</v>
      </c>
      <c r="AB6309" s="117">
        <f t="shared" si="101"/>
        <v>0</v>
      </c>
      <c r="AC6309" s="117" t="str">
        <f>IF(AB6309=1,COUNTIF($AB$3:AB6309,1),"")</f>
        <v/>
      </c>
      <c r="AD6309" s="117" t="str">
        <f>IFERROR(INDEX($AA$3:$AA$10000,MATCH(ROWS($AC$3:AC6309),$AC$3:$AC$10000,0)),"")</f>
        <v/>
      </c>
    </row>
    <row r="6310" spans="27:30">
      <c r="AA6310" s="117">
        <f>+'Ingredient List - Mother Tinctu'!D6311</f>
        <v>0</v>
      </c>
      <c r="AB6310" s="117">
        <f t="shared" si="101"/>
        <v>0</v>
      </c>
      <c r="AC6310" s="117" t="str">
        <f>IF(AB6310=1,COUNTIF($AB$3:AB6310,1),"")</f>
        <v/>
      </c>
      <c r="AD6310" s="117" t="str">
        <f>IFERROR(INDEX($AA$3:$AA$10000,MATCH(ROWS($AC$3:AC6310),$AC$3:$AC$10000,0)),"")</f>
        <v/>
      </c>
    </row>
    <row r="6311" spans="27:30">
      <c r="AA6311" s="117">
        <f>+'Ingredient List - Mother Tinctu'!D6312</f>
        <v>0</v>
      </c>
      <c r="AB6311" s="117">
        <f t="shared" si="101"/>
        <v>0</v>
      </c>
      <c r="AC6311" s="117" t="str">
        <f>IF(AB6311=1,COUNTIF($AB$3:AB6311,1),"")</f>
        <v/>
      </c>
      <c r="AD6311" s="117" t="str">
        <f>IFERROR(INDEX($AA$3:$AA$10000,MATCH(ROWS($AC$3:AC6311),$AC$3:$AC$10000,0)),"")</f>
        <v/>
      </c>
    </row>
    <row r="6312" spans="27:30">
      <c r="AA6312" s="117">
        <f>+'Ingredient List - Mother Tinctu'!D6313</f>
        <v>0</v>
      </c>
      <c r="AB6312" s="117">
        <f t="shared" si="101"/>
        <v>0</v>
      </c>
      <c r="AC6312" s="117" t="str">
        <f>IF(AB6312=1,COUNTIF($AB$3:AB6312,1),"")</f>
        <v/>
      </c>
      <c r="AD6312" s="117" t="str">
        <f>IFERROR(INDEX($AA$3:$AA$10000,MATCH(ROWS($AC$3:AC6312),$AC$3:$AC$10000,0)),"")</f>
        <v/>
      </c>
    </row>
    <row r="6313" spans="27:30">
      <c r="AA6313" s="117">
        <f>+'Ingredient List - Mother Tinctu'!D6314</f>
        <v>0</v>
      </c>
      <c r="AB6313" s="117">
        <f t="shared" si="101"/>
        <v>0</v>
      </c>
      <c r="AC6313" s="117" t="str">
        <f>IF(AB6313=1,COUNTIF($AB$3:AB6313,1),"")</f>
        <v/>
      </c>
      <c r="AD6313" s="117" t="str">
        <f>IFERROR(INDEX($AA$3:$AA$10000,MATCH(ROWS($AC$3:AC6313),$AC$3:$AC$10000,0)),"")</f>
        <v/>
      </c>
    </row>
    <row r="6314" spans="27:30">
      <c r="AA6314" s="117">
        <f>+'Ingredient List - Mother Tinctu'!D6315</f>
        <v>0</v>
      </c>
      <c r="AB6314" s="117">
        <f t="shared" si="101"/>
        <v>0</v>
      </c>
      <c r="AC6314" s="117" t="str">
        <f>IF(AB6314=1,COUNTIF($AB$3:AB6314,1),"")</f>
        <v/>
      </c>
      <c r="AD6314" s="117" t="str">
        <f>IFERROR(INDEX($AA$3:$AA$10000,MATCH(ROWS($AC$3:AC6314),$AC$3:$AC$10000,0)),"")</f>
        <v/>
      </c>
    </row>
    <row r="6315" spans="27:30">
      <c r="AA6315" s="117">
        <f>+'Ingredient List - Mother Tinctu'!D6316</f>
        <v>0</v>
      </c>
      <c r="AB6315" s="117">
        <f t="shared" si="101"/>
        <v>0</v>
      </c>
      <c r="AC6315" s="117" t="str">
        <f>IF(AB6315=1,COUNTIF($AB$3:AB6315,1),"")</f>
        <v/>
      </c>
      <c r="AD6315" s="117" t="str">
        <f>IFERROR(INDEX($AA$3:$AA$10000,MATCH(ROWS($AC$3:AC6315),$AC$3:$AC$10000,0)),"")</f>
        <v/>
      </c>
    </row>
    <row r="6316" spans="27:30">
      <c r="AA6316" s="117">
        <f>+'Ingredient List - Mother Tinctu'!D6317</f>
        <v>0</v>
      </c>
      <c r="AB6316" s="117">
        <f t="shared" si="101"/>
        <v>0</v>
      </c>
      <c r="AC6316" s="117" t="str">
        <f>IF(AB6316=1,COUNTIF($AB$3:AB6316,1),"")</f>
        <v/>
      </c>
      <c r="AD6316" s="117" t="str">
        <f>IFERROR(INDEX($AA$3:$AA$10000,MATCH(ROWS($AC$3:AC6316),$AC$3:$AC$10000,0)),"")</f>
        <v/>
      </c>
    </row>
    <row r="6317" spans="27:30">
      <c r="AA6317" s="117">
        <f>+'Ingredient List - Mother Tinctu'!D6318</f>
        <v>0</v>
      </c>
      <c r="AB6317" s="117">
        <f t="shared" si="101"/>
        <v>0</v>
      </c>
      <c r="AC6317" s="117" t="str">
        <f>IF(AB6317=1,COUNTIF($AB$3:AB6317,1),"")</f>
        <v/>
      </c>
      <c r="AD6317" s="117" t="str">
        <f>IFERROR(INDEX($AA$3:$AA$10000,MATCH(ROWS($AC$3:AC6317),$AC$3:$AC$10000,0)),"")</f>
        <v/>
      </c>
    </row>
    <row r="6318" spans="27:30">
      <c r="AA6318" s="117">
        <f>+'Ingredient List - Mother Tinctu'!D6319</f>
        <v>0</v>
      </c>
      <c r="AB6318" s="117">
        <f t="shared" si="101"/>
        <v>0</v>
      </c>
      <c r="AC6318" s="117" t="str">
        <f>IF(AB6318=1,COUNTIF($AB$3:AB6318,1),"")</f>
        <v/>
      </c>
      <c r="AD6318" s="117" t="str">
        <f>IFERROR(INDEX($AA$3:$AA$10000,MATCH(ROWS($AC$3:AC6318),$AC$3:$AC$10000,0)),"")</f>
        <v/>
      </c>
    </row>
    <row r="6319" spans="27:30">
      <c r="AA6319" s="117">
        <f>+'Ingredient List - Mother Tinctu'!D6320</f>
        <v>0</v>
      </c>
      <c r="AB6319" s="117">
        <f t="shared" si="101"/>
        <v>0</v>
      </c>
      <c r="AC6319" s="117" t="str">
        <f>IF(AB6319=1,COUNTIF($AB$3:AB6319,1),"")</f>
        <v/>
      </c>
      <c r="AD6319" s="117" t="str">
        <f>IFERROR(INDEX($AA$3:$AA$10000,MATCH(ROWS($AC$3:AC6319),$AC$3:$AC$10000,0)),"")</f>
        <v/>
      </c>
    </row>
    <row r="6320" spans="27:30">
      <c r="AA6320" s="117">
        <f>+'Ingredient List - Mother Tinctu'!D6321</f>
        <v>0</v>
      </c>
      <c r="AB6320" s="117">
        <f t="shared" si="101"/>
        <v>0</v>
      </c>
      <c r="AC6320" s="117" t="str">
        <f>IF(AB6320=1,COUNTIF($AB$3:AB6320,1),"")</f>
        <v/>
      </c>
      <c r="AD6320" s="117" t="str">
        <f>IFERROR(INDEX($AA$3:$AA$10000,MATCH(ROWS($AC$3:AC6320),$AC$3:$AC$10000,0)),"")</f>
        <v/>
      </c>
    </row>
    <row r="6321" spans="27:30">
      <c r="AA6321" s="117">
        <f>+'Ingredient List - Mother Tinctu'!D6322</f>
        <v>0</v>
      </c>
      <c r="AB6321" s="117">
        <f t="shared" si="101"/>
        <v>0</v>
      </c>
      <c r="AC6321" s="117" t="str">
        <f>IF(AB6321=1,COUNTIF($AB$3:AB6321,1),"")</f>
        <v/>
      </c>
      <c r="AD6321" s="117" t="str">
        <f>IFERROR(INDEX($AA$3:$AA$10000,MATCH(ROWS($AC$3:AC6321),$AC$3:$AC$10000,0)),"")</f>
        <v/>
      </c>
    </row>
    <row r="6322" spans="27:30">
      <c r="AA6322" s="117">
        <f>+'Ingredient List - Mother Tinctu'!D6323</f>
        <v>0</v>
      </c>
      <c r="AB6322" s="117">
        <f t="shared" si="101"/>
        <v>0</v>
      </c>
      <c r="AC6322" s="117" t="str">
        <f>IF(AB6322=1,COUNTIF($AB$3:AB6322,1),"")</f>
        <v/>
      </c>
      <c r="AD6322" s="117" t="str">
        <f>IFERROR(INDEX($AA$3:$AA$10000,MATCH(ROWS($AC$3:AC6322),$AC$3:$AC$10000,0)),"")</f>
        <v/>
      </c>
    </row>
    <row r="6323" spans="27:30">
      <c r="AA6323" s="117">
        <f>+'Ingredient List - Mother Tinctu'!D6324</f>
        <v>0</v>
      </c>
      <c r="AB6323" s="117">
        <f t="shared" si="101"/>
        <v>0</v>
      </c>
      <c r="AC6323" s="117" t="str">
        <f>IF(AB6323=1,COUNTIF($AB$3:AB6323,1),"")</f>
        <v/>
      </c>
      <c r="AD6323" s="117" t="str">
        <f>IFERROR(INDEX($AA$3:$AA$10000,MATCH(ROWS($AC$3:AC6323),$AC$3:$AC$10000,0)),"")</f>
        <v/>
      </c>
    </row>
    <row r="6324" spans="27:30">
      <c r="AA6324" s="117">
        <f>+'Ingredient List - Mother Tinctu'!D6325</f>
        <v>0</v>
      </c>
      <c r="AB6324" s="117">
        <f t="shared" si="101"/>
        <v>0</v>
      </c>
      <c r="AC6324" s="117" t="str">
        <f>IF(AB6324=1,COUNTIF($AB$3:AB6324,1),"")</f>
        <v/>
      </c>
      <c r="AD6324" s="117" t="str">
        <f>IFERROR(INDEX($AA$3:$AA$10000,MATCH(ROWS($AC$3:AC6324),$AC$3:$AC$10000,0)),"")</f>
        <v/>
      </c>
    </row>
    <row r="6325" spans="27:30">
      <c r="AA6325" s="117">
        <f>+'Ingredient List - Mother Tinctu'!D6326</f>
        <v>0</v>
      </c>
      <c r="AB6325" s="117">
        <f t="shared" si="101"/>
        <v>0</v>
      </c>
      <c r="AC6325" s="117" t="str">
        <f>IF(AB6325=1,COUNTIF($AB$3:AB6325,1),"")</f>
        <v/>
      </c>
      <c r="AD6325" s="117" t="str">
        <f>IFERROR(INDEX($AA$3:$AA$10000,MATCH(ROWS($AC$3:AC6325),$AC$3:$AC$10000,0)),"")</f>
        <v/>
      </c>
    </row>
    <row r="6326" spans="27:30">
      <c r="AA6326" s="117">
        <f>+'Ingredient List - Mother Tinctu'!D6327</f>
        <v>0</v>
      </c>
      <c r="AB6326" s="117">
        <f t="shared" si="101"/>
        <v>0</v>
      </c>
      <c r="AC6326" s="117" t="str">
        <f>IF(AB6326=1,COUNTIF($AB$3:AB6326,1),"")</f>
        <v/>
      </c>
      <c r="AD6326" s="117" t="str">
        <f>IFERROR(INDEX($AA$3:$AA$10000,MATCH(ROWS($AC$3:AC6326),$AC$3:$AC$10000,0)),"")</f>
        <v/>
      </c>
    </row>
    <row r="6327" spans="27:30">
      <c r="AA6327" s="117">
        <f>+'Ingredient List - Mother Tinctu'!D6328</f>
        <v>0</v>
      </c>
      <c r="AB6327" s="117">
        <f t="shared" si="101"/>
        <v>0</v>
      </c>
      <c r="AC6327" s="117" t="str">
        <f>IF(AB6327=1,COUNTIF($AB$3:AB6327,1),"")</f>
        <v/>
      </c>
      <c r="AD6327" s="117" t="str">
        <f>IFERROR(INDEX($AA$3:$AA$10000,MATCH(ROWS($AC$3:AC6327),$AC$3:$AC$10000,0)),"")</f>
        <v/>
      </c>
    </row>
    <row r="6328" spans="27:30">
      <c r="AA6328" s="117">
        <f>+'Ingredient List - Mother Tinctu'!D6329</f>
        <v>0</v>
      </c>
      <c r="AB6328" s="117">
        <f t="shared" si="101"/>
        <v>0</v>
      </c>
      <c r="AC6328" s="117" t="str">
        <f>IF(AB6328=1,COUNTIF($AB$3:AB6328,1),"")</f>
        <v/>
      </c>
      <c r="AD6328" s="117" t="str">
        <f>IFERROR(INDEX($AA$3:$AA$10000,MATCH(ROWS($AC$3:AC6328),$AC$3:$AC$10000,0)),"")</f>
        <v/>
      </c>
    </row>
    <row r="6329" spans="27:30">
      <c r="AA6329" s="117">
        <f>+'Ingredient List - Mother Tinctu'!D6330</f>
        <v>0</v>
      </c>
      <c r="AB6329" s="117">
        <f t="shared" si="101"/>
        <v>0</v>
      </c>
      <c r="AC6329" s="117" t="str">
        <f>IF(AB6329=1,COUNTIF($AB$3:AB6329,1),"")</f>
        <v/>
      </c>
      <c r="AD6329" s="117" t="str">
        <f>IFERROR(INDEX($AA$3:$AA$10000,MATCH(ROWS($AC$3:AC6329),$AC$3:$AC$10000,0)),"")</f>
        <v/>
      </c>
    </row>
    <row r="6330" spans="27:30">
      <c r="AA6330" s="117">
        <f>+'Ingredient List - Mother Tinctu'!D6331</f>
        <v>0</v>
      </c>
      <c r="AB6330" s="117">
        <f t="shared" si="101"/>
        <v>0</v>
      </c>
      <c r="AC6330" s="117" t="str">
        <f>IF(AB6330=1,COUNTIF($AB$3:AB6330,1),"")</f>
        <v/>
      </c>
      <c r="AD6330" s="117" t="str">
        <f>IFERROR(INDEX($AA$3:$AA$10000,MATCH(ROWS($AC$3:AC6330),$AC$3:$AC$10000,0)),"")</f>
        <v/>
      </c>
    </row>
    <row r="6331" spans="27:30">
      <c r="AA6331" s="117">
        <f>+'Ingredient List - Mother Tinctu'!D6332</f>
        <v>0</v>
      </c>
      <c r="AB6331" s="117">
        <f t="shared" si="101"/>
        <v>0</v>
      </c>
      <c r="AC6331" s="117" t="str">
        <f>IF(AB6331=1,COUNTIF($AB$3:AB6331,1),"")</f>
        <v/>
      </c>
      <c r="AD6331" s="117" t="str">
        <f>IFERROR(INDEX($AA$3:$AA$10000,MATCH(ROWS($AC$3:AC6331),$AC$3:$AC$10000,0)),"")</f>
        <v/>
      </c>
    </row>
    <row r="6332" spans="27:30">
      <c r="AA6332" s="117">
        <f>+'Ingredient List - Mother Tinctu'!D6333</f>
        <v>0</v>
      </c>
      <c r="AB6332" s="117">
        <f t="shared" si="101"/>
        <v>0</v>
      </c>
      <c r="AC6332" s="117" t="str">
        <f>IF(AB6332=1,COUNTIF($AB$3:AB6332,1),"")</f>
        <v/>
      </c>
      <c r="AD6332" s="117" t="str">
        <f>IFERROR(INDEX($AA$3:$AA$10000,MATCH(ROWS($AC$3:AC6332),$AC$3:$AC$10000,0)),"")</f>
        <v/>
      </c>
    </row>
    <row r="6333" spans="27:30">
      <c r="AA6333" s="117">
        <f>+'Ingredient List - Mother Tinctu'!D6334</f>
        <v>0</v>
      </c>
      <c r="AB6333" s="117">
        <f t="shared" si="101"/>
        <v>0</v>
      </c>
      <c r="AC6333" s="117" t="str">
        <f>IF(AB6333=1,COUNTIF($AB$3:AB6333,1),"")</f>
        <v/>
      </c>
      <c r="AD6333" s="117" t="str">
        <f>IFERROR(INDEX($AA$3:$AA$10000,MATCH(ROWS($AC$3:AC6333),$AC$3:$AC$10000,0)),"")</f>
        <v/>
      </c>
    </row>
    <row r="6334" spans="27:30">
      <c r="AA6334" s="117">
        <f>+'Ingredient List - Mother Tinctu'!D6335</f>
        <v>0</v>
      </c>
      <c r="AB6334" s="117">
        <f t="shared" si="101"/>
        <v>0</v>
      </c>
      <c r="AC6334" s="117" t="str">
        <f>IF(AB6334=1,COUNTIF($AB$3:AB6334,1),"")</f>
        <v/>
      </c>
      <c r="AD6334" s="117" t="str">
        <f>IFERROR(INDEX($AA$3:$AA$10000,MATCH(ROWS($AC$3:AC6334),$AC$3:$AC$10000,0)),"")</f>
        <v/>
      </c>
    </row>
    <row r="6335" spans="27:30">
      <c r="AA6335" s="117">
        <f>+'Ingredient List - Mother Tinctu'!D6336</f>
        <v>0</v>
      </c>
      <c r="AB6335" s="117">
        <f t="shared" si="101"/>
        <v>0</v>
      </c>
      <c r="AC6335" s="117" t="str">
        <f>IF(AB6335=1,COUNTIF($AB$3:AB6335,1),"")</f>
        <v/>
      </c>
      <c r="AD6335" s="117" t="str">
        <f>IFERROR(INDEX($AA$3:$AA$10000,MATCH(ROWS($AC$3:AC6335),$AC$3:$AC$10000,0)),"")</f>
        <v/>
      </c>
    </row>
    <row r="6336" spans="27:30">
      <c r="AA6336" s="117">
        <f>+'Ingredient List - Mother Tinctu'!D6337</f>
        <v>0</v>
      </c>
      <c r="AB6336" s="117">
        <f t="shared" si="101"/>
        <v>0</v>
      </c>
      <c r="AC6336" s="117" t="str">
        <f>IF(AB6336=1,COUNTIF($AB$3:AB6336,1),"")</f>
        <v/>
      </c>
      <c r="AD6336" s="117" t="str">
        <f>IFERROR(INDEX($AA$3:$AA$10000,MATCH(ROWS($AC$3:AC6336),$AC$3:$AC$10000,0)),"")</f>
        <v/>
      </c>
    </row>
    <row r="6337" spans="27:30">
      <c r="AA6337" s="117">
        <f>+'Ingredient List - Mother Tinctu'!D6338</f>
        <v>0</v>
      </c>
      <c r="AB6337" s="117">
        <f t="shared" si="101"/>
        <v>0</v>
      </c>
      <c r="AC6337" s="117" t="str">
        <f>IF(AB6337=1,COUNTIF($AB$3:AB6337,1),"")</f>
        <v/>
      </c>
      <c r="AD6337" s="117" t="str">
        <f>IFERROR(INDEX($AA$3:$AA$10000,MATCH(ROWS($AC$3:AC6337),$AC$3:$AC$10000,0)),"")</f>
        <v/>
      </c>
    </row>
    <row r="6338" spans="27:30">
      <c r="AA6338" s="117">
        <f>+'Ingredient List - Mother Tinctu'!D6339</f>
        <v>0</v>
      </c>
      <c r="AB6338" s="117">
        <f t="shared" si="101"/>
        <v>0</v>
      </c>
      <c r="AC6338" s="117" t="str">
        <f>IF(AB6338=1,COUNTIF($AB$3:AB6338,1),"")</f>
        <v/>
      </c>
      <c r="AD6338" s="117" t="str">
        <f>IFERROR(INDEX($AA$3:$AA$10000,MATCH(ROWS($AC$3:AC6338),$AC$3:$AC$10000,0)),"")</f>
        <v/>
      </c>
    </row>
    <row r="6339" spans="27:30">
      <c r="AA6339" s="117">
        <f>+'Ingredient List - Mother Tinctu'!D6340</f>
        <v>0</v>
      </c>
      <c r="AB6339" s="117">
        <f t="shared" si="101"/>
        <v>0</v>
      </c>
      <c r="AC6339" s="117" t="str">
        <f>IF(AB6339=1,COUNTIF($AB$3:AB6339,1),"")</f>
        <v/>
      </c>
      <c r="AD6339" s="117" t="str">
        <f>IFERROR(INDEX($AA$3:$AA$10000,MATCH(ROWS($AC$3:AC6339),$AC$3:$AC$10000,0)),"")</f>
        <v/>
      </c>
    </row>
    <row r="6340" spans="27:30">
      <c r="AA6340" s="117">
        <f>+'Ingredient List - Mother Tinctu'!D6341</f>
        <v>0</v>
      </c>
      <c r="AB6340" s="117">
        <f t="shared" ref="AB6340:AB6403" si="102">--ISNUMBER(IFERROR(SEARCH($D$3,AA6340,1),""))</f>
        <v>0</v>
      </c>
      <c r="AC6340" s="117" t="str">
        <f>IF(AB6340=1,COUNTIF($AB$3:AB6340,1),"")</f>
        <v/>
      </c>
      <c r="AD6340" s="117" t="str">
        <f>IFERROR(INDEX($AA$3:$AA$10000,MATCH(ROWS($AC$3:AC6340),$AC$3:$AC$10000,0)),"")</f>
        <v/>
      </c>
    </row>
    <row r="6341" spans="27:30">
      <c r="AA6341" s="117">
        <f>+'Ingredient List - Mother Tinctu'!D6342</f>
        <v>0</v>
      </c>
      <c r="AB6341" s="117">
        <f t="shared" si="102"/>
        <v>0</v>
      </c>
      <c r="AC6341" s="117" t="str">
        <f>IF(AB6341=1,COUNTIF($AB$3:AB6341,1),"")</f>
        <v/>
      </c>
      <c r="AD6341" s="117" t="str">
        <f>IFERROR(INDEX($AA$3:$AA$10000,MATCH(ROWS($AC$3:AC6341),$AC$3:$AC$10000,0)),"")</f>
        <v/>
      </c>
    </row>
    <row r="6342" spans="27:30">
      <c r="AA6342" s="117">
        <f>+'Ingredient List - Mother Tinctu'!D6343</f>
        <v>0</v>
      </c>
      <c r="AB6342" s="117">
        <f t="shared" si="102"/>
        <v>0</v>
      </c>
      <c r="AC6342" s="117" t="str">
        <f>IF(AB6342=1,COUNTIF($AB$3:AB6342,1),"")</f>
        <v/>
      </c>
      <c r="AD6342" s="117" t="str">
        <f>IFERROR(INDEX($AA$3:$AA$10000,MATCH(ROWS($AC$3:AC6342),$AC$3:$AC$10000,0)),"")</f>
        <v/>
      </c>
    </row>
    <row r="6343" spans="27:30">
      <c r="AA6343" s="117">
        <f>+'Ingredient List - Mother Tinctu'!D6344</f>
        <v>0</v>
      </c>
      <c r="AB6343" s="117">
        <f t="shared" si="102"/>
        <v>0</v>
      </c>
      <c r="AC6343" s="117" t="str">
        <f>IF(AB6343=1,COUNTIF($AB$3:AB6343,1),"")</f>
        <v/>
      </c>
      <c r="AD6343" s="117" t="str">
        <f>IFERROR(INDEX($AA$3:$AA$10000,MATCH(ROWS($AC$3:AC6343),$AC$3:$AC$10000,0)),"")</f>
        <v/>
      </c>
    </row>
    <row r="6344" spans="27:30">
      <c r="AA6344" s="117">
        <f>+'Ingredient List - Mother Tinctu'!D6345</f>
        <v>0</v>
      </c>
      <c r="AB6344" s="117">
        <f t="shared" si="102"/>
        <v>0</v>
      </c>
      <c r="AC6344" s="117" t="str">
        <f>IF(AB6344=1,COUNTIF($AB$3:AB6344,1),"")</f>
        <v/>
      </c>
      <c r="AD6344" s="117" t="str">
        <f>IFERROR(INDEX($AA$3:$AA$10000,MATCH(ROWS($AC$3:AC6344),$AC$3:$AC$10000,0)),"")</f>
        <v/>
      </c>
    </row>
    <row r="6345" spans="27:30">
      <c r="AA6345" s="117">
        <f>+'Ingredient List - Mother Tinctu'!D6346</f>
        <v>0</v>
      </c>
      <c r="AB6345" s="117">
        <f t="shared" si="102"/>
        <v>0</v>
      </c>
      <c r="AC6345" s="117" t="str">
        <f>IF(AB6345=1,COUNTIF($AB$3:AB6345,1),"")</f>
        <v/>
      </c>
      <c r="AD6345" s="117" t="str">
        <f>IFERROR(INDEX($AA$3:$AA$10000,MATCH(ROWS($AC$3:AC6345),$AC$3:$AC$10000,0)),"")</f>
        <v/>
      </c>
    </row>
    <row r="6346" spans="27:30">
      <c r="AA6346" s="117">
        <f>+'Ingredient List - Mother Tinctu'!D6347</f>
        <v>0</v>
      </c>
      <c r="AB6346" s="117">
        <f t="shared" si="102"/>
        <v>0</v>
      </c>
      <c r="AC6346" s="117" t="str">
        <f>IF(AB6346=1,COUNTIF($AB$3:AB6346,1),"")</f>
        <v/>
      </c>
      <c r="AD6346" s="117" t="str">
        <f>IFERROR(INDEX($AA$3:$AA$10000,MATCH(ROWS($AC$3:AC6346),$AC$3:$AC$10000,0)),"")</f>
        <v/>
      </c>
    </row>
    <row r="6347" spans="27:30">
      <c r="AA6347" s="117">
        <f>+'Ingredient List - Mother Tinctu'!D6348</f>
        <v>0</v>
      </c>
      <c r="AB6347" s="117">
        <f t="shared" si="102"/>
        <v>0</v>
      </c>
      <c r="AC6347" s="117" t="str">
        <f>IF(AB6347=1,COUNTIF($AB$3:AB6347,1),"")</f>
        <v/>
      </c>
      <c r="AD6347" s="117" t="str">
        <f>IFERROR(INDEX($AA$3:$AA$10000,MATCH(ROWS($AC$3:AC6347),$AC$3:$AC$10000,0)),"")</f>
        <v/>
      </c>
    </row>
    <row r="6348" spans="27:30">
      <c r="AA6348" s="117">
        <f>+'Ingredient List - Mother Tinctu'!D6349</f>
        <v>0</v>
      </c>
      <c r="AB6348" s="117">
        <f t="shared" si="102"/>
        <v>0</v>
      </c>
      <c r="AC6348" s="117" t="str">
        <f>IF(AB6348=1,COUNTIF($AB$3:AB6348,1),"")</f>
        <v/>
      </c>
      <c r="AD6348" s="117" t="str">
        <f>IFERROR(INDEX($AA$3:$AA$10000,MATCH(ROWS($AC$3:AC6348),$AC$3:$AC$10000,0)),"")</f>
        <v/>
      </c>
    </row>
    <row r="6349" spans="27:30">
      <c r="AA6349" s="117">
        <f>+'Ingredient List - Mother Tinctu'!D6350</f>
        <v>0</v>
      </c>
      <c r="AB6349" s="117">
        <f t="shared" si="102"/>
        <v>0</v>
      </c>
      <c r="AC6349" s="117" t="str">
        <f>IF(AB6349=1,COUNTIF($AB$3:AB6349,1),"")</f>
        <v/>
      </c>
      <c r="AD6349" s="117" t="str">
        <f>IFERROR(INDEX($AA$3:$AA$10000,MATCH(ROWS($AC$3:AC6349),$AC$3:$AC$10000,0)),"")</f>
        <v/>
      </c>
    </row>
    <row r="6350" spans="27:30">
      <c r="AA6350" s="117">
        <f>+'Ingredient List - Mother Tinctu'!D6351</f>
        <v>0</v>
      </c>
      <c r="AB6350" s="117">
        <f t="shared" si="102"/>
        <v>0</v>
      </c>
      <c r="AC6350" s="117" t="str">
        <f>IF(AB6350=1,COUNTIF($AB$3:AB6350,1),"")</f>
        <v/>
      </c>
      <c r="AD6350" s="117" t="str">
        <f>IFERROR(INDEX($AA$3:$AA$10000,MATCH(ROWS($AC$3:AC6350),$AC$3:$AC$10000,0)),"")</f>
        <v/>
      </c>
    </row>
    <row r="6351" spans="27:30">
      <c r="AA6351" s="117">
        <f>+'Ingredient List - Mother Tinctu'!D6352</f>
        <v>0</v>
      </c>
      <c r="AB6351" s="117">
        <f t="shared" si="102"/>
        <v>0</v>
      </c>
      <c r="AC6351" s="117" t="str">
        <f>IF(AB6351=1,COUNTIF($AB$3:AB6351,1),"")</f>
        <v/>
      </c>
      <c r="AD6351" s="117" t="str">
        <f>IFERROR(INDEX($AA$3:$AA$10000,MATCH(ROWS($AC$3:AC6351),$AC$3:$AC$10000,0)),"")</f>
        <v/>
      </c>
    </row>
    <row r="6352" spans="27:30">
      <c r="AA6352" s="117">
        <f>+'Ingredient List - Mother Tinctu'!D6353</f>
        <v>0</v>
      </c>
      <c r="AB6352" s="117">
        <f t="shared" si="102"/>
        <v>0</v>
      </c>
      <c r="AC6352" s="117" t="str">
        <f>IF(AB6352=1,COUNTIF($AB$3:AB6352,1),"")</f>
        <v/>
      </c>
      <c r="AD6352" s="117" t="str">
        <f>IFERROR(INDEX($AA$3:$AA$10000,MATCH(ROWS($AC$3:AC6352),$AC$3:$AC$10000,0)),"")</f>
        <v/>
      </c>
    </row>
    <row r="6353" spans="27:30">
      <c r="AA6353" s="117">
        <f>+'Ingredient List - Mother Tinctu'!D6354</f>
        <v>0</v>
      </c>
      <c r="AB6353" s="117">
        <f t="shared" si="102"/>
        <v>0</v>
      </c>
      <c r="AC6353" s="117" t="str">
        <f>IF(AB6353=1,COUNTIF($AB$3:AB6353,1),"")</f>
        <v/>
      </c>
      <c r="AD6353" s="117" t="str">
        <f>IFERROR(INDEX($AA$3:$AA$10000,MATCH(ROWS($AC$3:AC6353),$AC$3:$AC$10000,0)),"")</f>
        <v/>
      </c>
    </row>
    <row r="6354" spans="27:30">
      <c r="AA6354" s="117">
        <f>+'Ingredient List - Mother Tinctu'!D6355</f>
        <v>0</v>
      </c>
      <c r="AB6354" s="117">
        <f t="shared" si="102"/>
        <v>0</v>
      </c>
      <c r="AC6354" s="117" t="str">
        <f>IF(AB6354=1,COUNTIF($AB$3:AB6354,1),"")</f>
        <v/>
      </c>
      <c r="AD6354" s="117" t="str">
        <f>IFERROR(INDEX($AA$3:$AA$10000,MATCH(ROWS($AC$3:AC6354),$AC$3:$AC$10000,0)),"")</f>
        <v/>
      </c>
    </row>
    <row r="6355" spans="27:30">
      <c r="AA6355" s="117">
        <f>+'Ingredient List - Mother Tinctu'!D6356</f>
        <v>0</v>
      </c>
      <c r="AB6355" s="117">
        <f t="shared" si="102"/>
        <v>0</v>
      </c>
      <c r="AC6355" s="117" t="str">
        <f>IF(AB6355=1,COUNTIF($AB$3:AB6355,1),"")</f>
        <v/>
      </c>
      <c r="AD6355" s="117" t="str">
        <f>IFERROR(INDEX($AA$3:$AA$10000,MATCH(ROWS($AC$3:AC6355),$AC$3:$AC$10000,0)),"")</f>
        <v/>
      </c>
    </row>
    <row r="6356" spans="27:30">
      <c r="AA6356" s="117">
        <f>+'Ingredient List - Mother Tinctu'!D6357</f>
        <v>0</v>
      </c>
      <c r="AB6356" s="117">
        <f t="shared" si="102"/>
        <v>0</v>
      </c>
      <c r="AC6356" s="117" t="str">
        <f>IF(AB6356=1,COUNTIF($AB$3:AB6356,1),"")</f>
        <v/>
      </c>
      <c r="AD6356" s="117" t="str">
        <f>IFERROR(INDEX($AA$3:$AA$10000,MATCH(ROWS($AC$3:AC6356),$AC$3:$AC$10000,0)),"")</f>
        <v/>
      </c>
    </row>
    <row r="6357" spans="27:30">
      <c r="AA6357" s="117">
        <f>+'Ingredient List - Mother Tinctu'!D6358</f>
        <v>0</v>
      </c>
      <c r="AB6357" s="117">
        <f t="shared" si="102"/>
        <v>0</v>
      </c>
      <c r="AC6357" s="117" t="str">
        <f>IF(AB6357=1,COUNTIF($AB$3:AB6357,1),"")</f>
        <v/>
      </c>
      <c r="AD6357" s="117" t="str">
        <f>IFERROR(INDEX($AA$3:$AA$10000,MATCH(ROWS($AC$3:AC6357),$AC$3:$AC$10000,0)),"")</f>
        <v/>
      </c>
    </row>
    <row r="6358" spans="27:30">
      <c r="AA6358" s="117">
        <f>+'Ingredient List - Mother Tinctu'!D6359</f>
        <v>0</v>
      </c>
      <c r="AB6358" s="117">
        <f t="shared" si="102"/>
        <v>0</v>
      </c>
      <c r="AC6358" s="117" t="str">
        <f>IF(AB6358=1,COUNTIF($AB$3:AB6358,1),"")</f>
        <v/>
      </c>
      <c r="AD6358" s="117" t="str">
        <f>IFERROR(INDEX($AA$3:$AA$10000,MATCH(ROWS($AC$3:AC6358),$AC$3:$AC$10000,0)),"")</f>
        <v/>
      </c>
    </row>
    <row r="6359" spans="27:30">
      <c r="AA6359" s="117">
        <f>+'Ingredient List - Mother Tinctu'!D6360</f>
        <v>0</v>
      </c>
      <c r="AB6359" s="117">
        <f t="shared" si="102"/>
        <v>0</v>
      </c>
      <c r="AC6359" s="117" t="str">
        <f>IF(AB6359=1,COUNTIF($AB$3:AB6359,1),"")</f>
        <v/>
      </c>
      <c r="AD6359" s="117" t="str">
        <f>IFERROR(INDEX($AA$3:$AA$10000,MATCH(ROWS($AC$3:AC6359),$AC$3:$AC$10000,0)),"")</f>
        <v/>
      </c>
    </row>
    <row r="6360" spans="27:30">
      <c r="AA6360" s="117">
        <f>+'Ingredient List - Mother Tinctu'!D6361</f>
        <v>0</v>
      </c>
      <c r="AB6360" s="117">
        <f t="shared" si="102"/>
        <v>0</v>
      </c>
      <c r="AC6360" s="117" t="str">
        <f>IF(AB6360=1,COUNTIF($AB$3:AB6360,1),"")</f>
        <v/>
      </c>
      <c r="AD6360" s="117" t="str">
        <f>IFERROR(INDEX($AA$3:$AA$10000,MATCH(ROWS($AC$3:AC6360),$AC$3:$AC$10000,0)),"")</f>
        <v/>
      </c>
    </row>
    <row r="6361" spans="27:30">
      <c r="AA6361" s="117">
        <f>+'Ingredient List - Mother Tinctu'!D6362</f>
        <v>0</v>
      </c>
      <c r="AB6361" s="117">
        <f t="shared" si="102"/>
        <v>0</v>
      </c>
      <c r="AC6361" s="117" t="str">
        <f>IF(AB6361=1,COUNTIF($AB$3:AB6361,1),"")</f>
        <v/>
      </c>
      <c r="AD6361" s="117" t="str">
        <f>IFERROR(INDEX($AA$3:$AA$10000,MATCH(ROWS($AC$3:AC6361),$AC$3:$AC$10000,0)),"")</f>
        <v/>
      </c>
    </row>
    <row r="6362" spans="27:30">
      <c r="AA6362" s="117">
        <f>+'Ingredient List - Mother Tinctu'!D6363</f>
        <v>0</v>
      </c>
      <c r="AB6362" s="117">
        <f t="shared" si="102"/>
        <v>0</v>
      </c>
      <c r="AC6362" s="117" t="str">
        <f>IF(AB6362=1,COUNTIF($AB$3:AB6362,1),"")</f>
        <v/>
      </c>
      <c r="AD6362" s="117" t="str">
        <f>IFERROR(INDEX($AA$3:$AA$10000,MATCH(ROWS($AC$3:AC6362),$AC$3:$AC$10000,0)),"")</f>
        <v/>
      </c>
    </row>
    <row r="6363" spans="27:30">
      <c r="AA6363" s="117">
        <f>+'Ingredient List - Mother Tinctu'!D6364</f>
        <v>0</v>
      </c>
      <c r="AB6363" s="117">
        <f t="shared" si="102"/>
        <v>0</v>
      </c>
      <c r="AC6363" s="117" t="str">
        <f>IF(AB6363=1,COUNTIF($AB$3:AB6363,1),"")</f>
        <v/>
      </c>
      <c r="AD6363" s="117" t="str">
        <f>IFERROR(INDEX($AA$3:$AA$10000,MATCH(ROWS($AC$3:AC6363),$AC$3:$AC$10000,0)),"")</f>
        <v/>
      </c>
    </row>
    <row r="6364" spans="27:30">
      <c r="AA6364" s="117">
        <f>+'Ingredient List - Mother Tinctu'!D6365</f>
        <v>0</v>
      </c>
      <c r="AB6364" s="117">
        <f t="shared" si="102"/>
        <v>0</v>
      </c>
      <c r="AC6364" s="117" t="str">
        <f>IF(AB6364=1,COUNTIF($AB$3:AB6364,1),"")</f>
        <v/>
      </c>
      <c r="AD6364" s="117" t="str">
        <f>IFERROR(INDEX($AA$3:$AA$10000,MATCH(ROWS($AC$3:AC6364),$AC$3:$AC$10000,0)),"")</f>
        <v/>
      </c>
    </row>
    <row r="6365" spans="27:30">
      <c r="AA6365" s="117">
        <f>+'Ingredient List - Mother Tinctu'!D6366</f>
        <v>0</v>
      </c>
      <c r="AB6365" s="117">
        <f t="shared" si="102"/>
        <v>0</v>
      </c>
      <c r="AC6365" s="117" t="str">
        <f>IF(AB6365=1,COUNTIF($AB$3:AB6365,1),"")</f>
        <v/>
      </c>
      <c r="AD6365" s="117" t="str">
        <f>IFERROR(INDEX($AA$3:$AA$10000,MATCH(ROWS($AC$3:AC6365),$AC$3:$AC$10000,0)),"")</f>
        <v/>
      </c>
    </row>
    <row r="6366" spans="27:30">
      <c r="AA6366" s="117">
        <f>+'Ingredient List - Mother Tinctu'!D6367</f>
        <v>0</v>
      </c>
      <c r="AB6366" s="117">
        <f t="shared" si="102"/>
        <v>0</v>
      </c>
      <c r="AC6366" s="117" t="str">
        <f>IF(AB6366=1,COUNTIF($AB$3:AB6366,1),"")</f>
        <v/>
      </c>
      <c r="AD6366" s="117" t="str">
        <f>IFERROR(INDEX($AA$3:$AA$10000,MATCH(ROWS($AC$3:AC6366),$AC$3:$AC$10000,0)),"")</f>
        <v/>
      </c>
    </row>
    <row r="6367" spans="27:30">
      <c r="AA6367" s="117">
        <f>+'Ingredient List - Mother Tinctu'!D6368</f>
        <v>0</v>
      </c>
      <c r="AB6367" s="117">
        <f t="shared" si="102"/>
        <v>0</v>
      </c>
      <c r="AC6367" s="117" t="str">
        <f>IF(AB6367=1,COUNTIF($AB$3:AB6367,1),"")</f>
        <v/>
      </c>
      <c r="AD6367" s="117" t="str">
        <f>IFERROR(INDEX($AA$3:$AA$10000,MATCH(ROWS($AC$3:AC6367),$AC$3:$AC$10000,0)),"")</f>
        <v/>
      </c>
    </row>
    <row r="6368" spans="27:30">
      <c r="AA6368" s="117">
        <f>+'Ingredient List - Mother Tinctu'!D6369</f>
        <v>0</v>
      </c>
      <c r="AB6368" s="117">
        <f t="shared" si="102"/>
        <v>0</v>
      </c>
      <c r="AC6368" s="117" t="str">
        <f>IF(AB6368=1,COUNTIF($AB$3:AB6368,1),"")</f>
        <v/>
      </c>
      <c r="AD6368" s="117" t="str">
        <f>IFERROR(INDEX($AA$3:$AA$10000,MATCH(ROWS($AC$3:AC6368),$AC$3:$AC$10000,0)),"")</f>
        <v/>
      </c>
    </row>
    <row r="6369" spans="27:30">
      <c r="AA6369" s="117">
        <f>+'Ingredient List - Mother Tinctu'!D6370</f>
        <v>0</v>
      </c>
      <c r="AB6369" s="117">
        <f t="shared" si="102"/>
        <v>0</v>
      </c>
      <c r="AC6369" s="117" t="str">
        <f>IF(AB6369=1,COUNTIF($AB$3:AB6369,1),"")</f>
        <v/>
      </c>
      <c r="AD6369" s="117" t="str">
        <f>IFERROR(INDEX($AA$3:$AA$10000,MATCH(ROWS($AC$3:AC6369),$AC$3:$AC$10000,0)),"")</f>
        <v/>
      </c>
    </row>
    <row r="6370" spans="27:30">
      <c r="AA6370" s="117">
        <f>+'Ingredient List - Mother Tinctu'!D6371</f>
        <v>0</v>
      </c>
      <c r="AB6370" s="117">
        <f t="shared" si="102"/>
        <v>0</v>
      </c>
      <c r="AC6370" s="117" t="str">
        <f>IF(AB6370=1,COUNTIF($AB$3:AB6370,1),"")</f>
        <v/>
      </c>
      <c r="AD6370" s="117" t="str">
        <f>IFERROR(INDEX($AA$3:$AA$10000,MATCH(ROWS($AC$3:AC6370),$AC$3:$AC$10000,0)),"")</f>
        <v/>
      </c>
    </row>
    <row r="6371" spans="27:30">
      <c r="AA6371" s="117">
        <f>+'Ingredient List - Mother Tinctu'!D6372</f>
        <v>0</v>
      </c>
      <c r="AB6371" s="117">
        <f t="shared" si="102"/>
        <v>0</v>
      </c>
      <c r="AC6371" s="117" t="str">
        <f>IF(AB6371=1,COUNTIF($AB$3:AB6371,1),"")</f>
        <v/>
      </c>
      <c r="AD6371" s="117" t="str">
        <f>IFERROR(INDEX($AA$3:$AA$10000,MATCH(ROWS($AC$3:AC6371),$AC$3:$AC$10000,0)),"")</f>
        <v/>
      </c>
    </row>
    <row r="6372" spans="27:30">
      <c r="AA6372" s="117">
        <f>+'Ingredient List - Mother Tinctu'!D6373</f>
        <v>0</v>
      </c>
      <c r="AB6372" s="117">
        <f t="shared" si="102"/>
        <v>0</v>
      </c>
      <c r="AC6372" s="117" t="str">
        <f>IF(AB6372=1,COUNTIF($AB$3:AB6372,1),"")</f>
        <v/>
      </c>
      <c r="AD6372" s="117" t="str">
        <f>IFERROR(INDEX($AA$3:$AA$10000,MATCH(ROWS($AC$3:AC6372),$AC$3:$AC$10000,0)),"")</f>
        <v/>
      </c>
    </row>
    <row r="6373" spans="27:30">
      <c r="AA6373" s="117">
        <f>+'Ingredient List - Mother Tinctu'!D6374</f>
        <v>0</v>
      </c>
      <c r="AB6373" s="117">
        <f t="shared" si="102"/>
        <v>0</v>
      </c>
      <c r="AC6373" s="117" t="str">
        <f>IF(AB6373=1,COUNTIF($AB$3:AB6373,1),"")</f>
        <v/>
      </c>
      <c r="AD6373" s="117" t="str">
        <f>IFERROR(INDEX($AA$3:$AA$10000,MATCH(ROWS($AC$3:AC6373),$AC$3:$AC$10000,0)),"")</f>
        <v/>
      </c>
    </row>
    <row r="6374" spans="27:30">
      <c r="AA6374" s="117">
        <f>+'Ingredient List - Mother Tinctu'!D6375</f>
        <v>0</v>
      </c>
      <c r="AB6374" s="117">
        <f t="shared" si="102"/>
        <v>0</v>
      </c>
      <c r="AC6374" s="117" t="str">
        <f>IF(AB6374=1,COUNTIF($AB$3:AB6374,1),"")</f>
        <v/>
      </c>
      <c r="AD6374" s="117" t="str">
        <f>IFERROR(INDEX($AA$3:$AA$10000,MATCH(ROWS($AC$3:AC6374),$AC$3:$AC$10000,0)),"")</f>
        <v/>
      </c>
    </row>
    <row r="6375" spans="27:30">
      <c r="AA6375" s="117">
        <f>+'Ingredient List - Mother Tinctu'!D6376</f>
        <v>0</v>
      </c>
      <c r="AB6375" s="117">
        <f t="shared" si="102"/>
        <v>0</v>
      </c>
      <c r="AC6375" s="117" t="str">
        <f>IF(AB6375=1,COUNTIF($AB$3:AB6375,1),"")</f>
        <v/>
      </c>
      <c r="AD6375" s="117" t="str">
        <f>IFERROR(INDEX($AA$3:$AA$10000,MATCH(ROWS($AC$3:AC6375),$AC$3:$AC$10000,0)),"")</f>
        <v/>
      </c>
    </row>
    <row r="6376" spans="27:30">
      <c r="AA6376" s="117">
        <f>+'Ingredient List - Mother Tinctu'!D6377</f>
        <v>0</v>
      </c>
      <c r="AB6376" s="117">
        <f t="shared" si="102"/>
        <v>0</v>
      </c>
      <c r="AC6376" s="117" t="str">
        <f>IF(AB6376=1,COUNTIF($AB$3:AB6376,1),"")</f>
        <v/>
      </c>
      <c r="AD6376" s="117" t="str">
        <f>IFERROR(INDEX($AA$3:$AA$10000,MATCH(ROWS($AC$3:AC6376),$AC$3:$AC$10000,0)),"")</f>
        <v/>
      </c>
    </row>
    <row r="6377" spans="27:30">
      <c r="AA6377" s="117">
        <f>+'Ingredient List - Mother Tinctu'!D6378</f>
        <v>0</v>
      </c>
      <c r="AB6377" s="117">
        <f t="shared" si="102"/>
        <v>0</v>
      </c>
      <c r="AC6377" s="117" t="str">
        <f>IF(AB6377=1,COUNTIF($AB$3:AB6377,1),"")</f>
        <v/>
      </c>
      <c r="AD6377" s="117" t="str">
        <f>IFERROR(INDEX($AA$3:$AA$10000,MATCH(ROWS($AC$3:AC6377),$AC$3:$AC$10000,0)),"")</f>
        <v/>
      </c>
    </row>
    <row r="6378" spans="27:30">
      <c r="AA6378" s="117">
        <f>+'Ingredient List - Mother Tinctu'!D6379</f>
        <v>0</v>
      </c>
      <c r="AB6378" s="117">
        <f t="shared" si="102"/>
        <v>0</v>
      </c>
      <c r="AC6378" s="117" t="str">
        <f>IF(AB6378=1,COUNTIF($AB$3:AB6378,1),"")</f>
        <v/>
      </c>
      <c r="AD6378" s="117" t="str">
        <f>IFERROR(INDEX($AA$3:$AA$10000,MATCH(ROWS($AC$3:AC6378),$AC$3:$AC$10000,0)),"")</f>
        <v/>
      </c>
    </row>
    <row r="6379" spans="27:30">
      <c r="AA6379" s="117">
        <f>+'Ingredient List - Mother Tinctu'!D6380</f>
        <v>0</v>
      </c>
      <c r="AB6379" s="117">
        <f t="shared" si="102"/>
        <v>0</v>
      </c>
      <c r="AC6379" s="117" t="str">
        <f>IF(AB6379=1,COUNTIF($AB$3:AB6379,1),"")</f>
        <v/>
      </c>
      <c r="AD6379" s="117" t="str">
        <f>IFERROR(INDEX($AA$3:$AA$10000,MATCH(ROWS($AC$3:AC6379),$AC$3:$AC$10000,0)),"")</f>
        <v/>
      </c>
    </row>
    <row r="6380" spans="27:30">
      <c r="AA6380" s="117">
        <f>+'Ingredient List - Mother Tinctu'!D6381</f>
        <v>0</v>
      </c>
      <c r="AB6380" s="117">
        <f t="shared" si="102"/>
        <v>0</v>
      </c>
      <c r="AC6380" s="117" t="str">
        <f>IF(AB6380=1,COUNTIF($AB$3:AB6380,1),"")</f>
        <v/>
      </c>
      <c r="AD6380" s="117" t="str">
        <f>IFERROR(INDEX($AA$3:$AA$10000,MATCH(ROWS($AC$3:AC6380),$AC$3:$AC$10000,0)),"")</f>
        <v/>
      </c>
    </row>
    <row r="6381" spans="27:30">
      <c r="AA6381" s="117">
        <f>+'Ingredient List - Mother Tinctu'!D6382</f>
        <v>0</v>
      </c>
      <c r="AB6381" s="117">
        <f t="shared" si="102"/>
        <v>0</v>
      </c>
      <c r="AC6381" s="117" t="str">
        <f>IF(AB6381=1,COUNTIF($AB$3:AB6381,1),"")</f>
        <v/>
      </c>
      <c r="AD6381" s="117" t="str">
        <f>IFERROR(INDEX($AA$3:$AA$10000,MATCH(ROWS($AC$3:AC6381),$AC$3:$AC$10000,0)),"")</f>
        <v/>
      </c>
    </row>
    <row r="6382" spans="27:30">
      <c r="AA6382" s="117">
        <f>+'Ingredient List - Mother Tinctu'!D6383</f>
        <v>0</v>
      </c>
      <c r="AB6382" s="117">
        <f t="shared" si="102"/>
        <v>0</v>
      </c>
      <c r="AC6382" s="117" t="str">
        <f>IF(AB6382=1,COUNTIF($AB$3:AB6382,1),"")</f>
        <v/>
      </c>
      <c r="AD6382" s="117" t="str">
        <f>IFERROR(INDEX($AA$3:$AA$10000,MATCH(ROWS($AC$3:AC6382),$AC$3:$AC$10000,0)),"")</f>
        <v/>
      </c>
    </row>
    <row r="6383" spans="27:30">
      <c r="AA6383" s="117">
        <f>+'Ingredient List - Mother Tinctu'!D6384</f>
        <v>0</v>
      </c>
      <c r="AB6383" s="117">
        <f t="shared" si="102"/>
        <v>0</v>
      </c>
      <c r="AC6383" s="117" t="str">
        <f>IF(AB6383=1,COUNTIF($AB$3:AB6383,1),"")</f>
        <v/>
      </c>
      <c r="AD6383" s="117" t="str">
        <f>IFERROR(INDEX($AA$3:$AA$10000,MATCH(ROWS($AC$3:AC6383),$AC$3:$AC$10000,0)),"")</f>
        <v/>
      </c>
    </row>
    <row r="6384" spans="27:30">
      <c r="AA6384" s="117">
        <f>+'Ingredient List - Mother Tinctu'!D6385</f>
        <v>0</v>
      </c>
      <c r="AB6384" s="117">
        <f t="shared" si="102"/>
        <v>0</v>
      </c>
      <c r="AC6384" s="117" t="str">
        <f>IF(AB6384=1,COUNTIF($AB$3:AB6384,1),"")</f>
        <v/>
      </c>
      <c r="AD6384" s="117" t="str">
        <f>IFERROR(INDEX($AA$3:$AA$10000,MATCH(ROWS($AC$3:AC6384),$AC$3:$AC$10000,0)),"")</f>
        <v/>
      </c>
    </row>
    <row r="6385" spans="27:30">
      <c r="AA6385" s="117">
        <f>+'Ingredient List - Mother Tinctu'!D6386</f>
        <v>0</v>
      </c>
      <c r="AB6385" s="117">
        <f t="shared" si="102"/>
        <v>0</v>
      </c>
      <c r="AC6385" s="117" t="str">
        <f>IF(AB6385=1,COUNTIF($AB$3:AB6385,1),"")</f>
        <v/>
      </c>
      <c r="AD6385" s="117" t="str">
        <f>IFERROR(INDEX($AA$3:$AA$10000,MATCH(ROWS($AC$3:AC6385),$AC$3:$AC$10000,0)),"")</f>
        <v/>
      </c>
    </row>
    <row r="6386" spans="27:30">
      <c r="AA6386" s="117">
        <f>+'Ingredient List - Mother Tinctu'!D6387</f>
        <v>0</v>
      </c>
      <c r="AB6386" s="117">
        <f t="shared" si="102"/>
        <v>0</v>
      </c>
      <c r="AC6386" s="117" t="str">
        <f>IF(AB6386=1,COUNTIF($AB$3:AB6386,1),"")</f>
        <v/>
      </c>
      <c r="AD6386" s="117" t="str">
        <f>IFERROR(INDEX($AA$3:$AA$10000,MATCH(ROWS($AC$3:AC6386),$AC$3:$AC$10000,0)),"")</f>
        <v/>
      </c>
    </row>
    <row r="6387" spans="27:30">
      <c r="AA6387" s="117">
        <f>+'Ingredient List - Mother Tinctu'!D6388</f>
        <v>0</v>
      </c>
      <c r="AB6387" s="117">
        <f t="shared" si="102"/>
        <v>0</v>
      </c>
      <c r="AC6387" s="117" t="str">
        <f>IF(AB6387=1,COUNTIF($AB$3:AB6387,1),"")</f>
        <v/>
      </c>
      <c r="AD6387" s="117" t="str">
        <f>IFERROR(INDEX($AA$3:$AA$10000,MATCH(ROWS($AC$3:AC6387),$AC$3:$AC$10000,0)),"")</f>
        <v/>
      </c>
    </row>
    <row r="6388" spans="27:30">
      <c r="AA6388" s="117">
        <f>+'Ingredient List - Mother Tinctu'!D6389</f>
        <v>0</v>
      </c>
      <c r="AB6388" s="117">
        <f t="shared" si="102"/>
        <v>0</v>
      </c>
      <c r="AC6388" s="117" t="str">
        <f>IF(AB6388=1,COUNTIF($AB$3:AB6388,1),"")</f>
        <v/>
      </c>
      <c r="AD6388" s="117" t="str">
        <f>IFERROR(INDEX($AA$3:$AA$10000,MATCH(ROWS($AC$3:AC6388),$AC$3:$AC$10000,0)),"")</f>
        <v/>
      </c>
    </row>
    <row r="6389" spans="27:30">
      <c r="AA6389" s="117">
        <f>+'Ingredient List - Mother Tinctu'!D6390</f>
        <v>0</v>
      </c>
      <c r="AB6389" s="117">
        <f t="shared" si="102"/>
        <v>0</v>
      </c>
      <c r="AC6389" s="117" t="str">
        <f>IF(AB6389=1,COUNTIF($AB$3:AB6389,1),"")</f>
        <v/>
      </c>
      <c r="AD6389" s="117" t="str">
        <f>IFERROR(INDEX($AA$3:$AA$10000,MATCH(ROWS($AC$3:AC6389),$AC$3:$AC$10000,0)),"")</f>
        <v/>
      </c>
    </row>
    <row r="6390" spans="27:30">
      <c r="AA6390" s="117">
        <f>+'Ingredient List - Mother Tinctu'!D6391</f>
        <v>0</v>
      </c>
      <c r="AB6390" s="117">
        <f t="shared" si="102"/>
        <v>0</v>
      </c>
      <c r="AC6390" s="117" t="str">
        <f>IF(AB6390=1,COUNTIF($AB$3:AB6390,1),"")</f>
        <v/>
      </c>
      <c r="AD6390" s="117" t="str">
        <f>IFERROR(INDEX($AA$3:$AA$10000,MATCH(ROWS($AC$3:AC6390),$AC$3:$AC$10000,0)),"")</f>
        <v/>
      </c>
    </row>
    <row r="6391" spans="27:30">
      <c r="AA6391" s="117">
        <f>+'Ingredient List - Mother Tinctu'!D6392</f>
        <v>0</v>
      </c>
      <c r="AB6391" s="117">
        <f t="shared" si="102"/>
        <v>0</v>
      </c>
      <c r="AC6391" s="117" t="str">
        <f>IF(AB6391=1,COUNTIF($AB$3:AB6391,1),"")</f>
        <v/>
      </c>
      <c r="AD6391" s="117" t="str">
        <f>IFERROR(INDEX($AA$3:$AA$10000,MATCH(ROWS($AC$3:AC6391),$AC$3:$AC$10000,0)),"")</f>
        <v/>
      </c>
    </row>
    <row r="6392" spans="27:30">
      <c r="AA6392" s="117">
        <f>+'Ingredient List - Mother Tinctu'!D6393</f>
        <v>0</v>
      </c>
      <c r="AB6392" s="117">
        <f t="shared" si="102"/>
        <v>0</v>
      </c>
      <c r="AC6392" s="117" t="str">
        <f>IF(AB6392=1,COUNTIF($AB$3:AB6392,1),"")</f>
        <v/>
      </c>
      <c r="AD6392" s="117" t="str">
        <f>IFERROR(INDEX($AA$3:$AA$10000,MATCH(ROWS($AC$3:AC6392),$AC$3:$AC$10000,0)),"")</f>
        <v/>
      </c>
    </row>
    <row r="6393" spans="27:30">
      <c r="AA6393" s="117">
        <f>+'Ingredient List - Mother Tinctu'!D6394</f>
        <v>0</v>
      </c>
      <c r="AB6393" s="117">
        <f t="shared" si="102"/>
        <v>0</v>
      </c>
      <c r="AC6393" s="117" t="str">
        <f>IF(AB6393=1,COUNTIF($AB$3:AB6393,1),"")</f>
        <v/>
      </c>
      <c r="AD6393" s="117" t="str">
        <f>IFERROR(INDEX($AA$3:$AA$10000,MATCH(ROWS($AC$3:AC6393),$AC$3:$AC$10000,0)),"")</f>
        <v/>
      </c>
    </row>
    <row r="6394" spans="27:30">
      <c r="AA6394" s="117">
        <f>+'Ingredient List - Mother Tinctu'!D6395</f>
        <v>0</v>
      </c>
      <c r="AB6394" s="117">
        <f t="shared" si="102"/>
        <v>0</v>
      </c>
      <c r="AC6394" s="117" t="str">
        <f>IF(AB6394=1,COUNTIF($AB$3:AB6394,1),"")</f>
        <v/>
      </c>
      <c r="AD6394" s="117" t="str">
        <f>IFERROR(INDEX($AA$3:$AA$10000,MATCH(ROWS($AC$3:AC6394),$AC$3:$AC$10000,0)),"")</f>
        <v/>
      </c>
    </row>
    <row r="6395" spans="27:30">
      <c r="AA6395" s="117">
        <f>+'Ingredient List - Mother Tinctu'!D6396</f>
        <v>0</v>
      </c>
      <c r="AB6395" s="117">
        <f t="shared" si="102"/>
        <v>0</v>
      </c>
      <c r="AC6395" s="117" t="str">
        <f>IF(AB6395=1,COUNTIF($AB$3:AB6395,1),"")</f>
        <v/>
      </c>
      <c r="AD6395" s="117" t="str">
        <f>IFERROR(INDEX($AA$3:$AA$10000,MATCH(ROWS($AC$3:AC6395),$AC$3:$AC$10000,0)),"")</f>
        <v/>
      </c>
    </row>
    <row r="6396" spans="27:30">
      <c r="AA6396" s="117">
        <f>+'Ingredient List - Mother Tinctu'!D6397</f>
        <v>0</v>
      </c>
      <c r="AB6396" s="117">
        <f t="shared" si="102"/>
        <v>0</v>
      </c>
      <c r="AC6396" s="117" t="str">
        <f>IF(AB6396=1,COUNTIF($AB$3:AB6396,1),"")</f>
        <v/>
      </c>
      <c r="AD6396" s="117" t="str">
        <f>IFERROR(INDEX($AA$3:$AA$10000,MATCH(ROWS($AC$3:AC6396),$AC$3:$AC$10000,0)),"")</f>
        <v/>
      </c>
    </row>
    <row r="6397" spans="27:30">
      <c r="AA6397" s="117">
        <f>+'Ingredient List - Mother Tinctu'!D6398</f>
        <v>0</v>
      </c>
      <c r="AB6397" s="117">
        <f t="shared" si="102"/>
        <v>0</v>
      </c>
      <c r="AC6397" s="117" t="str">
        <f>IF(AB6397=1,COUNTIF($AB$3:AB6397,1),"")</f>
        <v/>
      </c>
      <c r="AD6397" s="117" t="str">
        <f>IFERROR(INDEX($AA$3:$AA$10000,MATCH(ROWS($AC$3:AC6397),$AC$3:$AC$10000,0)),"")</f>
        <v/>
      </c>
    </row>
    <row r="6398" spans="27:30">
      <c r="AA6398" s="117">
        <f>+'Ingredient List - Mother Tinctu'!D6399</f>
        <v>0</v>
      </c>
      <c r="AB6398" s="117">
        <f t="shared" si="102"/>
        <v>0</v>
      </c>
      <c r="AC6398" s="117" t="str">
        <f>IF(AB6398=1,COUNTIF($AB$3:AB6398,1),"")</f>
        <v/>
      </c>
      <c r="AD6398" s="117" t="str">
        <f>IFERROR(INDEX($AA$3:$AA$10000,MATCH(ROWS($AC$3:AC6398),$AC$3:$AC$10000,0)),"")</f>
        <v/>
      </c>
    </row>
    <row r="6399" spans="27:30">
      <c r="AA6399" s="117">
        <f>+'Ingredient List - Mother Tinctu'!D6400</f>
        <v>0</v>
      </c>
      <c r="AB6399" s="117">
        <f t="shared" si="102"/>
        <v>0</v>
      </c>
      <c r="AC6399" s="117" t="str">
        <f>IF(AB6399=1,COUNTIF($AB$3:AB6399,1),"")</f>
        <v/>
      </c>
      <c r="AD6399" s="117" t="str">
        <f>IFERROR(INDEX($AA$3:$AA$10000,MATCH(ROWS($AC$3:AC6399),$AC$3:$AC$10000,0)),"")</f>
        <v/>
      </c>
    </row>
    <row r="6400" spans="27:30">
      <c r="AA6400" s="117">
        <f>+'Ingredient List - Mother Tinctu'!D6401</f>
        <v>0</v>
      </c>
      <c r="AB6400" s="117">
        <f t="shared" si="102"/>
        <v>0</v>
      </c>
      <c r="AC6400" s="117" t="str">
        <f>IF(AB6400=1,COUNTIF($AB$3:AB6400,1),"")</f>
        <v/>
      </c>
      <c r="AD6400" s="117" t="str">
        <f>IFERROR(INDEX($AA$3:$AA$10000,MATCH(ROWS($AC$3:AC6400),$AC$3:$AC$10000,0)),"")</f>
        <v/>
      </c>
    </row>
    <row r="6401" spans="27:30">
      <c r="AA6401" s="117">
        <f>+'Ingredient List - Mother Tinctu'!D6402</f>
        <v>0</v>
      </c>
      <c r="AB6401" s="117">
        <f t="shared" si="102"/>
        <v>0</v>
      </c>
      <c r="AC6401" s="117" t="str">
        <f>IF(AB6401=1,COUNTIF($AB$3:AB6401,1),"")</f>
        <v/>
      </c>
      <c r="AD6401" s="117" t="str">
        <f>IFERROR(INDEX($AA$3:$AA$10000,MATCH(ROWS($AC$3:AC6401),$AC$3:$AC$10000,0)),"")</f>
        <v/>
      </c>
    </row>
    <row r="6402" spans="27:30">
      <c r="AA6402" s="117">
        <f>+'Ingredient List - Mother Tinctu'!D6403</f>
        <v>0</v>
      </c>
      <c r="AB6402" s="117">
        <f t="shared" si="102"/>
        <v>0</v>
      </c>
      <c r="AC6402" s="117" t="str">
        <f>IF(AB6402=1,COUNTIF($AB$3:AB6402,1),"")</f>
        <v/>
      </c>
      <c r="AD6402" s="117" t="str">
        <f>IFERROR(INDEX($AA$3:$AA$10000,MATCH(ROWS($AC$3:AC6402),$AC$3:$AC$10000,0)),"")</f>
        <v/>
      </c>
    </row>
    <row r="6403" spans="27:30">
      <c r="AA6403" s="117">
        <f>+'Ingredient List - Mother Tinctu'!D6404</f>
        <v>0</v>
      </c>
      <c r="AB6403" s="117">
        <f t="shared" si="102"/>
        <v>0</v>
      </c>
      <c r="AC6403" s="117" t="str">
        <f>IF(AB6403=1,COUNTIF($AB$3:AB6403,1),"")</f>
        <v/>
      </c>
      <c r="AD6403" s="117" t="str">
        <f>IFERROR(INDEX($AA$3:$AA$10000,MATCH(ROWS($AC$3:AC6403),$AC$3:$AC$10000,0)),"")</f>
        <v/>
      </c>
    </row>
    <row r="6404" spans="27:30">
      <c r="AA6404" s="117">
        <f>+'Ingredient List - Mother Tinctu'!D6405</f>
        <v>0</v>
      </c>
      <c r="AB6404" s="117">
        <f t="shared" ref="AB6404:AB6467" si="103">--ISNUMBER(IFERROR(SEARCH($D$3,AA6404,1),""))</f>
        <v>0</v>
      </c>
      <c r="AC6404" s="117" t="str">
        <f>IF(AB6404=1,COUNTIF($AB$3:AB6404,1),"")</f>
        <v/>
      </c>
      <c r="AD6404" s="117" t="str">
        <f>IFERROR(INDEX($AA$3:$AA$10000,MATCH(ROWS($AC$3:AC6404),$AC$3:$AC$10000,0)),"")</f>
        <v/>
      </c>
    </row>
    <row r="6405" spans="27:30">
      <c r="AA6405" s="117">
        <f>+'Ingredient List - Mother Tinctu'!D6406</f>
        <v>0</v>
      </c>
      <c r="AB6405" s="117">
        <f t="shared" si="103"/>
        <v>0</v>
      </c>
      <c r="AC6405" s="117" t="str">
        <f>IF(AB6405=1,COUNTIF($AB$3:AB6405,1),"")</f>
        <v/>
      </c>
      <c r="AD6405" s="117" t="str">
        <f>IFERROR(INDEX($AA$3:$AA$10000,MATCH(ROWS($AC$3:AC6405),$AC$3:$AC$10000,0)),"")</f>
        <v/>
      </c>
    </row>
    <row r="6406" spans="27:30">
      <c r="AA6406" s="117">
        <f>+'Ingredient List - Mother Tinctu'!D6407</f>
        <v>0</v>
      </c>
      <c r="AB6406" s="117">
        <f t="shared" si="103"/>
        <v>0</v>
      </c>
      <c r="AC6406" s="117" t="str">
        <f>IF(AB6406=1,COUNTIF($AB$3:AB6406,1),"")</f>
        <v/>
      </c>
      <c r="AD6406" s="117" t="str">
        <f>IFERROR(INDEX($AA$3:$AA$10000,MATCH(ROWS($AC$3:AC6406),$AC$3:$AC$10000,0)),"")</f>
        <v/>
      </c>
    </row>
    <row r="6407" spans="27:30">
      <c r="AA6407" s="117">
        <f>+'Ingredient List - Mother Tinctu'!D6408</f>
        <v>0</v>
      </c>
      <c r="AB6407" s="117">
        <f t="shared" si="103"/>
        <v>0</v>
      </c>
      <c r="AC6407" s="117" t="str">
        <f>IF(AB6407=1,COUNTIF($AB$3:AB6407,1),"")</f>
        <v/>
      </c>
      <c r="AD6407" s="117" t="str">
        <f>IFERROR(INDEX($AA$3:$AA$10000,MATCH(ROWS($AC$3:AC6407),$AC$3:$AC$10000,0)),"")</f>
        <v/>
      </c>
    </row>
    <row r="6408" spans="27:30">
      <c r="AA6408" s="117">
        <f>+'Ingredient List - Mother Tinctu'!D6409</f>
        <v>0</v>
      </c>
      <c r="AB6408" s="117">
        <f t="shared" si="103"/>
        <v>0</v>
      </c>
      <c r="AC6408" s="117" t="str">
        <f>IF(AB6408=1,COUNTIF($AB$3:AB6408,1),"")</f>
        <v/>
      </c>
      <c r="AD6408" s="117" t="str">
        <f>IFERROR(INDEX($AA$3:$AA$10000,MATCH(ROWS($AC$3:AC6408),$AC$3:$AC$10000,0)),"")</f>
        <v/>
      </c>
    </row>
    <row r="6409" spans="27:30">
      <c r="AA6409" s="117">
        <f>+'Ingredient List - Mother Tinctu'!D6410</f>
        <v>0</v>
      </c>
      <c r="AB6409" s="117">
        <f t="shared" si="103"/>
        <v>0</v>
      </c>
      <c r="AC6409" s="117" t="str">
        <f>IF(AB6409=1,COUNTIF($AB$3:AB6409,1),"")</f>
        <v/>
      </c>
      <c r="AD6409" s="117" t="str">
        <f>IFERROR(INDEX($AA$3:$AA$10000,MATCH(ROWS($AC$3:AC6409),$AC$3:$AC$10000,0)),"")</f>
        <v/>
      </c>
    </row>
    <row r="6410" spans="27:30">
      <c r="AA6410" s="117">
        <f>+'Ingredient List - Mother Tinctu'!D6411</f>
        <v>0</v>
      </c>
      <c r="AB6410" s="117">
        <f t="shared" si="103"/>
        <v>0</v>
      </c>
      <c r="AC6410" s="117" t="str">
        <f>IF(AB6410=1,COUNTIF($AB$3:AB6410,1),"")</f>
        <v/>
      </c>
      <c r="AD6410" s="117" t="str">
        <f>IFERROR(INDEX($AA$3:$AA$10000,MATCH(ROWS($AC$3:AC6410),$AC$3:$AC$10000,0)),"")</f>
        <v/>
      </c>
    </row>
    <row r="6411" spans="27:30">
      <c r="AA6411" s="117">
        <f>+'Ingredient List - Mother Tinctu'!D6412</f>
        <v>0</v>
      </c>
      <c r="AB6411" s="117">
        <f t="shared" si="103"/>
        <v>0</v>
      </c>
      <c r="AC6411" s="117" t="str">
        <f>IF(AB6411=1,COUNTIF($AB$3:AB6411,1),"")</f>
        <v/>
      </c>
      <c r="AD6411" s="117" t="str">
        <f>IFERROR(INDEX($AA$3:$AA$10000,MATCH(ROWS($AC$3:AC6411),$AC$3:$AC$10000,0)),"")</f>
        <v/>
      </c>
    </row>
    <row r="6412" spans="27:30">
      <c r="AA6412" s="117">
        <f>+'Ingredient List - Mother Tinctu'!D6413</f>
        <v>0</v>
      </c>
      <c r="AB6412" s="117">
        <f t="shared" si="103"/>
        <v>0</v>
      </c>
      <c r="AC6412" s="117" t="str">
        <f>IF(AB6412=1,COUNTIF($AB$3:AB6412,1),"")</f>
        <v/>
      </c>
      <c r="AD6412" s="117" t="str">
        <f>IFERROR(INDEX($AA$3:$AA$10000,MATCH(ROWS($AC$3:AC6412),$AC$3:$AC$10000,0)),"")</f>
        <v/>
      </c>
    </row>
    <row r="6413" spans="27:30">
      <c r="AA6413" s="117">
        <f>+'Ingredient List - Mother Tinctu'!D6414</f>
        <v>0</v>
      </c>
      <c r="AB6413" s="117">
        <f t="shared" si="103"/>
        <v>0</v>
      </c>
      <c r="AC6413" s="117" t="str">
        <f>IF(AB6413=1,COUNTIF($AB$3:AB6413,1),"")</f>
        <v/>
      </c>
      <c r="AD6413" s="117" t="str">
        <f>IFERROR(INDEX($AA$3:$AA$10000,MATCH(ROWS($AC$3:AC6413),$AC$3:$AC$10000,0)),"")</f>
        <v/>
      </c>
    </row>
    <row r="6414" spans="27:30">
      <c r="AA6414" s="117">
        <f>+'Ingredient List - Mother Tinctu'!D6415</f>
        <v>0</v>
      </c>
      <c r="AB6414" s="117">
        <f t="shared" si="103"/>
        <v>0</v>
      </c>
      <c r="AC6414" s="117" t="str">
        <f>IF(AB6414=1,COUNTIF($AB$3:AB6414,1),"")</f>
        <v/>
      </c>
      <c r="AD6414" s="117" t="str">
        <f>IFERROR(INDEX($AA$3:$AA$10000,MATCH(ROWS($AC$3:AC6414),$AC$3:$AC$10000,0)),"")</f>
        <v/>
      </c>
    </row>
    <row r="6415" spans="27:30">
      <c r="AA6415" s="117">
        <f>+'Ingredient List - Mother Tinctu'!D6416</f>
        <v>0</v>
      </c>
      <c r="AB6415" s="117">
        <f t="shared" si="103"/>
        <v>0</v>
      </c>
      <c r="AC6415" s="117" t="str">
        <f>IF(AB6415=1,COUNTIF($AB$3:AB6415,1),"")</f>
        <v/>
      </c>
      <c r="AD6415" s="117" t="str">
        <f>IFERROR(INDEX($AA$3:$AA$10000,MATCH(ROWS($AC$3:AC6415),$AC$3:$AC$10000,0)),"")</f>
        <v/>
      </c>
    </row>
    <row r="6416" spans="27:30">
      <c r="AA6416" s="117">
        <f>+'Ingredient List - Mother Tinctu'!D6417</f>
        <v>0</v>
      </c>
      <c r="AB6416" s="117">
        <f t="shared" si="103"/>
        <v>0</v>
      </c>
      <c r="AC6416" s="117" t="str">
        <f>IF(AB6416=1,COUNTIF($AB$3:AB6416,1),"")</f>
        <v/>
      </c>
      <c r="AD6416" s="117" t="str">
        <f>IFERROR(INDEX($AA$3:$AA$10000,MATCH(ROWS($AC$3:AC6416),$AC$3:$AC$10000,0)),"")</f>
        <v/>
      </c>
    </row>
    <row r="6417" spans="27:30">
      <c r="AA6417" s="117">
        <f>+'Ingredient List - Mother Tinctu'!D6418</f>
        <v>0</v>
      </c>
      <c r="AB6417" s="117">
        <f t="shared" si="103"/>
        <v>0</v>
      </c>
      <c r="AC6417" s="117" t="str">
        <f>IF(AB6417=1,COUNTIF($AB$3:AB6417,1),"")</f>
        <v/>
      </c>
      <c r="AD6417" s="117" t="str">
        <f>IFERROR(INDEX($AA$3:$AA$10000,MATCH(ROWS($AC$3:AC6417),$AC$3:$AC$10000,0)),"")</f>
        <v/>
      </c>
    </row>
    <row r="6418" spans="27:30">
      <c r="AA6418" s="117">
        <f>+'Ingredient List - Mother Tinctu'!D6419</f>
        <v>0</v>
      </c>
      <c r="AB6418" s="117">
        <f t="shared" si="103"/>
        <v>0</v>
      </c>
      <c r="AC6418" s="117" t="str">
        <f>IF(AB6418=1,COUNTIF($AB$3:AB6418,1),"")</f>
        <v/>
      </c>
      <c r="AD6418" s="117" t="str">
        <f>IFERROR(INDEX($AA$3:$AA$10000,MATCH(ROWS($AC$3:AC6418),$AC$3:$AC$10000,0)),"")</f>
        <v/>
      </c>
    </row>
    <row r="6419" spans="27:30">
      <c r="AA6419" s="117">
        <f>+'Ingredient List - Mother Tinctu'!D6420</f>
        <v>0</v>
      </c>
      <c r="AB6419" s="117">
        <f t="shared" si="103"/>
        <v>0</v>
      </c>
      <c r="AC6419" s="117" t="str">
        <f>IF(AB6419=1,COUNTIF($AB$3:AB6419,1),"")</f>
        <v/>
      </c>
      <c r="AD6419" s="117" t="str">
        <f>IFERROR(INDEX($AA$3:$AA$10000,MATCH(ROWS($AC$3:AC6419),$AC$3:$AC$10000,0)),"")</f>
        <v/>
      </c>
    </row>
    <row r="6420" spans="27:30">
      <c r="AA6420" s="117">
        <f>+'Ingredient List - Mother Tinctu'!D6421</f>
        <v>0</v>
      </c>
      <c r="AB6420" s="117">
        <f t="shared" si="103"/>
        <v>0</v>
      </c>
      <c r="AC6420" s="117" t="str">
        <f>IF(AB6420=1,COUNTIF($AB$3:AB6420,1),"")</f>
        <v/>
      </c>
      <c r="AD6420" s="117" t="str">
        <f>IFERROR(INDEX($AA$3:$AA$10000,MATCH(ROWS($AC$3:AC6420),$AC$3:$AC$10000,0)),"")</f>
        <v/>
      </c>
    </row>
    <row r="6421" spans="27:30">
      <c r="AA6421" s="117">
        <f>+'Ingredient List - Mother Tinctu'!D6422</f>
        <v>0</v>
      </c>
      <c r="AB6421" s="117">
        <f t="shared" si="103"/>
        <v>0</v>
      </c>
      <c r="AC6421" s="117" t="str">
        <f>IF(AB6421=1,COUNTIF($AB$3:AB6421,1),"")</f>
        <v/>
      </c>
      <c r="AD6421" s="117" t="str">
        <f>IFERROR(INDEX($AA$3:$AA$10000,MATCH(ROWS($AC$3:AC6421),$AC$3:$AC$10000,0)),"")</f>
        <v/>
      </c>
    </row>
    <row r="6422" spans="27:30">
      <c r="AA6422" s="117">
        <f>+'Ingredient List - Mother Tinctu'!D6423</f>
        <v>0</v>
      </c>
      <c r="AB6422" s="117">
        <f t="shared" si="103"/>
        <v>0</v>
      </c>
      <c r="AC6422" s="117" t="str">
        <f>IF(AB6422=1,COUNTIF($AB$3:AB6422,1),"")</f>
        <v/>
      </c>
      <c r="AD6422" s="117" t="str">
        <f>IFERROR(INDEX($AA$3:$AA$10000,MATCH(ROWS($AC$3:AC6422),$AC$3:$AC$10000,0)),"")</f>
        <v/>
      </c>
    </row>
    <row r="6423" spans="27:30">
      <c r="AA6423" s="117">
        <f>+'Ingredient List - Mother Tinctu'!D6424</f>
        <v>0</v>
      </c>
      <c r="AB6423" s="117">
        <f t="shared" si="103"/>
        <v>0</v>
      </c>
      <c r="AC6423" s="117" t="str">
        <f>IF(AB6423=1,COUNTIF($AB$3:AB6423,1),"")</f>
        <v/>
      </c>
      <c r="AD6423" s="117" t="str">
        <f>IFERROR(INDEX($AA$3:$AA$10000,MATCH(ROWS($AC$3:AC6423),$AC$3:$AC$10000,0)),"")</f>
        <v/>
      </c>
    </row>
    <row r="6424" spans="27:30">
      <c r="AA6424" s="117">
        <f>+'Ingredient List - Mother Tinctu'!D6425</f>
        <v>0</v>
      </c>
      <c r="AB6424" s="117">
        <f t="shared" si="103"/>
        <v>0</v>
      </c>
      <c r="AC6424" s="117" t="str">
        <f>IF(AB6424=1,COUNTIF($AB$3:AB6424,1),"")</f>
        <v/>
      </c>
      <c r="AD6424" s="117" t="str">
        <f>IFERROR(INDEX($AA$3:$AA$10000,MATCH(ROWS($AC$3:AC6424),$AC$3:$AC$10000,0)),"")</f>
        <v/>
      </c>
    </row>
    <row r="6425" spans="27:30">
      <c r="AA6425" s="117">
        <f>+'Ingredient List - Mother Tinctu'!D6426</f>
        <v>0</v>
      </c>
      <c r="AB6425" s="117">
        <f t="shared" si="103"/>
        <v>0</v>
      </c>
      <c r="AC6425" s="117" t="str">
        <f>IF(AB6425=1,COUNTIF($AB$3:AB6425,1),"")</f>
        <v/>
      </c>
      <c r="AD6425" s="117" t="str">
        <f>IFERROR(INDEX($AA$3:$AA$10000,MATCH(ROWS($AC$3:AC6425),$AC$3:$AC$10000,0)),"")</f>
        <v/>
      </c>
    </row>
    <row r="6426" spans="27:30">
      <c r="AA6426" s="117">
        <f>+'Ingredient List - Mother Tinctu'!D6427</f>
        <v>0</v>
      </c>
      <c r="AB6426" s="117">
        <f t="shared" si="103"/>
        <v>0</v>
      </c>
      <c r="AC6426" s="117" t="str">
        <f>IF(AB6426=1,COUNTIF($AB$3:AB6426,1),"")</f>
        <v/>
      </c>
      <c r="AD6426" s="117" t="str">
        <f>IFERROR(INDEX($AA$3:$AA$10000,MATCH(ROWS($AC$3:AC6426),$AC$3:$AC$10000,0)),"")</f>
        <v/>
      </c>
    </row>
    <row r="6427" spans="27:30">
      <c r="AA6427" s="117">
        <f>+'Ingredient List - Mother Tinctu'!D6428</f>
        <v>0</v>
      </c>
      <c r="AB6427" s="117">
        <f t="shared" si="103"/>
        <v>0</v>
      </c>
      <c r="AC6427" s="117" t="str">
        <f>IF(AB6427=1,COUNTIF($AB$3:AB6427,1),"")</f>
        <v/>
      </c>
      <c r="AD6427" s="117" t="str">
        <f>IFERROR(INDEX($AA$3:$AA$10000,MATCH(ROWS($AC$3:AC6427),$AC$3:$AC$10000,0)),"")</f>
        <v/>
      </c>
    </row>
    <row r="6428" spans="27:30">
      <c r="AA6428" s="117">
        <f>+'Ingredient List - Mother Tinctu'!D6429</f>
        <v>0</v>
      </c>
      <c r="AB6428" s="117">
        <f t="shared" si="103"/>
        <v>0</v>
      </c>
      <c r="AC6428" s="117" t="str">
        <f>IF(AB6428=1,COUNTIF($AB$3:AB6428,1),"")</f>
        <v/>
      </c>
      <c r="AD6428" s="117" t="str">
        <f>IFERROR(INDEX($AA$3:$AA$10000,MATCH(ROWS($AC$3:AC6428),$AC$3:$AC$10000,0)),"")</f>
        <v/>
      </c>
    </row>
    <row r="6429" spans="27:30">
      <c r="AA6429" s="117">
        <f>+'Ingredient List - Mother Tinctu'!D6430</f>
        <v>0</v>
      </c>
      <c r="AB6429" s="117">
        <f t="shared" si="103"/>
        <v>0</v>
      </c>
      <c r="AC6429" s="117" t="str">
        <f>IF(AB6429=1,COUNTIF($AB$3:AB6429,1),"")</f>
        <v/>
      </c>
      <c r="AD6429" s="117" t="str">
        <f>IFERROR(INDEX($AA$3:$AA$10000,MATCH(ROWS($AC$3:AC6429),$AC$3:$AC$10000,0)),"")</f>
        <v/>
      </c>
    </row>
    <row r="6430" spans="27:30">
      <c r="AA6430" s="117">
        <f>+'Ingredient List - Mother Tinctu'!D6431</f>
        <v>0</v>
      </c>
      <c r="AB6430" s="117">
        <f t="shared" si="103"/>
        <v>0</v>
      </c>
      <c r="AC6430" s="117" t="str">
        <f>IF(AB6430=1,COUNTIF($AB$3:AB6430,1),"")</f>
        <v/>
      </c>
      <c r="AD6430" s="117" t="str">
        <f>IFERROR(INDEX($AA$3:$AA$10000,MATCH(ROWS($AC$3:AC6430),$AC$3:$AC$10000,0)),"")</f>
        <v/>
      </c>
    </row>
    <row r="6431" spans="27:30">
      <c r="AA6431" s="117">
        <f>+'Ingredient List - Mother Tinctu'!D6432</f>
        <v>0</v>
      </c>
      <c r="AB6431" s="117">
        <f t="shared" si="103"/>
        <v>0</v>
      </c>
      <c r="AC6431" s="117" t="str">
        <f>IF(AB6431=1,COUNTIF($AB$3:AB6431,1),"")</f>
        <v/>
      </c>
      <c r="AD6431" s="117" t="str">
        <f>IFERROR(INDEX($AA$3:$AA$10000,MATCH(ROWS($AC$3:AC6431),$AC$3:$AC$10000,0)),"")</f>
        <v/>
      </c>
    </row>
    <row r="6432" spans="27:30">
      <c r="AA6432" s="117">
        <f>+'Ingredient List - Mother Tinctu'!D6433</f>
        <v>0</v>
      </c>
      <c r="AB6432" s="117">
        <f t="shared" si="103"/>
        <v>0</v>
      </c>
      <c r="AC6432" s="117" t="str">
        <f>IF(AB6432=1,COUNTIF($AB$3:AB6432,1),"")</f>
        <v/>
      </c>
      <c r="AD6432" s="117" t="str">
        <f>IFERROR(INDEX($AA$3:$AA$10000,MATCH(ROWS($AC$3:AC6432),$AC$3:$AC$10000,0)),"")</f>
        <v/>
      </c>
    </row>
    <row r="6433" spans="27:30">
      <c r="AA6433" s="117">
        <f>+'Ingredient List - Mother Tinctu'!D6434</f>
        <v>0</v>
      </c>
      <c r="AB6433" s="117">
        <f t="shared" si="103"/>
        <v>0</v>
      </c>
      <c r="AC6433" s="117" t="str">
        <f>IF(AB6433=1,COUNTIF($AB$3:AB6433,1),"")</f>
        <v/>
      </c>
      <c r="AD6433" s="117" t="str">
        <f>IFERROR(INDEX($AA$3:$AA$10000,MATCH(ROWS($AC$3:AC6433),$AC$3:$AC$10000,0)),"")</f>
        <v/>
      </c>
    </row>
    <row r="6434" spans="27:30">
      <c r="AA6434" s="117">
        <f>+'Ingredient List - Mother Tinctu'!D6435</f>
        <v>0</v>
      </c>
      <c r="AB6434" s="117">
        <f t="shared" si="103"/>
        <v>0</v>
      </c>
      <c r="AC6434" s="117" t="str">
        <f>IF(AB6434=1,COUNTIF($AB$3:AB6434,1),"")</f>
        <v/>
      </c>
      <c r="AD6434" s="117" t="str">
        <f>IFERROR(INDEX($AA$3:$AA$10000,MATCH(ROWS($AC$3:AC6434),$AC$3:$AC$10000,0)),"")</f>
        <v/>
      </c>
    </row>
    <row r="6435" spans="27:30">
      <c r="AA6435" s="117">
        <f>+'Ingredient List - Mother Tinctu'!D6436</f>
        <v>0</v>
      </c>
      <c r="AB6435" s="117">
        <f t="shared" si="103"/>
        <v>0</v>
      </c>
      <c r="AC6435" s="117" t="str">
        <f>IF(AB6435=1,COUNTIF($AB$3:AB6435,1),"")</f>
        <v/>
      </c>
      <c r="AD6435" s="117" t="str">
        <f>IFERROR(INDEX($AA$3:$AA$10000,MATCH(ROWS($AC$3:AC6435),$AC$3:$AC$10000,0)),"")</f>
        <v/>
      </c>
    </row>
    <row r="6436" spans="27:30">
      <c r="AA6436" s="117">
        <f>+'Ingredient List - Mother Tinctu'!D6437</f>
        <v>0</v>
      </c>
      <c r="AB6436" s="117">
        <f t="shared" si="103"/>
        <v>0</v>
      </c>
      <c r="AC6436" s="117" t="str">
        <f>IF(AB6436=1,COUNTIF($AB$3:AB6436,1),"")</f>
        <v/>
      </c>
      <c r="AD6436" s="117" t="str">
        <f>IFERROR(INDEX($AA$3:$AA$10000,MATCH(ROWS($AC$3:AC6436),$AC$3:$AC$10000,0)),"")</f>
        <v/>
      </c>
    </row>
    <row r="6437" spans="27:30">
      <c r="AA6437" s="117">
        <f>+'Ingredient List - Mother Tinctu'!D6438</f>
        <v>0</v>
      </c>
      <c r="AB6437" s="117">
        <f t="shared" si="103"/>
        <v>0</v>
      </c>
      <c r="AC6437" s="117" t="str">
        <f>IF(AB6437=1,COUNTIF($AB$3:AB6437,1),"")</f>
        <v/>
      </c>
      <c r="AD6437" s="117" t="str">
        <f>IFERROR(INDEX($AA$3:$AA$10000,MATCH(ROWS($AC$3:AC6437),$AC$3:$AC$10000,0)),"")</f>
        <v/>
      </c>
    </row>
    <row r="6438" spans="27:30">
      <c r="AA6438" s="117">
        <f>+'Ingredient List - Mother Tinctu'!D6439</f>
        <v>0</v>
      </c>
      <c r="AB6438" s="117">
        <f t="shared" si="103"/>
        <v>0</v>
      </c>
      <c r="AC6438" s="117" t="str">
        <f>IF(AB6438=1,COUNTIF($AB$3:AB6438,1),"")</f>
        <v/>
      </c>
      <c r="AD6438" s="117" t="str">
        <f>IFERROR(INDEX($AA$3:$AA$10000,MATCH(ROWS($AC$3:AC6438),$AC$3:$AC$10000,0)),"")</f>
        <v/>
      </c>
    </row>
    <row r="6439" spans="27:30">
      <c r="AA6439" s="117">
        <f>+'Ingredient List - Mother Tinctu'!D6440</f>
        <v>0</v>
      </c>
      <c r="AB6439" s="117">
        <f t="shared" si="103"/>
        <v>0</v>
      </c>
      <c r="AC6439" s="117" t="str">
        <f>IF(AB6439=1,COUNTIF($AB$3:AB6439,1),"")</f>
        <v/>
      </c>
      <c r="AD6439" s="117" t="str">
        <f>IFERROR(INDEX($AA$3:$AA$10000,MATCH(ROWS($AC$3:AC6439),$AC$3:$AC$10000,0)),"")</f>
        <v/>
      </c>
    </row>
    <row r="6440" spans="27:30">
      <c r="AA6440" s="117">
        <f>+'Ingredient List - Mother Tinctu'!D6441</f>
        <v>0</v>
      </c>
      <c r="AB6440" s="117">
        <f t="shared" si="103"/>
        <v>0</v>
      </c>
      <c r="AC6440" s="117" t="str">
        <f>IF(AB6440=1,COUNTIF($AB$3:AB6440,1),"")</f>
        <v/>
      </c>
      <c r="AD6440" s="117" t="str">
        <f>IFERROR(INDEX($AA$3:$AA$10000,MATCH(ROWS($AC$3:AC6440),$AC$3:$AC$10000,0)),"")</f>
        <v/>
      </c>
    </row>
    <row r="6441" spans="27:30">
      <c r="AA6441" s="117">
        <f>+'Ingredient List - Mother Tinctu'!D6442</f>
        <v>0</v>
      </c>
      <c r="AB6441" s="117">
        <f t="shared" si="103"/>
        <v>0</v>
      </c>
      <c r="AC6441" s="117" t="str">
        <f>IF(AB6441=1,COUNTIF($AB$3:AB6441,1),"")</f>
        <v/>
      </c>
      <c r="AD6441" s="117" t="str">
        <f>IFERROR(INDEX($AA$3:$AA$10000,MATCH(ROWS($AC$3:AC6441),$AC$3:$AC$10000,0)),"")</f>
        <v/>
      </c>
    </row>
    <row r="6442" spans="27:30">
      <c r="AA6442" s="117">
        <f>+'Ingredient List - Mother Tinctu'!D6443</f>
        <v>0</v>
      </c>
      <c r="AB6442" s="117">
        <f t="shared" si="103"/>
        <v>0</v>
      </c>
      <c r="AC6442" s="117" t="str">
        <f>IF(AB6442=1,COUNTIF($AB$3:AB6442,1),"")</f>
        <v/>
      </c>
      <c r="AD6442" s="117" t="str">
        <f>IFERROR(INDEX($AA$3:$AA$10000,MATCH(ROWS($AC$3:AC6442),$AC$3:$AC$10000,0)),"")</f>
        <v/>
      </c>
    </row>
    <row r="6443" spans="27:30">
      <c r="AA6443" s="117">
        <f>+'Ingredient List - Mother Tinctu'!D6444</f>
        <v>0</v>
      </c>
      <c r="AB6443" s="117">
        <f t="shared" si="103"/>
        <v>0</v>
      </c>
      <c r="AC6443" s="117" t="str">
        <f>IF(AB6443=1,COUNTIF($AB$3:AB6443,1),"")</f>
        <v/>
      </c>
      <c r="AD6443" s="117" t="str">
        <f>IFERROR(INDEX($AA$3:$AA$10000,MATCH(ROWS($AC$3:AC6443),$AC$3:$AC$10000,0)),"")</f>
        <v/>
      </c>
    </row>
    <row r="6444" spans="27:30">
      <c r="AA6444" s="117">
        <f>+'Ingredient List - Mother Tinctu'!D6445</f>
        <v>0</v>
      </c>
      <c r="AB6444" s="117">
        <f t="shared" si="103"/>
        <v>0</v>
      </c>
      <c r="AC6444" s="117" t="str">
        <f>IF(AB6444=1,COUNTIF($AB$3:AB6444,1),"")</f>
        <v/>
      </c>
      <c r="AD6444" s="117" t="str">
        <f>IFERROR(INDEX($AA$3:$AA$10000,MATCH(ROWS($AC$3:AC6444),$AC$3:$AC$10000,0)),"")</f>
        <v/>
      </c>
    </row>
    <row r="6445" spans="27:30">
      <c r="AA6445" s="117">
        <f>+'Ingredient List - Mother Tinctu'!D6446</f>
        <v>0</v>
      </c>
      <c r="AB6445" s="117">
        <f t="shared" si="103"/>
        <v>0</v>
      </c>
      <c r="AC6445" s="117" t="str">
        <f>IF(AB6445=1,COUNTIF($AB$3:AB6445,1),"")</f>
        <v/>
      </c>
      <c r="AD6445" s="117" t="str">
        <f>IFERROR(INDEX($AA$3:$AA$10000,MATCH(ROWS($AC$3:AC6445),$AC$3:$AC$10000,0)),"")</f>
        <v/>
      </c>
    </row>
    <row r="6446" spans="27:30">
      <c r="AA6446" s="117">
        <f>+'Ingredient List - Mother Tinctu'!D6447</f>
        <v>0</v>
      </c>
      <c r="AB6446" s="117">
        <f t="shared" si="103"/>
        <v>0</v>
      </c>
      <c r="AC6446" s="117" t="str">
        <f>IF(AB6446=1,COUNTIF($AB$3:AB6446,1),"")</f>
        <v/>
      </c>
      <c r="AD6446" s="117" t="str">
        <f>IFERROR(INDEX($AA$3:$AA$10000,MATCH(ROWS($AC$3:AC6446),$AC$3:$AC$10000,0)),"")</f>
        <v/>
      </c>
    </row>
    <row r="6447" spans="27:30">
      <c r="AA6447" s="117">
        <f>+'Ingredient List - Mother Tinctu'!D6448</f>
        <v>0</v>
      </c>
      <c r="AB6447" s="117">
        <f t="shared" si="103"/>
        <v>0</v>
      </c>
      <c r="AC6447" s="117" t="str">
        <f>IF(AB6447=1,COUNTIF($AB$3:AB6447,1),"")</f>
        <v/>
      </c>
      <c r="AD6447" s="117" t="str">
        <f>IFERROR(INDEX($AA$3:$AA$10000,MATCH(ROWS($AC$3:AC6447),$AC$3:$AC$10000,0)),"")</f>
        <v/>
      </c>
    </row>
    <row r="6448" spans="27:30">
      <c r="AA6448" s="117">
        <f>+'Ingredient List - Mother Tinctu'!D6449</f>
        <v>0</v>
      </c>
      <c r="AB6448" s="117">
        <f t="shared" si="103"/>
        <v>0</v>
      </c>
      <c r="AC6448" s="117" t="str">
        <f>IF(AB6448=1,COUNTIF($AB$3:AB6448,1),"")</f>
        <v/>
      </c>
      <c r="AD6448" s="117" t="str">
        <f>IFERROR(INDEX($AA$3:$AA$10000,MATCH(ROWS($AC$3:AC6448),$AC$3:$AC$10000,0)),"")</f>
        <v/>
      </c>
    </row>
    <row r="6449" spans="27:30">
      <c r="AA6449" s="117">
        <f>+'Ingredient List - Mother Tinctu'!D6450</f>
        <v>0</v>
      </c>
      <c r="AB6449" s="117">
        <f t="shared" si="103"/>
        <v>0</v>
      </c>
      <c r="AC6449" s="117" t="str">
        <f>IF(AB6449=1,COUNTIF($AB$3:AB6449,1),"")</f>
        <v/>
      </c>
      <c r="AD6449" s="117" t="str">
        <f>IFERROR(INDEX($AA$3:$AA$10000,MATCH(ROWS($AC$3:AC6449),$AC$3:$AC$10000,0)),"")</f>
        <v/>
      </c>
    </row>
    <row r="6450" spans="27:30">
      <c r="AA6450" s="117">
        <f>+'Ingredient List - Mother Tinctu'!D6451</f>
        <v>0</v>
      </c>
      <c r="AB6450" s="117">
        <f t="shared" si="103"/>
        <v>0</v>
      </c>
      <c r="AC6450" s="117" t="str">
        <f>IF(AB6450=1,COUNTIF($AB$3:AB6450,1),"")</f>
        <v/>
      </c>
      <c r="AD6450" s="117" t="str">
        <f>IFERROR(INDEX($AA$3:$AA$10000,MATCH(ROWS($AC$3:AC6450),$AC$3:$AC$10000,0)),"")</f>
        <v/>
      </c>
    </row>
    <row r="6451" spans="27:30">
      <c r="AA6451" s="117">
        <f>+'Ingredient List - Mother Tinctu'!D6452</f>
        <v>0</v>
      </c>
      <c r="AB6451" s="117">
        <f t="shared" si="103"/>
        <v>0</v>
      </c>
      <c r="AC6451" s="117" t="str">
        <f>IF(AB6451=1,COUNTIF($AB$3:AB6451,1),"")</f>
        <v/>
      </c>
      <c r="AD6451" s="117" t="str">
        <f>IFERROR(INDEX($AA$3:$AA$10000,MATCH(ROWS($AC$3:AC6451),$AC$3:$AC$10000,0)),"")</f>
        <v/>
      </c>
    </row>
    <row r="6452" spans="27:30">
      <c r="AA6452" s="117">
        <f>+'Ingredient List - Mother Tinctu'!D6453</f>
        <v>0</v>
      </c>
      <c r="AB6452" s="117">
        <f t="shared" si="103"/>
        <v>0</v>
      </c>
      <c r="AC6452" s="117" t="str">
        <f>IF(AB6452=1,COUNTIF($AB$3:AB6452,1),"")</f>
        <v/>
      </c>
      <c r="AD6452" s="117" t="str">
        <f>IFERROR(INDEX($AA$3:$AA$10000,MATCH(ROWS($AC$3:AC6452),$AC$3:$AC$10000,0)),"")</f>
        <v/>
      </c>
    </row>
    <row r="6453" spans="27:30">
      <c r="AA6453" s="117">
        <f>+'Ingredient List - Mother Tinctu'!D6454</f>
        <v>0</v>
      </c>
      <c r="AB6453" s="117">
        <f t="shared" si="103"/>
        <v>0</v>
      </c>
      <c r="AC6453" s="117" t="str">
        <f>IF(AB6453=1,COUNTIF($AB$3:AB6453,1),"")</f>
        <v/>
      </c>
      <c r="AD6453" s="117" t="str">
        <f>IFERROR(INDEX($AA$3:$AA$10000,MATCH(ROWS($AC$3:AC6453),$AC$3:$AC$10000,0)),"")</f>
        <v/>
      </c>
    </row>
    <row r="6454" spans="27:30">
      <c r="AA6454" s="117">
        <f>+'Ingredient List - Mother Tinctu'!D6455</f>
        <v>0</v>
      </c>
      <c r="AB6454" s="117">
        <f t="shared" si="103"/>
        <v>0</v>
      </c>
      <c r="AC6454" s="117" t="str">
        <f>IF(AB6454=1,COUNTIF($AB$3:AB6454,1),"")</f>
        <v/>
      </c>
      <c r="AD6454" s="117" t="str">
        <f>IFERROR(INDEX($AA$3:$AA$10000,MATCH(ROWS($AC$3:AC6454),$AC$3:$AC$10000,0)),"")</f>
        <v/>
      </c>
    </row>
    <row r="6455" spans="27:30">
      <c r="AA6455" s="117">
        <f>+'Ingredient List - Mother Tinctu'!D6456</f>
        <v>0</v>
      </c>
      <c r="AB6455" s="117">
        <f t="shared" si="103"/>
        <v>0</v>
      </c>
      <c r="AC6455" s="117" t="str">
        <f>IF(AB6455=1,COUNTIF($AB$3:AB6455,1),"")</f>
        <v/>
      </c>
      <c r="AD6455" s="117" t="str">
        <f>IFERROR(INDEX($AA$3:$AA$10000,MATCH(ROWS($AC$3:AC6455),$AC$3:$AC$10000,0)),"")</f>
        <v/>
      </c>
    </row>
    <row r="6456" spans="27:30">
      <c r="AA6456" s="117">
        <f>+'Ingredient List - Mother Tinctu'!D6457</f>
        <v>0</v>
      </c>
      <c r="AB6456" s="117">
        <f t="shared" si="103"/>
        <v>0</v>
      </c>
      <c r="AC6456" s="117" t="str">
        <f>IF(AB6456=1,COUNTIF($AB$3:AB6456,1),"")</f>
        <v/>
      </c>
      <c r="AD6456" s="117" t="str">
        <f>IFERROR(INDEX($AA$3:$AA$10000,MATCH(ROWS($AC$3:AC6456),$AC$3:$AC$10000,0)),"")</f>
        <v/>
      </c>
    </row>
    <row r="6457" spans="27:30">
      <c r="AA6457" s="117">
        <f>+'Ingredient List - Mother Tinctu'!D6458</f>
        <v>0</v>
      </c>
      <c r="AB6457" s="117">
        <f t="shared" si="103"/>
        <v>0</v>
      </c>
      <c r="AC6457" s="117" t="str">
        <f>IF(AB6457=1,COUNTIF($AB$3:AB6457,1),"")</f>
        <v/>
      </c>
      <c r="AD6457" s="117" t="str">
        <f>IFERROR(INDEX($AA$3:$AA$10000,MATCH(ROWS($AC$3:AC6457),$AC$3:$AC$10000,0)),"")</f>
        <v/>
      </c>
    </row>
    <row r="6458" spans="27:30">
      <c r="AA6458" s="117">
        <f>+'Ingredient List - Mother Tinctu'!D6459</f>
        <v>0</v>
      </c>
      <c r="AB6458" s="117">
        <f t="shared" si="103"/>
        <v>0</v>
      </c>
      <c r="AC6458" s="117" t="str">
        <f>IF(AB6458=1,COUNTIF($AB$3:AB6458,1),"")</f>
        <v/>
      </c>
      <c r="AD6458" s="117" t="str">
        <f>IFERROR(INDEX($AA$3:$AA$10000,MATCH(ROWS($AC$3:AC6458),$AC$3:$AC$10000,0)),"")</f>
        <v/>
      </c>
    </row>
    <row r="6459" spans="27:30">
      <c r="AA6459" s="117">
        <f>+'Ingredient List - Mother Tinctu'!D6460</f>
        <v>0</v>
      </c>
      <c r="AB6459" s="117">
        <f t="shared" si="103"/>
        <v>0</v>
      </c>
      <c r="AC6459" s="117" t="str">
        <f>IF(AB6459=1,COUNTIF($AB$3:AB6459,1),"")</f>
        <v/>
      </c>
      <c r="AD6459" s="117" t="str">
        <f>IFERROR(INDEX($AA$3:$AA$10000,MATCH(ROWS($AC$3:AC6459),$AC$3:$AC$10000,0)),"")</f>
        <v/>
      </c>
    </row>
    <row r="6460" spans="27:30">
      <c r="AA6460" s="117">
        <f>+'Ingredient List - Mother Tinctu'!D6461</f>
        <v>0</v>
      </c>
      <c r="AB6460" s="117">
        <f t="shared" si="103"/>
        <v>0</v>
      </c>
      <c r="AC6460" s="117" t="str">
        <f>IF(AB6460=1,COUNTIF($AB$3:AB6460,1),"")</f>
        <v/>
      </c>
      <c r="AD6460" s="117" t="str">
        <f>IFERROR(INDEX($AA$3:$AA$10000,MATCH(ROWS($AC$3:AC6460),$AC$3:$AC$10000,0)),"")</f>
        <v/>
      </c>
    </row>
    <row r="6461" spans="27:30">
      <c r="AA6461" s="117">
        <f>+'Ingredient List - Mother Tinctu'!D6462</f>
        <v>0</v>
      </c>
      <c r="AB6461" s="117">
        <f t="shared" si="103"/>
        <v>0</v>
      </c>
      <c r="AC6461" s="117" t="str">
        <f>IF(AB6461=1,COUNTIF($AB$3:AB6461,1),"")</f>
        <v/>
      </c>
      <c r="AD6461" s="117" t="str">
        <f>IFERROR(INDEX($AA$3:$AA$10000,MATCH(ROWS($AC$3:AC6461),$AC$3:$AC$10000,0)),"")</f>
        <v/>
      </c>
    </row>
    <row r="6462" spans="27:30">
      <c r="AA6462" s="117">
        <f>+'Ingredient List - Mother Tinctu'!D6463</f>
        <v>0</v>
      </c>
      <c r="AB6462" s="117">
        <f t="shared" si="103"/>
        <v>0</v>
      </c>
      <c r="AC6462" s="117" t="str">
        <f>IF(AB6462=1,COUNTIF($AB$3:AB6462,1),"")</f>
        <v/>
      </c>
      <c r="AD6462" s="117" t="str">
        <f>IFERROR(INDEX($AA$3:$AA$10000,MATCH(ROWS($AC$3:AC6462),$AC$3:$AC$10000,0)),"")</f>
        <v/>
      </c>
    </row>
    <row r="6463" spans="27:30">
      <c r="AA6463" s="117">
        <f>+'Ingredient List - Mother Tinctu'!D6464</f>
        <v>0</v>
      </c>
      <c r="AB6463" s="117">
        <f t="shared" si="103"/>
        <v>0</v>
      </c>
      <c r="AC6463" s="117" t="str">
        <f>IF(AB6463=1,COUNTIF($AB$3:AB6463,1),"")</f>
        <v/>
      </c>
      <c r="AD6463" s="117" t="str">
        <f>IFERROR(INDEX($AA$3:$AA$10000,MATCH(ROWS($AC$3:AC6463),$AC$3:$AC$10000,0)),"")</f>
        <v/>
      </c>
    </row>
    <row r="6464" spans="27:30">
      <c r="AA6464" s="117">
        <f>+'Ingredient List - Mother Tinctu'!D6465</f>
        <v>0</v>
      </c>
      <c r="AB6464" s="117">
        <f t="shared" si="103"/>
        <v>0</v>
      </c>
      <c r="AC6464" s="117" t="str">
        <f>IF(AB6464=1,COUNTIF($AB$3:AB6464,1),"")</f>
        <v/>
      </c>
      <c r="AD6464" s="117" t="str">
        <f>IFERROR(INDEX($AA$3:$AA$10000,MATCH(ROWS($AC$3:AC6464),$AC$3:$AC$10000,0)),"")</f>
        <v/>
      </c>
    </row>
    <row r="6465" spans="27:30">
      <c r="AA6465" s="117">
        <f>+'Ingredient List - Mother Tinctu'!D6466</f>
        <v>0</v>
      </c>
      <c r="AB6465" s="117">
        <f t="shared" si="103"/>
        <v>0</v>
      </c>
      <c r="AC6465" s="117" t="str">
        <f>IF(AB6465=1,COUNTIF($AB$3:AB6465,1),"")</f>
        <v/>
      </c>
      <c r="AD6465" s="117" t="str">
        <f>IFERROR(INDEX($AA$3:$AA$10000,MATCH(ROWS($AC$3:AC6465),$AC$3:$AC$10000,0)),"")</f>
        <v/>
      </c>
    </row>
    <row r="6466" spans="27:30">
      <c r="AA6466" s="117">
        <f>+'Ingredient List - Mother Tinctu'!D6467</f>
        <v>0</v>
      </c>
      <c r="AB6466" s="117">
        <f t="shared" si="103"/>
        <v>0</v>
      </c>
      <c r="AC6466" s="117" t="str">
        <f>IF(AB6466=1,COUNTIF($AB$3:AB6466,1),"")</f>
        <v/>
      </c>
      <c r="AD6466" s="117" t="str">
        <f>IFERROR(INDEX($AA$3:$AA$10000,MATCH(ROWS($AC$3:AC6466),$AC$3:$AC$10000,0)),"")</f>
        <v/>
      </c>
    </row>
    <row r="6467" spans="27:30">
      <c r="AA6467" s="117">
        <f>+'Ingredient List - Mother Tinctu'!D6468</f>
        <v>0</v>
      </c>
      <c r="AB6467" s="117">
        <f t="shared" si="103"/>
        <v>0</v>
      </c>
      <c r="AC6467" s="117" t="str">
        <f>IF(AB6467=1,COUNTIF($AB$3:AB6467,1),"")</f>
        <v/>
      </c>
      <c r="AD6467" s="117" t="str">
        <f>IFERROR(INDEX($AA$3:$AA$10000,MATCH(ROWS($AC$3:AC6467),$AC$3:$AC$10000,0)),"")</f>
        <v/>
      </c>
    </row>
    <row r="6468" spans="27:30">
      <c r="AA6468" s="117">
        <f>+'Ingredient List - Mother Tinctu'!D6469</f>
        <v>0</v>
      </c>
      <c r="AB6468" s="117">
        <f t="shared" ref="AB6468:AB6531" si="104">--ISNUMBER(IFERROR(SEARCH($D$3,AA6468,1),""))</f>
        <v>0</v>
      </c>
      <c r="AC6468" s="117" t="str">
        <f>IF(AB6468=1,COUNTIF($AB$3:AB6468,1),"")</f>
        <v/>
      </c>
      <c r="AD6468" s="117" t="str">
        <f>IFERROR(INDEX($AA$3:$AA$10000,MATCH(ROWS($AC$3:AC6468),$AC$3:$AC$10000,0)),"")</f>
        <v/>
      </c>
    </row>
    <row r="6469" spans="27:30">
      <c r="AA6469" s="117">
        <f>+'Ingredient List - Mother Tinctu'!D6470</f>
        <v>0</v>
      </c>
      <c r="AB6469" s="117">
        <f t="shared" si="104"/>
        <v>0</v>
      </c>
      <c r="AC6469" s="117" t="str">
        <f>IF(AB6469=1,COUNTIF($AB$3:AB6469,1),"")</f>
        <v/>
      </c>
      <c r="AD6469" s="117" t="str">
        <f>IFERROR(INDEX($AA$3:$AA$10000,MATCH(ROWS($AC$3:AC6469),$AC$3:$AC$10000,0)),"")</f>
        <v/>
      </c>
    </row>
    <row r="6470" spans="27:30">
      <c r="AA6470" s="117">
        <f>+'Ingredient List - Mother Tinctu'!D6471</f>
        <v>0</v>
      </c>
      <c r="AB6470" s="117">
        <f t="shared" si="104"/>
        <v>0</v>
      </c>
      <c r="AC6470" s="117" t="str">
        <f>IF(AB6470=1,COUNTIF($AB$3:AB6470,1),"")</f>
        <v/>
      </c>
      <c r="AD6470" s="117" t="str">
        <f>IFERROR(INDEX($AA$3:$AA$10000,MATCH(ROWS($AC$3:AC6470),$AC$3:$AC$10000,0)),"")</f>
        <v/>
      </c>
    </row>
    <row r="6471" spans="27:30">
      <c r="AA6471" s="117">
        <f>+'Ingredient List - Mother Tinctu'!D6472</f>
        <v>0</v>
      </c>
      <c r="AB6471" s="117">
        <f t="shared" si="104"/>
        <v>0</v>
      </c>
      <c r="AC6471" s="117" t="str">
        <f>IF(AB6471=1,COUNTIF($AB$3:AB6471,1),"")</f>
        <v/>
      </c>
      <c r="AD6471" s="117" t="str">
        <f>IFERROR(INDEX($AA$3:$AA$10000,MATCH(ROWS($AC$3:AC6471),$AC$3:$AC$10000,0)),"")</f>
        <v/>
      </c>
    </row>
    <row r="6472" spans="27:30">
      <c r="AA6472" s="117">
        <f>+'Ingredient List - Mother Tinctu'!D6473</f>
        <v>0</v>
      </c>
      <c r="AB6472" s="117">
        <f t="shared" si="104"/>
        <v>0</v>
      </c>
      <c r="AC6472" s="117" t="str">
        <f>IF(AB6472=1,COUNTIF($AB$3:AB6472,1),"")</f>
        <v/>
      </c>
      <c r="AD6472" s="117" t="str">
        <f>IFERROR(INDEX($AA$3:$AA$10000,MATCH(ROWS($AC$3:AC6472),$AC$3:$AC$10000,0)),"")</f>
        <v/>
      </c>
    </row>
    <row r="6473" spans="27:30">
      <c r="AA6473" s="117">
        <f>+'Ingredient List - Mother Tinctu'!D6474</f>
        <v>0</v>
      </c>
      <c r="AB6473" s="117">
        <f t="shared" si="104"/>
        <v>0</v>
      </c>
      <c r="AC6473" s="117" t="str">
        <f>IF(AB6473=1,COUNTIF($AB$3:AB6473,1),"")</f>
        <v/>
      </c>
      <c r="AD6473" s="117" t="str">
        <f>IFERROR(INDEX($AA$3:$AA$10000,MATCH(ROWS($AC$3:AC6473),$AC$3:$AC$10000,0)),"")</f>
        <v/>
      </c>
    </row>
    <row r="6474" spans="27:30">
      <c r="AA6474" s="117">
        <f>+'Ingredient List - Mother Tinctu'!D6475</f>
        <v>0</v>
      </c>
      <c r="AB6474" s="117">
        <f t="shared" si="104"/>
        <v>0</v>
      </c>
      <c r="AC6474" s="117" t="str">
        <f>IF(AB6474=1,COUNTIF($AB$3:AB6474,1),"")</f>
        <v/>
      </c>
      <c r="AD6474" s="117" t="str">
        <f>IFERROR(INDEX($AA$3:$AA$10000,MATCH(ROWS($AC$3:AC6474),$AC$3:$AC$10000,0)),"")</f>
        <v/>
      </c>
    </row>
    <row r="6475" spans="27:30">
      <c r="AA6475" s="117">
        <f>+'Ingredient List - Mother Tinctu'!D6476</f>
        <v>0</v>
      </c>
      <c r="AB6475" s="117">
        <f t="shared" si="104"/>
        <v>0</v>
      </c>
      <c r="AC6475" s="117" t="str">
        <f>IF(AB6475=1,COUNTIF($AB$3:AB6475,1),"")</f>
        <v/>
      </c>
      <c r="AD6475" s="117" t="str">
        <f>IFERROR(INDEX($AA$3:$AA$10000,MATCH(ROWS($AC$3:AC6475),$AC$3:$AC$10000,0)),"")</f>
        <v/>
      </c>
    </row>
    <row r="6476" spans="27:30">
      <c r="AA6476" s="117">
        <f>+'Ingredient List - Mother Tinctu'!D6477</f>
        <v>0</v>
      </c>
      <c r="AB6476" s="117">
        <f t="shared" si="104"/>
        <v>0</v>
      </c>
      <c r="AC6476" s="117" t="str">
        <f>IF(AB6476=1,COUNTIF($AB$3:AB6476,1),"")</f>
        <v/>
      </c>
      <c r="AD6476" s="117" t="str">
        <f>IFERROR(INDEX($AA$3:$AA$10000,MATCH(ROWS($AC$3:AC6476),$AC$3:$AC$10000,0)),"")</f>
        <v/>
      </c>
    </row>
    <row r="6477" spans="27:30">
      <c r="AA6477" s="117">
        <f>+'Ingredient List - Mother Tinctu'!D6478</f>
        <v>0</v>
      </c>
      <c r="AB6477" s="117">
        <f t="shared" si="104"/>
        <v>0</v>
      </c>
      <c r="AC6477" s="117" t="str">
        <f>IF(AB6477=1,COUNTIF($AB$3:AB6477,1),"")</f>
        <v/>
      </c>
      <c r="AD6477" s="117" t="str">
        <f>IFERROR(INDEX($AA$3:$AA$10000,MATCH(ROWS($AC$3:AC6477),$AC$3:$AC$10000,0)),"")</f>
        <v/>
      </c>
    </row>
    <row r="6478" spans="27:30">
      <c r="AA6478" s="117">
        <f>+'Ingredient List - Mother Tinctu'!D6479</f>
        <v>0</v>
      </c>
      <c r="AB6478" s="117">
        <f t="shared" si="104"/>
        <v>0</v>
      </c>
      <c r="AC6478" s="117" t="str">
        <f>IF(AB6478=1,COUNTIF($AB$3:AB6478,1),"")</f>
        <v/>
      </c>
      <c r="AD6478" s="117" t="str">
        <f>IFERROR(INDEX($AA$3:$AA$10000,MATCH(ROWS($AC$3:AC6478),$AC$3:$AC$10000,0)),"")</f>
        <v/>
      </c>
    </row>
    <row r="6479" spans="27:30">
      <c r="AA6479" s="117">
        <f>+'Ingredient List - Mother Tinctu'!D6480</f>
        <v>0</v>
      </c>
      <c r="AB6479" s="117">
        <f t="shared" si="104"/>
        <v>0</v>
      </c>
      <c r="AC6479" s="117" t="str">
        <f>IF(AB6479=1,COUNTIF($AB$3:AB6479,1),"")</f>
        <v/>
      </c>
      <c r="AD6479" s="117" t="str">
        <f>IFERROR(INDEX($AA$3:$AA$10000,MATCH(ROWS($AC$3:AC6479),$AC$3:$AC$10000,0)),"")</f>
        <v/>
      </c>
    </row>
    <row r="6480" spans="27:30">
      <c r="AA6480" s="117">
        <f>+'Ingredient List - Mother Tinctu'!D6481</f>
        <v>0</v>
      </c>
      <c r="AB6480" s="117">
        <f t="shared" si="104"/>
        <v>0</v>
      </c>
      <c r="AC6480" s="117" t="str">
        <f>IF(AB6480=1,COUNTIF($AB$3:AB6480,1),"")</f>
        <v/>
      </c>
      <c r="AD6480" s="117" t="str">
        <f>IFERROR(INDEX($AA$3:$AA$10000,MATCH(ROWS($AC$3:AC6480),$AC$3:$AC$10000,0)),"")</f>
        <v/>
      </c>
    </row>
    <row r="6481" spans="27:30">
      <c r="AA6481" s="117">
        <f>+'Ingredient List - Mother Tinctu'!D6482</f>
        <v>0</v>
      </c>
      <c r="AB6481" s="117">
        <f t="shared" si="104"/>
        <v>0</v>
      </c>
      <c r="AC6481" s="117" t="str">
        <f>IF(AB6481=1,COUNTIF($AB$3:AB6481,1),"")</f>
        <v/>
      </c>
      <c r="AD6481" s="117" t="str">
        <f>IFERROR(INDEX($AA$3:$AA$10000,MATCH(ROWS($AC$3:AC6481),$AC$3:$AC$10000,0)),"")</f>
        <v/>
      </c>
    </row>
    <row r="6482" spans="27:30">
      <c r="AA6482" s="117">
        <f>+'Ingredient List - Mother Tinctu'!D6483</f>
        <v>0</v>
      </c>
      <c r="AB6482" s="117">
        <f t="shared" si="104"/>
        <v>0</v>
      </c>
      <c r="AC6482" s="117" t="str">
        <f>IF(AB6482=1,COUNTIF($AB$3:AB6482,1),"")</f>
        <v/>
      </c>
      <c r="AD6482" s="117" t="str">
        <f>IFERROR(INDEX($AA$3:$AA$10000,MATCH(ROWS($AC$3:AC6482),$AC$3:$AC$10000,0)),"")</f>
        <v/>
      </c>
    </row>
    <row r="6483" spans="27:30">
      <c r="AA6483" s="117">
        <f>+'Ingredient List - Mother Tinctu'!D6484</f>
        <v>0</v>
      </c>
      <c r="AB6483" s="117">
        <f t="shared" si="104"/>
        <v>0</v>
      </c>
      <c r="AC6483" s="117" t="str">
        <f>IF(AB6483=1,COUNTIF($AB$3:AB6483,1),"")</f>
        <v/>
      </c>
      <c r="AD6483" s="117" t="str">
        <f>IFERROR(INDEX($AA$3:$AA$10000,MATCH(ROWS($AC$3:AC6483),$AC$3:$AC$10000,0)),"")</f>
        <v/>
      </c>
    </row>
    <row r="6484" spans="27:30">
      <c r="AA6484" s="117">
        <f>+'Ingredient List - Mother Tinctu'!D6485</f>
        <v>0</v>
      </c>
      <c r="AB6484" s="117">
        <f t="shared" si="104"/>
        <v>0</v>
      </c>
      <c r="AC6484" s="117" t="str">
        <f>IF(AB6484=1,COUNTIF($AB$3:AB6484,1),"")</f>
        <v/>
      </c>
      <c r="AD6484" s="117" t="str">
        <f>IFERROR(INDEX($AA$3:$AA$10000,MATCH(ROWS($AC$3:AC6484),$AC$3:$AC$10000,0)),"")</f>
        <v/>
      </c>
    </row>
    <row r="6485" spans="27:30">
      <c r="AA6485" s="117">
        <f>+'Ingredient List - Mother Tinctu'!D6486</f>
        <v>0</v>
      </c>
      <c r="AB6485" s="117">
        <f t="shared" si="104"/>
        <v>0</v>
      </c>
      <c r="AC6485" s="117" t="str">
        <f>IF(AB6485=1,COUNTIF($AB$3:AB6485,1),"")</f>
        <v/>
      </c>
      <c r="AD6485" s="117" t="str">
        <f>IFERROR(INDEX($AA$3:$AA$10000,MATCH(ROWS($AC$3:AC6485),$AC$3:$AC$10000,0)),"")</f>
        <v/>
      </c>
    </row>
    <row r="6486" spans="27:30">
      <c r="AA6486" s="117">
        <f>+'Ingredient List - Mother Tinctu'!D6487</f>
        <v>0</v>
      </c>
      <c r="AB6486" s="117">
        <f t="shared" si="104"/>
        <v>0</v>
      </c>
      <c r="AC6486" s="117" t="str">
        <f>IF(AB6486=1,COUNTIF($AB$3:AB6486,1),"")</f>
        <v/>
      </c>
      <c r="AD6486" s="117" t="str">
        <f>IFERROR(INDEX($AA$3:$AA$10000,MATCH(ROWS($AC$3:AC6486),$AC$3:$AC$10000,0)),"")</f>
        <v/>
      </c>
    </row>
    <row r="6487" spans="27:30">
      <c r="AA6487" s="117">
        <f>+'Ingredient List - Mother Tinctu'!D6488</f>
        <v>0</v>
      </c>
      <c r="AB6487" s="117">
        <f t="shared" si="104"/>
        <v>0</v>
      </c>
      <c r="AC6487" s="117" t="str">
        <f>IF(AB6487=1,COUNTIF($AB$3:AB6487,1),"")</f>
        <v/>
      </c>
      <c r="AD6487" s="117" t="str">
        <f>IFERROR(INDEX($AA$3:$AA$10000,MATCH(ROWS($AC$3:AC6487),$AC$3:$AC$10000,0)),"")</f>
        <v/>
      </c>
    </row>
    <row r="6488" spans="27:30">
      <c r="AA6488" s="117">
        <f>+'Ingredient List - Mother Tinctu'!D6489</f>
        <v>0</v>
      </c>
      <c r="AB6488" s="117">
        <f t="shared" si="104"/>
        <v>0</v>
      </c>
      <c r="AC6488" s="117" t="str">
        <f>IF(AB6488=1,COUNTIF($AB$3:AB6488,1),"")</f>
        <v/>
      </c>
      <c r="AD6488" s="117" t="str">
        <f>IFERROR(INDEX($AA$3:$AA$10000,MATCH(ROWS($AC$3:AC6488),$AC$3:$AC$10000,0)),"")</f>
        <v/>
      </c>
    </row>
    <row r="6489" spans="27:30">
      <c r="AA6489" s="117">
        <f>+'Ingredient List - Mother Tinctu'!D6490</f>
        <v>0</v>
      </c>
      <c r="AB6489" s="117">
        <f t="shared" si="104"/>
        <v>0</v>
      </c>
      <c r="AC6489" s="117" t="str">
        <f>IF(AB6489=1,COUNTIF($AB$3:AB6489,1),"")</f>
        <v/>
      </c>
      <c r="AD6489" s="117" t="str">
        <f>IFERROR(INDEX($AA$3:$AA$10000,MATCH(ROWS($AC$3:AC6489),$AC$3:$AC$10000,0)),"")</f>
        <v/>
      </c>
    </row>
    <row r="6490" spans="27:30">
      <c r="AA6490" s="117">
        <f>+'Ingredient List - Mother Tinctu'!D6491</f>
        <v>0</v>
      </c>
      <c r="AB6490" s="117">
        <f t="shared" si="104"/>
        <v>0</v>
      </c>
      <c r="AC6490" s="117" t="str">
        <f>IF(AB6490=1,COUNTIF($AB$3:AB6490,1),"")</f>
        <v/>
      </c>
      <c r="AD6490" s="117" t="str">
        <f>IFERROR(INDEX($AA$3:$AA$10000,MATCH(ROWS($AC$3:AC6490),$AC$3:$AC$10000,0)),"")</f>
        <v/>
      </c>
    </row>
    <row r="6491" spans="27:30">
      <c r="AA6491" s="117">
        <f>+'Ingredient List - Mother Tinctu'!D6492</f>
        <v>0</v>
      </c>
      <c r="AB6491" s="117">
        <f t="shared" si="104"/>
        <v>0</v>
      </c>
      <c r="AC6491" s="117" t="str">
        <f>IF(AB6491=1,COUNTIF($AB$3:AB6491,1),"")</f>
        <v/>
      </c>
      <c r="AD6491" s="117" t="str">
        <f>IFERROR(INDEX($AA$3:$AA$10000,MATCH(ROWS($AC$3:AC6491),$AC$3:$AC$10000,0)),"")</f>
        <v/>
      </c>
    </row>
    <row r="6492" spans="27:30">
      <c r="AA6492" s="117">
        <f>+'Ingredient List - Mother Tinctu'!D6493</f>
        <v>0</v>
      </c>
      <c r="AB6492" s="117">
        <f t="shared" si="104"/>
        <v>0</v>
      </c>
      <c r="AC6492" s="117" t="str">
        <f>IF(AB6492=1,COUNTIF($AB$3:AB6492,1),"")</f>
        <v/>
      </c>
      <c r="AD6492" s="117" t="str">
        <f>IFERROR(INDEX($AA$3:$AA$10000,MATCH(ROWS($AC$3:AC6492),$AC$3:$AC$10000,0)),"")</f>
        <v/>
      </c>
    </row>
    <row r="6493" spans="27:30">
      <c r="AA6493" s="117">
        <f>+'Ingredient List - Mother Tinctu'!D6494</f>
        <v>0</v>
      </c>
      <c r="AB6493" s="117">
        <f t="shared" si="104"/>
        <v>0</v>
      </c>
      <c r="AC6493" s="117" t="str">
        <f>IF(AB6493=1,COUNTIF($AB$3:AB6493,1),"")</f>
        <v/>
      </c>
      <c r="AD6493" s="117" t="str">
        <f>IFERROR(INDEX($AA$3:$AA$10000,MATCH(ROWS($AC$3:AC6493),$AC$3:$AC$10000,0)),"")</f>
        <v/>
      </c>
    </row>
    <row r="6494" spans="27:30">
      <c r="AA6494" s="117">
        <f>+'Ingredient List - Mother Tinctu'!D6495</f>
        <v>0</v>
      </c>
      <c r="AB6494" s="117">
        <f t="shared" si="104"/>
        <v>0</v>
      </c>
      <c r="AC6494" s="117" t="str">
        <f>IF(AB6494=1,COUNTIF($AB$3:AB6494,1),"")</f>
        <v/>
      </c>
      <c r="AD6494" s="117" t="str">
        <f>IFERROR(INDEX($AA$3:$AA$10000,MATCH(ROWS($AC$3:AC6494),$AC$3:$AC$10000,0)),"")</f>
        <v/>
      </c>
    </row>
    <row r="6495" spans="27:30">
      <c r="AA6495" s="117">
        <f>+'Ingredient List - Mother Tinctu'!D6496</f>
        <v>0</v>
      </c>
      <c r="AB6495" s="117">
        <f t="shared" si="104"/>
        <v>0</v>
      </c>
      <c r="AC6495" s="117" t="str">
        <f>IF(AB6495=1,COUNTIF($AB$3:AB6495,1),"")</f>
        <v/>
      </c>
      <c r="AD6495" s="117" t="str">
        <f>IFERROR(INDEX($AA$3:$AA$10000,MATCH(ROWS($AC$3:AC6495),$AC$3:$AC$10000,0)),"")</f>
        <v/>
      </c>
    </row>
    <row r="6496" spans="27:30">
      <c r="AA6496" s="117">
        <f>+'Ingredient List - Mother Tinctu'!D6497</f>
        <v>0</v>
      </c>
      <c r="AB6496" s="117">
        <f t="shared" si="104"/>
        <v>0</v>
      </c>
      <c r="AC6496" s="117" t="str">
        <f>IF(AB6496=1,COUNTIF($AB$3:AB6496,1),"")</f>
        <v/>
      </c>
      <c r="AD6496" s="117" t="str">
        <f>IFERROR(INDEX($AA$3:$AA$10000,MATCH(ROWS($AC$3:AC6496),$AC$3:$AC$10000,0)),"")</f>
        <v/>
      </c>
    </row>
    <row r="6497" spans="27:30">
      <c r="AA6497" s="117">
        <f>+'Ingredient List - Mother Tinctu'!D6498</f>
        <v>0</v>
      </c>
      <c r="AB6497" s="117">
        <f t="shared" si="104"/>
        <v>0</v>
      </c>
      <c r="AC6497" s="117" t="str">
        <f>IF(AB6497=1,COUNTIF($AB$3:AB6497,1),"")</f>
        <v/>
      </c>
      <c r="AD6497" s="117" t="str">
        <f>IFERROR(INDEX($AA$3:$AA$10000,MATCH(ROWS($AC$3:AC6497),$AC$3:$AC$10000,0)),"")</f>
        <v/>
      </c>
    </row>
    <row r="6498" spans="27:30">
      <c r="AA6498" s="117">
        <f>+'Ingredient List - Mother Tinctu'!D6499</f>
        <v>0</v>
      </c>
      <c r="AB6498" s="117">
        <f t="shared" si="104"/>
        <v>0</v>
      </c>
      <c r="AC6498" s="117" t="str">
        <f>IF(AB6498=1,COUNTIF($AB$3:AB6498,1),"")</f>
        <v/>
      </c>
      <c r="AD6498" s="117" t="str">
        <f>IFERROR(INDEX($AA$3:$AA$10000,MATCH(ROWS($AC$3:AC6498),$AC$3:$AC$10000,0)),"")</f>
        <v/>
      </c>
    </row>
    <row r="6499" spans="27:30">
      <c r="AA6499" s="117">
        <f>+'Ingredient List - Mother Tinctu'!D6500</f>
        <v>0</v>
      </c>
      <c r="AB6499" s="117">
        <f t="shared" si="104"/>
        <v>0</v>
      </c>
      <c r="AC6499" s="117" t="str">
        <f>IF(AB6499=1,COUNTIF($AB$3:AB6499,1),"")</f>
        <v/>
      </c>
      <c r="AD6499" s="117" t="str">
        <f>IFERROR(INDEX($AA$3:$AA$10000,MATCH(ROWS($AC$3:AC6499),$AC$3:$AC$10000,0)),"")</f>
        <v/>
      </c>
    </row>
    <row r="6500" spans="27:30">
      <c r="AA6500" s="117">
        <f>+'Ingredient List - Mother Tinctu'!D6501</f>
        <v>0</v>
      </c>
      <c r="AB6500" s="117">
        <f t="shared" si="104"/>
        <v>0</v>
      </c>
      <c r="AC6500" s="117" t="str">
        <f>IF(AB6500=1,COUNTIF($AB$3:AB6500,1),"")</f>
        <v/>
      </c>
      <c r="AD6500" s="117" t="str">
        <f>IFERROR(INDEX($AA$3:$AA$10000,MATCH(ROWS($AC$3:AC6500),$AC$3:$AC$10000,0)),"")</f>
        <v/>
      </c>
    </row>
    <row r="6501" spans="27:30">
      <c r="AA6501" s="117">
        <f>+'Ingredient List - Mother Tinctu'!D6502</f>
        <v>0</v>
      </c>
      <c r="AB6501" s="117">
        <f t="shared" si="104"/>
        <v>0</v>
      </c>
      <c r="AC6501" s="117" t="str">
        <f>IF(AB6501=1,COUNTIF($AB$3:AB6501,1),"")</f>
        <v/>
      </c>
      <c r="AD6501" s="117" t="str">
        <f>IFERROR(INDEX($AA$3:$AA$10000,MATCH(ROWS($AC$3:AC6501),$AC$3:$AC$10000,0)),"")</f>
        <v/>
      </c>
    </row>
    <row r="6502" spans="27:30">
      <c r="AA6502" s="117">
        <f>+'Ingredient List - Mother Tinctu'!D6503</f>
        <v>0</v>
      </c>
      <c r="AB6502" s="117">
        <f t="shared" si="104"/>
        <v>0</v>
      </c>
      <c r="AC6502" s="117" t="str">
        <f>IF(AB6502=1,COUNTIF($AB$3:AB6502,1),"")</f>
        <v/>
      </c>
      <c r="AD6502" s="117" t="str">
        <f>IFERROR(INDEX($AA$3:$AA$10000,MATCH(ROWS($AC$3:AC6502),$AC$3:$AC$10000,0)),"")</f>
        <v/>
      </c>
    </row>
    <row r="6503" spans="27:30">
      <c r="AA6503" s="117">
        <f>+'Ingredient List - Mother Tinctu'!D6504</f>
        <v>0</v>
      </c>
      <c r="AB6503" s="117">
        <f t="shared" si="104"/>
        <v>0</v>
      </c>
      <c r="AC6503" s="117" t="str">
        <f>IF(AB6503=1,COUNTIF($AB$3:AB6503,1),"")</f>
        <v/>
      </c>
      <c r="AD6503" s="117" t="str">
        <f>IFERROR(INDEX($AA$3:$AA$10000,MATCH(ROWS($AC$3:AC6503),$AC$3:$AC$10000,0)),"")</f>
        <v/>
      </c>
    </row>
    <row r="6504" spans="27:30">
      <c r="AA6504" s="117">
        <f>+'Ingredient List - Mother Tinctu'!D6505</f>
        <v>0</v>
      </c>
      <c r="AB6504" s="117">
        <f t="shared" si="104"/>
        <v>0</v>
      </c>
      <c r="AC6504" s="117" t="str">
        <f>IF(AB6504=1,COUNTIF($AB$3:AB6504,1),"")</f>
        <v/>
      </c>
      <c r="AD6504" s="117" t="str">
        <f>IFERROR(INDEX($AA$3:$AA$10000,MATCH(ROWS($AC$3:AC6504),$AC$3:$AC$10000,0)),"")</f>
        <v/>
      </c>
    </row>
    <row r="6505" spans="27:30">
      <c r="AA6505" s="117">
        <f>+'Ingredient List - Mother Tinctu'!D6506</f>
        <v>0</v>
      </c>
      <c r="AB6505" s="117">
        <f t="shared" si="104"/>
        <v>0</v>
      </c>
      <c r="AC6505" s="117" t="str">
        <f>IF(AB6505=1,COUNTIF($AB$3:AB6505,1),"")</f>
        <v/>
      </c>
      <c r="AD6505" s="117" t="str">
        <f>IFERROR(INDEX($AA$3:$AA$10000,MATCH(ROWS($AC$3:AC6505),$AC$3:$AC$10000,0)),"")</f>
        <v/>
      </c>
    </row>
    <row r="6506" spans="27:30">
      <c r="AA6506" s="117">
        <f>+'Ingredient List - Mother Tinctu'!D6507</f>
        <v>0</v>
      </c>
      <c r="AB6506" s="117">
        <f t="shared" si="104"/>
        <v>0</v>
      </c>
      <c r="AC6506" s="117" t="str">
        <f>IF(AB6506=1,COUNTIF($AB$3:AB6506,1),"")</f>
        <v/>
      </c>
      <c r="AD6506" s="117" t="str">
        <f>IFERROR(INDEX($AA$3:$AA$10000,MATCH(ROWS($AC$3:AC6506),$AC$3:$AC$10000,0)),"")</f>
        <v/>
      </c>
    </row>
    <row r="6507" spans="27:30">
      <c r="AA6507" s="117">
        <f>+'Ingredient List - Mother Tinctu'!D6508</f>
        <v>0</v>
      </c>
      <c r="AB6507" s="117">
        <f t="shared" si="104"/>
        <v>0</v>
      </c>
      <c r="AC6507" s="117" t="str">
        <f>IF(AB6507=1,COUNTIF($AB$3:AB6507,1),"")</f>
        <v/>
      </c>
      <c r="AD6507" s="117" t="str">
        <f>IFERROR(INDEX($AA$3:$AA$10000,MATCH(ROWS($AC$3:AC6507),$AC$3:$AC$10000,0)),"")</f>
        <v/>
      </c>
    </row>
    <row r="6508" spans="27:30">
      <c r="AA6508" s="117">
        <f>+'Ingredient List - Mother Tinctu'!D6509</f>
        <v>0</v>
      </c>
      <c r="AB6508" s="117">
        <f t="shared" si="104"/>
        <v>0</v>
      </c>
      <c r="AC6508" s="117" t="str">
        <f>IF(AB6508=1,COUNTIF($AB$3:AB6508,1),"")</f>
        <v/>
      </c>
      <c r="AD6508" s="117" t="str">
        <f>IFERROR(INDEX($AA$3:$AA$10000,MATCH(ROWS($AC$3:AC6508),$AC$3:$AC$10000,0)),"")</f>
        <v/>
      </c>
    </row>
    <row r="6509" spans="27:30">
      <c r="AA6509" s="117">
        <f>+'Ingredient List - Mother Tinctu'!D6510</f>
        <v>0</v>
      </c>
      <c r="AB6509" s="117">
        <f t="shared" si="104"/>
        <v>0</v>
      </c>
      <c r="AC6509" s="117" t="str">
        <f>IF(AB6509=1,COUNTIF($AB$3:AB6509,1),"")</f>
        <v/>
      </c>
      <c r="AD6509" s="117" t="str">
        <f>IFERROR(INDEX($AA$3:$AA$10000,MATCH(ROWS($AC$3:AC6509),$AC$3:$AC$10000,0)),"")</f>
        <v/>
      </c>
    </row>
    <row r="6510" spans="27:30">
      <c r="AA6510" s="117">
        <f>+'Ingredient List - Mother Tinctu'!D6511</f>
        <v>0</v>
      </c>
      <c r="AB6510" s="117">
        <f t="shared" si="104"/>
        <v>0</v>
      </c>
      <c r="AC6510" s="117" t="str">
        <f>IF(AB6510=1,COUNTIF($AB$3:AB6510,1),"")</f>
        <v/>
      </c>
      <c r="AD6510" s="117" t="str">
        <f>IFERROR(INDEX($AA$3:$AA$10000,MATCH(ROWS($AC$3:AC6510),$AC$3:$AC$10000,0)),"")</f>
        <v/>
      </c>
    </row>
    <row r="6511" spans="27:30">
      <c r="AA6511" s="117">
        <f>+'Ingredient List - Mother Tinctu'!D6512</f>
        <v>0</v>
      </c>
      <c r="AB6511" s="117">
        <f t="shared" si="104"/>
        <v>0</v>
      </c>
      <c r="AC6511" s="117" t="str">
        <f>IF(AB6511=1,COUNTIF($AB$3:AB6511,1),"")</f>
        <v/>
      </c>
      <c r="AD6511" s="117" t="str">
        <f>IFERROR(INDEX($AA$3:$AA$10000,MATCH(ROWS($AC$3:AC6511),$AC$3:$AC$10000,0)),"")</f>
        <v/>
      </c>
    </row>
    <row r="6512" spans="27:30">
      <c r="AA6512" s="117">
        <f>+'Ingredient List - Mother Tinctu'!D6513</f>
        <v>0</v>
      </c>
      <c r="AB6512" s="117">
        <f t="shared" si="104"/>
        <v>0</v>
      </c>
      <c r="AC6512" s="117" t="str">
        <f>IF(AB6512=1,COUNTIF($AB$3:AB6512,1),"")</f>
        <v/>
      </c>
      <c r="AD6512" s="117" t="str">
        <f>IFERROR(INDEX($AA$3:$AA$10000,MATCH(ROWS($AC$3:AC6512),$AC$3:$AC$10000,0)),"")</f>
        <v/>
      </c>
    </row>
    <row r="6513" spans="27:30">
      <c r="AA6513" s="117">
        <f>+'Ingredient List - Mother Tinctu'!D6514</f>
        <v>0</v>
      </c>
      <c r="AB6513" s="117">
        <f t="shared" si="104"/>
        <v>0</v>
      </c>
      <c r="AC6513" s="117" t="str">
        <f>IF(AB6513=1,COUNTIF($AB$3:AB6513,1),"")</f>
        <v/>
      </c>
      <c r="AD6513" s="117" t="str">
        <f>IFERROR(INDEX($AA$3:$AA$10000,MATCH(ROWS($AC$3:AC6513),$AC$3:$AC$10000,0)),"")</f>
        <v/>
      </c>
    </row>
    <row r="6514" spans="27:30">
      <c r="AA6514" s="117">
        <f>+'Ingredient List - Mother Tinctu'!D6515</f>
        <v>0</v>
      </c>
      <c r="AB6514" s="117">
        <f t="shared" si="104"/>
        <v>0</v>
      </c>
      <c r="AC6514" s="117" t="str">
        <f>IF(AB6514=1,COUNTIF($AB$3:AB6514,1),"")</f>
        <v/>
      </c>
      <c r="AD6514" s="117" t="str">
        <f>IFERROR(INDEX($AA$3:$AA$10000,MATCH(ROWS($AC$3:AC6514),$AC$3:$AC$10000,0)),"")</f>
        <v/>
      </c>
    </row>
    <row r="6515" spans="27:30">
      <c r="AA6515" s="117">
        <f>+'Ingredient List - Mother Tinctu'!D6516</f>
        <v>0</v>
      </c>
      <c r="AB6515" s="117">
        <f t="shared" si="104"/>
        <v>0</v>
      </c>
      <c r="AC6515" s="117" t="str">
        <f>IF(AB6515=1,COUNTIF($AB$3:AB6515,1),"")</f>
        <v/>
      </c>
      <c r="AD6515" s="117" t="str">
        <f>IFERROR(INDEX($AA$3:$AA$10000,MATCH(ROWS($AC$3:AC6515),$AC$3:$AC$10000,0)),"")</f>
        <v/>
      </c>
    </row>
    <row r="6516" spans="27:30">
      <c r="AA6516" s="117">
        <f>+'Ingredient List - Mother Tinctu'!D6517</f>
        <v>0</v>
      </c>
      <c r="AB6516" s="117">
        <f t="shared" si="104"/>
        <v>0</v>
      </c>
      <c r="AC6516" s="117" t="str">
        <f>IF(AB6516=1,COUNTIF($AB$3:AB6516,1),"")</f>
        <v/>
      </c>
      <c r="AD6516" s="117" t="str">
        <f>IFERROR(INDEX($AA$3:$AA$10000,MATCH(ROWS($AC$3:AC6516),$AC$3:$AC$10000,0)),"")</f>
        <v/>
      </c>
    </row>
    <row r="6517" spans="27:30">
      <c r="AA6517" s="117">
        <f>+'Ingredient List - Mother Tinctu'!D6518</f>
        <v>0</v>
      </c>
      <c r="AB6517" s="117">
        <f t="shared" si="104"/>
        <v>0</v>
      </c>
      <c r="AC6517" s="117" t="str">
        <f>IF(AB6517=1,COUNTIF($AB$3:AB6517,1),"")</f>
        <v/>
      </c>
      <c r="AD6517" s="117" t="str">
        <f>IFERROR(INDEX($AA$3:$AA$10000,MATCH(ROWS($AC$3:AC6517),$AC$3:$AC$10000,0)),"")</f>
        <v/>
      </c>
    </row>
    <row r="6518" spans="27:30">
      <c r="AA6518" s="117">
        <f>+'Ingredient List - Mother Tinctu'!D6519</f>
        <v>0</v>
      </c>
      <c r="AB6518" s="117">
        <f t="shared" si="104"/>
        <v>0</v>
      </c>
      <c r="AC6518" s="117" t="str">
        <f>IF(AB6518=1,COUNTIF($AB$3:AB6518,1),"")</f>
        <v/>
      </c>
      <c r="AD6518" s="117" t="str">
        <f>IFERROR(INDEX($AA$3:$AA$10000,MATCH(ROWS($AC$3:AC6518),$AC$3:$AC$10000,0)),"")</f>
        <v/>
      </c>
    </row>
    <row r="6519" spans="27:30">
      <c r="AA6519" s="117">
        <f>+'Ingredient List - Mother Tinctu'!D6520</f>
        <v>0</v>
      </c>
      <c r="AB6519" s="117">
        <f t="shared" si="104"/>
        <v>0</v>
      </c>
      <c r="AC6519" s="117" t="str">
        <f>IF(AB6519=1,COUNTIF($AB$3:AB6519,1),"")</f>
        <v/>
      </c>
      <c r="AD6519" s="117" t="str">
        <f>IFERROR(INDEX($AA$3:$AA$10000,MATCH(ROWS($AC$3:AC6519),$AC$3:$AC$10000,0)),"")</f>
        <v/>
      </c>
    </row>
    <row r="6520" spans="27:30">
      <c r="AA6520" s="117">
        <f>+'Ingredient List - Mother Tinctu'!D6521</f>
        <v>0</v>
      </c>
      <c r="AB6520" s="117">
        <f t="shared" si="104"/>
        <v>0</v>
      </c>
      <c r="AC6520" s="117" t="str">
        <f>IF(AB6520=1,COUNTIF($AB$3:AB6520,1),"")</f>
        <v/>
      </c>
      <c r="AD6520" s="117" t="str">
        <f>IFERROR(INDEX($AA$3:$AA$10000,MATCH(ROWS($AC$3:AC6520),$AC$3:$AC$10000,0)),"")</f>
        <v/>
      </c>
    </row>
    <row r="6521" spans="27:30">
      <c r="AA6521" s="117">
        <f>+'Ingredient List - Mother Tinctu'!D6522</f>
        <v>0</v>
      </c>
      <c r="AB6521" s="117">
        <f t="shared" si="104"/>
        <v>0</v>
      </c>
      <c r="AC6521" s="117" t="str">
        <f>IF(AB6521=1,COUNTIF($AB$3:AB6521,1),"")</f>
        <v/>
      </c>
      <c r="AD6521" s="117" t="str">
        <f>IFERROR(INDEX($AA$3:$AA$10000,MATCH(ROWS($AC$3:AC6521),$AC$3:$AC$10000,0)),"")</f>
        <v/>
      </c>
    </row>
    <row r="6522" spans="27:30">
      <c r="AA6522" s="117">
        <f>+'Ingredient List - Mother Tinctu'!D6523</f>
        <v>0</v>
      </c>
      <c r="AB6522" s="117">
        <f t="shared" si="104"/>
        <v>0</v>
      </c>
      <c r="AC6522" s="117" t="str">
        <f>IF(AB6522=1,COUNTIF($AB$3:AB6522,1),"")</f>
        <v/>
      </c>
      <c r="AD6522" s="117" t="str">
        <f>IFERROR(INDEX($AA$3:$AA$10000,MATCH(ROWS($AC$3:AC6522),$AC$3:$AC$10000,0)),"")</f>
        <v/>
      </c>
    </row>
    <row r="6523" spans="27:30">
      <c r="AA6523" s="117">
        <f>+'Ingredient List - Mother Tinctu'!D6524</f>
        <v>0</v>
      </c>
      <c r="AB6523" s="117">
        <f t="shared" si="104"/>
        <v>0</v>
      </c>
      <c r="AC6523" s="117" t="str">
        <f>IF(AB6523=1,COUNTIF($AB$3:AB6523,1),"")</f>
        <v/>
      </c>
      <c r="AD6523" s="117" t="str">
        <f>IFERROR(INDEX($AA$3:$AA$10000,MATCH(ROWS($AC$3:AC6523),$AC$3:$AC$10000,0)),"")</f>
        <v/>
      </c>
    </row>
    <row r="6524" spans="27:30">
      <c r="AA6524" s="117">
        <f>+'Ingredient List - Mother Tinctu'!D6525</f>
        <v>0</v>
      </c>
      <c r="AB6524" s="117">
        <f t="shared" si="104"/>
        <v>0</v>
      </c>
      <c r="AC6524" s="117" t="str">
        <f>IF(AB6524=1,COUNTIF($AB$3:AB6524,1),"")</f>
        <v/>
      </c>
      <c r="AD6524" s="117" t="str">
        <f>IFERROR(INDEX($AA$3:$AA$10000,MATCH(ROWS($AC$3:AC6524),$AC$3:$AC$10000,0)),"")</f>
        <v/>
      </c>
    </row>
    <row r="6525" spans="27:30">
      <c r="AA6525" s="117">
        <f>+'Ingredient List - Mother Tinctu'!D6526</f>
        <v>0</v>
      </c>
      <c r="AB6525" s="117">
        <f t="shared" si="104"/>
        <v>0</v>
      </c>
      <c r="AC6525" s="117" t="str">
        <f>IF(AB6525=1,COUNTIF($AB$3:AB6525,1),"")</f>
        <v/>
      </c>
      <c r="AD6525" s="117" t="str">
        <f>IFERROR(INDEX($AA$3:$AA$10000,MATCH(ROWS($AC$3:AC6525),$AC$3:$AC$10000,0)),"")</f>
        <v/>
      </c>
    </row>
    <row r="6526" spans="27:30">
      <c r="AA6526" s="117">
        <f>+'Ingredient List - Mother Tinctu'!D6527</f>
        <v>0</v>
      </c>
      <c r="AB6526" s="117">
        <f t="shared" si="104"/>
        <v>0</v>
      </c>
      <c r="AC6526" s="117" t="str">
        <f>IF(AB6526=1,COUNTIF($AB$3:AB6526,1),"")</f>
        <v/>
      </c>
      <c r="AD6526" s="117" t="str">
        <f>IFERROR(INDEX($AA$3:$AA$10000,MATCH(ROWS($AC$3:AC6526),$AC$3:$AC$10000,0)),"")</f>
        <v/>
      </c>
    </row>
    <row r="6527" spans="27:30">
      <c r="AA6527" s="117">
        <f>+'Ingredient List - Mother Tinctu'!D6528</f>
        <v>0</v>
      </c>
      <c r="AB6527" s="117">
        <f t="shared" si="104"/>
        <v>0</v>
      </c>
      <c r="AC6527" s="117" t="str">
        <f>IF(AB6527=1,COUNTIF($AB$3:AB6527,1),"")</f>
        <v/>
      </c>
      <c r="AD6527" s="117" t="str">
        <f>IFERROR(INDEX($AA$3:$AA$10000,MATCH(ROWS($AC$3:AC6527),$AC$3:$AC$10000,0)),"")</f>
        <v/>
      </c>
    </row>
    <row r="6528" spans="27:30">
      <c r="AA6528" s="117">
        <f>+'Ingredient List - Mother Tinctu'!D6529</f>
        <v>0</v>
      </c>
      <c r="AB6528" s="117">
        <f t="shared" si="104"/>
        <v>0</v>
      </c>
      <c r="AC6528" s="117" t="str">
        <f>IF(AB6528=1,COUNTIF($AB$3:AB6528,1),"")</f>
        <v/>
      </c>
      <c r="AD6528" s="117" t="str">
        <f>IFERROR(INDEX($AA$3:$AA$10000,MATCH(ROWS($AC$3:AC6528),$AC$3:$AC$10000,0)),"")</f>
        <v/>
      </c>
    </row>
    <row r="6529" spans="27:30">
      <c r="AA6529" s="117">
        <f>+'Ingredient List - Mother Tinctu'!D6530</f>
        <v>0</v>
      </c>
      <c r="AB6529" s="117">
        <f t="shared" si="104"/>
        <v>0</v>
      </c>
      <c r="AC6529" s="117" t="str">
        <f>IF(AB6529=1,COUNTIF($AB$3:AB6529,1),"")</f>
        <v/>
      </c>
      <c r="AD6529" s="117" t="str">
        <f>IFERROR(INDEX($AA$3:$AA$10000,MATCH(ROWS($AC$3:AC6529),$AC$3:$AC$10000,0)),"")</f>
        <v/>
      </c>
    </row>
    <row r="6530" spans="27:30">
      <c r="AA6530" s="117">
        <f>+'Ingredient List - Mother Tinctu'!D6531</f>
        <v>0</v>
      </c>
      <c r="AB6530" s="117">
        <f t="shared" si="104"/>
        <v>0</v>
      </c>
      <c r="AC6530" s="117" t="str">
        <f>IF(AB6530=1,COUNTIF($AB$3:AB6530,1),"")</f>
        <v/>
      </c>
      <c r="AD6530" s="117" t="str">
        <f>IFERROR(INDEX($AA$3:$AA$10000,MATCH(ROWS($AC$3:AC6530),$AC$3:$AC$10000,0)),"")</f>
        <v/>
      </c>
    </row>
    <row r="6531" spans="27:30">
      <c r="AA6531" s="117">
        <f>+'Ingredient List - Mother Tinctu'!D6532</f>
        <v>0</v>
      </c>
      <c r="AB6531" s="117">
        <f t="shared" si="104"/>
        <v>0</v>
      </c>
      <c r="AC6531" s="117" t="str">
        <f>IF(AB6531=1,COUNTIF($AB$3:AB6531,1),"")</f>
        <v/>
      </c>
      <c r="AD6531" s="117" t="str">
        <f>IFERROR(INDEX($AA$3:$AA$10000,MATCH(ROWS($AC$3:AC6531),$AC$3:$AC$10000,0)),"")</f>
        <v/>
      </c>
    </row>
    <row r="6532" spans="27:30">
      <c r="AA6532" s="117">
        <f>+'Ingredient List - Mother Tinctu'!D6533</f>
        <v>0</v>
      </c>
      <c r="AB6532" s="117">
        <f t="shared" ref="AB6532:AB6595" si="105">--ISNUMBER(IFERROR(SEARCH($D$3,AA6532,1),""))</f>
        <v>0</v>
      </c>
      <c r="AC6532" s="117" t="str">
        <f>IF(AB6532=1,COUNTIF($AB$3:AB6532,1),"")</f>
        <v/>
      </c>
      <c r="AD6532" s="117" t="str">
        <f>IFERROR(INDEX($AA$3:$AA$10000,MATCH(ROWS($AC$3:AC6532),$AC$3:$AC$10000,0)),"")</f>
        <v/>
      </c>
    </row>
    <row r="6533" spans="27:30">
      <c r="AA6533" s="117">
        <f>+'Ingredient List - Mother Tinctu'!D6534</f>
        <v>0</v>
      </c>
      <c r="AB6533" s="117">
        <f t="shared" si="105"/>
        <v>0</v>
      </c>
      <c r="AC6533" s="117" t="str">
        <f>IF(AB6533=1,COUNTIF($AB$3:AB6533,1),"")</f>
        <v/>
      </c>
      <c r="AD6533" s="117" t="str">
        <f>IFERROR(INDEX($AA$3:$AA$10000,MATCH(ROWS($AC$3:AC6533),$AC$3:$AC$10000,0)),"")</f>
        <v/>
      </c>
    </row>
    <row r="6534" spans="27:30">
      <c r="AA6534" s="117">
        <f>+'Ingredient List - Mother Tinctu'!D6535</f>
        <v>0</v>
      </c>
      <c r="AB6534" s="117">
        <f t="shared" si="105"/>
        <v>0</v>
      </c>
      <c r="AC6534" s="117" t="str">
        <f>IF(AB6534=1,COUNTIF($AB$3:AB6534,1),"")</f>
        <v/>
      </c>
      <c r="AD6534" s="117" t="str">
        <f>IFERROR(INDEX($AA$3:$AA$10000,MATCH(ROWS($AC$3:AC6534),$AC$3:$AC$10000,0)),"")</f>
        <v/>
      </c>
    </row>
    <row r="6535" spans="27:30">
      <c r="AA6535" s="117">
        <f>+'Ingredient List - Mother Tinctu'!D6536</f>
        <v>0</v>
      </c>
      <c r="AB6535" s="117">
        <f t="shared" si="105"/>
        <v>0</v>
      </c>
      <c r="AC6535" s="117" t="str">
        <f>IF(AB6535=1,COUNTIF($AB$3:AB6535,1),"")</f>
        <v/>
      </c>
      <c r="AD6535" s="117" t="str">
        <f>IFERROR(INDEX($AA$3:$AA$10000,MATCH(ROWS($AC$3:AC6535),$AC$3:$AC$10000,0)),"")</f>
        <v/>
      </c>
    </row>
    <row r="6536" spans="27:30">
      <c r="AA6536" s="117">
        <f>+'Ingredient List - Mother Tinctu'!D6537</f>
        <v>0</v>
      </c>
      <c r="AB6536" s="117">
        <f t="shared" si="105"/>
        <v>0</v>
      </c>
      <c r="AC6536" s="117" t="str">
        <f>IF(AB6536=1,COUNTIF($AB$3:AB6536,1),"")</f>
        <v/>
      </c>
      <c r="AD6536" s="117" t="str">
        <f>IFERROR(INDEX($AA$3:$AA$10000,MATCH(ROWS($AC$3:AC6536),$AC$3:$AC$10000,0)),"")</f>
        <v/>
      </c>
    </row>
    <row r="6537" spans="27:30">
      <c r="AA6537" s="117">
        <f>+'Ingredient List - Mother Tinctu'!D6538</f>
        <v>0</v>
      </c>
      <c r="AB6537" s="117">
        <f t="shared" si="105"/>
        <v>0</v>
      </c>
      <c r="AC6537" s="117" t="str">
        <f>IF(AB6537=1,COUNTIF($AB$3:AB6537,1),"")</f>
        <v/>
      </c>
      <c r="AD6537" s="117" t="str">
        <f>IFERROR(INDEX($AA$3:$AA$10000,MATCH(ROWS($AC$3:AC6537),$AC$3:$AC$10000,0)),"")</f>
        <v/>
      </c>
    </row>
    <row r="6538" spans="27:30">
      <c r="AA6538" s="117">
        <f>+'Ingredient List - Mother Tinctu'!D6539</f>
        <v>0</v>
      </c>
      <c r="AB6538" s="117">
        <f t="shared" si="105"/>
        <v>0</v>
      </c>
      <c r="AC6538" s="117" t="str">
        <f>IF(AB6538=1,COUNTIF($AB$3:AB6538,1),"")</f>
        <v/>
      </c>
      <c r="AD6538" s="117" t="str">
        <f>IFERROR(INDEX($AA$3:$AA$10000,MATCH(ROWS($AC$3:AC6538),$AC$3:$AC$10000,0)),"")</f>
        <v/>
      </c>
    </row>
    <row r="6539" spans="27:30">
      <c r="AA6539" s="117">
        <f>+'Ingredient List - Mother Tinctu'!D6540</f>
        <v>0</v>
      </c>
      <c r="AB6539" s="117">
        <f t="shared" si="105"/>
        <v>0</v>
      </c>
      <c r="AC6539" s="117" t="str">
        <f>IF(AB6539=1,COUNTIF($AB$3:AB6539,1),"")</f>
        <v/>
      </c>
      <c r="AD6539" s="117" t="str">
        <f>IFERROR(INDEX($AA$3:$AA$10000,MATCH(ROWS($AC$3:AC6539),$AC$3:$AC$10000,0)),"")</f>
        <v/>
      </c>
    </row>
    <row r="6540" spans="27:30">
      <c r="AA6540" s="117">
        <f>+'Ingredient List - Mother Tinctu'!D6541</f>
        <v>0</v>
      </c>
      <c r="AB6540" s="117">
        <f t="shared" si="105"/>
        <v>0</v>
      </c>
      <c r="AC6540" s="117" t="str">
        <f>IF(AB6540=1,COUNTIF($AB$3:AB6540,1),"")</f>
        <v/>
      </c>
      <c r="AD6540" s="117" t="str">
        <f>IFERROR(INDEX($AA$3:$AA$10000,MATCH(ROWS($AC$3:AC6540),$AC$3:$AC$10000,0)),"")</f>
        <v/>
      </c>
    </row>
    <row r="6541" spans="27:30">
      <c r="AA6541" s="117">
        <f>+'Ingredient List - Mother Tinctu'!D6542</f>
        <v>0</v>
      </c>
      <c r="AB6541" s="117">
        <f t="shared" si="105"/>
        <v>0</v>
      </c>
      <c r="AC6541" s="117" t="str">
        <f>IF(AB6541=1,COUNTIF($AB$3:AB6541,1),"")</f>
        <v/>
      </c>
      <c r="AD6541" s="117" t="str">
        <f>IFERROR(INDEX($AA$3:$AA$10000,MATCH(ROWS($AC$3:AC6541),$AC$3:$AC$10000,0)),"")</f>
        <v/>
      </c>
    </row>
    <row r="6542" spans="27:30">
      <c r="AA6542" s="117">
        <f>+'Ingredient List - Mother Tinctu'!D6543</f>
        <v>0</v>
      </c>
      <c r="AB6542" s="117">
        <f t="shared" si="105"/>
        <v>0</v>
      </c>
      <c r="AC6542" s="117" t="str">
        <f>IF(AB6542=1,COUNTIF($AB$3:AB6542,1),"")</f>
        <v/>
      </c>
      <c r="AD6542" s="117" t="str">
        <f>IFERROR(INDEX($AA$3:$AA$10000,MATCH(ROWS($AC$3:AC6542),$AC$3:$AC$10000,0)),"")</f>
        <v/>
      </c>
    </row>
    <row r="6543" spans="27:30">
      <c r="AA6543" s="117">
        <f>+'Ingredient List - Mother Tinctu'!D6544</f>
        <v>0</v>
      </c>
      <c r="AB6543" s="117">
        <f t="shared" si="105"/>
        <v>0</v>
      </c>
      <c r="AC6543" s="117" t="str">
        <f>IF(AB6543=1,COUNTIF($AB$3:AB6543,1),"")</f>
        <v/>
      </c>
      <c r="AD6543" s="117" t="str">
        <f>IFERROR(INDEX($AA$3:$AA$10000,MATCH(ROWS($AC$3:AC6543),$AC$3:$AC$10000,0)),"")</f>
        <v/>
      </c>
    </row>
    <row r="6544" spans="27:30">
      <c r="AA6544" s="117">
        <f>+'Ingredient List - Mother Tinctu'!D6545</f>
        <v>0</v>
      </c>
      <c r="AB6544" s="117">
        <f t="shared" si="105"/>
        <v>0</v>
      </c>
      <c r="AC6544" s="117" t="str">
        <f>IF(AB6544=1,COUNTIF($AB$3:AB6544,1),"")</f>
        <v/>
      </c>
      <c r="AD6544" s="117" t="str">
        <f>IFERROR(INDEX($AA$3:$AA$10000,MATCH(ROWS($AC$3:AC6544),$AC$3:$AC$10000,0)),"")</f>
        <v/>
      </c>
    </row>
    <row r="6545" spans="27:30">
      <c r="AA6545" s="117">
        <f>+'Ingredient List - Mother Tinctu'!D6546</f>
        <v>0</v>
      </c>
      <c r="AB6545" s="117">
        <f t="shared" si="105"/>
        <v>0</v>
      </c>
      <c r="AC6545" s="117" t="str">
        <f>IF(AB6545=1,COUNTIF($AB$3:AB6545,1),"")</f>
        <v/>
      </c>
      <c r="AD6545" s="117" t="str">
        <f>IFERROR(INDEX($AA$3:$AA$10000,MATCH(ROWS($AC$3:AC6545),$AC$3:$AC$10000,0)),"")</f>
        <v/>
      </c>
    </row>
    <row r="6546" spans="27:30">
      <c r="AA6546" s="117">
        <f>+'Ingredient List - Mother Tinctu'!D6547</f>
        <v>0</v>
      </c>
      <c r="AB6546" s="117">
        <f t="shared" si="105"/>
        <v>0</v>
      </c>
      <c r="AC6546" s="117" t="str">
        <f>IF(AB6546=1,COUNTIF($AB$3:AB6546,1),"")</f>
        <v/>
      </c>
      <c r="AD6546" s="117" t="str">
        <f>IFERROR(INDEX($AA$3:$AA$10000,MATCH(ROWS($AC$3:AC6546),$AC$3:$AC$10000,0)),"")</f>
        <v/>
      </c>
    </row>
    <row r="6547" spans="27:30">
      <c r="AA6547" s="117">
        <f>+'Ingredient List - Mother Tinctu'!D6548</f>
        <v>0</v>
      </c>
      <c r="AB6547" s="117">
        <f t="shared" si="105"/>
        <v>0</v>
      </c>
      <c r="AC6547" s="117" t="str">
        <f>IF(AB6547=1,COUNTIF($AB$3:AB6547,1),"")</f>
        <v/>
      </c>
      <c r="AD6547" s="117" t="str">
        <f>IFERROR(INDEX($AA$3:$AA$10000,MATCH(ROWS($AC$3:AC6547),$AC$3:$AC$10000,0)),"")</f>
        <v/>
      </c>
    </row>
    <row r="6548" spans="27:30">
      <c r="AA6548" s="117">
        <f>+'Ingredient List - Mother Tinctu'!D6549</f>
        <v>0</v>
      </c>
      <c r="AB6548" s="117">
        <f t="shared" si="105"/>
        <v>0</v>
      </c>
      <c r="AC6548" s="117" t="str">
        <f>IF(AB6548=1,COUNTIF($AB$3:AB6548,1),"")</f>
        <v/>
      </c>
      <c r="AD6548" s="117" t="str">
        <f>IFERROR(INDEX($AA$3:$AA$10000,MATCH(ROWS($AC$3:AC6548),$AC$3:$AC$10000,0)),"")</f>
        <v/>
      </c>
    </row>
    <row r="6549" spans="27:30">
      <c r="AA6549" s="117">
        <f>+'Ingredient List - Mother Tinctu'!D6550</f>
        <v>0</v>
      </c>
      <c r="AB6549" s="117">
        <f t="shared" si="105"/>
        <v>0</v>
      </c>
      <c r="AC6549" s="117" t="str">
        <f>IF(AB6549=1,COUNTIF($AB$3:AB6549,1),"")</f>
        <v/>
      </c>
      <c r="AD6549" s="117" t="str">
        <f>IFERROR(INDEX($AA$3:$AA$10000,MATCH(ROWS($AC$3:AC6549),$AC$3:$AC$10000,0)),"")</f>
        <v/>
      </c>
    </row>
    <row r="6550" spans="27:30">
      <c r="AA6550" s="117">
        <f>+'Ingredient List - Mother Tinctu'!D6551</f>
        <v>0</v>
      </c>
      <c r="AB6550" s="117">
        <f t="shared" si="105"/>
        <v>0</v>
      </c>
      <c r="AC6550" s="117" t="str">
        <f>IF(AB6550=1,COUNTIF($AB$3:AB6550,1),"")</f>
        <v/>
      </c>
      <c r="AD6550" s="117" t="str">
        <f>IFERROR(INDEX($AA$3:$AA$10000,MATCH(ROWS($AC$3:AC6550),$AC$3:$AC$10000,0)),"")</f>
        <v/>
      </c>
    </row>
    <row r="6551" spans="27:30">
      <c r="AA6551" s="117">
        <f>+'Ingredient List - Mother Tinctu'!D6552</f>
        <v>0</v>
      </c>
      <c r="AB6551" s="117">
        <f t="shared" si="105"/>
        <v>0</v>
      </c>
      <c r="AC6551" s="117" t="str">
        <f>IF(AB6551=1,COUNTIF($AB$3:AB6551,1),"")</f>
        <v/>
      </c>
      <c r="AD6551" s="117" t="str">
        <f>IFERROR(INDEX($AA$3:$AA$10000,MATCH(ROWS($AC$3:AC6551),$AC$3:$AC$10000,0)),"")</f>
        <v/>
      </c>
    </row>
    <row r="6552" spans="27:30">
      <c r="AA6552" s="117">
        <f>+'Ingredient List - Mother Tinctu'!D6553</f>
        <v>0</v>
      </c>
      <c r="AB6552" s="117">
        <f t="shared" si="105"/>
        <v>0</v>
      </c>
      <c r="AC6552" s="117" t="str">
        <f>IF(AB6552=1,COUNTIF($AB$3:AB6552,1),"")</f>
        <v/>
      </c>
      <c r="AD6552" s="117" t="str">
        <f>IFERROR(INDEX($AA$3:$AA$10000,MATCH(ROWS($AC$3:AC6552),$AC$3:$AC$10000,0)),"")</f>
        <v/>
      </c>
    </row>
    <row r="6553" spans="27:30">
      <c r="AA6553" s="117">
        <f>+'Ingredient List - Mother Tinctu'!D6554</f>
        <v>0</v>
      </c>
      <c r="AB6553" s="117">
        <f t="shared" si="105"/>
        <v>0</v>
      </c>
      <c r="AC6553" s="117" t="str">
        <f>IF(AB6553=1,COUNTIF($AB$3:AB6553,1),"")</f>
        <v/>
      </c>
      <c r="AD6553" s="117" t="str">
        <f>IFERROR(INDEX($AA$3:$AA$10000,MATCH(ROWS($AC$3:AC6553),$AC$3:$AC$10000,0)),"")</f>
        <v/>
      </c>
    </row>
    <row r="6554" spans="27:30">
      <c r="AA6554" s="117">
        <f>+'Ingredient List - Mother Tinctu'!D6555</f>
        <v>0</v>
      </c>
      <c r="AB6554" s="117">
        <f t="shared" si="105"/>
        <v>0</v>
      </c>
      <c r="AC6554" s="117" t="str">
        <f>IF(AB6554=1,COUNTIF($AB$3:AB6554,1),"")</f>
        <v/>
      </c>
      <c r="AD6554" s="117" t="str">
        <f>IFERROR(INDEX($AA$3:$AA$10000,MATCH(ROWS($AC$3:AC6554),$AC$3:$AC$10000,0)),"")</f>
        <v/>
      </c>
    </row>
    <row r="6555" spans="27:30">
      <c r="AA6555" s="117">
        <f>+'Ingredient List - Mother Tinctu'!D6556</f>
        <v>0</v>
      </c>
      <c r="AB6555" s="117">
        <f t="shared" si="105"/>
        <v>0</v>
      </c>
      <c r="AC6555" s="117" t="str">
        <f>IF(AB6555=1,COUNTIF($AB$3:AB6555,1),"")</f>
        <v/>
      </c>
      <c r="AD6555" s="117" t="str">
        <f>IFERROR(INDEX($AA$3:$AA$10000,MATCH(ROWS($AC$3:AC6555),$AC$3:$AC$10000,0)),"")</f>
        <v/>
      </c>
    </row>
    <row r="6556" spans="27:30">
      <c r="AA6556" s="117">
        <f>+'Ingredient List - Mother Tinctu'!D6557</f>
        <v>0</v>
      </c>
      <c r="AB6556" s="117">
        <f t="shared" si="105"/>
        <v>0</v>
      </c>
      <c r="AC6556" s="117" t="str">
        <f>IF(AB6556=1,COUNTIF($AB$3:AB6556,1),"")</f>
        <v/>
      </c>
      <c r="AD6556" s="117" t="str">
        <f>IFERROR(INDEX($AA$3:$AA$10000,MATCH(ROWS($AC$3:AC6556),$AC$3:$AC$10000,0)),"")</f>
        <v/>
      </c>
    </row>
    <row r="6557" spans="27:30">
      <c r="AA6557" s="117">
        <f>+'Ingredient List - Mother Tinctu'!D6558</f>
        <v>0</v>
      </c>
      <c r="AB6557" s="117">
        <f t="shared" si="105"/>
        <v>0</v>
      </c>
      <c r="AC6557" s="117" t="str">
        <f>IF(AB6557=1,COUNTIF($AB$3:AB6557,1),"")</f>
        <v/>
      </c>
      <c r="AD6557" s="117" t="str">
        <f>IFERROR(INDEX($AA$3:$AA$10000,MATCH(ROWS($AC$3:AC6557),$AC$3:$AC$10000,0)),"")</f>
        <v/>
      </c>
    </row>
    <row r="6558" spans="27:30">
      <c r="AA6558" s="117">
        <f>+'Ingredient List - Mother Tinctu'!D6559</f>
        <v>0</v>
      </c>
      <c r="AB6558" s="117">
        <f t="shared" si="105"/>
        <v>0</v>
      </c>
      <c r="AC6558" s="117" t="str">
        <f>IF(AB6558=1,COUNTIF($AB$3:AB6558,1),"")</f>
        <v/>
      </c>
      <c r="AD6558" s="117" t="str">
        <f>IFERROR(INDEX($AA$3:$AA$10000,MATCH(ROWS($AC$3:AC6558),$AC$3:$AC$10000,0)),"")</f>
        <v/>
      </c>
    </row>
    <row r="6559" spans="27:30">
      <c r="AA6559" s="117">
        <f>+'Ingredient List - Mother Tinctu'!D6560</f>
        <v>0</v>
      </c>
      <c r="AB6559" s="117">
        <f t="shared" si="105"/>
        <v>0</v>
      </c>
      <c r="AC6559" s="117" t="str">
        <f>IF(AB6559=1,COUNTIF($AB$3:AB6559,1),"")</f>
        <v/>
      </c>
      <c r="AD6559" s="117" t="str">
        <f>IFERROR(INDEX($AA$3:$AA$10000,MATCH(ROWS($AC$3:AC6559),$AC$3:$AC$10000,0)),"")</f>
        <v/>
      </c>
    </row>
    <row r="6560" spans="27:30">
      <c r="AA6560" s="117">
        <f>+'Ingredient List - Mother Tinctu'!D6561</f>
        <v>0</v>
      </c>
      <c r="AB6560" s="117">
        <f t="shared" si="105"/>
        <v>0</v>
      </c>
      <c r="AC6560" s="117" t="str">
        <f>IF(AB6560=1,COUNTIF($AB$3:AB6560,1),"")</f>
        <v/>
      </c>
      <c r="AD6560" s="117" t="str">
        <f>IFERROR(INDEX($AA$3:$AA$10000,MATCH(ROWS($AC$3:AC6560),$AC$3:$AC$10000,0)),"")</f>
        <v/>
      </c>
    </row>
    <row r="6561" spans="27:30">
      <c r="AA6561" s="117">
        <f>+'Ingredient List - Mother Tinctu'!D6562</f>
        <v>0</v>
      </c>
      <c r="AB6561" s="117">
        <f t="shared" si="105"/>
        <v>0</v>
      </c>
      <c r="AC6561" s="117" t="str">
        <f>IF(AB6561=1,COUNTIF($AB$3:AB6561,1),"")</f>
        <v/>
      </c>
      <c r="AD6561" s="117" t="str">
        <f>IFERROR(INDEX($AA$3:$AA$10000,MATCH(ROWS($AC$3:AC6561),$AC$3:$AC$10000,0)),"")</f>
        <v/>
      </c>
    </row>
    <row r="6562" spans="27:30">
      <c r="AA6562" s="117">
        <f>+'Ingredient List - Mother Tinctu'!D6563</f>
        <v>0</v>
      </c>
      <c r="AB6562" s="117">
        <f t="shared" si="105"/>
        <v>0</v>
      </c>
      <c r="AC6562" s="117" t="str">
        <f>IF(AB6562=1,COUNTIF($AB$3:AB6562,1),"")</f>
        <v/>
      </c>
      <c r="AD6562" s="117" t="str">
        <f>IFERROR(INDEX($AA$3:$AA$10000,MATCH(ROWS($AC$3:AC6562),$AC$3:$AC$10000,0)),"")</f>
        <v/>
      </c>
    </row>
    <row r="6563" spans="27:30">
      <c r="AA6563" s="117">
        <f>+'Ingredient List - Mother Tinctu'!D6564</f>
        <v>0</v>
      </c>
      <c r="AB6563" s="117">
        <f t="shared" si="105"/>
        <v>0</v>
      </c>
      <c r="AC6563" s="117" t="str">
        <f>IF(AB6563=1,COUNTIF($AB$3:AB6563,1),"")</f>
        <v/>
      </c>
      <c r="AD6563" s="117" t="str">
        <f>IFERROR(INDEX($AA$3:$AA$10000,MATCH(ROWS($AC$3:AC6563),$AC$3:$AC$10000,0)),"")</f>
        <v/>
      </c>
    </row>
    <row r="6564" spans="27:30">
      <c r="AA6564" s="117">
        <f>+'Ingredient List - Mother Tinctu'!D6565</f>
        <v>0</v>
      </c>
      <c r="AB6564" s="117">
        <f t="shared" si="105"/>
        <v>0</v>
      </c>
      <c r="AC6564" s="117" t="str">
        <f>IF(AB6564=1,COUNTIF($AB$3:AB6564,1),"")</f>
        <v/>
      </c>
      <c r="AD6564" s="117" t="str">
        <f>IFERROR(INDEX($AA$3:$AA$10000,MATCH(ROWS($AC$3:AC6564),$AC$3:$AC$10000,0)),"")</f>
        <v/>
      </c>
    </row>
    <row r="6565" spans="27:30">
      <c r="AA6565" s="117">
        <f>+'Ingredient List - Mother Tinctu'!D6566</f>
        <v>0</v>
      </c>
      <c r="AB6565" s="117">
        <f t="shared" si="105"/>
        <v>0</v>
      </c>
      <c r="AC6565" s="117" t="str">
        <f>IF(AB6565=1,COUNTIF($AB$3:AB6565,1),"")</f>
        <v/>
      </c>
      <c r="AD6565" s="117" t="str">
        <f>IFERROR(INDEX($AA$3:$AA$10000,MATCH(ROWS($AC$3:AC6565),$AC$3:$AC$10000,0)),"")</f>
        <v/>
      </c>
    </row>
    <row r="6566" spans="27:30">
      <c r="AA6566" s="117">
        <f>+'Ingredient List - Mother Tinctu'!D6567</f>
        <v>0</v>
      </c>
      <c r="AB6566" s="117">
        <f t="shared" si="105"/>
        <v>0</v>
      </c>
      <c r="AC6566" s="117" t="str">
        <f>IF(AB6566=1,COUNTIF($AB$3:AB6566,1),"")</f>
        <v/>
      </c>
      <c r="AD6566" s="117" t="str">
        <f>IFERROR(INDEX($AA$3:$AA$10000,MATCH(ROWS($AC$3:AC6566),$AC$3:$AC$10000,0)),"")</f>
        <v/>
      </c>
    </row>
    <row r="6567" spans="27:30">
      <c r="AA6567" s="117">
        <f>+'Ingredient List - Mother Tinctu'!D6568</f>
        <v>0</v>
      </c>
      <c r="AB6567" s="117">
        <f t="shared" si="105"/>
        <v>0</v>
      </c>
      <c r="AC6567" s="117" t="str">
        <f>IF(AB6567=1,COUNTIF($AB$3:AB6567,1),"")</f>
        <v/>
      </c>
      <c r="AD6567" s="117" t="str">
        <f>IFERROR(INDEX($AA$3:$AA$10000,MATCH(ROWS($AC$3:AC6567),$AC$3:$AC$10000,0)),"")</f>
        <v/>
      </c>
    </row>
    <row r="6568" spans="27:30">
      <c r="AA6568" s="117">
        <f>+'Ingredient List - Mother Tinctu'!D6569</f>
        <v>0</v>
      </c>
      <c r="AB6568" s="117">
        <f t="shared" si="105"/>
        <v>0</v>
      </c>
      <c r="AC6568" s="117" t="str">
        <f>IF(AB6568=1,COUNTIF($AB$3:AB6568,1),"")</f>
        <v/>
      </c>
      <c r="AD6568" s="117" t="str">
        <f>IFERROR(INDEX($AA$3:$AA$10000,MATCH(ROWS($AC$3:AC6568),$AC$3:$AC$10000,0)),"")</f>
        <v/>
      </c>
    </row>
    <row r="6569" spans="27:30">
      <c r="AA6569" s="117">
        <f>+'Ingredient List - Mother Tinctu'!D6570</f>
        <v>0</v>
      </c>
      <c r="AB6569" s="117">
        <f t="shared" si="105"/>
        <v>0</v>
      </c>
      <c r="AC6569" s="117" t="str">
        <f>IF(AB6569=1,COUNTIF($AB$3:AB6569,1),"")</f>
        <v/>
      </c>
      <c r="AD6569" s="117" t="str">
        <f>IFERROR(INDEX($AA$3:$AA$10000,MATCH(ROWS($AC$3:AC6569),$AC$3:$AC$10000,0)),"")</f>
        <v/>
      </c>
    </row>
    <row r="6570" spans="27:30">
      <c r="AA6570" s="117">
        <f>+'Ingredient List - Mother Tinctu'!D6571</f>
        <v>0</v>
      </c>
      <c r="AB6570" s="117">
        <f t="shared" si="105"/>
        <v>0</v>
      </c>
      <c r="AC6570" s="117" t="str">
        <f>IF(AB6570=1,COUNTIF($AB$3:AB6570,1),"")</f>
        <v/>
      </c>
      <c r="AD6570" s="117" t="str">
        <f>IFERROR(INDEX($AA$3:$AA$10000,MATCH(ROWS($AC$3:AC6570),$AC$3:$AC$10000,0)),"")</f>
        <v/>
      </c>
    </row>
    <row r="6571" spans="27:30">
      <c r="AA6571" s="117">
        <f>+'Ingredient List - Mother Tinctu'!D6572</f>
        <v>0</v>
      </c>
      <c r="AB6571" s="117">
        <f t="shared" si="105"/>
        <v>0</v>
      </c>
      <c r="AC6571" s="117" t="str">
        <f>IF(AB6571=1,COUNTIF($AB$3:AB6571,1),"")</f>
        <v/>
      </c>
      <c r="AD6571" s="117" t="str">
        <f>IFERROR(INDEX($AA$3:$AA$10000,MATCH(ROWS($AC$3:AC6571),$AC$3:$AC$10000,0)),"")</f>
        <v/>
      </c>
    </row>
    <row r="6572" spans="27:30">
      <c r="AA6572" s="117">
        <f>+'Ingredient List - Mother Tinctu'!D6573</f>
        <v>0</v>
      </c>
      <c r="AB6572" s="117">
        <f t="shared" si="105"/>
        <v>0</v>
      </c>
      <c r="AC6572" s="117" t="str">
        <f>IF(AB6572=1,COUNTIF($AB$3:AB6572,1),"")</f>
        <v/>
      </c>
      <c r="AD6572" s="117" t="str">
        <f>IFERROR(INDEX($AA$3:$AA$10000,MATCH(ROWS($AC$3:AC6572),$AC$3:$AC$10000,0)),"")</f>
        <v/>
      </c>
    </row>
    <row r="6573" spans="27:30">
      <c r="AA6573" s="117">
        <f>+'Ingredient List - Mother Tinctu'!D6574</f>
        <v>0</v>
      </c>
      <c r="AB6573" s="117">
        <f t="shared" si="105"/>
        <v>0</v>
      </c>
      <c r="AC6573" s="117" t="str">
        <f>IF(AB6573=1,COUNTIF($AB$3:AB6573,1),"")</f>
        <v/>
      </c>
      <c r="AD6573" s="117" t="str">
        <f>IFERROR(INDEX($AA$3:$AA$10000,MATCH(ROWS($AC$3:AC6573),$AC$3:$AC$10000,0)),"")</f>
        <v/>
      </c>
    </row>
    <row r="6574" spans="27:30">
      <c r="AA6574" s="117">
        <f>+'Ingredient List - Mother Tinctu'!D6575</f>
        <v>0</v>
      </c>
      <c r="AB6574" s="117">
        <f t="shared" si="105"/>
        <v>0</v>
      </c>
      <c r="AC6574" s="117" t="str">
        <f>IF(AB6574=1,COUNTIF($AB$3:AB6574,1),"")</f>
        <v/>
      </c>
      <c r="AD6574" s="117" t="str">
        <f>IFERROR(INDEX($AA$3:$AA$10000,MATCH(ROWS($AC$3:AC6574),$AC$3:$AC$10000,0)),"")</f>
        <v/>
      </c>
    </row>
    <row r="6575" spans="27:30">
      <c r="AA6575" s="117">
        <f>+'Ingredient List - Mother Tinctu'!D6576</f>
        <v>0</v>
      </c>
      <c r="AB6575" s="117">
        <f t="shared" si="105"/>
        <v>0</v>
      </c>
      <c r="AC6575" s="117" t="str">
        <f>IF(AB6575=1,COUNTIF($AB$3:AB6575,1),"")</f>
        <v/>
      </c>
      <c r="AD6575" s="117" t="str">
        <f>IFERROR(INDEX($AA$3:$AA$10000,MATCH(ROWS($AC$3:AC6575),$AC$3:$AC$10000,0)),"")</f>
        <v/>
      </c>
    </row>
    <row r="6576" spans="27:30">
      <c r="AA6576" s="117">
        <f>+'Ingredient List - Mother Tinctu'!D6577</f>
        <v>0</v>
      </c>
      <c r="AB6576" s="117">
        <f t="shared" si="105"/>
        <v>0</v>
      </c>
      <c r="AC6576" s="117" t="str">
        <f>IF(AB6576=1,COUNTIF($AB$3:AB6576,1),"")</f>
        <v/>
      </c>
      <c r="AD6576" s="117" t="str">
        <f>IFERROR(INDEX($AA$3:$AA$10000,MATCH(ROWS($AC$3:AC6576),$AC$3:$AC$10000,0)),"")</f>
        <v/>
      </c>
    </row>
    <row r="6577" spans="27:30">
      <c r="AA6577" s="117">
        <f>+'Ingredient List - Mother Tinctu'!D6578</f>
        <v>0</v>
      </c>
      <c r="AB6577" s="117">
        <f t="shared" si="105"/>
        <v>0</v>
      </c>
      <c r="AC6577" s="117" t="str">
        <f>IF(AB6577=1,COUNTIF($AB$3:AB6577,1),"")</f>
        <v/>
      </c>
      <c r="AD6577" s="117" t="str">
        <f>IFERROR(INDEX($AA$3:$AA$10000,MATCH(ROWS($AC$3:AC6577),$AC$3:$AC$10000,0)),"")</f>
        <v/>
      </c>
    </row>
    <row r="6578" spans="27:30">
      <c r="AA6578" s="117">
        <f>+'Ingredient List - Mother Tinctu'!D6579</f>
        <v>0</v>
      </c>
      <c r="AB6578" s="117">
        <f t="shared" si="105"/>
        <v>0</v>
      </c>
      <c r="AC6578" s="117" t="str">
        <f>IF(AB6578=1,COUNTIF($AB$3:AB6578,1),"")</f>
        <v/>
      </c>
      <c r="AD6578" s="117" t="str">
        <f>IFERROR(INDEX($AA$3:$AA$10000,MATCH(ROWS($AC$3:AC6578),$AC$3:$AC$10000,0)),"")</f>
        <v/>
      </c>
    </row>
    <row r="6579" spans="27:30">
      <c r="AA6579" s="117">
        <f>+'Ingredient List - Mother Tinctu'!D6580</f>
        <v>0</v>
      </c>
      <c r="AB6579" s="117">
        <f t="shared" si="105"/>
        <v>0</v>
      </c>
      <c r="AC6579" s="117" t="str">
        <f>IF(AB6579=1,COUNTIF($AB$3:AB6579,1),"")</f>
        <v/>
      </c>
      <c r="AD6579" s="117" t="str">
        <f>IFERROR(INDEX($AA$3:$AA$10000,MATCH(ROWS($AC$3:AC6579),$AC$3:$AC$10000,0)),"")</f>
        <v/>
      </c>
    </row>
    <row r="6580" spans="27:30">
      <c r="AA6580" s="117">
        <f>+'Ingredient List - Mother Tinctu'!D6581</f>
        <v>0</v>
      </c>
      <c r="AB6580" s="117">
        <f t="shared" si="105"/>
        <v>0</v>
      </c>
      <c r="AC6580" s="117" t="str">
        <f>IF(AB6580=1,COUNTIF($AB$3:AB6580,1),"")</f>
        <v/>
      </c>
      <c r="AD6580" s="117" t="str">
        <f>IFERROR(INDEX($AA$3:$AA$10000,MATCH(ROWS($AC$3:AC6580),$AC$3:$AC$10000,0)),"")</f>
        <v/>
      </c>
    </row>
    <row r="6581" spans="27:30">
      <c r="AA6581" s="117">
        <f>+'Ingredient List - Mother Tinctu'!D6582</f>
        <v>0</v>
      </c>
      <c r="AB6581" s="117">
        <f t="shared" si="105"/>
        <v>0</v>
      </c>
      <c r="AC6581" s="117" t="str">
        <f>IF(AB6581=1,COUNTIF($AB$3:AB6581,1),"")</f>
        <v/>
      </c>
      <c r="AD6581" s="117" t="str">
        <f>IFERROR(INDEX($AA$3:$AA$10000,MATCH(ROWS($AC$3:AC6581),$AC$3:$AC$10000,0)),"")</f>
        <v/>
      </c>
    </row>
    <row r="6582" spans="27:30">
      <c r="AA6582" s="117">
        <f>+'Ingredient List - Mother Tinctu'!D6583</f>
        <v>0</v>
      </c>
      <c r="AB6582" s="117">
        <f t="shared" si="105"/>
        <v>0</v>
      </c>
      <c r="AC6582" s="117" t="str">
        <f>IF(AB6582=1,COUNTIF($AB$3:AB6582,1),"")</f>
        <v/>
      </c>
      <c r="AD6582" s="117" t="str">
        <f>IFERROR(INDEX($AA$3:$AA$10000,MATCH(ROWS($AC$3:AC6582),$AC$3:$AC$10000,0)),"")</f>
        <v/>
      </c>
    </row>
    <row r="6583" spans="27:30">
      <c r="AA6583" s="117">
        <f>+'Ingredient List - Mother Tinctu'!D6584</f>
        <v>0</v>
      </c>
      <c r="AB6583" s="117">
        <f t="shared" si="105"/>
        <v>0</v>
      </c>
      <c r="AC6583" s="117" t="str">
        <f>IF(AB6583=1,COUNTIF($AB$3:AB6583,1),"")</f>
        <v/>
      </c>
      <c r="AD6583" s="117" t="str">
        <f>IFERROR(INDEX($AA$3:$AA$10000,MATCH(ROWS($AC$3:AC6583),$AC$3:$AC$10000,0)),"")</f>
        <v/>
      </c>
    </row>
    <row r="6584" spans="27:30">
      <c r="AA6584" s="117">
        <f>+'Ingredient List - Mother Tinctu'!D6585</f>
        <v>0</v>
      </c>
      <c r="AB6584" s="117">
        <f t="shared" si="105"/>
        <v>0</v>
      </c>
      <c r="AC6584" s="117" t="str">
        <f>IF(AB6584=1,COUNTIF($AB$3:AB6584,1),"")</f>
        <v/>
      </c>
      <c r="AD6584" s="117" t="str">
        <f>IFERROR(INDEX($AA$3:$AA$10000,MATCH(ROWS($AC$3:AC6584),$AC$3:$AC$10000,0)),"")</f>
        <v/>
      </c>
    </row>
    <row r="6585" spans="27:30">
      <c r="AA6585" s="117">
        <f>+'Ingredient List - Mother Tinctu'!D6586</f>
        <v>0</v>
      </c>
      <c r="AB6585" s="117">
        <f t="shared" si="105"/>
        <v>0</v>
      </c>
      <c r="AC6585" s="117" t="str">
        <f>IF(AB6585=1,COUNTIF($AB$3:AB6585,1),"")</f>
        <v/>
      </c>
      <c r="AD6585" s="117" t="str">
        <f>IFERROR(INDEX($AA$3:$AA$10000,MATCH(ROWS($AC$3:AC6585),$AC$3:$AC$10000,0)),"")</f>
        <v/>
      </c>
    </row>
    <row r="6586" spans="27:30">
      <c r="AA6586" s="117">
        <f>+'Ingredient List - Mother Tinctu'!D6587</f>
        <v>0</v>
      </c>
      <c r="AB6586" s="117">
        <f t="shared" si="105"/>
        <v>0</v>
      </c>
      <c r="AC6586" s="117" t="str">
        <f>IF(AB6586=1,COUNTIF($AB$3:AB6586,1),"")</f>
        <v/>
      </c>
      <c r="AD6586" s="117" t="str">
        <f>IFERROR(INDEX($AA$3:$AA$10000,MATCH(ROWS($AC$3:AC6586),$AC$3:$AC$10000,0)),"")</f>
        <v/>
      </c>
    </row>
    <row r="6587" spans="27:30">
      <c r="AA6587" s="117">
        <f>+'Ingredient List - Mother Tinctu'!D6588</f>
        <v>0</v>
      </c>
      <c r="AB6587" s="117">
        <f t="shared" si="105"/>
        <v>0</v>
      </c>
      <c r="AC6587" s="117" t="str">
        <f>IF(AB6587=1,COUNTIF($AB$3:AB6587,1),"")</f>
        <v/>
      </c>
      <c r="AD6587" s="117" t="str">
        <f>IFERROR(INDEX($AA$3:$AA$10000,MATCH(ROWS($AC$3:AC6587),$AC$3:$AC$10000,0)),"")</f>
        <v/>
      </c>
    </row>
    <row r="6588" spans="27:30">
      <c r="AA6588" s="117">
        <f>+'Ingredient List - Mother Tinctu'!D6589</f>
        <v>0</v>
      </c>
      <c r="AB6588" s="117">
        <f t="shared" si="105"/>
        <v>0</v>
      </c>
      <c r="AC6588" s="117" t="str">
        <f>IF(AB6588=1,COUNTIF($AB$3:AB6588,1),"")</f>
        <v/>
      </c>
      <c r="AD6588" s="117" t="str">
        <f>IFERROR(INDEX($AA$3:$AA$10000,MATCH(ROWS($AC$3:AC6588),$AC$3:$AC$10000,0)),"")</f>
        <v/>
      </c>
    </row>
    <row r="6589" spans="27:30">
      <c r="AA6589" s="117">
        <f>+'Ingredient List - Mother Tinctu'!D6590</f>
        <v>0</v>
      </c>
      <c r="AB6589" s="117">
        <f t="shared" si="105"/>
        <v>0</v>
      </c>
      <c r="AC6589" s="117" t="str">
        <f>IF(AB6589=1,COUNTIF($AB$3:AB6589,1),"")</f>
        <v/>
      </c>
      <c r="AD6589" s="117" t="str">
        <f>IFERROR(INDEX($AA$3:$AA$10000,MATCH(ROWS($AC$3:AC6589),$AC$3:$AC$10000,0)),"")</f>
        <v/>
      </c>
    </row>
    <row r="6590" spans="27:30">
      <c r="AA6590" s="117">
        <f>+'Ingredient List - Mother Tinctu'!D6591</f>
        <v>0</v>
      </c>
      <c r="AB6590" s="117">
        <f t="shared" si="105"/>
        <v>0</v>
      </c>
      <c r="AC6590" s="117" t="str">
        <f>IF(AB6590=1,COUNTIF($AB$3:AB6590,1),"")</f>
        <v/>
      </c>
      <c r="AD6590" s="117" t="str">
        <f>IFERROR(INDEX($AA$3:$AA$10000,MATCH(ROWS($AC$3:AC6590),$AC$3:$AC$10000,0)),"")</f>
        <v/>
      </c>
    </row>
    <row r="6591" spans="27:30">
      <c r="AA6591" s="117">
        <f>+'Ingredient List - Mother Tinctu'!D6592</f>
        <v>0</v>
      </c>
      <c r="AB6591" s="117">
        <f t="shared" si="105"/>
        <v>0</v>
      </c>
      <c r="AC6591" s="117" t="str">
        <f>IF(AB6591=1,COUNTIF($AB$3:AB6591,1),"")</f>
        <v/>
      </c>
      <c r="AD6591" s="117" t="str">
        <f>IFERROR(INDEX($AA$3:$AA$10000,MATCH(ROWS($AC$3:AC6591),$AC$3:$AC$10000,0)),"")</f>
        <v/>
      </c>
    </row>
    <row r="6592" spans="27:30">
      <c r="AA6592" s="117">
        <f>+'Ingredient List - Mother Tinctu'!D6593</f>
        <v>0</v>
      </c>
      <c r="AB6592" s="117">
        <f t="shared" si="105"/>
        <v>0</v>
      </c>
      <c r="AC6592" s="117" t="str">
        <f>IF(AB6592=1,COUNTIF($AB$3:AB6592,1),"")</f>
        <v/>
      </c>
      <c r="AD6592" s="117" t="str">
        <f>IFERROR(INDEX($AA$3:$AA$10000,MATCH(ROWS($AC$3:AC6592),$AC$3:$AC$10000,0)),"")</f>
        <v/>
      </c>
    </row>
    <row r="6593" spans="27:30">
      <c r="AA6593" s="117">
        <f>+'Ingredient List - Mother Tinctu'!D6594</f>
        <v>0</v>
      </c>
      <c r="AB6593" s="117">
        <f t="shared" si="105"/>
        <v>0</v>
      </c>
      <c r="AC6593" s="117" t="str">
        <f>IF(AB6593=1,COUNTIF($AB$3:AB6593,1),"")</f>
        <v/>
      </c>
      <c r="AD6593" s="117" t="str">
        <f>IFERROR(INDEX($AA$3:$AA$10000,MATCH(ROWS($AC$3:AC6593),$AC$3:$AC$10000,0)),"")</f>
        <v/>
      </c>
    </row>
    <row r="6594" spans="27:30">
      <c r="AA6594" s="117">
        <f>+'Ingredient List - Mother Tinctu'!D6595</f>
        <v>0</v>
      </c>
      <c r="AB6594" s="117">
        <f t="shared" si="105"/>
        <v>0</v>
      </c>
      <c r="AC6594" s="117" t="str">
        <f>IF(AB6594=1,COUNTIF($AB$3:AB6594,1),"")</f>
        <v/>
      </c>
      <c r="AD6594" s="117" t="str">
        <f>IFERROR(INDEX($AA$3:$AA$10000,MATCH(ROWS($AC$3:AC6594),$AC$3:$AC$10000,0)),"")</f>
        <v/>
      </c>
    </row>
    <row r="6595" spans="27:30">
      <c r="AA6595" s="117">
        <f>+'Ingredient List - Mother Tinctu'!D6596</f>
        <v>0</v>
      </c>
      <c r="AB6595" s="117">
        <f t="shared" si="105"/>
        <v>0</v>
      </c>
      <c r="AC6595" s="117" t="str">
        <f>IF(AB6595=1,COUNTIF($AB$3:AB6595,1),"")</f>
        <v/>
      </c>
      <c r="AD6595" s="117" t="str">
        <f>IFERROR(INDEX($AA$3:$AA$10000,MATCH(ROWS($AC$3:AC6595),$AC$3:$AC$10000,0)),"")</f>
        <v/>
      </c>
    </row>
    <row r="6596" spans="27:30">
      <c r="AA6596" s="117">
        <f>+'Ingredient List - Mother Tinctu'!D6597</f>
        <v>0</v>
      </c>
      <c r="AB6596" s="117">
        <f t="shared" ref="AB6596:AB6659" si="106">--ISNUMBER(IFERROR(SEARCH($D$3,AA6596,1),""))</f>
        <v>0</v>
      </c>
      <c r="AC6596" s="117" t="str">
        <f>IF(AB6596=1,COUNTIF($AB$3:AB6596,1),"")</f>
        <v/>
      </c>
      <c r="AD6596" s="117" t="str">
        <f>IFERROR(INDEX($AA$3:$AA$10000,MATCH(ROWS($AC$3:AC6596),$AC$3:$AC$10000,0)),"")</f>
        <v/>
      </c>
    </row>
    <row r="6597" spans="27:30">
      <c r="AA6597" s="117">
        <f>+'Ingredient List - Mother Tinctu'!D6598</f>
        <v>0</v>
      </c>
      <c r="AB6597" s="117">
        <f t="shared" si="106"/>
        <v>0</v>
      </c>
      <c r="AC6597" s="117" t="str">
        <f>IF(AB6597=1,COUNTIF($AB$3:AB6597,1),"")</f>
        <v/>
      </c>
      <c r="AD6597" s="117" t="str">
        <f>IFERROR(INDEX($AA$3:$AA$10000,MATCH(ROWS($AC$3:AC6597),$AC$3:$AC$10000,0)),"")</f>
        <v/>
      </c>
    </row>
    <row r="6598" spans="27:30">
      <c r="AA6598" s="117">
        <f>+'Ingredient List - Mother Tinctu'!D6599</f>
        <v>0</v>
      </c>
      <c r="AB6598" s="117">
        <f t="shared" si="106"/>
        <v>0</v>
      </c>
      <c r="AC6598" s="117" t="str">
        <f>IF(AB6598=1,COUNTIF($AB$3:AB6598,1),"")</f>
        <v/>
      </c>
      <c r="AD6598" s="117" t="str">
        <f>IFERROR(INDEX($AA$3:$AA$10000,MATCH(ROWS($AC$3:AC6598),$AC$3:$AC$10000,0)),"")</f>
        <v/>
      </c>
    </row>
    <row r="6599" spans="27:30">
      <c r="AA6599" s="117">
        <f>+'Ingredient List - Mother Tinctu'!D6600</f>
        <v>0</v>
      </c>
      <c r="AB6599" s="117">
        <f t="shared" si="106"/>
        <v>0</v>
      </c>
      <c r="AC6599" s="117" t="str">
        <f>IF(AB6599=1,COUNTIF($AB$3:AB6599,1),"")</f>
        <v/>
      </c>
      <c r="AD6599" s="117" t="str">
        <f>IFERROR(INDEX($AA$3:$AA$10000,MATCH(ROWS($AC$3:AC6599),$AC$3:$AC$10000,0)),"")</f>
        <v/>
      </c>
    </row>
    <row r="6600" spans="27:30">
      <c r="AA6600" s="117">
        <f>+'Ingredient List - Mother Tinctu'!D6601</f>
        <v>0</v>
      </c>
      <c r="AB6600" s="117">
        <f t="shared" si="106"/>
        <v>0</v>
      </c>
      <c r="AC6600" s="117" t="str">
        <f>IF(AB6600=1,COUNTIF($AB$3:AB6600,1),"")</f>
        <v/>
      </c>
      <c r="AD6600" s="117" t="str">
        <f>IFERROR(INDEX($AA$3:$AA$10000,MATCH(ROWS($AC$3:AC6600),$AC$3:$AC$10000,0)),"")</f>
        <v/>
      </c>
    </row>
    <row r="6601" spans="27:30">
      <c r="AA6601" s="117">
        <f>+'Ingredient List - Mother Tinctu'!D6602</f>
        <v>0</v>
      </c>
      <c r="AB6601" s="117">
        <f t="shared" si="106"/>
        <v>0</v>
      </c>
      <c r="AC6601" s="117" t="str">
        <f>IF(AB6601=1,COUNTIF($AB$3:AB6601,1),"")</f>
        <v/>
      </c>
      <c r="AD6601" s="117" t="str">
        <f>IFERROR(INDEX($AA$3:$AA$10000,MATCH(ROWS($AC$3:AC6601),$AC$3:$AC$10000,0)),"")</f>
        <v/>
      </c>
    </row>
    <row r="6602" spans="27:30">
      <c r="AA6602" s="117">
        <f>+'Ingredient List - Mother Tinctu'!D6603</f>
        <v>0</v>
      </c>
      <c r="AB6602" s="117">
        <f t="shared" si="106"/>
        <v>0</v>
      </c>
      <c r="AC6602" s="117" t="str">
        <f>IF(AB6602=1,COUNTIF($AB$3:AB6602,1),"")</f>
        <v/>
      </c>
      <c r="AD6602" s="117" t="str">
        <f>IFERROR(INDEX($AA$3:$AA$10000,MATCH(ROWS($AC$3:AC6602),$AC$3:$AC$10000,0)),"")</f>
        <v/>
      </c>
    </row>
    <row r="6603" spans="27:30">
      <c r="AA6603" s="117">
        <f>+'Ingredient List - Mother Tinctu'!D6604</f>
        <v>0</v>
      </c>
      <c r="AB6603" s="117">
        <f t="shared" si="106"/>
        <v>0</v>
      </c>
      <c r="AC6603" s="117" t="str">
        <f>IF(AB6603=1,COUNTIF($AB$3:AB6603,1),"")</f>
        <v/>
      </c>
      <c r="AD6603" s="117" t="str">
        <f>IFERROR(INDEX($AA$3:$AA$10000,MATCH(ROWS($AC$3:AC6603),$AC$3:$AC$10000,0)),"")</f>
        <v/>
      </c>
    </row>
    <row r="6604" spans="27:30">
      <c r="AA6604" s="117">
        <f>+'Ingredient List - Mother Tinctu'!D6605</f>
        <v>0</v>
      </c>
      <c r="AB6604" s="117">
        <f t="shared" si="106"/>
        <v>0</v>
      </c>
      <c r="AC6604" s="117" t="str">
        <f>IF(AB6604=1,COUNTIF($AB$3:AB6604,1),"")</f>
        <v/>
      </c>
      <c r="AD6604" s="117" t="str">
        <f>IFERROR(INDEX($AA$3:$AA$10000,MATCH(ROWS($AC$3:AC6604),$AC$3:$AC$10000,0)),"")</f>
        <v/>
      </c>
    </row>
    <row r="6605" spans="27:30">
      <c r="AA6605" s="117">
        <f>+'Ingredient List - Mother Tinctu'!D6606</f>
        <v>0</v>
      </c>
      <c r="AB6605" s="117">
        <f t="shared" si="106"/>
        <v>0</v>
      </c>
      <c r="AC6605" s="117" t="str">
        <f>IF(AB6605=1,COUNTIF($AB$3:AB6605,1),"")</f>
        <v/>
      </c>
      <c r="AD6605" s="117" t="str">
        <f>IFERROR(INDEX($AA$3:$AA$10000,MATCH(ROWS($AC$3:AC6605),$AC$3:$AC$10000,0)),"")</f>
        <v/>
      </c>
    </row>
    <row r="6606" spans="27:30">
      <c r="AA6606" s="117">
        <f>+'Ingredient List - Mother Tinctu'!D6607</f>
        <v>0</v>
      </c>
      <c r="AB6606" s="117">
        <f t="shared" si="106"/>
        <v>0</v>
      </c>
      <c r="AC6606" s="117" t="str">
        <f>IF(AB6606=1,COUNTIF($AB$3:AB6606,1),"")</f>
        <v/>
      </c>
      <c r="AD6606" s="117" t="str">
        <f>IFERROR(INDEX($AA$3:$AA$10000,MATCH(ROWS($AC$3:AC6606),$AC$3:$AC$10000,0)),"")</f>
        <v/>
      </c>
    </row>
    <row r="6607" spans="27:30">
      <c r="AA6607" s="117">
        <f>+'Ingredient List - Mother Tinctu'!D6608</f>
        <v>0</v>
      </c>
      <c r="AB6607" s="117">
        <f t="shared" si="106"/>
        <v>0</v>
      </c>
      <c r="AC6607" s="117" t="str">
        <f>IF(AB6607=1,COUNTIF($AB$3:AB6607,1),"")</f>
        <v/>
      </c>
      <c r="AD6607" s="117" t="str">
        <f>IFERROR(INDEX($AA$3:$AA$10000,MATCH(ROWS($AC$3:AC6607),$AC$3:$AC$10000,0)),"")</f>
        <v/>
      </c>
    </row>
    <row r="6608" spans="27:30">
      <c r="AA6608" s="117">
        <f>+'Ingredient List - Mother Tinctu'!D6609</f>
        <v>0</v>
      </c>
      <c r="AB6608" s="117">
        <f t="shared" si="106"/>
        <v>0</v>
      </c>
      <c r="AC6608" s="117" t="str">
        <f>IF(AB6608=1,COUNTIF($AB$3:AB6608,1),"")</f>
        <v/>
      </c>
      <c r="AD6608" s="117" t="str">
        <f>IFERROR(INDEX($AA$3:$AA$10000,MATCH(ROWS($AC$3:AC6608),$AC$3:$AC$10000,0)),"")</f>
        <v/>
      </c>
    </row>
    <row r="6609" spans="27:30">
      <c r="AA6609" s="117">
        <f>+'Ingredient List - Mother Tinctu'!D6610</f>
        <v>0</v>
      </c>
      <c r="AB6609" s="117">
        <f t="shared" si="106"/>
        <v>0</v>
      </c>
      <c r="AC6609" s="117" t="str">
        <f>IF(AB6609=1,COUNTIF($AB$3:AB6609,1),"")</f>
        <v/>
      </c>
      <c r="AD6609" s="117" t="str">
        <f>IFERROR(INDEX($AA$3:$AA$10000,MATCH(ROWS($AC$3:AC6609),$AC$3:$AC$10000,0)),"")</f>
        <v/>
      </c>
    </row>
    <row r="6610" spans="27:30">
      <c r="AA6610" s="117">
        <f>+'Ingredient List - Mother Tinctu'!D6611</f>
        <v>0</v>
      </c>
      <c r="AB6610" s="117">
        <f t="shared" si="106"/>
        <v>0</v>
      </c>
      <c r="AC6610" s="117" t="str">
        <f>IF(AB6610=1,COUNTIF($AB$3:AB6610,1),"")</f>
        <v/>
      </c>
      <c r="AD6610" s="117" t="str">
        <f>IFERROR(INDEX($AA$3:$AA$10000,MATCH(ROWS($AC$3:AC6610),$AC$3:$AC$10000,0)),"")</f>
        <v/>
      </c>
    </row>
    <row r="6611" spans="27:30">
      <c r="AA6611" s="117">
        <f>+'Ingredient List - Mother Tinctu'!D6612</f>
        <v>0</v>
      </c>
      <c r="AB6611" s="117">
        <f t="shared" si="106"/>
        <v>0</v>
      </c>
      <c r="AC6611" s="117" t="str">
        <f>IF(AB6611=1,COUNTIF($AB$3:AB6611,1),"")</f>
        <v/>
      </c>
      <c r="AD6611" s="117" t="str">
        <f>IFERROR(INDEX($AA$3:$AA$10000,MATCH(ROWS($AC$3:AC6611),$AC$3:$AC$10000,0)),"")</f>
        <v/>
      </c>
    </row>
    <row r="6612" spans="27:30">
      <c r="AA6612" s="117">
        <f>+'Ingredient List - Mother Tinctu'!D6613</f>
        <v>0</v>
      </c>
      <c r="AB6612" s="117">
        <f t="shared" si="106"/>
        <v>0</v>
      </c>
      <c r="AC6612" s="117" t="str">
        <f>IF(AB6612=1,COUNTIF($AB$3:AB6612,1),"")</f>
        <v/>
      </c>
      <c r="AD6612" s="117" t="str">
        <f>IFERROR(INDEX($AA$3:$AA$10000,MATCH(ROWS($AC$3:AC6612),$AC$3:$AC$10000,0)),"")</f>
        <v/>
      </c>
    </row>
    <row r="6613" spans="27:30">
      <c r="AA6613" s="117">
        <f>+'Ingredient List - Mother Tinctu'!D6614</f>
        <v>0</v>
      </c>
      <c r="AB6613" s="117">
        <f t="shared" si="106"/>
        <v>0</v>
      </c>
      <c r="AC6613" s="117" t="str">
        <f>IF(AB6613=1,COUNTIF($AB$3:AB6613,1),"")</f>
        <v/>
      </c>
      <c r="AD6613" s="117" t="str">
        <f>IFERROR(INDEX($AA$3:$AA$10000,MATCH(ROWS($AC$3:AC6613),$AC$3:$AC$10000,0)),"")</f>
        <v/>
      </c>
    </row>
    <row r="6614" spans="27:30">
      <c r="AA6614" s="117">
        <f>+'Ingredient List - Mother Tinctu'!D6615</f>
        <v>0</v>
      </c>
      <c r="AB6614" s="117">
        <f t="shared" si="106"/>
        <v>0</v>
      </c>
      <c r="AC6614" s="117" t="str">
        <f>IF(AB6614=1,COUNTIF($AB$3:AB6614,1),"")</f>
        <v/>
      </c>
      <c r="AD6614" s="117" t="str">
        <f>IFERROR(INDEX($AA$3:$AA$10000,MATCH(ROWS($AC$3:AC6614),$AC$3:$AC$10000,0)),"")</f>
        <v/>
      </c>
    </row>
    <row r="6615" spans="27:30">
      <c r="AA6615" s="117">
        <f>+'Ingredient List - Mother Tinctu'!D6616</f>
        <v>0</v>
      </c>
      <c r="AB6615" s="117">
        <f t="shared" si="106"/>
        <v>0</v>
      </c>
      <c r="AC6615" s="117" t="str">
        <f>IF(AB6615=1,COUNTIF($AB$3:AB6615,1),"")</f>
        <v/>
      </c>
      <c r="AD6615" s="117" t="str">
        <f>IFERROR(INDEX($AA$3:$AA$10000,MATCH(ROWS($AC$3:AC6615),$AC$3:$AC$10000,0)),"")</f>
        <v/>
      </c>
    </row>
    <row r="6616" spans="27:30">
      <c r="AA6616" s="117">
        <f>+'Ingredient List - Mother Tinctu'!D6617</f>
        <v>0</v>
      </c>
      <c r="AB6616" s="117">
        <f t="shared" si="106"/>
        <v>0</v>
      </c>
      <c r="AC6616" s="117" t="str">
        <f>IF(AB6616=1,COUNTIF($AB$3:AB6616,1),"")</f>
        <v/>
      </c>
      <c r="AD6616" s="117" t="str">
        <f>IFERROR(INDEX($AA$3:$AA$10000,MATCH(ROWS($AC$3:AC6616),$AC$3:$AC$10000,0)),"")</f>
        <v/>
      </c>
    </row>
    <row r="6617" spans="27:30">
      <c r="AA6617" s="117">
        <f>+'Ingredient List - Mother Tinctu'!D6618</f>
        <v>0</v>
      </c>
      <c r="AB6617" s="117">
        <f t="shared" si="106"/>
        <v>0</v>
      </c>
      <c r="AC6617" s="117" t="str">
        <f>IF(AB6617=1,COUNTIF($AB$3:AB6617,1),"")</f>
        <v/>
      </c>
      <c r="AD6617" s="117" t="str">
        <f>IFERROR(INDEX($AA$3:$AA$10000,MATCH(ROWS($AC$3:AC6617),$AC$3:$AC$10000,0)),"")</f>
        <v/>
      </c>
    </row>
    <row r="6618" spans="27:30">
      <c r="AA6618" s="117">
        <f>+'Ingredient List - Mother Tinctu'!D6619</f>
        <v>0</v>
      </c>
      <c r="AB6618" s="117">
        <f t="shared" si="106"/>
        <v>0</v>
      </c>
      <c r="AC6618" s="117" t="str">
        <f>IF(AB6618=1,COUNTIF($AB$3:AB6618,1),"")</f>
        <v/>
      </c>
      <c r="AD6618" s="117" t="str">
        <f>IFERROR(INDEX($AA$3:$AA$10000,MATCH(ROWS($AC$3:AC6618),$AC$3:$AC$10000,0)),"")</f>
        <v/>
      </c>
    </row>
    <row r="6619" spans="27:30">
      <c r="AA6619" s="117">
        <f>+'Ingredient List - Mother Tinctu'!D6620</f>
        <v>0</v>
      </c>
      <c r="AB6619" s="117">
        <f t="shared" si="106"/>
        <v>0</v>
      </c>
      <c r="AC6619" s="117" t="str">
        <f>IF(AB6619=1,COUNTIF($AB$3:AB6619,1),"")</f>
        <v/>
      </c>
      <c r="AD6619" s="117" t="str">
        <f>IFERROR(INDEX($AA$3:$AA$10000,MATCH(ROWS($AC$3:AC6619),$AC$3:$AC$10000,0)),"")</f>
        <v/>
      </c>
    </row>
    <row r="6620" spans="27:30">
      <c r="AA6620" s="117">
        <f>+'Ingredient List - Mother Tinctu'!D6621</f>
        <v>0</v>
      </c>
      <c r="AB6620" s="117">
        <f t="shared" si="106"/>
        <v>0</v>
      </c>
      <c r="AC6620" s="117" t="str">
        <f>IF(AB6620=1,COUNTIF($AB$3:AB6620,1),"")</f>
        <v/>
      </c>
      <c r="AD6620" s="117" t="str">
        <f>IFERROR(INDEX($AA$3:$AA$10000,MATCH(ROWS($AC$3:AC6620),$AC$3:$AC$10000,0)),"")</f>
        <v/>
      </c>
    </row>
    <row r="6621" spans="27:30">
      <c r="AA6621" s="117">
        <f>+'Ingredient List - Mother Tinctu'!D6622</f>
        <v>0</v>
      </c>
      <c r="AB6621" s="117">
        <f t="shared" si="106"/>
        <v>0</v>
      </c>
      <c r="AC6621" s="117" t="str">
        <f>IF(AB6621=1,COUNTIF($AB$3:AB6621,1),"")</f>
        <v/>
      </c>
      <c r="AD6621" s="117" t="str">
        <f>IFERROR(INDEX($AA$3:$AA$10000,MATCH(ROWS($AC$3:AC6621),$AC$3:$AC$10000,0)),"")</f>
        <v/>
      </c>
    </row>
    <row r="6622" spans="27:30">
      <c r="AA6622" s="117">
        <f>+'Ingredient List - Mother Tinctu'!D6623</f>
        <v>0</v>
      </c>
      <c r="AB6622" s="117">
        <f t="shared" si="106"/>
        <v>0</v>
      </c>
      <c r="AC6622" s="117" t="str">
        <f>IF(AB6622=1,COUNTIF($AB$3:AB6622,1),"")</f>
        <v/>
      </c>
      <c r="AD6622" s="117" t="str">
        <f>IFERROR(INDEX($AA$3:$AA$10000,MATCH(ROWS($AC$3:AC6622),$AC$3:$AC$10000,0)),"")</f>
        <v/>
      </c>
    </row>
    <row r="6623" spans="27:30">
      <c r="AA6623" s="117">
        <f>+'Ingredient List - Mother Tinctu'!D6624</f>
        <v>0</v>
      </c>
      <c r="AB6623" s="117">
        <f t="shared" si="106"/>
        <v>0</v>
      </c>
      <c r="AC6623" s="117" t="str">
        <f>IF(AB6623=1,COUNTIF($AB$3:AB6623,1),"")</f>
        <v/>
      </c>
      <c r="AD6623" s="117" t="str">
        <f>IFERROR(INDEX($AA$3:$AA$10000,MATCH(ROWS($AC$3:AC6623),$AC$3:$AC$10000,0)),"")</f>
        <v/>
      </c>
    </row>
    <row r="6624" spans="27:30">
      <c r="AA6624" s="117">
        <f>+'Ingredient List - Mother Tinctu'!D6625</f>
        <v>0</v>
      </c>
      <c r="AB6624" s="117">
        <f t="shared" si="106"/>
        <v>0</v>
      </c>
      <c r="AC6624" s="117" t="str">
        <f>IF(AB6624=1,COUNTIF($AB$3:AB6624,1),"")</f>
        <v/>
      </c>
      <c r="AD6624" s="117" t="str">
        <f>IFERROR(INDEX($AA$3:$AA$10000,MATCH(ROWS($AC$3:AC6624),$AC$3:$AC$10000,0)),"")</f>
        <v/>
      </c>
    </row>
    <row r="6625" spans="27:30">
      <c r="AA6625" s="117">
        <f>+'Ingredient List - Mother Tinctu'!D6626</f>
        <v>0</v>
      </c>
      <c r="AB6625" s="117">
        <f t="shared" si="106"/>
        <v>0</v>
      </c>
      <c r="AC6625" s="117" t="str">
        <f>IF(AB6625=1,COUNTIF($AB$3:AB6625,1),"")</f>
        <v/>
      </c>
      <c r="AD6625" s="117" t="str">
        <f>IFERROR(INDEX($AA$3:$AA$10000,MATCH(ROWS($AC$3:AC6625),$AC$3:$AC$10000,0)),"")</f>
        <v/>
      </c>
    </row>
    <row r="6626" spans="27:30">
      <c r="AA6626" s="117">
        <f>+'Ingredient List - Mother Tinctu'!D6627</f>
        <v>0</v>
      </c>
      <c r="AB6626" s="117">
        <f t="shared" si="106"/>
        <v>0</v>
      </c>
      <c r="AC6626" s="117" t="str">
        <f>IF(AB6626=1,COUNTIF($AB$3:AB6626,1),"")</f>
        <v/>
      </c>
      <c r="AD6626" s="117" t="str">
        <f>IFERROR(INDEX($AA$3:$AA$10000,MATCH(ROWS($AC$3:AC6626),$AC$3:$AC$10000,0)),"")</f>
        <v/>
      </c>
    </row>
    <row r="6627" spans="27:30">
      <c r="AA6627" s="117">
        <f>+'Ingredient List - Mother Tinctu'!D6628</f>
        <v>0</v>
      </c>
      <c r="AB6627" s="117">
        <f t="shared" si="106"/>
        <v>0</v>
      </c>
      <c r="AC6627" s="117" t="str">
        <f>IF(AB6627=1,COUNTIF($AB$3:AB6627,1),"")</f>
        <v/>
      </c>
      <c r="AD6627" s="117" t="str">
        <f>IFERROR(INDEX($AA$3:$AA$10000,MATCH(ROWS($AC$3:AC6627),$AC$3:$AC$10000,0)),"")</f>
        <v/>
      </c>
    </row>
    <row r="6628" spans="27:30">
      <c r="AA6628" s="117">
        <f>+'Ingredient List - Mother Tinctu'!D6629</f>
        <v>0</v>
      </c>
      <c r="AB6628" s="117">
        <f t="shared" si="106"/>
        <v>0</v>
      </c>
      <c r="AC6628" s="117" t="str">
        <f>IF(AB6628=1,COUNTIF($AB$3:AB6628,1),"")</f>
        <v/>
      </c>
      <c r="AD6628" s="117" t="str">
        <f>IFERROR(INDEX($AA$3:$AA$10000,MATCH(ROWS($AC$3:AC6628),$AC$3:$AC$10000,0)),"")</f>
        <v/>
      </c>
    </row>
    <row r="6629" spans="27:30">
      <c r="AA6629" s="117">
        <f>+'Ingredient List - Mother Tinctu'!D6630</f>
        <v>0</v>
      </c>
      <c r="AB6629" s="117">
        <f t="shared" si="106"/>
        <v>0</v>
      </c>
      <c r="AC6629" s="117" t="str">
        <f>IF(AB6629=1,COUNTIF($AB$3:AB6629,1),"")</f>
        <v/>
      </c>
      <c r="AD6629" s="117" t="str">
        <f>IFERROR(INDEX($AA$3:$AA$10000,MATCH(ROWS($AC$3:AC6629),$AC$3:$AC$10000,0)),"")</f>
        <v/>
      </c>
    </row>
    <row r="6630" spans="27:30">
      <c r="AA6630" s="117">
        <f>+'Ingredient List - Mother Tinctu'!D6631</f>
        <v>0</v>
      </c>
      <c r="AB6630" s="117">
        <f t="shared" si="106"/>
        <v>0</v>
      </c>
      <c r="AC6630" s="117" t="str">
        <f>IF(AB6630=1,COUNTIF($AB$3:AB6630,1),"")</f>
        <v/>
      </c>
      <c r="AD6630" s="117" t="str">
        <f>IFERROR(INDEX($AA$3:$AA$10000,MATCH(ROWS($AC$3:AC6630),$AC$3:$AC$10000,0)),"")</f>
        <v/>
      </c>
    </row>
    <row r="6631" spans="27:30">
      <c r="AA6631" s="117">
        <f>+'Ingredient List - Mother Tinctu'!D6632</f>
        <v>0</v>
      </c>
      <c r="AB6631" s="117">
        <f t="shared" si="106"/>
        <v>0</v>
      </c>
      <c r="AC6631" s="117" t="str">
        <f>IF(AB6631=1,COUNTIF($AB$3:AB6631,1),"")</f>
        <v/>
      </c>
      <c r="AD6631" s="117" t="str">
        <f>IFERROR(INDEX($AA$3:$AA$10000,MATCH(ROWS($AC$3:AC6631),$AC$3:$AC$10000,0)),"")</f>
        <v/>
      </c>
    </row>
    <row r="6632" spans="27:30">
      <c r="AA6632" s="117">
        <f>+'Ingredient List - Mother Tinctu'!D6633</f>
        <v>0</v>
      </c>
      <c r="AB6632" s="117">
        <f t="shared" si="106"/>
        <v>0</v>
      </c>
      <c r="AC6632" s="117" t="str">
        <f>IF(AB6632=1,COUNTIF($AB$3:AB6632,1),"")</f>
        <v/>
      </c>
      <c r="AD6632" s="117" t="str">
        <f>IFERROR(INDEX($AA$3:$AA$10000,MATCH(ROWS($AC$3:AC6632),$AC$3:$AC$10000,0)),"")</f>
        <v/>
      </c>
    </row>
    <row r="6633" spans="27:30">
      <c r="AA6633" s="117">
        <f>+'Ingredient List - Mother Tinctu'!D6634</f>
        <v>0</v>
      </c>
      <c r="AB6633" s="117">
        <f t="shared" si="106"/>
        <v>0</v>
      </c>
      <c r="AC6633" s="117" t="str">
        <f>IF(AB6633=1,COUNTIF($AB$3:AB6633,1),"")</f>
        <v/>
      </c>
      <c r="AD6633" s="117" t="str">
        <f>IFERROR(INDEX($AA$3:$AA$10000,MATCH(ROWS($AC$3:AC6633),$AC$3:$AC$10000,0)),"")</f>
        <v/>
      </c>
    </row>
    <row r="6634" spans="27:30">
      <c r="AA6634" s="117">
        <f>+'Ingredient List - Mother Tinctu'!D6635</f>
        <v>0</v>
      </c>
      <c r="AB6634" s="117">
        <f t="shared" si="106"/>
        <v>0</v>
      </c>
      <c r="AC6634" s="117" t="str">
        <f>IF(AB6634=1,COUNTIF($AB$3:AB6634,1),"")</f>
        <v/>
      </c>
      <c r="AD6634" s="117" t="str">
        <f>IFERROR(INDEX($AA$3:$AA$10000,MATCH(ROWS($AC$3:AC6634),$AC$3:$AC$10000,0)),"")</f>
        <v/>
      </c>
    </row>
    <row r="6635" spans="27:30">
      <c r="AA6635" s="117">
        <f>+'Ingredient List - Mother Tinctu'!D6636</f>
        <v>0</v>
      </c>
      <c r="AB6635" s="117">
        <f t="shared" si="106"/>
        <v>0</v>
      </c>
      <c r="AC6635" s="117" t="str">
        <f>IF(AB6635=1,COUNTIF($AB$3:AB6635,1),"")</f>
        <v/>
      </c>
      <c r="AD6635" s="117" t="str">
        <f>IFERROR(INDEX($AA$3:$AA$10000,MATCH(ROWS($AC$3:AC6635),$AC$3:$AC$10000,0)),"")</f>
        <v/>
      </c>
    </row>
    <row r="6636" spans="27:30">
      <c r="AA6636" s="117">
        <f>+'Ingredient List - Mother Tinctu'!D6637</f>
        <v>0</v>
      </c>
      <c r="AB6636" s="117">
        <f t="shared" si="106"/>
        <v>0</v>
      </c>
      <c r="AC6636" s="117" t="str">
        <f>IF(AB6636=1,COUNTIF($AB$3:AB6636,1),"")</f>
        <v/>
      </c>
      <c r="AD6636" s="117" t="str">
        <f>IFERROR(INDEX($AA$3:$AA$10000,MATCH(ROWS($AC$3:AC6636),$AC$3:$AC$10000,0)),"")</f>
        <v/>
      </c>
    </row>
    <row r="6637" spans="27:30">
      <c r="AA6637" s="117">
        <f>+'Ingredient List - Mother Tinctu'!D6638</f>
        <v>0</v>
      </c>
      <c r="AB6637" s="117">
        <f t="shared" si="106"/>
        <v>0</v>
      </c>
      <c r="AC6637" s="117" t="str">
        <f>IF(AB6637=1,COUNTIF($AB$3:AB6637,1),"")</f>
        <v/>
      </c>
      <c r="AD6637" s="117" t="str">
        <f>IFERROR(INDEX($AA$3:$AA$10000,MATCH(ROWS($AC$3:AC6637),$AC$3:$AC$10000,0)),"")</f>
        <v/>
      </c>
    </row>
    <row r="6638" spans="27:30">
      <c r="AA6638" s="117">
        <f>+'Ingredient List - Mother Tinctu'!D6639</f>
        <v>0</v>
      </c>
      <c r="AB6638" s="117">
        <f t="shared" si="106"/>
        <v>0</v>
      </c>
      <c r="AC6638" s="117" t="str">
        <f>IF(AB6638=1,COUNTIF($AB$3:AB6638,1),"")</f>
        <v/>
      </c>
      <c r="AD6638" s="117" t="str">
        <f>IFERROR(INDEX($AA$3:$AA$10000,MATCH(ROWS($AC$3:AC6638),$AC$3:$AC$10000,0)),"")</f>
        <v/>
      </c>
    </row>
    <row r="6639" spans="27:30">
      <c r="AA6639" s="117">
        <f>+'Ingredient List - Mother Tinctu'!D6640</f>
        <v>0</v>
      </c>
      <c r="AB6639" s="117">
        <f t="shared" si="106"/>
        <v>0</v>
      </c>
      <c r="AC6639" s="117" t="str">
        <f>IF(AB6639=1,COUNTIF($AB$3:AB6639,1),"")</f>
        <v/>
      </c>
      <c r="AD6639" s="117" t="str">
        <f>IFERROR(INDEX($AA$3:$AA$10000,MATCH(ROWS($AC$3:AC6639),$AC$3:$AC$10000,0)),"")</f>
        <v/>
      </c>
    </row>
    <row r="6640" spans="27:30">
      <c r="AA6640" s="117">
        <f>+'Ingredient List - Mother Tinctu'!D6641</f>
        <v>0</v>
      </c>
      <c r="AB6640" s="117">
        <f t="shared" si="106"/>
        <v>0</v>
      </c>
      <c r="AC6640" s="117" t="str">
        <f>IF(AB6640=1,COUNTIF($AB$3:AB6640,1),"")</f>
        <v/>
      </c>
      <c r="AD6640" s="117" t="str">
        <f>IFERROR(INDEX($AA$3:$AA$10000,MATCH(ROWS($AC$3:AC6640),$AC$3:$AC$10000,0)),"")</f>
        <v/>
      </c>
    </row>
    <row r="6641" spans="27:30">
      <c r="AA6641" s="117">
        <f>+'Ingredient List - Mother Tinctu'!D6642</f>
        <v>0</v>
      </c>
      <c r="AB6641" s="117">
        <f t="shared" si="106"/>
        <v>0</v>
      </c>
      <c r="AC6641" s="117" t="str">
        <f>IF(AB6641=1,COUNTIF($AB$3:AB6641,1),"")</f>
        <v/>
      </c>
      <c r="AD6641" s="117" t="str">
        <f>IFERROR(INDEX($AA$3:$AA$10000,MATCH(ROWS($AC$3:AC6641),$AC$3:$AC$10000,0)),"")</f>
        <v/>
      </c>
    </row>
    <row r="6642" spans="27:30">
      <c r="AA6642" s="117">
        <f>+'Ingredient List - Mother Tinctu'!D6643</f>
        <v>0</v>
      </c>
      <c r="AB6642" s="117">
        <f t="shared" si="106"/>
        <v>0</v>
      </c>
      <c r="AC6642" s="117" t="str">
        <f>IF(AB6642=1,COUNTIF($AB$3:AB6642,1),"")</f>
        <v/>
      </c>
      <c r="AD6642" s="117" t="str">
        <f>IFERROR(INDEX($AA$3:$AA$10000,MATCH(ROWS($AC$3:AC6642),$AC$3:$AC$10000,0)),"")</f>
        <v/>
      </c>
    </row>
    <row r="6643" spans="27:30">
      <c r="AA6643" s="117">
        <f>+'Ingredient List - Mother Tinctu'!D6644</f>
        <v>0</v>
      </c>
      <c r="AB6643" s="117">
        <f t="shared" si="106"/>
        <v>0</v>
      </c>
      <c r="AC6643" s="117" t="str">
        <f>IF(AB6643=1,COUNTIF($AB$3:AB6643,1),"")</f>
        <v/>
      </c>
      <c r="AD6643" s="117" t="str">
        <f>IFERROR(INDEX($AA$3:$AA$10000,MATCH(ROWS($AC$3:AC6643),$AC$3:$AC$10000,0)),"")</f>
        <v/>
      </c>
    </row>
    <row r="6644" spans="27:30">
      <c r="AA6644" s="117">
        <f>+'Ingredient List - Mother Tinctu'!D6645</f>
        <v>0</v>
      </c>
      <c r="AB6644" s="117">
        <f t="shared" si="106"/>
        <v>0</v>
      </c>
      <c r="AC6644" s="117" t="str">
        <f>IF(AB6644=1,COUNTIF($AB$3:AB6644,1),"")</f>
        <v/>
      </c>
      <c r="AD6644" s="117" t="str">
        <f>IFERROR(INDEX($AA$3:$AA$10000,MATCH(ROWS($AC$3:AC6644),$AC$3:$AC$10000,0)),"")</f>
        <v/>
      </c>
    </row>
    <row r="6645" spans="27:30">
      <c r="AA6645" s="117">
        <f>+'Ingredient List - Mother Tinctu'!D6646</f>
        <v>0</v>
      </c>
      <c r="AB6645" s="117">
        <f t="shared" si="106"/>
        <v>0</v>
      </c>
      <c r="AC6645" s="117" t="str">
        <f>IF(AB6645=1,COUNTIF($AB$3:AB6645,1),"")</f>
        <v/>
      </c>
      <c r="AD6645" s="117" t="str">
        <f>IFERROR(INDEX($AA$3:$AA$10000,MATCH(ROWS($AC$3:AC6645),$AC$3:$AC$10000,0)),"")</f>
        <v/>
      </c>
    </row>
    <row r="6646" spans="27:30">
      <c r="AA6646" s="117">
        <f>+'Ingredient List - Mother Tinctu'!D6647</f>
        <v>0</v>
      </c>
      <c r="AB6646" s="117">
        <f t="shared" si="106"/>
        <v>0</v>
      </c>
      <c r="AC6646" s="117" t="str">
        <f>IF(AB6646=1,COUNTIF($AB$3:AB6646,1),"")</f>
        <v/>
      </c>
      <c r="AD6646" s="117" t="str">
        <f>IFERROR(INDEX($AA$3:$AA$10000,MATCH(ROWS($AC$3:AC6646),$AC$3:$AC$10000,0)),"")</f>
        <v/>
      </c>
    </row>
    <row r="6647" spans="27:30">
      <c r="AA6647" s="117">
        <f>+'Ingredient List - Mother Tinctu'!D6648</f>
        <v>0</v>
      </c>
      <c r="AB6647" s="117">
        <f t="shared" si="106"/>
        <v>0</v>
      </c>
      <c r="AC6647" s="117" t="str">
        <f>IF(AB6647=1,COUNTIF($AB$3:AB6647,1),"")</f>
        <v/>
      </c>
      <c r="AD6647" s="117" t="str">
        <f>IFERROR(INDEX($AA$3:$AA$10000,MATCH(ROWS($AC$3:AC6647),$AC$3:$AC$10000,0)),"")</f>
        <v/>
      </c>
    </row>
    <row r="6648" spans="27:30">
      <c r="AA6648" s="117">
        <f>+'Ingredient List - Mother Tinctu'!D6649</f>
        <v>0</v>
      </c>
      <c r="AB6648" s="117">
        <f t="shared" si="106"/>
        <v>0</v>
      </c>
      <c r="AC6648" s="117" t="str">
        <f>IF(AB6648=1,COUNTIF($AB$3:AB6648,1),"")</f>
        <v/>
      </c>
      <c r="AD6648" s="117" t="str">
        <f>IFERROR(INDEX($AA$3:$AA$10000,MATCH(ROWS($AC$3:AC6648),$AC$3:$AC$10000,0)),"")</f>
        <v/>
      </c>
    </row>
    <row r="6649" spans="27:30">
      <c r="AA6649" s="117">
        <f>+'Ingredient List - Mother Tinctu'!D6650</f>
        <v>0</v>
      </c>
      <c r="AB6649" s="117">
        <f t="shared" si="106"/>
        <v>0</v>
      </c>
      <c r="AC6649" s="117" t="str">
        <f>IF(AB6649=1,COUNTIF($AB$3:AB6649,1),"")</f>
        <v/>
      </c>
      <c r="AD6649" s="117" t="str">
        <f>IFERROR(INDEX($AA$3:$AA$10000,MATCH(ROWS($AC$3:AC6649),$AC$3:$AC$10000,0)),"")</f>
        <v/>
      </c>
    </row>
    <row r="6650" spans="27:30">
      <c r="AA6650" s="117">
        <f>+'Ingredient List - Mother Tinctu'!D6651</f>
        <v>0</v>
      </c>
      <c r="AB6650" s="117">
        <f t="shared" si="106"/>
        <v>0</v>
      </c>
      <c r="AC6650" s="117" t="str">
        <f>IF(AB6650=1,COUNTIF($AB$3:AB6650,1),"")</f>
        <v/>
      </c>
      <c r="AD6650" s="117" t="str">
        <f>IFERROR(INDEX($AA$3:$AA$10000,MATCH(ROWS($AC$3:AC6650),$AC$3:$AC$10000,0)),"")</f>
        <v/>
      </c>
    </row>
    <row r="6651" spans="27:30">
      <c r="AA6651" s="117">
        <f>+'Ingredient List - Mother Tinctu'!D6652</f>
        <v>0</v>
      </c>
      <c r="AB6651" s="117">
        <f t="shared" si="106"/>
        <v>0</v>
      </c>
      <c r="AC6651" s="117" t="str">
        <f>IF(AB6651=1,COUNTIF($AB$3:AB6651,1),"")</f>
        <v/>
      </c>
      <c r="AD6651" s="117" t="str">
        <f>IFERROR(INDEX($AA$3:$AA$10000,MATCH(ROWS($AC$3:AC6651),$AC$3:$AC$10000,0)),"")</f>
        <v/>
      </c>
    </row>
    <row r="6652" spans="27:30">
      <c r="AA6652" s="117">
        <f>+'Ingredient List - Mother Tinctu'!D6653</f>
        <v>0</v>
      </c>
      <c r="AB6652" s="117">
        <f t="shared" si="106"/>
        <v>0</v>
      </c>
      <c r="AC6652" s="117" t="str">
        <f>IF(AB6652=1,COUNTIF($AB$3:AB6652,1),"")</f>
        <v/>
      </c>
      <c r="AD6652" s="117" t="str">
        <f>IFERROR(INDEX($AA$3:$AA$10000,MATCH(ROWS($AC$3:AC6652),$AC$3:$AC$10000,0)),"")</f>
        <v/>
      </c>
    </row>
    <row r="6653" spans="27:30">
      <c r="AA6653" s="117">
        <f>+'Ingredient List - Mother Tinctu'!D6654</f>
        <v>0</v>
      </c>
      <c r="AB6653" s="117">
        <f t="shared" si="106"/>
        <v>0</v>
      </c>
      <c r="AC6653" s="117" t="str">
        <f>IF(AB6653=1,COUNTIF($AB$3:AB6653,1),"")</f>
        <v/>
      </c>
      <c r="AD6653" s="117" t="str">
        <f>IFERROR(INDEX($AA$3:$AA$10000,MATCH(ROWS($AC$3:AC6653),$AC$3:$AC$10000,0)),"")</f>
        <v/>
      </c>
    </row>
    <row r="6654" spans="27:30">
      <c r="AA6654" s="117">
        <f>+'Ingredient List - Mother Tinctu'!D6655</f>
        <v>0</v>
      </c>
      <c r="AB6654" s="117">
        <f t="shared" si="106"/>
        <v>0</v>
      </c>
      <c r="AC6654" s="117" t="str">
        <f>IF(AB6654=1,COUNTIF($AB$3:AB6654,1),"")</f>
        <v/>
      </c>
      <c r="AD6654" s="117" t="str">
        <f>IFERROR(INDEX($AA$3:$AA$10000,MATCH(ROWS($AC$3:AC6654),$AC$3:$AC$10000,0)),"")</f>
        <v/>
      </c>
    </row>
    <row r="6655" spans="27:30">
      <c r="AA6655" s="117">
        <f>+'Ingredient List - Mother Tinctu'!D6656</f>
        <v>0</v>
      </c>
      <c r="AB6655" s="117">
        <f t="shared" si="106"/>
        <v>0</v>
      </c>
      <c r="AC6655" s="117" t="str">
        <f>IF(AB6655=1,COUNTIF($AB$3:AB6655,1),"")</f>
        <v/>
      </c>
      <c r="AD6655" s="117" t="str">
        <f>IFERROR(INDEX($AA$3:$AA$10000,MATCH(ROWS($AC$3:AC6655),$AC$3:$AC$10000,0)),"")</f>
        <v/>
      </c>
    </row>
    <row r="6656" spans="27:30">
      <c r="AA6656" s="117">
        <f>+'Ingredient List - Mother Tinctu'!D6657</f>
        <v>0</v>
      </c>
      <c r="AB6656" s="117">
        <f t="shared" si="106"/>
        <v>0</v>
      </c>
      <c r="AC6656" s="117" t="str">
        <f>IF(AB6656=1,COUNTIF($AB$3:AB6656,1),"")</f>
        <v/>
      </c>
      <c r="AD6656" s="117" t="str">
        <f>IFERROR(INDEX($AA$3:$AA$10000,MATCH(ROWS($AC$3:AC6656),$AC$3:$AC$10000,0)),"")</f>
        <v/>
      </c>
    </row>
    <row r="6657" spans="27:30">
      <c r="AA6657" s="117">
        <f>+'Ingredient List - Mother Tinctu'!D6658</f>
        <v>0</v>
      </c>
      <c r="AB6657" s="117">
        <f t="shared" si="106"/>
        <v>0</v>
      </c>
      <c r="AC6657" s="117" t="str">
        <f>IF(AB6657=1,COUNTIF($AB$3:AB6657,1),"")</f>
        <v/>
      </c>
      <c r="AD6657" s="117" t="str">
        <f>IFERROR(INDEX($AA$3:$AA$10000,MATCH(ROWS($AC$3:AC6657),$AC$3:$AC$10000,0)),"")</f>
        <v/>
      </c>
    </row>
    <row r="6658" spans="27:30">
      <c r="AA6658" s="117">
        <f>+'Ingredient List - Mother Tinctu'!D6659</f>
        <v>0</v>
      </c>
      <c r="AB6658" s="117">
        <f t="shared" si="106"/>
        <v>0</v>
      </c>
      <c r="AC6658" s="117" t="str">
        <f>IF(AB6658=1,COUNTIF($AB$3:AB6658,1),"")</f>
        <v/>
      </c>
      <c r="AD6658" s="117" t="str">
        <f>IFERROR(INDEX($AA$3:$AA$10000,MATCH(ROWS($AC$3:AC6658),$AC$3:$AC$10000,0)),"")</f>
        <v/>
      </c>
    </row>
    <row r="6659" spans="27:30">
      <c r="AA6659" s="117">
        <f>+'Ingredient List - Mother Tinctu'!D6660</f>
        <v>0</v>
      </c>
      <c r="AB6659" s="117">
        <f t="shared" si="106"/>
        <v>0</v>
      </c>
      <c r="AC6659" s="117" t="str">
        <f>IF(AB6659=1,COUNTIF($AB$3:AB6659,1),"")</f>
        <v/>
      </c>
      <c r="AD6659" s="117" t="str">
        <f>IFERROR(INDEX($AA$3:$AA$10000,MATCH(ROWS($AC$3:AC6659),$AC$3:$AC$10000,0)),"")</f>
        <v/>
      </c>
    </row>
    <row r="6660" spans="27:30">
      <c r="AA6660" s="117">
        <f>+'Ingredient List - Mother Tinctu'!D6661</f>
        <v>0</v>
      </c>
      <c r="AB6660" s="117">
        <f t="shared" ref="AB6660:AB6723" si="107">--ISNUMBER(IFERROR(SEARCH($D$3,AA6660,1),""))</f>
        <v>0</v>
      </c>
      <c r="AC6660" s="117" t="str">
        <f>IF(AB6660=1,COUNTIF($AB$3:AB6660,1),"")</f>
        <v/>
      </c>
      <c r="AD6660" s="117" t="str">
        <f>IFERROR(INDEX($AA$3:$AA$10000,MATCH(ROWS($AC$3:AC6660),$AC$3:$AC$10000,0)),"")</f>
        <v/>
      </c>
    </row>
    <row r="6661" spans="27:30">
      <c r="AA6661" s="117">
        <f>+'Ingredient List - Mother Tinctu'!D6662</f>
        <v>0</v>
      </c>
      <c r="AB6661" s="117">
        <f t="shared" si="107"/>
        <v>0</v>
      </c>
      <c r="AC6661" s="117" t="str">
        <f>IF(AB6661=1,COUNTIF($AB$3:AB6661,1),"")</f>
        <v/>
      </c>
      <c r="AD6661" s="117" t="str">
        <f>IFERROR(INDEX($AA$3:$AA$10000,MATCH(ROWS($AC$3:AC6661),$AC$3:$AC$10000,0)),"")</f>
        <v/>
      </c>
    </row>
    <row r="6662" spans="27:30">
      <c r="AA6662" s="117">
        <f>+'Ingredient List - Mother Tinctu'!D6663</f>
        <v>0</v>
      </c>
      <c r="AB6662" s="117">
        <f t="shared" si="107"/>
        <v>0</v>
      </c>
      <c r="AC6662" s="117" t="str">
        <f>IF(AB6662=1,COUNTIF($AB$3:AB6662,1),"")</f>
        <v/>
      </c>
      <c r="AD6662" s="117" t="str">
        <f>IFERROR(INDEX($AA$3:$AA$10000,MATCH(ROWS($AC$3:AC6662),$AC$3:$AC$10000,0)),"")</f>
        <v/>
      </c>
    </row>
    <row r="6663" spans="27:30">
      <c r="AA6663" s="117">
        <f>+'Ingredient List - Mother Tinctu'!D6664</f>
        <v>0</v>
      </c>
      <c r="AB6663" s="117">
        <f t="shared" si="107"/>
        <v>0</v>
      </c>
      <c r="AC6663" s="117" t="str">
        <f>IF(AB6663=1,COUNTIF($AB$3:AB6663,1),"")</f>
        <v/>
      </c>
      <c r="AD6663" s="117" t="str">
        <f>IFERROR(INDEX($AA$3:$AA$10000,MATCH(ROWS($AC$3:AC6663),$AC$3:$AC$10000,0)),"")</f>
        <v/>
      </c>
    </row>
    <row r="6664" spans="27:30">
      <c r="AA6664" s="117">
        <f>+'Ingredient List - Mother Tinctu'!D6665</f>
        <v>0</v>
      </c>
      <c r="AB6664" s="117">
        <f t="shared" si="107"/>
        <v>0</v>
      </c>
      <c r="AC6664" s="117" t="str">
        <f>IF(AB6664=1,COUNTIF($AB$3:AB6664,1),"")</f>
        <v/>
      </c>
      <c r="AD6664" s="117" t="str">
        <f>IFERROR(INDEX($AA$3:$AA$10000,MATCH(ROWS($AC$3:AC6664),$AC$3:$AC$10000,0)),"")</f>
        <v/>
      </c>
    </row>
    <row r="6665" spans="27:30">
      <c r="AA6665" s="117">
        <f>+'Ingredient List - Mother Tinctu'!D6666</f>
        <v>0</v>
      </c>
      <c r="AB6665" s="117">
        <f t="shared" si="107"/>
        <v>0</v>
      </c>
      <c r="AC6665" s="117" t="str">
        <f>IF(AB6665=1,COUNTIF($AB$3:AB6665,1),"")</f>
        <v/>
      </c>
      <c r="AD6665" s="117" t="str">
        <f>IFERROR(INDEX($AA$3:$AA$10000,MATCH(ROWS($AC$3:AC6665),$AC$3:$AC$10000,0)),"")</f>
        <v/>
      </c>
    </row>
    <row r="6666" spans="27:30">
      <c r="AA6666" s="117">
        <f>+'Ingredient List - Mother Tinctu'!D6667</f>
        <v>0</v>
      </c>
      <c r="AB6666" s="117">
        <f t="shared" si="107"/>
        <v>0</v>
      </c>
      <c r="AC6666" s="117" t="str">
        <f>IF(AB6666=1,COUNTIF($AB$3:AB6666,1),"")</f>
        <v/>
      </c>
      <c r="AD6666" s="117" t="str">
        <f>IFERROR(INDEX($AA$3:$AA$10000,MATCH(ROWS($AC$3:AC6666),$AC$3:$AC$10000,0)),"")</f>
        <v/>
      </c>
    </row>
    <row r="6667" spans="27:30">
      <c r="AA6667" s="117">
        <f>+'Ingredient List - Mother Tinctu'!D6668</f>
        <v>0</v>
      </c>
      <c r="AB6667" s="117">
        <f t="shared" si="107"/>
        <v>0</v>
      </c>
      <c r="AC6667" s="117" t="str">
        <f>IF(AB6667=1,COUNTIF($AB$3:AB6667,1),"")</f>
        <v/>
      </c>
      <c r="AD6667" s="117" t="str">
        <f>IFERROR(INDEX($AA$3:$AA$10000,MATCH(ROWS($AC$3:AC6667),$AC$3:$AC$10000,0)),"")</f>
        <v/>
      </c>
    </row>
    <row r="6668" spans="27:30">
      <c r="AA6668" s="117">
        <f>+'Ingredient List - Mother Tinctu'!D6669</f>
        <v>0</v>
      </c>
      <c r="AB6668" s="117">
        <f t="shared" si="107"/>
        <v>0</v>
      </c>
      <c r="AC6668" s="117" t="str">
        <f>IF(AB6668=1,COUNTIF($AB$3:AB6668,1),"")</f>
        <v/>
      </c>
      <c r="AD6668" s="117" t="str">
        <f>IFERROR(INDEX($AA$3:$AA$10000,MATCH(ROWS($AC$3:AC6668),$AC$3:$AC$10000,0)),"")</f>
        <v/>
      </c>
    </row>
    <row r="6669" spans="27:30">
      <c r="AA6669" s="117">
        <f>+'Ingredient List - Mother Tinctu'!D6670</f>
        <v>0</v>
      </c>
      <c r="AB6669" s="117">
        <f t="shared" si="107"/>
        <v>0</v>
      </c>
      <c r="AC6669" s="117" t="str">
        <f>IF(AB6669=1,COUNTIF($AB$3:AB6669,1),"")</f>
        <v/>
      </c>
      <c r="AD6669" s="117" t="str">
        <f>IFERROR(INDEX($AA$3:$AA$10000,MATCH(ROWS($AC$3:AC6669),$AC$3:$AC$10000,0)),"")</f>
        <v/>
      </c>
    </row>
    <row r="6670" spans="27:30">
      <c r="AA6670" s="117">
        <f>+'Ingredient List - Mother Tinctu'!D6671</f>
        <v>0</v>
      </c>
      <c r="AB6670" s="117">
        <f t="shared" si="107"/>
        <v>0</v>
      </c>
      <c r="AC6670" s="117" t="str">
        <f>IF(AB6670=1,COUNTIF($AB$3:AB6670,1),"")</f>
        <v/>
      </c>
      <c r="AD6670" s="117" t="str">
        <f>IFERROR(INDEX($AA$3:$AA$10000,MATCH(ROWS($AC$3:AC6670),$AC$3:$AC$10000,0)),"")</f>
        <v/>
      </c>
    </row>
    <row r="6671" spans="27:30">
      <c r="AA6671" s="117">
        <f>+'Ingredient List - Mother Tinctu'!D6672</f>
        <v>0</v>
      </c>
      <c r="AB6671" s="117">
        <f t="shared" si="107"/>
        <v>0</v>
      </c>
      <c r="AC6671" s="117" t="str">
        <f>IF(AB6671=1,COUNTIF($AB$3:AB6671,1),"")</f>
        <v/>
      </c>
      <c r="AD6671" s="117" t="str">
        <f>IFERROR(INDEX($AA$3:$AA$10000,MATCH(ROWS($AC$3:AC6671),$AC$3:$AC$10000,0)),"")</f>
        <v/>
      </c>
    </row>
    <row r="6672" spans="27:30">
      <c r="AA6672" s="117">
        <f>+'Ingredient List - Mother Tinctu'!D6673</f>
        <v>0</v>
      </c>
      <c r="AB6672" s="117">
        <f t="shared" si="107"/>
        <v>0</v>
      </c>
      <c r="AC6672" s="117" t="str">
        <f>IF(AB6672=1,COUNTIF($AB$3:AB6672,1),"")</f>
        <v/>
      </c>
      <c r="AD6672" s="117" t="str">
        <f>IFERROR(INDEX($AA$3:$AA$10000,MATCH(ROWS($AC$3:AC6672),$AC$3:$AC$10000,0)),"")</f>
        <v/>
      </c>
    </row>
    <row r="6673" spans="27:30">
      <c r="AA6673" s="117">
        <f>+'Ingredient List - Mother Tinctu'!D6674</f>
        <v>0</v>
      </c>
      <c r="AB6673" s="117">
        <f t="shared" si="107"/>
        <v>0</v>
      </c>
      <c r="AC6673" s="117" t="str">
        <f>IF(AB6673=1,COUNTIF($AB$3:AB6673,1),"")</f>
        <v/>
      </c>
      <c r="AD6673" s="117" t="str">
        <f>IFERROR(INDEX($AA$3:$AA$10000,MATCH(ROWS($AC$3:AC6673),$AC$3:$AC$10000,0)),"")</f>
        <v/>
      </c>
    </row>
    <row r="6674" spans="27:30">
      <c r="AA6674" s="117">
        <f>+'Ingredient List - Mother Tinctu'!D6675</f>
        <v>0</v>
      </c>
      <c r="AB6674" s="117">
        <f t="shared" si="107"/>
        <v>0</v>
      </c>
      <c r="AC6674" s="117" t="str">
        <f>IF(AB6674=1,COUNTIF($AB$3:AB6674,1),"")</f>
        <v/>
      </c>
      <c r="AD6674" s="117" t="str">
        <f>IFERROR(INDEX($AA$3:$AA$10000,MATCH(ROWS($AC$3:AC6674),$AC$3:$AC$10000,0)),"")</f>
        <v/>
      </c>
    </row>
    <row r="6675" spans="27:30">
      <c r="AA6675" s="117">
        <f>+'Ingredient List - Mother Tinctu'!D6676</f>
        <v>0</v>
      </c>
      <c r="AB6675" s="117">
        <f t="shared" si="107"/>
        <v>0</v>
      </c>
      <c r="AC6675" s="117" t="str">
        <f>IF(AB6675=1,COUNTIF($AB$3:AB6675,1),"")</f>
        <v/>
      </c>
      <c r="AD6675" s="117" t="str">
        <f>IFERROR(INDEX($AA$3:$AA$10000,MATCH(ROWS($AC$3:AC6675),$AC$3:$AC$10000,0)),"")</f>
        <v/>
      </c>
    </row>
    <row r="6676" spans="27:30">
      <c r="AA6676" s="117">
        <f>+'Ingredient List - Mother Tinctu'!D6677</f>
        <v>0</v>
      </c>
      <c r="AB6676" s="117">
        <f t="shared" si="107"/>
        <v>0</v>
      </c>
      <c r="AC6676" s="117" t="str">
        <f>IF(AB6676=1,COUNTIF($AB$3:AB6676,1),"")</f>
        <v/>
      </c>
      <c r="AD6676" s="117" t="str">
        <f>IFERROR(INDEX($AA$3:$AA$10000,MATCH(ROWS($AC$3:AC6676),$AC$3:$AC$10000,0)),"")</f>
        <v/>
      </c>
    </row>
    <row r="6677" spans="27:30">
      <c r="AA6677" s="117">
        <f>+'Ingredient List - Mother Tinctu'!D6678</f>
        <v>0</v>
      </c>
      <c r="AB6677" s="117">
        <f t="shared" si="107"/>
        <v>0</v>
      </c>
      <c r="AC6677" s="117" t="str">
        <f>IF(AB6677=1,COUNTIF($AB$3:AB6677,1),"")</f>
        <v/>
      </c>
      <c r="AD6677" s="117" t="str">
        <f>IFERROR(INDEX($AA$3:$AA$10000,MATCH(ROWS($AC$3:AC6677),$AC$3:$AC$10000,0)),"")</f>
        <v/>
      </c>
    </row>
    <row r="6678" spans="27:30">
      <c r="AA6678" s="117">
        <f>+'Ingredient List - Mother Tinctu'!D6679</f>
        <v>0</v>
      </c>
      <c r="AB6678" s="117">
        <f t="shared" si="107"/>
        <v>0</v>
      </c>
      <c r="AC6678" s="117" t="str">
        <f>IF(AB6678=1,COUNTIF($AB$3:AB6678,1),"")</f>
        <v/>
      </c>
      <c r="AD6678" s="117" t="str">
        <f>IFERROR(INDEX($AA$3:$AA$10000,MATCH(ROWS($AC$3:AC6678),$AC$3:$AC$10000,0)),"")</f>
        <v/>
      </c>
    </row>
    <row r="6679" spans="27:30">
      <c r="AA6679" s="117">
        <f>+'Ingredient List - Mother Tinctu'!D6680</f>
        <v>0</v>
      </c>
      <c r="AB6679" s="117">
        <f t="shared" si="107"/>
        <v>0</v>
      </c>
      <c r="AC6679" s="117" t="str">
        <f>IF(AB6679=1,COUNTIF($AB$3:AB6679,1),"")</f>
        <v/>
      </c>
      <c r="AD6679" s="117" t="str">
        <f>IFERROR(INDEX($AA$3:$AA$10000,MATCH(ROWS($AC$3:AC6679),$AC$3:$AC$10000,0)),"")</f>
        <v/>
      </c>
    </row>
    <row r="6680" spans="27:30">
      <c r="AA6680" s="117">
        <f>+'Ingredient List - Mother Tinctu'!D6681</f>
        <v>0</v>
      </c>
      <c r="AB6680" s="117">
        <f t="shared" si="107"/>
        <v>0</v>
      </c>
      <c r="AC6680" s="117" t="str">
        <f>IF(AB6680=1,COUNTIF($AB$3:AB6680,1),"")</f>
        <v/>
      </c>
      <c r="AD6680" s="117" t="str">
        <f>IFERROR(INDEX($AA$3:$AA$10000,MATCH(ROWS($AC$3:AC6680),$AC$3:$AC$10000,0)),"")</f>
        <v/>
      </c>
    </row>
    <row r="6681" spans="27:30">
      <c r="AA6681" s="117">
        <f>+'Ingredient List - Mother Tinctu'!D6682</f>
        <v>0</v>
      </c>
      <c r="AB6681" s="117">
        <f t="shared" si="107"/>
        <v>0</v>
      </c>
      <c r="AC6681" s="117" t="str">
        <f>IF(AB6681=1,COUNTIF($AB$3:AB6681,1),"")</f>
        <v/>
      </c>
      <c r="AD6681" s="117" t="str">
        <f>IFERROR(INDEX($AA$3:$AA$10000,MATCH(ROWS($AC$3:AC6681),$AC$3:$AC$10000,0)),"")</f>
        <v/>
      </c>
    </row>
    <row r="6682" spans="27:30">
      <c r="AA6682" s="117">
        <f>+'Ingredient List - Mother Tinctu'!D6683</f>
        <v>0</v>
      </c>
      <c r="AB6682" s="117">
        <f t="shared" si="107"/>
        <v>0</v>
      </c>
      <c r="AC6682" s="117" t="str">
        <f>IF(AB6682=1,COUNTIF($AB$3:AB6682,1),"")</f>
        <v/>
      </c>
      <c r="AD6682" s="117" t="str">
        <f>IFERROR(INDEX($AA$3:$AA$10000,MATCH(ROWS($AC$3:AC6682),$AC$3:$AC$10000,0)),"")</f>
        <v/>
      </c>
    </row>
    <row r="6683" spans="27:30">
      <c r="AA6683" s="117">
        <f>+'Ingredient List - Mother Tinctu'!D6684</f>
        <v>0</v>
      </c>
      <c r="AB6683" s="117">
        <f t="shared" si="107"/>
        <v>0</v>
      </c>
      <c r="AC6683" s="117" t="str">
        <f>IF(AB6683=1,COUNTIF($AB$3:AB6683,1),"")</f>
        <v/>
      </c>
      <c r="AD6683" s="117" t="str">
        <f>IFERROR(INDEX($AA$3:$AA$10000,MATCH(ROWS($AC$3:AC6683),$AC$3:$AC$10000,0)),"")</f>
        <v/>
      </c>
    </row>
    <row r="6684" spans="27:30">
      <c r="AA6684" s="117">
        <f>+'Ingredient List - Mother Tinctu'!D6685</f>
        <v>0</v>
      </c>
      <c r="AB6684" s="117">
        <f t="shared" si="107"/>
        <v>0</v>
      </c>
      <c r="AC6684" s="117" t="str">
        <f>IF(AB6684=1,COUNTIF($AB$3:AB6684,1),"")</f>
        <v/>
      </c>
      <c r="AD6684" s="117" t="str">
        <f>IFERROR(INDEX($AA$3:$AA$10000,MATCH(ROWS($AC$3:AC6684),$AC$3:$AC$10000,0)),"")</f>
        <v/>
      </c>
    </row>
    <row r="6685" spans="27:30">
      <c r="AA6685" s="117">
        <f>+'Ingredient List - Mother Tinctu'!D6686</f>
        <v>0</v>
      </c>
      <c r="AB6685" s="117">
        <f t="shared" si="107"/>
        <v>0</v>
      </c>
      <c r="AC6685" s="117" t="str">
        <f>IF(AB6685=1,COUNTIF($AB$3:AB6685,1),"")</f>
        <v/>
      </c>
      <c r="AD6685" s="117" t="str">
        <f>IFERROR(INDEX($AA$3:$AA$10000,MATCH(ROWS($AC$3:AC6685),$AC$3:$AC$10000,0)),"")</f>
        <v/>
      </c>
    </row>
    <row r="6686" spans="27:30">
      <c r="AA6686" s="117">
        <f>+'Ingredient List - Mother Tinctu'!D6687</f>
        <v>0</v>
      </c>
      <c r="AB6686" s="117">
        <f t="shared" si="107"/>
        <v>0</v>
      </c>
      <c r="AC6686" s="117" t="str">
        <f>IF(AB6686=1,COUNTIF($AB$3:AB6686,1),"")</f>
        <v/>
      </c>
      <c r="AD6686" s="117" t="str">
        <f>IFERROR(INDEX($AA$3:$AA$10000,MATCH(ROWS($AC$3:AC6686),$AC$3:$AC$10000,0)),"")</f>
        <v/>
      </c>
    </row>
    <row r="6687" spans="27:30">
      <c r="AA6687" s="117">
        <f>+'Ingredient List - Mother Tinctu'!D6688</f>
        <v>0</v>
      </c>
      <c r="AB6687" s="117">
        <f t="shared" si="107"/>
        <v>0</v>
      </c>
      <c r="AC6687" s="117" t="str">
        <f>IF(AB6687=1,COUNTIF($AB$3:AB6687,1),"")</f>
        <v/>
      </c>
      <c r="AD6687" s="117" t="str">
        <f>IFERROR(INDEX($AA$3:$AA$10000,MATCH(ROWS($AC$3:AC6687),$AC$3:$AC$10000,0)),"")</f>
        <v/>
      </c>
    </row>
    <row r="6688" spans="27:30">
      <c r="AA6688" s="117">
        <f>+'Ingredient List - Mother Tinctu'!D6689</f>
        <v>0</v>
      </c>
      <c r="AB6688" s="117">
        <f t="shared" si="107"/>
        <v>0</v>
      </c>
      <c r="AC6688" s="117" t="str">
        <f>IF(AB6688=1,COUNTIF($AB$3:AB6688,1),"")</f>
        <v/>
      </c>
      <c r="AD6688" s="117" t="str">
        <f>IFERROR(INDEX($AA$3:$AA$10000,MATCH(ROWS($AC$3:AC6688),$AC$3:$AC$10000,0)),"")</f>
        <v/>
      </c>
    </row>
    <row r="6689" spans="27:30">
      <c r="AA6689" s="117">
        <f>+'Ingredient List - Mother Tinctu'!D6690</f>
        <v>0</v>
      </c>
      <c r="AB6689" s="117">
        <f t="shared" si="107"/>
        <v>0</v>
      </c>
      <c r="AC6689" s="117" t="str">
        <f>IF(AB6689=1,COUNTIF($AB$3:AB6689,1),"")</f>
        <v/>
      </c>
      <c r="AD6689" s="117" t="str">
        <f>IFERROR(INDEX($AA$3:$AA$10000,MATCH(ROWS($AC$3:AC6689),$AC$3:$AC$10000,0)),"")</f>
        <v/>
      </c>
    </row>
    <row r="6690" spans="27:30">
      <c r="AA6690" s="117">
        <f>+'Ingredient List - Mother Tinctu'!D6691</f>
        <v>0</v>
      </c>
      <c r="AB6690" s="117">
        <f t="shared" si="107"/>
        <v>0</v>
      </c>
      <c r="AC6690" s="117" t="str">
        <f>IF(AB6690=1,COUNTIF($AB$3:AB6690,1),"")</f>
        <v/>
      </c>
      <c r="AD6690" s="117" t="str">
        <f>IFERROR(INDEX($AA$3:$AA$10000,MATCH(ROWS($AC$3:AC6690),$AC$3:$AC$10000,0)),"")</f>
        <v/>
      </c>
    </row>
    <row r="6691" spans="27:30">
      <c r="AA6691" s="117">
        <f>+'Ingredient List - Mother Tinctu'!D6692</f>
        <v>0</v>
      </c>
      <c r="AB6691" s="117">
        <f t="shared" si="107"/>
        <v>0</v>
      </c>
      <c r="AC6691" s="117" t="str">
        <f>IF(AB6691=1,COUNTIF($AB$3:AB6691,1),"")</f>
        <v/>
      </c>
      <c r="AD6691" s="117" t="str">
        <f>IFERROR(INDEX($AA$3:$AA$10000,MATCH(ROWS($AC$3:AC6691),$AC$3:$AC$10000,0)),"")</f>
        <v/>
      </c>
    </row>
    <row r="6692" spans="27:30">
      <c r="AA6692" s="117">
        <f>+'Ingredient List - Mother Tinctu'!D6693</f>
        <v>0</v>
      </c>
      <c r="AB6692" s="117">
        <f t="shared" si="107"/>
        <v>0</v>
      </c>
      <c r="AC6692" s="117" t="str">
        <f>IF(AB6692=1,COUNTIF($AB$3:AB6692,1),"")</f>
        <v/>
      </c>
      <c r="AD6692" s="117" t="str">
        <f>IFERROR(INDEX($AA$3:$AA$10000,MATCH(ROWS($AC$3:AC6692),$AC$3:$AC$10000,0)),"")</f>
        <v/>
      </c>
    </row>
    <row r="6693" spans="27:30">
      <c r="AA6693" s="117">
        <f>+'Ingredient List - Mother Tinctu'!D6694</f>
        <v>0</v>
      </c>
      <c r="AB6693" s="117">
        <f t="shared" si="107"/>
        <v>0</v>
      </c>
      <c r="AC6693" s="117" t="str">
        <f>IF(AB6693=1,COUNTIF($AB$3:AB6693,1),"")</f>
        <v/>
      </c>
      <c r="AD6693" s="117" t="str">
        <f>IFERROR(INDEX($AA$3:$AA$10000,MATCH(ROWS($AC$3:AC6693),$AC$3:$AC$10000,0)),"")</f>
        <v/>
      </c>
    </row>
    <row r="6694" spans="27:30">
      <c r="AA6694" s="117">
        <f>+'Ingredient List - Mother Tinctu'!D6695</f>
        <v>0</v>
      </c>
      <c r="AB6694" s="117">
        <f t="shared" si="107"/>
        <v>0</v>
      </c>
      <c r="AC6694" s="117" t="str">
        <f>IF(AB6694=1,COUNTIF($AB$3:AB6694,1),"")</f>
        <v/>
      </c>
      <c r="AD6694" s="117" t="str">
        <f>IFERROR(INDEX($AA$3:$AA$10000,MATCH(ROWS($AC$3:AC6694),$AC$3:$AC$10000,0)),"")</f>
        <v/>
      </c>
    </row>
    <row r="6695" spans="27:30">
      <c r="AA6695" s="117">
        <f>+'Ingredient List - Mother Tinctu'!D6696</f>
        <v>0</v>
      </c>
      <c r="AB6695" s="117">
        <f t="shared" si="107"/>
        <v>0</v>
      </c>
      <c r="AC6695" s="117" t="str">
        <f>IF(AB6695=1,COUNTIF($AB$3:AB6695,1),"")</f>
        <v/>
      </c>
      <c r="AD6695" s="117" t="str">
        <f>IFERROR(INDEX($AA$3:$AA$10000,MATCH(ROWS($AC$3:AC6695),$AC$3:$AC$10000,0)),"")</f>
        <v/>
      </c>
    </row>
    <row r="6696" spans="27:30">
      <c r="AA6696" s="117">
        <f>+'Ingredient List - Mother Tinctu'!D6697</f>
        <v>0</v>
      </c>
      <c r="AB6696" s="117">
        <f t="shared" si="107"/>
        <v>0</v>
      </c>
      <c r="AC6696" s="117" t="str">
        <f>IF(AB6696=1,COUNTIF($AB$3:AB6696,1),"")</f>
        <v/>
      </c>
      <c r="AD6696" s="117" t="str">
        <f>IFERROR(INDEX($AA$3:$AA$10000,MATCH(ROWS($AC$3:AC6696),$AC$3:$AC$10000,0)),"")</f>
        <v/>
      </c>
    </row>
    <row r="6697" spans="27:30">
      <c r="AA6697" s="117">
        <f>+'Ingredient List - Mother Tinctu'!D6698</f>
        <v>0</v>
      </c>
      <c r="AB6697" s="117">
        <f t="shared" si="107"/>
        <v>0</v>
      </c>
      <c r="AC6697" s="117" t="str">
        <f>IF(AB6697=1,COUNTIF($AB$3:AB6697,1),"")</f>
        <v/>
      </c>
      <c r="AD6697" s="117" t="str">
        <f>IFERROR(INDEX($AA$3:$AA$10000,MATCH(ROWS($AC$3:AC6697),$AC$3:$AC$10000,0)),"")</f>
        <v/>
      </c>
    </row>
    <row r="6698" spans="27:30">
      <c r="AA6698" s="117">
        <f>+'Ingredient List - Mother Tinctu'!D6699</f>
        <v>0</v>
      </c>
      <c r="AB6698" s="117">
        <f t="shared" si="107"/>
        <v>0</v>
      </c>
      <c r="AC6698" s="117" t="str">
        <f>IF(AB6698=1,COUNTIF($AB$3:AB6698,1),"")</f>
        <v/>
      </c>
      <c r="AD6698" s="117" t="str">
        <f>IFERROR(INDEX($AA$3:$AA$10000,MATCH(ROWS($AC$3:AC6698),$AC$3:$AC$10000,0)),"")</f>
        <v/>
      </c>
    </row>
    <row r="6699" spans="27:30">
      <c r="AA6699" s="117">
        <f>+'Ingredient List - Mother Tinctu'!D6700</f>
        <v>0</v>
      </c>
      <c r="AB6699" s="117">
        <f t="shared" si="107"/>
        <v>0</v>
      </c>
      <c r="AC6699" s="117" t="str">
        <f>IF(AB6699=1,COUNTIF($AB$3:AB6699,1),"")</f>
        <v/>
      </c>
      <c r="AD6699" s="117" t="str">
        <f>IFERROR(INDEX($AA$3:$AA$10000,MATCH(ROWS($AC$3:AC6699),$AC$3:$AC$10000,0)),"")</f>
        <v/>
      </c>
    </row>
    <row r="6700" spans="27:30">
      <c r="AA6700" s="117">
        <f>+'Ingredient List - Mother Tinctu'!D6701</f>
        <v>0</v>
      </c>
      <c r="AB6700" s="117">
        <f t="shared" si="107"/>
        <v>0</v>
      </c>
      <c r="AC6700" s="117" t="str">
        <f>IF(AB6700=1,COUNTIF($AB$3:AB6700,1),"")</f>
        <v/>
      </c>
      <c r="AD6700" s="117" t="str">
        <f>IFERROR(INDEX($AA$3:$AA$10000,MATCH(ROWS($AC$3:AC6700),$AC$3:$AC$10000,0)),"")</f>
        <v/>
      </c>
    </row>
    <row r="6701" spans="27:30">
      <c r="AA6701" s="117">
        <f>+'Ingredient List - Mother Tinctu'!D6702</f>
        <v>0</v>
      </c>
      <c r="AB6701" s="117">
        <f t="shared" si="107"/>
        <v>0</v>
      </c>
      <c r="AC6701" s="117" t="str">
        <f>IF(AB6701=1,COUNTIF($AB$3:AB6701,1),"")</f>
        <v/>
      </c>
      <c r="AD6701" s="117" t="str">
        <f>IFERROR(INDEX($AA$3:$AA$10000,MATCH(ROWS($AC$3:AC6701),$AC$3:$AC$10000,0)),"")</f>
        <v/>
      </c>
    </row>
    <row r="6702" spans="27:30">
      <c r="AA6702" s="117">
        <f>+'Ingredient List - Mother Tinctu'!D6703</f>
        <v>0</v>
      </c>
      <c r="AB6702" s="117">
        <f t="shared" si="107"/>
        <v>0</v>
      </c>
      <c r="AC6702" s="117" t="str">
        <f>IF(AB6702=1,COUNTIF($AB$3:AB6702,1),"")</f>
        <v/>
      </c>
      <c r="AD6702" s="117" t="str">
        <f>IFERROR(INDEX($AA$3:$AA$10000,MATCH(ROWS($AC$3:AC6702),$AC$3:$AC$10000,0)),"")</f>
        <v/>
      </c>
    </row>
    <row r="6703" spans="27:30">
      <c r="AA6703" s="117">
        <f>+'Ingredient List - Mother Tinctu'!D6704</f>
        <v>0</v>
      </c>
      <c r="AB6703" s="117">
        <f t="shared" si="107"/>
        <v>0</v>
      </c>
      <c r="AC6703" s="117" t="str">
        <f>IF(AB6703=1,COUNTIF($AB$3:AB6703,1),"")</f>
        <v/>
      </c>
      <c r="AD6703" s="117" t="str">
        <f>IFERROR(INDEX($AA$3:$AA$10000,MATCH(ROWS($AC$3:AC6703),$AC$3:$AC$10000,0)),"")</f>
        <v/>
      </c>
    </row>
    <row r="6704" spans="27:30">
      <c r="AA6704" s="117">
        <f>+'Ingredient List - Mother Tinctu'!D6705</f>
        <v>0</v>
      </c>
      <c r="AB6704" s="117">
        <f t="shared" si="107"/>
        <v>0</v>
      </c>
      <c r="AC6704" s="117" t="str">
        <f>IF(AB6704=1,COUNTIF($AB$3:AB6704,1),"")</f>
        <v/>
      </c>
      <c r="AD6704" s="117" t="str">
        <f>IFERROR(INDEX($AA$3:$AA$10000,MATCH(ROWS($AC$3:AC6704),$AC$3:$AC$10000,0)),"")</f>
        <v/>
      </c>
    </row>
    <row r="6705" spans="27:30">
      <c r="AA6705" s="117">
        <f>+'Ingredient List - Mother Tinctu'!D6706</f>
        <v>0</v>
      </c>
      <c r="AB6705" s="117">
        <f t="shared" si="107"/>
        <v>0</v>
      </c>
      <c r="AC6705" s="117" t="str">
        <f>IF(AB6705=1,COUNTIF($AB$3:AB6705,1),"")</f>
        <v/>
      </c>
      <c r="AD6705" s="117" t="str">
        <f>IFERROR(INDEX($AA$3:$AA$10000,MATCH(ROWS($AC$3:AC6705),$AC$3:$AC$10000,0)),"")</f>
        <v/>
      </c>
    </row>
    <row r="6706" spans="27:30">
      <c r="AA6706" s="117">
        <f>+'Ingredient List - Mother Tinctu'!D6707</f>
        <v>0</v>
      </c>
      <c r="AB6706" s="117">
        <f t="shared" si="107"/>
        <v>0</v>
      </c>
      <c r="AC6706" s="117" t="str">
        <f>IF(AB6706=1,COUNTIF($AB$3:AB6706,1),"")</f>
        <v/>
      </c>
      <c r="AD6706" s="117" t="str">
        <f>IFERROR(INDEX($AA$3:$AA$10000,MATCH(ROWS($AC$3:AC6706),$AC$3:$AC$10000,0)),"")</f>
        <v/>
      </c>
    </row>
    <row r="6707" spans="27:30">
      <c r="AA6707" s="117">
        <f>+'Ingredient List - Mother Tinctu'!D6708</f>
        <v>0</v>
      </c>
      <c r="AB6707" s="117">
        <f t="shared" si="107"/>
        <v>0</v>
      </c>
      <c r="AC6707" s="117" t="str">
        <f>IF(AB6707=1,COUNTIF($AB$3:AB6707,1),"")</f>
        <v/>
      </c>
      <c r="AD6707" s="117" t="str">
        <f>IFERROR(INDEX($AA$3:$AA$10000,MATCH(ROWS($AC$3:AC6707),$AC$3:$AC$10000,0)),"")</f>
        <v/>
      </c>
    </row>
    <row r="6708" spans="27:30">
      <c r="AA6708" s="117">
        <f>+'Ingredient List - Mother Tinctu'!D6709</f>
        <v>0</v>
      </c>
      <c r="AB6708" s="117">
        <f t="shared" si="107"/>
        <v>0</v>
      </c>
      <c r="AC6708" s="117" t="str">
        <f>IF(AB6708=1,COUNTIF($AB$3:AB6708,1),"")</f>
        <v/>
      </c>
      <c r="AD6708" s="117" t="str">
        <f>IFERROR(INDEX($AA$3:$AA$10000,MATCH(ROWS($AC$3:AC6708),$AC$3:$AC$10000,0)),"")</f>
        <v/>
      </c>
    </row>
    <row r="6709" spans="27:30">
      <c r="AA6709" s="117">
        <f>+'Ingredient List - Mother Tinctu'!D6710</f>
        <v>0</v>
      </c>
      <c r="AB6709" s="117">
        <f t="shared" si="107"/>
        <v>0</v>
      </c>
      <c r="AC6709" s="117" t="str">
        <f>IF(AB6709=1,COUNTIF($AB$3:AB6709,1),"")</f>
        <v/>
      </c>
      <c r="AD6709" s="117" t="str">
        <f>IFERROR(INDEX($AA$3:$AA$10000,MATCH(ROWS($AC$3:AC6709),$AC$3:$AC$10000,0)),"")</f>
        <v/>
      </c>
    </row>
    <row r="6710" spans="27:30">
      <c r="AA6710" s="117">
        <f>+'Ingredient List - Mother Tinctu'!D6711</f>
        <v>0</v>
      </c>
      <c r="AB6710" s="117">
        <f t="shared" si="107"/>
        <v>0</v>
      </c>
      <c r="AC6710" s="117" t="str">
        <f>IF(AB6710=1,COUNTIF($AB$3:AB6710,1),"")</f>
        <v/>
      </c>
      <c r="AD6710" s="117" t="str">
        <f>IFERROR(INDEX($AA$3:$AA$10000,MATCH(ROWS($AC$3:AC6710),$AC$3:$AC$10000,0)),"")</f>
        <v/>
      </c>
    </row>
    <row r="6711" spans="27:30">
      <c r="AA6711" s="117">
        <f>+'Ingredient List - Mother Tinctu'!D6712</f>
        <v>0</v>
      </c>
      <c r="AB6711" s="117">
        <f t="shared" si="107"/>
        <v>0</v>
      </c>
      <c r="AC6711" s="117" t="str">
        <f>IF(AB6711=1,COUNTIF($AB$3:AB6711,1),"")</f>
        <v/>
      </c>
      <c r="AD6711" s="117" t="str">
        <f>IFERROR(INDEX($AA$3:$AA$10000,MATCH(ROWS($AC$3:AC6711),$AC$3:$AC$10000,0)),"")</f>
        <v/>
      </c>
    </row>
    <row r="6712" spans="27:30">
      <c r="AA6712" s="117">
        <f>+'Ingredient List - Mother Tinctu'!D6713</f>
        <v>0</v>
      </c>
      <c r="AB6712" s="117">
        <f t="shared" si="107"/>
        <v>0</v>
      </c>
      <c r="AC6712" s="117" t="str">
        <f>IF(AB6712=1,COUNTIF($AB$3:AB6712,1),"")</f>
        <v/>
      </c>
      <c r="AD6712" s="117" t="str">
        <f>IFERROR(INDEX($AA$3:$AA$10000,MATCH(ROWS($AC$3:AC6712),$AC$3:$AC$10000,0)),"")</f>
        <v/>
      </c>
    </row>
    <row r="6713" spans="27:30">
      <c r="AA6713" s="117">
        <f>+'Ingredient List - Mother Tinctu'!D6714</f>
        <v>0</v>
      </c>
      <c r="AB6713" s="117">
        <f t="shared" si="107"/>
        <v>0</v>
      </c>
      <c r="AC6713" s="117" t="str">
        <f>IF(AB6713=1,COUNTIF($AB$3:AB6713,1),"")</f>
        <v/>
      </c>
      <c r="AD6713" s="117" t="str">
        <f>IFERROR(INDEX($AA$3:$AA$10000,MATCH(ROWS($AC$3:AC6713),$AC$3:$AC$10000,0)),"")</f>
        <v/>
      </c>
    </row>
    <row r="6714" spans="27:30">
      <c r="AA6714" s="117">
        <f>+'Ingredient List - Mother Tinctu'!D6715</f>
        <v>0</v>
      </c>
      <c r="AB6714" s="117">
        <f t="shared" si="107"/>
        <v>0</v>
      </c>
      <c r="AC6714" s="117" t="str">
        <f>IF(AB6714=1,COUNTIF($AB$3:AB6714,1),"")</f>
        <v/>
      </c>
      <c r="AD6714" s="117" t="str">
        <f>IFERROR(INDEX($AA$3:$AA$10000,MATCH(ROWS($AC$3:AC6714),$AC$3:$AC$10000,0)),"")</f>
        <v/>
      </c>
    </row>
    <row r="6715" spans="27:30">
      <c r="AA6715" s="117">
        <f>+'Ingredient List - Mother Tinctu'!D6716</f>
        <v>0</v>
      </c>
      <c r="AB6715" s="117">
        <f t="shared" si="107"/>
        <v>0</v>
      </c>
      <c r="AC6715" s="117" t="str">
        <f>IF(AB6715=1,COUNTIF($AB$3:AB6715,1),"")</f>
        <v/>
      </c>
      <c r="AD6715" s="117" t="str">
        <f>IFERROR(INDEX($AA$3:$AA$10000,MATCH(ROWS($AC$3:AC6715),$AC$3:$AC$10000,0)),"")</f>
        <v/>
      </c>
    </row>
    <row r="6716" spans="27:30">
      <c r="AA6716" s="117">
        <f>+'Ingredient List - Mother Tinctu'!D6717</f>
        <v>0</v>
      </c>
      <c r="AB6716" s="117">
        <f t="shared" si="107"/>
        <v>0</v>
      </c>
      <c r="AC6716" s="117" t="str">
        <f>IF(AB6716=1,COUNTIF($AB$3:AB6716,1),"")</f>
        <v/>
      </c>
      <c r="AD6716" s="117" t="str">
        <f>IFERROR(INDEX($AA$3:$AA$10000,MATCH(ROWS($AC$3:AC6716),$AC$3:$AC$10000,0)),"")</f>
        <v/>
      </c>
    </row>
    <row r="6717" spans="27:30">
      <c r="AA6717" s="117">
        <f>+'Ingredient List - Mother Tinctu'!D6718</f>
        <v>0</v>
      </c>
      <c r="AB6717" s="117">
        <f t="shared" si="107"/>
        <v>0</v>
      </c>
      <c r="AC6717" s="117" t="str">
        <f>IF(AB6717=1,COUNTIF($AB$3:AB6717,1),"")</f>
        <v/>
      </c>
      <c r="AD6717" s="117" t="str">
        <f>IFERROR(INDEX($AA$3:$AA$10000,MATCH(ROWS($AC$3:AC6717),$AC$3:$AC$10000,0)),"")</f>
        <v/>
      </c>
    </row>
    <row r="6718" spans="27:30">
      <c r="AA6718" s="117">
        <f>+'Ingredient List - Mother Tinctu'!D6719</f>
        <v>0</v>
      </c>
      <c r="AB6718" s="117">
        <f t="shared" si="107"/>
        <v>0</v>
      </c>
      <c r="AC6718" s="117" t="str">
        <f>IF(AB6718=1,COUNTIF($AB$3:AB6718,1),"")</f>
        <v/>
      </c>
      <c r="AD6718" s="117" t="str">
        <f>IFERROR(INDEX($AA$3:$AA$10000,MATCH(ROWS($AC$3:AC6718),$AC$3:$AC$10000,0)),"")</f>
        <v/>
      </c>
    </row>
    <row r="6719" spans="27:30">
      <c r="AA6719" s="117">
        <f>+'Ingredient List - Mother Tinctu'!D6720</f>
        <v>0</v>
      </c>
      <c r="AB6719" s="117">
        <f t="shared" si="107"/>
        <v>0</v>
      </c>
      <c r="AC6719" s="117" t="str">
        <f>IF(AB6719=1,COUNTIF($AB$3:AB6719,1),"")</f>
        <v/>
      </c>
      <c r="AD6719" s="117" t="str">
        <f>IFERROR(INDEX($AA$3:$AA$10000,MATCH(ROWS($AC$3:AC6719),$AC$3:$AC$10000,0)),"")</f>
        <v/>
      </c>
    </row>
    <row r="6720" spans="27:30">
      <c r="AA6720" s="117">
        <f>+'Ingredient List - Mother Tinctu'!D6721</f>
        <v>0</v>
      </c>
      <c r="AB6720" s="117">
        <f t="shared" si="107"/>
        <v>0</v>
      </c>
      <c r="AC6720" s="117" t="str">
        <f>IF(AB6720=1,COUNTIF($AB$3:AB6720,1),"")</f>
        <v/>
      </c>
      <c r="AD6720" s="117" t="str">
        <f>IFERROR(INDEX($AA$3:$AA$10000,MATCH(ROWS($AC$3:AC6720),$AC$3:$AC$10000,0)),"")</f>
        <v/>
      </c>
    </row>
    <row r="6721" spans="27:30">
      <c r="AA6721" s="117">
        <f>+'Ingredient List - Mother Tinctu'!D6722</f>
        <v>0</v>
      </c>
      <c r="AB6721" s="117">
        <f t="shared" si="107"/>
        <v>0</v>
      </c>
      <c r="AC6721" s="117" t="str">
        <f>IF(AB6721=1,COUNTIF($AB$3:AB6721,1),"")</f>
        <v/>
      </c>
      <c r="AD6721" s="117" t="str">
        <f>IFERROR(INDEX($AA$3:$AA$10000,MATCH(ROWS($AC$3:AC6721),$AC$3:$AC$10000,0)),"")</f>
        <v/>
      </c>
    </row>
    <row r="6722" spans="27:30">
      <c r="AA6722" s="117">
        <f>+'Ingredient List - Mother Tinctu'!D6723</f>
        <v>0</v>
      </c>
      <c r="AB6722" s="117">
        <f t="shared" si="107"/>
        <v>0</v>
      </c>
      <c r="AC6722" s="117" t="str">
        <f>IF(AB6722=1,COUNTIF($AB$3:AB6722,1),"")</f>
        <v/>
      </c>
      <c r="AD6722" s="117" t="str">
        <f>IFERROR(INDEX($AA$3:$AA$10000,MATCH(ROWS($AC$3:AC6722),$AC$3:$AC$10000,0)),"")</f>
        <v/>
      </c>
    </row>
    <row r="6723" spans="27:30">
      <c r="AA6723" s="117">
        <f>+'Ingredient List - Mother Tinctu'!D6724</f>
        <v>0</v>
      </c>
      <c r="AB6723" s="117">
        <f t="shared" si="107"/>
        <v>0</v>
      </c>
      <c r="AC6723" s="117" t="str">
        <f>IF(AB6723=1,COUNTIF($AB$3:AB6723,1),"")</f>
        <v/>
      </c>
      <c r="AD6723" s="117" t="str">
        <f>IFERROR(INDEX($AA$3:$AA$10000,MATCH(ROWS($AC$3:AC6723),$AC$3:$AC$10000,0)),"")</f>
        <v/>
      </c>
    </row>
    <row r="6724" spans="27:30">
      <c r="AA6724" s="117">
        <f>+'Ingredient List - Mother Tinctu'!D6725</f>
        <v>0</v>
      </c>
      <c r="AB6724" s="117">
        <f t="shared" ref="AB6724:AB6787" si="108">--ISNUMBER(IFERROR(SEARCH($D$3,AA6724,1),""))</f>
        <v>0</v>
      </c>
      <c r="AC6724" s="117" t="str">
        <f>IF(AB6724=1,COUNTIF($AB$3:AB6724,1),"")</f>
        <v/>
      </c>
      <c r="AD6724" s="117" t="str">
        <f>IFERROR(INDEX($AA$3:$AA$10000,MATCH(ROWS($AC$3:AC6724),$AC$3:$AC$10000,0)),"")</f>
        <v/>
      </c>
    </row>
    <row r="6725" spans="27:30">
      <c r="AA6725" s="117">
        <f>+'Ingredient List - Mother Tinctu'!D6726</f>
        <v>0</v>
      </c>
      <c r="AB6725" s="117">
        <f t="shared" si="108"/>
        <v>0</v>
      </c>
      <c r="AC6725" s="117" t="str">
        <f>IF(AB6725=1,COUNTIF($AB$3:AB6725,1),"")</f>
        <v/>
      </c>
      <c r="AD6725" s="117" t="str">
        <f>IFERROR(INDEX($AA$3:$AA$10000,MATCH(ROWS($AC$3:AC6725),$AC$3:$AC$10000,0)),"")</f>
        <v/>
      </c>
    </row>
    <row r="6726" spans="27:30">
      <c r="AA6726" s="117">
        <f>+'Ingredient List - Mother Tinctu'!D6727</f>
        <v>0</v>
      </c>
      <c r="AB6726" s="117">
        <f t="shared" si="108"/>
        <v>0</v>
      </c>
      <c r="AC6726" s="117" t="str">
        <f>IF(AB6726=1,COUNTIF($AB$3:AB6726,1),"")</f>
        <v/>
      </c>
      <c r="AD6726" s="117" t="str">
        <f>IFERROR(INDEX($AA$3:$AA$10000,MATCH(ROWS($AC$3:AC6726),$AC$3:$AC$10000,0)),"")</f>
        <v/>
      </c>
    </row>
    <row r="6727" spans="27:30">
      <c r="AA6727" s="117">
        <f>+'Ingredient List - Mother Tinctu'!D6728</f>
        <v>0</v>
      </c>
      <c r="AB6727" s="117">
        <f t="shared" si="108"/>
        <v>0</v>
      </c>
      <c r="AC6727" s="117" t="str">
        <f>IF(AB6727=1,COUNTIF($AB$3:AB6727,1),"")</f>
        <v/>
      </c>
      <c r="AD6727" s="117" t="str">
        <f>IFERROR(INDEX($AA$3:$AA$10000,MATCH(ROWS($AC$3:AC6727),$AC$3:$AC$10000,0)),"")</f>
        <v/>
      </c>
    </row>
    <row r="6728" spans="27:30">
      <c r="AA6728" s="117">
        <f>+'Ingredient List - Mother Tinctu'!D6729</f>
        <v>0</v>
      </c>
      <c r="AB6728" s="117">
        <f t="shared" si="108"/>
        <v>0</v>
      </c>
      <c r="AC6728" s="117" t="str">
        <f>IF(AB6728=1,COUNTIF($AB$3:AB6728,1),"")</f>
        <v/>
      </c>
      <c r="AD6728" s="117" t="str">
        <f>IFERROR(INDEX($AA$3:$AA$10000,MATCH(ROWS($AC$3:AC6728),$AC$3:$AC$10000,0)),"")</f>
        <v/>
      </c>
    </row>
    <row r="6729" spans="27:30">
      <c r="AA6729" s="117">
        <f>+'Ingredient List - Mother Tinctu'!D6730</f>
        <v>0</v>
      </c>
      <c r="AB6729" s="117">
        <f t="shared" si="108"/>
        <v>0</v>
      </c>
      <c r="AC6729" s="117" t="str">
        <f>IF(AB6729=1,COUNTIF($AB$3:AB6729,1),"")</f>
        <v/>
      </c>
      <c r="AD6729" s="117" t="str">
        <f>IFERROR(INDEX($AA$3:$AA$10000,MATCH(ROWS($AC$3:AC6729),$AC$3:$AC$10000,0)),"")</f>
        <v/>
      </c>
    </row>
    <row r="6730" spans="27:30">
      <c r="AA6730" s="117">
        <f>+'Ingredient List - Mother Tinctu'!D6731</f>
        <v>0</v>
      </c>
      <c r="AB6730" s="117">
        <f t="shared" si="108"/>
        <v>0</v>
      </c>
      <c r="AC6730" s="117" t="str">
        <f>IF(AB6730=1,COUNTIF($AB$3:AB6730,1),"")</f>
        <v/>
      </c>
      <c r="AD6730" s="117" t="str">
        <f>IFERROR(INDEX($AA$3:$AA$10000,MATCH(ROWS($AC$3:AC6730),$AC$3:$AC$10000,0)),"")</f>
        <v/>
      </c>
    </row>
    <row r="6731" spans="27:30">
      <c r="AA6731" s="117">
        <f>+'Ingredient List - Mother Tinctu'!D6732</f>
        <v>0</v>
      </c>
      <c r="AB6731" s="117">
        <f t="shared" si="108"/>
        <v>0</v>
      </c>
      <c r="AC6731" s="117" t="str">
        <f>IF(AB6731=1,COUNTIF($AB$3:AB6731,1),"")</f>
        <v/>
      </c>
      <c r="AD6731" s="117" t="str">
        <f>IFERROR(INDEX($AA$3:$AA$10000,MATCH(ROWS($AC$3:AC6731),$AC$3:$AC$10000,0)),"")</f>
        <v/>
      </c>
    </row>
    <row r="6732" spans="27:30">
      <c r="AA6732" s="117">
        <f>+'Ingredient List - Mother Tinctu'!D6733</f>
        <v>0</v>
      </c>
      <c r="AB6732" s="117">
        <f t="shared" si="108"/>
        <v>0</v>
      </c>
      <c r="AC6732" s="117" t="str">
        <f>IF(AB6732=1,COUNTIF($AB$3:AB6732,1),"")</f>
        <v/>
      </c>
      <c r="AD6732" s="117" t="str">
        <f>IFERROR(INDEX($AA$3:$AA$10000,MATCH(ROWS($AC$3:AC6732),$AC$3:$AC$10000,0)),"")</f>
        <v/>
      </c>
    </row>
    <row r="6733" spans="27:30">
      <c r="AA6733" s="117">
        <f>+'Ingredient List - Mother Tinctu'!D6734</f>
        <v>0</v>
      </c>
      <c r="AB6733" s="117">
        <f t="shared" si="108"/>
        <v>0</v>
      </c>
      <c r="AC6733" s="117" t="str">
        <f>IF(AB6733=1,COUNTIF($AB$3:AB6733,1),"")</f>
        <v/>
      </c>
      <c r="AD6733" s="117" t="str">
        <f>IFERROR(INDEX($AA$3:$AA$10000,MATCH(ROWS($AC$3:AC6733),$AC$3:$AC$10000,0)),"")</f>
        <v/>
      </c>
    </row>
    <row r="6734" spans="27:30">
      <c r="AA6734" s="117">
        <f>+'Ingredient List - Mother Tinctu'!D6735</f>
        <v>0</v>
      </c>
      <c r="AB6734" s="117">
        <f t="shared" si="108"/>
        <v>0</v>
      </c>
      <c r="AC6734" s="117" t="str">
        <f>IF(AB6734=1,COUNTIF($AB$3:AB6734,1),"")</f>
        <v/>
      </c>
      <c r="AD6734" s="117" t="str">
        <f>IFERROR(INDEX($AA$3:$AA$10000,MATCH(ROWS($AC$3:AC6734),$AC$3:$AC$10000,0)),"")</f>
        <v/>
      </c>
    </row>
    <row r="6735" spans="27:30">
      <c r="AA6735" s="117">
        <f>+'Ingredient List - Mother Tinctu'!D6736</f>
        <v>0</v>
      </c>
      <c r="AB6735" s="117">
        <f t="shared" si="108"/>
        <v>0</v>
      </c>
      <c r="AC6735" s="117" t="str">
        <f>IF(AB6735=1,COUNTIF($AB$3:AB6735,1),"")</f>
        <v/>
      </c>
      <c r="AD6735" s="117" t="str">
        <f>IFERROR(INDEX($AA$3:$AA$10000,MATCH(ROWS($AC$3:AC6735),$AC$3:$AC$10000,0)),"")</f>
        <v/>
      </c>
    </row>
    <row r="6736" spans="27:30">
      <c r="AA6736" s="117">
        <f>+'Ingredient List - Mother Tinctu'!D6737</f>
        <v>0</v>
      </c>
      <c r="AB6736" s="117">
        <f t="shared" si="108"/>
        <v>0</v>
      </c>
      <c r="AC6736" s="117" t="str">
        <f>IF(AB6736=1,COUNTIF($AB$3:AB6736,1),"")</f>
        <v/>
      </c>
      <c r="AD6736" s="117" t="str">
        <f>IFERROR(INDEX($AA$3:$AA$10000,MATCH(ROWS($AC$3:AC6736),$AC$3:$AC$10000,0)),"")</f>
        <v/>
      </c>
    </row>
    <row r="6737" spans="27:30">
      <c r="AA6737" s="117">
        <f>+'Ingredient List - Mother Tinctu'!D6738</f>
        <v>0</v>
      </c>
      <c r="AB6737" s="117">
        <f t="shared" si="108"/>
        <v>0</v>
      </c>
      <c r="AC6737" s="117" t="str">
        <f>IF(AB6737=1,COUNTIF($AB$3:AB6737,1),"")</f>
        <v/>
      </c>
      <c r="AD6737" s="117" t="str">
        <f>IFERROR(INDEX($AA$3:$AA$10000,MATCH(ROWS($AC$3:AC6737),$AC$3:$AC$10000,0)),"")</f>
        <v/>
      </c>
    </row>
    <row r="6738" spans="27:30">
      <c r="AA6738" s="117">
        <f>+'Ingredient List - Mother Tinctu'!D6739</f>
        <v>0</v>
      </c>
      <c r="AB6738" s="117">
        <f t="shared" si="108"/>
        <v>0</v>
      </c>
      <c r="AC6738" s="117" t="str">
        <f>IF(AB6738=1,COUNTIF($AB$3:AB6738,1),"")</f>
        <v/>
      </c>
      <c r="AD6738" s="117" t="str">
        <f>IFERROR(INDEX($AA$3:$AA$10000,MATCH(ROWS($AC$3:AC6738),$AC$3:$AC$10000,0)),"")</f>
        <v/>
      </c>
    </row>
    <row r="6739" spans="27:30">
      <c r="AA6739" s="117">
        <f>+'Ingredient List - Mother Tinctu'!D6740</f>
        <v>0</v>
      </c>
      <c r="AB6739" s="117">
        <f t="shared" si="108"/>
        <v>0</v>
      </c>
      <c r="AC6739" s="117" t="str">
        <f>IF(AB6739=1,COUNTIF($AB$3:AB6739,1),"")</f>
        <v/>
      </c>
      <c r="AD6739" s="117" t="str">
        <f>IFERROR(INDEX($AA$3:$AA$10000,MATCH(ROWS($AC$3:AC6739),$AC$3:$AC$10000,0)),"")</f>
        <v/>
      </c>
    </row>
    <row r="6740" spans="27:30">
      <c r="AA6740" s="117">
        <f>+'Ingredient List - Mother Tinctu'!D6741</f>
        <v>0</v>
      </c>
      <c r="AB6740" s="117">
        <f t="shared" si="108"/>
        <v>0</v>
      </c>
      <c r="AC6740" s="117" t="str">
        <f>IF(AB6740=1,COUNTIF($AB$3:AB6740,1),"")</f>
        <v/>
      </c>
      <c r="AD6740" s="117" t="str">
        <f>IFERROR(INDEX($AA$3:$AA$10000,MATCH(ROWS($AC$3:AC6740),$AC$3:$AC$10000,0)),"")</f>
        <v/>
      </c>
    </row>
    <row r="6741" spans="27:30">
      <c r="AA6741" s="117">
        <f>+'Ingredient List - Mother Tinctu'!D6742</f>
        <v>0</v>
      </c>
      <c r="AB6741" s="117">
        <f t="shared" si="108"/>
        <v>0</v>
      </c>
      <c r="AC6741" s="117" t="str">
        <f>IF(AB6741=1,COUNTIF($AB$3:AB6741,1),"")</f>
        <v/>
      </c>
      <c r="AD6741" s="117" t="str">
        <f>IFERROR(INDEX($AA$3:$AA$10000,MATCH(ROWS($AC$3:AC6741),$AC$3:$AC$10000,0)),"")</f>
        <v/>
      </c>
    </row>
    <row r="6742" spans="27:30">
      <c r="AA6742" s="117">
        <f>+'Ingredient List - Mother Tinctu'!D6743</f>
        <v>0</v>
      </c>
      <c r="AB6742" s="117">
        <f t="shared" si="108"/>
        <v>0</v>
      </c>
      <c r="AC6742" s="117" t="str">
        <f>IF(AB6742=1,COUNTIF($AB$3:AB6742,1),"")</f>
        <v/>
      </c>
      <c r="AD6742" s="117" t="str">
        <f>IFERROR(INDEX($AA$3:$AA$10000,MATCH(ROWS($AC$3:AC6742),$AC$3:$AC$10000,0)),"")</f>
        <v/>
      </c>
    </row>
    <row r="6743" spans="27:30">
      <c r="AA6743" s="117">
        <f>+'Ingredient List - Mother Tinctu'!D6744</f>
        <v>0</v>
      </c>
      <c r="AB6743" s="117">
        <f t="shared" si="108"/>
        <v>0</v>
      </c>
      <c r="AC6743" s="117" t="str">
        <f>IF(AB6743=1,COUNTIF($AB$3:AB6743,1),"")</f>
        <v/>
      </c>
      <c r="AD6743" s="117" t="str">
        <f>IFERROR(INDEX($AA$3:$AA$10000,MATCH(ROWS($AC$3:AC6743),$AC$3:$AC$10000,0)),"")</f>
        <v/>
      </c>
    </row>
    <row r="6744" spans="27:30">
      <c r="AA6744" s="117">
        <f>+'Ingredient List - Mother Tinctu'!D6745</f>
        <v>0</v>
      </c>
      <c r="AB6744" s="117">
        <f t="shared" si="108"/>
        <v>0</v>
      </c>
      <c r="AC6744" s="117" t="str">
        <f>IF(AB6744=1,COUNTIF($AB$3:AB6744,1),"")</f>
        <v/>
      </c>
      <c r="AD6744" s="117" t="str">
        <f>IFERROR(INDEX($AA$3:$AA$10000,MATCH(ROWS($AC$3:AC6744),$AC$3:$AC$10000,0)),"")</f>
        <v/>
      </c>
    </row>
    <row r="6745" spans="27:30">
      <c r="AA6745" s="117">
        <f>+'Ingredient List - Mother Tinctu'!D6746</f>
        <v>0</v>
      </c>
      <c r="AB6745" s="117">
        <f t="shared" si="108"/>
        <v>0</v>
      </c>
      <c r="AC6745" s="117" t="str">
        <f>IF(AB6745=1,COUNTIF($AB$3:AB6745,1),"")</f>
        <v/>
      </c>
      <c r="AD6745" s="117" t="str">
        <f>IFERROR(INDEX($AA$3:$AA$10000,MATCH(ROWS($AC$3:AC6745),$AC$3:$AC$10000,0)),"")</f>
        <v/>
      </c>
    </row>
    <row r="6746" spans="27:30">
      <c r="AA6746" s="117">
        <f>+'Ingredient List - Mother Tinctu'!D6747</f>
        <v>0</v>
      </c>
      <c r="AB6746" s="117">
        <f t="shared" si="108"/>
        <v>0</v>
      </c>
      <c r="AC6746" s="117" t="str">
        <f>IF(AB6746=1,COUNTIF($AB$3:AB6746,1),"")</f>
        <v/>
      </c>
      <c r="AD6746" s="117" t="str">
        <f>IFERROR(INDEX($AA$3:$AA$10000,MATCH(ROWS($AC$3:AC6746),$AC$3:$AC$10000,0)),"")</f>
        <v/>
      </c>
    </row>
    <row r="6747" spans="27:30">
      <c r="AA6747" s="117">
        <f>+'Ingredient List - Mother Tinctu'!D6748</f>
        <v>0</v>
      </c>
      <c r="AB6747" s="117">
        <f t="shared" si="108"/>
        <v>0</v>
      </c>
      <c r="AC6747" s="117" t="str">
        <f>IF(AB6747=1,COUNTIF($AB$3:AB6747,1),"")</f>
        <v/>
      </c>
      <c r="AD6747" s="117" t="str">
        <f>IFERROR(INDEX($AA$3:$AA$10000,MATCH(ROWS($AC$3:AC6747),$AC$3:$AC$10000,0)),"")</f>
        <v/>
      </c>
    </row>
    <row r="6748" spans="27:30">
      <c r="AA6748" s="117">
        <f>+'Ingredient List - Mother Tinctu'!D6749</f>
        <v>0</v>
      </c>
      <c r="AB6748" s="117">
        <f t="shared" si="108"/>
        <v>0</v>
      </c>
      <c r="AC6748" s="117" t="str">
        <f>IF(AB6748=1,COUNTIF($AB$3:AB6748,1),"")</f>
        <v/>
      </c>
      <c r="AD6748" s="117" t="str">
        <f>IFERROR(INDEX($AA$3:$AA$10000,MATCH(ROWS($AC$3:AC6748),$AC$3:$AC$10000,0)),"")</f>
        <v/>
      </c>
    </row>
    <row r="6749" spans="27:30">
      <c r="AA6749" s="117">
        <f>+'Ingredient List - Mother Tinctu'!D6750</f>
        <v>0</v>
      </c>
      <c r="AB6749" s="117">
        <f t="shared" si="108"/>
        <v>0</v>
      </c>
      <c r="AC6749" s="117" t="str">
        <f>IF(AB6749=1,COUNTIF($AB$3:AB6749,1),"")</f>
        <v/>
      </c>
      <c r="AD6749" s="117" t="str">
        <f>IFERROR(INDEX($AA$3:$AA$10000,MATCH(ROWS($AC$3:AC6749),$AC$3:$AC$10000,0)),"")</f>
        <v/>
      </c>
    </row>
    <row r="6750" spans="27:30">
      <c r="AA6750" s="117">
        <f>+'Ingredient List - Mother Tinctu'!D6751</f>
        <v>0</v>
      </c>
      <c r="AB6750" s="117">
        <f t="shared" si="108"/>
        <v>0</v>
      </c>
      <c r="AC6750" s="117" t="str">
        <f>IF(AB6750=1,COUNTIF($AB$3:AB6750,1),"")</f>
        <v/>
      </c>
      <c r="AD6750" s="117" t="str">
        <f>IFERROR(INDEX($AA$3:$AA$10000,MATCH(ROWS($AC$3:AC6750),$AC$3:$AC$10000,0)),"")</f>
        <v/>
      </c>
    </row>
    <row r="6751" spans="27:30">
      <c r="AA6751" s="117">
        <f>+'Ingredient List - Mother Tinctu'!D6752</f>
        <v>0</v>
      </c>
      <c r="AB6751" s="117">
        <f t="shared" si="108"/>
        <v>0</v>
      </c>
      <c r="AC6751" s="117" t="str">
        <f>IF(AB6751=1,COUNTIF($AB$3:AB6751,1),"")</f>
        <v/>
      </c>
      <c r="AD6751" s="117" t="str">
        <f>IFERROR(INDEX($AA$3:$AA$10000,MATCH(ROWS($AC$3:AC6751),$AC$3:$AC$10000,0)),"")</f>
        <v/>
      </c>
    </row>
    <row r="6752" spans="27:30">
      <c r="AA6752" s="117">
        <f>+'Ingredient List - Mother Tinctu'!D6753</f>
        <v>0</v>
      </c>
      <c r="AB6752" s="117">
        <f t="shared" si="108"/>
        <v>0</v>
      </c>
      <c r="AC6752" s="117" t="str">
        <f>IF(AB6752=1,COUNTIF($AB$3:AB6752,1),"")</f>
        <v/>
      </c>
      <c r="AD6752" s="117" t="str">
        <f>IFERROR(INDEX($AA$3:$AA$10000,MATCH(ROWS($AC$3:AC6752),$AC$3:$AC$10000,0)),"")</f>
        <v/>
      </c>
    </row>
    <row r="6753" spans="27:30">
      <c r="AA6753" s="117">
        <f>+'Ingredient List - Mother Tinctu'!D6754</f>
        <v>0</v>
      </c>
      <c r="AB6753" s="117">
        <f t="shared" si="108"/>
        <v>0</v>
      </c>
      <c r="AC6753" s="117" t="str">
        <f>IF(AB6753=1,COUNTIF($AB$3:AB6753,1),"")</f>
        <v/>
      </c>
      <c r="AD6753" s="117" t="str">
        <f>IFERROR(INDEX($AA$3:$AA$10000,MATCH(ROWS($AC$3:AC6753),$AC$3:$AC$10000,0)),"")</f>
        <v/>
      </c>
    </row>
    <row r="6754" spans="27:30">
      <c r="AA6754" s="117">
        <f>+'Ingredient List - Mother Tinctu'!D6755</f>
        <v>0</v>
      </c>
      <c r="AB6754" s="117">
        <f t="shared" si="108"/>
        <v>0</v>
      </c>
      <c r="AC6754" s="117" t="str">
        <f>IF(AB6754=1,COUNTIF($AB$3:AB6754,1),"")</f>
        <v/>
      </c>
      <c r="AD6754" s="117" t="str">
        <f>IFERROR(INDEX($AA$3:$AA$10000,MATCH(ROWS($AC$3:AC6754),$AC$3:$AC$10000,0)),"")</f>
        <v/>
      </c>
    </row>
    <row r="6755" spans="27:30">
      <c r="AA6755" s="117">
        <f>+'Ingredient List - Mother Tinctu'!D6756</f>
        <v>0</v>
      </c>
      <c r="AB6755" s="117">
        <f t="shared" si="108"/>
        <v>0</v>
      </c>
      <c r="AC6755" s="117" t="str">
        <f>IF(AB6755=1,COUNTIF($AB$3:AB6755,1),"")</f>
        <v/>
      </c>
      <c r="AD6755" s="117" t="str">
        <f>IFERROR(INDEX($AA$3:$AA$10000,MATCH(ROWS($AC$3:AC6755),$AC$3:$AC$10000,0)),"")</f>
        <v/>
      </c>
    </row>
    <row r="6756" spans="27:30">
      <c r="AA6756" s="117">
        <f>+'Ingredient List - Mother Tinctu'!D6757</f>
        <v>0</v>
      </c>
      <c r="AB6756" s="117">
        <f t="shared" si="108"/>
        <v>0</v>
      </c>
      <c r="AC6756" s="117" t="str">
        <f>IF(AB6756=1,COUNTIF($AB$3:AB6756,1),"")</f>
        <v/>
      </c>
      <c r="AD6756" s="117" t="str">
        <f>IFERROR(INDEX($AA$3:$AA$10000,MATCH(ROWS($AC$3:AC6756),$AC$3:$AC$10000,0)),"")</f>
        <v/>
      </c>
    </row>
    <row r="6757" spans="27:30">
      <c r="AA6757" s="117">
        <f>+'Ingredient List - Mother Tinctu'!D6758</f>
        <v>0</v>
      </c>
      <c r="AB6757" s="117">
        <f t="shared" si="108"/>
        <v>0</v>
      </c>
      <c r="AC6757" s="117" t="str">
        <f>IF(AB6757=1,COUNTIF($AB$3:AB6757,1),"")</f>
        <v/>
      </c>
      <c r="AD6757" s="117" t="str">
        <f>IFERROR(INDEX($AA$3:$AA$10000,MATCH(ROWS($AC$3:AC6757),$AC$3:$AC$10000,0)),"")</f>
        <v/>
      </c>
    </row>
    <row r="6758" spans="27:30">
      <c r="AA6758" s="117">
        <f>+'Ingredient List - Mother Tinctu'!D6759</f>
        <v>0</v>
      </c>
      <c r="AB6758" s="117">
        <f t="shared" si="108"/>
        <v>0</v>
      </c>
      <c r="AC6758" s="117" t="str">
        <f>IF(AB6758=1,COUNTIF($AB$3:AB6758,1),"")</f>
        <v/>
      </c>
      <c r="AD6758" s="117" t="str">
        <f>IFERROR(INDEX($AA$3:$AA$10000,MATCH(ROWS($AC$3:AC6758),$AC$3:$AC$10000,0)),"")</f>
        <v/>
      </c>
    </row>
    <row r="6759" spans="27:30">
      <c r="AA6759" s="117">
        <f>+'Ingredient List - Mother Tinctu'!D6760</f>
        <v>0</v>
      </c>
      <c r="AB6759" s="117">
        <f t="shared" si="108"/>
        <v>0</v>
      </c>
      <c r="AC6759" s="117" t="str">
        <f>IF(AB6759=1,COUNTIF($AB$3:AB6759,1),"")</f>
        <v/>
      </c>
      <c r="AD6759" s="117" t="str">
        <f>IFERROR(INDEX($AA$3:$AA$10000,MATCH(ROWS($AC$3:AC6759),$AC$3:$AC$10000,0)),"")</f>
        <v/>
      </c>
    </row>
    <row r="6760" spans="27:30">
      <c r="AA6760" s="117">
        <f>+'Ingredient List - Mother Tinctu'!D6761</f>
        <v>0</v>
      </c>
      <c r="AB6760" s="117">
        <f t="shared" si="108"/>
        <v>0</v>
      </c>
      <c r="AC6760" s="117" t="str">
        <f>IF(AB6760=1,COUNTIF($AB$3:AB6760,1),"")</f>
        <v/>
      </c>
      <c r="AD6760" s="117" t="str">
        <f>IFERROR(INDEX($AA$3:$AA$10000,MATCH(ROWS($AC$3:AC6760),$AC$3:$AC$10000,0)),"")</f>
        <v/>
      </c>
    </row>
    <row r="6761" spans="27:30">
      <c r="AA6761" s="117">
        <f>+'Ingredient List - Mother Tinctu'!D6762</f>
        <v>0</v>
      </c>
      <c r="AB6761" s="117">
        <f t="shared" si="108"/>
        <v>0</v>
      </c>
      <c r="AC6761" s="117" t="str">
        <f>IF(AB6761=1,COUNTIF($AB$3:AB6761,1),"")</f>
        <v/>
      </c>
      <c r="AD6761" s="117" t="str">
        <f>IFERROR(INDEX($AA$3:$AA$10000,MATCH(ROWS($AC$3:AC6761),$AC$3:$AC$10000,0)),"")</f>
        <v/>
      </c>
    </row>
    <row r="6762" spans="27:30">
      <c r="AA6762" s="117">
        <f>+'Ingredient List - Mother Tinctu'!D6763</f>
        <v>0</v>
      </c>
      <c r="AB6762" s="117">
        <f t="shared" si="108"/>
        <v>0</v>
      </c>
      <c r="AC6762" s="117" t="str">
        <f>IF(AB6762=1,COUNTIF($AB$3:AB6762,1),"")</f>
        <v/>
      </c>
      <c r="AD6762" s="117" t="str">
        <f>IFERROR(INDEX($AA$3:$AA$10000,MATCH(ROWS($AC$3:AC6762),$AC$3:$AC$10000,0)),"")</f>
        <v/>
      </c>
    </row>
    <row r="6763" spans="27:30">
      <c r="AA6763" s="117">
        <f>+'Ingredient List - Mother Tinctu'!D6764</f>
        <v>0</v>
      </c>
      <c r="AB6763" s="117">
        <f t="shared" si="108"/>
        <v>0</v>
      </c>
      <c r="AC6763" s="117" t="str">
        <f>IF(AB6763=1,COUNTIF($AB$3:AB6763,1),"")</f>
        <v/>
      </c>
      <c r="AD6763" s="117" t="str">
        <f>IFERROR(INDEX($AA$3:$AA$10000,MATCH(ROWS($AC$3:AC6763),$AC$3:$AC$10000,0)),"")</f>
        <v/>
      </c>
    </row>
    <row r="6764" spans="27:30">
      <c r="AA6764" s="117">
        <f>+'Ingredient List - Mother Tinctu'!D6765</f>
        <v>0</v>
      </c>
      <c r="AB6764" s="117">
        <f t="shared" si="108"/>
        <v>0</v>
      </c>
      <c r="AC6764" s="117" t="str">
        <f>IF(AB6764=1,COUNTIF($AB$3:AB6764,1),"")</f>
        <v/>
      </c>
      <c r="AD6764" s="117" t="str">
        <f>IFERROR(INDEX($AA$3:$AA$10000,MATCH(ROWS($AC$3:AC6764),$AC$3:$AC$10000,0)),"")</f>
        <v/>
      </c>
    </row>
    <row r="6765" spans="27:30">
      <c r="AA6765" s="117">
        <f>+'Ingredient List - Mother Tinctu'!D6766</f>
        <v>0</v>
      </c>
      <c r="AB6765" s="117">
        <f t="shared" si="108"/>
        <v>0</v>
      </c>
      <c r="AC6765" s="117" t="str">
        <f>IF(AB6765=1,COUNTIF($AB$3:AB6765,1),"")</f>
        <v/>
      </c>
      <c r="AD6765" s="117" t="str">
        <f>IFERROR(INDEX($AA$3:$AA$10000,MATCH(ROWS($AC$3:AC6765),$AC$3:$AC$10000,0)),"")</f>
        <v/>
      </c>
    </row>
    <row r="6766" spans="27:30">
      <c r="AA6766" s="117">
        <f>+'Ingredient List - Mother Tinctu'!D6767</f>
        <v>0</v>
      </c>
      <c r="AB6766" s="117">
        <f t="shared" si="108"/>
        <v>0</v>
      </c>
      <c r="AC6766" s="117" t="str">
        <f>IF(AB6766=1,COUNTIF($AB$3:AB6766,1),"")</f>
        <v/>
      </c>
      <c r="AD6766" s="117" t="str">
        <f>IFERROR(INDEX($AA$3:$AA$10000,MATCH(ROWS($AC$3:AC6766),$AC$3:$AC$10000,0)),"")</f>
        <v/>
      </c>
    </row>
    <row r="6767" spans="27:30">
      <c r="AA6767" s="117">
        <f>+'Ingredient List - Mother Tinctu'!D6768</f>
        <v>0</v>
      </c>
      <c r="AB6767" s="117">
        <f t="shared" si="108"/>
        <v>0</v>
      </c>
      <c r="AC6767" s="117" t="str">
        <f>IF(AB6767=1,COUNTIF($AB$3:AB6767,1),"")</f>
        <v/>
      </c>
      <c r="AD6767" s="117" t="str">
        <f>IFERROR(INDEX($AA$3:$AA$10000,MATCH(ROWS($AC$3:AC6767),$AC$3:$AC$10000,0)),"")</f>
        <v/>
      </c>
    </row>
    <row r="6768" spans="27:30">
      <c r="AA6768" s="117">
        <f>+'Ingredient List - Mother Tinctu'!D6769</f>
        <v>0</v>
      </c>
      <c r="AB6768" s="117">
        <f t="shared" si="108"/>
        <v>0</v>
      </c>
      <c r="AC6768" s="117" t="str">
        <f>IF(AB6768=1,COUNTIF($AB$3:AB6768,1),"")</f>
        <v/>
      </c>
      <c r="AD6768" s="117" t="str">
        <f>IFERROR(INDEX($AA$3:$AA$10000,MATCH(ROWS($AC$3:AC6768),$AC$3:$AC$10000,0)),"")</f>
        <v/>
      </c>
    </row>
    <row r="6769" spans="27:30">
      <c r="AA6769" s="117">
        <f>+'Ingredient List - Mother Tinctu'!D6770</f>
        <v>0</v>
      </c>
      <c r="AB6769" s="117">
        <f t="shared" si="108"/>
        <v>0</v>
      </c>
      <c r="AC6769" s="117" t="str">
        <f>IF(AB6769=1,COUNTIF($AB$3:AB6769,1),"")</f>
        <v/>
      </c>
      <c r="AD6769" s="117" t="str">
        <f>IFERROR(INDEX($AA$3:$AA$10000,MATCH(ROWS($AC$3:AC6769),$AC$3:$AC$10000,0)),"")</f>
        <v/>
      </c>
    </row>
    <row r="6770" spans="27:30">
      <c r="AA6770" s="117">
        <f>+'Ingredient List - Mother Tinctu'!D6771</f>
        <v>0</v>
      </c>
      <c r="AB6770" s="117">
        <f t="shared" si="108"/>
        <v>0</v>
      </c>
      <c r="AC6770" s="117" t="str">
        <f>IF(AB6770=1,COUNTIF($AB$3:AB6770,1),"")</f>
        <v/>
      </c>
      <c r="AD6770" s="117" t="str">
        <f>IFERROR(INDEX($AA$3:$AA$10000,MATCH(ROWS($AC$3:AC6770),$AC$3:$AC$10000,0)),"")</f>
        <v/>
      </c>
    </row>
    <row r="6771" spans="27:30">
      <c r="AA6771" s="117">
        <f>+'Ingredient List - Mother Tinctu'!D6772</f>
        <v>0</v>
      </c>
      <c r="AB6771" s="117">
        <f t="shared" si="108"/>
        <v>0</v>
      </c>
      <c r="AC6771" s="117" t="str">
        <f>IF(AB6771=1,COUNTIF($AB$3:AB6771,1),"")</f>
        <v/>
      </c>
      <c r="AD6771" s="117" t="str">
        <f>IFERROR(INDEX($AA$3:$AA$10000,MATCH(ROWS($AC$3:AC6771),$AC$3:$AC$10000,0)),"")</f>
        <v/>
      </c>
    </row>
    <row r="6772" spans="27:30">
      <c r="AA6772" s="117">
        <f>+'Ingredient List - Mother Tinctu'!D6773</f>
        <v>0</v>
      </c>
      <c r="AB6772" s="117">
        <f t="shared" si="108"/>
        <v>0</v>
      </c>
      <c r="AC6772" s="117" t="str">
        <f>IF(AB6772=1,COUNTIF($AB$3:AB6772,1),"")</f>
        <v/>
      </c>
      <c r="AD6772" s="117" t="str">
        <f>IFERROR(INDEX($AA$3:$AA$10000,MATCH(ROWS($AC$3:AC6772),$AC$3:$AC$10000,0)),"")</f>
        <v/>
      </c>
    </row>
    <row r="6773" spans="27:30">
      <c r="AA6773" s="117">
        <f>+'Ingredient List - Mother Tinctu'!D6774</f>
        <v>0</v>
      </c>
      <c r="AB6773" s="117">
        <f t="shared" si="108"/>
        <v>0</v>
      </c>
      <c r="AC6773" s="117" t="str">
        <f>IF(AB6773=1,COUNTIF($AB$3:AB6773,1),"")</f>
        <v/>
      </c>
      <c r="AD6773" s="117" t="str">
        <f>IFERROR(INDEX($AA$3:$AA$10000,MATCH(ROWS($AC$3:AC6773),$AC$3:$AC$10000,0)),"")</f>
        <v/>
      </c>
    </row>
    <row r="6774" spans="27:30">
      <c r="AA6774" s="117">
        <f>+'Ingredient List - Mother Tinctu'!D6775</f>
        <v>0</v>
      </c>
      <c r="AB6774" s="117">
        <f t="shared" si="108"/>
        <v>0</v>
      </c>
      <c r="AC6774" s="117" t="str">
        <f>IF(AB6774=1,COUNTIF($AB$3:AB6774,1),"")</f>
        <v/>
      </c>
      <c r="AD6774" s="117" t="str">
        <f>IFERROR(INDEX($AA$3:$AA$10000,MATCH(ROWS($AC$3:AC6774),$AC$3:$AC$10000,0)),"")</f>
        <v/>
      </c>
    </row>
    <row r="6775" spans="27:30">
      <c r="AA6775" s="117">
        <f>+'Ingredient List - Mother Tinctu'!D6776</f>
        <v>0</v>
      </c>
      <c r="AB6775" s="117">
        <f t="shared" si="108"/>
        <v>0</v>
      </c>
      <c r="AC6775" s="117" t="str">
        <f>IF(AB6775=1,COUNTIF($AB$3:AB6775,1),"")</f>
        <v/>
      </c>
      <c r="AD6775" s="117" t="str">
        <f>IFERROR(INDEX($AA$3:$AA$10000,MATCH(ROWS($AC$3:AC6775),$AC$3:$AC$10000,0)),"")</f>
        <v/>
      </c>
    </row>
    <row r="6776" spans="27:30">
      <c r="AA6776" s="117">
        <f>+'Ingredient List - Mother Tinctu'!D6777</f>
        <v>0</v>
      </c>
      <c r="AB6776" s="117">
        <f t="shared" si="108"/>
        <v>0</v>
      </c>
      <c r="AC6776" s="117" t="str">
        <f>IF(AB6776=1,COUNTIF($AB$3:AB6776,1),"")</f>
        <v/>
      </c>
      <c r="AD6776" s="117" t="str">
        <f>IFERROR(INDEX($AA$3:$AA$10000,MATCH(ROWS($AC$3:AC6776),$AC$3:$AC$10000,0)),"")</f>
        <v/>
      </c>
    </row>
    <row r="6777" spans="27:30">
      <c r="AA6777" s="117">
        <f>+'Ingredient List - Mother Tinctu'!D6778</f>
        <v>0</v>
      </c>
      <c r="AB6777" s="117">
        <f t="shared" si="108"/>
        <v>0</v>
      </c>
      <c r="AC6777" s="117" t="str">
        <f>IF(AB6777=1,COUNTIF($AB$3:AB6777,1),"")</f>
        <v/>
      </c>
      <c r="AD6777" s="117" t="str">
        <f>IFERROR(INDEX($AA$3:$AA$10000,MATCH(ROWS($AC$3:AC6777),$AC$3:$AC$10000,0)),"")</f>
        <v/>
      </c>
    </row>
    <row r="6778" spans="27:30">
      <c r="AA6778" s="117">
        <f>+'Ingredient List - Mother Tinctu'!D6779</f>
        <v>0</v>
      </c>
      <c r="AB6778" s="117">
        <f t="shared" si="108"/>
        <v>0</v>
      </c>
      <c r="AC6778" s="117" t="str">
        <f>IF(AB6778=1,COUNTIF($AB$3:AB6778,1),"")</f>
        <v/>
      </c>
      <c r="AD6778" s="117" t="str">
        <f>IFERROR(INDEX($AA$3:$AA$10000,MATCH(ROWS($AC$3:AC6778),$AC$3:$AC$10000,0)),"")</f>
        <v/>
      </c>
    </row>
    <row r="6779" spans="27:30">
      <c r="AA6779" s="117">
        <f>+'Ingredient List - Mother Tinctu'!D6780</f>
        <v>0</v>
      </c>
      <c r="AB6779" s="117">
        <f t="shared" si="108"/>
        <v>0</v>
      </c>
      <c r="AC6779" s="117" t="str">
        <f>IF(AB6779=1,COUNTIF($AB$3:AB6779,1),"")</f>
        <v/>
      </c>
      <c r="AD6779" s="117" t="str">
        <f>IFERROR(INDEX($AA$3:$AA$10000,MATCH(ROWS($AC$3:AC6779),$AC$3:$AC$10000,0)),"")</f>
        <v/>
      </c>
    </row>
    <row r="6780" spans="27:30">
      <c r="AA6780" s="117">
        <f>+'Ingredient List - Mother Tinctu'!D6781</f>
        <v>0</v>
      </c>
      <c r="AB6780" s="117">
        <f t="shared" si="108"/>
        <v>0</v>
      </c>
      <c r="AC6780" s="117" t="str">
        <f>IF(AB6780=1,COUNTIF($AB$3:AB6780,1),"")</f>
        <v/>
      </c>
      <c r="AD6780" s="117" t="str">
        <f>IFERROR(INDEX($AA$3:$AA$10000,MATCH(ROWS($AC$3:AC6780),$AC$3:$AC$10000,0)),"")</f>
        <v/>
      </c>
    </row>
    <row r="6781" spans="27:30">
      <c r="AA6781" s="117">
        <f>+'Ingredient List - Mother Tinctu'!D6782</f>
        <v>0</v>
      </c>
      <c r="AB6781" s="117">
        <f t="shared" si="108"/>
        <v>0</v>
      </c>
      <c r="AC6781" s="117" t="str">
        <f>IF(AB6781=1,COUNTIF($AB$3:AB6781,1),"")</f>
        <v/>
      </c>
      <c r="AD6781" s="117" t="str">
        <f>IFERROR(INDEX($AA$3:$AA$10000,MATCH(ROWS($AC$3:AC6781),$AC$3:$AC$10000,0)),"")</f>
        <v/>
      </c>
    </row>
    <row r="6782" spans="27:30">
      <c r="AA6782" s="117">
        <f>+'Ingredient List - Mother Tinctu'!D6783</f>
        <v>0</v>
      </c>
      <c r="AB6782" s="117">
        <f t="shared" si="108"/>
        <v>0</v>
      </c>
      <c r="AC6782" s="117" t="str">
        <f>IF(AB6782=1,COUNTIF($AB$3:AB6782,1),"")</f>
        <v/>
      </c>
      <c r="AD6782" s="117" t="str">
        <f>IFERROR(INDEX($AA$3:$AA$10000,MATCH(ROWS($AC$3:AC6782),$AC$3:$AC$10000,0)),"")</f>
        <v/>
      </c>
    </row>
    <row r="6783" spans="27:30">
      <c r="AA6783" s="117">
        <f>+'Ingredient List - Mother Tinctu'!D6784</f>
        <v>0</v>
      </c>
      <c r="AB6783" s="117">
        <f t="shared" si="108"/>
        <v>0</v>
      </c>
      <c r="AC6783" s="117" t="str">
        <f>IF(AB6783=1,COUNTIF($AB$3:AB6783,1),"")</f>
        <v/>
      </c>
      <c r="AD6783" s="117" t="str">
        <f>IFERROR(INDEX($AA$3:$AA$10000,MATCH(ROWS($AC$3:AC6783),$AC$3:$AC$10000,0)),"")</f>
        <v/>
      </c>
    </row>
    <row r="6784" spans="27:30">
      <c r="AA6784" s="117">
        <f>+'Ingredient List - Mother Tinctu'!D6785</f>
        <v>0</v>
      </c>
      <c r="AB6784" s="117">
        <f t="shared" si="108"/>
        <v>0</v>
      </c>
      <c r="AC6784" s="117" t="str">
        <f>IF(AB6784=1,COUNTIF($AB$3:AB6784,1),"")</f>
        <v/>
      </c>
      <c r="AD6784" s="117" t="str">
        <f>IFERROR(INDEX($AA$3:$AA$10000,MATCH(ROWS($AC$3:AC6784),$AC$3:$AC$10000,0)),"")</f>
        <v/>
      </c>
    </row>
    <row r="6785" spans="27:30">
      <c r="AA6785" s="117">
        <f>+'Ingredient List - Mother Tinctu'!D6786</f>
        <v>0</v>
      </c>
      <c r="AB6785" s="117">
        <f t="shared" si="108"/>
        <v>0</v>
      </c>
      <c r="AC6785" s="117" t="str">
        <f>IF(AB6785=1,COUNTIF($AB$3:AB6785,1),"")</f>
        <v/>
      </c>
      <c r="AD6785" s="117" t="str">
        <f>IFERROR(INDEX($AA$3:$AA$10000,MATCH(ROWS($AC$3:AC6785),$AC$3:$AC$10000,0)),"")</f>
        <v/>
      </c>
    </row>
    <row r="6786" spans="27:30">
      <c r="AA6786" s="117">
        <f>+'Ingredient List - Mother Tinctu'!D6787</f>
        <v>0</v>
      </c>
      <c r="AB6786" s="117">
        <f t="shared" si="108"/>
        <v>0</v>
      </c>
      <c r="AC6786" s="117" t="str">
        <f>IF(AB6786=1,COUNTIF($AB$3:AB6786,1),"")</f>
        <v/>
      </c>
      <c r="AD6786" s="117" t="str">
        <f>IFERROR(INDEX($AA$3:$AA$10000,MATCH(ROWS($AC$3:AC6786),$AC$3:$AC$10000,0)),"")</f>
        <v/>
      </c>
    </row>
    <row r="6787" spans="27:30">
      <c r="AA6787" s="117">
        <f>+'Ingredient List - Mother Tinctu'!D6788</f>
        <v>0</v>
      </c>
      <c r="AB6787" s="117">
        <f t="shared" si="108"/>
        <v>0</v>
      </c>
      <c r="AC6787" s="117" t="str">
        <f>IF(AB6787=1,COUNTIF($AB$3:AB6787,1),"")</f>
        <v/>
      </c>
      <c r="AD6787" s="117" t="str">
        <f>IFERROR(INDEX($AA$3:$AA$10000,MATCH(ROWS($AC$3:AC6787),$AC$3:$AC$10000,0)),"")</f>
        <v/>
      </c>
    </row>
    <row r="6788" spans="27:30">
      <c r="AA6788" s="117">
        <f>+'Ingredient List - Mother Tinctu'!D6789</f>
        <v>0</v>
      </c>
      <c r="AB6788" s="117">
        <f t="shared" ref="AB6788:AB6851" si="109">--ISNUMBER(IFERROR(SEARCH($D$3,AA6788,1),""))</f>
        <v>0</v>
      </c>
      <c r="AC6788" s="117" t="str">
        <f>IF(AB6788=1,COUNTIF($AB$3:AB6788,1),"")</f>
        <v/>
      </c>
      <c r="AD6788" s="117" t="str">
        <f>IFERROR(INDEX($AA$3:$AA$10000,MATCH(ROWS($AC$3:AC6788),$AC$3:$AC$10000,0)),"")</f>
        <v/>
      </c>
    </row>
    <row r="6789" spans="27:30">
      <c r="AA6789" s="117">
        <f>+'Ingredient List - Mother Tinctu'!D6790</f>
        <v>0</v>
      </c>
      <c r="AB6789" s="117">
        <f t="shared" si="109"/>
        <v>0</v>
      </c>
      <c r="AC6789" s="117" t="str">
        <f>IF(AB6789=1,COUNTIF($AB$3:AB6789,1),"")</f>
        <v/>
      </c>
      <c r="AD6789" s="117" t="str">
        <f>IFERROR(INDEX($AA$3:$AA$10000,MATCH(ROWS($AC$3:AC6789),$AC$3:$AC$10000,0)),"")</f>
        <v/>
      </c>
    </row>
    <row r="6790" spans="27:30">
      <c r="AA6790" s="117">
        <f>+'Ingredient List - Mother Tinctu'!D6791</f>
        <v>0</v>
      </c>
      <c r="AB6790" s="117">
        <f t="shared" si="109"/>
        <v>0</v>
      </c>
      <c r="AC6790" s="117" t="str">
        <f>IF(AB6790=1,COUNTIF($AB$3:AB6790,1),"")</f>
        <v/>
      </c>
      <c r="AD6790" s="117" t="str">
        <f>IFERROR(INDEX($AA$3:$AA$10000,MATCH(ROWS($AC$3:AC6790),$AC$3:$AC$10000,0)),"")</f>
        <v/>
      </c>
    </row>
    <row r="6791" spans="27:30">
      <c r="AA6791" s="117">
        <f>+'Ingredient List - Mother Tinctu'!D6792</f>
        <v>0</v>
      </c>
      <c r="AB6791" s="117">
        <f t="shared" si="109"/>
        <v>0</v>
      </c>
      <c r="AC6791" s="117" t="str">
        <f>IF(AB6791=1,COUNTIF($AB$3:AB6791,1),"")</f>
        <v/>
      </c>
      <c r="AD6791" s="117" t="str">
        <f>IFERROR(INDEX($AA$3:$AA$10000,MATCH(ROWS($AC$3:AC6791),$AC$3:$AC$10000,0)),"")</f>
        <v/>
      </c>
    </row>
    <row r="6792" spans="27:30">
      <c r="AA6792" s="117">
        <f>+'Ingredient List - Mother Tinctu'!D6793</f>
        <v>0</v>
      </c>
      <c r="AB6792" s="117">
        <f t="shared" si="109"/>
        <v>0</v>
      </c>
      <c r="AC6792" s="117" t="str">
        <f>IF(AB6792=1,COUNTIF($AB$3:AB6792,1),"")</f>
        <v/>
      </c>
      <c r="AD6792" s="117" t="str">
        <f>IFERROR(INDEX($AA$3:$AA$10000,MATCH(ROWS($AC$3:AC6792),$AC$3:$AC$10000,0)),"")</f>
        <v/>
      </c>
    </row>
    <row r="6793" spans="27:30">
      <c r="AA6793" s="117">
        <f>+'Ingredient List - Mother Tinctu'!D6794</f>
        <v>0</v>
      </c>
      <c r="AB6793" s="117">
        <f t="shared" si="109"/>
        <v>0</v>
      </c>
      <c r="AC6793" s="117" t="str">
        <f>IF(AB6793=1,COUNTIF($AB$3:AB6793,1),"")</f>
        <v/>
      </c>
      <c r="AD6793" s="117" t="str">
        <f>IFERROR(INDEX($AA$3:$AA$10000,MATCH(ROWS($AC$3:AC6793),$AC$3:$AC$10000,0)),"")</f>
        <v/>
      </c>
    </row>
    <row r="6794" spans="27:30">
      <c r="AA6794" s="117">
        <f>+'Ingredient List - Mother Tinctu'!D6795</f>
        <v>0</v>
      </c>
      <c r="AB6794" s="117">
        <f t="shared" si="109"/>
        <v>0</v>
      </c>
      <c r="AC6794" s="117" t="str">
        <f>IF(AB6794=1,COUNTIF($AB$3:AB6794,1),"")</f>
        <v/>
      </c>
      <c r="AD6794" s="117" t="str">
        <f>IFERROR(INDEX($AA$3:$AA$10000,MATCH(ROWS($AC$3:AC6794),$AC$3:$AC$10000,0)),"")</f>
        <v/>
      </c>
    </row>
    <row r="6795" spans="27:30">
      <c r="AA6795" s="117">
        <f>+'Ingredient List - Mother Tinctu'!D6796</f>
        <v>0</v>
      </c>
      <c r="AB6795" s="117">
        <f t="shared" si="109"/>
        <v>0</v>
      </c>
      <c r="AC6795" s="117" t="str">
        <f>IF(AB6795=1,COUNTIF($AB$3:AB6795,1),"")</f>
        <v/>
      </c>
      <c r="AD6795" s="117" t="str">
        <f>IFERROR(INDEX($AA$3:$AA$10000,MATCH(ROWS($AC$3:AC6795),$AC$3:$AC$10000,0)),"")</f>
        <v/>
      </c>
    </row>
    <row r="6796" spans="27:30">
      <c r="AA6796" s="117">
        <f>+'Ingredient List - Mother Tinctu'!D6797</f>
        <v>0</v>
      </c>
      <c r="AB6796" s="117">
        <f t="shared" si="109"/>
        <v>0</v>
      </c>
      <c r="AC6796" s="117" t="str">
        <f>IF(AB6796=1,COUNTIF($AB$3:AB6796,1),"")</f>
        <v/>
      </c>
      <c r="AD6796" s="117" t="str">
        <f>IFERROR(INDEX($AA$3:$AA$10000,MATCH(ROWS($AC$3:AC6796),$AC$3:$AC$10000,0)),"")</f>
        <v/>
      </c>
    </row>
    <row r="6797" spans="27:30">
      <c r="AA6797" s="117">
        <f>+'Ingredient List - Mother Tinctu'!D6798</f>
        <v>0</v>
      </c>
      <c r="AB6797" s="117">
        <f t="shared" si="109"/>
        <v>0</v>
      </c>
      <c r="AC6797" s="117" t="str">
        <f>IF(AB6797=1,COUNTIF($AB$3:AB6797,1),"")</f>
        <v/>
      </c>
      <c r="AD6797" s="117" t="str">
        <f>IFERROR(INDEX($AA$3:$AA$10000,MATCH(ROWS($AC$3:AC6797),$AC$3:$AC$10000,0)),"")</f>
        <v/>
      </c>
    </row>
    <row r="6798" spans="27:30">
      <c r="AA6798" s="117">
        <f>+'Ingredient List - Mother Tinctu'!D6799</f>
        <v>0</v>
      </c>
      <c r="AB6798" s="117">
        <f t="shared" si="109"/>
        <v>0</v>
      </c>
      <c r="AC6798" s="117" t="str">
        <f>IF(AB6798=1,COUNTIF($AB$3:AB6798,1),"")</f>
        <v/>
      </c>
      <c r="AD6798" s="117" t="str">
        <f>IFERROR(INDEX($AA$3:$AA$10000,MATCH(ROWS($AC$3:AC6798),$AC$3:$AC$10000,0)),"")</f>
        <v/>
      </c>
    </row>
    <row r="6799" spans="27:30">
      <c r="AA6799" s="117">
        <f>+'Ingredient List - Mother Tinctu'!D6800</f>
        <v>0</v>
      </c>
      <c r="AB6799" s="117">
        <f t="shared" si="109"/>
        <v>0</v>
      </c>
      <c r="AC6799" s="117" t="str">
        <f>IF(AB6799=1,COUNTIF($AB$3:AB6799,1),"")</f>
        <v/>
      </c>
      <c r="AD6799" s="117" t="str">
        <f>IFERROR(INDEX($AA$3:$AA$10000,MATCH(ROWS($AC$3:AC6799),$AC$3:$AC$10000,0)),"")</f>
        <v/>
      </c>
    </row>
    <row r="6800" spans="27:30">
      <c r="AA6800" s="117">
        <f>+'Ingredient List - Mother Tinctu'!D6801</f>
        <v>0</v>
      </c>
      <c r="AB6800" s="117">
        <f t="shared" si="109"/>
        <v>0</v>
      </c>
      <c r="AC6800" s="117" t="str">
        <f>IF(AB6800=1,COUNTIF($AB$3:AB6800,1),"")</f>
        <v/>
      </c>
      <c r="AD6800" s="117" t="str">
        <f>IFERROR(INDEX($AA$3:$AA$10000,MATCH(ROWS($AC$3:AC6800),$AC$3:$AC$10000,0)),"")</f>
        <v/>
      </c>
    </row>
    <row r="6801" spans="27:30">
      <c r="AA6801" s="117">
        <f>+'Ingredient List - Mother Tinctu'!D6802</f>
        <v>0</v>
      </c>
      <c r="AB6801" s="117">
        <f t="shared" si="109"/>
        <v>0</v>
      </c>
      <c r="AC6801" s="117" t="str">
        <f>IF(AB6801=1,COUNTIF($AB$3:AB6801,1),"")</f>
        <v/>
      </c>
      <c r="AD6801" s="117" t="str">
        <f>IFERROR(INDEX($AA$3:$AA$10000,MATCH(ROWS($AC$3:AC6801),$AC$3:$AC$10000,0)),"")</f>
        <v/>
      </c>
    </row>
    <row r="6802" spans="27:30">
      <c r="AA6802" s="117">
        <f>+'Ingredient List - Mother Tinctu'!D6803</f>
        <v>0</v>
      </c>
      <c r="AB6802" s="117">
        <f t="shared" si="109"/>
        <v>0</v>
      </c>
      <c r="AC6802" s="117" t="str">
        <f>IF(AB6802=1,COUNTIF($AB$3:AB6802,1),"")</f>
        <v/>
      </c>
      <c r="AD6802" s="117" t="str">
        <f>IFERROR(INDEX($AA$3:$AA$10000,MATCH(ROWS($AC$3:AC6802),$AC$3:$AC$10000,0)),"")</f>
        <v/>
      </c>
    </row>
    <row r="6803" spans="27:30">
      <c r="AA6803" s="117">
        <f>+'Ingredient List - Mother Tinctu'!D6804</f>
        <v>0</v>
      </c>
      <c r="AB6803" s="117">
        <f t="shared" si="109"/>
        <v>0</v>
      </c>
      <c r="AC6803" s="117" t="str">
        <f>IF(AB6803=1,COUNTIF($AB$3:AB6803,1),"")</f>
        <v/>
      </c>
      <c r="AD6803" s="117" t="str">
        <f>IFERROR(INDEX($AA$3:$AA$10000,MATCH(ROWS($AC$3:AC6803),$AC$3:$AC$10000,0)),"")</f>
        <v/>
      </c>
    </row>
    <row r="6804" spans="27:30">
      <c r="AA6804" s="117">
        <f>+'Ingredient List - Mother Tinctu'!D6805</f>
        <v>0</v>
      </c>
      <c r="AB6804" s="117">
        <f t="shared" si="109"/>
        <v>0</v>
      </c>
      <c r="AC6804" s="117" t="str">
        <f>IF(AB6804=1,COUNTIF($AB$3:AB6804,1),"")</f>
        <v/>
      </c>
      <c r="AD6804" s="117" t="str">
        <f>IFERROR(INDEX($AA$3:$AA$10000,MATCH(ROWS($AC$3:AC6804),$AC$3:$AC$10000,0)),"")</f>
        <v/>
      </c>
    </row>
    <row r="6805" spans="27:30">
      <c r="AA6805" s="117">
        <f>+'Ingredient List - Mother Tinctu'!D6806</f>
        <v>0</v>
      </c>
      <c r="AB6805" s="117">
        <f t="shared" si="109"/>
        <v>0</v>
      </c>
      <c r="AC6805" s="117" t="str">
        <f>IF(AB6805=1,COUNTIF($AB$3:AB6805,1),"")</f>
        <v/>
      </c>
      <c r="AD6805" s="117" t="str">
        <f>IFERROR(INDEX($AA$3:$AA$10000,MATCH(ROWS($AC$3:AC6805),$AC$3:$AC$10000,0)),"")</f>
        <v/>
      </c>
    </row>
    <row r="6806" spans="27:30">
      <c r="AA6806" s="117">
        <f>+'Ingredient List - Mother Tinctu'!D6807</f>
        <v>0</v>
      </c>
      <c r="AB6806" s="117">
        <f t="shared" si="109"/>
        <v>0</v>
      </c>
      <c r="AC6806" s="117" t="str">
        <f>IF(AB6806=1,COUNTIF($AB$3:AB6806,1),"")</f>
        <v/>
      </c>
      <c r="AD6806" s="117" t="str">
        <f>IFERROR(INDEX($AA$3:$AA$10000,MATCH(ROWS($AC$3:AC6806),$AC$3:$AC$10000,0)),"")</f>
        <v/>
      </c>
    </row>
    <row r="6807" spans="27:30">
      <c r="AA6807" s="117">
        <f>+'Ingredient List - Mother Tinctu'!D6808</f>
        <v>0</v>
      </c>
      <c r="AB6807" s="117">
        <f t="shared" si="109"/>
        <v>0</v>
      </c>
      <c r="AC6807" s="117" t="str">
        <f>IF(AB6807=1,COUNTIF($AB$3:AB6807,1),"")</f>
        <v/>
      </c>
      <c r="AD6807" s="117" t="str">
        <f>IFERROR(INDEX($AA$3:$AA$10000,MATCH(ROWS($AC$3:AC6807),$AC$3:$AC$10000,0)),"")</f>
        <v/>
      </c>
    </row>
    <row r="6808" spans="27:30">
      <c r="AA6808" s="117">
        <f>+'Ingredient List - Mother Tinctu'!D6809</f>
        <v>0</v>
      </c>
      <c r="AB6808" s="117">
        <f t="shared" si="109"/>
        <v>0</v>
      </c>
      <c r="AC6808" s="117" t="str">
        <f>IF(AB6808=1,COUNTIF($AB$3:AB6808,1),"")</f>
        <v/>
      </c>
      <c r="AD6808" s="117" t="str">
        <f>IFERROR(INDEX($AA$3:$AA$10000,MATCH(ROWS($AC$3:AC6808),$AC$3:$AC$10000,0)),"")</f>
        <v/>
      </c>
    </row>
    <row r="6809" spans="27:30">
      <c r="AA6809" s="117">
        <f>+'Ingredient List - Mother Tinctu'!D6810</f>
        <v>0</v>
      </c>
      <c r="AB6809" s="117">
        <f t="shared" si="109"/>
        <v>0</v>
      </c>
      <c r="AC6809" s="117" t="str">
        <f>IF(AB6809=1,COUNTIF($AB$3:AB6809,1),"")</f>
        <v/>
      </c>
      <c r="AD6809" s="117" t="str">
        <f>IFERROR(INDEX($AA$3:$AA$10000,MATCH(ROWS($AC$3:AC6809),$AC$3:$AC$10000,0)),"")</f>
        <v/>
      </c>
    </row>
    <row r="6810" spans="27:30">
      <c r="AA6810" s="117">
        <f>+'Ingredient List - Mother Tinctu'!D6811</f>
        <v>0</v>
      </c>
      <c r="AB6810" s="117">
        <f t="shared" si="109"/>
        <v>0</v>
      </c>
      <c r="AC6810" s="117" t="str">
        <f>IF(AB6810=1,COUNTIF($AB$3:AB6810,1),"")</f>
        <v/>
      </c>
      <c r="AD6810" s="117" t="str">
        <f>IFERROR(INDEX($AA$3:$AA$10000,MATCH(ROWS($AC$3:AC6810),$AC$3:$AC$10000,0)),"")</f>
        <v/>
      </c>
    </row>
    <row r="6811" spans="27:30">
      <c r="AA6811" s="117">
        <f>+'Ingredient List - Mother Tinctu'!D6812</f>
        <v>0</v>
      </c>
      <c r="AB6811" s="117">
        <f t="shared" si="109"/>
        <v>0</v>
      </c>
      <c r="AC6811" s="117" t="str">
        <f>IF(AB6811=1,COUNTIF($AB$3:AB6811,1),"")</f>
        <v/>
      </c>
      <c r="AD6811" s="117" t="str">
        <f>IFERROR(INDEX($AA$3:$AA$10000,MATCH(ROWS($AC$3:AC6811),$AC$3:$AC$10000,0)),"")</f>
        <v/>
      </c>
    </row>
    <row r="6812" spans="27:30">
      <c r="AA6812" s="117">
        <f>+'Ingredient List - Mother Tinctu'!D6813</f>
        <v>0</v>
      </c>
      <c r="AB6812" s="117">
        <f t="shared" si="109"/>
        <v>0</v>
      </c>
      <c r="AC6812" s="117" t="str">
        <f>IF(AB6812=1,COUNTIF($AB$3:AB6812,1),"")</f>
        <v/>
      </c>
      <c r="AD6812" s="117" t="str">
        <f>IFERROR(INDEX($AA$3:$AA$10000,MATCH(ROWS($AC$3:AC6812),$AC$3:$AC$10000,0)),"")</f>
        <v/>
      </c>
    </row>
    <row r="6813" spans="27:30">
      <c r="AA6813" s="117">
        <f>+'Ingredient List - Mother Tinctu'!D6814</f>
        <v>0</v>
      </c>
      <c r="AB6813" s="117">
        <f t="shared" si="109"/>
        <v>0</v>
      </c>
      <c r="AC6813" s="117" t="str">
        <f>IF(AB6813=1,COUNTIF($AB$3:AB6813,1),"")</f>
        <v/>
      </c>
      <c r="AD6813" s="117" t="str">
        <f>IFERROR(INDEX($AA$3:$AA$10000,MATCH(ROWS($AC$3:AC6813),$AC$3:$AC$10000,0)),"")</f>
        <v/>
      </c>
    </row>
    <row r="6814" spans="27:30">
      <c r="AA6814" s="117">
        <f>+'Ingredient List - Mother Tinctu'!D6815</f>
        <v>0</v>
      </c>
      <c r="AB6814" s="117">
        <f t="shared" si="109"/>
        <v>0</v>
      </c>
      <c r="AC6814" s="117" t="str">
        <f>IF(AB6814=1,COUNTIF($AB$3:AB6814,1),"")</f>
        <v/>
      </c>
      <c r="AD6814" s="117" t="str">
        <f>IFERROR(INDEX($AA$3:$AA$10000,MATCH(ROWS($AC$3:AC6814),$AC$3:$AC$10000,0)),"")</f>
        <v/>
      </c>
    </row>
    <row r="6815" spans="27:30">
      <c r="AA6815" s="117">
        <f>+'Ingredient List - Mother Tinctu'!D6816</f>
        <v>0</v>
      </c>
      <c r="AB6815" s="117">
        <f t="shared" si="109"/>
        <v>0</v>
      </c>
      <c r="AC6815" s="117" t="str">
        <f>IF(AB6815=1,COUNTIF($AB$3:AB6815,1),"")</f>
        <v/>
      </c>
      <c r="AD6815" s="117" t="str">
        <f>IFERROR(INDEX($AA$3:$AA$10000,MATCH(ROWS($AC$3:AC6815),$AC$3:$AC$10000,0)),"")</f>
        <v/>
      </c>
    </row>
    <row r="6816" spans="27:30">
      <c r="AA6816" s="117">
        <f>+'Ingredient List - Mother Tinctu'!D6817</f>
        <v>0</v>
      </c>
      <c r="AB6816" s="117">
        <f t="shared" si="109"/>
        <v>0</v>
      </c>
      <c r="AC6816" s="117" t="str">
        <f>IF(AB6816=1,COUNTIF($AB$3:AB6816,1),"")</f>
        <v/>
      </c>
      <c r="AD6816" s="117" t="str">
        <f>IFERROR(INDEX($AA$3:$AA$10000,MATCH(ROWS($AC$3:AC6816),$AC$3:$AC$10000,0)),"")</f>
        <v/>
      </c>
    </row>
    <row r="6817" spans="27:30">
      <c r="AA6817" s="117">
        <f>+'Ingredient List - Mother Tinctu'!D6818</f>
        <v>0</v>
      </c>
      <c r="AB6817" s="117">
        <f t="shared" si="109"/>
        <v>0</v>
      </c>
      <c r="AC6817" s="117" t="str">
        <f>IF(AB6817=1,COUNTIF($AB$3:AB6817,1),"")</f>
        <v/>
      </c>
      <c r="AD6817" s="117" t="str">
        <f>IFERROR(INDEX($AA$3:$AA$10000,MATCH(ROWS($AC$3:AC6817),$AC$3:$AC$10000,0)),"")</f>
        <v/>
      </c>
    </row>
    <row r="6818" spans="27:30">
      <c r="AA6818" s="117">
        <f>+'Ingredient List - Mother Tinctu'!D6819</f>
        <v>0</v>
      </c>
      <c r="AB6818" s="117">
        <f t="shared" si="109"/>
        <v>0</v>
      </c>
      <c r="AC6818" s="117" t="str">
        <f>IF(AB6818=1,COUNTIF($AB$3:AB6818,1),"")</f>
        <v/>
      </c>
      <c r="AD6818" s="117" t="str">
        <f>IFERROR(INDEX($AA$3:$AA$10000,MATCH(ROWS($AC$3:AC6818),$AC$3:$AC$10000,0)),"")</f>
        <v/>
      </c>
    </row>
    <row r="6819" spans="27:30">
      <c r="AA6819" s="117">
        <f>+'Ingredient List - Mother Tinctu'!D6820</f>
        <v>0</v>
      </c>
      <c r="AB6819" s="117">
        <f t="shared" si="109"/>
        <v>0</v>
      </c>
      <c r="AC6819" s="117" t="str">
        <f>IF(AB6819=1,COUNTIF($AB$3:AB6819,1),"")</f>
        <v/>
      </c>
      <c r="AD6819" s="117" t="str">
        <f>IFERROR(INDEX($AA$3:$AA$10000,MATCH(ROWS($AC$3:AC6819),$AC$3:$AC$10000,0)),"")</f>
        <v/>
      </c>
    </row>
    <row r="6820" spans="27:30">
      <c r="AA6820" s="117">
        <f>+'Ingredient List - Mother Tinctu'!D6821</f>
        <v>0</v>
      </c>
      <c r="AB6820" s="117">
        <f t="shared" si="109"/>
        <v>0</v>
      </c>
      <c r="AC6820" s="117" t="str">
        <f>IF(AB6820=1,COUNTIF($AB$3:AB6820,1),"")</f>
        <v/>
      </c>
      <c r="AD6820" s="117" t="str">
        <f>IFERROR(INDEX($AA$3:$AA$10000,MATCH(ROWS($AC$3:AC6820),$AC$3:$AC$10000,0)),"")</f>
        <v/>
      </c>
    </row>
    <row r="6821" spans="27:30">
      <c r="AA6821" s="117">
        <f>+'Ingredient List - Mother Tinctu'!D6822</f>
        <v>0</v>
      </c>
      <c r="AB6821" s="117">
        <f t="shared" si="109"/>
        <v>0</v>
      </c>
      <c r="AC6821" s="117" t="str">
        <f>IF(AB6821=1,COUNTIF($AB$3:AB6821,1),"")</f>
        <v/>
      </c>
      <c r="AD6821" s="117" t="str">
        <f>IFERROR(INDEX($AA$3:$AA$10000,MATCH(ROWS($AC$3:AC6821),$AC$3:$AC$10000,0)),"")</f>
        <v/>
      </c>
    </row>
    <row r="6822" spans="27:30">
      <c r="AA6822" s="117">
        <f>+'Ingredient List - Mother Tinctu'!D6823</f>
        <v>0</v>
      </c>
      <c r="AB6822" s="117">
        <f t="shared" si="109"/>
        <v>0</v>
      </c>
      <c r="AC6822" s="117" t="str">
        <f>IF(AB6822=1,COUNTIF($AB$3:AB6822,1),"")</f>
        <v/>
      </c>
      <c r="AD6822" s="117" t="str">
        <f>IFERROR(INDEX($AA$3:$AA$10000,MATCH(ROWS($AC$3:AC6822),$AC$3:$AC$10000,0)),"")</f>
        <v/>
      </c>
    </row>
    <row r="6823" spans="27:30">
      <c r="AA6823" s="117">
        <f>+'Ingredient List - Mother Tinctu'!D6824</f>
        <v>0</v>
      </c>
      <c r="AB6823" s="117">
        <f t="shared" si="109"/>
        <v>0</v>
      </c>
      <c r="AC6823" s="117" t="str">
        <f>IF(AB6823=1,COUNTIF($AB$3:AB6823,1),"")</f>
        <v/>
      </c>
      <c r="AD6823" s="117" t="str">
        <f>IFERROR(INDEX($AA$3:$AA$10000,MATCH(ROWS($AC$3:AC6823),$AC$3:$AC$10000,0)),"")</f>
        <v/>
      </c>
    </row>
    <row r="6824" spans="27:30">
      <c r="AA6824" s="117">
        <f>+'Ingredient List - Mother Tinctu'!D6825</f>
        <v>0</v>
      </c>
      <c r="AB6824" s="117">
        <f t="shared" si="109"/>
        <v>0</v>
      </c>
      <c r="AC6824" s="117" t="str">
        <f>IF(AB6824=1,COUNTIF($AB$3:AB6824,1),"")</f>
        <v/>
      </c>
      <c r="AD6824" s="117" t="str">
        <f>IFERROR(INDEX($AA$3:$AA$10000,MATCH(ROWS($AC$3:AC6824),$AC$3:$AC$10000,0)),"")</f>
        <v/>
      </c>
    </row>
    <row r="6825" spans="27:30">
      <c r="AA6825" s="117">
        <f>+'Ingredient List - Mother Tinctu'!D6826</f>
        <v>0</v>
      </c>
      <c r="AB6825" s="117">
        <f t="shared" si="109"/>
        <v>0</v>
      </c>
      <c r="AC6825" s="117" t="str">
        <f>IF(AB6825=1,COUNTIF($AB$3:AB6825,1),"")</f>
        <v/>
      </c>
      <c r="AD6825" s="117" t="str">
        <f>IFERROR(INDEX($AA$3:$AA$10000,MATCH(ROWS($AC$3:AC6825),$AC$3:$AC$10000,0)),"")</f>
        <v/>
      </c>
    </row>
    <row r="6826" spans="27:30">
      <c r="AA6826" s="117">
        <f>+'Ingredient List - Mother Tinctu'!D6827</f>
        <v>0</v>
      </c>
      <c r="AB6826" s="117">
        <f t="shared" si="109"/>
        <v>0</v>
      </c>
      <c r="AC6826" s="117" t="str">
        <f>IF(AB6826=1,COUNTIF($AB$3:AB6826,1),"")</f>
        <v/>
      </c>
      <c r="AD6826" s="117" t="str">
        <f>IFERROR(INDEX($AA$3:$AA$10000,MATCH(ROWS($AC$3:AC6826),$AC$3:$AC$10000,0)),"")</f>
        <v/>
      </c>
    </row>
    <row r="6827" spans="27:30">
      <c r="AA6827" s="117">
        <f>+'Ingredient List - Mother Tinctu'!D6828</f>
        <v>0</v>
      </c>
      <c r="AB6827" s="117">
        <f t="shared" si="109"/>
        <v>0</v>
      </c>
      <c r="AC6827" s="117" t="str">
        <f>IF(AB6827=1,COUNTIF($AB$3:AB6827,1),"")</f>
        <v/>
      </c>
      <c r="AD6827" s="117" t="str">
        <f>IFERROR(INDEX($AA$3:$AA$10000,MATCH(ROWS($AC$3:AC6827),$AC$3:$AC$10000,0)),"")</f>
        <v/>
      </c>
    </row>
    <row r="6828" spans="27:30">
      <c r="AA6828" s="117">
        <f>+'Ingredient List - Mother Tinctu'!D6829</f>
        <v>0</v>
      </c>
      <c r="AB6828" s="117">
        <f t="shared" si="109"/>
        <v>0</v>
      </c>
      <c r="AC6828" s="117" t="str">
        <f>IF(AB6828=1,COUNTIF($AB$3:AB6828,1),"")</f>
        <v/>
      </c>
      <c r="AD6828" s="117" t="str">
        <f>IFERROR(INDEX($AA$3:$AA$10000,MATCH(ROWS($AC$3:AC6828),$AC$3:$AC$10000,0)),"")</f>
        <v/>
      </c>
    </row>
    <row r="6829" spans="27:30">
      <c r="AA6829" s="117">
        <f>+'Ingredient List - Mother Tinctu'!D6830</f>
        <v>0</v>
      </c>
      <c r="AB6829" s="117">
        <f t="shared" si="109"/>
        <v>0</v>
      </c>
      <c r="AC6829" s="117" t="str">
        <f>IF(AB6829=1,COUNTIF($AB$3:AB6829,1),"")</f>
        <v/>
      </c>
      <c r="AD6829" s="117" t="str">
        <f>IFERROR(INDEX($AA$3:$AA$10000,MATCH(ROWS($AC$3:AC6829),$AC$3:$AC$10000,0)),"")</f>
        <v/>
      </c>
    </row>
    <row r="6830" spans="27:30">
      <c r="AA6830" s="117">
        <f>+'Ingredient List - Mother Tinctu'!D6831</f>
        <v>0</v>
      </c>
      <c r="AB6830" s="117">
        <f t="shared" si="109"/>
        <v>0</v>
      </c>
      <c r="AC6830" s="117" t="str">
        <f>IF(AB6830=1,COUNTIF($AB$3:AB6830,1),"")</f>
        <v/>
      </c>
      <c r="AD6830" s="117" t="str">
        <f>IFERROR(INDEX($AA$3:$AA$10000,MATCH(ROWS($AC$3:AC6830),$AC$3:$AC$10000,0)),"")</f>
        <v/>
      </c>
    </row>
    <row r="6831" spans="27:30">
      <c r="AA6831" s="117">
        <f>+'Ingredient List - Mother Tinctu'!D6832</f>
        <v>0</v>
      </c>
      <c r="AB6831" s="117">
        <f t="shared" si="109"/>
        <v>0</v>
      </c>
      <c r="AC6831" s="117" t="str">
        <f>IF(AB6831=1,COUNTIF($AB$3:AB6831,1),"")</f>
        <v/>
      </c>
      <c r="AD6831" s="117" t="str">
        <f>IFERROR(INDEX($AA$3:$AA$10000,MATCH(ROWS($AC$3:AC6831),$AC$3:$AC$10000,0)),"")</f>
        <v/>
      </c>
    </row>
    <row r="6832" spans="27:30">
      <c r="AA6832" s="117">
        <f>+'Ingredient List - Mother Tinctu'!D6833</f>
        <v>0</v>
      </c>
      <c r="AB6832" s="117">
        <f t="shared" si="109"/>
        <v>0</v>
      </c>
      <c r="AC6832" s="117" t="str">
        <f>IF(AB6832=1,COUNTIF($AB$3:AB6832,1),"")</f>
        <v/>
      </c>
      <c r="AD6832" s="117" t="str">
        <f>IFERROR(INDEX($AA$3:$AA$10000,MATCH(ROWS($AC$3:AC6832),$AC$3:$AC$10000,0)),"")</f>
        <v/>
      </c>
    </row>
    <row r="6833" spans="27:30">
      <c r="AA6833" s="117">
        <f>+'Ingredient List - Mother Tinctu'!D6834</f>
        <v>0</v>
      </c>
      <c r="AB6833" s="117">
        <f t="shared" si="109"/>
        <v>0</v>
      </c>
      <c r="AC6833" s="117" t="str">
        <f>IF(AB6833=1,COUNTIF($AB$3:AB6833,1),"")</f>
        <v/>
      </c>
      <c r="AD6833" s="117" t="str">
        <f>IFERROR(INDEX($AA$3:$AA$10000,MATCH(ROWS($AC$3:AC6833),$AC$3:$AC$10000,0)),"")</f>
        <v/>
      </c>
    </row>
    <row r="6834" spans="27:30">
      <c r="AA6834" s="117">
        <f>+'Ingredient List - Mother Tinctu'!D6835</f>
        <v>0</v>
      </c>
      <c r="AB6834" s="117">
        <f t="shared" si="109"/>
        <v>0</v>
      </c>
      <c r="AC6834" s="117" t="str">
        <f>IF(AB6834=1,COUNTIF($AB$3:AB6834,1),"")</f>
        <v/>
      </c>
      <c r="AD6834" s="117" t="str">
        <f>IFERROR(INDEX($AA$3:$AA$10000,MATCH(ROWS($AC$3:AC6834),$AC$3:$AC$10000,0)),"")</f>
        <v/>
      </c>
    </row>
    <row r="6835" spans="27:30">
      <c r="AA6835" s="117">
        <f>+'Ingredient List - Mother Tinctu'!D6836</f>
        <v>0</v>
      </c>
      <c r="AB6835" s="117">
        <f t="shared" si="109"/>
        <v>0</v>
      </c>
      <c r="AC6835" s="117" t="str">
        <f>IF(AB6835=1,COUNTIF($AB$3:AB6835,1),"")</f>
        <v/>
      </c>
      <c r="AD6835" s="117" t="str">
        <f>IFERROR(INDEX($AA$3:$AA$10000,MATCH(ROWS($AC$3:AC6835),$AC$3:$AC$10000,0)),"")</f>
        <v/>
      </c>
    </row>
    <row r="6836" spans="27:30">
      <c r="AA6836" s="117">
        <f>+'Ingredient List - Mother Tinctu'!D6837</f>
        <v>0</v>
      </c>
      <c r="AB6836" s="117">
        <f t="shared" si="109"/>
        <v>0</v>
      </c>
      <c r="AC6836" s="117" t="str">
        <f>IF(AB6836=1,COUNTIF($AB$3:AB6836,1),"")</f>
        <v/>
      </c>
      <c r="AD6836" s="117" t="str">
        <f>IFERROR(INDEX($AA$3:$AA$10000,MATCH(ROWS($AC$3:AC6836),$AC$3:$AC$10000,0)),"")</f>
        <v/>
      </c>
    </row>
    <row r="6837" spans="27:30">
      <c r="AA6837" s="117">
        <f>+'Ingredient List - Mother Tinctu'!D6838</f>
        <v>0</v>
      </c>
      <c r="AB6837" s="117">
        <f t="shared" si="109"/>
        <v>0</v>
      </c>
      <c r="AC6837" s="117" t="str">
        <f>IF(AB6837=1,COUNTIF($AB$3:AB6837,1),"")</f>
        <v/>
      </c>
      <c r="AD6837" s="117" t="str">
        <f>IFERROR(INDEX($AA$3:$AA$10000,MATCH(ROWS($AC$3:AC6837),$AC$3:$AC$10000,0)),"")</f>
        <v/>
      </c>
    </row>
    <row r="6838" spans="27:30">
      <c r="AA6838" s="117">
        <f>+'Ingredient List - Mother Tinctu'!D6839</f>
        <v>0</v>
      </c>
      <c r="AB6838" s="117">
        <f t="shared" si="109"/>
        <v>0</v>
      </c>
      <c r="AC6838" s="117" t="str">
        <f>IF(AB6838=1,COUNTIF($AB$3:AB6838,1),"")</f>
        <v/>
      </c>
      <c r="AD6838" s="117" t="str">
        <f>IFERROR(INDEX($AA$3:$AA$10000,MATCH(ROWS($AC$3:AC6838),$AC$3:$AC$10000,0)),"")</f>
        <v/>
      </c>
    </row>
    <row r="6839" spans="27:30">
      <c r="AA6839" s="117">
        <f>+'Ingredient List - Mother Tinctu'!D6840</f>
        <v>0</v>
      </c>
      <c r="AB6839" s="117">
        <f t="shared" si="109"/>
        <v>0</v>
      </c>
      <c r="AC6839" s="117" t="str">
        <f>IF(AB6839=1,COUNTIF($AB$3:AB6839,1),"")</f>
        <v/>
      </c>
      <c r="AD6839" s="117" t="str">
        <f>IFERROR(INDEX($AA$3:$AA$10000,MATCH(ROWS($AC$3:AC6839),$AC$3:$AC$10000,0)),"")</f>
        <v/>
      </c>
    </row>
    <row r="6840" spans="27:30">
      <c r="AA6840" s="117">
        <f>+'Ingredient List - Mother Tinctu'!D6841</f>
        <v>0</v>
      </c>
      <c r="AB6840" s="117">
        <f t="shared" si="109"/>
        <v>0</v>
      </c>
      <c r="AC6840" s="117" t="str">
        <f>IF(AB6840=1,COUNTIF($AB$3:AB6840,1),"")</f>
        <v/>
      </c>
      <c r="AD6840" s="117" t="str">
        <f>IFERROR(INDEX($AA$3:$AA$10000,MATCH(ROWS($AC$3:AC6840),$AC$3:$AC$10000,0)),"")</f>
        <v/>
      </c>
    </row>
    <row r="6841" spans="27:30">
      <c r="AA6841" s="117">
        <f>+'Ingredient List - Mother Tinctu'!D6842</f>
        <v>0</v>
      </c>
      <c r="AB6841" s="117">
        <f t="shared" si="109"/>
        <v>0</v>
      </c>
      <c r="AC6841" s="117" t="str">
        <f>IF(AB6841=1,COUNTIF($AB$3:AB6841,1),"")</f>
        <v/>
      </c>
      <c r="AD6841" s="117" t="str">
        <f>IFERROR(INDEX($AA$3:$AA$10000,MATCH(ROWS($AC$3:AC6841),$AC$3:$AC$10000,0)),"")</f>
        <v/>
      </c>
    </row>
    <row r="6842" spans="27:30">
      <c r="AA6842" s="117">
        <f>+'Ingredient List - Mother Tinctu'!D6843</f>
        <v>0</v>
      </c>
      <c r="AB6842" s="117">
        <f t="shared" si="109"/>
        <v>0</v>
      </c>
      <c r="AC6842" s="117" t="str">
        <f>IF(AB6842=1,COUNTIF($AB$3:AB6842,1),"")</f>
        <v/>
      </c>
      <c r="AD6842" s="117" t="str">
        <f>IFERROR(INDEX($AA$3:$AA$10000,MATCH(ROWS($AC$3:AC6842),$AC$3:$AC$10000,0)),"")</f>
        <v/>
      </c>
    </row>
    <row r="6843" spans="27:30">
      <c r="AA6843" s="117">
        <f>+'Ingredient List - Mother Tinctu'!D6844</f>
        <v>0</v>
      </c>
      <c r="AB6843" s="117">
        <f t="shared" si="109"/>
        <v>0</v>
      </c>
      <c r="AC6843" s="117" t="str">
        <f>IF(AB6843=1,COUNTIF($AB$3:AB6843,1),"")</f>
        <v/>
      </c>
      <c r="AD6843" s="117" t="str">
        <f>IFERROR(INDEX($AA$3:$AA$10000,MATCH(ROWS($AC$3:AC6843),$AC$3:$AC$10000,0)),"")</f>
        <v/>
      </c>
    </row>
    <row r="6844" spans="27:30">
      <c r="AA6844" s="117">
        <f>+'Ingredient List - Mother Tinctu'!D6845</f>
        <v>0</v>
      </c>
      <c r="AB6844" s="117">
        <f t="shared" si="109"/>
        <v>0</v>
      </c>
      <c r="AC6844" s="117" t="str">
        <f>IF(AB6844=1,COUNTIF($AB$3:AB6844,1),"")</f>
        <v/>
      </c>
      <c r="AD6844" s="117" t="str">
        <f>IFERROR(INDEX($AA$3:$AA$10000,MATCH(ROWS($AC$3:AC6844),$AC$3:$AC$10000,0)),"")</f>
        <v/>
      </c>
    </row>
    <row r="6845" spans="27:30">
      <c r="AA6845" s="117">
        <f>+'Ingredient List - Mother Tinctu'!D6846</f>
        <v>0</v>
      </c>
      <c r="AB6845" s="117">
        <f t="shared" si="109"/>
        <v>0</v>
      </c>
      <c r="AC6845" s="117" t="str">
        <f>IF(AB6845=1,COUNTIF($AB$3:AB6845,1),"")</f>
        <v/>
      </c>
      <c r="AD6845" s="117" t="str">
        <f>IFERROR(INDEX($AA$3:$AA$10000,MATCH(ROWS($AC$3:AC6845),$AC$3:$AC$10000,0)),"")</f>
        <v/>
      </c>
    </row>
    <row r="6846" spans="27:30">
      <c r="AA6846" s="117">
        <f>+'Ingredient List - Mother Tinctu'!D6847</f>
        <v>0</v>
      </c>
      <c r="AB6846" s="117">
        <f t="shared" si="109"/>
        <v>0</v>
      </c>
      <c r="AC6846" s="117" t="str">
        <f>IF(AB6846=1,COUNTIF($AB$3:AB6846,1),"")</f>
        <v/>
      </c>
      <c r="AD6846" s="117" t="str">
        <f>IFERROR(INDEX($AA$3:$AA$10000,MATCH(ROWS($AC$3:AC6846),$AC$3:$AC$10000,0)),"")</f>
        <v/>
      </c>
    </row>
    <row r="6847" spans="27:30">
      <c r="AA6847" s="117">
        <f>+'Ingredient List - Mother Tinctu'!D6848</f>
        <v>0</v>
      </c>
      <c r="AB6847" s="117">
        <f t="shared" si="109"/>
        <v>0</v>
      </c>
      <c r="AC6847" s="117" t="str">
        <f>IF(AB6847=1,COUNTIF($AB$3:AB6847,1),"")</f>
        <v/>
      </c>
      <c r="AD6847" s="117" t="str">
        <f>IFERROR(INDEX($AA$3:$AA$10000,MATCH(ROWS($AC$3:AC6847),$AC$3:$AC$10000,0)),"")</f>
        <v/>
      </c>
    </row>
    <row r="6848" spans="27:30">
      <c r="AA6848" s="117">
        <f>+'Ingredient List - Mother Tinctu'!D6849</f>
        <v>0</v>
      </c>
      <c r="AB6848" s="117">
        <f t="shared" si="109"/>
        <v>0</v>
      </c>
      <c r="AC6848" s="117" t="str">
        <f>IF(AB6848=1,COUNTIF($AB$3:AB6848,1),"")</f>
        <v/>
      </c>
      <c r="AD6848" s="117" t="str">
        <f>IFERROR(INDEX($AA$3:$AA$10000,MATCH(ROWS($AC$3:AC6848),$AC$3:$AC$10000,0)),"")</f>
        <v/>
      </c>
    </row>
    <row r="6849" spans="27:30">
      <c r="AA6849" s="117">
        <f>+'Ingredient List - Mother Tinctu'!D6850</f>
        <v>0</v>
      </c>
      <c r="AB6849" s="117">
        <f t="shared" si="109"/>
        <v>0</v>
      </c>
      <c r="AC6849" s="117" t="str">
        <f>IF(AB6849=1,COUNTIF($AB$3:AB6849,1),"")</f>
        <v/>
      </c>
      <c r="AD6849" s="117" t="str">
        <f>IFERROR(INDEX($AA$3:$AA$10000,MATCH(ROWS($AC$3:AC6849),$AC$3:$AC$10000,0)),"")</f>
        <v/>
      </c>
    </row>
    <row r="6850" spans="27:30">
      <c r="AA6850" s="117">
        <f>+'Ingredient List - Mother Tinctu'!D6851</f>
        <v>0</v>
      </c>
      <c r="AB6850" s="117">
        <f t="shared" si="109"/>
        <v>0</v>
      </c>
      <c r="AC6850" s="117" t="str">
        <f>IF(AB6850=1,COUNTIF($AB$3:AB6850,1),"")</f>
        <v/>
      </c>
      <c r="AD6850" s="117" t="str">
        <f>IFERROR(INDEX($AA$3:$AA$10000,MATCH(ROWS($AC$3:AC6850),$AC$3:$AC$10000,0)),"")</f>
        <v/>
      </c>
    </row>
    <row r="6851" spans="27:30">
      <c r="AA6851" s="117">
        <f>+'Ingredient List - Mother Tinctu'!D6852</f>
        <v>0</v>
      </c>
      <c r="AB6851" s="117">
        <f t="shared" si="109"/>
        <v>0</v>
      </c>
      <c r="AC6851" s="117" t="str">
        <f>IF(AB6851=1,COUNTIF($AB$3:AB6851,1),"")</f>
        <v/>
      </c>
      <c r="AD6851" s="117" t="str">
        <f>IFERROR(INDEX($AA$3:$AA$10000,MATCH(ROWS($AC$3:AC6851),$AC$3:$AC$10000,0)),"")</f>
        <v/>
      </c>
    </row>
    <row r="6852" spans="27:30">
      <c r="AA6852" s="117">
        <f>+'Ingredient List - Mother Tinctu'!D6853</f>
        <v>0</v>
      </c>
      <c r="AB6852" s="117">
        <f t="shared" ref="AB6852:AB6915" si="110">--ISNUMBER(IFERROR(SEARCH($D$3,AA6852,1),""))</f>
        <v>0</v>
      </c>
      <c r="AC6852" s="117" t="str">
        <f>IF(AB6852=1,COUNTIF($AB$3:AB6852,1),"")</f>
        <v/>
      </c>
      <c r="AD6852" s="117" t="str">
        <f>IFERROR(INDEX($AA$3:$AA$10000,MATCH(ROWS($AC$3:AC6852),$AC$3:$AC$10000,0)),"")</f>
        <v/>
      </c>
    </row>
    <row r="6853" spans="27:30">
      <c r="AA6853" s="117">
        <f>+'Ingredient List - Mother Tinctu'!D6854</f>
        <v>0</v>
      </c>
      <c r="AB6853" s="117">
        <f t="shared" si="110"/>
        <v>0</v>
      </c>
      <c r="AC6853" s="117" t="str">
        <f>IF(AB6853=1,COUNTIF($AB$3:AB6853,1),"")</f>
        <v/>
      </c>
      <c r="AD6853" s="117" t="str">
        <f>IFERROR(INDEX($AA$3:$AA$10000,MATCH(ROWS($AC$3:AC6853),$AC$3:$AC$10000,0)),"")</f>
        <v/>
      </c>
    </row>
    <row r="6854" spans="27:30">
      <c r="AA6854" s="117">
        <f>+'Ingredient List - Mother Tinctu'!D6855</f>
        <v>0</v>
      </c>
      <c r="AB6854" s="117">
        <f t="shared" si="110"/>
        <v>0</v>
      </c>
      <c r="AC6854" s="117" t="str">
        <f>IF(AB6854=1,COUNTIF($AB$3:AB6854,1),"")</f>
        <v/>
      </c>
      <c r="AD6854" s="117" t="str">
        <f>IFERROR(INDEX($AA$3:$AA$10000,MATCH(ROWS($AC$3:AC6854),$AC$3:$AC$10000,0)),"")</f>
        <v/>
      </c>
    </row>
    <row r="6855" spans="27:30">
      <c r="AA6855" s="117">
        <f>+'Ingredient List - Mother Tinctu'!D6856</f>
        <v>0</v>
      </c>
      <c r="AB6855" s="117">
        <f t="shared" si="110"/>
        <v>0</v>
      </c>
      <c r="AC6855" s="117" t="str">
        <f>IF(AB6855=1,COUNTIF($AB$3:AB6855,1),"")</f>
        <v/>
      </c>
      <c r="AD6855" s="117" t="str">
        <f>IFERROR(INDEX($AA$3:$AA$10000,MATCH(ROWS($AC$3:AC6855),$AC$3:$AC$10000,0)),"")</f>
        <v/>
      </c>
    </row>
    <row r="6856" spans="27:30">
      <c r="AA6856" s="117">
        <f>+'Ingredient List - Mother Tinctu'!D6857</f>
        <v>0</v>
      </c>
      <c r="AB6856" s="117">
        <f t="shared" si="110"/>
        <v>0</v>
      </c>
      <c r="AC6856" s="117" t="str">
        <f>IF(AB6856=1,COUNTIF($AB$3:AB6856,1),"")</f>
        <v/>
      </c>
      <c r="AD6856" s="117" t="str">
        <f>IFERROR(INDEX($AA$3:$AA$10000,MATCH(ROWS($AC$3:AC6856),$AC$3:$AC$10000,0)),"")</f>
        <v/>
      </c>
    </row>
    <row r="6857" spans="27:30">
      <c r="AA6857" s="117">
        <f>+'Ingredient List - Mother Tinctu'!D6858</f>
        <v>0</v>
      </c>
      <c r="AB6857" s="117">
        <f t="shared" si="110"/>
        <v>0</v>
      </c>
      <c r="AC6857" s="117" t="str">
        <f>IF(AB6857=1,COUNTIF($AB$3:AB6857,1),"")</f>
        <v/>
      </c>
      <c r="AD6857" s="117" t="str">
        <f>IFERROR(INDEX($AA$3:$AA$10000,MATCH(ROWS($AC$3:AC6857),$AC$3:$AC$10000,0)),"")</f>
        <v/>
      </c>
    </row>
    <row r="6858" spans="27:30">
      <c r="AA6858" s="117">
        <f>+'Ingredient List - Mother Tinctu'!D6859</f>
        <v>0</v>
      </c>
      <c r="AB6858" s="117">
        <f t="shared" si="110"/>
        <v>0</v>
      </c>
      <c r="AC6858" s="117" t="str">
        <f>IF(AB6858=1,COUNTIF($AB$3:AB6858,1),"")</f>
        <v/>
      </c>
      <c r="AD6858" s="117" t="str">
        <f>IFERROR(INDEX($AA$3:$AA$10000,MATCH(ROWS($AC$3:AC6858),$AC$3:$AC$10000,0)),"")</f>
        <v/>
      </c>
    </row>
    <row r="6859" spans="27:30">
      <c r="AA6859" s="117">
        <f>+'Ingredient List - Mother Tinctu'!D6860</f>
        <v>0</v>
      </c>
      <c r="AB6859" s="117">
        <f t="shared" si="110"/>
        <v>0</v>
      </c>
      <c r="AC6859" s="117" t="str">
        <f>IF(AB6859=1,COUNTIF($AB$3:AB6859,1),"")</f>
        <v/>
      </c>
      <c r="AD6859" s="117" t="str">
        <f>IFERROR(INDEX($AA$3:$AA$10000,MATCH(ROWS($AC$3:AC6859),$AC$3:$AC$10000,0)),"")</f>
        <v/>
      </c>
    </row>
    <row r="6860" spans="27:30">
      <c r="AA6860" s="117">
        <f>+'Ingredient List - Mother Tinctu'!D6861</f>
        <v>0</v>
      </c>
      <c r="AB6860" s="117">
        <f t="shared" si="110"/>
        <v>0</v>
      </c>
      <c r="AC6860" s="117" t="str">
        <f>IF(AB6860=1,COUNTIF($AB$3:AB6860,1),"")</f>
        <v/>
      </c>
      <c r="AD6860" s="117" t="str">
        <f>IFERROR(INDEX($AA$3:$AA$10000,MATCH(ROWS($AC$3:AC6860),$AC$3:$AC$10000,0)),"")</f>
        <v/>
      </c>
    </row>
    <row r="6861" spans="27:30">
      <c r="AA6861" s="117">
        <f>+'Ingredient List - Mother Tinctu'!D6862</f>
        <v>0</v>
      </c>
      <c r="AB6861" s="117">
        <f t="shared" si="110"/>
        <v>0</v>
      </c>
      <c r="AC6861" s="117" t="str">
        <f>IF(AB6861=1,COUNTIF($AB$3:AB6861,1),"")</f>
        <v/>
      </c>
      <c r="AD6861" s="117" t="str">
        <f>IFERROR(INDEX($AA$3:$AA$10000,MATCH(ROWS($AC$3:AC6861),$AC$3:$AC$10000,0)),"")</f>
        <v/>
      </c>
    </row>
    <row r="6862" spans="27:30">
      <c r="AA6862" s="117">
        <f>+'Ingredient List - Mother Tinctu'!D6863</f>
        <v>0</v>
      </c>
      <c r="AB6862" s="117">
        <f t="shared" si="110"/>
        <v>0</v>
      </c>
      <c r="AC6862" s="117" t="str">
        <f>IF(AB6862=1,COUNTIF($AB$3:AB6862,1),"")</f>
        <v/>
      </c>
      <c r="AD6862" s="117" t="str">
        <f>IFERROR(INDEX($AA$3:$AA$10000,MATCH(ROWS($AC$3:AC6862),$AC$3:$AC$10000,0)),"")</f>
        <v/>
      </c>
    </row>
    <row r="6863" spans="27:30">
      <c r="AA6863" s="117">
        <f>+'Ingredient List - Mother Tinctu'!D6864</f>
        <v>0</v>
      </c>
      <c r="AB6863" s="117">
        <f t="shared" si="110"/>
        <v>0</v>
      </c>
      <c r="AC6863" s="117" t="str">
        <f>IF(AB6863=1,COUNTIF($AB$3:AB6863,1),"")</f>
        <v/>
      </c>
      <c r="AD6863" s="117" t="str">
        <f>IFERROR(INDEX($AA$3:$AA$10000,MATCH(ROWS($AC$3:AC6863),$AC$3:$AC$10000,0)),"")</f>
        <v/>
      </c>
    </row>
    <row r="6864" spans="27:30">
      <c r="AA6864" s="117">
        <f>+'Ingredient List - Mother Tinctu'!D6865</f>
        <v>0</v>
      </c>
      <c r="AB6864" s="117">
        <f t="shared" si="110"/>
        <v>0</v>
      </c>
      <c r="AC6864" s="117" t="str">
        <f>IF(AB6864=1,COUNTIF($AB$3:AB6864,1),"")</f>
        <v/>
      </c>
      <c r="AD6864" s="117" t="str">
        <f>IFERROR(INDEX($AA$3:$AA$10000,MATCH(ROWS($AC$3:AC6864),$AC$3:$AC$10000,0)),"")</f>
        <v/>
      </c>
    </row>
    <row r="6865" spans="27:30">
      <c r="AA6865" s="117">
        <f>+'Ingredient List - Mother Tinctu'!D6866</f>
        <v>0</v>
      </c>
      <c r="AB6865" s="117">
        <f t="shared" si="110"/>
        <v>0</v>
      </c>
      <c r="AC6865" s="117" t="str">
        <f>IF(AB6865=1,COUNTIF($AB$3:AB6865,1),"")</f>
        <v/>
      </c>
      <c r="AD6865" s="117" t="str">
        <f>IFERROR(INDEX($AA$3:$AA$10000,MATCH(ROWS($AC$3:AC6865),$AC$3:$AC$10000,0)),"")</f>
        <v/>
      </c>
    </row>
    <row r="6866" spans="27:30">
      <c r="AA6866" s="117">
        <f>+'Ingredient List - Mother Tinctu'!D6867</f>
        <v>0</v>
      </c>
      <c r="AB6866" s="117">
        <f t="shared" si="110"/>
        <v>0</v>
      </c>
      <c r="AC6866" s="117" t="str">
        <f>IF(AB6866=1,COUNTIF($AB$3:AB6866,1),"")</f>
        <v/>
      </c>
      <c r="AD6866" s="117" t="str">
        <f>IFERROR(INDEX($AA$3:$AA$10000,MATCH(ROWS($AC$3:AC6866),$AC$3:$AC$10000,0)),"")</f>
        <v/>
      </c>
    </row>
    <row r="6867" spans="27:30">
      <c r="AA6867" s="117">
        <f>+'Ingredient List - Mother Tinctu'!D6868</f>
        <v>0</v>
      </c>
      <c r="AB6867" s="117">
        <f t="shared" si="110"/>
        <v>0</v>
      </c>
      <c r="AC6867" s="117" t="str">
        <f>IF(AB6867=1,COUNTIF($AB$3:AB6867,1),"")</f>
        <v/>
      </c>
      <c r="AD6867" s="117" t="str">
        <f>IFERROR(INDEX($AA$3:$AA$10000,MATCH(ROWS($AC$3:AC6867),$AC$3:$AC$10000,0)),"")</f>
        <v/>
      </c>
    </row>
    <row r="6868" spans="27:30">
      <c r="AA6868" s="117">
        <f>+'Ingredient List - Mother Tinctu'!D6869</f>
        <v>0</v>
      </c>
      <c r="AB6868" s="117">
        <f t="shared" si="110"/>
        <v>0</v>
      </c>
      <c r="AC6868" s="117" t="str">
        <f>IF(AB6868=1,COUNTIF($AB$3:AB6868,1),"")</f>
        <v/>
      </c>
      <c r="AD6868" s="117" t="str">
        <f>IFERROR(INDEX($AA$3:$AA$10000,MATCH(ROWS($AC$3:AC6868),$AC$3:$AC$10000,0)),"")</f>
        <v/>
      </c>
    </row>
    <row r="6869" spans="27:30">
      <c r="AA6869" s="117">
        <f>+'Ingredient List - Mother Tinctu'!D6870</f>
        <v>0</v>
      </c>
      <c r="AB6869" s="117">
        <f t="shared" si="110"/>
        <v>0</v>
      </c>
      <c r="AC6869" s="117" t="str">
        <f>IF(AB6869=1,COUNTIF($AB$3:AB6869,1),"")</f>
        <v/>
      </c>
      <c r="AD6869" s="117" t="str">
        <f>IFERROR(INDEX($AA$3:$AA$10000,MATCH(ROWS($AC$3:AC6869),$AC$3:$AC$10000,0)),"")</f>
        <v/>
      </c>
    </row>
    <row r="6870" spans="27:30">
      <c r="AA6870" s="117">
        <f>+'Ingredient List - Mother Tinctu'!D6871</f>
        <v>0</v>
      </c>
      <c r="AB6870" s="117">
        <f t="shared" si="110"/>
        <v>0</v>
      </c>
      <c r="AC6870" s="117" t="str">
        <f>IF(AB6870=1,COUNTIF($AB$3:AB6870,1),"")</f>
        <v/>
      </c>
      <c r="AD6870" s="117" t="str">
        <f>IFERROR(INDEX($AA$3:$AA$10000,MATCH(ROWS($AC$3:AC6870),$AC$3:$AC$10000,0)),"")</f>
        <v/>
      </c>
    </row>
    <row r="6871" spans="27:30">
      <c r="AA6871" s="117">
        <f>+'Ingredient List - Mother Tinctu'!D6872</f>
        <v>0</v>
      </c>
      <c r="AB6871" s="117">
        <f t="shared" si="110"/>
        <v>0</v>
      </c>
      <c r="AC6871" s="117" t="str">
        <f>IF(AB6871=1,COUNTIF($AB$3:AB6871,1),"")</f>
        <v/>
      </c>
      <c r="AD6871" s="117" t="str">
        <f>IFERROR(INDEX($AA$3:$AA$10000,MATCH(ROWS($AC$3:AC6871),$AC$3:$AC$10000,0)),"")</f>
        <v/>
      </c>
    </row>
    <row r="6872" spans="27:30">
      <c r="AA6872" s="117">
        <f>+'Ingredient List - Mother Tinctu'!D6873</f>
        <v>0</v>
      </c>
      <c r="AB6872" s="117">
        <f t="shared" si="110"/>
        <v>0</v>
      </c>
      <c r="AC6872" s="117" t="str">
        <f>IF(AB6872=1,COUNTIF($AB$3:AB6872,1),"")</f>
        <v/>
      </c>
      <c r="AD6872" s="117" t="str">
        <f>IFERROR(INDEX($AA$3:$AA$10000,MATCH(ROWS($AC$3:AC6872),$AC$3:$AC$10000,0)),"")</f>
        <v/>
      </c>
    </row>
    <row r="6873" spans="27:30">
      <c r="AA6873" s="117">
        <f>+'Ingredient List - Mother Tinctu'!D6874</f>
        <v>0</v>
      </c>
      <c r="AB6873" s="117">
        <f t="shared" si="110"/>
        <v>0</v>
      </c>
      <c r="AC6873" s="117" t="str">
        <f>IF(AB6873=1,COUNTIF($AB$3:AB6873,1),"")</f>
        <v/>
      </c>
      <c r="AD6873" s="117" t="str">
        <f>IFERROR(INDEX($AA$3:$AA$10000,MATCH(ROWS($AC$3:AC6873),$AC$3:$AC$10000,0)),"")</f>
        <v/>
      </c>
    </row>
    <row r="6874" spans="27:30">
      <c r="AA6874" s="117">
        <f>+'Ingredient List - Mother Tinctu'!D6875</f>
        <v>0</v>
      </c>
      <c r="AB6874" s="117">
        <f t="shared" si="110"/>
        <v>0</v>
      </c>
      <c r="AC6874" s="117" t="str">
        <f>IF(AB6874=1,COUNTIF($AB$3:AB6874,1),"")</f>
        <v/>
      </c>
      <c r="AD6874" s="117" t="str">
        <f>IFERROR(INDEX($AA$3:$AA$10000,MATCH(ROWS($AC$3:AC6874),$AC$3:$AC$10000,0)),"")</f>
        <v/>
      </c>
    </row>
    <row r="6875" spans="27:30">
      <c r="AA6875" s="117">
        <f>+'Ingredient List - Mother Tinctu'!D6876</f>
        <v>0</v>
      </c>
      <c r="AB6875" s="117">
        <f t="shared" si="110"/>
        <v>0</v>
      </c>
      <c r="AC6875" s="117" t="str">
        <f>IF(AB6875=1,COUNTIF($AB$3:AB6875,1),"")</f>
        <v/>
      </c>
      <c r="AD6875" s="117" t="str">
        <f>IFERROR(INDEX($AA$3:$AA$10000,MATCH(ROWS($AC$3:AC6875),$AC$3:$AC$10000,0)),"")</f>
        <v/>
      </c>
    </row>
    <row r="6876" spans="27:30">
      <c r="AA6876" s="117">
        <f>+'Ingredient List - Mother Tinctu'!D6877</f>
        <v>0</v>
      </c>
      <c r="AB6876" s="117">
        <f t="shared" si="110"/>
        <v>0</v>
      </c>
      <c r="AC6876" s="117" t="str">
        <f>IF(AB6876=1,COUNTIF($AB$3:AB6876,1),"")</f>
        <v/>
      </c>
      <c r="AD6876" s="117" t="str">
        <f>IFERROR(INDEX($AA$3:$AA$10000,MATCH(ROWS($AC$3:AC6876),$AC$3:$AC$10000,0)),"")</f>
        <v/>
      </c>
    </row>
    <row r="6877" spans="27:30">
      <c r="AA6877" s="117">
        <f>+'Ingredient List - Mother Tinctu'!D6878</f>
        <v>0</v>
      </c>
      <c r="AB6877" s="117">
        <f t="shared" si="110"/>
        <v>0</v>
      </c>
      <c r="AC6877" s="117" t="str">
        <f>IF(AB6877=1,COUNTIF($AB$3:AB6877,1),"")</f>
        <v/>
      </c>
      <c r="AD6877" s="117" t="str">
        <f>IFERROR(INDEX($AA$3:$AA$10000,MATCH(ROWS($AC$3:AC6877),$AC$3:$AC$10000,0)),"")</f>
        <v/>
      </c>
    </row>
    <row r="6878" spans="27:30">
      <c r="AA6878" s="117">
        <f>+'Ingredient List - Mother Tinctu'!D6879</f>
        <v>0</v>
      </c>
      <c r="AB6878" s="117">
        <f t="shared" si="110"/>
        <v>0</v>
      </c>
      <c r="AC6878" s="117" t="str">
        <f>IF(AB6878=1,COUNTIF($AB$3:AB6878,1),"")</f>
        <v/>
      </c>
      <c r="AD6878" s="117" t="str">
        <f>IFERROR(INDEX($AA$3:$AA$10000,MATCH(ROWS($AC$3:AC6878),$AC$3:$AC$10000,0)),"")</f>
        <v/>
      </c>
    </row>
    <row r="6879" spans="27:30">
      <c r="AA6879" s="117">
        <f>+'Ingredient List - Mother Tinctu'!D6880</f>
        <v>0</v>
      </c>
      <c r="AB6879" s="117">
        <f t="shared" si="110"/>
        <v>0</v>
      </c>
      <c r="AC6879" s="117" t="str">
        <f>IF(AB6879=1,COUNTIF($AB$3:AB6879,1),"")</f>
        <v/>
      </c>
      <c r="AD6879" s="117" t="str">
        <f>IFERROR(INDEX($AA$3:$AA$10000,MATCH(ROWS($AC$3:AC6879),$AC$3:$AC$10000,0)),"")</f>
        <v/>
      </c>
    </row>
    <row r="6880" spans="27:30">
      <c r="AA6880" s="117">
        <f>+'Ingredient List - Mother Tinctu'!D6881</f>
        <v>0</v>
      </c>
      <c r="AB6880" s="117">
        <f t="shared" si="110"/>
        <v>0</v>
      </c>
      <c r="AC6880" s="117" t="str">
        <f>IF(AB6880=1,COUNTIF($AB$3:AB6880,1),"")</f>
        <v/>
      </c>
      <c r="AD6880" s="117" t="str">
        <f>IFERROR(INDEX($AA$3:$AA$10000,MATCH(ROWS($AC$3:AC6880),$AC$3:$AC$10000,0)),"")</f>
        <v/>
      </c>
    </row>
    <row r="6881" spans="27:30">
      <c r="AA6881" s="117">
        <f>+'Ingredient List - Mother Tinctu'!D6882</f>
        <v>0</v>
      </c>
      <c r="AB6881" s="117">
        <f t="shared" si="110"/>
        <v>0</v>
      </c>
      <c r="AC6881" s="117" t="str">
        <f>IF(AB6881=1,COUNTIF($AB$3:AB6881,1),"")</f>
        <v/>
      </c>
      <c r="AD6881" s="117" t="str">
        <f>IFERROR(INDEX($AA$3:$AA$10000,MATCH(ROWS($AC$3:AC6881),$AC$3:$AC$10000,0)),"")</f>
        <v/>
      </c>
    </row>
    <row r="6882" spans="27:30">
      <c r="AA6882" s="117">
        <f>+'Ingredient List - Mother Tinctu'!D6883</f>
        <v>0</v>
      </c>
      <c r="AB6882" s="117">
        <f t="shared" si="110"/>
        <v>0</v>
      </c>
      <c r="AC6882" s="117" t="str">
        <f>IF(AB6882=1,COUNTIF($AB$3:AB6882,1),"")</f>
        <v/>
      </c>
      <c r="AD6882" s="117" t="str">
        <f>IFERROR(INDEX($AA$3:$AA$10000,MATCH(ROWS($AC$3:AC6882),$AC$3:$AC$10000,0)),"")</f>
        <v/>
      </c>
    </row>
    <row r="6883" spans="27:30">
      <c r="AA6883" s="117">
        <f>+'Ingredient List - Mother Tinctu'!D6884</f>
        <v>0</v>
      </c>
      <c r="AB6883" s="117">
        <f t="shared" si="110"/>
        <v>0</v>
      </c>
      <c r="AC6883" s="117" t="str">
        <f>IF(AB6883=1,COUNTIF($AB$3:AB6883,1),"")</f>
        <v/>
      </c>
      <c r="AD6883" s="117" t="str">
        <f>IFERROR(INDEX($AA$3:$AA$10000,MATCH(ROWS($AC$3:AC6883),$AC$3:$AC$10000,0)),"")</f>
        <v/>
      </c>
    </row>
    <row r="6884" spans="27:30">
      <c r="AA6884" s="117">
        <f>+'Ingredient List - Mother Tinctu'!D6885</f>
        <v>0</v>
      </c>
      <c r="AB6884" s="117">
        <f t="shared" si="110"/>
        <v>0</v>
      </c>
      <c r="AC6884" s="117" t="str">
        <f>IF(AB6884=1,COUNTIF($AB$3:AB6884,1),"")</f>
        <v/>
      </c>
      <c r="AD6884" s="117" t="str">
        <f>IFERROR(INDEX($AA$3:$AA$10000,MATCH(ROWS($AC$3:AC6884),$AC$3:$AC$10000,0)),"")</f>
        <v/>
      </c>
    </row>
    <row r="6885" spans="27:30">
      <c r="AA6885" s="117">
        <f>+'Ingredient List - Mother Tinctu'!D6886</f>
        <v>0</v>
      </c>
      <c r="AB6885" s="117">
        <f t="shared" si="110"/>
        <v>0</v>
      </c>
      <c r="AC6885" s="117" t="str">
        <f>IF(AB6885=1,COUNTIF($AB$3:AB6885,1),"")</f>
        <v/>
      </c>
      <c r="AD6885" s="117" t="str">
        <f>IFERROR(INDEX($AA$3:$AA$10000,MATCH(ROWS($AC$3:AC6885),$AC$3:$AC$10000,0)),"")</f>
        <v/>
      </c>
    </row>
    <row r="6886" spans="27:30">
      <c r="AA6886" s="117">
        <f>+'Ingredient List - Mother Tinctu'!D6887</f>
        <v>0</v>
      </c>
      <c r="AB6886" s="117">
        <f t="shared" si="110"/>
        <v>0</v>
      </c>
      <c r="AC6886" s="117" t="str">
        <f>IF(AB6886=1,COUNTIF($AB$3:AB6886,1),"")</f>
        <v/>
      </c>
      <c r="AD6886" s="117" t="str">
        <f>IFERROR(INDEX($AA$3:$AA$10000,MATCH(ROWS($AC$3:AC6886),$AC$3:$AC$10000,0)),"")</f>
        <v/>
      </c>
    </row>
    <row r="6887" spans="27:30">
      <c r="AA6887" s="117">
        <f>+'Ingredient List - Mother Tinctu'!D6888</f>
        <v>0</v>
      </c>
      <c r="AB6887" s="117">
        <f t="shared" si="110"/>
        <v>0</v>
      </c>
      <c r="AC6887" s="117" t="str">
        <f>IF(AB6887=1,COUNTIF($AB$3:AB6887,1),"")</f>
        <v/>
      </c>
      <c r="AD6887" s="117" t="str">
        <f>IFERROR(INDEX($AA$3:$AA$10000,MATCH(ROWS($AC$3:AC6887),$AC$3:$AC$10000,0)),"")</f>
        <v/>
      </c>
    </row>
    <row r="6888" spans="27:30">
      <c r="AA6888" s="117">
        <f>+'Ingredient List - Mother Tinctu'!D6889</f>
        <v>0</v>
      </c>
      <c r="AB6888" s="117">
        <f t="shared" si="110"/>
        <v>0</v>
      </c>
      <c r="AC6888" s="117" t="str">
        <f>IF(AB6888=1,COUNTIF($AB$3:AB6888,1),"")</f>
        <v/>
      </c>
      <c r="AD6888" s="117" t="str">
        <f>IFERROR(INDEX($AA$3:$AA$10000,MATCH(ROWS($AC$3:AC6888),$AC$3:$AC$10000,0)),"")</f>
        <v/>
      </c>
    </row>
    <row r="6889" spans="27:30">
      <c r="AA6889" s="117">
        <f>+'Ingredient List - Mother Tinctu'!D6890</f>
        <v>0</v>
      </c>
      <c r="AB6889" s="117">
        <f t="shared" si="110"/>
        <v>0</v>
      </c>
      <c r="AC6889" s="117" t="str">
        <f>IF(AB6889=1,COUNTIF($AB$3:AB6889,1),"")</f>
        <v/>
      </c>
      <c r="AD6889" s="117" t="str">
        <f>IFERROR(INDEX($AA$3:$AA$10000,MATCH(ROWS($AC$3:AC6889),$AC$3:$AC$10000,0)),"")</f>
        <v/>
      </c>
    </row>
    <row r="6890" spans="27:30">
      <c r="AA6890" s="117">
        <f>+'Ingredient List - Mother Tinctu'!D6891</f>
        <v>0</v>
      </c>
      <c r="AB6890" s="117">
        <f t="shared" si="110"/>
        <v>0</v>
      </c>
      <c r="AC6890" s="117" t="str">
        <f>IF(AB6890=1,COUNTIF($AB$3:AB6890,1),"")</f>
        <v/>
      </c>
      <c r="AD6890" s="117" t="str">
        <f>IFERROR(INDEX($AA$3:$AA$10000,MATCH(ROWS($AC$3:AC6890),$AC$3:$AC$10000,0)),"")</f>
        <v/>
      </c>
    </row>
    <row r="6891" spans="27:30">
      <c r="AA6891" s="117">
        <f>+'Ingredient List - Mother Tinctu'!D6892</f>
        <v>0</v>
      </c>
      <c r="AB6891" s="117">
        <f t="shared" si="110"/>
        <v>0</v>
      </c>
      <c r="AC6891" s="117" t="str">
        <f>IF(AB6891=1,COUNTIF($AB$3:AB6891,1),"")</f>
        <v/>
      </c>
      <c r="AD6891" s="117" t="str">
        <f>IFERROR(INDEX($AA$3:$AA$10000,MATCH(ROWS($AC$3:AC6891),$AC$3:$AC$10000,0)),"")</f>
        <v/>
      </c>
    </row>
    <row r="6892" spans="27:30">
      <c r="AA6892" s="117">
        <f>+'Ingredient List - Mother Tinctu'!D6893</f>
        <v>0</v>
      </c>
      <c r="AB6892" s="117">
        <f t="shared" si="110"/>
        <v>0</v>
      </c>
      <c r="AC6892" s="117" t="str">
        <f>IF(AB6892=1,COUNTIF($AB$3:AB6892,1),"")</f>
        <v/>
      </c>
      <c r="AD6892" s="117" t="str">
        <f>IFERROR(INDEX($AA$3:$AA$10000,MATCH(ROWS($AC$3:AC6892),$AC$3:$AC$10000,0)),"")</f>
        <v/>
      </c>
    </row>
    <row r="6893" spans="27:30">
      <c r="AA6893" s="117">
        <f>+'Ingredient List - Mother Tinctu'!D6894</f>
        <v>0</v>
      </c>
      <c r="AB6893" s="117">
        <f t="shared" si="110"/>
        <v>0</v>
      </c>
      <c r="AC6893" s="117" t="str">
        <f>IF(AB6893=1,COUNTIF($AB$3:AB6893,1),"")</f>
        <v/>
      </c>
      <c r="AD6893" s="117" t="str">
        <f>IFERROR(INDEX($AA$3:$AA$10000,MATCH(ROWS($AC$3:AC6893),$AC$3:$AC$10000,0)),"")</f>
        <v/>
      </c>
    </row>
    <row r="6894" spans="27:30">
      <c r="AA6894" s="117">
        <f>+'Ingredient List - Mother Tinctu'!D6895</f>
        <v>0</v>
      </c>
      <c r="AB6894" s="117">
        <f t="shared" si="110"/>
        <v>0</v>
      </c>
      <c r="AC6894" s="117" t="str">
        <f>IF(AB6894=1,COUNTIF($AB$3:AB6894,1),"")</f>
        <v/>
      </c>
      <c r="AD6894" s="117" t="str">
        <f>IFERROR(INDEX($AA$3:$AA$10000,MATCH(ROWS($AC$3:AC6894),$AC$3:$AC$10000,0)),"")</f>
        <v/>
      </c>
    </row>
    <row r="6895" spans="27:30">
      <c r="AA6895" s="117">
        <f>+'Ingredient List - Mother Tinctu'!D6896</f>
        <v>0</v>
      </c>
      <c r="AB6895" s="117">
        <f t="shared" si="110"/>
        <v>0</v>
      </c>
      <c r="AC6895" s="117" t="str">
        <f>IF(AB6895=1,COUNTIF($AB$3:AB6895,1),"")</f>
        <v/>
      </c>
      <c r="AD6895" s="117" t="str">
        <f>IFERROR(INDEX($AA$3:$AA$10000,MATCH(ROWS($AC$3:AC6895),$AC$3:$AC$10000,0)),"")</f>
        <v/>
      </c>
    </row>
    <row r="6896" spans="27:30">
      <c r="AA6896" s="117">
        <f>+'Ingredient List - Mother Tinctu'!D6897</f>
        <v>0</v>
      </c>
      <c r="AB6896" s="117">
        <f t="shared" si="110"/>
        <v>0</v>
      </c>
      <c r="AC6896" s="117" t="str">
        <f>IF(AB6896=1,COUNTIF($AB$3:AB6896,1),"")</f>
        <v/>
      </c>
      <c r="AD6896" s="117" t="str">
        <f>IFERROR(INDEX($AA$3:$AA$10000,MATCH(ROWS($AC$3:AC6896),$AC$3:$AC$10000,0)),"")</f>
        <v/>
      </c>
    </row>
    <row r="6897" spans="27:30">
      <c r="AA6897" s="117">
        <f>+'Ingredient List - Mother Tinctu'!D6898</f>
        <v>0</v>
      </c>
      <c r="AB6897" s="117">
        <f t="shared" si="110"/>
        <v>0</v>
      </c>
      <c r="AC6897" s="117" t="str">
        <f>IF(AB6897=1,COUNTIF($AB$3:AB6897,1),"")</f>
        <v/>
      </c>
      <c r="AD6897" s="117" t="str">
        <f>IFERROR(INDEX($AA$3:$AA$10000,MATCH(ROWS($AC$3:AC6897),$AC$3:$AC$10000,0)),"")</f>
        <v/>
      </c>
    </row>
    <row r="6898" spans="27:30">
      <c r="AA6898" s="117">
        <f>+'Ingredient List - Mother Tinctu'!D6899</f>
        <v>0</v>
      </c>
      <c r="AB6898" s="117">
        <f t="shared" si="110"/>
        <v>0</v>
      </c>
      <c r="AC6898" s="117" t="str">
        <f>IF(AB6898=1,COUNTIF($AB$3:AB6898,1),"")</f>
        <v/>
      </c>
      <c r="AD6898" s="117" t="str">
        <f>IFERROR(INDEX($AA$3:$AA$10000,MATCH(ROWS($AC$3:AC6898),$AC$3:$AC$10000,0)),"")</f>
        <v/>
      </c>
    </row>
    <row r="6899" spans="27:30">
      <c r="AA6899" s="117">
        <f>+'Ingredient List - Mother Tinctu'!D6900</f>
        <v>0</v>
      </c>
      <c r="AB6899" s="117">
        <f t="shared" si="110"/>
        <v>0</v>
      </c>
      <c r="AC6899" s="117" t="str">
        <f>IF(AB6899=1,COUNTIF($AB$3:AB6899,1),"")</f>
        <v/>
      </c>
      <c r="AD6899" s="117" t="str">
        <f>IFERROR(INDEX($AA$3:$AA$10000,MATCH(ROWS($AC$3:AC6899),$AC$3:$AC$10000,0)),"")</f>
        <v/>
      </c>
    </row>
    <row r="6900" spans="27:30">
      <c r="AA6900" s="117">
        <f>+'Ingredient List - Mother Tinctu'!D6901</f>
        <v>0</v>
      </c>
      <c r="AB6900" s="117">
        <f t="shared" si="110"/>
        <v>0</v>
      </c>
      <c r="AC6900" s="117" t="str">
        <f>IF(AB6900=1,COUNTIF($AB$3:AB6900,1),"")</f>
        <v/>
      </c>
      <c r="AD6900" s="117" t="str">
        <f>IFERROR(INDEX($AA$3:$AA$10000,MATCH(ROWS($AC$3:AC6900),$AC$3:$AC$10000,0)),"")</f>
        <v/>
      </c>
    </row>
    <row r="6901" spans="27:30">
      <c r="AA6901" s="117">
        <f>+'Ingredient List - Mother Tinctu'!D6902</f>
        <v>0</v>
      </c>
      <c r="AB6901" s="117">
        <f t="shared" si="110"/>
        <v>0</v>
      </c>
      <c r="AC6901" s="117" t="str">
        <f>IF(AB6901=1,COUNTIF($AB$3:AB6901,1),"")</f>
        <v/>
      </c>
      <c r="AD6901" s="117" t="str">
        <f>IFERROR(INDEX($AA$3:$AA$10000,MATCH(ROWS($AC$3:AC6901),$AC$3:$AC$10000,0)),"")</f>
        <v/>
      </c>
    </row>
    <row r="6902" spans="27:30">
      <c r="AA6902" s="117">
        <f>+'Ingredient List - Mother Tinctu'!D6903</f>
        <v>0</v>
      </c>
      <c r="AB6902" s="117">
        <f t="shared" si="110"/>
        <v>0</v>
      </c>
      <c r="AC6902" s="117" t="str">
        <f>IF(AB6902=1,COUNTIF($AB$3:AB6902,1),"")</f>
        <v/>
      </c>
      <c r="AD6902" s="117" t="str">
        <f>IFERROR(INDEX($AA$3:$AA$10000,MATCH(ROWS($AC$3:AC6902),$AC$3:$AC$10000,0)),"")</f>
        <v/>
      </c>
    </row>
    <row r="6903" spans="27:30">
      <c r="AA6903" s="117">
        <f>+'Ingredient List - Mother Tinctu'!D6904</f>
        <v>0</v>
      </c>
      <c r="AB6903" s="117">
        <f t="shared" si="110"/>
        <v>0</v>
      </c>
      <c r="AC6903" s="117" t="str">
        <f>IF(AB6903=1,COUNTIF($AB$3:AB6903,1),"")</f>
        <v/>
      </c>
      <c r="AD6903" s="117" t="str">
        <f>IFERROR(INDEX($AA$3:$AA$10000,MATCH(ROWS($AC$3:AC6903),$AC$3:$AC$10000,0)),"")</f>
        <v/>
      </c>
    </row>
    <row r="6904" spans="27:30">
      <c r="AA6904" s="117">
        <f>+'Ingredient List - Mother Tinctu'!D6905</f>
        <v>0</v>
      </c>
      <c r="AB6904" s="117">
        <f t="shared" si="110"/>
        <v>0</v>
      </c>
      <c r="AC6904" s="117" t="str">
        <f>IF(AB6904=1,COUNTIF($AB$3:AB6904,1),"")</f>
        <v/>
      </c>
      <c r="AD6904" s="117" t="str">
        <f>IFERROR(INDEX($AA$3:$AA$10000,MATCH(ROWS($AC$3:AC6904),$AC$3:$AC$10000,0)),"")</f>
        <v/>
      </c>
    </row>
    <row r="6905" spans="27:30">
      <c r="AA6905" s="117">
        <f>+'Ingredient List - Mother Tinctu'!D6906</f>
        <v>0</v>
      </c>
      <c r="AB6905" s="117">
        <f t="shared" si="110"/>
        <v>0</v>
      </c>
      <c r="AC6905" s="117" t="str">
        <f>IF(AB6905=1,COUNTIF($AB$3:AB6905,1),"")</f>
        <v/>
      </c>
      <c r="AD6905" s="117" t="str">
        <f>IFERROR(INDEX($AA$3:$AA$10000,MATCH(ROWS($AC$3:AC6905),$AC$3:$AC$10000,0)),"")</f>
        <v/>
      </c>
    </row>
    <row r="6906" spans="27:30">
      <c r="AA6906" s="117">
        <f>+'Ingredient List - Mother Tinctu'!D6907</f>
        <v>0</v>
      </c>
      <c r="AB6906" s="117">
        <f t="shared" si="110"/>
        <v>0</v>
      </c>
      <c r="AC6906" s="117" t="str">
        <f>IF(AB6906=1,COUNTIF($AB$3:AB6906,1),"")</f>
        <v/>
      </c>
      <c r="AD6906" s="117" t="str">
        <f>IFERROR(INDEX($AA$3:$AA$10000,MATCH(ROWS($AC$3:AC6906),$AC$3:$AC$10000,0)),"")</f>
        <v/>
      </c>
    </row>
    <row r="6907" spans="27:30">
      <c r="AA6907" s="117">
        <f>+'Ingredient List - Mother Tinctu'!D6908</f>
        <v>0</v>
      </c>
      <c r="AB6907" s="117">
        <f t="shared" si="110"/>
        <v>0</v>
      </c>
      <c r="AC6907" s="117" t="str">
        <f>IF(AB6907=1,COUNTIF($AB$3:AB6907,1),"")</f>
        <v/>
      </c>
      <c r="AD6907" s="117" t="str">
        <f>IFERROR(INDEX($AA$3:$AA$10000,MATCH(ROWS($AC$3:AC6907),$AC$3:$AC$10000,0)),"")</f>
        <v/>
      </c>
    </row>
    <row r="6908" spans="27:30">
      <c r="AA6908" s="117">
        <f>+'Ingredient List - Mother Tinctu'!D6909</f>
        <v>0</v>
      </c>
      <c r="AB6908" s="117">
        <f t="shared" si="110"/>
        <v>0</v>
      </c>
      <c r="AC6908" s="117" t="str">
        <f>IF(AB6908=1,COUNTIF($AB$3:AB6908,1),"")</f>
        <v/>
      </c>
      <c r="AD6908" s="117" t="str">
        <f>IFERROR(INDEX($AA$3:$AA$10000,MATCH(ROWS($AC$3:AC6908),$AC$3:$AC$10000,0)),"")</f>
        <v/>
      </c>
    </row>
    <row r="6909" spans="27:30">
      <c r="AA6909" s="117">
        <f>+'Ingredient List - Mother Tinctu'!D6910</f>
        <v>0</v>
      </c>
      <c r="AB6909" s="117">
        <f t="shared" si="110"/>
        <v>0</v>
      </c>
      <c r="AC6909" s="117" t="str">
        <f>IF(AB6909=1,COUNTIF($AB$3:AB6909,1),"")</f>
        <v/>
      </c>
      <c r="AD6909" s="117" t="str">
        <f>IFERROR(INDEX($AA$3:$AA$10000,MATCH(ROWS($AC$3:AC6909),$AC$3:$AC$10000,0)),"")</f>
        <v/>
      </c>
    </row>
    <row r="6910" spans="27:30">
      <c r="AA6910" s="117">
        <f>+'Ingredient List - Mother Tinctu'!D6911</f>
        <v>0</v>
      </c>
      <c r="AB6910" s="117">
        <f t="shared" si="110"/>
        <v>0</v>
      </c>
      <c r="AC6910" s="117" t="str">
        <f>IF(AB6910=1,COUNTIF($AB$3:AB6910,1),"")</f>
        <v/>
      </c>
      <c r="AD6910" s="117" t="str">
        <f>IFERROR(INDEX($AA$3:$AA$10000,MATCH(ROWS($AC$3:AC6910),$AC$3:$AC$10000,0)),"")</f>
        <v/>
      </c>
    </row>
    <row r="6911" spans="27:30">
      <c r="AA6911" s="117">
        <f>+'Ingredient List - Mother Tinctu'!D6912</f>
        <v>0</v>
      </c>
      <c r="AB6911" s="117">
        <f t="shared" si="110"/>
        <v>0</v>
      </c>
      <c r="AC6911" s="117" t="str">
        <f>IF(AB6911=1,COUNTIF($AB$3:AB6911,1),"")</f>
        <v/>
      </c>
      <c r="AD6911" s="117" t="str">
        <f>IFERROR(INDEX($AA$3:$AA$10000,MATCH(ROWS($AC$3:AC6911),$AC$3:$AC$10000,0)),"")</f>
        <v/>
      </c>
    </row>
    <row r="6912" spans="27:30">
      <c r="AA6912" s="117">
        <f>+'Ingredient List - Mother Tinctu'!D6913</f>
        <v>0</v>
      </c>
      <c r="AB6912" s="117">
        <f t="shared" si="110"/>
        <v>0</v>
      </c>
      <c r="AC6912" s="117" t="str">
        <f>IF(AB6912=1,COUNTIF($AB$3:AB6912,1),"")</f>
        <v/>
      </c>
      <c r="AD6912" s="117" t="str">
        <f>IFERROR(INDEX($AA$3:$AA$10000,MATCH(ROWS($AC$3:AC6912),$AC$3:$AC$10000,0)),"")</f>
        <v/>
      </c>
    </row>
    <row r="6913" spans="27:30">
      <c r="AA6913" s="117">
        <f>+'Ingredient List - Mother Tinctu'!D6914</f>
        <v>0</v>
      </c>
      <c r="AB6913" s="117">
        <f t="shared" si="110"/>
        <v>0</v>
      </c>
      <c r="AC6913" s="117" t="str">
        <f>IF(AB6913=1,COUNTIF($AB$3:AB6913,1),"")</f>
        <v/>
      </c>
      <c r="AD6913" s="117" t="str">
        <f>IFERROR(INDEX($AA$3:$AA$10000,MATCH(ROWS($AC$3:AC6913),$AC$3:$AC$10000,0)),"")</f>
        <v/>
      </c>
    </row>
    <row r="6914" spans="27:30">
      <c r="AA6914" s="117">
        <f>+'Ingredient List - Mother Tinctu'!D6915</f>
        <v>0</v>
      </c>
      <c r="AB6914" s="117">
        <f t="shared" si="110"/>
        <v>0</v>
      </c>
      <c r="AC6914" s="117" t="str">
        <f>IF(AB6914=1,COUNTIF($AB$3:AB6914,1),"")</f>
        <v/>
      </c>
      <c r="AD6914" s="117" t="str">
        <f>IFERROR(INDEX($AA$3:$AA$10000,MATCH(ROWS($AC$3:AC6914),$AC$3:$AC$10000,0)),"")</f>
        <v/>
      </c>
    </row>
    <row r="6915" spans="27:30">
      <c r="AA6915" s="117">
        <f>+'Ingredient List - Mother Tinctu'!D6916</f>
        <v>0</v>
      </c>
      <c r="AB6915" s="117">
        <f t="shared" si="110"/>
        <v>0</v>
      </c>
      <c r="AC6915" s="117" t="str">
        <f>IF(AB6915=1,COUNTIF($AB$3:AB6915,1),"")</f>
        <v/>
      </c>
      <c r="AD6915" s="117" t="str">
        <f>IFERROR(INDEX($AA$3:$AA$10000,MATCH(ROWS($AC$3:AC6915),$AC$3:$AC$10000,0)),"")</f>
        <v/>
      </c>
    </row>
    <row r="6916" spans="27:30">
      <c r="AA6916" s="117">
        <f>+'Ingredient List - Mother Tinctu'!D6917</f>
        <v>0</v>
      </c>
      <c r="AB6916" s="117">
        <f t="shared" ref="AB6916:AB6979" si="111">--ISNUMBER(IFERROR(SEARCH($D$3,AA6916,1),""))</f>
        <v>0</v>
      </c>
      <c r="AC6916" s="117" t="str">
        <f>IF(AB6916=1,COUNTIF($AB$3:AB6916,1),"")</f>
        <v/>
      </c>
      <c r="AD6916" s="117" t="str">
        <f>IFERROR(INDEX($AA$3:$AA$10000,MATCH(ROWS($AC$3:AC6916),$AC$3:$AC$10000,0)),"")</f>
        <v/>
      </c>
    </row>
    <row r="6917" spans="27:30">
      <c r="AA6917" s="117">
        <f>+'Ingredient List - Mother Tinctu'!D6918</f>
        <v>0</v>
      </c>
      <c r="AB6917" s="117">
        <f t="shared" si="111"/>
        <v>0</v>
      </c>
      <c r="AC6917" s="117" t="str">
        <f>IF(AB6917=1,COUNTIF($AB$3:AB6917,1),"")</f>
        <v/>
      </c>
      <c r="AD6917" s="117" t="str">
        <f>IFERROR(INDEX($AA$3:$AA$10000,MATCH(ROWS($AC$3:AC6917),$AC$3:$AC$10000,0)),"")</f>
        <v/>
      </c>
    </row>
    <row r="6918" spans="27:30">
      <c r="AA6918" s="117">
        <f>+'Ingredient List - Mother Tinctu'!D6919</f>
        <v>0</v>
      </c>
      <c r="AB6918" s="117">
        <f t="shared" si="111"/>
        <v>0</v>
      </c>
      <c r="AC6918" s="117" t="str">
        <f>IF(AB6918=1,COUNTIF($AB$3:AB6918,1),"")</f>
        <v/>
      </c>
      <c r="AD6918" s="117" t="str">
        <f>IFERROR(INDEX($AA$3:$AA$10000,MATCH(ROWS($AC$3:AC6918),$AC$3:$AC$10000,0)),"")</f>
        <v/>
      </c>
    </row>
    <row r="6919" spans="27:30">
      <c r="AA6919" s="117">
        <f>+'Ingredient List - Mother Tinctu'!D6920</f>
        <v>0</v>
      </c>
      <c r="AB6919" s="117">
        <f t="shared" si="111"/>
        <v>0</v>
      </c>
      <c r="AC6919" s="117" t="str">
        <f>IF(AB6919=1,COUNTIF($AB$3:AB6919,1),"")</f>
        <v/>
      </c>
      <c r="AD6919" s="117" t="str">
        <f>IFERROR(INDEX($AA$3:$AA$10000,MATCH(ROWS($AC$3:AC6919),$AC$3:$AC$10000,0)),"")</f>
        <v/>
      </c>
    </row>
    <row r="6920" spans="27:30">
      <c r="AA6920" s="117">
        <f>+'Ingredient List - Mother Tinctu'!D6921</f>
        <v>0</v>
      </c>
      <c r="AB6920" s="117">
        <f t="shared" si="111"/>
        <v>0</v>
      </c>
      <c r="AC6920" s="117" t="str">
        <f>IF(AB6920=1,COUNTIF($AB$3:AB6920,1),"")</f>
        <v/>
      </c>
      <c r="AD6920" s="117" t="str">
        <f>IFERROR(INDEX($AA$3:$AA$10000,MATCH(ROWS($AC$3:AC6920),$AC$3:$AC$10000,0)),"")</f>
        <v/>
      </c>
    </row>
    <row r="6921" spans="27:30">
      <c r="AA6921" s="117">
        <f>+'Ingredient List - Mother Tinctu'!D6922</f>
        <v>0</v>
      </c>
      <c r="AB6921" s="117">
        <f t="shared" si="111"/>
        <v>0</v>
      </c>
      <c r="AC6921" s="117" t="str">
        <f>IF(AB6921=1,COUNTIF($AB$3:AB6921,1),"")</f>
        <v/>
      </c>
      <c r="AD6921" s="117" t="str">
        <f>IFERROR(INDEX($AA$3:$AA$10000,MATCH(ROWS($AC$3:AC6921),$AC$3:$AC$10000,0)),"")</f>
        <v/>
      </c>
    </row>
    <row r="6922" spans="27:30">
      <c r="AA6922" s="117">
        <f>+'Ingredient List - Mother Tinctu'!D6923</f>
        <v>0</v>
      </c>
      <c r="AB6922" s="117">
        <f t="shared" si="111"/>
        <v>0</v>
      </c>
      <c r="AC6922" s="117" t="str">
        <f>IF(AB6922=1,COUNTIF($AB$3:AB6922,1),"")</f>
        <v/>
      </c>
      <c r="AD6922" s="117" t="str">
        <f>IFERROR(INDEX($AA$3:$AA$10000,MATCH(ROWS($AC$3:AC6922),$AC$3:$AC$10000,0)),"")</f>
        <v/>
      </c>
    </row>
    <row r="6923" spans="27:30">
      <c r="AA6923" s="117">
        <f>+'Ingredient List - Mother Tinctu'!D6924</f>
        <v>0</v>
      </c>
      <c r="AB6923" s="117">
        <f t="shared" si="111"/>
        <v>0</v>
      </c>
      <c r="AC6923" s="117" t="str">
        <f>IF(AB6923=1,COUNTIF($AB$3:AB6923,1),"")</f>
        <v/>
      </c>
      <c r="AD6923" s="117" t="str">
        <f>IFERROR(INDEX($AA$3:$AA$10000,MATCH(ROWS($AC$3:AC6923),$AC$3:$AC$10000,0)),"")</f>
        <v/>
      </c>
    </row>
    <row r="6924" spans="27:30">
      <c r="AA6924" s="117">
        <f>+'Ingredient List - Mother Tinctu'!D6925</f>
        <v>0</v>
      </c>
      <c r="AB6924" s="117">
        <f t="shared" si="111"/>
        <v>0</v>
      </c>
      <c r="AC6924" s="117" t="str">
        <f>IF(AB6924=1,COUNTIF($AB$3:AB6924,1),"")</f>
        <v/>
      </c>
      <c r="AD6924" s="117" t="str">
        <f>IFERROR(INDEX($AA$3:$AA$10000,MATCH(ROWS($AC$3:AC6924),$AC$3:$AC$10000,0)),"")</f>
        <v/>
      </c>
    </row>
    <row r="6925" spans="27:30">
      <c r="AA6925" s="117">
        <f>+'Ingredient List - Mother Tinctu'!D6926</f>
        <v>0</v>
      </c>
      <c r="AB6925" s="117">
        <f t="shared" si="111"/>
        <v>0</v>
      </c>
      <c r="AC6925" s="117" t="str">
        <f>IF(AB6925=1,COUNTIF($AB$3:AB6925,1),"")</f>
        <v/>
      </c>
      <c r="AD6925" s="117" t="str">
        <f>IFERROR(INDEX($AA$3:$AA$10000,MATCH(ROWS($AC$3:AC6925),$AC$3:$AC$10000,0)),"")</f>
        <v/>
      </c>
    </row>
    <row r="6926" spans="27:30">
      <c r="AA6926" s="117">
        <f>+'Ingredient List - Mother Tinctu'!D6927</f>
        <v>0</v>
      </c>
      <c r="AB6926" s="117">
        <f t="shared" si="111"/>
        <v>0</v>
      </c>
      <c r="AC6926" s="117" t="str">
        <f>IF(AB6926=1,COUNTIF($AB$3:AB6926,1),"")</f>
        <v/>
      </c>
      <c r="AD6926" s="117" t="str">
        <f>IFERROR(INDEX($AA$3:$AA$10000,MATCH(ROWS($AC$3:AC6926),$AC$3:$AC$10000,0)),"")</f>
        <v/>
      </c>
    </row>
    <row r="6927" spans="27:30">
      <c r="AA6927" s="117">
        <f>+'Ingredient List - Mother Tinctu'!D6928</f>
        <v>0</v>
      </c>
      <c r="AB6927" s="117">
        <f t="shared" si="111"/>
        <v>0</v>
      </c>
      <c r="AC6927" s="117" t="str">
        <f>IF(AB6927=1,COUNTIF($AB$3:AB6927,1),"")</f>
        <v/>
      </c>
      <c r="AD6927" s="117" t="str">
        <f>IFERROR(INDEX($AA$3:$AA$10000,MATCH(ROWS($AC$3:AC6927),$AC$3:$AC$10000,0)),"")</f>
        <v/>
      </c>
    </row>
    <row r="6928" spans="27:30">
      <c r="AA6928" s="117">
        <f>+'Ingredient List - Mother Tinctu'!D6929</f>
        <v>0</v>
      </c>
      <c r="AB6928" s="117">
        <f t="shared" si="111"/>
        <v>0</v>
      </c>
      <c r="AC6928" s="117" t="str">
        <f>IF(AB6928=1,COUNTIF($AB$3:AB6928,1),"")</f>
        <v/>
      </c>
      <c r="AD6928" s="117" t="str">
        <f>IFERROR(INDEX($AA$3:$AA$10000,MATCH(ROWS($AC$3:AC6928),$AC$3:$AC$10000,0)),"")</f>
        <v/>
      </c>
    </row>
    <row r="6929" spans="27:30">
      <c r="AA6929" s="117">
        <f>+'Ingredient List - Mother Tinctu'!D6930</f>
        <v>0</v>
      </c>
      <c r="AB6929" s="117">
        <f t="shared" si="111"/>
        <v>0</v>
      </c>
      <c r="AC6929" s="117" t="str">
        <f>IF(AB6929=1,COUNTIF($AB$3:AB6929,1),"")</f>
        <v/>
      </c>
      <c r="AD6929" s="117" t="str">
        <f>IFERROR(INDEX($AA$3:$AA$10000,MATCH(ROWS($AC$3:AC6929),$AC$3:$AC$10000,0)),"")</f>
        <v/>
      </c>
    </row>
    <row r="6930" spans="27:30">
      <c r="AA6930" s="117">
        <f>+'Ingredient List - Mother Tinctu'!D6931</f>
        <v>0</v>
      </c>
      <c r="AB6930" s="117">
        <f t="shared" si="111"/>
        <v>0</v>
      </c>
      <c r="AC6930" s="117" t="str">
        <f>IF(AB6930=1,COUNTIF($AB$3:AB6930,1),"")</f>
        <v/>
      </c>
      <c r="AD6930" s="117" t="str">
        <f>IFERROR(INDEX($AA$3:$AA$10000,MATCH(ROWS($AC$3:AC6930),$AC$3:$AC$10000,0)),"")</f>
        <v/>
      </c>
    </row>
    <row r="6931" spans="27:30">
      <c r="AA6931" s="117">
        <f>+'Ingredient List - Mother Tinctu'!D6932</f>
        <v>0</v>
      </c>
      <c r="AB6931" s="117">
        <f t="shared" si="111"/>
        <v>0</v>
      </c>
      <c r="AC6931" s="117" t="str">
        <f>IF(AB6931=1,COUNTIF($AB$3:AB6931,1),"")</f>
        <v/>
      </c>
      <c r="AD6931" s="117" t="str">
        <f>IFERROR(INDEX($AA$3:$AA$10000,MATCH(ROWS($AC$3:AC6931),$AC$3:$AC$10000,0)),"")</f>
        <v/>
      </c>
    </row>
    <row r="6932" spans="27:30">
      <c r="AA6932" s="117">
        <f>+'Ingredient List - Mother Tinctu'!D6933</f>
        <v>0</v>
      </c>
      <c r="AB6932" s="117">
        <f t="shared" si="111"/>
        <v>0</v>
      </c>
      <c r="AC6932" s="117" t="str">
        <f>IF(AB6932=1,COUNTIF($AB$3:AB6932,1),"")</f>
        <v/>
      </c>
      <c r="AD6932" s="117" t="str">
        <f>IFERROR(INDEX($AA$3:$AA$10000,MATCH(ROWS($AC$3:AC6932),$AC$3:$AC$10000,0)),"")</f>
        <v/>
      </c>
    </row>
    <row r="6933" spans="27:30">
      <c r="AA6933" s="117">
        <f>+'Ingredient List - Mother Tinctu'!D6934</f>
        <v>0</v>
      </c>
      <c r="AB6933" s="117">
        <f t="shared" si="111"/>
        <v>0</v>
      </c>
      <c r="AC6933" s="117" t="str">
        <f>IF(AB6933=1,COUNTIF($AB$3:AB6933,1),"")</f>
        <v/>
      </c>
      <c r="AD6933" s="117" t="str">
        <f>IFERROR(INDEX($AA$3:$AA$10000,MATCH(ROWS($AC$3:AC6933),$AC$3:$AC$10000,0)),"")</f>
        <v/>
      </c>
    </row>
    <row r="6934" spans="27:30">
      <c r="AA6934" s="117">
        <f>+'Ingredient List - Mother Tinctu'!D6935</f>
        <v>0</v>
      </c>
      <c r="AB6934" s="117">
        <f t="shared" si="111"/>
        <v>0</v>
      </c>
      <c r="AC6934" s="117" t="str">
        <f>IF(AB6934=1,COUNTIF($AB$3:AB6934,1),"")</f>
        <v/>
      </c>
      <c r="AD6934" s="117" t="str">
        <f>IFERROR(INDEX($AA$3:$AA$10000,MATCH(ROWS($AC$3:AC6934),$AC$3:$AC$10000,0)),"")</f>
        <v/>
      </c>
    </row>
    <row r="6935" spans="27:30">
      <c r="AA6935" s="117">
        <f>+'Ingredient List - Mother Tinctu'!D6936</f>
        <v>0</v>
      </c>
      <c r="AB6935" s="117">
        <f t="shared" si="111"/>
        <v>0</v>
      </c>
      <c r="AC6935" s="117" t="str">
        <f>IF(AB6935=1,COUNTIF($AB$3:AB6935,1),"")</f>
        <v/>
      </c>
      <c r="AD6935" s="117" t="str">
        <f>IFERROR(INDEX($AA$3:$AA$10000,MATCH(ROWS($AC$3:AC6935),$AC$3:$AC$10000,0)),"")</f>
        <v/>
      </c>
    </row>
    <row r="6936" spans="27:30">
      <c r="AA6936" s="117">
        <f>+'Ingredient List - Mother Tinctu'!D6937</f>
        <v>0</v>
      </c>
      <c r="AB6936" s="117">
        <f t="shared" si="111"/>
        <v>0</v>
      </c>
      <c r="AC6936" s="117" t="str">
        <f>IF(AB6936=1,COUNTIF($AB$3:AB6936,1),"")</f>
        <v/>
      </c>
      <c r="AD6936" s="117" t="str">
        <f>IFERROR(INDEX($AA$3:$AA$10000,MATCH(ROWS($AC$3:AC6936),$AC$3:$AC$10000,0)),"")</f>
        <v/>
      </c>
    </row>
    <row r="6937" spans="27:30">
      <c r="AA6937" s="117">
        <f>+'Ingredient List - Mother Tinctu'!D6938</f>
        <v>0</v>
      </c>
      <c r="AB6937" s="117">
        <f t="shared" si="111"/>
        <v>0</v>
      </c>
      <c r="AC6937" s="117" t="str">
        <f>IF(AB6937=1,COUNTIF($AB$3:AB6937,1),"")</f>
        <v/>
      </c>
      <c r="AD6937" s="117" t="str">
        <f>IFERROR(INDEX($AA$3:$AA$10000,MATCH(ROWS($AC$3:AC6937),$AC$3:$AC$10000,0)),"")</f>
        <v/>
      </c>
    </row>
    <row r="6938" spans="27:30">
      <c r="AA6938" s="117">
        <f>+'Ingredient List - Mother Tinctu'!D6939</f>
        <v>0</v>
      </c>
      <c r="AB6938" s="117">
        <f t="shared" si="111"/>
        <v>0</v>
      </c>
      <c r="AC6938" s="117" t="str">
        <f>IF(AB6938=1,COUNTIF($AB$3:AB6938,1),"")</f>
        <v/>
      </c>
      <c r="AD6938" s="117" t="str">
        <f>IFERROR(INDEX($AA$3:$AA$10000,MATCH(ROWS($AC$3:AC6938),$AC$3:$AC$10000,0)),"")</f>
        <v/>
      </c>
    </row>
    <row r="6939" spans="27:30">
      <c r="AA6939" s="117">
        <f>+'Ingredient List - Mother Tinctu'!D6940</f>
        <v>0</v>
      </c>
      <c r="AB6939" s="117">
        <f t="shared" si="111"/>
        <v>0</v>
      </c>
      <c r="AC6939" s="117" t="str">
        <f>IF(AB6939=1,COUNTIF($AB$3:AB6939,1),"")</f>
        <v/>
      </c>
      <c r="AD6939" s="117" t="str">
        <f>IFERROR(INDEX($AA$3:$AA$10000,MATCH(ROWS($AC$3:AC6939),$AC$3:$AC$10000,0)),"")</f>
        <v/>
      </c>
    </row>
    <row r="6940" spans="27:30">
      <c r="AA6940" s="117">
        <f>+'Ingredient List - Mother Tinctu'!D6941</f>
        <v>0</v>
      </c>
      <c r="AB6940" s="117">
        <f t="shared" si="111"/>
        <v>0</v>
      </c>
      <c r="AC6940" s="117" t="str">
        <f>IF(AB6940=1,COUNTIF($AB$3:AB6940,1),"")</f>
        <v/>
      </c>
      <c r="AD6940" s="117" t="str">
        <f>IFERROR(INDEX($AA$3:$AA$10000,MATCH(ROWS($AC$3:AC6940),$AC$3:$AC$10000,0)),"")</f>
        <v/>
      </c>
    </row>
    <row r="6941" spans="27:30">
      <c r="AA6941" s="117">
        <f>+'Ingredient List - Mother Tinctu'!D6942</f>
        <v>0</v>
      </c>
      <c r="AB6941" s="117">
        <f t="shared" si="111"/>
        <v>0</v>
      </c>
      <c r="AC6941" s="117" t="str">
        <f>IF(AB6941=1,COUNTIF($AB$3:AB6941,1),"")</f>
        <v/>
      </c>
      <c r="AD6941" s="117" t="str">
        <f>IFERROR(INDEX($AA$3:$AA$10000,MATCH(ROWS($AC$3:AC6941),$AC$3:$AC$10000,0)),"")</f>
        <v/>
      </c>
    </row>
    <row r="6942" spans="27:30">
      <c r="AA6942" s="117">
        <f>+'Ingredient List - Mother Tinctu'!D6943</f>
        <v>0</v>
      </c>
      <c r="AB6942" s="117">
        <f t="shared" si="111"/>
        <v>0</v>
      </c>
      <c r="AC6942" s="117" t="str">
        <f>IF(AB6942=1,COUNTIF($AB$3:AB6942,1),"")</f>
        <v/>
      </c>
      <c r="AD6942" s="117" t="str">
        <f>IFERROR(INDEX($AA$3:$AA$10000,MATCH(ROWS($AC$3:AC6942),$AC$3:$AC$10000,0)),"")</f>
        <v/>
      </c>
    </row>
    <row r="6943" spans="27:30">
      <c r="AA6943" s="117">
        <f>+'Ingredient List - Mother Tinctu'!D6944</f>
        <v>0</v>
      </c>
      <c r="AB6943" s="117">
        <f t="shared" si="111"/>
        <v>0</v>
      </c>
      <c r="AC6943" s="117" t="str">
        <f>IF(AB6943=1,COUNTIF($AB$3:AB6943,1),"")</f>
        <v/>
      </c>
      <c r="AD6943" s="117" t="str">
        <f>IFERROR(INDEX($AA$3:$AA$10000,MATCH(ROWS($AC$3:AC6943),$AC$3:$AC$10000,0)),"")</f>
        <v/>
      </c>
    </row>
    <row r="6944" spans="27:30">
      <c r="AA6944" s="117">
        <f>+'Ingredient List - Mother Tinctu'!D6945</f>
        <v>0</v>
      </c>
      <c r="AB6944" s="117">
        <f t="shared" si="111"/>
        <v>0</v>
      </c>
      <c r="AC6944" s="117" t="str">
        <f>IF(AB6944=1,COUNTIF($AB$3:AB6944,1),"")</f>
        <v/>
      </c>
      <c r="AD6944" s="117" t="str">
        <f>IFERROR(INDEX($AA$3:$AA$10000,MATCH(ROWS($AC$3:AC6944),$AC$3:$AC$10000,0)),"")</f>
        <v/>
      </c>
    </row>
    <row r="6945" spans="27:30">
      <c r="AA6945" s="117">
        <f>+'Ingredient List - Mother Tinctu'!D6946</f>
        <v>0</v>
      </c>
      <c r="AB6945" s="117">
        <f t="shared" si="111"/>
        <v>0</v>
      </c>
      <c r="AC6945" s="117" t="str">
        <f>IF(AB6945=1,COUNTIF($AB$3:AB6945,1),"")</f>
        <v/>
      </c>
      <c r="AD6945" s="117" t="str">
        <f>IFERROR(INDEX($AA$3:$AA$10000,MATCH(ROWS($AC$3:AC6945),$AC$3:$AC$10000,0)),"")</f>
        <v/>
      </c>
    </row>
    <row r="6946" spans="27:30">
      <c r="AA6946" s="117">
        <f>+'Ingredient List - Mother Tinctu'!D6947</f>
        <v>0</v>
      </c>
      <c r="AB6946" s="117">
        <f t="shared" si="111"/>
        <v>0</v>
      </c>
      <c r="AC6946" s="117" t="str">
        <f>IF(AB6946=1,COUNTIF($AB$3:AB6946,1),"")</f>
        <v/>
      </c>
      <c r="AD6946" s="117" t="str">
        <f>IFERROR(INDEX($AA$3:$AA$10000,MATCH(ROWS($AC$3:AC6946),$AC$3:$AC$10000,0)),"")</f>
        <v/>
      </c>
    </row>
    <row r="6947" spans="27:30">
      <c r="AA6947" s="117">
        <f>+'Ingredient List - Mother Tinctu'!D6948</f>
        <v>0</v>
      </c>
      <c r="AB6947" s="117">
        <f t="shared" si="111"/>
        <v>0</v>
      </c>
      <c r="AC6947" s="117" t="str">
        <f>IF(AB6947=1,COUNTIF($AB$3:AB6947,1),"")</f>
        <v/>
      </c>
      <c r="AD6947" s="117" t="str">
        <f>IFERROR(INDEX($AA$3:$AA$10000,MATCH(ROWS($AC$3:AC6947),$AC$3:$AC$10000,0)),"")</f>
        <v/>
      </c>
    </row>
    <row r="6948" spans="27:30">
      <c r="AA6948" s="117">
        <f>+'Ingredient List - Mother Tinctu'!D6949</f>
        <v>0</v>
      </c>
      <c r="AB6948" s="117">
        <f t="shared" si="111"/>
        <v>0</v>
      </c>
      <c r="AC6948" s="117" t="str">
        <f>IF(AB6948=1,COUNTIF($AB$3:AB6948,1),"")</f>
        <v/>
      </c>
      <c r="AD6948" s="117" t="str">
        <f>IFERROR(INDEX($AA$3:$AA$10000,MATCH(ROWS($AC$3:AC6948),$AC$3:$AC$10000,0)),"")</f>
        <v/>
      </c>
    </row>
    <row r="6949" spans="27:30">
      <c r="AA6949" s="117">
        <f>+'Ingredient List - Mother Tinctu'!D6950</f>
        <v>0</v>
      </c>
      <c r="AB6949" s="117">
        <f t="shared" si="111"/>
        <v>0</v>
      </c>
      <c r="AC6949" s="117" t="str">
        <f>IF(AB6949=1,COUNTIF($AB$3:AB6949,1),"")</f>
        <v/>
      </c>
      <c r="AD6949" s="117" t="str">
        <f>IFERROR(INDEX($AA$3:$AA$10000,MATCH(ROWS($AC$3:AC6949),$AC$3:$AC$10000,0)),"")</f>
        <v/>
      </c>
    </row>
    <row r="6950" spans="27:30">
      <c r="AA6950" s="117">
        <f>+'Ingredient List - Mother Tinctu'!D6951</f>
        <v>0</v>
      </c>
      <c r="AB6950" s="117">
        <f t="shared" si="111"/>
        <v>0</v>
      </c>
      <c r="AC6950" s="117" t="str">
        <f>IF(AB6950=1,COUNTIF($AB$3:AB6950,1),"")</f>
        <v/>
      </c>
      <c r="AD6950" s="117" t="str">
        <f>IFERROR(INDEX($AA$3:$AA$10000,MATCH(ROWS($AC$3:AC6950),$AC$3:$AC$10000,0)),"")</f>
        <v/>
      </c>
    </row>
    <row r="6951" spans="27:30">
      <c r="AA6951" s="117">
        <f>+'Ingredient List - Mother Tinctu'!D6952</f>
        <v>0</v>
      </c>
      <c r="AB6951" s="117">
        <f t="shared" si="111"/>
        <v>0</v>
      </c>
      <c r="AC6951" s="117" t="str">
        <f>IF(AB6951=1,COUNTIF($AB$3:AB6951,1),"")</f>
        <v/>
      </c>
      <c r="AD6951" s="117" t="str">
        <f>IFERROR(INDEX($AA$3:$AA$10000,MATCH(ROWS($AC$3:AC6951),$AC$3:$AC$10000,0)),"")</f>
        <v/>
      </c>
    </row>
    <row r="6952" spans="27:30">
      <c r="AA6952" s="117">
        <f>+'Ingredient List - Mother Tinctu'!D6953</f>
        <v>0</v>
      </c>
      <c r="AB6952" s="117">
        <f t="shared" si="111"/>
        <v>0</v>
      </c>
      <c r="AC6952" s="117" t="str">
        <f>IF(AB6952=1,COUNTIF($AB$3:AB6952,1),"")</f>
        <v/>
      </c>
      <c r="AD6952" s="117" t="str">
        <f>IFERROR(INDEX($AA$3:$AA$10000,MATCH(ROWS($AC$3:AC6952),$AC$3:$AC$10000,0)),"")</f>
        <v/>
      </c>
    </row>
    <row r="6953" spans="27:30">
      <c r="AA6953" s="117">
        <f>+'Ingredient List - Mother Tinctu'!D6954</f>
        <v>0</v>
      </c>
      <c r="AB6953" s="117">
        <f t="shared" si="111"/>
        <v>0</v>
      </c>
      <c r="AC6953" s="117" t="str">
        <f>IF(AB6953=1,COUNTIF($AB$3:AB6953,1),"")</f>
        <v/>
      </c>
      <c r="AD6953" s="117" t="str">
        <f>IFERROR(INDEX($AA$3:$AA$10000,MATCH(ROWS($AC$3:AC6953),$AC$3:$AC$10000,0)),"")</f>
        <v/>
      </c>
    </row>
    <row r="6954" spans="27:30">
      <c r="AA6954" s="117">
        <f>+'Ingredient List - Mother Tinctu'!D6955</f>
        <v>0</v>
      </c>
      <c r="AB6954" s="117">
        <f t="shared" si="111"/>
        <v>0</v>
      </c>
      <c r="AC6954" s="117" t="str">
        <f>IF(AB6954=1,COUNTIF($AB$3:AB6954,1),"")</f>
        <v/>
      </c>
      <c r="AD6954" s="117" t="str">
        <f>IFERROR(INDEX($AA$3:$AA$10000,MATCH(ROWS($AC$3:AC6954),$AC$3:$AC$10000,0)),"")</f>
        <v/>
      </c>
    </row>
    <row r="6955" spans="27:30">
      <c r="AA6955" s="117">
        <f>+'Ingredient List - Mother Tinctu'!D6956</f>
        <v>0</v>
      </c>
      <c r="AB6955" s="117">
        <f t="shared" si="111"/>
        <v>0</v>
      </c>
      <c r="AC6955" s="117" t="str">
        <f>IF(AB6955=1,COUNTIF($AB$3:AB6955,1),"")</f>
        <v/>
      </c>
      <c r="AD6955" s="117" t="str">
        <f>IFERROR(INDEX($AA$3:$AA$10000,MATCH(ROWS($AC$3:AC6955),$AC$3:$AC$10000,0)),"")</f>
        <v/>
      </c>
    </row>
    <row r="6956" spans="27:30">
      <c r="AA6956" s="117">
        <f>+'Ingredient List - Mother Tinctu'!D6957</f>
        <v>0</v>
      </c>
      <c r="AB6956" s="117">
        <f t="shared" si="111"/>
        <v>0</v>
      </c>
      <c r="AC6956" s="117" t="str">
        <f>IF(AB6956=1,COUNTIF($AB$3:AB6956,1),"")</f>
        <v/>
      </c>
      <c r="AD6956" s="117" t="str">
        <f>IFERROR(INDEX($AA$3:$AA$10000,MATCH(ROWS($AC$3:AC6956),$AC$3:$AC$10000,0)),"")</f>
        <v/>
      </c>
    </row>
    <row r="6957" spans="27:30">
      <c r="AA6957" s="117">
        <f>+'Ingredient List - Mother Tinctu'!D6958</f>
        <v>0</v>
      </c>
      <c r="AB6957" s="117">
        <f t="shared" si="111"/>
        <v>0</v>
      </c>
      <c r="AC6957" s="117" t="str">
        <f>IF(AB6957=1,COUNTIF($AB$3:AB6957,1),"")</f>
        <v/>
      </c>
      <c r="AD6957" s="117" t="str">
        <f>IFERROR(INDEX($AA$3:$AA$10000,MATCH(ROWS($AC$3:AC6957),$AC$3:$AC$10000,0)),"")</f>
        <v/>
      </c>
    </row>
    <row r="6958" spans="27:30">
      <c r="AA6958" s="117">
        <f>+'Ingredient List - Mother Tinctu'!D6959</f>
        <v>0</v>
      </c>
      <c r="AB6958" s="117">
        <f t="shared" si="111"/>
        <v>0</v>
      </c>
      <c r="AC6958" s="117" t="str">
        <f>IF(AB6958=1,COUNTIF($AB$3:AB6958,1),"")</f>
        <v/>
      </c>
      <c r="AD6958" s="117" t="str">
        <f>IFERROR(INDEX($AA$3:$AA$10000,MATCH(ROWS($AC$3:AC6958),$AC$3:$AC$10000,0)),"")</f>
        <v/>
      </c>
    </row>
    <row r="6959" spans="27:30">
      <c r="AA6959" s="117">
        <f>+'Ingredient List - Mother Tinctu'!D6960</f>
        <v>0</v>
      </c>
      <c r="AB6959" s="117">
        <f t="shared" si="111"/>
        <v>0</v>
      </c>
      <c r="AC6959" s="117" t="str">
        <f>IF(AB6959=1,COUNTIF($AB$3:AB6959,1),"")</f>
        <v/>
      </c>
      <c r="AD6959" s="117" t="str">
        <f>IFERROR(INDEX($AA$3:$AA$10000,MATCH(ROWS($AC$3:AC6959),$AC$3:$AC$10000,0)),"")</f>
        <v/>
      </c>
    </row>
    <row r="6960" spans="27:30">
      <c r="AA6960" s="117">
        <f>+'Ingredient List - Mother Tinctu'!D6961</f>
        <v>0</v>
      </c>
      <c r="AB6960" s="117">
        <f t="shared" si="111"/>
        <v>0</v>
      </c>
      <c r="AC6960" s="117" t="str">
        <f>IF(AB6960=1,COUNTIF($AB$3:AB6960,1),"")</f>
        <v/>
      </c>
      <c r="AD6960" s="117" t="str">
        <f>IFERROR(INDEX($AA$3:$AA$10000,MATCH(ROWS($AC$3:AC6960),$AC$3:$AC$10000,0)),"")</f>
        <v/>
      </c>
    </row>
    <row r="6961" spans="27:30">
      <c r="AA6961" s="117">
        <f>+'Ingredient List - Mother Tinctu'!D6962</f>
        <v>0</v>
      </c>
      <c r="AB6961" s="117">
        <f t="shared" si="111"/>
        <v>0</v>
      </c>
      <c r="AC6961" s="117" t="str">
        <f>IF(AB6961=1,COUNTIF($AB$3:AB6961,1),"")</f>
        <v/>
      </c>
      <c r="AD6961" s="117" t="str">
        <f>IFERROR(INDEX($AA$3:$AA$10000,MATCH(ROWS($AC$3:AC6961),$AC$3:$AC$10000,0)),"")</f>
        <v/>
      </c>
    </row>
    <row r="6962" spans="27:30">
      <c r="AA6962" s="117">
        <f>+'Ingredient List - Mother Tinctu'!D6963</f>
        <v>0</v>
      </c>
      <c r="AB6962" s="117">
        <f t="shared" si="111"/>
        <v>0</v>
      </c>
      <c r="AC6962" s="117" t="str">
        <f>IF(AB6962=1,COUNTIF($AB$3:AB6962,1),"")</f>
        <v/>
      </c>
      <c r="AD6962" s="117" t="str">
        <f>IFERROR(INDEX($AA$3:$AA$10000,MATCH(ROWS($AC$3:AC6962),$AC$3:$AC$10000,0)),"")</f>
        <v/>
      </c>
    </row>
    <row r="6963" spans="27:30">
      <c r="AA6963" s="117">
        <f>+'Ingredient List - Mother Tinctu'!D6964</f>
        <v>0</v>
      </c>
      <c r="AB6963" s="117">
        <f t="shared" si="111"/>
        <v>0</v>
      </c>
      <c r="AC6963" s="117" t="str">
        <f>IF(AB6963=1,COUNTIF($AB$3:AB6963,1),"")</f>
        <v/>
      </c>
      <c r="AD6963" s="117" t="str">
        <f>IFERROR(INDEX($AA$3:$AA$10000,MATCH(ROWS($AC$3:AC6963),$AC$3:$AC$10000,0)),"")</f>
        <v/>
      </c>
    </row>
    <row r="6964" spans="27:30">
      <c r="AA6964" s="117">
        <f>+'Ingredient List - Mother Tinctu'!D6965</f>
        <v>0</v>
      </c>
      <c r="AB6964" s="117">
        <f t="shared" si="111"/>
        <v>0</v>
      </c>
      <c r="AC6964" s="117" t="str">
        <f>IF(AB6964=1,COUNTIF($AB$3:AB6964,1),"")</f>
        <v/>
      </c>
      <c r="AD6964" s="117" t="str">
        <f>IFERROR(INDEX($AA$3:$AA$10000,MATCH(ROWS($AC$3:AC6964),$AC$3:$AC$10000,0)),"")</f>
        <v/>
      </c>
    </row>
    <row r="6965" spans="27:30">
      <c r="AA6965" s="117">
        <f>+'Ingredient List - Mother Tinctu'!D6966</f>
        <v>0</v>
      </c>
      <c r="AB6965" s="117">
        <f t="shared" si="111"/>
        <v>0</v>
      </c>
      <c r="AC6965" s="117" t="str">
        <f>IF(AB6965=1,COUNTIF($AB$3:AB6965,1),"")</f>
        <v/>
      </c>
      <c r="AD6965" s="117" t="str">
        <f>IFERROR(INDEX($AA$3:$AA$10000,MATCH(ROWS($AC$3:AC6965),$AC$3:$AC$10000,0)),"")</f>
        <v/>
      </c>
    </row>
    <row r="6966" spans="27:30">
      <c r="AA6966" s="117">
        <f>+'Ingredient List - Mother Tinctu'!D6967</f>
        <v>0</v>
      </c>
      <c r="AB6966" s="117">
        <f t="shared" si="111"/>
        <v>0</v>
      </c>
      <c r="AC6966" s="117" t="str">
        <f>IF(AB6966=1,COUNTIF($AB$3:AB6966,1),"")</f>
        <v/>
      </c>
      <c r="AD6966" s="117" t="str">
        <f>IFERROR(INDEX($AA$3:$AA$10000,MATCH(ROWS($AC$3:AC6966),$AC$3:$AC$10000,0)),"")</f>
        <v/>
      </c>
    </row>
    <row r="6967" spans="27:30">
      <c r="AA6967" s="117">
        <f>+'Ingredient List - Mother Tinctu'!D6968</f>
        <v>0</v>
      </c>
      <c r="AB6967" s="117">
        <f t="shared" si="111"/>
        <v>0</v>
      </c>
      <c r="AC6967" s="117" t="str">
        <f>IF(AB6967=1,COUNTIF($AB$3:AB6967,1),"")</f>
        <v/>
      </c>
      <c r="AD6967" s="117" t="str">
        <f>IFERROR(INDEX($AA$3:$AA$10000,MATCH(ROWS($AC$3:AC6967),$AC$3:$AC$10000,0)),"")</f>
        <v/>
      </c>
    </row>
    <row r="6968" spans="27:30">
      <c r="AA6968" s="117">
        <f>+'Ingredient List - Mother Tinctu'!D6969</f>
        <v>0</v>
      </c>
      <c r="AB6968" s="117">
        <f t="shared" si="111"/>
        <v>0</v>
      </c>
      <c r="AC6968" s="117" t="str">
        <f>IF(AB6968=1,COUNTIF($AB$3:AB6968,1),"")</f>
        <v/>
      </c>
      <c r="AD6968" s="117" t="str">
        <f>IFERROR(INDEX($AA$3:$AA$10000,MATCH(ROWS($AC$3:AC6968),$AC$3:$AC$10000,0)),"")</f>
        <v/>
      </c>
    </row>
    <row r="6969" spans="27:30">
      <c r="AA6969" s="117">
        <f>+'Ingredient List - Mother Tinctu'!D6970</f>
        <v>0</v>
      </c>
      <c r="AB6969" s="117">
        <f t="shared" si="111"/>
        <v>0</v>
      </c>
      <c r="AC6969" s="117" t="str">
        <f>IF(AB6969=1,COUNTIF($AB$3:AB6969,1),"")</f>
        <v/>
      </c>
      <c r="AD6969" s="117" t="str">
        <f>IFERROR(INDEX($AA$3:$AA$10000,MATCH(ROWS($AC$3:AC6969),$AC$3:$AC$10000,0)),"")</f>
        <v/>
      </c>
    </row>
    <row r="6970" spans="27:30">
      <c r="AA6970" s="117">
        <f>+'Ingredient List - Mother Tinctu'!D6971</f>
        <v>0</v>
      </c>
      <c r="AB6970" s="117">
        <f t="shared" si="111"/>
        <v>0</v>
      </c>
      <c r="AC6970" s="117" t="str">
        <f>IF(AB6970=1,COUNTIF($AB$3:AB6970,1),"")</f>
        <v/>
      </c>
      <c r="AD6970" s="117" t="str">
        <f>IFERROR(INDEX($AA$3:$AA$10000,MATCH(ROWS($AC$3:AC6970),$AC$3:$AC$10000,0)),"")</f>
        <v/>
      </c>
    </row>
    <row r="6971" spans="27:30">
      <c r="AA6971" s="117">
        <f>+'Ingredient List - Mother Tinctu'!D6972</f>
        <v>0</v>
      </c>
      <c r="AB6971" s="117">
        <f t="shared" si="111"/>
        <v>0</v>
      </c>
      <c r="AC6971" s="117" t="str">
        <f>IF(AB6971=1,COUNTIF($AB$3:AB6971,1),"")</f>
        <v/>
      </c>
      <c r="AD6971" s="117" t="str">
        <f>IFERROR(INDEX($AA$3:$AA$10000,MATCH(ROWS($AC$3:AC6971),$AC$3:$AC$10000,0)),"")</f>
        <v/>
      </c>
    </row>
    <row r="6972" spans="27:30">
      <c r="AA6972" s="117">
        <f>+'Ingredient List - Mother Tinctu'!D6973</f>
        <v>0</v>
      </c>
      <c r="AB6972" s="117">
        <f t="shared" si="111"/>
        <v>0</v>
      </c>
      <c r="AC6972" s="117" t="str">
        <f>IF(AB6972=1,COUNTIF($AB$3:AB6972,1),"")</f>
        <v/>
      </c>
      <c r="AD6972" s="117" t="str">
        <f>IFERROR(INDEX($AA$3:$AA$10000,MATCH(ROWS($AC$3:AC6972),$AC$3:$AC$10000,0)),"")</f>
        <v/>
      </c>
    </row>
    <row r="6973" spans="27:30">
      <c r="AA6973" s="117">
        <f>+'Ingredient List - Mother Tinctu'!D6974</f>
        <v>0</v>
      </c>
      <c r="AB6973" s="117">
        <f t="shared" si="111"/>
        <v>0</v>
      </c>
      <c r="AC6973" s="117" t="str">
        <f>IF(AB6973=1,COUNTIF($AB$3:AB6973,1),"")</f>
        <v/>
      </c>
      <c r="AD6973" s="117" t="str">
        <f>IFERROR(INDEX($AA$3:$AA$10000,MATCH(ROWS($AC$3:AC6973),$AC$3:$AC$10000,0)),"")</f>
        <v/>
      </c>
    </row>
    <row r="6974" spans="27:30">
      <c r="AA6974" s="117">
        <f>+'Ingredient List - Mother Tinctu'!D6975</f>
        <v>0</v>
      </c>
      <c r="AB6974" s="117">
        <f t="shared" si="111"/>
        <v>0</v>
      </c>
      <c r="AC6974" s="117" t="str">
        <f>IF(AB6974=1,COUNTIF($AB$3:AB6974,1),"")</f>
        <v/>
      </c>
      <c r="AD6974" s="117" t="str">
        <f>IFERROR(INDEX($AA$3:$AA$10000,MATCH(ROWS($AC$3:AC6974),$AC$3:$AC$10000,0)),"")</f>
        <v/>
      </c>
    </row>
    <row r="6975" spans="27:30">
      <c r="AA6975" s="117">
        <f>+'Ingredient List - Mother Tinctu'!D6976</f>
        <v>0</v>
      </c>
      <c r="AB6975" s="117">
        <f t="shared" si="111"/>
        <v>0</v>
      </c>
      <c r="AC6975" s="117" t="str">
        <f>IF(AB6975=1,COUNTIF($AB$3:AB6975,1),"")</f>
        <v/>
      </c>
      <c r="AD6975" s="117" t="str">
        <f>IFERROR(INDEX($AA$3:$AA$10000,MATCH(ROWS($AC$3:AC6975),$AC$3:$AC$10000,0)),"")</f>
        <v/>
      </c>
    </row>
    <row r="6976" spans="27:30">
      <c r="AA6976" s="117">
        <f>+'Ingredient List - Mother Tinctu'!D6977</f>
        <v>0</v>
      </c>
      <c r="AB6976" s="117">
        <f t="shared" si="111"/>
        <v>0</v>
      </c>
      <c r="AC6976" s="117" t="str">
        <f>IF(AB6976=1,COUNTIF($AB$3:AB6976,1),"")</f>
        <v/>
      </c>
      <c r="AD6976" s="117" t="str">
        <f>IFERROR(INDEX($AA$3:$AA$10000,MATCH(ROWS($AC$3:AC6976),$AC$3:$AC$10000,0)),"")</f>
        <v/>
      </c>
    </row>
    <row r="6977" spans="27:30">
      <c r="AA6977" s="117">
        <f>+'Ingredient List - Mother Tinctu'!D6978</f>
        <v>0</v>
      </c>
      <c r="AB6977" s="117">
        <f t="shared" si="111"/>
        <v>0</v>
      </c>
      <c r="AC6977" s="117" t="str">
        <f>IF(AB6977=1,COUNTIF($AB$3:AB6977,1),"")</f>
        <v/>
      </c>
      <c r="AD6977" s="117" t="str">
        <f>IFERROR(INDEX($AA$3:$AA$10000,MATCH(ROWS($AC$3:AC6977),$AC$3:$AC$10000,0)),"")</f>
        <v/>
      </c>
    </row>
    <row r="6978" spans="27:30">
      <c r="AA6978" s="117">
        <f>+'Ingredient List - Mother Tinctu'!D6979</f>
        <v>0</v>
      </c>
      <c r="AB6978" s="117">
        <f t="shared" si="111"/>
        <v>0</v>
      </c>
      <c r="AC6978" s="117" t="str">
        <f>IF(AB6978=1,COUNTIF($AB$3:AB6978,1),"")</f>
        <v/>
      </c>
      <c r="AD6978" s="117" t="str">
        <f>IFERROR(INDEX($AA$3:$AA$10000,MATCH(ROWS($AC$3:AC6978),$AC$3:$AC$10000,0)),"")</f>
        <v/>
      </c>
    </row>
    <row r="6979" spans="27:30">
      <c r="AA6979" s="117">
        <f>+'Ingredient List - Mother Tinctu'!D6980</f>
        <v>0</v>
      </c>
      <c r="AB6979" s="117">
        <f t="shared" si="111"/>
        <v>0</v>
      </c>
      <c r="AC6979" s="117" t="str">
        <f>IF(AB6979=1,COUNTIF($AB$3:AB6979,1),"")</f>
        <v/>
      </c>
      <c r="AD6979" s="117" t="str">
        <f>IFERROR(INDEX($AA$3:$AA$10000,MATCH(ROWS($AC$3:AC6979),$AC$3:$AC$10000,0)),"")</f>
        <v/>
      </c>
    </row>
    <row r="6980" spans="27:30">
      <c r="AA6980" s="117">
        <f>+'Ingredient List - Mother Tinctu'!D6981</f>
        <v>0</v>
      </c>
      <c r="AB6980" s="117">
        <f t="shared" ref="AB6980:AB7043" si="112">--ISNUMBER(IFERROR(SEARCH($D$3,AA6980,1),""))</f>
        <v>0</v>
      </c>
      <c r="AC6980" s="117" t="str">
        <f>IF(AB6980=1,COUNTIF($AB$3:AB6980,1),"")</f>
        <v/>
      </c>
      <c r="AD6980" s="117" t="str">
        <f>IFERROR(INDEX($AA$3:$AA$10000,MATCH(ROWS($AC$3:AC6980),$AC$3:$AC$10000,0)),"")</f>
        <v/>
      </c>
    </row>
    <row r="6981" spans="27:30">
      <c r="AA6981" s="117">
        <f>+'Ingredient List - Mother Tinctu'!D6982</f>
        <v>0</v>
      </c>
      <c r="AB6981" s="117">
        <f t="shared" si="112"/>
        <v>0</v>
      </c>
      <c r="AC6981" s="117" t="str">
        <f>IF(AB6981=1,COUNTIF($AB$3:AB6981,1),"")</f>
        <v/>
      </c>
      <c r="AD6981" s="117" t="str">
        <f>IFERROR(INDEX($AA$3:$AA$10000,MATCH(ROWS($AC$3:AC6981),$AC$3:$AC$10000,0)),"")</f>
        <v/>
      </c>
    </row>
    <row r="6982" spans="27:30">
      <c r="AA6982" s="117">
        <f>+'Ingredient List - Mother Tinctu'!D6983</f>
        <v>0</v>
      </c>
      <c r="AB6982" s="117">
        <f t="shared" si="112"/>
        <v>0</v>
      </c>
      <c r="AC6982" s="117" t="str">
        <f>IF(AB6982=1,COUNTIF($AB$3:AB6982,1),"")</f>
        <v/>
      </c>
      <c r="AD6982" s="117" t="str">
        <f>IFERROR(INDEX($AA$3:$AA$10000,MATCH(ROWS($AC$3:AC6982),$AC$3:$AC$10000,0)),"")</f>
        <v/>
      </c>
    </row>
    <row r="6983" spans="27:30">
      <c r="AA6983" s="117">
        <f>+'Ingredient List - Mother Tinctu'!D6984</f>
        <v>0</v>
      </c>
      <c r="AB6983" s="117">
        <f t="shared" si="112"/>
        <v>0</v>
      </c>
      <c r="AC6983" s="117" t="str">
        <f>IF(AB6983=1,COUNTIF($AB$3:AB6983,1),"")</f>
        <v/>
      </c>
      <c r="AD6983" s="117" t="str">
        <f>IFERROR(INDEX($AA$3:$AA$10000,MATCH(ROWS($AC$3:AC6983),$AC$3:$AC$10000,0)),"")</f>
        <v/>
      </c>
    </row>
    <row r="6984" spans="27:30">
      <c r="AA6984" s="117">
        <f>+'Ingredient List - Mother Tinctu'!D6985</f>
        <v>0</v>
      </c>
      <c r="AB6984" s="117">
        <f t="shared" si="112"/>
        <v>0</v>
      </c>
      <c r="AC6984" s="117" t="str">
        <f>IF(AB6984=1,COUNTIF($AB$3:AB6984,1),"")</f>
        <v/>
      </c>
      <c r="AD6984" s="117" t="str">
        <f>IFERROR(INDEX($AA$3:$AA$10000,MATCH(ROWS($AC$3:AC6984),$AC$3:$AC$10000,0)),"")</f>
        <v/>
      </c>
    </row>
    <row r="6985" spans="27:30">
      <c r="AA6985" s="117">
        <f>+'Ingredient List - Mother Tinctu'!D6986</f>
        <v>0</v>
      </c>
      <c r="AB6985" s="117">
        <f t="shared" si="112"/>
        <v>0</v>
      </c>
      <c r="AC6985" s="117" t="str">
        <f>IF(AB6985=1,COUNTIF($AB$3:AB6985,1),"")</f>
        <v/>
      </c>
      <c r="AD6985" s="117" t="str">
        <f>IFERROR(INDEX($AA$3:$AA$10000,MATCH(ROWS($AC$3:AC6985),$AC$3:$AC$10000,0)),"")</f>
        <v/>
      </c>
    </row>
    <row r="6986" spans="27:30">
      <c r="AA6986" s="117">
        <f>+'Ingredient List - Mother Tinctu'!D6987</f>
        <v>0</v>
      </c>
      <c r="AB6986" s="117">
        <f t="shared" si="112"/>
        <v>0</v>
      </c>
      <c r="AC6986" s="117" t="str">
        <f>IF(AB6986=1,COUNTIF($AB$3:AB6986,1),"")</f>
        <v/>
      </c>
      <c r="AD6986" s="117" t="str">
        <f>IFERROR(INDEX($AA$3:$AA$10000,MATCH(ROWS($AC$3:AC6986),$AC$3:$AC$10000,0)),"")</f>
        <v/>
      </c>
    </row>
    <row r="6987" spans="27:30">
      <c r="AA6987" s="117">
        <f>+'Ingredient List - Mother Tinctu'!D6988</f>
        <v>0</v>
      </c>
      <c r="AB6987" s="117">
        <f t="shared" si="112"/>
        <v>0</v>
      </c>
      <c r="AC6987" s="117" t="str">
        <f>IF(AB6987=1,COUNTIF($AB$3:AB6987,1),"")</f>
        <v/>
      </c>
      <c r="AD6987" s="117" t="str">
        <f>IFERROR(INDEX($AA$3:$AA$10000,MATCH(ROWS($AC$3:AC6987),$AC$3:$AC$10000,0)),"")</f>
        <v/>
      </c>
    </row>
    <row r="6988" spans="27:30">
      <c r="AA6988" s="117">
        <f>+'Ingredient List - Mother Tinctu'!D6989</f>
        <v>0</v>
      </c>
      <c r="AB6988" s="117">
        <f t="shared" si="112"/>
        <v>0</v>
      </c>
      <c r="AC6988" s="117" t="str">
        <f>IF(AB6988=1,COUNTIF($AB$3:AB6988,1),"")</f>
        <v/>
      </c>
      <c r="AD6988" s="117" t="str">
        <f>IFERROR(INDEX($AA$3:$AA$10000,MATCH(ROWS($AC$3:AC6988),$AC$3:$AC$10000,0)),"")</f>
        <v/>
      </c>
    </row>
    <row r="6989" spans="27:30">
      <c r="AA6989" s="117">
        <f>+'Ingredient List - Mother Tinctu'!D6990</f>
        <v>0</v>
      </c>
      <c r="AB6989" s="117">
        <f t="shared" si="112"/>
        <v>0</v>
      </c>
      <c r="AC6989" s="117" t="str">
        <f>IF(AB6989=1,COUNTIF($AB$3:AB6989,1),"")</f>
        <v/>
      </c>
      <c r="AD6989" s="117" t="str">
        <f>IFERROR(INDEX($AA$3:$AA$10000,MATCH(ROWS($AC$3:AC6989),$AC$3:$AC$10000,0)),"")</f>
        <v/>
      </c>
    </row>
    <row r="6990" spans="27:30">
      <c r="AA6990" s="117">
        <f>+'Ingredient List - Mother Tinctu'!D6991</f>
        <v>0</v>
      </c>
      <c r="AB6990" s="117">
        <f t="shared" si="112"/>
        <v>0</v>
      </c>
      <c r="AC6990" s="117" t="str">
        <f>IF(AB6990=1,COUNTIF($AB$3:AB6990,1),"")</f>
        <v/>
      </c>
      <c r="AD6990" s="117" t="str">
        <f>IFERROR(INDEX($AA$3:$AA$10000,MATCH(ROWS($AC$3:AC6990),$AC$3:$AC$10000,0)),"")</f>
        <v/>
      </c>
    </row>
    <row r="6991" spans="27:30">
      <c r="AA6991" s="117">
        <f>+'Ingredient List - Mother Tinctu'!D6992</f>
        <v>0</v>
      </c>
      <c r="AB6991" s="117">
        <f t="shared" si="112"/>
        <v>0</v>
      </c>
      <c r="AC6991" s="117" t="str">
        <f>IF(AB6991=1,COUNTIF($AB$3:AB6991,1),"")</f>
        <v/>
      </c>
      <c r="AD6991" s="117" t="str">
        <f>IFERROR(INDEX($AA$3:$AA$10000,MATCH(ROWS($AC$3:AC6991),$AC$3:$AC$10000,0)),"")</f>
        <v/>
      </c>
    </row>
    <row r="6992" spans="27:30">
      <c r="AA6992" s="117">
        <f>+'Ingredient List - Mother Tinctu'!D6993</f>
        <v>0</v>
      </c>
      <c r="AB6992" s="117">
        <f t="shared" si="112"/>
        <v>0</v>
      </c>
      <c r="AC6992" s="117" t="str">
        <f>IF(AB6992=1,COUNTIF($AB$3:AB6992,1),"")</f>
        <v/>
      </c>
      <c r="AD6992" s="117" t="str">
        <f>IFERROR(INDEX($AA$3:$AA$10000,MATCH(ROWS($AC$3:AC6992),$AC$3:$AC$10000,0)),"")</f>
        <v/>
      </c>
    </row>
    <row r="6993" spans="27:30">
      <c r="AA6993" s="117">
        <f>+'Ingredient List - Mother Tinctu'!D6994</f>
        <v>0</v>
      </c>
      <c r="AB6993" s="117">
        <f t="shared" si="112"/>
        <v>0</v>
      </c>
      <c r="AC6993" s="117" t="str">
        <f>IF(AB6993=1,COUNTIF($AB$3:AB6993,1),"")</f>
        <v/>
      </c>
      <c r="AD6993" s="117" t="str">
        <f>IFERROR(INDEX($AA$3:$AA$10000,MATCH(ROWS($AC$3:AC6993),$AC$3:$AC$10000,0)),"")</f>
        <v/>
      </c>
    </row>
    <row r="6994" spans="27:30">
      <c r="AA6994" s="117">
        <f>+'Ingredient List - Mother Tinctu'!D6995</f>
        <v>0</v>
      </c>
      <c r="AB6994" s="117">
        <f t="shared" si="112"/>
        <v>0</v>
      </c>
      <c r="AC6994" s="117" t="str">
        <f>IF(AB6994=1,COUNTIF($AB$3:AB6994,1),"")</f>
        <v/>
      </c>
      <c r="AD6994" s="117" t="str">
        <f>IFERROR(INDEX($AA$3:$AA$10000,MATCH(ROWS($AC$3:AC6994),$AC$3:$AC$10000,0)),"")</f>
        <v/>
      </c>
    </row>
    <row r="6995" spans="27:30">
      <c r="AA6995" s="117">
        <f>+'Ingredient List - Mother Tinctu'!D6996</f>
        <v>0</v>
      </c>
      <c r="AB6995" s="117">
        <f t="shared" si="112"/>
        <v>0</v>
      </c>
      <c r="AC6995" s="117" t="str">
        <f>IF(AB6995=1,COUNTIF($AB$3:AB6995,1),"")</f>
        <v/>
      </c>
      <c r="AD6995" s="117" t="str">
        <f>IFERROR(INDEX($AA$3:$AA$10000,MATCH(ROWS($AC$3:AC6995),$AC$3:$AC$10000,0)),"")</f>
        <v/>
      </c>
    </row>
    <row r="6996" spans="27:30">
      <c r="AA6996" s="117">
        <f>+'Ingredient List - Mother Tinctu'!D6997</f>
        <v>0</v>
      </c>
      <c r="AB6996" s="117">
        <f t="shared" si="112"/>
        <v>0</v>
      </c>
      <c r="AC6996" s="117" t="str">
        <f>IF(AB6996=1,COUNTIF($AB$3:AB6996,1),"")</f>
        <v/>
      </c>
      <c r="AD6996" s="117" t="str">
        <f>IFERROR(INDEX($AA$3:$AA$10000,MATCH(ROWS($AC$3:AC6996),$AC$3:$AC$10000,0)),"")</f>
        <v/>
      </c>
    </row>
    <row r="6997" spans="27:30">
      <c r="AA6997" s="117">
        <f>+'Ingredient List - Mother Tinctu'!D6998</f>
        <v>0</v>
      </c>
      <c r="AB6997" s="117">
        <f t="shared" si="112"/>
        <v>0</v>
      </c>
      <c r="AC6997" s="117" t="str">
        <f>IF(AB6997=1,COUNTIF($AB$3:AB6997,1),"")</f>
        <v/>
      </c>
      <c r="AD6997" s="117" t="str">
        <f>IFERROR(INDEX($AA$3:$AA$10000,MATCH(ROWS($AC$3:AC6997),$AC$3:$AC$10000,0)),"")</f>
        <v/>
      </c>
    </row>
    <row r="6998" spans="27:30">
      <c r="AA6998" s="117">
        <f>+'Ingredient List - Mother Tinctu'!D6999</f>
        <v>0</v>
      </c>
      <c r="AB6998" s="117">
        <f t="shared" si="112"/>
        <v>0</v>
      </c>
      <c r="AC6998" s="117" t="str">
        <f>IF(AB6998=1,COUNTIF($AB$3:AB6998,1),"")</f>
        <v/>
      </c>
      <c r="AD6998" s="117" t="str">
        <f>IFERROR(INDEX($AA$3:$AA$10000,MATCH(ROWS($AC$3:AC6998),$AC$3:$AC$10000,0)),"")</f>
        <v/>
      </c>
    </row>
    <row r="6999" spans="27:30">
      <c r="AA6999" s="117">
        <f>+'Ingredient List - Mother Tinctu'!D7000</f>
        <v>0</v>
      </c>
      <c r="AB6999" s="117">
        <f t="shared" si="112"/>
        <v>0</v>
      </c>
      <c r="AC6999" s="117" t="str">
        <f>IF(AB6999=1,COUNTIF($AB$3:AB6999,1),"")</f>
        <v/>
      </c>
      <c r="AD6999" s="117" t="str">
        <f>IFERROR(INDEX($AA$3:$AA$10000,MATCH(ROWS($AC$3:AC6999),$AC$3:$AC$10000,0)),"")</f>
        <v/>
      </c>
    </row>
    <row r="7000" spans="27:30">
      <c r="AA7000" s="117">
        <f>+'Ingredient List - Mother Tinctu'!D7001</f>
        <v>0</v>
      </c>
      <c r="AB7000" s="117">
        <f t="shared" si="112"/>
        <v>0</v>
      </c>
      <c r="AC7000" s="117" t="str">
        <f>IF(AB7000=1,COUNTIF($AB$3:AB7000,1),"")</f>
        <v/>
      </c>
      <c r="AD7000" s="117" t="str">
        <f>IFERROR(INDEX($AA$3:$AA$10000,MATCH(ROWS($AC$3:AC7000),$AC$3:$AC$10000,0)),"")</f>
        <v/>
      </c>
    </row>
    <row r="7001" spans="27:30">
      <c r="AA7001" s="117">
        <f>+'Ingredient List - Mother Tinctu'!D7002</f>
        <v>0</v>
      </c>
      <c r="AB7001" s="117">
        <f t="shared" si="112"/>
        <v>0</v>
      </c>
      <c r="AC7001" s="117" t="str">
        <f>IF(AB7001=1,COUNTIF($AB$3:AB7001,1),"")</f>
        <v/>
      </c>
      <c r="AD7001" s="117" t="str">
        <f>IFERROR(INDEX($AA$3:$AA$10000,MATCH(ROWS($AC$3:AC7001),$AC$3:$AC$10000,0)),"")</f>
        <v/>
      </c>
    </row>
    <row r="7002" spans="27:30">
      <c r="AA7002" s="117">
        <f>+'Ingredient List - Mother Tinctu'!D7003</f>
        <v>0</v>
      </c>
      <c r="AB7002" s="117">
        <f t="shared" si="112"/>
        <v>0</v>
      </c>
      <c r="AC7002" s="117" t="str">
        <f>IF(AB7002=1,COUNTIF($AB$3:AB7002,1),"")</f>
        <v/>
      </c>
      <c r="AD7002" s="117" t="str">
        <f>IFERROR(INDEX($AA$3:$AA$10000,MATCH(ROWS($AC$3:AC7002),$AC$3:$AC$10000,0)),"")</f>
        <v/>
      </c>
    </row>
    <row r="7003" spans="27:30">
      <c r="AA7003" s="117">
        <f>+'Ingredient List - Mother Tinctu'!D7004</f>
        <v>0</v>
      </c>
      <c r="AB7003" s="117">
        <f t="shared" si="112"/>
        <v>0</v>
      </c>
      <c r="AC7003" s="117" t="str">
        <f>IF(AB7003=1,COUNTIF($AB$3:AB7003,1),"")</f>
        <v/>
      </c>
      <c r="AD7003" s="117" t="str">
        <f>IFERROR(INDEX($AA$3:$AA$10000,MATCH(ROWS($AC$3:AC7003),$AC$3:$AC$10000,0)),"")</f>
        <v/>
      </c>
    </row>
    <row r="7004" spans="27:30">
      <c r="AA7004" s="117">
        <f>+'Ingredient List - Mother Tinctu'!D7005</f>
        <v>0</v>
      </c>
      <c r="AB7004" s="117">
        <f t="shared" si="112"/>
        <v>0</v>
      </c>
      <c r="AC7004" s="117" t="str">
        <f>IF(AB7004=1,COUNTIF($AB$3:AB7004,1),"")</f>
        <v/>
      </c>
      <c r="AD7004" s="117" t="str">
        <f>IFERROR(INDEX($AA$3:$AA$10000,MATCH(ROWS($AC$3:AC7004),$AC$3:$AC$10000,0)),"")</f>
        <v/>
      </c>
    </row>
    <row r="7005" spans="27:30">
      <c r="AA7005" s="117">
        <f>+'Ingredient List - Mother Tinctu'!D7006</f>
        <v>0</v>
      </c>
      <c r="AB7005" s="117">
        <f t="shared" si="112"/>
        <v>0</v>
      </c>
      <c r="AC7005" s="117" t="str">
        <f>IF(AB7005=1,COUNTIF($AB$3:AB7005,1),"")</f>
        <v/>
      </c>
      <c r="AD7005" s="117" t="str">
        <f>IFERROR(INDEX($AA$3:$AA$10000,MATCH(ROWS($AC$3:AC7005),$AC$3:$AC$10000,0)),"")</f>
        <v/>
      </c>
    </row>
    <row r="7006" spans="27:30">
      <c r="AA7006" s="117">
        <f>+'Ingredient List - Mother Tinctu'!D7007</f>
        <v>0</v>
      </c>
      <c r="AB7006" s="117">
        <f t="shared" si="112"/>
        <v>0</v>
      </c>
      <c r="AC7006" s="117" t="str">
        <f>IF(AB7006=1,COUNTIF($AB$3:AB7006,1),"")</f>
        <v/>
      </c>
      <c r="AD7006" s="117" t="str">
        <f>IFERROR(INDEX($AA$3:$AA$10000,MATCH(ROWS($AC$3:AC7006),$AC$3:$AC$10000,0)),"")</f>
        <v/>
      </c>
    </row>
    <row r="7007" spans="27:30">
      <c r="AA7007" s="117">
        <f>+'Ingredient List - Mother Tinctu'!D7008</f>
        <v>0</v>
      </c>
      <c r="AB7007" s="117">
        <f t="shared" si="112"/>
        <v>0</v>
      </c>
      <c r="AC7007" s="117" t="str">
        <f>IF(AB7007=1,COUNTIF($AB$3:AB7007,1),"")</f>
        <v/>
      </c>
      <c r="AD7007" s="117" t="str">
        <f>IFERROR(INDEX($AA$3:$AA$10000,MATCH(ROWS($AC$3:AC7007),$AC$3:$AC$10000,0)),"")</f>
        <v/>
      </c>
    </row>
    <row r="7008" spans="27:30">
      <c r="AA7008" s="117">
        <f>+'Ingredient List - Mother Tinctu'!D7009</f>
        <v>0</v>
      </c>
      <c r="AB7008" s="117">
        <f t="shared" si="112"/>
        <v>0</v>
      </c>
      <c r="AC7008" s="117" t="str">
        <f>IF(AB7008=1,COUNTIF($AB$3:AB7008,1),"")</f>
        <v/>
      </c>
      <c r="AD7008" s="117" t="str">
        <f>IFERROR(INDEX($AA$3:$AA$10000,MATCH(ROWS($AC$3:AC7008),$AC$3:$AC$10000,0)),"")</f>
        <v/>
      </c>
    </row>
    <row r="7009" spans="27:30">
      <c r="AA7009" s="117">
        <f>+'Ingredient List - Mother Tinctu'!D7010</f>
        <v>0</v>
      </c>
      <c r="AB7009" s="117">
        <f t="shared" si="112"/>
        <v>0</v>
      </c>
      <c r="AC7009" s="117" t="str">
        <f>IF(AB7009=1,COUNTIF($AB$3:AB7009,1),"")</f>
        <v/>
      </c>
      <c r="AD7009" s="117" t="str">
        <f>IFERROR(INDEX($AA$3:$AA$10000,MATCH(ROWS($AC$3:AC7009),$AC$3:$AC$10000,0)),"")</f>
        <v/>
      </c>
    </row>
    <row r="7010" spans="27:30">
      <c r="AA7010" s="117">
        <f>+'Ingredient List - Mother Tinctu'!D7011</f>
        <v>0</v>
      </c>
      <c r="AB7010" s="117">
        <f t="shared" si="112"/>
        <v>0</v>
      </c>
      <c r="AC7010" s="117" t="str">
        <f>IF(AB7010=1,COUNTIF($AB$3:AB7010,1),"")</f>
        <v/>
      </c>
      <c r="AD7010" s="117" t="str">
        <f>IFERROR(INDEX($AA$3:$AA$10000,MATCH(ROWS($AC$3:AC7010),$AC$3:$AC$10000,0)),"")</f>
        <v/>
      </c>
    </row>
    <row r="7011" spans="27:30">
      <c r="AA7011" s="117">
        <f>+'Ingredient List - Mother Tinctu'!D7012</f>
        <v>0</v>
      </c>
      <c r="AB7011" s="117">
        <f t="shared" si="112"/>
        <v>0</v>
      </c>
      <c r="AC7011" s="117" t="str">
        <f>IF(AB7011=1,COUNTIF($AB$3:AB7011,1),"")</f>
        <v/>
      </c>
      <c r="AD7011" s="117" t="str">
        <f>IFERROR(INDEX($AA$3:$AA$10000,MATCH(ROWS($AC$3:AC7011),$AC$3:$AC$10000,0)),"")</f>
        <v/>
      </c>
    </row>
    <row r="7012" spans="27:30">
      <c r="AA7012" s="117">
        <f>+'Ingredient List - Mother Tinctu'!D7013</f>
        <v>0</v>
      </c>
      <c r="AB7012" s="117">
        <f t="shared" si="112"/>
        <v>0</v>
      </c>
      <c r="AC7012" s="117" t="str">
        <f>IF(AB7012=1,COUNTIF($AB$3:AB7012,1),"")</f>
        <v/>
      </c>
      <c r="AD7012" s="117" t="str">
        <f>IFERROR(INDEX($AA$3:$AA$10000,MATCH(ROWS($AC$3:AC7012),$AC$3:$AC$10000,0)),"")</f>
        <v/>
      </c>
    </row>
    <row r="7013" spans="27:30">
      <c r="AA7013" s="117">
        <f>+'Ingredient List - Mother Tinctu'!D7014</f>
        <v>0</v>
      </c>
      <c r="AB7013" s="117">
        <f t="shared" si="112"/>
        <v>0</v>
      </c>
      <c r="AC7013" s="117" t="str">
        <f>IF(AB7013=1,COUNTIF($AB$3:AB7013,1),"")</f>
        <v/>
      </c>
      <c r="AD7013" s="117" t="str">
        <f>IFERROR(INDEX($AA$3:$AA$10000,MATCH(ROWS($AC$3:AC7013),$AC$3:$AC$10000,0)),"")</f>
        <v/>
      </c>
    </row>
    <row r="7014" spans="27:30">
      <c r="AA7014" s="117">
        <f>+'Ingredient List - Mother Tinctu'!D7015</f>
        <v>0</v>
      </c>
      <c r="AB7014" s="117">
        <f t="shared" si="112"/>
        <v>0</v>
      </c>
      <c r="AC7014" s="117" t="str">
        <f>IF(AB7014=1,COUNTIF($AB$3:AB7014,1),"")</f>
        <v/>
      </c>
      <c r="AD7014" s="117" t="str">
        <f>IFERROR(INDEX($AA$3:$AA$10000,MATCH(ROWS($AC$3:AC7014),$AC$3:$AC$10000,0)),"")</f>
        <v/>
      </c>
    </row>
    <row r="7015" spans="27:30">
      <c r="AA7015" s="117">
        <f>+'Ingredient List - Mother Tinctu'!D7016</f>
        <v>0</v>
      </c>
      <c r="AB7015" s="117">
        <f t="shared" si="112"/>
        <v>0</v>
      </c>
      <c r="AC7015" s="117" t="str">
        <f>IF(AB7015=1,COUNTIF($AB$3:AB7015,1),"")</f>
        <v/>
      </c>
      <c r="AD7015" s="117" t="str">
        <f>IFERROR(INDEX($AA$3:$AA$10000,MATCH(ROWS($AC$3:AC7015),$AC$3:$AC$10000,0)),"")</f>
        <v/>
      </c>
    </row>
    <row r="7016" spans="27:30">
      <c r="AA7016" s="117">
        <f>+'Ingredient List - Mother Tinctu'!D7017</f>
        <v>0</v>
      </c>
      <c r="AB7016" s="117">
        <f t="shared" si="112"/>
        <v>0</v>
      </c>
      <c r="AC7016" s="117" t="str">
        <f>IF(AB7016=1,COUNTIF($AB$3:AB7016,1),"")</f>
        <v/>
      </c>
      <c r="AD7016" s="117" t="str">
        <f>IFERROR(INDEX($AA$3:$AA$10000,MATCH(ROWS($AC$3:AC7016),$AC$3:$AC$10000,0)),"")</f>
        <v/>
      </c>
    </row>
    <row r="7017" spans="27:30">
      <c r="AA7017" s="117">
        <f>+'Ingredient List - Mother Tinctu'!D7018</f>
        <v>0</v>
      </c>
      <c r="AB7017" s="117">
        <f t="shared" si="112"/>
        <v>0</v>
      </c>
      <c r="AC7017" s="117" t="str">
        <f>IF(AB7017=1,COUNTIF($AB$3:AB7017,1),"")</f>
        <v/>
      </c>
      <c r="AD7017" s="117" t="str">
        <f>IFERROR(INDEX($AA$3:$AA$10000,MATCH(ROWS($AC$3:AC7017),$AC$3:$AC$10000,0)),"")</f>
        <v/>
      </c>
    </row>
    <row r="7018" spans="27:30">
      <c r="AA7018" s="117">
        <f>+'Ingredient List - Mother Tinctu'!D7019</f>
        <v>0</v>
      </c>
      <c r="AB7018" s="117">
        <f t="shared" si="112"/>
        <v>0</v>
      </c>
      <c r="AC7018" s="117" t="str">
        <f>IF(AB7018=1,COUNTIF($AB$3:AB7018,1),"")</f>
        <v/>
      </c>
      <c r="AD7018" s="117" t="str">
        <f>IFERROR(INDEX($AA$3:$AA$10000,MATCH(ROWS($AC$3:AC7018),$AC$3:$AC$10000,0)),"")</f>
        <v/>
      </c>
    </row>
    <row r="7019" spans="27:30">
      <c r="AA7019" s="117">
        <f>+'Ingredient List - Mother Tinctu'!D7020</f>
        <v>0</v>
      </c>
      <c r="AB7019" s="117">
        <f t="shared" si="112"/>
        <v>0</v>
      </c>
      <c r="AC7019" s="117" t="str">
        <f>IF(AB7019=1,COUNTIF($AB$3:AB7019,1),"")</f>
        <v/>
      </c>
      <c r="AD7019" s="117" t="str">
        <f>IFERROR(INDEX($AA$3:$AA$10000,MATCH(ROWS($AC$3:AC7019),$AC$3:$AC$10000,0)),"")</f>
        <v/>
      </c>
    </row>
    <row r="7020" spans="27:30">
      <c r="AA7020" s="117">
        <f>+'Ingredient List - Mother Tinctu'!D7021</f>
        <v>0</v>
      </c>
      <c r="AB7020" s="117">
        <f t="shared" si="112"/>
        <v>0</v>
      </c>
      <c r="AC7020" s="117" t="str">
        <f>IF(AB7020=1,COUNTIF($AB$3:AB7020,1),"")</f>
        <v/>
      </c>
      <c r="AD7020" s="117" t="str">
        <f>IFERROR(INDEX($AA$3:$AA$10000,MATCH(ROWS($AC$3:AC7020),$AC$3:$AC$10000,0)),"")</f>
        <v/>
      </c>
    </row>
    <row r="7021" spans="27:30">
      <c r="AA7021" s="117">
        <f>+'Ingredient List - Mother Tinctu'!D7022</f>
        <v>0</v>
      </c>
      <c r="AB7021" s="117">
        <f t="shared" si="112"/>
        <v>0</v>
      </c>
      <c r="AC7021" s="117" t="str">
        <f>IF(AB7021=1,COUNTIF($AB$3:AB7021,1),"")</f>
        <v/>
      </c>
      <c r="AD7021" s="117" t="str">
        <f>IFERROR(INDEX($AA$3:$AA$10000,MATCH(ROWS($AC$3:AC7021),$AC$3:$AC$10000,0)),"")</f>
        <v/>
      </c>
    </row>
    <row r="7022" spans="27:30">
      <c r="AA7022" s="117">
        <f>+'Ingredient List - Mother Tinctu'!D7023</f>
        <v>0</v>
      </c>
      <c r="AB7022" s="117">
        <f t="shared" si="112"/>
        <v>0</v>
      </c>
      <c r="AC7022" s="117" t="str">
        <f>IF(AB7022=1,COUNTIF($AB$3:AB7022,1),"")</f>
        <v/>
      </c>
      <c r="AD7022" s="117" t="str">
        <f>IFERROR(INDEX($AA$3:$AA$10000,MATCH(ROWS($AC$3:AC7022),$AC$3:$AC$10000,0)),"")</f>
        <v/>
      </c>
    </row>
    <row r="7023" spans="27:30">
      <c r="AA7023" s="117">
        <f>+'Ingredient List - Mother Tinctu'!D7024</f>
        <v>0</v>
      </c>
      <c r="AB7023" s="117">
        <f t="shared" si="112"/>
        <v>0</v>
      </c>
      <c r="AC7023" s="117" t="str">
        <f>IF(AB7023=1,COUNTIF($AB$3:AB7023,1),"")</f>
        <v/>
      </c>
      <c r="AD7023" s="117" t="str">
        <f>IFERROR(INDEX($AA$3:$AA$10000,MATCH(ROWS($AC$3:AC7023),$AC$3:$AC$10000,0)),"")</f>
        <v/>
      </c>
    </row>
    <row r="7024" spans="27:30">
      <c r="AA7024" s="117">
        <f>+'Ingredient List - Mother Tinctu'!D7025</f>
        <v>0</v>
      </c>
      <c r="AB7024" s="117">
        <f t="shared" si="112"/>
        <v>0</v>
      </c>
      <c r="AC7024" s="117" t="str">
        <f>IF(AB7024=1,COUNTIF($AB$3:AB7024,1),"")</f>
        <v/>
      </c>
      <c r="AD7024" s="117" t="str">
        <f>IFERROR(INDEX($AA$3:$AA$10000,MATCH(ROWS($AC$3:AC7024),$AC$3:$AC$10000,0)),"")</f>
        <v/>
      </c>
    </row>
    <row r="7025" spans="27:30">
      <c r="AA7025" s="117">
        <f>+'Ingredient List - Mother Tinctu'!D7026</f>
        <v>0</v>
      </c>
      <c r="AB7025" s="117">
        <f t="shared" si="112"/>
        <v>0</v>
      </c>
      <c r="AC7025" s="117" t="str">
        <f>IF(AB7025=1,COUNTIF($AB$3:AB7025,1),"")</f>
        <v/>
      </c>
      <c r="AD7025" s="117" t="str">
        <f>IFERROR(INDEX($AA$3:$AA$10000,MATCH(ROWS($AC$3:AC7025),$AC$3:$AC$10000,0)),"")</f>
        <v/>
      </c>
    </row>
    <row r="7026" spans="27:30">
      <c r="AA7026" s="117">
        <f>+'Ingredient List - Mother Tinctu'!D7027</f>
        <v>0</v>
      </c>
      <c r="AB7026" s="117">
        <f t="shared" si="112"/>
        <v>0</v>
      </c>
      <c r="AC7026" s="117" t="str">
        <f>IF(AB7026=1,COUNTIF($AB$3:AB7026,1),"")</f>
        <v/>
      </c>
      <c r="AD7026" s="117" t="str">
        <f>IFERROR(INDEX($AA$3:$AA$10000,MATCH(ROWS($AC$3:AC7026),$AC$3:$AC$10000,0)),"")</f>
        <v/>
      </c>
    </row>
    <row r="7027" spans="27:30">
      <c r="AA7027" s="117">
        <f>+'Ingredient List - Mother Tinctu'!D7028</f>
        <v>0</v>
      </c>
      <c r="AB7027" s="117">
        <f t="shared" si="112"/>
        <v>0</v>
      </c>
      <c r="AC7027" s="117" t="str">
        <f>IF(AB7027=1,COUNTIF($AB$3:AB7027,1),"")</f>
        <v/>
      </c>
      <c r="AD7027" s="117" t="str">
        <f>IFERROR(INDEX($AA$3:$AA$10000,MATCH(ROWS($AC$3:AC7027),$AC$3:$AC$10000,0)),"")</f>
        <v/>
      </c>
    </row>
    <row r="7028" spans="27:30">
      <c r="AA7028" s="117">
        <f>+'Ingredient List - Mother Tinctu'!D7029</f>
        <v>0</v>
      </c>
      <c r="AB7028" s="117">
        <f t="shared" si="112"/>
        <v>0</v>
      </c>
      <c r="AC7028" s="117" t="str">
        <f>IF(AB7028=1,COUNTIF($AB$3:AB7028,1),"")</f>
        <v/>
      </c>
      <c r="AD7028" s="117" t="str">
        <f>IFERROR(INDEX($AA$3:$AA$10000,MATCH(ROWS($AC$3:AC7028),$AC$3:$AC$10000,0)),"")</f>
        <v/>
      </c>
    </row>
    <row r="7029" spans="27:30">
      <c r="AA7029" s="117">
        <f>+'Ingredient List - Mother Tinctu'!D7030</f>
        <v>0</v>
      </c>
      <c r="AB7029" s="117">
        <f t="shared" si="112"/>
        <v>0</v>
      </c>
      <c r="AC7029" s="117" t="str">
        <f>IF(AB7029=1,COUNTIF($AB$3:AB7029,1),"")</f>
        <v/>
      </c>
      <c r="AD7029" s="117" t="str">
        <f>IFERROR(INDEX($AA$3:$AA$10000,MATCH(ROWS($AC$3:AC7029),$AC$3:$AC$10000,0)),"")</f>
        <v/>
      </c>
    </row>
    <row r="7030" spans="27:30">
      <c r="AA7030" s="117">
        <f>+'Ingredient List - Mother Tinctu'!D7031</f>
        <v>0</v>
      </c>
      <c r="AB7030" s="117">
        <f t="shared" si="112"/>
        <v>0</v>
      </c>
      <c r="AC7030" s="117" t="str">
        <f>IF(AB7030=1,COUNTIF($AB$3:AB7030,1),"")</f>
        <v/>
      </c>
      <c r="AD7030" s="117" t="str">
        <f>IFERROR(INDEX($AA$3:$AA$10000,MATCH(ROWS($AC$3:AC7030),$AC$3:$AC$10000,0)),"")</f>
        <v/>
      </c>
    </row>
    <row r="7031" spans="27:30">
      <c r="AA7031" s="117">
        <f>+'Ingredient List - Mother Tinctu'!D7032</f>
        <v>0</v>
      </c>
      <c r="AB7031" s="117">
        <f t="shared" si="112"/>
        <v>0</v>
      </c>
      <c r="AC7031" s="117" t="str">
        <f>IF(AB7031=1,COUNTIF($AB$3:AB7031,1),"")</f>
        <v/>
      </c>
      <c r="AD7031" s="117" t="str">
        <f>IFERROR(INDEX($AA$3:$AA$10000,MATCH(ROWS($AC$3:AC7031),$AC$3:$AC$10000,0)),"")</f>
        <v/>
      </c>
    </row>
    <row r="7032" spans="27:30">
      <c r="AA7032" s="117">
        <f>+'Ingredient List - Mother Tinctu'!D7033</f>
        <v>0</v>
      </c>
      <c r="AB7032" s="117">
        <f t="shared" si="112"/>
        <v>0</v>
      </c>
      <c r="AC7032" s="117" t="str">
        <f>IF(AB7032=1,COUNTIF($AB$3:AB7032,1),"")</f>
        <v/>
      </c>
      <c r="AD7032" s="117" t="str">
        <f>IFERROR(INDEX($AA$3:$AA$10000,MATCH(ROWS($AC$3:AC7032),$AC$3:$AC$10000,0)),"")</f>
        <v/>
      </c>
    </row>
    <row r="7033" spans="27:30">
      <c r="AA7033" s="117">
        <f>+'Ingredient List - Mother Tinctu'!D7034</f>
        <v>0</v>
      </c>
      <c r="AB7033" s="117">
        <f t="shared" si="112"/>
        <v>0</v>
      </c>
      <c r="AC7033" s="117" t="str">
        <f>IF(AB7033=1,COUNTIF($AB$3:AB7033,1),"")</f>
        <v/>
      </c>
      <c r="AD7033" s="117" t="str">
        <f>IFERROR(INDEX($AA$3:$AA$10000,MATCH(ROWS($AC$3:AC7033),$AC$3:$AC$10000,0)),"")</f>
        <v/>
      </c>
    </row>
    <row r="7034" spans="27:30">
      <c r="AA7034" s="117">
        <f>+'Ingredient List - Mother Tinctu'!D7035</f>
        <v>0</v>
      </c>
      <c r="AB7034" s="117">
        <f t="shared" si="112"/>
        <v>0</v>
      </c>
      <c r="AC7034" s="117" t="str">
        <f>IF(AB7034=1,COUNTIF($AB$3:AB7034,1),"")</f>
        <v/>
      </c>
      <c r="AD7034" s="117" t="str">
        <f>IFERROR(INDEX($AA$3:$AA$10000,MATCH(ROWS($AC$3:AC7034),$AC$3:$AC$10000,0)),"")</f>
        <v/>
      </c>
    </row>
    <row r="7035" spans="27:30">
      <c r="AA7035" s="117">
        <f>+'Ingredient List - Mother Tinctu'!D7036</f>
        <v>0</v>
      </c>
      <c r="AB7035" s="117">
        <f t="shared" si="112"/>
        <v>0</v>
      </c>
      <c r="AC7035" s="117" t="str">
        <f>IF(AB7035=1,COUNTIF($AB$3:AB7035,1),"")</f>
        <v/>
      </c>
      <c r="AD7035" s="117" t="str">
        <f>IFERROR(INDEX($AA$3:$AA$10000,MATCH(ROWS($AC$3:AC7035),$AC$3:$AC$10000,0)),"")</f>
        <v/>
      </c>
    </row>
    <row r="7036" spans="27:30">
      <c r="AA7036" s="117">
        <f>+'Ingredient List - Mother Tinctu'!D7037</f>
        <v>0</v>
      </c>
      <c r="AB7036" s="117">
        <f t="shared" si="112"/>
        <v>0</v>
      </c>
      <c r="AC7036" s="117" t="str">
        <f>IF(AB7036=1,COUNTIF($AB$3:AB7036,1),"")</f>
        <v/>
      </c>
      <c r="AD7036" s="117" t="str">
        <f>IFERROR(INDEX($AA$3:$AA$10000,MATCH(ROWS($AC$3:AC7036),$AC$3:$AC$10000,0)),"")</f>
        <v/>
      </c>
    </row>
    <row r="7037" spans="27:30">
      <c r="AA7037" s="117">
        <f>+'Ingredient List - Mother Tinctu'!D7038</f>
        <v>0</v>
      </c>
      <c r="AB7037" s="117">
        <f t="shared" si="112"/>
        <v>0</v>
      </c>
      <c r="AC7037" s="117" t="str">
        <f>IF(AB7037=1,COUNTIF($AB$3:AB7037,1),"")</f>
        <v/>
      </c>
      <c r="AD7037" s="117" t="str">
        <f>IFERROR(INDEX($AA$3:$AA$10000,MATCH(ROWS($AC$3:AC7037),$AC$3:$AC$10000,0)),"")</f>
        <v/>
      </c>
    </row>
    <row r="7038" spans="27:30">
      <c r="AA7038" s="117">
        <f>+'Ingredient List - Mother Tinctu'!D7039</f>
        <v>0</v>
      </c>
      <c r="AB7038" s="117">
        <f t="shared" si="112"/>
        <v>0</v>
      </c>
      <c r="AC7038" s="117" t="str">
        <f>IF(AB7038=1,COUNTIF($AB$3:AB7038,1),"")</f>
        <v/>
      </c>
      <c r="AD7038" s="117" t="str">
        <f>IFERROR(INDEX($AA$3:$AA$10000,MATCH(ROWS($AC$3:AC7038),$AC$3:$AC$10000,0)),"")</f>
        <v/>
      </c>
    </row>
    <row r="7039" spans="27:30">
      <c r="AA7039" s="117">
        <f>+'Ingredient List - Mother Tinctu'!D7040</f>
        <v>0</v>
      </c>
      <c r="AB7039" s="117">
        <f t="shared" si="112"/>
        <v>0</v>
      </c>
      <c r="AC7039" s="117" t="str">
        <f>IF(AB7039=1,COUNTIF($AB$3:AB7039,1),"")</f>
        <v/>
      </c>
      <c r="AD7039" s="117" t="str">
        <f>IFERROR(INDEX($AA$3:$AA$10000,MATCH(ROWS($AC$3:AC7039),$AC$3:$AC$10000,0)),"")</f>
        <v/>
      </c>
    </row>
    <row r="7040" spans="27:30">
      <c r="AA7040" s="117">
        <f>+'Ingredient List - Mother Tinctu'!D7041</f>
        <v>0</v>
      </c>
      <c r="AB7040" s="117">
        <f t="shared" si="112"/>
        <v>0</v>
      </c>
      <c r="AC7040" s="117" t="str">
        <f>IF(AB7040=1,COUNTIF($AB$3:AB7040,1),"")</f>
        <v/>
      </c>
      <c r="AD7040" s="117" t="str">
        <f>IFERROR(INDEX($AA$3:$AA$10000,MATCH(ROWS($AC$3:AC7040),$AC$3:$AC$10000,0)),"")</f>
        <v/>
      </c>
    </row>
    <row r="7041" spans="27:30">
      <c r="AA7041" s="117">
        <f>+'Ingredient List - Mother Tinctu'!D7042</f>
        <v>0</v>
      </c>
      <c r="AB7041" s="117">
        <f t="shared" si="112"/>
        <v>0</v>
      </c>
      <c r="AC7041" s="117" t="str">
        <f>IF(AB7041=1,COUNTIF($AB$3:AB7041,1),"")</f>
        <v/>
      </c>
      <c r="AD7041" s="117" t="str">
        <f>IFERROR(INDEX($AA$3:$AA$10000,MATCH(ROWS($AC$3:AC7041),$AC$3:$AC$10000,0)),"")</f>
        <v/>
      </c>
    </row>
    <row r="7042" spans="27:30">
      <c r="AA7042" s="117">
        <f>+'Ingredient List - Mother Tinctu'!D7043</f>
        <v>0</v>
      </c>
      <c r="AB7042" s="117">
        <f t="shared" si="112"/>
        <v>0</v>
      </c>
      <c r="AC7042" s="117" t="str">
        <f>IF(AB7042=1,COUNTIF($AB$3:AB7042,1),"")</f>
        <v/>
      </c>
      <c r="AD7042" s="117" t="str">
        <f>IFERROR(INDEX($AA$3:$AA$10000,MATCH(ROWS($AC$3:AC7042),$AC$3:$AC$10000,0)),"")</f>
        <v/>
      </c>
    </row>
    <row r="7043" spans="27:30">
      <c r="AA7043" s="117">
        <f>+'Ingredient List - Mother Tinctu'!D7044</f>
        <v>0</v>
      </c>
      <c r="AB7043" s="117">
        <f t="shared" si="112"/>
        <v>0</v>
      </c>
      <c r="AC7043" s="117" t="str">
        <f>IF(AB7043=1,COUNTIF($AB$3:AB7043,1),"")</f>
        <v/>
      </c>
      <c r="AD7043" s="117" t="str">
        <f>IFERROR(INDEX($AA$3:$AA$10000,MATCH(ROWS($AC$3:AC7043),$AC$3:$AC$10000,0)),"")</f>
        <v/>
      </c>
    </row>
    <row r="7044" spans="27:30">
      <c r="AA7044" s="117">
        <f>+'Ingredient List - Mother Tinctu'!D7045</f>
        <v>0</v>
      </c>
      <c r="AB7044" s="117">
        <f t="shared" ref="AB7044:AB7107" si="113">--ISNUMBER(IFERROR(SEARCH($D$3,AA7044,1),""))</f>
        <v>0</v>
      </c>
      <c r="AC7044" s="117" t="str">
        <f>IF(AB7044=1,COUNTIF($AB$3:AB7044,1),"")</f>
        <v/>
      </c>
      <c r="AD7044" s="117" t="str">
        <f>IFERROR(INDEX($AA$3:$AA$10000,MATCH(ROWS($AC$3:AC7044),$AC$3:$AC$10000,0)),"")</f>
        <v/>
      </c>
    </row>
    <row r="7045" spans="27:30">
      <c r="AA7045" s="117">
        <f>+'Ingredient List - Mother Tinctu'!D7046</f>
        <v>0</v>
      </c>
      <c r="AB7045" s="117">
        <f t="shared" si="113"/>
        <v>0</v>
      </c>
      <c r="AC7045" s="117" t="str">
        <f>IF(AB7045=1,COUNTIF($AB$3:AB7045,1),"")</f>
        <v/>
      </c>
      <c r="AD7045" s="117" t="str">
        <f>IFERROR(INDEX($AA$3:$AA$10000,MATCH(ROWS($AC$3:AC7045),$AC$3:$AC$10000,0)),"")</f>
        <v/>
      </c>
    </row>
    <row r="7046" spans="27:30">
      <c r="AA7046" s="117">
        <f>+'Ingredient List - Mother Tinctu'!D7047</f>
        <v>0</v>
      </c>
      <c r="AB7046" s="117">
        <f t="shared" si="113"/>
        <v>0</v>
      </c>
      <c r="AC7046" s="117" t="str">
        <f>IF(AB7046=1,COUNTIF($AB$3:AB7046,1),"")</f>
        <v/>
      </c>
      <c r="AD7046" s="117" t="str">
        <f>IFERROR(INDEX($AA$3:$AA$10000,MATCH(ROWS($AC$3:AC7046),$AC$3:$AC$10000,0)),"")</f>
        <v/>
      </c>
    </row>
    <row r="7047" spans="27:30">
      <c r="AA7047" s="117">
        <f>+'Ingredient List - Mother Tinctu'!D7048</f>
        <v>0</v>
      </c>
      <c r="AB7047" s="117">
        <f t="shared" si="113"/>
        <v>0</v>
      </c>
      <c r="AC7047" s="117" t="str">
        <f>IF(AB7047=1,COUNTIF($AB$3:AB7047,1),"")</f>
        <v/>
      </c>
      <c r="AD7047" s="117" t="str">
        <f>IFERROR(INDEX($AA$3:$AA$10000,MATCH(ROWS($AC$3:AC7047),$AC$3:$AC$10000,0)),"")</f>
        <v/>
      </c>
    </row>
    <row r="7048" spans="27:30">
      <c r="AA7048" s="117">
        <f>+'Ingredient List - Mother Tinctu'!D7049</f>
        <v>0</v>
      </c>
      <c r="AB7048" s="117">
        <f t="shared" si="113"/>
        <v>0</v>
      </c>
      <c r="AC7048" s="117" t="str">
        <f>IF(AB7048=1,COUNTIF($AB$3:AB7048,1),"")</f>
        <v/>
      </c>
      <c r="AD7048" s="117" t="str">
        <f>IFERROR(INDEX($AA$3:$AA$10000,MATCH(ROWS($AC$3:AC7048),$AC$3:$AC$10000,0)),"")</f>
        <v/>
      </c>
    </row>
    <row r="7049" spans="27:30">
      <c r="AA7049" s="117">
        <f>+'Ingredient List - Mother Tinctu'!D7050</f>
        <v>0</v>
      </c>
      <c r="AB7049" s="117">
        <f t="shared" si="113"/>
        <v>0</v>
      </c>
      <c r="AC7049" s="117" t="str">
        <f>IF(AB7049=1,COUNTIF($AB$3:AB7049,1),"")</f>
        <v/>
      </c>
      <c r="AD7049" s="117" t="str">
        <f>IFERROR(INDEX($AA$3:$AA$10000,MATCH(ROWS($AC$3:AC7049),$AC$3:$AC$10000,0)),"")</f>
        <v/>
      </c>
    </row>
    <row r="7050" spans="27:30">
      <c r="AA7050" s="117">
        <f>+'Ingredient List - Mother Tinctu'!D7051</f>
        <v>0</v>
      </c>
      <c r="AB7050" s="117">
        <f t="shared" si="113"/>
        <v>0</v>
      </c>
      <c r="AC7050" s="117" t="str">
        <f>IF(AB7050=1,COUNTIF($AB$3:AB7050,1),"")</f>
        <v/>
      </c>
      <c r="AD7050" s="117" t="str">
        <f>IFERROR(INDEX($AA$3:$AA$10000,MATCH(ROWS($AC$3:AC7050),$AC$3:$AC$10000,0)),"")</f>
        <v/>
      </c>
    </row>
    <row r="7051" spans="27:30">
      <c r="AA7051" s="117">
        <f>+'Ingredient List - Mother Tinctu'!D7052</f>
        <v>0</v>
      </c>
      <c r="AB7051" s="117">
        <f t="shared" si="113"/>
        <v>0</v>
      </c>
      <c r="AC7051" s="117" t="str">
        <f>IF(AB7051=1,COUNTIF($AB$3:AB7051,1),"")</f>
        <v/>
      </c>
      <c r="AD7051" s="117" t="str">
        <f>IFERROR(INDEX($AA$3:$AA$10000,MATCH(ROWS($AC$3:AC7051),$AC$3:$AC$10000,0)),"")</f>
        <v/>
      </c>
    </row>
    <row r="7052" spans="27:30">
      <c r="AA7052" s="117">
        <f>+'Ingredient List - Mother Tinctu'!D7053</f>
        <v>0</v>
      </c>
      <c r="AB7052" s="117">
        <f t="shared" si="113"/>
        <v>0</v>
      </c>
      <c r="AC7052" s="117" t="str">
        <f>IF(AB7052=1,COUNTIF($AB$3:AB7052,1),"")</f>
        <v/>
      </c>
      <c r="AD7052" s="117" t="str">
        <f>IFERROR(INDEX($AA$3:$AA$10000,MATCH(ROWS($AC$3:AC7052),$AC$3:$AC$10000,0)),"")</f>
        <v/>
      </c>
    </row>
    <row r="7053" spans="27:30">
      <c r="AA7053" s="117">
        <f>+'Ingredient List - Mother Tinctu'!D7054</f>
        <v>0</v>
      </c>
      <c r="AB7053" s="117">
        <f t="shared" si="113"/>
        <v>0</v>
      </c>
      <c r="AC7053" s="117" t="str">
        <f>IF(AB7053=1,COUNTIF($AB$3:AB7053,1),"")</f>
        <v/>
      </c>
      <c r="AD7053" s="117" t="str">
        <f>IFERROR(INDEX($AA$3:$AA$10000,MATCH(ROWS($AC$3:AC7053),$AC$3:$AC$10000,0)),"")</f>
        <v/>
      </c>
    </row>
    <row r="7054" spans="27:30">
      <c r="AA7054" s="117">
        <f>+'Ingredient List - Mother Tinctu'!D7055</f>
        <v>0</v>
      </c>
      <c r="AB7054" s="117">
        <f t="shared" si="113"/>
        <v>0</v>
      </c>
      <c r="AC7054" s="117" t="str">
        <f>IF(AB7054=1,COUNTIF($AB$3:AB7054,1),"")</f>
        <v/>
      </c>
      <c r="AD7054" s="117" t="str">
        <f>IFERROR(INDEX($AA$3:$AA$10000,MATCH(ROWS($AC$3:AC7054),$AC$3:$AC$10000,0)),"")</f>
        <v/>
      </c>
    </row>
    <row r="7055" spans="27:30">
      <c r="AA7055" s="117">
        <f>+'Ingredient List - Mother Tinctu'!D7056</f>
        <v>0</v>
      </c>
      <c r="AB7055" s="117">
        <f t="shared" si="113"/>
        <v>0</v>
      </c>
      <c r="AC7055" s="117" t="str">
        <f>IF(AB7055=1,COUNTIF($AB$3:AB7055,1),"")</f>
        <v/>
      </c>
      <c r="AD7055" s="117" t="str">
        <f>IFERROR(INDEX($AA$3:$AA$10000,MATCH(ROWS($AC$3:AC7055),$AC$3:$AC$10000,0)),"")</f>
        <v/>
      </c>
    </row>
    <row r="7056" spans="27:30">
      <c r="AA7056" s="117">
        <f>+'Ingredient List - Mother Tinctu'!D7057</f>
        <v>0</v>
      </c>
      <c r="AB7056" s="117">
        <f t="shared" si="113"/>
        <v>0</v>
      </c>
      <c r="AC7056" s="117" t="str">
        <f>IF(AB7056=1,COUNTIF($AB$3:AB7056,1),"")</f>
        <v/>
      </c>
      <c r="AD7056" s="117" t="str">
        <f>IFERROR(INDEX($AA$3:$AA$10000,MATCH(ROWS($AC$3:AC7056),$AC$3:$AC$10000,0)),"")</f>
        <v/>
      </c>
    </row>
    <row r="7057" spans="27:30">
      <c r="AA7057" s="117">
        <f>+'Ingredient List - Mother Tinctu'!D7058</f>
        <v>0</v>
      </c>
      <c r="AB7057" s="117">
        <f t="shared" si="113"/>
        <v>0</v>
      </c>
      <c r="AC7057" s="117" t="str">
        <f>IF(AB7057=1,COUNTIF($AB$3:AB7057,1),"")</f>
        <v/>
      </c>
      <c r="AD7057" s="117" t="str">
        <f>IFERROR(INDEX($AA$3:$AA$10000,MATCH(ROWS($AC$3:AC7057),$AC$3:$AC$10000,0)),"")</f>
        <v/>
      </c>
    </row>
    <row r="7058" spans="27:30">
      <c r="AA7058" s="117">
        <f>+'Ingredient List - Mother Tinctu'!D7059</f>
        <v>0</v>
      </c>
      <c r="AB7058" s="117">
        <f t="shared" si="113"/>
        <v>0</v>
      </c>
      <c r="AC7058" s="117" t="str">
        <f>IF(AB7058=1,COUNTIF($AB$3:AB7058,1),"")</f>
        <v/>
      </c>
      <c r="AD7058" s="117" t="str">
        <f>IFERROR(INDEX($AA$3:$AA$10000,MATCH(ROWS($AC$3:AC7058),$AC$3:$AC$10000,0)),"")</f>
        <v/>
      </c>
    </row>
    <row r="7059" spans="27:30">
      <c r="AA7059" s="117">
        <f>+'Ingredient List - Mother Tinctu'!D7060</f>
        <v>0</v>
      </c>
      <c r="AB7059" s="117">
        <f t="shared" si="113"/>
        <v>0</v>
      </c>
      <c r="AC7059" s="117" t="str">
        <f>IF(AB7059=1,COUNTIF($AB$3:AB7059,1),"")</f>
        <v/>
      </c>
      <c r="AD7059" s="117" t="str">
        <f>IFERROR(INDEX($AA$3:$AA$10000,MATCH(ROWS($AC$3:AC7059),$AC$3:$AC$10000,0)),"")</f>
        <v/>
      </c>
    </row>
    <row r="7060" spans="27:30">
      <c r="AA7060" s="117">
        <f>+'Ingredient List - Mother Tinctu'!D7061</f>
        <v>0</v>
      </c>
      <c r="AB7060" s="117">
        <f t="shared" si="113"/>
        <v>0</v>
      </c>
      <c r="AC7060" s="117" t="str">
        <f>IF(AB7060=1,COUNTIF($AB$3:AB7060,1),"")</f>
        <v/>
      </c>
      <c r="AD7060" s="117" t="str">
        <f>IFERROR(INDEX($AA$3:$AA$10000,MATCH(ROWS($AC$3:AC7060),$AC$3:$AC$10000,0)),"")</f>
        <v/>
      </c>
    </row>
    <row r="7061" spans="27:30">
      <c r="AA7061" s="117">
        <f>+'Ingredient List - Mother Tinctu'!D7062</f>
        <v>0</v>
      </c>
      <c r="AB7061" s="117">
        <f t="shared" si="113"/>
        <v>0</v>
      </c>
      <c r="AC7061" s="117" t="str">
        <f>IF(AB7061=1,COUNTIF($AB$3:AB7061,1),"")</f>
        <v/>
      </c>
      <c r="AD7061" s="117" t="str">
        <f>IFERROR(INDEX($AA$3:$AA$10000,MATCH(ROWS($AC$3:AC7061),$AC$3:$AC$10000,0)),"")</f>
        <v/>
      </c>
    </row>
    <row r="7062" spans="27:30">
      <c r="AA7062" s="117">
        <f>+'Ingredient List - Mother Tinctu'!D7063</f>
        <v>0</v>
      </c>
      <c r="AB7062" s="117">
        <f t="shared" si="113"/>
        <v>0</v>
      </c>
      <c r="AC7062" s="117" t="str">
        <f>IF(AB7062=1,COUNTIF($AB$3:AB7062,1),"")</f>
        <v/>
      </c>
      <c r="AD7062" s="117" t="str">
        <f>IFERROR(INDEX($AA$3:$AA$10000,MATCH(ROWS($AC$3:AC7062),$AC$3:$AC$10000,0)),"")</f>
        <v/>
      </c>
    </row>
    <row r="7063" spans="27:30">
      <c r="AA7063" s="117">
        <f>+'Ingredient List - Mother Tinctu'!D7064</f>
        <v>0</v>
      </c>
      <c r="AB7063" s="117">
        <f t="shared" si="113"/>
        <v>0</v>
      </c>
      <c r="AC7063" s="117" t="str">
        <f>IF(AB7063=1,COUNTIF($AB$3:AB7063,1),"")</f>
        <v/>
      </c>
      <c r="AD7063" s="117" t="str">
        <f>IFERROR(INDEX($AA$3:$AA$10000,MATCH(ROWS($AC$3:AC7063),$AC$3:$AC$10000,0)),"")</f>
        <v/>
      </c>
    </row>
    <row r="7064" spans="27:30">
      <c r="AA7064" s="117">
        <f>+'Ingredient List - Mother Tinctu'!D7065</f>
        <v>0</v>
      </c>
      <c r="AB7064" s="117">
        <f t="shared" si="113"/>
        <v>0</v>
      </c>
      <c r="AC7064" s="117" t="str">
        <f>IF(AB7064=1,COUNTIF($AB$3:AB7064,1),"")</f>
        <v/>
      </c>
      <c r="AD7064" s="117" t="str">
        <f>IFERROR(INDEX($AA$3:$AA$10000,MATCH(ROWS($AC$3:AC7064),$AC$3:$AC$10000,0)),"")</f>
        <v/>
      </c>
    </row>
    <row r="7065" spans="27:30">
      <c r="AA7065" s="117">
        <f>+'Ingredient List - Mother Tinctu'!D7066</f>
        <v>0</v>
      </c>
      <c r="AB7065" s="117">
        <f t="shared" si="113"/>
        <v>0</v>
      </c>
      <c r="AC7065" s="117" t="str">
        <f>IF(AB7065=1,COUNTIF($AB$3:AB7065,1),"")</f>
        <v/>
      </c>
      <c r="AD7065" s="117" t="str">
        <f>IFERROR(INDEX($AA$3:$AA$10000,MATCH(ROWS($AC$3:AC7065),$AC$3:$AC$10000,0)),"")</f>
        <v/>
      </c>
    </row>
    <row r="7066" spans="27:30">
      <c r="AA7066" s="117">
        <f>+'Ingredient List - Mother Tinctu'!D7067</f>
        <v>0</v>
      </c>
      <c r="AB7066" s="117">
        <f t="shared" si="113"/>
        <v>0</v>
      </c>
      <c r="AC7066" s="117" t="str">
        <f>IF(AB7066=1,COUNTIF($AB$3:AB7066,1),"")</f>
        <v/>
      </c>
      <c r="AD7066" s="117" t="str">
        <f>IFERROR(INDEX($AA$3:$AA$10000,MATCH(ROWS($AC$3:AC7066),$AC$3:$AC$10000,0)),"")</f>
        <v/>
      </c>
    </row>
    <row r="7067" spans="27:30">
      <c r="AA7067" s="117">
        <f>+'Ingredient List - Mother Tinctu'!D7068</f>
        <v>0</v>
      </c>
      <c r="AB7067" s="117">
        <f t="shared" si="113"/>
        <v>0</v>
      </c>
      <c r="AC7067" s="117" t="str">
        <f>IF(AB7067=1,COUNTIF($AB$3:AB7067,1),"")</f>
        <v/>
      </c>
      <c r="AD7067" s="117" t="str">
        <f>IFERROR(INDEX($AA$3:$AA$10000,MATCH(ROWS($AC$3:AC7067),$AC$3:$AC$10000,0)),"")</f>
        <v/>
      </c>
    </row>
    <row r="7068" spans="27:30">
      <c r="AA7068" s="117">
        <f>+'Ingredient List - Mother Tinctu'!D7069</f>
        <v>0</v>
      </c>
      <c r="AB7068" s="117">
        <f t="shared" si="113"/>
        <v>0</v>
      </c>
      <c r="AC7068" s="117" t="str">
        <f>IF(AB7068=1,COUNTIF($AB$3:AB7068,1),"")</f>
        <v/>
      </c>
      <c r="AD7068" s="117" t="str">
        <f>IFERROR(INDEX($AA$3:$AA$10000,MATCH(ROWS($AC$3:AC7068),$AC$3:$AC$10000,0)),"")</f>
        <v/>
      </c>
    </row>
    <row r="7069" spans="27:30">
      <c r="AA7069" s="117">
        <f>+'Ingredient List - Mother Tinctu'!D7070</f>
        <v>0</v>
      </c>
      <c r="AB7069" s="117">
        <f t="shared" si="113"/>
        <v>0</v>
      </c>
      <c r="AC7069" s="117" t="str">
        <f>IF(AB7069=1,COUNTIF($AB$3:AB7069,1),"")</f>
        <v/>
      </c>
      <c r="AD7069" s="117" t="str">
        <f>IFERROR(INDEX($AA$3:$AA$10000,MATCH(ROWS($AC$3:AC7069),$AC$3:$AC$10000,0)),"")</f>
        <v/>
      </c>
    </row>
    <row r="7070" spans="27:30">
      <c r="AA7070" s="117">
        <f>+'Ingredient List - Mother Tinctu'!D7071</f>
        <v>0</v>
      </c>
      <c r="AB7070" s="117">
        <f t="shared" si="113"/>
        <v>0</v>
      </c>
      <c r="AC7070" s="117" t="str">
        <f>IF(AB7070=1,COUNTIF($AB$3:AB7070,1),"")</f>
        <v/>
      </c>
      <c r="AD7070" s="117" t="str">
        <f>IFERROR(INDEX($AA$3:$AA$10000,MATCH(ROWS($AC$3:AC7070),$AC$3:$AC$10000,0)),"")</f>
        <v/>
      </c>
    </row>
    <row r="7071" spans="27:30">
      <c r="AA7071" s="117">
        <f>+'Ingredient List - Mother Tinctu'!D7072</f>
        <v>0</v>
      </c>
      <c r="AB7071" s="117">
        <f t="shared" si="113"/>
        <v>0</v>
      </c>
      <c r="AC7071" s="117" t="str">
        <f>IF(AB7071=1,COUNTIF($AB$3:AB7071,1),"")</f>
        <v/>
      </c>
      <c r="AD7071" s="117" t="str">
        <f>IFERROR(INDEX($AA$3:$AA$10000,MATCH(ROWS($AC$3:AC7071),$AC$3:$AC$10000,0)),"")</f>
        <v/>
      </c>
    </row>
    <row r="7072" spans="27:30">
      <c r="AA7072" s="117">
        <f>+'Ingredient List - Mother Tinctu'!D7073</f>
        <v>0</v>
      </c>
      <c r="AB7072" s="117">
        <f t="shared" si="113"/>
        <v>0</v>
      </c>
      <c r="AC7072" s="117" t="str">
        <f>IF(AB7072=1,COUNTIF($AB$3:AB7072,1),"")</f>
        <v/>
      </c>
      <c r="AD7072" s="117" t="str">
        <f>IFERROR(INDEX($AA$3:$AA$10000,MATCH(ROWS($AC$3:AC7072),$AC$3:$AC$10000,0)),"")</f>
        <v/>
      </c>
    </row>
    <row r="7073" spans="27:30">
      <c r="AA7073" s="117">
        <f>+'Ingredient List - Mother Tinctu'!D7074</f>
        <v>0</v>
      </c>
      <c r="AB7073" s="117">
        <f t="shared" si="113"/>
        <v>0</v>
      </c>
      <c r="AC7073" s="117" t="str">
        <f>IF(AB7073=1,COUNTIF($AB$3:AB7073,1),"")</f>
        <v/>
      </c>
      <c r="AD7073" s="117" t="str">
        <f>IFERROR(INDEX($AA$3:$AA$10000,MATCH(ROWS($AC$3:AC7073),$AC$3:$AC$10000,0)),"")</f>
        <v/>
      </c>
    </row>
    <row r="7074" spans="27:30">
      <c r="AA7074" s="117">
        <f>+'Ingredient List - Mother Tinctu'!D7075</f>
        <v>0</v>
      </c>
      <c r="AB7074" s="117">
        <f t="shared" si="113"/>
        <v>0</v>
      </c>
      <c r="AC7074" s="117" t="str">
        <f>IF(AB7074=1,COUNTIF($AB$3:AB7074,1),"")</f>
        <v/>
      </c>
      <c r="AD7074" s="117" t="str">
        <f>IFERROR(INDEX($AA$3:$AA$10000,MATCH(ROWS($AC$3:AC7074),$AC$3:$AC$10000,0)),"")</f>
        <v/>
      </c>
    </row>
    <row r="7075" spans="27:30">
      <c r="AA7075" s="117">
        <f>+'Ingredient List - Mother Tinctu'!D7076</f>
        <v>0</v>
      </c>
      <c r="AB7075" s="117">
        <f t="shared" si="113"/>
        <v>0</v>
      </c>
      <c r="AC7075" s="117" t="str">
        <f>IF(AB7075=1,COUNTIF($AB$3:AB7075,1),"")</f>
        <v/>
      </c>
      <c r="AD7075" s="117" t="str">
        <f>IFERROR(INDEX($AA$3:$AA$10000,MATCH(ROWS($AC$3:AC7075),$AC$3:$AC$10000,0)),"")</f>
        <v/>
      </c>
    </row>
    <row r="7076" spans="27:30">
      <c r="AA7076" s="117">
        <f>+'Ingredient List - Mother Tinctu'!D7077</f>
        <v>0</v>
      </c>
      <c r="AB7076" s="117">
        <f t="shared" si="113"/>
        <v>0</v>
      </c>
      <c r="AC7076" s="117" t="str">
        <f>IF(AB7076=1,COUNTIF($AB$3:AB7076,1),"")</f>
        <v/>
      </c>
      <c r="AD7076" s="117" t="str">
        <f>IFERROR(INDEX($AA$3:$AA$10000,MATCH(ROWS($AC$3:AC7076),$AC$3:$AC$10000,0)),"")</f>
        <v/>
      </c>
    </row>
    <row r="7077" spans="27:30">
      <c r="AA7077" s="117">
        <f>+'Ingredient List - Mother Tinctu'!D7078</f>
        <v>0</v>
      </c>
      <c r="AB7077" s="117">
        <f t="shared" si="113"/>
        <v>0</v>
      </c>
      <c r="AC7077" s="117" t="str">
        <f>IF(AB7077=1,COUNTIF($AB$3:AB7077,1),"")</f>
        <v/>
      </c>
      <c r="AD7077" s="117" t="str">
        <f>IFERROR(INDEX($AA$3:$AA$10000,MATCH(ROWS($AC$3:AC7077),$AC$3:$AC$10000,0)),"")</f>
        <v/>
      </c>
    </row>
    <row r="7078" spans="27:30">
      <c r="AA7078" s="117">
        <f>+'Ingredient List - Mother Tinctu'!D7079</f>
        <v>0</v>
      </c>
      <c r="AB7078" s="117">
        <f t="shared" si="113"/>
        <v>0</v>
      </c>
      <c r="AC7078" s="117" t="str">
        <f>IF(AB7078=1,COUNTIF($AB$3:AB7078,1),"")</f>
        <v/>
      </c>
      <c r="AD7078" s="117" t="str">
        <f>IFERROR(INDEX($AA$3:$AA$10000,MATCH(ROWS($AC$3:AC7078),$AC$3:$AC$10000,0)),"")</f>
        <v/>
      </c>
    </row>
    <row r="7079" spans="27:30">
      <c r="AA7079" s="117">
        <f>+'Ingredient List - Mother Tinctu'!D7080</f>
        <v>0</v>
      </c>
      <c r="AB7079" s="117">
        <f t="shared" si="113"/>
        <v>0</v>
      </c>
      <c r="AC7079" s="117" t="str">
        <f>IF(AB7079=1,COUNTIF($AB$3:AB7079,1),"")</f>
        <v/>
      </c>
      <c r="AD7079" s="117" t="str">
        <f>IFERROR(INDEX($AA$3:$AA$10000,MATCH(ROWS($AC$3:AC7079),$AC$3:$AC$10000,0)),"")</f>
        <v/>
      </c>
    </row>
    <row r="7080" spans="27:30">
      <c r="AA7080" s="117">
        <f>+'Ingredient List - Mother Tinctu'!D7081</f>
        <v>0</v>
      </c>
      <c r="AB7080" s="117">
        <f t="shared" si="113"/>
        <v>0</v>
      </c>
      <c r="AC7080" s="117" t="str">
        <f>IF(AB7080=1,COUNTIF($AB$3:AB7080,1),"")</f>
        <v/>
      </c>
      <c r="AD7080" s="117" t="str">
        <f>IFERROR(INDEX($AA$3:$AA$10000,MATCH(ROWS($AC$3:AC7080),$AC$3:$AC$10000,0)),"")</f>
        <v/>
      </c>
    </row>
    <row r="7081" spans="27:30">
      <c r="AA7081" s="117">
        <f>+'Ingredient List - Mother Tinctu'!D7082</f>
        <v>0</v>
      </c>
      <c r="AB7081" s="117">
        <f t="shared" si="113"/>
        <v>0</v>
      </c>
      <c r="AC7081" s="117" t="str">
        <f>IF(AB7081=1,COUNTIF($AB$3:AB7081,1),"")</f>
        <v/>
      </c>
      <c r="AD7081" s="117" t="str">
        <f>IFERROR(INDEX($AA$3:$AA$10000,MATCH(ROWS($AC$3:AC7081),$AC$3:$AC$10000,0)),"")</f>
        <v/>
      </c>
    </row>
    <row r="7082" spans="27:30">
      <c r="AA7082" s="117">
        <f>+'Ingredient List - Mother Tinctu'!D7083</f>
        <v>0</v>
      </c>
      <c r="AB7082" s="117">
        <f t="shared" si="113"/>
        <v>0</v>
      </c>
      <c r="AC7082" s="117" t="str">
        <f>IF(AB7082=1,COUNTIF($AB$3:AB7082,1),"")</f>
        <v/>
      </c>
      <c r="AD7082" s="117" t="str">
        <f>IFERROR(INDEX($AA$3:$AA$10000,MATCH(ROWS($AC$3:AC7082),$AC$3:$AC$10000,0)),"")</f>
        <v/>
      </c>
    </row>
    <row r="7083" spans="27:30">
      <c r="AA7083" s="117">
        <f>+'Ingredient List - Mother Tinctu'!D7084</f>
        <v>0</v>
      </c>
      <c r="AB7083" s="117">
        <f t="shared" si="113"/>
        <v>0</v>
      </c>
      <c r="AC7083" s="117" t="str">
        <f>IF(AB7083=1,COUNTIF($AB$3:AB7083,1),"")</f>
        <v/>
      </c>
      <c r="AD7083" s="117" t="str">
        <f>IFERROR(INDEX($AA$3:$AA$10000,MATCH(ROWS($AC$3:AC7083),$AC$3:$AC$10000,0)),"")</f>
        <v/>
      </c>
    </row>
    <row r="7084" spans="27:30">
      <c r="AA7084" s="117">
        <f>+'Ingredient List - Mother Tinctu'!D7085</f>
        <v>0</v>
      </c>
      <c r="AB7084" s="117">
        <f t="shared" si="113"/>
        <v>0</v>
      </c>
      <c r="AC7084" s="117" t="str">
        <f>IF(AB7084=1,COUNTIF($AB$3:AB7084,1),"")</f>
        <v/>
      </c>
      <c r="AD7084" s="117" t="str">
        <f>IFERROR(INDEX($AA$3:$AA$10000,MATCH(ROWS($AC$3:AC7084),$AC$3:$AC$10000,0)),"")</f>
        <v/>
      </c>
    </row>
    <row r="7085" spans="27:30">
      <c r="AA7085" s="117">
        <f>+'Ingredient List - Mother Tinctu'!D7086</f>
        <v>0</v>
      </c>
      <c r="AB7085" s="117">
        <f t="shared" si="113"/>
        <v>0</v>
      </c>
      <c r="AC7085" s="117" t="str">
        <f>IF(AB7085=1,COUNTIF($AB$3:AB7085,1),"")</f>
        <v/>
      </c>
      <c r="AD7085" s="117" t="str">
        <f>IFERROR(INDEX($AA$3:$AA$10000,MATCH(ROWS($AC$3:AC7085),$AC$3:$AC$10000,0)),"")</f>
        <v/>
      </c>
    </row>
    <row r="7086" spans="27:30">
      <c r="AA7086" s="117">
        <f>+'Ingredient List - Mother Tinctu'!D7087</f>
        <v>0</v>
      </c>
      <c r="AB7086" s="117">
        <f t="shared" si="113"/>
        <v>0</v>
      </c>
      <c r="AC7086" s="117" t="str">
        <f>IF(AB7086=1,COUNTIF($AB$3:AB7086,1),"")</f>
        <v/>
      </c>
      <c r="AD7086" s="117" t="str">
        <f>IFERROR(INDEX($AA$3:$AA$10000,MATCH(ROWS($AC$3:AC7086),$AC$3:$AC$10000,0)),"")</f>
        <v/>
      </c>
    </row>
    <row r="7087" spans="27:30">
      <c r="AA7087" s="117">
        <f>+'Ingredient List - Mother Tinctu'!D7088</f>
        <v>0</v>
      </c>
      <c r="AB7087" s="117">
        <f t="shared" si="113"/>
        <v>0</v>
      </c>
      <c r="AC7087" s="117" t="str">
        <f>IF(AB7087=1,COUNTIF($AB$3:AB7087,1),"")</f>
        <v/>
      </c>
      <c r="AD7087" s="117" t="str">
        <f>IFERROR(INDEX($AA$3:$AA$10000,MATCH(ROWS($AC$3:AC7087),$AC$3:$AC$10000,0)),"")</f>
        <v/>
      </c>
    </row>
    <row r="7088" spans="27:30">
      <c r="AA7088" s="117">
        <f>+'Ingredient List - Mother Tinctu'!D7089</f>
        <v>0</v>
      </c>
      <c r="AB7088" s="117">
        <f t="shared" si="113"/>
        <v>0</v>
      </c>
      <c r="AC7088" s="117" t="str">
        <f>IF(AB7088=1,COUNTIF($AB$3:AB7088,1),"")</f>
        <v/>
      </c>
      <c r="AD7088" s="117" t="str">
        <f>IFERROR(INDEX($AA$3:$AA$10000,MATCH(ROWS($AC$3:AC7088),$AC$3:$AC$10000,0)),"")</f>
        <v/>
      </c>
    </row>
    <row r="7089" spans="27:30">
      <c r="AA7089" s="117">
        <f>+'Ingredient List - Mother Tinctu'!D7090</f>
        <v>0</v>
      </c>
      <c r="AB7089" s="117">
        <f t="shared" si="113"/>
        <v>0</v>
      </c>
      <c r="AC7089" s="117" t="str">
        <f>IF(AB7089=1,COUNTIF($AB$3:AB7089,1),"")</f>
        <v/>
      </c>
      <c r="AD7089" s="117" t="str">
        <f>IFERROR(INDEX($AA$3:$AA$10000,MATCH(ROWS($AC$3:AC7089),$AC$3:$AC$10000,0)),"")</f>
        <v/>
      </c>
    </row>
    <row r="7090" spans="27:30">
      <c r="AA7090" s="117">
        <f>+'Ingredient List - Mother Tinctu'!D7091</f>
        <v>0</v>
      </c>
      <c r="AB7090" s="117">
        <f t="shared" si="113"/>
        <v>0</v>
      </c>
      <c r="AC7090" s="117" t="str">
        <f>IF(AB7090=1,COUNTIF($AB$3:AB7090,1),"")</f>
        <v/>
      </c>
      <c r="AD7090" s="117" t="str">
        <f>IFERROR(INDEX($AA$3:$AA$10000,MATCH(ROWS($AC$3:AC7090),$AC$3:$AC$10000,0)),"")</f>
        <v/>
      </c>
    </row>
    <row r="7091" spans="27:30">
      <c r="AA7091" s="117">
        <f>+'Ingredient List - Mother Tinctu'!D7092</f>
        <v>0</v>
      </c>
      <c r="AB7091" s="117">
        <f t="shared" si="113"/>
        <v>0</v>
      </c>
      <c r="AC7091" s="117" t="str">
        <f>IF(AB7091=1,COUNTIF($AB$3:AB7091,1),"")</f>
        <v/>
      </c>
      <c r="AD7091" s="117" t="str">
        <f>IFERROR(INDEX($AA$3:$AA$10000,MATCH(ROWS($AC$3:AC7091),$AC$3:$AC$10000,0)),"")</f>
        <v/>
      </c>
    </row>
    <row r="7092" spans="27:30">
      <c r="AA7092" s="117">
        <f>+'Ingredient List - Mother Tinctu'!D7093</f>
        <v>0</v>
      </c>
      <c r="AB7092" s="117">
        <f t="shared" si="113"/>
        <v>0</v>
      </c>
      <c r="AC7092" s="117" t="str">
        <f>IF(AB7092=1,COUNTIF($AB$3:AB7092,1),"")</f>
        <v/>
      </c>
      <c r="AD7092" s="117" t="str">
        <f>IFERROR(INDEX($AA$3:$AA$10000,MATCH(ROWS($AC$3:AC7092),$AC$3:$AC$10000,0)),"")</f>
        <v/>
      </c>
    </row>
    <row r="7093" spans="27:30">
      <c r="AA7093" s="117">
        <f>+'Ingredient List - Mother Tinctu'!D7094</f>
        <v>0</v>
      </c>
      <c r="AB7093" s="117">
        <f t="shared" si="113"/>
        <v>0</v>
      </c>
      <c r="AC7093" s="117" t="str">
        <f>IF(AB7093=1,COUNTIF($AB$3:AB7093,1),"")</f>
        <v/>
      </c>
      <c r="AD7093" s="117" t="str">
        <f>IFERROR(INDEX($AA$3:$AA$10000,MATCH(ROWS($AC$3:AC7093),$AC$3:$AC$10000,0)),"")</f>
        <v/>
      </c>
    </row>
    <row r="7094" spans="27:30">
      <c r="AA7094" s="117">
        <f>+'Ingredient List - Mother Tinctu'!D7095</f>
        <v>0</v>
      </c>
      <c r="AB7094" s="117">
        <f t="shared" si="113"/>
        <v>0</v>
      </c>
      <c r="AC7094" s="117" t="str">
        <f>IF(AB7094=1,COUNTIF($AB$3:AB7094,1),"")</f>
        <v/>
      </c>
      <c r="AD7094" s="117" t="str">
        <f>IFERROR(INDEX($AA$3:$AA$10000,MATCH(ROWS($AC$3:AC7094),$AC$3:$AC$10000,0)),"")</f>
        <v/>
      </c>
    </row>
    <row r="7095" spans="27:30">
      <c r="AA7095" s="117">
        <f>+'Ingredient List - Mother Tinctu'!D7096</f>
        <v>0</v>
      </c>
      <c r="AB7095" s="117">
        <f t="shared" si="113"/>
        <v>0</v>
      </c>
      <c r="AC7095" s="117" t="str">
        <f>IF(AB7095=1,COUNTIF($AB$3:AB7095,1),"")</f>
        <v/>
      </c>
      <c r="AD7095" s="117" t="str">
        <f>IFERROR(INDEX($AA$3:$AA$10000,MATCH(ROWS($AC$3:AC7095),$AC$3:$AC$10000,0)),"")</f>
        <v/>
      </c>
    </row>
    <row r="7096" spans="27:30">
      <c r="AA7096" s="117">
        <f>+'Ingredient List - Mother Tinctu'!D7097</f>
        <v>0</v>
      </c>
      <c r="AB7096" s="117">
        <f t="shared" si="113"/>
        <v>0</v>
      </c>
      <c r="AC7096" s="117" t="str">
        <f>IF(AB7096=1,COUNTIF($AB$3:AB7096,1),"")</f>
        <v/>
      </c>
      <c r="AD7096" s="117" t="str">
        <f>IFERROR(INDEX($AA$3:$AA$10000,MATCH(ROWS($AC$3:AC7096),$AC$3:$AC$10000,0)),"")</f>
        <v/>
      </c>
    </row>
    <row r="7097" spans="27:30">
      <c r="AA7097" s="117">
        <f>+'Ingredient List - Mother Tinctu'!D7098</f>
        <v>0</v>
      </c>
      <c r="AB7097" s="117">
        <f t="shared" si="113"/>
        <v>0</v>
      </c>
      <c r="AC7097" s="117" t="str">
        <f>IF(AB7097=1,COUNTIF($AB$3:AB7097,1),"")</f>
        <v/>
      </c>
      <c r="AD7097" s="117" t="str">
        <f>IFERROR(INDEX($AA$3:$AA$10000,MATCH(ROWS($AC$3:AC7097),$AC$3:$AC$10000,0)),"")</f>
        <v/>
      </c>
    </row>
    <row r="7098" spans="27:30">
      <c r="AA7098" s="117">
        <f>+'Ingredient List - Mother Tinctu'!D7099</f>
        <v>0</v>
      </c>
      <c r="AB7098" s="117">
        <f t="shared" si="113"/>
        <v>0</v>
      </c>
      <c r="AC7098" s="117" t="str">
        <f>IF(AB7098=1,COUNTIF($AB$3:AB7098,1),"")</f>
        <v/>
      </c>
      <c r="AD7098" s="117" t="str">
        <f>IFERROR(INDEX($AA$3:$AA$10000,MATCH(ROWS($AC$3:AC7098),$AC$3:$AC$10000,0)),"")</f>
        <v/>
      </c>
    </row>
    <row r="7099" spans="27:30">
      <c r="AA7099" s="117">
        <f>+'Ingredient List - Mother Tinctu'!D7100</f>
        <v>0</v>
      </c>
      <c r="AB7099" s="117">
        <f t="shared" si="113"/>
        <v>0</v>
      </c>
      <c r="AC7099" s="117" t="str">
        <f>IF(AB7099=1,COUNTIF($AB$3:AB7099,1),"")</f>
        <v/>
      </c>
      <c r="AD7099" s="117" t="str">
        <f>IFERROR(INDEX($AA$3:$AA$10000,MATCH(ROWS($AC$3:AC7099),$AC$3:$AC$10000,0)),"")</f>
        <v/>
      </c>
    </row>
    <row r="7100" spans="27:30">
      <c r="AA7100" s="117">
        <f>+'Ingredient List - Mother Tinctu'!D7101</f>
        <v>0</v>
      </c>
      <c r="AB7100" s="117">
        <f t="shared" si="113"/>
        <v>0</v>
      </c>
      <c r="AC7100" s="117" t="str">
        <f>IF(AB7100=1,COUNTIF($AB$3:AB7100,1),"")</f>
        <v/>
      </c>
      <c r="AD7100" s="117" t="str">
        <f>IFERROR(INDEX($AA$3:$AA$10000,MATCH(ROWS($AC$3:AC7100),$AC$3:$AC$10000,0)),"")</f>
        <v/>
      </c>
    </row>
    <row r="7101" spans="27:30">
      <c r="AA7101" s="117">
        <f>+'Ingredient List - Mother Tinctu'!D7102</f>
        <v>0</v>
      </c>
      <c r="AB7101" s="117">
        <f t="shared" si="113"/>
        <v>0</v>
      </c>
      <c r="AC7101" s="117" t="str">
        <f>IF(AB7101=1,COUNTIF($AB$3:AB7101,1),"")</f>
        <v/>
      </c>
      <c r="AD7101" s="117" t="str">
        <f>IFERROR(INDEX($AA$3:$AA$10000,MATCH(ROWS($AC$3:AC7101),$AC$3:$AC$10000,0)),"")</f>
        <v/>
      </c>
    </row>
    <row r="7102" spans="27:30">
      <c r="AA7102" s="117">
        <f>+'Ingredient List - Mother Tinctu'!D7103</f>
        <v>0</v>
      </c>
      <c r="AB7102" s="117">
        <f t="shared" si="113"/>
        <v>0</v>
      </c>
      <c r="AC7102" s="117" t="str">
        <f>IF(AB7102=1,COUNTIF($AB$3:AB7102,1),"")</f>
        <v/>
      </c>
      <c r="AD7102" s="117" t="str">
        <f>IFERROR(INDEX($AA$3:$AA$10000,MATCH(ROWS($AC$3:AC7102),$AC$3:$AC$10000,0)),"")</f>
        <v/>
      </c>
    </row>
    <row r="7103" spans="27:30">
      <c r="AA7103" s="117">
        <f>+'Ingredient List - Mother Tinctu'!D7104</f>
        <v>0</v>
      </c>
      <c r="AB7103" s="117">
        <f t="shared" si="113"/>
        <v>0</v>
      </c>
      <c r="AC7103" s="117" t="str">
        <f>IF(AB7103=1,COUNTIF($AB$3:AB7103,1),"")</f>
        <v/>
      </c>
      <c r="AD7103" s="117" t="str">
        <f>IFERROR(INDEX($AA$3:$AA$10000,MATCH(ROWS($AC$3:AC7103),$AC$3:$AC$10000,0)),"")</f>
        <v/>
      </c>
    </row>
    <row r="7104" spans="27:30">
      <c r="AA7104" s="117">
        <f>+'Ingredient List - Mother Tinctu'!D7105</f>
        <v>0</v>
      </c>
      <c r="AB7104" s="117">
        <f t="shared" si="113"/>
        <v>0</v>
      </c>
      <c r="AC7104" s="117" t="str">
        <f>IF(AB7104=1,COUNTIF($AB$3:AB7104,1),"")</f>
        <v/>
      </c>
      <c r="AD7104" s="117" t="str">
        <f>IFERROR(INDEX($AA$3:$AA$10000,MATCH(ROWS($AC$3:AC7104),$AC$3:$AC$10000,0)),"")</f>
        <v/>
      </c>
    </row>
    <row r="7105" spans="27:30">
      <c r="AA7105" s="117">
        <f>+'Ingredient List - Mother Tinctu'!D7106</f>
        <v>0</v>
      </c>
      <c r="AB7105" s="117">
        <f t="shared" si="113"/>
        <v>0</v>
      </c>
      <c r="AC7105" s="117" t="str">
        <f>IF(AB7105=1,COUNTIF($AB$3:AB7105,1),"")</f>
        <v/>
      </c>
      <c r="AD7105" s="117" t="str">
        <f>IFERROR(INDEX($AA$3:$AA$10000,MATCH(ROWS($AC$3:AC7105),$AC$3:$AC$10000,0)),"")</f>
        <v/>
      </c>
    </row>
    <row r="7106" spans="27:30">
      <c r="AA7106" s="117">
        <f>+'Ingredient List - Mother Tinctu'!D7107</f>
        <v>0</v>
      </c>
      <c r="AB7106" s="117">
        <f t="shared" si="113"/>
        <v>0</v>
      </c>
      <c r="AC7106" s="117" t="str">
        <f>IF(AB7106=1,COUNTIF($AB$3:AB7106,1),"")</f>
        <v/>
      </c>
      <c r="AD7106" s="117" t="str">
        <f>IFERROR(INDEX($AA$3:$AA$10000,MATCH(ROWS($AC$3:AC7106),$AC$3:$AC$10000,0)),"")</f>
        <v/>
      </c>
    </row>
    <row r="7107" spans="27:30">
      <c r="AA7107" s="117">
        <f>+'Ingredient List - Mother Tinctu'!D7108</f>
        <v>0</v>
      </c>
      <c r="AB7107" s="117">
        <f t="shared" si="113"/>
        <v>0</v>
      </c>
      <c r="AC7107" s="117" t="str">
        <f>IF(AB7107=1,COUNTIF($AB$3:AB7107,1),"")</f>
        <v/>
      </c>
      <c r="AD7107" s="117" t="str">
        <f>IFERROR(INDEX($AA$3:$AA$10000,MATCH(ROWS($AC$3:AC7107),$AC$3:$AC$10000,0)),"")</f>
        <v/>
      </c>
    </row>
    <row r="7108" spans="27:30">
      <c r="AA7108" s="117">
        <f>+'Ingredient List - Mother Tinctu'!D7109</f>
        <v>0</v>
      </c>
      <c r="AB7108" s="117">
        <f t="shared" ref="AB7108:AB7171" si="114">--ISNUMBER(IFERROR(SEARCH($D$3,AA7108,1),""))</f>
        <v>0</v>
      </c>
      <c r="AC7108" s="117" t="str">
        <f>IF(AB7108=1,COUNTIF($AB$3:AB7108,1),"")</f>
        <v/>
      </c>
      <c r="AD7108" s="117" t="str">
        <f>IFERROR(INDEX($AA$3:$AA$10000,MATCH(ROWS($AC$3:AC7108),$AC$3:$AC$10000,0)),"")</f>
        <v/>
      </c>
    </row>
    <row r="7109" spans="27:30">
      <c r="AA7109" s="117">
        <f>+'Ingredient List - Mother Tinctu'!D7110</f>
        <v>0</v>
      </c>
      <c r="AB7109" s="117">
        <f t="shared" si="114"/>
        <v>0</v>
      </c>
      <c r="AC7109" s="117" t="str">
        <f>IF(AB7109=1,COUNTIF($AB$3:AB7109,1),"")</f>
        <v/>
      </c>
      <c r="AD7109" s="117" t="str">
        <f>IFERROR(INDEX($AA$3:$AA$10000,MATCH(ROWS($AC$3:AC7109),$AC$3:$AC$10000,0)),"")</f>
        <v/>
      </c>
    </row>
    <row r="7110" spans="27:30">
      <c r="AA7110" s="117">
        <f>+'Ingredient List - Mother Tinctu'!D7111</f>
        <v>0</v>
      </c>
      <c r="AB7110" s="117">
        <f t="shared" si="114"/>
        <v>0</v>
      </c>
      <c r="AC7110" s="117" t="str">
        <f>IF(AB7110=1,COUNTIF($AB$3:AB7110,1),"")</f>
        <v/>
      </c>
      <c r="AD7110" s="117" t="str">
        <f>IFERROR(INDEX($AA$3:$AA$10000,MATCH(ROWS($AC$3:AC7110),$AC$3:$AC$10000,0)),"")</f>
        <v/>
      </c>
    </row>
    <row r="7111" spans="27:30">
      <c r="AA7111" s="117">
        <f>+'Ingredient List - Mother Tinctu'!D7112</f>
        <v>0</v>
      </c>
      <c r="AB7111" s="117">
        <f t="shared" si="114"/>
        <v>0</v>
      </c>
      <c r="AC7111" s="117" t="str">
        <f>IF(AB7111=1,COUNTIF($AB$3:AB7111,1),"")</f>
        <v/>
      </c>
      <c r="AD7111" s="117" t="str">
        <f>IFERROR(INDEX($AA$3:$AA$10000,MATCH(ROWS($AC$3:AC7111),$AC$3:$AC$10000,0)),"")</f>
        <v/>
      </c>
    </row>
    <row r="7112" spans="27:30">
      <c r="AA7112" s="117">
        <f>+'Ingredient List - Mother Tinctu'!D7113</f>
        <v>0</v>
      </c>
      <c r="AB7112" s="117">
        <f t="shared" si="114"/>
        <v>0</v>
      </c>
      <c r="AC7112" s="117" t="str">
        <f>IF(AB7112=1,COUNTIF($AB$3:AB7112,1),"")</f>
        <v/>
      </c>
      <c r="AD7112" s="117" t="str">
        <f>IFERROR(INDEX($AA$3:$AA$10000,MATCH(ROWS($AC$3:AC7112),$AC$3:$AC$10000,0)),"")</f>
        <v/>
      </c>
    </row>
    <row r="7113" spans="27:30">
      <c r="AA7113" s="117">
        <f>+'Ingredient List - Mother Tinctu'!D7114</f>
        <v>0</v>
      </c>
      <c r="AB7113" s="117">
        <f t="shared" si="114"/>
        <v>0</v>
      </c>
      <c r="AC7113" s="117" t="str">
        <f>IF(AB7113=1,COUNTIF($AB$3:AB7113,1),"")</f>
        <v/>
      </c>
      <c r="AD7113" s="117" t="str">
        <f>IFERROR(INDEX($AA$3:$AA$10000,MATCH(ROWS($AC$3:AC7113),$AC$3:$AC$10000,0)),"")</f>
        <v/>
      </c>
    </row>
    <row r="7114" spans="27:30">
      <c r="AA7114" s="117">
        <f>+'Ingredient List - Mother Tinctu'!D7115</f>
        <v>0</v>
      </c>
      <c r="AB7114" s="117">
        <f t="shared" si="114"/>
        <v>0</v>
      </c>
      <c r="AC7114" s="117" t="str">
        <f>IF(AB7114=1,COUNTIF($AB$3:AB7114,1),"")</f>
        <v/>
      </c>
      <c r="AD7114" s="117" t="str">
        <f>IFERROR(INDEX($AA$3:$AA$10000,MATCH(ROWS($AC$3:AC7114),$AC$3:$AC$10000,0)),"")</f>
        <v/>
      </c>
    </row>
    <row r="7115" spans="27:30">
      <c r="AA7115" s="117">
        <f>+'Ingredient List - Mother Tinctu'!D7116</f>
        <v>0</v>
      </c>
      <c r="AB7115" s="117">
        <f t="shared" si="114"/>
        <v>0</v>
      </c>
      <c r="AC7115" s="117" t="str">
        <f>IF(AB7115=1,COUNTIF($AB$3:AB7115,1),"")</f>
        <v/>
      </c>
      <c r="AD7115" s="117" t="str">
        <f>IFERROR(INDEX($AA$3:$AA$10000,MATCH(ROWS($AC$3:AC7115),$AC$3:$AC$10000,0)),"")</f>
        <v/>
      </c>
    </row>
    <row r="7116" spans="27:30">
      <c r="AA7116" s="117">
        <f>+'Ingredient List - Mother Tinctu'!D7117</f>
        <v>0</v>
      </c>
      <c r="AB7116" s="117">
        <f t="shared" si="114"/>
        <v>0</v>
      </c>
      <c r="AC7116" s="117" t="str">
        <f>IF(AB7116=1,COUNTIF($AB$3:AB7116,1),"")</f>
        <v/>
      </c>
      <c r="AD7116" s="117" t="str">
        <f>IFERROR(INDEX($AA$3:$AA$10000,MATCH(ROWS($AC$3:AC7116),$AC$3:$AC$10000,0)),"")</f>
        <v/>
      </c>
    </row>
    <row r="7117" spans="27:30">
      <c r="AA7117" s="117">
        <f>+'Ingredient List - Mother Tinctu'!D7118</f>
        <v>0</v>
      </c>
      <c r="AB7117" s="117">
        <f t="shared" si="114"/>
        <v>0</v>
      </c>
      <c r="AC7117" s="117" t="str">
        <f>IF(AB7117=1,COUNTIF($AB$3:AB7117,1),"")</f>
        <v/>
      </c>
      <c r="AD7117" s="117" t="str">
        <f>IFERROR(INDEX($AA$3:$AA$10000,MATCH(ROWS($AC$3:AC7117),$AC$3:$AC$10000,0)),"")</f>
        <v/>
      </c>
    </row>
    <row r="7118" spans="27:30">
      <c r="AA7118" s="117">
        <f>+'Ingredient List - Mother Tinctu'!D7119</f>
        <v>0</v>
      </c>
      <c r="AB7118" s="117">
        <f t="shared" si="114"/>
        <v>0</v>
      </c>
      <c r="AC7118" s="117" t="str">
        <f>IF(AB7118=1,COUNTIF($AB$3:AB7118,1),"")</f>
        <v/>
      </c>
      <c r="AD7118" s="117" t="str">
        <f>IFERROR(INDEX($AA$3:$AA$10000,MATCH(ROWS($AC$3:AC7118),$AC$3:$AC$10000,0)),"")</f>
        <v/>
      </c>
    </row>
    <row r="7119" spans="27:30">
      <c r="AA7119" s="117">
        <f>+'Ingredient List - Mother Tinctu'!D7120</f>
        <v>0</v>
      </c>
      <c r="AB7119" s="117">
        <f t="shared" si="114"/>
        <v>0</v>
      </c>
      <c r="AC7119" s="117" t="str">
        <f>IF(AB7119=1,COUNTIF($AB$3:AB7119,1),"")</f>
        <v/>
      </c>
      <c r="AD7119" s="117" t="str">
        <f>IFERROR(INDEX($AA$3:$AA$10000,MATCH(ROWS($AC$3:AC7119),$AC$3:$AC$10000,0)),"")</f>
        <v/>
      </c>
    </row>
    <row r="7120" spans="27:30">
      <c r="AA7120" s="117">
        <f>+'Ingredient List - Mother Tinctu'!D7121</f>
        <v>0</v>
      </c>
      <c r="AB7120" s="117">
        <f t="shared" si="114"/>
        <v>0</v>
      </c>
      <c r="AC7120" s="117" t="str">
        <f>IF(AB7120=1,COUNTIF($AB$3:AB7120,1),"")</f>
        <v/>
      </c>
      <c r="AD7120" s="117" t="str">
        <f>IFERROR(INDEX($AA$3:$AA$10000,MATCH(ROWS($AC$3:AC7120),$AC$3:$AC$10000,0)),"")</f>
        <v/>
      </c>
    </row>
    <row r="7121" spans="27:30">
      <c r="AA7121" s="117">
        <f>+'Ingredient List - Mother Tinctu'!D7122</f>
        <v>0</v>
      </c>
      <c r="AB7121" s="117">
        <f t="shared" si="114"/>
        <v>0</v>
      </c>
      <c r="AC7121" s="117" t="str">
        <f>IF(AB7121=1,COUNTIF($AB$3:AB7121,1),"")</f>
        <v/>
      </c>
      <c r="AD7121" s="117" t="str">
        <f>IFERROR(INDEX($AA$3:$AA$10000,MATCH(ROWS($AC$3:AC7121),$AC$3:$AC$10000,0)),"")</f>
        <v/>
      </c>
    </row>
    <row r="7122" spans="27:30">
      <c r="AA7122" s="117">
        <f>+'Ingredient List - Mother Tinctu'!D7123</f>
        <v>0</v>
      </c>
      <c r="AB7122" s="117">
        <f t="shared" si="114"/>
        <v>0</v>
      </c>
      <c r="AC7122" s="117" t="str">
        <f>IF(AB7122=1,COUNTIF($AB$3:AB7122,1),"")</f>
        <v/>
      </c>
      <c r="AD7122" s="117" t="str">
        <f>IFERROR(INDEX($AA$3:$AA$10000,MATCH(ROWS($AC$3:AC7122),$AC$3:$AC$10000,0)),"")</f>
        <v/>
      </c>
    </row>
    <row r="7123" spans="27:30">
      <c r="AA7123" s="117">
        <f>+'Ingredient List - Mother Tinctu'!D7124</f>
        <v>0</v>
      </c>
      <c r="AB7123" s="117">
        <f t="shared" si="114"/>
        <v>0</v>
      </c>
      <c r="AC7123" s="117" t="str">
        <f>IF(AB7123=1,COUNTIF($AB$3:AB7123,1),"")</f>
        <v/>
      </c>
      <c r="AD7123" s="117" t="str">
        <f>IFERROR(INDEX($AA$3:$AA$10000,MATCH(ROWS($AC$3:AC7123),$AC$3:$AC$10000,0)),"")</f>
        <v/>
      </c>
    </row>
    <row r="7124" spans="27:30">
      <c r="AA7124" s="117">
        <f>+'Ingredient List - Mother Tinctu'!D7125</f>
        <v>0</v>
      </c>
      <c r="AB7124" s="117">
        <f t="shared" si="114"/>
        <v>0</v>
      </c>
      <c r="AC7124" s="117" t="str">
        <f>IF(AB7124=1,COUNTIF($AB$3:AB7124,1),"")</f>
        <v/>
      </c>
      <c r="AD7124" s="117" t="str">
        <f>IFERROR(INDEX($AA$3:$AA$10000,MATCH(ROWS($AC$3:AC7124),$AC$3:$AC$10000,0)),"")</f>
        <v/>
      </c>
    </row>
    <row r="7125" spans="27:30">
      <c r="AA7125" s="117">
        <f>+'Ingredient List - Mother Tinctu'!D7126</f>
        <v>0</v>
      </c>
      <c r="AB7125" s="117">
        <f t="shared" si="114"/>
        <v>0</v>
      </c>
      <c r="AC7125" s="117" t="str">
        <f>IF(AB7125=1,COUNTIF($AB$3:AB7125,1),"")</f>
        <v/>
      </c>
      <c r="AD7125" s="117" t="str">
        <f>IFERROR(INDEX($AA$3:$AA$10000,MATCH(ROWS($AC$3:AC7125),$AC$3:$AC$10000,0)),"")</f>
        <v/>
      </c>
    </row>
    <row r="7126" spans="27:30">
      <c r="AA7126" s="117">
        <f>+'Ingredient List - Mother Tinctu'!D7127</f>
        <v>0</v>
      </c>
      <c r="AB7126" s="117">
        <f t="shared" si="114"/>
        <v>0</v>
      </c>
      <c r="AC7126" s="117" t="str">
        <f>IF(AB7126=1,COUNTIF($AB$3:AB7126,1),"")</f>
        <v/>
      </c>
      <c r="AD7126" s="117" t="str">
        <f>IFERROR(INDEX($AA$3:$AA$10000,MATCH(ROWS($AC$3:AC7126),$AC$3:$AC$10000,0)),"")</f>
        <v/>
      </c>
    </row>
    <row r="7127" spans="27:30">
      <c r="AA7127" s="117">
        <f>+'Ingredient List - Mother Tinctu'!D7128</f>
        <v>0</v>
      </c>
      <c r="AB7127" s="117">
        <f t="shared" si="114"/>
        <v>0</v>
      </c>
      <c r="AC7127" s="117" t="str">
        <f>IF(AB7127=1,COUNTIF($AB$3:AB7127,1),"")</f>
        <v/>
      </c>
      <c r="AD7127" s="117" t="str">
        <f>IFERROR(INDEX($AA$3:$AA$10000,MATCH(ROWS($AC$3:AC7127),$AC$3:$AC$10000,0)),"")</f>
        <v/>
      </c>
    </row>
    <row r="7128" spans="27:30">
      <c r="AA7128" s="117">
        <f>+'Ingredient List - Mother Tinctu'!D7129</f>
        <v>0</v>
      </c>
      <c r="AB7128" s="117">
        <f t="shared" si="114"/>
        <v>0</v>
      </c>
      <c r="AC7128" s="117" t="str">
        <f>IF(AB7128=1,COUNTIF($AB$3:AB7128,1),"")</f>
        <v/>
      </c>
      <c r="AD7128" s="117" t="str">
        <f>IFERROR(INDEX($AA$3:$AA$10000,MATCH(ROWS($AC$3:AC7128),$AC$3:$AC$10000,0)),"")</f>
        <v/>
      </c>
    </row>
    <row r="7129" spans="27:30">
      <c r="AA7129" s="117">
        <f>+'Ingredient List - Mother Tinctu'!D7130</f>
        <v>0</v>
      </c>
      <c r="AB7129" s="117">
        <f t="shared" si="114"/>
        <v>0</v>
      </c>
      <c r="AC7129" s="117" t="str">
        <f>IF(AB7129=1,COUNTIF($AB$3:AB7129,1),"")</f>
        <v/>
      </c>
      <c r="AD7129" s="117" t="str">
        <f>IFERROR(INDEX($AA$3:$AA$10000,MATCH(ROWS($AC$3:AC7129),$AC$3:$AC$10000,0)),"")</f>
        <v/>
      </c>
    </row>
    <row r="7130" spans="27:30">
      <c r="AA7130" s="117">
        <f>+'Ingredient List - Mother Tinctu'!D7131</f>
        <v>0</v>
      </c>
      <c r="AB7130" s="117">
        <f t="shared" si="114"/>
        <v>0</v>
      </c>
      <c r="AC7130" s="117" t="str">
        <f>IF(AB7130=1,COUNTIF($AB$3:AB7130,1),"")</f>
        <v/>
      </c>
      <c r="AD7130" s="117" t="str">
        <f>IFERROR(INDEX($AA$3:$AA$10000,MATCH(ROWS($AC$3:AC7130),$AC$3:$AC$10000,0)),"")</f>
        <v/>
      </c>
    </row>
    <row r="7131" spans="27:30">
      <c r="AA7131" s="117">
        <f>+'Ingredient List - Mother Tinctu'!D7132</f>
        <v>0</v>
      </c>
      <c r="AB7131" s="117">
        <f t="shared" si="114"/>
        <v>0</v>
      </c>
      <c r="AC7131" s="117" t="str">
        <f>IF(AB7131=1,COUNTIF($AB$3:AB7131,1),"")</f>
        <v/>
      </c>
      <c r="AD7131" s="117" t="str">
        <f>IFERROR(INDEX($AA$3:$AA$10000,MATCH(ROWS($AC$3:AC7131),$AC$3:$AC$10000,0)),"")</f>
        <v/>
      </c>
    </row>
    <row r="7132" spans="27:30">
      <c r="AA7132" s="117">
        <f>+'Ingredient List - Mother Tinctu'!D7133</f>
        <v>0</v>
      </c>
      <c r="AB7132" s="117">
        <f t="shared" si="114"/>
        <v>0</v>
      </c>
      <c r="AC7132" s="117" t="str">
        <f>IF(AB7132=1,COUNTIF($AB$3:AB7132,1),"")</f>
        <v/>
      </c>
      <c r="AD7132" s="117" t="str">
        <f>IFERROR(INDEX($AA$3:$AA$10000,MATCH(ROWS($AC$3:AC7132),$AC$3:$AC$10000,0)),"")</f>
        <v/>
      </c>
    </row>
    <row r="7133" spans="27:30">
      <c r="AA7133" s="117">
        <f>+'Ingredient List - Mother Tinctu'!D7134</f>
        <v>0</v>
      </c>
      <c r="AB7133" s="117">
        <f t="shared" si="114"/>
        <v>0</v>
      </c>
      <c r="AC7133" s="117" t="str">
        <f>IF(AB7133=1,COUNTIF($AB$3:AB7133,1),"")</f>
        <v/>
      </c>
      <c r="AD7133" s="117" t="str">
        <f>IFERROR(INDEX($AA$3:$AA$10000,MATCH(ROWS($AC$3:AC7133),$AC$3:$AC$10000,0)),"")</f>
        <v/>
      </c>
    </row>
    <row r="7134" spans="27:30">
      <c r="AA7134" s="117">
        <f>+'Ingredient List - Mother Tinctu'!D7135</f>
        <v>0</v>
      </c>
      <c r="AB7134" s="117">
        <f t="shared" si="114"/>
        <v>0</v>
      </c>
      <c r="AC7134" s="117" t="str">
        <f>IF(AB7134=1,COUNTIF($AB$3:AB7134,1),"")</f>
        <v/>
      </c>
      <c r="AD7134" s="117" t="str">
        <f>IFERROR(INDEX($AA$3:$AA$10000,MATCH(ROWS($AC$3:AC7134),$AC$3:$AC$10000,0)),"")</f>
        <v/>
      </c>
    </row>
    <row r="7135" spans="27:30">
      <c r="AA7135" s="117">
        <f>+'Ingredient List - Mother Tinctu'!D7136</f>
        <v>0</v>
      </c>
      <c r="AB7135" s="117">
        <f t="shared" si="114"/>
        <v>0</v>
      </c>
      <c r="AC7135" s="117" t="str">
        <f>IF(AB7135=1,COUNTIF($AB$3:AB7135,1),"")</f>
        <v/>
      </c>
      <c r="AD7135" s="117" t="str">
        <f>IFERROR(INDEX($AA$3:$AA$10000,MATCH(ROWS($AC$3:AC7135),$AC$3:$AC$10000,0)),"")</f>
        <v/>
      </c>
    </row>
    <row r="7136" spans="27:30">
      <c r="AA7136" s="117">
        <f>+'Ingredient List - Mother Tinctu'!D7137</f>
        <v>0</v>
      </c>
      <c r="AB7136" s="117">
        <f t="shared" si="114"/>
        <v>0</v>
      </c>
      <c r="AC7136" s="117" t="str">
        <f>IF(AB7136=1,COUNTIF($AB$3:AB7136,1),"")</f>
        <v/>
      </c>
      <c r="AD7136" s="117" t="str">
        <f>IFERROR(INDEX($AA$3:$AA$10000,MATCH(ROWS($AC$3:AC7136),$AC$3:$AC$10000,0)),"")</f>
        <v/>
      </c>
    </row>
    <row r="7137" spans="27:30">
      <c r="AA7137" s="117">
        <f>+'Ingredient List - Mother Tinctu'!D7138</f>
        <v>0</v>
      </c>
      <c r="AB7137" s="117">
        <f t="shared" si="114"/>
        <v>0</v>
      </c>
      <c r="AC7137" s="117" t="str">
        <f>IF(AB7137=1,COUNTIF($AB$3:AB7137,1),"")</f>
        <v/>
      </c>
      <c r="AD7137" s="117" t="str">
        <f>IFERROR(INDEX($AA$3:$AA$10000,MATCH(ROWS($AC$3:AC7137),$AC$3:$AC$10000,0)),"")</f>
        <v/>
      </c>
    </row>
    <row r="7138" spans="27:30">
      <c r="AA7138" s="117">
        <f>+'Ingredient List - Mother Tinctu'!D7139</f>
        <v>0</v>
      </c>
      <c r="AB7138" s="117">
        <f t="shared" si="114"/>
        <v>0</v>
      </c>
      <c r="AC7138" s="117" t="str">
        <f>IF(AB7138=1,COUNTIF($AB$3:AB7138,1),"")</f>
        <v/>
      </c>
      <c r="AD7138" s="117" t="str">
        <f>IFERROR(INDEX($AA$3:$AA$10000,MATCH(ROWS($AC$3:AC7138),$AC$3:$AC$10000,0)),"")</f>
        <v/>
      </c>
    </row>
    <row r="7139" spans="27:30">
      <c r="AA7139" s="117">
        <f>+'Ingredient List - Mother Tinctu'!D7140</f>
        <v>0</v>
      </c>
      <c r="AB7139" s="117">
        <f t="shared" si="114"/>
        <v>0</v>
      </c>
      <c r="AC7139" s="117" t="str">
        <f>IF(AB7139=1,COUNTIF($AB$3:AB7139,1),"")</f>
        <v/>
      </c>
      <c r="AD7139" s="117" t="str">
        <f>IFERROR(INDEX($AA$3:$AA$10000,MATCH(ROWS($AC$3:AC7139),$AC$3:$AC$10000,0)),"")</f>
        <v/>
      </c>
    </row>
    <row r="7140" spans="27:30">
      <c r="AA7140" s="117">
        <f>+'Ingredient List - Mother Tinctu'!D7141</f>
        <v>0</v>
      </c>
      <c r="AB7140" s="117">
        <f t="shared" si="114"/>
        <v>0</v>
      </c>
      <c r="AC7140" s="117" t="str">
        <f>IF(AB7140=1,COUNTIF($AB$3:AB7140,1),"")</f>
        <v/>
      </c>
      <c r="AD7140" s="117" t="str">
        <f>IFERROR(INDEX($AA$3:$AA$10000,MATCH(ROWS($AC$3:AC7140),$AC$3:$AC$10000,0)),"")</f>
        <v/>
      </c>
    </row>
    <row r="7141" spans="27:30">
      <c r="AA7141" s="117">
        <f>+'Ingredient List - Mother Tinctu'!D7142</f>
        <v>0</v>
      </c>
      <c r="AB7141" s="117">
        <f t="shared" si="114"/>
        <v>0</v>
      </c>
      <c r="AC7141" s="117" t="str">
        <f>IF(AB7141=1,COUNTIF($AB$3:AB7141,1),"")</f>
        <v/>
      </c>
      <c r="AD7141" s="117" t="str">
        <f>IFERROR(INDEX($AA$3:$AA$10000,MATCH(ROWS($AC$3:AC7141),$AC$3:$AC$10000,0)),"")</f>
        <v/>
      </c>
    </row>
    <row r="7142" spans="27:30">
      <c r="AA7142" s="117">
        <f>+'Ingredient List - Mother Tinctu'!D7143</f>
        <v>0</v>
      </c>
      <c r="AB7142" s="117">
        <f t="shared" si="114"/>
        <v>0</v>
      </c>
      <c r="AC7142" s="117" t="str">
        <f>IF(AB7142=1,COUNTIF($AB$3:AB7142,1),"")</f>
        <v/>
      </c>
      <c r="AD7142" s="117" t="str">
        <f>IFERROR(INDEX($AA$3:$AA$10000,MATCH(ROWS($AC$3:AC7142),$AC$3:$AC$10000,0)),"")</f>
        <v/>
      </c>
    </row>
    <row r="7143" spans="27:30">
      <c r="AA7143" s="117">
        <f>+'Ingredient List - Mother Tinctu'!D7144</f>
        <v>0</v>
      </c>
      <c r="AB7143" s="117">
        <f t="shared" si="114"/>
        <v>0</v>
      </c>
      <c r="AC7143" s="117" t="str">
        <f>IF(AB7143=1,COUNTIF($AB$3:AB7143,1),"")</f>
        <v/>
      </c>
      <c r="AD7143" s="117" t="str">
        <f>IFERROR(INDEX($AA$3:$AA$10000,MATCH(ROWS($AC$3:AC7143),$AC$3:$AC$10000,0)),"")</f>
        <v/>
      </c>
    </row>
    <row r="7144" spans="27:30">
      <c r="AA7144" s="117">
        <f>+'Ingredient List - Mother Tinctu'!D7145</f>
        <v>0</v>
      </c>
      <c r="AB7144" s="117">
        <f t="shared" si="114"/>
        <v>0</v>
      </c>
      <c r="AC7144" s="117" t="str">
        <f>IF(AB7144=1,COUNTIF($AB$3:AB7144,1),"")</f>
        <v/>
      </c>
      <c r="AD7144" s="117" t="str">
        <f>IFERROR(INDEX($AA$3:$AA$10000,MATCH(ROWS($AC$3:AC7144),$AC$3:$AC$10000,0)),"")</f>
        <v/>
      </c>
    </row>
    <row r="7145" spans="27:30">
      <c r="AA7145" s="117">
        <f>+'Ingredient List - Mother Tinctu'!D7146</f>
        <v>0</v>
      </c>
      <c r="AB7145" s="117">
        <f t="shared" si="114"/>
        <v>0</v>
      </c>
      <c r="AC7145" s="117" t="str">
        <f>IF(AB7145=1,COUNTIF($AB$3:AB7145,1),"")</f>
        <v/>
      </c>
      <c r="AD7145" s="117" t="str">
        <f>IFERROR(INDEX($AA$3:$AA$10000,MATCH(ROWS($AC$3:AC7145),$AC$3:$AC$10000,0)),"")</f>
        <v/>
      </c>
    </row>
    <row r="7146" spans="27:30">
      <c r="AA7146" s="117">
        <f>+'Ingredient List - Mother Tinctu'!D7147</f>
        <v>0</v>
      </c>
      <c r="AB7146" s="117">
        <f t="shared" si="114"/>
        <v>0</v>
      </c>
      <c r="AC7146" s="117" t="str">
        <f>IF(AB7146=1,COUNTIF($AB$3:AB7146,1),"")</f>
        <v/>
      </c>
      <c r="AD7146" s="117" t="str">
        <f>IFERROR(INDEX($AA$3:$AA$10000,MATCH(ROWS($AC$3:AC7146),$AC$3:$AC$10000,0)),"")</f>
        <v/>
      </c>
    </row>
    <row r="7147" spans="27:30">
      <c r="AA7147" s="117">
        <f>+'Ingredient List - Mother Tinctu'!D7148</f>
        <v>0</v>
      </c>
      <c r="AB7147" s="117">
        <f t="shared" si="114"/>
        <v>0</v>
      </c>
      <c r="AC7147" s="117" t="str">
        <f>IF(AB7147=1,COUNTIF($AB$3:AB7147,1),"")</f>
        <v/>
      </c>
      <c r="AD7147" s="117" t="str">
        <f>IFERROR(INDEX($AA$3:$AA$10000,MATCH(ROWS($AC$3:AC7147),$AC$3:$AC$10000,0)),"")</f>
        <v/>
      </c>
    </row>
    <row r="7148" spans="27:30">
      <c r="AA7148" s="117">
        <f>+'Ingredient List - Mother Tinctu'!D7149</f>
        <v>0</v>
      </c>
      <c r="AB7148" s="117">
        <f t="shared" si="114"/>
        <v>0</v>
      </c>
      <c r="AC7148" s="117" t="str">
        <f>IF(AB7148=1,COUNTIF($AB$3:AB7148,1),"")</f>
        <v/>
      </c>
      <c r="AD7148" s="117" t="str">
        <f>IFERROR(INDEX($AA$3:$AA$10000,MATCH(ROWS($AC$3:AC7148),$AC$3:$AC$10000,0)),"")</f>
        <v/>
      </c>
    </row>
    <row r="7149" spans="27:30">
      <c r="AA7149" s="117">
        <f>+'Ingredient List - Mother Tinctu'!D7150</f>
        <v>0</v>
      </c>
      <c r="AB7149" s="117">
        <f t="shared" si="114"/>
        <v>0</v>
      </c>
      <c r="AC7149" s="117" t="str">
        <f>IF(AB7149=1,COUNTIF($AB$3:AB7149,1),"")</f>
        <v/>
      </c>
      <c r="AD7149" s="117" t="str">
        <f>IFERROR(INDEX($AA$3:$AA$10000,MATCH(ROWS($AC$3:AC7149),$AC$3:$AC$10000,0)),"")</f>
        <v/>
      </c>
    </row>
    <row r="7150" spans="27:30">
      <c r="AA7150" s="117">
        <f>+'Ingredient List - Mother Tinctu'!D7151</f>
        <v>0</v>
      </c>
      <c r="AB7150" s="117">
        <f t="shared" si="114"/>
        <v>0</v>
      </c>
      <c r="AC7150" s="117" t="str">
        <f>IF(AB7150=1,COUNTIF($AB$3:AB7150,1),"")</f>
        <v/>
      </c>
      <c r="AD7150" s="117" t="str">
        <f>IFERROR(INDEX($AA$3:$AA$10000,MATCH(ROWS($AC$3:AC7150),$AC$3:$AC$10000,0)),"")</f>
        <v/>
      </c>
    </row>
    <row r="7151" spans="27:30">
      <c r="AA7151" s="117">
        <f>+'Ingredient List - Mother Tinctu'!D7152</f>
        <v>0</v>
      </c>
      <c r="AB7151" s="117">
        <f t="shared" si="114"/>
        <v>0</v>
      </c>
      <c r="AC7151" s="117" t="str">
        <f>IF(AB7151=1,COUNTIF($AB$3:AB7151,1),"")</f>
        <v/>
      </c>
      <c r="AD7151" s="117" t="str">
        <f>IFERROR(INDEX($AA$3:$AA$10000,MATCH(ROWS($AC$3:AC7151),$AC$3:$AC$10000,0)),"")</f>
        <v/>
      </c>
    </row>
    <row r="7152" spans="27:30">
      <c r="AA7152" s="117">
        <f>+'Ingredient List - Mother Tinctu'!D7153</f>
        <v>0</v>
      </c>
      <c r="AB7152" s="117">
        <f t="shared" si="114"/>
        <v>0</v>
      </c>
      <c r="AC7152" s="117" t="str">
        <f>IF(AB7152=1,COUNTIF($AB$3:AB7152,1),"")</f>
        <v/>
      </c>
      <c r="AD7152" s="117" t="str">
        <f>IFERROR(INDEX($AA$3:$AA$10000,MATCH(ROWS($AC$3:AC7152),$AC$3:$AC$10000,0)),"")</f>
        <v/>
      </c>
    </row>
    <row r="7153" spans="27:30">
      <c r="AA7153" s="117">
        <f>+'Ingredient List - Mother Tinctu'!D7154</f>
        <v>0</v>
      </c>
      <c r="AB7153" s="117">
        <f t="shared" si="114"/>
        <v>0</v>
      </c>
      <c r="AC7153" s="117" t="str">
        <f>IF(AB7153=1,COUNTIF($AB$3:AB7153,1),"")</f>
        <v/>
      </c>
      <c r="AD7153" s="117" t="str">
        <f>IFERROR(INDEX($AA$3:$AA$10000,MATCH(ROWS($AC$3:AC7153),$AC$3:$AC$10000,0)),"")</f>
        <v/>
      </c>
    </row>
    <row r="7154" spans="27:30">
      <c r="AA7154" s="117">
        <f>+'Ingredient List - Mother Tinctu'!D7155</f>
        <v>0</v>
      </c>
      <c r="AB7154" s="117">
        <f t="shared" si="114"/>
        <v>0</v>
      </c>
      <c r="AC7154" s="117" t="str">
        <f>IF(AB7154=1,COUNTIF($AB$3:AB7154,1),"")</f>
        <v/>
      </c>
      <c r="AD7154" s="117" t="str">
        <f>IFERROR(INDEX($AA$3:$AA$10000,MATCH(ROWS($AC$3:AC7154),$AC$3:$AC$10000,0)),"")</f>
        <v/>
      </c>
    </row>
    <row r="7155" spans="27:30">
      <c r="AA7155" s="117">
        <f>+'Ingredient List - Mother Tinctu'!D7156</f>
        <v>0</v>
      </c>
      <c r="AB7155" s="117">
        <f t="shared" si="114"/>
        <v>0</v>
      </c>
      <c r="AC7155" s="117" t="str">
        <f>IF(AB7155=1,COUNTIF($AB$3:AB7155,1),"")</f>
        <v/>
      </c>
      <c r="AD7155" s="117" t="str">
        <f>IFERROR(INDEX($AA$3:$AA$10000,MATCH(ROWS($AC$3:AC7155),$AC$3:$AC$10000,0)),"")</f>
        <v/>
      </c>
    </row>
    <row r="7156" spans="27:30">
      <c r="AA7156" s="117">
        <f>+'Ingredient List - Mother Tinctu'!D7157</f>
        <v>0</v>
      </c>
      <c r="AB7156" s="117">
        <f t="shared" si="114"/>
        <v>0</v>
      </c>
      <c r="AC7156" s="117" t="str">
        <f>IF(AB7156=1,COUNTIF($AB$3:AB7156,1),"")</f>
        <v/>
      </c>
      <c r="AD7156" s="117" t="str">
        <f>IFERROR(INDEX($AA$3:$AA$10000,MATCH(ROWS($AC$3:AC7156),$AC$3:$AC$10000,0)),"")</f>
        <v/>
      </c>
    </row>
    <row r="7157" spans="27:30">
      <c r="AA7157" s="117">
        <f>+'Ingredient List - Mother Tinctu'!D7158</f>
        <v>0</v>
      </c>
      <c r="AB7157" s="117">
        <f t="shared" si="114"/>
        <v>0</v>
      </c>
      <c r="AC7157" s="117" t="str">
        <f>IF(AB7157=1,COUNTIF($AB$3:AB7157,1),"")</f>
        <v/>
      </c>
      <c r="AD7157" s="117" t="str">
        <f>IFERROR(INDEX($AA$3:$AA$10000,MATCH(ROWS($AC$3:AC7157),$AC$3:$AC$10000,0)),"")</f>
        <v/>
      </c>
    </row>
    <row r="7158" spans="27:30">
      <c r="AA7158" s="117">
        <f>+'Ingredient List - Mother Tinctu'!D7159</f>
        <v>0</v>
      </c>
      <c r="AB7158" s="117">
        <f t="shared" si="114"/>
        <v>0</v>
      </c>
      <c r="AC7158" s="117" t="str">
        <f>IF(AB7158=1,COUNTIF($AB$3:AB7158,1),"")</f>
        <v/>
      </c>
      <c r="AD7158" s="117" t="str">
        <f>IFERROR(INDEX($AA$3:$AA$10000,MATCH(ROWS($AC$3:AC7158),$AC$3:$AC$10000,0)),"")</f>
        <v/>
      </c>
    </row>
    <row r="7159" spans="27:30">
      <c r="AA7159" s="117">
        <f>+'Ingredient List - Mother Tinctu'!D7160</f>
        <v>0</v>
      </c>
      <c r="AB7159" s="117">
        <f t="shared" si="114"/>
        <v>0</v>
      </c>
      <c r="AC7159" s="117" t="str">
        <f>IF(AB7159=1,COUNTIF($AB$3:AB7159,1),"")</f>
        <v/>
      </c>
      <c r="AD7159" s="117" t="str">
        <f>IFERROR(INDEX($AA$3:$AA$10000,MATCH(ROWS($AC$3:AC7159),$AC$3:$AC$10000,0)),"")</f>
        <v/>
      </c>
    </row>
    <row r="7160" spans="27:30">
      <c r="AA7160" s="117">
        <f>+'Ingredient List - Mother Tinctu'!D7161</f>
        <v>0</v>
      </c>
      <c r="AB7160" s="117">
        <f t="shared" si="114"/>
        <v>0</v>
      </c>
      <c r="AC7160" s="117" t="str">
        <f>IF(AB7160=1,COUNTIF($AB$3:AB7160,1),"")</f>
        <v/>
      </c>
      <c r="AD7160" s="117" t="str">
        <f>IFERROR(INDEX($AA$3:$AA$10000,MATCH(ROWS($AC$3:AC7160),$AC$3:$AC$10000,0)),"")</f>
        <v/>
      </c>
    </row>
    <row r="7161" spans="27:30">
      <c r="AA7161" s="117">
        <f>+'Ingredient List - Mother Tinctu'!D7162</f>
        <v>0</v>
      </c>
      <c r="AB7161" s="117">
        <f t="shared" si="114"/>
        <v>0</v>
      </c>
      <c r="AC7161" s="117" t="str">
        <f>IF(AB7161=1,COUNTIF($AB$3:AB7161,1),"")</f>
        <v/>
      </c>
      <c r="AD7161" s="117" t="str">
        <f>IFERROR(INDEX($AA$3:$AA$10000,MATCH(ROWS($AC$3:AC7161),$AC$3:$AC$10000,0)),"")</f>
        <v/>
      </c>
    </row>
    <row r="7162" spans="27:30">
      <c r="AA7162" s="117">
        <f>+'Ingredient List - Mother Tinctu'!D7163</f>
        <v>0</v>
      </c>
      <c r="AB7162" s="117">
        <f t="shared" si="114"/>
        <v>0</v>
      </c>
      <c r="AC7162" s="117" t="str">
        <f>IF(AB7162=1,COUNTIF($AB$3:AB7162,1),"")</f>
        <v/>
      </c>
      <c r="AD7162" s="117" t="str">
        <f>IFERROR(INDEX($AA$3:$AA$10000,MATCH(ROWS($AC$3:AC7162),$AC$3:$AC$10000,0)),"")</f>
        <v/>
      </c>
    </row>
    <row r="7163" spans="27:30">
      <c r="AA7163" s="117">
        <f>+'Ingredient List - Mother Tinctu'!D7164</f>
        <v>0</v>
      </c>
      <c r="AB7163" s="117">
        <f t="shared" si="114"/>
        <v>0</v>
      </c>
      <c r="AC7163" s="117" t="str">
        <f>IF(AB7163=1,COUNTIF($AB$3:AB7163,1),"")</f>
        <v/>
      </c>
      <c r="AD7163" s="117" t="str">
        <f>IFERROR(INDEX($AA$3:$AA$10000,MATCH(ROWS($AC$3:AC7163),$AC$3:$AC$10000,0)),"")</f>
        <v/>
      </c>
    </row>
    <row r="7164" spans="27:30">
      <c r="AA7164" s="117">
        <f>+'Ingredient List - Mother Tinctu'!D7165</f>
        <v>0</v>
      </c>
      <c r="AB7164" s="117">
        <f t="shared" si="114"/>
        <v>0</v>
      </c>
      <c r="AC7164" s="117" t="str">
        <f>IF(AB7164=1,COUNTIF($AB$3:AB7164,1),"")</f>
        <v/>
      </c>
      <c r="AD7164" s="117" t="str">
        <f>IFERROR(INDEX($AA$3:$AA$10000,MATCH(ROWS($AC$3:AC7164),$AC$3:$AC$10000,0)),"")</f>
        <v/>
      </c>
    </row>
    <row r="7165" spans="27:30">
      <c r="AA7165" s="117">
        <f>+'Ingredient List - Mother Tinctu'!D7166</f>
        <v>0</v>
      </c>
      <c r="AB7165" s="117">
        <f t="shared" si="114"/>
        <v>0</v>
      </c>
      <c r="AC7165" s="117" t="str">
        <f>IF(AB7165=1,COUNTIF($AB$3:AB7165,1),"")</f>
        <v/>
      </c>
      <c r="AD7165" s="117" t="str">
        <f>IFERROR(INDEX($AA$3:$AA$10000,MATCH(ROWS($AC$3:AC7165),$AC$3:$AC$10000,0)),"")</f>
        <v/>
      </c>
    </row>
    <row r="7166" spans="27:30">
      <c r="AA7166" s="117">
        <f>+'Ingredient List - Mother Tinctu'!D7167</f>
        <v>0</v>
      </c>
      <c r="AB7166" s="117">
        <f t="shared" si="114"/>
        <v>0</v>
      </c>
      <c r="AC7166" s="117" t="str">
        <f>IF(AB7166=1,COUNTIF($AB$3:AB7166,1),"")</f>
        <v/>
      </c>
      <c r="AD7166" s="117" t="str">
        <f>IFERROR(INDEX($AA$3:$AA$10000,MATCH(ROWS($AC$3:AC7166),$AC$3:$AC$10000,0)),"")</f>
        <v/>
      </c>
    </row>
    <row r="7167" spans="27:30">
      <c r="AA7167" s="117">
        <f>+'Ingredient List - Mother Tinctu'!D7168</f>
        <v>0</v>
      </c>
      <c r="AB7167" s="117">
        <f t="shared" si="114"/>
        <v>0</v>
      </c>
      <c r="AC7167" s="117" t="str">
        <f>IF(AB7167=1,COUNTIF($AB$3:AB7167,1),"")</f>
        <v/>
      </c>
      <c r="AD7167" s="117" t="str">
        <f>IFERROR(INDEX($AA$3:$AA$10000,MATCH(ROWS($AC$3:AC7167),$AC$3:$AC$10000,0)),"")</f>
        <v/>
      </c>
    </row>
    <row r="7168" spans="27:30">
      <c r="AA7168" s="117">
        <f>+'Ingredient List - Mother Tinctu'!D7169</f>
        <v>0</v>
      </c>
      <c r="AB7168" s="117">
        <f t="shared" si="114"/>
        <v>0</v>
      </c>
      <c r="AC7168" s="117" t="str">
        <f>IF(AB7168=1,COUNTIF($AB$3:AB7168,1),"")</f>
        <v/>
      </c>
      <c r="AD7168" s="117" t="str">
        <f>IFERROR(INDEX($AA$3:$AA$10000,MATCH(ROWS($AC$3:AC7168),$AC$3:$AC$10000,0)),"")</f>
        <v/>
      </c>
    </row>
    <row r="7169" spans="27:30">
      <c r="AA7169" s="117">
        <f>+'Ingredient List - Mother Tinctu'!D7170</f>
        <v>0</v>
      </c>
      <c r="AB7169" s="117">
        <f t="shared" si="114"/>
        <v>0</v>
      </c>
      <c r="AC7169" s="117" t="str">
        <f>IF(AB7169=1,COUNTIF($AB$3:AB7169,1),"")</f>
        <v/>
      </c>
      <c r="AD7169" s="117" t="str">
        <f>IFERROR(INDEX($AA$3:$AA$10000,MATCH(ROWS($AC$3:AC7169),$AC$3:$AC$10000,0)),"")</f>
        <v/>
      </c>
    </row>
    <row r="7170" spans="27:30">
      <c r="AA7170" s="117">
        <f>+'Ingredient List - Mother Tinctu'!D7171</f>
        <v>0</v>
      </c>
      <c r="AB7170" s="117">
        <f t="shared" si="114"/>
        <v>0</v>
      </c>
      <c r="AC7170" s="117" t="str">
        <f>IF(AB7170=1,COUNTIF($AB$3:AB7170,1),"")</f>
        <v/>
      </c>
      <c r="AD7170" s="117" t="str">
        <f>IFERROR(INDEX($AA$3:$AA$10000,MATCH(ROWS($AC$3:AC7170),$AC$3:$AC$10000,0)),"")</f>
        <v/>
      </c>
    </row>
    <row r="7171" spans="27:30">
      <c r="AA7171" s="117">
        <f>+'Ingredient List - Mother Tinctu'!D7172</f>
        <v>0</v>
      </c>
      <c r="AB7171" s="117">
        <f t="shared" si="114"/>
        <v>0</v>
      </c>
      <c r="AC7171" s="117" t="str">
        <f>IF(AB7171=1,COUNTIF($AB$3:AB7171,1),"")</f>
        <v/>
      </c>
      <c r="AD7171" s="117" t="str">
        <f>IFERROR(INDEX($AA$3:$AA$10000,MATCH(ROWS($AC$3:AC7171),$AC$3:$AC$10000,0)),"")</f>
        <v/>
      </c>
    </row>
    <row r="7172" spans="27:30">
      <c r="AA7172" s="117">
        <f>+'Ingredient List - Mother Tinctu'!D7173</f>
        <v>0</v>
      </c>
      <c r="AB7172" s="117">
        <f t="shared" ref="AB7172:AB7235" si="115">--ISNUMBER(IFERROR(SEARCH($D$3,AA7172,1),""))</f>
        <v>0</v>
      </c>
      <c r="AC7172" s="117" t="str">
        <f>IF(AB7172=1,COUNTIF($AB$3:AB7172,1),"")</f>
        <v/>
      </c>
      <c r="AD7172" s="117" t="str">
        <f>IFERROR(INDEX($AA$3:$AA$10000,MATCH(ROWS($AC$3:AC7172),$AC$3:$AC$10000,0)),"")</f>
        <v/>
      </c>
    </row>
    <row r="7173" spans="27:30">
      <c r="AA7173" s="117">
        <f>+'Ingredient List - Mother Tinctu'!D7174</f>
        <v>0</v>
      </c>
      <c r="AB7173" s="117">
        <f t="shared" si="115"/>
        <v>0</v>
      </c>
      <c r="AC7173" s="117" t="str">
        <f>IF(AB7173=1,COUNTIF($AB$3:AB7173,1),"")</f>
        <v/>
      </c>
      <c r="AD7173" s="117" t="str">
        <f>IFERROR(INDEX($AA$3:$AA$10000,MATCH(ROWS($AC$3:AC7173),$AC$3:$AC$10000,0)),"")</f>
        <v/>
      </c>
    </row>
    <row r="7174" spans="27:30">
      <c r="AA7174" s="117">
        <f>+'Ingredient List - Mother Tinctu'!D7175</f>
        <v>0</v>
      </c>
      <c r="AB7174" s="117">
        <f t="shared" si="115"/>
        <v>0</v>
      </c>
      <c r="AC7174" s="117" t="str">
        <f>IF(AB7174=1,COUNTIF($AB$3:AB7174,1),"")</f>
        <v/>
      </c>
      <c r="AD7174" s="117" t="str">
        <f>IFERROR(INDEX($AA$3:$AA$10000,MATCH(ROWS($AC$3:AC7174),$AC$3:$AC$10000,0)),"")</f>
        <v/>
      </c>
    </row>
    <row r="7175" spans="27:30">
      <c r="AA7175" s="117">
        <f>+'Ingredient List - Mother Tinctu'!D7176</f>
        <v>0</v>
      </c>
      <c r="AB7175" s="117">
        <f t="shared" si="115"/>
        <v>0</v>
      </c>
      <c r="AC7175" s="117" t="str">
        <f>IF(AB7175=1,COUNTIF($AB$3:AB7175,1),"")</f>
        <v/>
      </c>
      <c r="AD7175" s="117" t="str">
        <f>IFERROR(INDEX($AA$3:$AA$10000,MATCH(ROWS($AC$3:AC7175),$AC$3:$AC$10000,0)),"")</f>
        <v/>
      </c>
    </row>
    <row r="7176" spans="27:30">
      <c r="AA7176" s="117">
        <f>+'Ingredient List - Mother Tinctu'!D7177</f>
        <v>0</v>
      </c>
      <c r="AB7176" s="117">
        <f t="shared" si="115"/>
        <v>0</v>
      </c>
      <c r="AC7176" s="117" t="str">
        <f>IF(AB7176=1,COUNTIF($AB$3:AB7176,1),"")</f>
        <v/>
      </c>
      <c r="AD7176" s="117" t="str">
        <f>IFERROR(INDEX($AA$3:$AA$10000,MATCH(ROWS($AC$3:AC7176),$AC$3:$AC$10000,0)),"")</f>
        <v/>
      </c>
    </row>
    <row r="7177" spans="27:30">
      <c r="AA7177" s="117">
        <f>+'Ingredient List - Mother Tinctu'!D7178</f>
        <v>0</v>
      </c>
      <c r="AB7177" s="117">
        <f t="shared" si="115"/>
        <v>0</v>
      </c>
      <c r="AC7177" s="117" t="str">
        <f>IF(AB7177=1,COUNTIF($AB$3:AB7177,1),"")</f>
        <v/>
      </c>
      <c r="AD7177" s="117" t="str">
        <f>IFERROR(INDEX($AA$3:$AA$10000,MATCH(ROWS($AC$3:AC7177),$AC$3:$AC$10000,0)),"")</f>
        <v/>
      </c>
    </row>
    <row r="7178" spans="27:30">
      <c r="AA7178" s="117">
        <f>+'Ingredient List - Mother Tinctu'!D7179</f>
        <v>0</v>
      </c>
      <c r="AB7178" s="117">
        <f t="shared" si="115"/>
        <v>0</v>
      </c>
      <c r="AC7178" s="117" t="str">
        <f>IF(AB7178=1,COUNTIF($AB$3:AB7178,1),"")</f>
        <v/>
      </c>
      <c r="AD7178" s="117" t="str">
        <f>IFERROR(INDEX($AA$3:$AA$10000,MATCH(ROWS($AC$3:AC7178),$AC$3:$AC$10000,0)),"")</f>
        <v/>
      </c>
    </row>
    <row r="7179" spans="27:30">
      <c r="AA7179" s="117">
        <f>+'Ingredient List - Mother Tinctu'!D7180</f>
        <v>0</v>
      </c>
      <c r="AB7179" s="117">
        <f t="shared" si="115"/>
        <v>0</v>
      </c>
      <c r="AC7179" s="117" t="str">
        <f>IF(AB7179=1,COUNTIF($AB$3:AB7179,1),"")</f>
        <v/>
      </c>
      <c r="AD7179" s="117" t="str">
        <f>IFERROR(INDEX($AA$3:$AA$10000,MATCH(ROWS($AC$3:AC7179),$AC$3:$AC$10000,0)),"")</f>
        <v/>
      </c>
    </row>
    <row r="7180" spans="27:30">
      <c r="AA7180" s="117">
        <f>+'Ingredient List - Mother Tinctu'!D7181</f>
        <v>0</v>
      </c>
      <c r="AB7180" s="117">
        <f t="shared" si="115"/>
        <v>0</v>
      </c>
      <c r="AC7180" s="117" t="str">
        <f>IF(AB7180=1,COUNTIF($AB$3:AB7180,1),"")</f>
        <v/>
      </c>
      <c r="AD7180" s="117" t="str">
        <f>IFERROR(INDEX($AA$3:$AA$10000,MATCH(ROWS($AC$3:AC7180),$AC$3:$AC$10000,0)),"")</f>
        <v/>
      </c>
    </row>
    <row r="7181" spans="27:30">
      <c r="AA7181" s="117">
        <f>+'Ingredient List - Mother Tinctu'!D7182</f>
        <v>0</v>
      </c>
      <c r="AB7181" s="117">
        <f t="shared" si="115"/>
        <v>0</v>
      </c>
      <c r="AC7181" s="117" t="str">
        <f>IF(AB7181=1,COUNTIF($AB$3:AB7181,1),"")</f>
        <v/>
      </c>
      <c r="AD7181" s="117" t="str">
        <f>IFERROR(INDEX($AA$3:$AA$10000,MATCH(ROWS($AC$3:AC7181),$AC$3:$AC$10000,0)),"")</f>
        <v/>
      </c>
    </row>
    <row r="7182" spans="27:30">
      <c r="AA7182" s="117">
        <f>+'Ingredient List - Mother Tinctu'!D7183</f>
        <v>0</v>
      </c>
      <c r="AB7182" s="117">
        <f t="shared" si="115"/>
        <v>0</v>
      </c>
      <c r="AC7182" s="117" t="str">
        <f>IF(AB7182=1,COUNTIF($AB$3:AB7182,1),"")</f>
        <v/>
      </c>
      <c r="AD7182" s="117" t="str">
        <f>IFERROR(INDEX($AA$3:$AA$10000,MATCH(ROWS($AC$3:AC7182),$AC$3:$AC$10000,0)),"")</f>
        <v/>
      </c>
    </row>
    <row r="7183" spans="27:30">
      <c r="AA7183" s="117">
        <f>+'Ingredient List - Mother Tinctu'!D7184</f>
        <v>0</v>
      </c>
      <c r="AB7183" s="117">
        <f t="shared" si="115"/>
        <v>0</v>
      </c>
      <c r="AC7183" s="117" t="str">
        <f>IF(AB7183=1,COUNTIF($AB$3:AB7183,1),"")</f>
        <v/>
      </c>
      <c r="AD7183" s="117" t="str">
        <f>IFERROR(INDEX($AA$3:$AA$10000,MATCH(ROWS($AC$3:AC7183),$AC$3:$AC$10000,0)),"")</f>
        <v/>
      </c>
    </row>
    <row r="7184" spans="27:30">
      <c r="AA7184" s="117">
        <f>+'Ingredient List - Mother Tinctu'!D7185</f>
        <v>0</v>
      </c>
      <c r="AB7184" s="117">
        <f t="shared" si="115"/>
        <v>0</v>
      </c>
      <c r="AC7184" s="117" t="str">
        <f>IF(AB7184=1,COUNTIF($AB$3:AB7184,1),"")</f>
        <v/>
      </c>
      <c r="AD7184" s="117" t="str">
        <f>IFERROR(INDEX($AA$3:$AA$10000,MATCH(ROWS($AC$3:AC7184),$AC$3:$AC$10000,0)),"")</f>
        <v/>
      </c>
    </row>
    <row r="7185" spans="27:30">
      <c r="AA7185" s="117">
        <f>+'Ingredient List - Mother Tinctu'!D7186</f>
        <v>0</v>
      </c>
      <c r="AB7185" s="117">
        <f t="shared" si="115"/>
        <v>0</v>
      </c>
      <c r="AC7185" s="117" t="str">
        <f>IF(AB7185=1,COUNTIF($AB$3:AB7185,1),"")</f>
        <v/>
      </c>
      <c r="AD7185" s="117" t="str">
        <f>IFERROR(INDEX($AA$3:$AA$10000,MATCH(ROWS($AC$3:AC7185),$AC$3:$AC$10000,0)),"")</f>
        <v/>
      </c>
    </row>
    <row r="7186" spans="27:30">
      <c r="AA7186" s="117">
        <f>+'Ingredient List - Mother Tinctu'!D7187</f>
        <v>0</v>
      </c>
      <c r="AB7186" s="117">
        <f t="shared" si="115"/>
        <v>0</v>
      </c>
      <c r="AC7186" s="117" t="str">
        <f>IF(AB7186=1,COUNTIF($AB$3:AB7186,1),"")</f>
        <v/>
      </c>
      <c r="AD7186" s="117" t="str">
        <f>IFERROR(INDEX($AA$3:$AA$10000,MATCH(ROWS($AC$3:AC7186),$AC$3:$AC$10000,0)),"")</f>
        <v/>
      </c>
    </row>
    <row r="7187" spans="27:30">
      <c r="AA7187" s="117">
        <f>+'Ingredient List - Mother Tinctu'!D7188</f>
        <v>0</v>
      </c>
      <c r="AB7187" s="117">
        <f t="shared" si="115"/>
        <v>0</v>
      </c>
      <c r="AC7187" s="117" t="str">
        <f>IF(AB7187=1,COUNTIF($AB$3:AB7187,1),"")</f>
        <v/>
      </c>
      <c r="AD7187" s="117" t="str">
        <f>IFERROR(INDEX($AA$3:$AA$10000,MATCH(ROWS($AC$3:AC7187),$AC$3:$AC$10000,0)),"")</f>
        <v/>
      </c>
    </row>
    <row r="7188" spans="27:30">
      <c r="AA7188" s="117">
        <f>+'Ingredient List - Mother Tinctu'!D7189</f>
        <v>0</v>
      </c>
      <c r="AB7188" s="117">
        <f t="shared" si="115"/>
        <v>0</v>
      </c>
      <c r="AC7188" s="117" t="str">
        <f>IF(AB7188=1,COUNTIF($AB$3:AB7188,1),"")</f>
        <v/>
      </c>
      <c r="AD7188" s="117" t="str">
        <f>IFERROR(INDEX($AA$3:$AA$10000,MATCH(ROWS($AC$3:AC7188),$AC$3:$AC$10000,0)),"")</f>
        <v/>
      </c>
    </row>
    <row r="7189" spans="27:30">
      <c r="AA7189" s="117">
        <f>+'Ingredient List - Mother Tinctu'!D7190</f>
        <v>0</v>
      </c>
      <c r="AB7189" s="117">
        <f t="shared" si="115"/>
        <v>0</v>
      </c>
      <c r="AC7189" s="117" t="str">
        <f>IF(AB7189=1,COUNTIF($AB$3:AB7189,1),"")</f>
        <v/>
      </c>
      <c r="AD7189" s="117" t="str">
        <f>IFERROR(INDEX($AA$3:$AA$10000,MATCH(ROWS($AC$3:AC7189),$AC$3:$AC$10000,0)),"")</f>
        <v/>
      </c>
    </row>
    <row r="7190" spans="27:30">
      <c r="AA7190" s="117">
        <f>+'Ingredient List - Mother Tinctu'!D7191</f>
        <v>0</v>
      </c>
      <c r="AB7190" s="117">
        <f t="shared" si="115"/>
        <v>0</v>
      </c>
      <c r="AC7190" s="117" t="str">
        <f>IF(AB7190=1,COUNTIF($AB$3:AB7190,1),"")</f>
        <v/>
      </c>
      <c r="AD7190" s="117" t="str">
        <f>IFERROR(INDEX($AA$3:$AA$10000,MATCH(ROWS($AC$3:AC7190),$AC$3:$AC$10000,0)),"")</f>
        <v/>
      </c>
    </row>
    <row r="7191" spans="27:30">
      <c r="AA7191" s="117">
        <f>+'Ingredient List - Mother Tinctu'!D7192</f>
        <v>0</v>
      </c>
      <c r="AB7191" s="117">
        <f t="shared" si="115"/>
        <v>0</v>
      </c>
      <c r="AC7191" s="117" t="str">
        <f>IF(AB7191=1,COUNTIF($AB$3:AB7191,1),"")</f>
        <v/>
      </c>
      <c r="AD7191" s="117" t="str">
        <f>IFERROR(INDEX($AA$3:$AA$10000,MATCH(ROWS($AC$3:AC7191),$AC$3:$AC$10000,0)),"")</f>
        <v/>
      </c>
    </row>
    <row r="7192" spans="27:30">
      <c r="AA7192" s="117">
        <f>+'Ingredient List - Mother Tinctu'!D7193</f>
        <v>0</v>
      </c>
      <c r="AB7192" s="117">
        <f t="shared" si="115"/>
        <v>0</v>
      </c>
      <c r="AC7192" s="117" t="str">
        <f>IF(AB7192=1,COUNTIF($AB$3:AB7192,1),"")</f>
        <v/>
      </c>
      <c r="AD7192" s="117" t="str">
        <f>IFERROR(INDEX($AA$3:$AA$10000,MATCH(ROWS($AC$3:AC7192),$AC$3:$AC$10000,0)),"")</f>
        <v/>
      </c>
    </row>
    <row r="7193" spans="27:30">
      <c r="AA7193" s="117">
        <f>+'Ingredient List - Mother Tinctu'!D7194</f>
        <v>0</v>
      </c>
      <c r="AB7193" s="117">
        <f t="shared" si="115"/>
        <v>0</v>
      </c>
      <c r="AC7193" s="117" t="str">
        <f>IF(AB7193=1,COUNTIF($AB$3:AB7193,1),"")</f>
        <v/>
      </c>
      <c r="AD7193" s="117" t="str">
        <f>IFERROR(INDEX($AA$3:$AA$10000,MATCH(ROWS($AC$3:AC7193),$AC$3:$AC$10000,0)),"")</f>
        <v/>
      </c>
    </row>
    <row r="7194" spans="27:30">
      <c r="AA7194" s="117">
        <f>+'Ingredient List - Mother Tinctu'!D7195</f>
        <v>0</v>
      </c>
      <c r="AB7194" s="117">
        <f t="shared" si="115"/>
        <v>0</v>
      </c>
      <c r="AC7194" s="117" t="str">
        <f>IF(AB7194=1,COUNTIF($AB$3:AB7194,1),"")</f>
        <v/>
      </c>
      <c r="AD7194" s="117" t="str">
        <f>IFERROR(INDEX($AA$3:$AA$10000,MATCH(ROWS($AC$3:AC7194),$AC$3:$AC$10000,0)),"")</f>
        <v/>
      </c>
    </row>
    <row r="7195" spans="27:30">
      <c r="AA7195" s="117">
        <f>+'Ingredient List - Mother Tinctu'!D7196</f>
        <v>0</v>
      </c>
      <c r="AB7195" s="117">
        <f t="shared" si="115"/>
        <v>0</v>
      </c>
      <c r="AC7195" s="117" t="str">
        <f>IF(AB7195=1,COUNTIF($AB$3:AB7195,1),"")</f>
        <v/>
      </c>
      <c r="AD7195" s="117" t="str">
        <f>IFERROR(INDEX($AA$3:$AA$10000,MATCH(ROWS($AC$3:AC7195),$AC$3:$AC$10000,0)),"")</f>
        <v/>
      </c>
    </row>
    <row r="7196" spans="27:30">
      <c r="AA7196" s="117">
        <f>+'Ingredient List - Mother Tinctu'!D7197</f>
        <v>0</v>
      </c>
      <c r="AB7196" s="117">
        <f t="shared" si="115"/>
        <v>0</v>
      </c>
      <c r="AC7196" s="117" t="str">
        <f>IF(AB7196=1,COUNTIF($AB$3:AB7196,1),"")</f>
        <v/>
      </c>
      <c r="AD7196" s="117" t="str">
        <f>IFERROR(INDEX($AA$3:$AA$10000,MATCH(ROWS($AC$3:AC7196),$AC$3:$AC$10000,0)),"")</f>
        <v/>
      </c>
    </row>
    <row r="7197" spans="27:30">
      <c r="AA7197" s="117">
        <f>+'Ingredient List - Mother Tinctu'!D7198</f>
        <v>0</v>
      </c>
      <c r="AB7197" s="117">
        <f t="shared" si="115"/>
        <v>0</v>
      </c>
      <c r="AC7197" s="117" t="str">
        <f>IF(AB7197=1,COUNTIF($AB$3:AB7197,1),"")</f>
        <v/>
      </c>
      <c r="AD7197" s="117" t="str">
        <f>IFERROR(INDEX($AA$3:$AA$10000,MATCH(ROWS($AC$3:AC7197),$AC$3:$AC$10000,0)),"")</f>
        <v/>
      </c>
    </row>
    <row r="7198" spans="27:30">
      <c r="AA7198" s="117">
        <f>+'Ingredient List - Mother Tinctu'!D7199</f>
        <v>0</v>
      </c>
      <c r="AB7198" s="117">
        <f t="shared" si="115"/>
        <v>0</v>
      </c>
      <c r="AC7198" s="117" t="str">
        <f>IF(AB7198=1,COUNTIF($AB$3:AB7198,1),"")</f>
        <v/>
      </c>
      <c r="AD7198" s="117" t="str">
        <f>IFERROR(INDEX($AA$3:$AA$10000,MATCH(ROWS($AC$3:AC7198),$AC$3:$AC$10000,0)),"")</f>
        <v/>
      </c>
    </row>
    <row r="7199" spans="27:30">
      <c r="AA7199" s="117">
        <f>+'Ingredient List - Mother Tinctu'!D7200</f>
        <v>0</v>
      </c>
      <c r="AB7199" s="117">
        <f t="shared" si="115"/>
        <v>0</v>
      </c>
      <c r="AC7199" s="117" t="str">
        <f>IF(AB7199=1,COUNTIF($AB$3:AB7199,1),"")</f>
        <v/>
      </c>
      <c r="AD7199" s="117" t="str">
        <f>IFERROR(INDEX($AA$3:$AA$10000,MATCH(ROWS($AC$3:AC7199),$AC$3:$AC$10000,0)),"")</f>
        <v/>
      </c>
    </row>
    <row r="7200" spans="27:30">
      <c r="AA7200" s="117">
        <f>+'Ingredient List - Mother Tinctu'!D7201</f>
        <v>0</v>
      </c>
      <c r="AB7200" s="117">
        <f t="shared" si="115"/>
        <v>0</v>
      </c>
      <c r="AC7200" s="117" t="str">
        <f>IF(AB7200=1,COUNTIF($AB$3:AB7200,1),"")</f>
        <v/>
      </c>
      <c r="AD7200" s="117" t="str">
        <f>IFERROR(INDEX($AA$3:$AA$10000,MATCH(ROWS($AC$3:AC7200),$AC$3:$AC$10000,0)),"")</f>
        <v/>
      </c>
    </row>
    <row r="7201" spans="27:30">
      <c r="AA7201" s="117">
        <f>+'Ingredient List - Mother Tinctu'!D7202</f>
        <v>0</v>
      </c>
      <c r="AB7201" s="117">
        <f t="shared" si="115"/>
        <v>0</v>
      </c>
      <c r="AC7201" s="117" t="str">
        <f>IF(AB7201=1,COUNTIF($AB$3:AB7201,1),"")</f>
        <v/>
      </c>
      <c r="AD7201" s="117" t="str">
        <f>IFERROR(INDEX($AA$3:$AA$10000,MATCH(ROWS($AC$3:AC7201),$AC$3:$AC$10000,0)),"")</f>
        <v/>
      </c>
    </row>
    <row r="7202" spans="27:30">
      <c r="AA7202" s="117">
        <f>+'Ingredient List - Mother Tinctu'!D7203</f>
        <v>0</v>
      </c>
      <c r="AB7202" s="117">
        <f t="shared" si="115"/>
        <v>0</v>
      </c>
      <c r="AC7202" s="117" t="str">
        <f>IF(AB7202=1,COUNTIF($AB$3:AB7202,1),"")</f>
        <v/>
      </c>
      <c r="AD7202" s="117" t="str">
        <f>IFERROR(INDEX($AA$3:$AA$10000,MATCH(ROWS($AC$3:AC7202),$AC$3:$AC$10000,0)),"")</f>
        <v/>
      </c>
    </row>
    <row r="7203" spans="27:30">
      <c r="AA7203" s="117">
        <f>+'Ingredient List - Mother Tinctu'!D7204</f>
        <v>0</v>
      </c>
      <c r="AB7203" s="117">
        <f t="shared" si="115"/>
        <v>0</v>
      </c>
      <c r="AC7203" s="117" t="str">
        <f>IF(AB7203=1,COUNTIF($AB$3:AB7203,1),"")</f>
        <v/>
      </c>
      <c r="AD7203" s="117" t="str">
        <f>IFERROR(INDEX($AA$3:$AA$10000,MATCH(ROWS($AC$3:AC7203),$AC$3:$AC$10000,0)),"")</f>
        <v/>
      </c>
    </row>
    <row r="7204" spans="27:30">
      <c r="AA7204" s="117">
        <f>+'Ingredient List - Mother Tinctu'!D7205</f>
        <v>0</v>
      </c>
      <c r="AB7204" s="117">
        <f t="shared" si="115"/>
        <v>0</v>
      </c>
      <c r="AC7204" s="117" t="str">
        <f>IF(AB7204=1,COUNTIF($AB$3:AB7204,1),"")</f>
        <v/>
      </c>
      <c r="AD7204" s="117" t="str">
        <f>IFERROR(INDEX($AA$3:$AA$10000,MATCH(ROWS($AC$3:AC7204),$AC$3:$AC$10000,0)),"")</f>
        <v/>
      </c>
    </row>
    <row r="7205" spans="27:30">
      <c r="AA7205" s="117">
        <f>+'Ingredient List - Mother Tinctu'!D7206</f>
        <v>0</v>
      </c>
      <c r="AB7205" s="117">
        <f t="shared" si="115"/>
        <v>0</v>
      </c>
      <c r="AC7205" s="117" t="str">
        <f>IF(AB7205=1,COUNTIF($AB$3:AB7205,1),"")</f>
        <v/>
      </c>
      <c r="AD7205" s="117" t="str">
        <f>IFERROR(INDEX($AA$3:$AA$10000,MATCH(ROWS($AC$3:AC7205),$AC$3:$AC$10000,0)),"")</f>
        <v/>
      </c>
    </row>
    <row r="7206" spans="27:30">
      <c r="AA7206" s="117">
        <f>+'Ingredient List - Mother Tinctu'!D7207</f>
        <v>0</v>
      </c>
      <c r="AB7206" s="117">
        <f t="shared" si="115"/>
        <v>0</v>
      </c>
      <c r="AC7206" s="117" t="str">
        <f>IF(AB7206=1,COUNTIF($AB$3:AB7206,1),"")</f>
        <v/>
      </c>
      <c r="AD7206" s="117" t="str">
        <f>IFERROR(INDEX($AA$3:$AA$10000,MATCH(ROWS($AC$3:AC7206),$AC$3:$AC$10000,0)),"")</f>
        <v/>
      </c>
    </row>
    <row r="7207" spans="27:30">
      <c r="AA7207" s="117">
        <f>+'Ingredient List - Mother Tinctu'!D7208</f>
        <v>0</v>
      </c>
      <c r="AB7207" s="117">
        <f t="shared" si="115"/>
        <v>0</v>
      </c>
      <c r="AC7207" s="117" t="str">
        <f>IF(AB7207=1,COUNTIF($AB$3:AB7207,1),"")</f>
        <v/>
      </c>
      <c r="AD7207" s="117" t="str">
        <f>IFERROR(INDEX($AA$3:$AA$10000,MATCH(ROWS($AC$3:AC7207),$AC$3:$AC$10000,0)),"")</f>
        <v/>
      </c>
    </row>
    <row r="7208" spans="27:30">
      <c r="AA7208" s="117">
        <f>+'Ingredient List - Mother Tinctu'!D7209</f>
        <v>0</v>
      </c>
      <c r="AB7208" s="117">
        <f t="shared" si="115"/>
        <v>0</v>
      </c>
      <c r="AC7208" s="117" t="str">
        <f>IF(AB7208=1,COUNTIF($AB$3:AB7208,1),"")</f>
        <v/>
      </c>
      <c r="AD7208" s="117" t="str">
        <f>IFERROR(INDEX($AA$3:$AA$10000,MATCH(ROWS($AC$3:AC7208),$AC$3:$AC$10000,0)),"")</f>
        <v/>
      </c>
    </row>
    <row r="7209" spans="27:30">
      <c r="AA7209" s="117">
        <f>+'Ingredient List - Mother Tinctu'!D7210</f>
        <v>0</v>
      </c>
      <c r="AB7209" s="117">
        <f t="shared" si="115"/>
        <v>0</v>
      </c>
      <c r="AC7209" s="117" t="str">
        <f>IF(AB7209=1,COUNTIF($AB$3:AB7209,1),"")</f>
        <v/>
      </c>
      <c r="AD7209" s="117" t="str">
        <f>IFERROR(INDEX($AA$3:$AA$10000,MATCH(ROWS($AC$3:AC7209),$AC$3:$AC$10000,0)),"")</f>
        <v/>
      </c>
    </row>
    <row r="7210" spans="27:30">
      <c r="AA7210" s="117">
        <f>+'Ingredient List - Mother Tinctu'!D7211</f>
        <v>0</v>
      </c>
      <c r="AB7210" s="117">
        <f t="shared" si="115"/>
        <v>0</v>
      </c>
      <c r="AC7210" s="117" t="str">
        <f>IF(AB7210=1,COUNTIF($AB$3:AB7210,1),"")</f>
        <v/>
      </c>
      <c r="AD7210" s="117" t="str">
        <f>IFERROR(INDEX($AA$3:$AA$10000,MATCH(ROWS($AC$3:AC7210),$AC$3:$AC$10000,0)),"")</f>
        <v/>
      </c>
    </row>
    <row r="7211" spans="27:30">
      <c r="AA7211" s="117">
        <f>+'Ingredient List - Mother Tinctu'!D7212</f>
        <v>0</v>
      </c>
      <c r="AB7211" s="117">
        <f t="shared" si="115"/>
        <v>0</v>
      </c>
      <c r="AC7211" s="117" t="str">
        <f>IF(AB7211=1,COUNTIF($AB$3:AB7211,1),"")</f>
        <v/>
      </c>
      <c r="AD7211" s="117" t="str">
        <f>IFERROR(INDEX($AA$3:$AA$10000,MATCH(ROWS($AC$3:AC7211),$AC$3:$AC$10000,0)),"")</f>
        <v/>
      </c>
    </row>
    <row r="7212" spans="27:30">
      <c r="AA7212" s="117">
        <f>+'Ingredient List - Mother Tinctu'!D7213</f>
        <v>0</v>
      </c>
      <c r="AB7212" s="117">
        <f t="shared" si="115"/>
        <v>0</v>
      </c>
      <c r="AC7212" s="117" t="str">
        <f>IF(AB7212=1,COUNTIF($AB$3:AB7212,1),"")</f>
        <v/>
      </c>
      <c r="AD7212" s="117" t="str">
        <f>IFERROR(INDEX($AA$3:$AA$10000,MATCH(ROWS($AC$3:AC7212),$AC$3:$AC$10000,0)),"")</f>
        <v/>
      </c>
    </row>
    <row r="7213" spans="27:30">
      <c r="AA7213" s="117">
        <f>+'Ingredient List - Mother Tinctu'!D7214</f>
        <v>0</v>
      </c>
      <c r="AB7213" s="117">
        <f t="shared" si="115"/>
        <v>0</v>
      </c>
      <c r="AC7213" s="117" t="str">
        <f>IF(AB7213=1,COUNTIF($AB$3:AB7213,1),"")</f>
        <v/>
      </c>
      <c r="AD7213" s="117" t="str">
        <f>IFERROR(INDEX($AA$3:$AA$10000,MATCH(ROWS($AC$3:AC7213),$AC$3:$AC$10000,0)),"")</f>
        <v/>
      </c>
    </row>
    <row r="7214" spans="27:30">
      <c r="AA7214" s="117">
        <f>+'Ingredient List - Mother Tinctu'!D7215</f>
        <v>0</v>
      </c>
      <c r="AB7214" s="117">
        <f t="shared" si="115"/>
        <v>0</v>
      </c>
      <c r="AC7214" s="117" t="str">
        <f>IF(AB7214=1,COUNTIF($AB$3:AB7214,1),"")</f>
        <v/>
      </c>
      <c r="AD7214" s="117" t="str">
        <f>IFERROR(INDEX($AA$3:$AA$10000,MATCH(ROWS($AC$3:AC7214),$AC$3:$AC$10000,0)),"")</f>
        <v/>
      </c>
    </row>
    <row r="7215" spans="27:30">
      <c r="AA7215" s="117">
        <f>+'Ingredient List - Mother Tinctu'!D7216</f>
        <v>0</v>
      </c>
      <c r="AB7215" s="117">
        <f t="shared" si="115"/>
        <v>0</v>
      </c>
      <c r="AC7215" s="117" t="str">
        <f>IF(AB7215=1,COUNTIF($AB$3:AB7215,1),"")</f>
        <v/>
      </c>
      <c r="AD7215" s="117" t="str">
        <f>IFERROR(INDEX($AA$3:$AA$10000,MATCH(ROWS($AC$3:AC7215),$AC$3:$AC$10000,0)),"")</f>
        <v/>
      </c>
    </row>
    <row r="7216" spans="27:30">
      <c r="AA7216" s="117">
        <f>+'Ingredient List - Mother Tinctu'!D7217</f>
        <v>0</v>
      </c>
      <c r="AB7216" s="117">
        <f t="shared" si="115"/>
        <v>0</v>
      </c>
      <c r="AC7216" s="117" t="str">
        <f>IF(AB7216=1,COUNTIF($AB$3:AB7216,1),"")</f>
        <v/>
      </c>
      <c r="AD7216" s="117" t="str">
        <f>IFERROR(INDEX($AA$3:$AA$10000,MATCH(ROWS($AC$3:AC7216),$AC$3:$AC$10000,0)),"")</f>
        <v/>
      </c>
    </row>
    <row r="7217" spans="27:30">
      <c r="AA7217" s="117">
        <f>+'Ingredient List - Mother Tinctu'!D7218</f>
        <v>0</v>
      </c>
      <c r="AB7217" s="117">
        <f t="shared" si="115"/>
        <v>0</v>
      </c>
      <c r="AC7217" s="117" t="str">
        <f>IF(AB7217=1,COUNTIF($AB$3:AB7217,1),"")</f>
        <v/>
      </c>
      <c r="AD7217" s="117" t="str">
        <f>IFERROR(INDEX($AA$3:$AA$10000,MATCH(ROWS($AC$3:AC7217),$AC$3:$AC$10000,0)),"")</f>
        <v/>
      </c>
    </row>
    <row r="7218" spans="27:30">
      <c r="AA7218" s="117">
        <f>+'Ingredient List - Mother Tinctu'!D7219</f>
        <v>0</v>
      </c>
      <c r="AB7218" s="117">
        <f t="shared" si="115"/>
        <v>0</v>
      </c>
      <c r="AC7218" s="117" t="str">
        <f>IF(AB7218=1,COUNTIF($AB$3:AB7218,1),"")</f>
        <v/>
      </c>
      <c r="AD7218" s="117" t="str">
        <f>IFERROR(INDEX($AA$3:$AA$10000,MATCH(ROWS($AC$3:AC7218),$AC$3:$AC$10000,0)),"")</f>
        <v/>
      </c>
    </row>
    <row r="7219" spans="27:30">
      <c r="AA7219" s="117">
        <f>+'Ingredient List - Mother Tinctu'!D7220</f>
        <v>0</v>
      </c>
      <c r="AB7219" s="117">
        <f t="shared" si="115"/>
        <v>0</v>
      </c>
      <c r="AC7219" s="117" t="str">
        <f>IF(AB7219=1,COUNTIF($AB$3:AB7219,1),"")</f>
        <v/>
      </c>
      <c r="AD7219" s="117" t="str">
        <f>IFERROR(INDEX($AA$3:$AA$10000,MATCH(ROWS($AC$3:AC7219),$AC$3:$AC$10000,0)),"")</f>
        <v/>
      </c>
    </row>
    <row r="7220" spans="27:30">
      <c r="AA7220" s="117">
        <f>+'Ingredient List - Mother Tinctu'!D7221</f>
        <v>0</v>
      </c>
      <c r="AB7220" s="117">
        <f t="shared" si="115"/>
        <v>0</v>
      </c>
      <c r="AC7220" s="117" t="str">
        <f>IF(AB7220=1,COUNTIF($AB$3:AB7220,1),"")</f>
        <v/>
      </c>
      <c r="AD7220" s="117" t="str">
        <f>IFERROR(INDEX($AA$3:$AA$10000,MATCH(ROWS($AC$3:AC7220),$AC$3:$AC$10000,0)),"")</f>
        <v/>
      </c>
    </row>
    <row r="7221" spans="27:30">
      <c r="AA7221" s="117">
        <f>+'Ingredient List - Mother Tinctu'!D7222</f>
        <v>0</v>
      </c>
      <c r="AB7221" s="117">
        <f t="shared" si="115"/>
        <v>0</v>
      </c>
      <c r="AC7221" s="117" t="str">
        <f>IF(AB7221=1,COUNTIF($AB$3:AB7221,1),"")</f>
        <v/>
      </c>
      <c r="AD7221" s="117" t="str">
        <f>IFERROR(INDEX($AA$3:$AA$10000,MATCH(ROWS($AC$3:AC7221),$AC$3:$AC$10000,0)),"")</f>
        <v/>
      </c>
    </row>
    <row r="7222" spans="27:30">
      <c r="AA7222" s="117">
        <f>+'Ingredient List - Mother Tinctu'!D7223</f>
        <v>0</v>
      </c>
      <c r="AB7222" s="117">
        <f t="shared" si="115"/>
        <v>0</v>
      </c>
      <c r="AC7222" s="117" t="str">
        <f>IF(AB7222=1,COUNTIF($AB$3:AB7222,1),"")</f>
        <v/>
      </c>
      <c r="AD7222" s="117" t="str">
        <f>IFERROR(INDEX($AA$3:$AA$10000,MATCH(ROWS($AC$3:AC7222),$AC$3:$AC$10000,0)),"")</f>
        <v/>
      </c>
    </row>
    <row r="7223" spans="27:30">
      <c r="AA7223" s="117">
        <f>+'Ingredient List - Mother Tinctu'!D7224</f>
        <v>0</v>
      </c>
      <c r="AB7223" s="117">
        <f t="shared" si="115"/>
        <v>0</v>
      </c>
      <c r="AC7223" s="117" t="str">
        <f>IF(AB7223=1,COUNTIF($AB$3:AB7223,1),"")</f>
        <v/>
      </c>
      <c r="AD7223" s="117" t="str">
        <f>IFERROR(INDEX($AA$3:$AA$10000,MATCH(ROWS($AC$3:AC7223),$AC$3:$AC$10000,0)),"")</f>
        <v/>
      </c>
    </row>
    <row r="7224" spans="27:30">
      <c r="AA7224" s="117">
        <f>+'Ingredient List - Mother Tinctu'!D7225</f>
        <v>0</v>
      </c>
      <c r="AB7224" s="117">
        <f t="shared" si="115"/>
        <v>0</v>
      </c>
      <c r="AC7224" s="117" t="str">
        <f>IF(AB7224=1,COUNTIF($AB$3:AB7224,1),"")</f>
        <v/>
      </c>
      <c r="AD7224" s="117" t="str">
        <f>IFERROR(INDEX($AA$3:$AA$10000,MATCH(ROWS($AC$3:AC7224),$AC$3:$AC$10000,0)),"")</f>
        <v/>
      </c>
    </row>
    <row r="7225" spans="27:30">
      <c r="AA7225" s="117">
        <f>+'Ingredient List - Mother Tinctu'!D7226</f>
        <v>0</v>
      </c>
      <c r="AB7225" s="117">
        <f t="shared" si="115"/>
        <v>0</v>
      </c>
      <c r="AC7225" s="117" t="str">
        <f>IF(AB7225=1,COUNTIF($AB$3:AB7225,1),"")</f>
        <v/>
      </c>
      <c r="AD7225" s="117" t="str">
        <f>IFERROR(INDEX($AA$3:$AA$10000,MATCH(ROWS($AC$3:AC7225),$AC$3:$AC$10000,0)),"")</f>
        <v/>
      </c>
    </row>
    <row r="7226" spans="27:30">
      <c r="AA7226" s="117">
        <f>+'Ingredient List - Mother Tinctu'!D7227</f>
        <v>0</v>
      </c>
      <c r="AB7226" s="117">
        <f t="shared" si="115"/>
        <v>0</v>
      </c>
      <c r="AC7226" s="117" t="str">
        <f>IF(AB7226=1,COUNTIF($AB$3:AB7226,1),"")</f>
        <v/>
      </c>
      <c r="AD7226" s="117" t="str">
        <f>IFERROR(INDEX($AA$3:$AA$10000,MATCH(ROWS($AC$3:AC7226),$AC$3:$AC$10000,0)),"")</f>
        <v/>
      </c>
    </row>
    <row r="7227" spans="27:30">
      <c r="AA7227" s="117">
        <f>+'Ingredient List - Mother Tinctu'!D7228</f>
        <v>0</v>
      </c>
      <c r="AB7227" s="117">
        <f t="shared" si="115"/>
        <v>0</v>
      </c>
      <c r="AC7227" s="117" t="str">
        <f>IF(AB7227=1,COUNTIF($AB$3:AB7227,1),"")</f>
        <v/>
      </c>
      <c r="AD7227" s="117" t="str">
        <f>IFERROR(INDEX($AA$3:$AA$10000,MATCH(ROWS($AC$3:AC7227),$AC$3:$AC$10000,0)),"")</f>
        <v/>
      </c>
    </row>
    <row r="7228" spans="27:30">
      <c r="AA7228" s="117">
        <f>+'Ingredient List - Mother Tinctu'!D7229</f>
        <v>0</v>
      </c>
      <c r="AB7228" s="117">
        <f t="shared" si="115"/>
        <v>0</v>
      </c>
      <c r="AC7228" s="117" t="str">
        <f>IF(AB7228=1,COUNTIF($AB$3:AB7228,1),"")</f>
        <v/>
      </c>
      <c r="AD7228" s="117" t="str">
        <f>IFERROR(INDEX($AA$3:$AA$10000,MATCH(ROWS($AC$3:AC7228),$AC$3:$AC$10000,0)),"")</f>
        <v/>
      </c>
    </row>
    <row r="7229" spans="27:30">
      <c r="AA7229" s="117">
        <f>+'Ingredient List - Mother Tinctu'!D7230</f>
        <v>0</v>
      </c>
      <c r="AB7229" s="117">
        <f t="shared" si="115"/>
        <v>0</v>
      </c>
      <c r="AC7229" s="117" t="str">
        <f>IF(AB7229=1,COUNTIF($AB$3:AB7229,1),"")</f>
        <v/>
      </c>
      <c r="AD7229" s="117" t="str">
        <f>IFERROR(INDEX($AA$3:$AA$10000,MATCH(ROWS($AC$3:AC7229),$AC$3:$AC$10000,0)),"")</f>
        <v/>
      </c>
    </row>
    <row r="7230" spans="27:30">
      <c r="AA7230" s="117">
        <f>+'Ingredient List - Mother Tinctu'!D7231</f>
        <v>0</v>
      </c>
      <c r="AB7230" s="117">
        <f t="shared" si="115"/>
        <v>0</v>
      </c>
      <c r="AC7230" s="117" t="str">
        <f>IF(AB7230=1,COUNTIF($AB$3:AB7230,1),"")</f>
        <v/>
      </c>
      <c r="AD7230" s="117" t="str">
        <f>IFERROR(INDEX($AA$3:$AA$10000,MATCH(ROWS($AC$3:AC7230),$AC$3:$AC$10000,0)),"")</f>
        <v/>
      </c>
    </row>
    <row r="7231" spans="27:30">
      <c r="AA7231" s="117">
        <f>+'Ingredient List - Mother Tinctu'!D7232</f>
        <v>0</v>
      </c>
      <c r="AB7231" s="117">
        <f t="shared" si="115"/>
        <v>0</v>
      </c>
      <c r="AC7231" s="117" t="str">
        <f>IF(AB7231=1,COUNTIF($AB$3:AB7231,1),"")</f>
        <v/>
      </c>
      <c r="AD7231" s="117" t="str">
        <f>IFERROR(INDEX($AA$3:$AA$10000,MATCH(ROWS($AC$3:AC7231),$AC$3:$AC$10000,0)),"")</f>
        <v/>
      </c>
    </row>
    <row r="7232" spans="27:30">
      <c r="AA7232" s="117">
        <f>+'Ingredient List - Mother Tinctu'!D7233</f>
        <v>0</v>
      </c>
      <c r="AB7232" s="117">
        <f t="shared" si="115"/>
        <v>0</v>
      </c>
      <c r="AC7232" s="117" t="str">
        <f>IF(AB7232=1,COUNTIF($AB$3:AB7232,1),"")</f>
        <v/>
      </c>
      <c r="AD7232" s="117" t="str">
        <f>IFERROR(INDEX($AA$3:$AA$10000,MATCH(ROWS($AC$3:AC7232),$AC$3:$AC$10000,0)),"")</f>
        <v/>
      </c>
    </row>
    <row r="7233" spans="27:30">
      <c r="AA7233" s="117">
        <f>+'Ingredient List - Mother Tinctu'!D7234</f>
        <v>0</v>
      </c>
      <c r="AB7233" s="117">
        <f t="shared" si="115"/>
        <v>0</v>
      </c>
      <c r="AC7233" s="117" t="str">
        <f>IF(AB7233=1,COUNTIF($AB$3:AB7233,1),"")</f>
        <v/>
      </c>
      <c r="AD7233" s="117" t="str">
        <f>IFERROR(INDEX($AA$3:$AA$10000,MATCH(ROWS($AC$3:AC7233),$AC$3:$AC$10000,0)),"")</f>
        <v/>
      </c>
    </row>
    <row r="7234" spans="27:30">
      <c r="AA7234" s="117">
        <f>+'Ingredient List - Mother Tinctu'!D7235</f>
        <v>0</v>
      </c>
      <c r="AB7234" s="117">
        <f t="shared" si="115"/>
        <v>0</v>
      </c>
      <c r="AC7234" s="117" t="str">
        <f>IF(AB7234=1,COUNTIF($AB$3:AB7234,1),"")</f>
        <v/>
      </c>
      <c r="AD7234" s="117" t="str">
        <f>IFERROR(INDEX($AA$3:$AA$10000,MATCH(ROWS($AC$3:AC7234),$AC$3:$AC$10000,0)),"")</f>
        <v/>
      </c>
    </row>
    <row r="7235" spans="27:30">
      <c r="AA7235" s="117">
        <f>+'Ingredient List - Mother Tinctu'!D7236</f>
        <v>0</v>
      </c>
      <c r="AB7235" s="117">
        <f t="shared" si="115"/>
        <v>0</v>
      </c>
      <c r="AC7235" s="117" t="str">
        <f>IF(AB7235=1,COUNTIF($AB$3:AB7235,1),"")</f>
        <v/>
      </c>
      <c r="AD7235" s="117" t="str">
        <f>IFERROR(INDEX($AA$3:$AA$10000,MATCH(ROWS($AC$3:AC7235),$AC$3:$AC$10000,0)),"")</f>
        <v/>
      </c>
    </row>
    <row r="7236" spans="27:30">
      <c r="AA7236" s="117">
        <f>+'Ingredient List - Mother Tinctu'!D7237</f>
        <v>0</v>
      </c>
      <c r="AB7236" s="117">
        <f t="shared" ref="AB7236:AB7299" si="116">--ISNUMBER(IFERROR(SEARCH($D$3,AA7236,1),""))</f>
        <v>0</v>
      </c>
      <c r="AC7236" s="117" t="str">
        <f>IF(AB7236=1,COUNTIF($AB$3:AB7236,1),"")</f>
        <v/>
      </c>
      <c r="AD7236" s="117" t="str">
        <f>IFERROR(INDEX($AA$3:$AA$10000,MATCH(ROWS($AC$3:AC7236),$AC$3:$AC$10000,0)),"")</f>
        <v/>
      </c>
    </row>
    <row r="7237" spans="27:30">
      <c r="AA7237" s="117">
        <f>+'Ingredient List - Mother Tinctu'!D7238</f>
        <v>0</v>
      </c>
      <c r="AB7237" s="117">
        <f t="shared" si="116"/>
        <v>0</v>
      </c>
      <c r="AC7237" s="117" t="str">
        <f>IF(AB7237=1,COUNTIF($AB$3:AB7237,1),"")</f>
        <v/>
      </c>
      <c r="AD7237" s="117" t="str">
        <f>IFERROR(INDEX($AA$3:$AA$10000,MATCH(ROWS($AC$3:AC7237),$AC$3:$AC$10000,0)),"")</f>
        <v/>
      </c>
    </row>
    <row r="7238" spans="27:30">
      <c r="AA7238" s="117">
        <f>+'Ingredient List - Mother Tinctu'!D7239</f>
        <v>0</v>
      </c>
      <c r="AB7238" s="117">
        <f t="shared" si="116"/>
        <v>0</v>
      </c>
      <c r="AC7238" s="117" t="str">
        <f>IF(AB7238=1,COUNTIF($AB$3:AB7238,1),"")</f>
        <v/>
      </c>
      <c r="AD7238" s="117" t="str">
        <f>IFERROR(INDEX($AA$3:$AA$10000,MATCH(ROWS($AC$3:AC7238),$AC$3:$AC$10000,0)),"")</f>
        <v/>
      </c>
    </row>
    <row r="7239" spans="27:30">
      <c r="AA7239" s="117">
        <f>+'Ingredient List - Mother Tinctu'!D7240</f>
        <v>0</v>
      </c>
      <c r="AB7239" s="117">
        <f t="shared" si="116"/>
        <v>0</v>
      </c>
      <c r="AC7239" s="117" t="str">
        <f>IF(AB7239=1,COUNTIF($AB$3:AB7239,1),"")</f>
        <v/>
      </c>
      <c r="AD7239" s="117" t="str">
        <f>IFERROR(INDEX($AA$3:$AA$10000,MATCH(ROWS($AC$3:AC7239),$AC$3:$AC$10000,0)),"")</f>
        <v/>
      </c>
    </row>
    <row r="7240" spans="27:30">
      <c r="AA7240" s="117">
        <f>+'Ingredient List - Mother Tinctu'!D7241</f>
        <v>0</v>
      </c>
      <c r="AB7240" s="117">
        <f t="shared" si="116"/>
        <v>0</v>
      </c>
      <c r="AC7240" s="117" t="str">
        <f>IF(AB7240=1,COUNTIF($AB$3:AB7240,1),"")</f>
        <v/>
      </c>
      <c r="AD7240" s="117" t="str">
        <f>IFERROR(INDEX($AA$3:$AA$10000,MATCH(ROWS($AC$3:AC7240),$AC$3:$AC$10000,0)),"")</f>
        <v/>
      </c>
    </row>
    <row r="7241" spans="27:30">
      <c r="AA7241" s="117">
        <f>+'Ingredient List - Mother Tinctu'!D7242</f>
        <v>0</v>
      </c>
      <c r="AB7241" s="117">
        <f t="shared" si="116"/>
        <v>0</v>
      </c>
      <c r="AC7241" s="117" t="str">
        <f>IF(AB7241=1,COUNTIF($AB$3:AB7241,1),"")</f>
        <v/>
      </c>
      <c r="AD7241" s="117" t="str">
        <f>IFERROR(INDEX($AA$3:$AA$10000,MATCH(ROWS($AC$3:AC7241),$AC$3:$AC$10000,0)),"")</f>
        <v/>
      </c>
    </row>
    <row r="7242" spans="27:30">
      <c r="AA7242" s="117">
        <f>+'Ingredient List - Mother Tinctu'!D7243</f>
        <v>0</v>
      </c>
      <c r="AB7242" s="117">
        <f t="shared" si="116"/>
        <v>0</v>
      </c>
      <c r="AC7242" s="117" t="str">
        <f>IF(AB7242=1,COUNTIF($AB$3:AB7242,1),"")</f>
        <v/>
      </c>
      <c r="AD7242" s="117" t="str">
        <f>IFERROR(INDEX($AA$3:$AA$10000,MATCH(ROWS($AC$3:AC7242),$AC$3:$AC$10000,0)),"")</f>
        <v/>
      </c>
    </row>
    <row r="7243" spans="27:30">
      <c r="AA7243" s="117">
        <f>+'Ingredient List - Mother Tinctu'!D7244</f>
        <v>0</v>
      </c>
      <c r="AB7243" s="117">
        <f t="shared" si="116"/>
        <v>0</v>
      </c>
      <c r="AC7243" s="117" t="str">
        <f>IF(AB7243=1,COUNTIF($AB$3:AB7243,1),"")</f>
        <v/>
      </c>
      <c r="AD7243" s="117" t="str">
        <f>IFERROR(INDEX($AA$3:$AA$10000,MATCH(ROWS($AC$3:AC7243),$AC$3:$AC$10000,0)),"")</f>
        <v/>
      </c>
    </row>
    <row r="7244" spans="27:30">
      <c r="AA7244" s="117">
        <f>+'Ingredient List - Mother Tinctu'!D7245</f>
        <v>0</v>
      </c>
      <c r="AB7244" s="117">
        <f t="shared" si="116"/>
        <v>0</v>
      </c>
      <c r="AC7244" s="117" t="str">
        <f>IF(AB7244=1,COUNTIF($AB$3:AB7244,1),"")</f>
        <v/>
      </c>
      <c r="AD7244" s="117" t="str">
        <f>IFERROR(INDEX($AA$3:$AA$10000,MATCH(ROWS($AC$3:AC7244),$AC$3:$AC$10000,0)),"")</f>
        <v/>
      </c>
    </row>
    <row r="7245" spans="27:30">
      <c r="AA7245" s="117">
        <f>+'Ingredient List - Mother Tinctu'!D7246</f>
        <v>0</v>
      </c>
      <c r="AB7245" s="117">
        <f t="shared" si="116"/>
        <v>0</v>
      </c>
      <c r="AC7245" s="117" t="str">
        <f>IF(AB7245=1,COUNTIF($AB$3:AB7245,1),"")</f>
        <v/>
      </c>
      <c r="AD7245" s="117" t="str">
        <f>IFERROR(INDEX($AA$3:$AA$10000,MATCH(ROWS($AC$3:AC7245),$AC$3:$AC$10000,0)),"")</f>
        <v/>
      </c>
    </row>
    <row r="7246" spans="27:30">
      <c r="AA7246" s="117">
        <f>+'Ingredient List - Mother Tinctu'!D7247</f>
        <v>0</v>
      </c>
      <c r="AB7246" s="117">
        <f t="shared" si="116"/>
        <v>0</v>
      </c>
      <c r="AC7246" s="117" t="str">
        <f>IF(AB7246=1,COUNTIF($AB$3:AB7246,1),"")</f>
        <v/>
      </c>
      <c r="AD7246" s="117" t="str">
        <f>IFERROR(INDEX($AA$3:$AA$10000,MATCH(ROWS($AC$3:AC7246),$AC$3:$AC$10000,0)),"")</f>
        <v/>
      </c>
    </row>
    <row r="7247" spans="27:30">
      <c r="AA7247" s="117">
        <f>+'Ingredient List - Mother Tinctu'!D7248</f>
        <v>0</v>
      </c>
      <c r="AB7247" s="117">
        <f t="shared" si="116"/>
        <v>0</v>
      </c>
      <c r="AC7247" s="117" t="str">
        <f>IF(AB7247=1,COUNTIF($AB$3:AB7247,1),"")</f>
        <v/>
      </c>
      <c r="AD7247" s="117" t="str">
        <f>IFERROR(INDEX($AA$3:$AA$10000,MATCH(ROWS($AC$3:AC7247),$AC$3:$AC$10000,0)),"")</f>
        <v/>
      </c>
    </row>
    <row r="7248" spans="27:30">
      <c r="AA7248" s="117">
        <f>+'Ingredient List - Mother Tinctu'!D7249</f>
        <v>0</v>
      </c>
      <c r="AB7248" s="117">
        <f t="shared" si="116"/>
        <v>0</v>
      </c>
      <c r="AC7248" s="117" t="str">
        <f>IF(AB7248=1,COUNTIF($AB$3:AB7248,1),"")</f>
        <v/>
      </c>
      <c r="AD7248" s="117" t="str">
        <f>IFERROR(INDEX($AA$3:$AA$10000,MATCH(ROWS($AC$3:AC7248),$AC$3:$AC$10000,0)),"")</f>
        <v/>
      </c>
    </row>
    <row r="7249" spans="27:30">
      <c r="AA7249" s="117">
        <f>+'Ingredient List - Mother Tinctu'!D7250</f>
        <v>0</v>
      </c>
      <c r="AB7249" s="117">
        <f t="shared" si="116"/>
        <v>0</v>
      </c>
      <c r="AC7249" s="117" t="str">
        <f>IF(AB7249=1,COUNTIF($AB$3:AB7249,1),"")</f>
        <v/>
      </c>
      <c r="AD7249" s="117" t="str">
        <f>IFERROR(INDEX($AA$3:$AA$10000,MATCH(ROWS($AC$3:AC7249),$AC$3:$AC$10000,0)),"")</f>
        <v/>
      </c>
    </row>
    <row r="7250" spans="27:30">
      <c r="AA7250" s="117">
        <f>+'Ingredient List - Mother Tinctu'!D7251</f>
        <v>0</v>
      </c>
      <c r="AB7250" s="117">
        <f t="shared" si="116"/>
        <v>0</v>
      </c>
      <c r="AC7250" s="117" t="str">
        <f>IF(AB7250=1,COUNTIF($AB$3:AB7250,1),"")</f>
        <v/>
      </c>
      <c r="AD7250" s="117" t="str">
        <f>IFERROR(INDEX($AA$3:$AA$10000,MATCH(ROWS($AC$3:AC7250),$AC$3:$AC$10000,0)),"")</f>
        <v/>
      </c>
    </row>
    <row r="7251" spans="27:30">
      <c r="AA7251" s="117">
        <f>+'Ingredient List - Mother Tinctu'!D7252</f>
        <v>0</v>
      </c>
      <c r="AB7251" s="117">
        <f t="shared" si="116"/>
        <v>0</v>
      </c>
      <c r="AC7251" s="117" t="str">
        <f>IF(AB7251=1,COUNTIF($AB$3:AB7251,1),"")</f>
        <v/>
      </c>
      <c r="AD7251" s="117" t="str">
        <f>IFERROR(INDEX($AA$3:$AA$10000,MATCH(ROWS($AC$3:AC7251),$AC$3:$AC$10000,0)),"")</f>
        <v/>
      </c>
    </row>
    <row r="7252" spans="27:30">
      <c r="AA7252" s="117">
        <f>+'Ingredient List - Mother Tinctu'!D7253</f>
        <v>0</v>
      </c>
      <c r="AB7252" s="117">
        <f t="shared" si="116"/>
        <v>0</v>
      </c>
      <c r="AC7252" s="117" t="str">
        <f>IF(AB7252=1,COUNTIF($AB$3:AB7252,1),"")</f>
        <v/>
      </c>
      <c r="AD7252" s="117" t="str">
        <f>IFERROR(INDEX($AA$3:$AA$10000,MATCH(ROWS($AC$3:AC7252),$AC$3:$AC$10000,0)),"")</f>
        <v/>
      </c>
    </row>
    <row r="7253" spans="27:30">
      <c r="AA7253" s="117">
        <f>+'Ingredient List - Mother Tinctu'!D7254</f>
        <v>0</v>
      </c>
      <c r="AB7253" s="117">
        <f t="shared" si="116"/>
        <v>0</v>
      </c>
      <c r="AC7253" s="117" t="str">
        <f>IF(AB7253=1,COUNTIF($AB$3:AB7253,1),"")</f>
        <v/>
      </c>
      <c r="AD7253" s="117" t="str">
        <f>IFERROR(INDEX($AA$3:$AA$10000,MATCH(ROWS($AC$3:AC7253),$AC$3:$AC$10000,0)),"")</f>
        <v/>
      </c>
    </row>
    <row r="7254" spans="27:30">
      <c r="AA7254" s="117">
        <f>+'Ingredient List - Mother Tinctu'!D7255</f>
        <v>0</v>
      </c>
      <c r="AB7254" s="117">
        <f t="shared" si="116"/>
        <v>0</v>
      </c>
      <c r="AC7254" s="117" t="str">
        <f>IF(AB7254=1,COUNTIF($AB$3:AB7254,1),"")</f>
        <v/>
      </c>
      <c r="AD7254" s="117" t="str">
        <f>IFERROR(INDEX($AA$3:$AA$10000,MATCH(ROWS($AC$3:AC7254),$AC$3:$AC$10000,0)),"")</f>
        <v/>
      </c>
    </row>
    <row r="7255" spans="27:30">
      <c r="AA7255" s="117">
        <f>+'Ingredient List - Mother Tinctu'!D7256</f>
        <v>0</v>
      </c>
      <c r="AB7255" s="117">
        <f t="shared" si="116"/>
        <v>0</v>
      </c>
      <c r="AC7255" s="117" t="str">
        <f>IF(AB7255=1,COUNTIF($AB$3:AB7255,1),"")</f>
        <v/>
      </c>
      <c r="AD7255" s="117" t="str">
        <f>IFERROR(INDEX($AA$3:$AA$10000,MATCH(ROWS($AC$3:AC7255),$AC$3:$AC$10000,0)),"")</f>
        <v/>
      </c>
    </row>
    <row r="7256" spans="27:30">
      <c r="AA7256" s="117">
        <f>+'Ingredient List - Mother Tinctu'!D7257</f>
        <v>0</v>
      </c>
      <c r="AB7256" s="117">
        <f t="shared" si="116"/>
        <v>0</v>
      </c>
      <c r="AC7256" s="117" t="str">
        <f>IF(AB7256=1,COUNTIF($AB$3:AB7256,1),"")</f>
        <v/>
      </c>
      <c r="AD7256" s="117" t="str">
        <f>IFERROR(INDEX($AA$3:$AA$10000,MATCH(ROWS($AC$3:AC7256),$AC$3:$AC$10000,0)),"")</f>
        <v/>
      </c>
    </row>
    <row r="7257" spans="27:30">
      <c r="AA7257" s="117">
        <f>+'Ingredient List - Mother Tinctu'!D7258</f>
        <v>0</v>
      </c>
      <c r="AB7257" s="117">
        <f t="shared" si="116"/>
        <v>0</v>
      </c>
      <c r="AC7257" s="117" t="str">
        <f>IF(AB7257=1,COUNTIF($AB$3:AB7257,1),"")</f>
        <v/>
      </c>
      <c r="AD7257" s="117" t="str">
        <f>IFERROR(INDEX($AA$3:$AA$10000,MATCH(ROWS($AC$3:AC7257),$AC$3:$AC$10000,0)),"")</f>
        <v/>
      </c>
    </row>
    <row r="7258" spans="27:30">
      <c r="AA7258" s="117">
        <f>+'Ingredient List - Mother Tinctu'!D7259</f>
        <v>0</v>
      </c>
      <c r="AB7258" s="117">
        <f t="shared" si="116"/>
        <v>0</v>
      </c>
      <c r="AC7258" s="117" t="str">
        <f>IF(AB7258=1,COUNTIF($AB$3:AB7258,1),"")</f>
        <v/>
      </c>
      <c r="AD7258" s="117" t="str">
        <f>IFERROR(INDEX($AA$3:$AA$10000,MATCH(ROWS($AC$3:AC7258),$AC$3:$AC$10000,0)),"")</f>
        <v/>
      </c>
    </row>
    <row r="7259" spans="27:30">
      <c r="AA7259" s="117">
        <f>+'Ingredient List - Mother Tinctu'!D7260</f>
        <v>0</v>
      </c>
      <c r="AB7259" s="117">
        <f t="shared" si="116"/>
        <v>0</v>
      </c>
      <c r="AC7259" s="117" t="str">
        <f>IF(AB7259=1,COUNTIF($AB$3:AB7259,1),"")</f>
        <v/>
      </c>
      <c r="AD7259" s="117" t="str">
        <f>IFERROR(INDEX($AA$3:$AA$10000,MATCH(ROWS($AC$3:AC7259),$AC$3:$AC$10000,0)),"")</f>
        <v/>
      </c>
    </row>
    <row r="7260" spans="27:30">
      <c r="AA7260" s="117">
        <f>+'Ingredient List - Mother Tinctu'!D7261</f>
        <v>0</v>
      </c>
      <c r="AB7260" s="117">
        <f t="shared" si="116"/>
        <v>0</v>
      </c>
      <c r="AC7260" s="117" t="str">
        <f>IF(AB7260=1,COUNTIF($AB$3:AB7260,1),"")</f>
        <v/>
      </c>
      <c r="AD7260" s="117" t="str">
        <f>IFERROR(INDEX($AA$3:$AA$10000,MATCH(ROWS($AC$3:AC7260),$AC$3:$AC$10000,0)),"")</f>
        <v/>
      </c>
    </row>
    <row r="7261" spans="27:30">
      <c r="AA7261" s="117">
        <f>+'Ingredient List - Mother Tinctu'!D7262</f>
        <v>0</v>
      </c>
      <c r="AB7261" s="117">
        <f t="shared" si="116"/>
        <v>0</v>
      </c>
      <c r="AC7261" s="117" t="str">
        <f>IF(AB7261=1,COUNTIF($AB$3:AB7261,1),"")</f>
        <v/>
      </c>
      <c r="AD7261" s="117" t="str">
        <f>IFERROR(INDEX($AA$3:$AA$10000,MATCH(ROWS($AC$3:AC7261),$AC$3:$AC$10000,0)),"")</f>
        <v/>
      </c>
    </row>
    <row r="7262" spans="27:30">
      <c r="AA7262" s="117">
        <f>+'Ingredient List - Mother Tinctu'!D7263</f>
        <v>0</v>
      </c>
      <c r="AB7262" s="117">
        <f t="shared" si="116"/>
        <v>0</v>
      </c>
      <c r="AC7262" s="117" t="str">
        <f>IF(AB7262=1,COUNTIF($AB$3:AB7262,1),"")</f>
        <v/>
      </c>
      <c r="AD7262" s="117" t="str">
        <f>IFERROR(INDEX($AA$3:$AA$10000,MATCH(ROWS($AC$3:AC7262),$AC$3:$AC$10000,0)),"")</f>
        <v/>
      </c>
    </row>
    <row r="7263" spans="27:30">
      <c r="AA7263" s="117">
        <f>+'Ingredient List - Mother Tinctu'!D7264</f>
        <v>0</v>
      </c>
      <c r="AB7263" s="117">
        <f t="shared" si="116"/>
        <v>0</v>
      </c>
      <c r="AC7263" s="117" t="str">
        <f>IF(AB7263=1,COUNTIF($AB$3:AB7263,1),"")</f>
        <v/>
      </c>
      <c r="AD7263" s="117" t="str">
        <f>IFERROR(INDEX($AA$3:$AA$10000,MATCH(ROWS($AC$3:AC7263),$AC$3:$AC$10000,0)),"")</f>
        <v/>
      </c>
    </row>
    <row r="7264" spans="27:30">
      <c r="AA7264" s="117">
        <f>+'Ingredient List - Mother Tinctu'!D7265</f>
        <v>0</v>
      </c>
      <c r="AB7264" s="117">
        <f t="shared" si="116"/>
        <v>0</v>
      </c>
      <c r="AC7264" s="117" t="str">
        <f>IF(AB7264=1,COUNTIF($AB$3:AB7264,1),"")</f>
        <v/>
      </c>
      <c r="AD7264" s="117" t="str">
        <f>IFERROR(INDEX($AA$3:$AA$10000,MATCH(ROWS($AC$3:AC7264),$AC$3:$AC$10000,0)),"")</f>
        <v/>
      </c>
    </row>
    <row r="7265" spans="27:30">
      <c r="AA7265" s="117">
        <f>+'Ingredient List - Mother Tinctu'!D7266</f>
        <v>0</v>
      </c>
      <c r="AB7265" s="117">
        <f t="shared" si="116"/>
        <v>0</v>
      </c>
      <c r="AC7265" s="117" t="str">
        <f>IF(AB7265=1,COUNTIF($AB$3:AB7265,1),"")</f>
        <v/>
      </c>
      <c r="AD7265" s="117" t="str">
        <f>IFERROR(INDEX($AA$3:$AA$10000,MATCH(ROWS($AC$3:AC7265),$AC$3:$AC$10000,0)),"")</f>
        <v/>
      </c>
    </row>
    <row r="7266" spans="27:30">
      <c r="AA7266" s="117">
        <f>+'Ingredient List - Mother Tinctu'!D7267</f>
        <v>0</v>
      </c>
      <c r="AB7266" s="117">
        <f t="shared" si="116"/>
        <v>0</v>
      </c>
      <c r="AC7266" s="117" t="str">
        <f>IF(AB7266=1,COUNTIF($AB$3:AB7266,1),"")</f>
        <v/>
      </c>
      <c r="AD7266" s="117" t="str">
        <f>IFERROR(INDEX($AA$3:$AA$10000,MATCH(ROWS($AC$3:AC7266),$AC$3:$AC$10000,0)),"")</f>
        <v/>
      </c>
    </row>
    <row r="7267" spans="27:30">
      <c r="AA7267" s="117">
        <f>+'Ingredient List - Mother Tinctu'!D7268</f>
        <v>0</v>
      </c>
      <c r="AB7267" s="117">
        <f t="shared" si="116"/>
        <v>0</v>
      </c>
      <c r="AC7267" s="117" t="str">
        <f>IF(AB7267=1,COUNTIF($AB$3:AB7267,1),"")</f>
        <v/>
      </c>
      <c r="AD7267" s="117" t="str">
        <f>IFERROR(INDEX($AA$3:$AA$10000,MATCH(ROWS($AC$3:AC7267),$AC$3:$AC$10000,0)),"")</f>
        <v/>
      </c>
    </row>
    <row r="7268" spans="27:30">
      <c r="AA7268" s="117">
        <f>+'Ingredient List - Mother Tinctu'!D7269</f>
        <v>0</v>
      </c>
      <c r="AB7268" s="117">
        <f t="shared" si="116"/>
        <v>0</v>
      </c>
      <c r="AC7268" s="117" t="str">
        <f>IF(AB7268=1,COUNTIF($AB$3:AB7268,1),"")</f>
        <v/>
      </c>
      <c r="AD7268" s="117" t="str">
        <f>IFERROR(INDEX($AA$3:$AA$10000,MATCH(ROWS($AC$3:AC7268),$AC$3:$AC$10000,0)),"")</f>
        <v/>
      </c>
    </row>
    <row r="7269" spans="27:30">
      <c r="AA7269" s="117">
        <f>+'Ingredient List - Mother Tinctu'!D7270</f>
        <v>0</v>
      </c>
      <c r="AB7269" s="117">
        <f t="shared" si="116"/>
        <v>0</v>
      </c>
      <c r="AC7269" s="117" t="str">
        <f>IF(AB7269=1,COUNTIF($AB$3:AB7269,1),"")</f>
        <v/>
      </c>
      <c r="AD7269" s="117" t="str">
        <f>IFERROR(INDEX($AA$3:$AA$10000,MATCH(ROWS($AC$3:AC7269),$AC$3:$AC$10000,0)),"")</f>
        <v/>
      </c>
    </row>
    <row r="7270" spans="27:30">
      <c r="AA7270" s="117">
        <f>+'Ingredient List - Mother Tinctu'!D7271</f>
        <v>0</v>
      </c>
      <c r="AB7270" s="117">
        <f t="shared" si="116"/>
        <v>0</v>
      </c>
      <c r="AC7270" s="117" t="str">
        <f>IF(AB7270=1,COUNTIF($AB$3:AB7270,1),"")</f>
        <v/>
      </c>
      <c r="AD7270" s="117" t="str">
        <f>IFERROR(INDEX($AA$3:$AA$10000,MATCH(ROWS($AC$3:AC7270),$AC$3:$AC$10000,0)),"")</f>
        <v/>
      </c>
    </row>
    <row r="7271" spans="27:30">
      <c r="AA7271" s="117">
        <f>+'Ingredient List - Mother Tinctu'!D7272</f>
        <v>0</v>
      </c>
      <c r="AB7271" s="117">
        <f t="shared" si="116"/>
        <v>0</v>
      </c>
      <c r="AC7271" s="117" t="str">
        <f>IF(AB7271=1,COUNTIF($AB$3:AB7271,1),"")</f>
        <v/>
      </c>
      <c r="AD7271" s="117" t="str">
        <f>IFERROR(INDEX($AA$3:$AA$10000,MATCH(ROWS($AC$3:AC7271),$AC$3:$AC$10000,0)),"")</f>
        <v/>
      </c>
    </row>
    <row r="7272" spans="27:30">
      <c r="AA7272" s="117">
        <f>+'Ingredient List - Mother Tinctu'!D7273</f>
        <v>0</v>
      </c>
      <c r="AB7272" s="117">
        <f t="shared" si="116"/>
        <v>0</v>
      </c>
      <c r="AC7272" s="117" t="str">
        <f>IF(AB7272=1,COUNTIF($AB$3:AB7272,1),"")</f>
        <v/>
      </c>
      <c r="AD7272" s="117" t="str">
        <f>IFERROR(INDEX($AA$3:$AA$10000,MATCH(ROWS($AC$3:AC7272),$AC$3:$AC$10000,0)),"")</f>
        <v/>
      </c>
    </row>
    <row r="7273" spans="27:30">
      <c r="AA7273" s="117">
        <f>+'Ingredient List - Mother Tinctu'!D7274</f>
        <v>0</v>
      </c>
      <c r="AB7273" s="117">
        <f t="shared" si="116"/>
        <v>0</v>
      </c>
      <c r="AC7273" s="117" t="str">
        <f>IF(AB7273=1,COUNTIF($AB$3:AB7273,1),"")</f>
        <v/>
      </c>
      <c r="AD7273" s="117" t="str">
        <f>IFERROR(INDEX($AA$3:$AA$10000,MATCH(ROWS($AC$3:AC7273),$AC$3:$AC$10000,0)),"")</f>
        <v/>
      </c>
    </row>
    <row r="7274" spans="27:30">
      <c r="AA7274" s="117">
        <f>+'Ingredient List - Mother Tinctu'!D7275</f>
        <v>0</v>
      </c>
      <c r="AB7274" s="117">
        <f t="shared" si="116"/>
        <v>0</v>
      </c>
      <c r="AC7274" s="117" t="str">
        <f>IF(AB7274=1,COUNTIF($AB$3:AB7274,1),"")</f>
        <v/>
      </c>
      <c r="AD7274" s="117" t="str">
        <f>IFERROR(INDEX($AA$3:$AA$10000,MATCH(ROWS($AC$3:AC7274),$AC$3:$AC$10000,0)),"")</f>
        <v/>
      </c>
    </row>
    <row r="7275" spans="27:30">
      <c r="AA7275" s="117">
        <f>+'Ingredient List - Mother Tinctu'!D7276</f>
        <v>0</v>
      </c>
      <c r="AB7275" s="117">
        <f t="shared" si="116"/>
        <v>0</v>
      </c>
      <c r="AC7275" s="117" t="str">
        <f>IF(AB7275=1,COUNTIF($AB$3:AB7275,1),"")</f>
        <v/>
      </c>
      <c r="AD7275" s="117" t="str">
        <f>IFERROR(INDEX($AA$3:$AA$10000,MATCH(ROWS($AC$3:AC7275),$AC$3:$AC$10000,0)),"")</f>
        <v/>
      </c>
    </row>
    <row r="7276" spans="27:30">
      <c r="AA7276" s="117">
        <f>+'Ingredient List - Mother Tinctu'!D7277</f>
        <v>0</v>
      </c>
      <c r="AB7276" s="117">
        <f t="shared" si="116"/>
        <v>0</v>
      </c>
      <c r="AC7276" s="117" t="str">
        <f>IF(AB7276=1,COUNTIF($AB$3:AB7276,1),"")</f>
        <v/>
      </c>
      <c r="AD7276" s="117" t="str">
        <f>IFERROR(INDEX($AA$3:$AA$10000,MATCH(ROWS($AC$3:AC7276),$AC$3:$AC$10000,0)),"")</f>
        <v/>
      </c>
    </row>
    <row r="7277" spans="27:30">
      <c r="AA7277" s="117">
        <f>+'Ingredient List - Mother Tinctu'!D7278</f>
        <v>0</v>
      </c>
      <c r="AB7277" s="117">
        <f t="shared" si="116"/>
        <v>0</v>
      </c>
      <c r="AC7277" s="117" t="str">
        <f>IF(AB7277=1,COUNTIF($AB$3:AB7277,1),"")</f>
        <v/>
      </c>
      <c r="AD7277" s="117" t="str">
        <f>IFERROR(INDEX($AA$3:$AA$10000,MATCH(ROWS($AC$3:AC7277),$AC$3:$AC$10000,0)),"")</f>
        <v/>
      </c>
    </row>
    <row r="7278" spans="27:30">
      <c r="AA7278" s="117">
        <f>+'Ingredient List - Mother Tinctu'!D7279</f>
        <v>0</v>
      </c>
      <c r="AB7278" s="117">
        <f t="shared" si="116"/>
        <v>0</v>
      </c>
      <c r="AC7278" s="117" t="str">
        <f>IF(AB7278=1,COUNTIF($AB$3:AB7278,1),"")</f>
        <v/>
      </c>
      <c r="AD7278" s="117" t="str">
        <f>IFERROR(INDEX($AA$3:$AA$10000,MATCH(ROWS($AC$3:AC7278),$AC$3:$AC$10000,0)),"")</f>
        <v/>
      </c>
    </row>
    <row r="7279" spans="27:30">
      <c r="AA7279" s="117">
        <f>+'Ingredient List - Mother Tinctu'!D7280</f>
        <v>0</v>
      </c>
      <c r="AB7279" s="117">
        <f t="shared" si="116"/>
        <v>0</v>
      </c>
      <c r="AC7279" s="117" t="str">
        <f>IF(AB7279=1,COUNTIF($AB$3:AB7279,1),"")</f>
        <v/>
      </c>
      <c r="AD7279" s="117" t="str">
        <f>IFERROR(INDEX($AA$3:$AA$10000,MATCH(ROWS($AC$3:AC7279),$AC$3:$AC$10000,0)),"")</f>
        <v/>
      </c>
    </row>
    <row r="7280" spans="27:30">
      <c r="AA7280" s="117">
        <f>+'Ingredient List - Mother Tinctu'!D7281</f>
        <v>0</v>
      </c>
      <c r="AB7280" s="117">
        <f t="shared" si="116"/>
        <v>0</v>
      </c>
      <c r="AC7280" s="117" t="str">
        <f>IF(AB7280=1,COUNTIF($AB$3:AB7280,1),"")</f>
        <v/>
      </c>
      <c r="AD7280" s="117" t="str">
        <f>IFERROR(INDEX($AA$3:$AA$10000,MATCH(ROWS($AC$3:AC7280),$AC$3:$AC$10000,0)),"")</f>
        <v/>
      </c>
    </row>
    <row r="7281" spans="27:30">
      <c r="AA7281" s="117">
        <f>+'Ingredient List - Mother Tinctu'!D7282</f>
        <v>0</v>
      </c>
      <c r="AB7281" s="117">
        <f t="shared" si="116"/>
        <v>0</v>
      </c>
      <c r="AC7281" s="117" t="str">
        <f>IF(AB7281=1,COUNTIF($AB$3:AB7281,1),"")</f>
        <v/>
      </c>
      <c r="AD7281" s="117" t="str">
        <f>IFERROR(INDEX($AA$3:$AA$10000,MATCH(ROWS($AC$3:AC7281),$AC$3:$AC$10000,0)),"")</f>
        <v/>
      </c>
    </row>
    <row r="7282" spans="27:30">
      <c r="AA7282" s="117">
        <f>+'Ingredient List - Mother Tinctu'!D7283</f>
        <v>0</v>
      </c>
      <c r="AB7282" s="117">
        <f t="shared" si="116"/>
        <v>0</v>
      </c>
      <c r="AC7282" s="117" t="str">
        <f>IF(AB7282=1,COUNTIF($AB$3:AB7282,1),"")</f>
        <v/>
      </c>
      <c r="AD7282" s="117" t="str">
        <f>IFERROR(INDEX($AA$3:$AA$10000,MATCH(ROWS($AC$3:AC7282),$AC$3:$AC$10000,0)),"")</f>
        <v/>
      </c>
    </row>
    <row r="7283" spans="27:30">
      <c r="AA7283" s="117">
        <f>+'Ingredient List - Mother Tinctu'!D7284</f>
        <v>0</v>
      </c>
      <c r="AB7283" s="117">
        <f t="shared" si="116"/>
        <v>0</v>
      </c>
      <c r="AC7283" s="117" t="str">
        <f>IF(AB7283=1,COUNTIF($AB$3:AB7283,1),"")</f>
        <v/>
      </c>
      <c r="AD7283" s="117" t="str">
        <f>IFERROR(INDEX($AA$3:$AA$10000,MATCH(ROWS($AC$3:AC7283),$AC$3:$AC$10000,0)),"")</f>
        <v/>
      </c>
    </row>
    <row r="7284" spans="27:30">
      <c r="AA7284" s="117">
        <f>+'Ingredient List - Mother Tinctu'!D7285</f>
        <v>0</v>
      </c>
      <c r="AB7284" s="117">
        <f t="shared" si="116"/>
        <v>0</v>
      </c>
      <c r="AC7284" s="117" t="str">
        <f>IF(AB7284=1,COUNTIF($AB$3:AB7284,1),"")</f>
        <v/>
      </c>
      <c r="AD7284" s="117" t="str">
        <f>IFERROR(INDEX($AA$3:$AA$10000,MATCH(ROWS($AC$3:AC7284),$AC$3:$AC$10000,0)),"")</f>
        <v/>
      </c>
    </row>
    <row r="7285" spans="27:30">
      <c r="AA7285" s="117">
        <f>+'Ingredient List - Mother Tinctu'!D7286</f>
        <v>0</v>
      </c>
      <c r="AB7285" s="117">
        <f t="shared" si="116"/>
        <v>0</v>
      </c>
      <c r="AC7285" s="117" t="str">
        <f>IF(AB7285=1,COUNTIF($AB$3:AB7285,1),"")</f>
        <v/>
      </c>
      <c r="AD7285" s="117" t="str">
        <f>IFERROR(INDEX($AA$3:$AA$10000,MATCH(ROWS($AC$3:AC7285),$AC$3:$AC$10000,0)),"")</f>
        <v/>
      </c>
    </row>
    <row r="7286" spans="27:30">
      <c r="AA7286" s="117">
        <f>+'Ingredient List - Mother Tinctu'!D7287</f>
        <v>0</v>
      </c>
      <c r="AB7286" s="117">
        <f t="shared" si="116"/>
        <v>0</v>
      </c>
      <c r="AC7286" s="117" t="str">
        <f>IF(AB7286=1,COUNTIF($AB$3:AB7286,1),"")</f>
        <v/>
      </c>
      <c r="AD7286" s="117" t="str">
        <f>IFERROR(INDEX($AA$3:$AA$10000,MATCH(ROWS($AC$3:AC7286),$AC$3:$AC$10000,0)),"")</f>
        <v/>
      </c>
    </row>
    <row r="7287" spans="27:30">
      <c r="AA7287" s="117">
        <f>+'Ingredient List - Mother Tinctu'!D7288</f>
        <v>0</v>
      </c>
      <c r="AB7287" s="117">
        <f t="shared" si="116"/>
        <v>0</v>
      </c>
      <c r="AC7287" s="117" t="str">
        <f>IF(AB7287=1,COUNTIF($AB$3:AB7287,1),"")</f>
        <v/>
      </c>
      <c r="AD7287" s="117" t="str">
        <f>IFERROR(INDEX($AA$3:$AA$10000,MATCH(ROWS($AC$3:AC7287),$AC$3:$AC$10000,0)),"")</f>
        <v/>
      </c>
    </row>
    <row r="7288" spans="27:30">
      <c r="AA7288" s="117">
        <f>+'Ingredient List - Mother Tinctu'!D7289</f>
        <v>0</v>
      </c>
      <c r="AB7288" s="117">
        <f t="shared" si="116"/>
        <v>0</v>
      </c>
      <c r="AC7288" s="117" t="str">
        <f>IF(AB7288=1,COUNTIF($AB$3:AB7288,1),"")</f>
        <v/>
      </c>
      <c r="AD7288" s="117" t="str">
        <f>IFERROR(INDEX($AA$3:$AA$10000,MATCH(ROWS($AC$3:AC7288),$AC$3:$AC$10000,0)),"")</f>
        <v/>
      </c>
    </row>
    <row r="7289" spans="27:30">
      <c r="AA7289" s="117">
        <f>+'Ingredient List - Mother Tinctu'!D7290</f>
        <v>0</v>
      </c>
      <c r="AB7289" s="117">
        <f t="shared" si="116"/>
        <v>0</v>
      </c>
      <c r="AC7289" s="117" t="str">
        <f>IF(AB7289=1,COUNTIF($AB$3:AB7289,1),"")</f>
        <v/>
      </c>
      <c r="AD7289" s="117" t="str">
        <f>IFERROR(INDEX($AA$3:$AA$10000,MATCH(ROWS($AC$3:AC7289),$AC$3:$AC$10000,0)),"")</f>
        <v/>
      </c>
    </row>
    <row r="7290" spans="27:30">
      <c r="AA7290" s="117">
        <f>+'Ingredient List - Mother Tinctu'!D7291</f>
        <v>0</v>
      </c>
      <c r="AB7290" s="117">
        <f t="shared" si="116"/>
        <v>0</v>
      </c>
      <c r="AC7290" s="117" t="str">
        <f>IF(AB7290=1,COUNTIF($AB$3:AB7290,1),"")</f>
        <v/>
      </c>
      <c r="AD7290" s="117" t="str">
        <f>IFERROR(INDEX($AA$3:$AA$10000,MATCH(ROWS($AC$3:AC7290),$AC$3:$AC$10000,0)),"")</f>
        <v/>
      </c>
    </row>
    <row r="7291" spans="27:30">
      <c r="AA7291" s="117">
        <f>+'Ingredient List - Mother Tinctu'!D7292</f>
        <v>0</v>
      </c>
      <c r="AB7291" s="117">
        <f t="shared" si="116"/>
        <v>0</v>
      </c>
      <c r="AC7291" s="117" t="str">
        <f>IF(AB7291=1,COUNTIF($AB$3:AB7291,1),"")</f>
        <v/>
      </c>
      <c r="AD7291" s="117" t="str">
        <f>IFERROR(INDEX($AA$3:$AA$10000,MATCH(ROWS($AC$3:AC7291),$AC$3:$AC$10000,0)),"")</f>
        <v/>
      </c>
    </row>
    <row r="7292" spans="27:30">
      <c r="AA7292" s="117">
        <f>+'Ingredient List - Mother Tinctu'!D7293</f>
        <v>0</v>
      </c>
      <c r="AB7292" s="117">
        <f t="shared" si="116"/>
        <v>0</v>
      </c>
      <c r="AC7292" s="117" t="str">
        <f>IF(AB7292=1,COUNTIF($AB$3:AB7292,1),"")</f>
        <v/>
      </c>
      <c r="AD7292" s="117" t="str">
        <f>IFERROR(INDEX($AA$3:$AA$10000,MATCH(ROWS($AC$3:AC7292),$AC$3:$AC$10000,0)),"")</f>
        <v/>
      </c>
    </row>
    <row r="7293" spans="27:30">
      <c r="AA7293" s="117">
        <f>+'Ingredient List - Mother Tinctu'!D7294</f>
        <v>0</v>
      </c>
      <c r="AB7293" s="117">
        <f t="shared" si="116"/>
        <v>0</v>
      </c>
      <c r="AC7293" s="117" t="str">
        <f>IF(AB7293=1,COUNTIF($AB$3:AB7293,1),"")</f>
        <v/>
      </c>
      <c r="AD7293" s="117" t="str">
        <f>IFERROR(INDEX($AA$3:$AA$10000,MATCH(ROWS($AC$3:AC7293),$AC$3:$AC$10000,0)),"")</f>
        <v/>
      </c>
    </row>
    <row r="7294" spans="27:30">
      <c r="AA7294" s="117">
        <f>+'Ingredient List - Mother Tinctu'!D7295</f>
        <v>0</v>
      </c>
      <c r="AB7294" s="117">
        <f t="shared" si="116"/>
        <v>0</v>
      </c>
      <c r="AC7294" s="117" t="str">
        <f>IF(AB7294=1,COUNTIF($AB$3:AB7294,1),"")</f>
        <v/>
      </c>
      <c r="AD7294" s="117" t="str">
        <f>IFERROR(INDEX($AA$3:$AA$10000,MATCH(ROWS($AC$3:AC7294),$AC$3:$AC$10000,0)),"")</f>
        <v/>
      </c>
    </row>
    <row r="7295" spans="27:30">
      <c r="AA7295" s="117">
        <f>+'Ingredient List - Mother Tinctu'!D7296</f>
        <v>0</v>
      </c>
      <c r="AB7295" s="117">
        <f t="shared" si="116"/>
        <v>0</v>
      </c>
      <c r="AC7295" s="117" t="str">
        <f>IF(AB7295=1,COUNTIF($AB$3:AB7295,1),"")</f>
        <v/>
      </c>
      <c r="AD7295" s="117" t="str">
        <f>IFERROR(INDEX($AA$3:$AA$10000,MATCH(ROWS($AC$3:AC7295),$AC$3:$AC$10000,0)),"")</f>
        <v/>
      </c>
    </row>
    <row r="7296" spans="27:30">
      <c r="AA7296" s="117">
        <f>+'Ingredient List - Mother Tinctu'!D7297</f>
        <v>0</v>
      </c>
      <c r="AB7296" s="117">
        <f t="shared" si="116"/>
        <v>0</v>
      </c>
      <c r="AC7296" s="117" t="str">
        <f>IF(AB7296=1,COUNTIF($AB$3:AB7296,1),"")</f>
        <v/>
      </c>
      <c r="AD7296" s="117" t="str">
        <f>IFERROR(INDEX($AA$3:$AA$10000,MATCH(ROWS($AC$3:AC7296),$AC$3:$AC$10000,0)),"")</f>
        <v/>
      </c>
    </row>
    <row r="7297" spans="27:30">
      <c r="AA7297" s="117">
        <f>+'Ingredient List - Mother Tinctu'!D7298</f>
        <v>0</v>
      </c>
      <c r="AB7297" s="117">
        <f t="shared" si="116"/>
        <v>0</v>
      </c>
      <c r="AC7297" s="117" t="str">
        <f>IF(AB7297=1,COUNTIF($AB$3:AB7297,1),"")</f>
        <v/>
      </c>
      <c r="AD7297" s="117" t="str">
        <f>IFERROR(INDEX($AA$3:$AA$10000,MATCH(ROWS($AC$3:AC7297),$AC$3:$AC$10000,0)),"")</f>
        <v/>
      </c>
    </row>
    <row r="7298" spans="27:30">
      <c r="AA7298" s="117">
        <f>+'Ingredient List - Mother Tinctu'!D7299</f>
        <v>0</v>
      </c>
      <c r="AB7298" s="117">
        <f t="shared" si="116"/>
        <v>0</v>
      </c>
      <c r="AC7298" s="117" t="str">
        <f>IF(AB7298=1,COUNTIF($AB$3:AB7298,1),"")</f>
        <v/>
      </c>
      <c r="AD7298" s="117" t="str">
        <f>IFERROR(INDEX($AA$3:$AA$10000,MATCH(ROWS($AC$3:AC7298),$AC$3:$AC$10000,0)),"")</f>
        <v/>
      </c>
    </row>
    <row r="7299" spans="27:30">
      <c r="AA7299" s="117">
        <f>+'Ingredient List - Mother Tinctu'!D7300</f>
        <v>0</v>
      </c>
      <c r="AB7299" s="117">
        <f t="shared" si="116"/>
        <v>0</v>
      </c>
      <c r="AC7299" s="117" t="str">
        <f>IF(AB7299=1,COUNTIF($AB$3:AB7299,1),"")</f>
        <v/>
      </c>
      <c r="AD7299" s="117" t="str">
        <f>IFERROR(INDEX($AA$3:$AA$10000,MATCH(ROWS($AC$3:AC7299),$AC$3:$AC$10000,0)),"")</f>
        <v/>
      </c>
    </row>
    <row r="7300" spans="27:30">
      <c r="AA7300" s="117">
        <f>+'Ingredient List - Mother Tinctu'!D7301</f>
        <v>0</v>
      </c>
      <c r="AB7300" s="117">
        <f t="shared" ref="AB7300:AB7363" si="117">--ISNUMBER(IFERROR(SEARCH($D$3,AA7300,1),""))</f>
        <v>0</v>
      </c>
      <c r="AC7300" s="117" t="str">
        <f>IF(AB7300=1,COUNTIF($AB$3:AB7300,1),"")</f>
        <v/>
      </c>
      <c r="AD7300" s="117" t="str">
        <f>IFERROR(INDEX($AA$3:$AA$10000,MATCH(ROWS($AC$3:AC7300),$AC$3:$AC$10000,0)),"")</f>
        <v/>
      </c>
    </row>
    <row r="7301" spans="27:30">
      <c r="AA7301" s="117">
        <f>+'Ingredient List - Mother Tinctu'!D7302</f>
        <v>0</v>
      </c>
      <c r="AB7301" s="117">
        <f t="shared" si="117"/>
        <v>0</v>
      </c>
      <c r="AC7301" s="117" t="str">
        <f>IF(AB7301=1,COUNTIF($AB$3:AB7301,1),"")</f>
        <v/>
      </c>
      <c r="AD7301" s="117" t="str">
        <f>IFERROR(INDEX($AA$3:$AA$10000,MATCH(ROWS($AC$3:AC7301),$AC$3:$AC$10000,0)),"")</f>
        <v/>
      </c>
    </row>
    <row r="7302" spans="27:30">
      <c r="AA7302" s="117">
        <f>+'Ingredient List - Mother Tinctu'!D7303</f>
        <v>0</v>
      </c>
      <c r="AB7302" s="117">
        <f t="shared" si="117"/>
        <v>0</v>
      </c>
      <c r="AC7302" s="117" t="str">
        <f>IF(AB7302=1,COUNTIF($AB$3:AB7302,1),"")</f>
        <v/>
      </c>
      <c r="AD7302" s="117" t="str">
        <f>IFERROR(INDEX($AA$3:$AA$10000,MATCH(ROWS($AC$3:AC7302),$AC$3:$AC$10000,0)),"")</f>
        <v/>
      </c>
    </row>
    <row r="7303" spans="27:30">
      <c r="AA7303" s="117">
        <f>+'Ingredient List - Mother Tinctu'!D7304</f>
        <v>0</v>
      </c>
      <c r="AB7303" s="117">
        <f t="shared" si="117"/>
        <v>0</v>
      </c>
      <c r="AC7303" s="117" t="str">
        <f>IF(AB7303=1,COUNTIF($AB$3:AB7303,1),"")</f>
        <v/>
      </c>
      <c r="AD7303" s="117" t="str">
        <f>IFERROR(INDEX($AA$3:$AA$10000,MATCH(ROWS($AC$3:AC7303),$AC$3:$AC$10000,0)),"")</f>
        <v/>
      </c>
    </row>
    <row r="7304" spans="27:30">
      <c r="AA7304" s="117">
        <f>+'Ingredient List - Mother Tinctu'!D7305</f>
        <v>0</v>
      </c>
      <c r="AB7304" s="117">
        <f t="shared" si="117"/>
        <v>0</v>
      </c>
      <c r="AC7304" s="117" t="str">
        <f>IF(AB7304=1,COUNTIF($AB$3:AB7304,1),"")</f>
        <v/>
      </c>
      <c r="AD7304" s="117" t="str">
        <f>IFERROR(INDEX($AA$3:$AA$10000,MATCH(ROWS($AC$3:AC7304),$AC$3:$AC$10000,0)),"")</f>
        <v/>
      </c>
    </row>
    <row r="7305" spans="27:30">
      <c r="AA7305" s="117">
        <f>+'Ingredient List - Mother Tinctu'!D7306</f>
        <v>0</v>
      </c>
      <c r="AB7305" s="117">
        <f t="shared" si="117"/>
        <v>0</v>
      </c>
      <c r="AC7305" s="117" t="str">
        <f>IF(AB7305=1,COUNTIF($AB$3:AB7305,1),"")</f>
        <v/>
      </c>
      <c r="AD7305" s="117" t="str">
        <f>IFERROR(INDEX($AA$3:$AA$10000,MATCH(ROWS($AC$3:AC7305),$AC$3:$AC$10000,0)),"")</f>
        <v/>
      </c>
    </row>
    <row r="7306" spans="27:30">
      <c r="AA7306" s="117">
        <f>+'Ingredient List - Mother Tinctu'!D7307</f>
        <v>0</v>
      </c>
      <c r="AB7306" s="117">
        <f t="shared" si="117"/>
        <v>0</v>
      </c>
      <c r="AC7306" s="117" t="str">
        <f>IF(AB7306=1,COUNTIF($AB$3:AB7306,1),"")</f>
        <v/>
      </c>
      <c r="AD7306" s="117" t="str">
        <f>IFERROR(INDEX($AA$3:$AA$10000,MATCH(ROWS($AC$3:AC7306),$AC$3:$AC$10000,0)),"")</f>
        <v/>
      </c>
    </row>
    <row r="7307" spans="27:30">
      <c r="AA7307" s="117">
        <f>+'Ingredient List - Mother Tinctu'!D7308</f>
        <v>0</v>
      </c>
      <c r="AB7307" s="117">
        <f t="shared" si="117"/>
        <v>0</v>
      </c>
      <c r="AC7307" s="117" t="str">
        <f>IF(AB7307=1,COUNTIF($AB$3:AB7307,1),"")</f>
        <v/>
      </c>
      <c r="AD7307" s="117" t="str">
        <f>IFERROR(INDEX($AA$3:$AA$10000,MATCH(ROWS($AC$3:AC7307),$AC$3:$AC$10000,0)),"")</f>
        <v/>
      </c>
    </row>
    <row r="7308" spans="27:30">
      <c r="AA7308" s="117">
        <f>+'Ingredient List - Mother Tinctu'!D7309</f>
        <v>0</v>
      </c>
      <c r="AB7308" s="117">
        <f t="shared" si="117"/>
        <v>0</v>
      </c>
      <c r="AC7308" s="117" t="str">
        <f>IF(AB7308=1,COUNTIF($AB$3:AB7308,1),"")</f>
        <v/>
      </c>
      <c r="AD7308" s="117" t="str">
        <f>IFERROR(INDEX($AA$3:$AA$10000,MATCH(ROWS($AC$3:AC7308),$AC$3:$AC$10000,0)),"")</f>
        <v/>
      </c>
    </row>
    <row r="7309" spans="27:30">
      <c r="AA7309" s="117">
        <f>+'Ingredient List - Mother Tinctu'!D7310</f>
        <v>0</v>
      </c>
      <c r="AB7309" s="117">
        <f t="shared" si="117"/>
        <v>0</v>
      </c>
      <c r="AC7309" s="117" t="str">
        <f>IF(AB7309=1,COUNTIF($AB$3:AB7309,1),"")</f>
        <v/>
      </c>
      <c r="AD7309" s="117" t="str">
        <f>IFERROR(INDEX($AA$3:$AA$10000,MATCH(ROWS($AC$3:AC7309),$AC$3:$AC$10000,0)),"")</f>
        <v/>
      </c>
    </row>
    <row r="7310" spans="27:30">
      <c r="AA7310" s="117">
        <f>+'Ingredient List - Mother Tinctu'!D7311</f>
        <v>0</v>
      </c>
      <c r="AB7310" s="117">
        <f t="shared" si="117"/>
        <v>0</v>
      </c>
      <c r="AC7310" s="117" t="str">
        <f>IF(AB7310=1,COUNTIF($AB$3:AB7310,1),"")</f>
        <v/>
      </c>
      <c r="AD7310" s="117" t="str">
        <f>IFERROR(INDEX($AA$3:$AA$10000,MATCH(ROWS($AC$3:AC7310),$AC$3:$AC$10000,0)),"")</f>
        <v/>
      </c>
    </row>
    <row r="7311" spans="27:30">
      <c r="AA7311" s="117">
        <f>+'Ingredient List - Mother Tinctu'!D7312</f>
        <v>0</v>
      </c>
      <c r="AB7311" s="117">
        <f t="shared" si="117"/>
        <v>0</v>
      </c>
      <c r="AC7311" s="117" t="str">
        <f>IF(AB7311=1,COUNTIF($AB$3:AB7311,1),"")</f>
        <v/>
      </c>
      <c r="AD7311" s="117" t="str">
        <f>IFERROR(INDEX($AA$3:$AA$10000,MATCH(ROWS($AC$3:AC7311),$AC$3:$AC$10000,0)),"")</f>
        <v/>
      </c>
    </row>
    <row r="7312" spans="27:30">
      <c r="AA7312" s="117">
        <f>+'Ingredient List - Mother Tinctu'!D7313</f>
        <v>0</v>
      </c>
      <c r="AB7312" s="117">
        <f t="shared" si="117"/>
        <v>0</v>
      </c>
      <c r="AC7312" s="117" t="str">
        <f>IF(AB7312=1,COUNTIF($AB$3:AB7312,1),"")</f>
        <v/>
      </c>
      <c r="AD7312" s="117" t="str">
        <f>IFERROR(INDEX($AA$3:$AA$10000,MATCH(ROWS($AC$3:AC7312),$AC$3:$AC$10000,0)),"")</f>
        <v/>
      </c>
    </row>
    <row r="7313" spans="27:30">
      <c r="AA7313" s="117">
        <f>+'Ingredient List - Mother Tinctu'!D7314</f>
        <v>0</v>
      </c>
      <c r="AB7313" s="117">
        <f t="shared" si="117"/>
        <v>0</v>
      </c>
      <c r="AC7313" s="117" t="str">
        <f>IF(AB7313=1,COUNTIF($AB$3:AB7313,1),"")</f>
        <v/>
      </c>
      <c r="AD7313" s="117" t="str">
        <f>IFERROR(INDEX($AA$3:$AA$10000,MATCH(ROWS($AC$3:AC7313),$AC$3:$AC$10000,0)),"")</f>
        <v/>
      </c>
    </row>
    <row r="7314" spans="27:30">
      <c r="AA7314" s="117">
        <f>+'Ingredient List - Mother Tinctu'!D7315</f>
        <v>0</v>
      </c>
      <c r="AB7314" s="117">
        <f t="shared" si="117"/>
        <v>0</v>
      </c>
      <c r="AC7314" s="117" t="str">
        <f>IF(AB7314=1,COUNTIF($AB$3:AB7314,1),"")</f>
        <v/>
      </c>
      <c r="AD7314" s="117" t="str">
        <f>IFERROR(INDEX($AA$3:$AA$10000,MATCH(ROWS($AC$3:AC7314),$AC$3:$AC$10000,0)),"")</f>
        <v/>
      </c>
    </row>
    <row r="7315" spans="27:30">
      <c r="AA7315" s="117">
        <f>+'Ingredient List - Mother Tinctu'!D7316</f>
        <v>0</v>
      </c>
      <c r="AB7315" s="117">
        <f t="shared" si="117"/>
        <v>0</v>
      </c>
      <c r="AC7315" s="117" t="str">
        <f>IF(AB7315=1,COUNTIF($AB$3:AB7315,1),"")</f>
        <v/>
      </c>
      <c r="AD7315" s="117" t="str">
        <f>IFERROR(INDEX($AA$3:$AA$10000,MATCH(ROWS($AC$3:AC7315),$AC$3:$AC$10000,0)),"")</f>
        <v/>
      </c>
    </row>
    <row r="7316" spans="27:30">
      <c r="AA7316" s="117">
        <f>+'Ingredient List - Mother Tinctu'!D7317</f>
        <v>0</v>
      </c>
      <c r="AB7316" s="117">
        <f t="shared" si="117"/>
        <v>0</v>
      </c>
      <c r="AC7316" s="117" t="str">
        <f>IF(AB7316=1,COUNTIF($AB$3:AB7316,1),"")</f>
        <v/>
      </c>
      <c r="AD7316" s="117" t="str">
        <f>IFERROR(INDEX($AA$3:$AA$10000,MATCH(ROWS($AC$3:AC7316),$AC$3:$AC$10000,0)),"")</f>
        <v/>
      </c>
    </row>
    <row r="7317" spans="27:30">
      <c r="AA7317" s="117">
        <f>+'Ingredient List - Mother Tinctu'!D7318</f>
        <v>0</v>
      </c>
      <c r="AB7317" s="117">
        <f t="shared" si="117"/>
        <v>0</v>
      </c>
      <c r="AC7317" s="117" t="str">
        <f>IF(AB7317=1,COUNTIF($AB$3:AB7317,1),"")</f>
        <v/>
      </c>
      <c r="AD7317" s="117" t="str">
        <f>IFERROR(INDEX($AA$3:$AA$10000,MATCH(ROWS($AC$3:AC7317),$AC$3:$AC$10000,0)),"")</f>
        <v/>
      </c>
    </row>
    <row r="7318" spans="27:30">
      <c r="AA7318" s="117">
        <f>+'Ingredient List - Mother Tinctu'!D7319</f>
        <v>0</v>
      </c>
      <c r="AB7318" s="117">
        <f t="shared" si="117"/>
        <v>0</v>
      </c>
      <c r="AC7318" s="117" t="str">
        <f>IF(AB7318=1,COUNTIF($AB$3:AB7318,1),"")</f>
        <v/>
      </c>
      <c r="AD7318" s="117" t="str">
        <f>IFERROR(INDEX($AA$3:$AA$10000,MATCH(ROWS($AC$3:AC7318),$AC$3:$AC$10000,0)),"")</f>
        <v/>
      </c>
    </row>
    <row r="7319" spans="27:30">
      <c r="AA7319" s="117">
        <f>+'Ingredient List - Mother Tinctu'!D7320</f>
        <v>0</v>
      </c>
      <c r="AB7319" s="117">
        <f t="shared" si="117"/>
        <v>0</v>
      </c>
      <c r="AC7319" s="117" t="str">
        <f>IF(AB7319=1,COUNTIF($AB$3:AB7319,1),"")</f>
        <v/>
      </c>
      <c r="AD7319" s="117" t="str">
        <f>IFERROR(INDEX($AA$3:$AA$10000,MATCH(ROWS($AC$3:AC7319),$AC$3:$AC$10000,0)),"")</f>
        <v/>
      </c>
    </row>
    <row r="7320" spans="27:30">
      <c r="AA7320" s="117">
        <f>+'Ingredient List - Mother Tinctu'!D7321</f>
        <v>0</v>
      </c>
      <c r="AB7320" s="117">
        <f t="shared" si="117"/>
        <v>0</v>
      </c>
      <c r="AC7320" s="117" t="str">
        <f>IF(AB7320=1,COUNTIF($AB$3:AB7320,1),"")</f>
        <v/>
      </c>
      <c r="AD7320" s="117" t="str">
        <f>IFERROR(INDEX($AA$3:$AA$10000,MATCH(ROWS($AC$3:AC7320),$AC$3:$AC$10000,0)),"")</f>
        <v/>
      </c>
    </row>
    <row r="7321" spans="27:30">
      <c r="AA7321" s="117">
        <f>+'Ingredient List - Mother Tinctu'!D7322</f>
        <v>0</v>
      </c>
      <c r="AB7321" s="117">
        <f t="shared" si="117"/>
        <v>0</v>
      </c>
      <c r="AC7321" s="117" t="str">
        <f>IF(AB7321=1,COUNTIF($AB$3:AB7321,1),"")</f>
        <v/>
      </c>
      <c r="AD7321" s="117" t="str">
        <f>IFERROR(INDEX($AA$3:$AA$10000,MATCH(ROWS($AC$3:AC7321),$AC$3:$AC$10000,0)),"")</f>
        <v/>
      </c>
    </row>
    <row r="7322" spans="27:30">
      <c r="AA7322" s="117">
        <f>+'Ingredient List - Mother Tinctu'!D7323</f>
        <v>0</v>
      </c>
      <c r="AB7322" s="117">
        <f t="shared" si="117"/>
        <v>0</v>
      </c>
      <c r="AC7322" s="117" t="str">
        <f>IF(AB7322=1,COUNTIF($AB$3:AB7322,1),"")</f>
        <v/>
      </c>
      <c r="AD7322" s="117" t="str">
        <f>IFERROR(INDEX($AA$3:$AA$10000,MATCH(ROWS($AC$3:AC7322),$AC$3:$AC$10000,0)),"")</f>
        <v/>
      </c>
    </row>
    <row r="7323" spans="27:30">
      <c r="AA7323" s="117">
        <f>+'Ingredient List - Mother Tinctu'!D7324</f>
        <v>0</v>
      </c>
      <c r="AB7323" s="117">
        <f t="shared" si="117"/>
        <v>0</v>
      </c>
      <c r="AC7323" s="117" t="str">
        <f>IF(AB7323=1,COUNTIF($AB$3:AB7323,1),"")</f>
        <v/>
      </c>
      <c r="AD7323" s="117" t="str">
        <f>IFERROR(INDEX($AA$3:$AA$10000,MATCH(ROWS($AC$3:AC7323),$AC$3:$AC$10000,0)),"")</f>
        <v/>
      </c>
    </row>
    <row r="7324" spans="27:30">
      <c r="AA7324" s="117">
        <f>+'Ingredient List - Mother Tinctu'!D7325</f>
        <v>0</v>
      </c>
      <c r="AB7324" s="117">
        <f t="shared" si="117"/>
        <v>0</v>
      </c>
      <c r="AC7324" s="117" t="str">
        <f>IF(AB7324=1,COUNTIF($AB$3:AB7324,1),"")</f>
        <v/>
      </c>
      <c r="AD7324" s="117" t="str">
        <f>IFERROR(INDEX($AA$3:$AA$10000,MATCH(ROWS($AC$3:AC7324),$AC$3:$AC$10000,0)),"")</f>
        <v/>
      </c>
    </row>
    <row r="7325" spans="27:30">
      <c r="AA7325" s="117">
        <f>+'Ingredient List - Mother Tinctu'!D7326</f>
        <v>0</v>
      </c>
      <c r="AB7325" s="117">
        <f t="shared" si="117"/>
        <v>0</v>
      </c>
      <c r="AC7325" s="117" t="str">
        <f>IF(AB7325=1,COUNTIF($AB$3:AB7325,1),"")</f>
        <v/>
      </c>
      <c r="AD7325" s="117" t="str">
        <f>IFERROR(INDEX($AA$3:$AA$10000,MATCH(ROWS($AC$3:AC7325),$AC$3:$AC$10000,0)),"")</f>
        <v/>
      </c>
    </row>
    <row r="7326" spans="27:30">
      <c r="AA7326" s="117">
        <f>+'Ingredient List - Mother Tinctu'!D7327</f>
        <v>0</v>
      </c>
      <c r="AB7326" s="117">
        <f t="shared" si="117"/>
        <v>0</v>
      </c>
      <c r="AC7326" s="117" t="str">
        <f>IF(AB7326=1,COUNTIF($AB$3:AB7326,1),"")</f>
        <v/>
      </c>
      <c r="AD7326" s="117" t="str">
        <f>IFERROR(INDEX($AA$3:$AA$10000,MATCH(ROWS($AC$3:AC7326),$AC$3:$AC$10000,0)),"")</f>
        <v/>
      </c>
    </row>
    <row r="7327" spans="27:30">
      <c r="AA7327" s="117">
        <f>+'Ingredient List - Mother Tinctu'!D7328</f>
        <v>0</v>
      </c>
      <c r="AB7327" s="117">
        <f t="shared" si="117"/>
        <v>0</v>
      </c>
      <c r="AC7327" s="117" t="str">
        <f>IF(AB7327=1,COUNTIF($AB$3:AB7327,1),"")</f>
        <v/>
      </c>
      <c r="AD7327" s="117" t="str">
        <f>IFERROR(INDEX($AA$3:$AA$10000,MATCH(ROWS($AC$3:AC7327),$AC$3:$AC$10000,0)),"")</f>
        <v/>
      </c>
    </row>
    <row r="7328" spans="27:30">
      <c r="AA7328" s="117">
        <f>+'Ingredient List - Mother Tinctu'!D7329</f>
        <v>0</v>
      </c>
      <c r="AB7328" s="117">
        <f t="shared" si="117"/>
        <v>0</v>
      </c>
      <c r="AC7328" s="117" t="str">
        <f>IF(AB7328=1,COUNTIF($AB$3:AB7328,1),"")</f>
        <v/>
      </c>
      <c r="AD7328" s="117" t="str">
        <f>IFERROR(INDEX($AA$3:$AA$10000,MATCH(ROWS($AC$3:AC7328),$AC$3:$AC$10000,0)),"")</f>
        <v/>
      </c>
    </row>
    <row r="7329" spans="27:30">
      <c r="AA7329" s="117">
        <f>+'Ingredient List - Mother Tinctu'!D7330</f>
        <v>0</v>
      </c>
      <c r="AB7329" s="117">
        <f t="shared" si="117"/>
        <v>0</v>
      </c>
      <c r="AC7329" s="117" t="str">
        <f>IF(AB7329=1,COUNTIF($AB$3:AB7329,1),"")</f>
        <v/>
      </c>
      <c r="AD7329" s="117" t="str">
        <f>IFERROR(INDEX($AA$3:$AA$10000,MATCH(ROWS($AC$3:AC7329),$AC$3:$AC$10000,0)),"")</f>
        <v/>
      </c>
    </row>
    <row r="7330" spans="27:30">
      <c r="AA7330" s="117">
        <f>+'Ingredient List - Mother Tinctu'!D7331</f>
        <v>0</v>
      </c>
      <c r="AB7330" s="117">
        <f t="shared" si="117"/>
        <v>0</v>
      </c>
      <c r="AC7330" s="117" t="str">
        <f>IF(AB7330=1,COUNTIF($AB$3:AB7330,1),"")</f>
        <v/>
      </c>
      <c r="AD7330" s="117" t="str">
        <f>IFERROR(INDEX($AA$3:$AA$10000,MATCH(ROWS($AC$3:AC7330),$AC$3:$AC$10000,0)),"")</f>
        <v/>
      </c>
    </row>
    <row r="7331" spans="27:30">
      <c r="AA7331" s="117">
        <f>+'Ingredient List - Mother Tinctu'!D7332</f>
        <v>0</v>
      </c>
      <c r="AB7331" s="117">
        <f t="shared" si="117"/>
        <v>0</v>
      </c>
      <c r="AC7331" s="117" t="str">
        <f>IF(AB7331=1,COUNTIF($AB$3:AB7331,1),"")</f>
        <v/>
      </c>
      <c r="AD7331" s="117" t="str">
        <f>IFERROR(INDEX($AA$3:$AA$10000,MATCH(ROWS($AC$3:AC7331),$AC$3:$AC$10000,0)),"")</f>
        <v/>
      </c>
    </row>
    <row r="7332" spans="27:30">
      <c r="AA7332" s="117">
        <f>+'Ingredient List - Mother Tinctu'!D7333</f>
        <v>0</v>
      </c>
      <c r="AB7332" s="117">
        <f t="shared" si="117"/>
        <v>0</v>
      </c>
      <c r="AC7332" s="117" t="str">
        <f>IF(AB7332=1,COUNTIF($AB$3:AB7332,1),"")</f>
        <v/>
      </c>
      <c r="AD7332" s="117" t="str">
        <f>IFERROR(INDEX($AA$3:$AA$10000,MATCH(ROWS($AC$3:AC7332),$AC$3:$AC$10000,0)),"")</f>
        <v/>
      </c>
    </row>
    <row r="7333" spans="27:30">
      <c r="AA7333" s="117">
        <f>+'Ingredient List - Mother Tinctu'!D7334</f>
        <v>0</v>
      </c>
      <c r="AB7333" s="117">
        <f t="shared" si="117"/>
        <v>0</v>
      </c>
      <c r="AC7333" s="117" t="str">
        <f>IF(AB7333=1,COUNTIF($AB$3:AB7333,1),"")</f>
        <v/>
      </c>
      <c r="AD7333" s="117" t="str">
        <f>IFERROR(INDEX($AA$3:$AA$10000,MATCH(ROWS($AC$3:AC7333),$AC$3:$AC$10000,0)),"")</f>
        <v/>
      </c>
    </row>
    <row r="7334" spans="27:30">
      <c r="AA7334" s="117">
        <f>+'Ingredient List - Mother Tinctu'!D7335</f>
        <v>0</v>
      </c>
      <c r="AB7334" s="117">
        <f t="shared" si="117"/>
        <v>0</v>
      </c>
      <c r="AC7334" s="117" t="str">
        <f>IF(AB7334=1,COUNTIF($AB$3:AB7334,1),"")</f>
        <v/>
      </c>
      <c r="AD7334" s="117" t="str">
        <f>IFERROR(INDEX($AA$3:$AA$10000,MATCH(ROWS($AC$3:AC7334),$AC$3:$AC$10000,0)),"")</f>
        <v/>
      </c>
    </row>
    <row r="7335" spans="27:30">
      <c r="AA7335" s="117">
        <f>+'Ingredient List - Mother Tinctu'!D7336</f>
        <v>0</v>
      </c>
      <c r="AB7335" s="117">
        <f t="shared" si="117"/>
        <v>0</v>
      </c>
      <c r="AC7335" s="117" t="str">
        <f>IF(AB7335=1,COUNTIF($AB$3:AB7335,1),"")</f>
        <v/>
      </c>
      <c r="AD7335" s="117" t="str">
        <f>IFERROR(INDEX($AA$3:$AA$10000,MATCH(ROWS($AC$3:AC7335),$AC$3:$AC$10000,0)),"")</f>
        <v/>
      </c>
    </row>
    <row r="7336" spans="27:30">
      <c r="AA7336" s="117">
        <f>+'Ingredient List - Mother Tinctu'!D7337</f>
        <v>0</v>
      </c>
      <c r="AB7336" s="117">
        <f t="shared" si="117"/>
        <v>0</v>
      </c>
      <c r="AC7336" s="117" t="str">
        <f>IF(AB7336=1,COUNTIF($AB$3:AB7336,1),"")</f>
        <v/>
      </c>
      <c r="AD7336" s="117" t="str">
        <f>IFERROR(INDEX($AA$3:$AA$10000,MATCH(ROWS($AC$3:AC7336),$AC$3:$AC$10000,0)),"")</f>
        <v/>
      </c>
    </row>
    <row r="7337" spans="27:30">
      <c r="AA7337" s="117">
        <f>+'Ingredient List - Mother Tinctu'!D7338</f>
        <v>0</v>
      </c>
      <c r="AB7337" s="117">
        <f t="shared" si="117"/>
        <v>0</v>
      </c>
      <c r="AC7337" s="117" t="str">
        <f>IF(AB7337=1,COUNTIF($AB$3:AB7337,1),"")</f>
        <v/>
      </c>
      <c r="AD7337" s="117" t="str">
        <f>IFERROR(INDEX($AA$3:$AA$10000,MATCH(ROWS($AC$3:AC7337),$AC$3:$AC$10000,0)),"")</f>
        <v/>
      </c>
    </row>
    <row r="7338" spans="27:30">
      <c r="AA7338" s="117">
        <f>+'Ingredient List - Mother Tinctu'!D7339</f>
        <v>0</v>
      </c>
      <c r="AB7338" s="117">
        <f t="shared" si="117"/>
        <v>0</v>
      </c>
      <c r="AC7338" s="117" t="str">
        <f>IF(AB7338=1,COUNTIF($AB$3:AB7338,1),"")</f>
        <v/>
      </c>
      <c r="AD7338" s="117" t="str">
        <f>IFERROR(INDEX($AA$3:$AA$10000,MATCH(ROWS($AC$3:AC7338),$AC$3:$AC$10000,0)),"")</f>
        <v/>
      </c>
    </row>
    <row r="7339" spans="27:30">
      <c r="AA7339" s="117">
        <f>+'Ingredient List - Mother Tinctu'!D7340</f>
        <v>0</v>
      </c>
      <c r="AB7339" s="117">
        <f t="shared" si="117"/>
        <v>0</v>
      </c>
      <c r="AC7339" s="117" t="str">
        <f>IF(AB7339=1,COUNTIF($AB$3:AB7339,1),"")</f>
        <v/>
      </c>
      <c r="AD7339" s="117" t="str">
        <f>IFERROR(INDEX($AA$3:$AA$10000,MATCH(ROWS($AC$3:AC7339),$AC$3:$AC$10000,0)),"")</f>
        <v/>
      </c>
    </row>
    <row r="7340" spans="27:30">
      <c r="AA7340" s="117">
        <f>+'Ingredient List - Mother Tinctu'!D7341</f>
        <v>0</v>
      </c>
      <c r="AB7340" s="117">
        <f t="shared" si="117"/>
        <v>0</v>
      </c>
      <c r="AC7340" s="117" t="str">
        <f>IF(AB7340=1,COUNTIF($AB$3:AB7340,1),"")</f>
        <v/>
      </c>
      <c r="AD7340" s="117" t="str">
        <f>IFERROR(INDEX($AA$3:$AA$10000,MATCH(ROWS($AC$3:AC7340),$AC$3:$AC$10000,0)),"")</f>
        <v/>
      </c>
    </row>
    <row r="7341" spans="27:30">
      <c r="AA7341" s="117">
        <f>+'Ingredient List - Mother Tinctu'!D7342</f>
        <v>0</v>
      </c>
      <c r="AB7341" s="117">
        <f t="shared" si="117"/>
        <v>0</v>
      </c>
      <c r="AC7341" s="117" t="str">
        <f>IF(AB7341=1,COUNTIF($AB$3:AB7341,1),"")</f>
        <v/>
      </c>
      <c r="AD7341" s="117" t="str">
        <f>IFERROR(INDEX($AA$3:$AA$10000,MATCH(ROWS($AC$3:AC7341),$AC$3:$AC$10000,0)),"")</f>
        <v/>
      </c>
    </row>
    <row r="7342" spans="27:30">
      <c r="AA7342" s="117">
        <f>+'Ingredient List - Mother Tinctu'!D7343</f>
        <v>0</v>
      </c>
      <c r="AB7342" s="117">
        <f t="shared" si="117"/>
        <v>0</v>
      </c>
      <c r="AC7342" s="117" t="str">
        <f>IF(AB7342=1,COUNTIF($AB$3:AB7342,1),"")</f>
        <v/>
      </c>
      <c r="AD7342" s="117" t="str">
        <f>IFERROR(INDEX($AA$3:$AA$10000,MATCH(ROWS($AC$3:AC7342),$AC$3:$AC$10000,0)),"")</f>
        <v/>
      </c>
    </row>
    <row r="7343" spans="27:30">
      <c r="AA7343" s="117">
        <f>+'Ingredient List - Mother Tinctu'!D7344</f>
        <v>0</v>
      </c>
      <c r="AB7343" s="117">
        <f t="shared" si="117"/>
        <v>0</v>
      </c>
      <c r="AC7343" s="117" t="str">
        <f>IF(AB7343=1,COUNTIF($AB$3:AB7343,1),"")</f>
        <v/>
      </c>
      <c r="AD7343" s="117" t="str">
        <f>IFERROR(INDEX($AA$3:$AA$10000,MATCH(ROWS($AC$3:AC7343),$AC$3:$AC$10000,0)),"")</f>
        <v/>
      </c>
    </row>
    <row r="7344" spans="27:30">
      <c r="AA7344" s="117">
        <f>+'Ingredient List - Mother Tinctu'!D7345</f>
        <v>0</v>
      </c>
      <c r="AB7344" s="117">
        <f t="shared" si="117"/>
        <v>0</v>
      </c>
      <c r="AC7344" s="117" t="str">
        <f>IF(AB7344=1,COUNTIF($AB$3:AB7344,1),"")</f>
        <v/>
      </c>
      <c r="AD7344" s="117" t="str">
        <f>IFERROR(INDEX($AA$3:$AA$10000,MATCH(ROWS($AC$3:AC7344),$AC$3:$AC$10000,0)),"")</f>
        <v/>
      </c>
    </row>
    <row r="7345" spans="27:30">
      <c r="AA7345" s="117">
        <f>+'Ingredient List - Mother Tinctu'!D7346</f>
        <v>0</v>
      </c>
      <c r="AB7345" s="117">
        <f t="shared" si="117"/>
        <v>0</v>
      </c>
      <c r="AC7345" s="117" t="str">
        <f>IF(AB7345=1,COUNTIF($AB$3:AB7345,1),"")</f>
        <v/>
      </c>
      <c r="AD7345" s="117" t="str">
        <f>IFERROR(INDEX($AA$3:$AA$10000,MATCH(ROWS($AC$3:AC7345),$AC$3:$AC$10000,0)),"")</f>
        <v/>
      </c>
    </row>
    <row r="7346" spans="27:30">
      <c r="AA7346" s="117">
        <f>+'Ingredient List - Mother Tinctu'!D7347</f>
        <v>0</v>
      </c>
      <c r="AB7346" s="117">
        <f t="shared" si="117"/>
        <v>0</v>
      </c>
      <c r="AC7346" s="117" t="str">
        <f>IF(AB7346=1,COUNTIF($AB$3:AB7346,1),"")</f>
        <v/>
      </c>
      <c r="AD7346" s="117" t="str">
        <f>IFERROR(INDEX($AA$3:$AA$10000,MATCH(ROWS($AC$3:AC7346),$AC$3:$AC$10000,0)),"")</f>
        <v/>
      </c>
    </row>
    <row r="7347" spans="27:30">
      <c r="AA7347" s="117">
        <f>+'Ingredient List - Mother Tinctu'!D7348</f>
        <v>0</v>
      </c>
      <c r="AB7347" s="117">
        <f t="shared" si="117"/>
        <v>0</v>
      </c>
      <c r="AC7347" s="117" t="str">
        <f>IF(AB7347=1,COUNTIF($AB$3:AB7347,1),"")</f>
        <v/>
      </c>
      <c r="AD7347" s="117" t="str">
        <f>IFERROR(INDEX($AA$3:$AA$10000,MATCH(ROWS($AC$3:AC7347),$AC$3:$AC$10000,0)),"")</f>
        <v/>
      </c>
    </row>
    <row r="7348" spans="27:30">
      <c r="AA7348" s="117">
        <f>+'Ingredient List - Mother Tinctu'!D7349</f>
        <v>0</v>
      </c>
      <c r="AB7348" s="117">
        <f t="shared" si="117"/>
        <v>0</v>
      </c>
      <c r="AC7348" s="117" t="str">
        <f>IF(AB7348=1,COUNTIF($AB$3:AB7348,1),"")</f>
        <v/>
      </c>
      <c r="AD7348" s="117" t="str">
        <f>IFERROR(INDEX($AA$3:$AA$10000,MATCH(ROWS($AC$3:AC7348),$AC$3:$AC$10000,0)),"")</f>
        <v/>
      </c>
    </row>
    <row r="7349" spans="27:30">
      <c r="AA7349" s="117">
        <f>+'Ingredient List - Mother Tinctu'!D7350</f>
        <v>0</v>
      </c>
      <c r="AB7349" s="117">
        <f t="shared" si="117"/>
        <v>0</v>
      </c>
      <c r="AC7349" s="117" t="str">
        <f>IF(AB7349=1,COUNTIF($AB$3:AB7349,1),"")</f>
        <v/>
      </c>
      <c r="AD7349" s="117" t="str">
        <f>IFERROR(INDEX($AA$3:$AA$10000,MATCH(ROWS($AC$3:AC7349),$AC$3:$AC$10000,0)),"")</f>
        <v/>
      </c>
    </row>
    <row r="7350" spans="27:30">
      <c r="AA7350" s="117">
        <f>+'Ingredient List - Mother Tinctu'!D7351</f>
        <v>0</v>
      </c>
      <c r="AB7350" s="117">
        <f t="shared" si="117"/>
        <v>0</v>
      </c>
      <c r="AC7350" s="117" t="str">
        <f>IF(AB7350=1,COUNTIF($AB$3:AB7350,1),"")</f>
        <v/>
      </c>
      <c r="AD7350" s="117" t="str">
        <f>IFERROR(INDEX($AA$3:$AA$10000,MATCH(ROWS($AC$3:AC7350),$AC$3:$AC$10000,0)),"")</f>
        <v/>
      </c>
    </row>
    <row r="7351" spans="27:30">
      <c r="AA7351" s="117">
        <f>+'Ingredient List - Mother Tinctu'!D7352</f>
        <v>0</v>
      </c>
      <c r="AB7351" s="117">
        <f t="shared" si="117"/>
        <v>0</v>
      </c>
      <c r="AC7351" s="117" t="str">
        <f>IF(AB7351=1,COUNTIF($AB$3:AB7351,1),"")</f>
        <v/>
      </c>
      <c r="AD7351" s="117" t="str">
        <f>IFERROR(INDEX($AA$3:$AA$10000,MATCH(ROWS($AC$3:AC7351),$AC$3:$AC$10000,0)),"")</f>
        <v/>
      </c>
    </row>
    <row r="7352" spans="27:30">
      <c r="AA7352" s="117">
        <f>+'Ingredient List - Mother Tinctu'!D7353</f>
        <v>0</v>
      </c>
      <c r="AB7352" s="117">
        <f t="shared" si="117"/>
        <v>0</v>
      </c>
      <c r="AC7352" s="117" t="str">
        <f>IF(AB7352=1,COUNTIF($AB$3:AB7352,1),"")</f>
        <v/>
      </c>
      <c r="AD7352" s="117" t="str">
        <f>IFERROR(INDEX($AA$3:$AA$10000,MATCH(ROWS($AC$3:AC7352),$AC$3:$AC$10000,0)),"")</f>
        <v/>
      </c>
    </row>
    <row r="7353" spans="27:30">
      <c r="AA7353" s="117">
        <f>+'Ingredient List - Mother Tinctu'!D7354</f>
        <v>0</v>
      </c>
      <c r="AB7353" s="117">
        <f t="shared" si="117"/>
        <v>0</v>
      </c>
      <c r="AC7353" s="117" t="str">
        <f>IF(AB7353=1,COUNTIF($AB$3:AB7353,1),"")</f>
        <v/>
      </c>
      <c r="AD7353" s="117" t="str">
        <f>IFERROR(INDEX($AA$3:$AA$10000,MATCH(ROWS($AC$3:AC7353),$AC$3:$AC$10000,0)),"")</f>
        <v/>
      </c>
    </row>
    <row r="7354" spans="27:30">
      <c r="AA7354" s="117">
        <f>+'Ingredient List - Mother Tinctu'!D7355</f>
        <v>0</v>
      </c>
      <c r="AB7354" s="117">
        <f t="shared" si="117"/>
        <v>0</v>
      </c>
      <c r="AC7354" s="117" t="str">
        <f>IF(AB7354=1,COUNTIF($AB$3:AB7354,1),"")</f>
        <v/>
      </c>
      <c r="AD7354" s="117" t="str">
        <f>IFERROR(INDEX($AA$3:$AA$10000,MATCH(ROWS($AC$3:AC7354),$AC$3:$AC$10000,0)),"")</f>
        <v/>
      </c>
    </row>
    <row r="7355" spans="27:30">
      <c r="AA7355" s="117">
        <f>+'Ingredient List - Mother Tinctu'!D7356</f>
        <v>0</v>
      </c>
      <c r="AB7355" s="117">
        <f t="shared" si="117"/>
        <v>0</v>
      </c>
      <c r="AC7355" s="117" t="str">
        <f>IF(AB7355=1,COUNTIF($AB$3:AB7355,1),"")</f>
        <v/>
      </c>
      <c r="AD7355" s="117" t="str">
        <f>IFERROR(INDEX($AA$3:$AA$10000,MATCH(ROWS($AC$3:AC7355),$AC$3:$AC$10000,0)),"")</f>
        <v/>
      </c>
    </row>
    <row r="7356" spans="27:30">
      <c r="AA7356" s="117">
        <f>+'Ingredient List - Mother Tinctu'!D7357</f>
        <v>0</v>
      </c>
      <c r="AB7356" s="117">
        <f t="shared" si="117"/>
        <v>0</v>
      </c>
      <c r="AC7356" s="117" t="str">
        <f>IF(AB7356=1,COUNTIF($AB$3:AB7356,1),"")</f>
        <v/>
      </c>
      <c r="AD7356" s="117" t="str">
        <f>IFERROR(INDEX($AA$3:$AA$10000,MATCH(ROWS($AC$3:AC7356),$AC$3:$AC$10000,0)),"")</f>
        <v/>
      </c>
    </row>
    <row r="7357" spans="27:30">
      <c r="AA7357" s="117">
        <f>+'Ingredient List - Mother Tinctu'!D7358</f>
        <v>0</v>
      </c>
      <c r="AB7357" s="117">
        <f t="shared" si="117"/>
        <v>0</v>
      </c>
      <c r="AC7357" s="117" t="str">
        <f>IF(AB7357=1,COUNTIF($AB$3:AB7357,1),"")</f>
        <v/>
      </c>
      <c r="AD7357" s="117" t="str">
        <f>IFERROR(INDEX($AA$3:$AA$10000,MATCH(ROWS($AC$3:AC7357),$AC$3:$AC$10000,0)),"")</f>
        <v/>
      </c>
    </row>
    <row r="7358" spans="27:30">
      <c r="AA7358" s="117">
        <f>+'Ingredient List - Mother Tinctu'!D7359</f>
        <v>0</v>
      </c>
      <c r="AB7358" s="117">
        <f t="shared" si="117"/>
        <v>0</v>
      </c>
      <c r="AC7358" s="117" t="str">
        <f>IF(AB7358=1,COUNTIF($AB$3:AB7358,1),"")</f>
        <v/>
      </c>
      <c r="AD7358" s="117" t="str">
        <f>IFERROR(INDEX($AA$3:$AA$10000,MATCH(ROWS($AC$3:AC7358),$AC$3:$AC$10000,0)),"")</f>
        <v/>
      </c>
    </row>
    <row r="7359" spans="27:30">
      <c r="AA7359" s="117">
        <f>+'Ingredient List - Mother Tinctu'!D7360</f>
        <v>0</v>
      </c>
      <c r="AB7359" s="117">
        <f t="shared" si="117"/>
        <v>0</v>
      </c>
      <c r="AC7359" s="117" t="str">
        <f>IF(AB7359=1,COUNTIF($AB$3:AB7359,1),"")</f>
        <v/>
      </c>
      <c r="AD7359" s="117" t="str">
        <f>IFERROR(INDEX($AA$3:$AA$10000,MATCH(ROWS($AC$3:AC7359),$AC$3:$AC$10000,0)),"")</f>
        <v/>
      </c>
    </row>
    <row r="7360" spans="27:30">
      <c r="AA7360" s="117">
        <f>+'Ingredient List - Mother Tinctu'!D7361</f>
        <v>0</v>
      </c>
      <c r="AB7360" s="117">
        <f t="shared" si="117"/>
        <v>0</v>
      </c>
      <c r="AC7360" s="117" t="str">
        <f>IF(AB7360=1,COUNTIF($AB$3:AB7360,1),"")</f>
        <v/>
      </c>
      <c r="AD7360" s="117" t="str">
        <f>IFERROR(INDEX($AA$3:$AA$10000,MATCH(ROWS($AC$3:AC7360),$AC$3:$AC$10000,0)),"")</f>
        <v/>
      </c>
    </row>
    <row r="7361" spans="27:30">
      <c r="AA7361" s="117">
        <f>+'Ingredient List - Mother Tinctu'!D7362</f>
        <v>0</v>
      </c>
      <c r="AB7361" s="117">
        <f t="shared" si="117"/>
        <v>0</v>
      </c>
      <c r="AC7361" s="117" t="str">
        <f>IF(AB7361=1,COUNTIF($AB$3:AB7361,1),"")</f>
        <v/>
      </c>
      <c r="AD7361" s="117" t="str">
        <f>IFERROR(INDEX($AA$3:$AA$10000,MATCH(ROWS($AC$3:AC7361),$AC$3:$AC$10000,0)),"")</f>
        <v/>
      </c>
    </row>
    <row r="7362" spans="27:30">
      <c r="AA7362" s="117">
        <f>+'Ingredient List - Mother Tinctu'!D7363</f>
        <v>0</v>
      </c>
      <c r="AB7362" s="117">
        <f t="shared" si="117"/>
        <v>0</v>
      </c>
      <c r="AC7362" s="117" t="str">
        <f>IF(AB7362=1,COUNTIF($AB$3:AB7362,1),"")</f>
        <v/>
      </c>
      <c r="AD7362" s="117" t="str">
        <f>IFERROR(INDEX($AA$3:$AA$10000,MATCH(ROWS($AC$3:AC7362),$AC$3:$AC$10000,0)),"")</f>
        <v/>
      </c>
    </row>
    <row r="7363" spans="27:30">
      <c r="AA7363" s="117">
        <f>+'Ingredient List - Mother Tinctu'!D7364</f>
        <v>0</v>
      </c>
      <c r="AB7363" s="117">
        <f t="shared" si="117"/>
        <v>0</v>
      </c>
      <c r="AC7363" s="117" t="str">
        <f>IF(AB7363=1,COUNTIF($AB$3:AB7363,1),"")</f>
        <v/>
      </c>
      <c r="AD7363" s="117" t="str">
        <f>IFERROR(INDEX($AA$3:$AA$10000,MATCH(ROWS($AC$3:AC7363),$AC$3:$AC$10000,0)),"")</f>
        <v/>
      </c>
    </row>
    <row r="7364" spans="27:30">
      <c r="AA7364" s="117">
        <f>+'Ingredient List - Mother Tinctu'!D7365</f>
        <v>0</v>
      </c>
      <c r="AB7364" s="117">
        <f t="shared" ref="AB7364:AB7427" si="118">--ISNUMBER(IFERROR(SEARCH($D$3,AA7364,1),""))</f>
        <v>0</v>
      </c>
      <c r="AC7364" s="117" t="str">
        <f>IF(AB7364=1,COUNTIF($AB$3:AB7364,1),"")</f>
        <v/>
      </c>
      <c r="AD7364" s="117" t="str">
        <f>IFERROR(INDEX($AA$3:$AA$10000,MATCH(ROWS($AC$3:AC7364),$AC$3:$AC$10000,0)),"")</f>
        <v/>
      </c>
    </row>
    <row r="7365" spans="27:30">
      <c r="AA7365" s="117">
        <f>+'Ingredient List - Mother Tinctu'!D7366</f>
        <v>0</v>
      </c>
      <c r="AB7365" s="117">
        <f t="shared" si="118"/>
        <v>0</v>
      </c>
      <c r="AC7365" s="117" t="str">
        <f>IF(AB7365=1,COUNTIF($AB$3:AB7365,1),"")</f>
        <v/>
      </c>
      <c r="AD7365" s="117" t="str">
        <f>IFERROR(INDEX($AA$3:$AA$10000,MATCH(ROWS($AC$3:AC7365),$AC$3:$AC$10000,0)),"")</f>
        <v/>
      </c>
    </row>
    <row r="7366" spans="27:30">
      <c r="AA7366" s="117">
        <f>+'Ingredient List - Mother Tinctu'!D7367</f>
        <v>0</v>
      </c>
      <c r="AB7366" s="117">
        <f t="shared" si="118"/>
        <v>0</v>
      </c>
      <c r="AC7366" s="117" t="str">
        <f>IF(AB7366=1,COUNTIF($AB$3:AB7366,1),"")</f>
        <v/>
      </c>
      <c r="AD7366" s="117" t="str">
        <f>IFERROR(INDEX($AA$3:$AA$10000,MATCH(ROWS($AC$3:AC7366),$AC$3:$AC$10000,0)),"")</f>
        <v/>
      </c>
    </row>
    <row r="7367" spans="27:30">
      <c r="AA7367" s="117">
        <f>+'Ingredient List - Mother Tinctu'!D7368</f>
        <v>0</v>
      </c>
      <c r="AB7367" s="117">
        <f t="shared" si="118"/>
        <v>0</v>
      </c>
      <c r="AC7367" s="117" t="str">
        <f>IF(AB7367=1,COUNTIF($AB$3:AB7367,1),"")</f>
        <v/>
      </c>
      <c r="AD7367" s="117" t="str">
        <f>IFERROR(INDEX($AA$3:$AA$10000,MATCH(ROWS($AC$3:AC7367),$AC$3:$AC$10000,0)),"")</f>
        <v/>
      </c>
    </row>
    <row r="7368" spans="27:30">
      <c r="AA7368" s="117">
        <f>+'Ingredient List - Mother Tinctu'!D7369</f>
        <v>0</v>
      </c>
      <c r="AB7368" s="117">
        <f t="shared" si="118"/>
        <v>0</v>
      </c>
      <c r="AC7368" s="117" t="str">
        <f>IF(AB7368=1,COUNTIF($AB$3:AB7368,1),"")</f>
        <v/>
      </c>
      <c r="AD7368" s="117" t="str">
        <f>IFERROR(INDEX($AA$3:$AA$10000,MATCH(ROWS($AC$3:AC7368),$AC$3:$AC$10000,0)),"")</f>
        <v/>
      </c>
    </row>
    <row r="7369" spans="27:30">
      <c r="AA7369" s="117">
        <f>+'Ingredient List - Mother Tinctu'!D7370</f>
        <v>0</v>
      </c>
      <c r="AB7369" s="117">
        <f t="shared" si="118"/>
        <v>0</v>
      </c>
      <c r="AC7369" s="117" t="str">
        <f>IF(AB7369=1,COUNTIF($AB$3:AB7369,1),"")</f>
        <v/>
      </c>
      <c r="AD7369" s="117" t="str">
        <f>IFERROR(INDEX($AA$3:$AA$10000,MATCH(ROWS($AC$3:AC7369),$AC$3:$AC$10000,0)),"")</f>
        <v/>
      </c>
    </row>
    <row r="7370" spans="27:30">
      <c r="AA7370" s="117">
        <f>+'Ingredient List - Mother Tinctu'!D7371</f>
        <v>0</v>
      </c>
      <c r="AB7370" s="117">
        <f t="shared" si="118"/>
        <v>0</v>
      </c>
      <c r="AC7370" s="117" t="str">
        <f>IF(AB7370=1,COUNTIF($AB$3:AB7370,1),"")</f>
        <v/>
      </c>
      <c r="AD7370" s="117" t="str">
        <f>IFERROR(INDEX($AA$3:$AA$10000,MATCH(ROWS($AC$3:AC7370),$AC$3:$AC$10000,0)),"")</f>
        <v/>
      </c>
    </row>
    <row r="7371" spans="27:30">
      <c r="AA7371" s="117">
        <f>+'Ingredient List - Mother Tinctu'!D7372</f>
        <v>0</v>
      </c>
      <c r="AB7371" s="117">
        <f t="shared" si="118"/>
        <v>0</v>
      </c>
      <c r="AC7371" s="117" t="str">
        <f>IF(AB7371=1,COUNTIF($AB$3:AB7371,1),"")</f>
        <v/>
      </c>
      <c r="AD7371" s="117" t="str">
        <f>IFERROR(INDEX($AA$3:$AA$10000,MATCH(ROWS($AC$3:AC7371),$AC$3:$AC$10000,0)),"")</f>
        <v/>
      </c>
    </row>
    <row r="7372" spans="27:30">
      <c r="AA7372" s="117">
        <f>+'Ingredient List - Mother Tinctu'!D7373</f>
        <v>0</v>
      </c>
      <c r="AB7372" s="117">
        <f t="shared" si="118"/>
        <v>0</v>
      </c>
      <c r="AC7372" s="117" t="str">
        <f>IF(AB7372=1,COUNTIF($AB$3:AB7372,1),"")</f>
        <v/>
      </c>
      <c r="AD7372" s="117" t="str">
        <f>IFERROR(INDEX($AA$3:$AA$10000,MATCH(ROWS($AC$3:AC7372),$AC$3:$AC$10000,0)),"")</f>
        <v/>
      </c>
    </row>
    <row r="7373" spans="27:30">
      <c r="AA7373" s="117">
        <f>+'Ingredient List - Mother Tinctu'!D7374</f>
        <v>0</v>
      </c>
      <c r="AB7373" s="117">
        <f t="shared" si="118"/>
        <v>0</v>
      </c>
      <c r="AC7373" s="117" t="str">
        <f>IF(AB7373=1,COUNTIF($AB$3:AB7373,1),"")</f>
        <v/>
      </c>
      <c r="AD7373" s="117" t="str">
        <f>IFERROR(INDEX($AA$3:$AA$10000,MATCH(ROWS($AC$3:AC7373),$AC$3:$AC$10000,0)),"")</f>
        <v/>
      </c>
    </row>
    <row r="7374" spans="27:30">
      <c r="AA7374" s="117">
        <f>+'Ingredient List - Mother Tinctu'!D7375</f>
        <v>0</v>
      </c>
      <c r="AB7374" s="117">
        <f t="shared" si="118"/>
        <v>0</v>
      </c>
      <c r="AC7374" s="117" t="str">
        <f>IF(AB7374=1,COUNTIF($AB$3:AB7374,1),"")</f>
        <v/>
      </c>
      <c r="AD7374" s="117" t="str">
        <f>IFERROR(INDEX($AA$3:$AA$10000,MATCH(ROWS($AC$3:AC7374),$AC$3:$AC$10000,0)),"")</f>
        <v/>
      </c>
    </row>
    <row r="7375" spans="27:30">
      <c r="AA7375" s="117">
        <f>+'Ingredient List - Mother Tinctu'!D7376</f>
        <v>0</v>
      </c>
      <c r="AB7375" s="117">
        <f t="shared" si="118"/>
        <v>0</v>
      </c>
      <c r="AC7375" s="117" t="str">
        <f>IF(AB7375=1,COUNTIF($AB$3:AB7375,1),"")</f>
        <v/>
      </c>
      <c r="AD7375" s="117" t="str">
        <f>IFERROR(INDEX($AA$3:$AA$10000,MATCH(ROWS($AC$3:AC7375),$AC$3:$AC$10000,0)),"")</f>
        <v/>
      </c>
    </row>
    <row r="7376" spans="27:30">
      <c r="AA7376" s="117">
        <f>+'Ingredient List - Mother Tinctu'!D7377</f>
        <v>0</v>
      </c>
      <c r="AB7376" s="117">
        <f t="shared" si="118"/>
        <v>0</v>
      </c>
      <c r="AC7376" s="117" t="str">
        <f>IF(AB7376=1,COUNTIF($AB$3:AB7376,1),"")</f>
        <v/>
      </c>
      <c r="AD7376" s="117" t="str">
        <f>IFERROR(INDEX($AA$3:$AA$10000,MATCH(ROWS($AC$3:AC7376),$AC$3:$AC$10000,0)),"")</f>
        <v/>
      </c>
    </row>
    <row r="7377" spans="27:30">
      <c r="AA7377" s="117">
        <f>+'Ingredient List - Mother Tinctu'!D7378</f>
        <v>0</v>
      </c>
      <c r="AB7377" s="117">
        <f t="shared" si="118"/>
        <v>0</v>
      </c>
      <c r="AC7377" s="117" t="str">
        <f>IF(AB7377=1,COUNTIF($AB$3:AB7377,1),"")</f>
        <v/>
      </c>
      <c r="AD7377" s="117" t="str">
        <f>IFERROR(INDEX($AA$3:$AA$10000,MATCH(ROWS($AC$3:AC7377),$AC$3:$AC$10000,0)),"")</f>
        <v/>
      </c>
    </row>
    <row r="7378" spans="27:30">
      <c r="AA7378" s="117">
        <f>+'Ingredient List - Mother Tinctu'!D7379</f>
        <v>0</v>
      </c>
      <c r="AB7378" s="117">
        <f t="shared" si="118"/>
        <v>0</v>
      </c>
      <c r="AC7378" s="117" t="str">
        <f>IF(AB7378=1,COUNTIF($AB$3:AB7378,1),"")</f>
        <v/>
      </c>
      <c r="AD7378" s="117" t="str">
        <f>IFERROR(INDEX($AA$3:$AA$10000,MATCH(ROWS($AC$3:AC7378),$AC$3:$AC$10000,0)),"")</f>
        <v/>
      </c>
    </row>
    <row r="7379" spans="27:30">
      <c r="AA7379" s="117">
        <f>+'Ingredient List - Mother Tinctu'!D7380</f>
        <v>0</v>
      </c>
      <c r="AB7379" s="117">
        <f t="shared" si="118"/>
        <v>0</v>
      </c>
      <c r="AC7379" s="117" t="str">
        <f>IF(AB7379=1,COUNTIF($AB$3:AB7379,1),"")</f>
        <v/>
      </c>
      <c r="AD7379" s="117" t="str">
        <f>IFERROR(INDEX($AA$3:$AA$10000,MATCH(ROWS($AC$3:AC7379),$AC$3:$AC$10000,0)),"")</f>
        <v/>
      </c>
    </row>
    <row r="7380" spans="27:30">
      <c r="AA7380" s="117">
        <f>+'Ingredient List - Mother Tinctu'!D7381</f>
        <v>0</v>
      </c>
      <c r="AB7380" s="117">
        <f t="shared" si="118"/>
        <v>0</v>
      </c>
      <c r="AC7380" s="117" t="str">
        <f>IF(AB7380=1,COUNTIF($AB$3:AB7380,1),"")</f>
        <v/>
      </c>
      <c r="AD7380" s="117" t="str">
        <f>IFERROR(INDEX($AA$3:$AA$10000,MATCH(ROWS($AC$3:AC7380),$AC$3:$AC$10000,0)),"")</f>
        <v/>
      </c>
    </row>
    <row r="7381" spans="27:30">
      <c r="AA7381" s="117">
        <f>+'Ingredient List - Mother Tinctu'!D7382</f>
        <v>0</v>
      </c>
      <c r="AB7381" s="117">
        <f t="shared" si="118"/>
        <v>0</v>
      </c>
      <c r="AC7381" s="117" t="str">
        <f>IF(AB7381=1,COUNTIF($AB$3:AB7381,1),"")</f>
        <v/>
      </c>
      <c r="AD7381" s="117" t="str">
        <f>IFERROR(INDEX($AA$3:$AA$10000,MATCH(ROWS($AC$3:AC7381),$AC$3:$AC$10000,0)),"")</f>
        <v/>
      </c>
    </row>
    <row r="7382" spans="27:30">
      <c r="AA7382" s="117">
        <f>+'Ingredient List - Mother Tinctu'!D7383</f>
        <v>0</v>
      </c>
      <c r="AB7382" s="117">
        <f t="shared" si="118"/>
        <v>0</v>
      </c>
      <c r="AC7382" s="117" t="str">
        <f>IF(AB7382=1,COUNTIF($AB$3:AB7382,1),"")</f>
        <v/>
      </c>
      <c r="AD7382" s="117" t="str">
        <f>IFERROR(INDEX($AA$3:$AA$10000,MATCH(ROWS($AC$3:AC7382),$AC$3:$AC$10000,0)),"")</f>
        <v/>
      </c>
    </row>
    <row r="7383" spans="27:30">
      <c r="AA7383" s="117">
        <f>+'Ingredient List - Mother Tinctu'!D7384</f>
        <v>0</v>
      </c>
      <c r="AB7383" s="117">
        <f t="shared" si="118"/>
        <v>0</v>
      </c>
      <c r="AC7383" s="117" t="str">
        <f>IF(AB7383=1,COUNTIF($AB$3:AB7383,1),"")</f>
        <v/>
      </c>
      <c r="AD7383" s="117" t="str">
        <f>IFERROR(INDEX($AA$3:$AA$10000,MATCH(ROWS($AC$3:AC7383),$AC$3:$AC$10000,0)),"")</f>
        <v/>
      </c>
    </row>
    <row r="7384" spans="27:30">
      <c r="AA7384" s="117">
        <f>+'Ingredient List - Mother Tinctu'!D7385</f>
        <v>0</v>
      </c>
      <c r="AB7384" s="117">
        <f t="shared" si="118"/>
        <v>0</v>
      </c>
      <c r="AC7384" s="117" t="str">
        <f>IF(AB7384=1,COUNTIF($AB$3:AB7384,1),"")</f>
        <v/>
      </c>
      <c r="AD7384" s="117" t="str">
        <f>IFERROR(INDEX($AA$3:$AA$10000,MATCH(ROWS($AC$3:AC7384),$AC$3:$AC$10000,0)),"")</f>
        <v/>
      </c>
    </row>
    <row r="7385" spans="27:30">
      <c r="AA7385" s="117">
        <f>+'Ingredient List - Mother Tinctu'!D7386</f>
        <v>0</v>
      </c>
      <c r="AB7385" s="117">
        <f t="shared" si="118"/>
        <v>0</v>
      </c>
      <c r="AC7385" s="117" t="str">
        <f>IF(AB7385=1,COUNTIF($AB$3:AB7385,1),"")</f>
        <v/>
      </c>
      <c r="AD7385" s="117" t="str">
        <f>IFERROR(INDEX($AA$3:$AA$10000,MATCH(ROWS($AC$3:AC7385),$AC$3:$AC$10000,0)),"")</f>
        <v/>
      </c>
    </row>
    <row r="7386" spans="27:30">
      <c r="AA7386" s="117">
        <f>+'Ingredient List - Mother Tinctu'!D7387</f>
        <v>0</v>
      </c>
      <c r="AB7386" s="117">
        <f t="shared" si="118"/>
        <v>0</v>
      </c>
      <c r="AC7386" s="117" t="str">
        <f>IF(AB7386=1,COUNTIF($AB$3:AB7386,1),"")</f>
        <v/>
      </c>
      <c r="AD7386" s="117" t="str">
        <f>IFERROR(INDEX($AA$3:$AA$10000,MATCH(ROWS($AC$3:AC7386),$AC$3:$AC$10000,0)),"")</f>
        <v/>
      </c>
    </row>
    <row r="7387" spans="27:30">
      <c r="AA7387" s="117">
        <f>+'Ingredient List - Mother Tinctu'!D7388</f>
        <v>0</v>
      </c>
      <c r="AB7387" s="117">
        <f t="shared" si="118"/>
        <v>0</v>
      </c>
      <c r="AC7387" s="117" t="str">
        <f>IF(AB7387=1,COUNTIF($AB$3:AB7387,1),"")</f>
        <v/>
      </c>
      <c r="AD7387" s="117" t="str">
        <f>IFERROR(INDEX($AA$3:$AA$10000,MATCH(ROWS($AC$3:AC7387),$AC$3:$AC$10000,0)),"")</f>
        <v/>
      </c>
    </row>
    <row r="7388" spans="27:30">
      <c r="AA7388" s="117">
        <f>+'Ingredient List - Mother Tinctu'!D7389</f>
        <v>0</v>
      </c>
      <c r="AB7388" s="117">
        <f t="shared" si="118"/>
        <v>0</v>
      </c>
      <c r="AC7388" s="117" t="str">
        <f>IF(AB7388=1,COUNTIF($AB$3:AB7388,1),"")</f>
        <v/>
      </c>
      <c r="AD7388" s="117" t="str">
        <f>IFERROR(INDEX($AA$3:$AA$10000,MATCH(ROWS($AC$3:AC7388),$AC$3:$AC$10000,0)),"")</f>
        <v/>
      </c>
    </row>
    <row r="7389" spans="27:30">
      <c r="AA7389" s="117">
        <f>+'Ingredient List - Mother Tinctu'!D7390</f>
        <v>0</v>
      </c>
      <c r="AB7389" s="117">
        <f t="shared" si="118"/>
        <v>0</v>
      </c>
      <c r="AC7389" s="117" t="str">
        <f>IF(AB7389=1,COUNTIF($AB$3:AB7389,1),"")</f>
        <v/>
      </c>
      <c r="AD7389" s="117" t="str">
        <f>IFERROR(INDEX($AA$3:$AA$10000,MATCH(ROWS($AC$3:AC7389),$AC$3:$AC$10000,0)),"")</f>
        <v/>
      </c>
    </row>
    <row r="7390" spans="27:30">
      <c r="AA7390" s="117">
        <f>+'Ingredient List - Mother Tinctu'!D7391</f>
        <v>0</v>
      </c>
      <c r="AB7390" s="117">
        <f t="shared" si="118"/>
        <v>0</v>
      </c>
      <c r="AC7390" s="117" t="str">
        <f>IF(AB7390=1,COUNTIF($AB$3:AB7390,1),"")</f>
        <v/>
      </c>
      <c r="AD7390" s="117" t="str">
        <f>IFERROR(INDEX($AA$3:$AA$10000,MATCH(ROWS($AC$3:AC7390),$AC$3:$AC$10000,0)),"")</f>
        <v/>
      </c>
    </row>
    <row r="7391" spans="27:30">
      <c r="AA7391" s="117">
        <f>+'Ingredient List - Mother Tinctu'!D7392</f>
        <v>0</v>
      </c>
      <c r="AB7391" s="117">
        <f t="shared" si="118"/>
        <v>0</v>
      </c>
      <c r="AC7391" s="117" t="str">
        <f>IF(AB7391=1,COUNTIF($AB$3:AB7391,1),"")</f>
        <v/>
      </c>
      <c r="AD7391" s="117" t="str">
        <f>IFERROR(INDEX($AA$3:$AA$10000,MATCH(ROWS($AC$3:AC7391),$AC$3:$AC$10000,0)),"")</f>
        <v/>
      </c>
    </row>
    <row r="7392" spans="27:30">
      <c r="AA7392" s="117">
        <f>+'Ingredient List - Mother Tinctu'!D7393</f>
        <v>0</v>
      </c>
      <c r="AB7392" s="117">
        <f t="shared" si="118"/>
        <v>0</v>
      </c>
      <c r="AC7392" s="117" t="str">
        <f>IF(AB7392=1,COUNTIF($AB$3:AB7392,1),"")</f>
        <v/>
      </c>
      <c r="AD7392" s="117" t="str">
        <f>IFERROR(INDEX($AA$3:$AA$10000,MATCH(ROWS($AC$3:AC7392),$AC$3:$AC$10000,0)),"")</f>
        <v/>
      </c>
    </row>
    <row r="7393" spans="27:30">
      <c r="AA7393" s="117">
        <f>+'Ingredient List - Mother Tinctu'!D7394</f>
        <v>0</v>
      </c>
      <c r="AB7393" s="117">
        <f t="shared" si="118"/>
        <v>0</v>
      </c>
      <c r="AC7393" s="117" t="str">
        <f>IF(AB7393=1,COUNTIF($AB$3:AB7393,1),"")</f>
        <v/>
      </c>
      <c r="AD7393" s="117" t="str">
        <f>IFERROR(INDEX($AA$3:$AA$10000,MATCH(ROWS($AC$3:AC7393),$AC$3:$AC$10000,0)),"")</f>
        <v/>
      </c>
    </row>
    <row r="7394" spans="27:30">
      <c r="AA7394" s="117">
        <f>+'Ingredient List - Mother Tinctu'!D7395</f>
        <v>0</v>
      </c>
      <c r="AB7394" s="117">
        <f t="shared" si="118"/>
        <v>0</v>
      </c>
      <c r="AC7394" s="117" t="str">
        <f>IF(AB7394=1,COUNTIF($AB$3:AB7394,1),"")</f>
        <v/>
      </c>
      <c r="AD7394" s="117" t="str">
        <f>IFERROR(INDEX($AA$3:$AA$10000,MATCH(ROWS($AC$3:AC7394),$AC$3:$AC$10000,0)),"")</f>
        <v/>
      </c>
    </row>
    <row r="7395" spans="27:30">
      <c r="AA7395" s="117">
        <f>+'Ingredient List - Mother Tinctu'!D7396</f>
        <v>0</v>
      </c>
      <c r="AB7395" s="117">
        <f t="shared" si="118"/>
        <v>0</v>
      </c>
      <c r="AC7395" s="117" t="str">
        <f>IF(AB7395=1,COUNTIF($AB$3:AB7395,1),"")</f>
        <v/>
      </c>
      <c r="AD7395" s="117" t="str">
        <f>IFERROR(INDEX($AA$3:$AA$10000,MATCH(ROWS($AC$3:AC7395),$AC$3:$AC$10000,0)),"")</f>
        <v/>
      </c>
    </row>
    <row r="7396" spans="27:30">
      <c r="AA7396" s="117">
        <f>+'Ingredient List - Mother Tinctu'!D7397</f>
        <v>0</v>
      </c>
      <c r="AB7396" s="117">
        <f t="shared" si="118"/>
        <v>0</v>
      </c>
      <c r="AC7396" s="117" t="str">
        <f>IF(AB7396=1,COUNTIF($AB$3:AB7396,1),"")</f>
        <v/>
      </c>
      <c r="AD7396" s="117" t="str">
        <f>IFERROR(INDEX($AA$3:$AA$10000,MATCH(ROWS($AC$3:AC7396),$AC$3:$AC$10000,0)),"")</f>
        <v/>
      </c>
    </row>
    <row r="7397" spans="27:30">
      <c r="AA7397" s="117">
        <f>+'Ingredient List - Mother Tinctu'!D7398</f>
        <v>0</v>
      </c>
      <c r="AB7397" s="117">
        <f t="shared" si="118"/>
        <v>0</v>
      </c>
      <c r="AC7397" s="117" t="str">
        <f>IF(AB7397=1,COUNTIF($AB$3:AB7397,1),"")</f>
        <v/>
      </c>
      <c r="AD7397" s="117" t="str">
        <f>IFERROR(INDEX($AA$3:$AA$10000,MATCH(ROWS($AC$3:AC7397),$AC$3:$AC$10000,0)),"")</f>
        <v/>
      </c>
    </row>
    <row r="7398" spans="27:30">
      <c r="AA7398" s="117">
        <f>+'Ingredient List - Mother Tinctu'!D7399</f>
        <v>0</v>
      </c>
      <c r="AB7398" s="117">
        <f t="shared" si="118"/>
        <v>0</v>
      </c>
      <c r="AC7398" s="117" t="str">
        <f>IF(AB7398=1,COUNTIF($AB$3:AB7398,1),"")</f>
        <v/>
      </c>
      <c r="AD7398" s="117" t="str">
        <f>IFERROR(INDEX($AA$3:$AA$10000,MATCH(ROWS($AC$3:AC7398),$AC$3:$AC$10000,0)),"")</f>
        <v/>
      </c>
    </row>
    <row r="7399" spans="27:30">
      <c r="AA7399" s="117">
        <f>+'Ingredient List - Mother Tinctu'!D7400</f>
        <v>0</v>
      </c>
      <c r="AB7399" s="117">
        <f t="shared" si="118"/>
        <v>0</v>
      </c>
      <c r="AC7399" s="117" t="str">
        <f>IF(AB7399=1,COUNTIF($AB$3:AB7399,1),"")</f>
        <v/>
      </c>
      <c r="AD7399" s="117" t="str">
        <f>IFERROR(INDEX($AA$3:$AA$10000,MATCH(ROWS($AC$3:AC7399),$AC$3:$AC$10000,0)),"")</f>
        <v/>
      </c>
    </row>
    <row r="7400" spans="27:30">
      <c r="AA7400" s="117">
        <f>+'Ingredient List - Mother Tinctu'!D7401</f>
        <v>0</v>
      </c>
      <c r="AB7400" s="117">
        <f t="shared" si="118"/>
        <v>0</v>
      </c>
      <c r="AC7400" s="117" t="str">
        <f>IF(AB7400=1,COUNTIF($AB$3:AB7400,1),"")</f>
        <v/>
      </c>
      <c r="AD7400" s="117" t="str">
        <f>IFERROR(INDEX($AA$3:$AA$10000,MATCH(ROWS($AC$3:AC7400),$AC$3:$AC$10000,0)),"")</f>
        <v/>
      </c>
    </row>
    <row r="7401" spans="27:30">
      <c r="AA7401" s="117">
        <f>+'Ingredient List - Mother Tinctu'!D7402</f>
        <v>0</v>
      </c>
      <c r="AB7401" s="117">
        <f t="shared" si="118"/>
        <v>0</v>
      </c>
      <c r="AC7401" s="117" t="str">
        <f>IF(AB7401=1,COUNTIF($AB$3:AB7401,1),"")</f>
        <v/>
      </c>
      <c r="AD7401" s="117" t="str">
        <f>IFERROR(INDEX($AA$3:$AA$10000,MATCH(ROWS($AC$3:AC7401),$AC$3:$AC$10000,0)),"")</f>
        <v/>
      </c>
    </row>
    <row r="7402" spans="27:30">
      <c r="AA7402" s="117">
        <f>+'Ingredient List - Mother Tinctu'!D7403</f>
        <v>0</v>
      </c>
      <c r="AB7402" s="117">
        <f t="shared" si="118"/>
        <v>0</v>
      </c>
      <c r="AC7402" s="117" t="str">
        <f>IF(AB7402=1,COUNTIF($AB$3:AB7402,1),"")</f>
        <v/>
      </c>
      <c r="AD7402" s="117" t="str">
        <f>IFERROR(INDEX($AA$3:$AA$10000,MATCH(ROWS($AC$3:AC7402),$AC$3:$AC$10000,0)),"")</f>
        <v/>
      </c>
    </row>
    <row r="7403" spans="27:30">
      <c r="AA7403" s="117">
        <f>+'Ingredient List - Mother Tinctu'!D7404</f>
        <v>0</v>
      </c>
      <c r="AB7403" s="117">
        <f t="shared" si="118"/>
        <v>0</v>
      </c>
      <c r="AC7403" s="117" t="str">
        <f>IF(AB7403=1,COUNTIF($AB$3:AB7403,1),"")</f>
        <v/>
      </c>
      <c r="AD7403" s="117" t="str">
        <f>IFERROR(INDEX($AA$3:$AA$10000,MATCH(ROWS($AC$3:AC7403),$AC$3:$AC$10000,0)),"")</f>
        <v/>
      </c>
    </row>
    <row r="7404" spans="27:30">
      <c r="AA7404" s="117">
        <f>+'Ingredient List - Mother Tinctu'!D7405</f>
        <v>0</v>
      </c>
      <c r="AB7404" s="117">
        <f t="shared" si="118"/>
        <v>0</v>
      </c>
      <c r="AC7404" s="117" t="str">
        <f>IF(AB7404=1,COUNTIF($AB$3:AB7404,1),"")</f>
        <v/>
      </c>
      <c r="AD7404" s="117" t="str">
        <f>IFERROR(INDEX($AA$3:$AA$10000,MATCH(ROWS($AC$3:AC7404),$AC$3:$AC$10000,0)),"")</f>
        <v/>
      </c>
    </row>
    <row r="7405" spans="27:30">
      <c r="AA7405" s="117">
        <f>+'Ingredient List - Mother Tinctu'!D7406</f>
        <v>0</v>
      </c>
      <c r="AB7405" s="117">
        <f t="shared" si="118"/>
        <v>0</v>
      </c>
      <c r="AC7405" s="117" t="str">
        <f>IF(AB7405=1,COUNTIF($AB$3:AB7405,1),"")</f>
        <v/>
      </c>
      <c r="AD7405" s="117" t="str">
        <f>IFERROR(INDEX($AA$3:$AA$10000,MATCH(ROWS($AC$3:AC7405),$AC$3:$AC$10000,0)),"")</f>
        <v/>
      </c>
    </row>
    <row r="7406" spans="27:30">
      <c r="AA7406" s="117">
        <f>+'Ingredient List - Mother Tinctu'!D7407</f>
        <v>0</v>
      </c>
      <c r="AB7406" s="117">
        <f t="shared" si="118"/>
        <v>0</v>
      </c>
      <c r="AC7406" s="117" t="str">
        <f>IF(AB7406=1,COUNTIF($AB$3:AB7406,1),"")</f>
        <v/>
      </c>
      <c r="AD7406" s="117" t="str">
        <f>IFERROR(INDEX($AA$3:$AA$10000,MATCH(ROWS($AC$3:AC7406),$AC$3:$AC$10000,0)),"")</f>
        <v/>
      </c>
    </row>
    <row r="7407" spans="27:30">
      <c r="AA7407" s="117">
        <f>+'Ingredient List - Mother Tinctu'!D7408</f>
        <v>0</v>
      </c>
      <c r="AB7407" s="117">
        <f t="shared" si="118"/>
        <v>0</v>
      </c>
      <c r="AC7407" s="117" t="str">
        <f>IF(AB7407=1,COUNTIF($AB$3:AB7407,1),"")</f>
        <v/>
      </c>
      <c r="AD7407" s="117" t="str">
        <f>IFERROR(INDEX($AA$3:$AA$10000,MATCH(ROWS($AC$3:AC7407),$AC$3:$AC$10000,0)),"")</f>
        <v/>
      </c>
    </row>
    <row r="7408" spans="27:30">
      <c r="AA7408" s="117">
        <f>+'Ingredient List - Mother Tinctu'!D7409</f>
        <v>0</v>
      </c>
      <c r="AB7408" s="117">
        <f t="shared" si="118"/>
        <v>0</v>
      </c>
      <c r="AC7408" s="117" t="str">
        <f>IF(AB7408=1,COUNTIF($AB$3:AB7408,1),"")</f>
        <v/>
      </c>
      <c r="AD7408" s="117" t="str">
        <f>IFERROR(INDEX($AA$3:$AA$10000,MATCH(ROWS($AC$3:AC7408),$AC$3:$AC$10000,0)),"")</f>
        <v/>
      </c>
    </row>
    <row r="7409" spans="27:30">
      <c r="AA7409" s="117">
        <f>+'Ingredient List - Mother Tinctu'!D7410</f>
        <v>0</v>
      </c>
      <c r="AB7409" s="117">
        <f t="shared" si="118"/>
        <v>0</v>
      </c>
      <c r="AC7409" s="117" t="str">
        <f>IF(AB7409=1,COUNTIF($AB$3:AB7409,1),"")</f>
        <v/>
      </c>
      <c r="AD7409" s="117" t="str">
        <f>IFERROR(INDEX($AA$3:$AA$10000,MATCH(ROWS($AC$3:AC7409),$AC$3:$AC$10000,0)),"")</f>
        <v/>
      </c>
    </row>
    <row r="7410" spans="27:30">
      <c r="AA7410" s="117">
        <f>+'Ingredient List - Mother Tinctu'!D7411</f>
        <v>0</v>
      </c>
      <c r="AB7410" s="117">
        <f t="shared" si="118"/>
        <v>0</v>
      </c>
      <c r="AC7410" s="117" t="str">
        <f>IF(AB7410=1,COUNTIF($AB$3:AB7410,1),"")</f>
        <v/>
      </c>
      <c r="AD7410" s="117" t="str">
        <f>IFERROR(INDEX($AA$3:$AA$10000,MATCH(ROWS($AC$3:AC7410),$AC$3:$AC$10000,0)),"")</f>
        <v/>
      </c>
    </row>
    <row r="7411" spans="27:30">
      <c r="AA7411" s="117">
        <f>+'Ingredient List - Mother Tinctu'!D7412</f>
        <v>0</v>
      </c>
      <c r="AB7411" s="117">
        <f t="shared" si="118"/>
        <v>0</v>
      </c>
      <c r="AC7411" s="117" t="str">
        <f>IF(AB7411=1,COUNTIF($AB$3:AB7411,1),"")</f>
        <v/>
      </c>
      <c r="AD7411" s="117" t="str">
        <f>IFERROR(INDEX($AA$3:$AA$10000,MATCH(ROWS($AC$3:AC7411),$AC$3:$AC$10000,0)),"")</f>
        <v/>
      </c>
    </row>
    <row r="7412" spans="27:30">
      <c r="AA7412" s="117">
        <f>+'Ingredient List - Mother Tinctu'!D7413</f>
        <v>0</v>
      </c>
      <c r="AB7412" s="117">
        <f t="shared" si="118"/>
        <v>0</v>
      </c>
      <c r="AC7412" s="117" t="str">
        <f>IF(AB7412=1,COUNTIF($AB$3:AB7412,1),"")</f>
        <v/>
      </c>
      <c r="AD7412" s="117" t="str">
        <f>IFERROR(INDEX($AA$3:$AA$10000,MATCH(ROWS($AC$3:AC7412),$AC$3:$AC$10000,0)),"")</f>
        <v/>
      </c>
    </row>
    <row r="7413" spans="27:30">
      <c r="AA7413" s="117">
        <f>+'Ingredient List - Mother Tinctu'!D7414</f>
        <v>0</v>
      </c>
      <c r="AB7413" s="117">
        <f t="shared" si="118"/>
        <v>0</v>
      </c>
      <c r="AC7413" s="117" t="str">
        <f>IF(AB7413=1,COUNTIF($AB$3:AB7413,1),"")</f>
        <v/>
      </c>
      <c r="AD7413" s="117" t="str">
        <f>IFERROR(INDEX($AA$3:$AA$10000,MATCH(ROWS($AC$3:AC7413),$AC$3:$AC$10000,0)),"")</f>
        <v/>
      </c>
    </row>
    <row r="7414" spans="27:30">
      <c r="AA7414" s="117">
        <f>+'Ingredient List - Mother Tinctu'!D7415</f>
        <v>0</v>
      </c>
      <c r="AB7414" s="117">
        <f t="shared" si="118"/>
        <v>0</v>
      </c>
      <c r="AC7414" s="117" t="str">
        <f>IF(AB7414=1,COUNTIF($AB$3:AB7414,1),"")</f>
        <v/>
      </c>
      <c r="AD7414" s="117" t="str">
        <f>IFERROR(INDEX($AA$3:$AA$10000,MATCH(ROWS($AC$3:AC7414),$AC$3:$AC$10000,0)),"")</f>
        <v/>
      </c>
    </row>
    <row r="7415" spans="27:30">
      <c r="AA7415" s="117">
        <f>+'Ingredient List - Mother Tinctu'!D7416</f>
        <v>0</v>
      </c>
      <c r="AB7415" s="117">
        <f t="shared" si="118"/>
        <v>0</v>
      </c>
      <c r="AC7415" s="117" t="str">
        <f>IF(AB7415=1,COUNTIF($AB$3:AB7415,1),"")</f>
        <v/>
      </c>
      <c r="AD7415" s="117" t="str">
        <f>IFERROR(INDEX($AA$3:$AA$10000,MATCH(ROWS($AC$3:AC7415),$AC$3:$AC$10000,0)),"")</f>
        <v/>
      </c>
    </row>
    <row r="7416" spans="27:30">
      <c r="AA7416" s="117">
        <f>+'Ingredient List - Mother Tinctu'!D7417</f>
        <v>0</v>
      </c>
      <c r="AB7416" s="117">
        <f t="shared" si="118"/>
        <v>0</v>
      </c>
      <c r="AC7416" s="117" t="str">
        <f>IF(AB7416=1,COUNTIF($AB$3:AB7416,1),"")</f>
        <v/>
      </c>
      <c r="AD7416" s="117" t="str">
        <f>IFERROR(INDEX($AA$3:$AA$10000,MATCH(ROWS($AC$3:AC7416),$AC$3:$AC$10000,0)),"")</f>
        <v/>
      </c>
    </row>
    <row r="7417" spans="27:30">
      <c r="AA7417" s="117">
        <f>+'Ingredient List - Mother Tinctu'!D7418</f>
        <v>0</v>
      </c>
      <c r="AB7417" s="117">
        <f t="shared" si="118"/>
        <v>0</v>
      </c>
      <c r="AC7417" s="117" t="str">
        <f>IF(AB7417=1,COUNTIF($AB$3:AB7417,1),"")</f>
        <v/>
      </c>
      <c r="AD7417" s="117" t="str">
        <f>IFERROR(INDEX($AA$3:$AA$10000,MATCH(ROWS($AC$3:AC7417),$AC$3:$AC$10000,0)),"")</f>
        <v/>
      </c>
    </row>
    <row r="7418" spans="27:30">
      <c r="AA7418" s="117">
        <f>+'Ingredient List - Mother Tinctu'!D7419</f>
        <v>0</v>
      </c>
      <c r="AB7418" s="117">
        <f t="shared" si="118"/>
        <v>0</v>
      </c>
      <c r="AC7418" s="117" t="str">
        <f>IF(AB7418=1,COUNTIF($AB$3:AB7418,1),"")</f>
        <v/>
      </c>
      <c r="AD7418" s="117" t="str">
        <f>IFERROR(INDEX($AA$3:$AA$10000,MATCH(ROWS($AC$3:AC7418),$AC$3:$AC$10000,0)),"")</f>
        <v/>
      </c>
    </row>
    <row r="7419" spans="27:30">
      <c r="AA7419" s="117">
        <f>+'Ingredient List - Mother Tinctu'!D7420</f>
        <v>0</v>
      </c>
      <c r="AB7419" s="117">
        <f t="shared" si="118"/>
        <v>0</v>
      </c>
      <c r="AC7419" s="117" t="str">
        <f>IF(AB7419=1,COUNTIF($AB$3:AB7419,1),"")</f>
        <v/>
      </c>
      <c r="AD7419" s="117" t="str">
        <f>IFERROR(INDEX($AA$3:$AA$10000,MATCH(ROWS($AC$3:AC7419),$AC$3:$AC$10000,0)),"")</f>
        <v/>
      </c>
    </row>
    <row r="7420" spans="27:30">
      <c r="AA7420" s="117">
        <f>+'Ingredient List - Mother Tinctu'!D7421</f>
        <v>0</v>
      </c>
      <c r="AB7420" s="117">
        <f t="shared" si="118"/>
        <v>0</v>
      </c>
      <c r="AC7420" s="117" t="str">
        <f>IF(AB7420=1,COUNTIF($AB$3:AB7420,1),"")</f>
        <v/>
      </c>
      <c r="AD7420" s="117" t="str">
        <f>IFERROR(INDEX($AA$3:$AA$10000,MATCH(ROWS($AC$3:AC7420),$AC$3:$AC$10000,0)),"")</f>
        <v/>
      </c>
    </row>
    <row r="7421" spans="27:30">
      <c r="AA7421" s="117">
        <f>+'Ingredient List - Mother Tinctu'!D7422</f>
        <v>0</v>
      </c>
      <c r="AB7421" s="117">
        <f t="shared" si="118"/>
        <v>0</v>
      </c>
      <c r="AC7421" s="117" t="str">
        <f>IF(AB7421=1,COUNTIF($AB$3:AB7421,1),"")</f>
        <v/>
      </c>
      <c r="AD7421" s="117" t="str">
        <f>IFERROR(INDEX($AA$3:$AA$10000,MATCH(ROWS($AC$3:AC7421),$AC$3:$AC$10000,0)),"")</f>
        <v/>
      </c>
    </row>
    <row r="7422" spans="27:30">
      <c r="AA7422" s="117">
        <f>+'Ingredient List - Mother Tinctu'!D7423</f>
        <v>0</v>
      </c>
      <c r="AB7422" s="117">
        <f t="shared" si="118"/>
        <v>0</v>
      </c>
      <c r="AC7422" s="117" t="str">
        <f>IF(AB7422=1,COUNTIF($AB$3:AB7422,1),"")</f>
        <v/>
      </c>
      <c r="AD7422" s="117" t="str">
        <f>IFERROR(INDEX($AA$3:$AA$10000,MATCH(ROWS($AC$3:AC7422),$AC$3:$AC$10000,0)),"")</f>
        <v/>
      </c>
    </row>
    <row r="7423" spans="27:30">
      <c r="AA7423" s="117">
        <f>+'Ingredient List - Mother Tinctu'!D7424</f>
        <v>0</v>
      </c>
      <c r="AB7423" s="117">
        <f t="shared" si="118"/>
        <v>0</v>
      </c>
      <c r="AC7423" s="117" t="str">
        <f>IF(AB7423=1,COUNTIF($AB$3:AB7423,1),"")</f>
        <v/>
      </c>
      <c r="AD7423" s="117" t="str">
        <f>IFERROR(INDEX($AA$3:$AA$10000,MATCH(ROWS($AC$3:AC7423),$AC$3:$AC$10000,0)),"")</f>
        <v/>
      </c>
    </row>
    <row r="7424" spans="27:30">
      <c r="AA7424" s="117">
        <f>+'Ingredient List - Mother Tinctu'!D7425</f>
        <v>0</v>
      </c>
      <c r="AB7424" s="117">
        <f t="shared" si="118"/>
        <v>0</v>
      </c>
      <c r="AC7424" s="117" t="str">
        <f>IF(AB7424=1,COUNTIF($AB$3:AB7424,1),"")</f>
        <v/>
      </c>
      <c r="AD7424" s="117" t="str">
        <f>IFERROR(INDEX($AA$3:$AA$10000,MATCH(ROWS($AC$3:AC7424),$AC$3:$AC$10000,0)),"")</f>
        <v/>
      </c>
    </row>
    <row r="7425" spans="27:30">
      <c r="AA7425" s="117">
        <f>+'Ingredient List - Mother Tinctu'!D7426</f>
        <v>0</v>
      </c>
      <c r="AB7425" s="117">
        <f t="shared" si="118"/>
        <v>0</v>
      </c>
      <c r="AC7425" s="117" t="str">
        <f>IF(AB7425=1,COUNTIF($AB$3:AB7425,1),"")</f>
        <v/>
      </c>
      <c r="AD7425" s="117" t="str">
        <f>IFERROR(INDEX($AA$3:$AA$10000,MATCH(ROWS($AC$3:AC7425),$AC$3:$AC$10000,0)),"")</f>
        <v/>
      </c>
    </row>
    <row r="7426" spans="27:30">
      <c r="AA7426" s="117">
        <f>+'Ingredient List - Mother Tinctu'!D7427</f>
        <v>0</v>
      </c>
      <c r="AB7426" s="117">
        <f t="shared" si="118"/>
        <v>0</v>
      </c>
      <c r="AC7426" s="117" t="str">
        <f>IF(AB7426=1,COUNTIF($AB$3:AB7426,1),"")</f>
        <v/>
      </c>
      <c r="AD7426" s="117" t="str">
        <f>IFERROR(INDEX($AA$3:$AA$10000,MATCH(ROWS($AC$3:AC7426),$AC$3:$AC$10000,0)),"")</f>
        <v/>
      </c>
    </row>
    <row r="7427" spans="27:30">
      <c r="AA7427" s="117">
        <f>+'Ingredient List - Mother Tinctu'!D7428</f>
        <v>0</v>
      </c>
      <c r="AB7427" s="117">
        <f t="shared" si="118"/>
        <v>0</v>
      </c>
      <c r="AC7427" s="117" t="str">
        <f>IF(AB7427=1,COUNTIF($AB$3:AB7427,1),"")</f>
        <v/>
      </c>
      <c r="AD7427" s="117" t="str">
        <f>IFERROR(INDEX($AA$3:$AA$10000,MATCH(ROWS($AC$3:AC7427),$AC$3:$AC$10000,0)),"")</f>
        <v/>
      </c>
    </row>
    <row r="7428" spans="27:30">
      <c r="AA7428" s="117">
        <f>+'Ingredient List - Mother Tinctu'!D7429</f>
        <v>0</v>
      </c>
      <c r="AB7428" s="117">
        <f t="shared" ref="AB7428:AB7491" si="119">--ISNUMBER(IFERROR(SEARCH($D$3,AA7428,1),""))</f>
        <v>0</v>
      </c>
      <c r="AC7428" s="117" t="str">
        <f>IF(AB7428=1,COUNTIF($AB$3:AB7428,1),"")</f>
        <v/>
      </c>
      <c r="AD7428" s="117" t="str">
        <f>IFERROR(INDEX($AA$3:$AA$10000,MATCH(ROWS($AC$3:AC7428),$AC$3:$AC$10000,0)),"")</f>
        <v/>
      </c>
    </row>
    <row r="7429" spans="27:30">
      <c r="AA7429" s="117">
        <f>+'Ingredient List - Mother Tinctu'!D7430</f>
        <v>0</v>
      </c>
      <c r="AB7429" s="117">
        <f t="shared" si="119"/>
        <v>0</v>
      </c>
      <c r="AC7429" s="117" t="str">
        <f>IF(AB7429=1,COUNTIF($AB$3:AB7429,1),"")</f>
        <v/>
      </c>
      <c r="AD7429" s="117" t="str">
        <f>IFERROR(INDEX($AA$3:$AA$10000,MATCH(ROWS($AC$3:AC7429),$AC$3:$AC$10000,0)),"")</f>
        <v/>
      </c>
    </row>
    <row r="7430" spans="27:30">
      <c r="AA7430" s="117">
        <f>+'Ingredient List - Mother Tinctu'!D7431</f>
        <v>0</v>
      </c>
      <c r="AB7430" s="117">
        <f t="shared" si="119"/>
        <v>0</v>
      </c>
      <c r="AC7430" s="117" t="str">
        <f>IF(AB7430=1,COUNTIF($AB$3:AB7430,1),"")</f>
        <v/>
      </c>
      <c r="AD7430" s="117" t="str">
        <f>IFERROR(INDEX($AA$3:$AA$10000,MATCH(ROWS($AC$3:AC7430),$AC$3:$AC$10000,0)),"")</f>
        <v/>
      </c>
    </row>
    <row r="7431" spans="27:30">
      <c r="AA7431" s="117">
        <f>+'Ingredient List - Mother Tinctu'!D7432</f>
        <v>0</v>
      </c>
      <c r="AB7431" s="117">
        <f t="shared" si="119"/>
        <v>0</v>
      </c>
      <c r="AC7431" s="117" t="str">
        <f>IF(AB7431=1,COUNTIF($AB$3:AB7431,1),"")</f>
        <v/>
      </c>
      <c r="AD7431" s="117" t="str">
        <f>IFERROR(INDEX($AA$3:$AA$10000,MATCH(ROWS($AC$3:AC7431),$AC$3:$AC$10000,0)),"")</f>
        <v/>
      </c>
    </row>
    <row r="7432" spans="27:30">
      <c r="AA7432" s="117">
        <f>+'Ingredient List - Mother Tinctu'!D7433</f>
        <v>0</v>
      </c>
      <c r="AB7432" s="117">
        <f t="shared" si="119"/>
        <v>0</v>
      </c>
      <c r="AC7432" s="117" t="str">
        <f>IF(AB7432=1,COUNTIF($AB$3:AB7432,1),"")</f>
        <v/>
      </c>
      <c r="AD7432" s="117" t="str">
        <f>IFERROR(INDEX($AA$3:$AA$10000,MATCH(ROWS($AC$3:AC7432),$AC$3:$AC$10000,0)),"")</f>
        <v/>
      </c>
    </row>
    <row r="7433" spans="27:30">
      <c r="AA7433" s="117">
        <f>+'Ingredient List - Mother Tinctu'!D7434</f>
        <v>0</v>
      </c>
      <c r="AB7433" s="117">
        <f t="shared" si="119"/>
        <v>0</v>
      </c>
      <c r="AC7433" s="117" t="str">
        <f>IF(AB7433=1,COUNTIF($AB$3:AB7433,1),"")</f>
        <v/>
      </c>
      <c r="AD7433" s="117" t="str">
        <f>IFERROR(INDEX($AA$3:$AA$10000,MATCH(ROWS($AC$3:AC7433),$AC$3:$AC$10000,0)),"")</f>
        <v/>
      </c>
    </row>
    <row r="7434" spans="27:30">
      <c r="AA7434" s="117">
        <f>+'Ingredient List - Mother Tinctu'!D7435</f>
        <v>0</v>
      </c>
      <c r="AB7434" s="117">
        <f t="shared" si="119"/>
        <v>0</v>
      </c>
      <c r="AC7434" s="117" t="str">
        <f>IF(AB7434=1,COUNTIF($AB$3:AB7434,1),"")</f>
        <v/>
      </c>
      <c r="AD7434" s="117" t="str">
        <f>IFERROR(INDEX($AA$3:$AA$10000,MATCH(ROWS($AC$3:AC7434),$AC$3:$AC$10000,0)),"")</f>
        <v/>
      </c>
    </row>
    <row r="7435" spans="27:30">
      <c r="AA7435" s="117">
        <f>+'Ingredient List - Mother Tinctu'!D7436</f>
        <v>0</v>
      </c>
      <c r="AB7435" s="117">
        <f t="shared" si="119"/>
        <v>0</v>
      </c>
      <c r="AC7435" s="117" t="str">
        <f>IF(AB7435=1,COUNTIF($AB$3:AB7435,1),"")</f>
        <v/>
      </c>
      <c r="AD7435" s="117" t="str">
        <f>IFERROR(INDEX($AA$3:$AA$10000,MATCH(ROWS($AC$3:AC7435),$AC$3:$AC$10000,0)),"")</f>
        <v/>
      </c>
    </row>
    <row r="7436" spans="27:30">
      <c r="AA7436" s="117">
        <f>+'Ingredient List - Mother Tinctu'!D7437</f>
        <v>0</v>
      </c>
      <c r="AB7436" s="117">
        <f t="shared" si="119"/>
        <v>0</v>
      </c>
      <c r="AC7436" s="117" t="str">
        <f>IF(AB7436=1,COUNTIF($AB$3:AB7436,1),"")</f>
        <v/>
      </c>
      <c r="AD7436" s="117" t="str">
        <f>IFERROR(INDEX($AA$3:$AA$10000,MATCH(ROWS($AC$3:AC7436),$AC$3:$AC$10000,0)),"")</f>
        <v/>
      </c>
    </row>
    <row r="7437" spans="27:30">
      <c r="AA7437" s="117">
        <f>+'Ingredient List - Mother Tinctu'!D7438</f>
        <v>0</v>
      </c>
      <c r="AB7437" s="117">
        <f t="shared" si="119"/>
        <v>0</v>
      </c>
      <c r="AC7437" s="117" t="str">
        <f>IF(AB7437=1,COUNTIF($AB$3:AB7437,1),"")</f>
        <v/>
      </c>
      <c r="AD7437" s="117" t="str">
        <f>IFERROR(INDEX($AA$3:$AA$10000,MATCH(ROWS($AC$3:AC7437),$AC$3:$AC$10000,0)),"")</f>
        <v/>
      </c>
    </row>
    <row r="7438" spans="27:30">
      <c r="AA7438" s="117">
        <f>+'Ingredient List - Mother Tinctu'!D7439</f>
        <v>0</v>
      </c>
      <c r="AB7438" s="117">
        <f t="shared" si="119"/>
        <v>0</v>
      </c>
      <c r="AC7438" s="117" t="str">
        <f>IF(AB7438=1,COUNTIF($AB$3:AB7438,1),"")</f>
        <v/>
      </c>
      <c r="AD7438" s="117" t="str">
        <f>IFERROR(INDEX($AA$3:$AA$10000,MATCH(ROWS($AC$3:AC7438),$AC$3:$AC$10000,0)),"")</f>
        <v/>
      </c>
    </row>
    <row r="7439" spans="27:30">
      <c r="AA7439" s="117">
        <f>+'Ingredient List - Mother Tinctu'!D7440</f>
        <v>0</v>
      </c>
      <c r="AB7439" s="117">
        <f t="shared" si="119"/>
        <v>0</v>
      </c>
      <c r="AC7439" s="117" t="str">
        <f>IF(AB7439=1,COUNTIF($AB$3:AB7439,1),"")</f>
        <v/>
      </c>
      <c r="AD7439" s="117" t="str">
        <f>IFERROR(INDEX($AA$3:$AA$10000,MATCH(ROWS($AC$3:AC7439),$AC$3:$AC$10000,0)),"")</f>
        <v/>
      </c>
    </row>
    <row r="7440" spans="27:30">
      <c r="AA7440" s="117">
        <f>+'Ingredient List - Mother Tinctu'!D7441</f>
        <v>0</v>
      </c>
      <c r="AB7440" s="117">
        <f t="shared" si="119"/>
        <v>0</v>
      </c>
      <c r="AC7440" s="117" t="str">
        <f>IF(AB7440=1,COUNTIF($AB$3:AB7440,1),"")</f>
        <v/>
      </c>
      <c r="AD7440" s="117" t="str">
        <f>IFERROR(INDEX($AA$3:$AA$10000,MATCH(ROWS($AC$3:AC7440),$AC$3:$AC$10000,0)),"")</f>
        <v/>
      </c>
    </row>
    <row r="7441" spans="27:30">
      <c r="AA7441" s="117">
        <f>+'Ingredient List - Mother Tinctu'!D7442</f>
        <v>0</v>
      </c>
      <c r="AB7441" s="117">
        <f t="shared" si="119"/>
        <v>0</v>
      </c>
      <c r="AC7441" s="117" t="str">
        <f>IF(AB7441=1,COUNTIF($AB$3:AB7441,1),"")</f>
        <v/>
      </c>
      <c r="AD7441" s="117" t="str">
        <f>IFERROR(INDEX($AA$3:$AA$10000,MATCH(ROWS($AC$3:AC7441),$AC$3:$AC$10000,0)),"")</f>
        <v/>
      </c>
    </row>
    <row r="7442" spans="27:30">
      <c r="AA7442" s="117">
        <f>+'Ingredient List - Mother Tinctu'!D7443</f>
        <v>0</v>
      </c>
      <c r="AB7442" s="117">
        <f t="shared" si="119"/>
        <v>0</v>
      </c>
      <c r="AC7442" s="117" t="str">
        <f>IF(AB7442=1,COUNTIF($AB$3:AB7442,1),"")</f>
        <v/>
      </c>
      <c r="AD7442" s="117" t="str">
        <f>IFERROR(INDEX($AA$3:$AA$10000,MATCH(ROWS($AC$3:AC7442),$AC$3:$AC$10000,0)),"")</f>
        <v/>
      </c>
    </row>
    <row r="7443" spans="27:30">
      <c r="AA7443" s="117">
        <f>+'Ingredient List - Mother Tinctu'!D7444</f>
        <v>0</v>
      </c>
      <c r="AB7443" s="117">
        <f t="shared" si="119"/>
        <v>0</v>
      </c>
      <c r="AC7443" s="117" t="str">
        <f>IF(AB7443=1,COUNTIF($AB$3:AB7443,1),"")</f>
        <v/>
      </c>
      <c r="AD7443" s="117" t="str">
        <f>IFERROR(INDEX($AA$3:$AA$10000,MATCH(ROWS($AC$3:AC7443),$AC$3:$AC$10000,0)),"")</f>
        <v/>
      </c>
    </row>
    <row r="7444" spans="27:30">
      <c r="AA7444" s="117">
        <f>+'Ingredient List - Mother Tinctu'!D7445</f>
        <v>0</v>
      </c>
      <c r="AB7444" s="117">
        <f t="shared" si="119"/>
        <v>0</v>
      </c>
      <c r="AC7444" s="117" t="str">
        <f>IF(AB7444=1,COUNTIF($AB$3:AB7444,1),"")</f>
        <v/>
      </c>
      <c r="AD7444" s="117" t="str">
        <f>IFERROR(INDEX($AA$3:$AA$10000,MATCH(ROWS($AC$3:AC7444),$AC$3:$AC$10000,0)),"")</f>
        <v/>
      </c>
    </row>
    <row r="7445" spans="27:30">
      <c r="AA7445" s="117">
        <f>+'Ingredient List - Mother Tinctu'!D7446</f>
        <v>0</v>
      </c>
      <c r="AB7445" s="117">
        <f t="shared" si="119"/>
        <v>0</v>
      </c>
      <c r="AC7445" s="117" t="str">
        <f>IF(AB7445=1,COUNTIF($AB$3:AB7445,1),"")</f>
        <v/>
      </c>
      <c r="AD7445" s="117" t="str">
        <f>IFERROR(INDEX($AA$3:$AA$10000,MATCH(ROWS($AC$3:AC7445),$AC$3:$AC$10000,0)),"")</f>
        <v/>
      </c>
    </row>
    <row r="7446" spans="27:30">
      <c r="AA7446" s="117">
        <f>+'Ingredient List - Mother Tinctu'!D7447</f>
        <v>0</v>
      </c>
      <c r="AB7446" s="117">
        <f t="shared" si="119"/>
        <v>0</v>
      </c>
      <c r="AC7446" s="117" t="str">
        <f>IF(AB7446=1,COUNTIF($AB$3:AB7446,1),"")</f>
        <v/>
      </c>
      <c r="AD7446" s="117" t="str">
        <f>IFERROR(INDEX($AA$3:$AA$10000,MATCH(ROWS($AC$3:AC7446),$AC$3:$AC$10000,0)),"")</f>
        <v/>
      </c>
    </row>
    <row r="7447" spans="27:30">
      <c r="AA7447" s="117">
        <f>+'Ingredient List - Mother Tinctu'!D7448</f>
        <v>0</v>
      </c>
      <c r="AB7447" s="117">
        <f t="shared" si="119"/>
        <v>0</v>
      </c>
      <c r="AC7447" s="117" t="str">
        <f>IF(AB7447=1,COUNTIF($AB$3:AB7447,1),"")</f>
        <v/>
      </c>
      <c r="AD7447" s="117" t="str">
        <f>IFERROR(INDEX($AA$3:$AA$10000,MATCH(ROWS($AC$3:AC7447),$AC$3:$AC$10000,0)),"")</f>
        <v/>
      </c>
    </row>
    <row r="7448" spans="27:30">
      <c r="AA7448" s="117">
        <f>+'Ingredient List - Mother Tinctu'!D7449</f>
        <v>0</v>
      </c>
      <c r="AB7448" s="117">
        <f t="shared" si="119"/>
        <v>0</v>
      </c>
      <c r="AC7448" s="117" t="str">
        <f>IF(AB7448=1,COUNTIF($AB$3:AB7448,1),"")</f>
        <v/>
      </c>
      <c r="AD7448" s="117" t="str">
        <f>IFERROR(INDEX($AA$3:$AA$10000,MATCH(ROWS($AC$3:AC7448),$AC$3:$AC$10000,0)),"")</f>
        <v/>
      </c>
    </row>
    <row r="7449" spans="27:30">
      <c r="AA7449" s="117">
        <f>+'Ingredient List - Mother Tinctu'!D7450</f>
        <v>0</v>
      </c>
      <c r="AB7449" s="117">
        <f t="shared" si="119"/>
        <v>0</v>
      </c>
      <c r="AC7449" s="117" t="str">
        <f>IF(AB7449=1,COUNTIF($AB$3:AB7449,1),"")</f>
        <v/>
      </c>
      <c r="AD7449" s="117" t="str">
        <f>IFERROR(INDEX($AA$3:$AA$10000,MATCH(ROWS($AC$3:AC7449),$AC$3:$AC$10000,0)),"")</f>
        <v/>
      </c>
    </row>
    <row r="7450" spans="27:30">
      <c r="AA7450" s="117">
        <f>+'Ingredient List - Mother Tinctu'!D7451</f>
        <v>0</v>
      </c>
      <c r="AB7450" s="117">
        <f t="shared" si="119"/>
        <v>0</v>
      </c>
      <c r="AC7450" s="117" t="str">
        <f>IF(AB7450=1,COUNTIF($AB$3:AB7450,1),"")</f>
        <v/>
      </c>
      <c r="AD7450" s="117" t="str">
        <f>IFERROR(INDEX($AA$3:$AA$10000,MATCH(ROWS($AC$3:AC7450),$AC$3:$AC$10000,0)),"")</f>
        <v/>
      </c>
    </row>
    <row r="7451" spans="27:30">
      <c r="AA7451" s="117">
        <f>+'Ingredient List - Mother Tinctu'!D7452</f>
        <v>0</v>
      </c>
      <c r="AB7451" s="117">
        <f t="shared" si="119"/>
        <v>0</v>
      </c>
      <c r="AC7451" s="117" t="str">
        <f>IF(AB7451=1,COUNTIF($AB$3:AB7451,1),"")</f>
        <v/>
      </c>
      <c r="AD7451" s="117" t="str">
        <f>IFERROR(INDEX($AA$3:$AA$10000,MATCH(ROWS($AC$3:AC7451),$AC$3:$AC$10000,0)),"")</f>
        <v/>
      </c>
    </row>
    <row r="7452" spans="27:30">
      <c r="AA7452" s="117">
        <f>+'Ingredient List - Mother Tinctu'!D7453</f>
        <v>0</v>
      </c>
      <c r="AB7452" s="117">
        <f t="shared" si="119"/>
        <v>0</v>
      </c>
      <c r="AC7452" s="117" t="str">
        <f>IF(AB7452=1,COUNTIF($AB$3:AB7452,1),"")</f>
        <v/>
      </c>
      <c r="AD7452" s="117" t="str">
        <f>IFERROR(INDEX($AA$3:$AA$10000,MATCH(ROWS($AC$3:AC7452),$AC$3:$AC$10000,0)),"")</f>
        <v/>
      </c>
    </row>
    <row r="7453" spans="27:30">
      <c r="AA7453" s="117">
        <f>+'Ingredient List - Mother Tinctu'!D7454</f>
        <v>0</v>
      </c>
      <c r="AB7453" s="117">
        <f t="shared" si="119"/>
        <v>0</v>
      </c>
      <c r="AC7453" s="117" t="str">
        <f>IF(AB7453=1,COUNTIF($AB$3:AB7453,1),"")</f>
        <v/>
      </c>
      <c r="AD7453" s="117" t="str">
        <f>IFERROR(INDEX($AA$3:$AA$10000,MATCH(ROWS($AC$3:AC7453),$AC$3:$AC$10000,0)),"")</f>
        <v/>
      </c>
    </row>
    <row r="7454" spans="27:30">
      <c r="AA7454" s="117">
        <f>+'Ingredient List - Mother Tinctu'!D7455</f>
        <v>0</v>
      </c>
      <c r="AB7454" s="117">
        <f t="shared" si="119"/>
        <v>0</v>
      </c>
      <c r="AC7454" s="117" t="str">
        <f>IF(AB7454=1,COUNTIF($AB$3:AB7454,1),"")</f>
        <v/>
      </c>
      <c r="AD7454" s="117" t="str">
        <f>IFERROR(INDEX($AA$3:$AA$10000,MATCH(ROWS($AC$3:AC7454),$AC$3:$AC$10000,0)),"")</f>
        <v/>
      </c>
    </row>
    <row r="7455" spans="27:30">
      <c r="AA7455" s="117">
        <f>+'Ingredient List - Mother Tinctu'!D7456</f>
        <v>0</v>
      </c>
      <c r="AB7455" s="117">
        <f t="shared" si="119"/>
        <v>0</v>
      </c>
      <c r="AC7455" s="117" t="str">
        <f>IF(AB7455=1,COUNTIF($AB$3:AB7455,1),"")</f>
        <v/>
      </c>
      <c r="AD7455" s="117" t="str">
        <f>IFERROR(INDEX($AA$3:$AA$10000,MATCH(ROWS($AC$3:AC7455),$AC$3:$AC$10000,0)),"")</f>
        <v/>
      </c>
    </row>
    <row r="7456" spans="27:30">
      <c r="AA7456" s="117">
        <f>+'Ingredient List - Mother Tinctu'!D7457</f>
        <v>0</v>
      </c>
      <c r="AB7456" s="117">
        <f t="shared" si="119"/>
        <v>0</v>
      </c>
      <c r="AC7456" s="117" t="str">
        <f>IF(AB7456=1,COUNTIF($AB$3:AB7456,1),"")</f>
        <v/>
      </c>
      <c r="AD7456" s="117" t="str">
        <f>IFERROR(INDEX($AA$3:$AA$10000,MATCH(ROWS($AC$3:AC7456),$AC$3:$AC$10000,0)),"")</f>
        <v/>
      </c>
    </row>
    <row r="7457" spans="27:30">
      <c r="AA7457" s="117">
        <f>+'Ingredient List - Mother Tinctu'!D7458</f>
        <v>0</v>
      </c>
      <c r="AB7457" s="117">
        <f t="shared" si="119"/>
        <v>0</v>
      </c>
      <c r="AC7457" s="117" t="str">
        <f>IF(AB7457=1,COUNTIF($AB$3:AB7457,1),"")</f>
        <v/>
      </c>
      <c r="AD7457" s="117" t="str">
        <f>IFERROR(INDEX($AA$3:$AA$10000,MATCH(ROWS($AC$3:AC7457),$AC$3:$AC$10000,0)),"")</f>
        <v/>
      </c>
    </row>
    <row r="7458" spans="27:30">
      <c r="AA7458" s="117">
        <f>+'Ingredient List - Mother Tinctu'!D7459</f>
        <v>0</v>
      </c>
      <c r="AB7458" s="117">
        <f t="shared" si="119"/>
        <v>0</v>
      </c>
      <c r="AC7458" s="117" t="str">
        <f>IF(AB7458=1,COUNTIF($AB$3:AB7458,1),"")</f>
        <v/>
      </c>
      <c r="AD7458" s="117" t="str">
        <f>IFERROR(INDEX($AA$3:$AA$10000,MATCH(ROWS($AC$3:AC7458),$AC$3:$AC$10000,0)),"")</f>
        <v/>
      </c>
    </row>
    <row r="7459" spans="27:30">
      <c r="AA7459" s="117">
        <f>+'Ingredient List - Mother Tinctu'!D7460</f>
        <v>0</v>
      </c>
      <c r="AB7459" s="117">
        <f t="shared" si="119"/>
        <v>0</v>
      </c>
      <c r="AC7459" s="117" t="str">
        <f>IF(AB7459=1,COUNTIF($AB$3:AB7459,1),"")</f>
        <v/>
      </c>
      <c r="AD7459" s="117" t="str">
        <f>IFERROR(INDEX($AA$3:$AA$10000,MATCH(ROWS($AC$3:AC7459),$AC$3:$AC$10000,0)),"")</f>
        <v/>
      </c>
    </row>
    <row r="7460" spans="27:30">
      <c r="AA7460" s="117">
        <f>+'Ingredient List - Mother Tinctu'!D7461</f>
        <v>0</v>
      </c>
      <c r="AB7460" s="117">
        <f t="shared" si="119"/>
        <v>0</v>
      </c>
      <c r="AC7460" s="117" t="str">
        <f>IF(AB7460=1,COUNTIF($AB$3:AB7460,1),"")</f>
        <v/>
      </c>
      <c r="AD7460" s="117" t="str">
        <f>IFERROR(INDEX($AA$3:$AA$10000,MATCH(ROWS($AC$3:AC7460),$AC$3:$AC$10000,0)),"")</f>
        <v/>
      </c>
    </row>
    <row r="7461" spans="27:30">
      <c r="AA7461" s="117">
        <f>+'Ingredient List - Mother Tinctu'!D7462</f>
        <v>0</v>
      </c>
      <c r="AB7461" s="117">
        <f t="shared" si="119"/>
        <v>0</v>
      </c>
      <c r="AC7461" s="117" t="str">
        <f>IF(AB7461=1,COUNTIF($AB$3:AB7461,1),"")</f>
        <v/>
      </c>
      <c r="AD7461" s="117" t="str">
        <f>IFERROR(INDEX($AA$3:$AA$10000,MATCH(ROWS($AC$3:AC7461),$AC$3:$AC$10000,0)),"")</f>
        <v/>
      </c>
    </row>
    <row r="7462" spans="27:30">
      <c r="AA7462" s="117">
        <f>+'Ingredient List - Mother Tinctu'!D7463</f>
        <v>0</v>
      </c>
      <c r="AB7462" s="117">
        <f t="shared" si="119"/>
        <v>0</v>
      </c>
      <c r="AC7462" s="117" t="str">
        <f>IF(AB7462=1,COUNTIF($AB$3:AB7462,1),"")</f>
        <v/>
      </c>
      <c r="AD7462" s="117" t="str">
        <f>IFERROR(INDEX($AA$3:$AA$10000,MATCH(ROWS($AC$3:AC7462),$AC$3:$AC$10000,0)),"")</f>
        <v/>
      </c>
    </row>
    <row r="7463" spans="27:30">
      <c r="AA7463" s="117">
        <f>+'Ingredient List - Mother Tinctu'!D7464</f>
        <v>0</v>
      </c>
      <c r="AB7463" s="117">
        <f t="shared" si="119"/>
        <v>0</v>
      </c>
      <c r="AC7463" s="117" t="str">
        <f>IF(AB7463=1,COUNTIF($AB$3:AB7463,1),"")</f>
        <v/>
      </c>
      <c r="AD7463" s="117" t="str">
        <f>IFERROR(INDEX($AA$3:$AA$10000,MATCH(ROWS($AC$3:AC7463),$AC$3:$AC$10000,0)),"")</f>
        <v/>
      </c>
    </row>
    <row r="7464" spans="27:30">
      <c r="AA7464" s="117">
        <f>+'Ingredient List - Mother Tinctu'!D7465</f>
        <v>0</v>
      </c>
      <c r="AB7464" s="117">
        <f t="shared" si="119"/>
        <v>0</v>
      </c>
      <c r="AC7464" s="117" t="str">
        <f>IF(AB7464=1,COUNTIF($AB$3:AB7464,1),"")</f>
        <v/>
      </c>
      <c r="AD7464" s="117" t="str">
        <f>IFERROR(INDEX($AA$3:$AA$10000,MATCH(ROWS($AC$3:AC7464),$AC$3:$AC$10000,0)),"")</f>
        <v/>
      </c>
    </row>
    <row r="7465" spans="27:30">
      <c r="AA7465" s="117">
        <f>+'Ingredient List - Mother Tinctu'!D7466</f>
        <v>0</v>
      </c>
      <c r="AB7465" s="117">
        <f t="shared" si="119"/>
        <v>0</v>
      </c>
      <c r="AC7465" s="117" t="str">
        <f>IF(AB7465=1,COUNTIF($AB$3:AB7465,1),"")</f>
        <v/>
      </c>
      <c r="AD7465" s="117" t="str">
        <f>IFERROR(INDEX($AA$3:$AA$10000,MATCH(ROWS($AC$3:AC7465),$AC$3:$AC$10000,0)),"")</f>
        <v/>
      </c>
    </row>
    <row r="7466" spans="27:30">
      <c r="AA7466" s="117">
        <f>+'Ingredient List - Mother Tinctu'!D7467</f>
        <v>0</v>
      </c>
      <c r="AB7466" s="117">
        <f t="shared" si="119"/>
        <v>0</v>
      </c>
      <c r="AC7466" s="117" t="str">
        <f>IF(AB7466=1,COUNTIF($AB$3:AB7466,1),"")</f>
        <v/>
      </c>
      <c r="AD7466" s="117" t="str">
        <f>IFERROR(INDEX($AA$3:$AA$10000,MATCH(ROWS($AC$3:AC7466),$AC$3:$AC$10000,0)),"")</f>
        <v/>
      </c>
    </row>
    <row r="7467" spans="27:30">
      <c r="AA7467" s="117">
        <f>+'Ingredient List - Mother Tinctu'!D7468</f>
        <v>0</v>
      </c>
      <c r="AB7467" s="117">
        <f t="shared" si="119"/>
        <v>0</v>
      </c>
      <c r="AC7467" s="117" t="str">
        <f>IF(AB7467=1,COUNTIF($AB$3:AB7467,1),"")</f>
        <v/>
      </c>
      <c r="AD7467" s="117" t="str">
        <f>IFERROR(INDEX($AA$3:$AA$10000,MATCH(ROWS($AC$3:AC7467),$AC$3:$AC$10000,0)),"")</f>
        <v/>
      </c>
    </row>
    <row r="7468" spans="27:30">
      <c r="AA7468" s="117">
        <f>+'Ingredient List - Mother Tinctu'!D7469</f>
        <v>0</v>
      </c>
      <c r="AB7468" s="117">
        <f t="shared" si="119"/>
        <v>0</v>
      </c>
      <c r="AC7468" s="117" t="str">
        <f>IF(AB7468=1,COUNTIF($AB$3:AB7468,1),"")</f>
        <v/>
      </c>
      <c r="AD7468" s="117" t="str">
        <f>IFERROR(INDEX($AA$3:$AA$10000,MATCH(ROWS($AC$3:AC7468),$AC$3:$AC$10000,0)),"")</f>
        <v/>
      </c>
    </row>
    <row r="7469" spans="27:30">
      <c r="AA7469" s="117">
        <f>+'Ingredient List - Mother Tinctu'!D7470</f>
        <v>0</v>
      </c>
      <c r="AB7469" s="117">
        <f t="shared" si="119"/>
        <v>0</v>
      </c>
      <c r="AC7469" s="117" t="str">
        <f>IF(AB7469=1,COUNTIF($AB$3:AB7469,1),"")</f>
        <v/>
      </c>
      <c r="AD7469" s="117" t="str">
        <f>IFERROR(INDEX($AA$3:$AA$10000,MATCH(ROWS($AC$3:AC7469),$AC$3:$AC$10000,0)),"")</f>
        <v/>
      </c>
    </row>
    <row r="7470" spans="27:30">
      <c r="AA7470" s="117">
        <f>+'Ingredient List - Mother Tinctu'!D7471</f>
        <v>0</v>
      </c>
      <c r="AB7470" s="117">
        <f t="shared" si="119"/>
        <v>0</v>
      </c>
      <c r="AC7470" s="117" t="str">
        <f>IF(AB7470=1,COUNTIF($AB$3:AB7470,1),"")</f>
        <v/>
      </c>
      <c r="AD7470" s="117" t="str">
        <f>IFERROR(INDEX($AA$3:$AA$10000,MATCH(ROWS($AC$3:AC7470),$AC$3:$AC$10000,0)),"")</f>
        <v/>
      </c>
    </row>
    <row r="7471" spans="27:30">
      <c r="AA7471" s="117">
        <f>+'Ingredient List - Mother Tinctu'!D7472</f>
        <v>0</v>
      </c>
      <c r="AB7471" s="117">
        <f t="shared" si="119"/>
        <v>0</v>
      </c>
      <c r="AC7471" s="117" t="str">
        <f>IF(AB7471=1,COUNTIF($AB$3:AB7471,1),"")</f>
        <v/>
      </c>
      <c r="AD7471" s="117" t="str">
        <f>IFERROR(INDEX($AA$3:$AA$10000,MATCH(ROWS($AC$3:AC7471),$AC$3:$AC$10000,0)),"")</f>
        <v/>
      </c>
    </row>
    <row r="7472" spans="27:30">
      <c r="AA7472" s="117">
        <f>+'Ingredient List - Mother Tinctu'!D7473</f>
        <v>0</v>
      </c>
      <c r="AB7472" s="117">
        <f t="shared" si="119"/>
        <v>0</v>
      </c>
      <c r="AC7472" s="117" t="str">
        <f>IF(AB7472=1,COUNTIF($AB$3:AB7472,1),"")</f>
        <v/>
      </c>
      <c r="AD7472" s="117" t="str">
        <f>IFERROR(INDEX($AA$3:$AA$10000,MATCH(ROWS($AC$3:AC7472),$AC$3:$AC$10000,0)),"")</f>
        <v/>
      </c>
    </row>
    <row r="7473" spans="27:30">
      <c r="AA7473" s="117">
        <f>+'Ingredient List - Mother Tinctu'!D7474</f>
        <v>0</v>
      </c>
      <c r="AB7473" s="117">
        <f t="shared" si="119"/>
        <v>0</v>
      </c>
      <c r="AC7473" s="117" t="str">
        <f>IF(AB7473=1,COUNTIF($AB$3:AB7473,1),"")</f>
        <v/>
      </c>
      <c r="AD7473" s="117" t="str">
        <f>IFERROR(INDEX($AA$3:$AA$10000,MATCH(ROWS($AC$3:AC7473),$AC$3:$AC$10000,0)),"")</f>
        <v/>
      </c>
    </row>
    <row r="7474" spans="27:30">
      <c r="AA7474" s="117">
        <f>+'Ingredient List - Mother Tinctu'!D7475</f>
        <v>0</v>
      </c>
      <c r="AB7474" s="117">
        <f t="shared" si="119"/>
        <v>0</v>
      </c>
      <c r="AC7474" s="117" t="str">
        <f>IF(AB7474=1,COUNTIF($AB$3:AB7474,1),"")</f>
        <v/>
      </c>
      <c r="AD7474" s="117" t="str">
        <f>IFERROR(INDEX($AA$3:$AA$10000,MATCH(ROWS($AC$3:AC7474),$AC$3:$AC$10000,0)),"")</f>
        <v/>
      </c>
    </row>
    <row r="7475" spans="27:30">
      <c r="AA7475" s="117">
        <f>+'Ingredient List - Mother Tinctu'!D7476</f>
        <v>0</v>
      </c>
      <c r="AB7475" s="117">
        <f t="shared" si="119"/>
        <v>0</v>
      </c>
      <c r="AC7475" s="117" t="str">
        <f>IF(AB7475=1,COUNTIF($AB$3:AB7475,1),"")</f>
        <v/>
      </c>
      <c r="AD7475" s="117" t="str">
        <f>IFERROR(INDEX($AA$3:$AA$10000,MATCH(ROWS($AC$3:AC7475),$AC$3:$AC$10000,0)),"")</f>
        <v/>
      </c>
    </row>
    <row r="7476" spans="27:30">
      <c r="AA7476" s="117">
        <f>+'Ingredient List - Mother Tinctu'!D7477</f>
        <v>0</v>
      </c>
      <c r="AB7476" s="117">
        <f t="shared" si="119"/>
        <v>0</v>
      </c>
      <c r="AC7476" s="117" t="str">
        <f>IF(AB7476=1,COUNTIF($AB$3:AB7476,1),"")</f>
        <v/>
      </c>
      <c r="AD7476" s="117" t="str">
        <f>IFERROR(INDEX($AA$3:$AA$10000,MATCH(ROWS($AC$3:AC7476),$AC$3:$AC$10000,0)),"")</f>
        <v/>
      </c>
    </row>
    <row r="7477" spans="27:30">
      <c r="AA7477" s="117">
        <f>+'Ingredient List - Mother Tinctu'!D7478</f>
        <v>0</v>
      </c>
      <c r="AB7477" s="117">
        <f t="shared" si="119"/>
        <v>0</v>
      </c>
      <c r="AC7477" s="117" t="str">
        <f>IF(AB7477=1,COUNTIF($AB$3:AB7477,1),"")</f>
        <v/>
      </c>
      <c r="AD7477" s="117" t="str">
        <f>IFERROR(INDEX($AA$3:$AA$10000,MATCH(ROWS($AC$3:AC7477),$AC$3:$AC$10000,0)),"")</f>
        <v/>
      </c>
    </row>
    <row r="7478" spans="27:30">
      <c r="AA7478" s="117">
        <f>+'Ingredient List - Mother Tinctu'!D7479</f>
        <v>0</v>
      </c>
      <c r="AB7478" s="117">
        <f t="shared" si="119"/>
        <v>0</v>
      </c>
      <c r="AC7478" s="117" t="str">
        <f>IF(AB7478=1,COUNTIF($AB$3:AB7478,1),"")</f>
        <v/>
      </c>
      <c r="AD7478" s="117" t="str">
        <f>IFERROR(INDEX($AA$3:$AA$10000,MATCH(ROWS($AC$3:AC7478),$AC$3:$AC$10000,0)),"")</f>
        <v/>
      </c>
    </row>
    <row r="7479" spans="27:30">
      <c r="AA7479" s="117">
        <f>+'Ingredient List - Mother Tinctu'!D7480</f>
        <v>0</v>
      </c>
      <c r="AB7479" s="117">
        <f t="shared" si="119"/>
        <v>0</v>
      </c>
      <c r="AC7479" s="117" t="str">
        <f>IF(AB7479=1,COUNTIF($AB$3:AB7479,1),"")</f>
        <v/>
      </c>
      <c r="AD7479" s="117" t="str">
        <f>IFERROR(INDEX($AA$3:$AA$10000,MATCH(ROWS($AC$3:AC7479),$AC$3:$AC$10000,0)),"")</f>
        <v/>
      </c>
    </row>
    <row r="7480" spans="27:30">
      <c r="AA7480" s="117">
        <f>+'Ingredient List - Mother Tinctu'!D7481</f>
        <v>0</v>
      </c>
      <c r="AB7480" s="117">
        <f t="shared" si="119"/>
        <v>0</v>
      </c>
      <c r="AC7480" s="117" t="str">
        <f>IF(AB7480=1,COUNTIF($AB$3:AB7480,1),"")</f>
        <v/>
      </c>
      <c r="AD7480" s="117" t="str">
        <f>IFERROR(INDEX($AA$3:$AA$10000,MATCH(ROWS($AC$3:AC7480),$AC$3:$AC$10000,0)),"")</f>
        <v/>
      </c>
    </row>
    <row r="7481" spans="27:30">
      <c r="AA7481" s="117">
        <f>+'Ingredient List - Mother Tinctu'!D7482</f>
        <v>0</v>
      </c>
      <c r="AB7481" s="117">
        <f t="shared" si="119"/>
        <v>0</v>
      </c>
      <c r="AC7481" s="117" t="str">
        <f>IF(AB7481=1,COUNTIF($AB$3:AB7481,1),"")</f>
        <v/>
      </c>
      <c r="AD7481" s="117" t="str">
        <f>IFERROR(INDEX($AA$3:$AA$10000,MATCH(ROWS($AC$3:AC7481),$AC$3:$AC$10000,0)),"")</f>
        <v/>
      </c>
    </row>
    <row r="7482" spans="27:30">
      <c r="AA7482" s="117">
        <f>+'Ingredient List - Mother Tinctu'!D7483</f>
        <v>0</v>
      </c>
      <c r="AB7482" s="117">
        <f t="shared" si="119"/>
        <v>0</v>
      </c>
      <c r="AC7482" s="117" t="str">
        <f>IF(AB7482=1,COUNTIF($AB$3:AB7482,1),"")</f>
        <v/>
      </c>
      <c r="AD7482" s="117" t="str">
        <f>IFERROR(INDEX($AA$3:$AA$10000,MATCH(ROWS($AC$3:AC7482),$AC$3:$AC$10000,0)),"")</f>
        <v/>
      </c>
    </row>
    <row r="7483" spans="27:30">
      <c r="AA7483" s="117">
        <f>+'Ingredient List - Mother Tinctu'!D7484</f>
        <v>0</v>
      </c>
      <c r="AB7483" s="117">
        <f t="shared" si="119"/>
        <v>0</v>
      </c>
      <c r="AC7483" s="117" t="str">
        <f>IF(AB7483=1,COUNTIF($AB$3:AB7483,1),"")</f>
        <v/>
      </c>
      <c r="AD7483" s="117" t="str">
        <f>IFERROR(INDEX($AA$3:$AA$10000,MATCH(ROWS($AC$3:AC7483),$AC$3:$AC$10000,0)),"")</f>
        <v/>
      </c>
    </row>
    <row r="7484" spans="27:30">
      <c r="AA7484" s="117">
        <f>+'Ingredient List - Mother Tinctu'!D7485</f>
        <v>0</v>
      </c>
      <c r="AB7484" s="117">
        <f t="shared" si="119"/>
        <v>0</v>
      </c>
      <c r="AC7484" s="117" t="str">
        <f>IF(AB7484=1,COUNTIF($AB$3:AB7484,1),"")</f>
        <v/>
      </c>
      <c r="AD7484" s="117" t="str">
        <f>IFERROR(INDEX($AA$3:$AA$10000,MATCH(ROWS($AC$3:AC7484),$AC$3:$AC$10000,0)),"")</f>
        <v/>
      </c>
    </row>
    <row r="7485" spans="27:30">
      <c r="AA7485" s="117">
        <f>+'Ingredient List - Mother Tinctu'!D7486</f>
        <v>0</v>
      </c>
      <c r="AB7485" s="117">
        <f t="shared" si="119"/>
        <v>0</v>
      </c>
      <c r="AC7485" s="117" t="str">
        <f>IF(AB7485=1,COUNTIF($AB$3:AB7485,1),"")</f>
        <v/>
      </c>
      <c r="AD7485" s="117" t="str">
        <f>IFERROR(INDEX($AA$3:$AA$10000,MATCH(ROWS($AC$3:AC7485),$AC$3:$AC$10000,0)),"")</f>
        <v/>
      </c>
    </row>
    <row r="7486" spans="27:30">
      <c r="AA7486" s="117">
        <f>+'Ingredient List - Mother Tinctu'!D7487</f>
        <v>0</v>
      </c>
      <c r="AB7486" s="117">
        <f t="shared" si="119"/>
        <v>0</v>
      </c>
      <c r="AC7486" s="117" t="str">
        <f>IF(AB7486=1,COUNTIF($AB$3:AB7486,1),"")</f>
        <v/>
      </c>
      <c r="AD7486" s="117" t="str">
        <f>IFERROR(INDEX($AA$3:$AA$10000,MATCH(ROWS($AC$3:AC7486),$AC$3:$AC$10000,0)),"")</f>
        <v/>
      </c>
    </row>
    <row r="7487" spans="27:30">
      <c r="AA7487" s="117">
        <f>+'Ingredient List - Mother Tinctu'!D7488</f>
        <v>0</v>
      </c>
      <c r="AB7487" s="117">
        <f t="shared" si="119"/>
        <v>0</v>
      </c>
      <c r="AC7487" s="117" t="str">
        <f>IF(AB7487=1,COUNTIF($AB$3:AB7487,1),"")</f>
        <v/>
      </c>
      <c r="AD7487" s="117" t="str">
        <f>IFERROR(INDEX($AA$3:$AA$10000,MATCH(ROWS($AC$3:AC7487),$AC$3:$AC$10000,0)),"")</f>
        <v/>
      </c>
    </row>
    <row r="7488" spans="27:30">
      <c r="AA7488" s="117">
        <f>+'Ingredient List - Mother Tinctu'!D7489</f>
        <v>0</v>
      </c>
      <c r="AB7488" s="117">
        <f t="shared" si="119"/>
        <v>0</v>
      </c>
      <c r="AC7488" s="117" t="str">
        <f>IF(AB7488=1,COUNTIF($AB$3:AB7488,1),"")</f>
        <v/>
      </c>
      <c r="AD7488" s="117" t="str">
        <f>IFERROR(INDEX($AA$3:$AA$10000,MATCH(ROWS($AC$3:AC7488),$AC$3:$AC$10000,0)),"")</f>
        <v/>
      </c>
    </row>
    <row r="7489" spans="27:30">
      <c r="AA7489" s="117">
        <f>+'Ingredient List - Mother Tinctu'!D7490</f>
        <v>0</v>
      </c>
      <c r="AB7489" s="117">
        <f t="shared" si="119"/>
        <v>0</v>
      </c>
      <c r="AC7489" s="117" t="str">
        <f>IF(AB7489=1,COUNTIF($AB$3:AB7489,1),"")</f>
        <v/>
      </c>
      <c r="AD7489" s="117" t="str">
        <f>IFERROR(INDEX($AA$3:$AA$10000,MATCH(ROWS($AC$3:AC7489),$AC$3:$AC$10000,0)),"")</f>
        <v/>
      </c>
    </row>
    <row r="7490" spans="27:30">
      <c r="AA7490" s="117">
        <f>+'Ingredient List - Mother Tinctu'!D7491</f>
        <v>0</v>
      </c>
      <c r="AB7490" s="117">
        <f t="shared" si="119"/>
        <v>0</v>
      </c>
      <c r="AC7490" s="117" t="str">
        <f>IF(AB7490=1,COUNTIF($AB$3:AB7490,1),"")</f>
        <v/>
      </c>
      <c r="AD7490" s="117" t="str">
        <f>IFERROR(INDEX($AA$3:$AA$10000,MATCH(ROWS($AC$3:AC7490),$AC$3:$AC$10000,0)),"")</f>
        <v/>
      </c>
    </row>
    <row r="7491" spans="27:30">
      <c r="AA7491" s="117">
        <f>+'Ingredient List - Mother Tinctu'!D7492</f>
        <v>0</v>
      </c>
      <c r="AB7491" s="117">
        <f t="shared" si="119"/>
        <v>0</v>
      </c>
      <c r="AC7491" s="117" t="str">
        <f>IF(AB7491=1,COUNTIF($AB$3:AB7491,1),"")</f>
        <v/>
      </c>
      <c r="AD7491" s="117" t="str">
        <f>IFERROR(INDEX($AA$3:$AA$10000,MATCH(ROWS($AC$3:AC7491),$AC$3:$AC$10000,0)),"")</f>
        <v/>
      </c>
    </row>
    <row r="7492" spans="27:30">
      <c r="AA7492" s="117">
        <f>+'Ingredient List - Mother Tinctu'!D7493</f>
        <v>0</v>
      </c>
      <c r="AB7492" s="117">
        <f t="shared" ref="AB7492:AB7555" si="120">--ISNUMBER(IFERROR(SEARCH($D$3,AA7492,1),""))</f>
        <v>0</v>
      </c>
      <c r="AC7492" s="117" t="str">
        <f>IF(AB7492=1,COUNTIF($AB$3:AB7492,1),"")</f>
        <v/>
      </c>
      <c r="AD7492" s="117" t="str">
        <f>IFERROR(INDEX($AA$3:$AA$10000,MATCH(ROWS($AC$3:AC7492),$AC$3:$AC$10000,0)),"")</f>
        <v/>
      </c>
    </row>
    <row r="7493" spans="27:30">
      <c r="AA7493" s="117">
        <f>+'Ingredient List - Mother Tinctu'!D7494</f>
        <v>0</v>
      </c>
      <c r="AB7493" s="117">
        <f t="shared" si="120"/>
        <v>0</v>
      </c>
      <c r="AC7493" s="117" t="str">
        <f>IF(AB7493=1,COUNTIF($AB$3:AB7493,1),"")</f>
        <v/>
      </c>
      <c r="AD7493" s="117" t="str">
        <f>IFERROR(INDEX($AA$3:$AA$10000,MATCH(ROWS($AC$3:AC7493),$AC$3:$AC$10000,0)),"")</f>
        <v/>
      </c>
    </row>
    <row r="7494" spans="27:30">
      <c r="AA7494" s="117">
        <f>+'Ingredient List - Mother Tinctu'!D7495</f>
        <v>0</v>
      </c>
      <c r="AB7494" s="117">
        <f t="shared" si="120"/>
        <v>0</v>
      </c>
      <c r="AC7494" s="117" t="str">
        <f>IF(AB7494=1,COUNTIF($AB$3:AB7494,1),"")</f>
        <v/>
      </c>
      <c r="AD7494" s="117" t="str">
        <f>IFERROR(INDEX($AA$3:$AA$10000,MATCH(ROWS($AC$3:AC7494),$AC$3:$AC$10000,0)),"")</f>
        <v/>
      </c>
    </row>
    <row r="7495" spans="27:30">
      <c r="AA7495" s="117">
        <f>+'Ingredient List - Mother Tinctu'!D7496</f>
        <v>0</v>
      </c>
      <c r="AB7495" s="117">
        <f t="shared" si="120"/>
        <v>0</v>
      </c>
      <c r="AC7495" s="117" t="str">
        <f>IF(AB7495=1,COUNTIF($AB$3:AB7495,1),"")</f>
        <v/>
      </c>
      <c r="AD7495" s="117" t="str">
        <f>IFERROR(INDEX($AA$3:$AA$10000,MATCH(ROWS($AC$3:AC7495),$AC$3:$AC$10000,0)),"")</f>
        <v/>
      </c>
    </row>
    <row r="7496" spans="27:30">
      <c r="AA7496" s="117">
        <f>+'Ingredient List - Mother Tinctu'!D7497</f>
        <v>0</v>
      </c>
      <c r="AB7496" s="117">
        <f t="shared" si="120"/>
        <v>0</v>
      </c>
      <c r="AC7496" s="117" t="str">
        <f>IF(AB7496=1,COUNTIF($AB$3:AB7496,1),"")</f>
        <v/>
      </c>
      <c r="AD7496" s="117" t="str">
        <f>IFERROR(INDEX($AA$3:$AA$10000,MATCH(ROWS($AC$3:AC7496),$AC$3:$AC$10000,0)),"")</f>
        <v/>
      </c>
    </row>
    <row r="7497" spans="27:30">
      <c r="AA7497" s="117">
        <f>+'Ingredient List - Mother Tinctu'!D7498</f>
        <v>0</v>
      </c>
      <c r="AB7497" s="117">
        <f t="shared" si="120"/>
        <v>0</v>
      </c>
      <c r="AC7497" s="117" t="str">
        <f>IF(AB7497=1,COUNTIF($AB$3:AB7497,1),"")</f>
        <v/>
      </c>
      <c r="AD7497" s="117" t="str">
        <f>IFERROR(INDEX($AA$3:$AA$10000,MATCH(ROWS($AC$3:AC7497),$AC$3:$AC$10000,0)),"")</f>
        <v/>
      </c>
    </row>
    <row r="7498" spans="27:30">
      <c r="AA7498" s="117">
        <f>+'Ingredient List - Mother Tinctu'!D7499</f>
        <v>0</v>
      </c>
      <c r="AB7498" s="117">
        <f t="shared" si="120"/>
        <v>0</v>
      </c>
      <c r="AC7498" s="117" t="str">
        <f>IF(AB7498=1,COUNTIF($AB$3:AB7498,1),"")</f>
        <v/>
      </c>
      <c r="AD7498" s="117" t="str">
        <f>IFERROR(INDEX($AA$3:$AA$10000,MATCH(ROWS($AC$3:AC7498),$AC$3:$AC$10000,0)),"")</f>
        <v/>
      </c>
    </row>
    <row r="7499" spans="27:30">
      <c r="AA7499" s="117">
        <f>+'Ingredient List - Mother Tinctu'!D7500</f>
        <v>0</v>
      </c>
      <c r="AB7499" s="117">
        <f t="shared" si="120"/>
        <v>0</v>
      </c>
      <c r="AC7499" s="117" t="str">
        <f>IF(AB7499=1,COUNTIF($AB$3:AB7499,1),"")</f>
        <v/>
      </c>
      <c r="AD7499" s="117" t="str">
        <f>IFERROR(INDEX($AA$3:$AA$10000,MATCH(ROWS($AC$3:AC7499),$AC$3:$AC$10000,0)),"")</f>
        <v/>
      </c>
    </row>
    <row r="7500" spans="27:30">
      <c r="AA7500" s="117">
        <f>+'Ingredient List - Mother Tinctu'!D7501</f>
        <v>0</v>
      </c>
      <c r="AB7500" s="117">
        <f t="shared" si="120"/>
        <v>0</v>
      </c>
      <c r="AC7500" s="117" t="str">
        <f>IF(AB7500=1,COUNTIF($AB$3:AB7500,1),"")</f>
        <v/>
      </c>
      <c r="AD7500" s="117" t="str">
        <f>IFERROR(INDEX($AA$3:$AA$10000,MATCH(ROWS($AC$3:AC7500),$AC$3:$AC$10000,0)),"")</f>
        <v/>
      </c>
    </row>
    <row r="7501" spans="27:30">
      <c r="AA7501" s="117">
        <f>+'Ingredient List - Mother Tinctu'!D7502</f>
        <v>0</v>
      </c>
      <c r="AB7501" s="117">
        <f t="shared" si="120"/>
        <v>0</v>
      </c>
      <c r="AC7501" s="117" t="str">
        <f>IF(AB7501=1,COUNTIF($AB$3:AB7501,1),"")</f>
        <v/>
      </c>
      <c r="AD7501" s="117" t="str">
        <f>IFERROR(INDEX($AA$3:$AA$10000,MATCH(ROWS($AC$3:AC7501),$AC$3:$AC$10000,0)),"")</f>
        <v/>
      </c>
    </row>
    <row r="7502" spans="27:30">
      <c r="AA7502" s="117">
        <f>+'Ingredient List - Mother Tinctu'!D7503</f>
        <v>0</v>
      </c>
      <c r="AB7502" s="117">
        <f t="shared" si="120"/>
        <v>0</v>
      </c>
      <c r="AC7502" s="117" t="str">
        <f>IF(AB7502=1,COUNTIF($AB$3:AB7502,1),"")</f>
        <v/>
      </c>
      <c r="AD7502" s="117" t="str">
        <f>IFERROR(INDEX($AA$3:$AA$10000,MATCH(ROWS($AC$3:AC7502),$AC$3:$AC$10000,0)),"")</f>
        <v/>
      </c>
    </row>
    <row r="7503" spans="27:30">
      <c r="AA7503" s="117">
        <f>+'Ingredient List - Mother Tinctu'!D7504</f>
        <v>0</v>
      </c>
      <c r="AB7503" s="117">
        <f t="shared" si="120"/>
        <v>0</v>
      </c>
      <c r="AC7503" s="117" t="str">
        <f>IF(AB7503=1,COUNTIF($AB$3:AB7503,1),"")</f>
        <v/>
      </c>
      <c r="AD7503" s="117" t="str">
        <f>IFERROR(INDEX($AA$3:$AA$10000,MATCH(ROWS($AC$3:AC7503),$AC$3:$AC$10000,0)),"")</f>
        <v/>
      </c>
    </row>
    <row r="7504" spans="27:30">
      <c r="AA7504" s="117">
        <f>+'Ingredient List - Mother Tinctu'!D7505</f>
        <v>0</v>
      </c>
      <c r="AB7504" s="117">
        <f t="shared" si="120"/>
        <v>0</v>
      </c>
      <c r="AC7504" s="117" t="str">
        <f>IF(AB7504=1,COUNTIF($AB$3:AB7504,1),"")</f>
        <v/>
      </c>
      <c r="AD7504" s="117" t="str">
        <f>IFERROR(INDEX($AA$3:$AA$10000,MATCH(ROWS($AC$3:AC7504),$AC$3:$AC$10000,0)),"")</f>
        <v/>
      </c>
    </row>
    <row r="7505" spans="27:30">
      <c r="AA7505" s="117">
        <f>+'Ingredient List - Mother Tinctu'!D7506</f>
        <v>0</v>
      </c>
      <c r="AB7505" s="117">
        <f t="shared" si="120"/>
        <v>0</v>
      </c>
      <c r="AC7505" s="117" t="str">
        <f>IF(AB7505=1,COUNTIF($AB$3:AB7505,1),"")</f>
        <v/>
      </c>
      <c r="AD7505" s="117" t="str">
        <f>IFERROR(INDEX($AA$3:$AA$10000,MATCH(ROWS($AC$3:AC7505),$AC$3:$AC$10000,0)),"")</f>
        <v/>
      </c>
    </row>
    <row r="7506" spans="27:30">
      <c r="AA7506" s="117">
        <f>+'Ingredient List - Mother Tinctu'!D7507</f>
        <v>0</v>
      </c>
      <c r="AB7506" s="117">
        <f t="shared" si="120"/>
        <v>0</v>
      </c>
      <c r="AC7506" s="117" t="str">
        <f>IF(AB7506=1,COUNTIF($AB$3:AB7506,1),"")</f>
        <v/>
      </c>
      <c r="AD7506" s="117" t="str">
        <f>IFERROR(INDEX($AA$3:$AA$10000,MATCH(ROWS($AC$3:AC7506),$AC$3:$AC$10000,0)),"")</f>
        <v/>
      </c>
    </row>
    <row r="7507" spans="27:30">
      <c r="AA7507" s="117">
        <f>+'Ingredient List - Mother Tinctu'!D7508</f>
        <v>0</v>
      </c>
      <c r="AB7507" s="117">
        <f t="shared" si="120"/>
        <v>0</v>
      </c>
      <c r="AC7507" s="117" t="str">
        <f>IF(AB7507=1,COUNTIF($AB$3:AB7507,1),"")</f>
        <v/>
      </c>
      <c r="AD7507" s="117" t="str">
        <f>IFERROR(INDEX($AA$3:$AA$10000,MATCH(ROWS($AC$3:AC7507),$AC$3:$AC$10000,0)),"")</f>
        <v/>
      </c>
    </row>
    <row r="7508" spans="27:30">
      <c r="AA7508" s="117">
        <f>+'Ingredient List - Mother Tinctu'!D7509</f>
        <v>0</v>
      </c>
      <c r="AB7508" s="117">
        <f t="shared" si="120"/>
        <v>0</v>
      </c>
      <c r="AC7508" s="117" t="str">
        <f>IF(AB7508=1,COUNTIF($AB$3:AB7508,1),"")</f>
        <v/>
      </c>
      <c r="AD7508" s="117" t="str">
        <f>IFERROR(INDEX($AA$3:$AA$10000,MATCH(ROWS($AC$3:AC7508),$AC$3:$AC$10000,0)),"")</f>
        <v/>
      </c>
    </row>
    <row r="7509" spans="27:30">
      <c r="AA7509" s="117">
        <f>+'Ingredient List - Mother Tinctu'!D7510</f>
        <v>0</v>
      </c>
      <c r="AB7509" s="117">
        <f t="shared" si="120"/>
        <v>0</v>
      </c>
      <c r="AC7509" s="117" t="str">
        <f>IF(AB7509=1,COUNTIF($AB$3:AB7509,1),"")</f>
        <v/>
      </c>
      <c r="AD7509" s="117" t="str">
        <f>IFERROR(INDEX($AA$3:$AA$10000,MATCH(ROWS($AC$3:AC7509),$AC$3:$AC$10000,0)),"")</f>
        <v/>
      </c>
    </row>
    <row r="7510" spans="27:30">
      <c r="AA7510" s="117">
        <f>+'Ingredient List - Mother Tinctu'!D7511</f>
        <v>0</v>
      </c>
      <c r="AB7510" s="117">
        <f t="shared" si="120"/>
        <v>0</v>
      </c>
      <c r="AC7510" s="117" t="str">
        <f>IF(AB7510=1,COUNTIF($AB$3:AB7510,1),"")</f>
        <v/>
      </c>
      <c r="AD7510" s="117" t="str">
        <f>IFERROR(INDEX($AA$3:$AA$10000,MATCH(ROWS($AC$3:AC7510),$AC$3:$AC$10000,0)),"")</f>
        <v/>
      </c>
    </row>
    <row r="7511" spans="27:30">
      <c r="AA7511" s="117">
        <f>+'Ingredient List - Mother Tinctu'!D7512</f>
        <v>0</v>
      </c>
      <c r="AB7511" s="117">
        <f t="shared" si="120"/>
        <v>0</v>
      </c>
      <c r="AC7511" s="117" t="str">
        <f>IF(AB7511=1,COUNTIF($AB$3:AB7511,1),"")</f>
        <v/>
      </c>
      <c r="AD7511" s="117" t="str">
        <f>IFERROR(INDEX($AA$3:$AA$10000,MATCH(ROWS($AC$3:AC7511),$AC$3:$AC$10000,0)),"")</f>
        <v/>
      </c>
    </row>
    <row r="7512" spans="27:30">
      <c r="AA7512" s="117">
        <f>+'Ingredient List - Mother Tinctu'!D7513</f>
        <v>0</v>
      </c>
      <c r="AB7512" s="117">
        <f t="shared" si="120"/>
        <v>0</v>
      </c>
      <c r="AC7512" s="117" t="str">
        <f>IF(AB7512=1,COUNTIF($AB$3:AB7512,1),"")</f>
        <v/>
      </c>
      <c r="AD7512" s="117" t="str">
        <f>IFERROR(INDEX($AA$3:$AA$10000,MATCH(ROWS($AC$3:AC7512),$AC$3:$AC$10000,0)),"")</f>
        <v/>
      </c>
    </row>
    <row r="7513" spans="27:30">
      <c r="AA7513" s="117">
        <f>+'Ingredient List - Mother Tinctu'!D7514</f>
        <v>0</v>
      </c>
      <c r="AB7513" s="117">
        <f t="shared" si="120"/>
        <v>0</v>
      </c>
      <c r="AC7513" s="117" t="str">
        <f>IF(AB7513=1,COUNTIF($AB$3:AB7513,1),"")</f>
        <v/>
      </c>
      <c r="AD7513" s="117" t="str">
        <f>IFERROR(INDEX($AA$3:$AA$10000,MATCH(ROWS($AC$3:AC7513),$AC$3:$AC$10000,0)),"")</f>
        <v/>
      </c>
    </row>
    <row r="7514" spans="27:30">
      <c r="AA7514" s="117">
        <f>+'Ingredient List - Mother Tinctu'!D7515</f>
        <v>0</v>
      </c>
      <c r="AB7514" s="117">
        <f t="shared" si="120"/>
        <v>0</v>
      </c>
      <c r="AC7514" s="117" t="str">
        <f>IF(AB7514=1,COUNTIF($AB$3:AB7514,1),"")</f>
        <v/>
      </c>
      <c r="AD7514" s="117" t="str">
        <f>IFERROR(INDEX($AA$3:$AA$10000,MATCH(ROWS($AC$3:AC7514),$AC$3:$AC$10000,0)),"")</f>
        <v/>
      </c>
    </row>
    <row r="7515" spans="27:30">
      <c r="AA7515" s="117">
        <f>+'Ingredient List - Mother Tinctu'!D7516</f>
        <v>0</v>
      </c>
      <c r="AB7515" s="117">
        <f t="shared" si="120"/>
        <v>0</v>
      </c>
      <c r="AC7515" s="117" t="str">
        <f>IF(AB7515=1,COUNTIF($AB$3:AB7515,1),"")</f>
        <v/>
      </c>
      <c r="AD7515" s="117" t="str">
        <f>IFERROR(INDEX($AA$3:$AA$10000,MATCH(ROWS($AC$3:AC7515),$AC$3:$AC$10000,0)),"")</f>
        <v/>
      </c>
    </row>
    <row r="7516" spans="27:30">
      <c r="AA7516" s="117">
        <f>+'Ingredient List - Mother Tinctu'!D7517</f>
        <v>0</v>
      </c>
      <c r="AB7516" s="117">
        <f t="shared" si="120"/>
        <v>0</v>
      </c>
      <c r="AC7516" s="117" t="str">
        <f>IF(AB7516=1,COUNTIF($AB$3:AB7516,1),"")</f>
        <v/>
      </c>
      <c r="AD7516" s="117" t="str">
        <f>IFERROR(INDEX($AA$3:$AA$10000,MATCH(ROWS($AC$3:AC7516),$AC$3:$AC$10000,0)),"")</f>
        <v/>
      </c>
    </row>
    <row r="7517" spans="27:30">
      <c r="AA7517" s="117">
        <f>+'Ingredient List - Mother Tinctu'!D7518</f>
        <v>0</v>
      </c>
      <c r="AB7517" s="117">
        <f t="shared" si="120"/>
        <v>0</v>
      </c>
      <c r="AC7517" s="117" t="str">
        <f>IF(AB7517=1,COUNTIF($AB$3:AB7517,1),"")</f>
        <v/>
      </c>
      <c r="AD7517" s="117" t="str">
        <f>IFERROR(INDEX($AA$3:$AA$10000,MATCH(ROWS($AC$3:AC7517),$AC$3:$AC$10000,0)),"")</f>
        <v/>
      </c>
    </row>
    <row r="7518" spans="27:30">
      <c r="AA7518" s="117">
        <f>+'Ingredient List - Mother Tinctu'!D7519</f>
        <v>0</v>
      </c>
      <c r="AB7518" s="117">
        <f t="shared" si="120"/>
        <v>0</v>
      </c>
      <c r="AC7518" s="117" t="str">
        <f>IF(AB7518=1,COUNTIF($AB$3:AB7518,1),"")</f>
        <v/>
      </c>
      <c r="AD7518" s="117" t="str">
        <f>IFERROR(INDEX($AA$3:$AA$10000,MATCH(ROWS($AC$3:AC7518),$AC$3:$AC$10000,0)),"")</f>
        <v/>
      </c>
    </row>
    <row r="7519" spans="27:30">
      <c r="AA7519" s="117">
        <f>+'Ingredient List - Mother Tinctu'!D7520</f>
        <v>0</v>
      </c>
      <c r="AB7519" s="117">
        <f t="shared" si="120"/>
        <v>0</v>
      </c>
      <c r="AC7519" s="117" t="str">
        <f>IF(AB7519=1,COUNTIF($AB$3:AB7519,1),"")</f>
        <v/>
      </c>
      <c r="AD7519" s="117" t="str">
        <f>IFERROR(INDEX($AA$3:$AA$10000,MATCH(ROWS($AC$3:AC7519),$AC$3:$AC$10000,0)),"")</f>
        <v/>
      </c>
    </row>
    <row r="7520" spans="27:30">
      <c r="AA7520" s="117">
        <f>+'Ingredient List - Mother Tinctu'!D7521</f>
        <v>0</v>
      </c>
      <c r="AB7520" s="117">
        <f t="shared" si="120"/>
        <v>0</v>
      </c>
      <c r="AC7520" s="117" t="str">
        <f>IF(AB7520=1,COUNTIF($AB$3:AB7520,1),"")</f>
        <v/>
      </c>
      <c r="AD7520" s="117" t="str">
        <f>IFERROR(INDEX($AA$3:$AA$10000,MATCH(ROWS($AC$3:AC7520),$AC$3:$AC$10000,0)),"")</f>
        <v/>
      </c>
    </row>
    <row r="7521" spans="27:30">
      <c r="AA7521" s="117">
        <f>+'Ingredient List - Mother Tinctu'!D7522</f>
        <v>0</v>
      </c>
      <c r="AB7521" s="117">
        <f t="shared" si="120"/>
        <v>0</v>
      </c>
      <c r="AC7521" s="117" t="str">
        <f>IF(AB7521=1,COUNTIF($AB$3:AB7521,1),"")</f>
        <v/>
      </c>
      <c r="AD7521" s="117" t="str">
        <f>IFERROR(INDEX($AA$3:$AA$10000,MATCH(ROWS($AC$3:AC7521),$AC$3:$AC$10000,0)),"")</f>
        <v/>
      </c>
    </row>
    <row r="7522" spans="27:30">
      <c r="AA7522" s="117">
        <f>+'Ingredient List - Mother Tinctu'!D7523</f>
        <v>0</v>
      </c>
      <c r="AB7522" s="117">
        <f t="shared" si="120"/>
        <v>0</v>
      </c>
      <c r="AC7522" s="117" t="str">
        <f>IF(AB7522=1,COUNTIF($AB$3:AB7522,1),"")</f>
        <v/>
      </c>
      <c r="AD7522" s="117" t="str">
        <f>IFERROR(INDEX($AA$3:$AA$10000,MATCH(ROWS($AC$3:AC7522),$AC$3:$AC$10000,0)),"")</f>
        <v/>
      </c>
    </row>
    <row r="7523" spans="27:30">
      <c r="AA7523" s="117">
        <f>+'Ingredient List - Mother Tinctu'!D7524</f>
        <v>0</v>
      </c>
      <c r="AB7523" s="117">
        <f t="shared" si="120"/>
        <v>0</v>
      </c>
      <c r="AC7523" s="117" t="str">
        <f>IF(AB7523=1,COUNTIF($AB$3:AB7523,1),"")</f>
        <v/>
      </c>
      <c r="AD7523" s="117" t="str">
        <f>IFERROR(INDEX($AA$3:$AA$10000,MATCH(ROWS($AC$3:AC7523),$AC$3:$AC$10000,0)),"")</f>
        <v/>
      </c>
    </row>
    <row r="7524" spans="27:30">
      <c r="AA7524" s="117">
        <f>+'Ingredient List - Mother Tinctu'!D7525</f>
        <v>0</v>
      </c>
      <c r="AB7524" s="117">
        <f t="shared" si="120"/>
        <v>0</v>
      </c>
      <c r="AC7524" s="117" t="str">
        <f>IF(AB7524=1,COUNTIF($AB$3:AB7524,1),"")</f>
        <v/>
      </c>
      <c r="AD7524" s="117" t="str">
        <f>IFERROR(INDEX($AA$3:$AA$10000,MATCH(ROWS($AC$3:AC7524),$AC$3:$AC$10000,0)),"")</f>
        <v/>
      </c>
    </row>
    <row r="7525" spans="27:30">
      <c r="AA7525" s="117">
        <f>+'Ingredient List - Mother Tinctu'!D7526</f>
        <v>0</v>
      </c>
      <c r="AB7525" s="117">
        <f t="shared" si="120"/>
        <v>0</v>
      </c>
      <c r="AC7525" s="117" t="str">
        <f>IF(AB7525=1,COUNTIF($AB$3:AB7525,1),"")</f>
        <v/>
      </c>
      <c r="AD7525" s="117" t="str">
        <f>IFERROR(INDEX($AA$3:$AA$10000,MATCH(ROWS($AC$3:AC7525),$AC$3:$AC$10000,0)),"")</f>
        <v/>
      </c>
    </row>
    <row r="7526" spans="27:30">
      <c r="AA7526" s="117">
        <f>+'Ingredient List - Mother Tinctu'!D7527</f>
        <v>0</v>
      </c>
      <c r="AB7526" s="117">
        <f t="shared" si="120"/>
        <v>0</v>
      </c>
      <c r="AC7526" s="117" t="str">
        <f>IF(AB7526=1,COUNTIF($AB$3:AB7526,1),"")</f>
        <v/>
      </c>
      <c r="AD7526" s="117" t="str">
        <f>IFERROR(INDEX($AA$3:$AA$10000,MATCH(ROWS($AC$3:AC7526),$AC$3:$AC$10000,0)),"")</f>
        <v/>
      </c>
    </row>
    <row r="7527" spans="27:30">
      <c r="AA7527" s="117">
        <f>+'Ingredient List - Mother Tinctu'!D7528</f>
        <v>0</v>
      </c>
      <c r="AB7527" s="117">
        <f t="shared" si="120"/>
        <v>0</v>
      </c>
      <c r="AC7527" s="117" t="str">
        <f>IF(AB7527=1,COUNTIF($AB$3:AB7527,1),"")</f>
        <v/>
      </c>
      <c r="AD7527" s="117" t="str">
        <f>IFERROR(INDEX($AA$3:$AA$10000,MATCH(ROWS($AC$3:AC7527),$AC$3:$AC$10000,0)),"")</f>
        <v/>
      </c>
    </row>
    <row r="7528" spans="27:30">
      <c r="AA7528" s="117">
        <f>+'Ingredient List - Mother Tinctu'!D7529</f>
        <v>0</v>
      </c>
      <c r="AB7528" s="117">
        <f t="shared" si="120"/>
        <v>0</v>
      </c>
      <c r="AC7528" s="117" t="str">
        <f>IF(AB7528=1,COUNTIF($AB$3:AB7528,1),"")</f>
        <v/>
      </c>
      <c r="AD7528" s="117" t="str">
        <f>IFERROR(INDEX($AA$3:$AA$10000,MATCH(ROWS($AC$3:AC7528),$AC$3:$AC$10000,0)),"")</f>
        <v/>
      </c>
    </row>
    <row r="7529" spans="27:30">
      <c r="AA7529" s="117">
        <f>+'Ingredient List - Mother Tinctu'!D7530</f>
        <v>0</v>
      </c>
      <c r="AB7529" s="117">
        <f t="shared" si="120"/>
        <v>0</v>
      </c>
      <c r="AC7529" s="117" t="str">
        <f>IF(AB7529=1,COUNTIF($AB$3:AB7529,1),"")</f>
        <v/>
      </c>
      <c r="AD7529" s="117" t="str">
        <f>IFERROR(INDEX($AA$3:$AA$10000,MATCH(ROWS($AC$3:AC7529),$AC$3:$AC$10000,0)),"")</f>
        <v/>
      </c>
    </row>
    <row r="7530" spans="27:30">
      <c r="AA7530" s="117">
        <f>+'Ingredient List - Mother Tinctu'!D7531</f>
        <v>0</v>
      </c>
      <c r="AB7530" s="117">
        <f t="shared" si="120"/>
        <v>0</v>
      </c>
      <c r="AC7530" s="117" t="str">
        <f>IF(AB7530=1,COUNTIF($AB$3:AB7530,1),"")</f>
        <v/>
      </c>
      <c r="AD7530" s="117" t="str">
        <f>IFERROR(INDEX($AA$3:$AA$10000,MATCH(ROWS($AC$3:AC7530),$AC$3:$AC$10000,0)),"")</f>
        <v/>
      </c>
    </row>
    <row r="7531" spans="27:30">
      <c r="AA7531" s="117">
        <f>+'Ingredient List - Mother Tinctu'!D7532</f>
        <v>0</v>
      </c>
      <c r="AB7531" s="117">
        <f t="shared" si="120"/>
        <v>0</v>
      </c>
      <c r="AC7531" s="117" t="str">
        <f>IF(AB7531=1,COUNTIF($AB$3:AB7531,1),"")</f>
        <v/>
      </c>
      <c r="AD7531" s="117" t="str">
        <f>IFERROR(INDEX($AA$3:$AA$10000,MATCH(ROWS($AC$3:AC7531),$AC$3:$AC$10000,0)),"")</f>
        <v/>
      </c>
    </row>
    <row r="7532" spans="27:30">
      <c r="AA7532" s="117">
        <f>+'Ingredient List - Mother Tinctu'!D7533</f>
        <v>0</v>
      </c>
      <c r="AB7532" s="117">
        <f t="shared" si="120"/>
        <v>0</v>
      </c>
      <c r="AC7532" s="117" t="str">
        <f>IF(AB7532=1,COUNTIF($AB$3:AB7532,1),"")</f>
        <v/>
      </c>
      <c r="AD7532" s="117" t="str">
        <f>IFERROR(INDEX($AA$3:$AA$10000,MATCH(ROWS($AC$3:AC7532),$AC$3:$AC$10000,0)),"")</f>
        <v/>
      </c>
    </row>
    <row r="7533" spans="27:30">
      <c r="AA7533" s="117">
        <f>+'Ingredient List - Mother Tinctu'!D7534</f>
        <v>0</v>
      </c>
      <c r="AB7533" s="117">
        <f t="shared" si="120"/>
        <v>0</v>
      </c>
      <c r="AC7533" s="117" t="str">
        <f>IF(AB7533=1,COUNTIF($AB$3:AB7533,1),"")</f>
        <v/>
      </c>
      <c r="AD7533" s="117" t="str">
        <f>IFERROR(INDEX($AA$3:$AA$10000,MATCH(ROWS($AC$3:AC7533),$AC$3:$AC$10000,0)),"")</f>
        <v/>
      </c>
    </row>
    <row r="7534" spans="27:30">
      <c r="AA7534" s="117">
        <f>+'Ingredient List - Mother Tinctu'!D7535</f>
        <v>0</v>
      </c>
      <c r="AB7534" s="117">
        <f t="shared" si="120"/>
        <v>0</v>
      </c>
      <c r="AC7534" s="117" t="str">
        <f>IF(AB7534=1,COUNTIF($AB$3:AB7534,1),"")</f>
        <v/>
      </c>
      <c r="AD7534" s="117" t="str">
        <f>IFERROR(INDEX($AA$3:$AA$10000,MATCH(ROWS($AC$3:AC7534),$AC$3:$AC$10000,0)),"")</f>
        <v/>
      </c>
    </row>
    <row r="7535" spans="27:30">
      <c r="AA7535" s="117">
        <f>+'Ingredient List - Mother Tinctu'!D7536</f>
        <v>0</v>
      </c>
      <c r="AB7535" s="117">
        <f t="shared" si="120"/>
        <v>0</v>
      </c>
      <c r="AC7535" s="117" t="str">
        <f>IF(AB7535=1,COUNTIF($AB$3:AB7535,1),"")</f>
        <v/>
      </c>
      <c r="AD7535" s="117" t="str">
        <f>IFERROR(INDEX($AA$3:$AA$10000,MATCH(ROWS($AC$3:AC7535),$AC$3:$AC$10000,0)),"")</f>
        <v/>
      </c>
    </row>
    <row r="7536" spans="27:30">
      <c r="AA7536" s="117">
        <f>+'Ingredient List - Mother Tinctu'!D7537</f>
        <v>0</v>
      </c>
      <c r="AB7536" s="117">
        <f t="shared" si="120"/>
        <v>0</v>
      </c>
      <c r="AC7536" s="117" t="str">
        <f>IF(AB7536=1,COUNTIF($AB$3:AB7536,1),"")</f>
        <v/>
      </c>
      <c r="AD7536" s="117" t="str">
        <f>IFERROR(INDEX($AA$3:$AA$10000,MATCH(ROWS($AC$3:AC7536),$AC$3:$AC$10000,0)),"")</f>
        <v/>
      </c>
    </row>
    <row r="7537" spans="27:30">
      <c r="AA7537" s="117">
        <f>+'Ingredient List - Mother Tinctu'!D7538</f>
        <v>0</v>
      </c>
      <c r="AB7537" s="117">
        <f t="shared" si="120"/>
        <v>0</v>
      </c>
      <c r="AC7537" s="117" t="str">
        <f>IF(AB7537=1,COUNTIF($AB$3:AB7537,1),"")</f>
        <v/>
      </c>
      <c r="AD7537" s="117" t="str">
        <f>IFERROR(INDEX($AA$3:$AA$10000,MATCH(ROWS($AC$3:AC7537),$AC$3:$AC$10000,0)),"")</f>
        <v/>
      </c>
    </row>
    <row r="7538" spans="27:30">
      <c r="AA7538" s="117">
        <f>+'Ingredient List - Mother Tinctu'!D7539</f>
        <v>0</v>
      </c>
      <c r="AB7538" s="117">
        <f t="shared" si="120"/>
        <v>0</v>
      </c>
      <c r="AC7538" s="117" t="str">
        <f>IF(AB7538=1,COUNTIF($AB$3:AB7538,1),"")</f>
        <v/>
      </c>
      <c r="AD7538" s="117" t="str">
        <f>IFERROR(INDEX($AA$3:$AA$10000,MATCH(ROWS($AC$3:AC7538),$AC$3:$AC$10000,0)),"")</f>
        <v/>
      </c>
    </row>
    <row r="7539" spans="27:30">
      <c r="AA7539" s="117">
        <f>+'Ingredient List - Mother Tinctu'!D7540</f>
        <v>0</v>
      </c>
      <c r="AB7539" s="117">
        <f t="shared" si="120"/>
        <v>0</v>
      </c>
      <c r="AC7539" s="117" t="str">
        <f>IF(AB7539=1,COUNTIF($AB$3:AB7539,1),"")</f>
        <v/>
      </c>
      <c r="AD7539" s="117" t="str">
        <f>IFERROR(INDEX($AA$3:$AA$10000,MATCH(ROWS($AC$3:AC7539),$AC$3:$AC$10000,0)),"")</f>
        <v/>
      </c>
    </row>
    <row r="7540" spans="27:30">
      <c r="AA7540" s="117">
        <f>+'Ingredient List - Mother Tinctu'!D7541</f>
        <v>0</v>
      </c>
      <c r="AB7540" s="117">
        <f t="shared" si="120"/>
        <v>0</v>
      </c>
      <c r="AC7540" s="117" t="str">
        <f>IF(AB7540=1,COUNTIF($AB$3:AB7540,1),"")</f>
        <v/>
      </c>
      <c r="AD7540" s="117" t="str">
        <f>IFERROR(INDEX($AA$3:$AA$10000,MATCH(ROWS($AC$3:AC7540),$AC$3:$AC$10000,0)),"")</f>
        <v/>
      </c>
    </row>
    <row r="7541" spans="27:30">
      <c r="AA7541" s="117">
        <f>+'Ingredient List - Mother Tinctu'!D7542</f>
        <v>0</v>
      </c>
      <c r="AB7541" s="117">
        <f t="shared" si="120"/>
        <v>0</v>
      </c>
      <c r="AC7541" s="117" t="str">
        <f>IF(AB7541=1,COUNTIF($AB$3:AB7541,1),"")</f>
        <v/>
      </c>
      <c r="AD7541" s="117" t="str">
        <f>IFERROR(INDEX($AA$3:$AA$10000,MATCH(ROWS($AC$3:AC7541),$AC$3:$AC$10000,0)),"")</f>
        <v/>
      </c>
    </row>
    <row r="7542" spans="27:30">
      <c r="AA7542" s="117">
        <f>+'Ingredient List - Mother Tinctu'!D7543</f>
        <v>0</v>
      </c>
      <c r="AB7542" s="117">
        <f t="shared" si="120"/>
        <v>0</v>
      </c>
      <c r="AC7542" s="117" t="str">
        <f>IF(AB7542=1,COUNTIF($AB$3:AB7542,1),"")</f>
        <v/>
      </c>
      <c r="AD7542" s="117" t="str">
        <f>IFERROR(INDEX($AA$3:$AA$10000,MATCH(ROWS($AC$3:AC7542),$AC$3:$AC$10000,0)),"")</f>
        <v/>
      </c>
    </row>
    <row r="7543" spans="27:30">
      <c r="AA7543" s="117">
        <f>+'Ingredient List - Mother Tinctu'!D7544</f>
        <v>0</v>
      </c>
      <c r="AB7543" s="117">
        <f t="shared" si="120"/>
        <v>0</v>
      </c>
      <c r="AC7543" s="117" t="str">
        <f>IF(AB7543=1,COUNTIF($AB$3:AB7543,1),"")</f>
        <v/>
      </c>
      <c r="AD7543" s="117" t="str">
        <f>IFERROR(INDEX($AA$3:$AA$10000,MATCH(ROWS($AC$3:AC7543),$AC$3:$AC$10000,0)),"")</f>
        <v/>
      </c>
    </row>
    <row r="7544" spans="27:30">
      <c r="AA7544" s="117">
        <f>+'Ingredient List - Mother Tinctu'!D7545</f>
        <v>0</v>
      </c>
      <c r="AB7544" s="117">
        <f t="shared" si="120"/>
        <v>0</v>
      </c>
      <c r="AC7544" s="117" t="str">
        <f>IF(AB7544=1,COUNTIF($AB$3:AB7544,1),"")</f>
        <v/>
      </c>
      <c r="AD7544" s="117" t="str">
        <f>IFERROR(INDEX($AA$3:$AA$10000,MATCH(ROWS($AC$3:AC7544),$AC$3:$AC$10000,0)),"")</f>
        <v/>
      </c>
    </row>
    <row r="7545" spans="27:30">
      <c r="AA7545" s="117">
        <f>+'Ingredient List - Mother Tinctu'!D7546</f>
        <v>0</v>
      </c>
      <c r="AB7545" s="117">
        <f t="shared" si="120"/>
        <v>0</v>
      </c>
      <c r="AC7545" s="117" t="str">
        <f>IF(AB7545=1,COUNTIF($AB$3:AB7545,1),"")</f>
        <v/>
      </c>
      <c r="AD7545" s="117" t="str">
        <f>IFERROR(INDEX($AA$3:$AA$10000,MATCH(ROWS($AC$3:AC7545),$AC$3:$AC$10000,0)),"")</f>
        <v/>
      </c>
    </row>
    <row r="7546" spans="27:30">
      <c r="AA7546" s="117">
        <f>+'Ingredient List - Mother Tinctu'!D7547</f>
        <v>0</v>
      </c>
      <c r="AB7546" s="117">
        <f t="shared" si="120"/>
        <v>0</v>
      </c>
      <c r="AC7546" s="117" t="str">
        <f>IF(AB7546=1,COUNTIF($AB$3:AB7546,1),"")</f>
        <v/>
      </c>
      <c r="AD7546" s="117" t="str">
        <f>IFERROR(INDEX($AA$3:$AA$10000,MATCH(ROWS($AC$3:AC7546),$AC$3:$AC$10000,0)),"")</f>
        <v/>
      </c>
    </row>
    <row r="7547" spans="27:30">
      <c r="AA7547" s="117">
        <f>+'Ingredient List - Mother Tinctu'!D7548</f>
        <v>0</v>
      </c>
      <c r="AB7547" s="117">
        <f t="shared" si="120"/>
        <v>0</v>
      </c>
      <c r="AC7547" s="117" t="str">
        <f>IF(AB7547=1,COUNTIF($AB$3:AB7547,1),"")</f>
        <v/>
      </c>
      <c r="AD7547" s="117" t="str">
        <f>IFERROR(INDEX($AA$3:$AA$10000,MATCH(ROWS($AC$3:AC7547),$AC$3:$AC$10000,0)),"")</f>
        <v/>
      </c>
    </row>
    <row r="7548" spans="27:30">
      <c r="AA7548" s="117">
        <f>+'Ingredient List - Mother Tinctu'!D7549</f>
        <v>0</v>
      </c>
      <c r="AB7548" s="117">
        <f t="shared" si="120"/>
        <v>0</v>
      </c>
      <c r="AC7548" s="117" t="str">
        <f>IF(AB7548=1,COUNTIF($AB$3:AB7548,1),"")</f>
        <v/>
      </c>
      <c r="AD7548" s="117" t="str">
        <f>IFERROR(INDEX($AA$3:$AA$10000,MATCH(ROWS($AC$3:AC7548),$AC$3:$AC$10000,0)),"")</f>
        <v/>
      </c>
    </row>
    <row r="7549" spans="27:30">
      <c r="AA7549" s="117">
        <f>+'Ingredient List - Mother Tinctu'!D7550</f>
        <v>0</v>
      </c>
      <c r="AB7549" s="117">
        <f t="shared" si="120"/>
        <v>0</v>
      </c>
      <c r="AC7549" s="117" t="str">
        <f>IF(AB7549=1,COUNTIF($AB$3:AB7549,1),"")</f>
        <v/>
      </c>
      <c r="AD7549" s="117" t="str">
        <f>IFERROR(INDEX($AA$3:$AA$10000,MATCH(ROWS($AC$3:AC7549),$AC$3:$AC$10000,0)),"")</f>
        <v/>
      </c>
    </row>
    <row r="7550" spans="27:30">
      <c r="AA7550" s="117">
        <f>+'Ingredient List - Mother Tinctu'!D7551</f>
        <v>0</v>
      </c>
      <c r="AB7550" s="117">
        <f t="shared" si="120"/>
        <v>0</v>
      </c>
      <c r="AC7550" s="117" t="str">
        <f>IF(AB7550=1,COUNTIF($AB$3:AB7550,1),"")</f>
        <v/>
      </c>
      <c r="AD7550" s="117" t="str">
        <f>IFERROR(INDEX($AA$3:$AA$10000,MATCH(ROWS($AC$3:AC7550),$AC$3:$AC$10000,0)),"")</f>
        <v/>
      </c>
    </row>
    <row r="7551" spans="27:30">
      <c r="AA7551" s="117">
        <f>+'Ingredient List - Mother Tinctu'!D7552</f>
        <v>0</v>
      </c>
      <c r="AB7551" s="117">
        <f t="shared" si="120"/>
        <v>0</v>
      </c>
      <c r="AC7551" s="117" t="str">
        <f>IF(AB7551=1,COUNTIF($AB$3:AB7551,1),"")</f>
        <v/>
      </c>
      <c r="AD7551" s="117" t="str">
        <f>IFERROR(INDEX($AA$3:$AA$10000,MATCH(ROWS($AC$3:AC7551),$AC$3:$AC$10000,0)),"")</f>
        <v/>
      </c>
    </row>
    <row r="7552" spans="27:30">
      <c r="AA7552" s="117">
        <f>+'Ingredient List - Mother Tinctu'!D7553</f>
        <v>0</v>
      </c>
      <c r="AB7552" s="117">
        <f t="shared" si="120"/>
        <v>0</v>
      </c>
      <c r="AC7552" s="117" t="str">
        <f>IF(AB7552=1,COUNTIF($AB$3:AB7552,1),"")</f>
        <v/>
      </c>
      <c r="AD7552" s="117" t="str">
        <f>IFERROR(INDEX($AA$3:$AA$10000,MATCH(ROWS($AC$3:AC7552),$AC$3:$AC$10000,0)),"")</f>
        <v/>
      </c>
    </row>
    <row r="7553" spans="27:30">
      <c r="AA7553" s="117">
        <f>+'Ingredient List - Mother Tinctu'!D7554</f>
        <v>0</v>
      </c>
      <c r="AB7553" s="117">
        <f t="shared" si="120"/>
        <v>0</v>
      </c>
      <c r="AC7553" s="117" t="str">
        <f>IF(AB7553=1,COUNTIF($AB$3:AB7553,1),"")</f>
        <v/>
      </c>
      <c r="AD7553" s="117" t="str">
        <f>IFERROR(INDEX($AA$3:$AA$10000,MATCH(ROWS($AC$3:AC7553),$AC$3:$AC$10000,0)),"")</f>
        <v/>
      </c>
    </row>
    <row r="7554" spans="27:30">
      <c r="AA7554" s="117">
        <f>+'Ingredient List - Mother Tinctu'!D7555</f>
        <v>0</v>
      </c>
      <c r="AB7554" s="117">
        <f t="shared" si="120"/>
        <v>0</v>
      </c>
      <c r="AC7554" s="117" t="str">
        <f>IF(AB7554=1,COUNTIF($AB$3:AB7554,1),"")</f>
        <v/>
      </c>
      <c r="AD7554" s="117" t="str">
        <f>IFERROR(INDEX($AA$3:$AA$10000,MATCH(ROWS($AC$3:AC7554),$AC$3:$AC$10000,0)),"")</f>
        <v/>
      </c>
    </row>
    <row r="7555" spans="27:30">
      <c r="AA7555" s="117">
        <f>+'Ingredient List - Mother Tinctu'!D7556</f>
        <v>0</v>
      </c>
      <c r="AB7555" s="117">
        <f t="shared" si="120"/>
        <v>0</v>
      </c>
      <c r="AC7555" s="117" t="str">
        <f>IF(AB7555=1,COUNTIF($AB$3:AB7555,1),"")</f>
        <v/>
      </c>
      <c r="AD7555" s="117" t="str">
        <f>IFERROR(INDEX($AA$3:$AA$10000,MATCH(ROWS($AC$3:AC7555),$AC$3:$AC$10000,0)),"")</f>
        <v/>
      </c>
    </row>
    <row r="7556" spans="27:30">
      <c r="AA7556" s="117">
        <f>+'Ingredient List - Mother Tinctu'!D7557</f>
        <v>0</v>
      </c>
      <c r="AB7556" s="117">
        <f t="shared" ref="AB7556:AB7619" si="121">--ISNUMBER(IFERROR(SEARCH($D$3,AA7556,1),""))</f>
        <v>0</v>
      </c>
      <c r="AC7556" s="117" t="str">
        <f>IF(AB7556=1,COUNTIF($AB$3:AB7556,1),"")</f>
        <v/>
      </c>
      <c r="AD7556" s="117" t="str">
        <f>IFERROR(INDEX($AA$3:$AA$10000,MATCH(ROWS($AC$3:AC7556),$AC$3:$AC$10000,0)),"")</f>
        <v/>
      </c>
    </row>
    <row r="7557" spans="27:30">
      <c r="AA7557" s="117">
        <f>+'Ingredient List - Mother Tinctu'!D7558</f>
        <v>0</v>
      </c>
      <c r="AB7557" s="117">
        <f t="shared" si="121"/>
        <v>0</v>
      </c>
      <c r="AC7557" s="117" t="str">
        <f>IF(AB7557=1,COUNTIF($AB$3:AB7557,1),"")</f>
        <v/>
      </c>
      <c r="AD7557" s="117" t="str">
        <f>IFERROR(INDEX($AA$3:$AA$10000,MATCH(ROWS($AC$3:AC7557),$AC$3:$AC$10000,0)),"")</f>
        <v/>
      </c>
    </row>
    <row r="7558" spans="27:30">
      <c r="AA7558" s="117">
        <f>+'Ingredient List - Mother Tinctu'!D7559</f>
        <v>0</v>
      </c>
      <c r="AB7558" s="117">
        <f t="shared" si="121"/>
        <v>0</v>
      </c>
      <c r="AC7558" s="117" t="str">
        <f>IF(AB7558=1,COUNTIF($AB$3:AB7558,1),"")</f>
        <v/>
      </c>
      <c r="AD7558" s="117" t="str">
        <f>IFERROR(INDEX($AA$3:$AA$10000,MATCH(ROWS($AC$3:AC7558),$AC$3:$AC$10000,0)),"")</f>
        <v/>
      </c>
    </row>
    <row r="7559" spans="27:30">
      <c r="AA7559" s="117">
        <f>+'Ingredient List - Mother Tinctu'!D7560</f>
        <v>0</v>
      </c>
      <c r="AB7559" s="117">
        <f t="shared" si="121"/>
        <v>0</v>
      </c>
      <c r="AC7559" s="117" t="str">
        <f>IF(AB7559=1,COUNTIF($AB$3:AB7559,1),"")</f>
        <v/>
      </c>
      <c r="AD7559" s="117" t="str">
        <f>IFERROR(INDEX($AA$3:$AA$10000,MATCH(ROWS($AC$3:AC7559),$AC$3:$AC$10000,0)),"")</f>
        <v/>
      </c>
    </row>
    <row r="7560" spans="27:30">
      <c r="AA7560" s="117">
        <f>+'Ingredient List - Mother Tinctu'!D7561</f>
        <v>0</v>
      </c>
      <c r="AB7560" s="117">
        <f t="shared" si="121"/>
        <v>0</v>
      </c>
      <c r="AC7560" s="117" t="str">
        <f>IF(AB7560=1,COUNTIF($AB$3:AB7560,1),"")</f>
        <v/>
      </c>
      <c r="AD7560" s="117" t="str">
        <f>IFERROR(INDEX($AA$3:$AA$10000,MATCH(ROWS($AC$3:AC7560),$AC$3:$AC$10000,0)),"")</f>
        <v/>
      </c>
    </row>
    <row r="7561" spans="27:30">
      <c r="AA7561" s="117">
        <f>+'Ingredient List - Mother Tinctu'!D7562</f>
        <v>0</v>
      </c>
      <c r="AB7561" s="117">
        <f t="shared" si="121"/>
        <v>0</v>
      </c>
      <c r="AC7561" s="117" t="str">
        <f>IF(AB7561=1,COUNTIF($AB$3:AB7561,1),"")</f>
        <v/>
      </c>
      <c r="AD7561" s="117" t="str">
        <f>IFERROR(INDEX($AA$3:$AA$10000,MATCH(ROWS($AC$3:AC7561),$AC$3:$AC$10000,0)),"")</f>
        <v/>
      </c>
    </row>
    <row r="7562" spans="27:30">
      <c r="AA7562" s="117">
        <f>+'Ingredient List - Mother Tinctu'!D7563</f>
        <v>0</v>
      </c>
      <c r="AB7562" s="117">
        <f t="shared" si="121"/>
        <v>0</v>
      </c>
      <c r="AC7562" s="117" t="str">
        <f>IF(AB7562=1,COUNTIF($AB$3:AB7562,1),"")</f>
        <v/>
      </c>
      <c r="AD7562" s="117" t="str">
        <f>IFERROR(INDEX($AA$3:$AA$10000,MATCH(ROWS($AC$3:AC7562),$AC$3:$AC$10000,0)),"")</f>
        <v/>
      </c>
    </row>
    <row r="7563" spans="27:30">
      <c r="AA7563" s="117">
        <f>+'Ingredient List - Mother Tinctu'!D7564</f>
        <v>0</v>
      </c>
      <c r="AB7563" s="117">
        <f t="shared" si="121"/>
        <v>0</v>
      </c>
      <c r="AC7563" s="117" t="str">
        <f>IF(AB7563=1,COUNTIF($AB$3:AB7563,1),"")</f>
        <v/>
      </c>
      <c r="AD7563" s="117" t="str">
        <f>IFERROR(INDEX($AA$3:$AA$10000,MATCH(ROWS($AC$3:AC7563),$AC$3:$AC$10000,0)),"")</f>
        <v/>
      </c>
    </row>
    <row r="7564" spans="27:30">
      <c r="AA7564" s="117">
        <f>+'Ingredient List - Mother Tinctu'!D7565</f>
        <v>0</v>
      </c>
      <c r="AB7564" s="117">
        <f t="shared" si="121"/>
        <v>0</v>
      </c>
      <c r="AC7564" s="117" t="str">
        <f>IF(AB7564=1,COUNTIF($AB$3:AB7564,1),"")</f>
        <v/>
      </c>
      <c r="AD7564" s="117" t="str">
        <f>IFERROR(INDEX($AA$3:$AA$10000,MATCH(ROWS($AC$3:AC7564),$AC$3:$AC$10000,0)),"")</f>
        <v/>
      </c>
    </row>
    <row r="7565" spans="27:30">
      <c r="AA7565" s="117">
        <f>+'Ingredient List - Mother Tinctu'!D7566</f>
        <v>0</v>
      </c>
      <c r="AB7565" s="117">
        <f t="shared" si="121"/>
        <v>0</v>
      </c>
      <c r="AC7565" s="117" t="str">
        <f>IF(AB7565=1,COUNTIF($AB$3:AB7565,1),"")</f>
        <v/>
      </c>
      <c r="AD7565" s="117" t="str">
        <f>IFERROR(INDEX($AA$3:$AA$10000,MATCH(ROWS($AC$3:AC7565),$AC$3:$AC$10000,0)),"")</f>
        <v/>
      </c>
    </row>
    <row r="7566" spans="27:30">
      <c r="AA7566" s="117">
        <f>+'Ingredient List - Mother Tinctu'!D7567</f>
        <v>0</v>
      </c>
      <c r="AB7566" s="117">
        <f t="shared" si="121"/>
        <v>0</v>
      </c>
      <c r="AC7566" s="117" t="str">
        <f>IF(AB7566=1,COUNTIF($AB$3:AB7566,1),"")</f>
        <v/>
      </c>
      <c r="AD7566" s="117" t="str">
        <f>IFERROR(INDEX($AA$3:$AA$10000,MATCH(ROWS($AC$3:AC7566),$AC$3:$AC$10000,0)),"")</f>
        <v/>
      </c>
    </row>
    <row r="7567" spans="27:30">
      <c r="AA7567" s="117">
        <f>+'Ingredient List - Mother Tinctu'!D7568</f>
        <v>0</v>
      </c>
      <c r="AB7567" s="117">
        <f t="shared" si="121"/>
        <v>0</v>
      </c>
      <c r="AC7567" s="117" t="str">
        <f>IF(AB7567=1,COUNTIF($AB$3:AB7567,1),"")</f>
        <v/>
      </c>
      <c r="AD7567" s="117" t="str">
        <f>IFERROR(INDEX($AA$3:$AA$10000,MATCH(ROWS($AC$3:AC7567),$AC$3:$AC$10000,0)),"")</f>
        <v/>
      </c>
    </row>
    <row r="7568" spans="27:30">
      <c r="AA7568" s="117">
        <f>+'Ingredient List - Mother Tinctu'!D7569</f>
        <v>0</v>
      </c>
      <c r="AB7568" s="117">
        <f t="shared" si="121"/>
        <v>0</v>
      </c>
      <c r="AC7568" s="117" t="str">
        <f>IF(AB7568=1,COUNTIF($AB$3:AB7568,1),"")</f>
        <v/>
      </c>
      <c r="AD7568" s="117" t="str">
        <f>IFERROR(INDEX($AA$3:$AA$10000,MATCH(ROWS($AC$3:AC7568),$AC$3:$AC$10000,0)),"")</f>
        <v/>
      </c>
    </row>
    <row r="7569" spans="27:30">
      <c r="AA7569" s="117">
        <f>+'Ingredient List - Mother Tinctu'!D7570</f>
        <v>0</v>
      </c>
      <c r="AB7569" s="117">
        <f t="shared" si="121"/>
        <v>0</v>
      </c>
      <c r="AC7569" s="117" t="str">
        <f>IF(AB7569=1,COUNTIF($AB$3:AB7569,1),"")</f>
        <v/>
      </c>
      <c r="AD7569" s="117" t="str">
        <f>IFERROR(INDEX($AA$3:$AA$10000,MATCH(ROWS($AC$3:AC7569),$AC$3:$AC$10000,0)),"")</f>
        <v/>
      </c>
    </row>
    <row r="7570" spans="27:30">
      <c r="AA7570" s="117">
        <f>+'Ingredient List - Mother Tinctu'!D7571</f>
        <v>0</v>
      </c>
      <c r="AB7570" s="117">
        <f t="shared" si="121"/>
        <v>0</v>
      </c>
      <c r="AC7570" s="117" t="str">
        <f>IF(AB7570=1,COUNTIF($AB$3:AB7570,1),"")</f>
        <v/>
      </c>
      <c r="AD7570" s="117" t="str">
        <f>IFERROR(INDEX($AA$3:$AA$10000,MATCH(ROWS($AC$3:AC7570),$AC$3:$AC$10000,0)),"")</f>
        <v/>
      </c>
    </row>
    <row r="7571" spans="27:30">
      <c r="AA7571" s="117">
        <f>+'Ingredient List - Mother Tinctu'!D7572</f>
        <v>0</v>
      </c>
      <c r="AB7571" s="117">
        <f t="shared" si="121"/>
        <v>0</v>
      </c>
      <c r="AC7571" s="117" t="str">
        <f>IF(AB7571=1,COUNTIF($AB$3:AB7571,1),"")</f>
        <v/>
      </c>
      <c r="AD7571" s="117" t="str">
        <f>IFERROR(INDEX($AA$3:$AA$10000,MATCH(ROWS($AC$3:AC7571),$AC$3:$AC$10000,0)),"")</f>
        <v/>
      </c>
    </row>
    <row r="7572" spans="27:30">
      <c r="AA7572" s="117">
        <f>+'Ingredient List - Mother Tinctu'!D7573</f>
        <v>0</v>
      </c>
      <c r="AB7572" s="117">
        <f t="shared" si="121"/>
        <v>0</v>
      </c>
      <c r="AC7572" s="117" t="str">
        <f>IF(AB7572=1,COUNTIF($AB$3:AB7572,1),"")</f>
        <v/>
      </c>
      <c r="AD7572" s="117" t="str">
        <f>IFERROR(INDEX($AA$3:$AA$10000,MATCH(ROWS($AC$3:AC7572),$AC$3:$AC$10000,0)),"")</f>
        <v/>
      </c>
    </row>
    <row r="7573" spans="27:30">
      <c r="AA7573" s="117">
        <f>+'Ingredient List - Mother Tinctu'!D7574</f>
        <v>0</v>
      </c>
      <c r="AB7573" s="117">
        <f t="shared" si="121"/>
        <v>0</v>
      </c>
      <c r="AC7573" s="117" t="str">
        <f>IF(AB7573=1,COUNTIF($AB$3:AB7573,1),"")</f>
        <v/>
      </c>
      <c r="AD7573" s="117" t="str">
        <f>IFERROR(INDEX($AA$3:$AA$10000,MATCH(ROWS($AC$3:AC7573),$AC$3:$AC$10000,0)),"")</f>
        <v/>
      </c>
    </row>
    <row r="7574" spans="27:30">
      <c r="AA7574" s="117">
        <f>+'Ingredient List - Mother Tinctu'!D7575</f>
        <v>0</v>
      </c>
      <c r="AB7574" s="117">
        <f t="shared" si="121"/>
        <v>0</v>
      </c>
      <c r="AC7574" s="117" t="str">
        <f>IF(AB7574=1,COUNTIF($AB$3:AB7574,1),"")</f>
        <v/>
      </c>
      <c r="AD7574" s="117" t="str">
        <f>IFERROR(INDEX($AA$3:$AA$10000,MATCH(ROWS($AC$3:AC7574),$AC$3:$AC$10000,0)),"")</f>
        <v/>
      </c>
    </row>
    <row r="7575" spans="27:30">
      <c r="AA7575" s="117">
        <f>+'Ingredient List - Mother Tinctu'!D7576</f>
        <v>0</v>
      </c>
      <c r="AB7575" s="117">
        <f t="shared" si="121"/>
        <v>0</v>
      </c>
      <c r="AC7575" s="117" t="str">
        <f>IF(AB7575=1,COUNTIF($AB$3:AB7575,1),"")</f>
        <v/>
      </c>
      <c r="AD7575" s="117" t="str">
        <f>IFERROR(INDEX($AA$3:$AA$10000,MATCH(ROWS($AC$3:AC7575),$AC$3:$AC$10000,0)),"")</f>
        <v/>
      </c>
    </row>
    <row r="7576" spans="27:30">
      <c r="AA7576" s="117">
        <f>+'Ingredient List - Mother Tinctu'!D7577</f>
        <v>0</v>
      </c>
      <c r="AB7576" s="117">
        <f t="shared" si="121"/>
        <v>0</v>
      </c>
      <c r="AC7576" s="117" t="str">
        <f>IF(AB7576=1,COUNTIF($AB$3:AB7576,1),"")</f>
        <v/>
      </c>
      <c r="AD7576" s="117" t="str">
        <f>IFERROR(INDEX($AA$3:$AA$10000,MATCH(ROWS($AC$3:AC7576),$AC$3:$AC$10000,0)),"")</f>
        <v/>
      </c>
    </row>
    <row r="7577" spans="27:30">
      <c r="AA7577" s="117">
        <f>+'Ingredient List - Mother Tinctu'!D7578</f>
        <v>0</v>
      </c>
      <c r="AB7577" s="117">
        <f t="shared" si="121"/>
        <v>0</v>
      </c>
      <c r="AC7577" s="117" t="str">
        <f>IF(AB7577=1,COUNTIF($AB$3:AB7577,1),"")</f>
        <v/>
      </c>
      <c r="AD7577" s="117" t="str">
        <f>IFERROR(INDEX($AA$3:$AA$10000,MATCH(ROWS($AC$3:AC7577),$AC$3:$AC$10000,0)),"")</f>
        <v/>
      </c>
    </row>
    <row r="7578" spans="27:30">
      <c r="AA7578" s="117">
        <f>+'Ingredient List - Mother Tinctu'!D7579</f>
        <v>0</v>
      </c>
      <c r="AB7578" s="117">
        <f t="shared" si="121"/>
        <v>0</v>
      </c>
      <c r="AC7578" s="117" t="str">
        <f>IF(AB7578=1,COUNTIF($AB$3:AB7578,1),"")</f>
        <v/>
      </c>
      <c r="AD7578" s="117" t="str">
        <f>IFERROR(INDEX($AA$3:$AA$10000,MATCH(ROWS($AC$3:AC7578),$AC$3:$AC$10000,0)),"")</f>
        <v/>
      </c>
    </row>
    <row r="7579" spans="27:30">
      <c r="AA7579" s="117">
        <f>+'Ingredient List - Mother Tinctu'!D7580</f>
        <v>0</v>
      </c>
      <c r="AB7579" s="117">
        <f t="shared" si="121"/>
        <v>0</v>
      </c>
      <c r="AC7579" s="117" t="str">
        <f>IF(AB7579=1,COUNTIF($AB$3:AB7579,1),"")</f>
        <v/>
      </c>
      <c r="AD7579" s="117" t="str">
        <f>IFERROR(INDEX($AA$3:$AA$10000,MATCH(ROWS($AC$3:AC7579),$AC$3:$AC$10000,0)),"")</f>
        <v/>
      </c>
    </row>
    <row r="7580" spans="27:30">
      <c r="AA7580" s="117">
        <f>+'Ingredient List - Mother Tinctu'!D7581</f>
        <v>0</v>
      </c>
      <c r="AB7580" s="117">
        <f t="shared" si="121"/>
        <v>0</v>
      </c>
      <c r="AC7580" s="117" t="str">
        <f>IF(AB7580=1,COUNTIF($AB$3:AB7580,1),"")</f>
        <v/>
      </c>
      <c r="AD7580" s="117" t="str">
        <f>IFERROR(INDEX($AA$3:$AA$10000,MATCH(ROWS($AC$3:AC7580),$AC$3:$AC$10000,0)),"")</f>
        <v/>
      </c>
    </row>
    <row r="7581" spans="27:30">
      <c r="AA7581" s="117">
        <f>+'Ingredient List - Mother Tinctu'!D7582</f>
        <v>0</v>
      </c>
      <c r="AB7581" s="117">
        <f t="shared" si="121"/>
        <v>0</v>
      </c>
      <c r="AC7581" s="117" t="str">
        <f>IF(AB7581=1,COUNTIF($AB$3:AB7581,1),"")</f>
        <v/>
      </c>
      <c r="AD7581" s="117" t="str">
        <f>IFERROR(INDEX($AA$3:$AA$10000,MATCH(ROWS($AC$3:AC7581),$AC$3:$AC$10000,0)),"")</f>
        <v/>
      </c>
    </row>
    <row r="7582" spans="27:30">
      <c r="AA7582" s="117">
        <f>+'Ingredient List - Mother Tinctu'!D7583</f>
        <v>0</v>
      </c>
      <c r="AB7582" s="117">
        <f t="shared" si="121"/>
        <v>0</v>
      </c>
      <c r="AC7582" s="117" t="str">
        <f>IF(AB7582=1,COUNTIF($AB$3:AB7582,1),"")</f>
        <v/>
      </c>
      <c r="AD7582" s="117" t="str">
        <f>IFERROR(INDEX($AA$3:$AA$10000,MATCH(ROWS($AC$3:AC7582),$AC$3:$AC$10000,0)),"")</f>
        <v/>
      </c>
    </row>
    <row r="7583" spans="27:30">
      <c r="AA7583" s="117">
        <f>+'Ingredient List - Mother Tinctu'!D7584</f>
        <v>0</v>
      </c>
      <c r="AB7583" s="117">
        <f t="shared" si="121"/>
        <v>0</v>
      </c>
      <c r="AC7583" s="117" t="str">
        <f>IF(AB7583=1,COUNTIF($AB$3:AB7583,1),"")</f>
        <v/>
      </c>
      <c r="AD7583" s="117" t="str">
        <f>IFERROR(INDEX($AA$3:$AA$10000,MATCH(ROWS($AC$3:AC7583),$AC$3:$AC$10000,0)),"")</f>
        <v/>
      </c>
    </row>
    <row r="7584" spans="27:30">
      <c r="AA7584" s="117">
        <f>+'Ingredient List - Mother Tinctu'!D7585</f>
        <v>0</v>
      </c>
      <c r="AB7584" s="117">
        <f t="shared" si="121"/>
        <v>0</v>
      </c>
      <c r="AC7584" s="117" t="str">
        <f>IF(AB7584=1,COUNTIF($AB$3:AB7584,1),"")</f>
        <v/>
      </c>
      <c r="AD7584" s="117" t="str">
        <f>IFERROR(INDEX($AA$3:$AA$10000,MATCH(ROWS($AC$3:AC7584),$AC$3:$AC$10000,0)),"")</f>
        <v/>
      </c>
    </row>
    <row r="7585" spans="27:30">
      <c r="AA7585" s="117">
        <f>+'Ingredient List - Mother Tinctu'!D7586</f>
        <v>0</v>
      </c>
      <c r="AB7585" s="117">
        <f t="shared" si="121"/>
        <v>0</v>
      </c>
      <c r="AC7585" s="117" t="str">
        <f>IF(AB7585=1,COUNTIF($AB$3:AB7585,1),"")</f>
        <v/>
      </c>
      <c r="AD7585" s="117" t="str">
        <f>IFERROR(INDEX($AA$3:$AA$10000,MATCH(ROWS($AC$3:AC7585),$AC$3:$AC$10000,0)),"")</f>
        <v/>
      </c>
    </row>
    <row r="7586" spans="27:30">
      <c r="AA7586" s="117">
        <f>+'Ingredient List - Mother Tinctu'!D7587</f>
        <v>0</v>
      </c>
      <c r="AB7586" s="117">
        <f t="shared" si="121"/>
        <v>0</v>
      </c>
      <c r="AC7586" s="117" t="str">
        <f>IF(AB7586=1,COUNTIF($AB$3:AB7586,1),"")</f>
        <v/>
      </c>
      <c r="AD7586" s="117" t="str">
        <f>IFERROR(INDEX($AA$3:$AA$10000,MATCH(ROWS($AC$3:AC7586),$AC$3:$AC$10000,0)),"")</f>
        <v/>
      </c>
    </row>
    <row r="7587" spans="27:30">
      <c r="AA7587" s="117">
        <f>+'Ingredient List - Mother Tinctu'!D7588</f>
        <v>0</v>
      </c>
      <c r="AB7587" s="117">
        <f t="shared" si="121"/>
        <v>0</v>
      </c>
      <c r="AC7587" s="117" t="str">
        <f>IF(AB7587=1,COUNTIF($AB$3:AB7587,1),"")</f>
        <v/>
      </c>
      <c r="AD7587" s="117" t="str">
        <f>IFERROR(INDEX($AA$3:$AA$10000,MATCH(ROWS($AC$3:AC7587),$AC$3:$AC$10000,0)),"")</f>
        <v/>
      </c>
    </row>
    <row r="7588" spans="27:30">
      <c r="AA7588" s="117">
        <f>+'Ingredient List - Mother Tinctu'!D7589</f>
        <v>0</v>
      </c>
      <c r="AB7588" s="117">
        <f t="shared" si="121"/>
        <v>0</v>
      </c>
      <c r="AC7588" s="117" t="str">
        <f>IF(AB7588=1,COUNTIF($AB$3:AB7588,1),"")</f>
        <v/>
      </c>
      <c r="AD7588" s="117" t="str">
        <f>IFERROR(INDEX($AA$3:$AA$10000,MATCH(ROWS($AC$3:AC7588),$AC$3:$AC$10000,0)),"")</f>
        <v/>
      </c>
    </row>
    <row r="7589" spans="27:30">
      <c r="AA7589" s="117">
        <f>+'Ingredient List - Mother Tinctu'!D7590</f>
        <v>0</v>
      </c>
      <c r="AB7589" s="117">
        <f t="shared" si="121"/>
        <v>0</v>
      </c>
      <c r="AC7589" s="117" t="str">
        <f>IF(AB7589=1,COUNTIF($AB$3:AB7589,1),"")</f>
        <v/>
      </c>
      <c r="AD7589" s="117" t="str">
        <f>IFERROR(INDEX($AA$3:$AA$10000,MATCH(ROWS($AC$3:AC7589),$AC$3:$AC$10000,0)),"")</f>
        <v/>
      </c>
    </row>
    <row r="7590" spans="27:30">
      <c r="AA7590" s="117">
        <f>+'Ingredient List - Mother Tinctu'!D7591</f>
        <v>0</v>
      </c>
      <c r="AB7590" s="117">
        <f t="shared" si="121"/>
        <v>0</v>
      </c>
      <c r="AC7590" s="117" t="str">
        <f>IF(AB7590=1,COUNTIF($AB$3:AB7590,1),"")</f>
        <v/>
      </c>
      <c r="AD7590" s="117" t="str">
        <f>IFERROR(INDEX($AA$3:$AA$10000,MATCH(ROWS($AC$3:AC7590),$AC$3:$AC$10000,0)),"")</f>
        <v/>
      </c>
    </row>
    <row r="7591" spans="27:30">
      <c r="AA7591" s="117">
        <f>+'Ingredient List - Mother Tinctu'!D7592</f>
        <v>0</v>
      </c>
      <c r="AB7591" s="117">
        <f t="shared" si="121"/>
        <v>0</v>
      </c>
      <c r="AC7591" s="117" t="str">
        <f>IF(AB7591=1,COUNTIF($AB$3:AB7591,1),"")</f>
        <v/>
      </c>
      <c r="AD7591" s="117" t="str">
        <f>IFERROR(INDEX($AA$3:$AA$10000,MATCH(ROWS($AC$3:AC7591),$AC$3:$AC$10000,0)),"")</f>
        <v/>
      </c>
    </row>
    <row r="7592" spans="27:30">
      <c r="AA7592" s="117">
        <f>+'Ingredient List - Mother Tinctu'!D7593</f>
        <v>0</v>
      </c>
      <c r="AB7592" s="117">
        <f t="shared" si="121"/>
        <v>0</v>
      </c>
      <c r="AC7592" s="117" t="str">
        <f>IF(AB7592=1,COUNTIF($AB$3:AB7592,1),"")</f>
        <v/>
      </c>
      <c r="AD7592" s="117" t="str">
        <f>IFERROR(INDEX($AA$3:$AA$10000,MATCH(ROWS($AC$3:AC7592),$AC$3:$AC$10000,0)),"")</f>
        <v/>
      </c>
    </row>
    <row r="7593" spans="27:30">
      <c r="AA7593" s="117">
        <f>+'Ingredient List - Mother Tinctu'!D7594</f>
        <v>0</v>
      </c>
      <c r="AB7593" s="117">
        <f t="shared" si="121"/>
        <v>0</v>
      </c>
      <c r="AC7593" s="117" t="str">
        <f>IF(AB7593=1,COUNTIF($AB$3:AB7593,1),"")</f>
        <v/>
      </c>
      <c r="AD7593" s="117" t="str">
        <f>IFERROR(INDEX($AA$3:$AA$10000,MATCH(ROWS($AC$3:AC7593),$AC$3:$AC$10000,0)),"")</f>
        <v/>
      </c>
    </row>
    <row r="7594" spans="27:30">
      <c r="AA7594" s="117">
        <f>+'Ingredient List - Mother Tinctu'!D7595</f>
        <v>0</v>
      </c>
      <c r="AB7594" s="117">
        <f t="shared" si="121"/>
        <v>0</v>
      </c>
      <c r="AC7594" s="117" t="str">
        <f>IF(AB7594=1,COUNTIF($AB$3:AB7594,1),"")</f>
        <v/>
      </c>
      <c r="AD7594" s="117" t="str">
        <f>IFERROR(INDEX($AA$3:$AA$10000,MATCH(ROWS($AC$3:AC7594),$AC$3:$AC$10000,0)),"")</f>
        <v/>
      </c>
    </row>
    <row r="7595" spans="27:30">
      <c r="AA7595" s="117">
        <f>+'Ingredient List - Mother Tinctu'!D7596</f>
        <v>0</v>
      </c>
      <c r="AB7595" s="117">
        <f t="shared" si="121"/>
        <v>0</v>
      </c>
      <c r="AC7595" s="117" t="str">
        <f>IF(AB7595=1,COUNTIF($AB$3:AB7595,1),"")</f>
        <v/>
      </c>
      <c r="AD7595" s="117" t="str">
        <f>IFERROR(INDEX($AA$3:$AA$10000,MATCH(ROWS($AC$3:AC7595),$AC$3:$AC$10000,0)),"")</f>
        <v/>
      </c>
    </row>
    <row r="7596" spans="27:30">
      <c r="AA7596" s="117">
        <f>+'Ingredient List - Mother Tinctu'!D7597</f>
        <v>0</v>
      </c>
      <c r="AB7596" s="117">
        <f t="shared" si="121"/>
        <v>0</v>
      </c>
      <c r="AC7596" s="117" t="str">
        <f>IF(AB7596=1,COUNTIF($AB$3:AB7596,1),"")</f>
        <v/>
      </c>
      <c r="AD7596" s="117" t="str">
        <f>IFERROR(INDEX($AA$3:$AA$10000,MATCH(ROWS($AC$3:AC7596),$AC$3:$AC$10000,0)),"")</f>
        <v/>
      </c>
    </row>
    <row r="7597" spans="27:30">
      <c r="AA7597" s="117">
        <f>+'Ingredient List - Mother Tinctu'!D7598</f>
        <v>0</v>
      </c>
      <c r="AB7597" s="117">
        <f t="shared" si="121"/>
        <v>0</v>
      </c>
      <c r="AC7597" s="117" t="str">
        <f>IF(AB7597=1,COUNTIF($AB$3:AB7597,1),"")</f>
        <v/>
      </c>
      <c r="AD7597" s="117" t="str">
        <f>IFERROR(INDEX($AA$3:$AA$10000,MATCH(ROWS($AC$3:AC7597),$AC$3:$AC$10000,0)),"")</f>
        <v/>
      </c>
    </row>
    <row r="7598" spans="27:30">
      <c r="AA7598" s="117">
        <f>+'Ingredient List - Mother Tinctu'!D7599</f>
        <v>0</v>
      </c>
      <c r="AB7598" s="117">
        <f t="shared" si="121"/>
        <v>0</v>
      </c>
      <c r="AC7598" s="117" t="str">
        <f>IF(AB7598=1,COUNTIF($AB$3:AB7598,1),"")</f>
        <v/>
      </c>
      <c r="AD7598" s="117" t="str">
        <f>IFERROR(INDEX($AA$3:$AA$10000,MATCH(ROWS($AC$3:AC7598),$AC$3:$AC$10000,0)),"")</f>
        <v/>
      </c>
    </row>
    <row r="7599" spans="27:30">
      <c r="AA7599" s="117">
        <f>+'Ingredient List - Mother Tinctu'!D7600</f>
        <v>0</v>
      </c>
      <c r="AB7599" s="117">
        <f t="shared" si="121"/>
        <v>0</v>
      </c>
      <c r="AC7599" s="117" t="str">
        <f>IF(AB7599=1,COUNTIF($AB$3:AB7599,1),"")</f>
        <v/>
      </c>
      <c r="AD7599" s="117" t="str">
        <f>IFERROR(INDEX($AA$3:$AA$10000,MATCH(ROWS($AC$3:AC7599),$AC$3:$AC$10000,0)),"")</f>
        <v/>
      </c>
    </row>
    <row r="7600" spans="27:30">
      <c r="AA7600" s="117">
        <f>+'Ingredient List - Mother Tinctu'!D7601</f>
        <v>0</v>
      </c>
      <c r="AB7600" s="117">
        <f t="shared" si="121"/>
        <v>0</v>
      </c>
      <c r="AC7600" s="117" t="str">
        <f>IF(AB7600=1,COUNTIF($AB$3:AB7600,1),"")</f>
        <v/>
      </c>
      <c r="AD7600" s="117" t="str">
        <f>IFERROR(INDEX($AA$3:$AA$10000,MATCH(ROWS($AC$3:AC7600),$AC$3:$AC$10000,0)),"")</f>
        <v/>
      </c>
    </row>
    <row r="7601" spans="27:30">
      <c r="AA7601" s="117">
        <f>+'Ingredient List - Mother Tinctu'!D7602</f>
        <v>0</v>
      </c>
      <c r="AB7601" s="117">
        <f t="shared" si="121"/>
        <v>0</v>
      </c>
      <c r="AC7601" s="117" t="str">
        <f>IF(AB7601=1,COUNTIF($AB$3:AB7601,1),"")</f>
        <v/>
      </c>
      <c r="AD7601" s="117" t="str">
        <f>IFERROR(INDEX($AA$3:$AA$10000,MATCH(ROWS($AC$3:AC7601),$AC$3:$AC$10000,0)),"")</f>
        <v/>
      </c>
    </row>
    <row r="7602" spans="27:30">
      <c r="AA7602" s="117">
        <f>+'Ingredient List - Mother Tinctu'!D7603</f>
        <v>0</v>
      </c>
      <c r="AB7602" s="117">
        <f t="shared" si="121"/>
        <v>0</v>
      </c>
      <c r="AC7602" s="117" t="str">
        <f>IF(AB7602=1,COUNTIF($AB$3:AB7602,1),"")</f>
        <v/>
      </c>
      <c r="AD7602" s="117" t="str">
        <f>IFERROR(INDEX($AA$3:$AA$10000,MATCH(ROWS($AC$3:AC7602),$AC$3:$AC$10000,0)),"")</f>
        <v/>
      </c>
    </row>
    <row r="7603" spans="27:30">
      <c r="AA7603" s="117">
        <f>+'Ingredient List - Mother Tinctu'!D7604</f>
        <v>0</v>
      </c>
      <c r="AB7603" s="117">
        <f t="shared" si="121"/>
        <v>0</v>
      </c>
      <c r="AC7603" s="117" t="str">
        <f>IF(AB7603=1,COUNTIF($AB$3:AB7603,1),"")</f>
        <v/>
      </c>
      <c r="AD7603" s="117" t="str">
        <f>IFERROR(INDEX($AA$3:$AA$10000,MATCH(ROWS($AC$3:AC7603),$AC$3:$AC$10000,0)),"")</f>
        <v/>
      </c>
    </row>
    <row r="7604" spans="27:30">
      <c r="AA7604" s="117">
        <f>+'Ingredient List - Mother Tinctu'!D7605</f>
        <v>0</v>
      </c>
      <c r="AB7604" s="117">
        <f t="shared" si="121"/>
        <v>0</v>
      </c>
      <c r="AC7604" s="117" t="str">
        <f>IF(AB7604=1,COUNTIF($AB$3:AB7604,1),"")</f>
        <v/>
      </c>
      <c r="AD7604" s="117" t="str">
        <f>IFERROR(INDEX($AA$3:$AA$10000,MATCH(ROWS($AC$3:AC7604),$AC$3:$AC$10000,0)),"")</f>
        <v/>
      </c>
    </row>
    <row r="7605" spans="27:30">
      <c r="AA7605" s="117">
        <f>+'Ingredient List - Mother Tinctu'!D7606</f>
        <v>0</v>
      </c>
      <c r="AB7605" s="117">
        <f t="shared" si="121"/>
        <v>0</v>
      </c>
      <c r="AC7605" s="117" t="str">
        <f>IF(AB7605=1,COUNTIF($AB$3:AB7605,1),"")</f>
        <v/>
      </c>
      <c r="AD7605" s="117" t="str">
        <f>IFERROR(INDEX($AA$3:$AA$10000,MATCH(ROWS($AC$3:AC7605),$AC$3:$AC$10000,0)),"")</f>
        <v/>
      </c>
    </row>
    <row r="7606" spans="27:30">
      <c r="AA7606" s="117">
        <f>+'Ingredient List - Mother Tinctu'!D7607</f>
        <v>0</v>
      </c>
      <c r="AB7606" s="117">
        <f t="shared" si="121"/>
        <v>0</v>
      </c>
      <c r="AC7606" s="117" t="str">
        <f>IF(AB7606=1,COUNTIF($AB$3:AB7606,1),"")</f>
        <v/>
      </c>
      <c r="AD7606" s="117" t="str">
        <f>IFERROR(INDEX($AA$3:$AA$10000,MATCH(ROWS($AC$3:AC7606),$AC$3:$AC$10000,0)),"")</f>
        <v/>
      </c>
    </row>
    <row r="7607" spans="27:30">
      <c r="AA7607" s="117">
        <f>+'Ingredient List - Mother Tinctu'!D7608</f>
        <v>0</v>
      </c>
      <c r="AB7607" s="117">
        <f t="shared" si="121"/>
        <v>0</v>
      </c>
      <c r="AC7607" s="117" t="str">
        <f>IF(AB7607=1,COUNTIF($AB$3:AB7607,1),"")</f>
        <v/>
      </c>
      <c r="AD7607" s="117" t="str">
        <f>IFERROR(INDEX($AA$3:$AA$10000,MATCH(ROWS($AC$3:AC7607),$AC$3:$AC$10000,0)),"")</f>
        <v/>
      </c>
    </row>
    <row r="7608" spans="27:30">
      <c r="AA7608" s="117">
        <f>+'Ingredient List - Mother Tinctu'!D7609</f>
        <v>0</v>
      </c>
      <c r="AB7608" s="117">
        <f t="shared" si="121"/>
        <v>0</v>
      </c>
      <c r="AC7608" s="117" t="str">
        <f>IF(AB7608=1,COUNTIF($AB$3:AB7608,1),"")</f>
        <v/>
      </c>
      <c r="AD7608" s="117" t="str">
        <f>IFERROR(INDEX($AA$3:$AA$10000,MATCH(ROWS($AC$3:AC7608),$AC$3:$AC$10000,0)),"")</f>
        <v/>
      </c>
    </row>
    <row r="7609" spans="27:30">
      <c r="AA7609" s="117">
        <f>+'Ingredient List - Mother Tinctu'!D7610</f>
        <v>0</v>
      </c>
      <c r="AB7609" s="117">
        <f t="shared" si="121"/>
        <v>0</v>
      </c>
      <c r="AC7609" s="117" t="str">
        <f>IF(AB7609=1,COUNTIF($AB$3:AB7609,1),"")</f>
        <v/>
      </c>
      <c r="AD7609" s="117" t="str">
        <f>IFERROR(INDEX($AA$3:$AA$10000,MATCH(ROWS($AC$3:AC7609),$AC$3:$AC$10000,0)),"")</f>
        <v/>
      </c>
    </row>
    <row r="7610" spans="27:30">
      <c r="AA7610" s="117">
        <f>+'Ingredient List - Mother Tinctu'!D7611</f>
        <v>0</v>
      </c>
      <c r="AB7610" s="117">
        <f t="shared" si="121"/>
        <v>0</v>
      </c>
      <c r="AC7610" s="117" t="str">
        <f>IF(AB7610=1,COUNTIF($AB$3:AB7610,1),"")</f>
        <v/>
      </c>
      <c r="AD7610" s="117" t="str">
        <f>IFERROR(INDEX($AA$3:$AA$10000,MATCH(ROWS($AC$3:AC7610),$AC$3:$AC$10000,0)),"")</f>
        <v/>
      </c>
    </row>
    <row r="7611" spans="27:30">
      <c r="AA7611" s="117">
        <f>+'Ingredient List - Mother Tinctu'!D7612</f>
        <v>0</v>
      </c>
      <c r="AB7611" s="117">
        <f t="shared" si="121"/>
        <v>0</v>
      </c>
      <c r="AC7611" s="117" t="str">
        <f>IF(AB7611=1,COUNTIF($AB$3:AB7611,1),"")</f>
        <v/>
      </c>
      <c r="AD7611" s="117" t="str">
        <f>IFERROR(INDEX($AA$3:$AA$10000,MATCH(ROWS($AC$3:AC7611),$AC$3:$AC$10000,0)),"")</f>
        <v/>
      </c>
    </row>
    <row r="7612" spans="27:30">
      <c r="AA7612" s="117">
        <f>+'Ingredient List - Mother Tinctu'!D7613</f>
        <v>0</v>
      </c>
      <c r="AB7612" s="117">
        <f t="shared" si="121"/>
        <v>0</v>
      </c>
      <c r="AC7612" s="117" t="str">
        <f>IF(AB7612=1,COUNTIF($AB$3:AB7612,1),"")</f>
        <v/>
      </c>
      <c r="AD7612" s="117" t="str">
        <f>IFERROR(INDEX($AA$3:$AA$10000,MATCH(ROWS($AC$3:AC7612),$AC$3:$AC$10000,0)),"")</f>
        <v/>
      </c>
    </row>
    <row r="7613" spans="27:30">
      <c r="AA7613" s="117">
        <f>+'Ingredient List - Mother Tinctu'!D7614</f>
        <v>0</v>
      </c>
      <c r="AB7613" s="117">
        <f t="shared" si="121"/>
        <v>0</v>
      </c>
      <c r="AC7613" s="117" t="str">
        <f>IF(AB7613=1,COUNTIF($AB$3:AB7613,1),"")</f>
        <v/>
      </c>
      <c r="AD7613" s="117" t="str">
        <f>IFERROR(INDEX($AA$3:$AA$10000,MATCH(ROWS($AC$3:AC7613),$AC$3:$AC$10000,0)),"")</f>
        <v/>
      </c>
    </row>
    <row r="7614" spans="27:30">
      <c r="AA7614" s="117">
        <f>+'Ingredient List - Mother Tinctu'!D7615</f>
        <v>0</v>
      </c>
      <c r="AB7614" s="117">
        <f t="shared" si="121"/>
        <v>0</v>
      </c>
      <c r="AC7614" s="117" t="str">
        <f>IF(AB7614=1,COUNTIF($AB$3:AB7614,1),"")</f>
        <v/>
      </c>
      <c r="AD7614" s="117" t="str">
        <f>IFERROR(INDEX($AA$3:$AA$10000,MATCH(ROWS($AC$3:AC7614),$AC$3:$AC$10000,0)),"")</f>
        <v/>
      </c>
    </row>
    <row r="7615" spans="27:30">
      <c r="AA7615" s="117">
        <f>+'Ingredient List - Mother Tinctu'!D7616</f>
        <v>0</v>
      </c>
      <c r="AB7615" s="117">
        <f t="shared" si="121"/>
        <v>0</v>
      </c>
      <c r="AC7615" s="117" t="str">
        <f>IF(AB7615=1,COUNTIF($AB$3:AB7615,1),"")</f>
        <v/>
      </c>
      <c r="AD7615" s="117" t="str">
        <f>IFERROR(INDEX($AA$3:$AA$10000,MATCH(ROWS($AC$3:AC7615),$AC$3:$AC$10000,0)),"")</f>
        <v/>
      </c>
    </row>
    <row r="7616" spans="27:30">
      <c r="AA7616" s="117">
        <f>+'Ingredient List - Mother Tinctu'!D7617</f>
        <v>0</v>
      </c>
      <c r="AB7616" s="117">
        <f t="shared" si="121"/>
        <v>0</v>
      </c>
      <c r="AC7616" s="117" t="str">
        <f>IF(AB7616=1,COUNTIF($AB$3:AB7616,1),"")</f>
        <v/>
      </c>
      <c r="AD7616" s="117" t="str">
        <f>IFERROR(INDEX($AA$3:$AA$10000,MATCH(ROWS($AC$3:AC7616),$AC$3:$AC$10000,0)),"")</f>
        <v/>
      </c>
    </row>
    <row r="7617" spans="27:30">
      <c r="AA7617" s="117">
        <f>+'Ingredient List - Mother Tinctu'!D7618</f>
        <v>0</v>
      </c>
      <c r="AB7617" s="117">
        <f t="shared" si="121"/>
        <v>0</v>
      </c>
      <c r="AC7617" s="117" t="str">
        <f>IF(AB7617=1,COUNTIF($AB$3:AB7617,1),"")</f>
        <v/>
      </c>
      <c r="AD7617" s="117" t="str">
        <f>IFERROR(INDEX($AA$3:$AA$10000,MATCH(ROWS($AC$3:AC7617),$AC$3:$AC$10000,0)),"")</f>
        <v/>
      </c>
    </row>
    <row r="7618" spans="27:30">
      <c r="AA7618" s="117">
        <f>+'Ingredient List - Mother Tinctu'!D7619</f>
        <v>0</v>
      </c>
      <c r="AB7618" s="117">
        <f t="shared" si="121"/>
        <v>0</v>
      </c>
      <c r="AC7618" s="117" t="str">
        <f>IF(AB7618=1,COUNTIF($AB$3:AB7618,1),"")</f>
        <v/>
      </c>
      <c r="AD7618" s="117" t="str">
        <f>IFERROR(INDEX($AA$3:$AA$10000,MATCH(ROWS($AC$3:AC7618),$AC$3:$AC$10000,0)),"")</f>
        <v/>
      </c>
    </row>
    <row r="7619" spans="27:30">
      <c r="AA7619" s="117">
        <f>+'Ingredient List - Mother Tinctu'!D7620</f>
        <v>0</v>
      </c>
      <c r="AB7619" s="117">
        <f t="shared" si="121"/>
        <v>0</v>
      </c>
      <c r="AC7619" s="117" t="str">
        <f>IF(AB7619=1,COUNTIF($AB$3:AB7619,1),"")</f>
        <v/>
      </c>
      <c r="AD7619" s="117" t="str">
        <f>IFERROR(INDEX($AA$3:$AA$10000,MATCH(ROWS($AC$3:AC7619),$AC$3:$AC$10000,0)),"")</f>
        <v/>
      </c>
    </row>
    <row r="7620" spans="27:30">
      <c r="AA7620" s="117">
        <f>+'Ingredient List - Mother Tinctu'!D7621</f>
        <v>0</v>
      </c>
      <c r="AB7620" s="117">
        <f t="shared" ref="AB7620:AB7683" si="122">--ISNUMBER(IFERROR(SEARCH($D$3,AA7620,1),""))</f>
        <v>0</v>
      </c>
      <c r="AC7620" s="117" t="str">
        <f>IF(AB7620=1,COUNTIF($AB$3:AB7620,1),"")</f>
        <v/>
      </c>
      <c r="AD7620" s="117" t="str">
        <f>IFERROR(INDEX($AA$3:$AA$10000,MATCH(ROWS($AC$3:AC7620),$AC$3:$AC$10000,0)),"")</f>
        <v/>
      </c>
    </row>
    <row r="7621" spans="27:30">
      <c r="AA7621" s="117">
        <f>+'Ingredient List - Mother Tinctu'!D7622</f>
        <v>0</v>
      </c>
      <c r="AB7621" s="117">
        <f t="shared" si="122"/>
        <v>0</v>
      </c>
      <c r="AC7621" s="117" t="str">
        <f>IF(AB7621=1,COUNTIF($AB$3:AB7621,1),"")</f>
        <v/>
      </c>
      <c r="AD7621" s="117" t="str">
        <f>IFERROR(INDEX($AA$3:$AA$10000,MATCH(ROWS($AC$3:AC7621),$AC$3:$AC$10000,0)),"")</f>
        <v/>
      </c>
    </row>
    <row r="7622" spans="27:30">
      <c r="AA7622" s="117">
        <f>+'Ingredient List - Mother Tinctu'!D7623</f>
        <v>0</v>
      </c>
      <c r="AB7622" s="117">
        <f t="shared" si="122"/>
        <v>0</v>
      </c>
      <c r="AC7622" s="117" t="str">
        <f>IF(AB7622=1,COUNTIF($AB$3:AB7622,1),"")</f>
        <v/>
      </c>
      <c r="AD7622" s="117" t="str">
        <f>IFERROR(INDEX($AA$3:$AA$10000,MATCH(ROWS($AC$3:AC7622),$AC$3:$AC$10000,0)),"")</f>
        <v/>
      </c>
    </row>
    <row r="7623" spans="27:30">
      <c r="AA7623" s="117">
        <f>+'Ingredient List - Mother Tinctu'!D7624</f>
        <v>0</v>
      </c>
      <c r="AB7623" s="117">
        <f t="shared" si="122"/>
        <v>0</v>
      </c>
      <c r="AC7623" s="117" t="str">
        <f>IF(AB7623=1,COUNTIF($AB$3:AB7623,1),"")</f>
        <v/>
      </c>
      <c r="AD7623" s="117" t="str">
        <f>IFERROR(INDEX($AA$3:$AA$10000,MATCH(ROWS($AC$3:AC7623),$AC$3:$AC$10000,0)),"")</f>
        <v/>
      </c>
    </row>
    <row r="7624" spans="27:30">
      <c r="AA7624" s="117">
        <f>+'Ingredient List - Mother Tinctu'!D7625</f>
        <v>0</v>
      </c>
      <c r="AB7624" s="117">
        <f t="shared" si="122"/>
        <v>0</v>
      </c>
      <c r="AC7624" s="117" t="str">
        <f>IF(AB7624=1,COUNTIF($AB$3:AB7624,1),"")</f>
        <v/>
      </c>
      <c r="AD7624" s="117" t="str">
        <f>IFERROR(INDEX($AA$3:$AA$10000,MATCH(ROWS($AC$3:AC7624),$AC$3:$AC$10000,0)),"")</f>
        <v/>
      </c>
    </row>
    <row r="7625" spans="27:30">
      <c r="AA7625" s="117">
        <f>+'Ingredient List - Mother Tinctu'!D7626</f>
        <v>0</v>
      </c>
      <c r="AB7625" s="117">
        <f t="shared" si="122"/>
        <v>0</v>
      </c>
      <c r="AC7625" s="117" t="str">
        <f>IF(AB7625=1,COUNTIF($AB$3:AB7625,1),"")</f>
        <v/>
      </c>
      <c r="AD7625" s="117" t="str">
        <f>IFERROR(INDEX($AA$3:$AA$10000,MATCH(ROWS($AC$3:AC7625),$AC$3:$AC$10000,0)),"")</f>
        <v/>
      </c>
    </row>
    <row r="7626" spans="27:30">
      <c r="AA7626" s="117">
        <f>+'Ingredient List - Mother Tinctu'!D7627</f>
        <v>0</v>
      </c>
      <c r="AB7626" s="117">
        <f t="shared" si="122"/>
        <v>0</v>
      </c>
      <c r="AC7626" s="117" t="str">
        <f>IF(AB7626=1,COUNTIF($AB$3:AB7626,1),"")</f>
        <v/>
      </c>
      <c r="AD7626" s="117" t="str">
        <f>IFERROR(INDEX($AA$3:$AA$10000,MATCH(ROWS($AC$3:AC7626),$AC$3:$AC$10000,0)),"")</f>
        <v/>
      </c>
    </row>
    <row r="7627" spans="27:30">
      <c r="AA7627" s="117">
        <f>+'Ingredient List - Mother Tinctu'!D7628</f>
        <v>0</v>
      </c>
      <c r="AB7627" s="117">
        <f t="shared" si="122"/>
        <v>0</v>
      </c>
      <c r="AC7627" s="117" t="str">
        <f>IF(AB7627=1,COUNTIF($AB$3:AB7627,1),"")</f>
        <v/>
      </c>
      <c r="AD7627" s="117" t="str">
        <f>IFERROR(INDEX($AA$3:$AA$10000,MATCH(ROWS($AC$3:AC7627),$AC$3:$AC$10000,0)),"")</f>
        <v/>
      </c>
    </row>
    <row r="7628" spans="27:30">
      <c r="AA7628" s="117">
        <f>+'Ingredient List - Mother Tinctu'!D7629</f>
        <v>0</v>
      </c>
      <c r="AB7628" s="117">
        <f t="shared" si="122"/>
        <v>0</v>
      </c>
      <c r="AC7628" s="117" t="str">
        <f>IF(AB7628=1,COUNTIF($AB$3:AB7628,1),"")</f>
        <v/>
      </c>
      <c r="AD7628" s="117" t="str">
        <f>IFERROR(INDEX($AA$3:$AA$10000,MATCH(ROWS($AC$3:AC7628),$AC$3:$AC$10000,0)),"")</f>
        <v/>
      </c>
    </row>
    <row r="7629" spans="27:30">
      <c r="AA7629" s="117">
        <f>+'Ingredient List - Mother Tinctu'!D7630</f>
        <v>0</v>
      </c>
      <c r="AB7629" s="117">
        <f t="shared" si="122"/>
        <v>0</v>
      </c>
      <c r="AC7629" s="117" t="str">
        <f>IF(AB7629=1,COUNTIF($AB$3:AB7629,1),"")</f>
        <v/>
      </c>
      <c r="AD7629" s="117" t="str">
        <f>IFERROR(INDEX($AA$3:$AA$10000,MATCH(ROWS($AC$3:AC7629),$AC$3:$AC$10000,0)),"")</f>
        <v/>
      </c>
    </row>
    <row r="7630" spans="27:30">
      <c r="AA7630" s="117">
        <f>+'Ingredient List - Mother Tinctu'!D7631</f>
        <v>0</v>
      </c>
      <c r="AB7630" s="117">
        <f t="shared" si="122"/>
        <v>0</v>
      </c>
      <c r="AC7630" s="117" t="str">
        <f>IF(AB7630=1,COUNTIF($AB$3:AB7630,1),"")</f>
        <v/>
      </c>
      <c r="AD7630" s="117" t="str">
        <f>IFERROR(INDEX($AA$3:$AA$10000,MATCH(ROWS($AC$3:AC7630),$AC$3:$AC$10000,0)),"")</f>
        <v/>
      </c>
    </row>
    <row r="7631" spans="27:30">
      <c r="AA7631" s="117">
        <f>+'Ingredient List - Mother Tinctu'!D7632</f>
        <v>0</v>
      </c>
      <c r="AB7631" s="117">
        <f t="shared" si="122"/>
        <v>0</v>
      </c>
      <c r="AC7631" s="117" t="str">
        <f>IF(AB7631=1,COUNTIF($AB$3:AB7631,1),"")</f>
        <v/>
      </c>
      <c r="AD7631" s="117" t="str">
        <f>IFERROR(INDEX($AA$3:$AA$10000,MATCH(ROWS($AC$3:AC7631),$AC$3:$AC$10000,0)),"")</f>
        <v/>
      </c>
    </row>
    <row r="7632" spans="27:30">
      <c r="AA7632" s="117">
        <f>+'Ingredient List - Mother Tinctu'!D7633</f>
        <v>0</v>
      </c>
      <c r="AB7632" s="117">
        <f t="shared" si="122"/>
        <v>0</v>
      </c>
      <c r="AC7632" s="117" t="str">
        <f>IF(AB7632=1,COUNTIF($AB$3:AB7632,1),"")</f>
        <v/>
      </c>
      <c r="AD7632" s="117" t="str">
        <f>IFERROR(INDEX($AA$3:$AA$10000,MATCH(ROWS($AC$3:AC7632),$AC$3:$AC$10000,0)),"")</f>
        <v/>
      </c>
    </row>
    <row r="7633" spans="27:30">
      <c r="AA7633" s="117">
        <f>+'Ingredient List - Mother Tinctu'!D7634</f>
        <v>0</v>
      </c>
      <c r="AB7633" s="117">
        <f t="shared" si="122"/>
        <v>0</v>
      </c>
      <c r="AC7633" s="117" t="str">
        <f>IF(AB7633=1,COUNTIF($AB$3:AB7633,1),"")</f>
        <v/>
      </c>
      <c r="AD7633" s="117" t="str">
        <f>IFERROR(INDEX($AA$3:$AA$10000,MATCH(ROWS($AC$3:AC7633),$AC$3:$AC$10000,0)),"")</f>
        <v/>
      </c>
    </row>
    <row r="7634" spans="27:30">
      <c r="AA7634" s="117">
        <f>+'Ingredient List - Mother Tinctu'!D7635</f>
        <v>0</v>
      </c>
      <c r="AB7634" s="117">
        <f t="shared" si="122"/>
        <v>0</v>
      </c>
      <c r="AC7634" s="117" t="str">
        <f>IF(AB7634=1,COUNTIF($AB$3:AB7634,1),"")</f>
        <v/>
      </c>
      <c r="AD7634" s="117" t="str">
        <f>IFERROR(INDEX($AA$3:$AA$10000,MATCH(ROWS($AC$3:AC7634),$AC$3:$AC$10000,0)),"")</f>
        <v/>
      </c>
    </row>
    <row r="7635" spans="27:30">
      <c r="AA7635" s="117">
        <f>+'Ingredient List - Mother Tinctu'!D7636</f>
        <v>0</v>
      </c>
      <c r="AB7635" s="117">
        <f t="shared" si="122"/>
        <v>0</v>
      </c>
      <c r="AC7635" s="117" t="str">
        <f>IF(AB7635=1,COUNTIF($AB$3:AB7635,1),"")</f>
        <v/>
      </c>
      <c r="AD7635" s="117" t="str">
        <f>IFERROR(INDEX($AA$3:$AA$10000,MATCH(ROWS($AC$3:AC7635),$AC$3:$AC$10000,0)),"")</f>
        <v/>
      </c>
    </row>
    <row r="7636" spans="27:30">
      <c r="AA7636" s="117">
        <f>+'Ingredient List - Mother Tinctu'!D7637</f>
        <v>0</v>
      </c>
      <c r="AB7636" s="117">
        <f t="shared" si="122"/>
        <v>0</v>
      </c>
      <c r="AC7636" s="117" t="str">
        <f>IF(AB7636=1,COUNTIF($AB$3:AB7636,1),"")</f>
        <v/>
      </c>
      <c r="AD7636" s="117" t="str">
        <f>IFERROR(INDEX($AA$3:$AA$10000,MATCH(ROWS($AC$3:AC7636),$AC$3:$AC$10000,0)),"")</f>
        <v/>
      </c>
    </row>
    <row r="7637" spans="27:30">
      <c r="AA7637" s="117">
        <f>+'Ingredient List - Mother Tinctu'!D7638</f>
        <v>0</v>
      </c>
      <c r="AB7637" s="117">
        <f t="shared" si="122"/>
        <v>0</v>
      </c>
      <c r="AC7637" s="117" t="str">
        <f>IF(AB7637=1,COUNTIF($AB$3:AB7637,1),"")</f>
        <v/>
      </c>
      <c r="AD7637" s="117" t="str">
        <f>IFERROR(INDEX($AA$3:$AA$10000,MATCH(ROWS($AC$3:AC7637),$AC$3:$AC$10000,0)),"")</f>
        <v/>
      </c>
    </row>
    <row r="7638" spans="27:30">
      <c r="AA7638" s="117">
        <f>+'Ingredient List - Mother Tinctu'!D7639</f>
        <v>0</v>
      </c>
      <c r="AB7638" s="117">
        <f t="shared" si="122"/>
        <v>0</v>
      </c>
      <c r="AC7638" s="117" t="str">
        <f>IF(AB7638=1,COUNTIF($AB$3:AB7638,1),"")</f>
        <v/>
      </c>
      <c r="AD7638" s="117" t="str">
        <f>IFERROR(INDEX($AA$3:$AA$10000,MATCH(ROWS($AC$3:AC7638),$AC$3:$AC$10000,0)),"")</f>
        <v/>
      </c>
    </row>
    <row r="7639" spans="27:30">
      <c r="AA7639" s="117">
        <f>+'Ingredient List - Mother Tinctu'!D7640</f>
        <v>0</v>
      </c>
      <c r="AB7639" s="117">
        <f t="shared" si="122"/>
        <v>0</v>
      </c>
      <c r="AC7639" s="117" t="str">
        <f>IF(AB7639=1,COUNTIF($AB$3:AB7639,1),"")</f>
        <v/>
      </c>
      <c r="AD7639" s="117" t="str">
        <f>IFERROR(INDEX($AA$3:$AA$10000,MATCH(ROWS($AC$3:AC7639),$AC$3:$AC$10000,0)),"")</f>
        <v/>
      </c>
    </row>
    <row r="7640" spans="27:30">
      <c r="AA7640" s="117">
        <f>+'Ingredient List - Mother Tinctu'!D7641</f>
        <v>0</v>
      </c>
      <c r="AB7640" s="117">
        <f t="shared" si="122"/>
        <v>0</v>
      </c>
      <c r="AC7640" s="117" t="str">
        <f>IF(AB7640=1,COUNTIF($AB$3:AB7640,1),"")</f>
        <v/>
      </c>
      <c r="AD7640" s="117" t="str">
        <f>IFERROR(INDEX($AA$3:$AA$10000,MATCH(ROWS($AC$3:AC7640),$AC$3:$AC$10000,0)),"")</f>
        <v/>
      </c>
    </row>
    <row r="7641" spans="27:30">
      <c r="AA7641" s="117">
        <f>+'Ingredient List - Mother Tinctu'!D7642</f>
        <v>0</v>
      </c>
      <c r="AB7641" s="117">
        <f t="shared" si="122"/>
        <v>0</v>
      </c>
      <c r="AC7641" s="117" t="str">
        <f>IF(AB7641=1,COUNTIF($AB$3:AB7641,1),"")</f>
        <v/>
      </c>
      <c r="AD7641" s="117" t="str">
        <f>IFERROR(INDEX($AA$3:$AA$10000,MATCH(ROWS($AC$3:AC7641),$AC$3:$AC$10000,0)),"")</f>
        <v/>
      </c>
    </row>
    <row r="7642" spans="27:30">
      <c r="AA7642" s="117">
        <f>+'Ingredient List - Mother Tinctu'!D7643</f>
        <v>0</v>
      </c>
      <c r="AB7642" s="117">
        <f t="shared" si="122"/>
        <v>0</v>
      </c>
      <c r="AC7642" s="117" t="str">
        <f>IF(AB7642=1,COUNTIF($AB$3:AB7642,1),"")</f>
        <v/>
      </c>
      <c r="AD7642" s="117" t="str">
        <f>IFERROR(INDEX($AA$3:$AA$10000,MATCH(ROWS($AC$3:AC7642),$AC$3:$AC$10000,0)),"")</f>
        <v/>
      </c>
    </row>
    <row r="7643" spans="27:30">
      <c r="AA7643" s="117">
        <f>+'Ingredient List - Mother Tinctu'!D7644</f>
        <v>0</v>
      </c>
      <c r="AB7643" s="117">
        <f t="shared" si="122"/>
        <v>0</v>
      </c>
      <c r="AC7643" s="117" t="str">
        <f>IF(AB7643=1,COUNTIF($AB$3:AB7643,1),"")</f>
        <v/>
      </c>
      <c r="AD7643" s="117" t="str">
        <f>IFERROR(INDEX($AA$3:$AA$10000,MATCH(ROWS($AC$3:AC7643),$AC$3:$AC$10000,0)),"")</f>
        <v/>
      </c>
    </row>
    <row r="7644" spans="27:30">
      <c r="AA7644" s="117">
        <f>+'Ingredient List - Mother Tinctu'!D7645</f>
        <v>0</v>
      </c>
      <c r="AB7644" s="117">
        <f t="shared" si="122"/>
        <v>0</v>
      </c>
      <c r="AC7644" s="117" t="str">
        <f>IF(AB7644=1,COUNTIF($AB$3:AB7644,1),"")</f>
        <v/>
      </c>
      <c r="AD7644" s="117" t="str">
        <f>IFERROR(INDEX($AA$3:$AA$10000,MATCH(ROWS($AC$3:AC7644),$AC$3:$AC$10000,0)),"")</f>
        <v/>
      </c>
    </row>
    <row r="7645" spans="27:30">
      <c r="AA7645" s="117">
        <f>+'Ingredient List - Mother Tinctu'!D7646</f>
        <v>0</v>
      </c>
      <c r="AB7645" s="117">
        <f t="shared" si="122"/>
        <v>0</v>
      </c>
      <c r="AC7645" s="117" t="str">
        <f>IF(AB7645=1,COUNTIF($AB$3:AB7645,1),"")</f>
        <v/>
      </c>
      <c r="AD7645" s="117" t="str">
        <f>IFERROR(INDEX($AA$3:$AA$10000,MATCH(ROWS($AC$3:AC7645),$AC$3:$AC$10000,0)),"")</f>
        <v/>
      </c>
    </row>
    <row r="7646" spans="27:30">
      <c r="AA7646" s="117">
        <f>+'Ingredient List - Mother Tinctu'!D7647</f>
        <v>0</v>
      </c>
      <c r="AB7646" s="117">
        <f t="shared" si="122"/>
        <v>0</v>
      </c>
      <c r="AC7646" s="117" t="str">
        <f>IF(AB7646=1,COUNTIF($AB$3:AB7646,1),"")</f>
        <v/>
      </c>
      <c r="AD7646" s="117" t="str">
        <f>IFERROR(INDEX($AA$3:$AA$10000,MATCH(ROWS($AC$3:AC7646),$AC$3:$AC$10000,0)),"")</f>
        <v/>
      </c>
    </row>
    <row r="7647" spans="27:30">
      <c r="AA7647" s="117">
        <f>+'Ingredient List - Mother Tinctu'!D7648</f>
        <v>0</v>
      </c>
      <c r="AB7647" s="117">
        <f t="shared" si="122"/>
        <v>0</v>
      </c>
      <c r="AC7647" s="117" t="str">
        <f>IF(AB7647=1,COUNTIF($AB$3:AB7647,1),"")</f>
        <v/>
      </c>
      <c r="AD7647" s="117" t="str">
        <f>IFERROR(INDEX($AA$3:$AA$10000,MATCH(ROWS($AC$3:AC7647),$AC$3:$AC$10000,0)),"")</f>
        <v/>
      </c>
    </row>
    <row r="7648" spans="27:30">
      <c r="AA7648" s="117">
        <f>+'Ingredient List - Mother Tinctu'!D7649</f>
        <v>0</v>
      </c>
      <c r="AB7648" s="117">
        <f t="shared" si="122"/>
        <v>0</v>
      </c>
      <c r="AC7648" s="117" t="str">
        <f>IF(AB7648=1,COUNTIF($AB$3:AB7648,1),"")</f>
        <v/>
      </c>
      <c r="AD7648" s="117" t="str">
        <f>IFERROR(INDEX($AA$3:$AA$10000,MATCH(ROWS($AC$3:AC7648),$AC$3:$AC$10000,0)),"")</f>
        <v/>
      </c>
    </row>
    <row r="7649" spans="27:30">
      <c r="AA7649" s="117">
        <f>+'Ingredient List - Mother Tinctu'!D7650</f>
        <v>0</v>
      </c>
      <c r="AB7649" s="117">
        <f t="shared" si="122"/>
        <v>0</v>
      </c>
      <c r="AC7649" s="117" t="str">
        <f>IF(AB7649=1,COUNTIF($AB$3:AB7649,1),"")</f>
        <v/>
      </c>
      <c r="AD7649" s="117" t="str">
        <f>IFERROR(INDEX($AA$3:$AA$10000,MATCH(ROWS($AC$3:AC7649),$AC$3:$AC$10000,0)),"")</f>
        <v/>
      </c>
    </row>
    <row r="7650" spans="27:30">
      <c r="AA7650" s="117">
        <f>+'Ingredient List - Mother Tinctu'!D7651</f>
        <v>0</v>
      </c>
      <c r="AB7650" s="117">
        <f t="shared" si="122"/>
        <v>0</v>
      </c>
      <c r="AC7650" s="117" t="str">
        <f>IF(AB7650=1,COUNTIF($AB$3:AB7650,1),"")</f>
        <v/>
      </c>
      <c r="AD7650" s="117" t="str">
        <f>IFERROR(INDEX($AA$3:$AA$10000,MATCH(ROWS($AC$3:AC7650),$AC$3:$AC$10000,0)),"")</f>
        <v/>
      </c>
    </row>
    <row r="7651" spans="27:30">
      <c r="AA7651" s="117">
        <f>+'Ingredient List - Mother Tinctu'!D7652</f>
        <v>0</v>
      </c>
      <c r="AB7651" s="117">
        <f t="shared" si="122"/>
        <v>0</v>
      </c>
      <c r="AC7651" s="117" t="str">
        <f>IF(AB7651=1,COUNTIF($AB$3:AB7651,1),"")</f>
        <v/>
      </c>
      <c r="AD7651" s="117" t="str">
        <f>IFERROR(INDEX($AA$3:$AA$10000,MATCH(ROWS($AC$3:AC7651),$AC$3:$AC$10000,0)),"")</f>
        <v/>
      </c>
    </row>
    <row r="7652" spans="27:30">
      <c r="AA7652" s="117">
        <f>+'Ingredient List - Mother Tinctu'!D7653</f>
        <v>0</v>
      </c>
      <c r="AB7652" s="117">
        <f t="shared" si="122"/>
        <v>0</v>
      </c>
      <c r="AC7652" s="117" t="str">
        <f>IF(AB7652=1,COUNTIF($AB$3:AB7652,1),"")</f>
        <v/>
      </c>
      <c r="AD7652" s="117" t="str">
        <f>IFERROR(INDEX($AA$3:$AA$10000,MATCH(ROWS($AC$3:AC7652),$AC$3:$AC$10000,0)),"")</f>
        <v/>
      </c>
    </row>
    <row r="7653" spans="27:30">
      <c r="AA7653" s="117">
        <f>+'Ingredient List - Mother Tinctu'!D7654</f>
        <v>0</v>
      </c>
      <c r="AB7653" s="117">
        <f t="shared" si="122"/>
        <v>0</v>
      </c>
      <c r="AC7653" s="117" t="str">
        <f>IF(AB7653=1,COUNTIF($AB$3:AB7653,1),"")</f>
        <v/>
      </c>
      <c r="AD7653" s="117" t="str">
        <f>IFERROR(INDEX($AA$3:$AA$10000,MATCH(ROWS($AC$3:AC7653),$AC$3:$AC$10000,0)),"")</f>
        <v/>
      </c>
    </row>
    <row r="7654" spans="27:30">
      <c r="AA7654" s="117">
        <f>+'Ingredient List - Mother Tinctu'!D7655</f>
        <v>0</v>
      </c>
      <c r="AB7654" s="117">
        <f t="shared" si="122"/>
        <v>0</v>
      </c>
      <c r="AC7654" s="117" t="str">
        <f>IF(AB7654=1,COUNTIF($AB$3:AB7654,1),"")</f>
        <v/>
      </c>
      <c r="AD7654" s="117" t="str">
        <f>IFERROR(INDEX($AA$3:$AA$10000,MATCH(ROWS($AC$3:AC7654),$AC$3:$AC$10000,0)),"")</f>
        <v/>
      </c>
    </row>
    <row r="7655" spans="27:30">
      <c r="AA7655" s="117">
        <f>+'Ingredient List - Mother Tinctu'!D7656</f>
        <v>0</v>
      </c>
      <c r="AB7655" s="117">
        <f t="shared" si="122"/>
        <v>0</v>
      </c>
      <c r="AC7655" s="117" t="str">
        <f>IF(AB7655=1,COUNTIF($AB$3:AB7655,1),"")</f>
        <v/>
      </c>
      <c r="AD7655" s="117" t="str">
        <f>IFERROR(INDEX($AA$3:$AA$10000,MATCH(ROWS($AC$3:AC7655),$AC$3:$AC$10000,0)),"")</f>
        <v/>
      </c>
    </row>
    <row r="7656" spans="27:30">
      <c r="AA7656" s="117">
        <f>+'Ingredient List - Mother Tinctu'!D7657</f>
        <v>0</v>
      </c>
      <c r="AB7656" s="117">
        <f t="shared" si="122"/>
        <v>0</v>
      </c>
      <c r="AC7656" s="117" t="str">
        <f>IF(AB7656=1,COUNTIF($AB$3:AB7656,1),"")</f>
        <v/>
      </c>
      <c r="AD7656" s="117" t="str">
        <f>IFERROR(INDEX($AA$3:$AA$10000,MATCH(ROWS($AC$3:AC7656),$AC$3:$AC$10000,0)),"")</f>
        <v/>
      </c>
    </row>
    <row r="7657" spans="27:30">
      <c r="AA7657" s="117">
        <f>+'Ingredient List - Mother Tinctu'!D7658</f>
        <v>0</v>
      </c>
      <c r="AB7657" s="117">
        <f t="shared" si="122"/>
        <v>0</v>
      </c>
      <c r="AC7657" s="117" t="str">
        <f>IF(AB7657=1,COUNTIF($AB$3:AB7657,1),"")</f>
        <v/>
      </c>
      <c r="AD7657" s="117" t="str">
        <f>IFERROR(INDEX($AA$3:$AA$10000,MATCH(ROWS($AC$3:AC7657),$AC$3:$AC$10000,0)),"")</f>
        <v/>
      </c>
    </row>
    <row r="7658" spans="27:30">
      <c r="AA7658" s="117">
        <f>+'Ingredient List - Mother Tinctu'!D7659</f>
        <v>0</v>
      </c>
      <c r="AB7658" s="117">
        <f t="shared" si="122"/>
        <v>0</v>
      </c>
      <c r="AC7658" s="117" t="str">
        <f>IF(AB7658=1,COUNTIF($AB$3:AB7658,1),"")</f>
        <v/>
      </c>
      <c r="AD7658" s="117" t="str">
        <f>IFERROR(INDEX($AA$3:$AA$10000,MATCH(ROWS($AC$3:AC7658),$AC$3:$AC$10000,0)),"")</f>
        <v/>
      </c>
    </row>
    <row r="7659" spans="27:30">
      <c r="AA7659" s="117">
        <f>+'Ingredient List - Mother Tinctu'!D7660</f>
        <v>0</v>
      </c>
      <c r="AB7659" s="117">
        <f t="shared" si="122"/>
        <v>0</v>
      </c>
      <c r="AC7659" s="117" t="str">
        <f>IF(AB7659=1,COUNTIF($AB$3:AB7659,1),"")</f>
        <v/>
      </c>
      <c r="AD7659" s="117" t="str">
        <f>IFERROR(INDEX($AA$3:$AA$10000,MATCH(ROWS($AC$3:AC7659),$AC$3:$AC$10000,0)),"")</f>
        <v/>
      </c>
    </row>
    <row r="7660" spans="27:30">
      <c r="AA7660" s="117">
        <f>+'Ingredient List - Mother Tinctu'!D7661</f>
        <v>0</v>
      </c>
      <c r="AB7660" s="117">
        <f t="shared" si="122"/>
        <v>0</v>
      </c>
      <c r="AC7660" s="117" t="str">
        <f>IF(AB7660=1,COUNTIF($AB$3:AB7660,1),"")</f>
        <v/>
      </c>
      <c r="AD7660" s="117" t="str">
        <f>IFERROR(INDEX($AA$3:$AA$10000,MATCH(ROWS($AC$3:AC7660),$AC$3:$AC$10000,0)),"")</f>
        <v/>
      </c>
    </row>
    <row r="7661" spans="27:30">
      <c r="AA7661" s="117">
        <f>+'Ingredient List - Mother Tinctu'!D7662</f>
        <v>0</v>
      </c>
      <c r="AB7661" s="117">
        <f t="shared" si="122"/>
        <v>0</v>
      </c>
      <c r="AC7661" s="117" t="str">
        <f>IF(AB7661=1,COUNTIF($AB$3:AB7661,1),"")</f>
        <v/>
      </c>
      <c r="AD7661" s="117" t="str">
        <f>IFERROR(INDEX($AA$3:$AA$10000,MATCH(ROWS($AC$3:AC7661),$AC$3:$AC$10000,0)),"")</f>
        <v/>
      </c>
    </row>
    <row r="7662" spans="27:30">
      <c r="AA7662" s="117">
        <f>+'Ingredient List - Mother Tinctu'!D7663</f>
        <v>0</v>
      </c>
      <c r="AB7662" s="117">
        <f t="shared" si="122"/>
        <v>0</v>
      </c>
      <c r="AC7662" s="117" t="str">
        <f>IF(AB7662=1,COUNTIF($AB$3:AB7662,1),"")</f>
        <v/>
      </c>
      <c r="AD7662" s="117" t="str">
        <f>IFERROR(INDEX($AA$3:$AA$10000,MATCH(ROWS($AC$3:AC7662),$AC$3:$AC$10000,0)),"")</f>
        <v/>
      </c>
    </row>
    <row r="7663" spans="27:30">
      <c r="AA7663" s="117">
        <f>+'Ingredient List - Mother Tinctu'!D7664</f>
        <v>0</v>
      </c>
      <c r="AB7663" s="117">
        <f t="shared" si="122"/>
        <v>0</v>
      </c>
      <c r="AC7663" s="117" t="str">
        <f>IF(AB7663=1,COUNTIF($AB$3:AB7663,1),"")</f>
        <v/>
      </c>
      <c r="AD7663" s="117" t="str">
        <f>IFERROR(INDEX($AA$3:$AA$10000,MATCH(ROWS($AC$3:AC7663),$AC$3:$AC$10000,0)),"")</f>
        <v/>
      </c>
    </row>
    <row r="7664" spans="27:30">
      <c r="AA7664" s="117">
        <f>+'Ingredient List - Mother Tinctu'!D7665</f>
        <v>0</v>
      </c>
      <c r="AB7664" s="117">
        <f t="shared" si="122"/>
        <v>0</v>
      </c>
      <c r="AC7664" s="117" t="str">
        <f>IF(AB7664=1,COUNTIF($AB$3:AB7664,1),"")</f>
        <v/>
      </c>
      <c r="AD7664" s="117" t="str">
        <f>IFERROR(INDEX($AA$3:$AA$10000,MATCH(ROWS($AC$3:AC7664),$AC$3:$AC$10000,0)),"")</f>
        <v/>
      </c>
    </row>
    <row r="7665" spans="27:30">
      <c r="AA7665" s="117">
        <f>+'Ingredient List - Mother Tinctu'!D7666</f>
        <v>0</v>
      </c>
      <c r="AB7665" s="117">
        <f t="shared" si="122"/>
        <v>0</v>
      </c>
      <c r="AC7665" s="117" t="str">
        <f>IF(AB7665=1,COUNTIF($AB$3:AB7665,1),"")</f>
        <v/>
      </c>
      <c r="AD7665" s="117" t="str">
        <f>IFERROR(INDEX($AA$3:$AA$10000,MATCH(ROWS($AC$3:AC7665),$AC$3:$AC$10000,0)),"")</f>
        <v/>
      </c>
    </row>
    <row r="7666" spans="27:30">
      <c r="AA7666" s="117">
        <f>+'Ingredient List - Mother Tinctu'!D7667</f>
        <v>0</v>
      </c>
      <c r="AB7666" s="117">
        <f t="shared" si="122"/>
        <v>0</v>
      </c>
      <c r="AC7666" s="117" t="str">
        <f>IF(AB7666=1,COUNTIF($AB$3:AB7666,1),"")</f>
        <v/>
      </c>
      <c r="AD7666" s="117" t="str">
        <f>IFERROR(INDEX($AA$3:$AA$10000,MATCH(ROWS($AC$3:AC7666),$AC$3:$AC$10000,0)),"")</f>
        <v/>
      </c>
    </row>
    <row r="7667" spans="27:30">
      <c r="AA7667" s="117">
        <f>+'Ingredient List - Mother Tinctu'!D7668</f>
        <v>0</v>
      </c>
      <c r="AB7667" s="117">
        <f t="shared" si="122"/>
        <v>0</v>
      </c>
      <c r="AC7667" s="117" t="str">
        <f>IF(AB7667=1,COUNTIF($AB$3:AB7667,1),"")</f>
        <v/>
      </c>
      <c r="AD7667" s="117" t="str">
        <f>IFERROR(INDEX($AA$3:$AA$10000,MATCH(ROWS($AC$3:AC7667),$AC$3:$AC$10000,0)),"")</f>
        <v/>
      </c>
    </row>
    <row r="7668" spans="27:30">
      <c r="AA7668" s="117">
        <f>+'Ingredient List - Mother Tinctu'!D7669</f>
        <v>0</v>
      </c>
      <c r="AB7668" s="117">
        <f t="shared" si="122"/>
        <v>0</v>
      </c>
      <c r="AC7668" s="117" t="str">
        <f>IF(AB7668=1,COUNTIF($AB$3:AB7668,1),"")</f>
        <v/>
      </c>
      <c r="AD7668" s="117" t="str">
        <f>IFERROR(INDEX($AA$3:$AA$10000,MATCH(ROWS($AC$3:AC7668),$AC$3:$AC$10000,0)),"")</f>
        <v/>
      </c>
    </row>
    <row r="7669" spans="27:30">
      <c r="AA7669" s="117">
        <f>+'Ingredient List - Mother Tinctu'!D7670</f>
        <v>0</v>
      </c>
      <c r="AB7669" s="117">
        <f t="shared" si="122"/>
        <v>0</v>
      </c>
      <c r="AC7669" s="117" t="str">
        <f>IF(AB7669=1,COUNTIF($AB$3:AB7669,1),"")</f>
        <v/>
      </c>
      <c r="AD7669" s="117" t="str">
        <f>IFERROR(INDEX($AA$3:$AA$10000,MATCH(ROWS($AC$3:AC7669),$AC$3:$AC$10000,0)),"")</f>
        <v/>
      </c>
    </row>
    <row r="7670" spans="27:30">
      <c r="AA7670" s="117">
        <f>+'Ingredient List - Mother Tinctu'!D7671</f>
        <v>0</v>
      </c>
      <c r="AB7670" s="117">
        <f t="shared" si="122"/>
        <v>0</v>
      </c>
      <c r="AC7670" s="117" t="str">
        <f>IF(AB7670=1,COUNTIF($AB$3:AB7670,1),"")</f>
        <v/>
      </c>
      <c r="AD7670" s="117" t="str">
        <f>IFERROR(INDEX($AA$3:$AA$10000,MATCH(ROWS($AC$3:AC7670),$AC$3:$AC$10000,0)),"")</f>
        <v/>
      </c>
    </row>
    <row r="7671" spans="27:30">
      <c r="AA7671" s="117">
        <f>+'Ingredient List - Mother Tinctu'!D7672</f>
        <v>0</v>
      </c>
      <c r="AB7671" s="117">
        <f t="shared" si="122"/>
        <v>0</v>
      </c>
      <c r="AC7671" s="117" t="str">
        <f>IF(AB7671=1,COUNTIF($AB$3:AB7671,1),"")</f>
        <v/>
      </c>
      <c r="AD7671" s="117" t="str">
        <f>IFERROR(INDEX($AA$3:$AA$10000,MATCH(ROWS($AC$3:AC7671),$AC$3:$AC$10000,0)),"")</f>
        <v/>
      </c>
    </row>
    <row r="7672" spans="27:30">
      <c r="AA7672" s="117">
        <f>+'Ingredient List - Mother Tinctu'!D7673</f>
        <v>0</v>
      </c>
      <c r="AB7672" s="117">
        <f t="shared" si="122"/>
        <v>0</v>
      </c>
      <c r="AC7672" s="117" t="str">
        <f>IF(AB7672=1,COUNTIF($AB$3:AB7672,1),"")</f>
        <v/>
      </c>
      <c r="AD7672" s="117" t="str">
        <f>IFERROR(INDEX($AA$3:$AA$10000,MATCH(ROWS($AC$3:AC7672),$AC$3:$AC$10000,0)),"")</f>
        <v/>
      </c>
    </row>
    <row r="7673" spans="27:30">
      <c r="AA7673" s="117">
        <f>+'Ingredient List - Mother Tinctu'!D7674</f>
        <v>0</v>
      </c>
      <c r="AB7673" s="117">
        <f t="shared" si="122"/>
        <v>0</v>
      </c>
      <c r="AC7673" s="117" t="str">
        <f>IF(AB7673=1,COUNTIF($AB$3:AB7673,1),"")</f>
        <v/>
      </c>
      <c r="AD7673" s="117" t="str">
        <f>IFERROR(INDEX($AA$3:$AA$10000,MATCH(ROWS($AC$3:AC7673),$AC$3:$AC$10000,0)),"")</f>
        <v/>
      </c>
    </row>
    <row r="7674" spans="27:30">
      <c r="AA7674" s="117">
        <f>+'Ingredient List - Mother Tinctu'!D7675</f>
        <v>0</v>
      </c>
      <c r="AB7674" s="117">
        <f t="shared" si="122"/>
        <v>0</v>
      </c>
      <c r="AC7674" s="117" t="str">
        <f>IF(AB7674=1,COUNTIF($AB$3:AB7674,1),"")</f>
        <v/>
      </c>
      <c r="AD7674" s="117" t="str">
        <f>IFERROR(INDEX($AA$3:$AA$10000,MATCH(ROWS($AC$3:AC7674),$AC$3:$AC$10000,0)),"")</f>
        <v/>
      </c>
    </row>
    <row r="7675" spans="27:30">
      <c r="AA7675" s="117">
        <f>+'Ingredient List - Mother Tinctu'!D7676</f>
        <v>0</v>
      </c>
      <c r="AB7675" s="117">
        <f t="shared" si="122"/>
        <v>0</v>
      </c>
      <c r="AC7675" s="117" t="str">
        <f>IF(AB7675=1,COUNTIF($AB$3:AB7675,1),"")</f>
        <v/>
      </c>
      <c r="AD7675" s="117" t="str">
        <f>IFERROR(INDEX($AA$3:$AA$10000,MATCH(ROWS($AC$3:AC7675),$AC$3:$AC$10000,0)),"")</f>
        <v/>
      </c>
    </row>
    <row r="7676" spans="27:30">
      <c r="AA7676" s="117">
        <f>+'Ingredient List - Mother Tinctu'!D7677</f>
        <v>0</v>
      </c>
      <c r="AB7676" s="117">
        <f t="shared" si="122"/>
        <v>0</v>
      </c>
      <c r="AC7676" s="117" t="str">
        <f>IF(AB7676=1,COUNTIF($AB$3:AB7676,1),"")</f>
        <v/>
      </c>
      <c r="AD7676" s="117" t="str">
        <f>IFERROR(INDEX($AA$3:$AA$10000,MATCH(ROWS($AC$3:AC7676),$AC$3:$AC$10000,0)),"")</f>
        <v/>
      </c>
    </row>
    <row r="7677" spans="27:30">
      <c r="AA7677" s="117">
        <f>+'Ingredient List - Mother Tinctu'!D7678</f>
        <v>0</v>
      </c>
      <c r="AB7677" s="117">
        <f t="shared" si="122"/>
        <v>0</v>
      </c>
      <c r="AC7677" s="117" t="str">
        <f>IF(AB7677=1,COUNTIF($AB$3:AB7677,1),"")</f>
        <v/>
      </c>
      <c r="AD7677" s="117" t="str">
        <f>IFERROR(INDEX($AA$3:$AA$10000,MATCH(ROWS($AC$3:AC7677),$AC$3:$AC$10000,0)),"")</f>
        <v/>
      </c>
    </row>
    <row r="7678" spans="27:30">
      <c r="AA7678" s="117">
        <f>+'Ingredient List - Mother Tinctu'!D7679</f>
        <v>0</v>
      </c>
      <c r="AB7678" s="117">
        <f t="shared" si="122"/>
        <v>0</v>
      </c>
      <c r="AC7678" s="117" t="str">
        <f>IF(AB7678=1,COUNTIF($AB$3:AB7678,1),"")</f>
        <v/>
      </c>
      <c r="AD7678" s="117" t="str">
        <f>IFERROR(INDEX($AA$3:$AA$10000,MATCH(ROWS($AC$3:AC7678),$AC$3:$AC$10000,0)),"")</f>
        <v/>
      </c>
    </row>
    <row r="7679" spans="27:30">
      <c r="AA7679" s="117">
        <f>+'Ingredient List - Mother Tinctu'!D7680</f>
        <v>0</v>
      </c>
      <c r="AB7679" s="117">
        <f t="shared" si="122"/>
        <v>0</v>
      </c>
      <c r="AC7679" s="117" t="str">
        <f>IF(AB7679=1,COUNTIF($AB$3:AB7679,1),"")</f>
        <v/>
      </c>
      <c r="AD7679" s="117" t="str">
        <f>IFERROR(INDEX($AA$3:$AA$10000,MATCH(ROWS($AC$3:AC7679),$AC$3:$AC$10000,0)),"")</f>
        <v/>
      </c>
    </row>
    <row r="7680" spans="27:30">
      <c r="AA7680" s="117">
        <f>+'Ingredient List - Mother Tinctu'!D7681</f>
        <v>0</v>
      </c>
      <c r="AB7680" s="117">
        <f t="shared" si="122"/>
        <v>0</v>
      </c>
      <c r="AC7680" s="117" t="str">
        <f>IF(AB7680=1,COUNTIF($AB$3:AB7680,1),"")</f>
        <v/>
      </c>
      <c r="AD7680" s="117" t="str">
        <f>IFERROR(INDEX($AA$3:$AA$10000,MATCH(ROWS($AC$3:AC7680),$AC$3:$AC$10000,0)),"")</f>
        <v/>
      </c>
    </row>
    <row r="7681" spans="27:30">
      <c r="AA7681" s="117">
        <f>+'Ingredient List - Mother Tinctu'!D7682</f>
        <v>0</v>
      </c>
      <c r="AB7681" s="117">
        <f t="shared" si="122"/>
        <v>0</v>
      </c>
      <c r="AC7681" s="117" t="str">
        <f>IF(AB7681=1,COUNTIF($AB$3:AB7681,1),"")</f>
        <v/>
      </c>
      <c r="AD7681" s="117" t="str">
        <f>IFERROR(INDEX($AA$3:$AA$10000,MATCH(ROWS($AC$3:AC7681),$AC$3:$AC$10000,0)),"")</f>
        <v/>
      </c>
    </row>
    <row r="7682" spans="27:30">
      <c r="AA7682" s="117">
        <f>+'Ingredient List - Mother Tinctu'!D7683</f>
        <v>0</v>
      </c>
      <c r="AB7682" s="117">
        <f t="shared" si="122"/>
        <v>0</v>
      </c>
      <c r="AC7682" s="117" t="str">
        <f>IF(AB7682=1,COUNTIF($AB$3:AB7682,1),"")</f>
        <v/>
      </c>
      <c r="AD7682" s="117" t="str">
        <f>IFERROR(INDEX($AA$3:$AA$10000,MATCH(ROWS($AC$3:AC7682),$AC$3:$AC$10000,0)),"")</f>
        <v/>
      </c>
    </row>
    <row r="7683" spans="27:30">
      <c r="AA7683" s="117">
        <f>+'Ingredient List - Mother Tinctu'!D7684</f>
        <v>0</v>
      </c>
      <c r="AB7683" s="117">
        <f t="shared" si="122"/>
        <v>0</v>
      </c>
      <c r="AC7683" s="117" t="str">
        <f>IF(AB7683=1,COUNTIF($AB$3:AB7683,1),"")</f>
        <v/>
      </c>
      <c r="AD7683" s="117" t="str">
        <f>IFERROR(INDEX($AA$3:$AA$10000,MATCH(ROWS($AC$3:AC7683),$AC$3:$AC$10000,0)),"")</f>
        <v/>
      </c>
    </row>
    <row r="7684" spans="27:30">
      <c r="AA7684" s="117">
        <f>+'Ingredient List - Mother Tinctu'!D7685</f>
        <v>0</v>
      </c>
      <c r="AB7684" s="117">
        <f t="shared" ref="AB7684:AB7747" si="123">--ISNUMBER(IFERROR(SEARCH($D$3,AA7684,1),""))</f>
        <v>0</v>
      </c>
      <c r="AC7684" s="117" t="str">
        <f>IF(AB7684=1,COUNTIF($AB$3:AB7684,1),"")</f>
        <v/>
      </c>
      <c r="AD7684" s="117" t="str">
        <f>IFERROR(INDEX($AA$3:$AA$10000,MATCH(ROWS($AC$3:AC7684),$AC$3:$AC$10000,0)),"")</f>
        <v/>
      </c>
    </row>
    <row r="7685" spans="27:30">
      <c r="AA7685" s="117">
        <f>+'Ingredient List - Mother Tinctu'!D7686</f>
        <v>0</v>
      </c>
      <c r="AB7685" s="117">
        <f t="shared" si="123"/>
        <v>0</v>
      </c>
      <c r="AC7685" s="117" t="str">
        <f>IF(AB7685=1,COUNTIF($AB$3:AB7685,1),"")</f>
        <v/>
      </c>
      <c r="AD7685" s="117" t="str">
        <f>IFERROR(INDEX($AA$3:$AA$10000,MATCH(ROWS($AC$3:AC7685),$AC$3:$AC$10000,0)),"")</f>
        <v/>
      </c>
    </row>
    <row r="7686" spans="27:30">
      <c r="AA7686" s="117">
        <f>+'Ingredient List - Mother Tinctu'!D7687</f>
        <v>0</v>
      </c>
      <c r="AB7686" s="117">
        <f t="shared" si="123"/>
        <v>0</v>
      </c>
      <c r="AC7686" s="117" t="str">
        <f>IF(AB7686=1,COUNTIF($AB$3:AB7686,1),"")</f>
        <v/>
      </c>
      <c r="AD7686" s="117" t="str">
        <f>IFERROR(INDEX($AA$3:$AA$10000,MATCH(ROWS($AC$3:AC7686),$AC$3:$AC$10000,0)),"")</f>
        <v/>
      </c>
    </row>
    <row r="7687" spans="27:30">
      <c r="AA7687" s="117">
        <f>+'Ingredient List - Mother Tinctu'!D7688</f>
        <v>0</v>
      </c>
      <c r="AB7687" s="117">
        <f t="shared" si="123"/>
        <v>0</v>
      </c>
      <c r="AC7687" s="117" t="str">
        <f>IF(AB7687=1,COUNTIF($AB$3:AB7687,1),"")</f>
        <v/>
      </c>
      <c r="AD7687" s="117" t="str">
        <f>IFERROR(INDEX($AA$3:$AA$10000,MATCH(ROWS($AC$3:AC7687),$AC$3:$AC$10000,0)),"")</f>
        <v/>
      </c>
    </row>
    <row r="7688" spans="27:30">
      <c r="AA7688" s="117">
        <f>+'Ingredient List - Mother Tinctu'!D7689</f>
        <v>0</v>
      </c>
      <c r="AB7688" s="117">
        <f t="shared" si="123"/>
        <v>0</v>
      </c>
      <c r="AC7688" s="117" t="str">
        <f>IF(AB7688=1,COUNTIF($AB$3:AB7688,1),"")</f>
        <v/>
      </c>
      <c r="AD7688" s="117" t="str">
        <f>IFERROR(INDEX($AA$3:$AA$10000,MATCH(ROWS($AC$3:AC7688),$AC$3:$AC$10000,0)),"")</f>
        <v/>
      </c>
    </row>
    <row r="7689" spans="27:30">
      <c r="AA7689" s="117">
        <f>+'Ingredient List - Mother Tinctu'!D7690</f>
        <v>0</v>
      </c>
      <c r="AB7689" s="117">
        <f t="shared" si="123"/>
        <v>0</v>
      </c>
      <c r="AC7689" s="117" t="str">
        <f>IF(AB7689=1,COUNTIF($AB$3:AB7689,1),"")</f>
        <v/>
      </c>
      <c r="AD7689" s="117" t="str">
        <f>IFERROR(INDEX($AA$3:$AA$10000,MATCH(ROWS($AC$3:AC7689),$AC$3:$AC$10000,0)),"")</f>
        <v/>
      </c>
    </row>
    <row r="7690" spans="27:30">
      <c r="AA7690" s="117">
        <f>+'Ingredient List - Mother Tinctu'!D7691</f>
        <v>0</v>
      </c>
      <c r="AB7690" s="117">
        <f t="shared" si="123"/>
        <v>0</v>
      </c>
      <c r="AC7690" s="117" t="str">
        <f>IF(AB7690=1,COUNTIF($AB$3:AB7690,1),"")</f>
        <v/>
      </c>
      <c r="AD7690" s="117" t="str">
        <f>IFERROR(INDEX($AA$3:$AA$10000,MATCH(ROWS($AC$3:AC7690),$AC$3:$AC$10000,0)),"")</f>
        <v/>
      </c>
    </row>
    <row r="7691" spans="27:30">
      <c r="AA7691" s="117">
        <f>+'Ingredient List - Mother Tinctu'!D7692</f>
        <v>0</v>
      </c>
      <c r="AB7691" s="117">
        <f t="shared" si="123"/>
        <v>0</v>
      </c>
      <c r="AC7691" s="117" t="str">
        <f>IF(AB7691=1,COUNTIF($AB$3:AB7691,1),"")</f>
        <v/>
      </c>
      <c r="AD7691" s="117" t="str">
        <f>IFERROR(INDEX($AA$3:$AA$10000,MATCH(ROWS($AC$3:AC7691),$AC$3:$AC$10000,0)),"")</f>
        <v/>
      </c>
    </row>
    <row r="7692" spans="27:30">
      <c r="AA7692" s="117">
        <f>+'Ingredient List - Mother Tinctu'!D7693</f>
        <v>0</v>
      </c>
      <c r="AB7692" s="117">
        <f t="shared" si="123"/>
        <v>0</v>
      </c>
      <c r="AC7692" s="117" t="str">
        <f>IF(AB7692=1,COUNTIF($AB$3:AB7692,1),"")</f>
        <v/>
      </c>
      <c r="AD7692" s="117" t="str">
        <f>IFERROR(INDEX($AA$3:$AA$10000,MATCH(ROWS($AC$3:AC7692),$AC$3:$AC$10000,0)),"")</f>
        <v/>
      </c>
    </row>
    <row r="7693" spans="27:30">
      <c r="AA7693" s="117">
        <f>+'Ingredient List - Mother Tinctu'!D7694</f>
        <v>0</v>
      </c>
      <c r="AB7693" s="117">
        <f t="shared" si="123"/>
        <v>0</v>
      </c>
      <c r="AC7693" s="117" t="str">
        <f>IF(AB7693=1,COUNTIF($AB$3:AB7693,1),"")</f>
        <v/>
      </c>
      <c r="AD7693" s="117" t="str">
        <f>IFERROR(INDEX($AA$3:$AA$10000,MATCH(ROWS($AC$3:AC7693),$AC$3:$AC$10000,0)),"")</f>
        <v/>
      </c>
    </row>
    <row r="7694" spans="27:30">
      <c r="AA7694" s="117">
        <f>+'Ingredient List - Mother Tinctu'!D7695</f>
        <v>0</v>
      </c>
      <c r="AB7694" s="117">
        <f t="shared" si="123"/>
        <v>0</v>
      </c>
      <c r="AC7694" s="117" t="str">
        <f>IF(AB7694=1,COUNTIF($AB$3:AB7694,1),"")</f>
        <v/>
      </c>
      <c r="AD7694" s="117" t="str">
        <f>IFERROR(INDEX($AA$3:$AA$10000,MATCH(ROWS($AC$3:AC7694),$AC$3:$AC$10000,0)),"")</f>
        <v/>
      </c>
    </row>
    <row r="7695" spans="27:30">
      <c r="AA7695" s="117">
        <f>+'Ingredient List - Mother Tinctu'!D7696</f>
        <v>0</v>
      </c>
      <c r="AB7695" s="117">
        <f t="shared" si="123"/>
        <v>0</v>
      </c>
      <c r="AC7695" s="117" t="str">
        <f>IF(AB7695=1,COUNTIF($AB$3:AB7695,1),"")</f>
        <v/>
      </c>
      <c r="AD7695" s="117" t="str">
        <f>IFERROR(INDEX($AA$3:$AA$10000,MATCH(ROWS($AC$3:AC7695),$AC$3:$AC$10000,0)),"")</f>
        <v/>
      </c>
    </row>
    <row r="7696" spans="27:30">
      <c r="AA7696" s="117">
        <f>+'Ingredient List - Mother Tinctu'!D7697</f>
        <v>0</v>
      </c>
      <c r="AB7696" s="117">
        <f t="shared" si="123"/>
        <v>0</v>
      </c>
      <c r="AC7696" s="117" t="str">
        <f>IF(AB7696=1,COUNTIF($AB$3:AB7696,1),"")</f>
        <v/>
      </c>
      <c r="AD7696" s="117" t="str">
        <f>IFERROR(INDEX($AA$3:$AA$10000,MATCH(ROWS($AC$3:AC7696),$AC$3:$AC$10000,0)),"")</f>
        <v/>
      </c>
    </row>
    <row r="7697" spans="27:30">
      <c r="AA7697" s="117">
        <f>+'Ingredient List - Mother Tinctu'!D7698</f>
        <v>0</v>
      </c>
      <c r="AB7697" s="117">
        <f t="shared" si="123"/>
        <v>0</v>
      </c>
      <c r="AC7697" s="117" t="str">
        <f>IF(AB7697=1,COUNTIF($AB$3:AB7697,1),"")</f>
        <v/>
      </c>
      <c r="AD7697" s="117" t="str">
        <f>IFERROR(INDEX($AA$3:$AA$10000,MATCH(ROWS($AC$3:AC7697),$AC$3:$AC$10000,0)),"")</f>
        <v/>
      </c>
    </row>
    <row r="7698" spans="27:30">
      <c r="AA7698" s="117">
        <f>+'Ingredient List - Mother Tinctu'!D7699</f>
        <v>0</v>
      </c>
      <c r="AB7698" s="117">
        <f t="shared" si="123"/>
        <v>0</v>
      </c>
      <c r="AC7698" s="117" t="str">
        <f>IF(AB7698=1,COUNTIF($AB$3:AB7698,1),"")</f>
        <v/>
      </c>
      <c r="AD7698" s="117" t="str">
        <f>IFERROR(INDEX($AA$3:$AA$10000,MATCH(ROWS($AC$3:AC7698),$AC$3:$AC$10000,0)),"")</f>
        <v/>
      </c>
    </row>
    <row r="7699" spans="27:30">
      <c r="AA7699" s="117">
        <f>+'Ingredient List - Mother Tinctu'!D7700</f>
        <v>0</v>
      </c>
      <c r="AB7699" s="117">
        <f t="shared" si="123"/>
        <v>0</v>
      </c>
      <c r="AC7699" s="117" t="str">
        <f>IF(AB7699=1,COUNTIF($AB$3:AB7699,1),"")</f>
        <v/>
      </c>
      <c r="AD7699" s="117" t="str">
        <f>IFERROR(INDEX($AA$3:$AA$10000,MATCH(ROWS($AC$3:AC7699),$AC$3:$AC$10000,0)),"")</f>
        <v/>
      </c>
    </row>
    <row r="7700" spans="27:30">
      <c r="AA7700" s="117">
        <f>+'Ingredient List - Mother Tinctu'!D7701</f>
        <v>0</v>
      </c>
      <c r="AB7700" s="117">
        <f t="shared" si="123"/>
        <v>0</v>
      </c>
      <c r="AC7700" s="117" t="str">
        <f>IF(AB7700=1,COUNTIF($AB$3:AB7700,1),"")</f>
        <v/>
      </c>
      <c r="AD7700" s="117" t="str">
        <f>IFERROR(INDEX($AA$3:$AA$10000,MATCH(ROWS($AC$3:AC7700),$AC$3:$AC$10000,0)),"")</f>
        <v/>
      </c>
    </row>
    <row r="7701" spans="27:30">
      <c r="AA7701" s="117">
        <f>+'Ingredient List - Mother Tinctu'!D7702</f>
        <v>0</v>
      </c>
      <c r="AB7701" s="117">
        <f t="shared" si="123"/>
        <v>0</v>
      </c>
      <c r="AC7701" s="117" t="str">
        <f>IF(AB7701=1,COUNTIF($AB$3:AB7701,1),"")</f>
        <v/>
      </c>
      <c r="AD7701" s="117" t="str">
        <f>IFERROR(INDEX($AA$3:$AA$10000,MATCH(ROWS($AC$3:AC7701),$AC$3:$AC$10000,0)),"")</f>
        <v/>
      </c>
    </row>
    <row r="7702" spans="27:30">
      <c r="AA7702" s="117">
        <f>+'Ingredient List - Mother Tinctu'!D7703</f>
        <v>0</v>
      </c>
      <c r="AB7702" s="117">
        <f t="shared" si="123"/>
        <v>0</v>
      </c>
      <c r="AC7702" s="117" t="str">
        <f>IF(AB7702=1,COUNTIF($AB$3:AB7702,1),"")</f>
        <v/>
      </c>
      <c r="AD7702" s="117" t="str">
        <f>IFERROR(INDEX($AA$3:$AA$10000,MATCH(ROWS($AC$3:AC7702),$AC$3:$AC$10000,0)),"")</f>
        <v/>
      </c>
    </row>
    <row r="7703" spans="27:30">
      <c r="AA7703" s="117">
        <f>+'Ingredient List - Mother Tinctu'!D7704</f>
        <v>0</v>
      </c>
      <c r="AB7703" s="117">
        <f t="shared" si="123"/>
        <v>0</v>
      </c>
      <c r="AC7703" s="117" t="str">
        <f>IF(AB7703=1,COUNTIF($AB$3:AB7703,1),"")</f>
        <v/>
      </c>
      <c r="AD7703" s="117" t="str">
        <f>IFERROR(INDEX($AA$3:$AA$10000,MATCH(ROWS($AC$3:AC7703),$AC$3:$AC$10000,0)),"")</f>
        <v/>
      </c>
    </row>
    <row r="7704" spans="27:30">
      <c r="AA7704" s="117">
        <f>+'Ingredient List - Mother Tinctu'!D7705</f>
        <v>0</v>
      </c>
      <c r="AB7704" s="117">
        <f t="shared" si="123"/>
        <v>0</v>
      </c>
      <c r="AC7704" s="117" t="str">
        <f>IF(AB7704=1,COUNTIF($AB$3:AB7704,1),"")</f>
        <v/>
      </c>
      <c r="AD7704" s="117" t="str">
        <f>IFERROR(INDEX($AA$3:$AA$10000,MATCH(ROWS($AC$3:AC7704),$AC$3:$AC$10000,0)),"")</f>
        <v/>
      </c>
    </row>
    <row r="7705" spans="27:30">
      <c r="AA7705" s="117">
        <f>+'Ingredient List - Mother Tinctu'!D7706</f>
        <v>0</v>
      </c>
      <c r="AB7705" s="117">
        <f t="shared" si="123"/>
        <v>0</v>
      </c>
      <c r="AC7705" s="117" t="str">
        <f>IF(AB7705=1,COUNTIF($AB$3:AB7705,1),"")</f>
        <v/>
      </c>
      <c r="AD7705" s="117" t="str">
        <f>IFERROR(INDEX($AA$3:$AA$10000,MATCH(ROWS($AC$3:AC7705),$AC$3:$AC$10000,0)),"")</f>
        <v/>
      </c>
    </row>
    <row r="7706" spans="27:30">
      <c r="AA7706" s="117">
        <f>+'Ingredient List - Mother Tinctu'!D7707</f>
        <v>0</v>
      </c>
      <c r="AB7706" s="117">
        <f t="shared" si="123"/>
        <v>0</v>
      </c>
      <c r="AC7706" s="117" t="str">
        <f>IF(AB7706=1,COUNTIF($AB$3:AB7706,1),"")</f>
        <v/>
      </c>
      <c r="AD7706" s="117" t="str">
        <f>IFERROR(INDEX($AA$3:$AA$10000,MATCH(ROWS($AC$3:AC7706),$AC$3:$AC$10000,0)),"")</f>
        <v/>
      </c>
    </row>
    <row r="7707" spans="27:30">
      <c r="AA7707" s="117">
        <f>+'Ingredient List - Mother Tinctu'!D7708</f>
        <v>0</v>
      </c>
      <c r="AB7707" s="117">
        <f t="shared" si="123"/>
        <v>0</v>
      </c>
      <c r="AC7707" s="117" t="str">
        <f>IF(AB7707=1,COUNTIF($AB$3:AB7707,1),"")</f>
        <v/>
      </c>
      <c r="AD7707" s="117" t="str">
        <f>IFERROR(INDEX($AA$3:$AA$10000,MATCH(ROWS($AC$3:AC7707),$AC$3:$AC$10000,0)),"")</f>
        <v/>
      </c>
    </row>
    <row r="7708" spans="27:30">
      <c r="AA7708" s="117">
        <f>+'Ingredient List - Mother Tinctu'!D7709</f>
        <v>0</v>
      </c>
      <c r="AB7708" s="117">
        <f t="shared" si="123"/>
        <v>0</v>
      </c>
      <c r="AC7708" s="117" t="str">
        <f>IF(AB7708=1,COUNTIF($AB$3:AB7708,1),"")</f>
        <v/>
      </c>
      <c r="AD7708" s="117" t="str">
        <f>IFERROR(INDEX($AA$3:$AA$10000,MATCH(ROWS($AC$3:AC7708),$AC$3:$AC$10000,0)),"")</f>
        <v/>
      </c>
    </row>
    <row r="7709" spans="27:30">
      <c r="AA7709" s="117">
        <f>+'Ingredient List - Mother Tinctu'!D7710</f>
        <v>0</v>
      </c>
      <c r="AB7709" s="117">
        <f t="shared" si="123"/>
        <v>0</v>
      </c>
      <c r="AC7709" s="117" t="str">
        <f>IF(AB7709=1,COUNTIF($AB$3:AB7709,1),"")</f>
        <v/>
      </c>
      <c r="AD7709" s="117" t="str">
        <f>IFERROR(INDEX($AA$3:$AA$10000,MATCH(ROWS($AC$3:AC7709),$AC$3:$AC$10000,0)),"")</f>
        <v/>
      </c>
    </row>
    <row r="7710" spans="27:30">
      <c r="AA7710" s="117">
        <f>+'Ingredient List - Mother Tinctu'!D7711</f>
        <v>0</v>
      </c>
      <c r="AB7710" s="117">
        <f t="shared" si="123"/>
        <v>0</v>
      </c>
      <c r="AC7710" s="117" t="str">
        <f>IF(AB7710=1,COUNTIF($AB$3:AB7710,1),"")</f>
        <v/>
      </c>
      <c r="AD7710" s="117" t="str">
        <f>IFERROR(INDEX($AA$3:$AA$10000,MATCH(ROWS($AC$3:AC7710),$AC$3:$AC$10000,0)),"")</f>
        <v/>
      </c>
    </row>
    <row r="7711" spans="27:30">
      <c r="AA7711" s="117">
        <f>+'Ingredient List - Mother Tinctu'!D7712</f>
        <v>0</v>
      </c>
      <c r="AB7711" s="117">
        <f t="shared" si="123"/>
        <v>0</v>
      </c>
      <c r="AC7711" s="117" t="str">
        <f>IF(AB7711=1,COUNTIF($AB$3:AB7711,1),"")</f>
        <v/>
      </c>
      <c r="AD7711" s="117" t="str">
        <f>IFERROR(INDEX($AA$3:$AA$10000,MATCH(ROWS($AC$3:AC7711),$AC$3:$AC$10000,0)),"")</f>
        <v/>
      </c>
    </row>
    <row r="7712" spans="27:30">
      <c r="AA7712" s="117">
        <f>+'Ingredient List - Mother Tinctu'!D7713</f>
        <v>0</v>
      </c>
      <c r="AB7712" s="117">
        <f t="shared" si="123"/>
        <v>0</v>
      </c>
      <c r="AC7712" s="117" t="str">
        <f>IF(AB7712=1,COUNTIF($AB$3:AB7712,1),"")</f>
        <v/>
      </c>
      <c r="AD7712" s="117" t="str">
        <f>IFERROR(INDEX($AA$3:$AA$10000,MATCH(ROWS($AC$3:AC7712),$AC$3:$AC$10000,0)),"")</f>
        <v/>
      </c>
    </row>
    <row r="7713" spans="27:30">
      <c r="AA7713" s="117">
        <f>+'Ingredient List - Mother Tinctu'!D7714</f>
        <v>0</v>
      </c>
      <c r="AB7713" s="117">
        <f t="shared" si="123"/>
        <v>0</v>
      </c>
      <c r="AC7713" s="117" t="str">
        <f>IF(AB7713=1,COUNTIF($AB$3:AB7713,1),"")</f>
        <v/>
      </c>
      <c r="AD7713" s="117" t="str">
        <f>IFERROR(INDEX($AA$3:$AA$10000,MATCH(ROWS($AC$3:AC7713),$AC$3:$AC$10000,0)),"")</f>
        <v/>
      </c>
    </row>
    <row r="7714" spans="27:30">
      <c r="AA7714" s="117">
        <f>+'Ingredient List - Mother Tinctu'!D7715</f>
        <v>0</v>
      </c>
      <c r="AB7714" s="117">
        <f t="shared" si="123"/>
        <v>0</v>
      </c>
      <c r="AC7714" s="117" t="str">
        <f>IF(AB7714=1,COUNTIF($AB$3:AB7714,1),"")</f>
        <v/>
      </c>
      <c r="AD7714" s="117" t="str">
        <f>IFERROR(INDEX($AA$3:$AA$10000,MATCH(ROWS($AC$3:AC7714),$AC$3:$AC$10000,0)),"")</f>
        <v/>
      </c>
    </row>
    <row r="7715" spans="27:30">
      <c r="AA7715" s="117">
        <f>+'Ingredient List - Mother Tinctu'!D7716</f>
        <v>0</v>
      </c>
      <c r="AB7715" s="117">
        <f t="shared" si="123"/>
        <v>0</v>
      </c>
      <c r="AC7715" s="117" t="str">
        <f>IF(AB7715=1,COUNTIF($AB$3:AB7715,1),"")</f>
        <v/>
      </c>
      <c r="AD7715" s="117" t="str">
        <f>IFERROR(INDEX($AA$3:$AA$10000,MATCH(ROWS($AC$3:AC7715),$AC$3:$AC$10000,0)),"")</f>
        <v/>
      </c>
    </row>
    <row r="7716" spans="27:30">
      <c r="AA7716" s="117">
        <f>+'Ingredient List - Mother Tinctu'!D7717</f>
        <v>0</v>
      </c>
      <c r="AB7716" s="117">
        <f t="shared" si="123"/>
        <v>0</v>
      </c>
      <c r="AC7716" s="117" t="str">
        <f>IF(AB7716=1,COUNTIF($AB$3:AB7716,1),"")</f>
        <v/>
      </c>
      <c r="AD7716" s="117" t="str">
        <f>IFERROR(INDEX($AA$3:$AA$10000,MATCH(ROWS($AC$3:AC7716),$AC$3:$AC$10000,0)),"")</f>
        <v/>
      </c>
    </row>
    <row r="7717" spans="27:30">
      <c r="AA7717" s="117">
        <f>+'Ingredient List - Mother Tinctu'!D7718</f>
        <v>0</v>
      </c>
      <c r="AB7717" s="117">
        <f t="shared" si="123"/>
        <v>0</v>
      </c>
      <c r="AC7717" s="117" t="str">
        <f>IF(AB7717=1,COUNTIF($AB$3:AB7717,1),"")</f>
        <v/>
      </c>
      <c r="AD7717" s="117" t="str">
        <f>IFERROR(INDEX($AA$3:$AA$10000,MATCH(ROWS($AC$3:AC7717),$AC$3:$AC$10000,0)),"")</f>
        <v/>
      </c>
    </row>
    <row r="7718" spans="27:30">
      <c r="AA7718" s="117">
        <f>+'Ingredient List - Mother Tinctu'!D7719</f>
        <v>0</v>
      </c>
      <c r="AB7718" s="117">
        <f t="shared" si="123"/>
        <v>0</v>
      </c>
      <c r="AC7718" s="117" t="str">
        <f>IF(AB7718=1,COUNTIF($AB$3:AB7718,1),"")</f>
        <v/>
      </c>
      <c r="AD7718" s="117" t="str">
        <f>IFERROR(INDEX($AA$3:$AA$10000,MATCH(ROWS($AC$3:AC7718),$AC$3:$AC$10000,0)),"")</f>
        <v/>
      </c>
    </row>
    <row r="7719" spans="27:30">
      <c r="AA7719" s="117">
        <f>+'Ingredient List - Mother Tinctu'!D7720</f>
        <v>0</v>
      </c>
      <c r="AB7719" s="117">
        <f t="shared" si="123"/>
        <v>0</v>
      </c>
      <c r="AC7719" s="117" t="str">
        <f>IF(AB7719=1,COUNTIF($AB$3:AB7719,1),"")</f>
        <v/>
      </c>
      <c r="AD7719" s="117" t="str">
        <f>IFERROR(INDEX($AA$3:$AA$10000,MATCH(ROWS($AC$3:AC7719),$AC$3:$AC$10000,0)),"")</f>
        <v/>
      </c>
    </row>
    <row r="7720" spans="27:30">
      <c r="AA7720" s="117">
        <f>+'Ingredient List - Mother Tinctu'!D7721</f>
        <v>0</v>
      </c>
      <c r="AB7720" s="117">
        <f t="shared" si="123"/>
        <v>0</v>
      </c>
      <c r="AC7720" s="117" t="str">
        <f>IF(AB7720=1,COUNTIF($AB$3:AB7720,1),"")</f>
        <v/>
      </c>
      <c r="AD7720" s="117" t="str">
        <f>IFERROR(INDEX($AA$3:$AA$10000,MATCH(ROWS($AC$3:AC7720),$AC$3:$AC$10000,0)),"")</f>
        <v/>
      </c>
    </row>
    <row r="7721" spans="27:30">
      <c r="AA7721" s="117">
        <f>+'Ingredient List - Mother Tinctu'!D7722</f>
        <v>0</v>
      </c>
      <c r="AB7721" s="117">
        <f t="shared" si="123"/>
        <v>0</v>
      </c>
      <c r="AC7721" s="117" t="str">
        <f>IF(AB7721=1,COUNTIF($AB$3:AB7721,1),"")</f>
        <v/>
      </c>
      <c r="AD7721" s="117" t="str">
        <f>IFERROR(INDEX($AA$3:$AA$10000,MATCH(ROWS($AC$3:AC7721),$AC$3:$AC$10000,0)),"")</f>
        <v/>
      </c>
    </row>
    <row r="7722" spans="27:30">
      <c r="AA7722" s="117">
        <f>+'Ingredient List - Mother Tinctu'!D7723</f>
        <v>0</v>
      </c>
      <c r="AB7722" s="117">
        <f t="shared" si="123"/>
        <v>0</v>
      </c>
      <c r="AC7722" s="117" t="str">
        <f>IF(AB7722=1,COUNTIF($AB$3:AB7722,1),"")</f>
        <v/>
      </c>
      <c r="AD7722" s="117" t="str">
        <f>IFERROR(INDEX($AA$3:$AA$10000,MATCH(ROWS($AC$3:AC7722),$AC$3:$AC$10000,0)),"")</f>
        <v/>
      </c>
    </row>
    <row r="7723" spans="27:30">
      <c r="AA7723" s="117">
        <f>+'Ingredient List - Mother Tinctu'!D7724</f>
        <v>0</v>
      </c>
      <c r="AB7723" s="117">
        <f t="shared" si="123"/>
        <v>0</v>
      </c>
      <c r="AC7723" s="117" t="str">
        <f>IF(AB7723=1,COUNTIF($AB$3:AB7723,1),"")</f>
        <v/>
      </c>
      <c r="AD7723" s="117" t="str">
        <f>IFERROR(INDEX($AA$3:$AA$10000,MATCH(ROWS($AC$3:AC7723),$AC$3:$AC$10000,0)),"")</f>
        <v/>
      </c>
    </row>
    <row r="7724" spans="27:30">
      <c r="AA7724" s="117">
        <f>+'Ingredient List - Mother Tinctu'!D7725</f>
        <v>0</v>
      </c>
      <c r="AB7724" s="117">
        <f t="shared" si="123"/>
        <v>0</v>
      </c>
      <c r="AC7724" s="117" t="str">
        <f>IF(AB7724=1,COUNTIF($AB$3:AB7724,1),"")</f>
        <v/>
      </c>
      <c r="AD7724" s="117" t="str">
        <f>IFERROR(INDEX($AA$3:$AA$10000,MATCH(ROWS($AC$3:AC7724),$AC$3:$AC$10000,0)),"")</f>
        <v/>
      </c>
    </row>
    <row r="7725" spans="27:30">
      <c r="AA7725" s="117">
        <f>+'Ingredient List - Mother Tinctu'!D7726</f>
        <v>0</v>
      </c>
      <c r="AB7725" s="117">
        <f t="shared" si="123"/>
        <v>0</v>
      </c>
      <c r="AC7725" s="117" t="str">
        <f>IF(AB7725=1,COUNTIF($AB$3:AB7725,1),"")</f>
        <v/>
      </c>
      <c r="AD7725" s="117" t="str">
        <f>IFERROR(INDEX($AA$3:$AA$10000,MATCH(ROWS($AC$3:AC7725),$AC$3:$AC$10000,0)),"")</f>
        <v/>
      </c>
    </row>
    <row r="7726" spans="27:30">
      <c r="AA7726" s="117">
        <f>+'Ingredient List - Mother Tinctu'!D7727</f>
        <v>0</v>
      </c>
      <c r="AB7726" s="117">
        <f t="shared" si="123"/>
        <v>0</v>
      </c>
      <c r="AC7726" s="117" t="str">
        <f>IF(AB7726=1,COUNTIF($AB$3:AB7726,1),"")</f>
        <v/>
      </c>
      <c r="AD7726" s="117" t="str">
        <f>IFERROR(INDEX($AA$3:$AA$10000,MATCH(ROWS($AC$3:AC7726),$AC$3:$AC$10000,0)),"")</f>
        <v/>
      </c>
    </row>
    <row r="7727" spans="27:30">
      <c r="AA7727" s="117">
        <f>+'Ingredient List - Mother Tinctu'!D7728</f>
        <v>0</v>
      </c>
      <c r="AB7727" s="117">
        <f t="shared" si="123"/>
        <v>0</v>
      </c>
      <c r="AC7727" s="117" t="str">
        <f>IF(AB7727=1,COUNTIF($AB$3:AB7727,1),"")</f>
        <v/>
      </c>
      <c r="AD7727" s="117" t="str">
        <f>IFERROR(INDEX($AA$3:$AA$10000,MATCH(ROWS($AC$3:AC7727),$AC$3:$AC$10000,0)),"")</f>
        <v/>
      </c>
    </row>
    <row r="7728" spans="27:30">
      <c r="AA7728" s="117">
        <f>+'Ingredient List - Mother Tinctu'!D7729</f>
        <v>0</v>
      </c>
      <c r="AB7728" s="117">
        <f t="shared" si="123"/>
        <v>0</v>
      </c>
      <c r="AC7728" s="117" t="str">
        <f>IF(AB7728=1,COUNTIF($AB$3:AB7728,1),"")</f>
        <v/>
      </c>
      <c r="AD7728" s="117" t="str">
        <f>IFERROR(INDEX($AA$3:$AA$10000,MATCH(ROWS($AC$3:AC7728),$AC$3:$AC$10000,0)),"")</f>
        <v/>
      </c>
    </row>
    <row r="7729" spans="27:30">
      <c r="AA7729" s="117">
        <f>+'Ingredient List - Mother Tinctu'!D7730</f>
        <v>0</v>
      </c>
      <c r="AB7729" s="117">
        <f t="shared" si="123"/>
        <v>0</v>
      </c>
      <c r="AC7729" s="117" t="str">
        <f>IF(AB7729=1,COUNTIF($AB$3:AB7729,1),"")</f>
        <v/>
      </c>
      <c r="AD7729" s="117" t="str">
        <f>IFERROR(INDEX($AA$3:$AA$10000,MATCH(ROWS($AC$3:AC7729),$AC$3:$AC$10000,0)),"")</f>
        <v/>
      </c>
    </row>
    <row r="7730" spans="27:30">
      <c r="AA7730" s="117">
        <f>+'Ingredient List - Mother Tinctu'!D7731</f>
        <v>0</v>
      </c>
      <c r="AB7730" s="117">
        <f t="shared" si="123"/>
        <v>0</v>
      </c>
      <c r="AC7730" s="117" t="str">
        <f>IF(AB7730=1,COUNTIF($AB$3:AB7730,1),"")</f>
        <v/>
      </c>
      <c r="AD7730" s="117" t="str">
        <f>IFERROR(INDEX($AA$3:$AA$10000,MATCH(ROWS($AC$3:AC7730),$AC$3:$AC$10000,0)),"")</f>
        <v/>
      </c>
    </row>
    <row r="7731" spans="27:30">
      <c r="AA7731" s="117">
        <f>+'Ingredient List - Mother Tinctu'!D7732</f>
        <v>0</v>
      </c>
      <c r="AB7731" s="117">
        <f t="shared" si="123"/>
        <v>0</v>
      </c>
      <c r="AC7731" s="117" t="str">
        <f>IF(AB7731=1,COUNTIF($AB$3:AB7731,1),"")</f>
        <v/>
      </c>
      <c r="AD7731" s="117" t="str">
        <f>IFERROR(INDEX($AA$3:$AA$10000,MATCH(ROWS($AC$3:AC7731),$AC$3:$AC$10000,0)),"")</f>
        <v/>
      </c>
    </row>
    <row r="7732" spans="27:30">
      <c r="AA7732" s="117">
        <f>+'Ingredient List - Mother Tinctu'!D7733</f>
        <v>0</v>
      </c>
      <c r="AB7732" s="117">
        <f t="shared" si="123"/>
        <v>0</v>
      </c>
      <c r="AC7732" s="117" t="str">
        <f>IF(AB7732=1,COUNTIF($AB$3:AB7732,1),"")</f>
        <v/>
      </c>
      <c r="AD7732" s="117" t="str">
        <f>IFERROR(INDEX($AA$3:$AA$10000,MATCH(ROWS($AC$3:AC7732),$AC$3:$AC$10000,0)),"")</f>
        <v/>
      </c>
    </row>
    <row r="7733" spans="27:30">
      <c r="AA7733" s="117">
        <f>+'Ingredient List - Mother Tinctu'!D7734</f>
        <v>0</v>
      </c>
      <c r="AB7733" s="117">
        <f t="shared" si="123"/>
        <v>0</v>
      </c>
      <c r="AC7733" s="117" t="str">
        <f>IF(AB7733=1,COUNTIF($AB$3:AB7733,1),"")</f>
        <v/>
      </c>
      <c r="AD7733" s="117" t="str">
        <f>IFERROR(INDEX($AA$3:$AA$10000,MATCH(ROWS($AC$3:AC7733),$AC$3:$AC$10000,0)),"")</f>
        <v/>
      </c>
    </row>
    <row r="7734" spans="27:30">
      <c r="AA7734" s="117">
        <f>+'Ingredient List - Mother Tinctu'!D7735</f>
        <v>0</v>
      </c>
      <c r="AB7734" s="117">
        <f t="shared" si="123"/>
        <v>0</v>
      </c>
      <c r="AC7734" s="117" t="str">
        <f>IF(AB7734=1,COUNTIF($AB$3:AB7734,1),"")</f>
        <v/>
      </c>
      <c r="AD7734" s="117" t="str">
        <f>IFERROR(INDEX($AA$3:$AA$10000,MATCH(ROWS($AC$3:AC7734),$AC$3:$AC$10000,0)),"")</f>
        <v/>
      </c>
    </row>
    <row r="7735" spans="27:30">
      <c r="AA7735" s="117">
        <f>+'Ingredient List - Mother Tinctu'!D7736</f>
        <v>0</v>
      </c>
      <c r="AB7735" s="117">
        <f t="shared" si="123"/>
        <v>0</v>
      </c>
      <c r="AC7735" s="117" t="str">
        <f>IF(AB7735=1,COUNTIF($AB$3:AB7735,1),"")</f>
        <v/>
      </c>
      <c r="AD7735" s="117" t="str">
        <f>IFERROR(INDEX($AA$3:$AA$10000,MATCH(ROWS($AC$3:AC7735),$AC$3:$AC$10000,0)),"")</f>
        <v/>
      </c>
    </row>
    <row r="7736" spans="27:30">
      <c r="AA7736" s="117">
        <f>+'Ingredient List - Mother Tinctu'!D7737</f>
        <v>0</v>
      </c>
      <c r="AB7736" s="117">
        <f t="shared" si="123"/>
        <v>0</v>
      </c>
      <c r="AC7736" s="117" t="str">
        <f>IF(AB7736=1,COUNTIF($AB$3:AB7736,1),"")</f>
        <v/>
      </c>
      <c r="AD7736" s="117" t="str">
        <f>IFERROR(INDEX($AA$3:$AA$10000,MATCH(ROWS($AC$3:AC7736),$AC$3:$AC$10000,0)),"")</f>
        <v/>
      </c>
    </row>
    <row r="7737" spans="27:30">
      <c r="AA7737" s="117">
        <f>+'Ingredient List - Mother Tinctu'!D7738</f>
        <v>0</v>
      </c>
      <c r="AB7737" s="117">
        <f t="shared" si="123"/>
        <v>0</v>
      </c>
      <c r="AC7737" s="117" t="str">
        <f>IF(AB7737=1,COUNTIF($AB$3:AB7737,1),"")</f>
        <v/>
      </c>
      <c r="AD7737" s="117" t="str">
        <f>IFERROR(INDEX($AA$3:$AA$10000,MATCH(ROWS($AC$3:AC7737),$AC$3:$AC$10000,0)),"")</f>
        <v/>
      </c>
    </row>
    <row r="7738" spans="27:30">
      <c r="AA7738" s="117">
        <f>+'Ingredient List - Mother Tinctu'!D7739</f>
        <v>0</v>
      </c>
      <c r="AB7738" s="117">
        <f t="shared" si="123"/>
        <v>0</v>
      </c>
      <c r="AC7738" s="117" t="str">
        <f>IF(AB7738=1,COUNTIF($AB$3:AB7738,1),"")</f>
        <v/>
      </c>
      <c r="AD7738" s="117" t="str">
        <f>IFERROR(INDEX($AA$3:$AA$10000,MATCH(ROWS($AC$3:AC7738),$AC$3:$AC$10000,0)),"")</f>
        <v/>
      </c>
    </row>
    <row r="7739" spans="27:30">
      <c r="AA7739" s="117">
        <f>+'Ingredient List - Mother Tinctu'!D7740</f>
        <v>0</v>
      </c>
      <c r="AB7739" s="117">
        <f t="shared" si="123"/>
        <v>0</v>
      </c>
      <c r="AC7739" s="117" t="str">
        <f>IF(AB7739=1,COUNTIF($AB$3:AB7739,1),"")</f>
        <v/>
      </c>
      <c r="AD7739" s="117" t="str">
        <f>IFERROR(INDEX($AA$3:$AA$10000,MATCH(ROWS($AC$3:AC7739),$AC$3:$AC$10000,0)),"")</f>
        <v/>
      </c>
    </row>
    <row r="7740" spans="27:30">
      <c r="AA7740" s="117">
        <f>+'Ingredient List - Mother Tinctu'!D7741</f>
        <v>0</v>
      </c>
      <c r="AB7740" s="117">
        <f t="shared" si="123"/>
        <v>0</v>
      </c>
      <c r="AC7740" s="117" t="str">
        <f>IF(AB7740=1,COUNTIF($AB$3:AB7740,1),"")</f>
        <v/>
      </c>
      <c r="AD7740" s="117" t="str">
        <f>IFERROR(INDEX($AA$3:$AA$10000,MATCH(ROWS($AC$3:AC7740),$AC$3:$AC$10000,0)),"")</f>
        <v/>
      </c>
    </row>
    <row r="7741" spans="27:30">
      <c r="AA7741" s="117">
        <f>+'Ingredient List - Mother Tinctu'!D7742</f>
        <v>0</v>
      </c>
      <c r="AB7741" s="117">
        <f t="shared" si="123"/>
        <v>0</v>
      </c>
      <c r="AC7741" s="117" t="str">
        <f>IF(AB7741=1,COUNTIF($AB$3:AB7741,1),"")</f>
        <v/>
      </c>
      <c r="AD7741" s="117" t="str">
        <f>IFERROR(INDEX($AA$3:$AA$10000,MATCH(ROWS($AC$3:AC7741),$AC$3:$AC$10000,0)),"")</f>
        <v/>
      </c>
    </row>
    <row r="7742" spans="27:30">
      <c r="AA7742" s="117">
        <f>+'Ingredient List - Mother Tinctu'!D7743</f>
        <v>0</v>
      </c>
      <c r="AB7742" s="117">
        <f t="shared" si="123"/>
        <v>0</v>
      </c>
      <c r="AC7742" s="117" t="str">
        <f>IF(AB7742=1,COUNTIF($AB$3:AB7742,1),"")</f>
        <v/>
      </c>
      <c r="AD7742" s="117" t="str">
        <f>IFERROR(INDEX($AA$3:$AA$10000,MATCH(ROWS($AC$3:AC7742),$AC$3:$AC$10000,0)),"")</f>
        <v/>
      </c>
    </row>
    <row r="7743" spans="27:30">
      <c r="AA7743" s="117">
        <f>+'Ingredient List - Mother Tinctu'!D7744</f>
        <v>0</v>
      </c>
      <c r="AB7743" s="117">
        <f t="shared" si="123"/>
        <v>0</v>
      </c>
      <c r="AC7743" s="117" t="str">
        <f>IF(AB7743=1,COUNTIF($AB$3:AB7743,1),"")</f>
        <v/>
      </c>
      <c r="AD7743" s="117" t="str">
        <f>IFERROR(INDEX($AA$3:$AA$10000,MATCH(ROWS($AC$3:AC7743),$AC$3:$AC$10000,0)),"")</f>
        <v/>
      </c>
    </row>
    <row r="7744" spans="27:30">
      <c r="AA7744" s="117">
        <f>+'Ingredient List - Mother Tinctu'!D7745</f>
        <v>0</v>
      </c>
      <c r="AB7744" s="117">
        <f t="shared" si="123"/>
        <v>0</v>
      </c>
      <c r="AC7744" s="117" t="str">
        <f>IF(AB7744=1,COUNTIF($AB$3:AB7744,1),"")</f>
        <v/>
      </c>
      <c r="AD7744" s="117" t="str">
        <f>IFERROR(INDEX($AA$3:$AA$10000,MATCH(ROWS($AC$3:AC7744),$AC$3:$AC$10000,0)),"")</f>
        <v/>
      </c>
    </row>
    <row r="7745" spans="27:30">
      <c r="AA7745" s="117">
        <f>+'Ingredient List - Mother Tinctu'!D7746</f>
        <v>0</v>
      </c>
      <c r="AB7745" s="117">
        <f t="shared" si="123"/>
        <v>0</v>
      </c>
      <c r="AC7745" s="117" t="str">
        <f>IF(AB7745=1,COUNTIF($AB$3:AB7745,1),"")</f>
        <v/>
      </c>
      <c r="AD7745" s="117" t="str">
        <f>IFERROR(INDEX($AA$3:$AA$10000,MATCH(ROWS($AC$3:AC7745),$AC$3:$AC$10000,0)),"")</f>
        <v/>
      </c>
    </row>
    <row r="7746" spans="27:30">
      <c r="AA7746" s="117">
        <f>+'Ingredient List - Mother Tinctu'!D7747</f>
        <v>0</v>
      </c>
      <c r="AB7746" s="117">
        <f t="shared" si="123"/>
        <v>0</v>
      </c>
      <c r="AC7746" s="117" t="str">
        <f>IF(AB7746=1,COUNTIF($AB$3:AB7746,1),"")</f>
        <v/>
      </c>
      <c r="AD7746" s="117" t="str">
        <f>IFERROR(INDEX($AA$3:$AA$10000,MATCH(ROWS($AC$3:AC7746),$AC$3:$AC$10000,0)),"")</f>
        <v/>
      </c>
    </row>
    <row r="7747" spans="27:30">
      <c r="AA7747" s="117">
        <f>+'Ingredient List - Mother Tinctu'!D7748</f>
        <v>0</v>
      </c>
      <c r="AB7747" s="117">
        <f t="shared" si="123"/>
        <v>0</v>
      </c>
      <c r="AC7747" s="117" t="str">
        <f>IF(AB7747=1,COUNTIF($AB$3:AB7747,1),"")</f>
        <v/>
      </c>
      <c r="AD7747" s="117" t="str">
        <f>IFERROR(INDEX($AA$3:$AA$10000,MATCH(ROWS($AC$3:AC7747),$AC$3:$AC$10000,0)),"")</f>
        <v/>
      </c>
    </row>
    <row r="7748" spans="27:30">
      <c r="AA7748" s="117">
        <f>+'Ingredient List - Mother Tinctu'!D7749</f>
        <v>0</v>
      </c>
      <c r="AB7748" s="117">
        <f t="shared" ref="AB7748:AB7811" si="124">--ISNUMBER(IFERROR(SEARCH($D$3,AA7748,1),""))</f>
        <v>0</v>
      </c>
      <c r="AC7748" s="117" t="str">
        <f>IF(AB7748=1,COUNTIF($AB$3:AB7748,1),"")</f>
        <v/>
      </c>
      <c r="AD7748" s="117" t="str">
        <f>IFERROR(INDEX($AA$3:$AA$10000,MATCH(ROWS($AC$3:AC7748),$AC$3:$AC$10000,0)),"")</f>
        <v/>
      </c>
    </row>
    <row r="7749" spans="27:30">
      <c r="AA7749" s="117">
        <f>+'Ingredient List - Mother Tinctu'!D7750</f>
        <v>0</v>
      </c>
      <c r="AB7749" s="117">
        <f t="shared" si="124"/>
        <v>0</v>
      </c>
      <c r="AC7749" s="117" t="str">
        <f>IF(AB7749=1,COUNTIF($AB$3:AB7749,1),"")</f>
        <v/>
      </c>
      <c r="AD7749" s="117" t="str">
        <f>IFERROR(INDEX($AA$3:$AA$10000,MATCH(ROWS($AC$3:AC7749),$AC$3:$AC$10000,0)),"")</f>
        <v/>
      </c>
    </row>
    <row r="7750" spans="27:30">
      <c r="AA7750" s="117">
        <f>+'Ingredient List - Mother Tinctu'!D7751</f>
        <v>0</v>
      </c>
      <c r="AB7750" s="117">
        <f t="shared" si="124"/>
        <v>0</v>
      </c>
      <c r="AC7750" s="117" t="str">
        <f>IF(AB7750=1,COUNTIF($AB$3:AB7750,1),"")</f>
        <v/>
      </c>
      <c r="AD7750" s="117" t="str">
        <f>IFERROR(INDEX($AA$3:$AA$10000,MATCH(ROWS($AC$3:AC7750),$AC$3:$AC$10000,0)),"")</f>
        <v/>
      </c>
    </row>
    <row r="7751" spans="27:30">
      <c r="AA7751" s="117">
        <f>+'Ingredient List - Mother Tinctu'!D7752</f>
        <v>0</v>
      </c>
      <c r="AB7751" s="117">
        <f t="shared" si="124"/>
        <v>0</v>
      </c>
      <c r="AC7751" s="117" t="str">
        <f>IF(AB7751=1,COUNTIF($AB$3:AB7751,1),"")</f>
        <v/>
      </c>
      <c r="AD7751" s="117" t="str">
        <f>IFERROR(INDEX($AA$3:$AA$10000,MATCH(ROWS($AC$3:AC7751),$AC$3:$AC$10000,0)),"")</f>
        <v/>
      </c>
    </row>
    <row r="7752" spans="27:30">
      <c r="AA7752" s="117">
        <f>+'Ingredient List - Mother Tinctu'!D7753</f>
        <v>0</v>
      </c>
      <c r="AB7752" s="117">
        <f t="shared" si="124"/>
        <v>0</v>
      </c>
      <c r="AC7752" s="117" t="str">
        <f>IF(AB7752=1,COUNTIF($AB$3:AB7752,1),"")</f>
        <v/>
      </c>
      <c r="AD7752" s="117" t="str">
        <f>IFERROR(INDEX($AA$3:$AA$10000,MATCH(ROWS($AC$3:AC7752),$AC$3:$AC$10000,0)),"")</f>
        <v/>
      </c>
    </row>
    <row r="7753" spans="27:30">
      <c r="AA7753" s="117">
        <f>+'Ingredient List - Mother Tinctu'!D7754</f>
        <v>0</v>
      </c>
      <c r="AB7753" s="117">
        <f t="shared" si="124"/>
        <v>0</v>
      </c>
      <c r="AC7753" s="117" t="str">
        <f>IF(AB7753=1,COUNTIF($AB$3:AB7753,1),"")</f>
        <v/>
      </c>
      <c r="AD7753" s="117" t="str">
        <f>IFERROR(INDEX($AA$3:$AA$10000,MATCH(ROWS($AC$3:AC7753),$AC$3:$AC$10000,0)),"")</f>
        <v/>
      </c>
    </row>
    <row r="7754" spans="27:30">
      <c r="AA7754" s="117">
        <f>+'Ingredient List - Mother Tinctu'!D7755</f>
        <v>0</v>
      </c>
      <c r="AB7754" s="117">
        <f t="shared" si="124"/>
        <v>0</v>
      </c>
      <c r="AC7754" s="117" t="str">
        <f>IF(AB7754=1,COUNTIF($AB$3:AB7754,1),"")</f>
        <v/>
      </c>
      <c r="AD7754" s="117" t="str">
        <f>IFERROR(INDEX($AA$3:$AA$10000,MATCH(ROWS($AC$3:AC7754),$AC$3:$AC$10000,0)),"")</f>
        <v/>
      </c>
    </row>
    <row r="7755" spans="27:30">
      <c r="AA7755" s="117">
        <f>+'Ingredient List - Mother Tinctu'!D7756</f>
        <v>0</v>
      </c>
      <c r="AB7755" s="117">
        <f t="shared" si="124"/>
        <v>0</v>
      </c>
      <c r="AC7755" s="117" t="str">
        <f>IF(AB7755=1,COUNTIF($AB$3:AB7755,1),"")</f>
        <v/>
      </c>
      <c r="AD7755" s="117" t="str">
        <f>IFERROR(INDEX($AA$3:$AA$10000,MATCH(ROWS($AC$3:AC7755),$AC$3:$AC$10000,0)),"")</f>
        <v/>
      </c>
    </row>
    <row r="7756" spans="27:30">
      <c r="AA7756" s="117">
        <f>+'Ingredient List - Mother Tinctu'!D7757</f>
        <v>0</v>
      </c>
      <c r="AB7756" s="117">
        <f t="shared" si="124"/>
        <v>0</v>
      </c>
      <c r="AC7756" s="117" t="str">
        <f>IF(AB7756=1,COUNTIF($AB$3:AB7756,1),"")</f>
        <v/>
      </c>
      <c r="AD7756" s="117" t="str">
        <f>IFERROR(INDEX($AA$3:$AA$10000,MATCH(ROWS($AC$3:AC7756),$AC$3:$AC$10000,0)),"")</f>
        <v/>
      </c>
    </row>
    <row r="7757" spans="27:30">
      <c r="AA7757" s="117">
        <f>+'Ingredient List - Mother Tinctu'!D7758</f>
        <v>0</v>
      </c>
      <c r="AB7757" s="117">
        <f t="shared" si="124"/>
        <v>0</v>
      </c>
      <c r="AC7757" s="117" t="str">
        <f>IF(AB7757=1,COUNTIF($AB$3:AB7757,1),"")</f>
        <v/>
      </c>
      <c r="AD7757" s="117" t="str">
        <f>IFERROR(INDEX($AA$3:$AA$10000,MATCH(ROWS($AC$3:AC7757),$AC$3:$AC$10000,0)),"")</f>
        <v/>
      </c>
    </row>
    <row r="7758" spans="27:30">
      <c r="AA7758" s="117">
        <f>+'Ingredient List - Mother Tinctu'!D7759</f>
        <v>0</v>
      </c>
      <c r="AB7758" s="117">
        <f t="shared" si="124"/>
        <v>0</v>
      </c>
      <c r="AC7758" s="117" t="str">
        <f>IF(AB7758=1,COUNTIF($AB$3:AB7758,1),"")</f>
        <v/>
      </c>
      <c r="AD7758" s="117" t="str">
        <f>IFERROR(INDEX($AA$3:$AA$10000,MATCH(ROWS($AC$3:AC7758),$AC$3:$AC$10000,0)),"")</f>
        <v/>
      </c>
    </row>
    <row r="7759" spans="27:30">
      <c r="AA7759" s="117">
        <f>+'Ingredient List - Mother Tinctu'!D7760</f>
        <v>0</v>
      </c>
      <c r="AB7759" s="117">
        <f t="shared" si="124"/>
        <v>0</v>
      </c>
      <c r="AC7759" s="117" t="str">
        <f>IF(AB7759=1,COUNTIF($AB$3:AB7759,1),"")</f>
        <v/>
      </c>
      <c r="AD7759" s="117" t="str">
        <f>IFERROR(INDEX($AA$3:$AA$10000,MATCH(ROWS($AC$3:AC7759),$AC$3:$AC$10000,0)),"")</f>
        <v/>
      </c>
    </row>
    <row r="7760" spans="27:30">
      <c r="AA7760" s="117">
        <f>+'Ingredient List - Mother Tinctu'!D7761</f>
        <v>0</v>
      </c>
      <c r="AB7760" s="117">
        <f t="shared" si="124"/>
        <v>0</v>
      </c>
      <c r="AC7760" s="117" t="str">
        <f>IF(AB7760=1,COUNTIF($AB$3:AB7760,1),"")</f>
        <v/>
      </c>
      <c r="AD7760" s="117" t="str">
        <f>IFERROR(INDEX($AA$3:$AA$10000,MATCH(ROWS($AC$3:AC7760),$AC$3:$AC$10000,0)),"")</f>
        <v/>
      </c>
    </row>
    <row r="7761" spans="27:30">
      <c r="AA7761" s="117">
        <f>+'Ingredient List - Mother Tinctu'!D7762</f>
        <v>0</v>
      </c>
      <c r="AB7761" s="117">
        <f t="shared" si="124"/>
        <v>0</v>
      </c>
      <c r="AC7761" s="117" t="str">
        <f>IF(AB7761=1,COUNTIF($AB$3:AB7761,1),"")</f>
        <v/>
      </c>
      <c r="AD7761" s="117" t="str">
        <f>IFERROR(INDEX($AA$3:$AA$10000,MATCH(ROWS($AC$3:AC7761),$AC$3:$AC$10000,0)),"")</f>
        <v/>
      </c>
    </row>
    <row r="7762" spans="27:30">
      <c r="AA7762" s="117">
        <f>+'Ingredient List - Mother Tinctu'!D7763</f>
        <v>0</v>
      </c>
      <c r="AB7762" s="117">
        <f t="shared" si="124"/>
        <v>0</v>
      </c>
      <c r="AC7762" s="117" t="str">
        <f>IF(AB7762=1,COUNTIF($AB$3:AB7762,1),"")</f>
        <v/>
      </c>
      <c r="AD7762" s="117" t="str">
        <f>IFERROR(INDEX($AA$3:$AA$10000,MATCH(ROWS($AC$3:AC7762),$AC$3:$AC$10000,0)),"")</f>
        <v/>
      </c>
    </row>
    <row r="7763" spans="27:30">
      <c r="AA7763" s="117">
        <f>+'Ingredient List - Mother Tinctu'!D7764</f>
        <v>0</v>
      </c>
      <c r="AB7763" s="117">
        <f t="shared" si="124"/>
        <v>0</v>
      </c>
      <c r="AC7763" s="117" t="str">
        <f>IF(AB7763=1,COUNTIF($AB$3:AB7763,1),"")</f>
        <v/>
      </c>
      <c r="AD7763" s="117" t="str">
        <f>IFERROR(INDEX($AA$3:$AA$10000,MATCH(ROWS($AC$3:AC7763),$AC$3:$AC$10000,0)),"")</f>
        <v/>
      </c>
    </row>
    <row r="7764" spans="27:30">
      <c r="AA7764" s="117">
        <f>+'Ingredient List - Mother Tinctu'!D7765</f>
        <v>0</v>
      </c>
      <c r="AB7764" s="117">
        <f t="shared" si="124"/>
        <v>0</v>
      </c>
      <c r="AC7764" s="117" t="str">
        <f>IF(AB7764=1,COUNTIF($AB$3:AB7764,1),"")</f>
        <v/>
      </c>
      <c r="AD7764" s="117" t="str">
        <f>IFERROR(INDEX($AA$3:$AA$10000,MATCH(ROWS($AC$3:AC7764),$AC$3:$AC$10000,0)),"")</f>
        <v/>
      </c>
    </row>
    <row r="7765" spans="27:30">
      <c r="AA7765" s="117">
        <f>+'Ingredient List - Mother Tinctu'!D7766</f>
        <v>0</v>
      </c>
      <c r="AB7765" s="117">
        <f t="shared" si="124"/>
        <v>0</v>
      </c>
      <c r="AC7765" s="117" t="str">
        <f>IF(AB7765=1,COUNTIF($AB$3:AB7765,1),"")</f>
        <v/>
      </c>
      <c r="AD7765" s="117" t="str">
        <f>IFERROR(INDEX($AA$3:$AA$10000,MATCH(ROWS($AC$3:AC7765),$AC$3:$AC$10000,0)),"")</f>
        <v/>
      </c>
    </row>
    <row r="7766" spans="27:30">
      <c r="AA7766" s="117">
        <f>+'Ingredient List - Mother Tinctu'!D7767</f>
        <v>0</v>
      </c>
      <c r="AB7766" s="117">
        <f t="shared" si="124"/>
        <v>0</v>
      </c>
      <c r="AC7766" s="117" t="str">
        <f>IF(AB7766=1,COUNTIF($AB$3:AB7766,1),"")</f>
        <v/>
      </c>
      <c r="AD7766" s="117" t="str">
        <f>IFERROR(INDEX($AA$3:$AA$10000,MATCH(ROWS($AC$3:AC7766),$AC$3:$AC$10000,0)),"")</f>
        <v/>
      </c>
    </row>
    <row r="7767" spans="27:30">
      <c r="AA7767" s="117">
        <f>+'Ingredient List - Mother Tinctu'!D7768</f>
        <v>0</v>
      </c>
      <c r="AB7767" s="117">
        <f t="shared" si="124"/>
        <v>0</v>
      </c>
      <c r="AC7767" s="117" t="str">
        <f>IF(AB7767=1,COUNTIF($AB$3:AB7767,1),"")</f>
        <v/>
      </c>
      <c r="AD7767" s="117" t="str">
        <f>IFERROR(INDEX($AA$3:$AA$10000,MATCH(ROWS($AC$3:AC7767),$AC$3:$AC$10000,0)),"")</f>
        <v/>
      </c>
    </row>
    <row r="7768" spans="27:30">
      <c r="AA7768" s="117">
        <f>+'Ingredient List - Mother Tinctu'!D7769</f>
        <v>0</v>
      </c>
      <c r="AB7768" s="117">
        <f t="shared" si="124"/>
        <v>0</v>
      </c>
      <c r="AC7768" s="117" t="str">
        <f>IF(AB7768=1,COUNTIF($AB$3:AB7768,1),"")</f>
        <v/>
      </c>
      <c r="AD7768" s="117" t="str">
        <f>IFERROR(INDEX($AA$3:$AA$10000,MATCH(ROWS($AC$3:AC7768),$AC$3:$AC$10000,0)),"")</f>
        <v/>
      </c>
    </row>
    <row r="7769" spans="27:30">
      <c r="AA7769" s="117">
        <f>+'Ingredient List - Mother Tinctu'!D7770</f>
        <v>0</v>
      </c>
      <c r="AB7769" s="117">
        <f t="shared" si="124"/>
        <v>0</v>
      </c>
      <c r="AC7769" s="117" t="str">
        <f>IF(AB7769=1,COUNTIF($AB$3:AB7769,1),"")</f>
        <v/>
      </c>
      <c r="AD7769" s="117" t="str">
        <f>IFERROR(INDEX($AA$3:$AA$10000,MATCH(ROWS($AC$3:AC7769),$AC$3:$AC$10000,0)),"")</f>
        <v/>
      </c>
    </row>
    <row r="7770" spans="27:30">
      <c r="AA7770" s="117">
        <f>+'Ingredient List - Mother Tinctu'!D7771</f>
        <v>0</v>
      </c>
      <c r="AB7770" s="117">
        <f t="shared" si="124"/>
        <v>0</v>
      </c>
      <c r="AC7770" s="117" t="str">
        <f>IF(AB7770=1,COUNTIF($AB$3:AB7770,1),"")</f>
        <v/>
      </c>
      <c r="AD7770" s="117" t="str">
        <f>IFERROR(INDEX($AA$3:$AA$10000,MATCH(ROWS($AC$3:AC7770),$AC$3:$AC$10000,0)),"")</f>
        <v/>
      </c>
    </row>
    <row r="7771" spans="27:30">
      <c r="AA7771" s="117">
        <f>+'Ingredient List - Mother Tinctu'!D7772</f>
        <v>0</v>
      </c>
      <c r="AB7771" s="117">
        <f t="shared" si="124"/>
        <v>0</v>
      </c>
      <c r="AC7771" s="117" t="str">
        <f>IF(AB7771=1,COUNTIF($AB$3:AB7771,1),"")</f>
        <v/>
      </c>
      <c r="AD7771" s="117" t="str">
        <f>IFERROR(INDEX($AA$3:$AA$10000,MATCH(ROWS($AC$3:AC7771),$AC$3:$AC$10000,0)),"")</f>
        <v/>
      </c>
    </row>
    <row r="7772" spans="27:30">
      <c r="AA7772" s="117">
        <f>+'Ingredient List - Mother Tinctu'!D7773</f>
        <v>0</v>
      </c>
      <c r="AB7772" s="117">
        <f t="shared" si="124"/>
        <v>0</v>
      </c>
      <c r="AC7772" s="117" t="str">
        <f>IF(AB7772=1,COUNTIF($AB$3:AB7772,1),"")</f>
        <v/>
      </c>
      <c r="AD7772" s="117" t="str">
        <f>IFERROR(INDEX($AA$3:$AA$10000,MATCH(ROWS($AC$3:AC7772),$AC$3:$AC$10000,0)),"")</f>
        <v/>
      </c>
    </row>
    <row r="7773" spans="27:30">
      <c r="AA7773" s="117">
        <f>+'Ingredient List - Mother Tinctu'!D7774</f>
        <v>0</v>
      </c>
      <c r="AB7773" s="117">
        <f t="shared" si="124"/>
        <v>0</v>
      </c>
      <c r="AC7773" s="117" t="str">
        <f>IF(AB7773=1,COUNTIF($AB$3:AB7773,1),"")</f>
        <v/>
      </c>
      <c r="AD7773" s="117" t="str">
        <f>IFERROR(INDEX($AA$3:$AA$10000,MATCH(ROWS($AC$3:AC7773),$AC$3:$AC$10000,0)),"")</f>
        <v/>
      </c>
    </row>
    <row r="7774" spans="27:30">
      <c r="AA7774" s="117">
        <f>+'Ingredient List - Mother Tinctu'!D7775</f>
        <v>0</v>
      </c>
      <c r="AB7774" s="117">
        <f t="shared" si="124"/>
        <v>0</v>
      </c>
      <c r="AC7774" s="117" t="str">
        <f>IF(AB7774=1,COUNTIF($AB$3:AB7774,1),"")</f>
        <v/>
      </c>
      <c r="AD7774" s="117" t="str">
        <f>IFERROR(INDEX($AA$3:$AA$10000,MATCH(ROWS($AC$3:AC7774),$AC$3:$AC$10000,0)),"")</f>
        <v/>
      </c>
    </row>
    <row r="7775" spans="27:30">
      <c r="AA7775" s="117">
        <f>+'Ingredient List - Mother Tinctu'!D7776</f>
        <v>0</v>
      </c>
      <c r="AB7775" s="117">
        <f t="shared" si="124"/>
        <v>0</v>
      </c>
      <c r="AC7775" s="117" t="str">
        <f>IF(AB7775=1,COUNTIF($AB$3:AB7775,1),"")</f>
        <v/>
      </c>
      <c r="AD7775" s="117" t="str">
        <f>IFERROR(INDEX($AA$3:$AA$10000,MATCH(ROWS($AC$3:AC7775),$AC$3:$AC$10000,0)),"")</f>
        <v/>
      </c>
    </row>
    <row r="7776" spans="27:30">
      <c r="AA7776" s="117">
        <f>+'Ingredient List - Mother Tinctu'!D7777</f>
        <v>0</v>
      </c>
      <c r="AB7776" s="117">
        <f t="shared" si="124"/>
        <v>0</v>
      </c>
      <c r="AC7776" s="117" t="str">
        <f>IF(AB7776=1,COUNTIF($AB$3:AB7776,1),"")</f>
        <v/>
      </c>
      <c r="AD7776" s="117" t="str">
        <f>IFERROR(INDEX($AA$3:$AA$10000,MATCH(ROWS($AC$3:AC7776),$AC$3:$AC$10000,0)),"")</f>
        <v/>
      </c>
    </row>
    <row r="7777" spans="27:30">
      <c r="AA7777" s="117">
        <f>+'Ingredient List - Mother Tinctu'!D7778</f>
        <v>0</v>
      </c>
      <c r="AB7777" s="117">
        <f t="shared" si="124"/>
        <v>0</v>
      </c>
      <c r="AC7777" s="117" t="str">
        <f>IF(AB7777=1,COUNTIF($AB$3:AB7777,1),"")</f>
        <v/>
      </c>
      <c r="AD7777" s="117" t="str">
        <f>IFERROR(INDEX($AA$3:$AA$10000,MATCH(ROWS($AC$3:AC7777),$AC$3:$AC$10000,0)),"")</f>
        <v/>
      </c>
    </row>
    <row r="7778" spans="27:30">
      <c r="AA7778" s="117">
        <f>+'Ingredient List - Mother Tinctu'!D7779</f>
        <v>0</v>
      </c>
      <c r="AB7778" s="117">
        <f t="shared" si="124"/>
        <v>0</v>
      </c>
      <c r="AC7778" s="117" t="str">
        <f>IF(AB7778=1,COUNTIF($AB$3:AB7778,1),"")</f>
        <v/>
      </c>
      <c r="AD7778" s="117" t="str">
        <f>IFERROR(INDEX($AA$3:$AA$10000,MATCH(ROWS($AC$3:AC7778),$AC$3:$AC$10000,0)),"")</f>
        <v/>
      </c>
    </row>
    <row r="7779" spans="27:30">
      <c r="AA7779" s="117">
        <f>+'Ingredient List - Mother Tinctu'!D7780</f>
        <v>0</v>
      </c>
      <c r="AB7779" s="117">
        <f t="shared" si="124"/>
        <v>0</v>
      </c>
      <c r="AC7779" s="117" t="str">
        <f>IF(AB7779=1,COUNTIF($AB$3:AB7779,1),"")</f>
        <v/>
      </c>
      <c r="AD7779" s="117" t="str">
        <f>IFERROR(INDEX($AA$3:$AA$10000,MATCH(ROWS($AC$3:AC7779),$AC$3:$AC$10000,0)),"")</f>
        <v/>
      </c>
    </row>
    <row r="7780" spans="27:30">
      <c r="AA7780" s="117">
        <f>+'Ingredient List - Mother Tinctu'!D7781</f>
        <v>0</v>
      </c>
      <c r="AB7780" s="117">
        <f t="shared" si="124"/>
        <v>0</v>
      </c>
      <c r="AC7780" s="117" t="str">
        <f>IF(AB7780=1,COUNTIF($AB$3:AB7780,1),"")</f>
        <v/>
      </c>
      <c r="AD7780" s="117" t="str">
        <f>IFERROR(INDEX($AA$3:$AA$10000,MATCH(ROWS($AC$3:AC7780),$AC$3:$AC$10000,0)),"")</f>
        <v/>
      </c>
    </row>
    <row r="7781" spans="27:30">
      <c r="AA7781" s="117">
        <f>+'Ingredient List - Mother Tinctu'!D7782</f>
        <v>0</v>
      </c>
      <c r="AB7781" s="117">
        <f t="shared" si="124"/>
        <v>0</v>
      </c>
      <c r="AC7781" s="117" t="str">
        <f>IF(AB7781=1,COUNTIF($AB$3:AB7781,1),"")</f>
        <v/>
      </c>
      <c r="AD7781" s="117" t="str">
        <f>IFERROR(INDEX($AA$3:$AA$10000,MATCH(ROWS($AC$3:AC7781),$AC$3:$AC$10000,0)),"")</f>
        <v/>
      </c>
    </row>
    <row r="7782" spans="27:30">
      <c r="AA7782" s="117">
        <f>+'Ingredient List - Mother Tinctu'!D7783</f>
        <v>0</v>
      </c>
      <c r="AB7782" s="117">
        <f t="shared" si="124"/>
        <v>0</v>
      </c>
      <c r="AC7782" s="117" t="str">
        <f>IF(AB7782=1,COUNTIF($AB$3:AB7782,1),"")</f>
        <v/>
      </c>
      <c r="AD7782" s="117" t="str">
        <f>IFERROR(INDEX($AA$3:$AA$10000,MATCH(ROWS($AC$3:AC7782),$AC$3:$AC$10000,0)),"")</f>
        <v/>
      </c>
    </row>
    <row r="7783" spans="27:30">
      <c r="AA7783" s="117">
        <f>+'Ingredient List - Mother Tinctu'!D7784</f>
        <v>0</v>
      </c>
      <c r="AB7783" s="117">
        <f t="shared" si="124"/>
        <v>0</v>
      </c>
      <c r="AC7783" s="117" t="str">
        <f>IF(AB7783=1,COUNTIF($AB$3:AB7783,1),"")</f>
        <v/>
      </c>
      <c r="AD7783" s="117" t="str">
        <f>IFERROR(INDEX($AA$3:$AA$10000,MATCH(ROWS($AC$3:AC7783),$AC$3:$AC$10000,0)),"")</f>
        <v/>
      </c>
    </row>
    <row r="7784" spans="27:30">
      <c r="AA7784" s="117">
        <f>+'Ingredient List - Mother Tinctu'!D7785</f>
        <v>0</v>
      </c>
      <c r="AB7784" s="117">
        <f t="shared" si="124"/>
        <v>0</v>
      </c>
      <c r="AC7784" s="117" t="str">
        <f>IF(AB7784=1,COUNTIF($AB$3:AB7784,1),"")</f>
        <v/>
      </c>
      <c r="AD7784" s="117" t="str">
        <f>IFERROR(INDEX($AA$3:$AA$10000,MATCH(ROWS($AC$3:AC7784),$AC$3:$AC$10000,0)),"")</f>
        <v/>
      </c>
    </row>
    <row r="7785" spans="27:30">
      <c r="AA7785" s="117">
        <f>+'Ingredient List - Mother Tinctu'!D7786</f>
        <v>0</v>
      </c>
      <c r="AB7785" s="117">
        <f t="shared" si="124"/>
        <v>0</v>
      </c>
      <c r="AC7785" s="117" t="str">
        <f>IF(AB7785=1,COUNTIF($AB$3:AB7785,1),"")</f>
        <v/>
      </c>
      <c r="AD7785" s="117" t="str">
        <f>IFERROR(INDEX($AA$3:$AA$10000,MATCH(ROWS($AC$3:AC7785),$AC$3:$AC$10000,0)),"")</f>
        <v/>
      </c>
    </row>
    <row r="7786" spans="27:30">
      <c r="AA7786" s="117">
        <f>+'Ingredient List - Mother Tinctu'!D7787</f>
        <v>0</v>
      </c>
      <c r="AB7786" s="117">
        <f t="shared" si="124"/>
        <v>0</v>
      </c>
      <c r="AC7786" s="117" t="str">
        <f>IF(AB7786=1,COUNTIF($AB$3:AB7786,1),"")</f>
        <v/>
      </c>
      <c r="AD7786" s="117" t="str">
        <f>IFERROR(INDEX($AA$3:$AA$10000,MATCH(ROWS($AC$3:AC7786),$AC$3:$AC$10000,0)),"")</f>
        <v/>
      </c>
    </row>
    <row r="7787" spans="27:30">
      <c r="AA7787" s="117">
        <f>+'Ingredient List - Mother Tinctu'!D7788</f>
        <v>0</v>
      </c>
      <c r="AB7787" s="117">
        <f t="shared" si="124"/>
        <v>0</v>
      </c>
      <c r="AC7787" s="117" t="str">
        <f>IF(AB7787=1,COUNTIF($AB$3:AB7787,1),"")</f>
        <v/>
      </c>
      <c r="AD7787" s="117" t="str">
        <f>IFERROR(INDEX($AA$3:$AA$10000,MATCH(ROWS($AC$3:AC7787),$AC$3:$AC$10000,0)),"")</f>
        <v/>
      </c>
    </row>
    <row r="7788" spans="27:30">
      <c r="AA7788" s="117">
        <f>+'Ingredient List - Mother Tinctu'!D7789</f>
        <v>0</v>
      </c>
      <c r="AB7788" s="117">
        <f t="shared" si="124"/>
        <v>0</v>
      </c>
      <c r="AC7788" s="117" t="str">
        <f>IF(AB7788=1,COUNTIF($AB$3:AB7788,1),"")</f>
        <v/>
      </c>
      <c r="AD7788" s="117" t="str">
        <f>IFERROR(INDEX($AA$3:$AA$10000,MATCH(ROWS($AC$3:AC7788),$AC$3:$AC$10000,0)),"")</f>
        <v/>
      </c>
    </row>
    <row r="7789" spans="27:30">
      <c r="AA7789" s="117">
        <f>+'Ingredient List - Mother Tinctu'!D7790</f>
        <v>0</v>
      </c>
      <c r="AB7789" s="117">
        <f t="shared" si="124"/>
        <v>0</v>
      </c>
      <c r="AC7789" s="117" t="str">
        <f>IF(AB7789=1,COUNTIF($AB$3:AB7789,1),"")</f>
        <v/>
      </c>
      <c r="AD7789" s="117" t="str">
        <f>IFERROR(INDEX($AA$3:$AA$10000,MATCH(ROWS($AC$3:AC7789),$AC$3:$AC$10000,0)),"")</f>
        <v/>
      </c>
    </row>
    <row r="7790" spans="27:30">
      <c r="AA7790" s="117">
        <f>+'Ingredient List - Mother Tinctu'!D7791</f>
        <v>0</v>
      </c>
      <c r="AB7790" s="117">
        <f t="shared" si="124"/>
        <v>0</v>
      </c>
      <c r="AC7790" s="117" t="str">
        <f>IF(AB7790=1,COUNTIF($AB$3:AB7790,1),"")</f>
        <v/>
      </c>
      <c r="AD7790" s="117" t="str">
        <f>IFERROR(INDEX($AA$3:$AA$10000,MATCH(ROWS($AC$3:AC7790),$AC$3:$AC$10000,0)),"")</f>
        <v/>
      </c>
    </row>
    <row r="7791" spans="27:30">
      <c r="AA7791" s="117">
        <f>+'Ingredient List - Mother Tinctu'!D7792</f>
        <v>0</v>
      </c>
      <c r="AB7791" s="117">
        <f t="shared" si="124"/>
        <v>0</v>
      </c>
      <c r="AC7791" s="117" t="str">
        <f>IF(AB7791=1,COUNTIF($AB$3:AB7791,1),"")</f>
        <v/>
      </c>
      <c r="AD7791" s="117" t="str">
        <f>IFERROR(INDEX($AA$3:$AA$10000,MATCH(ROWS($AC$3:AC7791),$AC$3:$AC$10000,0)),"")</f>
        <v/>
      </c>
    </row>
    <row r="7792" spans="27:30">
      <c r="AA7792" s="117">
        <f>+'Ingredient List - Mother Tinctu'!D7793</f>
        <v>0</v>
      </c>
      <c r="AB7792" s="117">
        <f t="shared" si="124"/>
        <v>0</v>
      </c>
      <c r="AC7792" s="117" t="str">
        <f>IF(AB7792=1,COUNTIF($AB$3:AB7792,1),"")</f>
        <v/>
      </c>
      <c r="AD7792" s="117" t="str">
        <f>IFERROR(INDEX($AA$3:$AA$10000,MATCH(ROWS($AC$3:AC7792),$AC$3:$AC$10000,0)),"")</f>
        <v/>
      </c>
    </row>
    <row r="7793" spans="27:30">
      <c r="AA7793" s="117">
        <f>+'Ingredient List - Mother Tinctu'!D7794</f>
        <v>0</v>
      </c>
      <c r="AB7793" s="117">
        <f t="shared" si="124"/>
        <v>0</v>
      </c>
      <c r="AC7793" s="117" t="str">
        <f>IF(AB7793=1,COUNTIF($AB$3:AB7793,1),"")</f>
        <v/>
      </c>
      <c r="AD7793" s="117" t="str">
        <f>IFERROR(INDEX($AA$3:$AA$10000,MATCH(ROWS($AC$3:AC7793),$AC$3:$AC$10000,0)),"")</f>
        <v/>
      </c>
    </row>
    <row r="7794" spans="27:30">
      <c r="AA7794" s="117">
        <f>+'Ingredient List - Mother Tinctu'!D7795</f>
        <v>0</v>
      </c>
      <c r="AB7794" s="117">
        <f t="shared" si="124"/>
        <v>0</v>
      </c>
      <c r="AC7794" s="117" t="str">
        <f>IF(AB7794=1,COUNTIF($AB$3:AB7794,1),"")</f>
        <v/>
      </c>
      <c r="AD7794" s="117" t="str">
        <f>IFERROR(INDEX($AA$3:$AA$10000,MATCH(ROWS($AC$3:AC7794),$AC$3:$AC$10000,0)),"")</f>
        <v/>
      </c>
    </row>
    <row r="7795" spans="27:30">
      <c r="AA7795" s="117">
        <f>+'Ingredient List - Mother Tinctu'!D7796</f>
        <v>0</v>
      </c>
      <c r="AB7795" s="117">
        <f t="shared" si="124"/>
        <v>0</v>
      </c>
      <c r="AC7795" s="117" t="str">
        <f>IF(AB7795=1,COUNTIF($AB$3:AB7795,1),"")</f>
        <v/>
      </c>
      <c r="AD7795" s="117" t="str">
        <f>IFERROR(INDEX($AA$3:$AA$10000,MATCH(ROWS($AC$3:AC7795),$AC$3:$AC$10000,0)),"")</f>
        <v/>
      </c>
    </row>
    <row r="7796" spans="27:30">
      <c r="AA7796" s="117">
        <f>+'Ingredient List - Mother Tinctu'!D7797</f>
        <v>0</v>
      </c>
      <c r="AB7796" s="117">
        <f t="shared" si="124"/>
        <v>0</v>
      </c>
      <c r="AC7796" s="117" t="str">
        <f>IF(AB7796=1,COUNTIF($AB$3:AB7796,1),"")</f>
        <v/>
      </c>
      <c r="AD7796" s="117" t="str">
        <f>IFERROR(INDEX($AA$3:$AA$10000,MATCH(ROWS($AC$3:AC7796),$AC$3:$AC$10000,0)),"")</f>
        <v/>
      </c>
    </row>
    <row r="7797" spans="27:30">
      <c r="AA7797" s="117">
        <f>+'Ingredient List - Mother Tinctu'!D7798</f>
        <v>0</v>
      </c>
      <c r="AB7797" s="117">
        <f t="shared" si="124"/>
        <v>0</v>
      </c>
      <c r="AC7797" s="117" t="str">
        <f>IF(AB7797=1,COUNTIF($AB$3:AB7797,1),"")</f>
        <v/>
      </c>
      <c r="AD7797" s="117" t="str">
        <f>IFERROR(INDEX($AA$3:$AA$10000,MATCH(ROWS($AC$3:AC7797),$AC$3:$AC$10000,0)),"")</f>
        <v/>
      </c>
    </row>
    <row r="7798" spans="27:30">
      <c r="AA7798" s="117">
        <f>+'Ingredient List - Mother Tinctu'!D7799</f>
        <v>0</v>
      </c>
      <c r="AB7798" s="117">
        <f t="shared" si="124"/>
        <v>0</v>
      </c>
      <c r="AC7798" s="117" t="str">
        <f>IF(AB7798=1,COUNTIF($AB$3:AB7798,1),"")</f>
        <v/>
      </c>
      <c r="AD7798" s="117" t="str">
        <f>IFERROR(INDEX($AA$3:$AA$10000,MATCH(ROWS($AC$3:AC7798),$AC$3:$AC$10000,0)),"")</f>
        <v/>
      </c>
    </row>
    <row r="7799" spans="27:30">
      <c r="AA7799" s="117">
        <f>+'Ingredient List - Mother Tinctu'!D7800</f>
        <v>0</v>
      </c>
      <c r="AB7799" s="117">
        <f t="shared" si="124"/>
        <v>0</v>
      </c>
      <c r="AC7799" s="117" t="str">
        <f>IF(AB7799=1,COUNTIF($AB$3:AB7799,1),"")</f>
        <v/>
      </c>
      <c r="AD7799" s="117" t="str">
        <f>IFERROR(INDEX($AA$3:$AA$10000,MATCH(ROWS($AC$3:AC7799),$AC$3:$AC$10000,0)),"")</f>
        <v/>
      </c>
    </row>
    <row r="7800" spans="27:30">
      <c r="AA7800" s="117">
        <f>+'Ingredient List - Mother Tinctu'!D7801</f>
        <v>0</v>
      </c>
      <c r="AB7800" s="117">
        <f t="shared" si="124"/>
        <v>0</v>
      </c>
      <c r="AC7800" s="117" t="str">
        <f>IF(AB7800=1,COUNTIF($AB$3:AB7800,1),"")</f>
        <v/>
      </c>
      <c r="AD7800" s="117" t="str">
        <f>IFERROR(INDEX($AA$3:$AA$10000,MATCH(ROWS($AC$3:AC7800),$AC$3:$AC$10000,0)),"")</f>
        <v/>
      </c>
    </row>
    <row r="7801" spans="27:30">
      <c r="AA7801" s="117">
        <f>+'Ingredient List - Mother Tinctu'!D7802</f>
        <v>0</v>
      </c>
      <c r="AB7801" s="117">
        <f t="shared" si="124"/>
        <v>0</v>
      </c>
      <c r="AC7801" s="117" t="str">
        <f>IF(AB7801=1,COUNTIF($AB$3:AB7801,1),"")</f>
        <v/>
      </c>
      <c r="AD7801" s="117" t="str">
        <f>IFERROR(INDEX($AA$3:$AA$10000,MATCH(ROWS($AC$3:AC7801),$AC$3:$AC$10000,0)),"")</f>
        <v/>
      </c>
    </row>
    <row r="7802" spans="27:30">
      <c r="AA7802" s="117">
        <f>+'Ingredient List - Mother Tinctu'!D7803</f>
        <v>0</v>
      </c>
      <c r="AB7802" s="117">
        <f t="shared" si="124"/>
        <v>0</v>
      </c>
      <c r="AC7802" s="117" t="str">
        <f>IF(AB7802=1,COUNTIF($AB$3:AB7802,1),"")</f>
        <v/>
      </c>
      <c r="AD7802" s="117" t="str">
        <f>IFERROR(INDEX($AA$3:$AA$10000,MATCH(ROWS($AC$3:AC7802),$AC$3:$AC$10000,0)),"")</f>
        <v/>
      </c>
    </row>
    <row r="7803" spans="27:30">
      <c r="AA7803" s="117">
        <f>+'Ingredient List - Mother Tinctu'!D7804</f>
        <v>0</v>
      </c>
      <c r="AB7803" s="117">
        <f t="shared" si="124"/>
        <v>0</v>
      </c>
      <c r="AC7803" s="117" t="str">
        <f>IF(AB7803=1,COUNTIF($AB$3:AB7803,1),"")</f>
        <v/>
      </c>
      <c r="AD7803" s="117" t="str">
        <f>IFERROR(INDEX($AA$3:$AA$10000,MATCH(ROWS($AC$3:AC7803),$AC$3:$AC$10000,0)),"")</f>
        <v/>
      </c>
    </row>
    <row r="7804" spans="27:30">
      <c r="AA7804" s="117">
        <f>+'Ingredient List - Mother Tinctu'!D7805</f>
        <v>0</v>
      </c>
      <c r="AB7804" s="117">
        <f t="shared" si="124"/>
        <v>0</v>
      </c>
      <c r="AC7804" s="117" t="str">
        <f>IF(AB7804=1,COUNTIF($AB$3:AB7804,1),"")</f>
        <v/>
      </c>
      <c r="AD7804" s="117" t="str">
        <f>IFERROR(INDEX($AA$3:$AA$10000,MATCH(ROWS($AC$3:AC7804),$AC$3:$AC$10000,0)),"")</f>
        <v/>
      </c>
    </row>
    <row r="7805" spans="27:30">
      <c r="AA7805" s="117">
        <f>+'Ingredient List - Mother Tinctu'!D7806</f>
        <v>0</v>
      </c>
      <c r="AB7805" s="117">
        <f t="shared" si="124"/>
        <v>0</v>
      </c>
      <c r="AC7805" s="117" t="str">
        <f>IF(AB7805=1,COUNTIF($AB$3:AB7805,1),"")</f>
        <v/>
      </c>
      <c r="AD7805" s="117" t="str">
        <f>IFERROR(INDEX($AA$3:$AA$10000,MATCH(ROWS($AC$3:AC7805),$AC$3:$AC$10000,0)),"")</f>
        <v/>
      </c>
    </row>
    <row r="7806" spans="27:30">
      <c r="AA7806" s="117">
        <f>+'Ingredient List - Mother Tinctu'!D7807</f>
        <v>0</v>
      </c>
      <c r="AB7806" s="117">
        <f t="shared" si="124"/>
        <v>0</v>
      </c>
      <c r="AC7806" s="117" t="str">
        <f>IF(AB7806=1,COUNTIF($AB$3:AB7806,1),"")</f>
        <v/>
      </c>
      <c r="AD7806" s="117" t="str">
        <f>IFERROR(INDEX($AA$3:$AA$10000,MATCH(ROWS($AC$3:AC7806),$AC$3:$AC$10000,0)),"")</f>
        <v/>
      </c>
    </row>
    <row r="7807" spans="27:30">
      <c r="AA7807" s="117">
        <f>+'Ingredient List - Mother Tinctu'!D7808</f>
        <v>0</v>
      </c>
      <c r="AB7807" s="117">
        <f t="shared" si="124"/>
        <v>0</v>
      </c>
      <c r="AC7807" s="117" t="str">
        <f>IF(AB7807=1,COUNTIF($AB$3:AB7807,1),"")</f>
        <v/>
      </c>
      <c r="AD7807" s="117" t="str">
        <f>IFERROR(INDEX($AA$3:$AA$10000,MATCH(ROWS($AC$3:AC7807),$AC$3:$AC$10000,0)),"")</f>
        <v/>
      </c>
    </row>
    <row r="7808" spans="27:30">
      <c r="AA7808" s="117">
        <f>+'Ingredient List - Mother Tinctu'!D7809</f>
        <v>0</v>
      </c>
      <c r="AB7808" s="117">
        <f t="shared" si="124"/>
        <v>0</v>
      </c>
      <c r="AC7808" s="117" t="str">
        <f>IF(AB7808=1,COUNTIF($AB$3:AB7808,1),"")</f>
        <v/>
      </c>
      <c r="AD7808" s="117" t="str">
        <f>IFERROR(INDEX($AA$3:$AA$10000,MATCH(ROWS($AC$3:AC7808),$AC$3:$AC$10000,0)),"")</f>
        <v/>
      </c>
    </row>
    <row r="7809" spans="27:30">
      <c r="AA7809" s="117">
        <f>+'Ingredient List - Mother Tinctu'!D7810</f>
        <v>0</v>
      </c>
      <c r="AB7809" s="117">
        <f t="shared" si="124"/>
        <v>0</v>
      </c>
      <c r="AC7809" s="117" t="str">
        <f>IF(AB7809=1,COUNTIF($AB$3:AB7809,1),"")</f>
        <v/>
      </c>
      <c r="AD7809" s="117" t="str">
        <f>IFERROR(INDEX($AA$3:$AA$10000,MATCH(ROWS($AC$3:AC7809),$AC$3:$AC$10000,0)),"")</f>
        <v/>
      </c>
    </row>
    <row r="7810" spans="27:30">
      <c r="AA7810" s="117">
        <f>+'Ingredient List - Mother Tinctu'!D7811</f>
        <v>0</v>
      </c>
      <c r="AB7810" s="117">
        <f t="shared" si="124"/>
        <v>0</v>
      </c>
      <c r="AC7810" s="117" t="str">
        <f>IF(AB7810=1,COUNTIF($AB$3:AB7810,1),"")</f>
        <v/>
      </c>
      <c r="AD7810" s="117" t="str">
        <f>IFERROR(INDEX($AA$3:$AA$10000,MATCH(ROWS($AC$3:AC7810),$AC$3:$AC$10000,0)),"")</f>
        <v/>
      </c>
    </row>
    <row r="7811" spans="27:30">
      <c r="AA7811" s="117">
        <f>+'Ingredient List - Mother Tinctu'!D7812</f>
        <v>0</v>
      </c>
      <c r="AB7811" s="117">
        <f t="shared" si="124"/>
        <v>0</v>
      </c>
      <c r="AC7811" s="117" t="str">
        <f>IF(AB7811=1,COUNTIF($AB$3:AB7811,1),"")</f>
        <v/>
      </c>
      <c r="AD7811" s="117" t="str">
        <f>IFERROR(INDEX($AA$3:$AA$10000,MATCH(ROWS($AC$3:AC7811),$AC$3:$AC$10000,0)),"")</f>
        <v/>
      </c>
    </row>
    <row r="7812" spans="27:30">
      <c r="AA7812" s="117">
        <f>+'Ingredient List - Mother Tinctu'!D7813</f>
        <v>0</v>
      </c>
      <c r="AB7812" s="117">
        <f t="shared" ref="AB7812:AB7875" si="125">--ISNUMBER(IFERROR(SEARCH($D$3,AA7812,1),""))</f>
        <v>0</v>
      </c>
      <c r="AC7812" s="117" t="str">
        <f>IF(AB7812=1,COUNTIF($AB$3:AB7812,1),"")</f>
        <v/>
      </c>
      <c r="AD7812" s="117" t="str">
        <f>IFERROR(INDEX($AA$3:$AA$10000,MATCH(ROWS($AC$3:AC7812),$AC$3:$AC$10000,0)),"")</f>
        <v/>
      </c>
    </row>
    <row r="7813" spans="27:30">
      <c r="AA7813" s="117">
        <f>+'Ingredient List - Mother Tinctu'!D7814</f>
        <v>0</v>
      </c>
      <c r="AB7813" s="117">
        <f t="shared" si="125"/>
        <v>0</v>
      </c>
      <c r="AC7813" s="117" t="str">
        <f>IF(AB7813=1,COUNTIF($AB$3:AB7813,1),"")</f>
        <v/>
      </c>
      <c r="AD7813" s="117" t="str">
        <f>IFERROR(INDEX($AA$3:$AA$10000,MATCH(ROWS($AC$3:AC7813),$AC$3:$AC$10000,0)),"")</f>
        <v/>
      </c>
    </row>
    <row r="7814" spans="27:30">
      <c r="AA7814" s="117">
        <f>+'Ingredient List - Mother Tinctu'!D7815</f>
        <v>0</v>
      </c>
      <c r="AB7814" s="117">
        <f t="shared" si="125"/>
        <v>0</v>
      </c>
      <c r="AC7814" s="117" t="str">
        <f>IF(AB7814=1,COUNTIF($AB$3:AB7814,1),"")</f>
        <v/>
      </c>
      <c r="AD7814" s="117" t="str">
        <f>IFERROR(INDEX($AA$3:$AA$10000,MATCH(ROWS($AC$3:AC7814),$AC$3:$AC$10000,0)),"")</f>
        <v/>
      </c>
    </row>
    <row r="7815" spans="27:30">
      <c r="AA7815" s="117">
        <f>+'Ingredient List - Mother Tinctu'!D7816</f>
        <v>0</v>
      </c>
      <c r="AB7815" s="117">
        <f t="shared" si="125"/>
        <v>0</v>
      </c>
      <c r="AC7815" s="117" t="str">
        <f>IF(AB7815=1,COUNTIF($AB$3:AB7815,1),"")</f>
        <v/>
      </c>
      <c r="AD7815" s="117" t="str">
        <f>IFERROR(INDEX($AA$3:$AA$10000,MATCH(ROWS($AC$3:AC7815),$AC$3:$AC$10000,0)),"")</f>
        <v/>
      </c>
    </row>
    <row r="7816" spans="27:30">
      <c r="AA7816" s="117">
        <f>+'Ingredient List - Mother Tinctu'!D7817</f>
        <v>0</v>
      </c>
      <c r="AB7816" s="117">
        <f t="shared" si="125"/>
        <v>0</v>
      </c>
      <c r="AC7816" s="117" t="str">
        <f>IF(AB7816=1,COUNTIF($AB$3:AB7816,1),"")</f>
        <v/>
      </c>
      <c r="AD7816" s="117" t="str">
        <f>IFERROR(INDEX($AA$3:$AA$10000,MATCH(ROWS($AC$3:AC7816),$AC$3:$AC$10000,0)),"")</f>
        <v/>
      </c>
    </row>
    <row r="7817" spans="27:30">
      <c r="AA7817" s="117">
        <f>+'Ingredient List - Mother Tinctu'!D7818</f>
        <v>0</v>
      </c>
      <c r="AB7817" s="117">
        <f t="shared" si="125"/>
        <v>0</v>
      </c>
      <c r="AC7817" s="117" t="str">
        <f>IF(AB7817=1,COUNTIF($AB$3:AB7817,1),"")</f>
        <v/>
      </c>
      <c r="AD7817" s="117" t="str">
        <f>IFERROR(INDEX($AA$3:$AA$10000,MATCH(ROWS($AC$3:AC7817),$AC$3:$AC$10000,0)),"")</f>
        <v/>
      </c>
    </row>
    <row r="7818" spans="27:30">
      <c r="AA7818" s="117">
        <f>+'Ingredient List - Mother Tinctu'!D7819</f>
        <v>0</v>
      </c>
      <c r="AB7818" s="117">
        <f t="shared" si="125"/>
        <v>0</v>
      </c>
      <c r="AC7818" s="117" t="str">
        <f>IF(AB7818=1,COUNTIF($AB$3:AB7818,1),"")</f>
        <v/>
      </c>
      <c r="AD7818" s="117" t="str">
        <f>IFERROR(INDEX($AA$3:$AA$10000,MATCH(ROWS($AC$3:AC7818),$AC$3:$AC$10000,0)),"")</f>
        <v/>
      </c>
    </row>
    <row r="7819" spans="27:30">
      <c r="AA7819" s="117">
        <f>+'Ingredient List - Mother Tinctu'!D7820</f>
        <v>0</v>
      </c>
      <c r="AB7819" s="117">
        <f t="shared" si="125"/>
        <v>0</v>
      </c>
      <c r="AC7819" s="117" t="str">
        <f>IF(AB7819=1,COUNTIF($AB$3:AB7819,1),"")</f>
        <v/>
      </c>
      <c r="AD7819" s="117" t="str">
        <f>IFERROR(INDEX($AA$3:$AA$10000,MATCH(ROWS($AC$3:AC7819),$AC$3:$AC$10000,0)),"")</f>
        <v/>
      </c>
    </row>
    <row r="7820" spans="27:30">
      <c r="AA7820" s="117">
        <f>+'Ingredient List - Mother Tinctu'!D7821</f>
        <v>0</v>
      </c>
      <c r="AB7820" s="117">
        <f t="shared" si="125"/>
        <v>0</v>
      </c>
      <c r="AC7820" s="117" t="str">
        <f>IF(AB7820=1,COUNTIF($AB$3:AB7820,1),"")</f>
        <v/>
      </c>
      <c r="AD7820" s="117" t="str">
        <f>IFERROR(INDEX($AA$3:$AA$10000,MATCH(ROWS($AC$3:AC7820),$AC$3:$AC$10000,0)),"")</f>
        <v/>
      </c>
    </row>
    <row r="7821" spans="27:30">
      <c r="AA7821" s="117">
        <f>+'Ingredient List - Mother Tinctu'!D7822</f>
        <v>0</v>
      </c>
      <c r="AB7821" s="117">
        <f t="shared" si="125"/>
        <v>0</v>
      </c>
      <c r="AC7821" s="117" t="str">
        <f>IF(AB7821=1,COUNTIF($AB$3:AB7821,1),"")</f>
        <v/>
      </c>
      <c r="AD7821" s="117" t="str">
        <f>IFERROR(INDEX($AA$3:$AA$10000,MATCH(ROWS($AC$3:AC7821),$AC$3:$AC$10000,0)),"")</f>
        <v/>
      </c>
    </row>
    <row r="7822" spans="27:30">
      <c r="AA7822" s="117">
        <f>+'Ingredient List - Mother Tinctu'!D7823</f>
        <v>0</v>
      </c>
      <c r="AB7822" s="117">
        <f t="shared" si="125"/>
        <v>0</v>
      </c>
      <c r="AC7822" s="117" t="str">
        <f>IF(AB7822=1,COUNTIF($AB$3:AB7822,1),"")</f>
        <v/>
      </c>
      <c r="AD7822" s="117" t="str">
        <f>IFERROR(INDEX($AA$3:$AA$10000,MATCH(ROWS($AC$3:AC7822),$AC$3:$AC$10000,0)),"")</f>
        <v/>
      </c>
    </row>
    <row r="7823" spans="27:30">
      <c r="AA7823" s="117">
        <f>+'Ingredient List - Mother Tinctu'!D7824</f>
        <v>0</v>
      </c>
      <c r="AB7823" s="117">
        <f t="shared" si="125"/>
        <v>0</v>
      </c>
      <c r="AC7823" s="117" t="str">
        <f>IF(AB7823=1,COUNTIF($AB$3:AB7823,1),"")</f>
        <v/>
      </c>
      <c r="AD7823" s="117" t="str">
        <f>IFERROR(INDEX($AA$3:$AA$10000,MATCH(ROWS($AC$3:AC7823),$AC$3:$AC$10000,0)),"")</f>
        <v/>
      </c>
    </row>
    <row r="7824" spans="27:30">
      <c r="AA7824" s="117">
        <f>+'Ingredient List - Mother Tinctu'!D7825</f>
        <v>0</v>
      </c>
      <c r="AB7824" s="117">
        <f t="shared" si="125"/>
        <v>0</v>
      </c>
      <c r="AC7824" s="117" t="str">
        <f>IF(AB7824=1,COUNTIF($AB$3:AB7824,1),"")</f>
        <v/>
      </c>
      <c r="AD7824" s="117" t="str">
        <f>IFERROR(INDEX($AA$3:$AA$10000,MATCH(ROWS($AC$3:AC7824),$AC$3:$AC$10000,0)),"")</f>
        <v/>
      </c>
    </row>
    <row r="7825" spans="27:30">
      <c r="AA7825" s="117">
        <f>+'Ingredient List - Mother Tinctu'!D7826</f>
        <v>0</v>
      </c>
      <c r="AB7825" s="117">
        <f t="shared" si="125"/>
        <v>0</v>
      </c>
      <c r="AC7825" s="117" t="str">
        <f>IF(AB7825=1,COUNTIF($AB$3:AB7825,1),"")</f>
        <v/>
      </c>
      <c r="AD7825" s="117" t="str">
        <f>IFERROR(INDEX($AA$3:$AA$10000,MATCH(ROWS($AC$3:AC7825),$AC$3:$AC$10000,0)),"")</f>
        <v/>
      </c>
    </row>
    <row r="7826" spans="27:30">
      <c r="AA7826" s="117">
        <f>+'Ingredient List - Mother Tinctu'!D7827</f>
        <v>0</v>
      </c>
      <c r="AB7826" s="117">
        <f t="shared" si="125"/>
        <v>0</v>
      </c>
      <c r="AC7826" s="117" t="str">
        <f>IF(AB7826=1,COUNTIF($AB$3:AB7826,1),"")</f>
        <v/>
      </c>
      <c r="AD7826" s="117" t="str">
        <f>IFERROR(INDEX($AA$3:$AA$10000,MATCH(ROWS($AC$3:AC7826),$AC$3:$AC$10000,0)),"")</f>
        <v/>
      </c>
    </row>
    <row r="7827" spans="27:30">
      <c r="AA7827" s="117">
        <f>+'Ingredient List - Mother Tinctu'!D7828</f>
        <v>0</v>
      </c>
      <c r="AB7827" s="117">
        <f t="shared" si="125"/>
        <v>0</v>
      </c>
      <c r="AC7827" s="117" t="str">
        <f>IF(AB7827=1,COUNTIF($AB$3:AB7827,1),"")</f>
        <v/>
      </c>
      <c r="AD7827" s="117" t="str">
        <f>IFERROR(INDEX($AA$3:$AA$10000,MATCH(ROWS($AC$3:AC7827),$AC$3:$AC$10000,0)),"")</f>
        <v/>
      </c>
    </row>
    <row r="7828" spans="27:30">
      <c r="AA7828" s="117">
        <f>+'Ingredient List - Mother Tinctu'!D7829</f>
        <v>0</v>
      </c>
      <c r="AB7828" s="117">
        <f t="shared" si="125"/>
        <v>0</v>
      </c>
      <c r="AC7828" s="117" t="str">
        <f>IF(AB7828=1,COUNTIF($AB$3:AB7828,1),"")</f>
        <v/>
      </c>
      <c r="AD7828" s="117" t="str">
        <f>IFERROR(INDEX($AA$3:$AA$10000,MATCH(ROWS($AC$3:AC7828),$AC$3:$AC$10000,0)),"")</f>
        <v/>
      </c>
    </row>
    <row r="7829" spans="27:30">
      <c r="AA7829" s="117">
        <f>+'Ingredient List - Mother Tinctu'!D7830</f>
        <v>0</v>
      </c>
      <c r="AB7829" s="117">
        <f t="shared" si="125"/>
        <v>0</v>
      </c>
      <c r="AC7829" s="117" t="str">
        <f>IF(AB7829=1,COUNTIF($AB$3:AB7829,1),"")</f>
        <v/>
      </c>
      <c r="AD7829" s="117" t="str">
        <f>IFERROR(INDEX($AA$3:$AA$10000,MATCH(ROWS($AC$3:AC7829),$AC$3:$AC$10000,0)),"")</f>
        <v/>
      </c>
    </row>
    <row r="7830" spans="27:30">
      <c r="AA7830" s="117">
        <f>+'Ingredient List - Mother Tinctu'!D7831</f>
        <v>0</v>
      </c>
      <c r="AB7830" s="117">
        <f t="shared" si="125"/>
        <v>0</v>
      </c>
      <c r="AC7830" s="117" t="str">
        <f>IF(AB7830=1,COUNTIF($AB$3:AB7830,1),"")</f>
        <v/>
      </c>
      <c r="AD7830" s="117" t="str">
        <f>IFERROR(INDEX($AA$3:$AA$10000,MATCH(ROWS($AC$3:AC7830),$AC$3:$AC$10000,0)),"")</f>
        <v/>
      </c>
    </row>
    <row r="7831" spans="27:30">
      <c r="AA7831" s="117">
        <f>+'Ingredient List - Mother Tinctu'!D7832</f>
        <v>0</v>
      </c>
      <c r="AB7831" s="117">
        <f t="shared" si="125"/>
        <v>0</v>
      </c>
      <c r="AC7831" s="117" t="str">
        <f>IF(AB7831=1,COUNTIF($AB$3:AB7831,1),"")</f>
        <v/>
      </c>
      <c r="AD7831" s="117" t="str">
        <f>IFERROR(INDEX($AA$3:$AA$10000,MATCH(ROWS($AC$3:AC7831),$AC$3:$AC$10000,0)),"")</f>
        <v/>
      </c>
    </row>
    <row r="7832" spans="27:30">
      <c r="AA7832" s="117">
        <f>+'Ingredient List - Mother Tinctu'!D7833</f>
        <v>0</v>
      </c>
      <c r="AB7832" s="117">
        <f t="shared" si="125"/>
        <v>0</v>
      </c>
      <c r="AC7832" s="117" t="str">
        <f>IF(AB7832=1,COUNTIF($AB$3:AB7832,1),"")</f>
        <v/>
      </c>
      <c r="AD7832" s="117" t="str">
        <f>IFERROR(INDEX($AA$3:$AA$10000,MATCH(ROWS($AC$3:AC7832),$AC$3:$AC$10000,0)),"")</f>
        <v/>
      </c>
    </row>
    <row r="7833" spans="27:30">
      <c r="AA7833" s="117">
        <f>+'Ingredient List - Mother Tinctu'!D7834</f>
        <v>0</v>
      </c>
      <c r="AB7833" s="117">
        <f t="shared" si="125"/>
        <v>0</v>
      </c>
      <c r="AC7833" s="117" t="str">
        <f>IF(AB7833=1,COUNTIF($AB$3:AB7833,1),"")</f>
        <v/>
      </c>
      <c r="AD7833" s="117" t="str">
        <f>IFERROR(INDEX($AA$3:$AA$10000,MATCH(ROWS($AC$3:AC7833),$AC$3:$AC$10000,0)),"")</f>
        <v/>
      </c>
    </row>
    <row r="7834" spans="27:30">
      <c r="AA7834" s="117">
        <f>+'Ingredient List - Mother Tinctu'!D7835</f>
        <v>0</v>
      </c>
      <c r="AB7834" s="117">
        <f t="shared" si="125"/>
        <v>0</v>
      </c>
      <c r="AC7834" s="117" t="str">
        <f>IF(AB7834=1,COUNTIF($AB$3:AB7834,1),"")</f>
        <v/>
      </c>
      <c r="AD7834" s="117" t="str">
        <f>IFERROR(INDEX($AA$3:$AA$10000,MATCH(ROWS($AC$3:AC7834),$AC$3:$AC$10000,0)),"")</f>
        <v/>
      </c>
    </row>
    <row r="7835" spans="27:30">
      <c r="AA7835" s="117">
        <f>+'Ingredient List - Mother Tinctu'!D7836</f>
        <v>0</v>
      </c>
      <c r="AB7835" s="117">
        <f t="shared" si="125"/>
        <v>0</v>
      </c>
      <c r="AC7835" s="117" t="str">
        <f>IF(AB7835=1,COUNTIF($AB$3:AB7835,1),"")</f>
        <v/>
      </c>
      <c r="AD7835" s="117" t="str">
        <f>IFERROR(INDEX($AA$3:$AA$10000,MATCH(ROWS($AC$3:AC7835),$AC$3:$AC$10000,0)),"")</f>
        <v/>
      </c>
    </row>
    <row r="7836" spans="27:30">
      <c r="AA7836" s="117">
        <f>+'Ingredient List - Mother Tinctu'!D7837</f>
        <v>0</v>
      </c>
      <c r="AB7836" s="117">
        <f t="shared" si="125"/>
        <v>0</v>
      </c>
      <c r="AC7836" s="117" t="str">
        <f>IF(AB7836=1,COUNTIF($AB$3:AB7836,1),"")</f>
        <v/>
      </c>
      <c r="AD7836" s="117" t="str">
        <f>IFERROR(INDEX($AA$3:$AA$10000,MATCH(ROWS($AC$3:AC7836),$AC$3:$AC$10000,0)),"")</f>
        <v/>
      </c>
    </row>
    <row r="7837" spans="27:30">
      <c r="AA7837" s="117">
        <f>+'Ingredient List - Mother Tinctu'!D7838</f>
        <v>0</v>
      </c>
      <c r="AB7837" s="117">
        <f t="shared" si="125"/>
        <v>0</v>
      </c>
      <c r="AC7837" s="117" t="str">
        <f>IF(AB7837=1,COUNTIF($AB$3:AB7837,1),"")</f>
        <v/>
      </c>
      <c r="AD7837" s="117" t="str">
        <f>IFERROR(INDEX($AA$3:$AA$10000,MATCH(ROWS($AC$3:AC7837),$AC$3:$AC$10000,0)),"")</f>
        <v/>
      </c>
    </row>
    <row r="7838" spans="27:30">
      <c r="AA7838" s="117">
        <f>+'Ingredient List - Mother Tinctu'!D7839</f>
        <v>0</v>
      </c>
      <c r="AB7838" s="117">
        <f t="shared" si="125"/>
        <v>0</v>
      </c>
      <c r="AC7838" s="117" t="str">
        <f>IF(AB7838=1,COUNTIF($AB$3:AB7838,1),"")</f>
        <v/>
      </c>
      <c r="AD7838" s="117" t="str">
        <f>IFERROR(INDEX($AA$3:$AA$10000,MATCH(ROWS($AC$3:AC7838),$AC$3:$AC$10000,0)),"")</f>
        <v/>
      </c>
    </row>
    <row r="7839" spans="27:30">
      <c r="AA7839" s="117">
        <f>+'Ingredient List - Mother Tinctu'!D7840</f>
        <v>0</v>
      </c>
      <c r="AB7839" s="117">
        <f t="shared" si="125"/>
        <v>0</v>
      </c>
      <c r="AC7839" s="117" t="str">
        <f>IF(AB7839=1,COUNTIF($AB$3:AB7839,1),"")</f>
        <v/>
      </c>
      <c r="AD7839" s="117" t="str">
        <f>IFERROR(INDEX($AA$3:$AA$10000,MATCH(ROWS($AC$3:AC7839),$AC$3:$AC$10000,0)),"")</f>
        <v/>
      </c>
    </row>
    <row r="7840" spans="27:30">
      <c r="AA7840" s="117">
        <f>+'Ingredient List - Mother Tinctu'!D7841</f>
        <v>0</v>
      </c>
      <c r="AB7840" s="117">
        <f t="shared" si="125"/>
        <v>0</v>
      </c>
      <c r="AC7840" s="117" t="str">
        <f>IF(AB7840=1,COUNTIF($AB$3:AB7840,1),"")</f>
        <v/>
      </c>
      <c r="AD7840" s="117" t="str">
        <f>IFERROR(INDEX($AA$3:$AA$10000,MATCH(ROWS($AC$3:AC7840),$AC$3:$AC$10000,0)),"")</f>
        <v/>
      </c>
    </row>
    <row r="7841" spans="27:30">
      <c r="AA7841" s="117">
        <f>+'Ingredient List - Mother Tinctu'!D7842</f>
        <v>0</v>
      </c>
      <c r="AB7841" s="117">
        <f t="shared" si="125"/>
        <v>0</v>
      </c>
      <c r="AC7841" s="117" t="str">
        <f>IF(AB7841=1,COUNTIF($AB$3:AB7841,1),"")</f>
        <v/>
      </c>
      <c r="AD7841" s="117" t="str">
        <f>IFERROR(INDEX($AA$3:$AA$10000,MATCH(ROWS($AC$3:AC7841),$AC$3:$AC$10000,0)),"")</f>
        <v/>
      </c>
    </row>
    <row r="7842" spans="27:30">
      <c r="AA7842" s="117">
        <f>+'Ingredient List - Mother Tinctu'!D7843</f>
        <v>0</v>
      </c>
      <c r="AB7842" s="117">
        <f t="shared" si="125"/>
        <v>0</v>
      </c>
      <c r="AC7842" s="117" t="str">
        <f>IF(AB7842=1,COUNTIF($AB$3:AB7842,1),"")</f>
        <v/>
      </c>
      <c r="AD7842" s="117" t="str">
        <f>IFERROR(INDEX($AA$3:$AA$10000,MATCH(ROWS($AC$3:AC7842),$AC$3:$AC$10000,0)),"")</f>
        <v/>
      </c>
    </row>
    <row r="7843" spans="27:30">
      <c r="AA7843" s="117">
        <f>+'Ingredient List - Mother Tinctu'!D7844</f>
        <v>0</v>
      </c>
      <c r="AB7843" s="117">
        <f t="shared" si="125"/>
        <v>0</v>
      </c>
      <c r="AC7843" s="117" t="str">
        <f>IF(AB7843=1,COUNTIF($AB$3:AB7843,1),"")</f>
        <v/>
      </c>
      <c r="AD7843" s="117" t="str">
        <f>IFERROR(INDEX($AA$3:$AA$10000,MATCH(ROWS($AC$3:AC7843),$AC$3:$AC$10000,0)),"")</f>
        <v/>
      </c>
    </row>
    <row r="7844" spans="27:30">
      <c r="AA7844" s="117">
        <f>+'Ingredient List - Mother Tinctu'!D7845</f>
        <v>0</v>
      </c>
      <c r="AB7844" s="117">
        <f t="shared" si="125"/>
        <v>0</v>
      </c>
      <c r="AC7844" s="117" t="str">
        <f>IF(AB7844=1,COUNTIF($AB$3:AB7844,1),"")</f>
        <v/>
      </c>
      <c r="AD7844" s="117" t="str">
        <f>IFERROR(INDEX($AA$3:$AA$10000,MATCH(ROWS($AC$3:AC7844),$AC$3:$AC$10000,0)),"")</f>
        <v/>
      </c>
    </row>
    <row r="7845" spans="27:30">
      <c r="AA7845" s="117">
        <f>+'Ingredient List - Mother Tinctu'!D7846</f>
        <v>0</v>
      </c>
      <c r="AB7845" s="117">
        <f t="shared" si="125"/>
        <v>0</v>
      </c>
      <c r="AC7845" s="117" t="str">
        <f>IF(AB7845=1,COUNTIF($AB$3:AB7845,1),"")</f>
        <v/>
      </c>
      <c r="AD7845" s="117" t="str">
        <f>IFERROR(INDEX($AA$3:$AA$10000,MATCH(ROWS($AC$3:AC7845),$AC$3:$AC$10000,0)),"")</f>
        <v/>
      </c>
    </row>
    <row r="7846" spans="27:30">
      <c r="AA7846" s="117">
        <f>+'Ingredient List - Mother Tinctu'!D7847</f>
        <v>0</v>
      </c>
      <c r="AB7846" s="117">
        <f t="shared" si="125"/>
        <v>0</v>
      </c>
      <c r="AC7846" s="117" t="str">
        <f>IF(AB7846=1,COUNTIF($AB$3:AB7846,1),"")</f>
        <v/>
      </c>
      <c r="AD7846" s="117" t="str">
        <f>IFERROR(INDEX($AA$3:$AA$10000,MATCH(ROWS($AC$3:AC7846),$AC$3:$AC$10000,0)),"")</f>
        <v/>
      </c>
    </row>
    <row r="7847" spans="27:30">
      <c r="AA7847" s="117">
        <f>+'Ingredient List - Mother Tinctu'!D7848</f>
        <v>0</v>
      </c>
      <c r="AB7847" s="117">
        <f t="shared" si="125"/>
        <v>0</v>
      </c>
      <c r="AC7847" s="117" t="str">
        <f>IF(AB7847=1,COUNTIF($AB$3:AB7847,1),"")</f>
        <v/>
      </c>
      <c r="AD7847" s="117" t="str">
        <f>IFERROR(INDEX($AA$3:$AA$10000,MATCH(ROWS($AC$3:AC7847),$AC$3:$AC$10000,0)),"")</f>
        <v/>
      </c>
    </row>
    <row r="7848" spans="27:30">
      <c r="AA7848" s="117">
        <f>+'Ingredient List - Mother Tinctu'!D7849</f>
        <v>0</v>
      </c>
      <c r="AB7848" s="117">
        <f t="shared" si="125"/>
        <v>0</v>
      </c>
      <c r="AC7848" s="117" t="str">
        <f>IF(AB7848=1,COUNTIF($AB$3:AB7848,1),"")</f>
        <v/>
      </c>
      <c r="AD7848" s="117" t="str">
        <f>IFERROR(INDEX($AA$3:$AA$10000,MATCH(ROWS($AC$3:AC7848),$AC$3:$AC$10000,0)),"")</f>
        <v/>
      </c>
    </row>
    <row r="7849" spans="27:30">
      <c r="AA7849" s="117">
        <f>+'Ingredient List - Mother Tinctu'!D7850</f>
        <v>0</v>
      </c>
      <c r="AB7849" s="117">
        <f t="shared" si="125"/>
        <v>0</v>
      </c>
      <c r="AC7849" s="117" t="str">
        <f>IF(AB7849=1,COUNTIF($AB$3:AB7849,1),"")</f>
        <v/>
      </c>
      <c r="AD7849" s="117" t="str">
        <f>IFERROR(INDEX($AA$3:$AA$10000,MATCH(ROWS($AC$3:AC7849),$AC$3:$AC$10000,0)),"")</f>
        <v/>
      </c>
    </row>
    <row r="7850" spans="27:30">
      <c r="AA7850" s="117">
        <f>+'Ingredient List - Mother Tinctu'!D7851</f>
        <v>0</v>
      </c>
      <c r="AB7850" s="117">
        <f t="shared" si="125"/>
        <v>0</v>
      </c>
      <c r="AC7850" s="117" t="str">
        <f>IF(AB7850=1,COUNTIF($AB$3:AB7850,1),"")</f>
        <v/>
      </c>
      <c r="AD7850" s="117" t="str">
        <f>IFERROR(INDEX($AA$3:$AA$10000,MATCH(ROWS($AC$3:AC7850),$AC$3:$AC$10000,0)),"")</f>
        <v/>
      </c>
    </row>
    <row r="7851" spans="27:30">
      <c r="AA7851" s="117">
        <f>+'Ingredient List - Mother Tinctu'!D7852</f>
        <v>0</v>
      </c>
      <c r="AB7851" s="117">
        <f t="shared" si="125"/>
        <v>0</v>
      </c>
      <c r="AC7851" s="117" t="str">
        <f>IF(AB7851=1,COUNTIF($AB$3:AB7851,1),"")</f>
        <v/>
      </c>
      <c r="AD7851" s="117" t="str">
        <f>IFERROR(INDEX($AA$3:$AA$10000,MATCH(ROWS($AC$3:AC7851),$AC$3:$AC$10000,0)),"")</f>
        <v/>
      </c>
    </row>
    <row r="7852" spans="27:30">
      <c r="AA7852" s="117">
        <f>+'Ingredient List - Mother Tinctu'!D7853</f>
        <v>0</v>
      </c>
      <c r="AB7852" s="117">
        <f t="shared" si="125"/>
        <v>0</v>
      </c>
      <c r="AC7852" s="117" t="str">
        <f>IF(AB7852=1,COUNTIF($AB$3:AB7852,1),"")</f>
        <v/>
      </c>
      <c r="AD7852" s="117" t="str">
        <f>IFERROR(INDEX($AA$3:$AA$10000,MATCH(ROWS($AC$3:AC7852),$AC$3:$AC$10000,0)),"")</f>
        <v/>
      </c>
    </row>
    <row r="7853" spans="27:30">
      <c r="AA7853" s="117">
        <f>+'Ingredient List - Mother Tinctu'!D7854</f>
        <v>0</v>
      </c>
      <c r="AB7853" s="117">
        <f t="shared" si="125"/>
        <v>0</v>
      </c>
      <c r="AC7853" s="117" t="str">
        <f>IF(AB7853=1,COUNTIF($AB$3:AB7853,1),"")</f>
        <v/>
      </c>
      <c r="AD7853" s="117" t="str">
        <f>IFERROR(INDEX($AA$3:$AA$10000,MATCH(ROWS($AC$3:AC7853),$AC$3:$AC$10000,0)),"")</f>
        <v/>
      </c>
    </row>
    <row r="7854" spans="27:30">
      <c r="AA7854" s="117">
        <f>+'Ingredient List - Mother Tinctu'!D7855</f>
        <v>0</v>
      </c>
      <c r="AB7854" s="117">
        <f t="shared" si="125"/>
        <v>0</v>
      </c>
      <c r="AC7854" s="117" t="str">
        <f>IF(AB7854=1,COUNTIF($AB$3:AB7854,1),"")</f>
        <v/>
      </c>
      <c r="AD7854" s="117" t="str">
        <f>IFERROR(INDEX($AA$3:$AA$10000,MATCH(ROWS($AC$3:AC7854),$AC$3:$AC$10000,0)),"")</f>
        <v/>
      </c>
    </row>
    <row r="7855" spans="27:30">
      <c r="AA7855" s="117">
        <f>+'Ingredient List - Mother Tinctu'!D7856</f>
        <v>0</v>
      </c>
      <c r="AB7855" s="117">
        <f t="shared" si="125"/>
        <v>0</v>
      </c>
      <c r="AC7855" s="117" t="str">
        <f>IF(AB7855=1,COUNTIF($AB$3:AB7855,1),"")</f>
        <v/>
      </c>
      <c r="AD7855" s="117" t="str">
        <f>IFERROR(INDEX($AA$3:$AA$10000,MATCH(ROWS($AC$3:AC7855),$AC$3:$AC$10000,0)),"")</f>
        <v/>
      </c>
    </row>
    <row r="7856" spans="27:30">
      <c r="AA7856" s="117">
        <f>+'Ingredient List - Mother Tinctu'!D7857</f>
        <v>0</v>
      </c>
      <c r="AB7856" s="117">
        <f t="shared" si="125"/>
        <v>0</v>
      </c>
      <c r="AC7856" s="117" t="str">
        <f>IF(AB7856=1,COUNTIF($AB$3:AB7856,1),"")</f>
        <v/>
      </c>
      <c r="AD7856" s="117" t="str">
        <f>IFERROR(INDEX($AA$3:$AA$10000,MATCH(ROWS($AC$3:AC7856),$AC$3:$AC$10000,0)),"")</f>
        <v/>
      </c>
    </row>
    <row r="7857" spans="27:30">
      <c r="AA7857" s="117">
        <f>+'Ingredient List - Mother Tinctu'!D7858</f>
        <v>0</v>
      </c>
      <c r="AB7857" s="117">
        <f t="shared" si="125"/>
        <v>0</v>
      </c>
      <c r="AC7857" s="117" t="str">
        <f>IF(AB7857=1,COUNTIF($AB$3:AB7857,1),"")</f>
        <v/>
      </c>
      <c r="AD7857" s="117" t="str">
        <f>IFERROR(INDEX($AA$3:$AA$10000,MATCH(ROWS($AC$3:AC7857),$AC$3:$AC$10000,0)),"")</f>
        <v/>
      </c>
    </row>
    <row r="7858" spans="27:30">
      <c r="AA7858" s="117">
        <f>+'Ingredient List - Mother Tinctu'!D7859</f>
        <v>0</v>
      </c>
      <c r="AB7858" s="117">
        <f t="shared" si="125"/>
        <v>0</v>
      </c>
      <c r="AC7858" s="117" t="str">
        <f>IF(AB7858=1,COUNTIF($AB$3:AB7858,1),"")</f>
        <v/>
      </c>
      <c r="AD7858" s="117" t="str">
        <f>IFERROR(INDEX($AA$3:$AA$10000,MATCH(ROWS($AC$3:AC7858),$AC$3:$AC$10000,0)),"")</f>
        <v/>
      </c>
    </row>
    <row r="7859" spans="27:30">
      <c r="AA7859" s="117">
        <f>+'Ingredient List - Mother Tinctu'!D7860</f>
        <v>0</v>
      </c>
      <c r="AB7859" s="117">
        <f t="shared" si="125"/>
        <v>0</v>
      </c>
      <c r="AC7859" s="117" t="str">
        <f>IF(AB7859=1,COUNTIF($AB$3:AB7859,1),"")</f>
        <v/>
      </c>
      <c r="AD7859" s="117" t="str">
        <f>IFERROR(INDEX($AA$3:$AA$10000,MATCH(ROWS($AC$3:AC7859),$AC$3:$AC$10000,0)),"")</f>
        <v/>
      </c>
    </row>
    <row r="7860" spans="27:30">
      <c r="AA7860" s="117">
        <f>+'Ingredient List - Mother Tinctu'!D7861</f>
        <v>0</v>
      </c>
      <c r="AB7860" s="117">
        <f t="shared" si="125"/>
        <v>0</v>
      </c>
      <c r="AC7860" s="117" t="str">
        <f>IF(AB7860=1,COUNTIF($AB$3:AB7860,1),"")</f>
        <v/>
      </c>
      <c r="AD7860" s="117" t="str">
        <f>IFERROR(INDEX($AA$3:$AA$10000,MATCH(ROWS($AC$3:AC7860),$AC$3:$AC$10000,0)),"")</f>
        <v/>
      </c>
    </row>
    <row r="7861" spans="27:30">
      <c r="AA7861" s="117">
        <f>+'Ingredient List - Mother Tinctu'!D7862</f>
        <v>0</v>
      </c>
      <c r="AB7861" s="117">
        <f t="shared" si="125"/>
        <v>0</v>
      </c>
      <c r="AC7861" s="117" t="str">
        <f>IF(AB7861=1,COUNTIF($AB$3:AB7861,1),"")</f>
        <v/>
      </c>
      <c r="AD7861" s="117" t="str">
        <f>IFERROR(INDEX($AA$3:$AA$10000,MATCH(ROWS($AC$3:AC7861),$AC$3:$AC$10000,0)),"")</f>
        <v/>
      </c>
    </row>
    <row r="7862" spans="27:30">
      <c r="AA7862" s="117">
        <f>+'Ingredient List - Mother Tinctu'!D7863</f>
        <v>0</v>
      </c>
      <c r="AB7862" s="117">
        <f t="shared" si="125"/>
        <v>0</v>
      </c>
      <c r="AC7862" s="117" t="str">
        <f>IF(AB7862=1,COUNTIF($AB$3:AB7862,1),"")</f>
        <v/>
      </c>
      <c r="AD7862" s="117" t="str">
        <f>IFERROR(INDEX($AA$3:$AA$10000,MATCH(ROWS($AC$3:AC7862),$AC$3:$AC$10000,0)),"")</f>
        <v/>
      </c>
    </row>
    <row r="7863" spans="27:30">
      <c r="AA7863" s="117">
        <f>+'Ingredient List - Mother Tinctu'!D7864</f>
        <v>0</v>
      </c>
      <c r="AB7863" s="117">
        <f t="shared" si="125"/>
        <v>0</v>
      </c>
      <c r="AC7863" s="117" t="str">
        <f>IF(AB7863=1,COUNTIF($AB$3:AB7863,1),"")</f>
        <v/>
      </c>
      <c r="AD7863" s="117" t="str">
        <f>IFERROR(INDEX($AA$3:$AA$10000,MATCH(ROWS($AC$3:AC7863),$AC$3:$AC$10000,0)),"")</f>
        <v/>
      </c>
    </row>
    <row r="7864" spans="27:30">
      <c r="AA7864" s="117">
        <f>+'Ingredient List - Mother Tinctu'!D7865</f>
        <v>0</v>
      </c>
      <c r="AB7864" s="117">
        <f t="shared" si="125"/>
        <v>0</v>
      </c>
      <c r="AC7864" s="117" t="str">
        <f>IF(AB7864=1,COUNTIF($AB$3:AB7864,1),"")</f>
        <v/>
      </c>
      <c r="AD7864" s="117" t="str">
        <f>IFERROR(INDEX($AA$3:$AA$10000,MATCH(ROWS($AC$3:AC7864),$AC$3:$AC$10000,0)),"")</f>
        <v/>
      </c>
    </row>
    <row r="7865" spans="27:30">
      <c r="AA7865" s="117">
        <f>+'Ingredient List - Mother Tinctu'!D7866</f>
        <v>0</v>
      </c>
      <c r="AB7865" s="117">
        <f t="shared" si="125"/>
        <v>0</v>
      </c>
      <c r="AC7865" s="117" t="str">
        <f>IF(AB7865=1,COUNTIF($AB$3:AB7865,1),"")</f>
        <v/>
      </c>
      <c r="AD7865" s="117" t="str">
        <f>IFERROR(INDEX($AA$3:$AA$10000,MATCH(ROWS($AC$3:AC7865),$AC$3:$AC$10000,0)),"")</f>
        <v/>
      </c>
    </row>
    <row r="7866" spans="27:30">
      <c r="AA7866" s="117">
        <f>+'Ingredient List - Mother Tinctu'!D7867</f>
        <v>0</v>
      </c>
      <c r="AB7866" s="117">
        <f t="shared" si="125"/>
        <v>0</v>
      </c>
      <c r="AC7866" s="117" t="str">
        <f>IF(AB7866=1,COUNTIF($AB$3:AB7866,1),"")</f>
        <v/>
      </c>
      <c r="AD7866" s="117" t="str">
        <f>IFERROR(INDEX($AA$3:$AA$10000,MATCH(ROWS($AC$3:AC7866),$AC$3:$AC$10000,0)),"")</f>
        <v/>
      </c>
    </row>
    <row r="7867" spans="27:30">
      <c r="AA7867" s="117">
        <f>+'Ingredient List - Mother Tinctu'!D7868</f>
        <v>0</v>
      </c>
      <c r="AB7867" s="117">
        <f t="shared" si="125"/>
        <v>0</v>
      </c>
      <c r="AC7867" s="117" t="str">
        <f>IF(AB7867=1,COUNTIF($AB$3:AB7867,1),"")</f>
        <v/>
      </c>
      <c r="AD7867" s="117" t="str">
        <f>IFERROR(INDEX($AA$3:$AA$10000,MATCH(ROWS($AC$3:AC7867),$AC$3:$AC$10000,0)),"")</f>
        <v/>
      </c>
    </row>
    <row r="7868" spans="27:30">
      <c r="AA7868" s="117">
        <f>+'Ingredient List - Mother Tinctu'!D7869</f>
        <v>0</v>
      </c>
      <c r="AB7868" s="117">
        <f t="shared" si="125"/>
        <v>0</v>
      </c>
      <c r="AC7868" s="117" t="str">
        <f>IF(AB7868=1,COUNTIF($AB$3:AB7868,1),"")</f>
        <v/>
      </c>
      <c r="AD7868" s="117" t="str">
        <f>IFERROR(INDEX($AA$3:$AA$10000,MATCH(ROWS($AC$3:AC7868),$AC$3:$AC$10000,0)),"")</f>
        <v/>
      </c>
    </row>
    <row r="7869" spans="27:30">
      <c r="AA7869" s="117">
        <f>+'Ingredient List - Mother Tinctu'!D7870</f>
        <v>0</v>
      </c>
      <c r="AB7869" s="117">
        <f t="shared" si="125"/>
        <v>0</v>
      </c>
      <c r="AC7869" s="117" t="str">
        <f>IF(AB7869=1,COUNTIF($AB$3:AB7869,1),"")</f>
        <v/>
      </c>
      <c r="AD7869" s="117" t="str">
        <f>IFERROR(INDEX($AA$3:$AA$10000,MATCH(ROWS($AC$3:AC7869),$AC$3:$AC$10000,0)),"")</f>
        <v/>
      </c>
    </row>
    <row r="7870" spans="27:30">
      <c r="AA7870" s="117">
        <f>+'Ingredient List - Mother Tinctu'!D7871</f>
        <v>0</v>
      </c>
      <c r="AB7870" s="117">
        <f t="shared" si="125"/>
        <v>0</v>
      </c>
      <c r="AC7870" s="117" t="str">
        <f>IF(AB7870=1,COUNTIF($AB$3:AB7870,1),"")</f>
        <v/>
      </c>
      <c r="AD7870" s="117" t="str">
        <f>IFERROR(INDEX($AA$3:$AA$10000,MATCH(ROWS($AC$3:AC7870),$AC$3:$AC$10000,0)),"")</f>
        <v/>
      </c>
    </row>
    <row r="7871" spans="27:30">
      <c r="AA7871" s="117">
        <f>+'Ingredient List - Mother Tinctu'!D7872</f>
        <v>0</v>
      </c>
      <c r="AB7871" s="117">
        <f t="shared" si="125"/>
        <v>0</v>
      </c>
      <c r="AC7871" s="117" t="str">
        <f>IF(AB7871=1,COUNTIF($AB$3:AB7871,1),"")</f>
        <v/>
      </c>
      <c r="AD7871" s="117" t="str">
        <f>IFERROR(INDEX($AA$3:$AA$10000,MATCH(ROWS($AC$3:AC7871),$AC$3:$AC$10000,0)),"")</f>
        <v/>
      </c>
    </row>
    <row r="7872" spans="27:30">
      <c r="AA7872" s="117">
        <f>+'Ingredient List - Mother Tinctu'!D7873</f>
        <v>0</v>
      </c>
      <c r="AB7872" s="117">
        <f t="shared" si="125"/>
        <v>0</v>
      </c>
      <c r="AC7872" s="117" t="str">
        <f>IF(AB7872=1,COUNTIF($AB$3:AB7872,1),"")</f>
        <v/>
      </c>
      <c r="AD7872" s="117" t="str">
        <f>IFERROR(INDEX($AA$3:$AA$10000,MATCH(ROWS($AC$3:AC7872),$AC$3:$AC$10000,0)),"")</f>
        <v/>
      </c>
    </row>
    <row r="7873" spans="27:30">
      <c r="AA7873" s="117">
        <f>+'Ingredient List - Mother Tinctu'!D7874</f>
        <v>0</v>
      </c>
      <c r="AB7873" s="117">
        <f t="shared" si="125"/>
        <v>0</v>
      </c>
      <c r="AC7873" s="117" t="str">
        <f>IF(AB7873=1,COUNTIF($AB$3:AB7873,1),"")</f>
        <v/>
      </c>
      <c r="AD7873" s="117" t="str">
        <f>IFERROR(INDEX($AA$3:$AA$10000,MATCH(ROWS($AC$3:AC7873),$AC$3:$AC$10000,0)),"")</f>
        <v/>
      </c>
    </row>
    <row r="7874" spans="27:30">
      <c r="AA7874" s="117">
        <f>+'Ingredient List - Mother Tinctu'!D7875</f>
        <v>0</v>
      </c>
      <c r="AB7874" s="117">
        <f t="shared" si="125"/>
        <v>0</v>
      </c>
      <c r="AC7874" s="117" t="str">
        <f>IF(AB7874=1,COUNTIF($AB$3:AB7874,1),"")</f>
        <v/>
      </c>
      <c r="AD7874" s="117" t="str">
        <f>IFERROR(INDEX($AA$3:$AA$10000,MATCH(ROWS($AC$3:AC7874),$AC$3:$AC$10000,0)),"")</f>
        <v/>
      </c>
    </row>
    <row r="7875" spans="27:30">
      <c r="AA7875" s="117">
        <f>+'Ingredient List - Mother Tinctu'!D7876</f>
        <v>0</v>
      </c>
      <c r="AB7875" s="117">
        <f t="shared" si="125"/>
        <v>0</v>
      </c>
      <c r="AC7875" s="117" t="str">
        <f>IF(AB7875=1,COUNTIF($AB$3:AB7875,1),"")</f>
        <v/>
      </c>
      <c r="AD7875" s="117" t="str">
        <f>IFERROR(INDEX($AA$3:$AA$10000,MATCH(ROWS($AC$3:AC7875),$AC$3:$AC$10000,0)),"")</f>
        <v/>
      </c>
    </row>
    <row r="7876" spans="27:30">
      <c r="AA7876" s="117">
        <f>+'Ingredient List - Mother Tinctu'!D7877</f>
        <v>0</v>
      </c>
      <c r="AB7876" s="117">
        <f t="shared" ref="AB7876:AB7939" si="126">--ISNUMBER(IFERROR(SEARCH($D$3,AA7876,1),""))</f>
        <v>0</v>
      </c>
      <c r="AC7876" s="117" t="str">
        <f>IF(AB7876=1,COUNTIF($AB$3:AB7876,1),"")</f>
        <v/>
      </c>
      <c r="AD7876" s="117" t="str">
        <f>IFERROR(INDEX($AA$3:$AA$10000,MATCH(ROWS($AC$3:AC7876),$AC$3:$AC$10000,0)),"")</f>
        <v/>
      </c>
    </row>
    <row r="7877" spans="27:30">
      <c r="AA7877" s="117">
        <f>+'Ingredient List - Mother Tinctu'!D7878</f>
        <v>0</v>
      </c>
      <c r="AB7877" s="117">
        <f t="shared" si="126"/>
        <v>0</v>
      </c>
      <c r="AC7877" s="117" t="str">
        <f>IF(AB7877=1,COUNTIF($AB$3:AB7877,1),"")</f>
        <v/>
      </c>
      <c r="AD7877" s="117" t="str">
        <f>IFERROR(INDEX($AA$3:$AA$10000,MATCH(ROWS($AC$3:AC7877),$AC$3:$AC$10000,0)),"")</f>
        <v/>
      </c>
    </row>
    <row r="7878" spans="27:30">
      <c r="AA7878" s="117">
        <f>+'Ingredient List - Mother Tinctu'!D7879</f>
        <v>0</v>
      </c>
      <c r="AB7878" s="117">
        <f t="shared" si="126"/>
        <v>0</v>
      </c>
      <c r="AC7878" s="117" t="str">
        <f>IF(AB7878=1,COUNTIF($AB$3:AB7878,1),"")</f>
        <v/>
      </c>
      <c r="AD7878" s="117" t="str">
        <f>IFERROR(INDEX($AA$3:$AA$10000,MATCH(ROWS($AC$3:AC7878),$AC$3:$AC$10000,0)),"")</f>
        <v/>
      </c>
    </row>
    <row r="7879" spans="27:30">
      <c r="AA7879" s="117">
        <f>+'Ingredient List - Mother Tinctu'!D7880</f>
        <v>0</v>
      </c>
      <c r="AB7879" s="117">
        <f t="shared" si="126"/>
        <v>0</v>
      </c>
      <c r="AC7879" s="117" t="str">
        <f>IF(AB7879=1,COUNTIF($AB$3:AB7879,1),"")</f>
        <v/>
      </c>
      <c r="AD7879" s="117" t="str">
        <f>IFERROR(INDEX($AA$3:$AA$10000,MATCH(ROWS($AC$3:AC7879),$AC$3:$AC$10000,0)),"")</f>
        <v/>
      </c>
    </row>
    <row r="7880" spans="27:30">
      <c r="AA7880" s="117">
        <f>+'Ingredient List - Mother Tinctu'!D7881</f>
        <v>0</v>
      </c>
      <c r="AB7880" s="117">
        <f t="shared" si="126"/>
        <v>0</v>
      </c>
      <c r="AC7880" s="117" t="str">
        <f>IF(AB7880=1,COUNTIF($AB$3:AB7880,1),"")</f>
        <v/>
      </c>
      <c r="AD7880" s="117" t="str">
        <f>IFERROR(INDEX($AA$3:$AA$10000,MATCH(ROWS($AC$3:AC7880),$AC$3:$AC$10000,0)),"")</f>
        <v/>
      </c>
    </row>
    <row r="7881" spans="27:30">
      <c r="AA7881" s="117">
        <f>+'Ingredient List - Mother Tinctu'!D7882</f>
        <v>0</v>
      </c>
      <c r="AB7881" s="117">
        <f t="shared" si="126"/>
        <v>0</v>
      </c>
      <c r="AC7881" s="117" t="str">
        <f>IF(AB7881=1,COUNTIF($AB$3:AB7881,1),"")</f>
        <v/>
      </c>
      <c r="AD7881" s="117" t="str">
        <f>IFERROR(INDEX($AA$3:$AA$10000,MATCH(ROWS($AC$3:AC7881),$AC$3:$AC$10000,0)),"")</f>
        <v/>
      </c>
    </row>
    <row r="7882" spans="27:30">
      <c r="AA7882" s="117">
        <f>+'Ingredient List - Mother Tinctu'!D7883</f>
        <v>0</v>
      </c>
      <c r="AB7882" s="117">
        <f t="shared" si="126"/>
        <v>0</v>
      </c>
      <c r="AC7882" s="117" t="str">
        <f>IF(AB7882=1,COUNTIF($AB$3:AB7882,1),"")</f>
        <v/>
      </c>
      <c r="AD7882" s="117" t="str">
        <f>IFERROR(INDEX($AA$3:$AA$10000,MATCH(ROWS($AC$3:AC7882),$AC$3:$AC$10000,0)),"")</f>
        <v/>
      </c>
    </row>
    <row r="7883" spans="27:30">
      <c r="AA7883" s="117">
        <f>+'Ingredient List - Mother Tinctu'!D7884</f>
        <v>0</v>
      </c>
      <c r="AB7883" s="117">
        <f t="shared" si="126"/>
        <v>0</v>
      </c>
      <c r="AC7883" s="117" t="str">
        <f>IF(AB7883=1,COUNTIF($AB$3:AB7883,1),"")</f>
        <v/>
      </c>
      <c r="AD7883" s="117" t="str">
        <f>IFERROR(INDEX($AA$3:$AA$10000,MATCH(ROWS($AC$3:AC7883),$AC$3:$AC$10000,0)),"")</f>
        <v/>
      </c>
    </row>
    <row r="7884" spans="27:30">
      <c r="AA7884" s="117">
        <f>+'Ingredient List - Mother Tinctu'!D7885</f>
        <v>0</v>
      </c>
      <c r="AB7884" s="117">
        <f t="shared" si="126"/>
        <v>0</v>
      </c>
      <c r="AC7884" s="117" t="str">
        <f>IF(AB7884=1,COUNTIF($AB$3:AB7884,1),"")</f>
        <v/>
      </c>
      <c r="AD7884" s="117" t="str">
        <f>IFERROR(INDEX($AA$3:$AA$10000,MATCH(ROWS($AC$3:AC7884),$AC$3:$AC$10000,0)),"")</f>
        <v/>
      </c>
    </row>
    <row r="7885" spans="27:30">
      <c r="AA7885" s="117">
        <f>+'Ingredient List - Mother Tinctu'!D7886</f>
        <v>0</v>
      </c>
      <c r="AB7885" s="117">
        <f t="shared" si="126"/>
        <v>0</v>
      </c>
      <c r="AC7885" s="117" t="str">
        <f>IF(AB7885=1,COUNTIF($AB$3:AB7885,1),"")</f>
        <v/>
      </c>
      <c r="AD7885" s="117" t="str">
        <f>IFERROR(INDEX($AA$3:$AA$10000,MATCH(ROWS($AC$3:AC7885),$AC$3:$AC$10000,0)),"")</f>
        <v/>
      </c>
    </row>
    <row r="7886" spans="27:30">
      <c r="AA7886" s="117">
        <f>+'Ingredient List - Mother Tinctu'!D7887</f>
        <v>0</v>
      </c>
      <c r="AB7886" s="117">
        <f t="shared" si="126"/>
        <v>0</v>
      </c>
      <c r="AC7886" s="117" t="str">
        <f>IF(AB7886=1,COUNTIF($AB$3:AB7886,1),"")</f>
        <v/>
      </c>
      <c r="AD7886" s="117" t="str">
        <f>IFERROR(INDEX($AA$3:$AA$10000,MATCH(ROWS($AC$3:AC7886),$AC$3:$AC$10000,0)),"")</f>
        <v/>
      </c>
    </row>
    <row r="7887" spans="27:30">
      <c r="AA7887" s="117">
        <f>+'Ingredient List - Mother Tinctu'!D7888</f>
        <v>0</v>
      </c>
      <c r="AB7887" s="117">
        <f t="shared" si="126"/>
        <v>0</v>
      </c>
      <c r="AC7887" s="117" t="str">
        <f>IF(AB7887=1,COUNTIF($AB$3:AB7887,1),"")</f>
        <v/>
      </c>
      <c r="AD7887" s="117" t="str">
        <f>IFERROR(INDEX($AA$3:$AA$10000,MATCH(ROWS($AC$3:AC7887),$AC$3:$AC$10000,0)),"")</f>
        <v/>
      </c>
    </row>
    <row r="7888" spans="27:30">
      <c r="AA7888" s="117">
        <f>+'Ingredient List - Mother Tinctu'!D7889</f>
        <v>0</v>
      </c>
      <c r="AB7888" s="117">
        <f t="shared" si="126"/>
        <v>0</v>
      </c>
      <c r="AC7888" s="117" t="str">
        <f>IF(AB7888=1,COUNTIF($AB$3:AB7888,1),"")</f>
        <v/>
      </c>
      <c r="AD7888" s="117" t="str">
        <f>IFERROR(INDEX($AA$3:$AA$10000,MATCH(ROWS($AC$3:AC7888),$AC$3:$AC$10000,0)),"")</f>
        <v/>
      </c>
    </row>
    <row r="7889" spans="27:30">
      <c r="AA7889" s="117">
        <f>+'Ingredient List - Mother Tinctu'!D7890</f>
        <v>0</v>
      </c>
      <c r="AB7889" s="117">
        <f t="shared" si="126"/>
        <v>0</v>
      </c>
      <c r="AC7889" s="117" t="str">
        <f>IF(AB7889=1,COUNTIF($AB$3:AB7889,1),"")</f>
        <v/>
      </c>
      <c r="AD7889" s="117" t="str">
        <f>IFERROR(INDEX($AA$3:$AA$10000,MATCH(ROWS($AC$3:AC7889),$AC$3:$AC$10000,0)),"")</f>
        <v/>
      </c>
    </row>
    <row r="7890" spans="27:30">
      <c r="AA7890" s="117">
        <f>+'Ingredient List - Mother Tinctu'!D7891</f>
        <v>0</v>
      </c>
      <c r="AB7890" s="117">
        <f t="shared" si="126"/>
        <v>0</v>
      </c>
      <c r="AC7890" s="117" t="str">
        <f>IF(AB7890=1,COUNTIF($AB$3:AB7890,1),"")</f>
        <v/>
      </c>
      <c r="AD7890" s="117" t="str">
        <f>IFERROR(INDEX($AA$3:$AA$10000,MATCH(ROWS($AC$3:AC7890),$AC$3:$AC$10000,0)),"")</f>
        <v/>
      </c>
    </row>
    <row r="7891" spans="27:30">
      <c r="AA7891" s="117">
        <f>+'Ingredient List - Mother Tinctu'!D7892</f>
        <v>0</v>
      </c>
      <c r="AB7891" s="117">
        <f t="shared" si="126"/>
        <v>0</v>
      </c>
      <c r="AC7891" s="117" t="str">
        <f>IF(AB7891=1,COUNTIF($AB$3:AB7891,1),"")</f>
        <v/>
      </c>
      <c r="AD7891" s="117" t="str">
        <f>IFERROR(INDEX($AA$3:$AA$10000,MATCH(ROWS($AC$3:AC7891),$AC$3:$AC$10000,0)),"")</f>
        <v/>
      </c>
    </row>
    <row r="7892" spans="27:30">
      <c r="AA7892" s="117">
        <f>+'Ingredient List - Mother Tinctu'!D7893</f>
        <v>0</v>
      </c>
      <c r="AB7892" s="117">
        <f t="shared" si="126"/>
        <v>0</v>
      </c>
      <c r="AC7892" s="117" t="str">
        <f>IF(AB7892=1,COUNTIF($AB$3:AB7892,1),"")</f>
        <v/>
      </c>
      <c r="AD7892" s="117" t="str">
        <f>IFERROR(INDEX($AA$3:$AA$10000,MATCH(ROWS($AC$3:AC7892),$AC$3:$AC$10000,0)),"")</f>
        <v/>
      </c>
    </row>
    <row r="7893" spans="27:30">
      <c r="AA7893" s="117">
        <f>+'Ingredient List - Mother Tinctu'!D7894</f>
        <v>0</v>
      </c>
      <c r="AB7893" s="117">
        <f t="shared" si="126"/>
        <v>0</v>
      </c>
      <c r="AC7893" s="117" t="str">
        <f>IF(AB7893=1,COUNTIF($AB$3:AB7893,1),"")</f>
        <v/>
      </c>
      <c r="AD7893" s="117" t="str">
        <f>IFERROR(INDEX($AA$3:$AA$10000,MATCH(ROWS($AC$3:AC7893),$AC$3:$AC$10000,0)),"")</f>
        <v/>
      </c>
    </row>
    <row r="7894" spans="27:30">
      <c r="AA7894" s="117">
        <f>+'Ingredient List - Mother Tinctu'!D7895</f>
        <v>0</v>
      </c>
      <c r="AB7894" s="117">
        <f t="shared" si="126"/>
        <v>0</v>
      </c>
      <c r="AC7894" s="117" t="str">
        <f>IF(AB7894=1,COUNTIF($AB$3:AB7894,1),"")</f>
        <v/>
      </c>
      <c r="AD7894" s="117" t="str">
        <f>IFERROR(INDEX($AA$3:$AA$10000,MATCH(ROWS($AC$3:AC7894),$AC$3:$AC$10000,0)),"")</f>
        <v/>
      </c>
    </row>
    <row r="7895" spans="27:30">
      <c r="AA7895" s="117">
        <f>+'Ingredient List - Mother Tinctu'!D7896</f>
        <v>0</v>
      </c>
      <c r="AB7895" s="117">
        <f t="shared" si="126"/>
        <v>0</v>
      </c>
      <c r="AC7895" s="117" t="str">
        <f>IF(AB7895=1,COUNTIF($AB$3:AB7895,1),"")</f>
        <v/>
      </c>
      <c r="AD7895" s="117" t="str">
        <f>IFERROR(INDEX($AA$3:$AA$10000,MATCH(ROWS($AC$3:AC7895),$AC$3:$AC$10000,0)),"")</f>
        <v/>
      </c>
    </row>
    <row r="7896" spans="27:30">
      <c r="AA7896" s="117">
        <f>+'Ingredient List - Mother Tinctu'!D7897</f>
        <v>0</v>
      </c>
      <c r="AB7896" s="117">
        <f t="shared" si="126"/>
        <v>0</v>
      </c>
      <c r="AC7896" s="117" t="str">
        <f>IF(AB7896=1,COUNTIF($AB$3:AB7896,1),"")</f>
        <v/>
      </c>
      <c r="AD7896" s="117" t="str">
        <f>IFERROR(INDEX($AA$3:$AA$10000,MATCH(ROWS($AC$3:AC7896),$AC$3:$AC$10000,0)),"")</f>
        <v/>
      </c>
    </row>
    <row r="7897" spans="27:30">
      <c r="AA7897" s="117">
        <f>+'Ingredient List - Mother Tinctu'!D7898</f>
        <v>0</v>
      </c>
      <c r="AB7897" s="117">
        <f t="shared" si="126"/>
        <v>0</v>
      </c>
      <c r="AC7897" s="117" t="str">
        <f>IF(AB7897=1,COUNTIF($AB$3:AB7897,1),"")</f>
        <v/>
      </c>
      <c r="AD7897" s="117" t="str">
        <f>IFERROR(INDEX($AA$3:$AA$10000,MATCH(ROWS($AC$3:AC7897),$AC$3:$AC$10000,0)),"")</f>
        <v/>
      </c>
    </row>
    <row r="7898" spans="27:30">
      <c r="AA7898" s="117">
        <f>+'Ingredient List - Mother Tinctu'!D7899</f>
        <v>0</v>
      </c>
      <c r="AB7898" s="117">
        <f t="shared" si="126"/>
        <v>0</v>
      </c>
      <c r="AC7898" s="117" t="str">
        <f>IF(AB7898=1,COUNTIF($AB$3:AB7898,1),"")</f>
        <v/>
      </c>
      <c r="AD7898" s="117" t="str">
        <f>IFERROR(INDEX($AA$3:$AA$10000,MATCH(ROWS($AC$3:AC7898),$AC$3:$AC$10000,0)),"")</f>
        <v/>
      </c>
    </row>
    <row r="7899" spans="27:30">
      <c r="AA7899" s="117">
        <f>+'Ingredient List - Mother Tinctu'!D7900</f>
        <v>0</v>
      </c>
      <c r="AB7899" s="117">
        <f t="shared" si="126"/>
        <v>0</v>
      </c>
      <c r="AC7899" s="117" t="str">
        <f>IF(AB7899=1,COUNTIF($AB$3:AB7899,1),"")</f>
        <v/>
      </c>
      <c r="AD7899" s="117" t="str">
        <f>IFERROR(INDEX($AA$3:$AA$10000,MATCH(ROWS($AC$3:AC7899),$AC$3:$AC$10000,0)),"")</f>
        <v/>
      </c>
    </row>
    <row r="7900" spans="27:30">
      <c r="AA7900" s="117">
        <f>+'Ingredient List - Mother Tinctu'!D7901</f>
        <v>0</v>
      </c>
      <c r="AB7900" s="117">
        <f t="shared" si="126"/>
        <v>0</v>
      </c>
      <c r="AC7900" s="117" t="str">
        <f>IF(AB7900=1,COUNTIF($AB$3:AB7900,1),"")</f>
        <v/>
      </c>
      <c r="AD7900" s="117" t="str">
        <f>IFERROR(INDEX($AA$3:$AA$10000,MATCH(ROWS($AC$3:AC7900),$AC$3:$AC$10000,0)),"")</f>
        <v/>
      </c>
    </row>
    <row r="7901" spans="27:30">
      <c r="AA7901" s="117">
        <f>+'Ingredient List - Mother Tinctu'!D7902</f>
        <v>0</v>
      </c>
      <c r="AB7901" s="117">
        <f t="shared" si="126"/>
        <v>0</v>
      </c>
      <c r="AC7901" s="117" t="str">
        <f>IF(AB7901=1,COUNTIF($AB$3:AB7901,1),"")</f>
        <v/>
      </c>
      <c r="AD7901" s="117" t="str">
        <f>IFERROR(INDEX($AA$3:$AA$10000,MATCH(ROWS($AC$3:AC7901),$AC$3:$AC$10000,0)),"")</f>
        <v/>
      </c>
    </row>
    <row r="7902" spans="27:30">
      <c r="AA7902" s="117">
        <f>+'Ingredient List - Mother Tinctu'!D7903</f>
        <v>0</v>
      </c>
      <c r="AB7902" s="117">
        <f t="shared" si="126"/>
        <v>0</v>
      </c>
      <c r="AC7902" s="117" t="str">
        <f>IF(AB7902=1,COUNTIF($AB$3:AB7902,1),"")</f>
        <v/>
      </c>
      <c r="AD7902" s="117" t="str">
        <f>IFERROR(INDEX($AA$3:$AA$10000,MATCH(ROWS($AC$3:AC7902),$AC$3:$AC$10000,0)),"")</f>
        <v/>
      </c>
    </row>
    <row r="7903" spans="27:30">
      <c r="AA7903" s="117">
        <f>+'Ingredient List - Mother Tinctu'!D7904</f>
        <v>0</v>
      </c>
      <c r="AB7903" s="117">
        <f t="shared" si="126"/>
        <v>0</v>
      </c>
      <c r="AC7903" s="117" t="str">
        <f>IF(AB7903=1,COUNTIF($AB$3:AB7903,1),"")</f>
        <v/>
      </c>
      <c r="AD7903" s="117" t="str">
        <f>IFERROR(INDEX($AA$3:$AA$10000,MATCH(ROWS($AC$3:AC7903),$AC$3:$AC$10000,0)),"")</f>
        <v/>
      </c>
    </row>
    <row r="7904" spans="27:30">
      <c r="AA7904" s="117">
        <f>+'Ingredient List - Mother Tinctu'!D7905</f>
        <v>0</v>
      </c>
      <c r="AB7904" s="117">
        <f t="shared" si="126"/>
        <v>0</v>
      </c>
      <c r="AC7904" s="117" t="str">
        <f>IF(AB7904=1,COUNTIF($AB$3:AB7904,1),"")</f>
        <v/>
      </c>
      <c r="AD7904" s="117" t="str">
        <f>IFERROR(INDEX($AA$3:$AA$10000,MATCH(ROWS($AC$3:AC7904),$AC$3:$AC$10000,0)),"")</f>
        <v/>
      </c>
    </row>
    <row r="7905" spans="27:30">
      <c r="AA7905" s="117">
        <f>+'Ingredient List - Mother Tinctu'!D7906</f>
        <v>0</v>
      </c>
      <c r="AB7905" s="117">
        <f t="shared" si="126"/>
        <v>0</v>
      </c>
      <c r="AC7905" s="117" t="str">
        <f>IF(AB7905=1,COUNTIF($AB$3:AB7905,1),"")</f>
        <v/>
      </c>
      <c r="AD7905" s="117" t="str">
        <f>IFERROR(INDEX($AA$3:$AA$10000,MATCH(ROWS($AC$3:AC7905),$AC$3:$AC$10000,0)),"")</f>
        <v/>
      </c>
    </row>
    <row r="7906" spans="27:30">
      <c r="AA7906" s="117">
        <f>+'Ingredient List - Mother Tinctu'!D7907</f>
        <v>0</v>
      </c>
      <c r="AB7906" s="117">
        <f t="shared" si="126"/>
        <v>0</v>
      </c>
      <c r="AC7906" s="117" t="str">
        <f>IF(AB7906=1,COUNTIF($AB$3:AB7906,1),"")</f>
        <v/>
      </c>
      <c r="AD7906" s="117" t="str">
        <f>IFERROR(INDEX($AA$3:$AA$10000,MATCH(ROWS($AC$3:AC7906),$AC$3:$AC$10000,0)),"")</f>
        <v/>
      </c>
    </row>
    <row r="7907" spans="27:30">
      <c r="AA7907" s="117">
        <f>+'Ingredient List - Mother Tinctu'!D7908</f>
        <v>0</v>
      </c>
      <c r="AB7907" s="117">
        <f t="shared" si="126"/>
        <v>0</v>
      </c>
      <c r="AC7907" s="117" t="str">
        <f>IF(AB7907=1,COUNTIF($AB$3:AB7907,1),"")</f>
        <v/>
      </c>
      <c r="AD7907" s="117" t="str">
        <f>IFERROR(INDEX($AA$3:$AA$10000,MATCH(ROWS($AC$3:AC7907),$AC$3:$AC$10000,0)),"")</f>
        <v/>
      </c>
    </row>
    <row r="7908" spans="27:30">
      <c r="AA7908" s="117">
        <f>+'Ingredient List - Mother Tinctu'!D7909</f>
        <v>0</v>
      </c>
      <c r="AB7908" s="117">
        <f t="shared" si="126"/>
        <v>0</v>
      </c>
      <c r="AC7908" s="117" t="str">
        <f>IF(AB7908=1,COUNTIF($AB$3:AB7908,1),"")</f>
        <v/>
      </c>
      <c r="AD7908" s="117" t="str">
        <f>IFERROR(INDEX($AA$3:$AA$10000,MATCH(ROWS($AC$3:AC7908),$AC$3:$AC$10000,0)),"")</f>
        <v/>
      </c>
    </row>
    <row r="7909" spans="27:30">
      <c r="AA7909" s="117">
        <f>+'Ingredient List - Mother Tinctu'!D7910</f>
        <v>0</v>
      </c>
      <c r="AB7909" s="117">
        <f t="shared" si="126"/>
        <v>0</v>
      </c>
      <c r="AC7909" s="117" t="str">
        <f>IF(AB7909=1,COUNTIF($AB$3:AB7909,1),"")</f>
        <v/>
      </c>
      <c r="AD7909" s="117" t="str">
        <f>IFERROR(INDEX($AA$3:$AA$10000,MATCH(ROWS($AC$3:AC7909),$AC$3:$AC$10000,0)),"")</f>
        <v/>
      </c>
    </row>
    <row r="7910" spans="27:30">
      <c r="AA7910" s="117">
        <f>+'Ingredient List - Mother Tinctu'!D7911</f>
        <v>0</v>
      </c>
      <c r="AB7910" s="117">
        <f t="shared" si="126"/>
        <v>0</v>
      </c>
      <c r="AC7910" s="117" t="str">
        <f>IF(AB7910=1,COUNTIF($AB$3:AB7910,1),"")</f>
        <v/>
      </c>
      <c r="AD7910" s="117" t="str">
        <f>IFERROR(INDEX($AA$3:$AA$10000,MATCH(ROWS($AC$3:AC7910),$AC$3:$AC$10000,0)),"")</f>
        <v/>
      </c>
    </row>
    <row r="7911" spans="27:30">
      <c r="AA7911" s="117">
        <f>+'Ingredient List - Mother Tinctu'!D7912</f>
        <v>0</v>
      </c>
      <c r="AB7911" s="117">
        <f t="shared" si="126"/>
        <v>0</v>
      </c>
      <c r="AC7911" s="117" t="str">
        <f>IF(AB7911=1,COUNTIF($AB$3:AB7911,1),"")</f>
        <v/>
      </c>
      <c r="AD7911" s="117" t="str">
        <f>IFERROR(INDEX($AA$3:$AA$10000,MATCH(ROWS($AC$3:AC7911),$AC$3:$AC$10000,0)),"")</f>
        <v/>
      </c>
    </row>
    <row r="7912" spans="27:30">
      <c r="AA7912" s="117">
        <f>+'Ingredient List - Mother Tinctu'!D7913</f>
        <v>0</v>
      </c>
      <c r="AB7912" s="117">
        <f t="shared" si="126"/>
        <v>0</v>
      </c>
      <c r="AC7912" s="117" t="str">
        <f>IF(AB7912=1,COUNTIF($AB$3:AB7912,1),"")</f>
        <v/>
      </c>
      <c r="AD7912" s="117" t="str">
        <f>IFERROR(INDEX($AA$3:$AA$10000,MATCH(ROWS($AC$3:AC7912),$AC$3:$AC$10000,0)),"")</f>
        <v/>
      </c>
    </row>
    <row r="7913" spans="27:30">
      <c r="AA7913" s="117">
        <f>+'Ingredient List - Mother Tinctu'!D7914</f>
        <v>0</v>
      </c>
      <c r="AB7913" s="117">
        <f t="shared" si="126"/>
        <v>0</v>
      </c>
      <c r="AC7913" s="117" t="str">
        <f>IF(AB7913=1,COUNTIF($AB$3:AB7913,1),"")</f>
        <v/>
      </c>
      <c r="AD7913" s="117" t="str">
        <f>IFERROR(INDEX($AA$3:$AA$10000,MATCH(ROWS($AC$3:AC7913),$AC$3:$AC$10000,0)),"")</f>
        <v/>
      </c>
    </row>
    <row r="7914" spans="27:30">
      <c r="AA7914" s="117">
        <f>+'Ingredient List - Mother Tinctu'!D7915</f>
        <v>0</v>
      </c>
      <c r="AB7914" s="117">
        <f t="shared" si="126"/>
        <v>0</v>
      </c>
      <c r="AC7914" s="117" t="str">
        <f>IF(AB7914=1,COUNTIF($AB$3:AB7914,1),"")</f>
        <v/>
      </c>
      <c r="AD7914" s="117" t="str">
        <f>IFERROR(INDEX($AA$3:$AA$10000,MATCH(ROWS($AC$3:AC7914),$AC$3:$AC$10000,0)),"")</f>
        <v/>
      </c>
    </row>
    <row r="7915" spans="27:30">
      <c r="AA7915" s="117">
        <f>+'Ingredient List - Mother Tinctu'!D7916</f>
        <v>0</v>
      </c>
      <c r="AB7915" s="117">
        <f t="shared" si="126"/>
        <v>0</v>
      </c>
      <c r="AC7915" s="117" t="str">
        <f>IF(AB7915=1,COUNTIF($AB$3:AB7915,1),"")</f>
        <v/>
      </c>
      <c r="AD7915" s="117" t="str">
        <f>IFERROR(INDEX($AA$3:$AA$10000,MATCH(ROWS($AC$3:AC7915),$AC$3:$AC$10000,0)),"")</f>
        <v/>
      </c>
    </row>
    <row r="7916" spans="27:30">
      <c r="AA7916" s="117">
        <f>+'Ingredient List - Mother Tinctu'!D7917</f>
        <v>0</v>
      </c>
      <c r="AB7916" s="117">
        <f t="shared" si="126"/>
        <v>0</v>
      </c>
      <c r="AC7916" s="117" t="str">
        <f>IF(AB7916=1,COUNTIF($AB$3:AB7916,1),"")</f>
        <v/>
      </c>
      <c r="AD7916" s="117" t="str">
        <f>IFERROR(INDEX($AA$3:$AA$10000,MATCH(ROWS($AC$3:AC7916),$AC$3:$AC$10000,0)),"")</f>
        <v/>
      </c>
    </row>
    <row r="7917" spans="27:30">
      <c r="AA7917" s="117">
        <f>+'Ingredient List - Mother Tinctu'!D7918</f>
        <v>0</v>
      </c>
      <c r="AB7917" s="117">
        <f t="shared" si="126"/>
        <v>0</v>
      </c>
      <c r="AC7917" s="117" t="str">
        <f>IF(AB7917=1,COUNTIF($AB$3:AB7917,1),"")</f>
        <v/>
      </c>
      <c r="AD7917" s="117" t="str">
        <f>IFERROR(INDEX($AA$3:$AA$10000,MATCH(ROWS($AC$3:AC7917),$AC$3:$AC$10000,0)),"")</f>
        <v/>
      </c>
    </row>
    <row r="7918" spans="27:30">
      <c r="AA7918" s="117">
        <f>+'Ingredient List - Mother Tinctu'!D7919</f>
        <v>0</v>
      </c>
      <c r="AB7918" s="117">
        <f t="shared" si="126"/>
        <v>0</v>
      </c>
      <c r="AC7918" s="117" t="str">
        <f>IF(AB7918=1,COUNTIF($AB$3:AB7918,1),"")</f>
        <v/>
      </c>
      <c r="AD7918" s="117" t="str">
        <f>IFERROR(INDEX($AA$3:$AA$10000,MATCH(ROWS($AC$3:AC7918),$AC$3:$AC$10000,0)),"")</f>
        <v/>
      </c>
    </row>
    <row r="7919" spans="27:30">
      <c r="AA7919" s="117">
        <f>+'Ingredient List - Mother Tinctu'!D7920</f>
        <v>0</v>
      </c>
      <c r="AB7919" s="117">
        <f t="shared" si="126"/>
        <v>0</v>
      </c>
      <c r="AC7919" s="117" t="str">
        <f>IF(AB7919=1,COUNTIF($AB$3:AB7919,1),"")</f>
        <v/>
      </c>
      <c r="AD7919" s="117" t="str">
        <f>IFERROR(INDEX($AA$3:$AA$10000,MATCH(ROWS($AC$3:AC7919),$AC$3:$AC$10000,0)),"")</f>
        <v/>
      </c>
    </row>
    <row r="7920" spans="27:30">
      <c r="AA7920" s="117">
        <f>+'Ingredient List - Mother Tinctu'!D7921</f>
        <v>0</v>
      </c>
      <c r="AB7920" s="117">
        <f t="shared" si="126"/>
        <v>0</v>
      </c>
      <c r="AC7920" s="117" t="str">
        <f>IF(AB7920=1,COUNTIF($AB$3:AB7920,1),"")</f>
        <v/>
      </c>
      <c r="AD7920" s="117" t="str">
        <f>IFERROR(INDEX($AA$3:$AA$10000,MATCH(ROWS($AC$3:AC7920),$AC$3:$AC$10000,0)),"")</f>
        <v/>
      </c>
    </row>
    <row r="7921" spans="27:30">
      <c r="AA7921" s="117">
        <f>+'Ingredient List - Mother Tinctu'!D7922</f>
        <v>0</v>
      </c>
      <c r="AB7921" s="117">
        <f t="shared" si="126"/>
        <v>0</v>
      </c>
      <c r="AC7921" s="117" t="str">
        <f>IF(AB7921=1,COUNTIF($AB$3:AB7921,1),"")</f>
        <v/>
      </c>
      <c r="AD7921" s="117" t="str">
        <f>IFERROR(INDEX($AA$3:$AA$10000,MATCH(ROWS($AC$3:AC7921),$AC$3:$AC$10000,0)),"")</f>
        <v/>
      </c>
    </row>
    <row r="7922" spans="27:30">
      <c r="AA7922" s="117">
        <f>+'Ingredient List - Mother Tinctu'!D7923</f>
        <v>0</v>
      </c>
      <c r="AB7922" s="117">
        <f t="shared" si="126"/>
        <v>0</v>
      </c>
      <c r="AC7922" s="117" t="str">
        <f>IF(AB7922=1,COUNTIF($AB$3:AB7922,1),"")</f>
        <v/>
      </c>
      <c r="AD7922" s="117" t="str">
        <f>IFERROR(INDEX($AA$3:$AA$10000,MATCH(ROWS($AC$3:AC7922),$AC$3:$AC$10000,0)),"")</f>
        <v/>
      </c>
    </row>
    <row r="7923" spans="27:30">
      <c r="AA7923" s="117">
        <f>+'Ingredient List - Mother Tinctu'!D7924</f>
        <v>0</v>
      </c>
      <c r="AB7923" s="117">
        <f t="shared" si="126"/>
        <v>0</v>
      </c>
      <c r="AC7923" s="117" t="str">
        <f>IF(AB7923=1,COUNTIF($AB$3:AB7923,1),"")</f>
        <v/>
      </c>
      <c r="AD7923" s="117" t="str">
        <f>IFERROR(INDEX($AA$3:$AA$10000,MATCH(ROWS($AC$3:AC7923),$AC$3:$AC$10000,0)),"")</f>
        <v/>
      </c>
    </row>
    <row r="7924" spans="27:30">
      <c r="AA7924" s="117">
        <f>+'Ingredient List - Mother Tinctu'!D7925</f>
        <v>0</v>
      </c>
      <c r="AB7924" s="117">
        <f t="shared" si="126"/>
        <v>0</v>
      </c>
      <c r="AC7924" s="117" t="str">
        <f>IF(AB7924=1,COUNTIF($AB$3:AB7924,1),"")</f>
        <v/>
      </c>
      <c r="AD7924" s="117" t="str">
        <f>IFERROR(INDEX($AA$3:$AA$10000,MATCH(ROWS($AC$3:AC7924),$AC$3:$AC$10000,0)),"")</f>
        <v/>
      </c>
    </row>
    <row r="7925" spans="27:30">
      <c r="AA7925" s="117">
        <f>+'Ingredient List - Mother Tinctu'!D7926</f>
        <v>0</v>
      </c>
      <c r="AB7925" s="117">
        <f t="shared" si="126"/>
        <v>0</v>
      </c>
      <c r="AC7925" s="117" t="str">
        <f>IF(AB7925=1,COUNTIF($AB$3:AB7925,1),"")</f>
        <v/>
      </c>
      <c r="AD7925" s="117" t="str">
        <f>IFERROR(INDEX($AA$3:$AA$10000,MATCH(ROWS($AC$3:AC7925),$AC$3:$AC$10000,0)),"")</f>
        <v/>
      </c>
    </row>
    <row r="7926" spans="27:30">
      <c r="AA7926" s="117">
        <f>+'Ingredient List - Mother Tinctu'!D7927</f>
        <v>0</v>
      </c>
      <c r="AB7926" s="117">
        <f t="shared" si="126"/>
        <v>0</v>
      </c>
      <c r="AC7926" s="117" t="str">
        <f>IF(AB7926=1,COUNTIF($AB$3:AB7926,1),"")</f>
        <v/>
      </c>
      <c r="AD7926" s="117" t="str">
        <f>IFERROR(INDEX($AA$3:$AA$10000,MATCH(ROWS($AC$3:AC7926),$AC$3:$AC$10000,0)),"")</f>
        <v/>
      </c>
    </row>
    <row r="7927" spans="27:30">
      <c r="AA7927" s="117">
        <f>+'Ingredient List - Mother Tinctu'!D7928</f>
        <v>0</v>
      </c>
      <c r="AB7927" s="117">
        <f t="shared" si="126"/>
        <v>0</v>
      </c>
      <c r="AC7927" s="117" t="str">
        <f>IF(AB7927=1,COUNTIF($AB$3:AB7927,1),"")</f>
        <v/>
      </c>
      <c r="AD7927" s="117" t="str">
        <f>IFERROR(INDEX($AA$3:$AA$10000,MATCH(ROWS($AC$3:AC7927),$AC$3:$AC$10000,0)),"")</f>
        <v/>
      </c>
    </row>
    <row r="7928" spans="27:30">
      <c r="AA7928" s="117">
        <f>+'Ingredient List - Mother Tinctu'!D7929</f>
        <v>0</v>
      </c>
      <c r="AB7928" s="117">
        <f t="shared" si="126"/>
        <v>0</v>
      </c>
      <c r="AC7928" s="117" t="str">
        <f>IF(AB7928=1,COUNTIF($AB$3:AB7928,1),"")</f>
        <v/>
      </c>
      <c r="AD7928" s="117" t="str">
        <f>IFERROR(INDEX($AA$3:$AA$10000,MATCH(ROWS($AC$3:AC7928),$AC$3:$AC$10000,0)),"")</f>
        <v/>
      </c>
    </row>
    <row r="7929" spans="27:30">
      <c r="AA7929" s="117">
        <f>+'Ingredient List - Mother Tinctu'!D7930</f>
        <v>0</v>
      </c>
      <c r="AB7929" s="117">
        <f t="shared" si="126"/>
        <v>0</v>
      </c>
      <c r="AC7929" s="117" t="str">
        <f>IF(AB7929=1,COUNTIF($AB$3:AB7929,1),"")</f>
        <v/>
      </c>
      <c r="AD7929" s="117" t="str">
        <f>IFERROR(INDEX($AA$3:$AA$10000,MATCH(ROWS($AC$3:AC7929),$AC$3:$AC$10000,0)),"")</f>
        <v/>
      </c>
    </row>
    <row r="7930" spans="27:30">
      <c r="AA7930" s="117">
        <f>+'Ingredient List - Mother Tinctu'!D7931</f>
        <v>0</v>
      </c>
      <c r="AB7930" s="117">
        <f t="shared" si="126"/>
        <v>0</v>
      </c>
      <c r="AC7930" s="117" t="str">
        <f>IF(AB7930=1,COUNTIF($AB$3:AB7930,1),"")</f>
        <v/>
      </c>
      <c r="AD7930" s="117" t="str">
        <f>IFERROR(INDEX($AA$3:$AA$10000,MATCH(ROWS($AC$3:AC7930),$AC$3:$AC$10000,0)),"")</f>
        <v/>
      </c>
    </row>
    <row r="7931" spans="27:30">
      <c r="AA7931" s="117">
        <f>+'Ingredient List - Mother Tinctu'!D7932</f>
        <v>0</v>
      </c>
      <c r="AB7931" s="117">
        <f t="shared" si="126"/>
        <v>0</v>
      </c>
      <c r="AC7931" s="117" t="str">
        <f>IF(AB7931=1,COUNTIF($AB$3:AB7931,1),"")</f>
        <v/>
      </c>
      <c r="AD7931" s="117" t="str">
        <f>IFERROR(INDEX($AA$3:$AA$10000,MATCH(ROWS($AC$3:AC7931),$AC$3:$AC$10000,0)),"")</f>
        <v/>
      </c>
    </row>
    <row r="7932" spans="27:30">
      <c r="AA7932" s="117">
        <f>+'Ingredient List - Mother Tinctu'!D7933</f>
        <v>0</v>
      </c>
      <c r="AB7932" s="117">
        <f t="shared" si="126"/>
        <v>0</v>
      </c>
      <c r="AC7932" s="117" t="str">
        <f>IF(AB7932=1,COUNTIF($AB$3:AB7932,1),"")</f>
        <v/>
      </c>
      <c r="AD7932" s="117" t="str">
        <f>IFERROR(INDEX($AA$3:$AA$10000,MATCH(ROWS($AC$3:AC7932),$AC$3:$AC$10000,0)),"")</f>
        <v/>
      </c>
    </row>
    <row r="7933" spans="27:30">
      <c r="AA7933" s="117">
        <f>+'Ingredient List - Mother Tinctu'!D7934</f>
        <v>0</v>
      </c>
      <c r="AB7933" s="117">
        <f t="shared" si="126"/>
        <v>0</v>
      </c>
      <c r="AC7933" s="117" t="str">
        <f>IF(AB7933=1,COUNTIF($AB$3:AB7933,1),"")</f>
        <v/>
      </c>
      <c r="AD7933" s="117" t="str">
        <f>IFERROR(INDEX($AA$3:$AA$10000,MATCH(ROWS($AC$3:AC7933),$AC$3:$AC$10000,0)),"")</f>
        <v/>
      </c>
    </row>
    <row r="7934" spans="27:30">
      <c r="AA7934" s="117">
        <f>+'Ingredient List - Mother Tinctu'!D7935</f>
        <v>0</v>
      </c>
      <c r="AB7934" s="117">
        <f t="shared" si="126"/>
        <v>0</v>
      </c>
      <c r="AC7934" s="117" t="str">
        <f>IF(AB7934=1,COUNTIF($AB$3:AB7934,1),"")</f>
        <v/>
      </c>
      <c r="AD7934" s="117" t="str">
        <f>IFERROR(INDEX($AA$3:$AA$10000,MATCH(ROWS($AC$3:AC7934),$AC$3:$AC$10000,0)),"")</f>
        <v/>
      </c>
    </row>
    <row r="7935" spans="27:30">
      <c r="AA7935" s="117">
        <f>+'Ingredient List - Mother Tinctu'!D7936</f>
        <v>0</v>
      </c>
      <c r="AB7935" s="117">
        <f t="shared" si="126"/>
        <v>0</v>
      </c>
      <c r="AC7935" s="117" t="str">
        <f>IF(AB7935=1,COUNTIF($AB$3:AB7935,1),"")</f>
        <v/>
      </c>
      <c r="AD7935" s="117" t="str">
        <f>IFERROR(INDEX($AA$3:$AA$10000,MATCH(ROWS($AC$3:AC7935),$AC$3:$AC$10000,0)),"")</f>
        <v/>
      </c>
    </row>
    <row r="7936" spans="27:30">
      <c r="AA7936" s="117">
        <f>+'Ingredient List - Mother Tinctu'!D7937</f>
        <v>0</v>
      </c>
      <c r="AB7936" s="117">
        <f t="shared" si="126"/>
        <v>0</v>
      </c>
      <c r="AC7936" s="117" t="str">
        <f>IF(AB7936=1,COUNTIF($AB$3:AB7936,1),"")</f>
        <v/>
      </c>
      <c r="AD7936" s="117" t="str">
        <f>IFERROR(INDEX($AA$3:$AA$10000,MATCH(ROWS($AC$3:AC7936),$AC$3:$AC$10000,0)),"")</f>
        <v/>
      </c>
    </row>
    <row r="7937" spans="27:30">
      <c r="AA7937" s="117">
        <f>+'Ingredient List - Mother Tinctu'!D7938</f>
        <v>0</v>
      </c>
      <c r="AB7937" s="117">
        <f t="shared" si="126"/>
        <v>0</v>
      </c>
      <c r="AC7937" s="117" t="str">
        <f>IF(AB7937=1,COUNTIF($AB$3:AB7937,1),"")</f>
        <v/>
      </c>
      <c r="AD7937" s="117" t="str">
        <f>IFERROR(INDEX($AA$3:$AA$10000,MATCH(ROWS($AC$3:AC7937),$AC$3:$AC$10000,0)),"")</f>
        <v/>
      </c>
    </row>
    <row r="7938" spans="27:30">
      <c r="AA7938" s="117">
        <f>+'Ingredient List - Mother Tinctu'!D7939</f>
        <v>0</v>
      </c>
      <c r="AB7938" s="117">
        <f t="shared" si="126"/>
        <v>0</v>
      </c>
      <c r="AC7938" s="117" t="str">
        <f>IF(AB7938=1,COUNTIF($AB$3:AB7938,1),"")</f>
        <v/>
      </c>
      <c r="AD7938" s="117" t="str">
        <f>IFERROR(INDEX($AA$3:$AA$10000,MATCH(ROWS($AC$3:AC7938),$AC$3:$AC$10000,0)),"")</f>
        <v/>
      </c>
    </row>
    <row r="7939" spans="27:30">
      <c r="AA7939" s="117">
        <f>+'Ingredient List - Mother Tinctu'!D7940</f>
        <v>0</v>
      </c>
      <c r="AB7939" s="117">
        <f t="shared" si="126"/>
        <v>0</v>
      </c>
      <c r="AC7939" s="117" t="str">
        <f>IF(AB7939=1,COUNTIF($AB$3:AB7939,1),"")</f>
        <v/>
      </c>
      <c r="AD7939" s="117" t="str">
        <f>IFERROR(INDEX($AA$3:$AA$10000,MATCH(ROWS($AC$3:AC7939),$AC$3:$AC$10000,0)),"")</f>
        <v/>
      </c>
    </row>
    <row r="7940" spans="27:30">
      <c r="AA7940" s="117">
        <f>+'Ingredient List - Mother Tinctu'!D7941</f>
        <v>0</v>
      </c>
      <c r="AB7940" s="117">
        <f t="shared" ref="AB7940:AB8003" si="127">--ISNUMBER(IFERROR(SEARCH($D$3,AA7940,1),""))</f>
        <v>0</v>
      </c>
      <c r="AC7940" s="117" t="str">
        <f>IF(AB7940=1,COUNTIF($AB$3:AB7940,1),"")</f>
        <v/>
      </c>
      <c r="AD7940" s="117" t="str">
        <f>IFERROR(INDEX($AA$3:$AA$10000,MATCH(ROWS($AC$3:AC7940),$AC$3:$AC$10000,0)),"")</f>
        <v/>
      </c>
    </row>
    <row r="7941" spans="27:30">
      <c r="AA7941" s="117">
        <f>+'Ingredient List - Mother Tinctu'!D7942</f>
        <v>0</v>
      </c>
      <c r="AB7941" s="117">
        <f t="shared" si="127"/>
        <v>0</v>
      </c>
      <c r="AC7941" s="117" t="str">
        <f>IF(AB7941=1,COUNTIF($AB$3:AB7941,1),"")</f>
        <v/>
      </c>
      <c r="AD7941" s="117" t="str">
        <f>IFERROR(INDEX($AA$3:$AA$10000,MATCH(ROWS($AC$3:AC7941),$AC$3:$AC$10000,0)),"")</f>
        <v/>
      </c>
    </row>
    <row r="7942" spans="27:30">
      <c r="AA7942" s="117">
        <f>+'Ingredient List - Mother Tinctu'!D7943</f>
        <v>0</v>
      </c>
      <c r="AB7942" s="117">
        <f t="shared" si="127"/>
        <v>0</v>
      </c>
      <c r="AC7942" s="117" t="str">
        <f>IF(AB7942=1,COUNTIF($AB$3:AB7942,1),"")</f>
        <v/>
      </c>
      <c r="AD7942" s="117" t="str">
        <f>IFERROR(INDEX($AA$3:$AA$10000,MATCH(ROWS($AC$3:AC7942),$AC$3:$AC$10000,0)),"")</f>
        <v/>
      </c>
    </row>
    <row r="7943" spans="27:30">
      <c r="AA7943" s="117">
        <f>+'Ingredient List - Mother Tinctu'!D7944</f>
        <v>0</v>
      </c>
      <c r="AB7943" s="117">
        <f t="shared" si="127"/>
        <v>0</v>
      </c>
      <c r="AC7943" s="117" t="str">
        <f>IF(AB7943=1,COUNTIF($AB$3:AB7943,1),"")</f>
        <v/>
      </c>
      <c r="AD7943" s="117" t="str">
        <f>IFERROR(INDEX($AA$3:$AA$10000,MATCH(ROWS($AC$3:AC7943),$AC$3:$AC$10000,0)),"")</f>
        <v/>
      </c>
    </row>
    <row r="7944" spans="27:30">
      <c r="AA7944" s="117">
        <f>+'Ingredient List - Mother Tinctu'!D7945</f>
        <v>0</v>
      </c>
      <c r="AB7944" s="117">
        <f t="shared" si="127"/>
        <v>0</v>
      </c>
      <c r="AC7944" s="117" t="str">
        <f>IF(AB7944=1,COUNTIF($AB$3:AB7944,1),"")</f>
        <v/>
      </c>
      <c r="AD7944" s="117" t="str">
        <f>IFERROR(INDEX($AA$3:$AA$10000,MATCH(ROWS($AC$3:AC7944),$AC$3:$AC$10000,0)),"")</f>
        <v/>
      </c>
    </row>
    <row r="7945" spans="27:30">
      <c r="AA7945" s="117">
        <f>+'Ingredient List - Mother Tinctu'!D7946</f>
        <v>0</v>
      </c>
      <c r="AB7945" s="117">
        <f t="shared" si="127"/>
        <v>0</v>
      </c>
      <c r="AC7945" s="117" t="str">
        <f>IF(AB7945=1,COUNTIF($AB$3:AB7945,1),"")</f>
        <v/>
      </c>
      <c r="AD7945" s="117" t="str">
        <f>IFERROR(INDEX($AA$3:$AA$10000,MATCH(ROWS($AC$3:AC7945),$AC$3:$AC$10000,0)),"")</f>
        <v/>
      </c>
    </row>
    <row r="7946" spans="27:30">
      <c r="AA7946" s="117">
        <f>+'Ingredient List - Mother Tinctu'!D7947</f>
        <v>0</v>
      </c>
      <c r="AB7946" s="117">
        <f t="shared" si="127"/>
        <v>0</v>
      </c>
      <c r="AC7946" s="117" t="str">
        <f>IF(AB7946=1,COUNTIF($AB$3:AB7946,1),"")</f>
        <v/>
      </c>
      <c r="AD7946" s="117" t="str">
        <f>IFERROR(INDEX($AA$3:$AA$10000,MATCH(ROWS($AC$3:AC7946),$AC$3:$AC$10000,0)),"")</f>
        <v/>
      </c>
    </row>
    <row r="7947" spans="27:30">
      <c r="AA7947" s="117">
        <f>+'Ingredient List - Mother Tinctu'!D7948</f>
        <v>0</v>
      </c>
      <c r="AB7947" s="117">
        <f t="shared" si="127"/>
        <v>0</v>
      </c>
      <c r="AC7947" s="117" t="str">
        <f>IF(AB7947=1,COUNTIF($AB$3:AB7947,1),"")</f>
        <v/>
      </c>
      <c r="AD7947" s="117" t="str">
        <f>IFERROR(INDEX($AA$3:$AA$10000,MATCH(ROWS($AC$3:AC7947),$AC$3:$AC$10000,0)),"")</f>
        <v/>
      </c>
    </row>
    <row r="7948" spans="27:30">
      <c r="AA7948" s="117">
        <f>+'Ingredient List - Mother Tinctu'!D7949</f>
        <v>0</v>
      </c>
      <c r="AB7948" s="117">
        <f t="shared" si="127"/>
        <v>0</v>
      </c>
      <c r="AC7948" s="117" t="str">
        <f>IF(AB7948=1,COUNTIF($AB$3:AB7948,1),"")</f>
        <v/>
      </c>
      <c r="AD7948" s="117" t="str">
        <f>IFERROR(INDEX($AA$3:$AA$10000,MATCH(ROWS($AC$3:AC7948),$AC$3:$AC$10000,0)),"")</f>
        <v/>
      </c>
    </row>
    <row r="7949" spans="27:30">
      <c r="AA7949" s="117">
        <f>+'Ingredient List - Mother Tinctu'!D7950</f>
        <v>0</v>
      </c>
      <c r="AB7949" s="117">
        <f t="shared" si="127"/>
        <v>0</v>
      </c>
      <c r="AC7949" s="117" t="str">
        <f>IF(AB7949=1,COUNTIF($AB$3:AB7949,1),"")</f>
        <v/>
      </c>
      <c r="AD7949" s="117" t="str">
        <f>IFERROR(INDEX($AA$3:$AA$10000,MATCH(ROWS($AC$3:AC7949),$AC$3:$AC$10000,0)),"")</f>
        <v/>
      </c>
    </row>
    <row r="7950" spans="27:30">
      <c r="AA7950" s="117">
        <f>+'Ingredient List - Mother Tinctu'!D7951</f>
        <v>0</v>
      </c>
      <c r="AB7950" s="117">
        <f t="shared" si="127"/>
        <v>0</v>
      </c>
      <c r="AC7950" s="117" t="str">
        <f>IF(AB7950=1,COUNTIF($AB$3:AB7950,1),"")</f>
        <v/>
      </c>
      <c r="AD7950" s="117" t="str">
        <f>IFERROR(INDEX($AA$3:$AA$10000,MATCH(ROWS($AC$3:AC7950),$AC$3:$AC$10000,0)),"")</f>
        <v/>
      </c>
    </row>
    <row r="7951" spans="27:30">
      <c r="AA7951" s="117">
        <f>+'Ingredient List - Mother Tinctu'!D7952</f>
        <v>0</v>
      </c>
      <c r="AB7951" s="117">
        <f t="shared" si="127"/>
        <v>0</v>
      </c>
      <c r="AC7951" s="117" t="str">
        <f>IF(AB7951=1,COUNTIF($AB$3:AB7951,1),"")</f>
        <v/>
      </c>
      <c r="AD7951" s="117" t="str">
        <f>IFERROR(INDEX($AA$3:$AA$10000,MATCH(ROWS($AC$3:AC7951),$AC$3:$AC$10000,0)),"")</f>
        <v/>
      </c>
    </row>
    <row r="7952" spans="27:30">
      <c r="AA7952" s="117">
        <f>+'Ingredient List - Mother Tinctu'!D7953</f>
        <v>0</v>
      </c>
      <c r="AB7952" s="117">
        <f t="shared" si="127"/>
        <v>0</v>
      </c>
      <c r="AC7952" s="117" t="str">
        <f>IF(AB7952=1,COUNTIF($AB$3:AB7952,1),"")</f>
        <v/>
      </c>
      <c r="AD7952" s="117" t="str">
        <f>IFERROR(INDEX($AA$3:$AA$10000,MATCH(ROWS($AC$3:AC7952),$AC$3:$AC$10000,0)),"")</f>
        <v/>
      </c>
    </row>
    <row r="7953" spans="27:30">
      <c r="AA7953" s="117">
        <f>+'Ingredient List - Mother Tinctu'!D7954</f>
        <v>0</v>
      </c>
      <c r="AB7953" s="117">
        <f t="shared" si="127"/>
        <v>0</v>
      </c>
      <c r="AC7953" s="117" t="str">
        <f>IF(AB7953=1,COUNTIF($AB$3:AB7953,1),"")</f>
        <v/>
      </c>
      <c r="AD7953" s="117" t="str">
        <f>IFERROR(INDEX($AA$3:$AA$10000,MATCH(ROWS($AC$3:AC7953),$AC$3:$AC$10000,0)),"")</f>
        <v/>
      </c>
    </row>
    <row r="7954" spans="27:30">
      <c r="AA7954" s="117">
        <f>+'Ingredient List - Mother Tinctu'!D7955</f>
        <v>0</v>
      </c>
      <c r="AB7954" s="117">
        <f t="shared" si="127"/>
        <v>0</v>
      </c>
      <c r="AC7954" s="117" t="str">
        <f>IF(AB7954=1,COUNTIF($AB$3:AB7954,1),"")</f>
        <v/>
      </c>
      <c r="AD7954" s="117" t="str">
        <f>IFERROR(INDEX($AA$3:$AA$10000,MATCH(ROWS($AC$3:AC7954),$AC$3:$AC$10000,0)),"")</f>
        <v/>
      </c>
    </row>
    <row r="7955" spans="27:30">
      <c r="AA7955" s="117">
        <f>+'Ingredient List - Mother Tinctu'!D7956</f>
        <v>0</v>
      </c>
      <c r="AB7955" s="117">
        <f t="shared" si="127"/>
        <v>0</v>
      </c>
      <c r="AC7955" s="117" t="str">
        <f>IF(AB7955=1,COUNTIF($AB$3:AB7955,1),"")</f>
        <v/>
      </c>
      <c r="AD7955" s="117" t="str">
        <f>IFERROR(INDEX($AA$3:$AA$10000,MATCH(ROWS($AC$3:AC7955),$AC$3:$AC$10000,0)),"")</f>
        <v/>
      </c>
    </row>
    <row r="7956" spans="27:30">
      <c r="AA7956" s="117">
        <f>+'Ingredient List - Mother Tinctu'!D7957</f>
        <v>0</v>
      </c>
      <c r="AB7956" s="117">
        <f t="shared" si="127"/>
        <v>0</v>
      </c>
      <c r="AC7956" s="117" t="str">
        <f>IF(AB7956=1,COUNTIF($AB$3:AB7956,1),"")</f>
        <v/>
      </c>
      <c r="AD7956" s="117" t="str">
        <f>IFERROR(INDEX($AA$3:$AA$10000,MATCH(ROWS($AC$3:AC7956),$AC$3:$AC$10000,0)),"")</f>
        <v/>
      </c>
    </row>
    <row r="7957" spans="27:30">
      <c r="AA7957" s="117">
        <f>+'Ingredient List - Mother Tinctu'!D7958</f>
        <v>0</v>
      </c>
      <c r="AB7957" s="117">
        <f t="shared" si="127"/>
        <v>0</v>
      </c>
      <c r="AC7957" s="117" t="str">
        <f>IF(AB7957=1,COUNTIF($AB$3:AB7957,1),"")</f>
        <v/>
      </c>
      <c r="AD7957" s="117" t="str">
        <f>IFERROR(INDEX($AA$3:$AA$10000,MATCH(ROWS($AC$3:AC7957),$AC$3:$AC$10000,0)),"")</f>
        <v/>
      </c>
    </row>
    <row r="7958" spans="27:30">
      <c r="AA7958" s="117">
        <f>+'Ingredient List - Mother Tinctu'!D7959</f>
        <v>0</v>
      </c>
      <c r="AB7958" s="117">
        <f t="shared" si="127"/>
        <v>0</v>
      </c>
      <c r="AC7958" s="117" t="str">
        <f>IF(AB7958=1,COUNTIF($AB$3:AB7958,1),"")</f>
        <v/>
      </c>
      <c r="AD7958" s="117" t="str">
        <f>IFERROR(INDEX($AA$3:$AA$10000,MATCH(ROWS($AC$3:AC7958),$AC$3:$AC$10000,0)),"")</f>
        <v/>
      </c>
    </row>
    <row r="7959" spans="27:30">
      <c r="AA7959" s="117">
        <f>+'Ingredient List - Mother Tinctu'!D7960</f>
        <v>0</v>
      </c>
      <c r="AB7959" s="117">
        <f t="shared" si="127"/>
        <v>0</v>
      </c>
      <c r="AC7959" s="117" t="str">
        <f>IF(AB7959=1,COUNTIF($AB$3:AB7959,1),"")</f>
        <v/>
      </c>
      <c r="AD7959" s="117" t="str">
        <f>IFERROR(INDEX($AA$3:$AA$10000,MATCH(ROWS($AC$3:AC7959),$AC$3:$AC$10000,0)),"")</f>
        <v/>
      </c>
    </row>
    <row r="7960" spans="27:30">
      <c r="AA7960" s="117">
        <f>+'Ingredient List - Mother Tinctu'!D7961</f>
        <v>0</v>
      </c>
      <c r="AB7960" s="117">
        <f t="shared" si="127"/>
        <v>0</v>
      </c>
      <c r="AC7960" s="117" t="str">
        <f>IF(AB7960=1,COUNTIF($AB$3:AB7960,1),"")</f>
        <v/>
      </c>
      <c r="AD7960" s="117" t="str">
        <f>IFERROR(INDEX($AA$3:$AA$10000,MATCH(ROWS($AC$3:AC7960),$AC$3:$AC$10000,0)),"")</f>
        <v/>
      </c>
    </row>
    <row r="7961" spans="27:30">
      <c r="AA7961" s="117">
        <f>+'Ingredient List - Mother Tinctu'!D7962</f>
        <v>0</v>
      </c>
      <c r="AB7961" s="117">
        <f t="shared" si="127"/>
        <v>0</v>
      </c>
      <c r="AC7961" s="117" t="str">
        <f>IF(AB7961=1,COUNTIF($AB$3:AB7961,1),"")</f>
        <v/>
      </c>
      <c r="AD7961" s="117" t="str">
        <f>IFERROR(INDEX($AA$3:$AA$10000,MATCH(ROWS($AC$3:AC7961),$AC$3:$AC$10000,0)),"")</f>
        <v/>
      </c>
    </row>
    <row r="7962" spans="27:30">
      <c r="AA7962" s="117">
        <f>+'Ingredient List - Mother Tinctu'!D7963</f>
        <v>0</v>
      </c>
      <c r="AB7962" s="117">
        <f t="shared" si="127"/>
        <v>0</v>
      </c>
      <c r="AC7962" s="117" t="str">
        <f>IF(AB7962=1,COUNTIF($AB$3:AB7962,1),"")</f>
        <v/>
      </c>
      <c r="AD7962" s="117" t="str">
        <f>IFERROR(INDEX($AA$3:$AA$10000,MATCH(ROWS($AC$3:AC7962),$AC$3:$AC$10000,0)),"")</f>
        <v/>
      </c>
    </row>
    <row r="7963" spans="27:30">
      <c r="AA7963" s="117">
        <f>+'Ingredient List - Mother Tinctu'!D7964</f>
        <v>0</v>
      </c>
      <c r="AB7963" s="117">
        <f t="shared" si="127"/>
        <v>0</v>
      </c>
      <c r="AC7963" s="117" t="str">
        <f>IF(AB7963=1,COUNTIF($AB$3:AB7963,1),"")</f>
        <v/>
      </c>
      <c r="AD7963" s="117" t="str">
        <f>IFERROR(INDEX($AA$3:$AA$10000,MATCH(ROWS($AC$3:AC7963),$AC$3:$AC$10000,0)),"")</f>
        <v/>
      </c>
    </row>
    <row r="7964" spans="27:30">
      <c r="AA7964" s="117">
        <f>+'Ingredient List - Mother Tinctu'!D7965</f>
        <v>0</v>
      </c>
      <c r="AB7964" s="117">
        <f t="shared" si="127"/>
        <v>0</v>
      </c>
      <c r="AC7964" s="117" t="str">
        <f>IF(AB7964=1,COUNTIF($AB$3:AB7964,1),"")</f>
        <v/>
      </c>
      <c r="AD7964" s="117" t="str">
        <f>IFERROR(INDEX($AA$3:$AA$10000,MATCH(ROWS($AC$3:AC7964),$AC$3:$AC$10000,0)),"")</f>
        <v/>
      </c>
    </row>
    <row r="7965" spans="27:30">
      <c r="AA7965" s="117">
        <f>+'Ingredient List - Mother Tinctu'!D7966</f>
        <v>0</v>
      </c>
      <c r="AB7965" s="117">
        <f t="shared" si="127"/>
        <v>0</v>
      </c>
      <c r="AC7965" s="117" t="str">
        <f>IF(AB7965=1,COUNTIF($AB$3:AB7965,1),"")</f>
        <v/>
      </c>
      <c r="AD7965" s="117" t="str">
        <f>IFERROR(INDEX($AA$3:$AA$10000,MATCH(ROWS($AC$3:AC7965),$AC$3:$AC$10000,0)),"")</f>
        <v/>
      </c>
    </row>
    <row r="7966" spans="27:30">
      <c r="AA7966" s="117">
        <f>+'Ingredient List - Mother Tinctu'!D7967</f>
        <v>0</v>
      </c>
      <c r="AB7966" s="117">
        <f t="shared" si="127"/>
        <v>0</v>
      </c>
      <c r="AC7966" s="117" t="str">
        <f>IF(AB7966=1,COUNTIF($AB$3:AB7966,1),"")</f>
        <v/>
      </c>
      <c r="AD7966" s="117" t="str">
        <f>IFERROR(INDEX($AA$3:$AA$10000,MATCH(ROWS($AC$3:AC7966),$AC$3:$AC$10000,0)),"")</f>
        <v/>
      </c>
    </row>
    <row r="7967" spans="27:30">
      <c r="AA7967" s="117">
        <f>+'Ingredient List - Mother Tinctu'!D7968</f>
        <v>0</v>
      </c>
      <c r="AB7967" s="117">
        <f t="shared" si="127"/>
        <v>0</v>
      </c>
      <c r="AC7967" s="117" t="str">
        <f>IF(AB7967=1,COUNTIF($AB$3:AB7967,1),"")</f>
        <v/>
      </c>
      <c r="AD7967" s="117" t="str">
        <f>IFERROR(INDEX($AA$3:$AA$10000,MATCH(ROWS($AC$3:AC7967),$AC$3:$AC$10000,0)),"")</f>
        <v/>
      </c>
    </row>
    <row r="7968" spans="27:30">
      <c r="AA7968" s="117">
        <f>+'Ingredient List - Mother Tinctu'!D7969</f>
        <v>0</v>
      </c>
      <c r="AB7968" s="117">
        <f t="shared" si="127"/>
        <v>0</v>
      </c>
      <c r="AC7968" s="117" t="str">
        <f>IF(AB7968=1,COUNTIF($AB$3:AB7968,1),"")</f>
        <v/>
      </c>
      <c r="AD7968" s="117" t="str">
        <f>IFERROR(INDEX($AA$3:$AA$10000,MATCH(ROWS($AC$3:AC7968),$AC$3:$AC$10000,0)),"")</f>
        <v/>
      </c>
    </row>
    <row r="7969" spans="27:30">
      <c r="AA7969" s="117">
        <f>+'Ingredient List - Mother Tinctu'!D7970</f>
        <v>0</v>
      </c>
      <c r="AB7969" s="117">
        <f t="shared" si="127"/>
        <v>0</v>
      </c>
      <c r="AC7969" s="117" t="str">
        <f>IF(AB7969=1,COUNTIF($AB$3:AB7969,1),"")</f>
        <v/>
      </c>
      <c r="AD7969" s="117" t="str">
        <f>IFERROR(INDEX($AA$3:$AA$10000,MATCH(ROWS($AC$3:AC7969),$AC$3:$AC$10000,0)),"")</f>
        <v/>
      </c>
    </row>
    <row r="7970" spans="27:30">
      <c r="AA7970" s="117">
        <f>+'Ingredient List - Mother Tinctu'!D7971</f>
        <v>0</v>
      </c>
      <c r="AB7970" s="117">
        <f t="shared" si="127"/>
        <v>0</v>
      </c>
      <c r="AC7970" s="117" t="str">
        <f>IF(AB7970=1,COUNTIF($AB$3:AB7970,1),"")</f>
        <v/>
      </c>
      <c r="AD7970" s="117" t="str">
        <f>IFERROR(INDEX($AA$3:$AA$10000,MATCH(ROWS($AC$3:AC7970),$AC$3:$AC$10000,0)),"")</f>
        <v/>
      </c>
    </row>
    <row r="7971" spans="27:30">
      <c r="AA7971" s="117">
        <f>+'Ingredient List - Mother Tinctu'!D7972</f>
        <v>0</v>
      </c>
      <c r="AB7971" s="117">
        <f t="shared" si="127"/>
        <v>0</v>
      </c>
      <c r="AC7971" s="117" t="str">
        <f>IF(AB7971=1,COUNTIF($AB$3:AB7971,1),"")</f>
        <v/>
      </c>
      <c r="AD7971" s="117" t="str">
        <f>IFERROR(INDEX($AA$3:$AA$10000,MATCH(ROWS($AC$3:AC7971),$AC$3:$AC$10000,0)),"")</f>
        <v/>
      </c>
    </row>
    <row r="7972" spans="27:30">
      <c r="AA7972" s="117">
        <f>+'Ingredient List - Mother Tinctu'!D7973</f>
        <v>0</v>
      </c>
      <c r="AB7972" s="117">
        <f t="shared" si="127"/>
        <v>0</v>
      </c>
      <c r="AC7972" s="117" t="str">
        <f>IF(AB7972=1,COUNTIF($AB$3:AB7972,1),"")</f>
        <v/>
      </c>
      <c r="AD7972" s="117" t="str">
        <f>IFERROR(INDEX($AA$3:$AA$10000,MATCH(ROWS($AC$3:AC7972),$AC$3:$AC$10000,0)),"")</f>
        <v/>
      </c>
    </row>
    <row r="7973" spans="27:30">
      <c r="AA7973" s="117">
        <f>+'Ingredient List - Mother Tinctu'!D7974</f>
        <v>0</v>
      </c>
      <c r="AB7973" s="117">
        <f t="shared" si="127"/>
        <v>0</v>
      </c>
      <c r="AC7973" s="117" t="str">
        <f>IF(AB7973=1,COUNTIF($AB$3:AB7973,1),"")</f>
        <v/>
      </c>
      <c r="AD7973" s="117" t="str">
        <f>IFERROR(INDEX($AA$3:$AA$10000,MATCH(ROWS($AC$3:AC7973),$AC$3:$AC$10000,0)),"")</f>
        <v/>
      </c>
    </row>
    <row r="7974" spans="27:30">
      <c r="AA7974" s="117">
        <f>+'Ingredient List - Mother Tinctu'!D7975</f>
        <v>0</v>
      </c>
      <c r="AB7974" s="117">
        <f t="shared" si="127"/>
        <v>0</v>
      </c>
      <c r="AC7974" s="117" t="str">
        <f>IF(AB7974=1,COUNTIF($AB$3:AB7974,1),"")</f>
        <v/>
      </c>
      <c r="AD7974" s="117" t="str">
        <f>IFERROR(INDEX($AA$3:$AA$10000,MATCH(ROWS($AC$3:AC7974),$AC$3:$AC$10000,0)),"")</f>
        <v/>
      </c>
    </row>
    <row r="7975" spans="27:30">
      <c r="AA7975" s="117">
        <f>+'Ingredient List - Mother Tinctu'!D7976</f>
        <v>0</v>
      </c>
      <c r="AB7975" s="117">
        <f t="shared" si="127"/>
        <v>0</v>
      </c>
      <c r="AC7975" s="117" t="str">
        <f>IF(AB7975=1,COUNTIF($AB$3:AB7975,1),"")</f>
        <v/>
      </c>
      <c r="AD7975" s="117" t="str">
        <f>IFERROR(INDEX($AA$3:$AA$10000,MATCH(ROWS($AC$3:AC7975),$AC$3:$AC$10000,0)),"")</f>
        <v/>
      </c>
    </row>
    <row r="7976" spans="27:30">
      <c r="AA7976" s="117">
        <f>+'Ingredient List - Mother Tinctu'!D7977</f>
        <v>0</v>
      </c>
      <c r="AB7976" s="117">
        <f t="shared" si="127"/>
        <v>0</v>
      </c>
      <c r="AC7976" s="117" t="str">
        <f>IF(AB7976=1,COUNTIF($AB$3:AB7976,1),"")</f>
        <v/>
      </c>
      <c r="AD7976" s="117" t="str">
        <f>IFERROR(INDEX($AA$3:$AA$10000,MATCH(ROWS($AC$3:AC7976),$AC$3:$AC$10000,0)),"")</f>
        <v/>
      </c>
    </row>
    <row r="7977" spans="27:30">
      <c r="AA7977" s="117">
        <f>+'Ingredient List - Mother Tinctu'!D7978</f>
        <v>0</v>
      </c>
      <c r="AB7977" s="117">
        <f t="shared" si="127"/>
        <v>0</v>
      </c>
      <c r="AC7977" s="117" t="str">
        <f>IF(AB7977=1,COUNTIF($AB$3:AB7977,1),"")</f>
        <v/>
      </c>
      <c r="AD7977" s="117" t="str">
        <f>IFERROR(INDEX($AA$3:$AA$10000,MATCH(ROWS($AC$3:AC7977),$AC$3:$AC$10000,0)),"")</f>
        <v/>
      </c>
    </row>
    <row r="7978" spans="27:30">
      <c r="AA7978" s="117">
        <f>+'Ingredient List - Mother Tinctu'!D7979</f>
        <v>0</v>
      </c>
      <c r="AB7978" s="117">
        <f t="shared" si="127"/>
        <v>0</v>
      </c>
      <c r="AC7978" s="117" t="str">
        <f>IF(AB7978=1,COUNTIF($AB$3:AB7978,1),"")</f>
        <v/>
      </c>
      <c r="AD7978" s="117" t="str">
        <f>IFERROR(INDEX($AA$3:$AA$10000,MATCH(ROWS($AC$3:AC7978),$AC$3:$AC$10000,0)),"")</f>
        <v/>
      </c>
    </row>
    <row r="7979" spans="27:30">
      <c r="AA7979" s="117">
        <f>+'Ingredient List - Mother Tinctu'!D7980</f>
        <v>0</v>
      </c>
      <c r="AB7979" s="117">
        <f t="shared" si="127"/>
        <v>0</v>
      </c>
      <c r="AC7979" s="117" t="str">
        <f>IF(AB7979=1,COUNTIF($AB$3:AB7979,1),"")</f>
        <v/>
      </c>
      <c r="AD7979" s="117" t="str">
        <f>IFERROR(INDEX($AA$3:$AA$10000,MATCH(ROWS($AC$3:AC7979),$AC$3:$AC$10000,0)),"")</f>
        <v/>
      </c>
    </row>
    <row r="7980" spans="27:30">
      <c r="AA7980" s="117">
        <f>+'Ingredient List - Mother Tinctu'!D7981</f>
        <v>0</v>
      </c>
      <c r="AB7980" s="117">
        <f t="shared" si="127"/>
        <v>0</v>
      </c>
      <c r="AC7980" s="117" t="str">
        <f>IF(AB7980=1,COUNTIF($AB$3:AB7980,1),"")</f>
        <v/>
      </c>
      <c r="AD7980" s="117" t="str">
        <f>IFERROR(INDEX($AA$3:$AA$10000,MATCH(ROWS($AC$3:AC7980),$AC$3:$AC$10000,0)),"")</f>
        <v/>
      </c>
    </row>
    <row r="7981" spans="27:30">
      <c r="AA7981" s="117">
        <f>+'Ingredient List - Mother Tinctu'!D7982</f>
        <v>0</v>
      </c>
      <c r="AB7981" s="117">
        <f t="shared" si="127"/>
        <v>0</v>
      </c>
      <c r="AC7981" s="117" t="str">
        <f>IF(AB7981=1,COUNTIF($AB$3:AB7981,1),"")</f>
        <v/>
      </c>
      <c r="AD7981" s="117" t="str">
        <f>IFERROR(INDEX($AA$3:$AA$10000,MATCH(ROWS($AC$3:AC7981),$AC$3:$AC$10000,0)),"")</f>
        <v/>
      </c>
    </row>
    <row r="7982" spans="27:30">
      <c r="AA7982" s="117">
        <f>+'Ingredient List - Mother Tinctu'!D7983</f>
        <v>0</v>
      </c>
      <c r="AB7982" s="117">
        <f t="shared" si="127"/>
        <v>0</v>
      </c>
      <c r="AC7982" s="117" t="str">
        <f>IF(AB7982=1,COUNTIF($AB$3:AB7982,1),"")</f>
        <v/>
      </c>
      <c r="AD7982" s="117" t="str">
        <f>IFERROR(INDEX($AA$3:$AA$10000,MATCH(ROWS($AC$3:AC7982),$AC$3:$AC$10000,0)),"")</f>
        <v/>
      </c>
    </row>
    <row r="7983" spans="27:30">
      <c r="AA7983" s="117">
        <f>+'Ingredient List - Mother Tinctu'!D7984</f>
        <v>0</v>
      </c>
      <c r="AB7983" s="117">
        <f t="shared" si="127"/>
        <v>0</v>
      </c>
      <c r="AC7983" s="117" t="str">
        <f>IF(AB7983=1,COUNTIF($AB$3:AB7983,1),"")</f>
        <v/>
      </c>
      <c r="AD7983" s="117" t="str">
        <f>IFERROR(INDEX($AA$3:$AA$10000,MATCH(ROWS($AC$3:AC7983),$AC$3:$AC$10000,0)),"")</f>
        <v/>
      </c>
    </row>
    <row r="7984" spans="27:30">
      <c r="AA7984" s="117">
        <f>+'Ingredient List - Mother Tinctu'!D7985</f>
        <v>0</v>
      </c>
      <c r="AB7984" s="117">
        <f t="shared" si="127"/>
        <v>0</v>
      </c>
      <c r="AC7984" s="117" t="str">
        <f>IF(AB7984=1,COUNTIF($AB$3:AB7984,1),"")</f>
        <v/>
      </c>
      <c r="AD7984" s="117" t="str">
        <f>IFERROR(INDEX($AA$3:$AA$10000,MATCH(ROWS($AC$3:AC7984),$AC$3:$AC$10000,0)),"")</f>
        <v/>
      </c>
    </row>
    <row r="7985" spans="27:30">
      <c r="AA7985" s="117">
        <f>+'Ingredient List - Mother Tinctu'!D7986</f>
        <v>0</v>
      </c>
      <c r="AB7985" s="117">
        <f t="shared" si="127"/>
        <v>0</v>
      </c>
      <c r="AC7985" s="117" t="str">
        <f>IF(AB7985=1,COUNTIF($AB$3:AB7985,1),"")</f>
        <v/>
      </c>
      <c r="AD7985" s="117" t="str">
        <f>IFERROR(INDEX($AA$3:$AA$10000,MATCH(ROWS($AC$3:AC7985),$AC$3:$AC$10000,0)),"")</f>
        <v/>
      </c>
    </row>
    <row r="7986" spans="27:30">
      <c r="AA7986" s="117">
        <f>+'Ingredient List - Mother Tinctu'!D7987</f>
        <v>0</v>
      </c>
      <c r="AB7986" s="117">
        <f t="shared" si="127"/>
        <v>0</v>
      </c>
      <c r="AC7986" s="117" t="str">
        <f>IF(AB7986=1,COUNTIF($AB$3:AB7986,1),"")</f>
        <v/>
      </c>
      <c r="AD7986" s="117" t="str">
        <f>IFERROR(INDEX($AA$3:$AA$10000,MATCH(ROWS($AC$3:AC7986),$AC$3:$AC$10000,0)),"")</f>
        <v/>
      </c>
    </row>
    <row r="7987" spans="27:30">
      <c r="AA7987" s="117">
        <f>+'Ingredient List - Mother Tinctu'!D7988</f>
        <v>0</v>
      </c>
      <c r="AB7987" s="117">
        <f t="shared" si="127"/>
        <v>0</v>
      </c>
      <c r="AC7987" s="117" t="str">
        <f>IF(AB7987=1,COUNTIF($AB$3:AB7987,1),"")</f>
        <v/>
      </c>
      <c r="AD7987" s="117" t="str">
        <f>IFERROR(INDEX($AA$3:$AA$10000,MATCH(ROWS($AC$3:AC7987),$AC$3:$AC$10000,0)),"")</f>
        <v/>
      </c>
    </row>
    <row r="7988" spans="27:30">
      <c r="AA7988" s="117">
        <f>+'Ingredient List - Mother Tinctu'!D7989</f>
        <v>0</v>
      </c>
      <c r="AB7988" s="117">
        <f t="shared" si="127"/>
        <v>0</v>
      </c>
      <c r="AC7988" s="117" t="str">
        <f>IF(AB7988=1,COUNTIF($AB$3:AB7988,1),"")</f>
        <v/>
      </c>
      <c r="AD7988" s="117" t="str">
        <f>IFERROR(INDEX($AA$3:$AA$10000,MATCH(ROWS($AC$3:AC7988),$AC$3:$AC$10000,0)),"")</f>
        <v/>
      </c>
    </row>
    <row r="7989" spans="27:30">
      <c r="AA7989" s="117">
        <f>+'Ingredient List - Mother Tinctu'!D7990</f>
        <v>0</v>
      </c>
      <c r="AB7989" s="117">
        <f t="shared" si="127"/>
        <v>0</v>
      </c>
      <c r="AC7989" s="117" t="str">
        <f>IF(AB7989=1,COUNTIF($AB$3:AB7989,1),"")</f>
        <v/>
      </c>
      <c r="AD7989" s="117" t="str">
        <f>IFERROR(INDEX($AA$3:$AA$10000,MATCH(ROWS($AC$3:AC7989),$AC$3:$AC$10000,0)),"")</f>
        <v/>
      </c>
    </row>
    <row r="7990" spans="27:30">
      <c r="AA7990" s="117">
        <f>+'Ingredient List - Mother Tinctu'!D7991</f>
        <v>0</v>
      </c>
      <c r="AB7990" s="117">
        <f t="shared" si="127"/>
        <v>0</v>
      </c>
      <c r="AC7990" s="117" t="str">
        <f>IF(AB7990=1,COUNTIF($AB$3:AB7990,1),"")</f>
        <v/>
      </c>
      <c r="AD7990" s="117" t="str">
        <f>IFERROR(INDEX($AA$3:$AA$10000,MATCH(ROWS($AC$3:AC7990),$AC$3:$AC$10000,0)),"")</f>
        <v/>
      </c>
    </row>
    <row r="7991" spans="27:30">
      <c r="AA7991" s="117">
        <f>+'Ingredient List - Mother Tinctu'!D7992</f>
        <v>0</v>
      </c>
      <c r="AB7991" s="117">
        <f t="shared" si="127"/>
        <v>0</v>
      </c>
      <c r="AC7991" s="117" t="str">
        <f>IF(AB7991=1,COUNTIF($AB$3:AB7991,1),"")</f>
        <v/>
      </c>
      <c r="AD7991" s="117" t="str">
        <f>IFERROR(INDEX($AA$3:$AA$10000,MATCH(ROWS($AC$3:AC7991),$AC$3:$AC$10000,0)),"")</f>
        <v/>
      </c>
    </row>
    <row r="7992" spans="27:30">
      <c r="AA7992" s="117">
        <f>+'Ingredient List - Mother Tinctu'!D7993</f>
        <v>0</v>
      </c>
      <c r="AB7992" s="117">
        <f t="shared" si="127"/>
        <v>0</v>
      </c>
      <c r="AC7992" s="117" t="str">
        <f>IF(AB7992=1,COUNTIF($AB$3:AB7992,1),"")</f>
        <v/>
      </c>
      <c r="AD7992" s="117" t="str">
        <f>IFERROR(INDEX($AA$3:$AA$10000,MATCH(ROWS($AC$3:AC7992),$AC$3:$AC$10000,0)),"")</f>
        <v/>
      </c>
    </row>
    <row r="7993" spans="27:30">
      <c r="AA7993" s="117">
        <f>+'Ingredient List - Mother Tinctu'!D7994</f>
        <v>0</v>
      </c>
      <c r="AB7993" s="117">
        <f t="shared" si="127"/>
        <v>0</v>
      </c>
      <c r="AC7993" s="117" t="str">
        <f>IF(AB7993=1,COUNTIF($AB$3:AB7993,1),"")</f>
        <v/>
      </c>
      <c r="AD7993" s="117" t="str">
        <f>IFERROR(INDEX($AA$3:$AA$10000,MATCH(ROWS($AC$3:AC7993),$AC$3:$AC$10000,0)),"")</f>
        <v/>
      </c>
    </row>
    <row r="7994" spans="27:30">
      <c r="AA7994" s="117">
        <f>+'Ingredient List - Mother Tinctu'!D7995</f>
        <v>0</v>
      </c>
      <c r="AB7994" s="117">
        <f t="shared" si="127"/>
        <v>0</v>
      </c>
      <c r="AC7994" s="117" t="str">
        <f>IF(AB7994=1,COUNTIF($AB$3:AB7994,1),"")</f>
        <v/>
      </c>
      <c r="AD7994" s="117" t="str">
        <f>IFERROR(INDEX($AA$3:$AA$10000,MATCH(ROWS($AC$3:AC7994),$AC$3:$AC$10000,0)),"")</f>
        <v/>
      </c>
    </row>
    <row r="7995" spans="27:30">
      <c r="AA7995" s="117">
        <f>+'Ingredient List - Mother Tinctu'!D7996</f>
        <v>0</v>
      </c>
      <c r="AB7995" s="117">
        <f t="shared" si="127"/>
        <v>0</v>
      </c>
      <c r="AC7995" s="117" t="str">
        <f>IF(AB7995=1,COUNTIF($AB$3:AB7995,1),"")</f>
        <v/>
      </c>
      <c r="AD7995" s="117" t="str">
        <f>IFERROR(INDEX($AA$3:$AA$10000,MATCH(ROWS($AC$3:AC7995),$AC$3:$AC$10000,0)),"")</f>
        <v/>
      </c>
    </row>
    <row r="7996" spans="27:30">
      <c r="AA7996" s="117">
        <f>+'Ingredient List - Mother Tinctu'!D7997</f>
        <v>0</v>
      </c>
      <c r="AB7996" s="117">
        <f t="shared" si="127"/>
        <v>0</v>
      </c>
      <c r="AC7996" s="117" t="str">
        <f>IF(AB7996=1,COUNTIF($AB$3:AB7996,1),"")</f>
        <v/>
      </c>
      <c r="AD7996" s="117" t="str">
        <f>IFERROR(INDEX($AA$3:$AA$10000,MATCH(ROWS($AC$3:AC7996),$AC$3:$AC$10000,0)),"")</f>
        <v/>
      </c>
    </row>
    <row r="7997" spans="27:30">
      <c r="AA7997" s="117">
        <f>+'Ingredient List - Mother Tinctu'!D7998</f>
        <v>0</v>
      </c>
      <c r="AB7997" s="117">
        <f t="shared" si="127"/>
        <v>0</v>
      </c>
      <c r="AC7997" s="117" t="str">
        <f>IF(AB7997=1,COUNTIF($AB$3:AB7997,1),"")</f>
        <v/>
      </c>
      <c r="AD7997" s="117" t="str">
        <f>IFERROR(INDEX($AA$3:$AA$10000,MATCH(ROWS($AC$3:AC7997),$AC$3:$AC$10000,0)),"")</f>
        <v/>
      </c>
    </row>
    <row r="7998" spans="27:30">
      <c r="AA7998" s="117">
        <f>+'Ingredient List - Mother Tinctu'!D7999</f>
        <v>0</v>
      </c>
      <c r="AB7998" s="117">
        <f t="shared" si="127"/>
        <v>0</v>
      </c>
      <c r="AC7998" s="117" t="str">
        <f>IF(AB7998=1,COUNTIF($AB$3:AB7998,1),"")</f>
        <v/>
      </c>
      <c r="AD7998" s="117" t="str">
        <f>IFERROR(INDEX($AA$3:$AA$10000,MATCH(ROWS($AC$3:AC7998),$AC$3:$AC$10000,0)),"")</f>
        <v/>
      </c>
    </row>
    <row r="7999" spans="27:30">
      <c r="AA7999" s="117">
        <f>+'Ingredient List - Mother Tinctu'!D8000</f>
        <v>0</v>
      </c>
      <c r="AB7999" s="117">
        <f t="shared" si="127"/>
        <v>0</v>
      </c>
      <c r="AC7999" s="117" t="str">
        <f>IF(AB7999=1,COUNTIF($AB$3:AB7999,1),"")</f>
        <v/>
      </c>
      <c r="AD7999" s="117" t="str">
        <f>IFERROR(INDEX($AA$3:$AA$10000,MATCH(ROWS($AC$3:AC7999),$AC$3:$AC$10000,0)),"")</f>
        <v/>
      </c>
    </row>
    <row r="8000" spans="27:30">
      <c r="AA8000" s="117">
        <f>+'Ingredient List - Mother Tinctu'!D8001</f>
        <v>0</v>
      </c>
      <c r="AB8000" s="117">
        <f t="shared" si="127"/>
        <v>0</v>
      </c>
      <c r="AC8000" s="117" t="str">
        <f>IF(AB8000=1,COUNTIF($AB$3:AB8000,1),"")</f>
        <v/>
      </c>
      <c r="AD8000" s="117" t="str">
        <f>IFERROR(INDEX($AA$3:$AA$10000,MATCH(ROWS($AC$3:AC8000),$AC$3:$AC$10000,0)),"")</f>
        <v/>
      </c>
    </row>
    <row r="8001" spans="27:30">
      <c r="AA8001" s="117">
        <f>+'Ingredient List - Mother Tinctu'!D8002</f>
        <v>0</v>
      </c>
      <c r="AB8001" s="117">
        <f t="shared" si="127"/>
        <v>0</v>
      </c>
      <c r="AC8001" s="117" t="str">
        <f>IF(AB8001=1,COUNTIF($AB$3:AB8001,1),"")</f>
        <v/>
      </c>
      <c r="AD8001" s="117" t="str">
        <f>IFERROR(INDEX($AA$3:$AA$10000,MATCH(ROWS($AC$3:AC8001),$AC$3:$AC$10000,0)),"")</f>
        <v/>
      </c>
    </row>
    <row r="8002" spans="27:30">
      <c r="AA8002" s="117">
        <f>+'Ingredient List - Mother Tinctu'!D8003</f>
        <v>0</v>
      </c>
      <c r="AB8002" s="117">
        <f t="shared" si="127"/>
        <v>0</v>
      </c>
      <c r="AC8002" s="117" t="str">
        <f>IF(AB8002=1,COUNTIF($AB$3:AB8002,1),"")</f>
        <v/>
      </c>
      <c r="AD8002" s="117" t="str">
        <f>IFERROR(INDEX($AA$3:$AA$10000,MATCH(ROWS($AC$3:AC8002),$AC$3:$AC$10000,0)),"")</f>
        <v/>
      </c>
    </row>
    <row r="8003" spans="27:30">
      <c r="AA8003" s="117">
        <f>+'Ingredient List - Mother Tinctu'!D8004</f>
        <v>0</v>
      </c>
      <c r="AB8003" s="117">
        <f t="shared" si="127"/>
        <v>0</v>
      </c>
      <c r="AC8003" s="117" t="str">
        <f>IF(AB8003=1,COUNTIF($AB$3:AB8003,1),"")</f>
        <v/>
      </c>
      <c r="AD8003" s="117" t="str">
        <f>IFERROR(INDEX($AA$3:$AA$10000,MATCH(ROWS($AC$3:AC8003),$AC$3:$AC$10000,0)),"")</f>
        <v/>
      </c>
    </row>
    <row r="8004" spans="27:30">
      <c r="AA8004" s="117">
        <f>+'Ingredient List - Mother Tinctu'!D8005</f>
        <v>0</v>
      </c>
      <c r="AB8004" s="117">
        <f t="shared" ref="AB8004:AB8067" si="128">--ISNUMBER(IFERROR(SEARCH($D$3,AA8004,1),""))</f>
        <v>0</v>
      </c>
      <c r="AC8004" s="117" t="str">
        <f>IF(AB8004=1,COUNTIF($AB$3:AB8004,1),"")</f>
        <v/>
      </c>
      <c r="AD8004" s="117" t="str">
        <f>IFERROR(INDEX($AA$3:$AA$10000,MATCH(ROWS($AC$3:AC8004),$AC$3:$AC$10000,0)),"")</f>
        <v/>
      </c>
    </row>
    <row r="8005" spans="27:30">
      <c r="AA8005" s="117">
        <f>+'Ingredient List - Mother Tinctu'!D8006</f>
        <v>0</v>
      </c>
      <c r="AB8005" s="117">
        <f t="shared" si="128"/>
        <v>0</v>
      </c>
      <c r="AC8005" s="117" t="str">
        <f>IF(AB8005=1,COUNTIF($AB$3:AB8005,1),"")</f>
        <v/>
      </c>
      <c r="AD8005" s="117" t="str">
        <f>IFERROR(INDEX($AA$3:$AA$10000,MATCH(ROWS($AC$3:AC8005),$AC$3:$AC$10000,0)),"")</f>
        <v/>
      </c>
    </row>
    <row r="8006" spans="27:30">
      <c r="AA8006" s="117">
        <f>+'Ingredient List - Mother Tinctu'!D8007</f>
        <v>0</v>
      </c>
      <c r="AB8006" s="117">
        <f t="shared" si="128"/>
        <v>0</v>
      </c>
      <c r="AC8006" s="117" t="str">
        <f>IF(AB8006=1,COUNTIF($AB$3:AB8006,1),"")</f>
        <v/>
      </c>
      <c r="AD8006" s="117" t="str">
        <f>IFERROR(INDEX($AA$3:$AA$10000,MATCH(ROWS($AC$3:AC8006),$AC$3:$AC$10000,0)),"")</f>
        <v/>
      </c>
    </row>
    <row r="8007" spans="27:30">
      <c r="AA8007" s="117">
        <f>+'Ingredient List - Mother Tinctu'!D8008</f>
        <v>0</v>
      </c>
      <c r="AB8007" s="117">
        <f t="shared" si="128"/>
        <v>0</v>
      </c>
      <c r="AC8007" s="117" t="str">
        <f>IF(AB8007=1,COUNTIF($AB$3:AB8007,1),"")</f>
        <v/>
      </c>
      <c r="AD8007" s="117" t="str">
        <f>IFERROR(INDEX($AA$3:$AA$10000,MATCH(ROWS($AC$3:AC8007),$AC$3:$AC$10000,0)),"")</f>
        <v/>
      </c>
    </row>
    <row r="8008" spans="27:30">
      <c r="AA8008" s="117">
        <f>+'Ingredient List - Mother Tinctu'!D8009</f>
        <v>0</v>
      </c>
      <c r="AB8008" s="117">
        <f t="shared" si="128"/>
        <v>0</v>
      </c>
      <c r="AC8008" s="117" t="str">
        <f>IF(AB8008=1,COUNTIF($AB$3:AB8008,1),"")</f>
        <v/>
      </c>
      <c r="AD8008" s="117" t="str">
        <f>IFERROR(INDEX($AA$3:$AA$10000,MATCH(ROWS($AC$3:AC8008),$AC$3:$AC$10000,0)),"")</f>
        <v/>
      </c>
    </row>
    <row r="8009" spans="27:30">
      <c r="AA8009" s="117">
        <f>+'Ingredient List - Mother Tinctu'!D8010</f>
        <v>0</v>
      </c>
      <c r="AB8009" s="117">
        <f t="shared" si="128"/>
        <v>0</v>
      </c>
      <c r="AC8009" s="117" t="str">
        <f>IF(AB8009=1,COUNTIF($AB$3:AB8009,1),"")</f>
        <v/>
      </c>
      <c r="AD8009" s="117" t="str">
        <f>IFERROR(INDEX($AA$3:$AA$10000,MATCH(ROWS($AC$3:AC8009),$AC$3:$AC$10000,0)),"")</f>
        <v/>
      </c>
    </row>
    <row r="8010" spans="27:30">
      <c r="AA8010" s="117">
        <f>+'Ingredient List - Mother Tinctu'!D8011</f>
        <v>0</v>
      </c>
      <c r="AB8010" s="117">
        <f t="shared" si="128"/>
        <v>0</v>
      </c>
      <c r="AC8010" s="117" t="str">
        <f>IF(AB8010=1,COUNTIF($AB$3:AB8010,1),"")</f>
        <v/>
      </c>
      <c r="AD8010" s="117" t="str">
        <f>IFERROR(INDEX($AA$3:$AA$10000,MATCH(ROWS($AC$3:AC8010),$AC$3:$AC$10000,0)),"")</f>
        <v/>
      </c>
    </row>
    <row r="8011" spans="27:30">
      <c r="AA8011" s="117">
        <f>+'Ingredient List - Mother Tinctu'!D8012</f>
        <v>0</v>
      </c>
      <c r="AB8011" s="117">
        <f t="shared" si="128"/>
        <v>0</v>
      </c>
      <c r="AC8011" s="117" t="str">
        <f>IF(AB8011=1,COUNTIF($AB$3:AB8011,1),"")</f>
        <v/>
      </c>
      <c r="AD8011" s="117" t="str">
        <f>IFERROR(INDEX($AA$3:$AA$10000,MATCH(ROWS($AC$3:AC8011),$AC$3:$AC$10000,0)),"")</f>
        <v/>
      </c>
    </row>
    <row r="8012" spans="27:30">
      <c r="AA8012" s="117">
        <f>+'Ingredient List - Mother Tinctu'!D8013</f>
        <v>0</v>
      </c>
      <c r="AB8012" s="117">
        <f t="shared" si="128"/>
        <v>0</v>
      </c>
      <c r="AC8012" s="117" t="str">
        <f>IF(AB8012=1,COUNTIF($AB$3:AB8012,1),"")</f>
        <v/>
      </c>
      <c r="AD8012" s="117" t="str">
        <f>IFERROR(INDEX($AA$3:$AA$10000,MATCH(ROWS($AC$3:AC8012),$AC$3:$AC$10000,0)),"")</f>
        <v/>
      </c>
    </row>
    <row r="8013" spans="27:30">
      <c r="AA8013" s="117">
        <f>+'Ingredient List - Mother Tinctu'!D8014</f>
        <v>0</v>
      </c>
      <c r="AB8013" s="117">
        <f t="shared" si="128"/>
        <v>0</v>
      </c>
      <c r="AC8013" s="117" t="str">
        <f>IF(AB8013=1,COUNTIF($AB$3:AB8013,1),"")</f>
        <v/>
      </c>
      <c r="AD8013" s="117" t="str">
        <f>IFERROR(INDEX($AA$3:$AA$10000,MATCH(ROWS($AC$3:AC8013),$AC$3:$AC$10000,0)),"")</f>
        <v/>
      </c>
    </row>
    <row r="8014" spans="27:30">
      <c r="AA8014" s="117">
        <f>+'Ingredient List - Mother Tinctu'!D8015</f>
        <v>0</v>
      </c>
      <c r="AB8014" s="117">
        <f t="shared" si="128"/>
        <v>0</v>
      </c>
      <c r="AC8014" s="117" t="str">
        <f>IF(AB8014=1,COUNTIF($AB$3:AB8014,1),"")</f>
        <v/>
      </c>
      <c r="AD8014" s="117" t="str">
        <f>IFERROR(INDEX($AA$3:$AA$10000,MATCH(ROWS($AC$3:AC8014),$AC$3:$AC$10000,0)),"")</f>
        <v/>
      </c>
    </row>
    <row r="8015" spans="27:30">
      <c r="AA8015" s="117">
        <f>+'Ingredient List - Mother Tinctu'!D8016</f>
        <v>0</v>
      </c>
      <c r="AB8015" s="117">
        <f t="shared" si="128"/>
        <v>0</v>
      </c>
      <c r="AC8015" s="117" t="str">
        <f>IF(AB8015=1,COUNTIF($AB$3:AB8015,1),"")</f>
        <v/>
      </c>
      <c r="AD8015" s="117" t="str">
        <f>IFERROR(INDEX($AA$3:$AA$10000,MATCH(ROWS($AC$3:AC8015),$AC$3:$AC$10000,0)),"")</f>
        <v/>
      </c>
    </row>
    <row r="8016" spans="27:30">
      <c r="AA8016" s="117">
        <f>+'Ingredient List - Mother Tinctu'!D8017</f>
        <v>0</v>
      </c>
      <c r="AB8016" s="117">
        <f t="shared" si="128"/>
        <v>0</v>
      </c>
      <c r="AC8016" s="117" t="str">
        <f>IF(AB8016=1,COUNTIF($AB$3:AB8016,1),"")</f>
        <v/>
      </c>
      <c r="AD8016" s="117" t="str">
        <f>IFERROR(INDEX($AA$3:$AA$10000,MATCH(ROWS($AC$3:AC8016),$AC$3:$AC$10000,0)),"")</f>
        <v/>
      </c>
    </row>
    <row r="8017" spans="27:30">
      <c r="AA8017" s="117">
        <f>+'Ingredient List - Mother Tinctu'!D8018</f>
        <v>0</v>
      </c>
      <c r="AB8017" s="117">
        <f t="shared" si="128"/>
        <v>0</v>
      </c>
      <c r="AC8017" s="117" t="str">
        <f>IF(AB8017=1,COUNTIF($AB$3:AB8017,1),"")</f>
        <v/>
      </c>
      <c r="AD8017" s="117" t="str">
        <f>IFERROR(INDEX($AA$3:$AA$10000,MATCH(ROWS($AC$3:AC8017),$AC$3:$AC$10000,0)),"")</f>
        <v/>
      </c>
    </row>
    <row r="8018" spans="27:30">
      <c r="AA8018" s="117">
        <f>+'Ingredient List - Mother Tinctu'!D8019</f>
        <v>0</v>
      </c>
      <c r="AB8018" s="117">
        <f t="shared" si="128"/>
        <v>0</v>
      </c>
      <c r="AC8018" s="117" t="str">
        <f>IF(AB8018=1,COUNTIF($AB$3:AB8018,1),"")</f>
        <v/>
      </c>
      <c r="AD8018" s="117" t="str">
        <f>IFERROR(INDEX($AA$3:$AA$10000,MATCH(ROWS($AC$3:AC8018),$AC$3:$AC$10000,0)),"")</f>
        <v/>
      </c>
    </row>
    <row r="8019" spans="27:30">
      <c r="AA8019" s="117">
        <f>+'Ingredient List - Mother Tinctu'!D8020</f>
        <v>0</v>
      </c>
      <c r="AB8019" s="117">
        <f t="shared" si="128"/>
        <v>0</v>
      </c>
      <c r="AC8019" s="117" t="str">
        <f>IF(AB8019=1,COUNTIF($AB$3:AB8019,1),"")</f>
        <v/>
      </c>
      <c r="AD8019" s="117" t="str">
        <f>IFERROR(INDEX($AA$3:$AA$10000,MATCH(ROWS($AC$3:AC8019),$AC$3:$AC$10000,0)),"")</f>
        <v/>
      </c>
    </row>
    <row r="8020" spans="27:30">
      <c r="AA8020" s="117">
        <f>+'Ingredient List - Mother Tinctu'!D8021</f>
        <v>0</v>
      </c>
      <c r="AB8020" s="117">
        <f t="shared" si="128"/>
        <v>0</v>
      </c>
      <c r="AC8020" s="117" t="str">
        <f>IF(AB8020=1,COUNTIF($AB$3:AB8020,1),"")</f>
        <v/>
      </c>
      <c r="AD8020" s="117" t="str">
        <f>IFERROR(INDEX($AA$3:$AA$10000,MATCH(ROWS($AC$3:AC8020),$AC$3:$AC$10000,0)),"")</f>
        <v/>
      </c>
    </row>
    <row r="8021" spans="27:30">
      <c r="AA8021" s="117">
        <f>+'Ingredient List - Mother Tinctu'!D8022</f>
        <v>0</v>
      </c>
      <c r="AB8021" s="117">
        <f t="shared" si="128"/>
        <v>0</v>
      </c>
      <c r="AC8021" s="117" t="str">
        <f>IF(AB8021=1,COUNTIF($AB$3:AB8021,1),"")</f>
        <v/>
      </c>
      <c r="AD8021" s="117" t="str">
        <f>IFERROR(INDEX($AA$3:$AA$10000,MATCH(ROWS($AC$3:AC8021),$AC$3:$AC$10000,0)),"")</f>
        <v/>
      </c>
    </row>
    <row r="8022" spans="27:30">
      <c r="AA8022" s="117">
        <f>+'Ingredient List - Mother Tinctu'!D8023</f>
        <v>0</v>
      </c>
      <c r="AB8022" s="117">
        <f t="shared" si="128"/>
        <v>0</v>
      </c>
      <c r="AC8022" s="117" t="str">
        <f>IF(AB8022=1,COUNTIF($AB$3:AB8022,1),"")</f>
        <v/>
      </c>
      <c r="AD8022" s="117" t="str">
        <f>IFERROR(INDEX($AA$3:$AA$10000,MATCH(ROWS($AC$3:AC8022),$AC$3:$AC$10000,0)),"")</f>
        <v/>
      </c>
    </row>
    <row r="8023" spans="27:30">
      <c r="AA8023" s="117">
        <f>+'Ingredient List - Mother Tinctu'!D8024</f>
        <v>0</v>
      </c>
      <c r="AB8023" s="117">
        <f t="shared" si="128"/>
        <v>0</v>
      </c>
      <c r="AC8023" s="117" t="str">
        <f>IF(AB8023=1,COUNTIF($AB$3:AB8023,1),"")</f>
        <v/>
      </c>
      <c r="AD8023" s="117" t="str">
        <f>IFERROR(INDEX($AA$3:$AA$10000,MATCH(ROWS($AC$3:AC8023),$AC$3:$AC$10000,0)),"")</f>
        <v/>
      </c>
    </row>
    <row r="8024" spans="27:30">
      <c r="AA8024" s="117">
        <f>+'Ingredient List - Mother Tinctu'!D8025</f>
        <v>0</v>
      </c>
      <c r="AB8024" s="117">
        <f t="shared" si="128"/>
        <v>0</v>
      </c>
      <c r="AC8024" s="117" t="str">
        <f>IF(AB8024=1,COUNTIF($AB$3:AB8024,1),"")</f>
        <v/>
      </c>
      <c r="AD8024" s="117" t="str">
        <f>IFERROR(INDEX($AA$3:$AA$10000,MATCH(ROWS($AC$3:AC8024),$AC$3:$AC$10000,0)),"")</f>
        <v/>
      </c>
    </row>
    <row r="8025" spans="27:30">
      <c r="AA8025" s="117">
        <f>+'Ingredient List - Mother Tinctu'!D8026</f>
        <v>0</v>
      </c>
      <c r="AB8025" s="117">
        <f t="shared" si="128"/>
        <v>0</v>
      </c>
      <c r="AC8025" s="117" t="str">
        <f>IF(AB8025=1,COUNTIF($AB$3:AB8025,1),"")</f>
        <v/>
      </c>
      <c r="AD8025" s="117" t="str">
        <f>IFERROR(INDEX($AA$3:$AA$10000,MATCH(ROWS($AC$3:AC8025),$AC$3:$AC$10000,0)),"")</f>
        <v/>
      </c>
    </row>
    <row r="8026" spans="27:30">
      <c r="AA8026" s="117">
        <f>+'Ingredient List - Mother Tinctu'!D8027</f>
        <v>0</v>
      </c>
      <c r="AB8026" s="117">
        <f t="shared" si="128"/>
        <v>0</v>
      </c>
      <c r="AC8026" s="117" t="str">
        <f>IF(AB8026=1,COUNTIF($AB$3:AB8026,1),"")</f>
        <v/>
      </c>
      <c r="AD8026" s="117" t="str">
        <f>IFERROR(INDEX($AA$3:$AA$10000,MATCH(ROWS($AC$3:AC8026),$AC$3:$AC$10000,0)),"")</f>
        <v/>
      </c>
    </row>
    <row r="8027" spans="27:30">
      <c r="AA8027" s="117">
        <f>+'Ingredient List - Mother Tinctu'!D8028</f>
        <v>0</v>
      </c>
      <c r="AB8027" s="117">
        <f t="shared" si="128"/>
        <v>0</v>
      </c>
      <c r="AC8027" s="117" t="str">
        <f>IF(AB8027=1,COUNTIF($AB$3:AB8027,1),"")</f>
        <v/>
      </c>
      <c r="AD8027" s="117" t="str">
        <f>IFERROR(INDEX($AA$3:$AA$10000,MATCH(ROWS($AC$3:AC8027),$AC$3:$AC$10000,0)),"")</f>
        <v/>
      </c>
    </row>
    <row r="8028" spans="27:30">
      <c r="AA8028" s="117">
        <f>+'Ingredient List - Mother Tinctu'!D8029</f>
        <v>0</v>
      </c>
      <c r="AB8028" s="117">
        <f t="shared" si="128"/>
        <v>0</v>
      </c>
      <c r="AC8028" s="117" t="str">
        <f>IF(AB8028=1,COUNTIF($AB$3:AB8028,1),"")</f>
        <v/>
      </c>
      <c r="AD8028" s="117" t="str">
        <f>IFERROR(INDEX($AA$3:$AA$10000,MATCH(ROWS($AC$3:AC8028),$AC$3:$AC$10000,0)),"")</f>
        <v/>
      </c>
    </row>
    <row r="8029" spans="27:30">
      <c r="AA8029" s="117">
        <f>+'Ingredient List - Mother Tinctu'!D8030</f>
        <v>0</v>
      </c>
      <c r="AB8029" s="117">
        <f t="shared" si="128"/>
        <v>0</v>
      </c>
      <c r="AC8029" s="117" t="str">
        <f>IF(AB8029=1,COUNTIF($AB$3:AB8029,1),"")</f>
        <v/>
      </c>
      <c r="AD8029" s="117" t="str">
        <f>IFERROR(INDEX($AA$3:$AA$10000,MATCH(ROWS($AC$3:AC8029),$AC$3:$AC$10000,0)),"")</f>
        <v/>
      </c>
    </row>
    <row r="8030" spans="27:30">
      <c r="AA8030" s="117">
        <f>+'Ingredient List - Mother Tinctu'!D8031</f>
        <v>0</v>
      </c>
      <c r="AB8030" s="117">
        <f t="shared" si="128"/>
        <v>0</v>
      </c>
      <c r="AC8030" s="117" t="str">
        <f>IF(AB8030=1,COUNTIF($AB$3:AB8030,1),"")</f>
        <v/>
      </c>
      <c r="AD8030" s="117" t="str">
        <f>IFERROR(INDEX($AA$3:$AA$10000,MATCH(ROWS($AC$3:AC8030),$AC$3:$AC$10000,0)),"")</f>
        <v/>
      </c>
    </row>
    <row r="8031" spans="27:30">
      <c r="AA8031" s="117">
        <f>+'Ingredient List - Mother Tinctu'!D8032</f>
        <v>0</v>
      </c>
      <c r="AB8031" s="117">
        <f t="shared" si="128"/>
        <v>0</v>
      </c>
      <c r="AC8031" s="117" t="str">
        <f>IF(AB8031=1,COUNTIF($AB$3:AB8031,1),"")</f>
        <v/>
      </c>
      <c r="AD8031" s="117" t="str">
        <f>IFERROR(INDEX($AA$3:$AA$10000,MATCH(ROWS($AC$3:AC8031),$AC$3:$AC$10000,0)),"")</f>
        <v/>
      </c>
    </row>
    <row r="8032" spans="27:30">
      <c r="AA8032" s="117">
        <f>+'Ingredient List - Mother Tinctu'!D8033</f>
        <v>0</v>
      </c>
      <c r="AB8032" s="117">
        <f t="shared" si="128"/>
        <v>0</v>
      </c>
      <c r="AC8032" s="117" t="str">
        <f>IF(AB8032=1,COUNTIF($AB$3:AB8032,1),"")</f>
        <v/>
      </c>
      <c r="AD8032" s="117" t="str">
        <f>IFERROR(INDEX($AA$3:$AA$10000,MATCH(ROWS($AC$3:AC8032),$AC$3:$AC$10000,0)),"")</f>
        <v/>
      </c>
    </row>
    <row r="8033" spans="27:30">
      <c r="AA8033" s="117">
        <f>+'Ingredient List - Mother Tinctu'!D8034</f>
        <v>0</v>
      </c>
      <c r="AB8033" s="117">
        <f t="shared" si="128"/>
        <v>0</v>
      </c>
      <c r="AC8033" s="117" t="str">
        <f>IF(AB8033=1,COUNTIF($AB$3:AB8033,1),"")</f>
        <v/>
      </c>
      <c r="AD8033" s="117" t="str">
        <f>IFERROR(INDEX($AA$3:$AA$10000,MATCH(ROWS($AC$3:AC8033),$AC$3:$AC$10000,0)),"")</f>
        <v/>
      </c>
    </row>
    <row r="8034" spans="27:30">
      <c r="AA8034" s="117">
        <f>+'Ingredient List - Mother Tinctu'!D8035</f>
        <v>0</v>
      </c>
      <c r="AB8034" s="117">
        <f t="shared" si="128"/>
        <v>0</v>
      </c>
      <c r="AC8034" s="117" t="str">
        <f>IF(AB8034=1,COUNTIF($AB$3:AB8034,1),"")</f>
        <v/>
      </c>
      <c r="AD8034" s="117" t="str">
        <f>IFERROR(INDEX($AA$3:$AA$10000,MATCH(ROWS($AC$3:AC8034),$AC$3:$AC$10000,0)),"")</f>
        <v/>
      </c>
    </row>
    <row r="8035" spans="27:30">
      <c r="AA8035" s="117">
        <f>+'Ingredient List - Mother Tinctu'!D8036</f>
        <v>0</v>
      </c>
      <c r="AB8035" s="117">
        <f t="shared" si="128"/>
        <v>0</v>
      </c>
      <c r="AC8035" s="117" t="str">
        <f>IF(AB8035=1,COUNTIF($AB$3:AB8035,1),"")</f>
        <v/>
      </c>
      <c r="AD8035" s="117" t="str">
        <f>IFERROR(INDEX($AA$3:$AA$10000,MATCH(ROWS($AC$3:AC8035),$AC$3:$AC$10000,0)),"")</f>
        <v/>
      </c>
    </row>
    <row r="8036" spans="27:30">
      <c r="AA8036" s="117">
        <f>+'Ingredient List - Mother Tinctu'!D8037</f>
        <v>0</v>
      </c>
      <c r="AB8036" s="117">
        <f t="shared" si="128"/>
        <v>0</v>
      </c>
      <c r="AC8036" s="117" t="str">
        <f>IF(AB8036=1,COUNTIF($AB$3:AB8036,1),"")</f>
        <v/>
      </c>
      <c r="AD8036" s="117" t="str">
        <f>IFERROR(INDEX($AA$3:$AA$10000,MATCH(ROWS($AC$3:AC8036),$AC$3:$AC$10000,0)),"")</f>
        <v/>
      </c>
    </row>
    <row r="8037" spans="27:30">
      <c r="AA8037" s="117">
        <f>+'Ingredient List - Mother Tinctu'!D8038</f>
        <v>0</v>
      </c>
      <c r="AB8037" s="117">
        <f t="shared" si="128"/>
        <v>0</v>
      </c>
      <c r="AC8037" s="117" t="str">
        <f>IF(AB8037=1,COUNTIF($AB$3:AB8037,1),"")</f>
        <v/>
      </c>
      <c r="AD8037" s="117" t="str">
        <f>IFERROR(INDEX($AA$3:$AA$10000,MATCH(ROWS($AC$3:AC8037),$AC$3:$AC$10000,0)),"")</f>
        <v/>
      </c>
    </row>
    <row r="8038" spans="27:30">
      <c r="AA8038" s="117">
        <f>+'Ingredient List - Mother Tinctu'!D8039</f>
        <v>0</v>
      </c>
      <c r="AB8038" s="117">
        <f t="shared" si="128"/>
        <v>0</v>
      </c>
      <c r="AC8038" s="117" t="str">
        <f>IF(AB8038=1,COUNTIF($AB$3:AB8038,1),"")</f>
        <v/>
      </c>
      <c r="AD8038" s="117" t="str">
        <f>IFERROR(INDEX($AA$3:$AA$10000,MATCH(ROWS($AC$3:AC8038),$AC$3:$AC$10000,0)),"")</f>
        <v/>
      </c>
    </row>
    <row r="8039" spans="27:30">
      <c r="AA8039" s="117">
        <f>+'Ingredient List - Mother Tinctu'!D8040</f>
        <v>0</v>
      </c>
      <c r="AB8039" s="117">
        <f t="shared" si="128"/>
        <v>0</v>
      </c>
      <c r="AC8039" s="117" t="str">
        <f>IF(AB8039=1,COUNTIF($AB$3:AB8039,1),"")</f>
        <v/>
      </c>
      <c r="AD8039" s="117" t="str">
        <f>IFERROR(INDEX($AA$3:$AA$10000,MATCH(ROWS($AC$3:AC8039),$AC$3:$AC$10000,0)),"")</f>
        <v/>
      </c>
    </row>
    <row r="8040" spans="27:30">
      <c r="AA8040" s="117">
        <f>+'Ingredient List - Mother Tinctu'!D8041</f>
        <v>0</v>
      </c>
      <c r="AB8040" s="117">
        <f t="shared" si="128"/>
        <v>0</v>
      </c>
      <c r="AC8040" s="117" t="str">
        <f>IF(AB8040=1,COUNTIF($AB$3:AB8040,1),"")</f>
        <v/>
      </c>
      <c r="AD8040" s="117" t="str">
        <f>IFERROR(INDEX($AA$3:$AA$10000,MATCH(ROWS($AC$3:AC8040),$AC$3:$AC$10000,0)),"")</f>
        <v/>
      </c>
    </row>
    <row r="8041" spans="27:30">
      <c r="AA8041" s="117">
        <f>+'Ingredient List - Mother Tinctu'!D8042</f>
        <v>0</v>
      </c>
      <c r="AB8041" s="117">
        <f t="shared" si="128"/>
        <v>0</v>
      </c>
      <c r="AC8041" s="117" t="str">
        <f>IF(AB8041=1,COUNTIF($AB$3:AB8041,1),"")</f>
        <v/>
      </c>
      <c r="AD8041" s="117" t="str">
        <f>IFERROR(INDEX($AA$3:$AA$10000,MATCH(ROWS($AC$3:AC8041),$AC$3:$AC$10000,0)),"")</f>
        <v/>
      </c>
    </row>
    <row r="8042" spans="27:30">
      <c r="AA8042" s="117">
        <f>+'Ingredient List - Mother Tinctu'!D8043</f>
        <v>0</v>
      </c>
      <c r="AB8042" s="117">
        <f t="shared" si="128"/>
        <v>0</v>
      </c>
      <c r="AC8042" s="117" t="str">
        <f>IF(AB8042=1,COUNTIF($AB$3:AB8042,1),"")</f>
        <v/>
      </c>
      <c r="AD8042" s="117" t="str">
        <f>IFERROR(INDEX($AA$3:$AA$10000,MATCH(ROWS($AC$3:AC8042),$AC$3:$AC$10000,0)),"")</f>
        <v/>
      </c>
    </row>
    <row r="8043" spans="27:30">
      <c r="AA8043" s="117">
        <f>+'Ingredient List - Mother Tinctu'!D8044</f>
        <v>0</v>
      </c>
      <c r="AB8043" s="117">
        <f t="shared" si="128"/>
        <v>0</v>
      </c>
      <c r="AC8043" s="117" t="str">
        <f>IF(AB8043=1,COUNTIF($AB$3:AB8043,1),"")</f>
        <v/>
      </c>
      <c r="AD8043" s="117" t="str">
        <f>IFERROR(INDEX($AA$3:$AA$10000,MATCH(ROWS($AC$3:AC8043),$AC$3:$AC$10000,0)),"")</f>
        <v/>
      </c>
    </row>
    <row r="8044" spans="27:30">
      <c r="AA8044" s="117">
        <f>+'Ingredient List - Mother Tinctu'!D8045</f>
        <v>0</v>
      </c>
      <c r="AB8044" s="117">
        <f t="shared" si="128"/>
        <v>0</v>
      </c>
      <c r="AC8044" s="117" t="str">
        <f>IF(AB8044=1,COUNTIF($AB$3:AB8044,1),"")</f>
        <v/>
      </c>
      <c r="AD8044" s="117" t="str">
        <f>IFERROR(INDEX($AA$3:$AA$10000,MATCH(ROWS($AC$3:AC8044),$AC$3:$AC$10000,0)),"")</f>
        <v/>
      </c>
    </row>
    <row r="8045" spans="27:30">
      <c r="AA8045" s="117">
        <f>+'Ingredient List - Mother Tinctu'!D8046</f>
        <v>0</v>
      </c>
      <c r="AB8045" s="117">
        <f t="shared" si="128"/>
        <v>0</v>
      </c>
      <c r="AC8045" s="117" t="str">
        <f>IF(AB8045=1,COUNTIF($AB$3:AB8045,1),"")</f>
        <v/>
      </c>
      <c r="AD8045" s="117" t="str">
        <f>IFERROR(INDEX($AA$3:$AA$10000,MATCH(ROWS($AC$3:AC8045),$AC$3:$AC$10000,0)),"")</f>
        <v/>
      </c>
    </row>
    <row r="8046" spans="27:30">
      <c r="AA8046" s="117">
        <f>+'Ingredient List - Mother Tinctu'!D8047</f>
        <v>0</v>
      </c>
      <c r="AB8046" s="117">
        <f t="shared" si="128"/>
        <v>0</v>
      </c>
      <c r="AC8046" s="117" t="str">
        <f>IF(AB8046=1,COUNTIF($AB$3:AB8046,1),"")</f>
        <v/>
      </c>
      <c r="AD8046" s="117" t="str">
        <f>IFERROR(INDEX($AA$3:$AA$10000,MATCH(ROWS($AC$3:AC8046),$AC$3:$AC$10000,0)),"")</f>
        <v/>
      </c>
    </row>
    <row r="8047" spans="27:30">
      <c r="AA8047" s="117">
        <f>+'Ingredient List - Mother Tinctu'!D8048</f>
        <v>0</v>
      </c>
      <c r="AB8047" s="117">
        <f t="shared" si="128"/>
        <v>0</v>
      </c>
      <c r="AC8047" s="117" t="str">
        <f>IF(AB8047=1,COUNTIF($AB$3:AB8047,1),"")</f>
        <v/>
      </c>
      <c r="AD8047" s="117" t="str">
        <f>IFERROR(INDEX($AA$3:$AA$10000,MATCH(ROWS($AC$3:AC8047),$AC$3:$AC$10000,0)),"")</f>
        <v/>
      </c>
    </row>
    <row r="8048" spans="27:30">
      <c r="AA8048" s="117">
        <f>+'Ingredient List - Mother Tinctu'!D8049</f>
        <v>0</v>
      </c>
      <c r="AB8048" s="117">
        <f t="shared" si="128"/>
        <v>0</v>
      </c>
      <c r="AC8048" s="117" t="str">
        <f>IF(AB8048=1,COUNTIF($AB$3:AB8048,1),"")</f>
        <v/>
      </c>
      <c r="AD8048" s="117" t="str">
        <f>IFERROR(INDEX($AA$3:$AA$10000,MATCH(ROWS($AC$3:AC8048),$AC$3:$AC$10000,0)),"")</f>
        <v/>
      </c>
    </row>
    <row r="8049" spans="27:30">
      <c r="AA8049" s="117">
        <f>+'Ingredient List - Mother Tinctu'!D8050</f>
        <v>0</v>
      </c>
      <c r="AB8049" s="117">
        <f t="shared" si="128"/>
        <v>0</v>
      </c>
      <c r="AC8049" s="117" t="str">
        <f>IF(AB8049=1,COUNTIF($AB$3:AB8049,1),"")</f>
        <v/>
      </c>
      <c r="AD8049" s="117" t="str">
        <f>IFERROR(INDEX($AA$3:$AA$10000,MATCH(ROWS($AC$3:AC8049),$AC$3:$AC$10000,0)),"")</f>
        <v/>
      </c>
    </row>
    <row r="8050" spans="27:30">
      <c r="AA8050" s="117">
        <f>+'Ingredient List - Mother Tinctu'!D8051</f>
        <v>0</v>
      </c>
      <c r="AB8050" s="117">
        <f t="shared" si="128"/>
        <v>0</v>
      </c>
      <c r="AC8050" s="117" t="str">
        <f>IF(AB8050=1,COUNTIF($AB$3:AB8050,1),"")</f>
        <v/>
      </c>
      <c r="AD8050" s="117" t="str">
        <f>IFERROR(INDEX($AA$3:$AA$10000,MATCH(ROWS($AC$3:AC8050),$AC$3:$AC$10000,0)),"")</f>
        <v/>
      </c>
    </row>
    <row r="8051" spans="27:30">
      <c r="AA8051" s="117">
        <f>+'Ingredient List - Mother Tinctu'!D8052</f>
        <v>0</v>
      </c>
      <c r="AB8051" s="117">
        <f t="shared" si="128"/>
        <v>0</v>
      </c>
      <c r="AC8051" s="117" t="str">
        <f>IF(AB8051=1,COUNTIF($AB$3:AB8051,1),"")</f>
        <v/>
      </c>
      <c r="AD8051" s="117" t="str">
        <f>IFERROR(INDEX($AA$3:$AA$10000,MATCH(ROWS($AC$3:AC8051),$AC$3:$AC$10000,0)),"")</f>
        <v/>
      </c>
    </row>
    <row r="8052" spans="27:30">
      <c r="AA8052" s="117">
        <f>+'Ingredient List - Mother Tinctu'!D8053</f>
        <v>0</v>
      </c>
      <c r="AB8052" s="117">
        <f t="shared" si="128"/>
        <v>0</v>
      </c>
      <c r="AC8052" s="117" t="str">
        <f>IF(AB8052=1,COUNTIF($AB$3:AB8052,1),"")</f>
        <v/>
      </c>
      <c r="AD8052" s="117" t="str">
        <f>IFERROR(INDEX($AA$3:$AA$10000,MATCH(ROWS($AC$3:AC8052),$AC$3:$AC$10000,0)),"")</f>
        <v/>
      </c>
    </row>
    <row r="8053" spans="27:30">
      <c r="AA8053" s="117">
        <f>+'Ingredient List - Mother Tinctu'!D8054</f>
        <v>0</v>
      </c>
      <c r="AB8053" s="117">
        <f t="shared" si="128"/>
        <v>0</v>
      </c>
      <c r="AC8053" s="117" t="str">
        <f>IF(AB8053=1,COUNTIF($AB$3:AB8053,1),"")</f>
        <v/>
      </c>
      <c r="AD8053" s="117" t="str">
        <f>IFERROR(INDEX($AA$3:$AA$10000,MATCH(ROWS($AC$3:AC8053),$AC$3:$AC$10000,0)),"")</f>
        <v/>
      </c>
    </row>
    <row r="8054" spans="27:30">
      <c r="AA8054" s="117">
        <f>+'Ingredient List - Mother Tinctu'!D8055</f>
        <v>0</v>
      </c>
      <c r="AB8054" s="117">
        <f t="shared" si="128"/>
        <v>0</v>
      </c>
      <c r="AC8054" s="117" t="str">
        <f>IF(AB8054=1,COUNTIF($AB$3:AB8054,1),"")</f>
        <v/>
      </c>
      <c r="AD8054" s="117" t="str">
        <f>IFERROR(INDEX($AA$3:$AA$10000,MATCH(ROWS($AC$3:AC8054),$AC$3:$AC$10000,0)),"")</f>
        <v/>
      </c>
    </row>
    <row r="8055" spans="27:30">
      <c r="AA8055" s="117">
        <f>+'Ingredient List - Mother Tinctu'!D8056</f>
        <v>0</v>
      </c>
      <c r="AB8055" s="117">
        <f t="shared" si="128"/>
        <v>0</v>
      </c>
      <c r="AC8055" s="117" t="str">
        <f>IF(AB8055=1,COUNTIF($AB$3:AB8055,1),"")</f>
        <v/>
      </c>
      <c r="AD8055" s="117" t="str">
        <f>IFERROR(INDEX($AA$3:$AA$10000,MATCH(ROWS($AC$3:AC8055),$AC$3:$AC$10000,0)),"")</f>
        <v/>
      </c>
    </row>
    <row r="8056" spans="27:30">
      <c r="AA8056" s="117">
        <f>+'Ingredient List - Mother Tinctu'!D8057</f>
        <v>0</v>
      </c>
      <c r="AB8056" s="117">
        <f t="shared" si="128"/>
        <v>0</v>
      </c>
      <c r="AC8056" s="117" t="str">
        <f>IF(AB8056=1,COUNTIF($AB$3:AB8056,1),"")</f>
        <v/>
      </c>
      <c r="AD8056" s="117" t="str">
        <f>IFERROR(INDEX($AA$3:$AA$10000,MATCH(ROWS($AC$3:AC8056),$AC$3:$AC$10000,0)),"")</f>
        <v/>
      </c>
    </row>
    <row r="8057" spans="27:30">
      <c r="AA8057" s="117">
        <f>+'Ingredient List - Mother Tinctu'!D8058</f>
        <v>0</v>
      </c>
      <c r="AB8057" s="117">
        <f t="shared" si="128"/>
        <v>0</v>
      </c>
      <c r="AC8057" s="117" t="str">
        <f>IF(AB8057=1,COUNTIF($AB$3:AB8057,1),"")</f>
        <v/>
      </c>
      <c r="AD8057" s="117" t="str">
        <f>IFERROR(INDEX($AA$3:$AA$10000,MATCH(ROWS($AC$3:AC8057),$AC$3:$AC$10000,0)),"")</f>
        <v/>
      </c>
    </row>
    <row r="8058" spans="27:30">
      <c r="AA8058" s="117">
        <f>+'Ingredient List - Mother Tinctu'!D8059</f>
        <v>0</v>
      </c>
      <c r="AB8058" s="117">
        <f t="shared" si="128"/>
        <v>0</v>
      </c>
      <c r="AC8058" s="117" t="str">
        <f>IF(AB8058=1,COUNTIF($AB$3:AB8058,1),"")</f>
        <v/>
      </c>
      <c r="AD8058" s="117" t="str">
        <f>IFERROR(INDEX($AA$3:$AA$10000,MATCH(ROWS($AC$3:AC8058),$AC$3:$AC$10000,0)),"")</f>
        <v/>
      </c>
    </row>
    <row r="8059" spans="27:30">
      <c r="AA8059" s="117">
        <f>+'Ingredient List - Mother Tinctu'!D8060</f>
        <v>0</v>
      </c>
      <c r="AB8059" s="117">
        <f t="shared" si="128"/>
        <v>0</v>
      </c>
      <c r="AC8059" s="117" t="str">
        <f>IF(AB8059=1,COUNTIF($AB$3:AB8059,1),"")</f>
        <v/>
      </c>
      <c r="AD8059" s="117" t="str">
        <f>IFERROR(INDEX($AA$3:$AA$10000,MATCH(ROWS($AC$3:AC8059),$AC$3:$AC$10000,0)),"")</f>
        <v/>
      </c>
    </row>
    <row r="8060" spans="27:30">
      <c r="AA8060" s="117">
        <f>+'Ingredient List - Mother Tinctu'!D8061</f>
        <v>0</v>
      </c>
      <c r="AB8060" s="117">
        <f t="shared" si="128"/>
        <v>0</v>
      </c>
      <c r="AC8060" s="117" t="str">
        <f>IF(AB8060=1,COUNTIF($AB$3:AB8060,1),"")</f>
        <v/>
      </c>
      <c r="AD8060" s="117" t="str">
        <f>IFERROR(INDEX($AA$3:$AA$10000,MATCH(ROWS($AC$3:AC8060),$AC$3:$AC$10000,0)),"")</f>
        <v/>
      </c>
    </row>
    <row r="8061" spans="27:30">
      <c r="AA8061" s="117">
        <f>+'Ingredient List - Mother Tinctu'!D8062</f>
        <v>0</v>
      </c>
      <c r="AB8061" s="117">
        <f t="shared" si="128"/>
        <v>0</v>
      </c>
      <c r="AC8061" s="117" t="str">
        <f>IF(AB8061=1,COUNTIF($AB$3:AB8061,1),"")</f>
        <v/>
      </c>
      <c r="AD8061" s="117" t="str">
        <f>IFERROR(INDEX($AA$3:$AA$10000,MATCH(ROWS($AC$3:AC8061),$AC$3:$AC$10000,0)),"")</f>
        <v/>
      </c>
    </row>
    <row r="8062" spans="27:30">
      <c r="AA8062" s="117">
        <f>+'Ingredient List - Mother Tinctu'!D8063</f>
        <v>0</v>
      </c>
      <c r="AB8062" s="117">
        <f t="shared" si="128"/>
        <v>0</v>
      </c>
      <c r="AC8062" s="117" t="str">
        <f>IF(AB8062=1,COUNTIF($AB$3:AB8062,1),"")</f>
        <v/>
      </c>
      <c r="AD8062" s="117" t="str">
        <f>IFERROR(INDEX($AA$3:$AA$10000,MATCH(ROWS($AC$3:AC8062),$AC$3:$AC$10000,0)),"")</f>
        <v/>
      </c>
    </row>
    <row r="8063" spans="27:30">
      <c r="AA8063" s="117">
        <f>+'Ingredient List - Mother Tinctu'!D8064</f>
        <v>0</v>
      </c>
      <c r="AB8063" s="117">
        <f t="shared" si="128"/>
        <v>0</v>
      </c>
      <c r="AC8063" s="117" t="str">
        <f>IF(AB8063=1,COUNTIF($AB$3:AB8063,1),"")</f>
        <v/>
      </c>
      <c r="AD8063" s="117" t="str">
        <f>IFERROR(INDEX($AA$3:$AA$10000,MATCH(ROWS($AC$3:AC8063),$AC$3:$AC$10000,0)),"")</f>
        <v/>
      </c>
    </row>
    <row r="8064" spans="27:30">
      <c r="AA8064" s="117">
        <f>+'Ingredient List - Mother Tinctu'!D8065</f>
        <v>0</v>
      </c>
      <c r="AB8064" s="117">
        <f t="shared" si="128"/>
        <v>0</v>
      </c>
      <c r="AC8064" s="117" t="str">
        <f>IF(AB8064=1,COUNTIF($AB$3:AB8064,1),"")</f>
        <v/>
      </c>
      <c r="AD8064" s="117" t="str">
        <f>IFERROR(INDEX($AA$3:$AA$10000,MATCH(ROWS($AC$3:AC8064),$AC$3:$AC$10000,0)),"")</f>
        <v/>
      </c>
    </row>
    <row r="8065" spans="27:30">
      <c r="AA8065" s="117">
        <f>+'Ingredient List - Mother Tinctu'!D8066</f>
        <v>0</v>
      </c>
      <c r="AB8065" s="117">
        <f t="shared" si="128"/>
        <v>0</v>
      </c>
      <c r="AC8065" s="117" t="str">
        <f>IF(AB8065=1,COUNTIF($AB$3:AB8065,1),"")</f>
        <v/>
      </c>
      <c r="AD8065" s="117" t="str">
        <f>IFERROR(INDEX($AA$3:$AA$10000,MATCH(ROWS($AC$3:AC8065),$AC$3:$AC$10000,0)),"")</f>
        <v/>
      </c>
    </row>
    <row r="8066" spans="27:30">
      <c r="AA8066" s="117">
        <f>+'Ingredient List - Mother Tinctu'!D8067</f>
        <v>0</v>
      </c>
      <c r="AB8066" s="117">
        <f t="shared" si="128"/>
        <v>0</v>
      </c>
      <c r="AC8066" s="117" t="str">
        <f>IF(AB8066=1,COUNTIF($AB$3:AB8066,1),"")</f>
        <v/>
      </c>
      <c r="AD8066" s="117" t="str">
        <f>IFERROR(INDEX($AA$3:$AA$10000,MATCH(ROWS($AC$3:AC8066),$AC$3:$AC$10000,0)),"")</f>
        <v/>
      </c>
    </row>
    <row r="8067" spans="27:30">
      <c r="AA8067" s="117">
        <f>+'Ingredient List - Mother Tinctu'!D8068</f>
        <v>0</v>
      </c>
      <c r="AB8067" s="117">
        <f t="shared" si="128"/>
        <v>0</v>
      </c>
      <c r="AC8067" s="117" t="str">
        <f>IF(AB8067=1,COUNTIF($AB$3:AB8067,1),"")</f>
        <v/>
      </c>
      <c r="AD8067" s="117" t="str">
        <f>IFERROR(INDEX($AA$3:$AA$10000,MATCH(ROWS($AC$3:AC8067),$AC$3:$AC$10000,0)),"")</f>
        <v/>
      </c>
    </row>
    <row r="8068" spans="27:30">
      <c r="AA8068" s="117">
        <f>+'Ingredient List - Mother Tinctu'!D8069</f>
        <v>0</v>
      </c>
      <c r="AB8068" s="117">
        <f t="shared" ref="AB8068:AB8131" si="129">--ISNUMBER(IFERROR(SEARCH($D$3,AA8068,1),""))</f>
        <v>0</v>
      </c>
      <c r="AC8068" s="117" t="str">
        <f>IF(AB8068=1,COUNTIF($AB$3:AB8068,1),"")</f>
        <v/>
      </c>
      <c r="AD8068" s="117" t="str">
        <f>IFERROR(INDEX($AA$3:$AA$10000,MATCH(ROWS($AC$3:AC8068),$AC$3:$AC$10000,0)),"")</f>
        <v/>
      </c>
    </row>
    <row r="8069" spans="27:30">
      <c r="AA8069" s="117">
        <f>+'Ingredient List - Mother Tinctu'!D8070</f>
        <v>0</v>
      </c>
      <c r="AB8069" s="117">
        <f t="shared" si="129"/>
        <v>0</v>
      </c>
      <c r="AC8069" s="117" t="str">
        <f>IF(AB8069=1,COUNTIF($AB$3:AB8069,1),"")</f>
        <v/>
      </c>
      <c r="AD8069" s="117" t="str">
        <f>IFERROR(INDEX($AA$3:$AA$10000,MATCH(ROWS($AC$3:AC8069),$AC$3:$AC$10000,0)),"")</f>
        <v/>
      </c>
    </row>
    <row r="8070" spans="27:30">
      <c r="AA8070" s="117">
        <f>+'Ingredient List - Mother Tinctu'!D8071</f>
        <v>0</v>
      </c>
      <c r="AB8070" s="117">
        <f t="shared" si="129"/>
        <v>0</v>
      </c>
      <c r="AC8070" s="117" t="str">
        <f>IF(AB8070=1,COUNTIF($AB$3:AB8070,1),"")</f>
        <v/>
      </c>
      <c r="AD8070" s="117" t="str">
        <f>IFERROR(INDEX($AA$3:$AA$10000,MATCH(ROWS($AC$3:AC8070),$AC$3:$AC$10000,0)),"")</f>
        <v/>
      </c>
    </row>
    <row r="8071" spans="27:30">
      <c r="AA8071" s="117">
        <f>+'Ingredient List - Mother Tinctu'!D8072</f>
        <v>0</v>
      </c>
      <c r="AB8071" s="117">
        <f t="shared" si="129"/>
        <v>0</v>
      </c>
      <c r="AC8071" s="117" t="str">
        <f>IF(AB8071=1,COUNTIF($AB$3:AB8071,1),"")</f>
        <v/>
      </c>
      <c r="AD8071" s="117" t="str">
        <f>IFERROR(INDEX($AA$3:$AA$10000,MATCH(ROWS($AC$3:AC8071),$AC$3:$AC$10000,0)),"")</f>
        <v/>
      </c>
    </row>
    <row r="8072" spans="27:30">
      <c r="AA8072" s="117">
        <f>+'Ingredient List - Mother Tinctu'!D8073</f>
        <v>0</v>
      </c>
      <c r="AB8072" s="117">
        <f t="shared" si="129"/>
        <v>0</v>
      </c>
      <c r="AC8072" s="117" t="str">
        <f>IF(AB8072=1,COUNTIF($AB$3:AB8072,1),"")</f>
        <v/>
      </c>
      <c r="AD8072" s="117" t="str">
        <f>IFERROR(INDEX($AA$3:$AA$10000,MATCH(ROWS($AC$3:AC8072),$AC$3:$AC$10000,0)),"")</f>
        <v/>
      </c>
    </row>
    <row r="8073" spans="27:30">
      <c r="AA8073" s="117">
        <f>+'Ingredient List - Mother Tinctu'!D8074</f>
        <v>0</v>
      </c>
      <c r="AB8073" s="117">
        <f t="shared" si="129"/>
        <v>0</v>
      </c>
      <c r="AC8073" s="117" t="str">
        <f>IF(AB8073=1,COUNTIF($AB$3:AB8073,1),"")</f>
        <v/>
      </c>
      <c r="AD8073" s="117" t="str">
        <f>IFERROR(INDEX($AA$3:$AA$10000,MATCH(ROWS($AC$3:AC8073),$AC$3:$AC$10000,0)),"")</f>
        <v/>
      </c>
    </row>
    <row r="8074" spans="27:30">
      <c r="AA8074" s="117">
        <f>+'Ingredient List - Mother Tinctu'!D8075</f>
        <v>0</v>
      </c>
      <c r="AB8074" s="117">
        <f t="shared" si="129"/>
        <v>0</v>
      </c>
      <c r="AC8074" s="117" t="str">
        <f>IF(AB8074=1,COUNTIF($AB$3:AB8074,1),"")</f>
        <v/>
      </c>
      <c r="AD8074" s="117" t="str">
        <f>IFERROR(INDEX($AA$3:$AA$10000,MATCH(ROWS($AC$3:AC8074),$AC$3:$AC$10000,0)),"")</f>
        <v/>
      </c>
    </row>
    <row r="8075" spans="27:30">
      <c r="AA8075" s="117">
        <f>+'Ingredient List - Mother Tinctu'!D8076</f>
        <v>0</v>
      </c>
      <c r="AB8075" s="117">
        <f t="shared" si="129"/>
        <v>0</v>
      </c>
      <c r="AC8075" s="117" t="str">
        <f>IF(AB8075=1,COUNTIF($AB$3:AB8075,1),"")</f>
        <v/>
      </c>
      <c r="AD8075" s="117" t="str">
        <f>IFERROR(INDEX($AA$3:$AA$10000,MATCH(ROWS($AC$3:AC8075),$AC$3:$AC$10000,0)),"")</f>
        <v/>
      </c>
    </row>
    <row r="8076" spans="27:30">
      <c r="AA8076" s="117">
        <f>+'Ingredient List - Mother Tinctu'!D8077</f>
        <v>0</v>
      </c>
      <c r="AB8076" s="117">
        <f t="shared" si="129"/>
        <v>0</v>
      </c>
      <c r="AC8076" s="117" t="str">
        <f>IF(AB8076=1,COUNTIF($AB$3:AB8076,1),"")</f>
        <v/>
      </c>
      <c r="AD8076" s="117" t="str">
        <f>IFERROR(INDEX($AA$3:$AA$10000,MATCH(ROWS($AC$3:AC8076),$AC$3:$AC$10000,0)),"")</f>
        <v/>
      </c>
    </row>
    <row r="8077" spans="27:30">
      <c r="AA8077" s="117">
        <f>+'Ingredient List - Mother Tinctu'!D8078</f>
        <v>0</v>
      </c>
      <c r="AB8077" s="117">
        <f t="shared" si="129"/>
        <v>0</v>
      </c>
      <c r="AC8077" s="117" t="str">
        <f>IF(AB8077=1,COUNTIF($AB$3:AB8077,1),"")</f>
        <v/>
      </c>
      <c r="AD8077" s="117" t="str">
        <f>IFERROR(INDEX($AA$3:$AA$10000,MATCH(ROWS($AC$3:AC8077),$AC$3:$AC$10000,0)),"")</f>
        <v/>
      </c>
    </row>
    <row r="8078" spans="27:30">
      <c r="AA8078" s="117">
        <f>+'Ingredient List - Mother Tinctu'!D8079</f>
        <v>0</v>
      </c>
      <c r="AB8078" s="117">
        <f t="shared" si="129"/>
        <v>0</v>
      </c>
      <c r="AC8078" s="117" t="str">
        <f>IF(AB8078=1,COUNTIF($AB$3:AB8078,1),"")</f>
        <v/>
      </c>
      <c r="AD8078" s="117" t="str">
        <f>IFERROR(INDEX($AA$3:$AA$10000,MATCH(ROWS($AC$3:AC8078),$AC$3:$AC$10000,0)),"")</f>
        <v/>
      </c>
    </row>
    <row r="8079" spans="27:30">
      <c r="AA8079" s="117">
        <f>+'Ingredient List - Mother Tinctu'!D8080</f>
        <v>0</v>
      </c>
      <c r="AB8079" s="117">
        <f t="shared" si="129"/>
        <v>0</v>
      </c>
      <c r="AC8079" s="117" t="str">
        <f>IF(AB8079=1,COUNTIF($AB$3:AB8079,1),"")</f>
        <v/>
      </c>
      <c r="AD8079" s="117" t="str">
        <f>IFERROR(INDEX($AA$3:$AA$10000,MATCH(ROWS($AC$3:AC8079),$AC$3:$AC$10000,0)),"")</f>
        <v/>
      </c>
    </row>
    <row r="8080" spans="27:30">
      <c r="AA8080" s="117">
        <f>+'Ingredient List - Mother Tinctu'!D8081</f>
        <v>0</v>
      </c>
      <c r="AB8080" s="117">
        <f t="shared" si="129"/>
        <v>0</v>
      </c>
      <c r="AC8080" s="117" t="str">
        <f>IF(AB8080=1,COUNTIF($AB$3:AB8080,1),"")</f>
        <v/>
      </c>
      <c r="AD8080" s="117" t="str">
        <f>IFERROR(INDEX($AA$3:$AA$10000,MATCH(ROWS($AC$3:AC8080),$AC$3:$AC$10000,0)),"")</f>
        <v/>
      </c>
    </row>
    <row r="8081" spans="27:30">
      <c r="AA8081" s="117">
        <f>+'Ingredient List - Mother Tinctu'!D8082</f>
        <v>0</v>
      </c>
      <c r="AB8081" s="117">
        <f t="shared" si="129"/>
        <v>0</v>
      </c>
      <c r="AC8081" s="117" t="str">
        <f>IF(AB8081=1,COUNTIF($AB$3:AB8081,1),"")</f>
        <v/>
      </c>
      <c r="AD8081" s="117" t="str">
        <f>IFERROR(INDEX($AA$3:$AA$10000,MATCH(ROWS($AC$3:AC8081),$AC$3:$AC$10000,0)),"")</f>
        <v/>
      </c>
    </row>
    <row r="8082" spans="27:30">
      <c r="AA8082" s="117">
        <f>+'Ingredient List - Mother Tinctu'!D8083</f>
        <v>0</v>
      </c>
      <c r="AB8082" s="117">
        <f t="shared" si="129"/>
        <v>0</v>
      </c>
      <c r="AC8082" s="117" t="str">
        <f>IF(AB8082=1,COUNTIF($AB$3:AB8082,1),"")</f>
        <v/>
      </c>
      <c r="AD8082" s="117" t="str">
        <f>IFERROR(INDEX($AA$3:$AA$10000,MATCH(ROWS($AC$3:AC8082),$AC$3:$AC$10000,0)),"")</f>
        <v/>
      </c>
    </row>
    <row r="8083" spans="27:30">
      <c r="AA8083" s="117">
        <f>+'Ingredient List - Mother Tinctu'!D8084</f>
        <v>0</v>
      </c>
      <c r="AB8083" s="117">
        <f t="shared" si="129"/>
        <v>0</v>
      </c>
      <c r="AC8083" s="117" t="str">
        <f>IF(AB8083=1,COUNTIF($AB$3:AB8083,1),"")</f>
        <v/>
      </c>
      <c r="AD8083" s="117" t="str">
        <f>IFERROR(INDEX($AA$3:$AA$10000,MATCH(ROWS($AC$3:AC8083),$AC$3:$AC$10000,0)),"")</f>
        <v/>
      </c>
    </row>
    <row r="8084" spans="27:30">
      <c r="AA8084" s="117">
        <f>+'Ingredient List - Mother Tinctu'!D8085</f>
        <v>0</v>
      </c>
      <c r="AB8084" s="117">
        <f t="shared" si="129"/>
        <v>0</v>
      </c>
      <c r="AC8084" s="117" t="str">
        <f>IF(AB8084=1,COUNTIF($AB$3:AB8084,1),"")</f>
        <v/>
      </c>
      <c r="AD8084" s="117" t="str">
        <f>IFERROR(INDEX($AA$3:$AA$10000,MATCH(ROWS($AC$3:AC8084),$AC$3:$AC$10000,0)),"")</f>
        <v/>
      </c>
    </row>
    <row r="8085" spans="27:30">
      <c r="AA8085" s="117">
        <f>+'Ingredient List - Mother Tinctu'!D8086</f>
        <v>0</v>
      </c>
      <c r="AB8085" s="117">
        <f t="shared" si="129"/>
        <v>0</v>
      </c>
      <c r="AC8085" s="117" t="str">
        <f>IF(AB8085=1,COUNTIF($AB$3:AB8085,1),"")</f>
        <v/>
      </c>
      <c r="AD8085" s="117" t="str">
        <f>IFERROR(INDEX($AA$3:$AA$10000,MATCH(ROWS($AC$3:AC8085),$AC$3:$AC$10000,0)),"")</f>
        <v/>
      </c>
    </row>
    <row r="8086" spans="27:30">
      <c r="AA8086" s="117">
        <f>+'Ingredient List - Mother Tinctu'!D8087</f>
        <v>0</v>
      </c>
      <c r="AB8086" s="117">
        <f t="shared" si="129"/>
        <v>0</v>
      </c>
      <c r="AC8086" s="117" t="str">
        <f>IF(AB8086=1,COUNTIF($AB$3:AB8086,1),"")</f>
        <v/>
      </c>
      <c r="AD8086" s="117" t="str">
        <f>IFERROR(INDEX($AA$3:$AA$10000,MATCH(ROWS($AC$3:AC8086),$AC$3:$AC$10000,0)),"")</f>
        <v/>
      </c>
    </row>
    <row r="8087" spans="27:30">
      <c r="AA8087" s="117">
        <f>+'Ingredient List - Mother Tinctu'!D8088</f>
        <v>0</v>
      </c>
      <c r="AB8087" s="117">
        <f t="shared" si="129"/>
        <v>0</v>
      </c>
      <c r="AC8087" s="117" t="str">
        <f>IF(AB8087=1,COUNTIF($AB$3:AB8087,1),"")</f>
        <v/>
      </c>
      <c r="AD8087" s="117" t="str">
        <f>IFERROR(INDEX($AA$3:$AA$10000,MATCH(ROWS($AC$3:AC8087),$AC$3:$AC$10000,0)),"")</f>
        <v/>
      </c>
    </row>
    <row r="8088" spans="27:30">
      <c r="AA8088" s="117">
        <f>+'Ingredient List - Mother Tinctu'!D8089</f>
        <v>0</v>
      </c>
      <c r="AB8088" s="117">
        <f t="shared" si="129"/>
        <v>0</v>
      </c>
      <c r="AC8088" s="117" t="str">
        <f>IF(AB8088=1,COUNTIF($AB$3:AB8088,1),"")</f>
        <v/>
      </c>
      <c r="AD8088" s="117" t="str">
        <f>IFERROR(INDEX($AA$3:$AA$10000,MATCH(ROWS($AC$3:AC8088),$AC$3:$AC$10000,0)),"")</f>
        <v/>
      </c>
    </row>
    <row r="8089" spans="27:30">
      <c r="AA8089" s="117">
        <f>+'Ingredient List - Mother Tinctu'!D8090</f>
        <v>0</v>
      </c>
      <c r="AB8089" s="117">
        <f t="shared" si="129"/>
        <v>0</v>
      </c>
      <c r="AC8089" s="117" t="str">
        <f>IF(AB8089=1,COUNTIF($AB$3:AB8089,1),"")</f>
        <v/>
      </c>
      <c r="AD8089" s="117" t="str">
        <f>IFERROR(INDEX($AA$3:$AA$10000,MATCH(ROWS($AC$3:AC8089),$AC$3:$AC$10000,0)),"")</f>
        <v/>
      </c>
    </row>
    <row r="8090" spans="27:30">
      <c r="AA8090" s="117">
        <f>+'Ingredient List - Mother Tinctu'!D8091</f>
        <v>0</v>
      </c>
      <c r="AB8090" s="117">
        <f t="shared" si="129"/>
        <v>0</v>
      </c>
      <c r="AC8090" s="117" t="str">
        <f>IF(AB8090=1,COUNTIF($AB$3:AB8090,1),"")</f>
        <v/>
      </c>
      <c r="AD8090" s="117" t="str">
        <f>IFERROR(INDEX($AA$3:$AA$10000,MATCH(ROWS($AC$3:AC8090),$AC$3:$AC$10000,0)),"")</f>
        <v/>
      </c>
    </row>
    <row r="8091" spans="27:30">
      <c r="AA8091" s="117">
        <f>+'Ingredient List - Mother Tinctu'!D8092</f>
        <v>0</v>
      </c>
      <c r="AB8091" s="117">
        <f t="shared" si="129"/>
        <v>0</v>
      </c>
      <c r="AC8091" s="117" t="str">
        <f>IF(AB8091=1,COUNTIF($AB$3:AB8091,1),"")</f>
        <v/>
      </c>
      <c r="AD8091" s="117" t="str">
        <f>IFERROR(INDEX($AA$3:$AA$10000,MATCH(ROWS($AC$3:AC8091),$AC$3:$AC$10000,0)),"")</f>
        <v/>
      </c>
    </row>
    <row r="8092" spans="27:30">
      <c r="AA8092" s="117">
        <f>+'Ingredient List - Mother Tinctu'!D8093</f>
        <v>0</v>
      </c>
      <c r="AB8092" s="117">
        <f t="shared" si="129"/>
        <v>0</v>
      </c>
      <c r="AC8092" s="117" t="str">
        <f>IF(AB8092=1,COUNTIF($AB$3:AB8092,1),"")</f>
        <v/>
      </c>
      <c r="AD8092" s="117" t="str">
        <f>IFERROR(INDEX($AA$3:$AA$10000,MATCH(ROWS($AC$3:AC8092),$AC$3:$AC$10000,0)),"")</f>
        <v/>
      </c>
    </row>
    <row r="8093" spans="27:30">
      <c r="AA8093" s="117">
        <f>+'Ingredient List - Mother Tinctu'!D8094</f>
        <v>0</v>
      </c>
      <c r="AB8093" s="117">
        <f t="shared" si="129"/>
        <v>0</v>
      </c>
      <c r="AC8093" s="117" t="str">
        <f>IF(AB8093=1,COUNTIF($AB$3:AB8093,1),"")</f>
        <v/>
      </c>
      <c r="AD8093" s="117" t="str">
        <f>IFERROR(INDEX($AA$3:$AA$10000,MATCH(ROWS($AC$3:AC8093),$AC$3:$AC$10000,0)),"")</f>
        <v/>
      </c>
    </row>
    <row r="8094" spans="27:30">
      <c r="AA8094" s="117">
        <f>+'Ingredient List - Mother Tinctu'!D8095</f>
        <v>0</v>
      </c>
      <c r="AB8094" s="117">
        <f t="shared" si="129"/>
        <v>0</v>
      </c>
      <c r="AC8094" s="117" t="str">
        <f>IF(AB8094=1,COUNTIF($AB$3:AB8094,1),"")</f>
        <v/>
      </c>
      <c r="AD8094" s="117" t="str">
        <f>IFERROR(INDEX($AA$3:$AA$10000,MATCH(ROWS($AC$3:AC8094),$AC$3:$AC$10000,0)),"")</f>
        <v/>
      </c>
    </row>
    <row r="8095" spans="27:30">
      <c r="AA8095" s="117">
        <f>+'Ingredient List - Mother Tinctu'!D8096</f>
        <v>0</v>
      </c>
      <c r="AB8095" s="117">
        <f t="shared" si="129"/>
        <v>0</v>
      </c>
      <c r="AC8095" s="117" t="str">
        <f>IF(AB8095=1,COUNTIF($AB$3:AB8095,1),"")</f>
        <v/>
      </c>
      <c r="AD8095" s="117" t="str">
        <f>IFERROR(INDEX($AA$3:$AA$10000,MATCH(ROWS($AC$3:AC8095),$AC$3:$AC$10000,0)),"")</f>
        <v/>
      </c>
    </row>
    <row r="8096" spans="27:30">
      <c r="AA8096" s="117">
        <f>+'Ingredient List - Mother Tinctu'!D8097</f>
        <v>0</v>
      </c>
      <c r="AB8096" s="117">
        <f t="shared" si="129"/>
        <v>0</v>
      </c>
      <c r="AC8096" s="117" t="str">
        <f>IF(AB8096=1,COUNTIF($AB$3:AB8096,1),"")</f>
        <v/>
      </c>
      <c r="AD8096" s="117" t="str">
        <f>IFERROR(INDEX($AA$3:$AA$10000,MATCH(ROWS($AC$3:AC8096),$AC$3:$AC$10000,0)),"")</f>
        <v/>
      </c>
    </row>
    <row r="8097" spans="27:30">
      <c r="AA8097" s="117">
        <f>+'Ingredient List - Mother Tinctu'!D8098</f>
        <v>0</v>
      </c>
      <c r="AB8097" s="117">
        <f t="shared" si="129"/>
        <v>0</v>
      </c>
      <c r="AC8097" s="117" t="str">
        <f>IF(AB8097=1,COUNTIF($AB$3:AB8097,1),"")</f>
        <v/>
      </c>
      <c r="AD8097" s="117" t="str">
        <f>IFERROR(INDEX($AA$3:$AA$10000,MATCH(ROWS($AC$3:AC8097),$AC$3:$AC$10000,0)),"")</f>
        <v/>
      </c>
    </row>
    <row r="8098" spans="27:30">
      <c r="AA8098" s="117">
        <f>+'Ingredient List - Mother Tinctu'!D8099</f>
        <v>0</v>
      </c>
      <c r="AB8098" s="117">
        <f t="shared" si="129"/>
        <v>0</v>
      </c>
      <c r="AC8098" s="117" t="str">
        <f>IF(AB8098=1,COUNTIF($AB$3:AB8098,1),"")</f>
        <v/>
      </c>
      <c r="AD8098" s="117" t="str">
        <f>IFERROR(INDEX($AA$3:$AA$10000,MATCH(ROWS($AC$3:AC8098),$AC$3:$AC$10000,0)),"")</f>
        <v/>
      </c>
    </row>
    <row r="8099" spans="27:30">
      <c r="AA8099" s="117">
        <f>+'Ingredient List - Mother Tinctu'!D8100</f>
        <v>0</v>
      </c>
      <c r="AB8099" s="117">
        <f t="shared" si="129"/>
        <v>0</v>
      </c>
      <c r="AC8099" s="117" t="str">
        <f>IF(AB8099=1,COUNTIF($AB$3:AB8099,1),"")</f>
        <v/>
      </c>
      <c r="AD8099" s="117" t="str">
        <f>IFERROR(INDEX($AA$3:$AA$10000,MATCH(ROWS($AC$3:AC8099),$AC$3:$AC$10000,0)),"")</f>
        <v/>
      </c>
    </row>
    <row r="8100" spans="27:30">
      <c r="AA8100" s="117">
        <f>+'Ingredient List - Mother Tinctu'!D8101</f>
        <v>0</v>
      </c>
      <c r="AB8100" s="117">
        <f t="shared" si="129"/>
        <v>0</v>
      </c>
      <c r="AC8100" s="117" t="str">
        <f>IF(AB8100=1,COUNTIF($AB$3:AB8100,1),"")</f>
        <v/>
      </c>
      <c r="AD8100" s="117" t="str">
        <f>IFERROR(INDEX($AA$3:$AA$10000,MATCH(ROWS($AC$3:AC8100),$AC$3:$AC$10000,0)),"")</f>
        <v/>
      </c>
    </row>
    <row r="8101" spans="27:30">
      <c r="AA8101" s="117">
        <f>+'Ingredient List - Mother Tinctu'!D8102</f>
        <v>0</v>
      </c>
      <c r="AB8101" s="117">
        <f t="shared" si="129"/>
        <v>0</v>
      </c>
      <c r="AC8101" s="117" t="str">
        <f>IF(AB8101=1,COUNTIF($AB$3:AB8101,1),"")</f>
        <v/>
      </c>
      <c r="AD8101" s="117" t="str">
        <f>IFERROR(INDEX($AA$3:$AA$10000,MATCH(ROWS($AC$3:AC8101),$AC$3:$AC$10000,0)),"")</f>
        <v/>
      </c>
    </row>
    <row r="8102" spans="27:30">
      <c r="AA8102" s="117">
        <f>+'Ingredient List - Mother Tinctu'!D8103</f>
        <v>0</v>
      </c>
      <c r="AB8102" s="117">
        <f t="shared" si="129"/>
        <v>0</v>
      </c>
      <c r="AC8102" s="117" t="str">
        <f>IF(AB8102=1,COUNTIF($AB$3:AB8102,1),"")</f>
        <v/>
      </c>
      <c r="AD8102" s="117" t="str">
        <f>IFERROR(INDEX($AA$3:$AA$10000,MATCH(ROWS($AC$3:AC8102),$AC$3:$AC$10000,0)),"")</f>
        <v/>
      </c>
    </row>
    <row r="8103" spans="27:30">
      <c r="AA8103" s="117">
        <f>+'Ingredient List - Mother Tinctu'!D8104</f>
        <v>0</v>
      </c>
      <c r="AB8103" s="117">
        <f t="shared" si="129"/>
        <v>0</v>
      </c>
      <c r="AC8103" s="117" t="str">
        <f>IF(AB8103=1,COUNTIF($AB$3:AB8103,1),"")</f>
        <v/>
      </c>
      <c r="AD8103" s="117" t="str">
        <f>IFERROR(INDEX($AA$3:$AA$10000,MATCH(ROWS($AC$3:AC8103),$AC$3:$AC$10000,0)),"")</f>
        <v/>
      </c>
    </row>
    <row r="8104" spans="27:30">
      <c r="AA8104" s="117">
        <f>+'Ingredient List - Mother Tinctu'!D8105</f>
        <v>0</v>
      </c>
      <c r="AB8104" s="117">
        <f t="shared" si="129"/>
        <v>0</v>
      </c>
      <c r="AC8104" s="117" t="str">
        <f>IF(AB8104=1,COUNTIF($AB$3:AB8104,1),"")</f>
        <v/>
      </c>
      <c r="AD8104" s="117" t="str">
        <f>IFERROR(INDEX($AA$3:$AA$10000,MATCH(ROWS($AC$3:AC8104),$AC$3:$AC$10000,0)),"")</f>
        <v/>
      </c>
    </row>
    <row r="8105" spans="27:30">
      <c r="AA8105" s="117">
        <f>+'Ingredient List - Mother Tinctu'!D8106</f>
        <v>0</v>
      </c>
      <c r="AB8105" s="117">
        <f t="shared" si="129"/>
        <v>0</v>
      </c>
      <c r="AC8105" s="117" t="str">
        <f>IF(AB8105=1,COUNTIF($AB$3:AB8105,1),"")</f>
        <v/>
      </c>
      <c r="AD8105" s="117" t="str">
        <f>IFERROR(INDEX($AA$3:$AA$10000,MATCH(ROWS($AC$3:AC8105),$AC$3:$AC$10000,0)),"")</f>
        <v/>
      </c>
    </row>
    <row r="8106" spans="27:30">
      <c r="AA8106" s="117">
        <f>+'Ingredient List - Mother Tinctu'!D8107</f>
        <v>0</v>
      </c>
      <c r="AB8106" s="117">
        <f t="shared" si="129"/>
        <v>0</v>
      </c>
      <c r="AC8106" s="117" t="str">
        <f>IF(AB8106=1,COUNTIF($AB$3:AB8106,1),"")</f>
        <v/>
      </c>
      <c r="AD8106" s="117" t="str">
        <f>IFERROR(INDEX($AA$3:$AA$10000,MATCH(ROWS($AC$3:AC8106),$AC$3:$AC$10000,0)),"")</f>
        <v/>
      </c>
    </row>
    <row r="8107" spans="27:30">
      <c r="AA8107" s="117">
        <f>+'Ingredient List - Mother Tinctu'!D8108</f>
        <v>0</v>
      </c>
      <c r="AB8107" s="117">
        <f t="shared" si="129"/>
        <v>0</v>
      </c>
      <c r="AC8107" s="117" t="str">
        <f>IF(AB8107=1,COUNTIF($AB$3:AB8107,1),"")</f>
        <v/>
      </c>
      <c r="AD8107" s="117" t="str">
        <f>IFERROR(INDEX($AA$3:$AA$10000,MATCH(ROWS($AC$3:AC8107),$AC$3:$AC$10000,0)),"")</f>
        <v/>
      </c>
    </row>
    <row r="8108" spans="27:30">
      <c r="AA8108" s="117">
        <f>+'Ingredient List - Mother Tinctu'!D8109</f>
        <v>0</v>
      </c>
      <c r="AB8108" s="117">
        <f t="shared" si="129"/>
        <v>0</v>
      </c>
      <c r="AC8108" s="117" t="str">
        <f>IF(AB8108=1,COUNTIF($AB$3:AB8108,1),"")</f>
        <v/>
      </c>
      <c r="AD8108" s="117" t="str">
        <f>IFERROR(INDEX($AA$3:$AA$10000,MATCH(ROWS($AC$3:AC8108),$AC$3:$AC$10000,0)),"")</f>
        <v/>
      </c>
    </row>
    <row r="8109" spans="27:30">
      <c r="AA8109" s="117">
        <f>+'Ingredient List - Mother Tinctu'!D8110</f>
        <v>0</v>
      </c>
      <c r="AB8109" s="117">
        <f t="shared" si="129"/>
        <v>0</v>
      </c>
      <c r="AC8109" s="117" t="str">
        <f>IF(AB8109=1,COUNTIF($AB$3:AB8109,1),"")</f>
        <v/>
      </c>
      <c r="AD8109" s="117" t="str">
        <f>IFERROR(INDEX($AA$3:$AA$10000,MATCH(ROWS($AC$3:AC8109),$AC$3:$AC$10000,0)),"")</f>
        <v/>
      </c>
    </row>
    <row r="8110" spans="27:30">
      <c r="AA8110" s="117">
        <f>+'Ingredient List - Mother Tinctu'!D8111</f>
        <v>0</v>
      </c>
      <c r="AB8110" s="117">
        <f t="shared" si="129"/>
        <v>0</v>
      </c>
      <c r="AC8110" s="117" t="str">
        <f>IF(AB8110=1,COUNTIF($AB$3:AB8110,1),"")</f>
        <v/>
      </c>
      <c r="AD8110" s="117" t="str">
        <f>IFERROR(INDEX($AA$3:$AA$10000,MATCH(ROWS($AC$3:AC8110),$AC$3:$AC$10000,0)),"")</f>
        <v/>
      </c>
    </row>
    <row r="8111" spans="27:30">
      <c r="AA8111" s="117">
        <f>+'Ingredient List - Mother Tinctu'!D8112</f>
        <v>0</v>
      </c>
      <c r="AB8111" s="117">
        <f t="shared" si="129"/>
        <v>0</v>
      </c>
      <c r="AC8111" s="117" t="str">
        <f>IF(AB8111=1,COUNTIF($AB$3:AB8111,1),"")</f>
        <v/>
      </c>
      <c r="AD8111" s="117" t="str">
        <f>IFERROR(INDEX($AA$3:$AA$10000,MATCH(ROWS($AC$3:AC8111),$AC$3:$AC$10000,0)),"")</f>
        <v/>
      </c>
    </row>
    <row r="8112" spans="27:30">
      <c r="AA8112" s="117">
        <f>+'Ingredient List - Mother Tinctu'!D8113</f>
        <v>0</v>
      </c>
      <c r="AB8112" s="117">
        <f t="shared" si="129"/>
        <v>0</v>
      </c>
      <c r="AC8112" s="117" t="str">
        <f>IF(AB8112=1,COUNTIF($AB$3:AB8112,1),"")</f>
        <v/>
      </c>
      <c r="AD8112" s="117" t="str">
        <f>IFERROR(INDEX($AA$3:$AA$10000,MATCH(ROWS($AC$3:AC8112),$AC$3:$AC$10000,0)),"")</f>
        <v/>
      </c>
    </row>
    <row r="8113" spans="27:30">
      <c r="AA8113" s="117">
        <f>+'Ingredient List - Mother Tinctu'!D8114</f>
        <v>0</v>
      </c>
      <c r="AB8113" s="117">
        <f t="shared" si="129"/>
        <v>0</v>
      </c>
      <c r="AC8113" s="117" t="str">
        <f>IF(AB8113=1,COUNTIF($AB$3:AB8113,1),"")</f>
        <v/>
      </c>
      <c r="AD8113" s="117" t="str">
        <f>IFERROR(INDEX($AA$3:$AA$10000,MATCH(ROWS($AC$3:AC8113),$AC$3:$AC$10000,0)),"")</f>
        <v/>
      </c>
    </row>
    <row r="8114" spans="27:30">
      <c r="AA8114" s="117">
        <f>+'Ingredient List - Mother Tinctu'!D8115</f>
        <v>0</v>
      </c>
      <c r="AB8114" s="117">
        <f t="shared" si="129"/>
        <v>0</v>
      </c>
      <c r="AC8114" s="117" t="str">
        <f>IF(AB8114=1,COUNTIF($AB$3:AB8114,1),"")</f>
        <v/>
      </c>
      <c r="AD8114" s="117" t="str">
        <f>IFERROR(INDEX($AA$3:$AA$10000,MATCH(ROWS($AC$3:AC8114),$AC$3:$AC$10000,0)),"")</f>
        <v/>
      </c>
    </row>
    <row r="8115" spans="27:30">
      <c r="AA8115" s="117">
        <f>+'Ingredient List - Mother Tinctu'!D8116</f>
        <v>0</v>
      </c>
      <c r="AB8115" s="117">
        <f t="shared" si="129"/>
        <v>0</v>
      </c>
      <c r="AC8115" s="117" t="str">
        <f>IF(AB8115=1,COUNTIF($AB$3:AB8115,1),"")</f>
        <v/>
      </c>
      <c r="AD8115" s="117" t="str">
        <f>IFERROR(INDEX($AA$3:$AA$10000,MATCH(ROWS($AC$3:AC8115),$AC$3:$AC$10000,0)),"")</f>
        <v/>
      </c>
    </row>
    <row r="8116" spans="27:30">
      <c r="AA8116" s="117">
        <f>+'Ingredient List - Mother Tinctu'!D8117</f>
        <v>0</v>
      </c>
      <c r="AB8116" s="117">
        <f t="shared" si="129"/>
        <v>0</v>
      </c>
      <c r="AC8116" s="117" t="str">
        <f>IF(AB8116=1,COUNTIF($AB$3:AB8116,1),"")</f>
        <v/>
      </c>
      <c r="AD8116" s="117" t="str">
        <f>IFERROR(INDEX($AA$3:$AA$10000,MATCH(ROWS($AC$3:AC8116),$AC$3:$AC$10000,0)),"")</f>
        <v/>
      </c>
    </row>
    <row r="8117" spans="27:30">
      <c r="AA8117" s="117">
        <f>+'Ingredient List - Mother Tinctu'!D8118</f>
        <v>0</v>
      </c>
      <c r="AB8117" s="117">
        <f t="shared" si="129"/>
        <v>0</v>
      </c>
      <c r="AC8117" s="117" t="str">
        <f>IF(AB8117=1,COUNTIF($AB$3:AB8117,1),"")</f>
        <v/>
      </c>
      <c r="AD8117" s="117" t="str">
        <f>IFERROR(INDEX($AA$3:$AA$10000,MATCH(ROWS($AC$3:AC8117),$AC$3:$AC$10000,0)),"")</f>
        <v/>
      </c>
    </row>
    <row r="8118" spans="27:30">
      <c r="AA8118" s="117">
        <f>+'Ingredient List - Mother Tinctu'!D8119</f>
        <v>0</v>
      </c>
      <c r="AB8118" s="117">
        <f t="shared" si="129"/>
        <v>0</v>
      </c>
      <c r="AC8118" s="117" t="str">
        <f>IF(AB8118=1,COUNTIF($AB$3:AB8118,1),"")</f>
        <v/>
      </c>
      <c r="AD8118" s="117" t="str">
        <f>IFERROR(INDEX($AA$3:$AA$10000,MATCH(ROWS($AC$3:AC8118),$AC$3:$AC$10000,0)),"")</f>
        <v/>
      </c>
    </row>
    <row r="8119" spans="27:30">
      <c r="AA8119" s="117">
        <f>+'Ingredient List - Mother Tinctu'!D8120</f>
        <v>0</v>
      </c>
      <c r="AB8119" s="117">
        <f t="shared" si="129"/>
        <v>0</v>
      </c>
      <c r="AC8119" s="117" t="str">
        <f>IF(AB8119=1,COUNTIF($AB$3:AB8119,1),"")</f>
        <v/>
      </c>
      <c r="AD8119" s="117" t="str">
        <f>IFERROR(INDEX($AA$3:$AA$10000,MATCH(ROWS($AC$3:AC8119),$AC$3:$AC$10000,0)),"")</f>
        <v/>
      </c>
    </row>
    <row r="8120" spans="27:30">
      <c r="AA8120" s="117">
        <f>+'Ingredient List - Mother Tinctu'!D8121</f>
        <v>0</v>
      </c>
      <c r="AB8120" s="117">
        <f t="shared" si="129"/>
        <v>0</v>
      </c>
      <c r="AC8120" s="117" t="str">
        <f>IF(AB8120=1,COUNTIF($AB$3:AB8120,1),"")</f>
        <v/>
      </c>
      <c r="AD8120" s="117" t="str">
        <f>IFERROR(INDEX($AA$3:$AA$10000,MATCH(ROWS($AC$3:AC8120),$AC$3:$AC$10000,0)),"")</f>
        <v/>
      </c>
    </row>
    <row r="8121" spans="27:30">
      <c r="AA8121" s="117">
        <f>+'Ingredient List - Mother Tinctu'!D8122</f>
        <v>0</v>
      </c>
      <c r="AB8121" s="117">
        <f t="shared" si="129"/>
        <v>0</v>
      </c>
      <c r="AC8121" s="117" t="str">
        <f>IF(AB8121=1,COUNTIF($AB$3:AB8121,1),"")</f>
        <v/>
      </c>
      <c r="AD8121" s="117" t="str">
        <f>IFERROR(INDEX($AA$3:$AA$10000,MATCH(ROWS($AC$3:AC8121),$AC$3:$AC$10000,0)),"")</f>
        <v/>
      </c>
    </row>
    <row r="8122" spans="27:30">
      <c r="AA8122" s="117">
        <f>+'Ingredient List - Mother Tinctu'!D8123</f>
        <v>0</v>
      </c>
      <c r="AB8122" s="117">
        <f t="shared" si="129"/>
        <v>0</v>
      </c>
      <c r="AC8122" s="117" t="str">
        <f>IF(AB8122=1,COUNTIF($AB$3:AB8122,1),"")</f>
        <v/>
      </c>
      <c r="AD8122" s="117" t="str">
        <f>IFERROR(INDEX($AA$3:$AA$10000,MATCH(ROWS($AC$3:AC8122),$AC$3:$AC$10000,0)),"")</f>
        <v/>
      </c>
    </row>
    <row r="8123" spans="27:30">
      <c r="AA8123" s="117">
        <f>+'Ingredient List - Mother Tinctu'!D8124</f>
        <v>0</v>
      </c>
      <c r="AB8123" s="117">
        <f t="shared" si="129"/>
        <v>0</v>
      </c>
      <c r="AC8123" s="117" t="str">
        <f>IF(AB8123=1,COUNTIF($AB$3:AB8123,1),"")</f>
        <v/>
      </c>
      <c r="AD8123" s="117" t="str">
        <f>IFERROR(INDEX($AA$3:$AA$10000,MATCH(ROWS($AC$3:AC8123),$AC$3:$AC$10000,0)),"")</f>
        <v/>
      </c>
    </row>
    <row r="8124" spans="27:30">
      <c r="AA8124" s="117">
        <f>+'Ingredient List - Mother Tinctu'!D8125</f>
        <v>0</v>
      </c>
      <c r="AB8124" s="117">
        <f t="shared" si="129"/>
        <v>0</v>
      </c>
      <c r="AC8124" s="117" t="str">
        <f>IF(AB8124=1,COUNTIF($AB$3:AB8124,1),"")</f>
        <v/>
      </c>
      <c r="AD8124" s="117" t="str">
        <f>IFERROR(INDEX($AA$3:$AA$10000,MATCH(ROWS($AC$3:AC8124),$AC$3:$AC$10000,0)),"")</f>
        <v/>
      </c>
    </row>
    <row r="8125" spans="27:30">
      <c r="AA8125" s="117">
        <f>+'Ingredient List - Mother Tinctu'!D8126</f>
        <v>0</v>
      </c>
      <c r="AB8125" s="117">
        <f t="shared" si="129"/>
        <v>0</v>
      </c>
      <c r="AC8125" s="117" t="str">
        <f>IF(AB8125=1,COUNTIF($AB$3:AB8125,1),"")</f>
        <v/>
      </c>
      <c r="AD8125" s="117" t="str">
        <f>IFERROR(INDEX($AA$3:$AA$10000,MATCH(ROWS($AC$3:AC8125),$AC$3:$AC$10000,0)),"")</f>
        <v/>
      </c>
    </row>
    <row r="8126" spans="27:30">
      <c r="AA8126" s="117">
        <f>+'Ingredient List - Mother Tinctu'!D8127</f>
        <v>0</v>
      </c>
      <c r="AB8126" s="117">
        <f t="shared" si="129"/>
        <v>0</v>
      </c>
      <c r="AC8126" s="117" t="str">
        <f>IF(AB8126=1,COUNTIF($AB$3:AB8126,1),"")</f>
        <v/>
      </c>
      <c r="AD8126" s="117" t="str">
        <f>IFERROR(INDEX($AA$3:$AA$10000,MATCH(ROWS($AC$3:AC8126),$AC$3:$AC$10000,0)),"")</f>
        <v/>
      </c>
    </row>
    <row r="8127" spans="27:30">
      <c r="AA8127" s="117">
        <f>+'Ingredient List - Mother Tinctu'!D8128</f>
        <v>0</v>
      </c>
      <c r="AB8127" s="117">
        <f t="shared" si="129"/>
        <v>0</v>
      </c>
      <c r="AC8127" s="117" t="str">
        <f>IF(AB8127=1,COUNTIF($AB$3:AB8127,1),"")</f>
        <v/>
      </c>
      <c r="AD8127" s="117" t="str">
        <f>IFERROR(INDEX($AA$3:$AA$10000,MATCH(ROWS($AC$3:AC8127),$AC$3:$AC$10000,0)),"")</f>
        <v/>
      </c>
    </row>
    <row r="8128" spans="27:30">
      <c r="AA8128" s="117">
        <f>+'Ingredient List - Mother Tinctu'!D8129</f>
        <v>0</v>
      </c>
      <c r="AB8128" s="117">
        <f t="shared" si="129"/>
        <v>0</v>
      </c>
      <c r="AC8128" s="117" t="str">
        <f>IF(AB8128=1,COUNTIF($AB$3:AB8128,1),"")</f>
        <v/>
      </c>
      <c r="AD8128" s="117" t="str">
        <f>IFERROR(INDEX($AA$3:$AA$10000,MATCH(ROWS($AC$3:AC8128),$AC$3:$AC$10000,0)),"")</f>
        <v/>
      </c>
    </row>
    <row r="8129" spans="27:30">
      <c r="AA8129" s="117">
        <f>+'Ingredient List - Mother Tinctu'!D8130</f>
        <v>0</v>
      </c>
      <c r="AB8129" s="117">
        <f t="shared" si="129"/>
        <v>0</v>
      </c>
      <c r="AC8129" s="117" t="str">
        <f>IF(AB8129=1,COUNTIF($AB$3:AB8129,1),"")</f>
        <v/>
      </c>
      <c r="AD8129" s="117" t="str">
        <f>IFERROR(INDEX($AA$3:$AA$10000,MATCH(ROWS($AC$3:AC8129),$AC$3:$AC$10000,0)),"")</f>
        <v/>
      </c>
    </row>
    <row r="8130" spans="27:30">
      <c r="AA8130" s="117">
        <f>+'Ingredient List - Mother Tinctu'!D8131</f>
        <v>0</v>
      </c>
      <c r="AB8130" s="117">
        <f t="shared" si="129"/>
        <v>0</v>
      </c>
      <c r="AC8130" s="117" t="str">
        <f>IF(AB8130=1,COUNTIF($AB$3:AB8130,1),"")</f>
        <v/>
      </c>
      <c r="AD8130" s="117" t="str">
        <f>IFERROR(INDEX($AA$3:$AA$10000,MATCH(ROWS($AC$3:AC8130),$AC$3:$AC$10000,0)),"")</f>
        <v/>
      </c>
    </row>
    <row r="8131" spans="27:30">
      <c r="AA8131" s="117">
        <f>+'Ingredient List - Mother Tinctu'!D8132</f>
        <v>0</v>
      </c>
      <c r="AB8131" s="117">
        <f t="shared" si="129"/>
        <v>0</v>
      </c>
      <c r="AC8131" s="117" t="str">
        <f>IF(AB8131=1,COUNTIF($AB$3:AB8131,1),"")</f>
        <v/>
      </c>
      <c r="AD8131" s="117" t="str">
        <f>IFERROR(INDEX($AA$3:$AA$10000,MATCH(ROWS($AC$3:AC8131),$AC$3:$AC$10000,0)),"")</f>
        <v/>
      </c>
    </row>
    <row r="8132" spans="27:30">
      <c r="AA8132" s="117">
        <f>+'Ingredient List - Mother Tinctu'!D8133</f>
        <v>0</v>
      </c>
      <c r="AB8132" s="117">
        <f t="shared" ref="AB8132:AB8195" si="130">--ISNUMBER(IFERROR(SEARCH($D$3,AA8132,1),""))</f>
        <v>0</v>
      </c>
      <c r="AC8132" s="117" t="str">
        <f>IF(AB8132=1,COUNTIF($AB$3:AB8132,1),"")</f>
        <v/>
      </c>
      <c r="AD8132" s="117" t="str">
        <f>IFERROR(INDEX($AA$3:$AA$10000,MATCH(ROWS($AC$3:AC8132),$AC$3:$AC$10000,0)),"")</f>
        <v/>
      </c>
    </row>
    <row r="8133" spans="27:30">
      <c r="AA8133" s="117">
        <f>+'Ingredient List - Mother Tinctu'!D8134</f>
        <v>0</v>
      </c>
      <c r="AB8133" s="117">
        <f t="shared" si="130"/>
        <v>0</v>
      </c>
      <c r="AC8133" s="117" t="str">
        <f>IF(AB8133=1,COUNTIF($AB$3:AB8133,1),"")</f>
        <v/>
      </c>
      <c r="AD8133" s="117" t="str">
        <f>IFERROR(INDEX($AA$3:$AA$10000,MATCH(ROWS($AC$3:AC8133),$AC$3:$AC$10000,0)),"")</f>
        <v/>
      </c>
    </row>
    <row r="8134" spans="27:30">
      <c r="AA8134" s="117">
        <f>+'Ingredient List - Mother Tinctu'!D8135</f>
        <v>0</v>
      </c>
      <c r="AB8134" s="117">
        <f t="shared" si="130"/>
        <v>0</v>
      </c>
      <c r="AC8134" s="117" t="str">
        <f>IF(AB8134=1,COUNTIF($AB$3:AB8134,1),"")</f>
        <v/>
      </c>
      <c r="AD8134" s="117" t="str">
        <f>IFERROR(INDEX($AA$3:$AA$10000,MATCH(ROWS($AC$3:AC8134),$AC$3:$AC$10000,0)),"")</f>
        <v/>
      </c>
    </row>
    <row r="8135" spans="27:30">
      <c r="AA8135" s="117">
        <f>+'Ingredient List - Mother Tinctu'!D8136</f>
        <v>0</v>
      </c>
      <c r="AB8135" s="117">
        <f t="shared" si="130"/>
        <v>0</v>
      </c>
      <c r="AC8135" s="117" t="str">
        <f>IF(AB8135=1,COUNTIF($AB$3:AB8135,1),"")</f>
        <v/>
      </c>
      <c r="AD8135" s="117" t="str">
        <f>IFERROR(INDEX($AA$3:$AA$10000,MATCH(ROWS($AC$3:AC8135),$AC$3:$AC$10000,0)),"")</f>
        <v/>
      </c>
    </row>
    <row r="8136" spans="27:30">
      <c r="AA8136" s="117">
        <f>+'Ingredient List - Mother Tinctu'!D8137</f>
        <v>0</v>
      </c>
      <c r="AB8136" s="117">
        <f t="shared" si="130"/>
        <v>0</v>
      </c>
      <c r="AC8136" s="117" t="str">
        <f>IF(AB8136=1,COUNTIF($AB$3:AB8136,1),"")</f>
        <v/>
      </c>
      <c r="AD8136" s="117" t="str">
        <f>IFERROR(INDEX($AA$3:$AA$10000,MATCH(ROWS($AC$3:AC8136),$AC$3:$AC$10000,0)),"")</f>
        <v/>
      </c>
    </row>
    <row r="8137" spans="27:30">
      <c r="AA8137" s="117">
        <f>+'Ingredient List - Mother Tinctu'!D8138</f>
        <v>0</v>
      </c>
      <c r="AB8137" s="117">
        <f t="shared" si="130"/>
        <v>0</v>
      </c>
      <c r="AC8137" s="117" t="str">
        <f>IF(AB8137=1,COUNTIF($AB$3:AB8137,1),"")</f>
        <v/>
      </c>
      <c r="AD8137" s="117" t="str">
        <f>IFERROR(INDEX($AA$3:$AA$10000,MATCH(ROWS($AC$3:AC8137),$AC$3:$AC$10000,0)),"")</f>
        <v/>
      </c>
    </row>
    <row r="8138" spans="27:30">
      <c r="AA8138" s="117">
        <f>+'Ingredient List - Mother Tinctu'!D8139</f>
        <v>0</v>
      </c>
      <c r="AB8138" s="117">
        <f t="shared" si="130"/>
        <v>0</v>
      </c>
      <c r="AC8138" s="117" t="str">
        <f>IF(AB8138=1,COUNTIF($AB$3:AB8138,1),"")</f>
        <v/>
      </c>
      <c r="AD8138" s="117" t="str">
        <f>IFERROR(INDEX($AA$3:$AA$10000,MATCH(ROWS($AC$3:AC8138),$AC$3:$AC$10000,0)),"")</f>
        <v/>
      </c>
    </row>
    <row r="8139" spans="27:30">
      <c r="AA8139" s="117">
        <f>+'Ingredient List - Mother Tinctu'!D8140</f>
        <v>0</v>
      </c>
      <c r="AB8139" s="117">
        <f t="shared" si="130"/>
        <v>0</v>
      </c>
      <c r="AC8139" s="117" t="str">
        <f>IF(AB8139=1,COUNTIF($AB$3:AB8139,1),"")</f>
        <v/>
      </c>
      <c r="AD8139" s="117" t="str">
        <f>IFERROR(INDEX($AA$3:$AA$10000,MATCH(ROWS($AC$3:AC8139),$AC$3:$AC$10000,0)),"")</f>
        <v/>
      </c>
    </row>
    <row r="8140" spans="27:30">
      <c r="AA8140" s="117">
        <f>+'Ingredient List - Mother Tinctu'!D8141</f>
        <v>0</v>
      </c>
      <c r="AB8140" s="117">
        <f t="shared" si="130"/>
        <v>0</v>
      </c>
      <c r="AC8140" s="117" t="str">
        <f>IF(AB8140=1,COUNTIF($AB$3:AB8140,1),"")</f>
        <v/>
      </c>
      <c r="AD8140" s="117" t="str">
        <f>IFERROR(INDEX($AA$3:$AA$10000,MATCH(ROWS($AC$3:AC8140),$AC$3:$AC$10000,0)),"")</f>
        <v/>
      </c>
    </row>
    <row r="8141" spans="27:30">
      <c r="AA8141" s="117">
        <f>+'Ingredient List - Mother Tinctu'!D8142</f>
        <v>0</v>
      </c>
      <c r="AB8141" s="117">
        <f t="shared" si="130"/>
        <v>0</v>
      </c>
      <c r="AC8141" s="117" t="str">
        <f>IF(AB8141=1,COUNTIF($AB$3:AB8141,1),"")</f>
        <v/>
      </c>
      <c r="AD8141" s="117" t="str">
        <f>IFERROR(INDEX($AA$3:$AA$10000,MATCH(ROWS($AC$3:AC8141),$AC$3:$AC$10000,0)),"")</f>
        <v/>
      </c>
    </row>
    <row r="8142" spans="27:30">
      <c r="AA8142" s="117">
        <f>+'Ingredient List - Mother Tinctu'!D8143</f>
        <v>0</v>
      </c>
      <c r="AB8142" s="117">
        <f t="shared" si="130"/>
        <v>0</v>
      </c>
      <c r="AC8142" s="117" t="str">
        <f>IF(AB8142=1,COUNTIF($AB$3:AB8142,1),"")</f>
        <v/>
      </c>
      <c r="AD8142" s="117" t="str">
        <f>IFERROR(INDEX($AA$3:$AA$10000,MATCH(ROWS($AC$3:AC8142),$AC$3:$AC$10000,0)),"")</f>
        <v/>
      </c>
    </row>
    <row r="8143" spans="27:30">
      <c r="AA8143" s="117">
        <f>+'Ingredient List - Mother Tinctu'!D8144</f>
        <v>0</v>
      </c>
      <c r="AB8143" s="117">
        <f t="shared" si="130"/>
        <v>0</v>
      </c>
      <c r="AC8143" s="117" t="str">
        <f>IF(AB8143=1,COUNTIF($AB$3:AB8143,1),"")</f>
        <v/>
      </c>
      <c r="AD8143" s="117" t="str">
        <f>IFERROR(INDEX($AA$3:$AA$10000,MATCH(ROWS($AC$3:AC8143),$AC$3:$AC$10000,0)),"")</f>
        <v/>
      </c>
    </row>
    <row r="8144" spans="27:30">
      <c r="AA8144" s="117">
        <f>+'Ingredient List - Mother Tinctu'!D8145</f>
        <v>0</v>
      </c>
      <c r="AB8144" s="117">
        <f t="shared" si="130"/>
        <v>0</v>
      </c>
      <c r="AC8144" s="117" t="str">
        <f>IF(AB8144=1,COUNTIF($AB$3:AB8144,1),"")</f>
        <v/>
      </c>
      <c r="AD8144" s="117" t="str">
        <f>IFERROR(INDEX($AA$3:$AA$10000,MATCH(ROWS($AC$3:AC8144),$AC$3:$AC$10000,0)),"")</f>
        <v/>
      </c>
    </row>
    <row r="8145" spans="27:30">
      <c r="AA8145" s="117">
        <f>+'Ingredient List - Mother Tinctu'!D8146</f>
        <v>0</v>
      </c>
      <c r="AB8145" s="117">
        <f t="shared" si="130"/>
        <v>0</v>
      </c>
      <c r="AC8145" s="117" t="str">
        <f>IF(AB8145=1,COUNTIF($AB$3:AB8145,1),"")</f>
        <v/>
      </c>
      <c r="AD8145" s="117" t="str">
        <f>IFERROR(INDEX($AA$3:$AA$10000,MATCH(ROWS($AC$3:AC8145),$AC$3:$AC$10000,0)),"")</f>
        <v/>
      </c>
    </row>
    <row r="8146" spans="27:30">
      <c r="AA8146" s="117">
        <f>+'Ingredient List - Mother Tinctu'!D8147</f>
        <v>0</v>
      </c>
      <c r="AB8146" s="117">
        <f t="shared" si="130"/>
        <v>0</v>
      </c>
      <c r="AC8146" s="117" t="str">
        <f>IF(AB8146=1,COUNTIF($AB$3:AB8146,1),"")</f>
        <v/>
      </c>
      <c r="AD8146" s="117" t="str">
        <f>IFERROR(INDEX($AA$3:$AA$10000,MATCH(ROWS($AC$3:AC8146),$AC$3:$AC$10000,0)),"")</f>
        <v/>
      </c>
    </row>
    <row r="8147" spans="27:30">
      <c r="AA8147" s="117">
        <f>+'Ingredient List - Mother Tinctu'!D8148</f>
        <v>0</v>
      </c>
      <c r="AB8147" s="117">
        <f t="shared" si="130"/>
        <v>0</v>
      </c>
      <c r="AC8147" s="117" t="str">
        <f>IF(AB8147=1,COUNTIF($AB$3:AB8147,1),"")</f>
        <v/>
      </c>
      <c r="AD8147" s="117" t="str">
        <f>IFERROR(INDEX($AA$3:$AA$10000,MATCH(ROWS($AC$3:AC8147),$AC$3:$AC$10000,0)),"")</f>
        <v/>
      </c>
    </row>
    <row r="8148" spans="27:30">
      <c r="AA8148" s="117">
        <f>+'Ingredient List - Mother Tinctu'!D8149</f>
        <v>0</v>
      </c>
      <c r="AB8148" s="117">
        <f t="shared" si="130"/>
        <v>0</v>
      </c>
      <c r="AC8148" s="117" t="str">
        <f>IF(AB8148=1,COUNTIF($AB$3:AB8148,1),"")</f>
        <v/>
      </c>
      <c r="AD8148" s="117" t="str">
        <f>IFERROR(INDEX($AA$3:$AA$10000,MATCH(ROWS($AC$3:AC8148),$AC$3:$AC$10000,0)),"")</f>
        <v/>
      </c>
    </row>
    <row r="8149" spans="27:30">
      <c r="AA8149" s="117">
        <f>+'Ingredient List - Mother Tinctu'!D8150</f>
        <v>0</v>
      </c>
      <c r="AB8149" s="117">
        <f t="shared" si="130"/>
        <v>0</v>
      </c>
      <c r="AC8149" s="117" t="str">
        <f>IF(AB8149=1,COUNTIF($AB$3:AB8149,1),"")</f>
        <v/>
      </c>
      <c r="AD8149" s="117" t="str">
        <f>IFERROR(INDEX($AA$3:$AA$10000,MATCH(ROWS($AC$3:AC8149),$AC$3:$AC$10000,0)),"")</f>
        <v/>
      </c>
    </row>
    <row r="8150" spans="27:30">
      <c r="AA8150" s="117">
        <f>+'Ingredient List - Mother Tinctu'!D8151</f>
        <v>0</v>
      </c>
      <c r="AB8150" s="117">
        <f t="shared" si="130"/>
        <v>0</v>
      </c>
      <c r="AC8150" s="117" t="str">
        <f>IF(AB8150=1,COUNTIF($AB$3:AB8150,1),"")</f>
        <v/>
      </c>
      <c r="AD8150" s="117" t="str">
        <f>IFERROR(INDEX($AA$3:$AA$10000,MATCH(ROWS($AC$3:AC8150),$AC$3:$AC$10000,0)),"")</f>
        <v/>
      </c>
    </row>
    <row r="8151" spans="27:30">
      <c r="AA8151" s="117">
        <f>+'Ingredient List - Mother Tinctu'!D8152</f>
        <v>0</v>
      </c>
      <c r="AB8151" s="117">
        <f t="shared" si="130"/>
        <v>0</v>
      </c>
      <c r="AC8151" s="117" t="str">
        <f>IF(AB8151=1,COUNTIF($AB$3:AB8151,1),"")</f>
        <v/>
      </c>
      <c r="AD8151" s="117" t="str">
        <f>IFERROR(INDEX($AA$3:$AA$10000,MATCH(ROWS($AC$3:AC8151),$AC$3:$AC$10000,0)),"")</f>
        <v/>
      </c>
    </row>
    <row r="8152" spans="27:30">
      <c r="AA8152" s="117">
        <f>+'Ingredient List - Mother Tinctu'!D8153</f>
        <v>0</v>
      </c>
      <c r="AB8152" s="117">
        <f t="shared" si="130"/>
        <v>0</v>
      </c>
      <c r="AC8152" s="117" t="str">
        <f>IF(AB8152=1,COUNTIF($AB$3:AB8152,1),"")</f>
        <v/>
      </c>
      <c r="AD8152" s="117" t="str">
        <f>IFERROR(INDEX($AA$3:$AA$10000,MATCH(ROWS($AC$3:AC8152),$AC$3:$AC$10000,0)),"")</f>
        <v/>
      </c>
    </row>
    <row r="8153" spans="27:30">
      <c r="AA8153" s="117">
        <f>+'Ingredient List - Mother Tinctu'!D8154</f>
        <v>0</v>
      </c>
      <c r="AB8153" s="117">
        <f t="shared" si="130"/>
        <v>0</v>
      </c>
      <c r="AC8153" s="117" t="str">
        <f>IF(AB8153=1,COUNTIF($AB$3:AB8153,1),"")</f>
        <v/>
      </c>
      <c r="AD8153" s="117" t="str">
        <f>IFERROR(INDEX($AA$3:$AA$10000,MATCH(ROWS($AC$3:AC8153),$AC$3:$AC$10000,0)),"")</f>
        <v/>
      </c>
    </row>
    <row r="8154" spans="27:30">
      <c r="AA8154" s="117">
        <f>+'Ingredient List - Mother Tinctu'!D8155</f>
        <v>0</v>
      </c>
      <c r="AB8154" s="117">
        <f t="shared" si="130"/>
        <v>0</v>
      </c>
      <c r="AC8154" s="117" t="str">
        <f>IF(AB8154=1,COUNTIF($AB$3:AB8154,1),"")</f>
        <v/>
      </c>
      <c r="AD8154" s="117" t="str">
        <f>IFERROR(INDEX($AA$3:$AA$10000,MATCH(ROWS($AC$3:AC8154),$AC$3:$AC$10000,0)),"")</f>
        <v/>
      </c>
    </row>
    <row r="8155" spans="27:30">
      <c r="AA8155" s="117">
        <f>+'Ingredient List - Mother Tinctu'!D8156</f>
        <v>0</v>
      </c>
      <c r="AB8155" s="117">
        <f t="shared" si="130"/>
        <v>0</v>
      </c>
      <c r="AC8155" s="117" t="str">
        <f>IF(AB8155=1,COUNTIF($AB$3:AB8155,1),"")</f>
        <v/>
      </c>
      <c r="AD8155" s="117" t="str">
        <f>IFERROR(INDEX($AA$3:$AA$10000,MATCH(ROWS($AC$3:AC8155),$AC$3:$AC$10000,0)),"")</f>
        <v/>
      </c>
    </row>
    <row r="8156" spans="27:30">
      <c r="AA8156" s="117">
        <f>+'Ingredient List - Mother Tinctu'!D8157</f>
        <v>0</v>
      </c>
      <c r="AB8156" s="117">
        <f t="shared" si="130"/>
        <v>0</v>
      </c>
      <c r="AC8156" s="117" t="str">
        <f>IF(AB8156=1,COUNTIF($AB$3:AB8156,1),"")</f>
        <v/>
      </c>
      <c r="AD8156" s="117" t="str">
        <f>IFERROR(INDEX($AA$3:$AA$10000,MATCH(ROWS($AC$3:AC8156),$AC$3:$AC$10000,0)),"")</f>
        <v/>
      </c>
    </row>
    <row r="8157" spans="27:30">
      <c r="AA8157" s="117">
        <f>+'Ingredient List - Mother Tinctu'!D8158</f>
        <v>0</v>
      </c>
      <c r="AB8157" s="117">
        <f t="shared" si="130"/>
        <v>0</v>
      </c>
      <c r="AC8157" s="117" t="str">
        <f>IF(AB8157=1,COUNTIF($AB$3:AB8157,1),"")</f>
        <v/>
      </c>
      <c r="AD8157" s="117" t="str">
        <f>IFERROR(INDEX($AA$3:$AA$10000,MATCH(ROWS($AC$3:AC8157),$AC$3:$AC$10000,0)),"")</f>
        <v/>
      </c>
    </row>
    <row r="8158" spans="27:30">
      <c r="AA8158" s="117">
        <f>+'Ingredient List - Mother Tinctu'!D8159</f>
        <v>0</v>
      </c>
      <c r="AB8158" s="117">
        <f t="shared" si="130"/>
        <v>0</v>
      </c>
      <c r="AC8158" s="117" t="str">
        <f>IF(AB8158=1,COUNTIF($AB$3:AB8158,1),"")</f>
        <v/>
      </c>
      <c r="AD8158" s="117" t="str">
        <f>IFERROR(INDEX($AA$3:$AA$10000,MATCH(ROWS($AC$3:AC8158),$AC$3:$AC$10000,0)),"")</f>
        <v/>
      </c>
    </row>
    <row r="8159" spans="27:30">
      <c r="AA8159" s="117">
        <f>+'Ingredient List - Mother Tinctu'!D8160</f>
        <v>0</v>
      </c>
      <c r="AB8159" s="117">
        <f t="shared" si="130"/>
        <v>0</v>
      </c>
      <c r="AC8159" s="117" t="str">
        <f>IF(AB8159=1,COUNTIF($AB$3:AB8159,1),"")</f>
        <v/>
      </c>
      <c r="AD8159" s="117" t="str">
        <f>IFERROR(INDEX($AA$3:$AA$10000,MATCH(ROWS($AC$3:AC8159),$AC$3:$AC$10000,0)),"")</f>
        <v/>
      </c>
    </row>
    <row r="8160" spans="27:30">
      <c r="AA8160" s="117">
        <f>+'Ingredient List - Mother Tinctu'!D8161</f>
        <v>0</v>
      </c>
      <c r="AB8160" s="117">
        <f t="shared" si="130"/>
        <v>0</v>
      </c>
      <c r="AC8160" s="117" t="str">
        <f>IF(AB8160=1,COUNTIF($AB$3:AB8160,1),"")</f>
        <v/>
      </c>
      <c r="AD8160" s="117" t="str">
        <f>IFERROR(INDEX($AA$3:$AA$10000,MATCH(ROWS($AC$3:AC8160),$AC$3:$AC$10000,0)),"")</f>
        <v/>
      </c>
    </row>
    <row r="8161" spans="27:30">
      <c r="AA8161" s="117">
        <f>+'Ingredient List - Mother Tinctu'!D8162</f>
        <v>0</v>
      </c>
      <c r="AB8161" s="117">
        <f t="shared" si="130"/>
        <v>0</v>
      </c>
      <c r="AC8161" s="117" t="str">
        <f>IF(AB8161=1,COUNTIF($AB$3:AB8161,1),"")</f>
        <v/>
      </c>
      <c r="AD8161" s="117" t="str">
        <f>IFERROR(INDEX($AA$3:$AA$10000,MATCH(ROWS($AC$3:AC8161),$AC$3:$AC$10000,0)),"")</f>
        <v/>
      </c>
    </row>
    <row r="8162" spans="27:30">
      <c r="AA8162" s="117">
        <f>+'Ingredient List - Mother Tinctu'!D8163</f>
        <v>0</v>
      </c>
      <c r="AB8162" s="117">
        <f t="shared" si="130"/>
        <v>0</v>
      </c>
      <c r="AC8162" s="117" t="str">
        <f>IF(AB8162=1,COUNTIF($AB$3:AB8162,1),"")</f>
        <v/>
      </c>
      <c r="AD8162" s="117" t="str">
        <f>IFERROR(INDEX($AA$3:$AA$10000,MATCH(ROWS($AC$3:AC8162),$AC$3:$AC$10000,0)),"")</f>
        <v/>
      </c>
    </row>
    <row r="8163" spans="27:30">
      <c r="AA8163" s="117">
        <f>+'Ingredient List - Mother Tinctu'!D8164</f>
        <v>0</v>
      </c>
      <c r="AB8163" s="117">
        <f t="shared" si="130"/>
        <v>0</v>
      </c>
      <c r="AC8163" s="117" t="str">
        <f>IF(AB8163=1,COUNTIF($AB$3:AB8163,1),"")</f>
        <v/>
      </c>
      <c r="AD8163" s="117" t="str">
        <f>IFERROR(INDEX($AA$3:$AA$10000,MATCH(ROWS($AC$3:AC8163),$AC$3:$AC$10000,0)),"")</f>
        <v/>
      </c>
    </row>
    <row r="8164" spans="27:30">
      <c r="AA8164" s="117">
        <f>+'Ingredient List - Mother Tinctu'!D8165</f>
        <v>0</v>
      </c>
      <c r="AB8164" s="117">
        <f t="shared" si="130"/>
        <v>0</v>
      </c>
      <c r="AC8164" s="117" t="str">
        <f>IF(AB8164=1,COUNTIF($AB$3:AB8164,1),"")</f>
        <v/>
      </c>
      <c r="AD8164" s="117" t="str">
        <f>IFERROR(INDEX($AA$3:$AA$10000,MATCH(ROWS($AC$3:AC8164),$AC$3:$AC$10000,0)),"")</f>
        <v/>
      </c>
    </row>
    <row r="8165" spans="27:30">
      <c r="AA8165" s="117">
        <f>+'Ingredient List - Mother Tinctu'!D8166</f>
        <v>0</v>
      </c>
      <c r="AB8165" s="117">
        <f t="shared" si="130"/>
        <v>0</v>
      </c>
      <c r="AC8165" s="117" t="str">
        <f>IF(AB8165=1,COUNTIF($AB$3:AB8165,1),"")</f>
        <v/>
      </c>
      <c r="AD8165" s="117" t="str">
        <f>IFERROR(INDEX($AA$3:$AA$10000,MATCH(ROWS($AC$3:AC8165),$AC$3:$AC$10000,0)),"")</f>
        <v/>
      </c>
    </row>
    <row r="8166" spans="27:30">
      <c r="AA8166" s="117">
        <f>+'Ingredient List - Mother Tinctu'!D8167</f>
        <v>0</v>
      </c>
      <c r="AB8166" s="117">
        <f t="shared" si="130"/>
        <v>0</v>
      </c>
      <c r="AC8166" s="117" t="str">
        <f>IF(AB8166=1,COUNTIF($AB$3:AB8166,1),"")</f>
        <v/>
      </c>
      <c r="AD8166" s="117" t="str">
        <f>IFERROR(INDEX($AA$3:$AA$10000,MATCH(ROWS($AC$3:AC8166),$AC$3:$AC$10000,0)),"")</f>
        <v/>
      </c>
    </row>
    <row r="8167" spans="27:30">
      <c r="AA8167" s="117">
        <f>+'Ingredient List - Mother Tinctu'!D8168</f>
        <v>0</v>
      </c>
      <c r="AB8167" s="117">
        <f t="shared" si="130"/>
        <v>0</v>
      </c>
      <c r="AC8167" s="117" t="str">
        <f>IF(AB8167=1,COUNTIF($AB$3:AB8167,1),"")</f>
        <v/>
      </c>
      <c r="AD8167" s="117" t="str">
        <f>IFERROR(INDEX($AA$3:$AA$10000,MATCH(ROWS($AC$3:AC8167),$AC$3:$AC$10000,0)),"")</f>
        <v/>
      </c>
    </row>
    <row r="8168" spans="27:30">
      <c r="AA8168" s="117">
        <f>+'Ingredient List - Mother Tinctu'!D8169</f>
        <v>0</v>
      </c>
      <c r="AB8168" s="117">
        <f t="shared" si="130"/>
        <v>0</v>
      </c>
      <c r="AC8168" s="117" t="str">
        <f>IF(AB8168=1,COUNTIF($AB$3:AB8168,1),"")</f>
        <v/>
      </c>
      <c r="AD8168" s="117" t="str">
        <f>IFERROR(INDEX($AA$3:$AA$10000,MATCH(ROWS($AC$3:AC8168),$AC$3:$AC$10000,0)),"")</f>
        <v/>
      </c>
    </row>
    <row r="8169" spans="27:30">
      <c r="AA8169" s="117">
        <f>+'Ingredient List - Mother Tinctu'!D8170</f>
        <v>0</v>
      </c>
      <c r="AB8169" s="117">
        <f t="shared" si="130"/>
        <v>0</v>
      </c>
      <c r="AC8169" s="117" t="str">
        <f>IF(AB8169=1,COUNTIF($AB$3:AB8169,1),"")</f>
        <v/>
      </c>
      <c r="AD8169" s="117" t="str">
        <f>IFERROR(INDEX($AA$3:$AA$10000,MATCH(ROWS($AC$3:AC8169),$AC$3:$AC$10000,0)),"")</f>
        <v/>
      </c>
    </row>
    <row r="8170" spans="27:30">
      <c r="AA8170" s="117">
        <f>+'Ingredient List - Mother Tinctu'!D8171</f>
        <v>0</v>
      </c>
      <c r="AB8170" s="117">
        <f t="shared" si="130"/>
        <v>0</v>
      </c>
      <c r="AC8170" s="117" t="str">
        <f>IF(AB8170=1,COUNTIF($AB$3:AB8170,1),"")</f>
        <v/>
      </c>
      <c r="AD8170" s="117" t="str">
        <f>IFERROR(INDEX($AA$3:$AA$10000,MATCH(ROWS($AC$3:AC8170),$AC$3:$AC$10000,0)),"")</f>
        <v/>
      </c>
    </row>
    <row r="8171" spans="27:30">
      <c r="AA8171" s="117">
        <f>+'Ingredient List - Mother Tinctu'!D8172</f>
        <v>0</v>
      </c>
      <c r="AB8171" s="117">
        <f t="shared" si="130"/>
        <v>0</v>
      </c>
      <c r="AC8171" s="117" t="str">
        <f>IF(AB8171=1,COUNTIF($AB$3:AB8171,1),"")</f>
        <v/>
      </c>
      <c r="AD8171" s="117" t="str">
        <f>IFERROR(INDEX($AA$3:$AA$10000,MATCH(ROWS($AC$3:AC8171),$AC$3:$AC$10000,0)),"")</f>
        <v/>
      </c>
    </row>
    <row r="8172" spans="27:30">
      <c r="AA8172" s="117">
        <f>+'Ingredient List - Mother Tinctu'!D8173</f>
        <v>0</v>
      </c>
      <c r="AB8172" s="117">
        <f t="shared" si="130"/>
        <v>0</v>
      </c>
      <c r="AC8172" s="117" t="str">
        <f>IF(AB8172=1,COUNTIF($AB$3:AB8172,1),"")</f>
        <v/>
      </c>
      <c r="AD8172" s="117" t="str">
        <f>IFERROR(INDEX($AA$3:$AA$10000,MATCH(ROWS($AC$3:AC8172),$AC$3:$AC$10000,0)),"")</f>
        <v/>
      </c>
    </row>
    <row r="8173" spans="27:30">
      <c r="AA8173" s="117">
        <f>+'Ingredient List - Mother Tinctu'!D8174</f>
        <v>0</v>
      </c>
      <c r="AB8173" s="117">
        <f t="shared" si="130"/>
        <v>0</v>
      </c>
      <c r="AC8173" s="117" t="str">
        <f>IF(AB8173=1,COUNTIF($AB$3:AB8173,1),"")</f>
        <v/>
      </c>
      <c r="AD8173" s="117" t="str">
        <f>IFERROR(INDEX($AA$3:$AA$10000,MATCH(ROWS($AC$3:AC8173),$AC$3:$AC$10000,0)),"")</f>
        <v/>
      </c>
    </row>
    <row r="8174" spans="27:30">
      <c r="AA8174" s="117">
        <f>+'Ingredient List - Mother Tinctu'!D8175</f>
        <v>0</v>
      </c>
      <c r="AB8174" s="117">
        <f t="shared" si="130"/>
        <v>0</v>
      </c>
      <c r="AC8174" s="117" t="str">
        <f>IF(AB8174=1,COUNTIF($AB$3:AB8174,1),"")</f>
        <v/>
      </c>
      <c r="AD8174" s="117" t="str">
        <f>IFERROR(INDEX($AA$3:$AA$10000,MATCH(ROWS($AC$3:AC8174),$AC$3:$AC$10000,0)),"")</f>
        <v/>
      </c>
    </row>
    <row r="8175" spans="27:30">
      <c r="AA8175" s="117">
        <f>+'Ingredient List - Mother Tinctu'!D8176</f>
        <v>0</v>
      </c>
      <c r="AB8175" s="117">
        <f t="shared" si="130"/>
        <v>0</v>
      </c>
      <c r="AC8175" s="117" t="str">
        <f>IF(AB8175=1,COUNTIF($AB$3:AB8175,1),"")</f>
        <v/>
      </c>
      <c r="AD8175" s="117" t="str">
        <f>IFERROR(INDEX($AA$3:$AA$10000,MATCH(ROWS($AC$3:AC8175),$AC$3:$AC$10000,0)),"")</f>
        <v/>
      </c>
    </row>
    <row r="8176" spans="27:30">
      <c r="AA8176" s="117">
        <f>+'Ingredient List - Mother Tinctu'!D8177</f>
        <v>0</v>
      </c>
      <c r="AB8176" s="117">
        <f t="shared" si="130"/>
        <v>0</v>
      </c>
      <c r="AC8176" s="117" t="str">
        <f>IF(AB8176=1,COUNTIF($AB$3:AB8176,1),"")</f>
        <v/>
      </c>
      <c r="AD8176" s="117" t="str">
        <f>IFERROR(INDEX($AA$3:$AA$10000,MATCH(ROWS($AC$3:AC8176),$AC$3:$AC$10000,0)),"")</f>
        <v/>
      </c>
    </row>
    <row r="8177" spans="27:30">
      <c r="AA8177" s="117">
        <f>+'Ingredient List - Mother Tinctu'!D8178</f>
        <v>0</v>
      </c>
      <c r="AB8177" s="117">
        <f t="shared" si="130"/>
        <v>0</v>
      </c>
      <c r="AC8177" s="117" t="str">
        <f>IF(AB8177=1,COUNTIF($AB$3:AB8177,1),"")</f>
        <v/>
      </c>
      <c r="AD8177" s="117" t="str">
        <f>IFERROR(INDEX($AA$3:$AA$10000,MATCH(ROWS($AC$3:AC8177),$AC$3:$AC$10000,0)),"")</f>
        <v/>
      </c>
    </row>
    <row r="8178" spans="27:30">
      <c r="AA8178" s="117">
        <f>+'Ingredient List - Mother Tinctu'!D8179</f>
        <v>0</v>
      </c>
      <c r="AB8178" s="117">
        <f t="shared" si="130"/>
        <v>0</v>
      </c>
      <c r="AC8178" s="117" t="str">
        <f>IF(AB8178=1,COUNTIF($AB$3:AB8178,1),"")</f>
        <v/>
      </c>
      <c r="AD8178" s="117" t="str">
        <f>IFERROR(INDEX($AA$3:$AA$10000,MATCH(ROWS($AC$3:AC8178),$AC$3:$AC$10000,0)),"")</f>
        <v/>
      </c>
    </row>
    <row r="8179" spans="27:30">
      <c r="AA8179" s="117">
        <f>+'Ingredient List - Mother Tinctu'!D8180</f>
        <v>0</v>
      </c>
      <c r="AB8179" s="117">
        <f t="shared" si="130"/>
        <v>0</v>
      </c>
      <c r="AC8179" s="117" t="str">
        <f>IF(AB8179=1,COUNTIF($AB$3:AB8179,1),"")</f>
        <v/>
      </c>
      <c r="AD8179" s="117" t="str">
        <f>IFERROR(INDEX($AA$3:$AA$10000,MATCH(ROWS($AC$3:AC8179),$AC$3:$AC$10000,0)),"")</f>
        <v/>
      </c>
    </row>
    <row r="8180" spans="27:30">
      <c r="AA8180" s="117">
        <f>+'Ingredient List - Mother Tinctu'!D8181</f>
        <v>0</v>
      </c>
      <c r="AB8180" s="117">
        <f t="shared" si="130"/>
        <v>0</v>
      </c>
      <c r="AC8180" s="117" t="str">
        <f>IF(AB8180=1,COUNTIF($AB$3:AB8180,1),"")</f>
        <v/>
      </c>
      <c r="AD8180" s="117" t="str">
        <f>IFERROR(INDEX($AA$3:$AA$10000,MATCH(ROWS($AC$3:AC8180),$AC$3:$AC$10000,0)),"")</f>
        <v/>
      </c>
    </row>
    <row r="8181" spans="27:30">
      <c r="AA8181" s="117">
        <f>+'Ingredient List - Mother Tinctu'!D8182</f>
        <v>0</v>
      </c>
      <c r="AB8181" s="117">
        <f t="shared" si="130"/>
        <v>0</v>
      </c>
      <c r="AC8181" s="117" t="str">
        <f>IF(AB8181=1,COUNTIF($AB$3:AB8181,1),"")</f>
        <v/>
      </c>
      <c r="AD8181" s="117" t="str">
        <f>IFERROR(INDEX($AA$3:$AA$10000,MATCH(ROWS($AC$3:AC8181),$AC$3:$AC$10000,0)),"")</f>
        <v/>
      </c>
    </row>
    <row r="8182" spans="27:30">
      <c r="AA8182" s="117">
        <f>+'Ingredient List - Mother Tinctu'!D8183</f>
        <v>0</v>
      </c>
      <c r="AB8182" s="117">
        <f t="shared" si="130"/>
        <v>0</v>
      </c>
      <c r="AC8182" s="117" t="str">
        <f>IF(AB8182=1,COUNTIF($AB$3:AB8182,1),"")</f>
        <v/>
      </c>
      <c r="AD8182" s="117" t="str">
        <f>IFERROR(INDEX($AA$3:$AA$10000,MATCH(ROWS($AC$3:AC8182),$AC$3:$AC$10000,0)),"")</f>
        <v/>
      </c>
    </row>
    <row r="8183" spans="27:30">
      <c r="AA8183" s="117">
        <f>+'Ingredient List - Mother Tinctu'!D8184</f>
        <v>0</v>
      </c>
      <c r="AB8183" s="117">
        <f t="shared" si="130"/>
        <v>0</v>
      </c>
      <c r="AC8183" s="117" t="str">
        <f>IF(AB8183=1,COUNTIF($AB$3:AB8183,1),"")</f>
        <v/>
      </c>
      <c r="AD8183" s="117" t="str">
        <f>IFERROR(INDEX($AA$3:$AA$10000,MATCH(ROWS($AC$3:AC8183),$AC$3:$AC$10000,0)),"")</f>
        <v/>
      </c>
    </row>
    <row r="8184" spans="27:30">
      <c r="AA8184" s="117">
        <f>+'Ingredient List - Mother Tinctu'!D8185</f>
        <v>0</v>
      </c>
      <c r="AB8184" s="117">
        <f t="shared" si="130"/>
        <v>0</v>
      </c>
      <c r="AC8184" s="117" t="str">
        <f>IF(AB8184=1,COUNTIF($AB$3:AB8184,1),"")</f>
        <v/>
      </c>
      <c r="AD8184" s="117" t="str">
        <f>IFERROR(INDEX($AA$3:$AA$10000,MATCH(ROWS($AC$3:AC8184),$AC$3:$AC$10000,0)),"")</f>
        <v/>
      </c>
    </row>
    <row r="8185" spans="27:30">
      <c r="AA8185" s="117">
        <f>+'Ingredient List - Mother Tinctu'!D8186</f>
        <v>0</v>
      </c>
      <c r="AB8185" s="117">
        <f t="shared" si="130"/>
        <v>0</v>
      </c>
      <c r="AC8185" s="117" t="str">
        <f>IF(AB8185=1,COUNTIF($AB$3:AB8185,1),"")</f>
        <v/>
      </c>
      <c r="AD8185" s="117" t="str">
        <f>IFERROR(INDEX($AA$3:$AA$10000,MATCH(ROWS($AC$3:AC8185),$AC$3:$AC$10000,0)),"")</f>
        <v/>
      </c>
    </row>
    <row r="8186" spans="27:30">
      <c r="AA8186" s="117">
        <f>+'Ingredient List - Mother Tinctu'!D8187</f>
        <v>0</v>
      </c>
      <c r="AB8186" s="117">
        <f t="shared" si="130"/>
        <v>0</v>
      </c>
      <c r="AC8186" s="117" t="str">
        <f>IF(AB8186=1,COUNTIF($AB$3:AB8186,1),"")</f>
        <v/>
      </c>
      <c r="AD8186" s="117" t="str">
        <f>IFERROR(INDEX($AA$3:$AA$10000,MATCH(ROWS($AC$3:AC8186),$AC$3:$AC$10000,0)),"")</f>
        <v/>
      </c>
    </row>
    <row r="8187" spans="27:30">
      <c r="AA8187" s="117">
        <f>+'Ingredient List - Mother Tinctu'!D8188</f>
        <v>0</v>
      </c>
      <c r="AB8187" s="117">
        <f t="shared" si="130"/>
        <v>0</v>
      </c>
      <c r="AC8187" s="117" t="str">
        <f>IF(AB8187=1,COUNTIF($AB$3:AB8187,1),"")</f>
        <v/>
      </c>
      <c r="AD8187" s="117" t="str">
        <f>IFERROR(INDEX($AA$3:$AA$10000,MATCH(ROWS($AC$3:AC8187),$AC$3:$AC$10000,0)),"")</f>
        <v/>
      </c>
    </row>
    <row r="8188" spans="27:30">
      <c r="AA8188" s="117">
        <f>+'Ingredient List - Mother Tinctu'!D8189</f>
        <v>0</v>
      </c>
      <c r="AB8188" s="117">
        <f t="shared" si="130"/>
        <v>0</v>
      </c>
      <c r="AC8188" s="117" t="str">
        <f>IF(AB8188=1,COUNTIF($AB$3:AB8188,1),"")</f>
        <v/>
      </c>
      <c r="AD8188" s="117" t="str">
        <f>IFERROR(INDEX($AA$3:$AA$10000,MATCH(ROWS($AC$3:AC8188),$AC$3:$AC$10000,0)),"")</f>
        <v/>
      </c>
    </row>
    <row r="8189" spans="27:30">
      <c r="AA8189" s="117">
        <f>+'Ingredient List - Mother Tinctu'!D8190</f>
        <v>0</v>
      </c>
      <c r="AB8189" s="117">
        <f t="shared" si="130"/>
        <v>0</v>
      </c>
      <c r="AC8189" s="117" t="str">
        <f>IF(AB8189=1,COUNTIF($AB$3:AB8189,1),"")</f>
        <v/>
      </c>
      <c r="AD8189" s="117" t="str">
        <f>IFERROR(INDEX($AA$3:$AA$10000,MATCH(ROWS($AC$3:AC8189),$AC$3:$AC$10000,0)),"")</f>
        <v/>
      </c>
    </row>
    <row r="8190" spans="27:30">
      <c r="AA8190" s="117">
        <f>+'Ingredient List - Mother Tinctu'!D8191</f>
        <v>0</v>
      </c>
      <c r="AB8190" s="117">
        <f t="shared" si="130"/>
        <v>0</v>
      </c>
      <c r="AC8190" s="117" t="str">
        <f>IF(AB8190=1,COUNTIF($AB$3:AB8190,1),"")</f>
        <v/>
      </c>
      <c r="AD8190" s="117" t="str">
        <f>IFERROR(INDEX($AA$3:$AA$10000,MATCH(ROWS($AC$3:AC8190),$AC$3:$AC$10000,0)),"")</f>
        <v/>
      </c>
    </row>
    <row r="8191" spans="27:30">
      <c r="AA8191" s="117">
        <f>+'Ingredient List - Mother Tinctu'!D8192</f>
        <v>0</v>
      </c>
      <c r="AB8191" s="117">
        <f t="shared" si="130"/>
        <v>0</v>
      </c>
      <c r="AC8191" s="117" t="str">
        <f>IF(AB8191=1,COUNTIF($AB$3:AB8191,1),"")</f>
        <v/>
      </c>
      <c r="AD8191" s="117" t="str">
        <f>IFERROR(INDEX($AA$3:$AA$10000,MATCH(ROWS($AC$3:AC8191),$AC$3:$AC$10000,0)),"")</f>
        <v/>
      </c>
    </row>
    <row r="8192" spans="27:30">
      <c r="AA8192" s="117">
        <f>+'Ingredient List - Mother Tinctu'!D8193</f>
        <v>0</v>
      </c>
      <c r="AB8192" s="117">
        <f t="shared" si="130"/>
        <v>0</v>
      </c>
      <c r="AC8192" s="117" t="str">
        <f>IF(AB8192=1,COUNTIF($AB$3:AB8192,1),"")</f>
        <v/>
      </c>
      <c r="AD8192" s="117" t="str">
        <f>IFERROR(INDEX($AA$3:$AA$10000,MATCH(ROWS($AC$3:AC8192),$AC$3:$AC$10000,0)),"")</f>
        <v/>
      </c>
    </row>
    <row r="8193" spans="27:30">
      <c r="AA8193" s="117">
        <f>+'Ingredient List - Mother Tinctu'!D8194</f>
        <v>0</v>
      </c>
      <c r="AB8193" s="117">
        <f t="shared" si="130"/>
        <v>0</v>
      </c>
      <c r="AC8193" s="117" t="str">
        <f>IF(AB8193=1,COUNTIF($AB$3:AB8193,1),"")</f>
        <v/>
      </c>
      <c r="AD8193" s="117" t="str">
        <f>IFERROR(INDEX($AA$3:$AA$10000,MATCH(ROWS($AC$3:AC8193),$AC$3:$AC$10000,0)),"")</f>
        <v/>
      </c>
    </row>
    <row r="8194" spans="27:30">
      <c r="AA8194" s="117">
        <f>+'Ingredient List - Mother Tinctu'!D8195</f>
        <v>0</v>
      </c>
      <c r="AB8194" s="117">
        <f t="shared" si="130"/>
        <v>0</v>
      </c>
      <c r="AC8194" s="117" t="str">
        <f>IF(AB8194=1,COUNTIF($AB$3:AB8194,1),"")</f>
        <v/>
      </c>
      <c r="AD8194" s="117" t="str">
        <f>IFERROR(INDEX($AA$3:$AA$10000,MATCH(ROWS($AC$3:AC8194),$AC$3:$AC$10000,0)),"")</f>
        <v/>
      </c>
    </row>
    <row r="8195" spans="27:30">
      <c r="AA8195" s="117">
        <f>+'Ingredient List - Mother Tinctu'!D8196</f>
        <v>0</v>
      </c>
      <c r="AB8195" s="117">
        <f t="shared" si="130"/>
        <v>0</v>
      </c>
      <c r="AC8195" s="117" t="str">
        <f>IF(AB8195=1,COUNTIF($AB$3:AB8195,1),"")</f>
        <v/>
      </c>
      <c r="AD8195" s="117" t="str">
        <f>IFERROR(INDEX($AA$3:$AA$10000,MATCH(ROWS($AC$3:AC8195),$AC$3:$AC$10000,0)),"")</f>
        <v/>
      </c>
    </row>
    <row r="8196" spans="27:30">
      <c r="AA8196" s="117">
        <f>+'Ingredient List - Mother Tinctu'!D8197</f>
        <v>0</v>
      </c>
      <c r="AB8196" s="117">
        <f t="shared" ref="AB8196:AB8259" si="131">--ISNUMBER(IFERROR(SEARCH($D$3,AA8196,1),""))</f>
        <v>0</v>
      </c>
      <c r="AC8196" s="117" t="str">
        <f>IF(AB8196=1,COUNTIF($AB$3:AB8196,1),"")</f>
        <v/>
      </c>
      <c r="AD8196" s="117" t="str">
        <f>IFERROR(INDEX($AA$3:$AA$10000,MATCH(ROWS($AC$3:AC8196),$AC$3:$AC$10000,0)),"")</f>
        <v/>
      </c>
    </row>
    <row r="8197" spans="27:30">
      <c r="AA8197" s="117">
        <f>+'Ingredient List - Mother Tinctu'!D8198</f>
        <v>0</v>
      </c>
      <c r="AB8197" s="117">
        <f t="shared" si="131"/>
        <v>0</v>
      </c>
      <c r="AC8197" s="117" t="str">
        <f>IF(AB8197=1,COUNTIF($AB$3:AB8197,1),"")</f>
        <v/>
      </c>
      <c r="AD8197" s="117" t="str">
        <f>IFERROR(INDEX($AA$3:$AA$10000,MATCH(ROWS($AC$3:AC8197),$AC$3:$AC$10000,0)),"")</f>
        <v/>
      </c>
    </row>
    <row r="8198" spans="27:30">
      <c r="AA8198" s="117">
        <f>+'Ingredient List - Mother Tinctu'!D8199</f>
        <v>0</v>
      </c>
      <c r="AB8198" s="117">
        <f t="shared" si="131"/>
        <v>0</v>
      </c>
      <c r="AC8198" s="117" t="str">
        <f>IF(AB8198=1,COUNTIF($AB$3:AB8198,1),"")</f>
        <v/>
      </c>
      <c r="AD8198" s="117" t="str">
        <f>IFERROR(INDEX($AA$3:$AA$10000,MATCH(ROWS($AC$3:AC8198),$AC$3:$AC$10000,0)),"")</f>
        <v/>
      </c>
    </row>
    <row r="8199" spans="27:30">
      <c r="AA8199" s="117">
        <f>+'Ingredient List - Mother Tinctu'!D8200</f>
        <v>0</v>
      </c>
      <c r="AB8199" s="117">
        <f t="shared" si="131"/>
        <v>0</v>
      </c>
      <c r="AC8199" s="117" t="str">
        <f>IF(AB8199=1,COUNTIF($AB$3:AB8199,1),"")</f>
        <v/>
      </c>
      <c r="AD8199" s="117" t="str">
        <f>IFERROR(INDEX($AA$3:$AA$10000,MATCH(ROWS($AC$3:AC8199),$AC$3:$AC$10000,0)),"")</f>
        <v/>
      </c>
    </row>
    <row r="8200" spans="27:30">
      <c r="AA8200" s="117">
        <f>+'Ingredient List - Mother Tinctu'!D8201</f>
        <v>0</v>
      </c>
      <c r="AB8200" s="117">
        <f t="shared" si="131"/>
        <v>0</v>
      </c>
      <c r="AC8200" s="117" t="str">
        <f>IF(AB8200=1,COUNTIF($AB$3:AB8200,1),"")</f>
        <v/>
      </c>
      <c r="AD8200" s="117" t="str">
        <f>IFERROR(INDEX($AA$3:$AA$10000,MATCH(ROWS($AC$3:AC8200),$AC$3:$AC$10000,0)),"")</f>
        <v/>
      </c>
    </row>
    <row r="8201" spans="27:30">
      <c r="AA8201" s="117">
        <f>+'Ingredient List - Mother Tinctu'!D8202</f>
        <v>0</v>
      </c>
      <c r="AB8201" s="117">
        <f t="shared" si="131"/>
        <v>0</v>
      </c>
      <c r="AC8201" s="117" t="str">
        <f>IF(AB8201=1,COUNTIF($AB$3:AB8201,1),"")</f>
        <v/>
      </c>
      <c r="AD8201" s="117" t="str">
        <f>IFERROR(INDEX($AA$3:$AA$10000,MATCH(ROWS($AC$3:AC8201),$AC$3:$AC$10000,0)),"")</f>
        <v/>
      </c>
    </row>
    <row r="8202" spans="27:30">
      <c r="AA8202" s="117">
        <f>+'Ingredient List - Mother Tinctu'!D8203</f>
        <v>0</v>
      </c>
      <c r="AB8202" s="117">
        <f t="shared" si="131"/>
        <v>0</v>
      </c>
      <c r="AC8202" s="117" t="str">
        <f>IF(AB8202=1,COUNTIF($AB$3:AB8202,1),"")</f>
        <v/>
      </c>
      <c r="AD8202" s="117" t="str">
        <f>IFERROR(INDEX($AA$3:$AA$10000,MATCH(ROWS($AC$3:AC8202),$AC$3:$AC$10000,0)),"")</f>
        <v/>
      </c>
    </row>
    <row r="8203" spans="27:30">
      <c r="AA8203" s="117">
        <f>+'Ingredient List - Mother Tinctu'!D8204</f>
        <v>0</v>
      </c>
      <c r="AB8203" s="117">
        <f t="shared" si="131"/>
        <v>0</v>
      </c>
      <c r="AC8203" s="117" t="str">
        <f>IF(AB8203=1,COUNTIF($AB$3:AB8203,1),"")</f>
        <v/>
      </c>
      <c r="AD8203" s="117" t="str">
        <f>IFERROR(INDEX($AA$3:$AA$10000,MATCH(ROWS($AC$3:AC8203),$AC$3:$AC$10000,0)),"")</f>
        <v/>
      </c>
    </row>
    <row r="8204" spans="27:30">
      <c r="AA8204" s="117">
        <f>+'Ingredient List - Mother Tinctu'!D8205</f>
        <v>0</v>
      </c>
      <c r="AB8204" s="117">
        <f t="shared" si="131"/>
        <v>0</v>
      </c>
      <c r="AC8204" s="117" t="str">
        <f>IF(AB8204=1,COUNTIF($AB$3:AB8204,1),"")</f>
        <v/>
      </c>
      <c r="AD8204" s="117" t="str">
        <f>IFERROR(INDEX($AA$3:$AA$10000,MATCH(ROWS($AC$3:AC8204),$AC$3:$AC$10000,0)),"")</f>
        <v/>
      </c>
    </row>
    <row r="8205" spans="27:30">
      <c r="AA8205" s="117">
        <f>+'Ingredient List - Mother Tinctu'!D8206</f>
        <v>0</v>
      </c>
      <c r="AB8205" s="117">
        <f t="shared" si="131"/>
        <v>0</v>
      </c>
      <c r="AC8205" s="117" t="str">
        <f>IF(AB8205=1,COUNTIF($AB$3:AB8205,1),"")</f>
        <v/>
      </c>
      <c r="AD8205" s="117" t="str">
        <f>IFERROR(INDEX($AA$3:$AA$10000,MATCH(ROWS($AC$3:AC8205),$AC$3:$AC$10000,0)),"")</f>
        <v/>
      </c>
    </row>
    <row r="8206" spans="27:30">
      <c r="AA8206" s="117">
        <f>+'Ingredient List - Mother Tinctu'!D8207</f>
        <v>0</v>
      </c>
      <c r="AB8206" s="117">
        <f t="shared" si="131"/>
        <v>0</v>
      </c>
      <c r="AC8206" s="117" t="str">
        <f>IF(AB8206=1,COUNTIF($AB$3:AB8206,1),"")</f>
        <v/>
      </c>
      <c r="AD8206" s="117" t="str">
        <f>IFERROR(INDEX($AA$3:$AA$10000,MATCH(ROWS($AC$3:AC8206),$AC$3:$AC$10000,0)),"")</f>
        <v/>
      </c>
    </row>
    <row r="8207" spans="27:30">
      <c r="AA8207" s="117">
        <f>+'Ingredient List - Mother Tinctu'!D8208</f>
        <v>0</v>
      </c>
      <c r="AB8207" s="117">
        <f t="shared" si="131"/>
        <v>0</v>
      </c>
      <c r="AC8207" s="117" t="str">
        <f>IF(AB8207=1,COUNTIF($AB$3:AB8207,1),"")</f>
        <v/>
      </c>
      <c r="AD8207" s="117" t="str">
        <f>IFERROR(INDEX($AA$3:$AA$10000,MATCH(ROWS($AC$3:AC8207),$AC$3:$AC$10000,0)),"")</f>
        <v/>
      </c>
    </row>
    <row r="8208" spans="27:30">
      <c r="AA8208" s="117">
        <f>+'Ingredient List - Mother Tinctu'!D8209</f>
        <v>0</v>
      </c>
      <c r="AB8208" s="117">
        <f t="shared" si="131"/>
        <v>0</v>
      </c>
      <c r="AC8208" s="117" t="str">
        <f>IF(AB8208=1,COUNTIF($AB$3:AB8208,1),"")</f>
        <v/>
      </c>
      <c r="AD8208" s="117" t="str">
        <f>IFERROR(INDEX($AA$3:$AA$10000,MATCH(ROWS($AC$3:AC8208),$AC$3:$AC$10000,0)),"")</f>
        <v/>
      </c>
    </row>
    <row r="8209" spans="27:30">
      <c r="AA8209" s="117">
        <f>+'Ingredient List - Mother Tinctu'!D8210</f>
        <v>0</v>
      </c>
      <c r="AB8209" s="117">
        <f t="shared" si="131"/>
        <v>0</v>
      </c>
      <c r="AC8209" s="117" t="str">
        <f>IF(AB8209=1,COUNTIF($AB$3:AB8209,1),"")</f>
        <v/>
      </c>
      <c r="AD8209" s="117" t="str">
        <f>IFERROR(INDEX($AA$3:$AA$10000,MATCH(ROWS($AC$3:AC8209),$AC$3:$AC$10000,0)),"")</f>
        <v/>
      </c>
    </row>
    <row r="8210" spans="27:30">
      <c r="AA8210" s="117">
        <f>+'Ingredient List - Mother Tinctu'!D8211</f>
        <v>0</v>
      </c>
      <c r="AB8210" s="117">
        <f t="shared" si="131"/>
        <v>0</v>
      </c>
      <c r="AC8210" s="117" t="str">
        <f>IF(AB8210=1,COUNTIF($AB$3:AB8210,1),"")</f>
        <v/>
      </c>
      <c r="AD8210" s="117" t="str">
        <f>IFERROR(INDEX($AA$3:$AA$10000,MATCH(ROWS($AC$3:AC8210),$AC$3:$AC$10000,0)),"")</f>
        <v/>
      </c>
    </row>
    <row r="8211" spans="27:30">
      <c r="AA8211" s="117">
        <f>+'Ingredient List - Mother Tinctu'!D8212</f>
        <v>0</v>
      </c>
      <c r="AB8211" s="117">
        <f t="shared" si="131"/>
        <v>0</v>
      </c>
      <c r="AC8211" s="117" t="str">
        <f>IF(AB8211=1,COUNTIF($AB$3:AB8211,1),"")</f>
        <v/>
      </c>
      <c r="AD8211" s="117" t="str">
        <f>IFERROR(INDEX($AA$3:$AA$10000,MATCH(ROWS($AC$3:AC8211),$AC$3:$AC$10000,0)),"")</f>
        <v/>
      </c>
    </row>
    <row r="8212" spans="27:30">
      <c r="AA8212" s="117">
        <f>+'Ingredient List - Mother Tinctu'!D8213</f>
        <v>0</v>
      </c>
      <c r="AB8212" s="117">
        <f t="shared" si="131"/>
        <v>0</v>
      </c>
      <c r="AC8212" s="117" t="str">
        <f>IF(AB8212=1,COUNTIF($AB$3:AB8212,1),"")</f>
        <v/>
      </c>
      <c r="AD8212" s="117" t="str">
        <f>IFERROR(INDEX($AA$3:$AA$10000,MATCH(ROWS($AC$3:AC8212),$AC$3:$AC$10000,0)),"")</f>
        <v/>
      </c>
    </row>
    <row r="8213" spans="27:30">
      <c r="AA8213" s="117">
        <f>+'Ingredient List - Mother Tinctu'!D8214</f>
        <v>0</v>
      </c>
      <c r="AB8213" s="117">
        <f t="shared" si="131"/>
        <v>0</v>
      </c>
      <c r="AC8213" s="117" t="str">
        <f>IF(AB8213=1,COUNTIF($AB$3:AB8213,1),"")</f>
        <v/>
      </c>
      <c r="AD8213" s="117" t="str">
        <f>IFERROR(INDEX($AA$3:$AA$10000,MATCH(ROWS($AC$3:AC8213),$AC$3:$AC$10000,0)),"")</f>
        <v/>
      </c>
    </row>
    <row r="8214" spans="27:30">
      <c r="AA8214" s="117">
        <f>+'Ingredient List - Mother Tinctu'!D8215</f>
        <v>0</v>
      </c>
      <c r="AB8214" s="117">
        <f t="shared" si="131"/>
        <v>0</v>
      </c>
      <c r="AC8214" s="117" t="str">
        <f>IF(AB8214=1,COUNTIF($AB$3:AB8214,1),"")</f>
        <v/>
      </c>
      <c r="AD8214" s="117" t="str">
        <f>IFERROR(INDEX($AA$3:$AA$10000,MATCH(ROWS($AC$3:AC8214),$AC$3:$AC$10000,0)),"")</f>
        <v/>
      </c>
    </row>
    <row r="8215" spans="27:30">
      <c r="AA8215" s="117">
        <f>+'Ingredient List - Mother Tinctu'!D8216</f>
        <v>0</v>
      </c>
      <c r="AB8215" s="117">
        <f t="shared" si="131"/>
        <v>0</v>
      </c>
      <c r="AC8215" s="117" t="str">
        <f>IF(AB8215=1,COUNTIF($AB$3:AB8215,1),"")</f>
        <v/>
      </c>
      <c r="AD8215" s="117" t="str">
        <f>IFERROR(INDEX($AA$3:$AA$10000,MATCH(ROWS($AC$3:AC8215),$AC$3:$AC$10000,0)),"")</f>
        <v/>
      </c>
    </row>
    <row r="8216" spans="27:30">
      <c r="AA8216" s="117">
        <f>+'Ingredient List - Mother Tinctu'!D8217</f>
        <v>0</v>
      </c>
      <c r="AB8216" s="117">
        <f t="shared" si="131"/>
        <v>0</v>
      </c>
      <c r="AC8216" s="117" t="str">
        <f>IF(AB8216=1,COUNTIF($AB$3:AB8216,1),"")</f>
        <v/>
      </c>
      <c r="AD8216" s="117" t="str">
        <f>IFERROR(INDEX($AA$3:$AA$10000,MATCH(ROWS($AC$3:AC8216),$AC$3:$AC$10000,0)),"")</f>
        <v/>
      </c>
    </row>
    <row r="8217" spans="27:30">
      <c r="AA8217" s="117">
        <f>+'Ingredient List - Mother Tinctu'!D8218</f>
        <v>0</v>
      </c>
      <c r="AB8217" s="117">
        <f t="shared" si="131"/>
        <v>0</v>
      </c>
      <c r="AC8217" s="117" t="str">
        <f>IF(AB8217=1,COUNTIF($AB$3:AB8217,1),"")</f>
        <v/>
      </c>
      <c r="AD8217" s="117" t="str">
        <f>IFERROR(INDEX($AA$3:$AA$10000,MATCH(ROWS($AC$3:AC8217),$AC$3:$AC$10000,0)),"")</f>
        <v/>
      </c>
    </row>
    <row r="8218" spans="27:30">
      <c r="AA8218" s="117">
        <f>+'Ingredient List - Mother Tinctu'!D8219</f>
        <v>0</v>
      </c>
      <c r="AB8218" s="117">
        <f t="shared" si="131"/>
        <v>0</v>
      </c>
      <c r="AC8218" s="117" t="str">
        <f>IF(AB8218=1,COUNTIF($AB$3:AB8218,1),"")</f>
        <v/>
      </c>
      <c r="AD8218" s="117" t="str">
        <f>IFERROR(INDEX($AA$3:$AA$10000,MATCH(ROWS($AC$3:AC8218),$AC$3:$AC$10000,0)),"")</f>
        <v/>
      </c>
    </row>
    <row r="8219" spans="27:30">
      <c r="AA8219" s="117">
        <f>+'Ingredient List - Mother Tinctu'!D8220</f>
        <v>0</v>
      </c>
      <c r="AB8219" s="117">
        <f t="shared" si="131"/>
        <v>0</v>
      </c>
      <c r="AC8219" s="117" t="str">
        <f>IF(AB8219=1,COUNTIF($AB$3:AB8219,1),"")</f>
        <v/>
      </c>
      <c r="AD8219" s="117" t="str">
        <f>IFERROR(INDEX($AA$3:$AA$10000,MATCH(ROWS($AC$3:AC8219),$AC$3:$AC$10000,0)),"")</f>
        <v/>
      </c>
    </row>
    <row r="8220" spans="27:30">
      <c r="AA8220" s="117">
        <f>+'Ingredient List - Mother Tinctu'!D8221</f>
        <v>0</v>
      </c>
      <c r="AB8220" s="117">
        <f t="shared" si="131"/>
        <v>0</v>
      </c>
      <c r="AC8220" s="117" t="str">
        <f>IF(AB8220=1,COUNTIF($AB$3:AB8220,1),"")</f>
        <v/>
      </c>
      <c r="AD8220" s="117" t="str">
        <f>IFERROR(INDEX($AA$3:$AA$10000,MATCH(ROWS($AC$3:AC8220),$AC$3:$AC$10000,0)),"")</f>
        <v/>
      </c>
    </row>
    <row r="8221" spans="27:30">
      <c r="AA8221" s="117">
        <f>+'Ingredient List - Mother Tinctu'!D8222</f>
        <v>0</v>
      </c>
      <c r="AB8221" s="117">
        <f t="shared" si="131"/>
        <v>0</v>
      </c>
      <c r="AC8221" s="117" t="str">
        <f>IF(AB8221=1,COUNTIF($AB$3:AB8221,1),"")</f>
        <v/>
      </c>
      <c r="AD8221" s="117" t="str">
        <f>IFERROR(INDEX($AA$3:$AA$10000,MATCH(ROWS($AC$3:AC8221),$AC$3:$AC$10000,0)),"")</f>
        <v/>
      </c>
    </row>
    <row r="8222" spans="27:30">
      <c r="AA8222" s="117">
        <f>+'Ingredient List - Mother Tinctu'!D8223</f>
        <v>0</v>
      </c>
      <c r="AB8222" s="117">
        <f t="shared" si="131"/>
        <v>0</v>
      </c>
      <c r="AC8222" s="117" t="str">
        <f>IF(AB8222=1,COUNTIF($AB$3:AB8222,1),"")</f>
        <v/>
      </c>
      <c r="AD8222" s="117" t="str">
        <f>IFERROR(INDEX($AA$3:$AA$10000,MATCH(ROWS($AC$3:AC8222),$AC$3:$AC$10000,0)),"")</f>
        <v/>
      </c>
    </row>
    <row r="8223" spans="27:30">
      <c r="AA8223" s="117">
        <f>+'Ingredient List - Mother Tinctu'!D8224</f>
        <v>0</v>
      </c>
      <c r="AB8223" s="117">
        <f t="shared" si="131"/>
        <v>0</v>
      </c>
      <c r="AC8223" s="117" t="str">
        <f>IF(AB8223=1,COUNTIF($AB$3:AB8223,1),"")</f>
        <v/>
      </c>
      <c r="AD8223" s="117" t="str">
        <f>IFERROR(INDEX($AA$3:$AA$10000,MATCH(ROWS($AC$3:AC8223),$AC$3:$AC$10000,0)),"")</f>
        <v/>
      </c>
    </row>
    <row r="8224" spans="27:30">
      <c r="AA8224" s="117">
        <f>+'Ingredient List - Mother Tinctu'!D8225</f>
        <v>0</v>
      </c>
      <c r="AB8224" s="117">
        <f t="shared" si="131"/>
        <v>0</v>
      </c>
      <c r="AC8224" s="117" t="str">
        <f>IF(AB8224=1,COUNTIF($AB$3:AB8224,1),"")</f>
        <v/>
      </c>
      <c r="AD8224" s="117" t="str">
        <f>IFERROR(INDEX($AA$3:$AA$10000,MATCH(ROWS($AC$3:AC8224),$AC$3:$AC$10000,0)),"")</f>
        <v/>
      </c>
    </row>
    <row r="8225" spans="27:30">
      <c r="AA8225" s="117">
        <f>+'Ingredient List - Mother Tinctu'!D8226</f>
        <v>0</v>
      </c>
      <c r="AB8225" s="117">
        <f t="shared" si="131"/>
        <v>0</v>
      </c>
      <c r="AC8225" s="117" t="str">
        <f>IF(AB8225=1,COUNTIF($AB$3:AB8225,1),"")</f>
        <v/>
      </c>
      <c r="AD8225" s="117" t="str">
        <f>IFERROR(INDEX($AA$3:$AA$10000,MATCH(ROWS($AC$3:AC8225),$AC$3:$AC$10000,0)),"")</f>
        <v/>
      </c>
    </row>
    <row r="8226" spans="27:30">
      <c r="AA8226" s="117">
        <f>+'Ingredient List - Mother Tinctu'!D8227</f>
        <v>0</v>
      </c>
      <c r="AB8226" s="117">
        <f t="shared" si="131"/>
        <v>0</v>
      </c>
      <c r="AC8226" s="117" t="str">
        <f>IF(AB8226=1,COUNTIF($AB$3:AB8226,1),"")</f>
        <v/>
      </c>
      <c r="AD8226" s="117" t="str">
        <f>IFERROR(INDEX($AA$3:$AA$10000,MATCH(ROWS($AC$3:AC8226),$AC$3:$AC$10000,0)),"")</f>
        <v/>
      </c>
    </row>
    <row r="8227" spans="27:30">
      <c r="AA8227" s="117">
        <f>+'Ingredient List - Mother Tinctu'!D8228</f>
        <v>0</v>
      </c>
      <c r="AB8227" s="117">
        <f t="shared" si="131"/>
        <v>0</v>
      </c>
      <c r="AC8227" s="117" t="str">
        <f>IF(AB8227=1,COUNTIF($AB$3:AB8227,1),"")</f>
        <v/>
      </c>
      <c r="AD8227" s="117" t="str">
        <f>IFERROR(INDEX($AA$3:$AA$10000,MATCH(ROWS($AC$3:AC8227),$AC$3:$AC$10000,0)),"")</f>
        <v/>
      </c>
    </row>
    <row r="8228" spans="27:30">
      <c r="AA8228" s="117">
        <f>+'Ingredient List - Mother Tinctu'!D8229</f>
        <v>0</v>
      </c>
      <c r="AB8228" s="117">
        <f t="shared" si="131"/>
        <v>0</v>
      </c>
      <c r="AC8228" s="117" t="str">
        <f>IF(AB8228=1,COUNTIF($AB$3:AB8228,1),"")</f>
        <v/>
      </c>
      <c r="AD8228" s="117" t="str">
        <f>IFERROR(INDEX($AA$3:$AA$10000,MATCH(ROWS($AC$3:AC8228),$AC$3:$AC$10000,0)),"")</f>
        <v/>
      </c>
    </row>
    <row r="8229" spans="27:30">
      <c r="AA8229" s="117">
        <f>+'Ingredient List - Mother Tinctu'!D8230</f>
        <v>0</v>
      </c>
      <c r="AB8229" s="117">
        <f t="shared" si="131"/>
        <v>0</v>
      </c>
      <c r="AC8229" s="117" t="str">
        <f>IF(AB8229=1,COUNTIF($AB$3:AB8229,1),"")</f>
        <v/>
      </c>
      <c r="AD8229" s="117" t="str">
        <f>IFERROR(INDEX($AA$3:$AA$10000,MATCH(ROWS($AC$3:AC8229),$AC$3:$AC$10000,0)),"")</f>
        <v/>
      </c>
    </row>
    <row r="8230" spans="27:30">
      <c r="AA8230" s="117">
        <f>+'Ingredient List - Mother Tinctu'!D8231</f>
        <v>0</v>
      </c>
      <c r="AB8230" s="117">
        <f t="shared" si="131"/>
        <v>0</v>
      </c>
      <c r="AC8230" s="117" t="str">
        <f>IF(AB8230=1,COUNTIF($AB$3:AB8230,1),"")</f>
        <v/>
      </c>
      <c r="AD8230" s="117" t="str">
        <f>IFERROR(INDEX($AA$3:$AA$10000,MATCH(ROWS($AC$3:AC8230),$AC$3:$AC$10000,0)),"")</f>
        <v/>
      </c>
    </row>
    <row r="8231" spans="27:30">
      <c r="AA8231" s="117">
        <f>+'Ingredient List - Mother Tinctu'!D8232</f>
        <v>0</v>
      </c>
      <c r="AB8231" s="117">
        <f t="shared" si="131"/>
        <v>0</v>
      </c>
      <c r="AC8231" s="117" t="str">
        <f>IF(AB8231=1,COUNTIF($AB$3:AB8231,1),"")</f>
        <v/>
      </c>
      <c r="AD8231" s="117" t="str">
        <f>IFERROR(INDEX($AA$3:$AA$10000,MATCH(ROWS($AC$3:AC8231),$AC$3:$AC$10000,0)),"")</f>
        <v/>
      </c>
    </row>
    <row r="8232" spans="27:30">
      <c r="AA8232" s="117">
        <f>+'Ingredient List - Mother Tinctu'!D8233</f>
        <v>0</v>
      </c>
      <c r="AB8232" s="117">
        <f t="shared" si="131"/>
        <v>0</v>
      </c>
      <c r="AC8232" s="117" t="str">
        <f>IF(AB8232=1,COUNTIF($AB$3:AB8232,1),"")</f>
        <v/>
      </c>
      <c r="AD8232" s="117" t="str">
        <f>IFERROR(INDEX($AA$3:$AA$10000,MATCH(ROWS($AC$3:AC8232),$AC$3:$AC$10000,0)),"")</f>
        <v/>
      </c>
    </row>
    <row r="8233" spans="27:30">
      <c r="AA8233" s="117">
        <f>+'Ingredient List - Mother Tinctu'!D8234</f>
        <v>0</v>
      </c>
      <c r="AB8233" s="117">
        <f t="shared" si="131"/>
        <v>0</v>
      </c>
      <c r="AC8233" s="117" t="str">
        <f>IF(AB8233=1,COUNTIF($AB$3:AB8233,1),"")</f>
        <v/>
      </c>
      <c r="AD8233" s="117" t="str">
        <f>IFERROR(INDEX($AA$3:$AA$10000,MATCH(ROWS($AC$3:AC8233),$AC$3:$AC$10000,0)),"")</f>
        <v/>
      </c>
    </row>
    <row r="8234" spans="27:30">
      <c r="AA8234" s="117">
        <f>+'Ingredient List - Mother Tinctu'!D8235</f>
        <v>0</v>
      </c>
      <c r="AB8234" s="117">
        <f t="shared" si="131"/>
        <v>0</v>
      </c>
      <c r="AC8234" s="117" t="str">
        <f>IF(AB8234=1,COUNTIF($AB$3:AB8234,1),"")</f>
        <v/>
      </c>
      <c r="AD8234" s="117" t="str">
        <f>IFERROR(INDEX($AA$3:$AA$10000,MATCH(ROWS($AC$3:AC8234),$AC$3:$AC$10000,0)),"")</f>
        <v/>
      </c>
    </row>
    <row r="8235" spans="27:30">
      <c r="AA8235" s="117">
        <f>+'Ingredient List - Mother Tinctu'!D8236</f>
        <v>0</v>
      </c>
      <c r="AB8235" s="117">
        <f t="shared" si="131"/>
        <v>0</v>
      </c>
      <c r="AC8235" s="117" t="str">
        <f>IF(AB8235=1,COUNTIF($AB$3:AB8235,1),"")</f>
        <v/>
      </c>
      <c r="AD8235" s="117" t="str">
        <f>IFERROR(INDEX($AA$3:$AA$10000,MATCH(ROWS($AC$3:AC8235),$AC$3:$AC$10000,0)),"")</f>
        <v/>
      </c>
    </row>
    <row r="8236" spans="27:30">
      <c r="AA8236" s="117">
        <f>+'Ingredient List - Mother Tinctu'!D8237</f>
        <v>0</v>
      </c>
      <c r="AB8236" s="117">
        <f t="shared" si="131"/>
        <v>0</v>
      </c>
      <c r="AC8236" s="117" t="str">
        <f>IF(AB8236=1,COUNTIF($AB$3:AB8236,1),"")</f>
        <v/>
      </c>
      <c r="AD8236" s="117" t="str">
        <f>IFERROR(INDEX($AA$3:$AA$10000,MATCH(ROWS($AC$3:AC8236),$AC$3:$AC$10000,0)),"")</f>
        <v/>
      </c>
    </row>
    <row r="8237" spans="27:30">
      <c r="AA8237" s="117">
        <f>+'Ingredient List - Mother Tinctu'!D8238</f>
        <v>0</v>
      </c>
      <c r="AB8237" s="117">
        <f t="shared" si="131"/>
        <v>0</v>
      </c>
      <c r="AC8237" s="117" t="str">
        <f>IF(AB8237=1,COUNTIF($AB$3:AB8237,1),"")</f>
        <v/>
      </c>
      <c r="AD8237" s="117" t="str">
        <f>IFERROR(INDEX($AA$3:$AA$10000,MATCH(ROWS($AC$3:AC8237),$AC$3:$AC$10000,0)),"")</f>
        <v/>
      </c>
    </row>
    <row r="8238" spans="27:30">
      <c r="AA8238" s="117">
        <f>+'Ingredient List - Mother Tinctu'!D8239</f>
        <v>0</v>
      </c>
      <c r="AB8238" s="117">
        <f t="shared" si="131"/>
        <v>0</v>
      </c>
      <c r="AC8238" s="117" t="str">
        <f>IF(AB8238=1,COUNTIF($AB$3:AB8238,1),"")</f>
        <v/>
      </c>
      <c r="AD8238" s="117" t="str">
        <f>IFERROR(INDEX($AA$3:$AA$10000,MATCH(ROWS($AC$3:AC8238),$AC$3:$AC$10000,0)),"")</f>
        <v/>
      </c>
    </row>
    <row r="8239" spans="27:30">
      <c r="AA8239" s="117">
        <f>+'Ingredient List - Mother Tinctu'!D8240</f>
        <v>0</v>
      </c>
      <c r="AB8239" s="117">
        <f t="shared" si="131"/>
        <v>0</v>
      </c>
      <c r="AC8239" s="117" t="str">
        <f>IF(AB8239=1,COUNTIF($AB$3:AB8239,1),"")</f>
        <v/>
      </c>
      <c r="AD8239" s="117" t="str">
        <f>IFERROR(INDEX($AA$3:$AA$10000,MATCH(ROWS($AC$3:AC8239),$AC$3:$AC$10000,0)),"")</f>
        <v/>
      </c>
    </row>
    <row r="8240" spans="27:30">
      <c r="AA8240" s="117">
        <f>+'Ingredient List - Mother Tinctu'!D8241</f>
        <v>0</v>
      </c>
      <c r="AB8240" s="117">
        <f t="shared" si="131"/>
        <v>0</v>
      </c>
      <c r="AC8240" s="117" t="str">
        <f>IF(AB8240=1,COUNTIF($AB$3:AB8240,1),"")</f>
        <v/>
      </c>
      <c r="AD8240" s="117" t="str">
        <f>IFERROR(INDEX($AA$3:$AA$10000,MATCH(ROWS($AC$3:AC8240),$AC$3:$AC$10000,0)),"")</f>
        <v/>
      </c>
    </row>
    <row r="8241" spans="27:30">
      <c r="AA8241" s="117">
        <f>+'Ingredient List - Mother Tinctu'!D8242</f>
        <v>0</v>
      </c>
      <c r="AB8241" s="117">
        <f t="shared" si="131"/>
        <v>0</v>
      </c>
      <c r="AC8241" s="117" t="str">
        <f>IF(AB8241=1,COUNTIF($AB$3:AB8241,1),"")</f>
        <v/>
      </c>
      <c r="AD8241" s="117" t="str">
        <f>IFERROR(INDEX($AA$3:$AA$10000,MATCH(ROWS($AC$3:AC8241),$AC$3:$AC$10000,0)),"")</f>
        <v/>
      </c>
    </row>
    <row r="8242" spans="27:30">
      <c r="AA8242" s="117">
        <f>+'Ingredient List - Mother Tinctu'!D8243</f>
        <v>0</v>
      </c>
      <c r="AB8242" s="117">
        <f t="shared" si="131"/>
        <v>0</v>
      </c>
      <c r="AC8242" s="117" t="str">
        <f>IF(AB8242=1,COUNTIF($AB$3:AB8242,1),"")</f>
        <v/>
      </c>
      <c r="AD8242" s="117" t="str">
        <f>IFERROR(INDEX($AA$3:$AA$10000,MATCH(ROWS($AC$3:AC8242),$AC$3:$AC$10000,0)),"")</f>
        <v/>
      </c>
    </row>
    <row r="8243" spans="27:30">
      <c r="AA8243" s="117">
        <f>+'Ingredient List - Mother Tinctu'!D8244</f>
        <v>0</v>
      </c>
      <c r="AB8243" s="117">
        <f t="shared" si="131"/>
        <v>0</v>
      </c>
      <c r="AC8243" s="117" t="str">
        <f>IF(AB8243=1,COUNTIF($AB$3:AB8243,1),"")</f>
        <v/>
      </c>
      <c r="AD8243" s="117" t="str">
        <f>IFERROR(INDEX($AA$3:$AA$10000,MATCH(ROWS($AC$3:AC8243),$AC$3:$AC$10000,0)),"")</f>
        <v/>
      </c>
    </row>
    <row r="8244" spans="27:30">
      <c r="AA8244" s="117">
        <f>+'Ingredient List - Mother Tinctu'!D8245</f>
        <v>0</v>
      </c>
      <c r="AB8244" s="117">
        <f t="shared" si="131"/>
        <v>0</v>
      </c>
      <c r="AC8244" s="117" t="str">
        <f>IF(AB8244=1,COUNTIF($AB$3:AB8244,1),"")</f>
        <v/>
      </c>
      <c r="AD8244" s="117" t="str">
        <f>IFERROR(INDEX($AA$3:$AA$10000,MATCH(ROWS($AC$3:AC8244),$AC$3:$AC$10000,0)),"")</f>
        <v/>
      </c>
    </row>
    <row r="8245" spans="27:30">
      <c r="AA8245" s="117">
        <f>+'Ingredient List - Mother Tinctu'!D8246</f>
        <v>0</v>
      </c>
      <c r="AB8245" s="117">
        <f t="shared" si="131"/>
        <v>0</v>
      </c>
      <c r="AC8245" s="117" t="str">
        <f>IF(AB8245=1,COUNTIF($AB$3:AB8245,1),"")</f>
        <v/>
      </c>
      <c r="AD8245" s="117" t="str">
        <f>IFERROR(INDEX($AA$3:$AA$10000,MATCH(ROWS($AC$3:AC8245),$AC$3:$AC$10000,0)),"")</f>
        <v/>
      </c>
    </row>
    <row r="8246" spans="27:30">
      <c r="AA8246" s="117">
        <f>+'Ingredient List - Mother Tinctu'!D8247</f>
        <v>0</v>
      </c>
      <c r="AB8246" s="117">
        <f t="shared" si="131"/>
        <v>0</v>
      </c>
      <c r="AC8246" s="117" t="str">
        <f>IF(AB8246=1,COUNTIF($AB$3:AB8246,1),"")</f>
        <v/>
      </c>
      <c r="AD8246" s="117" t="str">
        <f>IFERROR(INDEX($AA$3:$AA$10000,MATCH(ROWS($AC$3:AC8246),$AC$3:$AC$10000,0)),"")</f>
        <v/>
      </c>
    </row>
    <row r="8247" spans="27:30">
      <c r="AA8247" s="117">
        <f>+'Ingredient List - Mother Tinctu'!D8248</f>
        <v>0</v>
      </c>
      <c r="AB8247" s="117">
        <f t="shared" si="131"/>
        <v>0</v>
      </c>
      <c r="AC8247" s="117" t="str">
        <f>IF(AB8247=1,COUNTIF($AB$3:AB8247,1),"")</f>
        <v/>
      </c>
      <c r="AD8247" s="117" t="str">
        <f>IFERROR(INDEX($AA$3:$AA$10000,MATCH(ROWS($AC$3:AC8247),$AC$3:$AC$10000,0)),"")</f>
        <v/>
      </c>
    </row>
    <row r="8248" spans="27:30">
      <c r="AA8248" s="117">
        <f>+'Ingredient List - Mother Tinctu'!D8249</f>
        <v>0</v>
      </c>
      <c r="AB8248" s="117">
        <f t="shared" si="131"/>
        <v>0</v>
      </c>
      <c r="AC8248" s="117" t="str">
        <f>IF(AB8248=1,COUNTIF($AB$3:AB8248,1),"")</f>
        <v/>
      </c>
      <c r="AD8248" s="117" t="str">
        <f>IFERROR(INDEX($AA$3:$AA$10000,MATCH(ROWS($AC$3:AC8248),$AC$3:$AC$10000,0)),"")</f>
        <v/>
      </c>
    </row>
    <row r="8249" spans="27:30">
      <c r="AA8249" s="117">
        <f>+'Ingredient List - Mother Tinctu'!D8250</f>
        <v>0</v>
      </c>
      <c r="AB8249" s="117">
        <f t="shared" si="131"/>
        <v>0</v>
      </c>
      <c r="AC8249" s="117" t="str">
        <f>IF(AB8249=1,COUNTIF($AB$3:AB8249,1),"")</f>
        <v/>
      </c>
      <c r="AD8249" s="117" t="str">
        <f>IFERROR(INDEX($AA$3:$AA$10000,MATCH(ROWS($AC$3:AC8249),$AC$3:$AC$10000,0)),"")</f>
        <v/>
      </c>
    </row>
    <row r="8250" spans="27:30">
      <c r="AA8250" s="117">
        <f>+'Ingredient List - Mother Tinctu'!D8251</f>
        <v>0</v>
      </c>
      <c r="AB8250" s="117">
        <f t="shared" si="131"/>
        <v>0</v>
      </c>
      <c r="AC8250" s="117" t="str">
        <f>IF(AB8250=1,COUNTIF($AB$3:AB8250,1),"")</f>
        <v/>
      </c>
      <c r="AD8250" s="117" t="str">
        <f>IFERROR(INDEX($AA$3:$AA$10000,MATCH(ROWS($AC$3:AC8250),$AC$3:$AC$10000,0)),"")</f>
        <v/>
      </c>
    </row>
    <row r="8251" spans="27:30">
      <c r="AA8251" s="117">
        <f>+'Ingredient List - Mother Tinctu'!D8252</f>
        <v>0</v>
      </c>
      <c r="AB8251" s="117">
        <f t="shared" si="131"/>
        <v>0</v>
      </c>
      <c r="AC8251" s="117" t="str">
        <f>IF(AB8251=1,COUNTIF($AB$3:AB8251,1),"")</f>
        <v/>
      </c>
      <c r="AD8251" s="117" t="str">
        <f>IFERROR(INDEX($AA$3:$AA$10000,MATCH(ROWS($AC$3:AC8251),$AC$3:$AC$10000,0)),"")</f>
        <v/>
      </c>
    </row>
    <row r="8252" spans="27:30">
      <c r="AA8252" s="117">
        <f>+'Ingredient List - Mother Tinctu'!D8253</f>
        <v>0</v>
      </c>
      <c r="AB8252" s="117">
        <f t="shared" si="131"/>
        <v>0</v>
      </c>
      <c r="AC8252" s="117" t="str">
        <f>IF(AB8252=1,COUNTIF($AB$3:AB8252,1),"")</f>
        <v/>
      </c>
      <c r="AD8252" s="117" t="str">
        <f>IFERROR(INDEX($AA$3:$AA$10000,MATCH(ROWS($AC$3:AC8252),$AC$3:$AC$10000,0)),"")</f>
        <v/>
      </c>
    </row>
    <row r="8253" spans="27:30">
      <c r="AA8253" s="117">
        <f>+'Ingredient List - Mother Tinctu'!D8254</f>
        <v>0</v>
      </c>
      <c r="AB8253" s="117">
        <f t="shared" si="131"/>
        <v>0</v>
      </c>
      <c r="AC8253" s="117" t="str">
        <f>IF(AB8253=1,COUNTIF($AB$3:AB8253,1),"")</f>
        <v/>
      </c>
      <c r="AD8253" s="117" t="str">
        <f>IFERROR(INDEX($AA$3:$AA$10000,MATCH(ROWS($AC$3:AC8253),$AC$3:$AC$10000,0)),"")</f>
        <v/>
      </c>
    </row>
    <row r="8254" spans="27:30">
      <c r="AA8254" s="117">
        <f>+'Ingredient List - Mother Tinctu'!D8255</f>
        <v>0</v>
      </c>
      <c r="AB8254" s="117">
        <f t="shared" si="131"/>
        <v>0</v>
      </c>
      <c r="AC8254" s="117" t="str">
        <f>IF(AB8254=1,COUNTIF($AB$3:AB8254,1),"")</f>
        <v/>
      </c>
      <c r="AD8254" s="117" t="str">
        <f>IFERROR(INDEX($AA$3:$AA$10000,MATCH(ROWS($AC$3:AC8254),$AC$3:$AC$10000,0)),"")</f>
        <v/>
      </c>
    </row>
    <row r="8255" spans="27:30">
      <c r="AA8255" s="117">
        <f>+'Ingredient List - Mother Tinctu'!D8256</f>
        <v>0</v>
      </c>
      <c r="AB8255" s="117">
        <f t="shared" si="131"/>
        <v>0</v>
      </c>
      <c r="AC8255" s="117" t="str">
        <f>IF(AB8255=1,COUNTIF($AB$3:AB8255,1),"")</f>
        <v/>
      </c>
      <c r="AD8255" s="117" t="str">
        <f>IFERROR(INDEX($AA$3:$AA$10000,MATCH(ROWS($AC$3:AC8255),$AC$3:$AC$10000,0)),"")</f>
        <v/>
      </c>
    </row>
    <row r="8256" spans="27:30">
      <c r="AA8256" s="117">
        <f>+'Ingredient List - Mother Tinctu'!D8257</f>
        <v>0</v>
      </c>
      <c r="AB8256" s="117">
        <f t="shared" si="131"/>
        <v>0</v>
      </c>
      <c r="AC8256" s="117" t="str">
        <f>IF(AB8256=1,COUNTIF($AB$3:AB8256,1),"")</f>
        <v/>
      </c>
      <c r="AD8256" s="117" t="str">
        <f>IFERROR(INDEX($AA$3:$AA$10000,MATCH(ROWS($AC$3:AC8256),$AC$3:$AC$10000,0)),"")</f>
        <v/>
      </c>
    </row>
    <row r="8257" spans="27:30">
      <c r="AA8257" s="117">
        <f>+'Ingredient List - Mother Tinctu'!D8258</f>
        <v>0</v>
      </c>
      <c r="AB8257" s="117">
        <f t="shared" si="131"/>
        <v>0</v>
      </c>
      <c r="AC8257" s="117" t="str">
        <f>IF(AB8257=1,COUNTIF($AB$3:AB8257,1),"")</f>
        <v/>
      </c>
      <c r="AD8257" s="117" t="str">
        <f>IFERROR(INDEX($AA$3:$AA$10000,MATCH(ROWS($AC$3:AC8257),$AC$3:$AC$10000,0)),"")</f>
        <v/>
      </c>
    </row>
    <row r="8258" spans="27:30">
      <c r="AA8258" s="117">
        <f>+'Ingredient List - Mother Tinctu'!D8259</f>
        <v>0</v>
      </c>
      <c r="AB8258" s="117">
        <f t="shared" si="131"/>
        <v>0</v>
      </c>
      <c r="AC8258" s="117" t="str">
        <f>IF(AB8258=1,COUNTIF($AB$3:AB8258,1),"")</f>
        <v/>
      </c>
      <c r="AD8258" s="117" t="str">
        <f>IFERROR(INDEX($AA$3:$AA$10000,MATCH(ROWS($AC$3:AC8258),$AC$3:$AC$10000,0)),"")</f>
        <v/>
      </c>
    </row>
    <row r="8259" spans="27:30">
      <c r="AA8259" s="117">
        <f>+'Ingredient List - Mother Tinctu'!D8260</f>
        <v>0</v>
      </c>
      <c r="AB8259" s="117">
        <f t="shared" si="131"/>
        <v>0</v>
      </c>
      <c r="AC8259" s="117" t="str">
        <f>IF(AB8259=1,COUNTIF($AB$3:AB8259,1),"")</f>
        <v/>
      </c>
      <c r="AD8259" s="117" t="str">
        <f>IFERROR(INDEX($AA$3:$AA$10000,MATCH(ROWS($AC$3:AC8259),$AC$3:$AC$10000,0)),"")</f>
        <v/>
      </c>
    </row>
    <row r="8260" spans="27:30">
      <c r="AA8260" s="117">
        <f>+'Ingredient List - Mother Tinctu'!D8261</f>
        <v>0</v>
      </c>
      <c r="AB8260" s="117">
        <f t="shared" ref="AB8260:AB8323" si="132">--ISNUMBER(IFERROR(SEARCH($D$3,AA8260,1),""))</f>
        <v>0</v>
      </c>
      <c r="AC8260" s="117" t="str">
        <f>IF(AB8260=1,COUNTIF($AB$3:AB8260,1),"")</f>
        <v/>
      </c>
      <c r="AD8260" s="117" t="str">
        <f>IFERROR(INDEX($AA$3:$AA$10000,MATCH(ROWS($AC$3:AC8260),$AC$3:$AC$10000,0)),"")</f>
        <v/>
      </c>
    </row>
    <row r="8261" spans="27:30">
      <c r="AA8261" s="117">
        <f>+'Ingredient List - Mother Tinctu'!D8262</f>
        <v>0</v>
      </c>
      <c r="AB8261" s="117">
        <f t="shared" si="132"/>
        <v>0</v>
      </c>
      <c r="AC8261" s="117" t="str">
        <f>IF(AB8261=1,COUNTIF($AB$3:AB8261,1),"")</f>
        <v/>
      </c>
      <c r="AD8261" s="117" t="str">
        <f>IFERROR(INDEX($AA$3:$AA$10000,MATCH(ROWS($AC$3:AC8261),$AC$3:$AC$10000,0)),"")</f>
        <v/>
      </c>
    </row>
    <row r="8262" spans="27:30">
      <c r="AA8262" s="117">
        <f>+'Ingredient List - Mother Tinctu'!D8263</f>
        <v>0</v>
      </c>
      <c r="AB8262" s="117">
        <f t="shared" si="132"/>
        <v>0</v>
      </c>
      <c r="AC8262" s="117" t="str">
        <f>IF(AB8262=1,COUNTIF($AB$3:AB8262,1),"")</f>
        <v/>
      </c>
      <c r="AD8262" s="117" t="str">
        <f>IFERROR(INDEX($AA$3:$AA$10000,MATCH(ROWS($AC$3:AC8262),$AC$3:$AC$10000,0)),"")</f>
        <v/>
      </c>
    </row>
    <row r="8263" spans="27:30">
      <c r="AA8263" s="117">
        <f>+'Ingredient List - Mother Tinctu'!D8264</f>
        <v>0</v>
      </c>
      <c r="AB8263" s="117">
        <f t="shared" si="132"/>
        <v>0</v>
      </c>
      <c r="AC8263" s="117" t="str">
        <f>IF(AB8263=1,COUNTIF($AB$3:AB8263,1),"")</f>
        <v/>
      </c>
      <c r="AD8263" s="117" t="str">
        <f>IFERROR(INDEX($AA$3:$AA$10000,MATCH(ROWS($AC$3:AC8263),$AC$3:$AC$10000,0)),"")</f>
        <v/>
      </c>
    </row>
    <row r="8264" spans="27:30">
      <c r="AA8264" s="117">
        <f>+'Ingredient List - Mother Tinctu'!D8265</f>
        <v>0</v>
      </c>
      <c r="AB8264" s="117">
        <f t="shared" si="132"/>
        <v>0</v>
      </c>
      <c r="AC8264" s="117" t="str">
        <f>IF(AB8264=1,COUNTIF($AB$3:AB8264,1),"")</f>
        <v/>
      </c>
      <c r="AD8264" s="117" t="str">
        <f>IFERROR(INDEX($AA$3:$AA$10000,MATCH(ROWS($AC$3:AC8264),$AC$3:$AC$10000,0)),"")</f>
        <v/>
      </c>
    </row>
    <row r="8265" spans="27:30">
      <c r="AA8265" s="117">
        <f>+'Ingredient List - Mother Tinctu'!D8266</f>
        <v>0</v>
      </c>
      <c r="AB8265" s="117">
        <f t="shared" si="132"/>
        <v>0</v>
      </c>
      <c r="AC8265" s="117" t="str">
        <f>IF(AB8265=1,COUNTIF($AB$3:AB8265,1),"")</f>
        <v/>
      </c>
      <c r="AD8265" s="117" t="str">
        <f>IFERROR(INDEX($AA$3:$AA$10000,MATCH(ROWS($AC$3:AC8265),$AC$3:$AC$10000,0)),"")</f>
        <v/>
      </c>
    </row>
    <row r="8266" spans="27:30">
      <c r="AA8266" s="117">
        <f>+'Ingredient List - Mother Tinctu'!D8267</f>
        <v>0</v>
      </c>
      <c r="AB8266" s="117">
        <f t="shared" si="132"/>
        <v>0</v>
      </c>
      <c r="AC8266" s="117" t="str">
        <f>IF(AB8266=1,COUNTIF($AB$3:AB8266,1),"")</f>
        <v/>
      </c>
      <c r="AD8266" s="117" t="str">
        <f>IFERROR(INDEX($AA$3:$AA$10000,MATCH(ROWS($AC$3:AC8266),$AC$3:$AC$10000,0)),"")</f>
        <v/>
      </c>
    </row>
    <row r="8267" spans="27:30">
      <c r="AA8267" s="117">
        <f>+'Ingredient List - Mother Tinctu'!D8268</f>
        <v>0</v>
      </c>
      <c r="AB8267" s="117">
        <f t="shared" si="132"/>
        <v>0</v>
      </c>
      <c r="AC8267" s="117" t="str">
        <f>IF(AB8267=1,COUNTIF($AB$3:AB8267,1),"")</f>
        <v/>
      </c>
      <c r="AD8267" s="117" t="str">
        <f>IFERROR(INDEX($AA$3:$AA$10000,MATCH(ROWS($AC$3:AC8267),$AC$3:$AC$10000,0)),"")</f>
        <v/>
      </c>
    </row>
    <row r="8268" spans="27:30">
      <c r="AA8268" s="117">
        <f>+'Ingredient List - Mother Tinctu'!D8269</f>
        <v>0</v>
      </c>
      <c r="AB8268" s="117">
        <f t="shared" si="132"/>
        <v>0</v>
      </c>
      <c r="AC8268" s="117" t="str">
        <f>IF(AB8268=1,COUNTIF($AB$3:AB8268,1),"")</f>
        <v/>
      </c>
      <c r="AD8268" s="117" t="str">
        <f>IFERROR(INDEX($AA$3:$AA$10000,MATCH(ROWS($AC$3:AC8268),$AC$3:$AC$10000,0)),"")</f>
        <v/>
      </c>
    </row>
    <row r="8269" spans="27:30">
      <c r="AA8269" s="117">
        <f>+'Ingredient List - Mother Tinctu'!D8270</f>
        <v>0</v>
      </c>
      <c r="AB8269" s="117">
        <f t="shared" si="132"/>
        <v>0</v>
      </c>
      <c r="AC8269" s="117" t="str">
        <f>IF(AB8269=1,COUNTIF($AB$3:AB8269,1),"")</f>
        <v/>
      </c>
      <c r="AD8269" s="117" t="str">
        <f>IFERROR(INDEX($AA$3:$AA$10000,MATCH(ROWS($AC$3:AC8269),$AC$3:$AC$10000,0)),"")</f>
        <v/>
      </c>
    </row>
    <row r="8270" spans="27:30">
      <c r="AA8270" s="117">
        <f>+'Ingredient List - Mother Tinctu'!D8271</f>
        <v>0</v>
      </c>
      <c r="AB8270" s="117">
        <f t="shared" si="132"/>
        <v>0</v>
      </c>
      <c r="AC8270" s="117" t="str">
        <f>IF(AB8270=1,COUNTIF($AB$3:AB8270,1),"")</f>
        <v/>
      </c>
      <c r="AD8270" s="117" t="str">
        <f>IFERROR(INDEX($AA$3:$AA$10000,MATCH(ROWS($AC$3:AC8270),$AC$3:$AC$10000,0)),"")</f>
        <v/>
      </c>
    </row>
    <row r="8271" spans="27:30">
      <c r="AA8271" s="117">
        <f>+'Ingredient List - Mother Tinctu'!D8272</f>
        <v>0</v>
      </c>
      <c r="AB8271" s="117">
        <f t="shared" si="132"/>
        <v>0</v>
      </c>
      <c r="AC8271" s="117" t="str">
        <f>IF(AB8271=1,COUNTIF($AB$3:AB8271,1),"")</f>
        <v/>
      </c>
      <c r="AD8271" s="117" t="str">
        <f>IFERROR(INDEX($AA$3:$AA$10000,MATCH(ROWS($AC$3:AC8271),$AC$3:$AC$10000,0)),"")</f>
        <v/>
      </c>
    </row>
    <row r="8272" spans="27:30">
      <c r="AA8272" s="117">
        <f>+'Ingredient List - Mother Tinctu'!D8273</f>
        <v>0</v>
      </c>
      <c r="AB8272" s="117">
        <f t="shared" si="132"/>
        <v>0</v>
      </c>
      <c r="AC8272" s="117" t="str">
        <f>IF(AB8272=1,COUNTIF($AB$3:AB8272,1),"")</f>
        <v/>
      </c>
      <c r="AD8272" s="117" t="str">
        <f>IFERROR(INDEX($AA$3:$AA$10000,MATCH(ROWS($AC$3:AC8272),$AC$3:$AC$10000,0)),"")</f>
        <v/>
      </c>
    </row>
    <row r="8273" spans="27:30">
      <c r="AA8273" s="117">
        <f>+'Ingredient List - Mother Tinctu'!D8274</f>
        <v>0</v>
      </c>
      <c r="AB8273" s="117">
        <f t="shared" si="132"/>
        <v>0</v>
      </c>
      <c r="AC8273" s="117" t="str">
        <f>IF(AB8273=1,COUNTIF($AB$3:AB8273,1),"")</f>
        <v/>
      </c>
      <c r="AD8273" s="117" t="str">
        <f>IFERROR(INDEX($AA$3:$AA$10000,MATCH(ROWS($AC$3:AC8273),$AC$3:$AC$10000,0)),"")</f>
        <v/>
      </c>
    </row>
    <row r="8274" spans="27:30">
      <c r="AA8274" s="117">
        <f>+'Ingredient List - Mother Tinctu'!D8275</f>
        <v>0</v>
      </c>
      <c r="AB8274" s="117">
        <f t="shared" si="132"/>
        <v>0</v>
      </c>
      <c r="AC8274" s="117" t="str">
        <f>IF(AB8274=1,COUNTIF($AB$3:AB8274,1),"")</f>
        <v/>
      </c>
      <c r="AD8274" s="117" t="str">
        <f>IFERROR(INDEX($AA$3:$AA$10000,MATCH(ROWS($AC$3:AC8274),$AC$3:$AC$10000,0)),"")</f>
        <v/>
      </c>
    </row>
    <row r="8275" spans="27:30">
      <c r="AA8275" s="117">
        <f>+'Ingredient List - Mother Tinctu'!D8276</f>
        <v>0</v>
      </c>
      <c r="AB8275" s="117">
        <f t="shared" si="132"/>
        <v>0</v>
      </c>
      <c r="AC8275" s="117" t="str">
        <f>IF(AB8275=1,COUNTIF($AB$3:AB8275,1),"")</f>
        <v/>
      </c>
      <c r="AD8275" s="117" t="str">
        <f>IFERROR(INDEX($AA$3:$AA$10000,MATCH(ROWS($AC$3:AC8275),$AC$3:$AC$10000,0)),"")</f>
        <v/>
      </c>
    </row>
    <row r="8276" spans="27:30">
      <c r="AA8276" s="117">
        <f>+'Ingredient List - Mother Tinctu'!D8277</f>
        <v>0</v>
      </c>
      <c r="AB8276" s="117">
        <f t="shared" si="132"/>
        <v>0</v>
      </c>
      <c r="AC8276" s="117" t="str">
        <f>IF(AB8276=1,COUNTIF($AB$3:AB8276,1),"")</f>
        <v/>
      </c>
      <c r="AD8276" s="117" t="str">
        <f>IFERROR(INDEX($AA$3:$AA$10000,MATCH(ROWS($AC$3:AC8276),$AC$3:$AC$10000,0)),"")</f>
        <v/>
      </c>
    </row>
    <row r="8277" spans="27:30">
      <c r="AA8277" s="117">
        <f>+'Ingredient List - Mother Tinctu'!D8278</f>
        <v>0</v>
      </c>
      <c r="AB8277" s="117">
        <f t="shared" si="132"/>
        <v>0</v>
      </c>
      <c r="AC8277" s="117" t="str">
        <f>IF(AB8277=1,COUNTIF($AB$3:AB8277,1),"")</f>
        <v/>
      </c>
      <c r="AD8277" s="117" t="str">
        <f>IFERROR(INDEX($AA$3:$AA$10000,MATCH(ROWS($AC$3:AC8277),$AC$3:$AC$10000,0)),"")</f>
        <v/>
      </c>
    </row>
    <row r="8278" spans="27:30">
      <c r="AA8278" s="117">
        <f>+'Ingredient List - Mother Tinctu'!D8279</f>
        <v>0</v>
      </c>
      <c r="AB8278" s="117">
        <f t="shared" si="132"/>
        <v>0</v>
      </c>
      <c r="AC8278" s="117" t="str">
        <f>IF(AB8278=1,COUNTIF($AB$3:AB8278,1),"")</f>
        <v/>
      </c>
      <c r="AD8278" s="117" t="str">
        <f>IFERROR(INDEX($AA$3:$AA$10000,MATCH(ROWS($AC$3:AC8278),$AC$3:$AC$10000,0)),"")</f>
        <v/>
      </c>
    </row>
    <row r="8279" spans="27:30">
      <c r="AA8279" s="117">
        <f>+'Ingredient List - Mother Tinctu'!D8280</f>
        <v>0</v>
      </c>
      <c r="AB8279" s="117">
        <f t="shared" si="132"/>
        <v>0</v>
      </c>
      <c r="AC8279" s="117" t="str">
        <f>IF(AB8279=1,COUNTIF($AB$3:AB8279,1),"")</f>
        <v/>
      </c>
      <c r="AD8279" s="117" t="str">
        <f>IFERROR(INDEX($AA$3:$AA$10000,MATCH(ROWS($AC$3:AC8279),$AC$3:$AC$10000,0)),"")</f>
        <v/>
      </c>
    </row>
    <row r="8280" spans="27:30">
      <c r="AA8280" s="117">
        <f>+'Ingredient List - Mother Tinctu'!D8281</f>
        <v>0</v>
      </c>
      <c r="AB8280" s="117">
        <f t="shared" si="132"/>
        <v>0</v>
      </c>
      <c r="AC8280" s="117" t="str">
        <f>IF(AB8280=1,COUNTIF($AB$3:AB8280,1),"")</f>
        <v/>
      </c>
      <c r="AD8280" s="117" t="str">
        <f>IFERROR(INDEX($AA$3:$AA$10000,MATCH(ROWS($AC$3:AC8280),$AC$3:$AC$10000,0)),"")</f>
        <v/>
      </c>
    </row>
    <row r="8281" spans="27:30">
      <c r="AA8281" s="117">
        <f>+'Ingredient List - Mother Tinctu'!D8282</f>
        <v>0</v>
      </c>
      <c r="AB8281" s="117">
        <f t="shared" si="132"/>
        <v>0</v>
      </c>
      <c r="AC8281" s="117" t="str">
        <f>IF(AB8281=1,COUNTIF($AB$3:AB8281,1),"")</f>
        <v/>
      </c>
      <c r="AD8281" s="117" t="str">
        <f>IFERROR(INDEX($AA$3:$AA$10000,MATCH(ROWS($AC$3:AC8281),$AC$3:$AC$10000,0)),"")</f>
        <v/>
      </c>
    </row>
    <row r="8282" spans="27:30">
      <c r="AA8282" s="117">
        <f>+'Ingredient List - Mother Tinctu'!D8283</f>
        <v>0</v>
      </c>
      <c r="AB8282" s="117">
        <f t="shared" si="132"/>
        <v>0</v>
      </c>
      <c r="AC8282" s="117" t="str">
        <f>IF(AB8282=1,COUNTIF($AB$3:AB8282,1),"")</f>
        <v/>
      </c>
      <c r="AD8282" s="117" t="str">
        <f>IFERROR(INDEX($AA$3:$AA$10000,MATCH(ROWS($AC$3:AC8282),$AC$3:$AC$10000,0)),"")</f>
        <v/>
      </c>
    </row>
    <row r="8283" spans="27:30">
      <c r="AA8283" s="117">
        <f>+'Ingredient List - Mother Tinctu'!D8284</f>
        <v>0</v>
      </c>
      <c r="AB8283" s="117">
        <f t="shared" si="132"/>
        <v>0</v>
      </c>
      <c r="AC8283" s="117" t="str">
        <f>IF(AB8283=1,COUNTIF($AB$3:AB8283,1),"")</f>
        <v/>
      </c>
      <c r="AD8283" s="117" t="str">
        <f>IFERROR(INDEX($AA$3:$AA$10000,MATCH(ROWS($AC$3:AC8283),$AC$3:$AC$10000,0)),"")</f>
        <v/>
      </c>
    </row>
    <row r="8284" spans="27:30">
      <c r="AA8284" s="117">
        <f>+'Ingredient List - Mother Tinctu'!D8285</f>
        <v>0</v>
      </c>
      <c r="AB8284" s="117">
        <f t="shared" si="132"/>
        <v>0</v>
      </c>
      <c r="AC8284" s="117" t="str">
        <f>IF(AB8284=1,COUNTIF($AB$3:AB8284,1),"")</f>
        <v/>
      </c>
      <c r="AD8284" s="117" t="str">
        <f>IFERROR(INDEX($AA$3:$AA$10000,MATCH(ROWS($AC$3:AC8284),$AC$3:$AC$10000,0)),"")</f>
        <v/>
      </c>
    </row>
    <row r="8285" spans="27:30">
      <c r="AA8285" s="117">
        <f>+'Ingredient List - Mother Tinctu'!D8286</f>
        <v>0</v>
      </c>
      <c r="AB8285" s="117">
        <f t="shared" si="132"/>
        <v>0</v>
      </c>
      <c r="AC8285" s="117" t="str">
        <f>IF(AB8285=1,COUNTIF($AB$3:AB8285,1),"")</f>
        <v/>
      </c>
      <c r="AD8285" s="117" t="str">
        <f>IFERROR(INDEX($AA$3:$AA$10000,MATCH(ROWS($AC$3:AC8285),$AC$3:$AC$10000,0)),"")</f>
        <v/>
      </c>
    </row>
    <row r="8286" spans="27:30">
      <c r="AA8286" s="117">
        <f>+'Ingredient List - Mother Tinctu'!D8287</f>
        <v>0</v>
      </c>
      <c r="AB8286" s="117">
        <f t="shared" si="132"/>
        <v>0</v>
      </c>
      <c r="AC8286" s="117" t="str">
        <f>IF(AB8286=1,COUNTIF($AB$3:AB8286,1),"")</f>
        <v/>
      </c>
      <c r="AD8286" s="117" t="str">
        <f>IFERROR(INDEX($AA$3:$AA$10000,MATCH(ROWS($AC$3:AC8286),$AC$3:$AC$10000,0)),"")</f>
        <v/>
      </c>
    </row>
    <row r="8287" spans="27:30">
      <c r="AA8287" s="117">
        <f>+'Ingredient List - Mother Tinctu'!D8288</f>
        <v>0</v>
      </c>
      <c r="AB8287" s="117">
        <f t="shared" si="132"/>
        <v>0</v>
      </c>
      <c r="AC8287" s="117" t="str">
        <f>IF(AB8287=1,COUNTIF($AB$3:AB8287,1),"")</f>
        <v/>
      </c>
      <c r="AD8287" s="117" t="str">
        <f>IFERROR(INDEX($AA$3:$AA$10000,MATCH(ROWS($AC$3:AC8287),$AC$3:$AC$10000,0)),"")</f>
        <v/>
      </c>
    </row>
    <row r="8288" spans="27:30">
      <c r="AA8288" s="117">
        <f>+'Ingredient List - Mother Tinctu'!D8289</f>
        <v>0</v>
      </c>
      <c r="AB8288" s="117">
        <f t="shared" si="132"/>
        <v>0</v>
      </c>
      <c r="AC8288" s="117" t="str">
        <f>IF(AB8288=1,COUNTIF($AB$3:AB8288,1),"")</f>
        <v/>
      </c>
      <c r="AD8288" s="117" t="str">
        <f>IFERROR(INDEX($AA$3:$AA$10000,MATCH(ROWS($AC$3:AC8288),$AC$3:$AC$10000,0)),"")</f>
        <v/>
      </c>
    </row>
    <row r="8289" spans="27:30">
      <c r="AA8289" s="117">
        <f>+'Ingredient List - Mother Tinctu'!D8290</f>
        <v>0</v>
      </c>
      <c r="AB8289" s="117">
        <f t="shared" si="132"/>
        <v>0</v>
      </c>
      <c r="AC8289" s="117" t="str">
        <f>IF(AB8289=1,COUNTIF($AB$3:AB8289,1),"")</f>
        <v/>
      </c>
      <c r="AD8289" s="117" t="str">
        <f>IFERROR(INDEX($AA$3:$AA$10000,MATCH(ROWS($AC$3:AC8289),$AC$3:$AC$10000,0)),"")</f>
        <v/>
      </c>
    </row>
    <row r="8290" spans="27:30">
      <c r="AA8290" s="117">
        <f>+'Ingredient List - Mother Tinctu'!D8291</f>
        <v>0</v>
      </c>
      <c r="AB8290" s="117">
        <f t="shared" si="132"/>
        <v>0</v>
      </c>
      <c r="AC8290" s="117" t="str">
        <f>IF(AB8290=1,COUNTIF($AB$3:AB8290,1),"")</f>
        <v/>
      </c>
      <c r="AD8290" s="117" t="str">
        <f>IFERROR(INDEX($AA$3:$AA$10000,MATCH(ROWS($AC$3:AC8290),$AC$3:$AC$10000,0)),"")</f>
        <v/>
      </c>
    </row>
    <row r="8291" spans="27:30">
      <c r="AA8291" s="117">
        <f>+'Ingredient List - Mother Tinctu'!D8292</f>
        <v>0</v>
      </c>
      <c r="AB8291" s="117">
        <f t="shared" si="132"/>
        <v>0</v>
      </c>
      <c r="AC8291" s="117" t="str">
        <f>IF(AB8291=1,COUNTIF($AB$3:AB8291,1),"")</f>
        <v/>
      </c>
      <c r="AD8291" s="117" t="str">
        <f>IFERROR(INDEX($AA$3:$AA$10000,MATCH(ROWS($AC$3:AC8291),$AC$3:$AC$10000,0)),"")</f>
        <v/>
      </c>
    </row>
    <row r="8292" spans="27:30">
      <c r="AA8292" s="117">
        <f>+'Ingredient List - Mother Tinctu'!D8293</f>
        <v>0</v>
      </c>
      <c r="AB8292" s="117">
        <f t="shared" si="132"/>
        <v>0</v>
      </c>
      <c r="AC8292" s="117" t="str">
        <f>IF(AB8292=1,COUNTIF($AB$3:AB8292,1),"")</f>
        <v/>
      </c>
      <c r="AD8292" s="117" t="str">
        <f>IFERROR(INDEX($AA$3:$AA$10000,MATCH(ROWS($AC$3:AC8292),$AC$3:$AC$10000,0)),"")</f>
        <v/>
      </c>
    </row>
    <row r="8293" spans="27:30">
      <c r="AA8293" s="117">
        <f>+'Ingredient List - Mother Tinctu'!D8294</f>
        <v>0</v>
      </c>
      <c r="AB8293" s="117">
        <f t="shared" si="132"/>
        <v>0</v>
      </c>
      <c r="AC8293" s="117" t="str">
        <f>IF(AB8293=1,COUNTIF($AB$3:AB8293,1),"")</f>
        <v/>
      </c>
      <c r="AD8293" s="117" t="str">
        <f>IFERROR(INDEX($AA$3:$AA$10000,MATCH(ROWS($AC$3:AC8293),$AC$3:$AC$10000,0)),"")</f>
        <v/>
      </c>
    </row>
    <row r="8294" spans="27:30">
      <c r="AA8294" s="117">
        <f>+'Ingredient List - Mother Tinctu'!D8295</f>
        <v>0</v>
      </c>
      <c r="AB8294" s="117">
        <f t="shared" si="132"/>
        <v>0</v>
      </c>
      <c r="AC8294" s="117" t="str">
        <f>IF(AB8294=1,COUNTIF($AB$3:AB8294,1),"")</f>
        <v/>
      </c>
      <c r="AD8294" s="117" t="str">
        <f>IFERROR(INDEX($AA$3:$AA$10000,MATCH(ROWS($AC$3:AC8294),$AC$3:$AC$10000,0)),"")</f>
        <v/>
      </c>
    </row>
    <row r="8295" spans="27:30">
      <c r="AA8295" s="117">
        <f>+'Ingredient List - Mother Tinctu'!D8296</f>
        <v>0</v>
      </c>
      <c r="AB8295" s="117">
        <f t="shared" si="132"/>
        <v>0</v>
      </c>
      <c r="AC8295" s="117" t="str">
        <f>IF(AB8295=1,COUNTIF($AB$3:AB8295,1),"")</f>
        <v/>
      </c>
      <c r="AD8295" s="117" t="str">
        <f>IFERROR(INDEX($AA$3:$AA$10000,MATCH(ROWS($AC$3:AC8295),$AC$3:$AC$10000,0)),"")</f>
        <v/>
      </c>
    </row>
    <row r="8296" spans="27:30">
      <c r="AA8296" s="117">
        <f>+'Ingredient List - Mother Tinctu'!D8297</f>
        <v>0</v>
      </c>
      <c r="AB8296" s="117">
        <f t="shared" si="132"/>
        <v>0</v>
      </c>
      <c r="AC8296" s="117" t="str">
        <f>IF(AB8296=1,COUNTIF($AB$3:AB8296,1),"")</f>
        <v/>
      </c>
      <c r="AD8296" s="117" t="str">
        <f>IFERROR(INDEX($AA$3:$AA$10000,MATCH(ROWS($AC$3:AC8296),$AC$3:$AC$10000,0)),"")</f>
        <v/>
      </c>
    </row>
    <row r="8297" spans="27:30">
      <c r="AA8297" s="117">
        <f>+'Ingredient List - Mother Tinctu'!D8298</f>
        <v>0</v>
      </c>
      <c r="AB8297" s="117">
        <f t="shared" si="132"/>
        <v>0</v>
      </c>
      <c r="AC8297" s="117" t="str">
        <f>IF(AB8297=1,COUNTIF($AB$3:AB8297,1),"")</f>
        <v/>
      </c>
      <c r="AD8297" s="117" t="str">
        <f>IFERROR(INDEX($AA$3:$AA$10000,MATCH(ROWS($AC$3:AC8297),$AC$3:$AC$10000,0)),"")</f>
        <v/>
      </c>
    </row>
    <row r="8298" spans="27:30">
      <c r="AA8298" s="117">
        <f>+'Ingredient List - Mother Tinctu'!D8299</f>
        <v>0</v>
      </c>
      <c r="AB8298" s="117">
        <f t="shared" si="132"/>
        <v>0</v>
      </c>
      <c r="AC8298" s="117" t="str">
        <f>IF(AB8298=1,COUNTIF($AB$3:AB8298,1),"")</f>
        <v/>
      </c>
      <c r="AD8298" s="117" t="str">
        <f>IFERROR(INDEX($AA$3:$AA$10000,MATCH(ROWS($AC$3:AC8298),$AC$3:$AC$10000,0)),"")</f>
        <v/>
      </c>
    </row>
    <row r="8299" spans="27:30">
      <c r="AA8299" s="117">
        <f>+'Ingredient List - Mother Tinctu'!D8300</f>
        <v>0</v>
      </c>
      <c r="AB8299" s="117">
        <f t="shared" si="132"/>
        <v>0</v>
      </c>
      <c r="AC8299" s="117" t="str">
        <f>IF(AB8299=1,COUNTIF($AB$3:AB8299,1),"")</f>
        <v/>
      </c>
      <c r="AD8299" s="117" t="str">
        <f>IFERROR(INDEX($AA$3:$AA$10000,MATCH(ROWS($AC$3:AC8299),$AC$3:$AC$10000,0)),"")</f>
        <v/>
      </c>
    </row>
    <row r="8300" spans="27:30">
      <c r="AA8300" s="117">
        <f>+'Ingredient List - Mother Tinctu'!D8301</f>
        <v>0</v>
      </c>
      <c r="AB8300" s="117">
        <f t="shared" si="132"/>
        <v>0</v>
      </c>
      <c r="AC8300" s="117" t="str">
        <f>IF(AB8300=1,COUNTIF($AB$3:AB8300,1),"")</f>
        <v/>
      </c>
      <c r="AD8300" s="117" t="str">
        <f>IFERROR(INDEX($AA$3:$AA$10000,MATCH(ROWS($AC$3:AC8300),$AC$3:$AC$10000,0)),"")</f>
        <v/>
      </c>
    </row>
    <row r="8301" spans="27:30">
      <c r="AA8301" s="117">
        <f>+'Ingredient List - Mother Tinctu'!D8302</f>
        <v>0</v>
      </c>
      <c r="AB8301" s="117">
        <f t="shared" si="132"/>
        <v>0</v>
      </c>
      <c r="AC8301" s="117" t="str">
        <f>IF(AB8301=1,COUNTIF($AB$3:AB8301,1),"")</f>
        <v/>
      </c>
      <c r="AD8301" s="117" t="str">
        <f>IFERROR(INDEX($AA$3:$AA$10000,MATCH(ROWS($AC$3:AC8301),$AC$3:$AC$10000,0)),"")</f>
        <v/>
      </c>
    </row>
    <row r="8302" spans="27:30">
      <c r="AA8302" s="117">
        <f>+'Ingredient List - Mother Tinctu'!D8303</f>
        <v>0</v>
      </c>
      <c r="AB8302" s="117">
        <f t="shared" si="132"/>
        <v>0</v>
      </c>
      <c r="AC8302" s="117" t="str">
        <f>IF(AB8302=1,COUNTIF($AB$3:AB8302,1),"")</f>
        <v/>
      </c>
      <c r="AD8302" s="117" t="str">
        <f>IFERROR(INDEX($AA$3:$AA$10000,MATCH(ROWS($AC$3:AC8302),$AC$3:$AC$10000,0)),"")</f>
        <v/>
      </c>
    </row>
    <row r="8303" spans="27:30">
      <c r="AA8303" s="117">
        <f>+'Ingredient List - Mother Tinctu'!D8304</f>
        <v>0</v>
      </c>
      <c r="AB8303" s="117">
        <f t="shared" si="132"/>
        <v>0</v>
      </c>
      <c r="AC8303" s="117" t="str">
        <f>IF(AB8303=1,COUNTIF($AB$3:AB8303,1),"")</f>
        <v/>
      </c>
      <c r="AD8303" s="117" t="str">
        <f>IFERROR(INDEX($AA$3:$AA$10000,MATCH(ROWS($AC$3:AC8303),$AC$3:$AC$10000,0)),"")</f>
        <v/>
      </c>
    </row>
    <row r="8304" spans="27:30">
      <c r="AA8304" s="117">
        <f>+'Ingredient List - Mother Tinctu'!D8305</f>
        <v>0</v>
      </c>
      <c r="AB8304" s="117">
        <f t="shared" si="132"/>
        <v>0</v>
      </c>
      <c r="AC8304" s="117" t="str">
        <f>IF(AB8304=1,COUNTIF($AB$3:AB8304,1),"")</f>
        <v/>
      </c>
      <c r="AD8304" s="117" t="str">
        <f>IFERROR(INDEX($AA$3:$AA$10000,MATCH(ROWS($AC$3:AC8304),$AC$3:$AC$10000,0)),"")</f>
        <v/>
      </c>
    </row>
    <row r="8305" spans="27:30">
      <c r="AA8305" s="117">
        <f>+'Ingredient List - Mother Tinctu'!D8306</f>
        <v>0</v>
      </c>
      <c r="AB8305" s="117">
        <f t="shared" si="132"/>
        <v>0</v>
      </c>
      <c r="AC8305" s="117" t="str">
        <f>IF(AB8305=1,COUNTIF($AB$3:AB8305,1),"")</f>
        <v/>
      </c>
      <c r="AD8305" s="117" t="str">
        <f>IFERROR(INDEX($AA$3:$AA$10000,MATCH(ROWS($AC$3:AC8305),$AC$3:$AC$10000,0)),"")</f>
        <v/>
      </c>
    </row>
    <row r="8306" spans="27:30">
      <c r="AA8306" s="117">
        <f>+'Ingredient List - Mother Tinctu'!D8307</f>
        <v>0</v>
      </c>
      <c r="AB8306" s="117">
        <f t="shared" si="132"/>
        <v>0</v>
      </c>
      <c r="AC8306" s="117" t="str">
        <f>IF(AB8306=1,COUNTIF($AB$3:AB8306,1),"")</f>
        <v/>
      </c>
      <c r="AD8306" s="117" t="str">
        <f>IFERROR(INDEX($AA$3:$AA$10000,MATCH(ROWS($AC$3:AC8306),$AC$3:$AC$10000,0)),"")</f>
        <v/>
      </c>
    </row>
    <row r="8307" spans="27:30">
      <c r="AA8307" s="117">
        <f>+'Ingredient List - Mother Tinctu'!D8308</f>
        <v>0</v>
      </c>
      <c r="AB8307" s="117">
        <f t="shared" si="132"/>
        <v>0</v>
      </c>
      <c r="AC8307" s="117" t="str">
        <f>IF(AB8307=1,COUNTIF($AB$3:AB8307,1),"")</f>
        <v/>
      </c>
      <c r="AD8307" s="117" t="str">
        <f>IFERROR(INDEX($AA$3:$AA$10000,MATCH(ROWS($AC$3:AC8307),$AC$3:$AC$10000,0)),"")</f>
        <v/>
      </c>
    </row>
    <row r="8308" spans="27:30">
      <c r="AA8308" s="117">
        <f>+'Ingredient List - Mother Tinctu'!D8309</f>
        <v>0</v>
      </c>
      <c r="AB8308" s="117">
        <f t="shared" si="132"/>
        <v>0</v>
      </c>
      <c r="AC8308" s="117" t="str">
        <f>IF(AB8308=1,COUNTIF($AB$3:AB8308,1),"")</f>
        <v/>
      </c>
      <c r="AD8308" s="117" t="str">
        <f>IFERROR(INDEX($AA$3:$AA$10000,MATCH(ROWS($AC$3:AC8308),$AC$3:$AC$10000,0)),"")</f>
        <v/>
      </c>
    </row>
    <row r="8309" spans="27:30">
      <c r="AA8309" s="117">
        <f>+'Ingredient List - Mother Tinctu'!D8310</f>
        <v>0</v>
      </c>
      <c r="AB8309" s="117">
        <f t="shared" si="132"/>
        <v>0</v>
      </c>
      <c r="AC8309" s="117" t="str">
        <f>IF(AB8309=1,COUNTIF($AB$3:AB8309,1),"")</f>
        <v/>
      </c>
      <c r="AD8309" s="117" t="str">
        <f>IFERROR(INDEX($AA$3:$AA$10000,MATCH(ROWS($AC$3:AC8309),$AC$3:$AC$10000,0)),"")</f>
        <v/>
      </c>
    </row>
    <row r="8310" spans="27:30">
      <c r="AA8310" s="117">
        <f>+'Ingredient List - Mother Tinctu'!D8311</f>
        <v>0</v>
      </c>
      <c r="AB8310" s="117">
        <f t="shared" si="132"/>
        <v>0</v>
      </c>
      <c r="AC8310" s="117" t="str">
        <f>IF(AB8310=1,COUNTIF($AB$3:AB8310,1),"")</f>
        <v/>
      </c>
      <c r="AD8310" s="117" t="str">
        <f>IFERROR(INDEX($AA$3:$AA$10000,MATCH(ROWS($AC$3:AC8310),$AC$3:$AC$10000,0)),"")</f>
        <v/>
      </c>
    </row>
    <row r="8311" spans="27:30">
      <c r="AA8311" s="117">
        <f>+'Ingredient List - Mother Tinctu'!D8312</f>
        <v>0</v>
      </c>
      <c r="AB8311" s="117">
        <f t="shared" si="132"/>
        <v>0</v>
      </c>
      <c r="AC8311" s="117" t="str">
        <f>IF(AB8311=1,COUNTIF($AB$3:AB8311,1),"")</f>
        <v/>
      </c>
      <c r="AD8311" s="117" t="str">
        <f>IFERROR(INDEX($AA$3:$AA$10000,MATCH(ROWS($AC$3:AC8311),$AC$3:$AC$10000,0)),"")</f>
        <v/>
      </c>
    </row>
    <row r="8312" spans="27:30">
      <c r="AA8312" s="117">
        <f>+'Ingredient List - Mother Tinctu'!D8313</f>
        <v>0</v>
      </c>
      <c r="AB8312" s="117">
        <f t="shared" si="132"/>
        <v>0</v>
      </c>
      <c r="AC8312" s="117" t="str">
        <f>IF(AB8312=1,COUNTIF($AB$3:AB8312,1),"")</f>
        <v/>
      </c>
      <c r="AD8312" s="117" t="str">
        <f>IFERROR(INDEX($AA$3:$AA$10000,MATCH(ROWS($AC$3:AC8312),$AC$3:$AC$10000,0)),"")</f>
        <v/>
      </c>
    </row>
    <row r="8313" spans="27:30">
      <c r="AA8313" s="117">
        <f>+'Ingredient List - Mother Tinctu'!D8314</f>
        <v>0</v>
      </c>
      <c r="AB8313" s="117">
        <f t="shared" si="132"/>
        <v>0</v>
      </c>
      <c r="AC8313" s="117" t="str">
        <f>IF(AB8313=1,COUNTIF($AB$3:AB8313,1),"")</f>
        <v/>
      </c>
      <c r="AD8313" s="117" t="str">
        <f>IFERROR(INDEX($AA$3:$AA$10000,MATCH(ROWS($AC$3:AC8313),$AC$3:$AC$10000,0)),"")</f>
        <v/>
      </c>
    </row>
    <row r="8314" spans="27:30">
      <c r="AA8314" s="117">
        <f>+'Ingredient List - Mother Tinctu'!D8315</f>
        <v>0</v>
      </c>
      <c r="AB8314" s="117">
        <f t="shared" si="132"/>
        <v>0</v>
      </c>
      <c r="AC8314" s="117" t="str">
        <f>IF(AB8314=1,COUNTIF($AB$3:AB8314,1),"")</f>
        <v/>
      </c>
      <c r="AD8314" s="117" t="str">
        <f>IFERROR(INDEX($AA$3:$AA$10000,MATCH(ROWS($AC$3:AC8314),$AC$3:$AC$10000,0)),"")</f>
        <v/>
      </c>
    </row>
    <row r="8315" spans="27:30">
      <c r="AA8315" s="117">
        <f>+'Ingredient List - Mother Tinctu'!D8316</f>
        <v>0</v>
      </c>
      <c r="AB8315" s="117">
        <f t="shared" si="132"/>
        <v>0</v>
      </c>
      <c r="AC8315" s="117" t="str">
        <f>IF(AB8315=1,COUNTIF($AB$3:AB8315,1),"")</f>
        <v/>
      </c>
      <c r="AD8315" s="117" t="str">
        <f>IFERROR(INDEX($AA$3:$AA$10000,MATCH(ROWS($AC$3:AC8315),$AC$3:$AC$10000,0)),"")</f>
        <v/>
      </c>
    </row>
    <row r="8316" spans="27:30">
      <c r="AA8316" s="117">
        <f>+'Ingredient List - Mother Tinctu'!D8317</f>
        <v>0</v>
      </c>
      <c r="AB8316" s="117">
        <f t="shared" si="132"/>
        <v>0</v>
      </c>
      <c r="AC8316" s="117" t="str">
        <f>IF(AB8316=1,COUNTIF($AB$3:AB8316,1),"")</f>
        <v/>
      </c>
      <c r="AD8316" s="117" t="str">
        <f>IFERROR(INDEX($AA$3:$AA$10000,MATCH(ROWS($AC$3:AC8316),$AC$3:$AC$10000,0)),"")</f>
        <v/>
      </c>
    </row>
    <row r="8317" spans="27:30">
      <c r="AA8317" s="117">
        <f>+'Ingredient List - Mother Tinctu'!D8318</f>
        <v>0</v>
      </c>
      <c r="AB8317" s="117">
        <f t="shared" si="132"/>
        <v>0</v>
      </c>
      <c r="AC8317" s="117" t="str">
        <f>IF(AB8317=1,COUNTIF($AB$3:AB8317,1),"")</f>
        <v/>
      </c>
      <c r="AD8317" s="117" t="str">
        <f>IFERROR(INDEX($AA$3:$AA$10000,MATCH(ROWS($AC$3:AC8317),$AC$3:$AC$10000,0)),"")</f>
        <v/>
      </c>
    </row>
    <row r="8318" spans="27:30">
      <c r="AA8318" s="117">
        <f>+'Ingredient List - Mother Tinctu'!D8319</f>
        <v>0</v>
      </c>
      <c r="AB8318" s="117">
        <f t="shared" si="132"/>
        <v>0</v>
      </c>
      <c r="AC8318" s="117" t="str">
        <f>IF(AB8318=1,COUNTIF($AB$3:AB8318,1),"")</f>
        <v/>
      </c>
      <c r="AD8318" s="117" t="str">
        <f>IFERROR(INDEX($AA$3:$AA$10000,MATCH(ROWS($AC$3:AC8318),$AC$3:$AC$10000,0)),"")</f>
        <v/>
      </c>
    </row>
    <row r="8319" spans="27:30">
      <c r="AA8319" s="117">
        <f>+'Ingredient List - Mother Tinctu'!D8320</f>
        <v>0</v>
      </c>
      <c r="AB8319" s="117">
        <f t="shared" si="132"/>
        <v>0</v>
      </c>
      <c r="AC8319" s="117" t="str">
        <f>IF(AB8319=1,COUNTIF($AB$3:AB8319,1),"")</f>
        <v/>
      </c>
      <c r="AD8319" s="117" t="str">
        <f>IFERROR(INDEX($AA$3:$AA$10000,MATCH(ROWS($AC$3:AC8319),$AC$3:$AC$10000,0)),"")</f>
        <v/>
      </c>
    </row>
    <row r="8320" spans="27:30">
      <c r="AA8320" s="117">
        <f>+'Ingredient List - Mother Tinctu'!D8321</f>
        <v>0</v>
      </c>
      <c r="AB8320" s="117">
        <f t="shared" si="132"/>
        <v>0</v>
      </c>
      <c r="AC8320" s="117" t="str">
        <f>IF(AB8320=1,COUNTIF($AB$3:AB8320,1),"")</f>
        <v/>
      </c>
      <c r="AD8320" s="117" t="str">
        <f>IFERROR(INDEX($AA$3:$AA$10000,MATCH(ROWS($AC$3:AC8320),$AC$3:$AC$10000,0)),"")</f>
        <v/>
      </c>
    </row>
    <row r="8321" spans="27:30">
      <c r="AA8321" s="117">
        <f>+'Ingredient List - Mother Tinctu'!D8322</f>
        <v>0</v>
      </c>
      <c r="AB8321" s="117">
        <f t="shared" si="132"/>
        <v>0</v>
      </c>
      <c r="AC8321" s="117" t="str">
        <f>IF(AB8321=1,COUNTIF($AB$3:AB8321,1),"")</f>
        <v/>
      </c>
      <c r="AD8321" s="117" t="str">
        <f>IFERROR(INDEX($AA$3:$AA$10000,MATCH(ROWS($AC$3:AC8321),$AC$3:$AC$10000,0)),"")</f>
        <v/>
      </c>
    </row>
    <row r="8322" spans="27:30">
      <c r="AA8322" s="117">
        <f>+'Ingredient List - Mother Tinctu'!D8323</f>
        <v>0</v>
      </c>
      <c r="AB8322" s="117">
        <f t="shared" si="132"/>
        <v>0</v>
      </c>
      <c r="AC8322" s="117" t="str">
        <f>IF(AB8322=1,COUNTIF($AB$3:AB8322,1),"")</f>
        <v/>
      </c>
      <c r="AD8322" s="117" t="str">
        <f>IFERROR(INDEX($AA$3:$AA$10000,MATCH(ROWS($AC$3:AC8322),$AC$3:$AC$10000,0)),"")</f>
        <v/>
      </c>
    </row>
    <row r="8323" spans="27:30">
      <c r="AA8323" s="117">
        <f>+'Ingredient List - Mother Tinctu'!D8324</f>
        <v>0</v>
      </c>
      <c r="AB8323" s="117">
        <f t="shared" si="132"/>
        <v>0</v>
      </c>
      <c r="AC8323" s="117" t="str">
        <f>IF(AB8323=1,COUNTIF($AB$3:AB8323,1),"")</f>
        <v/>
      </c>
      <c r="AD8323" s="117" t="str">
        <f>IFERROR(INDEX($AA$3:$AA$10000,MATCH(ROWS($AC$3:AC8323),$AC$3:$AC$10000,0)),"")</f>
        <v/>
      </c>
    </row>
    <row r="8324" spans="27:30">
      <c r="AA8324" s="117">
        <f>+'Ingredient List - Mother Tinctu'!D8325</f>
        <v>0</v>
      </c>
      <c r="AB8324" s="117">
        <f t="shared" ref="AB8324:AB8387" si="133">--ISNUMBER(IFERROR(SEARCH($D$3,AA8324,1),""))</f>
        <v>0</v>
      </c>
      <c r="AC8324" s="117" t="str">
        <f>IF(AB8324=1,COUNTIF($AB$3:AB8324,1),"")</f>
        <v/>
      </c>
      <c r="AD8324" s="117" t="str">
        <f>IFERROR(INDEX($AA$3:$AA$10000,MATCH(ROWS($AC$3:AC8324),$AC$3:$AC$10000,0)),"")</f>
        <v/>
      </c>
    </row>
    <row r="8325" spans="27:30">
      <c r="AA8325" s="117">
        <f>+'Ingredient List - Mother Tinctu'!D8326</f>
        <v>0</v>
      </c>
      <c r="AB8325" s="117">
        <f t="shared" si="133"/>
        <v>0</v>
      </c>
      <c r="AC8325" s="117" t="str">
        <f>IF(AB8325=1,COUNTIF($AB$3:AB8325,1),"")</f>
        <v/>
      </c>
      <c r="AD8325" s="117" t="str">
        <f>IFERROR(INDEX($AA$3:$AA$10000,MATCH(ROWS($AC$3:AC8325),$AC$3:$AC$10000,0)),"")</f>
        <v/>
      </c>
    </row>
    <row r="8326" spans="27:30">
      <c r="AA8326" s="117">
        <f>+'Ingredient List - Mother Tinctu'!D8327</f>
        <v>0</v>
      </c>
      <c r="AB8326" s="117">
        <f t="shared" si="133"/>
        <v>0</v>
      </c>
      <c r="AC8326" s="117" t="str">
        <f>IF(AB8326=1,COUNTIF($AB$3:AB8326,1),"")</f>
        <v/>
      </c>
      <c r="AD8326" s="117" t="str">
        <f>IFERROR(INDEX($AA$3:$AA$10000,MATCH(ROWS($AC$3:AC8326),$AC$3:$AC$10000,0)),"")</f>
        <v/>
      </c>
    </row>
    <row r="8327" spans="27:30">
      <c r="AA8327" s="117">
        <f>+'Ingredient List - Mother Tinctu'!D8328</f>
        <v>0</v>
      </c>
      <c r="AB8327" s="117">
        <f t="shared" si="133"/>
        <v>0</v>
      </c>
      <c r="AC8327" s="117" t="str">
        <f>IF(AB8327=1,COUNTIF($AB$3:AB8327,1),"")</f>
        <v/>
      </c>
      <c r="AD8327" s="117" t="str">
        <f>IFERROR(INDEX($AA$3:$AA$10000,MATCH(ROWS($AC$3:AC8327),$AC$3:$AC$10000,0)),"")</f>
        <v/>
      </c>
    </row>
    <row r="8328" spans="27:30">
      <c r="AA8328" s="117">
        <f>+'Ingredient List - Mother Tinctu'!D8329</f>
        <v>0</v>
      </c>
      <c r="AB8328" s="117">
        <f t="shared" si="133"/>
        <v>0</v>
      </c>
      <c r="AC8328" s="117" t="str">
        <f>IF(AB8328=1,COUNTIF($AB$3:AB8328,1),"")</f>
        <v/>
      </c>
      <c r="AD8328" s="117" t="str">
        <f>IFERROR(INDEX($AA$3:$AA$10000,MATCH(ROWS($AC$3:AC8328),$AC$3:$AC$10000,0)),"")</f>
        <v/>
      </c>
    </row>
    <row r="8329" spans="27:30">
      <c r="AA8329" s="117">
        <f>+'Ingredient List - Mother Tinctu'!D8330</f>
        <v>0</v>
      </c>
      <c r="AB8329" s="117">
        <f t="shared" si="133"/>
        <v>0</v>
      </c>
      <c r="AC8329" s="117" t="str">
        <f>IF(AB8329=1,COUNTIF($AB$3:AB8329,1),"")</f>
        <v/>
      </c>
      <c r="AD8329" s="117" t="str">
        <f>IFERROR(INDEX($AA$3:$AA$10000,MATCH(ROWS($AC$3:AC8329),$AC$3:$AC$10000,0)),"")</f>
        <v/>
      </c>
    </row>
    <row r="8330" spans="27:30">
      <c r="AA8330" s="117">
        <f>+'Ingredient List - Mother Tinctu'!D8331</f>
        <v>0</v>
      </c>
      <c r="AB8330" s="117">
        <f t="shared" si="133"/>
        <v>0</v>
      </c>
      <c r="AC8330" s="117" t="str">
        <f>IF(AB8330=1,COUNTIF($AB$3:AB8330,1),"")</f>
        <v/>
      </c>
      <c r="AD8330" s="117" t="str">
        <f>IFERROR(INDEX($AA$3:$AA$10000,MATCH(ROWS($AC$3:AC8330),$AC$3:$AC$10000,0)),"")</f>
        <v/>
      </c>
    </row>
    <row r="8331" spans="27:30">
      <c r="AA8331" s="117">
        <f>+'Ingredient List - Mother Tinctu'!D8332</f>
        <v>0</v>
      </c>
      <c r="AB8331" s="117">
        <f t="shared" si="133"/>
        <v>0</v>
      </c>
      <c r="AC8331" s="117" t="str">
        <f>IF(AB8331=1,COUNTIF($AB$3:AB8331,1),"")</f>
        <v/>
      </c>
      <c r="AD8331" s="117" t="str">
        <f>IFERROR(INDEX($AA$3:$AA$10000,MATCH(ROWS($AC$3:AC8331),$AC$3:$AC$10000,0)),"")</f>
        <v/>
      </c>
    </row>
    <row r="8332" spans="27:30">
      <c r="AA8332" s="117">
        <f>+'Ingredient List - Mother Tinctu'!D8333</f>
        <v>0</v>
      </c>
      <c r="AB8332" s="117">
        <f t="shared" si="133"/>
        <v>0</v>
      </c>
      <c r="AC8332" s="117" t="str">
        <f>IF(AB8332=1,COUNTIF($AB$3:AB8332,1),"")</f>
        <v/>
      </c>
      <c r="AD8332" s="117" t="str">
        <f>IFERROR(INDEX($AA$3:$AA$10000,MATCH(ROWS($AC$3:AC8332),$AC$3:$AC$10000,0)),"")</f>
        <v/>
      </c>
    </row>
    <row r="8333" spans="27:30">
      <c r="AA8333" s="117">
        <f>+'Ingredient List - Mother Tinctu'!D8334</f>
        <v>0</v>
      </c>
      <c r="AB8333" s="117">
        <f t="shared" si="133"/>
        <v>0</v>
      </c>
      <c r="AC8333" s="117" t="str">
        <f>IF(AB8333=1,COUNTIF($AB$3:AB8333,1),"")</f>
        <v/>
      </c>
      <c r="AD8333" s="117" t="str">
        <f>IFERROR(INDEX($AA$3:$AA$10000,MATCH(ROWS($AC$3:AC8333),$AC$3:$AC$10000,0)),"")</f>
        <v/>
      </c>
    </row>
    <row r="8334" spans="27:30">
      <c r="AA8334" s="117">
        <f>+'Ingredient List - Mother Tinctu'!D8335</f>
        <v>0</v>
      </c>
      <c r="AB8334" s="117">
        <f t="shared" si="133"/>
        <v>0</v>
      </c>
      <c r="AC8334" s="117" t="str">
        <f>IF(AB8334=1,COUNTIF($AB$3:AB8334,1),"")</f>
        <v/>
      </c>
      <c r="AD8334" s="117" t="str">
        <f>IFERROR(INDEX($AA$3:$AA$10000,MATCH(ROWS($AC$3:AC8334),$AC$3:$AC$10000,0)),"")</f>
        <v/>
      </c>
    </row>
    <row r="8335" spans="27:30">
      <c r="AA8335" s="117">
        <f>+'Ingredient List - Mother Tinctu'!D8336</f>
        <v>0</v>
      </c>
      <c r="AB8335" s="117">
        <f t="shared" si="133"/>
        <v>0</v>
      </c>
      <c r="AC8335" s="117" t="str">
        <f>IF(AB8335=1,COUNTIF($AB$3:AB8335,1),"")</f>
        <v/>
      </c>
      <c r="AD8335" s="117" t="str">
        <f>IFERROR(INDEX($AA$3:$AA$10000,MATCH(ROWS($AC$3:AC8335),$AC$3:$AC$10000,0)),"")</f>
        <v/>
      </c>
    </row>
    <row r="8336" spans="27:30">
      <c r="AA8336" s="117">
        <f>+'Ingredient List - Mother Tinctu'!D8337</f>
        <v>0</v>
      </c>
      <c r="AB8336" s="117">
        <f t="shared" si="133"/>
        <v>0</v>
      </c>
      <c r="AC8336" s="117" t="str">
        <f>IF(AB8336=1,COUNTIF($AB$3:AB8336,1),"")</f>
        <v/>
      </c>
      <c r="AD8336" s="117" t="str">
        <f>IFERROR(INDEX($AA$3:$AA$10000,MATCH(ROWS($AC$3:AC8336),$AC$3:$AC$10000,0)),"")</f>
        <v/>
      </c>
    </row>
    <row r="8337" spans="27:30">
      <c r="AA8337" s="117">
        <f>+'Ingredient List - Mother Tinctu'!D8338</f>
        <v>0</v>
      </c>
      <c r="AB8337" s="117">
        <f t="shared" si="133"/>
        <v>0</v>
      </c>
      <c r="AC8337" s="117" t="str">
        <f>IF(AB8337=1,COUNTIF($AB$3:AB8337,1),"")</f>
        <v/>
      </c>
      <c r="AD8337" s="117" t="str">
        <f>IFERROR(INDEX($AA$3:$AA$10000,MATCH(ROWS($AC$3:AC8337),$AC$3:$AC$10000,0)),"")</f>
        <v/>
      </c>
    </row>
    <row r="8338" spans="27:30">
      <c r="AA8338" s="117">
        <f>+'Ingredient List - Mother Tinctu'!D8339</f>
        <v>0</v>
      </c>
      <c r="AB8338" s="117">
        <f t="shared" si="133"/>
        <v>0</v>
      </c>
      <c r="AC8338" s="117" t="str">
        <f>IF(AB8338=1,COUNTIF($AB$3:AB8338,1),"")</f>
        <v/>
      </c>
      <c r="AD8338" s="117" t="str">
        <f>IFERROR(INDEX($AA$3:$AA$10000,MATCH(ROWS($AC$3:AC8338),$AC$3:$AC$10000,0)),"")</f>
        <v/>
      </c>
    </row>
    <row r="8339" spans="27:30">
      <c r="AA8339" s="117">
        <f>+'Ingredient List - Mother Tinctu'!D8340</f>
        <v>0</v>
      </c>
      <c r="AB8339" s="117">
        <f t="shared" si="133"/>
        <v>0</v>
      </c>
      <c r="AC8339" s="117" t="str">
        <f>IF(AB8339=1,COUNTIF($AB$3:AB8339,1),"")</f>
        <v/>
      </c>
      <c r="AD8339" s="117" t="str">
        <f>IFERROR(INDEX($AA$3:$AA$10000,MATCH(ROWS($AC$3:AC8339),$AC$3:$AC$10000,0)),"")</f>
        <v/>
      </c>
    </row>
    <row r="8340" spans="27:30">
      <c r="AA8340" s="117">
        <f>+'Ingredient List - Mother Tinctu'!D8341</f>
        <v>0</v>
      </c>
      <c r="AB8340" s="117">
        <f t="shared" si="133"/>
        <v>0</v>
      </c>
      <c r="AC8340" s="117" t="str">
        <f>IF(AB8340=1,COUNTIF($AB$3:AB8340,1),"")</f>
        <v/>
      </c>
      <c r="AD8340" s="117" t="str">
        <f>IFERROR(INDEX($AA$3:$AA$10000,MATCH(ROWS($AC$3:AC8340),$AC$3:$AC$10000,0)),"")</f>
        <v/>
      </c>
    </row>
    <row r="8341" spans="27:30">
      <c r="AA8341" s="117">
        <f>+'Ingredient List - Mother Tinctu'!D8342</f>
        <v>0</v>
      </c>
      <c r="AB8341" s="117">
        <f t="shared" si="133"/>
        <v>0</v>
      </c>
      <c r="AC8341" s="117" t="str">
        <f>IF(AB8341=1,COUNTIF($AB$3:AB8341,1),"")</f>
        <v/>
      </c>
      <c r="AD8341" s="117" t="str">
        <f>IFERROR(INDEX($AA$3:$AA$10000,MATCH(ROWS($AC$3:AC8341),$AC$3:$AC$10000,0)),"")</f>
        <v/>
      </c>
    </row>
    <row r="8342" spans="27:30">
      <c r="AA8342" s="117">
        <f>+'Ingredient List - Mother Tinctu'!D8343</f>
        <v>0</v>
      </c>
      <c r="AB8342" s="117">
        <f t="shared" si="133"/>
        <v>0</v>
      </c>
      <c r="AC8342" s="117" t="str">
        <f>IF(AB8342=1,COUNTIF($AB$3:AB8342,1),"")</f>
        <v/>
      </c>
      <c r="AD8342" s="117" t="str">
        <f>IFERROR(INDEX($AA$3:$AA$10000,MATCH(ROWS($AC$3:AC8342),$AC$3:$AC$10000,0)),"")</f>
        <v/>
      </c>
    </row>
    <row r="8343" spans="27:30">
      <c r="AA8343" s="117">
        <f>+'Ingredient List - Mother Tinctu'!D8344</f>
        <v>0</v>
      </c>
      <c r="AB8343" s="117">
        <f t="shared" si="133"/>
        <v>0</v>
      </c>
      <c r="AC8343" s="117" t="str">
        <f>IF(AB8343=1,COUNTIF($AB$3:AB8343,1),"")</f>
        <v/>
      </c>
      <c r="AD8343" s="117" t="str">
        <f>IFERROR(INDEX($AA$3:$AA$10000,MATCH(ROWS($AC$3:AC8343),$AC$3:$AC$10000,0)),"")</f>
        <v/>
      </c>
    </row>
    <row r="8344" spans="27:30">
      <c r="AA8344" s="117">
        <f>+'Ingredient List - Mother Tinctu'!D8345</f>
        <v>0</v>
      </c>
      <c r="AB8344" s="117">
        <f t="shared" si="133"/>
        <v>0</v>
      </c>
      <c r="AC8344" s="117" t="str">
        <f>IF(AB8344=1,COUNTIF($AB$3:AB8344,1),"")</f>
        <v/>
      </c>
      <c r="AD8344" s="117" t="str">
        <f>IFERROR(INDEX($AA$3:$AA$10000,MATCH(ROWS($AC$3:AC8344),$AC$3:$AC$10000,0)),"")</f>
        <v/>
      </c>
    </row>
    <row r="8345" spans="27:30">
      <c r="AA8345" s="117">
        <f>+'Ingredient List - Mother Tinctu'!D8346</f>
        <v>0</v>
      </c>
      <c r="AB8345" s="117">
        <f t="shared" si="133"/>
        <v>0</v>
      </c>
      <c r="AC8345" s="117" t="str">
        <f>IF(AB8345=1,COUNTIF($AB$3:AB8345,1),"")</f>
        <v/>
      </c>
      <c r="AD8345" s="117" t="str">
        <f>IFERROR(INDEX($AA$3:$AA$10000,MATCH(ROWS($AC$3:AC8345),$AC$3:$AC$10000,0)),"")</f>
        <v/>
      </c>
    </row>
    <row r="8346" spans="27:30">
      <c r="AA8346" s="117">
        <f>+'Ingredient List - Mother Tinctu'!D8347</f>
        <v>0</v>
      </c>
      <c r="AB8346" s="117">
        <f t="shared" si="133"/>
        <v>0</v>
      </c>
      <c r="AC8346" s="117" t="str">
        <f>IF(AB8346=1,COUNTIF($AB$3:AB8346,1),"")</f>
        <v/>
      </c>
      <c r="AD8346" s="117" t="str">
        <f>IFERROR(INDEX($AA$3:$AA$10000,MATCH(ROWS($AC$3:AC8346),$AC$3:$AC$10000,0)),"")</f>
        <v/>
      </c>
    </row>
    <row r="8347" spans="27:30">
      <c r="AA8347" s="117">
        <f>+'Ingredient List - Mother Tinctu'!D8348</f>
        <v>0</v>
      </c>
      <c r="AB8347" s="117">
        <f t="shared" si="133"/>
        <v>0</v>
      </c>
      <c r="AC8347" s="117" t="str">
        <f>IF(AB8347=1,COUNTIF($AB$3:AB8347,1),"")</f>
        <v/>
      </c>
      <c r="AD8347" s="117" t="str">
        <f>IFERROR(INDEX($AA$3:$AA$10000,MATCH(ROWS($AC$3:AC8347),$AC$3:$AC$10000,0)),"")</f>
        <v/>
      </c>
    </row>
    <row r="8348" spans="27:30">
      <c r="AA8348" s="117">
        <f>+'Ingredient List - Mother Tinctu'!D8349</f>
        <v>0</v>
      </c>
      <c r="AB8348" s="117">
        <f t="shared" si="133"/>
        <v>0</v>
      </c>
      <c r="AC8348" s="117" t="str">
        <f>IF(AB8348=1,COUNTIF($AB$3:AB8348,1),"")</f>
        <v/>
      </c>
      <c r="AD8348" s="117" t="str">
        <f>IFERROR(INDEX($AA$3:$AA$10000,MATCH(ROWS($AC$3:AC8348),$AC$3:$AC$10000,0)),"")</f>
        <v/>
      </c>
    </row>
    <row r="8349" spans="27:30">
      <c r="AA8349" s="117">
        <f>+'Ingredient List - Mother Tinctu'!D8350</f>
        <v>0</v>
      </c>
      <c r="AB8349" s="117">
        <f t="shared" si="133"/>
        <v>0</v>
      </c>
      <c r="AC8349" s="117" t="str">
        <f>IF(AB8349=1,COUNTIF($AB$3:AB8349,1),"")</f>
        <v/>
      </c>
      <c r="AD8349" s="117" t="str">
        <f>IFERROR(INDEX($AA$3:$AA$10000,MATCH(ROWS($AC$3:AC8349),$AC$3:$AC$10000,0)),"")</f>
        <v/>
      </c>
    </row>
    <row r="8350" spans="27:30">
      <c r="AA8350" s="117">
        <f>+'Ingredient List - Mother Tinctu'!D8351</f>
        <v>0</v>
      </c>
      <c r="AB8350" s="117">
        <f t="shared" si="133"/>
        <v>0</v>
      </c>
      <c r="AC8350" s="117" t="str">
        <f>IF(AB8350=1,COUNTIF($AB$3:AB8350,1),"")</f>
        <v/>
      </c>
      <c r="AD8350" s="117" t="str">
        <f>IFERROR(INDEX($AA$3:$AA$10000,MATCH(ROWS($AC$3:AC8350),$AC$3:$AC$10000,0)),"")</f>
        <v/>
      </c>
    </row>
    <row r="8351" spans="27:30">
      <c r="AA8351" s="117">
        <f>+'Ingredient List - Mother Tinctu'!D8352</f>
        <v>0</v>
      </c>
      <c r="AB8351" s="117">
        <f t="shared" si="133"/>
        <v>0</v>
      </c>
      <c r="AC8351" s="117" t="str">
        <f>IF(AB8351=1,COUNTIF($AB$3:AB8351,1),"")</f>
        <v/>
      </c>
      <c r="AD8351" s="117" t="str">
        <f>IFERROR(INDEX($AA$3:$AA$10000,MATCH(ROWS($AC$3:AC8351),$AC$3:$AC$10000,0)),"")</f>
        <v/>
      </c>
    </row>
    <row r="8352" spans="27:30">
      <c r="AA8352" s="117">
        <f>+'Ingredient List - Mother Tinctu'!D8353</f>
        <v>0</v>
      </c>
      <c r="AB8352" s="117">
        <f t="shared" si="133"/>
        <v>0</v>
      </c>
      <c r="AC8352" s="117" t="str">
        <f>IF(AB8352=1,COUNTIF($AB$3:AB8352,1),"")</f>
        <v/>
      </c>
      <c r="AD8352" s="117" t="str">
        <f>IFERROR(INDEX($AA$3:$AA$10000,MATCH(ROWS($AC$3:AC8352),$AC$3:$AC$10000,0)),"")</f>
        <v/>
      </c>
    </row>
    <row r="8353" spans="27:30">
      <c r="AA8353" s="117">
        <f>+'Ingredient List - Mother Tinctu'!D8354</f>
        <v>0</v>
      </c>
      <c r="AB8353" s="117">
        <f t="shared" si="133"/>
        <v>0</v>
      </c>
      <c r="AC8353" s="117" t="str">
        <f>IF(AB8353=1,COUNTIF($AB$3:AB8353,1),"")</f>
        <v/>
      </c>
      <c r="AD8353" s="117" t="str">
        <f>IFERROR(INDEX($AA$3:$AA$10000,MATCH(ROWS($AC$3:AC8353),$AC$3:$AC$10000,0)),"")</f>
        <v/>
      </c>
    </row>
    <row r="8354" spans="27:30">
      <c r="AA8354" s="117">
        <f>+'Ingredient List - Mother Tinctu'!D8355</f>
        <v>0</v>
      </c>
      <c r="AB8354" s="117">
        <f t="shared" si="133"/>
        <v>0</v>
      </c>
      <c r="AC8354" s="117" t="str">
        <f>IF(AB8354=1,COUNTIF($AB$3:AB8354,1),"")</f>
        <v/>
      </c>
      <c r="AD8354" s="117" t="str">
        <f>IFERROR(INDEX($AA$3:$AA$10000,MATCH(ROWS($AC$3:AC8354),$AC$3:$AC$10000,0)),"")</f>
        <v/>
      </c>
    </row>
    <row r="8355" spans="27:30">
      <c r="AA8355" s="117">
        <f>+'Ingredient List - Mother Tinctu'!D8356</f>
        <v>0</v>
      </c>
      <c r="AB8355" s="117">
        <f t="shared" si="133"/>
        <v>0</v>
      </c>
      <c r="AC8355" s="117" t="str">
        <f>IF(AB8355=1,COUNTIF($AB$3:AB8355,1),"")</f>
        <v/>
      </c>
      <c r="AD8355" s="117" t="str">
        <f>IFERROR(INDEX($AA$3:$AA$10000,MATCH(ROWS($AC$3:AC8355),$AC$3:$AC$10000,0)),"")</f>
        <v/>
      </c>
    </row>
    <row r="8356" spans="27:30">
      <c r="AA8356" s="117">
        <f>+'Ingredient List - Mother Tinctu'!D8357</f>
        <v>0</v>
      </c>
      <c r="AB8356" s="117">
        <f t="shared" si="133"/>
        <v>0</v>
      </c>
      <c r="AC8356" s="117" t="str">
        <f>IF(AB8356=1,COUNTIF($AB$3:AB8356,1),"")</f>
        <v/>
      </c>
      <c r="AD8356" s="117" t="str">
        <f>IFERROR(INDEX($AA$3:$AA$10000,MATCH(ROWS($AC$3:AC8356),$AC$3:$AC$10000,0)),"")</f>
        <v/>
      </c>
    </row>
    <row r="8357" spans="27:30">
      <c r="AA8357" s="117">
        <f>+'Ingredient List - Mother Tinctu'!D8358</f>
        <v>0</v>
      </c>
      <c r="AB8357" s="117">
        <f t="shared" si="133"/>
        <v>0</v>
      </c>
      <c r="AC8357" s="117" t="str">
        <f>IF(AB8357=1,COUNTIF($AB$3:AB8357,1),"")</f>
        <v/>
      </c>
      <c r="AD8357" s="117" t="str">
        <f>IFERROR(INDEX($AA$3:$AA$10000,MATCH(ROWS($AC$3:AC8357),$AC$3:$AC$10000,0)),"")</f>
        <v/>
      </c>
    </row>
    <row r="8358" spans="27:30">
      <c r="AA8358" s="117">
        <f>+'Ingredient List - Mother Tinctu'!D8359</f>
        <v>0</v>
      </c>
      <c r="AB8358" s="117">
        <f t="shared" si="133"/>
        <v>0</v>
      </c>
      <c r="AC8358" s="117" t="str">
        <f>IF(AB8358=1,COUNTIF($AB$3:AB8358,1),"")</f>
        <v/>
      </c>
      <c r="AD8358" s="117" t="str">
        <f>IFERROR(INDEX($AA$3:$AA$10000,MATCH(ROWS($AC$3:AC8358),$AC$3:$AC$10000,0)),"")</f>
        <v/>
      </c>
    </row>
    <row r="8359" spans="27:30">
      <c r="AA8359" s="117">
        <f>+'Ingredient List - Mother Tinctu'!D8360</f>
        <v>0</v>
      </c>
      <c r="AB8359" s="117">
        <f t="shared" si="133"/>
        <v>0</v>
      </c>
      <c r="AC8359" s="117" t="str">
        <f>IF(AB8359=1,COUNTIF($AB$3:AB8359,1),"")</f>
        <v/>
      </c>
      <c r="AD8359" s="117" t="str">
        <f>IFERROR(INDEX($AA$3:$AA$10000,MATCH(ROWS($AC$3:AC8359),$AC$3:$AC$10000,0)),"")</f>
        <v/>
      </c>
    </row>
    <row r="8360" spans="27:30">
      <c r="AA8360" s="117">
        <f>+'Ingredient List - Mother Tinctu'!D8361</f>
        <v>0</v>
      </c>
      <c r="AB8360" s="117">
        <f t="shared" si="133"/>
        <v>0</v>
      </c>
      <c r="AC8360" s="117" t="str">
        <f>IF(AB8360=1,COUNTIF($AB$3:AB8360,1),"")</f>
        <v/>
      </c>
      <c r="AD8360" s="117" t="str">
        <f>IFERROR(INDEX($AA$3:$AA$10000,MATCH(ROWS($AC$3:AC8360),$AC$3:$AC$10000,0)),"")</f>
        <v/>
      </c>
    </row>
    <row r="8361" spans="27:30">
      <c r="AA8361" s="117">
        <f>+'Ingredient List - Mother Tinctu'!D8362</f>
        <v>0</v>
      </c>
      <c r="AB8361" s="117">
        <f t="shared" si="133"/>
        <v>0</v>
      </c>
      <c r="AC8361" s="117" t="str">
        <f>IF(AB8361=1,COUNTIF($AB$3:AB8361,1),"")</f>
        <v/>
      </c>
      <c r="AD8361" s="117" t="str">
        <f>IFERROR(INDEX($AA$3:$AA$10000,MATCH(ROWS($AC$3:AC8361),$AC$3:$AC$10000,0)),"")</f>
        <v/>
      </c>
    </row>
    <row r="8362" spans="27:30">
      <c r="AA8362" s="117">
        <f>+'Ingredient List - Mother Tinctu'!D8363</f>
        <v>0</v>
      </c>
      <c r="AB8362" s="117">
        <f t="shared" si="133"/>
        <v>0</v>
      </c>
      <c r="AC8362" s="117" t="str">
        <f>IF(AB8362=1,COUNTIF($AB$3:AB8362,1),"")</f>
        <v/>
      </c>
      <c r="AD8362" s="117" t="str">
        <f>IFERROR(INDEX($AA$3:$AA$10000,MATCH(ROWS($AC$3:AC8362),$AC$3:$AC$10000,0)),"")</f>
        <v/>
      </c>
    </row>
    <row r="8363" spans="27:30">
      <c r="AA8363" s="117">
        <f>+'Ingredient List - Mother Tinctu'!D8364</f>
        <v>0</v>
      </c>
      <c r="AB8363" s="117">
        <f t="shared" si="133"/>
        <v>0</v>
      </c>
      <c r="AC8363" s="117" t="str">
        <f>IF(AB8363=1,COUNTIF($AB$3:AB8363,1),"")</f>
        <v/>
      </c>
      <c r="AD8363" s="117" t="str">
        <f>IFERROR(INDEX($AA$3:$AA$10000,MATCH(ROWS($AC$3:AC8363),$AC$3:$AC$10000,0)),"")</f>
        <v/>
      </c>
    </row>
    <row r="8364" spans="27:30">
      <c r="AA8364" s="117">
        <f>+'Ingredient List - Mother Tinctu'!D8365</f>
        <v>0</v>
      </c>
      <c r="AB8364" s="117">
        <f t="shared" si="133"/>
        <v>0</v>
      </c>
      <c r="AC8364" s="117" t="str">
        <f>IF(AB8364=1,COUNTIF($AB$3:AB8364,1),"")</f>
        <v/>
      </c>
      <c r="AD8364" s="117" t="str">
        <f>IFERROR(INDEX($AA$3:$AA$10000,MATCH(ROWS($AC$3:AC8364),$AC$3:$AC$10000,0)),"")</f>
        <v/>
      </c>
    </row>
    <row r="8365" spans="27:30">
      <c r="AA8365" s="117">
        <f>+'Ingredient List - Mother Tinctu'!D8366</f>
        <v>0</v>
      </c>
      <c r="AB8365" s="117">
        <f t="shared" si="133"/>
        <v>0</v>
      </c>
      <c r="AC8365" s="117" t="str">
        <f>IF(AB8365=1,COUNTIF($AB$3:AB8365,1),"")</f>
        <v/>
      </c>
      <c r="AD8365" s="117" t="str">
        <f>IFERROR(INDEX($AA$3:$AA$10000,MATCH(ROWS($AC$3:AC8365),$AC$3:$AC$10000,0)),"")</f>
        <v/>
      </c>
    </row>
    <row r="8366" spans="27:30">
      <c r="AA8366" s="117">
        <f>+'Ingredient List - Mother Tinctu'!D8367</f>
        <v>0</v>
      </c>
      <c r="AB8366" s="117">
        <f t="shared" si="133"/>
        <v>0</v>
      </c>
      <c r="AC8366" s="117" t="str">
        <f>IF(AB8366=1,COUNTIF($AB$3:AB8366,1),"")</f>
        <v/>
      </c>
      <c r="AD8366" s="117" t="str">
        <f>IFERROR(INDEX($AA$3:$AA$10000,MATCH(ROWS($AC$3:AC8366),$AC$3:$AC$10000,0)),"")</f>
        <v/>
      </c>
    </row>
    <row r="8367" spans="27:30">
      <c r="AA8367" s="117">
        <f>+'Ingredient List - Mother Tinctu'!D8368</f>
        <v>0</v>
      </c>
      <c r="AB8367" s="117">
        <f t="shared" si="133"/>
        <v>0</v>
      </c>
      <c r="AC8367" s="117" t="str">
        <f>IF(AB8367=1,COUNTIF($AB$3:AB8367,1),"")</f>
        <v/>
      </c>
      <c r="AD8367" s="117" t="str">
        <f>IFERROR(INDEX($AA$3:$AA$10000,MATCH(ROWS($AC$3:AC8367),$AC$3:$AC$10000,0)),"")</f>
        <v/>
      </c>
    </row>
    <row r="8368" spans="27:30">
      <c r="AA8368" s="117">
        <f>+'Ingredient List - Mother Tinctu'!D8369</f>
        <v>0</v>
      </c>
      <c r="AB8368" s="117">
        <f t="shared" si="133"/>
        <v>0</v>
      </c>
      <c r="AC8368" s="117" t="str">
        <f>IF(AB8368=1,COUNTIF($AB$3:AB8368,1),"")</f>
        <v/>
      </c>
      <c r="AD8368" s="117" t="str">
        <f>IFERROR(INDEX($AA$3:$AA$10000,MATCH(ROWS($AC$3:AC8368),$AC$3:$AC$10000,0)),"")</f>
        <v/>
      </c>
    </row>
    <row r="8369" spans="27:30">
      <c r="AA8369" s="117">
        <f>+'Ingredient List - Mother Tinctu'!D8370</f>
        <v>0</v>
      </c>
      <c r="AB8369" s="117">
        <f t="shared" si="133"/>
        <v>0</v>
      </c>
      <c r="AC8369" s="117" t="str">
        <f>IF(AB8369=1,COUNTIF($AB$3:AB8369,1),"")</f>
        <v/>
      </c>
      <c r="AD8369" s="117" t="str">
        <f>IFERROR(INDEX($AA$3:$AA$10000,MATCH(ROWS($AC$3:AC8369),$AC$3:$AC$10000,0)),"")</f>
        <v/>
      </c>
    </row>
    <row r="8370" spans="27:30">
      <c r="AA8370" s="117">
        <f>+'Ingredient List - Mother Tinctu'!D8371</f>
        <v>0</v>
      </c>
      <c r="AB8370" s="117">
        <f t="shared" si="133"/>
        <v>0</v>
      </c>
      <c r="AC8370" s="117" t="str">
        <f>IF(AB8370=1,COUNTIF($AB$3:AB8370,1),"")</f>
        <v/>
      </c>
      <c r="AD8370" s="117" t="str">
        <f>IFERROR(INDEX($AA$3:$AA$10000,MATCH(ROWS($AC$3:AC8370),$AC$3:$AC$10000,0)),"")</f>
        <v/>
      </c>
    </row>
    <row r="8371" spans="27:30">
      <c r="AA8371" s="117">
        <f>+'Ingredient List - Mother Tinctu'!D8372</f>
        <v>0</v>
      </c>
      <c r="AB8371" s="117">
        <f t="shared" si="133"/>
        <v>0</v>
      </c>
      <c r="AC8371" s="117" t="str">
        <f>IF(AB8371=1,COUNTIF($AB$3:AB8371,1),"")</f>
        <v/>
      </c>
      <c r="AD8371" s="117" t="str">
        <f>IFERROR(INDEX($AA$3:$AA$10000,MATCH(ROWS($AC$3:AC8371),$AC$3:$AC$10000,0)),"")</f>
        <v/>
      </c>
    </row>
    <row r="8372" spans="27:30">
      <c r="AA8372" s="117">
        <f>+'Ingredient List - Mother Tinctu'!D8373</f>
        <v>0</v>
      </c>
      <c r="AB8372" s="117">
        <f t="shared" si="133"/>
        <v>0</v>
      </c>
      <c r="AC8372" s="117" t="str">
        <f>IF(AB8372=1,COUNTIF($AB$3:AB8372,1),"")</f>
        <v/>
      </c>
      <c r="AD8372" s="117" t="str">
        <f>IFERROR(INDEX($AA$3:$AA$10000,MATCH(ROWS($AC$3:AC8372),$AC$3:$AC$10000,0)),"")</f>
        <v/>
      </c>
    </row>
    <row r="8373" spans="27:30">
      <c r="AA8373" s="117">
        <f>+'Ingredient List - Mother Tinctu'!D8374</f>
        <v>0</v>
      </c>
      <c r="AB8373" s="117">
        <f t="shared" si="133"/>
        <v>0</v>
      </c>
      <c r="AC8373" s="117" t="str">
        <f>IF(AB8373=1,COUNTIF($AB$3:AB8373,1),"")</f>
        <v/>
      </c>
      <c r="AD8373" s="117" t="str">
        <f>IFERROR(INDEX($AA$3:$AA$10000,MATCH(ROWS($AC$3:AC8373),$AC$3:$AC$10000,0)),"")</f>
        <v/>
      </c>
    </row>
    <row r="8374" spans="27:30">
      <c r="AA8374" s="117">
        <f>+'Ingredient List - Mother Tinctu'!D8375</f>
        <v>0</v>
      </c>
      <c r="AB8374" s="117">
        <f t="shared" si="133"/>
        <v>0</v>
      </c>
      <c r="AC8374" s="117" t="str">
        <f>IF(AB8374=1,COUNTIF($AB$3:AB8374,1),"")</f>
        <v/>
      </c>
      <c r="AD8374" s="117" t="str">
        <f>IFERROR(INDEX($AA$3:$AA$10000,MATCH(ROWS($AC$3:AC8374),$AC$3:$AC$10000,0)),"")</f>
        <v/>
      </c>
    </row>
    <row r="8375" spans="27:30">
      <c r="AA8375" s="117">
        <f>+'Ingredient List - Mother Tinctu'!D8376</f>
        <v>0</v>
      </c>
      <c r="AB8375" s="117">
        <f t="shared" si="133"/>
        <v>0</v>
      </c>
      <c r="AC8375" s="117" t="str">
        <f>IF(AB8375=1,COUNTIF($AB$3:AB8375,1),"")</f>
        <v/>
      </c>
      <c r="AD8375" s="117" t="str">
        <f>IFERROR(INDEX($AA$3:$AA$10000,MATCH(ROWS($AC$3:AC8375),$AC$3:$AC$10000,0)),"")</f>
        <v/>
      </c>
    </row>
    <row r="8376" spans="27:30">
      <c r="AA8376" s="117">
        <f>+'Ingredient List - Mother Tinctu'!D8377</f>
        <v>0</v>
      </c>
      <c r="AB8376" s="117">
        <f t="shared" si="133"/>
        <v>0</v>
      </c>
      <c r="AC8376" s="117" t="str">
        <f>IF(AB8376=1,COUNTIF($AB$3:AB8376,1),"")</f>
        <v/>
      </c>
      <c r="AD8376" s="117" t="str">
        <f>IFERROR(INDEX($AA$3:$AA$10000,MATCH(ROWS($AC$3:AC8376),$AC$3:$AC$10000,0)),"")</f>
        <v/>
      </c>
    </row>
    <row r="8377" spans="27:30">
      <c r="AA8377" s="117">
        <f>+'Ingredient List - Mother Tinctu'!D8378</f>
        <v>0</v>
      </c>
      <c r="AB8377" s="117">
        <f t="shared" si="133"/>
        <v>0</v>
      </c>
      <c r="AC8377" s="117" t="str">
        <f>IF(AB8377=1,COUNTIF($AB$3:AB8377,1),"")</f>
        <v/>
      </c>
      <c r="AD8377" s="117" t="str">
        <f>IFERROR(INDEX($AA$3:$AA$10000,MATCH(ROWS($AC$3:AC8377),$AC$3:$AC$10000,0)),"")</f>
        <v/>
      </c>
    </row>
    <row r="8378" spans="27:30">
      <c r="AA8378" s="117">
        <f>+'Ingredient List - Mother Tinctu'!D8379</f>
        <v>0</v>
      </c>
      <c r="AB8378" s="117">
        <f t="shared" si="133"/>
        <v>0</v>
      </c>
      <c r="AC8378" s="117" t="str">
        <f>IF(AB8378=1,COUNTIF($AB$3:AB8378,1),"")</f>
        <v/>
      </c>
      <c r="AD8378" s="117" t="str">
        <f>IFERROR(INDEX($AA$3:$AA$10000,MATCH(ROWS($AC$3:AC8378),$AC$3:$AC$10000,0)),"")</f>
        <v/>
      </c>
    </row>
    <row r="8379" spans="27:30">
      <c r="AA8379" s="117">
        <f>+'Ingredient List - Mother Tinctu'!D8380</f>
        <v>0</v>
      </c>
      <c r="AB8379" s="117">
        <f t="shared" si="133"/>
        <v>0</v>
      </c>
      <c r="AC8379" s="117" t="str">
        <f>IF(AB8379=1,COUNTIF($AB$3:AB8379,1),"")</f>
        <v/>
      </c>
      <c r="AD8379" s="117" t="str">
        <f>IFERROR(INDEX($AA$3:$AA$10000,MATCH(ROWS($AC$3:AC8379),$AC$3:$AC$10000,0)),"")</f>
        <v/>
      </c>
    </row>
    <row r="8380" spans="27:30">
      <c r="AA8380" s="117">
        <f>+'Ingredient List - Mother Tinctu'!D8381</f>
        <v>0</v>
      </c>
      <c r="AB8380" s="117">
        <f t="shared" si="133"/>
        <v>0</v>
      </c>
      <c r="AC8380" s="117" t="str">
        <f>IF(AB8380=1,COUNTIF($AB$3:AB8380,1),"")</f>
        <v/>
      </c>
      <c r="AD8380" s="117" t="str">
        <f>IFERROR(INDEX($AA$3:$AA$10000,MATCH(ROWS($AC$3:AC8380),$AC$3:$AC$10000,0)),"")</f>
        <v/>
      </c>
    </row>
    <row r="8381" spans="27:30">
      <c r="AA8381" s="117">
        <f>+'Ingredient List - Mother Tinctu'!D8382</f>
        <v>0</v>
      </c>
      <c r="AB8381" s="117">
        <f t="shared" si="133"/>
        <v>0</v>
      </c>
      <c r="AC8381" s="117" t="str">
        <f>IF(AB8381=1,COUNTIF($AB$3:AB8381,1),"")</f>
        <v/>
      </c>
      <c r="AD8381" s="117" t="str">
        <f>IFERROR(INDEX($AA$3:$AA$10000,MATCH(ROWS($AC$3:AC8381),$AC$3:$AC$10000,0)),"")</f>
        <v/>
      </c>
    </row>
    <row r="8382" spans="27:30">
      <c r="AA8382" s="117">
        <f>+'Ingredient List - Mother Tinctu'!D8383</f>
        <v>0</v>
      </c>
      <c r="AB8382" s="117">
        <f t="shared" si="133"/>
        <v>0</v>
      </c>
      <c r="AC8382" s="117" t="str">
        <f>IF(AB8382=1,COUNTIF($AB$3:AB8382,1),"")</f>
        <v/>
      </c>
      <c r="AD8382" s="117" t="str">
        <f>IFERROR(INDEX($AA$3:$AA$10000,MATCH(ROWS($AC$3:AC8382),$AC$3:$AC$10000,0)),"")</f>
        <v/>
      </c>
    </row>
    <row r="8383" spans="27:30">
      <c r="AA8383" s="117">
        <f>+'Ingredient List - Mother Tinctu'!D8384</f>
        <v>0</v>
      </c>
      <c r="AB8383" s="117">
        <f t="shared" si="133"/>
        <v>0</v>
      </c>
      <c r="AC8383" s="117" t="str">
        <f>IF(AB8383=1,COUNTIF($AB$3:AB8383,1),"")</f>
        <v/>
      </c>
      <c r="AD8383" s="117" t="str">
        <f>IFERROR(INDEX($AA$3:$AA$10000,MATCH(ROWS($AC$3:AC8383),$AC$3:$AC$10000,0)),"")</f>
        <v/>
      </c>
    </row>
    <row r="8384" spans="27:30">
      <c r="AA8384" s="117">
        <f>+'Ingredient List - Mother Tinctu'!D8385</f>
        <v>0</v>
      </c>
      <c r="AB8384" s="117">
        <f t="shared" si="133"/>
        <v>0</v>
      </c>
      <c r="AC8384" s="117" t="str">
        <f>IF(AB8384=1,COUNTIF($AB$3:AB8384,1),"")</f>
        <v/>
      </c>
      <c r="AD8384" s="117" t="str">
        <f>IFERROR(INDEX($AA$3:$AA$10000,MATCH(ROWS($AC$3:AC8384),$AC$3:$AC$10000,0)),"")</f>
        <v/>
      </c>
    </row>
    <row r="8385" spans="27:30">
      <c r="AA8385" s="117">
        <f>+'Ingredient List - Mother Tinctu'!D8386</f>
        <v>0</v>
      </c>
      <c r="AB8385" s="117">
        <f t="shared" si="133"/>
        <v>0</v>
      </c>
      <c r="AC8385" s="117" t="str">
        <f>IF(AB8385=1,COUNTIF($AB$3:AB8385,1),"")</f>
        <v/>
      </c>
      <c r="AD8385" s="117" t="str">
        <f>IFERROR(INDEX($AA$3:$AA$10000,MATCH(ROWS($AC$3:AC8385),$AC$3:$AC$10000,0)),"")</f>
        <v/>
      </c>
    </row>
    <row r="8386" spans="27:30">
      <c r="AA8386" s="117">
        <f>+'Ingredient List - Mother Tinctu'!D8387</f>
        <v>0</v>
      </c>
      <c r="AB8386" s="117">
        <f t="shared" si="133"/>
        <v>0</v>
      </c>
      <c r="AC8386" s="117" t="str">
        <f>IF(AB8386=1,COUNTIF($AB$3:AB8386,1),"")</f>
        <v/>
      </c>
      <c r="AD8386" s="117" t="str">
        <f>IFERROR(INDEX($AA$3:$AA$10000,MATCH(ROWS($AC$3:AC8386),$AC$3:$AC$10000,0)),"")</f>
        <v/>
      </c>
    </row>
    <row r="8387" spans="27:30">
      <c r="AA8387" s="117">
        <f>+'Ingredient List - Mother Tinctu'!D8388</f>
        <v>0</v>
      </c>
      <c r="AB8387" s="117">
        <f t="shared" si="133"/>
        <v>0</v>
      </c>
      <c r="AC8387" s="117" t="str">
        <f>IF(AB8387=1,COUNTIF($AB$3:AB8387,1),"")</f>
        <v/>
      </c>
      <c r="AD8387" s="117" t="str">
        <f>IFERROR(INDEX($AA$3:$AA$10000,MATCH(ROWS($AC$3:AC8387),$AC$3:$AC$10000,0)),"")</f>
        <v/>
      </c>
    </row>
    <row r="8388" spans="27:30">
      <c r="AA8388" s="117">
        <f>+'Ingredient List - Mother Tinctu'!D8389</f>
        <v>0</v>
      </c>
      <c r="AB8388" s="117">
        <f t="shared" ref="AB8388:AB8451" si="134">--ISNUMBER(IFERROR(SEARCH($D$3,AA8388,1),""))</f>
        <v>0</v>
      </c>
      <c r="AC8388" s="117" t="str">
        <f>IF(AB8388=1,COUNTIF($AB$3:AB8388,1),"")</f>
        <v/>
      </c>
      <c r="AD8388" s="117" t="str">
        <f>IFERROR(INDEX($AA$3:$AA$10000,MATCH(ROWS($AC$3:AC8388),$AC$3:$AC$10000,0)),"")</f>
        <v/>
      </c>
    </row>
    <row r="8389" spans="27:30">
      <c r="AA8389" s="117">
        <f>+'Ingredient List - Mother Tinctu'!D8390</f>
        <v>0</v>
      </c>
      <c r="AB8389" s="117">
        <f t="shared" si="134"/>
        <v>0</v>
      </c>
      <c r="AC8389" s="117" t="str">
        <f>IF(AB8389=1,COUNTIF($AB$3:AB8389,1),"")</f>
        <v/>
      </c>
      <c r="AD8389" s="117" t="str">
        <f>IFERROR(INDEX($AA$3:$AA$10000,MATCH(ROWS($AC$3:AC8389),$AC$3:$AC$10000,0)),"")</f>
        <v/>
      </c>
    </row>
    <row r="8390" spans="27:30">
      <c r="AA8390" s="117">
        <f>+'Ingredient List - Mother Tinctu'!D8391</f>
        <v>0</v>
      </c>
      <c r="AB8390" s="117">
        <f t="shared" si="134"/>
        <v>0</v>
      </c>
      <c r="AC8390" s="117" t="str">
        <f>IF(AB8390=1,COUNTIF($AB$3:AB8390,1),"")</f>
        <v/>
      </c>
      <c r="AD8390" s="117" t="str">
        <f>IFERROR(INDEX($AA$3:$AA$10000,MATCH(ROWS($AC$3:AC8390),$AC$3:$AC$10000,0)),"")</f>
        <v/>
      </c>
    </row>
    <row r="8391" spans="27:30">
      <c r="AA8391" s="117">
        <f>+'Ingredient List - Mother Tinctu'!D8392</f>
        <v>0</v>
      </c>
      <c r="AB8391" s="117">
        <f t="shared" si="134"/>
        <v>0</v>
      </c>
      <c r="AC8391" s="117" t="str">
        <f>IF(AB8391=1,COUNTIF($AB$3:AB8391,1),"")</f>
        <v/>
      </c>
      <c r="AD8391" s="117" t="str">
        <f>IFERROR(INDEX($AA$3:$AA$10000,MATCH(ROWS($AC$3:AC8391),$AC$3:$AC$10000,0)),"")</f>
        <v/>
      </c>
    </row>
    <row r="8392" spans="27:30">
      <c r="AA8392" s="117">
        <f>+'Ingredient List - Mother Tinctu'!D8393</f>
        <v>0</v>
      </c>
      <c r="AB8392" s="117">
        <f t="shared" si="134"/>
        <v>0</v>
      </c>
      <c r="AC8392" s="117" t="str">
        <f>IF(AB8392=1,COUNTIF($AB$3:AB8392,1),"")</f>
        <v/>
      </c>
      <c r="AD8392" s="117" t="str">
        <f>IFERROR(INDEX($AA$3:$AA$10000,MATCH(ROWS($AC$3:AC8392),$AC$3:$AC$10000,0)),"")</f>
        <v/>
      </c>
    </row>
    <row r="8393" spans="27:30">
      <c r="AA8393" s="117">
        <f>+'Ingredient List - Mother Tinctu'!D8394</f>
        <v>0</v>
      </c>
      <c r="AB8393" s="117">
        <f t="shared" si="134"/>
        <v>0</v>
      </c>
      <c r="AC8393" s="117" t="str">
        <f>IF(AB8393=1,COUNTIF($AB$3:AB8393,1),"")</f>
        <v/>
      </c>
      <c r="AD8393" s="117" t="str">
        <f>IFERROR(INDEX($AA$3:$AA$10000,MATCH(ROWS($AC$3:AC8393),$AC$3:$AC$10000,0)),"")</f>
        <v/>
      </c>
    </row>
    <row r="8394" spans="27:30">
      <c r="AA8394" s="117">
        <f>+'Ingredient List - Mother Tinctu'!D8395</f>
        <v>0</v>
      </c>
      <c r="AB8394" s="117">
        <f t="shared" si="134"/>
        <v>0</v>
      </c>
      <c r="AC8394" s="117" t="str">
        <f>IF(AB8394=1,COUNTIF($AB$3:AB8394,1),"")</f>
        <v/>
      </c>
      <c r="AD8394" s="117" t="str">
        <f>IFERROR(INDEX($AA$3:$AA$10000,MATCH(ROWS($AC$3:AC8394),$AC$3:$AC$10000,0)),"")</f>
        <v/>
      </c>
    </row>
    <row r="8395" spans="27:30">
      <c r="AA8395" s="117">
        <f>+'Ingredient List - Mother Tinctu'!D8396</f>
        <v>0</v>
      </c>
      <c r="AB8395" s="117">
        <f t="shared" si="134"/>
        <v>0</v>
      </c>
      <c r="AC8395" s="117" t="str">
        <f>IF(AB8395=1,COUNTIF($AB$3:AB8395,1),"")</f>
        <v/>
      </c>
      <c r="AD8395" s="117" t="str">
        <f>IFERROR(INDEX($AA$3:$AA$10000,MATCH(ROWS($AC$3:AC8395),$AC$3:$AC$10000,0)),"")</f>
        <v/>
      </c>
    </row>
    <row r="8396" spans="27:30">
      <c r="AA8396" s="117">
        <f>+'Ingredient List - Mother Tinctu'!D8397</f>
        <v>0</v>
      </c>
      <c r="AB8396" s="117">
        <f t="shared" si="134"/>
        <v>0</v>
      </c>
      <c r="AC8396" s="117" t="str">
        <f>IF(AB8396=1,COUNTIF($AB$3:AB8396,1),"")</f>
        <v/>
      </c>
      <c r="AD8396" s="117" t="str">
        <f>IFERROR(INDEX($AA$3:$AA$10000,MATCH(ROWS($AC$3:AC8396),$AC$3:$AC$10000,0)),"")</f>
        <v/>
      </c>
    </row>
    <row r="8397" spans="27:30">
      <c r="AA8397" s="117">
        <f>+'Ingredient List - Mother Tinctu'!D8398</f>
        <v>0</v>
      </c>
      <c r="AB8397" s="117">
        <f t="shared" si="134"/>
        <v>0</v>
      </c>
      <c r="AC8397" s="117" t="str">
        <f>IF(AB8397=1,COUNTIF($AB$3:AB8397,1),"")</f>
        <v/>
      </c>
      <c r="AD8397" s="117" t="str">
        <f>IFERROR(INDEX($AA$3:$AA$10000,MATCH(ROWS($AC$3:AC8397),$AC$3:$AC$10000,0)),"")</f>
        <v/>
      </c>
    </row>
    <row r="8398" spans="27:30">
      <c r="AA8398" s="117">
        <f>+'Ingredient List - Mother Tinctu'!D8399</f>
        <v>0</v>
      </c>
      <c r="AB8398" s="117">
        <f t="shared" si="134"/>
        <v>0</v>
      </c>
      <c r="AC8398" s="117" t="str">
        <f>IF(AB8398=1,COUNTIF($AB$3:AB8398,1),"")</f>
        <v/>
      </c>
      <c r="AD8398" s="117" t="str">
        <f>IFERROR(INDEX($AA$3:$AA$10000,MATCH(ROWS($AC$3:AC8398),$AC$3:$AC$10000,0)),"")</f>
        <v/>
      </c>
    </row>
    <row r="8399" spans="27:30">
      <c r="AA8399" s="117">
        <f>+'Ingredient List - Mother Tinctu'!D8400</f>
        <v>0</v>
      </c>
      <c r="AB8399" s="117">
        <f t="shared" si="134"/>
        <v>0</v>
      </c>
      <c r="AC8399" s="117" t="str">
        <f>IF(AB8399=1,COUNTIF($AB$3:AB8399,1),"")</f>
        <v/>
      </c>
      <c r="AD8399" s="117" t="str">
        <f>IFERROR(INDEX($AA$3:$AA$10000,MATCH(ROWS($AC$3:AC8399),$AC$3:$AC$10000,0)),"")</f>
        <v/>
      </c>
    </row>
    <row r="8400" spans="27:30">
      <c r="AA8400" s="117">
        <f>+'Ingredient List - Mother Tinctu'!D8401</f>
        <v>0</v>
      </c>
      <c r="AB8400" s="117">
        <f t="shared" si="134"/>
        <v>0</v>
      </c>
      <c r="AC8400" s="117" t="str">
        <f>IF(AB8400=1,COUNTIF($AB$3:AB8400,1),"")</f>
        <v/>
      </c>
      <c r="AD8400" s="117" t="str">
        <f>IFERROR(INDEX($AA$3:$AA$10000,MATCH(ROWS($AC$3:AC8400),$AC$3:$AC$10000,0)),"")</f>
        <v/>
      </c>
    </row>
    <row r="8401" spans="27:30">
      <c r="AA8401" s="117">
        <f>+'Ingredient List - Mother Tinctu'!D8402</f>
        <v>0</v>
      </c>
      <c r="AB8401" s="117">
        <f t="shared" si="134"/>
        <v>0</v>
      </c>
      <c r="AC8401" s="117" t="str">
        <f>IF(AB8401=1,COUNTIF($AB$3:AB8401,1),"")</f>
        <v/>
      </c>
      <c r="AD8401" s="117" t="str">
        <f>IFERROR(INDEX($AA$3:$AA$10000,MATCH(ROWS($AC$3:AC8401),$AC$3:$AC$10000,0)),"")</f>
        <v/>
      </c>
    </row>
    <row r="8402" spans="27:30">
      <c r="AA8402" s="117">
        <f>+'Ingredient List - Mother Tinctu'!D8403</f>
        <v>0</v>
      </c>
      <c r="AB8402" s="117">
        <f t="shared" si="134"/>
        <v>0</v>
      </c>
      <c r="AC8402" s="117" t="str">
        <f>IF(AB8402=1,COUNTIF($AB$3:AB8402,1),"")</f>
        <v/>
      </c>
      <c r="AD8402" s="117" t="str">
        <f>IFERROR(INDEX($AA$3:$AA$10000,MATCH(ROWS($AC$3:AC8402),$AC$3:$AC$10000,0)),"")</f>
        <v/>
      </c>
    </row>
    <row r="8403" spans="27:30">
      <c r="AA8403" s="117">
        <f>+'Ingredient List - Mother Tinctu'!D8404</f>
        <v>0</v>
      </c>
      <c r="AB8403" s="117">
        <f t="shared" si="134"/>
        <v>0</v>
      </c>
      <c r="AC8403" s="117" t="str">
        <f>IF(AB8403=1,COUNTIF($AB$3:AB8403,1),"")</f>
        <v/>
      </c>
      <c r="AD8403" s="117" t="str">
        <f>IFERROR(INDEX($AA$3:$AA$10000,MATCH(ROWS($AC$3:AC8403),$AC$3:$AC$10000,0)),"")</f>
        <v/>
      </c>
    </row>
    <row r="8404" spans="27:30">
      <c r="AA8404" s="117">
        <f>+'Ingredient List - Mother Tinctu'!D8405</f>
        <v>0</v>
      </c>
      <c r="AB8404" s="117">
        <f t="shared" si="134"/>
        <v>0</v>
      </c>
      <c r="AC8404" s="117" t="str">
        <f>IF(AB8404=1,COUNTIF($AB$3:AB8404,1),"")</f>
        <v/>
      </c>
      <c r="AD8404" s="117" t="str">
        <f>IFERROR(INDEX($AA$3:$AA$10000,MATCH(ROWS($AC$3:AC8404),$AC$3:$AC$10000,0)),"")</f>
        <v/>
      </c>
    </row>
    <row r="8405" spans="27:30">
      <c r="AA8405" s="117">
        <f>+'Ingredient List - Mother Tinctu'!D8406</f>
        <v>0</v>
      </c>
      <c r="AB8405" s="117">
        <f t="shared" si="134"/>
        <v>0</v>
      </c>
      <c r="AC8405" s="117" t="str">
        <f>IF(AB8405=1,COUNTIF($AB$3:AB8405,1),"")</f>
        <v/>
      </c>
      <c r="AD8405" s="117" t="str">
        <f>IFERROR(INDEX($AA$3:$AA$10000,MATCH(ROWS($AC$3:AC8405),$AC$3:$AC$10000,0)),"")</f>
        <v/>
      </c>
    </row>
    <row r="8406" spans="27:30">
      <c r="AA8406" s="117">
        <f>+'Ingredient List - Mother Tinctu'!D8407</f>
        <v>0</v>
      </c>
      <c r="AB8406" s="117">
        <f t="shared" si="134"/>
        <v>0</v>
      </c>
      <c r="AC8406" s="117" t="str">
        <f>IF(AB8406=1,COUNTIF($AB$3:AB8406,1),"")</f>
        <v/>
      </c>
      <c r="AD8406" s="117" t="str">
        <f>IFERROR(INDEX($AA$3:$AA$10000,MATCH(ROWS($AC$3:AC8406),$AC$3:$AC$10000,0)),"")</f>
        <v/>
      </c>
    </row>
    <row r="8407" spans="27:30">
      <c r="AA8407" s="117">
        <f>+'Ingredient List - Mother Tinctu'!D8408</f>
        <v>0</v>
      </c>
      <c r="AB8407" s="117">
        <f t="shared" si="134"/>
        <v>0</v>
      </c>
      <c r="AC8407" s="117" t="str">
        <f>IF(AB8407=1,COUNTIF($AB$3:AB8407,1),"")</f>
        <v/>
      </c>
      <c r="AD8407" s="117" t="str">
        <f>IFERROR(INDEX($AA$3:$AA$10000,MATCH(ROWS($AC$3:AC8407),$AC$3:$AC$10000,0)),"")</f>
        <v/>
      </c>
    </row>
    <row r="8408" spans="27:30">
      <c r="AA8408" s="117">
        <f>+'Ingredient List - Mother Tinctu'!D8409</f>
        <v>0</v>
      </c>
      <c r="AB8408" s="117">
        <f t="shared" si="134"/>
        <v>0</v>
      </c>
      <c r="AC8408" s="117" t="str">
        <f>IF(AB8408=1,COUNTIF($AB$3:AB8408,1),"")</f>
        <v/>
      </c>
      <c r="AD8408" s="117" t="str">
        <f>IFERROR(INDEX($AA$3:$AA$10000,MATCH(ROWS($AC$3:AC8408),$AC$3:$AC$10000,0)),"")</f>
        <v/>
      </c>
    </row>
    <row r="8409" spans="27:30">
      <c r="AA8409" s="117">
        <f>+'Ingredient List - Mother Tinctu'!D8410</f>
        <v>0</v>
      </c>
      <c r="AB8409" s="117">
        <f t="shared" si="134"/>
        <v>0</v>
      </c>
      <c r="AC8409" s="117" t="str">
        <f>IF(AB8409=1,COUNTIF($AB$3:AB8409,1),"")</f>
        <v/>
      </c>
      <c r="AD8409" s="117" t="str">
        <f>IFERROR(INDEX($AA$3:$AA$10000,MATCH(ROWS($AC$3:AC8409),$AC$3:$AC$10000,0)),"")</f>
        <v/>
      </c>
    </row>
    <row r="8410" spans="27:30">
      <c r="AA8410" s="117">
        <f>+'Ingredient List - Mother Tinctu'!D8411</f>
        <v>0</v>
      </c>
      <c r="AB8410" s="117">
        <f t="shared" si="134"/>
        <v>0</v>
      </c>
      <c r="AC8410" s="117" t="str">
        <f>IF(AB8410=1,COUNTIF($AB$3:AB8410,1),"")</f>
        <v/>
      </c>
      <c r="AD8410" s="117" t="str">
        <f>IFERROR(INDEX($AA$3:$AA$10000,MATCH(ROWS($AC$3:AC8410),$AC$3:$AC$10000,0)),"")</f>
        <v/>
      </c>
    </row>
    <row r="8411" spans="27:30">
      <c r="AA8411" s="117">
        <f>+'Ingredient List - Mother Tinctu'!D8412</f>
        <v>0</v>
      </c>
      <c r="AB8411" s="117">
        <f t="shared" si="134"/>
        <v>0</v>
      </c>
      <c r="AC8411" s="117" t="str">
        <f>IF(AB8411=1,COUNTIF($AB$3:AB8411,1),"")</f>
        <v/>
      </c>
      <c r="AD8411" s="117" t="str">
        <f>IFERROR(INDEX($AA$3:$AA$10000,MATCH(ROWS($AC$3:AC8411),$AC$3:$AC$10000,0)),"")</f>
        <v/>
      </c>
    </row>
    <row r="8412" spans="27:30">
      <c r="AA8412" s="117">
        <f>+'Ingredient List - Mother Tinctu'!D8413</f>
        <v>0</v>
      </c>
      <c r="AB8412" s="117">
        <f t="shared" si="134"/>
        <v>0</v>
      </c>
      <c r="AC8412" s="117" t="str">
        <f>IF(AB8412=1,COUNTIF($AB$3:AB8412,1),"")</f>
        <v/>
      </c>
      <c r="AD8412" s="117" t="str">
        <f>IFERROR(INDEX($AA$3:$AA$10000,MATCH(ROWS($AC$3:AC8412),$AC$3:$AC$10000,0)),"")</f>
        <v/>
      </c>
    </row>
    <row r="8413" spans="27:30">
      <c r="AA8413" s="117">
        <f>+'Ingredient List - Mother Tinctu'!D8414</f>
        <v>0</v>
      </c>
      <c r="AB8413" s="117">
        <f t="shared" si="134"/>
        <v>0</v>
      </c>
      <c r="AC8413" s="117" t="str">
        <f>IF(AB8413=1,COUNTIF($AB$3:AB8413,1),"")</f>
        <v/>
      </c>
      <c r="AD8413" s="117" t="str">
        <f>IFERROR(INDEX($AA$3:$AA$10000,MATCH(ROWS($AC$3:AC8413),$AC$3:$AC$10000,0)),"")</f>
        <v/>
      </c>
    </row>
    <row r="8414" spans="27:30">
      <c r="AA8414" s="117">
        <f>+'Ingredient List - Mother Tinctu'!D8415</f>
        <v>0</v>
      </c>
      <c r="AB8414" s="117">
        <f t="shared" si="134"/>
        <v>0</v>
      </c>
      <c r="AC8414" s="117" t="str">
        <f>IF(AB8414=1,COUNTIF($AB$3:AB8414,1),"")</f>
        <v/>
      </c>
      <c r="AD8414" s="117" t="str">
        <f>IFERROR(INDEX($AA$3:$AA$10000,MATCH(ROWS($AC$3:AC8414),$AC$3:$AC$10000,0)),"")</f>
        <v/>
      </c>
    </row>
    <row r="8415" spans="27:30">
      <c r="AA8415" s="117">
        <f>+'Ingredient List - Mother Tinctu'!D8416</f>
        <v>0</v>
      </c>
      <c r="AB8415" s="117">
        <f t="shared" si="134"/>
        <v>0</v>
      </c>
      <c r="AC8415" s="117" t="str">
        <f>IF(AB8415=1,COUNTIF($AB$3:AB8415,1),"")</f>
        <v/>
      </c>
      <c r="AD8415" s="117" t="str">
        <f>IFERROR(INDEX($AA$3:$AA$10000,MATCH(ROWS($AC$3:AC8415),$AC$3:$AC$10000,0)),"")</f>
        <v/>
      </c>
    </row>
    <row r="8416" spans="27:30">
      <c r="AA8416" s="117">
        <f>+'Ingredient List - Mother Tinctu'!D8417</f>
        <v>0</v>
      </c>
      <c r="AB8416" s="117">
        <f t="shared" si="134"/>
        <v>0</v>
      </c>
      <c r="AC8416" s="117" t="str">
        <f>IF(AB8416=1,COUNTIF($AB$3:AB8416,1),"")</f>
        <v/>
      </c>
      <c r="AD8416" s="117" t="str">
        <f>IFERROR(INDEX($AA$3:$AA$10000,MATCH(ROWS($AC$3:AC8416),$AC$3:$AC$10000,0)),"")</f>
        <v/>
      </c>
    </row>
    <row r="8417" spans="27:30">
      <c r="AA8417" s="117">
        <f>+'Ingredient List - Mother Tinctu'!D8418</f>
        <v>0</v>
      </c>
      <c r="AB8417" s="117">
        <f t="shared" si="134"/>
        <v>0</v>
      </c>
      <c r="AC8417" s="117" t="str">
        <f>IF(AB8417=1,COUNTIF($AB$3:AB8417,1),"")</f>
        <v/>
      </c>
      <c r="AD8417" s="117" t="str">
        <f>IFERROR(INDEX($AA$3:$AA$10000,MATCH(ROWS($AC$3:AC8417),$AC$3:$AC$10000,0)),"")</f>
        <v/>
      </c>
    </row>
    <row r="8418" spans="27:30">
      <c r="AA8418" s="117">
        <f>+'Ingredient List - Mother Tinctu'!D8419</f>
        <v>0</v>
      </c>
      <c r="AB8418" s="117">
        <f t="shared" si="134"/>
        <v>0</v>
      </c>
      <c r="AC8418" s="117" t="str">
        <f>IF(AB8418=1,COUNTIF($AB$3:AB8418,1),"")</f>
        <v/>
      </c>
      <c r="AD8418" s="117" t="str">
        <f>IFERROR(INDEX($AA$3:$AA$10000,MATCH(ROWS($AC$3:AC8418),$AC$3:$AC$10000,0)),"")</f>
        <v/>
      </c>
    </row>
    <row r="8419" spans="27:30">
      <c r="AA8419" s="117">
        <f>+'Ingredient List - Mother Tinctu'!D8420</f>
        <v>0</v>
      </c>
      <c r="AB8419" s="117">
        <f t="shared" si="134"/>
        <v>0</v>
      </c>
      <c r="AC8419" s="117" t="str">
        <f>IF(AB8419=1,COUNTIF($AB$3:AB8419,1),"")</f>
        <v/>
      </c>
      <c r="AD8419" s="117" t="str">
        <f>IFERROR(INDEX($AA$3:$AA$10000,MATCH(ROWS($AC$3:AC8419),$AC$3:$AC$10000,0)),"")</f>
        <v/>
      </c>
    </row>
    <row r="8420" spans="27:30">
      <c r="AA8420" s="117">
        <f>+'Ingredient List - Mother Tinctu'!D8421</f>
        <v>0</v>
      </c>
      <c r="AB8420" s="117">
        <f t="shared" si="134"/>
        <v>0</v>
      </c>
      <c r="AC8420" s="117" t="str">
        <f>IF(AB8420=1,COUNTIF($AB$3:AB8420,1),"")</f>
        <v/>
      </c>
      <c r="AD8420" s="117" t="str">
        <f>IFERROR(INDEX($AA$3:$AA$10000,MATCH(ROWS($AC$3:AC8420),$AC$3:$AC$10000,0)),"")</f>
        <v/>
      </c>
    </row>
    <row r="8421" spans="27:30">
      <c r="AA8421" s="117">
        <f>+'Ingredient List - Mother Tinctu'!D8422</f>
        <v>0</v>
      </c>
      <c r="AB8421" s="117">
        <f t="shared" si="134"/>
        <v>0</v>
      </c>
      <c r="AC8421" s="117" t="str">
        <f>IF(AB8421=1,COUNTIF($AB$3:AB8421,1),"")</f>
        <v/>
      </c>
      <c r="AD8421" s="117" t="str">
        <f>IFERROR(INDEX($AA$3:$AA$10000,MATCH(ROWS($AC$3:AC8421),$AC$3:$AC$10000,0)),"")</f>
        <v/>
      </c>
    </row>
    <row r="8422" spans="27:30">
      <c r="AA8422" s="117">
        <f>+'Ingredient List - Mother Tinctu'!D8423</f>
        <v>0</v>
      </c>
      <c r="AB8422" s="117">
        <f t="shared" si="134"/>
        <v>0</v>
      </c>
      <c r="AC8422" s="117" t="str">
        <f>IF(AB8422=1,COUNTIF($AB$3:AB8422,1),"")</f>
        <v/>
      </c>
      <c r="AD8422" s="117" t="str">
        <f>IFERROR(INDEX($AA$3:$AA$10000,MATCH(ROWS($AC$3:AC8422),$AC$3:$AC$10000,0)),"")</f>
        <v/>
      </c>
    </row>
    <row r="8423" spans="27:30">
      <c r="AA8423" s="117">
        <f>+'Ingredient List - Mother Tinctu'!D8424</f>
        <v>0</v>
      </c>
      <c r="AB8423" s="117">
        <f t="shared" si="134"/>
        <v>0</v>
      </c>
      <c r="AC8423" s="117" t="str">
        <f>IF(AB8423=1,COUNTIF($AB$3:AB8423,1),"")</f>
        <v/>
      </c>
      <c r="AD8423" s="117" t="str">
        <f>IFERROR(INDEX($AA$3:$AA$10000,MATCH(ROWS($AC$3:AC8423),$AC$3:$AC$10000,0)),"")</f>
        <v/>
      </c>
    </row>
    <row r="8424" spans="27:30">
      <c r="AA8424" s="117">
        <f>+'Ingredient List - Mother Tinctu'!D8425</f>
        <v>0</v>
      </c>
      <c r="AB8424" s="117">
        <f t="shared" si="134"/>
        <v>0</v>
      </c>
      <c r="AC8424" s="117" t="str">
        <f>IF(AB8424=1,COUNTIF($AB$3:AB8424,1),"")</f>
        <v/>
      </c>
      <c r="AD8424" s="117" t="str">
        <f>IFERROR(INDEX($AA$3:$AA$10000,MATCH(ROWS($AC$3:AC8424),$AC$3:$AC$10000,0)),"")</f>
        <v/>
      </c>
    </row>
    <row r="8425" spans="27:30">
      <c r="AA8425" s="117">
        <f>+'Ingredient List - Mother Tinctu'!D8426</f>
        <v>0</v>
      </c>
      <c r="AB8425" s="117">
        <f t="shared" si="134"/>
        <v>0</v>
      </c>
      <c r="AC8425" s="117" t="str">
        <f>IF(AB8425=1,COUNTIF($AB$3:AB8425,1),"")</f>
        <v/>
      </c>
      <c r="AD8425" s="117" t="str">
        <f>IFERROR(INDEX($AA$3:$AA$10000,MATCH(ROWS($AC$3:AC8425),$AC$3:$AC$10000,0)),"")</f>
        <v/>
      </c>
    </row>
    <row r="8426" spans="27:30">
      <c r="AA8426" s="117">
        <f>+'Ingredient List - Mother Tinctu'!D8427</f>
        <v>0</v>
      </c>
      <c r="AB8426" s="117">
        <f t="shared" si="134"/>
        <v>0</v>
      </c>
      <c r="AC8426" s="117" t="str">
        <f>IF(AB8426=1,COUNTIF($AB$3:AB8426,1),"")</f>
        <v/>
      </c>
      <c r="AD8426" s="117" t="str">
        <f>IFERROR(INDEX($AA$3:$AA$10000,MATCH(ROWS($AC$3:AC8426),$AC$3:$AC$10000,0)),"")</f>
        <v/>
      </c>
    </row>
    <row r="8427" spans="27:30">
      <c r="AA8427" s="117">
        <f>+'Ingredient List - Mother Tinctu'!D8428</f>
        <v>0</v>
      </c>
      <c r="AB8427" s="117">
        <f t="shared" si="134"/>
        <v>0</v>
      </c>
      <c r="AC8427" s="117" t="str">
        <f>IF(AB8427=1,COUNTIF($AB$3:AB8427,1),"")</f>
        <v/>
      </c>
      <c r="AD8427" s="117" t="str">
        <f>IFERROR(INDEX($AA$3:$AA$10000,MATCH(ROWS($AC$3:AC8427),$AC$3:$AC$10000,0)),"")</f>
        <v/>
      </c>
    </row>
    <row r="8428" spans="27:30">
      <c r="AA8428" s="117">
        <f>+'Ingredient List - Mother Tinctu'!D8429</f>
        <v>0</v>
      </c>
      <c r="AB8428" s="117">
        <f t="shared" si="134"/>
        <v>0</v>
      </c>
      <c r="AC8428" s="117" t="str">
        <f>IF(AB8428=1,COUNTIF($AB$3:AB8428,1),"")</f>
        <v/>
      </c>
      <c r="AD8428" s="117" t="str">
        <f>IFERROR(INDEX($AA$3:$AA$10000,MATCH(ROWS($AC$3:AC8428),$AC$3:$AC$10000,0)),"")</f>
        <v/>
      </c>
    </row>
    <row r="8429" spans="27:30">
      <c r="AA8429" s="117">
        <f>+'Ingredient List - Mother Tinctu'!D8430</f>
        <v>0</v>
      </c>
      <c r="AB8429" s="117">
        <f t="shared" si="134"/>
        <v>0</v>
      </c>
      <c r="AC8429" s="117" t="str">
        <f>IF(AB8429=1,COUNTIF($AB$3:AB8429,1),"")</f>
        <v/>
      </c>
      <c r="AD8429" s="117" t="str">
        <f>IFERROR(INDEX($AA$3:$AA$10000,MATCH(ROWS($AC$3:AC8429),$AC$3:$AC$10000,0)),"")</f>
        <v/>
      </c>
    </row>
    <row r="8430" spans="27:30">
      <c r="AA8430" s="117">
        <f>+'Ingredient List - Mother Tinctu'!D8431</f>
        <v>0</v>
      </c>
      <c r="AB8430" s="117">
        <f t="shared" si="134"/>
        <v>0</v>
      </c>
      <c r="AC8430" s="117" t="str">
        <f>IF(AB8430=1,COUNTIF($AB$3:AB8430,1),"")</f>
        <v/>
      </c>
      <c r="AD8430" s="117" t="str">
        <f>IFERROR(INDEX($AA$3:$AA$10000,MATCH(ROWS($AC$3:AC8430),$AC$3:$AC$10000,0)),"")</f>
        <v/>
      </c>
    </row>
    <row r="8431" spans="27:30">
      <c r="AA8431" s="117">
        <f>+'Ingredient List - Mother Tinctu'!D8432</f>
        <v>0</v>
      </c>
      <c r="AB8431" s="117">
        <f t="shared" si="134"/>
        <v>0</v>
      </c>
      <c r="AC8431" s="117" t="str">
        <f>IF(AB8431=1,COUNTIF($AB$3:AB8431,1),"")</f>
        <v/>
      </c>
      <c r="AD8431" s="117" t="str">
        <f>IFERROR(INDEX($AA$3:$AA$10000,MATCH(ROWS($AC$3:AC8431),$AC$3:$AC$10000,0)),"")</f>
        <v/>
      </c>
    </row>
    <row r="8432" spans="27:30">
      <c r="AA8432" s="117">
        <f>+'Ingredient List - Mother Tinctu'!D8433</f>
        <v>0</v>
      </c>
      <c r="AB8432" s="117">
        <f t="shared" si="134"/>
        <v>0</v>
      </c>
      <c r="AC8432" s="117" t="str">
        <f>IF(AB8432=1,COUNTIF($AB$3:AB8432,1),"")</f>
        <v/>
      </c>
      <c r="AD8432" s="117" t="str">
        <f>IFERROR(INDEX($AA$3:$AA$10000,MATCH(ROWS($AC$3:AC8432),$AC$3:$AC$10000,0)),"")</f>
        <v/>
      </c>
    </row>
    <row r="8433" spans="27:30">
      <c r="AA8433" s="117">
        <f>+'Ingredient List - Mother Tinctu'!D8434</f>
        <v>0</v>
      </c>
      <c r="AB8433" s="117">
        <f t="shared" si="134"/>
        <v>0</v>
      </c>
      <c r="AC8433" s="117" t="str">
        <f>IF(AB8433=1,COUNTIF($AB$3:AB8433,1),"")</f>
        <v/>
      </c>
      <c r="AD8433" s="117" t="str">
        <f>IFERROR(INDEX($AA$3:$AA$10000,MATCH(ROWS($AC$3:AC8433),$AC$3:$AC$10000,0)),"")</f>
        <v/>
      </c>
    </row>
    <row r="8434" spans="27:30">
      <c r="AA8434" s="117">
        <f>+'Ingredient List - Mother Tinctu'!D8435</f>
        <v>0</v>
      </c>
      <c r="AB8434" s="117">
        <f t="shared" si="134"/>
        <v>0</v>
      </c>
      <c r="AC8434" s="117" t="str">
        <f>IF(AB8434=1,COUNTIF($AB$3:AB8434,1),"")</f>
        <v/>
      </c>
      <c r="AD8434" s="117" t="str">
        <f>IFERROR(INDEX($AA$3:$AA$10000,MATCH(ROWS($AC$3:AC8434),$AC$3:$AC$10000,0)),"")</f>
        <v/>
      </c>
    </row>
    <row r="8435" spans="27:30">
      <c r="AA8435" s="117">
        <f>+'Ingredient List - Mother Tinctu'!D8436</f>
        <v>0</v>
      </c>
      <c r="AB8435" s="117">
        <f t="shared" si="134"/>
        <v>0</v>
      </c>
      <c r="AC8435" s="117" t="str">
        <f>IF(AB8435=1,COUNTIF($AB$3:AB8435,1),"")</f>
        <v/>
      </c>
      <c r="AD8435" s="117" t="str">
        <f>IFERROR(INDEX($AA$3:$AA$10000,MATCH(ROWS($AC$3:AC8435),$AC$3:$AC$10000,0)),"")</f>
        <v/>
      </c>
    </row>
    <row r="8436" spans="27:30">
      <c r="AA8436" s="117">
        <f>+'Ingredient List - Mother Tinctu'!D8437</f>
        <v>0</v>
      </c>
      <c r="AB8436" s="117">
        <f t="shared" si="134"/>
        <v>0</v>
      </c>
      <c r="AC8436" s="117" t="str">
        <f>IF(AB8436=1,COUNTIF($AB$3:AB8436,1),"")</f>
        <v/>
      </c>
      <c r="AD8436" s="117" t="str">
        <f>IFERROR(INDEX($AA$3:$AA$10000,MATCH(ROWS($AC$3:AC8436),$AC$3:$AC$10000,0)),"")</f>
        <v/>
      </c>
    </row>
    <row r="8437" spans="27:30">
      <c r="AA8437" s="117">
        <f>+'Ingredient List - Mother Tinctu'!D8438</f>
        <v>0</v>
      </c>
      <c r="AB8437" s="117">
        <f t="shared" si="134"/>
        <v>0</v>
      </c>
      <c r="AC8437" s="117" t="str">
        <f>IF(AB8437=1,COUNTIF($AB$3:AB8437,1),"")</f>
        <v/>
      </c>
      <c r="AD8437" s="117" t="str">
        <f>IFERROR(INDEX($AA$3:$AA$10000,MATCH(ROWS($AC$3:AC8437),$AC$3:$AC$10000,0)),"")</f>
        <v/>
      </c>
    </row>
    <row r="8438" spans="27:30">
      <c r="AA8438" s="117">
        <f>+'Ingredient List - Mother Tinctu'!D8439</f>
        <v>0</v>
      </c>
      <c r="AB8438" s="117">
        <f t="shared" si="134"/>
        <v>0</v>
      </c>
      <c r="AC8438" s="117" t="str">
        <f>IF(AB8438=1,COUNTIF($AB$3:AB8438,1),"")</f>
        <v/>
      </c>
      <c r="AD8438" s="117" t="str">
        <f>IFERROR(INDEX($AA$3:$AA$10000,MATCH(ROWS($AC$3:AC8438),$AC$3:$AC$10000,0)),"")</f>
        <v/>
      </c>
    </row>
    <row r="8439" spans="27:30">
      <c r="AA8439" s="117">
        <f>+'Ingredient List - Mother Tinctu'!D8440</f>
        <v>0</v>
      </c>
      <c r="AB8439" s="117">
        <f t="shared" si="134"/>
        <v>0</v>
      </c>
      <c r="AC8439" s="117" t="str">
        <f>IF(AB8439=1,COUNTIF($AB$3:AB8439,1),"")</f>
        <v/>
      </c>
      <c r="AD8439" s="117" t="str">
        <f>IFERROR(INDEX($AA$3:$AA$10000,MATCH(ROWS($AC$3:AC8439),$AC$3:$AC$10000,0)),"")</f>
        <v/>
      </c>
    </row>
    <row r="8440" spans="27:30">
      <c r="AA8440" s="117">
        <f>+'Ingredient List - Mother Tinctu'!D8441</f>
        <v>0</v>
      </c>
      <c r="AB8440" s="117">
        <f t="shared" si="134"/>
        <v>0</v>
      </c>
      <c r="AC8440" s="117" t="str">
        <f>IF(AB8440=1,COUNTIF($AB$3:AB8440,1),"")</f>
        <v/>
      </c>
      <c r="AD8440" s="117" t="str">
        <f>IFERROR(INDEX($AA$3:$AA$10000,MATCH(ROWS($AC$3:AC8440),$AC$3:$AC$10000,0)),"")</f>
        <v/>
      </c>
    </row>
    <row r="8441" spans="27:30">
      <c r="AA8441" s="117">
        <f>+'Ingredient List - Mother Tinctu'!D8442</f>
        <v>0</v>
      </c>
      <c r="AB8441" s="117">
        <f t="shared" si="134"/>
        <v>0</v>
      </c>
      <c r="AC8441" s="117" t="str">
        <f>IF(AB8441=1,COUNTIF($AB$3:AB8441,1),"")</f>
        <v/>
      </c>
      <c r="AD8441" s="117" t="str">
        <f>IFERROR(INDEX($AA$3:$AA$10000,MATCH(ROWS($AC$3:AC8441),$AC$3:$AC$10000,0)),"")</f>
        <v/>
      </c>
    </row>
    <row r="8442" spans="27:30">
      <c r="AA8442" s="117">
        <f>+'Ingredient List - Mother Tinctu'!D8443</f>
        <v>0</v>
      </c>
      <c r="AB8442" s="117">
        <f t="shared" si="134"/>
        <v>0</v>
      </c>
      <c r="AC8442" s="117" t="str">
        <f>IF(AB8442=1,COUNTIF($AB$3:AB8442,1),"")</f>
        <v/>
      </c>
      <c r="AD8442" s="117" t="str">
        <f>IFERROR(INDEX($AA$3:$AA$10000,MATCH(ROWS($AC$3:AC8442),$AC$3:$AC$10000,0)),"")</f>
        <v/>
      </c>
    </row>
    <row r="8443" spans="27:30">
      <c r="AA8443" s="117">
        <f>+'Ingredient List - Mother Tinctu'!D8444</f>
        <v>0</v>
      </c>
      <c r="AB8443" s="117">
        <f t="shared" si="134"/>
        <v>0</v>
      </c>
      <c r="AC8443" s="117" t="str">
        <f>IF(AB8443=1,COUNTIF($AB$3:AB8443,1),"")</f>
        <v/>
      </c>
      <c r="AD8443" s="117" t="str">
        <f>IFERROR(INDEX($AA$3:$AA$10000,MATCH(ROWS($AC$3:AC8443),$AC$3:$AC$10000,0)),"")</f>
        <v/>
      </c>
    </row>
    <row r="8444" spans="27:30">
      <c r="AA8444" s="117">
        <f>+'Ingredient List - Mother Tinctu'!D8445</f>
        <v>0</v>
      </c>
      <c r="AB8444" s="117">
        <f t="shared" si="134"/>
        <v>0</v>
      </c>
      <c r="AC8444" s="117" t="str">
        <f>IF(AB8444=1,COUNTIF($AB$3:AB8444,1),"")</f>
        <v/>
      </c>
      <c r="AD8444" s="117" t="str">
        <f>IFERROR(INDEX($AA$3:$AA$10000,MATCH(ROWS($AC$3:AC8444),$AC$3:$AC$10000,0)),"")</f>
        <v/>
      </c>
    </row>
    <row r="8445" spans="27:30">
      <c r="AA8445" s="117">
        <f>+'Ingredient List - Mother Tinctu'!D8446</f>
        <v>0</v>
      </c>
      <c r="AB8445" s="117">
        <f t="shared" si="134"/>
        <v>0</v>
      </c>
      <c r="AC8445" s="117" t="str">
        <f>IF(AB8445=1,COUNTIF($AB$3:AB8445,1),"")</f>
        <v/>
      </c>
      <c r="AD8445" s="117" t="str">
        <f>IFERROR(INDEX($AA$3:$AA$10000,MATCH(ROWS($AC$3:AC8445),$AC$3:$AC$10000,0)),"")</f>
        <v/>
      </c>
    </row>
    <row r="8446" spans="27:30">
      <c r="AA8446" s="117">
        <f>+'Ingredient List - Mother Tinctu'!D8447</f>
        <v>0</v>
      </c>
      <c r="AB8446" s="117">
        <f t="shared" si="134"/>
        <v>0</v>
      </c>
      <c r="AC8446" s="117" t="str">
        <f>IF(AB8446=1,COUNTIF($AB$3:AB8446,1),"")</f>
        <v/>
      </c>
      <c r="AD8446" s="117" t="str">
        <f>IFERROR(INDEX($AA$3:$AA$10000,MATCH(ROWS($AC$3:AC8446),$AC$3:$AC$10000,0)),"")</f>
        <v/>
      </c>
    </row>
    <row r="8447" spans="27:30">
      <c r="AA8447" s="117">
        <f>+'Ingredient List - Mother Tinctu'!D8448</f>
        <v>0</v>
      </c>
      <c r="AB8447" s="117">
        <f t="shared" si="134"/>
        <v>0</v>
      </c>
      <c r="AC8447" s="117" t="str">
        <f>IF(AB8447=1,COUNTIF($AB$3:AB8447,1),"")</f>
        <v/>
      </c>
      <c r="AD8447" s="117" t="str">
        <f>IFERROR(INDEX($AA$3:$AA$10000,MATCH(ROWS($AC$3:AC8447),$AC$3:$AC$10000,0)),"")</f>
        <v/>
      </c>
    </row>
    <row r="8448" spans="27:30">
      <c r="AA8448" s="117">
        <f>+'Ingredient List - Mother Tinctu'!D8449</f>
        <v>0</v>
      </c>
      <c r="AB8448" s="117">
        <f t="shared" si="134"/>
        <v>0</v>
      </c>
      <c r="AC8448" s="117" t="str">
        <f>IF(AB8448=1,COUNTIF($AB$3:AB8448,1),"")</f>
        <v/>
      </c>
      <c r="AD8448" s="117" t="str">
        <f>IFERROR(INDEX($AA$3:$AA$10000,MATCH(ROWS($AC$3:AC8448),$AC$3:$AC$10000,0)),"")</f>
        <v/>
      </c>
    </row>
    <row r="8449" spans="27:30">
      <c r="AA8449" s="117">
        <f>+'Ingredient List - Mother Tinctu'!D8450</f>
        <v>0</v>
      </c>
      <c r="AB8449" s="117">
        <f t="shared" si="134"/>
        <v>0</v>
      </c>
      <c r="AC8449" s="117" t="str">
        <f>IF(AB8449=1,COUNTIF($AB$3:AB8449,1),"")</f>
        <v/>
      </c>
      <c r="AD8449" s="117" t="str">
        <f>IFERROR(INDEX($AA$3:$AA$10000,MATCH(ROWS($AC$3:AC8449),$AC$3:$AC$10000,0)),"")</f>
        <v/>
      </c>
    </row>
    <row r="8450" spans="27:30">
      <c r="AA8450" s="117">
        <f>+'Ingredient List - Mother Tinctu'!D8451</f>
        <v>0</v>
      </c>
      <c r="AB8450" s="117">
        <f t="shared" si="134"/>
        <v>0</v>
      </c>
      <c r="AC8450" s="117" t="str">
        <f>IF(AB8450=1,COUNTIF($AB$3:AB8450,1),"")</f>
        <v/>
      </c>
      <c r="AD8450" s="117" t="str">
        <f>IFERROR(INDEX($AA$3:$AA$10000,MATCH(ROWS($AC$3:AC8450),$AC$3:$AC$10000,0)),"")</f>
        <v/>
      </c>
    </row>
    <row r="8451" spans="27:30">
      <c r="AA8451" s="117">
        <f>+'Ingredient List - Mother Tinctu'!D8452</f>
        <v>0</v>
      </c>
      <c r="AB8451" s="117">
        <f t="shared" si="134"/>
        <v>0</v>
      </c>
      <c r="AC8451" s="117" t="str">
        <f>IF(AB8451=1,COUNTIF($AB$3:AB8451,1),"")</f>
        <v/>
      </c>
      <c r="AD8451" s="117" t="str">
        <f>IFERROR(INDEX($AA$3:$AA$10000,MATCH(ROWS($AC$3:AC8451),$AC$3:$AC$10000,0)),"")</f>
        <v/>
      </c>
    </row>
    <row r="8452" spans="27:30">
      <c r="AA8452" s="117">
        <f>+'Ingredient List - Mother Tinctu'!D8453</f>
        <v>0</v>
      </c>
      <c r="AB8452" s="117">
        <f t="shared" ref="AB8452:AB8515" si="135">--ISNUMBER(IFERROR(SEARCH($D$3,AA8452,1),""))</f>
        <v>0</v>
      </c>
      <c r="AC8452" s="117" t="str">
        <f>IF(AB8452=1,COUNTIF($AB$3:AB8452,1),"")</f>
        <v/>
      </c>
      <c r="AD8452" s="117" t="str">
        <f>IFERROR(INDEX($AA$3:$AA$10000,MATCH(ROWS($AC$3:AC8452),$AC$3:$AC$10000,0)),"")</f>
        <v/>
      </c>
    </row>
    <row r="8453" spans="27:30">
      <c r="AA8453" s="117">
        <f>+'Ingredient List - Mother Tinctu'!D8454</f>
        <v>0</v>
      </c>
      <c r="AB8453" s="117">
        <f t="shared" si="135"/>
        <v>0</v>
      </c>
      <c r="AC8453" s="117" t="str">
        <f>IF(AB8453=1,COUNTIF($AB$3:AB8453,1),"")</f>
        <v/>
      </c>
      <c r="AD8453" s="117" t="str">
        <f>IFERROR(INDEX($AA$3:$AA$10000,MATCH(ROWS($AC$3:AC8453),$AC$3:$AC$10000,0)),"")</f>
        <v/>
      </c>
    </row>
    <row r="8454" spans="27:30">
      <c r="AA8454" s="117">
        <f>+'Ingredient List - Mother Tinctu'!D8455</f>
        <v>0</v>
      </c>
      <c r="AB8454" s="117">
        <f t="shared" si="135"/>
        <v>0</v>
      </c>
      <c r="AC8454" s="117" t="str">
        <f>IF(AB8454=1,COUNTIF($AB$3:AB8454,1),"")</f>
        <v/>
      </c>
      <c r="AD8454" s="117" t="str">
        <f>IFERROR(INDEX($AA$3:$AA$10000,MATCH(ROWS($AC$3:AC8454),$AC$3:$AC$10000,0)),"")</f>
        <v/>
      </c>
    </row>
    <row r="8455" spans="27:30">
      <c r="AA8455" s="117">
        <f>+'Ingredient List - Mother Tinctu'!D8456</f>
        <v>0</v>
      </c>
      <c r="AB8455" s="117">
        <f t="shared" si="135"/>
        <v>0</v>
      </c>
      <c r="AC8455" s="117" t="str">
        <f>IF(AB8455=1,COUNTIF($AB$3:AB8455,1),"")</f>
        <v/>
      </c>
      <c r="AD8455" s="117" t="str">
        <f>IFERROR(INDEX($AA$3:$AA$10000,MATCH(ROWS($AC$3:AC8455),$AC$3:$AC$10000,0)),"")</f>
        <v/>
      </c>
    </row>
    <row r="8456" spans="27:30">
      <c r="AA8456" s="117">
        <f>+'Ingredient List - Mother Tinctu'!D8457</f>
        <v>0</v>
      </c>
      <c r="AB8456" s="117">
        <f t="shared" si="135"/>
        <v>0</v>
      </c>
      <c r="AC8456" s="117" t="str">
        <f>IF(AB8456=1,COUNTIF($AB$3:AB8456,1),"")</f>
        <v/>
      </c>
      <c r="AD8456" s="117" t="str">
        <f>IFERROR(INDEX($AA$3:$AA$10000,MATCH(ROWS($AC$3:AC8456),$AC$3:$AC$10000,0)),"")</f>
        <v/>
      </c>
    </row>
    <row r="8457" spans="27:30">
      <c r="AA8457" s="117">
        <f>+'Ingredient List - Mother Tinctu'!D8458</f>
        <v>0</v>
      </c>
      <c r="AB8457" s="117">
        <f t="shared" si="135"/>
        <v>0</v>
      </c>
      <c r="AC8457" s="117" t="str">
        <f>IF(AB8457=1,COUNTIF($AB$3:AB8457,1),"")</f>
        <v/>
      </c>
      <c r="AD8457" s="117" t="str">
        <f>IFERROR(INDEX($AA$3:$AA$10000,MATCH(ROWS($AC$3:AC8457),$AC$3:$AC$10000,0)),"")</f>
        <v/>
      </c>
    </row>
    <row r="8458" spans="27:30">
      <c r="AA8458" s="117">
        <f>+'Ingredient List - Mother Tinctu'!D8459</f>
        <v>0</v>
      </c>
      <c r="AB8458" s="117">
        <f t="shared" si="135"/>
        <v>0</v>
      </c>
      <c r="AC8458" s="117" t="str">
        <f>IF(AB8458=1,COUNTIF($AB$3:AB8458,1),"")</f>
        <v/>
      </c>
      <c r="AD8458" s="117" t="str">
        <f>IFERROR(INDEX($AA$3:$AA$10000,MATCH(ROWS($AC$3:AC8458),$AC$3:$AC$10000,0)),"")</f>
        <v/>
      </c>
    </row>
    <row r="8459" spans="27:30">
      <c r="AA8459" s="117">
        <f>+'Ingredient List - Mother Tinctu'!D8460</f>
        <v>0</v>
      </c>
      <c r="AB8459" s="117">
        <f t="shared" si="135"/>
        <v>0</v>
      </c>
      <c r="AC8459" s="117" t="str">
        <f>IF(AB8459=1,COUNTIF($AB$3:AB8459,1),"")</f>
        <v/>
      </c>
      <c r="AD8459" s="117" t="str">
        <f>IFERROR(INDEX($AA$3:$AA$10000,MATCH(ROWS($AC$3:AC8459),$AC$3:$AC$10000,0)),"")</f>
        <v/>
      </c>
    </row>
    <row r="8460" spans="27:30">
      <c r="AA8460" s="117">
        <f>+'Ingredient List - Mother Tinctu'!D8461</f>
        <v>0</v>
      </c>
      <c r="AB8460" s="117">
        <f t="shared" si="135"/>
        <v>0</v>
      </c>
      <c r="AC8460" s="117" t="str">
        <f>IF(AB8460=1,COUNTIF($AB$3:AB8460,1),"")</f>
        <v/>
      </c>
      <c r="AD8460" s="117" t="str">
        <f>IFERROR(INDEX($AA$3:$AA$10000,MATCH(ROWS($AC$3:AC8460),$AC$3:$AC$10000,0)),"")</f>
        <v/>
      </c>
    </row>
    <row r="8461" spans="27:30">
      <c r="AA8461" s="117">
        <f>+'Ingredient List - Mother Tinctu'!D8462</f>
        <v>0</v>
      </c>
      <c r="AB8461" s="117">
        <f t="shared" si="135"/>
        <v>0</v>
      </c>
      <c r="AC8461" s="117" t="str">
        <f>IF(AB8461=1,COUNTIF($AB$3:AB8461,1),"")</f>
        <v/>
      </c>
      <c r="AD8461" s="117" t="str">
        <f>IFERROR(INDEX($AA$3:$AA$10000,MATCH(ROWS($AC$3:AC8461),$AC$3:$AC$10000,0)),"")</f>
        <v/>
      </c>
    </row>
    <row r="8462" spans="27:30">
      <c r="AA8462" s="117">
        <f>+'Ingredient List - Mother Tinctu'!D8463</f>
        <v>0</v>
      </c>
      <c r="AB8462" s="117">
        <f t="shared" si="135"/>
        <v>0</v>
      </c>
      <c r="AC8462" s="117" t="str">
        <f>IF(AB8462=1,COUNTIF($AB$3:AB8462,1),"")</f>
        <v/>
      </c>
      <c r="AD8462" s="117" t="str">
        <f>IFERROR(INDEX($AA$3:$AA$10000,MATCH(ROWS($AC$3:AC8462),$AC$3:$AC$10000,0)),"")</f>
        <v/>
      </c>
    </row>
    <row r="8463" spans="27:30">
      <c r="AA8463" s="117">
        <f>+'Ingredient List - Mother Tinctu'!D8464</f>
        <v>0</v>
      </c>
      <c r="AB8463" s="117">
        <f t="shared" si="135"/>
        <v>0</v>
      </c>
      <c r="AC8463" s="117" t="str">
        <f>IF(AB8463=1,COUNTIF($AB$3:AB8463,1),"")</f>
        <v/>
      </c>
      <c r="AD8463" s="117" t="str">
        <f>IFERROR(INDEX($AA$3:$AA$10000,MATCH(ROWS($AC$3:AC8463),$AC$3:$AC$10000,0)),"")</f>
        <v/>
      </c>
    </row>
    <row r="8464" spans="27:30">
      <c r="AA8464" s="117">
        <f>+'Ingredient List - Mother Tinctu'!D8465</f>
        <v>0</v>
      </c>
      <c r="AB8464" s="117">
        <f t="shared" si="135"/>
        <v>0</v>
      </c>
      <c r="AC8464" s="117" t="str">
        <f>IF(AB8464=1,COUNTIF($AB$3:AB8464,1),"")</f>
        <v/>
      </c>
      <c r="AD8464" s="117" t="str">
        <f>IFERROR(INDEX($AA$3:$AA$10000,MATCH(ROWS($AC$3:AC8464),$AC$3:$AC$10000,0)),"")</f>
        <v/>
      </c>
    </row>
    <row r="8465" spans="27:30">
      <c r="AA8465" s="117">
        <f>+'Ingredient List - Mother Tinctu'!D8466</f>
        <v>0</v>
      </c>
      <c r="AB8465" s="117">
        <f t="shared" si="135"/>
        <v>0</v>
      </c>
      <c r="AC8465" s="117" t="str">
        <f>IF(AB8465=1,COUNTIF($AB$3:AB8465,1),"")</f>
        <v/>
      </c>
      <c r="AD8465" s="117" t="str">
        <f>IFERROR(INDEX($AA$3:$AA$10000,MATCH(ROWS($AC$3:AC8465),$AC$3:$AC$10000,0)),"")</f>
        <v/>
      </c>
    </row>
    <row r="8466" spans="27:30">
      <c r="AA8466" s="117">
        <f>+'Ingredient List - Mother Tinctu'!D8467</f>
        <v>0</v>
      </c>
      <c r="AB8466" s="117">
        <f t="shared" si="135"/>
        <v>0</v>
      </c>
      <c r="AC8466" s="117" t="str">
        <f>IF(AB8466=1,COUNTIF($AB$3:AB8466,1),"")</f>
        <v/>
      </c>
      <c r="AD8466" s="117" t="str">
        <f>IFERROR(INDEX($AA$3:$AA$10000,MATCH(ROWS($AC$3:AC8466),$AC$3:$AC$10000,0)),"")</f>
        <v/>
      </c>
    </row>
    <row r="8467" spans="27:30">
      <c r="AA8467" s="117">
        <f>+'Ingredient List - Mother Tinctu'!D8468</f>
        <v>0</v>
      </c>
      <c r="AB8467" s="117">
        <f t="shared" si="135"/>
        <v>0</v>
      </c>
      <c r="AC8467" s="117" t="str">
        <f>IF(AB8467=1,COUNTIF($AB$3:AB8467,1),"")</f>
        <v/>
      </c>
      <c r="AD8467" s="117" t="str">
        <f>IFERROR(INDEX($AA$3:$AA$10000,MATCH(ROWS($AC$3:AC8467),$AC$3:$AC$10000,0)),"")</f>
        <v/>
      </c>
    </row>
    <row r="8468" spans="27:30">
      <c r="AA8468" s="117">
        <f>+'Ingredient List - Mother Tinctu'!D8469</f>
        <v>0</v>
      </c>
      <c r="AB8468" s="117">
        <f t="shared" si="135"/>
        <v>0</v>
      </c>
      <c r="AC8468" s="117" t="str">
        <f>IF(AB8468=1,COUNTIF($AB$3:AB8468,1),"")</f>
        <v/>
      </c>
      <c r="AD8468" s="117" t="str">
        <f>IFERROR(INDEX($AA$3:$AA$10000,MATCH(ROWS($AC$3:AC8468),$AC$3:$AC$10000,0)),"")</f>
        <v/>
      </c>
    </row>
    <row r="8469" spans="27:30">
      <c r="AA8469" s="117">
        <f>+'Ingredient List - Mother Tinctu'!D8470</f>
        <v>0</v>
      </c>
      <c r="AB8469" s="117">
        <f t="shared" si="135"/>
        <v>0</v>
      </c>
      <c r="AC8469" s="117" t="str">
        <f>IF(AB8469=1,COUNTIF($AB$3:AB8469,1),"")</f>
        <v/>
      </c>
      <c r="AD8469" s="117" t="str">
        <f>IFERROR(INDEX($AA$3:$AA$10000,MATCH(ROWS($AC$3:AC8469),$AC$3:$AC$10000,0)),"")</f>
        <v/>
      </c>
    </row>
    <row r="8470" spans="27:30">
      <c r="AA8470" s="117">
        <f>+'Ingredient List - Mother Tinctu'!D8471</f>
        <v>0</v>
      </c>
      <c r="AB8470" s="117">
        <f t="shared" si="135"/>
        <v>0</v>
      </c>
      <c r="AC8470" s="117" t="str">
        <f>IF(AB8470=1,COUNTIF($AB$3:AB8470,1),"")</f>
        <v/>
      </c>
      <c r="AD8470" s="117" t="str">
        <f>IFERROR(INDEX($AA$3:$AA$10000,MATCH(ROWS($AC$3:AC8470),$AC$3:$AC$10000,0)),"")</f>
        <v/>
      </c>
    </row>
    <row r="8471" spans="27:30">
      <c r="AA8471" s="117">
        <f>+'Ingredient List - Mother Tinctu'!D8472</f>
        <v>0</v>
      </c>
      <c r="AB8471" s="117">
        <f t="shared" si="135"/>
        <v>0</v>
      </c>
      <c r="AC8471" s="117" t="str">
        <f>IF(AB8471=1,COUNTIF($AB$3:AB8471,1),"")</f>
        <v/>
      </c>
      <c r="AD8471" s="117" t="str">
        <f>IFERROR(INDEX($AA$3:$AA$10000,MATCH(ROWS($AC$3:AC8471),$AC$3:$AC$10000,0)),"")</f>
        <v/>
      </c>
    </row>
    <row r="8472" spans="27:30">
      <c r="AA8472" s="117">
        <f>+'Ingredient List - Mother Tinctu'!D8473</f>
        <v>0</v>
      </c>
      <c r="AB8472" s="117">
        <f t="shared" si="135"/>
        <v>0</v>
      </c>
      <c r="AC8472" s="117" t="str">
        <f>IF(AB8472=1,COUNTIF($AB$3:AB8472,1),"")</f>
        <v/>
      </c>
      <c r="AD8472" s="117" t="str">
        <f>IFERROR(INDEX($AA$3:$AA$10000,MATCH(ROWS($AC$3:AC8472),$AC$3:$AC$10000,0)),"")</f>
        <v/>
      </c>
    </row>
    <row r="8473" spans="27:30">
      <c r="AA8473" s="117">
        <f>+'Ingredient List - Mother Tinctu'!D8474</f>
        <v>0</v>
      </c>
      <c r="AB8473" s="117">
        <f t="shared" si="135"/>
        <v>0</v>
      </c>
      <c r="AC8473" s="117" t="str">
        <f>IF(AB8473=1,COUNTIF($AB$3:AB8473,1),"")</f>
        <v/>
      </c>
      <c r="AD8473" s="117" t="str">
        <f>IFERROR(INDEX($AA$3:$AA$10000,MATCH(ROWS($AC$3:AC8473),$AC$3:$AC$10000,0)),"")</f>
        <v/>
      </c>
    </row>
    <row r="8474" spans="27:30">
      <c r="AA8474" s="117">
        <f>+'Ingredient List - Mother Tinctu'!D8475</f>
        <v>0</v>
      </c>
      <c r="AB8474" s="117">
        <f t="shared" si="135"/>
        <v>0</v>
      </c>
      <c r="AC8474" s="117" t="str">
        <f>IF(AB8474=1,COUNTIF($AB$3:AB8474,1),"")</f>
        <v/>
      </c>
      <c r="AD8474" s="117" t="str">
        <f>IFERROR(INDEX($AA$3:$AA$10000,MATCH(ROWS($AC$3:AC8474),$AC$3:$AC$10000,0)),"")</f>
        <v/>
      </c>
    </row>
    <row r="8475" spans="27:30">
      <c r="AA8475" s="117">
        <f>+'Ingredient List - Mother Tinctu'!D8476</f>
        <v>0</v>
      </c>
      <c r="AB8475" s="117">
        <f t="shared" si="135"/>
        <v>0</v>
      </c>
      <c r="AC8475" s="117" t="str">
        <f>IF(AB8475=1,COUNTIF($AB$3:AB8475,1),"")</f>
        <v/>
      </c>
      <c r="AD8475" s="117" t="str">
        <f>IFERROR(INDEX($AA$3:$AA$10000,MATCH(ROWS($AC$3:AC8475),$AC$3:$AC$10000,0)),"")</f>
        <v/>
      </c>
    </row>
    <row r="8476" spans="27:30">
      <c r="AA8476" s="117">
        <f>+'Ingredient List - Mother Tinctu'!D8477</f>
        <v>0</v>
      </c>
      <c r="AB8476" s="117">
        <f t="shared" si="135"/>
        <v>0</v>
      </c>
      <c r="AC8476" s="117" t="str">
        <f>IF(AB8476=1,COUNTIF($AB$3:AB8476,1),"")</f>
        <v/>
      </c>
      <c r="AD8476" s="117" t="str">
        <f>IFERROR(INDEX($AA$3:$AA$10000,MATCH(ROWS($AC$3:AC8476),$AC$3:$AC$10000,0)),"")</f>
        <v/>
      </c>
    </row>
    <row r="8477" spans="27:30">
      <c r="AA8477" s="117">
        <f>+'Ingredient List - Mother Tinctu'!D8478</f>
        <v>0</v>
      </c>
      <c r="AB8477" s="117">
        <f t="shared" si="135"/>
        <v>0</v>
      </c>
      <c r="AC8477" s="117" t="str">
        <f>IF(AB8477=1,COUNTIF($AB$3:AB8477,1),"")</f>
        <v/>
      </c>
      <c r="AD8477" s="117" t="str">
        <f>IFERROR(INDEX($AA$3:$AA$10000,MATCH(ROWS($AC$3:AC8477),$AC$3:$AC$10000,0)),"")</f>
        <v/>
      </c>
    </row>
    <row r="8478" spans="27:30">
      <c r="AA8478" s="117">
        <f>+'Ingredient List - Mother Tinctu'!D8479</f>
        <v>0</v>
      </c>
      <c r="AB8478" s="117">
        <f t="shared" si="135"/>
        <v>0</v>
      </c>
      <c r="AC8478" s="117" t="str">
        <f>IF(AB8478=1,COUNTIF($AB$3:AB8478,1),"")</f>
        <v/>
      </c>
      <c r="AD8478" s="117" t="str">
        <f>IFERROR(INDEX($AA$3:$AA$10000,MATCH(ROWS($AC$3:AC8478),$AC$3:$AC$10000,0)),"")</f>
        <v/>
      </c>
    </row>
    <row r="8479" spans="27:30">
      <c r="AA8479" s="117">
        <f>+'Ingredient List - Mother Tinctu'!D8480</f>
        <v>0</v>
      </c>
      <c r="AB8479" s="117">
        <f t="shared" si="135"/>
        <v>0</v>
      </c>
      <c r="AC8479" s="117" t="str">
        <f>IF(AB8479=1,COUNTIF($AB$3:AB8479,1),"")</f>
        <v/>
      </c>
      <c r="AD8479" s="117" t="str">
        <f>IFERROR(INDEX($AA$3:$AA$10000,MATCH(ROWS($AC$3:AC8479),$AC$3:$AC$10000,0)),"")</f>
        <v/>
      </c>
    </row>
    <row r="8480" spans="27:30">
      <c r="AA8480" s="117">
        <f>+'Ingredient List - Mother Tinctu'!D8481</f>
        <v>0</v>
      </c>
      <c r="AB8480" s="117">
        <f t="shared" si="135"/>
        <v>0</v>
      </c>
      <c r="AC8480" s="117" t="str">
        <f>IF(AB8480=1,COUNTIF($AB$3:AB8480,1),"")</f>
        <v/>
      </c>
      <c r="AD8480" s="117" t="str">
        <f>IFERROR(INDEX($AA$3:$AA$10000,MATCH(ROWS($AC$3:AC8480),$AC$3:$AC$10000,0)),"")</f>
        <v/>
      </c>
    </row>
    <row r="8481" spans="27:30">
      <c r="AA8481" s="117">
        <f>+'Ingredient List - Mother Tinctu'!D8482</f>
        <v>0</v>
      </c>
      <c r="AB8481" s="117">
        <f t="shared" si="135"/>
        <v>0</v>
      </c>
      <c r="AC8481" s="117" t="str">
        <f>IF(AB8481=1,COUNTIF($AB$3:AB8481,1),"")</f>
        <v/>
      </c>
      <c r="AD8481" s="117" t="str">
        <f>IFERROR(INDEX($AA$3:$AA$10000,MATCH(ROWS($AC$3:AC8481),$AC$3:$AC$10000,0)),"")</f>
        <v/>
      </c>
    </row>
    <row r="8482" spans="27:30">
      <c r="AA8482" s="117">
        <f>+'Ingredient List - Mother Tinctu'!D8483</f>
        <v>0</v>
      </c>
      <c r="AB8482" s="117">
        <f t="shared" si="135"/>
        <v>0</v>
      </c>
      <c r="AC8482" s="117" t="str">
        <f>IF(AB8482=1,COUNTIF($AB$3:AB8482,1),"")</f>
        <v/>
      </c>
      <c r="AD8482" s="117" t="str">
        <f>IFERROR(INDEX($AA$3:$AA$10000,MATCH(ROWS($AC$3:AC8482),$AC$3:$AC$10000,0)),"")</f>
        <v/>
      </c>
    </row>
    <row r="8483" spans="27:30">
      <c r="AA8483" s="117">
        <f>+'Ingredient List - Mother Tinctu'!D8484</f>
        <v>0</v>
      </c>
      <c r="AB8483" s="117">
        <f t="shared" si="135"/>
        <v>0</v>
      </c>
      <c r="AC8483" s="117" t="str">
        <f>IF(AB8483=1,COUNTIF($AB$3:AB8483,1),"")</f>
        <v/>
      </c>
      <c r="AD8483" s="117" t="str">
        <f>IFERROR(INDEX($AA$3:$AA$10000,MATCH(ROWS($AC$3:AC8483),$AC$3:$AC$10000,0)),"")</f>
        <v/>
      </c>
    </row>
    <row r="8484" spans="27:30">
      <c r="AA8484" s="117">
        <f>+'Ingredient List - Mother Tinctu'!D8485</f>
        <v>0</v>
      </c>
      <c r="AB8484" s="117">
        <f t="shared" si="135"/>
        <v>0</v>
      </c>
      <c r="AC8484" s="117" t="str">
        <f>IF(AB8484=1,COUNTIF($AB$3:AB8484,1),"")</f>
        <v/>
      </c>
      <c r="AD8484" s="117" t="str">
        <f>IFERROR(INDEX($AA$3:$AA$10000,MATCH(ROWS($AC$3:AC8484),$AC$3:$AC$10000,0)),"")</f>
        <v/>
      </c>
    </row>
    <row r="8485" spans="27:30">
      <c r="AA8485" s="117">
        <f>+'Ingredient List - Mother Tinctu'!D8486</f>
        <v>0</v>
      </c>
      <c r="AB8485" s="117">
        <f t="shared" si="135"/>
        <v>0</v>
      </c>
      <c r="AC8485" s="117" t="str">
        <f>IF(AB8485=1,COUNTIF($AB$3:AB8485,1),"")</f>
        <v/>
      </c>
      <c r="AD8485" s="117" t="str">
        <f>IFERROR(INDEX($AA$3:$AA$10000,MATCH(ROWS($AC$3:AC8485),$AC$3:$AC$10000,0)),"")</f>
        <v/>
      </c>
    </row>
    <row r="8486" spans="27:30">
      <c r="AA8486" s="117">
        <f>+'Ingredient List - Mother Tinctu'!D8487</f>
        <v>0</v>
      </c>
      <c r="AB8486" s="117">
        <f t="shared" si="135"/>
        <v>0</v>
      </c>
      <c r="AC8486" s="117" t="str">
        <f>IF(AB8486=1,COUNTIF($AB$3:AB8486,1),"")</f>
        <v/>
      </c>
      <c r="AD8486" s="117" t="str">
        <f>IFERROR(INDEX($AA$3:$AA$10000,MATCH(ROWS($AC$3:AC8486),$AC$3:$AC$10000,0)),"")</f>
        <v/>
      </c>
    </row>
    <row r="8487" spans="27:30">
      <c r="AA8487" s="117">
        <f>+'Ingredient List - Mother Tinctu'!D8488</f>
        <v>0</v>
      </c>
      <c r="AB8487" s="117">
        <f t="shared" si="135"/>
        <v>0</v>
      </c>
      <c r="AC8487" s="117" t="str">
        <f>IF(AB8487=1,COUNTIF($AB$3:AB8487,1),"")</f>
        <v/>
      </c>
      <c r="AD8487" s="117" t="str">
        <f>IFERROR(INDEX($AA$3:$AA$10000,MATCH(ROWS($AC$3:AC8487),$AC$3:$AC$10000,0)),"")</f>
        <v/>
      </c>
    </row>
    <row r="8488" spans="27:30">
      <c r="AA8488" s="117">
        <f>+'Ingredient List - Mother Tinctu'!D8489</f>
        <v>0</v>
      </c>
      <c r="AB8488" s="117">
        <f t="shared" si="135"/>
        <v>0</v>
      </c>
      <c r="AC8488" s="117" t="str">
        <f>IF(AB8488=1,COUNTIF($AB$3:AB8488,1),"")</f>
        <v/>
      </c>
      <c r="AD8488" s="117" t="str">
        <f>IFERROR(INDEX($AA$3:$AA$10000,MATCH(ROWS($AC$3:AC8488),$AC$3:$AC$10000,0)),"")</f>
        <v/>
      </c>
    </row>
    <row r="8489" spans="27:30">
      <c r="AA8489" s="117">
        <f>+'Ingredient List - Mother Tinctu'!D8490</f>
        <v>0</v>
      </c>
      <c r="AB8489" s="117">
        <f t="shared" si="135"/>
        <v>0</v>
      </c>
      <c r="AC8489" s="117" t="str">
        <f>IF(AB8489=1,COUNTIF($AB$3:AB8489,1),"")</f>
        <v/>
      </c>
      <c r="AD8489" s="117" t="str">
        <f>IFERROR(INDEX($AA$3:$AA$10000,MATCH(ROWS($AC$3:AC8489),$AC$3:$AC$10000,0)),"")</f>
        <v/>
      </c>
    </row>
    <row r="8490" spans="27:30">
      <c r="AA8490" s="117">
        <f>+'Ingredient List - Mother Tinctu'!D8491</f>
        <v>0</v>
      </c>
      <c r="AB8490" s="117">
        <f t="shared" si="135"/>
        <v>0</v>
      </c>
      <c r="AC8490" s="117" t="str">
        <f>IF(AB8490=1,COUNTIF($AB$3:AB8490,1),"")</f>
        <v/>
      </c>
      <c r="AD8490" s="117" t="str">
        <f>IFERROR(INDEX($AA$3:$AA$10000,MATCH(ROWS($AC$3:AC8490),$AC$3:$AC$10000,0)),"")</f>
        <v/>
      </c>
    </row>
    <row r="8491" spans="27:30">
      <c r="AA8491" s="117">
        <f>+'Ingredient List - Mother Tinctu'!D8492</f>
        <v>0</v>
      </c>
      <c r="AB8491" s="117">
        <f t="shared" si="135"/>
        <v>0</v>
      </c>
      <c r="AC8491" s="117" t="str">
        <f>IF(AB8491=1,COUNTIF($AB$3:AB8491,1),"")</f>
        <v/>
      </c>
      <c r="AD8491" s="117" t="str">
        <f>IFERROR(INDEX($AA$3:$AA$10000,MATCH(ROWS($AC$3:AC8491),$AC$3:$AC$10000,0)),"")</f>
        <v/>
      </c>
    </row>
    <row r="8492" spans="27:30">
      <c r="AA8492" s="117">
        <f>+'Ingredient List - Mother Tinctu'!D8493</f>
        <v>0</v>
      </c>
      <c r="AB8492" s="117">
        <f t="shared" si="135"/>
        <v>0</v>
      </c>
      <c r="AC8492" s="117" t="str">
        <f>IF(AB8492=1,COUNTIF($AB$3:AB8492,1),"")</f>
        <v/>
      </c>
      <c r="AD8492" s="117" t="str">
        <f>IFERROR(INDEX($AA$3:$AA$10000,MATCH(ROWS($AC$3:AC8492),$AC$3:$AC$10000,0)),"")</f>
        <v/>
      </c>
    </row>
    <row r="8493" spans="27:30">
      <c r="AA8493" s="117">
        <f>+'Ingredient List - Mother Tinctu'!D8494</f>
        <v>0</v>
      </c>
      <c r="AB8493" s="117">
        <f t="shared" si="135"/>
        <v>0</v>
      </c>
      <c r="AC8493" s="117" t="str">
        <f>IF(AB8493=1,COUNTIF($AB$3:AB8493,1),"")</f>
        <v/>
      </c>
      <c r="AD8493" s="117" t="str">
        <f>IFERROR(INDEX($AA$3:$AA$10000,MATCH(ROWS($AC$3:AC8493),$AC$3:$AC$10000,0)),"")</f>
        <v/>
      </c>
    </row>
    <row r="8494" spans="27:30">
      <c r="AA8494" s="117">
        <f>+'Ingredient List - Mother Tinctu'!D8495</f>
        <v>0</v>
      </c>
      <c r="AB8494" s="117">
        <f t="shared" si="135"/>
        <v>0</v>
      </c>
      <c r="AC8494" s="117" t="str">
        <f>IF(AB8494=1,COUNTIF($AB$3:AB8494,1),"")</f>
        <v/>
      </c>
      <c r="AD8494" s="117" t="str">
        <f>IFERROR(INDEX($AA$3:$AA$10000,MATCH(ROWS($AC$3:AC8494),$AC$3:$AC$10000,0)),"")</f>
        <v/>
      </c>
    </row>
    <row r="8495" spans="27:30">
      <c r="AA8495" s="117">
        <f>+'Ingredient List - Mother Tinctu'!D8496</f>
        <v>0</v>
      </c>
      <c r="AB8495" s="117">
        <f t="shared" si="135"/>
        <v>0</v>
      </c>
      <c r="AC8495" s="117" t="str">
        <f>IF(AB8495=1,COUNTIF($AB$3:AB8495,1),"")</f>
        <v/>
      </c>
      <c r="AD8495" s="117" t="str">
        <f>IFERROR(INDEX($AA$3:$AA$10000,MATCH(ROWS($AC$3:AC8495),$AC$3:$AC$10000,0)),"")</f>
        <v/>
      </c>
    </row>
    <row r="8496" spans="27:30">
      <c r="AA8496" s="117">
        <f>+'Ingredient List - Mother Tinctu'!D8497</f>
        <v>0</v>
      </c>
      <c r="AB8496" s="117">
        <f t="shared" si="135"/>
        <v>0</v>
      </c>
      <c r="AC8496" s="117" t="str">
        <f>IF(AB8496=1,COUNTIF($AB$3:AB8496,1),"")</f>
        <v/>
      </c>
      <c r="AD8496" s="117" t="str">
        <f>IFERROR(INDEX($AA$3:$AA$10000,MATCH(ROWS($AC$3:AC8496),$AC$3:$AC$10000,0)),"")</f>
        <v/>
      </c>
    </row>
    <row r="8497" spans="27:30">
      <c r="AA8497" s="117">
        <f>+'Ingredient List - Mother Tinctu'!D8498</f>
        <v>0</v>
      </c>
      <c r="AB8497" s="117">
        <f t="shared" si="135"/>
        <v>0</v>
      </c>
      <c r="AC8497" s="117" t="str">
        <f>IF(AB8497=1,COUNTIF($AB$3:AB8497,1),"")</f>
        <v/>
      </c>
      <c r="AD8497" s="117" t="str">
        <f>IFERROR(INDEX($AA$3:$AA$10000,MATCH(ROWS($AC$3:AC8497),$AC$3:$AC$10000,0)),"")</f>
        <v/>
      </c>
    </row>
    <row r="8498" spans="27:30">
      <c r="AA8498" s="117">
        <f>+'Ingredient List - Mother Tinctu'!D8499</f>
        <v>0</v>
      </c>
      <c r="AB8498" s="117">
        <f t="shared" si="135"/>
        <v>0</v>
      </c>
      <c r="AC8498" s="117" t="str">
        <f>IF(AB8498=1,COUNTIF($AB$3:AB8498,1),"")</f>
        <v/>
      </c>
      <c r="AD8498" s="117" t="str">
        <f>IFERROR(INDEX($AA$3:$AA$10000,MATCH(ROWS($AC$3:AC8498),$AC$3:$AC$10000,0)),"")</f>
        <v/>
      </c>
    </row>
    <row r="8499" spans="27:30">
      <c r="AA8499" s="117">
        <f>+'Ingredient List - Mother Tinctu'!D8500</f>
        <v>0</v>
      </c>
      <c r="AB8499" s="117">
        <f t="shared" si="135"/>
        <v>0</v>
      </c>
      <c r="AC8499" s="117" t="str">
        <f>IF(AB8499=1,COUNTIF($AB$3:AB8499,1),"")</f>
        <v/>
      </c>
      <c r="AD8499" s="117" t="str">
        <f>IFERROR(INDEX($AA$3:$AA$10000,MATCH(ROWS($AC$3:AC8499),$AC$3:$AC$10000,0)),"")</f>
        <v/>
      </c>
    </row>
    <row r="8500" spans="27:30">
      <c r="AA8500" s="117">
        <f>+'Ingredient List - Mother Tinctu'!D8501</f>
        <v>0</v>
      </c>
      <c r="AB8500" s="117">
        <f t="shared" si="135"/>
        <v>0</v>
      </c>
      <c r="AC8500" s="117" t="str">
        <f>IF(AB8500=1,COUNTIF($AB$3:AB8500,1),"")</f>
        <v/>
      </c>
      <c r="AD8500" s="117" t="str">
        <f>IFERROR(INDEX($AA$3:$AA$10000,MATCH(ROWS($AC$3:AC8500),$AC$3:$AC$10000,0)),"")</f>
        <v/>
      </c>
    </row>
    <row r="8501" spans="27:30">
      <c r="AA8501" s="117">
        <f>+'Ingredient List - Mother Tinctu'!D8502</f>
        <v>0</v>
      </c>
      <c r="AB8501" s="117">
        <f t="shared" si="135"/>
        <v>0</v>
      </c>
      <c r="AC8501" s="117" t="str">
        <f>IF(AB8501=1,COUNTIF($AB$3:AB8501,1),"")</f>
        <v/>
      </c>
      <c r="AD8501" s="117" t="str">
        <f>IFERROR(INDEX($AA$3:$AA$10000,MATCH(ROWS($AC$3:AC8501),$AC$3:$AC$10000,0)),"")</f>
        <v/>
      </c>
    </row>
    <row r="8502" spans="27:30">
      <c r="AA8502" s="117">
        <f>+'Ingredient List - Mother Tinctu'!D8503</f>
        <v>0</v>
      </c>
      <c r="AB8502" s="117">
        <f t="shared" si="135"/>
        <v>0</v>
      </c>
      <c r="AC8502" s="117" t="str">
        <f>IF(AB8502=1,COUNTIF($AB$3:AB8502,1),"")</f>
        <v/>
      </c>
      <c r="AD8502" s="117" t="str">
        <f>IFERROR(INDEX($AA$3:$AA$10000,MATCH(ROWS($AC$3:AC8502),$AC$3:$AC$10000,0)),"")</f>
        <v/>
      </c>
    </row>
    <row r="8503" spans="27:30">
      <c r="AA8503" s="117">
        <f>+'Ingredient List - Mother Tinctu'!D8504</f>
        <v>0</v>
      </c>
      <c r="AB8503" s="117">
        <f t="shared" si="135"/>
        <v>0</v>
      </c>
      <c r="AC8503" s="117" t="str">
        <f>IF(AB8503=1,COUNTIF($AB$3:AB8503,1),"")</f>
        <v/>
      </c>
      <c r="AD8503" s="117" t="str">
        <f>IFERROR(INDEX($AA$3:$AA$10000,MATCH(ROWS($AC$3:AC8503),$AC$3:$AC$10000,0)),"")</f>
        <v/>
      </c>
    </row>
    <row r="8504" spans="27:30">
      <c r="AA8504" s="117">
        <f>+'Ingredient List - Mother Tinctu'!D8505</f>
        <v>0</v>
      </c>
      <c r="AB8504" s="117">
        <f t="shared" si="135"/>
        <v>0</v>
      </c>
      <c r="AC8504" s="117" t="str">
        <f>IF(AB8504=1,COUNTIF($AB$3:AB8504,1),"")</f>
        <v/>
      </c>
      <c r="AD8504" s="117" t="str">
        <f>IFERROR(INDEX($AA$3:$AA$10000,MATCH(ROWS($AC$3:AC8504),$AC$3:$AC$10000,0)),"")</f>
        <v/>
      </c>
    </row>
    <row r="8505" spans="27:30">
      <c r="AA8505" s="117">
        <f>+'Ingredient List - Mother Tinctu'!D8506</f>
        <v>0</v>
      </c>
      <c r="AB8505" s="117">
        <f t="shared" si="135"/>
        <v>0</v>
      </c>
      <c r="AC8505" s="117" t="str">
        <f>IF(AB8505=1,COUNTIF($AB$3:AB8505,1),"")</f>
        <v/>
      </c>
      <c r="AD8505" s="117" t="str">
        <f>IFERROR(INDEX($AA$3:$AA$10000,MATCH(ROWS($AC$3:AC8505),$AC$3:$AC$10000,0)),"")</f>
        <v/>
      </c>
    </row>
    <row r="8506" spans="27:30">
      <c r="AA8506" s="117">
        <f>+'Ingredient List - Mother Tinctu'!D8507</f>
        <v>0</v>
      </c>
      <c r="AB8506" s="117">
        <f t="shared" si="135"/>
        <v>0</v>
      </c>
      <c r="AC8506" s="117" t="str">
        <f>IF(AB8506=1,COUNTIF($AB$3:AB8506,1),"")</f>
        <v/>
      </c>
      <c r="AD8506" s="117" t="str">
        <f>IFERROR(INDEX($AA$3:$AA$10000,MATCH(ROWS($AC$3:AC8506),$AC$3:$AC$10000,0)),"")</f>
        <v/>
      </c>
    </row>
    <row r="8507" spans="27:30">
      <c r="AA8507" s="117">
        <f>+'Ingredient List - Mother Tinctu'!D8508</f>
        <v>0</v>
      </c>
      <c r="AB8507" s="117">
        <f t="shared" si="135"/>
        <v>0</v>
      </c>
      <c r="AC8507" s="117" t="str">
        <f>IF(AB8507=1,COUNTIF($AB$3:AB8507,1),"")</f>
        <v/>
      </c>
      <c r="AD8507" s="117" t="str">
        <f>IFERROR(INDEX($AA$3:$AA$10000,MATCH(ROWS($AC$3:AC8507),$AC$3:$AC$10000,0)),"")</f>
        <v/>
      </c>
    </row>
    <row r="8508" spans="27:30">
      <c r="AA8508" s="117">
        <f>+'Ingredient List - Mother Tinctu'!D8509</f>
        <v>0</v>
      </c>
      <c r="AB8508" s="117">
        <f t="shared" si="135"/>
        <v>0</v>
      </c>
      <c r="AC8508" s="117" t="str">
        <f>IF(AB8508=1,COUNTIF($AB$3:AB8508,1),"")</f>
        <v/>
      </c>
      <c r="AD8508" s="117" t="str">
        <f>IFERROR(INDEX($AA$3:$AA$10000,MATCH(ROWS($AC$3:AC8508),$AC$3:$AC$10000,0)),"")</f>
        <v/>
      </c>
    </row>
    <row r="8509" spans="27:30">
      <c r="AA8509" s="117">
        <f>+'Ingredient List - Mother Tinctu'!D8510</f>
        <v>0</v>
      </c>
      <c r="AB8509" s="117">
        <f t="shared" si="135"/>
        <v>0</v>
      </c>
      <c r="AC8509" s="117" t="str">
        <f>IF(AB8509=1,COUNTIF($AB$3:AB8509,1),"")</f>
        <v/>
      </c>
      <c r="AD8509" s="117" t="str">
        <f>IFERROR(INDEX($AA$3:$AA$10000,MATCH(ROWS($AC$3:AC8509),$AC$3:$AC$10000,0)),"")</f>
        <v/>
      </c>
    </row>
    <row r="8510" spans="27:30">
      <c r="AA8510" s="117">
        <f>+'Ingredient List - Mother Tinctu'!D8511</f>
        <v>0</v>
      </c>
      <c r="AB8510" s="117">
        <f t="shared" si="135"/>
        <v>0</v>
      </c>
      <c r="AC8510" s="117" t="str">
        <f>IF(AB8510=1,COUNTIF($AB$3:AB8510,1),"")</f>
        <v/>
      </c>
      <c r="AD8510" s="117" t="str">
        <f>IFERROR(INDEX($AA$3:$AA$10000,MATCH(ROWS($AC$3:AC8510),$AC$3:$AC$10000,0)),"")</f>
        <v/>
      </c>
    </row>
    <row r="8511" spans="27:30">
      <c r="AA8511" s="117">
        <f>+'Ingredient List - Mother Tinctu'!D8512</f>
        <v>0</v>
      </c>
      <c r="AB8511" s="117">
        <f t="shared" si="135"/>
        <v>0</v>
      </c>
      <c r="AC8511" s="117" t="str">
        <f>IF(AB8511=1,COUNTIF($AB$3:AB8511,1),"")</f>
        <v/>
      </c>
      <c r="AD8511" s="117" t="str">
        <f>IFERROR(INDEX($AA$3:$AA$10000,MATCH(ROWS($AC$3:AC8511),$AC$3:$AC$10000,0)),"")</f>
        <v/>
      </c>
    </row>
    <row r="8512" spans="27:30">
      <c r="AA8512" s="117">
        <f>+'Ingredient List - Mother Tinctu'!D8513</f>
        <v>0</v>
      </c>
      <c r="AB8512" s="117">
        <f t="shared" si="135"/>
        <v>0</v>
      </c>
      <c r="AC8512" s="117" t="str">
        <f>IF(AB8512=1,COUNTIF($AB$3:AB8512,1),"")</f>
        <v/>
      </c>
      <c r="AD8512" s="117" t="str">
        <f>IFERROR(INDEX($AA$3:$AA$10000,MATCH(ROWS($AC$3:AC8512),$AC$3:$AC$10000,0)),"")</f>
        <v/>
      </c>
    </row>
    <row r="8513" spans="27:30">
      <c r="AA8513" s="117">
        <f>+'Ingredient List - Mother Tinctu'!D8514</f>
        <v>0</v>
      </c>
      <c r="AB8513" s="117">
        <f t="shared" si="135"/>
        <v>0</v>
      </c>
      <c r="AC8513" s="117" t="str">
        <f>IF(AB8513=1,COUNTIF($AB$3:AB8513,1),"")</f>
        <v/>
      </c>
      <c r="AD8513" s="117" t="str">
        <f>IFERROR(INDEX($AA$3:$AA$10000,MATCH(ROWS($AC$3:AC8513),$AC$3:$AC$10000,0)),"")</f>
        <v/>
      </c>
    </row>
    <row r="8514" spans="27:30">
      <c r="AA8514" s="117">
        <f>+'Ingredient List - Mother Tinctu'!D8515</f>
        <v>0</v>
      </c>
      <c r="AB8514" s="117">
        <f t="shared" si="135"/>
        <v>0</v>
      </c>
      <c r="AC8514" s="117" t="str">
        <f>IF(AB8514=1,COUNTIF($AB$3:AB8514,1),"")</f>
        <v/>
      </c>
      <c r="AD8514" s="117" t="str">
        <f>IFERROR(INDEX($AA$3:$AA$10000,MATCH(ROWS($AC$3:AC8514),$AC$3:$AC$10000,0)),"")</f>
        <v/>
      </c>
    </row>
    <row r="8515" spans="27:30">
      <c r="AA8515" s="117">
        <f>+'Ingredient List - Mother Tinctu'!D8516</f>
        <v>0</v>
      </c>
      <c r="AB8515" s="117">
        <f t="shared" si="135"/>
        <v>0</v>
      </c>
      <c r="AC8515" s="117" t="str">
        <f>IF(AB8515=1,COUNTIF($AB$3:AB8515,1),"")</f>
        <v/>
      </c>
      <c r="AD8515" s="117" t="str">
        <f>IFERROR(INDEX($AA$3:$AA$10000,MATCH(ROWS($AC$3:AC8515),$AC$3:$AC$10000,0)),"")</f>
        <v/>
      </c>
    </row>
    <row r="8516" spans="27:30">
      <c r="AA8516" s="117">
        <f>+'Ingredient List - Mother Tinctu'!D8517</f>
        <v>0</v>
      </c>
      <c r="AB8516" s="117">
        <f t="shared" ref="AB8516:AB8579" si="136">--ISNUMBER(IFERROR(SEARCH($D$3,AA8516,1),""))</f>
        <v>0</v>
      </c>
      <c r="AC8516" s="117" t="str">
        <f>IF(AB8516=1,COUNTIF($AB$3:AB8516,1),"")</f>
        <v/>
      </c>
      <c r="AD8516" s="117" t="str">
        <f>IFERROR(INDEX($AA$3:$AA$10000,MATCH(ROWS($AC$3:AC8516),$AC$3:$AC$10000,0)),"")</f>
        <v/>
      </c>
    </row>
    <row r="8517" spans="27:30">
      <c r="AA8517" s="117">
        <f>+'Ingredient List - Mother Tinctu'!D8518</f>
        <v>0</v>
      </c>
      <c r="AB8517" s="117">
        <f t="shared" si="136"/>
        <v>0</v>
      </c>
      <c r="AC8517" s="117" t="str">
        <f>IF(AB8517=1,COUNTIF($AB$3:AB8517,1),"")</f>
        <v/>
      </c>
      <c r="AD8517" s="117" t="str">
        <f>IFERROR(INDEX($AA$3:$AA$10000,MATCH(ROWS($AC$3:AC8517),$AC$3:$AC$10000,0)),"")</f>
        <v/>
      </c>
    </row>
    <row r="8518" spans="27:30">
      <c r="AA8518" s="117">
        <f>+'Ingredient List - Mother Tinctu'!D8519</f>
        <v>0</v>
      </c>
      <c r="AB8518" s="117">
        <f t="shared" si="136"/>
        <v>0</v>
      </c>
      <c r="AC8518" s="117" t="str">
        <f>IF(AB8518=1,COUNTIF($AB$3:AB8518,1),"")</f>
        <v/>
      </c>
      <c r="AD8518" s="117" t="str">
        <f>IFERROR(INDEX($AA$3:$AA$10000,MATCH(ROWS($AC$3:AC8518),$AC$3:$AC$10000,0)),"")</f>
        <v/>
      </c>
    </row>
    <row r="8519" spans="27:30">
      <c r="AA8519" s="117">
        <f>+'Ingredient List - Mother Tinctu'!D8520</f>
        <v>0</v>
      </c>
      <c r="AB8519" s="117">
        <f t="shared" si="136"/>
        <v>0</v>
      </c>
      <c r="AC8519" s="117" t="str">
        <f>IF(AB8519=1,COUNTIF($AB$3:AB8519,1),"")</f>
        <v/>
      </c>
      <c r="AD8519" s="117" t="str">
        <f>IFERROR(INDEX($AA$3:$AA$10000,MATCH(ROWS($AC$3:AC8519),$AC$3:$AC$10000,0)),"")</f>
        <v/>
      </c>
    </row>
    <row r="8520" spans="27:30">
      <c r="AA8520" s="117">
        <f>+'Ingredient List - Mother Tinctu'!D8521</f>
        <v>0</v>
      </c>
      <c r="AB8520" s="117">
        <f t="shared" si="136"/>
        <v>0</v>
      </c>
      <c r="AC8520" s="117" t="str">
        <f>IF(AB8520=1,COUNTIF($AB$3:AB8520,1),"")</f>
        <v/>
      </c>
      <c r="AD8520" s="117" t="str">
        <f>IFERROR(INDEX($AA$3:$AA$10000,MATCH(ROWS($AC$3:AC8520),$AC$3:$AC$10000,0)),"")</f>
        <v/>
      </c>
    </row>
    <row r="8521" spans="27:30">
      <c r="AA8521" s="117">
        <f>+'Ingredient List - Mother Tinctu'!D8522</f>
        <v>0</v>
      </c>
      <c r="AB8521" s="117">
        <f t="shared" si="136"/>
        <v>0</v>
      </c>
      <c r="AC8521" s="117" t="str">
        <f>IF(AB8521=1,COUNTIF($AB$3:AB8521,1),"")</f>
        <v/>
      </c>
      <c r="AD8521" s="117" t="str">
        <f>IFERROR(INDEX($AA$3:$AA$10000,MATCH(ROWS($AC$3:AC8521),$AC$3:$AC$10000,0)),"")</f>
        <v/>
      </c>
    </row>
    <row r="8522" spans="27:30">
      <c r="AA8522" s="117">
        <f>+'Ingredient List - Mother Tinctu'!D8523</f>
        <v>0</v>
      </c>
      <c r="AB8522" s="117">
        <f t="shared" si="136"/>
        <v>0</v>
      </c>
      <c r="AC8522" s="117" t="str">
        <f>IF(AB8522=1,COUNTIF($AB$3:AB8522,1),"")</f>
        <v/>
      </c>
      <c r="AD8522" s="117" t="str">
        <f>IFERROR(INDEX($AA$3:$AA$10000,MATCH(ROWS($AC$3:AC8522),$AC$3:$AC$10000,0)),"")</f>
        <v/>
      </c>
    </row>
    <row r="8523" spans="27:30">
      <c r="AA8523" s="117">
        <f>+'Ingredient List - Mother Tinctu'!D8524</f>
        <v>0</v>
      </c>
      <c r="AB8523" s="117">
        <f t="shared" si="136"/>
        <v>0</v>
      </c>
      <c r="AC8523" s="117" t="str">
        <f>IF(AB8523=1,COUNTIF($AB$3:AB8523,1),"")</f>
        <v/>
      </c>
      <c r="AD8523" s="117" t="str">
        <f>IFERROR(INDEX($AA$3:$AA$10000,MATCH(ROWS($AC$3:AC8523),$AC$3:$AC$10000,0)),"")</f>
        <v/>
      </c>
    </row>
    <row r="8524" spans="27:30">
      <c r="AA8524" s="117">
        <f>+'Ingredient List - Mother Tinctu'!D8525</f>
        <v>0</v>
      </c>
      <c r="AB8524" s="117">
        <f t="shared" si="136"/>
        <v>0</v>
      </c>
      <c r="AC8524" s="117" t="str">
        <f>IF(AB8524=1,COUNTIF($AB$3:AB8524,1),"")</f>
        <v/>
      </c>
      <c r="AD8524" s="117" t="str">
        <f>IFERROR(INDEX($AA$3:$AA$10000,MATCH(ROWS($AC$3:AC8524),$AC$3:$AC$10000,0)),"")</f>
        <v/>
      </c>
    </row>
    <row r="8525" spans="27:30">
      <c r="AA8525" s="117">
        <f>+'Ingredient List - Mother Tinctu'!D8526</f>
        <v>0</v>
      </c>
      <c r="AB8525" s="117">
        <f t="shared" si="136"/>
        <v>0</v>
      </c>
      <c r="AC8525" s="117" t="str">
        <f>IF(AB8525=1,COUNTIF($AB$3:AB8525,1),"")</f>
        <v/>
      </c>
      <c r="AD8525" s="117" t="str">
        <f>IFERROR(INDEX($AA$3:$AA$10000,MATCH(ROWS($AC$3:AC8525),$AC$3:$AC$10000,0)),"")</f>
        <v/>
      </c>
    </row>
    <row r="8526" spans="27:30">
      <c r="AA8526" s="117">
        <f>+'Ingredient List - Mother Tinctu'!D8527</f>
        <v>0</v>
      </c>
      <c r="AB8526" s="117">
        <f t="shared" si="136"/>
        <v>0</v>
      </c>
      <c r="AC8526" s="117" t="str">
        <f>IF(AB8526=1,COUNTIF($AB$3:AB8526,1),"")</f>
        <v/>
      </c>
      <c r="AD8526" s="117" t="str">
        <f>IFERROR(INDEX($AA$3:$AA$10000,MATCH(ROWS($AC$3:AC8526),$AC$3:$AC$10000,0)),"")</f>
        <v/>
      </c>
    </row>
    <row r="8527" spans="27:30">
      <c r="AA8527" s="117">
        <f>+'Ingredient List - Mother Tinctu'!D8528</f>
        <v>0</v>
      </c>
      <c r="AB8527" s="117">
        <f t="shared" si="136"/>
        <v>0</v>
      </c>
      <c r="AC8527" s="117" t="str">
        <f>IF(AB8527=1,COUNTIF($AB$3:AB8527,1),"")</f>
        <v/>
      </c>
      <c r="AD8527" s="117" t="str">
        <f>IFERROR(INDEX($AA$3:$AA$10000,MATCH(ROWS($AC$3:AC8527),$AC$3:$AC$10000,0)),"")</f>
        <v/>
      </c>
    </row>
    <row r="8528" spans="27:30">
      <c r="AA8528" s="117">
        <f>+'Ingredient List - Mother Tinctu'!D8529</f>
        <v>0</v>
      </c>
      <c r="AB8528" s="117">
        <f t="shared" si="136"/>
        <v>0</v>
      </c>
      <c r="AC8528" s="117" t="str">
        <f>IF(AB8528=1,COUNTIF($AB$3:AB8528,1),"")</f>
        <v/>
      </c>
      <c r="AD8528" s="117" t="str">
        <f>IFERROR(INDEX($AA$3:$AA$10000,MATCH(ROWS($AC$3:AC8528),$AC$3:$AC$10000,0)),"")</f>
        <v/>
      </c>
    </row>
    <row r="8529" spans="27:30">
      <c r="AA8529" s="117">
        <f>+'Ingredient List - Mother Tinctu'!D8530</f>
        <v>0</v>
      </c>
      <c r="AB8529" s="117">
        <f t="shared" si="136"/>
        <v>0</v>
      </c>
      <c r="AC8529" s="117" t="str">
        <f>IF(AB8529=1,COUNTIF($AB$3:AB8529,1),"")</f>
        <v/>
      </c>
      <c r="AD8529" s="117" t="str">
        <f>IFERROR(INDEX($AA$3:$AA$10000,MATCH(ROWS($AC$3:AC8529),$AC$3:$AC$10000,0)),"")</f>
        <v/>
      </c>
    </row>
    <row r="8530" spans="27:30">
      <c r="AA8530" s="117">
        <f>+'Ingredient List - Mother Tinctu'!D8531</f>
        <v>0</v>
      </c>
      <c r="AB8530" s="117">
        <f t="shared" si="136"/>
        <v>0</v>
      </c>
      <c r="AC8530" s="117" t="str">
        <f>IF(AB8530=1,COUNTIF($AB$3:AB8530,1),"")</f>
        <v/>
      </c>
      <c r="AD8530" s="117" t="str">
        <f>IFERROR(INDEX($AA$3:$AA$10000,MATCH(ROWS($AC$3:AC8530),$AC$3:$AC$10000,0)),"")</f>
        <v/>
      </c>
    </row>
    <row r="8531" spans="27:30">
      <c r="AA8531" s="117">
        <f>+'Ingredient List - Mother Tinctu'!D8532</f>
        <v>0</v>
      </c>
      <c r="AB8531" s="117">
        <f t="shared" si="136"/>
        <v>0</v>
      </c>
      <c r="AC8531" s="117" t="str">
        <f>IF(AB8531=1,COUNTIF($AB$3:AB8531,1),"")</f>
        <v/>
      </c>
      <c r="AD8531" s="117" t="str">
        <f>IFERROR(INDEX($AA$3:$AA$10000,MATCH(ROWS($AC$3:AC8531),$AC$3:$AC$10000,0)),"")</f>
        <v/>
      </c>
    </row>
    <row r="8532" spans="27:30">
      <c r="AA8532" s="117">
        <f>+'Ingredient List - Mother Tinctu'!D8533</f>
        <v>0</v>
      </c>
      <c r="AB8532" s="117">
        <f t="shared" si="136"/>
        <v>0</v>
      </c>
      <c r="AC8532" s="117" t="str">
        <f>IF(AB8532=1,COUNTIF($AB$3:AB8532,1),"")</f>
        <v/>
      </c>
      <c r="AD8532" s="117" t="str">
        <f>IFERROR(INDEX($AA$3:$AA$10000,MATCH(ROWS($AC$3:AC8532),$AC$3:$AC$10000,0)),"")</f>
        <v/>
      </c>
    </row>
    <row r="8533" spans="27:30">
      <c r="AA8533" s="117">
        <f>+'Ingredient List - Mother Tinctu'!D8534</f>
        <v>0</v>
      </c>
      <c r="AB8533" s="117">
        <f t="shared" si="136"/>
        <v>0</v>
      </c>
      <c r="AC8533" s="117" t="str">
        <f>IF(AB8533=1,COUNTIF($AB$3:AB8533,1),"")</f>
        <v/>
      </c>
      <c r="AD8533" s="117" t="str">
        <f>IFERROR(INDEX($AA$3:$AA$10000,MATCH(ROWS($AC$3:AC8533),$AC$3:$AC$10000,0)),"")</f>
        <v/>
      </c>
    </row>
    <row r="8534" spans="27:30">
      <c r="AA8534" s="117">
        <f>+'Ingredient List - Mother Tinctu'!D8535</f>
        <v>0</v>
      </c>
      <c r="AB8534" s="117">
        <f t="shared" si="136"/>
        <v>0</v>
      </c>
      <c r="AC8534" s="117" t="str">
        <f>IF(AB8534=1,COUNTIF($AB$3:AB8534,1),"")</f>
        <v/>
      </c>
      <c r="AD8534" s="117" t="str">
        <f>IFERROR(INDEX($AA$3:$AA$10000,MATCH(ROWS($AC$3:AC8534),$AC$3:$AC$10000,0)),"")</f>
        <v/>
      </c>
    </row>
    <row r="8535" spans="27:30">
      <c r="AA8535" s="117">
        <f>+'Ingredient List - Mother Tinctu'!D8536</f>
        <v>0</v>
      </c>
      <c r="AB8535" s="117">
        <f t="shared" si="136"/>
        <v>0</v>
      </c>
      <c r="AC8535" s="117" t="str">
        <f>IF(AB8535=1,COUNTIF($AB$3:AB8535,1),"")</f>
        <v/>
      </c>
      <c r="AD8535" s="117" t="str">
        <f>IFERROR(INDEX($AA$3:$AA$10000,MATCH(ROWS($AC$3:AC8535),$AC$3:$AC$10000,0)),"")</f>
        <v/>
      </c>
    </row>
    <row r="8536" spans="27:30">
      <c r="AA8536" s="117">
        <f>+'Ingredient List - Mother Tinctu'!D8537</f>
        <v>0</v>
      </c>
      <c r="AB8536" s="117">
        <f t="shared" si="136"/>
        <v>0</v>
      </c>
      <c r="AC8536" s="117" t="str">
        <f>IF(AB8536=1,COUNTIF($AB$3:AB8536,1),"")</f>
        <v/>
      </c>
      <c r="AD8536" s="117" t="str">
        <f>IFERROR(INDEX($AA$3:$AA$10000,MATCH(ROWS($AC$3:AC8536),$AC$3:$AC$10000,0)),"")</f>
        <v/>
      </c>
    </row>
    <row r="8537" spans="27:30">
      <c r="AA8537" s="117">
        <f>+'Ingredient List - Mother Tinctu'!D8538</f>
        <v>0</v>
      </c>
      <c r="AB8537" s="117">
        <f t="shared" si="136"/>
        <v>0</v>
      </c>
      <c r="AC8537" s="117" t="str">
        <f>IF(AB8537=1,COUNTIF($AB$3:AB8537,1),"")</f>
        <v/>
      </c>
      <c r="AD8537" s="117" t="str">
        <f>IFERROR(INDEX($AA$3:$AA$10000,MATCH(ROWS($AC$3:AC8537),$AC$3:$AC$10000,0)),"")</f>
        <v/>
      </c>
    </row>
    <row r="8538" spans="27:30">
      <c r="AA8538" s="117">
        <f>+'Ingredient List - Mother Tinctu'!D8539</f>
        <v>0</v>
      </c>
      <c r="AB8538" s="117">
        <f t="shared" si="136"/>
        <v>0</v>
      </c>
      <c r="AC8538" s="117" t="str">
        <f>IF(AB8538=1,COUNTIF($AB$3:AB8538,1),"")</f>
        <v/>
      </c>
      <c r="AD8538" s="117" t="str">
        <f>IFERROR(INDEX($AA$3:$AA$10000,MATCH(ROWS($AC$3:AC8538),$AC$3:$AC$10000,0)),"")</f>
        <v/>
      </c>
    </row>
    <row r="8539" spans="27:30">
      <c r="AA8539" s="117">
        <f>+'Ingredient List - Mother Tinctu'!D8540</f>
        <v>0</v>
      </c>
      <c r="AB8539" s="117">
        <f t="shared" si="136"/>
        <v>0</v>
      </c>
      <c r="AC8539" s="117" t="str">
        <f>IF(AB8539=1,COUNTIF($AB$3:AB8539,1),"")</f>
        <v/>
      </c>
      <c r="AD8539" s="117" t="str">
        <f>IFERROR(INDEX($AA$3:$AA$10000,MATCH(ROWS($AC$3:AC8539),$AC$3:$AC$10000,0)),"")</f>
        <v/>
      </c>
    </row>
    <row r="8540" spans="27:30">
      <c r="AA8540" s="117">
        <f>+'Ingredient List - Mother Tinctu'!D8541</f>
        <v>0</v>
      </c>
      <c r="AB8540" s="117">
        <f t="shared" si="136"/>
        <v>0</v>
      </c>
      <c r="AC8540" s="117" t="str">
        <f>IF(AB8540=1,COUNTIF($AB$3:AB8540,1),"")</f>
        <v/>
      </c>
      <c r="AD8540" s="117" t="str">
        <f>IFERROR(INDEX($AA$3:$AA$10000,MATCH(ROWS($AC$3:AC8540),$AC$3:$AC$10000,0)),"")</f>
        <v/>
      </c>
    </row>
    <row r="8541" spans="27:30">
      <c r="AA8541" s="117">
        <f>+'Ingredient List - Mother Tinctu'!D8542</f>
        <v>0</v>
      </c>
      <c r="AB8541" s="117">
        <f t="shared" si="136"/>
        <v>0</v>
      </c>
      <c r="AC8541" s="117" t="str">
        <f>IF(AB8541=1,COUNTIF($AB$3:AB8541,1),"")</f>
        <v/>
      </c>
      <c r="AD8541" s="117" t="str">
        <f>IFERROR(INDEX($AA$3:$AA$10000,MATCH(ROWS($AC$3:AC8541),$AC$3:$AC$10000,0)),"")</f>
        <v/>
      </c>
    </row>
    <row r="8542" spans="27:30">
      <c r="AA8542" s="117">
        <f>+'Ingredient List - Mother Tinctu'!D8543</f>
        <v>0</v>
      </c>
      <c r="AB8542" s="117">
        <f t="shared" si="136"/>
        <v>0</v>
      </c>
      <c r="AC8542" s="117" t="str">
        <f>IF(AB8542=1,COUNTIF($AB$3:AB8542,1),"")</f>
        <v/>
      </c>
      <c r="AD8542" s="117" t="str">
        <f>IFERROR(INDEX($AA$3:$AA$10000,MATCH(ROWS($AC$3:AC8542),$AC$3:$AC$10000,0)),"")</f>
        <v/>
      </c>
    </row>
    <row r="8543" spans="27:30">
      <c r="AA8543" s="117">
        <f>+'Ingredient List - Mother Tinctu'!D8544</f>
        <v>0</v>
      </c>
      <c r="AB8543" s="117">
        <f t="shared" si="136"/>
        <v>0</v>
      </c>
      <c r="AC8543" s="117" t="str">
        <f>IF(AB8543=1,COUNTIF($AB$3:AB8543,1),"")</f>
        <v/>
      </c>
      <c r="AD8543" s="117" t="str">
        <f>IFERROR(INDEX($AA$3:$AA$10000,MATCH(ROWS($AC$3:AC8543),$AC$3:$AC$10000,0)),"")</f>
        <v/>
      </c>
    </row>
    <row r="8544" spans="27:30">
      <c r="AA8544" s="117">
        <f>+'Ingredient List - Mother Tinctu'!D8545</f>
        <v>0</v>
      </c>
      <c r="AB8544" s="117">
        <f t="shared" si="136"/>
        <v>0</v>
      </c>
      <c r="AC8544" s="117" t="str">
        <f>IF(AB8544=1,COUNTIF($AB$3:AB8544,1),"")</f>
        <v/>
      </c>
      <c r="AD8544" s="117" t="str">
        <f>IFERROR(INDEX($AA$3:$AA$10000,MATCH(ROWS($AC$3:AC8544),$AC$3:$AC$10000,0)),"")</f>
        <v/>
      </c>
    </row>
    <row r="8545" spans="27:30">
      <c r="AA8545" s="117">
        <f>+'Ingredient List - Mother Tinctu'!D8546</f>
        <v>0</v>
      </c>
      <c r="AB8545" s="117">
        <f t="shared" si="136"/>
        <v>0</v>
      </c>
      <c r="AC8545" s="117" t="str">
        <f>IF(AB8545=1,COUNTIF($AB$3:AB8545,1),"")</f>
        <v/>
      </c>
      <c r="AD8545" s="117" t="str">
        <f>IFERROR(INDEX($AA$3:$AA$10000,MATCH(ROWS($AC$3:AC8545),$AC$3:$AC$10000,0)),"")</f>
        <v/>
      </c>
    </row>
    <row r="8546" spans="27:30">
      <c r="AA8546" s="117">
        <f>+'Ingredient List - Mother Tinctu'!D8547</f>
        <v>0</v>
      </c>
      <c r="AB8546" s="117">
        <f t="shared" si="136"/>
        <v>0</v>
      </c>
      <c r="AC8546" s="117" t="str">
        <f>IF(AB8546=1,COUNTIF($AB$3:AB8546,1),"")</f>
        <v/>
      </c>
      <c r="AD8546" s="117" t="str">
        <f>IFERROR(INDEX($AA$3:$AA$10000,MATCH(ROWS($AC$3:AC8546),$AC$3:$AC$10000,0)),"")</f>
        <v/>
      </c>
    </row>
    <row r="8547" spans="27:30">
      <c r="AA8547" s="117">
        <f>+'Ingredient List - Mother Tinctu'!D8548</f>
        <v>0</v>
      </c>
      <c r="AB8547" s="117">
        <f t="shared" si="136"/>
        <v>0</v>
      </c>
      <c r="AC8547" s="117" t="str">
        <f>IF(AB8547=1,COUNTIF($AB$3:AB8547,1),"")</f>
        <v/>
      </c>
      <c r="AD8547" s="117" t="str">
        <f>IFERROR(INDEX($AA$3:$AA$10000,MATCH(ROWS($AC$3:AC8547),$AC$3:$AC$10000,0)),"")</f>
        <v/>
      </c>
    </row>
    <row r="8548" spans="27:30">
      <c r="AA8548" s="117">
        <f>+'Ingredient List - Mother Tinctu'!D8549</f>
        <v>0</v>
      </c>
      <c r="AB8548" s="117">
        <f t="shared" si="136"/>
        <v>0</v>
      </c>
      <c r="AC8548" s="117" t="str">
        <f>IF(AB8548=1,COUNTIF($AB$3:AB8548,1),"")</f>
        <v/>
      </c>
      <c r="AD8548" s="117" t="str">
        <f>IFERROR(INDEX($AA$3:$AA$10000,MATCH(ROWS($AC$3:AC8548),$AC$3:$AC$10000,0)),"")</f>
        <v/>
      </c>
    </row>
    <row r="8549" spans="27:30">
      <c r="AA8549" s="117">
        <f>+'Ingredient List - Mother Tinctu'!D8550</f>
        <v>0</v>
      </c>
      <c r="AB8549" s="117">
        <f t="shared" si="136"/>
        <v>0</v>
      </c>
      <c r="AC8549" s="117" t="str">
        <f>IF(AB8549=1,COUNTIF($AB$3:AB8549,1),"")</f>
        <v/>
      </c>
      <c r="AD8549" s="117" t="str">
        <f>IFERROR(INDEX($AA$3:$AA$10000,MATCH(ROWS($AC$3:AC8549),$AC$3:$AC$10000,0)),"")</f>
        <v/>
      </c>
    </row>
    <row r="8550" spans="27:30">
      <c r="AA8550" s="117">
        <f>+'Ingredient List - Mother Tinctu'!D8551</f>
        <v>0</v>
      </c>
      <c r="AB8550" s="117">
        <f t="shared" si="136"/>
        <v>0</v>
      </c>
      <c r="AC8550" s="117" t="str">
        <f>IF(AB8550=1,COUNTIF($AB$3:AB8550,1),"")</f>
        <v/>
      </c>
      <c r="AD8550" s="117" t="str">
        <f>IFERROR(INDEX($AA$3:$AA$10000,MATCH(ROWS($AC$3:AC8550),$AC$3:$AC$10000,0)),"")</f>
        <v/>
      </c>
    </row>
    <row r="8551" spans="27:30">
      <c r="AA8551" s="117">
        <f>+'Ingredient List - Mother Tinctu'!D8552</f>
        <v>0</v>
      </c>
      <c r="AB8551" s="117">
        <f t="shared" si="136"/>
        <v>0</v>
      </c>
      <c r="AC8551" s="117" t="str">
        <f>IF(AB8551=1,COUNTIF($AB$3:AB8551,1),"")</f>
        <v/>
      </c>
      <c r="AD8551" s="117" t="str">
        <f>IFERROR(INDEX($AA$3:$AA$10000,MATCH(ROWS($AC$3:AC8551),$AC$3:$AC$10000,0)),"")</f>
        <v/>
      </c>
    </row>
    <row r="8552" spans="27:30">
      <c r="AA8552" s="117">
        <f>+'Ingredient List - Mother Tinctu'!D8553</f>
        <v>0</v>
      </c>
      <c r="AB8552" s="117">
        <f t="shared" si="136"/>
        <v>0</v>
      </c>
      <c r="AC8552" s="117" t="str">
        <f>IF(AB8552=1,COUNTIF($AB$3:AB8552,1),"")</f>
        <v/>
      </c>
      <c r="AD8552" s="117" t="str">
        <f>IFERROR(INDEX($AA$3:$AA$10000,MATCH(ROWS($AC$3:AC8552),$AC$3:$AC$10000,0)),"")</f>
        <v/>
      </c>
    </row>
    <row r="8553" spans="27:30">
      <c r="AA8553" s="117">
        <f>+'Ingredient List - Mother Tinctu'!D8554</f>
        <v>0</v>
      </c>
      <c r="AB8553" s="117">
        <f t="shared" si="136"/>
        <v>0</v>
      </c>
      <c r="AC8553" s="117" t="str">
        <f>IF(AB8553=1,COUNTIF($AB$3:AB8553,1),"")</f>
        <v/>
      </c>
      <c r="AD8553" s="117" t="str">
        <f>IFERROR(INDEX($AA$3:$AA$10000,MATCH(ROWS($AC$3:AC8553),$AC$3:$AC$10000,0)),"")</f>
        <v/>
      </c>
    </row>
    <row r="8554" spans="27:30">
      <c r="AA8554" s="117">
        <f>+'Ingredient List - Mother Tinctu'!D8555</f>
        <v>0</v>
      </c>
      <c r="AB8554" s="117">
        <f t="shared" si="136"/>
        <v>0</v>
      </c>
      <c r="AC8554" s="117" t="str">
        <f>IF(AB8554=1,COUNTIF($AB$3:AB8554,1),"")</f>
        <v/>
      </c>
      <c r="AD8554" s="117" t="str">
        <f>IFERROR(INDEX($AA$3:$AA$10000,MATCH(ROWS($AC$3:AC8554),$AC$3:$AC$10000,0)),"")</f>
        <v/>
      </c>
    </row>
    <row r="8555" spans="27:30">
      <c r="AA8555" s="117">
        <f>+'Ingredient List - Mother Tinctu'!D8556</f>
        <v>0</v>
      </c>
      <c r="AB8555" s="117">
        <f t="shared" si="136"/>
        <v>0</v>
      </c>
      <c r="AC8555" s="117" t="str">
        <f>IF(AB8555=1,COUNTIF($AB$3:AB8555,1),"")</f>
        <v/>
      </c>
      <c r="AD8555" s="117" t="str">
        <f>IFERROR(INDEX($AA$3:$AA$10000,MATCH(ROWS($AC$3:AC8555),$AC$3:$AC$10000,0)),"")</f>
        <v/>
      </c>
    </row>
    <row r="8556" spans="27:30">
      <c r="AA8556" s="117">
        <f>+'Ingredient List - Mother Tinctu'!D8557</f>
        <v>0</v>
      </c>
      <c r="AB8556" s="117">
        <f t="shared" si="136"/>
        <v>0</v>
      </c>
      <c r="AC8556" s="117" t="str">
        <f>IF(AB8556=1,COUNTIF($AB$3:AB8556,1),"")</f>
        <v/>
      </c>
      <c r="AD8556" s="117" t="str">
        <f>IFERROR(INDEX($AA$3:$AA$10000,MATCH(ROWS($AC$3:AC8556),$AC$3:$AC$10000,0)),"")</f>
        <v/>
      </c>
    </row>
    <row r="8557" spans="27:30">
      <c r="AA8557" s="117">
        <f>+'Ingredient List - Mother Tinctu'!D8558</f>
        <v>0</v>
      </c>
      <c r="AB8557" s="117">
        <f t="shared" si="136"/>
        <v>0</v>
      </c>
      <c r="AC8557" s="117" t="str">
        <f>IF(AB8557=1,COUNTIF($AB$3:AB8557,1),"")</f>
        <v/>
      </c>
      <c r="AD8557" s="117" t="str">
        <f>IFERROR(INDEX($AA$3:$AA$10000,MATCH(ROWS($AC$3:AC8557),$AC$3:$AC$10000,0)),"")</f>
        <v/>
      </c>
    </row>
    <row r="8558" spans="27:30">
      <c r="AA8558" s="117">
        <f>+'Ingredient List - Mother Tinctu'!D8559</f>
        <v>0</v>
      </c>
      <c r="AB8558" s="117">
        <f t="shared" si="136"/>
        <v>0</v>
      </c>
      <c r="AC8558" s="117" t="str">
        <f>IF(AB8558=1,COUNTIF($AB$3:AB8558,1),"")</f>
        <v/>
      </c>
      <c r="AD8558" s="117" t="str">
        <f>IFERROR(INDEX($AA$3:$AA$10000,MATCH(ROWS($AC$3:AC8558),$AC$3:$AC$10000,0)),"")</f>
        <v/>
      </c>
    </row>
    <row r="8559" spans="27:30">
      <c r="AA8559" s="117">
        <f>+'Ingredient List - Mother Tinctu'!D8560</f>
        <v>0</v>
      </c>
      <c r="AB8559" s="117">
        <f t="shared" si="136"/>
        <v>0</v>
      </c>
      <c r="AC8559" s="117" t="str">
        <f>IF(AB8559=1,COUNTIF($AB$3:AB8559,1),"")</f>
        <v/>
      </c>
      <c r="AD8559" s="117" t="str">
        <f>IFERROR(INDEX($AA$3:$AA$10000,MATCH(ROWS($AC$3:AC8559),$AC$3:$AC$10000,0)),"")</f>
        <v/>
      </c>
    </row>
    <row r="8560" spans="27:30">
      <c r="AA8560" s="117">
        <f>+'Ingredient List - Mother Tinctu'!D8561</f>
        <v>0</v>
      </c>
      <c r="AB8560" s="117">
        <f t="shared" si="136"/>
        <v>0</v>
      </c>
      <c r="AC8560" s="117" t="str">
        <f>IF(AB8560=1,COUNTIF($AB$3:AB8560,1),"")</f>
        <v/>
      </c>
      <c r="AD8560" s="117" t="str">
        <f>IFERROR(INDEX($AA$3:$AA$10000,MATCH(ROWS($AC$3:AC8560),$AC$3:$AC$10000,0)),"")</f>
        <v/>
      </c>
    </row>
    <row r="8561" spans="27:30">
      <c r="AA8561" s="117">
        <f>+'Ingredient List - Mother Tinctu'!D8562</f>
        <v>0</v>
      </c>
      <c r="AB8561" s="117">
        <f t="shared" si="136"/>
        <v>0</v>
      </c>
      <c r="AC8561" s="117" t="str">
        <f>IF(AB8561=1,COUNTIF($AB$3:AB8561,1),"")</f>
        <v/>
      </c>
      <c r="AD8561" s="117" t="str">
        <f>IFERROR(INDEX($AA$3:$AA$10000,MATCH(ROWS($AC$3:AC8561),$AC$3:$AC$10000,0)),"")</f>
        <v/>
      </c>
    </row>
    <row r="8562" spans="27:30">
      <c r="AA8562" s="117">
        <f>+'Ingredient List - Mother Tinctu'!D8563</f>
        <v>0</v>
      </c>
      <c r="AB8562" s="117">
        <f t="shared" si="136"/>
        <v>0</v>
      </c>
      <c r="AC8562" s="117" t="str">
        <f>IF(AB8562=1,COUNTIF($AB$3:AB8562,1),"")</f>
        <v/>
      </c>
      <c r="AD8562" s="117" t="str">
        <f>IFERROR(INDEX($AA$3:$AA$10000,MATCH(ROWS($AC$3:AC8562),$AC$3:$AC$10000,0)),"")</f>
        <v/>
      </c>
    </row>
    <row r="8563" spans="27:30">
      <c r="AA8563" s="117">
        <f>+'Ingredient List - Mother Tinctu'!D8564</f>
        <v>0</v>
      </c>
      <c r="AB8563" s="117">
        <f t="shared" si="136"/>
        <v>0</v>
      </c>
      <c r="AC8563" s="117" t="str">
        <f>IF(AB8563=1,COUNTIF($AB$3:AB8563,1),"")</f>
        <v/>
      </c>
      <c r="AD8563" s="117" t="str">
        <f>IFERROR(INDEX($AA$3:$AA$10000,MATCH(ROWS($AC$3:AC8563),$AC$3:$AC$10000,0)),"")</f>
        <v/>
      </c>
    </row>
    <row r="8564" spans="27:30">
      <c r="AA8564" s="117">
        <f>+'Ingredient List - Mother Tinctu'!D8565</f>
        <v>0</v>
      </c>
      <c r="AB8564" s="117">
        <f t="shared" si="136"/>
        <v>0</v>
      </c>
      <c r="AC8564" s="117" t="str">
        <f>IF(AB8564=1,COUNTIF($AB$3:AB8564,1),"")</f>
        <v/>
      </c>
      <c r="AD8564" s="117" t="str">
        <f>IFERROR(INDEX($AA$3:$AA$10000,MATCH(ROWS($AC$3:AC8564),$AC$3:$AC$10000,0)),"")</f>
        <v/>
      </c>
    </row>
    <row r="8565" spans="27:30">
      <c r="AA8565" s="117">
        <f>+'Ingredient List - Mother Tinctu'!D8566</f>
        <v>0</v>
      </c>
      <c r="AB8565" s="117">
        <f t="shared" si="136"/>
        <v>0</v>
      </c>
      <c r="AC8565" s="117" t="str">
        <f>IF(AB8565=1,COUNTIF($AB$3:AB8565,1),"")</f>
        <v/>
      </c>
      <c r="AD8565" s="117" t="str">
        <f>IFERROR(INDEX($AA$3:$AA$10000,MATCH(ROWS($AC$3:AC8565),$AC$3:$AC$10000,0)),"")</f>
        <v/>
      </c>
    </row>
    <row r="8566" spans="27:30">
      <c r="AA8566" s="117">
        <f>+'Ingredient List - Mother Tinctu'!D8567</f>
        <v>0</v>
      </c>
      <c r="AB8566" s="117">
        <f t="shared" si="136"/>
        <v>0</v>
      </c>
      <c r="AC8566" s="117" t="str">
        <f>IF(AB8566=1,COUNTIF($AB$3:AB8566,1),"")</f>
        <v/>
      </c>
      <c r="AD8566" s="117" t="str">
        <f>IFERROR(INDEX($AA$3:$AA$10000,MATCH(ROWS($AC$3:AC8566),$AC$3:$AC$10000,0)),"")</f>
        <v/>
      </c>
    </row>
    <row r="8567" spans="27:30">
      <c r="AA8567" s="117">
        <f>+'Ingredient List - Mother Tinctu'!D8568</f>
        <v>0</v>
      </c>
      <c r="AB8567" s="117">
        <f t="shared" si="136"/>
        <v>0</v>
      </c>
      <c r="AC8567" s="117" t="str">
        <f>IF(AB8567=1,COUNTIF($AB$3:AB8567,1),"")</f>
        <v/>
      </c>
      <c r="AD8567" s="117" t="str">
        <f>IFERROR(INDEX($AA$3:$AA$10000,MATCH(ROWS($AC$3:AC8567),$AC$3:$AC$10000,0)),"")</f>
        <v/>
      </c>
    </row>
    <row r="8568" spans="27:30">
      <c r="AA8568" s="117">
        <f>+'Ingredient List - Mother Tinctu'!D8569</f>
        <v>0</v>
      </c>
      <c r="AB8568" s="117">
        <f t="shared" si="136"/>
        <v>0</v>
      </c>
      <c r="AC8568" s="117" t="str">
        <f>IF(AB8568=1,COUNTIF($AB$3:AB8568,1),"")</f>
        <v/>
      </c>
      <c r="AD8568" s="117" t="str">
        <f>IFERROR(INDEX($AA$3:$AA$10000,MATCH(ROWS($AC$3:AC8568),$AC$3:$AC$10000,0)),"")</f>
        <v/>
      </c>
    </row>
    <row r="8569" spans="27:30">
      <c r="AA8569" s="117">
        <f>+'Ingredient List - Mother Tinctu'!D8570</f>
        <v>0</v>
      </c>
      <c r="AB8569" s="117">
        <f t="shared" si="136"/>
        <v>0</v>
      </c>
      <c r="AC8569" s="117" t="str">
        <f>IF(AB8569=1,COUNTIF($AB$3:AB8569,1),"")</f>
        <v/>
      </c>
      <c r="AD8569" s="117" t="str">
        <f>IFERROR(INDEX($AA$3:$AA$10000,MATCH(ROWS($AC$3:AC8569),$AC$3:$AC$10000,0)),"")</f>
        <v/>
      </c>
    </row>
    <row r="8570" spans="27:30">
      <c r="AA8570" s="117">
        <f>+'Ingredient List - Mother Tinctu'!D8571</f>
        <v>0</v>
      </c>
      <c r="AB8570" s="117">
        <f t="shared" si="136"/>
        <v>0</v>
      </c>
      <c r="AC8570" s="117" t="str">
        <f>IF(AB8570=1,COUNTIF($AB$3:AB8570,1),"")</f>
        <v/>
      </c>
      <c r="AD8570" s="117" t="str">
        <f>IFERROR(INDEX($AA$3:$AA$10000,MATCH(ROWS($AC$3:AC8570),$AC$3:$AC$10000,0)),"")</f>
        <v/>
      </c>
    </row>
    <row r="8571" spans="27:30">
      <c r="AA8571" s="117">
        <f>+'Ingredient List - Mother Tinctu'!D8572</f>
        <v>0</v>
      </c>
      <c r="AB8571" s="117">
        <f t="shared" si="136"/>
        <v>0</v>
      </c>
      <c r="AC8571" s="117" t="str">
        <f>IF(AB8571=1,COUNTIF($AB$3:AB8571,1),"")</f>
        <v/>
      </c>
      <c r="AD8571" s="117" t="str">
        <f>IFERROR(INDEX($AA$3:$AA$10000,MATCH(ROWS($AC$3:AC8571),$AC$3:$AC$10000,0)),"")</f>
        <v/>
      </c>
    </row>
    <row r="8572" spans="27:30">
      <c r="AA8572" s="117">
        <f>+'Ingredient List - Mother Tinctu'!D8573</f>
        <v>0</v>
      </c>
      <c r="AB8572" s="117">
        <f t="shared" si="136"/>
        <v>0</v>
      </c>
      <c r="AC8572" s="117" t="str">
        <f>IF(AB8572=1,COUNTIF($AB$3:AB8572,1),"")</f>
        <v/>
      </c>
      <c r="AD8572" s="117" t="str">
        <f>IFERROR(INDEX($AA$3:$AA$10000,MATCH(ROWS($AC$3:AC8572),$AC$3:$AC$10000,0)),"")</f>
        <v/>
      </c>
    </row>
    <row r="8573" spans="27:30">
      <c r="AA8573" s="117">
        <f>+'Ingredient List - Mother Tinctu'!D8574</f>
        <v>0</v>
      </c>
      <c r="AB8573" s="117">
        <f t="shared" si="136"/>
        <v>0</v>
      </c>
      <c r="AC8573" s="117" t="str">
        <f>IF(AB8573=1,COUNTIF($AB$3:AB8573,1),"")</f>
        <v/>
      </c>
      <c r="AD8573" s="117" t="str">
        <f>IFERROR(INDEX($AA$3:$AA$10000,MATCH(ROWS($AC$3:AC8573),$AC$3:$AC$10000,0)),"")</f>
        <v/>
      </c>
    </row>
    <row r="8574" spans="27:30">
      <c r="AA8574" s="117">
        <f>+'Ingredient List - Mother Tinctu'!D8575</f>
        <v>0</v>
      </c>
      <c r="AB8574" s="117">
        <f t="shared" si="136"/>
        <v>0</v>
      </c>
      <c r="AC8574" s="117" t="str">
        <f>IF(AB8574=1,COUNTIF($AB$3:AB8574,1),"")</f>
        <v/>
      </c>
      <c r="AD8574" s="117" t="str">
        <f>IFERROR(INDEX($AA$3:$AA$10000,MATCH(ROWS($AC$3:AC8574),$AC$3:$AC$10000,0)),"")</f>
        <v/>
      </c>
    </row>
    <row r="8575" spans="27:30">
      <c r="AA8575" s="117">
        <f>+'Ingredient List - Mother Tinctu'!D8576</f>
        <v>0</v>
      </c>
      <c r="AB8575" s="117">
        <f t="shared" si="136"/>
        <v>0</v>
      </c>
      <c r="AC8575" s="117" t="str">
        <f>IF(AB8575=1,COUNTIF($AB$3:AB8575,1),"")</f>
        <v/>
      </c>
      <c r="AD8575" s="117" t="str">
        <f>IFERROR(INDEX($AA$3:$AA$10000,MATCH(ROWS($AC$3:AC8575),$AC$3:$AC$10000,0)),"")</f>
        <v/>
      </c>
    </row>
    <row r="8576" spans="27:30">
      <c r="AA8576" s="117">
        <f>+'Ingredient List - Mother Tinctu'!D8577</f>
        <v>0</v>
      </c>
      <c r="AB8576" s="117">
        <f t="shared" si="136"/>
        <v>0</v>
      </c>
      <c r="AC8576" s="117" t="str">
        <f>IF(AB8576=1,COUNTIF($AB$3:AB8576,1),"")</f>
        <v/>
      </c>
      <c r="AD8576" s="117" t="str">
        <f>IFERROR(INDEX($AA$3:$AA$10000,MATCH(ROWS($AC$3:AC8576),$AC$3:$AC$10000,0)),"")</f>
        <v/>
      </c>
    </row>
    <row r="8577" spans="27:30">
      <c r="AA8577" s="117">
        <f>+'Ingredient List - Mother Tinctu'!D8578</f>
        <v>0</v>
      </c>
      <c r="AB8577" s="117">
        <f t="shared" si="136"/>
        <v>0</v>
      </c>
      <c r="AC8577" s="117" t="str">
        <f>IF(AB8577=1,COUNTIF($AB$3:AB8577,1),"")</f>
        <v/>
      </c>
      <c r="AD8577" s="117" t="str">
        <f>IFERROR(INDEX($AA$3:$AA$10000,MATCH(ROWS($AC$3:AC8577),$AC$3:$AC$10000,0)),"")</f>
        <v/>
      </c>
    </row>
    <row r="8578" spans="27:30">
      <c r="AA8578" s="117">
        <f>+'Ingredient List - Mother Tinctu'!D8579</f>
        <v>0</v>
      </c>
      <c r="AB8578" s="117">
        <f t="shared" si="136"/>
        <v>0</v>
      </c>
      <c r="AC8578" s="117" t="str">
        <f>IF(AB8578=1,COUNTIF($AB$3:AB8578,1),"")</f>
        <v/>
      </c>
      <c r="AD8578" s="117" t="str">
        <f>IFERROR(INDEX($AA$3:$AA$10000,MATCH(ROWS($AC$3:AC8578),$AC$3:$AC$10000,0)),"")</f>
        <v/>
      </c>
    </row>
    <row r="8579" spans="27:30">
      <c r="AA8579" s="117">
        <f>+'Ingredient List - Mother Tinctu'!D8580</f>
        <v>0</v>
      </c>
      <c r="AB8579" s="117">
        <f t="shared" si="136"/>
        <v>0</v>
      </c>
      <c r="AC8579" s="117" t="str">
        <f>IF(AB8579=1,COUNTIF($AB$3:AB8579,1),"")</f>
        <v/>
      </c>
      <c r="AD8579" s="117" t="str">
        <f>IFERROR(INDEX($AA$3:$AA$10000,MATCH(ROWS($AC$3:AC8579),$AC$3:$AC$10000,0)),"")</f>
        <v/>
      </c>
    </row>
    <row r="8580" spans="27:30">
      <c r="AA8580" s="117">
        <f>+'Ingredient List - Mother Tinctu'!D8581</f>
        <v>0</v>
      </c>
      <c r="AB8580" s="117">
        <f t="shared" ref="AB8580:AB8643" si="137">--ISNUMBER(IFERROR(SEARCH($D$3,AA8580,1),""))</f>
        <v>0</v>
      </c>
      <c r="AC8580" s="117" t="str">
        <f>IF(AB8580=1,COUNTIF($AB$3:AB8580,1),"")</f>
        <v/>
      </c>
      <c r="AD8580" s="117" t="str">
        <f>IFERROR(INDEX($AA$3:$AA$10000,MATCH(ROWS($AC$3:AC8580),$AC$3:$AC$10000,0)),"")</f>
        <v/>
      </c>
    </row>
    <row r="8581" spans="27:30">
      <c r="AA8581" s="117">
        <f>+'Ingredient List - Mother Tinctu'!D8582</f>
        <v>0</v>
      </c>
      <c r="AB8581" s="117">
        <f t="shared" si="137"/>
        <v>0</v>
      </c>
      <c r="AC8581" s="117" t="str">
        <f>IF(AB8581=1,COUNTIF($AB$3:AB8581,1),"")</f>
        <v/>
      </c>
      <c r="AD8581" s="117" t="str">
        <f>IFERROR(INDEX($AA$3:$AA$10000,MATCH(ROWS($AC$3:AC8581),$AC$3:$AC$10000,0)),"")</f>
        <v/>
      </c>
    </row>
    <row r="8582" spans="27:30">
      <c r="AA8582" s="117">
        <f>+'Ingredient List - Mother Tinctu'!D8583</f>
        <v>0</v>
      </c>
      <c r="AB8582" s="117">
        <f t="shared" si="137"/>
        <v>0</v>
      </c>
      <c r="AC8582" s="117" t="str">
        <f>IF(AB8582=1,COUNTIF($AB$3:AB8582,1),"")</f>
        <v/>
      </c>
      <c r="AD8582" s="117" t="str">
        <f>IFERROR(INDEX($AA$3:$AA$10000,MATCH(ROWS($AC$3:AC8582),$AC$3:$AC$10000,0)),"")</f>
        <v/>
      </c>
    </row>
    <row r="8583" spans="27:30">
      <c r="AA8583" s="117">
        <f>+'Ingredient List - Mother Tinctu'!D8584</f>
        <v>0</v>
      </c>
      <c r="AB8583" s="117">
        <f t="shared" si="137"/>
        <v>0</v>
      </c>
      <c r="AC8583" s="117" t="str">
        <f>IF(AB8583=1,COUNTIF($AB$3:AB8583,1),"")</f>
        <v/>
      </c>
      <c r="AD8583" s="117" t="str">
        <f>IFERROR(INDEX($AA$3:$AA$10000,MATCH(ROWS($AC$3:AC8583),$AC$3:$AC$10000,0)),"")</f>
        <v/>
      </c>
    </row>
    <row r="8584" spans="27:30">
      <c r="AA8584" s="117">
        <f>+'Ingredient List - Mother Tinctu'!D8585</f>
        <v>0</v>
      </c>
      <c r="AB8584" s="117">
        <f t="shared" si="137"/>
        <v>0</v>
      </c>
      <c r="AC8584" s="117" t="str">
        <f>IF(AB8584=1,COUNTIF($AB$3:AB8584,1),"")</f>
        <v/>
      </c>
      <c r="AD8584" s="117" t="str">
        <f>IFERROR(INDEX($AA$3:$AA$10000,MATCH(ROWS($AC$3:AC8584),$AC$3:$AC$10000,0)),"")</f>
        <v/>
      </c>
    </row>
    <row r="8585" spans="27:30">
      <c r="AA8585" s="117">
        <f>+'Ingredient List - Mother Tinctu'!D8586</f>
        <v>0</v>
      </c>
      <c r="AB8585" s="117">
        <f t="shared" si="137"/>
        <v>0</v>
      </c>
      <c r="AC8585" s="117" t="str">
        <f>IF(AB8585=1,COUNTIF($AB$3:AB8585,1),"")</f>
        <v/>
      </c>
      <c r="AD8585" s="117" t="str">
        <f>IFERROR(INDEX($AA$3:$AA$10000,MATCH(ROWS($AC$3:AC8585),$AC$3:$AC$10000,0)),"")</f>
        <v/>
      </c>
    </row>
    <row r="8586" spans="27:30">
      <c r="AA8586" s="117">
        <f>+'Ingredient List - Mother Tinctu'!D8587</f>
        <v>0</v>
      </c>
      <c r="AB8586" s="117">
        <f t="shared" si="137"/>
        <v>0</v>
      </c>
      <c r="AC8586" s="117" t="str">
        <f>IF(AB8586=1,COUNTIF($AB$3:AB8586,1),"")</f>
        <v/>
      </c>
      <c r="AD8586" s="117" t="str">
        <f>IFERROR(INDEX($AA$3:$AA$10000,MATCH(ROWS($AC$3:AC8586),$AC$3:$AC$10000,0)),"")</f>
        <v/>
      </c>
    </row>
    <row r="8587" spans="27:30">
      <c r="AA8587" s="117">
        <f>+'Ingredient List - Mother Tinctu'!D8588</f>
        <v>0</v>
      </c>
      <c r="AB8587" s="117">
        <f t="shared" si="137"/>
        <v>0</v>
      </c>
      <c r="AC8587" s="117" t="str">
        <f>IF(AB8587=1,COUNTIF($AB$3:AB8587,1),"")</f>
        <v/>
      </c>
      <c r="AD8587" s="117" t="str">
        <f>IFERROR(INDEX($AA$3:$AA$10000,MATCH(ROWS($AC$3:AC8587),$AC$3:$AC$10000,0)),"")</f>
        <v/>
      </c>
    </row>
    <row r="8588" spans="27:30">
      <c r="AA8588" s="117">
        <f>+'Ingredient List - Mother Tinctu'!D8589</f>
        <v>0</v>
      </c>
      <c r="AB8588" s="117">
        <f t="shared" si="137"/>
        <v>0</v>
      </c>
      <c r="AC8588" s="117" t="str">
        <f>IF(AB8588=1,COUNTIF($AB$3:AB8588,1),"")</f>
        <v/>
      </c>
      <c r="AD8588" s="117" t="str">
        <f>IFERROR(INDEX($AA$3:$AA$10000,MATCH(ROWS($AC$3:AC8588),$AC$3:$AC$10000,0)),"")</f>
        <v/>
      </c>
    </row>
    <row r="8589" spans="27:30">
      <c r="AA8589" s="117">
        <f>+'Ingredient List - Mother Tinctu'!D8590</f>
        <v>0</v>
      </c>
      <c r="AB8589" s="117">
        <f t="shared" si="137"/>
        <v>0</v>
      </c>
      <c r="AC8589" s="117" t="str">
        <f>IF(AB8589=1,COUNTIF($AB$3:AB8589,1),"")</f>
        <v/>
      </c>
      <c r="AD8589" s="117" t="str">
        <f>IFERROR(INDEX($AA$3:$AA$10000,MATCH(ROWS($AC$3:AC8589),$AC$3:$AC$10000,0)),"")</f>
        <v/>
      </c>
    </row>
    <row r="8590" spans="27:30">
      <c r="AA8590" s="117">
        <f>+'Ingredient List - Mother Tinctu'!D8591</f>
        <v>0</v>
      </c>
      <c r="AB8590" s="117">
        <f t="shared" si="137"/>
        <v>0</v>
      </c>
      <c r="AC8590" s="117" t="str">
        <f>IF(AB8590=1,COUNTIF($AB$3:AB8590,1),"")</f>
        <v/>
      </c>
      <c r="AD8590" s="117" t="str">
        <f>IFERROR(INDEX($AA$3:$AA$10000,MATCH(ROWS($AC$3:AC8590),$AC$3:$AC$10000,0)),"")</f>
        <v/>
      </c>
    </row>
    <row r="8591" spans="27:30">
      <c r="AA8591" s="117">
        <f>+'Ingredient List - Mother Tinctu'!D8592</f>
        <v>0</v>
      </c>
      <c r="AB8591" s="117">
        <f t="shared" si="137"/>
        <v>0</v>
      </c>
      <c r="AC8591" s="117" t="str">
        <f>IF(AB8591=1,COUNTIF($AB$3:AB8591,1),"")</f>
        <v/>
      </c>
      <c r="AD8591" s="117" t="str">
        <f>IFERROR(INDEX($AA$3:$AA$10000,MATCH(ROWS($AC$3:AC8591),$AC$3:$AC$10000,0)),"")</f>
        <v/>
      </c>
    </row>
    <row r="8592" spans="27:30">
      <c r="AA8592" s="117">
        <f>+'Ingredient List - Mother Tinctu'!D8593</f>
        <v>0</v>
      </c>
      <c r="AB8592" s="117">
        <f t="shared" si="137"/>
        <v>0</v>
      </c>
      <c r="AC8592" s="117" t="str">
        <f>IF(AB8592=1,COUNTIF($AB$3:AB8592,1),"")</f>
        <v/>
      </c>
      <c r="AD8592" s="117" t="str">
        <f>IFERROR(INDEX($AA$3:$AA$10000,MATCH(ROWS($AC$3:AC8592),$AC$3:$AC$10000,0)),"")</f>
        <v/>
      </c>
    </row>
    <row r="8593" spans="27:30">
      <c r="AA8593" s="117">
        <f>+'Ingredient List - Mother Tinctu'!D8594</f>
        <v>0</v>
      </c>
      <c r="AB8593" s="117">
        <f t="shared" si="137"/>
        <v>0</v>
      </c>
      <c r="AC8593" s="117" t="str">
        <f>IF(AB8593=1,COUNTIF($AB$3:AB8593,1),"")</f>
        <v/>
      </c>
      <c r="AD8593" s="117" t="str">
        <f>IFERROR(INDEX($AA$3:$AA$10000,MATCH(ROWS($AC$3:AC8593),$AC$3:$AC$10000,0)),"")</f>
        <v/>
      </c>
    </row>
    <row r="8594" spans="27:30">
      <c r="AA8594" s="117">
        <f>+'Ingredient List - Mother Tinctu'!D8595</f>
        <v>0</v>
      </c>
      <c r="AB8594" s="117">
        <f t="shared" si="137"/>
        <v>0</v>
      </c>
      <c r="AC8594" s="117" t="str">
        <f>IF(AB8594=1,COUNTIF($AB$3:AB8594,1),"")</f>
        <v/>
      </c>
      <c r="AD8594" s="117" t="str">
        <f>IFERROR(INDEX($AA$3:$AA$10000,MATCH(ROWS($AC$3:AC8594),$AC$3:$AC$10000,0)),"")</f>
        <v/>
      </c>
    </row>
    <row r="8595" spans="27:30">
      <c r="AA8595" s="117">
        <f>+'Ingredient List - Mother Tinctu'!D8596</f>
        <v>0</v>
      </c>
      <c r="AB8595" s="117">
        <f t="shared" si="137"/>
        <v>0</v>
      </c>
      <c r="AC8595" s="117" t="str">
        <f>IF(AB8595=1,COUNTIF($AB$3:AB8595,1),"")</f>
        <v/>
      </c>
      <c r="AD8595" s="117" t="str">
        <f>IFERROR(INDEX($AA$3:$AA$10000,MATCH(ROWS($AC$3:AC8595),$AC$3:$AC$10000,0)),"")</f>
        <v/>
      </c>
    </row>
    <row r="8596" spans="27:30">
      <c r="AA8596" s="117">
        <f>+'Ingredient List - Mother Tinctu'!D8597</f>
        <v>0</v>
      </c>
      <c r="AB8596" s="117">
        <f t="shared" si="137"/>
        <v>0</v>
      </c>
      <c r="AC8596" s="117" t="str">
        <f>IF(AB8596=1,COUNTIF($AB$3:AB8596,1),"")</f>
        <v/>
      </c>
      <c r="AD8596" s="117" t="str">
        <f>IFERROR(INDEX($AA$3:$AA$10000,MATCH(ROWS($AC$3:AC8596),$AC$3:$AC$10000,0)),"")</f>
        <v/>
      </c>
    </row>
    <row r="8597" spans="27:30">
      <c r="AA8597" s="117">
        <f>+'Ingredient List - Mother Tinctu'!D8598</f>
        <v>0</v>
      </c>
      <c r="AB8597" s="117">
        <f t="shared" si="137"/>
        <v>0</v>
      </c>
      <c r="AC8597" s="117" t="str">
        <f>IF(AB8597=1,COUNTIF($AB$3:AB8597,1),"")</f>
        <v/>
      </c>
      <c r="AD8597" s="117" t="str">
        <f>IFERROR(INDEX($AA$3:$AA$10000,MATCH(ROWS($AC$3:AC8597),$AC$3:$AC$10000,0)),"")</f>
        <v/>
      </c>
    </row>
    <row r="8598" spans="27:30">
      <c r="AA8598" s="117">
        <f>+'Ingredient List - Mother Tinctu'!D8599</f>
        <v>0</v>
      </c>
      <c r="AB8598" s="117">
        <f t="shared" si="137"/>
        <v>0</v>
      </c>
      <c r="AC8598" s="117" t="str">
        <f>IF(AB8598=1,COUNTIF($AB$3:AB8598,1),"")</f>
        <v/>
      </c>
      <c r="AD8598" s="117" t="str">
        <f>IFERROR(INDEX($AA$3:$AA$10000,MATCH(ROWS($AC$3:AC8598),$AC$3:$AC$10000,0)),"")</f>
        <v/>
      </c>
    </row>
    <row r="8599" spans="27:30">
      <c r="AA8599" s="117">
        <f>+'Ingredient List - Mother Tinctu'!D8600</f>
        <v>0</v>
      </c>
      <c r="AB8599" s="117">
        <f t="shared" si="137"/>
        <v>0</v>
      </c>
      <c r="AC8599" s="117" t="str">
        <f>IF(AB8599=1,COUNTIF($AB$3:AB8599,1),"")</f>
        <v/>
      </c>
      <c r="AD8599" s="117" t="str">
        <f>IFERROR(INDEX($AA$3:$AA$10000,MATCH(ROWS($AC$3:AC8599),$AC$3:$AC$10000,0)),"")</f>
        <v/>
      </c>
    </row>
    <row r="8600" spans="27:30">
      <c r="AA8600" s="117">
        <f>+'Ingredient List - Mother Tinctu'!D8601</f>
        <v>0</v>
      </c>
      <c r="AB8600" s="117">
        <f t="shared" si="137"/>
        <v>0</v>
      </c>
      <c r="AC8600" s="117" t="str">
        <f>IF(AB8600=1,COUNTIF($AB$3:AB8600,1),"")</f>
        <v/>
      </c>
      <c r="AD8600" s="117" t="str">
        <f>IFERROR(INDEX($AA$3:$AA$10000,MATCH(ROWS($AC$3:AC8600),$AC$3:$AC$10000,0)),"")</f>
        <v/>
      </c>
    </row>
    <row r="8601" spans="27:30">
      <c r="AA8601" s="117">
        <f>+'Ingredient List - Mother Tinctu'!D8602</f>
        <v>0</v>
      </c>
      <c r="AB8601" s="117">
        <f t="shared" si="137"/>
        <v>0</v>
      </c>
      <c r="AC8601" s="117" t="str">
        <f>IF(AB8601=1,COUNTIF($AB$3:AB8601,1),"")</f>
        <v/>
      </c>
      <c r="AD8601" s="117" t="str">
        <f>IFERROR(INDEX($AA$3:$AA$10000,MATCH(ROWS($AC$3:AC8601),$AC$3:$AC$10000,0)),"")</f>
        <v/>
      </c>
    </row>
    <row r="8602" spans="27:30">
      <c r="AA8602" s="117">
        <f>+'Ingredient List - Mother Tinctu'!D8603</f>
        <v>0</v>
      </c>
      <c r="AB8602" s="117">
        <f t="shared" si="137"/>
        <v>0</v>
      </c>
      <c r="AC8602" s="117" t="str">
        <f>IF(AB8602=1,COUNTIF($AB$3:AB8602,1),"")</f>
        <v/>
      </c>
      <c r="AD8602" s="117" t="str">
        <f>IFERROR(INDEX($AA$3:$AA$10000,MATCH(ROWS($AC$3:AC8602),$AC$3:$AC$10000,0)),"")</f>
        <v/>
      </c>
    </row>
    <row r="8603" spans="27:30">
      <c r="AA8603" s="117">
        <f>+'Ingredient List - Mother Tinctu'!D8604</f>
        <v>0</v>
      </c>
      <c r="AB8603" s="117">
        <f t="shared" si="137"/>
        <v>0</v>
      </c>
      <c r="AC8603" s="117" t="str">
        <f>IF(AB8603=1,COUNTIF($AB$3:AB8603,1),"")</f>
        <v/>
      </c>
      <c r="AD8603" s="117" t="str">
        <f>IFERROR(INDEX($AA$3:$AA$10000,MATCH(ROWS($AC$3:AC8603),$AC$3:$AC$10000,0)),"")</f>
        <v/>
      </c>
    </row>
    <row r="8604" spans="27:30">
      <c r="AA8604" s="117">
        <f>+'Ingredient List - Mother Tinctu'!D8605</f>
        <v>0</v>
      </c>
      <c r="AB8604" s="117">
        <f t="shared" si="137"/>
        <v>0</v>
      </c>
      <c r="AC8604" s="117" t="str">
        <f>IF(AB8604=1,COUNTIF($AB$3:AB8604,1),"")</f>
        <v/>
      </c>
      <c r="AD8604" s="117" t="str">
        <f>IFERROR(INDEX($AA$3:$AA$10000,MATCH(ROWS($AC$3:AC8604),$AC$3:$AC$10000,0)),"")</f>
        <v/>
      </c>
    </row>
    <row r="8605" spans="27:30">
      <c r="AA8605" s="117">
        <f>+'Ingredient List - Mother Tinctu'!D8606</f>
        <v>0</v>
      </c>
      <c r="AB8605" s="117">
        <f t="shared" si="137"/>
        <v>0</v>
      </c>
      <c r="AC8605" s="117" t="str">
        <f>IF(AB8605=1,COUNTIF($AB$3:AB8605,1),"")</f>
        <v/>
      </c>
      <c r="AD8605" s="117" t="str">
        <f>IFERROR(INDEX($AA$3:$AA$10000,MATCH(ROWS($AC$3:AC8605),$AC$3:$AC$10000,0)),"")</f>
        <v/>
      </c>
    </row>
    <row r="8606" spans="27:30">
      <c r="AA8606" s="117">
        <f>+'Ingredient List - Mother Tinctu'!D8607</f>
        <v>0</v>
      </c>
      <c r="AB8606" s="117">
        <f t="shared" si="137"/>
        <v>0</v>
      </c>
      <c r="AC8606" s="117" t="str">
        <f>IF(AB8606=1,COUNTIF($AB$3:AB8606,1),"")</f>
        <v/>
      </c>
      <c r="AD8606" s="117" t="str">
        <f>IFERROR(INDEX($AA$3:$AA$10000,MATCH(ROWS($AC$3:AC8606),$AC$3:$AC$10000,0)),"")</f>
        <v/>
      </c>
    </row>
    <row r="8607" spans="27:30">
      <c r="AA8607" s="117">
        <f>+'Ingredient List - Mother Tinctu'!D8608</f>
        <v>0</v>
      </c>
      <c r="AB8607" s="117">
        <f t="shared" si="137"/>
        <v>0</v>
      </c>
      <c r="AC8607" s="117" t="str">
        <f>IF(AB8607=1,COUNTIF($AB$3:AB8607,1),"")</f>
        <v/>
      </c>
      <c r="AD8607" s="117" t="str">
        <f>IFERROR(INDEX($AA$3:$AA$10000,MATCH(ROWS($AC$3:AC8607),$AC$3:$AC$10000,0)),"")</f>
        <v/>
      </c>
    </row>
    <row r="8608" spans="27:30">
      <c r="AA8608" s="117">
        <f>+'Ingredient List - Mother Tinctu'!D8609</f>
        <v>0</v>
      </c>
      <c r="AB8608" s="117">
        <f t="shared" si="137"/>
        <v>0</v>
      </c>
      <c r="AC8608" s="117" t="str">
        <f>IF(AB8608=1,COUNTIF($AB$3:AB8608,1),"")</f>
        <v/>
      </c>
      <c r="AD8608" s="117" t="str">
        <f>IFERROR(INDEX($AA$3:$AA$10000,MATCH(ROWS($AC$3:AC8608),$AC$3:$AC$10000,0)),"")</f>
        <v/>
      </c>
    </row>
    <row r="8609" spans="27:30">
      <c r="AA8609" s="117">
        <f>+'Ingredient List - Mother Tinctu'!D8610</f>
        <v>0</v>
      </c>
      <c r="AB8609" s="117">
        <f t="shared" si="137"/>
        <v>0</v>
      </c>
      <c r="AC8609" s="117" t="str">
        <f>IF(AB8609=1,COUNTIF($AB$3:AB8609,1),"")</f>
        <v/>
      </c>
      <c r="AD8609" s="117" t="str">
        <f>IFERROR(INDEX($AA$3:$AA$10000,MATCH(ROWS($AC$3:AC8609),$AC$3:$AC$10000,0)),"")</f>
        <v/>
      </c>
    </row>
    <row r="8610" spans="27:30">
      <c r="AA8610" s="117">
        <f>+'Ingredient List - Mother Tinctu'!D8611</f>
        <v>0</v>
      </c>
      <c r="AB8610" s="117">
        <f t="shared" si="137"/>
        <v>0</v>
      </c>
      <c r="AC8610" s="117" t="str">
        <f>IF(AB8610=1,COUNTIF($AB$3:AB8610,1),"")</f>
        <v/>
      </c>
      <c r="AD8610" s="117" t="str">
        <f>IFERROR(INDEX($AA$3:$AA$10000,MATCH(ROWS($AC$3:AC8610),$AC$3:$AC$10000,0)),"")</f>
        <v/>
      </c>
    </row>
    <row r="8611" spans="27:30">
      <c r="AA8611" s="117">
        <f>+'Ingredient List - Mother Tinctu'!D8612</f>
        <v>0</v>
      </c>
      <c r="AB8611" s="117">
        <f t="shared" si="137"/>
        <v>0</v>
      </c>
      <c r="AC8611" s="117" t="str">
        <f>IF(AB8611=1,COUNTIF($AB$3:AB8611,1),"")</f>
        <v/>
      </c>
      <c r="AD8611" s="117" t="str">
        <f>IFERROR(INDEX($AA$3:$AA$10000,MATCH(ROWS($AC$3:AC8611),$AC$3:$AC$10000,0)),"")</f>
        <v/>
      </c>
    </row>
    <row r="8612" spans="27:30">
      <c r="AA8612" s="117">
        <f>+'Ingredient List - Mother Tinctu'!D8613</f>
        <v>0</v>
      </c>
      <c r="AB8612" s="117">
        <f t="shared" si="137"/>
        <v>0</v>
      </c>
      <c r="AC8612" s="117" t="str">
        <f>IF(AB8612=1,COUNTIF($AB$3:AB8612,1),"")</f>
        <v/>
      </c>
      <c r="AD8612" s="117" t="str">
        <f>IFERROR(INDEX($AA$3:$AA$10000,MATCH(ROWS($AC$3:AC8612),$AC$3:$AC$10000,0)),"")</f>
        <v/>
      </c>
    </row>
    <row r="8613" spans="27:30">
      <c r="AA8613" s="117">
        <f>+'Ingredient List - Mother Tinctu'!D8614</f>
        <v>0</v>
      </c>
      <c r="AB8613" s="117">
        <f t="shared" si="137"/>
        <v>0</v>
      </c>
      <c r="AC8613" s="117" t="str">
        <f>IF(AB8613=1,COUNTIF($AB$3:AB8613,1),"")</f>
        <v/>
      </c>
      <c r="AD8613" s="117" t="str">
        <f>IFERROR(INDEX($AA$3:$AA$10000,MATCH(ROWS($AC$3:AC8613),$AC$3:$AC$10000,0)),"")</f>
        <v/>
      </c>
    </row>
    <row r="8614" spans="27:30">
      <c r="AA8614" s="117">
        <f>+'Ingredient List - Mother Tinctu'!D8615</f>
        <v>0</v>
      </c>
      <c r="AB8614" s="117">
        <f t="shared" si="137"/>
        <v>0</v>
      </c>
      <c r="AC8614" s="117" t="str">
        <f>IF(AB8614=1,COUNTIF($AB$3:AB8614,1),"")</f>
        <v/>
      </c>
      <c r="AD8614" s="117" t="str">
        <f>IFERROR(INDEX($AA$3:$AA$10000,MATCH(ROWS($AC$3:AC8614),$AC$3:$AC$10000,0)),"")</f>
        <v/>
      </c>
    </row>
    <row r="8615" spans="27:30">
      <c r="AA8615" s="117">
        <f>+'Ingredient List - Mother Tinctu'!D8616</f>
        <v>0</v>
      </c>
      <c r="AB8615" s="117">
        <f t="shared" si="137"/>
        <v>0</v>
      </c>
      <c r="AC8615" s="117" t="str">
        <f>IF(AB8615=1,COUNTIF($AB$3:AB8615,1),"")</f>
        <v/>
      </c>
      <c r="AD8615" s="117" t="str">
        <f>IFERROR(INDEX($AA$3:$AA$10000,MATCH(ROWS($AC$3:AC8615),$AC$3:$AC$10000,0)),"")</f>
        <v/>
      </c>
    </row>
    <row r="8616" spans="27:30">
      <c r="AA8616" s="117">
        <f>+'Ingredient List - Mother Tinctu'!D8617</f>
        <v>0</v>
      </c>
      <c r="AB8616" s="117">
        <f t="shared" si="137"/>
        <v>0</v>
      </c>
      <c r="AC8616" s="117" t="str">
        <f>IF(AB8616=1,COUNTIF($AB$3:AB8616,1),"")</f>
        <v/>
      </c>
      <c r="AD8616" s="117" t="str">
        <f>IFERROR(INDEX($AA$3:$AA$10000,MATCH(ROWS($AC$3:AC8616),$AC$3:$AC$10000,0)),"")</f>
        <v/>
      </c>
    </row>
    <row r="8617" spans="27:30">
      <c r="AA8617" s="117">
        <f>+'Ingredient List - Mother Tinctu'!D8618</f>
        <v>0</v>
      </c>
      <c r="AB8617" s="117">
        <f t="shared" si="137"/>
        <v>0</v>
      </c>
      <c r="AC8617" s="117" t="str">
        <f>IF(AB8617=1,COUNTIF($AB$3:AB8617,1),"")</f>
        <v/>
      </c>
      <c r="AD8617" s="117" t="str">
        <f>IFERROR(INDEX($AA$3:$AA$10000,MATCH(ROWS($AC$3:AC8617),$AC$3:$AC$10000,0)),"")</f>
        <v/>
      </c>
    </row>
    <row r="8618" spans="27:30">
      <c r="AA8618" s="117">
        <f>+'Ingredient List - Mother Tinctu'!D8619</f>
        <v>0</v>
      </c>
      <c r="AB8618" s="117">
        <f t="shared" si="137"/>
        <v>0</v>
      </c>
      <c r="AC8618" s="117" t="str">
        <f>IF(AB8618=1,COUNTIF($AB$3:AB8618,1),"")</f>
        <v/>
      </c>
      <c r="AD8618" s="117" t="str">
        <f>IFERROR(INDEX($AA$3:$AA$10000,MATCH(ROWS($AC$3:AC8618),$AC$3:$AC$10000,0)),"")</f>
        <v/>
      </c>
    </row>
    <row r="8619" spans="27:30">
      <c r="AA8619" s="117">
        <f>+'Ingredient List - Mother Tinctu'!D8620</f>
        <v>0</v>
      </c>
      <c r="AB8619" s="117">
        <f t="shared" si="137"/>
        <v>0</v>
      </c>
      <c r="AC8619" s="117" t="str">
        <f>IF(AB8619=1,COUNTIF($AB$3:AB8619,1),"")</f>
        <v/>
      </c>
      <c r="AD8619" s="117" t="str">
        <f>IFERROR(INDEX($AA$3:$AA$10000,MATCH(ROWS($AC$3:AC8619),$AC$3:$AC$10000,0)),"")</f>
        <v/>
      </c>
    </row>
    <row r="8620" spans="27:30">
      <c r="AA8620" s="117">
        <f>+'Ingredient List - Mother Tinctu'!D8621</f>
        <v>0</v>
      </c>
      <c r="AB8620" s="117">
        <f t="shared" si="137"/>
        <v>0</v>
      </c>
      <c r="AC8620" s="117" t="str">
        <f>IF(AB8620=1,COUNTIF($AB$3:AB8620,1),"")</f>
        <v/>
      </c>
      <c r="AD8620" s="117" t="str">
        <f>IFERROR(INDEX($AA$3:$AA$10000,MATCH(ROWS($AC$3:AC8620),$AC$3:$AC$10000,0)),"")</f>
        <v/>
      </c>
    </row>
    <row r="8621" spans="27:30">
      <c r="AA8621" s="117">
        <f>+'Ingredient List - Mother Tinctu'!D8622</f>
        <v>0</v>
      </c>
      <c r="AB8621" s="117">
        <f t="shared" si="137"/>
        <v>0</v>
      </c>
      <c r="AC8621" s="117" t="str">
        <f>IF(AB8621=1,COUNTIF($AB$3:AB8621,1),"")</f>
        <v/>
      </c>
      <c r="AD8621" s="117" t="str">
        <f>IFERROR(INDEX($AA$3:$AA$10000,MATCH(ROWS($AC$3:AC8621),$AC$3:$AC$10000,0)),"")</f>
        <v/>
      </c>
    </row>
    <row r="8622" spans="27:30">
      <c r="AA8622" s="117">
        <f>+'Ingredient List - Mother Tinctu'!D8623</f>
        <v>0</v>
      </c>
      <c r="AB8622" s="117">
        <f t="shared" si="137"/>
        <v>0</v>
      </c>
      <c r="AC8622" s="117" t="str">
        <f>IF(AB8622=1,COUNTIF($AB$3:AB8622,1),"")</f>
        <v/>
      </c>
      <c r="AD8622" s="117" t="str">
        <f>IFERROR(INDEX($AA$3:$AA$10000,MATCH(ROWS($AC$3:AC8622),$AC$3:$AC$10000,0)),"")</f>
        <v/>
      </c>
    </row>
    <row r="8623" spans="27:30">
      <c r="AA8623" s="117">
        <f>+'Ingredient List - Mother Tinctu'!D8624</f>
        <v>0</v>
      </c>
      <c r="AB8623" s="117">
        <f t="shared" si="137"/>
        <v>0</v>
      </c>
      <c r="AC8623" s="117" t="str">
        <f>IF(AB8623=1,COUNTIF($AB$3:AB8623,1),"")</f>
        <v/>
      </c>
      <c r="AD8623" s="117" t="str">
        <f>IFERROR(INDEX($AA$3:$AA$10000,MATCH(ROWS($AC$3:AC8623),$AC$3:$AC$10000,0)),"")</f>
        <v/>
      </c>
    </row>
    <row r="8624" spans="27:30">
      <c r="AA8624" s="117">
        <f>+'Ingredient List - Mother Tinctu'!D8625</f>
        <v>0</v>
      </c>
      <c r="AB8624" s="117">
        <f t="shared" si="137"/>
        <v>0</v>
      </c>
      <c r="AC8624" s="117" t="str">
        <f>IF(AB8624=1,COUNTIF($AB$3:AB8624,1),"")</f>
        <v/>
      </c>
      <c r="AD8624" s="117" t="str">
        <f>IFERROR(INDEX($AA$3:$AA$10000,MATCH(ROWS($AC$3:AC8624),$AC$3:$AC$10000,0)),"")</f>
        <v/>
      </c>
    </row>
    <row r="8625" spans="27:30">
      <c r="AA8625" s="117">
        <f>+'Ingredient List - Mother Tinctu'!D8626</f>
        <v>0</v>
      </c>
      <c r="AB8625" s="117">
        <f t="shared" si="137"/>
        <v>0</v>
      </c>
      <c r="AC8625" s="117" t="str">
        <f>IF(AB8625=1,COUNTIF($AB$3:AB8625,1),"")</f>
        <v/>
      </c>
      <c r="AD8625" s="117" t="str">
        <f>IFERROR(INDEX($AA$3:$AA$10000,MATCH(ROWS($AC$3:AC8625),$AC$3:$AC$10000,0)),"")</f>
        <v/>
      </c>
    </row>
    <row r="8626" spans="27:30">
      <c r="AA8626" s="117">
        <f>+'Ingredient List - Mother Tinctu'!D8627</f>
        <v>0</v>
      </c>
      <c r="AB8626" s="117">
        <f t="shared" si="137"/>
        <v>0</v>
      </c>
      <c r="AC8626" s="117" t="str">
        <f>IF(AB8626=1,COUNTIF($AB$3:AB8626,1),"")</f>
        <v/>
      </c>
      <c r="AD8626" s="117" t="str">
        <f>IFERROR(INDEX($AA$3:$AA$10000,MATCH(ROWS($AC$3:AC8626),$AC$3:$AC$10000,0)),"")</f>
        <v/>
      </c>
    </row>
    <row r="8627" spans="27:30">
      <c r="AA8627" s="117">
        <f>+'Ingredient List - Mother Tinctu'!D8628</f>
        <v>0</v>
      </c>
      <c r="AB8627" s="117">
        <f t="shared" si="137"/>
        <v>0</v>
      </c>
      <c r="AC8627" s="117" t="str">
        <f>IF(AB8627=1,COUNTIF($AB$3:AB8627,1),"")</f>
        <v/>
      </c>
      <c r="AD8627" s="117" t="str">
        <f>IFERROR(INDEX($AA$3:$AA$10000,MATCH(ROWS($AC$3:AC8627),$AC$3:$AC$10000,0)),"")</f>
        <v/>
      </c>
    </row>
    <row r="8628" spans="27:30">
      <c r="AA8628" s="117">
        <f>+'Ingredient List - Mother Tinctu'!D8629</f>
        <v>0</v>
      </c>
      <c r="AB8628" s="117">
        <f t="shared" si="137"/>
        <v>0</v>
      </c>
      <c r="AC8628" s="117" t="str">
        <f>IF(AB8628=1,COUNTIF($AB$3:AB8628,1),"")</f>
        <v/>
      </c>
      <c r="AD8628" s="117" t="str">
        <f>IFERROR(INDEX($AA$3:$AA$10000,MATCH(ROWS($AC$3:AC8628),$AC$3:$AC$10000,0)),"")</f>
        <v/>
      </c>
    </row>
    <row r="8629" spans="27:30">
      <c r="AA8629" s="117">
        <f>+'Ingredient List - Mother Tinctu'!D8630</f>
        <v>0</v>
      </c>
      <c r="AB8629" s="117">
        <f t="shared" si="137"/>
        <v>0</v>
      </c>
      <c r="AC8629" s="117" t="str">
        <f>IF(AB8629=1,COUNTIF($AB$3:AB8629,1),"")</f>
        <v/>
      </c>
      <c r="AD8629" s="117" t="str">
        <f>IFERROR(INDEX($AA$3:$AA$10000,MATCH(ROWS($AC$3:AC8629),$AC$3:$AC$10000,0)),"")</f>
        <v/>
      </c>
    </row>
    <row r="8630" spans="27:30">
      <c r="AA8630" s="117">
        <f>+'Ingredient List - Mother Tinctu'!D8631</f>
        <v>0</v>
      </c>
      <c r="AB8630" s="117">
        <f t="shared" si="137"/>
        <v>0</v>
      </c>
      <c r="AC8630" s="117" t="str">
        <f>IF(AB8630=1,COUNTIF($AB$3:AB8630,1),"")</f>
        <v/>
      </c>
      <c r="AD8630" s="117" t="str">
        <f>IFERROR(INDEX($AA$3:$AA$10000,MATCH(ROWS($AC$3:AC8630),$AC$3:$AC$10000,0)),"")</f>
        <v/>
      </c>
    </row>
    <row r="8631" spans="27:30">
      <c r="AA8631" s="117">
        <f>+'Ingredient List - Mother Tinctu'!D8632</f>
        <v>0</v>
      </c>
      <c r="AB8631" s="117">
        <f t="shared" si="137"/>
        <v>0</v>
      </c>
      <c r="AC8631" s="117" t="str">
        <f>IF(AB8631=1,COUNTIF($AB$3:AB8631,1),"")</f>
        <v/>
      </c>
      <c r="AD8631" s="117" t="str">
        <f>IFERROR(INDEX($AA$3:$AA$10000,MATCH(ROWS($AC$3:AC8631),$AC$3:$AC$10000,0)),"")</f>
        <v/>
      </c>
    </row>
    <row r="8632" spans="27:30">
      <c r="AA8632" s="117">
        <f>+'Ingredient List - Mother Tinctu'!D8633</f>
        <v>0</v>
      </c>
      <c r="AB8632" s="117">
        <f t="shared" si="137"/>
        <v>0</v>
      </c>
      <c r="AC8632" s="117" t="str">
        <f>IF(AB8632=1,COUNTIF($AB$3:AB8632,1),"")</f>
        <v/>
      </c>
      <c r="AD8632" s="117" t="str">
        <f>IFERROR(INDEX($AA$3:$AA$10000,MATCH(ROWS($AC$3:AC8632),$AC$3:$AC$10000,0)),"")</f>
        <v/>
      </c>
    </row>
    <row r="8633" spans="27:30">
      <c r="AA8633" s="117">
        <f>+'Ingredient List - Mother Tinctu'!D8634</f>
        <v>0</v>
      </c>
      <c r="AB8633" s="117">
        <f t="shared" si="137"/>
        <v>0</v>
      </c>
      <c r="AC8633" s="117" t="str">
        <f>IF(AB8633=1,COUNTIF($AB$3:AB8633,1),"")</f>
        <v/>
      </c>
      <c r="AD8633" s="117" t="str">
        <f>IFERROR(INDEX($AA$3:$AA$10000,MATCH(ROWS($AC$3:AC8633),$AC$3:$AC$10000,0)),"")</f>
        <v/>
      </c>
    </row>
    <row r="8634" spans="27:30">
      <c r="AA8634" s="117">
        <f>+'Ingredient List - Mother Tinctu'!D8635</f>
        <v>0</v>
      </c>
      <c r="AB8634" s="117">
        <f t="shared" si="137"/>
        <v>0</v>
      </c>
      <c r="AC8634" s="117" t="str">
        <f>IF(AB8634=1,COUNTIF($AB$3:AB8634,1),"")</f>
        <v/>
      </c>
      <c r="AD8634" s="117" t="str">
        <f>IFERROR(INDEX($AA$3:$AA$10000,MATCH(ROWS($AC$3:AC8634),$AC$3:$AC$10000,0)),"")</f>
        <v/>
      </c>
    </row>
    <row r="8635" spans="27:30">
      <c r="AA8635" s="117">
        <f>+'Ingredient List - Mother Tinctu'!D8636</f>
        <v>0</v>
      </c>
      <c r="AB8635" s="117">
        <f t="shared" si="137"/>
        <v>0</v>
      </c>
      <c r="AC8635" s="117" t="str">
        <f>IF(AB8635=1,COUNTIF($AB$3:AB8635,1),"")</f>
        <v/>
      </c>
      <c r="AD8635" s="117" t="str">
        <f>IFERROR(INDEX($AA$3:$AA$10000,MATCH(ROWS($AC$3:AC8635),$AC$3:$AC$10000,0)),"")</f>
        <v/>
      </c>
    </row>
    <row r="8636" spans="27:30">
      <c r="AA8636" s="117">
        <f>+'Ingredient List - Mother Tinctu'!D8637</f>
        <v>0</v>
      </c>
      <c r="AB8636" s="117">
        <f t="shared" si="137"/>
        <v>0</v>
      </c>
      <c r="AC8636" s="117" t="str">
        <f>IF(AB8636=1,COUNTIF($AB$3:AB8636,1),"")</f>
        <v/>
      </c>
      <c r="AD8636" s="117" t="str">
        <f>IFERROR(INDEX($AA$3:$AA$10000,MATCH(ROWS($AC$3:AC8636),$AC$3:$AC$10000,0)),"")</f>
        <v/>
      </c>
    </row>
    <row r="8637" spans="27:30">
      <c r="AA8637" s="117">
        <f>+'Ingredient List - Mother Tinctu'!D8638</f>
        <v>0</v>
      </c>
      <c r="AB8637" s="117">
        <f t="shared" si="137"/>
        <v>0</v>
      </c>
      <c r="AC8637" s="117" t="str">
        <f>IF(AB8637=1,COUNTIF($AB$3:AB8637,1),"")</f>
        <v/>
      </c>
      <c r="AD8637" s="117" t="str">
        <f>IFERROR(INDEX($AA$3:$AA$10000,MATCH(ROWS($AC$3:AC8637),$AC$3:$AC$10000,0)),"")</f>
        <v/>
      </c>
    </row>
    <row r="8638" spans="27:30">
      <c r="AA8638" s="117">
        <f>+'Ingredient List - Mother Tinctu'!D8639</f>
        <v>0</v>
      </c>
      <c r="AB8638" s="117">
        <f t="shared" si="137"/>
        <v>0</v>
      </c>
      <c r="AC8638" s="117" t="str">
        <f>IF(AB8638=1,COUNTIF($AB$3:AB8638,1),"")</f>
        <v/>
      </c>
      <c r="AD8638" s="117" t="str">
        <f>IFERROR(INDEX($AA$3:$AA$10000,MATCH(ROWS($AC$3:AC8638),$AC$3:$AC$10000,0)),"")</f>
        <v/>
      </c>
    </row>
    <row r="8639" spans="27:30">
      <c r="AA8639" s="117">
        <f>+'Ingredient List - Mother Tinctu'!D8640</f>
        <v>0</v>
      </c>
      <c r="AB8639" s="117">
        <f t="shared" si="137"/>
        <v>0</v>
      </c>
      <c r="AC8639" s="117" t="str">
        <f>IF(AB8639=1,COUNTIF($AB$3:AB8639,1),"")</f>
        <v/>
      </c>
      <c r="AD8639" s="117" t="str">
        <f>IFERROR(INDEX($AA$3:$AA$10000,MATCH(ROWS($AC$3:AC8639),$AC$3:$AC$10000,0)),"")</f>
        <v/>
      </c>
    </row>
    <row r="8640" spans="27:30">
      <c r="AA8640" s="117">
        <f>+'Ingredient List - Mother Tinctu'!D8641</f>
        <v>0</v>
      </c>
      <c r="AB8640" s="117">
        <f t="shared" si="137"/>
        <v>0</v>
      </c>
      <c r="AC8640" s="117" t="str">
        <f>IF(AB8640=1,COUNTIF($AB$3:AB8640,1),"")</f>
        <v/>
      </c>
      <c r="AD8640" s="117" t="str">
        <f>IFERROR(INDEX($AA$3:$AA$10000,MATCH(ROWS($AC$3:AC8640),$AC$3:$AC$10000,0)),"")</f>
        <v/>
      </c>
    </row>
    <row r="8641" spans="27:30">
      <c r="AA8641" s="117">
        <f>+'Ingredient List - Mother Tinctu'!D8642</f>
        <v>0</v>
      </c>
      <c r="AB8641" s="117">
        <f t="shared" si="137"/>
        <v>0</v>
      </c>
      <c r="AC8641" s="117" t="str">
        <f>IF(AB8641=1,COUNTIF($AB$3:AB8641,1),"")</f>
        <v/>
      </c>
      <c r="AD8641" s="117" t="str">
        <f>IFERROR(INDEX($AA$3:$AA$10000,MATCH(ROWS($AC$3:AC8641),$AC$3:$AC$10000,0)),"")</f>
        <v/>
      </c>
    </row>
    <row r="8642" spans="27:30">
      <c r="AA8642" s="117">
        <f>+'Ingredient List - Mother Tinctu'!D8643</f>
        <v>0</v>
      </c>
      <c r="AB8642" s="117">
        <f t="shared" si="137"/>
        <v>0</v>
      </c>
      <c r="AC8642" s="117" t="str">
        <f>IF(AB8642=1,COUNTIF($AB$3:AB8642,1),"")</f>
        <v/>
      </c>
      <c r="AD8642" s="117" t="str">
        <f>IFERROR(INDEX($AA$3:$AA$10000,MATCH(ROWS($AC$3:AC8642),$AC$3:$AC$10000,0)),"")</f>
        <v/>
      </c>
    </row>
    <row r="8643" spans="27:30">
      <c r="AA8643" s="117">
        <f>+'Ingredient List - Mother Tinctu'!D8644</f>
        <v>0</v>
      </c>
      <c r="AB8643" s="117">
        <f t="shared" si="137"/>
        <v>0</v>
      </c>
      <c r="AC8643" s="117" t="str">
        <f>IF(AB8643=1,COUNTIF($AB$3:AB8643,1),"")</f>
        <v/>
      </c>
      <c r="AD8643" s="117" t="str">
        <f>IFERROR(INDEX($AA$3:$AA$10000,MATCH(ROWS($AC$3:AC8643),$AC$3:$AC$10000,0)),"")</f>
        <v/>
      </c>
    </row>
    <row r="8644" spans="27:30">
      <c r="AA8644" s="117">
        <f>+'Ingredient List - Mother Tinctu'!D8645</f>
        <v>0</v>
      </c>
      <c r="AB8644" s="117">
        <f t="shared" ref="AB8644:AB8707" si="138">--ISNUMBER(IFERROR(SEARCH($D$3,AA8644,1),""))</f>
        <v>0</v>
      </c>
      <c r="AC8644" s="117" t="str">
        <f>IF(AB8644=1,COUNTIF($AB$3:AB8644,1),"")</f>
        <v/>
      </c>
      <c r="AD8644" s="117" t="str">
        <f>IFERROR(INDEX($AA$3:$AA$10000,MATCH(ROWS($AC$3:AC8644),$AC$3:$AC$10000,0)),"")</f>
        <v/>
      </c>
    </row>
    <row r="8645" spans="27:30">
      <c r="AA8645" s="117">
        <f>+'Ingredient List - Mother Tinctu'!D8646</f>
        <v>0</v>
      </c>
      <c r="AB8645" s="117">
        <f t="shared" si="138"/>
        <v>0</v>
      </c>
      <c r="AC8645" s="117" t="str">
        <f>IF(AB8645=1,COUNTIF($AB$3:AB8645,1),"")</f>
        <v/>
      </c>
      <c r="AD8645" s="117" t="str">
        <f>IFERROR(INDEX($AA$3:$AA$10000,MATCH(ROWS($AC$3:AC8645),$AC$3:$AC$10000,0)),"")</f>
        <v/>
      </c>
    </row>
    <row r="8646" spans="27:30">
      <c r="AA8646" s="117">
        <f>+'Ingredient List - Mother Tinctu'!D8647</f>
        <v>0</v>
      </c>
      <c r="AB8646" s="117">
        <f t="shared" si="138"/>
        <v>0</v>
      </c>
      <c r="AC8646" s="117" t="str">
        <f>IF(AB8646=1,COUNTIF($AB$3:AB8646,1),"")</f>
        <v/>
      </c>
      <c r="AD8646" s="117" t="str">
        <f>IFERROR(INDEX($AA$3:$AA$10000,MATCH(ROWS($AC$3:AC8646),$AC$3:$AC$10000,0)),"")</f>
        <v/>
      </c>
    </row>
    <row r="8647" spans="27:30">
      <c r="AA8647" s="117">
        <f>+'Ingredient List - Mother Tinctu'!D8648</f>
        <v>0</v>
      </c>
      <c r="AB8647" s="117">
        <f t="shared" si="138"/>
        <v>0</v>
      </c>
      <c r="AC8647" s="117" t="str">
        <f>IF(AB8647=1,COUNTIF($AB$3:AB8647,1),"")</f>
        <v/>
      </c>
      <c r="AD8647" s="117" t="str">
        <f>IFERROR(INDEX($AA$3:$AA$10000,MATCH(ROWS($AC$3:AC8647),$AC$3:$AC$10000,0)),"")</f>
        <v/>
      </c>
    </row>
    <row r="8648" spans="27:30">
      <c r="AA8648" s="117">
        <f>+'Ingredient List - Mother Tinctu'!D8649</f>
        <v>0</v>
      </c>
      <c r="AB8648" s="117">
        <f t="shared" si="138"/>
        <v>0</v>
      </c>
      <c r="AC8648" s="117" t="str">
        <f>IF(AB8648=1,COUNTIF($AB$3:AB8648,1),"")</f>
        <v/>
      </c>
      <c r="AD8648" s="117" t="str">
        <f>IFERROR(INDEX($AA$3:$AA$10000,MATCH(ROWS($AC$3:AC8648),$AC$3:$AC$10000,0)),"")</f>
        <v/>
      </c>
    </row>
    <row r="8649" spans="27:30">
      <c r="AA8649" s="117">
        <f>+'Ingredient List - Mother Tinctu'!D8650</f>
        <v>0</v>
      </c>
      <c r="AB8649" s="117">
        <f t="shared" si="138"/>
        <v>0</v>
      </c>
      <c r="AC8649" s="117" t="str">
        <f>IF(AB8649=1,COUNTIF($AB$3:AB8649,1),"")</f>
        <v/>
      </c>
      <c r="AD8649" s="117" t="str">
        <f>IFERROR(INDEX($AA$3:$AA$10000,MATCH(ROWS($AC$3:AC8649),$AC$3:$AC$10000,0)),"")</f>
        <v/>
      </c>
    </row>
    <row r="8650" spans="27:30">
      <c r="AA8650" s="117">
        <f>+'Ingredient List - Mother Tinctu'!D8651</f>
        <v>0</v>
      </c>
      <c r="AB8650" s="117">
        <f t="shared" si="138"/>
        <v>0</v>
      </c>
      <c r="AC8650" s="117" t="str">
        <f>IF(AB8650=1,COUNTIF($AB$3:AB8650,1),"")</f>
        <v/>
      </c>
      <c r="AD8650" s="117" t="str">
        <f>IFERROR(INDEX($AA$3:$AA$10000,MATCH(ROWS($AC$3:AC8650),$AC$3:$AC$10000,0)),"")</f>
        <v/>
      </c>
    </row>
    <row r="8651" spans="27:30">
      <c r="AA8651" s="117">
        <f>+'Ingredient List - Mother Tinctu'!D8652</f>
        <v>0</v>
      </c>
      <c r="AB8651" s="117">
        <f t="shared" si="138"/>
        <v>0</v>
      </c>
      <c r="AC8651" s="117" t="str">
        <f>IF(AB8651=1,COUNTIF($AB$3:AB8651,1),"")</f>
        <v/>
      </c>
      <c r="AD8651" s="117" t="str">
        <f>IFERROR(INDEX($AA$3:$AA$10000,MATCH(ROWS($AC$3:AC8651),$AC$3:$AC$10000,0)),"")</f>
        <v/>
      </c>
    </row>
    <row r="8652" spans="27:30">
      <c r="AA8652" s="117">
        <f>+'Ingredient List - Mother Tinctu'!D8653</f>
        <v>0</v>
      </c>
      <c r="AB8652" s="117">
        <f t="shared" si="138"/>
        <v>0</v>
      </c>
      <c r="AC8652" s="117" t="str">
        <f>IF(AB8652=1,COUNTIF($AB$3:AB8652,1),"")</f>
        <v/>
      </c>
      <c r="AD8652" s="117" t="str">
        <f>IFERROR(INDEX($AA$3:$AA$10000,MATCH(ROWS($AC$3:AC8652),$AC$3:$AC$10000,0)),"")</f>
        <v/>
      </c>
    </row>
    <row r="8653" spans="27:30">
      <c r="AA8653" s="117">
        <f>+'Ingredient List - Mother Tinctu'!D8654</f>
        <v>0</v>
      </c>
      <c r="AB8653" s="117">
        <f t="shared" si="138"/>
        <v>0</v>
      </c>
      <c r="AC8653" s="117" t="str">
        <f>IF(AB8653=1,COUNTIF($AB$3:AB8653,1),"")</f>
        <v/>
      </c>
      <c r="AD8653" s="117" t="str">
        <f>IFERROR(INDEX($AA$3:$AA$10000,MATCH(ROWS($AC$3:AC8653),$AC$3:$AC$10000,0)),"")</f>
        <v/>
      </c>
    </row>
    <row r="8654" spans="27:30">
      <c r="AA8654" s="117">
        <f>+'Ingredient List - Mother Tinctu'!D8655</f>
        <v>0</v>
      </c>
      <c r="AB8654" s="117">
        <f t="shared" si="138"/>
        <v>0</v>
      </c>
      <c r="AC8654" s="117" t="str">
        <f>IF(AB8654=1,COUNTIF($AB$3:AB8654,1),"")</f>
        <v/>
      </c>
      <c r="AD8654" s="117" t="str">
        <f>IFERROR(INDEX($AA$3:$AA$10000,MATCH(ROWS($AC$3:AC8654),$AC$3:$AC$10000,0)),"")</f>
        <v/>
      </c>
    </row>
    <row r="8655" spans="27:30">
      <c r="AA8655" s="117">
        <f>+'Ingredient List - Mother Tinctu'!D8656</f>
        <v>0</v>
      </c>
      <c r="AB8655" s="117">
        <f t="shared" si="138"/>
        <v>0</v>
      </c>
      <c r="AC8655" s="117" t="str">
        <f>IF(AB8655=1,COUNTIF($AB$3:AB8655,1),"")</f>
        <v/>
      </c>
      <c r="AD8655" s="117" t="str">
        <f>IFERROR(INDEX($AA$3:$AA$10000,MATCH(ROWS($AC$3:AC8655),$AC$3:$AC$10000,0)),"")</f>
        <v/>
      </c>
    </row>
    <row r="8656" spans="27:30">
      <c r="AA8656" s="117">
        <f>+'Ingredient List - Mother Tinctu'!D8657</f>
        <v>0</v>
      </c>
      <c r="AB8656" s="117">
        <f t="shared" si="138"/>
        <v>0</v>
      </c>
      <c r="AC8656" s="117" t="str">
        <f>IF(AB8656=1,COUNTIF($AB$3:AB8656,1),"")</f>
        <v/>
      </c>
      <c r="AD8656" s="117" t="str">
        <f>IFERROR(INDEX($AA$3:$AA$10000,MATCH(ROWS($AC$3:AC8656),$AC$3:$AC$10000,0)),"")</f>
        <v/>
      </c>
    </row>
    <row r="8657" spans="27:30">
      <c r="AA8657" s="117">
        <f>+'Ingredient List - Mother Tinctu'!D8658</f>
        <v>0</v>
      </c>
      <c r="AB8657" s="117">
        <f t="shared" si="138"/>
        <v>0</v>
      </c>
      <c r="AC8657" s="117" t="str">
        <f>IF(AB8657=1,COUNTIF($AB$3:AB8657,1),"")</f>
        <v/>
      </c>
      <c r="AD8657" s="117" t="str">
        <f>IFERROR(INDEX($AA$3:$AA$10000,MATCH(ROWS($AC$3:AC8657),$AC$3:$AC$10000,0)),"")</f>
        <v/>
      </c>
    </row>
    <row r="8658" spans="27:30">
      <c r="AA8658" s="117">
        <f>+'Ingredient List - Mother Tinctu'!D8659</f>
        <v>0</v>
      </c>
      <c r="AB8658" s="117">
        <f t="shared" si="138"/>
        <v>0</v>
      </c>
      <c r="AC8658" s="117" t="str">
        <f>IF(AB8658=1,COUNTIF($AB$3:AB8658,1),"")</f>
        <v/>
      </c>
      <c r="AD8658" s="117" t="str">
        <f>IFERROR(INDEX($AA$3:$AA$10000,MATCH(ROWS($AC$3:AC8658),$AC$3:$AC$10000,0)),"")</f>
        <v/>
      </c>
    </row>
    <row r="8659" spans="27:30">
      <c r="AA8659" s="117">
        <f>+'Ingredient List - Mother Tinctu'!D8660</f>
        <v>0</v>
      </c>
      <c r="AB8659" s="117">
        <f t="shared" si="138"/>
        <v>0</v>
      </c>
      <c r="AC8659" s="117" t="str">
        <f>IF(AB8659=1,COUNTIF($AB$3:AB8659,1),"")</f>
        <v/>
      </c>
      <c r="AD8659" s="117" t="str">
        <f>IFERROR(INDEX($AA$3:$AA$10000,MATCH(ROWS($AC$3:AC8659),$AC$3:$AC$10000,0)),"")</f>
        <v/>
      </c>
    </row>
    <row r="8660" spans="27:30">
      <c r="AA8660" s="117">
        <f>+'Ingredient List - Mother Tinctu'!D8661</f>
        <v>0</v>
      </c>
      <c r="AB8660" s="117">
        <f t="shared" si="138"/>
        <v>0</v>
      </c>
      <c r="AC8660" s="117" t="str">
        <f>IF(AB8660=1,COUNTIF($AB$3:AB8660,1),"")</f>
        <v/>
      </c>
      <c r="AD8660" s="117" t="str">
        <f>IFERROR(INDEX($AA$3:$AA$10000,MATCH(ROWS($AC$3:AC8660),$AC$3:$AC$10000,0)),"")</f>
        <v/>
      </c>
    </row>
    <row r="8661" spans="27:30">
      <c r="AA8661" s="117">
        <f>+'Ingredient List - Mother Tinctu'!D8662</f>
        <v>0</v>
      </c>
      <c r="AB8661" s="117">
        <f t="shared" si="138"/>
        <v>0</v>
      </c>
      <c r="AC8661" s="117" t="str">
        <f>IF(AB8661=1,COUNTIF($AB$3:AB8661,1),"")</f>
        <v/>
      </c>
      <c r="AD8661" s="117" t="str">
        <f>IFERROR(INDEX($AA$3:$AA$10000,MATCH(ROWS($AC$3:AC8661),$AC$3:$AC$10000,0)),"")</f>
        <v/>
      </c>
    </row>
    <row r="8662" spans="27:30">
      <c r="AA8662" s="117">
        <f>+'Ingredient List - Mother Tinctu'!D8663</f>
        <v>0</v>
      </c>
      <c r="AB8662" s="117">
        <f t="shared" si="138"/>
        <v>0</v>
      </c>
      <c r="AC8662" s="117" t="str">
        <f>IF(AB8662=1,COUNTIF($AB$3:AB8662,1),"")</f>
        <v/>
      </c>
      <c r="AD8662" s="117" t="str">
        <f>IFERROR(INDEX($AA$3:$AA$10000,MATCH(ROWS($AC$3:AC8662),$AC$3:$AC$10000,0)),"")</f>
        <v/>
      </c>
    </row>
    <row r="8663" spans="27:30">
      <c r="AA8663" s="117">
        <f>+'Ingredient List - Mother Tinctu'!D8664</f>
        <v>0</v>
      </c>
      <c r="AB8663" s="117">
        <f t="shared" si="138"/>
        <v>0</v>
      </c>
      <c r="AC8663" s="117" t="str">
        <f>IF(AB8663=1,COUNTIF($AB$3:AB8663,1),"")</f>
        <v/>
      </c>
      <c r="AD8663" s="117" t="str">
        <f>IFERROR(INDEX($AA$3:$AA$10000,MATCH(ROWS($AC$3:AC8663),$AC$3:$AC$10000,0)),"")</f>
        <v/>
      </c>
    </row>
    <row r="8664" spans="27:30">
      <c r="AA8664" s="117">
        <f>+'Ingredient List - Mother Tinctu'!D8665</f>
        <v>0</v>
      </c>
      <c r="AB8664" s="117">
        <f t="shared" si="138"/>
        <v>0</v>
      </c>
      <c r="AC8664" s="117" t="str">
        <f>IF(AB8664=1,COUNTIF($AB$3:AB8664,1),"")</f>
        <v/>
      </c>
      <c r="AD8664" s="117" t="str">
        <f>IFERROR(INDEX($AA$3:$AA$10000,MATCH(ROWS($AC$3:AC8664),$AC$3:$AC$10000,0)),"")</f>
        <v/>
      </c>
    </row>
    <row r="8665" spans="27:30">
      <c r="AA8665" s="117">
        <f>+'Ingredient List - Mother Tinctu'!D8666</f>
        <v>0</v>
      </c>
      <c r="AB8665" s="117">
        <f t="shared" si="138"/>
        <v>0</v>
      </c>
      <c r="AC8665" s="117" t="str">
        <f>IF(AB8665=1,COUNTIF($AB$3:AB8665,1),"")</f>
        <v/>
      </c>
      <c r="AD8665" s="117" t="str">
        <f>IFERROR(INDEX($AA$3:$AA$10000,MATCH(ROWS($AC$3:AC8665),$AC$3:$AC$10000,0)),"")</f>
        <v/>
      </c>
    </row>
    <row r="8666" spans="27:30">
      <c r="AA8666" s="117">
        <f>+'Ingredient List - Mother Tinctu'!D8667</f>
        <v>0</v>
      </c>
      <c r="AB8666" s="117">
        <f t="shared" si="138"/>
        <v>0</v>
      </c>
      <c r="AC8666" s="117" t="str">
        <f>IF(AB8666=1,COUNTIF($AB$3:AB8666,1),"")</f>
        <v/>
      </c>
      <c r="AD8666" s="117" t="str">
        <f>IFERROR(INDEX($AA$3:$AA$10000,MATCH(ROWS($AC$3:AC8666),$AC$3:$AC$10000,0)),"")</f>
        <v/>
      </c>
    </row>
    <row r="8667" spans="27:30">
      <c r="AA8667" s="117">
        <f>+'Ingredient List - Mother Tinctu'!D8668</f>
        <v>0</v>
      </c>
      <c r="AB8667" s="117">
        <f t="shared" si="138"/>
        <v>0</v>
      </c>
      <c r="AC8667" s="117" t="str">
        <f>IF(AB8667=1,COUNTIF($AB$3:AB8667,1),"")</f>
        <v/>
      </c>
      <c r="AD8667" s="117" t="str">
        <f>IFERROR(INDEX($AA$3:$AA$10000,MATCH(ROWS($AC$3:AC8667),$AC$3:$AC$10000,0)),"")</f>
        <v/>
      </c>
    </row>
    <row r="8668" spans="27:30">
      <c r="AA8668" s="117">
        <f>+'Ingredient List - Mother Tinctu'!D8669</f>
        <v>0</v>
      </c>
      <c r="AB8668" s="117">
        <f t="shared" si="138"/>
        <v>0</v>
      </c>
      <c r="AC8668" s="117" t="str">
        <f>IF(AB8668=1,COUNTIF($AB$3:AB8668,1),"")</f>
        <v/>
      </c>
      <c r="AD8668" s="117" t="str">
        <f>IFERROR(INDEX($AA$3:$AA$10000,MATCH(ROWS($AC$3:AC8668),$AC$3:$AC$10000,0)),"")</f>
        <v/>
      </c>
    </row>
    <row r="8669" spans="27:30">
      <c r="AA8669" s="117">
        <f>+'Ingredient List - Mother Tinctu'!D8670</f>
        <v>0</v>
      </c>
      <c r="AB8669" s="117">
        <f t="shared" si="138"/>
        <v>0</v>
      </c>
      <c r="AC8669" s="117" t="str">
        <f>IF(AB8669=1,COUNTIF($AB$3:AB8669,1),"")</f>
        <v/>
      </c>
      <c r="AD8669" s="117" t="str">
        <f>IFERROR(INDEX($AA$3:$AA$10000,MATCH(ROWS($AC$3:AC8669),$AC$3:$AC$10000,0)),"")</f>
        <v/>
      </c>
    </row>
    <row r="8670" spans="27:30">
      <c r="AA8670" s="117">
        <f>+'Ingredient List - Mother Tinctu'!D8671</f>
        <v>0</v>
      </c>
      <c r="AB8670" s="117">
        <f t="shared" si="138"/>
        <v>0</v>
      </c>
      <c r="AC8670" s="117" t="str">
        <f>IF(AB8670=1,COUNTIF($AB$3:AB8670,1),"")</f>
        <v/>
      </c>
      <c r="AD8670" s="117" t="str">
        <f>IFERROR(INDEX($AA$3:$AA$10000,MATCH(ROWS($AC$3:AC8670),$AC$3:$AC$10000,0)),"")</f>
        <v/>
      </c>
    </row>
    <row r="8671" spans="27:30">
      <c r="AA8671" s="117">
        <f>+'Ingredient List - Mother Tinctu'!D8672</f>
        <v>0</v>
      </c>
      <c r="AB8671" s="117">
        <f t="shared" si="138"/>
        <v>0</v>
      </c>
      <c r="AC8671" s="117" t="str">
        <f>IF(AB8671=1,COUNTIF($AB$3:AB8671,1),"")</f>
        <v/>
      </c>
      <c r="AD8671" s="117" t="str">
        <f>IFERROR(INDEX($AA$3:$AA$10000,MATCH(ROWS($AC$3:AC8671),$AC$3:$AC$10000,0)),"")</f>
        <v/>
      </c>
    </row>
    <row r="8672" spans="27:30">
      <c r="AA8672" s="117">
        <f>+'Ingredient List - Mother Tinctu'!D8673</f>
        <v>0</v>
      </c>
      <c r="AB8672" s="117">
        <f t="shared" si="138"/>
        <v>0</v>
      </c>
      <c r="AC8672" s="117" t="str">
        <f>IF(AB8672=1,COUNTIF($AB$3:AB8672,1),"")</f>
        <v/>
      </c>
      <c r="AD8672" s="117" t="str">
        <f>IFERROR(INDEX($AA$3:$AA$10000,MATCH(ROWS($AC$3:AC8672),$AC$3:$AC$10000,0)),"")</f>
        <v/>
      </c>
    </row>
    <row r="8673" spans="27:30">
      <c r="AA8673" s="117">
        <f>+'Ingredient List - Mother Tinctu'!D8674</f>
        <v>0</v>
      </c>
      <c r="AB8673" s="117">
        <f t="shared" si="138"/>
        <v>0</v>
      </c>
      <c r="AC8673" s="117" t="str">
        <f>IF(AB8673=1,COUNTIF($AB$3:AB8673,1),"")</f>
        <v/>
      </c>
      <c r="AD8673" s="117" t="str">
        <f>IFERROR(INDEX($AA$3:$AA$10000,MATCH(ROWS($AC$3:AC8673),$AC$3:$AC$10000,0)),"")</f>
        <v/>
      </c>
    </row>
    <row r="8674" spans="27:30">
      <c r="AA8674" s="117">
        <f>+'Ingredient List - Mother Tinctu'!D8675</f>
        <v>0</v>
      </c>
      <c r="AB8674" s="117">
        <f t="shared" si="138"/>
        <v>0</v>
      </c>
      <c r="AC8674" s="117" t="str">
        <f>IF(AB8674=1,COUNTIF($AB$3:AB8674,1),"")</f>
        <v/>
      </c>
      <c r="AD8674" s="117" t="str">
        <f>IFERROR(INDEX($AA$3:$AA$10000,MATCH(ROWS($AC$3:AC8674),$AC$3:$AC$10000,0)),"")</f>
        <v/>
      </c>
    </row>
    <row r="8675" spans="27:30">
      <c r="AA8675" s="117">
        <f>+'Ingredient List - Mother Tinctu'!D8676</f>
        <v>0</v>
      </c>
      <c r="AB8675" s="117">
        <f t="shared" si="138"/>
        <v>0</v>
      </c>
      <c r="AC8675" s="117" t="str">
        <f>IF(AB8675=1,COUNTIF($AB$3:AB8675,1),"")</f>
        <v/>
      </c>
      <c r="AD8675" s="117" t="str">
        <f>IFERROR(INDEX($AA$3:$AA$10000,MATCH(ROWS($AC$3:AC8675),$AC$3:$AC$10000,0)),"")</f>
        <v/>
      </c>
    </row>
    <row r="8676" spans="27:30">
      <c r="AA8676" s="117">
        <f>+'Ingredient List - Mother Tinctu'!D8677</f>
        <v>0</v>
      </c>
      <c r="AB8676" s="117">
        <f t="shared" si="138"/>
        <v>0</v>
      </c>
      <c r="AC8676" s="117" t="str">
        <f>IF(AB8676=1,COUNTIF($AB$3:AB8676,1),"")</f>
        <v/>
      </c>
      <c r="AD8676" s="117" t="str">
        <f>IFERROR(INDEX($AA$3:$AA$10000,MATCH(ROWS($AC$3:AC8676),$AC$3:$AC$10000,0)),"")</f>
        <v/>
      </c>
    </row>
    <row r="8677" spans="27:30">
      <c r="AA8677" s="117">
        <f>+'Ingredient List - Mother Tinctu'!D8678</f>
        <v>0</v>
      </c>
      <c r="AB8677" s="117">
        <f t="shared" si="138"/>
        <v>0</v>
      </c>
      <c r="AC8677" s="117" t="str">
        <f>IF(AB8677=1,COUNTIF($AB$3:AB8677,1),"")</f>
        <v/>
      </c>
      <c r="AD8677" s="117" t="str">
        <f>IFERROR(INDEX($AA$3:$AA$10000,MATCH(ROWS($AC$3:AC8677),$AC$3:$AC$10000,0)),"")</f>
        <v/>
      </c>
    </row>
    <row r="8678" spans="27:30">
      <c r="AA8678" s="117">
        <f>+'Ingredient List - Mother Tinctu'!D8679</f>
        <v>0</v>
      </c>
      <c r="AB8678" s="117">
        <f t="shared" si="138"/>
        <v>0</v>
      </c>
      <c r="AC8678" s="117" t="str">
        <f>IF(AB8678=1,COUNTIF($AB$3:AB8678,1),"")</f>
        <v/>
      </c>
      <c r="AD8678" s="117" t="str">
        <f>IFERROR(INDEX($AA$3:$AA$10000,MATCH(ROWS($AC$3:AC8678),$AC$3:$AC$10000,0)),"")</f>
        <v/>
      </c>
    </row>
    <row r="8679" spans="27:30">
      <c r="AA8679" s="117">
        <f>+'Ingredient List - Mother Tinctu'!D8680</f>
        <v>0</v>
      </c>
      <c r="AB8679" s="117">
        <f t="shared" si="138"/>
        <v>0</v>
      </c>
      <c r="AC8679" s="117" t="str">
        <f>IF(AB8679=1,COUNTIF($AB$3:AB8679,1),"")</f>
        <v/>
      </c>
      <c r="AD8679" s="117" t="str">
        <f>IFERROR(INDEX($AA$3:$AA$10000,MATCH(ROWS($AC$3:AC8679),$AC$3:$AC$10000,0)),"")</f>
        <v/>
      </c>
    </row>
    <row r="8680" spans="27:30">
      <c r="AA8680" s="117">
        <f>+'Ingredient List - Mother Tinctu'!D8681</f>
        <v>0</v>
      </c>
      <c r="AB8680" s="117">
        <f t="shared" si="138"/>
        <v>0</v>
      </c>
      <c r="AC8680" s="117" t="str">
        <f>IF(AB8680=1,COUNTIF($AB$3:AB8680,1),"")</f>
        <v/>
      </c>
      <c r="AD8680" s="117" t="str">
        <f>IFERROR(INDEX($AA$3:$AA$10000,MATCH(ROWS($AC$3:AC8680),$AC$3:$AC$10000,0)),"")</f>
        <v/>
      </c>
    </row>
    <row r="8681" spans="27:30">
      <c r="AA8681" s="117">
        <f>+'Ingredient List - Mother Tinctu'!D8682</f>
        <v>0</v>
      </c>
      <c r="AB8681" s="117">
        <f t="shared" si="138"/>
        <v>0</v>
      </c>
      <c r="AC8681" s="117" t="str">
        <f>IF(AB8681=1,COUNTIF($AB$3:AB8681,1),"")</f>
        <v/>
      </c>
      <c r="AD8681" s="117" t="str">
        <f>IFERROR(INDEX($AA$3:$AA$10000,MATCH(ROWS($AC$3:AC8681),$AC$3:$AC$10000,0)),"")</f>
        <v/>
      </c>
    </row>
    <row r="8682" spans="27:30">
      <c r="AA8682" s="117">
        <f>+'Ingredient List - Mother Tinctu'!D8683</f>
        <v>0</v>
      </c>
      <c r="AB8682" s="117">
        <f t="shared" si="138"/>
        <v>0</v>
      </c>
      <c r="AC8682" s="117" t="str">
        <f>IF(AB8682=1,COUNTIF($AB$3:AB8682,1),"")</f>
        <v/>
      </c>
      <c r="AD8682" s="117" t="str">
        <f>IFERROR(INDEX($AA$3:$AA$10000,MATCH(ROWS($AC$3:AC8682),$AC$3:$AC$10000,0)),"")</f>
        <v/>
      </c>
    </row>
    <row r="8683" spans="27:30">
      <c r="AA8683" s="117">
        <f>+'Ingredient List - Mother Tinctu'!D8684</f>
        <v>0</v>
      </c>
      <c r="AB8683" s="117">
        <f t="shared" si="138"/>
        <v>0</v>
      </c>
      <c r="AC8683" s="117" t="str">
        <f>IF(AB8683=1,COUNTIF($AB$3:AB8683,1),"")</f>
        <v/>
      </c>
      <c r="AD8683" s="117" t="str">
        <f>IFERROR(INDEX($AA$3:$AA$10000,MATCH(ROWS($AC$3:AC8683),$AC$3:$AC$10000,0)),"")</f>
        <v/>
      </c>
    </row>
    <row r="8684" spans="27:30">
      <c r="AA8684" s="117">
        <f>+'Ingredient List - Mother Tinctu'!D8685</f>
        <v>0</v>
      </c>
      <c r="AB8684" s="117">
        <f t="shared" si="138"/>
        <v>0</v>
      </c>
      <c r="AC8684" s="117" t="str">
        <f>IF(AB8684=1,COUNTIF($AB$3:AB8684,1),"")</f>
        <v/>
      </c>
      <c r="AD8684" s="117" t="str">
        <f>IFERROR(INDEX($AA$3:$AA$10000,MATCH(ROWS($AC$3:AC8684),$AC$3:$AC$10000,0)),"")</f>
        <v/>
      </c>
    </row>
    <row r="8685" spans="27:30">
      <c r="AA8685" s="117">
        <f>+'Ingredient List - Mother Tinctu'!D8686</f>
        <v>0</v>
      </c>
      <c r="AB8685" s="117">
        <f t="shared" si="138"/>
        <v>0</v>
      </c>
      <c r="AC8685" s="117" t="str">
        <f>IF(AB8685=1,COUNTIF($AB$3:AB8685,1),"")</f>
        <v/>
      </c>
      <c r="AD8685" s="117" t="str">
        <f>IFERROR(INDEX($AA$3:$AA$10000,MATCH(ROWS($AC$3:AC8685),$AC$3:$AC$10000,0)),"")</f>
        <v/>
      </c>
    </row>
    <row r="8686" spans="27:30">
      <c r="AA8686" s="117">
        <f>+'Ingredient List - Mother Tinctu'!D8687</f>
        <v>0</v>
      </c>
      <c r="AB8686" s="117">
        <f t="shared" si="138"/>
        <v>0</v>
      </c>
      <c r="AC8686" s="117" t="str">
        <f>IF(AB8686=1,COUNTIF($AB$3:AB8686,1),"")</f>
        <v/>
      </c>
      <c r="AD8686" s="117" t="str">
        <f>IFERROR(INDEX($AA$3:$AA$10000,MATCH(ROWS($AC$3:AC8686),$AC$3:$AC$10000,0)),"")</f>
        <v/>
      </c>
    </row>
    <row r="8687" spans="27:30">
      <c r="AA8687" s="117">
        <f>+'Ingredient List - Mother Tinctu'!D8688</f>
        <v>0</v>
      </c>
      <c r="AB8687" s="117">
        <f t="shared" si="138"/>
        <v>0</v>
      </c>
      <c r="AC8687" s="117" t="str">
        <f>IF(AB8687=1,COUNTIF($AB$3:AB8687,1),"")</f>
        <v/>
      </c>
      <c r="AD8687" s="117" t="str">
        <f>IFERROR(INDEX($AA$3:$AA$10000,MATCH(ROWS($AC$3:AC8687),$AC$3:$AC$10000,0)),"")</f>
        <v/>
      </c>
    </row>
    <row r="8688" spans="27:30">
      <c r="AA8688" s="117">
        <f>+'Ingredient List - Mother Tinctu'!D8689</f>
        <v>0</v>
      </c>
      <c r="AB8688" s="117">
        <f t="shared" si="138"/>
        <v>0</v>
      </c>
      <c r="AC8688" s="117" t="str">
        <f>IF(AB8688=1,COUNTIF($AB$3:AB8688,1),"")</f>
        <v/>
      </c>
      <c r="AD8688" s="117" t="str">
        <f>IFERROR(INDEX($AA$3:$AA$10000,MATCH(ROWS($AC$3:AC8688),$AC$3:$AC$10000,0)),"")</f>
        <v/>
      </c>
    </row>
    <row r="8689" spans="27:30">
      <c r="AA8689" s="117">
        <f>+'Ingredient List - Mother Tinctu'!D8690</f>
        <v>0</v>
      </c>
      <c r="AB8689" s="117">
        <f t="shared" si="138"/>
        <v>0</v>
      </c>
      <c r="AC8689" s="117" t="str">
        <f>IF(AB8689=1,COUNTIF($AB$3:AB8689,1),"")</f>
        <v/>
      </c>
      <c r="AD8689" s="117" t="str">
        <f>IFERROR(INDEX($AA$3:$AA$10000,MATCH(ROWS($AC$3:AC8689),$AC$3:$AC$10000,0)),"")</f>
        <v/>
      </c>
    </row>
    <row r="8690" spans="27:30">
      <c r="AA8690" s="117">
        <f>+'Ingredient List - Mother Tinctu'!D8691</f>
        <v>0</v>
      </c>
      <c r="AB8690" s="117">
        <f t="shared" si="138"/>
        <v>0</v>
      </c>
      <c r="AC8690" s="117" t="str">
        <f>IF(AB8690=1,COUNTIF($AB$3:AB8690,1),"")</f>
        <v/>
      </c>
      <c r="AD8690" s="117" t="str">
        <f>IFERROR(INDEX($AA$3:$AA$10000,MATCH(ROWS($AC$3:AC8690),$AC$3:$AC$10000,0)),"")</f>
        <v/>
      </c>
    </row>
    <row r="8691" spans="27:30">
      <c r="AA8691" s="117">
        <f>+'Ingredient List - Mother Tinctu'!D8692</f>
        <v>0</v>
      </c>
      <c r="AB8691" s="117">
        <f t="shared" si="138"/>
        <v>0</v>
      </c>
      <c r="AC8691" s="117" t="str">
        <f>IF(AB8691=1,COUNTIF($AB$3:AB8691,1),"")</f>
        <v/>
      </c>
      <c r="AD8691" s="117" t="str">
        <f>IFERROR(INDEX($AA$3:$AA$10000,MATCH(ROWS($AC$3:AC8691),$AC$3:$AC$10000,0)),"")</f>
        <v/>
      </c>
    </row>
    <row r="8692" spans="27:30">
      <c r="AA8692" s="117">
        <f>+'Ingredient List - Mother Tinctu'!D8693</f>
        <v>0</v>
      </c>
      <c r="AB8692" s="117">
        <f t="shared" si="138"/>
        <v>0</v>
      </c>
      <c r="AC8692" s="117" t="str">
        <f>IF(AB8692=1,COUNTIF($AB$3:AB8692,1),"")</f>
        <v/>
      </c>
      <c r="AD8692" s="117" t="str">
        <f>IFERROR(INDEX($AA$3:$AA$10000,MATCH(ROWS($AC$3:AC8692),$AC$3:$AC$10000,0)),"")</f>
        <v/>
      </c>
    </row>
    <row r="8693" spans="27:30">
      <c r="AA8693" s="117">
        <f>+'Ingredient List - Mother Tinctu'!D8694</f>
        <v>0</v>
      </c>
      <c r="AB8693" s="117">
        <f t="shared" si="138"/>
        <v>0</v>
      </c>
      <c r="AC8693" s="117" t="str">
        <f>IF(AB8693=1,COUNTIF($AB$3:AB8693,1),"")</f>
        <v/>
      </c>
      <c r="AD8693" s="117" t="str">
        <f>IFERROR(INDEX($AA$3:$AA$10000,MATCH(ROWS($AC$3:AC8693),$AC$3:$AC$10000,0)),"")</f>
        <v/>
      </c>
    </row>
    <row r="8694" spans="27:30">
      <c r="AA8694" s="117">
        <f>+'Ingredient List - Mother Tinctu'!D8695</f>
        <v>0</v>
      </c>
      <c r="AB8694" s="117">
        <f t="shared" si="138"/>
        <v>0</v>
      </c>
      <c r="AC8694" s="117" t="str">
        <f>IF(AB8694=1,COUNTIF($AB$3:AB8694,1),"")</f>
        <v/>
      </c>
      <c r="AD8694" s="117" t="str">
        <f>IFERROR(INDEX($AA$3:$AA$10000,MATCH(ROWS($AC$3:AC8694),$AC$3:$AC$10000,0)),"")</f>
        <v/>
      </c>
    </row>
    <row r="8695" spans="27:30">
      <c r="AA8695" s="117">
        <f>+'Ingredient List - Mother Tinctu'!D8696</f>
        <v>0</v>
      </c>
      <c r="AB8695" s="117">
        <f t="shared" si="138"/>
        <v>0</v>
      </c>
      <c r="AC8695" s="117" t="str">
        <f>IF(AB8695=1,COUNTIF($AB$3:AB8695,1),"")</f>
        <v/>
      </c>
      <c r="AD8695" s="117" t="str">
        <f>IFERROR(INDEX($AA$3:$AA$10000,MATCH(ROWS($AC$3:AC8695),$AC$3:$AC$10000,0)),"")</f>
        <v/>
      </c>
    </row>
    <row r="8696" spans="27:30">
      <c r="AA8696" s="117">
        <f>+'Ingredient List - Mother Tinctu'!D8697</f>
        <v>0</v>
      </c>
      <c r="AB8696" s="117">
        <f t="shared" si="138"/>
        <v>0</v>
      </c>
      <c r="AC8696" s="117" t="str">
        <f>IF(AB8696=1,COUNTIF($AB$3:AB8696,1),"")</f>
        <v/>
      </c>
      <c r="AD8696" s="117" t="str">
        <f>IFERROR(INDEX($AA$3:$AA$10000,MATCH(ROWS($AC$3:AC8696),$AC$3:$AC$10000,0)),"")</f>
        <v/>
      </c>
    </row>
    <row r="8697" spans="27:30">
      <c r="AA8697" s="117">
        <f>+'Ingredient List - Mother Tinctu'!D8698</f>
        <v>0</v>
      </c>
      <c r="AB8697" s="117">
        <f t="shared" si="138"/>
        <v>0</v>
      </c>
      <c r="AC8697" s="117" t="str">
        <f>IF(AB8697=1,COUNTIF($AB$3:AB8697,1),"")</f>
        <v/>
      </c>
      <c r="AD8697" s="117" t="str">
        <f>IFERROR(INDEX($AA$3:$AA$10000,MATCH(ROWS($AC$3:AC8697),$AC$3:$AC$10000,0)),"")</f>
        <v/>
      </c>
    </row>
    <row r="8698" spans="27:30">
      <c r="AA8698" s="117">
        <f>+'Ingredient List - Mother Tinctu'!D8699</f>
        <v>0</v>
      </c>
      <c r="AB8698" s="117">
        <f t="shared" si="138"/>
        <v>0</v>
      </c>
      <c r="AC8698" s="117" t="str">
        <f>IF(AB8698=1,COUNTIF($AB$3:AB8698,1),"")</f>
        <v/>
      </c>
      <c r="AD8698" s="117" t="str">
        <f>IFERROR(INDEX($AA$3:$AA$10000,MATCH(ROWS($AC$3:AC8698),$AC$3:$AC$10000,0)),"")</f>
        <v/>
      </c>
    </row>
    <row r="8699" spans="27:30">
      <c r="AA8699" s="117">
        <f>+'Ingredient List - Mother Tinctu'!D8700</f>
        <v>0</v>
      </c>
      <c r="AB8699" s="117">
        <f t="shared" si="138"/>
        <v>0</v>
      </c>
      <c r="AC8699" s="117" t="str">
        <f>IF(AB8699=1,COUNTIF($AB$3:AB8699,1),"")</f>
        <v/>
      </c>
      <c r="AD8699" s="117" t="str">
        <f>IFERROR(INDEX($AA$3:$AA$10000,MATCH(ROWS($AC$3:AC8699),$AC$3:$AC$10000,0)),"")</f>
        <v/>
      </c>
    </row>
    <row r="8700" spans="27:30">
      <c r="AA8700" s="117">
        <f>+'Ingredient List - Mother Tinctu'!D8701</f>
        <v>0</v>
      </c>
      <c r="AB8700" s="117">
        <f t="shared" si="138"/>
        <v>0</v>
      </c>
      <c r="AC8700" s="117" t="str">
        <f>IF(AB8700=1,COUNTIF($AB$3:AB8700,1),"")</f>
        <v/>
      </c>
      <c r="AD8700" s="117" t="str">
        <f>IFERROR(INDEX($AA$3:$AA$10000,MATCH(ROWS($AC$3:AC8700),$AC$3:$AC$10000,0)),"")</f>
        <v/>
      </c>
    </row>
    <row r="8701" spans="27:30">
      <c r="AA8701" s="117">
        <f>+'Ingredient List - Mother Tinctu'!D8702</f>
        <v>0</v>
      </c>
      <c r="AB8701" s="117">
        <f t="shared" si="138"/>
        <v>0</v>
      </c>
      <c r="AC8701" s="117" t="str">
        <f>IF(AB8701=1,COUNTIF($AB$3:AB8701,1),"")</f>
        <v/>
      </c>
      <c r="AD8701" s="117" t="str">
        <f>IFERROR(INDEX($AA$3:$AA$10000,MATCH(ROWS($AC$3:AC8701),$AC$3:$AC$10000,0)),"")</f>
        <v/>
      </c>
    </row>
    <row r="8702" spans="27:30">
      <c r="AA8702" s="117">
        <f>+'Ingredient List - Mother Tinctu'!D8703</f>
        <v>0</v>
      </c>
      <c r="AB8702" s="117">
        <f t="shared" si="138"/>
        <v>0</v>
      </c>
      <c r="AC8702" s="117" t="str">
        <f>IF(AB8702=1,COUNTIF($AB$3:AB8702,1),"")</f>
        <v/>
      </c>
      <c r="AD8702" s="117" t="str">
        <f>IFERROR(INDEX($AA$3:$AA$10000,MATCH(ROWS($AC$3:AC8702),$AC$3:$AC$10000,0)),"")</f>
        <v/>
      </c>
    </row>
    <row r="8703" spans="27:30">
      <c r="AA8703" s="117">
        <f>+'Ingredient List - Mother Tinctu'!D8704</f>
        <v>0</v>
      </c>
      <c r="AB8703" s="117">
        <f t="shared" si="138"/>
        <v>0</v>
      </c>
      <c r="AC8703" s="117" t="str">
        <f>IF(AB8703=1,COUNTIF($AB$3:AB8703,1),"")</f>
        <v/>
      </c>
      <c r="AD8703" s="117" t="str">
        <f>IFERROR(INDEX($AA$3:$AA$10000,MATCH(ROWS($AC$3:AC8703),$AC$3:$AC$10000,0)),"")</f>
        <v/>
      </c>
    </row>
    <row r="8704" spans="27:30">
      <c r="AA8704" s="117">
        <f>+'Ingredient List - Mother Tinctu'!D8705</f>
        <v>0</v>
      </c>
      <c r="AB8704" s="117">
        <f t="shared" si="138"/>
        <v>0</v>
      </c>
      <c r="AC8704" s="117" t="str">
        <f>IF(AB8704=1,COUNTIF($AB$3:AB8704,1),"")</f>
        <v/>
      </c>
      <c r="AD8704" s="117" t="str">
        <f>IFERROR(INDEX($AA$3:$AA$10000,MATCH(ROWS($AC$3:AC8704),$AC$3:$AC$10000,0)),"")</f>
        <v/>
      </c>
    </row>
    <row r="8705" spans="27:30">
      <c r="AA8705" s="117">
        <f>+'Ingredient List - Mother Tinctu'!D8706</f>
        <v>0</v>
      </c>
      <c r="AB8705" s="117">
        <f t="shared" si="138"/>
        <v>0</v>
      </c>
      <c r="AC8705" s="117" t="str">
        <f>IF(AB8705=1,COUNTIF($AB$3:AB8705,1),"")</f>
        <v/>
      </c>
      <c r="AD8705" s="117" t="str">
        <f>IFERROR(INDEX($AA$3:$AA$10000,MATCH(ROWS($AC$3:AC8705),$AC$3:$AC$10000,0)),"")</f>
        <v/>
      </c>
    </row>
    <row r="8706" spans="27:30">
      <c r="AA8706" s="117">
        <f>+'Ingredient List - Mother Tinctu'!D8707</f>
        <v>0</v>
      </c>
      <c r="AB8706" s="117">
        <f t="shared" si="138"/>
        <v>0</v>
      </c>
      <c r="AC8706" s="117" t="str">
        <f>IF(AB8706=1,COUNTIF($AB$3:AB8706,1),"")</f>
        <v/>
      </c>
      <c r="AD8706" s="117" t="str">
        <f>IFERROR(INDEX($AA$3:$AA$10000,MATCH(ROWS($AC$3:AC8706),$AC$3:$AC$10000,0)),"")</f>
        <v/>
      </c>
    </row>
    <row r="8707" spans="27:30">
      <c r="AA8707" s="117">
        <f>+'Ingredient List - Mother Tinctu'!D8708</f>
        <v>0</v>
      </c>
      <c r="AB8707" s="117">
        <f t="shared" si="138"/>
        <v>0</v>
      </c>
      <c r="AC8707" s="117" t="str">
        <f>IF(AB8707=1,COUNTIF($AB$3:AB8707,1),"")</f>
        <v/>
      </c>
      <c r="AD8707" s="117" t="str">
        <f>IFERROR(INDEX($AA$3:$AA$10000,MATCH(ROWS($AC$3:AC8707),$AC$3:$AC$10000,0)),"")</f>
        <v/>
      </c>
    </row>
    <row r="8708" spans="27:30">
      <c r="AA8708" s="117">
        <f>+'Ingredient List - Mother Tinctu'!D8709</f>
        <v>0</v>
      </c>
      <c r="AB8708" s="117">
        <f t="shared" ref="AB8708:AB8771" si="139">--ISNUMBER(IFERROR(SEARCH($D$3,AA8708,1),""))</f>
        <v>0</v>
      </c>
      <c r="AC8708" s="117" t="str">
        <f>IF(AB8708=1,COUNTIF($AB$3:AB8708,1),"")</f>
        <v/>
      </c>
      <c r="AD8708" s="117" t="str">
        <f>IFERROR(INDEX($AA$3:$AA$10000,MATCH(ROWS($AC$3:AC8708),$AC$3:$AC$10000,0)),"")</f>
        <v/>
      </c>
    </row>
    <row r="8709" spans="27:30">
      <c r="AA8709" s="117">
        <f>+'Ingredient List - Mother Tinctu'!D8710</f>
        <v>0</v>
      </c>
      <c r="AB8709" s="117">
        <f t="shared" si="139"/>
        <v>0</v>
      </c>
      <c r="AC8709" s="117" t="str">
        <f>IF(AB8709=1,COUNTIF($AB$3:AB8709,1),"")</f>
        <v/>
      </c>
      <c r="AD8709" s="117" t="str">
        <f>IFERROR(INDEX($AA$3:$AA$10000,MATCH(ROWS($AC$3:AC8709),$AC$3:$AC$10000,0)),"")</f>
        <v/>
      </c>
    </row>
    <row r="8710" spans="27:30">
      <c r="AA8710" s="117">
        <f>+'Ingredient List - Mother Tinctu'!D8711</f>
        <v>0</v>
      </c>
      <c r="AB8710" s="117">
        <f t="shared" si="139"/>
        <v>0</v>
      </c>
      <c r="AC8710" s="117" t="str">
        <f>IF(AB8710=1,COUNTIF($AB$3:AB8710,1),"")</f>
        <v/>
      </c>
      <c r="AD8710" s="117" t="str">
        <f>IFERROR(INDEX($AA$3:$AA$10000,MATCH(ROWS($AC$3:AC8710),$AC$3:$AC$10000,0)),"")</f>
        <v/>
      </c>
    </row>
    <row r="8711" spans="27:30">
      <c r="AA8711" s="117">
        <f>+'Ingredient List - Mother Tinctu'!D8712</f>
        <v>0</v>
      </c>
      <c r="AB8711" s="117">
        <f t="shared" si="139"/>
        <v>0</v>
      </c>
      <c r="AC8711" s="117" t="str">
        <f>IF(AB8711=1,COUNTIF($AB$3:AB8711,1),"")</f>
        <v/>
      </c>
      <c r="AD8711" s="117" t="str">
        <f>IFERROR(INDEX($AA$3:$AA$10000,MATCH(ROWS($AC$3:AC8711),$AC$3:$AC$10000,0)),"")</f>
        <v/>
      </c>
    </row>
    <row r="8712" spans="27:30">
      <c r="AA8712" s="117">
        <f>+'Ingredient List - Mother Tinctu'!D8713</f>
        <v>0</v>
      </c>
      <c r="AB8712" s="117">
        <f t="shared" si="139"/>
        <v>0</v>
      </c>
      <c r="AC8712" s="117" t="str">
        <f>IF(AB8712=1,COUNTIF($AB$3:AB8712,1),"")</f>
        <v/>
      </c>
      <c r="AD8712" s="117" t="str">
        <f>IFERROR(INDEX($AA$3:$AA$10000,MATCH(ROWS($AC$3:AC8712),$AC$3:$AC$10000,0)),"")</f>
        <v/>
      </c>
    </row>
    <row r="8713" spans="27:30">
      <c r="AA8713" s="117">
        <f>+'Ingredient List - Mother Tinctu'!D8714</f>
        <v>0</v>
      </c>
      <c r="AB8713" s="117">
        <f t="shared" si="139"/>
        <v>0</v>
      </c>
      <c r="AC8713" s="117" t="str">
        <f>IF(AB8713=1,COUNTIF($AB$3:AB8713,1),"")</f>
        <v/>
      </c>
      <c r="AD8713" s="117" t="str">
        <f>IFERROR(INDEX($AA$3:$AA$10000,MATCH(ROWS($AC$3:AC8713),$AC$3:$AC$10000,0)),"")</f>
        <v/>
      </c>
    </row>
    <row r="8714" spans="27:30">
      <c r="AA8714" s="117">
        <f>+'Ingredient List - Mother Tinctu'!D8715</f>
        <v>0</v>
      </c>
      <c r="AB8714" s="117">
        <f t="shared" si="139"/>
        <v>0</v>
      </c>
      <c r="AC8714" s="117" t="str">
        <f>IF(AB8714=1,COUNTIF($AB$3:AB8714,1),"")</f>
        <v/>
      </c>
      <c r="AD8714" s="117" t="str">
        <f>IFERROR(INDEX($AA$3:$AA$10000,MATCH(ROWS($AC$3:AC8714),$AC$3:$AC$10000,0)),"")</f>
        <v/>
      </c>
    </row>
    <row r="8715" spans="27:30">
      <c r="AA8715" s="117">
        <f>+'Ingredient List - Mother Tinctu'!D8716</f>
        <v>0</v>
      </c>
      <c r="AB8715" s="117">
        <f t="shared" si="139"/>
        <v>0</v>
      </c>
      <c r="AC8715" s="117" t="str">
        <f>IF(AB8715=1,COUNTIF($AB$3:AB8715,1),"")</f>
        <v/>
      </c>
      <c r="AD8715" s="117" t="str">
        <f>IFERROR(INDEX($AA$3:$AA$10000,MATCH(ROWS($AC$3:AC8715),$AC$3:$AC$10000,0)),"")</f>
        <v/>
      </c>
    </row>
    <row r="8716" spans="27:30">
      <c r="AA8716" s="117">
        <f>+'Ingredient List - Mother Tinctu'!D8717</f>
        <v>0</v>
      </c>
      <c r="AB8716" s="117">
        <f t="shared" si="139"/>
        <v>0</v>
      </c>
      <c r="AC8716" s="117" t="str">
        <f>IF(AB8716=1,COUNTIF($AB$3:AB8716,1),"")</f>
        <v/>
      </c>
      <c r="AD8716" s="117" t="str">
        <f>IFERROR(INDEX($AA$3:$AA$10000,MATCH(ROWS($AC$3:AC8716),$AC$3:$AC$10000,0)),"")</f>
        <v/>
      </c>
    </row>
    <row r="8717" spans="27:30">
      <c r="AA8717" s="117">
        <f>+'Ingredient List - Mother Tinctu'!D8718</f>
        <v>0</v>
      </c>
      <c r="AB8717" s="117">
        <f t="shared" si="139"/>
        <v>0</v>
      </c>
      <c r="AC8717" s="117" t="str">
        <f>IF(AB8717=1,COUNTIF($AB$3:AB8717,1),"")</f>
        <v/>
      </c>
      <c r="AD8717" s="117" t="str">
        <f>IFERROR(INDEX($AA$3:$AA$10000,MATCH(ROWS($AC$3:AC8717),$AC$3:$AC$10000,0)),"")</f>
        <v/>
      </c>
    </row>
    <row r="8718" spans="27:30">
      <c r="AA8718" s="117">
        <f>+'Ingredient List - Mother Tinctu'!D8719</f>
        <v>0</v>
      </c>
      <c r="AB8718" s="117">
        <f t="shared" si="139"/>
        <v>0</v>
      </c>
      <c r="AC8718" s="117" t="str">
        <f>IF(AB8718=1,COUNTIF($AB$3:AB8718,1),"")</f>
        <v/>
      </c>
      <c r="AD8718" s="117" t="str">
        <f>IFERROR(INDEX($AA$3:$AA$10000,MATCH(ROWS($AC$3:AC8718),$AC$3:$AC$10000,0)),"")</f>
        <v/>
      </c>
    </row>
    <row r="8719" spans="27:30">
      <c r="AA8719" s="117">
        <f>+'Ingredient List - Mother Tinctu'!D8720</f>
        <v>0</v>
      </c>
      <c r="AB8719" s="117">
        <f t="shared" si="139"/>
        <v>0</v>
      </c>
      <c r="AC8719" s="117" t="str">
        <f>IF(AB8719=1,COUNTIF($AB$3:AB8719,1),"")</f>
        <v/>
      </c>
      <c r="AD8719" s="117" t="str">
        <f>IFERROR(INDEX($AA$3:$AA$10000,MATCH(ROWS($AC$3:AC8719),$AC$3:$AC$10000,0)),"")</f>
        <v/>
      </c>
    </row>
    <row r="8720" spans="27:30">
      <c r="AA8720" s="117">
        <f>+'Ingredient List - Mother Tinctu'!D8721</f>
        <v>0</v>
      </c>
      <c r="AB8720" s="117">
        <f t="shared" si="139"/>
        <v>0</v>
      </c>
      <c r="AC8720" s="117" t="str">
        <f>IF(AB8720=1,COUNTIF($AB$3:AB8720,1),"")</f>
        <v/>
      </c>
      <c r="AD8720" s="117" t="str">
        <f>IFERROR(INDEX($AA$3:$AA$10000,MATCH(ROWS($AC$3:AC8720),$AC$3:$AC$10000,0)),"")</f>
        <v/>
      </c>
    </row>
    <row r="8721" spans="27:30">
      <c r="AA8721" s="117">
        <f>+'Ingredient List - Mother Tinctu'!D8722</f>
        <v>0</v>
      </c>
      <c r="AB8721" s="117">
        <f t="shared" si="139"/>
        <v>0</v>
      </c>
      <c r="AC8721" s="117" t="str">
        <f>IF(AB8721=1,COUNTIF($AB$3:AB8721,1),"")</f>
        <v/>
      </c>
      <c r="AD8721" s="117" t="str">
        <f>IFERROR(INDEX($AA$3:$AA$10000,MATCH(ROWS($AC$3:AC8721),$AC$3:$AC$10000,0)),"")</f>
        <v/>
      </c>
    </row>
    <row r="8722" spans="27:30">
      <c r="AA8722" s="117">
        <f>+'Ingredient List - Mother Tinctu'!D8723</f>
        <v>0</v>
      </c>
      <c r="AB8722" s="117">
        <f t="shared" si="139"/>
        <v>0</v>
      </c>
      <c r="AC8722" s="117" t="str">
        <f>IF(AB8722=1,COUNTIF($AB$3:AB8722,1),"")</f>
        <v/>
      </c>
      <c r="AD8722" s="117" t="str">
        <f>IFERROR(INDEX($AA$3:$AA$10000,MATCH(ROWS($AC$3:AC8722),$AC$3:$AC$10000,0)),"")</f>
        <v/>
      </c>
    </row>
    <row r="8723" spans="27:30">
      <c r="AA8723" s="117">
        <f>+'Ingredient List - Mother Tinctu'!D8724</f>
        <v>0</v>
      </c>
      <c r="AB8723" s="117">
        <f t="shared" si="139"/>
        <v>0</v>
      </c>
      <c r="AC8723" s="117" t="str">
        <f>IF(AB8723=1,COUNTIF($AB$3:AB8723,1),"")</f>
        <v/>
      </c>
      <c r="AD8723" s="117" t="str">
        <f>IFERROR(INDEX($AA$3:$AA$10000,MATCH(ROWS($AC$3:AC8723),$AC$3:$AC$10000,0)),"")</f>
        <v/>
      </c>
    </row>
    <row r="8724" spans="27:30">
      <c r="AA8724" s="117">
        <f>+'Ingredient List - Mother Tinctu'!D8725</f>
        <v>0</v>
      </c>
      <c r="AB8724" s="117">
        <f t="shared" si="139"/>
        <v>0</v>
      </c>
      <c r="AC8724" s="117" t="str">
        <f>IF(AB8724=1,COUNTIF($AB$3:AB8724,1),"")</f>
        <v/>
      </c>
      <c r="AD8724" s="117" t="str">
        <f>IFERROR(INDEX($AA$3:$AA$10000,MATCH(ROWS($AC$3:AC8724),$AC$3:$AC$10000,0)),"")</f>
        <v/>
      </c>
    </row>
    <row r="8725" spans="27:30">
      <c r="AA8725" s="117">
        <f>+'Ingredient List - Mother Tinctu'!D8726</f>
        <v>0</v>
      </c>
      <c r="AB8725" s="117">
        <f t="shared" si="139"/>
        <v>0</v>
      </c>
      <c r="AC8725" s="117" t="str">
        <f>IF(AB8725=1,COUNTIF($AB$3:AB8725,1),"")</f>
        <v/>
      </c>
      <c r="AD8725" s="117" t="str">
        <f>IFERROR(INDEX($AA$3:$AA$10000,MATCH(ROWS($AC$3:AC8725),$AC$3:$AC$10000,0)),"")</f>
        <v/>
      </c>
    </row>
    <row r="8726" spans="27:30">
      <c r="AA8726" s="117">
        <f>+'Ingredient List - Mother Tinctu'!D8727</f>
        <v>0</v>
      </c>
      <c r="AB8726" s="117">
        <f t="shared" si="139"/>
        <v>0</v>
      </c>
      <c r="AC8726" s="117" t="str">
        <f>IF(AB8726=1,COUNTIF($AB$3:AB8726,1),"")</f>
        <v/>
      </c>
      <c r="AD8726" s="117" t="str">
        <f>IFERROR(INDEX($AA$3:$AA$10000,MATCH(ROWS($AC$3:AC8726),$AC$3:$AC$10000,0)),"")</f>
        <v/>
      </c>
    </row>
    <row r="8727" spans="27:30">
      <c r="AA8727" s="117">
        <f>+'Ingredient List - Mother Tinctu'!D8728</f>
        <v>0</v>
      </c>
      <c r="AB8727" s="117">
        <f t="shared" si="139"/>
        <v>0</v>
      </c>
      <c r="AC8727" s="117" t="str">
        <f>IF(AB8727=1,COUNTIF($AB$3:AB8727,1),"")</f>
        <v/>
      </c>
      <c r="AD8727" s="117" t="str">
        <f>IFERROR(INDEX($AA$3:$AA$10000,MATCH(ROWS($AC$3:AC8727),$AC$3:$AC$10000,0)),"")</f>
        <v/>
      </c>
    </row>
    <row r="8728" spans="27:30">
      <c r="AA8728" s="117">
        <f>+'Ingredient List - Mother Tinctu'!D8729</f>
        <v>0</v>
      </c>
      <c r="AB8728" s="117">
        <f t="shared" si="139"/>
        <v>0</v>
      </c>
      <c r="AC8728" s="117" t="str">
        <f>IF(AB8728=1,COUNTIF($AB$3:AB8728,1),"")</f>
        <v/>
      </c>
      <c r="AD8728" s="117" t="str">
        <f>IFERROR(INDEX($AA$3:$AA$10000,MATCH(ROWS($AC$3:AC8728),$AC$3:$AC$10000,0)),"")</f>
        <v/>
      </c>
    </row>
    <row r="8729" spans="27:30">
      <c r="AA8729" s="117">
        <f>+'Ingredient List - Mother Tinctu'!D8730</f>
        <v>0</v>
      </c>
      <c r="AB8729" s="117">
        <f t="shared" si="139"/>
        <v>0</v>
      </c>
      <c r="AC8729" s="117" t="str">
        <f>IF(AB8729=1,COUNTIF($AB$3:AB8729,1),"")</f>
        <v/>
      </c>
      <c r="AD8729" s="117" t="str">
        <f>IFERROR(INDEX($AA$3:$AA$10000,MATCH(ROWS($AC$3:AC8729),$AC$3:$AC$10000,0)),"")</f>
        <v/>
      </c>
    </row>
    <row r="8730" spans="27:30">
      <c r="AA8730" s="117">
        <f>+'Ingredient List - Mother Tinctu'!D8731</f>
        <v>0</v>
      </c>
      <c r="AB8730" s="117">
        <f t="shared" si="139"/>
        <v>0</v>
      </c>
      <c r="AC8730" s="117" t="str">
        <f>IF(AB8730=1,COUNTIF($AB$3:AB8730,1),"")</f>
        <v/>
      </c>
      <c r="AD8730" s="117" t="str">
        <f>IFERROR(INDEX($AA$3:$AA$10000,MATCH(ROWS($AC$3:AC8730),$AC$3:$AC$10000,0)),"")</f>
        <v/>
      </c>
    </row>
    <row r="8731" spans="27:30">
      <c r="AA8731" s="117">
        <f>+'Ingredient List - Mother Tinctu'!D8732</f>
        <v>0</v>
      </c>
      <c r="AB8731" s="117">
        <f t="shared" si="139"/>
        <v>0</v>
      </c>
      <c r="AC8731" s="117" t="str">
        <f>IF(AB8731=1,COUNTIF($AB$3:AB8731,1),"")</f>
        <v/>
      </c>
      <c r="AD8731" s="117" t="str">
        <f>IFERROR(INDEX($AA$3:$AA$10000,MATCH(ROWS($AC$3:AC8731),$AC$3:$AC$10000,0)),"")</f>
        <v/>
      </c>
    </row>
    <row r="8732" spans="27:30">
      <c r="AA8732" s="117">
        <f>+'Ingredient List - Mother Tinctu'!D8733</f>
        <v>0</v>
      </c>
      <c r="AB8732" s="117">
        <f t="shared" si="139"/>
        <v>0</v>
      </c>
      <c r="AC8732" s="117" t="str">
        <f>IF(AB8732=1,COUNTIF($AB$3:AB8732,1),"")</f>
        <v/>
      </c>
      <c r="AD8732" s="117" t="str">
        <f>IFERROR(INDEX($AA$3:$AA$10000,MATCH(ROWS($AC$3:AC8732),$AC$3:$AC$10000,0)),"")</f>
        <v/>
      </c>
    </row>
    <row r="8733" spans="27:30">
      <c r="AA8733" s="117">
        <f>+'Ingredient List - Mother Tinctu'!D8734</f>
        <v>0</v>
      </c>
      <c r="AB8733" s="117">
        <f t="shared" si="139"/>
        <v>0</v>
      </c>
      <c r="AC8733" s="117" t="str">
        <f>IF(AB8733=1,COUNTIF($AB$3:AB8733,1),"")</f>
        <v/>
      </c>
      <c r="AD8733" s="117" t="str">
        <f>IFERROR(INDEX($AA$3:$AA$10000,MATCH(ROWS($AC$3:AC8733),$AC$3:$AC$10000,0)),"")</f>
        <v/>
      </c>
    </row>
    <row r="8734" spans="27:30">
      <c r="AA8734" s="117">
        <f>+'Ingredient List - Mother Tinctu'!D8735</f>
        <v>0</v>
      </c>
      <c r="AB8734" s="117">
        <f t="shared" si="139"/>
        <v>0</v>
      </c>
      <c r="AC8734" s="117" t="str">
        <f>IF(AB8734=1,COUNTIF($AB$3:AB8734,1),"")</f>
        <v/>
      </c>
      <c r="AD8734" s="117" t="str">
        <f>IFERROR(INDEX($AA$3:$AA$10000,MATCH(ROWS($AC$3:AC8734),$AC$3:$AC$10000,0)),"")</f>
        <v/>
      </c>
    </row>
    <row r="8735" spans="27:30">
      <c r="AA8735" s="117">
        <f>+'Ingredient List - Mother Tinctu'!D8736</f>
        <v>0</v>
      </c>
      <c r="AB8735" s="117">
        <f t="shared" si="139"/>
        <v>0</v>
      </c>
      <c r="AC8735" s="117" t="str">
        <f>IF(AB8735=1,COUNTIF($AB$3:AB8735,1),"")</f>
        <v/>
      </c>
      <c r="AD8735" s="117" t="str">
        <f>IFERROR(INDEX($AA$3:$AA$10000,MATCH(ROWS($AC$3:AC8735),$AC$3:$AC$10000,0)),"")</f>
        <v/>
      </c>
    </row>
    <row r="8736" spans="27:30">
      <c r="AA8736" s="117">
        <f>+'Ingredient List - Mother Tinctu'!D8737</f>
        <v>0</v>
      </c>
      <c r="AB8736" s="117">
        <f t="shared" si="139"/>
        <v>0</v>
      </c>
      <c r="AC8736" s="117" t="str">
        <f>IF(AB8736=1,COUNTIF($AB$3:AB8736,1),"")</f>
        <v/>
      </c>
      <c r="AD8736" s="117" t="str">
        <f>IFERROR(INDEX($AA$3:$AA$10000,MATCH(ROWS($AC$3:AC8736),$AC$3:$AC$10000,0)),"")</f>
        <v/>
      </c>
    </row>
    <row r="8737" spans="27:30">
      <c r="AA8737" s="117">
        <f>+'Ingredient List - Mother Tinctu'!D8738</f>
        <v>0</v>
      </c>
      <c r="AB8737" s="117">
        <f t="shared" si="139"/>
        <v>0</v>
      </c>
      <c r="AC8737" s="117" t="str">
        <f>IF(AB8737=1,COUNTIF($AB$3:AB8737,1),"")</f>
        <v/>
      </c>
      <c r="AD8737" s="117" t="str">
        <f>IFERROR(INDEX($AA$3:$AA$10000,MATCH(ROWS($AC$3:AC8737),$AC$3:$AC$10000,0)),"")</f>
        <v/>
      </c>
    </row>
    <row r="8738" spans="27:30">
      <c r="AA8738" s="117">
        <f>+'Ingredient List - Mother Tinctu'!D8739</f>
        <v>0</v>
      </c>
      <c r="AB8738" s="117">
        <f t="shared" si="139"/>
        <v>0</v>
      </c>
      <c r="AC8738" s="117" t="str">
        <f>IF(AB8738=1,COUNTIF($AB$3:AB8738,1),"")</f>
        <v/>
      </c>
      <c r="AD8738" s="117" t="str">
        <f>IFERROR(INDEX($AA$3:$AA$10000,MATCH(ROWS($AC$3:AC8738),$AC$3:$AC$10000,0)),"")</f>
        <v/>
      </c>
    </row>
    <row r="8739" spans="27:30">
      <c r="AA8739" s="117">
        <f>+'Ingredient List - Mother Tinctu'!D8740</f>
        <v>0</v>
      </c>
      <c r="AB8739" s="117">
        <f t="shared" si="139"/>
        <v>0</v>
      </c>
      <c r="AC8739" s="117" t="str">
        <f>IF(AB8739=1,COUNTIF($AB$3:AB8739,1),"")</f>
        <v/>
      </c>
      <c r="AD8739" s="117" t="str">
        <f>IFERROR(INDEX($AA$3:$AA$10000,MATCH(ROWS($AC$3:AC8739),$AC$3:$AC$10000,0)),"")</f>
        <v/>
      </c>
    </row>
    <row r="8740" spans="27:30">
      <c r="AA8740" s="117">
        <f>+'Ingredient List - Mother Tinctu'!D8741</f>
        <v>0</v>
      </c>
      <c r="AB8740" s="117">
        <f t="shared" si="139"/>
        <v>0</v>
      </c>
      <c r="AC8740" s="117" t="str">
        <f>IF(AB8740=1,COUNTIF($AB$3:AB8740,1),"")</f>
        <v/>
      </c>
      <c r="AD8740" s="117" t="str">
        <f>IFERROR(INDEX($AA$3:$AA$10000,MATCH(ROWS($AC$3:AC8740),$AC$3:$AC$10000,0)),"")</f>
        <v/>
      </c>
    </row>
    <row r="8741" spans="27:30">
      <c r="AA8741" s="117">
        <f>+'Ingredient List - Mother Tinctu'!D8742</f>
        <v>0</v>
      </c>
      <c r="AB8741" s="117">
        <f t="shared" si="139"/>
        <v>0</v>
      </c>
      <c r="AC8741" s="117" t="str">
        <f>IF(AB8741=1,COUNTIF($AB$3:AB8741,1),"")</f>
        <v/>
      </c>
      <c r="AD8741" s="117" t="str">
        <f>IFERROR(INDEX($AA$3:$AA$10000,MATCH(ROWS($AC$3:AC8741),$AC$3:$AC$10000,0)),"")</f>
        <v/>
      </c>
    </row>
    <row r="8742" spans="27:30">
      <c r="AA8742" s="117">
        <f>+'Ingredient List - Mother Tinctu'!D8743</f>
        <v>0</v>
      </c>
      <c r="AB8742" s="117">
        <f t="shared" si="139"/>
        <v>0</v>
      </c>
      <c r="AC8742" s="117" t="str">
        <f>IF(AB8742=1,COUNTIF($AB$3:AB8742,1),"")</f>
        <v/>
      </c>
      <c r="AD8742" s="117" t="str">
        <f>IFERROR(INDEX($AA$3:$AA$10000,MATCH(ROWS($AC$3:AC8742),$AC$3:$AC$10000,0)),"")</f>
        <v/>
      </c>
    </row>
    <row r="8743" spans="27:30">
      <c r="AA8743" s="117">
        <f>+'Ingredient List - Mother Tinctu'!D8744</f>
        <v>0</v>
      </c>
      <c r="AB8743" s="117">
        <f t="shared" si="139"/>
        <v>0</v>
      </c>
      <c r="AC8743" s="117" t="str">
        <f>IF(AB8743=1,COUNTIF($AB$3:AB8743,1),"")</f>
        <v/>
      </c>
      <c r="AD8743" s="117" t="str">
        <f>IFERROR(INDEX($AA$3:$AA$10000,MATCH(ROWS($AC$3:AC8743),$AC$3:$AC$10000,0)),"")</f>
        <v/>
      </c>
    </row>
    <row r="8744" spans="27:30">
      <c r="AA8744" s="117">
        <f>+'Ingredient List - Mother Tinctu'!D8745</f>
        <v>0</v>
      </c>
      <c r="AB8744" s="117">
        <f t="shared" si="139"/>
        <v>0</v>
      </c>
      <c r="AC8744" s="117" t="str">
        <f>IF(AB8744=1,COUNTIF($AB$3:AB8744,1),"")</f>
        <v/>
      </c>
      <c r="AD8744" s="117" t="str">
        <f>IFERROR(INDEX($AA$3:$AA$10000,MATCH(ROWS($AC$3:AC8744),$AC$3:$AC$10000,0)),"")</f>
        <v/>
      </c>
    </row>
    <row r="8745" spans="27:30">
      <c r="AA8745" s="117">
        <f>+'Ingredient List - Mother Tinctu'!D8746</f>
        <v>0</v>
      </c>
      <c r="AB8745" s="117">
        <f t="shared" si="139"/>
        <v>0</v>
      </c>
      <c r="AC8745" s="117" t="str">
        <f>IF(AB8745=1,COUNTIF($AB$3:AB8745,1),"")</f>
        <v/>
      </c>
      <c r="AD8745" s="117" t="str">
        <f>IFERROR(INDEX($AA$3:$AA$10000,MATCH(ROWS($AC$3:AC8745),$AC$3:$AC$10000,0)),"")</f>
        <v/>
      </c>
    </row>
    <row r="8746" spans="27:30">
      <c r="AA8746" s="117">
        <f>+'Ingredient List - Mother Tinctu'!D8747</f>
        <v>0</v>
      </c>
      <c r="AB8746" s="117">
        <f t="shared" si="139"/>
        <v>0</v>
      </c>
      <c r="AC8746" s="117" t="str">
        <f>IF(AB8746=1,COUNTIF($AB$3:AB8746,1),"")</f>
        <v/>
      </c>
      <c r="AD8746" s="117" t="str">
        <f>IFERROR(INDEX($AA$3:$AA$10000,MATCH(ROWS($AC$3:AC8746),$AC$3:$AC$10000,0)),"")</f>
        <v/>
      </c>
    </row>
    <row r="8747" spans="27:30">
      <c r="AA8747" s="117">
        <f>+'Ingredient List - Mother Tinctu'!D8748</f>
        <v>0</v>
      </c>
      <c r="AB8747" s="117">
        <f t="shared" si="139"/>
        <v>0</v>
      </c>
      <c r="AC8747" s="117" t="str">
        <f>IF(AB8747=1,COUNTIF($AB$3:AB8747,1),"")</f>
        <v/>
      </c>
      <c r="AD8747" s="117" t="str">
        <f>IFERROR(INDEX($AA$3:$AA$10000,MATCH(ROWS($AC$3:AC8747),$AC$3:$AC$10000,0)),"")</f>
        <v/>
      </c>
    </row>
    <row r="8748" spans="27:30">
      <c r="AA8748" s="117">
        <f>+'Ingredient List - Mother Tinctu'!D8749</f>
        <v>0</v>
      </c>
      <c r="AB8748" s="117">
        <f t="shared" si="139"/>
        <v>0</v>
      </c>
      <c r="AC8748" s="117" t="str">
        <f>IF(AB8748=1,COUNTIF($AB$3:AB8748,1),"")</f>
        <v/>
      </c>
      <c r="AD8748" s="117" t="str">
        <f>IFERROR(INDEX($AA$3:$AA$10000,MATCH(ROWS($AC$3:AC8748),$AC$3:$AC$10000,0)),"")</f>
        <v/>
      </c>
    </row>
    <row r="8749" spans="27:30">
      <c r="AA8749" s="117">
        <f>+'Ingredient List - Mother Tinctu'!D8750</f>
        <v>0</v>
      </c>
      <c r="AB8749" s="117">
        <f t="shared" si="139"/>
        <v>0</v>
      </c>
      <c r="AC8749" s="117" t="str">
        <f>IF(AB8749=1,COUNTIF($AB$3:AB8749,1),"")</f>
        <v/>
      </c>
      <c r="AD8749" s="117" t="str">
        <f>IFERROR(INDEX($AA$3:$AA$10000,MATCH(ROWS($AC$3:AC8749),$AC$3:$AC$10000,0)),"")</f>
        <v/>
      </c>
    </row>
    <row r="8750" spans="27:30">
      <c r="AA8750" s="117">
        <f>+'Ingredient List - Mother Tinctu'!D8751</f>
        <v>0</v>
      </c>
      <c r="AB8750" s="117">
        <f t="shared" si="139"/>
        <v>0</v>
      </c>
      <c r="AC8750" s="117" t="str">
        <f>IF(AB8750=1,COUNTIF($AB$3:AB8750,1),"")</f>
        <v/>
      </c>
      <c r="AD8750" s="117" t="str">
        <f>IFERROR(INDEX($AA$3:$AA$10000,MATCH(ROWS($AC$3:AC8750),$AC$3:$AC$10000,0)),"")</f>
        <v/>
      </c>
    </row>
    <row r="8751" spans="27:30">
      <c r="AA8751" s="117">
        <f>+'Ingredient List - Mother Tinctu'!D8752</f>
        <v>0</v>
      </c>
      <c r="AB8751" s="117">
        <f t="shared" si="139"/>
        <v>0</v>
      </c>
      <c r="AC8751" s="117" t="str">
        <f>IF(AB8751=1,COUNTIF($AB$3:AB8751,1),"")</f>
        <v/>
      </c>
      <c r="AD8751" s="117" t="str">
        <f>IFERROR(INDEX($AA$3:$AA$10000,MATCH(ROWS($AC$3:AC8751),$AC$3:$AC$10000,0)),"")</f>
        <v/>
      </c>
    </row>
    <row r="8752" spans="27:30">
      <c r="AA8752" s="117">
        <f>+'Ingredient List - Mother Tinctu'!D8753</f>
        <v>0</v>
      </c>
      <c r="AB8752" s="117">
        <f t="shared" si="139"/>
        <v>0</v>
      </c>
      <c r="AC8752" s="117" t="str">
        <f>IF(AB8752=1,COUNTIF($AB$3:AB8752,1),"")</f>
        <v/>
      </c>
      <c r="AD8752" s="117" t="str">
        <f>IFERROR(INDEX($AA$3:$AA$10000,MATCH(ROWS($AC$3:AC8752),$AC$3:$AC$10000,0)),"")</f>
        <v/>
      </c>
    </row>
    <row r="8753" spans="27:30">
      <c r="AA8753" s="117">
        <f>+'Ingredient List - Mother Tinctu'!D8754</f>
        <v>0</v>
      </c>
      <c r="AB8753" s="117">
        <f t="shared" si="139"/>
        <v>0</v>
      </c>
      <c r="AC8753" s="117" t="str">
        <f>IF(AB8753=1,COUNTIF($AB$3:AB8753,1),"")</f>
        <v/>
      </c>
      <c r="AD8753" s="117" t="str">
        <f>IFERROR(INDEX($AA$3:$AA$10000,MATCH(ROWS($AC$3:AC8753),$AC$3:$AC$10000,0)),"")</f>
        <v/>
      </c>
    </row>
    <row r="8754" spans="27:30">
      <c r="AA8754" s="117">
        <f>+'Ingredient List - Mother Tinctu'!D8755</f>
        <v>0</v>
      </c>
      <c r="AB8754" s="117">
        <f t="shared" si="139"/>
        <v>0</v>
      </c>
      <c r="AC8754" s="117" t="str">
        <f>IF(AB8754=1,COUNTIF($AB$3:AB8754,1),"")</f>
        <v/>
      </c>
      <c r="AD8754" s="117" t="str">
        <f>IFERROR(INDEX($AA$3:$AA$10000,MATCH(ROWS($AC$3:AC8754),$AC$3:$AC$10000,0)),"")</f>
        <v/>
      </c>
    </row>
    <row r="8755" spans="27:30">
      <c r="AA8755" s="117">
        <f>+'Ingredient List - Mother Tinctu'!D8756</f>
        <v>0</v>
      </c>
      <c r="AB8755" s="117">
        <f t="shared" si="139"/>
        <v>0</v>
      </c>
      <c r="AC8755" s="117" t="str">
        <f>IF(AB8755=1,COUNTIF($AB$3:AB8755,1),"")</f>
        <v/>
      </c>
      <c r="AD8755" s="117" t="str">
        <f>IFERROR(INDEX($AA$3:$AA$10000,MATCH(ROWS($AC$3:AC8755),$AC$3:$AC$10000,0)),"")</f>
        <v/>
      </c>
    </row>
    <row r="8756" spans="27:30">
      <c r="AA8756" s="117">
        <f>+'Ingredient List - Mother Tinctu'!D8757</f>
        <v>0</v>
      </c>
      <c r="AB8756" s="117">
        <f t="shared" si="139"/>
        <v>0</v>
      </c>
      <c r="AC8756" s="117" t="str">
        <f>IF(AB8756=1,COUNTIF($AB$3:AB8756,1),"")</f>
        <v/>
      </c>
      <c r="AD8756" s="117" t="str">
        <f>IFERROR(INDEX($AA$3:$AA$10000,MATCH(ROWS($AC$3:AC8756),$AC$3:$AC$10000,0)),"")</f>
        <v/>
      </c>
    </row>
    <row r="8757" spans="27:30">
      <c r="AA8757" s="117">
        <f>+'Ingredient List - Mother Tinctu'!D8758</f>
        <v>0</v>
      </c>
      <c r="AB8757" s="117">
        <f t="shared" si="139"/>
        <v>0</v>
      </c>
      <c r="AC8757" s="117" t="str">
        <f>IF(AB8757=1,COUNTIF($AB$3:AB8757,1),"")</f>
        <v/>
      </c>
      <c r="AD8757" s="117" t="str">
        <f>IFERROR(INDEX($AA$3:$AA$10000,MATCH(ROWS($AC$3:AC8757),$AC$3:$AC$10000,0)),"")</f>
        <v/>
      </c>
    </row>
    <row r="8758" spans="27:30">
      <c r="AA8758" s="117">
        <f>+'Ingredient List - Mother Tinctu'!D8759</f>
        <v>0</v>
      </c>
      <c r="AB8758" s="117">
        <f t="shared" si="139"/>
        <v>0</v>
      </c>
      <c r="AC8758" s="117" t="str">
        <f>IF(AB8758=1,COUNTIF($AB$3:AB8758,1),"")</f>
        <v/>
      </c>
      <c r="AD8758" s="117" t="str">
        <f>IFERROR(INDEX($AA$3:$AA$10000,MATCH(ROWS($AC$3:AC8758),$AC$3:$AC$10000,0)),"")</f>
        <v/>
      </c>
    </row>
    <row r="8759" spans="27:30">
      <c r="AA8759" s="117">
        <f>+'Ingredient List - Mother Tinctu'!D8760</f>
        <v>0</v>
      </c>
      <c r="AB8759" s="117">
        <f t="shared" si="139"/>
        <v>0</v>
      </c>
      <c r="AC8759" s="117" t="str">
        <f>IF(AB8759=1,COUNTIF($AB$3:AB8759,1),"")</f>
        <v/>
      </c>
      <c r="AD8759" s="117" t="str">
        <f>IFERROR(INDEX($AA$3:$AA$10000,MATCH(ROWS($AC$3:AC8759),$AC$3:$AC$10000,0)),"")</f>
        <v/>
      </c>
    </row>
    <row r="8760" spans="27:30">
      <c r="AA8760" s="117">
        <f>+'Ingredient List - Mother Tinctu'!D8761</f>
        <v>0</v>
      </c>
      <c r="AB8760" s="117">
        <f t="shared" si="139"/>
        <v>0</v>
      </c>
      <c r="AC8760" s="117" t="str">
        <f>IF(AB8760=1,COUNTIF($AB$3:AB8760,1),"")</f>
        <v/>
      </c>
      <c r="AD8760" s="117" t="str">
        <f>IFERROR(INDEX($AA$3:$AA$10000,MATCH(ROWS($AC$3:AC8760),$AC$3:$AC$10000,0)),"")</f>
        <v/>
      </c>
    </row>
    <row r="8761" spans="27:30">
      <c r="AA8761" s="117">
        <f>+'Ingredient List - Mother Tinctu'!D8762</f>
        <v>0</v>
      </c>
      <c r="AB8761" s="117">
        <f t="shared" si="139"/>
        <v>0</v>
      </c>
      <c r="AC8761" s="117" t="str">
        <f>IF(AB8761=1,COUNTIF($AB$3:AB8761,1),"")</f>
        <v/>
      </c>
      <c r="AD8761" s="117" t="str">
        <f>IFERROR(INDEX($AA$3:$AA$10000,MATCH(ROWS($AC$3:AC8761),$AC$3:$AC$10000,0)),"")</f>
        <v/>
      </c>
    </row>
    <row r="8762" spans="27:30">
      <c r="AA8762" s="117">
        <f>+'Ingredient List - Mother Tinctu'!D8763</f>
        <v>0</v>
      </c>
      <c r="AB8762" s="117">
        <f t="shared" si="139"/>
        <v>0</v>
      </c>
      <c r="AC8762" s="117" t="str">
        <f>IF(AB8762=1,COUNTIF($AB$3:AB8762,1),"")</f>
        <v/>
      </c>
      <c r="AD8762" s="117" t="str">
        <f>IFERROR(INDEX($AA$3:$AA$10000,MATCH(ROWS($AC$3:AC8762),$AC$3:$AC$10000,0)),"")</f>
        <v/>
      </c>
    </row>
    <row r="8763" spans="27:30">
      <c r="AA8763" s="117">
        <f>+'Ingredient List - Mother Tinctu'!D8764</f>
        <v>0</v>
      </c>
      <c r="AB8763" s="117">
        <f t="shared" si="139"/>
        <v>0</v>
      </c>
      <c r="AC8763" s="117" t="str">
        <f>IF(AB8763=1,COUNTIF($AB$3:AB8763,1),"")</f>
        <v/>
      </c>
      <c r="AD8763" s="117" t="str">
        <f>IFERROR(INDEX($AA$3:$AA$10000,MATCH(ROWS($AC$3:AC8763),$AC$3:$AC$10000,0)),"")</f>
        <v/>
      </c>
    </row>
    <row r="8764" spans="27:30">
      <c r="AA8764" s="117">
        <f>+'Ingredient List - Mother Tinctu'!D8765</f>
        <v>0</v>
      </c>
      <c r="AB8764" s="117">
        <f t="shared" si="139"/>
        <v>0</v>
      </c>
      <c r="AC8764" s="117" t="str">
        <f>IF(AB8764=1,COUNTIF($AB$3:AB8764,1),"")</f>
        <v/>
      </c>
      <c r="AD8764" s="117" t="str">
        <f>IFERROR(INDEX($AA$3:$AA$10000,MATCH(ROWS($AC$3:AC8764),$AC$3:$AC$10000,0)),"")</f>
        <v/>
      </c>
    </row>
    <row r="8765" spans="27:30">
      <c r="AA8765" s="117">
        <f>+'Ingredient List - Mother Tinctu'!D8766</f>
        <v>0</v>
      </c>
      <c r="AB8765" s="117">
        <f t="shared" si="139"/>
        <v>0</v>
      </c>
      <c r="AC8765" s="117" t="str">
        <f>IF(AB8765=1,COUNTIF($AB$3:AB8765,1),"")</f>
        <v/>
      </c>
      <c r="AD8765" s="117" t="str">
        <f>IFERROR(INDEX($AA$3:$AA$10000,MATCH(ROWS($AC$3:AC8765),$AC$3:$AC$10000,0)),"")</f>
        <v/>
      </c>
    </row>
    <row r="8766" spans="27:30">
      <c r="AA8766" s="117">
        <f>+'Ingredient List - Mother Tinctu'!D8767</f>
        <v>0</v>
      </c>
      <c r="AB8766" s="117">
        <f t="shared" si="139"/>
        <v>0</v>
      </c>
      <c r="AC8766" s="117" t="str">
        <f>IF(AB8766=1,COUNTIF($AB$3:AB8766,1),"")</f>
        <v/>
      </c>
      <c r="AD8766" s="117" t="str">
        <f>IFERROR(INDEX($AA$3:$AA$10000,MATCH(ROWS($AC$3:AC8766),$AC$3:$AC$10000,0)),"")</f>
        <v/>
      </c>
    </row>
    <row r="8767" spans="27:30">
      <c r="AA8767" s="117">
        <f>+'Ingredient List - Mother Tinctu'!D8768</f>
        <v>0</v>
      </c>
      <c r="AB8767" s="117">
        <f t="shared" si="139"/>
        <v>0</v>
      </c>
      <c r="AC8767" s="117" t="str">
        <f>IF(AB8767=1,COUNTIF($AB$3:AB8767,1),"")</f>
        <v/>
      </c>
      <c r="AD8767" s="117" t="str">
        <f>IFERROR(INDEX($AA$3:$AA$10000,MATCH(ROWS($AC$3:AC8767),$AC$3:$AC$10000,0)),"")</f>
        <v/>
      </c>
    </row>
    <row r="8768" spans="27:30">
      <c r="AA8768" s="117">
        <f>+'Ingredient List - Mother Tinctu'!D8769</f>
        <v>0</v>
      </c>
      <c r="AB8768" s="117">
        <f t="shared" si="139"/>
        <v>0</v>
      </c>
      <c r="AC8768" s="117" t="str">
        <f>IF(AB8768=1,COUNTIF($AB$3:AB8768,1),"")</f>
        <v/>
      </c>
      <c r="AD8768" s="117" t="str">
        <f>IFERROR(INDEX($AA$3:$AA$10000,MATCH(ROWS($AC$3:AC8768),$AC$3:$AC$10000,0)),"")</f>
        <v/>
      </c>
    </row>
    <row r="8769" spans="27:30">
      <c r="AA8769" s="117">
        <f>+'Ingredient List - Mother Tinctu'!D8770</f>
        <v>0</v>
      </c>
      <c r="AB8769" s="117">
        <f t="shared" si="139"/>
        <v>0</v>
      </c>
      <c r="AC8769" s="117" t="str">
        <f>IF(AB8769=1,COUNTIF($AB$3:AB8769,1),"")</f>
        <v/>
      </c>
      <c r="AD8769" s="117" t="str">
        <f>IFERROR(INDEX($AA$3:$AA$10000,MATCH(ROWS($AC$3:AC8769),$AC$3:$AC$10000,0)),"")</f>
        <v/>
      </c>
    </row>
    <row r="8770" spans="27:30">
      <c r="AA8770" s="117">
        <f>+'Ingredient List - Mother Tinctu'!D8771</f>
        <v>0</v>
      </c>
      <c r="AB8770" s="117">
        <f t="shared" si="139"/>
        <v>0</v>
      </c>
      <c r="AC8770" s="117" t="str">
        <f>IF(AB8770=1,COUNTIF($AB$3:AB8770,1),"")</f>
        <v/>
      </c>
      <c r="AD8770" s="117" t="str">
        <f>IFERROR(INDEX($AA$3:$AA$10000,MATCH(ROWS($AC$3:AC8770),$AC$3:$AC$10000,0)),"")</f>
        <v/>
      </c>
    </row>
    <row r="8771" spans="27:30">
      <c r="AA8771" s="117">
        <f>+'Ingredient List - Mother Tinctu'!D8772</f>
        <v>0</v>
      </c>
      <c r="AB8771" s="117">
        <f t="shared" si="139"/>
        <v>0</v>
      </c>
      <c r="AC8771" s="117" t="str">
        <f>IF(AB8771=1,COUNTIF($AB$3:AB8771,1),"")</f>
        <v/>
      </c>
      <c r="AD8771" s="117" t="str">
        <f>IFERROR(INDEX($AA$3:$AA$10000,MATCH(ROWS($AC$3:AC8771),$AC$3:$AC$10000,0)),"")</f>
        <v/>
      </c>
    </row>
    <row r="8772" spans="27:30">
      <c r="AA8772" s="117">
        <f>+'Ingredient List - Mother Tinctu'!D8773</f>
        <v>0</v>
      </c>
      <c r="AB8772" s="117">
        <f t="shared" ref="AB8772:AB8835" si="140">--ISNUMBER(IFERROR(SEARCH($D$3,AA8772,1),""))</f>
        <v>0</v>
      </c>
      <c r="AC8772" s="117" t="str">
        <f>IF(AB8772=1,COUNTIF($AB$3:AB8772,1),"")</f>
        <v/>
      </c>
      <c r="AD8772" s="117" t="str">
        <f>IFERROR(INDEX($AA$3:$AA$10000,MATCH(ROWS($AC$3:AC8772),$AC$3:$AC$10000,0)),"")</f>
        <v/>
      </c>
    </row>
    <row r="8773" spans="27:30">
      <c r="AA8773" s="117">
        <f>+'Ingredient List - Mother Tinctu'!D8774</f>
        <v>0</v>
      </c>
      <c r="AB8773" s="117">
        <f t="shared" si="140"/>
        <v>0</v>
      </c>
      <c r="AC8773" s="117" t="str">
        <f>IF(AB8773=1,COUNTIF($AB$3:AB8773,1),"")</f>
        <v/>
      </c>
      <c r="AD8773" s="117" t="str">
        <f>IFERROR(INDEX($AA$3:$AA$10000,MATCH(ROWS($AC$3:AC8773),$AC$3:$AC$10000,0)),"")</f>
        <v/>
      </c>
    </row>
    <row r="8774" spans="27:30">
      <c r="AA8774" s="117">
        <f>+'Ingredient List - Mother Tinctu'!D8775</f>
        <v>0</v>
      </c>
      <c r="AB8774" s="117">
        <f t="shared" si="140"/>
        <v>0</v>
      </c>
      <c r="AC8774" s="117" t="str">
        <f>IF(AB8774=1,COUNTIF($AB$3:AB8774,1),"")</f>
        <v/>
      </c>
      <c r="AD8774" s="117" t="str">
        <f>IFERROR(INDEX($AA$3:$AA$10000,MATCH(ROWS($AC$3:AC8774),$AC$3:$AC$10000,0)),"")</f>
        <v/>
      </c>
    </row>
    <row r="8775" spans="27:30">
      <c r="AA8775" s="117">
        <f>+'Ingredient List - Mother Tinctu'!D8776</f>
        <v>0</v>
      </c>
      <c r="AB8775" s="117">
        <f t="shared" si="140"/>
        <v>0</v>
      </c>
      <c r="AC8775" s="117" t="str">
        <f>IF(AB8775=1,COUNTIF($AB$3:AB8775,1),"")</f>
        <v/>
      </c>
      <c r="AD8775" s="117" t="str">
        <f>IFERROR(INDEX($AA$3:$AA$10000,MATCH(ROWS($AC$3:AC8775),$AC$3:$AC$10000,0)),"")</f>
        <v/>
      </c>
    </row>
    <row r="8776" spans="27:30">
      <c r="AA8776" s="117">
        <f>+'Ingredient List - Mother Tinctu'!D8777</f>
        <v>0</v>
      </c>
      <c r="AB8776" s="117">
        <f t="shared" si="140"/>
        <v>0</v>
      </c>
      <c r="AC8776" s="117" t="str">
        <f>IF(AB8776=1,COUNTIF($AB$3:AB8776,1),"")</f>
        <v/>
      </c>
      <c r="AD8776" s="117" t="str">
        <f>IFERROR(INDEX($AA$3:$AA$10000,MATCH(ROWS($AC$3:AC8776),$AC$3:$AC$10000,0)),"")</f>
        <v/>
      </c>
    </row>
    <row r="8777" spans="27:30">
      <c r="AA8777" s="117">
        <f>+'Ingredient List - Mother Tinctu'!D8778</f>
        <v>0</v>
      </c>
      <c r="AB8777" s="117">
        <f t="shared" si="140"/>
        <v>0</v>
      </c>
      <c r="AC8777" s="117" t="str">
        <f>IF(AB8777=1,COUNTIF($AB$3:AB8777,1),"")</f>
        <v/>
      </c>
      <c r="AD8777" s="117" t="str">
        <f>IFERROR(INDEX($AA$3:$AA$10000,MATCH(ROWS($AC$3:AC8777),$AC$3:$AC$10000,0)),"")</f>
        <v/>
      </c>
    </row>
    <row r="8778" spans="27:30">
      <c r="AA8778" s="117">
        <f>+'Ingredient List - Mother Tinctu'!D8779</f>
        <v>0</v>
      </c>
      <c r="AB8778" s="117">
        <f t="shared" si="140"/>
        <v>0</v>
      </c>
      <c r="AC8778" s="117" t="str">
        <f>IF(AB8778=1,COUNTIF($AB$3:AB8778,1),"")</f>
        <v/>
      </c>
      <c r="AD8778" s="117" t="str">
        <f>IFERROR(INDEX($AA$3:$AA$10000,MATCH(ROWS($AC$3:AC8778),$AC$3:$AC$10000,0)),"")</f>
        <v/>
      </c>
    </row>
    <row r="8779" spans="27:30">
      <c r="AA8779" s="117">
        <f>+'Ingredient List - Mother Tinctu'!D8780</f>
        <v>0</v>
      </c>
      <c r="AB8779" s="117">
        <f t="shared" si="140"/>
        <v>0</v>
      </c>
      <c r="AC8779" s="117" t="str">
        <f>IF(AB8779=1,COUNTIF($AB$3:AB8779,1),"")</f>
        <v/>
      </c>
      <c r="AD8779" s="117" t="str">
        <f>IFERROR(INDEX($AA$3:$AA$10000,MATCH(ROWS($AC$3:AC8779),$AC$3:$AC$10000,0)),"")</f>
        <v/>
      </c>
    </row>
    <row r="8780" spans="27:30">
      <c r="AA8780" s="117">
        <f>+'Ingredient List - Mother Tinctu'!D8781</f>
        <v>0</v>
      </c>
      <c r="AB8780" s="117">
        <f t="shared" si="140"/>
        <v>0</v>
      </c>
      <c r="AC8780" s="117" t="str">
        <f>IF(AB8780=1,COUNTIF($AB$3:AB8780,1),"")</f>
        <v/>
      </c>
      <c r="AD8780" s="117" t="str">
        <f>IFERROR(INDEX($AA$3:$AA$10000,MATCH(ROWS($AC$3:AC8780),$AC$3:$AC$10000,0)),"")</f>
        <v/>
      </c>
    </row>
    <row r="8781" spans="27:30">
      <c r="AA8781" s="117">
        <f>+'Ingredient List - Mother Tinctu'!D8782</f>
        <v>0</v>
      </c>
      <c r="AB8781" s="117">
        <f t="shared" si="140"/>
        <v>0</v>
      </c>
      <c r="AC8781" s="117" t="str">
        <f>IF(AB8781=1,COUNTIF($AB$3:AB8781,1),"")</f>
        <v/>
      </c>
      <c r="AD8781" s="117" t="str">
        <f>IFERROR(INDEX($AA$3:$AA$10000,MATCH(ROWS($AC$3:AC8781),$AC$3:$AC$10000,0)),"")</f>
        <v/>
      </c>
    </row>
    <row r="8782" spans="27:30">
      <c r="AA8782" s="117">
        <f>+'Ingredient List - Mother Tinctu'!D8783</f>
        <v>0</v>
      </c>
      <c r="AB8782" s="117">
        <f t="shared" si="140"/>
        <v>0</v>
      </c>
      <c r="AC8782" s="117" t="str">
        <f>IF(AB8782=1,COUNTIF($AB$3:AB8782,1),"")</f>
        <v/>
      </c>
      <c r="AD8782" s="117" t="str">
        <f>IFERROR(INDEX($AA$3:$AA$10000,MATCH(ROWS($AC$3:AC8782),$AC$3:$AC$10000,0)),"")</f>
        <v/>
      </c>
    </row>
    <row r="8783" spans="27:30">
      <c r="AA8783" s="117">
        <f>+'Ingredient List - Mother Tinctu'!D8784</f>
        <v>0</v>
      </c>
      <c r="AB8783" s="117">
        <f t="shared" si="140"/>
        <v>0</v>
      </c>
      <c r="AC8783" s="117" t="str">
        <f>IF(AB8783=1,COUNTIF($AB$3:AB8783,1),"")</f>
        <v/>
      </c>
      <c r="AD8783" s="117" t="str">
        <f>IFERROR(INDEX($AA$3:$AA$10000,MATCH(ROWS($AC$3:AC8783),$AC$3:$AC$10000,0)),"")</f>
        <v/>
      </c>
    </row>
    <row r="8784" spans="27:30">
      <c r="AA8784" s="117">
        <f>+'Ingredient List - Mother Tinctu'!D8785</f>
        <v>0</v>
      </c>
      <c r="AB8784" s="117">
        <f t="shared" si="140"/>
        <v>0</v>
      </c>
      <c r="AC8784" s="117" t="str">
        <f>IF(AB8784=1,COUNTIF($AB$3:AB8784,1),"")</f>
        <v/>
      </c>
      <c r="AD8784" s="117" t="str">
        <f>IFERROR(INDEX($AA$3:$AA$10000,MATCH(ROWS($AC$3:AC8784),$AC$3:$AC$10000,0)),"")</f>
        <v/>
      </c>
    </row>
    <row r="8785" spans="27:30">
      <c r="AA8785" s="117">
        <f>+'Ingredient List - Mother Tinctu'!D8786</f>
        <v>0</v>
      </c>
      <c r="AB8785" s="117">
        <f t="shared" si="140"/>
        <v>0</v>
      </c>
      <c r="AC8785" s="117" t="str">
        <f>IF(AB8785=1,COUNTIF($AB$3:AB8785,1),"")</f>
        <v/>
      </c>
      <c r="AD8785" s="117" t="str">
        <f>IFERROR(INDEX($AA$3:$AA$10000,MATCH(ROWS($AC$3:AC8785),$AC$3:$AC$10000,0)),"")</f>
        <v/>
      </c>
    </row>
    <row r="8786" spans="27:30">
      <c r="AA8786" s="117">
        <f>+'Ingredient List - Mother Tinctu'!D8787</f>
        <v>0</v>
      </c>
      <c r="AB8786" s="117">
        <f t="shared" si="140"/>
        <v>0</v>
      </c>
      <c r="AC8786" s="117" t="str">
        <f>IF(AB8786=1,COUNTIF($AB$3:AB8786,1),"")</f>
        <v/>
      </c>
      <c r="AD8786" s="117" t="str">
        <f>IFERROR(INDEX($AA$3:$AA$10000,MATCH(ROWS($AC$3:AC8786),$AC$3:$AC$10000,0)),"")</f>
        <v/>
      </c>
    </row>
    <row r="8787" spans="27:30">
      <c r="AA8787" s="117">
        <f>+'Ingredient List - Mother Tinctu'!D8788</f>
        <v>0</v>
      </c>
      <c r="AB8787" s="117">
        <f t="shared" si="140"/>
        <v>0</v>
      </c>
      <c r="AC8787" s="117" t="str">
        <f>IF(AB8787=1,COUNTIF($AB$3:AB8787,1),"")</f>
        <v/>
      </c>
      <c r="AD8787" s="117" t="str">
        <f>IFERROR(INDEX($AA$3:$AA$10000,MATCH(ROWS($AC$3:AC8787),$AC$3:$AC$10000,0)),"")</f>
        <v/>
      </c>
    </row>
    <row r="8788" spans="27:30">
      <c r="AA8788" s="117">
        <f>+'Ingredient List - Mother Tinctu'!D8789</f>
        <v>0</v>
      </c>
      <c r="AB8788" s="117">
        <f t="shared" si="140"/>
        <v>0</v>
      </c>
      <c r="AC8788" s="117" t="str">
        <f>IF(AB8788=1,COUNTIF($AB$3:AB8788,1),"")</f>
        <v/>
      </c>
      <c r="AD8788" s="117" t="str">
        <f>IFERROR(INDEX($AA$3:$AA$10000,MATCH(ROWS($AC$3:AC8788),$AC$3:$AC$10000,0)),"")</f>
        <v/>
      </c>
    </row>
    <row r="8789" spans="27:30">
      <c r="AA8789" s="117">
        <f>+'Ingredient List - Mother Tinctu'!D8790</f>
        <v>0</v>
      </c>
      <c r="AB8789" s="117">
        <f t="shared" si="140"/>
        <v>0</v>
      </c>
      <c r="AC8789" s="117" t="str">
        <f>IF(AB8789=1,COUNTIF($AB$3:AB8789,1),"")</f>
        <v/>
      </c>
      <c r="AD8789" s="117" t="str">
        <f>IFERROR(INDEX($AA$3:$AA$10000,MATCH(ROWS($AC$3:AC8789),$AC$3:$AC$10000,0)),"")</f>
        <v/>
      </c>
    </row>
    <row r="8790" spans="27:30">
      <c r="AA8790" s="117">
        <f>+'Ingredient List - Mother Tinctu'!D8791</f>
        <v>0</v>
      </c>
      <c r="AB8790" s="117">
        <f t="shared" si="140"/>
        <v>0</v>
      </c>
      <c r="AC8790" s="117" t="str">
        <f>IF(AB8790=1,COUNTIF($AB$3:AB8790,1),"")</f>
        <v/>
      </c>
      <c r="AD8790" s="117" t="str">
        <f>IFERROR(INDEX($AA$3:$AA$10000,MATCH(ROWS($AC$3:AC8790),$AC$3:$AC$10000,0)),"")</f>
        <v/>
      </c>
    </row>
    <row r="8791" spans="27:30">
      <c r="AA8791" s="117">
        <f>+'Ingredient List - Mother Tinctu'!D8792</f>
        <v>0</v>
      </c>
      <c r="AB8791" s="117">
        <f t="shared" si="140"/>
        <v>0</v>
      </c>
      <c r="AC8791" s="117" t="str">
        <f>IF(AB8791=1,COUNTIF($AB$3:AB8791,1),"")</f>
        <v/>
      </c>
      <c r="AD8791" s="117" t="str">
        <f>IFERROR(INDEX($AA$3:$AA$10000,MATCH(ROWS($AC$3:AC8791),$AC$3:$AC$10000,0)),"")</f>
        <v/>
      </c>
    </row>
    <row r="8792" spans="27:30">
      <c r="AA8792" s="117">
        <f>+'Ingredient List - Mother Tinctu'!D8793</f>
        <v>0</v>
      </c>
      <c r="AB8792" s="117">
        <f t="shared" si="140"/>
        <v>0</v>
      </c>
      <c r="AC8792" s="117" t="str">
        <f>IF(AB8792=1,COUNTIF($AB$3:AB8792,1),"")</f>
        <v/>
      </c>
      <c r="AD8792" s="117" t="str">
        <f>IFERROR(INDEX($AA$3:$AA$10000,MATCH(ROWS($AC$3:AC8792),$AC$3:$AC$10000,0)),"")</f>
        <v/>
      </c>
    </row>
    <row r="8793" spans="27:30">
      <c r="AA8793" s="117">
        <f>+'Ingredient List - Mother Tinctu'!D8794</f>
        <v>0</v>
      </c>
      <c r="AB8793" s="117">
        <f t="shared" si="140"/>
        <v>0</v>
      </c>
      <c r="AC8793" s="117" t="str">
        <f>IF(AB8793=1,COUNTIF($AB$3:AB8793,1),"")</f>
        <v/>
      </c>
      <c r="AD8793" s="117" t="str">
        <f>IFERROR(INDEX($AA$3:$AA$10000,MATCH(ROWS($AC$3:AC8793),$AC$3:$AC$10000,0)),"")</f>
        <v/>
      </c>
    </row>
    <row r="8794" spans="27:30">
      <c r="AA8794" s="117">
        <f>+'Ingredient List - Mother Tinctu'!D8795</f>
        <v>0</v>
      </c>
      <c r="AB8794" s="117">
        <f t="shared" si="140"/>
        <v>0</v>
      </c>
      <c r="AC8794" s="117" t="str">
        <f>IF(AB8794=1,COUNTIF($AB$3:AB8794,1),"")</f>
        <v/>
      </c>
      <c r="AD8794" s="117" t="str">
        <f>IFERROR(INDEX($AA$3:$AA$10000,MATCH(ROWS($AC$3:AC8794),$AC$3:$AC$10000,0)),"")</f>
        <v/>
      </c>
    </row>
    <row r="8795" spans="27:30">
      <c r="AA8795" s="117">
        <f>+'Ingredient List - Mother Tinctu'!D8796</f>
        <v>0</v>
      </c>
      <c r="AB8795" s="117">
        <f t="shared" si="140"/>
        <v>0</v>
      </c>
      <c r="AC8795" s="117" t="str">
        <f>IF(AB8795=1,COUNTIF($AB$3:AB8795,1),"")</f>
        <v/>
      </c>
      <c r="AD8795" s="117" t="str">
        <f>IFERROR(INDEX($AA$3:$AA$10000,MATCH(ROWS($AC$3:AC8795),$AC$3:$AC$10000,0)),"")</f>
        <v/>
      </c>
    </row>
    <row r="8796" spans="27:30">
      <c r="AA8796" s="117">
        <f>+'Ingredient List - Mother Tinctu'!D8797</f>
        <v>0</v>
      </c>
      <c r="AB8796" s="117">
        <f t="shared" si="140"/>
        <v>0</v>
      </c>
      <c r="AC8796" s="117" t="str">
        <f>IF(AB8796=1,COUNTIF($AB$3:AB8796,1),"")</f>
        <v/>
      </c>
      <c r="AD8796" s="117" t="str">
        <f>IFERROR(INDEX($AA$3:$AA$10000,MATCH(ROWS($AC$3:AC8796),$AC$3:$AC$10000,0)),"")</f>
        <v/>
      </c>
    </row>
    <row r="8797" spans="27:30">
      <c r="AA8797" s="117">
        <f>+'Ingredient List - Mother Tinctu'!D8798</f>
        <v>0</v>
      </c>
      <c r="AB8797" s="117">
        <f t="shared" si="140"/>
        <v>0</v>
      </c>
      <c r="AC8797" s="117" t="str">
        <f>IF(AB8797=1,COUNTIF($AB$3:AB8797,1),"")</f>
        <v/>
      </c>
      <c r="AD8797" s="117" t="str">
        <f>IFERROR(INDEX($AA$3:$AA$10000,MATCH(ROWS($AC$3:AC8797),$AC$3:$AC$10000,0)),"")</f>
        <v/>
      </c>
    </row>
    <row r="8798" spans="27:30">
      <c r="AA8798" s="117">
        <f>+'Ingredient List - Mother Tinctu'!D8799</f>
        <v>0</v>
      </c>
      <c r="AB8798" s="117">
        <f t="shared" si="140"/>
        <v>0</v>
      </c>
      <c r="AC8798" s="117" t="str">
        <f>IF(AB8798=1,COUNTIF($AB$3:AB8798,1),"")</f>
        <v/>
      </c>
      <c r="AD8798" s="117" t="str">
        <f>IFERROR(INDEX($AA$3:$AA$10000,MATCH(ROWS($AC$3:AC8798),$AC$3:$AC$10000,0)),"")</f>
        <v/>
      </c>
    </row>
    <row r="8799" spans="27:30">
      <c r="AA8799" s="117">
        <f>+'Ingredient List - Mother Tinctu'!D8800</f>
        <v>0</v>
      </c>
      <c r="AB8799" s="117">
        <f t="shared" si="140"/>
        <v>0</v>
      </c>
      <c r="AC8799" s="117" t="str">
        <f>IF(AB8799=1,COUNTIF($AB$3:AB8799,1),"")</f>
        <v/>
      </c>
      <c r="AD8799" s="117" t="str">
        <f>IFERROR(INDEX($AA$3:$AA$10000,MATCH(ROWS($AC$3:AC8799),$AC$3:$AC$10000,0)),"")</f>
        <v/>
      </c>
    </row>
    <row r="8800" spans="27:30">
      <c r="AA8800" s="117">
        <f>+'Ingredient List - Mother Tinctu'!D8801</f>
        <v>0</v>
      </c>
      <c r="AB8800" s="117">
        <f t="shared" si="140"/>
        <v>0</v>
      </c>
      <c r="AC8800" s="117" t="str">
        <f>IF(AB8800=1,COUNTIF($AB$3:AB8800,1),"")</f>
        <v/>
      </c>
      <c r="AD8800" s="117" t="str">
        <f>IFERROR(INDEX($AA$3:$AA$10000,MATCH(ROWS($AC$3:AC8800),$AC$3:$AC$10000,0)),"")</f>
        <v/>
      </c>
    </row>
    <row r="8801" spans="27:30">
      <c r="AA8801" s="117">
        <f>+'Ingredient List - Mother Tinctu'!D8802</f>
        <v>0</v>
      </c>
      <c r="AB8801" s="117">
        <f t="shared" si="140"/>
        <v>0</v>
      </c>
      <c r="AC8801" s="117" t="str">
        <f>IF(AB8801=1,COUNTIF($AB$3:AB8801,1),"")</f>
        <v/>
      </c>
      <c r="AD8801" s="117" t="str">
        <f>IFERROR(INDEX($AA$3:$AA$10000,MATCH(ROWS($AC$3:AC8801),$AC$3:$AC$10000,0)),"")</f>
        <v/>
      </c>
    </row>
    <row r="8802" spans="27:30">
      <c r="AA8802" s="117">
        <f>+'Ingredient List - Mother Tinctu'!D8803</f>
        <v>0</v>
      </c>
      <c r="AB8802" s="117">
        <f t="shared" si="140"/>
        <v>0</v>
      </c>
      <c r="AC8802" s="117" t="str">
        <f>IF(AB8802=1,COUNTIF($AB$3:AB8802,1),"")</f>
        <v/>
      </c>
      <c r="AD8802" s="117" t="str">
        <f>IFERROR(INDEX($AA$3:$AA$10000,MATCH(ROWS($AC$3:AC8802),$AC$3:$AC$10000,0)),"")</f>
        <v/>
      </c>
    </row>
    <row r="8803" spans="27:30">
      <c r="AA8803" s="117">
        <f>+'Ingredient List - Mother Tinctu'!D8804</f>
        <v>0</v>
      </c>
      <c r="AB8803" s="117">
        <f t="shared" si="140"/>
        <v>0</v>
      </c>
      <c r="AC8803" s="117" t="str">
        <f>IF(AB8803=1,COUNTIF($AB$3:AB8803,1),"")</f>
        <v/>
      </c>
      <c r="AD8803" s="117" t="str">
        <f>IFERROR(INDEX($AA$3:$AA$10000,MATCH(ROWS($AC$3:AC8803),$AC$3:$AC$10000,0)),"")</f>
        <v/>
      </c>
    </row>
    <row r="8804" spans="27:30">
      <c r="AA8804" s="117">
        <f>+'Ingredient List - Mother Tinctu'!D8805</f>
        <v>0</v>
      </c>
      <c r="AB8804" s="117">
        <f t="shared" si="140"/>
        <v>0</v>
      </c>
      <c r="AC8804" s="117" t="str">
        <f>IF(AB8804=1,COUNTIF($AB$3:AB8804,1),"")</f>
        <v/>
      </c>
      <c r="AD8804" s="117" t="str">
        <f>IFERROR(INDEX($AA$3:$AA$10000,MATCH(ROWS($AC$3:AC8804),$AC$3:$AC$10000,0)),"")</f>
        <v/>
      </c>
    </row>
    <row r="8805" spans="27:30">
      <c r="AA8805" s="117">
        <f>+'Ingredient List - Mother Tinctu'!D8806</f>
        <v>0</v>
      </c>
      <c r="AB8805" s="117">
        <f t="shared" si="140"/>
        <v>0</v>
      </c>
      <c r="AC8805" s="117" t="str">
        <f>IF(AB8805=1,COUNTIF($AB$3:AB8805,1),"")</f>
        <v/>
      </c>
      <c r="AD8805" s="117" t="str">
        <f>IFERROR(INDEX($AA$3:$AA$10000,MATCH(ROWS($AC$3:AC8805),$AC$3:$AC$10000,0)),"")</f>
        <v/>
      </c>
    </row>
    <row r="8806" spans="27:30">
      <c r="AA8806" s="117">
        <f>+'Ingredient List - Mother Tinctu'!D8807</f>
        <v>0</v>
      </c>
      <c r="AB8806" s="117">
        <f t="shared" si="140"/>
        <v>0</v>
      </c>
      <c r="AC8806" s="117" t="str">
        <f>IF(AB8806=1,COUNTIF($AB$3:AB8806,1),"")</f>
        <v/>
      </c>
      <c r="AD8806" s="117" t="str">
        <f>IFERROR(INDEX($AA$3:$AA$10000,MATCH(ROWS($AC$3:AC8806),$AC$3:$AC$10000,0)),"")</f>
        <v/>
      </c>
    </row>
    <row r="8807" spans="27:30">
      <c r="AA8807" s="117">
        <f>+'Ingredient List - Mother Tinctu'!D8808</f>
        <v>0</v>
      </c>
      <c r="AB8807" s="117">
        <f t="shared" si="140"/>
        <v>0</v>
      </c>
      <c r="AC8807" s="117" t="str">
        <f>IF(AB8807=1,COUNTIF($AB$3:AB8807,1),"")</f>
        <v/>
      </c>
      <c r="AD8807" s="117" t="str">
        <f>IFERROR(INDEX($AA$3:$AA$10000,MATCH(ROWS($AC$3:AC8807),$AC$3:$AC$10000,0)),"")</f>
        <v/>
      </c>
    </row>
    <row r="8808" spans="27:30">
      <c r="AA8808" s="117">
        <f>+'Ingredient List - Mother Tinctu'!D8809</f>
        <v>0</v>
      </c>
      <c r="AB8808" s="117">
        <f t="shared" si="140"/>
        <v>0</v>
      </c>
      <c r="AC8808" s="117" t="str">
        <f>IF(AB8808=1,COUNTIF($AB$3:AB8808,1),"")</f>
        <v/>
      </c>
      <c r="AD8808" s="117" t="str">
        <f>IFERROR(INDEX($AA$3:$AA$10000,MATCH(ROWS($AC$3:AC8808),$AC$3:$AC$10000,0)),"")</f>
        <v/>
      </c>
    </row>
    <row r="8809" spans="27:30">
      <c r="AA8809" s="117">
        <f>+'Ingredient List - Mother Tinctu'!D8810</f>
        <v>0</v>
      </c>
      <c r="AB8809" s="117">
        <f t="shared" si="140"/>
        <v>0</v>
      </c>
      <c r="AC8809" s="117" t="str">
        <f>IF(AB8809=1,COUNTIF($AB$3:AB8809,1),"")</f>
        <v/>
      </c>
      <c r="AD8809" s="117" t="str">
        <f>IFERROR(INDEX($AA$3:$AA$10000,MATCH(ROWS($AC$3:AC8809),$AC$3:$AC$10000,0)),"")</f>
        <v/>
      </c>
    </row>
    <row r="8810" spans="27:30">
      <c r="AA8810" s="117">
        <f>+'Ingredient List - Mother Tinctu'!D8811</f>
        <v>0</v>
      </c>
      <c r="AB8810" s="117">
        <f t="shared" si="140"/>
        <v>0</v>
      </c>
      <c r="AC8810" s="117" t="str">
        <f>IF(AB8810=1,COUNTIF($AB$3:AB8810,1),"")</f>
        <v/>
      </c>
      <c r="AD8810" s="117" t="str">
        <f>IFERROR(INDEX($AA$3:$AA$10000,MATCH(ROWS($AC$3:AC8810),$AC$3:$AC$10000,0)),"")</f>
        <v/>
      </c>
    </row>
    <row r="8811" spans="27:30">
      <c r="AA8811" s="117">
        <f>+'Ingredient List - Mother Tinctu'!D8812</f>
        <v>0</v>
      </c>
      <c r="AB8811" s="117">
        <f t="shared" si="140"/>
        <v>0</v>
      </c>
      <c r="AC8811" s="117" t="str">
        <f>IF(AB8811=1,COUNTIF($AB$3:AB8811,1),"")</f>
        <v/>
      </c>
      <c r="AD8811" s="117" t="str">
        <f>IFERROR(INDEX($AA$3:$AA$10000,MATCH(ROWS($AC$3:AC8811),$AC$3:$AC$10000,0)),"")</f>
        <v/>
      </c>
    </row>
    <row r="8812" spans="27:30">
      <c r="AA8812" s="117">
        <f>+'Ingredient List - Mother Tinctu'!D8813</f>
        <v>0</v>
      </c>
      <c r="AB8812" s="117">
        <f t="shared" si="140"/>
        <v>0</v>
      </c>
      <c r="AC8812" s="117" t="str">
        <f>IF(AB8812=1,COUNTIF($AB$3:AB8812,1),"")</f>
        <v/>
      </c>
      <c r="AD8812" s="117" t="str">
        <f>IFERROR(INDEX($AA$3:$AA$10000,MATCH(ROWS($AC$3:AC8812),$AC$3:$AC$10000,0)),"")</f>
        <v/>
      </c>
    </row>
    <row r="8813" spans="27:30">
      <c r="AA8813" s="117">
        <f>+'Ingredient List - Mother Tinctu'!D8814</f>
        <v>0</v>
      </c>
      <c r="AB8813" s="117">
        <f t="shared" si="140"/>
        <v>0</v>
      </c>
      <c r="AC8813" s="117" t="str">
        <f>IF(AB8813=1,COUNTIF($AB$3:AB8813,1),"")</f>
        <v/>
      </c>
      <c r="AD8813" s="117" t="str">
        <f>IFERROR(INDEX($AA$3:$AA$10000,MATCH(ROWS($AC$3:AC8813),$AC$3:$AC$10000,0)),"")</f>
        <v/>
      </c>
    </row>
    <row r="8814" spans="27:30">
      <c r="AA8814" s="117">
        <f>+'Ingredient List - Mother Tinctu'!D8815</f>
        <v>0</v>
      </c>
      <c r="AB8814" s="117">
        <f t="shared" si="140"/>
        <v>0</v>
      </c>
      <c r="AC8814" s="117" t="str">
        <f>IF(AB8814=1,COUNTIF($AB$3:AB8814,1),"")</f>
        <v/>
      </c>
      <c r="AD8814" s="117" t="str">
        <f>IFERROR(INDEX($AA$3:$AA$10000,MATCH(ROWS($AC$3:AC8814),$AC$3:$AC$10000,0)),"")</f>
        <v/>
      </c>
    </row>
    <row r="8815" spans="27:30">
      <c r="AA8815" s="117">
        <f>+'Ingredient List - Mother Tinctu'!D8816</f>
        <v>0</v>
      </c>
      <c r="AB8815" s="117">
        <f t="shared" si="140"/>
        <v>0</v>
      </c>
      <c r="AC8815" s="117" t="str">
        <f>IF(AB8815=1,COUNTIF($AB$3:AB8815,1),"")</f>
        <v/>
      </c>
      <c r="AD8815" s="117" t="str">
        <f>IFERROR(INDEX($AA$3:$AA$10000,MATCH(ROWS($AC$3:AC8815),$AC$3:$AC$10000,0)),"")</f>
        <v/>
      </c>
    </row>
    <row r="8816" spans="27:30">
      <c r="AA8816" s="117">
        <f>+'Ingredient List - Mother Tinctu'!D8817</f>
        <v>0</v>
      </c>
      <c r="AB8816" s="117">
        <f t="shared" si="140"/>
        <v>0</v>
      </c>
      <c r="AC8816" s="117" t="str">
        <f>IF(AB8816=1,COUNTIF($AB$3:AB8816,1),"")</f>
        <v/>
      </c>
      <c r="AD8816" s="117" t="str">
        <f>IFERROR(INDEX($AA$3:$AA$10000,MATCH(ROWS($AC$3:AC8816),$AC$3:$AC$10000,0)),"")</f>
        <v/>
      </c>
    </row>
    <row r="8817" spans="27:30">
      <c r="AA8817" s="117">
        <f>+'Ingredient List - Mother Tinctu'!D8818</f>
        <v>0</v>
      </c>
      <c r="AB8817" s="117">
        <f t="shared" si="140"/>
        <v>0</v>
      </c>
      <c r="AC8817" s="117" t="str">
        <f>IF(AB8817=1,COUNTIF($AB$3:AB8817,1),"")</f>
        <v/>
      </c>
      <c r="AD8817" s="117" t="str">
        <f>IFERROR(INDEX($AA$3:$AA$10000,MATCH(ROWS($AC$3:AC8817),$AC$3:$AC$10000,0)),"")</f>
        <v/>
      </c>
    </row>
    <row r="8818" spans="27:30">
      <c r="AA8818" s="117">
        <f>+'Ingredient List - Mother Tinctu'!D8819</f>
        <v>0</v>
      </c>
      <c r="AB8818" s="117">
        <f t="shared" si="140"/>
        <v>0</v>
      </c>
      <c r="AC8818" s="117" t="str">
        <f>IF(AB8818=1,COUNTIF($AB$3:AB8818,1),"")</f>
        <v/>
      </c>
      <c r="AD8818" s="117" t="str">
        <f>IFERROR(INDEX($AA$3:$AA$10000,MATCH(ROWS($AC$3:AC8818),$AC$3:$AC$10000,0)),"")</f>
        <v/>
      </c>
    </row>
    <row r="8819" spans="27:30">
      <c r="AA8819" s="117">
        <f>+'Ingredient List - Mother Tinctu'!D8820</f>
        <v>0</v>
      </c>
      <c r="AB8819" s="117">
        <f t="shared" si="140"/>
        <v>0</v>
      </c>
      <c r="AC8819" s="117" t="str">
        <f>IF(AB8819=1,COUNTIF($AB$3:AB8819,1),"")</f>
        <v/>
      </c>
      <c r="AD8819" s="117" t="str">
        <f>IFERROR(INDEX($AA$3:$AA$10000,MATCH(ROWS($AC$3:AC8819),$AC$3:$AC$10000,0)),"")</f>
        <v/>
      </c>
    </row>
    <row r="8820" spans="27:30">
      <c r="AA8820" s="117">
        <f>+'Ingredient List - Mother Tinctu'!D8821</f>
        <v>0</v>
      </c>
      <c r="AB8820" s="117">
        <f t="shared" si="140"/>
        <v>0</v>
      </c>
      <c r="AC8820" s="117" t="str">
        <f>IF(AB8820=1,COUNTIF($AB$3:AB8820,1),"")</f>
        <v/>
      </c>
      <c r="AD8820" s="117" t="str">
        <f>IFERROR(INDEX($AA$3:$AA$10000,MATCH(ROWS($AC$3:AC8820),$AC$3:$AC$10000,0)),"")</f>
        <v/>
      </c>
    </row>
    <row r="8821" spans="27:30">
      <c r="AA8821" s="117">
        <f>+'Ingredient List - Mother Tinctu'!D8822</f>
        <v>0</v>
      </c>
      <c r="AB8821" s="117">
        <f t="shared" si="140"/>
        <v>0</v>
      </c>
      <c r="AC8821" s="117" t="str">
        <f>IF(AB8821=1,COUNTIF($AB$3:AB8821,1),"")</f>
        <v/>
      </c>
      <c r="AD8821" s="117" t="str">
        <f>IFERROR(INDEX($AA$3:$AA$10000,MATCH(ROWS($AC$3:AC8821),$AC$3:$AC$10000,0)),"")</f>
        <v/>
      </c>
    </row>
    <row r="8822" spans="27:30">
      <c r="AA8822" s="117">
        <f>+'Ingredient List - Mother Tinctu'!D8823</f>
        <v>0</v>
      </c>
      <c r="AB8822" s="117">
        <f t="shared" si="140"/>
        <v>0</v>
      </c>
      <c r="AC8822" s="117" t="str">
        <f>IF(AB8822=1,COUNTIF($AB$3:AB8822,1),"")</f>
        <v/>
      </c>
      <c r="AD8822" s="117" t="str">
        <f>IFERROR(INDEX($AA$3:$AA$10000,MATCH(ROWS($AC$3:AC8822),$AC$3:$AC$10000,0)),"")</f>
        <v/>
      </c>
    </row>
    <row r="8823" spans="27:30">
      <c r="AA8823" s="117">
        <f>+'Ingredient List - Mother Tinctu'!D8824</f>
        <v>0</v>
      </c>
      <c r="AB8823" s="117">
        <f t="shared" si="140"/>
        <v>0</v>
      </c>
      <c r="AC8823" s="117" t="str">
        <f>IF(AB8823=1,COUNTIF($AB$3:AB8823,1),"")</f>
        <v/>
      </c>
      <c r="AD8823" s="117" t="str">
        <f>IFERROR(INDEX($AA$3:$AA$10000,MATCH(ROWS($AC$3:AC8823),$AC$3:$AC$10000,0)),"")</f>
        <v/>
      </c>
    </row>
    <row r="8824" spans="27:30">
      <c r="AA8824" s="117">
        <f>+'Ingredient List - Mother Tinctu'!D8825</f>
        <v>0</v>
      </c>
      <c r="AB8824" s="117">
        <f t="shared" si="140"/>
        <v>0</v>
      </c>
      <c r="AC8824" s="117" t="str">
        <f>IF(AB8824=1,COUNTIF($AB$3:AB8824,1),"")</f>
        <v/>
      </c>
      <c r="AD8824" s="117" t="str">
        <f>IFERROR(INDEX($AA$3:$AA$10000,MATCH(ROWS($AC$3:AC8824),$AC$3:$AC$10000,0)),"")</f>
        <v/>
      </c>
    </row>
    <row r="8825" spans="27:30">
      <c r="AA8825" s="117">
        <f>+'Ingredient List - Mother Tinctu'!D8826</f>
        <v>0</v>
      </c>
      <c r="AB8825" s="117">
        <f t="shared" si="140"/>
        <v>0</v>
      </c>
      <c r="AC8825" s="117" t="str">
        <f>IF(AB8825=1,COUNTIF($AB$3:AB8825,1),"")</f>
        <v/>
      </c>
      <c r="AD8825" s="117" t="str">
        <f>IFERROR(INDEX($AA$3:$AA$10000,MATCH(ROWS($AC$3:AC8825),$AC$3:$AC$10000,0)),"")</f>
        <v/>
      </c>
    </row>
    <row r="8826" spans="27:30">
      <c r="AA8826" s="117">
        <f>+'Ingredient List - Mother Tinctu'!D8827</f>
        <v>0</v>
      </c>
      <c r="AB8826" s="117">
        <f t="shared" si="140"/>
        <v>0</v>
      </c>
      <c r="AC8826" s="117" t="str">
        <f>IF(AB8826=1,COUNTIF($AB$3:AB8826,1),"")</f>
        <v/>
      </c>
      <c r="AD8826" s="117" t="str">
        <f>IFERROR(INDEX($AA$3:$AA$10000,MATCH(ROWS($AC$3:AC8826),$AC$3:$AC$10000,0)),"")</f>
        <v/>
      </c>
    </row>
    <row r="8827" spans="27:30">
      <c r="AA8827" s="117">
        <f>+'Ingredient List - Mother Tinctu'!D8828</f>
        <v>0</v>
      </c>
      <c r="AB8827" s="117">
        <f t="shared" si="140"/>
        <v>0</v>
      </c>
      <c r="AC8827" s="117" t="str">
        <f>IF(AB8827=1,COUNTIF($AB$3:AB8827,1),"")</f>
        <v/>
      </c>
      <c r="AD8827" s="117" t="str">
        <f>IFERROR(INDEX($AA$3:$AA$10000,MATCH(ROWS($AC$3:AC8827),$AC$3:$AC$10000,0)),"")</f>
        <v/>
      </c>
    </row>
    <row r="8828" spans="27:30">
      <c r="AA8828" s="117">
        <f>+'Ingredient List - Mother Tinctu'!D8829</f>
        <v>0</v>
      </c>
      <c r="AB8828" s="117">
        <f t="shared" si="140"/>
        <v>0</v>
      </c>
      <c r="AC8828" s="117" t="str">
        <f>IF(AB8828=1,COUNTIF($AB$3:AB8828,1),"")</f>
        <v/>
      </c>
      <c r="AD8828" s="117" t="str">
        <f>IFERROR(INDEX($AA$3:$AA$10000,MATCH(ROWS($AC$3:AC8828),$AC$3:$AC$10000,0)),"")</f>
        <v/>
      </c>
    </row>
    <row r="8829" spans="27:30">
      <c r="AA8829" s="117">
        <f>+'Ingredient List - Mother Tinctu'!D8830</f>
        <v>0</v>
      </c>
      <c r="AB8829" s="117">
        <f t="shared" si="140"/>
        <v>0</v>
      </c>
      <c r="AC8829" s="117" t="str">
        <f>IF(AB8829=1,COUNTIF($AB$3:AB8829,1),"")</f>
        <v/>
      </c>
      <c r="AD8829" s="117" t="str">
        <f>IFERROR(INDEX($AA$3:$AA$10000,MATCH(ROWS($AC$3:AC8829),$AC$3:$AC$10000,0)),"")</f>
        <v/>
      </c>
    </row>
    <row r="8830" spans="27:30">
      <c r="AA8830" s="117">
        <f>+'Ingredient List - Mother Tinctu'!D8831</f>
        <v>0</v>
      </c>
      <c r="AB8830" s="117">
        <f t="shared" si="140"/>
        <v>0</v>
      </c>
      <c r="AC8830" s="117" t="str">
        <f>IF(AB8830=1,COUNTIF($AB$3:AB8830,1),"")</f>
        <v/>
      </c>
      <c r="AD8830" s="117" t="str">
        <f>IFERROR(INDEX($AA$3:$AA$10000,MATCH(ROWS($AC$3:AC8830),$AC$3:$AC$10000,0)),"")</f>
        <v/>
      </c>
    </row>
    <row r="8831" spans="27:30">
      <c r="AA8831" s="117">
        <f>+'Ingredient List - Mother Tinctu'!D8832</f>
        <v>0</v>
      </c>
      <c r="AB8831" s="117">
        <f t="shared" si="140"/>
        <v>0</v>
      </c>
      <c r="AC8831" s="117" t="str">
        <f>IF(AB8831=1,COUNTIF($AB$3:AB8831,1),"")</f>
        <v/>
      </c>
      <c r="AD8831" s="117" t="str">
        <f>IFERROR(INDEX($AA$3:$AA$10000,MATCH(ROWS($AC$3:AC8831),$AC$3:$AC$10000,0)),"")</f>
        <v/>
      </c>
    </row>
    <row r="8832" spans="27:30">
      <c r="AA8832" s="117">
        <f>+'Ingredient List - Mother Tinctu'!D8833</f>
        <v>0</v>
      </c>
      <c r="AB8832" s="117">
        <f t="shared" si="140"/>
        <v>0</v>
      </c>
      <c r="AC8832" s="117" t="str">
        <f>IF(AB8832=1,COUNTIF($AB$3:AB8832,1),"")</f>
        <v/>
      </c>
      <c r="AD8832" s="117" t="str">
        <f>IFERROR(INDEX($AA$3:$AA$10000,MATCH(ROWS($AC$3:AC8832),$AC$3:$AC$10000,0)),"")</f>
        <v/>
      </c>
    </row>
    <row r="8833" spans="27:30">
      <c r="AA8833" s="117">
        <f>+'Ingredient List - Mother Tinctu'!D8834</f>
        <v>0</v>
      </c>
      <c r="AB8833" s="117">
        <f t="shared" si="140"/>
        <v>0</v>
      </c>
      <c r="AC8833" s="117" t="str">
        <f>IF(AB8833=1,COUNTIF($AB$3:AB8833,1),"")</f>
        <v/>
      </c>
      <c r="AD8833" s="117" t="str">
        <f>IFERROR(INDEX($AA$3:$AA$10000,MATCH(ROWS($AC$3:AC8833),$AC$3:$AC$10000,0)),"")</f>
        <v/>
      </c>
    </row>
    <row r="8834" spans="27:30">
      <c r="AA8834" s="117">
        <f>+'Ingredient List - Mother Tinctu'!D8835</f>
        <v>0</v>
      </c>
      <c r="AB8834" s="117">
        <f t="shared" si="140"/>
        <v>0</v>
      </c>
      <c r="AC8834" s="117" t="str">
        <f>IF(AB8834=1,COUNTIF($AB$3:AB8834,1),"")</f>
        <v/>
      </c>
      <c r="AD8834" s="117" t="str">
        <f>IFERROR(INDEX($AA$3:$AA$10000,MATCH(ROWS($AC$3:AC8834),$AC$3:$AC$10000,0)),"")</f>
        <v/>
      </c>
    </row>
    <row r="8835" spans="27:30">
      <c r="AA8835" s="117">
        <f>+'Ingredient List - Mother Tinctu'!D8836</f>
        <v>0</v>
      </c>
      <c r="AB8835" s="117">
        <f t="shared" si="140"/>
        <v>0</v>
      </c>
      <c r="AC8835" s="117" t="str">
        <f>IF(AB8835=1,COUNTIF($AB$3:AB8835,1),"")</f>
        <v/>
      </c>
      <c r="AD8835" s="117" t="str">
        <f>IFERROR(INDEX($AA$3:$AA$10000,MATCH(ROWS($AC$3:AC8835),$AC$3:$AC$10000,0)),"")</f>
        <v/>
      </c>
    </row>
    <row r="8836" spans="27:30">
      <c r="AA8836" s="117">
        <f>+'Ingredient List - Mother Tinctu'!D8837</f>
        <v>0</v>
      </c>
      <c r="AB8836" s="117">
        <f t="shared" ref="AB8836:AB8899" si="141">--ISNUMBER(IFERROR(SEARCH($D$3,AA8836,1),""))</f>
        <v>0</v>
      </c>
      <c r="AC8836" s="117" t="str">
        <f>IF(AB8836=1,COUNTIF($AB$3:AB8836,1),"")</f>
        <v/>
      </c>
      <c r="AD8836" s="117" t="str">
        <f>IFERROR(INDEX($AA$3:$AA$10000,MATCH(ROWS($AC$3:AC8836),$AC$3:$AC$10000,0)),"")</f>
        <v/>
      </c>
    </row>
    <row r="8837" spans="27:30">
      <c r="AA8837" s="117">
        <f>+'Ingredient List - Mother Tinctu'!D8838</f>
        <v>0</v>
      </c>
      <c r="AB8837" s="117">
        <f t="shared" si="141"/>
        <v>0</v>
      </c>
      <c r="AC8837" s="117" t="str">
        <f>IF(AB8837=1,COUNTIF($AB$3:AB8837,1),"")</f>
        <v/>
      </c>
      <c r="AD8837" s="117" t="str">
        <f>IFERROR(INDEX($AA$3:$AA$10000,MATCH(ROWS($AC$3:AC8837),$AC$3:$AC$10000,0)),"")</f>
        <v/>
      </c>
    </row>
    <row r="8838" spans="27:30">
      <c r="AA8838" s="117">
        <f>+'Ingredient List - Mother Tinctu'!D8839</f>
        <v>0</v>
      </c>
      <c r="AB8838" s="117">
        <f t="shared" si="141"/>
        <v>0</v>
      </c>
      <c r="AC8838" s="117" t="str">
        <f>IF(AB8838=1,COUNTIF($AB$3:AB8838,1),"")</f>
        <v/>
      </c>
      <c r="AD8838" s="117" t="str">
        <f>IFERROR(INDEX($AA$3:$AA$10000,MATCH(ROWS($AC$3:AC8838),$AC$3:$AC$10000,0)),"")</f>
        <v/>
      </c>
    </row>
    <row r="8839" spans="27:30">
      <c r="AA8839" s="117">
        <f>+'Ingredient List - Mother Tinctu'!D8840</f>
        <v>0</v>
      </c>
      <c r="AB8839" s="117">
        <f t="shared" si="141"/>
        <v>0</v>
      </c>
      <c r="AC8839" s="117" t="str">
        <f>IF(AB8839=1,COUNTIF($AB$3:AB8839,1),"")</f>
        <v/>
      </c>
      <c r="AD8839" s="117" t="str">
        <f>IFERROR(INDEX($AA$3:$AA$10000,MATCH(ROWS($AC$3:AC8839),$AC$3:$AC$10000,0)),"")</f>
        <v/>
      </c>
    </row>
    <row r="8840" spans="27:30">
      <c r="AA8840" s="117">
        <f>+'Ingredient List - Mother Tinctu'!D8841</f>
        <v>0</v>
      </c>
      <c r="AB8840" s="117">
        <f t="shared" si="141"/>
        <v>0</v>
      </c>
      <c r="AC8840" s="117" t="str">
        <f>IF(AB8840=1,COUNTIF($AB$3:AB8840,1),"")</f>
        <v/>
      </c>
      <c r="AD8840" s="117" t="str">
        <f>IFERROR(INDEX($AA$3:$AA$10000,MATCH(ROWS($AC$3:AC8840),$AC$3:$AC$10000,0)),"")</f>
        <v/>
      </c>
    </row>
    <row r="8841" spans="27:30">
      <c r="AA8841" s="117">
        <f>+'Ingredient List - Mother Tinctu'!D8842</f>
        <v>0</v>
      </c>
      <c r="AB8841" s="117">
        <f t="shared" si="141"/>
        <v>0</v>
      </c>
      <c r="AC8841" s="117" t="str">
        <f>IF(AB8841=1,COUNTIF($AB$3:AB8841,1),"")</f>
        <v/>
      </c>
      <c r="AD8841" s="117" t="str">
        <f>IFERROR(INDEX($AA$3:$AA$10000,MATCH(ROWS($AC$3:AC8841),$AC$3:$AC$10000,0)),"")</f>
        <v/>
      </c>
    </row>
    <row r="8842" spans="27:30">
      <c r="AA8842" s="117">
        <f>+'Ingredient List - Mother Tinctu'!D8843</f>
        <v>0</v>
      </c>
      <c r="AB8842" s="117">
        <f t="shared" si="141"/>
        <v>0</v>
      </c>
      <c r="AC8842" s="117" t="str">
        <f>IF(AB8842=1,COUNTIF($AB$3:AB8842,1),"")</f>
        <v/>
      </c>
      <c r="AD8842" s="117" t="str">
        <f>IFERROR(INDEX($AA$3:$AA$10000,MATCH(ROWS($AC$3:AC8842),$AC$3:$AC$10000,0)),"")</f>
        <v/>
      </c>
    </row>
    <row r="8843" spans="27:30">
      <c r="AA8843" s="117">
        <f>+'Ingredient List - Mother Tinctu'!D8844</f>
        <v>0</v>
      </c>
      <c r="AB8843" s="117">
        <f t="shared" si="141"/>
        <v>0</v>
      </c>
      <c r="AC8843" s="117" t="str">
        <f>IF(AB8843=1,COUNTIF($AB$3:AB8843,1),"")</f>
        <v/>
      </c>
      <c r="AD8843" s="117" t="str">
        <f>IFERROR(INDEX($AA$3:$AA$10000,MATCH(ROWS($AC$3:AC8843),$AC$3:$AC$10000,0)),"")</f>
        <v/>
      </c>
    </row>
    <row r="8844" spans="27:30">
      <c r="AA8844" s="117">
        <f>+'Ingredient List - Mother Tinctu'!D8845</f>
        <v>0</v>
      </c>
      <c r="AB8844" s="117">
        <f t="shared" si="141"/>
        <v>0</v>
      </c>
      <c r="AC8844" s="117" t="str">
        <f>IF(AB8844=1,COUNTIF($AB$3:AB8844,1),"")</f>
        <v/>
      </c>
      <c r="AD8844" s="117" t="str">
        <f>IFERROR(INDEX($AA$3:$AA$10000,MATCH(ROWS($AC$3:AC8844),$AC$3:$AC$10000,0)),"")</f>
        <v/>
      </c>
    </row>
    <row r="8845" spans="27:30">
      <c r="AA8845" s="117">
        <f>+'Ingredient List - Mother Tinctu'!D8846</f>
        <v>0</v>
      </c>
      <c r="AB8845" s="117">
        <f t="shared" si="141"/>
        <v>0</v>
      </c>
      <c r="AC8845" s="117" t="str">
        <f>IF(AB8845=1,COUNTIF($AB$3:AB8845,1),"")</f>
        <v/>
      </c>
      <c r="AD8845" s="117" t="str">
        <f>IFERROR(INDEX($AA$3:$AA$10000,MATCH(ROWS($AC$3:AC8845),$AC$3:$AC$10000,0)),"")</f>
        <v/>
      </c>
    </row>
    <row r="8846" spans="27:30">
      <c r="AA8846" s="117">
        <f>+'Ingredient List - Mother Tinctu'!D8847</f>
        <v>0</v>
      </c>
      <c r="AB8846" s="117">
        <f t="shared" si="141"/>
        <v>0</v>
      </c>
      <c r="AC8846" s="117" t="str">
        <f>IF(AB8846=1,COUNTIF($AB$3:AB8846,1),"")</f>
        <v/>
      </c>
      <c r="AD8846" s="117" t="str">
        <f>IFERROR(INDEX($AA$3:$AA$10000,MATCH(ROWS($AC$3:AC8846),$AC$3:$AC$10000,0)),"")</f>
        <v/>
      </c>
    </row>
    <row r="8847" spans="27:30">
      <c r="AA8847" s="117">
        <f>+'Ingredient List - Mother Tinctu'!D8848</f>
        <v>0</v>
      </c>
      <c r="AB8847" s="117">
        <f t="shared" si="141"/>
        <v>0</v>
      </c>
      <c r="AC8847" s="117" t="str">
        <f>IF(AB8847=1,COUNTIF($AB$3:AB8847,1),"")</f>
        <v/>
      </c>
      <c r="AD8847" s="117" t="str">
        <f>IFERROR(INDEX($AA$3:$AA$10000,MATCH(ROWS($AC$3:AC8847),$AC$3:$AC$10000,0)),"")</f>
        <v/>
      </c>
    </row>
    <row r="8848" spans="27:30">
      <c r="AA8848" s="117">
        <f>+'Ingredient List - Mother Tinctu'!D8849</f>
        <v>0</v>
      </c>
      <c r="AB8848" s="117">
        <f t="shared" si="141"/>
        <v>0</v>
      </c>
      <c r="AC8848" s="117" t="str">
        <f>IF(AB8848=1,COUNTIF($AB$3:AB8848,1),"")</f>
        <v/>
      </c>
      <c r="AD8848" s="117" t="str">
        <f>IFERROR(INDEX($AA$3:$AA$10000,MATCH(ROWS($AC$3:AC8848),$AC$3:$AC$10000,0)),"")</f>
        <v/>
      </c>
    </row>
    <row r="8849" spans="27:30">
      <c r="AA8849" s="117">
        <f>+'Ingredient List - Mother Tinctu'!D8850</f>
        <v>0</v>
      </c>
      <c r="AB8849" s="117">
        <f t="shared" si="141"/>
        <v>0</v>
      </c>
      <c r="AC8849" s="117" t="str">
        <f>IF(AB8849=1,COUNTIF($AB$3:AB8849,1),"")</f>
        <v/>
      </c>
      <c r="AD8849" s="117" t="str">
        <f>IFERROR(INDEX($AA$3:$AA$10000,MATCH(ROWS($AC$3:AC8849),$AC$3:$AC$10000,0)),"")</f>
        <v/>
      </c>
    </row>
    <row r="8850" spans="27:30">
      <c r="AA8850" s="117">
        <f>+'Ingredient List - Mother Tinctu'!D8851</f>
        <v>0</v>
      </c>
      <c r="AB8850" s="117">
        <f t="shared" si="141"/>
        <v>0</v>
      </c>
      <c r="AC8850" s="117" t="str">
        <f>IF(AB8850=1,COUNTIF($AB$3:AB8850,1),"")</f>
        <v/>
      </c>
      <c r="AD8850" s="117" t="str">
        <f>IFERROR(INDEX($AA$3:$AA$10000,MATCH(ROWS($AC$3:AC8850),$AC$3:$AC$10000,0)),"")</f>
        <v/>
      </c>
    </row>
    <row r="8851" spans="27:30">
      <c r="AA8851" s="117">
        <f>+'Ingredient List - Mother Tinctu'!D8852</f>
        <v>0</v>
      </c>
      <c r="AB8851" s="117">
        <f t="shared" si="141"/>
        <v>0</v>
      </c>
      <c r="AC8851" s="117" t="str">
        <f>IF(AB8851=1,COUNTIF($AB$3:AB8851,1),"")</f>
        <v/>
      </c>
      <c r="AD8851" s="117" t="str">
        <f>IFERROR(INDEX($AA$3:$AA$10000,MATCH(ROWS($AC$3:AC8851),$AC$3:$AC$10000,0)),"")</f>
        <v/>
      </c>
    </row>
    <row r="8852" spans="27:30">
      <c r="AA8852" s="117">
        <f>+'Ingredient List - Mother Tinctu'!D8853</f>
        <v>0</v>
      </c>
      <c r="AB8852" s="117">
        <f t="shared" si="141"/>
        <v>0</v>
      </c>
      <c r="AC8852" s="117" t="str">
        <f>IF(AB8852=1,COUNTIF($AB$3:AB8852,1),"")</f>
        <v/>
      </c>
      <c r="AD8852" s="117" t="str">
        <f>IFERROR(INDEX($AA$3:$AA$10000,MATCH(ROWS($AC$3:AC8852),$AC$3:$AC$10000,0)),"")</f>
        <v/>
      </c>
    </row>
    <row r="8853" spans="27:30">
      <c r="AA8853" s="117">
        <f>+'Ingredient List - Mother Tinctu'!D8854</f>
        <v>0</v>
      </c>
      <c r="AB8853" s="117">
        <f t="shared" si="141"/>
        <v>0</v>
      </c>
      <c r="AC8853" s="117" t="str">
        <f>IF(AB8853=1,COUNTIF($AB$3:AB8853,1),"")</f>
        <v/>
      </c>
      <c r="AD8853" s="117" t="str">
        <f>IFERROR(INDEX($AA$3:$AA$10000,MATCH(ROWS($AC$3:AC8853),$AC$3:$AC$10000,0)),"")</f>
        <v/>
      </c>
    </row>
    <row r="8854" spans="27:30">
      <c r="AA8854" s="117">
        <f>+'Ingredient List - Mother Tinctu'!D8855</f>
        <v>0</v>
      </c>
      <c r="AB8854" s="117">
        <f t="shared" si="141"/>
        <v>0</v>
      </c>
      <c r="AC8854" s="117" t="str">
        <f>IF(AB8854=1,COUNTIF($AB$3:AB8854,1),"")</f>
        <v/>
      </c>
      <c r="AD8854" s="117" t="str">
        <f>IFERROR(INDEX($AA$3:$AA$10000,MATCH(ROWS($AC$3:AC8854),$AC$3:$AC$10000,0)),"")</f>
        <v/>
      </c>
    </row>
    <row r="8855" spans="27:30">
      <c r="AA8855" s="117">
        <f>+'Ingredient List - Mother Tinctu'!D8856</f>
        <v>0</v>
      </c>
      <c r="AB8855" s="117">
        <f t="shared" si="141"/>
        <v>0</v>
      </c>
      <c r="AC8855" s="117" t="str">
        <f>IF(AB8855=1,COUNTIF($AB$3:AB8855,1),"")</f>
        <v/>
      </c>
      <c r="AD8855" s="117" t="str">
        <f>IFERROR(INDEX($AA$3:$AA$10000,MATCH(ROWS($AC$3:AC8855),$AC$3:$AC$10000,0)),"")</f>
        <v/>
      </c>
    </row>
    <row r="8856" spans="27:30">
      <c r="AA8856" s="117">
        <f>+'Ingredient List - Mother Tinctu'!D8857</f>
        <v>0</v>
      </c>
      <c r="AB8856" s="117">
        <f t="shared" si="141"/>
        <v>0</v>
      </c>
      <c r="AC8856" s="117" t="str">
        <f>IF(AB8856=1,COUNTIF($AB$3:AB8856,1),"")</f>
        <v/>
      </c>
      <c r="AD8856" s="117" t="str">
        <f>IFERROR(INDEX($AA$3:$AA$10000,MATCH(ROWS($AC$3:AC8856),$AC$3:$AC$10000,0)),"")</f>
        <v/>
      </c>
    </row>
    <row r="8857" spans="27:30">
      <c r="AA8857" s="117">
        <f>+'Ingredient List - Mother Tinctu'!D8858</f>
        <v>0</v>
      </c>
      <c r="AB8857" s="117">
        <f t="shared" si="141"/>
        <v>0</v>
      </c>
      <c r="AC8857" s="117" t="str">
        <f>IF(AB8857=1,COUNTIF($AB$3:AB8857,1),"")</f>
        <v/>
      </c>
      <c r="AD8857" s="117" t="str">
        <f>IFERROR(INDEX($AA$3:$AA$10000,MATCH(ROWS($AC$3:AC8857),$AC$3:$AC$10000,0)),"")</f>
        <v/>
      </c>
    </row>
    <row r="8858" spans="27:30">
      <c r="AA8858" s="117">
        <f>+'Ingredient List - Mother Tinctu'!D8859</f>
        <v>0</v>
      </c>
      <c r="AB8858" s="117">
        <f t="shared" si="141"/>
        <v>0</v>
      </c>
      <c r="AC8858" s="117" t="str">
        <f>IF(AB8858=1,COUNTIF($AB$3:AB8858,1),"")</f>
        <v/>
      </c>
      <c r="AD8858" s="117" t="str">
        <f>IFERROR(INDEX($AA$3:$AA$10000,MATCH(ROWS($AC$3:AC8858),$AC$3:$AC$10000,0)),"")</f>
        <v/>
      </c>
    </row>
    <row r="8859" spans="27:30">
      <c r="AA8859" s="117">
        <f>+'Ingredient List - Mother Tinctu'!D8860</f>
        <v>0</v>
      </c>
      <c r="AB8859" s="117">
        <f t="shared" si="141"/>
        <v>0</v>
      </c>
      <c r="AC8859" s="117" t="str">
        <f>IF(AB8859=1,COUNTIF($AB$3:AB8859,1),"")</f>
        <v/>
      </c>
      <c r="AD8859" s="117" t="str">
        <f>IFERROR(INDEX($AA$3:$AA$10000,MATCH(ROWS($AC$3:AC8859),$AC$3:$AC$10000,0)),"")</f>
        <v/>
      </c>
    </row>
    <row r="8860" spans="27:30">
      <c r="AA8860" s="117">
        <f>+'Ingredient List - Mother Tinctu'!D8861</f>
        <v>0</v>
      </c>
      <c r="AB8860" s="117">
        <f t="shared" si="141"/>
        <v>0</v>
      </c>
      <c r="AC8860" s="117" t="str">
        <f>IF(AB8860=1,COUNTIF($AB$3:AB8860,1),"")</f>
        <v/>
      </c>
      <c r="AD8860" s="117" t="str">
        <f>IFERROR(INDEX($AA$3:$AA$10000,MATCH(ROWS($AC$3:AC8860),$AC$3:$AC$10000,0)),"")</f>
        <v/>
      </c>
    </row>
    <row r="8861" spans="27:30">
      <c r="AA8861" s="117">
        <f>+'Ingredient List - Mother Tinctu'!D8862</f>
        <v>0</v>
      </c>
      <c r="AB8861" s="117">
        <f t="shared" si="141"/>
        <v>0</v>
      </c>
      <c r="AC8861" s="117" t="str">
        <f>IF(AB8861=1,COUNTIF($AB$3:AB8861,1),"")</f>
        <v/>
      </c>
      <c r="AD8861" s="117" t="str">
        <f>IFERROR(INDEX($AA$3:$AA$10000,MATCH(ROWS($AC$3:AC8861),$AC$3:$AC$10000,0)),"")</f>
        <v/>
      </c>
    </row>
    <row r="8862" spans="27:30">
      <c r="AA8862" s="117">
        <f>+'Ingredient List - Mother Tinctu'!D8863</f>
        <v>0</v>
      </c>
      <c r="AB8862" s="117">
        <f t="shared" si="141"/>
        <v>0</v>
      </c>
      <c r="AC8862" s="117" t="str">
        <f>IF(AB8862=1,COUNTIF($AB$3:AB8862,1),"")</f>
        <v/>
      </c>
      <c r="AD8862" s="117" t="str">
        <f>IFERROR(INDEX($AA$3:$AA$10000,MATCH(ROWS($AC$3:AC8862),$AC$3:$AC$10000,0)),"")</f>
        <v/>
      </c>
    </row>
    <row r="8863" spans="27:30">
      <c r="AA8863" s="117">
        <f>+'Ingredient List - Mother Tinctu'!D8864</f>
        <v>0</v>
      </c>
      <c r="AB8863" s="117">
        <f t="shared" si="141"/>
        <v>0</v>
      </c>
      <c r="AC8863" s="117" t="str">
        <f>IF(AB8863=1,COUNTIF($AB$3:AB8863,1),"")</f>
        <v/>
      </c>
      <c r="AD8863" s="117" t="str">
        <f>IFERROR(INDEX($AA$3:$AA$10000,MATCH(ROWS($AC$3:AC8863),$AC$3:$AC$10000,0)),"")</f>
        <v/>
      </c>
    </row>
    <row r="8864" spans="27:30">
      <c r="AA8864" s="117">
        <f>+'Ingredient List - Mother Tinctu'!D8865</f>
        <v>0</v>
      </c>
      <c r="AB8864" s="117">
        <f t="shared" si="141"/>
        <v>0</v>
      </c>
      <c r="AC8864" s="117" t="str">
        <f>IF(AB8864=1,COUNTIF($AB$3:AB8864,1),"")</f>
        <v/>
      </c>
      <c r="AD8864" s="117" t="str">
        <f>IFERROR(INDEX($AA$3:$AA$10000,MATCH(ROWS($AC$3:AC8864),$AC$3:$AC$10000,0)),"")</f>
        <v/>
      </c>
    </row>
    <row r="8865" spans="27:30">
      <c r="AA8865" s="117">
        <f>+'Ingredient List - Mother Tinctu'!D8866</f>
        <v>0</v>
      </c>
      <c r="AB8865" s="117">
        <f t="shared" si="141"/>
        <v>0</v>
      </c>
      <c r="AC8865" s="117" t="str">
        <f>IF(AB8865=1,COUNTIF($AB$3:AB8865,1),"")</f>
        <v/>
      </c>
      <c r="AD8865" s="117" t="str">
        <f>IFERROR(INDEX($AA$3:$AA$10000,MATCH(ROWS($AC$3:AC8865),$AC$3:$AC$10000,0)),"")</f>
        <v/>
      </c>
    </row>
    <row r="8866" spans="27:30">
      <c r="AA8866" s="117">
        <f>+'Ingredient List - Mother Tinctu'!D8867</f>
        <v>0</v>
      </c>
      <c r="AB8866" s="117">
        <f t="shared" si="141"/>
        <v>0</v>
      </c>
      <c r="AC8866" s="117" t="str">
        <f>IF(AB8866=1,COUNTIF($AB$3:AB8866,1),"")</f>
        <v/>
      </c>
      <c r="AD8866" s="117" t="str">
        <f>IFERROR(INDEX($AA$3:$AA$10000,MATCH(ROWS($AC$3:AC8866),$AC$3:$AC$10000,0)),"")</f>
        <v/>
      </c>
    </row>
    <row r="8867" spans="27:30">
      <c r="AA8867" s="117">
        <f>+'Ingredient List - Mother Tinctu'!D8868</f>
        <v>0</v>
      </c>
      <c r="AB8867" s="117">
        <f t="shared" si="141"/>
        <v>0</v>
      </c>
      <c r="AC8867" s="117" t="str">
        <f>IF(AB8867=1,COUNTIF($AB$3:AB8867,1),"")</f>
        <v/>
      </c>
      <c r="AD8867" s="117" t="str">
        <f>IFERROR(INDEX($AA$3:$AA$10000,MATCH(ROWS($AC$3:AC8867),$AC$3:$AC$10000,0)),"")</f>
        <v/>
      </c>
    </row>
    <row r="8868" spans="27:30">
      <c r="AA8868" s="117">
        <f>+'Ingredient List - Mother Tinctu'!D8869</f>
        <v>0</v>
      </c>
      <c r="AB8868" s="117">
        <f t="shared" si="141"/>
        <v>0</v>
      </c>
      <c r="AC8868" s="117" t="str">
        <f>IF(AB8868=1,COUNTIF($AB$3:AB8868,1),"")</f>
        <v/>
      </c>
      <c r="AD8868" s="117" t="str">
        <f>IFERROR(INDEX($AA$3:$AA$10000,MATCH(ROWS($AC$3:AC8868),$AC$3:$AC$10000,0)),"")</f>
        <v/>
      </c>
    </row>
    <row r="8869" spans="27:30">
      <c r="AA8869" s="117">
        <f>+'Ingredient List - Mother Tinctu'!D8870</f>
        <v>0</v>
      </c>
      <c r="AB8869" s="117">
        <f t="shared" si="141"/>
        <v>0</v>
      </c>
      <c r="AC8869" s="117" t="str">
        <f>IF(AB8869=1,COUNTIF($AB$3:AB8869,1),"")</f>
        <v/>
      </c>
      <c r="AD8869" s="117" t="str">
        <f>IFERROR(INDEX($AA$3:$AA$10000,MATCH(ROWS($AC$3:AC8869),$AC$3:$AC$10000,0)),"")</f>
        <v/>
      </c>
    </row>
    <row r="8870" spans="27:30">
      <c r="AA8870" s="117">
        <f>+'Ingredient List - Mother Tinctu'!D8871</f>
        <v>0</v>
      </c>
      <c r="AB8870" s="117">
        <f t="shared" si="141"/>
        <v>0</v>
      </c>
      <c r="AC8870" s="117" t="str">
        <f>IF(AB8870=1,COUNTIF($AB$3:AB8870,1),"")</f>
        <v/>
      </c>
      <c r="AD8870" s="117" t="str">
        <f>IFERROR(INDEX($AA$3:$AA$10000,MATCH(ROWS($AC$3:AC8870),$AC$3:$AC$10000,0)),"")</f>
        <v/>
      </c>
    </row>
    <row r="8871" spans="27:30">
      <c r="AA8871" s="117">
        <f>+'Ingredient List - Mother Tinctu'!D8872</f>
        <v>0</v>
      </c>
      <c r="AB8871" s="117">
        <f t="shared" si="141"/>
        <v>0</v>
      </c>
      <c r="AC8871" s="117" t="str">
        <f>IF(AB8871=1,COUNTIF($AB$3:AB8871,1),"")</f>
        <v/>
      </c>
      <c r="AD8871" s="117" t="str">
        <f>IFERROR(INDEX($AA$3:$AA$10000,MATCH(ROWS($AC$3:AC8871),$AC$3:$AC$10000,0)),"")</f>
        <v/>
      </c>
    </row>
    <row r="8872" spans="27:30">
      <c r="AA8872" s="117">
        <f>+'Ingredient List - Mother Tinctu'!D8873</f>
        <v>0</v>
      </c>
      <c r="AB8872" s="117">
        <f t="shared" si="141"/>
        <v>0</v>
      </c>
      <c r="AC8872" s="117" t="str">
        <f>IF(AB8872=1,COUNTIF($AB$3:AB8872,1),"")</f>
        <v/>
      </c>
      <c r="AD8872" s="117" t="str">
        <f>IFERROR(INDEX($AA$3:$AA$10000,MATCH(ROWS($AC$3:AC8872),$AC$3:$AC$10000,0)),"")</f>
        <v/>
      </c>
    </row>
    <row r="8873" spans="27:30">
      <c r="AA8873" s="117">
        <f>+'Ingredient List - Mother Tinctu'!D8874</f>
        <v>0</v>
      </c>
      <c r="AB8873" s="117">
        <f t="shared" si="141"/>
        <v>0</v>
      </c>
      <c r="AC8873" s="117" t="str">
        <f>IF(AB8873=1,COUNTIF($AB$3:AB8873,1),"")</f>
        <v/>
      </c>
      <c r="AD8873" s="117" t="str">
        <f>IFERROR(INDEX($AA$3:$AA$10000,MATCH(ROWS($AC$3:AC8873),$AC$3:$AC$10000,0)),"")</f>
        <v/>
      </c>
    </row>
    <row r="8874" spans="27:30">
      <c r="AA8874" s="117">
        <f>+'Ingredient List - Mother Tinctu'!D8875</f>
        <v>0</v>
      </c>
      <c r="AB8874" s="117">
        <f t="shared" si="141"/>
        <v>0</v>
      </c>
      <c r="AC8874" s="117" t="str">
        <f>IF(AB8874=1,COUNTIF($AB$3:AB8874,1),"")</f>
        <v/>
      </c>
      <c r="AD8874" s="117" t="str">
        <f>IFERROR(INDEX($AA$3:$AA$10000,MATCH(ROWS($AC$3:AC8874),$AC$3:$AC$10000,0)),"")</f>
        <v/>
      </c>
    </row>
    <row r="8875" spans="27:30">
      <c r="AA8875" s="117">
        <f>+'Ingredient List - Mother Tinctu'!D8876</f>
        <v>0</v>
      </c>
      <c r="AB8875" s="117">
        <f t="shared" si="141"/>
        <v>0</v>
      </c>
      <c r="AC8875" s="117" t="str">
        <f>IF(AB8875=1,COUNTIF($AB$3:AB8875,1),"")</f>
        <v/>
      </c>
      <c r="AD8875" s="117" t="str">
        <f>IFERROR(INDEX($AA$3:$AA$10000,MATCH(ROWS($AC$3:AC8875),$AC$3:$AC$10000,0)),"")</f>
        <v/>
      </c>
    </row>
    <row r="8876" spans="27:30">
      <c r="AA8876" s="117">
        <f>+'Ingredient List - Mother Tinctu'!D8877</f>
        <v>0</v>
      </c>
      <c r="AB8876" s="117">
        <f t="shared" si="141"/>
        <v>0</v>
      </c>
      <c r="AC8876" s="117" t="str">
        <f>IF(AB8876=1,COUNTIF($AB$3:AB8876,1),"")</f>
        <v/>
      </c>
      <c r="AD8876" s="117" t="str">
        <f>IFERROR(INDEX($AA$3:$AA$10000,MATCH(ROWS($AC$3:AC8876),$AC$3:$AC$10000,0)),"")</f>
        <v/>
      </c>
    </row>
    <row r="8877" spans="27:30">
      <c r="AA8877" s="117">
        <f>+'Ingredient List - Mother Tinctu'!D8878</f>
        <v>0</v>
      </c>
      <c r="AB8877" s="117">
        <f t="shared" si="141"/>
        <v>0</v>
      </c>
      <c r="AC8877" s="117" t="str">
        <f>IF(AB8877=1,COUNTIF($AB$3:AB8877,1),"")</f>
        <v/>
      </c>
      <c r="AD8877" s="117" t="str">
        <f>IFERROR(INDEX($AA$3:$AA$10000,MATCH(ROWS($AC$3:AC8877),$AC$3:$AC$10000,0)),"")</f>
        <v/>
      </c>
    </row>
    <row r="8878" spans="27:30">
      <c r="AA8878" s="117">
        <f>+'Ingredient List - Mother Tinctu'!D8879</f>
        <v>0</v>
      </c>
      <c r="AB8878" s="117">
        <f t="shared" si="141"/>
        <v>0</v>
      </c>
      <c r="AC8878" s="117" t="str">
        <f>IF(AB8878=1,COUNTIF($AB$3:AB8878,1),"")</f>
        <v/>
      </c>
      <c r="AD8878" s="117" t="str">
        <f>IFERROR(INDEX($AA$3:$AA$10000,MATCH(ROWS($AC$3:AC8878),$AC$3:$AC$10000,0)),"")</f>
        <v/>
      </c>
    </row>
    <row r="8879" spans="27:30">
      <c r="AA8879" s="117">
        <f>+'Ingredient List - Mother Tinctu'!D8880</f>
        <v>0</v>
      </c>
      <c r="AB8879" s="117">
        <f t="shared" si="141"/>
        <v>0</v>
      </c>
      <c r="AC8879" s="117" t="str">
        <f>IF(AB8879=1,COUNTIF($AB$3:AB8879,1),"")</f>
        <v/>
      </c>
      <c r="AD8879" s="117" t="str">
        <f>IFERROR(INDEX($AA$3:$AA$10000,MATCH(ROWS($AC$3:AC8879),$AC$3:$AC$10000,0)),"")</f>
        <v/>
      </c>
    </row>
    <row r="8880" spans="27:30">
      <c r="AA8880" s="117">
        <f>+'Ingredient List - Mother Tinctu'!D8881</f>
        <v>0</v>
      </c>
      <c r="AB8880" s="117">
        <f t="shared" si="141"/>
        <v>0</v>
      </c>
      <c r="AC8880" s="117" t="str">
        <f>IF(AB8880=1,COUNTIF($AB$3:AB8880,1),"")</f>
        <v/>
      </c>
      <c r="AD8880" s="117" t="str">
        <f>IFERROR(INDEX($AA$3:$AA$10000,MATCH(ROWS($AC$3:AC8880),$AC$3:$AC$10000,0)),"")</f>
        <v/>
      </c>
    </row>
    <row r="8881" spans="27:30">
      <c r="AA8881" s="117">
        <f>+'Ingredient List - Mother Tinctu'!D8882</f>
        <v>0</v>
      </c>
      <c r="AB8881" s="117">
        <f t="shared" si="141"/>
        <v>0</v>
      </c>
      <c r="AC8881" s="117" t="str">
        <f>IF(AB8881=1,COUNTIF($AB$3:AB8881,1),"")</f>
        <v/>
      </c>
      <c r="AD8881" s="117" t="str">
        <f>IFERROR(INDEX($AA$3:$AA$10000,MATCH(ROWS($AC$3:AC8881),$AC$3:$AC$10000,0)),"")</f>
        <v/>
      </c>
    </row>
    <row r="8882" spans="27:30">
      <c r="AA8882" s="117">
        <f>+'Ingredient List - Mother Tinctu'!D8883</f>
        <v>0</v>
      </c>
      <c r="AB8882" s="117">
        <f t="shared" si="141"/>
        <v>0</v>
      </c>
      <c r="AC8882" s="117" t="str">
        <f>IF(AB8882=1,COUNTIF($AB$3:AB8882,1),"")</f>
        <v/>
      </c>
      <c r="AD8882" s="117" t="str">
        <f>IFERROR(INDEX($AA$3:$AA$10000,MATCH(ROWS($AC$3:AC8882),$AC$3:$AC$10000,0)),"")</f>
        <v/>
      </c>
    </row>
    <row r="8883" spans="27:30">
      <c r="AA8883" s="117">
        <f>+'Ingredient List - Mother Tinctu'!D8884</f>
        <v>0</v>
      </c>
      <c r="AB8883" s="117">
        <f t="shared" si="141"/>
        <v>0</v>
      </c>
      <c r="AC8883" s="117" t="str">
        <f>IF(AB8883=1,COUNTIF($AB$3:AB8883,1),"")</f>
        <v/>
      </c>
      <c r="AD8883" s="117" t="str">
        <f>IFERROR(INDEX($AA$3:$AA$10000,MATCH(ROWS($AC$3:AC8883),$AC$3:$AC$10000,0)),"")</f>
        <v/>
      </c>
    </row>
    <row r="8884" spans="27:30">
      <c r="AA8884" s="117">
        <f>+'Ingredient List - Mother Tinctu'!D8885</f>
        <v>0</v>
      </c>
      <c r="AB8884" s="117">
        <f t="shared" si="141"/>
        <v>0</v>
      </c>
      <c r="AC8884" s="117" t="str">
        <f>IF(AB8884=1,COUNTIF($AB$3:AB8884,1),"")</f>
        <v/>
      </c>
      <c r="AD8884" s="117" t="str">
        <f>IFERROR(INDEX($AA$3:$AA$10000,MATCH(ROWS($AC$3:AC8884),$AC$3:$AC$10000,0)),"")</f>
        <v/>
      </c>
    </row>
    <row r="8885" spans="27:30">
      <c r="AA8885" s="117">
        <f>+'Ingredient List - Mother Tinctu'!D8886</f>
        <v>0</v>
      </c>
      <c r="AB8885" s="117">
        <f t="shared" si="141"/>
        <v>0</v>
      </c>
      <c r="AC8885" s="117" t="str">
        <f>IF(AB8885=1,COUNTIF($AB$3:AB8885,1),"")</f>
        <v/>
      </c>
      <c r="AD8885" s="117" t="str">
        <f>IFERROR(INDEX($AA$3:$AA$10000,MATCH(ROWS($AC$3:AC8885),$AC$3:$AC$10000,0)),"")</f>
        <v/>
      </c>
    </row>
    <row r="8886" spans="27:30">
      <c r="AA8886" s="117">
        <f>+'Ingredient List - Mother Tinctu'!D8887</f>
        <v>0</v>
      </c>
      <c r="AB8886" s="117">
        <f t="shared" si="141"/>
        <v>0</v>
      </c>
      <c r="AC8886" s="117" t="str">
        <f>IF(AB8886=1,COUNTIF($AB$3:AB8886,1),"")</f>
        <v/>
      </c>
      <c r="AD8886" s="117" t="str">
        <f>IFERROR(INDEX($AA$3:$AA$10000,MATCH(ROWS($AC$3:AC8886),$AC$3:$AC$10000,0)),"")</f>
        <v/>
      </c>
    </row>
    <row r="8887" spans="27:30">
      <c r="AA8887" s="117">
        <f>+'Ingredient List - Mother Tinctu'!D8888</f>
        <v>0</v>
      </c>
      <c r="AB8887" s="117">
        <f t="shared" si="141"/>
        <v>0</v>
      </c>
      <c r="AC8887" s="117" t="str">
        <f>IF(AB8887=1,COUNTIF($AB$3:AB8887,1),"")</f>
        <v/>
      </c>
      <c r="AD8887" s="117" t="str">
        <f>IFERROR(INDEX($AA$3:$AA$10000,MATCH(ROWS($AC$3:AC8887),$AC$3:$AC$10000,0)),"")</f>
        <v/>
      </c>
    </row>
    <row r="8888" spans="27:30">
      <c r="AA8888" s="117">
        <f>+'Ingredient List - Mother Tinctu'!D8889</f>
        <v>0</v>
      </c>
      <c r="AB8888" s="117">
        <f t="shared" si="141"/>
        <v>0</v>
      </c>
      <c r="AC8888" s="117" t="str">
        <f>IF(AB8888=1,COUNTIF($AB$3:AB8888,1),"")</f>
        <v/>
      </c>
      <c r="AD8888" s="117" t="str">
        <f>IFERROR(INDEX($AA$3:$AA$10000,MATCH(ROWS($AC$3:AC8888),$AC$3:$AC$10000,0)),"")</f>
        <v/>
      </c>
    </row>
    <row r="8889" spans="27:30">
      <c r="AA8889" s="117">
        <f>+'Ingredient List - Mother Tinctu'!D8890</f>
        <v>0</v>
      </c>
      <c r="AB8889" s="117">
        <f t="shared" si="141"/>
        <v>0</v>
      </c>
      <c r="AC8889" s="117" t="str">
        <f>IF(AB8889=1,COUNTIF($AB$3:AB8889,1),"")</f>
        <v/>
      </c>
      <c r="AD8889" s="117" t="str">
        <f>IFERROR(INDEX($AA$3:$AA$10000,MATCH(ROWS($AC$3:AC8889),$AC$3:$AC$10000,0)),"")</f>
        <v/>
      </c>
    </row>
    <row r="8890" spans="27:30">
      <c r="AA8890" s="117">
        <f>+'Ingredient List - Mother Tinctu'!D8891</f>
        <v>0</v>
      </c>
      <c r="AB8890" s="117">
        <f t="shared" si="141"/>
        <v>0</v>
      </c>
      <c r="AC8890" s="117" t="str">
        <f>IF(AB8890=1,COUNTIF($AB$3:AB8890,1),"")</f>
        <v/>
      </c>
      <c r="AD8890" s="117" t="str">
        <f>IFERROR(INDEX($AA$3:$AA$10000,MATCH(ROWS($AC$3:AC8890),$AC$3:$AC$10000,0)),"")</f>
        <v/>
      </c>
    </row>
    <row r="8891" spans="27:30">
      <c r="AA8891" s="117">
        <f>+'Ingredient List - Mother Tinctu'!D8892</f>
        <v>0</v>
      </c>
      <c r="AB8891" s="117">
        <f t="shared" si="141"/>
        <v>0</v>
      </c>
      <c r="AC8891" s="117" t="str">
        <f>IF(AB8891=1,COUNTIF($AB$3:AB8891,1),"")</f>
        <v/>
      </c>
      <c r="AD8891" s="117" t="str">
        <f>IFERROR(INDEX($AA$3:$AA$10000,MATCH(ROWS($AC$3:AC8891),$AC$3:$AC$10000,0)),"")</f>
        <v/>
      </c>
    </row>
    <row r="8892" spans="27:30">
      <c r="AA8892" s="117">
        <f>+'Ingredient List - Mother Tinctu'!D8893</f>
        <v>0</v>
      </c>
      <c r="AB8892" s="117">
        <f t="shared" si="141"/>
        <v>0</v>
      </c>
      <c r="AC8892" s="117" t="str">
        <f>IF(AB8892=1,COUNTIF($AB$3:AB8892,1),"")</f>
        <v/>
      </c>
      <c r="AD8892" s="117" t="str">
        <f>IFERROR(INDEX($AA$3:$AA$10000,MATCH(ROWS($AC$3:AC8892),$AC$3:$AC$10000,0)),"")</f>
        <v/>
      </c>
    </row>
    <row r="8893" spans="27:30">
      <c r="AA8893" s="117">
        <f>+'Ingredient List - Mother Tinctu'!D8894</f>
        <v>0</v>
      </c>
      <c r="AB8893" s="117">
        <f t="shared" si="141"/>
        <v>0</v>
      </c>
      <c r="AC8893" s="117" t="str">
        <f>IF(AB8893=1,COUNTIF($AB$3:AB8893,1),"")</f>
        <v/>
      </c>
      <c r="AD8893" s="117" t="str">
        <f>IFERROR(INDEX($AA$3:$AA$10000,MATCH(ROWS($AC$3:AC8893),$AC$3:$AC$10000,0)),"")</f>
        <v/>
      </c>
    </row>
    <row r="8894" spans="27:30">
      <c r="AA8894" s="117">
        <f>+'Ingredient List - Mother Tinctu'!D8895</f>
        <v>0</v>
      </c>
      <c r="AB8894" s="117">
        <f t="shared" si="141"/>
        <v>0</v>
      </c>
      <c r="AC8894" s="117" t="str">
        <f>IF(AB8894=1,COUNTIF($AB$3:AB8894,1),"")</f>
        <v/>
      </c>
      <c r="AD8894" s="117" t="str">
        <f>IFERROR(INDEX($AA$3:$AA$10000,MATCH(ROWS($AC$3:AC8894),$AC$3:$AC$10000,0)),"")</f>
        <v/>
      </c>
    </row>
    <row r="8895" spans="27:30">
      <c r="AA8895" s="117">
        <f>+'Ingredient List - Mother Tinctu'!D8896</f>
        <v>0</v>
      </c>
      <c r="AB8895" s="117">
        <f t="shared" si="141"/>
        <v>0</v>
      </c>
      <c r="AC8895" s="117" t="str">
        <f>IF(AB8895=1,COUNTIF($AB$3:AB8895,1),"")</f>
        <v/>
      </c>
      <c r="AD8895" s="117" t="str">
        <f>IFERROR(INDEX($AA$3:$AA$10000,MATCH(ROWS($AC$3:AC8895),$AC$3:$AC$10000,0)),"")</f>
        <v/>
      </c>
    </row>
    <row r="8896" spans="27:30">
      <c r="AA8896" s="117">
        <f>+'Ingredient List - Mother Tinctu'!D8897</f>
        <v>0</v>
      </c>
      <c r="AB8896" s="117">
        <f t="shared" si="141"/>
        <v>0</v>
      </c>
      <c r="AC8896" s="117" t="str">
        <f>IF(AB8896=1,COUNTIF($AB$3:AB8896,1),"")</f>
        <v/>
      </c>
      <c r="AD8896" s="117" t="str">
        <f>IFERROR(INDEX($AA$3:$AA$10000,MATCH(ROWS($AC$3:AC8896),$AC$3:$AC$10000,0)),"")</f>
        <v/>
      </c>
    </row>
    <row r="8897" spans="27:30">
      <c r="AA8897" s="117">
        <f>+'Ingredient List - Mother Tinctu'!D8898</f>
        <v>0</v>
      </c>
      <c r="AB8897" s="117">
        <f t="shared" si="141"/>
        <v>0</v>
      </c>
      <c r="AC8897" s="117" t="str">
        <f>IF(AB8897=1,COUNTIF($AB$3:AB8897,1),"")</f>
        <v/>
      </c>
      <c r="AD8897" s="117" t="str">
        <f>IFERROR(INDEX($AA$3:$AA$10000,MATCH(ROWS($AC$3:AC8897),$AC$3:$AC$10000,0)),"")</f>
        <v/>
      </c>
    </row>
    <row r="8898" spans="27:30">
      <c r="AA8898" s="117">
        <f>+'Ingredient List - Mother Tinctu'!D8899</f>
        <v>0</v>
      </c>
      <c r="AB8898" s="117">
        <f t="shared" si="141"/>
        <v>0</v>
      </c>
      <c r="AC8898" s="117" t="str">
        <f>IF(AB8898=1,COUNTIF($AB$3:AB8898,1),"")</f>
        <v/>
      </c>
      <c r="AD8898" s="117" t="str">
        <f>IFERROR(INDEX($AA$3:$AA$10000,MATCH(ROWS($AC$3:AC8898),$AC$3:$AC$10000,0)),"")</f>
        <v/>
      </c>
    </row>
    <row r="8899" spans="27:30">
      <c r="AA8899" s="117">
        <f>+'Ingredient List - Mother Tinctu'!D8900</f>
        <v>0</v>
      </c>
      <c r="AB8899" s="117">
        <f t="shared" si="141"/>
        <v>0</v>
      </c>
      <c r="AC8899" s="117" t="str">
        <f>IF(AB8899=1,COUNTIF($AB$3:AB8899,1),"")</f>
        <v/>
      </c>
      <c r="AD8899" s="117" t="str">
        <f>IFERROR(INDEX($AA$3:$AA$10000,MATCH(ROWS($AC$3:AC8899),$AC$3:$AC$10000,0)),"")</f>
        <v/>
      </c>
    </row>
    <row r="8900" spans="27:30">
      <c r="AA8900" s="117">
        <f>+'Ingredient List - Mother Tinctu'!D8901</f>
        <v>0</v>
      </c>
      <c r="AB8900" s="117">
        <f t="shared" ref="AB8900:AB8963" si="142">--ISNUMBER(IFERROR(SEARCH($D$3,AA8900,1),""))</f>
        <v>0</v>
      </c>
      <c r="AC8900" s="117" t="str">
        <f>IF(AB8900=1,COUNTIF($AB$3:AB8900,1),"")</f>
        <v/>
      </c>
      <c r="AD8900" s="117" t="str">
        <f>IFERROR(INDEX($AA$3:$AA$10000,MATCH(ROWS($AC$3:AC8900),$AC$3:$AC$10000,0)),"")</f>
        <v/>
      </c>
    </row>
    <row r="8901" spans="27:30">
      <c r="AA8901" s="117">
        <f>+'Ingredient List - Mother Tinctu'!D8902</f>
        <v>0</v>
      </c>
      <c r="AB8901" s="117">
        <f t="shared" si="142"/>
        <v>0</v>
      </c>
      <c r="AC8901" s="117" t="str">
        <f>IF(AB8901=1,COUNTIF($AB$3:AB8901,1),"")</f>
        <v/>
      </c>
      <c r="AD8901" s="117" t="str">
        <f>IFERROR(INDEX($AA$3:$AA$10000,MATCH(ROWS($AC$3:AC8901),$AC$3:$AC$10000,0)),"")</f>
        <v/>
      </c>
    </row>
    <row r="8902" spans="27:30">
      <c r="AA8902" s="117">
        <f>+'Ingredient List - Mother Tinctu'!D8903</f>
        <v>0</v>
      </c>
      <c r="AB8902" s="117">
        <f t="shared" si="142"/>
        <v>0</v>
      </c>
      <c r="AC8902" s="117" t="str">
        <f>IF(AB8902=1,COUNTIF($AB$3:AB8902,1),"")</f>
        <v/>
      </c>
      <c r="AD8902" s="117" t="str">
        <f>IFERROR(INDEX($AA$3:$AA$10000,MATCH(ROWS($AC$3:AC8902),$AC$3:$AC$10000,0)),"")</f>
        <v/>
      </c>
    </row>
    <row r="8903" spans="27:30">
      <c r="AA8903" s="117">
        <f>+'Ingredient List - Mother Tinctu'!D8904</f>
        <v>0</v>
      </c>
      <c r="AB8903" s="117">
        <f t="shared" si="142"/>
        <v>0</v>
      </c>
      <c r="AC8903" s="117" t="str">
        <f>IF(AB8903=1,COUNTIF($AB$3:AB8903,1),"")</f>
        <v/>
      </c>
      <c r="AD8903" s="117" t="str">
        <f>IFERROR(INDEX($AA$3:$AA$10000,MATCH(ROWS($AC$3:AC8903),$AC$3:$AC$10000,0)),"")</f>
        <v/>
      </c>
    </row>
    <row r="8904" spans="27:30">
      <c r="AA8904" s="117">
        <f>+'Ingredient List - Mother Tinctu'!D8905</f>
        <v>0</v>
      </c>
      <c r="AB8904" s="117">
        <f t="shared" si="142"/>
        <v>0</v>
      </c>
      <c r="AC8904" s="117" t="str">
        <f>IF(AB8904=1,COUNTIF($AB$3:AB8904,1),"")</f>
        <v/>
      </c>
      <c r="AD8904" s="117" t="str">
        <f>IFERROR(INDEX($AA$3:$AA$10000,MATCH(ROWS($AC$3:AC8904),$AC$3:$AC$10000,0)),"")</f>
        <v/>
      </c>
    </row>
    <row r="8905" spans="27:30">
      <c r="AA8905" s="117">
        <f>+'Ingredient List - Mother Tinctu'!D8906</f>
        <v>0</v>
      </c>
      <c r="AB8905" s="117">
        <f t="shared" si="142"/>
        <v>0</v>
      </c>
      <c r="AC8905" s="117" t="str">
        <f>IF(AB8905=1,COUNTIF($AB$3:AB8905,1),"")</f>
        <v/>
      </c>
      <c r="AD8905" s="117" t="str">
        <f>IFERROR(INDEX($AA$3:$AA$10000,MATCH(ROWS($AC$3:AC8905),$AC$3:$AC$10000,0)),"")</f>
        <v/>
      </c>
    </row>
    <row r="8906" spans="27:30">
      <c r="AA8906" s="117">
        <f>+'Ingredient List - Mother Tinctu'!D8907</f>
        <v>0</v>
      </c>
      <c r="AB8906" s="117">
        <f t="shared" si="142"/>
        <v>0</v>
      </c>
      <c r="AC8906" s="117" t="str">
        <f>IF(AB8906=1,COUNTIF($AB$3:AB8906,1),"")</f>
        <v/>
      </c>
      <c r="AD8906" s="117" t="str">
        <f>IFERROR(INDEX($AA$3:$AA$10000,MATCH(ROWS($AC$3:AC8906),$AC$3:$AC$10000,0)),"")</f>
        <v/>
      </c>
    </row>
    <row r="8907" spans="27:30">
      <c r="AA8907" s="117">
        <f>+'Ingredient List - Mother Tinctu'!D8908</f>
        <v>0</v>
      </c>
      <c r="AB8907" s="117">
        <f t="shared" si="142"/>
        <v>0</v>
      </c>
      <c r="AC8907" s="117" t="str">
        <f>IF(AB8907=1,COUNTIF($AB$3:AB8907,1),"")</f>
        <v/>
      </c>
      <c r="AD8907" s="117" t="str">
        <f>IFERROR(INDEX($AA$3:$AA$10000,MATCH(ROWS($AC$3:AC8907),$AC$3:$AC$10000,0)),"")</f>
        <v/>
      </c>
    </row>
    <row r="8908" spans="27:30">
      <c r="AA8908" s="117">
        <f>+'Ingredient List - Mother Tinctu'!D8909</f>
        <v>0</v>
      </c>
      <c r="AB8908" s="117">
        <f t="shared" si="142"/>
        <v>0</v>
      </c>
      <c r="AC8908" s="117" t="str">
        <f>IF(AB8908=1,COUNTIF($AB$3:AB8908,1),"")</f>
        <v/>
      </c>
      <c r="AD8908" s="117" t="str">
        <f>IFERROR(INDEX($AA$3:$AA$10000,MATCH(ROWS($AC$3:AC8908),$AC$3:$AC$10000,0)),"")</f>
        <v/>
      </c>
    </row>
    <row r="8909" spans="27:30">
      <c r="AA8909" s="117">
        <f>+'Ingredient List - Mother Tinctu'!D8910</f>
        <v>0</v>
      </c>
      <c r="AB8909" s="117">
        <f t="shared" si="142"/>
        <v>0</v>
      </c>
      <c r="AC8909" s="117" t="str">
        <f>IF(AB8909=1,COUNTIF($AB$3:AB8909,1),"")</f>
        <v/>
      </c>
      <c r="AD8909" s="117" t="str">
        <f>IFERROR(INDEX($AA$3:$AA$10000,MATCH(ROWS($AC$3:AC8909),$AC$3:$AC$10000,0)),"")</f>
        <v/>
      </c>
    </row>
    <row r="8910" spans="27:30">
      <c r="AA8910" s="117">
        <f>+'Ingredient List - Mother Tinctu'!D8911</f>
        <v>0</v>
      </c>
      <c r="AB8910" s="117">
        <f t="shared" si="142"/>
        <v>0</v>
      </c>
      <c r="AC8910" s="117" t="str">
        <f>IF(AB8910=1,COUNTIF($AB$3:AB8910,1),"")</f>
        <v/>
      </c>
      <c r="AD8910" s="117" t="str">
        <f>IFERROR(INDEX($AA$3:$AA$10000,MATCH(ROWS($AC$3:AC8910),$AC$3:$AC$10000,0)),"")</f>
        <v/>
      </c>
    </row>
    <row r="8911" spans="27:30">
      <c r="AA8911" s="117">
        <f>+'Ingredient List - Mother Tinctu'!D8912</f>
        <v>0</v>
      </c>
      <c r="AB8911" s="117">
        <f t="shared" si="142"/>
        <v>0</v>
      </c>
      <c r="AC8911" s="117" t="str">
        <f>IF(AB8911=1,COUNTIF($AB$3:AB8911,1),"")</f>
        <v/>
      </c>
      <c r="AD8911" s="117" t="str">
        <f>IFERROR(INDEX($AA$3:$AA$10000,MATCH(ROWS($AC$3:AC8911),$AC$3:$AC$10000,0)),"")</f>
        <v/>
      </c>
    </row>
    <row r="8912" spans="27:30">
      <c r="AA8912" s="117">
        <f>+'Ingredient List - Mother Tinctu'!D8913</f>
        <v>0</v>
      </c>
      <c r="AB8912" s="117">
        <f t="shared" si="142"/>
        <v>0</v>
      </c>
      <c r="AC8912" s="117" t="str">
        <f>IF(AB8912=1,COUNTIF($AB$3:AB8912,1),"")</f>
        <v/>
      </c>
      <c r="AD8912" s="117" t="str">
        <f>IFERROR(INDEX($AA$3:$AA$10000,MATCH(ROWS($AC$3:AC8912),$AC$3:$AC$10000,0)),"")</f>
        <v/>
      </c>
    </row>
    <row r="8913" spans="27:30">
      <c r="AA8913" s="117">
        <f>+'Ingredient List - Mother Tinctu'!D8914</f>
        <v>0</v>
      </c>
      <c r="AB8913" s="117">
        <f t="shared" si="142"/>
        <v>0</v>
      </c>
      <c r="AC8913" s="117" t="str">
        <f>IF(AB8913=1,COUNTIF($AB$3:AB8913,1),"")</f>
        <v/>
      </c>
      <c r="AD8913" s="117" t="str">
        <f>IFERROR(INDEX($AA$3:$AA$10000,MATCH(ROWS($AC$3:AC8913),$AC$3:$AC$10000,0)),"")</f>
        <v/>
      </c>
    </row>
    <row r="8914" spans="27:30">
      <c r="AA8914" s="117">
        <f>+'Ingredient List - Mother Tinctu'!D8915</f>
        <v>0</v>
      </c>
      <c r="AB8914" s="117">
        <f t="shared" si="142"/>
        <v>0</v>
      </c>
      <c r="AC8914" s="117" t="str">
        <f>IF(AB8914=1,COUNTIF($AB$3:AB8914,1),"")</f>
        <v/>
      </c>
      <c r="AD8914" s="117" t="str">
        <f>IFERROR(INDEX($AA$3:$AA$10000,MATCH(ROWS($AC$3:AC8914),$AC$3:$AC$10000,0)),"")</f>
        <v/>
      </c>
    </row>
    <row r="8915" spans="27:30">
      <c r="AA8915" s="117">
        <f>+'Ingredient List - Mother Tinctu'!D8916</f>
        <v>0</v>
      </c>
      <c r="AB8915" s="117">
        <f t="shared" si="142"/>
        <v>0</v>
      </c>
      <c r="AC8915" s="117" t="str">
        <f>IF(AB8915=1,COUNTIF($AB$3:AB8915,1),"")</f>
        <v/>
      </c>
      <c r="AD8915" s="117" t="str">
        <f>IFERROR(INDEX($AA$3:$AA$10000,MATCH(ROWS($AC$3:AC8915),$AC$3:$AC$10000,0)),"")</f>
        <v/>
      </c>
    </row>
    <row r="8916" spans="27:30">
      <c r="AA8916" s="117">
        <f>+'Ingredient List - Mother Tinctu'!D8917</f>
        <v>0</v>
      </c>
      <c r="AB8916" s="117">
        <f t="shared" si="142"/>
        <v>0</v>
      </c>
      <c r="AC8916" s="117" t="str">
        <f>IF(AB8916=1,COUNTIF($AB$3:AB8916,1),"")</f>
        <v/>
      </c>
      <c r="AD8916" s="117" t="str">
        <f>IFERROR(INDEX($AA$3:$AA$10000,MATCH(ROWS($AC$3:AC8916),$AC$3:$AC$10000,0)),"")</f>
        <v/>
      </c>
    </row>
    <row r="8917" spans="27:30">
      <c r="AA8917" s="117">
        <f>+'Ingredient List - Mother Tinctu'!D8918</f>
        <v>0</v>
      </c>
      <c r="AB8917" s="117">
        <f t="shared" si="142"/>
        <v>0</v>
      </c>
      <c r="AC8917" s="117" t="str">
        <f>IF(AB8917=1,COUNTIF($AB$3:AB8917,1),"")</f>
        <v/>
      </c>
      <c r="AD8917" s="117" t="str">
        <f>IFERROR(INDEX($AA$3:$AA$10000,MATCH(ROWS($AC$3:AC8917),$AC$3:$AC$10000,0)),"")</f>
        <v/>
      </c>
    </row>
    <row r="8918" spans="27:30">
      <c r="AA8918" s="117">
        <f>+'Ingredient List - Mother Tinctu'!D8919</f>
        <v>0</v>
      </c>
      <c r="AB8918" s="117">
        <f t="shared" si="142"/>
        <v>0</v>
      </c>
      <c r="AC8918" s="117" t="str">
        <f>IF(AB8918=1,COUNTIF($AB$3:AB8918,1),"")</f>
        <v/>
      </c>
      <c r="AD8918" s="117" t="str">
        <f>IFERROR(INDEX($AA$3:$AA$10000,MATCH(ROWS($AC$3:AC8918),$AC$3:$AC$10000,0)),"")</f>
        <v/>
      </c>
    </row>
    <row r="8919" spans="27:30">
      <c r="AA8919" s="117">
        <f>+'Ingredient List - Mother Tinctu'!D8920</f>
        <v>0</v>
      </c>
      <c r="AB8919" s="117">
        <f t="shared" si="142"/>
        <v>0</v>
      </c>
      <c r="AC8919" s="117" t="str">
        <f>IF(AB8919=1,COUNTIF($AB$3:AB8919,1),"")</f>
        <v/>
      </c>
      <c r="AD8919" s="117" t="str">
        <f>IFERROR(INDEX($AA$3:$AA$10000,MATCH(ROWS($AC$3:AC8919),$AC$3:$AC$10000,0)),"")</f>
        <v/>
      </c>
    </row>
    <row r="8920" spans="27:30">
      <c r="AA8920" s="117">
        <f>+'Ingredient List - Mother Tinctu'!D8921</f>
        <v>0</v>
      </c>
      <c r="AB8920" s="117">
        <f t="shared" si="142"/>
        <v>0</v>
      </c>
      <c r="AC8920" s="117" t="str">
        <f>IF(AB8920=1,COUNTIF($AB$3:AB8920,1),"")</f>
        <v/>
      </c>
      <c r="AD8920" s="117" t="str">
        <f>IFERROR(INDEX($AA$3:$AA$10000,MATCH(ROWS($AC$3:AC8920),$AC$3:$AC$10000,0)),"")</f>
        <v/>
      </c>
    </row>
    <row r="8921" spans="27:30">
      <c r="AA8921" s="117">
        <f>+'Ingredient List - Mother Tinctu'!D8922</f>
        <v>0</v>
      </c>
      <c r="AB8921" s="117">
        <f t="shared" si="142"/>
        <v>0</v>
      </c>
      <c r="AC8921" s="117" t="str">
        <f>IF(AB8921=1,COUNTIF($AB$3:AB8921,1),"")</f>
        <v/>
      </c>
      <c r="AD8921" s="117" t="str">
        <f>IFERROR(INDEX($AA$3:$AA$10000,MATCH(ROWS($AC$3:AC8921),$AC$3:$AC$10000,0)),"")</f>
        <v/>
      </c>
    </row>
    <row r="8922" spans="27:30">
      <c r="AA8922" s="117">
        <f>+'Ingredient List - Mother Tinctu'!D8923</f>
        <v>0</v>
      </c>
      <c r="AB8922" s="117">
        <f t="shared" si="142"/>
        <v>0</v>
      </c>
      <c r="AC8922" s="117" t="str">
        <f>IF(AB8922=1,COUNTIF($AB$3:AB8922,1),"")</f>
        <v/>
      </c>
      <c r="AD8922" s="117" t="str">
        <f>IFERROR(INDEX($AA$3:$AA$10000,MATCH(ROWS($AC$3:AC8922),$AC$3:$AC$10000,0)),"")</f>
        <v/>
      </c>
    </row>
    <row r="8923" spans="27:30">
      <c r="AA8923" s="117">
        <f>+'Ingredient List - Mother Tinctu'!D8924</f>
        <v>0</v>
      </c>
      <c r="AB8923" s="117">
        <f t="shared" si="142"/>
        <v>0</v>
      </c>
      <c r="AC8923" s="117" t="str">
        <f>IF(AB8923=1,COUNTIF($AB$3:AB8923,1),"")</f>
        <v/>
      </c>
      <c r="AD8923" s="117" t="str">
        <f>IFERROR(INDEX($AA$3:$AA$10000,MATCH(ROWS($AC$3:AC8923),$AC$3:$AC$10000,0)),"")</f>
        <v/>
      </c>
    </row>
    <row r="8924" spans="27:30">
      <c r="AA8924" s="117">
        <f>+'Ingredient List - Mother Tinctu'!D8925</f>
        <v>0</v>
      </c>
      <c r="AB8924" s="117">
        <f t="shared" si="142"/>
        <v>0</v>
      </c>
      <c r="AC8924" s="117" t="str">
        <f>IF(AB8924=1,COUNTIF($AB$3:AB8924,1),"")</f>
        <v/>
      </c>
      <c r="AD8924" s="117" t="str">
        <f>IFERROR(INDEX($AA$3:$AA$10000,MATCH(ROWS($AC$3:AC8924),$AC$3:$AC$10000,0)),"")</f>
        <v/>
      </c>
    </row>
    <row r="8925" spans="27:30">
      <c r="AA8925" s="117">
        <f>+'Ingredient List - Mother Tinctu'!D8926</f>
        <v>0</v>
      </c>
      <c r="AB8925" s="117">
        <f t="shared" si="142"/>
        <v>0</v>
      </c>
      <c r="AC8925" s="117" t="str">
        <f>IF(AB8925=1,COUNTIF($AB$3:AB8925,1),"")</f>
        <v/>
      </c>
      <c r="AD8925" s="117" t="str">
        <f>IFERROR(INDEX($AA$3:$AA$10000,MATCH(ROWS($AC$3:AC8925),$AC$3:$AC$10000,0)),"")</f>
        <v/>
      </c>
    </row>
    <row r="8926" spans="27:30">
      <c r="AA8926" s="117">
        <f>+'Ingredient List - Mother Tinctu'!D8927</f>
        <v>0</v>
      </c>
      <c r="AB8926" s="117">
        <f t="shared" si="142"/>
        <v>0</v>
      </c>
      <c r="AC8926" s="117" t="str">
        <f>IF(AB8926=1,COUNTIF($AB$3:AB8926,1),"")</f>
        <v/>
      </c>
      <c r="AD8926" s="117" t="str">
        <f>IFERROR(INDEX($AA$3:$AA$10000,MATCH(ROWS($AC$3:AC8926),$AC$3:$AC$10000,0)),"")</f>
        <v/>
      </c>
    </row>
    <row r="8927" spans="27:30">
      <c r="AA8927" s="117">
        <f>+'Ingredient List - Mother Tinctu'!D8928</f>
        <v>0</v>
      </c>
      <c r="AB8927" s="117">
        <f t="shared" si="142"/>
        <v>0</v>
      </c>
      <c r="AC8927" s="117" t="str">
        <f>IF(AB8927=1,COUNTIF($AB$3:AB8927,1),"")</f>
        <v/>
      </c>
      <c r="AD8927" s="117" t="str">
        <f>IFERROR(INDEX($AA$3:$AA$10000,MATCH(ROWS($AC$3:AC8927),$AC$3:$AC$10000,0)),"")</f>
        <v/>
      </c>
    </row>
    <row r="8928" spans="27:30">
      <c r="AA8928" s="117">
        <f>+'Ingredient List - Mother Tinctu'!D8929</f>
        <v>0</v>
      </c>
      <c r="AB8928" s="117">
        <f t="shared" si="142"/>
        <v>0</v>
      </c>
      <c r="AC8928" s="117" t="str">
        <f>IF(AB8928=1,COUNTIF($AB$3:AB8928,1),"")</f>
        <v/>
      </c>
      <c r="AD8928" s="117" t="str">
        <f>IFERROR(INDEX($AA$3:$AA$10000,MATCH(ROWS($AC$3:AC8928),$AC$3:$AC$10000,0)),"")</f>
        <v/>
      </c>
    </row>
    <row r="8929" spans="27:30">
      <c r="AA8929" s="117">
        <f>+'Ingredient List - Mother Tinctu'!D8930</f>
        <v>0</v>
      </c>
      <c r="AB8929" s="117">
        <f t="shared" si="142"/>
        <v>0</v>
      </c>
      <c r="AC8929" s="117" t="str">
        <f>IF(AB8929=1,COUNTIF($AB$3:AB8929,1),"")</f>
        <v/>
      </c>
      <c r="AD8929" s="117" t="str">
        <f>IFERROR(INDEX($AA$3:$AA$10000,MATCH(ROWS($AC$3:AC8929),$AC$3:$AC$10000,0)),"")</f>
        <v/>
      </c>
    </row>
    <row r="8930" spans="27:30">
      <c r="AA8930" s="117">
        <f>+'Ingredient List - Mother Tinctu'!D8931</f>
        <v>0</v>
      </c>
      <c r="AB8930" s="117">
        <f t="shared" si="142"/>
        <v>0</v>
      </c>
      <c r="AC8930" s="117" t="str">
        <f>IF(AB8930=1,COUNTIF($AB$3:AB8930,1),"")</f>
        <v/>
      </c>
      <c r="AD8930" s="117" t="str">
        <f>IFERROR(INDEX($AA$3:$AA$10000,MATCH(ROWS($AC$3:AC8930),$AC$3:$AC$10000,0)),"")</f>
        <v/>
      </c>
    </row>
    <row r="8931" spans="27:30">
      <c r="AA8931" s="117">
        <f>+'Ingredient List - Mother Tinctu'!D8932</f>
        <v>0</v>
      </c>
      <c r="AB8931" s="117">
        <f t="shared" si="142"/>
        <v>0</v>
      </c>
      <c r="AC8931" s="117" t="str">
        <f>IF(AB8931=1,COUNTIF($AB$3:AB8931,1),"")</f>
        <v/>
      </c>
      <c r="AD8931" s="117" t="str">
        <f>IFERROR(INDEX($AA$3:$AA$10000,MATCH(ROWS($AC$3:AC8931),$AC$3:$AC$10000,0)),"")</f>
        <v/>
      </c>
    </row>
    <row r="8932" spans="27:30">
      <c r="AA8932" s="117">
        <f>+'Ingredient List - Mother Tinctu'!D8933</f>
        <v>0</v>
      </c>
      <c r="AB8932" s="117">
        <f t="shared" si="142"/>
        <v>0</v>
      </c>
      <c r="AC8932" s="117" t="str">
        <f>IF(AB8932=1,COUNTIF($AB$3:AB8932,1),"")</f>
        <v/>
      </c>
      <c r="AD8932" s="117" t="str">
        <f>IFERROR(INDEX($AA$3:$AA$10000,MATCH(ROWS($AC$3:AC8932),$AC$3:$AC$10000,0)),"")</f>
        <v/>
      </c>
    </row>
    <row r="8933" spans="27:30">
      <c r="AA8933" s="117">
        <f>+'Ingredient List - Mother Tinctu'!D8934</f>
        <v>0</v>
      </c>
      <c r="AB8933" s="117">
        <f t="shared" si="142"/>
        <v>0</v>
      </c>
      <c r="AC8933" s="117" t="str">
        <f>IF(AB8933=1,COUNTIF($AB$3:AB8933,1),"")</f>
        <v/>
      </c>
      <c r="AD8933" s="117" t="str">
        <f>IFERROR(INDEX($AA$3:$AA$10000,MATCH(ROWS($AC$3:AC8933),$AC$3:$AC$10000,0)),"")</f>
        <v/>
      </c>
    </row>
    <row r="8934" spans="27:30">
      <c r="AA8934" s="117">
        <f>+'Ingredient List - Mother Tinctu'!D8935</f>
        <v>0</v>
      </c>
      <c r="AB8934" s="117">
        <f t="shared" si="142"/>
        <v>0</v>
      </c>
      <c r="AC8934" s="117" t="str">
        <f>IF(AB8934=1,COUNTIF($AB$3:AB8934,1),"")</f>
        <v/>
      </c>
      <c r="AD8934" s="117" t="str">
        <f>IFERROR(INDEX($AA$3:$AA$10000,MATCH(ROWS($AC$3:AC8934),$AC$3:$AC$10000,0)),"")</f>
        <v/>
      </c>
    </row>
    <row r="8935" spans="27:30">
      <c r="AA8935" s="117">
        <f>+'Ingredient List - Mother Tinctu'!D8936</f>
        <v>0</v>
      </c>
      <c r="AB8935" s="117">
        <f t="shared" si="142"/>
        <v>0</v>
      </c>
      <c r="AC8935" s="117" t="str">
        <f>IF(AB8935=1,COUNTIF($AB$3:AB8935,1),"")</f>
        <v/>
      </c>
      <c r="AD8935" s="117" t="str">
        <f>IFERROR(INDEX($AA$3:$AA$10000,MATCH(ROWS($AC$3:AC8935),$AC$3:$AC$10000,0)),"")</f>
        <v/>
      </c>
    </row>
    <row r="8936" spans="27:30">
      <c r="AA8936" s="117">
        <f>+'Ingredient List - Mother Tinctu'!D8937</f>
        <v>0</v>
      </c>
      <c r="AB8936" s="117">
        <f t="shared" si="142"/>
        <v>0</v>
      </c>
      <c r="AC8936" s="117" t="str">
        <f>IF(AB8936=1,COUNTIF($AB$3:AB8936,1),"")</f>
        <v/>
      </c>
      <c r="AD8936" s="117" t="str">
        <f>IFERROR(INDEX($AA$3:$AA$10000,MATCH(ROWS($AC$3:AC8936),$AC$3:$AC$10000,0)),"")</f>
        <v/>
      </c>
    </row>
    <row r="8937" spans="27:30">
      <c r="AA8937" s="117">
        <f>+'Ingredient List - Mother Tinctu'!D8938</f>
        <v>0</v>
      </c>
      <c r="AB8937" s="117">
        <f t="shared" si="142"/>
        <v>0</v>
      </c>
      <c r="AC8937" s="117" t="str">
        <f>IF(AB8937=1,COUNTIF($AB$3:AB8937,1),"")</f>
        <v/>
      </c>
      <c r="AD8937" s="117" t="str">
        <f>IFERROR(INDEX($AA$3:$AA$10000,MATCH(ROWS($AC$3:AC8937),$AC$3:$AC$10000,0)),"")</f>
        <v/>
      </c>
    </row>
    <row r="8938" spans="27:30">
      <c r="AA8938" s="117">
        <f>+'Ingredient List - Mother Tinctu'!D8939</f>
        <v>0</v>
      </c>
      <c r="AB8938" s="117">
        <f t="shared" si="142"/>
        <v>0</v>
      </c>
      <c r="AC8938" s="117" t="str">
        <f>IF(AB8938=1,COUNTIF($AB$3:AB8938,1),"")</f>
        <v/>
      </c>
      <c r="AD8938" s="117" t="str">
        <f>IFERROR(INDEX($AA$3:$AA$10000,MATCH(ROWS($AC$3:AC8938),$AC$3:$AC$10000,0)),"")</f>
        <v/>
      </c>
    </row>
    <row r="8939" spans="27:30">
      <c r="AA8939" s="117">
        <f>+'Ingredient List - Mother Tinctu'!D8940</f>
        <v>0</v>
      </c>
      <c r="AB8939" s="117">
        <f t="shared" si="142"/>
        <v>0</v>
      </c>
      <c r="AC8939" s="117" t="str">
        <f>IF(AB8939=1,COUNTIF($AB$3:AB8939,1),"")</f>
        <v/>
      </c>
      <c r="AD8939" s="117" t="str">
        <f>IFERROR(INDEX($AA$3:$AA$10000,MATCH(ROWS($AC$3:AC8939),$AC$3:$AC$10000,0)),"")</f>
        <v/>
      </c>
    </row>
    <row r="8940" spans="27:30">
      <c r="AA8940" s="117">
        <f>+'Ingredient List - Mother Tinctu'!D8941</f>
        <v>0</v>
      </c>
      <c r="AB8940" s="117">
        <f t="shared" si="142"/>
        <v>0</v>
      </c>
      <c r="AC8940" s="117" t="str">
        <f>IF(AB8940=1,COUNTIF($AB$3:AB8940,1),"")</f>
        <v/>
      </c>
      <c r="AD8940" s="117" t="str">
        <f>IFERROR(INDEX($AA$3:$AA$10000,MATCH(ROWS($AC$3:AC8940),$AC$3:$AC$10000,0)),"")</f>
        <v/>
      </c>
    </row>
    <row r="8941" spans="27:30">
      <c r="AA8941" s="117">
        <f>+'Ingredient List - Mother Tinctu'!D8942</f>
        <v>0</v>
      </c>
      <c r="AB8941" s="117">
        <f t="shared" si="142"/>
        <v>0</v>
      </c>
      <c r="AC8941" s="117" t="str">
        <f>IF(AB8941=1,COUNTIF($AB$3:AB8941,1),"")</f>
        <v/>
      </c>
      <c r="AD8941" s="117" t="str">
        <f>IFERROR(INDEX($AA$3:$AA$10000,MATCH(ROWS($AC$3:AC8941),$AC$3:$AC$10000,0)),"")</f>
        <v/>
      </c>
    </row>
    <row r="8942" spans="27:30">
      <c r="AA8942" s="117">
        <f>+'Ingredient List - Mother Tinctu'!D8943</f>
        <v>0</v>
      </c>
      <c r="AB8942" s="117">
        <f t="shared" si="142"/>
        <v>0</v>
      </c>
      <c r="AC8942" s="117" t="str">
        <f>IF(AB8942=1,COUNTIF($AB$3:AB8942,1),"")</f>
        <v/>
      </c>
      <c r="AD8942" s="117" t="str">
        <f>IFERROR(INDEX($AA$3:$AA$10000,MATCH(ROWS($AC$3:AC8942),$AC$3:$AC$10000,0)),"")</f>
        <v/>
      </c>
    </row>
    <row r="8943" spans="27:30">
      <c r="AA8943" s="117">
        <f>+'Ingredient List - Mother Tinctu'!D8944</f>
        <v>0</v>
      </c>
      <c r="AB8943" s="117">
        <f t="shared" si="142"/>
        <v>0</v>
      </c>
      <c r="AC8943" s="117" t="str">
        <f>IF(AB8943=1,COUNTIF($AB$3:AB8943,1),"")</f>
        <v/>
      </c>
      <c r="AD8943" s="117" t="str">
        <f>IFERROR(INDEX($AA$3:$AA$10000,MATCH(ROWS($AC$3:AC8943),$AC$3:$AC$10000,0)),"")</f>
        <v/>
      </c>
    </row>
    <row r="8944" spans="27:30">
      <c r="AA8944" s="117">
        <f>+'Ingredient List - Mother Tinctu'!D8945</f>
        <v>0</v>
      </c>
      <c r="AB8944" s="117">
        <f t="shared" si="142"/>
        <v>0</v>
      </c>
      <c r="AC8944" s="117" t="str">
        <f>IF(AB8944=1,COUNTIF($AB$3:AB8944,1),"")</f>
        <v/>
      </c>
      <c r="AD8944" s="117" t="str">
        <f>IFERROR(INDEX($AA$3:$AA$10000,MATCH(ROWS($AC$3:AC8944),$AC$3:$AC$10000,0)),"")</f>
        <v/>
      </c>
    </row>
    <row r="8945" spans="27:30">
      <c r="AA8945" s="117">
        <f>+'Ingredient List - Mother Tinctu'!D8946</f>
        <v>0</v>
      </c>
      <c r="AB8945" s="117">
        <f t="shared" si="142"/>
        <v>0</v>
      </c>
      <c r="AC8945" s="117" t="str">
        <f>IF(AB8945=1,COUNTIF($AB$3:AB8945,1),"")</f>
        <v/>
      </c>
      <c r="AD8945" s="117" t="str">
        <f>IFERROR(INDEX($AA$3:$AA$10000,MATCH(ROWS($AC$3:AC8945),$AC$3:$AC$10000,0)),"")</f>
        <v/>
      </c>
    </row>
    <row r="8946" spans="27:30">
      <c r="AA8946" s="117">
        <f>+'Ingredient List - Mother Tinctu'!D8947</f>
        <v>0</v>
      </c>
      <c r="AB8946" s="117">
        <f t="shared" si="142"/>
        <v>0</v>
      </c>
      <c r="AC8946" s="117" t="str">
        <f>IF(AB8946=1,COUNTIF($AB$3:AB8946,1),"")</f>
        <v/>
      </c>
      <c r="AD8946" s="117" t="str">
        <f>IFERROR(INDEX($AA$3:$AA$10000,MATCH(ROWS($AC$3:AC8946),$AC$3:$AC$10000,0)),"")</f>
        <v/>
      </c>
    </row>
    <row r="8947" spans="27:30">
      <c r="AA8947" s="117">
        <f>+'Ingredient List - Mother Tinctu'!D8948</f>
        <v>0</v>
      </c>
      <c r="AB8947" s="117">
        <f t="shared" si="142"/>
        <v>0</v>
      </c>
      <c r="AC8947" s="117" t="str">
        <f>IF(AB8947=1,COUNTIF($AB$3:AB8947,1),"")</f>
        <v/>
      </c>
      <c r="AD8947" s="117" t="str">
        <f>IFERROR(INDEX($AA$3:$AA$10000,MATCH(ROWS($AC$3:AC8947),$AC$3:$AC$10000,0)),"")</f>
        <v/>
      </c>
    </row>
    <row r="8948" spans="27:30">
      <c r="AA8948" s="117">
        <f>+'Ingredient List - Mother Tinctu'!D8949</f>
        <v>0</v>
      </c>
      <c r="AB8948" s="117">
        <f t="shared" si="142"/>
        <v>0</v>
      </c>
      <c r="AC8948" s="117" t="str">
        <f>IF(AB8948=1,COUNTIF($AB$3:AB8948,1),"")</f>
        <v/>
      </c>
      <c r="AD8948" s="117" t="str">
        <f>IFERROR(INDEX($AA$3:$AA$10000,MATCH(ROWS($AC$3:AC8948),$AC$3:$AC$10000,0)),"")</f>
        <v/>
      </c>
    </row>
    <row r="8949" spans="27:30">
      <c r="AA8949" s="117">
        <f>+'Ingredient List - Mother Tinctu'!D8950</f>
        <v>0</v>
      </c>
      <c r="AB8949" s="117">
        <f t="shared" si="142"/>
        <v>0</v>
      </c>
      <c r="AC8949" s="117" t="str">
        <f>IF(AB8949=1,COUNTIF($AB$3:AB8949,1),"")</f>
        <v/>
      </c>
      <c r="AD8949" s="117" t="str">
        <f>IFERROR(INDEX($AA$3:$AA$10000,MATCH(ROWS($AC$3:AC8949),$AC$3:$AC$10000,0)),"")</f>
        <v/>
      </c>
    </row>
    <row r="8950" spans="27:30">
      <c r="AA8950" s="117">
        <f>+'Ingredient List - Mother Tinctu'!D8951</f>
        <v>0</v>
      </c>
      <c r="AB8950" s="117">
        <f t="shared" si="142"/>
        <v>0</v>
      </c>
      <c r="AC8950" s="117" t="str">
        <f>IF(AB8950=1,COUNTIF($AB$3:AB8950,1),"")</f>
        <v/>
      </c>
      <c r="AD8950" s="117" t="str">
        <f>IFERROR(INDEX($AA$3:$AA$10000,MATCH(ROWS($AC$3:AC8950),$AC$3:$AC$10000,0)),"")</f>
        <v/>
      </c>
    </row>
    <row r="8951" spans="27:30">
      <c r="AA8951" s="117">
        <f>+'Ingredient List - Mother Tinctu'!D8952</f>
        <v>0</v>
      </c>
      <c r="AB8951" s="117">
        <f t="shared" si="142"/>
        <v>0</v>
      </c>
      <c r="AC8951" s="117" t="str">
        <f>IF(AB8951=1,COUNTIF($AB$3:AB8951,1),"")</f>
        <v/>
      </c>
      <c r="AD8951" s="117" t="str">
        <f>IFERROR(INDEX($AA$3:$AA$10000,MATCH(ROWS($AC$3:AC8951),$AC$3:$AC$10000,0)),"")</f>
        <v/>
      </c>
    </row>
    <row r="8952" spans="27:30">
      <c r="AA8952" s="117">
        <f>+'Ingredient List - Mother Tinctu'!D8953</f>
        <v>0</v>
      </c>
      <c r="AB8952" s="117">
        <f t="shared" si="142"/>
        <v>0</v>
      </c>
      <c r="AC8952" s="117" t="str">
        <f>IF(AB8952=1,COUNTIF($AB$3:AB8952,1),"")</f>
        <v/>
      </c>
      <c r="AD8952" s="117" t="str">
        <f>IFERROR(INDEX($AA$3:$AA$10000,MATCH(ROWS($AC$3:AC8952),$AC$3:$AC$10000,0)),"")</f>
        <v/>
      </c>
    </row>
    <row r="8953" spans="27:30">
      <c r="AA8953" s="117">
        <f>+'Ingredient List - Mother Tinctu'!D8954</f>
        <v>0</v>
      </c>
      <c r="AB8953" s="117">
        <f t="shared" si="142"/>
        <v>0</v>
      </c>
      <c r="AC8953" s="117" t="str">
        <f>IF(AB8953=1,COUNTIF($AB$3:AB8953,1),"")</f>
        <v/>
      </c>
      <c r="AD8953" s="117" t="str">
        <f>IFERROR(INDEX($AA$3:$AA$10000,MATCH(ROWS($AC$3:AC8953),$AC$3:$AC$10000,0)),"")</f>
        <v/>
      </c>
    </row>
    <row r="8954" spans="27:30">
      <c r="AA8954" s="117">
        <f>+'Ingredient List - Mother Tinctu'!D8955</f>
        <v>0</v>
      </c>
      <c r="AB8954" s="117">
        <f t="shared" si="142"/>
        <v>0</v>
      </c>
      <c r="AC8954" s="117" t="str">
        <f>IF(AB8954=1,COUNTIF($AB$3:AB8954,1),"")</f>
        <v/>
      </c>
      <c r="AD8954" s="117" t="str">
        <f>IFERROR(INDEX($AA$3:$AA$10000,MATCH(ROWS($AC$3:AC8954),$AC$3:$AC$10000,0)),"")</f>
        <v/>
      </c>
    </row>
    <row r="8955" spans="27:30">
      <c r="AA8955" s="117">
        <f>+'Ingredient List - Mother Tinctu'!D8956</f>
        <v>0</v>
      </c>
      <c r="AB8955" s="117">
        <f t="shared" si="142"/>
        <v>0</v>
      </c>
      <c r="AC8955" s="117" t="str">
        <f>IF(AB8955=1,COUNTIF($AB$3:AB8955,1),"")</f>
        <v/>
      </c>
      <c r="AD8955" s="117" t="str">
        <f>IFERROR(INDEX($AA$3:$AA$10000,MATCH(ROWS($AC$3:AC8955),$AC$3:$AC$10000,0)),"")</f>
        <v/>
      </c>
    </row>
    <row r="8956" spans="27:30">
      <c r="AA8956" s="117">
        <f>+'Ingredient List - Mother Tinctu'!D8957</f>
        <v>0</v>
      </c>
      <c r="AB8956" s="117">
        <f t="shared" si="142"/>
        <v>0</v>
      </c>
      <c r="AC8956" s="117" t="str">
        <f>IF(AB8956=1,COUNTIF($AB$3:AB8956,1),"")</f>
        <v/>
      </c>
      <c r="AD8956" s="117" t="str">
        <f>IFERROR(INDEX($AA$3:$AA$10000,MATCH(ROWS($AC$3:AC8956),$AC$3:$AC$10000,0)),"")</f>
        <v/>
      </c>
    </row>
    <row r="8957" spans="27:30">
      <c r="AA8957" s="117">
        <f>+'Ingredient List - Mother Tinctu'!D8958</f>
        <v>0</v>
      </c>
      <c r="AB8957" s="117">
        <f t="shared" si="142"/>
        <v>0</v>
      </c>
      <c r="AC8957" s="117" t="str">
        <f>IF(AB8957=1,COUNTIF($AB$3:AB8957,1),"")</f>
        <v/>
      </c>
      <c r="AD8957" s="117" t="str">
        <f>IFERROR(INDEX($AA$3:$AA$10000,MATCH(ROWS($AC$3:AC8957),$AC$3:$AC$10000,0)),"")</f>
        <v/>
      </c>
    </row>
    <row r="8958" spans="27:30">
      <c r="AA8958" s="117">
        <f>+'Ingredient List - Mother Tinctu'!D8959</f>
        <v>0</v>
      </c>
      <c r="AB8958" s="117">
        <f t="shared" si="142"/>
        <v>0</v>
      </c>
      <c r="AC8958" s="117" t="str">
        <f>IF(AB8958=1,COUNTIF($AB$3:AB8958,1),"")</f>
        <v/>
      </c>
      <c r="AD8958" s="117" t="str">
        <f>IFERROR(INDEX($AA$3:$AA$10000,MATCH(ROWS($AC$3:AC8958),$AC$3:$AC$10000,0)),"")</f>
        <v/>
      </c>
    </row>
    <row r="8959" spans="27:30">
      <c r="AA8959" s="117">
        <f>+'Ingredient List - Mother Tinctu'!D8960</f>
        <v>0</v>
      </c>
      <c r="AB8959" s="117">
        <f t="shared" si="142"/>
        <v>0</v>
      </c>
      <c r="AC8959" s="117" t="str">
        <f>IF(AB8959=1,COUNTIF($AB$3:AB8959,1),"")</f>
        <v/>
      </c>
      <c r="AD8959" s="117" t="str">
        <f>IFERROR(INDEX($AA$3:$AA$10000,MATCH(ROWS($AC$3:AC8959),$AC$3:$AC$10000,0)),"")</f>
        <v/>
      </c>
    </row>
    <row r="8960" spans="27:30">
      <c r="AA8960" s="117">
        <f>+'Ingredient List - Mother Tinctu'!D8961</f>
        <v>0</v>
      </c>
      <c r="AB8960" s="117">
        <f t="shared" si="142"/>
        <v>0</v>
      </c>
      <c r="AC8960" s="117" t="str">
        <f>IF(AB8960=1,COUNTIF($AB$3:AB8960,1),"")</f>
        <v/>
      </c>
      <c r="AD8960" s="117" t="str">
        <f>IFERROR(INDEX($AA$3:$AA$10000,MATCH(ROWS($AC$3:AC8960),$AC$3:$AC$10000,0)),"")</f>
        <v/>
      </c>
    </row>
    <row r="8961" spans="27:30">
      <c r="AA8961" s="117">
        <f>+'Ingredient List - Mother Tinctu'!D8962</f>
        <v>0</v>
      </c>
      <c r="AB8961" s="117">
        <f t="shared" si="142"/>
        <v>0</v>
      </c>
      <c r="AC8961" s="117" t="str">
        <f>IF(AB8961=1,COUNTIF($AB$3:AB8961,1),"")</f>
        <v/>
      </c>
      <c r="AD8961" s="117" t="str">
        <f>IFERROR(INDEX($AA$3:$AA$10000,MATCH(ROWS($AC$3:AC8961),$AC$3:$AC$10000,0)),"")</f>
        <v/>
      </c>
    </row>
    <row r="8962" spans="27:30">
      <c r="AA8962" s="117">
        <f>+'Ingredient List - Mother Tinctu'!D8963</f>
        <v>0</v>
      </c>
      <c r="AB8962" s="117">
        <f t="shared" si="142"/>
        <v>0</v>
      </c>
      <c r="AC8962" s="117" t="str">
        <f>IF(AB8962=1,COUNTIF($AB$3:AB8962,1),"")</f>
        <v/>
      </c>
      <c r="AD8962" s="117" t="str">
        <f>IFERROR(INDEX($AA$3:$AA$10000,MATCH(ROWS($AC$3:AC8962),$AC$3:$AC$10000,0)),"")</f>
        <v/>
      </c>
    </row>
    <row r="8963" spans="27:30">
      <c r="AA8963" s="117">
        <f>+'Ingredient List - Mother Tinctu'!D8964</f>
        <v>0</v>
      </c>
      <c r="AB8963" s="117">
        <f t="shared" si="142"/>
        <v>0</v>
      </c>
      <c r="AC8963" s="117" t="str">
        <f>IF(AB8963=1,COUNTIF($AB$3:AB8963,1),"")</f>
        <v/>
      </c>
      <c r="AD8963" s="117" t="str">
        <f>IFERROR(INDEX($AA$3:$AA$10000,MATCH(ROWS($AC$3:AC8963),$AC$3:$AC$10000,0)),"")</f>
        <v/>
      </c>
    </row>
    <row r="8964" spans="27:30">
      <c r="AA8964" s="117">
        <f>+'Ingredient List - Mother Tinctu'!D8965</f>
        <v>0</v>
      </c>
      <c r="AB8964" s="117">
        <f t="shared" ref="AB8964:AB9027" si="143">--ISNUMBER(IFERROR(SEARCH($D$3,AA8964,1),""))</f>
        <v>0</v>
      </c>
      <c r="AC8964" s="117" t="str">
        <f>IF(AB8964=1,COUNTIF($AB$3:AB8964,1),"")</f>
        <v/>
      </c>
      <c r="AD8964" s="117" t="str">
        <f>IFERROR(INDEX($AA$3:$AA$10000,MATCH(ROWS($AC$3:AC8964),$AC$3:$AC$10000,0)),"")</f>
        <v/>
      </c>
    </row>
    <row r="8965" spans="27:30">
      <c r="AA8965" s="117">
        <f>+'Ingredient List - Mother Tinctu'!D8966</f>
        <v>0</v>
      </c>
      <c r="AB8965" s="117">
        <f t="shared" si="143"/>
        <v>0</v>
      </c>
      <c r="AC8965" s="117" t="str">
        <f>IF(AB8965=1,COUNTIF($AB$3:AB8965,1),"")</f>
        <v/>
      </c>
      <c r="AD8965" s="117" t="str">
        <f>IFERROR(INDEX($AA$3:$AA$10000,MATCH(ROWS($AC$3:AC8965),$AC$3:$AC$10000,0)),"")</f>
        <v/>
      </c>
    </row>
    <row r="8966" spans="27:30">
      <c r="AA8966" s="117">
        <f>+'Ingredient List - Mother Tinctu'!D8967</f>
        <v>0</v>
      </c>
      <c r="AB8966" s="117">
        <f t="shared" si="143"/>
        <v>0</v>
      </c>
      <c r="AC8966" s="117" t="str">
        <f>IF(AB8966=1,COUNTIF($AB$3:AB8966,1),"")</f>
        <v/>
      </c>
      <c r="AD8966" s="117" t="str">
        <f>IFERROR(INDEX($AA$3:$AA$10000,MATCH(ROWS($AC$3:AC8966),$AC$3:$AC$10000,0)),"")</f>
        <v/>
      </c>
    </row>
    <row r="8967" spans="27:30">
      <c r="AA8967" s="117">
        <f>+'Ingredient List - Mother Tinctu'!D8968</f>
        <v>0</v>
      </c>
      <c r="AB8967" s="117">
        <f t="shared" si="143"/>
        <v>0</v>
      </c>
      <c r="AC8967" s="117" t="str">
        <f>IF(AB8967=1,COUNTIF($AB$3:AB8967,1),"")</f>
        <v/>
      </c>
      <c r="AD8967" s="117" t="str">
        <f>IFERROR(INDEX($AA$3:$AA$10000,MATCH(ROWS($AC$3:AC8967),$AC$3:$AC$10000,0)),"")</f>
        <v/>
      </c>
    </row>
    <row r="8968" spans="27:30">
      <c r="AA8968" s="117">
        <f>+'Ingredient List - Mother Tinctu'!D8969</f>
        <v>0</v>
      </c>
      <c r="AB8968" s="117">
        <f t="shared" si="143"/>
        <v>0</v>
      </c>
      <c r="AC8968" s="117" t="str">
        <f>IF(AB8968=1,COUNTIF($AB$3:AB8968,1),"")</f>
        <v/>
      </c>
      <c r="AD8968" s="117" t="str">
        <f>IFERROR(INDEX($AA$3:$AA$10000,MATCH(ROWS($AC$3:AC8968),$AC$3:$AC$10000,0)),"")</f>
        <v/>
      </c>
    </row>
    <row r="8969" spans="27:30">
      <c r="AA8969" s="117">
        <f>+'Ingredient List - Mother Tinctu'!D8970</f>
        <v>0</v>
      </c>
      <c r="AB8969" s="117">
        <f t="shared" si="143"/>
        <v>0</v>
      </c>
      <c r="AC8969" s="117" t="str">
        <f>IF(AB8969=1,COUNTIF($AB$3:AB8969,1),"")</f>
        <v/>
      </c>
      <c r="AD8969" s="117" t="str">
        <f>IFERROR(INDEX($AA$3:$AA$10000,MATCH(ROWS($AC$3:AC8969),$AC$3:$AC$10000,0)),"")</f>
        <v/>
      </c>
    </row>
    <row r="8970" spans="27:30">
      <c r="AA8970" s="117">
        <f>+'Ingredient List - Mother Tinctu'!D8971</f>
        <v>0</v>
      </c>
      <c r="AB8970" s="117">
        <f t="shared" si="143"/>
        <v>0</v>
      </c>
      <c r="AC8970" s="117" t="str">
        <f>IF(AB8970=1,COUNTIF($AB$3:AB8970,1),"")</f>
        <v/>
      </c>
      <c r="AD8970" s="117" t="str">
        <f>IFERROR(INDEX($AA$3:$AA$10000,MATCH(ROWS($AC$3:AC8970),$AC$3:$AC$10000,0)),"")</f>
        <v/>
      </c>
    </row>
    <row r="8971" spans="27:30">
      <c r="AA8971" s="117">
        <f>+'Ingredient List - Mother Tinctu'!D8972</f>
        <v>0</v>
      </c>
      <c r="AB8971" s="117">
        <f t="shared" si="143"/>
        <v>0</v>
      </c>
      <c r="AC8971" s="117" t="str">
        <f>IF(AB8971=1,COUNTIF($AB$3:AB8971,1),"")</f>
        <v/>
      </c>
      <c r="AD8971" s="117" t="str">
        <f>IFERROR(INDEX($AA$3:$AA$10000,MATCH(ROWS($AC$3:AC8971),$AC$3:$AC$10000,0)),"")</f>
        <v/>
      </c>
    </row>
    <row r="8972" spans="27:30">
      <c r="AA8972" s="117">
        <f>+'Ingredient List - Mother Tinctu'!D8973</f>
        <v>0</v>
      </c>
      <c r="AB8972" s="117">
        <f t="shared" si="143"/>
        <v>0</v>
      </c>
      <c r="AC8972" s="117" t="str">
        <f>IF(AB8972=1,COUNTIF($AB$3:AB8972,1),"")</f>
        <v/>
      </c>
      <c r="AD8972" s="117" t="str">
        <f>IFERROR(INDEX($AA$3:$AA$10000,MATCH(ROWS($AC$3:AC8972),$AC$3:$AC$10000,0)),"")</f>
        <v/>
      </c>
    </row>
    <row r="8973" spans="27:30">
      <c r="AA8973" s="117">
        <f>+'Ingredient List - Mother Tinctu'!D8974</f>
        <v>0</v>
      </c>
      <c r="AB8973" s="117">
        <f t="shared" si="143"/>
        <v>0</v>
      </c>
      <c r="AC8973" s="117" t="str">
        <f>IF(AB8973=1,COUNTIF($AB$3:AB8973,1),"")</f>
        <v/>
      </c>
      <c r="AD8973" s="117" t="str">
        <f>IFERROR(INDEX($AA$3:$AA$10000,MATCH(ROWS($AC$3:AC8973),$AC$3:$AC$10000,0)),"")</f>
        <v/>
      </c>
    </row>
    <row r="8974" spans="27:30">
      <c r="AA8974" s="117">
        <f>+'Ingredient List - Mother Tinctu'!D8975</f>
        <v>0</v>
      </c>
      <c r="AB8974" s="117">
        <f t="shared" si="143"/>
        <v>0</v>
      </c>
      <c r="AC8974" s="117" t="str">
        <f>IF(AB8974=1,COUNTIF($AB$3:AB8974,1),"")</f>
        <v/>
      </c>
      <c r="AD8974" s="117" t="str">
        <f>IFERROR(INDEX($AA$3:$AA$10000,MATCH(ROWS($AC$3:AC8974),$AC$3:$AC$10000,0)),"")</f>
        <v/>
      </c>
    </row>
    <row r="8975" spans="27:30">
      <c r="AA8975" s="117">
        <f>+'Ingredient List - Mother Tinctu'!D8976</f>
        <v>0</v>
      </c>
      <c r="AB8975" s="117">
        <f t="shared" si="143"/>
        <v>0</v>
      </c>
      <c r="AC8975" s="117" t="str">
        <f>IF(AB8975=1,COUNTIF($AB$3:AB8975,1),"")</f>
        <v/>
      </c>
      <c r="AD8975" s="117" t="str">
        <f>IFERROR(INDEX($AA$3:$AA$10000,MATCH(ROWS($AC$3:AC8975),$AC$3:$AC$10000,0)),"")</f>
        <v/>
      </c>
    </row>
    <row r="8976" spans="27:30">
      <c r="AA8976" s="117">
        <f>+'Ingredient List - Mother Tinctu'!D8977</f>
        <v>0</v>
      </c>
      <c r="AB8976" s="117">
        <f t="shared" si="143"/>
        <v>0</v>
      </c>
      <c r="AC8976" s="117" t="str">
        <f>IF(AB8976=1,COUNTIF($AB$3:AB8976,1),"")</f>
        <v/>
      </c>
      <c r="AD8976" s="117" t="str">
        <f>IFERROR(INDEX($AA$3:$AA$10000,MATCH(ROWS($AC$3:AC8976),$AC$3:$AC$10000,0)),"")</f>
        <v/>
      </c>
    </row>
    <row r="8977" spans="27:30">
      <c r="AA8977" s="117">
        <f>+'Ingredient List - Mother Tinctu'!D8978</f>
        <v>0</v>
      </c>
      <c r="AB8977" s="117">
        <f t="shared" si="143"/>
        <v>0</v>
      </c>
      <c r="AC8977" s="117" t="str">
        <f>IF(AB8977=1,COUNTIF($AB$3:AB8977,1),"")</f>
        <v/>
      </c>
      <c r="AD8977" s="117" t="str">
        <f>IFERROR(INDEX($AA$3:$AA$10000,MATCH(ROWS($AC$3:AC8977),$AC$3:$AC$10000,0)),"")</f>
        <v/>
      </c>
    </row>
    <row r="8978" spans="27:30">
      <c r="AA8978" s="117">
        <f>+'Ingredient List - Mother Tinctu'!D8979</f>
        <v>0</v>
      </c>
      <c r="AB8978" s="117">
        <f t="shared" si="143"/>
        <v>0</v>
      </c>
      <c r="AC8978" s="117" t="str">
        <f>IF(AB8978=1,COUNTIF($AB$3:AB8978,1),"")</f>
        <v/>
      </c>
      <c r="AD8978" s="117" t="str">
        <f>IFERROR(INDEX($AA$3:$AA$10000,MATCH(ROWS($AC$3:AC8978),$AC$3:$AC$10000,0)),"")</f>
        <v/>
      </c>
    </row>
    <row r="8979" spans="27:30">
      <c r="AA8979" s="117">
        <f>+'Ingredient List - Mother Tinctu'!D8980</f>
        <v>0</v>
      </c>
      <c r="AB8979" s="117">
        <f t="shared" si="143"/>
        <v>0</v>
      </c>
      <c r="AC8979" s="117" t="str">
        <f>IF(AB8979=1,COUNTIF($AB$3:AB8979,1),"")</f>
        <v/>
      </c>
      <c r="AD8979" s="117" t="str">
        <f>IFERROR(INDEX($AA$3:$AA$10000,MATCH(ROWS($AC$3:AC8979),$AC$3:$AC$10000,0)),"")</f>
        <v/>
      </c>
    </row>
    <row r="8980" spans="27:30">
      <c r="AA8980" s="117">
        <f>+'Ingredient List - Mother Tinctu'!D8981</f>
        <v>0</v>
      </c>
      <c r="AB8980" s="117">
        <f t="shared" si="143"/>
        <v>0</v>
      </c>
      <c r="AC8980" s="117" t="str">
        <f>IF(AB8980=1,COUNTIF($AB$3:AB8980,1),"")</f>
        <v/>
      </c>
      <c r="AD8980" s="117" t="str">
        <f>IFERROR(INDEX($AA$3:$AA$10000,MATCH(ROWS($AC$3:AC8980),$AC$3:$AC$10000,0)),"")</f>
        <v/>
      </c>
    </row>
    <row r="8981" spans="27:30">
      <c r="AA8981" s="117">
        <f>+'Ingredient List - Mother Tinctu'!D8982</f>
        <v>0</v>
      </c>
      <c r="AB8981" s="117">
        <f t="shared" si="143"/>
        <v>0</v>
      </c>
      <c r="AC8981" s="117" t="str">
        <f>IF(AB8981=1,COUNTIF($AB$3:AB8981,1),"")</f>
        <v/>
      </c>
      <c r="AD8981" s="117" t="str">
        <f>IFERROR(INDEX($AA$3:$AA$10000,MATCH(ROWS($AC$3:AC8981),$AC$3:$AC$10000,0)),"")</f>
        <v/>
      </c>
    </row>
    <row r="8982" spans="27:30">
      <c r="AA8982" s="117">
        <f>+'Ingredient List - Mother Tinctu'!D8983</f>
        <v>0</v>
      </c>
      <c r="AB8982" s="117">
        <f t="shared" si="143"/>
        <v>0</v>
      </c>
      <c r="AC8982" s="117" t="str">
        <f>IF(AB8982=1,COUNTIF($AB$3:AB8982,1),"")</f>
        <v/>
      </c>
      <c r="AD8982" s="117" t="str">
        <f>IFERROR(INDEX($AA$3:$AA$10000,MATCH(ROWS($AC$3:AC8982),$AC$3:$AC$10000,0)),"")</f>
        <v/>
      </c>
    </row>
    <row r="8983" spans="27:30">
      <c r="AA8983" s="117">
        <f>+'Ingredient List - Mother Tinctu'!D8984</f>
        <v>0</v>
      </c>
      <c r="AB8983" s="117">
        <f t="shared" si="143"/>
        <v>0</v>
      </c>
      <c r="AC8983" s="117" t="str">
        <f>IF(AB8983=1,COUNTIF($AB$3:AB8983,1),"")</f>
        <v/>
      </c>
      <c r="AD8983" s="117" t="str">
        <f>IFERROR(INDEX($AA$3:$AA$10000,MATCH(ROWS($AC$3:AC8983),$AC$3:$AC$10000,0)),"")</f>
        <v/>
      </c>
    </row>
    <row r="8984" spans="27:30">
      <c r="AA8984" s="117">
        <f>+'Ingredient List - Mother Tinctu'!D8985</f>
        <v>0</v>
      </c>
      <c r="AB8984" s="117">
        <f t="shared" si="143"/>
        <v>0</v>
      </c>
      <c r="AC8984" s="117" t="str">
        <f>IF(AB8984=1,COUNTIF($AB$3:AB8984,1),"")</f>
        <v/>
      </c>
      <c r="AD8984" s="117" t="str">
        <f>IFERROR(INDEX($AA$3:$AA$10000,MATCH(ROWS($AC$3:AC8984),$AC$3:$AC$10000,0)),"")</f>
        <v/>
      </c>
    </row>
    <row r="8985" spans="27:30">
      <c r="AA8985" s="117">
        <f>+'Ingredient List - Mother Tinctu'!D8986</f>
        <v>0</v>
      </c>
      <c r="AB8985" s="117">
        <f t="shared" si="143"/>
        <v>0</v>
      </c>
      <c r="AC8985" s="117" t="str">
        <f>IF(AB8985=1,COUNTIF($AB$3:AB8985,1),"")</f>
        <v/>
      </c>
      <c r="AD8985" s="117" t="str">
        <f>IFERROR(INDEX($AA$3:$AA$10000,MATCH(ROWS($AC$3:AC8985),$AC$3:$AC$10000,0)),"")</f>
        <v/>
      </c>
    </row>
    <row r="8986" spans="27:30">
      <c r="AA8986" s="117">
        <f>+'Ingredient List - Mother Tinctu'!D8987</f>
        <v>0</v>
      </c>
      <c r="AB8986" s="117">
        <f t="shared" si="143"/>
        <v>0</v>
      </c>
      <c r="AC8986" s="117" t="str">
        <f>IF(AB8986=1,COUNTIF($AB$3:AB8986,1),"")</f>
        <v/>
      </c>
      <c r="AD8986" s="117" t="str">
        <f>IFERROR(INDEX($AA$3:$AA$10000,MATCH(ROWS($AC$3:AC8986),$AC$3:$AC$10000,0)),"")</f>
        <v/>
      </c>
    </row>
    <row r="8987" spans="27:30">
      <c r="AA8987" s="117">
        <f>+'Ingredient List - Mother Tinctu'!D8988</f>
        <v>0</v>
      </c>
      <c r="AB8987" s="117">
        <f t="shared" si="143"/>
        <v>0</v>
      </c>
      <c r="AC8987" s="117" t="str">
        <f>IF(AB8987=1,COUNTIF($AB$3:AB8987,1),"")</f>
        <v/>
      </c>
      <c r="AD8987" s="117" t="str">
        <f>IFERROR(INDEX($AA$3:$AA$10000,MATCH(ROWS($AC$3:AC8987),$AC$3:$AC$10000,0)),"")</f>
        <v/>
      </c>
    </row>
    <row r="8988" spans="27:30">
      <c r="AA8988" s="117">
        <f>+'Ingredient List - Mother Tinctu'!D8989</f>
        <v>0</v>
      </c>
      <c r="AB8988" s="117">
        <f t="shared" si="143"/>
        <v>0</v>
      </c>
      <c r="AC8988" s="117" t="str">
        <f>IF(AB8988=1,COUNTIF($AB$3:AB8988,1),"")</f>
        <v/>
      </c>
      <c r="AD8988" s="117" t="str">
        <f>IFERROR(INDEX($AA$3:$AA$10000,MATCH(ROWS($AC$3:AC8988),$AC$3:$AC$10000,0)),"")</f>
        <v/>
      </c>
    </row>
    <row r="8989" spans="27:30">
      <c r="AA8989" s="117">
        <f>+'Ingredient List - Mother Tinctu'!D8990</f>
        <v>0</v>
      </c>
      <c r="AB8989" s="117">
        <f t="shared" si="143"/>
        <v>0</v>
      </c>
      <c r="AC8989" s="117" t="str">
        <f>IF(AB8989=1,COUNTIF($AB$3:AB8989,1),"")</f>
        <v/>
      </c>
      <c r="AD8989" s="117" t="str">
        <f>IFERROR(INDEX($AA$3:$AA$10000,MATCH(ROWS($AC$3:AC8989),$AC$3:$AC$10000,0)),"")</f>
        <v/>
      </c>
    </row>
    <row r="8990" spans="27:30">
      <c r="AA8990" s="117">
        <f>+'Ingredient List - Mother Tinctu'!D8991</f>
        <v>0</v>
      </c>
      <c r="AB8990" s="117">
        <f t="shared" si="143"/>
        <v>0</v>
      </c>
      <c r="AC8990" s="117" t="str">
        <f>IF(AB8990=1,COUNTIF($AB$3:AB8990,1),"")</f>
        <v/>
      </c>
      <c r="AD8990" s="117" t="str">
        <f>IFERROR(INDEX($AA$3:$AA$10000,MATCH(ROWS($AC$3:AC8990),$AC$3:$AC$10000,0)),"")</f>
        <v/>
      </c>
    </row>
    <row r="8991" spans="27:30">
      <c r="AA8991" s="117">
        <f>+'Ingredient List - Mother Tinctu'!D8992</f>
        <v>0</v>
      </c>
      <c r="AB8991" s="117">
        <f t="shared" si="143"/>
        <v>0</v>
      </c>
      <c r="AC8991" s="117" t="str">
        <f>IF(AB8991=1,COUNTIF($AB$3:AB8991,1),"")</f>
        <v/>
      </c>
      <c r="AD8991" s="117" t="str">
        <f>IFERROR(INDEX($AA$3:$AA$10000,MATCH(ROWS($AC$3:AC8991),$AC$3:$AC$10000,0)),"")</f>
        <v/>
      </c>
    </row>
    <row r="8992" spans="27:30">
      <c r="AA8992" s="117">
        <f>+'Ingredient List - Mother Tinctu'!D8993</f>
        <v>0</v>
      </c>
      <c r="AB8992" s="117">
        <f t="shared" si="143"/>
        <v>0</v>
      </c>
      <c r="AC8992" s="117" t="str">
        <f>IF(AB8992=1,COUNTIF($AB$3:AB8992,1),"")</f>
        <v/>
      </c>
      <c r="AD8992" s="117" t="str">
        <f>IFERROR(INDEX($AA$3:$AA$10000,MATCH(ROWS($AC$3:AC8992),$AC$3:$AC$10000,0)),"")</f>
        <v/>
      </c>
    </row>
    <row r="8993" spans="27:30">
      <c r="AA8993" s="117">
        <f>+'Ingredient List - Mother Tinctu'!D8994</f>
        <v>0</v>
      </c>
      <c r="AB8993" s="117">
        <f t="shared" si="143"/>
        <v>0</v>
      </c>
      <c r="AC8993" s="117" t="str">
        <f>IF(AB8993=1,COUNTIF($AB$3:AB8993,1),"")</f>
        <v/>
      </c>
      <c r="AD8993" s="117" t="str">
        <f>IFERROR(INDEX($AA$3:$AA$10000,MATCH(ROWS($AC$3:AC8993),$AC$3:$AC$10000,0)),"")</f>
        <v/>
      </c>
    </row>
    <row r="8994" spans="27:30">
      <c r="AA8994" s="117">
        <f>+'Ingredient List - Mother Tinctu'!D8995</f>
        <v>0</v>
      </c>
      <c r="AB8994" s="117">
        <f t="shared" si="143"/>
        <v>0</v>
      </c>
      <c r="AC8994" s="117" t="str">
        <f>IF(AB8994=1,COUNTIF($AB$3:AB8994,1),"")</f>
        <v/>
      </c>
      <c r="AD8994" s="117" t="str">
        <f>IFERROR(INDEX($AA$3:$AA$10000,MATCH(ROWS($AC$3:AC8994),$AC$3:$AC$10000,0)),"")</f>
        <v/>
      </c>
    </row>
    <row r="8995" spans="27:30">
      <c r="AA8995" s="117">
        <f>+'Ingredient List - Mother Tinctu'!D8996</f>
        <v>0</v>
      </c>
      <c r="AB8995" s="117">
        <f t="shared" si="143"/>
        <v>0</v>
      </c>
      <c r="AC8995" s="117" t="str">
        <f>IF(AB8995=1,COUNTIF($AB$3:AB8995,1),"")</f>
        <v/>
      </c>
      <c r="AD8995" s="117" t="str">
        <f>IFERROR(INDEX($AA$3:$AA$10000,MATCH(ROWS($AC$3:AC8995),$AC$3:$AC$10000,0)),"")</f>
        <v/>
      </c>
    </row>
    <row r="8996" spans="27:30">
      <c r="AA8996" s="117">
        <f>+'Ingredient List - Mother Tinctu'!D8997</f>
        <v>0</v>
      </c>
      <c r="AB8996" s="117">
        <f t="shared" si="143"/>
        <v>0</v>
      </c>
      <c r="AC8996" s="117" t="str">
        <f>IF(AB8996=1,COUNTIF($AB$3:AB8996,1),"")</f>
        <v/>
      </c>
      <c r="AD8996" s="117" t="str">
        <f>IFERROR(INDEX($AA$3:$AA$10000,MATCH(ROWS($AC$3:AC8996),$AC$3:$AC$10000,0)),"")</f>
        <v/>
      </c>
    </row>
    <row r="8997" spans="27:30">
      <c r="AA8997" s="117">
        <f>+'Ingredient List - Mother Tinctu'!D8998</f>
        <v>0</v>
      </c>
      <c r="AB8997" s="117">
        <f t="shared" si="143"/>
        <v>0</v>
      </c>
      <c r="AC8997" s="117" t="str">
        <f>IF(AB8997=1,COUNTIF($AB$3:AB8997,1),"")</f>
        <v/>
      </c>
      <c r="AD8997" s="117" t="str">
        <f>IFERROR(INDEX($AA$3:$AA$10000,MATCH(ROWS($AC$3:AC8997),$AC$3:$AC$10000,0)),"")</f>
        <v/>
      </c>
    </row>
    <row r="8998" spans="27:30">
      <c r="AA8998" s="117">
        <f>+'Ingredient List - Mother Tinctu'!D8999</f>
        <v>0</v>
      </c>
      <c r="AB8998" s="117">
        <f t="shared" si="143"/>
        <v>0</v>
      </c>
      <c r="AC8998" s="117" t="str">
        <f>IF(AB8998=1,COUNTIF($AB$3:AB8998,1),"")</f>
        <v/>
      </c>
      <c r="AD8998" s="117" t="str">
        <f>IFERROR(INDEX($AA$3:$AA$10000,MATCH(ROWS($AC$3:AC8998),$AC$3:$AC$10000,0)),"")</f>
        <v/>
      </c>
    </row>
    <row r="8999" spans="27:30">
      <c r="AA8999" s="117">
        <f>+'Ingredient List - Mother Tinctu'!D9000</f>
        <v>0</v>
      </c>
      <c r="AB8999" s="117">
        <f t="shared" si="143"/>
        <v>0</v>
      </c>
      <c r="AC8999" s="117" t="str">
        <f>IF(AB8999=1,COUNTIF($AB$3:AB8999,1),"")</f>
        <v/>
      </c>
      <c r="AD8999" s="117" t="str">
        <f>IFERROR(INDEX($AA$3:$AA$10000,MATCH(ROWS($AC$3:AC8999),$AC$3:$AC$10000,0)),"")</f>
        <v/>
      </c>
    </row>
    <row r="9000" spans="27:30">
      <c r="AA9000" s="117">
        <f>+'Ingredient List - Mother Tinctu'!D9001</f>
        <v>0</v>
      </c>
      <c r="AB9000" s="117">
        <f t="shared" si="143"/>
        <v>0</v>
      </c>
      <c r="AC9000" s="117" t="str">
        <f>IF(AB9000=1,COUNTIF($AB$3:AB9000,1),"")</f>
        <v/>
      </c>
      <c r="AD9000" s="117" t="str">
        <f>IFERROR(INDEX($AA$3:$AA$10000,MATCH(ROWS($AC$3:AC9000),$AC$3:$AC$10000,0)),"")</f>
        <v/>
      </c>
    </row>
    <row r="9001" spans="27:30">
      <c r="AA9001" s="117">
        <f>+'Ingredient List - Mother Tinctu'!D9002</f>
        <v>0</v>
      </c>
      <c r="AB9001" s="117">
        <f t="shared" si="143"/>
        <v>0</v>
      </c>
      <c r="AC9001" s="117" t="str">
        <f>IF(AB9001=1,COUNTIF($AB$3:AB9001,1),"")</f>
        <v/>
      </c>
      <c r="AD9001" s="117" t="str">
        <f>IFERROR(INDEX($AA$3:$AA$10000,MATCH(ROWS($AC$3:AC9001),$AC$3:$AC$10000,0)),"")</f>
        <v/>
      </c>
    </row>
    <row r="9002" spans="27:30">
      <c r="AA9002" s="117">
        <f>+'Ingredient List - Mother Tinctu'!D9003</f>
        <v>0</v>
      </c>
      <c r="AB9002" s="117">
        <f t="shared" si="143"/>
        <v>0</v>
      </c>
      <c r="AC9002" s="117" t="str">
        <f>IF(AB9002=1,COUNTIF($AB$3:AB9002,1),"")</f>
        <v/>
      </c>
      <c r="AD9002" s="117" t="str">
        <f>IFERROR(INDEX($AA$3:$AA$10000,MATCH(ROWS($AC$3:AC9002),$AC$3:$AC$10000,0)),"")</f>
        <v/>
      </c>
    </row>
    <row r="9003" spans="27:30">
      <c r="AA9003" s="117">
        <f>+'Ingredient List - Mother Tinctu'!D9004</f>
        <v>0</v>
      </c>
      <c r="AB9003" s="117">
        <f t="shared" si="143"/>
        <v>0</v>
      </c>
      <c r="AC9003" s="117" t="str">
        <f>IF(AB9003=1,COUNTIF($AB$3:AB9003,1),"")</f>
        <v/>
      </c>
      <c r="AD9003" s="117" t="str">
        <f>IFERROR(INDEX($AA$3:$AA$10000,MATCH(ROWS($AC$3:AC9003),$AC$3:$AC$10000,0)),"")</f>
        <v/>
      </c>
    </row>
    <row r="9004" spans="27:30">
      <c r="AA9004" s="117">
        <f>+'Ingredient List - Mother Tinctu'!D9005</f>
        <v>0</v>
      </c>
      <c r="AB9004" s="117">
        <f t="shared" si="143"/>
        <v>0</v>
      </c>
      <c r="AC9004" s="117" t="str">
        <f>IF(AB9004=1,COUNTIF($AB$3:AB9004,1),"")</f>
        <v/>
      </c>
      <c r="AD9004" s="117" t="str">
        <f>IFERROR(INDEX($AA$3:$AA$10000,MATCH(ROWS($AC$3:AC9004),$AC$3:$AC$10000,0)),"")</f>
        <v/>
      </c>
    </row>
    <row r="9005" spans="27:30">
      <c r="AA9005" s="117">
        <f>+'Ingredient List - Mother Tinctu'!D9006</f>
        <v>0</v>
      </c>
      <c r="AB9005" s="117">
        <f t="shared" si="143"/>
        <v>0</v>
      </c>
      <c r="AC9005" s="117" t="str">
        <f>IF(AB9005=1,COUNTIF($AB$3:AB9005,1),"")</f>
        <v/>
      </c>
      <c r="AD9005" s="117" t="str">
        <f>IFERROR(INDEX($AA$3:$AA$10000,MATCH(ROWS($AC$3:AC9005),$AC$3:$AC$10000,0)),"")</f>
        <v/>
      </c>
    </row>
    <row r="9006" spans="27:30">
      <c r="AA9006" s="117">
        <f>+'Ingredient List - Mother Tinctu'!D9007</f>
        <v>0</v>
      </c>
      <c r="AB9006" s="117">
        <f t="shared" si="143"/>
        <v>0</v>
      </c>
      <c r="AC9006" s="117" t="str">
        <f>IF(AB9006=1,COUNTIF($AB$3:AB9006,1),"")</f>
        <v/>
      </c>
      <c r="AD9006" s="117" t="str">
        <f>IFERROR(INDEX($AA$3:$AA$10000,MATCH(ROWS($AC$3:AC9006),$AC$3:$AC$10000,0)),"")</f>
        <v/>
      </c>
    </row>
    <row r="9007" spans="27:30">
      <c r="AA9007" s="117">
        <f>+'Ingredient List - Mother Tinctu'!D9008</f>
        <v>0</v>
      </c>
      <c r="AB9007" s="117">
        <f t="shared" si="143"/>
        <v>0</v>
      </c>
      <c r="AC9007" s="117" t="str">
        <f>IF(AB9007=1,COUNTIF($AB$3:AB9007,1),"")</f>
        <v/>
      </c>
      <c r="AD9007" s="117" t="str">
        <f>IFERROR(INDEX($AA$3:$AA$10000,MATCH(ROWS($AC$3:AC9007),$AC$3:$AC$10000,0)),"")</f>
        <v/>
      </c>
    </row>
    <row r="9008" spans="27:30">
      <c r="AA9008" s="117">
        <f>+'Ingredient List - Mother Tinctu'!D9009</f>
        <v>0</v>
      </c>
      <c r="AB9008" s="117">
        <f t="shared" si="143"/>
        <v>0</v>
      </c>
      <c r="AC9008" s="117" t="str">
        <f>IF(AB9008=1,COUNTIF($AB$3:AB9008,1),"")</f>
        <v/>
      </c>
      <c r="AD9008" s="117" t="str">
        <f>IFERROR(INDEX($AA$3:$AA$10000,MATCH(ROWS($AC$3:AC9008),$AC$3:$AC$10000,0)),"")</f>
        <v/>
      </c>
    </row>
    <row r="9009" spans="27:30">
      <c r="AA9009" s="117">
        <f>+'Ingredient List - Mother Tinctu'!D9010</f>
        <v>0</v>
      </c>
      <c r="AB9009" s="117">
        <f t="shared" si="143"/>
        <v>0</v>
      </c>
      <c r="AC9009" s="117" t="str">
        <f>IF(AB9009=1,COUNTIF($AB$3:AB9009,1),"")</f>
        <v/>
      </c>
      <c r="AD9009" s="117" t="str">
        <f>IFERROR(INDEX($AA$3:$AA$10000,MATCH(ROWS($AC$3:AC9009),$AC$3:$AC$10000,0)),"")</f>
        <v/>
      </c>
    </row>
    <row r="9010" spans="27:30">
      <c r="AA9010" s="117">
        <f>+'Ingredient List - Mother Tinctu'!D9011</f>
        <v>0</v>
      </c>
      <c r="AB9010" s="117">
        <f t="shared" si="143"/>
        <v>0</v>
      </c>
      <c r="AC9010" s="117" t="str">
        <f>IF(AB9010=1,COUNTIF($AB$3:AB9010,1),"")</f>
        <v/>
      </c>
      <c r="AD9010" s="117" t="str">
        <f>IFERROR(INDEX($AA$3:$AA$10000,MATCH(ROWS($AC$3:AC9010),$AC$3:$AC$10000,0)),"")</f>
        <v/>
      </c>
    </row>
    <row r="9011" spans="27:30">
      <c r="AA9011" s="117">
        <f>+'Ingredient List - Mother Tinctu'!D9012</f>
        <v>0</v>
      </c>
      <c r="AB9011" s="117">
        <f t="shared" si="143"/>
        <v>0</v>
      </c>
      <c r="AC9011" s="117" t="str">
        <f>IF(AB9011=1,COUNTIF($AB$3:AB9011,1),"")</f>
        <v/>
      </c>
      <c r="AD9011" s="117" t="str">
        <f>IFERROR(INDEX($AA$3:$AA$10000,MATCH(ROWS($AC$3:AC9011),$AC$3:$AC$10000,0)),"")</f>
        <v/>
      </c>
    </row>
    <row r="9012" spans="27:30">
      <c r="AA9012" s="117">
        <f>+'Ingredient List - Mother Tinctu'!D9013</f>
        <v>0</v>
      </c>
      <c r="AB9012" s="117">
        <f t="shared" si="143"/>
        <v>0</v>
      </c>
      <c r="AC9012" s="117" t="str">
        <f>IF(AB9012=1,COUNTIF($AB$3:AB9012,1),"")</f>
        <v/>
      </c>
      <c r="AD9012" s="117" t="str">
        <f>IFERROR(INDEX($AA$3:$AA$10000,MATCH(ROWS($AC$3:AC9012),$AC$3:$AC$10000,0)),"")</f>
        <v/>
      </c>
    </row>
    <row r="9013" spans="27:30">
      <c r="AA9013" s="117">
        <f>+'Ingredient List - Mother Tinctu'!D9014</f>
        <v>0</v>
      </c>
      <c r="AB9013" s="117">
        <f t="shared" si="143"/>
        <v>0</v>
      </c>
      <c r="AC9013" s="117" t="str">
        <f>IF(AB9013=1,COUNTIF($AB$3:AB9013,1),"")</f>
        <v/>
      </c>
      <c r="AD9013" s="117" t="str">
        <f>IFERROR(INDEX($AA$3:$AA$10000,MATCH(ROWS($AC$3:AC9013),$AC$3:$AC$10000,0)),"")</f>
        <v/>
      </c>
    </row>
    <row r="9014" spans="27:30">
      <c r="AA9014" s="117">
        <f>+'Ingredient List - Mother Tinctu'!D9015</f>
        <v>0</v>
      </c>
      <c r="AB9014" s="117">
        <f t="shared" si="143"/>
        <v>0</v>
      </c>
      <c r="AC9014" s="117" t="str">
        <f>IF(AB9014=1,COUNTIF($AB$3:AB9014,1),"")</f>
        <v/>
      </c>
      <c r="AD9014" s="117" t="str">
        <f>IFERROR(INDEX($AA$3:$AA$10000,MATCH(ROWS($AC$3:AC9014),$AC$3:$AC$10000,0)),"")</f>
        <v/>
      </c>
    </row>
    <row r="9015" spans="27:30">
      <c r="AA9015" s="117">
        <f>+'Ingredient List - Mother Tinctu'!D9016</f>
        <v>0</v>
      </c>
      <c r="AB9015" s="117">
        <f t="shared" si="143"/>
        <v>0</v>
      </c>
      <c r="AC9015" s="117" t="str">
        <f>IF(AB9015=1,COUNTIF($AB$3:AB9015,1),"")</f>
        <v/>
      </c>
      <c r="AD9015" s="117" t="str">
        <f>IFERROR(INDEX($AA$3:$AA$10000,MATCH(ROWS($AC$3:AC9015),$AC$3:$AC$10000,0)),"")</f>
        <v/>
      </c>
    </row>
    <row r="9016" spans="27:30">
      <c r="AA9016" s="117">
        <f>+'Ingredient List - Mother Tinctu'!D9017</f>
        <v>0</v>
      </c>
      <c r="AB9016" s="117">
        <f t="shared" si="143"/>
        <v>0</v>
      </c>
      <c r="AC9016" s="117" t="str">
        <f>IF(AB9016=1,COUNTIF($AB$3:AB9016,1),"")</f>
        <v/>
      </c>
      <c r="AD9016" s="117" t="str">
        <f>IFERROR(INDEX($AA$3:$AA$10000,MATCH(ROWS($AC$3:AC9016),$AC$3:$AC$10000,0)),"")</f>
        <v/>
      </c>
    </row>
    <row r="9017" spans="27:30">
      <c r="AA9017" s="117">
        <f>+'Ingredient List - Mother Tinctu'!D9018</f>
        <v>0</v>
      </c>
      <c r="AB9017" s="117">
        <f t="shared" si="143"/>
        <v>0</v>
      </c>
      <c r="AC9017" s="117" t="str">
        <f>IF(AB9017=1,COUNTIF($AB$3:AB9017,1),"")</f>
        <v/>
      </c>
      <c r="AD9017" s="117" t="str">
        <f>IFERROR(INDEX($AA$3:$AA$10000,MATCH(ROWS($AC$3:AC9017),$AC$3:$AC$10000,0)),"")</f>
        <v/>
      </c>
    </row>
    <row r="9018" spans="27:30">
      <c r="AA9018" s="117">
        <f>+'Ingredient List - Mother Tinctu'!D9019</f>
        <v>0</v>
      </c>
      <c r="AB9018" s="117">
        <f t="shared" si="143"/>
        <v>0</v>
      </c>
      <c r="AC9018" s="117" t="str">
        <f>IF(AB9018=1,COUNTIF($AB$3:AB9018,1),"")</f>
        <v/>
      </c>
      <c r="AD9018" s="117" t="str">
        <f>IFERROR(INDEX($AA$3:$AA$10000,MATCH(ROWS($AC$3:AC9018),$AC$3:$AC$10000,0)),"")</f>
        <v/>
      </c>
    </row>
    <row r="9019" spans="27:30">
      <c r="AA9019" s="117">
        <f>+'Ingredient List - Mother Tinctu'!D9020</f>
        <v>0</v>
      </c>
      <c r="AB9019" s="117">
        <f t="shared" si="143"/>
        <v>0</v>
      </c>
      <c r="AC9019" s="117" t="str">
        <f>IF(AB9019=1,COUNTIF($AB$3:AB9019,1),"")</f>
        <v/>
      </c>
      <c r="AD9019" s="117" t="str">
        <f>IFERROR(INDEX($AA$3:$AA$10000,MATCH(ROWS($AC$3:AC9019),$AC$3:$AC$10000,0)),"")</f>
        <v/>
      </c>
    </row>
    <row r="9020" spans="27:30">
      <c r="AA9020" s="117">
        <f>+'Ingredient List - Mother Tinctu'!D9021</f>
        <v>0</v>
      </c>
      <c r="AB9020" s="117">
        <f t="shared" si="143"/>
        <v>0</v>
      </c>
      <c r="AC9020" s="117" t="str">
        <f>IF(AB9020=1,COUNTIF($AB$3:AB9020,1),"")</f>
        <v/>
      </c>
      <c r="AD9020" s="117" t="str">
        <f>IFERROR(INDEX($AA$3:$AA$10000,MATCH(ROWS($AC$3:AC9020),$AC$3:$AC$10000,0)),"")</f>
        <v/>
      </c>
    </row>
    <row r="9021" spans="27:30">
      <c r="AA9021" s="117">
        <f>+'Ingredient List - Mother Tinctu'!D9022</f>
        <v>0</v>
      </c>
      <c r="AB9021" s="117">
        <f t="shared" si="143"/>
        <v>0</v>
      </c>
      <c r="AC9021" s="117" t="str">
        <f>IF(AB9021=1,COUNTIF($AB$3:AB9021,1),"")</f>
        <v/>
      </c>
      <c r="AD9021" s="117" t="str">
        <f>IFERROR(INDEX($AA$3:$AA$10000,MATCH(ROWS($AC$3:AC9021),$AC$3:$AC$10000,0)),"")</f>
        <v/>
      </c>
    </row>
    <row r="9022" spans="27:30">
      <c r="AA9022" s="117">
        <f>+'Ingredient List - Mother Tinctu'!D9023</f>
        <v>0</v>
      </c>
      <c r="AB9022" s="117">
        <f t="shared" si="143"/>
        <v>0</v>
      </c>
      <c r="AC9022" s="117" t="str">
        <f>IF(AB9022=1,COUNTIF($AB$3:AB9022,1),"")</f>
        <v/>
      </c>
      <c r="AD9022" s="117" t="str">
        <f>IFERROR(INDEX($AA$3:$AA$10000,MATCH(ROWS($AC$3:AC9022),$AC$3:$AC$10000,0)),"")</f>
        <v/>
      </c>
    </row>
    <row r="9023" spans="27:30">
      <c r="AA9023" s="117">
        <f>+'Ingredient List - Mother Tinctu'!D9024</f>
        <v>0</v>
      </c>
      <c r="AB9023" s="117">
        <f t="shared" si="143"/>
        <v>0</v>
      </c>
      <c r="AC9023" s="117" t="str">
        <f>IF(AB9023=1,COUNTIF($AB$3:AB9023,1),"")</f>
        <v/>
      </c>
      <c r="AD9023" s="117" t="str">
        <f>IFERROR(INDEX($AA$3:$AA$10000,MATCH(ROWS($AC$3:AC9023),$AC$3:$AC$10000,0)),"")</f>
        <v/>
      </c>
    </row>
    <row r="9024" spans="27:30">
      <c r="AA9024" s="117">
        <f>+'Ingredient List - Mother Tinctu'!D9025</f>
        <v>0</v>
      </c>
      <c r="AB9024" s="117">
        <f t="shared" si="143"/>
        <v>0</v>
      </c>
      <c r="AC9024" s="117" t="str">
        <f>IF(AB9024=1,COUNTIF($AB$3:AB9024,1),"")</f>
        <v/>
      </c>
      <c r="AD9024" s="117" t="str">
        <f>IFERROR(INDEX($AA$3:$AA$10000,MATCH(ROWS($AC$3:AC9024),$AC$3:$AC$10000,0)),"")</f>
        <v/>
      </c>
    </row>
    <row r="9025" spans="27:30">
      <c r="AA9025" s="117">
        <f>+'Ingredient List - Mother Tinctu'!D9026</f>
        <v>0</v>
      </c>
      <c r="AB9025" s="117">
        <f t="shared" si="143"/>
        <v>0</v>
      </c>
      <c r="AC9025" s="117" t="str">
        <f>IF(AB9025=1,COUNTIF($AB$3:AB9025,1),"")</f>
        <v/>
      </c>
      <c r="AD9025" s="117" t="str">
        <f>IFERROR(INDEX($AA$3:$AA$10000,MATCH(ROWS($AC$3:AC9025),$AC$3:$AC$10000,0)),"")</f>
        <v/>
      </c>
    </row>
    <row r="9026" spans="27:30">
      <c r="AA9026" s="117">
        <f>+'Ingredient List - Mother Tinctu'!D9027</f>
        <v>0</v>
      </c>
      <c r="AB9026" s="117">
        <f t="shared" si="143"/>
        <v>0</v>
      </c>
      <c r="AC9026" s="117" t="str">
        <f>IF(AB9026=1,COUNTIF($AB$3:AB9026,1),"")</f>
        <v/>
      </c>
      <c r="AD9026" s="117" t="str">
        <f>IFERROR(INDEX($AA$3:$AA$10000,MATCH(ROWS($AC$3:AC9026),$AC$3:$AC$10000,0)),"")</f>
        <v/>
      </c>
    </row>
    <row r="9027" spans="27:30">
      <c r="AA9027" s="117">
        <f>+'Ingredient List - Mother Tinctu'!D9028</f>
        <v>0</v>
      </c>
      <c r="AB9027" s="117">
        <f t="shared" si="143"/>
        <v>0</v>
      </c>
      <c r="AC9027" s="117" t="str">
        <f>IF(AB9027=1,COUNTIF($AB$3:AB9027,1),"")</f>
        <v/>
      </c>
      <c r="AD9027" s="117" t="str">
        <f>IFERROR(INDEX($AA$3:$AA$10000,MATCH(ROWS($AC$3:AC9027),$AC$3:$AC$10000,0)),"")</f>
        <v/>
      </c>
    </row>
    <row r="9028" spans="27:30">
      <c r="AA9028" s="117">
        <f>+'Ingredient List - Mother Tinctu'!D9029</f>
        <v>0</v>
      </c>
      <c r="AB9028" s="117">
        <f t="shared" ref="AB9028:AB9091" si="144">--ISNUMBER(IFERROR(SEARCH($D$3,AA9028,1),""))</f>
        <v>0</v>
      </c>
      <c r="AC9028" s="117" t="str">
        <f>IF(AB9028=1,COUNTIF($AB$3:AB9028,1),"")</f>
        <v/>
      </c>
      <c r="AD9028" s="117" t="str">
        <f>IFERROR(INDEX($AA$3:$AA$10000,MATCH(ROWS($AC$3:AC9028),$AC$3:$AC$10000,0)),"")</f>
        <v/>
      </c>
    </row>
    <row r="9029" spans="27:30">
      <c r="AA9029" s="117">
        <f>+'Ingredient List - Mother Tinctu'!D9030</f>
        <v>0</v>
      </c>
      <c r="AB9029" s="117">
        <f t="shared" si="144"/>
        <v>0</v>
      </c>
      <c r="AC9029" s="117" t="str">
        <f>IF(AB9029=1,COUNTIF($AB$3:AB9029,1),"")</f>
        <v/>
      </c>
      <c r="AD9029" s="117" t="str">
        <f>IFERROR(INDEX($AA$3:$AA$10000,MATCH(ROWS($AC$3:AC9029),$AC$3:$AC$10000,0)),"")</f>
        <v/>
      </c>
    </row>
    <row r="9030" spans="27:30">
      <c r="AA9030" s="117">
        <f>+'Ingredient List - Mother Tinctu'!D9031</f>
        <v>0</v>
      </c>
      <c r="AB9030" s="117">
        <f t="shared" si="144"/>
        <v>0</v>
      </c>
      <c r="AC9030" s="117" t="str">
        <f>IF(AB9030=1,COUNTIF($AB$3:AB9030,1),"")</f>
        <v/>
      </c>
      <c r="AD9030" s="117" t="str">
        <f>IFERROR(INDEX($AA$3:$AA$10000,MATCH(ROWS($AC$3:AC9030),$AC$3:$AC$10000,0)),"")</f>
        <v/>
      </c>
    </row>
    <row r="9031" spans="27:30">
      <c r="AA9031" s="117">
        <f>+'Ingredient List - Mother Tinctu'!D9032</f>
        <v>0</v>
      </c>
      <c r="AB9031" s="117">
        <f t="shared" si="144"/>
        <v>0</v>
      </c>
      <c r="AC9031" s="117" t="str">
        <f>IF(AB9031=1,COUNTIF($AB$3:AB9031,1),"")</f>
        <v/>
      </c>
      <c r="AD9031" s="117" t="str">
        <f>IFERROR(INDEX($AA$3:$AA$10000,MATCH(ROWS($AC$3:AC9031),$AC$3:$AC$10000,0)),"")</f>
        <v/>
      </c>
    </row>
    <row r="9032" spans="27:30">
      <c r="AA9032" s="117">
        <f>+'Ingredient List - Mother Tinctu'!D9033</f>
        <v>0</v>
      </c>
      <c r="AB9032" s="117">
        <f t="shared" si="144"/>
        <v>0</v>
      </c>
      <c r="AC9032" s="117" t="str">
        <f>IF(AB9032=1,COUNTIF($AB$3:AB9032,1),"")</f>
        <v/>
      </c>
      <c r="AD9032" s="117" t="str">
        <f>IFERROR(INDEX($AA$3:$AA$10000,MATCH(ROWS($AC$3:AC9032),$AC$3:$AC$10000,0)),"")</f>
        <v/>
      </c>
    </row>
    <row r="9033" spans="27:30">
      <c r="AA9033" s="117">
        <f>+'Ingredient List - Mother Tinctu'!D9034</f>
        <v>0</v>
      </c>
      <c r="AB9033" s="117">
        <f t="shared" si="144"/>
        <v>0</v>
      </c>
      <c r="AC9033" s="117" t="str">
        <f>IF(AB9033=1,COUNTIF($AB$3:AB9033,1),"")</f>
        <v/>
      </c>
      <c r="AD9033" s="117" t="str">
        <f>IFERROR(INDEX($AA$3:$AA$10000,MATCH(ROWS($AC$3:AC9033),$AC$3:$AC$10000,0)),"")</f>
        <v/>
      </c>
    </row>
    <row r="9034" spans="27:30">
      <c r="AA9034" s="117">
        <f>+'Ingredient List - Mother Tinctu'!D9035</f>
        <v>0</v>
      </c>
      <c r="AB9034" s="117">
        <f t="shared" si="144"/>
        <v>0</v>
      </c>
      <c r="AC9034" s="117" t="str">
        <f>IF(AB9034=1,COUNTIF($AB$3:AB9034,1),"")</f>
        <v/>
      </c>
      <c r="AD9034" s="117" t="str">
        <f>IFERROR(INDEX($AA$3:$AA$10000,MATCH(ROWS($AC$3:AC9034),$AC$3:$AC$10000,0)),"")</f>
        <v/>
      </c>
    </row>
    <row r="9035" spans="27:30">
      <c r="AA9035" s="117">
        <f>+'Ingredient List - Mother Tinctu'!D9036</f>
        <v>0</v>
      </c>
      <c r="AB9035" s="117">
        <f t="shared" si="144"/>
        <v>0</v>
      </c>
      <c r="AC9035" s="117" t="str">
        <f>IF(AB9035=1,COUNTIF($AB$3:AB9035,1),"")</f>
        <v/>
      </c>
      <c r="AD9035" s="117" t="str">
        <f>IFERROR(INDEX($AA$3:$AA$10000,MATCH(ROWS($AC$3:AC9035),$AC$3:$AC$10000,0)),"")</f>
        <v/>
      </c>
    </row>
    <row r="9036" spans="27:30">
      <c r="AA9036" s="117">
        <f>+'Ingredient List - Mother Tinctu'!D9037</f>
        <v>0</v>
      </c>
      <c r="AB9036" s="117">
        <f t="shared" si="144"/>
        <v>0</v>
      </c>
      <c r="AC9036" s="117" t="str">
        <f>IF(AB9036=1,COUNTIF($AB$3:AB9036,1),"")</f>
        <v/>
      </c>
      <c r="AD9036" s="117" t="str">
        <f>IFERROR(INDEX($AA$3:$AA$10000,MATCH(ROWS($AC$3:AC9036),$AC$3:$AC$10000,0)),"")</f>
        <v/>
      </c>
    </row>
    <row r="9037" spans="27:30">
      <c r="AA9037" s="117">
        <f>+'Ingredient List - Mother Tinctu'!D9038</f>
        <v>0</v>
      </c>
      <c r="AB9037" s="117">
        <f t="shared" si="144"/>
        <v>0</v>
      </c>
      <c r="AC9037" s="117" t="str">
        <f>IF(AB9037=1,COUNTIF($AB$3:AB9037,1),"")</f>
        <v/>
      </c>
      <c r="AD9037" s="117" t="str">
        <f>IFERROR(INDEX($AA$3:$AA$10000,MATCH(ROWS($AC$3:AC9037),$AC$3:$AC$10000,0)),"")</f>
        <v/>
      </c>
    </row>
    <row r="9038" spans="27:30">
      <c r="AA9038" s="117">
        <f>+'Ingredient List - Mother Tinctu'!D9039</f>
        <v>0</v>
      </c>
      <c r="AB9038" s="117">
        <f t="shared" si="144"/>
        <v>0</v>
      </c>
      <c r="AC9038" s="117" t="str">
        <f>IF(AB9038=1,COUNTIF($AB$3:AB9038,1),"")</f>
        <v/>
      </c>
      <c r="AD9038" s="117" t="str">
        <f>IFERROR(INDEX($AA$3:$AA$10000,MATCH(ROWS($AC$3:AC9038),$AC$3:$AC$10000,0)),"")</f>
        <v/>
      </c>
    </row>
    <row r="9039" spans="27:30">
      <c r="AA9039" s="117">
        <f>+'Ingredient List - Mother Tinctu'!D9040</f>
        <v>0</v>
      </c>
      <c r="AB9039" s="117">
        <f t="shared" si="144"/>
        <v>0</v>
      </c>
      <c r="AC9039" s="117" t="str">
        <f>IF(AB9039=1,COUNTIF($AB$3:AB9039,1),"")</f>
        <v/>
      </c>
      <c r="AD9039" s="117" t="str">
        <f>IFERROR(INDEX($AA$3:$AA$10000,MATCH(ROWS($AC$3:AC9039),$AC$3:$AC$10000,0)),"")</f>
        <v/>
      </c>
    </row>
    <row r="9040" spans="27:30">
      <c r="AA9040" s="117">
        <f>+'Ingredient List - Mother Tinctu'!D9041</f>
        <v>0</v>
      </c>
      <c r="AB9040" s="117">
        <f t="shared" si="144"/>
        <v>0</v>
      </c>
      <c r="AC9040" s="117" t="str">
        <f>IF(AB9040=1,COUNTIF($AB$3:AB9040,1),"")</f>
        <v/>
      </c>
      <c r="AD9040" s="117" t="str">
        <f>IFERROR(INDEX($AA$3:$AA$10000,MATCH(ROWS($AC$3:AC9040),$AC$3:$AC$10000,0)),"")</f>
        <v/>
      </c>
    </row>
    <row r="9041" spans="27:30">
      <c r="AA9041" s="117">
        <f>+'Ingredient List - Mother Tinctu'!D9042</f>
        <v>0</v>
      </c>
      <c r="AB9041" s="117">
        <f t="shared" si="144"/>
        <v>0</v>
      </c>
      <c r="AC9041" s="117" t="str">
        <f>IF(AB9041=1,COUNTIF($AB$3:AB9041,1),"")</f>
        <v/>
      </c>
      <c r="AD9041" s="117" t="str">
        <f>IFERROR(INDEX($AA$3:$AA$10000,MATCH(ROWS($AC$3:AC9041),$AC$3:$AC$10000,0)),"")</f>
        <v/>
      </c>
    </row>
    <row r="9042" spans="27:30">
      <c r="AA9042" s="117">
        <f>+'Ingredient List - Mother Tinctu'!D9043</f>
        <v>0</v>
      </c>
      <c r="AB9042" s="117">
        <f t="shared" si="144"/>
        <v>0</v>
      </c>
      <c r="AC9042" s="117" t="str">
        <f>IF(AB9042=1,COUNTIF($AB$3:AB9042,1),"")</f>
        <v/>
      </c>
      <c r="AD9042" s="117" t="str">
        <f>IFERROR(INDEX($AA$3:$AA$10000,MATCH(ROWS($AC$3:AC9042),$AC$3:$AC$10000,0)),"")</f>
        <v/>
      </c>
    </row>
    <row r="9043" spans="27:30">
      <c r="AA9043" s="117">
        <f>+'Ingredient List - Mother Tinctu'!D9044</f>
        <v>0</v>
      </c>
      <c r="AB9043" s="117">
        <f t="shared" si="144"/>
        <v>0</v>
      </c>
      <c r="AC9043" s="117" t="str">
        <f>IF(AB9043=1,COUNTIF($AB$3:AB9043,1),"")</f>
        <v/>
      </c>
      <c r="AD9043" s="117" t="str">
        <f>IFERROR(INDEX($AA$3:$AA$10000,MATCH(ROWS($AC$3:AC9043),$AC$3:$AC$10000,0)),"")</f>
        <v/>
      </c>
    </row>
    <row r="9044" spans="27:30">
      <c r="AA9044" s="117">
        <f>+'Ingredient List - Mother Tinctu'!D9045</f>
        <v>0</v>
      </c>
      <c r="AB9044" s="117">
        <f t="shared" si="144"/>
        <v>0</v>
      </c>
      <c r="AC9044" s="117" t="str">
        <f>IF(AB9044=1,COUNTIF($AB$3:AB9044,1),"")</f>
        <v/>
      </c>
      <c r="AD9044" s="117" t="str">
        <f>IFERROR(INDEX($AA$3:$AA$10000,MATCH(ROWS($AC$3:AC9044),$AC$3:$AC$10000,0)),"")</f>
        <v/>
      </c>
    </row>
    <row r="9045" spans="27:30">
      <c r="AA9045" s="117">
        <f>+'Ingredient List - Mother Tinctu'!D9046</f>
        <v>0</v>
      </c>
      <c r="AB9045" s="117">
        <f t="shared" si="144"/>
        <v>0</v>
      </c>
      <c r="AC9045" s="117" t="str">
        <f>IF(AB9045=1,COUNTIF($AB$3:AB9045,1),"")</f>
        <v/>
      </c>
      <c r="AD9045" s="117" t="str">
        <f>IFERROR(INDEX($AA$3:$AA$10000,MATCH(ROWS($AC$3:AC9045),$AC$3:$AC$10000,0)),"")</f>
        <v/>
      </c>
    </row>
    <row r="9046" spans="27:30">
      <c r="AA9046" s="117">
        <f>+'Ingredient List - Mother Tinctu'!D9047</f>
        <v>0</v>
      </c>
      <c r="AB9046" s="117">
        <f t="shared" si="144"/>
        <v>0</v>
      </c>
      <c r="AC9046" s="117" t="str">
        <f>IF(AB9046=1,COUNTIF($AB$3:AB9046,1),"")</f>
        <v/>
      </c>
      <c r="AD9046" s="117" t="str">
        <f>IFERROR(INDEX($AA$3:$AA$10000,MATCH(ROWS($AC$3:AC9046),$AC$3:$AC$10000,0)),"")</f>
        <v/>
      </c>
    </row>
    <row r="9047" spans="27:30">
      <c r="AA9047" s="117">
        <f>+'Ingredient List - Mother Tinctu'!D9048</f>
        <v>0</v>
      </c>
      <c r="AB9047" s="117">
        <f t="shared" si="144"/>
        <v>0</v>
      </c>
      <c r="AC9047" s="117" t="str">
        <f>IF(AB9047=1,COUNTIF($AB$3:AB9047,1),"")</f>
        <v/>
      </c>
      <c r="AD9047" s="117" t="str">
        <f>IFERROR(INDEX($AA$3:$AA$10000,MATCH(ROWS($AC$3:AC9047),$AC$3:$AC$10000,0)),"")</f>
        <v/>
      </c>
    </row>
    <row r="9048" spans="27:30">
      <c r="AA9048" s="117">
        <f>+'Ingredient List - Mother Tinctu'!D9049</f>
        <v>0</v>
      </c>
      <c r="AB9048" s="117">
        <f t="shared" si="144"/>
        <v>0</v>
      </c>
      <c r="AC9048" s="117" t="str">
        <f>IF(AB9048=1,COUNTIF($AB$3:AB9048,1),"")</f>
        <v/>
      </c>
      <c r="AD9048" s="117" t="str">
        <f>IFERROR(INDEX($AA$3:$AA$10000,MATCH(ROWS($AC$3:AC9048),$AC$3:$AC$10000,0)),"")</f>
        <v/>
      </c>
    </row>
    <row r="9049" spans="27:30">
      <c r="AA9049" s="117">
        <f>+'Ingredient List - Mother Tinctu'!D9050</f>
        <v>0</v>
      </c>
      <c r="AB9049" s="117">
        <f t="shared" si="144"/>
        <v>0</v>
      </c>
      <c r="AC9049" s="117" t="str">
        <f>IF(AB9049=1,COUNTIF($AB$3:AB9049,1),"")</f>
        <v/>
      </c>
      <c r="AD9049" s="117" t="str">
        <f>IFERROR(INDEX($AA$3:$AA$10000,MATCH(ROWS($AC$3:AC9049),$AC$3:$AC$10000,0)),"")</f>
        <v/>
      </c>
    </row>
    <row r="9050" spans="27:30">
      <c r="AA9050" s="117">
        <f>+'Ingredient List - Mother Tinctu'!D9051</f>
        <v>0</v>
      </c>
      <c r="AB9050" s="117">
        <f t="shared" si="144"/>
        <v>0</v>
      </c>
      <c r="AC9050" s="117" t="str">
        <f>IF(AB9050=1,COUNTIF($AB$3:AB9050,1),"")</f>
        <v/>
      </c>
      <c r="AD9050" s="117" t="str">
        <f>IFERROR(INDEX($AA$3:$AA$10000,MATCH(ROWS($AC$3:AC9050),$AC$3:$AC$10000,0)),"")</f>
        <v/>
      </c>
    </row>
    <row r="9051" spans="27:30">
      <c r="AA9051" s="117">
        <f>+'Ingredient List - Mother Tinctu'!D9052</f>
        <v>0</v>
      </c>
      <c r="AB9051" s="117">
        <f t="shared" si="144"/>
        <v>0</v>
      </c>
      <c r="AC9051" s="117" t="str">
        <f>IF(AB9051=1,COUNTIF($AB$3:AB9051,1),"")</f>
        <v/>
      </c>
      <c r="AD9051" s="117" t="str">
        <f>IFERROR(INDEX($AA$3:$AA$10000,MATCH(ROWS($AC$3:AC9051),$AC$3:$AC$10000,0)),"")</f>
        <v/>
      </c>
    </row>
    <row r="9052" spans="27:30">
      <c r="AA9052" s="117">
        <f>+'Ingredient List - Mother Tinctu'!D9053</f>
        <v>0</v>
      </c>
      <c r="AB9052" s="117">
        <f t="shared" si="144"/>
        <v>0</v>
      </c>
      <c r="AC9052" s="117" t="str">
        <f>IF(AB9052=1,COUNTIF($AB$3:AB9052,1),"")</f>
        <v/>
      </c>
      <c r="AD9052" s="117" t="str">
        <f>IFERROR(INDEX($AA$3:$AA$10000,MATCH(ROWS($AC$3:AC9052),$AC$3:$AC$10000,0)),"")</f>
        <v/>
      </c>
    </row>
    <row r="9053" spans="27:30">
      <c r="AA9053" s="117">
        <f>+'Ingredient List - Mother Tinctu'!D9054</f>
        <v>0</v>
      </c>
      <c r="AB9053" s="117">
        <f t="shared" si="144"/>
        <v>0</v>
      </c>
      <c r="AC9053" s="117" t="str">
        <f>IF(AB9053=1,COUNTIF($AB$3:AB9053,1),"")</f>
        <v/>
      </c>
      <c r="AD9053" s="117" t="str">
        <f>IFERROR(INDEX($AA$3:$AA$10000,MATCH(ROWS($AC$3:AC9053),$AC$3:$AC$10000,0)),"")</f>
        <v/>
      </c>
    </row>
    <row r="9054" spans="27:30">
      <c r="AA9054" s="117">
        <f>+'Ingredient List - Mother Tinctu'!D9055</f>
        <v>0</v>
      </c>
      <c r="AB9054" s="117">
        <f t="shared" si="144"/>
        <v>0</v>
      </c>
      <c r="AC9054" s="117" t="str">
        <f>IF(AB9054=1,COUNTIF($AB$3:AB9054,1),"")</f>
        <v/>
      </c>
      <c r="AD9054" s="117" t="str">
        <f>IFERROR(INDEX($AA$3:$AA$10000,MATCH(ROWS($AC$3:AC9054),$AC$3:$AC$10000,0)),"")</f>
        <v/>
      </c>
    </row>
    <row r="9055" spans="27:30">
      <c r="AA9055" s="117">
        <f>+'Ingredient List - Mother Tinctu'!D9056</f>
        <v>0</v>
      </c>
      <c r="AB9055" s="117">
        <f t="shared" si="144"/>
        <v>0</v>
      </c>
      <c r="AC9055" s="117" t="str">
        <f>IF(AB9055=1,COUNTIF($AB$3:AB9055,1),"")</f>
        <v/>
      </c>
      <c r="AD9055" s="117" t="str">
        <f>IFERROR(INDEX($AA$3:$AA$10000,MATCH(ROWS($AC$3:AC9055),$AC$3:$AC$10000,0)),"")</f>
        <v/>
      </c>
    </row>
    <row r="9056" spans="27:30">
      <c r="AA9056" s="117">
        <f>+'Ingredient List - Mother Tinctu'!D9057</f>
        <v>0</v>
      </c>
      <c r="AB9056" s="117">
        <f t="shared" si="144"/>
        <v>0</v>
      </c>
      <c r="AC9056" s="117" t="str">
        <f>IF(AB9056=1,COUNTIF($AB$3:AB9056,1),"")</f>
        <v/>
      </c>
      <c r="AD9056" s="117" t="str">
        <f>IFERROR(INDEX($AA$3:$AA$10000,MATCH(ROWS($AC$3:AC9056),$AC$3:$AC$10000,0)),"")</f>
        <v/>
      </c>
    </row>
    <row r="9057" spans="27:30">
      <c r="AA9057" s="117">
        <f>+'Ingredient List - Mother Tinctu'!D9058</f>
        <v>0</v>
      </c>
      <c r="AB9057" s="117">
        <f t="shared" si="144"/>
        <v>0</v>
      </c>
      <c r="AC9057" s="117" t="str">
        <f>IF(AB9057=1,COUNTIF($AB$3:AB9057,1),"")</f>
        <v/>
      </c>
      <c r="AD9057" s="117" t="str">
        <f>IFERROR(INDEX($AA$3:$AA$10000,MATCH(ROWS($AC$3:AC9057),$AC$3:$AC$10000,0)),"")</f>
        <v/>
      </c>
    </row>
    <row r="9058" spans="27:30">
      <c r="AA9058" s="117">
        <f>+'Ingredient List - Mother Tinctu'!D9059</f>
        <v>0</v>
      </c>
      <c r="AB9058" s="117">
        <f t="shared" si="144"/>
        <v>0</v>
      </c>
      <c r="AC9058" s="117" t="str">
        <f>IF(AB9058=1,COUNTIF($AB$3:AB9058,1),"")</f>
        <v/>
      </c>
      <c r="AD9058" s="117" t="str">
        <f>IFERROR(INDEX($AA$3:$AA$10000,MATCH(ROWS($AC$3:AC9058),$AC$3:$AC$10000,0)),"")</f>
        <v/>
      </c>
    </row>
    <row r="9059" spans="27:30">
      <c r="AA9059" s="117">
        <f>+'Ingredient List - Mother Tinctu'!D9060</f>
        <v>0</v>
      </c>
      <c r="AB9059" s="117">
        <f t="shared" si="144"/>
        <v>0</v>
      </c>
      <c r="AC9059" s="117" t="str">
        <f>IF(AB9059=1,COUNTIF($AB$3:AB9059,1),"")</f>
        <v/>
      </c>
      <c r="AD9059" s="117" t="str">
        <f>IFERROR(INDEX($AA$3:$AA$10000,MATCH(ROWS($AC$3:AC9059),$AC$3:$AC$10000,0)),"")</f>
        <v/>
      </c>
    </row>
    <row r="9060" spans="27:30">
      <c r="AA9060" s="117">
        <f>+'Ingredient List - Mother Tinctu'!D9061</f>
        <v>0</v>
      </c>
      <c r="AB9060" s="117">
        <f t="shared" si="144"/>
        <v>0</v>
      </c>
      <c r="AC9060" s="117" t="str">
        <f>IF(AB9060=1,COUNTIF($AB$3:AB9060,1),"")</f>
        <v/>
      </c>
      <c r="AD9060" s="117" t="str">
        <f>IFERROR(INDEX($AA$3:$AA$10000,MATCH(ROWS($AC$3:AC9060),$AC$3:$AC$10000,0)),"")</f>
        <v/>
      </c>
    </row>
    <row r="9061" spans="27:30">
      <c r="AA9061" s="117">
        <f>+'Ingredient List - Mother Tinctu'!D9062</f>
        <v>0</v>
      </c>
      <c r="AB9061" s="117">
        <f t="shared" si="144"/>
        <v>0</v>
      </c>
      <c r="AC9061" s="117" t="str">
        <f>IF(AB9061=1,COUNTIF($AB$3:AB9061,1),"")</f>
        <v/>
      </c>
      <c r="AD9061" s="117" t="str">
        <f>IFERROR(INDEX($AA$3:$AA$10000,MATCH(ROWS($AC$3:AC9061),$AC$3:$AC$10000,0)),"")</f>
        <v/>
      </c>
    </row>
    <row r="9062" spans="27:30">
      <c r="AA9062" s="117">
        <f>+'Ingredient List - Mother Tinctu'!D9063</f>
        <v>0</v>
      </c>
      <c r="AB9062" s="117">
        <f t="shared" si="144"/>
        <v>0</v>
      </c>
      <c r="AC9062" s="117" t="str">
        <f>IF(AB9062=1,COUNTIF($AB$3:AB9062,1),"")</f>
        <v/>
      </c>
      <c r="AD9062" s="117" t="str">
        <f>IFERROR(INDEX($AA$3:$AA$10000,MATCH(ROWS($AC$3:AC9062),$AC$3:$AC$10000,0)),"")</f>
        <v/>
      </c>
    </row>
    <row r="9063" spans="27:30">
      <c r="AA9063" s="117">
        <f>+'Ingredient List - Mother Tinctu'!D9064</f>
        <v>0</v>
      </c>
      <c r="AB9063" s="117">
        <f t="shared" si="144"/>
        <v>0</v>
      </c>
      <c r="AC9063" s="117" t="str">
        <f>IF(AB9063=1,COUNTIF($AB$3:AB9063,1),"")</f>
        <v/>
      </c>
      <c r="AD9063" s="117" t="str">
        <f>IFERROR(INDEX($AA$3:$AA$10000,MATCH(ROWS($AC$3:AC9063),$AC$3:$AC$10000,0)),"")</f>
        <v/>
      </c>
    </row>
    <row r="9064" spans="27:30">
      <c r="AA9064" s="117">
        <f>+'Ingredient List - Mother Tinctu'!D9065</f>
        <v>0</v>
      </c>
      <c r="AB9064" s="117">
        <f t="shared" si="144"/>
        <v>0</v>
      </c>
      <c r="AC9064" s="117" t="str">
        <f>IF(AB9064=1,COUNTIF($AB$3:AB9064,1),"")</f>
        <v/>
      </c>
      <c r="AD9064" s="117" t="str">
        <f>IFERROR(INDEX($AA$3:$AA$10000,MATCH(ROWS($AC$3:AC9064),$AC$3:$AC$10000,0)),"")</f>
        <v/>
      </c>
    </row>
    <row r="9065" spans="27:30">
      <c r="AA9065" s="117">
        <f>+'Ingredient List - Mother Tinctu'!D9066</f>
        <v>0</v>
      </c>
      <c r="AB9065" s="117">
        <f t="shared" si="144"/>
        <v>0</v>
      </c>
      <c r="AC9065" s="117" t="str">
        <f>IF(AB9065=1,COUNTIF($AB$3:AB9065,1),"")</f>
        <v/>
      </c>
      <c r="AD9065" s="117" t="str">
        <f>IFERROR(INDEX($AA$3:$AA$10000,MATCH(ROWS($AC$3:AC9065),$AC$3:$AC$10000,0)),"")</f>
        <v/>
      </c>
    </row>
    <row r="9066" spans="27:30">
      <c r="AA9066" s="117">
        <f>+'Ingredient List - Mother Tinctu'!D9067</f>
        <v>0</v>
      </c>
      <c r="AB9066" s="117">
        <f t="shared" si="144"/>
        <v>0</v>
      </c>
      <c r="AC9066" s="117" t="str">
        <f>IF(AB9066=1,COUNTIF($AB$3:AB9066,1),"")</f>
        <v/>
      </c>
      <c r="AD9066" s="117" t="str">
        <f>IFERROR(INDEX($AA$3:$AA$10000,MATCH(ROWS($AC$3:AC9066),$AC$3:$AC$10000,0)),"")</f>
        <v/>
      </c>
    </row>
    <row r="9067" spans="27:30">
      <c r="AA9067" s="117">
        <f>+'Ingredient List - Mother Tinctu'!D9068</f>
        <v>0</v>
      </c>
      <c r="AB9067" s="117">
        <f t="shared" si="144"/>
        <v>0</v>
      </c>
      <c r="AC9067" s="117" t="str">
        <f>IF(AB9067=1,COUNTIF($AB$3:AB9067,1),"")</f>
        <v/>
      </c>
      <c r="AD9067" s="117" t="str">
        <f>IFERROR(INDEX($AA$3:$AA$10000,MATCH(ROWS($AC$3:AC9067),$AC$3:$AC$10000,0)),"")</f>
        <v/>
      </c>
    </row>
    <row r="9068" spans="27:30">
      <c r="AA9068" s="117">
        <f>+'Ingredient List - Mother Tinctu'!D9069</f>
        <v>0</v>
      </c>
      <c r="AB9068" s="117">
        <f t="shared" si="144"/>
        <v>0</v>
      </c>
      <c r="AC9068" s="117" t="str">
        <f>IF(AB9068=1,COUNTIF($AB$3:AB9068,1),"")</f>
        <v/>
      </c>
      <c r="AD9068" s="117" t="str">
        <f>IFERROR(INDEX($AA$3:$AA$10000,MATCH(ROWS($AC$3:AC9068),$AC$3:$AC$10000,0)),"")</f>
        <v/>
      </c>
    </row>
    <row r="9069" spans="27:30">
      <c r="AA9069" s="117">
        <f>+'Ingredient List - Mother Tinctu'!D9070</f>
        <v>0</v>
      </c>
      <c r="AB9069" s="117">
        <f t="shared" si="144"/>
        <v>0</v>
      </c>
      <c r="AC9069" s="117" t="str">
        <f>IF(AB9069=1,COUNTIF($AB$3:AB9069,1),"")</f>
        <v/>
      </c>
      <c r="AD9069" s="117" t="str">
        <f>IFERROR(INDEX($AA$3:$AA$10000,MATCH(ROWS($AC$3:AC9069),$AC$3:$AC$10000,0)),"")</f>
        <v/>
      </c>
    </row>
    <row r="9070" spans="27:30">
      <c r="AA9070" s="117">
        <f>+'Ingredient List - Mother Tinctu'!D9071</f>
        <v>0</v>
      </c>
      <c r="AB9070" s="117">
        <f t="shared" si="144"/>
        <v>0</v>
      </c>
      <c r="AC9070" s="117" t="str">
        <f>IF(AB9070=1,COUNTIF($AB$3:AB9070,1),"")</f>
        <v/>
      </c>
      <c r="AD9070" s="117" t="str">
        <f>IFERROR(INDEX($AA$3:$AA$10000,MATCH(ROWS($AC$3:AC9070),$AC$3:$AC$10000,0)),"")</f>
        <v/>
      </c>
    </row>
    <row r="9071" spans="27:30">
      <c r="AA9071" s="117">
        <f>+'Ingredient List - Mother Tinctu'!D9072</f>
        <v>0</v>
      </c>
      <c r="AB9071" s="117">
        <f t="shared" si="144"/>
        <v>0</v>
      </c>
      <c r="AC9071" s="117" t="str">
        <f>IF(AB9071=1,COUNTIF($AB$3:AB9071,1),"")</f>
        <v/>
      </c>
      <c r="AD9071" s="117" t="str">
        <f>IFERROR(INDEX($AA$3:$AA$10000,MATCH(ROWS($AC$3:AC9071),$AC$3:$AC$10000,0)),"")</f>
        <v/>
      </c>
    </row>
    <row r="9072" spans="27:30">
      <c r="AA9072" s="117">
        <f>+'Ingredient List - Mother Tinctu'!D9073</f>
        <v>0</v>
      </c>
      <c r="AB9072" s="117">
        <f t="shared" si="144"/>
        <v>0</v>
      </c>
      <c r="AC9072" s="117" t="str">
        <f>IF(AB9072=1,COUNTIF($AB$3:AB9072,1),"")</f>
        <v/>
      </c>
      <c r="AD9072" s="117" t="str">
        <f>IFERROR(INDEX($AA$3:$AA$10000,MATCH(ROWS($AC$3:AC9072),$AC$3:$AC$10000,0)),"")</f>
        <v/>
      </c>
    </row>
    <row r="9073" spans="27:30">
      <c r="AA9073" s="117">
        <f>+'Ingredient List - Mother Tinctu'!D9074</f>
        <v>0</v>
      </c>
      <c r="AB9073" s="117">
        <f t="shared" si="144"/>
        <v>0</v>
      </c>
      <c r="AC9073" s="117" t="str">
        <f>IF(AB9073=1,COUNTIF($AB$3:AB9073,1),"")</f>
        <v/>
      </c>
      <c r="AD9073" s="117" t="str">
        <f>IFERROR(INDEX($AA$3:$AA$10000,MATCH(ROWS($AC$3:AC9073),$AC$3:$AC$10000,0)),"")</f>
        <v/>
      </c>
    </row>
    <row r="9074" spans="27:30">
      <c r="AA9074" s="117">
        <f>+'Ingredient List - Mother Tinctu'!D9075</f>
        <v>0</v>
      </c>
      <c r="AB9074" s="117">
        <f t="shared" si="144"/>
        <v>0</v>
      </c>
      <c r="AC9074" s="117" t="str">
        <f>IF(AB9074=1,COUNTIF($AB$3:AB9074,1),"")</f>
        <v/>
      </c>
      <c r="AD9074" s="117" t="str">
        <f>IFERROR(INDEX($AA$3:$AA$10000,MATCH(ROWS($AC$3:AC9074),$AC$3:$AC$10000,0)),"")</f>
        <v/>
      </c>
    </row>
    <row r="9075" spans="27:30">
      <c r="AA9075" s="117">
        <f>+'Ingredient List - Mother Tinctu'!D9076</f>
        <v>0</v>
      </c>
      <c r="AB9075" s="117">
        <f t="shared" si="144"/>
        <v>0</v>
      </c>
      <c r="AC9075" s="117" t="str">
        <f>IF(AB9075=1,COUNTIF($AB$3:AB9075,1),"")</f>
        <v/>
      </c>
      <c r="AD9075" s="117" t="str">
        <f>IFERROR(INDEX($AA$3:$AA$10000,MATCH(ROWS($AC$3:AC9075),$AC$3:$AC$10000,0)),"")</f>
        <v/>
      </c>
    </row>
    <row r="9076" spans="27:30">
      <c r="AA9076" s="117">
        <f>+'Ingredient List - Mother Tinctu'!D9077</f>
        <v>0</v>
      </c>
      <c r="AB9076" s="117">
        <f t="shared" si="144"/>
        <v>0</v>
      </c>
      <c r="AC9076" s="117" t="str">
        <f>IF(AB9076=1,COUNTIF($AB$3:AB9076,1),"")</f>
        <v/>
      </c>
      <c r="AD9076" s="117" t="str">
        <f>IFERROR(INDEX($AA$3:$AA$10000,MATCH(ROWS($AC$3:AC9076),$AC$3:$AC$10000,0)),"")</f>
        <v/>
      </c>
    </row>
    <row r="9077" spans="27:30">
      <c r="AA9077" s="117">
        <f>+'Ingredient List - Mother Tinctu'!D9078</f>
        <v>0</v>
      </c>
      <c r="AB9077" s="117">
        <f t="shared" si="144"/>
        <v>0</v>
      </c>
      <c r="AC9077" s="117" t="str">
        <f>IF(AB9077=1,COUNTIF($AB$3:AB9077,1),"")</f>
        <v/>
      </c>
      <c r="AD9077" s="117" t="str">
        <f>IFERROR(INDEX($AA$3:$AA$10000,MATCH(ROWS($AC$3:AC9077),$AC$3:$AC$10000,0)),"")</f>
        <v/>
      </c>
    </row>
    <row r="9078" spans="27:30">
      <c r="AA9078" s="117">
        <f>+'Ingredient List - Mother Tinctu'!D9079</f>
        <v>0</v>
      </c>
      <c r="AB9078" s="117">
        <f t="shared" si="144"/>
        <v>0</v>
      </c>
      <c r="AC9078" s="117" t="str">
        <f>IF(AB9078=1,COUNTIF($AB$3:AB9078,1),"")</f>
        <v/>
      </c>
      <c r="AD9078" s="117" t="str">
        <f>IFERROR(INDEX($AA$3:$AA$10000,MATCH(ROWS($AC$3:AC9078),$AC$3:$AC$10000,0)),"")</f>
        <v/>
      </c>
    </row>
    <row r="9079" spans="27:30">
      <c r="AA9079" s="117">
        <f>+'Ingredient List - Mother Tinctu'!D9080</f>
        <v>0</v>
      </c>
      <c r="AB9079" s="117">
        <f t="shared" si="144"/>
        <v>0</v>
      </c>
      <c r="AC9079" s="117" t="str">
        <f>IF(AB9079=1,COUNTIF($AB$3:AB9079,1),"")</f>
        <v/>
      </c>
      <c r="AD9079" s="117" t="str">
        <f>IFERROR(INDEX($AA$3:$AA$10000,MATCH(ROWS($AC$3:AC9079),$AC$3:$AC$10000,0)),"")</f>
        <v/>
      </c>
    </row>
    <row r="9080" spans="27:30">
      <c r="AA9080" s="117">
        <f>+'Ingredient List - Mother Tinctu'!D9081</f>
        <v>0</v>
      </c>
      <c r="AB9080" s="117">
        <f t="shared" si="144"/>
        <v>0</v>
      </c>
      <c r="AC9080" s="117" t="str">
        <f>IF(AB9080=1,COUNTIF($AB$3:AB9080,1),"")</f>
        <v/>
      </c>
      <c r="AD9080" s="117" t="str">
        <f>IFERROR(INDEX($AA$3:$AA$10000,MATCH(ROWS($AC$3:AC9080),$AC$3:$AC$10000,0)),"")</f>
        <v/>
      </c>
    </row>
    <row r="9081" spans="27:30">
      <c r="AA9081" s="117">
        <f>+'Ingredient List - Mother Tinctu'!D9082</f>
        <v>0</v>
      </c>
      <c r="AB9081" s="117">
        <f t="shared" si="144"/>
        <v>0</v>
      </c>
      <c r="AC9081" s="117" t="str">
        <f>IF(AB9081=1,COUNTIF($AB$3:AB9081,1),"")</f>
        <v/>
      </c>
      <c r="AD9081" s="117" t="str">
        <f>IFERROR(INDEX($AA$3:$AA$10000,MATCH(ROWS($AC$3:AC9081),$AC$3:$AC$10000,0)),"")</f>
        <v/>
      </c>
    </row>
    <row r="9082" spans="27:30">
      <c r="AA9082" s="117">
        <f>+'Ingredient List - Mother Tinctu'!D9083</f>
        <v>0</v>
      </c>
      <c r="AB9082" s="117">
        <f t="shared" si="144"/>
        <v>0</v>
      </c>
      <c r="AC9082" s="117" t="str">
        <f>IF(AB9082=1,COUNTIF($AB$3:AB9082,1),"")</f>
        <v/>
      </c>
      <c r="AD9082" s="117" t="str">
        <f>IFERROR(INDEX($AA$3:$AA$10000,MATCH(ROWS($AC$3:AC9082),$AC$3:$AC$10000,0)),"")</f>
        <v/>
      </c>
    </row>
    <row r="9083" spans="27:30">
      <c r="AA9083" s="117">
        <f>+'Ingredient List - Mother Tinctu'!D9084</f>
        <v>0</v>
      </c>
      <c r="AB9083" s="117">
        <f t="shared" si="144"/>
        <v>0</v>
      </c>
      <c r="AC9083" s="117" t="str">
        <f>IF(AB9083=1,COUNTIF($AB$3:AB9083,1),"")</f>
        <v/>
      </c>
      <c r="AD9083" s="117" t="str">
        <f>IFERROR(INDEX($AA$3:$AA$10000,MATCH(ROWS($AC$3:AC9083),$AC$3:$AC$10000,0)),"")</f>
        <v/>
      </c>
    </row>
    <row r="9084" spans="27:30">
      <c r="AA9084" s="117">
        <f>+'Ingredient List - Mother Tinctu'!D9085</f>
        <v>0</v>
      </c>
      <c r="AB9084" s="117">
        <f t="shared" si="144"/>
        <v>0</v>
      </c>
      <c r="AC9084" s="117" t="str">
        <f>IF(AB9084=1,COUNTIF($AB$3:AB9084,1),"")</f>
        <v/>
      </c>
      <c r="AD9084" s="117" t="str">
        <f>IFERROR(INDEX($AA$3:$AA$10000,MATCH(ROWS($AC$3:AC9084),$AC$3:$AC$10000,0)),"")</f>
        <v/>
      </c>
    </row>
    <row r="9085" spans="27:30">
      <c r="AA9085" s="117">
        <f>+'Ingredient List - Mother Tinctu'!D9086</f>
        <v>0</v>
      </c>
      <c r="AB9085" s="117">
        <f t="shared" si="144"/>
        <v>0</v>
      </c>
      <c r="AC9085" s="117" t="str">
        <f>IF(AB9085=1,COUNTIF($AB$3:AB9085,1),"")</f>
        <v/>
      </c>
      <c r="AD9085" s="117" t="str">
        <f>IFERROR(INDEX($AA$3:$AA$10000,MATCH(ROWS($AC$3:AC9085),$AC$3:$AC$10000,0)),"")</f>
        <v/>
      </c>
    </row>
    <row r="9086" spans="27:30">
      <c r="AA9086" s="117">
        <f>+'Ingredient List - Mother Tinctu'!D9087</f>
        <v>0</v>
      </c>
      <c r="AB9086" s="117">
        <f t="shared" si="144"/>
        <v>0</v>
      </c>
      <c r="AC9086" s="117" t="str">
        <f>IF(AB9086=1,COUNTIF($AB$3:AB9086,1),"")</f>
        <v/>
      </c>
      <c r="AD9086" s="117" t="str">
        <f>IFERROR(INDEX($AA$3:$AA$10000,MATCH(ROWS($AC$3:AC9086),$AC$3:$AC$10000,0)),"")</f>
        <v/>
      </c>
    </row>
    <row r="9087" spans="27:30">
      <c r="AA9087" s="117">
        <f>+'Ingredient List - Mother Tinctu'!D9088</f>
        <v>0</v>
      </c>
      <c r="AB9087" s="117">
        <f t="shared" si="144"/>
        <v>0</v>
      </c>
      <c r="AC9087" s="117" t="str">
        <f>IF(AB9087=1,COUNTIF($AB$3:AB9087,1),"")</f>
        <v/>
      </c>
      <c r="AD9087" s="117" t="str">
        <f>IFERROR(INDEX($AA$3:$AA$10000,MATCH(ROWS($AC$3:AC9087),$AC$3:$AC$10000,0)),"")</f>
        <v/>
      </c>
    </row>
    <row r="9088" spans="27:30">
      <c r="AA9088" s="117">
        <f>+'Ingredient List - Mother Tinctu'!D9089</f>
        <v>0</v>
      </c>
      <c r="AB9088" s="117">
        <f t="shared" si="144"/>
        <v>0</v>
      </c>
      <c r="AC9088" s="117" t="str">
        <f>IF(AB9088=1,COUNTIF($AB$3:AB9088,1),"")</f>
        <v/>
      </c>
      <c r="AD9088" s="117" t="str">
        <f>IFERROR(INDEX($AA$3:$AA$10000,MATCH(ROWS($AC$3:AC9088),$AC$3:$AC$10000,0)),"")</f>
        <v/>
      </c>
    </row>
    <row r="9089" spans="27:30">
      <c r="AA9089" s="117">
        <f>+'Ingredient List - Mother Tinctu'!D9090</f>
        <v>0</v>
      </c>
      <c r="AB9089" s="117">
        <f t="shared" si="144"/>
        <v>0</v>
      </c>
      <c r="AC9089" s="117" t="str">
        <f>IF(AB9089=1,COUNTIF($AB$3:AB9089,1),"")</f>
        <v/>
      </c>
      <c r="AD9089" s="117" t="str">
        <f>IFERROR(INDEX($AA$3:$AA$10000,MATCH(ROWS($AC$3:AC9089),$AC$3:$AC$10000,0)),"")</f>
        <v/>
      </c>
    </row>
    <row r="9090" spans="27:30">
      <c r="AA9090" s="117">
        <f>+'Ingredient List - Mother Tinctu'!D9091</f>
        <v>0</v>
      </c>
      <c r="AB9090" s="117">
        <f t="shared" si="144"/>
        <v>0</v>
      </c>
      <c r="AC9090" s="117" t="str">
        <f>IF(AB9090=1,COUNTIF($AB$3:AB9090,1),"")</f>
        <v/>
      </c>
      <c r="AD9090" s="117" t="str">
        <f>IFERROR(INDEX($AA$3:$AA$10000,MATCH(ROWS($AC$3:AC9090),$AC$3:$AC$10000,0)),"")</f>
        <v/>
      </c>
    </row>
    <row r="9091" spans="27:30">
      <c r="AA9091" s="117">
        <f>+'Ingredient List - Mother Tinctu'!D9092</f>
        <v>0</v>
      </c>
      <c r="AB9091" s="117">
        <f t="shared" si="144"/>
        <v>0</v>
      </c>
      <c r="AC9091" s="117" t="str">
        <f>IF(AB9091=1,COUNTIF($AB$3:AB9091,1),"")</f>
        <v/>
      </c>
      <c r="AD9091" s="117" t="str">
        <f>IFERROR(INDEX($AA$3:$AA$10000,MATCH(ROWS($AC$3:AC9091),$AC$3:$AC$10000,0)),"")</f>
        <v/>
      </c>
    </row>
    <row r="9092" spans="27:30">
      <c r="AA9092" s="117">
        <f>+'Ingredient List - Mother Tinctu'!D9093</f>
        <v>0</v>
      </c>
      <c r="AB9092" s="117">
        <f t="shared" ref="AB9092:AB9155" si="145">--ISNUMBER(IFERROR(SEARCH($D$3,AA9092,1),""))</f>
        <v>0</v>
      </c>
      <c r="AC9092" s="117" t="str">
        <f>IF(AB9092=1,COUNTIF($AB$3:AB9092,1),"")</f>
        <v/>
      </c>
      <c r="AD9092" s="117" t="str">
        <f>IFERROR(INDEX($AA$3:$AA$10000,MATCH(ROWS($AC$3:AC9092),$AC$3:$AC$10000,0)),"")</f>
        <v/>
      </c>
    </row>
    <row r="9093" spans="27:30">
      <c r="AA9093" s="117">
        <f>+'Ingredient List - Mother Tinctu'!D9094</f>
        <v>0</v>
      </c>
      <c r="AB9093" s="117">
        <f t="shared" si="145"/>
        <v>0</v>
      </c>
      <c r="AC9093" s="117" t="str">
        <f>IF(AB9093=1,COUNTIF($AB$3:AB9093,1),"")</f>
        <v/>
      </c>
      <c r="AD9093" s="117" t="str">
        <f>IFERROR(INDEX($AA$3:$AA$10000,MATCH(ROWS($AC$3:AC9093),$AC$3:$AC$10000,0)),"")</f>
        <v/>
      </c>
    </row>
    <row r="9094" spans="27:30">
      <c r="AA9094" s="117">
        <f>+'Ingredient List - Mother Tinctu'!D9095</f>
        <v>0</v>
      </c>
      <c r="AB9094" s="117">
        <f t="shared" si="145"/>
        <v>0</v>
      </c>
      <c r="AC9094" s="117" t="str">
        <f>IF(AB9094=1,COUNTIF($AB$3:AB9094,1),"")</f>
        <v/>
      </c>
      <c r="AD9094" s="117" t="str">
        <f>IFERROR(INDEX($AA$3:$AA$10000,MATCH(ROWS($AC$3:AC9094),$AC$3:$AC$10000,0)),"")</f>
        <v/>
      </c>
    </row>
    <row r="9095" spans="27:30">
      <c r="AA9095" s="117">
        <f>+'Ingredient List - Mother Tinctu'!D9096</f>
        <v>0</v>
      </c>
      <c r="AB9095" s="117">
        <f t="shared" si="145"/>
        <v>0</v>
      </c>
      <c r="AC9095" s="117" t="str">
        <f>IF(AB9095=1,COUNTIF($AB$3:AB9095,1),"")</f>
        <v/>
      </c>
      <c r="AD9095" s="117" t="str">
        <f>IFERROR(INDEX($AA$3:$AA$10000,MATCH(ROWS($AC$3:AC9095),$AC$3:$AC$10000,0)),"")</f>
        <v/>
      </c>
    </row>
    <row r="9096" spans="27:30">
      <c r="AA9096" s="117">
        <f>+'Ingredient List - Mother Tinctu'!D9097</f>
        <v>0</v>
      </c>
      <c r="AB9096" s="117">
        <f t="shared" si="145"/>
        <v>0</v>
      </c>
      <c r="AC9096" s="117" t="str">
        <f>IF(AB9096=1,COUNTIF($AB$3:AB9096,1),"")</f>
        <v/>
      </c>
      <c r="AD9096" s="117" t="str">
        <f>IFERROR(INDEX($AA$3:$AA$10000,MATCH(ROWS($AC$3:AC9096),$AC$3:$AC$10000,0)),"")</f>
        <v/>
      </c>
    </row>
    <row r="9097" spans="27:30">
      <c r="AA9097" s="117">
        <f>+'Ingredient List - Mother Tinctu'!D9098</f>
        <v>0</v>
      </c>
      <c r="AB9097" s="117">
        <f t="shared" si="145"/>
        <v>0</v>
      </c>
      <c r="AC9097" s="117" t="str">
        <f>IF(AB9097=1,COUNTIF($AB$3:AB9097,1),"")</f>
        <v/>
      </c>
      <c r="AD9097" s="117" t="str">
        <f>IFERROR(INDEX($AA$3:$AA$10000,MATCH(ROWS($AC$3:AC9097),$AC$3:$AC$10000,0)),"")</f>
        <v/>
      </c>
    </row>
    <row r="9098" spans="27:30">
      <c r="AA9098" s="117">
        <f>+'Ingredient List - Mother Tinctu'!D9099</f>
        <v>0</v>
      </c>
      <c r="AB9098" s="117">
        <f t="shared" si="145"/>
        <v>0</v>
      </c>
      <c r="AC9098" s="117" t="str">
        <f>IF(AB9098=1,COUNTIF($AB$3:AB9098,1),"")</f>
        <v/>
      </c>
      <c r="AD9098" s="117" t="str">
        <f>IFERROR(INDEX($AA$3:$AA$10000,MATCH(ROWS($AC$3:AC9098),$AC$3:$AC$10000,0)),"")</f>
        <v/>
      </c>
    </row>
    <row r="9099" spans="27:30">
      <c r="AA9099" s="117">
        <f>+'Ingredient List - Mother Tinctu'!D9100</f>
        <v>0</v>
      </c>
      <c r="AB9099" s="117">
        <f t="shared" si="145"/>
        <v>0</v>
      </c>
      <c r="AC9099" s="117" t="str">
        <f>IF(AB9099=1,COUNTIF($AB$3:AB9099,1),"")</f>
        <v/>
      </c>
      <c r="AD9099" s="117" t="str">
        <f>IFERROR(INDEX($AA$3:$AA$10000,MATCH(ROWS($AC$3:AC9099),$AC$3:$AC$10000,0)),"")</f>
        <v/>
      </c>
    </row>
    <row r="9100" spans="27:30">
      <c r="AA9100" s="117">
        <f>+'Ingredient List - Mother Tinctu'!D9101</f>
        <v>0</v>
      </c>
      <c r="AB9100" s="117">
        <f t="shared" si="145"/>
        <v>0</v>
      </c>
      <c r="AC9100" s="117" t="str">
        <f>IF(AB9100=1,COUNTIF($AB$3:AB9100,1),"")</f>
        <v/>
      </c>
      <c r="AD9100" s="117" t="str">
        <f>IFERROR(INDEX($AA$3:$AA$10000,MATCH(ROWS($AC$3:AC9100),$AC$3:$AC$10000,0)),"")</f>
        <v/>
      </c>
    </row>
    <row r="9101" spans="27:30">
      <c r="AA9101" s="117">
        <f>+'Ingredient List - Mother Tinctu'!D9102</f>
        <v>0</v>
      </c>
      <c r="AB9101" s="117">
        <f t="shared" si="145"/>
        <v>0</v>
      </c>
      <c r="AC9101" s="117" t="str">
        <f>IF(AB9101=1,COUNTIF($AB$3:AB9101,1),"")</f>
        <v/>
      </c>
      <c r="AD9101" s="117" t="str">
        <f>IFERROR(INDEX($AA$3:$AA$10000,MATCH(ROWS($AC$3:AC9101),$AC$3:$AC$10000,0)),"")</f>
        <v/>
      </c>
    </row>
    <row r="9102" spans="27:30">
      <c r="AA9102" s="117">
        <f>+'Ingredient List - Mother Tinctu'!D9103</f>
        <v>0</v>
      </c>
      <c r="AB9102" s="117">
        <f t="shared" si="145"/>
        <v>0</v>
      </c>
      <c r="AC9102" s="117" t="str">
        <f>IF(AB9102=1,COUNTIF($AB$3:AB9102,1),"")</f>
        <v/>
      </c>
      <c r="AD9102" s="117" t="str">
        <f>IFERROR(INDEX($AA$3:$AA$10000,MATCH(ROWS($AC$3:AC9102),$AC$3:$AC$10000,0)),"")</f>
        <v/>
      </c>
    </row>
    <row r="9103" spans="27:30">
      <c r="AA9103" s="117">
        <f>+'Ingredient List - Mother Tinctu'!D9104</f>
        <v>0</v>
      </c>
      <c r="AB9103" s="117">
        <f t="shared" si="145"/>
        <v>0</v>
      </c>
      <c r="AC9103" s="117" t="str">
        <f>IF(AB9103=1,COUNTIF($AB$3:AB9103,1),"")</f>
        <v/>
      </c>
      <c r="AD9103" s="117" t="str">
        <f>IFERROR(INDEX($AA$3:$AA$10000,MATCH(ROWS($AC$3:AC9103),$AC$3:$AC$10000,0)),"")</f>
        <v/>
      </c>
    </row>
    <row r="9104" spans="27:30">
      <c r="AA9104" s="117">
        <f>+'Ingredient List - Mother Tinctu'!D9105</f>
        <v>0</v>
      </c>
      <c r="AB9104" s="117">
        <f t="shared" si="145"/>
        <v>0</v>
      </c>
      <c r="AC9104" s="117" t="str">
        <f>IF(AB9104=1,COUNTIF($AB$3:AB9104,1),"")</f>
        <v/>
      </c>
      <c r="AD9104" s="117" t="str">
        <f>IFERROR(INDEX($AA$3:$AA$10000,MATCH(ROWS($AC$3:AC9104),$AC$3:$AC$10000,0)),"")</f>
        <v/>
      </c>
    </row>
    <row r="9105" spans="27:30">
      <c r="AA9105" s="117">
        <f>+'Ingredient List - Mother Tinctu'!D9106</f>
        <v>0</v>
      </c>
      <c r="AB9105" s="117">
        <f t="shared" si="145"/>
        <v>0</v>
      </c>
      <c r="AC9105" s="117" t="str">
        <f>IF(AB9105=1,COUNTIF($AB$3:AB9105,1),"")</f>
        <v/>
      </c>
      <c r="AD9105" s="117" t="str">
        <f>IFERROR(INDEX($AA$3:$AA$10000,MATCH(ROWS($AC$3:AC9105),$AC$3:$AC$10000,0)),"")</f>
        <v/>
      </c>
    </row>
    <row r="9106" spans="27:30">
      <c r="AA9106" s="117">
        <f>+'Ingredient List - Mother Tinctu'!D9107</f>
        <v>0</v>
      </c>
      <c r="AB9106" s="117">
        <f t="shared" si="145"/>
        <v>0</v>
      </c>
      <c r="AC9106" s="117" t="str">
        <f>IF(AB9106=1,COUNTIF($AB$3:AB9106,1),"")</f>
        <v/>
      </c>
      <c r="AD9106" s="117" t="str">
        <f>IFERROR(INDEX($AA$3:$AA$10000,MATCH(ROWS($AC$3:AC9106),$AC$3:$AC$10000,0)),"")</f>
        <v/>
      </c>
    </row>
    <row r="9107" spans="27:30">
      <c r="AA9107" s="117">
        <f>+'Ingredient List - Mother Tinctu'!D9108</f>
        <v>0</v>
      </c>
      <c r="AB9107" s="117">
        <f t="shared" si="145"/>
        <v>0</v>
      </c>
      <c r="AC9107" s="117" t="str">
        <f>IF(AB9107=1,COUNTIF($AB$3:AB9107,1),"")</f>
        <v/>
      </c>
      <c r="AD9107" s="117" t="str">
        <f>IFERROR(INDEX($AA$3:$AA$10000,MATCH(ROWS($AC$3:AC9107),$AC$3:$AC$10000,0)),"")</f>
        <v/>
      </c>
    </row>
    <row r="9108" spans="27:30">
      <c r="AA9108" s="117">
        <f>+'Ingredient List - Mother Tinctu'!D9109</f>
        <v>0</v>
      </c>
      <c r="AB9108" s="117">
        <f t="shared" si="145"/>
        <v>0</v>
      </c>
      <c r="AC9108" s="117" t="str">
        <f>IF(AB9108=1,COUNTIF($AB$3:AB9108,1),"")</f>
        <v/>
      </c>
      <c r="AD9108" s="117" t="str">
        <f>IFERROR(INDEX($AA$3:$AA$10000,MATCH(ROWS($AC$3:AC9108),$AC$3:$AC$10000,0)),"")</f>
        <v/>
      </c>
    </row>
    <row r="9109" spans="27:30">
      <c r="AA9109" s="117">
        <f>+'Ingredient List - Mother Tinctu'!D9110</f>
        <v>0</v>
      </c>
      <c r="AB9109" s="117">
        <f t="shared" si="145"/>
        <v>0</v>
      </c>
      <c r="AC9109" s="117" t="str">
        <f>IF(AB9109=1,COUNTIF($AB$3:AB9109,1),"")</f>
        <v/>
      </c>
      <c r="AD9109" s="117" t="str">
        <f>IFERROR(INDEX($AA$3:$AA$10000,MATCH(ROWS($AC$3:AC9109),$AC$3:$AC$10000,0)),"")</f>
        <v/>
      </c>
    </row>
    <row r="9110" spans="27:30">
      <c r="AA9110" s="117">
        <f>+'Ingredient List - Mother Tinctu'!D9111</f>
        <v>0</v>
      </c>
      <c r="AB9110" s="117">
        <f t="shared" si="145"/>
        <v>0</v>
      </c>
      <c r="AC9110" s="117" t="str">
        <f>IF(AB9110=1,COUNTIF($AB$3:AB9110,1),"")</f>
        <v/>
      </c>
      <c r="AD9110" s="117" t="str">
        <f>IFERROR(INDEX($AA$3:$AA$10000,MATCH(ROWS($AC$3:AC9110),$AC$3:$AC$10000,0)),"")</f>
        <v/>
      </c>
    </row>
    <row r="9111" spans="27:30">
      <c r="AA9111" s="117">
        <f>+'Ingredient List - Mother Tinctu'!D9112</f>
        <v>0</v>
      </c>
      <c r="AB9111" s="117">
        <f t="shared" si="145"/>
        <v>0</v>
      </c>
      <c r="AC9111" s="117" t="str">
        <f>IF(AB9111=1,COUNTIF($AB$3:AB9111,1),"")</f>
        <v/>
      </c>
      <c r="AD9111" s="117" t="str">
        <f>IFERROR(INDEX($AA$3:$AA$10000,MATCH(ROWS($AC$3:AC9111),$AC$3:$AC$10000,0)),"")</f>
        <v/>
      </c>
    </row>
    <row r="9112" spans="27:30">
      <c r="AA9112" s="117">
        <f>+'Ingredient List - Mother Tinctu'!D9113</f>
        <v>0</v>
      </c>
      <c r="AB9112" s="117">
        <f t="shared" si="145"/>
        <v>0</v>
      </c>
      <c r="AC9112" s="117" t="str">
        <f>IF(AB9112=1,COUNTIF($AB$3:AB9112,1),"")</f>
        <v/>
      </c>
      <c r="AD9112" s="117" t="str">
        <f>IFERROR(INDEX($AA$3:$AA$10000,MATCH(ROWS($AC$3:AC9112),$AC$3:$AC$10000,0)),"")</f>
        <v/>
      </c>
    </row>
    <row r="9113" spans="27:30">
      <c r="AA9113" s="117">
        <f>+'Ingredient List - Mother Tinctu'!D9114</f>
        <v>0</v>
      </c>
      <c r="AB9113" s="117">
        <f t="shared" si="145"/>
        <v>0</v>
      </c>
      <c r="AC9113" s="117" t="str">
        <f>IF(AB9113=1,COUNTIF($AB$3:AB9113,1),"")</f>
        <v/>
      </c>
      <c r="AD9113" s="117" t="str">
        <f>IFERROR(INDEX($AA$3:$AA$10000,MATCH(ROWS($AC$3:AC9113),$AC$3:$AC$10000,0)),"")</f>
        <v/>
      </c>
    </row>
    <row r="9114" spans="27:30">
      <c r="AA9114" s="117">
        <f>+'Ingredient List - Mother Tinctu'!D9115</f>
        <v>0</v>
      </c>
      <c r="AB9114" s="117">
        <f t="shared" si="145"/>
        <v>0</v>
      </c>
      <c r="AC9114" s="117" t="str">
        <f>IF(AB9114=1,COUNTIF($AB$3:AB9114,1),"")</f>
        <v/>
      </c>
      <c r="AD9114" s="117" t="str">
        <f>IFERROR(INDEX($AA$3:$AA$10000,MATCH(ROWS($AC$3:AC9114),$AC$3:$AC$10000,0)),"")</f>
        <v/>
      </c>
    </row>
    <row r="9115" spans="27:30">
      <c r="AA9115" s="117">
        <f>+'Ingredient List - Mother Tinctu'!D9116</f>
        <v>0</v>
      </c>
      <c r="AB9115" s="117">
        <f t="shared" si="145"/>
        <v>0</v>
      </c>
      <c r="AC9115" s="117" t="str">
        <f>IF(AB9115=1,COUNTIF($AB$3:AB9115,1),"")</f>
        <v/>
      </c>
      <c r="AD9115" s="117" t="str">
        <f>IFERROR(INDEX($AA$3:$AA$10000,MATCH(ROWS($AC$3:AC9115),$AC$3:$AC$10000,0)),"")</f>
        <v/>
      </c>
    </row>
    <row r="9116" spans="27:30">
      <c r="AA9116" s="117">
        <f>+'Ingredient List - Mother Tinctu'!D9117</f>
        <v>0</v>
      </c>
      <c r="AB9116" s="117">
        <f t="shared" si="145"/>
        <v>0</v>
      </c>
      <c r="AC9116" s="117" t="str">
        <f>IF(AB9116=1,COUNTIF($AB$3:AB9116,1),"")</f>
        <v/>
      </c>
      <c r="AD9116" s="117" t="str">
        <f>IFERROR(INDEX($AA$3:$AA$10000,MATCH(ROWS($AC$3:AC9116),$AC$3:$AC$10000,0)),"")</f>
        <v/>
      </c>
    </row>
    <row r="9117" spans="27:30">
      <c r="AA9117" s="117">
        <f>+'Ingredient List - Mother Tinctu'!D9118</f>
        <v>0</v>
      </c>
      <c r="AB9117" s="117">
        <f t="shared" si="145"/>
        <v>0</v>
      </c>
      <c r="AC9117" s="117" t="str">
        <f>IF(AB9117=1,COUNTIF($AB$3:AB9117,1),"")</f>
        <v/>
      </c>
      <c r="AD9117" s="117" t="str">
        <f>IFERROR(INDEX($AA$3:$AA$10000,MATCH(ROWS($AC$3:AC9117),$AC$3:$AC$10000,0)),"")</f>
        <v/>
      </c>
    </row>
    <row r="9118" spans="27:30">
      <c r="AA9118" s="117">
        <f>+'Ingredient List - Mother Tinctu'!D9119</f>
        <v>0</v>
      </c>
      <c r="AB9118" s="117">
        <f t="shared" si="145"/>
        <v>0</v>
      </c>
      <c r="AC9118" s="117" t="str">
        <f>IF(AB9118=1,COUNTIF($AB$3:AB9118,1),"")</f>
        <v/>
      </c>
      <c r="AD9118" s="117" t="str">
        <f>IFERROR(INDEX($AA$3:$AA$10000,MATCH(ROWS($AC$3:AC9118),$AC$3:$AC$10000,0)),"")</f>
        <v/>
      </c>
    </row>
    <row r="9119" spans="27:30">
      <c r="AA9119" s="117">
        <f>+'Ingredient List - Mother Tinctu'!D9120</f>
        <v>0</v>
      </c>
      <c r="AB9119" s="117">
        <f t="shared" si="145"/>
        <v>0</v>
      </c>
      <c r="AC9119" s="117" t="str">
        <f>IF(AB9119=1,COUNTIF($AB$3:AB9119,1),"")</f>
        <v/>
      </c>
      <c r="AD9119" s="117" t="str">
        <f>IFERROR(INDEX($AA$3:$AA$10000,MATCH(ROWS($AC$3:AC9119),$AC$3:$AC$10000,0)),"")</f>
        <v/>
      </c>
    </row>
    <row r="9120" spans="27:30">
      <c r="AA9120" s="117">
        <f>+'Ingredient List - Mother Tinctu'!D9121</f>
        <v>0</v>
      </c>
      <c r="AB9120" s="117">
        <f t="shared" si="145"/>
        <v>0</v>
      </c>
      <c r="AC9120" s="117" t="str">
        <f>IF(AB9120=1,COUNTIF($AB$3:AB9120,1),"")</f>
        <v/>
      </c>
      <c r="AD9120" s="117" t="str">
        <f>IFERROR(INDEX($AA$3:$AA$10000,MATCH(ROWS($AC$3:AC9120),$AC$3:$AC$10000,0)),"")</f>
        <v/>
      </c>
    </row>
    <row r="9121" spans="27:30">
      <c r="AA9121" s="117">
        <f>+'Ingredient List - Mother Tinctu'!D9122</f>
        <v>0</v>
      </c>
      <c r="AB9121" s="117">
        <f t="shared" si="145"/>
        <v>0</v>
      </c>
      <c r="AC9121" s="117" t="str">
        <f>IF(AB9121=1,COUNTIF($AB$3:AB9121,1),"")</f>
        <v/>
      </c>
      <c r="AD9121" s="117" t="str">
        <f>IFERROR(INDEX($AA$3:$AA$10000,MATCH(ROWS($AC$3:AC9121),$AC$3:$AC$10000,0)),"")</f>
        <v/>
      </c>
    </row>
    <row r="9122" spans="27:30">
      <c r="AA9122" s="117">
        <f>+'Ingredient List - Mother Tinctu'!D9123</f>
        <v>0</v>
      </c>
      <c r="AB9122" s="117">
        <f t="shared" si="145"/>
        <v>0</v>
      </c>
      <c r="AC9122" s="117" t="str">
        <f>IF(AB9122=1,COUNTIF($AB$3:AB9122,1),"")</f>
        <v/>
      </c>
      <c r="AD9122" s="117" t="str">
        <f>IFERROR(INDEX($AA$3:$AA$10000,MATCH(ROWS($AC$3:AC9122),$AC$3:$AC$10000,0)),"")</f>
        <v/>
      </c>
    </row>
    <row r="9123" spans="27:30">
      <c r="AA9123" s="117">
        <f>+'Ingredient List - Mother Tinctu'!D9124</f>
        <v>0</v>
      </c>
      <c r="AB9123" s="117">
        <f t="shared" si="145"/>
        <v>0</v>
      </c>
      <c r="AC9123" s="117" t="str">
        <f>IF(AB9123=1,COUNTIF($AB$3:AB9123,1),"")</f>
        <v/>
      </c>
      <c r="AD9123" s="117" t="str">
        <f>IFERROR(INDEX($AA$3:$AA$10000,MATCH(ROWS($AC$3:AC9123),$AC$3:$AC$10000,0)),"")</f>
        <v/>
      </c>
    </row>
    <row r="9124" spans="27:30">
      <c r="AA9124" s="117">
        <f>+'Ingredient List - Mother Tinctu'!D9125</f>
        <v>0</v>
      </c>
      <c r="AB9124" s="117">
        <f t="shared" si="145"/>
        <v>0</v>
      </c>
      <c r="AC9124" s="117" t="str">
        <f>IF(AB9124=1,COUNTIF($AB$3:AB9124,1),"")</f>
        <v/>
      </c>
      <c r="AD9124" s="117" t="str">
        <f>IFERROR(INDEX($AA$3:$AA$10000,MATCH(ROWS($AC$3:AC9124),$AC$3:$AC$10000,0)),"")</f>
        <v/>
      </c>
    </row>
    <row r="9125" spans="27:30">
      <c r="AA9125" s="117">
        <f>+'Ingredient List - Mother Tinctu'!D9126</f>
        <v>0</v>
      </c>
      <c r="AB9125" s="117">
        <f t="shared" si="145"/>
        <v>0</v>
      </c>
      <c r="AC9125" s="117" t="str">
        <f>IF(AB9125=1,COUNTIF($AB$3:AB9125,1),"")</f>
        <v/>
      </c>
      <c r="AD9125" s="117" t="str">
        <f>IFERROR(INDEX($AA$3:$AA$10000,MATCH(ROWS($AC$3:AC9125),$AC$3:$AC$10000,0)),"")</f>
        <v/>
      </c>
    </row>
    <row r="9126" spans="27:30">
      <c r="AA9126" s="117">
        <f>+'Ingredient List - Mother Tinctu'!D9127</f>
        <v>0</v>
      </c>
      <c r="AB9126" s="117">
        <f t="shared" si="145"/>
        <v>0</v>
      </c>
      <c r="AC9126" s="117" t="str">
        <f>IF(AB9126=1,COUNTIF($AB$3:AB9126,1),"")</f>
        <v/>
      </c>
      <c r="AD9126" s="117" t="str">
        <f>IFERROR(INDEX($AA$3:$AA$10000,MATCH(ROWS($AC$3:AC9126),$AC$3:$AC$10000,0)),"")</f>
        <v/>
      </c>
    </row>
    <row r="9127" spans="27:30">
      <c r="AA9127" s="117">
        <f>+'Ingredient List - Mother Tinctu'!D9128</f>
        <v>0</v>
      </c>
      <c r="AB9127" s="117">
        <f t="shared" si="145"/>
        <v>0</v>
      </c>
      <c r="AC9127" s="117" t="str">
        <f>IF(AB9127=1,COUNTIF($AB$3:AB9127,1),"")</f>
        <v/>
      </c>
      <c r="AD9127" s="117" t="str">
        <f>IFERROR(INDEX($AA$3:$AA$10000,MATCH(ROWS($AC$3:AC9127),$AC$3:$AC$10000,0)),"")</f>
        <v/>
      </c>
    </row>
    <row r="9128" spans="27:30">
      <c r="AA9128" s="117">
        <f>+'Ingredient List - Mother Tinctu'!D9129</f>
        <v>0</v>
      </c>
      <c r="AB9128" s="117">
        <f t="shared" si="145"/>
        <v>0</v>
      </c>
      <c r="AC9128" s="117" t="str">
        <f>IF(AB9128=1,COUNTIF($AB$3:AB9128,1),"")</f>
        <v/>
      </c>
      <c r="AD9128" s="117" t="str">
        <f>IFERROR(INDEX($AA$3:$AA$10000,MATCH(ROWS($AC$3:AC9128),$AC$3:$AC$10000,0)),"")</f>
        <v/>
      </c>
    </row>
    <row r="9129" spans="27:30">
      <c r="AA9129" s="117">
        <f>+'Ingredient List - Mother Tinctu'!D9130</f>
        <v>0</v>
      </c>
      <c r="AB9129" s="117">
        <f t="shared" si="145"/>
        <v>0</v>
      </c>
      <c r="AC9129" s="117" t="str">
        <f>IF(AB9129=1,COUNTIF($AB$3:AB9129,1),"")</f>
        <v/>
      </c>
      <c r="AD9129" s="117" t="str">
        <f>IFERROR(INDEX($AA$3:$AA$10000,MATCH(ROWS($AC$3:AC9129),$AC$3:$AC$10000,0)),"")</f>
        <v/>
      </c>
    </row>
    <row r="9130" spans="27:30">
      <c r="AA9130" s="117">
        <f>+'Ingredient List - Mother Tinctu'!D9131</f>
        <v>0</v>
      </c>
      <c r="AB9130" s="117">
        <f t="shared" si="145"/>
        <v>0</v>
      </c>
      <c r="AC9130" s="117" t="str">
        <f>IF(AB9130=1,COUNTIF($AB$3:AB9130,1),"")</f>
        <v/>
      </c>
      <c r="AD9130" s="117" t="str">
        <f>IFERROR(INDEX($AA$3:$AA$10000,MATCH(ROWS($AC$3:AC9130),$AC$3:$AC$10000,0)),"")</f>
        <v/>
      </c>
    </row>
    <row r="9131" spans="27:30">
      <c r="AA9131" s="117">
        <f>+'Ingredient List - Mother Tinctu'!D9132</f>
        <v>0</v>
      </c>
      <c r="AB9131" s="117">
        <f t="shared" si="145"/>
        <v>0</v>
      </c>
      <c r="AC9131" s="117" t="str">
        <f>IF(AB9131=1,COUNTIF($AB$3:AB9131,1),"")</f>
        <v/>
      </c>
      <c r="AD9131" s="117" t="str">
        <f>IFERROR(INDEX($AA$3:$AA$10000,MATCH(ROWS($AC$3:AC9131),$AC$3:$AC$10000,0)),"")</f>
        <v/>
      </c>
    </row>
    <row r="9132" spans="27:30">
      <c r="AA9132" s="117">
        <f>+'Ingredient List - Mother Tinctu'!D9133</f>
        <v>0</v>
      </c>
      <c r="AB9132" s="117">
        <f t="shared" si="145"/>
        <v>0</v>
      </c>
      <c r="AC9132" s="117" t="str">
        <f>IF(AB9132=1,COUNTIF($AB$3:AB9132,1),"")</f>
        <v/>
      </c>
      <c r="AD9132" s="117" t="str">
        <f>IFERROR(INDEX($AA$3:$AA$10000,MATCH(ROWS($AC$3:AC9132),$AC$3:$AC$10000,0)),"")</f>
        <v/>
      </c>
    </row>
    <row r="9133" spans="27:30">
      <c r="AA9133" s="117">
        <f>+'Ingredient List - Mother Tinctu'!D9134</f>
        <v>0</v>
      </c>
      <c r="AB9133" s="117">
        <f t="shared" si="145"/>
        <v>0</v>
      </c>
      <c r="AC9133" s="117" t="str">
        <f>IF(AB9133=1,COUNTIF($AB$3:AB9133,1),"")</f>
        <v/>
      </c>
      <c r="AD9133" s="117" t="str">
        <f>IFERROR(INDEX($AA$3:$AA$10000,MATCH(ROWS($AC$3:AC9133),$AC$3:$AC$10000,0)),"")</f>
        <v/>
      </c>
    </row>
    <row r="9134" spans="27:30">
      <c r="AA9134" s="117">
        <f>+'Ingredient List - Mother Tinctu'!D9135</f>
        <v>0</v>
      </c>
      <c r="AB9134" s="117">
        <f t="shared" si="145"/>
        <v>0</v>
      </c>
      <c r="AC9134" s="117" t="str">
        <f>IF(AB9134=1,COUNTIF($AB$3:AB9134,1),"")</f>
        <v/>
      </c>
      <c r="AD9134" s="117" t="str">
        <f>IFERROR(INDEX($AA$3:$AA$10000,MATCH(ROWS($AC$3:AC9134),$AC$3:$AC$10000,0)),"")</f>
        <v/>
      </c>
    </row>
    <row r="9135" spans="27:30">
      <c r="AA9135" s="117">
        <f>+'Ingredient List - Mother Tinctu'!D9136</f>
        <v>0</v>
      </c>
      <c r="AB9135" s="117">
        <f t="shared" si="145"/>
        <v>0</v>
      </c>
      <c r="AC9135" s="117" t="str">
        <f>IF(AB9135=1,COUNTIF($AB$3:AB9135,1),"")</f>
        <v/>
      </c>
      <c r="AD9135" s="117" t="str">
        <f>IFERROR(INDEX($AA$3:$AA$10000,MATCH(ROWS($AC$3:AC9135),$AC$3:$AC$10000,0)),"")</f>
        <v/>
      </c>
    </row>
    <row r="9136" spans="27:30">
      <c r="AA9136" s="117">
        <f>+'Ingredient List - Mother Tinctu'!D9137</f>
        <v>0</v>
      </c>
      <c r="AB9136" s="117">
        <f t="shared" si="145"/>
        <v>0</v>
      </c>
      <c r="AC9136" s="117" t="str">
        <f>IF(AB9136=1,COUNTIF($AB$3:AB9136,1),"")</f>
        <v/>
      </c>
      <c r="AD9136" s="117" t="str">
        <f>IFERROR(INDEX($AA$3:$AA$10000,MATCH(ROWS($AC$3:AC9136),$AC$3:$AC$10000,0)),"")</f>
        <v/>
      </c>
    </row>
    <row r="9137" spans="27:30">
      <c r="AA9137" s="117">
        <f>+'Ingredient List - Mother Tinctu'!D9138</f>
        <v>0</v>
      </c>
      <c r="AB9137" s="117">
        <f t="shared" si="145"/>
        <v>0</v>
      </c>
      <c r="AC9137" s="117" t="str">
        <f>IF(AB9137=1,COUNTIF($AB$3:AB9137,1),"")</f>
        <v/>
      </c>
      <c r="AD9137" s="117" t="str">
        <f>IFERROR(INDEX($AA$3:$AA$10000,MATCH(ROWS($AC$3:AC9137),$AC$3:$AC$10000,0)),"")</f>
        <v/>
      </c>
    </row>
    <row r="9138" spans="27:30">
      <c r="AA9138" s="117">
        <f>+'Ingredient List - Mother Tinctu'!D9139</f>
        <v>0</v>
      </c>
      <c r="AB9138" s="117">
        <f t="shared" si="145"/>
        <v>0</v>
      </c>
      <c r="AC9138" s="117" t="str">
        <f>IF(AB9138=1,COUNTIF($AB$3:AB9138,1),"")</f>
        <v/>
      </c>
      <c r="AD9138" s="117" t="str">
        <f>IFERROR(INDEX($AA$3:$AA$10000,MATCH(ROWS($AC$3:AC9138),$AC$3:$AC$10000,0)),"")</f>
        <v/>
      </c>
    </row>
    <row r="9139" spans="27:30">
      <c r="AA9139" s="117">
        <f>+'Ingredient List - Mother Tinctu'!D9140</f>
        <v>0</v>
      </c>
      <c r="AB9139" s="117">
        <f t="shared" si="145"/>
        <v>0</v>
      </c>
      <c r="AC9139" s="117" t="str">
        <f>IF(AB9139=1,COUNTIF($AB$3:AB9139,1),"")</f>
        <v/>
      </c>
      <c r="AD9139" s="117" t="str">
        <f>IFERROR(INDEX($AA$3:$AA$10000,MATCH(ROWS($AC$3:AC9139),$AC$3:$AC$10000,0)),"")</f>
        <v/>
      </c>
    </row>
    <row r="9140" spans="27:30">
      <c r="AA9140" s="117">
        <f>+'Ingredient List - Mother Tinctu'!D9141</f>
        <v>0</v>
      </c>
      <c r="AB9140" s="117">
        <f t="shared" si="145"/>
        <v>0</v>
      </c>
      <c r="AC9140" s="117" t="str">
        <f>IF(AB9140=1,COUNTIF($AB$3:AB9140,1),"")</f>
        <v/>
      </c>
      <c r="AD9140" s="117" t="str">
        <f>IFERROR(INDEX($AA$3:$AA$10000,MATCH(ROWS($AC$3:AC9140),$AC$3:$AC$10000,0)),"")</f>
        <v/>
      </c>
    </row>
    <row r="9141" spans="27:30">
      <c r="AA9141" s="117">
        <f>+'Ingredient List - Mother Tinctu'!D9142</f>
        <v>0</v>
      </c>
      <c r="AB9141" s="117">
        <f t="shared" si="145"/>
        <v>0</v>
      </c>
      <c r="AC9141" s="117" t="str">
        <f>IF(AB9141=1,COUNTIF($AB$3:AB9141,1),"")</f>
        <v/>
      </c>
      <c r="AD9141" s="117" t="str">
        <f>IFERROR(INDEX($AA$3:$AA$10000,MATCH(ROWS($AC$3:AC9141),$AC$3:$AC$10000,0)),"")</f>
        <v/>
      </c>
    </row>
    <row r="9142" spans="27:30">
      <c r="AA9142" s="117">
        <f>+'Ingredient List - Mother Tinctu'!D9143</f>
        <v>0</v>
      </c>
      <c r="AB9142" s="117">
        <f t="shared" si="145"/>
        <v>0</v>
      </c>
      <c r="AC9142" s="117" t="str">
        <f>IF(AB9142=1,COUNTIF($AB$3:AB9142,1),"")</f>
        <v/>
      </c>
      <c r="AD9142" s="117" t="str">
        <f>IFERROR(INDEX($AA$3:$AA$10000,MATCH(ROWS($AC$3:AC9142),$AC$3:$AC$10000,0)),"")</f>
        <v/>
      </c>
    </row>
    <row r="9143" spans="27:30">
      <c r="AA9143" s="117">
        <f>+'Ingredient List - Mother Tinctu'!D9144</f>
        <v>0</v>
      </c>
      <c r="AB9143" s="117">
        <f t="shared" si="145"/>
        <v>0</v>
      </c>
      <c r="AC9143" s="117" t="str">
        <f>IF(AB9143=1,COUNTIF($AB$3:AB9143,1),"")</f>
        <v/>
      </c>
      <c r="AD9143" s="117" t="str">
        <f>IFERROR(INDEX($AA$3:$AA$10000,MATCH(ROWS($AC$3:AC9143),$AC$3:$AC$10000,0)),"")</f>
        <v/>
      </c>
    </row>
    <row r="9144" spans="27:30">
      <c r="AA9144" s="117">
        <f>+'Ingredient List - Mother Tinctu'!D9145</f>
        <v>0</v>
      </c>
      <c r="AB9144" s="117">
        <f t="shared" si="145"/>
        <v>0</v>
      </c>
      <c r="AC9144" s="117" t="str">
        <f>IF(AB9144=1,COUNTIF($AB$3:AB9144,1),"")</f>
        <v/>
      </c>
      <c r="AD9144" s="117" t="str">
        <f>IFERROR(INDEX($AA$3:$AA$10000,MATCH(ROWS($AC$3:AC9144),$AC$3:$AC$10000,0)),"")</f>
        <v/>
      </c>
    </row>
    <row r="9145" spans="27:30">
      <c r="AA9145" s="117">
        <f>+'Ingredient List - Mother Tinctu'!D9146</f>
        <v>0</v>
      </c>
      <c r="AB9145" s="117">
        <f t="shared" si="145"/>
        <v>0</v>
      </c>
      <c r="AC9145" s="117" t="str">
        <f>IF(AB9145=1,COUNTIF($AB$3:AB9145,1),"")</f>
        <v/>
      </c>
      <c r="AD9145" s="117" t="str">
        <f>IFERROR(INDEX($AA$3:$AA$10000,MATCH(ROWS($AC$3:AC9145),$AC$3:$AC$10000,0)),"")</f>
        <v/>
      </c>
    </row>
    <row r="9146" spans="27:30">
      <c r="AA9146" s="117">
        <f>+'Ingredient List - Mother Tinctu'!D9147</f>
        <v>0</v>
      </c>
      <c r="AB9146" s="117">
        <f t="shared" si="145"/>
        <v>0</v>
      </c>
      <c r="AC9146" s="117" t="str">
        <f>IF(AB9146=1,COUNTIF($AB$3:AB9146,1),"")</f>
        <v/>
      </c>
      <c r="AD9146" s="117" t="str">
        <f>IFERROR(INDEX($AA$3:$AA$10000,MATCH(ROWS($AC$3:AC9146),$AC$3:$AC$10000,0)),"")</f>
        <v/>
      </c>
    </row>
    <row r="9147" spans="27:30">
      <c r="AA9147" s="117">
        <f>+'Ingredient List - Mother Tinctu'!D9148</f>
        <v>0</v>
      </c>
      <c r="AB9147" s="117">
        <f t="shared" si="145"/>
        <v>0</v>
      </c>
      <c r="AC9147" s="117" t="str">
        <f>IF(AB9147=1,COUNTIF($AB$3:AB9147,1),"")</f>
        <v/>
      </c>
      <c r="AD9147" s="117" t="str">
        <f>IFERROR(INDEX($AA$3:$AA$10000,MATCH(ROWS($AC$3:AC9147),$AC$3:$AC$10000,0)),"")</f>
        <v/>
      </c>
    </row>
    <row r="9148" spans="27:30">
      <c r="AA9148" s="117">
        <f>+'Ingredient List - Mother Tinctu'!D9149</f>
        <v>0</v>
      </c>
      <c r="AB9148" s="117">
        <f t="shared" si="145"/>
        <v>0</v>
      </c>
      <c r="AC9148" s="117" t="str">
        <f>IF(AB9148=1,COUNTIF($AB$3:AB9148,1),"")</f>
        <v/>
      </c>
      <c r="AD9148" s="117" t="str">
        <f>IFERROR(INDEX($AA$3:$AA$10000,MATCH(ROWS($AC$3:AC9148),$AC$3:$AC$10000,0)),"")</f>
        <v/>
      </c>
    </row>
    <row r="9149" spans="27:30">
      <c r="AA9149" s="117">
        <f>+'Ingredient List - Mother Tinctu'!D9150</f>
        <v>0</v>
      </c>
      <c r="AB9149" s="117">
        <f t="shared" si="145"/>
        <v>0</v>
      </c>
      <c r="AC9149" s="117" t="str">
        <f>IF(AB9149=1,COUNTIF($AB$3:AB9149,1),"")</f>
        <v/>
      </c>
      <c r="AD9149" s="117" t="str">
        <f>IFERROR(INDEX($AA$3:$AA$10000,MATCH(ROWS($AC$3:AC9149),$AC$3:$AC$10000,0)),"")</f>
        <v/>
      </c>
    </row>
    <row r="9150" spans="27:30">
      <c r="AA9150" s="117">
        <f>+'Ingredient List - Mother Tinctu'!D9151</f>
        <v>0</v>
      </c>
      <c r="AB9150" s="117">
        <f t="shared" si="145"/>
        <v>0</v>
      </c>
      <c r="AC9150" s="117" t="str">
        <f>IF(AB9150=1,COUNTIF($AB$3:AB9150,1),"")</f>
        <v/>
      </c>
      <c r="AD9150" s="117" t="str">
        <f>IFERROR(INDEX($AA$3:$AA$10000,MATCH(ROWS($AC$3:AC9150),$AC$3:$AC$10000,0)),"")</f>
        <v/>
      </c>
    </row>
    <row r="9151" spans="27:30">
      <c r="AA9151" s="117">
        <f>+'Ingredient List - Mother Tinctu'!D9152</f>
        <v>0</v>
      </c>
      <c r="AB9151" s="117">
        <f t="shared" si="145"/>
        <v>0</v>
      </c>
      <c r="AC9151" s="117" t="str">
        <f>IF(AB9151=1,COUNTIF($AB$3:AB9151,1),"")</f>
        <v/>
      </c>
      <c r="AD9151" s="117" t="str">
        <f>IFERROR(INDEX($AA$3:$AA$10000,MATCH(ROWS($AC$3:AC9151),$AC$3:$AC$10000,0)),"")</f>
        <v/>
      </c>
    </row>
    <row r="9152" spans="27:30">
      <c r="AA9152" s="117">
        <f>+'Ingredient List - Mother Tinctu'!D9153</f>
        <v>0</v>
      </c>
      <c r="AB9152" s="117">
        <f t="shared" si="145"/>
        <v>0</v>
      </c>
      <c r="AC9152" s="117" t="str">
        <f>IF(AB9152=1,COUNTIF($AB$3:AB9152,1),"")</f>
        <v/>
      </c>
      <c r="AD9152" s="117" t="str">
        <f>IFERROR(INDEX($AA$3:$AA$10000,MATCH(ROWS($AC$3:AC9152),$AC$3:$AC$10000,0)),"")</f>
        <v/>
      </c>
    </row>
    <row r="9153" spans="27:30">
      <c r="AA9153" s="117">
        <f>+'Ingredient List - Mother Tinctu'!D9154</f>
        <v>0</v>
      </c>
      <c r="AB9153" s="117">
        <f t="shared" si="145"/>
        <v>0</v>
      </c>
      <c r="AC9153" s="117" t="str">
        <f>IF(AB9153=1,COUNTIF($AB$3:AB9153,1),"")</f>
        <v/>
      </c>
      <c r="AD9153" s="117" t="str">
        <f>IFERROR(INDEX($AA$3:$AA$10000,MATCH(ROWS($AC$3:AC9153),$AC$3:$AC$10000,0)),"")</f>
        <v/>
      </c>
    </row>
    <row r="9154" spans="27:30">
      <c r="AA9154" s="117">
        <f>+'Ingredient List - Mother Tinctu'!D9155</f>
        <v>0</v>
      </c>
      <c r="AB9154" s="117">
        <f t="shared" si="145"/>
        <v>0</v>
      </c>
      <c r="AC9154" s="117" t="str">
        <f>IF(AB9154=1,COUNTIF($AB$3:AB9154,1),"")</f>
        <v/>
      </c>
      <c r="AD9154" s="117" t="str">
        <f>IFERROR(INDEX($AA$3:$AA$10000,MATCH(ROWS($AC$3:AC9154),$AC$3:$AC$10000,0)),"")</f>
        <v/>
      </c>
    </row>
    <row r="9155" spans="27:30">
      <c r="AA9155" s="117">
        <f>+'Ingredient List - Mother Tinctu'!D9156</f>
        <v>0</v>
      </c>
      <c r="AB9155" s="117">
        <f t="shared" si="145"/>
        <v>0</v>
      </c>
      <c r="AC9155" s="117" t="str">
        <f>IF(AB9155=1,COUNTIF($AB$3:AB9155,1),"")</f>
        <v/>
      </c>
      <c r="AD9155" s="117" t="str">
        <f>IFERROR(INDEX($AA$3:$AA$10000,MATCH(ROWS($AC$3:AC9155),$AC$3:$AC$10000,0)),"")</f>
        <v/>
      </c>
    </row>
    <row r="9156" spans="27:30">
      <c r="AA9156" s="117">
        <f>+'Ingredient List - Mother Tinctu'!D9157</f>
        <v>0</v>
      </c>
      <c r="AB9156" s="117">
        <f t="shared" ref="AB9156:AB9219" si="146">--ISNUMBER(IFERROR(SEARCH($D$3,AA9156,1),""))</f>
        <v>0</v>
      </c>
      <c r="AC9156" s="117" t="str">
        <f>IF(AB9156=1,COUNTIF($AB$3:AB9156,1),"")</f>
        <v/>
      </c>
      <c r="AD9156" s="117" t="str">
        <f>IFERROR(INDEX($AA$3:$AA$10000,MATCH(ROWS($AC$3:AC9156),$AC$3:$AC$10000,0)),"")</f>
        <v/>
      </c>
    </row>
    <row r="9157" spans="27:30">
      <c r="AA9157" s="117">
        <f>+'Ingredient List - Mother Tinctu'!D9158</f>
        <v>0</v>
      </c>
      <c r="AB9157" s="117">
        <f t="shared" si="146"/>
        <v>0</v>
      </c>
      <c r="AC9157" s="117" t="str">
        <f>IF(AB9157=1,COUNTIF($AB$3:AB9157,1),"")</f>
        <v/>
      </c>
      <c r="AD9157" s="117" t="str">
        <f>IFERROR(INDEX($AA$3:$AA$10000,MATCH(ROWS($AC$3:AC9157),$AC$3:$AC$10000,0)),"")</f>
        <v/>
      </c>
    </row>
    <row r="9158" spans="27:30">
      <c r="AA9158" s="117">
        <f>+'Ingredient List - Mother Tinctu'!D9159</f>
        <v>0</v>
      </c>
      <c r="AB9158" s="117">
        <f t="shared" si="146"/>
        <v>0</v>
      </c>
      <c r="AC9158" s="117" t="str">
        <f>IF(AB9158=1,COUNTIF($AB$3:AB9158,1),"")</f>
        <v/>
      </c>
      <c r="AD9158" s="117" t="str">
        <f>IFERROR(INDEX($AA$3:$AA$10000,MATCH(ROWS($AC$3:AC9158),$AC$3:$AC$10000,0)),"")</f>
        <v/>
      </c>
    </row>
    <row r="9159" spans="27:30">
      <c r="AA9159" s="117">
        <f>+'Ingredient List - Mother Tinctu'!D9160</f>
        <v>0</v>
      </c>
      <c r="AB9159" s="117">
        <f t="shared" si="146"/>
        <v>0</v>
      </c>
      <c r="AC9159" s="117" t="str">
        <f>IF(AB9159=1,COUNTIF($AB$3:AB9159,1),"")</f>
        <v/>
      </c>
      <c r="AD9159" s="117" t="str">
        <f>IFERROR(INDEX($AA$3:$AA$10000,MATCH(ROWS($AC$3:AC9159),$AC$3:$AC$10000,0)),"")</f>
        <v/>
      </c>
    </row>
    <row r="9160" spans="27:30">
      <c r="AA9160" s="117">
        <f>+'Ingredient List - Mother Tinctu'!D9161</f>
        <v>0</v>
      </c>
      <c r="AB9160" s="117">
        <f t="shared" si="146"/>
        <v>0</v>
      </c>
      <c r="AC9160" s="117" t="str">
        <f>IF(AB9160=1,COUNTIF($AB$3:AB9160,1),"")</f>
        <v/>
      </c>
      <c r="AD9160" s="117" t="str">
        <f>IFERROR(INDEX($AA$3:$AA$10000,MATCH(ROWS($AC$3:AC9160),$AC$3:$AC$10000,0)),"")</f>
        <v/>
      </c>
    </row>
    <row r="9161" spans="27:30">
      <c r="AA9161" s="117">
        <f>+'Ingredient List - Mother Tinctu'!D9162</f>
        <v>0</v>
      </c>
      <c r="AB9161" s="117">
        <f t="shared" si="146"/>
        <v>0</v>
      </c>
      <c r="AC9161" s="117" t="str">
        <f>IF(AB9161=1,COUNTIF($AB$3:AB9161,1),"")</f>
        <v/>
      </c>
      <c r="AD9161" s="117" t="str">
        <f>IFERROR(INDEX($AA$3:$AA$10000,MATCH(ROWS($AC$3:AC9161),$AC$3:$AC$10000,0)),"")</f>
        <v/>
      </c>
    </row>
    <row r="9162" spans="27:30">
      <c r="AA9162" s="117">
        <f>+'Ingredient List - Mother Tinctu'!D9163</f>
        <v>0</v>
      </c>
      <c r="AB9162" s="117">
        <f t="shared" si="146"/>
        <v>0</v>
      </c>
      <c r="AC9162" s="117" t="str">
        <f>IF(AB9162=1,COUNTIF($AB$3:AB9162,1),"")</f>
        <v/>
      </c>
      <c r="AD9162" s="117" t="str">
        <f>IFERROR(INDEX($AA$3:$AA$10000,MATCH(ROWS($AC$3:AC9162),$AC$3:$AC$10000,0)),"")</f>
        <v/>
      </c>
    </row>
    <row r="9163" spans="27:30">
      <c r="AA9163" s="117">
        <f>+'Ingredient List - Mother Tinctu'!D9164</f>
        <v>0</v>
      </c>
      <c r="AB9163" s="117">
        <f t="shared" si="146"/>
        <v>0</v>
      </c>
      <c r="AC9163" s="117" t="str">
        <f>IF(AB9163=1,COUNTIF($AB$3:AB9163,1),"")</f>
        <v/>
      </c>
      <c r="AD9163" s="117" t="str">
        <f>IFERROR(INDEX($AA$3:$AA$10000,MATCH(ROWS($AC$3:AC9163),$AC$3:$AC$10000,0)),"")</f>
        <v/>
      </c>
    </row>
    <row r="9164" spans="27:30">
      <c r="AA9164" s="117">
        <f>+'Ingredient List - Mother Tinctu'!D9165</f>
        <v>0</v>
      </c>
      <c r="AB9164" s="117">
        <f t="shared" si="146"/>
        <v>0</v>
      </c>
      <c r="AC9164" s="117" t="str">
        <f>IF(AB9164=1,COUNTIF($AB$3:AB9164,1),"")</f>
        <v/>
      </c>
      <c r="AD9164" s="117" t="str">
        <f>IFERROR(INDEX($AA$3:$AA$10000,MATCH(ROWS($AC$3:AC9164),$AC$3:$AC$10000,0)),"")</f>
        <v/>
      </c>
    </row>
    <row r="9165" spans="27:30">
      <c r="AA9165" s="117">
        <f>+'Ingredient List - Mother Tinctu'!D9166</f>
        <v>0</v>
      </c>
      <c r="AB9165" s="117">
        <f t="shared" si="146"/>
        <v>0</v>
      </c>
      <c r="AC9165" s="117" t="str">
        <f>IF(AB9165=1,COUNTIF($AB$3:AB9165,1),"")</f>
        <v/>
      </c>
      <c r="AD9165" s="117" t="str">
        <f>IFERROR(INDEX($AA$3:$AA$10000,MATCH(ROWS($AC$3:AC9165),$AC$3:$AC$10000,0)),"")</f>
        <v/>
      </c>
    </row>
    <row r="9166" spans="27:30">
      <c r="AA9166" s="117">
        <f>+'Ingredient List - Mother Tinctu'!D9167</f>
        <v>0</v>
      </c>
      <c r="AB9166" s="117">
        <f t="shared" si="146"/>
        <v>0</v>
      </c>
      <c r="AC9166" s="117" t="str">
        <f>IF(AB9166=1,COUNTIF($AB$3:AB9166,1),"")</f>
        <v/>
      </c>
      <c r="AD9166" s="117" t="str">
        <f>IFERROR(INDEX($AA$3:$AA$10000,MATCH(ROWS($AC$3:AC9166),$AC$3:$AC$10000,0)),"")</f>
        <v/>
      </c>
    </row>
    <row r="9167" spans="27:30">
      <c r="AA9167" s="117">
        <f>+'Ingredient List - Mother Tinctu'!D9168</f>
        <v>0</v>
      </c>
      <c r="AB9167" s="117">
        <f t="shared" si="146"/>
        <v>0</v>
      </c>
      <c r="AC9167" s="117" t="str">
        <f>IF(AB9167=1,COUNTIF($AB$3:AB9167,1),"")</f>
        <v/>
      </c>
      <c r="AD9167" s="117" t="str">
        <f>IFERROR(INDEX($AA$3:$AA$10000,MATCH(ROWS($AC$3:AC9167),$AC$3:$AC$10000,0)),"")</f>
        <v/>
      </c>
    </row>
    <row r="9168" spans="27:30">
      <c r="AA9168" s="117">
        <f>+'Ingredient List - Mother Tinctu'!D9169</f>
        <v>0</v>
      </c>
      <c r="AB9168" s="117">
        <f t="shared" si="146"/>
        <v>0</v>
      </c>
      <c r="AC9168" s="117" t="str">
        <f>IF(AB9168=1,COUNTIF($AB$3:AB9168,1),"")</f>
        <v/>
      </c>
      <c r="AD9168" s="117" t="str">
        <f>IFERROR(INDEX($AA$3:$AA$10000,MATCH(ROWS($AC$3:AC9168),$AC$3:$AC$10000,0)),"")</f>
        <v/>
      </c>
    </row>
    <row r="9169" spans="27:30">
      <c r="AA9169" s="117">
        <f>+'Ingredient List - Mother Tinctu'!D9170</f>
        <v>0</v>
      </c>
      <c r="AB9169" s="117">
        <f t="shared" si="146"/>
        <v>0</v>
      </c>
      <c r="AC9169" s="117" t="str">
        <f>IF(AB9169=1,COUNTIF($AB$3:AB9169,1),"")</f>
        <v/>
      </c>
      <c r="AD9169" s="117" t="str">
        <f>IFERROR(INDEX($AA$3:$AA$10000,MATCH(ROWS($AC$3:AC9169),$AC$3:$AC$10000,0)),"")</f>
        <v/>
      </c>
    </row>
    <row r="9170" spans="27:30">
      <c r="AA9170" s="117">
        <f>+'Ingredient List - Mother Tinctu'!D9171</f>
        <v>0</v>
      </c>
      <c r="AB9170" s="117">
        <f t="shared" si="146"/>
        <v>0</v>
      </c>
      <c r="AC9170" s="117" t="str">
        <f>IF(AB9170=1,COUNTIF($AB$3:AB9170,1),"")</f>
        <v/>
      </c>
      <c r="AD9170" s="117" t="str">
        <f>IFERROR(INDEX($AA$3:$AA$10000,MATCH(ROWS($AC$3:AC9170),$AC$3:$AC$10000,0)),"")</f>
        <v/>
      </c>
    </row>
    <row r="9171" spans="27:30">
      <c r="AA9171" s="117">
        <f>+'Ingredient List - Mother Tinctu'!D9172</f>
        <v>0</v>
      </c>
      <c r="AB9171" s="117">
        <f t="shared" si="146"/>
        <v>0</v>
      </c>
      <c r="AC9171" s="117" t="str">
        <f>IF(AB9171=1,COUNTIF($AB$3:AB9171,1),"")</f>
        <v/>
      </c>
      <c r="AD9171" s="117" t="str">
        <f>IFERROR(INDEX($AA$3:$AA$10000,MATCH(ROWS($AC$3:AC9171),$AC$3:$AC$10000,0)),"")</f>
        <v/>
      </c>
    </row>
    <row r="9172" spans="27:30">
      <c r="AA9172" s="117">
        <f>+'Ingredient List - Mother Tinctu'!D9173</f>
        <v>0</v>
      </c>
      <c r="AB9172" s="117">
        <f t="shared" si="146"/>
        <v>0</v>
      </c>
      <c r="AC9172" s="117" t="str">
        <f>IF(AB9172=1,COUNTIF($AB$3:AB9172,1),"")</f>
        <v/>
      </c>
      <c r="AD9172" s="117" t="str">
        <f>IFERROR(INDEX($AA$3:$AA$10000,MATCH(ROWS($AC$3:AC9172),$AC$3:$AC$10000,0)),"")</f>
        <v/>
      </c>
    </row>
    <row r="9173" spans="27:30">
      <c r="AA9173" s="117">
        <f>+'Ingredient List - Mother Tinctu'!D9174</f>
        <v>0</v>
      </c>
      <c r="AB9173" s="117">
        <f t="shared" si="146"/>
        <v>0</v>
      </c>
      <c r="AC9173" s="117" t="str">
        <f>IF(AB9173=1,COUNTIF($AB$3:AB9173,1),"")</f>
        <v/>
      </c>
      <c r="AD9173" s="117" t="str">
        <f>IFERROR(INDEX($AA$3:$AA$10000,MATCH(ROWS($AC$3:AC9173),$AC$3:$AC$10000,0)),"")</f>
        <v/>
      </c>
    </row>
    <row r="9174" spans="27:30">
      <c r="AA9174" s="117">
        <f>+'Ingredient List - Mother Tinctu'!D9175</f>
        <v>0</v>
      </c>
      <c r="AB9174" s="117">
        <f t="shared" si="146"/>
        <v>0</v>
      </c>
      <c r="AC9174" s="117" t="str">
        <f>IF(AB9174=1,COUNTIF($AB$3:AB9174,1),"")</f>
        <v/>
      </c>
      <c r="AD9174" s="117" t="str">
        <f>IFERROR(INDEX($AA$3:$AA$10000,MATCH(ROWS($AC$3:AC9174),$AC$3:$AC$10000,0)),"")</f>
        <v/>
      </c>
    </row>
    <row r="9175" spans="27:30">
      <c r="AA9175" s="117">
        <f>+'Ingredient List - Mother Tinctu'!D9176</f>
        <v>0</v>
      </c>
      <c r="AB9175" s="117">
        <f t="shared" si="146"/>
        <v>0</v>
      </c>
      <c r="AC9175" s="117" t="str">
        <f>IF(AB9175=1,COUNTIF($AB$3:AB9175,1),"")</f>
        <v/>
      </c>
      <c r="AD9175" s="117" t="str">
        <f>IFERROR(INDEX($AA$3:$AA$10000,MATCH(ROWS($AC$3:AC9175),$AC$3:$AC$10000,0)),"")</f>
        <v/>
      </c>
    </row>
    <row r="9176" spans="27:30">
      <c r="AA9176" s="117">
        <f>+'Ingredient List - Mother Tinctu'!D9177</f>
        <v>0</v>
      </c>
      <c r="AB9176" s="117">
        <f t="shared" si="146"/>
        <v>0</v>
      </c>
      <c r="AC9176" s="117" t="str">
        <f>IF(AB9176=1,COUNTIF($AB$3:AB9176,1),"")</f>
        <v/>
      </c>
      <c r="AD9176" s="117" t="str">
        <f>IFERROR(INDEX($AA$3:$AA$10000,MATCH(ROWS($AC$3:AC9176),$AC$3:$AC$10000,0)),"")</f>
        <v/>
      </c>
    </row>
    <row r="9177" spans="27:30">
      <c r="AA9177" s="117">
        <f>+'Ingredient List - Mother Tinctu'!D9178</f>
        <v>0</v>
      </c>
      <c r="AB9177" s="117">
        <f t="shared" si="146"/>
        <v>0</v>
      </c>
      <c r="AC9177" s="117" t="str">
        <f>IF(AB9177=1,COUNTIF($AB$3:AB9177,1),"")</f>
        <v/>
      </c>
      <c r="AD9177" s="117" t="str">
        <f>IFERROR(INDEX($AA$3:$AA$10000,MATCH(ROWS($AC$3:AC9177),$AC$3:$AC$10000,0)),"")</f>
        <v/>
      </c>
    </row>
    <row r="9178" spans="27:30">
      <c r="AA9178" s="117">
        <f>+'Ingredient List - Mother Tinctu'!D9179</f>
        <v>0</v>
      </c>
      <c r="AB9178" s="117">
        <f t="shared" si="146"/>
        <v>0</v>
      </c>
      <c r="AC9178" s="117" t="str">
        <f>IF(AB9178=1,COUNTIF($AB$3:AB9178,1),"")</f>
        <v/>
      </c>
      <c r="AD9178" s="117" t="str">
        <f>IFERROR(INDEX($AA$3:$AA$10000,MATCH(ROWS($AC$3:AC9178),$AC$3:$AC$10000,0)),"")</f>
        <v/>
      </c>
    </row>
    <row r="9179" spans="27:30">
      <c r="AA9179" s="117">
        <f>+'Ingredient List - Mother Tinctu'!D9180</f>
        <v>0</v>
      </c>
      <c r="AB9179" s="117">
        <f t="shared" si="146"/>
        <v>0</v>
      </c>
      <c r="AC9179" s="117" t="str">
        <f>IF(AB9179=1,COUNTIF($AB$3:AB9179,1),"")</f>
        <v/>
      </c>
      <c r="AD9179" s="117" t="str">
        <f>IFERROR(INDEX($AA$3:$AA$10000,MATCH(ROWS($AC$3:AC9179),$AC$3:$AC$10000,0)),"")</f>
        <v/>
      </c>
    </row>
    <row r="9180" spans="27:30">
      <c r="AA9180" s="117">
        <f>+'Ingredient List - Mother Tinctu'!D9181</f>
        <v>0</v>
      </c>
      <c r="AB9180" s="117">
        <f t="shared" si="146"/>
        <v>0</v>
      </c>
      <c r="AC9180" s="117" t="str">
        <f>IF(AB9180=1,COUNTIF($AB$3:AB9180,1),"")</f>
        <v/>
      </c>
      <c r="AD9180" s="117" t="str">
        <f>IFERROR(INDEX($AA$3:$AA$10000,MATCH(ROWS($AC$3:AC9180),$AC$3:$AC$10000,0)),"")</f>
        <v/>
      </c>
    </row>
    <row r="9181" spans="27:30">
      <c r="AA9181" s="117">
        <f>+'Ingredient List - Mother Tinctu'!D9182</f>
        <v>0</v>
      </c>
      <c r="AB9181" s="117">
        <f t="shared" si="146"/>
        <v>0</v>
      </c>
      <c r="AC9181" s="117" t="str">
        <f>IF(AB9181=1,COUNTIF($AB$3:AB9181,1),"")</f>
        <v/>
      </c>
      <c r="AD9181" s="117" t="str">
        <f>IFERROR(INDEX($AA$3:$AA$10000,MATCH(ROWS($AC$3:AC9181),$AC$3:$AC$10000,0)),"")</f>
        <v/>
      </c>
    </row>
    <row r="9182" spans="27:30">
      <c r="AA9182" s="117">
        <f>+'Ingredient List - Mother Tinctu'!D9183</f>
        <v>0</v>
      </c>
      <c r="AB9182" s="117">
        <f t="shared" si="146"/>
        <v>0</v>
      </c>
      <c r="AC9182" s="117" t="str">
        <f>IF(AB9182=1,COUNTIF($AB$3:AB9182,1),"")</f>
        <v/>
      </c>
      <c r="AD9182" s="117" t="str">
        <f>IFERROR(INDEX($AA$3:$AA$10000,MATCH(ROWS($AC$3:AC9182),$AC$3:$AC$10000,0)),"")</f>
        <v/>
      </c>
    </row>
    <row r="9183" spans="27:30">
      <c r="AA9183" s="117">
        <f>+'Ingredient List - Mother Tinctu'!D9184</f>
        <v>0</v>
      </c>
      <c r="AB9183" s="117">
        <f t="shared" si="146"/>
        <v>0</v>
      </c>
      <c r="AC9183" s="117" t="str">
        <f>IF(AB9183=1,COUNTIF($AB$3:AB9183,1),"")</f>
        <v/>
      </c>
      <c r="AD9183" s="117" t="str">
        <f>IFERROR(INDEX($AA$3:$AA$10000,MATCH(ROWS($AC$3:AC9183),$AC$3:$AC$10000,0)),"")</f>
        <v/>
      </c>
    </row>
    <row r="9184" spans="27:30">
      <c r="AA9184" s="117">
        <f>+'Ingredient List - Mother Tinctu'!D9185</f>
        <v>0</v>
      </c>
      <c r="AB9184" s="117">
        <f t="shared" si="146"/>
        <v>0</v>
      </c>
      <c r="AC9184" s="117" t="str">
        <f>IF(AB9184=1,COUNTIF($AB$3:AB9184,1),"")</f>
        <v/>
      </c>
      <c r="AD9184" s="117" t="str">
        <f>IFERROR(INDEX($AA$3:$AA$10000,MATCH(ROWS($AC$3:AC9184),$AC$3:$AC$10000,0)),"")</f>
        <v/>
      </c>
    </row>
    <row r="9185" spans="27:30">
      <c r="AA9185" s="117">
        <f>+'Ingredient List - Mother Tinctu'!D9186</f>
        <v>0</v>
      </c>
      <c r="AB9185" s="117">
        <f t="shared" si="146"/>
        <v>0</v>
      </c>
      <c r="AC9185" s="117" t="str">
        <f>IF(AB9185=1,COUNTIF($AB$3:AB9185,1),"")</f>
        <v/>
      </c>
      <c r="AD9185" s="117" t="str">
        <f>IFERROR(INDEX($AA$3:$AA$10000,MATCH(ROWS($AC$3:AC9185),$AC$3:$AC$10000,0)),"")</f>
        <v/>
      </c>
    </row>
    <row r="9186" spans="27:30">
      <c r="AA9186" s="117">
        <f>+'Ingredient List - Mother Tinctu'!D9187</f>
        <v>0</v>
      </c>
      <c r="AB9186" s="117">
        <f t="shared" si="146"/>
        <v>0</v>
      </c>
      <c r="AC9186" s="117" t="str">
        <f>IF(AB9186=1,COUNTIF($AB$3:AB9186,1),"")</f>
        <v/>
      </c>
      <c r="AD9186" s="117" t="str">
        <f>IFERROR(INDEX($AA$3:$AA$10000,MATCH(ROWS($AC$3:AC9186),$AC$3:$AC$10000,0)),"")</f>
        <v/>
      </c>
    </row>
    <row r="9187" spans="27:30">
      <c r="AA9187" s="117">
        <f>+'Ingredient List - Mother Tinctu'!D9188</f>
        <v>0</v>
      </c>
      <c r="AB9187" s="117">
        <f t="shared" si="146"/>
        <v>0</v>
      </c>
      <c r="AC9187" s="117" t="str">
        <f>IF(AB9187=1,COUNTIF($AB$3:AB9187,1),"")</f>
        <v/>
      </c>
      <c r="AD9187" s="117" t="str">
        <f>IFERROR(INDEX($AA$3:$AA$10000,MATCH(ROWS($AC$3:AC9187),$AC$3:$AC$10000,0)),"")</f>
        <v/>
      </c>
    </row>
    <row r="9188" spans="27:30">
      <c r="AA9188" s="117">
        <f>+'Ingredient List - Mother Tinctu'!D9189</f>
        <v>0</v>
      </c>
      <c r="AB9188" s="117">
        <f t="shared" si="146"/>
        <v>0</v>
      </c>
      <c r="AC9188" s="117" t="str">
        <f>IF(AB9188=1,COUNTIF($AB$3:AB9188,1),"")</f>
        <v/>
      </c>
      <c r="AD9188" s="117" t="str">
        <f>IFERROR(INDEX($AA$3:$AA$10000,MATCH(ROWS($AC$3:AC9188),$AC$3:$AC$10000,0)),"")</f>
        <v/>
      </c>
    </row>
    <row r="9189" spans="27:30">
      <c r="AA9189" s="117">
        <f>+'Ingredient List - Mother Tinctu'!D9190</f>
        <v>0</v>
      </c>
      <c r="AB9189" s="117">
        <f t="shared" si="146"/>
        <v>0</v>
      </c>
      <c r="AC9189" s="117" t="str">
        <f>IF(AB9189=1,COUNTIF($AB$3:AB9189,1),"")</f>
        <v/>
      </c>
      <c r="AD9189" s="117" t="str">
        <f>IFERROR(INDEX($AA$3:$AA$10000,MATCH(ROWS($AC$3:AC9189),$AC$3:$AC$10000,0)),"")</f>
        <v/>
      </c>
    </row>
    <row r="9190" spans="27:30">
      <c r="AA9190" s="117">
        <f>+'Ingredient List - Mother Tinctu'!D9191</f>
        <v>0</v>
      </c>
      <c r="AB9190" s="117">
        <f t="shared" si="146"/>
        <v>0</v>
      </c>
      <c r="AC9190" s="117" t="str">
        <f>IF(AB9190=1,COUNTIF($AB$3:AB9190,1),"")</f>
        <v/>
      </c>
      <c r="AD9190" s="117" t="str">
        <f>IFERROR(INDEX($AA$3:$AA$10000,MATCH(ROWS($AC$3:AC9190),$AC$3:$AC$10000,0)),"")</f>
        <v/>
      </c>
    </row>
    <row r="9191" spans="27:30">
      <c r="AA9191" s="117">
        <f>+'Ingredient List - Mother Tinctu'!D9192</f>
        <v>0</v>
      </c>
      <c r="AB9191" s="117">
        <f t="shared" si="146"/>
        <v>0</v>
      </c>
      <c r="AC9191" s="117" t="str">
        <f>IF(AB9191=1,COUNTIF($AB$3:AB9191,1),"")</f>
        <v/>
      </c>
      <c r="AD9191" s="117" t="str">
        <f>IFERROR(INDEX($AA$3:$AA$10000,MATCH(ROWS($AC$3:AC9191),$AC$3:$AC$10000,0)),"")</f>
        <v/>
      </c>
    </row>
    <row r="9192" spans="27:30">
      <c r="AA9192" s="117">
        <f>+'Ingredient List - Mother Tinctu'!D9193</f>
        <v>0</v>
      </c>
      <c r="AB9192" s="117">
        <f t="shared" si="146"/>
        <v>0</v>
      </c>
      <c r="AC9192" s="117" t="str">
        <f>IF(AB9192=1,COUNTIF($AB$3:AB9192,1),"")</f>
        <v/>
      </c>
      <c r="AD9192" s="117" t="str">
        <f>IFERROR(INDEX($AA$3:$AA$10000,MATCH(ROWS($AC$3:AC9192),$AC$3:$AC$10000,0)),"")</f>
        <v/>
      </c>
    </row>
    <row r="9193" spans="27:30">
      <c r="AA9193" s="117">
        <f>+'Ingredient List - Mother Tinctu'!D9194</f>
        <v>0</v>
      </c>
      <c r="AB9193" s="117">
        <f t="shared" si="146"/>
        <v>0</v>
      </c>
      <c r="AC9193" s="117" t="str">
        <f>IF(AB9193=1,COUNTIF($AB$3:AB9193,1),"")</f>
        <v/>
      </c>
      <c r="AD9193" s="117" t="str">
        <f>IFERROR(INDEX($AA$3:$AA$10000,MATCH(ROWS($AC$3:AC9193),$AC$3:$AC$10000,0)),"")</f>
        <v/>
      </c>
    </row>
    <row r="9194" spans="27:30">
      <c r="AA9194" s="117">
        <f>+'Ingredient List - Mother Tinctu'!D9195</f>
        <v>0</v>
      </c>
      <c r="AB9194" s="117">
        <f t="shared" si="146"/>
        <v>0</v>
      </c>
      <c r="AC9194" s="117" t="str">
        <f>IF(AB9194=1,COUNTIF($AB$3:AB9194,1),"")</f>
        <v/>
      </c>
      <c r="AD9194" s="117" t="str">
        <f>IFERROR(INDEX($AA$3:$AA$10000,MATCH(ROWS($AC$3:AC9194),$AC$3:$AC$10000,0)),"")</f>
        <v/>
      </c>
    </row>
    <row r="9195" spans="27:30">
      <c r="AA9195" s="117">
        <f>+'Ingredient List - Mother Tinctu'!D9196</f>
        <v>0</v>
      </c>
      <c r="AB9195" s="117">
        <f t="shared" si="146"/>
        <v>0</v>
      </c>
      <c r="AC9195" s="117" t="str">
        <f>IF(AB9195=1,COUNTIF($AB$3:AB9195,1),"")</f>
        <v/>
      </c>
      <c r="AD9195" s="117" t="str">
        <f>IFERROR(INDEX($AA$3:$AA$10000,MATCH(ROWS($AC$3:AC9195),$AC$3:$AC$10000,0)),"")</f>
        <v/>
      </c>
    </row>
    <row r="9196" spans="27:30">
      <c r="AA9196" s="117">
        <f>+'Ingredient List - Mother Tinctu'!D9197</f>
        <v>0</v>
      </c>
      <c r="AB9196" s="117">
        <f t="shared" si="146"/>
        <v>0</v>
      </c>
      <c r="AC9196" s="117" t="str">
        <f>IF(AB9196=1,COUNTIF($AB$3:AB9196,1),"")</f>
        <v/>
      </c>
      <c r="AD9196" s="117" t="str">
        <f>IFERROR(INDEX($AA$3:$AA$10000,MATCH(ROWS($AC$3:AC9196),$AC$3:$AC$10000,0)),"")</f>
        <v/>
      </c>
    </row>
    <row r="9197" spans="27:30">
      <c r="AA9197" s="117">
        <f>+'Ingredient List - Mother Tinctu'!D9198</f>
        <v>0</v>
      </c>
      <c r="AB9197" s="117">
        <f t="shared" si="146"/>
        <v>0</v>
      </c>
      <c r="AC9197" s="117" t="str">
        <f>IF(AB9197=1,COUNTIF($AB$3:AB9197,1),"")</f>
        <v/>
      </c>
      <c r="AD9197" s="117" t="str">
        <f>IFERROR(INDEX($AA$3:$AA$10000,MATCH(ROWS($AC$3:AC9197),$AC$3:$AC$10000,0)),"")</f>
        <v/>
      </c>
    </row>
    <row r="9198" spans="27:30">
      <c r="AA9198" s="117">
        <f>+'Ingredient List - Mother Tinctu'!D9199</f>
        <v>0</v>
      </c>
      <c r="AB9198" s="117">
        <f t="shared" si="146"/>
        <v>0</v>
      </c>
      <c r="AC9198" s="117" t="str">
        <f>IF(AB9198=1,COUNTIF($AB$3:AB9198,1),"")</f>
        <v/>
      </c>
      <c r="AD9198" s="117" t="str">
        <f>IFERROR(INDEX($AA$3:$AA$10000,MATCH(ROWS($AC$3:AC9198),$AC$3:$AC$10000,0)),"")</f>
        <v/>
      </c>
    </row>
    <row r="9199" spans="27:30">
      <c r="AA9199" s="117">
        <f>+'Ingredient List - Mother Tinctu'!D9200</f>
        <v>0</v>
      </c>
      <c r="AB9199" s="117">
        <f t="shared" si="146"/>
        <v>0</v>
      </c>
      <c r="AC9199" s="117" t="str">
        <f>IF(AB9199=1,COUNTIF($AB$3:AB9199,1),"")</f>
        <v/>
      </c>
      <c r="AD9199" s="117" t="str">
        <f>IFERROR(INDEX($AA$3:$AA$10000,MATCH(ROWS($AC$3:AC9199),$AC$3:$AC$10000,0)),"")</f>
        <v/>
      </c>
    </row>
    <row r="9200" spans="27:30">
      <c r="AA9200" s="117">
        <f>+'Ingredient List - Mother Tinctu'!D9201</f>
        <v>0</v>
      </c>
      <c r="AB9200" s="117">
        <f t="shared" si="146"/>
        <v>0</v>
      </c>
      <c r="AC9200" s="117" t="str">
        <f>IF(AB9200=1,COUNTIF($AB$3:AB9200,1),"")</f>
        <v/>
      </c>
      <c r="AD9200" s="117" t="str">
        <f>IFERROR(INDEX($AA$3:$AA$10000,MATCH(ROWS($AC$3:AC9200),$AC$3:$AC$10000,0)),"")</f>
        <v/>
      </c>
    </row>
    <row r="9201" spans="27:30">
      <c r="AA9201" s="117">
        <f>+'Ingredient List - Mother Tinctu'!D9202</f>
        <v>0</v>
      </c>
      <c r="AB9201" s="117">
        <f t="shared" si="146"/>
        <v>0</v>
      </c>
      <c r="AC9201" s="117" t="str">
        <f>IF(AB9201=1,COUNTIF($AB$3:AB9201,1),"")</f>
        <v/>
      </c>
      <c r="AD9201" s="117" t="str">
        <f>IFERROR(INDEX($AA$3:$AA$10000,MATCH(ROWS($AC$3:AC9201),$AC$3:$AC$10000,0)),"")</f>
        <v/>
      </c>
    </row>
    <row r="9202" spans="27:30">
      <c r="AA9202" s="117">
        <f>+'Ingredient List - Mother Tinctu'!D9203</f>
        <v>0</v>
      </c>
      <c r="AB9202" s="117">
        <f t="shared" si="146"/>
        <v>0</v>
      </c>
      <c r="AC9202" s="117" t="str">
        <f>IF(AB9202=1,COUNTIF($AB$3:AB9202,1),"")</f>
        <v/>
      </c>
      <c r="AD9202" s="117" t="str">
        <f>IFERROR(INDEX($AA$3:$AA$10000,MATCH(ROWS($AC$3:AC9202),$AC$3:$AC$10000,0)),"")</f>
        <v/>
      </c>
    </row>
    <row r="9203" spans="27:30">
      <c r="AA9203" s="117">
        <f>+'Ingredient List - Mother Tinctu'!D9204</f>
        <v>0</v>
      </c>
      <c r="AB9203" s="117">
        <f t="shared" si="146"/>
        <v>0</v>
      </c>
      <c r="AC9203" s="117" t="str">
        <f>IF(AB9203=1,COUNTIF($AB$3:AB9203,1),"")</f>
        <v/>
      </c>
      <c r="AD9203" s="117" t="str">
        <f>IFERROR(INDEX($AA$3:$AA$10000,MATCH(ROWS($AC$3:AC9203),$AC$3:$AC$10000,0)),"")</f>
        <v/>
      </c>
    </row>
    <row r="9204" spans="27:30">
      <c r="AA9204" s="117">
        <f>+'Ingredient List - Mother Tinctu'!D9205</f>
        <v>0</v>
      </c>
      <c r="AB9204" s="117">
        <f t="shared" si="146"/>
        <v>0</v>
      </c>
      <c r="AC9204" s="117" t="str">
        <f>IF(AB9204=1,COUNTIF($AB$3:AB9204,1),"")</f>
        <v/>
      </c>
      <c r="AD9204" s="117" t="str">
        <f>IFERROR(INDEX($AA$3:$AA$10000,MATCH(ROWS($AC$3:AC9204),$AC$3:$AC$10000,0)),"")</f>
        <v/>
      </c>
    </row>
    <row r="9205" spans="27:30">
      <c r="AA9205" s="117">
        <f>+'Ingredient List - Mother Tinctu'!D9206</f>
        <v>0</v>
      </c>
      <c r="AB9205" s="117">
        <f t="shared" si="146"/>
        <v>0</v>
      </c>
      <c r="AC9205" s="117" t="str">
        <f>IF(AB9205=1,COUNTIF($AB$3:AB9205,1),"")</f>
        <v/>
      </c>
      <c r="AD9205" s="117" t="str">
        <f>IFERROR(INDEX($AA$3:$AA$10000,MATCH(ROWS($AC$3:AC9205),$AC$3:$AC$10000,0)),"")</f>
        <v/>
      </c>
    </row>
    <row r="9206" spans="27:30">
      <c r="AA9206" s="117">
        <f>+'Ingredient List - Mother Tinctu'!D9207</f>
        <v>0</v>
      </c>
      <c r="AB9206" s="117">
        <f t="shared" si="146"/>
        <v>0</v>
      </c>
      <c r="AC9206" s="117" t="str">
        <f>IF(AB9206=1,COUNTIF($AB$3:AB9206,1),"")</f>
        <v/>
      </c>
      <c r="AD9206" s="117" t="str">
        <f>IFERROR(INDEX($AA$3:$AA$10000,MATCH(ROWS($AC$3:AC9206),$AC$3:$AC$10000,0)),"")</f>
        <v/>
      </c>
    </row>
    <row r="9207" spans="27:30">
      <c r="AA9207" s="117">
        <f>+'Ingredient List - Mother Tinctu'!D9208</f>
        <v>0</v>
      </c>
      <c r="AB9207" s="117">
        <f t="shared" si="146"/>
        <v>0</v>
      </c>
      <c r="AC9207" s="117" t="str">
        <f>IF(AB9207=1,COUNTIF($AB$3:AB9207,1),"")</f>
        <v/>
      </c>
      <c r="AD9207" s="117" t="str">
        <f>IFERROR(INDEX($AA$3:$AA$10000,MATCH(ROWS($AC$3:AC9207),$AC$3:$AC$10000,0)),"")</f>
        <v/>
      </c>
    </row>
    <row r="9208" spans="27:30">
      <c r="AA9208" s="117">
        <f>+'Ingredient List - Mother Tinctu'!D9209</f>
        <v>0</v>
      </c>
      <c r="AB9208" s="117">
        <f t="shared" si="146"/>
        <v>0</v>
      </c>
      <c r="AC9208" s="117" t="str">
        <f>IF(AB9208=1,COUNTIF($AB$3:AB9208,1),"")</f>
        <v/>
      </c>
      <c r="AD9208" s="117" t="str">
        <f>IFERROR(INDEX($AA$3:$AA$10000,MATCH(ROWS($AC$3:AC9208),$AC$3:$AC$10000,0)),"")</f>
        <v/>
      </c>
    </row>
    <row r="9209" spans="27:30">
      <c r="AA9209" s="117">
        <f>+'Ingredient List - Mother Tinctu'!D9210</f>
        <v>0</v>
      </c>
      <c r="AB9209" s="117">
        <f t="shared" si="146"/>
        <v>0</v>
      </c>
      <c r="AC9209" s="117" t="str">
        <f>IF(AB9209=1,COUNTIF($AB$3:AB9209,1),"")</f>
        <v/>
      </c>
      <c r="AD9209" s="117" t="str">
        <f>IFERROR(INDEX($AA$3:$AA$10000,MATCH(ROWS($AC$3:AC9209),$AC$3:$AC$10000,0)),"")</f>
        <v/>
      </c>
    </row>
    <row r="9210" spans="27:30">
      <c r="AA9210" s="117">
        <f>+'Ingredient List - Mother Tinctu'!D9211</f>
        <v>0</v>
      </c>
      <c r="AB9210" s="117">
        <f t="shared" si="146"/>
        <v>0</v>
      </c>
      <c r="AC9210" s="117" t="str">
        <f>IF(AB9210=1,COUNTIF($AB$3:AB9210,1),"")</f>
        <v/>
      </c>
      <c r="AD9210" s="117" t="str">
        <f>IFERROR(INDEX($AA$3:$AA$10000,MATCH(ROWS($AC$3:AC9210),$AC$3:$AC$10000,0)),"")</f>
        <v/>
      </c>
    </row>
    <row r="9211" spans="27:30">
      <c r="AA9211" s="117">
        <f>+'Ingredient List - Mother Tinctu'!D9212</f>
        <v>0</v>
      </c>
      <c r="AB9211" s="117">
        <f t="shared" si="146"/>
        <v>0</v>
      </c>
      <c r="AC9211" s="117" t="str">
        <f>IF(AB9211=1,COUNTIF($AB$3:AB9211,1),"")</f>
        <v/>
      </c>
      <c r="AD9211" s="117" t="str">
        <f>IFERROR(INDEX($AA$3:$AA$10000,MATCH(ROWS($AC$3:AC9211),$AC$3:$AC$10000,0)),"")</f>
        <v/>
      </c>
    </row>
    <row r="9212" spans="27:30">
      <c r="AA9212" s="117">
        <f>+'Ingredient List - Mother Tinctu'!D9213</f>
        <v>0</v>
      </c>
      <c r="AB9212" s="117">
        <f t="shared" si="146"/>
        <v>0</v>
      </c>
      <c r="AC9212" s="117" t="str">
        <f>IF(AB9212=1,COUNTIF($AB$3:AB9212,1),"")</f>
        <v/>
      </c>
      <c r="AD9212" s="117" t="str">
        <f>IFERROR(INDEX($AA$3:$AA$10000,MATCH(ROWS($AC$3:AC9212),$AC$3:$AC$10000,0)),"")</f>
        <v/>
      </c>
    </row>
    <row r="9213" spans="27:30">
      <c r="AA9213" s="117">
        <f>+'Ingredient List - Mother Tinctu'!D9214</f>
        <v>0</v>
      </c>
      <c r="AB9213" s="117">
        <f t="shared" si="146"/>
        <v>0</v>
      </c>
      <c r="AC9213" s="117" t="str">
        <f>IF(AB9213=1,COUNTIF($AB$3:AB9213,1),"")</f>
        <v/>
      </c>
      <c r="AD9213" s="117" t="str">
        <f>IFERROR(INDEX($AA$3:$AA$10000,MATCH(ROWS($AC$3:AC9213),$AC$3:$AC$10000,0)),"")</f>
        <v/>
      </c>
    </row>
    <row r="9214" spans="27:30">
      <c r="AA9214" s="117">
        <f>+'Ingredient List - Mother Tinctu'!D9215</f>
        <v>0</v>
      </c>
      <c r="AB9214" s="117">
        <f t="shared" si="146"/>
        <v>0</v>
      </c>
      <c r="AC9214" s="117" t="str">
        <f>IF(AB9214=1,COUNTIF($AB$3:AB9214,1),"")</f>
        <v/>
      </c>
      <c r="AD9214" s="117" t="str">
        <f>IFERROR(INDEX($AA$3:$AA$10000,MATCH(ROWS($AC$3:AC9214),$AC$3:$AC$10000,0)),"")</f>
        <v/>
      </c>
    </row>
    <row r="9215" spans="27:30">
      <c r="AA9215" s="117">
        <f>+'Ingredient List - Mother Tinctu'!D9216</f>
        <v>0</v>
      </c>
      <c r="AB9215" s="117">
        <f t="shared" si="146"/>
        <v>0</v>
      </c>
      <c r="AC9215" s="117" t="str">
        <f>IF(AB9215=1,COUNTIF($AB$3:AB9215,1),"")</f>
        <v/>
      </c>
      <c r="AD9215" s="117" t="str">
        <f>IFERROR(INDEX($AA$3:$AA$10000,MATCH(ROWS($AC$3:AC9215),$AC$3:$AC$10000,0)),"")</f>
        <v/>
      </c>
    </row>
    <row r="9216" spans="27:30">
      <c r="AA9216" s="117">
        <f>+'Ingredient List - Mother Tinctu'!D9217</f>
        <v>0</v>
      </c>
      <c r="AB9216" s="117">
        <f t="shared" si="146"/>
        <v>0</v>
      </c>
      <c r="AC9216" s="117" t="str">
        <f>IF(AB9216=1,COUNTIF($AB$3:AB9216,1),"")</f>
        <v/>
      </c>
      <c r="AD9216" s="117" t="str">
        <f>IFERROR(INDEX($AA$3:$AA$10000,MATCH(ROWS($AC$3:AC9216),$AC$3:$AC$10000,0)),"")</f>
        <v/>
      </c>
    </row>
    <row r="9217" spans="27:30">
      <c r="AA9217" s="117">
        <f>+'Ingredient List - Mother Tinctu'!D9218</f>
        <v>0</v>
      </c>
      <c r="AB9217" s="117">
        <f t="shared" si="146"/>
        <v>0</v>
      </c>
      <c r="AC9217" s="117" t="str">
        <f>IF(AB9217=1,COUNTIF($AB$3:AB9217,1),"")</f>
        <v/>
      </c>
      <c r="AD9217" s="117" t="str">
        <f>IFERROR(INDEX($AA$3:$AA$10000,MATCH(ROWS($AC$3:AC9217),$AC$3:$AC$10000,0)),"")</f>
        <v/>
      </c>
    </row>
    <row r="9218" spans="27:30">
      <c r="AA9218" s="117">
        <f>+'Ingredient List - Mother Tinctu'!D9219</f>
        <v>0</v>
      </c>
      <c r="AB9218" s="117">
        <f t="shared" si="146"/>
        <v>0</v>
      </c>
      <c r="AC9218" s="117" t="str">
        <f>IF(AB9218=1,COUNTIF($AB$3:AB9218,1),"")</f>
        <v/>
      </c>
      <c r="AD9218" s="117" t="str">
        <f>IFERROR(INDEX($AA$3:$AA$10000,MATCH(ROWS($AC$3:AC9218),$AC$3:$AC$10000,0)),"")</f>
        <v/>
      </c>
    </row>
    <row r="9219" spans="27:30">
      <c r="AA9219" s="117">
        <f>+'Ingredient List - Mother Tinctu'!D9220</f>
        <v>0</v>
      </c>
      <c r="AB9219" s="117">
        <f t="shared" si="146"/>
        <v>0</v>
      </c>
      <c r="AC9219" s="117" t="str">
        <f>IF(AB9219=1,COUNTIF($AB$3:AB9219,1),"")</f>
        <v/>
      </c>
      <c r="AD9219" s="117" t="str">
        <f>IFERROR(INDEX($AA$3:$AA$10000,MATCH(ROWS($AC$3:AC9219),$AC$3:$AC$10000,0)),"")</f>
        <v/>
      </c>
    </row>
    <row r="9220" spans="27:30">
      <c r="AA9220" s="117">
        <f>+'Ingredient List - Mother Tinctu'!D9221</f>
        <v>0</v>
      </c>
      <c r="AB9220" s="117">
        <f t="shared" ref="AB9220:AB9283" si="147">--ISNUMBER(IFERROR(SEARCH($D$3,AA9220,1),""))</f>
        <v>0</v>
      </c>
      <c r="AC9220" s="117" t="str">
        <f>IF(AB9220=1,COUNTIF($AB$3:AB9220,1),"")</f>
        <v/>
      </c>
      <c r="AD9220" s="117" t="str">
        <f>IFERROR(INDEX($AA$3:$AA$10000,MATCH(ROWS($AC$3:AC9220),$AC$3:$AC$10000,0)),"")</f>
        <v/>
      </c>
    </row>
    <row r="9221" spans="27:30">
      <c r="AA9221" s="117">
        <f>+'Ingredient List - Mother Tinctu'!D9222</f>
        <v>0</v>
      </c>
      <c r="AB9221" s="117">
        <f t="shared" si="147"/>
        <v>0</v>
      </c>
      <c r="AC9221" s="117" t="str">
        <f>IF(AB9221=1,COUNTIF($AB$3:AB9221,1),"")</f>
        <v/>
      </c>
      <c r="AD9221" s="117" t="str">
        <f>IFERROR(INDEX($AA$3:$AA$10000,MATCH(ROWS($AC$3:AC9221),$AC$3:$AC$10000,0)),"")</f>
        <v/>
      </c>
    </row>
    <row r="9222" spans="27:30">
      <c r="AA9222" s="117">
        <f>+'Ingredient List - Mother Tinctu'!D9223</f>
        <v>0</v>
      </c>
      <c r="AB9222" s="117">
        <f t="shared" si="147"/>
        <v>0</v>
      </c>
      <c r="AC9222" s="117" t="str">
        <f>IF(AB9222=1,COUNTIF($AB$3:AB9222,1),"")</f>
        <v/>
      </c>
      <c r="AD9222" s="117" t="str">
        <f>IFERROR(INDEX($AA$3:$AA$10000,MATCH(ROWS($AC$3:AC9222),$AC$3:$AC$10000,0)),"")</f>
        <v/>
      </c>
    </row>
    <row r="9223" spans="27:30">
      <c r="AA9223" s="117">
        <f>+'Ingredient List - Mother Tinctu'!D9224</f>
        <v>0</v>
      </c>
      <c r="AB9223" s="117">
        <f t="shared" si="147"/>
        <v>0</v>
      </c>
      <c r="AC9223" s="117" t="str">
        <f>IF(AB9223=1,COUNTIF($AB$3:AB9223,1),"")</f>
        <v/>
      </c>
      <c r="AD9223" s="117" t="str">
        <f>IFERROR(INDEX($AA$3:$AA$10000,MATCH(ROWS($AC$3:AC9223),$AC$3:$AC$10000,0)),"")</f>
        <v/>
      </c>
    </row>
    <row r="9224" spans="27:30">
      <c r="AA9224" s="117">
        <f>+'Ingredient List - Mother Tinctu'!D9225</f>
        <v>0</v>
      </c>
      <c r="AB9224" s="117">
        <f t="shared" si="147"/>
        <v>0</v>
      </c>
      <c r="AC9224" s="117" t="str">
        <f>IF(AB9224=1,COUNTIF($AB$3:AB9224,1),"")</f>
        <v/>
      </c>
      <c r="AD9224" s="117" t="str">
        <f>IFERROR(INDEX($AA$3:$AA$10000,MATCH(ROWS($AC$3:AC9224),$AC$3:$AC$10000,0)),"")</f>
        <v/>
      </c>
    </row>
    <row r="9225" spans="27:30">
      <c r="AA9225" s="117">
        <f>+'Ingredient List - Mother Tinctu'!D9226</f>
        <v>0</v>
      </c>
      <c r="AB9225" s="117">
        <f t="shared" si="147"/>
        <v>0</v>
      </c>
      <c r="AC9225" s="117" t="str">
        <f>IF(AB9225=1,COUNTIF($AB$3:AB9225,1),"")</f>
        <v/>
      </c>
      <c r="AD9225" s="117" t="str">
        <f>IFERROR(INDEX($AA$3:$AA$10000,MATCH(ROWS($AC$3:AC9225),$AC$3:$AC$10000,0)),"")</f>
        <v/>
      </c>
    </row>
    <row r="9226" spans="27:30">
      <c r="AA9226" s="117">
        <f>+'Ingredient List - Mother Tinctu'!D9227</f>
        <v>0</v>
      </c>
      <c r="AB9226" s="117">
        <f t="shared" si="147"/>
        <v>0</v>
      </c>
      <c r="AC9226" s="117" t="str">
        <f>IF(AB9226=1,COUNTIF($AB$3:AB9226,1),"")</f>
        <v/>
      </c>
      <c r="AD9226" s="117" t="str">
        <f>IFERROR(INDEX($AA$3:$AA$10000,MATCH(ROWS($AC$3:AC9226),$AC$3:$AC$10000,0)),"")</f>
        <v/>
      </c>
    </row>
    <row r="9227" spans="27:30">
      <c r="AA9227" s="117">
        <f>+'Ingredient List - Mother Tinctu'!D9228</f>
        <v>0</v>
      </c>
      <c r="AB9227" s="117">
        <f t="shared" si="147"/>
        <v>0</v>
      </c>
      <c r="AC9227" s="117" t="str">
        <f>IF(AB9227=1,COUNTIF($AB$3:AB9227,1),"")</f>
        <v/>
      </c>
      <c r="AD9227" s="117" t="str">
        <f>IFERROR(INDEX($AA$3:$AA$10000,MATCH(ROWS($AC$3:AC9227),$AC$3:$AC$10000,0)),"")</f>
        <v/>
      </c>
    </row>
    <row r="9228" spans="27:30">
      <c r="AA9228" s="117">
        <f>+'Ingredient List - Mother Tinctu'!D9229</f>
        <v>0</v>
      </c>
      <c r="AB9228" s="117">
        <f t="shared" si="147"/>
        <v>0</v>
      </c>
      <c r="AC9228" s="117" t="str">
        <f>IF(AB9228=1,COUNTIF($AB$3:AB9228,1),"")</f>
        <v/>
      </c>
      <c r="AD9228" s="117" t="str">
        <f>IFERROR(INDEX($AA$3:$AA$10000,MATCH(ROWS($AC$3:AC9228),$AC$3:$AC$10000,0)),"")</f>
        <v/>
      </c>
    </row>
    <row r="9229" spans="27:30">
      <c r="AA9229" s="117">
        <f>+'Ingredient List - Mother Tinctu'!D9230</f>
        <v>0</v>
      </c>
      <c r="AB9229" s="117">
        <f t="shared" si="147"/>
        <v>0</v>
      </c>
      <c r="AC9229" s="117" t="str">
        <f>IF(AB9229=1,COUNTIF($AB$3:AB9229,1),"")</f>
        <v/>
      </c>
      <c r="AD9229" s="117" t="str">
        <f>IFERROR(INDEX($AA$3:$AA$10000,MATCH(ROWS($AC$3:AC9229),$AC$3:$AC$10000,0)),"")</f>
        <v/>
      </c>
    </row>
    <row r="9230" spans="27:30">
      <c r="AA9230" s="117">
        <f>+'Ingredient List - Mother Tinctu'!D9231</f>
        <v>0</v>
      </c>
      <c r="AB9230" s="117">
        <f t="shared" si="147"/>
        <v>0</v>
      </c>
      <c r="AC9230" s="117" t="str">
        <f>IF(AB9230=1,COUNTIF($AB$3:AB9230,1),"")</f>
        <v/>
      </c>
      <c r="AD9230" s="117" t="str">
        <f>IFERROR(INDEX($AA$3:$AA$10000,MATCH(ROWS($AC$3:AC9230),$AC$3:$AC$10000,0)),"")</f>
        <v/>
      </c>
    </row>
    <row r="9231" spans="27:30">
      <c r="AA9231" s="117">
        <f>+'Ingredient List - Mother Tinctu'!D9232</f>
        <v>0</v>
      </c>
      <c r="AB9231" s="117">
        <f t="shared" si="147"/>
        <v>0</v>
      </c>
      <c r="AC9231" s="117" t="str">
        <f>IF(AB9231=1,COUNTIF($AB$3:AB9231,1),"")</f>
        <v/>
      </c>
      <c r="AD9231" s="117" t="str">
        <f>IFERROR(INDEX($AA$3:$AA$10000,MATCH(ROWS($AC$3:AC9231),$AC$3:$AC$10000,0)),"")</f>
        <v/>
      </c>
    </row>
    <row r="9232" spans="27:30">
      <c r="AA9232" s="117">
        <f>+'Ingredient List - Mother Tinctu'!D9233</f>
        <v>0</v>
      </c>
      <c r="AB9232" s="117">
        <f t="shared" si="147"/>
        <v>0</v>
      </c>
      <c r="AC9232" s="117" t="str">
        <f>IF(AB9232=1,COUNTIF($AB$3:AB9232,1),"")</f>
        <v/>
      </c>
      <c r="AD9232" s="117" t="str">
        <f>IFERROR(INDEX($AA$3:$AA$10000,MATCH(ROWS($AC$3:AC9232),$AC$3:$AC$10000,0)),"")</f>
        <v/>
      </c>
    </row>
    <row r="9233" spans="27:30">
      <c r="AA9233" s="117">
        <f>+'Ingredient List - Mother Tinctu'!D9234</f>
        <v>0</v>
      </c>
      <c r="AB9233" s="117">
        <f t="shared" si="147"/>
        <v>0</v>
      </c>
      <c r="AC9233" s="117" t="str">
        <f>IF(AB9233=1,COUNTIF($AB$3:AB9233,1),"")</f>
        <v/>
      </c>
      <c r="AD9233" s="117" t="str">
        <f>IFERROR(INDEX($AA$3:$AA$10000,MATCH(ROWS($AC$3:AC9233),$AC$3:$AC$10000,0)),"")</f>
        <v/>
      </c>
    </row>
    <row r="9234" spans="27:30">
      <c r="AA9234" s="117">
        <f>+'Ingredient List - Mother Tinctu'!D9235</f>
        <v>0</v>
      </c>
      <c r="AB9234" s="117">
        <f t="shared" si="147"/>
        <v>0</v>
      </c>
      <c r="AC9234" s="117" t="str">
        <f>IF(AB9234=1,COUNTIF($AB$3:AB9234,1),"")</f>
        <v/>
      </c>
      <c r="AD9234" s="117" t="str">
        <f>IFERROR(INDEX($AA$3:$AA$10000,MATCH(ROWS($AC$3:AC9234),$AC$3:$AC$10000,0)),"")</f>
        <v/>
      </c>
    </row>
    <row r="9235" spans="27:30">
      <c r="AA9235" s="117">
        <f>+'Ingredient List - Mother Tinctu'!D9236</f>
        <v>0</v>
      </c>
      <c r="AB9235" s="117">
        <f t="shared" si="147"/>
        <v>0</v>
      </c>
      <c r="AC9235" s="117" t="str">
        <f>IF(AB9235=1,COUNTIF($AB$3:AB9235,1),"")</f>
        <v/>
      </c>
      <c r="AD9235" s="117" t="str">
        <f>IFERROR(INDEX($AA$3:$AA$10000,MATCH(ROWS($AC$3:AC9235),$AC$3:$AC$10000,0)),"")</f>
        <v/>
      </c>
    </row>
    <row r="9236" spans="27:30">
      <c r="AA9236" s="117">
        <f>+'Ingredient List - Mother Tinctu'!D9237</f>
        <v>0</v>
      </c>
      <c r="AB9236" s="117">
        <f t="shared" si="147"/>
        <v>0</v>
      </c>
      <c r="AC9236" s="117" t="str">
        <f>IF(AB9236=1,COUNTIF($AB$3:AB9236,1),"")</f>
        <v/>
      </c>
      <c r="AD9236" s="117" t="str">
        <f>IFERROR(INDEX($AA$3:$AA$10000,MATCH(ROWS($AC$3:AC9236),$AC$3:$AC$10000,0)),"")</f>
        <v/>
      </c>
    </row>
    <row r="9237" spans="27:30">
      <c r="AA9237" s="117">
        <f>+'Ingredient List - Mother Tinctu'!D9238</f>
        <v>0</v>
      </c>
      <c r="AB9237" s="117">
        <f t="shared" si="147"/>
        <v>0</v>
      </c>
      <c r="AC9237" s="117" t="str">
        <f>IF(AB9237=1,COUNTIF($AB$3:AB9237,1),"")</f>
        <v/>
      </c>
      <c r="AD9237" s="117" t="str">
        <f>IFERROR(INDEX($AA$3:$AA$10000,MATCH(ROWS($AC$3:AC9237),$AC$3:$AC$10000,0)),"")</f>
        <v/>
      </c>
    </row>
    <row r="9238" spans="27:30">
      <c r="AA9238" s="117">
        <f>+'Ingredient List - Mother Tinctu'!D9239</f>
        <v>0</v>
      </c>
      <c r="AB9238" s="117">
        <f t="shared" si="147"/>
        <v>0</v>
      </c>
      <c r="AC9238" s="117" t="str">
        <f>IF(AB9238=1,COUNTIF($AB$3:AB9238,1),"")</f>
        <v/>
      </c>
      <c r="AD9238" s="117" t="str">
        <f>IFERROR(INDEX($AA$3:$AA$10000,MATCH(ROWS($AC$3:AC9238),$AC$3:$AC$10000,0)),"")</f>
        <v/>
      </c>
    </row>
    <row r="9239" spans="27:30">
      <c r="AA9239" s="117">
        <f>+'Ingredient List - Mother Tinctu'!D9240</f>
        <v>0</v>
      </c>
      <c r="AB9239" s="117">
        <f t="shared" si="147"/>
        <v>0</v>
      </c>
      <c r="AC9239" s="117" t="str">
        <f>IF(AB9239=1,COUNTIF($AB$3:AB9239,1),"")</f>
        <v/>
      </c>
      <c r="AD9239" s="117" t="str">
        <f>IFERROR(INDEX($AA$3:$AA$10000,MATCH(ROWS($AC$3:AC9239),$AC$3:$AC$10000,0)),"")</f>
        <v/>
      </c>
    </row>
    <row r="9240" spans="27:30">
      <c r="AA9240" s="117">
        <f>+'Ingredient List - Mother Tinctu'!D9241</f>
        <v>0</v>
      </c>
      <c r="AB9240" s="117">
        <f t="shared" si="147"/>
        <v>0</v>
      </c>
      <c r="AC9240" s="117" t="str">
        <f>IF(AB9240=1,COUNTIF($AB$3:AB9240,1),"")</f>
        <v/>
      </c>
      <c r="AD9240" s="117" t="str">
        <f>IFERROR(INDEX($AA$3:$AA$10000,MATCH(ROWS($AC$3:AC9240),$AC$3:$AC$10000,0)),"")</f>
        <v/>
      </c>
    </row>
    <row r="9241" spans="27:30">
      <c r="AA9241" s="117">
        <f>+'Ingredient List - Mother Tinctu'!D9242</f>
        <v>0</v>
      </c>
      <c r="AB9241" s="117">
        <f t="shared" si="147"/>
        <v>0</v>
      </c>
      <c r="AC9241" s="117" t="str">
        <f>IF(AB9241=1,COUNTIF($AB$3:AB9241,1),"")</f>
        <v/>
      </c>
      <c r="AD9241" s="117" t="str">
        <f>IFERROR(INDEX($AA$3:$AA$10000,MATCH(ROWS($AC$3:AC9241),$AC$3:$AC$10000,0)),"")</f>
        <v/>
      </c>
    </row>
    <row r="9242" spans="27:30">
      <c r="AA9242" s="117">
        <f>+'Ingredient List - Mother Tinctu'!D9243</f>
        <v>0</v>
      </c>
      <c r="AB9242" s="117">
        <f t="shared" si="147"/>
        <v>0</v>
      </c>
      <c r="AC9242" s="117" t="str">
        <f>IF(AB9242=1,COUNTIF($AB$3:AB9242,1),"")</f>
        <v/>
      </c>
      <c r="AD9242" s="117" t="str">
        <f>IFERROR(INDEX($AA$3:$AA$10000,MATCH(ROWS($AC$3:AC9242),$AC$3:$AC$10000,0)),"")</f>
        <v/>
      </c>
    </row>
    <row r="9243" spans="27:30">
      <c r="AA9243" s="117">
        <f>+'Ingredient List - Mother Tinctu'!D9244</f>
        <v>0</v>
      </c>
      <c r="AB9243" s="117">
        <f t="shared" si="147"/>
        <v>0</v>
      </c>
      <c r="AC9243" s="117" t="str">
        <f>IF(AB9243=1,COUNTIF($AB$3:AB9243,1),"")</f>
        <v/>
      </c>
      <c r="AD9243" s="117" t="str">
        <f>IFERROR(INDEX($AA$3:$AA$10000,MATCH(ROWS($AC$3:AC9243),$AC$3:$AC$10000,0)),"")</f>
        <v/>
      </c>
    </row>
    <row r="9244" spans="27:30">
      <c r="AA9244" s="117">
        <f>+'Ingredient List - Mother Tinctu'!D9245</f>
        <v>0</v>
      </c>
      <c r="AB9244" s="117">
        <f t="shared" si="147"/>
        <v>0</v>
      </c>
      <c r="AC9244" s="117" t="str">
        <f>IF(AB9244=1,COUNTIF($AB$3:AB9244,1),"")</f>
        <v/>
      </c>
      <c r="AD9244" s="117" t="str">
        <f>IFERROR(INDEX($AA$3:$AA$10000,MATCH(ROWS($AC$3:AC9244),$AC$3:$AC$10000,0)),"")</f>
        <v/>
      </c>
    </row>
    <row r="9245" spans="27:30">
      <c r="AA9245" s="117">
        <f>+'Ingredient List - Mother Tinctu'!D9246</f>
        <v>0</v>
      </c>
      <c r="AB9245" s="117">
        <f t="shared" si="147"/>
        <v>0</v>
      </c>
      <c r="AC9245" s="117" t="str">
        <f>IF(AB9245=1,COUNTIF($AB$3:AB9245,1),"")</f>
        <v/>
      </c>
      <c r="AD9245" s="117" t="str">
        <f>IFERROR(INDEX($AA$3:$AA$10000,MATCH(ROWS($AC$3:AC9245),$AC$3:$AC$10000,0)),"")</f>
        <v/>
      </c>
    </row>
    <row r="9246" spans="27:30">
      <c r="AA9246" s="117">
        <f>+'Ingredient List - Mother Tinctu'!D9247</f>
        <v>0</v>
      </c>
      <c r="AB9246" s="117">
        <f t="shared" si="147"/>
        <v>0</v>
      </c>
      <c r="AC9246" s="117" t="str">
        <f>IF(AB9246=1,COUNTIF($AB$3:AB9246,1),"")</f>
        <v/>
      </c>
      <c r="AD9246" s="117" t="str">
        <f>IFERROR(INDEX($AA$3:$AA$10000,MATCH(ROWS($AC$3:AC9246),$AC$3:$AC$10000,0)),"")</f>
        <v/>
      </c>
    </row>
    <row r="9247" spans="27:30">
      <c r="AA9247" s="117">
        <f>+'Ingredient List - Mother Tinctu'!D9248</f>
        <v>0</v>
      </c>
      <c r="AB9247" s="117">
        <f t="shared" si="147"/>
        <v>0</v>
      </c>
      <c r="AC9247" s="117" t="str">
        <f>IF(AB9247=1,COUNTIF($AB$3:AB9247,1),"")</f>
        <v/>
      </c>
      <c r="AD9247" s="117" t="str">
        <f>IFERROR(INDEX($AA$3:$AA$10000,MATCH(ROWS($AC$3:AC9247),$AC$3:$AC$10000,0)),"")</f>
        <v/>
      </c>
    </row>
    <row r="9248" spans="27:30">
      <c r="AA9248" s="117">
        <f>+'Ingredient List - Mother Tinctu'!D9249</f>
        <v>0</v>
      </c>
      <c r="AB9248" s="117">
        <f t="shared" si="147"/>
        <v>0</v>
      </c>
      <c r="AC9248" s="117" t="str">
        <f>IF(AB9248=1,COUNTIF($AB$3:AB9248,1),"")</f>
        <v/>
      </c>
      <c r="AD9248" s="117" t="str">
        <f>IFERROR(INDEX($AA$3:$AA$10000,MATCH(ROWS($AC$3:AC9248),$AC$3:$AC$10000,0)),"")</f>
        <v/>
      </c>
    </row>
    <row r="9249" spans="27:30">
      <c r="AA9249" s="117">
        <f>+'Ingredient List - Mother Tinctu'!D9250</f>
        <v>0</v>
      </c>
      <c r="AB9249" s="117">
        <f t="shared" si="147"/>
        <v>0</v>
      </c>
      <c r="AC9249" s="117" t="str">
        <f>IF(AB9249=1,COUNTIF($AB$3:AB9249,1),"")</f>
        <v/>
      </c>
      <c r="AD9249" s="117" t="str">
        <f>IFERROR(INDEX($AA$3:$AA$10000,MATCH(ROWS($AC$3:AC9249),$AC$3:$AC$10000,0)),"")</f>
        <v/>
      </c>
    </row>
    <row r="9250" spans="27:30">
      <c r="AA9250" s="117">
        <f>+'Ingredient List - Mother Tinctu'!D9251</f>
        <v>0</v>
      </c>
      <c r="AB9250" s="117">
        <f t="shared" si="147"/>
        <v>0</v>
      </c>
      <c r="AC9250" s="117" t="str">
        <f>IF(AB9250=1,COUNTIF($AB$3:AB9250,1),"")</f>
        <v/>
      </c>
      <c r="AD9250" s="117" t="str">
        <f>IFERROR(INDEX($AA$3:$AA$10000,MATCH(ROWS($AC$3:AC9250),$AC$3:$AC$10000,0)),"")</f>
        <v/>
      </c>
    </row>
    <row r="9251" spans="27:30">
      <c r="AA9251" s="117">
        <f>+'Ingredient List - Mother Tinctu'!D9252</f>
        <v>0</v>
      </c>
      <c r="AB9251" s="117">
        <f t="shared" si="147"/>
        <v>0</v>
      </c>
      <c r="AC9251" s="117" t="str">
        <f>IF(AB9251=1,COUNTIF($AB$3:AB9251,1),"")</f>
        <v/>
      </c>
      <c r="AD9251" s="117" t="str">
        <f>IFERROR(INDEX($AA$3:$AA$10000,MATCH(ROWS($AC$3:AC9251),$AC$3:$AC$10000,0)),"")</f>
        <v/>
      </c>
    </row>
    <row r="9252" spans="27:30">
      <c r="AA9252" s="117">
        <f>+'Ingredient List - Mother Tinctu'!D9253</f>
        <v>0</v>
      </c>
      <c r="AB9252" s="117">
        <f t="shared" si="147"/>
        <v>0</v>
      </c>
      <c r="AC9252" s="117" t="str">
        <f>IF(AB9252=1,COUNTIF($AB$3:AB9252,1),"")</f>
        <v/>
      </c>
      <c r="AD9252" s="117" t="str">
        <f>IFERROR(INDEX($AA$3:$AA$10000,MATCH(ROWS($AC$3:AC9252),$AC$3:$AC$10000,0)),"")</f>
        <v/>
      </c>
    </row>
    <row r="9253" spans="27:30">
      <c r="AA9253" s="117">
        <f>+'Ingredient List - Mother Tinctu'!D9254</f>
        <v>0</v>
      </c>
      <c r="AB9253" s="117">
        <f t="shared" si="147"/>
        <v>0</v>
      </c>
      <c r="AC9253" s="117" t="str">
        <f>IF(AB9253=1,COUNTIF($AB$3:AB9253,1),"")</f>
        <v/>
      </c>
      <c r="AD9253" s="117" t="str">
        <f>IFERROR(INDEX($AA$3:$AA$10000,MATCH(ROWS($AC$3:AC9253),$AC$3:$AC$10000,0)),"")</f>
        <v/>
      </c>
    </row>
    <row r="9254" spans="27:30">
      <c r="AA9254" s="117">
        <f>+'Ingredient List - Mother Tinctu'!D9255</f>
        <v>0</v>
      </c>
      <c r="AB9254" s="117">
        <f t="shared" si="147"/>
        <v>0</v>
      </c>
      <c r="AC9254" s="117" t="str">
        <f>IF(AB9254=1,COUNTIF($AB$3:AB9254,1),"")</f>
        <v/>
      </c>
      <c r="AD9254" s="117" t="str">
        <f>IFERROR(INDEX($AA$3:$AA$10000,MATCH(ROWS($AC$3:AC9254),$AC$3:$AC$10000,0)),"")</f>
        <v/>
      </c>
    </row>
    <row r="9255" spans="27:30">
      <c r="AA9255" s="117">
        <f>+'Ingredient List - Mother Tinctu'!D9256</f>
        <v>0</v>
      </c>
      <c r="AB9255" s="117">
        <f t="shared" si="147"/>
        <v>0</v>
      </c>
      <c r="AC9255" s="117" t="str">
        <f>IF(AB9255=1,COUNTIF($AB$3:AB9255,1),"")</f>
        <v/>
      </c>
      <c r="AD9255" s="117" t="str">
        <f>IFERROR(INDEX($AA$3:$AA$10000,MATCH(ROWS($AC$3:AC9255),$AC$3:$AC$10000,0)),"")</f>
        <v/>
      </c>
    </row>
    <row r="9256" spans="27:30">
      <c r="AA9256" s="117">
        <f>+'Ingredient List - Mother Tinctu'!D9257</f>
        <v>0</v>
      </c>
      <c r="AB9256" s="117">
        <f t="shared" si="147"/>
        <v>0</v>
      </c>
      <c r="AC9256" s="117" t="str">
        <f>IF(AB9256=1,COUNTIF($AB$3:AB9256,1),"")</f>
        <v/>
      </c>
      <c r="AD9256" s="117" t="str">
        <f>IFERROR(INDEX($AA$3:$AA$10000,MATCH(ROWS($AC$3:AC9256),$AC$3:$AC$10000,0)),"")</f>
        <v/>
      </c>
    </row>
    <row r="9257" spans="27:30">
      <c r="AA9257" s="117">
        <f>+'Ingredient List - Mother Tinctu'!D9258</f>
        <v>0</v>
      </c>
      <c r="AB9257" s="117">
        <f t="shared" si="147"/>
        <v>0</v>
      </c>
      <c r="AC9257" s="117" t="str">
        <f>IF(AB9257=1,COUNTIF($AB$3:AB9257,1),"")</f>
        <v/>
      </c>
      <c r="AD9257" s="117" t="str">
        <f>IFERROR(INDEX($AA$3:$AA$10000,MATCH(ROWS($AC$3:AC9257),$AC$3:$AC$10000,0)),"")</f>
        <v/>
      </c>
    </row>
    <row r="9258" spans="27:30">
      <c r="AA9258" s="117">
        <f>+'Ingredient List - Mother Tinctu'!D9259</f>
        <v>0</v>
      </c>
      <c r="AB9258" s="117">
        <f t="shared" si="147"/>
        <v>0</v>
      </c>
      <c r="AC9258" s="117" t="str">
        <f>IF(AB9258=1,COUNTIF($AB$3:AB9258,1),"")</f>
        <v/>
      </c>
      <c r="AD9258" s="117" t="str">
        <f>IFERROR(INDEX($AA$3:$AA$10000,MATCH(ROWS($AC$3:AC9258),$AC$3:$AC$10000,0)),"")</f>
        <v/>
      </c>
    </row>
    <row r="9259" spans="27:30">
      <c r="AA9259" s="117">
        <f>+'Ingredient List - Mother Tinctu'!D9260</f>
        <v>0</v>
      </c>
      <c r="AB9259" s="117">
        <f t="shared" si="147"/>
        <v>0</v>
      </c>
      <c r="AC9259" s="117" t="str">
        <f>IF(AB9259=1,COUNTIF($AB$3:AB9259,1),"")</f>
        <v/>
      </c>
      <c r="AD9259" s="117" t="str">
        <f>IFERROR(INDEX($AA$3:$AA$10000,MATCH(ROWS($AC$3:AC9259),$AC$3:$AC$10000,0)),"")</f>
        <v/>
      </c>
    </row>
    <row r="9260" spans="27:30">
      <c r="AA9260" s="117">
        <f>+'Ingredient List - Mother Tinctu'!D9261</f>
        <v>0</v>
      </c>
      <c r="AB9260" s="117">
        <f t="shared" si="147"/>
        <v>0</v>
      </c>
      <c r="AC9260" s="117" t="str">
        <f>IF(AB9260=1,COUNTIF($AB$3:AB9260,1),"")</f>
        <v/>
      </c>
      <c r="AD9260" s="117" t="str">
        <f>IFERROR(INDEX($AA$3:$AA$10000,MATCH(ROWS($AC$3:AC9260),$AC$3:$AC$10000,0)),"")</f>
        <v/>
      </c>
    </row>
    <row r="9261" spans="27:30">
      <c r="AA9261" s="117">
        <f>+'Ingredient List - Mother Tinctu'!D9262</f>
        <v>0</v>
      </c>
      <c r="AB9261" s="117">
        <f t="shared" si="147"/>
        <v>0</v>
      </c>
      <c r="AC9261" s="117" t="str">
        <f>IF(AB9261=1,COUNTIF($AB$3:AB9261,1),"")</f>
        <v/>
      </c>
      <c r="AD9261" s="117" t="str">
        <f>IFERROR(INDEX($AA$3:$AA$10000,MATCH(ROWS($AC$3:AC9261),$AC$3:$AC$10000,0)),"")</f>
        <v/>
      </c>
    </row>
    <row r="9262" spans="27:30">
      <c r="AA9262" s="117">
        <f>+'Ingredient List - Mother Tinctu'!D9263</f>
        <v>0</v>
      </c>
      <c r="AB9262" s="117">
        <f t="shared" si="147"/>
        <v>0</v>
      </c>
      <c r="AC9262" s="117" t="str">
        <f>IF(AB9262=1,COUNTIF($AB$3:AB9262,1),"")</f>
        <v/>
      </c>
      <c r="AD9262" s="117" t="str">
        <f>IFERROR(INDEX($AA$3:$AA$10000,MATCH(ROWS($AC$3:AC9262),$AC$3:$AC$10000,0)),"")</f>
        <v/>
      </c>
    </row>
    <row r="9263" spans="27:30">
      <c r="AA9263" s="117">
        <f>+'Ingredient List - Mother Tinctu'!D9264</f>
        <v>0</v>
      </c>
      <c r="AB9263" s="117">
        <f t="shared" si="147"/>
        <v>0</v>
      </c>
      <c r="AC9263" s="117" t="str">
        <f>IF(AB9263=1,COUNTIF($AB$3:AB9263,1),"")</f>
        <v/>
      </c>
      <c r="AD9263" s="117" t="str">
        <f>IFERROR(INDEX($AA$3:$AA$10000,MATCH(ROWS($AC$3:AC9263),$AC$3:$AC$10000,0)),"")</f>
        <v/>
      </c>
    </row>
    <row r="9264" spans="27:30">
      <c r="AA9264" s="117">
        <f>+'Ingredient List - Mother Tinctu'!D9265</f>
        <v>0</v>
      </c>
      <c r="AB9264" s="117">
        <f t="shared" si="147"/>
        <v>0</v>
      </c>
      <c r="AC9264" s="117" t="str">
        <f>IF(AB9264=1,COUNTIF($AB$3:AB9264,1),"")</f>
        <v/>
      </c>
      <c r="AD9264" s="117" t="str">
        <f>IFERROR(INDEX($AA$3:$AA$10000,MATCH(ROWS($AC$3:AC9264),$AC$3:$AC$10000,0)),"")</f>
        <v/>
      </c>
    </row>
    <row r="9265" spans="27:30">
      <c r="AA9265" s="117">
        <f>+'Ingredient List - Mother Tinctu'!D9266</f>
        <v>0</v>
      </c>
      <c r="AB9265" s="117">
        <f t="shared" si="147"/>
        <v>0</v>
      </c>
      <c r="AC9265" s="117" t="str">
        <f>IF(AB9265=1,COUNTIF($AB$3:AB9265,1),"")</f>
        <v/>
      </c>
      <c r="AD9265" s="117" t="str">
        <f>IFERROR(INDEX($AA$3:$AA$10000,MATCH(ROWS($AC$3:AC9265),$AC$3:$AC$10000,0)),"")</f>
        <v/>
      </c>
    </row>
    <row r="9266" spans="27:30">
      <c r="AA9266" s="117">
        <f>+'Ingredient List - Mother Tinctu'!D9267</f>
        <v>0</v>
      </c>
      <c r="AB9266" s="117">
        <f t="shared" si="147"/>
        <v>0</v>
      </c>
      <c r="AC9266" s="117" t="str">
        <f>IF(AB9266=1,COUNTIF($AB$3:AB9266,1),"")</f>
        <v/>
      </c>
      <c r="AD9266" s="117" t="str">
        <f>IFERROR(INDEX($AA$3:$AA$10000,MATCH(ROWS($AC$3:AC9266),$AC$3:$AC$10000,0)),"")</f>
        <v/>
      </c>
    </row>
    <row r="9267" spans="27:30">
      <c r="AA9267" s="117">
        <f>+'Ingredient List - Mother Tinctu'!D9268</f>
        <v>0</v>
      </c>
      <c r="AB9267" s="117">
        <f t="shared" si="147"/>
        <v>0</v>
      </c>
      <c r="AC9267" s="117" t="str">
        <f>IF(AB9267=1,COUNTIF($AB$3:AB9267,1),"")</f>
        <v/>
      </c>
      <c r="AD9267" s="117" t="str">
        <f>IFERROR(INDEX($AA$3:$AA$10000,MATCH(ROWS($AC$3:AC9267),$AC$3:$AC$10000,0)),"")</f>
        <v/>
      </c>
    </row>
    <row r="9268" spans="27:30">
      <c r="AA9268" s="117">
        <f>+'Ingredient List - Mother Tinctu'!D9269</f>
        <v>0</v>
      </c>
      <c r="AB9268" s="117">
        <f t="shared" si="147"/>
        <v>0</v>
      </c>
      <c r="AC9268" s="117" t="str">
        <f>IF(AB9268=1,COUNTIF($AB$3:AB9268,1),"")</f>
        <v/>
      </c>
      <c r="AD9268" s="117" t="str">
        <f>IFERROR(INDEX($AA$3:$AA$10000,MATCH(ROWS($AC$3:AC9268),$AC$3:$AC$10000,0)),"")</f>
        <v/>
      </c>
    </row>
    <row r="9269" spans="27:30">
      <c r="AA9269" s="117">
        <f>+'Ingredient List - Mother Tinctu'!D9270</f>
        <v>0</v>
      </c>
      <c r="AB9269" s="117">
        <f t="shared" si="147"/>
        <v>0</v>
      </c>
      <c r="AC9269" s="117" t="str">
        <f>IF(AB9269=1,COUNTIF($AB$3:AB9269,1),"")</f>
        <v/>
      </c>
      <c r="AD9269" s="117" t="str">
        <f>IFERROR(INDEX($AA$3:$AA$10000,MATCH(ROWS($AC$3:AC9269),$AC$3:$AC$10000,0)),"")</f>
        <v/>
      </c>
    </row>
    <row r="9270" spans="27:30">
      <c r="AA9270" s="117">
        <f>+'Ingredient List - Mother Tinctu'!D9271</f>
        <v>0</v>
      </c>
      <c r="AB9270" s="117">
        <f t="shared" si="147"/>
        <v>0</v>
      </c>
      <c r="AC9270" s="117" t="str">
        <f>IF(AB9270=1,COUNTIF($AB$3:AB9270,1),"")</f>
        <v/>
      </c>
      <c r="AD9270" s="117" t="str">
        <f>IFERROR(INDEX($AA$3:$AA$10000,MATCH(ROWS($AC$3:AC9270),$AC$3:$AC$10000,0)),"")</f>
        <v/>
      </c>
    </row>
    <row r="9271" spans="27:30">
      <c r="AA9271" s="117">
        <f>+'Ingredient List - Mother Tinctu'!D9272</f>
        <v>0</v>
      </c>
      <c r="AB9271" s="117">
        <f t="shared" si="147"/>
        <v>0</v>
      </c>
      <c r="AC9271" s="117" t="str">
        <f>IF(AB9271=1,COUNTIF($AB$3:AB9271,1),"")</f>
        <v/>
      </c>
      <c r="AD9271" s="117" t="str">
        <f>IFERROR(INDEX($AA$3:$AA$10000,MATCH(ROWS($AC$3:AC9271),$AC$3:$AC$10000,0)),"")</f>
        <v/>
      </c>
    </row>
    <row r="9272" spans="27:30">
      <c r="AA9272" s="117">
        <f>+'Ingredient List - Mother Tinctu'!D9273</f>
        <v>0</v>
      </c>
      <c r="AB9272" s="117">
        <f t="shared" si="147"/>
        <v>0</v>
      </c>
      <c r="AC9272" s="117" t="str">
        <f>IF(AB9272=1,COUNTIF($AB$3:AB9272,1),"")</f>
        <v/>
      </c>
      <c r="AD9272" s="117" t="str">
        <f>IFERROR(INDEX($AA$3:$AA$10000,MATCH(ROWS($AC$3:AC9272),$AC$3:$AC$10000,0)),"")</f>
        <v/>
      </c>
    </row>
    <row r="9273" spans="27:30">
      <c r="AA9273" s="117">
        <f>+'Ingredient List - Mother Tinctu'!D9274</f>
        <v>0</v>
      </c>
      <c r="AB9273" s="117">
        <f t="shared" si="147"/>
        <v>0</v>
      </c>
      <c r="AC9273" s="117" t="str">
        <f>IF(AB9273=1,COUNTIF($AB$3:AB9273,1),"")</f>
        <v/>
      </c>
      <c r="AD9273" s="117" t="str">
        <f>IFERROR(INDEX($AA$3:$AA$10000,MATCH(ROWS($AC$3:AC9273),$AC$3:$AC$10000,0)),"")</f>
        <v/>
      </c>
    </row>
    <row r="9274" spans="27:30">
      <c r="AA9274" s="117">
        <f>+'Ingredient List - Mother Tinctu'!D9275</f>
        <v>0</v>
      </c>
      <c r="AB9274" s="117">
        <f t="shared" si="147"/>
        <v>0</v>
      </c>
      <c r="AC9274" s="117" t="str">
        <f>IF(AB9274=1,COUNTIF($AB$3:AB9274,1),"")</f>
        <v/>
      </c>
      <c r="AD9274" s="117" t="str">
        <f>IFERROR(INDEX($AA$3:$AA$10000,MATCH(ROWS($AC$3:AC9274),$AC$3:$AC$10000,0)),"")</f>
        <v/>
      </c>
    </row>
    <row r="9275" spans="27:30">
      <c r="AA9275" s="117">
        <f>+'Ingredient List - Mother Tinctu'!D9276</f>
        <v>0</v>
      </c>
      <c r="AB9275" s="117">
        <f t="shared" si="147"/>
        <v>0</v>
      </c>
      <c r="AC9275" s="117" t="str">
        <f>IF(AB9275=1,COUNTIF($AB$3:AB9275,1),"")</f>
        <v/>
      </c>
      <c r="AD9275" s="117" t="str">
        <f>IFERROR(INDEX($AA$3:$AA$10000,MATCH(ROWS($AC$3:AC9275),$AC$3:$AC$10000,0)),"")</f>
        <v/>
      </c>
    </row>
    <row r="9276" spans="27:30">
      <c r="AA9276" s="117">
        <f>+'Ingredient List - Mother Tinctu'!D9277</f>
        <v>0</v>
      </c>
      <c r="AB9276" s="117">
        <f t="shared" si="147"/>
        <v>0</v>
      </c>
      <c r="AC9276" s="117" t="str">
        <f>IF(AB9276=1,COUNTIF($AB$3:AB9276,1),"")</f>
        <v/>
      </c>
      <c r="AD9276" s="117" t="str">
        <f>IFERROR(INDEX($AA$3:$AA$10000,MATCH(ROWS($AC$3:AC9276),$AC$3:$AC$10000,0)),"")</f>
        <v/>
      </c>
    </row>
    <row r="9277" spans="27:30">
      <c r="AA9277" s="117">
        <f>+'Ingredient List - Mother Tinctu'!D9278</f>
        <v>0</v>
      </c>
      <c r="AB9277" s="117">
        <f t="shared" si="147"/>
        <v>0</v>
      </c>
      <c r="AC9277" s="117" t="str">
        <f>IF(AB9277=1,COUNTIF($AB$3:AB9277,1),"")</f>
        <v/>
      </c>
      <c r="AD9277" s="117" t="str">
        <f>IFERROR(INDEX($AA$3:$AA$10000,MATCH(ROWS($AC$3:AC9277),$AC$3:$AC$10000,0)),"")</f>
        <v/>
      </c>
    </row>
    <row r="9278" spans="27:30">
      <c r="AA9278" s="117">
        <f>+'Ingredient List - Mother Tinctu'!D9279</f>
        <v>0</v>
      </c>
      <c r="AB9278" s="117">
        <f t="shared" si="147"/>
        <v>0</v>
      </c>
      <c r="AC9278" s="117" t="str">
        <f>IF(AB9278=1,COUNTIF($AB$3:AB9278,1),"")</f>
        <v/>
      </c>
      <c r="AD9278" s="117" t="str">
        <f>IFERROR(INDEX($AA$3:$AA$10000,MATCH(ROWS($AC$3:AC9278),$AC$3:$AC$10000,0)),"")</f>
        <v/>
      </c>
    </row>
    <row r="9279" spans="27:30">
      <c r="AA9279" s="117">
        <f>+'Ingredient List - Mother Tinctu'!D9280</f>
        <v>0</v>
      </c>
      <c r="AB9279" s="117">
        <f t="shared" si="147"/>
        <v>0</v>
      </c>
      <c r="AC9279" s="117" t="str">
        <f>IF(AB9279=1,COUNTIF($AB$3:AB9279,1),"")</f>
        <v/>
      </c>
      <c r="AD9279" s="117" t="str">
        <f>IFERROR(INDEX($AA$3:$AA$10000,MATCH(ROWS($AC$3:AC9279),$AC$3:$AC$10000,0)),"")</f>
        <v/>
      </c>
    </row>
    <row r="9280" spans="27:30">
      <c r="AA9280" s="117">
        <f>+'Ingredient List - Mother Tinctu'!D9281</f>
        <v>0</v>
      </c>
      <c r="AB9280" s="117">
        <f t="shared" si="147"/>
        <v>0</v>
      </c>
      <c r="AC9280" s="117" t="str">
        <f>IF(AB9280=1,COUNTIF($AB$3:AB9280,1),"")</f>
        <v/>
      </c>
      <c r="AD9280" s="117" t="str">
        <f>IFERROR(INDEX($AA$3:$AA$10000,MATCH(ROWS($AC$3:AC9280),$AC$3:$AC$10000,0)),"")</f>
        <v/>
      </c>
    </row>
    <row r="9281" spans="27:30">
      <c r="AA9281" s="117">
        <f>+'Ingredient List - Mother Tinctu'!D9282</f>
        <v>0</v>
      </c>
      <c r="AB9281" s="117">
        <f t="shared" si="147"/>
        <v>0</v>
      </c>
      <c r="AC9281" s="117" t="str">
        <f>IF(AB9281=1,COUNTIF($AB$3:AB9281,1),"")</f>
        <v/>
      </c>
      <c r="AD9281" s="117" t="str">
        <f>IFERROR(INDEX($AA$3:$AA$10000,MATCH(ROWS($AC$3:AC9281),$AC$3:$AC$10000,0)),"")</f>
        <v/>
      </c>
    </row>
    <row r="9282" spans="27:30">
      <c r="AA9282" s="117">
        <f>+'Ingredient List - Mother Tinctu'!D9283</f>
        <v>0</v>
      </c>
      <c r="AB9282" s="117">
        <f t="shared" si="147"/>
        <v>0</v>
      </c>
      <c r="AC9282" s="117" t="str">
        <f>IF(AB9282=1,COUNTIF($AB$3:AB9282,1),"")</f>
        <v/>
      </c>
      <c r="AD9282" s="117" t="str">
        <f>IFERROR(INDEX($AA$3:$AA$10000,MATCH(ROWS($AC$3:AC9282),$AC$3:$AC$10000,0)),"")</f>
        <v/>
      </c>
    </row>
    <row r="9283" spans="27:30">
      <c r="AA9283" s="117">
        <f>+'Ingredient List - Mother Tinctu'!D9284</f>
        <v>0</v>
      </c>
      <c r="AB9283" s="117">
        <f t="shared" si="147"/>
        <v>0</v>
      </c>
      <c r="AC9283" s="117" t="str">
        <f>IF(AB9283=1,COUNTIF($AB$3:AB9283,1),"")</f>
        <v/>
      </c>
      <c r="AD9283" s="117" t="str">
        <f>IFERROR(INDEX($AA$3:$AA$10000,MATCH(ROWS($AC$3:AC9283),$AC$3:$AC$10000,0)),"")</f>
        <v/>
      </c>
    </row>
    <row r="9284" spans="27:30">
      <c r="AA9284" s="117">
        <f>+'Ingredient List - Mother Tinctu'!D9285</f>
        <v>0</v>
      </c>
      <c r="AB9284" s="117">
        <f t="shared" ref="AB9284:AB9347" si="148">--ISNUMBER(IFERROR(SEARCH($D$3,AA9284,1),""))</f>
        <v>0</v>
      </c>
      <c r="AC9284" s="117" t="str">
        <f>IF(AB9284=1,COUNTIF($AB$3:AB9284,1),"")</f>
        <v/>
      </c>
      <c r="AD9284" s="117" t="str">
        <f>IFERROR(INDEX($AA$3:$AA$10000,MATCH(ROWS($AC$3:AC9284),$AC$3:$AC$10000,0)),"")</f>
        <v/>
      </c>
    </row>
    <row r="9285" spans="27:30">
      <c r="AA9285" s="117">
        <f>+'Ingredient List - Mother Tinctu'!D9286</f>
        <v>0</v>
      </c>
      <c r="AB9285" s="117">
        <f t="shared" si="148"/>
        <v>0</v>
      </c>
      <c r="AC9285" s="117" t="str">
        <f>IF(AB9285=1,COUNTIF($AB$3:AB9285,1),"")</f>
        <v/>
      </c>
      <c r="AD9285" s="117" t="str">
        <f>IFERROR(INDEX($AA$3:$AA$10000,MATCH(ROWS($AC$3:AC9285),$AC$3:$AC$10000,0)),"")</f>
        <v/>
      </c>
    </row>
    <row r="9286" spans="27:30">
      <c r="AA9286" s="117">
        <f>+'Ingredient List - Mother Tinctu'!D9287</f>
        <v>0</v>
      </c>
      <c r="AB9286" s="117">
        <f t="shared" si="148"/>
        <v>0</v>
      </c>
      <c r="AC9286" s="117" t="str">
        <f>IF(AB9286=1,COUNTIF($AB$3:AB9286,1),"")</f>
        <v/>
      </c>
      <c r="AD9286" s="117" t="str">
        <f>IFERROR(INDEX($AA$3:$AA$10000,MATCH(ROWS($AC$3:AC9286),$AC$3:$AC$10000,0)),"")</f>
        <v/>
      </c>
    </row>
    <row r="9287" spans="27:30">
      <c r="AA9287" s="117">
        <f>+'Ingredient List - Mother Tinctu'!D9288</f>
        <v>0</v>
      </c>
      <c r="AB9287" s="117">
        <f t="shared" si="148"/>
        <v>0</v>
      </c>
      <c r="AC9287" s="117" t="str">
        <f>IF(AB9287=1,COUNTIF($AB$3:AB9287,1),"")</f>
        <v/>
      </c>
      <c r="AD9287" s="117" t="str">
        <f>IFERROR(INDEX($AA$3:$AA$10000,MATCH(ROWS($AC$3:AC9287),$AC$3:$AC$10000,0)),"")</f>
        <v/>
      </c>
    </row>
    <row r="9288" spans="27:30">
      <c r="AA9288" s="117">
        <f>+'Ingredient List - Mother Tinctu'!D9289</f>
        <v>0</v>
      </c>
      <c r="AB9288" s="117">
        <f t="shared" si="148"/>
        <v>0</v>
      </c>
      <c r="AC9288" s="117" t="str">
        <f>IF(AB9288=1,COUNTIF($AB$3:AB9288,1),"")</f>
        <v/>
      </c>
      <c r="AD9288" s="117" t="str">
        <f>IFERROR(INDEX($AA$3:$AA$10000,MATCH(ROWS($AC$3:AC9288),$AC$3:$AC$10000,0)),"")</f>
        <v/>
      </c>
    </row>
    <row r="9289" spans="27:30">
      <c r="AA9289" s="117">
        <f>+'Ingredient List - Mother Tinctu'!D9290</f>
        <v>0</v>
      </c>
      <c r="AB9289" s="117">
        <f t="shared" si="148"/>
        <v>0</v>
      </c>
      <c r="AC9289" s="117" t="str">
        <f>IF(AB9289=1,COUNTIF($AB$3:AB9289,1),"")</f>
        <v/>
      </c>
      <c r="AD9289" s="117" t="str">
        <f>IFERROR(INDEX($AA$3:$AA$10000,MATCH(ROWS($AC$3:AC9289),$AC$3:$AC$10000,0)),"")</f>
        <v/>
      </c>
    </row>
    <row r="9290" spans="27:30">
      <c r="AA9290" s="117">
        <f>+'Ingredient List - Mother Tinctu'!D9291</f>
        <v>0</v>
      </c>
      <c r="AB9290" s="117">
        <f t="shared" si="148"/>
        <v>0</v>
      </c>
      <c r="AC9290" s="117" t="str">
        <f>IF(AB9290=1,COUNTIF($AB$3:AB9290,1),"")</f>
        <v/>
      </c>
      <c r="AD9290" s="117" t="str">
        <f>IFERROR(INDEX($AA$3:$AA$10000,MATCH(ROWS($AC$3:AC9290),$AC$3:$AC$10000,0)),"")</f>
        <v/>
      </c>
    </row>
    <row r="9291" spans="27:30">
      <c r="AA9291" s="117">
        <f>+'Ingredient List - Mother Tinctu'!D9292</f>
        <v>0</v>
      </c>
      <c r="AB9291" s="117">
        <f t="shared" si="148"/>
        <v>0</v>
      </c>
      <c r="AC9291" s="117" t="str">
        <f>IF(AB9291=1,COUNTIF($AB$3:AB9291,1),"")</f>
        <v/>
      </c>
      <c r="AD9291" s="117" t="str">
        <f>IFERROR(INDEX($AA$3:$AA$10000,MATCH(ROWS($AC$3:AC9291),$AC$3:$AC$10000,0)),"")</f>
        <v/>
      </c>
    </row>
    <row r="9292" spans="27:30">
      <c r="AA9292" s="117">
        <f>+'Ingredient List - Mother Tinctu'!D9293</f>
        <v>0</v>
      </c>
      <c r="AB9292" s="117">
        <f t="shared" si="148"/>
        <v>0</v>
      </c>
      <c r="AC9292" s="117" t="str">
        <f>IF(AB9292=1,COUNTIF($AB$3:AB9292,1),"")</f>
        <v/>
      </c>
      <c r="AD9292" s="117" t="str">
        <f>IFERROR(INDEX($AA$3:$AA$10000,MATCH(ROWS($AC$3:AC9292),$AC$3:$AC$10000,0)),"")</f>
        <v/>
      </c>
    </row>
    <row r="9293" spans="27:30">
      <c r="AA9293" s="117">
        <f>+'Ingredient List - Mother Tinctu'!D9294</f>
        <v>0</v>
      </c>
      <c r="AB9293" s="117">
        <f t="shared" si="148"/>
        <v>0</v>
      </c>
      <c r="AC9293" s="117" t="str">
        <f>IF(AB9293=1,COUNTIF($AB$3:AB9293,1),"")</f>
        <v/>
      </c>
      <c r="AD9293" s="117" t="str">
        <f>IFERROR(INDEX($AA$3:$AA$10000,MATCH(ROWS($AC$3:AC9293),$AC$3:$AC$10000,0)),"")</f>
        <v/>
      </c>
    </row>
    <row r="9294" spans="27:30">
      <c r="AA9294" s="117">
        <f>+'Ingredient List - Mother Tinctu'!D9295</f>
        <v>0</v>
      </c>
      <c r="AB9294" s="117">
        <f t="shared" si="148"/>
        <v>0</v>
      </c>
      <c r="AC9294" s="117" t="str">
        <f>IF(AB9294=1,COUNTIF($AB$3:AB9294,1),"")</f>
        <v/>
      </c>
      <c r="AD9294" s="117" t="str">
        <f>IFERROR(INDEX($AA$3:$AA$10000,MATCH(ROWS($AC$3:AC9294),$AC$3:$AC$10000,0)),"")</f>
        <v/>
      </c>
    </row>
    <row r="9295" spans="27:30">
      <c r="AA9295" s="117">
        <f>+'Ingredient List - Mother Tinctu'!D9296</f>
        <v>0</v>
      </c>
      <c r="AB9295" s="117">
        <f t="shared" si="148"/>
        <v>0</v>
      </c>
      <c r="AC9295" s="117" t="str">
        <f>IF(AB9295=1,COUNTIF($AB$3:AB9295,1),"")</f>
        <v/>
      </c>
      <c r="AD9295" s="117" t="str">
        <f>IFERROR(INDEX($AA$3:$AA$10000,MATCH(ROWS($AC$3:AC9295),$AC$3:$AC$10000,0)),"")</f>
        <v/>
      </c>
    </row>
    <row r="9296" spans="27:30">
      <c r="AA9296" s="117">
        <f>+'Ingredient List - Mother Tinctu'!D9297</f>
        <v>0</v>
      </c>
      <c r="AB9296" s="117">
        <f t="shared" si="148"/>
        <v>0</v>
      </c>
      <c r="AC9296" s="117" t="str">
        <f>IF(AB9296=1,COUNTIF($AB$3:AB9296,1),"")</f>
        <v/>
      </c>
      <c r="AD9296" s="117" t="str">
        <f>IFERROR(INDEX($AA$3:$AA$10000,MATCH(ROWS($AC$3:AC9296),$AC$3:$AC$10000,0)),"")</f>
        <v/>
      </c>
    </row>
    <row r="9297" spans="27:30">
      <c r="AA9297" s="117">
        <f>+'Ingredient List - Mother Tinctu'!D9298</f>
        <v>0</v>
      </c>
      <c r="AB9297" s="117">
        <f t="shared" si="148"/>
        <v>0</v>
      </c>
      <c r="AC9297" s="117" t="str">
        <f>IF(AB9297=1,COUNTIF($AB$3:AB9297,1),"")</f>
        <v/>
      </c>
      <c r="AD9297" s="117" t="str">
        <f>IFERROR(INDEX($AA$3:$AA$10000,MATCH(ROWS($AC$3:AC9297),$AC$3:$AC$10000,0)),"")</f>
        <v/>
      </c>
    </row>
    <row r="9298" spans="27:30">
      <c r="AA9298" s="117">
        <f>+'Ingredient List - Mother Tinctu'!D9299</f>
        <v>0</v>
      </c>
      <c r="AB9298" s="117">
        <f t="shared" si="148"/>
        <v>0</v>
      </c>
      <c r="AC9298" s="117" t="str">
        <f>IF(AB9298=1,COUNTIF($AB$3:AB9298,1),"")</f>
        <v/>
      </c>
      <c r="AD9298" s="117" t="str">
        <f>IFERROR(INDEX($AA$3:$AA$10000,MATCH(ROWS($AC$3:AC9298),$AC$3:$AC$10000,0)),"")</f>
        <v/>
      </c>
    </row>
    <row r="9299" spans="27:30">
      <c r="AA9299" s="117">
        <f>+'Ingredient List - Mother Tinctu'!D9300</f>
        <v>0</v>
      </c>
      <c r="AB9299" s="117">
        <f t="shared" si="148"/>
        <v>0</v>
      </c>
      <c r="AC9299" s="117" t="str">
        <f>IF(AB9299=1,COUNTIF($AB$3:AB9299,1),"")</f>
        <v/>
      </c>
      <c r="AD9299" s="117" t="str">
        <f>IFERROR(INDEX($AA$3:$AA$10000,MATCH(ROWS($AC$3:AC9299),$AC$3:$AC$10000,0)),"")</f>
        <v/>
      </c>
    </row>
    <row r="9300" spans="27:30">
      <c r="AA9300" s="117">
        <f>+'Ingredient List - Mother Tinctu'!D9301</f>
        <v>0</v>
      </c>
      <c r="AB9300" s="117">
        <f t="shared" si="148"/>
        <v>0</v>
      </c>
      <c r="AC9300" s="117" t="str">
        <f>IF(AB9300=1,COUNTIF($AB$3:AB9300,1),"")</f>
        <v/>
      </c>
      <c r="AD9300" s="117" t="str">
        <f>IFERROR(INDEX($AA$3:$AA$10000,MATCH(ROWS($AC$3:AC9300),$AC$3:$AC$10000,0)),"")</f>
        <v/>
      </c>
    </row>
    <row r="9301" spans="27:30">
      <c r="AA9301" s="117">
        <f>+'Ingredient List - Mother Tinctu'!D9302</f>
        <v>0</v>
      </c>
      <c r="AB9301" s="117">
        <f t="shared" si="148"/>
        <v>0</v>
      </c>
      <c r="AC9301" s="117" t="str">
        <f>IF(AB9301=1,COUNTIF($AB$3:AB9301,1),"")</f>
        <v/>
      </c>
      <c r="AD9301" s="117" t="str">
        <f>IFERROR(INDEX($AA$3:$AA$10000,MATCH(ROWS($AC$3:AC9301),$AC$3:$AC$10000,0)),"")</f>
        <v/>
      </c>
    </row>
    <row r="9302" spans="27:30">
      <c r="AA9302" s="117">
        <f>+'Ingredient List - Mother Tinctu'!D9303</f>
        <v>0</v>
      </c>
      <c r="AB9302" s="117">
        <f t="shared" si="148"/>
        <v>0</v>
      </c>
      <c r="AC9302" s="117" t="str">
        <f>IF(AB9302=1,COUNTIF($AB$3:AB9302,1),"")</f>
        <v/>
      </c>
      <c r="AD9302" s="117" t="str">
        <f>IFERROR(INDEX($AA$3:$AA$10000,MATCH(ROWS($AC$3:AC9302),$AC$3:$AC$10000,0)),"")</f>
        <v/>
      </c>
    </row>
    <row r="9303" spans="27:30">
      <c r="AA9303" s="117">
        <f>+'Ingredient List - Mother Tinctu'!D9304</f>
        <v>0</v>
      </c>
      <c r="AB9303" s="117">
        <f t="shared" si="148"/>
        <v>0</v>
      </c>
      <c r="AC9303" s="117" t="str">
        <f>IF(AB9303=1,COUNTIF($AB$3:AB9303,1),"")</f>
        <v/>
      </c>
      <c r="AD9303" s="117" t="str">
        <f>IFERROR(INDEX($AA$3:$AA$10000,MATCH(ROWS($AC$3:AC9303),$AC$3:$AC$10000,0)),"")</f>
        <v/>
      </c>
    </row>
    <row r="9304" spans="27:30">
      <c r="AA9304" s="117">
        <f>+'Ingredient List - Mother Tinctu'!D9305</f>
        <v>0</v>
      </c>
      <c r="AB9304" s="117">
        <f t="shared" si="148"/>
        <v>0</v>
      </c>
      <c r="AC9304" s="117" t="str">
        <f>IF(AB9304=1,COUNTIF($AB$3:AB9304,1),"")</f>
        <v/>
      </c>
      <c r="AD9304" s="117" t="str">
        <f>IFERROR(INDEX($AA$3:$AA$10000,MATCH(ROWS($AC$3:AC9304),$AC$3:$AC$10000,0)),"")</f>
        <v/>
      </c>
    </row>
    <row r="9305" spans="27:30">
      <c r="AA9305" s="117">
        <f>+'Ingredient List - Mother Tinctu'!D9306</f>
        <v>0</v>
      </c>
      <c r="AB9305" s="117">
        <f t="shared" si="148"/>
        <v>0</v>
      </c>
      <c r="AC9305" s="117" t="str">
        <f>IF(AB9305=1,COUNTIF($AB$3:AB9305,1),"")</f>
        <v/>
      </c>
      <c r="AD9305" s="117" t="str">
        <f>IFERROR(INDEX($AA$3:$AA$10000,MATCH(ROWS($AC$3:AC9305),$AC$3:$AC$10000,0)),"")</f>
        <v/>
      </c>
    </row>
    <row r="9306" spans="27:30">
      <c r="AA9306" s="117">
        <f>+'Ingredient List - Mother Tinctu'!D9307</f>
        <v>0</v>
      </c>
      <c r="AB9306" s="117">
        <f t="shared" si="148"/>
        <v>0</v>
      </c>
      <c r="AC9306" s="117" t="str">
        <f>IF(AB9306=1,COUNTIF($AB$3:AB9306,1),"")</f>
        <v/>
      </c>
      <c r="AD9306" s="117" t="str">
        <f>IFERROR(INDEX($AA$3:$AA$10000,MATCH(ROWS($AC$3:AC9306),$AC$3:$AC$10000,0)),"")</f>
        <v/>
      </c>
    </row>
    <row r="9307" spans="27:30">
      <c r="AA9307" s="117">
        <f>+'Ingredient List - Mother Tinctu'!D9308</f>
        <v>0</v>
      </c>
      <c r="AB9307" s="117">
        <f t="shared" si="148"/>
        <v>0</v>
      </c>
      <c r="AC9307" s="117" t="str">
        <f>IF(AB9307=1,COUNTIF($AB$3:AB9307,1),"")</f>
        <v/>
      </c>
      <c r="AD9307" s="117" t="str">
        <f>IFERROR(INDEX($AA$3:$AA$10000,MATCH(ROWS($AC$3:AC9307),$AC$3:$AC$10000,0)),"")</f>
        <v/>
      </c>
    </row>
    <row r="9308" spans="27:30">
      <c r="AA9308" s="117">
        <f>+'Ingredient List - Mother Tinctu'!D9309</f>
        <v>0</v>
      </c>
      <c r="AB9308" s="117">
        <f t="shared" si="148"/>
        <v>0</v>
      </c>
      <c r="AC9308" s="117" t="str">
        <f>IF(AB9308=1,COUNTIF($AB$3:AB9308,1),"")</f>
        <v/>
      </c>
      <c r="AD9308" s="117" t="str">
        <f>IFERROR(INDEX($AA$3:$AA$10000,MATCH(ROWS($AC$3:AC9308),$AC$3:$AC$10000,0)),"")</f>
        <v/>
      </c>
    </row>
    <row r="9309" spans="27:30">
      <c r="AA9309" s="117">
        <f>+'Ingredient List - Mother Tinctu'!D9310</f>
        <v>0</v>
      </c>
      <c r="AB9309" s="117">
        <f t="shared" si="148"/>
        <v>0</v>
      </c>
      <c r="AC9309" s="117" t="str">
        <f>IF(AB9309=1,COUNTIF($AB$3:AB9309,1),"")</f>
        <v/>
      </c>
      <c r="AD9309" s="117" t="str">
        <f>IFERROR(INDEX($AA$3:$AA$10000,MATCH(ROWS($AC$3:AC9309),$AC$3:$AC$10000,0)),"")</f>
        <v/>
      </c>
    </row>
    <row r="9310" spans="27:30">
      <c r="AA9310" s="117">
        <f>+'Ingredient List - Mother Tinctu'!D9311</f>
        <v>0</v>
      </c>
      <c r="AB9310" s="117">
        <f t="shared" si="148"/>
        <v>0</v>
      </c>
      <c r="AC9310" s="117" t="str">
        <f>IF(AB9310=1,COUNTIF($AB$3:AB9310,1),"")</f>
        <v/>
      </c>
      <c r="AD9310" s="117" t="str">
        <f>IFERROR(INDEX($AA$3:$AA$10000,MATCH(ROWS($AC$3:AC9310),$AC$3:$AC$10000,0)),"")</f>
        <v/>
      </c>
    </row>
    <row r="9311" spans="27:30">
      <c r="AA9311" s="117">
        <f>+'Ingredient List - Mother Tinctu'!D9312</f>
        <v>0</v>
      </c>
      <c r="AB9311" s="117">
        <f t="shared" si="148"/>
        <v>0</v>
      </c>
      <c r="AC9311" s="117" t="str">
        <f>IF(AB9311=1,COUNTIF($AB$3:AB9311,1),"")</f>
        <v/>
      </c>
      <c r="AD9311" s="117" t="str">
        <f>IFERROR(INDEX($AA$3:$AA$10000,MATCH(ROWS($AC$3:AC9311),$AC$3:$AC$10000,0)),"")</f>
        <v/>
      </c>
    </row>
    <row r="9312" spans="27:30">
      <c r="AA9312" s="117">
        <f>+'Ingredient List - Mother Tinctu'!D9313</f>
        <v>0</v>
      </c>
      <c r="AB9312" s="117">
        <f t="shared" si="148"/>
        <v>0</v>
      </c>
      <c r="AC9312" s="117" t="str">
        <f>IF(AB9312=1,COUNTIF($AB$3:AB9312,1),"")</f>
        <v/>
      </c>
      <c r="AD9312" s="117" t="str">
        <f>IFERROR(INDEX($AA$3:$AA$10000,MATCH(ROWS($AC$3:AC9312),$AC$3:$AC$10000,0)),"")</f>
        <v/>
      </c>
    </row>
    <row r="9313" spans="27:30">
      <c r="AA9313" s="117">
        <f>+'Ingredient List - Mother Tinctu'!D9314</f>
        <v>0</v>
      </c>
      <c r="AB9313" s="117">
        <f t="shared" si="148"/>
        <v>0</v>
      </c>
      <c r="AC9313" s="117" t="str">
        <f>IF(AB9313=1,COUNTIF($AB$3:AB9313,1),"")</f>
        <v/>
      </c>
      <c r="AD9313" s="117" t="str">
        <f>IFERROR(INDEX($AA$3:$AA$10000,MATCH(ROWS($AC$3:AC9313),$AC$3:$AC$10000,0)),"")</f>
        <v/>
      </c>
    </row>
    <row r="9314" spans="27:30">
      <c r="AA9314" s="117">
        <f>+'Ingredient List - Mother Tinctu'!D9315</f>
        <v>0</v>
      </c>
      <c r="AB9314" s="117">
        <f t="shared" si="148"/>
        <v>0</v>
      </c>
      <c r="AC9314" s="117" t="str">
        <f>IF(AB9314=1,COUNTIF($AB$3:AB9314,1),"")</f>
        <v/>
      </c>
      <c r="AD9314" s="117" t="str">
        <f>IFERROR(INDEX($AA$3:$AA$10000,MATCH(ROWS($AC$3:AC9314),$AC$3:$AC$10000,0)),"")</f>
        <v/>
      </c>
    </row>
    <row r="9315" spans="27:30">
      <c r="AA9315" s="117">
        <f>+'Ingredient List - Mother Tinctu'!D9316</f>
        <v>0</v>
      </c>
      <c r="AB9315" s="117">
        <f t="shared" si="148"/>
        <v>0</v>
      </c>
      <c r="AC9315" s="117" t="str">
        <f>IF(AB9315=1,COUNTIF($AB$3:AB9315,1),"")</f>
        <v/>
      </c>
      <c r="AD9315" s="117" t="str">
        <f>IFERROR(INDEX($AA$3:$AA$10000,MATCH(ROWS($AC$3:AC9315),$AC$3:$AC$10000,0)),"")</f>
        <v/>
      </c>
    </row>
    <row r="9316" spans="27:30">
      <c r="AA9316" s="117">
        <f>+'Ingredient List - Mother Tinctu'!D9317</f>
        <v>0</v>
      </c>
      <c r="AB9316" s="117">
        <f t="shared" si="148"/>
        <v>0</v>
      </c>
      <c r="AC9316" s="117" t="str">
        <f>IF(AB9316=1,COUNTIF($AB$3:AB9316,1),"")</f>
        <v/>
      </c>
      <c r="AD9316" s="117" t="str">
        <f>IFERROR(INDEX($AA$3:$AA$10000,MATCH(ROWS($AC$3:AC9316),$AC$3:$AC$10000,0)),"")</f>
        <v/>
      </c>
    </row>
    <row r="9317" spans="27:30">
      <c r="AA9317" s="117">
        <f>+'Ingredient List - Mother Tinctu'!D9318</f>
        <v>0</v>
      </c>
      <c r="AB9317" s="117">
        <f t="shared" si="148"/>
        <v>0</v>
      </c>
      <c r="AC9317" s="117" t="str">
        <f>IF(AB9317=1,COUNTIF($AB$3:AB9317,1),"")</f>
        <v/>
      </c>
      <c r="AD9317" s="117" t="str">
        <f>IFERROR(INDEX($AA$3:$AA$10000,MATCH(ROWS($AC$3:AC9317),$AC$3:$AC$10000,0)),"")</f>
        <v/>
      </c>
    </row>
    <row r="9318" spans="27:30">
      <c r="AA9318" s="117">
        <f>+'Ingredient List - Mother Tinctu'!D9319</f>
        <v>0</v>
      </c>
      <c r="AB9318" s="117">
        <f t="shared" si="148"/>
        <v>0</v>
      </c>
      <c r="AC9318" s="117" t="str">
        <f>IF(AB9318=1,COUNTIF($AB$3:AB9318,1),"")</f>
        <v/>
      </c>
      <c r="AD9318" s="117" t="str">
        <f>IFERROR(INDEX($AA$3:$AA$10000,MATCH(ROWS($AC$3:AC9318),$AC$3:$AC$10000,0)),"")</f>
        <v/>
      </c>
    </row>
    <row r="9319" spans="27:30">
      <c r="AA9319" s="117">
        <f>+'Ingredient List - Mother Tinctu'!D9320</f>
        <v>0</v>
      </c>
      <c r="AB9319" s="117">
        <f t="shared" si="148"/>
        <v>0</v>
      </c>
      <c r="AC9319" s="117" t="str">
        <f>IF(AB9319=1,COUNTIF($AB$3:AB9319,1),"")</f>
        <v/>
      </c>
      <c r="AD9319" s="117" t="str">
        <f>IFERROR(INDEX($AA$3:$AA$10000,MATCH(ROWS($AC$3:AC9319),$AC$3:$AC$10000,0)),"")</f>
        <v/>
      </c>
    </row>
    <row r="9320" spans="27:30">
      <c r="AA9320" s="117">
        <f>+'Ingredient List - Mother Tinctu'!D9321</f>
        <v>0</v>
      </c>
      <c r="AB9320" s="117">
        <f t="shared" si="148"/>
        <v>0</v>
      </c>
      <c r="AC9320" s="117" t="str">
        <f>IF(AB9320=1,COUNTIF($AB$3:AB9320,1),"")</f>
        <v/>
      </c>
      <c r="AD9320" s="117" t="str">
        <f>IFERROR(INDEX($AA$3:$AA$10000,MATCH(ROWS($AC$3:AC9320),$AC$3:$AC$10000,0)),"")</f>
        <v/>
      </c>
    </row>
    <row r="9321" spans="27:30">
      <c r="AA9321" s="117">
        <f>+'Ingredient List - Mother Tinctu'!D9322</f>
        <v>0</v>
      </c>
      <c r="AB9321" s="117">
        <f t="shared" si="148"/>
        <v>0</v>
      </c>
      <c r="AC9321" s="117" t="str">
        <f>IF(AB9321=1,COUNTIF($AB$3:AB9321,1),"")</f>
        <v/>
      </c>
      <c r="AD9321" s="117" t="str">
        <f>IFERROR(INDEX($AA$3:$AA$10000,MATCH(ROWS($AC$3:AC9321),$AC$3:$AC$10000,0)),"")</f>
        <v/>
      </c>
    </row>
    <row r="9322" spans="27:30">
      <c r="AA9322" s="117">
        <f>+'Ingredient List - Mother Tinctu'!D9323</f>
        <v>0</v>
      </c>
      <c r="AB9322" s="117">
        <f t="shared" si="148"/>
        <v>0</v>
      </c>
      <c r="AC9322" s="117" t="str">
        <f>IF(AB9322=1,COUNTIF($AB$3:AB9322,1),"")</f>
        <v/>
      </c>
      <c r="AD9322" s="117" t="str">
        <f>IFERROR(INDEX($AA$3:$AA$10000,MATCH(ROWS($AC$3:AC9322),$AC$3:$AC$10000,0)),"")</f>
        <v/>
      </c>
    </row>
    <row r="9323" spans="27:30">
      <c r="AA9323" s="117">
        <f>+'Ingredient List - Mother Tinctu'!D9324</f>
        <v>0</v>
      </c>
      <c r="AB9323" s="117">
        <f t="shared" si="148"/>
        <v>0</v>
      </c>
      <c r="AC9323" s="117" t="str">
        <f>IF(AB9323=1,COUNTIF($AB$3:AB9323,1),"")</f>
        <v/>
      </c>
      <c r="AD9323" s="117" t="str">
        <f>IFERROR(INDEX($AA$3:$AA$10000,MATCH(ROWS($AC$3:AC9323),$AC$3:$AC$10000,0)),"")</f>
        <v/>
      </c>
    </row>
    <row r="9324" spans="27:30">
      <c r="AA9324" s="117">
        <f>+'Ingredient List - Mother Tinctu'!D9325</f>
        <v>0</v>
      </c>
      <c r="AB9324" s="117">
        <f t="shared" si="148"/>
        <v>0</v>
      </c>
      <c r="AC9324" s="117" t="str">
        <f>IF(AB9324=1,COUNTIF($AB$3:AB9324,1),"")</f>
        <v/>
      </c>
      <c r="AD9324" s="117" t="str">
        <f>IFERROR(INDEX($AA$3:$AA$10000,MATCH(ROWS($AC$3:AC9324),$AC$3:$AC$10000,0)),"")</f>
        <v/>
      </c>
    </row>
    <row r="9325" spans="27:30">
      <c r="AA9325" s="117">
        <f>+'Ingredient List - Mother Tinctu'!D9326</f>
        <v>0</v>
      </c>
      <c r="AB9325" s="117">
        <f t="shared" si="148"/>
        <v>0</v>
      </c>
      <c r="AC9325" s="117" t="str">
        <f>IF(AB9325=1,COUNTIF($AB$3:AB9325,1),"")</f>
        <v/>
      </c>
      <c r="AD9325" s="117" t="str">
        <f>IFERROR(INDEX($AA$3:$AA$10000,MATCH(ROWS($AC$3:AC9325),$AC$3:$AC$10000,0)),"")</f>
        <v/>
      </c>
    </row>
    <row r="9326" spans="27:30">
      <c r="AA9326" s="117">
        <f>+'Ingredient List - Mother Tinctu'!D9327</f>
        <v>0</v>
      </c>
      <c r="AB9326" s="117">
        <f t="shared" si="148"/>
        <v>0</v>
      </c>
      <c r="AC9326" s="117" t="str">
        <f>IF(AB9326=1,COUNTIF($AB$3:AB9326,1),"")</f>
        <v/>
      </c>
      <c r="AD9326" s="117" t="str">
        <f>IFERROR(INDEX($AA$3:$AA$10000,MATCH(ROWS($AC$3:AC9326),$AC$3:$AC$10000,0)),"")</f>
        <v/>
      </c>
    </row>
    <row r="9327" spans="27:30">
      <c r="AA9327" s="117">
        <f>+'Ingredient List - Mother Tinctu'!D9328</f>
        <v>0</v>
      </c>
      <c r="AB9327" s="117">
        <f t="shared" si="148"/>
        <v>0</v>
      </c>
      <c r="AC9327" s="117" t="str">
        <f>IF(AB9327=1,COUNTIF($AB$3:AB9327,1),"")</f>
        <v/>
      </c>
      <c r="AD9327" s="117" t="str">
        <f>IFERROR(INDEX($AA$3:$AA$10000,MATCH(ROWS($AC$3:AC9327),$AC$3:$AC$10000,0)),"")</f>
        <v/>
      </c>
    </row>
    <row r="9328" spans="27:30">
      <c r="AA9328" s="117">
        <f>+'Ingredient List - Mother Tinctu'!D9329</f>
        <v>0</v>
      </c>
      <c r="AB9328" s="117">
        <f t="shared" si="148"/>
        <v>0</v>
      </c>
      <c r="AC9328" s="117" t="str">
        <f>IF(AB9328=1,COUNTIF($AB$3:AB9328,1),"")</f>
        <v/>
      </c>
      <c r="AD9328" s="117" t="str">
        <f>IFERROR(INDEX($AA$3:$AA$10000,MATCH(ROWS($AC$3:AC9328),$AC$3:$AC$10000,0)),"")</f>
        <v/>
      </c>
    </row>
    <row r="9329" spans="27:30">
      <c r="AA9329" s="117">
        <f>+'Ingredient List - Mother Tinctu'!D9330</f>
        <v>0</v>
      </c>
      <c r="AB9329" s="117">
        <f t="shared" si="148"/>
        <v>0</v>
      </c>
      <c r="AC9329" s="117" t="str">
        <f>IF(AB9329=1,COUNTIF($AB$3:AB9329,1),"")</f>
        <v/>
      </c>
      <c r="AD9329" s="117" t="str">
        <f>IFERROR(INDEX($AA$3:$AA$10000,MATCH(ROWS($AC$3:AC9329),$AC$3:$AC$10000,0)),"")</f>
        <v/>
      </c>
    </row>
    <row r="9330" spans="27:30">
      <c r="AA9330" s="117">
        <f>+'Ingredient List - Mother Tinctu'!D9331</f>
        <v>0</v>
      </c>
      <c r="AB9330" s="117">
        <f t="shared" si="148"/>
        <v>0</v>
      </c>
      <c r="AC9330" s="117" t="str">
        <f>IF(AB9330=1,COUNTIF($AB$3:AB9330,1),"")</f>
        <v/>
      </c>
      <c r="AD9330" s="117" t="str">
        <f>IFERROR(INDEX($AA$3:$AA$10000,MATCH(ROWS($AC$3:AC9330),$AC$3:$AC$10000,0)),"")</f>
        <v/>
      </c>
    </row>
    <row r="9331" spans="27:30">
      <c r="AA9331" s="117">
        <f>+'Ingredient List - Mother Tinctu'!D9332</f>
        <v>0</v>
      </c>
      <c r="AB9331" s="117">
        <f t="shared" si="148"/>
        <v>0</v>
      </c>
      <c r="AC9331" s="117" t="str">
        <f>IF(AB9331=1,COUNTIF($AB$3:AB9331,1),"")</f>
        <v/>
      </c>
      <c r="AD9331" s="117" t="str">
        <f>IFERROR(INDEX($AA$3:$AA$10000,MATCH(ROWS($AC$3:AC9331),$AC$3:$AC$10000,0)),"")</f>
        <v/>
      </c>
    </row>
    <row r="9332" spans="27:30">
      <c r="AA9332" s="117">
        <f>+'Ingredient List - Mother Tinctu'!D9333</f>
        <v>0</v>
      </c>
      <c r="AB9332" s="117">
        <f t="shared" si="148"/>
        <v>0</v>
      </c>
      <c r="AC9332" s="117" t="str">
        <f>IF(AB9332=1,COUNTIF($AB$3:AB9332,1),"")</f>
        <v/>
      </c>
      <c r="AD9332" s="117" t="str">
        <f>IFERROR(INDEX($AA$3:$AA$10000,MATCH(ROWS($AC$3:AC9332),$AC$3:$AC$10000,0)),"")</f>
        <v/>
      </c>
    </row>
    <row r="9333" spans="27:30">
      <c r="AA9333" s="117">
        <f>+'Ingredient List - Mother Tinctu'!D9334</f>
        <v>0</v>
      </c>
      <c r="AB9333" s="117">
        <f t="shared" si="148"/>
        <v>0</v>
      </c>
      <c r="AC9333" s="117" t="str">
        <f>IF(AB9333=1,COUNTIF($AB$3:AB9333,1),"")</f>
        <v/>
      </c>
      <c r="AD9333" s="117" t="str">
        <f>IFERROR(INDEX($AA$3:$AA$10000,MATCH(ROWS($AC$3:AC9333),$AC$3:$AC$10000,0)),"")</f>
        <v/>
      </c>
    </row>
    <row r="9334" spans="27:30">
      <c r="AA9334" s="117">
        <f>+'Ingredient List - Mother Tinctu'!D9335</f>
        <v>0</v>
      </c>
      <c r="AB9334" s="117">
        <f t="shared" si="148"/>
        <v>0</v>
      </c>
      <c r="AC9334" s="117" t="str">
        <f>IF(AB9334=1,COUNTIF($AB$3:AB9334,1),"")</f>
        <v/>
      </c>
      <c r="AD9334" s="117" t="str">
        <f>IFERROR(INDEX($AA$3:$AA$10000,MATCH(ROWS($AC$3:AC9334),$AC$3:$AC$10000,0)),"")</f>
        <v/>
      </c>
    </row>
    <row r="9335" spans="27:30">
      <c r="AA9335" s="117">
        <f>+'Ingredient List - Mother Tinctu'!D9336</f>
        <v>0</v>
      </c>
      <c r="AB9335" s="117">
        <f t="shared" si="148"/>
        <v>0</v>
      </c>
      <c r="AC9335" s="117" t="str">
        <f>IF(AB9335=1,COUNTIF($AB$3:AB9335,1),"")</f>
        <v/>
      </c>
      <c r="AD9335" s="117" t="str">
        <f>IFERROR(INDEX($AA$3:$AA$10000,MATCH(ROWS($AC$3:AC9335),$AC$3:$AC$10000,0)),"")</f>
        <v/>
      </c>
    </row>
    <row r="9336" spans="27:30">
      <c r="AA9336" s="117">
        <f>+'Ingredient List - Mother Tinctu'!D9337</f>
        <v>0</v>
      </c>
      <c r="AB9336" s="117">
        <f t="shared" si="148"/>
        <v>0</v>
      </c>
      <c r="AC9336" s="117" t="str">
        <f>IF(AB9336=1,COUNTIF($AB$3:AB9336,1),"")</f>
        <v/>
      </c>
      <c r="AD9336" s="117" t="str">
        <f>IFERROR(INDEX($AA$3:$AA$10000,MATCH(ROWS($AC$3:AC9336),$AC$3:$AC$10000,0)),"")</f>
        <v/>
      </c>
    </row>
    <row r="9337" spans="27:30">
      <c r="AA9337" s="117">
        <f>+'Ingredient List - Mother Tinctu'!D9338</f>
        <v>0</v>
      </c>
      <c r="AB9337" s="117">
        <f t="shared" si="148"/>
        <v>0</v>
      </c>
      <c r="AC9337" s="117" t="str">
        <f>IF(AB9337=1,COUNTIF($AB$3:AB9337,1),"")</f>
        <v/>
      </c>
      <c r="AD9337" s="117" t="str">
        <f>IFERROR(INDEX($AA$3:$AA$10000,MATCH(ROWS($AC$3:AC9337),$AC$3:$AC$10000,0)),"")</f>
        <v/>
      </c>
    </row>
    <row r="9338" spans="27:30">
      <c r="AA9338" s="117">
        <f>+'Ingredient List - Mother Tinctu'!D9339</f>
        <v>0</v>
      </c>
      <c r="AB9338" s="117">
        <f t="shared" si="148"/>
        <v>0</v>
      </c>
      <c r="AC9338" s="117" t="str">
        <f>IF(AB9338=1,COUNTIF($AB$3:AB9338,1),"")</f>
        <v/>
      </c>
      <c r="AD9338" s="117" t="str">
        <f>IFERROR(INDEX($AA$3:$AA$10000,MATCH(ROWS($AC$3:AC9338),$AC$3:$AC$10000,0)),"")</f>
        <v/>
      </c>
    </row>
    <row r="9339" spans="27:30">
      <c r="AA9339" s="117">
        <f>+'Ingredient List - Mother Tinctu'!D9340</f>
        <v>0</v>
      </c>
      <c r="AB9339" s="117">
        <f t="shared" si="148"/>
        <v>0</v>
      </c>
      <c r="AC9339" s="117" t="str">
        <f>IF(AB9339=1,COUNTIF($AB$3:AB9339,1),"")</f>
        <v/>
      </c>
      <c r="AD9339" s="117" t="str">
        <f>IFERROR(INDEX($AA$3:$AA$10000,MATCH(ROWS($AC$3:AC9339),$AC$3:$AC$10000,0)),"")</f>
        <v/>
      </c>
    </row>
    <row r="9340" spans="27:30">
      <c r="AA9340" s="117">
        <f>+'Ingredient List - Mother Tinctu'!D9341</f>
        <v>0</v>
      </c>
      <c r="AB9340" s="117">
        <f t="shared" si="148"/>
        <v>0</v>
      </c>
      <c r="AC9340" s="117" t="str">
        <f>IF(AB9340=1,COUNTIF($AB$3:AB9340,1),"")</f>
        <v/>
      </c>
      <c r="AD9340" s="117" t="str">
        <f>IFERROR(INDEX($AA$3:$AA$10000,MATCH(ROWS($AC$3:AC9340),$AC$3:$AC$10000,0)),"")</f>
        <v/>
      </c>
    </row>
    <row r="9341" spans="27:30">
      <c r="AA9341" s="117">
        <f>+'Ingredient List - Mother Tinctu'!D9342</f>
        <v>0</v>
      </c>
      <c r="AB9341" s="117">
        <f t="shared" si="148"/>
        <v>0</v>
      </c>
      <c r="AC9341" s="117" t="str">
        <f>IF(AB9341=1,COUNTIF($AB$3:AB9341,1),"")</f>
        <v/>
      </c>
      <c r="AD9341" s="117" t="str">
        <f>IFERROR(INDEX($AA$3:$AA$10000,MATCH(ROWS($AC$3:AC9341),$AC$3:$AC$10000,0)),"")</f>
        <v/>
      </c>
    </row>
    <row r="9342" spans="27:30">
      <c r="AA9342" s="117">
        <f>+'Ingredient List - Mother Tinctu'!D9343</f>
        <v>0</v>
      </c>
      <c r="AB9342" s="117">
        <f t="shared" si="148"/>
        <v>0</v>
      </c>
      <c r="AC9342" s="117" t="str">
        <f>IF(AB9342=1,COUNTIF($AB$3:AB9342,1),"")</f>
        <v/>
      </c>
      <c r="AD9342" s="117" t="str">
        <f>IFERROR(INDEX($AA$3:$AA$10000,MATCH(ROWS($AC$3:AC9342),$AC$3:$AC$10000,0)),"")</f>
        <v/>
      </c>
    </row>
    <row r="9343" spans="27:30">
      <c r="AA9343" s="117">
        <f>+'Ingredient List - Mother Tinctu'!D9344</f>
        <v>0</v>
      </c>
      <c r="AB9343" s="117">
        <f t="shared" si="148"/>
        <v>0</v>
      </c>
      <c r="AC9343" s="117" t="str">
        <f>IF(AB9343=1,COUNTIF($AB$3:AB9343,1),"")</f>
        <v/>
      </c>
      <c r="AD9343" s="117" t="str">
        <f>IFERROR(INDEX($AA$3:$AA$10000,MATCH(ROWS($AC$3:AC9343),$AC$3:$AC$10000,0)),"")</f>
        <v/>
      </c>
    </row>
    <row r="9344" spans="27:30">
      <c r="AA9344" s="117">
        <f>+'Ingredient List - Mother Tinctu'!D9345</f>
        <v>0</v>
      </c>
      <c r="AB9344" s="117">
        <f t="shared" si="148"/>
        <v>0</v>
      </c>
      <c r="AC9344" s="117" t="str">
        <f>IF(AB9344=1,COUNTIF($AB$3:AB9344,1),"")</f>
        <v/>
      </c>
      <c r="AD9344" s="117" t="str">
        <f>IFERROR(INDEX($AA$3:$AA$10000,MATCH(ROWS($AC$3:AC9344),$AC$3:$AC$10000,0)),"")</f>
        <v/>
      </c>
    </row>
    <row r="9345" spans="27:30">
      <c r="AA9345" s="117">
        <f>+'Ingredient List - Mother Tinctu'!D9346</f>
        <v>0</v>
      </c>
      <c r="AB9345" s="117">
        <f t="shared" si="148"/>
        <v>0</v>
      </c>
      <c r="AC9345" s="117" t="str">
        <f>IF(AB9345=1,COUNTIF($AB$3:AB9345,1),"")</f>
        <v/>
      </c>
      <c r="AD9345" s="117" t="str">
        <f>IFERROR(INDEX($AA$3:$AA$10000,MATCH(ROWS($AC$3:AC9345),$AC$3:$AC$10000,0)),"")</f>
        <v/>
      </c>
    </row>
    <row r="9346" spans="27:30">
      <c r="AA9346" s="117">
        <f>+'Ingredient List - Mother Tinctu'!D9347</f>
        <v>0</v>
      </c>
      <c r="AB9346" s="117">
        <f t="shared" si="148"/>
        <v>0</v>
      </c>
      <c r="AC9346" s="117" t="str">
        <f>IF(AB9346=1,COUNTIF($AB$3:AB9346,1),"")</f>
        <v/>
      </c>
      <c r="AD9346" s="117" t="str">
        <f>IFERROR(INDEX($AA$3:$AA$10000,MATCH(ROWS($AC$3:AC9346),$AC$3:$AC$10000,0)),"")</f>
        <v/>
      </c>
    </row>
    <row r="9347" spans="27:30">
      <c r="AA9347" s="117">
        <f>+'Ingredient List - Mother Tinctu'!D9348</f>
        <v>0</v>
      </c>
      <c r="AB9347" s="117">
        <f t="shared" si="148"/>
        <v>0</v>
      </c>
      <c r="AC9347" s="117" t="str">
        <f>IF(AB9347=1,COUNTIF($AB$3:AB9347,1),"")</f>
        <v/>
      </c>
      <c r="AD9347" s="117" t="str">
        <f>IFERROR(INDEX($AA$3:$AA$10000,MATCH(ROWS($AC$3:AC9347),$AC$3:$AC$10000,0)),"")</f>
        <v/>
      </c>
    </row>
    <row r="9348" spans="27:30">
      <c r="AA9348" s="117">
        <f>+'Ingredient List - Mother Tinctu'!D9349</f>
        <v>0</v>
      </c>
      <c r="AB9348" s="117">
        <f t="shared" ref="AB9348:AB9411" si="149">--ISNUMBER(IFERROR(SEARCH($D$3,AA9348,1),""))</f>
        <v>0</v>
      </c>
      <c r="AC9348" s="117" t="str">
        <f>IF(AB9348=1,COUNTIF($AB$3:AB9348,1),"")</f>
        <v/>
      </c>
      <c r="AD9348" s="117" t="str">
        <f>IFERROR(INDEX($AA$3:$AA$10000,MATCH(ROWS($AC$3:AC9348),$AC$3:$AC$10000,0)),"")</f>
        <v/>
      </c>
    </row>
    <row r="9349" spans="27:30">
      <c r="AA9349" s="117">
        <f>+'Ingredient List - Mother Tinctu'!D9350</f>
        <v>0</v>
      </c>
      <c r="AB9349" s="117">
        <f t="shared" si="149"/>
        <v>0</v>
      </c>
      <c r="AC9349" s="117" t="str">
        <f>IF(AB9349=1,COUNTIF($AB$3:AB9349,1),"")</f>
        <v/>
      </c>
      <c r="AD9349" s="117" t="str">
        <f>IFERROR(INDEX($AA$3:$AA$10000,MATCH(ROWS($AC$3:AC9349),$AC$3:$AC$10000,0)),"")</f>
        <v/>
      </c>
    </row>
    <row r="9350" spans="27:30">
      <c r="AA9350" s="117">
        <f>+'Ingredient List - Mother Tinctu'!D9351</f>
        <v>0</v>
      </c>
      <c r="AB9350" s="117">
        <f t="shared" si="149"/>
        <v>0</v>
      </c>
      <c r="AC9350" s="117" t="str">
        <f>IF(AB9350=1,COUNTIF($AB$3:AB9350,1),"")</f>
        <v/>
      </c>
      <c r="AD9350" s="117" t="str">
        <f>IFERROR(INDEX($AA$3:$AA$10000,MATCH(ROWS($AC$3:AC9350),$AC$3:$AC$10000,0)),"")</f>
        <v/>
      </c>
    </row>
    <row r="9351" spans="27:30">
      <c r="AA9351" s="117">
        <f>+'Ingredient List - Mother Tinctu'!D9352</f>
        <v>0</v>
      </c>
      <c r="AB9351" s="117">
        <f t="shared" si="149"/>
        <v>0</v>
      </c>
      <c r="AC9351" s="117" t="str">
        <f>IF(AB9351=1,COUNTIF($AB$3:AB9351,1),"")</f>
        <v/>
      </c>
      <c r="AD9351" s="117" t="str">
        <f>IFERROR(INDEX($AA$3:$AA$10000,MATCH(ROWS($AC$3:AC9351),$AC$3:$AC$10000,0)),"")</f>
        <v/>
      </c>
    </row>
    <row r="9352" spans="27:30">
      <c r="AA9352" s="117">
        <f>+'Ingredient List - Mother Tinctu'!D9353</f>
        <v>0</v>
      </c>
      <c r="AB9352" s="117">
        <f t="shared" si="149"/>
        <v>0</v>
      </c>
      <c r="AC9352" s="117" t="str">
        <f>IF(AB9352=1,COUNTIF($AB$3:AB9352,1),"")</f>
        <v/>
      </c>
      <c r="AD9352" s="117" t="str">
        <f>IFERROR(INDEX($AA$3:$AA$10000,MATCH(ROWS($AC$3:AC9352),$AC$3:$AC$10000,0)),"")</f>
        <v/>
      </c>
    </row>
    <row r="9353" spans="27:30">
      <c r="AA9353" s="117">
        <f>+'Ingredient List - Mother Tinctu'!D9354</f>
        <v>0</v>
      </c>
      <c r="AB9353" s="117">
        <f t="shared" si="149"/>
        <v>0</v>
      </c>
      <c r="AC9353" s="117" t="str">
        <f>IF(AB9353=1,COUNTIF($AB$3:AB9353,1),"")</f>
        <v/>
      </c>
      <c r="AD9353" s="117" t="str">
        <f>IFERROR(INDEX($AA$3:$AA$10000,MATCH(ROWS($AC$3:AC9353),$AC$3:$AC$10000,0)),"")</f>
        <v/>
      </c>
    </row>
    <row r="9354" spans="27:30">
      <c r="AA9354" s="117">
        <f>+'Ingredient List - Mother Tinctu'!D9355</f>
        <v>0</v>
      </c>
      <c r="AB9354" s="117">
        <f t="shared" si="149"/>
        <v>0</v>
      </c>
      <c r="AC9354" s="117" t="str">
        <f>IF(AB9354=1,COUNTIF($AB$3:AB9354,1),"")</f>
        <v/>
      </c>
      <c r="AD9354" s="117" t="str">
        <f>IFERROR(INDEX($AA$3:$AA$10000,MATCH(ROWS($AC$3:AC9354),$AC$3:$AC$10000,0)),"")</f>
        <v/>
      </c>
    </row>
    <row r="9355" spans="27:30">
      <c r="AA9355" s="117">
        <f>+'Ingredient List - Mother Tinctu'!D9356</f>
        <v>0</v>
      </c>
      <c r="AB9355" s="117">
        <f t="shared" si="149"/>
        <v>0</v>
      </c>
      <c r="AC9355" s="117" t="str">
        <f>IF(AB9355=1,COUNTIF($AB$3:AB9355,1),"")</f>
        <v/>
      </c>
      <c r="AD9355" s="117" t="str">
        <f>IFERROR(INDEX($AA$3:$AA$10000,MATCH(ROWS($AC$3:AC9355),$AC$3:$AC$10000,0)),"")</f>
        <v/>
      </c>
    </row>
    <row r="9356" spans="27:30">
      <c r="AA9356" s="117">
        <f>+'Ingredient List - Mother Tinctu'!D9357</f>
        <v>0</v>
      </c>
      <c r="AB9356" s="117">
        <f t="shared" si="149"/>
        <v>0</v>
      </c>
      <c r="AC9356" s="117" t="str">
        <f>IF(AB9356=1,COUNTIF($AB$3:AB9356,1),"")</f>
        <v/>
      </c>
      <c r="AD9356" s="117" t="str">
        <f>IFERROR(INDEX($AA$3:$AA$10000,MATCH(ROWS($AC$3:AC9356),$AC$3:$AC$10000,0)),"")</f>
        <v/>
      </c>
    </row>
    <row r="9357" spans="27:30">
      <c r="AA9357" s="117">
        <f>+'Ingredient List - Mother Tinctu'!D9358</f>
        <v>0</v>
      </c>
      <c r="AB9357" s="117">
        <f t="shared" si="149"/>
        <v>0</v>
      </c>
      <c r="AC9357" s="117" t="str">
        <f>IF(AB9357=1,COUNTIF($AB$3:AB9357,1),"")</f>
        <v/>
      </c>
      <c r="AD9357" s="117" t="str">
        <f>IFERROR(INDEX($AA$3:$AA$10000,MATCH(ROWS($AC$3:AC9357),$AC$3:$AC$10000,0)),"")</f>
        <v/>
      </c>
    </row>
    <row r="9358" spans="27:30">
      <c r="AA9358" s="117">
        <f>+'Ingredient List - Mother Tinctu'!D9359</f>
        <v>0</v>
      </c>
      <c r="AB9358" s="117">
        <f t="shared" si="149"/>
        <v>0</v>
      </c>
      <c r="AC9358" s="117" t="str">
        <f>IF(AB9358=1,COUNTIF($AB$3:AB9358,1),"")</f>
        <v/>
      </c>
      <c r="AD9358" s="117" t="str">
        <f>IFERROR(INDEX($AA$3:$AA$10000,MATCH(ROWS($AC$3:AC9358),$AC$3:$AC$10000,0)),"")</f>
        <v/>
      </c>
    </row>
    <row r="9359" spans="27:30">
      <c r="AA9359" s="117">
        <f>+'Ingredient List - Mother Tinctu'!D9360</f>
        <v>0</v>
      </c>
      <c r="AB9359" s="117">
        <f t="shared" si="149"/>
        <v>0</v>
      </c>
      <c r="AC9359" s="117" t="str">
        <f>IF(AB9359=1,COUNTIF($AB$3:AB9359,1),"")</f>
        <v/>
      </c>
      <c r="AD9359" s="117" t="str">
        <f>IFERROR(INDEX($AA$3:$AA$10000,MATCH(ROWS($AC$3:AC9359),$AC$3:$AC$10000,0)),"")</f>
        <v/>
      </c>
    </row>
    <row r="9360" spans="27:30">
      <c r="AA9360" s="117">
        <f>+'Ingredient List - Mother Tinctu'!D9361</f>
        <v>0</v>
      </c>
      <c r="AB9360" s="117">
        <f t="shared" si="149"/>
        <v>0</v>
      </c>
      <c r="AC9360" s="117" t="str">
        <f>IF(AB9360=1,COUNTIF($AB$3:AB9360,1),"")</f>
        <v/>
      </c>
      <c r="AD9360" s="117" t="str">
        <f>IFERROR(INDEX($AA$3:$AA$10000,MATCH(ROWS($AC$3:AC9360),$AC$3:$AC$10000,0)),"")</f>
        <v/>
      </c>
    </row>
    <row r="9361" spans="27:30">
      <c r="AA9361" s="117">
        <f>+'Ingredient List - Mother Tinctu'!D9362</f>
        <v>0</v>
      </c>
      <c r="AB9361" s="117">
        <f t="shared" si="149"/>
        <v>0</v>
      </c>
      <c r="AC9361" s="117" t="str">
        <f>IF(AB9361=1,COUNTIF($AB$3:AB9361,1),"")</f>
        <v/>
      </c>
      <c r="AD9361" s="117" t="str">
        <f>IFERROR(INDEX($AA$3:$AA$10000,MATCH(ROWS($AC$3:AC9361),$AC$3:$AC$10000,0)),"")</f>
        <v/>
      </c>
    </row>
    <row r="9362" spans="27:30">
      <c r="AA9362" s="117">
        <f>+'Ingredient List - Mother Tinctu'!D9363</f>
        <v>0</v>
      </c>
      <c r="AB9362" s="117">
        <f t="shared" si="149"/>
        <v>0</v>
      </c>
      <c r="AC9362" s="117" t="str">
        <f>IF(AB9362=1,COUNTIF($AB$3:AB9362,1),"")</f>
        <v/>
      </c>
      <c r="AD9362" s="117" t="str">
        <f>IFERROR(INDEX($AA$3:$AA$10000,MATCH(ROWS($AC$3:AC9362),$AC$3:$AC$10000,0)),"")</f>
        <v/>
      </c>
    </row>
    <row r="9363" spans="27:30">
      <c r="AA9363" s="117">
        <f>+'Ingredient List - Mother Tinctu'!D9364</f>
        <v>0</v>
      </c>
      <c r="AB9363" s="117">
        <f t="shared" si="149"/>
        <v>0</v>
      </c>
      <c r="AC9363" s="117" t="str">
        <f>IF(AB9363=1,COUNTIF($AB$3:AB9363,1),"")</f>
        <v/>
      </c>
      <c r="AD9363" s="117" t="str">
        <f>IFERROR(INDEX($AA$3:$AA$10000,MATCH(ROWS($AC$3:AC9363),$AC$3:$AC$10000,0)),"")</f>
        <v/>
      </c>
    </row>
    <row r="9364" spans="27:30">
      <c r="AA9364" s="117">
        <f>+'Ingredient List - Mother Tinctu'!D9365</f>
        <v>0</v>
      </c>
      <c r="AB9364" s="117">
        <f t="shared" si="149"/>
        <v>0</v>
      </c>
      <c r="AC9364" s="117" t="str">
        <f>IF(AB9364=1,COUNTIF($AB$3:AB9364,1),"")</f>
        <v/>
      </c>
      <c r="AD9364" s="117" t="str">
        <f>IFERROR(INDEX($AA$3:$AA$10000,MATCH(ROWS($AC$3:AC9364),$AC$3:$AC$10000,0)),"")</f>
        <v/>
      </c>
    </row>
    <row r="9365" spans="27:30">
      <c r="AA9365" s="117">
        <f>+'Ingredient List - Mother Tinctu'!D9366</f>
        <v>0</v>
      </c>
      <c r="AB9365" s="117">
        <f t="shared" si="149"/>
        <v>0</v>
      </c>
      <c r="AC9365" s="117" t="str">
        <f>IF(AB9365=1,COUNTIF($AB$3:AB9365,1),"")</f>
        <v/>
      </c>
      <c r="AD9365" s="117" t="str">
        <f>IFERROR(INDEX($AA$3:$AA$10000,MATCH(ROWS($AC$3:AC9365),$AC$3:$AC$10000,0)),"")</f>
        <v/>
      </c>
    </row>
    <row r="9366" spans="27:30">
      <c r="AA9366" s="117">
        <f>+'Ingredient List - Mother Tinctu'!D9367</f>
        <v>0</v>
      </c>
      <c r="AB9366" s="117">
        <f t="shared" si="149"/>
        <v>0</v>
      </c>
      <c r="AC9366" s="117" t="str">
        <f>IF(AB9366=1,COUNTIF($AB$3:AB9366,1),"")</f>
        <v/>
      </c>
      <c r="AD9366" s="117" t="str">
        <f>IFERROR(INDEX($AA$3:$AA$10000,MATCH(ROWS($AC$3:AC9366),$AC$3:$AC$10000,0)),"")</f>
        <v/>
      </c>
    </row>
    <row r="9367" spans="27:30">
      <c r="AA9367" s="117">
        <f>+'Ingredient List - Mother Tinctu'!D9368</f>
        <v>0</v>
      </c>
      <c r="AB9367" s="117">
        <f t="shared" si="149"/>
        <v>0</v>
      </c>
      <c r="AC9367" s="117" t="str">
        <f>IF(AB9367=1,COUNTIF($AB$3:AB9367,1),"")</f>
        <v/>
      </c>
      <c r="AD9367" s="117" t="str">
        <f>IFERROR(INDEX($AA$3:$AA$10000,MATCH(ROWS($AC$3:AC9367),$AC$3:$AC$10000,0)),"")</f>
        <v/>
      </c>
    </row>
    <row r="9368" spans="27:30">
      <c r="AA9368" s="117">
        <f>+'Ingredient List - Mother Tinctu'!D9369</f>
        <v>0</v>
      </c>
      <c r="AB9368" s="117">
        <f t="shared" si="149"/>
        <v>0</v>
      </c>
      <c r="AC9368" s="117" t="str">
        <f>IF(AB9368=1,COUNTIF($AB$3:AB9368,1),"")</f>
        <v/>
      </c>
      <c r="AD9368" s="117" t="str">
        <f>IFERROR(INDEX($AA$3:$AA$10000,MATCH(ROWS($AC$3:AC9368),$AC$3:$AC$10000,0)),"")</f>
        <v/>
      </c>
    </row>
    <row r="9369" spans="27:30">
      <c r="AA9369" s="117">
        <f>+'Ingredient List - Mother Tinctu'!D9370</f>
        <v>0</v>
      </c>
      <c r="AB9369" s="117">
        <f t="shared" si="149"/>
        <v>0</v>
      </c>
      <c r="AC9369" s="117" t="str">
        <f>IF(AB9369=1,COUNTIF($AB$3:AB9369,1),"")</f>
        <v/>
      </c>
      <c r="AD9369" s="117" t="str">
        <f>IFERROR(INDEX($AA$3:$AA$10000,MATCH(ROWS($AC$3:AC9369),$AC$3:$AC$10000,0)),"")</f>
        <v/>
      </c>
    </row>
    <row r="9370" spans="27:30">
      <c r="AA9370" s="117">
        <f>+'Ingredient List - Mother Tinctu'!D9371</f>
        <v>0</v>
      </c>
      <c r="AB9370" s="117">
        <f t="shared" si="149"/>
        <v>0</v>
      </c>
      <c r="AC9370" s="117" t="str">
        <f>IF(AB9370=1,COUNTIF($AB$3:AB9370,1),"")</f>
        <v/>
      </c>
      <c r="AD9370" s="117" t="str">
        <f>IFERROR(INDEX($AA$3:$AA$10000,MATCH(ROWS($AC$3:AC9370),$AC$3:$AC$10000,0)),"")</f>
        <v/>
      </c>
    </row>
    <row r="9371" spans="27:30">
      <c r="AA9371" s="117">
        <f>+'Ingredient List - Mother Tinctu'!D9372</f>
        <v>0</v>
      </c>
      <c r="AB9371" s="117">
        <f t="shared" si="149"/>
        <v>0</v>
      </c>
      <c r="AC9371" s="117" t="str">
        <f>IF(AB9371=1,COUNTIF($AB$3:AB9371,1),"")</f>
        <v/>
      </c>
      <c r="AD9371" s="117" t="str">
        <f>IFERROR(INDEX($AA$3:$AA$10000,MATCH(ROWS($AC$3:AC9371),$AC$3:$AC$10000,0)),"")</f>
        <v/>
      </c>
    </row>
    <row r="9372" spans="27:30">
      <c r="AA9372" s="117">
        <f>+'Ingredient List - Mother Tinctu'!D9373</f>
        <v>0</v>
      </c>
      <c r="AB9372" s="117">
        <f t="shared" si="149"/>
        <v>0</v>
      </c>
      <c r="AC9372" s="117" t="str">
        <f>IF(AB9372=1,COUNTIF($AB$3:AB9372,1),"")</f>
        <v/>
      </c>
      <c r="AD9372" s="117" t="str">
        <f>IFERROR(INDEX($AA$3:$AA$10000,MATCH(ROWS($AC$3:AC9372),$AC$3:$AC$10000,0)),"")</f>
        <v/>
      </c>
    </row>
    <row r="9373" spans="27:30">
      <c r="AA9373" s="117">
        <f>+'Ingredient List - Mother Tinctu'!D9374</f>
        <v>0</v>
      </c>
      <c r="AB9373" s="117">
        <f t="shared" si="149"/>
        <v>0</v>
      </c>
      <c r="AC9373" s="117" t="str">
        <f>IF(AB9373=1,COUNTIF($AB$3:AB9373,1),"")</f>
        <v/>
      </c>
      <c r="AD9373" s="117" t="str">
        <f>IFERROR(INDEX($AA$3:$AA$10000,MATCH(ROWS($AC$3:AC9373),$AC$3:$AC$10000,0)),"")</f>
        <v/>
      </c>
    </row>
    <row r="9374" spans="27:30">
      <c r="AA9374" s="117">
        <f>+'Ingredient List - Mother Tinctu'!D9375</f>
        <v>0</v>
      </c>
      <c r="AB9374" s="117">
        <f t="shared" si="149"/>
        <v>0</v>
      </c>
      <c r="AC9374" s="117" t="str">
        <f>IF(AB9374=1,COUNTIF($AB$3:AB9374,1),"")</f>
        <v/>
      </c>
      <c r="AD9374" s="117" t="str">
        <f>IFERROR(INDEX($AA$3:$AA$10000,MATCH(ROWS($AC$3:AC9374),$AC$3:$AC$10000,0)),"")</f>
        <v/>
      </c>
    </row>
    <row r="9375" spans="27:30">
      <c r="AA9375" s="117">
        <f>+'Ingredient List - Mother Tinctu'!D9376</f>
        <v>0</v>
      </c>
      <c r="AB9375" s="117">
        <f t="shared" si="149"/>
        <v>0</v>
      </c>
      <c r="AC9375" s="117" t="str">
        <f>IF(AB9375=1,COUNTIF($AB$3:AB9375,1),"")</f>
        <v/>
      </c>
      <c r="AD9375" s="117" t="str">
        <f>IFERROR(INDEX($AA$3:$AA$10000,MATCH(ROWS($AC$3:AC9375),$AC$3:$AC$10000,0)),"")</f>
        <v/>
      </c>
    </row>
    <row r="9376" spans="27:30">
      <c r="AA9376" s="117">
        <f>+'Ingredient List - Mother Tinctu'!D9377</f>
        <v>0</v>
      </c>
      <c r="AB9376" s="117">
        <f t="shared" si="149"/>
        <v>0</v>
      </c>
      <c r="AC9376" s="117" t="str">
        <f>IF(AB9376=1,COUNTIF($AB$3:AB9376,1),"")</f>
        <v/>
      </c>
      <c r="AD9376" s="117" t="str">
        <f>IFERROR(INDEX($AA$3:$AA$10000,MATCH(ROWS($AC$3:AC9376),$AC$3:$AC$10000,0)),"")</f>
        <v/>
      </c>
    </row>
    <row r="9377" spans="27:30">
      <c r="AA9377" s="117">
        <f>+'Ingredient List - Mother Tinctu'!D9378</f>
        <v>0</v>
      </c>
      <c r="AB9377" s="117">
        <f t="shared" si="149"/>
        <v>0</v>
      </c>
      <c r="AC9377" s="117" t="str">
        <f>IF(AB9377=1,COUNTIF($AB$3:AB9377,1),"")</f>
        <v/>
      </c>
      <c r="AD9377" s="117" t="str">
        <f>IFERROR(INDEX($AA$3:$AA$10000,MATCH(ROWS($AC$3:AC9377),$AC$3:$AC$10000,0)),"")</f>
        <v/>
      </c>
    </row>
    <row r="9378" spans="27:30">
      <c r="AA9378" s="117">
        <f>+'Ingredient List - Mother Tinctu'!D9379</f>
        <v>0</v>
      </c>
      <c r="AB9378" s="117">
        <f t="shared" si="149"/>
        <v>0</v>
      </c>
      <c r="AC9378" s="117" t="str">
        <f>IF(AB9378=1,COUNTIF($AB$3:AB9378,1),"")</f>
        <v/>
      </c>
      <c r="AD9378" s="117" t="str">
        <f>IFERROR(INDEX($AA$3:$AA$10000,MATCH(ROWS($AC$3:AC9378),$AC$3:$AC$10000,0)),"")</f>
        <v/>
      </c>
    </row>
    <row r="9379" spans="27:30">
      <c r="AA9379" s="117">
        <f>+'Ingredient List - Mother Tinctu'!D9380</f>
        <v>0</v>
      </c>
      <c r="AB9379" s="117">
        <f t="shared" si="149"/>
        <v>0</v>
      </c>
      <c r="AC9379" s="117" t="str">
        <f>IF(AB9379=1,COUNTIF($AB$3:AB9379,1),"")</f>
        <v/>
      </c>
      <c r="AD9379" s="117" t="str">
        <f>IFERROR(INDEX($AA$3:$AA$10000,MATCH(ROWS($AC$3:AC9379),$AC$3:$AC$10000,0)),"")</f>
        <v/>
      </c>
    </row>
    <row r="9380" spans="27:30">
      <c r="AA9380" s="117">
        <f>+'Ingredient List - Mother Tinctu'!D9381</f>
        <v>0</v>
      </c>
      <c r="AB9380" s="117">
        <f t="shared" si="149"/>
        <v>0</v>
      </c>
      <c r="AC9380" s="117" t="str">
        <f>IF(AB9380=1,COUNTIF($AB$3:AB9380,1),"")</f>
        <v/>
      </c>
      <c r="AD9380" s="117" t="str">
        <f>IFERROR(INDEX($AA$3:$AA$10000,MATCH(ROWS($AC$3:AC9380),$AC$3:$AC$10000,0)),"")</f>
        <v/>
      </c>
    </row>
    <row r="9381" spans="27:30">
      <c r="AA9381" s="117">
        <f>+'Ingredient List - Mother Tinctu'!D9382</f>
        <v>0</v>
      </c>
      <c r="AB9381" s="117">
        <f t="shared" si="149"/>
        <v>0</v>
      </c>
      <c r="AC9381" s="117" t="str">
        <f>IF(AB9381=1,COUNTIF($AB$3:AB9381,1),"")</f>
        <v/>
      </c>
      <c r="AD9381" s="117" t="str">
        <f>IFERROR(INDEX($AA$3:$AA$10000,MATCH(ROWS($AC$3:AC9381),$AC$3:$AC$10000,0)),"")</f>
        <v/>
      </c>
    </row>
    <row r="9382" spans="27:30">
      <c r="AA9382" s="117">
        <f>+'Ingredient List - Mother Tinctu'!D9383</f>
        <v>0</v>
      </c>
      <c r="AB9382" s="117">
        <f t="shared" si="149"/>
        <v>0</v>
      </c>
      <c r="AC9382" s="117" t="str">
        <f>IF(AB9382=1,COUNTIF($AB$3:AB9382,1),"")</f>
        <v/>
      </c>
      <c r="AD9382" s="117" t="str">
        <f>IFERROR(INDEX($AA$3:$AA$10000,MATCH(ROWS($AC$3:AC9382),$AC$3:$AC$10000,0)),"")</f>
        <v/>
      </c>
    </row>
    <row r="9383" spans="27:30">
      <c r="AA9383" s="117">
        <f>+'Ingredient List - Mother Tinctu'!D9384</f>
        <v>0</v>
      </c>
      <c r="AB9383" s="117">
        <f t="shared" si="149"/>
        <v>0</v>
      </c>
      <c r="AC9383" s="117" t="str">
        <f>IF(AB9383=1,COUNTIF($AB$3:AB9383,1),"")</f>
        <v/>
      </c>
      <c r="AD9383" s="117" t="str">
        <f>IFERROR(INDEX($AA$3:$AA$10000,MATCH(ROWS($AC$3:AC9383),$AC$3:$AC$10000,0)),"")</f>
        <v/>
      </c>
    </row>
    <row r="9384" spans="27:30">
      <c r="AA9384" s="117">
        <f>+'Ingredient List - Mother Tinctu'!D9385</f>
        <v>0</v>
      </c>
      <c r="AB9384" s="117">
        <f t="shared" si="149"/>
        <v>0</v>
      </c>
      <c r="AC9384" s="117" t="str">
        <f>IF(AB9384=1,COUNTIF($AB$3:AB9384,1),"")</f>
        <v/>
      </c>
      <c r="AD9384" s="117" t="str">
        <f>IFERROR(INDEX($AA$3:$AA$10000,MATCH(ROWS($AC$3:AC9384),$AC$3:$AC$10000,0)),"")</f>
        <v/>
      </c>
    </row>
    <row r="9385" spans="27:30">
      <c r="AA9385" s="117">
        <f>+'Ingredient List - Mother Tinctu'!D9386</f>
        <v>0</v>
      </c>
      <c r="AB9385" s="117">
        <f t="shared" si="149"/>
        <v>0</v>
      </c>
      <c r="AC9385" s="117" t="str">
        <f>IF(AB9385=1,COUNTIF($AB$3:AB9385,1),"")</f>
        <v/>
      </c>
      <c r="AD9385" s="117" t="str">
        <f>IFERROR(INDEX($AA$3:$AA$10000,MATCH(ROWS($AC$3:AC9385),$AC$3:$AC$10000,0)),"")</f>
        <v/>
      </c>
    </row>
    <row r="9386" spans="27:30">
      <c r="AA9386" s="117">
        <f>+'Ingredient List - Mother Tinctu'!D9387</f>
        <v>0</v>
      </c>
      <c r="AB9386" s="117">
        <f t="shared" si="149"/>
        <v>0</v>
      </c>
      <c r="AC9386" s="117" t="str">
        <f>IF(AB9386=1,COUNTIF($AB$3:AB9386,1),"")</f>
        <v/>
      </c>
      <c r="AD9386" s="117" t="str">
        <f>IFERROR(INDEX($AA$3:$AA$10000,MATCH(ROWS($AC$3:AC9386),$AC$3:$AC$10000,0)),"")</f>
        <v/>
      </c>
    </row>
    <row r="9387" spans="27:30">
      <c r="AA9387" s="117">
        <f>+'Ingredient List - Mother Tinctu'!D9388</f>
        <v>0</v>
      </c>
      <c r="AB9387" s="117">
        <f t="shared" si="149"/>
        <v>0</v>
      </c>
      <c r="AC9387" s="117" t="str">
        <f>IF(AB9387=1,COUNTIF($AB$3:AB9387,1),"")</f>
        <v/>
      </c>
      <c r="AD9387" s="117" t="str">
        <f>IFERROR(INDEX($AA$3:$AA$10000,MATCH(ROWS($AC$3:AC9387),$AC$3:$AC$10000,0)),"")</f>
        <v/>
      </c>
    </row>
    <row r="9388" spans="27:30">
      <c r="AA9388" s="117">
        <f>+'Ingredient List - Mother Tinctu'!D9389</f>
        <v>0</v>
      </c>
      <c r="AB9388" s="117">
        <f t="shared" si="149"/>
        <v>0</v>
      </c>
      <c r="AC9388" s="117" t="str">
        <f>IF(AB9388=1,COUNTIF($AB$3:AB9388,1),"")</f>
        <v/>
      </c>
      <c r="AD9388" s="117" t="str">
        <f>IFERROR(INDEX($AA$3:$AA$10000,MATCH(ROWS($AC$3:AC9388),$AC$3:$AC$10000,0)),"")</f>
        <v/>
      </c>
    </row>
    <row r="9389" spans="27:30">
      <c r="AA9389" s="117">
        <f>+'Ingredient List - Mother Tinctu'!D9390</f>
        <v>0</v>
      </c>
      <c r="AB9389" s="117">
        <f t="shared" si="149"/>
        <v>0</v>
      </c>
      <c r="AC9389" s="117" t="str">
        <f>IF(AB9389=1,COUNTIF($AB$3:AB9389,1),"")</f>
        <v/>
      </c>
      <c r="AD9389" s="117" t="str">
        <f>IFERROR(INDEX($AA$3:$AA$10000,MATCH(ROWS($AC$3:AC9389),$AC$3:$AC$10000,0)),"")</f>
        <v/>
      </c>
    </row>
    <row r="9390" spans="27:30">
      <c r="AA9390" s="117">
        <f>+'Ingredient List - Mother Tinctu'!D9391</f>
        <v>0</v>
      </c>
      <c r="AB9390" s="117">
        <f t="shared" si="149"/>
        <v>0</v>
      </c>
      <c r="AC9390" s="117" t="str">
        <f>IF(AB9390=1,COUNTIF($AB$3:AB9390,1),"")</f>
        <v/>
      </c>
      <c r="AD9390" s="117" t="str">
        <f>IFERROR(INDEX($AA$3:$AA$10000,MATCH(ROWS($AC$3:AC9390),$AC$3:$AC$10000,0)),"")</f>
        <v/>
      </c>
    </row>
    <row r="9391" spans="27:30">
      <c r="AA9391" s="117">
        <f>+'Ingredient List - Mother Tinctu'!D9392</f>
        <v>0</v>
      </c>
      <c r="AB9391" s="117">
        <f t="shared" si="149"/>
        <v>0</v>
      </c>
      <c r="AC9391" s="117" t="str">
        <f>IF(AB9391=1,COUNTIF($AB$3:AB9391,1),"")</f>
        <v/>
      </c>
      <c r="AD9391" s="117" t="str">
        <f>IFERROR(INDEX($AA$3:$AA$10000,MATCH(ROWS($AC$3:AC9391),$AC$3:$AC$10000,0)),"")</f>
        <v/>
      </c>
    </row>
    <row r="9392" spans="27:30">
      <c r="AA9392" s="117">
        <f>+'Ingredient List - Mother Tinctu'!D9393</f>
        <v>0</v>
      </c>
      <c r="AB9392" s="117">
        <f t="shared" si="149"/>
        <v>0</v>
      </c>
      <c r="AC9392" s="117" t="str">
        <f>IF(AB9392=1,COUNTIF($AB$3:AB9392,1),"")</f>
        <v/>
      </c>
      <c r="AD9392" s="117" t="str">
        <f>IFERROR(INDEX($AA$3:$AA$10000,MATCH(ROWS($AC$3:AC9392),$AC$3:$AC$10000,0)),"")</f>
        <v/>
      </c>
    </row>
    <row r="9393" spans="27:30">
      <c r="AA9393" s="117">
        <f>+'Ingredient List - Mother Tinctu'!D9394</f>
        <v>0</v>
      </c>
      <c r="AB9393" s="117">
        <f t="shared" si="149"/>
        <v>0</v>
      </c>
      <c r="AC9393" s="117" t="str">
        <f>IF(AB9393=1,COUNTIF($AB$3:AB9393,1),"")</f>
        <v/>
      </c>
      <c r="AD9393" s="117" t="str">
        <f>IFERROR(INDEX($AA$3:$AA$10000,MATCH(ROWS($AC$3:AC9393),$AC$3:$AC$10000,0)),"")</f>
        <v/>
      </c>
    </row>
    <row r="9394" spans="27:30">
      <c r="AA9394" s="117">
        <f>+'Ingredient List - Mother Tinctu'!D9395</f>
        <v>0</v>
      </c>
      <c r="AB9394" s="117">
        <f t="shared" si="149"/>
        <v>0</v>
      </c>
      <c r="AC9394" s="117" t="str">
        <f>IF(AB9394=1,COUNTIF($AB$3:AB9394,1),"")</f>
        <v/>
      </c>
      <c r="AD9394" s="117" t="str">
        <f>IFERROR(INDEX($AA$3:$AA$10000,MATCH(ROWS($AC$3:AC9394),$AC$3:$AC$10000,0)),"")</f>
        <v/>
      </c>
    </row>
    <row r="9395" spans="27:30">
      <c r="AA9395" s="117">
        <f>+'Ingredient List - Mother Tinctu'!D9396</f>
        <v>0</v>
      </c>
      <c r="AB9395" s="117">
        <f t="shared" si="149"/>
        <v>0</v>
      </c>
      <c r="AC9395" s="117" t="str">
        <f>IF(AB9395=1,COUNTIF($AB$3:AB9395,1),"")</f>
        <v/>
      </c>
      <c r="AD9395" s="117" t="str">
        <f>IFERROR(INDEX($AA$3:$AA$10000,MATCH(ROWS($AC$3:AC9395),$AC$3:$AC$10000,0)),"")</f>
        <v/>
      </c>
    </row>
    <row r="9396" spans="27:30">
      <c r="AA9396" s="117">
        <f>+'Ingredient List - Mother Tinctu'!D9397</f>
        <v>0</v>
      </c>
      <c r="AB9396" s="117">
        <f t="shared" si="149"/>
        <v>0</v>
      </c>
      <c r="AC9396" s="117" t="str">
        <f>IF(AB9396=1,COUNTIF($AB$3:AB9396,1),"")</f>
        <v/>
      </c>
      <c r="AD9396" s="117" t="str">
        <f>IFERROR(INDEX($AA$3:$AA$10000,MATCH(ROWS($AC$3:AC9396),$AC$3:$AC$10000,0)),"")</f>
        <v/>
      </c>
    </row>
    <row r="9397" spans="27:30">
      <c r="AA9397" s="117">
        <f>+'Ingredient List - Mother Tinctu'!D9398</f>
        <v>0</v>
      </c>
      <c r="AB9397" s="117">
        <f t="shared" si="149"/>
        <v>0</v>
      </c>
      <c r="AC9397" s="117" t="str">
        <f>IF(AB9397=1,COUNTIF($AB$3:AB9397,1),"")</f>
        <v/>
      </c>
      <c r="AD9397" s="117" t="str">
        <f>IFERROR(INDEX($AA$3:$AA$10000,MATCH(ROWS($AC$3:AC9397),$AC$3:$AC$10000,0)),"")</f>
        <v/>
      </c>
    </row>
    <row r="9398" spans="27:30">
      <c r="AA9398" s="117">
        <f>+'Ingredient List - Mother Tinctu'!D9399</f>
        <v>0</v>
      </c>
      <c r="AB9398" s="117">
        <f t="shared" si="149"/>
        <v>0</v>
      </c>
      <c r="AC9398" s="117" t="str">
        <f>IF(AB9398=1,COUNTIF($AB$3:AB9398,1),"")</f>
        <v/>
      </c>
      <c r="AD9398" s="117" t="str">
        <f>IFERROR(INDEX($AA$3:$AA$10000,MATCH(ROWS($AC$3:AC9398),$AC$3:$AC$10000,0)),"")</f>
        <v/>
      </c>
    </row>
    <row r="9399" spans="27:30">
      <c r="AA9399" s="117">
        <f>+'Ingredient List - Mother Tinctu'!D9400</f>
        <v>0</v>
      </c>
      <c r="AB9399" s="117">
        <f t="shared" si="149"/>
        <v>0</v>
      </c>
      <c r="AC9399" s="117" t="str">
        <f>IF(AB9399=1,COUNTIF($AB$3:AB9399,1),"")</f>
        <v/>
      </c>
      <c r="AD9399" s="117" t="str">
        <f>IFERROR(INDEX($AA$3:$AA$10000,MATCH(ROWS($AC$3:AC9399),$AC$3:$AC$10000,0)),"")</f>
        <v/>
      </c>
    </row>
    <row r="9400" spans="27:30">
      <c r="AA9400" s="117">
        <f>+'Ingredient List - Mother Tinctu'!D9401</f>
        <v>0</v>
      </c>
      <c r="AB9400" s="117">
        <f t="shared" si="149"/>
        <v>0</v>
      </c>
      <c r="AC9400" s="117" t="str">
        <f>IF(AB9400=1,COUNTIF($AB$3:AB9400,1),"")</f>
        <v/>
      </c>
      <c r="AD9400" s="117" t="str">
        <f>IFERROR(INDEX($AA$3:$AA$10000,MATCH(ROWS($AC$3:AC9400),$AC$3:$AC$10000,0)),"")</f>
        <v/>
      </c>
    </row>
    <row r="9401" spans="27:30">
      <c r="AA9401" s="117">
        <f>+'Ingredient List - Mother Tinctu'!D9402</f>
        <v>0</v>
      </c>
      <c r="AB9401" s="117">
        <f t="shared" si="149"/>
        <v>0</v>
      </c>
      <c r="AC9401" s="117" t="str">
        <f>IF(AB9401=1,COUNTIF($AB$3:AB9401,1),"")</f>
        <v/>
      </c>
      <c r="AD9401" s="117" t="str">
        <f>IFERROR(INDEX($AA$3:$AA$10000,MATCH(ROWS($AC$3:AC9401),$AC$3:$AC$10000,0)),"")</f>
        <v/>
      </c>
    </row>
    <row r="9402" spans="27:30">
      <c r="AA9402" s="117">
        <f>+'Ingredient List - Mother Tinctu'!D9403</f>
        <v>0</v>
      </c>
      <c r="AB9402" s="117">
        <f t="shared" si="149"/>
        <v>0</v>
      </c>
      <c r="AC9402" s="117" t="str">
        <f>IF(AB9402=1,COUNTIF($AB$3:AB9402,1),"")</f>
        <v/>
      </c>
      <c r="AD9402" s="117" t="str">
        <f>IFERROR(INDEX($AA$3:$AA$10000,MATCH(ROWS($AC$3:AC9402),$AC$3:$AC$10000,0)),"")</f>
        <v/>
      </c>
    </row>
    <row r="9403" spans="27:30">
      <c r="AA9403" s="117">
        <f>+'Ingredient List - Mother Tinctu'!D9404</f>
        <v>0</v>
      </c>
      <c r="AB9403" s="117">
        <f t="shared" si="149"/>
        <v>0</v>
      </c>
      <c r="AC9403" s="117" t="str">
        <f>IF(AB9403=1,COUNTIF($AB$3:AB9403,1),"")</f>
        <v/>
      </c>
      <c r="AD9403" s="117" t="str">
        <f>IFERROR(INDEX($AA$3:$AA$10000,MATCH(ROWS($AC$3:AC9403),$AC$3:$AC$10000,0)),"")</f>
        <v/>
      </c>
    </row>
    <row r="9404" spans="27:30">
      <c r="AA9404" s="117">
        <f>+'Ingredient List - Mother Tinctu'!D9405</f>
        <v>0</v>
      </c>
      <c r="AB9404" s="117">
        <f t="shared" si="149"/>
        <v>0</v>
      </c>
      <c r="AC9404" s="117" t="str">
        <f>IF(AB9404=1,COUNTIF($AB$3:AB9404,1),"")</f>
        <v/>
      </c>
      <c r="AD9404" s="117" t="str">
        <f>IFERROR(INDEX($AA$3:$AA$10000,MATCH(ROWS($AC$3:AC9404),$AC$3:$AC$10000,0)),"")</f>
        <v/>
      </c>
    </row>
    <row r="9405" spans="27:30">
      <c r="AA9405" s="117">
        <f>+'Ingredient List - Mother Tinctu'!D9406</f>
        <v>0</v>
      </c>
      <c r="AB9405" s="117">
        <f t="shared" si="149"/>
        <v>0</v>
      </c>
      <c r="AC9405" s="117" t="str">
        <f>IF(AB9405=1,COUNTIF($AB$3:AB9405,1),"")</f>
        <v/>
      </c>
      <c r="AD9405" s="117" t="str">
        <f>IFERROR(INDEX($AA$3:$AA$10000,MATCH(ROWS($AC$3:AC9405),$AC$3:$AC$10000,0)),"")</f>
        <v/>
      </c>
    </row>
    <row r="9406" spans="27:30">
      <c r="AA9406" s="117">
        <f>+'Ingredient List - Mother Tinctu'!D9407</f>
        <v>0</v>
      </c>
      <c r="AB9406" s="117">
        <f t="shared" si="149"/>
        <v>0</v>
      </c>
      <c r="AC9406" s="117" t="str">
        <f>IF(AB9406=1,COUNTIF($AB$3:AB9406,1),"")</f>
        <v/>
      </c>
      <c r="AD9406" s="117" t="str">
        <f>IFERROR(INDEX($AA$3:$AA$10000,MATCH(ROWS($AC$3:AC9406),$AC$3:$AC$10000,0)),"")</f>
        <v/>
      </c>
    </row>
    <row r="9407" spans="27:30">
      <c r="AA9407" s="117">
        <f>+'Ingredient List - Mother Tinctu'!D9408</f>
        <v>0</v>
      </c>
      <c r="AB9407" s="117">
        <f t="shared" si="149"/>
        <v>0</v>
      </c>
      <c r="AC9407" s="117" t="str">
        <f>IF(AB9407=1,COUNTIF($AB$3:AB9407,1),"")</f>
        <v/>
      </c>
      <c r="AD9407" s="117" t="str">
        <f>IFERROR(INDEX($AA$3:$AA$10000,MATCH(ROWS($AC$3:AC9407),$AC$3:$AC$10000,0)),"")</f>
        <v/>
      </c>
    </row>
    <row r="9408" spans="27:30">
      <c r="AA9408" s="117">
        <f>+'Ingredient List - Mother Tinctu'!D9409</f>
        <v>0</v>
      </c>
      <c r="AB9408" s="117">
        <f t="shared" si="149"/>
        <v>0</v>
      </c>
      <c r="AC9408" s="117" t="str">
        <f>IF(AB9408=1,COUNTIF($AB$3:AB9408,1),"")</f>
        <v/>
      </c>
      <c r="AD9408" s="117" t="str">
        <f>IFERROR(INDEX($AA$3:$AA$10000,MATCH(ROWS($AC$3:AC9408),$AC$3:$AC$10000,0)),"")</f>
        <v/>
      </c>
    </row>
    <row r="9409" spans="27:30">
      <c r="AA9409" s="117">
        <f>+'Ingredient List - Mother Tinctu'!D9410</f>
        <v>0</v>
      </c>
      <c r="AB9409" s="117">
        <f t="shared" si="149"/>
        <v>0</v>
      </c>
      <c r="AC9409" s="117" t="str">
        <f>IF(AB9409=1,COUNTIF($AB$3:AB9409,1),"")</f>
        <v/>
      </c>
      <c r="AD9409" s="117" t="str">
        <f>IFERROR(INDEX($AA$3:$AA$10000,MATCH(ROWS($AC$3:AC9409),$AC$3:$AC$10000,0)),"")</f>
        <v/>
      </c>
    </row>
    <row r="9410" spans="27:30">
      <c r="AA9410" s="117">
        <f>+'Ingredient List - Mother Tinctu'!D9411</f>
        <v>0</v>
      </c>
      <c r="AB9410" s="117">
        <f t="shared" si="149"/>
        <v>0</v>
      </c>
      <c r="AC9410" s="117" t="str">
        <f>IF(AB9410=1,COUNTIF($AB$3:AB9410,1),"")</f>
        <v/>
      </c>
      <c r="AD9410" s="117" t="str">
        <f>IFERROR(INDEX($AA$3:$AA$10000,MATCH(ROWS($AC$3:AC9410),$AC$3:$AC$10000,0)),"")</f>
        <v/>
      </c>
    </row>
    <row r="9411" spans="27:30">
      <c r="AA9411" s="117">
        <f>+'Ingredient List - Mother Tinctu'!D9412</f>
        <v>0</v>
      </c>
      <c r="AB9411" s="117">
        <f t="shared" si="149"/>
        <v>0</v>
      </c>
      <c r="AC9411" s="117" t="str">
        <f>IF(AB9411=1,COUNTIF($AB$3:AB9411,1),"")</f>
        <v/>
      </c>
      <c r="AD9411" s="117" t="str">
        <f>IFERROR(INDEX($AA$3:$AA$10000,MATCH(ROWS($AC$3:AC9411),$AC$3:$AC$10000,0)),"")</f>
        <v/>
      </c>
    </row>
    <row r="9412" spans="27:30">
      <c r="AA9412" s="117">
        <f>+'Ingredient List - Mother Tinctu'!D9413</f>
        <v>0</v>
      </c>
      <c r="AB9412" s="117">
        <f t="shared" ref="AB9412:AB9475" si="150">--ISNUMBER(IFERROR(SEARCH($D$3,AA9412,1),""))</f>
        <v>0</v>
      </c>
      <c r="AC9412" s="117" t="str">
        <f>IF(AB9412=1,COUNTIF($AB$3:AB9412,1),"")</f>
        <v/>
      </c>
      <c r="AD9412" s="117" t="str">
        <f>IFERROR(INDEX($AA$3:$AA$10000,MATCH(ROWS($AC$3:AC9412),$AC$3:$AC$10000,0)),"")</f>
        <v/>
      </c>
    </row>
    <row r="9413" spans="27:30">
      <c r="AA9413" s="117">
        <f>+'Ingredient List - Mother Tinctu'!D9414</f>
        <v>0</v>
      </c>
      <c r="AB9413" s="117">
        <f t="shared" si="150"/>
        <v>0</v>
      </c>
      <c r="AC9413" s="117" t="str">
        <f>IF(AB9413=1,COUNTIF($AB$3:AB9413,1),"")</f>
        <v/>
      </c>
      <c r="AD9413" s="117" t="str">
        <f>IFERROR(INDEX($AA$3:$AA$10000,MATCH(ROWS($AC$3:AC9413),$AC$3:$AC$10000,0)),"")</f>
        <v/>
      </c>
    </row>
    <row r="9414" spans="27:30">
      <c r="AA9414" s="117">
        <f>+'Ingredient List - Mother Tinctu'!D9415</f>
        <v>0</v>
      </c>
      <c r="AB9414" s="117">
        <f t="shared" si="150"/>
        <v>0</v>
      </c>
      <c r="AC9414" s="117" t="str">
        <f>IF(AB9414=1,COUNTIF($AB$3:AB9414,1),"")</f>
        <v/>
      </c>
      <c r="AD9414" s="117" t="str">
        <f>IFERROR(INDEX($AA$3:$AA$10000,MATCH(ROWS($AC$3:AC9414),$AC$3:$AC$10000,0)),"")</f>
        <v/>
      </c>
    </row>
    <row r="9415" spans="27:30">
      <c r="AA9415" s="117">
        <f>+'Ingredient List - Mother Tinctu'!D9416</f>
        <v>0</v>
      </c>
      <c r="AB9415" s="117">
        <f t="shared" si="150"/>
        <v>0</v>
      </c>
      <c r="AC9415" s="117" t="str">
        <f>IF(AB9415=1,COUNTIF($AB$3:AB9415,1),"")</f>
        <v/>
      </c>
      <c r="AD9415" s="117" t="str">
        <f>IFERROR(INDEX($AA$3:$AA$10000,MATCH(ROWS($AC$3:AC9415),$AC$3:$AC$10000,0)),"")</f>
        <v/>
      </c>
    </row>
    <row r="9416" spans="27:30">
      <c r="AA9416" s="117">
        <f>+'Ingredient List - Mother Tinctu'!D9417</f>
        <v>0</v>
      </c>
      <c r="AB9416" s="117">
        <f t="shared" si="150"/>
        <v>0</v>
      </c>
      <c r="AC9416" s="117" t="str">
        <f>IF(AB9416=1,COUNTIF($AB$3:AB9416,1),"")</f>
        <v/>
      </c>
      <c r="AD9416" s="117" t="str">
        <f>IFERROR(INDEX($AA$3:$AA$10000,MATCH(ROWS($AC$3:AC9416),$AC$3:$AC$10000,0)),"")</f>
        <v/>
      </c>
    </row>
    <row r="9417" spans="27:30">
      <c r="AA9417" s="117">
        <f>+'Ingredient List - Mother Tinctu'!D9418</f>
        <v>0</v>
      </c>
      <c r="AB9417" s="117">
        <f t="shared" si="150"/>
        <v>0</v>
      </c>
      <c r="AC9417" s="117" t="str">
        <f>IF(AB9417=1,COUNTIF($AB$3:AB9417,1),"")</f>
        <v/>
      </c>
      <c r="AD9417" s="117" t="str">
        <f>IFERROR(INDEX($AA$3:$AA$10000,MATCH(ROWS($AC$3:AC9417),$AC$3:$AC$10000,0)),"")</f>
        <v/>
      </c>
    </row>
    <row r="9418" spans="27:30">
      <c r="AA9418" s="117">
        <f>+'Ingredient List - Mother Tinctu'!D9419</f>
        <v>0</v>
      </c>
      <c r="AB9418" s="117">
        <f t="shared" si="150"/>
        <v>0</v>
      </c>
      <c r="AC9418" s="117" t="str">
        <f>IF(AB9418=1,COUNTIF($AB$3:AB9418,1),"")</f>
        <v/>
      </c>
      <c r="AD9418" s="117" t="str">
        <f>IFERROR(INDEX($AA$3:$AA$10000,MATCH(ROWS($AC$3:AC9418),$AC$3:$AC$10000,0)),"")</f>
        <v/>
      </c>
    </row>
    <row r="9419" spans="27:30">
      <c r="AA9419" s="117">
        <f>+'Ingredient List - Mother Tinctu'!D9420</f>
        <v>0</v>
      </c>
      <c r="AB9419" s="117">
        <f t="shared" si="150"/>
        <v>0</v>
      </c>
      <c r="AC9419" s="117" t="str">
        <f>IF(AB9419=1,COUNTIF($AB$3:AB9419,1),"")</f>
        <v/>
      </c>
      <c r="AD9419" s="117" t="str">
        <f>IFERROR(INDEX($AA$3:$AA$10000,MATCH(ROWS($AC$3:AC9419),$AC$3:$AC$10000,0)),"")</f>
        <v/>
      </c>
    </row>
    <row r="9420" spans="27:30">
      <c r="AA9420" s="117">
        <f>+'Ingredient List - Mother Tinctu'!D9421</f>
        <v>0</v>
      </c>
      <c r="AB9420" s="117">
        <f t="shared" si="150"/>
        <v>0</v>
      </c>
      <c r="AC9420" s="117" t="str">
        <f>IF(AB9420=1,COUNTIF($AB$3:AB9420,1),"")</f>
        <v/>
      </c>
      <c r="AD9420" s="117" t="str">
        <f>IFERROR(INDEX($AA$3:$AA$10000,MATCH(ROWS($AC$3:AC9420),$AC$3:$AC$10000,0)),"")</f>
        <v/>
      </c>
    </row>
    <row r="9421" spans="27:30">
      <c r="AA9421" s="117">
        <f>+'Ingredient List - Mother Tinctu'!D9422</f>
        <v>0</v>
      </c>
      <c r="AB9421" s="117">
        <f t="shared" si="150"/>
        <v>0</v>
      </c>
      <c r="AC9421" s="117" t="str">
        <f>IF(AB9421=1,COUNTIF($AB$3:AB9421,1),"")</f>
        <v/>
      </c>
      <c r="AD9421" s="117" t="str">
        <f>IFERROR(INDEX($AA$3:$AA$10000,MATCH(ROWS($AC$3:AC9421),$AC$3:$AC$10000,0)),"")</f>
        <v/>
      </c>
    </row>
    <row r="9422" spans="27:30">
      <c r="AA9422" s="117">
        <f>+'Ingredient List - Mother Tinctu'!D9423</f>
        <v>0</v>
      </c>
      <c r="AB9422" s="117">
        <f t="shared" si="150"/>
        <v>0</v>
      </c>
      <c r="AC9422" s="117" t="str">
        <f>IF(AB9422=1,COUNTIF($AB$3:AB9422,1),"")</f>
        <v/>
      </c>
      <c r="AD9422" s="117" t="str">
        <f>IFERROR(INDEX($AA$3:$AA$10000,MATCH(ROWS($AC$3:AC9422),$AC$3:$AC$10000,0)),"")</f>
        <v/>
      </c>
    </row>
    <row r="9423" spans="27:30">
      <c r="AA9423" s="117">
        <f>+'Ingredient List - Mother Tinctu'!D9424</f>
        <v>0</v>
      </c>
      <c r="AB9423" s="117">
        <f t="shared" si="150"/>
        <v>0</v>
      </c>
      <c r="AC9423" s="117" t="str">
        <f>IF(AB9423=1,COUNTIF($AB$3:AB9423,1),"")</f>
        <v/>
      </c>
      <c r="AD9423" s="117" t="str">
        <f>IFERROR(INDEX($AA$3:$AA$10000,MATCH(ROWS($AC$3:AC9423),$AC$3:$AC$10000,0)),"")</f>
        <v/>
      </c>
    </row>
    <row r="9424" spans="27:30">
      <c r="AA9424" s="117">
        <f>+'Ingredient List - Mother Tinctu'!D9425</f>
        <v>0</v>
      </c>
      <c r="AB9424" s="117">
        <f t="shared" si="150"/>
        <v>0</v>
      </c>
      <c r="AC9424" s="117" t="str">
        <f>IF(AB9424=1,COUNTIF($AB$3:AB9424,1),"")</f>
        <v/>
      </c>
      <c r="AD9424" s="117" t="str">
        <f>IFERROR(INDEX($AA$3:$AA$10000,MATCH(ROWS($AC$3:AC9424),$AC$3:$AC$10000,0)),"")</f>
        <v/>
      </c>
    </row>
    <row r="9425" spans="27:30">
      <c r="AA9425" s="117">
        <f>+'Ingredient List - Mother Tinctu'!D9426</f>
        <v>0</v>
      </c>
      <c r="AB9425" s="117">
        <f t="shared" si="150"/>
        <v>0</v>
      </c>
      <c r="AC9425" s="117" t="str">
        <f>IF(AB9425=1,COUNTIF($AB$3:AB9425,1),"")</f>
        <v/>
      </c>
      <c r="AD9425" s="117" t="str">
        <f>IFERROR(INDEX($AA$3:$AA$10000,MATCH(ROWS($AC$3:AC9425),$AC$3:$AC$10000,0)),"")</f>
        <v/>
      </c>
    </row>
    <row r="9426" spans="27:30">
      <c r="AA9426" s="117">
        <f>+'Ingredient List - Mother Tinctu'!D9427</f>
        <v>0</v>
      </c>
      <c r="AB9426" s="117">
        <f t="shared" si="150"/>
        <v>0</v>
      </c>
      <c r="AC9426" s="117" t="str">
        <f>IF(AB9426=1,COUNTIF($AB$3:AB9426,1),"")</f>
        <v/>
      </c>
      <c r="AD9426" s="117" t="str">
        <f>IFERROR(INDEX($AA$3:$AA$10000,MATCH(ROWS($AC$3:AC9426),$AC$3:$AC$10000,0)),"")</f>
        <v/>
      </c>
    </row>
    <row r="9427" spans="27:30">
      <c r="AA9427" s="117">
        <f>+'Ingredient List - Mother Tinctu'!D9428</f>
        <v>0</v>
      </c>
      <c r="AB9427" s="117">
        <f t="shared" si="150"/>
        <v>0</v>
      </c>
      <c r="AC9427" s="117" t="str">
        <f>IF(AB9427=1,COUNTIF($AB$3:AB9427,1),"")</f>
        <v/>
      </c>
      <c r="AD9427" s="117" t="str">
        <f>IFERROR(INDEX($AA$3:$AA$10000,MATCH(ROWS($AC$3:AC9427),$AC$3:$AC$10000,0)),"")</f>
        <v/>
      </c>
    </row>
    <row r="9428" spans="27:30">
      <c r="AA9428" s="117">
        <f>+'Ingredient List - Mother Tinctu'!D9429</f>
        <v>0</v>
      </c>
      <c r="AB9428" s="117">
        <f t="shared" si="150"/>
        <v>0</v>
      </c>
      <c r="AC9428" s="117" t="str">
        <f>IF(AB9428=1,COUNTIF($AB$3:AB9428,1),"")</f>
        <v/>
      </c>
      <c r="AD9428" s="117" t="str">
        <f>IFERROR(INDEX($AA$3:$AA$10000,MATCH(ROWS($AC$3:AC9428),$AC$3:$AC$10000,0)),"")</f>
        <v/>
      </c>
    </row>
    <row r="9429" spans="27:30">
      <c r="AA9429" s="117">
        <f>+'Ingredient List - Mother Tinctu'!D9430</f>
        <v>0</v>
      </c>
      <c r="AB9429" s="117">
        <f t="shared" si="150"/>
        <v>0</v>
      </c>
      <c r="AC9429" s="117" t="str">
        <f>IF(AB9429=1,COUNTIF($AB$3:AB9429,1),"")</f>
        <v/>
      </c>
      <c r="AD9429" s="117" t="str">
        <f>IFERROR(INDEX($AA$3:$AA$10000,MATCH(ROWS($AC$3:AC9429),$AC$3:$AC$10000,0)),"")</f>
        <v/>
      </c>
    </row>
    <row r="9430" spans="27:30">
      <c r="AA9430" s="117">
        <f>+'Ingredient List - Mother Tinctu'!D9431</f>
        <v>0</v>
      </c>
      <c r="AB9430" s="117">
        <f t="shared" si="150"/>
        <v>0</v>
      </c>
      <c r="AC9430" s="117" t="str">
        <f>IF(AB9430=1,COUNTIF($AB$3:AB9430,1),"")</f>
        <v/>
      </c>
      <c r="AD9430" s="117" t="str">
        <f>IFERROR(INDEX($AA$3:$AA$10000,MATCH(ROWS($AC$3:AC9430),$AC$3:$AC$10000,0)),"")</f>
        <v/>
      </c>
    </row>
    <row r="9431" spans="27:30">
      <c r="AA9431" s="117">
        <f>+'Ingredient List - Mother Tinctu'!D9432</f>
        <v>0</v>
      </c>
      <c r="AB9431" s="117">
        <f t="shared" si="150"/>
        <v>0</v>
      </c>
      <c r="AC9431" s="117" t="str">
        <f>IF(AB9431=1,COUNTIF($AB$3:AB9431,1),"")</f>
        <v/>
      </c>
      <c r="AD9431" s="117" t="str">
        <f>IFERROR(INDEX($AA$3:$AA$10000,MATCH(ROWS($AC$3:AC9431),$AC$3:$AC$10000,0)),"")</f>
        <v/>
      </c>
    </row>
    <row r="9432" spans="27:30">
      <c r="AA9432" s="117">
        <f>+'Ingredient List - Mother Tinctu'!D9433</f>
        <v>0</v>
      </c>
      <c r="AB9432" s="117">
        <f t="shared" si="150"/>
        <v>0</v>
      </c>
      <c r="AC9432" s="117" t="str">
        <f>IF(AB9432=1,COUNTIF($AB$3:AB9432,1),"")</f>
        <v/>
      </c>
      <c r="AD9432" s="117" t="str">
        <f>IFERROR(INDEX($AA$3:$AA$10000,MATCH(ROWS($AC$3:AC9432),$AC$3:$AC$10000,0)),"")</f>
        <v/>
      </c>
    </row>
    <row r="9433" spans="27:30">
      <c r="AA9433" s="117">
        <f>+'Ingredient List - Mother Tinctu'!D9434</f>
        <v>0</v>
      </c>
      <c r="AB9433" s="117">
        <f t="shared" si="150"/>
        <v>0</v>
      </c>
      <c r="AC9433" s="117" t="str">
        <f>IF(AB9433=1,COUNTIF($AB$3:AB9433,1),"")</f>
        <v/>
      </c>
      <c r="AD9433" s="117" t="str">
        <f>IFERROR(INDEX($AA$3:$AA$10000,MATCH(ROWS($AC$3:AC9433),$AC$3:$AC$10000,0)),"")</f>
        <v/>
      </c>
    </row>
    <row r="9434" spans="27:30">
      <c r="AA9434" s="117">
        <f>+'Ingredient List - Mother Tinctu'!D9435</f>
        <v>0</v>
      </c>
      <c r="AB9434" s="117">
        <f t="shared" si="150"/>
        <v>0</v>
      </c>
      <c r="AC9434" s="117" t="str">
        <f>IF(AB9434=1,COUNTIF($AB$3:AB9434,1),"")</f>
        <v/>
      </c>
      <c r="AD9434" s="117" t="str">
        <f>IFERROR(INDEX($AA$3:$AA$10000,MATCH(ROWS($AC$3:AC9434),$AC$3:$AC$10000,0)),"")</f>
        <v/>
      </c>
    </row>
    <row r="9435" spans="27:30">
      <c r="AA9435" s="117">
        <f>+'Ingredient List - Mother Tinctu'!D9436</f>
        <v>0</v>
      </c>
      <c r="AB9435" s="117">
        <f t="shared" si="150"/>
        <v>0</v>
      </c>
      <c r="AC9435" s="117" t="str">
        <f>IF(AB9435=1,COUNTIF($AB$3:AB9435,1),"")</f>
        <v/>
      </c>
      <c r="AD9435" s="117" t="str">
        <f>IFERROR(INDEX($AA$3:$AA$10000,MATCH(ROWS($AC$3:AC9435),$AC$3:$AC$10000,0)),"")</f>
        <v/>
      </c>
    </row>
    <row r="9436" spans="27:30">
      <c r="AA9436" s="117">
        <f>+'Ingredient List - Mother Tinctu'!D9437</f>
        <v>0</v>
      </c>
      <c r="AB9436" s="117">
        <f t="shared" si="150"/>
        <v>0</v>
      </c>
      <c r="AC9436" s="117" t="str">
        <f>IF(AB9436=1,COUNTIF($AB$3:AB9436,1),"")</f>
        <v/>
      </c>
      <c r="AD9436" s="117" t="str">
        <f>IFERROR(INDEX($AA$3:$AA$10000,MATCH(ROWS($AC$3:AC9436),$AC$3:$AC$10000,0)),"")</f>
        <v/>
      </c>
    </row>
    <row r="9437" spans="27:30">
      <c r="AA9437" s="117">
        <f>+'Ingredient List - Mother Tinctu'!D9438</f>
        <v>0</v>
      </c>
      <c r="AB9437" s="117">
        <f t="shared" si="150"/>
        <v>0</v>
      </c>
      <c r="AC9437" s="117" t="str">
        <f>IF(AB9437=1,COUNTIF($AB$3:AB9437,1),"")</f>
        <v/>
      </c>
      <c r="AD9437" s="117" t="str">
        <f>IFERROR(INDEX($AA$3:$AA$10000,MATCH(ROWS($AC$3:AC9437),$AC$3:$AC$10000,0)),"")</f>
        <v/>
      </c>
    </row>
    <row r="9438" spans="27:30">
      <c r="AA9438" s="117">
        <f>+'Ingredient List - Mother Tinctu'!D9439</f>
        <v>0</v>
      </c>
      <c r="AB9438" s="117">
        <f t="shared" si="150"/>
        <v>0</v>
      </c>
      <c r="AC9438" s="117" t="str">
        <f>IF(AB9438=1,COUNTIF($AB$3:AB9438,1),"")</f>
        <v/>
      </c>
      <c r="AD9438" s="117" t="str">
        <f>IFERROR(INDEX($AA$3:$AA$10000,MATCH(ROWS($AC$3:AC9438),$AC$3:$AC$10000,0)),"")</f>
        <v/>
      </c>
    </row>
    <row r="9439" spans="27:30">
      <c r="AA9439" s="117">
        <f>+'Ingredient List - Mother Tinctu'!D9440</f>
        <v>0</v>
      </c>
      <c r="AB9439" s="117">
        <f t="shared" si="150"/>
        <v>0</v>
      </c>
      <c r="AC9439" s="117" t="str">
        <f>IF(AB9439=1,COUNTIF($AB$3:AB9439,1),"")</f>
        <v/>
      </c>
      <c r="AD9439" s="117" t="str">
        <f>IFERROR(INDEX($AA$3:$AA$10000,MATCH(ROWS($AC$3:AC9439),$AC$3:$AC$10000,0)),"")</f>
        <v/>
      </c>
    </row>
    <row r="9440" spans="27:30">
      <c r="AA9440" s="117">
        <f>+'Ingredient List - Mother Tinctu'!D9441</f>
        <v>0</v>
      </c>
      <c r="AB9440" s="117">
        <f t="shared" si="150"/>
        <v>0</v>
      </c>
      <c r="AC9440" s="117" t="str">
        <f>IF(AB9440=1,COUNTIF($AB$3:AB9440,1),"")</f>
        <v/>
      </c>
      <c r="AD9440" s="117" t="str">
        <f>IFERROR(INDEX($AA$3:$AA$10000,MATCH(ROWS($AC$3:AC9440),$AC$3:$AC$10000,0)),"")</f>
        <v/>
      </c>
    </row>
    <row r="9441" spans="27:30">
      <c r="AA9441" s="117">
        <f>+'Ingredient List - Mother Tinctu'!D9442</f>
        <v>0</v>
      </c>
      <c r="AB9441" s="117">
        <f t="shared" si="150"/>
        <v>0</v>
      </c>
      <c r="AC9441" s="117" t="str">
        <f>IF(AB9441=1,COUNTIF($AB$3:AB9441,1),"")</f>
        <v/>
      </c>
      <c r="AD9441" s="117" t="str">
        <f>IFERROR(INDEX($AA$3:$AA$10000,MATCH(ROWS($AC$3:AC9441),$AC$3:$AC$10000,0)),"")</f>
        <v/>
      </c>
    </row>
    <row r="9442" spans="27:30">
      <c r="AA9442" s="117">
        <f>+'Ingredient List - Mother Tinctu'!D9443</f>
        <v>0</v>
      </c>
      <c r="AB9442" s="117">
        <f t="shared" si="150"/>
        <v>0</v>
      </c>
      <c r="AC9442" s="117" t="str">
        <f>IF(AB9442=1,COUNTIF($AB$3:AB9442,1),"")</f>
        <v/>
      </c>
      <c r="AD9442" s="117" t="str">
        <f>IFERROR(INDEX($AA$3:$AA$10000,MATCH(ROWS($AC$3:AC9442),$AC$3:$AC$10000,0)),"")</f>
        <v/>
      </c>
    </row>
    <row r="9443" spans="27:30">
      <c r="AA9443" s="117">
        <f>+'Ingredient List - Mother Tinctu'!D9444</f>
        <v>0</v>
      </c>
      <c r="AB9443" s="117">
        <f t="shared" si="150"/>
        <v>0</v>
      </c>
      <c r="AC9443" s="117" t="str">
        <f>IF(AB9443=1,COUNTIF($AB$3:AB9443,1),"")</f>
        <v/>
      </c>
      <c r="AD9443" s="117" t="str">
        <f>IFERROR(INDEX($AA$3:$AA$10000,MATCH(ROWS($AC$3:AC9443),$AC$3:$AC$10000,0)),"")</f>
        <v/>
      </c>
    </row>
    <row r="9444" spans="27:30">
      <c r="AA9444" s="117">
        <f>+'Ingredient List - Mother Tinctu'!D9445</f>
        <v>0</v>
      </c>
      <c r="AB9444" s="117">
        <f t="shared" si="150"/>
        <v>0</v>
      </c>
      <c r="AC9444" s="117" t="str">
        <f>IF(AB9444=1,COUNTIF($AB$3:AB9444,1),"")</f>
        <v/>
      </c>
      <c r="AD9444" s="117" t="str">
        <f>IFERROR(INDEX($AA$3:$AA$10000,MATCH(ROWS($AC$3:AC9444),$AC$3:$AC$10000,0)),"")</f>
        <v/>
      </c>
    </row>
    <row r="9445" spans="27:30">
      <c r="AA9445" s="117">
        <f>+'Ingredient List - Mother Tinctu'!D9446</f>
        <v>0</v>
      </c>
      <c r="AB9445" s="117">
        <f t="shared" si="150"/>
        <v>0</v>
      </c>
      <c r="AC9445" s="117" t="str">
        <f>IF(AB9445=1,COUNTIF($AB$3:AB9445,1),"")</f>
        <v/>
      </c>
      <c r="AD9445" s="117" t="str">
        <f>IFERROR(INDEX($AA$3:$AA$10000,MATCH(ROWS($AC$3:AC9445),$AC$3:$AC$10000,0)),"")</f>
        <v/>
      </c>
    </row>
    <row r="9446" spans="27:30">
      <c r="AA9446" s="117">
        <f>+'Ingredient List - Mother Tinctu'!D9447</f>
        <v>0</v>
      </c>
      <c r="AB9446" s="117">
        <f t="shared" si="150"/>
        <v>0</v>
      </c>
      <c r="AC9446" s="117" t="str">
        <f>IF(AB9446=1,COUNTIF($AB$3:AB9446,1),"")</f>
        <v/>
      </c>
      <c r="AD9446" s="117" t="str">
        <f>IFERROR(INDEX($AA$3:$AA$10000,MATCH(ROWS($AC$3:AC9446),$AC$3:$AC$10000,0)),"")</f>
        <v/>
      </c>
    </row>
    <row r="9447" spans="27:30">
      <c r="AA9447" s="117">
        <f>+'Ingredient List - Mother Tinctu'!D9448</f>
        <v>0</v>
      </c>
      <c r="AB9447" s="117">
        <f t="shared" si="150"/>
        <v>0</v>
      </c>
      <c r="AC9447" s="117" t="str">
        <f>IF(AB9447=1,COUNTIF($AB$3:AB9447,1),"")</f>
        <v/>
      </c>
      <c r="AD9447" s="117" t="str">
        <f>IFERROR(INDEX($AA$3:$AA$10000,MATCH(ROWS($AC$3:AC9447),$AC$3:$AC$10000,0)),"")</f>
        <v/>
      </c>
    </row>
    <row r="9448" spans="27:30">
      <c r="AA9448" s="117">
        <f>+'Ingredient List - Mother Tinctu'!D9449</f>
        <v>0</v>
      </c>
      <c r="AB9448" s="117">
        <f t="shared" si="150"/>
        <v>0</v>
      </c>
      <c r="AC9448" s="117" t="str">
        <f>IF(AB9448=1,COUNTIF($AB$3:AB9448,1),"")</f>
        <v/>
      </c>
      <c r="AD9448" s="117" t="str">
        <f>IFERROR(INDEX($AA$3:$AA$10000,MATCH(ROWS($AC$3:AC9448),$AC$3:$AC$10000,0)),"")</f>
        <v/>
      </c>
    </row>
    <row r="9449" spans="27:30">
      <c r="AA9449" s="117">
        <f>+'Ingredient List - Mother Tinctu'!D9450</f>
        <v>0</v>
      </c>
      <c r="AB9449" s="117">
        <f t="shared" si="150"/>
        <v>0</v>
      </c>
      <c r="AC9449" s="117" t="str">
        <f>IF(AB9449=1,COUNTIF($AB$3:AB9449,1),"")</f>
        <v/>
      </c>
      <c r="AD9449" s="117" t="str">
        <f>IFERROR(INDEX($AA$3:$AA$10000,MATCH(ROWS($AC$3:AC9449),$AC$3:$AC$10000,0)),"")</f>
        <v/>
      </c>
    </row>
    <row r="9450" spans="27:30">
      <c r="AA9450" s="117">
        <f>+'Ingredient List - Mother Tinctu'!D9451</f>
        <v>0</v>
      </c>
      <c r="AB9450" s="117">
        <f t="shared" si="150"/>
        <v>0</v>
      </c>
      <c r="AC9450" s="117" t="str">
        <f>IF(AB9450=1,COUNTIF($AB$3:AB9450,1),"")</f>
        <v/>
      </c>
      <c r="AD9450" s="117" t="str">
        <f>IFERROR(INDEX($AA$3:$AA$10000,MATCH(ROWS($AC$3:AC9450),$AC$3:$AC$10000,0)),"")</f>
        <v/>
      </c>
    </row>
    <row r="9451" spans="27:30">
      <c r="AA9451" s="117">
        <f>+'Ingredient List - Mother Tinctu'!D9452</f>
        <v>0</v>
      </c>
      <c r="AB9451" s="117">
        <f t="shared" si="150"/>
        <v>0</v>
      </c>
      <c r="AC9451" s="117" t="str">
        <f>IF(AB9451=1,COUNTIF($AB$3:AB9451,1),"")</f>
        <v/>
      </c>
      <c r="AD9451" s="117" t="str">
        <f>IFERROR(INDEX($AA$3:$AA$10000,MATCH(ROWS($AC$3:AC9451),$AC$3:$AC$10000,0)),"")</f>
        <v/>
      </c>
    </row>
    <row r="9452" spans="27:30">
      <c r="AA9452" s="117">
        <f>+'Ingredient List - Mother Tinctu'!D9453</f>
        <v>0</v>
      </c>
      <c r="AB9452" s="117">
        <f t="shared" si="150"/>
        <v>0</v>
      </c>
      <c r="AC9452" s="117" t="str">
        <f>IF(AB9452=1,COUNTIF($AB$3:AB9452,1),"")</f>
        <v/>
      </c>
      <c r="AD9452" s="117" t="str">
        <f>IFERROR(INDEX($AA$3:$AA$10000,MATCH(ROWS($AC$3:AC9452),$AC$3:$AC$10000,0)),"")</f>
        <v/>
      </c>
    </row>
    <row r="9453" spans="27:30">
      <c r="AA9453" s="117">
        <f>+'Ingredient List - Mother Tinctu'!D9454</f>
        <v>0</v>
      </c>
      <c r="AB9453" s="117">
        <f t="shared" si="150"/>
        <v>0</v>
      </c>
      <c r="AC9453" s="117" t="str">
        <f>IF(AB9453=1,COUNTIF($AB$3:AB9453,1),"")</f>
        <v/>
      </c>
      <c r="AD9453" s="117" t="str">
        <f>IFERROR(INDEX($AA$3:$AA$10000,MATCH(ROWS($AC$3:AC9453),$AC$3:$AC$10000,0)),"")</f>
        <v/>
      </c>
    </row>
    <row r="9454" spans="27:30">
      <c r="AA9454" s="117">
        <f>+'Ingredient List - Mother Tinctu'!D9455</f>
        <v>0</v>
      </c>
      <c r="AB9454" s="117">
        <f t="shared" si="150"/>
        <v>0</v>
      </c>
      <c r="AC9454" s="117" t="str">
        <f>IF(AB9454=1,COUNTIF($AB$3:AB9454,1),"")</f>
        <v/>
      </c>
      <c r="AD9454" s="117" t="str">
        <f>IFERROR(INDEX($AA$3:$AA$10000,MATCH(ROWS($AC$3:AC9454),$AC$3:$AC$10000,0)),"")</f>
        <v/>
      </c>
    </row>
    <row r="9455" spans="27:30">
      <c r="AA9455" s="117">
        <f>+'Ingredient List - Mother Tinctu'!D9456</f>
        <v>0</v>
      </c>
      <c r="AB9455" s="117">
        <f t="shared" si="150"/>
        <v>0</v>
      </c>
      <c r="AC9455" s="117" t="str">
        <f>IF(AB9455=1,COUNTIF($AB$3:AB9455,1),"")</f>
        <v/>
      </c>
      <c r="AD9455" s="117" t="str">
        <f>IFERROR(INDEX($AA$3:$AA$10000,MATCH(ROWS($AC$3:AC9455),$AC$3:$AC$10000,0)),"")</f>
        <v/>
      </c>
    </row>
    <row r="9456" spans="27:30">
      <c r="AA9456" s="117">
        <f>+'Ingredient List - Mother Tinctu'!D9457</f>
        <v>0</v>
      </c>
      <c r="AB9456" s="117">
        <f t="shared" si="150"/>
        <v>0</v>
      </c>
      <c r="AC9456" s="117" t="str">
        <f>IF(AB9456=1,COUNTIF($AB$3:AB9456,1),"")</f>
        <v/>
      </c>
      <c r="AD9456" s="117" t="str">
        <f>IFERROR(INDEX($AA$3:$AA$10000,MATCH(ROWS($AC$3:AC9456),$AC$3:$AC$10000,0)),"")</f>
        <v/>
      </c>
    </row>
    <row r="9457" spans="27:30">
      <c r="AA9457" s="117">
        <f>+'Ingredient List - Mother Tinctu'!D9458</f>
        <v>0</v>
      </c>
      <c r="AB9457" s="117">
        <f t="shared" si="150"/>
        <v>0</v>
      </c>
      <c r="AC9457" s="117" t="str">
        <f>IF(AB9457=1,COUNTIF($AB$3:AB9457,1),"")</f>
        <v/>
      </c>
      <c r="AD9457" s="117" t="str">
        <f>IFERROR(INDEX($AA$3:$AA$10000,MATCH(ROWS($AC$3:AC9457),$AC$3:$AC$10000,0)),"")</f>
        <v/>
      </c>
    </row>
    <row r="9458" spans="27:30">
      <c r="AA9458" s="117">
        <f>+'Ingredient List - Mother Tinctu'!D9459</f>
        <v>0</v>
      </c>
      <c r="AB9458" s="117">
        <f t="shared" si="150"/>
        <v>0</v>
      </c>
      <c r="AC9458" s="117" t="str">
        <f>IF(AB9458=1,COUNTIF($AB$3:AB9458,1),"")</f>
        <v/>
      </c>
      <c r="AD9458" s="117" t="str">
        <f>IFERROR(INDEX($AA$3:$AA$10000,MATCH(ROWS($AC$3:AC9458),$AC$3:$AC$10000,0)),"")</f>
        <v/>
      </c>
    </row>
    <row r="9459" spans="27:30">
      <c r="AA9459" s="117">
        <f>+'Ingredient List - Mother Tinctu'!D9460</f>
        <v>0</v>
      </c>
      <c r="AB9459" s="117">
        <f t="shared" si="150"/>
        <v>0</v>
      </c>
      <c r="AC9459" s="117" t="str">
        <f>IF(AB9459=1,COUNTIF($AB$3:AB9459,1),"")</f>
        <v/>
      </c>
      <c r="AD9459" s="117" t="str">
        <f>IFERROR(INDEX($AA$3:$AA$10000,MATCH(ROWS($AC$3:AC9459),$AC$3:$AC$10000,0)),"")</f>
        <v/>
      </c>
    </row>
    <row r="9460" spans="27:30">
      <c r="AA9460" s="117">
        <f>+'Ingredient List - Mother Tinctu'!D9461</f>
        <v>0</v>
      </c>
      <c r="AB9460" s="117">
        <f t="shared" si="150"/>
        <v>0</v>
      </c>
      <c r="AC9460" s="117" t="str">
        <f>IF(AB9460=1,COUNTIF($AB$3:AB9460,1),"")</f>
        <v/>
      </c>
      <c r="AD9460" s="117" t="str">
        <f>IFERROR(INDEX($AA$3:$AA$10000,MATCH(ROWS($AC$3:AC9460),$AC$3:$AC$10000,0)),"")</f>
        <v/>
      </c>
    </row>
    <row r="9461" spans="27:30">
      <c r="AA9461" s="117">
        <f>+'Ingredient List - Mother Tinctu'!D9462</f>
        <v>0</v>
      </c>
      <c r="AB9461" s="117">
        <f t="shared" si="150"/>
        <v>0</v>
      </c>
      <c r="AC9461" s="117" t="str">
        <f>IF(AB9461=1,COUNTIF($AB$3:AB9461,1),"")</f>
        <v/>
      </c>
      <c r="AD9461" s="117" t="str">
        <f>IFERROR(INDEX($AA$3:$AA$10000,MATCH(ROWS($AC$3:AC9461),$AC$3:$AC$10000,0)),"")</f>
        <v/>
      </c>
    </row>
    <row r="9462" spans="27:30">
      <c r="AA9462" s="117">
        <f>+'Ingredient List - Mother Tinctu'!D9463</f>
        <v>0</v>
      </c>
      <c r="AB9462" s="117">
        <f t="shared" si="150"/>
        <v>0</v>
      </c>
      <c r="AC9462" s="117" t="str">
        <f>IF(AB9462=1,COUNTIF($AB$3:AB9462,1),"")</f>
        <v/>
      </c>
      <c r="AD9462" s="117" t="str">
        <f>IFERROR(INDEX($AA$3:$AA$10000,MATCH(ROWS($AC$3:AC9462),$AC$3:$AC$10000,0)),"")</f>
        <v/>
      </c>
    </row>
    <row r="9463" spans="27:30">
      <c r="AA9463" s="117">
        <f>+'Ingredient List - Mother Tinctu'!D9464</f>
        <v>0</v>
      </c>
      <c r="AB9463" s="117">
        <f t="shared" si="150"/>
        <v>0</v>
      </c>
      <c r="AC9463" s="117" t="str">
        <f>IF(AB9463=1,COUNTIF($AB$3:AB9463,1),"")</f>
        <v/>
      </c>
      <c r="AD9463" s="117" t="str">
        <f>IFERROR(INDEX($AA$3:$AA$10000,MATCH(ROWS($AC$3:AC9463),$AC$3:$AC$10000,0)),"")</f>
        <v/>
      </c>
    </row>
    <row r="9464" spans="27:30">
      <c r="AA9464" s="117">
        <f>+'Ingredient List - Mother Tinctu'!D9465</f>
        <v>0</v>
      </c>
      <c r="AB9464" s="117">
        <f t="shared" si="150"/>
        <v>0</v>
      </c>
      <c r="AC9464" s="117" t="str">
        <f>IF(AB9464=1,COUNTIF($AB$3:AB9464,1),"")</f>
        <v/>
      </c>
      <c r="AD9464" s="117" t="str">
        <f>IFERROR(INDEX($AA$3:$AA$10000,MATCH(ROWS($AC$3:AC9464),$AC$3:$AC$10000,0)),"")</f>
        <v/>
      </c>
    </row>
    <row r="9465" spans="27:30">
      <c r="AA9465" s="117">
        <f>+'Ingredient List - Mother Tinctu'!D9466</f>
        <v>0</v>
      </c>
      <c r="AB9465" s="117">
        <f t="shared" si="150"/>
        <v>0</v>
      </c>
      <c r="AC9465" s="117" t="str">
        <f>IF(AB9465=1,COUNTIF($AB$3:AB9465,1),"")</f>
        <v/>
      </c>
      <c r="AD9465" s="117" t="str">
        <f>IFERROR(INDEX($AA$3:$AA$10000,MATCH(ROWS($AC$3:AC9465),$AC$3:$AC$10000,0)),"")</f>
        <v/>
      </c>
    </row>
    <row r="9466" spans="27:30">
      <c r="AA9466" s="117">
        <f>+'Ingredient List - Mother Tinctu'!D9467</f>
        <v>0</v>
      </c>
      <c r="AB9466" s="117">
        <f t="shared" si="150"/>
        <v>0</v>
      </c>
      <c r="AC9466" s="117" t="str">
        <f>IF(AB9466=1,COUNTIF($AB$3:AB9466,1),"")</f>
        <v/>
      </c>
      <c r="AD9466" s="117" t="str">
        <f>IFERROR(INDEX($AA$3:$AA$10000,MATCH(ROWS($AC$3:AC9466),$AC$3:$AC$10000,0)),"")</f>
        <v/>
      </c>
    </row>
    <row r="9467" spans="27:30">
      <c r="AA9467" s="117">
        <f>+'Ingredient List - Mother Tinctu'!D9468</f>
        <v>0</v>
      </c>
      <c r="AB9467" s="117">
        <f t="shared" si="150"/>
        <v>0</v>
      </c>
      <c r="AC9467" s="117" t="str">
        <f>IF(AB9467=1,COUNTIF($AB$3:AB9467,1),"")</f>
        <v/>
      </c>
      <c r="AD9467" s="117" t="str">
        <f>IFERROR(INDEX($AA$3:$AA$10000,MATCH(ROWS($AC$3:AC9467),$AC$3:$AC$10000,0)),"")</f>
        <v/>
      </c>
    </row>
    <row r="9468" spans="27:30">
      <c r="AA9468" s="117">
        <f>+'Ingredient List - Mother Tinctu'!D9469</f>
        <v>0</v>
      </c>
      <c r="AB9468" s="117">
        <f t="shared" si="150"/>
        <v>0</v>
      </c>
      <c r="AC9468" s="117" t="str">
        <f>IF(AB9468=1,COUNTIF($AB$3:AB9468,1),"")</f>
        <v/>
      </c>
      <c r="AD9468" s="117" t="str">
        <f>IFERROR(INDEX($AA$3:$AA$10000,MATCH(ROWS($AC$3:AC9468),$AC$3:$AC$10000,0)),"")</f>
        <v/>
      </c>
    </row>
    <row r="9469" spans="27:30">
      <c r="AA9469" s="117">
        <f>+'Ingredient List - Mother Tinctu'!D9470</f>
        <v>0</v>
      </c>
      <c r="AB9469" s="117">
        <f t="shared" si="150"/>
        <v>0</v>
      </c>
      <c r="AC9469" s="117" t="str">
        <f>IF(AB9469=1,COUNTIF($AB$3:AB9469,1),"")</f>
        <v/>
      </c>
      <c r="AD9469" s="117" t="str">
        <f>IFERROR(INDEX($AA$3:$AA$10000,MATCH(ROWS($AC$3:AC9469),$AC$3:$AC$10000,0)),"")</f>
        <v/>
      </c>
    </row>
    <row r="9470" spans="27:30">
      <c r="AA9470" s="117">
        <f>+'Ingredient List - Mother Tinctu'!D9471</f>
        <v>0</v>
      </c>
      <c r="AB9470" s="117">
        <f t="shared" si="150"/>
        <v>0</v>
      </c>
      <c r="AC9470" s="117" t="str">
        <f>IF(AB9470=1,COUNTIF($AB$3:AB9470,1),"")</f>
        <v/>
      </c>
      <c r="AD9470" s="117" t="str">
        <f>IFERROR(INDEX($AA$3:$AA$10000,MATCH(ROWS($AC$3:AC9470),$AC$3:$AC$10000,0)),"")</f>
        <v/>
      </c>
    </row>
    <row r="9471" spans="27:30">
      <c r="AA9471" s="117">
        <f>+'Ingredient List - Mother Tinctu'!D9472</f>
        <v>0</v>
      </c>
      <c r="AB9471" s="117">
        <f t="shared" si="150"/>
        <v>0</v>
      </c>
      <c r="AC9471" s="117" t="str">
        <f>IF(AB9471=1,COUNTIF($AB$3:AB9471,1),"")</f>
        <v/>
      </c>
      <c r="AD9471" s="117" t="str">
        <f>IFERROR(INDEX($AA$3:$AA$10000,MATCH(ROWS($AC$3:AC9471),$AC$3:$AC$10000,0)),"")</f>
        <v/>
      </c>
    </row>
    <row r="9472" spans="27:30">
      <c r="AA9472" s="117">
        <f>+'Ingredient List - Mother Tinctu'!D9473</f>
        <v>0</v>
      </c>
      <c r="AB9472" s="117">
        <f t="shared" si="150"/>
        <v>0</v>
      </c>
      <c r="AC9472" s="117" t="str">
        <f>IF(AB9472=1,COUNTIF($AB$3:AB9472,1),"")</f>
        <v/>
      </c>
      <c r="AD9472" s="117" t="str">
        <f>IFERROR(INDEX($AA$3:$AA$10000,MATCH(ROWS($AC$3:AC9472),$AC$3:$AC$10000,0)),"")</f>
        <v/>
      </c>
    </row>
    <row r="9473" spans="27:30">
      <c r="AA9473" s="117">
        <f>+'Ingredient List - Mother Tinctu'!D9474</f>
        <v>0</v>
      </c>
      <c r="AB9473" s="117">
        <f t="shared" si="150"/>
        <v>0</v>
      </c>
      <c r="AC9473" s="117" t="str">
        <f>IF(AB9473=1,COUNTIF($AB$3:AB9473,1),"")</f>
        <v/>
      </c>
      <c r="AD9473" s="117" t="str">
        <f>IFERROR(INDEX($AA$3:$AA$10000,MATCH(ROWS($AC$3:AC9473),$AC$3:$AC$10000,0)),"")</f>
        <v/>
      </c>
    </row>
    <row r="9474" spans="27:30">
      <c r="AA9474" s="117">
        <f>+'Ingredient List - Mother Tinctu'!D9475</f>
        <v>0</v>
      </c>
      <c r="AB9474" s="117">
        <f t="shared" si="150"/>
        <v>0</v>
      </c>
      <c r="AC9474" s="117" t="str">
        <f>IF(AB9474=1,COUNTIF($AB$3:AB9474,1),"")</f>
        <v/>
      </c>
      <c r="AD9474" s="117" t="str">
        <f>IFERROR(INDEX($AA$3:$AA$10000,MATCH(ROWS($AC$3:AC9474),$AC$3:$AC$10000,0)),"")</f>
        <v/>
      </c>
    </row>
    <row r="9475" spans="27:30">
      <c r="AA9475" s="117">
        <f>+'Ingredient List - Mother Tinctu'!D9476</f>
        <v>0</v>
      </c>
      <c r="AB9475" s="117">
        <f t="shared" si="150"/>
        <v>0</v>
      </c>
      <c r="AC9475" s="117" t="str">
        <f>IF(AB9475=1,COUNTIF($AB$3:AB9475,1),"")</f>
        <v/>
      </c>
      <c r="AD9475" s="117" t="str">
        <f>IFERROR(INDEX($AA$3:$AA$10000,MATCH(ROWS($AC$3:AC9475),$AC$3:$AC$10000,0)),"")</f>
        <v/>
      </c>
    </row>
    <row r="9476" spans="27:30">
      <c r="AA9476" s="117">
        <f>+'Ingredient List - Mother Tinctu'!D9477</f>
        <v>0</v>
      </c>
      <c r="AB9476" s="117">
        <f t="shared" ref="AB9476:AB9539" si="151">--ISNUMBER(IFERROR(SEARCH($D$3,AA9476,1),""))</f>
        <v>0</v>
      </c>
      <c r="AC9476" s="117" t="str">
        <f>IF(AB9476=1,COUNTIF($AB$3:AB9476,1),"")</f>
        <v/>
      </c>
      <c r="AD9476" s="117" t="str">
        <f>IFERROR(INDEX($AA$3:$AA$10000,MATCH(ROWS($AC$3:AC9476),$AC$3:$AC$10000,0)),"")</f>
        <v/>
      </c>
    </row>
    <row r="9477" spans="27:30">
      <c r="AA9477" s="117">
        <f>+'Ingredient List - Mother Tinctu'!D9478</f>
        <v>0</v>
      </c>
      <c r="AB9477" s="117">
        <f t="shared" si="151"/>
        <v>0</v>
      </c>
      <c r="AC9477" s="117" t="str">
        <f>IF(AB9477=1,COUNTIF($AB$3:AB9477,1),"")</f>
        <v/>
      </c>
      <c r="AD9477" s="117" t="str">
        <f>IFERROR(INDEX($AA$3:$AA$10000,MATCH(ROWS($AC$3:AC9477),$AC$3:$AC$10000,0)),"")</f>
        <v/>
      </c>
    </row>
    <row r="9478" spans="27:30">
      <c r="AA9478" s="117">
        <f>+'Ingredient List - Mother Tinctu'!D9479</f>
        <v>0</v>
      </c>
      <c r="AB9478" s="117">
        <f t="shared" si="151"/>
        <v>0</v>
      </c>
      <c r="AC9478" s="117" t="str">
        <f>IF(AB9478=1,COUNTIF($AB$3:AB9478,1),"")</f>
        <v/>
      </c>
      <c r="AD9478" s="117" t="str">
        <f>IFERROR(INDEX($AA$3:$AA$10000,MATCH(ROWS($AC$3:AC9478),$AC$3:$AC$10000,0)),"")</f>
        <v/>
      </c>
    </row>
    <row r="9479" spans="27:30">
      <c r="AA9479" s="117">
        <f>+'Ingredient List - Mother Tinctu'!D9480</f>
        <v>0</v>
      </c>
      <c r="AB9479" s="117">
        <f t="shared" si="151"/>
        <v>0</v>
      </c>
      <c r="AC9479" s="117" t="str">
        <f>IF(AB9479=1,COUNTIF($AB$3:AB9479,1),"")</f>
        <v/>
      </c>
      <c r="AD9479" s="117" t="str">
        <f>IFERROR(INDEX($AA$3:$AA$10000,MATCH(ROWS($AC$3:AC9479),$AC$3:$AC$10000,0)),"")</f>
        <v/>
      </c>
    </row>
    <row r="9480" spans="27:30">
      <c r="AA9480" s="117">
        <f>+'Ingredient List - Mother Tinctu'!D9481</f>
        <v>0</v>
      </c>
      <c r="AB9480" s="117">
        <f t="shared" si="151"/>
        <v>0</v>
      </c>
      <c r="AC9480" s="117" t="str">
        <f>IF(AB9480=1,COUNTIF($AB$3:AB9480,1),"")</f>
        <v/>
      </c>
      <c r="AD9480" s="117" t="str">
        <f>IFERROR(INDEX($AA$3:$AA$10000,MATCH(ROWS($AC$3:AC9480),$AC$3:$AC$10000,0)),"")</f>
        <v/>
      </c>
    </row>
    <row r="9481" spans="27:30">
      <c r="AA9481" s="117">
        <f>+'Ingredient List - Mother Tinctu'!D9482</f>
        <v>0</v>
      </c>
      <c r="AB9481" s="117">
        <f t="shared" si="151"/>
        <v>0</v>
      </c>
      <c r="AC9481" s="117" t="str">
        <f>IF(AB9481=1,COUNTIF($AB$3:AB9481,1),"")</f>
        <v/>
      </c>
      <c r="AD9481" s="117" t="str">
        <f>IFERROR(INDEX($AA$3:$AA$10000,MATCH(ROWS($AC$3:AC9481),$AC$3:$AC$10000,0)),"")</f>
        <v/>
      </c>
    </row>
    <row r="9482" spans="27:30">
      <c r="AA9482" s="117">
        <f>+'Ingredient List - Mother Tinctu'!D9483</f>
        <v>0</v>
      </c>
      <c r="AB9482" s="117">
        <f t="shared" si="151"/>
        <v>0</v>
      </c>
      <c r="AC9482" s="117" t="str">
        <f>IF(AB9482=1,COUNTIF($AB$3:AB9482,1),"")</f>
        <v/>
      </c>
      <c r="AD9482" s="117" t="str">
        <f>IFERROR(INDEX($AA$3:$AA$10000,MATCH(ROWS($AC$3:AC9482),$AC$3:$AC$10000,0)),"")</f>
        <v/>
      </c>
    </row>
    <row r="9483" spans="27:30">
      <c r="AA9483" s="117">
        <f>+'Ingredient List - Mother Tinctu'!D9484</f>
        <v>0</v>
      </c>
      <c r="AB9483" s="117">
        <f t="shared" si="151"/>
        <v>0</v>
      </c>
      <c r="AC9483" s="117" t="str">
        <f>IF(AB9483=1,COUNTIF($AB$3:AB9483,1),"")</f>
        <v/>
      </c>
      <c r="AD9483" s="117" t="str">
        <f>IFERROR(INDEX($AA$3:$AA$10000,MATCH(ROWS($AC$3:AC9483),$AC$3:$AC$10000,0)),"")</f>
        <v/>
      </c>
    </row>
    <row r="9484" spans="27:30">
      <c r="AA9484" s="117">
        <f>+'Ingredient List - Mother Tinctu'!D9485</f>
        <v>0</v>
      </c>
      <c r="AB9484" s="117">
        <f t="shared" si="151"/>
        <v>0</v>
      </c>
      <c r="AC9484" s="117" t="str">
        <f>IF(AB9484=1,COUNTIF($AB$3:AB9484,1),"")</f>
        <v/>
      </c>
      <c r="AD9484" s="117" t="str">
        <f>IFERROR(INDEX($AA$3:$AA$10000,MATCH(ROWS($AC$3:AC9484),$AC$3:$AC$10000,0)),"")</f>
        <v/>
      </c>
    </row>
    <row r="9485" spans="27:30">
      <c r="AA9485" s="117">
        <f>+'Ingredient List - Mother Tinctu'!D9486</f>
        <v>0</v>
      </c>
      <c r="AB9485" s="117">
        <f t="shared" si="151"/>
        <v>0</v>
      </c>
      <c r="AC9485" s="117" t="str">
        <f>IF(AB9485=1,COUNTIF($AB$3:AB9485,1),"")</f>
        <v/>
      </c>
      <c r="AD9485" s="117" t="str">
        <f>IFERROR(INDEX($AA$3:$AA$10000,MATCH(ROWS($AC$3:AC9485),$AC$3:$AC$10000,0)),"")</f>
        <v/>
      </c>
    </row>
    <row r="9486" spans="27:30">
      <c r="AA9486" s="117">
        <f>+'Ingredient List - Mother Tinctu'!D9487</f>
        <v>0</v>
      </c>
      <c r="AB9486" s="117">
        <f t="shared" si="151"/>
        <v>0</v>
      </c>
      <c r="AC9486" s="117" t="str">
        <f>IF(AB9486=1,COUNTIF($AB$3:AB9486,1),"")</f>
        <v/>
      </c>
      <c r="AD9486" s="117" t="str">
        <f>IFERROR(INDEX($AA$3:$AA$10000,MATCH(ROWS($AC$3:AC9486),$AC$3:$AC$10000,0)),"")</f>
        <v/>
      </c>
    </row>
    <row r="9487" spans="27:30">
      <c r="AA9487" s="117">
        <f>+'Ingredient List - Mother Tinctu'!D9488</f>
        <v>0</v>
      </c>
      <c r="AB9487" s="117">
        <f t="shared" si="151"/>
        <v>0</v>
      </c>
      <c r="AC9487" s="117" t="str">
        <f>IF(AB9487=1,COUNTIF($AB$3:AB9487,1),"")</f>
        <v/>
      </c>
      <c r="AD9487" s="117" t="str">
        <f>IFERROR(INDEX($AA$3:$AA$10000,MATCH(ROWS($AC$3:AC9487),$AC$3:$AC$10000,0)),"")</f>
        <v/>
      </c>
    </row>
    <row r="9488" spans="27:30">
      <c r="AA9488" s="117">
        <f>+'Ingredient List - Mother Tinctu'!D9489</f>
        <v>0</v>
      </c>
      <c r="AB9488" s="117">
        <f t="shared" si="151"/>
        <v>0</v>
      </c>
      <c r="AC9488" s="117" t="str">
        <f>IF(AB9488=1,COUNTIF($AB$3:AB9488,1),"")</f>
        <v/>
      </c>
      <c r="AD9488" s="117" t="str">
        <f>IFERROR(INDEX($AA$3:$AA$10000,MATCH(ROWS($AC$3:AC9488),$AC$3:$AC$10000,0)),"")</f>
        <v/>
      </c>
    </row>
    <row r="9489" spans="27:30">
      <c r="AA9489" s="117">
        <f>+'Ingredient List - Mother Tinctu'!D9490</f>
        <v>0</v>
      </c>
      <c r="AB9489" s="117">
        <f t="shared" si="151"/>
        <v>0</v>
      </c>
      <c r="AC9489" s="117" t="str">
        <f>IF(AB9489=1,COUNTIF($AB$3:AB9489,1),"")</f>
        <v/>
      </c>
      <c r="AD9489" s="117" t="str">
        <f>IFERROR(INDEX($AA$3:$AA$10000,MATCH(ROWS($AC$3:AC9489),$AC$3:$AC$10000,0)),"")</f>
        <v/>
      </c>
    </row>
    <row r="9490" spans="27:30">
      <c r="AA9490" s="117">
        <f>+'Ingredient List - Mother Tinctu'!D9491</f>
        <v>0</v>
      </c>
      <c r="AB9490" s="117">
        <f t="shared" si="151"/>
        <v>0</v>
      </c>
      <c r="AC9490" s="117" t="str">
        <f>IF(AB9490=1,COUNTIF($AB$3:AB9490,1),"")</f>
        <v/>
      </c>
      <c r="AD9490" s="117" t="str">
        <f>IFERROR(INDEX($AA$3:$AA$10000,MATCH(ROWS($AC$3:AC9490),$AC$3:$AC$10000,0)),"")</f>
        <v/>
      </c>
    </row>
    <row r="9491" spans="27:30">
      <c r="AA9491" s="117">
        <f>+'Ingredient List - Mother Tinctu'!D9492</f>
        <v>0</v>
      </c>
      <c r="AB9491" s="117">
        <f t="shared" si="151"/>
        <v>0</v>
      </c>
      <c r="AC9491" s="117" t="str">
        <f>IF(AB9491=1,COUNTIF($AB$3:AB9491,1),"")</f>
        <v/>
      </c>
      <c r="AD9491" s="117" t="str">
        <f>IFERROR(INDEX($AA$3:$AA$10000,MATCH(ROWS($AC$3:AC9491),$AC$3:$AC$10000,0)),"")</f>
        <v/>
      </c>
    </row>
    <row r="9492" spans="27:30">
      <c r="AA9492" s="117">
        <f>+'Ingredient List - Mother Tinctu'!D9493</f>
        <v>0</v>
      </c>
      <c r="AB9492" s="117">
        <f t="shared" si="151"/>
        <v>0</v>
      </c>
      <c r="AC9492" s="117" t="str">
        <f>IF(AB9492=1,COUNTIF($AB$3:AB9492,1),"")</f>
        <v/>
      </c>
      <c r="AD9492" s="117" t="str">
        <f>IFERROR(INDEX($AA$3:$AA$10000,MATCH(ROWS($AC$3:AC9492),$AC$3:$AC$10000,0)),"")</f>
        <v/>
      </c>
    </row>
    <row r="9493" spans="27:30">
      <c r="AA9493" s="117">
        <f>+'Ingredient List - Mother Tinctu'!D9494</f>
        <v>0</v>
      </c>
      <c r="AB9493" s="117">
        <f t="shared" si="151"/>
        <v>0</v>
      </c>
      <c r="AC9493" s="117" t="str">
        <f>IF(AB9493=1,COUNTIF($AB$3:AB9493,1),"")</f>
        <v/>
      </c>
      <c r="AD9493" s="117" t="str">
        <f>IFERROR(INDEX($AA$3:$AA$10000,MATCH(ROWS($AC$3:AC9493),$AC$3:$AC$10000,0)),"")</f>
        <v/>
      </c>
    </row>
    <row r="9494" spans="27:30">
      <c r="AA9494" s="117">
        <f>+'Ingredient List - Mother Tinctu'!D9495</f>
        <v>0</v>
      </c>
      <c r="AB9494" s="117">
        <f t="shared" si="151"/>
        <v>0</v>
      </c>
      <c r="AC9494" s="117" t="str">
        <f>IF(AB9494=1,COUNTIF($AB$3:AB9494,1),"")</f>
        <v/>
      </c>
      <c r="AD9494" s="117" t="str">
        <f>IFERROR(INDEX($AA$3:$AA$10000,MATCH(ROWS($AC$3:AC9494),$AC$3:$AC$10000,0)),"")</f>
        <v/>
      </c>
    </row>
    <row r="9495" spans="27:30">
      <c r="AA9495" s="117">
        <f>+'Ingredient List - Mother Tinctu'!D9496</f>
        <v>0</v>
      </c>
      <c r="AB9495" s="117">
        <f t="shared" si="151"/>
        <v>0</v>
      </c>
      <c r="AC9495" s="117" t="str">
        <f>IF(AB9495=1,COUNTIF($AB$3:AB9495,1),"")</f>
        <v/>
      </c>
      <c r="AD9495" s="117" t="str">
        <f>IFERROR(INDEX($AA$3:$AA$10000,MATCH(ROWS($AC$3:AC9495),$AC$3:$AC$10000,0)),"")</f>
        <v/>
      </c>
    </row>
    <row r="9496" spans="27:30">
      <c r="AA9496" s="117">
        <f>+'Ingredient List - Mother Tinctu'!D9497</f>
        <v>0</v>
      </c>
      <c r="AB9496" s="117">
        <f t="shared" si="151"/>
        <v>0</v>
      </c>
      <c r="AC9496" s="117" t="str">
        <f>IF(AB9496=1,COUNTIF($AB$3:AB9496,1),"")</f>
        <v/>
      </c>
      <c r="AD9496" s="117" t="str">
        <f>IFERROR(INDEX($AA$3:$AA$10000,MATCH(ROWS($AC$3:AC9496),$AC$3:$AC$10000,0)),"")</f>
        <v/>
      </c>
    </row>
    <row r="9497" spans="27:30">
      <c r="AA9497" s="117">
        <f>+'Ingredient List - Mother Tinctu'!D9498</f>
        <v>0</v>
      </c>
      <c r="AB9497" s="117">
        <f t="shared" si="151"/>
        <v>0</v>
      </c>
      <c r="AC9497" s="117" t="str">
        <f>IF(AB9497=1,COUNTIF($AB$3:AB9497,1),"")</f>
        <v/>
      </c>
      <c r="AD9497" s="117" t="str">
        <f>IFERROR(INDEX($AA$3:$AA$10000,MATCH(ROWS($AC$3:AC9497),$AC$3:$AC$10000,0)),"")</f>
        <v/>
      </c>
    </row>
    <row r="9498" spans="27:30">
      <c r="AA9498" s="117">
        <f>+'Ingredient List - Mother Tinctu'!D9499</f>
        <v>0</v>
      </c>
      <c r="AB9498" s="117">
        <f t="shared" si="151"/>
        <v>0</v>
      </c>
      <c r="AC9498" s="117" t="str">
        <f>IF(AB9498=1,COUNTIF($AB$3:AB9498,1),"")</f>
        <v/>
      </c>
      <c r="AD9498" s="117" t="str">
        <f>IFERROR(INDEX($AA$3:$AA$10000,MATCH(ROWS($AC$3:AC9498),$AC$3:$AC$10000,0)),"")</f>
        <v/>
      </c>
    </row>
    <row r="9499" spans="27:30">
      <c r="AA9499" s="117">
        <f>+'Ingredient List - Mother Tinctu'!D9500</f>
        <v>0</v>
      </c>
      <c r="AB9499" s="117">
        <f t="shared" si="151"/>
        <v>0</v>
      </c>
      <c r="AC9499" s="117" t="str">
        <f>IF(AB9499=1,COUNTIF($AB$3:AB9499,1),"")</f>
        <v/>
      </c>
      <c r="AD9499" s="117" t="str">
        <f>IFERROR(INDEX($AA$3:$AA$10000,MATCH(ROWS($AC$3:AC9499),$AC$3:$AC$10000,0)),"")</f>
        <v/>
      </c>
    </row>
    <row r="9500" spans="27:30">
      <c r="AA9500" s="117">
        <f>+'Ingredient List - Mother Tinctu'!D9501</f>
        <v>0</v>
      </c>
      <c r="AB9500" s="117">
        <f t="shared" si="151"/>
        <v>0</v>
      </c>
      <c r="AC9500" s="117" t="str">
        <f>IF(AB9500=1,COUNTIF($AB$3:AB9500,1),"")</f>
        <v/>
      </c>
      <c r="AD9500" s="117" t="str">
        <f>IFERROR(INDEX($AA$3:$AA$10000,MATCH(ROWS($AC$3:AC9500),$AC$3:$AC$10000,0)),"")</f>
        <v/>
      </c>
    </row>
    <row r="9501" spans="27:30">
      <c r="AA9501" s="117">
        <f>+'Ingredient List - Mother Tinctu'!D9502</f>
        <v>0</v>
      </c>
      <c r="AB9501" s="117">
        <f t="shared" si="151"/>
        <v>0</v>
      </c>
      <c r="AC9501" s="117" t="str">
        <f>IF(AB9501=1,COUNTIF($AB$3:AB9501,1),"")</f>
        <v/>
      </c>
      <c r="AD9501" s="117" t="str">
        <f>IFERROR(INDEX($AA$3:$AA$10000,MATCH(ROWS($AC$3:AC9501),$AC$3:$AC$10000,0)),"")</f>
        <v/>
      </c>
    </row>
    <row r="9502" spans="27:30">
      <c r="AA9502" s="117">
        <f>+'Ingredient List - Mother Tinctu'!D9503</f>
        <v>0</v>
      </c>
      <c r="AB9502" s="117">
        <f t="shared" si="151"/>
        <v>0</v>
      </c>
      <c r="AC9502" s="117" t="str">
        <f>IF(AB9502=1,COUNTIF($AB$3:AB9502,1),"")</f>
        <v/>
      </c>
      <c r="AD9502" s="117" t="str">
        <f>IFERROR(INDEX($AA$3:$AA$10000,MATCH(ROWS($AC$3:AC9502),$AC$3:$AC$10000,0)),"")</f>
        <v/>
      </c>
    </row>
    <row r="9503" spans="27:30">
      <c r="AA9503" s="117">
        <f>+'Ingredient List - Mother Tinctu'!D9504</f>
        <v>0</v>
      </c>
      <c r="AB9503" s="117">
        <f t="shared" si="151"/>
        <v>0</v>
      </c>
      <c r="AC9503" s="117" t="str">
        <f>IF(AB9503=1,COUNTIF($AB$3:AB9503,1),"")</f>
        <v/>
      </c>
      <c r="AD9503" s="117" t="str">
        <f>IFERROR(INDEX($AA$3:$AA$10000,MATCH(ROWS($AC$3:AC9503),$AC$3:$AC$10000,0)),"")</f>
        <v/>
      </c>
    </row>
    <row r="9504" spans="27:30">
      <c r="AA9504" s="117">
        <f>+'Ingredient List - Mother Tinctu'!D9505</f>
        <v>0</v>
      </c>
      <c r="AB9504" s="117">
        <f t="shared" si="151"/>
        <v>0</v>
      </c>
      <c r="AC9504" s="117" t="str">
        <f>IF(AB9504=1,COUNTIF($AB$3:AB9504,1),"")</f>
        <v/>
      </c>
      <c r="AD9504" s="117" t="str">
        <f>IFERROR(INDEX($AA$3:$AA$10000,MATCH(ROWS($AC$3:AC9504),$AC$3:$AC$10000,0)),"")</f>
        <v/>
      </c>
    </row>
    <row r="9505" spans="27:30">
      <c r="AA9505" s="117">
        <f>+'Ingredient List - Mother Tinctu'!D9506</f>
        <v>0</v>
      </c>
      <c r="AB9505" s="117">
        <f t="shared" si="151"/>
        <v>0</v>
      </c>
      <c r="AC9505" s="117" t="str">
        <f>IF(AB9505=1,COUNTIF($AB$3:AB9505,1),"")</f>
        <v/>
      </c>
      <c r="AD9505" s="117" t="str">
        <f>IFERROR(INDEX($AA$3:$AA$10000,MATCH(ROWS($AC$3:AC9505),$AC$3:$AC$10000,0)),"")</f>
        <v/>
      </c>
    </row>
    <row r="9506" spans="27:30">
      <c r="AA9506" s="117">
        <f>+'Ingredient List - Mother Tinctu'!D9507</f>
        <v>0</v>
      </c>
      <c r="AB9506" s="117">
        <f t="shared" si="151"/>
        <v>0</v>
      </c>
      <c r="AC9506" s="117" t="str">
        <f>IF(AB9506=1,COUNTIF($AB$3:AB9506,1),"")</f>
        <v/>
      </c>
      <c r="AD9506" s="117" t="str">
        <f>IFERROR(INDEX($AA$3:$AA$10000,MATCH(ROWS($AC$3:AC9506),$AC$3:$AC$10000,0)),"")</f>
        <v/>
      </c>
    </row>
    <row r="9507" spans="27:30">
      <c r="AA9507" s="117">
        <f>+'Ingredient List - Mother Tinctu'!D9508</f>
        <v>0</v>
      </c>
      <c r="AB9507" s="117">
        <f t="shared" si="151"/>
        <v>0</v>
      </c>
      <c r="AC9507" s="117" t="str">
        <f>IF(AB9507=1,COUNTIF($AB$3:AB9507,1),"")</f>
        <v/>
      </c>
      <c r="AD9507" s="117" t="str">
        <f>IFERROR(INDEX($AA$3:$AA$10000,MATCH(ROWS($AC$3:AC9507),$AC$3:$AC$10000,0)),"")</f>
        <v/>
      </c>
    </row>
    <row r="9508" spans="27:30">
      <c r="AA9508" s="117">
        <f>+'Ingredient List - Mother Tinctu'!D9509</f>
        <v>0</v>
      </c>
      <c r="AB9508" s="117">
        <f t="shared" si="151"/>
        <v>0</v>
      </c>
      <c r="AC9508" s="117" t="str">
        <f>IF(AB9508=1,COUNTIF($AB$3:AB9508,1),"")</f>
        <v/>
      </c>
      <c r="AD9508" s="117" t="str">
        <f>IFERROR(INDEX($AA$3:$AA$10000,MATCH(ROWS($AC$3:AC9508),$AC$3:$AC$10000,0)),"")</f>
        <v/>
      </c>
    </row>
    <row r="9509" spans="27:30">
      <c r="AA9509" s="117">
        <f>+'Ingredient List - Mother Tinctu'!D9510</f>
        <v>0</v>
      </c>
      <c r="AB9509" s="117">
        <f t="shared" si="151"/>
        <v>0</v>
      </c>
      <c r="AC9509" s="117" t="str">
        <f>IF(AB9509=1,COUNTIF($AB$3:AB9509,1),"")</f>
        <v/>
      </c>
      <c r="AD9509" s="117" t="str">
        <f>IFERROR(INDEX($AA$3:$AA$10000,MATCH(ROWS($AC$3:AC9509),$AC$3:$AC$10000,0)),"")</f>
        <v/>
      </c>
    </row>
    <row r="9510" spans="27:30">
      <c r="AA9510" s="117">
        <f>+'Ingredient List - Mother Tinctu'!D9511</f>
        <v>0</v>
      </c>
      <c r="AB9510" s="117">
        <f t="shared" si="151"/>
        <v>0</v>
      </c>
      <c r="AC9510" s="117" t="str">
        <f>IF(AB9510=1,COUNTIF($AB$3:AB9510,1),"")</f>
        <v/>
      </c>
      <c r="AD9510" s="117" t="str">
        <f>IFERROR(INDEX($AA$3:$AA$10000,MATCH(ROWS($AC$3:AC9510),$AC$3:$AC$10000,0)),"")</f>
        <v/>
      </c>
    </row>
    <row r="9511" spans="27:30">
      <c r="AA9511" s="117">
        <f>+'Ingredient List - Mother Tinctu'!D9512</f>
        <v>0</v>
      </c>
      <c r="AB9511" s="117">
        <f t="shared" si="151"/>
        <v>0</v>
      </c>
      <c r="AC9511" s="117" t="str">
        <f>IF(AB9511=1,COUNTIF($AB$3:AB9511,1),"")</f>
        <v/>
      </c>
      <c r="AD9511" s="117" t="str">
        <f>IFERROR(INDEX($AA$3:$AA$10000,MATCH(ROWS($AC$3:AC9511),$AC$3:$AC$10000,0)),"")</f>
        <v/>
      </c>
    </row>
    <row r="9512" spans="27:30">
      <c r="AA9512" s="117">
        <f>+'Ingredient List - Mother Tinctu'!D9513</f>
        <v>0</v>
      </c>
      <c r="AB9512" s="117">
        <f t="shared" si="151"/>
        <v>0</v>
      </c>
      <c r="AC9512" s="117" t="str">
        <f>IF(AB9512=1,COUNTIF($AB$3:AB9512,1),"")</f>
        <v/>
      </c>
      <c r="AD9512" s="117" t="str">
        <f>IFERROR(INDEX($AA$3:$AA$10000,MATCH(ROWS($AC$3:AC9512),$AC$3:$AC$10000,0)),"")</f>
        <v/>
      </c>
    </row>
    <row r="9513" spans="27:30">
      <c r="AA9513" s="117">
        <f>+'Ingredient List - Mother Tinctu'!D9514</f>
        <v>0</v>
      </c>
      <c r="AB9513" s="117">
        <f t="shared" si="151"/>
        <v>0</v>
      </c>
      <c r="AC9513" s="117" t="str">
        <f>IF(AB9513=1,COUNTIF($AB$3:AB9513,1),"")</f>
        <v/>
      </c>
      <c r="AD9513" s="117" t="str">
        <f>IFERROR(INDEX($AA$3:$AA$10000,MATCH(ROWS($AC$3:AC9513),$AC$3:$AC$10000,0)),"")</f>
        <v/>
      </c>
    </row>
    <row r="9514" spans="27:30">
      <c r="AA9514" s="117">
        <f>+'Ingredient List - Mother Tinctu'!D9515</f>
        <v>0</v>
      </c>
      <c r="AB9514" s="117">
        <f t="shared" si="151"/>
        <v>0</v>
      </c>
      <c r="AC9514" s="117" t="str">
        <f>IF(AB9514=1,COUNTIF($AB$3:AB9514,1),"")</f>
        <v/>
      </c>
      <c r="AD9514" s="117" t="str">
        <f>IFERROR(INDEX($AA$3:$AA$10000,MATCH(ROWS($AC$3:AC9514),$AC$3:$AC$10000,0)),"")</f>
        <v/>
      </c>
    </row>
    <row r="9515" spans="27:30">
      <c r="AA9515" s="117">
        <f>+'Ingredient List - Mother Tinctu'!D9516</f>
        <v>0</v>
      </c>
      <c r="AB9515" s="117">
        <f t="shared" si="151"/>
        <v>0</v>
      </c>
      <c r="AC9515" s="117" t="str">
        <f>IF(AB9515=1,COUNTIF($AB$3:AB9515,1),"")</f>
        <v/>
      </c>
      <c r="AD9515" s="117" t="str">
        <f>IFERROR(INDEX($AA$3:$AA$10000,MATCH(ROWS($AC$3:AC9515),$AC$3:$AC$10000,0)),"")</f>
        <v/>
      </c>
    </row>
    <row r="9516" spans="27:30">
      <c r="AA9516" s="117">
        <f>+'Ingredient List - Mother Tinctu'!D9517</f>
        <v>0</v>
      </c>
      <c r="AB9516" s="117">
        <f t="shared" si="151"/>
        <v>0</v>
      </c>
      <c r="AC9516" s="117" t="str">
        <f>IF(AB9516=1,COUNTIF($AB$3:AB9516,1),"")</f>
        <v/>
      </c>
      <c r="AD9516" s="117" t="str">
        <f>IFERROR(INDEX($AA$3:$AA$10000,MATCH(ROWS($AC$3:AC9516),$AC$3:$AC$10000,0)),"")</f>
        <v/>
      </c>
    </row>
    <row r="9517" spans="27:30">
      <c r="AA9517" s="117">
        <f>+'Ingredient List - Mother Tinctu'!D9518</f>
        <v>0</v>
      </c>
      <c r="AB9517" s="117">
        <f t="shared" si="151"/>
        <v>0</v>
      </c>
      <c r="AC9517" s="117" t="str">
        <f>IF(AB9517=1,COUNTIF($AB$3:AB9517,1),"")</f>
        <v/>
      </c>
      <c r="AD9517" s="117" t="str">
        <f>IFERROR(INDEX($AA$3:$AA$10000,MATCH(ROWS($AC$3:AC9517),$AC$3:$AC$10000,0)),"")</f>
        <v/>
      </c>
    </row>
    <row r="9518" spans="27:30">
      <c r="AA9518" s="117">
        <f>+'Ingredient List - Mother Tinctu'!D9519</f>
        <v>0</v>
      </c>
      <c r="AB9518" s="117">
        <f t="shared" si="151"/>
        <v>0</v>
      </c>
      <c r="AC9518" s="117" t="str">
        <f>IF(AB9518=1,COUNTIF($AB$3:AB9518,1),"")</f>
        <v/>
      </c>
      <c r="AD9518" s="117" t="str">
        <f>IFERROR(INDEX($AA$3:$AA$10000,MATCH(ROWS($AC$3:AC9518),$AC$3:$AC$10000,0)),"")</f>
        <v/>
      </c>
    </row>
    <row r="9519" spans="27:30">
      <c r="AA9519" s="117">
        <f>+'Ingredient List - Mother Tinctu'!D9520</f>
        <v>0</v>
      </c>
      <c r="AB9519" s="117">
        <f t="shared" si="151"/>
        <v>0</v>
      </c>
      <c r="AC9519" s="117" t="str">
        <f>IF(AB9519=1,COUNTIF($AB$3:AB9519,1),"")</f>
        <v/>
      </c>
      <c r="AD9519" s="117" t="str">
        <f>IFERROR(INDEX($AA$3:$AA$10000,MATCH(ROWS($AC$3:AC9519),$AC$3:$AC$10000,0)),"")</f>
        <v/>
      </c>
    </row>
    <row r="9520" spans="27:30">
      <c r="AA9520" s="117">
        <f>+'Ingredient List - Mother Tinctu'!D9521</f>
        <v>0</v>
      </c>
      <c r="AB9520" s="117">
        <f t="shared" si="151"/>
        <v>0</v>
      </c>
      <c r="AC9520" s="117" t="str">
        <f>IF(AB9520=1,COUNTIF($AB$3:AB9520,1),"")</f>
        <v/>
      </c>
      <c r="AD9520" s="117" t="str">
        <f>IFERROR(INDEX($AA$3:$AA$10000,MATCH(ROWS($AC$3:AC9520),$AC$3:$AC$10000,0)),"")</f>
        <v/>
      </c>
    </row>
    <row r="9521" spans="27:30">
      <c r="AA9521" s="117">
        <f>+'Ingredient List - Mother Tinctu'!D9522</f>
        <v>0</v>
      </c>
      <c r="AB9521" s="117">
        <f t="shared" si="151"/>
        <v>0</v>
      </c>
      <c r="AC9521" s="117" t="str">
        <f>IF(AB9521=1,COUNTIF($AB$3:AB9521,1),"")</f>
        <v/>
      </c>
      <c r="AD9521" s="117" t="str">
        <f>IFERROR(INDEX($AA$3:$AA$10000,MATCH(ROWS($AC$3:AC9521),$AC$3:$AC$10000,0)),"")</f>
        <v/>
      </c>
    </row>
    <row r="9522" spans="27:30">
      <c r="AA9522" s="117">
        <f>+'Ingredient List - Mother Tinctu'!D9523</f>
        <v>0</v>
      </c>
      <c r="AB9522" s="117">
        <f t="shared" si="151"/>
        <v>0</v>
      </c>
      <c r="AC9522" s="117" t="str">
        <f>IF(AB9522=1,COUNTIF($AB$3:AB9522,1),"")</f>
        <v/>
      </c>
      <c r="AD9522" s="117" t="str">
        <f>IFERROR(INDEX($AA$3:$AA$10000,MATCH(ROWS($AC$3:AC9522),$AC$3:$AC$10000,0)),"")</f>
        <v/>
      </c>
    </row>
    <row r="9523" spans="27:30">
      <c r="AA9523" s="117">
        <f>+'Ingredient List - Mother Tinctu'!D9524</f>
        <v>0</v>
      </c>
      <c r="AB9523" s="117">
        <f t="shared" si="151"/>
        <v>0</v>
      </c>
      <c r="AC9523" s="117" t="str">
        <f>IF(AB9523=1,COUNTIF($AB$3:AB9523,1),"")</f>
        <v/>
      </c>
      <c r="AD9523" s="117" t="str">
        <f>IFERROR(INDEX($AA$3:$AA$10000,MATCH(ROWS($AC$3:AC9523),$AC$3:$AC$10000,0)),"")</f>
        <v/>
      </c>
    </row>
    <row r="9524" spans="27:30">
      <c r="AA9524" s="117">
        <f>+'Ingredient List - Mother Tinctu'!D9525</f>
        <v>0</v>
      </c>
      <c r="AB9524" s="117">
        <f t="shared" si="151"/>
        <v>0</v>
      </c>
      <c r="AC9524" s="117" t="str">
        <f>IF(AB9524=1,COUNTIF($AB$3:AB9524,1),"")</f>
        <v/>
      </c>
      <c r="AD9524" s="117" t="str">
        <f>IFERROR(INDEX($AA$3:$AA$10000,MATCH(ROWS($AC$3:AC9524),$AC$3:$AC$10000,0)),"")</f>
        <v/>
      </c>
    </row>
    <row r="9525" spans="27:30">
      <c r="AA9525" s="117">
        <f>+'Ingredient List - Mother Tinctu'!D9526</f>
        <v>0</v>
      </c>
      <c r="AB9525" s="117">
        <f t="shared" si="151"/>
        <v>0</v>
      </c>
      <c r="AC9525" s="117" t="str">
        <f>IF(AB9525=1,COUNTIF($AB$3:AB9525,1),"")</f>
        <v/>
      </c>
      <c r="AD9525" s="117" t="str">
        <f>IFERROR(INDEX($AA$3:$AA$10000,MATCH(ROWS($AC$3:AC9525),$AC$3:$AC$10000,0)),"")</f>
        <v/>
      </c>
    </row>
    <row r="9526" spans="27:30">
      <c r="AA9526" s="117">
        <f>+'Ingredient List - Mother Tinctu'!D9527</f>
        <v>0</v>
      </c>
      <c r="AB9526" s="117">
        <f t="shared" si="151"/>
        <v>0</v>
      </c>
      <c r="AC9526" s="117" t="str">
        <f>IF(AB9526=1,COUNTIF($AB$3:AB9526,1),"")</f>
        <v/>
      </c>
      <c r="AD9526" s="117" t="str">
        <f>IFERROR(INDEX($AA$3:$AA$10000,MATCH(ROWS($AC$3:AC9526),$AC$3:$AC$10000,0)),"")</f>
        <v/>
      </c>
    </row>
    <row r="9527" spans="27:30">
      <c r="AA9527" s="117">
        <f>+'Ingredient List - Mother Tinctu'!D9528</f>
        <v>0</v>
      </c>
      <c r="AB9527" s="117">
        <f t="shared" si="151"/>
        <v>0</v>
      </c>
      <c r="AC9527" s="117" t="str">
        <f>IF(AB9527=1,COUNTIF($AB$3:AB9527,1),"")</f>
        <v/>
      </c>
      <c r="AD9527" s="117" t="str">
        <f>IFERROR(INDEX($AA$3:$AA$10000,MATCH(ROWS($AC$3:AC9527),$AC$3:$AC$10000,0)),"")</f>
        <v/>
      </c>
    </row>
    <row r="9528" spans="27:30">
      <c r="AA9528" s="117">
        <f>+'Ingredient List - Mother Tinctu'!D9529</f>
        <v>0</v>
      </c>
      <c r="AB9528" s="117">
        <f t="shared" si="151"/>
        <v>0</v>
      </c>
      <c r="AC9528" s="117" t="str">
        <f>IF(AB9528=1,COUNTIF($AB$3:AB9528,1),"")</f>
        <v/>
      </c>
      <c r="AD9528" s="117" t="str">
        <f>IFERROR(INDEX($AA$3:$AA$10000,MATCH(ROWS($AC$3:AC9528),$AC$3:$AC$10000,0)),"")</f>
        <v/>
      </c>
    </row>
    <row r="9529" spans="27:30">
      <c r="AA9529" s="117">
        <f>+'Ingredient List - Mother Tinctu'!D9530</f>
        <v>0</v>
      </c>
      <c r="AB9529" s="117">
        <f t="shared" si="151"/>
        <v>0</v>
      </c>
      <c r="AC9529" s="117" t="str">
        <f>IF(AB9529=1,COUNTIF($AB$3:AB9529,1),"")</f>
        <v/>
      </c>
      <c r="AD9529" s="117" t="str">
        <f>IFERROR(INDEX($AA$3:$AA$10000,MATCH(ROWS($AC$3:AC9529),$AC$3:$AC$10000,0)),"")</f>
        <v/>
      </c>
    </row>
    <row r="9530" spans="27:30">
      <c r="AA9530" s="117">
        <f>+'Ingredient List - Mother Tinctu'!D9531</f>
        <v>0</v>
      </c>
      <c r="AB9530" s="117">
        <f t="shared" si="151"/>
        <v>0</v>
      </c>
      <c r="AC9530" s="117" t="str">
        <f>IF(AB9530=1,COUNTIF($AB$3:AB9530,1),"")</f>
        <v/>
      </c>
      <c r="AD9530" s="117" t="str">
        <f>IFERROR(INDEX($AA$3:$AA$10000,MATCH(ROWS($AC$3:AC9530),$AC$3:$AC$10000,0)),"")</f>
        <v/>
      </c>
    </row>
    <row r="9531" spans="27:30">
      <c r="AA9531" s="117">
        <f>+'Ingredient List - Mother Tinctu'!D9532</f>
        <v>0</v>
      </c>
      <c r="AB9531" s="117">
        <f t="shared" si="151"/>
        <v>0</v>
      </c>
      <c r="AC9531" s="117" t="str">
        <f>IF(AB9531=1,COUNTIF($AB$3:AB9531,1),"")</f>
        <v/>
      </c>
      <c r="AD9531" s="117" t="str">
        <f>IFERROR(INDEX($AA$3:$AA$10000,MATCH(ROWS($AC$3:AC9531),$AC$3:$AC$10000,0)),"")</f>
        <v/>
      </c>
    </row>
    <row r="9532" spans="27:30">
      <c r="AA9532" s="117">
        <f>+'Ingredient List - Mother Tinctu'!D9533</f>
        <v>0</v>
      </c>
      <c r="AB9532" s="117">
        <f t="shared" si="151"/>
        <v>0</v>
      </c>
      <c r="AC9532" s="117" t="str">
        <f>IF(AB9532=1,COUNTIF($AB$3:AB9532,1),"")</f>
        <v/>
      </c>
      <c r="AD9532" s="117" t="str">
        <f>IFERROR(INDEX($AA$3:$AA$10000,MATCH(ROWS($AC$3:AC9532),$AC$3:$AC$10000,0)),"")</f>
        <v/>
      </c>
    </row>
    <row r="9533" spans="27:30">
      <c r="AA9533" s="117">
        <f>+'Ingredient List - Mother Tinctu'!D9534</f>
        <v>0</v>
      </c>
      <c r="AB9533" s="117">
        <f t="shared" si="151"/>
        <v>0</v>
      </c>
      <c r="AC9533" s="117" t="str">
        <f>IF(AB9533=1,COUNTIF($AB$3:AB9533,1),"")</f>
        <v/>
      </c>
      <c r="AD9533" s="117" t="str">
        <f>IFERROR(INDEX($AA$3:$AA$10000,MATCH(ROWS($AC$3:AC9533),$AC$3:$AC$10000,0)),"")</f>
        <v/>
      </c>
    </row>
    <row r="9534" spans="27:30">
      <c r="AA9534" s="117">
        <f>+'Ingredient List - Mother Tinctu'!D9535</f>
        <v>0</v>
      </c>
      <c r="AB9534" s="117">
        <f t="shared" si="151"/>
        <v>0</v>
      </c>
      <c r="AC9534" s="117" t="str">
        <f>IF(AB9534=1,COUNTIF($AB$3:AB9534,1),"")</f>
        <v/>
      </c>
      <c r="AD9534" s="117" t="str">
        <f>IFERROR(INDEX($AA$3:$AA$10000,MATCH(ROWS($AC$3:AC9534),$AC$3:$AC$10000,0)),"")</f>
        <v/>
      </c>
    </row>
    <row r="9535" spans="27:30">
      <c r="AA9535" s="117">
        <f>+'Ingredient List - Mother Tinctu'!D9536</f>
        <v>0</v>
      </c>
      <c r="AB9535" s="117">
        <f t="shared" si="151"/>
        <v>0</v>
      </c>
      <c r="AC9535" s="117" t="str">
        <f>IF(AB9535=1,COUNTIF($AB$3:AB9535,1),"")</f>
        <v/>
      </c>
      <c r="AD9535" s="117" t="str">
        <f>IFERROR(INDEX($AA$3:$AA$10000,MATCH(ROWS($AC$3:AC9535),$AC$3:$AC$10000,0)),"")</f>
        <v/>
      </c>
    </row>
    <row r="9536" spans="27:30">
      <c r="AA9536" s="117">
        <f>+'Ingredient List - Mother Tinctu'!D9537</f>
        <v>0</v>
      </c>
      <c r="AB9536" s="117">
        <f t="shared" si="151"/>
        <v>0</v>
      </c>
      <c r="AC9536" s="117" t="str">
        <f>IF(AB9536=1,COUNTIF($AB$3:AB9536,1),"")</f>
        <v/>
      </c>
      <c r="AD9536" s="117" t="str">
        <f>IFERROR(INDEX($AA$3:$AA$10000,MATCH(ROWS($AC$3:AC9536),$AC$3:$AC$10000,0)),"")</f>
        <v/>
      </c>
    </row>
    <row r="9537" spans="27:30">
      <c r="AA9537" s="117">
        <f>+'Ingredient List - Mother Tinctu'!D9538</f>
        <v>0</v>
      </c>
      <c r="AB9537" s="117">
        <f t="shared" si="151"/>
        <v>0</v>
      </c>
      <c r="AC9537" s="117" t="str">
        <f>IF(AB9537=1,COUNTIF($AB$3:AB9537,1),"")</f>
        <v/>
      </c>
      <c r="AD9537" s="117" t="str">
        <f>IFERROR(INDEX($AA$3:$AA$10000,MATCH(ROWS($AC$3:AC9537),$AC$3:$AC$10000,0)),"")</f>
        <v/>
      </c>
    </row>
    <row r="9538" spans="27:30">
      <c r="AA9538" s="117">
        <f>+'Ingredient List - Mother Tinctu'!D9539</f>
        <v>0</v>
      </c>
      <c r="AB9538" s="117">
        <f t="shared" si="151"/>
        <v>0</v>
      </c>
      <c r="AC9538" s="117" t="str">
        <f>IF(AB9538=1,COUNTIF($AB$3:AB9538,1),"")</f>
        <v/>
      </c>
      <c r="AD9538" s="117" t="str">
        <f>IFERROR(INDEX($AA$3:$AA$10000,MATCH(ROWS($AC$3:AC9538),$AC$3:$AC$10000,0)),"")</f>
        <v/>
      </c>
    </row>
    <row r="9539" spans="27:30">
      <c r="AA9539" s="117">
        <f>+'Ingredient List - Mother Tinctu'!D9540</f>
        <v>0</v>
      </c>
      <c r="AB9539" s="117">
        <f t="shared" si="151"/>
        <v>0</v>
      </c>
      <c r="AC9539" s="117" t="str">
        <f>IF(AB9539=1,COUNTIF($AB$3:AB9539,1),"")</f>
        <v/>
      </c>
      <c r="AD9539" s="117" t="str">
        <f>IFERROR(INDEX($AA$3:$AA$10000,MATCH(ROWS($AC$3:AC9539),$AC$3:$AC$10000,0)),"")</f>
        <v/>
      </c>
    </row>
    <row r="9540" spans="27:30">
      <c r="AA9540" s="117">
        <f>+'Ingredient List - Mother Tinctu'!D9541</f>
        <v>0</v>
      </c>
      <c r="AB9540" s="117">
        <f t="shared" ref="AB9540:AB9603" si="152">--ISNUMBER(IFERROR(SEARCH($D$3,AA9540,1),""))</f>
        <v>0</v>
      </c>
      <c r="AC9540" s="117" t="str">
        <f>IF(AB9540=1,COUNTIF($AB$3:AB9540,1),"")</f>
        <v/>
      </c>
      <c r="AD9540" s="117" t="str">
        <f>IFERROR(INDEX($AA$3:$AA$10000,MATCH(ROWS($AC$3:AC9540),$AC$3:$AC$10000,0)),"")</f>
        <v/>
      </c>
    </row>
    <row r="9541" spans="27:30">
      <c r="AA9541" s="117">
        <f>+'Ingredient List - Mother Tinctu'!D9542</f>
        <v>0</v>
      </c>
      <c r="AB9541" s="117">
        <f t="shared" si="152"/>
        <v>0</v>
      </c>
      <c r="AC9541" s="117" t="str">
        <f>IF(AB9541=1,COUNTIF($AB$3:AB9541,1),"")</f>
        <v/>
      </c>
      <c r="AD9541" s="117" t="str">
        <f>IFERROR(INDEX($AA$3:$AA$10000,MATCH(ROWS($AC$3:AC9541),$AC$3:$AC$10000,0)),"")</f>
        <v/>
      </c>
    </row>
    <row r="9542" spans="27:30">
      <c r="AA9542" s="117">
        <f>+'Ingredient List - Mother Tinctu'!D9543</f>
        <v>0</v>
      </c>
      <c r="AB9542" s="117">
        <f t="shared" si="152"/>
        <v>0</v>
      </c>
      <c r="AC9542" s="117" t="str">
        <f>IF(AB9542=1,COUNTIF($AB$3:AB9542,1),"")</f>
        <v/>
      </c>
      <c r="AD9542" s="117" t="str">
        <f>IFERROR(INDEX($AA$3:$AA$10000,MATCH(ROWS($AC$3:AC9542),$AC$3:$AC$10000,0)),"")</f>
        <v/>
      </c>
    </row>
    <row r="9543" spans="27:30">
      <c r="AA9543" s="117">
        <f>+'Ingredient List - Mother Tinctu'!D9544</f>
        <v>0</v>
      </c>
      <c r="AB9543" s="117">
        <f t="shared" si="152"/>
        <v>0</v>
      </c>
      <c r="AC9543" s="117" t="str">
        <f>IF(AB9543=1,COUNTIF($AB$3:AB9543,1),"")</f>
        <v/>
      </c>
      <c r="AD9543" s="117" t="str">
        <f>IFERROR(INDEX($AA$3:$AA$10000,MATCH(ROWS($AC$3:AC9543),$AC$3:$AC$10000,0)),"")</f>
        <v/>
      </c>
    </row>
    <row r="9544" spans="27:30">
      <c r="AA9544" s="117">
        <f>+'Ingredient List - Mother Tinctu'!D9545</f>
        <v>0</v>
      </c>
      <c r="AB9544" s="117">
        <f t="shared" si="152"/>
        <v>0</v>
      </c>
      <c r="AC9544" s="117" t="str">
        <f>IF(AB9544=1,COUNTIF($AB$3:AB9544,1),"")</f>
        <v/>
      </c>
      <c r="AD9544" s="117" t="str">
        <f>IFERROR(INDEX($AA$3:$AA$10000,MATCH(ROWS($AC$3:AC9544),$AC$3:$AC$10000,0)),"")</f>
        <v/>
      </c>
    </row>
    <row r="9545" spans="27:30">
      <c r="AA9545" s="117">
        <f>+'Ingredient List - Mother Tinctu'!D9546</f>
        <v>0</v>
      </c>
      <c r="AB9545" s="117">
        <f t="shared" si="152"/>
        <v>0</v>
      </c>
      <c r="AC9545" s="117" t="str">
        <f>IF(AB9545=1,COUNTIF($AB$3:AB9545,1),"")</f>
        <v/>
      </c>
      <c r="AD9545" s="117" t="str">
        <f>IFERROR(INDEX($AA$3:$AA$10000,MATCH(ROWS($AC$3:AC9545),$AC$3:$AC$10000,0)),"")</f>
        <v/>
      </c>
    </row>
    <row r="9546" spans="27:30">
      <c r="AA9546" s="117">
        <f>+'Ingredient List - Mother Tinctu'!D9547</f>
        <v>0</v>
      </c>
      <c r="AB9546" s="117">
        <f t="shared" si="152"/>
        <v>0</v>
      </c>
      <c r="AC9546" s="117" t="str">
        <f>IF(AB9546=1,COUNTIF($AB$3:AB9546,1),"")</f>
        <v/>
      </c>
      <c r="AD9546" s="117" t="str">
        <f>IFERROR(INDEX($AA$3:$AA$10000,MATCH(ROWS($AC$3:AC9546),$AC$3:$AC$10000,0)),"")</f>
        <v/>
      </c>
    </row>
    <row r="9547" spans="27:30">
      <c r="AA9547" s="117">
        <f>+'Ingredient List - Mother Tinctu'!D9548</f>
        <v>0</v>
      </c>
      <c r="AB9547" s="117">
        <f t="shared" si="152"/>
        <v>0</v>
      </c>
      <c r="AC9547" s="117" t="str">
        <f>IF(AB9547=1,COUNTIF($AB$3:AB9547,1),"")</f>
        <v/>
      </c>
      <c r="AD9547" s="117" t="str">
        <f>IFERROR(INDEX($AA$3:$AA$10000,MATCH(ROWS($AC$3:AC9547),$AC$3:$AC$10000,0)),"")</f>
        <v/>
      </c>
    </row>
    <row r="9548" spans="27:30">
      <c r="AA9548" s="117">
        <f>+'Ingredient List - Mother Tinctu'!D9549</f>
        <v>0</v>
      </c>
      <c r="AB9548" s="117">
        <f t="shared" si="152"/>
        <v>0</v>
      </c>
      <c r="AC9548" s="117" t="str">
        <f>IF(AB9548=1,COUNTIF($AB$3:AB9548,1),"")</f>
        <v/>
      </c>
      <c r="AD9548" s="117" t="str">
        <f>IFERROR(INDEX($AA$3:$AA$10000,MATCH(ROWS($AC$3:AC9548),$AC$3:$AC$10000,0)),"")</f>
        <v/>
      </c>
    </row>
    <row r="9549" spans="27:30">
      <c r="AA9549" s="117">
        <f>+'Ingredient List - Mother Tinctu'!D9550</f>
        <v>0</v>
      </c>
      <c r="AB9549" s="117">
        <f t="shared" si="152"/>
        <v>0</v>
      </c>
      <c r="AC9549" s="117" t="str">
        <f>IF(AB9549=1,COUNTIF($AB$3:AB9549,1),"")</f>
        <v/>
      </c>
      <c r="AD9549" s="117" t="str">
        <f>IFERROR(INDEX($AA$3:$AA$10000,MATCH(ROWS($AC$3:AC9549),$AC$3:$AC$10000,0)),"")</f>
        <v/>
      </c>
    </row>
    <row r="9550" spans="27:30">
      <c r="AA9550" s="117">
        <f>+'Ingredient List - Mother Tinctu'!D9551</f>
        <v>0</v>
      </c>
      <c r="AB9550" s="117">
        <f t="shared" si="152"/>
        <v>0</v>
      </c>
      <c r="AC9550" s="117" t="str">
        <f>IF(AB9550=1,COUNTIF($AB$3:AB9550,1),"")</f>
        <v/>
      </c>
      <c r="AD9550" s="117" t="str">
        <f>IFERROR(INDEX($AA$3:$AA$10000,MATCH(ROWS($AC$3:AC9550),$AC$3:$AC$10000,0)),"")</f>
        <v/>
      </c>
    </row>
    <row r="9551" spans="27:30">
      <c r="AA9551" s="117">
        <f>+'Ingredient List - Mother Tinctu'!D9552</f>
        <v>0</v>
      </c>
      <c r="AB9551" s="117">
        <f t="shared" si="152"/>
        <v>0</v>
      </c>
      <c r="AC9551" s="117" t="str">
        <f>IF(AB9551=1,COUNTIF($AB$3:AB9551,1),"")</f>
        <v/>
      </c>
      <c r="AD9551" s="117" t="str">
        <f>IFERROR(INDEX($AA$3:$AA$10000,MATCH(ROWS($AC$3:AC9551),$AC$3:$AC$10000,0)),"")</f>
        <v/>
      </c>
    </row>
    <row r="9552" spans="27:30">
      <c r="AA9552" s="117">
        <f>+'Ingredient List - Mother Tinctu'!D9553</f>
        <v>0</v>
      </c>
      <c r="AB9552" s="117">
        <f t="shared" si="152"/>
        <v>0</v>
      </c>
      <c r="AC9552" s="117" t="str">
        <f>IF(AB9552=1,COUNTIF($AB$3:AB9552,1),"")</f>
        <v/>
      </c>
      <c r="AD9552" s="117" t="str">
        <f>IFERROR(INDEX($AA$3:$AA$10000,MATCH(ROWS($AC$3:AC9552),$AC$3:$AC$10000,0)),"")</f>
        <v/>
      </c>
    </row>
    <row r="9553" spans="27:30">
      <c r="AA9553" s="117">
        <f>+'Ingredient List - Mother Tinctu'!D9554</f>
        <v>0</v>
      </c>
      <c r="AB9553" s="117">
        <f t="shared" si="152"/>
        <v>0</v>
      </c>
      <c r="AC9553" s="117" t="str">
        <f>IF(AB9553=1,COUNTIF($AB$3:AB9553,1),"")</f>
        <v/>
      </c>
      <c r="AD9553" s="117" t="str">
        <f>IFERROR(INDEX($AA$3:$AA$10000,MATCH(ROWS($AC$3:AC9553),$AC$3:$AC$10000,0)),"")</f>
        <v/>
      </c>
    </row>
    <row r="9554" spans="27:30">
      <c r="AA9554" s="117">
        <f>+'Ingredient List - Mother Tinctu'!D9555</f>
        <v>0</v>
      </c>
      <c r="AB9554" s="117">
        <f t="shared" si="152"/>
        <v>0</v>
      </c>
      <c r="AC9554" s="117" t="str">
        <f>IF(AB9554=1,COUNTIF($AB$3:AB9554,1),"")</f>
        <v/>
      </c>
      <c r="AD9554" s="117" t="str">
        <f>IFERROR(INDEX($AA$3:$AA$10000,MATCH(ROWS($AC$3:AC9554),$AC$3:$AC$10000,0)),"")</f>
        <v/>
      </c>
    </row>
    <row r="9555" spans="27:30">
      <c r="AA9555" s="117">
        <f>+'Ingredient List - Mother Tinctu'!D9556</f>
        <v>0</v>
      </c>
      <c r="AB9555" s="117">
        <f t="shared" si="152"/>
        <v>0</v>
      </c>
      <c r="AC9555" s="117" t="str">
        <f>IF(AB9555=1,COUNTIF($AB$3:AB9555,1),"")</f>
        <v/>
      </c>
      <c r="AD9555" s="117" t="str">
        <f>IFERROR(INDEX($AA$3:$AA$10000,MATCH(ROWS($AC$3:AC9555),$AC$3:$AC$10000,0)),"")</f>
        <v/>
      </c>
    </row>
    <row r="9556" spans="27:30">
      <c r="AA9556" s="117">
        <f>+'Ingredient List - Mother Tinctu'!D9557</f>
        <v>0</v>
      </c>
      <c r="AB9556" s="117">
        <f t="shared" si="152"/>
        <v>0</v>
      </c>
      <c r="AC9556" s="117" t="str">
        <f>IF(AB9556=1,COUNTIF($AB$3:AB9556,1),"")</f>
        <v/>
      </c>
      <c r="AD9556" s="117" t="str">
        <f>IFERROR(INDEX($AA$3:$AA$10000,MATCH(ROWS($AC$3:AC9556),$AC$3:$AC$10000,0)),"")</f>
        <v/>
      </c>
    </row>
    <row r="9557" spans="27:30">
      <c r="AA9557" s="117">
        <f>+'Ingredient List - Mother Tinctu'!D9558</f>
        <v>0</v>
      </c>
      <c r="AB9557" s="117">
        <f t="shared" si="152"/>
        <v>0</v>
      </c>
      <c r="AC9557" s="117" t="str">
        <f>IF(AB9557=1,COUNTIF($AB$3:AB9557,1),"")</f>
        <v/>
      </c>
      <c r="AD9557" s="117" t="str">
        <f>IFERROR(INDEX($AA$3:$AA$10000,MATCH(ROWS($AC$3:AC9557),$AC$3:$AC$10000,0)),"")</f>
        <v/>
      </c>
    </row>
    <row r="9558" spans="27:30">
      <c r="AA9558" s="117">
        <f>+'Ingredient List - Mother Tinctu'!D9559</f>
        <v>0</v>
      </c>
      <c r="AB9558" s="117">
        <f t="shared" si="152"/>
        <v>0</v>
      </c>
      <c r="AC9558" s="117" t="str">
        <f>IF(AB9558=1,COUNTIF($AB$3:AB9558,1),"")</f>
        <v/>
      </c>
      <c r="AD9558" s="117" t="str">
        <f>IFERROR(INDEX($AA$3:$AA$10000,MATCH(ROWS($AC$3:AC9558),$AC$3:$AC$10000,0)),"")</f>
        <v/>
      </c>
    </row>
    <row r="9559" spans="27:30">
      <c r="AA9559" s="117">
        <f>+'Ingredient List - Mother Tinctu'!D9560</f>
        <v>0</v>
      </c>
      <c r="AB9559" s="117">
        <f t="shared" si="152"/>
        <v>0</v>
      </c>
      <c r="AC9559" s="117" t="str">
        <f>IF(AB9559=1,COUNTIF($AB$3:AB9559,1),"")</f>
        <v/>
      </c>
      <c r="AD9559" s="117" t="str">
        <f>IFERROR(INDEX($AA$3:$AA$10000,MATCH(ROWS($AC$3:AC9559),$AC$3:$AC$10000,0)),"")</f>
        <v/>
      </c>
    </row>
    <row r="9560" spans="27:30">
      <c r="AA9560" s="117">
        <f>+'Ingredient List - Mother Tinctu'!D9561</f>
        <v>0</v>
      </c>
      <c r="AB9560" s="117">
        <f t="shared" si="152"/>
        <v>0</v>
      </c>
      <c r="AC9560" s="117" t="str">
        <f>IF(AB9560=1,COUNTIF($AB$3:AB9560,1),"")</f>
        <v/>
      </c>
      <c r="AD9560" s="117" t="str">
        <f>IFERROR(INDEX($AA$3:$AA$10000,MATCH(ROWS($AC$3:AC9560),$AC$3:$AC$10000,0)),"")</f>
        <v/>
      </c>
    </row>
    <row r="9561" spans="27:30">
      <c r="AA9561" s="117">
        <f>+'Ingredient List - Mother Tinctu'!D9562</f>
        <v>0</v>
      </c>
      <c r="AB9561" s="117">
        <f t="shared" si="152"/>
        <v>0</v>
      </c>
      <c r="AC9561" s="117" t="str">
        <f>IF(AB9561=1,COUNTIF($AB$3:AB9561,1),"")</f>
        <v/>
      </c>
      <c r="AD9561" s="117" t="str">
        <f>IFERROR(INDEX($AA$3:$AA$10000,MATCH(ROWS($AC$3:AC9561),$AC$3:$AC$10000,0)),"")</f>
        <v/>
      </c>
    </row>
    <row r="9562" spans="27:30">
      <c r="AA9562" s="117">
        <f>+'Ingredient List - Mother Tinctu'!D9563</f>
        <v>0</v>
      </c>
      <c r="AB9562" s="117">
        <f t="shared" si="152"/>
        <v>0</v>
      </c>
      <c r="AC9562" s="117" t="str">
        <f>IF(AB9562=1,COUNTIF($AB$3:AB9562,1),"")</f>
        <v/>
      </c>
      <c r="AD9562" s="117" t="str">
        <f>IFERROR(INDEX($AA$3:$AA$10000,MATCH(ROWS($AC$3:AC9562),$AC$3:$AC$10000,0)),"")</f>
        <v/>
      </c>
    </row>
    <row r="9563" spans="27:30">
      <c r="AA9563" s="117">
        <f>+'Ingredient List - Mother Tinctu'!D9564</f>
        <v>0</v>
      </c>
      <c r="AB9563" s="117">
        <f t="shared" si="152"/>
        <v>0</v>
      </c>
      <c r="AC9563" s="117" t="str">
        <f>IF(AB9563=1,COUNTIF($AB$3:AB9563,1),"")</f>
        <v/>
      </c>
      <c r="AD9563" s="117" t="str">
        <f>IFERROR(INDEX($AA$3:$AA$10000,MATCH(ROWS($AC$3:AC9563),$AC$3:$AC$10000,0)),"")</f>
        <v/>
      </c>
    </row>
    <row r="9564" spans="27:30">
      <c r="AA9564" s="117">
        <f>+'Ingredient List - Mother Tinctu'!D9565</f>
        <v>0</v>
      </c>
      <c r="AB9564" s="117">
        <f t="shared" si="152"/>
        <v>0</v>
      </c>
      <c r="AC9564" s="117" t="str">
        <f>IF(AB9564=1,COUNTIF($AB$3:AB9564,1),"")</f>
        <v/>
      </c>
      <c r="AD9564" s="117" t="str">
        <f>IFERROR(INDEX($AA$3:$AA$10000,MATCH(ROWS($AC$3:AC9564),$AC$3:$AC$10000,0)),"")</f>
        <v/>
      </c>
    </row>
    <row r="9565" spans="27:30">
      <c r="AA9565" s="117">
        <f>+'Ingredient List - Mother Tinctu'!D9566</f>
        <v>0</v>
      </c>
      <c r="AB9565" s="117">
        <f t="shared" si="152"/>
        <v>0</v>
      </c>
      <c r="AC9565" s="117" t="str">
        <f>IF(AB9565=1,COUNTIF($AB$3:AB9565,1),"")</f>
        <v/>
      </c>
      <c r="AD9565" s="117" t="str">
        <f>IFERROR(INDEX($AA$3:$AA$10000,MATCH(ROWS($AC$3:AC9565),$AC$3:$AC$10000,0)),"")</f>
        <v/>
      </c>
    </row>
    <row r="9566" spans="27:30">
      <c r="AA9566" s="117">
        <f>+'Ingredient List - Mother Tinctu'!D9567</f>
        <v>0</v>
      </c>
      <c r="AB9566" s="117">
        <f t="shared" si="152"/>
        <v>0</v>
      </c>
      <c r="AC9566" s="117" t="str">
        <f>IF(AB9566=1,COUNTIF($AB$3:AB9566,1),"")</f>
        <v/>
      </c>
      <c r="AD9566" s="117" t="str">
        <f>IFERROR(INDEX($AA$3:$AA$10000,MATCH(ROWS($AC$3:AC9566),$AC$3:$AC$10000,0)),"")</f>
        <v/>
      </c>
    </row>
    <row r="9567" spans="27:30">
      <c r="AA9567" s="117">
        <f>+'Ingredient List - Mother Tinctu'!D9568</f>
        <v>0</v>
      </c>
      <c r="AB9567" s="117">
        <f t="shared" si="152"/>
        <v>0</v>
      </c>
      <c r="AC9567" s="117" t="str">
        <f>IF(AB9567=1,COUNTIF($AB$3:AB9567,1),"")</f>
        <v/>
      </c>
      <c r="AD9567" s="117" t="str">
        <f>IFERROR(INDEX($AA$3:$AA$10000,MATCH(ROWS($AC$3:AC9567),$AC$3:$AC$10000,0)),"")</f>
        <v/>
      </c>
    </row>
    <row r="9568" spans="27:30">
      <c r="AA9568" s="117">
        <f>+'Ingredient List - Mother Tinctu'!D9569</f>
        <v>0</v>
      </c>
      <c r="AB9568" s="117">
        <f t="shared" si="152"/>
        <v>0</v>
      </c>
      <c r="AC9568" s="117" t="str">
        <f>IF(AB9568=1,COUNTIF($AB$3:AB9568,1),"")</f>
        <v/>
      </c>
      <c r="AD9568" s="117" t="str">
        <f>IFERROR(INDEX($AA$3:$AA$10000,MATCH(ROWS($AC$3:AC9568),$AC$3:$AC$10000,0)),"")</f>
        <v/>
      </c>
    </row>
    <row r="9569" spans="27:30">
      <c r="AA9569" s="117">
        <f>+'Ingredient List - Mother Tinctu'!D9570</f>
        <v>0</v>
      </c>
      <c r="AB9569" s="117">
        <f t="shared" si="152"/>
        <v>0</v>
      </c>
      <c r="AC9569" s="117" t="str">
        <f>IF(AB9569=1,COUNTIF($AB$3:AB9569,1),"")</f>
        <v/>
      </c>
      <c r="AD9569" s="117" t="str">
        <f>IFERROR(INDEX($AA$3:$AA$10000,MATCH(ROWS($AC$3:AC9569),$AC$3:$AC$10000,0)),"")</f>
        <v/>
      </c>
    </row>
    <row r="9570" spans="27:30">
      <c r="AA9570" s="117">
        <f>+'Ingredient List - Mother Tinctu'!D9571</f>
        <v>0</v>
      </c>
      <c r="AB9570" s="117">
        <f t="shared" si="152"/>
        <v>0</v>
      </c>
      <c r="AC9570" s="117" t="str">
        <f>IF(AB9570=1,COUNTIF($AB$3:AB9570,1),"")</f>
        <v/>
      </c>
      <c r="AD9570" s="117" t="str">
        <f>IFERROR(INDEX($AA$3:$AA$10000,MATCH(ROWS($AC$3:AC9570),$AC$3:$AC$10000,0)),"")</f>
        <v/>
      </c>
    </row>
    <row r="9571" spans="27:30">
      <c r="AA9571" s="117">
        <f>+'Ingredient List - Mother Tinctu'!D9572</f>
        <v>0</v>
      </c>
      <c r="AB9571" s="117">
        <f t="shared" si="152"/>
        <v>0</v>
      </c>
      <c r="AC9571" s="117" t="str">
        <f>IF(AB9571=1,COUNTIF($AB$3:AB9571,1),"")</f>
        <v/>
      </c>
      <c r="AD9571" s="117" t="str">
        <f>IFERROR(INDEX($AA$3:$AA$10000,MATCH(ROWS($AC$3:AC9571),$AC$3:$AC$10000,0)),"")</f>
        <v/>
      </c>
    </row>
    <row r="9572" spans="27:30">
      <c r="AA9572" s="117">
        <f>+'Ingredient List - Mother Tinctu'!D9573</f>
        <v>0</v>
      </c>
      <c r="AB9572" s="117">
        <f t="shared" si="152"/>
        <v>0</v>
      </c>
      <c r="AC9572" s="117" t="str">
        <f>IF(AB9572=1,COUNTIF($AB$3:AB9572,1),"")</f>
        <v/>
      </c>
      <c r="AD9572" s="117" t="str">
        <f>IFERROR(INDEX($AA$3:$AA$10000,MATCH(ROWS($AC$3:AC9572),$AC$3:$AC$10000,0)),"")</f>
        <v/>
      </c>
    </row>
    <row r="9573" spans="27:30">
      <c r="AA9573" s="117">
        <f>+'Ingredient List - Mother Tinctu'!D9574</f>
        <v>0</v>
      </c>
      <c r="AB9573" s="117">
        <f t="shared" si="152"/>
        <v>0</v>
      </c>
      <c r="AC9573" s="117" t="str">
        <f>IF(AB9573=1,COUNTIF($AB$3:AB9573,1),"")</f>
        <v/>
      </c>
      <c r="AD9573" s="117" t="str">
        <f>IFERROR(INDEX($AA$3:$AA$10000,MATCH(ROWS($AC$3:AC9573),$AC$3:$AC$10000,0)),"")</f>
        <v/>
      </c>
    </row>
    <row r="9574" spans="27:30">
      <c r="AA9574" s="117">
        <f>+'Ingredient List - Mother Tinctu'!D9575</f>
        <v>0</v>
      </c>
      <c r="AB9574" s="117">
        <f t="shared" si="152"/>
        <v>0</v>
      </c>
      <c r="AC9574" s="117" t="str">
        <f>IF(AB9574=1,COUNTIF($AB$3:AB9574,1),"")</f>
        <v/>
      </c>
      <c r="AD9574" s="117" t="str">
        <f>IFERROR(INDEX($AA$3:$AA$10000,MATCH(ROWS($AC$3:AC9574),$AC$3:$AC$10000,0)),"")</f>
        <v/>
      </c>
    </row>
    <row r="9575" spans="27:30">
      <c r="AA9575" s="117">
        <f>+'Ingredient List - Mother Tinctu'!D9576</f>
        <v>0</v>
      </c>
      <c r="AB9575" s="117">
        <f t="shared" si="152"/>
        <v>0</v>
      </c>
      <c r="AC9575" s="117" t="str">
        <f>IF(AB9575=1,COUNTIF($AB$3:AB9575,1),"")</f>
        <v/>
      </c>
      <c r="AD9575" s="117" t="str">
        <f>IFERROR(INDEX($AA$3:$AA$10000,MATCH(ROWS($AC$3:AC9575),$AC$3:$AC$10000,0)),"")</f>
        <v/>
      </c>
    </row>
    <row r="9576" spans="27:30">
      <c r="AA9576" s="117">
        <f>+'Ingredient List - Mother Tinctu'!D9577</f>
        <v>0</v>
      </c>
      <c r="AB9576" s="117">
        <f t="shared" si="152"/>
        <v>0</v>
      </c>
      <c r="AC9576" s="117" t="str">
        <f>IF(AB9576=1,COUNTIF($AB$3:AB9576,1),"")</f>
        <v/>
      </c>
      <c r="AD9576" s="117" t="str">
        <f>IFERROR(INDEX($AA$3:$AA$10000,MATCH(ROWS($AC$3:AC9576),$AC$3:$AC$10000,0)),"")</f>
        <v/>
      </c>
    </row>
    <row r="9577" spans="27:30">
      <c r="AA9577" s="117">
        <f>+'Ingredient List - Mother Tinctu'!D9578</f>
        <v>0</v>
      </c>
      <c r="AB9577" s="117">
        <f t="shared" si="152"/>
        <v>0</v>
      </c>
      <c r="AC9577" s="117" t="str">
        <f>IF(AB9577=1,COUNTIF($AB$3:AB9577,1),"")</f>
        <v/>
      </c>
      <c r="AD9577" s="117" t="str">
        <f>IFERROR(INDEX($AA$3:$AA$10000,MATCH(ROWS($AC$3:AC9577),$AC$3:$AC$10000,0)),"")</f>
        <v/>
      </c>
    </row>
    <row r="9578" spans="27:30">
      <c r="AA9578" s="117">
        <f>+'Ingredient List - Mother Tinctu'!D9579</f>
        <v>0</v>
      </c>
      <c r="AB9578" s="117">
        <f t="shared" si="152"/>
        <v>0</v>
      </c>
      <c r="AC9578" s="117" t="str">
        <f>IF(AB9578=1,COUNTIF($AB$3:AB9578,1),"")</f>
        <v/>
      </c>
      <c r="AD9578" s="117" t="str">
        <f>IFERROR(INDEX($AA$3:$AA$10000,MATCH(ROWS($AC$3:AC9578),$AC$3:$AC$10000,0)),"")</f>
        <v/>
      </c>
    </row>
    <row r="9579" spans="27:30">
      <c r="AA9579" s="117">
        <f>+'Ingredient List - Mother Tinctu'!D9580</f>
        <v>0</v>
      </c>
      <c r="AB9579" s="117">
        <f t="shared" si="152"/>
        <v>0</v>
      </c>
      <c r="AC9579" s="117" t="str">
        <f>IF(AB9579=1,COUNTIF($AB$3:AB9579,1),"")</f>
        <v/>
      </c>
      <c r="AD9579" s="117" t="str">
        <f>IFERROR(INDEX($AA$3:$AA$10000,MATCH(ROWS($AC$3:AC9579),$AC$3:$AC$10000,0)),"")</f>
        <v/>
      </c>
    </row>
    <row r="9580" spans="27:30">
      <c r="AA9580" s="117">
        <f>+'Ingredient List - Mother Tinctu'!D9581</f>
        <v>0</v>
      </c>
      <c r="AB9580" s="117">
        <f t="shared" si="152"/>
        <v>0</v>
      </c>
      <c r="AC9580" s="117" t="str">
        <f>IF(AB9580=1,COUNTIF($AB$3:AB9580,1),"")</f>
        <v/>
      </c>
      <c r="AD9580" s="117" t="str">
        <f>IFERROR(INDEX($AA$3:$AA$10000,MATCH(ROWS($AC$3:AC9580),$AC$3:$AC$10000,0)),"")</f>
        <v/>
      </c>
    </row>
    <row r="9581" spans="27:30">
      <c r="AA9581" s="117">
        <f>+'Ingredient List - Mother Tinctu'!D9582</f>
        <v>0</v>
      </c>
      <c r="AB9581" s="117">
        <f t="shared" si="152"/>
        <v>0</v>
      </c>
      <c r="AC9581" s="117" t="str">
        <f>IF(AB9581=1,COUNTIF($AB$3:AB9581,1),"")</f>
        <v/>
      </c>
      <c r="AD9581" s="117" t="str">
        <f>IFERROR(INDEX($AA$3:$AA$10000,MATCH(ROWS($AC$3:AC9581),$AC$3:$AC$10000,0)),"")</f>
        <v/>
      </c>
    </row>
    <row r="9582" spans="27:30">
      <c r="AA9582" s="117">
        <f>+'Ingredient List - Mother Tinctu'!D9583</f>
        <v>0</v>
      </c>
      <c r="AB9582" s="117">
        <f t="shared" si="152"/>
        <v>0</v>
      </c>
      <c r="AC9582" s="117" t="str">
        <f>IF(AB9582=1,COUNTIF($AB$3:AB9582,1),"")</f>
        <v/>
      </c>
      <c r="AD9582" s="117" t="str">
        <f>IFERROR(INDEX($AA$3:$AA$10000,MATCH(ROWS($AC$3:AC9582),$AC$3:$AC$10000,0)),"")</f>
        <v/>
      </c>
    </row>
    <row r="9583" spans="27:30">
      <c r="AA9583" s="117">
        <f>+'Ingredient List - Mother Tinctu'!D9584</f>
        <v>0</v>
      </c>
      <c r="AB9583" s="117">
        <f t="shared" si="152"/>
        <v>0</v>
      </c>
      <c r="AC9583" s="117" t="str">
        <f>IF(AB9583=1,COUNTIF($AB$3:AB9583,1),"")</f>
        <v/>
      </c>
      <c r="AD9583" s="117" t="str">
        <f>IFERROR(INDEX($AA$3:$AA$10000,MATCH(ROWS($AC$3:AC9583),$AC$3:$AC$10000,0)),"")</f>
        <v/>
      </c>
    </row>
    <row r="9584" spans="27:30">
      <c r="AA9584" s="117">
        <f>+'Ingredient List - Mother Tinctu'!D9585</f>
        <v>0</v>
      </c>
      <c r="AB9584" s="117">
        <f t="shared" si="152"/>
        <v>0</v>
      </c>
      <c r="AC9584" s="117" t="str">
        <f>IF(AB9584=1,COUNTIF($AB$3:AB9584,1),"")</f>
        <v/>
      </c>
      <c r="AD9584" s="117" t="str">
        <f>IFERROR(INDEX($AA$3:$AA$10000,MATCH(ROWS($AC$3:AC9584),$AC$3:$AC$10000,0)),"")</f>
        <v/>
      </c>
    </row>
    <row r="9585" spans="27:30">
      <c r="AA9585" s="117">
        <f>+'Ingredient List - Mother Tinctu'!D9586</f>
        <v>0</v>
      </c>
      <c r="AB9585" s="117">
        <f t="shared" si="152"/>
        <v>0</v>
      </c>
      <c r="AC9585" s="117" t="str">
        <f>IF(AB9585=1,COUNTIF($AB$3:AB9585,1),"")</f>
        <v/>
      </c>
      <c r="AD9585" s="117" t="str">
        <f>IFERROR(INDEX($AA$3:$AA$10000,MATCH(ROWS($AC$3:AC9585),$AC$3:$AC$10000,0)),"")</f>
        <v/>
      </c>
    </row>
    <row r="9586" spans="27:30">
      <c r="AA9586" s="117">
        <f>+'Ingredient List - Mother Tinctu'!D9587</f>
        <v>0</v>
      </c>
      <c r="AB9586" s="117">
        <f t="shared" si="152"/>
        <v>0</v>
      </c>
      <c r="AC9586" s="117" t="str">
        <f>IF(AB9586=1,COUNTIF($AB$3:AB9586,1),"")</f>
        <v/>
      </c>
      <c r="AD9586" s="117" t="str">
        <f>IFERROR(INDEX($AA$3:$AA$10000,MATCH(ROWS($AC$3:AC9586),$AC$3:$AC$10000,0)),"")</f>
        <v/>
      </c>
    </row>
    <row r="9587" spans="27:30">
      <c r="AA9587" s="117">
        <f>+'Ingredient List - Mother Tinctu'!D9588</f>
        <v>0</v>
      </c>
      <c r="AB9587" s="117">
        <f t="shared" si="152"/>
        <v>0</v>
      </c>
      <c r="AC9587" s="117" t="str">
        <f>IF(AB9587=1,COUNTIF($AB$3:AB9587,1),"")</f>
        <v/>
      </c>
      <c r="AD9587" s="117" t="str">
        <f>IFERROR(INDEX($AA$3:$AA$10000,MATCH(ROWS($AC$3:AC9587),$AC$3:$AC$10000,0)),"")</f>
        <v/>
      </c>
    </row>
    <row r="9588" spans="27:30">
      <c r="AA9588" s="117">
        <f>+'Ingredient List - Mother Tinctu'!D9589</f>
        <v>0</v>
      </c>
      <c r="AB9588" s="117">
        <f t="shared" si="152"/>
        <v>0</v>
      </c>
      <c r="AC9588" s="117" t="str">
        <f>IF(AB9588=1,COUNTIF($AB$3:AB9588,1),"")</f>
        <v/>
      </c>
      <c r="AD9588" s="117" t="str">
        <f>IFERROR(INDEX($AA$3:$AA$10000,MATCH(ROWS($AC$3:AC9588),$AC$3:$AC$10000,0)),"")</f>
        <v/>
      </c>
    </row>
    <row r="9589" spans="27:30">
      <c r="AA9589" s="117">
        <f>+'Ingredient List - Mother Tinctu'!D9590</f>
        <v>0</v>
      </c>
      <c r="AB9589" s="117">
        <f t="shared" si="152"/>
        <v>0</v>
      </c>
      <c r="AC9589" s="117" t="str">
        <f>IF(AB9589=1,COUNTIF($AB$3:AB9589,1),"")</f>
        <v/>
      </c>
      <c r="AD9589" s="117" t="str">
        <f>IFERROR(INDEX($AA$3:$AA$10000,MATCH(ROWS($AC$3:AC9589),$AC$3:$AC$10000,0)),"")</f>
        <v/>
      </c>
    </row>
    <row r="9590" spans="27:30">
      <c r="AA9590" s="117">
        <f>+'Ingredient List - Mother Tinctu'!D9591</f>
        <v>0</v>
      </c>
      <c r="AB9590" s="117">
        <f t="shared" si="152"/>
        <v>0</v>
      </c>
      <c r="AC9590" s="117" t="str">
        <f>IF(AB9590=1,COUNTIF($AB$3:AB9590,1),"")</f>
        <v/>
      </c>
      <c r="AD9590" s="117" t="str">
        <f>IFERROR(INDEX($AA$3:$AA$10000,MATCH(ROWS($AC$3:AC9590),$AC$3:$AC$10000,0)),"")</f>
        <v/>
      </c>
    </row>
    <row r="9591" spans="27:30">
      <c r="AA9591" s="117">
        <f>+'Ingredient List - Mother Tinctu'!D9592</f>
        <v>0</v>
      </c>
      <c r="AB9591" s="117">
        <f t="shared" si="152"/>
        <v>0</v>
      </c>
      <c r="AC9591" s="117" t="str">
        <f>IF(AB9591=1,COUNTIF($AB$3:AB9591,1),"")</f>
        <v/>
      </c>
      <c r="AD9591" s="117" t="str">
        <f>IFERROR(INDEX($AA$3:$AA$10000,MATCH(ROWS($AC$3:AC9591),$AC$3:$AC$10000,0)),"")</f>
        <v/>
      </c>
    </row>
    <row r="9592" spans="27:30">
      <c r="AA9592" s="117">
        <f>+'Ingredient List - Mother Tinctu'!D9593</f>
        <v>0</v>
      </c>
      <c r="AB9592" s="117">
        <f t="shared" si="152"/>
        <v>0</v>
      </c>
      <c r="AC9592" s="117" t="str">
        <f>IF(AB9592=1,COUNTIF($AB$3:AB9592,1),"")</f>
        <v/>
      </c>
      <c r="AD9592" s="117" t="str">
        <f>IFERROR(INDEX($AA$3:$AA$10000,MATCH(ROWS($AC$3:AC9592),$AC$3:$AC$10000,0)),"")</f>
        <v/>
      </c>
    </row>
    <row r="9593" spans="27:30">
      <c r="AA9593" s="117">
        <f>+'Ingredient List - Mother Tinctu'!D9594</f>
        <v>0</v>
      </c>
      <c r="AB9593" s="117">
        <f t="shared" si="152"/>
        <v>0</v>
      </c>
      <c r="AC9593" s="117" t="str">
        <f>IF(AB9593=1,COUNTIF($AB$3:AB9593,1),"")</f>
        <v/>
      </c>
      <c r="AD9593" s="117" t="str">
        <f>IFERROR(INDEX($AA$3:$AA$10000,MATCH(ROWS($AC$3:AC9593),$AC$3:$AC$10000,0)),"")</f>
        <v/>
      </c>
    </row>
    <row r="9594" spans="27:30">
      <c r="AA9594" s="117">
        <f>+'Ingredient List - Mother Tinctu'!D9595</f>
        <v>0</v>
      </c>
      <c r="AB9594" s="117">
        <f t="shared" si="152"/>
        <v>0</v>
      </c>
      <c r="AC9594" s="117" t="str">
        <f>IF(AB9594=1,COUNTIF($AB$3:AB9594,1),"")</f>
        <v/>
      </c>
      <c r="AD9594" s="117" t="str">
        <f>IFERROR(INDEX($AA$3:$AA$10000,MATCH(ROWS($AC$3:AC9594),$AC$3:$AC$10000,0)),"")</f>
        <v/>
      </c>
    </row>
    <row r="9595" spans="27:30">
      <c r="AA9595" s="117">
        <f>+'Ingredient List - Mother Tinctu'!D9596</f>
        <v>0</v>
      </c>
      <c r="AB9595" s="117">
        <f t="shared" si="152"/>
        <v>0</v>
      </c>
      <c r="AC9595" s="117" t="str">
        <f>IF(AB9595=1,COUNTIF($AB$3:AB9595,1),"")</f>
        <v/>
      </c>
      <c r="AD9595" s="117" t="str">
        <f>IFERROR(INDEX($AA$3:$AA$10000,MATCH(ROWS($AC$3:AC9595),$AC$3:$AC$10000,0)),"")</f>
        <v/>
      </c>
    </row>
    <row r="9596" spans="27:30">
      <c r="AA9596" s="117">
        <f>+'Ingredient List - Mother Tinctu'!D9597</f>
        <v>0</v>
      </c>
      <c r="AB9596" s="117">
        <f t="shared" si="152"/>
        <v>0</v>
      </c>
      <c r="AC9596" s="117" t="str">
        <f>IF(AB9596=1,COUNTIF($AB$3:AB9596,1),"")</f>
        <v/>
      </c>
      <c r="AD9596" s="117" t="str">
        <f>IFERROR(INDEX($AA$3:$AA$10000,MATCH(ROWS($AC$3:AC9596),$AC$3:$AC$10000,0)),"")</f>
        <v/>
      </c>
    </row>
    <row r="9597" spans="27:30">
      <c r="AA9597" s="117">
        <f>+'Ingredient List - Mother Tinctu'!D9598</f>
        <v>0</v>
      </c>
      <c r="AB9597" s="117">
        <f t="shared" si="152"/>
        <v>0</v>
      </c>
      <c r="AC9597" s="117" t="str">
        <f>IF(AB9597=1,COUNTIF($AB$3:AB9597,1),"")</f>
        <v/>
      </c>
      <c r="AD9597" s="117" t="str">
        <f>IFERROR(INDEX($AA$3:$AA$10000,MATCH(ROWS($AC$3:AC9597),$AC$3:$AC$10000,0)),"")</f>
        <v/>
      </c>
    </row>
    <row r="9598" spans="27:30">
      <c r="AA9598" s="117">
        <f>+'Ingredient List - Mother Tinctu'!D9599</f>
        <v>0</v>
      </c>
      <c r="AB9598" s="117">
        <f t="shared" si="152"/>
        <v>0</v>
      </c>
      <c r="AC9598" s="117" t="str">
        <f>IF(AB9598=1,COUNTIF($AB$3:AB9598,1),"")</f>
        <v/>
      </c>
      <c r="AD9598" s="117" t="str">
        <f>IFERROR(INDEX($AA$3:$AA$10000,MATCH(ROWS($AC$3:AC9598),$AC$3:$AC$10000,0)),"")</f>
        <v/>
      </c>
    </row>
    <row r="9599" spans="27:30">
      <c r="AA9599" s="117">
        <f>+'Ingredient List - Mother Tinctu'!D9600</f>
        <v>0</v>
      </c>
      <c r="AB9599" s="117">
        <f t="shared" si="152"/>
        <v>0</v>
      </c>
      <c r="AC9599" s="117" t="str">
        <f>IF(AB9599=1,COUNTIF($AB$3:AB9599,1),"")</f>
        <v/>
      </c>
      <c r="AD9599" s="117" t="str">
        <f>IFERROR(INDEX($AA$3:$AA$10000,MATCH(ROWS($AC$3:AC9599),$AC$3:$AC$10000,0)),"")</f>
        <v/>
      </c>
    </row>
    <row r="9600" spans="27:30">
      <c r="AA9600" s="117">
        <f>+'Ingredient List - Mother Tinctu'!D9601</f>
        <v>0</v>
      </c>
      <c r="AB9600" s="117">
        <f t="shared" si="152"/>
        <v>0</v>
      </c>
      <c r="AC9600" s="117" t="str">
        <f>IF(AB9600=1,COUNTIF($AB$3:AB9600,1),"")</f>
        <v/>
      </c>
      <c r="AD9600" s="117" t="str">
        <f>IFERROR(INDEX($AA$3:$AA$10000,MATCH(ROWS($AC$3:AC9600),$AC$3:$AC$10000,0)),"")</f>
        <v/>
      </c>
    </row>
    <row r="9601" spans="27:30">
      <c r="AA9601" s="117">
        <f>+'Ingredient List - Mother Tinctu'!D9602</f>
        <v>0</v>
      </c>
      <c r="AB9601" s="117">
        <f t="shared" si="152"/>
        <v>0</v>
      </c>
      <c r="AC9601" s="117" t="str">
        <f>IF(AB9601=1,COUNTIF($AB$3:AB9601,1),"")</f>
        <v/>
      </c>
      <c r="AD9601" s="117" t="str">
        <f>IFERROR(INDEX($AA$3:$AA$10000,MATCH(ROWS($AC$3:AC9601),$AC$3:$AC$10000,0)),"")</f>
        <v/>
      </c>
    </row>
    <row r="9602" spans="27:30">
      <c r="AA9602" s="117">
        <f>+'Ingredient List - Mother Tinctu'!D9603</f>
        <v>0</v>
      </c>
      <c r="AB9602" s="117">
        <f t="shared" si="152"/>
        <v>0</v>
      </c>
      <c r="AC9602" s="117" t="str">
        <f>IF(AB9602=1,COUNTIF($AB$3:AB9602,1),"")</f>
        <v/>
      </c>
      <c r="AD9602" s="117" t="str">
        <f>IFERROR(INDEX($AA$3:$AA$10000,MATCH(ROWS($AC$3:AC9602),$AC$3:$AC$10000,0)),"")</f>
        <v/>
      </c>
    </row>
    <row r="9603" spans="27:30">
      <c r="AA9603" s="117">
        <f>+'Ingredient List - Mother Tinctu'!D9604</f>
        <v>0</v>
      </c>
      <c r="AB9603" s="117">
        <f t="shared" si="152"/>
        <v>0</v>
      </c>
      <c r="AC9603" s="117" t="str">
        <f>IF(AB9603=1,COUNTIF($AB$3:AB9603,1),"")</f>
        <v/>
      </c>
      <c r="AD9603" s="117" t="str">
        <f>IFERROR(INDEX($AA$3:$AA$10000,MATCH(ROWS($AC$3:AC9603),$AC$3:$AC$10000,0)),"")</f>
        <v/>
      </c>
    </row>
    <row r="9604" spans="27:30">
      <c r="AA9604" s="117">
        <f>+'Ingredient List - Mother Tinctu'!D9605</f>
        <v>0</v>
      </c>
      <c r="AB9604" s="117">
        <f t="shared" ref="AB9604:AB9667" si="153">--ISNUMBER(IFERROR(SEARCH($D$3,AA9604,1),""))</f>
        <v>0</v>
      </c>
      <c r="AC9604" s="117" t="str">
        <f>IF(AB9604=1,COUNTIF($AB$3:AB9604,1),"")</f>
        <v/>
      </c>
      <c r="AD9604" s="117" t="str">
        <f>IFERROR(INDEX($AA$3:$AA$10000,MATCH(ROWS($AC$3:AC9604),$AC$3:$AC$10000,0)),"")</f>
        <v/>
      </c>
    </row>
    <row r="9605" spans="27:30">
      <c r="AA9605" s="117">
        <f>+'Ingredient List - Mother Tinctu'!D9606</f>
        <v>0</v>
      </c>
      <c r="AB9605" s="117">
        <f t="shared" si="153"/>
        <v>0</v>
      </c>
      <c r="AC9605" s="117" t="str">
        <f>IF(AB9605=1,COUNTIF($AB$3:AB9605,1),"")</f>
        <v/>
      </c>
      <c r="AD9605" s="117" t="str">
        <f>IFERROR(INDEX($AA$3:$AA$10000,MATCH(ROWS($AC$3:AC9605),$AC$3:$AC$10000,0)),"")</f>
        <v/>
      </c>
    </row>
    <row r="9606" spans="27:30">
      <c r="AA9606" s="117">
        <f>+'Ingredient List - Mother Tinctu'!D9607</f>
        <v>0</v>
      </c>
      <c r="AB9606" s="117">
        <f t="shared" si="153"/>
        <v>0</v>
      </c>
      <c r="AC9606" s="117" t="str">
        <f>IF(AB9606=1,COUNTIF($AB$3:AB9606,1),"")</f>
        <v/>
      </c>
      <c r="AD9606" s="117" t="str">
        <f>IFERROR(INDEX($AA$3:$AA$10000,MATCH(ROWS($AC$3:AC9606),$AC$3:$AC$10000,0)),"")</f>
        <v/>
      </c>
    </row>
    <row r="9607" spans="27:30">
      <c r="AA9607" s="117">
        <f>+'Ingredient List - Mother Tinctu'!D9608</f>
        <v>0</v>
      </c>
      <c r="AB9607" s="117">
        <f t="shared" si="153"/>
        <v>0</v>
      </c>
      <c r="AC9607" s="117" t="str">
        <f>IF(AB9607=1,COUNTIF($AB$3:AB9607,1),"")</f>
        <v/>
      </c>
      <c r="AD9607" s="117" t="str">
        <f>IFERROR(INDEX($AA$3:$AA$10000,MATCH(ROWS($AC$3:AC9607),$AC$3:$AC$10000,0)),"")</f>
        <v/>
      </c>
    </row>
    <row r="9608" spans="27:30">
      <c r="AA9608" s="117">
        <f>+'Ingredient List - Mother Tinctu'!D9609</f>
        <v>0</v>
      </c>
      <c r="AB9608" s="117">
        <f t="shared" si="153"/>
        <v>0</v>
      </c>
      <c r="AC9608" s="117" t="str">
        <f>IF(AB9608=1,COUNTIF($AB$3:AB9608,1),"")</f>
        <v/>
      </c>
      <c r="AD9608" s="117" t="str">
        <f>IFERROR(INDEX($AA$3:$AA$10000,MATCH(ROWS($AC$3:AC9608),$AC$3:$AC$10000,0)),"")</f>
        <v/>
      </c>
    </row>
    <row r="9609" spans="27:30">
      <c r="AA9609" s="117">
        <f>+'Ingredient List - Mother Tinctu'!D9610</f>
        <v>0</v>
      </c>
      <c r="AB9609" s="117">
        <f t="shared" si="153"/>
        <v>0</v>
      </c>
      <c r="AC9609" s="117" t="str">
        <f>IF(AB9609=1,COUNTIF($AB$3:AB9609,1),"")</f>
        <v/>
      </c>
      <c r="AD9609" s="117" t="str">
        <f>IFERROR(INDEX($AA$3:$AA$10000,MATCH(ROWS($AC$3:AC9609),$AC$3:$AC$10000,0)),"")</f>
        <v/>
      </c>
    </row>
    <row r="9610" spans="27:30">
      <c r="AA9610" s="117">
        <f>+'Ingredient List - Mother Tinctu'!D9611</f>
        <v>0</v>
      </c>
      <c r="AB9610" s="117">
        <f t="shared" si="153"/>
        <v>0</v>
      </c>
      <c r="AC9610" s="117" t="str">
        <f>IF(AB9610=1,COUNTIF($AB$3:AB9610,1),"")</f>
        <v/>
      </c>
      <c r="AD9610" s="117" t="str">
        <f>IFERROR(INDEX($AA$3:$AA$10000,MATCH(ROWS($AC$3:AC9610),$AC$3:$AC$10000,0)),"")</f>
        <v/>
      </c>
    </row>
    <row r="9611" spans="27:30">
      <c r="AA9611" s="117">
        <f>+'Ingredient List - Mother Tinctu'!D9612</f>
        <v>0</v>
      </c>
      <c r="AB9611" s="117">
        <f t="shared" si="153"/>
        <v>0</v>
      </c>
      <c r="AC9611" s="117" t="str">
        <f>IF(AB9611=1,COUNTIF($AB$3:AB9611,1),"")</f>
        <v/>
      </c>
      <c r="AD9611" s="117" t="str">
        <f>IFERROR(INDEX($AA$3:$AA$10000,MATCH(ROWS($AC$3:AC9611),$AC$3:$AC$10000,0)),"")</f>
        <v/>
      </c>
    </row>
    <row r="9612" spans="27:30">
      <c r="AA9612" s="117">
        <f>+'Ingredient List - Mother Tinctu'!D9613</f>
        <v>0</v>
      </c>
      <c r="AB9612" s="117">
        <f t="shared" si="153"/>
        <v>0</v>
      </c>
      <c r="AC9612" s="117" t="str">
        <f>IF(AB9612=1,COUNTIF($AB$3:AB9612,1),"")</f>
        <v/>
      </c>
      <c r="AD9612" s="117" t="str">
        <f>IFERROR(INDEX($AA$3:$AA$10000,MATCH(ROWS($AC$3:AC9612),$AC$3:$AC$10000,0)),"")</f>
        <v/>
      </c>
    </row>
    <row r="9613" spans="27:30">
      <c r="AA9613" s="117">
        <f>+'Ingredient List - Mother Tinctu'!D9614</f>
        <v>0</v>
      </c>
      <c r="AB9613" s="117">
        <f t="shared" si="153"/>
        <v>0</v>
      </c>
      <c r="AC9613" s="117" t="str">
        <f>IF(AB9613=1,COUNTIF($AB$3:AB9613,1),"")</f>
        <v/>
      </c>
      <c r="AD9613" s="117" t="str">
        <f>IFERROR(INDEX($AA$3:$AA$10000,MATCH(ROWS($AC$3:AC9613),$AC$3:$AC$10000,0)),"")</f>
        <v/>
      </c>
    </row>
    <row r="9614" spans="27:30">
      <c r="AA9614" s="117">
        <f>+'Ingredient List - Mother Tinctu'!D9615</f>
        <v>0</v>
      </c>
      <c r="AB9614" s="117">
        <f t="shared" si="153"/>
        <v>0</v>
      </c>
      <c r="AC9614" s="117" t="str">
        <f>IF(AB9614=1,COUNTIF($AB$3:AB9614,1),"")</f>
        <v/>
      </c>
      <c r="AD9614" s="117" t="str">
        <f>IFERROR(INDEX($AA$3:$AA$10000,MATCH(ROWS($AC$3:AC9614),$AC$3:$AC$10000,0)),"")</f>
        <v/>
      </c>
    </row>
    <row r="9615" spans="27:30">
      <c r="AA9615" s="117">
        <f>+'Ingredient List - Mother Tinctu'!D9616</f>
        <v>0</v>
      </c>
      <c r="AB9615" s="117">
        <f t="shared" si="153"/>
        <v>0</v>
      </c>
      <c r="AC9615" s="117" t="str">
        <f>IF(AB9615=1,COUNTIF($AB$3:AB9615,1),"")</f>
        <v/>
      </c>
      <c r="AD9615" s="117" t="str">
        <f>IFERROR(INDEX($AA$3:$AA$10000,MATCH(ROWS($AC$3:AC9615),$AC$3:$AC$10000,0)),"")</f>
        <v/>
      </c>
    </row>
    <row r="9616" spans="27:30">
      <c r="AA9616" s="117">
        <f>+'Ingredient List - Mother Tinctu'!D9617</f>
        <v>0</v>
      </c>
      <c r="AB9616" s="117">
        <f t="shared" si="153"/>
        <v>0</v>
      </c>
      <c r="AC9616" s="117" t="str">
        <f>IF(AB9616=1,COUNTIF($AB$3:AB9616,1),"")</f>
        <v/>
      </c>
      <c r="AD9616" s="117" t="str">
        <f>IFERROR(INDEX($AA$3:$AA$10000,MATCH(ROWS($AC$3:AC9616),$AC$3:$AC$10000,0)),"")</f>
        <v/>
      </c>
    </row>
    <row r="9617" spans="27:30">
      <c r="AA9617" s="117">
        <f>+'Ingredient List - Mother Tinctu'!D9618</f>
        <v>0</v>
      </c>
      <c r="AB9617" s="117">
        <f t="shared" si="153"/>
        <v>0</v>
      </c>
      <c r="AC9617" s="117" t="str">
        <f>IF(AB9617=1,COUNTIF($AB$3:AB9617,1),"")</f>
        <v/>
      </c>
      <c r="AD9617" s="117" t="str">
        <f>IFERROR(INDEX($AA$3:$AA$10000,MATCH(ROWS($AC$3:AC9617),$AC$3:$AC$10000,0)),"")</f>
        <v/>
      </c>
    </row>
    <row r="9618" spans="27:30">
      <c r="AA9618" s="117">
        <f>+'Ingredient List - Mother Tinctu'!D9619</f>
        <v>0</v>
      </c>
      <c r="AB9618" s="117">
        <f t="shared" si="153"/>
        <v>0</v>
      </c>
      <c r="AC9618" s="117" t="str">
        <f>IF(AB9618=1,COUNTIF($AB$3:AB9618,1),"")</f>
        <v/>
      </c>
      <c r="AD9618" s="117" t="str">
        <f>IFERROR(INDEX($AA$3:$AA$10000,MATCH(ROWS($AC$3:AC9618),$AC$3:$AC$10000,0)),"")</f>
        <v/>
      </c>
    </row>
    <row r="9619" spans="27:30">
      <c r="AA9619" s="117">
        <f>+'Ingredient List - Mother Tinctu'!D9620</f>
        <v>0</v>
      </c>
      <c r="AB9619" s="117">
        <f t="shared" si="153"/>
        <v>0</v>
      </c>
      <c r="AC9619" s="117" t="str">
        <f>IF(AB9619=1,COUNTIF($AB$3:AB9619,1),"")</f>
        <v/>
      </c>
      <c r="AD9619" s="117" t="str">
        <f>IFERROR(INDEX($AA$3:$AA$10000,MATCH(ROWS($AC$3:AC9619),$AC$3:$AC$10000,0)),"")</f>
        <v/>
      </c>
    </row>
    <row r="9620" spans="27:30">
      <c r="AA9620" s="117">
        <f>+'Ingredient List - Mother Tinctu'!D9621</f>
        <v>0</v>
      </c>
      <c r="AB9620" s="117">
        <f t="shared" si="153"/>
        <v>0</v>
      </c>
      <c r="AC9620" s="117" t="str">
        <f>IF(AB9620=1,COUNTIF($AB$3:AB9620,1),"")</f>
        <v/>
      </c>
      <c r="AD9620" s="117" t="str">
        <f>IFERROR(INDEX($AA$3:$AA$10000,MATCH(ROWS($AC$3:AC9620),$AC$3:$AC$10000,0)),"")</f>
        <v/>
      </c>
    </row>
    <row r="9621" spans="27:30">
      <c r="AA9621" s="117">
        <f>+'Ingredient List - Mother Tinctu'!D9622</f>
        <v>0</v>
      </c>
      <c r="AB9621" s="117">
        <f t="shared" si="153"/>
        <v>0</v>
      </c>
      <c r="AC9621" s="117" t="str">
        <f>IF(AB9621=1,COUNTIF($AB$3:AB9621,1),"")</f>
        <v/>
      </c>
      <c r="AD9621" s="117" t="str">
        <f>IFERROR(INDEX($AA$3:$AA$10000,MATCH(ROWS($AC$3:AC9621),$AC$3:$AC$10000,0)),"")</f>
        <v/>
      </c>
    </row>
    <row r="9622" spans="27:30">
      <c r="AA9622" s="117">
        <f>+'Ingredient List - Mother Tinctu'!D9623</f>
        <v>0</v>
      </c>
      <c r="AB9622" s="117">
        <f t="shared" si="153"/>
        <v>0</v>
      </c>
      <c r="AC9622" s="117" t="str">
        <f>IF(AB9622=1,COUNTIF($AB$3:AB9622,1),"")</f>
        <v/>
      </c>
      <c r="AD9622" s="117" t="str">
        <f>IFERROR(INDEX($AA$3:$AA$10000,MATCH(ROWS($AC$3:AC9622),$AC$3:$AC$10000,0)),"")</f>
        <v/>
      </c>
    </row>
    <row r="9623" spans="27:30">
      <c r="AA9623" s="117">
        <f>+'Ingredient List - Mother Tinctu'!D9624</f>
        <v>0</v>
      </c>
      <c r="AB9623" s="117">
        <f t="shared" si="153"/>
        <v>0</v>
      </c>
      <c r="AC9623" s="117" t="str">
        <f>IF(AB9623=1,COUNTIF($AB$3:AB9623,1),"")</f>
        <v/>
      </c>
      <c r="AD9623" s="117" t="str">
        <f>IFERROR(INDEX($AA$3:$AA$10000,MATCH(ROWS($AC$3:AC9623),$AC$3:$AC$10000,0)),"")</f>
        <v/>
      </c>
    </row>
    <row r="9624" spans="27:30">
      <c r="AA9624" s="117">
        <f>+'Ingredient List - Mother Tinctu'!D9625</f>
        <v>0</v>
      </c>
      <c r="AB9624" s="117">
        <f t="shared" si="153"/>
        <v>0</v>
      </c>
      <c r="AC9624" s="117" t="str">
        <f>IF(AB9624=1,COUNTIF($AB$3:AB9624,1),"")</f>
        <v/>
      </c>
      <c r="AD9624" s="117" t="str">
        <f>IFERROR(INDEX($AA$3:$AA$10000,MATCH(ROWS($AC$3:AC9624),$AC$3:$AC$10000,0)),"")</f>
        <v/>
      </c>
    </row>
    <row r="9625" spans="27:30">
      <c r="AA9625" s="117">
        <f>+'Ingredient List - Mother Tinctu'!D9626</f>
        <v>0</v>
      </c>
      <c r="AB9625" s="117">
        <f t="shared" si="153"/>
        <v>0</v>
      </c>
      <c r="AC9625" s="117" t="str">
        <f>IF(AB9625=1,COUNTIF($AB$3:AB9625,1),"")</f>
        <v/>
      </c>
      <c r="AD9625" s="117" t="str">
        <f>IFERROR(INDEX($AA$3:$AA$10000,MATCH(ROWS($AC$3:AC9625),$AC$3:$AC$10000,0)),"")</f>
        <v/>
      </c>
    </row>
    <row r="9626" spans="27:30">
      <c r="AA9626" s="117">
        <f>+'Ingredient List - Mother Tinctu'!D9627</f>
        <v>0</v>
      </c>
      <c r="AB9626" s="117">
        <f t="shared" si="153"/>
        <v>0</v>
      </c>
      <c r="AC9626" s="117" t="str">
        <f>IF(AB9626=1,COUNTIF($AB$3:AB9626,1),"")</f>
        <v/>
      </c>
      <c r="AD9626" s="117" t="str">
        <f>IFERROR(INDEX($AA$3:$AA$10000,MATCH(ROWS($AC$3:AC9626),$AC$3:$AC$10000,0)),"")</f>
        <v/>
      </c>
    </row>
    <row r="9627" spans="27:30">
      <c r="AA9627" s="117">
        <f>+'Ingredient List - Mother Tinctu'!D9628</f>
        <v>0</v>
      </c>
      <c r="AB9627" s="117">
        <f t="shared" si="153"/>
        <v>0</v>
      </c>
      <c r="AC9627" s="117" t="str">
        <f>IF(AB9627=1,COUNTIF($AB$3:AB9627,1),"")</f>
        <v/>
      </c>
      <c r="AD9627" s="117" t="str">
        <f>IFERROR(INDEX($AA$3:$AA$10000,MATCH(ROWS($AC$3:AC9627),$AC$3:$AC$10000,0)),"")</f>
        <v/>
      </c>
    </row>
    <row r="9628" spans="27:30">
      <c r="AA9628" s="117">
        <f>+'Ingredient List - Mother Tinctu'!D9629</f>
        <v>0</v>
      </c>
      <c r="AB9628" s="117">
        <f t="shared" si="153"/>
        <v>0</v>
      </c>
      <c r="AC9628" s="117" t="str">
        <f>IF(AB9628=1,COUNTIF($AB$3:AB9628,1),"")</f>
        <v/>
      </c>
      <c r="AD9628" s="117" t="str">
        <f>IFERROR(INDEX($AA$3:$AA$10000,MATCH(ROWS($AC$3:AC9628),$AC$3:$AC$10000,0)),"")</f>
        <v/>
      </c>
    </row>
    <row r="9629" spans="27:30">
      <c r="AA9629" s="117">
        <f>+'Ingredient List - Mother Tinctu'!D9630</f>
        <v>0</v>
      </c>
      <c r="AB9629" s="117">
        <f t="shared" si="153"/>
        <v>0</v>
      </c>
      <c r="AC9629" s="117" t="str">
        <f>IF(AB9629=1,COUNTIF($AB$3:AB9629,1),"")</f>
        <v/>
      </c>
      <c r="AD9629" s="117" t="str">
        <f>IFERROR(INDEX($AA$3:$AA$10000,MATCH(ROWS($AC$3:AC9629),$AC$3:$AC$10000,0)),"")</f>
        <v/>
      </c>
    </row>
    <row r="9630" spans="27:30">
      <c r="AA9630" s="117">
        <f>+'Ingredient List - Mother Tinctu'!D9631</f>
        <v>0</v>
      </c>
      <c r="AB9630" s="117">
        <f t="shared" si="153"/>
        <v>0</v>
      </c>
      <c r="AC9630" s="117" t="str">
        <f>IF(AB9630=1,COUNTIF($AB$3:AB9630,1),"")</f>
        <v/>
      </c>
      <c r="AD9630" s="117" t="str">
        <f>IFERROR(INDEX($AA$3:$AA$10000,MATCH(ROWS($AC$3:AC9630),$AC$3:$AC$10000,0)),"")</f>
        <v/>
      </c>
    </row>
    <row r="9631" spans="27:30">
      <c r="AA9631" s="117">
        <f>+'Ingredient List - Mother Tinctu'!D9632</f>
        <v>0</v>
      </c>
      <c r="AB9631" s="117">
        <f t="shared" si="153"/>
        <v>0</v>
      </c>
      <c r="AC9631" s="117" t="str">
        <f>IF(AB9631=1,COUNTIF($AB$3:AB9631,1),"")</f>
        <v/>
      </c>
      <c r="AD9631" s="117" t="str">
        <f>IFERROR(INDEX($AA$3:$AA$10000,MATCH(ROWS($AC$3:AC9631),$AC$3:$AC$10000,0)),"")</f>
        <v/>
      </c>
    </row>
    <row r="9632" spans="27:30">
      <c r="AA9632" s="117">
        <f>+'Ingredient List - Mother Tinctu'!D9633</f>
        <v>0</v>
      </c>
      <c r="AB9632" s="117">
        <f t="shared" si="153"/>
        <v>0</v>
      </c>
      <c r="AC9632" s="117" t="str">
        <f>IF(AB9632=1,COUNTIF($AB$3:AB9632,1),"")</f>
        <v/>
      </c>
      <c r="AD9632" s="117" t="str">
        <f>IFERROR(INDEX($AA$3:$AA$10000,MATCH(ROWS($AC$3:AC9632),$AC$3:$AC$10000,0)),"")</f>
        <v/>
      </c>
    </row>
    <row r="9633" spans="27:30">
      <c r="AA9633" s="117">
        <f>+'Ingredient List - Mother Tinctu'!D9634</f>
        <v>0</v>
      </c>
      <c r="AB9633" s="117">
        <f t="shared" si="153"/>
        <v>0</v>
      </c>
      <c r="AC9633" s="117" t="str">
        <f>IF(AB9633=1,COUNTIF($AB$3:AB9633,1),"")</f>
        <v/>
      </c>
      <c r="AD9633" s="117" t="str">
        <f>IFERROR(INDEX($AA$3:$AA$10000,MATCH(ROWS($AC$3:AC9633),$AC$3:$AC$10000,0)),"")</f>
        <v/>
      </c>
    </row>
    <row r="9634" spans="27:30">
      <c r="AA9634" s="117">
        <f>+'Ingredient List - Mother Tinctu'!D9635</f>
        <v>0</v>
      </c>
      <c r="AB9634" s="117">
        <f t="shared" si="153"/>
        <v>0</v>
      </c>
      <c r="AC9634" s="117" t="str">
        <f>IF(AB9634=1,COUNTIF($AB$3:AB9634,1),"")</f>
        <v/>
      </c>
      <c r="AD9634" s="117" t="str">
        <f>IFERROR(INDEX($AA$3:$AA$10000,MATCH(ROWS($AC$3:AC9634),$AC$3:$AC$10000,0)),"")</f>
        <v/>
      </c>
    </row>
    <row r="9635" spans="27:30">
      <c r="AA9635" s="117">
        <f>+'Ingredient List - Mother Tinctu'!D9636</f>
        <v>0</v>
      </c>
      <c r="AB9635" s="117">
        <f t="shared" si="153"/>
        <v>0</v>
      </c>
      <c r="AC9635" s="117" t="str">
        <f>IF(AB9635=1,COUNTIF($AB$3:AB9635,1),"")</f>
        <v/>
      </c>
      <c r="AD9635" s="117" t="str">
        <f>IFERROR(INDEX($AA$3:$AA$10000,MATCH(ROWS($AC$3:AC9635),$AC$3:$AC$10000,0)),"")</f>
        <v/>
      </c>
    </row>
    <row r="9636" spans="27:30">
      <c r="AA9636" s="117">
        <f>+'Ingredient List - Mother Tinctu'!D9637</f>
        <v>0</v>
      </c>
      <c r="AB9636" s="117">
        <f t="shared" si="153"/>
        <v>0</v>
      </c>
      <c r="AC9636" s="117" t="str">
        <f>IF(AB9636=1,COUNTIF($AB$3:AB9636,1),"")</f>
        <v/>
      </c>
      <c r="AD9636" s="117" t="str">
        <f>IFERROR(INDEX($AA$3:$AA$10000,MATCH(ROWS($AC$3:AC9636),$AC$3:$AC$10000,0)),"")</f>
        <v/>
      </c>
    </row>
    <row r="9637" spans="27:30">
      <c r="AA9637" s="117">
        <f>+'Ingredient List - Mother Tinctu'!D9638</f>
        <v>0</v>
      </c>
      <c r="AB9637" s="117">
        <f t="shared" si="153"/>
        <v>0</v>
      </c>
      <c r="AC9637" s="117" t="str">
        <f>IF(AB9637=1,COUNTIF($AB$3:AB9637,1),"")</f>
        <v/>
      </c>
      <c r="AD9637" s="117" t="str">
        <f>IFERROR(INDEX($AA$3:$AA$10000,MATCH(ROWS($AC$3:AC9637),$AC$3:$AC$10000,0)),"")</f>
        <v/>
      </c>
    </row>
    <row r="9638" spans="27:30">
      <c r="AA9638" s="117">
        <f>+'Ingredient List - Mother Tinctu'!D9639</f>
        <v>0</v>
      </c>
      <c r="AB9638" s="117">
        <f t="shared" si="153"/>
        <v>0</v>
      </c>
      <c r="AC9638" s="117" t="str">
        <f>IF(AB9638=1,COUNTIF($AB$3:AB9638,1),"")</f>
        <v/>
      </c>
      <c r="AD9638" s="117" t="str">
        <f>IFERROR(INDEX($AA$3:$AA$10000,MATCH(ROWS($AC$3:AC9638),$AC$3:$AC$10000,0)),"")</f>
        <v/>
      </c>
    </row>
    <row r="9639" spans="27:30">
      <c r="AA9639" s="117">
        <f>+'Ingredient List - Mother Tinctu'!D9640</f>
        <v>0</v>
      </c>
      <c r="AB9639" s="117">
        <f t="shared" si="153"/>
        <v>0</v>
      </c>
      <c r="AC9639" s="117" t="str">
        <f>IF(AB9639=1,COUNTIF($AB$3:AB9639,1),"")</f>
        <v/>
      </c>
      <c r="AD9639" s="117" t="str">
        <f>IFERROR(INDEX($AA$3:$AA$10000,MATCH(ROWS($AC$3:AC9639),$AC$3:$AC$10000,0)),"")</f>
        <v/>
      </c>
    </row>
    <row r="9640" spans="27:30">
      <c r="AA9640" s="117">
        <f>+'Ingredient List - Mother Tinctu'!D9641</f>
        <v>0</v>
      </c>
      <c r="AB9640" s="117">
        <f t="shared" si="153"/>
        <v>0</v>
      </c>
      <c r="AC9640" s="117" t="str">
        <f>IF(AB9640=1,COUNTIF($AB$3:AB9640,1),"")</f>
        <v/>
      </c>
      <c r="AD9640" s="117" t="str">
        <f>IFERROR(INDEX($AA$3:$AA$10000,MATCH(ROWS($AC$3:AC9640),$AC$3:$AC$10000,0)),"")</f>
        <v/>
      </c>
    </row>
    <row r="9641" spans="27:30">
      <c r="AA9641" s="117">
        <f>+'Ingredient List - Mother Tinctu'!D9642</f>
        <v>0</v>
      </c>
      <c r="AB9641" s="117">
        <f t="shared" si="153"/>
        <v>0</v>
      </c>
      <c r="AC9641" s="117" t="str">
        <f>IF(AB9641=1,COUNTIF($AB$3:AB9641,1),"")</f>
        <v/>
      </c>
      <c r="AD9641" s="117" t="str">
        <f>IFERROR(INDEX($AA$3:$AA$10000,MATCH(ROWS($AC$3:AC9641),$AC$3:$AC$10000,0)),"")</f>
        <v/>
      </c>
    </row>
    <row r="9642" spans="27:30">
      <c r="AA9642" s="117">
        <f>+'Ingredient List - Mother Tinctu'!D9643</f>
        <v>0</v>
      </c>
      <c r="AB9642" s="117">
        <f t="shared" si="153"/>
        <v>0</v>
      </c>
      <c r="AC9642" s="117" t="str">
        <f>IF(AB9642=1,COUNTIF($AB$3:AB9642,1),"")</f>
        <v/>
      </c>
      <c r="AD9642" s="117" t="str">
        <f>IFERROR(INDEX($AA$3:$AA$10000,MATCH(ROWS($AC$3:AC9642),$AC$3:$AC$10000,0)),"")</f>
        <v/>
      </c>
    </row>
    <row r="9643" spans="27:30">
      <c r="AA9643" s="117">
        <f>+'Ingredient List - Mother Tinctu'!D9644</f>
        <v>0</v>
      </c>
      <c r="AB9643" s="117">
        <f t="shared" si="153"/>
        <v>0</v>
      </c>
      <c r="AC9643" s="117" t="str">
        <f>IF(AB9643=1,COUNTIF($AB$3:AB9643,1),"")</f>
        <v/>
      </c>
      <c r="AD9643" s="117" t="str">
        <f>IFERROR(INDEX($AA$3:$AA$10000,MATCH(ROWS($AC$3:AC9643),$AC$3:$AC$10000,0)),"")</f>
        <v/>
      </c>
    </row>
    <row r="9644" spans="27:30">
      <c r="AA9644" s="117">
        <f>+'Ingredient List - Mother Tinctu'!D9645</f>
        <v>0</v>
      </c>
      <c r="AB9644" s="117">
        <f t="shared" si="153"/>
        <v>0</v>
      </c>
      <c r="AC9644" s="117" t="str">
        <f>IF(AB9644=1,COUNTIF($AB$3:AB9644,1),"")</f>
        <v/>
      </c>
      <c r="AD9644" s="117" t="str">
        <f>IFERROR(INDEX($AA$3:$AA$10000,MATCH(ROWS($AC$3:AC9644),$AC$3:$AC$10000,0)),"")</f>
        <v/>
      </c>
    </row>
    <row r="9645" spans="27:30">
      <c r="AA9645" s="117">
        <f>+'Ingredient List - Mother Tinctu'!D9646</f>
        <v>0</v>
      </c>
      <c r="AB9645" s="117">
        <f t="shared" si="153"/>
        <v>0</v>
      </c>
      <c r="AC9645" s="117" t="str">
        <f>IF(AB9645=1,COUNTIF($AB$3:AB9645,1),"")</f>
        <v/>
      </c>
      <c r="AD9645" s="117" t="str">
        <f>IFERROR(INDEX($AA$3:$AA$10000,MATCH(ROWS($AC$3:AC9645),$AC$3:$AC$10000,0)),"")</f>
        <v/>
      </c>
    </row>
    <row r="9646" spans="27:30">
      <c r="AA9646" s="117">
        <f>+'Ingredient List - Mother Tinctu'!D9647</f>
        <v>0</v>
      </c>
      <c r="AB9646" s="117">
        <f t="shared" si="153"/>
        <v>0</v>
      </c>
      <c r="AC9646" s="117" t="str">
        <f>IF(AB9646=1,COUNTIF($AB$3:AB9646,1),"")</f>
        <v/>
      </c>
      <c r="AD9646" s="117" t="str">
        <f>IFERROR(INDEX($AA$3:$AA$10000,MATCH(ROWS($AC$3:AC9646),$AC$3:$AC$10000,0)),"")</f>
        <v/>
      </c>
    </row>
    <row r="9647" spans="27:30">
      <c r="AA9647" s="117">
        <f>+'Ingredient List - Mother Tinctu'!D9648</f>
        <v>0</v>
      </c>
      <c r="AB9647" s="117">
        <f t="shared" si="153"/>
        <v>0</v>
      </c>
      <c r="AC9647" s="117" t="str">
        <f>IF(AB9647=1,COUNTIF($AB$3:AB9647,1),"")</f>
        <v/>
      </c>
      <c r="AD9647" s="117" t="str">
        <f>IFERROR(INDEX($AA$3:$AA$10000,MATCH(ROWS($AC$3:AC9647),$AC$3:$AC$10000,0)),"")</f>
        <v/>
      </c>
    </row>
    <row r="9648" spans="27:30">
      <c r="AA9648" s="117">
        <f>+'Ingredient List - Mother Tinctu'!D9649</f>
        <v>0</v>
      </c>
      <c r="AB9648" s="117">
        <f t="shared" si="153"/>
        <v>0</v>
      </c>
      <c r="AC9648" s="117" t="str">
        <f>IF(AB9648=1,COUNTIF($AB$3:AB9648,1),"")</f>
        <v/>
      </c>
      <c r="AD9648" s="117" t="str">
        <f>IFERROR(INDEX($AA$3:$AA$10000,MATCH(ROWS($AC$3:AC9648),$AC$3:$AC$10000,0)),"")</f>
        <v/>
      </c>
    </row>
    <row r="9649" spans="27:30">
      <c r="AA9649" s="117">
        <f>+'Ingredient List - Mother Tinctu'!D9650</f>
        <v>0</v>
      </c>
      <c r="AB9649" s="117">
        <f t="shared" si="153"/>
        <v>0</v>
      </c>
      <c r="AC9649" s="117" t="str">
        <f>IF(AB9649=1,COUNTIF($AB$3:AB9649,1),"")</f>
        <v/>
      </c>
      <c r="AD9649" s="117" t="str">
        <f>IFERROR(INDEX($AA$3:$AA$10000,MATCH(ROWS($AC$3:AC9649),$AC$3:$AC$10000,0)),"")</f>
        <v/>
      </c>
    </row>
    <row r="9650" spans="27:30">
      <c r="AA9650" s="117">
        <f>+'Ingredient List - Mother Tinctu'!D9651</f>
        <v>0</v>
      </c>
      <c r="AB9650" s="117">
        <f t="shared" si="153"/>
        <v>0</v>
      </c>
      <c r="AC9650" s="117" t="str">
        <f>IF(AB9650=1,COUNTIF($AB$3:AB9650,1),"")</f>
        <v/>
      </c>
      <c r="AD9650" s="117" t="str">
        <f>IFERROR(INDEX($AA$3:$AA$10000,MATCH(ROWS($AC$3:AC9650),$AC$3:$AC$10000,0)),"")</f>
        <v/>
      </c>
    </row>
    <row r="9651" spans="27:30">
      <c r="AA9651" s="117">
        <f>+'Ingredient List - Mother Tinctu'!D9652</f>
        <v>0</v>
      </c>
      <c r="AB9651" s="117">
        <f t="shared" si="153"/>
        <v>0</v>
      </c>
      <c r="AC9651" s="117" t="str">
        <f>IF(AB9651=1,COUNTIF($AB$3:AB9651,1),"")</f>
        <v/>
      </c>
      <c r="AD9651" s="117" t="str">
        <f>IFERROR(INDEX($AA$3:$AA$10000,MATCH(ROWS($AC$3:AC9651),$AC$3:$AC$10000,0)),"")</f>
        <v/>
      </c>
    </row>
    <row r="9652" spans="27:30">
      <c r="AA9652" s="117">
        <f>+'Ingredient List - Mother Tinctu'!D9653</f>
        <v>0</v>
      </c>
      <c r="AB9652" s="117">
        <f t="shared" si="153"/>
        <v>0</v>
      </c>
      <c r="AC9652" s="117" t="str">
        <f>IF(AB9652=1,COUNTIF($AB$3:AB9652,1),"")</f>
        <v/>
      </c>
      <c r="AD9652" s="117" t="str">
        <f>IFERROR(INDEX($AA$3:$AA$10000,MATCH(ROWS($AC$3:AC9652),$AC$3:$AC$10000,0)),"")</f>
        <v/>
      </c>
    </row>
    <row r="9653" spans="27:30">
      <c r="AA9653" s="117">
        <f>+'Ingredient List - Mother Tinctu'!D9654</f>
        <v>0</v>
      </c>
      <c r="AB9653" s="117">
        <f t="shared" si="153"/>
        <v>0</v>
      </c>
      <c r="AC9653" s="117" t="str">
        <f>IF(AB9653=1,COUNTIF($AB$3:AB9653,1),"")</f>
        <v/>
      </c>
      <c r="AD9653" s="117" t="str">
        <f>IFERROR(INDEX($AA$3:$AA$10000,MATCH(ROWS($AC$3:AC9653),$AC$3:$AC$10000,0)),"")</f>
        <v/>
      </c>
    </row>
    <row r="9654" spans="27:30">
      <c r="AA9654" s="117">
        <f>+'Ingredient List - Mother Tinctu'!D9655</f>
        <v>0</v>
      </c>
      <c r="AB9654" s="117">
        <f t="shared" si="153"/>
        <v>0</v>
      </c>
      <c r="AC9654" s="117" t="str">
        <f>IF(AB9654=1,COUNTIF($AB$3:AB9654,1),"")</f>
        <v/>
      </c>
      <c r="AD9654" s="117" t="str">
        <f>IFERROR(INDEX($AA$3:$AA$10000,MATCH(ROWS($AC$3:AC9654),$AC$3:$AC$10000,0)),"")</f>
        <v/>
      </c>
    </row>
    <row r="9655" spans="27:30">
      <c r="AA9655" s="117">
        <f>+'Ingredient List - Mother Tinctu'!D9656</f>
        <v>0</v>
      </c>
      <c r="AB9655" s="117">
        <f t="shared" si="153"/>
        <v>0</v>
      </c>
      <c r="AC9655" s="117" t="str">
        <f>IF(AB9655=1,COUNTIF($AB$3:AB9655,1),"")</f>
        <v/>
      </c>
      <c r="AD9655" s="117" t="str">
        <f>IFERROR(INDEX($AA$3:$AA$10000,MATCH(ROWS($AC$3:AC9655),$AC$3:$AC$10000,0)),"")</f>
        <v/>
      </c>
    </row>
    <row r="9656" spans="27:30">
      <c r="AA9656" s="117">
        <f>+'Ingredient List - Mother Tinctu'!D9657</f>
        <v>0</v>
      </c>
      <c r="AB9656" s="117">
        <f t="shared" si="153"/>
        <v>0</v>
      </c>
      <c r="AC9656" s="117" t="str">
        <f>IF(AB9656=1,COUNTIF($AB$3:AB9656,1),"")</f>
        <v/>
      </c>
      <c r="AD9656" s="117" t="str">
        <f>IFERROR(INDEX($AA$3:$AA$10000,MATCH(ROWS($AC$3:AC9656),$AC$3:$AC$10000,0)),"")</f>
        <v/>
      </c>
    </row>
    <row r="9657" spans="27:30">
      <c r="AA9657" s="117">
        <f>+'Ingredient List - Mother Tinctu'!D9658</f>
        <v>0</v>
      </c>
      <c r="AB9657" s="117">
        <f t="shared" si="153"/>
        <v>0</v>
      </c>
      <c r="AC9657" s="117" t="str">
        <f>IF(AB9657=1,COUNTIF($AB$3:AB9657,1),"")</f>
        <v/>
      </c>
      <c r="AD9657" s="117" t="str">
        <f>IFERROR(INDEX($AA$3:$AA$10000,MATCH(ROWS($AC$3:AC9657),$AC$3:$AC$10000,0)),"")</f>
        <v/>
      </c>
    </row>
    <row r="9658" spans="27:30">
      <c r="AA9658" s="117">
        <f>+'Ingredient List - Mother Tinctu'!D9659</f>
        <v>0</v>
      </c>
      <c r="AB9658" s="117">
        <f t="shared" si="153"/>
        <v>0</v>
      </c>
      <c r="AC9658" s="117" t="str">
        <f>IF(AB9658=1,COUNTIF($AB$3:AB9658,1),"")</f>
        <v/>
      </c>
      <c r="AD9658" s="117" t="str">
        <f>IFERROR(INDEX($AA$3:$AA$10000,MATCH(ROWS($AC$3:AC9658),$AC$3:$AC$10000,0)),"")</f>
        <v/>
      </c>
    </row>
    <row r="9659" spans="27:30">
      <c r="AA9659" s="117">
        <f>+'Ingredient List - Mother Tinctu'!D9660</f>
        <v>0</v>
      </c>
      <c r="AB9659" s="117">
        <f t="shared" si="153"/>
        <v>0</v>
      </c>
      <c r="AC9659" s="117" t="str">
        <f>IF(AB9659=1,COUNTIF($AB$3:AB9659,1),"")</f>
        <v/>
      </c>
      <c r="AD9659" s="117" t="str">
        <f>IFERROR(INDEX($AA$3:$AA$10000,MATCH(ROWS($AC$3:AC9659),$AC$3:$AC$10000,0)),"")</f>
        <v/>
      </c>
    </row>
    <row r="9660" spans="27:30">
      <c r="AA9660" s="117">
        <f>+'Ingredient List - Mother Tinctu'!D9661</f>
        <v>0</v>
      </c>
      <c r="AB9660" s="117">
        <f t="shared" si="153"/>
        <v>0</v>
      </c>
      <c r="AC9660" s="117" t="str">
        <f>IF(AB9660=1,COUNTIF($AB$3:AB9660,1),"")</f>
        <v/>
      </c>
      <c r="AD9660" s="117" t="str">
        <f>IFERROR(INDEX($AA$3:$AA$10000,MATCH(ROWS($AC$3:AC9660),$AC$3:$AC$10000,0)),"")</f>
        <v/>
      </c>
    </row>
    <row r="9661" spans="27:30">
      <c r="AA9661" s="117">
        <f>+'Ingredient List - Mother Tinctu'!D9662</f>
        <v>0</v>
      </c>
      <c r="AB9661" s="117">
        <f t="shared" si="153"/>
        <v>0</v>
      </c>
      <c r="AC9661" s="117" t="str">
        <f>IF(AB9661=1,COUNTIF($AB$3:AB9661,1),"")</f>
        <v/>
      </c>
      <c r="AD9661" s="117" t="str">
        <f>IFERROR(INDEX($AA$3:$AA$10000,MATCH(ROWS($AC$3:AC9661),$AC$3:$AC$10000,0)),"")</f>
        <v/>
      </c>
    </row>
    <row r="9662" spans="27:30">
      <c r="AA9662" s="117">
        <f>+'Ingredient List - Mother Tinctu'!D9663</f>
        <v>0</v>
      </c>
      <c r="AB9662" s="117">
        <f t="shared" si="153"/>
        <v>0</v>
      </c>
      <c r="AC9662" s="117" t="str">
        <f>IF(AB9662=1,COUNTIF($AB$3:AB9662,1),"")</f>
        <v/>
      </c>
      <c r="AD9662" s="117" t="str">
        <f>IFERROR(INDEX($AA$3:$AA$10000,MATCH(ROWS($AC$3:AC9662),$AC$3:$AC$10000,0)),"")</f>
        <v/>
      </c>
    </row>
    <row r="9663" spans="27:30">
      <c r="AA9663" s="117">
        <f>+'Ingredient List - Mother Tinctu'!D9664</f>
        <v>0</v>
      </c>
      <c r="AB9663" s="117">
        <f t="shared" si="153"/>
        <v>0</v>
      </c>
      <c r="AC9663" s="117" t="str">
        <f>IF(AB9663=1,COUNTIF($AB$3:AB9663,1),"")</f>
        <v/>
      </c>
      <c r="AD9663" s="117" t="str">
        <f>IFERROR(INDEX($AA$3:$AA$10000,MATCH(ROWS($AC$3:AC9663),$AC$3:$AC$10000,0)),"")</f>
        <v/>
      </c>
    </row>
    <row r="9664" spans="27:30">
      <c r="AA9664" s="117">
        <f>+'Ingredient List - Mother Tinctu'!D9665</f>
        <v>0</v>
      </c>
      <c r="AB9664" s="117">
        <f t="shared" si="153"/>
        <v>0</v>
      </c>
      <c r="AC9664" s="117" t="str">
        <f>IF(AB9664=1,COUNTIF($AB$3:AB9664,1),"")</f>
        <v/>
      </c>
      <c r="AD9664" s="117" t="str">
        <f>IFERROR(INDEX($AA$3:$AA$10000,MATCH(ROWS($AC$3:AC9664),$AC$3:$AC$10000,0)),"")</f>
        <v/>
      </c>
    </row>
    <row r="9665" spans="27:30">
      <c r="AA9665" s="117">
        <f>+'Ingredient List - Mother Tinctu'!D9666</f>
        <v>0</v>
      </c>
      <c r="AB9665" s="117">
        <f t="shared" si="153"/>
        <v>0</v>
      </c>
      <c r="AC9665" s="117" t="str">
        <f>IF(AB9665=1,COUNTIF($AB$3:AB9665,1),"")</f>
        <v/>
      </c>
      <c r="AD9665" s="117" t="str">
        <f>IFERROR(INDEX($AA$3:$AA$10000,MATCH(ROWS($AC$3:AC9665),$AC$3:$AC$10000,0)),"")</f>
        <v/>
      </c>
    </row>
    <row r="9666" spans="27:30">
      <c r="AA9666" s="117">
        <f>+'Ingredient List - Mother Tinctu'!D9667</f>
        <v>0</v>
      </c>
      <c r="AB9666" s="117">
        <f t="shared" si="153"/>
        <v>0</v>
      </c>
      <c r="AC9666" s="117" t="str">
        <f>IF(AB9666=1,COUNTIF($AB$3:AB9666,1),"")</f>
        <v/>
      </c>
      <c r="AD9666" s="117" t="str">
        <f>IFERROR(INDEX($AA$3:$AA$10000,MATCH(ROWS($AC$3:AC9666),$AC$3:$AC$10000,0)),"")</f>
        <v/>
      </c>
    </row>
    <row r="9667" spans="27:30">
      <c r="AA9667" s="117">
        <f>+'Ingredient List - Mother Tinctu'!D9668</f>
        <v>0</v>
      </c>
      <c r="AB9667" s="117">
        <f t="shared" si="153"/>
        <v>0</v>
      </c>
      <c r="AC9667" s="117" t="str">
        <f>IF(AB9667=1,COUNTIF($AB$3:AB9667,1),"")</f>
        <v/>
      </c>
      <c r="AD9667" s="117" t="str">
        <f>IFERROR(INDEX($AA$3:$AA$10000,MATCH(ROWS($AC$3:AC9667),$AC$3:$AC$10000,0)),"")</f>
        <v/>
      </c>
    </row>
    <row r="9668" spans="27:30">
      <c r="AA9668" s="117">
        <f>+'Ingredient List - Mother Tinctu'!D9669</f>
        <v>0</v>
      </c>
      <c r="AB9668" s="117">
        <f t="shared" ref="AB9668:AB9731" si="154">--ISNUMBER(IFERROR(SEARCH($D$3,AA9668,1),""))</f>
        <v>0</v>
      </c>
      <c r="AC9668" s="117" t="str">
        <f>IF(AB9668=1,COUNTIF($AB$3:AB9668,1),"")</f>
        <v/>
      </c>
      <c r="AD9668" s="117" t="str">
        <f>IFERROR(INDEX($AA$3:$AA$10000,MATCH(ROWS($AC$3:AC9668),$AC$3:$AC$10000,0)),"")</f>
        <v/>
      </c>
    </row>
    <row r="9669" spans="27:30">
      <c r="AA9669" s="117">
        <f>+'Ingredient List - Mother Tinctu'!D9670</f>
        <v>0</v>
      </c>
      <c r="AB9669" s="117">
        <f t="shared" si="154"/>
        <v>0</v>
      </c>
      <c r="AC9669" s="117" t="str">
        <f>IF(AB9669=1,COUNTIF($AB$3:AB9669,1),"")</f>
        <v/>
      </c>
      <c r="AD9669" s="117" t="str">
        <f>IFERROR(INDEX($AA$3:$AA$10000,MATCH(ROWS($AC$3:AC9669),$AC$3:$AC$10000,0)),"")</f>
        <v/>
      </c>
    </row>
    <row r="9670" spans="27:30">
      <c r="AA9670" s="117">
        <f>+'Ingredient List - Mother Tinctu'!D9671</f>
        <v>0</v>
      </c>
      <c r="AB9670" s="117">
        <f t="shared" si="154"/>
        <v>0</v>
      </c>
      <c r="AC9670" s="117" t="str">
        <f>IF(AB9670=1,COUNTIF($AB$3:AB9670,1),"")</f>
        <v/>
      </c>
      <c r="AD9670" s="117" t="str">
        <f>IFERROR(INDEX($AA$3:$AA$10000,MATCH(ROWS($AC$3:AC9670),$AC$3:$AC$10000,0)),"")</f>
        <v/>
      </c>
    </row>
    <row r="9671" spans="27:30">
      <c r="AA9671" s="117">
        <f>+'Ingredient List - Mother Tinctu'!D9672</f>
        <v>0</v>
      </c>
      <c r="AB9671" s="117">
        <f t="shared" si="154"/>
        <v>0</v>
      </c>
      <c r="AC9671" s="117" t="str">
        <f>IF(AB9671=1,COUNTIF($AB$3:AB9671,1),"")</f>
        <v/>
      </c>
      <c r="AD9671" s="117" t="str">
        <f>IFERROR(INDEX($AA$3:$AA$10000,MATCH(ROWS($AC$3:AC9671),$AC$3:$AC$10000,0)),"")</f>
        <v/>
      </c>
    </row>
    <row r="9672" spans="27:30">
      <c r="AA9672" s="117">
        <f>+'Ingredient List - Mother Tinctu'!D9673</f>
        <v>0</v>
      </c>
      <c r="AB9672" s="117">
        <f t="shared" si="154"/>
        <v>0</v>
      </c>
      <c r="AC9672" s="117" t="str">
        <f>IF(AB9672=1,COUNTIF($AB$3:AB9672,1),"")</f>
        <v/>
      </c>
      <c r="AD9672" s="117" t="str">
        <f>IFERROR(INDEX($AA$3:$AA$10000,MATCH(ROWS($AC$3:AC9672),$AC$3:$AC$10000,0)),"")</f>
        <v/>
      </c>
    </row>
    <row r="9673" spans="27:30">
      <c r="AA9673" s="117">
        <f>+'Ingredient List - Mother Tinctu'!D9674</f>
        <v>0</v>
      </c>
      <c r="AB9673" s="117">
        <f t="shared" si="154"/>
        <v>0</v>
      </c>
      <c r="AC9673" s="117" t="str">
        <f>IF(AB9673=1,COUNTIF($AB$3:AB9673,1),"")</f>
        <v/>
      </c>
      <c r="AD9673" s="117" t="str">
        <f>IFERROR(INDEX($AA$3:$AA$10000,MATCH(ROWS($AC$3:AC9673),$AC$3:$AC$10000,0)),"")</f>
        <v/>
      </c>
    </row>
    <row r="9674" spans="27:30">
      <c r="AA9674" s="117">
        <f>+'Ingredient List - Mother Tinctu'!D9675</f>
        <v>0</v>
      </c>
      <c r="AB9674" s="117">
        <f t="shared" si="154"/>
        <v>0</v>
      </c>
      <c r="AC9674" s="117" t="str">
        <f>IF(AB9674=1,COUNTIF($AB$3:AB9674,1),"")</f>
        <v/>
      </c>
      <c r="AD9674" s="117" t="str">
        <f>IFERROR(INDEX($AA$3:$AA$10000,MATCH(ROWS($AC$3:AC9674),$AC$3:$AC$10000,0)),"")</f>
        <v/>
      </c>
    </row>
    <row r="9675" spans="27:30">
      <c r="AA9675" s="117">
        <f>+'Ingredient List - Mother Tinctu'!D9676</f>
        <v>0</v>
      </c>
      <c r="AB9675" s="117">
        <f t="shared" si="154"/>
        <v>0</v>
      </c>
      <c r="AC9675" s="117" t="str">
        <f>IF(AB9675=1,COUNTIF($AB$3:AB9675,1),"")</f>
        <v/>
      </c>
      <c r="AD9675" s="117" t="str">
        <f>IFERROR(INDEX($AA$3:$AA$10000,MATCH(ROWS($AC$3:AC9675),$AC$3:$AC$10000,0)),"")</f>
        <v/>
      </c>
    </row>
    <row r="9676" spans="27:30">
      <c r="AA9676" s="117">
        <f>+'Ingredient List - Mother Tinctu'!D9677</f>
        <v>0</v>
      </c>
      <c r="AB9676" s="117">
        <f t="shared" si="154"/>
        <v>0</v>
      </c>
      <c r="AC9676" s="117" t="str">
        <f>IF(AB9676=1,COUNTIF($AB$3:AB9676,1),"")</f>
        <v/>
      </c>
      <c r="AD9676" s="117" t="str">
        <f>IFERROR(INDEX($AA$3:$AA$10000,MATCH(ROWS($AC$3:AC9676),$AC$3:$AC$10000,0)),"")</f>
        <v/>
      </c>
    </row>
    <row r="9677" spans="27:30">
      <c r="AA9677" s="117">
        <f>+'Ingredient List - Mother Tinctu'!D9678</f>
        <v>0</v>
      </c>
      <c r="AB9677" s="117">
        <f t="shared" si="154"/>
        <v>0</v>
      </c>
      <c r="AC9677" s="117" t="str">
        <f>IF(AB9677=1,COUNTIF($AB$3:AB9677,1),"")</f>
        <v/>
      </c>
      <c r="AD9677" s="117" t="str">
        <f>IFERROR(INDEX($AA$3:$AA$10000,MATCH(ROWS($AC$3:AC9677),$AC$3:$AC$10000,0)),"")</f>
        <v/>
      </c>
    </row>
    <row r="9678" spans="27:30">
      <c r="AA9678" s="117">
        <f>+'Ingredient List - Mother Tinctu'!D9679</f>
        <v>0</v>
      </c>
      <c r="AB9678" s="117">
        <f t="shared" si="154"/>
        <v>0</v>
      </c>
      <c r="AC9678" s="117" t="str">
        <f>IF(AB9678=1,COUNTIF($AB$3:AB9678,1),"")</f>
        <v/>
      </c>
      <c r="AD9678" s="117" t="str">
        <f>IFERROR(INDEX($AA$3:$AA$10000,MATCH(ROWS($AC$3:AC9678),$AC$3:$AC$10000,0)),"")</f>
        <v/>
      </c>
    </row>
    <row r="9679" spans="27:30">
      <c r="AA9679" s="117">
        <f>+'Ingredient List - Mother Tinctu'!D9680</f>
        <v>0</v>
      </c>
      <c r="AB9679" s="117">
        <f t="shared" si="154"/>
        <v>0</v>
      </c>
      <c r="AC9679" s="117" t="str">
        <f>IF(AB9679=1,COUNTIF($AB$3:AB9679,1),"")</f>
        <v/>
      </c>
      <c r="AD9679" s="117" t="str">
        <f>IFERROR(INDEX($AA$3:$AA$10000,MATCH(ROWS($AC$3:AC9679),$AC$3:$AC$10000,0)),"")</f>
        <v/>
      </c>
    </row>
    <row r="9680" spans="27:30">
      <c r="AA9680" s="117">
        <f>+'Ingredient List - Mother Tinctu'!D9681</f>
        <v>0</v>
      </c>
      <c r="AB9680" s="117">
        <f t="shared" si="154"/>
        <v>0</v>
      </c>
      <c r="AC9680" s="117" t="str">
        <f>IF(AB9680=1,COUNTIF($AB$3:AB9680,1),"")</f>
        <v/>
      </c>
      <c r="AD9680" s="117" t="str">
        <f>IFERROR(INDEX($AA$3:$AA$10000,MATCH(ROWS($AC$3:AC9680),$AC$3:$AC$10000,0)),"")</f>
        <v/>
      </c>
    </row>
    <row r="9681" spans="27:30">
      <c r="AA9681" s="117">
        <f>+'Ingredient List - Mother Tinctu'!D9682</f>
        <v>0</v>
      </c>
      <c r="AB9681" s="117">
        <f t="shared" si="154"/>
        <v>0</v>
      </c>
      <c r="AC9681" s="117" t="str">
        <f>IF(AB9681=1,COUNTIF($AB$3:AB9681,1),"")</f>
        <v/>
      </c>
      <c r="AD9681" s="117" t="str">
        <f>IFERROR(INDEX($AA$3:$AA$10000,MATCH(ROWS($AC$3:AC9681),$AC$3:$AC$10000,0)),"")</f>
        <v/>
      </c>
    </row>
    <row r="9682" spans="27:30">
      <c r="AA9682" s="117">
        <f>+'Ingredient List - Mother Tinctu'!D9683</f>
        <v>0</v>
      </c>
      <c r="AB9682" s="117">
        <f t="shared" si="154"/>
        <v>0</v>
      </c>
      <c r="AC9682" s="117" t="str">
        <f>IF(AB9682=1,COUNTIF($AB$3:AB9682,1),"")</f>
        <v/>
      </c>
      <c r="AD9682" s="117" t="str">
        <f>IFERROR(INDEX($AA$3:$AA$10000,MATCH(ROWS($AC$3:AC9682),$AC$3:$AC$10000,0)),"")</f>
        <v/>
      </c>
    </row>
    <row r="9683" spans="27:30">
      <c r="AA9683" s="117">
        <f>+'Ingredient List - Mother Tinctu'!D9684</f>
        <v>0</v>
      </c>
      <c r="AB9683" s="117">
        <f t="shared" si="154"/>
        <v>0</v>
      </c>
      <c r="AC9683" s="117" t="str">
        <f>IF(AB9683=1,COUNTIF($AB$3:AB9683,1),"")</f>
        <v/>
      </c>
      <c r="AD9683" s="117" t="str">
        <f>IFERROR(INDEX($AA$3:$AA$10000,MATCH(ROWS($AC$3:AC9683),$AC$3:$AC$10000,0)),"")</f>
        <v/>
      </c>
    </row>
    <row r="9684" spans="27:30">
      <c r="AA9684" s="117">
        <f>+'Ingredient List - Mother Tinctu'!D9685</f>
        <v>0</v>
      </c>
      <c r="AB9684" s="117">
        <f t="shared" si="154"/>
        <v>0</v>
      </c>
      <c r="AC9684" s="117" t="str">
        <f>IF(AB9684=1,COUNTIF($AB$3:AB9684,1),"")</f>
        <v/>
      </c>
      <c r="AD9684" s="117" t="str">
        <f>IFERROR(INDEX($AA$3:$AA$10000,MATCH(ROWS($AC$3:AC9684),$AC$3:$AC$10000,0)),"")</f>
        <v/>
      </c>
    </row>
    <row r="9685" spans="27:30">
      <c r="AA9685" s="117">
        <f>+'Ingredient List - Mother Tinctu'!D9686</f>
        <v>0</v>
      </c>
      <c r="AB9685" s="117">
        <f t="shared" si="154"/>
        <v>0</v>
      </c>
      <c r="AC9685" s="117" t="str">
        <f>IF(AB9685=1,COUNTIF($AB$3:AB9685,1),"")</f>
        <v/>
      </c>
      <c r="AD9685" s="117" t="str">
        <f>IFERROR(INDEX($AA$3:$AA$10000,MATCH(ROWS($AC$3:AC9685),$AC$3:$AC$10000,0)),"")</f>
        <v/>
      </c>
    </row>
    <row r="9686" spans="27:30">
      <c r="AA9686" s="117">
        <f>+'Ingredient List - Mother Tinctu'!D9687</f>
        <v>0</v>
      </c>
      <c r="AB9686" s="117">
        <f t="shared" si="154"/>
        <v>0</v>
      </c>
      <c r="AC9686" s="117" t="str">
        <f>IF(AB9686=1,COUNTIF($AB$3:AB9686,1),"")</f>
        <v/>
      </c>
      <c r="AD9686" s="117" t="str">
        <f>IFERROR(INDEX($AA$3:$AA$10000,MATCH(ROWS($AC$3:AC9686),$AC$3:$AC$10000,0)),"")</f>
        <v/>
      </c>
    </row>
    <row r="9687" spans="27:30">
      <c r="AA9687" s="117">
        <f>+'Ingredient List - Mother Tinctu'!D9688</f>
        <v>0</v>
      </c>
      <c r="AB9687" s="117">
        <f t="shared" si="154"/>
        <v>0</v>
      </c>
      <c r="AC9687" s="117" t="str">
        <f>IF(AB9687=1,COUNTIF($AB$3:AB9687,1),"")</f>
        <v/>
      </c>
      <c r="AD9687" s="117" t="str">
        <f>IFERROR(INDEX($AA$3:$AA$10000,MATCH(ROWS($AC$3:AC9687),$AC$3:$AC$10000,0)),"")</f>
        <v/>
      </c>
    </row>
    <row r="9688" spans="27:30">
      <c r="AA9688" s="117">
        <f>+'Ingredient List - Mother Tinctu'!D9689</f>
        <v>0</v>
      </c>
      <c r="AB9688" s="117">
        <f t="shared" si="154"/>
        <v>0</v>
      </c>
      <c r="AC9688" s="117" t="str">
        <f>IF(AB9688=1,COUNTIF($AB$3:AB9688,1),"")</f>
        <v/>
      </c>
      <c r="AD9688" s="117" t="str">
        <f>IFERROR(INDEX($AA$3:$AA$10000,MATCH(ROWS($AC$3:AC9688),$AC$3:$AC$10000,0)),"")</f>
        <v/>
      </c>
    </row>
    <row r="9689" spans="27:30">
      <c r="AA9689" s="117">
        <f>+'Ingredient List - Mother Tinctu'!D9690</f>
        <v>0</v>
      </c>
      <c r="AB9689" s="117">
        <f t="shared" si="154"/>
        <v>0</v>
      </c>
      <c r="AC9689" s="117" t="str">
        <f>IF(AB9689=1,COUNTIF($AB$3:AB9689,1),"")</f>
        <v/>
      </c>
      <c r="AD9689" s="117" t="str">
        <f>IFERROR(INDEX($AA$3:$AA$10000,MATCH(ROWS($AC$3:AC9689),$AC$3:$AC$10000,0)),"")</f>
        <v/>
      </c>
    </row>
    <row r="9690" spans="27:30">
      <c r="AA9690" s="117">
        <f>+'Ingredient List - Mother Tinctu'!D9691</f>
        <v>0</v>
      </c>
      <c r="AB9690" s="117">
        <f t="shared" si="154"/>
        <v>0</v>
      </c>
      <c r="AC9690" s="117" t="str">
        <f>IF(AB9690=1,COUNTIF($AB$3:AB9690,1),"")</f>
        <v/>
      </c>
      <c r="AD9690" s="117" t="str">
        <f>IFERROR(INDEX($AA$3:$AA$10000,MATCH(ROWS($AC$3:AC9690),$AC$3:$AC$10000,0)),"")</f>
        <v/>
      </c>
    </row>
    <row r="9691" spans="27:30">
      <c r="AA9691" s="117">
        <f>+'Ingredient List - Mother Tinctu'!D9692</f>
        <v>0</v>
      </c>
      <c r="AB9691" s="117">
        <f t="shared" si="154"/>
        <v>0</v>
      </c>
      <c r="AC9691" s="117" t="str">
        <f>IF(AB9691=1,COUNTIF($AB$3:AB9691,1),"")</f>
        <v/>
      </c>
      <c r="AD9691" s="117" t="str">
        <f>IFERROR(INDEX($AA$3:$AA$10000,MATCH(ROWS($AC$3:AC9691),$AC$3:$AC$10000,0)),"")</f>
        <v/>
      </c>
    </row>
    <row r="9692" spans="27:30">
      <c r="AA9692" s="117">
        <f>+'Ingredient List - Mother Tinctu'!D9693</f>
        <v>0</v>
      </c>
      <c r="AB9692" s="117">
        <f t="shared" si="154"/>
        <v>0</v>
      </c>
      <c r="AC9692" s="117" t="str">
        <f>IF(AB9692=1,COUNTIF($AB$3:AB9692,1),"")</f>
        <v/>
      </c>
      <c r="AD9692" s="117" t="str">
        <f>IFERROR(INDEX($AA$3:$AA$10000,MATCH(ROWS($AC$3:AC9692),$AC$3:$AC$10000,0)),"")</f>
        <v/>
      </c>
    </row>
    <row r="9693" spans="27:30">
      <c r="AA9693" s="117">
        <f>+'Ingredient List - Mother Tinctu'!D9694</f>
        <v>0</v>
      </c>
      <c r="AB9693" s="117">
        <f t="shared" si="154"/>
        <v>0</v>
      </c>
      <c r="AC9693" s="117" t="str">
        <f>IF(AB9693=1,COUNTIF($AB$3:AB9693,1),"")</f>
        <v/>
      </c>
      <c r="AD9693" s="117" t="str">
        <f>IFERROR(INDEX($AA$3:$AA$10000,MATCH(ROWS($AC$3:AC9693),$AC$3:$AC$10000,0)),"")</f>
        <v/>
      </c>
    </row>
    <row r="9694" spans="27:30">
      <c r="AA9694" s="117">
        <f>+'Ingredient List - Mother Tinctu'!D9695</f>
        <v>0</v>
      </c>
      <c r="AB9694" s="117">
        <f t="shared" si="154"/>
        <v>0</v>
      </c>
      <c r="AC9694" s="117" t="str">
        <f>IF(AB9694=1,COUNTIF($AB$3:AB9694,1),"")</f>
        <v/>
      </c>
      <c r="AD9694" s="117" t="str">
        <f>IFERROR(INDEX($AA$3:$AA$10000,MATCH(ROWS($AC$3:AC9694),$AC$3:$AC$10000,0)),"")</f>
        <v/>
      </c>
    </row>
    <row r="9695" spans="27:30">
      <c r="AA9695" s="117">
        <f>+'Ingredient List - Mother Tinctu'!D9696</f>
        <v>0</v>
      </c>
      <c r="AB9695" s="117">
        <f t="shared" si="154"/>
        <v>0</v>
      </c>
      <c r="AC9695" s="117" t="str">
        <f>IF(AB9695=1,COUNTIF($AB$3:AB9695,1),"")</f>
        <v/>
      </c>
      <c r="AD9695" s="117" t="str">
        <f>IFERROR(INDEX($AA$3:$AA$10000,MATCH(ROWS($AC$3:AC9695),$AC$3:$AC$10000,0)),"")</f>
        <v/>
      </c>
    </row>
    <row r="9696" spans="27:30">
      <c r="AA9696" s="117">
        <f>+'Ingredient List - Mother Tinctu'!D9697</f>
        <v>0</v>
      </c>
      <c r="AB9696" s="117">
        <f t="shared" si="154"/>
        <v>0</v>
      </c>
      <c r="AC9696" s="117" t="str">
        <f>IF(AB9696=1,COUNTIF($AB$3:AB9696,1),"")</f>
        <v/>
      </c>
      <c r="AD9696" s="117" t="str">
        <f>IFERROR(INDEX($AA$3:$AA$10000,MATCH(ROWS($AC$3:AC9696),$AC$3:$AC$10000,0)),"")</f>
        <v/>
      </c>
    </row>
    <row r="9697" spans="27:30">
      <c r="AA9697" s="117">
        <f>+'Ingredient List - Mother Tinctu'!D9698</f>
        <v>0</v>
      </c>
      <c r="AB9697" s="117">
        <f t="shared" si="154"/>
        <v>0</v>
      </c>
      <c r="AC9697" s="117" t="str">
        <f>IF(AB9697=1,COUNTIF($AB$3:AB9697,1),"")</f>
        <v/>
      </c>
      <c r="AD9697" s="117" t="str">
        <f>IFERROR(INDEX($AA$3:$AA$10000,MATCH(ROWS($AC$3:AC9697),$AC$3:$AC$10000,0)),"")</f>
        <v/>
      </c>
    </row>
    <row r="9698" spans="27:30">
      <c r="AA9698" s="117">
        <f>+'Ingredient List - Mother Tinctu'!D9699</f>
        <v>0</v>
      </c>
      <c r="AB9698" s="117">
        <f t="shared" si="154"/>
        <v>0</v>
      </c>
      <c r="AC9698" s="117" t="str">
        <f>IF(AB9698=1,COUNTIF($AB$3:AB9698,1),"")</f>
        <v/>
      </c>
      <c r="AD9698" s="117" t="str">
        <f>IFERROR(INDEX($AA$3:$AA$10000,MATCH(ROWS($AC$3:AC9698),$AC$3:$AC$10000,0)),"")</f>
        <v/>
      </c>
    </row>
    <row r="9699" spans="27:30">
      <c r="AA9699" s="117">
        <f>+'Ingredient List - Mother Tinctu'!D9700</f>
        <v>0</v>
      </c>
      <c r="AB9699" s="117">
        <f t="shared" si="154"/>
        <v>0</v>
      </c>
      <c r="AC9699" s="117" t="str">
        <f>IF(AB9699=1,COUNTIF($AB$3:AB9699,1),"")</f>
        <v/>
      </c>
      <c r="AD9699" s="117" t="str">
        <f>IFERROR(INDEX($AA$3:$AA$10000,MATCH(ROWS($AC$3:AC9699),$AC$3:$AC$10000,0)),"")</f>
        <v/>
      </c>
    </row>
    <row r="9700" spans="27:30">
      <c r="AA9700" s="117">
        <f>+'Ingredient List - Mother Tinctu'!D9701</f>
        <v>0</v>
      </c>
      <c r="AB9700" s="117">
        <f t="shared" si="154"/>
        <v>0</v>
      </c>
      <c r="AC9700" s="117" t="str">
        <f>IF(AB9700=1,COUNTIF($AB$3:AB9700,1),"")</f>
        <v/>
      </c>
      <c r="AD9700" s="117" t="str">
        <f>IFERROR(INDEX($AA$3:$AA$10000,MATCH(ROWS($AC$3:AC9700),$AC$3:$AC$10000,0)),"")</f>
        <v/>
      </c>
    </row>
    <row r="9701" spans="27:30">
      <c r="AA9701" s="117">
        <f>+'Ingredient List - Mother Tinctu'!D9702</f>
        <v>0</v>
      </c>
      <c r="AB9701" s="117">
        <f t="shared" si="154"/>
        <v>0</v>
      </c>
      <c r="AC9701" s="117" t="str">
        <f>IF(AB9701=1,COUNTIF($AB$3:AB9701,1),"")</f>
        <v/>
      </c>
      <c r="AD9701" s="117" t="str">
        <f>IFERROR(INDEX($AA$3:$AA$10000,MATCH(ROWS($AC$3:AC9701),$AC$3:$AC$10000,0)),"")</f>
        <v/>
      </c>
    </row>
    <row r="9702" spans="27:30">
      <c r="AA9702" s="117">
        <f>+'Ingredient List - Mother Tinctu'!D9703</f>
        <v>0</v>
      </c>
      <c r="AB9702" s="117">
        <f t="shared" si="154"/>
        <v>0</v>
      </c>
      <c r="AC9702" s="117" t="str">
        <f>IF(AB9702=1,COUNTIF($AB$3:AB9702,1),"")</f>
        <v/>
      </c>
      <c r="AD9702" s="117" t="str">
        <f>IFERROR(INDEX($AA$3:$AA$10000,MATCH(ROWS($AC$3:AC9702),$AC$3:$AC$10000,0)),"")</f>
        <v/>
      </c>
    </row>
    <row r="9703" spans="27:30">
      <c r="AA9703" s="117">
        <f>+'Ingredient List - Mother Tinctu'!D9704</f>
        <v>0</v>
      </c>
      <c r="AB9703" s="117">
        <f t="shared" si="154"/>
        <v>0</v>
      </c>
      <c r="AC9703" s="117" t="str">
        <f>IF(AB9703=1,COUNTIF($AB$3:AB9703,1),"")</f>
        <v/>
      </c>
      <c r="AD9703" s="117" t="str">
        <f>IFERROR(INDEX($AA$3:$AA$10000,MATCH(ROWS($AC$3:AC9703),$AC$3:$AC$10000,0)),"")</f>
        <v/>
      </c>
    </row>
    <row r="9704" spans="27:30">
      <c r="AA9704" s="117">
        <f>+'Ingredient List - Mother Tinctu'!D9705</f>
        <v>0</v>
      </c>
      <c r="AB9704" s="117">
        <f t="shared" si="154"/>
        <v>0</v>
      </c>
      <c r="AC9704" s="117" t="str">
        <f>IF(AB9704=1,COUNTIF($AB$3:AB9704,1),"")</f>
        <v/>
      </c>
      <c r="AD9704" s="117" t="str">
        <f>IFERROR(INDEX($AA$3:$AA$10000,MATCH(ROWS($AC$3:AC9704),$AC$3:$AC$10000,0)),"")</f>
        <v/>
      </c>
    </row>
    <row r="9705" spans="27:30">
      <c r="AA9705" s="117">
        <f>+'Ingredient List - Mother Tinctu'!D9706</f>
        <v>0</v>
      </c>
      <c r="AB9705" s="117">
        <f t="shared" si="154"/>
        <v>0</v>
      </c>
      <c r="AC9705" s="117" t="str">
        <f>IF(AB9705=1,COUNTIF($AB$3:AB9705,1),"")</f>
        <v/>
      </c>
      <c r="AD9705" s="117" t="str">
        <f>IFERROR(INDEX($AA$3:$AA$10000,MATCH(ROWS($AC$3:AC9705),$AC$3:$AC$10000,0)),"")</f>
        <v/>
      </c>
    </row>
    <row r="9706" spans="27:30">
      <c r="AA9706" s="117">
        <f>+'Ingredient List - Mother Tinctu'!D9707</f>
        <v>0</v>
      </c>
      <c r="AB9706" s="117">
        <f t="shared" si="154"/>
        <v>0</v>
      </c>
      <c r="AC9706" s="117" t="str">
        <f>IF(AB9706=1,COUNTIF($AB$3:AB9706,1),"")</f>
        <v/>
      </c>
      <c r="AD9706" s="117" t="str">
        <f>IFERROR(INDEX($AA$3:$AA$10000,MATCH(ROWS($AC$3:AC9706),$AC$3:$AC$10000,0)),"")</f>
        <v/>
      </c>
    </row>
    <row r="9707" spans="27:30">
      <c r="AA9707" s="117">
        <f>+'Ingredient List - Mother Tinctu'!D9708</f>
        <v>0</v>
      </c>
      <c r="AB9707" s="117">
        <f t="shared" si="154"/>
        <v>0</v>
      </c>
      <c r="AC9707" s="117" t="str">
        <f>IF(AB9707=1,COUNTIF($AB$3:AB9707,1),"")</f>
        <v/>
      </c>
      <c r="AD9707" s="117" t="str">
        <f>IFERROR(INDEX($AA$3:$AA$10000,MATCH(ROWS($AC$3:AC9707),$AC$3:$AC$10000,0)),"")</f>
        <v/>
      </c>
    </row>
    <row r="9708" spans="27:30">
      <c r="AA9708" s="117">
        <f>+'Ingredient List - Mother Tinctu'!D9709</f>
        <v>0</v>
      </c>
      <c r="AB9708" s="117">
        <f t="shared" si="154"/>
        <v>0</v>
      </c>
      <c r="AC9708" s="117" t="str">
        <f>IF(AB9708=1,COUNTIF($AB$3:AB9708,1),"")</f>
        <v/>
      </c>
      <c r="AD9708" s="117" t="str">
        <f>IFERROR(INDEX($AA$3:$AA$10000,MATCH(ROWS($AC$3:AC9708),$AC$3:$AC$10000,0)),"")</f>
        <v/>
      </c>
    </row>
    <row r="9709" spans="27:30">
      <c r="AA9709" s="117">
        <f>+'Ingredient List - Mother Tinctu'!D9710</f>
        <v>0</v>
      </c>
      <c r="AB9709" s="117">
        <f t="shared" si="154"/>
        <v>0</v>
      </c>
      <c r="AC9709" s="117" t="str">
        <f>IF(AB9709=1,COUNTIF($AB$3:AB9709,1),"")</f>
        <v/>
      </c>
      <c r="AD9709" s="117" t="str">
        <f>IFERROR(INDEX($AA$3:$AA$10000,MATCH(ROWS($AC$3:AC9709),$AC$3:$AC$10000,0)),"")</f>
        <v/>
      </c>
    </row>
    <row r="9710" spans="27:30">
      <c r="AA9710" s="117">
        <f>+'Ingredient List - Mother Tinctu'!D9711</f>
        <v>0</v>
      </c>
      <c r="AB9710" s="117">
        <f t="shared" si="154"/>
        <v>0</v>
      </c>
      <c r="AC9710" s="117" t="str">
        <f>IF(AB9710=1,COUNTIF($AB$3:AB9710,1),"")</f>
        <v/>
      </c>
      <c r="AD9710" s="117" t="str">
        <f>IFERROR(INDEX($AA$3:$AA$10000,MATCH(ROWS($AC$3:AC9710),$AC$3:$AC$10000,0)),"")</f>
        <v/>
      </c>
    </row>
    <row r="9711" spans="27:30">
      <c r="AA9711" s="117">
        <f>+'Ingredient List - Mother Tinctu'!D9712</f>
        <v>0</v>
      </c>
      <c r="AB9711" s="117">
        <f t="shared" si="154"/>
        <v>0</v>
      </c>
      <c r="AC9711" s="117" t="str">
        <f>IF(AB9711=1,COUNTIF($AB$3:AB9711,1),"")</f>
        <v/>
      </c>
      <c r="AD9711" s="117" t="str">
        <f>IFERROR(INDEX($AA$3:$AA$10000,MATCH(ROWS($AC$3:AC9711),$AC$3:$AC$10000,0)),"")</f>
        <v/>
      </c>
    </row>
    <row r="9712" spans="27:30">
      <c r="AA9712" s="117">
        <f>+'Ingredient List - Mother Tinctu'!D9713</f>
        <v>0</v>
      </c>
      <c r="AB9712" s="117">
        <f t="shared" si="154"/>
        <v>0</v>
      </c>
      <c r="AC9712" s="117" t="str">
        <f>IF(AB9712=1,COUNTIF($AB$3:AB9712,1),"")</f>
        <v/>
      </c>
      <c r="AD9712" s="117" t="str">
        <f>IFERROR(INDEX($AA$3:$AA$10000,MATCH(ROWS($AC$3:AC9712),$AC$3:$AC$10000,0)),"")</f>
        <v/>
      </c>
    </row>
    <row r="9713" spans="27:30">
      <c r="AA9713" s="117">
        <f>+'Ingredient List - Mother Tinctu'!D9714</f>
        <v>0</v>
      </c>
      <c r="AB9713" s="117">
        <f t="shared" si="154"/>
        <v>0</v>
      </c>
      <c r="AC9713" s="117" t="str">
        <f>IF(AB9713=1,COUNTIF($AB$3:AB9713,1),"")</f>
        <v/>
      </c>
      <c r="AD9713" s="117" t="str">
        <f>IFERROR(INDEX($AA$3:$AA$10000,MATCH(ROWS($AC$3:AC9713),$AC$3:$AC$10000,0)),"")</f>
        <v/>
      </c>
    </row>
    <row r="9714" spans="27:30">
      <c r="AA9714" s="117">
        <f>+'Ingredient List - Mother Tinctu'!D9715</f>
        <v>0</v>
      </c>
      <c r="AB9714" s="117">
        <f t="shared" si="154"/>
        <v>0</v>
      </c>
      <c r="AC9714" s="117" t="str">
        <f>IF(AB9714=1,COUNTIF($AB$3:AB9714,1),"")</f>
        <v/>
      </c>
      <c r="AD9714" s="117" t="str">
        <f>IFERROR(INDEX($AA$3:$AA$10000,MATCH(ROWS($AC$3:AC9714),$AC$3:$AC$10000,0)),"")</f>
        <v/>
      </c>
    </row>
    <row r="9715" spans="27:30">
      <c r="AA9715" s="117">
        <f>+'Ingredient List - Mother Tinctu'!D9716</f>
        <v>0</v>
      </c>
      <c r="AB9715" s="117">
        <f t="shared" si="154"/>
        <v>0</v>
      </c>
      <c r="AC9715" s="117" t="str">
        <f>IF(AB9715=1,COUNTIF($AB$3:AB9715,1),"")</f>
        <v/>
      </c>
      <c r="AD9715" s="117" t="str">
        <f>IFERROR(INDEX($AA$3:$AA$10000,MATCH(ROWS($AC$3:AC9715),$AC$3:$AC$10000,0)),"")</f>
        <v/>
      </c>
    </row>
    <row r="9716" spans="27:30">
      <c r="AA9716" s="117">
        <f>+'Ingredient List - Mother Tinctu'!D9717</f>
        <v>0</v>
      </c>
      <c r="AB9716" s="117">
        <f t="shared" si="154"/>
        <v>0</v>
      </c>
      <c r="AC9716" s="117" t="str">
        <f>IF(AB9716=1,COUNTIF($AB$3:AB9716,1),"")</f>
        <v/>
      </c>
      <c r="AD9716" s="117" t="str">
        <f>IFERROR(INDEX($AA$3:$AA$10000,MATCH(ROWS($AC$3:AC9716),$AC$3:$AC$10000,0)),"")</f>
        <v/>
      </c>
    </row>
    <row r="9717" spans="27:30">
      <c r="AA9717" s="117">
        <f>+'Ingredient List - Mother Tinctu'!D9718</f>
        <v>0</v>
      </c>
      <c r="AB9717" s="117">
        <f t="shared" si="154"/>
        <v>0</v>
      </c>
      <c r="AC9717" s="117" t="str">
        <f>IF(AB9717=1,COUNTIF($AB$3:AB9717,1),"")</f>
        <v/>
      </c>
      <c r="AD9717" s="117" t="str">
        <f>IFERROR(INDEX($AA$3:$AA$10000,MATCH(ROWS($AC$3:AC9717),$AC$3:$AC$10000,0)),"")</f>
        <v/>
      </c>
    </row>
    <row r="9718" spans="27:30">
      <c r="AA9718" s="117">
        <f>+'Ingredient List - Mother Tinctu'!D9719</f>
        <v>0</v>
      </c>
      <c r="AB9718" s="117">
        <f t="shared" si="154"/>
        <v>0</v>
      </c>
      <c r="AC9718" s="117" t="str">
        <f>IF(AB9718=1,COUNTIF($AB$3:AB9718,1),"")</f>
        <v/>
      </c>
      <c r="AD9718" s="117" t="str">
        <f>IFERROR(INDEX($AA$3:$AA$10000,MATCH(ROWS($AC$3:AC9718),$AC$3:$AC$10000,0)),"")</f>
        <v/>
      </c>
    </row>
    <row r="9719" spans="27:30">
      <c r="AA9719" s="117">
        <f>+'Ingredient List - Mother Tinctu'!D9720</f>
        <v>0</v>
      </c>
      <c r="AB9719" s="117">
        <f t="shared" si="154"/>
        <v>0</v>
      </c>
      <c r="AC9719" s="117" t="str">
        <f>IF(AB9719=1,COUNTIF($AB$3:AB9719,1),"")</f>
        <v/>
      </c>
      <c r="AD9719" s="117" t="str">
        <f>IFERROR(INDEX($AA$3:$AA$10000,MATCH(ROWS($AC$3:AC9719),$AC$3:$AC$10000,0)),"")</f>
        <v/>
      </c>
    </row>
    <row r="9720" spans="27:30">
      <c r="AA9720" s="117">
        <f>+'Ingredient List - Mother Tinctu'!D9721</f>
        <v>0</v>
      </c>
      <c r="AB9720" s="117">
        <f t="shared" si="154"/>
        <v>0</v>
      </c>
      <c r="AC9720" s="117" t="str">
        <f>IF(AB9720=1,COUNTIF($AB$3:AB9720,1),"")</f>
        <v/>
      </c>
      <c r="AD9720" s="117" t="str">
        <f>IFERROR(INDEX($AA$3:$AA$10000,MATCH(ROWS($AC$3:AC9720),$AC$3:$AC$10000,0)),"")</f>
        <v/>
      </c>
    </row>
    <row r="9721" spans="27:30">
      <c r="AA9721" s="117">
        <f>+'Ingredient List - Mother Tinctu'!D9722</f>
        <v>0</v>
      </c>
      <c r="AB9721" s="117">
        <f t="shared" si="154"/>
        <v>0</v>
      </c>
      <c r="AC9721" s="117" t="str">
        <f>IF(AB9721=1,COUNTIF($AB$3:AB9721,1),"")</f>
        <v/>
      </c>
      <c r="AD9721" s="117" t="str">
        <f>IFERROR(INDEX($AA$3:$AA$10000,MATCH(ROWS($AC$3:AC9721),$AC$3:$AC$10000,0)),"")</f>
        <v/>
      </c>
    </row>
    <row r="9722" spans="27:30">
      <c r="AA9722" s="117">
        <f>+'Ingredient List - Mother Tinctu'!D9723</f>
        <v>0</v>
      </c>
      <c r="AB9722" s="117">
        <f t="shared" si="154"/>
        <v>0</v>
      </c>
      <c r="AC9722" s="117" t="str">
        <f>IF(AB9722=1,COUNTIF($AB$3:AB9722,1),"")</f>
        <v/>
      </c>
      <c r="AD9722" s="117" t="str">
        <f>IFERROR(INDEX($AA$3:$AA$10000,MATCH(ROWS($AC$3:AC9722),$AC$3:$AC$10000,0)),"")</f>
        <v/>
      </c>
    </row>
    <row r="9723" spans="27:30">
      <c r="AA9723" s="117">
        <f>+'Ingredient List - Mother Tinctu'!D9724</f>
        <v>0</v>
      </c>
      <c r="AB9723" s="117">
        <f t="shared" si="154"/>
        <v>0</v>
      </c>
      <c r="AC9723" s="117" t="str">
        <f>IF(AB9723=1,COUNTIF($AB$3:AB9723,1),"")</f>
        <v/>
      </c>
      <c r="AD9723" s="117" t="str">
        <f>IFERROR(INDEX($AA$3:$AA$10000,MATCH(ROWS($AC$3:AC9723),$AC$3:$AC$10000,0)),"")</f>
        <v/>
      </c>
    </row>
    <row r="9724" spans="27:30">
      <c r="AA9724" s="117">
        <f>+'Ingredient List - Mother Tinctu'!D9725</f>
        <v>0</v>
      </c>
      <c r="AB9724" s="117">
        <f t="shared" si="154"/>
        <v>0</v>
      </c>
      <c r="AC9724" s="117" t="str">
        <f>IF(AB9724=1,COUNTIF($AB$3:AB9724,1),"")</f>
        <v/>
      </c>
      <c r="AD9724" s="117" t="str">
        <f>IFERROR(INDEX($AA$3:$AA$10000,MATCH(ROWS($AC$3:AC9724),$AC$3:$AC$10000,0)),"")</f>
        <v/>
      </c>
    </row>
    <row r="9725" spans="27:30">
      <c r="AA9725" s="117">
        <f>+'Ingredient List - Mother Tinctu'!D9726</f>
        <v>0</v>
      </c>
      <c r="AB9725" s="117">
        <f t="shared" si="154"/>
        <v>0</v>
      </c>
      <c r="AC9725" s="117" t="str">
        <f>IF(AB9725=1,COUNTIF($AB$3:AB9725,1),"")</f>
        <v/>
      </c>
      <c r="AD9725" s="117" t="str">
        <f>IFERROR(INDEX($AA$3:$AA$10000,MATCH(ROWS($AC$3:AC9725),$AC$3:$AC$10000,0)),"")</f>
        <v/>
      </c>
    </row>
    <row r="9726" spans="27:30">
      <c r="AA9726" s="117">
        <f>+'Ingredient List - Mother Tinctu'!D9727</f>
        <v>0</v>
      </c>
      <c r="AB9726" s="117">
        <f t="shared" si="154"/>
        <v>0</v>
      </c>
      <c r="AC9726" s="117" t="str">
        <f>IF(AB9726=1,COUNTIF($AB$3:AB9726,1),"")</f>
        <v/>
      </c>
      <c r="AD9726" s="117" t="str">
        <f>IFERROR(INDEX($AA$3:$AA$10000,MATCH(ROWS($AC$3:AC9726),$AC$3:$AC$10000,0)),"")</f>
        <v/>
      </c>
    </row>
    <row r="9727" spans="27:30">
      <c r="AA9727" s="117">
        <f>+'Ingredient List - Mother Tinctu'!D9728</f>
        <v>0</v>
      </c>
      <c r="AB9727" s="117">
        <f t="shared" si="154"/>
        <v>0</v>
      </c>
      <c r="AC9727" s="117" t="str">
        <f>IF(AB9727=1,COUNTIF($AB$3:AB9727,1),"")</f>
        <v/>
      </c>
      <c r="AD9727" s="117" t="str">
        <f>IFERROR(INDEX($AA$3:$AA$10000,MATCH(ROWS($AC$3:AC9727),$AC$3:$AC$10000,0)),"")</f>
        <v/>
      </c>
    </row>
    <row r="9728" spans="27:30">
      <c r="AA9728" s="117">
        <f>+'Ingredient List - Mother Tinctu'!D9729</f>
        <v>0</v>
      </c>
      <c r="AB9728" s="117">
        <f t="shared" si="154"/>
        <v>0</v>
      </c>
      <c r="AC9728" s="117" t="str">
        <f>IF(AB9728=1,COUNTIF($AB$3:AB9728,1),"")</f>
        <v/>
      </c>
      <c r="AD9728" s="117" t="str">
        <f>IFERROR(INDEX($AA$3:$AA$10000,MATCH(ROWS($AC$3:AC9728),$AC$3:$AC$10000,0)),"")</f>
        <v/>
      </c>
    </row>
    <row r="9729" spans="27:30">
      <c r="AA9729" s="117">
        <f>+'Ingredient List - Mother Tinctu'!D9730</f>
        <v>0</v>
      </c>
      <c r="AB9729" s="117">
        <f t="shared" si="154"/>
        <v>0</v>
      </c>
      <c r="AC9729" s="117" t="str">
        <f>IF(AB9729=1,COUNTIF($AB$3:AB9729,1),"")</f>
        <v/>
      </c>
      <c r="AD9729" s="117" t="str">
        <f>IFERROR(INDEX($AA$3:$AA$10000,MATCH(ROWS($AC$3:AC9729),$AC$3:$AC$10000,0)),"")</f>
        <v/>
      </c>
    </row>
    <row r="9730" spans="27:30">
      <c r="AA9730" s="117">
        <f>+'Ingredient List - Mother Tinctu'!D9731</f>
        <v>0</v>
      </c>
      <c r="AB9730" s="117">
        <f t="shared" si="154"/>
        <v>0</v>
      </c>
      <c r="AC9730" s="117" t="str">
        <f>IF(AB9730=1,COUNTIF($AB$3:AB9730,1),"")</f>
        <v/>
      </c>
      <c r="AD9730" s="117" t="str">
        <f>IFERROR(INDEX($AA$3:$AA$10000,MATCH(ROWS($AC$3:AC9730),$AC$3:$AC$10000,0)),"")</f>
        <v/>
      </c>
    </row>
    <row r="9731" spans="27:30">
      <c r="AA9731" s="117">
        <f>+'Ingredient List - Mother Tinctu'!D9732</f>
        <v>0</v>
      </c>
      <c r="AB9731" s="117">
        <f t="shared" si="154"/>
        <v>0</v>
      </c>
      <c r="AC9731" s="117" t="str">
        <f>IF(AB9731=1,COUNTIF($AB$3:AB9731,1),"")</f>
        <v/>
      </c>
      <c r="AD9731" s="117" t="str">
        <f>IFERROR(INDEX($AA$3:$AA$10000,MATCH(ROWS($AC$3:AC9731),$AC$3:$AC$10000,0)),"")</f>
        <v/>
      </c>
    </row>
    <row r="9732" spans="27:30">
      <c r="AA9732" s="117">
        <f>+'Ingredient List - Mother Tinctu'!D9733</f>
        <v>0</v>
      </c>
      <c r="AB9732" s="117">
        <f t="shared" ref="AB9732:AB9795" si="155">--ISNUMBER(IFERROR(SEARCH($D$3,AA9732,1),""))</f>
        <v>0</v>
      </c>
      <c r="AC9732" s="117" t="str">
        <f>IF(AB9732=1,COUNTIF($AB$3:AB9732,1),"")</f>
        <v/>
      </c>
      <c r="AD9732" s="117" t="str">
        <f>IFERROR(INDEX($AA$3:$AA$10000,MATCH(ROWS($AC$3:AC9732),$AC$3:$AC$10000,0)),"")</f>
        <v/>
      </c>
    </row>
    <row r="9733" spans="27:30">
      <c r="AA9733" s="117">
        <f>+'Ingredient List - Mother Tinctu'!D9734</f>
        <v>0</v>
      </c>
      <c r="AB9733" s="117">
        <f t="shared" si="155"/>
        <v>0</v>
      </c>
      <c r="AC9733" s="117" t="str">
        <f>IF(AB9733=1,COUNTIF($AB$3:AB9733,1),"")</f>
        <v/>
      </c>
      <c r="AD9733" s="117" t="str">
        <f>IFERROR(INDEX($AA$3:$AA$10000,MATCH(ROWS($AC$3:AC9733),$AC$3:$AC$10000,0)),"")</f>
        <v/>
      </c>
    </row>
    <row r="9734" spans="27:30">
      <c r="AA9734" s="117">
        <f>+'Ingredient List - Mother Tinctu'!D9735</f>
        <v>0</v>
      </c>
      <c r="AB9734" s="117">
        <f t="shared" si="155"/>
        <v>0</v>
      </c>
      <c r="AC9734" s="117" t="str">
        <f>IF(AB9734=1,COUNTIF($AB$3:AB9734,1),"")</f>
        <v/>
      </c>
      <c r="AD9734" s="117" t="str">
        <f>IFERROR(INDEX($AA$3:$AA$10000,MATCH(ROWS($AC$3:AC9734),$AC$3:$AC$10000,0)),"")</f>
        <v/>
      </c>
    </row>
    <row r="9735" spans="27:30">
      <c r="AA9735" s="117">
        <f>+'Ingredient List - Mother Tinctu'!D9736</f>
        <v>0</v>
      </c>
      <c r="AB9735" s="117">
        <f t="shared" si="155"/>
        <v>0</v>
      </c>
      <c r="AC9735" s="117" t="str">
        <f>IF(AB9735=1,COUNTIF($AB$3:AB9735,1),"")</f>
        <v/>
      </c>
      <c r="AD9735" s="117" t="str">
        <f>IFERROR(INDEX($AA$3:$AA$10000,MATCH(ROWS($AC$3:AC9735),$AC$3:$AC$10000,0)),"")</f>
        <v/>
      </c>
    </row>
    <row r="9736" spans="27:30">
      <c r="AA9736" s="117">
        <f>+'Ingredient List - Mother Tinctu'!D9737</f>
        <v>0</v>
      </c>
      <c r="AB9736" s="117">
        <f t="shared" si="155"/>
        <v>0</v>
      </c>
      <c r="AC9736" s="117" t="str">
        <f>IF(AB9736=1,COUNTIF($AB$3:AB9736,1),"")</f>
        <v/>
      </c>
      <c r="AD9736" s="117" t="str">
        <f>IFERROR(INDEX($AA$3:$AA$10000,MATCH(ROWS($AC$3:AC9736),$AC$3:$AC$10000,0)),"")</f>
        <v/>
      </c>
    </row>
    <row r="9737" spans="27:30">
      <c r="AA9737" s="117">
        <f>+'Ingredient List - Mother Tinctu'!D9738</f>
        <v>0</v>
      </c>
      <c r="AB9737" s="117">
        <f t="shared" si="155"/>
        <v>0</v>
      </c>
      <c r="AC9737" s="117" t="str">
        <f>IF(AB9737=1,COUNTIF($AB$3:AB9737,1),"")</f>
        <v/>
      </c>
      <c r="AD9737" s="117" t="str">
        <f>IFERROR(INDEX($AA$3:$AA$10000,MATCH(ROWS($AC$3:AC9737),$AC$3:$AC$10000,0)),"")</f>
        <v/>
      </c>
    </row>
    <row r="9738" spans="27:30">
      <c r="AA9738" s="117">
        <f>+'Ingredient List - Mother Tinctu'!D9739</f>
        <v>0</v>
      </c>
      <c r="AB9738" s="117">
        <f t="shared" si="155"/>
        <v>0</v>
      </c>
      <c r="AC9738" s="117" t="str">
        <f>IF(AB9738=1,COUNTIF($AB$3:AB9738,1),"")</f>
        <v/>
      </c>
      <c r="AD9738" s="117" t="str">
        <f>IFERROR(INDEX($AA$3:$AA$10000,MATCH(ROWS($AC$3:AC9738),$AC$3:$AC$10000,0)),"")</f>
        <v/>
      </c>
    </row>
    <row r="9739" spans="27:30">
      <c r="AA9739" s="117">
        <f>+'Ingredient List - Mother Tinctu'!D9740</f>
        <v>0</v>
      </c>
      <c r="AB9739" s="117">
        <f t="shared" si="155"/>
        <v>0</v>
      </c>
      <c r="AC9739" s="117" t="str">
        <f>IF(AB9739=1,COUNTIF($AB$3:AB9739,1),"")</f>
        <v/>
      </c>
      <c r="AD9739" s="117" t="str">
        <f>IFERROR(INDEX($AA$3:$AA$10000,MATCH(ROWS($AC$3:AC9739),$AC$3:$AC$10000,0)),"")</f>
        <v/>
      </c>
    </row>
    <row r="9740" spans="27:30">
      <c r="AA9740" s="117">
        <f>+'Ingredient List - Mother Tinctu'!D9741</f>
        <v>0</v>
      </c>
      <c r="AB9740" s="117">
        <f t="shared" si="155"/>
        <v>0</v>
      </c>
      <c r="AC9740" s="117" t="str">
        <f>IF(AB9740=1,COUNTIF($AB$3:AB9740,1),"")</f>
        <v/>
      </c>
      <c r="AD9740" s="117" t="str">
        <f>IFERROR(INDEX($AA$3:$AA$10000,MATCH(ROWS($AC$3:AC9740),$AC$3:$AC$10000,0)),"")</f>
        <v/>
      </c>
    </row>
    <row r="9741" spans="27:30">
      <c r="AA9741" s="117">
        <f>+'Ingredient List - Mother Tinctu'!D9742</f>
        <v>0</v>
      </c>
      <c r="AB9741" s="117">
        <f t="shared" si="155"/>
        <v>0</v>
      </c>
      <c r="AC9741" s="117" t="str">
        <f>IF(AB9741=1,COUNTIF($AB$3:AB9741,1),"")</f>
        <v/>
      </c>
      <c r="AD9741" s="117" t="str">
        <f>IFERROR(INDEX($AA$3:$AA$10000,MATCH(ROWS($AC$3:AC9741),$AC$3:$AC$10000,0)),"")</f>
        <v/>
      </c>
    </row>
    <row r="9742" spans="27:30">
      <c r="AA9742" s="117">
        <f>+'Ingredient List - Mother Tinctu'!D9743</f>
        <v>0</v>
      </c>
      <c r="AB9742" s="117">
        <f t="shared" si="155"/>
        <v>0</v>
      </c>
      <c r="AC9742" s="117" t="str">
        <f>IF(AB9742=1,COUNTIF($AB$3:AB9742,1),"")</f>
        <v/>
      </c>
      <c r="AD9742" s="117" t="str">
        <f>IFERROR(INDEX($AA$3:$AA$10000,MATCH(ROWS($AC$3:AC9742),$AC$3:$AC$10000,0)),"")</f>
        <v/>
      </c>
    </row>
    <row r="9743" spans="27:30">
      <c r="AA9743" s="117">
        <f>+'Ingredient List - Mother Tinctu'!D9744</f>
        <v>0</v>
      </c>
      <c r="AB9743" s="117">
        <f t="shared" si="155"/>
        <v>0</v>
      </c>
      <c r="AC9743" s="117" t="str">
        <f>IF(AB9743=1,COUNTIF($AB$3:AB9743,1),"")</f>
        <v/>
      </c>
      <c r="AD9743" s="117" t="str">
        <f>IFERROR(INDEX($AA$3:$AA$10000,MATCH(ROWS($AC$3:AC9743),$AC$3:$AC$10000,0)),"")</f>
        <v/>
      </c>
    </row>
    <row r="9744" spans="27:30">
      <c r="AA9744" s="117">
        <f>+'Ingredient List - Mother Tinctu'!D9745</f>
        <v>0</v>
      </c>
      <c r="AB9744" s="117">
        <f t="shared" si="155"/>
        <v>0</v>
      </c>
      <c r="AC9744" s="117" t="str">
        <f>IF(AB9744=1,COUNTIF($AB$3:AB9744,1),"")</f>
        <v/>
      </c>
      <c r="AD9744" s="117" t="str">
        <f>IFERROR(INDEX($AA$3:$AA$10000,MATCH(ROWS($AC$3:AC9744),$AC$3:$AC$10000,0)),"")</f>
        <v/>
      </c>
    </row>
    <row r="9745" spans="27:30">
      <c r="AA9745" s="117">
        <f>+'Ingredient List - Mother Tinctu'!D9746</f>
        <v>0</v>
      </c>
      <c r="AB9745" s="117">
        <f t="shared" si="155"/>
        <v>0</v>
      </c>
      <c r="AC9745" s="117" t="str">
        <f>IF(AB9745=1,COUNTIF($AB$3:AB9745,1),"")</f>
        <v/>
      </c>
      <c r="AD9745" s="117" t="str">
        <f>IFERROR(INDEX($AA$3:$AA$10000,MATCH(ROWS($AC$3:AC9745),$AC$3:$AC$10000,0)),"")</f>
        <v/>
      </c>
    </row>
    <row r="9746" spans="27:30">
      <c r="AA9746" s="117">
        <f>+'Ingredient List - Mother Tinctu'!D9747</f>
        <v>0</v>
      </c>
      <c r="AB9746" s="117">
        <f t="shared" si="155"/>
        <v>0</v>
      </c>
      <c r="AC9746" s="117" t="str">
        <f>IF(AB9746=1,COUNTIF($AB$3:AB9746,1),"")</f>
        <v/>
      </c>
      <c r="AD9746" s="117" t="str">
        <f>IFERROR(INDEX($AA$3:$AA$10000,MATCH(ROWS($AC$3:AC9746),$AC$3:$AC$10000,0)),"")</f>
        <v/>
      </c>
    </row>
    <row r="9747" spans="27:30">
      <c r="AA9747" s="117">
        <f>+'Ingredient List - Mother Tinctu'!D9748</f>
        <v>0</v>
      </c>
      <c r="AB9747" s="117">
        <f t="shared" si="155"/>
        <v>0</v>
      </c>
      <c r="AC9747" s="117" t="str">
        <f>IF(AB9747=1,COUNTIF($AB$3:AB9747,1),"")</f>
        <v/>
      </c>
      <c r="AD9747" s="117" t="str">
        <f>IFERROR(INDEX($AA$3:$AA$10000,MATCH(ROWS($AC$3:AC9747),$AC$3:$AC$10000,0)),"")</f>
        <v/>
      </c>
    </row>
    <row r="9748" spans="27:30">
      <c r="AA9748" s="117">
        <f>+'Ingredient List - Mother Tinctu'!D9749</f>
        <v>0</v>
      </c>
      <c r="AB9748" s="117">
        <f t="shared" si="155"/>
        <v>0</v>
      </c>
      <c r="AC9748" s="117" t="str">
        <f>IF(AB9748=1,COUNTIF($AB$3:AB9748,1),"")</f>
        <v/>
      </c>
      <c r="AD9748" s="117" t="str">
        <f>IFERROR(INDEX($AA$3:$AA$10000,MATCH(ROWS($AC$3:AC9748),$AC$3:$AC$10000,0)),"")</f>
        <v/>
      </c>
    </row>
    <row r="9749" spans="27:30">
      <c r="AA9749" s="117">
        <f>+'Ingredient List - Mother Tinctu'!D9750</f>
        <v>0</v>
      </c>
      <c r="AB9749" s="117">
        <f t="shared" si="155"/>
        <v>0</v>
      </c>
      <c r="AC9749" s="117" t="str">
        <f>IF(AB9749=1,COUNTIF($AB$3:AB9749,1),"")</f>
        <v/>
      </c>
      <c r="AD9749" s="117" t="str">
        <f>IFERROR(INDEX($AA$3:$AA$10000,MATCH(ROWS($AC$3:AC9749),$AC$3:$AC$10000,0)),"")</f>
        <v/>
      </c>
    </row>
    <row r="9750" spans="27:30">
      <c r="AA9750" s="117">
        <f>+'Ingredient List - Mother Tinctu'!D9751</f>
        <v>0</v>
      </c>
      <c r="AB9750" s="117">
        <f t="shared" si="155"/>
        <v>0</v>
      </c>
      <c r="AC9750" s="117" t="str">
        <f>IF(AB9750=1,COUNTIF($AB$3:AB9750,1),"")</f>
        <v/>
      </c>
      <c r="AD9750" s="117" t="str">
        <f>IFERROR(INDEX($AA$3:$AA$10000,MATCH(ROWS($AC$3:AC9750),$AC$3:$AC$10000,0)),"")</f>
        <v/>
      </c>
    </row>
    <row r="9751" spans="27:30">
      <c r="AA9751" s="117">
        <f>+'Ingredient List - Mother Tinctu'!D9752</f>
        <v>0</v>
      </c>
      <c r="AB9751" s="117">
        <f t="shared" si="155"/>
        <v>0</v>
      </c>
      <c r="AC9751" s="117" t="str">
        <f>IF(AB9751=1,COUNTIF($AB$3:AB9751,1),"")</f>
        <v/>
      </c>
      <c r="AD9751" s="117" t="str">
        <f>IFERROR(INDEX($AA$3:$AA$10000,MATCH(ROWS($AC$3:AC9751),$AC$3:$AC$10000,0)),"")</f>
        <v/>
      </c>
    </row>
    <row r="9752" spans="27:30">
      <c r="AA9752" s="117">
        <f>+'Ingredient List - Mother Tinctu'!D9753</f>
        <v>0</v>
      </c>
      <c r="AB9752" s="117">
        <f t="shared" si="155"/>
        <v>0</v>
      </c>
      <c r="AC9752" s="117" t="str">
        <f>IF(AB9752=1,COUNTIF($AB$3:AB9752,1),"")</f>
        <v/>
      </c>
      <c r="AD9752" s="117" t="str">
        <f>IFERROR(INDEX($AA$3:$AA$10000,MATCH(ROWS($AC$3:AC9752),$AC$3:$AC$10000,0)),"")</f>
        <v/>
      </c>
    </row>
    <row r="9753" spans="27:30">
      <c r="AA9753" s="117">
        <f>+'Ingredient List - Mother Tinctu'!D9754</f>
        <v>0</v>
      </c>
      <c r="AB9753" s="117">
        <f t="shared" si="155"/>
        <v>0</v>
      </c>
      <c r="AC9753" s="117" t="str">
        <f>IF(AB9753=1,COUNTIF($AB$3:AB9753,1),"")</f>
        <v/>
      </c>
      <c r="AD9753" s="117" t="str">
        <f>IFERROR(INDEX($AA$3:$AA$10000,MATCH(ROWS($AC$3:AC9753),$AC$3:$AC$10000,0)),"")</f>
        <v/>
      </c>
    </row>
    <row r="9754" spans="27:30">
      <c r="AA9754" s="117">
        <f>+'Ingredient List - Mother Tinctu'!D9755</f>
        <v>0</v>
      </c>
      <c r="AB9754" s="117">
        <f t="shared" si="155"/>
        <v>0</v>
      </c>
      <c r="AC9754" s="117" t="str">
        <f>IF(AB9754=1,COUNTIF($AB$3:AB9754,1),"")</f>
        <v/>
      </c>
      <c r="AD9754" s="117" t="str">
        <f>IFERROR(INDEX($AA$3:$AA$10000,MATCH(ROWS($AC$3:AC9754),$AC$3:$AC$10000,0)),"")</f>
        <v/>
      </c>
    </row>
    <row r="9755" spans="27:30">
      <c r="AA9755" s="117">
        <f>+'Ingredient List - Mother Tinctu'!D9756</f>
        <v>0</v>
      </c>
      <c r="AB9755" s="117">
        <f t="shared" si="155"/>
        <v>0</v>
      </c>
      <c r="AC9755" s="117" t="str">
        <f>IF(AB9755=1,COUNTIF($AB$3:AB9755,1),"")</f>
        <v/>
      </c>
      <c r="AD9755" s="117" t="str">
        <f>IFERROR(INDEX($AA$3:$AA$10000,MATCH(ROWS($AC$3:AC9755),$AC$3:$AC$10000,0)),"")</f>
        <v/>
      </c>
    </row>
    <row r="9756" spans="27:30">
      <c r="AA9756" s="117">
        <f>+'Ingredient List - Mother Tinctu'!D9757</f>
        <v>0</v>
      </c>
      <c r="AB9756" s="117">
        <f t="shared" si="155"/>
        <v>0</v>
      </c>
      <c r="AC9756" s="117" t="str">
        <f>IF(AB9756=1,COUNTIF($AB$3:AB9756,1),"")</f>
        <v/>
      </c>
      <c r="AD9756" s="117" t="str">
        <f>IFERROR(INDEX($AA$3:$AA$10000,MATCH(ROWS($AC$3:AC9756),$AC$3:$AC$10000,0)),"")</f>
        <v/>
      </c>
    </row>
    <row r="9757" spans="27:30">
      <c r="AA9757" s="117">
        <f>+'Ingredient List - Mother Tinctu'!D9758</f>
        <v>0</v>
      </c>
      <c r="AB9757" s="117">
        <f t="shared" si="155"/>
        <v>0</v>
      </c>
      <c r="AC9757" s="117" t="str">
        <f>IF(AB9757=1,COUNTIF($AB$3:AB9757,1),"")</f>
        <v/>
      </c>
      <c r="AD9757" s="117" t="str">
        <f>IFERROR(INDEX($AA$3:$AA$10000,MATCH(ROWS($AC$3:AC9757),$AC$3:$AC$10000,0)),"")</f>
        <v/>
      </c>
    </row>
    <row r="9758" spans="27:30">
      <c r="AA9758" s="117">
        <f>+'Ingredient List - Mother Tinctu'!D9759</f>
        <v>0</v>
      </c>
      <c r="AB9758" s="117">
        <f t="shared" si="155"/>
        <v>0</v>
      </c>
      <c r="AC9758" s="117" t="str">
        <f>IF(AB9758=1,COUNTIF($AB$3:AB9758,1),"")</f>
        <v/>
      </c>
      <c r="AD9758" s="117" t="str">
        <f>IFERROR(INDEX($AA$3:$AA$10000,MATCH(ROWS($AC$3:AC9758),$AC$3:$AC$10000,0)),"")</f>
        <v/>
      </c>
    </row>
    <row r="9759" spans="27:30">
      <c r="AA9759" s="117">
        <f>+'Ingredient List - Mother Tinctu'!D9760</f>
        <v>0</v>
      </c>
      <c r="AB9759" s="117">
        <f t="shared" si="155"/>
        <v>0</v>
      </c>
      <c r="AC9759" s="117" t="str">
        <f>IF(AB9759=1,COUNTIF($AB$3:AB9759,1),"")</f>
        <v/>
      </c>
      <c r="AD9759" s="117" t="str">
        <f>IFERROR(INDEX($AA$3:$AA$10000,MATCH(ROWS($AC$3:AC9759),$AC$3:$AC$10000,0)),"")</f>
        <v/>
      </c>
    </row>
    <row r="9760" spans="27:30">
      <c r="AA9760" s="117">
        <f>+'Ingredient List - Mother Tinctu'!D9761</f>
        <v>0</v>
      </c>
      <c r="AB9760" s="117">
        <f t="shared" si="155"/>
        <v>0</v>
      </c>
      <c r="AC9760" s="117" t="str">
        <f>IF(AB9760=1,COUNTIF($AB$3:AB9760,1),"")</f>
        <v/>
      </c>
      <c r="AD9760" s="117" t="str">
        <f>IFERROR(INDEX($AA$3:$AA$10000,MATCH(ROWS($AC$3:AC9760),$AC$3:$AC$10000,0)),"")</f>
        <v/>
      </c>
    </row>
    <row r="9761" spans="27:30">
      <c r="AA9761" s="117">
        <f>+'Ingredient List - Mother Tinctu'!D9762</f>
        <v>0</v>
      </c>
      <c r="AB9761" s="117">
        <f t="shared" si="155"/>
        <v>0</v>
      </c>
      <c r="AC9761" s="117" t="str">
        <f>IF(AB9761=1,COUNTIF($AB$3:AB9761,1),"")</f>
        <v/>
      </c>
      <c r="AD9761" s="117" t="str">
        <f>IFERROR(INDEX($AA$3:$AA$10000,MATCH(ROWS($AC$3:AC9761),$AC$3:$AC$10000,0)),"")</f>
        <v/>
      </c>
    </row>
    <row r="9762" spans="27:30">
      <c r="AA9762" s="117">
        <f>+'Ingredient List - Mother Tinctu'!D9763</f>
        <v>0</v>
      </c>
      <c r="AB9762" s="117">
        <f t="shared" si="155"/>
        <v>0</v>
      </c>
      <c r="AC9762" s="117" t="str">
        <f>IF(AB9762=1,COUNTIF($AB$3:AB9762,1),"")</f>
        <v/>
      </c>
      <c r="AD9762" s="117" t="str">
        <f>IFERROR(INDEX($AA$3:$AA$10000,MATCH(ROWS($AC$3:AC9762),$AC$3:$AC$10000,0)),"")</f>
        <v/>
      </c>
    </row>
    <row r="9763" spans="27:30">
      <c r="AA9763" s="117">
        <f>+'Ingredient List - Mother Tinctu'!D9764</f>
        <v>0</v>
      </c>
      <c r="AB9763" s="117">
        <f t="shared" si="155"/>
        <v>0</v>
      </c>
      <c r="AC9763" s="117" t="str">
        <f>IF(AB9763=1,COUNTIF($AB$3:AB9763,1),"")</f>
        <v/>
      </c>
      <c r="AD9763" s="117" t="str">
        <f>IFERROR(INDEX($AA$3:$AA$10000,MATCH(ROWS($AC$3:AC9763),$AC$3:$AC$10000,0)),"")</f>
        <v/>
      </c>
    </row>
    <row r="9764" spans="27:30">
      <c r="AA9764" s="117">
        <f>+'Ingredient List - Mother Tinctu'!D9765</f>
        <v>0</v>
      </c>
      <c r="AB9764" s="117">
        <f t="shared" si="155"/>
        <v>0</v>
      </c>
      <c r="AC9764" s="117" t="str">
        <f>IF(AB9764=1,COUNTIF($AB$3:AB9764,1),"")</f>
        <v/>
      </c>
      <c r="AD9764" s="117" t="str">
        <f>IFERROR(INDEX($AA$3:$AA$10000,MATCH(ROWS($AC$3:AC9764),$AC$3:$AC$10000,0)),"")</f>
        <v/>
      </c>
    </row>
    <row r="9765" spans="27:30">
      <c r="AA9765" s="117">
        <f>+'Ingredient List - Mother Tinctu'!D9766</f>
        <v>0</v>
      </c>
      <c r="AB9765" s="117">
        <f t="shared" si="155"/>
        <v>0</v>
      </c>
      <c r="AC9765" s="117" t="str">
        <f>IF(AB9765=1,COUNTIF($AB$3:AB9765,1),"")</f>
        <v/>
      </c>
      <c r="AD9765" s="117" t="str">
        <f>IFERROR(INDEX($AA$3:$AA$10000,MATCH(ROWS($AC$3:AC9765),$AC$3:$AC$10000,0)),"")</f>
        <v/>
      </c>
    </row>
    <row r="9766" spans="27:30">
      <c r="AA9766" s="117">
        <f>+'Ingredient List - Mother Tinctu'!D9767</f>
        <v>0</v>
      </c>
      <c r="AB9766" s="117">
        <f t="shared" si="155"/>
        <v>0</v>
      </c>
      <c r="AC9766" s="117" t="str">
        <f>IF(AB9766=1,COUNTIF($AB$3:AB9766,1),"")</f>
        <v/>
      </c>
      <c r="AD9766" s="117" t="str">
        <f>IFERROR(INDEX($AA$3:$AA$10000,MATCH(ROWS($AC$3:AC9766),$AC$3:$AC$10000,0)),"")</f>
        <v/>
      </c>
    </row>
    <row r="9767" spans="27:30">
      <c r="AA9767" s="117">
        <f>+'Ingredient List - Mother Tinctu'!D9768</f>
        <v>0</v>
      </c>
      <c r="AB9767" s="117">
        <f t="shared" si="155"/>
        <v>0</v>
      </c>
      <c r="AC9767" s="117" t="str">
        <f>IF(AB9767=1,COUNTIF($AB$3:AB9767,1),"")</f>
        <v/>
      </c>
      <c r="AD9767" s="117" t="str">
        <f>IFERROR(INDEX($AA$3:$AA$10000,MATCH(ROWS($AC$3:AC9767),$AC$3:$AC$10000,0)),"")</f>
        <v/>
      </c>
    </row>
    <row r="9768" spans="27:30">
      <c r="AA9768" s="117">
        <f>+'Ingredient List - Mother Tinctu'!D9769</f>
        <v>0</v>
      </c>
      <c r="AB9768" s="117">
        <f t="shared" si="155"/>
        <v>0</v>
      </c>
      <c r="AC9768" s="117" t="str">
        <f>IF(AB9768=1,COUNTIF($AB$3:AB9768,1),"")</f>
        <v/>
      </c>
      <c r="AD9768" s="117" t="str">
        <f>IFERROR(INDEX($AA$3:$AA$10000,MATCH(ROWS($AC$3:AC9768),$AC$3:$AC$10000,0)),"")</f>
        <v/>
      </c>
    </row>
    <row r="9769" spans="27:30">
      <c r="AA9769" s="117">
        <f>+'Ingredient List - Mother Tinctu'!D9770</f>
        <v>0</v>
      </c>
      <c r="AB9769" s="117">
        <f t="shared" si="155"/>
        <v>0</v>
      </c>
      <c r="AC9769" s="117" t="str">
        <f>IF(AB9769=1,COUNTIF($AB$3:AB9769,1),"")</f>
        <v/>
      </c>
      <c r="AD9769" s="117" t="str">
        <f>IFERROR(INDEX($AA$3:$AA$10000,MATCH(ROWS($AC$3:AC9769),$AC$3:$AC$10000,0)),"")</f>
        <v/>
      </c>
    </row>
    <row r="9770" spans="27:30">
      <c r="AA9770" s="117">
        <f>+'Ingredient List - Mother Tinctu'!D9771</f>
        <v>0</v>
      </c>
      <c r="AB9770" s="117">
        <f t="shared" si="155"/>
        <v>0</v>
      </c>
      <c r="AC9770" s="117" t="str">
        <f>IF(AB9770=1,COUNTIF($AB$3:AB9770,1),"")</f>
        <v/>
      </c>
      <c r="AD9770" s="117" t="str">
        <f>IFERROR(INDEX($AA$3:$AA$10000,MATCH(ROWS($AC$3:AC9770),$AC$3:$AC$10000,0)),"")</f>
        <v/>
      </c>
    </row>
    <row r="9771" spans="27:30">
      <c r="AA9771" s="117">
        <f>+'Ingredient List - Mother Tinctu'!D9772</f>
        <v>0</v>
      </c>
      <c r="AB9771" s="117">
        <f t="shared" si="155"/>
        <v>0</v>
      </c>
      <c r="AC9771" s="117" t="str">
        <f>IF(AB9771=1,COUNTIF($AB$3:AB9771,1),"")</f>
        <v/>
      </c>
      <c r="AD9771" s="117" t="str">
        <f>IFERROR(INDEX($AA$3:$AA$10000,MATCH(ROWS($AC$3:AC9771),$AC$3:$AC$10000,0)),"")</f>
        <v/>
      </c>
    </row>
    <row r="9772" spans="27:30">
      <c r="AA9772" s="117">
        <f>+'Ingredient List - Mother Tinctu'!D9773</f>
        <v>0</v>
      </c>
      <c r="AB9772" s="117">
        <f t="shared" si="155"/>
        <v>0</v>
      </c>
      <c r="AC9772" s="117" t="str">
        <f>IF(AB9772=1,COUNTIF($AB$3:AB9772,1),"")</f>
        <v/>
      </c>
      <c r="AD9772" s="117" t="str">
        <f>IFERROR(INDEX($AA$3:$AA$10000,MATCH(ROWS($AC$3:AC9772),$AC$3:$AC$10000,0)),"")</f>
        <v/>
      </c>
    </row>
    <row r="9773" spans="27:30">
      <c r="AA9773" s="117">
        <f>+'Ingredient List - Mother Tinctu'!D9774</f>
        <v>0</v>
      </c>
      <c r="AB9773" s="117">
        <f t="shared" si="155"/>
        <v>0</v>
      </c>
      <c r="AC9773" s="117" t="str">
        <f>IF(AB9773=1,COUNTIF($AB$3:AB9773,1),"")</f>
        <v/>
      </c>
      <c r="AD9773" s="117" t="str">
        <f>IFERROR(INDEX($AA$3:$AA$10000,MATCH(ROWS($AC$3:AC9773),$AC$3:$AC$10000,0)),"")</f>
        <v/>
      </c>
    </row>
    <row r="9774" spans="27:30">
      <c r="AA9774" s="117">
        <f>+'Ingredient List - Mother Tinctu'!D9775</f>
        <v>0</v>
      </c>
      <c r="AB9774" s="117">
        <f t="shared" si="155"/>
        <v>0</v>
      </c>
      <c r="AC9774" s="117" t="str">
        <f>IF(AB9774=1,COUNTIF($AB$3:AB9774,1),"")</f>
        <v/>
      </c>
      <c r="AD9774" s="117" t="str">
        <f>IFERROR(INDEX($AA$3:$AA$10000,MATCH(ROWS($AC$3:AC9774),$AC$3:$AC$10000,0)),"")</f>
        <v/>
      </c>
    </row>
    <row r="9775" spans="27:30">
      <c r="AA9775" s="117">
        <f>+'Ingredient List - Mother Tinctu'!D9776</f>
        <v>0</v>
      </c>
      <c r="AB9775" s="117">
        <f t="shared" si="155"/>
        <v>0</v>
      </c>
      <c r="AC9775" s="117" t="str">
        <f>IF(AB9775=1,COUNTIF($AB$3:AB9775,1),"")</f>
        <v/>
      </c>
      <c r="AD9775" s="117" t="str">
        <f>IFERROR(INDEX($AA$3:$AA$10000,MATCH(ROWS($AC$3:AC9775),$AC$3:$AC$10000,0)),"")</f>
        <v/>
      </c>
    </row>
    <row r="9776" spans="27:30">
      <c r="AA9776" s="117">
        <f>+'Ingredient List - Mother Tinctu'!D9777</f>
        <v>0</v>
      </c>
      <c r="AB9776" s="117">
        <f t="shared" si="155"/>
        <v>0</v>
      </c>
      <c r="AC9776" s="117" t="str">
        <f>IF(AB9776=1,COUNTIF($AB$3:AB9776,1),"")</f>
        <v/>
      </c>
      <c r="AD9776" s="117" t="str">
        <f>IFERROR(INDEX($AA$3:$AA$10000,MATCH(ROWS($AC$3:AC9776),$AC$3:$AC$10000,0)),"")</f>
        <v/>
      </c>
    </row>
    <row r="9777" spans="27:30">
      <c r="AA9777" s="117">
        <f>+'Ingredient List - Mother Tinctu'!D9778</f>
        <v>0</v>
      </c>
      <c r="AB9777" s="117">
        <f t="shared" si="155"/>
        <v>0</v>
      </c>
      <c r="AC9777" s="117" t="str">
        <f>IF(AB9777=1,COUNTIF($AB$3:AB9777,1),"")</f>
        <v/>
      </c>
      <c r="AD9777" s="117" t="str">
        <f>IFERROR(INDEX($AA$3:$AA$10000,MATCH(ROWS($AC$3:AC9777),$AC$3:$AC$10000,0)),"")</f>
        <v/>
      </c>
    </row>
    <row r="9778" spans="27:30">
      <c r="AA9778" s="117">
        <f>+'Ingredient List - Mother Tinctu'!D9779</f>
        <v>0</v>
      </c>
      <c r="AB9778" s="117">
        <f t="shared" si="155"/>
        <v>0</v>
      </c>
      <c r="AC9778" s="117" t="str">
        <f>IF(AB9778=1,COUNTIF($AB$3:AB9778,1),"")</f>
        <v/>
      </c>
      <c r="AD9778" s="117" t="str">
        <f>IFERROR(INDEX($AA$3:$AA$10000,MATCH(ROWS($AC$3:AC9778),$AC$3:$AC$10000,0)),"")</f>
        <v/>
      </c>
    </row>
    <row r="9779" spans="27:30">
      <c r="AA9779" s="117">
        <f>+'Ingredient List - Mother Tinctu'!D9780</f>
        <v>0</v>
      </c>
      <c r="AB9779" s="117">
        <f t="shared" si="155"/>
        <v>0</v>
      </c>
      <c r="AC9779" s="117" t="str">
        <f>IF(AB9779=1,COUNTIF($AB$3:AB9779,1),"")</f>
        <v/>
      </c>
      <c r="AD9779" s="117" t="str">
        <f>IFERROR(INDEX($AA$3:$AA$10000,MATCH(ROWS($AC$3:AC9779),$AC$3:$AC$10000,0)),"")</f>
        <v/>
      </c>
    </row>
    <row r="9780" spans="27:30">
      <c r="AA9780" s="117">
        <f>+'Ingredient List - Mother Tinctu'!D9781</f>
        <v>0</v>
      </c>
      <c r="AB9780" s="117">
        <f t="shared" si="155"/>
        <v>0</v>
      </c>
      <c r="AC9780" s="117" t="str">
        <f>IF(AB9780=1,COUNTIF($AB$3:AB9780,1),"")</f>
        <v/>
      </c>
      <c r="AD9780" s="117" t="str">
        <f>IFERROR(INDEX($AA$3:$AA$10000,MATCH(ROWS($AC$3:AC9780),$AC$3:$AC$10000,0)),"")</f>
        <v/>
      </c>
    </row>
    <row r="9781" spans="27:30">
      <c r="AA9781" s="117">
        <f>+'Ingredient List - Mother Tinctu'!D9782</f>
        <v>0</v>
      </c>
      <c r="AB9781" s="117">
        <f t="shared" si="155"/>
        <v>0</v>
      </c>
      <c r="AC9781" s="117" t="str">
        <f>IF(AB9781=1,COUNTIF($AB$3:AB9781,1),"")</f>
        <v/>
      </c>
      <c r="AD9781" s="117" t="str">
        <f>IFERROR(INDEX($AA$3:$AA$10000,MATCH(ROWS($AC$3:AC9781),$AC$3:$AC$10000,0)),"")</f>
        <v/>
      </c>
    </row>
    <row r="9782" spans="27:30">
      <c r="AA9782" s="117">
        <f>+'Ingredient List - Mother Tinctu'!D9783</f>
        <v>0</v>
      </c>
      <c r="AB9782" s="117">
        <f t="shared" si="155"/>
        <v>0</v>
      </c>
      <c r="AC9782" s="117" t="str">
        <f>IF(AB9782=1,COUNTIF($AB$3:AB9782,1),"")</f>
        <v/>
      </c>
      <c r="AD9782" s="117" t="str">
        <f>IFERROR(INDEX($AA$3:$AA$10000,MATCH(ROWS($AC$3:AC9782),$AC$3:$AC$10000,0)),"")</f>
        <v/>
      </c>
    </row>
    <row r="9783" spans="27:30">
      <c r="AA9783" s="117">
        <f>+'Ingredient List - Mother Tinctu'!D9784</f>
        <v>0</v>
      </c>
      <c r="AB9783" s="117">
        <f t="shared" si="155"/>
        <v>0</v>
      </c>
      <c r="AC9783" s="117" t="str">
        <f>IF(AB9783=1,COUNTIF($AB$3:AB9783,1),"")</f>
        <v/>
      </c>
      <c r="AD9783" s="117" t="str">
        <f>IFERROR(INDEX($AA$3:$AA$10000,MATCH(ROWS($AC$3:AC9783),$AC$3:$AC$10000,0)),"")</f>
        <v/>
      </c>
    </row>
    <row r="9784" spans="27:30">
      <c r="AA9784" s="117">
        <f>+'Ingredient List - Mother Tinctu'!D9785</f>
        <v>0</v>
      </c>
      <c r="AB9784" s="117">
        <f t="shared" si="155"/>
        <v>0</v>
      </c>
      <c r="AC9784" s="117" t="str">
        <f>IF(AB9784=1,COUNTIF($AB$3:AB9784,1),"")</f>
        <v/>
      </c>
      <c r="AD9784" s="117" t="str">
        <f>IFERROR(INDEX($AA$3:$AA$10000,MATCH(ROWS($AC$3:AC9784),$AC$3:$AC$10000,0)),"")</f>
        <v/>
      </c>
    </row>
    <row r="9785" spans="27:30">
      <c r="AA9785" s="117">
        <f>+'Ingredient List - Mother Tinctu'!D9786</f>
        <v>0</v>
      </c>
      <c r="AB9785" s="117">
        <f t="shared" si="155"/>
        <v>0</v>
      </c>
      <c r="AC9785" s="117" t="str">
        <f>IF(AB9785=1,COUNTIF($AB$3:AB9785,1),"")</f>
        <v/>
      </c>
      <c r="AD9785" s="117" t="str">
        <f>IFERROR(INDEX($AA$3:$AA$10000,MATCH(ROWS($AC$3:AC9785),$AC$3:$AC$10000,0)),"")</f>
        <v/>
      </c>
    </row>
    <row r="9786" spans="27:30">
      <c r="AA9786" s="117">
        <f>+'Ingredient List - Mother Tinctu'!D9787</f>
        <v>0</v>
      </c>
      <c r="AB9786" s="117">
        <f t="shared" si="155"/>
        <v>0</v>
      </c>
      <c r="AC9786" s="117" t="str">
        <f>IF(AB9786=1,COUNTIF($AB$3:AB9786,1),"")</f>
        <v/>
      </c>
      <c r="AD9786" s="117" t="str">
        <f>IFERROR(INDEX($AA$3:$AA$10000,MATCH(ROWS($AC$3:AC9786),$AC$3:$AC$10000,0)),"")</f>
        <v/>
      </c>
    </row>
    <row r="9787" spans="27:30">
      <c r="AA9787" s="117">
        <f>+'Ingredient List - Mother Tinctu'!D9788</f>
        <v>0</v>
      </c>
      <c r="AB9787" s="117">
        <f t="shared" si="155"/>
        <v>0</v>
      </c>
      <c r="AC9787" s="117" t="str">
        <f>IF(AB9787=1,COUNTIF($AB$3:AB9787,1),"")</f>
        <v/>
      </c>
      <c r="AD9787" s="117" t="str">
        <f>IFERROR(INDEX($AA$3:$AA$10000,MATCH(ROWS($AC$3:AC9787),$AC$3:$AC$10000,0)),"")</f>
        <v/>
      </c>
    </row>
    <row r="9788" spans="27:30">
      <c r="AA9788" s="117">
        <f>+'Ingredient List - Mother Tinctu'!D9789</f>
        <v>0</v>
      </c>
      <c r="AB9788" s="117">
        <f t="shared" si="155"/>
        <v>0</v>
      </c>
      <c r="AC9788" s="117" t="str">
        <f>IF(AB9788=1,COUNTIF($AB$3:AB9788,1),"")</f>
        <v/>
      </c>
      <c r="AD9788" s="117" t="str">
        <f>IFERROR(INDEX($AA$3:$AA$10000,MATCH(ROWS($AC$3:AC9788),$AC$3:$AC$10000,0)),"")</f>
        <v/>
      </c>
    </row>
    <row r="9789" spans="27:30">
      <c r="AA9789" s="117">
        <f>+'Ingredient List - Mother Tinctu'!D9790</f>
        <v>0</v>
      </c>
      <c r="AB9789" s="117">
        <f t="shared" si="155"/>
        <v>0</v>
      </c>
      <c r="AC9789" s="117" t="str">
        <f>IF(AB9789=1,COUNTIF($AB$3:AB9789,1),"")</f>
        <v/>
      </c>
      <c r="AD9789" s="117" t="str">
        <f>IFERROR(INDEX($AA$3:$AA$10000,MATCH(ROWS($AC$3:AC9789),$AC$3:$AC$10000,0)),"")</f>
        <v/>
      </c>
    </row>
    <row r="9790" spans="27:30">
      <c r="AA9790" s="117">
        <f>+'Ingredient List - Mother Tinctu'!D9791</f>
        <v>0</v>
      </c>
      <c r="AB9790" s="117">
        <f t="shared" si="155"/>
        <v>0</v>
      </c>
      <c r="AC9790" s="117" t="str">
        <f>IF(AB9790=1,COUNTIF($AB$3:AB9790,1),"")</f>
        <v/>
      </c>
      <c r="AD9790" s="117" t="str">
        <f>IFERROR(INDEX($AA$3:$AA$10000,MATCH(ROWS($AC$3:AC9790),$AC$3:$AC$10000,0)),"")</f>
        <v/>
      </c>
    </row>
    <row r="9791" spans="27:30">
      <c r="AA9791" s="117">
        <f>+'Ingredient List - Mother Tinctu'!D9792</f>
        <v>0</v>
      </c>
      <c r="AB9791" s="117">
        <f t="shared" si="155"/>
        <v>0</v>
      </c>
      <c r="AC9791" s="117" t="str">
        <f>IF(AB9791=1,COUNTIF($AB$3:AB9791,1),"")</f>
        <v/>
      </c>
      <c r="AD9791" s="117" t="str">
        <f>IFERROR(INDEX($AA$3:$AA$10000,MATCH(ROWS($AC$3:AC9791),$AC$3:$AC$10000,0)),"")</f>
        <v/>
      </c>
    </row>
    <row r="9792" spans="27:30">
      <c r="AA9792" s="117">
        <f>+'Ingredient List - Mother Tinctu'!D9793</f>
        <v>0</v>
      </c>
      <c r="AB9792" s="117">
        <f t="shared" si="155"/>
        <v>0</v>
      </c>
      <c r="AC9792" s="117" t="str">
        <f>IF(AB9792=1,COUNTIF($AB$3:AB9792,1),"")</f>
        <v/>
      </c>
      <c r="AD9792" s="117" t="str">
        <f>IFERROR(INDEX($AA$3:$AA$10000,MATCH(ROWS($AC$3:AC9792),$AC$3:$AC$10000,0)),"")</f>
        <v/>
      </c>
    </row>
    <row r="9793" spans="27:30">
      <c r="AA9793" s="117">
        <f>+'Ingredient List - Mother Tinctu'!D9794</f>
        <v>0</v>
      </c>
      <c r="AB9793" s="117">
        <f t="shared" si="155"/>
        <v>0</v>
      </c>
      <c r="AC9793" s="117" t="str">
        <f>IF(AB9793=1,COUNTIF($AB$3:AB9793,1),"")</f>
        <v/>
      </c>
      <c r="AD9793" s="117" t="str">
        <f>IFERROR(INDEX($AA$3:$AA$10000,MATCH(ROWS($AC$3:AC9793),$AC$3:$AC$10000,0)),"")</f>
        <v/>
      </c>
    </row>
    <row r="9794" spans="27:30">
      <c r="AA9794" s="117">
        <f>+'Ingredient List - Mother Tinctu'!D9795</f>
        <v>0</v>
      </c>
      <c r="AB9794" s="117">
        <f t="shared" si="155"/>
        <v>0</v>
      </c>
      <c r="AC9794" s="117" t="str">
        <f>IF(AB9794=1,COUNTIF($AB$3:AB9794,1),"")</f>
        <v/>
      </c>
      <c r="AD9794" s="117" t="str">
        <f>IFERROR(INDEX($AA$3:$AA$10000,MATCH(ROWS($AC$3:AC9794),$AC$3:$AC$10000,0)),"")</f>
        <v/>
      </c>
    </row>
    <row r="9795" spans="27:30">
      <c r="AA9795" s="117">
        <f>+'Ingredient List - Mother Tinctu'!D9796</f>
        <v>0</v>
      </c>
      <c r="AB9795" s="117">
        <f t="shared" si="155"/>
        <v>0</v>
      </c>
      <c r="AC9795" s="117" t="str">
        <f>IF(AB9795=1,COUNTIF($AB$3:AB9795,1),"")</f>
        <v/>
      </c>
      <c r="AD9795" s="117" t="str">
        <f>IFERROR(INDEX($AA$3:$AA$10000,MATCH(ROWS($AC$3:AC9795),$AC$3:$AC$10000,0)),"")</f>
        <v/>
      </c>
    </row>
    <row r="9796" spans="27:30">
      <c r="AA9796" s="117">
        <f>+'Ingredient List - Mother Tinctu'!D9797</f>
        <v>0</v>
      </c>
      <c r="AB9796" s="117">
        <f t="shared" ref="AB9796:AB9859" si="156">--ISNUMBER(IFERROR(SEARCH($D$3,AA9796,1),""))</f>
        <v>0</v>
      </c>
      <c r="AC9796" s="117" t="str">
        <f>IF(AB9796=1,COUNTIF($AB$3:AB9796,1),"")</f>
        <v/>
      </c>
      <c r="AD9796" s="117" t="str">
        <f>IFERROR(INDEX($AA$3:$AA$10000,MATCH(ROWS($AC$3:AC9796),$AC$3:$AC$10000,0)),"")</f>
        <v/>
      </c>
    </row>
    <row r="9797" spans="27:30">
      <c r="AA9797" s="117">
        <f>+'Ingredient List - Mother Tinctu'!D9798</f>
        <v>0</v>
      </c>
      <c r="AB9797" s="117">
        <f t="shared" si="156"/>
        <v>0</v>
      </c>
      <c r="AC9797" s="117" t="str">
        <f>IF(AB9797=1,COUNTIF($AB$3:AB9797,1),"")</f>
        <v/>
      </c>
      <c r="AD9797" s="117" t="str">
        <f>IFERROR(INDEX($AA$3:$AA$10000,MATCH(ROWS($AC$3:AC9797),$AC$3:$AC$10000,0)),"")</f>
        <v/>
      </c>
    </row>
    <row r="9798" spans="27:30">
      <c r="AA9798" s="117">
        <f>+'Ingredient List - Mother Tinctu'!D9799</f>
        <v>0</v>
      </c>
      <c r="AB9798" s="117">
        <f t="shared" si="156"/>
        <v>0</v>
      </c>
      <c r="AC9798" s="117" t="str">
        <f>IF(AB9798=1,COUNTIF($AB$3:AB9798,1),"")</f>
        <v/>
      </c>
      <c r="AD9798" s="117" t="str">
        <f>IFERROR(INDEX($AA$3:$AA$10000,MATCH(ROWS($AC$3:AC9798),$AC$3:$AC$10000,0)),"")</f>
        <v/>
      </c>
    </row>
    <row r="9799" spans="27:30">
      <c r="AA9799" s="117">
        <f>+'Ingredient List - Mother Tinctu'!D9800</f>
        <v>0</v>
      </c>
      <c r="AB9799" s="117">
        <f t="shared" si="156"/>
        <v>0</v>
      </c>
      <c r="AC9799" s="117" t="str">
        <f>IF(AB9799=1,COUNTIF($AB$3:AB9799,1),"")</f>
        <v/>
      </c>
      <c r="AD9799" s="117" t="str">
        <f>IFERROR(INDEX($AA$3:$AA$10000,MATCH(ROWS($AC$3:AC9799),$AC$3:$AC$10000,0)),"")</f>
        <v/>
      </c>
    </row>
    <row r="9800" spans="27:30">
      <c r="AA9800" s="117">
        <f>+'Ingredient List - Mother Tinctu'!D9801</f>
        <v>0</v>
      </c>
      <c r="AB9800" s="117">
        <f t="shared" si="156"/>
        <v>0</v>
      </c>
      <c r="AC9800" s="117" t="str">
        <f>IF(AB9800=1,COUNTIF($AB$3:AB9800,1),"")</f>
        <v/>
      </c>
      <c r="AD9800" s="117" t="str">
        <f>IFERROR(INDEX($AA$3:$AA$10000,MATCH(ROWS($AC$3:AC9800),$AC$3:$AC$10000,0)),"")</f>
        <v/>
      </c>
    </row>
    <row r="9801" spans="27:30">
      <c r="AA9801" s="117">
        <f>+'Ingredient List - Mother Tinctu'!D9802</f>
        <v>0</v>
      </c>
      <c r="AB9801" s="117">
        <f t="shared" si="156"/>
        <v>0</v>
      </c>
      <c r="AC9801" s="117" t="str">
        <f>IF(AB9801=1,COUNTIF($AB$3:AB9801,1),"")</f>
        <v/>
      </c>
      <c r="AD9801" s="117" t="str">
        <f>IFERROR(INDEX($AA$3:$AA$10000,MATCH(ROWS($AC$3:AC9801),$AC$3:$AC$10000,0)),"")</f>
        <v/>
      </c>
    </row>
    <row r="9802" spans="27:30">
      <c r="AA9802" s="117">
        <f>+'Ingredient List - Mother Tinctu'!D9803</f>
        <v>0</v>
      </c>
      <c r="AB9802" s="117">
        <f t="shared" si="156"/>
        <v>0</v>
      </c>
      <c r="AC9802" s="117" t="str">
        <f>IF(AB9802=1,COUNTIF($AB$3:AB9802,1),"")</f>
        <v/>
      </c>
      <c r="AD9802" s="117" t="str">
        <f>IFERROR(INDEX($AA$3:$AA$10000,MATCH(ROWS($AC$3:AC9802),$AC$3:$AC$10000,0)),"")</f>
        <v/>
      </c>
    </row>
    <row r="9803" spans="27:30">
      <c r="AA9803" s="117">
        <f>+'Ingredient List - Mother Tinctu'!D9804</f>
        <v>0</v>
      </c>
      <c r="AB9803" s="117">
        <f t="shared" si="156"/>
        <v>0</v>
      </c>
      <c r="AC9803" s="117" t="str">
        <f>IF(AB9803=1,COUNTIF($AB$3:AB9803,1),"")</f>
        <v/>
      </c>
      <c r="AD9803" s="117" t="str">
        <f>IFERROR(INDEX($AA$3:$AA$10000,MATCH(ROWS($AC$3:AC9803),$AC$3:$AC$10000,0)),"")</f>
        <v/>
      </c>
    </row>
    <row r="9804" spans="27:30">
      <c r="AA9804" s="117">
        <f>+'Ingredient List - Mother Tinctu'!D9805</f>
        <v>0</v>
      </c>
      <c r="AB9804" s="117">
        <f t="shared" si="156"/>
        <v>0</v>
      </c>
      <c r="AC9804" s="117" t="str">
        <f>IF(AB9804=1,COUNTIF($AB$3:AB9804,1),"")</f>
        <v/>
      </c>
      <c r="AD9804" s="117" t="str">
        <f>IFERROR(INDEX($AA$3:$AA$10000,MATCH(ROWS($AC$3:AC9804),$AC$3:$AC$10000,0)),"")</f>
        <v/>
      </c>
    </row>
    <row r="9805" spans="27:30">
      <c r="AA9805" s="117">
        <f>+'Ingredient List - Mother Tinctu'!D9806</f>
        <v>0</v>
      </c>
      <c r="AB9805" s="117">
        <f t="shared" si="156"/>
        <v>0</v>
      </c>
      <c r="AC9805" s="117" t="str">
        <f>IF(AB9805=1,COUNTIF($AB$3:AB9805,1),"")</f>
        <v/>
      </c>
      <c r="AD9805" s="117" t="str">
        <f>IFERROR(INDEX($AA$3:$AA$10000,MATCH(ROWS($AC$3:AC9805),$AC$3:$AC$10000,0)),"")</f>
        <v/>
      </c>
    </row>
    <row r="9806" spans="27:30">
      <c r="AA9806" s="117">
        <f>+'Ingredient List - Mother Tinctu'!D9807</f>
        <v>0</v>
      </c>
      <c r="AB9806" s="117">
        <f t="shared" si="156"/>
        <v>0</v>
      </c>
      <c r="AC9806" s="117" t="str">
        <f>IF(AB9806=1,COUNTIF($AB$3:AB9806,1),"")</f>
        <v/>
      </c>
      <c r="AD9806" s="117" t="str">
        <f>IFERROR(INDEX($AA$3:$AA$10000,MATCH(ROWS($AC$3:AC9806),$AC$3:$AC$10000,0)),"")</f>
        <v/>
      </c>
    </row>
    <row r="9807" spans="27:30">
      <c r="AA9807" s="117">
        <f>+'Ingredient List - Mother Tinctu'!D9808</f>
        <v>0</v>
      </c>
      <c r="AB9807" s="117">
        <f t="shared" si="156"/>
        <v>0</v>
      </c>
      <c r="AC9807" s="117" t="str">
        <f>IF(AB9807=1,COUNTIF($AB$3:AB9807,1),"")</f>
        <v/>
      </c>
      <c r="AD9807" s="117" t="str">
        <f>IFERROR(INDEX($AA$3:$AA$10000,MATCH(ROWS($AC$3:AC9807),$AC$3:$AC$10000,0)),"")</f>
        <v/>
      </c>
    </row>
    <row r="9808" spans="27:30">
      <c r="AA9808" s="117">
        <f>+'Ingredient List - Mother Tinctu'!D9809</f>
        <v>0</v>
      </c>
      <c r="AB9808" s="117">
        <f t="shared" si="156"/>
        <v>0</v>
      </c>
      <c r="AC9808" s="117" t="str">
        <f>IF(AB9808=1,COUNTIF($AB$3:AB9808,1),"")</f>
        <v/>
      </c>
      <c r="AD9808" s="117" t="str">
        <f>IFERROR(INDEX($AA$3:$AA$10000,MATCH(ROWS($AC$3:AC9808),$AC$3:$AC$10000,0)),"")</f>
        <v/>
      </c>
    </row>
    <row r="9809" spans="27:30">
      <c r="AA9809" s="117">
        <f>+'Ingredient List - Mother Tinctu'!D9810</f>
        <v>0</v>
      </c>
      <c r="AB9809" s="117">
        <f t="shared" si="156"/>
        <v>0</v>
      </c>
      <c r="AC9809" s="117" t="str">
        <f>IF(AB9809=1,COUNTIF($AB$3:AB9809,1),"")</f>
        <v/>
      </c>
      <c r="AD9809" s="117" t="str">
        <f>IFERROR(INDEX($AA$3:$AA$10000,MATCH(ROWS($AC$3:AC9809),$AC$3:$AC$10000,0)),"")</f>
        <v/>
      </c>
    </row>
    <row r="9810" spans="27:30">
      <c r="AA9810" s="117">
        <f>+'Ingredient List - Mother Tinctu'!D9811</f>
        <v>0</v>
      </c>
      <c r="AB9810" s="117">
        <f t="shared" si="156"/>
        <v>0</v>
      </c>
      <c r="AC9810" s="117" t="str">
        <f>IF(AB9810=1,COUNTIF($AB$3:AB9810,1),"")</f>
        <v/>
      </c>
      <c r="AD9810" s="117" t="str">
        <f>IFERROR(INDEX($AA$3:$AA$10000,MATCH(ROWS($AC$3:AC9810),$AC$3:$AC$10000,0)),"")</f>
        <v/>
      </c>
    </row>
    <row r="9811" spans="27:30">
      <c r="AA9811" s="117">
        <f>+'Ingredient List - Mother Tinctu'!D9812</f>
        <v>0</v>
      </c>
      <c r="AB9811" s="117">
        <f t="shared" si="156"/>
        <v>0</v>
      </c>
      <c r="AC9811" s="117" t="str">
        <f>IF(AB9811=1,COUNTIF($AB$3:AB9811,1),"")</f>
        <v/>
      </c>
      <c r="AD9811" s="117" t="str">
        <f>IFERROR(INDEX($AA$3:$AA$10000,MATCH(ROWS($AC$3:AC9811),$AC$3:$AC$10000,0)),"")</f>
        <v/>
      </c>
    </row>
    <row r="9812" spans="27:30">
      <c r="AA9812" s="117">
        <f>+'Ingredient List - Mother Tinctu'!D9813</f>
        <v>0</v>
      </c>
      <c r="AB9812" s="117">
        <f t="shared" si="156"/>
        <v>0</v>
      </c>
      <c r="AC9812" s="117" t="str">
        <f>IF(AB9812=1,COUNTIF($AB$3:AB9812,1),"")</f>
        <v/>
      </c>
      <c r="AD9812" s="117" t="str">
        <f>IFERROR(INDEX($AA$3:$AA$10000,MATCH(ROWS($AC$3:AC9812),$AC$3:$AC$10000,0)),"")</f>
        <v/>
      </c>
    </row>
    <row r="9813" spans="27:30">
      <c r="AA9813" s="117">
        <f>+'Ingredient List - Mother Tinctu'!D9814</f>
        <v>0</v>
      </c>
      <c r="AB9813" s="117">
        <f t="shared" si="156"/>
        <v>0</v>
      </c>
      <c r="AC9813" s="117" t="str">
        <f>IF(AB9813=1,COUNTIF($AB$3:AB9813,1),"")</f>
        <v/>
      </c>
      <c r="AD9813" s="117" t="str">
        <f>IFERROR(INDEX($AA$3:$AA$10000,MATCH(ROWS($AC$3:AC9813),$AC$3:$AC$10000,0)),"")</f>
        <v/>
      </c>
    </row>
    <row r="9814" spans="27:30">
      <c r="AA9814" s="117">
        <f>+'Ingredient List - Mother Tinctu'!D9815</f>
        <v>0</v>
      </c>
      <c r="AB9814" s="117">
        <f t="shared" si="156"/>
        <v>0</v>
      </c>
      <c r="AC9814" s="117" t="str">
        <f>IF(AB9814=1,COUNTIF($AB$3:AB9814,1),"")</f>
        <v/>
      </c>
      <c r="AD9814" s="117" t="str">
        <f>IFERROR(INDEX($AA$3:$AA$10000,MATCH(ROWS($AC$3:AC9814),$AC$3:$AC$10000,0)),"")</f>
        <v/>
      </c>
    </row>
    <row r="9815" spans="27:30">
      <c r="AA9815" s="117">
        <f>+'Ingredient List - Mother Tinctu'!D9816</f>
        <v>0</v>
      </c>
      <c r="AB9815" s="117">
        <f t="shared" si="156"/>
        <v>0</v>
      </c>
      <c r="AC9815" s="117" t="str">
        <f>IF(AB9815=1,COUNTIF($AB$3:AB9815,1),"")</f>
        <v/>
      </c>
      <c r="AD9815" s="117" t="str">
        <f>IFERROR(INDEX($AA$3:$AA$10000,MATCH(ROWS($AC$3:AC9815),$AC$3:$AC$10000,0)),"")</f>
        <v/>
      </c>
    </row>
    <row r="9816" spans="27:30">
      <c r="AA9816" s="117">
        <f>+'Ingredient List - Mother Tinctu'!D9817</f>
        <v>0</v>
      </c>
      <c r="AB9816" s="117">
        <f t="shared" si="156"/>
        <v>0</v>
      </c>
      <c r="AC9816" s="117" t="str">
        <f>IF(AB9816=1,COUNTIF($AB$3:AB9816,1),"")</f>
        <v/>
      </c>
      <c r="AD9816" s="117" t="str">
        <f>IFERROR(INDEX($AA$3:$AA$10000,MATCH(ROWS($AC$3:AC9816),$AC$3:$AC$10000,0)),"")</f>
        <v/>
      </c>
    </row>
    <row r="9817" spans="27:30">
      <c r="AA9817" s="117">
        <f>+'Ingredient List - Mother Tinctu'!D9818</f>
        <v>0</v>
      </c>
      <c r="AB9817" s="117">
        <f t="shared" si="156"/>
        <v>0</v>
      </c>
      <c r="AC9817" s="117" t="str">
        <f>IF(AB9817=1,COUNTIF($AB$3:AB9817,1),"")</f>
        <v/>
      </c>
      <c r="AD9817" s="117" t="str">
        <f>IFERROR(INDEX($AA$3:$AA$10000,MATCH(ROWS($AC$3:AC9817),$AC$3:$AC$10000,0)),"")</f>
        <v/>
      </c>
    </row>
    <row r="9818" spans="27:30">
      <c r="AA9818" s="117">
        <f>+'Ingredient List - Mother Tinctu'!D9819</f>
        <v>0</v>
      </c>
      <c r="AB9818" s="117">
        <f t="shared" si="156"/>
        <v>0</v>
      </c>
      <c r="AC9818" s="117" t="str">
        <f>IF(AB9818=1,COUNTIF($AB$3:AB9818,1),"")</f>
        <v/>
      </c>
      <c r="AD9818" s="117" t="str">
        <f>IFERROR(INDEX($AA$3:$AA$10000,MATCH(ROWS($AC$3:AC9818),$AC$3:$AC$10000,0)),"")</f>
        <v/>
      </c>
    </row>
    <row r="9819" spans="27:30">
      <c r="AA9819" s="117">
        <f>+'Ingredient List - Mother Tinctu'!D9820</f>
        <v>0</v>
      </c>
      <c r="AB9819" s="117">
        <f t="shared" si="156"/>
        <v>0</v>
      </c>
      <c r="AC9819" s="117" t="str">
        <f>IF(AB9819=1,COUNTIF($AB$3:AB9819,1),"")</f>
        <v/>
      </c>
      <c r="AD9819" s="117" t="str">
        <f>IFERROR(INDEX($AA$3:$AA$10000,MATCH(ROWS($AC$3:AC9819),$AC$3:$AC$10000,0)),"")</f>
        <v/>
      </c>
    </row>
    <row r="9820" spans="27:30">
      <c r="AA9820" s="117">
        <f>+'Ingredient List - Mother Tinctu'!D9821</f>
        <v>0</v>
      </c>
      <c r="AB9820" s="117">
        <f t="shared" si="156"/>
        <v>0</v>
      </c>
      <c r="AC9820" s="117" t="str">
        <f>IF(AB9820=1,COUNTIF($AB$3:AB9820,1),"")</f>
        <v/>
      </c>
      <c r="AD9820" s="117" t="str">
        <f>IFERROR(INDEX($AA$3:$AA$10000,MATCH(ROWS($AC$3:AC9820),$AC$3:$AC$10000,0)),"")</f>
        <v/>
      </c>
    </row>
    <row r="9821" spans="27:30">
      <c r="AA9821" s="117">
        <f>+'Ingredient List - Mother Tinctu'!D9822</f>
        <v>0</v>
      </c>
      <c r="AB9821" s="117">
        <f t="shared" si="156"/>
        <v>0</v>
      </c>
      <c r="AC9821" s="117" t="str">
        <f>IF(AB9821=1,COUNTIF($AB$3:AB9821,1),"")</f>
        <v/>
      </c>
      <c r="AD9821" s="117" t="str">
        <f>IFERROR(INDEX($AA$3:$AA$10000,MATCH(ROWS($AC$3:AC9821),$AC$3:$AC$10000,0)),"")</f>
        <v/>
      </c>
    </row>
    <row r="9822" spans="27:30">
      <c r="AA9822" s="117">
        <f>+'Ingredient List - Mother Tinctu'!D9823</f>
        <v>0</v>
      </c>
      <c r="AB9822" s="117">
        <f t="shared" si="156"/>
        <v>0</v>
      </c>
      <c r="AC9822" s="117" t="str">
        <f>IF(AB9822=1,COUNTIF($AB$3:AB9822,1),"")</f>
        <v/>
      </c>
      <c r="AD9822" s="117" t="str">
        <f>IFERROR(INDEX($AA$3:$AA$10000,MATCH(ROWS($AC$3:AC9822),$AC$3:$AC$10000,0)),"")</f>
        <v/>
      </c>
    </row>
    <row r="9823" spans="27:30">
      <c r="AA9823" s="117">
        <f>+'Ingredient List - Mother Tinctu'!D9824</f>
        <v>0</v>
      </c>
      <c r="AB9823" s="117">
        <f t="shared" si="156"/>
        <v>0</v>
      </c>
      <c r="AC9823" s="117" t="str">
        <f>IF(AB9823=1,COUNTIF($AB$3:AB9823,1),"")</f>
        <v/>
      </c>
      <c r="AD9823" s="117" t="str">
        <f>IFERROR(INDEX($AA$3:$AA$10000,MATCH(ROWS($AC$3:AC9823),$AC$3:$AC$10000,0)),"")</f>
        <v/>
      </c>
    </row>
    <row r="9824" spans="27:30">
      <c r="AA9824" s="117">
        <f>+'Ingredient List - Mother Tinctu'!D9825</f>
        <v>0</v>
      </c>
      <c r="AB9824" s="117">
        <f t="shared" si="156"/>
        <v>0</v>
      </c>
      <c r="AC9824" s="117" t="str">
        <f>IF(AB9824=1,COUNTIF($AB$3:AB9824,1),"")</f>
        <v/>
      </c>
      <c r="AD9824" s="117" t="str">
        <f>IFERROR(INDEX($AA$3:$AA$10000,MATCH(ROWS($AC$3:AC9824),$AC$3:$AC$10000,0)),"")</f>
        <v/>
      </c>
    </row>
    <row r="9825" spans="27:30">
      <c r="AA9825" s="117">
        <f>+'Ingredient List - Mother Tinctu'!D9826</f>
        <v>0</v>
      </c>
      <c r="AB9825" s="117">
        <f t="shared" si="156"/>
        <v>0</v>
      </c>
      <c r="AC9825" s="117" t="str">
        <f>IF(AB9825=1,COUNTIF($AB$3:AB9825,1),"")</f>
        <v/>
      </c>
      <c r="AD9825" s="117" t="str">
        <f>IFERROR(INDEX($AA$3:$AA$10000,MATCH(ROWS($AC$3:AC9825),$AC$3:$AC$10000,0)),"")</f>
        <v/>
      </c>
    </row>
    <row r="9826" spans="27:30">
      <c r="AA9826" s="117">
        <f>+'Ingredient List - Mother Tinctu'!D9827</f>
        <v>0</v>
      </c>
      <c r="AB9826" s="117">
        <f t="shared" si="156"/>
        <v>0</v>
      </c>
      <c r="AC9826" s="117" t="str">
        <f>IF(AB9826=1,COUNTIF($AB$3:AB9826,1),"")</f>
        <v/>
      </c>
      <c r="AD9826" s="117" t="str">
        <f>IFERROR(INDEX($AA$3:$AA$10000,MATCH(ROWS($AC$3:AC9826),$AC$3:$AC$10000,0)),"")</f>
        <v/>
      </c>
    </row>
    <row r="9827" spans="27:30">
      <c r="AA9827" s="117">
        <f>+'Ingredient List - Mother Tinctu'!D9828</f>
        <v>0</v>
      </c>
      <c r="AB9827" s="117">
        <f t="shared" si="156"/>
        <v>0</v>
      </c>
      <c r="AC9827" s="117" t="str">
        <f>IF(AB9827=1,COUNTIF($AB$3:AB9827,1),"")</f>
        <v/>
      </c>
      <c r="AD9827" s="117" t="str">
        <f>IFERROR(INDEX($AA$3:$AA$10000,MATCH(ROWS($AC$3:AC9827),$AC$3:$AC$10000,0)),"")</f>
        <v/>
      </c>
    </row>
    <row r="9828" spans="27:30">
      <c r="AA9828" s="117">
        <f>+'Ingredient List - Mother Tinctu'!D9829</f>
        <v>0</v>
      </c>
      <c r="AB9828" s="117">
        <f t="shared" si="156"/>
        <v>0</v>
      </c>
      <c r="AC9828" s="117" t="str">
        <f>IF(AB9828=1,COUNTIF($AB$3:AB9828,1),"")</f>
        <v/>
      </c>
      <c r="AD9828" s="117" t="str">
        <f>IFERROR(INDEX($AA$3:$AA$10000,MATCH(ROWS($AC$3:AC9828),$AC$3:$AC$10000,0)),"")</f>
        <v/>
      </c>
    </row>
    <row r="9829" spans="27:30">
      <c r="AA9829" s="117">
        <f>+'Ingredient List - Mother Tinctu'!D9830</f>
        <v>0</v>
      </c>
      <c r="AB9829" s="117">
        <f t="shared" si="156"/>
        <v>0</v>
      </c>
      <c r="AC9829" s="117" t="str">
        <f>IF(AB9829=1,COUNTIF($AB$3:AB9829,1),"")</f>
        <v/>
      </c>
      <c r="AD9829" s="117" t="str">
        <f>IFERROR(INDEX($AA$3:$AA$10000,MATCH(ROWS($AC$3:AC9829),$AC$3:$AC$10000,0)),"")</f>
        <v/>
      </c>
    </row>
    <row r="9830" spans="27:30">
      <c r="AA9830" s="117">
        <f>+'Ingredient List - Mother Tinctu'!D9831</f>
        <v>0</v>
      </c>
      <c r="AB9830" s="117">
        <f t="shared" si="156"/>
        <v>0</v>
      </c>
      <c r="AC9830" s="117" t="str">
        <f>IF(AB9830=1,COUNTIF($AB$3:AB9830,1),"")</f>
        <v/>
      </c>
      <c r="AD9830" s="117" t="str">
        <f>IFERROR(INDEX($AA$3:$AA$10000,MATCH(ROWS($AC$3:AC9830),$AC$3:$AC$10000,0)),"")</f>
        <v/>
      </c>
    </row>
    <row r="9831" spans="27:30">
      <c r="AA9831" s="117">
        <f>+'Ingredient List - Mother Tinctu'!D9832</f>
        <v>0</v>
      </c>
      <c r="AB9831" s="117">
        <f t="shared" si="156"/>
        <v>0</v>
      </c>
      <c r="AC9831" s="117" t="str">
        <f>IF(AB9831=1,COUNTIF($AB$3:AB9831,1),"")</f>
        <v/>
      </c>
      <c r="AD9831" s="117" t="str">
        <f>IFERROR(INDEX($AA$3:$AA$10000,MATCH(ROWS($AC$3:AC9831),$AC$3:$AC$10000,0)),"")</f>
        <v/>
      </c>
    </row>
    <row r="9832" spans="27:30">
      <c r="AA9832" s="117">
        <f>+'Ingredient List - Mother Tinctu'!D9833</f>
        <v>0</v>
      </c>
      <c r="AB9832" s="117">
        <f t="shared" si="156"/>
        <v>0</v>
      </c>
      <c r="AC9832" s="117" t="str">
        <f>IF(AB9832=1,COUNTIF($AB$3:AB9832,1),"")</f>
        <v/>
      </c>
      <c r="AD9832" s="117" t="str">
        <f>IFERROR(INDEX($AA$3:$AA$10000,MATCH(ROWS($AC$3:AC9832),$AC$3:$AC$10000,0)),"")</f>
        <v/>
      </c>
    </row>
    <row r="9833" spans="27:30">
      <c r="AA9833" s="117">
        <f>+'Ingredient List - Mother Tinctu'!D9834</f>
        <v>0</v>
      </c>
      <c r="AB9833" s="117">
        <f t="shared" si="156"/>
        <v>0</v>
      </c>
      <c r="AC9833" s="117" t="str">
        <f>IF(AB9833=1,COUNTIF($AB$3:AB9833,1),"")</f>
        <v/>
      </c>
      <c r="AD9833" s="117" t="str">
        <f>IFERROR(INDEX($AA$3:$AA$10000,MATCH(ROWS($AC$3:AC9833),$AC$3:$AC$10000,0)),"")</f>
        <v/>
      </c>
    </row>
    <row r="9834" spans="27:30">
      <c r="AA9834" s="117">
        <f>+'Ingredient List - Mother Tinctu'!D9835</f>
        <v>0</v>
      </c>
      <c r="AB9834" s="117">
        <f t="shared" si="156"/>
        <v>0</v>
      </c>
      <c r="AC9834" s="117" t="str">
        <f>IF(AB9834=1,COUNTIF($AB$3:AB9834,1),"")</f>
        <v/>
      </c>
      <c r="AD9834" s="117" t="str">
        <f>IFERROR(INDEX($AA$3:$AA$10000,MATCH(ROWS($AC$3:AC9834),$AC$3:$AC$10000,0)),"")</f>
        <v/>
      </c>
    </row>
    <row r="9835" spans="27:30">
      <c r="AA9835" s="117">
        <f>+'Ingredient List - Mother Tinctu'!D9836</f>
        <v>0</v>
      </c>
      <c r="AB9835" s="117">
        <f t="shared" si="156"/>
        <v>0</v>
      </c>
      <c r="AC9835" s="117" t="str">
        <f>IF(AB9835=1,COUNTIF($AB$3:AB9835,1),"")</f>
        <v/>
      </c>
      <c r="AD9835" s="117" t="str">
        <f>IFERROR(INDEX($AA$3:$AA$10000,MATCH(ROWS($AC$3:AC9835),$AC$3:$AC$10000,0)),"")</f>
        <v/>
      </c>
    </row>
    <row r="9836" spans="27:30">
      <c r="AA9836" s="117">
        <f>+'Ingredient List - Mother Tinctu'!D9837</f>
        <v>0</v>
      </c>
      <c r="AB9836" s="117">
        <f t="shared" si="156"/>
        <v>0</v>
      </c>
      <c r="AC9836" s="117" t="str">
        <f>IF(AB9836=1,COUNTIF($AB$3:AB9836,1),"")</f>
        <v/>
      </c>
      <c r="AD9836" s="117" t="str">
        <f>IFERROR(INDEX($AA$3:$AA$10000,MATCH(ROWS($AC$3:AC9836),$AC$3:$AC$10000,0)),"")</f>
        <v/>
      </c>
    </row>
    <row r="9837" spans="27:30">
      <c r="AA9837" s="117">
        <f>+'Ingredient List - Mother Tinctu'!D9838</f>
        <v>0</v>
      </c>
      <c r="AB9837" s="117">
        <f t="shared" si="156"/>
        <v>0</v>
      </c>
      <c r="AC9837" s="117" t="str">
        <f>IF(AB9837=1,COUNTIF($AB$3:AB9837,1),"")</f>
        <v/>
      </c>
      <c r="AD9837" s="117" t="str">
        <f>IFERROR(INDEX($AA$3:$AA$10000,MATCH(ROWS($AC$3:AC9837),$AC$3:$AC$10000,0)),"")</f>
        <v/>
      </c>
    </row>
    <row r="9838" spans="27:30">
      <c r="AA9838" s="117">
        <f>+'Ingredient List - Mother Tinctu'!D9839</f>
        <v>0</v>
      </c>
      <c r="AB9838" s="117">
        <f t="shared" si="156"/>
        <v>0</v>
      </c>
      <c r="AC9838" s="117" t="str">
        <f>IF(AB9838=1,COUNTIF($AB$3:AB9838,1),"")</f>
        <v/>
      </c>
      <c r="AD9838" s="117" t="str">
        <f>IFERROR(INDEX($AA$3:$AA$10000,MATCH(ROWS($AC$3:AC9838),$AC$3:$AC$10000,0)),"")</f>
        <v/>
      </c>
    </row>
    <row r="9839" spans="27:30">
      <c r="AA9839" s="117">
        <f>+'Ingredient List - Mother Tinctu'!D9840</f>
        <v>0</v>
      </c>
      <c r="AB9839" s="117">
        <f t="shared" si="156"/>
        <v>0</v>
      </c>
      <c r="AC9839" s="117" t="str">
        <f>IF(AB9839=1,COUNTIF($AB$3:AB9839,1),"")</f>
        <v/>
      </c>
      <c r="AD9839" s="117" t="str">
        <f>IFERROR(INDEX($AA$3:$AA$10000,MATCH(ROWS($AC$3:AC9839),$AC$3:$AC$10000,0)),"")</f>
        <v/>
      </c>
    </row>
    <row r="9840" spans="27:30">
      <c r="AA9840" s="117">
        <f>+'Ingredient List - Mother Tinctu'!D9841</f>
        <v>0</v>
      </c>
      <c r="AB9840" s="117">
        <f t="shared" si="156"/>
        <v>0</v>
      </c>
      <c r="AC9840" s="117" t="str">
        <f>IF(AB9840=1,COUNTIF($AB$3:AB9840,1),"")</f>
        <v/>
      </c>
      <c r="AD9840" s="117" t="str">
        <f>IFERROR(INDEX($AA$3:$AA$10000,MATCH(ROWS($AC$3:AC9840),$AC$3:$AC$10000,0)),"")</f>
        <v/>
      </c>
    </row>
    <row r="9841" spans="27:30">
      <c r="AA9841" s="117">
        <f>+'Ingredient List - Mother Tinctu'!D9842</f>
        <v>0</v>
      </c>
      <c r="AB9841" s="117">
        <f t="shared" si="156"/>
        <v>0</v>
      </c>
      <c r="AC9841" s="117" t="str">
        <f>IF(AB9841=1,COUNTIF($AB$3:AB9841,1),"")</f>
        <v/>
      </c>
      <c r="AD9841" s="117" t="str">
        <f>IFERROR(INDEX($AA$3:$AA$10000,MATCH(ROWS($AC$3:AC9841),$AC$3:$AC$10000,0)),"")</f>
        <v/>
      </c>
    </row>
    <row r="9842" spans="27:30">
      <c r="AA9842" s="117">
        <f>+'Ingredient List - Mother Tinctu'!D9843</f>
        <v>0</v>
      </c>
      <c r="AB9842" s="117">
        <f t="shared" si="156"/>
        <v>0</v>
      </c>
      <c r="AC9842" s="117" t="str">
        <f>IF(AB9842=1,COUNTIF($AB$3:AB9842,1),"")</f>
        <v/>
      </c>
      <c r="AD9842" s="117" t="str">
        <f>IFERROR(INDEX($AA$3:$AA$10000,MATCH(ROWS($AC$3:AC9842),$AC$3:$AC$10000,0)),"")</f>
        <v/>
      </c>
    </row>
    <row r="9843" spans="27:30">
      <c r="AA9843" s="117">
        <f>+'Ingredient List - Mother Tinctu'!D9844</f>
        <v>0</v>
      </c>
      <c r="AB9843" s="117">
        <f t="shared" si="156"/>
        <v>0</v>
      </c>
      <c r="AC9843" s="117" t="str">
        <f>IF(AB9843=1,COUNTIF($AB$3:AB9843,1),"")</f>
        <v/>
      </c>
      <c r="AD9843" s="117" t="str">
        <f>IFERROR(INDEX($AA$3:$AA$10000,MATCH(ROWS($AC$3:AC9843),$AC$3:$AC$10000,0)),"")</f>
        <v/>
      </c>
    </row>
    <row r="9844" spans="27:30">
      <c r="AA9844" s="117">
        <f>+'Ingredient List - Mother Tinctu'!D9845</f>
        <v>0</v>
      </c>
      <c r="AB9844" s="117">
        <f t="shared" si="156"/>
        <v>0</v>
      </c>
      <c r="AC9844" s="117" t="str">
        <f>IF(AB9844=1,COUNTIF($AB$3:AB9844,1),"")</f>
        <v/>
      </c>
      <c r="AD9844" s="117" t="str">
        <f>IFERROR(INDEX($AA$3:$AA$10000,MATCH(ROWS($AC$3:AC9844),$AC$3:$AC$10000,0)),"")</f>
        <v/>
      </c>
    </row>
    <row r="9845" spans="27:30">
      <c r="AA9845" s="117">
        <f>+'Ingredient List - Mother Tinctu'!D9846</f>
        <v>0</v>
      </c>
      <c r="AB9845" s="117">
        <f t="shared" si="156"/>
        <v>0</v>
      </c>
      <c r="AC9845" s="117" t="str">
        <f>IF(AB9845=1,COUNTIF($AB$3:AB9845,1),"")</f>
        <v/>
      </c>
      <c r="AD9845" s="117" t="str">
        <f>IFERROR(INDEX($AA$3:$AA$10000,MATCH(ROWS($AC$3:AC9845),$AC$3:$AC$10000,0)),"")</f>
        <v/>
      </c>
    </row>
    <row r="9846" spans="27:30">
      <c r="AA9846" s="117">
        <f>+'Ingredient List - Mother Tinctu'!D9847</f>
        <v>0</v>
      </c>
      <c r="AB9846" s="117">
        <f t="shared" si="156"/>
        <v>0</v>
      </c>
      <c r="AC9846" s="117" t="str">
        <f>IF(AB9846=1,COUNTIF($AB$3:AB9846,1),"")</f>
        <v/>
      </c>
      <c r="AD9846" s="117" t="str">
        <f>IFERROR(INDEX($AA$3:$AA$10000,MATCH(ROWS($AC$3:AC9846),$AC$3:$AC$10000,0)),"")</f>
        <v/>
      </c>
    </row>
    <row r="9847" spans="27:30">
      <c r="AA9847" s="117">
        <f>+'Ingredient List - Mother Tinctu'!D9848</f>
        <v>0</v>
      </c>
      <c r="AB9847" s="117">
        <f t="shared" si="156"/>
        <v>0</v>
      </c>
      <c r="AC9847" s="117" t="str">
        <f>IF(AB9847=1,COUNTIF($AB$3:AB9847,1),"")</f>
        <v/>
      </c>
      <c r="AD9847" s="117" t="str">
        <f>IFERROR(INDEX($AA$3:$AA$10000,MATCH(ROWS($AC$3:AC9847),$AC$3:$AC$10000,0)),"")</f>
        <v/>
      </c>
    </row>
    <row r="9848" spans="27:30">
      <c r="AA9848" s="117">
        <f>+'Ingredient List - Mother Tinctu'!D9849</f>
        <v>0</v>
      </c>
      <c r="AB9848" s="117">
        <f t="shared" si="156"/>
        <v>0</v>
      </c>
      <c r="AC9848" s="117" t="str">
        <f>IF(AB9848=1,COUNTIF($AB$3:AB9848,1),"")</f>
        <v/>
      </c>
      <c r="AD9848" s="117" t="str">
        <f>IFERROR(INDEX($AA$3:$AA$10000,MATCH(ROWS($AC$3:AC9848),$AC$3:$AC$10000,0)),"")</f>
        <v/>
      </c>
    </row>
    <row r="9849" spans="27:30">
      <c r="AA9849" s="117">
        <f>+'Ingredient List - Mother Tinctu'!D9850</f>
        <v>0</v>
      </c>
      <c r="AB9849" s="117">
        <f t="shared" si="156"/>
        <v>0</v>
      </c>
      <c r="AC9849" s="117" t="str">
        <f>IF(AB9849=1,COUNTIF($AB$3:AB9849,1),"")</f>
        <v/>
      </c>
      <c r="AD9849" s="117" t="str">
        <f>IFERROR(INDEX($AA$3:$AA$10000,MATCH(ROWS($AC$3:AC9849),$AC$3:$AC$10000,0)),"")</f>
        <v/>
      </c>
    </row>
    <row r="9850" spans="27:30">
      <c r="AA9850" s="117">
        <f>+'Ingredient List - Mother Tinctu'!D9851</f>
        <v>0</v>
      </c>
      <c r="AB9850" s="117">
        <f t="shared" si="156"/>
        <v>0</v>
      </c>
      <c r="AC9850" s="117" t="str">
        <f>IF(AB9850=1,COUNTIF($AB$3:AB9850,1),"")</f>
        <v/>
      </c>
      <c r="AD9850" s="117" t="str">
        <f>IFERROR(INDEX($AA$3:$AA$10000,MATCH(ROWS($AC$3:AC9850),$AC$3:$AC$10000,0)),"")</f>
        <v/>
      </c>
    </row>
    <row r="9851" spans="27:30">
      <c r="AA9851" s="117">
        <f>+'Ingredient List - Mother Tinctu'!D9852</f>
        <v>0</v>
      </c>
      <c r="AB9851" s="117">
        <f t="shared" si="156"/>
        <v>0</v>
      </c>
      <c r="AC9851" s="117" t="str">
        <f>IF(AB9851=1,COUNTIF($AB$3:AB9851,1),"")</f>
        <v/>
      </c>
      <c r="AD9851" s="117" t="str">
        <f>IFERROR(INDEX($AA$3:$AA$10000,MATCH(ROWS($AC$3:AC9851),$AC$3:$AC$10000,0)),"")</f>
        <v/>
      </c>
    </row>
    <row r="9852" spans="27:30">
      <c r="AA9852" s="117">
        <f>+'Ingredient List - Mother Tinctu'!D9853</f>
        <v>0</v>
      </c>
      <c r="AB9852" s="117">
        <f t="shared" si="156"/>
        <v>0</v>
      </c>
      <c r="AC9852" s="117" t="str">
        <f>IF(AB9852=1,COUNTIF($AB$3:AB9852,1),"")</f>
        <v/>
      </c>
      <c r="AD9852" s="117" t="str">
        <f>IFERROR(INDEX($AA$3:$AA$10000,MATCH(ROWS($AC$3:AC9852),$AC$3:$AC$10000,0)),"")</f>
        <v/>
      </c>
    </row>
    <row r="9853" spans="27:30">
      <c r="AA9853" s="117">
        <f>+'Ingredient List - Mother Tinctu'!D9854</f>
        <v>0</v>
      </c>
      <c r="AB9853" s="117">
        <f t="shared" si="156"/>
        <v>0</v>
      </c>
      <c r="AC9853" s="117" t="str">
        <f>IF(AB9853=1,COUNTIF($AB$3:AB9853,1),"")</f>
        <v/>
      </c>
      <c r="AD9853" s="117" t="str">
        <f>IFERROR(INDEX($AA$3:$AA$10000,MATCH(ROWS($AC$3:AC9853),$AC$3:$AC$10000,0)),"")</f>
        <v/>
      </c>
    </row>
    <row r="9854" spans="27:30">
      <c r="AA9854" s="117">
        <f>+'Ingredient List - Mother Tinctu'!D9855</f>
        <v>0</v>
      </c>
      <c r="AB9854" s="117">
        <f t="shared" si="156"/>
        <v>0</v>
      </c>
      <c r="AC9854" s="117" t="str">
        <f>IF(AB9854=1,COUNTIF($AB$3:AB9854,1),"")</f>
        <v/>
      </c>
      <c r="AD9854" s="117" t="str">
        <f>IFERROR(INDEX($AA$3:$AA$10000,MATCH(ROWS($AC$3:AC9854),$AC$3:$AC$10000,0)),"")</f>
        <v/>
      </c>
    </row>
    <row r="9855" spans="27:30">
      <c r="AA9855" s="117">
        <f>+'Ingredient List - Mother Tinctu'!D9856</f>
        <v>0</v>
      </c>
      <c r="AB9855" s="117">
        <f t="shared" si="156"/>
        <v>0</v>
      </c>
      <c r="AC9855" s="117" t="str">
        <f>IF(AB9855=1,COUNTIF($AB$3:AB9855,1),"")</f>
        <v/>
      </c>
      <c r="AD9855" s="117" t="str">
        <f>IFERROR(INDEX($AA$3:$AA$10000,MATCH(ROWS($AC$3:AC9855),$AC$3:$AC$10000,0)),"")</f>
        <v/>
      </c>
    </row>
    <row r="9856" spans="27:30">
      <c r="AA9856" s="117">
        <f>+'Ingredient List - Mother Tinctu'!D9857</f>
        <v>0</v>
      </c>
      <c r="AB9856" s="117">
        <f t="shared" si="156"/>
        <v>0</v>
      </c>
      <c r="AC9856" s="117" t="str">
        <f>IF(AB9856=1,COUNTIF($AB$3:AB9856,1),"")</f>
        <v/>
      </c>
      <c r="AD9856" s="117" t="str">
        <f>IFERROR(INDEX($AA$3:$AA$10000,MATCH(ROWS($AC$3:AC9856),$AC$3:$AC$10000,0)),"")</f>
        <v/>
      </c>
    </row>
    <row r="9857" spans="27:30">
      <c r="AA9857" s="117">
        <f>+'Ingredient List - Mother Tinctu'!D9858</f>
        <v>0</v>
      </c>
      <c r="AB9857" s="117">
        <f t="shared" si="156"/>
        <v>0</v>
      </c>
      <c r="AC9857" s="117" t="str">
        <f>IF(AB9857=1,COUNTIF($AB$3:AB9857,1),"")</f>
        <v/>
      </c>
      <c r="AD9857" s="117" t="str">
        <f>IFERROR(INDEX($AA$3:$AA$10000,MATCH(ROWS($AC$3:AC9857),$AC$3:$AC$10000,0)),"")</f>
        <v/>
      </c>
    </row>
    <row r="9858" spans="27:30">
      <c r="AA9858" s="117">
        <f>+'Ingredient List - Mother Tinctu'!D9859</f>
        <v>0</v>
      </c>
      <c r="AB9858" s="117">
        <f t="shared" si="156"/>
        <v>0</v>
      </c>
      <c r="AC9858" s="117" t="str">
        <f>IF(AB9858=1,COUNTIF($AB$3:AB9858,1),"")</f>
        <v/>
      </c>
      <c r="AD9858" s="117" t="str">
        <f>IFERROR(INDEX($AA$3:$AA$10000,MATCH(ROWS($AC$3:AC9858),$AC$3:$AC$10000,0)),"")</f>
        <v/>
      </c>
    </row>
    <row r="9859" spans="27:30">
      <c r="AA9859" s="117">
        <f>+'Ingredient List - Mother Tinctu'!D9860</f>
        <v>0</v>
      </c>
      <c r="AB9859" s="117">
        <f t="shared" si="156"/>
        <v>0</v>
      </c>
      <c r="AC9859" s="117" t="str">
        <f>IF(AB9859=1,COUNTIF($AB$3:AB9859,1),"")</f>
        <v/>
      </c>
      <c r="AD9859" s="117" t="str">
        <f>IFERROR(INDEX($AA$3:$AA$10000,MATCH(ROWS($AC$3:AC9859),$AC$3:$AC$10000,0)),"")</f>
        <v/>
      </c>
    </row>
    <row r="9860" spans="27:30">
      <c r="AA9860" s="117">
        <f>+'Ingredient List - Mother Tinctu'!D9861</f>
        <v>0</v>
      </c>
      <c r="AB9860" s="117">
        <f t="shared" ref="AB9860:AB9923" si="157">--ISNUMBER(IFERROR(SEARCH($D$3,AA9860,1),""))</f>
        <v>0</v>
      </c>
      <c r="AC9860" s="117" t="str">
        <f>IF(AB9860=1,COUNTIF($AB$3:AB9860,1),"")</f>
        <v/>
      </c>
      <c r="AD9860" s="117" t="str">
        <f>IFERROR(INDEX($AA$3:$AA$10000,MATCH(ROWS($AC$3:AC9860),$AC$3:$AC$10000,0)),"")</f>
        <v/>
      </c>
    </row>
    <row r="9861" spans="27:30">
      <c r="AA9861" s="117">
        <f>+'Ingredient List - Mother Tinctu'!D9862</f>
        <v>0</v>
      </c>
      <c r="AB9861" s="117">
        <f t="shared" si="157"/>
        <v>0</v>
      </c>
      <c r="AC9861" s="117" t="str">
        <f>IF(AB9861=1,COUNTIF($AB$3:AB9861,1),"")</f>
        <v/>
      </c>
      <c r="AD9861" s="117" t="str">
        <f>IFERROR(INDEX($AA$3:$AA$10000,MATCH(ROWS($AC$3:AC9861),$AC$3:$AC$10000,0)),"")</f>
        <v/>
      </c>
    </row>
    <row r="9862" spans="27:30">
      <c r="AA9862" s="117">
        <f>+'Ingredient List - Mother Tinctu'!D9863</f>
        <v>0</v>
      </c>
      <c r="AB9862" s="117">
        <f t="shared" si="157"/>
        <v>0</v>
      </c>
      <c r="AC9862" s="117" t="str">
        <f>IF(AB9862=1,COUNTIF($AB$3:AB9862,1),"")</f>
        <v/>
      </c>
      <c r="AD9862" s="117" t="str">
        <f>IFERROR(INDEX($AA$3:$AA$10000,MATCH(ROWS($AC$3:AC9862),$AC$3:$AC$10000,0)),"")</f>
        <v/>
      </c>
    </row>
    <row r="9863" spans="27:30">
      <c r="AA9863" s="117">
        <f>+'Ingredient List - Mother Tinctu'!D9864</f>
        <v>0</v>
      </c>
      <c r="AB9863" s="117">
        <f t="shared" si="157"/>
        <v>0</v>
      </c>
      <c r="AC9863" s="117" t="str">
        <f>IF(AB9863=1,COUNTIF($AB$3:AB9863,1),"")</f>
        <v/>
      </c>
      <c r="AD9863" s="117" t="str">
        <f>IFERROR(INDEX($AA$3:$AA$10000,MATCH(ROWS($AC$3:AC9863),$AC$3:$AC$10000,0)),"")</f>
        <v/>
      </c>
    </row>
    <row r="9864" spans="27:30">
      <c r="AA9864" s="117">
        <f>+'Ingredient List - Mother Tinctu'!D9865</f>
        <v>0</v>
      </c>
      <c r="AB9864" s="117">
        <f t="shared" si="157"/>
        <v>0</v>
      </c>
      <c r="AC9864" s="117" t="str">
        <f>IF(AB9864=1,COUNTIF($AB$3:AB9864,1),"")</f>
        <v/>
      </c>
      <c r="AD9864" s="117" t="str">
        <f>IFERROR(INDEX($AA$3:$AA$10000,MATCH(ROWS($AC$3:AC9864),$AC$3:$AC$10000,0)),"")</f>
        <v/>
      </c>
    </row>
    <row r="9865" spans="27:30">
      <c r="AA9865" s="117">
        <f>+'Ingredient List - Mother Tinctu'!D9866</f>
        <v>0</v>
      </c>
      <c r="AB9865" s="117">
        <f t="shared" si="157"/>
        <v>0</v>
      </c>
      <c r="AC9865" s="117" t="str">
        <f>IF(AB9865=1,COUNTIF($AB$3:AB9865,1),"")</f>
        <v/>
      </c>
      <c r="AD9865" s="117" t="str">
        <f>IFERROR(INDEX($AA$3:$AA$10000,MATCH(ROWS($AC$3:AC9865),$AC$3:$AC$10000,0)),"")</f>
        <v/>
      </c>
    </row>
    <row r="9866" spans="27:30">
      <c r="AA9866" s="117">
        <f>+'Ingredient List - Mother Tinctu'!D9867</f>
        <v>0</v>
      </c>
      <c r="AB9866" s="117">
        <f t="shared" si="157"/>
        <v>0</v>
      </c>
      <c r="AC9866" s="117" t="str">
        <f>IF(AB9866=1,COUNTIF($AB$3:AB9866,1),"")</f>
        <v/>
      </c>
      <c r="AD9866" s="117" t="str">
        <f>IFERROR(INDEX($AA$3:$AA$10000,MATCH(ROWS($AC$3:AC9866),$AC$3:$AC$10000,0)),"")</f>
        <v/>
      </c>
    </row>
    <row r="9867" spans="27:30">
      <c r="AA9867" s="117">
        <f>+'Ingredient List - Mother Tinctu'!D9868</f>
        <v>0</v>
      </c>
      <c r="AB9867" s="117">
        <f t="shared" si="157"/>
        <v>0</v>
      </c>
      <c r="AC9867" s="117" t="str">
        <f>IF(AB9867=1,COUNTIF($AB$3:AB9867,1),"")</f>
        <v/>
      </c>
      <c r="AD9867" s="117" t="str">
        <f>IFERROR(INDEX($AA$3:$AA$10000,MATCH(ROWS($AC$3:AC9867),$AC$3:$AC$10000,0)),"")</f>
        <v/>
      </c>
    </row>
    <row r="9868" spans="27:30">
      <c r="AA9868" s="117">
        <f>+'Ingredient List - Mother Tinctu'!D9869</f>
        <v>0</v>
      </c>
      <c r="AB9868" s="117">
        <f t="shared" si="157"/>
        <v>0</v>
      </c>
      <c r="AC9868" s="117" t="str">
        <f>IF(AB9868=1,COUNTIF($AB$3:AB9868,1),"")</f>
        <v/>
      </c>
      <c r="AD9868" s="117" t="str">
        <f>IFERROR(INDEX($AA$3:$AA$10000,MATCH(ROWS($AC$3:AC9868),$AC$3:$AC$10000,0)),"")</f>
        <v/>
      </c>
    </row>
    <row r="9869" spans="27:30">
      <c r="AA9869" s="117">
        <f>+'Ingredient List - Mother Tinctu'!D9870</f>
        <v>0</v>
      </c>
      <c r="AB9869" s="117">
        <f t="shared" si="157"/>
        <v>0</v>
      </c>
      <c r="AC9869" s="117" t="str">
        <f>IF(AB9869=1,COUNTIF($AB$3:AB9869,1),"")</f>
        <v/>
      </c>
      <c r="AD9869" s="117" t="str">
        <f>IFERROR(INDEX($AA$3:$AA$10000,MATCH(ROWS($AC$3:AC9869),$AC$3:$AC$10000,0)),"")</f>
        <v/>
      </c>
    </row>
    <row r="9870" spans="27:30">
      <c r="AA9870" s="117">
        <f>+'Ingredient List - Mother Tinctu'!D9871</f>
        <v>0</v>
      </c>
      <c r="AB9870" s="117">
        <f t="shared" si="157"/>
        <v>0</v>
      </c>
      <c r="AC9870" s="117" t="str">
        <f>IF(AB9870=1,COUNTIF($AB$3:AB9870,1),"")</f>
        <v/>
      </c>
      <c r="AD9870" s="117" t="str">
        <f>IFERROR(INDEX($AA$3:$AA$10000,MATCH(ROWS($AC$3:AC9870),$AC$3:$AC$10000,0)),"")</f>
        <v/>
      </c>
    </row>
    <row r="9871" spans="27:30">
      <c r="AA9871" s="117">
        <f>+'Ingredient List - Mother Tinctu'!D9872</f>
        <v>0</v>
      </c>
      <c r="AB9871" s="117">
        <f t="shared" si="157"/>
        <v>0</v>
      </c>
      <c r="AC9871" s="117" t="str">
        <f>IF(AB9871=1,COUNTIF($AB$3:AB9871,1),"")</f>
        <v/>
      </c>
      <c r="AD9871" s="117" t="str">
        <f>IFERROR(INDEX($AA$3:$AA$10000,MATCH(ROWS($AC$3:AC9871),$AC$3:$AC$10000,0)),"")</f>
        <v/>
      </c>
    </row>
    <row r="9872" spans="27:30">
      <c r="AA9872" s="117">
        <f>+'Ingredient List - Mother Tinctu'!D9873</f>
        <v>0</v>
      </c>
      <c r="AB9872" s="117">
        <f t="shared" si="157"/>
        <v>0</v>
      </c>
      <c r="AC9872" s="117" t="str">
        <f>IF(AB9872=1,COUNTIF($AB$3:AB9872,1),"")</f>
        <v/>
      </c>
      <c r="AD9872" s="117" t="str">
        <f>IFERROR(INDEX($AA$3:$AA$10000,MATCH(ROWS($AC$3:AC9872),$AC$3:$AC$10000,0)),"")</f>
        <v/>
      </c>
    </row>
    <row r="9873" spans="27:30">
      <c r="AA9873" s="117">
        <f>+'Ingredient List - Mother Tinctu'!D9874</f>
        <v>0</v>
      </c>
      <c r="AB9873" s="117">
        <f t="shared" si="157"/>
        <v>0</v>
      </c>
      <c r="AC9873" s="117" t="str">
        <f>IF(AB9873=1,COUNTIF($AB$3:AB9873,1),"")</f>
        <v/>
      </c>
      <c r="AD9873" s="117" t="str">
        <f>IFERROR(INDEX($AA$3:$AA$10000,MATCH(ROWS($AC$3:AC9873),$AC$3:$AC$10000,0)),"")</f>
        <v/>
      </c>
    </row>
    <row r="9874" spans="27:30">
      <c r="AA9874" s="117">
        <f>+'Ingredient List - Mother Tinctu'!D9875</f>
        <v>0</v>
      </c>
      <c r="AB9874" s="117">
        <f t="shared" si="157"/>
        <v>0</v>
      </c>
      <c r="AC9874" s="117" t="str">
        <f>IF(AB9874=1,COUNTIF($AB$3:AB9874,1),"")</f>
        <v/>
      </c>
      <c r="AD9874" s="117" t="str">
        <f>IFERROR(INDEX($AA$3:$AA$10000,MATCH(ROWS($AC$3:AC9874),$AC$3:$AC$10000,0)),"")</f>
        <v/>
      </c>
    </row>
    <row r="9875" spans="27:30">
      <c r="AA9875" s="117">
        <f>+'Ingredient List - Mother Tinctu'!D9876</f>
        <v>0</v>
      </c>
      <c r="AB9875" s="117">
        <f t="shared" si="157"/>
        <v>0</v>
      </c>
      <c r="AC9875" s="117" t="str">
        <f>IF(AB9875=1,COUNTIF($AB$3:AB9875,1),"")</f>
        <v/>
      </c>
      <c r="AD9875" s="117" t="str">
        <f>IFERROR(INDEX($AA$3:$AA$10000,MATCH(ROWS($AC$3:AC9875),$AC$3:$AC$10000,0)),"")</f>
        <v/>
      </c>
    </row>
    <row r="9876" spans="27:30">
      <c r="AA9876" s="117">
        <f>+'Ingredient List - Mother Tinctu'!D9877</f>
        <v>0</v>
      </c>
      <c r="AB9876" s="117">
        <f t="shared" si="157"/>
        <v>0</v>
      </c>
      <c r="AC9876" s="117" t="str">
        <f>IF(AB9876=1,COUNTIF($AB$3:AB9876,1),"")</f>
        <v/>
      </c>
      <c r="AD9876" s="117" t="str">
        <f>IFERROR(INDEX($AA$3:$AA$10000,MATCH(ROWS($AC$3:AC9876),$AC$3:$AC$10000,0)),"")</f>
        <v/>
      </c>
    </row>
    <row r="9877" spans="27:30">
      <c r="AA9877" s="117">
        <f>+'Ingredient List - Mother Tinctu'!D9878</f>
        <v>0</v>
      </c>
      <c r="AB9877" s="117">
        <f t="shared" si="157"/>
        <v>0</v>
      </c>
      <c r="AC9877" s="117" t="str">
        <f>IF(AB9877=1,COUNTIF($AB$3:AB9877,1),"")</f>
        <v/>
      </c>
      <c r="AD9877" s="117" t="str">
        <f>IFERROR(INDEX($AA$3:$AA$10000,MATCH(ROWS($AC$3:AC9877),$AC$3:$AC$10000,0)),"")</f>
        <v/>
      </c>
    </row>
    <row r="9878" spans="27:30">
      <c r="AA9878" s="117">
        <f>+'Ingredient List - Mother Tinctu'!D9879</f>
        <v>0</v>
      </c>
      <c r="AB9878" s="117">
        <f t="shared" si="157"/>
        <v>0</v>
      </c>
      <c r="AC9878" s="117" t="str">
        <f>IF(AB9878=1,COUNTIF($AB$3:AB9878,1),"")</f>
        <v/>
      </c>
      <c r="AD9878" s="117" t="str">
        <f>IFERROR(INDEX($AA$3:$AA$10000,MATCH(ROWS($AC$3:AC9878),$AC$3:$AC$10000,0)),"")</f>
        <v/>
      </c>
    </row>
    <row r="9879" spans="27:30">
      <c r="AA9879" s="117">
        <f>+'Ingredient List - Mother Tinctu'!D9880</f>
        <v>0</v>
      </c>
      <c r="AB9879" s="117">
        <f t="shared" si="157"/>
        <v>0</v>
      </c>
      <c r="AC9879" s="117" t="str">
        <f>IF(AB9879=1,COUNTIF($AB$3:AB9879,1),"")</f>
        <v/>
      </c>
      <c r="AD9879" s="117" t="str">
        <f>IFERROR(INDEX($AA$3:$AA$10000,MATCH(ROWS($AC$3:AC9879),$AC$3:$AC$10000,0)),"")</f>
        <v/>
      </c>
    </row>
    <row r="9880" spans="27:30">
      <c r="AA9880" s="117">
        <f>+'Ingredient List - Mother Tinctu'!D9881</f>
        <v>0</v>
      </c>
      <c r="AB9880" s="117">
        <f t="shared" si="157"/>
        <v>0</v>
      </c>
      <c r="AC9880" s="117" t="str">
        <f>IF(AB9880=1,COUNTIF($AB$3:AB9880,1),"")</f>
        <v/>
      </c>
      <c r="AD9880" s="117" t="str">
        <f>IFERROR(INDEX($AA$3:$AA$10000,MATCH(ROWS($AC$3:AC9880),$AC$3:$AC$10000,0)),"")</f>
        <v/>
      </c>
    </row>
    <row r="9881" spans="27:30">
      <c r="AA9881" s="117">
        <f>+'Ingredient List - Mother Tinctu'!D9882</f>
        <v>0</v>
      </c>
      <c r="AB9881" s="117">
        <f t="shared" si="157"/>
        <v>0</v>
      </c>
      <c r="AC9881" s="117" t="str">
        <f>IF(AB9881=1,COUNTIF($AB$3:AB9881,1),"")</f>
        <v/>
      </c>
      <c r="AD9881" s="117" t="str">
        <f>IFERROR(INDEX($AA$3:$AA$10000,MATCH(ROWS($AC$3:AC9881),$AC$3:$AC$10000,0)),"")</f>
        <v/>
      </c>
    </row>
    <row r="9882" spans="27:30">
      <c r="AA9882" s="117">
        <f>+'Ingredient List - Mother Tinctu'!D9883</f>
        <v>0</v>
      </c>
      <c r="AB9882" s="117">
        <f t="shared" si="157"/>
        <v>0</v>
      </c>
      <c r="AC9882" s="117" t="str">
        <f>IF(AB9882=1,COUNTIF($AB$3:AB9882,1),"")</f>
        <v/>
      </c>
      <c r="AD9882" s="117" t="str">
        <f>IFERROR(INDEX($AA$3:$AA$10000,MATCH(ROWS($AC$3:AC9882),$AC$3:$AC$10000,0)),"")</f>
        <v/>
      </c>
    </row>
    <row r="9883" spans="27:30">
      <c r="AA9883" s="117">
        <f>+'Ingredient List - Mother Tinctu'!D9884</f>
        <v>0</v>
      </c>
      <c r="AB9883" s="117">
        <f t="shared" si="157"/>
        <v>0</v>
      </c>
      <c r="AC9883" s="117" t="str">
        <f>IF(AB9883=1,COUNTIF($AB$3:AB9883,1),"")</f>
        <v/>
      </c>
      <c r="AD9883" s="117" t="str">
        <f>IFERROR(INDEX($AA$3:$AA$10000,MATCH(ROWS($AC$3:AC9883),$AC$3:$AC$10000,0)),"")</f>
        <v/>
      </c>
    </row>
    <row r="9884" spans="27:30">
      <c r="AA9884" s="117">
        <f>+'Ingredient List - Mother Tinctu'!D9885</f>
        <v>0</v>
      </c>
      <c r="AB9884" s="117">
        <f t="shared" si="157"/>
        <v>0</v>
      </c>
      <c r="AC9884" s="117" t="str">
        <f>IF(AB9884=1,COUNTIF($AB$3:AB9884,1),"")</f>
        <v/>
      </c>
      <c r="AD9884" s="117" t="str">
        <f>IFERROR(INDEX($AA$3:$AA$10000,MATCH(ROWS($AC$3:AC9884),$AC$3:$AC$10000,0)),"")</f>
        <v/>
      </c>
    </row>
    <row r="9885" spans="27:30">
      <c r="AA9885" s="117">
        <f>+'Ingredient List - Mother Tinctu'!D9886</f>
        <v>0</v>
      </c>
      <c r="AB9885" s="117">
        <f t="shared" si="157"/>
        <v>0</v>
      </c>
      <c r="AC9885" s="117" t="str">
        <f>IF(AB9885=1,COUNTIF($AB$3:AB9885,1),"")</f>
        <v/>
      </c>
      <c r="AD9885" s="117" t="str">
        <f>IFERROR(INDEX($AA$3:$AA$10000,MATCH(ROWS($AC$3:AC9885),$AC$3:$AC$10000,0)),"")</f>
        <v/>
      </c>
    </row>
    <row r="9886" spans="27:30">
      <c r="AA9886" s="117">
        <f>+'Ingredient List - Mother Tinctu'!D9887</f>
        <v>0</v>
      </c>
      <c r="AB9886" s="117">
        <f t="shared" si="157"/>
        <v>0</v>
      </c>
      <c r="AC9886" s="117" t="str">
        <f>IF(AB9886=1,COUNTIF($AB$3:AB9886,1),"")</f>
        <v/>
      </c>
      <c r="AD9886" s="117" t="str">
        <f>IFERROR(INDEX($AA$3:$AA$10000,MATCH(ROWS($AC$3:AC9886),$AC$3:$AC$10000,0)),"")</f>
        <v/>
      </c>
    </row>
    <row r="9887" spans="27:30">
      <c r="AA9887" s="117">
        <f>+'Ingredient List - Mother Tinctu'!D9888</f>
        <v>0</v>
      </c>
      <c r="AB9887" s="117">
        <f t="shared" si="157"/>
        <v>0</v>
      </c>
      <c r="AC9887" s="117" t="str">
        <f>IF(AB9887=1,COUNTIF($AB$3:AB9887,1),"")</f>
        <v/>
      </c>
      <c r="AD9887" s="117" t="str">
        <f>IFERROR(INDEX($AA$3:$AA$10000,MATCH(ROWS($AC$3:AC9887),$AC$3:$AC$10000,0)),"")</f>
        <v/>
      </c>
    </row>
    <row r="9888" spans="27:30">
      <c r="AA9888" s="117">
        <f>+'Ingredient List - Mother Tinctu'!D9889</f>
        <v>0</v>
      </c>
      <c r="AB9888" s="117">
        <f t="shared" si="157"/>
        <v>0</v>
      </c>
      <c r="AC9888" s="117" t="str">
        <f>IF(AB9888=1,COUNTIF($AB$3:AB9888,1),"")</f>
        <v/>
      </c>
      <c r="AD9888" s="117" t="str">
        <f>IFERROR(INDEX($AA$3:$AA$10000,MATCH(ROWS($AC$3:AC9888),$AC$3:$AC$10000,0)),"")</f>
        <v/>
      </c>
    </row>
    <row r="9889" spans="27:30">
      <c r="AA9889" s="117">
        <f>+'Ingredient List - Mother Tinctu'!D9890</f>
        <v>0</v>
      </c>
      <c r="AB9889" s="117">
        <f t="shared" si="157"/>
        <v>0</v>
      </c>
      <c r="AC9889" s="117" t="str">
        <f>IF(AB9889=1,COUNTIF($AB$3:AB9889,1),"")</f>
        <v/>
      </c>
      <c r="AD9889" s="117" t="str">
        <f>IFERROR(INDEX($AA$3:$AA$10000,MATCH(ROWS($AC$3:AC9889),$AC$3:$AC$10000,0)),"")</f>
        <v/>
      </c>
    </row>
    <row r="9890" spans="27:30">
      <c r="AA9890" s="117">
        <f>+'Ingredient List - Mother Tinctu'!D9891</f>
        <v>0</v>
      </c>
      <c r="AB9890" s="117">
        <f t="shared" si="157"/>
        <v>0</v>
      </c>
      <c r="AC9890" s="117" t="str">
        <f>IF(AB9890=1,COUNTIF($AB$3:AB9890,1),"")</f>
        <v/>
      </c>
      <c r="AD9890" s="117" t="str">
        <f>IFERROR(INDEX($AA$3:$AA$10000,MATCH(ROWS($AC$3:AC9890),$AC$3:$AC$10000,0)),"")</f>
        <v/>
      </c>
    </row>
    <row r="9891" spans="27:30">
      <c r="AA9891" s="117">
        <f>+'Ingredient List - Mother Tinctu'!D9892</f>
        <v>0</v>
      </c>
      <c r="AB9891" s="117">
        <f t="shared" si="157"/>
        <v>0</v>
      </c>
      <c r="AC9891" s="117" t="str">
        <f>IF(AB9891=1,COUNTIF($AB$3:AB9891,1),"")</f>
        <v/>
      </c>
      <c r="AD9891" s="117" t="str">
        <f>IFERROR(INDEX($AA$3:$AA$10000,MATCH(ROWS($AC$3:AC9891),$AC$3:$AC$10000,0)),"")</f>
        <v/>
      </c>
    </row>
    <row r="9892" spans="27:30">
      <c r="AA9892" s="117">
        <f>+'Ingredient List - Mother Tinctu'!D9893</f>
        <v>0</v>
      </c>
      <c r="AB9892" s="117">
        <f t="shared" si="157"/>
        <v>0</v>
      </c>
      <c r="AC9892" s="117" t="str">
        <f>IF(AB9892=1,COUNTIF($AB$3:AB9892,1),"")</f>
        <v/>
      </c>
      <c r="AD9892" s="117" t="str">
        <f>IFERROR(INDEX($AA$3:$AA$10000,MATCH(ROWS($AC$3:AC9892),$AC$3:$AC$10000,0)),"")</f>
        <v/>
      </c>
    </row>
    <row r="9893" spans="27:30">
      <c r="AA9893" s="117">
        <f>+'Ingredient List - Mother Tinctu'!D9894</f>
        <v>0</v>
      </c>
      <c r="AB9893" s="117">
        <f t="shared" si="157"/>
        <v>0</v>
      </c>
      <c r="AC9893" s="117" t="str">
        <f>IF(AB9893=1,COUNTIF($AB$3:AB9893,1),"")</f>
        <v/>
      </c>
      <c r="AD9893" s="117" t="str">
        <f>IFERROR(INDEX($AA$3:$AA$10000,MATCH(ROWS($AC$3:AC9893),$AC$3:$AC$10000,0)),"")</f>
        <v/>
      </c>
    </row>
    <row r="9894" spans="27:30">
      <c r="AA9894" s="117">
        <f>+'Ingredient List - Mother Tinctu'!D9895</f>
        <v>0</v>
      </c>
      <c r="AB9894" s="117">
        <f t="shared" si="157"/>
        <v>0</v>
      </c>
      <c r="AC9894" s="117" t="str">
        <f>IF(AB9894=1,COUNTIF($AB$3:AB9894,1),"")</f>
        <v/>
      </c>
      <c r="AD9894" s="117" t="str">
        <f>IFERROR(INDEX($AA$3:$AA$10000,MATCH(ROWS($AC$3:AC9894),$AC$3:$AC$10000,0)),"")</f>
        <v/>
      </c>
    </row>
    <row r="9895" spans="27:30">
      <c r="AA9895" s="117">
        <f>+'Ingredient List - Mother Tinctu'!D9896</f>
        <v>0</v>
      </c>
      <c r="AB9895" s="117">
        <f t="shared" si="157"/>
        <v>0</v>
      </c>
      <c r="AC9895" s="117" t="str">
        <f>IF(AB9895=1,COUNTIF($AB$3:AB9895,1),"")</f>
        <v/>
      </c>
      <c r="AD9895" s="117" t="str">
        <f>IFERROR(INDEX($AA$3:$AA$10000,MATCH(ROWS($AC$3:AC9895),$AC$3:$AC$10000,0)),"")</f>
        <v/>
      </c>
    </row>
    <row r="9896" spans="27:30">
      <c r="AA9896" s="117">
        <f>+'Ingredient List - Mother Tinctu'!D9897</f>
        <v>0</v>
      </c>
      <c r="AB9896" s="117">
        <f t="shared" si="157"/>
        <v>0</v>
      </c>
      <c r="AC9896" s="117" t="str">
        <f>IF(AB9896=1,COUNTIF($AB$3:AB9896,1),"")</f>
        <v/>
      </c>
      <c r="AD9896" s="117" t="str">
        <f>IFERROR(INDEX($AA$3:$AA$10000,MATCH(ROWS($AC$3:AC9896),$AC$3:$AC$10000,0)),"")</f>
        <v/>
      </c>
    </row>
    <row r="9897" spans="27:30">
      <c r="AA9897" s="117">
        <f>+'Ingredient List - Mother Tinctu'!D9898</f>
        <v>0</v>
      </c>
      <c r="AB9897" s="117">
        <f t="shared" si="157"/>
        <v>0</v>
      </c>
      <c r="AC9897" s="117" t="str">
        <f>IF(AB9897=1,COUNTIF($AB$3:AB9897,1),"")</f>
        <v/>
      </c>
      <c r="AD9897" s="117" t="str">
        <f>IFERROR(INDEX($AA$3:$AA$10000,MATCH(ROWS($AC$3:AC9897),$AC$3:$AC$10000,0)),"")</f>
        <v/>
      </c>
    </row>
    <row r="9898" spans="27:30">
      <c r="AA9898" s="117">
        <f>+'Ingredient List - Mother Tinctu'!D9899</f>
        <v>0</v>
      </c>
      <c r="AB9898" s="117">
        <f t="shared" si="157"/>
        <v>0</v>
      </c>
      <c r="AC9898" s="117" t="str">
        <f>IF(AB9898=1,COUNTIF($AB$3:AB9898,1),"")</f>
        <v/>
      </c>
      <c r="AD9898" s="117" t="str">
        <f>IFERROR(INDEX($AA$3:$AA$10000,MATCH(ROWS($AC$3:AC9898),$AC$3:$AC$10000,0)),"")</f>
        <v/>
      </c>
    </row>
    <row r="9899" spans="27:30">
      <c r="AA9899" s="117">
        <f>+'Ingredient List - Mother Tinctu'!D9900</f>
        <v>0</v>
      </c>
      <c r="AB9899" s="117">
        <f t="shared" si="157"/>
        <v>0</v>
      </c>
      <c r="AC9899" s="117" t="str">
        <f>IF(AB9899=1,COUNTIF($AB$3:AB9899,1),"")</f>
        <v/>
      </c>
      <c r="AD9899" s="117" t="str">
        <f>IFERROR(INDEX($AA$3:$AA$10000,MATCH(ROWS($AC$3:AC9899),$AC$3:$AC$10000,0)),"")</f>
        <v/>
      </c>
    </row>
    <row r="9900" spans="27:30">
      <c r="AA9900" s="117">
        <f>+'Ingredient List - Mother Tinctu'!D9901</f>
        <v>0</v>
      </c>
      <c r="AB9900" s="117">
        <f t="shared" si="157"/>
        <v>0</v>
      </c>
      <c r="AC9900" s="117" t="str">
        <f>IF(AB9900=1,COUNTIF($AB$3:AB9900,1),"")</f>
        <v/>
      </c>
      <c r="AD9900" s="117" t="str">
        <f>IFERROR(INDEX($AA$3:$AA$10000,MATCH(ROWS($AC$3:AC9900),$AC$3:$AC$10000,0)),"")</f>
        <v/>
      </c>
    </row>
    <row r="9901" spans="27:30">
      <c r="AA9901" s="117">
        <f>+'Ingredient List - Mother Tinctu'!D9902</f>
        <v>0</v>
      </c>
      <c r="AB9901" s="117">
        <f t="shared" si="157"/>
        <v>0</v>
      </c>
      <c r="AC9901" s="117" t="str">
        <f>IF(AB9901=1,COUNTIF($AB$3:AB9901,1),"")</f>
        <v/>
      </c>
      <c r="AD9901" s="117" t="str">
        <f>IFERROR(INDEX($AA$3:$AA$10000,MATCH(ROWS($AC$3:AC9901),$AC$3:$AC$10000,0)),"")</f>
        <v/>
      </c>
    </row>
    <row r="9902" spans="27:30">
      <c r="AA9902" s="117">
        <f>+'Ingredient List - Mother Tinctu'!D9903</f>
        <v>0</v>
      </c>
      <c r="AB9902" s="117">
        <f t="shared" si="157"/>
        <v>0</v>
      </c>
      <c r="AC9902" s="117" t="str">
        <f>IF(AB9902=1,COUNTIF($AB$3:AB9902,1),"")</f>
        <v/>
      </c>
      <c r="AD9902" s="117" t="str">
        <f>IFERROR(INDEX($AA$3:$AA$10000,MATCH(ROWS($AC$3:AC9902),$AC$3:$AC$10000,0)),"")</f>
        <v/>
      </c>
    </row>
    <row r="9903" spans="27:30">
      <c r="AA9903" s="117">
        <f>+'Ingredient List - Mother Tinctu'!D9904</f>
        <v>0</v>
      </c>
      <c r="AB9903" s="117">
        <f t="shared" si="157"/>
        <v>0</v>
      </c>
      <c r="AC9903" s="117" t="str">
        <f>IF(AB9903=1,COUNTIF($AB$3:AB9903,1),"")</f>
        <v/>
      </c>
      <c r="AD9903" s="117" t="str">
        <f>IFERROR(INDEX($AA$3:$AA$10000,MATCH(ROWS($AC$3:AC9903),$AC$3:$AC$10000,0)),"")</f>
        <v/>
      </c>
    </row>
    <row r="9904" spans="27:30">
      <c r="AA9904" s="117">
        <f>+'Ingredient List - Mother Tinctu'!D9905</f>
        <v>0</v>
      </c>
      <c r="AB9904" s="117">
        <f t="shared" si="157"/>
        <v>0</v>
      </c>
      <c r="AC9904" s="117" t="str">
        <f>IF(AB9904=1,COUNTIF($AB$3:AB9904,1),"")</f>
        <v/>
      </c>
      <c r="AD9904" s="117" t="str">
        <f>IFERROR(INDEX($AA$3:$AA$10000,MATCH(ROWS($AC$3:AC9904),$AC$3:$AC$10000,0)),"")</f>
        <v/>
      </c>
    </row>
    <row r="9905" spans="27:30">
      <c r="AA9905" s="117">
        <f>+'Ingredient List - Mother Tinctu'!D9906</f>
        <v>0</v>
      </c>
      <c r="AB9905" s="117">
        <f t="shared" si="157"/>
        <v>0</v>
      </c>
      <c r="AC9905" s="117" t="str">
        <f>IF(AB9905=1,COUNTIF($AB$3:AB9905,1),"")</f>
        <v/>
      </c>
      <c r="AD9905" s="117" t="str">
        <f>IFERROR(INDEX($AA$3:$AA$10000,MATCH(ROWS($AC$3:AC9905),$AC$3:$AC$10000,0)),"")</f>
        <v/>
      </c>
    </row>
    <row r="9906" spans="27:30">
      <c r="AA9906" s="117">
        <f>+'Ingredient List - Mother Tinctu'!D9907</f>
        <v>0</v>
      </c>
      <c r="AB9906" s="117">
        <f t="shared" si="157"/>
        <v>0</v>
      </c>
      <c r="AC9906" s="117" t="str">
        <f>IF(AB9906=1,COUNTIF($AB$3:AB9906,1),"")</f>
        <v/>
      </c>
      <c r="AD9906" s="117" t="str">
        <f>IFERROR(INDEX($AA$3:$AA$10000,MATCH(ROWS($AC$3:AC9906),$AC$3:$AC$10000,0)),"")</f>
        <v/>
      </c>
    </row>
    <row r="9907" spans="27:30">
      <c r="AA9907" s="117">
        <f>+'Ingredient List - Mother Tinctu'!D9908</f>
        <v>0</v>
      </c>
      <c r="AB9907" s="117">
        <f t="shared" si="157"/>
        <v>0</v>
      </c>
      <c r="AC9907" s="117" t="str">
        <f>IF(AB9907=1,COUNTIF($AB$3:AB9907,1),"")</f>
        <v/>
      </c>
      <c r="AD9907" s="117" t="str">
        <f>IFERROR(INDEX($AA$3:$AA$10000,MATCH(ROWS($AC$3:AC9907),$AC$3:$AC$10000,0)),"")</f>
        <v/>
      </c>
    </row>
    <row r="9908" spans="27:30">
      <c r="AA9908" s="117">
        <f>+'Ingredient List - Mother Tinctu'!D9909</f>
        <v>0</v>
      </c>
      <c r="AB9908" s="117">
        <f t="shared" si="157"/>
        <v>0</v>
      </c>
      <c r="AC9908" s="117" t="str">
        <f>IF(AB9908=1,COUNTIF($AB$3:AB9908,1),"")</f>
        <v/>
      </c>
      <c r="AD9908" s="117" t="str">
        <f>IFERROR(INDEX($AA$3:$AA$10000,MATCH(ROWS($AC$3:AC9908),$AC$3:$AC$10000,0)),"")</f>
        <v/>
      </c>
    </row>
    <row r="9909" spans="27:30">
      <c r="AA9909" s="117">
        <f>+'Ingredient List - Mother Tinctu'!D9910</f>
        <v>0</v>
      </c>
      <c r="AB9909" s="117">
        <f t="shared" si="157"/>
        <v>0</v>
      </c>
      <c r="AC9909" s="117" t="str">
        <f>IF(AB9909=1,COUNTIF($AB$3:AB9909,1),"")</f>
        <v/>
      </c>
      <c r="AD9909" s="117" t="str">
        <f>IFERROR(INDEX($AA$3:$AA$10000,MATCH(ROWS($AC$3:AC9909),$AC$3:$AC$10000,0)),"")</f>
        <v/>
      </c>
    </row>
    <row r="9910" spans="27:30">
      <c r="AA9910" s="117">
        <f>+'Ingredient List - Mother Tinctu'!D9911</f>
        <v>0</v>
      </c>
      <c r="AB9910" s="117">
        <f t="shared" si="157"/>
        <v>0</v>
      </c>
      <c r="AC9910" s="117" t="str">
        <f>IF(AB9910=1,COUNTIF($AB$3:AB9910,1),"")</f>
        <v/>
      </c>
      <c r="AD9910" s="117" t="str">
        <f>IFERROR(INDEX($AA$3:$AA$10000,MATCH(ROWS($AC$3:AC9910),$AC$3:$AC$10000,0)),"")</f>
        <v/>
      </c>
    </row>
    <row r="9911" spans="27:30">
      <c r="AA9911" s="117">
        <f>+'Ingredient List - Mother Tinctu'!D9912</f>
        <v>0</v>
      </c>
      <c r="AB9911" s="117">
        <f t="shared" si="157"/>
        <v>0</v>
      </c>
      <c r="AC9911" s="117" t="str">
        <f>IF(AB9911=1,COUNTIF($AB$3:AB9911,1),"")</f>
        <v/>
      </c>
      <c r="AD9911" s="117" t="str">
        <f>IFERROR(INDEX($AA$3:$AA$10000,MATCH(ROWS($AC$3:AC9911),$AC$3:$AC$10000,0)),"")</f>
        <v/>
      </c>
    </row>
    <row r="9912" spans="27:30">
      <c r="AA9912" s="117">
        <f>+'Ingredient List - Mother Tinctu'!D9913</f>
        <v>0</v>
      </c>
      <c r="AB9912" s="117">
        <f t="shared" si="157"/>
        <v>0</v>
      </c>
      <c r="AC9912" s="117" t="str">
        <f>IF(AB9912=1,COUNTIF($AB$3:AB9912,1),"")</f>
        <v/>
      </c>
      <c r="AD9912" s="117" t="str">
        <f>IFERROR(INDEX($AA$3:$AA$10000,MATCH(ROWS($AC$3:AC9912),$AC$3:$AC$10000,0)),"")</f>
        <v/>
      </c>
    </row>
    <row r="9913" spans="27:30">
      <c r="AA9913" s="117">
        <f>+'Ingredient List - Mother Tinctu'!D9914</f>
        <v>0</v>
      </c>
      <c r="AB9913" s="117">
        <f t="shared" si="157"/>
        <v>0</v>
      </c>
      <c r="AC9913" s="117" t="str">
        <f>IF(AB9913=1,COUNTIF($AB$3:AB9913,1),"")</f>
        <v/>
      </c>
      <c r="AD9913" s="117" t="str">
        <f>IFERROR(INDEX($AA$3:$AA$10000,MATCH(ROWS($AC$3:AC9913),$AC$3:$AC$10000,0)),"")</f>
        <v/>
      </c>
    </row>
    <row r="9914" spans="27:30">
      <c r="AA9914" s="117">
        <f>+'Ingredient List - Mother Tinctu'!D9915</f>
        <v>0</v>
      </c>
      <c r="AB9914" s="117">
        <f t="shared" si="157"/>
        <v>0</v>
      </c>
      <c r="AC9914" s="117" t="str">
        <f>IF(AB9914=1,COUNTIF($AB$3:AB9914,1),"")</f>
        <v/>
      </c>
      <c r="AD9914" s="117" t="str">
        <f>IFERROR(INDEX($AA$3:$AA$10000,MATCH(ROWS($AC$3:AC9914),$AC$3:$AC$10000,0)),"")</f>
        <v/>
      </c>
    </row>
    <row r="9915" spans="27:30">
      <c r="AA9915" s="117">
        <f>+'Ingredient List - Mother Tinctu'!D9916</f>
        <v>0</v>
      </c>
      <c r="AB9915" s="117">
        <f t="shared" si="157"/>
        <v>0</v>
      </c>
      <c r="AC9915" s="117" t="str">
        <f>IF(AB9915=1,COUNTIF($AB$3:AB9915,1),"")</f>
        <v/>
      </c>
      <c r="AD9915" s="117" t="str">
        <f>IFERROR(INDEX($AA$3:$AA$10000,MATCH(ROWS($AC$3:AC9915),$AC$3:$AC$10000,0)),"")</f>
        <v/>
      </c>
    </row>
    <row r="9916" spans="27:30">
      <c r="AA9916" s="117">
        <f>+'Ingredient List - Mother Tinctu'!D9917</f>
        <v>0</v>
      </c>
      <c r="AB9916" s="117">
        <f t="shared" si="157"/>
        <v>0</v>
      </c>
      <c r="AC9916" s="117" t="str">
        <f>IF(AB9916=1,COUNTIF($AB$3:AB9916,1),"")</f>
        <v/>
      </c>
      <c r="AD9916" s="117" t="str">
        <f>IFERROR(INDEX($AA$3:$AA$10000,MATCH(ROWS($AC$3:AC9916),$AC$3:$AC$10000,0)),"")</f>
        <v/>
      </c>
    </row>
    <row r="9917" spans="27:30">
      <c r="AA9917" s="117">
        <f>+'Ingredient List - Mother Tinctu'!D9918</f>
        <v>0</v>
      </c>
      <c r="AB9917" s="117">
        <f t="shared" si="157"/>
        <v>0</v>
      </c>
      <c r="AC9917" s="117" t="str">
        <f>IF(AB9917=1,COUNTIF($AB$3:AB9917,1),"")</f>
        <v/>
      </c>
      <c r="AD9917" s="117" t="str">
        <f>IFERROR(INDEX($AA$3:$AA$10000,MATCH(ROWS($AC$3:AC9917),$AC$3:$AC$10000,0)),"")</f>
        <v/>
      </c>
    </row>
    <row r="9918" spans="27:30">
      <c r="AA9918" s="117">
        <f>+'Ingredient List - Mother Tinctu'!D9919</f>
        <v>0</v>
      </c>
      <c r="AB9918" s="117">
        <f t="shared" si="157"/>
        <v>0</v>
      </c>
      <c r="AC9918" s="117" t="str">
        <f>IF(AB9918=1,COUNTIF($AB$3:AB9918,1),"")</f>
        <v/>
      </c>
      <c r="AD9918" s="117" t="str">
        <f>IFERROR(INDEX($AA$3:$AA$10000,MATCH(ROWS($AC$3:AC9918),$AC$3:$AC$10000,0)),"")</f>
        <v/>
      </c>
    </row>
    <row r="9919" spans="27:30">
      <c r="AA9919" s="117">
        <f>+'Ingredient List - Mother Tinctu'!D9920</f>
        <v>0</v>
      </c>
      <c r="AB9919" s="117">
        <f t="shared" si="157"/>
        <v>0</v>
      </c>
      <c r="AC9919" s="117" t="str">
        <f>IF(AB9919=1,COUNTIF($AB$3:AB9919,1),"")</f>
        <v/>
      </c>
      <c r="AD9919" s="117" t="str">
        <f>IFERROR(INDEX($AA$3:$AA$10000,MATCH(ROWS($AC$3:AC9919),$AC$3:$AC$10000,0)),"")</f>
        <v/>
      </c>
    </row>
    <row r="9920" spans="27:30">
      <c r="AA9920" s="117">
        <f>+'Ingredient List - Mother Tinctu'!D9921</f>
        <v>0</v>
      </c>
      <c r="AB9920" s="117">
        <f t="shared" si="157"/>
        <v>0</v>
      </c>
      <c r="AC9920" s="117" t="str">
        <f>IF(AB9920=1,COUNTIF($AB$3:AB9920,1),"")</f>
        <v/>
      </c>
      <c r="AD9920" s="117" t="str">
        <f>IFERROR(INDEX($AA$3:$AA$10000,MATCH(ROWS($AC$3:AC9920),$AC$3:$AC$10000,0)),"")</f>
        <v/>
      </c>
    </row>
    <row r="9921" spans="27:30">
      <c r="AA9921" s="117">
        <f>+'Ingredient List - Mother Tinctu'!D9922</f>
        <v>0</v>
      </c>
      <c r="AB9921" s="117">
        <f t="shared" si="157"/>
        <v>0</v>
      </c>
      <c r="AC9921" s="117" t="str">
        <f>IF(AB9921=1,COUNTIF($AB$3:AB9921,1),"")</f>
        <v/>
      </c>
      <c r="AD9921" s="117" t="str">
        <f>IFERROR(INDEX($AA$3:$AA$10000,MATCH(ROWS($AC$3:AC9921),$AC$3:$AC$10000,0)),"")</f>
        <v/>
      </c>
    </row>
    <row r="9922" spans="27:30">
      <c r="AA9922" s="117">
        <f>+'Ingredient List - Mother Tinctu'!D9923</f>
        <v>0</v>
      </c>
      <c r="AB9922" s="117">
        <f t="shared" si="157"/>
        <v>0</v>
      </c>
      <c r="AC9922" s="117" t="str">
        <f>IF(AB9922=1,COUNTIF($AB$3:AB9922,1),"")</f>
        <v/>
      </c>
      <c r="AD9922" s="117" t="str">
        <f>IFERROR(INDEX($AA$3:$AA$10000,MATCH(ROWS($AC$3:AC9922),$AC$3:$AC$10000,0)),"")</f>
        <v/>
      </c>
    </row>
    <row r="9923" spans="27:30">
      <c r="AA9923" s="117">
        <f>+'Ingredient List - Mother Tinctu'!D9924</f>
        <v>0</v>
      </c>
      <c r="AB9923" s="117">
        <f t="shared" si="157"/>
        <v>0</v>
      </c>
      <c r="AC9923" s="117" t="str">
        <f>IF(AB9923=1,COUNTIF($AB$3:AB9923,1),"")</f>
        <v/>
      </c>
      <c r="AD9923" s="117" t="str">
        <f>IFERROR(INDEX($AA$3:$AA$10000,MATCH(ROWS($AC$3:AC9923),$AC$3:$AC$10000,0)),"")</f>
        <v/>
      </c>
    </row>
    <row r="9924" spans="27:30">
      <c r="AA9924" s="117">
        <f>+'Ingredient List - Mother Tinctu'!D9925</f>
        <v>0</v>
      </c>
      <c r="AB9924" s="117">
        <f t="shared" ref="AB9924:AB9987" si="158">--ISNUMBER(IFERROR(SEARCH($D$3,AA9924,1),""))</f>
        <v>0</v>
      </c>
      <c r="AC9924" s="117" t="str">
        <f>IF(AB9924=1,COUNTIF($AB$3:AB9924,1),"")</f>
        <v/>
      </c>
      <c r="AD9924" s="117" t="str">
        <f>IFERROR(INDEX($AA$3:$AA$10000,MATCH(ROWS($AC$3:AC9924),$AC$3:$AC$10000,0)),"")</f>
        <v/>
      </c>
    </row>
    <row r="9925" spans="27:30">
      <c r="AA9925" s="117">
        <f>+'Ingredient List - Mother Tinctu'!D9926</f>
        <v>0</v>
      </c>
      <c r="AB9925" s="117">
        <f t="shared" si="158"/>
        <v>0</v>
      </c>
      <c r="AC9925" s="117" t="str">
        <f>IF(AB9925=1,COUNTIF($AB$3:AB9925,1),"")</f>
        <v/>
      </c>
      <c r="AD9925" s="117" t="str">
        <f>IFERROR(INDEX($AA$3:$AA$10000,MATCH(ROWS($AC$3:AC9925),$AC$3:$AC$10000,0)),"")</f>
        <v/>
      </c>
    </row>
    <row r="9926" spans="27:30">
      <c r="AA9926" s="117">
        <f>+'Ingredient List - Mother Tinctu'!D9927</f>
        <v>0</v>
      </c>
      <c r="AB9926" s="117">
        <f t="shared" si="158"/>
        <v>0</v>
      </c>
      <c r="AC9926" s="117" t="str">
        <f>IF(AB9926=1,COUNTIF($AB$3:AB9926,1),"")</f>
        <v/>
      </c>
      <c r="AD9926" s="117" t="str">
        <f>IFERROR(INDEX($AA$3:$AA$10000,MATCH(ROWS($AC$3:AC9926),$AC$3:$AC$10000,0)),"")</f>
        <v/>
      </c>
    </row>
    <row r="9927" spans="27:30">
      <c r="AA9927" s="117">
        <f>+'Ingredient List - Mother Tinctu'!D9928</f>
        <v>0</v>
      </c>
      <c r="AB9927" s="117">
        <f t="shared" si="158"/>
        <v>0</v>
      </c>
      <c r="AC9927" s="117" t="str">
        <f>IF(AB9927=1,COUNTIF($AB$3:AB9927,1),"")</f>
        <v/>
      </c>
      <c r="AD9927" s="117" t="str">
        <f>IFERROR(INDEX($AA$3:$AA$10000,MATCH(ROWS($AC$3:AC9927),$AC$3:$AC$10000,0)),"")</f>
        <v/>
      </c>
    </row>
    <row r="9928" spans="27:30">
      <c r="AA9928" s="117">
        <f>+'Ingredient List - Mother Tinctu'!D9929</f>
        <v>0</v>
      </c>
      <c r="AB9928" s="117">
        <f t="shared" si="158"/>
        <v>0</v>
      </c>
      <c r="AC9928" s="117" t="str">
        <f>IF(AB9928=1,COUNTIF($AB$3:AB9928,1),"")</f>
        <v/>
      </c>
      <c r="AD9928" s="117" t="str">
        <f>IFERROR(INDEX($AA$3:$AA$10000,MATCH(ROWS($AC$3:AC9928),$AC$3:$AC$10000,0)),"")</f>
        <v/>
      </c>
    </row>
    <row r="9929" spans="27:30">
      <c r="AA9929" s="117">
        <f>+'Ingredient List - Mother Tinctu'!D9930</f>
        <v>0</v>
      </c>
      <c r="AB9929" s="117">
        <f t="shared" si="158"/>
        <v>0</v>
      </c>
      <c r="AC9929" s="117" t="str">
        <f>IF(AB9929=1,COUNTIF($AB$3:AB9929,1),"")</f>
        <v/>
      </c>
      <c r="AD9929" s="117" t="str">
        <f>IFERROR(INDEX($AA$3:$AA$10000,MATCH(ROWS($AC$3:AC9929),$AC$3:$AC$10000,0)),"")</f>
        <v/>
      </c>
    </row>
    <row r="9930" spans="27:30">
      <c r="AA9930" s="117">
        <f>+'Ingredient List - Mother Tinctu'!D9931</f>
        <v>0</v>
      </c>
      <c r="AB9930" s="117">
        <f t="shared" si="158"/>
        <v>0</v>
      </c>
      <c r="AC9930" s="117" t="str">
        <f>IF(AB9930=1,COUNTIF($AB$3:AB9930,1),"")</f>
        <v/>
      </c>
      <c r="AD9930" s="117" t="str">
        <f>IFERROR(INDEX($AA$3:$AA$10000,MATCH(ROWS($AC$3:AC9930),$AC$3:$AC$10000,0)),"")</f>
        <v/>
      </c>
    </row>
    <row r="9931" spans="27:30">
      <c r="AA9931" s="117">
        <f>+'Ingredient List - Mother Tinctu'!D9932</f>
        <v>0</v>
      </c>
      <c r="AB9931" s="117">
        <f t="shared" si="158"/>
        <v>0</v>
      </c>
      <c r="AC9931" s="117" t="str">
        <f>IF(AB9931=1,COUNTIF($AB$3:AB9931,1),"")</f>
        <v/>
      </c>
      <c r="AD9931" s="117" t="str">
        <f>IFERROR(INDEX($AA$3:$AA$10000,MATCH(ROWS($AC$3:AC9931),$AC$3:$AC$10000,0)),"")</f>
        <v/>
      </c>
    </row>
    <row r="9932" spans="27:30">
      <c r="AA9932" s="117">
        <f>+'Ingredient List - Mother Tinctu'!D9933</f>
        <v>0</v>
      </c>
      <c r="AB9932" s="117">
        <f t="shared" si="158"/>
        <v>0</v>
      </c>
      <c r="AC9932" s="117" t="str">
        <f>IF(AB9932=1,COUNTIF($AB$3:AB9932,1),"")</f>
        <v/>
      </c>
      <c r="AD9932" s="117" t="str">
        <f>IFERROR(INDEX($AA$3:$AA$10000,MATCH(ROWS($AC$3:AC9932),$AC$3:$AC$10000,0)),"")</f>
        <v/>
      </c>
    </row>
    <row r="9933" spans="27:30">
      <c r="AA9933" s="117">
        <f>+'Ingredient List - Mother Tinctu'!D9934</f>
        <v>0</v>
      </c>
      <c r="AB9933" s="117">
        <f t="shared" si="158"/>
        <v>0</v>
      </c>
      <c r="AC9933" s="117" t="str">
        <f>IF(AB9933=1,COUNTIF($AB$3:AB9933,1),"")</f>
        <v/>
      </c>
      <c r="AD9933" s="117" t="str">
        <f>IFERROR(INDEX($AA$3:$AA$10000,MATCH(ROWS($AC$3:AC9933),$AC$3:$AC$10000,0)),"")</f>
        <v/>
      </c>
    </row>
    <row r="9934" spans="27:30">
      <c r="AA9934" s="117">
        <f>+'Ingredient List - Mother Tinctu'!D9935</f>
        <v>0</v>
      </c>
      <c r="AB9934" s="117">
        <f t="shared" si="158"/>
        <v>0</v>
      </c>
      <c r="AC9934" s="117" t="str">
        <f>IF(AB9934=1,COUNTIF($AB$3:AB9934,1),"")</f>
        <v/>
      </c>
      <c r="AD9934" s="117" t="str">
        <f>IFERROR(INDEX($AA$3:$AA$10000,MATCH(ROWS($AC$3:AC9934),$AC$3:$AC$10000,0)),"")</f>
        <v/>
      </c>
    </row>
    <row r="9935" spans="27:30">
      <c r="AA9935" s="117">
        <f>+'Ingredient List - Mother Tinctu'!D9936</f>
        <v>0</v>
      </c>
      <c r="AB9935" s="117">
        <f t="shared" si="158"/>
        <v>0</v>
      </c>
      <c r="AC9935" s="117" t="str">
        <f>IF(AB9935=1,COUNTIF($AB$3:AB9935,1),"")</f>
        <v/>
      </c>
      <c r="AD9935" s="117" t="str">
        <f>IFERROR(INDEX($AA$3:$AA$10000,MATCH(ROWS($AC$3:AC9935),$AC$3:$AC$10000,0)),"")</f>
        <v/>
      </c>
    </row>
    <row r="9936" spans="27:30">
      <c r="AA9936" s="117">
        <f>+'Ingredient List - Mother Tinctu'!D9937</f>
        <v>0</v>
      </c>
      <c r="AB9936" s="117">
        <f t="shared" si="158"/>
        <v>0</v>
      </c>
      <c r="AC9936" s="117" t="str">
        <f>IF(AB9936=1,COUNTIF($AB$3:AB9936,1),"")</f>
        <v/>
      </c>
      <c r="AD9936" s="117" t="str">
        <f>IFERROR(INDEX($AA$3:$AA$10000,MATCH(ROWS($AC$3:AC9936),$AC$3:$AC$10000,0)),"")</f>
        <v/>
      </c>
    </row>
    <row r="9937" spans="27:30">
      <c r="AA9937" s="117">
        <f>+'Ingredient List - Mother Tinctu'!D9938</f>
        <v>0</v>
      </c>
      <c r="AB9937" s="117">
        <f t="shared" si="158"/>
        <v>0</v>
      </c>
      <c r="AC9937" s="117" t="str">
        <f>IF(AB9937=1,COUNTIF($AB$3:AB9937,1),"")</f>
        <v/>
      </c>
      <c r="AD9937" s="117" t="str">
        <f>IFERROR(INDEX($AA$3:$AA$10000,MATCH(ROWS($AC$3:AC9937),$AC$3:$AC$10000,0)),"")</f>
        <v/>
      </c>
    </row>
    <row r="9938" spans="27:30">
      <c r="AA9938" s="117">
        <f>+'Ingredient List - Mother Tinctu'!D9939</f>
        <v>0</v>
      </c>
      <c r="AB9938" s="117">
        <f t="shared" si="158"/>
        <v>0</v>
      </c>
      <c r="AC9938" s="117" t="str">
        <f>IF(AB9938=1,COUNTIF($AB$3:AB9938,1),"")</f>
        <v/>
      </c>
      <c r="AD9938" s="117" t="str">
        <f>IFERROR(INDEX($AA$3:$AA$10000,MATCH(ROWS($AC$3:AC9938),$AC$3:$AC$10000,0)),"")</f>
        <v/>
      </c>
    </row>
    <row r="9939" spans="27:30">
      <c r="AA9939" s="117">
        <f>+'Ingredient List - Mother Tinctu'!D9940</f>
        <v>0</v>
      </c>
      <c r="AB9939" s="117">
        <f t="shared" si="158"/>
        <v>0</v>
      </c>
      <c r="AC9939" s="117" t="str">
        <f>IF(AB9939=1,COUNTIF($AB$3:AB9939,1),"")</f>
        <v/>
      </c>
      <c r="AD9939" s="117" t="str">
        <f>IFERROR(INDEX($AA$3:$AA$10000,MATCH(ROWS($AC$3:AC9939),$AC$3:$AC$10000,0)),"")</f>
        <v/>
      </c>
    </row>
    <row r="9940" spans="27:30">
      <c r="AA9940" s="117">
        <f>+'Ingredient List - Mother Tinctu'!D9941</f>
        <v>0</v>
      </c>
      <c r="AB9940" s="117">
        <f t="shared" si="158"/>
        <v>0</v>
      </c>
      <c r="AC9940" s="117" t="str">
        <f>IF(AB9940=1,COUNTIF($AB$3:AB9940,1),"")</f>
        <v/>
      </c>
      <c r="AD9940" s="117" t="str">
        <f>IFERROR(INDEX($AA$3:$AA$10000,MATCH(ROWS($AC$3:AC9940),$AC$3:$AC$10000,0)),"")</f>
        <v/>
      </c>
    </row>
    <row r="9941" spans="27:30">
      <c r="AA9941" s="117">
        <f>+'Ingredient List - Mother Tinctu'!D9942</f>
        <v>0</v>
      </c>
      <c r="AB9941" s="117">
        <f t="shared" si="158"/>
        <v>0</v>
      </c>
      <c r="AC9941" s="117" t="str">
        <f>IF(AB9941=1,COUNTIF($AB$3:AB9941,1),"")</f>
        <v/>
      </c>
      <c r="AD9941" s="117" t="str">
        <f>IFERROR(INDEX($AA$3:$AA$10000,MATCH(ROWS($AC$3:AC9941),$AC$3:$AC$10000,0)),"")</f>
        <v/>
      </c>
    </row>
    <row r="9942" spans="27:30">
      <c r="AA9942" s="117">
        <f>+'Ingredient List - Mother Tinctu'!D9943</f>
        <v>0</v>
      </c>
      <c r="AB9942" s="117">
        <f t="shared" si="158"/>
        <v>0</v>
      </c>
      <c r="AC9942" s="117" t="str">
        <f>IF(AB9942=1,COUNTIF($AB$3:AB9942,1),"")</f>
        <v/>
      </c>
      <c r="AD9942" s="117" t="str">
        <f>IFERROR(INDEX($AA$3:$AA$10000,MATCH(ROWS($AC$3:AC9942),$AC$3:$AC$10000,0)),"")</f>
        <v/>
      </c>
    </row>
    <row r="9943" spans="27:30">
      <c r="AA9943" s="117">
        <f>+'Ingredient List - Mother Tinctu'!D9944</f>
        <v>0</v>
      </c>
      <c r="AB9943" s="117">
        <f t="shared" si="158"/>
        <v>0</v>
      </c>
      <c r="AC9943" s="117" t="str">
        <f>IF(AB9943=1,COUNTIF($AB$3:AB9943,1),"")</f>
        <v/>
      </c>
      <c r="AD9943" s="117" t="str">
        <f>IFERROR(INDEX($AA$3:$AA$10000,MATCH(ROWS($AC$3:AC9943),$AC$3:$AC$10000,0)),"")</f>
        <v/>
      </c>
    </row>
    <row r="9944" spans="27:30">
      <c r="AA9944" s="117">
        <f>+'Ingredient List - Mother Tinctu'!D9945</f>
        <v>0</v>
      </c>
      <c r="AB9944" s="117">
        <f t="shared" si="158"/>
        <v>0</v>
      </c>
      <c r="AC9944" s="117" t="str">
        <f>IF(AB9944=1,COUNTIF($AB$3:AB9944,1),"")</f>
        <v/>
      </c>
      <c r="AD9944" s="117" t="str">
        <f>IFERROR(INDEX($AA$3:$AA$10000,MATCH(ROWS($AC$3:AC9944),$AC$3:$AC$10000,0)),"")</f>
        <v/>
      </c>
    </row>
    <row r="9945" spans="27:30">
      <c r="AA9945" s="117">
        <f>+'Ingredient List - Mother Tinctu'!D9946</f>
        <v>0</v>
      </c>
      <c r="AB9945" s="117">
        <f t="shared" si="158"/>
        <v>0</v>
      </c>
      <c r="AC9945" s="117" t="str">
        <f>IF(AB9945=1,COUNTIF($AB$3:AB9945,1),"")</f>
        <v/>
      </c>
      <c r="AD9945" s="117" t="str">
        <f>IFERROR(INDEX($AA$3:$AA$10000,MATCH(ROWS($AC$3:AC9945),$AC$3:$AC$10000,0)),"")</f>
        <v/>
      </c>
    </row>
    <row r="9946" spans="27:30">
      <c r="AA9946" s="117">
        <f>+'Ingredient List - Mother Tinctu'!D9947</f>
        <v>0</v>
      </c>
      <c r="AB9946" s="117">
        <f t="shared" si="158"/>
        <v>0</v>
      </c>
      <c r="AC9946" s="117" t="str">
        <f>IF(AB9946=1,COUNTIF($AB$3:AB9946,1),"")</f>
        <v/>
      </c>
      <c r="AD9946" s="117" t="str">
        <f>IFERROR(INDEX($AA$3:$AA$10000,MATCH(ROWS($AC$3:AC9946),$AC$3:$AC$10000,0)),"")</f>
        <v/>
      </c>
    </row>
    <row r="9947" spans="27:30">
      <c r="AA9947" s="117">
        <f>+'Ingredient List - Mother Tinctu'!D9948</f>
        <v>0</v>
      </c>
      <c r="AB9947" s="117">
        <f t="shared" si="158"/>
        <v>0</v>
      </c>
      <c r="AC9947" s="117" t="str">
        <f>IF(AB9947=1,COUNTIF($AB$3:AB9947,1),"")</f>
        <v/>
      </c>
      <c r="AD9947" s="117" t="str">
        <f>IFERROR(INDEX($AA$3:$AA$10000,MATCH(ROWS($AC$3:AC9947),$AC$3:$AC$10000,0)),"")</f>
        <v/>
      </c>
    </row>
    <row r="9948" spans="27:30">
      <c r="AA9948" s="117">
        <f>+'Ingredient List - Mother Tinctu'!D9949</f>
        <v>0</v>
      </c>
      <c r="AB9948" s="117">
        <f t="shared" si="158"/>
        <v>0</v>
      </c>
      <c r="AC9948" s="117" t="str">
        <f>IF(AB9948=1,COUNTIF($AB$3:AB9948,1),"")</f>
        <v/>
      </c>
      <c r="AD9948" s="117" t="str">
        <f>IFERROR(INDEX($AA$3:$AA$10000,MATCH(ROWS($AC$3:AC9948),$AC$3:$AC$10000,0)),"")</f>
        <v/>
      </c>
    </row>
    <row r="9949" spans="27:30">
      <c r="AA9949" s="117">
        <f>+'Ingredient List - Mother Tinctu'!D9950</f>
        <v>0</v>
      </c>
      <c r="AB9949" s="117">
        <f t="shared" si="158"/>
        <v>0</v>
      </c>
      <c r="AC9949" s="117" t="str">
        <f>IF(AB9949=1,COUNTIF($AB$3:AB9949,1),"")</f>
        <v/>
      </c>
      <c r="AD9949" s="117" t="str">
        <f>IFERROR(INDEX($AA$3:$AA$10000,MATCH(ROWS($AC$3:AC9949),$AC$3:$AC$10000,0)),"")</f>
        <v/>
      </c>
    </row>
    <row r="9950" spans="27:30">
      <c r="AA9950" s="117">
        <f>+'Ingredient List - Mother Tinctu'!D9951</f>
        <v>0</v>
      </c>
      <c r="AB9950" s="117">
        <f t="shared" si="158"/>
        <v>0</v>
      </c>
      <c r="AC9950" s="117" t="str">
        <f>IF(AB9950=1,COUNTIF($AB$3:AB9950,1),"")</f>
        <v/>
      </c>
      <c r="AD9950" s="117" t="str">
        <f>IFERROR(INDEX($AA$3:$AA$10000,MATCH(ROWS($AC$3:AC9950),$AC$3:$AC$10000,0)),"")</f>
        <v/>
      </c>
    </row>
    <row r="9951" spans="27:30">
      <c r="AA9951" s="117">
        <f>+'Ingredient List - Mother Tinctu'!D9952</f>
        <v>0</v>
      </c>
      <c r="AB9951" s="117">
        <f t="shared" si="158"/>
        <v>0</v>
      </c>
      <c r="AC9951" s="117" t="str">
        <f>IF(AB9951=1,COUNTIF($AB$3:AB9951,1),"")</f>
        <v/>
      </c>
      <c r="AD9951" s="117" t="str">
        <f>IFERROR(INDEX($AA$3:$AA$10000,MATCH(ROWS($AC$3:AC9951),$AC$3:$AC$10000,0)),"")</f>
        <v/>
      </c>
    </row>
    <row r="9952" spans="27:30">
      <c r="AA9952" s="117">
        <f>+'Ingredient List - Mother Tinctu'!D9953</f>
        <v>0</v>
      </c>
      <c r="AB9952" s="117">
        <f t="shared" si="158"/>
        <v>0</v>
      </c>
      <c r="AC9952" s="117" t="str">
        <f>IF(AB9952=1,COUNTIF($AB$3:AB9952,1),"")</f>
        <v/>
      </c>
      <c r="AD9952" s="117" t="str">
        <f>IFERROR(INDEX($AA$3:$AA$10000,MATCH(ROWS($AC$3:AC9952),$AC$3:$AC$10000,0)),"")</f>
        <v/>
      </c>
    </row>
    <row r="9953" spans="27:30">
      <c r="AA9953" s="117">
        <f>+'Ingredient List - Mother Tinctu'!D9954</f>
        <v>0</v>
      </c>
      <c r="AB9953" s="117">
        <f t="shared" si="158"/>
        <v>0</v>
      </c>
      <c r="AC9953" s="117" t="str">
        <f>IF(AB9953=1,COUNTIF($AB$3:AB9953,1),"")</f>
        <v/>
      </c>
      <c r="AD9953" s="117" t="str">
        <f>IFERROR(INDEX($AA$3:$AA$10000,MATCH(ROWS($AC$3:AC9953),$AC$3:$AC$10000,0)),"")</f>
        <v/>
      </c>
    </row>
    <row r="9954" spans="27:30">
      <c r="AA9954" s="117">
        <f>+'Ingredient List - Mother Tinctu'!D9955</f>
        <v>0</v>
      </c>
      <c r="AB9954" s="117">
        <f t="shared" si="158"/>
        <v>0</v>
      </c>
      <c r="AC9954" s="117" t="str">
        <f>IF(AB9954=1,COUNTIF($AB$3:AB9954,1),"")</f>
        <v/>
      </c>
      <c r="AD9954" s="117" t="str">
        <f>IFERROR(INDEX($AA$3:$AA$10000,MATCH(ROWS($AC$3:AC9954),$AC$3:$AC$10000,0)),"")</f>
        <v/>
      </c>
    </row>
    <row r="9955" spans="27:30">
      <c r="AA9955" s="117">
        <f>+'Ingredient List - Mother Tinctu'!D9956</f>
        <v>0</v>
      </c>
      <c r="AB9955" s="117">
        <f t="shared" si="158"/>
        <v>0</v>
      </c>
      <c r="AC9955" s="117" t="str">
        <f>IF(AB9955=1,COUNTIF($AB$3:AB9955,1),"")</f>
        <v/>
      </c>
      <c r="AD9955" s="117" t="str">
        <f>IFERROR(INDEX($AA$3:$AA$10000,MATCH(ROWS($AC$3:AC9955),$AC$3:$AC$10000,0)),"")</f>
        <v/>
      </c>
    </row>
    <row r="9956" spans="27:30">
      <c r="AA9956" s="117">
        <f>+'Ingredient List - Mother Tinctu'!D9957</f>
        <v>0</v>
      </c>
      <c r="AB9956" s="117">
        <f t="shared" si="158"/>
        <v>0</v>
      </c>
      <c r="AC9956" s="117" t="str">
        <f>IF(AB9956=1,COUNTIF($AB$3:AB9956,1),"")</f>
        <v/>
      </c>
      <c r="AD9956" s="117" t="str">
        <f>IFERROR(INDEX($AA$3:$AA$10000,MATCH(ROWS($AC$3:AC9956),$AC$3:$AC$10000,0)),"")</f>
        <v/>
      </c>
    </row>
    <row r="9957" spans="27:30">
      <c r="AA9957" s="117">
        <f>+'Ingredient List - Mother Tinctu'!D9958</f>
        <v>0</v>
      </c>
      <c r="AB9957" s="117">
        <f t="shared" si="158"/>
        <v>0</v>
      </c>
      <c r="AC9957" s="117" t="str">
        <f>IF(AB9957=1,COUNTIF($AB$3:AB9957,1),"")</f>
        <v/>
      </c>
      <c r="AD9957" s="117" t="str">
        <f>IFERROR(INDEX($AA$3:$AA$10000,MATCH(ROWS($AC$3:AC9957),$AC$3:$AC$10000,0)),"")</f>
        <v/>
      </c>
    </row>
    <row r="9958" spans="27:30">
      <c r="AA9958" s="117">
        <f>+'Ingredient List - Mother Tinctu'!D9959</f>
        <v>0</v>
      </c>
      <c r="AB9958" s="117">
        <f t="shared" si="158"/>
        <v>0</v>
      </c>
      <c r="AC9958" s="117" t="str">
        <f>IF(AB9958=1,COUNTIF($AB$3:AB9958,1),"")</f>
        <v/>
      </c>
      <c r="AD9958" s="117" t="str">
        <f>IFERROR(INDEX($AA$3:$AA$10000,MATCH(ROWS($AC$3:AC9958),$AC$3:$AC$10000,0)),"")</f>
        <v/>
      </c>
    </row>
    <row r="9959" spans="27:30">
      <c r="AA9959" s="117">
        <f>+'Ingredient List - Mother Tinctu'!D9960</f>
        <v>0</v>
      </c>
      <c r="AB9959" s="117">
        <f t="shared" si="158"/>
        <v>0</v>
      </c>
      <c r="AC9959" s="117" t="str">
        <f>IF(AB9959=1,COUNTIF($AB$3:AB9959,1),"")</f>
        <v/>
      </c>
      <c r="AD9959" s="117" t="str">
        <f>IFERROR(INDEX($AA$3:$AA$10000,MATCH(ROWS($AC$3:AC9959),$AC$3:$AC$10000,0)),"")</f>
        <v/>
      </c>
    </row>
    <row r="9960" spans="27:30">
      <c r="AA9960" s="117">
        <f>+'Ingredient List - Mother Tinctu'!D9961</f>
        <v>0</v>
      </c>
      <c r="AB9960" s="117">
        <f t="shared" si="158"/>
        <v>0</v>
      </c>
      <c r="AC9960" s="117" t="str">
        <f>IF(AB9960=1,COUNTIF($AB$3:AB9960,1),"")</f>
        <v/>
      </c>
      <c r="AD9960" s="117" t="str">
        <f>IFERROR(INDEX($AA$3:$AA$10000,MATCH(ROWS($AC$3:AC9960),$AC$3:$AC$10000,0)),"")</f>
        <v/>
      </c>
    </row>
    <row r="9961" spans="27:30">
      <c r="AA9961" s="117">
        <f>+'Ingredient List - Mother Tinctu'!D9962</f>
        <v>0</v>
      </c>
      <c r="AB9961" s="117">
        <f t="shared" si="158"/>
        <v>0</v>
      </c>
      <c r="AC9961" s="117" t="str">
        <f>IF(AB9961=1,COUNTIF($AB$3:AB9961,1),"")</f>
        <v/>
      </c>
      <c r="AD9961" s="117" t="str">
        <f>IFERROR(INDEX($AA$3:$AA$10000,MATCH(ROWS($AC$3:AC9961),$AC$3:$AC$10000,0)),"")</f>
        <v/>
      </c>
    </row>
    <row r="9962" spans="27:30">
      <c r="AA9962" s="117">
        <f>+'Ingredient List - Mother Tinctu'!D9963</f>
        <v>0</v>
      </c>
      <c r="AB9962" s="117">
        <f t="shared" si="158"/>
        <v>0</v>
      </c>
      <c r="AC9962" s="117" t="str">
        <f>IF(AB9962=1,COUNTIF($AB$3:AB9962,1),"")</f>
        <v/>
      </c>
      <c r="AD9962" s="117" t="str">
        <f>IFERROR(INDEX($AA$3:$AA$10000,MATCH(ROWS($AC$3:AC9962),$AC$3:$AC$10000,0)),"")</f>
        <v/>
      </c>
    </row>
    <row r="9963" spans="27:30">
      <c r="AA9963" s="117">
        <f>+'Ingredient List - Mother Tinctu'!D9964</f>
        <v>0</v>
      </c>
      <c r="AB9963" s="117">
        <f t="shared" si="158"/>
        <v>0</v>
      </c>
      <c r="AC9963" s="117" t="str">
        <f>IF(AB9963=1,COUNTIF($AB$3:AB9963,1),"")</f>
        <v/>
      </c>
      <c r="AD9963" s="117" t="str">
        <f>IFERROR(INDEX($AA$3:$AA$10000,MATCH(ROWS($AC$3:AC9963),$AC$3:$AC$10000,0)),"")</f>
        <v/>
      </c>
    </row>
    <row r="9964" spans="27:30">
      <c r="AA9964" s="117">
        <f>+'Ingredient List - Mother Tinctu'!D9965</f>
        <v>0</v>
      </c>
      <c r="AB9964" s="117">
        <f t="shared" si="158"/>
        <v>0</v>
      </c>
      <c r="AC9964" s="117" t="str">
        <f>IF(AB9964=1,COUNTIF($AB$3:AB9964,1),"")</f>
        <v/>
      </c>
      <c r="AD9964" s="117" t="str">
        <f>IFERROR(INDEX($AA$3:$AA$10000,MATCH(ROWS($AC$3:AC9964),$AC$3:$AC$10000,0)),"")</f>
        <v/>
      </c>
    </row>
    <row r="9965" spans="27:30">
      <c r="AA9965" s="117">
        <f>+'Ingredient List - Mother Tinctu'!D9966</f>
        <v>0</v>
      </c>
      <c r="AB9965" s="117">
        <f t="shared" si="158"/>
        <v>0</v>
      </c>
      <c r="AC9965" s="117" t="str">
        <f>IF(AB9965=1,COUNTIF($AB$3:AB9965,1),"")</f>
        <v/>
      </c>
      <c r="AD9965" s="117" t="str">
        <f>IFERROR(INDEX($AA$3:$AA$10000,MATCH(ROWS($AC$3:AC9965),$AC$3:$AC$10000,0)),"")</f>
        <v/>
      </c>
    </row>
    <row r="9966" spans="27:30">
      <c r="AA9966" s="117">
        <f>+'Ingredient List - Mother Tinctu'!D9967</f>
        <v>0</v>
      </c>
      <c r="AB9966" s="117">
        <f t="shared" si="158"/>
        <v>0</v>
      </c>
      <c r="AC9966" s="117" t="str">
        <f>IF(AB9966=1,COUNTIF($AB$3:AB9966,1),"")</f>
        <v/>
      </c>
      <c r="AD9966" s="117" t="str">
        <f>IFERROR(INDEX($AA$3:$AA$10000,MATCH(ROWS($AC$3:AC9966),$AC$3:$AC$10000,0)),"")</f>
        <v/>
      </c>
    </row>
    <row r="9967" spans="27:30">
      <c r="AA9967" s="117">
        <f>+'Ingredient List - Mother Tinctu'!D9968</f>
        <v>0</v>
      </c>
      <c r="AB9967" s="117">
        <f t="shared" si="158"/>
        <v>0</v>
      </c>
      <c r="AC9967" s="117" t="str">
        <f>IF(AB9967=1,COUNTIF($AB$3:AB9967,1),"")</f>
        <v/>
      </c>
      <c r="AD9967" s="117" t="str">
        <f>IFERROR(INDEX($AA$3:$AA$10000,MATCH(ROWS($AC$3:AC9967),$AC$3:$AC$10000,0)),"")</f>
        <v/>
      </c>
    </row>
    <row r="9968" spans="27:30">
      <c r="AA9968" s="117">
        <f>+'Ingredient List - Mother Tinctu'!D9969</f>
        <v>0</v>
      </c>
      <c r="AB9968" s="117">
        <f t="shared" si="158"/>
        <v>0</v>
      </c>
      <c r="AC9968" s="117" t="str">
        <f>IF(AB9968=1,COUNTIF($AB$3:AB9968,1),"")</f>
        <v/>
      </c>
      <c r="AD9968" s="117" t="str">
        <f>IFERROR(INDEX($AA$3:$AA$10000,MATCH(ROWS($AC$3:AC9968),$AC$3:$AC$10000,0)),"")</f>
        <v/>
      </c>
    </row>
    <row r="9969" spans="27:30">
      <c r="AA9969" s="117">
        <f>+'Ingredient List - Mother Tinctu'!D9970</f>
        <v>0</v>
      </c>
      <c r="AB9969" s="117">
        <f t="shared" si="158"/>
        <v>0</v>
      </c>
      <c r="AC9969" s="117" t="str">
        <f>IF(AB9969=1,COUNTIF($AB$3:AB9969,1),"")</f>
        <v/>
      </c>
      <c r="AD9969" s="117" t="str">
        <f>IFERROR(INDEX($AA$3:$AA$10000,MATCH(ROWS($AC$3:AC9969),$AC$3:$AC$10000,0)),"")</f>
        <v/>
      </c>
    </row>
    <row r="9970" spans="27:30">
      <c r="AA9970" s="117">
        <f>+'Ingredient List - Mother Tinctu'!D9971</f>
        <v>0</v>
      </c>
      <c r="AB9970" s="117">
        <f t="shared" si="158"/>
        <v>0</v>
      </c>
      <c r="AC9970" s="117" t="str">
        <f>IF(AB9970=1,COUNTIF($AB$3:AB9970,1),"")</f>
        <v/>
      </c>
      <c r="AD9970" s="117" t="str">
        <f>IFERROR(INDEX($AA$3:$AA$10000,MATCH(ROWS($AC$3:AC9970),$AC$3:$AC$10000,0)),"")</f>
        <v/>
      </c>
    </row>
    <row r="9971" spans="27:30">
      <c r="AA9971" s="117">
        <f>+'Ingredient List - Mother Tinctu'!D9972</f>
        <v>0</v>
      </c>
      <c r="AB9971" s="117">
        <f t="shared" si="158"/>
        <v>0</v>
      </c>
      <c r="AC9971" s="117" t="str">
        <f>IF(AB9971=1,COUNTIF($AB$3:AB9971,1),"")</f>
        <v/>
      </c>
      <c r="AD9971" s="117" t="str">
        <f>IFERROR(INDEX($AA$3:$AA$10000,MATCH(ROWS($AC$3:AC9971),$AC$3:$AC$10000,0)),"")</f>
        <v/>
      </c>
    </row>
    <row r="9972" spans="27:30">
      <c r="AA9972" s="117">
        <f>+'Ingredient List - Mother Tinctu'!D9973</f>
        <v>0</v>
      </c>
      <c r="AB9972" s="117">
        <f t="shared" si="158"/>
        <v>0</v>
      </c>
      <c r="AC9972" s="117" t="str">
        <f>IF(AB9972=1,COUNTIF($AB$3:AB9972,1),"")</f>
        <v/>
      </c>
      <c r="AD9972" s="117" t="str">
        <f>IFERROR(INDEX($AA$3:$AA$10000,MATCH(ROWS($AC$3:AC9972),$AC$3:$AC$10000,0)),"")</f>
        <v/>
      </c>
    </row>
    <row r="9973" spans="27:30">
      <c r="AA9973" s="117">
        <f>+'Ingredient List - Mother Tinctu'!D9974</f>
        <v>0</v>
      </c>
      <c r="AB9973" s="117">
        <f t="shared" si="158"/>
        <v>0</v>
      </c>
      <c r="AC9973" s="117" t="str">
        <f>IF(AB9973=1,COUNTIF($AB$3:AB9973,1),"")</f>
        <v/>
      </c>
      <c r="AD9973" s="117" t="str">
        <f>IFERROR(INDEX($AA$3:$AA$10000,MATCH(ROWS($AC$3:AC9973),$AC$3:$AC$10000,0)),"")</f>
        <v/>
      </c>
    </row>
    <row r="9974" spans="27:30">
      <c r="AA9974" s="117">
        <f>+'Ingredient List - Mother Tinctu'!D9975</f>
        <v>0</v>
      </c>
      <c r="AB9974" s="117">
        <f t="shared" si="158"/>
        <v>0</v>
      </c>
      <c r="AC9974" s="117" t="str">
        <f>IF(AB9974=1,COUNTIF($AB$3:AB9974,1),"")</f>
        <v/>
      </c>
      <c r="AD9974" s="117" t="str">
        <f>IFERROR(INDEX($AA$3:$AA$10000,MATCH(ROWS($AC$3:AC9974),$AC$3:$AC$10000,0)),"")</f>
        <v/>
      </c>
    </row>
    <row r="9975" spans="27:30">
      <c r="AA9975" s="117">
        <f>+'Ingredient List - Mother Tinctu'!D9976</f>
        <v>0</v>
      </c>
      <c r="AB9975" s="117">
        <f t="shared" si="158"/>
        <v>0</v>
      </c>
      <c r="AC9975" s="117" t="str">
        <f>IF(AB9975=1,COUNTIF($AB$3:AB9975,1),"")</f>
        <v/>
      </c>
      <c r="AD9975" s="117" t="str">
        <f>IFERROR(INDEX($AA$3:$AA$10000,MATCH(ROWS($AC$3:AC9975),$AC$3:$AC$10000,0)),"")</f>
        <v/>
      </c>
    </row>
    <row r="9976" spans="27:30">
      <c r="AA9976" s="117">
        <f>+'Ingredient List - Mother Tinctu'!D9977</f>
        <v>0</v>
      </c>
      <c r="AB9976" s="117">
        <f t="shared" si="158"/>
        <v>0</v>
      </c>
      <c r="AC9976" s="117" t="str">
        <f>IF(AB9976=1,COUNTIF($AB$3:AB9976,1),"")</f>
        <v/>
      </c>
      <c r="AD9976" s="117" t="str">
        <f>IFERROR(INDEX($AA$3:$AA$10000,MATCH(ROWS($AC$3:AC9976),$AC$3:$AC$10000,0)),"")</f>
        <v/>
      </c>
    </row>
    <row r="9977" spans="27:30">
      <c r="AA9977" s="117">
        <f>+'Ingredient List - Mother Tinctu'!D9978</f>
        <v>0</v>
      </c>
      <c r="AB9977" s="117">
        <f t="shared" si="158"/>
        <v>0</v>
      </c>
      <c r="AC9977" s="117" t="str">
        <f>IF(AB9977=1,COUNTIF($AB$3:AB9977,1),"")</f>
        <v/>
      </c>
      <c r="AD9977" s="117" t="str">
        <f>IFERROR(INDEX($AA$3:$AA$10000,MATCH(ROWS($AC$3:AC9977),$AC$3:$AC$10000,0)),"")</f>
        <v/>
      </c>
    </row>
    <row r="9978" spans="27:30">
      <c r="AA9978" s="117">
        <f>+'Ingredient List - Mother Tinctu'!D9979</f>
        <v>0</v>
      </c>
      <c r="AB9978" s="117">
        <f t="shared" si="158"/>
        <v>0</v>
      </c>
      <c r="AC9978" s="117" t="str">
        <f>IF(AB9978=1,COUNTIF($AB$3:AB9978,1),"")</f>
        <v/>
      </c>
      <c r="AD9978" s="117" t="str">
        <f>IFERROR(INDEX($AA$3:$AA$10000,MATCH(ROWS($AC$3:AC9978),$AC$3:$AC$10000,0)),"")</f>
        <v/>
      </c>
    </row>
    <row r="9979" spans="27:30">
      <c r="AA9979" s="117">
        <f>+'Ingredient List - Mother Tinctu'!D9980</f>
        <v>0</v>
      </c>
      <c r="AB9979" s="117">
        <f t="shared" si="158"/>
        <v>0</v>
      </c>
      <c r="AC9979" s="117" t="str">
        <f>IF(AB9979=1,COUNTIF($AB$3:AB9979,1),"")</f>
        <v/>
      </c>
      <c r="AD9979" s="117" t="str">
        <f>IFERROR(INDEX($AA$3:$AA$10000,MATCH(ROWS($AC$3:AC9979),$AC$3:$AC$10000,0)),"")</f>
        <v/>
      </c>
    </row>
    <row r="9980" spans="27:30">
      <c r="AA9980" s="117">
        <f>+'Ingredient List - Mother Tinctu'!D9981</f>
        <v>0</v>
      </c>
      <c r="AB9980" s="117">
        <f t="shared" si="158"/>
        <v>0</v>
      </c>
      <c r="AC9980" s="117" t="str">
        <f>IF(AB9980=1,COUNTIF($AB$3:AB9980,1),"")</f>
        <v/>
      </c>
      <c r="AD9980" s="117" t="str">
        <f>IFERROR(INDEX($AA$3:$AA$10000,MATCH(ROWS($AC$3:AC9980),$AC$3:$AC$10000,0)),"")</f>
        <v/>
      </c>
    </row>
    <row r="9981" spans="27:30">
      <c r="AA9981" s="117">
        <f>+'Ingredient List - Mother Tinctu'!D9982</f>
        <v>0</v>
      </c>
      <c r="AB9981" s="117">
        <f t="shared" si="158"/>
        <v>0</v>
      </c>
      <c r="AC9981" s="117" t="str">
        <f>IF(AB9981=1,COUNTIF($AB$3:AB9981,1),"")</f>
        <v/>
      </c>
      <c r="AD9981" s="117" t="str">
        <f>IFERROR(INDEX($AA$3:$AA$10000,MATCH(ROWS($AC$3:AC9981),$AC$3:$AC$10000,0)),"")</f>
        <v/>
      </c>
    </row>
    <row r="9982" spans="27:30">
      <c r="AA9982" s="117">
        <f>+'Ingredient List - Mother Tinctu'!D9983</f>
        <v>0</v>
      </c>
      <c r="AB9982" s="117">
        <f t="shared" si="158"/>
        <v>0</v>
      </c>
      <c r="AC9982" s="117" t="str">
        <f>IF(AB9982=1,COUNTIF($AB$3:AB9982,1),"")</f>
        <v/>
      </c>
      <c r="AD9982" s="117" t="str">
        <f>IFERROR(INDEX($AA$3:$AA$10000,MATCH(ROWS($AC$3:AC9982),$AC$3:$AC$10000,0)),"")</f>
        <v/>
      </c>
    </row>
    <row r="9983" spans="27:30">
      <c r="AA9983" s="117">
        <f>+'Ingredient List - Mother Tinctu'!D9984</f>
        <v>0</v>
      </c>
      <c r="AB9983" s="117">
        <f t="shared" si="158"/>
        <v>0</v>
      </c>
      <c r="AC9983" s="117" t="str">
        <f>IF(AB9983=1,COUNTIF($AB$3:AB9983,1),"")</f>
        <v/>
      </c>
      <c r="AD9983" s="117" t="str">
        <f>IFERROR(INDEX($AA$3:$AA$10000,MATCH(ROWS($AC$3:AC9983),$AC$3:$AC$10000,0)),"")</f>
        <v/>
      </c>
    </row>
    <row r="9984" spans="27:30">
      <c r="AA9984" s="117">
        <f>+'Ingredient List - Mother Tinctu'!D9985</f>
        <v>0</v>
      </c>
      <c r="AB9984" s="117">
        <f t="shared" si="158"/>
        <v>0</v>
      </c>
      <c r="AC9984" s="117" t="str">
        <f>IF(AB9984=1,COUNTIF($AB$3:AB9984,1),"")</f>
        <v/>
      </c>
      <c r="AD9984" s="117" t="str">
        <f>IFERROR(INDEX($AA$3:$AA$10000,MATCH(ROWS($AC$3:AC9984),$AC$3:$AC$10000,0)),"")</f>
        <v/>
      </c>
    </row>
    <row r="9985" spans="27:30">
      <c r="AA9985" s="117">
        <f>+'Ingredient List - Mother Tinctu'!D9986</f>
        <v>0</v>
      </c>
      <c r="AB9985" s="117">
        <f t="shared" si="158"/>
        <v>0</v>
      </c>
      <c r="AC9985" s="117" t="str">
        <f>IF(AB9985=1,COUNTIF($AB$3:AB9985,1),"")</f>
        <v/>
      </c>
      <c r="AD9985" s="117" t="str">
        <f>IFERROR(INDEX($AA$3:$AA$10000,MATCH(ROWS($AC$3:AC9985),$AC$3:$AC$10000,0)),"")</f>
        <v/>
      </c>
    </row>
    <row r="9986" spans="27:30">
      <c r="AA9986" s="117">
        <f>+'Ingredient List - Mother Tinctu'!D9987</f>
        <v>0</v>
      </c>
      <c r="AB9986" s="117">
        <f t="shared" si="158"/>
        <v>0</v>
      </c>
      <c r="AC9986" s="117" t="str">
        <f>IF(AB9986=1,COUNTIF($AB$3:AB9986,1),"")</f>
        <v/>
      </c>
      <c r="AD9986" s="117" t="str">
        <f>IFERROR(INDEX($AA$3:$AA$10000,MATCH(ROWS($AC$3:AC9986),$AC$3:$AC$10000,0)),"")</f>
        <v/>
      </c>
    </row>
    <row r="9987" spans="27:30">
      <c r="AA9987" s="117">
        <f>+'Ingredient List - Mother Tinctu'!D9988</f>
        <v>0</v>
      </c>
      <c r="AB9987" s="117">
        <f t="shared" si="158"/>
        <v>0</v>
      </c>
      <c r="AC9987" s="117" t="str">
        <f>IF(AB9987=1,COUNTIF($AB$3:AB9987,1),"")</f>
        <v/>
      </c>
      <c r="AD9987" s="117" t="str">
        <f>IFERROR(INDEX($AA$3:$AA$10000,MATCH(ROWS($AC$3:AC9987),$AC$3:$AC$10000,0)),"")</f>
        <v/>
      </c>
    </row>
    <row r="9988" spans="27:30">
      <c r="AA9988" s="117">
        <f>+'Ingredient List - Mother Tinctu'!D9989</f>
        <v>0</v>
      </c>
      <c r="AB9988" s="117">
        <f t="shared" ref="AB9988:AB10000" si="159">--ISNUMBER(IFERROR(SEARCH($D$3,AA9988,1),""))</f>
        <v>0</v>
      </c>
      <c r="AC9988" s="117" t="str">
        <f>IF(AB9988=1,COUNTIF($AB$3:AB9988,1),"")</f>
        <v/>
      </c>
      <c r="AD9988" s="117" t="str">
        <f>IFERROR(INDEX($AA$3:$AA$10000,MATCH(ROWS($AC$3:AC9988),$AC$3:$AC$10000,0)),"")</f>
        <v/>
      </c>
    </row>
    <row r="9989" spans="27:30">
      <c r="AA9989" s="117">
        <f>+'Ingredient List - Mother Tinctu'!D9990</f>
        <v>0</v>
      </c>
      <c r="AB9989" s="117">
        <f t="shared" si="159"/>
        <v>0</v>
      </c>
      <c r="AC9989" s="117" t="str">
        <f>IF(AB9989=1,COUNTIF($AB$3:AB9989,1),"")</f>
        <v/>
      </c>
      <c r="AD9989" s="117" t="str">
        <f>IFERROR(INDEX($AA$3:$AA$10000,MATCH(ROWS($AC$3:AC9989),$AC$3:$AC$10000,0)),"")</f>
        <v/>
      </c>
    </row>
    <row r="9990" spans="27:30">
      <c r="AA9990" s="117">
        <f>+'Ingredient List - Mother Tinctu'!D9991</f>
        <v>0</v>
      </c>
      <c r="AB9990" s="117">
        <f t="shared" si="159"/>
        <v>0</v>
      </c>
      <c r="AC9990" s="117" t="str">
        <f>IF(AB9990=1,COUNTIF($AB$3:AB9990,1),"")</f>
        <v/>
      </c>
      <c r="AD9990" s="117" t="str">
        <f>IFERROR(INDEX($AA$3:$AA$10000,MATCH(ROWS($AC$3:AC9990),$AC$3:$AC$10000,0)),"")</f>
        <v/>
      </c>
    </row>
    <row r="9991" spans="27:30">
      <c r="AA9991" s="117">
        <f>+'Ingredient List - Mother Tinctu'!D9992</f>
        <v>0</v>
      </c>
      <c r="AB9991" s="117">
        <f t="shared" si="159"/>
        <v>0</v>
      </c>
      <c r="AC9991" s="117" t="str">
        <f>IF(AB9991=1,COUNTIF($AB$3:AB9991,1),"")</f>
        <v/>
      </c>
      <c r="AD9991" s="117" t="str">
        <f>IFERROR(INDEX($AA$3:$AA$10000,MATCH(ROWS($AC$3:AC9991),$AC$3:$AC$10000,0)),"")</f>
        <v/>
      </c>
    </row>
    <row r="9992" spans="27:30">
      <c r="AA9992" s="117">
        <f>+'Ingredient List - Mother Tinctu'!D9993</f>
        <v>0</v>
      </c>
      <c r="AB9992" s="117">
        <f t="shared" si="159"/>
        <v>0</v>
      </c>
      <c r="AC9992" s="117" t="str">
        <f>IF(AB9992=1,COUNTIF($AB$3:AB9992,1),"")</f>
        <v/>
      </c>
      <c r="AD9992" s="117" t="str">
        <f>IFERROR(INDEX($AA$3:$AA$10000,MATCH(ROWS($AC$3:AC9992),$AC$3:$AC$10000,0)),"")</f>
        <v/>
      </c>
    </row>
    <row r="9993" spans="27:30">
      <c r="AA9993" s="117">
        <f>+'Ingredient List - Mother Tinctu'!D9994</f>
        <v>0</v>
      </c>
      <c r="AB9993" s="117">
        <f t="shared" si="159"/>
        <v>0</v>
      </c>
      <c r="AC9993" s="117" t="str">
        <f>IF(AB9993=1,COUNTIF($AB$3:AB9993,1),"")</f>
        <v/>
      </c>
      <c r="AD9993" s="117" t="str">
        <f>IFERROR(INDEX($AA$3:$AA$10000,MATCH(ROWS($AC$3:AC9993),$AC$3:$AC$10000,0)),"")</f>
        <v/>
      </c>
    </row>
    <row r="9994" spans="27:30">
      <c r="AA9994" s="117">
        <f>+'Ingredient List - Mother Tinctu'!D9995</f>
        <v>0</v>
      </c>
      <c r="AB9994" s="117">
        <f t="shared" si="159"/>
        <v>0</v>
      </c>
      <c r="AC9994" s="117" t="str">
        <f>IF(AB9994=1,COUNTIF($AB$3:AB9994,1),"")</f>
        <v/>
      </c>
      <c r="AD9994" s="117" t="str">
        <f>IFERROR(INDEX($AA$3:$AA$10000,MATCH(ROWS($AC$3:AC9994),$AC$3:$AC$10000,0)),"")</f>
        <v/>
      </c>
    </row>
    <row r="9995" spans="27:30">
      <c r="AA9995" s="117">
        <f>+'Ingredient List - Mother Tinctu'!D9996</f>
        <v>0</v>
      </c>
      <c r="AB9995" s="117">
        <f t="shared" si="159"/>
        <v>0</v>
      </c>
      <c r="AC9995" s="117" t="str">
        <f>IF(AB9995=1,COUNTIF($AB$3:AB9995,1),"")</f>
        <v/>
      </c>
      <c r="AD9995" s="117" t="str">
        <f>IFERROR(INDEX($AA$3:$AA$10000,MATCH(ROWS($AC$3:AC9995),$AC$3:$AC$10000,0)),"")</f>
        <v/>
      </c>
    </row>
    <row r="9996" spans="27:30">
      <c r="AA9996" s="117">
        <f>+'Ingredient List - Mother Tinctu'!D9997</f>
        <v>0</v>
      </c>
      <c r="AB9996" s="117">
        <f t="shared" si="159"/>
        <v>0</v>
      </c>
      <c r="AC9996" s="117" t="str">
        <f>IF(AB9996=1,COUNTIF($AB$3:AB9996,1),"")</f>
        <v/>
      </c>
      <c r="AD9996" s="117" t="str">
        <f>IFERROR(INDEX($AA$3:$AA$10000,MATCH(ROWS($AC$3:AC9996),$AC$3:$AC$10000,0)),"")</f>
        <v/>
      </c>
    </row>
    <row r="9997" spans="27:30">
      <c r="AA9997" s="117">
        <f>+'Ingredient List - Mother Tinctu'!D9998</f>
        <v>0</v>
      </c>
      <c r="AB9997" s="117">
        <f t="shared" si="159"/>
        <v>0</v>
      </c>
      <c r="AC9997" s="117" t="str">
        <f>IF(AB9997=1,COUNTIF($AB$3:AB9997,1),"")</f>
        <v/>
      </c>
      <c r="AD9997" s="117" t="str">
        <f>IFERROR(INDEX($AA$3:$AA$10000,MATCH(ROWS($AC$3:AC9997),$AC$3:$AC$10000,0)),"")</f>
        <v/>
      </c>
    </row>
    <row r="9998" spans="27:30">
      <c r="AA9998" s="117">
        <f>+'Ingredient List - Mother Tinctu'!D9999</f>
        <v>0</v>
      </c>
      <c r="AB9998" s="117">
        <f t="shared" si="159"/>
        <v>0</v>
      </c>
      <c r="AC9998" s="117" t="str">
        <f>IF(AB9998=1,COUNTIF($AB$3:AB9998,1),"")</f>
        <v/>
      </c>
      <c r="AD9998" s="117" t="str">
        <f>IFERROR(INDEX($AA$3:$AA$10000,MATCH(ROWS($AC$3:AC9998),$AC$3:$AC$10000,0)),"")</f>
        <v/>
      </c>
    </row>
    <row r="9999" spans="27:30">
      <c r="AA9999" s="117">
        <f>+'Ingredient List - Mother Tinctu'!D10000</f>
        <v>0</v>
      </c>
      <c r="AB9999" s="117">
        <f t="shared" si="159"/>
        <v>0</v>
      </c>
      <c r="AC9999" s="117" t="str">
        <f>IF(AB9999=1,COUNTIF($AB$3:AB9999,1),"")</f>
        <v/>
      </c>
      <c r="AD9999" s="117" t="str">
        <f>IFERROR(INDEX($AA$3:$AA$10000,MATCH(ROWS($AC$3:AC9999),$AC$3:$AC$10000,0)),"")</f>
        <v/>
      </c>
    </row>
    <row r="10000" spans="27:30">
      <c r="AA10000" s="117">
        <f>+'Ingredient List - Mother Tinctu'!D10001</f>
        <v>0</v>
      </c>
      <c r="AB10000" s="117">
        <f t="shared" si="159"/>
        <v>0</v>
      </c>
      <c r="AC10000" s="117" t="str">
        <f>IF(AB10000=1,COUNTIF($AB$3:AB10000,1),"")</f>
        <v/>
      </c>
      <c r="AD10000" s="117" t="str">
        <f>IFERROR(INDEX($AA$3:$AA$10000,MATCH(ROWS($AC$3:AC10000),$AC$3:$AC$10000,0)),"")</f>
        <v/>
      </c>
    </row>
  </sheetData>
  <mergeCells count="36">
    <mergeCell ref="B1:J1"/>
    <mergeCell ref="D2:J2"/>
    <mergeCell ref="F3:H3"/>
    <mergeCell ref="I3:J3"/>
    <mergeCell ref="B4:C4"/>
    <mergeCell ref="E5:F5"/>
    <mergeCell ref="G5:H5"/>
    <mergeCell ref="I5:J5"/>
    <mergeCell ref="E6:F6"/>
    <mergeCell ref="G6:H6"/>
    <mergeCell ref="I6:J6"/>
    <mergeCell ref="E7:F7"/>
    <mergeCell ref="E8:F8"/>
    <mergeCell ref="C9:D9"/>
    <mergeCell ref="E9:F9"/>
    <mergeCell ref="C10:D10"/>
    <mergeCell ref="E10:F10"/>
    <mergeCell ref="C11:D11"/>
    <mergeCell ref="E11:F11"/>
    <mergeCell ref="C12:D12"/>
    <mergeCell ref="E12:F12"/>
    <mergeCell ref="B13:H13"/>
    <mergeCell ref="D14:E14"/>
    <mergeCell ref="F14:H14"/>
    <mergeCell ref="D15:E15"/>
    <mergeCell ref="D16:E16"/>
    <mergeCell ref="D17:E17"/>
    <mergeCell ref="B18:H18"/>
    <mergeCell ref="C20:G20"/>
    <mergeCell ref="B22:H22"/>
    <mergeCell ref="B5:B12"/>
    <mergeCell ref="B14:B17"/>
    <mergeCell ref="B19:B20"/>
    <mergeCell ref="I15:I16"/>
    <mergeCell ref="G15:H16"/>
    <mergeCell ref="C5:D6"/>
  </mergeCells>
  <conditionalFormatting sqref="I14">
    <cfRule type="expression" dxfId="0" priority="1">
      <formula>$D$14&lt;&gt;"Blister 3g"</formula>
    </cfRule>
  </conditionalFormatting>
  <conditionalFormatting sqref="I3 K7:K9">
    <cfRule type="expression" dxfId="0" priority="7">
      <formula>$D$2&lt;&gt;"Dilution"</formula>
    </cfRule>
  </conditionalFormatting>
  <dataValidations count="3">
    <dataValidation type="list" allowBlank="1" showInputMessage="1" showErrorMessage="1" sqref="D2">
      <formula1>$Q$4:$Q$11</formula1>
    </dataValidation>
    <dataValidation type="list" allowBlank="1" showInputMessage="1" showErrorMessage="1" sqref="D14:E14">
      <formula1>$AE$2:$AE$3003</formula1>
    </dataValidation>
    <dataValidation type="list" allowBlank="1" showInputMessage="1" showErrorMessage="1" sqref="I3 K8">
      <formula1>IF($D$2="Dilution",Potency," ")</formula1>
    </dataValidation>
  </dataValidations>
  <printOptions horizontalCentered="1"/>
  <pageMargins left="1" right="0.7" top="1" bottom="0.5" header="0.31496062992126" footer="0.31"/>
  <pageSetup paperSize="9" orientation="portrait"/>
  <headerFooter>
    <oddHeader>&amp;Lkerala State Productivity Council&amp;RAppendix: CS-10</oddHeader>
    <oddFooter>&amp;RKerala State Homoeopathic 
Co Operative Pharmacy 
</oddFooter>
  </headerFooter>
  <drawing r:id="rId1"/>
  <legacyDrawing r:id="rId2"/>
  <controls>
    <mc:AlternateContent xmlns:mc="http://schemas.openxmlformats.org/markup-compatibility/2006">
      <mc:Choice Requires="x14">
        <control shapeId="1025" r:id="rId3">
          <controlPr defaultSize="0" r:id="rId4">
            <anchor moveWithCells="1">
              <from>
                <xdr:col>2</xdr:col>
                <xdr:colOff>1051560</xdr:colOff>
                <xdr:row>2</xdr:row>
                <xdr:rowOff>7620</xdr:rowOff>
              </from>
              <to>
                <xdr:col>4</xdr:col>
                <xdr:colOff>495300</xdr:colOff>
                <xdr:row>3</xdr:row>
                <xdr:rowOff>0</xdr:rowOff>
              </to>
            </anchor>
          </controlPr>
        </control>
      </mc:Choice>
      <mc:Fallback>
        <control shapeId="1025" r:id="rId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U25"/>
  <sheetViews>
    <sheetView view="pageBreakPreview" zoomScale="106" zoomScaleNormal="100" workbookViewId="0">
      <selection activeCell="Q16" sqref="Q16"/>
    </sheetView>
  </sheetViews>
  <sheetFormatPr defaultColWidth="9" defaultRowHeight="14.4"/>
  <cols>
    <col min="2" max="2" width="6.11111111111111" customWidth="1"/>
    <col min="3" max="3" width="17.8888888888889" customWidth="1"/>
    <col min="4" max="4" width="4.66666666666667" customWidth="1"/>
    <col min="5" max="5" width="10.1111111111111" customWidth="1"/>
    <col min="6" max="6" width="3.11111111111111" customWidth="1"/>
    <col min="7" max="7" width="7" customWidth="1"/>
    <col min="8" max="8" width="2.44444444444444" customWidth="1"/>
    <col min="9" max="9" width="6.88888888888889" customWidth="1"/>
    <col min="10" max="10" width="2.55555555555556" customWidth="1"/>
    <col min="11" max="11" width="6.11111111111111" customWidth="1"/>
    <col min="12" max="12" width="2.88888888888889" customWidth="1"/>
    <col min="13" max="13" width="6.66666666666667" customWidth="1"/>
    <col min="14" max="14" width="2.11111111111111" customWidth="1"/>
    <col min="15" max="15" width="4.55555555555556" customWidth="1"/>
    <col min="16" max="16" width="3.55555555555556" customWidth="1"/>
  </cols>
  <sheetData>
    <row r="2" spans="2:21">
      <c r="B2" s="92" t="s">
        <v>152</v>
      </c>
      <c r="C2" s="93"/>
      <c r="D2" s="94"/>
      <c r="E2" s="95" t="s">
        <v>107</v>
      </c>
      <c r="F2" s="96"/>
      <c r="G2" s="96"/>
      <c r="H2" s="97"/>
      <c r="I2" s="100"/>
      <c r="J2" s="100"/>
      <c r="K2" s="100"/>
      <c r="L2" s="100"/>
      <c r="M2" s="100"/>
      <c r="N2" s="100"/>
      <c r="O2" s="100"/>
      <c r="P2" s="100"/>
      <c r="T2" t="s">
        <v>107</v>
      </c>
      <c r="U2">
        <v>50</v>
      </c>
    </row>
    <row r="3" spans="2:21">
      <c r="B3" s="92" t="s">
        <v>153</v>
      </c>
      <c r="C3" s="93"/>
      <c r="D3" s="98" t="s">
        <v>102</v>
      </c>
      <c r="E3" s="95">
        <v>2</v>
      </c>
      <c r="F3" s="96"/>
      <c r="G3" s="96"/>
      <c r="H3" s="97"/>
      <c r="I3" s="100"/>
      <c r="J3" s="100"/>
      <c r="K3" s="100"/>
      <c r="L3" s="100"/>
      <c r="M3" s="100"/>
      <c r="N3" s="100"/>
      <c r="O3" s="100"/>
      <c r="P3" s="100"/>
      <c r="U3">
        <v>100</v>
      </c>
    </row>
    <row r="4" spans="2:20">
      <c r="B4" s="92" t="s">
        <v>154</v>
      </c>
      <c r="C4" s="93"/>
      <c r="D4" s="94"/>
      <c r="E4" s="95" t="str">
        <f>IF(E2=Final!D2,(VLOOKUP(E3,'Ingredient List - Mother Tinctu'!$A$4:$D$2034,4,FALSE)),Final!D3)</f>
        <v>Belladonna</v>
      </c>
      <c r="F4" s="96"/>
      <c r="G4" s="96"/>
      <c r="H4" s="97"/>
      <c r="I4" s="100"/>
      <c r="J4" s="100"/>
      <c r="K4" s="100"/>
      <c r="L4" s="100"/>
      <c r="M4" s="100"/>
      <c r="N4" s="100"/>
      <c r="O4" s="100"/>
      <c r="P4" s="100"/>
      <c r="T4" t="s">
        <v>115</v>
      </c>
    </row>
    <row r="5" spans="2:20">
      <c r="B5" s="92" t="s">
        <v>155</v>
      </c>
      <c r="C5" s="99"/>
      <c r="D5" s="94"/>
      <c r="E5" s="93">
        <v>50</v>
      </c>
      <c r="F5" s="94" t="s">
        <v>108</v>
      </c>
      <c r="G5" s="100"/>
      <c r="H5" s="100"/>
      <c r="I5" s="100"/>
      <c r="J5" s="100"/>
      <c r="K5" s="100"/>
      <c r="L5" s="100"/>
      <c r="M5" s="100"/>
      <c r="N5" s="100"/>
      <c r="O5" s="100"/>
      <c r="P5" s="100"/>
      <c r="T5" t="s">
        <v>156</v>
      </c>
    </row>
    <row r="6" spans="2:20">
      <c r="B6" s="101" t="s">
        <v>110</v>
      </c>
      <c r="C6" s="93" t="s">
        <v>111</v>
      </c>
      <c r="D6" s="94"/>
      <c r="E6" s="102" t="str">
        <f>IF((+VLOOKUP($E$2&amp;$E$4,'Ingredient List - Mother Tinctu'!$B$1:$M$2034,4,FALSE)=0),"Nil",(+VLOOKUP($E$2&amp;$E$4,'Ingredient List - Mother Tinctu'!$B$1:$M$2034,4,FALSE)))</f>
        <v>Belladonna</v>
      </c>
      <c r="F6" s="102"/>
      <c r="G6" s="102" t="str">
        <f>IF((+VLOOKUP($E$2&amp;$E$4,'Ingredient List - Mother Tinctu'!$B$1:$M$2034,5,FALSE)=0),"Nil",(+VLOOKUP($E$2&amp;$E$4,'Ingredient List - Mother Tinctu'!$B$1:$M$2034,5,FALSE)))</f>
        <v>Alchohol</v>
      </c>
      <c r="H6" s="102"/>
      <c r="I6" s="102" t="str">
        <f>IF((+VLOOKUP($E$2&amp;$E$4,'Ingredient List - Mother Tinctu'!$B$1:$M$2034,6,FALSE)=0),"Nil",(+VLOOKUP($E$2&amp;$E$4,'Ingredient List - Mother Tinctu'!$B$1:$M$2034,6,FALSE)))</f>
        <v>DM Water</v>
      </c>
      <c r="J6" s="102"/>
      <c r="K6" s="102" t="str">
        <f>IF((+VLOOKUP($E$2&amp;$E$4,'Ingredient List - Mother Tinctu'!$B$1:$M$2034,7,FALSE)=0),"Nil",(+VLOOKUP($E$2&amp;$E$4,'Ingredient List - Mother Tinctu'!$B$1:$M$2034,7,FALSE)))</f>
        <v>Nil</v>
      </c>
      <c r="L6" s="102"/>
      <c r="M6" s="102" t="str">
        <f>IF((+VLOOKUP($E$2&amp;$E$4,'Ingredient List - Mother Tinctu'!$B$1:$M$2034,8,FALSE)=0),"Nil",(+VLOOKUP($E$2&amp;$E$4,'Ingredient List - Mother Tinctu'!$B$1:$M$2034,8,FALSE)))</f>
        <v>Nil</v>
      </c>
      <c r="N6" s="102"/>
      <c r="O6" s="102" t="str">
        <f>IF((+VLOOKUP($E$2&amp;$E$4,'Ingredient List - Mother Tinctu'!$B$1:$M$2034,9,FALSE)=0),"Nil",(+VLOOKUP($E$2&amp;$E$4,'Ingredient List - Mother Tinctu'!$B$1:$M$2034,9,FALSE)))</f>
        <v>Nil</v>
      </c>
      <c r="P6" s="102"/>
      <c r="T6" t="s">
        <v>157</v>
      </c>
    </row>
    <row r="7" spans="2:20">
      <c r="B7" s="101"/>
      <c r="C7" s="93" t="s">
        <v>158</v>
      </c>
      <c r="D7" s="94"/>
      <c r="E7" s="103">
        <f>+IF((VLOOKUP($E$2&amp;$E$4,'Ingredient List - Mother Tinctu'!$B$4:$P$2034,'Ingredient List - Mother Tinctu'!K$3,FALSE)=0),0,VLOOKUP($E$2&amp;$E$4,'Ingredient List - Mother Tinctu'!$B$4:$P$2034,'Ingredient List - Mother Tinctu'!K$3,FALSE))</f>
        <v>0.1</v>
      </c>
      <c r="F7" s="94" t="s">
        <v>116</v>
      </c>
      <c r="G7" s="103">
        <f>+IF((VLOOKUP($E$2&amp;$E$4,'Ingredient List - Mother Tinctu'!$B$4:$P$2034,'Ingredient List - Mother Tinctu'!L$3,FALSE)=0),0,VLOOKUP($E$2&amp;$E$4,'Ingredient List - Mother Tinctu'!$B$4:$P$2034,'Ingredient List - Mother Tinctu'!L$3,FALSE))</f>
        <v>0.9</v>
      </c>
      <c r="H7" s="94" t="s">
        <v>116</v>
      </c>
      <c r="I7" s="103">
        <f>+IF((VLOOKUP($E$2&amp;$E$4,'Ingredient List - Mother Tinctu'!$B$4:$P$2034,'Ingredient List - Mother Tinctu'!M$3,FALSE)=0),0,VLOOKUP($E$2&amp;$E$4,'Ingredient List - Mother Tinctu'!$B$4:$P$2034,'Ingredient List - Mother Tinctu'!M$3,FALSE))</f>
        <v>0.1</v>
      </c>
      <c r="J7" s="94" t="s">
        <v>116</v>
      </c>
      <c r="K7" s="103">
        <f>+IF((VLOOKUP($E$2&amp;$E$4,'Ingredient List - Mother Tinctu'!$B$4:$P$2034,'Ingredient List - Mother Tinctu'!N$3,FALSE)=0),0,VLOOKUP($E$2&amp;$E$4,'Ingredient List - Mother Tinctu'!$B$4:$P$2034,'Ingredient List - Mother Tinctu'!N$3,FALSE))</f>
        <v>0</v>
      </c>
      <c r="L7" s="94" t="s">
        <v>116</v>
      </c>
      <c r="M7" s="103">
        <f>+IF((VLOOKUP($E$2&amp;$E$4,'Ingredient List - Mother Tinctu'!$B$4:$P$2034,'Ingredient List - Mother Tinctu'!O$3,FALSE)=0),0,VLOOKUP($E$2&amp;$E$4,'Ingredient List - Mother Tinctu'!$B$4:$P$2034,'Ingredient List - Mother Tinctu'!O$3,FALSE))</f>
        <v>0</v>
      </c>
      <c r="N7" s="94" t="s">
        <v>116</v>
      </c>
      <c r="O7" s="103">
        <f>+IF((VLOOKUP($E$2&amp;$E$4,'Ingredient List - Mother Tinctu'!$B$4:$P$2034,'Ingredient List - Mother Tinctu'!P$3,FALSE)=0),0,VLOOKUP($E$2&amp;$E$4,'Ingredient List - Mother Tinctu'!$B$4:$P$2034,'Ingredient List - Mother Tinctu'!P$3,FALSE))</f>
        <v>0</v>
      </c>
      <c r="P7" s="94" t="s">
        <v>116</v>
      </c>
      <c r="T7" t="s">
        <v>99</v>
      </c>
    </row>
    <row r="8" spans="2:20">
      <c r="B8" s="101"/>
      <c r="C8" s="93" t="s">
        <v>159</v>
      </c>
      <c r="D8" s="94"/>
      <c r="E8" s="104">
        <f>+VLOOKUP(E$6,'RM Price list'!$B$3:$C$1048576,2,FALSE)</f>
        <v>350</v>
      </c>
      <c r="F8" s="94" t="s">
        <v>125</v>
      </c>
      <c r="G8" s="104">
        <f>+VLOOKUP(G$6,'RM Price list'!$B$3:$C$1048576,2,FALSE)</f>
        <v>60</v>
      </c>
      <c r="H8" s="94" t="s">
        <v>125</v>
      </c>
      <c r="I8" s="104">
        <f>+VLOOKUP(I$6,'RM Price list'!$B$3:$C$1048576,2,FALSE)</f>
        <v>2</v>
      </c>
      <c r="J8" s="94" t="s">
        <v>125</v>
      </c>
      <c r="K8" s="104">
        <f>+VLOOKUP(K$6,'RM Price list'!$B$3:$C$1048576,2,FALSE)</f>
        <v>0</v>
      </c>
      <c r="L8" s="94" t="s">
        <v>125</v>
      </c>
      <c r="M8" s="104">
        <f>+VLOOKUP(M$6,'RM Price list'!$B$3:$C$1048576,2,FALSE)</f>
        <v>0</v>
      </c>
      <c r="N8" s="94" t="s">
        <v>125</v>
      </c>
      <c r="O8" s="104">
        <f>+VLOOKUP(O$6,'RM Price list'!$B$3:$C$1048576,2,FALSE)</f>
        <v>0</v>
      </c>
      <c r="P8" s="94" t="s">
        <v>125</v>
      </c>
      <c r="T8" t="s">
        <v>119</v>
      </c>
    </row>
    <row r="9" spans="2:20">
      <c r="B9" s="101"/>
      <c r="C9" s="93" t="s">
        <v>160</v>
      </c>
      <c r="D9" s="94"/>
      <c r="E9" s="104">
        <f>+$E$5*E7*E8</f>
        <v>1750</v>
      </c>
      <c r="F9" s="94" t="s">
        <v>125</v>
      </c>
      <c r="G9" s="104">
        <f t="shared" ref="G9:O9" si="0">+$E$5*G7*G8</f>
        <v>2700</v>
      </c>
      <c r="H9" s="94" t="s">
        <v>125</v>
      </c>
      <c r="I9" s="104">
        <f t="shared" si="0"/>
        <v>10</v>
      </c>
      <c r="J9" s="94" t="s">
        <v>125</v>
      </c>
      <c r="K9" s="104">
        <f t="shared" si="0"/>
        <v>0</v>
      </c>
      <c r="L9" s="94" t="s">
        <v>125</v>
      </c>
      <c r="M9" s="104">
        <f t="shared" si="0"/>
        <v>0</v>
      </c>
      <c r="N9" s="94" t="s">
        <v>125</v>
      </c>
      <c r="O9" s="104">
        <f t="shared" si="0"/>
        <v>0</v>
      </c>
      <c r="P9" s="94" t="s">
        <v>125</v>
      </c>
      <c r="T9" t="s">
        <v>120</v>
      </c>
    </row>
    <row r="10" spans="2:16">
      <c r="B10" s="105" t="s">
        <v>161</v>
      </c>
      <c r="C10" s="106"/>
      <c r="D10" s="94"/>
      <c r="E10" s="107">
        <f>SUM(E9:O9)</f>
        <v>4460</v>
      </c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94" t="s">
        <v>125</v>
      </c>
    </row>
    <row r="11" spans="2:16">
      <c r="B11" s="101" t="s">
        <v>131</v>
      </c>
      <c r="C11" s="93" t="s">
        <v>162</v>
      </c>
      <c r="D11" s="94"/>
      <c r="E11" s="93">
        <v>100</v>
      </c>
      <c r="F11" s="94" t="s">
        <v>109</v>
      </c>
      <c r="G11" s="109" t="s">
        <v>163</v>
      </c>
      <c r="H11" s="100"/>
      <c r="I11" s="100"/>
      <c r="J11" s="100"/>
      <c r="K11" s="100"/>
      <c r="L11" s="100"/>
      <c r="M11" s="100"/>
      <c r="N11" s="100"/>
      <c r="O11" s="100"/>
      <c r="P11" s="100"/>
    </row>
    <row r="12" spans="2:16">
      <c r="B12" s="101"/>
      <c r="C12" s="93" t="s">
        <v>164</v>
      </c>
      <c r="D12" s="94"/>
      <c r="E12" s="93">
        <f>ROUNDDOWN((IF(F11=F5,E5/E11,(E5*1000/E11))),-1)</f>
        <v>500</v>
      </c>
      <c r="F12" s="94" t="s">
        <v>136</v>
      </c>
      <c r="G12" s="100"/>
      <c r="H12" s="100"/>
      <c r="I12" s="100"/>
      <c r="J12" s="100"/>
      <c r="K12" s="100"/>
      <c r="L12" s="100"/>
      <c r="M12" s="100"/>
      <c r="N12" s="100"/>
      <c r="O12" s="100"/>
      <c r="P12" s="100"/>
    </row>
    <row r="13" spans="2:16">
      <c r="B13" s="101"/>
      <c r="C13" s="93" t="s">
        <v>165</v>
      </c>
      <c r="D13" s="94"/>
      <c r="E13" s="110">
        <f>+VLOOKUP($G$11,'Packing Material - Cost'!$A$3:$U$3100,'Packing Material - Cost'!U$1,FALSE)</f>
        <v>5.65321428571429</v>
      </c>
      <c r="F13" s="94" t="s">
        <v>125</v>
      </c>
      <c r="G13" s="100"/>
      <c r="H13" s="100"/>
      <c r="I13" s="100"/>
      <c r="J13" s="100"/>
      <c r="K13" s="100"/>
      <c r="L13" s="100"/>
      <c r="M13" s="100"/>
      <c r="N13" s="100"/>
      <c r="O13" s="100"/>
      <c r="P13" s="100"/>
    </row>
    <row r="14" spans="2:16">
      <c r="B14" s="111" t="s">
        <v>166</v>
      </c>
      <c r="C14" s="112"/>
      <c r="D14" s="113"/>
      <c r="E14" s="110">
        <f>+$E$13*$E$12</f>
        <v>2826.60714285714</v>
      </c>
      <c r="F14" s="94" t="s">
        <v>125</v>
      </c>
      <c r="G14" s="100"/>
      <c r="H14" s="100"/>
      <c r="I14" s="100"/>
      <c r="J14" s="100"/>
      <c r="K14" s="100"/>
      <c r="L14" s="100"/>
      <c r="M14" s="100"/>
      <c r="N14" s="100"/>
      <c r="O14" s="100"/>
      <c r="P14" s="100"/>
    </row>
    <row r="15" spans="2:16">
      <c r="B15" s="111" t="s">
        <v>167</v>
      </c>
      <c r="C15" s="112"/>
      <c r="D15" s="94"/>
      <c r="E15" s="93">
        <v>180</v>
      </c>
      <c r="F15" s="114" t="s">
        <v>125</v>
      </c>
      <c r="G15" s="100"/>
      <c r="H15" s="100"/>
      <c r="I15" s="100"/>
      <c r="J15" s="100"/>
      <c r="K15" s="100"/>
      <c r="L15" s="100"/>
      <c r="M15" s="100"/>
      <c r="N15" s="100"/>
      <c r="O15" s="100"/>
      <c r="P15" s="100"/>
    </row>
    <row r="16" spans="2:16">
      <c r="B16" s="105" t="s">
        <v>168</v>
      </c>
      <c r="C16" s="106"/>
      <c r="D16" s="114"/>
      <c r="E16" s="99">
        <f>((INDEX('Manpower Details'!$Z$5:$XFD$1048576,MATCH(Mothertincture!$E$2,'Manpower Details'!$A$5:$A$1048576,0),MATCH(Mothertincture!$E$11&amp;Mothertincture!$F$11,'Manpower Details'!$Z$4:$XFD$4,0)))/60)*E12*E15</f>
        <v>3600</v>
      </c>
      <c r="F16" s="114" t="s">
        <v>125</v>
      </c>
      <c r="G16" s="100"/>
      <c r="H16" s="100"/>
      <c r="I16" s="100"/>
      <c r="J16" s="100"/>
      <c r="K16" s="100"/>
      <c r="L16" s="100"/>
      <c r="M16" s="100"/>
      <c r="N16" s="100"/>
      <c r="O16" s="100"/>
      <c r="P16" s="100"/>
    </row>
    <row r="17" spans="2:16">
      <c r="B17" s="105" t="s">
        <v>169</v>
      </c>
      <c r="C17" s="106"/>
      <c r="D17" s="114"/>
      <c r="E17" s="115">
        <f>(VLOOKUP($E$2,'Energy Cost'!$A$3:$D$10,'Energy Cost'!D1,FALSE)*Mothertincture!E5*Final!I21)/25</f>
        <v>73.3333333333333</v>
      </c>
      <c r="F17" s="114" t="s">
        <v>125</v>
      </c>
      <c r="G17" s="100"/>
      <c r="H17" s="100"/>
      <c r="I17" s="100"/>
      <c r="J17" s="100"/>
      <c r="K17" s="100"/>
      <c r="L17" s="100"/>
      <c r="M17" s="100"/>
      <c r="N17" s="100"/>
      <c r="O17" s="100"/>
      <c r="P17" s="100"/>
    </row>
    <row r="18" spans="2:16">
      <c r="B18" s="105" t="s">
        <v>170</v>
      </c>
      <c r="C18" s="106"/>
      <c r="D18" s="114"/>
      <c r="E18" s="115">
        <f>+$E$10+$E$16+$E$17+E14</f>
        <v>10959.9404761905</v>
      </c>
      <c r="F18" s="94" t="s">
        <v>125</v>
      </c>
      <c r="G18" s="100"/>
      <c r="H18" s="100"/>
      <c r="I18" s="100"/>
      <c r="J18" s="100"/>
      <c r="K18" s="100"/>
      <c r="L18" s="100"/>
      <c r="M18" s="100"/>
      <c r="N18" s="100"/>
      <c r="O18" s="100"/>
      <c r="P18" s="100"/>
    </row>
    <row r="19" spans="2:16">
      <c r="B19" s="111" t="s">
        <v>145</v>
      </c>
      <c r="C19" s="112"/>
      <c r="D19" s="113">
        <f>+'final by sr'!F67</f>
        <v>0.123564528953039</v>
      </c>
      <c r="E19" s="93">
        <f>+D19*E18</f>
        <v>1354.25988229382</v>
      </c>
      <c r="F19" s="114" t="s">
        <v>125</v>
      </c>
      <c r="G19" s="100"/>
      <c r="H19" s="100"/>
      <c r="I19" s="100"/>
      <c r="J19" s="100"/>
      <c r="K19" s="100"/>
      <c r="L19" s="100"/>
      <c r="M19" s="100"/>
      <c r="N19" s="100"/>
      <c r="O19" s="100"/>
      <c r="P19" s="100"/>
    </row>
    <row r="20" spans="2:16">
      <c r="B20" s="105" t="s">
        <v>171</v>
      </c>
      <c r="C20" s="106"/>
      <c r="D20" s="114"/>
      <c r="E20" s="115">
        <f>SUM(E18:E19)</f>
        <v>12314.2003584843</v>
      </c>
      <c r="F20" s="94" t="s">
        <v>125</v>
      </c>
      <c r="G20" s="100"/>
      <c r="H20" s="100"/>
      <c r="I20" s="100"/>
      <c r="J20" s="100"/>
      <c r="K20" s="100"/>
      <c r="L20" s="100"/>
      <c r="M20" s="100"/>
      <c r="N20" s="100"/>
      <c r="O20" s="100"/>
      <c r="P20" s="100"/>
    </row>
    <row r="21" spans="2:16">
      <c r="B21" s="111" t="s">
        <v>147</v>
      </c>
      <c r="C21" s="112"/>
      <c r="D21" s="113">
        <f>+'final by sr'!G70</f>
        <v>0.0847380100549983</v>
      </c>
      <c r="E21" s="93">
        <f>+E20*D21</f>
        <v>1043.48083379651</v>
      </c>
      <c r="F21" s="114" t="s">
        <v>125</v>
      </c>
      <c r="G21" s="100"/>
      <c r="H21" s="100"/>
      <c r="I21" s="100"/>
      <c r="J21" s="100"/>
      <c r="K21" s="100"/>
      <c r="L21" s="100"/>
      <c r="M21" s="100"/>
      <c r="N21" s="100"/>
      <c r="O21" s="100"/>
      <c r="P21" s="100"/>
    </row>
    <row r="22" spans="2:16">
      <c r="B22" s="105" t="s">
        <v>172</v>
      </c>
      <c r="C22" s="106"/>
      <c r="D22" s="114"/>
      <c r="E22" s="115">
        <f>SUM(E20:E21)</f>
        <v>13357.6811922808</v>
      </c>
      <c r="F22" s="94" t="s">
        <v>125</v>
      </c>
      <c r="G22" s="100"/>
      <c r="H22" s="100"/>
      <c r="I22" s="100"/>
      <c r="J22" s="100"/>
      <c r="K22" s="100"/>
      <c r="L22" s="100"/>
      <c r="M22" s="100"/>
      <c r="N22" s="100"/>
      <c r="O22" s="100"/>
      <c r="P22" s="100"/>
    </row>
    <row r="23" spans="2:16">
      <c r="B23" s="111" t="s">
        <v>173</v>
      </c>
      <c r="C23" s="112"/>
      <c r="D23" s="113">
        <f>+'final by sr'!H73</f>
        <v>0.110197154781028</v>
      </c>
      <c r="E23" s="116">
        <f>+E22*D23</f>
        <v>1471.9784618614</v>
      </c>
      <c r="F23" s="94" t="s">
        <v>125</v>
      </c>
      <c r="G23" s="100"/>
      <c r="H23" s="100"/>
      <c r="I23" s="100"/>
      <c r="J23" s="100"/>
      <c r="K23" s="100"/>
      <c r="L23" s="100"/>
      <c r="M23" s="100"/>
      <c r="N23" s="100"/>
      <c r="O23" s="100"/>
      <c r="P23" s="100"/>
    </row>
    <row r="24" spans="2:16">
      <c r="B24" s="105" t="s">
        <v>174</v>
      </c>
      <c r="C24" s="106"/>
      <c r="D24" s="114"/>
      <c r="E24" s="115">
        <f>SUM(E22:E23)</f>
        <v>14829.6596541422</v>
      </c>
      <c r="F24" s="114" t="s">
        <v>125</v>
      </c>
      <c r="G24" s="100"/>
      <c r="H24" s="100"/>
      <c r="I24" s="100"/>
      <c r="J24" s="100"/>
      <c r="K24" s="100"/>
      <c r="L24" s="100"/>
      <c r="M24" s="100"/>
      <c r="N24" s="100"/>
      <c r="O24" s="100"/>
      <c r="P24" s="100"/>
    </row>
    <row r="25" spans="2:16">
      <c r="B25" s="105" t="s">
        <v>175</v>
      </c>
      <c r="C25" s="106"/>
      <c r="D25" s="114"/>
      <c r="E25" s="115">
        <f>+E24/E5</f>
        <v>296.593193082844</v>
      </c>
      <c r="F25" s="114" t="s">
        <v>125</v>
      </c>
      <c r="G25" s="100"/>
      <c r="H25" s="100"/>
      <c r="I25" s="100"/>
      <c r="J25" s="100"/>
      <c r="K25" s="100"/>
      <c r="L25" s="100"/>
      <c r="M25" s="100"/>
      <c r="N25" s="100"/>
      <c r="O25" s="100"/>
      <c r="P25" s="100"/>
    </row>
  </sheetData>
  <mergeCells count="24">
    <mergeCell ref="E2:H2"/>
    <mergeCell ref="E4:H4"/>
    <mergeCell ref="E6:F6"/>
    <mergeCell ref="G6:H6"/>
    <mergeCell ref="I6:J6"/>
    <mergeCell ref="K6:L6"/>
    <mergeCell ref="M6:N6"/>
    <mergeCell ref="O6:P6"/>
    <mergeCell ref="B10:C10"/>
    <mergeCell ref="E10:O10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6:B9"/>
    <mergeCell ref="B11:B13"/>
  </mergeCells>
  <dataValidations count="1">
    <dataValidation type="list" allowBlank="1" showInputMessage="1" showErrorMessage="1" sqref="E5">
      <formula1>$U$2:$U$3</formula1>
    </dataValidation>
  </dataValidation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P2034"/>
  <sheetViews>
    <sheetView workbookViewId="0">
      <pane ySplit="2" topLeftCell="A323" activePane="bottomLeft" state="frozen"/>
      <selection/>
      <selection pane="bottomLeft" activeCell="E296" sqref="E296"/>
    </sheetView>
  </sheetViews>
  <sheetFormatPr defaultColWidth="9.11111111111111" defaultRowHeight="24" customHeight="1"/>
  <cols>
    <col min="1" max="1" width="7.55555555555556" style="66" customWidth="1"/>
    <col min="2" max="2" width="25.6666666666667" style="67" customWidth="1"/>
    <col min="3" max="3" width="16.1111111111111" style="67" customWidth="1"/>
    <col min="4" max="4" width="24.5555555555556" style="67" customWidth="1"/>
    <col min="5" max="5" width="20.4444444444444" style="67" customWidth="1"/>
    <col min="6" max="6" width="9.66666666666667" style="67" customWidth="1"/>
    <col min="7" max="7" width="11.3333333333333" style="67" customWidth="1"/>
    <col min="8" max="10" width="7.55555555555556" style="67" customWidth="1"/>
    <col min="11" max="11" width="8" style="68" customWidth="1"/>
    <col min="12" max="14" width="7.55555555555556" style="68" customWidth="1"/>
    <col min="15" max="16" width="7.55555555555556" style="67" customWidth="1"/>
    <col min="17" max="16384" width="9.11111111111111" style="67"/>
  </cols>
  <sheetData>
    <row r="1" s="62" customFormat="1" customHeight="1" spans="1:16">
      <c r="A1" s="69" t="s">
        <v>176</v>
      </c>
      <c r="B1" s="70" t="s">
        <v>177</v>
      </c>
      <c r="C1" s="70" t="s">
        <v>103</v>
      </c>
      <c r="D1" s="70" t="s">
        <v>178</v>
      </c>
      <c r="E1" s="70" t="s">
        <v>110</v>
      </c>
      <c r="F1" s="70"/>
      <c r="G1" s="70"/>
      <c r="H1" s="70"/>
      <c r="I1" s="70"/>
      <c r="J1" s="70"/>
      <c r="K1" s="80" t="s">
        <v>179</v>
      </c>
      <c r="L1" s="80"/>
      <c r="M1" s="80"/>
      <c r="N1" s="80"/>
      <c r="O1" s="80"/>
      <c r="P1" s="80"/>
    </row>
    <row r="2" s="63" customFormat="1" ht="78" customHeight="1" spans="1:16">
      <c r="A2" s="71"/>
      <c r="B2" s="72"/>
      <c r="C2" s="72"/>
      <c r="D2" s="72"/>
      <c r="E2" s="73" t="s">
        <v>180</v>
      </c>
      <c r="F2" s="74" t="s">
        <v>181</v>
      </c>
      <c r="G2" s="74" t="s">
        <v>182</v>
      </c>
      <c r="H2" s="74" t="s">
        <v>183</v>
      </c>
      <c r="I2" s="74" t="s">
        <v>184</v>
      </c>
      <c r="J2" s="74" t="s">
        <v>185</v>
      </c>
      <c r="K2" s="73" t="s">
        <v>186</v>
      </c>
      <c r="L2" s="73" t="s">
        <v>187</v>
      </c>
      <c r="M2" s="73" t="s">
        <v>188</v>
      </c>
      <c r="N2" s="73" t="s">
        <v>189</v>
      </c>
      <c r="O2" s="73" t="s">
        <v>190</v>
      </c>
      <c r="P2" s="73" t="s">
        <v>191</v>
      </c>
    </row>
    <row r="3" s="64" customFormat="1" ht="16.5" customHeight="1" spans="1:16">
      <c r="A3" s="75"/>
      <c r="B3" s="76">
        <v>1</v>
      </c>
      <c r="C3" s="76">
        <v>2</v>
      </c>
      <c r="D3" s="76">
        <v>3</v>
      </c>
      <c r="E3" s="76">
        <v>4</v>
      </c>
      <c r="F3" s="76">
        <v>5</v>
      </c>
      <c r="G3" s="76">
        <v>6</v>
      </c>
      <c r="H3" s="76">
        <v>7</v>
      </c>
      <c r="I3" s="76">
        <v>8</v>
      </c>
      <c r="J3" s="76">
        <v>9</v>
      </c>
      <c r="K3" s="76">
        <v>10</v>
      </c>
      <c r="L3" s="76">
        <v>11</v>
      </c>
      <c r="M3" s="76">
        <v>12</v>
      </c>
      <c r="N3" s="76">
        <v>13</v>
      </c>
      <c r="O3" s="76">
        <v>14</v>
      </c>
      <c r="P3" s="76">
        <v>15</v>
      </c>
    </row>
    <row r="4" s="65" customFormat="1" customHeight="1" spans="1:13">
      <c r="A4" s="77">
        <v>1</v>
      </c>
      <c r="B4" s="78" t="str">
        <f>+C4&amp;E4</f>
        <v>Mother TinctureAbies Can.</v>
      </c>
      <c r="C4" s="78" t="s">
        <v>107</v>
      </c>
      <c r="D4" s="78" t="s">
        <v>192</v>
      </c>
      <c r="E4" s="78" t="s">
        <v>192</v>
      </c>
      <c r="F4" s="65" t="s">
        <v>193</v>
      </c>
      <c r="G4" s="65" t="s">
        <v>194</v>
      </c>
      <c r="K4" s="81">
        <v>0.1</v>
      </c>
      <c r="L4" s="81">
        <v>0.9</v>
      </c>
      <c r="M4" s="81">
        <v>0.1</v>
      </c>
    </row>
    <row r="5" s="65" customFormat="1" customHeight="1" spans="1:13">
      <c r="A5" s="77">
        <v>2</v>
      </c>
      <c r="B5" s="78" t="str">
        <f t="shared" ref="B5:B68" si="0">+C5&amp;E5</f>
        <v>Mother TinctureAbroma Aug.</v>
      </c>
      <c r="C5" s="78" t="s">
        <v>107</v>
      </c>
      <c r="D5" s="78" t="s">
        <v>195</v>
      </c>
      <c r="E5" s="78" t="s">
        <v>195</v>
      </c>
      <c r="F5" s="65" t="s">
        <v>193</v>
      </c>
      <c r="G5" s="65" t="s">
        <v>194</v>
      </c>
      <c r="K5" s="81">
        <v>0.1</v>
      </c>
      <c r="L5" s="81">
        <v>0.9</v>
      </c>
      <c r="M5" s="81">
        <v>0.1</v>
      </c>
    </row>
    <row r="6" s="65" customFormat="1" customHeight="1" spans="1:13">
      <c r="A6" s="77">
        <v>3</v>
      </c>
      <c r="B6" s="78" t="str">
        <f t="shared" si="0"/>
        <v>Mother TinctureAbroma Radix.</v>
      </c>
      <c r="C6" s="78" t="s">
        <v>107</v>
      </c>
      <c r="D6" s="78" t="s">
        <v>196</v>
      </c>
      <c r="E6" s="78" t="s">
        <v>196</v>
      </c>
      <c r="F6" s="65" t="s">
        <v>193</v>
      </c>
      <c r="G6" s="65" t="s">
        <v>194</v>
      </c>
      <c r="K6" s="81">
        <v>0.1</v>
      </c>
      <c r="L6" s="81">
        <v>0.9</v>
      </c>
      <c r="M6" s="81">
        <v>0.1</v>
      </c>
    </row>
    <row r="7" s="65" customFormat="1" customHeight="1" spans="1:13">
      <c r="A7" s="77">
        <v>4</v>
      </c>
      <c r="B7" s="78" t="str">
        <f t="shared" si="0"/>
        <v>Mother TinctureAcid Benz.</v>
      </c>
      <c r="C7" s="78" t="s">
        <v>107</v>
      </c>
      <c r="D7" s="78" t="s">
        <v>197</v>
      </c>
      <c r="E7" s="78" t="s">
        <v>197</v>
      </c>
      <c r="F7" s="65" t="s">
        <v>193</v>
      </c>
      <c r="G7" s="65" t="s">
        <v>194</v>
      </c>
      <c r="K7" s="81">
        <v>0.1</v>
      </c>
      <c r="L7" s="81">
        <v>0.9</v>
      </c>
      <c r="M7" s="81">
        <v>0.1</v>
      </c>
    </row>
    <row r="8" s="65" customFormat="1" customHeight="1" spans="1:13">
      <c r="A8" s="77">
        <v>5</v>
      </c>
      <c r="B8" s="78" t="str">
        <f t="shared" si="0"/>
        <v>Mother TinctureAcid Citric</v>
      </c>
      <c r="C8" s="78" t="s">
        <v>107</v>
      </c>
      <c r="D8" s="78" t="s">
        <v>198</v>
      </c>
      <c r="E8" s="78" t="s">
        <v>198</v>
      </c>
      <c r="F8" s="65" t="s">
        <v>193</v>
      </c>
      <c r="G8" s="65" t="s">
        <v>194</v>
      </c>
      <c r="K8" s="81">
        <v>0.1</v>
      </c>
      <c r="L8" s="81">
        <v>0.9</v>
      </c>
      <c r="M8" s="81">
        <v>0.1</v>
      </c>
    </row>
    <row r="9" s="65" customFormat="1" customHeight="1" spans="1:13">
      <c r="A9" s="77">
        <v>6</v>
      </c>
      <c r="B9" s="78" t="str">
        <f t="shared" si="0"/>
        <v>Mother TinctureAcid Formic</v>
      </c>
      <c r="C9" s="78" t="s">
        <v>107</v>
      </c>
      <c r="D9" s="78" t="s">
        <v>199</v>
      </c>
      <c r="E9" s="78" t="s">
        <v>199</v>
      </c>
      <c r="F9" s="65" t="s">
        <v>193</v>
      </c>
      <c r="G9" s="65" t="s">
        <v>194</v>
      </c>
      <c r="K9" s="81">
        <v>0.1</v>
      </c>
      <c r="L9" s="81">
        <v>0.9</v>
      </c>
      <c r="M9" s="81">
        <v>0.1</v>
      </c>
    </row>
    <row r="10" s="65" customFormat="1" customHeight="1" spans="1:13">
      <c r="A10" s="77">
        <v>7</v>
      </c>
      <c r="B10" s="78" t="str">
        <f t="shared" si="0"/>
        <v>Mother TinctureAcid Gallic</v>
      </c>
      <c r="C10" s="78" t="s">
        <v>107</v>
      </c>
      <c r="D10" s="78" t="s">
        <v>200</v>
      </c>
      <c r="E10" s="78" t="s">
        <v>200</v>
      </c>
      <c r="F10" s="65" t="s">
        <v>193</v>
      </c>
      <c r="G10" s="65" t="s">
        <v>194</v>
      </c>
      <c r="K10" s="81">
        <v>0.1</v>
      </c>
      <c r="L10" s="81">
        <v>0.9</v>
      </c>
      <c r="M10" s="81">
        <v>0.1</v>
      </c>
    </row>
    <row r="11" s="65" customFormat="1" customHeight="1" spans="1:13">
      <c r="A11" s="77">
        <v>8</v>
      </c>
      <c r="B11" s="78" t="str">
        <f t="shared" si="0"/>
        <v>Mother TinctureAcid Hydrochl (Acid Mur)</v>
      </c>
      <c r="C11" s="78" t="s">
        <v>107</v>
      </c>
      <c r="D11" s="78" t="s">
        <v>201</v>
      </c>
      <c r="E11" s="78" t="s">
        <v>201</v>
      </c>
      <c r="F11" s="65" t="s">
        <v>193</v>
      </c>
      <c r="G11" s="65" t="s">
        <v>194</v>
      </c>
      <c r="K11" s="81">
        <v>0.1</v>
      </c>
      <c r="L11" s="81">
        <v>0.9</v>
      </c>
      <c r="M11" s="81">
        <v>0.1</v>
      </c>
    </row>
    <row r="12" s="65" customFormat="1" customHeight="1" spans="1:13">
      <c r="A12" s="77">
        <v>9</v>
      </c>
      <c r="B12" s="78" t="str">
        <f t="shared" si="0"/>
        <v>Mother TinctureAcid Mur (Acid Hydrochlo)</v>
      </c>
      <c r="C12" s="78" t="s">
        <v>107</v>
      </c>
      <c r="D12" s="78" t="s">
        <v>202</v>
      </c>
      <c r="E12" s="78" t="s">
        <v>202</v>
      </c>
      <c r="F12" s="65" t="s">
        <v>193</v>
      </c>
      <c r="G12" s="65" t="s">
        <v>194</v>
      </c>
      <c r="K12" s="81">
        <v>0.1</v>
      </c>
      <c r="L12" s="81">
        <v>0.9</v>
      </c>
      <c r="M12" s="81">
        <v>0.1</v>
      </c>
    </row>
    <row r="13" s="65" customFormat="1" customHeight="1" spans="1:13">
      <c r="A13" s="77">
        <v>10</v>
      </c>
      <c r="B13" s="78" t="str">
        <f t="shared" si="0"/>
        <v>Mother TinctureAcid Nit.</v>
      </c>
      <c r="C13" s="78" t="s">
        <v>107</v>
      </c>
      <c r="D13" s="78" t="s">
        <v>203</v>
      </c>
      <c r="E13" s="78" t="s">
        <v>203</v>
      </c>
      <c r="F13" s="65" t="s">
        <v>193</v>
      </c>
      <c r="G13" s="65" t="s">
        <v>194</v>
      </c>
      <c r="K13" s="81">
        <v>0.1</v>
      </c>
      <c r="L13" s="81">
        <v>0.9</v>
      </c>
      <c r="M13" s="81">
        <v>0.1</v>
      </c>
    </row>
    <row r="14" s="65" customFormat="1" customHeight="1" spans="1:13">
      <c r="A14" s="77">
        <v>11</v>
      </c>
      <c r="B14" s="78" t="str">
        <f t="shared" si="0"/>
        <v>Mother TinctureAcid Oxalic</v>
      </c>
      <c r="C14" s="78" t="s">
        <v>107</v>
      </c>
      <c r="D14" s="78" t="s">
        <v>204</v>
      </c>
      <c r="E14" s="78" t="s">
        <v>204</v>
      </c>
      <c r="F14" s="65" t="s">
        <v>193</v>
      </c>
      <c r="G14" s="65" t="s">
        <v>194</v>
      </c>
      <c r="K14" s="81">
        <v>0.1</v>
      </c>
      <c r="L14" s="81">
        <v>0.9</v>
      </c>
      <c r="M14" s="81">
        <v>0.1</v>
      </c>
    </row>
    <row r="15" s="65" customFormat="1" customHeight="1" spans="1:13">
      <c r="A15" s="77">
        <v>12</v>
      </c>
      <c r="B15" s="78" t="str">
        <f t="shared" si="0"/>
        <v>Mother TinctureAcid Phos</v>
      </c>
      <c r="C15" s="78" t="s">
        <v>107</v>
      </c>
      <c r="D15" s="78" t="s">
        <v>205</v>
      </c>
      <c r="E15" s="78" t="s">
        <v>205</v>
      </c>
      <c r="F15" s="65" t="s">
        <v>193</v>
      </c>
      <c r="G15" s="65" t="s">
        <v>194</v>
      </c>
      <c r="K15" s="81">
        <v>0.1</v>
      </c>
      <c r="L15" s="81">
        <v>0.9</v>
      </c>
      <c r="M15" s="81">
        <v>0.1</v>
      </c>
    </row>
    <row r="16" s="65" customFormat="1" customHeight="1" spans="1:13">
      <c r="A16" s="77">
        <v>13</v>
      </c>
      <c r="B16" s="78" t="str">
        <f t="shared" si="0"/>
        <v>Mother TinctureAcid Picric</v>
      </c>
      <c r="C16" s="78" t="s">
        <v>107</v>
      </c>
      <c r="D16" s="78" t="s">
        <v>206</v>
      </c>
      <c r="E16" s="78" t="s">
        <v>206</v>
      </c>
      <c r="F16" s="65" t="s">
        <v>193</v>
      </c>
      <c r="G16" s="65" t="s">
        <v>194</v>
      </c>
      <c r="K16" s="81">
        <v>0.1</v>
      </c>
      <c r="L16" s="81">
        <v>0.9</v>
      </c>
      <c r="M16" s="81">
        <v>0.1</v>
      </c>
    </row>
    <row r="17" s="65" customFormat="1" customHeight="1" spans="1:13">
      <c r="A17" s="77">
        <v>14</v>
      </c>
      <c r="B17" s="78" t="str">
        <f t="shared" si="0"/>
        <v>Mother TinctureAcid Salicyl</v>
      </c>
      <c r="C17" s="78" t="s">
        <v>107</v>
      </c>
      <c r="D17" s="78" t="s">
        <v>207</v>
      </c>
      <c r="E17" s="78" t="s">
        <v>207</v>
      </c>
      <c r="F17" s="65" t="s">
        <v>193</v>
      </c>
      <c r="G17" s="65" t="s">
        <v>194</v>
      </c>
      <c r="K17" s="81">
        <v>0.1</v>
      </c>
      <c r="L17" s="81">
        <v>0.9</v>
      </c>
      <c r="M17" s="81">
        <v>0.1</v>
      </c>
    </row>
    <row r="18" s="65" customFormat="1" customHeight="1" spans="1:13">
      <c r="A18" s="77">
        <v>15</v>
      </c>
      <c r="B18" s="78" t="str">
        <f t="shared" si="0"/>
        <v>Mother TinctureAcid Sulph.</v>
      </c>
      <c r="C18" s="78" t="s">
        <v>107</v>
      </c>
      <c r="D18" s="78" t="s">
        <v>208</v>
      </c>
      <c r="E18" s="78" t="s">
        <v>208</v>
      </c>
      <c r="F18" s="65" t="s">
        <v>193</v>
      </c>
      <c r="G18" s="65" t="s">
        <v>194</v>
      </c>
      <c r="K18" s="81">
        <v>0.1</v>
      </c>
      <c r="L18" s="81">
        <v>0.9</v>
      </c>
      <c r="M18" s="81">
        <v>0.1</v>
      </c>
    </row>
    <row r="19" s="65" customFormat="1" customHeight="1" spans="1:13">
      <c r="A19" s="77">
        <v>16</v>
      </c>
      <c r="B19" s="78" t="str">
        <f t="shared" si="0"/>
        <v>Mother TinctureAconite Nap.</v>
      </c>
      <c r="C19" s="78" t="s">
        <v>107</v>
      </c>
      <c r="D19" s="78" t="s">
        <v>209</v>
      </c>
      <c r="E19" s="78" t="s">
        <v>209</v>
      </c>
      <c r="F19" s="65" t="s">
        <v>193</v>
      </c>
      <c r="G19" s="65" t="s">
        <v>194</v>
      </c>
      <c r="K19" s="81">
        <v>0.1</v>
      </c>
      <c r="L19" s="81">
        <v>0.9</v>
      </c>
      <c r="M19" s="81">
        <v>0.1</v>
      </c>
    </row>
    <row r="20" s="65" customFormat="1" customHeight="1" spans="1:13">
      <c r="A20" s="77">
        <v>17</v>
      </c>
      <c r="B20" s="78" t="str">
        <f t="shared" si="0"/>
        <v>Mother TinctureActaea Rac (Cimicifuga)</v>
      </c>
      <c r="C20" s="78" t="s">
        <v>107</v>
      </c>
      <c r="D20" s="79" t="s">
        <v>210</v>
      </c>
      <c r="E20" s="79" t="s">
        <v>210</v>
      </c>
      <c r="F20" s="65" t="s">
        <v>193</v>
      </c>
      <c r="G20" s="65" t="s">
        <v>194</v>
      </c>
      <c r="K20" s="81">
        <v>0.1</v>
      </c>
      <c r="L20" s="81">
        <v>0.9</v>
      </c>
      <c r="M20" s="81">
        <v>0.1</v>
      </c>
    </row>
    <row r="21" s="65" customFormat="1" customHeight="1" spans="1:13">
      <c r="A21" s="77">
        <v>18</v>
      </c>
      <c r="B21" s="78" t="str">
        <f t="shared" si="0"/>
        <v>Mother TinctureActaea Spic</v>
      </c>
      <c r="C21" s="78" t="s">
        <v>107</v>
      </c>
      <c r="D21" s="79" t="s">
        <v>211</v>
      </c>
      <c r="E21" s="79" t="s">
        <v>211</v>
      </c>
      <c r="F21" s="65" t="s">
        <v>193</v>
      </c>
      <c r="G21" s="65" t="s">
        <v>194</v>
      </c>
      <c r="K21" s="81">
        <v>0.1</v>
      </c>
      <c r="L21" s="81">
        <v>0.9</v>
      </c>
      <c r="M21" s="81">
        <v>0.1</v>
      </c>
    </row>
    <row r="22" s="65" customFormat="1" customHeight="1" spans="1:13">
      <c r="A22" s="77">
        <v>19</v>
      </c>
      <c r="B22" s="78" t="str">
        <f t="shared" si="0"/>
        <v>Mother TinctureAdonis Vern.</v>
      </c>
      <c r="C22" s="78" t="s">
        <v>107</v>
      </c>
      <c r="D22" s="79" t="s">
        <v>212</v>
      </c>
      <c r="E22" s="79" t="s">
        <v>212</v>
      </c>
      <c r="F22" s="65" t="s">
        <v>193</v>
      </c>
      <c r="G22" s="65" t="s">
        <v>194</v>
      </c>
      <c r="K22" s="81">
        <v>0.1</v>
      </c>
      <c r="L22" s="81">
        <v>0.9</v>
      </c>
      <c r="M22" s="81">
        <v>0.1</v>
      </c>
    </row>
    <row r="23" s="65" customFormat="1" customHeight="1" spans="1:13">
      <c r="A23" s="77">
        <v>20</v>
      </c>
      <c r="B23" s="78" t="str">
        <f t="shared" si="0"/>
        <v>Mother TinctureAegle Fol.</v>
      </c>
      <c r="C23" s="78" t="s">
        <v>107</v>
      </c>
      <c r="D23" s="79" t="s">
        <v>213</v>
      </c>
      <c r="E23" s="79" t="s">
        <v>213</v>
      </c>
      <c r="F23" s="65" t="s">
        <v>193</v>
      </c>
      <c r="G23" s="65" t="s">
        <v>194</v>
      </c>
      <c r="K23" s="81">
        <v>0.1</v>
      </c>
      <c r="L23" s="81">
        <v>0.9</v>
      </c>
      <c r="M23" s="81">
        <v>0.1</v>
      </c>
    </row>
    <row r="24" s="65" customFormat="1" customHeight="1" spans="1:13">
      <c r="A24" s="77">
        <v>21</v>
      </c>
      <c r="B24" s="78" t="str">
        <f t="shared" si="0"/>
        <v>Mother TinctureAegle Marm.</v>
      </c>
      <c r="C24" s="78" t="s">
        <v>107</v>
      </c>
      <c r="D24" s="79" t="s">
        <v>214</v>
      </c>
      <c r="E24" s="79" t="s">
        <v>214</v>
      </c>
      <c r="F24" s="65" t="s">
        <v>193</v>
      </c>
      <c r="G24" s="65" t="s">
        <v>194</v>
      </c>
      <c r="K24" s="81">
        <v>0.1</v>
      </c>
      <c r="L24" s="81">
        <v>0.9</v>
      </c>
      <c r="M24" s="81">
        <v>0.1</v>
      </c>
    </row>
    <row r="25" s="65" customFormat="1" customHeight="1" spans="1:13">
      <c r="A25" s="77">
        <v>22</v>
      </c>
      <c r="B25" s="78" t="str">
        <f t="shared" si="0"/>
        <v>Mother TinctureAesculus Hipp.</v>
      </c>
      <c r="C25" s="78" t="s">
        <v>107</v>
      </c>
      <c r="D25" s="79" t="s">
        <v>215</v>
      </c>
      <c r="E25" s="79" t="s">
        <v>215</v>
      </c>
      <c r="F25" s="65" t="s">
        <v>193</v>
      </c>
      <c r="G25" s="65" t="s">
        <v>194</v>
      </c>
      <c r="K25" s="81">
        <v>0.1</v>
      </c>
      <c r="L25" s="81">
        <v>0.9</v>
      </c>
      <c r="M25" s="81">
        <v>0.1</v>
      </c>
    </row>
    <row r="26" s="65" customFormat="1" customHeight="1" spans="1:13">
      <c r="A26" s="77">
        <v>23</v>
      </c>
      <c r="B26" s="78" t="str">
        <f t="shared" si="0"/>
        <v>Mother TinctureAethusa Cyn.</v>
      </c>
      <c r="C26" s="78" t="s">
        <v>107</v>
      </c>
      <c r="D26" s="79" t="s">
        <v>216</v>
      </c>
      <c r="E26" s="79" t="s">
        <v>216</v>
      </c>
      <c r="F26" s="65" t="s">
        <v>193</v>
      </c>
      <c r="G26" s="65" t="s">
        <v>194</v>
      </c>
      <c r="K26" s="81">
        <v>0.1</v>
      </c>
      <c r="L26" s="81">
        <v>0.9</v>
      </c>
      <c r="M26" s="81">
        <v>0.1</v>
      </c>
    </row>
    <row r="27" s="65" customFormat="1" customHeight="1" spans="1:13">
      <c r="A27" s="77">
        <v>24</v>
      </c>
      <c r="B27" s="78" t="str">
        <f t="shared" si="0"/>
        <v>Mother TinctureAgraphis Nut.</v>
      </c>
      <c r="C27" s="78" t="s">
        <v>107</v>
      </c>
      <c r="D27" s="79" t="s">
        <v>217</v>
      </c>
      <c r="E27" s="79" t="s">
        <v>217</v>
      </c>
      <c r="F27" s="65" t="s">
        <v>193</v>
      </c>
      <c r="G27" s="65" t="s">
        <v>194</v>
      </c>
      <c r="K27" s="81">
        <v>0.1</v>
      </c>
      <c r="L27" s="81">
        <v>0.9</v>
      </c>
      <c r="M27" s="81">
        <v>0.1</v>
      </c>
    </row>
    <row r="28" s="65" customFormat="1" customHeight="1" spans="1:13">
      <c r="A28" s="77">
        <v>25</v>
      </c>
      <c r="B28" s="78" t="str">
        <f t="shared" si="0"/>
        <v>Mother TinctureAilanthus. G.</v>
      </c>
      <c r="C28" s="78" t="s">
        <v>107</v>
      </c>
      <c r="D28" s="79" t="s">
        <v>218</v>
      </c>
      <c r="E28" s="79" t="s">
        <v>218</v>
      </c>
      <c r="F28" s="65" t="s">
        <v>193</v>
      </c>
      <c r="G28" s="65" t="s">
        <v>194</v>
      </c>
      <c r="K28" s="81">
        <v>0.1</v>
      </c>
      <c r="L28" s="81">
        <v>0.9</v>
      </c>
      <c r="M28" s="81">
        <v>0.1</v>
      </c>
    </row>
    <row r="29" s="65" customFormat="1" customHeight="1" spans="1:13">
      <c r="A29" s="77">
        <v>26</v>
      </c>
      <c r="B29" s="78" t="str">
        <f t="shared" si="0"/>
        <v>Mother TinctureAletris F.</v>
      </c>
      <c r="C29" s="78" t="s">
        <v>107</v>
      </c>
      <c r="D29" s="79" t="s">
        <v>219</v>
      </c>
      <c r="E29" s="79" t="s">
        <v>219</v>
      </c>
      <c r="F29" s="65" t="s">
        <v>193</v>
      </c>
      <c r="G29" s="65" t="s">
        <v>194</v>
      </c>
      <c r="K29" s="81">
        <v>0.1</v>
      </c>
      <c r="L29" s="81">
        <v>0.9</v>
      </c>
      <c r="M29" s="81">
        <v>0.1</v>
      </c>
    </row>
    <row r="30" s="65" customFormat="1" customHeight="1" spans="1:13">
      <c r="A30" s="77">
        <v>27</v>
      </c>
      <c r="B30" s="78" t="str">
        <f t="shared" si="0"/>
        <v>Mother TinctureAlfalfa</v>
      </c>
      <c r="C30" s="78" t="s">
        <v>107</v>
      </c>
      <c r="D30" s="79" t="s">
        <v>220</v>
      </c>
      <c r="E30" s="79" t="s">
        <v>220</v>
      </c>
      <c r="F30" s="65" t="s">
        <v>193</v>
      </c>
      <c r="G30" s="65" t="s">
        <v>194</v>
      </c>
      <c r="K30" s="81">
        <v>0.1</v>
      </c>
      <c r="L30" s="81">
        <v>0.9</v>
      </c>
      <c r="M30" s="81">
        <v>0.1</v>
      </c>
    </row>
    <row r="31" s="65" customFormat="1" customHeight="1" spans="1:13">
      <c r="A31" s="77">
        <v>28</v>
      </c>
      <c r="B31" s="78" t="str">
        <f t="shared" si="0"/>
        <v>Mother TinctureAllium Cepa</v>
      </c>
      <c r="C31" s="78" t="s">
        <v>107</v>
      </c>
      <c r="D31" s="79" t="s">
        <v>221</v>
      </c>
      <c r="E31" s="79" t="s">
        <v>221</v>
      </c>
      <c r="F31" s="65" t="s">
        <v>193</v>
      </c>
      <c r="G31" s="65" t="s">
        <v>194</v>
      </c>
      <c r="K31" s="81">
        <v>0.1</v>
      </c>
      <c r="L31" s="81">
        <v>0.9</v>
      </c>
      <c r="M31" s="81">
        <v>0.1</v>
      </c>
    </row>
    <row r="32" s="65" customFormat="1" customHeight="1" spans="1:13">
      <c r="A32" s="77">
        <v>29</v>
      </c>
      <c r="B32" s="78" t="str">
        <f t="shared" si="0"/>
        <v>Mother TinctureAllium Sat.</v>
      </c>
      <c r="C32" s="78" t="s">
        <v>107</v>
      </c>
      <c r="D32" s="79" t="s">
        <v>222</v>
      </c>
      <c r="E32" s="79" t="s">
        <v>222</v>
      </c>
      <c r="F32" s="65" t="s">
        <v>193</v>
      </c>
      <c r="G32" s="65" t="s">
        <v>194</v>
      </c>
      <c r="K32" s="81">
        <v>0.1</v>
      </c>
      <c r="L32" s="81">
        <v>0.9</v>
      </c>
      <c r="M32" s="81">
        <v>0.1</v>
      </c>
    </row>
    <row r="33" s="65" customFormat="1" customHeight="1" spans="1:13">
      <c r="A33" s="77">
        <v>30</v>
      </c>
      <c r="B33" s="78" t="str">
        <f t="shared" si="0"/>
        <v>Mother TinctureAloe Soc. (Aloes)</v>
      </c>
      <c r="C33" s="78" t="s">
        <v>107</v>
      </c>
      <c r="D33" s="79" t="s">
        <v>223</v>
      </c>
      <c r="E33" s="79" t="s">
        <v>223</v>
      </c>
      <c r="F33" s="65" t="s">
        <v>193</v>
      </c>
      <c r="G33" s="65" t="s">
        <v>194</v>
      </c>
      <c r="K33" s="81">
        <v>0.1</v>
      </c>
      <c r="L33" s="81">
        <v>0.9</v>
      </c>
      <c r="M33" s="81">
        <v>0.1</v>
      </c>
    </row>
    <row r="34" s="65" customFormat="1" customHeight="1" spans="1:13">
      <c r="A34" s="77">
        <v>31</v>
      </c>
      <c r="B34" s="78" t="str">
        <f t="shared" si="0"/>
        <v>Mother TinctureAlstonia Sch.</v>
      </c>
      <c r="C34" s="78" t="s">
        <v>107</v>
      </c>
      <c r="D34" s="79" t="s">
        <v>224</v>
      </c>
      <c r="E34" s="79" t="s">
        <v>224</v>
      </c>
      <c r="F34" s="65" t="s">
        <v>193</v>
      </c>
      <c r="G34" s="65" t="s">
        <v>194</v>
      </c>
      <c r="K34" s="81">
        <v>0.1</v>
      </c>
      <c r="L34" s="81">
        <v>0.9</v>
      </c>
      <c r="M34" s="81">
        <v>0.1</v>
      </c>
    </row>
    <row r="35" s="65" customFormat="1" customHeight="1" spans="1:13">
      <c r="A35" s="77">
        <v>32</v>
      </c>
      <c r="B35" s="78" t="str">
        <f t="shared" si="0"/>
        <v>Mother TinctureAmly. Nit.</v>
      </c>
      <c r="C35" s="78" t="s">
        <v>107</v>
      </c>
      <c r="D35" s="79" t="s">
        <v>225</v>
      </c>
      <c r="E35" s="79" t="s">
        <v>225</v>
      </c>
      <c r="F35" s="65" t="s">
        <v>193</v>
      </c>
      <c r="G35" s="65" t="s">
        <v>194</v>
      </c>
      <c r="K35" s="81">
        <v>0.1</v>
      </c>
      <c r="L35" s="81">
        <v>0.9</v>
      </c>
      <c r="M35" s="81">
        <v>0.1</v>
      </c>
    </row>
    <row r="36" s="65" customFormat="1" customHeight="1" spans="1:13">
      <c r="A36" s="77">
        <v>33</v>
      </c>
      <c r="B36" s="78" t="str">
        <f t="shared" si="0"/>
        <v>Mother TinctureAmmon Benz.</v>
      </c>
      <c r="C36" s="78" t="s">
        <v>107</v>
      </c>
      <c r="D36" s="79" t="s">
        <v>226</v>
      </c>
      <c r="E36" s="79" t="s">
        <v>226</v>
      </c>
      <c r="F36" s="65" t="s">
        <v>193</v>
      </c>
      <c r="G36" s="65" t="s">
        <v>194</v>
      </c>
      <c r="K36" s="81">
        <v>0.1</v>
      </c>
      <c r="L36" s="81">
        <v>0.9</v>
      </c>
      <c r="M36" s="81">
        <v>0.1</v>
      </c>
    </row>
    <row r="37" s="65" customFormat="1" customHeight="1" spans="1:13">
      <c r="A37" s="77">
        <v>34</v>
      </c>
      <c r="B37" s="78" t="str">
        <f t="shared" si="0"/>
        <v>Mother TinctureAnacard. Occ.</v>
      </c>
      <c r="C37" s="78" t="s">
        <v>107</v>
      </c>
      <c r="D37" s="79" t="s">
        <v>227</v>
      </c>
      <c r="E37" s="79" t="s">
        <v>227</v>
      </c>
      <c r="F37" s="65" t="s">
        <v>193</v>
      </c>
      <c r="G37" s="65" t="s">
        <v>194</v>
      </c>
      <c r="K37" s="81">
        <v>0.1</v>
      </c>
      <c r="L37" s="81">
        <v>0.9</v>
      </c>
      <c r="M37" s="81">
        <v>0.1</v>
      </c>
    </row>
    <row r="38" s="65" customFormat="1" customHeight="1" spans="1:13">
      <c r="A38" s="77">
        <v>35</v>
      </c>
      <c r="B38" s="78" t="str">
        <f t="shared" si="0"/>
        <v>Mother TinctureAnacard. Ori.</v>
      </c>
      <c r="C38" s="78" t="s">
        <v>107</v>
      </c>
      <c r="D38" s="79" t="s">
        <v>228</v>
      </c>
      <c r="E38" s="79" t="s">
        <v>228</v>
      </c>
      <c r="F38" s="65" t="s">
        <v>193</v>
      </c>
      <c r="G38" s="65" t="s">
        <v>194</v>
      </c>
      <c r="K38" s="81">
        <v>0.1</v>
      </c>
      <c r="L38" s="81">
        <v>0.9</v>
      </c>
      <c r="M38" s="81">
        <v>0.1</v>
      </c>
    </row>
    <row r="39" s="65" customFormat="1" customHeight="1" spans="1:13">
      <c r="A39" s="77">
        <v>36</v>
      </c>
      <c r="B39" s="78" t="str">
        <f t="shared" si="0"/>
        <v>Mother TinctureAndrographis Pan(Kalmegh)</v>
      </c>
      <c r="C39" s="78" t="s">
        <v>107</v>
      </c>
      <c r="D39" s="79" t="s">
        <v>229</v>
      </c>
      <c r="E39" s="79" t="s">
        <v>229</v>
      </c>
      <c r="F39" s="65" t="s">
        <v>193</v>
      </c>
      <c r="G39" s="65" t="s">
        <v>194</v>
      </c>
      <c r="K39" s="81">
        <v>0.1</v>
      </c>
      <c r="L39" s="81">
        <v>0.9</v>
      </c>
      <c r="M39" s="81">
        <v>0.1</v>
      </c>
    </row>
    <row r="40" s="65" customFormat="1" customHeight="1" spans="1:13">
      <c r="A40" s="77">
        <v>37</v>
      </c>
      <c r="B40" s="78" t="str">
        <f t="shared" si="0"/>
        <v>Mother TinctureAngustura. V</v>
      </c>
      <c r="C40" s="78" t="s">
        <v>107</v>
      </c>
      <c r="D40" s="79" t="s">
        <v>230</v>
      </c>
      <c r="E40" s="79" t="s">
        <v>230</v>
      </c>
      <c r="F40" s="65" t="s">
        <v>193</v>
      </c>
      <c r="G40" s="65" t="s">
        <v>194</v>
      </c>
      <c r="K40" s="81">
        <v>0.1</v>
      </c>
      <c r="L40" s="81">
        <v>0.9</v>
      </c>
      <c r="M40" s="81">
        <v>0.1</v>
      </c>
    </row>
    <row r="41" s="65" customFormat="1" customHeight="1" spans="1:13">
      <c r="A41" s="77">
        <v>38</v>
      </c>
      <c r="B41" s="78" t="str">
        <f t="shared" si="0"/>
        <v>Mother TinctureApis Mel.</v>
      </c>
      <c r="C41" s="78" t="s">
        <v>107</v>
      </c>
      <c r="D41" s="79" t="s">
        <v>231</v>
      </c>
      <c r="E41" s="79" t="s">
        <v>231</v>
      </c>
      <c r="F41" s="65" t="s">
        <v>193</v>
      </c>
      <c r="G41" s="65" t="s">
        <v>194</v>
      </c>
      <c r="K41" s="81">
        <v>0.1</v>
      </c>
      <c r="L41" s="81">
        <v>0.9</v>
      </c>
      <c r="M41" s="81">
        <v>0.1</v>
      </c>
    </row>
    <row r="42" s="65" customFormat="1" customHeight="1" spans="1:13">
      <c r="A42" s="77">
        <v>39</v>
      </c>
      <c r="B42" s="78" t="str">
        <f t="shared" si="0"/>
        <v>Mother TinctureApocynum. Can.</v>
      </c>
      <c r="C42" s="78" t="s">
        <v>107</v>
      </c>
      <c r="D42" s="79" t="s">
        <v>232</v>
      </c>
      <c r="E42" s="79" t="s">
        <v>232</v>
      </c>
      <c r="F42" s="65" t="s">
        <v>193</v>
      </c>
      <c r="G42" s="65" t="s">
        <v>194</v>
      </c>
      <c r="K42" s="81">
        <v>0.1</v>
      </c>
      <c r="L42" s="81">
        <v>0.9</v>
      </c>
      <c r="M42" s="81">
        <v>0.1</v>
      </c>
    </row>
    <row r="43" s="65" customFormat="1" customHeight="1" spans="1:13">
      <c r="A43" s="77">
        <v>40</v>
      </c>
      <c r="B43" s="78" t="str">
        <f t="shared" si="0"/>
        <v>Mother TinctureAralia Rac.</v>
      </c>
      <c r="C43" s="78" t="s">
        <v>107</v>
      </c>
      <c r="D43" s="79" t="s">
        <v>233</v>
      </c>
      <c r="E43" s="79" t="s">
        <v>233</v>
      </c>
      <c r="F43" s="65" t="s">
        <v>193</v>
      </c>
      <c r="G43" s="65" t="s">
        <v>194</v>
      </c>
      <c r="K43" s="81">
        <v>0.1</v>
      </c>
      <c r="L43" s="81">
        <v>0.9</v>
      </c>
      <c r="M43" s="81">
        <v>0.1</v>
      </c>
    </row>
    <row r="44" s="65" customFormat="1" customHeight="1" spans="1:13">
      <c r="A44" s="77">
        <v>41</v>
      </c>
      <c r="B44" s="78" t="str">
        <f t="shared" si="0"/>
        <v>Mother TinctureArania. Dia.</v>
      </c>
      <c r="C44" s="78" t="s">
        <v>107</v>
      </c>
      <c r="D44" s="79" t="s">
        <v>234</v>
      </c>
      <c r="E44" s="79" t="s">
        <v>234</v>
      </c>
      <c r="F44" s="65" t="s">
        <v>193</v>
      </c>
      <c r="G44" s="65" t="s">
        <v>194</v>
      </c>
      <c r="K44" s="81">
        <v>0.1</v>
      </c>
      <c r="L44" s="81">
        <v>0.9</v>
      </c>
      <c r="M44" s="81">
        <v>0.1</v>
      </c>
    </row>
    <row r="45" s="65" customFormat="1" customHeight="1" spans="1:13">
      <c r="A45" s="77">
        <v>42</v>
      </c>
      <c r="B45" s="78" t="str">
        <f t="shared" si="0"/>
        <v>Mother TinctureArjuna (Term. Arjuna)</v>
      </c>
      <c r="C45" s="78" t="s">
        <v>107</v>
      </c>
      <c r="D45" s="79" t="s">
        <v>235</v>
      </c>
      <c r="E45" s="79" t="s">
        <v>235</v>
      </c>
      <c r="F45" s="65" t="s">
        <v>193</v>
      </c>
      <c r="G45" s="65" t="s">
        <v>194</v>
      </c>
      <c r="K45" s="81">
        <v>0.1</v>
      </c>
      <c r="L45" s="81">
        <v>0.9</v>
      </c>
      <c r="M45" s="81">
        <v>0.1</v>
      </c>
    </row>
    <row r="46" s="65" customFormat="1" customHeight="1" spans="1:13">
      <c r="A46" s="77">
        <v>43</v>
      </c>
      <c r="B46" s="78" t="str">
        <f t="shared" si="0"/>
        <v>Mother TinctureArnica Mont.</v>
      </c>
      <c r="C46" s="78" t="s">
        <v>107</v>
      </c>
      <c r="D46" s="79" t="s">
        <v>236</v>
      </c>
      <c r="E46" s="79" t="s">
        <v>236</v>
      </c>
      <c r="F46" s="65" t="s">
        <v>193</v>
      </c>
      <c r="G46" s="65" t="s">
        <v>194</v>
      </c>
      <c r="K46" s="81">
        <v>0.1</v>
      </c>
      <c r="L46" s="81">
        <v>0.9</v>
      </c>
      <c r="M46" s="81">
        <v>0.1</v>
      </c>
    </row>
    <row r="47" s="65" customFormat="1" customHeight="1" spans="1:13">
      <c r="A47" s="77">
        <v>44</v>
      </c>
      <c r="B47" s="78" t="str">
        <f t="shared" si="0"/>
        <v>Mother TinctureArnica Mont. Radix.</v>
      </c>
      <c r="C47" s="78" t="s">
        <v>107</v>
      </c>
      <c r="D47" s="79" t="s">
        <v>237</v>
      </c>
      <c r="E47" s="79" t="s">
        <v>237</v>
      </c>
      <c r="F47" s="65" t="s">
        <v>193</v>
      </c>
      <c r="G47" s="65" t="s">
        <v>194</v>
      </c>
      <c r="K47" s="81">
        <v>0.1</v>
      </c>
      <c r="L47" s="81">
        <v>0.9</v>
      </c>
      <c r="M47" s="81">
        <v>0.1</v>
      </c>
    </row>
    <row r="48" s="65" customFormat="1" customHeight="1" spans="1:13">
      <c r="A48" s="77">
        <v>45</v>
      </c>
      <c r="B48" s="78" t="str">
        <f t="shared" si="0"/>
        <v>Mother TinctureArtemisia Vulg</v>
      </c>
      <c r="C48" s="78" t="s">
        <v>107</v>
      </c>
      <c r="D48" s="79" t="s">
        <v>238</v>
      </c>
      <c r="E48" s="79" t="s">
        <v>238</v>
      </c>
      <c r="F48" s="65" t="s">
        <v>193</v>
      </c>
      <c r="G48" s="65" t="s">
        <v>194</v>
      </c>
      <c r="K48" s="81">
        <v>0.1</v>
      </c>
      <c r="L48" s="81">
        <v>0.9</v>
      </c>
      <c r="M48" s="81">
        <v>0.1</v>
      </c>
    </row>
    <row r="49" s="65" customFormat="1" customHeight="1" spans="1:13">
      <c r="A49" s="77">
        <v>46</v>
      </c>
      <c r="B49" s="78" t="str">
        <f t="shared" si="0"/>
        <v>Mother TinctureArum Triph.</v>
      </c>
      <c r="C49" s="78" t="s">
        <v>107</v>
      </c>
      <c r="D49" s="79" t="s">
        <v>239</v>
      </c>
      <c r="E49" s="79" t="s">
        <v>239</v>
      </c>
      <c r="F49" s="65" t="s">
        <v>193</v>
      </c>
      <c r="G49" s="65" t="s">
        <v>194</v>
      </c>
      <c r="K49" s="81">
        <v>0.1</v>
      </c>
      <c r="L49" s="81">
        <v>0.9</v>
      </c>
      <c r="M49" s="81">
        <v>0.1</v>
      </c>
    </row>
    <row r="50" s="65" customFormat="1" customHeight="1" spans="1:13">
      <c r="A50" s="77">
        <v>47</v>
      </c>
      <c r="B50" s="78" t="str">
        <f t="shared" si="0"/>
        <v>Mother TinctureArundo M.</v>
      </c>
      <c r="C50" s="78" t="s">
        <v>107</v>
      </c>
      <c r="D50" s="79" t="s">
        <v>240</v>
      </c>
      <c r="E50" s="79" t="s">
        <v>240</v>
      </c>
      <c r="F50" s="65" t="s">
        <v>193</v>
      </c>
      <c r="G50" s="65" t="s">
        <v>194</v>
      </c>
      <c r="K50" s="81">
        <v>0.1</v>
      </c>
      <c r="L50" s="81">
        <v>0.9</v>
      </c>
      <c r="M50" s="81">
        <v>0.1</v>
      </c>
    </row>
    <row r="51" s="65" customFormat="1" customHeight="1" spans="1:13">
      <c r="A51" s="77">
        <v>48</v>
      </c>
      <c r="B51" s="78" t="str">
        <f t="shared" si="0"/>
        <v>Mother TinctureAsafoetida</v>
      </c>
      <c r="C51" s="78" t="s">
        <v>107</v>
      </c>
      <c r="D51" s="79" t="s">
        <v>241</v>
      </c>
      <c r="E51" s="79" t="s">
        <v>241</v>
      </c>
      <c r="F51" s="65" t="s">
        <v>193</v>
      </c>
      <c r="G51" s="65" t="s">
        <v>194</v>
      </c>
      <c r="K51" s="81">
        <v>0.1</v>
      </c>
      <c r="L51" s="81">
        <v>0.9</v>
      </c>
      <c r="M51" s="81">
        <v>0.1</v>
      </c>
    </row>
    <row r="52" s="65" customFormat="1" customHeight="1" spans="1:13">
      <c r="A52" s="77">
        <v>49</v>
      </c>
      <c r="B52" s="78" t="str">
        <f t="shared" si="0"/>
        <v>Mother TinctureAsarum Europ.</v>
      </c>
      <c r="C52" s="78" t="s">
        <v>107</v>
      </c>
      <c r="D52" s="79" t="s">
        <v>242</v>
      </c>
      <c r="E52" s="79" t="s">
        <v>242</v>
      </c>
      <c r="F52" s="65" t="s">
        <v>193</v>
      </c>
      <c r="G52" s="65" t="s">
        <v>194</v>
      </c>
      <c r="K52" s="81">
        <v>0.1</v>
      </c>
      <c r="L52" s="81">
        <v>0.9</v>
      </c>
      <c r="M52" s="81">
        <v>0.1</v>
      </c>
    </row>
    <row r="53" s="65" customFormat="1" customHeight="1" spans="1:13">
      <c r="A53" s="77">
        <v>50</v>
      </c>
      <c r="B53" s="78" t="str">
        <f t="shared" si="0"/>
        <v>Mother TinctureAsclep. Tub.</v>
      </c>
      <c r="C53" s="78" t="s">
        <v>107</v>
      </c>
      <c r="D53" s="79" t="s">
        <v>243</v>
      </c>
      <c r="E53" s="79" t="s">
        <v>243</v>
      </c>
      <c r="F53" s="65" t="s">
        <v>193</v>
      </c>
      <c r="G53" s="65" t="s">
        <v>194</v>
      </c>
      <c r="K53" s="81">
        <v>0.1</v>
      </c>
      <c r="L53" s="81">
        <v>0.9</v>
      </c>
      <c r="M53" s="81">
        <v>0.1</v>
      </c>
    </row>
    <row r="54" s="65" customFormat="1" customHeight="1" spans="1:13">
      <c r="A54" s="77">
        <v>51</v>
      </c>
      <c r="B54" s="78" t="str">
        <f t="shared" si="0"/>
        <v>Mother TinctureAshoka (Jan. Ashoka)</v>
      </c>
      <c r="C54" s="78" t="s">
        <v>107</v>
      </c>
      <c r="D54" s="79" t="s">
        <v>244</v>
      </c>
      <c r="E54" s="79" t="s">
        <v>244</v>
      </c>
      <c r="F54" s="65" t="s">
        <v>193</v>
      </c>
      <c r="G54" s="65" t="s">
        <v>194</v>
      </c>
      <c r="K54" s="81">
        <v>0.1</v>
      </c>
      <c r="L54" s="81">
        <v>0.9</v>
      </c>
      <c r="M54" s="81">
        <v>0.1</v>
      </c>
    </row>
    <row r="55" s="65" customFormat="1" customHeight="1" spans="1:13">
      <c r="A55" s="77">
        <v>52</v>
      </c>
      <c r="B55" s="78" t="str">
        <f t="shared" si="0"/>
        <v>Mother TinctureAshwagandha (Withana S)</v>
      </c>
      <c r="C55" s="78" t="s">
        <v>107</v>
      </c>
      <c r="D55" s="79" t="s">
        <v>245</v>
      </c>
      <c r="E55" s="79" t="s">
        <v>245</v>
      </c>
      <c r="F55" s="65" t="s">
        <v>193</v>
      </c>
      <c r="G55" s="65" t="s">
        <v>194</v>
      </c>
      <c r="K55" s="81">
        <v>0.1</v>
      </c>
      <c r="L55" s="81">
        <v>0.9</v>
      </c>
      <c r="M55" s="81">
        <v>0.1</v>
      </c>
    </row>
    <row r="56" s="65" customFormat="1" customHeight="1" spans="1:13">
      <c r="A56" s="77">
        <v>53</v>
      </c>
      <c r="B56" s="78" t="str">
        <f t="shared" si="0"/>
        <v>Mother TinctureAsparagus O.</v>
      </c>
      <c r="C56" s="78" t="s">
        <v>107</v>
      </c>
      <c r="D56" s="79" t="s">
        <v>246</v>
      </c>
      <c r="E56" s="79" t="s">
        <v>246</v>
      </c>
      <c r="F56" s="65" t="s">
        <v>193</v>
      </c>
      <c r="G56" s="65" t="s">
        <v>194</v>
      </c>
      <c r="K56" s="81">
        <v>0.1</v>
      </c>
      <c r="L56" s="81">
        <v>0.9</v>
      </c>
      <c r="M56" s="81">
        <v>0.1</v>
      </c>
    </row>
    <row r="57" s="65" customFormat="1" customHeight="1" spans="1:13">
      <c r="A57" s="77">
        <v>54</v>
      </c>
      <c r="B57" s="78" t="str">
        <f t="shared" si="0"/>
        <v>Mother TinctureAspidosperma</v>
      </c>
      <c r="C57" s="78" t="s">
        <v>107</v>
      </c>
      <c r="D57" s="79" t="s">
        <v>247</v>
      </c>
      <c r="E57" s="79" t="s">
        <v>247</v>
      </c>
      <c r="F57" s="65" t="s">
        <v>193</v>
      </c>
      <c r="G57" s="65" t="s">
        <v>194</v>
      </c>
      <c r="K57" s="81">
        <v>0.1</v>
      </c>
      <c r="L57" s="81">
        <v>0.9</v>
      </c>
      <c r="M57" s="81">
        <v>0.1</v>
      </c>
    </row>
    <row r="58" s="65" customFormat="1" customHeight="1" spans="1:13">
      <c r="A58" s="77">
        <v>55</v>
      </c>
      <c r="B58" s="78" t="str">
        <f t="shared" si="0"/>
        <v>Mother TinctureAsterias Rub.</v>
      </c>
      <c r="C58" s="78" t="s">
        <v>107</v>
      </c>
      <c r="D58" s="79" t="s">
        <v>248</v>
      </c>
      <c r="E58" s="79" t="s">
        <v>248</v>
      </c>
      <c r="F58" s="65" t="s">
        <v>193</v>
      </c>
      <c r="G58" s="65" t="s">
        <v>194</v>
      </c>
      <c r="K58" s="81">
        <v>0.1</v>
      </c>
      <c r="L58" s="81">
        <v>0.9</v>
      </c>
      <c r="M58" s="81">
        <v>0.1</v>
      </c>
    </row>
    <row r="59" s="65" customFormat="1" customHeight="1" spans="1:13">
      <c r="A59" s="77">
        <v>56</v>
      </c>
      <c r="B59" s="78" t="str">
        <f t="shared" si="0"/>
        <v>Mother TinctureAtista Ind.</v>
      </c>
      <c r="C59" s="78" t="s">
        <v>107</v>
      </c>
      <c r="D59" s="78" t="s">
        <v>249</v>
      </c>
      <c r="E59" s="78" t="s">
        <v>249</v>
      </c>
      <c r="F59" s="65" t="s">
        <v>193</v>
      </c>
      <c r="G59" s="65" t="s">
        <v>194</v>
      </c>
      <c r="K59" s="81">
        <v>0.1</v>
      </c>
      <c r="L59" s="81">
        <v>0.9</v>
      </c>
      <c r="M59" s="81">
        <v>0.1</v>
      </c>
    </row>
    <row r="60" s="65" customFormat="1" customHeight="1" spans="1:13">
      <c r="A60" s="77">
        <v>57</v>
      </c>
      <c r="B60" s="78" t="str">
        <f t="shared" si="0"/>
        <v>Mother TinctureAtista Radix</v>
      </c>
      <c r="C60" s="78" t="s">
        <v>107</v>
      </c>
      <c r="D60" s="78" t="s">
        <v>250</v>
      </c>
      <c r="E60" s="78" t="s">
        <v>250</v>
      </c>
      <c r="F60" s="65" t="s">
        <v>193</v>
      </c>
      <c r="G60" s="65" t="s">
        <v>194</v>
      </c>
      <c r="K60" s="81">
        <v>0.1</v>
      </c>
      <c r="L60" s="81">
        <v>0.9</v>
      </c>
      <c r="M60" s="81">
        <v>0.1</v>
      </c>
    </row>
    <row r="61" s="65" customFormat="1" customHeight="1" spans="1:13">
      <c r="A61" s="77">
        <v>58</v>
      </c>
      <c r="B61" s="78" t="str">
        <f t="shared" si="0"/>
        <v>Mother TinctureAvena Sat.</v>
      </c>
      <c r="C61" s="78" t="s">
        <v>107</v>
      </c>
      <c r="D61" s="78" t="s">
        <v>251</v>
      </c>
      <c r="E61" s="78" t="s">
        <v>251</v>
      </c>
      <c r="F61" s="65" t="s">
        <v>193</v>
      </c>
      <c r="G61" s="65" t="s">
        <v>194</v>
      </c>
      <c r="K61" s="81">
        <v>0.1</v>
      </c>
      <c r="L61" s="81">
        <v>0.9</v>
      </c>
      <c r="M61" s="81">
        <v>0.1</v>
      </c>
    </row>
    <row r="62" s="65" customFormat="1" customHeight="1" spans="1:13">
      <c r="A62" s="77">
        <v>59</v>
      </c>
      <c r="B62" s="78" t="str">
        <f t="shared" si="0"/>
        <v>Mother TinctureAzadirachta. Ind</v>
      </c>
      <c r="C62" s="78" t="s">
        <v>107</v>
      </c>
      <c r="D62" s="78" t="s">
        <v>252</v>
      </c>
      <c r="E62" s="78" t="s">
        <v>252</v>
      </c>
      <c r="F62" s="65" t="s">
        <v>193</v>
      </c>
      <c r="G62" s="65" t="s">
        <v>194</v>
      </c>
      <c r="K62" s="81">
        <v>0.1</v>
      </c>
      <c r="L62" s="81">
        <v>0.9</v>
      </c>
      <c r="M62" s="81">
        <v>0.1</v>
      </c>
    </row>
    <row r="63" s="65" customFormat="1" customHeight="1" spans="1:13">
      <c r="A63" s="77">
        <v>60</v>
      </c>
      <c r="B63" s="78" t="str">
        <f t="shared" si="0"/>
        <v>Mother TinctureBacopa Moneiri (Brahmi)</v>
      </c>
      <c r="C63" s="78" t="s">
        <v>107</v>
      </c>
      <c r="D63" s="78" t="s">
        <v>253</v>
      </c>
      <c r="E63" s="78" t="s">
        <v>253</v>
      </c>
      <c r="F63" s="65" t="s">
        <v>193</v>
      </c>
      <c r="G63" s="65" t="s">
        <v>194</v>
      </c>
      <c r="K63" s="81">
        <v>0.1</v>
      </c>
      <c r="L63" s="81">
        <v>0.9</v>
      </c>
      <c r="M63" s="81">
        <v>0.1</v>
      </c>
    </row>
    <row r="64" s="65" customFormat="1" customHeight="1" spans="1:13">
      <c r="A64" s="77">
        <v>61</v>
      </c>
      <c r="B64" s="78" t="str">
        <f t="shared" si="0"/>
        <v>Mother TinctureBadiaga</v>
      </c>
      <c r="C64" s="78" t="s">
        <v>107</v>
      </c>
      <c r="D64" s="78" t="s">
        <v>254</v>
      </c>
      <c r="E64" s="78" t="s">
        <v>254</v>
      </c>
      <c r="F64" s="65" t="s">
        <v>193</v>
      </c>
      <c r="G64" s="65" t="s">
        <v>194</v>
      </c>
      <c r="K64" s="81">
        <v>0.1</v>
      </c>
      <c r="L64" s="81">
        <v>0.9</v>
      </c>
      <c r="M64" s="81">
        <v>0.1</v>
      </c>
    </row>
    <row r="65" s="65" customFormat="1" customHeight="1" spans="1:13">
      <c r="A65" s="77">
        <v>62</v>
      </c>
      <c r="B65" s="78" t="str">
        <f t="shared" si="0"/>
        <v>Mother TinctureBalsamum P</v>
      </c>
      <c r="C65" s="78" t="s">
        <v>107</v>
      </c>
      <c r="D65" s="78" t="s">
        <v>255</v>
      </c>
      <c r="E65" s="78" t="s">
        <v>255</v>
      </c>
      <c r="F65" s="65" t="s">
        <v>193</v>
      </c>
      <c r="G65" s="65" t="s">
        <v>194</v>
      </c>
      <c r="K65" s="81">
        <v>0.1</v>
      </c>
      <c r="L65" s="81">
        <v>0.9</v>
      </c>
      <c r="M65" s="81">
        <v>0.1</v>
      </c>
    </row>
    <row r="66" s="65" customFormat="1" customHeight="1" spans="1:13">
      <c r="A66" s="77">
        <v>63</v>
      </c>
      <c r="B66" s="78" t="str">
        <f t="shared" si="0"/>
        <v>Mother TinctureBaptisia Tinct.</v>
      </c>
      <c r="C66" s="78" t="s">
        <v>107</v>
      </c>
      <c r="D66" s="78" t="s">
        <v>256</v>
      </c>
      <c r="E66" s="78" t="s">
        <v>256</v>
      </c>
      <c r="F66" s="65" t="s">
        <v>193</v>
      </c>
      <c r="G66" s="65" t="s">
        <v>194</v>
      </c>
      <c r="K66" s="81">
        <v>0.1</v>
      </c>
      <c r="L66" s="81">
        <v>0.9</v>
      </c>
      <c r="M66" s="81">
        <v>0.1</v>
      </c>
    </row>
    <row r="67" s="65" customFormat="1" customHeight="1" spans="1:13">
      <c r="A67" s="77">
        <v>64</v>
      </c>
      <c r="B67" s="78" t="str">
        <f t="shared" si="0"/>
        <v>Mother TinctureBelladonna</v>
      </c>
      <c r="C67" s="78" t="s">
        <v>107</v>
      </c>
      <c r="D67" s="78" t="s">
        <v>102</v>
      </c>
      <c r="E67" s="78" t="s">
        <v>102</v>
      </c>
      <c r="F67" s="65" t="s">
        <v>193</v>
      </c>
      <c r="G67" s="65" t="s">
        <v>194</v>
      </c>
      <c r="K67" s="81">
        <v>0.1</v>
      </c>
      <c r="L67" s="81">
        <v>0.9</v>
      </c>
      <c r="M67" s="81">
        <v>0.1</v>
      </c>
    </row>
    <row r="68" s="65" customFormat="1" customHeight="1" spans="1:13">
      <c r="A68" s="77">
        <v>65</v>
      </c>
      <c r="B68" s="78" t="str">
        <f t="shared" si="0"/>
        <v>Mother TinctureBellis Per.</v>
      </c>
      <c r="C68" s="78" t="s">
        <v>107</v>
      </c>
      <c r="D68" s="78" t="s">
        <v>257</v>
      </c>
      <c r="E68" s="78" t="s">
        <v>257</v>
      </c>
      <c r="F68" s="65" t="s">
        <v>193</v>
      </c>
      <c r="G68" s="65" t="s">
        <v>194</v>
      </c>
      <c r="K68" s="81">
        <v>0.1</v>
      </c>
      <c r="L68" s="81">
        <v>0.9</v>
      </c>
      <c r="M68" s="81">
        <v>0.1</v>
      </c>
    </row>
    <row r="69" s="65" customFormat="1" customHeight="1" spans="1:13">
      <c r="A69" s="77">
        <v>66</v>
      </c>
      <c r="B69" s="78" t="str">
        <f t="shared" ref="B69:B132" si="1">+C69&amp;E69</f>
        <v>Mother TinctureBerb Vulg.</v>
      </c>
      <c r="C69" s="78" t="s">
        <v>107</v>
      </c>
      <c r="D69" s="78" t="s">
        <v>258</v>
      </c>
      <c r="E69" s="78" t="s">
        <v>258</v>
      </c>
      <c r="F69" s="65" t="s">
        <v>193</v>
      </c>
      <c r="G69" s="65" t="s">
        <v>194</v>
      </c>
      <c r="K69" s="81">
        <v>0.1</v>
      </c>
      <c r="L69" s="81">
        <v>0.9</v>
      </c>
      <c r="M69" s="81">
        <v>0.1</v>
      </c>
    </row>
    <row r="70" s="65" customFormat="1" customHeight="1" spans="1:13">
      <c r="A70" s="77">
        <v>67</v>
      </c>
      <c r="B70" s="78" t="str">
        <f t="shared" si="1"/>
        <v>Mother TinctureBerb-Aqui.</v>
      </c>
      <c r="C70" s="78" t="s">
        <v>107</v>
      </c>
      <c r="D70" s="78" t="s">
        <v>259</v>
      </c>
      <c r="E70" s="78" t="s">
        <v>259</v>
      </c>
      <c r="F70" s="65" t="s">
        <v>193</v>
      </c>
      <c r="G70" s="65" t="s">
        <v>194</v>
      </c>
      <c r="K70" s="81">
        <v>0.1</v>
      </c>
      <c r="L70" s="81">
        <v>0.9</v>
      </c>
      <c r="M70" s="81">
        <v>0.1</v>
      </c>
    </row>
    <row r="71" s="65" customFormat="1" customHeight="1" spans="1:13">
      <c r="A71" s="77">
        <v>68</v>
      </c>
      <c r="B71" s="78" t="str">
        <f t="shared" si="1"/>
        <v>Mother TinctureBlatta Orient.</v>
      </c>
      <c r="C71" s="78" t="s">
        <v>107</v>
      </c>
      <c r="D71" s="78" t="s">
        <v>260</v>
      </c>
      <c r="E71" s="78" t="s">
        <v>260</v>
      </c>
      <c r="F71" s="65" t="s">
        <v>193</v>
      </c>
      <c r="G71" s="65" t="s">
        <v>194</v>
      </c>
      <c r="K71" s="81">
        <v>0.1</v>
      </c>
      <c r="L71" s="81">
        <v>0.9</v>
      </c>
      <c r="M71" s="81">
        <v>0.1</v>
      </c>
    </row>
    <row r="72" s="65" customFormat="1" customHeight="1" spans="1:13">
      <c r="A72" s="77">
        <v>69</v>
      </c>
      <c r="B72" s="78" t="str">
        <f t="shared" si="1"/>
        <v>Mother TinctureBlumea Odo.</v>
      </c>
      <c r="C72" s="78" t="s">
        <v>107</v>
      </c>
      <c r="D72" s="78" t="s">
        <v>261</v>
      </c>
      <c r="E72" s="78" t="s">
        <v>261</v>
      </c>
      <c r="F72" s="65" t="s">
        <v>193</v>
      </c>
      <c r="G72" s="65" t="s">
        <v>194</v>
      </c>
      <c r="K72" s="81">
        <v>0.1</v>
      </c>
      <c r="L72" s="81">
        <v>0.9</v>
      </c>
      <c r="M72" s="81">
        <v>0.1</v>
      </c>
    </row>
    <row r="73" s="65" customFormat="1" customHeight="1" spans="1:13">
      <c r="A73" s="77">
        <v>70</v>
      </c>
      <c r="B73" s="78" t="str">
        <f t="shared" si="1"/>
        <v>Mother TinctureBoerhaavia. Dif. (Punarnava)</v>
      </c>
      <c r="C73" s="78" t="s">
        <v>107</v>
      </c>
      <c r="D73" s="78" t="s">
        <v>262</v>
      </c>
      <c r="E73" s="78" t="s">
        <v>262</v>
      </c>
      <c r="F73" s="65" t="s">
        <v>193</v>
      </c>
      <c r="G73" s="65" t="s">
        <v>194</v>
      </c>
      <c r="K73" s="81">
        <v>0.1</v>
      </c>
      <c r="L73" s="81">
        <v>0.9</v>
      </c>
      <c r="M73" s="81">
        <v>0.1</v>
      </c>
    </row>
    <row r="74" s="65" customFormat="1" customHeight="1" spans="1:13">
      <c r="A74" s="77">
        <v>71</v>
      </c>
      <c r="B74" s="78" t="str">
        <f t="shared" si="1"/>
        <v>Mother TinctureBryonia Alb</v>
      </c>
      <c r="C74" s="78" t="s">
        <v>107</v>
      </c>
      <c r="D74" s="78" t="s">
        <v>263</v>
      </c>
      <c r="E74" s="78" t="s">
        <v>263</v>
      </c>
      <c r="F74" s="65" t="s">
        <v>193</v>
      </c>
      <c r="G74" s="65" t="s">
        <v>194</v>
      </c>
      <c r="K74" s="81">
        <v>0.1</v>
      </c>
      <c r="L74" s="81">
        <v>0.9</v>
      </c>
      <c r="M74" s="81">
        <v>0.1</v>
      </c>
    </row>
    <row r="75" s="65" customFormat="1" customHeight="1" spans="1:13">
      <c r="A75" s="77">
        <v>72</v>
      </c>
      <c r="B75" s="78" t="str">
        <f t="shared" si="1"/>
        <v>Mother TinctureCactus Grand.</v>
      </c>
      <c r="C75" s="78" t="s">
        <v>107</v>
      </c>
      <c r="D75" s="78" t="s">
        <v>264</v>
      </c>
      <c r="E75" s="78" t="s">
        <v>264</v>
      </c>
      <c r="F75" s="65" t="s">
        <v>193</v>
      </c>
      <c r="G75" s="65" t="s">
        <v>194</v>
      </c>
      <c r="K75" s="81">
        <v>0.1</v>
      </c>
      <c r="L75" s="81">
        <v>0.9</v>
      </c>
      <c r="M75" s="81">
        <v>0.1</v>
      </c>
    </row>
    <row r="76" s="65" customFormat="1" customHeight="1" spans="1:13">
      <c r="A76" s="77">
        <v>73</v>
      </c>
      <c r="B76" s="78" t="str">
        <f t="shared" si="1"/>
        <v>Mother TinctureCaesalpinia</v>
      </c>
      <c r="C76" s="78" t="s">
        <v>107</v>
      </c>
      <c r="D76" s="78" t="s">
        <v>265</v>
      </c>
      <c r="E76" s="78" t="s">
        <v>265</v>
      </c>
      <c r="F76" s="65" t="s">
        <v>193</v>
      </c>
      <c r="G76" s="65" t="s">
        <v>194</v>
      </c>
      <c r="K76" s="81">
        <v>0.1</v>
      </c>
      <c r="L76" s="81">
        <v>0.9</v>
      </c>
      <c r="M76" s="81">
        <v>0.1</v>
      </c>
    </row>
    <row r="77" s="65" customFormat="1" customHeight="1" spans="1:13">
      <c r="A77" s="77">
        <v>74</v>
      </c>
      <c r="B77" s="78" t="str">
        <f t="shared" si="1"/>
        <v>Mother TinctureCalendula Off.</v>
      </c>
      <c r="C77" s="78" t="s">
        <v>107</v>
      </c>
      <c r="D77" s="78" t="s">
        <v>266</v>
      </c>
      <c r="E77" s="78" t="s">
        <v>266</v>
      </c>
      <c r="F77" s="65" t="s">
        <v>193</v>
      </c>
      <c r="G77" s="65" t="s">
        <v>194</v>
      </c>
      <c r="K77" s="81">
        <v>0.1</v>
      </c>
      <c r="L77" s="81">
        <v>0.9</v>
      </c>
      <c r="M77" s="81">
        <v>0.1</v>
      </c>
    </row>
    <row r="78" s="65" customFormat="1" customHeight="1" spans="1:13">
      <c r="A78" s="77">
        <v>75</v>
      </c>
      <c r="B78" s="78" t="str">
        <f t="shared" si="1"/>
        <v>Mother TinctureCalotropis Gig.</v>
      </c>
      <c r="C78" s="78" t="s">
        <v>107</v>
      </c>
      <c r="D78" s="78" t="s">
        <v>267</v>
      </c>
      <c r="E78" s="78" t="s">
        <v>267</v>
      </c>
      <c r="F78" s="65" t="s">
        <v>193</v>
      </c>
      <c r="G78" s="65" t="s">
        <v>194</v>
      </c>
      <c r="K78" s="81">
        <v>0.1</v>
      </c>
      <c r="L78" s="81">
        <v>0.9</v>
      </c>
      <c r="M78" s="81">
        <v>0.1</v>
      </c>
    </row>
    <row r="79" s="65" customFormat="1" customHeight="1" spans="1:13">
      <c r="A79" s="77">
        <v>76</v>
      </c>
      <c r="B79" s="78" t="str">
        <f t="shared" si="1"/>
        <v>Mother TinctureCamphora Off.</v>
      </c>
      <c r="C79" s="78" t="s">
        <v>107</v>
      </c>
      <c r="D79" s="78" t="s">
        <v>268</v>
      </c>
      <c r="E79" s="78" t="s">
        <v>268</v>
      </c>
      <c r="F79" s="65" t="s">
        <v>193</v>
      </c>
      <c r="G79" s="65" t="s">
        <v>194</v>
      </c>
      <c r="K79" s="81">
        <v>0.1</v>
      </c>
      <c r="L79" s="81">
        <v>0.9</v>
      </c>
      <c r="M79" s="81">
        <v>0.1</v>
      </c>
    </row>
    <row r="80" s="65" customFormat="1" customHeight="1" spans="1:13">
      <c r="A80" s="77">
        <v>77</v>
      </c>
      <c r="B80" s="78" t="str">
        <f t="shared" si="1"/>
        <v>Mother TinctureCantharis</v>
      </c>
      <c r="C80" s="78" t="s">
        <v>107</v>
      </c>
      <c r="D80" s="78" t="s">
        <v>269</v>
      </c>
      <c r="E80" s="78" t="s">
        <v>269</v>
      </c>
      <c r="F80" s="65" t="s">
        <v>193</v>
      </c>
      <c r="G80" s="65" t="s">
        <v>194</v>
      </c>
      <c r="K80" s="81">
        <v>0.1</v>
      </c>
      <c r="L80" s="81">
        <v>0.9</v>
      </c>
      <c r="M80" s="81">
        <v>0.1</v>
      </c>
    </row>
    <row r="81" s="65" customFormat="1" customHeight="1" spans="1:13">
      <c r="A81" s="77">
        <v>78</v>
      </c>
      <c r="B81" s="78" t="str">
        <f t="shared" si="1"/>
        <v>Mother TinctureCapsicum</v>
      </c>
      <c r="C81" s="78" t="s">
        <v>107</v>
      </c>
      <c r="D81" s="78" t="s">
        <v>270</v>
      </c>
      <c r="E81" s="78" t="s">
        <v>270</v>
      </c>
      <c r="F81" s="65" t="s">
        <v>193</v>
      </c>
      <c r="G81" s="65" t="s">
        <v>194</v>
      </c>
      <c r="K81" s="81">
        <v>0.1</v>
      </c>
      <c r="L81" s="81">
        <v>0.9</v>
      </c>
      <c r="M81" s="81">
        <v>0.1</v>
      </c>
    </row>
    <row r="82" s="65" customFormat="1" customHeight="1" spans="1:13">
      <c r="A82" s="77">
        <v>79</v>
      </c>
      <c r="B82" s="78" t="str">
        <f t="shared" si="1"/>
        <v>Mother TinctureCarduus Mar.</v>
      </c>
      <c r="C82" s="78" t="s">
        <v>107</v>
      </c>
      <c r="D82" s="78" t="s">
        <v>271</v>
      </c>
      <c r="E82" s="78" t="s">
        <v>271</v>
      </c>
      <c r="F82" s="65" t="s">
        <v>193</v>
      </c>
      <c r="G82" s="65" t="s">
        <v>194</v>
      </c>
      <c r="K82" s="81">
        <v>0.1</v>
      </c>
      <c r="L82" s="81">
        <v>0.9</v>
      </c>
      <c r="M82" s="81">
        <v>0.1</v>
      </c>
    </row>
    <row r="83" s="65" customFormat="1" customHeight="1" spans="1:13">
      <c r="A83" s="77">
        <v>80</v>
      </c>
      <c r="B83" s="78" t="str">
        <f t="shared" si="1"/>
        <v>Mother TinctureCarica Papaya</v>
      </c>
      <c r="C83" s="78" t="s">
        <v>107</v>
      </c>
      <c r="D83" s="78" t="s">
        <v>272</v>
      </c>
      <c r="E83" s="78" t="s">
        <v>272</v>
      </c>
      <c r="F83" s="65" t="s">
        <v>193</v>
      </c>
      <c r="G83" s="65" t="s">
        <v>194</v>
      </c>
      <c r="K83" s="81">
        <v>0.1</v>
      </c>
      <c r="L83" s="81">
        <v>0.9</v>
      </c>
      <c r="M83" s="81">
        <v>0.1</v>
      </c>
    </row>
    <row r="84" s="65" customFormat="1" customHeight="1" spans="1:13">
      <c r="A84" s="77">
        <v>81</v>
      </c>
      <c r="B84" s="78" t="str">
        <f t="shared" si="1"/>
        <v>Mother TinctureCascarilla</v>
      </c>
      <c r="C84" s="78" t="s">
        <v>107</v>
      </c>
      <c r="D84" s="78" t="s">
        <v>273</v>
      </c>
      <c r="E84" s="78" t="s">
        <v>273</v>
      </c>
      <c r="F84" s="65" t="s">
        <v>193</v>
      </c>
      <c r="G84" s="65" t="s">
        <v>194</v>
      </c>
      <c r="K84" s="81">
        <v>0.1</v>
      </c>
      <c r="L84" s="81">
        <v>0.9</v>
      </c>
      <c r="M84" s="81">
        <v>0.1</v>
      </c>
    </row>
    <row r="85" s="65" customFormat="1" customHeight="1" spans="1:13">
      <c r="A85" s="77">
        <v>82</v>
      </c>
      <c r="B85" s="78" t="str">
        <f t="shared" si="1"/>
        <v>Mother TinctureCassia Soph.</v>
      </c>
      <c r="C85" s="78" t="s">
        <v>107</v>
      </c>
      <c r="D85" s="78" t="s">
        <v>274</v>
      </c>
      <c r="E85" s="78" t="s">
        <v>274</v>
      </c>
      <c r="F85" s="65" t="s">
        <v>193</v>
      </c>
      <c r="G85" s="65" t="s">
        <v>194</v>
      </c>
      <c r="K85" s="81">
        <v>0.1</v>
      </c>
      <c r="L85" s="81">
        <v>0.9</v>
      </c>
      <c r="M85" s="81">
        <v>0.1</v>
      </c>
    </row>
    <row r="86" s="65" customFormat="1" customHeight="1" spans="1:13">
      <c r="A86" s="77">
        <v>83</v>
      </c>
      <c r="B86" s="78" t="str">
        <f t="shared" si="1"/>
        <v>Mother TinctureCastella Tex (Chaparro A)</v>
      </c>
      <c r="C86" s="78" t="s">
        <v>107</v>
      </c>
      <c r="D86" s="78" t="s">
        <v>275</v>
      </c>
      <c r="E86" s="78" t="s">
        <v>275</v>
      </c>
      <c r="F86" s="65" t="s">
        <v>193</v>
      </c>
      <c r="G86" s="65" t="s">
        <v>194</v>
      </c>
      <c r="K86" s="81">
        <v>0.1</v>
      </c>
      <c r="L86" s="81">
        <v>0.9</v>
      </c>
      <c r="M86" s="81">
        <v>0.1</v>
      </c>
    </row>
    <row r="87" s="65" customFormat="1" customHeight="1" spans="1:13">
      <c r="A87" s="77">
        <v>84</v>
      </c>
      <c r="B87" s="78" t="str">
        <f t="shared" si="1"/>
        <v>Mother TinctureCatharanthus Roseus (Vinca Ros)</v>
      </c>
      <c r="C87" s="78" t="s">
        <v>107</v>
      </c>
      <c r="D87" s="78" t="s">
        <v>276</v>
      </c>
      <c r="E87" s="78" t="s">
        <v>276</v>
      </c>
      <c r="F87" s="65" t="s">
        <v>193</v>
      </c>
      <c r="G87" s="65" t="s">
        <v>194</v>
      </c>
      <c r="K87" s="81">
        <v>0.1</v>
      </c>
      <c r="L87" s="81">
        <v>0.9</v>
      </c>
      <c r="M87" s="81">
        <v>0.1</v>
      </c>
    </row>
    <row r="88" s="65" customFormat="1" customHeight="1" spans="1:13">
      <c r="A88" s="77">
        <v>85</v>
      </c>
      <c r="B88" s="78" t="str">
        <f t="shared" si="1"/>
        <v>Mother TinctureCaulophylum</v>
      </c>
      <c r="C88" s="78" t="s">
        <v>107</v>
      </c>
      <c r="D88" s="78" t="s">
        <v>277</v>
      </c>
      <c r="E88" s="78" t="s">
        <v>277</v>
      </c>
      <c r="F88" s="65" t="s">
        <v>193</v>
      </c>
      <c r="G88" s="65" t="s">
        <v>194</v>
      </c>
      <c r="K88" s="81">
        <v>0.1</v>
      </c>
      <c r="L88" s="81">
        <v>0.9</v>
      </c>
      <c r="M88" s="81">
        <v>0.1</v>
      </c>
    </row>
    <row r="89" s="65" customFormat="1" customHeight="1" spans="1:13">
      <c r="A89" s="77">
        <v>86</v>
      </c>
      <c r="B89" s="78" t="str">
        <f t="shared" si="1"/>
        <v>Mother TinctureCeanothus Amer.</v>
      </c>
      <c r="C89" s="78" t="s">
        <v>107</v>
      </c>
      <c r="D89" s="79" t="s">
        <v>278</v>
      </c>
      <c r="E89" s="79" t="s">
        <v>278</v>
      </c>
      <c r="F89" s="65" t="s">
        <v>193</v>
      </c>
      <c r="G89" s="65" t="s">
        <v>194</v>
      </c>
      <c r="K89" s="81">
        <v>0.1</v>
      </c>
      <c r="L89" s="81">
        <v>0.9</v>
      </c>
      <c r="M89" s="81">
        <v>0.1</v>
      </c>
    </row>
    <row r="90" s="65" customFormat="1" customHeight="1" spans="1:13">
      <c r="A90" s="77">
        <v>87</v>
      </c>
      <c r="B90" s="78" t="str">
        <f t="shared" si="1"/>
        <v>Mother TinctureCedron.</v>
      </c>
      <c r="C90" s="78" t="s">
        <v>107</v>
      </c>
      <c r="D90" s="79" t="s">
        <v>279</v>
      </c>
      <c r="E90" s="79" t="s">
        <v>279</v>
      </c>
      <c r="F90" s="65" t="s">
        <v>193</v>
      </c>
      <c r="G90" s="65" t="s">
        <v>194</v>
      </c>
      <c r="K90" s="81">
        <v>0.1</v>
      </c>
      <c r="L90" s="81">
        <v>0.9</v>
      </c>
      <c r="M90" s="81">
        <v>0.1</v>
      </c>
    </row>
    <row r="91" s="65" customFormat="1" customHeight="1" spans="1:13">
      <c r="A91" s="77">
        <v>88</v>
      </c>
      <c r="B91" s="78" t="str">
        <f t="shared" si="1"/>
        <v>Mother TinctureCephalandra Ind.</v>
      </c>
      <c r="C91" s="78" t="s">
        <v>107</v>
      </c>
      <c r="D91" s="79" t="s">
        <v>280</v>
      </c>
      <c r="E91" s="79" t="s">
        <v>280</v>
      </c>
      <c r="F91" s="65" t="s">
        <v>193</v>
      </c>
      <c r="G91" s="65" t="s">
        <v>194</v>
      </c>
      <c r="K91" s="81">
        <v>0.1</v>
      </c>
      <c r="L91" s="81">
        <v>0.9</v>
      </c>
      <c r="M91" s="81">
        <v>0.1</v>
      </c>
    </row>
    <row r="92" s="65" customFormat="1" customHeight="1" spans="1:13">
      <c r="A92" s="77">
        <v>89</v>
      </c>
      <c r="B92" s="78" t="str">
        <f t="shared" si="1"/>
        <v>Mother TinctureChamomilla</v>
      </c>
      <c r="C92" s="78" t="s">
        <v>107</v>
      </c>
      <c r="D92" s="79" t="s">
        <v>281</v>
      </c>
      <c r="E92" s="79" t="s">
        <v>281</v>
      </c>
      <c r="F92" s="65" t="s">
        <v>193</v>
      </c>
      <c r="G92" s="65" t="s">
        <v>194</v>
      </c>
      <c r="K92" s="81">
        <v>0.1</v>
      </c>
      <c r="L92" s="81">
        <v>0.9</v>
      </c>
      <c r="M92" s="81">
        <v>0.1</v>
      </c>
    </row>
    <row r="93" s="65" customFormat="1" customHeight="1" spans="1:13">
      <c r="A93" s="77">
        <v>90</v>
      </c>
      <c r="B93" s="78" t="str">
        <f t="shared" si="1"/>
        <v>Mother TinctureChaparro Amar (Castella T)</v>
      </c>
      <c r="C93" s="78" t="s">
        <v>107</v>
      </c>
      <c r="D93" s="79" t="s">
        <v>282</v>
      </c>
      <c r="E93" s="79" t="s">
        <v>282</v>
      </c>
      <c r="F93" s="65" t="s">
        <v>193</v>
      </c>
      <c r="G93" s="65" t="s">
        <v>194</v>
      </c>
      <c r="K93" s="81">
        <v>0.1</v>
      </c>
      <c r="L93" s="81">
        <v>0.9</v>
      </c>
      <c r="M93" s="81">
        <v>0.1</v>
      </c>
    </row>
    <row r="94" s="65" customFormat="1" customHeight="1" spans="1:13">
      <c r="A94" s="77">
        <v>91</v>
      </c>
      <c r="B94" s="78" t="str">
        <f t="shared" si="1"/>
        <v>Mother TinctureChelidonium Maj</v>
      </c>
      <c r="C94" s="78" t="s">
        <v>107</v>
      </c>
      <c r="D94" s="79" t="s">
        <v>283</v>
      </c>
      <c r="E94" s="79" t="s">
        <v>283</v>
      </c>
      <c r="F94" s="65" t="s">
        <v>193</v>
      </c>
      <c r="G94" s="65" t="s">
        <v>194</v>
      </c>
      <c r="K94" s="81">
        <v>0.1</v>
      </c>
      <c r="L94" s="81">
        <v>0.9</v>
      </c>
      <c r="M94" s="81">
        <v>0.1</v>
      </c>
    </row>
    <row r="95" s="65" customFormat="1" customHeight="1" spans="1:13">
      <c r="A95" s="77">
        <v>92</v>
      </c>
      <c r="B95" s="78" t="str">
        <f t="shared" si="1"/>
        <v>Mother TinctureChelone Glab.</v>
      </c>
      <c r="C95" s="78" t="s">
        <v>107</v>
      </c>
      <c r="D95" s="79" t="s">
        <v>284</v>
      </c>
      <c r="E95" s="79" t="s">
        <v>284</v>
      </c>
      <c r="F95" s="65" t="s">
        <v>193</v>
      </c>
      <c r="G95" s="65" t="s">
        <v>194</v>
      </c>
      <c r="K95" s="81">
        <v>0.1</v>
      </c>
      <c r="L95" s="81">
        <v>0.9</v>
      </c>
      <c r="M95" s="81">
        <v>0.1</v>
      </c>
    </row>
    <row r="96" s="65" customFormat="1" customHeight="1" spans="1:13">
      <c r="A96" s="77">
        <v>93</v>
      </c>
      <c r="B96" s="78" t="str">
        <f t="shared" si="1"/>
        <v>Mother TinctureChenopod Anth</v>
      </c>
      <c r="C96" s="78" t="s">
        <v>107</v>
      </c>
      <c r="D96" s="79" t="s">
        <v>285</v>
      </c>
      <c r="E96" s="79" t="s">
        <v>285</v>
      </c>
      <c r="F96" s="65" t="s">
        <v>193</v>
      </c>
      <c r="G96" s="65" t="s">
        <v>194</v>
      </c>
      <c r="K96" s="81">
        <v>0.1</v>
      </c>
      <c r="L96" s="81">
        <v>0.9</v>
      </c>
      <c r="M96" s="81">
        <v>0.1</v>
      </c>
    </row>
    <row r="97" s="65" customFormat="1" customHeight="1" spans="1:13">
      <c r="A97" s="77">
        <v>94</v>
      </c>
      <c r="B97" s="78" t="str">
        <f t="shared" si="1"/>
        <v>Mother TinctureChimaphila Umb.</v>
      </c>
      <c r="C97" s="78" t="s">
        <v>107</v>
      </c>
      <c r="D97" s="79" t="s">
        <v>286</v>
      </c>
      <c r="E97" s="79" t="s">
        <v>286</v>
      </c>
      <c r="F97" s="65" t="s">
        <v>193</v>
      </c>
      <c r="G97" s="65" t="s">
        <v>194</v>
      </c>
      <c r="K97" s="81">
        <v>0.1</v>
      </c>
      <c r="L97" s="81">
        <v>0.9</v>
      </c>
      <c r="M97" s="81">
        <v>0.1</v>
      </c>
    </row>
    <row r="98" s="65" customFormat="1" customHeight="1" spans="1:13">
      <c r="A98" s="77">
        <v>95</v>
      </c>
      <c r="B98" s="78" t="str">
        <f t="shared" si="1"/>
        <v>Mother TinctureChina Off. (Cinchona Off.)</v>
      </c>
      <c r="C98" s="78" t="s">
        <v>107</v>
      </c>
      <c r="D98" s="79" t="s">
        <v>287</v>
      </c>
      <c r="E98" s="79" t="s">
        <v>287</v>
      </c>
      <c r="F98" s="65" t="s">
        <v>193</v>
      </c>
      <c r="G98" s="65" t="s">
        <v>194</v>
      </c>
      <c r="K98" s="81">
        <v>0.1</v>
      </c>
      <c r="L98" s="81">
        <v>0.9</v>
      </c>
      <c r="M98" s="81">
        <v>0.1</v>
      </c>
    </row>
    <row r="99" s="65" customFormat="1" customHeight="1" spans="1:13">
      <c r="A99" s="77">
        <v>96</v>
      </c>
      <c r="B99" s="78" t="str">
        <f t="shared" si="1"/>
        <v>Mother TinctureChionanthus Virg.</v>
      </c>
      <c r="C99" s="78" t="s">
        <v>107</v>
      </c>
      <c r="D99" s="79" t="s">
        <v>288</v>
      </c>
      <c r="E99" s="79" t="s">
        <v>288</v>
      </c>
      <c r="F99" s="65" t="s">
        <v>193</v>
      </c>
      <c r="G99" s="65" t="s">
        <v>194</v>
      </c>
      <c r="K99" s="81">
        <v>0.1</v>
      </c>
      <c r="L99" s="81">
        <v>0.9</v>
      </c>
      <c r="M99" s="81">
        <v>0.1</v>
      </c>
    </row>
    <row r="100" s="65" customFormat="1" customHeight="1" spans="1:13">
      <c r="A100" s="77">
        <v>97</v>
      </c>
      <c r="B100" s="78" t="str">
        <f t="shared" si="1"/>
        <v>Mother TinctureCicuta Virosa.</v>
      </c>
      <c r="C100" s="78" t="s">
        <v>107</v>
      </c>
      <c r="D100" s="79" t="s">
        <v>289</v>
      </c>
      <c r="E100" s="79" t="s">
        <v>289</v>
      </c>
      <c r="F100" s="65" t="s">
        <v>193</v>
      </c>
      <c r="G100" s="65" t="s">
        <v>194</v>
      </c>
      <c r="K100" s="81">
        <v>0.1</v>
      </c>
      <c r="L100" s="81">
        <v>0.9</v>
      </c>
      <c r="M100" s="81">
        <v>0.1</v>
      </c>
    </row>
    <row r="101" s="65" customFormat="1" customHeight="1" spans="1:13">
      <c r="A101" s="77">
        <v>98</v>
      </c>
      <c r="B101" s="78" t="str">
        <f t="shared" si="1"/>
        <v>Mother TinctureCimicifugua (Actea Rac)</v>
      </c>
      <c r="C101" s="78" t="s">
        <v>107</v>
      </c>
      <c r="D101" s="79" t="s">
        <v>290</v>
      </c>
      <c r="E101" s="79" t="s">
        <v>290</v>
      </c>
      <c r="F101" s="65" t="s">
        <v>193</v>
      </c>
      <c r="G101" s="65" t="s">
        <v>194</v>
      </c>
      <c r="K101" s="81">
        <v>0.1</v>
      </c>
      <c r="L101" s="81">
        <v>0.9</v>
      </c>
      <c r="M101" s="81">
        <v>0.1</v>
      </c>
    </row>
    <row r="102" s="65" customFormat="1" customHeight="1" spans="1:13">
      <c r="A102" s="77">
        <v>99</v>
      </c>
      <c r="B102" s="78" t="str">
        <f t="shared" si="1"/>
        <v>Mother TinctureCina</v>
      </c>
      <c r="C102" s="78" t="s">
        <v>107</v>
      </c>
      <c r="D102" s="79" t="s">
        <v>291</v>
      </c>
      <c r="E102" s="79" t="s">
        <v>291</v>
      </c>
      <c r="F102" s="65" t="s">
        <v>193</v>
      </c>
      <c r="G102" s="65" t="s">
        <v>194</v>
      </c>
      <c r="K102" s="81">
        <v>0.1</v>
      </c>
      <c r="L102" s="81">
        <v>0.9</v>
      </c>
      <c r="M102" s="81">
        <v>0.1</v>
      </c>
    </row>
    <row r="103" s="65" customFormat="1" customHeight="1" spans="1:13">
      <c r="A103" s="77">
        <v>100</v>
      </c>
      <c r="B103" s="78" t="str">
        <f t="shared" si="1"/>
        <v>Mother TinctureCineraria Mar</v>
      </c>
      <c r="C103" s="78" t="s">
        <v>107</v>
      </c>
      <c r="D103" s="79" t="s">
        <v>292</v>
      </c>
      <c r="E103" s="79" t="s">
        <v>292</v>
      </c>
      <c r="F103" s="65" t="s">
        <v>193</v>
      </c>
      <c r="G103" s="65" t="s">
        <v>194</v>
      </c>
      <c r="K103" s="81">
        <v>0.1</v>
      </c>
      <c r="L103" s="81">
        <v>0.9</v>
      </c>
      <c r="M103" s="81">
        <v>0.1</v>
      </c>
    </row>
    <row r="104" s="65" customFormat="1" customHeight="1" spans="1:13">
      <c r="A104" s="77">
        <v>101</v>
      </c>
      <c r="B104" s="78" t="str">
        <f t="shared" si="1"/>
        <v>Mother TinctureCocculus Ind.</v>
      </c>
      <c r="C104" s="78" t="s">
        <v>107</v>
      </c>
      <c r="D104" s="79" t="s">
        <v>293</v>
      </c>
      <c r="E104" s="79" t="s">
        <v>293</v>
      </c>
      <c r="F104" s="65" t="s">
        <v>193</v>
      </c>
      <c r="G104" s="65" t="s">
        <v>194</v>
      </c>
      <c r="K104" s="81">
        <v>0.1</v>
      </c>
      <c r="L104" s="81">
        <v>0.9</v>
      </c>
      <c r="M104" s="81">
        <v>0.1</v>
      </c>
    </row>
    <row r="105" s="65" customFormat="1" customHeight="1" spans="1:13">
      <c r="A105" s="77">
        <v>102</v>
      </c>
      <c r="B105" s="78" t="str">
        <f t="shared" si="1"/>
        <v>Mother TinctureCoccus Cacti.</v>
      </c>
      <c r="C105" s="78" t="s">
        <v>107</v>
      </c>
      <c r="D105" s="79" t="s">
        <v>294</v>
      </c>
      <c r="E105" s="79" t="s">
        <v>294</v>
      </c>
      <c r="F105" s="65" t="s">
        <v>193</v>
      </c>
      <c r="G105" s="65" t="s">
        <v>194</v>
      </c>
      <c r="K105" s="81">
        <v>0.1</v>
      </c>
      <c r="L105" s="81">
        <v>0.9</v>
      </c>
      <c r="M105" s="81">
        <v>0.1</v>
      </c>
    </row>
    <row r="106" s="65" customFormat="1" customHeight="1" spans="1:13">
      <c r="A106" s="77">
        <v>103</v>
      </c>
      <c r="B106" s="78" t="str">
        <f t="shared" si="1"/>
        <v>Mother TinctureCoffea Crud.</v>
      </c>
      <c r="C106" s="78" t="s">
        <v>107</v>
      </c>
      <c r="D106" s="79" t="s">
        <v>295</v>
      </c>
      <c r="E106" s="79" t="s">
        <v>295</v>
      </c>
      <c r="F106" s="65" t="s">
        <v>193</v>
      </c>
      <c r="G106" s="65" t="s">
        <v>194</v>
      </c>
      <c r="K106" s="81">
        <v>0.1</v>
      </c>
      <c r="L106" s="81">
        <v>0.9</v>
      </c>
      <c r="M106" s="81">
        <v>0.1</v>
      </c>
    </row>
    <row r="107" s="65" customFormat="1" customHeight="1" spans="1:13">
      <c r="A107" s="77">
        <v>104</v>
      </c>
      <c r="B107" s="78" t="str">
        <f t="shared" si="1"/>
        <v>Mother TinctureColchicum</v>
      </c>
      <c r="C107" s="78" t="s">
        <v>107</v>
      </c>
      <c r="D107" s="79" t="s">
        <v>296</v>
      </c>
      <c r="E107" s="79" t="s">
        <v>296</v>
      </c>
      <c r="F107" s="65" t="s">
        <v>193</v>
      </c>
      <c r="G107" s="65" t="s">
        <v>194</v>
      </c>
      <c r="K107" s="81">
        <v>0.1</v>
      </c>
      <c r="L107" s="81">
        <v>0.9</v>
      </c>
      <c r="M107" s="81">
        <v>0.1</v>
      </c>
    </row>
    <row r="108" s="65" customFormat="1" customHeight="1" spans="1:13">
      <c r="A108" s="77">
        <v>105</v>
      </c>
      <c r="B108" s="78" t="str">
        <f t="shared" si="1"/>
        <v>Mother TinctureCollinsonia</v>
      </c>
      <c r="C108" s="78" t="s">
        <v>107</v>
      </c>
      <c r="D108" s="79" t="s">
        <v>297</v>
      </c>
      <c r="E108" s="79" t="s">
        <v>297</v>
      </c>
      <c r="F108" s="65" t="s">
        <v>193</v>
      </c>
      <c r="G108" s="65" t="s">
        <v>194</v>
      </c>
      <c r="K108" s="81">
        <v>0.1</v>
      </c>
      <c r="L108" s="81">
        <v>0.9</v>
      </c>
      <c r="M108" s="81">
        <v>0.1</v>
      </c>
    </row>
    <row r="109" s="65" customFormat="1" customHeight="1" spans="1:13">
      <c r="A109" s="77">
        <v>106</v>
      </c>
      <c r="B109" s="78" t="str">
        <f t="shared" si="1"/>
        <v>Mother TinctureColocynthis</v>
      </c>
      <c r="C109" s="78" t="s">
        <v>107</v>
      </c>
      <c r="D109" s="79" t="s">
        <v>298</v>
      </c>
      <c r="E109" s="79" t="s">
        <v>298</v>
      </c>
      <c r="F109" s="65" t="s">
        <v>193</v>
      </c>
      <c r="G109" s="65" t="s">
        <v>194</v>
      </c>
      <c r="K109" s="81">
        <v>0.1</v>
      </c>
      <c r="L109" s="81">
        <v>0.9</v>
      </c>
      <c r="M109" s="81">
        <v>0.1</v>
      </c>
    </row>
    <row r="110" s="65" customFormat="1" customHeight="1" spans="1:13">
      <c r="A110" s="77">
        <v>107</v>
      </c>
      <c r="B110" s="78" t="str">
        <f t="shared" si="1"/>
        <v>Mother TinctureCondurango</v>
      </c>
      <c r="C110" s="78" t="s">
        <v>107</v>
      </c>
      <c r="D110" s="79" t="s">
        <v>299</v>
      </c>
      <c r="E110" s="79" t="s">
        <v>299</v>
      </c>
      <c r="F110" s="65" t="s">
        <v>193</v>
      </c>
      <c r="G110" s="65" t="s">
        <v>194</v>
      </c>
      <c r="K110" s="81">
        <v>0.1</v>
      </c>
      <c r="L110" s="81">
        <v>0.9</v>
      </c>
      <c r="M110" s="81">
        <v>0.1</v>
      </c>
    </row>
    <row r="111" s="65" customFormat="1" customHeight="1" spans="1:13">
      <c r="A111" s="77">
        <v>108</v>
      </c>
      <c r="B111" s="78" t="str">
        <f t="shared" si="1"/>
        <v>Mother TinctureConvallaria M.</v>
      </c>
      <c r="C111" s="78" t="s">
        <v>107</v>
      </c>
      <c r="D111" s="79" t="s">
        <v>300</v>
      </c>
      <c r="E111" s="79" t="s">
        <v>300</v>
      </c>
      <c r="F111" s="65" t="s">
        <v>193</v>
      </c>
      <c r="G111" s="65" t="s">
        <v>194</v>
      </c>
      <c r="K111" s="81">
        <v>0.1</v>
      </c>
      <c r="L111" s="81">
        <v>0.9</v>
      </c>
      <c r="M111" s="81">
        <v>0.1</v>
      </c>
    </row>
    <row r="112" s="65" customFormat="1" customHeight="1" spans="1:13">
      <c r="A112" s="77">
        <v>109</v>
      </c>
      <c r="B112" s="78" t="str">
        <f t="shared" si="1"/>
        <v>Mother TinctureCopaiva Off.</v>
      </c>
      <c r="C112" s="78" t="s">
        <v>107</v>
      </c>
      <c r="D112" s="78" t="s">
        <v>301</v>
      </c>
      <c r="E112" s="78" t="s">
        <v>301</v>
      </c>
      <c r="F112" s="65" t="s">
        <v>193</v>
      </c>
      <c r="G112" s="65" t="s">
        <v>194</v>
      </c>
      <c r="K112" s="81">
        <v>0.1</v>
      </c>
      <c r="L112" s="81">
        <v>0.9</v>
      </c>
      <c r="M112" s="81">
        <v>0.1</v>
      </c>
    </row>
    <row r="113" s="65" customFormat="1" customHeight="1" spans="1:13">
      <c r="A113" s="77">
        <v>110</v>
      </c>
      <c r="B113" s="78" t="str">
        <f t="shared" si="1"/>
        <v>Mother TinctureCrataegus Ox.</v>
      </c>
      <c r="C113" s="78" t="s">
        <v>107</v>
      </c>
      <c r="D113" s="78" t="s">
        <v>302</v>
      </c>
      <c r="E113" s="78" t="s">
        <v>302</v>
      </c>
      <c r="F113" s="65" t="s">
        <v>193</v>
      </c>
      <c r="G113" s="65" t="s">
        <v>194</v>
      </c>
      <c r="K113" s="81">
        <v>0.1</v>
      </c>
      <c r="L113" s="81">
        <v>0.9</v>
      </c>
      <c r="M113" s="81">
        <v>0.1</v>
      </c>
    </row>
    <row r="114" s="65" customFormat="1" customHeight="1" spans="1:13">
      <c r="A114" s="77">
        <v>111</v>
      </c>
      <c r="B114" s="78" t="str">
        <f t="shared" si="1"/>
        <v>Mother TinctureCroton Tig.</v>
      </c>
      <c r="C114" s="78" t="s">
        <v>107</v>
      </c>
      <c r="D114" s="78" t="s">
        <v>303</v>
      </c>
      <c r="E114" s="78" t="s">
        <v>303</v>
      </c>
      <c r="F114" s="65" t="s">
        <v>193</v>
      </c>
      <c r="G114" s="65" t="s">
        <v>194</v>
      </c>
      <c r="K114" s="81">
        <v>0.1</v>
      </c>
      <c r="L114" s="81">
        <v>0.9</v>
      </c>
      <c r="M114" s="81">
        <v>0.1</v>
      </c>
    </row>
    <row r="115" s="65" customFormat="1" customHeight="1" spans="1:13">
      <c r="A115" s="77">
        <v>112</v>
      </c>
      <c r="B115" s="78" t="str">
        <f t="shared" si="1"/>
        <v>Mother TinctureCurcuma Longa</v>
      </c>
      <c r="C115" s="78" t="s">
        <v>107</v>
      </c>
      <c r="D115" s="78" t="s">
        <v>304</v>
      </c>
      <c r="E115" s="78" t="s">
        <v>304</v>
      </c>
      <c r="F115" s="65" t="s">
        <v>193</v>
      </c>
      <c r="G115" s="65" t="s">
        <v>194</v>
      </c>
      <c r="K115" s="81">
        <v>0.1</v>
      </c>
      <c r="L115" s="81">
        <v>0.9</v>
      </c>
      <c r="M115" s="81">
        <v>0.1</v>
      </c>
    </row>
    <row r="116" s="65" customFormat="1" customHeight="1" spans="1:13">
      <c r="A116" s="77">
        <v>113</v>
      </c>
      <c r="B116" s="78" t="str">
        <f t="shared" si="1"/>
        <v>Mother TinctureCynadon Da.</v>
      </c>
      <c r="C116" s="78" t="s">
        <v>107</v>
      </c>
      <c r="D116" s="78" t="s">
        <v>305</v>
      </c>
      <c r="E116" s="78" t="s">
        <v>305</v>
      </c>
      <c r="F116" s="65" t="s">
        <v>193</v>
      </c>
      <c r="G116" s="65" t="s">
        <v>194</v>
      </c>
      <c r="K116" s="81">
        <v>0.1</v>
      </c>
      <c r="L116" s="81">
        <v>0.9</v>
      </c>
      <c r="M116" s="81">
        <v>0.1</v>
      </c>
    </row>
    <row r="117" s="65" customFormat="1" customHeight="1" spans="1:13">
      <c r="A117" s="77">
        <v>114</v>
      </c>
      <c r="B117" s="78" t="str">
        <f t="shared" si="1"/>
        <v>Mother TinctureDaminana (Turnera)</v>
      </c>
      <c r="C117" s="78" t="s">
        <v>107</v>
      </c>
      <c r="D117" s="78" t="s">
        <v>306</v>
      </c>
      <c r="E117" s="78" t="s">
        <v>306</v>
      </c>
      <c r="F117" s="65" t="s">
        <v>193</v>
      </c>
      <c r="G117" s="65" t="s">
        <v>194</v>
      </c>
      <c r="K117" s="81">
        <v>0.1</v>
      </c>
      <c r="L117" s="81">
        <v>0.9</v>
      </c>
      <c r="M117" s="81">
        <v>0.1</v>
      </c>
    </row>
    <row r="118" s="65" customFormat="1" customHeight="1" spans="1:13">
      <c r="A118" s="77">
        <v>115</v>
      </c>
      <c r="B118" s="78" t="str">
        <f t="shared" si="1"/>
        <v>Mother TinctureDigitalis Purp.</v>
      </c>
      <c r="C118" s="78" t="s">
        <v>107</v>
      </c>
      <c r="D118" s="78" t="s">
        <v>307</v>
      </c>
      <c r="E118" s="78" t="s">
        <v>307</v>
      </c>
      <c r="F118" s="65" t="s">
        <v>193</v>
      </c>
      <c r="G118" s="65" t="s">
        <v>194</v>
      </c>
      <c r="K118" s="81">
        <v>0.1</v>
      </c>
      <c r="L118" s="81">
        <v>0.9</v>
      </c>
      <c r="M118" s="81">
        <v>0.1</v>
      </c>
    </row>
    <row r="119" s="65" customFormat="1" customHeight="1" spans="1:13">
      <c r="A119" s="77">
        <v>116</v>
      </c>
      <c r="B119" s="78" t="str">
        <f t="shared" si="1"/>
        <v>Mother TinctureDioscorea V.</v>
      </c>
      <c r="C119" s="78" t="s">
        <v>107</v>
      </c>
      <c r="D119" s="78" t="s">
        <v>308</v>
      </c>
      <c r="E119" s="78" t="s">
        <v>308</v>
      </c>
      <c r="F119" s="65" t="s">
        <v>193</v>
      </c>
      <c r="G119" s="65" t="s">
        <v>194</v>
      </c>
      <c r="K119" s="81">
        <v>0.1</v>
      </c>
      <c r="L119" s="81">
        <v>0.9</v>
      </c>
      <c r="M119" s="81">
        <v>0.1</v>
      </c>
    </row>
    <row r="120" s="65" customFormat="1" customHeight="1" spans="1:13">
      <c r="A120" s="77">
        <v>117</v>
      </c>
      <c r="B120" s="78" t="str">
        <f t="shared" si="1"/>
        <v>Mother TinctureDolichos Pru.</v>
      </c>
      <c r="C120" s="78" t="s">
        <v>107</v>
      </c>
      <c r="D120" s="78" t="s">
        <v>309</v>
      </c>
      <c r="E120" s="78" t="s">
        <v>309</v>
      </c>
      <c r="F120" s="65" t="s">
        <v>193</v>
      </c>
      <c r="G120" s="65" t="s">
        <v>194</v>
      </c>
      <c r="K120" s="81">
        <v>0.1</v>
      </c>
      <c r="L120" s="81">
        <v>0.9</v>
      </c>
      <c r="M120" s="81">
        <v>0.1</v>
      </c>
    </row>
    <row r="121" s="65" customFormat="1" customHeight="1" spans="1:13">
      <c r="A121" s="77">
        <v>118</v>
      </c>
      <c r="B121" s="78" t="str">
        <f t="shared" si="1"/>
        <v>Mother TinctureDrosera Rot.</v>
      </c>
      <c r="C121" s="78" t="s">
        <v>107</v>
      </c>
      <c r="D121" s="78" t="s">
        <v>310</v>
      </c>
      <c r="E121" s="78" t="s">
        <v>310</v>
      </c>
      <c r="F121" s="65" t="s">
        <v>193</v>
      </c>
      <c r="G121" s="65" t="s">
        <v>194</v>
      </c>
      <c r="K121" s="81">
        <v>0.1</v>
      </c>
      <c r="L121" s="81">
        <v>0.9</v>
      </c>
      <c r="M121" s="81">
        <v>0.1</v>
      </c>
    </row>
    <row r="122" s="65" customFormat="1" customHeight="1" spans="1:13">
      <c r="A122" s="77">
        <v>119</v>
      </c>
      <c r="B122" s="78" t="str">
        <f t="shared" si="1"/>
        <v>Mother TinctureDulcamara</v>
      </c>
      <c r="C122" s="78" t="s">
        <v>107</v>
      </c>
      <c r="D122" s="78" t="s">
        <v>311</v>
      </c>
      <c r="E122" s="78" t="s">
        <v>311</v>
      </c>
      <c r="F122" s="65" t="s">
        <v>193</v>
      </c>
      <c r="G122" s="65" t="s">
        <v>194</v>
      </c>
      <c r="K122" s="81">
        <v>0.1</v>
      </c>
      <c r="L122" s="81">
        <v>0.9</v>
      </c>
      <c r="M122" s="81">
        <v>0.1</v>
      </c>
    </row>
    <row r="123" s="65" customFormat="1" customHeight="1" spans="1:13">
      <c r="A123" s="77">
        <v>120</v>
      </c>
      <c r="B123" s="78" t="str">
        <f t="shared" si="1"/>
        <v>Mother TinctureEchinacea Ang.</v>
      </c>
      <c r="C123" s="78" t="s">
        <v>107</v>
      </c>
      <c r="D123" s="78" t="s">
        <v>312</v>
      </c>
      <c r="E123" s="78" t="s">
        <v>312</v>
      </c>
      <c r="F123" s="65" t="s">
        <v>193</v>
      </c>
      <c r="G123" s="65" t="s">
        <v>194</v>
      </c>
      <c r="K123" s="81">
        <v>0.1</v>
      </c>
      <c r="L123" s="81">
        <v>0.9</v>
      </c>
      <c r="M123" s="81">
        <v>0.1</v>
      </c>
    </row>
    <row r="124" s="65" customFormat="1" customHeight="1" spans="1:13">
      <c r="A124" s="77">
        <v>121</v>
      </c>
      <c r="B124" s="78" t="str">
        <f t="shared" si="1"/>
        <v>Mother TinctureEquisetum Hym</v>
      </c>
      <c r="C124" s="78" t="s">
        <v>107</v>
      </c>
      <c r="D124" s="78" t="s">
        <v>313</v>
      </c>
      <c r="E124" s="78" t="s">
        <v>313</v>
      </c>
      <c r="F124" s="65" t="s">
        <v>193</v>
      </c>
      <c r="G124" s="65" t="s">
        <v>194</v>
      </c>
      <c r="K124" s="81">
        <v>0.1</v>
      </c>
      <c r="L124" s="81">
        <v>0.9</v>
      </c>
      <c r="M124" s="81">
        <v>0.1</v>
      </c>
    </row>
    <row r="125" s="65" customFormat="1" customHeight="1" spans="1:13">
      <c r="A125" s="77">
        <v>122</v>
      </c>
      <c r="B125" s="78" t="str">
        <f t="shared" si="1"/>
        <v>Mother TinctureErigeron can</v>
      </c>
      <c r="C125" s="78" t="s">
        <v>107</v>
      </c>
      <c r="D125" s="78" t="s">
        <v>314</v>
      </c>
      <c r="E125" s="78" t="s">
        <v>314</v>
      </c>
      <c r="F125" s="65" t="s">
        <v>193</v>
      </c>
      <c r="G125" s="65" t="s">
        <v>194</v>
      </c>
      <c r="K125" s="81">
        <v>0.1</v>
      </c>
      <c r="L125" s="81">
        <v>0.9</v>
      </c>
      <c r="M125" s="81">
        <v>0.1</v>
      </c>
    </row>
    <row r="126" s="65" customFormat="1" customHeight="1" spans="1:13">
      <c r="A126" s="77">
        <v>123</v>
      </c>
      <c r="B126" s="78" t="str">
        <f t="shared" si="1"/>
        <v>Mother TinctureEriodictyon G (Yerba Santha)</v>
      </c>
      <c r="C126" s="78" t="s">
        <v>107</v>
      </c>
      <c r="D126" s="78" t="s">
        <v>315</v>
      </c>
      <c r="E126" s="78" t="s">
        <v>315</v>
      </c>
      <c r="F126" s="65" t="s">
        <v>193</v>
      </c>
      <c r="G126" s="65" t="s">
        <v>194</v>
      </c>
      <c r="K126" s="81">
        <v>0.1</v>
      </c>
      <c r="L126" s="81">
        <v>0.9</v>
      </c>
      <c r="M126" s="81">
        <v>0.1</v>
      </c>
    </row>
    <row r="127" s="65" customFormat="1" customHeight="1" spans="1:13">
      <c r="A127" s="77">
        <v>124</v>
      </c>
      <c r="B127" s="78" t="str">
        <f t="shared" si="1"/>
        <v>Mother TinctureEucalypt. Glob</v>
      </c>
      <c r="C127" s="78" t="s">
        <v>107</v>
      </c>
      <c r="D127" s="78" t="s">
        <v>316</v>
      </c>
      <c r="E127" s="78" t="s">
        <v>316</v>
      </c>
      <c r="F127" s="65" t="s">
        <v>193</v>
      </c>
      <c r="G127" s="65" t="s">
        <v>194</v>
      </c>
      <c r="K127" s="81">
        <v>0.1</v>
      </c>
      <c r="L127" s="81">
        <v>0.9</v>
      </c>
      <c r="M127" s="81">
        <v>0.1</v>
      </c>
    </row>
    <row r="128" s="65" customFormat="1" customHeight="1" spans="1:13">
      <c r="A128" s="77">
        <v>125</v>
      </c>
      <c r="B128" s="78" t="str">
        <f t="shared" si="1"/>
        <v>Mother TinctureEupator. Perf.</v>
      </c>
      <c r="C128" s="78" t="s">
        <v>107</v>
      </c>
      <c r="D128" s="78" t="s">
        <v>317</v>
      </c>
      <c r="E128" s="78" t="s">
        <v>317</v>
      </c>
      <c r="F128" s="65" t="s">
        <v>193</v>
      </c>
      <c r="G128" s="65" t="s">
        <v>194</v>
      </c>
      <c r="K128" s="81">
        <v>0.1</v>
      </c>
      <c r="L128" s="81">
        <v>0.9</v>
      </c>
      <c r="M128" s="81">
        <v>0.1</v>
      </c>
    </row>
    <row r="129" s="65" customFormat="1" customHeight="1" spans="1:13">
      <c r="A129" s="77">
        <v>126</v>
      </c>
      <c r="B129" s="78" t="str">
        <f t="shared" si="1"/>
        <v>Mother TinctureEuphorbia Cor</v>
      </c>
      <c r="C129" s="78" t="s">
        <v>107</v>
      </c>
      <c r="D129" s="78" t="s">
        <v>318</v>
      </c>
      <c r="E129" s="78" t="s">
        <v>318</v>
      </c>
      <c r="F129" s="65" t="s">
        <v>193</v>
      </c>
      <c r="G129" s="65" t="s">
        <v>194</v>
      </c>
      <c r="K129" s="81">
        <v>0.1</v>
      </c>
      <c r="L129" s="81">
        <v>0.9</v>
      </c>
      <c r="M129" s="81">
        <v>0.1</v>
      </c>
    </row>
    <row r="130" s="65" customFormat="1" customHeight="1" spans="1:13">
      <c r="A130" s="77">
        <v>127</v>
      </c>
      <c r="B130" s="78" t="str">
        <f t="shared" si="1"/>
        <v>Mother TinctureEuphorbium</v>
      </c>
      <c r="C130" s="78" t="s">
        <v>107</v>
      </c>
      <c r="D130" s="78" t="s">
        <v>319</v>
      </c>
      <c r="E130" s="78" t="s">
        <v>319</v>
      </c>
      <c r="F130" s="65" t="s">
        <v>193</v>
      </c>
      <c r="G130" s="65" t="s">
        <v>194</v>
      </c>
      <c r="K130" s="81">
        <v>0.1</v>
      </c>
      <c r="L130" s="81">
        <v>0.9</v>
      </c>
      <c r="M130" s="81">
        <v>0.1</v>
      </c>
    </row>
    <row r="131" s="65" customFormat="1" customHeight="1" spans="1:13">
      <c r="A131" s="77">
        <v>128</v>
      </c>
      <c r="B131" s="78" t="str">
        <f t="shared" si="1"/>
        <v>Mother TinctureEuphrasia off</v>
      </c>
      <c r="C131" s="78" t="s">
        <v>107</v>
      </c>
      <c r="D131" s="78" t="s">
        <v>320</v>
      </c>
      <c r="E131" s="78" t="s">
        <v>320</v>
      </c>
      <c r="F131" s="65" t="s">
        <v>193</v>
      </c>
      <c r="G131" s="65" t="s">
        <v>194</v>
      </c>
      <c r="K131" s="81">
        <v>0.1</v>
      </c>
      <c r="L131" s="81">
        <v>0.9</v>
      </c>
      <c r="M131" s="81">
        <v>0.1</v>
      </c>
    </row>
    <row r="132" s="65" customFormat="1" customHeight="1" spans="1:13">
      <c r="A132" s="77">
        <v>129</v>
      </c>
      <c r="B132" s="78" t="str">
        <f t="shared" si="1"/>
        <v>Mother TinctureFerrum Mur.</v>
      </c>
      <c r="C132" s="78" t="s">
        <v>107</v>
      </c>
      <c r="D132" s="78" t="s">
        <v>321</v>
      </c>
      <c r="E132" s="78" t="s">
        <v>321</v>
      </c>
      <c r="F132" s="65" t="s">
        <v>193</v>
      </c>
      <c r="G132" s="65" t="s">
        <v>194</v>
      </c>
      <c r="K132" s="81">
        <v>0.1</v>
      </c>
      <c r="L132" s="81">
        <v>0.9</v>
      </c>
      <c r="M132" s="81">
        <v>0.1</v>
      </c>
    </row>
    <row r="133" s="65" customFormat="1" customHeight="1" spans="1:13">
      <c r="A133" s="77">
        <v>130</v>
      </c>
      <c r="B133" s="78" t="str">
        <f t="shared" ref="B133:B196" si="2">+C133&amp;E133</f>
        <v>Mother TinctureFicus Ind.</v>
      </c>
      <c r="C133" s="78" t="s">
        <v>107</v>
      </c>
      <c r="D133" s="78" t="s">
        <v>322</v>
      </c>
      <c r="E133" s="78" t="s">
        <v>322</v>
      </c>
      <c r="F133" s="65" t="s">
        <v>193</v>
      </c>
      <c r="G133" s="65" t="s">
        <v>194</v>
      </c>
      <c r="K133" s="81">
        <v>0.1</v>
      </c>
      <c r="L133" s="81">
        <v>0.9</v>
      </c>
      <c r="M133" s="81">
        <v>0.1</v>
      </c>
    </row>
    <row r="134" s="65" customFormat="1" customHeight="1" spans="1:13">
      <c r="A134" s="77">
        <v>131</v>
      </c>
      <c r="B134" s="78" t="str">
        <f t="shared" si="2"/>
        <v>Mother TinctureFicus Rel.</v>
      </c>
      <c r="C134" s="78" t="s">
        <v>107</v>
      </c>
      <c r="D134" s="78" t="s">
        <v>323</v>
      </c>
      <c r="E134" s="78" t="s">
        <v>323</v>
      </c>
      <c r="F134" s="65" t="s">
        <v>193</v>
      </c>
      <c r="G134" s="65" t="s">
        <v>194</v>
      </c>
      <c r="K134" s="81">
        <v>0.1</v>
      </c>
      <c r="L134" s="81">
        <v>0.9</v>
      </c>
      <c r="M134" s="81">
        <v>0.1</v>
      </c>
    </row>
    <row r="135" s="65" customFormat="1" customHeight="1" spans="1:13">
      <c r="A135" s="77">
        <v>132</v>
      </c>
      <c r="B135" s="78" t="str">
        <f t="shared" si="2"/>
        <v>Mother TinctureFilix Mas.</v>
      </c>
      <c r="C135" s="78" t="s">
        <v>107</v>
      </c>
      <c r="D135" s="78" t="s">
        <v>324</v>
      </c>
      <c r="E135" s="78" t="s">
        <v>324</v>
      </c>
      <c r="F135" s="65" t="s">
        <v>193</v>
      </c>
      <c r="G135" s="65" t="s">
        <v>194</v>
      </c>
      <c r="K135" s="81">
        <v>0.1</v>
      </c>
      <c r="L135" s="81">
        <v>0.9</v>
      </c>
      <c r="M135" s="81">
        <v>0.1</v>
      </c>
    </row>
    <row r="136" s="65" customFormat="1" customHeight="1" spans="1:13">
      <c r="A136" s="77">
        <v>133</v>
      </c>
      <c r="B136" s="78" t="str">
        <f t="shared" si="2"/>
        <v>Mother TinctureFormica Rufa</v>
      </c>
      <c r="C136" s="78" t="s">
        <v>107</v>
      </c>
      <c r="D136" s="78" t="s">
        <v>325</v>
      </c>
      <c r="E136" s="78" t="s">
        <v>325</v>
      </c>
      <c r="F136" s="65" t="s">
        <v>193</v>
      </c>
      <c r="G136" s="65" t="s">
        <v>194</v>
      </c>
      <c r="K136" s="81">
        <v>0.1</v>
      </c>
      <c r="L136" s="81">
        <v>0.9</v>
      </c>
      <c r="M136" s="81">
        <v>0.1</v>
      </c>
    </row>
    <row r="137" s="65" customFormat="1" customHeight="1" spans="1:13">
      <c r="A137" s="77">
        <v>134</v>
      </c>
      <c r="B137" s="78" t="str">
        <f t="shared" si="2"/>
        <v>Mother TinctureFraxinus Amer.</v>
      </c>
      <c r="C137" s="78" t="s">
        <v>107</v>
      </c>
      <c r="D137" s="78" t="s">
        <v>326</v>
      </c>
      <c r="E137" s="78" t="s">
        <v>326</v>
      </c>
      <c r="F137" s="65" t="s">
        <v>193</v>
      </c>
      <c r="G137" s="65" t="s">
        <v>194</v>
      </c>
      <c r="K137" s="81">
        <v>0.1</v>
      </c>
      <c r="L137" s="81">
        <v>0.9</v>
      </c>
      <c r="M137" s="81">
        <v>0.1</v>
      </c>
    </row>
    <row r="138" s="65" customFormat="1" customHeight="1" spans="1:13">
      <c r="A138" s="77">
        <v>135</v>
      </c>
      <c r="B138" s="78" t="str">
        <f t="shared" si="2"/>
        <v>Mother TinctureFucus Ves.</v>
      </c>
      <c r="C138" s="78" t="s">
        <v>107</v>
      </c>
      <c r="D138" s="78" t="s">
        <v>327</v>
      </c>
      <c r="E138" s="78" t="s">
        <v>327</v>
      </c>
      <c r="F138" s="65" t="s">
        <v>193</v>
      </c>
      <c r="G138" s="65" t="s">
        <v>194</v>
      </c>
      <c r="K138" s="81">
        <v>0.1</v>
      </c>
      <c r="L138" s="81">
        <v>0.9</v>
      </c>
      <c r="M138" s="81">
        <v>0.1</v>
      </c>
    </row>
    <row r="139" s="65" customFormat="1" customHeight="1" spans="1:13">
      <c r="A139" s="77">
        <v>136</v>
      </c>
      <c r="B139" s="78" t="str">
        <f t="shared" si="2"/>
        <v>Mother TinctureGambogia</v>
      </c>
      <c r="C139" s="78" t="s">
        <v>107</v>
      </c>
      <c r="D139" s="78" t="s">
        <v>328</v>
      </c>
      <c r="E139" s="78" t="s">
        <v>328</v>
      </c>
      <c r="F139" s="65" t="s">
        <v>193</v>
      </c>
      <c r="G139" s="65" t="s">
        <v>194</v>
      </c>
      <c r="K139" s="81">
        <v>0.1</v>
      </c>
      <c r="L139" s="81">
        <v>0.9</v>
      </c>
      <c r="M139" s="81">
        <v>0.1</v>
      </c>
    </row>
    <row r="140" s="65" customFormat="1" customHeight="1" spans="1:13">
      <c r="A140" s="77">
        <v>137</v>
      </c>
      <c r="B140" s="78" t="str">
        <f t="shared" si="2"/>
        <v>Mother TinctureGaultheria</v>
      </c>
      <c r="C140" s="78" t="s">
        <v>107</v>
      </c>
      <c r="D140" s="78" t="s">
        <v>329</v>
      </c>
      <c r="E140" s="78" t="s">
        <v>329</v>
      </c>
      <c r="F140" s="65" t="s">
        <v>193</v>
      </c>
      <c r="G140" s="65" t="s">
        <v>194</v>
      </c>
      <c r="K140" s="81">
        <v>0.1</v>
      </c>
      <c r="L140" s="81">
        <v>0.9</v>
      </c>
      <c r="M140" s="81">
        <v>0.1</v>
      </c>
    </row>
    <row r="141" s="65" customFormat="1" customHeight="1" spans="1:13">
      <c r="A141" s="77">
        <v>138</v>
      </c>
      <c r="B141" s="78" t="str">
        <f t="shared" si="2"/>
        <v>Mother TinctureGelsemium Semp.</v>
      </c>
      <c r="C141" s="78" t="s">
        <v>107</v>
      </c>
      <c r="D141" s="78" t="s">
        <v>330</v>
      </c>
      <c r="E141" s="78" t="s">
        <v>330</v>
      </c>
      <c r="F141" s="65" t="s">
        <v>193</v>
      </c>
      <c r="G141" s="65" t="s">
        <v>194</v>
      </c>
      <c r="K141" s="81">
        <v>0.1</v>
      </c>
      <c r="L141" s="81">
        <v>0.9</v>
      </c>
      <c r="M141" s="81">
        <v>0.1</v>
      </c>
    </row>
    <row r="142" s="65" customFormat="1" customHeight="1" spans="1:13">
      <c r="A142" s="77">
        <v>139</v>
      </c>
      <c r="B142" s="78" t="str">
        <f t="shared" si="2"/>
        <v>Mother TinctureGentiana Lut</v>
      </c>
      <c r="C142" s="78" t="s">
        <v>107</v>
      </c>
      <c r="D142" s="78" t="s">
        <v>331</v>
      </c>
      <c r="E142" s="78" t="s">
        <v>331</v>
      </c>
      <c r="F142" s="65" t="s">
        <v>193</v>
      </c>
      <c r="G142" s="65" t="s">
        <v>194</v>
      </c>
      <c r="K142" s="81">
        <v>0.1</v>
      </c>
      <c r="L142" s="81">
        <v>0.9</v>
      </c>
      <c r="M142" s="81">
        <v>0.1</v>
      </c>
    </row>
    <row r="143" s="65" customFormat="1" customHeight="1" spans="1:13">
      <c r="A143" s="77">
        <v>140</v>
      </c>
      <c r="B143" s="78" t="str">
        <f t="shared" si="2"/>
        <v>Mother TinctureGeranium Mac.</v>
      </c>
      <c r="C143" s="78" t="s">
        <v>107</v>
      </c>
      <c r="D143" s="78" t="s">
        <v>332</v>
      </c>
      <c r="E143" s="78" t="s">
        <v>332</v>
      </c>
      <c r="F143" s="65" t="s">
        <v>193</v>
      </c>
      <c r="G143" s="65" t="s">
        <v>194</v>
      </c>
      <c r="K143" s="81">
        <v>0.1</v>
      </c>
      <c r="L143" s="81">
        <v>0.9</v>
      </c>
      <c r="M143" s="81">
        <v>0.1</v>
      </c>
    </row>
    <row r="144" s="65" customFormat="1" customHeight="1" spans="1:13">
      <c r="A144" s="77">
        <v>141</v>
      </c>
      <c r="B144" s="78" t="str">
        <f t="shared" si="2"/>
        <v>Mother TinctureGinseng</v>
      </c>
      <c r="C144" s="78" t="s">
        <v>107</v>
      </c>
      <c r="D144" s="78" t="s">
        <v>333</v>
      </c>
      <c r="E144" s="78" t="s">
        <v>333</v>
      </c>
      <c r="F144" s="65" t="s">
        <v>193</v>
      </c>
      <c r="G144" s="65" t="s">
        <v>194</v>
      </c>
      <c r="K144" s="81">
        <v>0.1</v>
      </c>
      <c r="L144" s="81">
        <v>0.9</v>
      </c>
      <c r="M144" s="81">
        <v>0.1</v>
      </c>
    </row>
    <row r="145" s="65" customFormat="1" customHeight="1" spans="1:13">
      <c r="A145" s="77">
        <v>142</v>
      </c>
      <c r="B145" s="78" t="str">
        <f t="shared" si="2"/>
        <v>Mother TinctureGlycerinum</v>
      </c>
      <c r="C145" s="78" t="s">
        <v>107</v>
      </c>
      <c r="D145" s="78" t="s">
        <v>334</v>
      </c>
      <c r="E145" s="78" t="s">
        <v>334</v>
      </c>
      <c r="F145" s="65" t="s">
        <v>193</v>
      </c>
      <c r="G145" s="65" t="s">
        <v>194</v>
      </c>
      <c r="K145" s="81">
        <v>0.1</v>
      </c>
      <c r="L145" s="81">
        <v>0.9</v>
      </c>
      <c r="M145" s="81">
        <v>0.1</v>
      </c>
    </row>
    <row r="146" s="65" customFormat="1" customHeight="1" spans="1:13">
      <c r="A146" s="77">
        <v>143</v>
      </c>
      <c r="B146" s="78" t="str">
        <f t="shared" si="2"/>
        <v>Mother TinctureGnaphalium P</v>
      </c>
      <c r="C146" s="78" t="s">
        <v>107</v>
      </c>
      <c r="D146" s="78" t="s">
        <v>335</v>
      </c>
      <c r="E146" s="78" t="s">
        <v>335</v>
      </c>
      <c r="F146" s="65" t="s">
        <v>193</v>
      </c>
      <c r="G146" s="65" t="s">
        <v>194</v>
      </c>
      <c r="K146" s="81">
        <v>0.1</v>
      </c>
      <c r="L146" s="81">
        <v>0.9</v>
      </c>
      <c r="M146" s="81">
        <v>0.1</v>
      </c>
    </row>
    <row r="147" s="65" customFormat="1" customHeight="1" spans="1:13">
      <c r="A147" s="77">
        <v>144</v>
      </c>
      <c r="B147" s="78" t="str">
        <f t="shared" si="2"/>
        <v>Mother TinctureGossypiun Herb</v>
      </c>
      <c r="C147" s="78" t="s">
        <v>107</v>
      </c>
      <c r="D147" s="78" t="s">
        <v>336</v>
      </c>
      <c r="E147" s="78" t="s">
        <v>336</v>
      </c>
      <c r="F147" s="65" t="s">
        <v>193</v>
      </c>
      <c r="G147" s="65" t="s">
        <v>194</v>
      </c>
      <c r="K147" s="81">
        <v>0.1</v>
      </c>
      <c r="L147" s="81">
        <v>0.9</v>
      </c>
      <c r="M147" s="81">
        <v>0.1</v>
      </c>
    </row>
    <row r="148" s="65" customFormat="1" customHeight="1" spans="1:13">
      <c r="A148" s="77">
        <v>145</v>
      </c>
      <c r="B148" s="78" t="str">
        <f t="shared" si="2"/>
        <v>Mother TinctureGranatum</v>
      </c>
      <c r="C148" s="78" t="s">
        <v>107</v>
      </c>
      <c r="D148" s="78" t="s">
        <v>337</v>
      </c>
      <c r="E148" s="78" t="s">
        <v>337</v>
      </c>
      <c r="F148" s="65" t="s">
        <v>193</v>
      </c>
      <c r="G148" s="65" t="s">
        <v>194</v>
      </c>
      <c r="K148" s="81">
        <v>0.1</v>
      </c>
      <c r="L148" s="81">
        <v>0.9</v>
      </c>
      <c r="M148" s="81">
        <v>0.1</v>
      </c>
    </row>
    <row r="149" s="65" customFormat="1" customHeight="1" spans="1:13">
      <c r="A149" s="77">
        <v>146</v>
      </c>
      <c r="B149" s="78" t="str">
        <f t="shared" si="2"/>
        <v>Mother TinctureGrindelia Rob.</v>
      </c>
      <c r="C149" s="78" t="s">
        <v>107</v>
      </c>
      <c r="D149" s="78" t="s">
        <v>338</v>
      </c>
      <c r="E149" s="78" t="s">
        <v>338</v>
      </c>
      <c r="F149" s="65" t="s">
        <v>193</v>
      </c>
      <c r="G149" s="65" t="s">
        <v>194</v>
      </c>
      <c r="K149" s="81">
        <v>0.1</v>
      </c>
      <c r="L149" s="81">
        <v>0.9</v>
      </c>
      <c r="M149" s="81">
        <v>0.1</v>
      </c>
    </row>
    <row r="150" s="65" customFormat="1" customHeight="1" spans="1:13">
      <c r="A150" s="77">
        <v>147</v>
      </c>
      <c r="B150" s="78" t="str">
        <f t="shared" si="2"/>
        <v>Mother TinctureGuaiacum</v>
      </c>
      <c r="C150" s="78" t="s">
        <v>107</v>
      </c>
      <c r="D150" s="78" t="s">
        <v>339</v>
      </c>
      <c r="E150" s="78" t="s">
        <v>339</v>
      </c>
      <c r="F150" s="65" t="s">
        <v>193</v>
      </c>
      <c r="G150" s="65" t="s">
        <v>194</v>
      </c>
      <c r="K150" s="81">
        <v>0.1</v>
      </c>
      <c r="L150" s="81">
        <v>0.9</v>
      </c>
      <c r="M150" s="81">
        <v>0.1</v>
      </c>
    </row>
    <row r="151" s="65" customFormat="1" customHeight="1" spans="1:13">
      <c r="A151" s="77">
        <v>148</v>
      </c>
      <c r="B151" s="78" t="str">
        <f t="shared" si="2"/>
        <v>Mother TinctureGymnema. Syl</v>
      </c>
      <c r="C151" s="78" t="s">
        <v>107</v>
      </c>
      <c r="D151" s="78" t="s">
        <v>340</v>
      </c>
      <c r="E151" s="78" t="s">
        <v>340</v>
      </c>
      <c r="F151" s="65" t="s">
        <v>193</v>
      </c>
      <c r="G151" s="65" t="s">
        <v>194</v>
      </c>
      <c r="K151" s="81">
        <v>0.1</v>
      </c>
      <c r="L151" s="81">
        <v>0.9</v>
      </c>
      <c r="M151" s="81">
        <v>0.1</v>
      </c>
    </row>
    <row r="152" s="65" customFormat="1" customHeight="1" spans="1:13">
      <c r="A152" s="77">
        <v>149</v>
      </c>
      <c r="B152" s="78" t="str">
        <f t="shared" si="2"/>
        <v>Mother TinctureHamamelis Virg.</v>
      </c>
      <c r="C152" s="78" t="s">
        <v>107</v>
      </c>
      <c r="D152" s="78" t="s">
        <v>341</v>
      </c>
      <c r="E152" s="78" t="s">
        <v>341</v>
      </c>
      <c r="F152" s="65" t="s">
        <v>193</v>
      </c>
      <c r="G152" s="65" t="s">
        <v>194</v>
      </c>
      <c r="K152" s="81">
        <v>0.1</v>
      </c>
      <c r="L152" s="81">
        <v>0.9</v>
      </c>
      <c r="M152" s="81">
        <v>0.1</v>
      </c>
    </row>
    <row r="153" s="65" customFormat="1" customHeight="1" spans="1:13">
      <c r="A153" s="77">
        <v>150</v>
      </c>
      <c r="B153" s="78" t="str">
        <f t="shared" si="2"/>
        <v>Mother TinctureHedera Helix</v>
      </c>
      <c r="C153" s="78" t="s">
        <v>107</v>
      </c>
      <c r="D153" s="78" t="s">
        <v>342</v>
      </c>
      <c r="E153" s="78" t="s">
        <v>342</v>
      </c>
      <c r="F153" s="65" t="s">
        <v>193</v>
      </c>
      <c r="G153" s="65" t="s">
        <v>194</v>
      </c>
      <c r="K153" s="81">
        <v>0.1</v>
      </c>
      <c r="L153" s="81">
        <v>0.9</v>
      </c>
      <c r="M153" s="81">
        <v>0.1</v>
      </c>
    </row>
    <row r="154" s="65" customFormat="1" customHeight="1" spans="1:13">
      <c r="A154" s="77">
        <v>151</v>
      </c>
      <c r="B154" s="78" t="str">
        <f t="shared" si="2"/>
        <v>Mother TinctureHelianthus. A.</v>
      </c>
      <c r="C154" s="78" t="s">
        <v>107</v>
      </c>
      <c r="D154" s="78" t="s">
        <v>343</v>
      </c>
      <c r="E154" s="78" t="s">
        <v>343</v>
      </c>
      <c r="F154" s="65" t="s">
        <v>193</v>
      </c>
      <c r="G154" s="65" t="s">
        <v>194</v>
      </c>
      <c r="K154" s="81">
        <v>0.1</v>
      </c>
      <c r="L154" s="81">
        <v>0.9</v>
      </c>
      <c r="M154" s="81">
        <v>0.1</v>
      </c>
    </row>
    <row r="155" s="65" customFormat="1" customHeight="1" spans="1:13">
      <c r="A155" s="77">
        <v>152</v>
      </c>
      <c r="B155" s="78" t="str">
        <f t="shared" si="2"/>
        <v>Mother TinctureHelleborus Nig.</v>
      </c>
      <c r="C155" s="78" t="s">
        <v>107</v>
      </c>
      <c r="D155" s="78" t="s">
        <v>344</v>
      </c>
      <c r="E155" s="78" t="s">
        <v>344</v>
      </c>
      <c r="F155" s="65" t="s">
        <v>193</v>
      </c>
      <c r="G155" s="65" t="s">
        <v>194</v>
      </c>
      <c r="K155" s="81">
        <v>0.1</v>
      </c>
      <c r="L155" s="81">
        <v>0.9</v>
      </c>
      <c r="M155" s="81">
        <v>0.1</v>
      </c>
    </row>
    <row r="156" s="65" customFormat="1" customHeight="1" spans="1:13">
      <c r="A156" s="77">
        <v>153</v>
      </c>
      <c r="B156" s="78" t="str">
        <f t="shared" si="2"/>
        <v>Mother TinctureHelonias Dio</v>
      </c>
      <c r="C156" s="78" t="s">
        <v>107</v>
      </c>
      <c r="D156" s="78" t="s">
        <v>345</v>
      </c>
      <c r="E156" s="78" t="s">
        <v>345</v>
      </c>
      <c r="F156" s="65" t="s">
        <v>193</v>
      </c>
      <c r="G156" s="65" t="s">
        <v>194</v>
      </c>
      <c r="K156" s="81">
        <v>0.1</v>
      </c>
      <c r="L156" s="81">
        <v>0.9</v>
      </c>
      <c r="M156" s="81">
        <v>0.1</v>
      </c>
    </row>
    <row r="157" s="65" customFormat="1" customHeight="1" spans="1:13">
      <c r="A157" s="77">
        <v>154</v>
      </c>
      <c r="B157" s="78" t="str">
        <f t="shared" si="2"/>
        <v>Mother TinctureHolarrhena Ant. D (Kurchi)</v>
      </c>
      <c r="C157" s="78" t="s">
        <v>107</v>
      </c>
      <c r="D157" s="78" t="s">
        <v>346</v>
      </c>
      <c r="E157" s="78" t="s">
        <v>346</v>
      </c>
      <c r="F157" s="65" t="s">
        <v>193</v>
      </c>
      <c r="G157" s="65" t="s">
        <v>194</v>
      </c>
      <c r="K157" s="81">
        <v>0.1</v>
      </c>
      <c r="L157" s="81">
        <v>0.9</v>
      </c>
      <c r="M157" s="81">
        <v>0.1</v>
      </c>
    </row>
    <row r="158" s="65" customFormat="1" customHeight="1" spans="1:13">
      <c r="A158" s="77">
        <v>155</v>
      </c>
      <c r="B158" s="78" t="str">
        <f t="shared" si="2"/>
        <v>Mother TinctureHydrastis Can.</v>
      </c>
      <c r="C158" s="78" t="s">
        <v>107</v>
      </c>
      <c r="D158" s="78" t="s">
        <v>347</v>
      </c>
      <c r="E158" s="78" t="s">
        <v>347</v>
      </c>
      <c r="F158" s="65" t="s">
        <v>193</v>
      </c>
      <c r="G158" s="65" t="s">
        <v>194</v>
      </c>
      <c r="K158" s="81">
        <v>0.1</v>
      </c>
      <c r="L158" s="81">
        <v>0.9</v>
      </c>
      <c r="M158" s="81">
        <v>0.1</v>
      </c>
    </row>
    <row r="159" s="65" customFormat="1" customHeight="1" spans="1:13">
      <c r="A159" s="77">
        <v>156</v>
      </c>
      <c r="B159" s="78" t="str">
        <f t="shared" si="2"/>
        <v>Mother TinctureHydrocotyle Asi.</v>
      </c>
      <c r="C159" s="78" t="s">
        <v>107</v>
      </c>
      <c r="D159" s="78" t="s">
        <v>348</v>
      </c>
      <c r="E159" s="78" t="s">
        <v>348</v>
      </c>
      <c r="F159" s="65" t="s">
        <v>193</v>
      </c>
      <c r="G159" s="65" t="s">
        <v>194</v>
      </c>
      <c r="K159" s="81">
        <v>0.1</v>
      </c>
      <c r="L159" s="81">
        <v>0.9</v>
      </c>
      <c r="M159" s="81">
        <v>0.1</v>
      </c>
    </row>
    <row r="160" s="65" customFormat="1" customHeight="1" spans="1:13">
      <c r="A160" s="77">
        <v>157</v>
      </c>
      <c r="B160" s="78" t="str">
        <f t="shared" si="2"/>
        <v>Mother TinctureHyoscyamus. N.</v>
      </c>
      <c r="C160" s="78" t="s">
        <v>107</v>
      </c>
      <c r="D160" s="78" t="s">
        <v>349</v>
      </c>
      <c r="E160" s="78" t="s">
        <v>349</v>
      </c>
      <c r="F160" s="65" t="s">
        <v>193</v>
      </c>
      <c r="G160" s="65" t="s">
        <v>194</v>
      </c>
      <c r="K160" s="81">
        <v>0.1</v>
      </c>
      <c r="L160" s="81">
        <v>0.9</v>
      </c>
      <c r="M160" s="81">
        <v>0.1</v>
      </c>
    </row>
    <row r="161" s="65" customFormat="1" customHeight="1" spans="1:13">
      <c r="A161" s="77">
        <v>158</v>
      </c>
      <c r="B161" s="78" t="str">
        <f t="shared" si="2"/>
        <v>Mother TinctureHypericum Perf.</v>
      </c>
      <c r="C161" s="78" t="s">
        <v>107</v>
      </c>
      <c r="D161" s="78" t="s">
        <v>350</v>
      </c>
      <c r="E161" s="78" t="s">
        <v>350</v>
      </c>
      <c r="F161" s="65" t="s">
        <v>193</v>
      </c>
      <c r="G161" s="65" t="s">
        <v>194</v>
      </c>
      <c r="K161" s="81">
        <v>0.1</v>
      </c>
      <c r="L161" s="81">
        <v>0.9</v>
      </c>
      <c r="M161" s="81">
        <v>0.1</v>
      </c>
    </row>
    <row r="162" s="65" customFormat="1" customHeight="1" spans="1:13">
      <c r="A162" s="77">
        <v>159</v>
      </c>
      <c r="B162" s="78" t="str">
        <f t="shared" si="2"/>
        <v>Mother TinctureIgnatia Amara</v>
      </c>
      <c r="C162" s="78" t="s">
        <v>107</v>
      </c>
      <c r="D162" s="78" t="s">
        <v>351</v>
      </c>
      <c r="E162" s="78" t="s">
        <v>351</v>
      </c>
      <c r="F162" s="65" t="s">
        <v>193</v>
      </c>
      <c r="G162" s="65" t="s">
        <v>194</v>
      </c>
      <c r="K162" s="81">
        <v>0.1</v>
      </c>
      <c r="L162" s="81">
        <v>0.9</v>
      </c>
      <c r="M162" s="81">
        <v>0.1</v>
      </c>
    </row>
    <row r="163" s="65" customFormat="1" customHeight="1" spans="1:13">
      <c r="A163" s="77">
        <v>160</v>
      </c>
      <c r="B163" s="78" t="str">
        <f t="shared" si="2"/>
        <v>Mother TinctureIllicium A.</v>
      </c>
      <c r="C163" s="78" t="s">
        <v>107</v>
      </c>
      <c r="D163" s="78" t="s">
        <v>352</v>
      </c>
      <c r="E163" s="78" t="s">
        <v>352</v>
      </c>
      <c r="F163" s="65" t="s">
        <v>193</v>
      </c>
      <c r="G163" s="65" t="s">
        <v>194</v>
      </c>
      <c r="K163" s="81">
        <v>0.1</v>
      </c>
      <c r="L163" s="81">
        <v>0.9</v>
      </c>
      <c r="M163" s="81">
        <v>0.1</v>
      </c>
    </row>
    <row r="164" s="65" customFormat="1" customHeight="1" spans="1:13">
      <c r="A164" s="77">
        <v>161</v>
      </c>
      <c r="B164" s="78" t="str">
        <f t="shared" si="2"/>
        <v>Mother TinctureIodium</v>
      </c>
      <c r="C164" s="78" t="s">
        <v>107</v>
      </c>
      <c r="D164" s="78" t="s">
        <v>353</v>
      </c>
      <c r="E164" s="78" t="s">
        <v>353</v>
      </c>
      <c r="F164" s="65" t="s">
        <v>193</v>
      </c>
      <c r="G164" s="65" t="s">
        <v>194</v>
      </c>
      <c r="K164" s="81">
        <v>0.1</v>
      </c>
      <c r="L164" s="81">
        <v>0.9</v>
      </c>
      <c r="M164" s="81">
        <v>0.1</v>
      </c>
    </row>
    <row r="165" s="65" customFormat="1" customHeight="1" spans="1:13">
      <c r="A165" s="77">
        <v>162</v>
      </c>
      <c r="B165" s="78" t="str">
        <f t="shared" si="2"/>
        <v>Mother TinctureIpecac</v>
      </c>
      <c r="C165" s="78" t="s">
        <v>107</v>
      </c>
      <c r="D165" s="78" t="s">
        <v>354</v>
      </c>
      <c r="E165" s="78" t="s">
        <v>354</v>
      </c>
      <c r="F165" s="65" t="s">
        <v>193</v>
      </c>
      <c r="G165" s="65" t="s">
        <v>194</v>
      </c>
      <c r="K165" s="81">
        <v>0.1</v>
      </c>
      <c r="L165" s="81">
        <v>0.9</v>
      </c>
      <c r="M165" s="81">
        <v>0.1</v>
      </c>
    </row>
    <row r="166" s="65" customFormat="1" customHeight="1" spans="1:13">
      <c r="A166" s="77">
        <v>163</v>
      </c>
      <c r="B166" s="78" t="str">
        <f t="shared" si="2"/>
        <v>Mother TinctureIris Ver.</v>
      </c>
      <c r="C166" s="78" t="s">
        <v>107</v>
      </c>
      <c r="D166" s="78" t="s">
        <v>355</v>
      </c>
      <c r="E166" s="78" t="s">
        <v>355</v>
      </c>
      <c r="F166" s="65" t="s">
        <v>193</v>
      </c>
      <c r="G166" s="65" t="s">
        <v>194</v>
      </c>
      <c r="K166" s="81">
        <v>0.1</v>
      </c>
      <c r="L166" s="81">
        <v>0.9</v>
      </c>
      <c r="M166" s="81">
        <v>0.1</v>
      </c>
    </row>
    <row r="167" s="65" customFormat="1" customHeight="1" spans="1:13">
      <c r="A167" s="77">
        <v>164</v>
      </c>
      <c r="B167" s="78" t="str">
        <f t="shared" si="2"/>
        <v>Mother TinctureJaborandi (Pilcarpus)</v>
      </c>
      <c r="C167" s="78" t="s">
        <v>107</v>
      </c>
      <c r="D167" s="78" t="s">
        <v>356</v>
      </c>
      <c r="E167" s="78" t="s">
        <v>356</v>
      </c>
      <c r="F167" s="65" t="s">
        <v>193</v>
      </c>
      <c r="G167" s="65" t="s">
        <v>194</v>
      </c>
      <c r="K167" s="81">
        <v>0.1</v>
      </c>
      <c r="L167" s="81">
        <v>0.9</v>
      </c>
      <c r="M167" s="81">
        <v>0.1</v>
      </c>
    </row>
    <row r="168" s="65" customFormat="1" customHeight="1" spans="1:13">
      <c r="A168" s="77">
        <v>165</v>
      </c>
      <c r="B168" s="78" t="str">
        <f t="shared" si="2"/>
        <v>Mother TinctureJacaranda C.</v>
      </c>
      <c r="C168" s="78" t="s">
        <v>107</v>
      </c>
      <c r="D168" s="78" t="s">
        <v>357</v>
      </c>
      <c r="E168" s="78" t="s">
        <v>357</v>
      </c>
      <c r="F168" s="65" t="s">
        <v>193</v>
      </c>
      <c r="G168" s="65" t="s">
        <v>194</v>
      </c>
      <c r="K168" s="81">
        <v>0.1</v>
      </c>
      <c r="L168" s="81">
        <v>0.9</v>
      </c>
      <c r="M168" s="81">
        <v>0.1</v>
      </c>
    </row>
    <row r="169" s="65" customFormat="1" customHeight="1" spans="1:13">
      <c r="A169" s="77">
        <v>166</v>
      </c>
      <c r="B169" s="78" t="str">
        <f t="shared" si="2"/>
        <v>Mother TinctureJalappa</v>
      </c>
      <c r="C169" s="78" t="s">
        <v>107</v>
      </c>
      <c r="D169" s="78" t="s">
        <v>358</v>
      </c>
      <c r="E169" s="78" t="s">
        <v>358</v>
      </c>
      <c r="F169" s="65" t="s">
        <v>193</v>
      </c>
      <c r="G169" s="65" t="s">
        <v>194</v>
      </c>
      <c r="K169" s="81">
        <v>0.1</v>
      </c>
      <c r="L169" s="81">
        <v>0.9</v>
      </c>
      <c r="M169" s="81">
        <v>0.1</v>
      </c>
    </row>
    <row r="170" s="65" customFormat="1" customHeight="1" spans="1:13">
      <c r="A170" s="77">
        <v>167</v>
      </c>
      <c r="B170" s="78" t="str">
        <f t="shared" si="2"/>
        <v>Mother TinctureJatropha C.</v>
      </c>
      <c r="C170" s="78" t="s">
        <v>107</v>
      </c>
      <c r="D170" s="78" t="s">
        <v>359</v>
      </c>
      <c r="E170" s="78" t="s">
        <v>359</v>
      </c>
      <c r="F170" s="65" t="s">
        <v>193</v>
      </c>
      <c r="G170" s="65" t="s">
        <v>194</v>
      </c>
      <c r="K170" s="81">
        <v>0.1</v>
      </c>
      <c r="L170" s="81">
        <v>0.9</v>
      </c>
      <c r="M170" s="81">
        <v>0.1</v>
      </c>
    </row>
    <row r="171" s="65" customFormat="1" customHeight="1" spans="1:13">
      <c r="A171" s="77">
        <v>168</v>
      </c>
      <c r="B171" s="78" t="str">
        <f t="shared" si="2"/>
        <v>Mother TinctureJon. Ashoka (Ashoka)</v>
      </c>
      <c r="C171" s="78" t="s">
        <v>107</v>
      </c>
      <c r="D171" s="78" t="s">
        <v>360</v>
      </c>
      <c r="E171" s="78" t="s">
        <v>360</v>
      </c>
      <c r="F171" s="65" t="s">
        <v>193</v>
      </c>
      <c r="G171" s="65" t="s">
        <v>194</v>
      </c>
      <c r="K171" s="81">
        <v>0.1</v>
      </c>
      <c r="L171" s="81">
        <v>0.9</v>
      </c>
      <c r="M171" s="81">
        <v>0.1</v>
      </c>
    </row>
    <row r="172" s="65" customFormat="1" customHeight="1" spans="1:13">
      <c r="A172" s="77">
        <v>169</v>
      </c>
      <c r="B172" s="78" t="str">
        <f t="shared" si="2"/>
        <v>Mother TinctureJusticia Adh.</v>
      </c>
      <c r="C172" s="78" t="s">
        <v>107</v>
      </c>
      <c r="D172" s="78" t="s">
        <v>361</v>
      </c>
      <c r="E172" s="78" t="s">
        <v>361</v>
      </c>
      <c r="F172" s="65" t="s">
        <v>193</v>
      </c>
      <c r="G172" s="65" t="s">
        <v>194</v>
      </c>
      <c r="K172" s="81">
        <v>0.1</v>
      </c>
      <c r="L172" s="81">
        <v>0.9</v>
      </c>
      <c r="M172" s="81">
        <v>0.1</v>
      </c>
    </row>
    <row r="173" s="65" customFormat="1" customHeight="1" spans="1:13">
      <c r="A173" s="77">
        <v>170</v>
      </c>
      <c r="B173" s="78" t="str">
        <f t="shared" si="2"/>
        <v>Mother TinctureKali Bich.</v>
      </c>
      <c r="C173" s="78" t="s">
        <v>107</v>
      </c>
      <c r="D173" s="78" t="s">
        <v>362</v>
      </c>
      <c r="E173" s="78" t="s">
        <v>362</v>
      </c>
      <c r="F173" s="65" t="s">
        <v>193</v>
      </c>
      <c r="G173" s="65" t="s">
        <v>194</v>
      </c>
      <c r="K173" s="81">
        <v>0.1</v>
      </c>
      <c r="L173" s="81">
        <v>0.9</v>
      </c>
      <c r="M173" s="81">
        <v>0.1</v>
      </c>
    </row>
    <row r="174" s="65" customFormat="1" customHeight="1" spans="1:13">
      <c r="A174" s="77">
        <v>171</v>
      </c>
      <c r="B174" s="78" t="str">
        <f t="shared" si="2"/>
        <v>Mother TinctureKalmia Lat.</v>
      </c>
      <c r="C174" s="78" t="s">
        <v>107</v>
      </c>
      <c r="D174" s="78" t="s">
        <v>363</v>
      </c>
      <c r="E174" s="78" t="s">
        <v>363</v>
      </c>
      <c r="F174" s="65" t="s">
        <v>193</v>
      </c>
      <c r="G174" s="65" t="s">
        <v>194</v>
      </c>
      <c r="K174" s="81">
        <v>0.1</v>
      </c>
      <c r="L174" s="81">
        <v>0.9</v>
      </c>
      <c r="M174" s="81">
        <v>0.1</v>
      </c>
    </row>
    <row r="175" s="65" customFormat="1" customHeight="1" spans="1:13">
      <c r="A175" s="77">
        <v>172</v>
      </c>
      <c r="B175" s="78" t="str">
        <f t="shared" si="2"/>
        <v>Mother TinctureKreosotum</v>
      </c>
      <c r="C175" s="78" t="s">
        <v>107</v>
      </c>
      <c r="D175" s="78" t="s">
        <v>364</v>
      </c>
      <c r="E175" s="78" t="s">
        <v>364</v>
      </c>
      <c r="F175" s="65" t="s">
        <v>193</v>
      </c>
      <c r="G175" s="65" t="s">
        <v>194</v>
      </c>
      <c r="K175" s="81">
        <v>0.1</v>
      </c>
      <c r="L175" s="81">
        <v>0.9</v>
      </c>
      <c r="M175" s="81">
        <v>0.1</v>
      </c>
    </row>
    <row r="176" s="65" customFormat="1" customHeight="1" spans="1:13">
      <c r="A176" s="77">
        <v>173</v>
      </c>
      <c r="B176" s="78" t="str">
        <f t="shared" si="2"/>
        <v>Mother TinctureKurchi (Holarrhena Anti D)</v>
      </c>
      <c r="C176" s="78" t="s">
        <v>107</v>
      </c>
      <c r="D176" s="78" t="s">
        <v>365</v>
      </c>
      <c r="E176" s="78" t="s">
        <v>365</v>
      </c>
      <c r="F176" s="65" t="s">
        <v>193</v>
      </c>
      <c r="G176" s="65" t="s">
        <v>194</v>
      </c>
      <c r="K176" s="81">
        <v>0.1</v>
      </c>
      <c r="L176" s="81">
        <v>0.9</v>
      </c>
      <c r="M176" s="81">
        <v>0.1</v>
      </c>
    </row>
    <row r="177" s="65" customFormat="1" customHeight="1" spans="1:13">
      <c r="A177" s="77">
        <v>174</v>
      </c>
      <c r="B177" s="78" t="str">
        <f t="shared" si="2"/>
        <v>Mother TinctureLachnanthes</v>
      </c>
      <c r="C177" s="78" t="s">
        <v>107</v>
      </c>
      <c r="D177" s="78" t="s">
        <v>366</v>
      </c>
      <c r="E177" s="78" t="s">
        <v>366</v>
      </c>
      <c r="F177" s="65" t="s">
        <v>193</v>
      </c>
      <c r="G177" s="65" t="s">
        <v>194</v>
      </c>
      <c r="K177" s="81">
        <v>0.1</v>
      </c>
      <c r="L177" s="81">
        <v>0.9</v>
      </c>
      <c r="M177" s="81">
        <v>0.1</v>
      </c>
    </row>
    <row r="178" s="65" customFormat="1" customHeight="1" spans="1:13">
      <c r="A178" s="77">
        <v>175</v>
      </c>
      <c r="B178" s="78" t="str">
        <f t="shared" si="2"/>
        <v>Mother TinctureLaurocerasus</v>
      </c>
      <c r="C178" s="78" t="s">
        <v>107</v>
      </c>
      <c r="D178" s="78" t="s">
        <v>367</v>
      </c>
      <c r="E178" s="78" t="s">
        <v>367</v>
      </c>
      <c r="F178" s="65" t="s">
        <v>193</v>
      </c>
      <c r="G178" s="65" t="s">
        <v>194</v>
      </c>
      <c r="K178" s="81">
        <v>0.1</v>
      </c>
      <c r="L178" s="81">
        <v>0.9</v>
      </c>
      <c r="M178" s="81">
        <v>0.1</v>
      </c>
    </row>
    <row r="179" s="65" customFormat="1" customHeight="1" spans="1:13">
      <c r="A179" s="77">
        <v>176</v>
      </c>
      <c r="B179" s="78" t="str">
        <f t="shared" si="2"/>
        <v>Mother TinctureLedum Pal.</v>
      </c>
      <c r="C179" s="78" t="s">
        <v>107</v>
      </c>
      <c r="D179" s="78" t="s">
        <v>368</v>
      </c>
      <c r="E179" s="78" t="s">
        <v>368</v>
      </c>
      <c r="F179" s="65" t="s">
        <v>193</v>
      </c>
      <c r="G179" s="65" t="s">
        <v>194</v>
      </c>
      <c r="K179" s="81">
        <v>0.1</v>
      </c>
      <c r="L179" s="81">
        <v>0.9</v>
      </c>
      <c r="M179" s="81">
        <v>0.1</v>
      </c>
    </row>
    <row r="180" s="65" customFormat="1" customHeight="1" spans="1:13">
      <c r="A180" s="77">
        <v>177</v>
      </c>
      <c r="B180" s="78" t="str">
        <f t="shared" si="2"/>
        <v>Mother TinctureLemna Minor.</v>
      </c>
      <c r="C180" s="78" t="s">
        <v>107</v>
      </c>
      <c r="D180" s="78" t="s">
        <v>369</v>
      </c>
      <c r="E180" s="78" t="s">
        <v>369</v>
      </c>
      <c r="F180" s="65" t="s">
        <v>193</v>
      </c>
      <c r="G180" s="65" t="s">
        <v>194</v>
      </c>
      <c r="K180" s="81">
        <v>0.1</v>
      </c>
      <c r="L180" s="81">
        <v>0.9</v>
      </c>
      <c r="M180" s="81">
        <v>0.1</v>
      </c>
    </row>
    <row r="181" s="65" customFormat="1" customHeight="1" spans="1:13">
      <c r="A181" s="77">
        <v>178</v>
      </c>
      <c r="B181" s="78" t="str">
        <f t="shared" si="2"/>
        <v>Mother TinctureLeptandra V.</v>
      </c>
      <c r="C181" s="78" t="s">
        <v>107</v>
      </c>
      <c r="D181" s="78" t="s">
        <v>370</v>
      </c>
      <c r="E181" s="78" t="s">
        <v>370</v>
      </c>
      <c r="F181" s="65" t="s">
        <v>193</v>
      </c>
      <c r="G181" s="65" t="s">
        <v>194</v>
      </c>
      <c r="K181" s="81">
        <v>0.1</v>
      </c>
      <c r="L181" s="81">
        <v>0.9</v>
      </c>
      <c r="M181" s="81">
        <v>0.1</v>
      </c>
    </row>
    <row r="182" s="65" customFormat="1" customHeight="1" spans="1:13">
      <c r="A182" s="77">
        <v>179</v>
      </c>
      <c r="B182" s="78" t="str">
        <f t="shared" si="2"/>
        <v>Mother TinctureLeucas Asp.</v>
      </c>
      <c r="C182" s="78" t="s">
        <v>107</v>
      </c>
      <c r="D182" s="78" t="s">
        <v>371</v>
      </c>
      <c r="E182" s="78" t="s">
        <v>371</v>
      </c>
      <c r="F182" s="65" t="s">
        <v>193</v>
      </c>
      <c r="G182" s="65" t="s">
        <v>194</v>
      </c>
      <c r="K182" s="81">
        <v>0.1</v>
      </c>
      <c r="L182" s="81">
        <v>0.9</v>
      </c>
      <c r="M182" s="81">
        <v>0.1</v>
      </c>
    </row>
    <row r="183" s="65" customFormat="1" customHeight="1" spans="1:13">
      <c r="A183" s="77">
        <v>180</v>
      </c>
      <c r="B183" s="78" t="str">
        <f t="shared" si="2"/>
        <v>Mother TinctureLiatris Spic.</v>
      </c>
      <c r="C183" s="78" t="s">
        <v>107</v>
      </c>
      <c r="D183" s="78" t="s">
        <v>372</v>
      </c>
      <c r="E183" s="78" t="s">
        <v>372</v>
      </c>
      <c r="F183" s="65" t="s">
        <v>193</v>
      </c>
      <c r="G183" s="65" t="s">
        <v>194</v>
      </c>
      <c r="K183" s="81">
        <v>0.1</v>
      </c>
      <c r="L183" s="81">
        <v>0.9</v>
      </c>
      <c r="M183" s="81">
        <v>0.1</v>
      </c>
    </row>
    <row r="184" s="65" customFormat="1" customHeight="1" spans="1:13">
      <c r="A184" s="77">
        <v>181</v>
      </c>
      <c r="B184" s="78" t="str">
        <f t="shared" si="2"/>
        <v>Mother TinctureLobelia Infl.</v>
      </c>
      <c r="C184" s="78" t="s">
        <v>107</v>
      </c>
      <c r="D184" s="78" t="s">
        <v>373</v>
      </c>
      <c r="E184" s="78" t="s">
        <v>373</v>
      </c>
      <c r="F184" s="65" t="s">
        <v>193</v>
      </c>
      <c r="G184" s="65" t="s">
        <v>194</v>
      </c>
      <c r="K184" s="81">
        <v>0.1</v>
      </c>
      <c r="L184" s="81">
        <v>0.9</v>
      </c>
      <c r="M184" s="81">
        <v>0.1</v>
      </c>
    </row>
    <row r="185" s="65" customFormat="1" customHeight="1" spans="1:13">
      <c r="A185" s="77">
        <v>182</v>
      </c>
      <c r="B185" s="78" t="str">
        <f t="shared" si="2"/>
        <v>Mother TinctureLuffa Oper</v>
      </c>
      <c r="C185" s="78" t="s">
        <v>107</v>
      </c>
      <c r="D185" s="78" t="s">
        <v>374</v>
      </c>
      <c r="E185" s="78" t="s">
        <v>374</v>
      </c>
      <c r="F185" s="65" t="s">
        <v>193</v>
      </c>
      <c r="G185" s="65" t="s">
        <v>194</v>
      </c>
      <c r="K185" s="81">
        <v>0.1</v>
      </c>
      <c r="L185" s="81">
        <v>0.9</v>
      </c>
      <c r="M185" s="81">
        <v>0.1</v>
      </c>
    </row>
    <row r="186" s="65" customFormat="1" customHeight="1" spans="1:13">
      <c r="A186" s="77">
        <v>183</v>
      </c>
      <c r="B186" s="78" t="str">
        <f t="shared" si="2"/>
        <v>Mother TinctureLycopodium Clav</v>
      </c>
      <c r="C186" s="78" t="s">
        <v>107</v>
      </c>
      <c r="D186" s="78" t="s">
        <v>375</v>
      </c>
      <c r="E186" s="78" t="s">
        <v>375</v>
      </c>
      <c r="F186" s="65" t="s">
        <v>193</v>
      </c>
      <c r="G186" s="65" t="s">
        <v>194</v>
      </c>
      <c r="K186" s="81">
        <v>0.1</v>
      </c>
      <c r="L186" s="81">
        <v>0.9</v>
      </c>
      <c r="M186" s="81">
        <v>0.1</v>
      </c>
    </row>
    <row r="187" s="65" customFormat="1" customHeight="1" spans="1:13">
      <c r="A187" s="77">
        <v>184</v>
      </c>
      <c r="B187" s="78" t="str">
        <f t="shared" si="2"/>
        <v>Mother TinctureLycopus V</v>
      </c>
      <c r="C187" s="78" t="s">
        <v>107</v>
      </c>
      <c r="D187" s="78" t="s">
        <v>376</v>
      </c>
      <c r="E187" s="78" t="s">
        <v>376</v>
      </c>
      <c r="F187" s="65" t="s">
        <v>193</v>
      </c>
      <c r="G187" s="65" t="s">
        <v>194</v>
      </c>
      <c r="K187" s="81">
        <v>0.1</v>
      </c>
      <c r="L187" s="81">
        <v>0.9</v>
      </c>
      <c r="M187" s="81">
        <v>0.1</v>
      </c>
    </row>
    <row r="188" s="65" customFormat="1" customHeight="1" spans="1:13">
      <c r="A188" s="77">
        <v>185</v>
      </c>
      <c r="B188" s="78" t="str">
        <f t="shared" si="2"/>
        <v>Mother TinctureMangifera Ind.</v>
      </c>
      <c r="C188" s="78" t="s">
        <v>107</v>
      </c>
      <c r="D188" s="78" t="s">
        <v>377</v>
      </c>
      <c r="E188" s="78" t="s">
        <v>377</v>
      </c>
      <c r="F188" s="65" t="s">
        <v>193</v>
      </c>
      <c r="G188" s="65" t="s">
        <v>194</v>
      </c>
      <c r="K188" s="81">
        <v>0.1</v>
      </c>
      <c r="L188" s="81">
        <v>0.9</v>
      </c>
      <c r="M188" s="81">
        <v>0.1</v>
      </c>
    </row>
    <row r="189" s="65" customFormat="1" customHeight="1" spans="1:13">
      <c r="A189" s="77">
        <v>186</v>
      </c>
      <c r="B189" s="78" t="str">
        <f t="shared" si="2"/>
        <v>Mother TinctureMelilotus A.</v>
      </c>
      <c r="C189" s="78" t="s">
        <v>107</v>
      </c>
      <c r="D189" s="78" t="s">
        <v>378</v>
      </c>
      <c r="E189" s="78" t="s">
        <v>378</v>
      </c>
      <c r="F189" s="65" t="s">
        <v>193</v>
      </c>
      <c r="G189" s="65" t="s">
        <v>194</v>
      </c>
      <c r="K189" s="81">
        <v>0.1</v>
      </c>
      <c r="L189" s="81">
        <v>0.9</v>
      </c>
      <c r="M189" s="81">
        <v>0.1</v>
      </c>
    </row>
    <row r="190" s="65" customFormat="1" customHeight="1" spans="1:13">
      <c r="A190" s="77">
        <v>187</v>
      </c>
      <c r="B190" s="78" t="str">
        <f t="shared" si="2"/>
        <v>Mother TinctureMentha Pip.</v>
      </c>
      <c r="C190" s="78" t="s">
        <v>107</v>
      </c>
      <c r="D190" s="78" t="s">
        <v>379</v>
      </c>
      <c r="E190" s="78" t="s">
        <v>379</v>
      </c>
      <c r="F190" s="65" t="s">
        <v>193</v>
      </c>
      <c r="G190" s="65" t="s">
        <v>194</v>
      </c>
      <c r="K190" s="81">
        <v>0.1</v>
      </c>
      <c r="L190" s="81">
        <v>0.9</v>
      </c>
      <c r="M190" s="81">
        <v>0.1</v>
      </c>
    </row>
    <row r="191" s="65" customFormat="1" customHeight="1" spans="1:13">
      <c r="A191" s="77">
        <v>188</v>
      </c>
      <c r="B191" s="78" t="str">
        <f t="shared" si="2"/>
        <v>Mother TinctureMenthol</v>
      </c>
      <c r="C191" s="78" t="s">
        <v>107</v>
      </c>
      <c r="D191" s="78" t="s">
        <v>380</v>
      </c>
      <c r="E191" s="78" t="s">
        <v>380</v>
      </c>
      <c r="F191" s="65" t="s">
        <v>193</v>
      </c>
      <c r="G191" s="65" t="s">
        <v>194</v>
      </c>
      <c r="K191" s="81">
        <v>0.1</v>
      </c>
      <c r="L191" s="81">
        <v>0.9</v>
      </c>
      <c r="M191" s="81">
        <v>0.1</v>
      </c>
    </row>
    <row r="192" s="65" customFormat="1" customHeight="1" spans="1:13">
      <c r="A192" s="77">
        <v>189</v>
      </c>
      <c r="B192" s="78" t="str">
        <f t="shared" si="2"/>
        <v>Mother TinctureMenyanthus.</v>
      </c>
      <c r="C192" s="78" t="s">
        <v>107</v>
      </c>
      <c r="D192" s="78" t="s">
        <v>381</v>
      </c>
      <c r="E192" s="78" t="s">
        <v>381</v>
      </c>
      <c r="F192" s="65" t="s">
        <v>193</v>
      </c>
      <c r="G192" s="65" t="s">
        <v>194</v>
      </c>
      <c r="K192" s="81">
        <v>0.1</v>
      </c>
      <c r="L192" s="81">
        <v>0.9</v>
      </c>
      <c r="M192" s="81">
        <v>0.1</v>
      </c>
    </row>
    <row r="193" s="65" customFormat="1" customHeight="1" spans="1:13">
      <c r="A193" s="77">
        <v>190</v>
      </c>
      <c r="B193" s="78" t="str">
        <f t="shared" si="2"/>
        <v>Mother TinctureMezereum</v>
      </c>
      <c r="C193" s="78" t="s">
        <v>107</v>
      </c>
      <c r="D193" s="78" t="s">
        <v>382</v>
      </c>
      <c r="E193" s="78" t="s">
        <v>382</v>
      </c>
      <c r="F193" s="65" t="s">
        <v>193</v>
      </c>
      <c r="G193" s="65" t="s">
        <v>194</v>
      </c>
      <c r="K193" s="81">
        <v>0.1</v>
      </c>
      <c r="L193" s="81">
        <v>0.9</v>
      </c>
      <c r="M193" s="81">
        <v>0.1</v>
      </c>
    </row>
    <row r="194" s="65" customFormat="1" customHeight="1" spans="1:13">
      <c r="A194" s="77">
        <v>191</v>
      </c>
      <c r="B194" s="78" t="str">
        <f t="shared" si="2"/>
        <v>Mother TinctureMillefolium</v>
      </c>
      <c r="C194" s="78" t="s">
        <v>107</v>
      </c>
      <c r="D194" s="78" t="s">
        <v>383</v>
      </c>
      <c r="E194" s="78" t="s">
        <v>383</v>
      </c>
      <c r="F194" s="65" t="s">
        <v>193</v>
      </c>
      <c r="G194" s="65" t="s">
        <v>194</v>
      </c>
      <c r="K194" s="81">
        <v>0.1</v>
      </c>
      <c r="L194" s="81">
        <v>0.9</v>
      </c>
      <c r="M194" s="81">
        <v>0.1</v>
      </c>
    </row>
    <row r="195" s="65" customFormat="1" customHeight="1" spans="1:13">
      <c r="A195" s="77">
        <v>192</v>
      </c>
      <c r="B195" s="78" t="str">
        <f t="shared" si="2"/>
        <v>Mother TinctureMimosa Pud</v>
      </c>
      <c r="C195" s="78" t="s">
        <v>107</v>
      </c>
      <c r="D195" s="78" t="s">
        <v>384</v>
      </c>
      <c r="E195" s="78" t="s">
        <v>384</v>
      </c>
      <c r="F195" s="65" t="s">
        <v>193</v>
      </c>
      <c r="G195" s="65" t="s">
        <v>194</v>
      </c>
      <c r="K195" s="81">
        <v>0.1</v>
      </c>
      <c r="L195" s="81">
        <v>0.9</v>
      </c>
      <c r="M195" s="81">
        <v>0.1</v>
      </c>
    </row>
    <row r="196" s="65" customFormat="1" customHeight="1" spans="1:13">
      <c r="A196" s="77">
        <v>193</v>
      </c>
      <c r="B196" s="78" t="str">
        <f t="shared" si="2"/>
        <v>Mother TinctureMullein Oil</v>
      </c>
      <c r="C196" s="78" t="s">
        <v>107</v>
      </c>
      <c r="D196" s="78" t="s">
        <v>385</v>
      </c>
      <c r="E196" s="78" t="s">
        <v>385</v>
      </c>
      <c r="F196" s="65" t="s">
        <v>193</v>
      </c>
      <c r="G196" s="65" t="s">
        <v>194</v>
      </c>
      <c r="K196" s="81">
        <v>0.1</v>
      </c>
      <c r="L196" s="81">
        <v>0.9</v>
      </c>
      <c r="M196" s="81">
        <v>0.1</v>
      </c>
    </row>
    <row r="197" s="65" customFormat="1" customHeight="1" spans="1:13">
      <c r="A197" s="77">
        <v>194</v>
      </c>
      <c r="B197" s="78" t="str">
        <f t="shared" ref="B197:B260" si="3">+C197&amp;E197</f>
        <v>Mother TinctureNegundium</v>
      </c>
      <c r="C197" s="78" t="s">
        <v>107</v>
      </c>
      <c r="D197" s="78" t="s">
        <v>386</v>
      </c>
      <c r="E197" s="78" t="s">
        <v>386</v>
      </c>
      <c r="F197" s="65" t="s">
        <v>193</v>
      </c>
      <c r="G197" s="65" t="s">
        <v>194</v>
      </c>
      <c r="K197" s="81">
        <v>0.1</v>
      </c>
      <c r="L197" s="81">
        <v>0.9</v>
      </c>
      <c r="M197" s="81">
        <v>0.1</v>
      </c>
    </row>
    <row r="198" s="65" customFormat="1" customHeight="1" spans="1:13">
      <c r="A198" s="77">
        <v>195</v>
      </c>
      <c r="B198" s="78" t="str">
        <f t="shared" si="3"/>
        <v>Mother TinctureNuphar Lut.</v>
      </c>
      <c r="C198" s="78" t="s">
        <v>107</v>
      </c>
      <c r="D198" s="78" t="s">
        <v>387</v>
      </c>
      <c r="E198" s="78" t="s">
        <v>387</v>
      </c>
      <c r="F198" s="65" t="s">
        <v>193</v>
      </c>
      <c r="G198" s="65" t="s">
        <v>194</v>
      </c>
      <c r="K198" s="81">
        <v>0.1</v>
      </c>
      <c r="L198" s="81">
        <v>0.9</v>
      </c>
      <c r="M198" s="81">
        <v>0.1</v>
      </c>
    </row>
    <row r="199" s="65" customFormat="1" customHeight="1" spans="1:13">
      <c r="A199" s="77">
        <v>196</v>
      </c>
      <c r="B199" s="78" t="str">
        <f t="shared" si="3"/>
        <v>Mother TinctureNux Mosch</v>
      </c>
      <c r="C199" s="78" t="s">
        <v>107</v>
      </c>
      <c r="D199" s="78" t="s">
        <v>388</v>
      </c>
      <c r="E199" s="78" t="s">
        <v>388</v>
      </c>
      <c r="F199" s="65" t="s">
        <v>193</v>
      </c>
      <c r="G199" s="65" t="s">
        <v>194</v>
      </c>
      <c r="K199" s="81">
        <v>0.1</v>
      </c>
      <c r="L199" s="81">
        <v>0.9</v>
      </c>
      <c r="M199" s="81">
        <v>0.1</v>
      </c>
    </row>
    <row r="200" s="65" customFormat="1" customHeight="1" spans="1:13">
      <c r="A200" s="77">
        <v>197</v>
      </c>
      <c r="B200" s="78" t="str">
        <f t="shared" si="3"/>
        <v>Mother TinctureNux Vomica</v>
      </c>
      <c r="C200" s="78" t="s">
        <v>107</v>
      </c>
      <c r="D200" s="78" t="s">
        <v>389</v>
      </c>
      <c r="E200" s="78" t="s">
        <v>389</v>
      </c>
      <c r="F200" s="65" t="s">
        <v>193</v>
      </c>
      <c r="G200" s="65" t="s">
        <v>194</v>
      </c>
      <c r="K200" s="81">
        <v>0.1</v>
      </c>
      <c r="L200" s="81">
        <v>0.9</v>
      </c>
      <c r="M200" s="81">
        <v>0.1</v>
      </c>
    </row>
    <row r="201" s="65" customFormat="1" customHeight="1" spans="1:13">
      <c r="A201" s="77">
        <v>198</v>
      </c>
      <c r="B201" s="78" t="str">
        <f t="shared" si="3"/>
        <v>Mother TinctureNymphoea O</v>
      </c>
      <c r="C201" s="78" t="s">
        <v>107</v>
      </c>
      <c r="D201" s="78" t="s">
        <v>390</v>
      </c>
      <c r="E201" s="78" t="s">
        <v>390</v>
      </c>
      <c r="F201" s="65" t="s">
        <v>193</v>
      </c>
      <c r="G201" s="65" t="s">
        <v>194</v>
      </c>
      <c r="K201" s="81">
        <v>0.1</v>
      </c>
      <c r="L201" s="81">
        <v>0.9</v>
      </c>
      <c r="M201" s="81">
        <v>0.1</v>
      </c>
    </row>
    <row r="202" s="65" customFormat="1" customHeight="1" spans="1:13">
      <c r="A202" s="77">
        <v>199</v>
      </c>
      <c r="B202" s="78" t="str">
        <f t="shared" si="3"/>
        <v>Mother TinctureOcimum Can.</v>
      </c>
      <c r="C202" s="78" t="s">
        <v>107</v>
      </c>
      <c r="D202" s="78" t="s">
        <v>391</v>
      </c>
      <c r="E202" s="78" t="s">
        <v>391</v>
      </c>
      <c r="F202" s="65" t="s">
        <v>193</v>
      </c>
      <c r="G202" s="65" t="s">
        <v>194</v>
      </c>
      <c r="K202" s="81">
        <v>0.1</v>
      </c>
      <c r="L202" s="81">
        <v>0.9</v>
      </c>
      <c r="M202" s="81">
        <v>0.1</v>
      </c>
    </row>
    <row r="203" s="65" customFormat="1" customHeight="1" spans="1:13">
      <c r="A203" s="77">
        <v>200</v>
      </c>
      <c r="B203" s="78" t="str">
        <f t="shared" si="3"/>
        <v>Mother TinctureOcimum Sanct.</v>
      </c>
      <c r="C203" s="78" t="s">
        <v>107</v>
      </c>
      <c r="D203" s="78" t="s">
        <v>392</v>
      </c>
      <c r="E203" s="78" t="s">
        <v>392</v>
      </c>
      <c r="F203" s="65" t="s">
        <v>193</v>
      </c>
      <c r="G203" s="65" t="s">
        <v>194</v>
      </c>
      <c r="K203" s="81">
        <v>0.1</v>
      </c>
      <c r="L203" s="81">
        <v>0.9</v>
      </c>
      <c r="M203" s="81">
        <v>0.1</v>
      </c>
    </row>
    <row r="204" s="65" customFormat="1" customHeight="1" spans="1:13">
      <c r="A204" s="77">
        <v>201</v>
      </c>
      <c r="B204" s="78" t="str">
        <f t="shared" si="3"/>
        <v>Mother TinctureOenanthe Croc</v>
      </c>
      <c r="C204" s="78" t="s">
        <v>107</v>
      </c>
      <c r="D204" s="78" t="s">
        <v>393</v>
      </c>
      <c r="E204" s="78" t="s">
        <v>393</v>
      </c>
      <c r="F204" s="65" t="s">
        <v>193</v>
      </c>
      <c r="G204" s="65" t="s">
        <v>194</v>
      </c>
      <c r="K204" s="81">
        <v>0.1</v>
      </c>
      <c r="L204" s="81">
        <v>0.9</v>
      </c>
      <c r="M204" s="81">
        <v>0.1</v>
      </c>
    </row>
    <row r="205" s="65" customFormat="1" customHeight="1" spans="1:13">
      <c r="A205" s="77">
        <v>202</v>
      </c>
      <c r="B205" s="78" t="str">
        <f t="shared" si="3"/>
        <v>Mother TinctureOleander</v>
      </c>
      <c r="C205" s="78" t="s">
        <v>107</v>
      </c>
      <c r="D205" s="78" t="s">
        <v>394</v>
      </c>
      <c r="E205" s="78" t="s">
        <v>394</v>
      </c>
      <c r="F205" s="65" t="s">
        <v>193</v>
      </c>
      <c r="G205" s="65" t="s">
        <v>194</v>
      </c>
      <c r="K205" s="81">
        <v>0.1</v>
      </c>
      <c r="L205" s="81">
        <v>0.9</v>
      </c>
      <c r="M205" s="81">
        <v>0.1</v>
      </c>
    </row>
    <row r="206" s="65" customFormat="1" customHeight="1" spans="1:13">
      <c r="A206" s="77">
        <v>203</v>
      </c>
      <c r="B206" s="78" t="str">
        <f t="shared" si="3"/>
        <v>Mother TinctureOrnithogalum</v>
      </c>
      <c r="C206" s="78" t="s">
        <v>107</v>
      </c>
      <c r="D206" s="78" t="s">
        <v>395</v>
      </c>
      <c r="E206" s="78" t="s">
        <v>395</v>
      </c>
      <c r="F206" s="65" t="s">
        <v>193</v>
      </c>
      <c r="G206" s="65" t="s">
        <v>194</v>
      </c>
      <c r="K206" s="81">
        <v>0.1</v>
      </c>
      <c r="L206" s="81">
        <v>0.9</v>
      </c>
      <c r="M206" s="81">
        <v>0.1</v>
      </c>
    </row>
    <row r="207" s="65" customFormat="1" customHeight="1" spans="1:13">
      <c r="A207" s="77">
        <v>204</v>
      </c>
      <c r="B207" s="78" t="str">
        <f t="shared" si="3"/>
        <v>Mother TincturePaeonia Off</v>
      </c>
      <c r="C207" s="78" t="s">
        <v>107</v>
      </c>
      <c r="D207" s="78" t="s">
        <v>396</v>
      </c>
      <c r="E207" s="78" t="s">
        <v>396</v>
      </c>
      <c r="F207" s="65" t="s">
        <v>193</v>
      </c>
      <c r="G207" s="65" t="s">
        <v>194</v>
      </c>
      <c r="K207" s="81">
        <v>0.1</v>
      </c>
      <c r="L207" s="81">
        <v>0.9</v>
      </c>
      <c r="M207" s="81">
        <v>0.1</v>
      </c>
    </row>
    <row r="208" s="65" customFormat="1" customHeight="1" spans="1:13">
      <c r="A208" s="77">
        <v>205</v>
      </c>
      <c r="B208" s="78" t="str">
        <f t="shared" si="3"/>
        <v>Mother TincturePareira Brav.</v>
      </c>
      <c r="C208" s="78" t="s">
        <v>107</v>
      </c>
      <c r="D208" s="78" t="s">
        <v>397</v>
      </c>
      <c r="E208" s="78" t="s">
        <v>397</v>
      </c>
      <c r="F208" s="65" t="s">
        <v>193</v>
      </c>
      <c r="G208" s="65" t="s">
        <v>194</v>
      </c>
      <c r="K208" s="81">
        <v>0.1</v>
      </c>
      <c r="L208" s="81">
        <v>0.9</v>
      </c>
      <c r="M208" s="81">
        <v>0.1</v>
      </c>
    </row>
    <row r="209" s="65" customFormat="1" customHeight="1" spans="1:13">
      <c r="A209" s="77">
        <v>206</v>
      </c>
      <c r="B209" s="78" t="str">
        <f t="shared" si="3"/>
        <v>Mother TincturePassiflora. Inc.</v>
      </c>
      <c r="C209" s="78" t="s">
        <v>107</v>
      </c>
      <c r="D209" s="78" t="s">
        <v>398</v>
      </c>
      <c r="E209" s="78" t="s">
        <v>398</v>
      </c>
      <c r="F209" s="65" t="s">
        <v>193</v>
      </c>
      <c r="G209" s="65" t="s">
        <v>194</v>
      </c>
      <c r="K209" s="81">
        <v>0.1</v>
      </c>
      <c r="L209" s="81">
        <v>0.9</v>
      </c>
      <c r="M209" s="81">
        <v>0.1</v>
      </c>
    </row>
    <row r="210" s="65" customFormat="1" customHeight="1" spans="1:13">
      <c r="A210" s="77">
        <v>207</v>
      </c>
      <c r="B210" s="78" t="str">
        <f t="shared" si="3"/>
        <v>Mother TincturePhosph. Acid (Acid Phos)</v>
      </c>
      <c r="C210" s="78" t="s">
        <v>107</v>
      </c>
      <c r="D210" s="78" t="s">
        <v>399</v>
      </c>
      <c r="E210" s="78" t="s">
        <v>399</v>
      </c>
      <c r="F210" s="65" t="s">
        <v>193</v>
      </c>
      <c r="G210" s="65" t="s">
        <v>194</v>
      </c>
      <c r="K210" s="81">
        <v>0.1</v>
      </c>
      <c r="L210" s="81">
        <v>0.9</v>
      </c>
      <c r="M210" s="81">
        <v>0.1</v>
      </c>
    </row>
    <row r="211" s="65" customFormat="1" customHeight="1" spans="1:13">
      <c r="A211" s="77">
        <v>208</v>
      </c>
      <c r="B211" s="78" t="str">
        <f t="shared" si="3"/>
        <v>Mother TincturePhysostigma</v>
      </c>
      <c r="C211" s="78" t="s">
        <v>107</v>
      </c>
      <c r="D211" s="78" t="s">
        <v>400</v>
      </c>
      <c r="E211" s="78" t="s">
        <v>400</v>
      </c>
      <c r="F211" s="65" t="s">
        <v>193</v>
      </c>
      <c r="G211" s="65" t="s">
        <v>194</v>
      </c>
      <c r="K211" s="81">
        <v>0.1</v>
      </c>
      <c r="L211" s="81">
        <v>0.9</v>
      </c>
      <c r="M211" s="81">
        <v>0.1</v>
      </c>
    </row>
    <row r="212" s="65" customFormat="1" customHeight="1" spans="1:13">
      <c r="A212" s="77">
        <v>209</v>
      </c>
      <c r="B212" s="78" t="str">
        <f t="shared" si="3"/>
        <v>Mother TincturePhytolacca. Berry.</v>
      </c>
      <c r="C212" s="78" t="s">
        <v>107</v>
      </c>
      <c r="D212" s="78" t="s">
        <v>401</v>
      </c>
      <c r="E212" s="78" t="s">
        <v>401</v>
      </c>
      <c r="F212" s="65" t="s">
        <v>193</v>
      </c>
      <c r="G212" s="65" t="s">
        <v>194</v>
      </c>
      <c r="K212" s="81">
        <v>0.1</v>
      </c>
      <c r="L212" s="81">
        <v>0.9</v>
      </c>
      <c r="M212" s="81">
        <v>0.1</v>
      </c>
    </row>
    <row r="213" s="65" customFormat="1" customHeight="1" spans="1:13">
      <c r="A213" s="77">
        <v>210</v>
      </c>
      <c r="B213" s="78" t="str">
        <f t="shared" si="3"/>
        <v>Mother TincturePhytolacca. Dec.</v>
      </c>
      <c r="C213" s="78" t="s">
        <v>107</v>
      </c>
      <c r="D213" s="78" t="s">
        <v>402</v>
      </c>
      <c r="E213" s="78" t="s">
        <v>402</v>
      </c>
      <c r="F213" s="65" t="s">
        <v>193</v>
      </c>
      <c r="G213" s="65" t="s">
        <v>194</v>
      </c>
      <c r="K213" s="81">
        <v>0.1</v>
      </c>
      <c r="L213" s="81">
        <v>0.9</v>
      </c>
      <c r="M213" s="81">
        <v>0.1</v>
      </c>
    </row>
    <row r="214" s="65" customFormat="1" customHeight="1" spans="1:13">
      <c r="A214" s="77">
        <v>211</v>
      </c>
      <c r="B214" s="78" t="str">
        <f t="shared" si="3"/>
        <v>Mother TincturePilocarpus (Jaborandi)</v>
      </c>
      <c r="C214" s="78" t="s">
        <v>107</v>
      </c>
      <c r="D214" s="78" t="s">
        <v>403</v>
      </c>
      <c r="E214" s="78" t="s">
        <v>403</v>
      </c>
      <c r="F214" s="65" t="s">
        <v>193</v>
      </c>
      <c r="G214" s="65" t="s">
        <v>194</v>
      </c>
      <c r="K214" s="81">
        <v>0.1</v>
      </c>
      <c r="L214" s="81">
        <v>0.9</v>
      </c>
      <c r="M214" s="81">
        <v>0.1</v>
      </c>
    </row>
    <row r="215" s="65" customFormat="1" customHeight="1" spans="1:13">
      <c r="A215" s="77">
        <v>212</v>
      </c>
      <c r="B215" s="78" t="str">
        <f t="shared" si="3"/>
        <v>Mother TincturePinus Lamb</v>
      </c>
      <c r="C215" s="78" t="s">
        <v>107</v>
      </c>
      <c r="D215" s="78" t="s">
        <v>404</v>
      </c>
      <c r="E215" s="78" t="s">
        <v>404</v>
      </c>
      <c r="F215" s="65" t="s">
        <v>193</v>
      </c>
      <c r="G215" s="65" t="s">
        <v>194</v>
      </c>
      <c r="K215" s="81">
        <v>0.1</v>
      </c>
      <c r="L215" s="81">
        <v>0.9</v>
      </c>
      <c r="M215" s="81">
        <v>0.1</v>
      </c>
    </row>
    <row r="216" s="65" customFormat="1" customHeight="1" spans="1:13">
      <c r="A216" s="77">
        <v>213</v>
      </c>
      <c r="B216" s="78" t="str">
        <f t="shared" si="3"/>
        <v>Mother TincturePinus Syl.</v>
      </c>
      <c r="C216" s="78" t="s">
        <v>107</v>
      </c>
      <c r="D216" s="78" t="s">
        <v>405</v>
      </c>
      <c r="E216" s="78" t="s">
        <v>405</v>
      </c>
      <c r="F216" s="65" t="s">
        <v>193</v>
      </c>
      <c r="G216" s="65" t="s">
        <v>194</v>
      </c>
      <c r="K216" s="81">
        <v>0.1</v>
      </c>
      <c r="L216" s="81">
        <v>0.9</v>
      </c>
      <c r="M216" s="81">
        <v>0.1</v>
      </c>
    </row>
    <row r="217" s="65" customFormat="1" customHeight="1" spans="1:13">
      <c r="A217" s="77">
        <v>214</v>
      </c>
      <c r="B217" s="78" t="str">
        <f t="shared" si="3"/>
        <v>Mother TincturePiper Meth.</v>
      </c>
      <c r="C217" s="78" t="s">
        <v>107</v>
      </c>
      <c r="D217" s="78" t="s">
        <v>406</v>
      </c>
      <c r="E217" s="78" t="s">
        <v>406</v>
      </c>
      <c r="F217" s="65" t="s">
        <v>193</v>
      </c>
      <c r="G217" s="65" t="s">
        <v>194</v>
      </c>
      <c r="K217" s="81">
        <v>0.1</v>
      </c>
      <c r="L217" s="81">
        <v>0.9</v>
      </c>
      <c r="M217" s="81">
        <v>0.1</v>
      </c>
    </row>
    <row r="218" s="65" customFormat="1" customHeight="1" spans="1:13">
      <c r="A218" s="77">
        <v>215</v>
      </c>
      <c r="B218" s="78" t="str">
        <f t="shared" si="3"/>
        <v>Mother TincturePiper Nig.</v>
      </c>
      <c r="C218" s="78" t="s">
        <v>107</v>
      </c>
      <c r="D218" s="78" t="s">
        <v>407</v>
      </c>
      <c r="E218" s="78" t="s">
        <v>407</v>
      </c>
      <c r="F218" s="65" t="s">
        <v>193</v>
      </c>
      <c r="G218" s="65" t="s">
        <v>194</v>
      </c>
      <c r="K218" s="81">
        <v>0.1</v>
      </c>
      <c r="L218" s="81">
        <v>0.9</v>
      </c>
      <c r="M218" s="81">
        <v>0.1</v>
      </c>
    </row>
    <row r="219" s="65" customFormat="1" customHeight="1" spans="1:13">
      <c r="A219" s="77">
        <v>216</v>
      </c>
      <c r="B219" s="78" t="str">
        <f t="shared" si="3"/>
        <v>Mother TincturePiscidia E</v>
      </c>
      <c r="C219" s="78" t="s">
        <v>107</v>
      </c>
      <c r="D219" s="78" t="s">
        <v>408</v>
      </c>
      <c r="E219" s="78" t="s">
        <v>408</v>
      </c>
      <c r="F219" s="65" t="s">
        <v>193</v>
      </c>
      <c r="G219" s="65" t="s">
        <v>194</v>
      </c>
      <c r="K219" s="81">
        <v>0.1</v>
      </c>
      <c r="L219" s="81">
        <v>0.9</v>
      </c>
      <c r="M219" s="81">
        <v>0.1</v>
      </c>
    </row>
    <row r="220" s="65" customFormat="1" customHeight="1" spans="1:13">
      <c r="A220" s="77">
        <v>217</v>
      </c>
      <c r="B220" s="78" t="str">
        <f t="shared" si="3"/>
        <v>Mother TincturePlantago M</v>
      </c>
      <c r="C220" s="78" t="s">
        <v>107</v>
      </c>
      <c r="D220" s="78" t="s">
        <v>409</v>
      </c>
      <c r="E220" s="78" t="s">
        <v>409</v>
      </c>
      <c r="F220" s="65" t="s">
        <v>193</v>
      </c>
      <c r="G220" s="65" t="s">
        <v>194</v>
      </c>
      <c r="K220" s="81">
        <v>0.1</v>
      </c>
      <c r="L220" s="81">
        <v>0.9</v>
      </c>
      <c r="M220" s="81">
        <v>0.1</v>
      </c>
    </row>
    <row r="221" s="65" customFormat="1" customHeight="1" spans="1:13">
      <c r="A221" s="77">
        <v>218</v>
      </c>
      <c r="B221" s="78" t="str">
        <f t="shared" si="3"/>
        <v>Mother TincturePodophyllum</v>
      </c>
      <c r="C221" s="78" t="s">
        <v>107</v>
      </c>
      <c r="D221" s="78" t="s">
        <v>410</v>
      </c>
      <c r="E221" s="78" t="s">
        <v>410</v>
      </c>
      <c r="F221" s="65" t="s">
        <v>193</v>
      </c>
      <c r="G221" s="65" t="s">
        <v>194</v>
      </c>
      <c r="K221" s="81">
        <v>0.1</v>
      </c>
      <c r="L221" s="81">
        <v>0.9</v>
      </c>
      <c r="M221" s="81">
        <v>0.1</v>
      </c>
    </row>
    <row r="222" s="65" customFormat="1" customHeight="1" spans="1:13">
      <c r="A222" s="77">
        <v>219</v>
      </c>
      <c r="B222" s="78" t="str">
        <f t="shared" si="3"/>
        <v>Mother TincturePopulus Can.</v>
      </c>
      <c r="C222" s="78" t="s">
        <v>107</v>
      </c>
      <c r="D222" s="78" t="s">
        <v>411</v>
      </c>
      <c r="E222" s="78" t="s">
        <v>411</v>
      </c>
      <c r="F222" s="65" t="s">
        <v>193</v>
      </c>
      <c r="G222" s="65" t="s">
        <v>194</v>
      </c>
      <c r="K222" s="81">
        <v>0.1</v>
      </c>
      <c r="L222" s="81">
        <v>0.9</v>
      </c>
      <c r="M222" s="81">
        <v>0.1</v>
      </c>
    </row>
    <row r="223" s="65" customFormat="1" customHeight="1" spans="1:13">
      <c r="A223" s="77">
        <v>220</v>
      </c>
      <c r="B223" s="78" t="str">
        <f t="shared" si="3"/>
        <v>Mother TincturePothos Foet.</v>
      </c>
      <c r="C223" s="78" t="s">
        <v>107</v>
      </c>
      <c r="D223" s="78" t="s">
        <v>412</v>
      </c>
      <c r="E223" s="78" t="s">
        <v>412</v>
      </c>
      <c r="F223" s="65" t="s">
        <v>193</v>
      </c>
      <c r="G223" s="65" t="s">
        <v>194</v>
      </c>
      <c r="K223" s="81">
        <v>0.1</v>
      </c>
      <c r="L223" s="81">
        <v>0.9</v>
      </c>
      <c r="M223" s="81">
        <v>0.1</v>
      </c>
    </row>
    <row r="224" s="65" customFormat="1" customHeight="1" spans="1:13">
      <c r="A224" s="77">
        <v>221</v>
      </c>
      <c r="B224" s="78" t="str">
        <f t="shared" si="3"/>
        <v>Mother TincturePsoralea Cor.</v>
      </c>
      <c r="C224" s="78" t="s">
        <v>107</v>
      </c>
      <c r="D224" s="78" t="s">
        <v>413</v>
      </c>
      <c r="E224" s="78" t="s">
        <v>413</v>
      </c>
      <c r="F224" s="65" t="s">
        <v>193</v>
      </c>
      <c r="G224" s="65" t="s">
        <v>194</v>
      </c>
      <c r="K224" s="81">
        <v>0.1</v>
      </c>
      <c r="L224" s="81">
        <v>0.9</v>
      </c>
      <c r="M224" s="81">
        <v>0.1</v>
      </c>
    </row>
    <row r="225" s="65" customFormat="1" customHeight="1" spans="1:13">
      <c r="A225" s="77">
        <v>222</v>
      </c>
      <c r="B225" s="78" t="str">
        <f t="shared" si="3"/>
        <v>Mother TincturePulsatilla Nig.</v>
      </c>
      <c r="C225" s="78" t="s">
        <v>107</v>
      </c>
      <c r="D225" s="78" t="s">
        <v>414</v>
      </c>
      <c r="E225" s="78" t="s">
        <v>414</v>
      </c>
      <c r="F225" s="65" t="s">
        <v>193</v>
      </c>
      <c r="G225" s="65" t="s">
        <v>194</v>
      </c>
      <c r="K225" s="81">
        <v>0.1</v>
      </c>
      <c r="L225" s="81">
        <v>0.9</v>
      </c>
      <c r="M225" s="81">
        <v>0.1</v>
      </c>
    </row>
    <row r="226" s="65" customFormat="1" customHeight="1" spans="1:13">
      <c r="A226" s="77">
        <v>223</v>
      </c>
      <c r="B226" s="78" t="str">
        <f t="shared" si="3"/>
        <v>Mother TincturePunarnava (Boerhavia Dif.)</v>
      </c>
      <c r="C226" s="78" t="s">
        <v>107</v>
      </c>
      <c r="D226" s="78" t="s">
        <v>415</v>
      </c>
      <c r="E226" s="78" t="s">
        <v>415</v>
      </c>
      <c r="F226" s="65" t="s">
        <v>193</v>
      </c>
      <c r="G226" s="65" t="s">
        <v>194</v>
      </c>
      <c r="K226" s="81">
        <v>0.1</v>
      </c>
      <c r="L226" s="81">
        <v>0.9</v>
      </c>
      <c r="M226" s="81">
        <v>0.1</v>
      </c>
    </row>
    <row r="227" s="65" customFormat="1" customHeight="1" spans="1:13">
      <c r="A227" s="77">
        <v>224</v>
      </c>
      <c r="B227" s="78" t="str">
        <f t="shared" si="3"/>
        <v>Mother TinctureRanuncul Scl.</v>
      </c>
      <c r="C227" s="78" t="s">
        <v>107</v>
      </c>
      <c r="D227" s="78" t="s">
        <v>416</v>
      </c>
      <c r="E227" s="78" t="s">
        <v>416</v>
      </c>
      <c r="F227" s="65" t="s">
        <v>193</v>
      </c>
      <c r="G227" s="65" t="s">
        <v>194</v>
      </c>
      <c r="K227" s="81">
        <v>0.1</v>
      </c>
      <c r="L227" s="81">
        <v>0.9</v>
      </c>
      <c r="M227" s="81">
        <v>0.1</v>
      </c>
    </row>
    <row r="228" s="65" customFormat="1" customHeight="1" spans="1:13">
      <c r="A228" s="77">
        <v>225</v>
      </c>
      <c r="B228" s="78" t="str">
        <f t="shared" si="3"/>
        <v>Mother TinctureRaphanus Sat.</v>
      </c>
      <c r="C228" s="78" t="s">
        <v>107</v>
      </c>
      <c r="D228" s="78" t="s">
        <v>417</v>
      </c>
      <c r="E228" s="78" t="s">
        <v>417</v>
      </c>
      <c r="F228" s="65" t="s">
        <v>193</v>
      </c>
      <c r="G228" s="65" t="s">
        <v>194</v>
      </c>
      <c r="K228" s="81">
        <v>0.1</v>
      </c>
      <c r="L228" s="81">
        <v>0.9</v>
      </c>
      <c r="M228" s="81">
        <v>0.1</v>
      </c>
    </row>
    <row r="229" s="65" customFormat="1" customHeight="1" spans="1:13">
      <c r="A229" s="77">
        <v>226</v>
      </c>
      <c r="B229" s="78" t="str">
        <f t="shared" si="3"/>
        <v>Mother TinctureRatanhia</v>
      </c>
      <c r="C229" s="78" t="s">
        <v>107</v>
      </c>
      <c r="D229" s="78" t="s">
        <v>418</v>
      </c>
      <c r="E229" s="78" t="s">
        <v>418</v>
      </c>
      <c r="F229" s="65" t="s">
        <v>193</v>
      </c>
      <c r="G229" s="65" t="s">
        <v>194</v>
      </c>
      <c r="K229" s="81">
        <v>0.1</v>
      </c>
      <c r="L229" s="81">
        <v>0.9</v>
      </c>
      <c r="M229" s="81">
        <v>0.1</v>
      </c>
    </row>
    <row r="230" s="65" customFormat="1" customHeight="1" spans="1:13">
      <c r="A230" s="77">
        <v>227</v>
      </c>
      <c r="B230" s="78" t="str">
        <f t="shared" si="3"/>
        <v>Mother TinctureRauwolfia Serp.</v>
      </c>
      <c r="C230" s="78" t="s">
        <v>107</v>
      </c>
      <c r="D230" s="78" t="s">
        <v>419</v>
      </c>
      <c r="E230" s="78" t="s">
        <v>419</v>
      </c>
      <c r="F230" s="65" t="s">
        <v>193</v>
      </c>
      <c r="G230" s="65" t="s">
        <v>194</v>
      </c>
      <c r="K230" s="81">
        <v>0.1</v>
      </c>
      <c r="L230" s="81">
        <v>0.9</v>
      </c>
      <c r="M230" s="81">
        <v>0.1</v>
      </c>
    </row>
    <row r="231" s="65" customFormat="1" customHeight="1" spans="1:13">
      <c r="A231" s="77">
        <v>228</v>
      </c>
      <c r="B231" s="78" t="str">
        <f t="shared" si="3"/>
        <v>Mother TinctureRhododendron</v>
      </c>
      <c r="C231" s="78" t="s">
        <v>107</v>
      </c>
      <c r="D231" s="78" t="s">
        <v>420</v>
      </c>
      <c r="E231" s="78" t="s">
        <v>420</v>
      </c>
      <c r="F231" s="65" t="s">
        <v>193</v>
      </c>
      <c r="G231" s="65" t="s">
        <v>194</v>
      </c>
      <c r="K231" s="81">
        <v>0.1</v>
      </c>
      <c r="L231" s="81">
        <v>0.9</v>
      </c>
      <c r="M231" s="81">
        <v>0.1</v>
      </c>
    </row>
    <row r="232" s="65" customFormat="1" customHeight="1" spans="1:13">
      <c r="A232" s="77">
        <v>229</v>
      </c>
      <c r="B232" s="78" t="str">
        <f t="shared" si="3"/>
        <v>Mother TinctureRhus Tox</v>
      </c>
      <c r="C232" s="78" t="s">
        <v>107</v>
      </c>
      <c r="D232" s="78" t="s">
        <v>421</v>
      </c>
      <c r="E232" s="78" t="s">
        <v>421</v>
      </c>
      <c r="F232" s="65" t="s">
        <v>193</v>
      </c>
      <c r="G232" s="65" t="s">
        <v>194</v>
      </c>
      <c r="K232" s="81">
        <v>0.1</v>
      </c>
      <c r="L232" s="81">
        <v>0.9</v>
      </c>
      <c r="M232" s="81">
        <v>0.1</v>
      </c>
    </row>
    <row r="233" s="65" customFormat="1" customHeight="1" spans="1:13">
      <c r="A233" s="77">
        <v>230</v>
      </c>
      <c r="B233" s="78" t="str">
        <f t="shared" si="3"/>
        <v>Mother TinctureRhus Ven</v>
      </c>
      <c r="C233" s="78" t="s">
        <v>107</v>
      </c>
      <c r="D233" s="78" t="s">
        <v>422</v>
      </c>
      <c r="E233" s="78" t="s">
        <v>422</v>
      </c>
      <c r="F233" s="65" t="s">
        <v>193</v>
      </c>
      <c r="G233" s="65" t="s">
        <v>194</v>
      </c>
      <c r="K233" s="81">
        <v>0.1</v>
      </c>
      <c r="L233" s="81">
        <v>0.9</v>
      </c>
      <c r="M233" s="81">
        <v>0.1</v>
      </c>
    </row>
    <row r="234" s="65" customFormat="1" customHeight="1" spans="1:13">
      <c r="A234" s="77">
        <v>231</v>
      </c>
      <c r="B234" s="78" t="str">
        <f t="shared" si="3"/>
        <v>Mother TinctureRicinus Com</v>
      </c>
      <c r="C234" s="78" t="s">
        <v>107</v>
      </c>
      <c r="D234" s="78" t="s">
        <v>423</v>
      </c>
      <c r="E234" s="78" t="s">
        <v>423</v>
      </c>
      <c r="F234" s="65" t="s">
        <v>193</v>
      </c>
      <c r="G234" s="65" t="s">
        <v>194</v>
      </c>
      <c r="K234" s="81">
        <v>0.1</v>
      </c>
      <c r="L234" s="81">
        <v>0.9</v>
      </c>
      <c r="M234" s="81">
        <v>0.1</v>
      </c>
    </row>
    <row r="235" s="65" customFormat="1" customHeight="1" spans="1:13">
      <c r="A235" s="77">
        <v>232</v>
      </c>
      <c r="B235" s="78" t="str">
        <f t="shared" si="3"/>
        <v>Mother TinctureRobinia</v>
      </c>
      <c r="C235" s="78" t="s">
        <v>107</v>
      </c>
      <c r="D235" s="78" t="s">
        <v>424</v>
      </c>
      <c r="E235" s="78" t="s">
        <v>424</v>
      </c>
      <c r="F235" s="65" t="s">
        <v>193</v>
      </c>
      <c r="G235" s="65" t="s">
        <v>194</v>
      </c>
      <c r="K235" s="81">
        <v>0.1</v>
      </c>
      <c r="L235" s="81">
        <v>0.9</v>
      </c>
      <c r="M235" s="81">
        <v>0.1</v>
      </c>
    </row>
    <row r="236" s="65" customFormat="1" customHeight="1" spans="1:13">
      <c r="A236" s="77">
        <v>233</v>
      </c>
      <c r="B236" s="78" t="str">
        <f t="shared" si="3"/>
        <v>Mother TinctureRuta Grav.</v>
      </c>
      <c r="C236" s="78" t="s">
        <v>107</v>
      </c>
      <c r="D236" s="78" t="s">
        <v>425</v>
      </c>
      <c r="E236" s="78" t="s">
        <v>425</v>
      </c>
      <c r="F236" s="65" t="s">
        <v>193</v>
      </c>
      <c r="G236" s="65" t="s">
        <v>194</v>
      </c>
      <c r="K236" s="81">
        <v>0.1</v>
      </c>
      <c r="L236" s="81">
        <v>0.9</v>
      </c>
      <c r="M236" s="81">
        <v>0.1</v>
      </c>
    </row>
    <row r="237" s="65" customFormat="1" customHeight="1" spans="1:13">
      <c r="A237" s="77">
        <v>234</v>
      </c>
      <c r="B237" s="78" t="str">
        <f t="shared" si="3"/>
        <v>Mother TinctureSabadilla</v>
      </c>
      <c r="C237" s="78" t="s">
        <v>107</v>
      </c>
      <c r="D237" s="78" t="s">
        <v>426</v>
      </c>
      <c r="E237" s="78" t="s">
        <v>426</v>
      </c>
      <c r="F237" s="65" t="s">
        <v>193</v>
      </c>
      <c r="G237" s="65" t="s">
        <v>194</v>
      </c>
      <c r="K237" s="81">
        <v>0.1</v>
      </c>
      <c r="L237" s="81">
        <v>0.9</v>
      </c>
      <c r="M237" s="81">
        <v>0.1</v>
      </c>
    </row>
    <row r="238" s="65" customFormat="1" customHeight="1" spans="1:13">
      <c r="A238" s="77">
        <v>235</v>
      </c>
      <c r="B238" s="78" t="str">
        <f t="shared" si="3"/>
        <v>Mother TinctureSabal Serr.</v>
      </c>
      <c r="C238" s="78" t="s">
        <v>107</v>
      </c>
      <c r="D238" s="78" t="s">
        <v>427</v>
      </c>
      <c r="E238" s="78" t="s">
        <v>427</v>
      </c>
      <c r="F238" s="65" t="s">
        <v>193</v>
      </c>
      <c r="G238" s="65" t="s">
        <v>194</v>
      </c>
      <c r="K238" s="81">
        <v>0.1</v>
      </c>
      <c r="L238" s="81">
        <v>0.9</v>
      </c>
      <c r="M238" s="81">
        <v>0.1</v>
      </c>
    </row>
    <row r="239" s="65" customFormat="1" customHeight="1" spans="1:13">
      <c r="A239" s="77">
        <v>236</v>
      </c>
      <c r="B239" s="78" t="str">
        <f t="shared" si="3"/>
        <v>Mother TinctureSabina</v>
      </c>
      <c r="C239" s="78" t="s">
        <v>107</v>
      </c>
      <c r="D239" s="78" t="s">
        <v>428</v>
      </c>
      <c r="E239" s="78" t="s">
        <v>428</v>
      </c>
      <c r="F239" s="65" t="s">
        <v>193</v>
      </c>
      <c r="G239" s="65" t="s">
        <v>194</v>
      </c>
      <c r="K239" s="81">
        <v>0.1</v>
      </c>
      <c r="L239" s="81">
        <v>0.9</v>
      </c>
      <c r="M239" s="81">
        <v>0.1</v>
      </c>
    </row>
    <row r="240" s="65" customFormat="1" customHeight="1" spans="1:13">
      <c r="A240" s="77">
        <v>237</v>
      </c>
      <c r="B240" s="78" t="str">
        <f t="shared" si="3"/>
        <v>Mother TinctureSalix Nig.</v>
      </c>
      <c r="C240" s="78" t="s">
        <v>107</v>
      </c>
      <c r="D240" s="78" t="s">
        <v>429</v>
      </c>
      <c r="E240" s="78" t="s">
        <v>429</v>
      </c>
      <c r="F240" s="65" t="s">
        <v>193</v>
      </c>
      <c r="G240" s="65" t="s">
        <v>194</v>
      </c>
      <c r="K240" s="81">
        <v>0.1</v>
      </c>
      <c r="L240" s="81">
        <v>0.9</v>
      </c>
      <c r="M240" s="81">
        <v>0.1</v>
      </c>
    </row>
    <row r="241" s="65" customFormat="1" customHeight="1" spans="1:13">
      <c r="A241" s="77">
        <v>238</v>
      </c>
      <c r="B241" s="78" t="str">
        <f t="shared" si="3"/>
        <v>Mother TinctureSambucus Nig.</v>
      </c>
      <c r="C241" s="78" t="s">
        <v>107</v>
      </c>
      <c r="D241" s="78" t="s">
        <v>430</v>
      </c>
      <c r="E241" s="78" t="s">
        <v>430</v>
      </c>
      <c r="F241" s="65" t="s">
        <v>193</v>
      </c>
      <c r="G241" s="65" t="s">
        <v>194</v>
      </c>
      <c r="K241" s="81">
        <v>0.1</v>
      </c>
      <c r="L241" s="81">
        <v>0.9</v>
      </c>
      <c r="M241" s="81">
        <v>0.1</v>
      </c>
    </row>
    <row r="242" s="65" customFormat="1" customHeight="1" spans="1:13">
      <c r="A242" s="77">
        <v>239</v>
      </c>
      <c r="B242" s="78" t="str">
        <f t="shared" si="3"/>
        <v>Mother TinctureSanguinar Can.</v>
      </c>
      <c r="C242" s="78" t="s">
        <v>107</v>
      </c>
      <c r="D242" s="78" t="s">
        <v>431</v>
      </c>
      <c r="E242" s="78" t="s">
        <v>431</v>
      </c>
      <c r="F242" s="65" t="s">
        <v>193</v>
      </c>
      <c r="G242" s="65" t="s">
        <v>194</v>
      </c>
      <c r="K242" s="81">
        <v>0.1</v>
      </c>
      <c r="L242" s="81">
        <v>0.9</v>
      </c>
      <c r="M242" s="81">
        <v>0.1</v>
      </c>
    </row>
    <row r="243" s="65" customFormat="1" customHeight="1" spans="1:13">
      <c r="A243" s="77">
        <v>240</v>
      </c>
      <c r="B243" s="78" t="str">
        <f t="shared" si="3"/>
        <v>Mother TinctureSarasaparilla</v>
      </c>
      <c r="C243" s="78" t="s">
        <v>107</v>
      </c>
      <c r="D243" s="78" t="s">
        <v>432</v>
      </c>
      <c r="E243" s="78" t="s">
        <v>432</v>
      </c>
      <c r="F243" s="65" t="s">
        <v>193</v>
      </c>
      <c r="G243" s="65" t="s">
        <v>194</v>
      </c>
      <c r="K243" s="81">
        <v>0.1</v>
      </c>
      <c r="L243" s="81">
        <v>0.9</v>
      </c>
      <c r="M243" s="81">
        <v>0.1</v>
      </c>
    </row>
    <row r="244" s="65" customFormat="1" customHeight="1" spans="1:13">
      <c r="A244" s="77">
        <v>241</v>
      </c>
      <c r="B244" s="78" t="str">
        <f t="shared" si="3"/>
        <v>Mother TinctureScrophularia Nodosa</v>
      </c>
      <c r="C244" s="78" t="s">
        <v>107</v>
      </c>
      <c r="D244" s="78" t="s">
        <v>433</v>
      </c>
      <c r="E244" s="78" t="s">
        <v>433</v>
      </c>
      <c r="F244" s="65" t="s">
        <v>193</v>
      </c>
      <c r="G244" s="65" t="s">
        <v>194</v>
      </c>
      <c r="K244" s="81">
        <v>0.1</v>
      </c>
      <c r="L244" s="81">
        <v>0.9</v>
      </c>
      <c r="M244" s="81">
        <v>0.1</v>
      </c>
    </row>
    <row r="245" s="65" customFormat="1" customHeight="1" spans="1:13">
      <c r="A245" s="77">
        <v>242</v>
      </c>
      <c r="B245" s="78" t="str">
        <f t="shared" si="3"/>
        <v>Mother TinctureScutellar. L</v>
      </c>
      <c r="C245" s="78" t="s">
        <v>107</v>
      </c>
      <c r="D245" s="78" t="s">
        <v>434</v>
      </c>
      <c r="E245" s="78" t="s">
        <v>434</v>
      </c>
      <c r="F245" s="65" t="s">
        <v>193</v>
      </c>
      <c r="G245" s="65" t="s">
        <v>194</v>
      </c>
      <c r="K245" s="81">
        <v>0.1</v>
      </c>
      <c r="L245" s="81">
        <v>0.9</v>
      </c>
      <c r="M245" s="81">
        <v>0.1</v>
      </c>
    </row>
    <row r="246" s="65" customFormat="1" customHeight="1" spans="1:13">
      <c r="A246" s="77">
        <v>243</v>
      </c>
      <c r="B246" s="78" t="str">
        <f t="shared" si="3"/>
        <v>Mother TinctureSecale Cor.</v>
      </c>
      <c r="C246" s="78" t="s">
        <v>107</v>
      </c>
      <c r="D246" s="78" t="s">
        <v>435</v>
      </c>
      <c r="E246" s="78" t="s">
        <v>435</v>
      </c>
      <c r="F246" s="65" t="s">
        <v>193</v>
      </c>
      <c r="G246" s="65" t="s">
        <v>194</v>
      </c>
      <c r="K246" s="81">
        <v>0.1</v>
      </c>
      <c r="L246" s="81">
        <v>0.9</v>
      </c>
      <c r="M246" s="81">
        <v>0.1</v>
      </c>
    </row>
    <row r="247" s="65" customFormat="1" customHeight="1" spans="1:13">
      <c r="A247" s="77">
        <v>244</v>
      </c>
      <c r="B247" s="78" t="str">
        <f t="shared" si="3"/>
        <v>Mother TinctureSenecio Aur</v>
      </c>
      <c r="C247" s="78" t="s">
        <v>107</v>
      </c>
      <c r="D247" s="78" t="s">
        <v>436</v>
      </c>
      <c r="E247" s="78" t="s">
        <v>436</v>
      </c>
      <c r="F247" s="65" t="s">
        <v>193</v>
      </c>
      <c r="G247" s="65" t="s">
        <v>194</v>
      </c>
      <c r="K247" s="81">
        <v>0.1</v>
      </c>
      <c r="L247" s="81">
        <v>0.9</v>
      </c>
      <c r="M247" s="81">
        <v>0.1</v>
      </c>
    </row>
    <row r="248" s="65" customFormat="1" customHeight="1" spans="1:13">
      <c r="A248" s="77">
        <v>245</v>
      </c>
      <c r="B248" s="78" t="str">
        <f t="shared" si="3"/>
        <v>Mother TinctureSenega</v>
      </c>
      <c r="C248" s="78" t="s">
        <v>107</v>
      </c>
      <c r="D248" s="78" t="s">
        <v>437</v>
      </c>
      <c r="E248" s="78" t="s">
        <v>437</v>
      </c>
      <c r="F248" s="65" t="s">
        <v>193</v>
      </c>
      <c r="G248" s="65" t="s">
        <v>194</v>
      </c>
      <c r="K248" s="81">
        <v>0.1</v>
      </c>
      <c r="L248" s="81">
        <v>0.9</v>
      </c>
      <c r="M248" s="81">
        <v>0.1</v>
      </c>
    </row>
    <row r="249" s="65" customFormat="1" customHeight="1" spans="1:13">
      <c r="A249" s="77">
        <v>246</v>
      </c>
      <c r="B249" s="78" t="str">
        <f t="shared" si="3"/>
        <v>Mother TinctureSenna</v>
      </c>
      <c r="C249" s="78" t="s">
        <v>107</v>
      </c>
      <c r="D249" s="78" t="s">
        <v>438</v>
      </c>
      <c r="E249" s="78" t="s">
        <v>438</v>
      </c>
      <c r="F249" s="65" t="s">
        <v>193</v>
      </c>
      <c r="G249" s="65" t="s">
        <v>194</v>
      </c>
      <c r="K249" s="81">
        <v>0.1</v>
      </c>
      <c r="L249" s="81">
        <v>0.9</v>
      </c>
      <c r="M249" s="81">
        <v>0.1</v>
      </c>
    </row>
    <row r="250" s="65" customFormat="1" customHeight="1" spans="1:13">
      <c r="A250" s="77">
        <v>247</v>
      </c>
      <c r="B250" s="78" t="str">
        <f t="shared" si="3"/>
        <v>Mother TinctureSolanum Nig.</v>
      </c>
      <c r="C250" s="78" t="s">
        <v>107</v>
      </c>
      <c r="D250" s="78" t="s">
        <v>439</v>
      </c>
      <c r="E250" s="78" t="s">
        <v>439</v>
      </c>
      <c r="F250" s="65" t="s">
        <v>193</v>
      </c>
      <c r="G250" s="65" t="s">
        <v>194</v>
      </c>
      <c r="K250" s="81">
        <v>0.1</v>
      </c>
      <c r="L250" s="81">
        <v>0.9</v>
      </c>
      <c r="M250" s="81">
        <v>0.1</v>
      </c>
    </row>
    <row r="251" s="65" customFormat="1" customHeight="1" spans="1:13">
      <c r="A251" s="77">
        <v>248</v>
      </c>
      <c r="B251" s="78" t="str">
        <f t="shared" si="3"/>
        <v>Mother TinctureSolidago V.</v>
      </c>
      <c r="C251" s="78" t="s">
        <v>107</v>
      </c>
      <c r="D251" s="78" t="s">
        <v>440</v>
      </c>
      <c r="E251" s="78" t="s">
        <v>440</v>
      </c>
      <c r="F251" s="65" t="s">
        <v>193</v>
      </c>
      <c r="G251" s="65" t="s">
        <v>194</v>
      </c>
      <c r="K251" s="81">
        <v>0.1</v>
      </c>
      <c r="L251" s="81">
        <v>0.9</v>
      </c>
      <c r="M251" s="81">
        <v>0.1</v>
      </c>
    </row>
    <row r="252" s="65" customFormat="1" customHeight="1" spans="1:13">
      <c r="A252" s="77">
        <v>249</v>
      </c>
      <c r="B252" s="78" t="str">
        <f t="shared" si="3"/>
        <v>Mother TinctureSpartium Scop.</v>
      </c>
      <c r="C252" s="78" t="s">
        <v>107</v>
      </c>
      <c r="D252" s="78" t="s">
        <v>441</v>
      </c>
      <c r="E252" s="78" t="s">
        <v>441</v>
      </c>
      <c r="F252" s="65" t="s">
        <v>193</v>
      </c>
      <c r="G252" s="65" t="s">
        <v>194</v>
      </c>
      <c r="K252" s="81">
        <v>0.1</v>
      </c>
      <c r="L252" s="81">
        <v>0.9</v>
      </c>
      <c r="M252" s="81">
        <v>0.1</v>
      </c>
    </row>
    <row r="253" s="65" customFormat="1" customHeight="1" spans="1:13">
      <c r="A253" s="77">
        <v>250</v>
      </c>
      <c r="B253" s="78" t="str">
        <f t="shared" si="3"/>
        <v>Mother TinctureSpigelia</v>
      </c>
      <c r="C253" s="78" t="s">
        <v>107</v>
      </c>
      <c r="D253" s="78" t="s">
        <v>442</v>
      </c>
      <c r="E253" s="78" t="s">
        <v>442</v>
      </c>
      <c r="F253" s="65" t="s">
        <v>193</v>
      </c>
      <c r="G253" s="65" t="s">
        <v>194</v>
      </c>
      <c r="K253" s="81">
        <v>0.1</v>
      </c>
      <c r="L253" s="81">
        <v>0.9</v>
      </c>
      <c r="M253" s="81">
        <v>0.1</v>
      </c>
    </row>
    <row r="254" s="65" customFormat="1" customHeight="1" spans="1:13">
      <c r="A254" s="77">
        <v>251</v>
      </c>
      <c r="B254" s="78" t="str">
        <f t="shared" si="3"/>
        <v>Mother TinctureSpongia T.</v>
      </c>
      <c r="C254" s="78" t="s">
        <v>107</v>
      </c>
      <c r="D254" s="78" t="s">
        <v>443</v>
      </c>
      <c r="E254" s="78" t="s">
        <v>443</v>
      </c>
      <c r="F254" s="65" t="s">
        <v>193</v>
      </c>
      <c r="G254" s="65" t="s">
        <v>194</v>
      </c>
      <c r="K254" s="81">
        <v>0.1</v>
      </c>
      <c r="L254" s="81">
        <v>0.9</v>
      </c>
      <c r="M254" s="81">
        <v>0.1</v>
      </c>
    </row>
    <row r="255" s="65" customFormat="1" customHeight="1" spans="1:13">
      <c r="A255" s="77">
        <v>252</v>
      </c>
      <c r="B255" s="78" t="str">
        <f t="shared" si="3"/>
        <v>Mother TinctureSquilla M</v>
      </c>
      <c r="C255" s="78" t="s">
        <v>107</v>
      </c>
      <c r="D255" s="78" t="s">
        <v>444</v>
      </c>
      <c r="E255" s="78" t="s">
        <v>444</v>
      </c>
      <c r="F255" s="65" t="s">
        <v>193</v>
      </c>
      <c r="G255" s="65" t="s">
        <v>194</v>
      </c>
      <c r="K255" s="81">
        <v>0.1</v>
      </c>
      <c r="L255" s="81">
        <v>0.9</v>
      </c>
      <c r="M255" s="81">
        <v>0.1</v>
      </c>
    </row>
    <row r="256" s="65" customFormat="1" customHeight="1" spans="1:13">
      <c r="A256" s="77">
        <v>253</v>
      </c>
      <c r="B256" s="78" t="str">
        <f t="shared" si="3"/>
        <v>Mother TinctureStaphysagria</v>
      </c>
      <c r="C256" s="78" t="s">
        <v>107</v>
      </c>
      <c r="D256" s="78" t="s">
        <v>445</v>
      </c>
      <c r="E256" s="78" t="s">
        <v>445</v>
      </c>
      <c r="F256" s="65" t="s">
        <v>193</v>
      </c>
      <c r="G256" s="65" t="s">
        <v>194</v>
      </c>
      <c r="K256" s="81">
        <v>0.1</v>
      </c>
      <c r="L256" s="81">
        <v>0.9</v>
      </c>
      <c r="M256" s="81">
        <v>0.1</v>
      </c>
    </row>
    <row r="257" s="65" customFormat="1" customHeight="1" spans="1:13">
      <c r="A257" s="77">
        <v>254</v>
      </c>
      <c r="B257" s="78" t="str">
        <f t="shared" si="3"/>
        <v>Mother TinctureStellaria M</v>
      </c>
      <c r="C257" s="78" t="s">
        <v>107</v>
      </c>
      <c r="D257" s="78" t="s">
        <v>446</v>
      </c>
      <c r="E257" s="78" t="s">
        <v>446</v>
      </c>
      <c r="F257" s="65" t="s">
        <v>193</v>
      </c>
      <c r="G257" s="65" t="s">
        <v>194</v>
      </c>
      <c r="K257" s="81">
        <v>0.1</v>
      </c>
      <c r="L257" s="81">
        <v>0.9</v>
      </c>
      <c r="M257" s="81">
        <v>0.1</v>
      </c>
    </row>
    <row r="258" s="65" customFormat="1" customHeight="1" spans="1:13">
      <c r="A258" s="77">
        <v>255</v>
      </c>
      <c r="B258" s="78" t="str">
        <f t="shared" si="3"/>
        <v>Mother TinctureSterculia A</v>
      </c>
      <c r="C258" s="78" t="s">
        <v>107</v>
      </c>
      <c r="D258" s="78" t="s">
        <v>447</v>
      </c>
      <c r="E258" s="78" t="s">
        <v>447</v>
      </c>
      <c r="F258" s="65" t="s">
        <v>193</v>
      </c>
      <c r="G258" s="65" t="s">
        <v>194</v>
      </c>
      <c r="K258" s="81">
        <v>0.1</v>
      </c>
      <c r="L258" s="81">
        <v>0.9</v>
      </c>
      <c r="M258" s="81">
        <v>0.1</v>
      </c>
    </row>
    <row r="259" s="65" customFormat="1" customHeight="1" spans="1:13">
      <c r="A259" s="77">
        <v>256</v>
      </c>
      <c r="B259" s="78" t="str">
        <f t="shared" si="3"/>
        <v>Mother TinctureSticta Pul.</v>
      </c>
      <c r="C259" s="78" t="s">
        <v>107</v>
      </c>
      <c r="D259" s="78" t="s">
        <v>448</v>
      </c>
      <c r="E259" s="78" t="s">
        <v>448</v>
      </c>
      <c r="F259" s="65" t="s">
        <v>193</v>
      </c>
      <c r="G259" s="65" t="s">
        <v>194</v>
      </c>
      <c r="K259" s="81">
        <v>0.1</v>
      </c>
      <c r="L259" s="81">
        <v>0.9</v>
      </c>
      <c r="M259" s="81">
        <v>0.1</v>
      </c>
    </row>
    <row r="260" s="65" customFormat="1" customHeight="1" spans="1:13">
      <c r="A260" s="77">
        <v>257</v>
      </c>
      <c r="B260" s="78" t="str">
        <f t="shared" si="3"/>
        <v>Mother TinctureStillingia S.</v>
      </c>
      <c r="C260" s="78" t="s">
        <v>107</v>
      </c>
      <c r="D260" s="78" t="s">
        <v>449</v>
      </c>
      <c r="E260" s="78" t="s">
        <v>449</v>
      </c>
      <c r="F260" s="65" t="s">
        <v>193</v>
      </c>
      <c r="G260" s="65" t="s">
        <v>194</v>
      </c>
      <c r="K260" s="81">
        <v>0.1</v>
      </c>
      <c r="L260" s="81">
        <v>0.9</v>
      </c>
      <c r="M260" s="81">
        <v>0.1</v>
      </c>
    </row>
    <row r="261" s="65" customFormat="1" customHeight="1" spans="1:13">
      <c r="A261" s="77">
        <v>258</v>
      </c>
      <c r="B261" s="78" t="str">
        <f t="shared" ref="B261:B324" si="4">+C261&amp;E261</f>
        <v>Mother TinctureStramonium</v>
      </c>
      <c r="C261" s="78" t="s">
        <v>107</v>
      </c>
      <c r="D261" s="78" t="s">
        <v>450</v>
      </c>
      <c r="E261" s="78" t="s">
        <v>450</v>
      </c>
      <c r="F261" s="65" t="s">
        <v>193</v>
      </c>
      <c r="G261" s="65" t="s">
        <v>194</v>
      </c>
      <c r="K261" s="81">
        <v>0.1</v>
      </c>
      <c r="L261" s="81">
        <v>0.9</v>
      </c>
      <c r="M261" s="81">
        <v>0.1</v>
      </c>
    </row>
    <row r="262" s="65" customFormat="1" customHeight="1" spans="1:13">
      <c r="A262" s="77">
        <v>259</v>
      </c>
      <c r="B262" s="78" t="str">
        <f t="shared" si="4"/>
        <v>Mother TinctureStrophanthus  Hisp.</v>
      </c>
      <c r="C262" s="78" t="s">
        <v>107</v>
      </c>
      <c r="D262" s="78" t="s">
        <v>451</v>
      </c>
      <c r="E262" s="78" t="s">
        <v>451</v>
      </c>
      <c r="F262" s="65" t="s">
        <v>193</v>
      </c>
      <c r="G262" s="65" t="s">
        <v>194</v>
      </c>
      <c r="K262" s="81">
        <v>0.1</v>
      </c>
      <c r="L262" s="81">
        <v>0.9</v>
      </c>
      <c r="M262" s="81">
        <v>0.1</v>
      </c>
    </row>
    <row r="263" s="65" customFormat="1" customHeight="1" spans="1:13">
      <c r="A263" s="77">
        <v>260</v>
      </c>
      <c r="B263" s="78" t="str">
        <f t="shared" si="4"/>
        <v>Mother TinctureSulphur</v>
      </c>
      <c r="C263" s="78" t="s">
        <v>107</v>
      </c>
      <c r="D263" s="78" t="s">
        <v>452</v>
      </c>
      <c r="E263" s="78" t="s">
        <v>452</v>
      </c>
      <c r="F263" s="65" t="s">
        <v>193</v>
      </c>
      <c r="G263" s="65" t="s">
        <v>194</v>
      </c>
      <c r="K263" s="81">
        <v>0.1</v>
      </c>
      <c r="L263" s="81">
        <v>0.9</v>
      </c>
      <c r="M263" s="81">
        <v>0.1</v>
      </c>
    </row>
    <row r="264" s="65" customFormat="1" customHeight="1" spans="1:13">
      <c r="A264" s="77">
        <v>261</v>
      </c>
      <c r="B264" s="78" t="str">
        <f t="shared" si="4"/>
        <v>Mother TinctureSymphoricar.</v>
      </c>
      <c r="C264" s="78" t="s">
        <v>107</v>
      </c>
      <c r="D264" s="78" t="s">
        <v>453</v>
      </c>
      <c r="E264" s="78" t="s">
        <v>453</v>
      </c>
      <c r="F264" s="65" t="s">
        <v>193</v>
      </c>
      <c r="G264" s="65" t="s">
        <v>194</v>
      </c>
      <c r="K264" s="81">
        <v>0.1</v>
      </c>
      <c r="L264" s="81">
        <v>0.9</v>
      </c>
      <c r="M264" s="81">
        <v>0.1</v>
      </c>
    </row>
    <row r="265" s="65" customFormat="1" customHeight="1" spans="1:13">
      <c r="A265" s="77">
        <v>262</v>
      </c>
      <c r="B265" s="78" t="str">
        <f t="shared" si="4"/>
        <v>Mother TinctureSymphytum</v>
      </c>
      <c r="C265" s="78" t="s">
        <v>107</v>
      </c>
      <c r="D265" s="79" t="s">
        <v>454</v>
      </c>
      <c r="E265" s="79" t="s">
        <v>454</v>
      </c>
      <c r="F265" s="65" t="s">
        <v>193</v>
      </c>
      <c r="G265" s="65" t="s">
        <v>194</v>
      </c>
      <c r="K265" s="81">
        <v>0.1</v>
      </c>
      <c r="L265" s="81">
        <v>0.9</v>
      </c>
      <c r="M265" s="81">
        <v>0.1</v>
      </c>
    </row>
    <row r="266" s="65" customFormat="1" customHeight="1" spans="1:13">
      <c r="A266" s="77">
        <v>263</v>
      </c>
      <c r="B266" s="78" t="str">
        <f t="shared" si="4"/>
        <v>Mother TinctureSyzygium J.</v>
      </c>
      <c r="C266" s="78" t="s">
        <v>107</v>
      </c>
      <c r="D266" s="79" t="s">
        <v>455</v>
      </c>
      <c r="E266" s="79" t="s">
        <v>455</v>
      </c>
      <c r="F266" s="65" t="s">
        <v>193</v>
      </c>
      <c r="G266" s="65" t="s">
        <v>194</v>
      </c>
      <c r="K266" s="81">
        <v>0.1</v>
      </c>
      <c r="L266" s="81">
        <v>0.9</v>
      </c>
      <c r="M266" s="81">
        <v>0.1</v>
      </c>
    </row>
    <row r="267" s="65" customFormat="1" customHeight="1" spans="1:13">
      <c r="A267" s="77">
        <v>264</v>
      </c>
      <c r="B267" s="78" t="str">
        <f t="shared" si="4"/>
        <v>Mother TinctureTabacum</v>
      </c>
      <c r="C267" s="78" t="s">
        <v>107</v>
      </c>
      <c r="D267" s="79" t="s">
        <v>456</v>
      </c>
      <c r="E267" s="79" t="s">
        <v>456</v>
      </c>
      <c r="F267" s="65" t="s">
        <v>193</v>
      </c>
      <c r="G267" s="65" t="s">
        <v>194</v>
      </c>
      <c r="K267" s="81">
        <v>0.1</v>
      </c>
      <c r="L267" s="81">
        <v>0.9</v>
      </c>
      <c r="M267" s="81">
        <v>0.1</v>
      </c>
    </row>
    <row r="268" s="65" customFormat="1" customHeight="1" spans="1:13">
      <c r="A268" s="77">
        <v>265</v>
      </c>
      <c r="B268" s="78" t="str">
        <f t="shared" si="4"/>
        <v>Mother TinctureTaraxacum</v>
      </c>
      <c r="C268" s="78" t="s">
        <v>107</v>
      </c>
      <c r="D268" s="79" t="s">
        <v>457</v>
      </c>
      <c r="E268" s="79" t="s">
        <v>457</v>
      </c>
      <c r="F268" s="65" t="s">
        <v>193</v>
      </c>
      <c r="G268" s="65" t="s">
        <v>194</v>
      </c>
      <c r="K268" s="81">
        <v>0.1</v>
      </c>
      <c r="L268" s="81">
        <v>0.9</v>
      </c>
      <c r="M268" s="81">
        <v>0.1</v>
      </c>
    </row>
    <row r="269" s="65" customFormat="1" customHeight="1" spans="1:13">
      <c r="A269" s="77">
        <v>266</v>
      </c>
      <c r="B269" s="78" t="str">
        <f t="shared" si="4"/>
        <v>Mother TinctureTerminalia Arjuna (Arjuna)</v>
      </c>
      <c r="C269" s="78" t="s">
        <v>107</v>
      </c>
      <c r="D269" s="79" t="s">
        <v>458</v>
      </c>
      <c r="E269" s="79" t="s">
        <v>458</v>
      </c>
      <c r="F269" s="65" t="s">
        <v>193</v>
      </c>
      <c r="G269" s="65" t="s">
        <v>194</v>
      </c>
      <c r="K269" s="81">
        <v>0.1</v>
      </c>
      <c r="L269" s="81">
        <v>0.9</v>
      </c>
      <c r="M269" s="81">
        <v>0.1</v>
      </c>
    </row>
    <row r="270" s="65" customFormat="1" customHeight="1" spans="1:13">
      <c r="A270" s="77">
        <v>267</v>
      </c>
      <c r="B270" s="78" t="str">
        <f t="shared" si="4"/>
        <v>Mother TinctureTerminalia C.</v>
      </c>
      <c r="C270" s="78" t="s">
        <v>107</v>
      </c>
      <c r="D270" s="79" t="s">
        <v>459</v>
      </c>
      <c r="E270" s="79" t="s">
        <v>459</v>
      </c>
      <c r="F270" s="65" t="s">
        <v>193</v>
      </c>
      <c r="G270" s="65" t="s">
        <v>194</v>
      </c>
      <c r="K270" s="81">
        <v>0.1</v>
      </c>
      <c r="L270" s="81">
        <v>0.9</v>
      </c>
      <c r="M270" s="81">
        <v>0.1</v>
      </c>
    </row>
    <row r="271" s="65" customFormat="1" customHeight="1" spans="1:13">
      <c r="A271" s="77">
        <v>268</v>
      </c>
      <c r="B271" s="78" t="str">
        <f t="shared" si="4"/>
        <v>Mother TinctureTeucri M. V.</v>
      </c>
      <c r="C271" s="78" t="s">
        <v>107</v>
      </c>
      <c r="D271" s="79" t="s">
        <v>460</v>
      </c>
      <c r="E271" s="79" t="s">
        <v>460</v>
      </c>
      <c r="F271" s="65" t="s">
        <v>193</v>
      </c>
      <c r="G271" s="65" t="s">
        <v>194</v>
      </c>
      <c r="K271" s="81">
        <v>0.1</v>
      </c>
      <c r="L271" s="81">
        <v>0.9</v>
      </c>
      <c r="M271" s="81">
        <v>0.1</v>
      </c>
    </row>
    <row r="272" s="65" customFormat="1" customHeight="1" spans="1:13">
      <c r="A272" s="77">
        <v>269</v>
      </c>
      <c r="B272" s="78" t="str">
        <f t="shared" si="4"/>
        <v>Mother TinctureThea Chinensis</v>
      </c>
      <c r="C272" s="78" t="s">
        <v>107</v>
      </c>
      <c r="D272" s="79" t="s">
        <v>461</v>
      </c>
      <c r="E272" s="79" t="s">
        <v>461</v>
      </c>
      <c r="F272" s="65" t="s">
        <v>193</v>
      </c>
      <c r="G272" s="65" t="s">
        <v>194</v>
      </c>
      <c r="K272" s="81">
        <v>0.1</v>
      </c>
      <c r="L272" s="81">
        <v>0.9</v>
      </c>
      <c r="M272" s="81">
        <v>0.1</v>
      </c>
    </row>
    <row r="273" s="65" customFormat="1" customHeight="1" spans="1:13">
      <c r="A273" s="77">
        <v>270</v>
      </c>
      <c r="B273" s="78" t="str">
        <f t="shared" si="4"/>
        <v>Mother TinctureThlaspi B. P.</v>
      </c>
      <c r="C273" s="78" t="s">
        <v>107</v>
      </c>
      <c r="D273" s="79" t="s">
        <v>462</v>
      </c>
      <c r="E273" s="79" t="s">
        <v>462</v>
      </c>
      <c r="F273" s="65" t="s">
        <v>193</v>
      </c>
      <c r="G273" s="65" t="s">
        <v>194</v>
      </c>
      <c r="K273" s="81">
        <v>0.1</v>
      </c>
      <c r="L273" s="81">
        <v>0.9</v>
      </c>
      <c r="M273" s="81">
        <v>0.1</v>
      </c>
    </row>
    <row r="274" s="65" customFormat="1" customHeight="1" spans="1:13">
      <c r="A274" s="77">
        <v>271</v>
      </c>
      <c r="B274" s="78" t="str">
        <f t="shared" si="4"/>
        <v>Mother TinctureThuja Occi.</v>
      </c>
      <c r="C274" s="78" t="s">
        <v>107</v>
      </c>
      <c r="D274" s="79" t="s">
        <v>463</v>
      </c>
      <c r="E274" s="79" t="s">
        <v>463</v>
      </c>
      <c r="F274" s="65" t="s">
        <v>193</v>
      </c>
      <c r="G274" s="65" t="s">
        <v>194</v>
      </c>
      <c r="K274" s="81">
        <v>0.1</v>
      </c>
      <c r="L274" s="81">
        <v>0.9</v>
      </c>
      <c r="M274" s="81">
        <v>0.1</v>
      </c>
    </row>
    <row r="275" s="65" customFormat="1" customHeight="1" spans="1:13">
      <c r="A275" s="77">
        <v>272</v>
      </c>
      <c r="B275" s="78" t="str">
        <f t="shared" si="4"/>
        <v>Mother TinctureThymol</v>
      </c>
      <c r="C275" s="78" t="s">
        <v>107</v>
      </c>
      <c r="D275" s="79" t="s">
        <v>464</v>
      </c>
      <c r="E275" s="79" t="s">
        <v>464</v>
      </c>
      <c r="F275" s="65" t="s">
        <v>193</v>
      </c>
      <c r="G275" s="65" t="s">
        <v>194</v>
      </c>
      <c r="K275" s="81">
        <v>0.1</v>
      </c>
      <c r="L275" s="81">
        <v>0.9</v>
      </c>
      <c r="M275" s="81">
        <v>0.1</v>
      </c>
    </row>
    <row r="276" s="65" customFormat="1" customHeight="1" spans="1:13">
      <c r="A276" s="77">
        <v>273</v>
      </c>
      <c r="B276" s="78" t="str">
        <f t="shared" si="4"/>
        <v>Mother TinctureTinospora C.</v>
      </c>
      <c r="C276" s="78" t="s">
        <v>107</v>
      </c>
      <c r="D276" s="79" t="s">
        <v>465</v>
      </c>
      <c r="E276" s="79" t="s">
        <v>465</v>
      </c>
      <c r="F276" s="65" t="s">
        <v>193</v>
      </c>
      <c r="G276" s="65" t="s">
        <v>194</v>
      </c>
      <c r="K276" s="81">
        <v>0.1</v>
      </c>
      <c r="L276" s="81">
        <v>0.9</v>
      </c>
      <c r="M276" s="81">
        <v>0.1</v>
      </c>
    </row>
    <row r="277" s="65" customFormat="1" customHeight="1" spans="1:13">
      <c r="A277" s="77">
        <v>274</v>
      </c>
      <c r="B277" s="78" t="str">
        <f t="shared" si="4"/>
        <v>Mother TinctureTribulus Terr.</v>
      </c>
      <c r="C277" s="78" t="s">
        <v>107</v>
      </c>
      <c r="D277" s="79" t="s">
        <v>466</v>
      </c>
      <c r="E277" s="79" t="s">
        <v>466</v>
      </c>
      <c r="F277" s="65" t="s">
        <v>193</v>
      </c>
      <c r="G277" s="65" t="s">
        <v>194</v>
      </c>
      <c r="K277" s="81">
        <v>0.1</v>
      </c>
      <c r="L277" s="81">
        <v>0.9</v>
      </c>
      <c r="M277" s="81">
        <v>0.1</v>
      </c>
    </row>
    <row r="278" s="65" customFormat="1" customHeight="1" spans="1:13">
      <c r="A278" s="77">
        <v>275</v>
      </c>
      <c r="B278" s="78" t="str">
        <f t="shared" si="4"/>
        <v>Mother TinctureTrillium Pend.</v>
      </c>
      <c r="C278" s="78" t="s">
        <v>107</v>
      </c>
      <c r="D278" s="79" t="s">
        <v>467</v>
      </c>
      <c r="E278" s="79" t="s">
        <v>467</v>
      </c>
      <c r="F278" s="65" t="s">
        <v>193</v>
      </c>
      <c r="G278" s="65" t="s">
        <v>194</v>
      </c>
      <c r="K278" s="81">
        <v>0.1</v>
      </c>
      <c r="L278" s="81">
        <v>0.9</v>
      </c>
      <c r="M278" s="81">
        <v>0.1</v>
      </c>
    </row>
    <row r="279" s="65" customFormat="1" customHeight="1" spans="1:13">
      <c r="A279" s="77">
        <v>276</v>
      </c>
      <c r="B279" s="78" t="str">
        <f t="shared" si="4"/>
        <v>Mother TinctureTurnera. A (Damiana)</v>
      </c>
      <c r="C279" s="78" t="s">
        <v>107</v>
      </c>
      <c r="D279" s="79" t="s">
        <v>468</v>
      </c>
      <c r="E279" s="79" t="s">
        <v>468</v>
      </c>
      <c r="F279" s="65" t="s">
        <v>193</v>
      </c>
      <c r="G279" s="65" t="s">
        <v>194</v>
      </c>
      <c r="K279" s="81">
        <v>0.1</v>
      </c>
      <c r="L279" s="81">
        <v>0.9</v>
      </c>
      <c r="M279" s="81">
        <v>0.1</v>
      </c>
    </row>
    <row r="280" s="65" customFormat="1" customHeight="1" spans="1:13">
      <c r="A280" s="77">
        <v>277</v>
      </c>
      <c r="B280" s="78" t="str">
        <f t="shared" si="4"/>
        <v>Mother TinctureTylophora Ind</v>
      </c>
      <c r="C280" s="78" t="s">
        <v>107</v>
      </c>
      <c r="D280" s="79" t="s">
        <v>469</v>
      </c>
      <c r="E280" s="79" t="s">
        <v>469</v>
      </c>
      <c r="F280" s="65" t="s">
        <v>193</v>
      </c>
      <c r="G280" s="65" t="s">
        <v>194</v>
      </c>
      <c r="K280" s="81">
        <v>0.1</v>
      </c>
      <c r="L280" s="81">
        <v>0.9</v>
      </c>
      <c r="M280" s="81">
        <v>0.1</v>
      </c>
    </row>
    <row r="281" s="65" customFormat="1" customHeight="1" spans="1:13">
      <c r="A281" s="77">
        <v>278</v>
      </c>
      <c r="B281" s="78" t="str">
        <f t="shared" si="4"/>
        <v>Mother TinctureUrtica Urens</v>
      </c>
      <c r="C281" s="78" t="s">
        <v>107</v>
      </c>
      <c r="D281" s="79" t="s">
        <v>470</v>
      </c>
      <c r="E281" s="79" t="s">
        <v>470</v>
      </c>
      <c r="F281" s="65" t="s">
        <v>193</v>
      </c>
      <c r="G281" s="65" t="s">
        <v>194</v>
      </c>
      <c r="K281" s="81">
        <v>0.1</v>
      </c>
      <c r="L281" s="81">
        <v>0.9</v>
      </c>
      <c r="M281" s="81">
        <v>0.1</v>
      </c>
    </row>
    <row r="282" s="65" customFormat="1" customHeight="1" spans="1:13">
      <c r="A282" s="77">
        <v>279</v>
      </c>
      <c r="B282" s="78" t="str">
        <f t="shared" si="4"/>
        <v>Mother TinctureUsnea Bar.</v>
      </c>
      <c r="C282" s="78" t="s">
        <v>107</v>
      </c>
      <c r="D282" s="79" t="s">
        <v>471</v>
      </c>
      <c r="E282" s="79" t="s">
        <v>471</v>
      </c>
      <c r="F282" s="65" t="s">
        <v>193</v>
      </c>
      <c r="G282" s="65" t="s">
        <v>194</v>
      </c>
      <c r="K282" s="81">
        <v>0.1</v>
      </c>
      <c r="L282" s="81">
        <v>0.9</v>
      </c>
      <c r="M282" s="81">
        <v>0.1</v>
      </c>
    </row>
    <row r="283" s="65" customFormat="1" customHeight="1" spans="1:13">
      <c r="A283" s="77">
        <v>280</v>
      </c>
      <c r="B283" s="78" t="str">
        <f t="shared" si="4"/>
        <v>Mother TinctureUstilago M.</v>
      </c>
      <c r="C283" s="78" t="s">
        <v>107</v>
      </c>
      <c r="D283" s="79" t="s">
        <v>472</v>
      </c>
      <c r="E283" s="79" t="s">
        <v>472</v>
      </c>
      <c r="F283" s="65" t="s">
        <v>193</v>
      </c>
      <c r="G283" s="65" t="s">
        <v>194</v>
      </c>
      <c r="K283" s="81">
        <v>0.1</v>
      </c>
      <c r="L283" s="81">
        <v>0.9</v>
      </c>
      <c r="M283" s="81">
        <v>0.1</v>
      </c>
    </row>
    <row r="284" s="65" customFormat="1" customHeight="1" spans="1:13">
      <c r="A284" s="77">
        <v>281</v>
      </c>
      <c r="B284" s="78" t="str">
        <f t="shared" si="4"/>
        <v>Mother TinctureUva Ursi</v>
      </c>
      <c r="C284" s="78" t="s">
        <v>107</v>
      </c>
      <c r="D284" s="79" t="s">
        <v>473</v>
      </c>
      <c r="E284" s="79" t="s">
        <v>473</v>
      </c>
      <c r="F284" s="65" t="s">
        <v>193</v>
      </c>
      <c r="G284" s="65" t="s">
        <v>194</v>
      </c>
      <c r="K284" s="81">
        <v>0.1</v>
      </c>
      <c r="L284" s="81">
        <v>0.9</v>
      </c>
      <c r="M284" s="81">
        <v>0.1</v>
      </c>
    </row>
    <row r="285" s="65" customFormat="1" customHeight="1" spans="1:13">
      <c r="A285" s="77">
        <v>282</v>
      </c>
      <c r="B285" s="78" t="str">
        <f t="shared" si="4"/>
        <v>Mother TinctureValeriana 0.</v>
      </c>
      <c r="C285" s="78" t="s">
        <v>107</v>
      </c>
      <c r="D285" s="79" t="s">
        <v>474</v>
      </c>
      <c r="E285" s="79" t="s">
        <v>474</v>
      </c>
      <c r="F285" s="65" t="s">
        <v>193</v>
      </c>
      <c r="G285" s="65" t="s">
        <v>194</v>
      </c>
      <c r="K285" s="81">
        <v>0.1</v>
      </c>
      <c r="L285" s="81">
        <v>0.9</v>
      </c>
      <c r="M285" s="81">
        <v>0.1</v>
      </c>
    </row>
    <row r="286" s="65" customFormat="1" customHeight="1" spans="1:13">
      <c r="A286" s="77">
        <v>283</v>
      </c>
      <c r="B286" s="78" t="str">
        <f t="shared" si="4"/>
        <v>Mother TinctureVeratrum Vir.</v>
      </c>
      <c r="C286" s="78" t="s">
        <v>107</v>
      </c>
      <c r="D286" s="79" t="s">
        <v>475</v>
      </c>
      <c r="E286" s="79" t="s">
        <v>475</v>
      </c>
      <c r="F286" s="65" t="s">
        <v>193</v>
      </c>
      <c r="G286" s="65" t="s">
        <v>194</v>
      </c>
      <c r="K286" s="81">
        <v>0.1</v>
      </c>
      <c r="L286" s="81">
        <v>0.9</v>
      </c>
      <c r="M286" s="81">
        <v>0.1</v>
      </c>
    </row>
    <row r="287" s="65" customFormat="1" customHeight="1" spans="1:13">
      <c r="A287" s="77">
        <v>284</v>
      </c>
      <c r="B287" s="78" t="str">
        <f t="shared" si="4"/>
        <v>Mother TinctureVerbascum T.</v>
      </c>
      <c r="C287" s="78" t="s">
        <v>107</v>
      </c>
      <c r="D287" s="79" t="s">
        <v>476</v>
      </c>
      <c r="E287" s="79" t="s">
        <v>476</v>
      </c>
      <c r="F287" s="65" t="s">
        <v>193</v>
      </c>
      <c r="G287" s="65" t="s">
        <v>194</v>
      </c>
      <c r="K287" s="81">
        <v>0.1</v>
      </c>
      <c r="L287" s="81">
        <v>0.9</v>
      </c>
      <c r="M287" s="81">
        <v>0.1</v>
      </c>
    </row>
    <row r="288" s="65" customFormat="1" customHeight="1" spans="1:13">
      <c r="A288" s="77">
        <v>285</v>
      </c>
      <c r="B288" s="78" t="str">
        <f t="shared" si="4"/>
        <v>Mother TinctureVesicaria C.</v>
      </c>
      <c r="C288" s="78" t="s">
        <v>107</v>
      </c>
      <c r="D288" s="79" t="s">
        <v>477</v>
      </c>
      <c r="E288" s="79" t="s">
        <v>477</v>
      </c>
      <c r="F288" s="65" t="s">
        <v>193</v>
      </c>
      <c r="G288" s="65" t="s">
        <v>194</v>
      </c>
      <c r="K288" s="81">
        <v>0.1</v>
      </c>
      <c r="L288" s="81">
        <v>0.9</v>
      </c>
      <c r="M288" s="81">
        <v>0.1</v>
      </c>
    </row>
    <row r="289" s="65" customFormat="1" customHeight="1" spans="1:13">
      <c r="A289" s="77">
        <v>286</v>
      </c>
      <c r="B289" s="78" t="str">
        <f t="shared" si="4"/>
        <v>Mother TinctureViburnum Op.</v>
      </c>
      <c r="C289" s="78" t="s">
        <v>107</v>
      </c>
      <c r="D289" s="79" t="s">
        <v>478</v>
      </c>
      <c r="E289" s="79" t="s">
        <v>478</v>
      </c>
      <c r="F289" s="65" t="s">
        <v>193</v>
      </c>
      <c r="G289" s="65" t="s">
        <v>194</v>
      </c>
      <c r="K289" s="81">
        <v>0.1</v>
      </c>
      <c r="L289" s="81">
        <v>0.9</v>
      </c>
      <c r="M289" s="81">
        <v>0.1</v>
      </c>
    </row>
    <row r="290" s="65" customFormat="1" customHeight="1" spans="1:13">
      <c r="A290" s="77">
        <v>287</v>
      </c>
      <c r="B290" s="78" t="str">
        <f t="shared" si="4"/>
        <v>Mother TinctureViburnum Pru.</v>
      </c>
      <c r="C290" s="78" t="s">
        <v>107</v>
      </c>
      <c r="D290" s="79" t="s">
        <v>479</v>
      </c>
      <c r="E290" s="79" t="s">
        <v>479</v>
      </c>
      <c r="F290" s="65" t="s">
        <v>193</v>
      </c>
      <c r="G290" s="65" t="s">
        <v>194</v>
      </c>
      <c r="K290" s="81">
        <v>0.1</v>
      </c>
      <c r="L290" s="81">
        <v>0.9</v>
      </c>
      <c r="M290" s="81">
        <v>0.1</v>
      </c>
    </row>
    <row r="291" s="65" customFormat="1" customHeight="1" spans="1:13">
      <c r="A291" s="77">
        <v>288</v>
      </c>
      <c r="B291" s="78" t="str">
        <f t="shared" si="4"/>
        <v>Mother TinctureVinca Minor</v>
      </c>
      <c r="C291" s="78" t="s">
        <v>107</v>
      </c>
      <c r="D291" s="79" t="s">
        <v>480</v>
      </c>
      <c r="E291" s="79" t="s">
        <v>480</v>
      </c>
      <c r="F291" s="65" t="s">
        <v>193</v>
      </c>
      <c r="G291" s="65" t="s">
        <v>194</v>
      </c>
      <c r="K291" s="81">
        <v>0.1</v>
      </c>
      <c r="L291" s="81">
        <v>0.9</v>
      </c>
      <c r="M291" s="81">
        <v>0.1</v>
      </c>
    </row>
    <row r="292" s="65" customFormat="1" customHeight="1" spans="1:13">
      <c r="A292" s="77">
        <v>289</v>
      </c>
      <c r="B292" s="78" t="str">
        <f t="shared" si="4"/>
        <v>Mother TinctureVinca Ros (Catharanthus Roseus)</v>
      </c>
      <c r="C292" s="78" t="s">
        <v>107</v>
      </c>
      <c r="D292" s="79" t="s">
        <v>481</v>
      </c>
      <c r="E292" s="79" t="s">
        <v>481</v>
      </c>
      <c r="F292" s="65" t="s">
        <v>193</v>
      </c>
      <c r="G292" s="65" t="s">
        <v>194</v>
      </c>
      <c r="K292" s="81">
        <v>0.1</v>
      </c>
      <c r="L292" s="81">
        <v>0.9</v>
      </c>
      <c r="M292" s="81">
        <v>0.1</v>
      </c>
    </row>
    <row r="293" s="65" customFormat="1" customHeight="1" spans="1:13">
      <c r="A293" s="77">
        <v>290</v>
      </c>
      <c r="B293" s="78" t="str">
        <f t="shared" si="4"/>
        <v>Mother TinctureViola Odo.</v>
      </c>
      <c r="C293" s="78" t="s">
        <v>107</v>
      </c>
      <c r="D293" s="79" t="s">
        <v>482</v>
      </c>
      <c r="E293" s="79" t="s">
        <v>482</v>
      </c>
      <c r="F293" s="65" t="s">
        <v>193</v>
      </c>
      <c r="G293" s="65" t="s">
        <v>194</v>
      </c>
      <c r="K293" s="81">
        <v>0.1</v>
      </c>
      <c r="L293" s="81">
        <v>0.9</v>
      </c>
      <c r="M293" s="81">
        <v>0.1</v>
      </c>
    </row>
    <row r="294" s="65" customFormat="1" customHeight="1" spans="1:13">
      <c r="A294" s="77">
        <v>291</v>
      </c>
      <c r="B294" s="78" t="str">
        <f t="shared" si="4"/>
        <v>Mother TinctureViola Tric.</v>
      </c>
      <c r="C294" s="78" t="s">
        <v>107</v>
      </c>
      <c r="D294" s="79" t="s">
        <v>483</v>
      </c>
      <c r="E294" s="79" t="s">
        <v>483</v>
      </c>
      <c r="F294" s="65" t="s">
        <v>193</v>
      </c>
      <c r="G294" s="65" t="s">
        <v>194</v>
      </c>
      <c r="K294" s="81">
        <v>0.1</v>
      </c>
      <c r="L294" s="81">
        <v>0.9</v>
      </c>
      <c r="M294" s="81">
        <v>0.1</v>
      </c>
    </row>
    <row r="295" s="65" customFormat="1" customHeight="1" spans="1:13">
      <c r="A295" s="77">
        <v>292</v>
      </c>
      <c r="B295" s="78" t="str">
        <f t="shared" si="4"/>
        <v>Mother TinctureViscum Alb</v>
      </c>
      <c r="C295" s="78" t="s">
        <v>107</v>
      </c>
      <c r="D295" s="79" t="s">
        <v>484</v>
      </c>
      <c r="E295" s="79" t="s">
        <v>484</v>
      </c>
      <c r="F295" s="65" t="s">
        <v>193</v>
      </c>
      <c r="G295" s="65" t="s">
        <v>194</v>
      </c>
      <c r="K295" s="81">
        <v>0.1</v>
      </c>
      <c r="L295" s="81">
        <v>0.9</v>
      </c>
      <c r="M295" s="81">
        <v>0.1</v>
      </c>
    </row>
    <row r="296" s="65" customFormat="1" customHeight="1" spans="1:13">
      <c r="A296" s="77">
        <v>293</v>
      </c>
      <c r="B296" s="78" t="str">
        <f t="shared" si="4"/>
        <v>Mother TinctureWithania Som (Aswagandha)</v>
      </c>
      <c r="C296" s="78" t="s">
        <v>107</v>
      </c>
      <c r="D296" s="79" t="s">
        <v>485</v>
      </c>
      <c r="E296" s="79" t="s">
        <v>485</v>
      </c>
      <c r="F296" s="65" t="s">
        <v>193</v>
      </c>
      <c r="G296" s="65" t="s">
        <v>194</v>
      </c>
      <c r="K296" s="81">
        <v>0.1</v>
      </c>
      <c r="L296" s="81">
        <v>0.9</v>
      </c>
      <c r="M296" s="81">
        <v>0.1</v>
      </c>
    </row>
    <row r="297" s="65" customFormat="1" customHeight="1" spans="1:13">
      <c r="A297" s="77">
        <v>294</v>
      </c>
      <c r="B297" s="78" t="str">
        <f t="shared" si="4"/>
        <v>Mother TinctureXanthoxyllum</v>
      </c>
      <c r="C297" s="78" t="s">
        <v>107</v>
      </c>
      <c r="D297" s="79" t="s">
        <v>486</v>
      </c>
      <c r="E297" s="79" t="s">
        <v>486</v>
      </c>
      <c r="F297" s="65" t="s">
        <v>193</v>
      </c>
      <c r="G297" s="65" t="s">
        <v>194</v>
      </c>
      <c r="K297" s="81">
        <v>0.1</v>
      </c>
      <c r="L297" s="81">
        <v>0.9</v>
      </c>
      <c r="M297" s="81">
        <v>0.1</v>
      </c>
    </row>
    <row r="298" s="65" customFormat="1" customHeight="1" spans="1:13">
      <c r="A298" s="77">
        <v>295</v>
      </c>
      <c r="B298" s="78" t="str">
        <f t="shared" si="4"/>
        <v>Mother TinctureYerba Santa (Eriodictyon)</v>
      </c>
      <c r="C298" s="78" t="s">
        <v>107</v>
      </c>
      <c r="D298" s="79" t="s">
        <v>487</v>
      </c>
      <c r="E298" s="79" t="s">
        <v>487</v>
      </c>
      <c r="F298" s="65" t="s">
        <v>193</v>
      </c>
      <c r="G298" s="65" t="s">
        <v>194</v>
      </c>
      <c r="K298" s="81">
        <v>0.1</v>
      </c>
      <c r="L298" s="81">
        <v>0.9</v>
      </c>
      <c r="M298" s="81">
        <v>0.1</v>
      </c>
    </row>
    <row r="299" s="65" customFormat="1" customHeight="1" spans="1:13">
      <c r="A299" s="77">
        <v>296</v>
      </c>
      <c r="B299" s="78" t="str">
        <f t="shared" si="4"/>
        <v>Mother TinctureYohimbinum</v>
      </c>
      <c r="C299" s="78" t="s">
        <v>107</v>
      </c>
      <c r="D299" s="79" t="s">
        <v>488</v>
      </c>
      <c r="E299" s="79" t="s">
        <v>488</v>
      </c>
      <c r="F299" s="65" t="s">
        <v>193</v>
      </c>
      <c r="G299" s="65" t="s">
        <v>194</v>
      </c>
      <c r="K299" s="81">
        <v>0.1</v>
      </c>
      <c r="L299" s="81">
        <v>0.9</v>
      </c>
      <c r="M299" s="81">
        <v>0.1</v>
      </c>
    </row>
    <row r="300" s="65" customFormat="1" customHeight="1" spans="1:13">
      <c r="A300" s="77">
        <v>297</v>
      </c>
      <c r="B300" s="78" t="str">
        <f t="shared" si="4"/>
        <v>Mother TinctureYucca Filam</v>
      </c>
      <c r="C300" s="78" t="s">
        <v>107</v>
      </c>
      <c r="D300" s="79" t="s">
        <v>489</v>
      </c>
      <c r="E300" s="79" t="s">
        <v>489</v>
      </c>
      <c r="F300" s="65" t="s">
        <v>193</v>
      </c>
      <c r="G300" s="65" t="s">
        <v>194</v>
      </c>
      <c r="K300" s="81">
        <v>0.1</v>
      </c>
      <c r="L300" s="81">
        <v>0.9</v>
      </c>
      <c r="M300" s="81">
        <v>0.1</v>
      </c>
    </row>
    <row r="301" s="65" customFormat="1" customHeight="1" spans="1:13">
      <c r="A301" s="77">
        <v>298</v>
      </c>
      <c r="B301" s="78" t="str">
        <f t="shared" si="4"/>
        <v>Mother TinctureZingiber.</v>
      </c>
      <c r="C301" s="78" t="s">
        <v>107</v>
      </c>
      <c r="D301" s="79" t="s">
        <v>490</v>
      </c>
      <c r="E301" s="79" t="s">
        <v>490</v>
      </c>
      <c r="F301" s="65" t="s">
        <v>193</v>
      </c>
      <c r="G301" s="65" t="s">
        <v>194</v>
      </c>
      <c r="K301" s="81">
        <v>0.1</v>
      </c>
      <c r="L301" s="81">
        <v>0.9</v>
      </c>
      <c r="M301" s="81">
        <v>0.1</v>
      </c>
    </row>
    <row r="302" s="65" customFormat="1" customHeight="1" spans="1:12">
      <c r="A302" s="77">
        <v>299</v>
      </c>
      <c r="B302" s="78" t="str">
        <f t="shared" si="4"/>
        <v>OilApis Mel.</v>
      </c>
      <c r="C302" s="65" t="s">
        <v>119</v>
      </c>
      <c r="D302" s="78" t="s">
        <v>231</v>
      </c>
      <c r="E302" s="65" t="str">
        <f>+VLOOKUP(D302,$D$4:$D$301,1,FALSE)</f>
        <v>Apis Mel.</v>
      </c>
      <c r="F302" s="65" t="s">
        <v>491</v>
      </c>
      <c r="K302" s="82">
        <v>0.015</v>
      </c>
      <c r="L302" s="81">
        <v>1</v>
      </c>
    </row>
    <row r="303" s="65" customFormat="1" customHeight="1" spans="1:12">
      <c r="A303" s="77">
        <v>300</v>
      </c>
      <c r="B303" s="78" t="e">
        <f t="shared" si="4"/>
        <v>#N/A</v>
      </c>
      <c r="C303" s="65" t="s">
        <v>119</v>
      </c>
      <c r="D303" s="78" t="s">
        <v>492</v>
      </c>
      <c r="E303" s="65" t="e">
        <f t="shared" ref="E303:E323" si="5">+VLOOKUP(D303,$D$4:$D$301,1,FALSE)</f>
        <v>#N/A</v>
      </c>
      <c r="F303" s="65" t="s">
        <v>491</v>
      </c>
      <c r="K303" s="82">
        <v>0.015</v>
      </c>
      <c r="L303" s="81">
        <v>1</v>
      </c>
    </row>
    <row r="304" s="65" customFormat="1" customHeight="1" spans="1:13">
      <c r="A304" s="77">
        <v>301</v>
      </c>
      <c r="B304" s="78" t="e">
        <f t="shared" si="4"/>
        <v>#N/A</v>
      </c>
      <c r="C304" s="65" t="s">
        <v>119</v>
      </c>
      <c r="D304" s="78" t="s">
        <v>493</v>
      </c>
      <c r="E304" s="65" t="e">
        <f t="shared" si="5"/>
        <v>#N/A</v>
      </c>
      <c r="F304" s="65" t="s">
        <v>491</v>
      </c>
      <c r="G304" s="65" t="s">
        <v>494</v>
      </c>
      <c r="K304" s="82">
        <v>0.015</v>
      </c>
      <c r="L304" s="81">
        <v>1</v>
      </c>
      <c r="M304" s="82">
        <v>0.015</v>
      </c>
    </row>
    <row r="305" s="65" customFormat="1" customHeight="1" spans="1:12">
      <c r="A305" s="77">
        <v>302</v>
      </c>
      <c r="B305" s="78" t="str">
        <f t="shared" si="4"/>
        <v>OilBelladonna</v>
      </c>
      <c r="C305" s="65" t="s">
        <v>119</v>
      </c>
      <c r="D305" s="78" t="s">
        <v>102</v>
      </c>
      <c r="E305" s="65" t="str">
        <f t="shared" si="5"/>
        <v>Belladonna</v>
      </c>
      <c r="F305" s="65" t="s">
        <v>491</v>
      </c>
      <c r="K305" s="82">
        <v>0.015</v>
      </c>
      <c r="L305" s="81">
        <v>1</v>
      </c>
    </row>
    <row r="306" s="65" customFormat="1" customHeight="1" spans="1:12">
      <c r="A306" s="77">
        <v>303</v>
      </c>
      <c r="B306" s="78" t="e">
        <f t="shared" si="4"/>
        <v>#N/A</v>
      </c>
      <c r="C306" s="65" t="s">
        <v>119</v>
      </c>
      <c r="D306" s="78" t="s">
        <v>495</v>
      </c>
      <c r="E306" s="65" t="e">
        <f t="shared" si="5"/>
        <v>#N/A</v>
      </c>
      <c r="F306" s="65" t="s">
        <v>491</v>
      </c>
      <c r="K306" s="82">
        <v>0.015</v>
      </c>
      <c r="L306" s="81">
        <v>1</v>
      </c>
    </row>
    <row r="307" s="65" customFormat="1" customHeight="1" spans="1:12">
      <c r="A307" s="77">
        <v>304</v>
      </c>
      <c r="B307" s="78" t="e">
        <f t="shared" si="4"/>
        <v>#N/A</v>
      </c>
      <c r="C307" s="65" t="s">
        <v>119</v>
      </c>
      <c r="D307" s="78" t="s">
        <v>496</v>
      </c>
      <c r="E307" s="65" t="e">
        <f t="shared" si="5"/>
        <v>#N/A</v>
      </c>
      <c r="F307" s="65" t="s">
        <v>491</v>
      </c>
      <c r="K307" s="82">
        <v>0.015</v>
      </c>
      <c r="L307" s="81">
        <v>1</v>
      </c>
    </row>
    <row r="308" s="65" customFormat="1" customHeight="1" spans="1:12">
      <c r="A308" s="77">
        <v>305</v>
      </c>
      <c r="B308" s="78" t="str">
        <f t="shared" si="4"/>
        <v>OilCantharis</v>
      </c>
      <c r="C308" s="65" t="s">
        <v>119</v>
      </c>
      <c r="D308" s="78" t="s">
        <v>269</v>
      </c>
      <c r="E308" s="65" t="str">
        <f t="shared" si="5"/>
        <v>Cantharis</v>
      </c>
      <c r="F308" s="65" t="s">
        <v>491</v>
      </c>
      <c r="K308" s="82">
        <v>0.015</v>
      </c>
      <c r="L308" s="81">
        <v>1</v>
      </c>
    </row>
    <row r="309" s="65" customFormat="1" customHeight="1" spans="1:12">
      <c r="A309" s="77">
        <v>306</v>
      </c>
      <c r="B309" s="78" t="e">
        <f t="shared" si="4"/>
        <v>#N/A</v>
      </c>
      <c r="C309" s="65" t="s">
        <v>119</v>
      </c>
      <c r="D309" s="78" t="s">
        <v>497</v>
      </c>
      <c r="E309" s="65" t="e">
        <f t="shared" si="5"/>
        <v>#N/A</v>
      </c>
      <c r="F309" s="65" t="s">
        <v>491</v>
      </c>
      <c r="K309" s="82">
        <v>0.015</v>
      </c>
      <c r="L309" s="81">
        <v>1</v>
      </c>
    </row>
    <row r="310" s="65" customFormat="1" customHeight="1" spans="1:12">
      <c r="A310" s="77">
        <v>307</v>
      </c>
      <c r="B310" s="78" t="e">
        <f t="shared" si="4"/>
        <v>#N/A</v>
      </c>
      <c r="C310" s="65" t="s">
        <v>119</v>
      </c>
      <c r="D310" s="78" t="s">
        <v>498</v>
      </c>
      <c r="E310" s="65" t="e">
        <f t="shared" si="5"/>
        <v>#N/A</v>
      </c>
      <c r="F310" s="65" t="s">
        <v>491</v>
      </c>
      <c r="K310" s="82">
        <v>0.015</v>
      </c>
      <c r="L310" s="81">
        <v>1</v>
      </c>
    </row>
    <row r="311" s="65" customFormat="1" customHeight="1" spans="1:12">
      <c r="A311" s="77">
        <v>308</v>
      </c>
      <c r="B311" s="78" t="e">
        <f t="shared" si="4"/>
        <v>#N/A</v>
      </c>
      <c r="C311" s="65" t="s">
        <v>119</v>
      </c>
      <c r="D311" s="78" t="s">
        <v>499</v>
      </c>
      <c r="E311" s="65" t="e">
        <f t="shared" si="5"/>
        <v>#N/A</v>
      </c>
      <c r="F311" s="65" t="s">
        <v>491</v>
      </c>
      <c r="K311" s="82">
        <v>0.015</v>
      </c>
      <c r="L311" s="81">
        <v>1</v>
      </c>
    </row>
    <row r="312" s="65" customFormat="1" customHeight="1" spans="1:12">
      <c r="A312" s="77">
        <v>309</v>
      </c>
      <c r="B312" s="78" t="e">
        <f t="shared" si="4"/>
        <v>#N/A</v>
      </c>
      <c r="C312" s="65" t="s">
        <v>119</v>
      </c>
      <c r="D312" s="78" t="s">
        <v>500</v>
      </c>
      <c r="E312" s="65" t="e">
        <f t="shared" si="5"/>
        <v>#N/A</v>
      </c>
      <c r="F312" s="65" t="s">
        <v>491</v>
      </c>
      <c r="K312" s="82">
        <v>0.015</v>
      </c>
      <c r="L312" s="81">
        <v>1</v>
      </c>
    </row>
    <row r="313" s="65" customFormat="1" customHeight="1" spans="1:12">
      <c r="A313" s="77">
        <v>310</v>
      </c>
      <c r="B313" s="78" t="str">
        <f t="shared" si="4"/>
        <v>OilHydrocotyle Asi.</v>
      </c>
      <c r="C313" s="65" t="s">
        <v>119</v>
      </c>
      <c r="D313" s="78" t="s">
        <v>348</v>
      </c>
      <c r="E313" s="65" t="str">
        <f t="shared" si="5"/>
        <v>Hydrocotyle Asi.</v>
      </c>
      <c r="F313" s="65" t="s">
        <v>491</v>
      </c>
      <c r="K313" s="82">
        <v>0.015</v>
      </c>
      <c r="L313" s="81">
        <v>1</v>
      </c>
    </row>
    <row r="314" s="65" customFormat="1" customHeight="1" spans="1:12">
      <c r="A314" s="77">
        <v>311</v>
      </c>
      <c r="B314" s="78" t="str">
        <f t="shared" si="4"/>
        <v>OilHypericum Perf.</v>
      </c>
      <c r="C314" s="65" t="s">
        <v>119</v>
      </c>
      <c r="D314" s="78" t="s">
        <v>350</v>
      </c>
      <c r="E314" s="65" t="str">
        <f t="shared" si="5"/>
        <v>Hypericum Perf.</v>
      </c>
      <c r="F314" s="65" t="s">
        <v>491</v>
      </c>
      <c r="K314" s="82">
        <v>0.015</v>
      </c>
      <c r="L314" s="81">
        <v>1</v>
      </c>
    </row>
    <row r="315" s="65" customFormat="1" customHeight="1" spans="1:12">
      <c r="A315" s="77">
        <v>312</v>
      </c>
      <c r="B315" s="78" t="str">
        <f t="shared" si="4"/>
        <v>OilJaborandi (Pilcarpus)</v>
      </c>
      <c r="C315" s="65" t="s">
        <v>119</v>
      </c>
      <c r="D315" s="78" t="s">
        <v>356</v>
      </c>
      <c r="E315" s="65" t="str">
        <f t="shared" si="5"/>
        <v>Jaborandi (Pilcarpus)</v>
      </c>
      <c r="F315" s="65" t="s">
        <v>491</v>
      </c>
      <c r="K315" s="82">
        <v>0.015</v>
      </c>
      <c r="L315" s="81">
        <v>1</v>
      </c>
    </row>
    <row r="316" s="65" customFormat="1" customHeight="1" spans="1:12">
      <c r="A316" s="77">
        <v>313</v>
      </c>
      <c r="B316" s="78" t="e">
        <f t="shared" si="4"/>
        <v>#N/A</v>
      </c>
      <c r="C316" s="65" t="s">
        <v>119</v>
      </c>
      <c r="D316" s="78" t="s">
        <v>501</v>
      </c>
      <c r="E316" s="65" t="e">
        <f t="shared" si="5"/>
        <v>#N/A</v>
      </c>
      <c r="F316" s="65" t="s">
        <v>491</v>
      </c>
      <c r="K316" s="82">
        <v>0.015</v>
      </c>
      <c r="L316" s="81">
        <v>1</v>
      </c>
    </row>
    <row r="317" s="65" customFormat="1" customHeight="1" spans="1:12">
      <c r="A317" s="77">
        <v>314</v>
      </c>
      <c r="B317" s="78" t="e">
        <f t="shared" si="4"/>
        <v>#N/A</v>
      </c>
      <c r="C317" s="65" t="s">
        <v>119</v>
      </c>
      <c r="D317" s="78" t="s">
        <v>502</v>
      </c>
      <c r="E317" s="65" t="e">
        <f t="shared" si="5"/>
        <v>#N/A</v>
      </c>
      <c r="F317" s="65" t="s">
        <v>491</v>
      </c>
      <c r="K317" s="82">
        <v>0.015</v>
      </c>
      <c r="L317" s="81">
        <v>1</v>
      </c>
    </row>
    <row r="318" s="65" customFormat="1" customHeight="1" spans="1:12">
      <c r="A318" s="77">
        <v>315</v>
      </c>
      <c r="B318" s="78" t="str">
        <f t="shared" si="4"/>
        <v>OilRuta Grav.</v>
      </c>
      <c r="C318" s="65" t="s">
        <v>119</v>
      </c>
      <c r="D318" s="78" t="s">
        <v>425</v>
      </c>
      <c r="E318" s="65" t="str">
        <f t="shared" si="5"/>
        <v>Ruta Grav.</v>
      </c>
      <c r="F318" s="65" t="s">
        <v>491</v>
      </c>
      <c r="K318" s="82">
        <v>0.015</v>
      </c>
      <c r="L318" s="81">
        <v>1</v>
      </c>
    </row>
    <row r="319" s="65" customFormat="1" customHeight="1" spans="1:12">
      <c r="A319" s="77">
        <v>316</v>
      </c>
      <c r="B319" s="78" t="str">
        <f t="shared" si="4"/>
        <v>OilSymphytum</v>
      </c>
      <c r="C319" s="65" t="s">
        <v>119</v>
      </c>
      <c r="D319" s="78" t="s">
        <v>454</v>
      </c>
      <c r="E319" s="65" t="str">
        <f t="shared" si="5"/>
        <v>Symphytum</v>
      </c>
      <c r="F319" s="65" t="s">
        <v>491</v>
      </c>
      <c r="K319" s="82">
        <v>0.015</v>
      </c>
      <c r="L319" s="81">
        <v>1</v>
      </c>
    </row>
    <row r="320" s="65" customFormat="1" customHeight="1" spans="1:12">
      <c r="A320" s="77">
        <v>317</v>
      </c>
      <c r="B320" s="78" t="e">
        <f t="shared" si="4"/>
        <v>#N/A</v>
      </c>
      <c r="C320" s="65" t="s">
        <v>119</v>
      </c>
      <c r="D320" s="78" t="s">
        <v>503</v>
      </c>
      <c r="E320" s="65" t="e">
        <f t="shared" si="5"/>
        <v>#N/A</v>
      </c>
      <c r="F320" s="65" t="s">
        <v>491</v>
      </c>
      <c r="K320" s="82">
        <v>0.015</v>
      </c>
      <c r="L320" s="81">
        <v>1</v>
      </c>
    </row>
    <row r="321" s="65" customFormat="1" customHeight="1" spans="1:12">
      <c r="A321" s="77">
        <v>318</v>
      </c>
      <c r="B321" s="78" t="str">
        <f t="shared" si="4"/>
        <v>OilUrtica Urens</v>
      </c>
      <c r="C321" s="65" t="s">
        <v>119</v>
      </c>
      <c r="D321" s="78" t="s">
        <v>470</v>
      </c>
      <c r="E321" s="65" t="str">
        <f t="shared" si="5"/>
        <v>Urtica Urens</v>
      </c>
      <c r="F321" s="65" t="s">
        <v>491</v>
      </c>
      <c r="K321" s="82">
        <v>0.015</v>
      </c>
      <c r="L321" s="81">
        <v>1</v>
      </c>
    </row>
    <row r="322" s="65" customFormat="1" customHeight="1" spans="1:13">
      <c r="A322" s="77">
        <v>319</v>
      </c>
      <c r="B322" s="78" t="e">
        <f t="shared" si="4"/>
        <v>#N/A</v>
      </c>
      <c r="C322" s="65" t="s">
        <v>119</v>
      </c>
      <c r="D322" s="78" t="s">
        <v>504</v>
      </c>
      <c r="E322" s="65" t="e">
        <f t="shared" si="5"/>
        <v>#N/A</v>
      </c>
      <c r="F322" s="65" t="s">
        <v>491</v>
      </c>
      <c r="G322" s="65" t="s">
        <v>492</v>
      </c>
      <c r="K322" s="82">
        <v>0.015</v>
      </c>
      <c r="L322" s="81">
        <v>1</v>
      </c>
      <c r="M322" s="82">
        <v>0.015</v>
      </c>
    </row>
    <row r="323" s="65" customFormat="1" customHeight="1" spans="1:12">
      <c r="A323" s="77">
        <v>320</v>
      </c>
      <c r="B323" s="78" t="e">
        <f t="shared" si="4"/>
        <v>#N/A</v>
      </c>
      <c r="C323" s="65" t="s">
        <v>99</v>
      </c>
      <c r="D323" s="83" t="s">
        <v>505</v>
      </c>
      <c r="E323" s="65" t="e">
        <f t="shared" si="5"/>
        <v>#N/A</v>
      </c>
      <c r="F323" s="65" t="s">
        <v>506</v>
      </c>
      <c r="G323" s="65" t="s">
        <v>507</v>
      </c>
      <c r="K323" s="81">
        <v>0.03</v>
      </c>
      <c r="L323" s="81">
        <v>1</v>
      </c>
    </row>
    <row r="324" s="65" customFormat="1" customHeight="1" spans="1:12">
      <c r="A324" s="77">
        <v>321</v>
      </c>
      <c r="B324" s="78" t="e">
        <f t="shared" si="4"/>
        <v>#N/A</v>
      </c>
      <c r="C324" s="65" t="s">
        <v>99</v>
      </c>
      <c r="D324" s="83" t="s">
        <v>508</v>
      </c>
      <c r="E324" s="65" t="e">
        <f t="shared" ref="E324:E347" si="6">+VLOOKUP(D324,$D$4:$D$301,1,FALSE)</f>
        <v>#N/A</v>
      </c>
      <c r="F324" s="65" t="s">
        <v>506</v>
      </c>
      <c r="G324" s="65" t="s">
        <v>507</v>
      </c>
      <c r="K324" s="81">
        <v>0.03</v>
      </c>
      <c r="L324" s="81">
        <v>1</v>
      </c>
    </row>
    <row r="325" s="65" customFormat="1" customHeight="1" spans="1:12">
      <c r="A325" s="77">
        <v>322</v>
      </c>
      <c r="B325" s="78" t="e">
        <f t="shared" ref="B325:B388" si="7">+C325&amp;E325</f>
        <v>#N/A</v>
      </c>
      <c r="C325" s="65" t="s">
        <v>99</v>
      </c>
      <c r="D325" s="83" t="s">
        <v>492</v>
      </c>
      <c r="E325" s="65" t="e">
        <f t="shared" si="6"/>
        <v>#N/A</v>
      </c>
      <c r="F325" s="65" t="s">
        <v>506</v>
      </c>
      <c r="G325" s="65" t="s">
        <v>507</v>
      </c>
      <c r="K325" s="81">
        <v>0.03</v>
      </c>
      <c r="L325" s="81">
        <v>1</v>
      </c>
    </row>
    <row r="326" s="65" customFormat="1" customHeight="1" spans="1:12">
      <c r="A326" s="77">
        <v>323</v>
      </c>
      <c r="B326" s="78" t="str">
        <f t="shared" si="7"/>
        <v>OinmentBelladonna</v>
      </c>
      <c r="C326" s="65" t="s">
        <v>99</v>
      </c>
      <c r="D326" s="83" t="s">
        <v>102</v>
      </c>
      <c r="E326" s="65" t="str">
        <f t="shared" si="6"/>
        <v>Belladonna</v>
      </c>
      <c r="F326" s="65" t="s">
        <v>506</v>
      </c>
      <c r="G326" s="65" t="s">
        <v>507</v>
      </c>
      <c r="K326" s="81">
        <v>0.03</v>
      </c>
      <c r="L326" s="81">
        <v>1</v>
      </c>
    </row>
    <row r="327" s="65" customFormat="1" customHeight="1" spans="1:12">
      <c r="A327" s="77">
        <v>324</v>
      </c>
      <c r="B327" s="78" t="e">
        <f t="shared" si="7"/>
        <v>#N/A</v>
      </c>
      <c r="C327" s="65" t="s">
        <v>99</v>
      </c>
      <c r="D327" s="83" t="s">
        <v>495</v>
      </c>
      <c r="E327" s="65" t="e">
        <f t="shared" si="6"/>
        <v>#N/A</v>
      </c>
      <c r="F327" s="65" t="s">
        <v>506</v>
      </c>
      <c r="G327" s="65" t="s">
        <v>507</v>
      </c>
      <c r="K327" s="81">
        <v>0.03</v>
      </c>
      <c r="L327" s="81">
        <v>1</v>
      </c>
    </row>
    <row r="328" s="65" customFormat="1" customHeight="1" spans="1:12">
      <c r="A328" s="77">
        <v>325</v>
      </c>
      <c r="B328" s="78" t="e">
        <f t="shared" si="7"/>
        <v>#N/A</v>
      </c>
      <c r="C328" s="65" t="s">
        <v>99</v>
      </c>
      <c r="D328" s="83" t="s">
        <v>509</v>
      </c>
      <c r="E328" s="65" t="e">
        <f t="shared" si="6"/>
        <v>#N/A</v>
      </c>
      <c r="F328" s="65" t="s">
        <v>506</v>
      </c>
      <c r="G328" s="65" t="s">
        <v>507</v>
      </c>
      <c r="K328" s="81">
        <v>0.03</v>
      </c>
      <c r="L328" s="81">
        <v>1</v>
      </c>
    </row>
    <row r="329" s="65" customFormat="1" customHeight="1" spans="1:12">
      <c r="A329" s="77">
        <v>326</v>
      </c>
      <c r="B329" s="78" t="e">
        <f t="shared" si="7"/>
        <v>#N/A</v>
      </c>
      <c r="C329" s="65" t="s">
        <v>99</v>
      </c>
      <c r="D329" s="83" t="s">
        <v>496</v>
      </c>
      <c r="E329" s="65" t="e">
        <f t="shared" si="6"/>
        <v>#N/A</v>
      </c>
      <c r="F329" s="65" t="s">
        <v>506</v>
      </c>
      <c r="G329" s="65" t="s">
        <v>507</v>
      </c>
      <c r="K329" s="81">
        <v>0.03</v>
      </c>
      <c r="L329" s="81">
        <v>1</v>
      </c>
    </row>
    <row r="330" s="65" customFormat="1" customHeight="1" spans="1:12">
      <c r="A330" s="77">
        <v>327</v>
      </c>
      <c r="B330" s="78" t="e">
        <f t="shared" si="7"/>
        <v>#N/A</v>
      </c>
      <c r="C330" s="65" t="s">
        <v>99</v>
      </c>
      <c r="D330" s="83" t="s">
        <v>510</v>
      </c>
      <c r="E330" s="65" t="e">
        <f t="shared" si="6"/>
        <v>#N/A</v>
      </c>
      <c r="F330" s="65" t="s">
        <v>506</v>
      </c>
      <c r="G330" s="65" t="s">
        <v>507</v>
      </c>
      <c r="K330" s="81">
        <v>0.03</v>
      </c>
      <c r="L330" s="81">
        <v>1</v>
      </c>
    </row>
    <row r="331" s="65" customFormat="1" customHeight="1" spans="1:12">
      <c r="A331" s="77">
        <v>328</v>
      </c>
      <c r="B331" s="78" t="str">
        <f t="shared" si="7"/>
        <v>OinmentCantharis</v>
      </c>
      <c r="C331" s="65" t="s">
        <v>99</v>
      </c>
      <c r="D331" s="83" t="s">
        <v>269</v>
      </c>
      <c r="E331" s="65" t="str">
        <f t="shared" si="6"/>
        <v>Cantharis</v>
      </c>
      <c r="F331" s="65" t="s">
        <v>506</v>
      </c>
      <c r="G331" s="65" t="s">
        <v>507</v>
      </c>
      <c r="K331" s="81">
        <v>0.03</v>
      </c>
      <c r="L331" s="81">
        <v>1</v>
      </c>
    </row>
    <row r="332" s="65" customFormat="1" customHeight="1" spans="1:12">
      <c r="A332" s="77">
        <v>329</v>
      </c>
      <c r="B332" s="78" t="e">
        <f t="shared" si="7"/>
        <v>#N/A</v>
      </c>
      <c r="C332" s="65" t="s">
        <v>99</v>
      </c>
      <c r="D332" s="83" t="s">
        <v>497</v>
      </c>
      <c r="E332" s="65" t="e">
        <f t="shared" si="6"/>
        <v>#N/A</v>
      </c>
      <c r="F332" s="65" t="s">
        <v>506</v>
      </c>
      <c r="G332" s="65" t="s">
        <v>507</v>
      </c>
      <c r="K332" s="81">
        <v>0.03</v>
      </c>
      <c r="L332" s="81">
        <v>1</v>
      </c>
    </row>
    <row r="333" s="65" customFormat="1" customHeight="1" spans="1:12">
      <c r="A333" s="77">
        <v>330</v>
      </c>
      <c r="B333" s="78" t="e">
        <f t="shared" si="7"/>
        <v>#N/A</v>
      </c>
      <c r="C333" s="65" t="s">
        <v>99</v>
      </c>
      <c r="D333" s="83" t="s">
        <v>511</v>
      </c>
      <c r="E333" s="65" t="e">
        <f t="shared" si="6"/>
        <v>#N/A</v>
      </c>
      <c r="F333" s="65" t="s">
        <v>506</v>
      </c>
      <c r="G333" s="65" t="s">
        <v>507</v>
      </c>
      <c r="K333" s="81">
        <v>0.03</v>
      </c>
      <c r="L333" s="81">
        <v>1</v>
      </c>
    </row>
    <row r="334" s="65" customFormat="1" customHeight="1" spans="1:12">
      <c r="A334" s="77">
        <v>331</v>
      </c>
      <c r="B334" s="78" t="e">
        <f t="shared" si="7"/>
        <v>#N/A</v>
      </c>
      <c r="C334" s="65" t="s">
        <v>99</v>
      </c>
      <c r="D334" s="83" t="s">
        <v>499</v>
      </c>
      <c r="E334" s="65" t="e">
        <f t="shared" si="6"/>
        <v>#N/A</v>
      </c>
      <c r="F334" s="65" t="s">
        <v>506</v>
      </c>
      <c r="G334" s="65" t="s">
        <v>507</v>
      </c>
      <c r="K334" s="81">
        <v>0.03</v>
      </c>
      <c r="L334" s="81">
        <v>1</v>
      </c>
    </row>
    <row r="335" s="65" customFormat="1" customHeight="1" spans="1:12">
      <c r="A335" s="77">
        <v>332</v>
      </c>
      <c r="B335" s="78" t="e">
        <f t="shared" si="7"/>
        <v>#N/A</v>
      </c>
      <c r="C335" s="65" t="s">
        <v>99</v>
      </c>
      <c r="D335" s="83" t="s">
        <v>512</v>
      </c>
      <c r="E335" s="65" t="e">
        <f t="shared" si="6"/>
        <v>#N/A</v>
      </c>
      <c r="F335" s="65" t="s">
        <v>506</v>
      </c>
      <c r="G335" s="65" t="s">
        <v>507</v>
      </c>
      <c r="K335" s="81">
        <v>0.03</v>
      </c>
      <c r="L335" s="81">
        <v>1</v>
      </c>
    </row>
    <row r="336" s="65" customFormat="1" customHeight="1" spans="1:12">
      <c r="A336" s="77">
        <v>333</v>
      </c>
      <c r="B336" s="78" t="e">
        <f t="shared" si="7"/>
        <v>#N/A</v>
      </c>
      <c r="C336" s="65" t="s">
        <v>99</v>
      </c>
      <c r="D336" s="83" t="s">
        <v>500</v>
      </c>
      <c r="E336" s="65" t="e">
        <f t="shared" si="6"/>
        <v>#N/A</v>
      </c>
      <c r="F336" s="65" t="s">
        <v>506</v>
      </c>
      <c r="G336" s="65" t="s">
        <v>507</v>
      </c>
      <c r="K336" s="81">
        <v>0.03</v>
      </c>
      <c r="L336" s="81">
        <v>1</v>
      </c>
    </row>
    <row r="337" s="65" customFormat="1" customHeight="1" spans="1:12">
      <c r="A337" s="77">
        <v>334</v>
      </c>
      <c r="B337" s="78" t="str">
        <f t="shared" si="7"/>
        <v>OinmentHypericum Perf.</v>
      </c>
      <c r="C337" s="65" t="s">
        <v>99</v>
      </c>
      <c r="D337" s="83" t="s">
        <v>350</v>
      </c>
      <c r="E337" s="65" t="str">
        <f t="shared" si="6"/>
        <v>Hypericum Perf.</v>
      </c>
      <c r="F337" s="65" t="s">
        <v>506</v>
      </c>
      <c r="G337" s="65" t="s">
        <v>507</v>
      </c>
      <c r="K337" s="81">
        <v>0.03</v>
      </c>
      <c r="L337" s="81">
        <v>1</v>
      </c>
    </row>
    <row r="338" s="65" customFormat="1" customHeight="1" spans="1:12">
      <c r="A338" s="77">
        <v>335</v>
      </c>
      <c r="B338" s="78" t="e">
        <f t="shared" si="7"/>
        <v>#N/A</v>
      </c>
      <c r="C338" s="65" t="s">
        <v>99</v>
      </c>
      <c r="D338" s="83" t="s">
        <v>501</v>
      </c>
      <c r="E338" s="65" t="e">
        <f t="shared" si="6"/>
        <v>#N/A</v>
      </c>
      <c r="F338" s="65" t="s">
        <v>506</v>
      </c>
      <c r="G338" s="65" t="s">
        <v>507</v>
      </c>
      <c r="K338" s="81">
        <v>0.03</v>
      </c>
      <c r="L338" s="81">
        <v>1</v>
      </c>
    </row>
    <row r="339" s="65" customFormat="1" customHeight="1" spans="1:12">
      <c r="A339" s="77">
        <v>336</v>
      </c>
      <c r="B339" s="78" t="e">
        <f t="shared" si="7"/>
        <v>#N/A</v>
      </c>
      <c r="C339" s="65" t="s">
        <v>99</v>
      </c>
      <c r="D339" s="83" t="s">
        <v>513</v>
      </c>
      <c r="E339" s="65" t="e">
        <f t="shared" si="6"/>
        <v>#N/A</v>
      </c>
      <c r="F339" s="65" t="s">
        <v>506</v>
      </c>
      <c r="G339" s="65" t="s">
        <v>507</v>
      </c>
      <c r="K339" s="81">
        <v>0.03</v>
      </c>
      <c r="L339" s="81">
        <v>1</v>
      </c>
    </row>
    <row r="340" s="65" customFormat="1" customHeight="1" spans="1:12">
      <c r="A340" s="77">
        <v>337</v>
      </c>
      <c r="B340" s="78" t="str">
        <f t="shared" si="7"/>
        <v>OinmentRhus Tox</v>
      </c>
      <c r="C340" s="65" t="s">
        <v>99</v>
      </c>
      <c r="D340" s="83" t="s">
        <v>421</v>
      </c>
      <c r="E340" s="65" t="str">
        <f t="shared" si="6"/>
        <v>Rhus Tox</v>
      </c>
      <c r="F340" s="65" t="s">
        <v>506</v>
      </c>
      <c r="G340" s="65" t="s">
        <v>507</v>
      </c>
      <c r="K340" s="81">
        <v>0.03</v>
      </c>
      <c r="L340" s="81">
        <v>1</v>
      </c>
    </row>
    <row r="341" s="65" customFormat="1" customHeight="1" spans="1:12">
      <c r="A341" s="77">
        <v>338</v>
      </c>
      <c r="B341" s="78" t="e">
        <f t="shared" si="7"/>
        <v>#N/A</v>
      </c>
      <c r="C341" s="65" t="s">
        <v>99</v>
      </c>
      <c r="D341" s="83" t="s">
        <v>514</v>
      </c>
      <c r="E341" s="65" t="e">
        <f t="shared" si="6"/>
        <v>#N/A</v>
      </c>
      <c r="F341" s="65" t="s">
        <v>506</v>
      </c>
      <c r="G341" s="65" t="s">
        <v>507</v>
      </c>
      <c r="K341" s="81">
        <v>0.03</v>
      </c>
      <c r="L341" s="81">
        <v>1</v>
      </c>
    </row>
    <row r="342" s="65" customFormat="1" customHeight="1" spans="1:12">
      <c r="A342" s="77">
        <v>339</v>
      </c>
      <c r="B342" s="78" t="e">
        <f t="shared" si="7"/>
        <v>#N/A</v>
      </c>
      <c r="C342" s="65" t="s">
        <v>99</v>
      </c>
      <c r="D342" s="83" t="s">
        <v>515</v>
      </c>
      <c r="E342" s="65" t="e">
        <f t="shared" si="6"/>
        <v>#N/A</v>
      </c>
      <c r="F342" s="65" t="s">
        <v>506</v>
      </c>
      <c r="G342" s="65" t="s">
        <v>507</v>
      </c>
      <c r="K342" s="81">
        <v>0.03</v>
      </c>
      <c r="L342" s="81">
        <v>1</v>
      </c>
    </row>
    <row r="343" s="65" customFormat="1" customHeight="1" spans="1:12">
      <c r="A343" s="77">
        <v>340</v>
      </c>
      <c r="B343" s="78" t="str">
        <f t="shared" si="7"/>
        <v>OinmentSulphur</v>
      </c>
      <c r="C343" s="65" t="s">
        <v>99</v>
      </c>
      <c r="D343" s="83" t="s">
        <v>452</v>
      </c>
      <c r="E343" s="65" t="str">
        <f t="shared" si="6"/>
        <v>Sulphur</v>
      </c>
      <c r="F343" s="65" t="s">
        <v>506</v>
      </c>
      <c r="G343" s="65" t="s">
        <v>507</v>
      </c>
      <c r="K343" s="81">
        <v>0.03</v>
      </c>
      <c r="L343" s="81">
        <v>1</v>
      </c>
    </row>
    <row r="344" s="65" customFormat="1" customHeight="1" spans="1:12">
      <c r="A344" s="77">
        <v>341</v>
      </c>
      <c r="B344" s="78" t="str">
        <f t="shared" si="7"/>
        <v>OinmentSymphytum</v>
      </c>
      <c r="C344" s="65" t="s">
        <v>99</v>
      </c>
      <c r="D344" s="83" t="s">
        <v>454</v>
      </c>
      <c r="E344" s="65" t="str">
        <f t="shared" si="6"/>
        <v>Symphytum</v>
      </c>
      <c r="F344" s="65" t="s">
        <v>506</v>
      </c>
      <c r="G344" s="65" t="s">
        <v>507</v>
      </c>
      <c r="K344" s="81">
        <v>0.03</v>
      </c>
      <c r="L344" s="81">
        <v>1</v>
      </c>
    </row>
    <row r="345" s="65" customFormat="1" customHeight="1" spans="1:12">
      <c r="A345" s="77">
        <v>342</v>
      </c>
      <c r="B345" s="78" t="e">
        <f t="shared" si="7"/>
        <v>#N/A</v>
      </c>
      <c r="C345" s="65" t="s">
        <v>99</v>
      </c>
      <c r="D345" s="83" t="s">
        <v>516</v>
      </c>
      <c r="E345" s="65" t="e">
        <f t="shared" si="6"/>
        <v>#N/A</v>
      </c>
      <c r="F345" s="65" t="s">
        <v>506</v>
      </c>
      <c r="G345" s="65" t="s">
        <v>507</v>
      </c>
      <c r="K345" s="81">
        <v>0.03</v>
      </c>
      <c r="L345" s="81">
        <v>1</v>
      </c>
    </row>
    <row r="346" s="65" customFormat="1" customHeight="1" spans="1:12">
      <c r="A346" s="77">
        <v>343</v>
      </c>
      <c r="B346" s="78" t="str">
        <f t="shared" si="7"/>
        <v>OinmentUrtica Urens</v>
      </c>
      <c r="C346" s="65" t="s">
        <v>99</v>
      </c>
      <c r="D346" s="83" t="s">
        <v>470</v>
      </c>
      <c r="E346" s="65" t="str">
        <f t="shared" si="6"/>
        <v>Urtica Urens</v>
      </c>
      <c r="F346" s="65" t="s">
        <v>506</v>
      </c>
      <c r="G346" s="65" t="s">
        <v>507</v>
      </c>
      <c r="K346" s="81">
        <v>0.03</v>
      </c>
      <c r="L346" s="81">
        <v>1</v>
      </c>
    </row>
    <row r="347" s="65" customFormat="1" customHeight="1" spans="1:12">
      <c r="A347" s="77">
        <v>344</v>
      </c>
      <c r="B347" s="78" t="str">
        <f t="shared" si="7"/>
        <v>OinmentRuta Grav.</v>
      </c>
      <c r="C347" s="65" t="s">
        <v>99</v>
      </c>
      <c r="D347" s="83" t="s">
        <v>425</v>
      </c>
      <c r="E347" s="65" t="str">
        <f t="shared" si="6"/>
        <v>Ruta Grav.</v>
      </c>
      <c r="F347" s="65" t="s">
        <v>506</v>
      </c>
      <c r="G347" s="65" t="s">
        <v>507</v>
      </c>
      <c r="K347" s="81">
        <v>0.03</v>
      </c>
      <c r="L347" s="81">
        <v>1</v>
      </c>
    </row>
    <row r="348" s="65" customFormat="1" customHeight="1" spans="1:16">
      <c r="A348" s="77">
        <v>345</v>
      </c>
      <c r="B348" s="78" t="str">
        <f t="shared" si="7"/>
        <v>SyrupAlfalfa</v>
      </c>
      <c r="C348" s="65" t="s">
        <v>120</v>
      </c>
      <c r="D348" s="83" t="s">
        <v>220</v>
      </c>
      <c r="E348" s="65" t="str">
        <f t="shared" ref="E348:E397" si="8">+VLOOKUP(D348,$D$4:$D$301,1,FALSE)</f>
        <v>Alfalfa</v>
      </c>
      <c r="F348" s="84" t="s">
        <v>517</v>
      </c>
      <c r="G348" s="84" t="s">
        <v>194</v>
      </c>
      <c r="H348" s="65" t="s">
        <v>518</v>
      </c>
      <c r="I348" s="65" t="s">
        <v>519</v>
      </c>
      <c r="K348" s="81">
        <v>0.1</v>
      </c>
      <c r="L348" s="81">
        <v>1</v>
      </c>
      <c r="M348" s="81">
        <v>1</v>
      </c>
      <c r="N348" s="81">
        <v>0.01</v>
      </c>
      <c r="O348" s="85">
        <v>0.0015</v>
      </c>
      <c r="P348" s="86">
        <v>0.00038</v>
      </c>
    </row>
    <row r="349" s="65" customFormat="1" customHeight="1" spans="1:15">
      <c r="A349" s="77">
        <v>346</v>
      </c>
      <c r="B349" s="78" t="str">
        <f t="shared" si="7"/>
        <v>SyrupAvena Sat.</v>
      </c>
      <c r="C349" s="65" t="s">
        <v>120</v>
      </c>
      <c r="D349" s="83" t="s">
        <v>251</v>
      </c>
      <c r="E349" s="65" t="str">
        <f t="shared" si="8"/>
        <v>Avena Sat.</v>
      </c>
      <c r="F349" s="84" t="s">
        <v>517</v>
      </c>
      <c r="G349" s="84" t="s">
        <v>194</v>
      </c>
      <c r="H349" s="65" t="s">
        <v>518</v>
      </c>
      <c r="I349" s="65" t="s">
        <v>519</v>
      </c>
      <c r="K349" s="81">
        <v>0.1</v>
      </c>
      <c r="L349" s="81">
        <v>1</v>
      </c>
      <c r="M349" s="81">
        <v>1</v>
      </c>
      <c r="N349" s="81">
        <v>0.01</v>
      </c>
      <c r="O349" s="85">
        <v>0.0015</v>
      </c>
    </row>
    <row r="350" s="65" customFormat="1" customHeight="1" spans="1:15">
      <c r="A350" s="77">
        <v>347</v>
      </c>
      <c r="B350" s="78" t="e">
        <f t="shared" si="7"/>
        <v>#N/A</v>
      </c>
      <c r="C350" s="65" t="s">
        <v>120</v>
      </c>
      <c r="D350" s="83" t="s">
        <v>520</v>
      </c>
      <c r="E350" s="65" t="e">
        <f t="shared" si="8"/>
        <v>#N/A</v>
      </c>
      <c r="F350" s="84" t="s">
        <v>517</v>
      </c>
      <c r="G350" s="84" t="s">
        <v>194</v>
      </c>
      <c r="H350" s="65" t="s">
        <v>518</v>
      </c>
      <c r="I350" s="65" t="s">
        <v>519</v>
      </c>
      <c r="K350" s="81">
        <v>0.1</v>
      </c>
      <c r="L350" s="81">
        <v>1</v>
      </c>
      <c r="M350" s="81">
        <v>1</v>
      </c>
      <c r="N350" s="81">
        <v>0.01</v>
      </c>
      <c r="O350" s="85">
        <v>0.0015</v>
      </c>
    </row>
    <row r="351" s="65" customFormat="1" customHeight="1" spans="1:15">
      <c r="A351" s="77">
        <v>348</v>
      </c>
      <c r="B351" s="78" t="str">
        <f t="shared" si="7"/>
        <v>SyrupAspidosperma</v>
      </c>
      <c r="C351" s="65" t="s">
        <v>120</v>
      </c>
      <c r="D351" s="83" t="s">
        <v>247</v>
      </c>
      <c r="E351" s="65" t="str">
        <f t="shared" si="8"/>
        <v>Aspidosperma</v>
      </c>
      <c r="F351" s="84" t="s">
        <v>517</v>
      </c>
      <c r="G351" s="84" t="s">
        <v>194</v>
      </c>
      <c r="H351" s="65" t="s">
        <v>518</v>
      </c>
      <c r="I351" s="65" t="s">
        <v>519</v>
      </c>
      <c r="K351" s="81">
        <v>0.1</v>
      </c>
      <c r="L351" s="81">
        <v>1</v>
      </c>
      <c r="M351" s="81">
        <v>1</v>
      </c>
      <c r="N351" s="81">
        <v>0.01</v>
      </c>
      <c r="O351" s="85">
        <v>0.0015</v>
      </c>
    </row>
    <row r="352" s="65" customFormat="1" customHeight="1" spans="1:15">
      <c r="A352" s="77">
        <v>349</v>
      </c>
      <c r="B352" s="78" t="e">
        <f t="shared" si="7"/>
        <v>#N/A</v>
      </c>
      <c r="C352" s="65" t="s">
        <v>120</v>
      </c>
      <c r="D352" s="83" t="s">
        <v>521</v>
      </c>
      <c r="E352" s="65" t="e">
        <f t="shared" si="8"/>
        <v>#N/A</v>
      </c>
      <c r="F352" s="84" t="s">
        <v>517</v>
      </c>
      <c r="G352" s="84" t="s">
        <v>194</v>
      </c>
      <c r="H352" s="65" t="s">
        <v>518</v>
      </c>
      <c r="I352" s="65" t="s">
        <v>519</v>
      </c>
      <c r="K352" s="81">
        <v>0.1</v>
      </c>
      <c r="L352" s="81">
        <v>1</v>
      </c>
      <c r="M352" s="81">
        <v>1</v>
      </c>
      <c r="N352" s="81">
        <v>0.01</v>
      </c>
      <c r="O352" s="85">
        <v>0.0015</v>
      </c>
    </row>
    <row r="353" s="65" customFormat="1" customHeight="1" spans="1:16">
      <c r="A353" s="77">
        <v>350</v>
      </c>
      <c r="B353" s="78" t="e">
        <f t="shared" si="7"/>
        <v>#N/A</v>
      </c>
      <c r="C353" s="65" t="s">
        <v>120</v>
      </c>
      <c r="D353" s="83" t="s">
        <v>522</v>
      </c>
      <c r="E353" s="65" t="e">
        <f t="shared" si="8"/>
        <v>#N/A</v>
      </c>
      <c r="F353" s="84" t="s">
        <v>517</v>
      </c>
      <c r="G353" s="84" t="s">
        <v>194</v>
      </c>
      <c r="H353" s="65" t="s">
        <v>518</v>
      </c>
      <c r="I353" s="65" t="s">
        <v>519</v>
      </c>
      <c r="J353" s="65" t="s">
        <v>523</v>
      </c>
      <c r="K353" s="81">
        <v>0.1</v>
      </c>
      <c r="L353" s="81">
        <v>1</v>
      </c>
      <c r="M353" s="81">
        <v>1</v>
      </c>
      <c r="N353" s="81">
        <v>0.01</v>
      </c>
      <c r="O353" s="85">
        <v>0.0015</v>
      </c>
      <c r="P353" s="86">
        <v>0.00038</v>
      </c>
    </row>
    <row r="354" s="65" customFormat="1" customHeight="1" spans="1:15">
      <c r="A354" s="77">
        <v>351</v>
      </c>
      <c r="B354" s="78" t="e">
        <f t="shared" si="7"/>
        <v>#N/A</v>
      </c>
      <c r="C354" s="65" t="s">
        <v>120</v>
      </c>
      <c r="D354" s="83" t="s">
        <v>524</v>
      </c>
      <c r="E354" s="65" t="e">
        <f t="shared" si="8"/>
        <v>#N/A</v>
      </c>
      <c r="F354" s="84" t="s">
        <v>517</v>
      </c>
      <c r="G354" s="84" t="s">
        <v>194</v>
      </c>
      <c r="H354" s="65" t="s">
        <v>518</v>
      </c>
      <c r="I354" s="65" t="s">
        <v>519</v>
      </c>
      <c r="K354" s="81">
        <v>0.1</v>
      </c>
      <c r="L354" s="81">
        <v>1</v>
      </c>
      <c r="M354" s="81">
        <v>1</v>
      </c>
      <c r="N354" s="81">
        <v>0.01</v>
      </c>
      <c r="O354" s="85">
        <v>0.0015</v>
      </c>
    </row>
    <row r="355" s="65" customFormat="1" customHeight="1" spans="1:15">
      <c r="A355" s="77">
        <v>352</v>
      </c>
      <c r="B355" s="78" t="e">
        <f t="shared" si="7"/>
        <v>#N/A</v>
      </c>
      <c r="C355" s="65" t="s">
        <v>120</v>
      </c>
      <c r="D355" s="83" t="s">
        <v>525</v>
      </c>
      <c r="E355" s="65" t="e">
        <f t="shared" si="8"/>
        <v>#N/A</v>
      </c>
      <c r="F355" s="84" t="s">
        <v>517</v>
      </c>
      <c r="G355" s="84" t="s">
        <v>194</v>
      </c>
      <c r="H355" s="65" t="s">
        <v>518</v>
      </c>
      <c r="I355" s="65" t="s">
        <v>519</v>
      </c>
      <c r="K355" s="81">
        <v>0.1</v>
      </c>
      <c r="L355" s="81">
        <v>1</v>
      </c>
      <c r="M355" s="81">
        <v>1</v>
      </c>
      <c r="N355" s="81">
        <v>0.01</v>
      </c>
      <c r="O355" s="85">
        <v>0.0015</v>
      </c>
    </row>
    <row r="356" s="65" customFormat="1" customHeight="1" spans="1:15">
      <c r="A356" s="77">
        <v>353</v>
      </c>
      <c r="B356" s="78" t="e">
        <f t="shared" si="7"/>
        <v>#N/A</v>
      </c>
      <c r="C356" s="65" t="s">
        <v>120</v>
      </c>
      <c r="D356" s="83" t="s">
        <v>526</v>
      </c>
      <c r="E356" s="65" t="e">
        <f t="shared" si="8"/>
        <v>#N/A</v>
      </c>
      <c r="F356" s="84" t="s">
        <v>517</v>
      </c>
      <c r="G356" s="84" t="s">
        <v>194</v>
      </c>
      <c r="H356" s="65" t="s">
        <v>518</v>
      </c>
      <c r="I356" s="65" t="s">
        <v>519</v>
      </c>
      <c r="K356" s="81">
        <v>0.1</v>
      </c>
      <c r="L356" s="81">
        <v>1</v>
      </c>
      <c r="M356" s="81">
        <v>1</v>
      </c>
      <c r="N356" s="81">
        <v>0.01</v>
      </c>
      <c r="O356" s="85">
        <v>0.0015</v>
      </c>
    </row>
    <row r="357" s="65" customFormat="1" customHeight="1" spans="1:15">
      <c r="A357" s="77">
        <v>354</v>
      </c>
      <c r="B357" s="78" t="str">
        <f t="shared" si="7"/>
        <v>SyrupRauwolfia Serp.</v>
      </c>
      <c r="C357" s="65" t="s">
        <v>120</v>
      </c>
      <c r="D357" s="83" t="s">
        <v>419</v>
      </c>
      <c r="E357" s="65" t="str">
        <f t="shared" si="8"/>
        <v>Rauwolfia Serp.</v>
      </c>
      <c r="F357" s="84" t="s">
        <v>517</v>
      </c>
      <c r="G357" s="84" t="s">
        <v>194</v>
      </c>
      <c r="H357" s="65" t="s">
        <v>518</v>
      </c>
      <c r="I357" s="65" t="s">
        <v>519</v>
      </c>
      <c r="K357" s="81">
        <v>0.1</v>
      </c>
      <c r="L357" s="81">
        <v>1</v>
      </c>
      <c r="M357" s="81">
        <v>1</v>
      </c>
      <c r="N357" s="81">
        <v>0.01</v>
      </c>
      <c r="O357" s="85">
        <v>0.0015</v>
      </c>
    </row>
    <row r="358" s="65" customFormat="1" customHeight="1" spans="1:15">
      <c r="A358" s="77">
        <v>355</v>
      </c>
      <c r="B358" s="78" t="str">
        <f t="shared" si="7"/>
        <v>SyrupYohimbinum</v>
      </c>
      <c r="C358" s="65" t="s">
        <v>120</v>
      </c>
      <c r="D358" s="83" t="s">
        <v>488</v>
      </c>
      <c r="E358" s="65" t="str">
        <f t="shared" si="8"/>
        <v>Yohimbinum</v>
      </c>
      <c r="F358" s="84" t="s">
        <v>517</v>
      </c>
      <c r="G358" s="84" t="s">
        <v>194</v>
      </c>
      <c r="H358" s="65" t="s">
        <v>518</v>
      </c>
      <c r="I358" s="65" t="s">
        <v>519</v>
      </c>
      <c r="K358" s="81">
        <v>0.1</v>
      </c>
      <c r="L358" s="81">
        <v>1</v>
      </c>
      <c r="M358" s="81">
        <v>1</v>
      </c>
      <c r="N358" s="81">
        <v>0.01</v>
      </c>
      <c r="O358" s="85">
        <v>0.0015</v>
      </c>
    </row>
    <row r="359" s="65" customFormat="1" customHeight="1" spans="1:15">
      <c r="A359" s="77">
        <v>356</v>
      </c>
      <c r="B359" s="78" t="e">
        <f t="shared" si="7"/>
        <v>#N/A</v>
      </c>
      <c r="C359" s="65" t="s">
        <v>120</v>
      </c>
      <c r="D359" s="83" t="s">
        <v>527</v>
      </c>
      <c r="E359" s="65" t="e">
        <f t="shared" si="8"/>
        <v>#N/A</v>
      </c>
      <c r="F359" s="84" t="s">
        <v>517</v>
      </c>
      <c r="G359" s="84" t="s">
        <v>194</v>
      </c>
      <c r="H359" s="65" t="s">
        <v>518</v>
      </c>
      <c r="I359" s="65" t="s">
        <v>519</v>
      </c>
      <c r="K359" s="81">
        <v>0.1</v>
      </c>
      <c r="L359" s="81">
        <v>1</v>
      </c>
      <c r="M359" s="81">
        <v>1</v>
      </c>
      <c r="N359" s="81">
        <v>0.01</v>
      </c>
      <c r="O359" s="85">
        <v>0.0015</v>
      </c>
    </row>
    <row r="360" s="65" customFormat="1" customHeight="1" spans="1:15">
      <c r="A360" s="77">
        <v>357</v>
      </c>
      <c r="B360" s="78" t="str">
        <f t="shared" si="7"/>
        <v>SyrupJusticia Adh.</v>
      </c>
      <c r="C360" s="65" t="s">
        <v>120</v>
      </c>
      <c r="D360" s="83" t="s">
        <v>361</v>
      </c>
      <c r="E360" s="65" t="str">
        <f t="shared" si="8"/>
        <v>Justicia Adh.</v>
      </c>
      <c r="F360" s="84" t="s">
        <v>517</v>
      </c>
      <c r="G360" s="84" t="s">
        <v>194</v>
      </c>
      <c r="H360" s="65" t="s">
        <v>518</v>
      </c>
      <c r="I360" s="65" t="s">
        <v>519</v>
      </c>
      <c r="K360" s="81">
        <v>0.1</v>
      </c>
      <c r="L360" s="81">
        <v>1</v>
      </c>
      <c r="M360" s="81">
        <v>1</v>
      </c>
      <c r="N360" s="81">
        <v>0.01</v>
      </c>
      <c r="O360" s="85">
        <v>0.0015</v>
      </c>
    </row>
    <row r="361" s="65" customFormat="1" customHeight="1" spans="1:15">
      <c r="A361" s="77">
        <v>358</v>
      </c>
      <c r="B361" s="78" t="str">
        <f t="shared" si="7"/>
        <v>SyrupSambucus Nig.</v>
      </c>
      <c r="C361" s="65" t="s">
        <v>120</v>
      </c>
      <c r="D361" s="83" t="s">
        <v>430</v>
      </c>
      <c r="E361" s="65" t="str">
        <f t="shared" si="8"/>
        <v>Sambucus Nig.</v>
      </c>
      <c r="F361" s="84" t="s">
        <v>517</v>
      </c>
      <c r="G361" s="84" t="s">
        <v>194</v>
      </c>
      <c r="H361" s="65" t="s">
        <v>518</v>
      </c>
      <c r="I361" s="65" t="s">
        <v>519</v>
      </c>
      <c r="K361" s="81">
        <v>0.1</v>
      </c>
      <c r="L361" s="81">
        <v>1</v>
      </c>
      <c r="M361" s="81">
        <v>1</v>
      </c>
      <c r="N361" s="81">
        <v>0.01</v>
      </c>
      <c r="O361" s="85">
        <v>0.0015</v>
      </c>
    </row>
    <row r="362" s="65" customFormat="1" customHeight="1" spans="1:15">
      <c r="A362" s="77">
        <v>359</v>
      </c>
      <c r="B362" s="78" t="str">
        <f t="shared" si="7"/>
        <v>SyrupGrindelia Rob.</v>
      </c>
      <c r="C362" s="65" t="s">
        <v>120</v>
      </c>
      <c r="D362" s="83" t="s">
        <v>338</v>
      </c>
      <c r="E362" s="65" t="str">
        <f t="shared" si="8"/>
        <v>Grindelia Rob.</v>
      </c>
      <c r="F362" s="84" t="s">
        <v>517</v>
      </c>
      <c r="G362" s="84" t="s">
        <v>194</v>
      </c>
      <c r="H362" s="65" t="s">
        <v>518</v>
      </c>
      <c r="I362" s="65" t="s">
        <v>519</v>
      </c>
      <c r="K362" s="81">
        <v>0.1</v>
      </c>
      <c r="L362" s="81">
        <v>1</v>
      </c>
      <c r="M362" s="81">
        <v>1</v>
      </c>
      <c r="N362" s="81">
        <v>0.01</v>
      </c>
      <c r="O362" s="85">
        <v>0.0015</v>
      </c>
    </row>
    <row r="363" s="65" customFormat="1" customHeight="1" spans="1:15">
      <c r="A363" s="77">
        <v>360</v>
      </c>
      <c r="B363" s="78" t="str">
        <f t="shared" si="7"/>
        <v>SyrupCactus Grand.</v>
      </c>
      <c r="C363" s="65" t="s">
        <v>120</v>
      </c>
      <c r="D363" s="83" t="s">
        <v>264</v>
      </c>
      <c r="E363" s="65" t="str">
        <f t="shared" si="8"/>
        <v>Cactus Grand.</v>
      </c>
      <c r="F363" s="84" t="s">
        <v>517</v>
      </c>
      <c r="G363" s="84" t="s">
        <v>194</v>
      </c>
      <c r="H363" s="65" t="s">
        <v>518</v>
      </c>
      <c r="I363" s="65" t="s">
        <v>519</v>
      </c>
      <c r="K363" s="81">
        <v>0.1</v>
      </c>
      <c r="L363" s="81">
        <v>1</v>
      </c>
      <c r="M363" s="81">
        <v>1</v>
      </c>
      <c r="N363" s="81">
        <v>0.01</v>
      </c>
      <c r="O363" s="85">
        <v>0.0015</v>
      </c>
    </row>
    <row r="364" s="65" customFormat="1" customHeight="1" spans="1:15">
      <c r="A364" s="77">
        <v>361</v>
      </c>
      <c r="B364" s="78" t="str">
        <f t="shared" si="7"/>
        <v>SyrupCrataegus Ox.</v>
      </c>
      <c r="C364" s="65" t="s">
        <v>120</v>
      </c>
      <c r="D364" s="83" t="s">
        <v>302</v>
      </c>
      <c r="E364" s="65" t="str">
        <f t="shared" si="8"/>
        <v>Crataegus Ox.</v>
      </c>
      <c r="F364" s="84" t="s">
        <v>517</v>
      </c>
      <c r="G364" s="84" t="s">
        <v>194</v>
      </c>
      <c r="H364" s="65" t="s">
        <v>518</v>
      </c>
      <c r="I364" s="65" t="s">
        <v>519</v>
      </c>
      <c r="K364" s="81">
        <v>0.1</v>
      </c>
      <c r="L364" s="81">
        <v>1</v>
      </c>
      <c r="M364" s="81">
        <v>1</v>
      </c>
      <c r="N364" s="81">
        <v>0.01</v>
      </c>
      <c r="O364" s="85">
        <v>0.0015</v>
      </c>
    </row>
    <row r="365" s="65" customFormat="1" customHeight="1" spans="1:15">
      <c r="A365" s="77">
        <v>362</v>
      </c>
      <c r="B365" s="78" t="str">
        <f t="shared" si="7"/>
        <v>SyrupCarduus Mar.</v>
      </c>
      <c r="C365" s="65" t="s">
        <v>120</v>
      </c>
      <c r="D365" s="83" t="s">
        <v>271</v>
      </c>
      <c r="E365" s="65" t="str">
        <f t="shared" si="8"/>
        <v>Carduus Mar.</v>
      </c>
      <c r="F365" s="84" t="s">
        <v>517</v>
      </c>
      <c r="G365" s="84" t="s">
        <v>194</v>
      </c>
      <c r="H365" s="65" t="s">
        <v>518</v>
      </c>
      <c r="I365" s="65" t="s">
        <v>519</v>
      </c>
      <c r="K365" s="81">
        <v>0.1</v>
      </c>
      <c r="L365" s="81">
        <v>1</v>
      </c>
      <c r="M365" s="81">
        <v>1</v>
      </c>
      <c r="N365" s="81">
        <v>0.01</v>
      </c>
      <c r="O365" s="85">
        <v>0.0015</v>
      </c>
    </row>
    <row r="366" s="65" customFormat="1" customHeight="1" spans="1:15">
      <c r="A366" s="77">
        <v>363</v>
      </c>
      <c r="B366" s="78" t="str">
        <f t="shared" si="7"/>
        <v>SyrupSenega</v>
      </c>
      <c r="C366" s="65" t="s">
        <v>120</v>
      </c>
      <c r="D366" s="83" t="s">
        <v>437</v>
      </c>
      <c r="E366" s="65" t="str">
        <f t="shared" si="8"/>
        <v>Senega</v>
      </c>
      <c r="F366" s="84" t="s">
        <v>517</v>
      </c>
      <c r="G366" s="84" t="s">
        <v>194</v>
      </c>
      <c r="H366" s="65" t="s">
        <v>518</v>
      </c>
      <c r="I366" s="65" t="s">
        <v>519</v>
      </c>
      <c r="K366" s="81">
        <v>0.1</v>
      </c>
      <c r="L366" s="81">
        <v>1</v>
      </c>
      <c r="M366" s="81">
        <v>1</v>
      </c>
      <c r="N366" s="81">
        <v>0.01</v>
      </c>
      <c r="O366" s="85">
        <v>0.0015</v>
      </c>
    </row>
    <row r="367" s="65" customFormat="1" customHeight="1" spans="1:15">
      <c r="A367" s="77">
        <v>364</v>
      </c>
      <c r="B367" s="78" t="str">
        <f t="shared" si="7"/>
        <v>SyrupSarasaparilla</v>
      </c>
      <c r="C367" s="65" t="s">
        <v>120</v>
      </c>
      <c r="D367" s="83" t="s">
        <v>432</v>
      </c>
      <c r="E367" s="65" t="str">
        <f t="shared" si="8"/>
        <v>Sarasaparilla</v>
      </c>
      <c r="F367" s="84" t="s">
        <v>517</v>
      </c>
      <c r="G367" s="84" t="s">
        <v>194</v>
      </c>
      <c r="H367" s="65" t="s">
        <v>518</v>
      </c>
      <c r="I367" s="65" t="s">
        <v>519</v>
      </c>
      <c r="K367" s="81">
        <v>0.1</v>
      </c>
      <c r="L367" s="81">
        <v>1</v>
      </c>
      <c r="M367" s="81">
        <v>1</v>
      </c>
      <c r="N367" s="81">
        <v>0.01</v>
      </c>
      <c r="O367" s="85">
        <v>0.0015</v>
      </c>
    </row>
    <row r="368" s="65" customFormat="1" customHeight="1" spans="1:16">
      <c r="A368" s="77">
        <v>365</v>
      </c>
      <c r="B368" s="78" t="str">
        <f t="shared" si="7"/>
        <v>SyrupCina</v>
      </c>
      <c r="C368" s="65" t="s">
        <v>120</v>
      </c>
      <c r="D368" s="83" t="s">
        <v>291</v>
      </c>
      <c r="E368" s="65" t="str">
        <f t="shared" si="8"/>
        <v>Cina</v>
      </c>
      <c r="F368" s="84" t="s">
        <v>517</v>
      </c>
      <c r="G368" s="84" t="s">
        <v>194</v>
      </c>
      <c r="H368" s="65" t="s">
        <v>518</v>
      </c>
      <c r="I368" s="65" t="s">
        <v>519</v>
      </c>
      <c r="J368" s="65" t="s">
        <v>523</v>
      </c>
      <c r="K368" s="81">
        <v>0.1</v>
      </c>
      <c r="L368" s="81">
        <v>1</v>
      </c>
      <c r="M368" s="81">
        <v>1</v>
      </c>
      <c r="N368" s="81">
        <v>0.01</v>
      </c>
      <c r="O368" s="85">
        <v>0.0015</v>
      </c>
      <c r="P368" s="86">
        <v>0.0005</v>
      </c>
    </row>
    <row r="369" s="65" customFormat="1" customHeight="1" spans="1:15">
      <c r="A369" s="77">
        <v>366</v>
      </c>
      <c r="B369" s="78" t="str">
        <f t="shared" si="7"/>
        <v>SyrupVeratrum Vir.</v>
      </c>
      <c r="C369" s="65" t="s">
        <v>120</v>
      </c>
      <c r="D369" s="83" t="s">
        <v>475</v>
      </c>
      <c r="E369" s="65" t="str">
        <f t="shared" si="8"/>
        <v>Veratrum Vir.</v>
      </c>
      <c r="F369" s="84" t="s">
        <v>517</v>
      </c>
      <c r="G369" s="84" t="s">
        <v>194</v>
      </c>
      <c r="H369" s="65" t="s">
        <v>518</v>
      </c>
      <c r="I369" s="65" t="s">
        <v>519</v>
      </c>
      <c r="K369" s="81">
        <v>0.1</v>
      </c>
      <c r="L369" s="81">
        <v>1</v>
      </c>
      <c r="M369" s="81">
        <v>1</v>
      </c>
      <c r="N369" s="81">
        <v>0.01</v>
      </c>
      <c r="O369" s="85">
        <v>0.0015</v>
      </c>
    </row>
    <row r="370" s="65" customFormat="1" customHeight="1" spans="1:15">
      <c r="A370" s="77">
        <v>367</v>
      </c>
      <c r="B370" s="78" t="str">
        <f t="shared" si="7"/>
        <v>SyrupTeucri M. V.</v>
      </c>
      <c r="C370" s="65" t="s">
        <v>120</v>
      </c>
      <c r="D370" s="83" t="s">
        <v>460</v>
      </c>
      <c r="E370" s="65" t="str">
        <f t="shared" si="8"/>
        <v>Teucri M. V.</v>
      </c>
      <c r="F370" s="84" t="s">
        <v>517</v>
      </c>
      <c r="G370" s="84" t="s">
        <v>194</v>
      </c>
      <c r="H370" s="65" t="s">
        <v>518</v>
      </c>
      <c r="I370" s="65" t="s">
        <v>519</v>
      </c>
      <c r="K370" s="81">
        <v>0.1</v>
      </c>
      <c r="L370" s="81">
        <v>1</v>
      </c>
      <c r="M370" s="81">
        <v>1</v>
      </c>
      <c r="N370" s="81">
        <v>0.01</v>
      </c>
      <c r="O370" s="85">
        <v>0.0015</v>
      </c>
    </row>
    <row r="371" s="65" customFormat="1" customHeight="1" spans="1:15">
      <c r="A371" s="77">
        <v>368</v>
      </c>
      <c r="B371" s="78" t="str">
        <f t="shared" si="7"/>
        <v>SyrupKurchi (Holarrhena Anti D)</v>
      </c>
      <c r="C371" s="65" t="s">
        <v>120</v>
      </c>
      <c r="D371" s="83" t="s">
        <v>365</v>
      </c>
      <c r="E371" s="65" t="str">
        <f t="shared" si="8"/>
        <v>Kurchi (Holarrhena Anti D)</v>
      </c>
      <c r="F371" s="84" t="s">
        <v>517</v>
      </c>
      <c r="G371" s="84" t="s">
        <v>194</v>
      </c>
      <c r="H371" s="65" t="s">
        <v>518</v>
      </c>
      <c r="I371" s="65" t="s">
        <v>519</v>
      </c>
      <c r="K371" s="81">
        <v>0.1</v>
      </c>
      <c r="L371" s="81">
        <v>1</v>
      </c>
      <c r="M371" s="81">
        <v>1</v>
      </c>
      <c r="N371" s="81">
        <v>0.01</v>
      </c>
      <c r="O371" s="85">
        <v>0.0015</v>
      </c>
    </row>
    <row r="372" s="65" customFormat="1" customHeight="1" spans="1:15">
      <c r="A372" s="77">
        <v>369</v>
      </c>
      <c r="B372" s="78" t="str">
        <f t="shared" si="7"/>
        <v>SyrupSenna</v>
      </c>
      <c r="C372" s="65" t="s">
        <v>120</v>
      </c>
      <c r="D372" s="83" t="s">
        <v>438</v>
      </c>
      <c r="E372" s="65" t="str">
        <f t="shared" si="8"/>
        <v>Senna</v>
      </c>
      <c r="F372" s="84" t="s">
        <v>517</v>
      </c>
      <c r="G372" s="84" t="s">
        <v>194</v>
      </c>
      <c r="H372" s="65" t="s">
        <v>518</v>
      </c>
      <c r="I372" s="65" t="s">
        <v>519</v>
      </c>
      <c r="K372" s="81">
        <v>0.1</v>
      </c>
      <c r="L372" s="81">
        <v>1</v>
      </c>
      <c r="M372" s="81">
        <v>1</v>
      </c>
      <c r="N372" s="81">
        <v>0.01</v>
      </c>
      <c r="O372" s="85">
        <v>0.0015</v>
      </c>
    </row>
    <row r="373" s="65" customFormat="1" customHeight="1" spans="1:15">
      <c r="A373" s="77">
        <v>370</v>
      </c>
      <c r="B373" s="78" t="str">
        <f t="shared" si="7"/>
        <v>SyrupLobelia Infl.</v>
      </c>
      <c r="C373" s="65" t="s">
        <v>120</v>
      </c>
      <c r="D373" s="83" t="s">
        <v>373</v>
      </c>
      <c r="E373" s="65" t="str">
        <f t="shared" si="8"/>
        <v>Lobelia Infl.</v>
      </c>
      <c r="F373" s="84" t="s">
        <v>517</v>
      </c>
      <c r="G373" s="84" t="s">
        <v>194</v>
      </c>
      <c r="H373" s="65" t="s">
        <v>518</v>
      </c>
      <c r="I373" s="65" t="s">
        <v>519</v>
      </c>
      <c r="K373" s="81">
        <v>0.1</v>
      </c>
      <c r="L373" s="81">
        <v>1</v>
      </c>
      <c r="M373" s="81">
        <v>1</v>
      </c>
      <c r="N373" s="81">
        <v>0.01</v>
      </c>
      <c r="O373" s="85">
        <v>0.0015</v>
      </c>
    </row>
    <row r="374" s="65" customFormat="1" customHeight="1" spans="1:15">
      <c r="A374" s="77">
        <v>371</v>
      </c>
      <c r="B374" s="78" t="str">
        <f t="shared" si="7"/>
        <v>SyrupSabadilla</v>
      </c>
      <c r="C374" s="65" t="s">
        <v>120</v>
      </c>
      <c r="D374" s="83" t="s">
        <v>426</v>
      </c>
      <c r="E374" s="65" t="str">
        <f t="shared" si="8"/>
        <v>Sabadilla</v>
      </c>
      <c r="F374" s="84" t="s">
        <v>517</v>
      </c>
      <c r="G374" s="84" t="s">
        <v>194</v>
      </c>
      <c r="H374" s="65" t="s">
        <v>518</v>
      </c>
      <c r="I374" s="65" t="s">
        <v>519</v>
      </c>
      <c r="K374" s="81">
        <v>0.1</v>
      </c>
      <c r="L374" s="81">
        <v>1</v>
      </c>
      <c r="M374" s="81">
        <v>1</v>
      </c>
      <c r="N374" s="81">
        <v>0.01</v>
      </c>
      <c r="O374" s="85">
        <v>0.0015</v>
      </c>
    </row>
    <row r="375" s="65" customFormat="1" customHeight="1" spans="1:15">
      <c r="A375" s="77">
        <v>372</v>
      </c>
      <c r="B375" s="78" t="str">
        <f t="shared" si="7"/>
        <v>SyrupZingiber.</v>
      </c>
      <c r="C375" s="65" t="s">
        <v>120</v>
      </c>
      <c r="D375" s="83" t="s">
        <v>490</v>
      </c>
      <c r="E375" s="65" t="str">
        <f t="shared" si="8"/>
        <v>Zingiber.</v>
      </c>
      <c r="F375" s="84" t="s">
        <v>517</v>
      </c>
      <c r="G375" s="84" t="s">
        <v>194</v>
      </c>
      <c r="H375" s="65" t="s">
        <v>518</v>
      </c>
      <c r="I375" s="65" t="s">
        <v>519</v>
      </c>
      <c r="K375" s="81">
        <v>0.1</v>
      </c>
      <c r="L375" s="81">
        <v>1</v>
      </c>
      <c r="M375" s="81">
        <v>1</v>
      </c>
      <c r="N375" s="81">
        <v>0.01</v>
      </c>
      <c r="O375" s="85">
        <v>0.0015</v>
      </c>
    </row>
    <row r="376" s="65" customFormat="1" customHeight="1" spans="1:15">
      <c r="A376" s="77">
        <v>373</v>
      </c>
      <c r="B376" s="78" t="str">
        <f t="shared" si="7"/>
        <v>SyrupDioscorea V.</v>
      </c>
      <c r="C376" s="65" t="s">
        <v>120</v>
      </c>
      <c r="D376" s="83" t="s">
        <v>308</v>
      </c>
      <c r="E376" s="65" t="str">
        <f t="shared" si="8"/>
        <v>Dioscorea V.</v>
      </c>
      <c r="F376" s="84" t="s">
        <v>517</v>
      </c>
      <c r="G376" s="84" t="s">
        <v>194</v>
      </c>
      <c r="H376" s="65" t="s">
        <v>518</v>
      </c>
      <c r="I376" s="65" t="s">
        <v>519</v>
      </c>
      <c r="K376" s="81">
        <v>0.1</v>
      </c>
      <c r="L376" s="81">
        <v>1</v>
      </c>
      <c r="M376" s="81">
        <v>1</v>
      </c>
      <c r="N376" s="81">
        <v>0.01</v>
      </c>
      <c r="O376" s="85">
        <v>0.0015</v>
      </c>
    </row>
    <row r="377" s="65" customFormat="1" customHeight="1" spans="1:15">
      <c r="A377" s="77">
        <v>374</v>
      </c>
      <c r="B377" s="78" t="str">
        <f t="shared" si="7"/>
        <v>SyrupDrosera Rot.</v>
      </c>
      <c r="C377" s="65" t="s">
        <v>120</v>
      </c>
      <c r="D377" s="83" t="s">
        <v>310</v>
      </c>
      <c r="E377" s="65" t="str">
        <f t="shared" si="8"/>
        <v>Drosera Rot.</v>
      </c>
      <c r="F377" s="84" t="s">
        <v>517</v>
      </c>
      <c r="G377" s="84" t="s">
        <v>194</v>
      </c>
      <c r="H377" s="65" t="s">
        <v>518</v>
      </c>
      <c r="I377" s="65" t="s">
        <v>519</v>
      </c>
      <c r="K377" s="81">
        <v>0.1</v>
      </c>
      <c r="L377" s="81">
        <v>1</v>
      </c>
      <c r="M377" s="81">
        <v>1</v>
      </c>
      <c r="N377" s="81">
        <v>0.01</v>
      </c>
      <c r="O377" s="85">
        <v>0.0015</v>
      </c>
    </row>
    <row r="378" s="65" customFormat="1" customHeight="1" spans="1:13">
      <c r="A378" s="77">
        <v>375</v>
      </c>
      <c r="B378" s="78" t="str">
        <f t="shared" si="7"/>
        <v>DilutionAbies Can.</v>
      </c>
      <c r="C378" s="65" t="s">
        <v>115</v>
      </c>
      <c r="D378" s="83" t="s">
        <v>192</v>
      </c>
      <c r="E378" s="65" t="str">
        <f t="shared" si="8"/>
        <v>Abies Can.</v>
      </c>
      <c r="F378" s="65" t="s">
        <v>193</v>
      </c>
      <c r="K378" s="81">
        <v>0.01</v>
      </c>
      <c r="L378" s="81">
        <v>1</v>
      </c>
      <c r="M378" s="87"/>
    </row>
    <row r="379" s="65" customFormat="1" customHeight="1" spans="1:12">
      <c r="A379" s="77">
        <v>376</v>
      </c>
      <c r="B379" s="78" t="e">
        <f t="shared" si="7"/>
        <v>#N/A</v>
      </c>
      <c r="C379" s="65" t="s">
        <v>115</v>
      </c>
      <c r="D379" s="83" t="s">
        <v>528</v>
      </c>
      <c r="E379" s="65" t="e">
        <f t="shared" si="8"/>
        <v>#N/A</v>
      </c>
      <c r="F379" s="65" t="s">
        <v>193</v>
      </c>
      <c r="K379" s="81">
        <v>0.01</v>
      </c>
      <c r="L379" s="81">
        <v>1</v>
      </c>
    </row>
    <row r="380" s="65" customFormat="1" customHeight="1" spans="1:12">
      <c r="A380" s="77">
        <v>377</v>
      </c>
      <c r="B380" s="78" t="str">
        <f t="shared" si="7"/>
        <v>DilutionAbroma Aug.</v>
      </c>
      <c r="C380" s="65" t="s">
        <v>115</v>
      </c>
      <c r="D380" s="83" t="s">
        <v>195</v>
      </c>
      <c r="E380" s="65" t="str">
        <f t="shared" si="8"/>
        <v>Abroma Aug.</v>
      </c>
      <c r="F380" s="65" t="s">
        <v>193</v>
      </c>
      <c r="K380" s="81">
        <v>0.01</v>
      </c>
      <c r="L380" s="81">
        <v>1</v>
      </c>
    </row>
    <row r="381" s="65" customFormat="1" customHeight="1" spans="1:12">
      <c r="A381" s="77">
        <v>378</v>
      </c>
      <c r="B381" s="78" t="str">
        <f t="shared" si="7"/>
        <v>DilutionAbroma Radix.</v>
      </c>
      <c r="C381" s="65" t="s">
        <v>115</v>
      </c>
      <c r="D381" s="83" t="s">
        <v>196</v>
      </c>
      <c r="E381" s="65" t="str">
        <f t="shared" si="8"/>
        <v>Abroma Radix.</v>
      </c>
      <c r="F381" s="65" t="s">
        <v>193</v>
      </c>
      <c r="K381" s="81">
        <v>0.01</v>
      </c>
      <c r="L381" s="81">
        <v>1</v>
      </c>
    </row>
    <row r="382" s="65" customFormat="1" customHeight="1" spans="1:12">
      <c r="A382" s="77">
        <v>379</v>
      </c>
      <c r="B382" s="78" t="e">
        <f t="shared" si="7"/>
        <v>#N/A</v>
      </c>
      <c r="C382" s="65" t="s">
        <v>115</v>
      </c>
      <c r="D382" s="83" t="s">
        <v>529</v>
      </c>
      <c r="E382" s="65" t="e">
        <f t="shared" si="8"/>
        <v>#N/A</v>
      </c>
      <c r="F382" s="65" t="s">
        <v>193</v>
      </c>
      <c r="K382" s="81">
        <v>0.01</v>
      </c>
      <c r="L382" s="81">
        <v>1</v>
      </c>
    </row>
    <row r="383" s="65" customFormat="1" customHeight="1" spans="1:12">
      <c r="A383" s="77">
        <v>380</v>
      </c>
      <c r="B383" s="78" t="e">
        <f t="shared" si="7"/>
        <v>#N/A</v>
      </c>
      <c r="C383" s="65" t="s">
        <v>115</v>
      </c>
      <c r="D383" s="83" t="s">
        <v>530</v>
      </c>
      <c r="E383" s="65" t="e">
        <f t="shared" si="8"/>
        <v>#N/A</v>
      </c>
      <c r="F383" s="65" t="s">
        <v>193</v>
      </c>
      <c r="K383" s="81">
        <v>0.01</v>
      </c>
      <c r="L383" s="81">
        <v>1</v>
      </c>
    </row>
    <row r="384" s="65" customFormat="1" customHeight="1" spans="1:12">
      <c r="A384" s="77">
        <v>381</v>
      </c>
      <c r="B384" s="78" t="e">
        <f t="shared" si="7"/>
        <v>#N/A</v>
      </c>
      <c r="C384" s="65" t="s">
        <v>115</v>
      </c>
      <c r="D384" s="83" t="s">
        <v>531</v>
      </c>
      <c r="E384" s="65" t="e">
        <f t="shared" si="8"/>
        <v>#N/A</v>
      </c>
      <c r="F384" s="65" t="s">
        <v>193</v>
      </c>
      <c r="K384" s="81">
        <v>0.01</v>
      </c>
      <c r="L384" s="81">
        <v>1</v>
      </c>
    </row>
    <row r="385" s="65" customFormat="1" customHeight="1" spans="1:12">
      <c r="A385" s="77">
        <v>382</v>
      </c>
      <c r="B385" s="78" t="e">
        <f t="shared" si="7"/>
        <v>#N/A</v>
      </c>
      <c r="C385" s="65" t="s">
        <v>115</v>
      </c>
      <c r="D385" s="83" t="s">
        <v>532</v>
      </c>
      <c r="E385" s="65" t="e">
        <f t="shared" si="8"/>
        <v>#N/A</v>
      </c>
      <c r="F385" s="65" t="s">
        <v>193</v>
      </c>
      <c r="K385" s="81">
        <v>0.01</v>
      </c>
      <c r="L385" s="81">
        <v>1</v>
      </c>
    </row>
    <row r="386" s="65" customFormat="1" customHeight="1" spans="1:12">
      <c r="A386" s="77">
        <v>383</v>
      </c>
      <c r="B386" s="78" t="str">
        <f t="shared" si="7"/>
        <v>DilutionAcid Benz.</v>
      </c>
      <c r="C386" s="65" t="s">
        <v>115</v>
      </c>
      <c r="D386" s="83" t="s">
        <v>197</v>
      </c>
      <c r="E386" s="65" t="str">
        <f t="shared" si="8"/>
        <v>Acid Benz.</v>
      </c>
      <c r="F386" s="65" t="s">
        <v>193</v>
      </c>
      <c r="K386" s="81">
        <v>0.01</v>
      </c>
      <c r="L386" s="81">
        <v>1</v>
      </c>
    </row>
    <row r="387" s="65" customFormat="1" customHeight="1" spans="1:12">
      <c r="A387" s="77">
        <v>384</v>
      </c>
      <c r="B387" s="78" t="e">
        <f t="shared" si="7"/>
        <v>#N/A</v>
      </c>
      <c r="C387" s="65" t="s">
        <v>115</v>
      </c>
      <c r="D387" s="83" t="s">
        <v>533</v>
      </c>
      <c r="E387" s="65" t="e">
        <f t="shared" si="8"/>
        <v>#N/A</v>
      </c>
      <c r="F387" s="65" t="s">
        <v>193</v>
      </c>
      <c r="K387" s="81">
        <v>0.01</v>
      </c>
      <c r="L387" s="81">
        <v>1</v>
      </c>
    </row>
    <row r="388" s="65" customFormat="1" customHeight="1" spans="1:12">
      <c r="A388" s="77">
        <v>385</v>
      </c>
      <c r="B388" s="78" t="e">
        <f t="shared" si="7"/>
        <v>#N/A</v>
      </c>
      <c r="C388" s="65" t="s">
        <v>115</v>
      </c>
      <c r="D388" s="83" t="s">
        <v>534</v>
      </c>
      <c r="E388" s="65" t="e">
        <f t="shared" si="8"/>
        <v>#N/A</v>
      </c>
      <c r="F388" s="65" t="s">
        <v>193</v>
      </c>
      <c r="K388" s="81">
        <v>0.01</v>
      </c>
      <c r="L388" s="81">
        <v>1</v>
      </c>
    </row>
    <row r="389" s="65" customFormat="1" customHeight="1" spans="1:12">
      <c r="A389" s="77">
        <v>386</v>
      </c>
      <c r="B389" s="78" t="e">
        <f t="shared" ref="B389:B452" si="9">+C389&amp;E389</f>
        <v>#N/A</v>
      </c>
      <c r="C389" s="65" t="s">
        <v>115</v>
      </c>
      <c r="D389" s="83" t="s">
        <v>535</v>
      </c>
      <c r="E389" s="65" t="e">
        <f t="shared" si="8"/>
        <v>#N/A</v>
      </c>
      <c r="F389" s="65" t="s">
        <v>193</v>
      </c>
      <c r="K389" s="81">
        <v>0.01</v>
      </c>
      <c r="L389" s="81">
        <v>1</v>
      </c>
    </row>
    <row r="390" s="65" customFormat="1" customHeight="1" spans="1:12">
      <c r="A390" s="77">
        <v>387</v>
      </c>
      <c r="B390" s="78" t="e">
        <f t="shared" si="9"/>
        <v>#N/A</v>
      </c>
      <c r="C390" s="65" t="s">
        <v>115</v>
      </c>
      <c r="D390" s="83" t="s">
        <v>536</v>
      </c>
      <c r="E390" s="65" t="e">
        <f t="shared" si="8"/>
        <v>#N/A</v>
      </c>
      <c r="F390" s="65" t="s">
        <v>193</v>
      </c>
      <c r="K390" s="81">
        <v>0.01</v>
      </c>
      <c r="L390" s="81">
        <v>1</v>
      </c>
    </row>
    <row r="391" s="65" customFormat="1" customHeight="1" spans="1:12">
      <c r="A391" s="77">
        <v>388</v>
      </c>
      <c r="B391" s="78" t="e">
        <f t="shared" si="9"/>
        <v>#N/A</v>
      </c>
      <c r="C391" s="65" t="s">
        <v>115</v>
      </c>
      <c r="D391" s="83" t="s">
        <v>537</v>
      </c>
      <c r="E391" s="65" t="e">
        <f t="shared" si="8"/>
        <v>#N/A</v>
      </c>
      <c r="F391" s="65" t="s">
        <v>193</v>
      </c>
      <c r="K391" s="81">
        <v>0.01</v>
      </c>
      <c r="L391" s="81">
        <v>1</v>
      </c>
    </row>
    <row r="392" s="65" customFormat="1" customHeight="1" spans="1:12">
      <c r="A392" s="77">
        <v>389</v>
      </c>
      <c r="B392" s="78" t="e">
        <f t="shared" si="9"/>
        <v>#N/A</v>
      </c>
      <c r="C392" s="65" t="s">
        <v>115</v>
      </c>
      <c r="D392" s="83" t="s">
        <v>538</v>
      </c>
      <c r="E392" s="65" t="e">
        <f t="shared" si="8"/>
        <v>#N/A</v>
      </c>
      <c r="F392" s="65" t="s">
        <v>193</v>
      </c>
      <c r="K392" s="81">
        <v>0.01</v>
      </c>
      <c r="L392" s="81">
        <v>1</v>
      </c>
    </row>
    <row r="393" s="65" customFormat="1" customHeight="1" spans="1:12">
      <c r="A393" s="77">
        <v>390</v>
      </c>
      <c r="B393" s="78" t="str">
        <f t="shared" si="9"/>
        <v>DilutionAcid Citric</v>
      </c>
      <c r="C393" s="65" t="s">
        <v>115</v>
      </c>
      <c r="D393" s="88" t="s">
        <v>198</v>
      </c>
      <c r="E393" s="65" t="str">
        <f t="shared" si="8"/>
        <v>Acid Citric</v>
      </c>
      <c r="F393" s="65" t="s">
        <v>193</v>
      </c>
      <c r="K393" s="81">
        <v>0.01</v>
      </c>
      <c r="L393" s="81">
        <v>1</v>
      </c>
    </row>
    <row r="394" s="65" customFormat="1" customHeight="1" spans="1:12">
      <c r="A394" s="77">
        <v>391</v>
      </c>
      <c r="B394" s="78" t="e">
        <f t="shared" si="9"/>
        <v>#N/A</v>
      </c>
      <c r="C394" s="65" t="s">
        <v>115</v>
      </c>
      <c r="D394" s="88" t="s">
        <v>539</v>
      </c>
      <c r="E394" s="65" t="e">
        <f t="shared" si="8"/>
        <v>#N/A</v>
      </c>
      <c r="F394" s="65" t="s">
        <v>193</v>
      </c>
      <c r="K394" s="81">
        <v>0.01</v>
      </c>
      <c r="L394" s="81">
        <v>1</v>
      </c>
    </row>
    <row r="395" s="65" customFormat="1" customHeight="1" spans="1:12">
      <c r="A395" s="77">
        <v>392</v>
      </c>
      <c r="B395" s="78" t="str">
        <f t="shared" si="9"/>
        <v>DilutionAcid Formic</v>
      </c>
      <c r="C395" s="65" t="s">
        <v>115</v>
      </c>
      <c r="D395" s="88" t="s">
        <v>199</v>
      </c>
      <c r="E395" s="65" t="str">
        <f t="shared" si="8"/>
        <v>Acid Formic</v>
      </c>
      <c r="F395" s="65" t="s">
        <v>193</v>
      </c>
      <c r="K395" s="81">
        <v>0.01</v>
      </c>
      <c r="L395" s="81">
        <v>1</v>
      </c>
    </row>
    <row r="396" s="65" customFormat="1" customHeight="1" spans="1:12">
      <c r="A396" s="77">
        <v>393</v>
      </c>
      <c r="B396" s="78" t="str">
        <f t="shared" si="9"/>
        <v>DilutionAcid Gallic</v>
      </c>
      <c r="C396" s="65" t="s">
        <v>115</v>
      </c>
      <c r="D396" s="88" t="s">
        <v>200</v>
      </c>
      <c r="E396" s="65" t="str">
        <f t="shared" si="8"/>
        <v>Acid Gallic</v>
      </c>
      <c r="F396" s="65" t="s">
        <v>193</v>
      </c>
      <c r="K396" s="81">
        <v>0.01</v>
      </c>
      <c r="L396" s="81">
        <v>1</v>
      </c>
    </row>
    <row r="397" s="65" customFormat="1" customHeight="1" spans="1:12">
      <c r="A397" s="77">
        <v>394</v>
      </c>
      <c r="B397" s="78" t="str">
        <f t="shared" si="9"/>
        <v>DilutionAcid Hydrochl (Acid Mur)</v>
      </c>
      <c r="C397" s="65" t="s">
        <v>115</v>
      </c>
      <c r="D397" s="88" t="s">
        <v>201</v>
      </c>
      <c r="E397" s="65" t="str">
        <f t="shared" si="8"/>
        <v>Acid Hydrochl (Acid Mur)</v>
      </c>
      <c r="F397" s="65" t="s">
        <v>193</v>
      </c>
      <c r="K397" s="81">
        <v>0.01</v>
      </c>
      <c r="L397" s="81">
        <v>1</v>
      </c>
    </row>
    <row r="398" s="65" customFormat="1" customHeight="1" spans="1:12">
      <c r="A398" s="77">
        <v>395</v>
      </c>
      <c r="B398" s="78" t="e">
        <f t="shared" si="9"/>
        <v>#N/A</v>
      </c>
      <c r="C398" s="65" t="s">
        <v>115</v>
      </c>
      <c r="D398" s="88" t="s">
        <v>540</v>
      </c>
      <c r="E398" s="65" t="e">
        <f t="shared" ref="E398:E461" si="10">+VLOOKUP(D398,$D$4:$D$301,1,FALSE)</f>
        <v>#N/A</v>
      </c>
      <c r="F398" s="65" t="s">
        <v>193</v>
      </c>
      <c r="K398" s="81">
        <v>0.01</v>
      </c>
      <c r="L398" s="81">
        <v>1</v>
      </c>
    </row>
    <row r="399" s="65" customFormat="1" customHeight="1" spans="1:12">
      <c r="A399" s="77">
        <v>396</v>
      </c>
      <c r="B399" s="78" t="e">
        <f t="shared" si="9"/>
        <v>#N/A</v>
      </c>
      <c r="C399" s="65" t="s">
        <v>115</v>
      </c>
      <c r="D399" s="88" t="s">
        <v>541</v>
      </c>
      <c r="E399" s="65" t="e">
        <f t="shared" si="10"/>
        <v>#N/A</v>
      </c>
      <c r="F399" s="65" t="s">
        <v>193</v>
      </c>
      <c r="K399" s="81">
        <v>0.01</v>
      </c>
      <c r="L399" s="81">
        <v>1</v>
      </c>
    </row>
    <row r="400" s="65" customFormat="1" customHeight="1" spans="1:12">
      <c r="A400" s="77">
        <v>397</v>
      </c>
      <c r="B400" s="78" t="str">
        <f t="shared" si="9"/>
        <v>DilutionAcid Nit.</v>
      </c>
      <c r="C400" s="65" t="s">
        <v>115</v>
      </c>
      <c r="D400" s="88" t="s">
        <v>203</v>
      </c>
      <c r="E400" s="65" t="str">
        <f t="shared" si="10"/>
        <v>Acid Nit.</v>
      </c>
      <c r="F400" s="65" t="s">
        <v>193</v>
      </c>
      <c r="K400" s="81">
        <v>0.01</v>
      </c>
      <c r="L400" s="81">
        <v>1</v>
      </c>
    </row>
    <row r="401" s="65" customFormat="1" customHeight="1" spans="1:12">
      <c r="A401" s="77">
        <v>398</v>
      </c>
      <c r="B401" s="78" t="str">
        <f t="shared" si="9"/>
        <v>DilutionAcid Oxalic</v>
      </c>
      <c r="C401" s="65" t="s">
        <v>115</v>
      </c>
      <c r="D401" s="88" t="s">
        <v>204</v>
      </c>
      <c r="E401" s="65" t="str">
        <f t="shared" si="10"/>
        <v>Acid Oxalic</v>
      </c>
      <c r="F401" s="65" t="s">
        <v>193</v>
      </c>
      <c r="K401" s="81">
        <v>0.01</v>
      </c>
      <c r="L401" s="81">
        <v>1</v>
      </c>
    </row>
    <row r="402" s="65" customFormat="1" customHeight="1" spans="1:12">
      <c r="A402" s="77">
        <v>399</v>
      </c>
      <c r="B402" s="78" t="str">
        <f t="shared" si="9"/>
        <v>DilutionAcid Phos</v>
      </c>
      <c r="C402" s="65" t="s">
        <v>115</v>
      </c>
      <c r="D402" s="88" t="s">
        <v>205</v>
      </c>
      <c r="E402" s="65" t="str">
        <f t="shared" si="10"/>
        <v>Acid Phos</v>
      </c>
      <c r="F402" s="65" t="s">
        <v>193</v>
      </c>
      <c r="K402" s="81">
        <v>0.01</v>
      </c>
      <c r="L402" s="81">
        <v>1</v>
      </c>
    </row>
    <row r="403" s="65" customFormat="1" customHeight="1" spans="1:12">
      <c r="A403" s="77">
        <v>400</v>
      </c>
      <c r="B403" s="78" t="str">
        <f t="shared" si="9"/>
        <v>DilutionAcid Picric</v>
      </c>
      <c r="C403" s="65" t="s">
        <v>115</v>
      </c>
      <c r="D403" s="88" t="s">
        <v>206</v>
      </c>
      <c r="E403" s="65" t="str">
        <f t="shared" si="10"/>
        <v>Acid Picric</v>
      </c>
      <c r="F403" s="65" t="s">
        <v>193</v>
      </c>
      <c r="K403" s="81">
        <v>0.01</v>
      </c>
      <c r="L403" s="81">
        <v>1</v>
      </c>
    </row>
    <row r="404" s="65" customFormat="1" customHeight="1" spans="1:12">
      <c r="A404" s="77">
        <v>401</v>
      </c>
      <c r="B404" s="78" t="str">
        <f t="shared" si="9"/>
        <v>DilutionAcid Salicyl</v>
      </c>
      <c r="C404" s="65" t="s">
        <v>115</v>
      </c>
      <c r="D404" s="88" t="s">
        <v>207</v>
      </c>
      <c r="E404" s="65" t="str">
        <f t="shared" si="10"/>
        <v>Acid Salicyl</v>
      </c>
      <c r="F404" s="65" t="s">
        <v>193</v>
      </c>
      <c r="K404" s="81">
        <v>0.01</v>
      </c>
      <c r="L404" s="81">
        <v>1</v>
      </c>
    </row>
    <row r="405" s="65" customFormat="1" customHeight="1" spans="1:12">
      <c r="A405" s="77">
        <v>402</v>
      </c>
      <c r="B405" s="78" t="e">
        <f t="shared" si="9"/>
        <v>#N/A</v>
      </c>
      <c r="C405" s="65" t="s">
        <v>115</v>
      </c>
      <c r="D405" s="88" t="s">
        <v>542</v>
      </c>
      <c r="E405" s="65" t="e">
        <f t="shared" si="10"/>
        <v>#N/A</v>
      </c>
      <c r="F405" s="65" t="s">
        <v>193</v>
      </c>
      <c r="K405" s="81">
        <v>0.01</v>
      </c>
      <c r="L405" s="81">
        <v>1</v>
      </c>
    </row>
    <row r="406" s="65" customFormat="1" customHeight="1" spans="1:12">
      <c r="A406" s="77">
        <v>403</v>
      </c>
      <c r="B406" s="78" t="e">
        <f t="shared" si="9"/>
        <v>#N/A</v>
      </c>
      <c r="C406" s="65" t="s">
        <v>115</v>
      </c>
      <c r="D406" s="88" t="s">
        <v>543</v>
      </c>
      <c r="E406" s="65" t="e">
        <f t="shared" si="10"/>
        <v>#N/A</v>
      </c>
      <c r="F406" s="65" t="s">
        <v>193</v>
      </c>
      <c r="K406" s="81">
        <v>0.01</v>
      </c>
      <c r="L406" s="81">
        <v>1</v>
      </c>
    </row>
    <row r="407" s="65" customFormat="1" customHeight="1" spans="1:12">
      <c r="A407" s="77">
        <v>404</v>
      </c>
      <c r="B407" s="78" t="str">
        <f t="shared" si="9"/>
        <v>DilutionAcid Sulph.</v>
      </c>
      <c r="C407" s="65" t="s">
        <v>115</v>
      </c>
      <c r="D407" s="88" t="s">
        <v>208</v>
      </c>
      <c r="E407" s="65" t="str">
        <f t="shared" si="10"/>
        <v>Acid Sulph.</v>
      </c>
      <c r="F407" s="65" t="s">
        <v>193</v>
      </c>
      <c r="K407" s="81">
        <v>0.01</v>
      </c>
      <c r="L407" s="81">
        <v>1</v>
      </c>
    </row>
    <row r="408" s="65" customFormat="1" customHeight="1" spans="1:12">
      <c r="A408" s="77">
        <v>405</v>
      </c>
      <c r="B408" s="78" t="e">
        <f t="shared" si="9"/>
        <v>#N/A</v>
      </c>
      <c r="C408" s="65" t="s">
        <v>115</v>
      </c>
      <c r="D408" s="88" t="s">
        <v>544</v>
      </c>
      <c r="E408" s="65" t="e">
        <f t="shared" si="10"/>
        <v>#N/A</v>
      </c>
      <c r="F408" s="65" t="s">
        <v>193</v>
      </c>
      <c r="K408" s="81">
        <v>0.01</v>
      </c>
      <c r="L408" s="81">
        <v>1</v>
      </c>
    </row>
    <row r="409" s="65" customFormat="1" customHeight="1" spans="1:12">
      <c r="A409" s="77">
        <v>406</v>
      </c>
      <c r="B409" s="78" t="e">
        <f t="shared" si="9"/>
        <v>#N/A</v>
      </c>
      <c r="C409" s="65" t="s">
        <v>115</v>
      </c>
      <c r="D409" s="88" t="s">
        <v>545</v>
      </c>
      <c r="E409" s="65" t="e">
        <f t="shared" si="10"/>
        <v>#N/A</v>
      </c>
      <c r="F409" s="65" t="s">
        <v>193</v>
      </c>
      <c r="K409" s="81">
        <v>0.01</v>
      </c>
      <c r="L409" s="81">
        <v>1</v>
      </c>
    </row>
    <row r="410" s="65" customFormat="1" customHeight="1" spans="1:12">
      <c r="A410" s="77">
        <v>407</v>
      </c>
      <c r="B410" s="78" t="e">
        <f t="shared" si="9"/>
        <v>#N/A</v>
      </c>
      <c r="C410" s="65" t="s">
        <v>115</v>
      </c>
      <c r="D410" s="88" t="s">
        <v>546</v>
      </c>
      <c r="E410" s="65" t="e">
        <f t="shared" si="10"/>
        <v>#N/A</v>
      </c>
      <c r="F410" s="65" t="s">
        <v>193</v>
      </c>
      <c r="K410" s="81">
        <v>0.01</v>
      </c>
      <c r="L410" s="81">
        <v>1</v>
      </c>
    </row>
    <row r="411" s="65" customFormat="1" customHeight="1" spans="1:12">
      <c r="A411" s="77">
        <v>408</v>
      </c>
      <c r="B411" s="78" t="e">
        <f t="shared" si="9"/>
        <v>#N/A</v>
      </c>
      <c r="C411" s="65" t="s">
        <v>115</v>
      </c>
      <c r="D411" s="88" t="s">
        <v>547</v>
      </c>
      <c r="E411" s="65" t="e">
        <f t="shared" si="10"/>
        <v>#N/A</v>
      </c>
      <c r="F411" s="65" t="s">
        <v>193</v>
      </c>
      <c r="K411" s="81">
        <v>0.01</v>
      </c>
      <c r="L411" s="81">
        <v>1</v>
      </c>
    </row>
    <row r="412" s="65" customFormat="1" customHeight="1" spans="1:12">
      <c r="A412" s="77">
        <v>409</v>
      </c>
      <c r="B412" s="78" t="str">
        <f t="shared" si="9"/>
        <v>DilutionAconite Nap.</v>
      </c>
      <c r="C412" s="65" t="s">
        <v>115</v>
      </c>
      <c r="D412" s="88" t="s">
        <v>209</v>
      </c>
      <c r="E412" s="65" t="str">
        <f t="shared" si="10"/>
        <v>Aconite Nap.</v>
      </c>
      <c r="F412" s="65" t="s">
        <v>193</v>
      </c>
      <c r="K412" s="81">
        <v>0.01</v>
      </c>
      <c r="L412" s="81">
        <v>1</v>
      </c>
    </row>
    <row r="413" s="65" customFormat="1" customHeight="1" spans="1:12">
      <c r="A413" s="77">
        <v>410</v>
      </c>
      <c r="B413" s="78" t="str">
        <f t="shared" si="9"/>
        <v>DilutionActaea Rac (Cimicifuga)</v>
      </c>
      <c r="C413" s="65" t="s">
        <v>115</v>
      </c>
      <c r="D413" s="88" t="s">
        <v>210</v>
      </c>
      <c r="E413" s="65" t="str">
        <f t="shared" si="10"/>
        <v>Actaea Rac (Cimicifuga)</v>
      </c>
      <c r="F413" s="65" t="s">
        <v>193</v>
      </c>
      <c r="K413" s="81">
        <v>0.01</v>
      </c>
      <c r="L413" s="81">
        <v>1</v>
      </c>
    </row>
    <row r="414" s="65" customFormat="1" customHeight="1" spans="1:12">
      <c r="A414" s="77">
        <v>411</v>
      </c>
      <c r="B414" s="78" t="e">
        <f t="shared" si="9"/>
        <v>#N/A</v>
      </c>
      <c r="C414" s="65" t="s">
        <v>115</v>
      </c>
      <c r="D414" s="88" t="s">
        <v>548</v>
      </c>
      <c r="E414" s="65" t="e">
        <f t="shared" si="10"/>
        <v>#N/A</v>
      </c>
      <c r="F414" s="65" t="s">
        <v>193</v>
      </c>
      <c r="K414" s="81">
        <v>0.01</v>
      </c>
      <c r="L414" s="81">
        <v>1</v>
      </c>
    </row>
    <row r="415" s="65" customFormat="1" customHeight="1" spans="1:12">
      <c r="A415" s="77">
        <v>412</v>
      </c>
      <c r="B415" s="78" t="str">
        <f t="shared" si="9"/>
        <v>DilutionAdonis Vern.</v>
      </c>
      <c r="C415" s="65" t="s">
        <v>115</v>
      </c>
      <c r="D415" s="88" t="s">
        <v>212</v>
      </c>
      <c r="E415" s="65" t="str">
        <f t="shared" si="10"/>
        <v>Adonis Vern.</v>
      </c>
      <c r="F415" s="65" t="s">
        <v>193</v>
      </c>
      <c r="K415" s="81">
        <v>0.01</v>
      </c>
      <c r="L415" s="81">
        <v>1</v>
      </c>
    </row>
    <row r="416" s="65" customFormat="1" customHeight="1" spans="1:12">
      <c r="A416" s="77">
        <v>413</v>
      </c>
      <c r="B416" s="78" t="e">
        <f t="shared" si="9"/>
        <v>#N/A</v>
      </c>
      <c r="C416" s="65" t="s">
        <v>115</v>
      </c>
      <c r="D416" s="88" t="s">
        <v>549</v>
      </c>
      <c r="E416" s="65" t="e">
        <f t="shared" si="10"/>
        <v>#N/A</v>
      </c>
      <c r="F416" s="65" t="s">
        <v>193</v>
      </c>
      <c r="K416" s="81">
        <v>0.01</v>
      </c>
      <c r="L416" s="81">
        <v>1</v>
      </c>
    </row>
    <row r="417" s="65" customFormat="1" customHeight="1" spans="1:12">
      <c r="A417" s="77">
        <v>414</v>
      </c>
      <c r="B417" s="78" t="str">
        <f t="shared" si="9"/>
        <v>DilutionAegle Fol.</v>
      </c>
      <c r="C417" s="65" t="s">
        <v>115</v>
      </c>
      <c r="D417" s="88" t="s">
        <v>213</v>
      </c>
      <c r="E417" s="65" t="str">
        <f t="shared" si="10"/>
        <v>Aegle Fol.</v>
      </c>
      <c r="F417" s="65" t="s">
        <v>193</v>
      </c>
      <c r="K417" s="81">
        <v>0.01</v>
      </c>
      <c r="L417" s="81">
        <v>1</v>
      </c>
    </row>
    <row r="418" s="65" customFormat="1" customHeight="1" spans="1:12">
      <c r="A418" s="77">
        <v>415</v>
      </c>
      <c r="B418" s="78" t="str">
        <f t="shared" si="9"/>
        <v>DilutionAegle Marm.</v>
      </c>
      <c r="C418" s="65" t="s">
        <v>115</v>
      </c>
      <c r="D418" s="88" t="s">
        <v>214</v>
      </c>
      <c r="E418" s="65" t="str">
        <f t="shared" si="10"/>
        <v>Aegle Marm.</v>
      </c>
      <c r="F418" s="65" t="s">
        <v>193</v>
      </c>
      <c r="K418" s="81">
        <v>0.01</v>
      </c>
      <c r="L418" s="81">
        <v>1</v>
      </c>
    </row>
    <row r="419" s="65" customFormat="1" customHeight="1" spans="1:12">
      <c r="A419" s="77">
        <v>416</v>
      </c>
      <c r="B419" s="78" t="e">
        <f t="shared" si="9"/>
        <v>#N/A</v>
      </c>
      <c r="C419" s="65" t="s">
        <v>115</v>
      </c>
      <c r="D419" s="88" t="s">
        <v>550</v>
      </c>
      <c r="E419" s="65" t="e">
        <f t="shared" si="10"/>
        <v>#N/A</v>
      </c>
      <c r="F419" s="65" t="s">
        <v>193</v>
      </c>
      <c r="K419" s="81">
        <v>0.01</v>
      </c>
      <c r="L419" s="81">
        <v>1</v>
      </c>
    </row>
    <row r="420" s="65" customFormat="1" customHeight="1" spans="1:12">
      <c r="A420" s="77">
        <v>417</v>
      </c>
      <c r="B420" s="78" t="str">
        <f t="shared" si="9"/>
        <v>DilutionAesculus Hipp.</v>
      </c>
      <c r="C420" s="65" t="s">
        <v>115</v>
      </c>
      <c r="D420" s="88" t="s">
        <v>215</v>
      </c>
      <c r="E420" s="65" t="str">
        <f t="shared" si="10"/>
        <v>Aesculus Hipp.</v>
      </c>
      <c r="F420" s="65" t="s">
        <v>193</v>
      </c>
      <c r="K420" s="81">
        <v>0.01</v>
      </c>
      <c r="L420" s="81">
        <v>1</v>
      </c>
    </row>
    <row r="421" s="65" customFormat="1" customHeight="1" spans="1:12">
      <c r="A421" s="77">
        <v>418</v>
      </c>
      <c r="B421" s="78" t="str">
        <f t="shared" si="9"/>
        <v>DilutionAethusa Cyn.</v>
      </c>
      <c r="C421" s="65" t="s">
        <v>115</v>
      </c>
      <c r="D421" s="88" t="s">
        <v>216</v>
      </c>
      <c r="E421" s="65" t="str">
        <f t="shared" si="10"/>
        <v>Aethusa Cyn.</v>
      </c>
      <c r="F421" s="65" t="s">
        <v>193</v>
      </c>
      <c r="K421" s="81">
        <v>0.01</v>
      </c>
      <c r="L421" s="81">
        <v>1</v>
      </c>
    </row>
    <row r="422" s="65" customFormat="1" customHeight="1" spans="1:12">
      <c r="A422" s="77">
        <v>419</v>
      </c>
      <c r="B422" s="78" t="e">
        <f t="shared" si="9"/>
        <v>#N/A</v>
      </c>
      <c r="C422" s="65" t="s">
        <v>115</v>
      </c>
      <c r="D422" s="88" t="s">
        <v>551</v>
      </c>
      <c r="E422" s="65" t="e">
        <f t="shared" si="10"/>
        <v>#N/A</v>
      </c>
      <c r="F422" s="65" t="s">
        <v>193</v>
      </c>
      <c r="K422" s="81">
        <v>0.01</v>
      </c>
      <c r="L422" s="81">
        <v>1</v>
      </c>
    </row>
    <row r="423" s="65" customFormat="1" customHeight="1" spans="1:12">
      <c r="A423" s="77">
        <v>420</v>
      </c>
      <c r="B423" s="78" t="e">
        <f t="shared" si="9"/>
        <v>#N/A</v>
      </c>
      <c r="C423" s="65" t="s">
        <v>115</v>
      </c>
      <c r="D423" s="88" t="s">
        <v>552</v>
      </c>
      <c r="E423" s="65" t="e">
        <f t="shared" si="10"/>
        <v>#N/A</v>
      </c>
      <c r="F423" s="65" t="s">
        <v>193</v>
      </c>
      <c r="K423" s="81">
        <v>0.01</v>
      </c>
      <c r="L423" s="81">
        <v>1</v>
      </c>
    </row>
    <row r="424" s="65" customFormat="1" customHeight="1" spans="1:12">
      <c r="A424" s="77">
        <v>421</v>
      </c>
      <c r="B424" s="78" t="e">
        <f t="shared" si="9"/>
        <v>#N/A</v>
      </c>
      <c r="C424" s="65" t="s">
        <v>115</v>
      </c>
      <c r="D424" s="88" t="s">
        <v>553</v>
      </c>
      <c r="E424" s="65" t="e">
        <f t="shared" si="10"/>
        <v>#N/A</v>
      </c>
      <c r="F424" s="65" t="s">
        <v>193</v>
      </c>
      <c r="K424" s="81">
        <v>0.01</v>
      </c>
      <c r="L424" s="81">
        <v>1</v>
      </c>
    </row>
    <row r="425" s="65" customFormat="1" customHeight="1" spans="1:12">
      <c r="A425" s="77">
        <v>422</v>
      </c>
      <c r="B425" s="78" t="str">
        <f t="shared" si="9"/>
        <v>DilutionAgraphis Nut.</v>
      </c>
      <c r="C425" s="65" t="s">
        <v>115</v>
      </c>
      <c r="D425" s="88" t="s">
        <v>217</v>
      </c>
      <c r="E425" s="65" t="str">
        <f t="shared" si="10"/>
        <v>Agraphis Nut.</v>
      </c>
      <c r="F425" s="65" t="s">
        <v>193</v>
      </c>
      <c r="K425" s="81">
        <v>0.01</v>
      </c>
      <c r="L425" s="81">
        <v>1</v>
      </c>
    </row>
    <row r="426" s="65" customFormat="1" customHeight="1" spans="1:12">
      <c r="A426" s="77">
        <v>423</v>
      </c>
      <c r="B426" s="78" t="str">
        <f t="shared" si="9"/>
        <v>DilutionAilanthus. G.</v>
      </c>
      <c r="C426" s="65" t="s">
        <v>115</v>
      </c>
      <c r="D426" s="88" t="s">
        <v>218</v>
      </c>
      <c r="E426" s="65" t="str">
        <f t="shared" si="10"/>
        <v>Ailanthus. G.</v>
      </c>
      <c r="F426" s="65" t="s">
        <v>193</v>
      </c>
      <c r="K426" s="81">
        <v>0.01</v>
      </c>
      <c r="L426" s="81">
        <v>1</v>
      </c>
    </row>
    <row r="427" s="65" customFormat="1" customHeight="1" spans="1:12">
      <c r="A427" s="77">
        <v>424</v>
      </c>
      <c r="B427" s="78" t="str">
        <f t="shared" si="9"/>
        <v>DilutionAletris F.</v>
      </c>
      <c r="C427" s="65" t="s">
        <v>115</v>
      </c>
      <c r="D427" s="88" t="s">
        <v>219</v>
      </c>
      <c r="E427" s="65" t="str">
        <f t="shared" si="10"/>
        <v>Aletris F.</v>
      </c>
      <c r="F427" s="65" t="s">
        <v>193</v>
      </c>
      <c r="K427" s="81">
        <v>0.01</v>
      </c>
      <c r="L427" s="81">
        <v>1</v>
      </c>
    </row>
    <row r="428" s="65" customFormat="1" customHeight="1" spans="1:12">
      <c r="A428" s="77">
        <v>425</v>
      </c>
      <c r="B428" s="78" t="str">
        <f t="shared" si="9"/>
        <v>DilutionAlfalfa</v>
      </c>
      <c r="C428" s="65" t="s">
        <v>115</v>
      </c>
      <c r="D428" s="88" t="s">
        <v>220</v>
      </c>
      <c r="E428" s="65" t="str">
        <f t="shared" si="10"/>
        <v>Alfalfa</v>
      </c>
      <c r="F428" s="65" t="s">
        <v>193</v>
      </c>
      <c r="K428" s="81">
        <v>0.01</v>
      </c>
      <c r="L428" s="81">
        <v>1</v>
      </c>
    </row>
    <row r="429" s="65" customFormat="1" customHeight="1" spans="1:12">
      <c r="A429" s="77">
        <v>426</v>
      </c>
      <c r="B429" s="78" t="str">
        <f t="shared" si="9"/>
        <v>DilutionAllium Cepa</v>
      </c>
      <c r="C429" s="65" t="s">
        <v>115</v>
      </c>
      <c r="D429" s="88" t="s">
        <v>221</v>
      </c>
      <c r="E429" s="65" t="str">
        <f t="shared" si="10"/>
        <v>Allium Cepa</v>
      </c>
      <c r="F429" s="65" t="s">
        <v>193</v>
      </c>
      <c r="K429" s="81">
        <v>0.01</v>
      </c>
      <c r="L429" s="81">
        <v>1</v>
      </c>
    </row>
    <row r="430" s="65" customFormat="1" customHeight="1" spans="1:12">
      <c r="A430" s="77">
        <v>427</v>
      </c>
      <c r="B430" s="78" t="str">
        <f t="shared" si="9"/>
        <v>DilutionAllium Sat.</v>
      </c>
      <c r="C430" s="65" t="s">
        <v>115</v>
      </c>
      <c r="D430" s="88" t="s">
        <v>222</v>
      </c>
      <c r="E430" s="65" t="str">
        <f t="shared" si="10"/>
        <v>Allium Sat.</v>
      </c>
      <c r="F430" s="65" t="s">
        <v>193</v>
      </c>
      <c r="K430" s="81">
        <v>0.01</v>
      </c>
      <c r="L430" s="81">
        <v>1</v>
      </c>
    </row>
    <row r="431" s="65" customFormat="1" customHeight="1" spans="1:12">
      <c r="A431" s="77">
        <v>428</v>
      </c>
      <c r="B431" s="78" t="e">
        <f t="shared" si="9"/>
        <v>#N/A</v>
      </c>
      <c r="C431" s="65" t="s">
        <v>115</v>
      </c>
      <c r="D431" s="88" t="s">
        <v>554</v>
      </c>
      <c r="E431" s="65" t="e">
        <f t="shared" si="10"/>
        <v>#N/A</v>
      </c>
      <c r="F431" s="65" t="s">
        <v>193</v>
      </c>
      <c r="K431" s="81">
        <v>0.01</v>
      </c>
      <c r="L431" s="81">
        <v>1</v>
      </c>
    </row>
    <row r="432" s="65" customFormat="1" customHeight="1" spans="1:12">
      <c r="A432" s="77">
        <v>429</v>
      </c>
      <c r="B432" s="78" t="str">
        <f t="shared" si="9"/>
        <v>DilutionAloe Soc. (Aloes)</v>
      </c>
      <c r="C432" s="65" t="s">
        <v>115</v>
      </c>
      <c r="D432" s="88" t="s">
        <v>223</v>
      </c>
      <c r="E432" s="65" t="str">
        <f t="shared" si="10"/>
        <v>Aloe Soc. (Aloes)</v>
      </c>
      <c r="F432" s="65" t="s">
        <v>193</v>
      </c>
      <c r="K432" s="81">
        <v>0.01</v>
      </c>
      <c r="L432" s="81">
        <v>1</v>
      </c>
    </row>
    <row r="433" s="65" customFormat="1" customHeight="1" spans="1:12">
      <c r="A433" s="77">
        <v>430</v>
      </c>
      <c r="B433" s="78" t="str">
        <f t="shared" si="9"/>
        <v>DilutionAlstonia Sch.</v>
      </c>
      <c r="C433" s="65" t="s">
        <v>115</v>
      </c>
      <c r="D433" s="88" t="s">
        <v>224</v>
      </c>
      <c r="E433" s="65" t="str">
        <f t="shared" si="10"/>
        <v>Alstonia Sch.</v>
      </c>
      <c r="F433" s="65" t="s">
        <v>193</v>
      </c>
      <c r="K433" s="81">
        <v>0.01</v>
      </c>
      <c r="L433" s="81">
        <v>1</v>
      </c>
    </row>
    <row r="434" s="65" customFormat="1" customHeight="1" spans="1:12">
      <c r="A434" s="77">
        <v>431</v>
      </c>
      <c r="B434" s="78" t="e">
        <f t="shared" si="9"/>
        <v>#N/A</v>
      </c>
      <c r="C434" s="65" t="s">
        <v>115</v>
      </c>
      <c r="D434" s="88" t="s">
        <v>555</v>
      </c>
      <c r="E434" s="65" t="e">
        <f t="shared" si="10"/>
        <v>#N/A</v>
      </c>
      <c r="F434" s="65" t="s">
        <v>193</v>
      </c>
      <c r="K434" s="81">
        <v>0.01</v>
      </c>
      <c r="L434" s="81">
        <v>1</v>
      </c>
    </row>
    <row r="435" s="65" customFormat="1" customHeight="1" spans="1:12">
      <c r="A435" s="77">
        <v>432</v>
      </c>
      <c r="B435" s="78" t="e">
        <f t="shared" si="9"/>
        <v>#N/A</v>
      </c>
      <c r="C435" s="65" t="s">
        <v>115</v>
      </c>
      <c r="D435" s="88" t="s">
        <v>556</v>
      </c>
      <c r="E435" s="65" t="e">
        <f t="shared" si="10"/>
        <v>#N/A</v>
      </c>
      <c r="F435" s="65" t="s">
        <v>193</v>
      </c>
      <c r="K435" s="81">
        <v>0.01</v>
      </c>
      <c r="L435" s="81">
        <v>1</v>
      </c>
    </row>
    <row r="436" s="65" customFormat="1" customHeight="1" spans="1:12">
      <c r="A436" s="77">
        <v>433</v>
      </c>
      <c r="B436" s="78" t="e">
        <f t="shared" si="9"/>
        <v>#N/A</v>
      </c>
      <c r="C436" s="65" t="s">
        <v>115</v>
      </c>
      <c r="D436" s="88" t="s">
        <v>557</v>
      </c>
      <c r="E436" s="65" t="e">
        <f t="shared" si="10"/>
        <v>#N/A</v>
      </c>
      <c r="F436" s="65" t="s">
        <v>193</v>
      </c>
      <c r="K436" s="81">
        <v>0.01</v>
      </c>
      <c r="L436" s="81">
        <v>1</v>
      </c>
    </row>
    <row r="437" s="65" customFormat="1" customHeight="1" spans="1:12">
      <c r="A437" s="77">
        <v>434</v>
      </c>
      <c r="B437" s="78" t="e">
        <f t="shared" si="9"/>
        <v>#N/A</v>
      </c>
      <c r="C437" s="65" t="s">
        <v>115</v>
      </c>
      <c r="D437" s="88" t="s">
        <v>558</v>
      </c>
      <c r="E437" s="65" t="e">
        <f t="shared" si="10"/>
        <v>#N/A</v>
      </c>
      <c r="F437" s="65" t="s">
        <v>193</v>
      </c>
      <c r="K437" s="81">
        <v>0.01</v>
      </c>
      <c r="L437" s="81">
        <v>1</v>
      </c>
    </row>
    <row r="438" s="65" customFormat="1" customHeight="1" spans="1:12">
      <c r="A438" s="77">
        <v>435</v>
      </c>
      <c r="B438" s="78" t="e">
        <f t="shared" si="9"/>
        <v>#N/A</v>
      </c>
      <c r="C438" s="65" t="s">
        <v>115</v>
      </c>
      <c r="D438" s="88" t="s">
        <v>559</v>
      </c>
      <c r="E438" s="65" t="e">
        <f t="shared" si="10"/>
        <v>#N/A</v>
      </c>
      <c r="F438" s="65" t="s">
        <v>193</v>
      </c>
      <c r="K438" s="81">
        <v>0.01</v>
      </c>
      <c r="L438" s="81">
        <v>1</v>
      </c>
    </row>
    <row r="439" s="65" customFormat="1" customHeight="1" spans="1:12">
      <c r="A439" s="77">
        <v>436</v>
      </c>
      <c r="B439" s="78" t="e">
        <f t="shared" si="9"/>
        <v>#N/A</v>
      </c>
      <c r="C439" s="65" t="s">
        <v>115</v>
      </c>
      <c r="D439" s="88" t="s">
        <v>560</v>
      </c>
      <c r="E439" s="65" t="e">
        <f t="shared" si="10"/>
        <v>#N/A</v>
      </c>
      <c r="F439" s="65" t="s">
        <v>193</v>
      </c>
      <c r="K439" s="81">
        <v>0.01</v>
      </c>
      <c r="L439" s="81">
        <v>1</v>
      </c>
    </row>
    <row r="440" s="65" customFormat="1" customHeight="1" spans="1:12">
      <c r="A440" s="77">
        <v>437</v>
      </c>
      <c r="B440" s="78" t="str">
        <f t="shared" si="9"/>
        <v>DilutionAmly. Nit.</v>
      </c>
      <c r="C440" s="65" t="s">
        <v>115</v>
      </c>
      <c r="D440" s="88" t="s">
        <v>225</v>
      </c>
      <c r="E440" s="65" t="str">
        <f t="shared" si="10"/>
        <v>Amly. Nit.</v>
      </c>
      <c r="F440" s="65" t="s">
        <v>193</v>
      </c>
      <c r="K440" s="81">
        <v>0.01</v>
      </c>
      <c r="L440" s="81">
        <v>1</v>
      </c>
    </row>
    <row r="441" s="65" customFormat="1" customHeight="1" spans="1:12">
      <c r="A441" s="77">
        <v>438</v>
      </c>
      <c r="B441" s="78" t="str">
        <f t="shared" si="9"/>
        <v>DilutionAmmon Benz.</v>
      </c>
      <c r="C441" s="65" t="s">
        <v>115</v>
      </c>
      <c r="D441" s="88" t="s">
        <v>226</v>
      </c>
      <c r="E441" s="65" t="str">
        <f t="shared" si="10"/>
        <v>Ammon Benz.</v>
      </c>
      <c r="F441" s="65" t="s">
        <v>193</v>
      </c>
      <c r="K441" s="81">
        <v>0.01</v>
      </c>
      <c r="L441" s="81">
        <v>1</v>
      </c>
    </row>
    <row r="442" s="65" customFormat="1" customHeight="1" spans="1:12">
      <c r="A442" s="77">
        <v>439</v>
      </c>
      <c r="B442" s="78" t="e">
        <f t="shared" si="9"/>
        <v>#N/A</v>
      </c>
      <c r="C442" s="65" t="s">
        <v>115</v>
      </c>
      <c r="D442" s="88" t="s">
        <v>561</v>
      </c>
      <c r="E442" s="65" t="e">
        <f t="shared" si="10"/>
        <v>#N/A</v>
      </c>
      <c r="F442" s="65" t="s">
        <v>193</v>
      </c>
      <c r="K442" s="81">
        <v>0.01</v>
      </c>
      <c r="L442" s="81">
        <v>1</v>
      </c>
    </row>
    <row r="443" s="65" customFormat="1" customHeight="1" spans="1:12">
      <c r="A443" s="77">
        <v>440</v>
      </c>
      <c r="B443" s="78" t="e">
        <f t="shared" si="9"/>
        <v>#N/A</v>
      </c>
      <c r="C443" s="65" t="s">
        <v>115</v>
      </c>
      <c r="D443" s="88" t="s">
        <v>562</v>
      </c>
      <c r="E443" s="65" t="e">
        <f t="shared" si="10"/>
        <v>#N/A</v>
      </c>
      <c r="F443" s="65" t="s">
        <v>193</v>
      </c>
      <c r="K443" s="81">
        <v>0.01</v>
      </c>
      <c r="L443" s="81">
        <v>1</v>
      </c>
    </row>
    <row r="444" s="65" customFormat="1" customHeight="1" spans="1:12">
      <c r="A444" s="77">
        <v>441</v>
      </c>
      <c r="B444" s="78" t="e">
        <f t="shared" si="9"/>
        <v>#N/A</v>
      </c>
      <c r="C444" s="65" t="s">
        <v>115</v>
      </c>
      <c r="D444" s="88" t="s">
        <v>563</v>
      </c>
      <c r="E444" s="65" t="e">
        <f t="shared" si="10"/>
        <v>#N/A</v>
      </c>
      <c r="F444" s="65" t="s">
        <v>193</v>
      </c>
      <c r="K444" s="81">
        <v>0.01</v>
      </c>
      <c r="L444" s="81">
        <v>1</v>
      </c>
    </row>
    <row r="445" s="65" customFormat="1" customHeight="1" spans="1:12">
      <c r="A445" s="77">
        <v>442</v>
      </c>
      <c r="B445" s="78" t="e">
        <f t="shared" si="9"/>
        <v>#N/A</v>
      </c>
      <c r="C445" s="65" t="s">
        <v>115</v>
      </c>
      <c r="D445" s="88" t="s">
        <v>564</v>
      </c>
      <c r="E445" s="65" t="e">
        <f t="shared" si="10"/>
        <v>#N/A</v>
      </c>
      <c r="F445" s="65" t="s">
        <v>193</v>
      </c>
      <c r="K445" s="81">
        <v>0.01</v>
      </c>
      <c r="L445" s="81">
        <v>1</v>
      </c>
    </row>
    <row r="446" s="65" customFormat="1" customHeight="1" spans="1:12">
      <c r="A446" s="77">
        <v>443</v>
      </c>
      <c r="B446" s="78" t="e">
        <f t="shared" si="9"/>
        <v>#N/A</v>
      </c>
      <c r="C446" s="65" t="s">
        <v>115</v>
      </c>
      <c r="D446" s="88" t="s">
        <v>565</v>
      </c>
      <c r="E446" s="65" t="e">
        <f t="shared" si="10"/>
        <v>#N/A</v>
      </c>
      <c r="F446" s="65" t="s">
        <v>193</v>
      </c>
      <c r="K446" s="81">
        <v>0.01</v>
      </c>
      <c r="L446" s="81">
        <v>1</v>
      </c>
    </row>
    <row r="447" s="65" customFormat="1" customHeight="1" spans="1:12">
      <c r="A447" s="77">
        <v>444</v>
      </c>
      <c r="B447" s="78" t="e">
        <f t="shared" si="9"/>
        <v>#N/A</v>
      </c>
      <c r="C447" s="65" t="s">
        <v>115</v>
      </c>
      <c r="D447" s="88" t="s">
        <v>566</v>
      </c>
      <c r="E447" s="65" t="e">
        <f t="shared" si="10"/>
        <v>#N/A</v>
      </c>
      <c r="F447" s="65" t="s">
        <v>193</v>
      </c>
      <c r="K447" s="81">
        <v>0.01</v>
      </c>
      <c r="L447" s="81">
        <v>1</v>
      </c>
    </row>
    <row r="448" s="65" customFormat="1" customHeight="1" spans="1:12">
      <c r="A448" s="77">
        <v>445</v>
      </c>
      <c r="B448" s="78" t="e">
        <f t="shared" si="9"/>
        <v>#N/A</v>
      </c>
      <c r="C448" s="65" t="s">
        <v>115</v>
      </c>
      <c r="D448" s="88" t="s">
        <v>567</v>
      </c>
      <c r="E448" s="65" t="e">
        <f t="shared" si="10"/>
        <v>#N/A</v>
      </c>
      <c r="F448" s="65" t="s">
        <v>193</v>
      </c>
      <c r="K448" s="81">
        <v>0.01</v>
      </c>
      <c r="L448" s="81">
        <v>1</v>
      </c>
    </row>
    <row r="449" s="65" customFormat="1" customHeight="1" spans="1:12">
      <c r="A449" s="77">
        <v>446</v>
      </c>
      <c r="B449" s="78" t="e">
        <f t="shared" si="9"/>
        <v>#N/A</v>
      </c>
      <c r="C449" s="65" t="s">
        <v>115</v>
      </c>
      <c r="D449" s="88" t="s">
        <v>568</v>
      </c>
      <c r="E449" s="65" t="e">
        <f t="shared" si="10"/>
        <v>#N/A</v>
      </c>
      <c r="F449" s="65" t="s">
        <v>193</v>
      </c>
      <c r="K449" s="81">
        <v>0.01</v>
      </c>
      <c r="L449" s="81">
        <v>1</v>
      </c>
    </row>
    <row r="450" s="65" customFormat="1" customHeight="1" spans="1:12">
      <c r="A450" s="77">
        <v>447</v>
      </c>
      <c r="B450" s="78" t="e">
        <f t="shared" si="9"/>
        <v>#N/A</v>
      </c>
      <c r="C450" s="65" t="s">
        <v>115</v>
      </c>
      <c r="D450" s="88" t="s">
        <v>569</v>
      </c>
      <c r="E450" s="65" t="e">
        <f t="shared" si="10"/>
        <v>#N/A</v>
      </c>
      <c r="F450" s="65" t="s">
        <v>193</v>
      </c>
      <c r="K450" s="81">
        <v>0.01</v>
      </c>
      <c r="L450" s="81">
        <v>1</v>
      </c>
    </row>
    <row r="451" s="65" customFormat="1" customHeight="1" spans="1:12">
      <c r="A451" s="77">
        <v>448</v>
      </c>
      <c r="B451" s="78" t="e">
        <f t="shared" si="9"/>
        <v>#N/A</v>
      </c>
      <c r="C451" s="65" t="s">
        <v>115</v>
      </c>
      <c r="D451" s="88" t="s">
        <v>570</v>
      </c>
      <c r="E451" s="65" t="e">
        <f t="shared" si="10"/>
        <v>#N/A</v>
      </c>
      <c r="F451" s="65" t="s">
        <v>193</v>
      </c>
      <c r="K451" s="81">
        <v>0.01</v>
      </c>
      <c r="L451" s="81">
        <v>1</v>
      </c>
    </row>
    <row r="452" s="65" customFormat="1" customHeight="1" spans="1:12">
      <c r="A452" s="77">
        <v>449</v>
      </c>
      <c r="B452" s="78" t="e">
        <f t="shared" si="9"/>
        <v>#N/A</v>
      </c>
      <c r="C452" s="65" t="s">
        <v>115</v>
      </c>
      <c r="D452" s="88" t="s">
        <v>571</v>
      </c>
      <c r="E452" s="65" t="e">
        <f t="shared" si="10"/>
        <v>#N/A</v>
      </c>
      <c r="F452" s="65" t="s">
        <v>193</v>
      </c>
      <c r="K452" s="81">
        <v>0.01</v>
      </c>
      <c r="L452" s="81">
        <v>1</v>
      </c>
    </row>
    <row r="453" s="65" customFormat="1" customHeight="1" spans="1:12">
      <c r="A453" s="77">
        <v>450</v>
      </c>
      <c r="B453" s="78" t="e">
        <f t="shared" ref="B453:B516" si="11">+C453&amp;E453</f>
        <v>#N/A</v>
      </c>
      <c r="C453" s="65" t="s">
        <v>115</v>
      </c>
      <c r="D453" s="88" t="s">
        <v>572</v>
      </c>
      <c r="E453" s="65" t="e">
        <f t="shared" si="10"/>
        <v>#N/A</v>
      </c>
      <c r="F453" s="65" t="s">
        <v>193</v>
      </c>
      <c r="K453" s="81">
        <v>0.01</v>
      </c>
      <c r="L453" s="81">
        <v>1</v>
      </c>
    </row>
    <row r="454" s="65" customFormat="1" customHeight="1" spans="1:12">
      <c r="A454" s="77">
        <v>451</v>
      </c>
      <c r="B454" s="78" t="str">
        <f t="shared" si="11"/>
        <v>DilutionAnacard. Occ.</v>
      </c>
      <c r="C454" s="65" t="s">
        <v>115</v>
      </c>
      <c r="D454" s="88" t="s">
        <v>227</v>
      </c>
      <c r="E454" s="65" t="str">
        <f t="shared" si="10"/>
        <v>Anacard. Occ.</v>
      </c>
      <c r="F454" s="65" t="s">
        <v>193</v>
      </c>
      <c r="K454" s="81">
        <v>0.01</v>
      </c>
      <c r="L454" s="81">
        <v>1</v>
      </c>
    </row>
    <row r="455" s="65" customFormat="1" customHeight="1" spans="1:12">
      <c r="A455" s="77">
        <v>452</v>
      </c>
      <c r="B455" s="78" t="str">
        <f t="shared" si="11"/>
        <v>DilutionAnacard. Ori.</v>
      </c>
      <c r="C455" s="65" t="s">
        <v>115</v>
      </c>
      <c r="D455" s="88" t="s">
        <v>228</v>
      </c>
      <c r="E455" s="65" t="str">
        <f t="shared" si="10"/>
        <v>Anacard. Ori.</v>
      </c>
      <c r="F455" s="65" t="s">
        <v>193</v>
      </c>
      <c r="K455" s="81">
        <v>0.01</v>
      </c>
      <c r="L455" s="81">
        <v>1</v>
      </c>
    </row>
    <row r="456" s="65" customFormat="1" customHeight="1" spans="1:12">
      <c r="A456" s="77">
        <v>453</v>
      </c>
      <c r="B456" s="78" t="e">
        <f t="shared" si="11"/>
        <v>#N/A</v>
      </c>
      <c r="C456" s="65" t="s">
        <v>115</v>
      </c>
      <c r="D456" s="88" t="s">
        <v>573</v>
      </c>
      <c r="E456" s="65" t="e">
        <f t="shared" si="10"/>
        <v>#N/A</v>
      </c>
      <c r="F456" s="65" t="s">
        <v>193</v>
      </c>
      <c r="K456" s="81">
        <v>0.01</v>
      </c>
      <c r="L456" s="81">
        <v>1</v>
      </c>
    </row>
    <row r="457" s="65" customFormat="1" customHeight="1" spans="1:12">
      <c r="A457" s="77">
        <v>454</v>
      </c>
      <c r="B457" s="78" t="e">
        <f t="shared" si="11"/>
        <v>#N/A</v>
      </c>
      <c r="C457" s="65" t="s">
        <v>115</v>
      </c>
      <c r="D457" s="88" t="s">
        <v>574</v>
      </c>
      <c r="E457" s="65" t="e">
        <f t="shared" si="10"/>
        <v>#N/A</v>
      </c>
      <c r="F457" s="65" t="s">
        <v>193</v>
      </c>
      <c r="K457" s="81">
        <v>0.01</v>
      </c>
      <c r="L457" s="81">
        <v>1</v>
      </c>
    </row>
    <row r="458" s="65" customFormat="1" customHeight="1" spans="1:12">
      <c r="A458" s="77">
        <v>455</v>
      </c>
      <c r="B458" s="78" t="str">
        <f t="shared" si="11"/>
        <v>DilutionAngustura. V</v>
      </c>
      <c r="C458" s="65" t="s">
        <v>115</v>
      </c>
      <c r="D458" s="83" t="s">
        <v>230</v>
      </c>
      <c r="E458" s="65" t="str">
        <f t="shared" si="10"/>
        <v>Angustura. V</v>
      </c>
      <c r="F458" s="65" t="s">
        <v>193</v>
      </c>
      <c r="K458" s="81">
        <v>0.01</v>
      </c>
      <c r="L458" s="81">
        <v>1</v>
      </c>
    </row>
    <row r="459" s="65" customFormat="1" customHeight="1" spans="1:12">
      <c r="A459" s="77">
        <v>456</v>
      </c>
      <c r="B459" s="78" t="e">
        <f t="shared" si="11"/>
        <v>#N/A</v>
      </c>
      <c r="C459" s="65" t="s">
        <v>115</v>
      </c>
      <c r="D459" s="83" t="s">
        <v>575</v>
      </c>
      <c r="E459" s="65" t="e">
        <f t="shared" si="10"/>
        <v>#N/A</v>
      </c>
      <c r="F459" s="65" t="s">
        <v>193</v>
      </c>
      <c r="K459" s="81">
        <v>0.01</v>
      </c>
      <c r="L459" s="81">
        <v>1</v>
      </c>
    </row>
    <row r="460" s="65" customFormat="1" customHeight="1" spans="1:12">
      <c r="A460" s="77">
        <v>457</v>
      </c>
      <c r="B460" s="78" t="e">
        <f t="shared" si="11"/>
        <v>#N/A</v>
      </c>
      <c r="C460" s="65" t="s">
        <v>115</v>
      </c>
      <c r="D460" s="83" t="s">
        <v>576</v>
      </c>
      <c r="E460" s="65" t="e">
        <f t="shared" si="10"/>
        <v>#N/A</v>
      </c>
      <c r="F460" s="65" t="s">
        <v>193</v>
      </c>
      <c r="K460" s="81">
        <v>0.01</v>
      </c>
      <c r="L460" s="81">
        <v>1</v>
      </c>
    </row>
    <row r="461" s="65" customFormat="1" customHeight="1" spans="1:12">
      <c r="A461" s="77">
        <v>458</v>
      </c>
      <c r="B461" s="78" t="e">
        <f t="shared" si="11"/>
        <v>#N/A</v>
      </c>
      <c r="C461" s="65" t="s">
        <v>115</v>
      </c>
      <c r="D461" s="83" t="s">
        <v>577</v>
      </c>
      <c r="E461" s="65" t="e">
        <f t="shared" si="10"/>
        <v>#N/A</v>
      </c>
      <c r="F461" s="65" t="s">
        <v>193</v>
      </c>
      <c r="K461" s="81">
        <v>0.01</v>
      </c>
      <c r="L461" s="81">
        <v>1</v>
      </c>
    </row>
    <row r="462" s="65" customFormat="1" customHeight="1" spans="1:12">
      <c r="A462" s="77">
        <v>459</v>
      </c>
      <c r="B462" s="78" t="e">
        <f t="shared" si="11"/>
        <v>#N/A</v>
      </c>
      <c r="C462" s="65" t="s">
        <v>115</v>
      </c>
      <c r="D462" s="83" t="s">
        <v>578</v>
      </c>
      <c r="E462" s="65" t="e">
        <f t="shared" ref="E462:E525" si="12">+VLOOKUP(D462,$D$4:$D$301,1,FALSE)</f>
        <v>#N/A</v>
      </c>
      <c r="F462" s="65" t="s">
        <v>193</v>
      </c>
      <c r="K462" s="81">
        <v>0.01</v>
      </c>
      <c r="L462" s="81">
        <v>1</v>
      </c>
    </row>
    <row r="463" s="65" customFormat="1" customHeight="1" spans="1:12">
      <c r="A463" s="77">
        <v>460</v>
      </c>
      <c r="B463" s="78" t="e">
        <f t="shared" si="11"/>
        <v>#N/A</v>
      </c>
      <c r="C463" s="65" t="s">
        <v>115</v>
      </c>
      <c r="D463" s="83" t="s">
        <v>579</v>
      </c>
      <c r="E463" s="65" t="e">
        <f t="shared" si="12"/>
        <v>#N/A</v>
      </c>
      <c r="F463" s="65" t="s">
        <v>193</v>
      </c>
      <c r="K463" s="81">
        <v>0.01</v>
      </c>
      <c r="L463" s="81">
        <v>1</v>
      </c>
    </row>
    <row r="464" s="65" customFormat="1" customHeight="1" spans="1:12">
      <c r="A464" s="77">
        <v>461</v>
      </c>
      <c r="B464" s="78" t="e">
        <f t="shared" si="11"/>
        <v>#N/A</v>
      </c>
      <c r="C464" s="65" t="s">
        <v>115</v>
      </c>
      <c r="D464" s="83" t="s">
        <v>580</v>
      </c>
      <c r="E464" s="65" t="e">
        <f t="shared" si="12"/>
        <v>#N/A</v>
      </c>
      <c r="F464" s="65" t="s">
        <v>193</v>
      </c>
      <c r="K464" s="81">
        <v>0.01</v>
      </c>
      <c r="L464" s="81">
        <v>1</v>
      </c>
    </row>
    <row r="465" s="65" customFormat="1" customHeight="1" spans="1:12">
      <c r="A465" s="77">
        <v>462</v>
      </c>
      <c r="B465" s="78" t="e">
        <f t="shared" si="11"/>
        <v>#N/A</v>
      </c>
      <c r="C465" s="65" t="s">
        <v>115</v>
      </c>
      <c r="D465" s="83" t="s">
        <v>581</v>
      </c>
      <c r="E465" s="65" t="e">
        <f t="shared" si="12"/>
        <v>#N/A</v>
      </c>
      <c r="F465" s="65" t="s">
        <v>193</v>
      </c>
      <c r="K465" s="81">
        <v>0.01</v>
      </c>
      <c r="L465" s="81">
        <v>1</v>
      </c>
    </row>
    <row r="466" s="65" customFormat="1" customHeight="1" spans="1:12">
      <c r="A466" s="77">
        <v>463</v>
      </c>
      <c r="B466" s="78" t="e">
        <f t="shared" si="11"/>
        <v>#N/A</v>
      </c>
      <c r="C466" s="65" t="s">
        <v>115</v>
      </c>
      <c r="D466" s="83" t="s">
        <v>582</v>
      </c>
      <c r="E466" s="65" t="e">
        <f t="shared" si="12"/>
        <v>#N/A</v>
      </c>
      <c r="F466" s="65" t="s">
        <v>193</v>
      </c>
      <c r="K466" s="81">
        <v>0.01</v>
      </c>
      <c r="L466" s="81">
        <v>1</v>
      </c>
    </row>
    <row r="467" s="65" customFormat="1" customHeight="1" spans="1:12">
      <c r="A467" s="77">
        <v>464</v>
      </c>
      <c r="B467" s="78" t="e">
        <f t="shared" si="11"/>
        <v>#N/A</v>
      </c>
      <c r="C467" s="65" t="s">
        <v>115</v>
      </c>
      <c r="D467" s="83" t="s">
        <v>583</v>
      </c>
      <c r="E467" s="65" t="e">
        <f t="shared" si="12"/>
        <v>#N/A</v>
      </c>
      <c r="F467" s="65" t="s">
        <v>193</v>
      </c>
      <c r="K467" s="81">
        <v>0.01</v>
      </c>
      <c r="L467" s="81">
        <v>1</v>
      </c>
    </row>
    <row r="468" s="65" customFormat="1" customHeight="1" spans="1:12">
      <c r="A468" s="77">
        <v>465</v>
      </c>
      <c r="B468" s="78" t="e">
        <f t="shared" si="11"/>
        <v>#N/A</v>
      </c>
      <c r="C468" s="65" t="s">
        <v>115</v>
      </c>
      <c r="D468" s="83" t="s">
        <v>584</v>
      </c>
      <c r="E468" s="65" t="e">
        <f t="shared" si="12"/>
        <v>#N/A</v>
      </c>
      <c r="F468" s="65" t="s">
        <v>193</v>
      </c>
      <c r="K468" s="81">
        <v>0.01</v>
      </c>
      <c r="L468" s="81">
        <v>1</v>
      </c>
    </row>
    <row r="469" s="65" customFormat="1" customHeight="1" spans="1:12">
      <c r="A469" s="77">
        <v>466</v>
      </c>
      <c r="B469" s="78" t="str">
        <f t="shared" si="11"/>
        <v>DilutionApis Mel.</v>
      </c>
      <c r="C469" s="65" t="s">
        <v>115</v>
      </c>
      <c r="D469" s="83" t="s">
        <v>231</v>
      </c>
      <c r="E469" s="65" t="str">
        <f t="shared" si="12"/>
        <v>Apis Mel.</v>
      </c>
      <c r="F469" s="65" t="s">
        <v>193</v>
      </c>
      <c r="K469" s="81">
        <v>0.01</v>
      </c>
      <c r="L469" s="81">
        <v>1</v>
      </c>
    </row>
    <row r="470" s="65" customFormat="1" customHeight="1" spans="1:12">
      <c r="A470" s="77">
        <v>467</v>
      </c>
      <c r="B470" s="78" t="e">
        <f t="shared" si="11"/>
        <v>#N/A</v>
      </c>
      <c r="C470" s="65" t="s">
        <v>115</v>
      </c>
      <c r="D470" s="83" t="s">
        <v>585</v>
      </c>
      <c r="E470" s="65" t="e">
        <f t="shared" si="12"/>
        <v>#N/A</v>
      </c>
      <c r="F470" s="65" t="s">
        <v>193</v>
      </c>
      <c r="K470" s="81">
        <v>0.01</v>
      </c>
      <c r="L470" s="81">
        <v>1</v>
      </c>
    </row>
    <row r="471" s="65" customFormat="1" customHeight="1" spans="1:12">
      <c r="A471" s="77">
        <v>468</v>
      </c>
      <c r="B471" s="78" t="e">
        <f t="shared" si="11"/>
        <v>#N/A</v>
      </c>
      <c r="C471" s="65" t="s">
        <v>115</v>
      </c>
      <c r="D471" s="83" t="s">
        <v>586</v>
      </c>
      <c r="E471" s="65" t="e">
        <f t="shared" si="12"/>
        <v>#N/A</v>
      </c>
      <c r="F471" s="65" t="s">
        <v>193</v>
      </c>
      <c r="K471" s="81">
        <v>0.01</v>
      </c>
      <c r="L471" s="81">
        <v>1</v>
      </c>
    </row>
    <row r="472" s="65" customFormat="1" customHeight="1" spans="1:12">
      <c r="A472" s="77">
        <v>469</v>
      </c>
      <c r="B472" s="78" t="str">
        <f t="shared" si="11"/>
        <v>DilutionApocynum. Can.</v>
      </c>
      <c r="C472" s="65" t="s">
        <v>115</v>
      </c>
      <c r="D472" s="89" t="s">
        <v>232</v>
      </c>
      <c r="E472" s="65" t="str">
        <f t="shared" si="12"/>
        <v>Apocynum. Can.</v>
      </c>
      <c r="F472" s="65" t="s">
        <v>193</v>
      </c>
      <c r="K472" s="81">
        <v>0.01</v>
      </c>
      <c r="L472" s="81">
        <v>1</v>
      </c>
    </row>
    <row r="473" s="65" customFormat="1" customHeight="1" spans="1:12">
      <c r="A473" s="77">
        <v>470</v>
      </c>
      <c r="B473" s="78" t="e">
        <f t="shared" si="11"/>
        <v>#N/A</v>
      </c>
      <c r="C473" s="65" t="s">
        <v>115</v>
      </c>
      <c r="D473" s="83" t="s">
        <v>587</v>
      </c>
      <c r="E473" s="65" t="e">
        <f t="shared" si="12"/>
        <v>#N/A</v>
      </c>
      <c r="F473" s="65" t="s">
        <v>193</v>
      </c>
      <c r="K473" s="81">
        <v>0.01</v>
      </c>
      <c r="L473" s="81">
        <v>1</v>
      </c>
    </row>
    <row r="474" s="65" customFormat="1" customHeight="1" spans="1:12">
      <c r="A474" s="77">
        <v>471</v>
      </c>
      <c r="B474" s="78" t="e">
        <f t="shared" si="11"/>
        <v>#N/A</v>
      </c>
      <c r="C474" s="65" t="s">
        <v>115</v>
      </c>
      <c r="D474" s="83" t="s">
        <v>588</v>
      </c>
      <c r="E474" s="65" t="e">
        <f t="shared" si="12"/>
        <v>#N/A</v>
      </c>
      <c r="F474" s="65" t="s">
        <v>193</v>
      </c>
      <c r="K474" s="81">
        <v>0.01</v>
      </c>
      <c r="L474" s="81">
        <v>1</v>
      </c>
    </row>
    <row r="475" s="65" customFormat="1" customHeight="1" spans="1:12">
      <c r="A475" s="77">
        <v>472</v>
      </c>
      <c r="B475" s="78" t="str">
        <f t="shared" si="11"/>
        <v>DilutionAralia Rac.</v>
      </c>
      <c r="C475" s="65" t="s">
        <v>115</v>
      </c>
      <c r="D475" s="83" t="s">
        <v>233</v>
      </c>
      <c r="E475" s="65" t="str">
        <f t="shared" si="12"/>
        <v>Aralia Rac.</v>
      </c>
      <c r="F475" s="65" t="s">
        <v>193</v>
      </c>
      <c r="K475" s="81">
        <v>0.01</v>
      </c>
      <c r="L475" s="81">
        <v>1</v>
      </c>
    </row>
    <row r="476" s="65" customFormat="1" customHeight="1" spans="1:12">
      <c r="A476" s="77">
        <v>473</v>
      </c>
      <c r="B476" s="78" t="str">
        <f t="shared" si="11"/>
        <v>DilutionArania. Dia.</v>
      </c>
      <c r="C476" s="65" t="s">
        <v>115</v>
      </c>
      <c r="D476" s="83" t="s">
        <v>234</v>
      </c>
      <c r="E476" s="65" t="str">
        <f t="shared" si="12"/>
        <v>Arania. Dia.</v>
      </c>
      <c r="F476" s="65" t="s">
        <v>193</v>
      </c>
      <c r="K476" s="81">
        <v>0.01</v>
      </c>
      <c r="L476" s="81">
        <v>1</v>
      </c>
    </row>
    <row r="477" s="65" customFormat="1" customHeight="1" spans="1:12">
      <c r="A477" s="77">
        <v>474</v>
      </c>
      <c r="B477" s="78" t="e">
        <f t="shared" si="11"/>
        <v>#N/A</v>
      </c>
      <c r="C477" s="65" t="s">
        <v>115</v>
      </c>
      <c r="D477" s="83" t="s">
        <v>589</v>
      </c>
      <c r="E477" s="65" t="e">
        <f t="shared" si="12"/>
        <v>#N/A</v>
      </c>
      <c r="F477" s="65" t="s">
        <v>193</v>
      </c>
      <c r="K477" s="81">
        <v>0.01</v>
      </c>
      <c r="L477" s="81">
        <v>1</v>
      </c>
    </row>
    <row r="478" s="65" customFormat="1" customHeight="1" spans="1:12">
      <c r="A478" s="77">
        <v>475</v>
      </c>
      <c r="B478" s="78" t="e">
        <f t="shared" si="11"/>
        <v>#N/A</v>
      </c>
      <c r="C478" s="65" t="s">
        <v>115</v>
      </c>
      <c r="D478" s="83" t="s">
        <v>590</v>
      </c>
      <c r="E478" s="65" t="e">
        <f t="shared" si="12"/>
        <v>#N/A</v>
      </c>
      <c r="F478" s="65" t="s">
        <v>193</v>
      </c>
      <c r="K478" s="81">
        <v>0.01</v>
      </c>
      <c r="L478" s="81">
        <v>1</v>
      </c>
    </row>
    <row r="479" s="65" customFormat="1" customHeight="1" spans="1:12">
      <c r="A479" s="77">
        <v>476</v>
      </c>
      <c r="B479" s="78" t="e">
        <f t="shared" si="11"/>
        <v>#N/A</v>
      </c>
      <c r="C479" s="65" t="s">
        <v>115</v>
      </c>
      <c r="D479" s="83" t="s">
        <v>591</v>
      </c>
      <c r="E479" s="65" t="e">
        <f t="shared" si="12"/>
        <v>#N/A</v>
      </c>
      <c r="F479" s="65" t="s">
        <v>193</v>
      </c>
      <c r="K479" s="81">
        <v>0.01</v>
      </c>
      <c r="L479" s="81">
        <v>1</v>
      </c>
    </row>
    <row r="480" s="65" customFormat="1" customHeight="1" spans="1:12">
      <c r="A480" s="77">
        <v>477</v>
      </c>
      <c r="B480" s="78" t="e">
        <f t="shared" si="11"/>
        <v>#N/A</v>
      </c>
      <c r="C480" s="65" t="s">
        <v>115</v>
      </c>
      <c r="D480" s="83" t="s">
        <v>592</v>
      </c>
      <c r="E480" s="65" t="e">
        <f t="shared" si="12"/>
        <v>#N/A</v>
      </c>
      <c r="F480" s="65" t="s">
        <v>193</v>
      </c>
      <c r="K480" s="81">
        <v>0.01</v>
      </c>
      <c r="L480" s="81">
        <v>1</v>
      </c>
    </row>
    <row r="481" s="65" customFormat="1" customHeight="1" spans="1:12">
      <c r="A481" s="77">
        <v>478</v>
      </c>
      <c r="B481" s="78" t="str">
        <f t="shared" si="11"/>
        <v>DilutionArjuna (Term. Arjuna)</v>
      </c>
      <c r="C481" s="65" t="s">
        <v>115</v>
      </c>
      <c r="D481" s="89" t="s">
        <v>235</v>
      </c>
      <c r="E481" s="65" t="str">
        <f t="shared" si="12"/>
        <v>Arjuna (Term. Arjuna)</v>
      </c>
      <c r="F481" s="65" t="s">
        <v>193</v>
      </c>
      <c r="K481" s="81">
        <v>0.01</v>
      </c>
      <c r="L481" s="81">
        <v>1</v>
      </c>
    </row>
    <row r="482" s="65" customFormat="1" customHeight="1" spans="1:12">
      <c r="A482" s="77">
        <v>479</v>
      </c>
      <c r="B482" s="78" t="str">
        <f t="shared" si="11"/>
        <v>DilutionArnica Mont.</v>
      </c>
      <c r="C482" s="65" t="s">
        <v>115</v>
      </c>
      <c r="D482" s="83" t="s">
        <v>236</v>
      </c>
      <c r="E482" s="65" t="str">
        <f t="shared" si="12"/>
        <v>Arnica Mont.</v>
      </c>
      <c r="F482" s="65" t="s">
        <v>193</v>
      </c>
      <c r="K482" s="81">
        <v>0.01</v>
      </c>
      <c r="L482" s="81">
        <v>1</v>
      </c>
    </row>
    <row r="483" s="65" customFormat="1" customHeight="1" spans="1:12">
      <c r="A483" s="77">
        <v>480</v>
      </c>
      <c r="B483" s="78" t="str">
        <f t="shared" si="11"/>
        <v>DilutionArnica Mont. Radix.</v>
      </c>
      <c r="C483" s="65" t="s">
        <v>115</v>
      </c>
      <c r="D483" s="83" t="s">
        <v>237</v>
      </c>
      <c r="E483" s="65" t="str">
        <f t="shared" si="12"/>
        <v>Arnica Mont. Radix.</v>
      </c>
      <c r="F483" s="65" t="s">
        <v>193</v>
      </c>
      <c r="K483" s="81">
        <v>0.01</v>
      </c>
      <c r="L483" s="81">
        <v>1</v>
      </c>
    </row>
    <row r="484" s="65" customFormat="1" customHeight="1" spans="1:12">
      <c r="A484" s="77">
        <v>481</v>
      </c>
      <c r="B484" s="78" t="e">
        <f t="shared" si="11"/>
        <v>#N/A</v>
      </c>
      <c r="C484" s="65" t="s">
        <v>115</v>
      </c>
      <c r="D484" s="83" t="s">
        <v>593</v>
      </c>
      <c r="E484" s="65" t="e">
        <f t="shared" si="12"/>
        <v>#N/A</v>
      </c>
      <c r="F484" s="65" t="s">
        <v>193</v>
      </c>
      <c r="K484" s="81">
        <v>0.01</v>
      </c>
      <c r="L484" s="81">
        <v>1</v>
      </c>
    </row>
    <row r="485" s="65" customFormat="1" customHeight="1" spans="1:12">
      <c r="A485" s="77">
        <v>482</v>
      </c>
      <c r="B485" s="78" t="e">
        <f t="shared" si="11"/>
        <v>#N/A</v>
      </c>
      <c r="C485" s="65" t="s">
        <v>115</v>
      </c>
      <c r="D485" s="83" t="s">
        <v>594</v>
      </c>
      <c r="E485" s="65" t="e">
        <f t="shared" si="12"/>
        <v>#N/A</v>
      </c>
      <c r="F485" s="65" t="s">
        <v>193</v>
      </c>
      <c r="K485" s="81">
        <v>0.01</v>
      </c>
      <c r="L485" s="81">
        <v>1</v>
      </c>
    </row>
    <row r="486" s="65" customFormat="1" customHeight="1" spans="1:12">
      <c r="A486" s="77">
        <v>483</v>
      </c>
      <c r="B486" s="78" t="e">
        <f t="shared" si="11"/>
        <v>#N/A</v>
      </c>
      <c r="C486" s="65" t="s">
        <v>115</v>
      </c>
      <c r="D486" s="83" t="s">
        <v>595</v>
      </c>
      <c r="E486" s="65" t="e">
        <f t="shared" si="12"/>
        <v>#N/A</v>
      </c>
      <c r="F486" s="65" t="s">
        <v>193</v>
      </c>
      <c r="K486" s="81">
        <v>0.01</v>
      </c>
      <c r="L486" s="81">
        <v>1</v>
      </c>
    </row>
    <row r="487" s="65" customFormat="1" customHeight="1" spans="1:12">
      <c r="A487" s="77">
        <v>484</v>
      </c>
      <c r="B487" s="78" t="e">
        <f t="shared" si="11"/>
        <v>#N/A</v>
      </c>
      <c r="C487" s="65" t="s">
        <v>115</v>
      </c>
      <c r="D487" s="83" t="s">
        <v>596</v>
      </c>
      <c r="E487" s="65" t="e">
        <f t="shared" si="12"/>
        <v>#N/A</v>
      </c>
      <c r="F487" s="65" t="s">
        <v>193</v>
      </c>
      <c r="K487" s="81">
        <v>0.01</v>
      </c>
      <c r="L487" s="81">
        <v>1</v>
      </c>
    </row>
    <row r="488" s="65" customFormat="1" customHeight="1" spans="1:12">
      <c r="A488" s="77">
        <v>485</v>
      </c>
      <c r="B488" s="78" t="e">
        <f t="shared" si="11"/>
        <v>#N/A</v>
      </c>
      <c r="C488" s="65" t="s">
        <v>115</v>
      </c>
      <c r="D488" s="83" t="s">
        <v>597</v>
      </c>
      <c r="E488" s="65" t="e">
        <f t="shared" si="12"/>
        <v>#N/A</v>
      </c>
      <c r="F488" s="65" t="s">
        <v>193</v>
      </c>
      <c r="K488" s="81">
        <v>0.01</v>
      </c>
      <c r="L488" s="81">
        <v>1</v>
      </c>
    </row>
    <row r="489" s="65" customFormat="1" customHeight="1" spans="1:12">
      <c r="A489" s="77">
        <v>486</v>
      </c>
      <c r="B489" s="78" t="e">
        <f t="shared" si="11"/>
        <v>#N/A</v>
      </c>
      <c r="C489" s="65" t="s">
        <v>115</v>
      </c>
      <c r="D489" s="83" t="s">
        <v>598</v>
      </c>
      <c r="E489" s="65" t="e">
        <f t="shared" si="12"/>
        <v>#N/A</v>
      </c>
      <c r="F489" s="65" t="s">
        <v>193</v>
      </c>
      <c r="K489" s="81">
        <v>0.01</v>
      </c>
      <c r="L489" s="81">
        <v>1</v>
      </c>
    </row>
    <row r="490" s="65" customFormat="1" customHeight="1" spans="1:12">
      <c r="A490" s="77">
        <v>487</v>
      </c>
      <c r="B490" s="78" t="e">
        <f t="shared" si="11"/>
        <v>#N/A</v>
      </c>
      <c r="C490" s="65" t="s">
        <v>115</v>
      </c>
      <c r="D490" s="83" t="s">
        <v>599</v>
      </c>
      <c r="E490" s="65" t="e">
        <f t="shared" si="12"/>
        <v>#N/A</v>
      </c>
      <c r="F490" s="65" t="s">
        <v>193</v>
      </c>
      <c r="K490" s="81">
        <v>0.01</v>
      </c>
      <c r="L490" s="81">
        <v>1</v>
      </c>
    </row>
    <row r="491" s="65" customFormat="1" customHeight="1" spans="1:12">
      <c r="A491" s="77">
        <v>488</v>
      </c>
      <c r="B491" s="78" t="e">
        <f t="shared" si="11"/>
        <v>#N/A</v>
      </c>
      <c r="C491" s="65" t="s">
        <v>115</v>
      </c>
      <c r="D491" s="83" t="s">
        <v>600</v>
      </c>
      <c r="E491" s="65" t="e">
        <f t="shared" si="12"/>
        <v>#N/A</v>
      </c>
      <c r="F491" s="65" t="s">
        <v>193</v>
      </c>
      <c r="K491" s="81">
        <v>0.01</v>
      </c>
      <c r="L491" s="81">
        <v>1</v>
      </c>
    </row>
    <row r="492" s="65" customFormat="1" customHeight="1" spans="1:12">
      <c r="A492" s="77">
        <v>489</v>
      </c>
      <c r="B492" s="78" t="str">
        <f t="shared" si="11"/>
        <v>DilutionArtemisia Vulg</v>
      </c>
      <c r="C492" s="65" t="s">
        <v>115</v>
      </c>
      <c r="D492" s="83" t="s">
        <v>238</v>
      </c>
      <c r="E492" s="65" t="str">
        <f t="shared" si="12"/>
        <v>Artemisia Vulg</v>
      </c>
      <c r="F492" s="65" t="s">
        <v>193</v>
      </c>
      <c r="K492" s="81">
        <v>0.01</v>
      </c>
      <c r="L492" s="81">
        <v>1</v>
      </c>
    </row>
    <row r="493" s="65" customFormat="1" customHeight="1" spans="1:12">
      <c r="A493" s="77">
        <v>490</v>
      </c>
      <c r="B493" s="78" t="e">
        <f t="shared" si="11"/>
        <v>#N/A</v>
      </c>
      <c r="C493" s="65" t="s">
        <v>115</v>
      </c>
      <c r="D493" s="83" t="s">
        <v>601</v>
      </c>
      <c r="E493" s="65" t="e">
        <f t="shared" si="12"/>
        <v>#N/A</v>
      </c>
      <c r="F493" s="65" t="s">
        <v>193</v>
      </c>
      <c r="K493" s="81">
        <v>0.01</v>
      </c>
      <c r="L493" s="81">
        <v>1</v>
      </c>
    </row>
    <row r="494" s="65" customFormat="1" customHeight="1" spans="1:12">
      <c r="A494" s="77">
        <v>491</v>
      </c>
      <c r="B494" s="78" t="str">
        <f t="shared" si="11"/>
        <v>DilutionArum Triph.</v>
      </c>
      <c r="C494" s="65" t="s">
        <v>115</v>
      </c>
      <c r="D494" s="83" t="s">
        <v>239</v>
      </c>
      <c r="E494" s="65" t="str">
        <f t="shared" si="12"/>
        <v>Arum Triph.</v>
      </c>
      <c r="F494" s="65" t="s">
        <v>193</v>
      </c>
      <c r="K494" s="81">
        <v>0.01</v>
      </c>
      <c r="L494" s="81">
        <v>1</v>
      </c>
    </row>
    <row r="495" s="65" customFormat="1" customHeight="1" spans="1:12">
      <c r="A495" s="77">
        <v>492</v>
      </c>
      <c r="B495" s="78" t="str">
        <f t="shared" si="11"/>
        <v>DilutionArundo M.</v>
      </c>
      <c r="C495" s="65" t="s">
        <v>115</v>
      </c>
      <c r="D495" s="83" t="s">
        <v>240</v>
      </c>
      <c r="E495" s="65" t="str">
        <f t="shared" si="12"/>
        <v>Arundo M.</v>
      </c>
      <c r="F495" s="65" t="s">
        <v>193</v>
      </c>
      <c r="K495" s="81">
        <v>0.01</v>
      </c>
      <c r="L495" s="81">
        <v>1</v>
      </c>
    </row>
    <row r="496" s="65" customFormat="1" customHeight="1" spans="1:12">
      <c r="A496" s="77">
        <v>493</v>
      </c>
      <c r="B496" s="78" t="str">
        <f t="shared" si="11"/>
        <v>DilutionAsafoetida</v>
      </c>
      <c r="C496" s="65" t="s">
        <v>115</v>
      </c>
      <c r="D496" s="83" t="s">
        <v>241</v>
      </c>
      <c r="E496" s="65" t="str">
        <f t="shared" si="12"/>
        <v>Asafoetida</v>
      </c>
      <c r="F496" s="65" t="s">
        <v>193</v>
      </c>
      <c r="K496" s="81">
        <v>0.01</v>
      </c>
      <c r="L496" s="81">
        <v>1</v>
      </c>
    </row>
    <row r="497" s="65" customFormat="1" customHeight="1" spans="1:12">
      <c r="A497" s="77">
        <v>494</v>
      </c>
      <c r="B497" s="78" t="str">
        <f t="shared" si="11"/>
        <v>DilutionAsarum Europ.</v>
      </c>
      <c r="C497" s="65" t="s">
        <v>115</v>
      </c>
      <c r="D497" s="83" t="s">
        <v>242</v>
      </c>
      <c r="E497" s="65" t="str">
        <f t="shared" si="12"/>
        <v>Asarum Europ.</v>
      </c>
      <c r="F497" s="65" t="s">
        <v>193</v>
      </c>
      <c r="K497" s="81">
        <v>0.01</v>
      </c>
      <c r="L497" s="81">
        <v>1</v>
      </c>
    </row>
    <row r="498" s="65" customFormat="1" customHeight="1" spans="1:12">
      <c r="A498" s="77">
        <v>495</v>
      </c>
      <c r="B498" s="78" t="str">
        <f t="shared" si="11"/>
        <v>DilutionAsclep. Tub.</v>
      </c>
      <c r="C498" s="65" t="s">
        <v>115</v>
      </c>
      <c r="D498" s="83" t="s">
        <v>243</v>
      </c>
      <c r="E498" s="65" t="str">
        <f t="shared" si="12"/>
        <v>Asclep. Tub.</v>
      </c>
      <c r="F498" s="65" t="s">
        <v>193</v>
      </c>
      <c r="K498" s="81">
        <v>0.01</v>
      </c>
      <c r="L498" s="81">
        <v>1</v>
      </c>
    </row>
    <row r="499" s="65" customFormat="1" customHeight="1" spans="1:12">
      <c r="A499" s="77">
        <v>496</v>
      </c>
      <c r="B499" s="78" t="str">
        <f t="shared" si="11"/>
        <v>DilutionAshoka (Jan. Ashoka)</v>
      </c>
      <c r="C499" s="65" t="s">
        <v>115</v>
      </c>
      <c r="D499" s="83" t="s">
        <v>244</v>
      </c>
      <c r="E499" s="65" t="str">
        <f t="shared" si="12"/>
        <v>Ashoka (Jan. Ashoka)</v>
      </c>
      <c r="F499" s="65" t="s">
        <v>193</v>
      </c>
      <c r="K499" s="81">
        <v>0.01</v>
      </c>
      <c r="L499" s="81">
        <v>1</v>
      </c>
    </row>
    <row r="500" s="65" customFormat="1" customHeight="1" spans="1:12">
      <c r="A500" s="77">
        <v>497</v>
      </c>
      <c r="B500" s="78" t="str">
        <f t="shared" si="11"/>
        <v>DilutionAshwagandha (Withana S)</v>
      </c>
      <c r="C500" s="65" t="s">
        <v>115</v>
      </c>
      <c r="D500" s="83" t="s">
        <v>245</v>
      </c>
      <c r="E500" s="65" t="str">
        <f t="shared" si="12"/>
        <v>Ashwagandha (Withana S)</v>
      </c>
      <c r="F500" s="65" t="s">
        <v>193</v>
      </c>
      <c r="K500" s="81">
        <v>0.01</v>
      </c>
      <c r="L500" s="81">
        <v>1</v>
      </c>
    </row>
    <row r="501" s="65" customFormat="1" customHeight="1" spans="1:12">
      <c r="A501" s="77">
        <v>498</v>
      </c>
      <c r="B501" s="78" t="e">
        <f t="shared" si="11"/>
        <v>#N/A</v>
      </c>
      <c r="C501" s="65" t="s">
        <v>115</v>
      </c>
      <c r="D501" s="83" t="s">
        <v>602</v>
      </c>
      <c r="E501" s="65" t="e">
        <f t="shared" si="12"/>
        <v>#N/A</v>
      </c>
      <c r="F501" s="65" t="s">
        <v>193</v>
      </c>
      <c r="K501" s="81">
        <v>0.01</v>
      </c>
      <c r="L501" s="81">
        <v>1</v>
      </c>
    </row>
    <row r="502" s="65" customFormat="1" customHeight="1" spans="1:12">
      <c r="A502" s="77">
        <v>499</v>
      </c>
      <c r="B502" s="78" t="str">
        <f t="shared" si="11"/>
        <v>DilutionAspidosperma</v>
      </c>
      <c r="C502" s="65" t="s">
        <v>115</v>
      </c>
      <c r="D502" s="83" t="s">
        <v>247</v>
      </c>
      <c r="E502" s="65" t="str">
        <f t="shared" si="12"/>
        <v>Aspidosperma</v>
      </c>
      <c r="F502" s="65" t="s">
        <v>193</v>
      </c>
      <c r="K502" s="81">
        <v>0.01</v>
      </c>
      <c r="L502" s="81">
        <v>1</v>
      </c>
    </row>
    <row r="503" s="65" customFormat="1" customHeight="1" spans="1:12">
      <c r="A503" s="77">
        <v>500</v>
      </c>
      <c r="B503" s="78" t="e">
        <f t="shared" si="11"/>
        <v>#N/A</v>
      </c>
      <c r="C503" s="65" t="s">
        <v>115</v>
      </c>
      <c r="D503" s="83" t="s">
        <v>603</v>
      </c>
      <c r="E503" s="65" t="e">
        <f t="shared" si="12"/>
        <v>#N/A</v>
      </c>
      <c r="F503" s="65" t="s">
        <v>193</v>
      </c>
      <c r="K503" s="81">
        <v>0.01</v>
      </c>
      <c r="L503" s="81">
        <v>1</v>
      </c>
    </row>
    <row r="504" s="65" customFormat="1" customHeight="1" spans="1:12">
      <c r="A504" s="77">
        <v>501</v>
      </c>
      <c r="B504" s="78" t="str">
        <f t="shared" si="11"/>
        <v>DilutionAsterias Rub.</v>
      </c>
      <c r="C504" s="65" t="s">
        <v>115</v>
      </c>
      <c r="D504" s="83" t="s">
        <v>248</v>
      </c>
      <c r="E504" s="65" t="str">
        <f t="shared" si="12"/>
        <v>Asterias Rub.</v>
      </c>
      <c r="F504" s="65" t="s">
        <v>193</v>
      </c>
      <c r="K504" s="81">
        <v>0.01</v>
      </c>
      <c r="L504" s="81">
        <v>1</v>
      </c>
    </row>
    <row r="505" s="65" customFormat="1" customHeight="1" spans="1:12">
      <c r="A505" s="77">
        <v>502</v>
      </c>
      <c r="B505" s="78" t="e">
        <f t="shared" si="11"/>
        <v>#N/A</v>
      </c>
      <c r="C505" s="65" t="s">
        <v>115</v>
      </c>
      <c r="D505" s="83" t="s">
        <v>604</v>
      </c>
      <c r="E505" s="65" t="e">
        <f t="shared" si="12"/>
        <v>#N/A</v>
      </c>
      <c r="F505" s="65" t="s">
        <v>193</v>
      </c>
      <c r="K505" s="81">
        <v>0.01</v>
      </c>
      <c r="L505" s="81">
        <v>1</v>
      </c>
    </row>
    <row r="506" s="65" customFormat="1" customHeight="1" spans="1:12">
      <c r="A506" s="77">
        <v>503</v>
      </c>
      <c r="B506" s="78" t="str">
        <f t="shared" si="11"/>
        <v>DilutionAtista Ind.</v>
      </c>
      <c r="C506" s="65" t="s">
        <v>115</v>
      </c>
      <c r="D506" s="83" t="s">
        <v>249</v>
      </c>
      <c r="E506" s="65" t="str">
        <f t="shared" si="12"/>
        <v>Atista Ind.</v>
      </c>
      <c r="F506" s="65" t="s">
        <v>193</v>
      </c>
      <c r="K506" s="81">
        <v>0.01</v>
      </c>
      <c r="L506" s="81">
        <v>1</v>
      </c>
    </row>
    <row r="507" s="65" customFormat="1" customHeight="1" spans="1:12">
      <c r="A507" s="77">
        <v>504</v>
      </c>
      <c r="B507" s="78" t="str">
        <f t="shared" si="11"/>
        <v>DilutionAtista Radix</v>
      </c>
      <c r="C507" s="65" t="s">
        <v>115</v>
      </c>
      <c r="D507" s="83" t="s">
        <v>250</v>
      </c>
      <c r="E507" s="65" t="str">
        <f t="shared" si="12"/>
        <v>Atista Radix</v>
      </c>
      <c r="F507" s="65" t="s">
        <v>193</v>
      </c>
      <c r="K507" s="81">
        <v>0.01</v>
      </c>
      <c r="L507" s="81">
        <v>1</v>
      </c>
    </row>
    <row r="508" s="65" customFormat="1" customHeight="1" spans="1:12">
      <c r="A508" s="77">
        <v>505</v>
      </c>
      <c r="B508" s="78" t="e">
        <f t="shared" si="11"/>
        <v>#N/A</v>
      </c>
      <c r="C508" s="65" t="s">
        <v>115</v>
      </c>
      <c r="D508" s="83" t="s">
        <v>605</v>
      </c>
      <c r="E508" s="65" t="e">
        <f t="shared" si="12"/>
        <v>#N/A</v>
      </c>
      <c r="F508" s="65" t="s">
        <v>193</v>
      </c>
      <c r="K508" s="81">
        <v>0.01</v>
      </c>
      <c r="L508" s="81">
        <v>1</v>
      </c>
    </row>
    <row r="509" s="65" customFormat="1" customHeight="1" spans="1:12">
      <c r="A509" s="77">
        <v>506</v>
      </c>
      <c r="B509" s="78" t="e">
        <f t="shared" si="11"/>
        <v>#N/A</v>
      </c>
      <c r="C509" s="65" t="s">
        <v>115</v>
      </c>
      <c r="D509" s="83" t="s">
        <v>606</v>
      </c>
      <c r="E509" s="65" t="e">
        <f t="shared" si="12"/>
        <v>#N/A</v>
      </c>
      <c r="F509" s="65" t="s">
        <v>193</v>
      </c>
      <c r="K509" s="81">
        <v>0.01</v>
      </c>
      <c r="L509" s="81">
        <v>1</v>
      </c>
    </row>
    <row r="510" s="65" customFormat="1" customHeight="1" spans="1:12">
      <c r="A510" s="77">
        <v>507</v>
      </c>
      <c r="B510" s="78" t="e">
        <f t="shared" si="11"/>
        <v>#N/A</v>
      </c>
      <c r="C510" s="65" t="s">
        <v>115</v>
      </c>
      <c r="D510" s="83" t="s">
        <v>607</v>
      </c>
      <c r="E510" s="65" t="e">
        <f t="shared" si="12"/>
        <v>#N/A</v>
      </c>
      <c r="F510" s="65" t="s">
        <v>193</v>
      </c>
      <c r="K510" s="81">
        <v>0.01</v>
      </c>
      <c r="L510" s="81">
        <v>1</v>
      </c>
    </row>
    <row r="511" s="65" customFormat="1" customHeight="1" spans="1:12">
      <c r="A511" s="77">
        <v>508</v>
      </c>
      <c r="B511" s="78" t="e">
        <f t="shared" si="11"/>
        <v>#N/A</v>
      </c>
      <c r="C511" s="65" t="s">
        <v>115</v>
      </c>
      <c r="D511" s="83" t="s">
        <v>608</v>
      </c>
      <c r="E511" s="65" t="e">
        <f t="shared" si="12"/>
        <v>#N/A</v>
      </c>
      <c r="F511" s="65" t="s">
        <v>193</v>
      </c>
      <c r="K511" s="81">
        <v>0.01</v>
      </c>
      <c r="L511" s="81">
        <v>1</v>
      </c>
    </row>
    <row r="512" s="65" customFormat="1" customHeight="1" spans="1:12">
      <c r="A512" s="77">
        <v>509</v>
      </c>
      <c r="B512" s="78" t="e">
        <f t="shared" si="11"/>
        <v>#N/A</v>
      </c>
      <c r="C512" s="65" t="s">
        <v>115</v>
      </c>
      <c r="D512" s="83" t="s">
        <v>609</v>
      </c>
      <c r="E512" s="65" t="e">
        <f t="shared" si="12"/>
        <v>#N/A</v>
      </c>
      <c r="F512" s="65" t="s">
        <v>193</v>
      </c>
      <c r="K512" s="81">
        <v>0.01</v>
      </c>
      <c r="L512" s="81">
        <v>1</v>
      </c>
    </row>
    <row r="513" s="65" customFormat="1" customHeight="1" spans="1:12">
      <c r="A513" s="77">
        <v>510</v>
      </c>
      <c r="B513" s="78" t="e">
        <f t="shared" si="11"/>
        <v>#N/A</v>
      </c>
      <c r="C513" s="65" t="s">
        <v>115</v>
      </c>
      <c r="D513" s="83" t="s">
        <v>610</v>
      </c>
      <c r="E513" s="65" t="e">
        <f t="shared" si="12"/>
        <v>#N/A</v>
      </c>
      <c r="F513" s="65" t="s">
        <v>193</v>
      </c>
      <c r="K513" s="81">
        <v>0.01</v>
      </c>
      <c r="L513" s="81">
        <v>1</v>
      </c>
    </row>
    <row r="514" s="65" customFormat="1" customHeight="1" spans="1:12">
      <c r="A514" s="77">
        <v>511</v>
      </c>
      <c r="B514" s="78" t="e">
        <f t="shared" si="11"/>
        <v>#N/A</v>
      </c>
      <c r="C514" s="65" t="s">
        <v>115</v>
      </c>
      <c r="D514" s="83" t="s">
        <v>611</v>
      </c>
      <c r="E514" s="65" t="e">
        <f t="shared" si="12"/>
        <v>#N/A</v>
      </c>
      <c r="F514" s="65" t="s">
        <v>193</v>
      </c>
      <c r="K514" s="81">
        <v>0.01</v>
      </c>
      <c r="L514" s="81">
        <v>1</v>
      </c>
    </row>
    <row r="515" s="65" customFormat="1" customHeight="1" spans="1:12">
      <c r="A515" s="77">
        <v>512</v>
      </c>
      <c r="B515" s="78" t="e">
        <f t="shared" si="11"/>
        <v>#N/A</v>
      </c>
      <c r="C515" s="65" t="s">
        <v>115</v>
      </c>
      <c r="D515" s="83" t="s">
        <v>612</v>
      </c>
      <c r="E515" s="65" t="e">
        <f t="shared" si="12"/>
        <v>#N/A</v>
      </c>
      <c r="F515" s="65" t="s">
        <v>193</v>
      </c>
      <c r="K515" s="81">
        <v>0.01</v>
      </c>
      <c r="L515" s="81">
        <v>1</v>
      </c>
    </row>
    <row r="516" s="65" customFormat="1" customHeight="1" spans="1:12">
      <c r="A516" s="77">
        <v>513</v>
      </c>
      <c r="B516" s="78" t="str">
        <f t="shared" si="11"/>
        <v>DilutionAvena Sat.</v>
      </c>
      <c r="C516" s="65" t="s">
        <v>115</v>
      </c>
      <c r="D516" s="83" t="s">
        <v>251</v>
      </c>
      <c r="E516" s="65" t="str">
        <f t="shared" si="12"/>
        <v>Avena Sat.</v>
      </c>
      <c r="F516" s="65" t="s">
        <v>193</v>
      </c>
      <c r="K516" s="81">
        <v>0.01</v>
      </c>
      <c r="L516" s="81">
        <v>1</v>
      </c>
    </row>
    <row r="517" s="65" customFormat="1" customHeight="1" spans="1:12">
      <c r="A517" s="77">
        <v>514</v>
      </c>
      <c r="B517" s="78" t="e">
        <f t="shared" ref="B517:B580" si="13">+C517&amp;E517</f>
        <v>#N/A</v>
      </c>
      <c r="C517" s="65" t="s">
        <v>115</v>
      </c>
      <c r="D517" s="83" t="s">
        <v>613</v>
      </c>
      <c r="E517" s="65" t="e">
        <f t="shared" si="12"/>
        <v>#N/A</v>
      </c>
      <c r="F517" s="65" t="s">
        <v>193</v>
      </c>
      <c r="K517" s="81">
        <v>0.01</v>
      </c>
      <c r="L517" s="81">
        <v>1</v>
      </c>
    </row>
    <row r="518" s="65" customFormat="1" customHeight="1" spans="1:12">
      <c r="A518" s="77">
        <v>515</v>
      </c>
      <c r="B518" s="78" t="str">
        <f t="shared" si="13"/>
        <v>DilutionAzadirachta. Ind</v>
      </c>
      <c r="C518" s="65" t="s">
        <v>115</v>
      </c>
      <c r="D518" s="83" t="s">
        <v>252</v>
      </c>
      <c r="E518" s="65" t="str">
        <f t="shared" si="12"/>
        <v>Azadirachta. Ind</v>
      </c>
      <c r="F518" s="65" t="s">
        <v>193</v>
      </c>
      <c r="K518" s="81">
        <v>0.01</v>
      </c>
      <c r="L518" s="81">
        <v>1</v>
      </c>
    </row>
    <row r="519" s="65" customFormat="1" customHeight="1" spans="1:12">
      <c r="A519" s="77">
        <v>516</v>
      </c>
      <c r="B519" s="78" t="e">
        <f t="shared" si="13"/>
        <v>#N/A</v>
      </c>
      <c r="C519" s="65" t="s">
        <v>115</v>
      </c>
      <c r="D519" s="83" t="s">
        <v>614</v>
      </c>
      <c r="E519" s="65" t="e">
        <f t="shared" si="12"/>
        <v>#N/A</v>
      </c>
      <c r="F519" s="65" t="s">
        <v>193</v>
      </c>
      <c r="K519" s="81">
        <v>0.01</v>
      </c>
      <c r="L519" s="81">
        <v>1</v>
      </c>
    </row>
    <row r="520" s="65" customFormat="1" customHeight="1" spans="1:12">
      <c r="A520" s="77">
        <v>517</v>
      </c>
      <c r="B520" s="78" t="str">
        <f t="shared" si="13"/>
        <v>DilutionBacopa Moneiri (Brahmi)</v>
      </c>
      <c r="C520" s="65" t="s">
        <v>115</v>
      </c>
      <c r="D520" s="83" t="s">
        <v>253</v>
      </c>
      <c r="E520" s="65" t="str">
        <f t="shared" si="12"/>
        <v>Bacopa Moneiri (Brahmi)</v>
      </c>
      <c r="F520" s="65" t="s">
        <v>193</v>
      </c>
      <c r="K520" s="81">
        <v>0.01</v>
      </c>
      <c r="L520" s="81">
        <v>1</v>
      </c>
    </row>
    <row r="521" s="65" customFormat="1" customHeight="1" spans="1:12">
      <c r="A521" s="77">
        <v>518</v>
      </c>
      <c r="B521" s="78" t="str">
        <f t="shared" si="13"/>
        <v>DilutionBadiaga</v>
      </c>
      <c r="C521" s="65" t="s">
        <v>115</v>
      </c>
      <c r="D521" s="83" t="s">
        <v>254</v>
      </c>
      <c r="E521" s="65" t="str">
        <f t="shared" si="12"/>
        <v>Badiaga</v>
      </c>
      <c r="F521" s="65" t="s">
        <v>193</v>
      </c>
      <c r="K521" s="81">
        <v>0.01</v>
      </c>
      <c r="L521" s="81">
        <v>1</v>
      </c>
    </row>
    <row r="522" s="65" customFormat="1" customHeight="1" spans="1:12">
      <c r="A522" s="77">
        <v>519</v>
      </c>
      <c r="B522" s="78" t="str">
        <f t="shared" si="13"/>
        <v>DilutionBalsamum P</v>
      </c>
      <c r="C522" s="65" t="s">
        <v>115</v>
      </c>
      <c r="D522" s="83" t="s">
        <v>255</v>
      </c>
      <c r="E522" s="65" t="str">
        <f t="shared" si="12"/>
        <v>Balsamum P</v>
      </c>
      <c r="F522" s="65" t="s">
        <v>193</v>
      </c>
      <c r="K522" s="81">
        <v>0.01</v>
      </c>
      <c r="L522" s="81">
        <v>1</v>
      </c>
    </row>
    <row r="523" s="65" customFormat="1" customHeight="1" spans="1:12">
      <c r="A523" s="77">
        <v>520</v>
      </c>
      <c r="B523" s="78" t="str">
        <f t="shared" si="13"/>
        <v>DilutionBaptisia Tinct.</v>
      </c>
      <c r="C523" s="65" t="s">
        <v>115</v>
      </c>
      <c r="D523" s="83" t="s">
        <v>256</v>
      </c>
      <c r="E523" s="65" t="str">
        <f t="shared" si="12"/>
        <v>Baptisia Tinct.</v>
      </c>
      <c r="F523" s="65" t="s">
        <v>193</v>
      </c>
      <c r="K523" s="81">
        <v>0.01</v>
      </c>
      <c r="L523" s="81">
        <v>1</v>
      </c>
    </row>
    <row r="524" s="65" customFormat="1" customHeight="1" spans="1:12">
      <c r="A524" s="77">
        <v>521</v>
      </c>
      <c r="B524" s="78" t="e">
        <f t="shared" si="13"/>
        <v>#N/A</v>
      </c>
      <c r="C524" s="65" t="s">
        <v>115</v>
      </c>
      <c r="D524" s="83" t="s">
        <v>615</v>
      </c>
      <c r="E524" s="65" t="e">
        <f t="shared" si="12"/>
        <v>#N/A</v>
      </c>
      <c r="F524" s="65" t="s">
        <v>193</v>
      </c>
      <c r="K524" s="81">
        <v>0.01</v>
      </c>
      <c r="L524" s="81">
        <v>1</v>
      </c>
    </row>
    <row r="525" s="65" customFormat="1" customHeight="1" spans="1:12">
      <c r="A525" s="77">
        <v>522</v>
      </c>
      <c r="B525" s="78" t="e">
        <f t="shared" si="13"/>
        <v>#N/A</v>
      </c>
      <c r="C525" s="65" t="s">
        <v>115</v>
      </c>
      <c r="D525" s="83" t="s">
        <v>616</v>
      </c>
      <c r="E525" s="65" t="e">
        <f t="shared" si="12"/>
        <v>#N/A</v>
      </c>
      <c r="F525" s="65" t="s">
        <v>193</v>
      </c>
      <c r="K525" s="81">
        <v>0.01</v>
      </c>
      <c r="L525" s="81">
        <v>1</v>
      </c>
    </row>
    <row r="526" s="65" customFormat="1" customHeight="1" spans="1:12">
      <c r="A526" s="77">
        <v>523</v>
      </c>
      <c r="B526" s="78" t="e">
        <f t="shared" si="13"/>
        <v>#N/A</v>
      </c>
      <c r="C526" s="65" t="s">
        <v>115</v>
      </c>
      <c r="D526" s="83" t="s">
        <v>617</v>
      </c>
      <c r="E526" s="65" t="e">
        <f t="shared" ref="E526:E589" si="14">+VLOOKUP(D526,$D$4:$D$301,1,FALSE)</f>
        <v>#N/A</v>
      </c>
      <c r="F526" s="65" t="s">
        <v>193</v>
      </c>
      <c r="K526" s="81">
        <v>0.01</v>
      </c>
      <c r="L526" s="81">
        <v>1</v>
      </c>
    </row>
    <row r="527" s="65" customFormat="1" customHeight="1" spans="1:12">
      <c r="A527" s="77">
        <v>524</v>
      </c>
      <c r="B527" s="78" t="e">
        <f t="shared" si="13"/>
        <v>#N/A</v>
      </c>
      <c r="C527" s="65" t="s">
        <v>115</v>
      </c>
      <c r="D527" s="83" t="s">
        <v>618</v>
      </c>
      <c r="E527" s="65" t="e">
        <f t="shared" si="14"/>
        <v>#N/A</v>
      </c>
      <c r="F527" s="65" t="s">
        <v>193</v>
      </c>
      <c r="K527" s="81">
        <v>0.01</v>
      </c>
      <c r="L527" s="81">
        <v>1</v>
      </c>
    </row>
    <row r="528" s="65" customFormat="1" customHeight="1" spans="1:12">
      <c r="A528" s="77">
        <v>525</v>
      </c>
      <c r="B528" s="78" t="e">
        <f t="shared" si="13"/>
        <v>#N/A</v>
      </c>
      <c r="C528" s="65" t="s">
        <v>115</v>
      </c>
      <c r="D528" s="83" t="s">
        <v>619</v>
      </c>
      <c r="E528" s="65" t="e">
        <f t="shared" si="14"/>
        <v>#N/A</v>
      </c>
      <c r="F528" s="65" t="s">
        <v>193</v>
      </c>
      <c r="K528" s="81">
        <v>0.01</v>
      </c>
      <c r="L528" s="81">
        <v>1</v>
      </c>
    </row>
    <row r="529" s="65" customFormat="1" customHeight="1" spans="1:12">
      <c r="A529" s="77">
        <v>526</v>
      </c>
      <c r="B529" s="78" t="str">
        <f t="shared" si="13"/>
        <v>DilutionBelladonna</v>
      </c>
      <c r="C529" s="65" t="s">
        <v>115</v>
      </c>
      <c r="D529" s="83" t="s">
        <v>102</v>
      </c>
      <c r="E529" s="65" t="str">
        <f t="shared" si="14"/>
        <v>Belladonna</v>
      </c>
      <c r="F529" s="65" t="s">
        <v>193</v>
      </c>
      <c r="K529" s="81">
        <v>0.01</v>
      </c>
      <c r="L529" s="81">
        <v>1</v>
      </c>
    </row>
    <row r="530" s="65" customFormat="1" customHeight="1" spans="1:12">
      <c r="A530" s="77">
        <v>527</v>
      </c>
      <c r="B530" s="78" t="str">
        <f t="shared" si="13"/>
        <v>DilutionBellis Per.</v>
      </c>
      <c r="C530" s="65" t="s">
        <v>115</v>
      </c>
      <c r="D530" s="83" t="s">
        <v>257</v>
      </c>
      <c r="E530" s="65" t="str">
        <f t="shared" si="14"/>
        <v>Bellis Per.</v>
      </c>
      <c r="F530" s="65" t="s">
        <v>193</v>
      </c>
      <c r="K530" s="81">
        <v>0.01</v>
      </c>
      <c r="L530" s="81">
        <v>1</v>
      </c>
    </row>
    <row r="531" s="65" customFormat="1" customHeight="1" spans="1:12">
      <c r="A531" s="77">
        <v>528</v>
      </c>
      <c r="B531" s="78" t="e">
        <f t="shared" si="13"/>
        <v>#N/A</v>
      </c>
      <c r="C531" s="65" t="s">
        <v>115</v>
      </c>
      <c r="D531" s="83" t="s">
        <v>620</v>
      </c>
      <c r="E531" s="65" t="e">
        <f t="shared" si="14"/>
        <v>#N/A</v>
      </c>
      <c r="F531" s="65" t="s">
        <v>193</v>
      </c>
      <c r="K531" s="81">
        <v>0.01</v>
      </c>
      <c r="L531" s="81">
        <v>1</v>
      </c>
    </row>
    <row r="532" s="65" customFormat="1" customHeight="1" spans="1:12">
      <c r="A532" s="77">
        <v>529</v>
      </c>
      <c r="B532" s="78" t="e">
        <f t="shared" si="13"/>
        <v>#N/A</v>
      </c>
      <c r="C532" s="65" t="s">
        <v>115</v>
      </c>
      <c r="D532" s="83" t="s">
        <v>621</v>
      </c>
      <c r="E532" s="65" t="e">
        <f t="shared" si="14"/>
        <v>#N/A</v>
      </c>
      <c r="F532" s="65" t="s">
        <v>193</v>
      </c>
      <c r="K532" s="81">
        <v>0.01</v>
      </c>
      <c r="L532" s="81">
        <v>1</v>
      </c>
    </row>
    <row r="533" s="65" customFormat="1" customHeight="1" spans="1:12">
      <c r="A533" s="77">
        <v>530</v>
      </c>
      <c r="B533" s="78" t="e">
        <f t="shared" si="13"/>
        <v>#N/A</v>
      </c>
      <c r="C533" s="65" t="s">
        <v>115</v>
      </c>
      <c r="D533" s="83" t="s">
        <v>622</v>
      </c>
      <c r="E533" s="65" t="e">
        <f t="shared" si="14"/>
        <v>#N/A</v>
      </c>
      <c r="F533" s="65" t="s">
        <v>193</v>
      </c>
      <c r="K533" s="81">
        <v>0.01</v>
      </c>
      <c r="L533" s="81">
        <v>1</v>
      </c>
    </row>
    <row r="534" s="65" customFormat="1" customHeight="1" spans="1:12">
      <c r="A534" s="77">
        <v>531</v>
      </c>
      <c r="B534" s="78" t="str">
        <f t="shared" si="13"/>
        <v>DilutionBerb Vulg.</v>
      </c>
      <c r="C534" s="65" t="s">
        <v>115</v>
      </c>
      <c r="D534" s="83" t="s">
        <v>258</v>
      </c>
      <c r="E534" s="65" t="str">
        <f t="shared" si="14"/>
        <v>Berb Vulg.</v>
      </c>
      <c r="F534" s="65" t="s">
        <v>193</v>
      </c>
      <c r="K534" s="81">
        <v>0.01</v>
      </c>
      <c r="L534" s="81">
        <v>1</v>
      </c>
    </row>
    <row r="535" s="65" customFormat="1" customHeight="1" spans="1:12">
      <c r="A535" s="77">
        <v>532</v>
      </c>
      <c r="B535" s="78" t="str">
        <f t="shared" si="13"/>
        <v>DilutionBerb-Aqui.</v>
      </c>
      <c r="C535" s="65" t="s">
        <v>115</v>
      </c>
      <c r="D535" s="83" t="s">
        <v>259</v>
      </c>
      <c r="E535" s="65" t="str">
        <f t="shared" si="14"/>
        <v>Berb-Aqui.</v>
      </c>
      <c r="F535" s="65" t="s">
        <v>193</v>
      </c>
      <c r="K535" s="81">
        <v>0.01</v>
      </c>
      <c r="L535" s="81">
        <v>1</v>
      </c>
    </row>
    <row r="536" s="65" customFormat="1" customHeight="1" spans="1:12">
      <c r="A536" s="77">
        <v>533</v>
      </c>
      <c r="B536" s="78" t="e">
        <f t="shared" si="13"/>
        <v>#N/A</v>
      </c>
      <c r="C536" s="65" t="s">
        <v>115</v>
      </c>
      <c r="D536" s="83" t="s">
        <v>623</v>
      </c>
      <c r="E536" s="65" t="e">
        <f t="shared" si="14"/>
        <v>#N/A</v>
      </c>
      <c r="F536" s="65" t="s">
        <v>193</v>
      </c>
      <c r="K536" s="81">
        <v>0.01</v>
      </c>
      <c r="L536" s="81">
        <v>1</v>
      </c>
    </row>
    <row r="537" s="65" customFormat="1" customHeight="1" spans="1:12">
      <c r="A537" s="77">
        <v>534</v>
      </c>
      <c r="B537" s="78" t="e">
        <f t="shared" si="13"/>
        <v>#N/A</v>
      </c>
      <c r="C537" s="65" t="s">
        <v>115</v>
      </c>
      <c r="D537" s="83" t="s">
        <v>624</v>
      </c>
      <c r="E537" s="65" t="e">
        <f t="shared" si="14"/>
        <v>#N/A</v>
      </c>
      <c r="F537" s="65" t="s">
        <v>193</v>
      </c>
      <c r="K537" s="81">
        <v>0.01</v>
      </c>
      <c r="L537" s="81">
        <v>1</v>
      </c>
    </row>
    <row r="538" s="65" customFormat="1" customHeight="1" spans="1:12">
      <c r="A538" s="77">
        <v>535</v>
      </c>
      <c r="B538" s="78" t="e">
        <f t="shared" si="13"/>
        <v>#N/A</v>
      </c>
      <c r="C538" s="65" t="s">
        <v>115</v>
      </c>
      <c r="D538" s="83" t="s">
        <v>625</v>
      </c>
      <c r="E538" s="65" t="e">
        <f t="shared" si="14"/>
        <v>#N/A</v>
      </c>
      <c r="F538" s="65" t="s">
        <v>193</v>
      </c>
      <c r="K538" s="81">
        <v>0.01</v>
      </c>
      <c r="L538" s="81">
        <v>1</v>
      </c>
    </row>
    <row r="539" s="65" customFormat="1" customHeight="1" spans="1:12">
      <c r="A539" s="77">
        <v>536</v>
      </c>
      <c r="B539" s="78" t="str">
        <f t="shared" si="13"/>
        <v>DilutionBlatta Orient.</v>
      </c>
      <c r="C539" s="65" t="s">
        <v>115</v>
      </c>
      <c r="D539" s="83" t="s">
        <v>260</v>
      </c>
      <c r="E539" s="65" t="str">
        <f t="shared" si="14"/>
        <v>Blatta Orient.</v>
      </c>
      <c r="F539" s="65" t="s">
        <v>193</v>
      </c>
      <c r="K539" s="81">
        <v>0.01</v>
      </c>
      <c r="L539" s="81">
        <v>1</v>
      </c>
    </row>
    <row r="540" s="65" customFormat="1" customHeight="1" spans="1:12">
      <c r="A540" s="77">
        <v>537</v>
      </c>
      <c r="B540" s="78" t="str">
        <f t="shared" si="13"/>
        <v>DilutionBlumea Odo.</v>
      </c>
      <c r="C540" s="65" t="s">
        <v>115</v>
      </c>
      <c r="D540" s="83" t="s">
        <v>261</v>
      </c>
      <c r="E540" s="65" t="str">
        <f t="shared" si="14"/>
        <v>Blumea Odo.</v>
      </c>
      <c r="F540" s="65" t="s">
        <v>193</v>
      </c>
      <c r="K540" s="81">
        <v>0.01</v>
      </c>
      <c r="L540" s="81">
        <v>1</v>
      </c>
    </row>
    <row r="541" s="65" customFormat="1" customHeight="1" spans="1:12">
      <c r="A541" s="77">
        <v>538</v>
      </c>
      <c r="B541" s="78" t="str">
        <f t="shared" si="13"/>
        <v>DilutionBoerhaavia. Dif. (Punarnava)</v>
      </c>
      <c r="C541" s="65" t="s">
        <v>115</v>
      </c>
      <c r="D541" s="83" t="s">
        <v>262</v>
      </c>
      <c r="E541" s="65" t="str">
        <f t="shared" si="14"/>
        <v>Boerhaavia. Dif. (Punarnava)</v>
      </c>
      <c r="F541" s="65" t="s">
        <v>193</v>
      </c>
      <c r="K541" s="81">
        <v>0.01</v>
      </c>
      <c r="L541" s="81">
        <v>1</v>
      </c>
    </row>
    <row r="542" s="65" customFormat="1" customHeight="1" spans="1:12">
      <c r="A542" s="77">
        <v>539</v>
      </c>
      <c r="B542" s="78" t="e">
        <f t="shared" si="13"/>
        <v>#N/A</v>
      </c>
      <c r="C542" s="65" t="s">
        <v>115</v>
      </c>
      <c r="D542" s="83" t="s">
        <v>626</v>
      </c>
      <c r="E542" s="65" t="e">
        <f t="shared" si="14"/>
        <v>#N/A</v>
      </c>
      <c r="F542" s="65" t="s">
        <v>193</v>
      </c>
      <c r="K542" s="81">
        <v>0.01</v>
      </c>
      <c r="L542" s="81">
        <v>1</v>
      </c>
    </row>
    <row r="543" s="65" customFormat="1" customHeight="1" spans="1:12">
      <c r="A543" s="77">
        <v>540</v>
      </c>
      <c r="B543" s="78" t="e">
        <f t="shared" si="13"/>
        <v>#N/A</v>
      </c>
      <c r="C543" s="65" t="s">
        <v>115</v>
      </c>
      <c r="D543" s="83" t="s">
        <v>627</v>
      </c>
      <c r="E543" s="65" t="e">
        <f t="shared" si="14"/>
        <v>#N/A</v>
      </c>
      <c r="F543" s="65" t="s">
        <v>193</v>
      </c>
      <c r="K543" s="81">
        <v>0.01</v>
      </c>
      <c r="L543" s="81">
        <v>1</v>
      </c>
    </row>
    <row r="544" s="65" customFormat="1" customHeight="1" spans="1:12">
      <c r="A544" s="77">
        <v>541</v>
      </c>
      <c r="B544" s="78" t="e">
        <f t="shared" si="13"/>
        <v>#N/A</v>
      </c>
      <c r="C544" s="65" t="s">
        <v>115</v>
      </c>
      <c r="D544" s="83" t="s">
        <v>628</v>
      </c>
      <c r="E544" s="65" t="e">
        <f t="shared" si="14"/>
        <v>#N/A</v>
      </c>
      <c r="F544" s="65" t="s">
        <v>193</v>
      </c>
      <c r="K544" s="81">
        <v>0.01</v>
      </c>
      <c r="L544" s="81">
        <v>1</v>
      </c>
    </row>
    <row r="545" s="65" customFormat="1" customHeight="1" spans="1:12">
      <c r="A545" s="77">
        <v>542</v>
      </c>
      <c r="B545" s="78" t="e">
        <f t="shared" si="13"/>
        <v>#N/A</v>
      </c>
      <c r="C545" s="65" t="s">
        <v>115</v>
      </c>
      <c r="D545" s="83" t="s">
        <v>629</v>
      </c>
      <c r="E545" s="65" t="e">
        <f t="shared" si="14"/>
        <v>#N/A</v>
      </c>
      <c r="F545" s="65" t="s">
        <v>193</v>
      </c>
      <c r="K545" s="81">
        <v>0.01</v>
      </c>
      <c r="L545" s="81">
        <v>1</v>
      </c>
    </row>
    <row r="546" s="65" customFormat="1" customHeight="1" spans="1:12">
      <c r="A546" s="77">
        <v>543</v>
      </c>
      <c r="B546" s="78" t="e">
        <f t="shared" si="13"/>
        <v>#N/A</v>
      </c>
      <c r="C546" s="65" t="s">
        <v>115</v>
      </c>
      <c r="D546" s="83" t="s">
        <v>630</v>
      </c>
      <c r="E546" s="65" t="e">
        <f t="shared" si="14"/>
        <v>#N/A</v>
      </c>
      <c r="F546" s="65" t="s">
        <v>193</v>
      </c>
      <c r="K546" s="81">
        <v>0.01</v>
      </c>
      <c r="L546" s="81">
        <v>1</v>
      </c>
    </row>
    <row r="547" s="65" customFormat="1" customHeight="1" spans="1:12">
      <c r="A547" s="77">
        <v>544</v>
      </c>
      <c r="B547" s="78" t="e">
        <f t="shared" si="13"/>
        <v>#N/A</v>
      </c>
      <c r="C547" s="65" t="s">
        <v>115</v>
      </c>
      <c r="D547" s="83" t="s">
        <v>631</v>
      </c>
      <c r="E547" s="65" t="e">
        <f t="shared" si="14"/>
        <v>#N/A</v>
      </c>
      <c r="F547" s="65" t="s">
        <v>193</v>
      </c>
      <c r="K547" s="81">
        <v>0.01</v>
      </c>
      <c r="L547" s="81">
        <v>1</v>
      </c>
    </row>
    <row r="548" s="65" customFormat="1" customHeight="1" spans="1:12">
      <c r="A548" s="77">
        <v>545</v>
      </c>
      <c r="B548" s="78" t="e">
        <f t="shared" si="13"/>
        <v>#N/A</v>
      </c>
      <c r="C548" s="65" t="s">
        <v>115</v>
      </c>
      <c r="D548" s="83" t="s">
        <v>632</v>
      </c>
      <c r="E548" s="65" t="e">
        <f t="shared" si="14"/>
        <v>#N/A</v>
      </c>
      <c r="F548" s="65" t="s">
        <v>193</v>
      </c>
      <c r="K548" s="81">
        <v>0.01</v>
      </c>
      <c r="L548" s="81">
        <v>1</v>
      </c>
    </row>
    <row r="549" s="65" customFormat="1" customHeight="1" spans="1:12">
      <c r="A549" s="77">
        <v>546</v>
      </c>
      <c r="B549" s="78" t="e">
        <f t="shared" si="13"/>
        <v>#N/A</v>
      </c>
      <c r="C549" s="65" t="s">
        <v>115</v>
      </c>
      <c r="D549" s="83" t="s">
        <v>633</v>
      </c>
      <c r="E549" s="65" t="e">
        <f t="shared" si="14"/>
        <v>#N/A</v>
      </c>
      <c r="F549" s="65" t="s">
        <v>193</v>
      </c>
      <c r="K549" s="81">
        <v>0.01</v>
      </c>
      <c r="L549" s="81">
        <v>1</v>
      </c>
    </row>
    <row r="550" s="65" customFormat="1" customHeight="1" spans="1:12">
      <c r="A550" s="77">
        <v>547</v>
      </c>
      <c r="B550" s="78" t="str">
        <f t="shared" si="13"/>
        <v>DilutionCactus Grand.</v>
      </c>
      <c r="C550" s="65" t="s">
        <v>115</v>
      </c>
      <c r="D550" s="83" t="s">
        <v>264</v>
      </c>
      <c r="E550" s="65" t="str">
        <f t="shared" si="14"/>
        <v>Cactus Grand.</v>
      </c>
      <c r="F550" s="65" t="s">
        <v>193</v>
      </c>
      <c r="K550" s="81">
        <v>0.01</v>
      </c>
      <c r="L550" s="81">
        <v>1</v>
      </c>
    </row>
    <row r="551" s="65" customFormat="1" customHeight="1" spans="1:12">
      <c r="A551" s="77">
        <v>548</v>
      </c>
      <c r="B551" s="78" t="e">
        <f t="shared" si="13"/>
        <v>#N/A</v>
      </c>
      <c r="C551" s="65" t="s">
        <v>115</v>
      </c>
      <c r="D551" s="83" t="s">
        <v>634</v>
      </c>
      <c r="E551" s="65" t="e">
        <f t="shared" si="14"/>
        <v>#N/A</v>
      </c>
      <c r="F551" s="65" t="s">
        <v>193</v>
      </c>
      <c r="K551" s="81">
        <v>0.01</v>
      </c>
      <c r="L551" s="81">
        <v>1</v>
      </c>
    </row>
    <row r="552" s="65" customFormat="1" customHeight="1" spans="1:12">
      <c r="A552" s="77">
        <v>549</v>
      </c>
      <c r="B552" s="78" t="e">
        <f t="shared" si="13"/>
        <v>#N/A</v>
      </c>
      <c r="C552" s="65" t="s">
        <v>115</v>
      </c>
      <c r="D552" s="83" t="s">
        <v>635</v>
      </c>
      <c r="E552" s="65" t="e">
        <f t="shared" si="14"/>
        <v>#N/A</v>
      </c>
      <c r="F552" s="65" t="s">
        <v>193</v>
      </c>
      <c r="K552" s="81">
        <v>0.01</v>
      </c>
      <c r="L552" s="81">
        <v>1</v>
      </c>
    </row>
    <row r="553" s="65" customFormat="1" customHeight="1" spans="1:12">
      <c r="A553" s="77">
        <v>550</v>
      </c>
      <c r="B553" s="78" t="e">
        <f t="shared" si="13"/>
        <v>#N/A</v>
      </c>
      <c r="C553" s="65" t="s">
        <v>115</v>
      </c>
      <c r="D553" s="83" t="s">
        <v>636</v>
      </c>
      <c r="E553" s="65" t="e">
        <f t="shared" si="14"/>
        <v>#N/A</v>
      </c>
      <c r="F553" s="65" t="s">
        <v>193</v>
      </c>
      <c r="K553" s="81">
        <v>0.01</v>
      </c>
      <c r="L553" s="81">
        <v>1</v>
      </c>
    </row>
    <row r="554" s="65" customFormat="1" customHeight="1" spans="1:12">
      <c r="A554" s="77">
        <v>551</v>
      </c>
      <c r="B554" s="78" t="e">
        <f t="shared" si="13"/>
        <v>#N/A</v>
      </c>
      <c r="C554" s="65" t="s">
        <v>115</v>
      </c>
      <c r="D554" s="83" t="s">
        <v>637</v>
      </c>
      <c r="E554" s="65" t="e">
        <f t="shared" si="14"/>
        <v>#N/A</v>
      </c>
      <c r="F554" s="65" t="s">
        <v>193</v>
      </c>
      <c r="K554" s="81">
        <v>0.01</v>
      </c>
      <c r="L554" s="81">
        <v>1</v>
      </c>
    </row>
    <row r="555" s="65" customFormat="1" customHeight="1" spans="1:12">
      <c r="A555" s="77">
        <v>552</v>
      </c>
      <c r="B555" s="78" t="str">
        <f t="shared" si="13"/>
        <v>DilutionCaesalpinia</v>
      </c>
      <c r="C555" s="65" t="s">
        <v>115</v>
      </c>
      <c r="D555" s="83" t="s">
        <v>265</v>
      </c>
      <c r="E555" s="65" t="str">
        <f t="shared" si="14"/>
        <v>Caesalpinia</v>
      </c>
      <c r="F555" s="65" t="s">
        <v>193</v>
      </c>
      <c r="K555" s="81">
        <v>0.01</v>
      </c>
      <c r="L555" s="81">
        <v>1</v>
      </c>
    </row>
    <row r="556" s="65" customFormat="1" customHeight="1" spans="1:12">
      <c r="A556" s="77">
        <v>553</v>
      </c>
      <c r="B556" s="78" t="e">
        <f t="shared" si="13"/>
        <v>#N/A</v>
      </c>
      <c r="C556" s="65" t="s">
        <v>115</v>
      </c>
      <c r="D556" s="83" t="s">
        <v>638</v>
      </c>
      <c r="E556" s="65" t="e">
        <f t="shared" si="14"/>
        <v>#N/A</v>
      </c>
      <c r="F556" s="65" t="s">
        <v>193</v>
      </c>
      <c r="K556" s="81">
        <v>0.01</v>
      </c>
      <c r="L556" s="81">
        <v>1</v>
      </c>
    </row>
    <row r="557" s="65" customFormat="1" customHeight="1" spans="1:12">
      <c r="A557" s="77">
        <v>554</v>
      </c>
      <c r="B557" s="78" t="e">
        <f t="shared" si="13"/>
        <v>#N/A</v>
      </c>
      <c r="C557" s="65" t="s">
        <v>115</v>
      </c>
      <c r="D557" s="83" t="s">
        <v>639</v>
      </c>
      <c r="E557" s="65" t="e">
        <f t="shared" si="14"/>
        <v>#N/A</v>
      </c>
      <c r="F557" s="65" t="s">
        <v>193</v>
      </c>
      <c r="K557" s="81">
        <v>0.01</v>
      </c>
      <c r="L557" s="81">
        <v>1</v>
      </c>
    </row>
    <row r="558" s="65" customFormat="1" customHeight="1" spans="1:12">
      <c r="A558" s="77">
        <v>555</v>
      </c>
      <c r="B558" s="78" t="e">
        <f t="shared" si="13"/>
        <v>#N/A</v>
      </c>
      <c r="C558" s="65" t="s">
        <v>115</v>
      </c>
      <c r="D558" s="83" t="s">
        <v>640</v>
      </c>
      <c r="E558" s="65" t="e">
        <f t="shared" si="14"/>
        <v>#N/A</v>
      </c>
      <c r="F558" s="65" t="s">
        <v>193</v>
      </c>
      <c r="K558" s="81">
        <v>0.01</v>
      </c>
      <c r="L558" s="81">
        <v>1</v>
      </c>
    </row>
    <row r="559" s="65" customFormat="1" customHeight="1" spans="1:12">
      <c r="A559" s="77">
        <v>556</v>
      </c>
      <c r="B559" s="78" t="e">
        <f t="shared" si="13"/>
        <v>#N/A</v>
      </c>
      <c r="C559" s="65" t="s">
        <v>115</v>
      </c>
      <c r="D559" s="83" t="s">
        <v>641</v>
      </c>
      <c r="E559" s="65" t="e">
        <f t="shared" si="14"/>
        <v>#N/A</v>
      </c>
      <c r="F559" s="65" t="s">
        <v>193</v>
      </c>
      <c r="K559" s="81">
        <v>0.01</v>
      </c>
      <c r="L559" s="81">
        <v>1</v>
      </c>
    </row>
    <row r="560" s="65" customFormat="1" customHeight="1" spans="1:12">
      <c r="A560" s="77">
        <v>557</v>
      </c>
      <c r="B560" s="78" t="e">
        <f t="shared" si="13"/>
        <v>#N/A</v>
      </c>
      <c r="C560" s="65" t="s">
        <v>115</v>
      </c>
      <c r="D560" s="83" t="s">
        <v>642</v>
      </c>
      <c r="E560" s="65" t="e">
        <f t="shared" si="14"/>
        <v>#N/A</v>
      </c>
      <c r="F560" s="65" t="s">
        <v>193</v>
      </c>
      <c r="K560" s="81">
        <v>0.01</v>
      </c>
      <c r="L560" s="81">
        <v>1</v>
      </c>
    </row>
    <row r="561" s="65" customFormat="1" customHeight="1" spans="1:12">
      <c r="A561" s="77">
        <v>558</v>
      </c>
      <c r="B561" s="78" t="e">
        <f t="shared" si="13"/>
        <v>#N/A</v>
      </c>
      <c r="C561" s="65" t="s">
        <v>115</v>
      </c>
      <c r="D561" s="83" t="s">
        <v>643</v>
      </c>
      <c r="E561" s="65" t="e">
        <f t="shared" si="14"/>
        <v>#N/A</v>
      </c>
      <c r="F561" s="65" t="s">
        <v>193</v>
      </c>
      <c r="K561" s="81">
        <v>0.01</v>
      </c>
      <c r="L561" s="81">
        <v>1</v>
      </c>
    </row>
    <row r="562" s="65" customFormat="1" customHeight="1" spans="1:12">
      <c r="A562" s="77">
        <v>559</v>
      </c>
      <c r="B562" s="78" t="e">
        <f t="shared" si="13"/>
        <v>#N/A</v>
      </c>
      <c r="C562" s="65" t="s">
        <v>115</v>
      </c>
      <c r="D562" s="83" t="s">
        <v>644</v>
      </c>
      <c r="E562" s="65" t="e">
        <f t="shared" si="14"/>
        <v>#N/A</v>
      </c>
      <c r="F562" s="65" t="s">
        <v>193</v>
      </c>
      <c r="K562" s="81">
        <v>0.01</v>
      </c>
      <c r="L562" s="81">
        <v>1</v>
      </c>
    </row>
    <row r="563" s="65" customFormat="1" customHeight="1" spans="1:12">
      <c r="A563" s="77">
        <v>560</v>
      </c>
      <c r="B563" s="78" t="e">
        <f t="shared" si="13"/>
        <v>#N/A</v>
      </c>
      <c r="C563" s="65" t="s">
        <v>115</v>
      </c>
      <c r="D563" s="83" t="s">
        <v>645</v>
      </c>
      <c r="E563" s="65" t="e">
        <f t="shared" si="14"/>
        <v>#N/A</v>
      </c>
      <c r="F563" s="65" t="s">
        <v>193</v>
      </c>
      <c r="K563" s="81">
        <v>0.01</v>
      </c>
      <c r="L563" s="81">
        <v>1</v>
      </c>
    </row>
    <row r="564" s="65" customFormat="1" customHeight="1" spans="1:12">
      <c r="A564" s="77">
        <v>561</v>
      </c>
      <c r="B564" s="78" t="e">
        <f t="shared" si="13"/>
        <v>#N/A</v>
      </c>
      <c r="C564" s="65" t="s">
        <v>115</v>
      </c>
      <c r="D564" s="83" t="s">
        <v>646</v>
      </c>
      <c r="E564" s="65" t="e">
        <f t="shared" si="14"/>
        <v>#N/A</v>
      </c>
      <c r="F564" s="65" t="s">
        <v>193</v>
      </c>
      <c r="K564" s="81">
        <v>0.01</v>
      </c>
      <c r="L564" s="81">
        <v>1</v>
      </c>
    </row>
    <row r="565" s="65" customFormat="1" customHeight="1" spans="1:12">
      <c r="A565" s="77">
        <v>562</v>
      </c>
      <c r="B565" s="78" t="e">
        <f t="shared" si="13"/>
        <v>#N/A</v>
      </c>
      <c r="C565" s="65" t="s">
        <v>115</v>
      </c>
      <c r="D565" s="83" t="s">
        <v>647</v>
      </c>
      <c r="E565" s="65" t="e">
        <f t="shared" si="14"/>
        <v>#N/A</v>
      </c>
      <c r="F565" s="65" t="s">
        <v>193</v>
      </c>
      <c r="K565" s="81">
        <v>0.01</v>
      </c>
      <c r="L565" s="81">
        <v>1</v>
      </c>
    </row>
    <row r="566" s="65" customFormat="1" customHeight="1" spans="1:12">
      <c r="A566" s="77">
        <v>563</v>
      </c>
      <c r="B566" s="78" t="e">
        <f t="shared" si="13"/>
        <v>#N/A</v>
      </c>
      <c r="C566" s="65" t="s">
        <v>115</v>
      </c>
      <c r="D566" s="83" t="s">
        <v>648</v>
      </c>
      <c r="E566" s="65" t="e">
        <f t="shared" si="14"/>
        <v>#N/A</v>
      </c>
      <c r="F566" s="65" t="s">
        <v>193</v>
      </c>
      <c r="K566" s="81">
        <v>0.01</v>
      </c>
      <c r="L566" s="81">
        <v>1</v>
      </c>
    </row>
    <row r="567" s="65" customFormat="1" customHeight="1" spans="1:12">
      <c r="A567" s="77">
        <v>564</v>
      </c>
      <c r="B567" s="78" t="e">
        <f t="shared" si="13"/>
        <v>#N/A</v>
      </c>
      <c r="C567" s="65" t="s">
        <v>115</v>
      </c>
      <c r="D567" s="83" t="s">
        <v>649</v>
      </c>
      <c r="E567" s="65" t="e">
        <f t="shared" si="14"/>
        <v>#N/A</v>
      </c>
      <c r="F567" s="65" t="s">
        <v>193</v>
      </c>
      <c r="K567" s="81">
        <v>0.01</v>
      </c>
      <c r="L567" s="81">
        <v>1</v>
      </c>
    </row>
    <row r="568" s="65" customFormat="1" customHeight="1" spans="1:12">
      <c r="A568" s="77">
        <v>565</v>
      </c>
      <c r="B568" s="78" t="e">
        <f t="shared" si="13"/>
        <v>#N/A</v>
      </c>
      <c r="C568" s="65" t="s">
        <v>115</v>
      </c>
      <c r="D568" s="83" t="s">
        <v>650</v>
      </c>
      <c r="E568" s="65" t="e">
        <f t="shared" si="14"/>
        <v>#N/A</v>
      </c>
      <c r="F568" s="65" t="s">
        <v>193</v>
      </c>
      <c r="K568" s="81">
        <v>0.01</v>
      </c>
      <c r="L568" s="81">
        <v>1</v>
      </c>
    </row>
    <row r="569" s="65" customFormat="1" customHeight="1" spans="1:12">
      <c r="A569" s="77">
        <v>566</v>
      </c>
      <c r="B569" s="78" t="e">
        <f t="shared" si="13"/>
        <v>#N/A</v>
      </c>
      <c r="C569" s="65" t="s">
        <v>115</v>
      </c>
      <c r="D569" s="83" t="s">
        <v>651</v>
      </c>
      <c r="E569" s="65" t="e">
        <f t="shared" si="14"/>
        <v>#N/A</v>
      </c>
      <c r="F569" s="65" t="s">
        <v>193</v>
      </c>
      <c r="K569" s="81">
        <v>0.01</v>
      </c>
      <c r="L569" s="81">
        <v>1</v>
      </c>
    </row>
    <row r="570" s="65" customFormat="1" customHeight="1" spans="1:12">
      <c r="A570" s="77">
        <v>567</v>
      </c>
      <c r="B570" s="78" t="e">
        <f t="shared" si="13"/>
        <v>#N/A</v>
      </c>
      <c r="C570" s="65" t="s">
        <v>115</v>
      </c>
      <c r="D570" s="83" t="s">
        <v>652</v>
      </c>
      <c r="E570" s="65" t="e">
        <f t="shared" si="14"/>
        <v>#N/A</v>
      </c>
      <c r="F570" s="65" t="s">
        <v>193</v>
      </c>
      <c r="K570" s="81">
        <v>0.01</v>
      </c>
      <c r="L570" s="81">
        <v>1</v>
      </c>
    </row>
    <row r="571" s="65" customFormat="1" customHeight="1" spans="1:12">
      <c r="A571" s="77">
        <v>568</v>
      </c>
      <c r="B571" s="78" t="e">
        <f t="shared" si="13"/>
        <v>#N/A</v>
      </c>
      <c r="C571" s="65" t="s">
        <v>115</v>
      </c>
      <c r="D571" s="83" t="s">
        <v>653</v>
      </c>
      <c r="E571" s="65" t="e">
        <f t="shared" si="14"/>
        <v>#N/A</v>
      </c>
      <c r="F571" s="65" t="s">
        <v>193</v>
      </c>
      <c r="K571" s="81">
        <v>0.01</v>
      </c>
      <c r="L571" s="81">
        <v>1</v>
      </c>
    </row>
    <row r="572" s="65" customFormat="1" customHeight="1" spans="1:12">
      <c r="A572" s="77">
        <v>569</v>
      </c>
      <c r="B572" s="78" t="str">
        <f t="shared" si="13"/>
        <v>DilutionCalendula Off.</v>
      </c>
      <c r="C572" s="65" t="s">
        <v>115</v>
      </c>
      <c r="D572" s="83" t="s">
        <v>266</v>
      </c>
      <c r="E572" s="65" t="str">
        <f t="shared" si="14"/>
        <v>Calendula Off.</v>
      </c>
      <c r="F572" s="65" t="s">
        <v>193</v>
      </c>
      <c r="K572" s="81">
        <v>0.01</v>
      </c>
      <c r="L572" s="81">
        <v>1</v>
      </c>
    </row>
    <row r="573" s="65" customFormat="1" customHeight="1" spans="1:12">
      <c r="A573" s="77">
        <v>570</v>
      </c>
      <c r="B573" s="78" t="str">
        <f t="shared" si="13"/>
        <v>DilutionCalotropis Gig.</v>
      </c>
      <c r="C573" s="65" t="s">
        <v>115</v>
      </c>
      <c r="D573" s="83" t="s">
        <v>267</v>
      </c>
      <c r="E573" s="65" t="str">
        <f t="shared" si="14"/>
        <v>Calotropis Gig.</v>
      </c>
      <c r="F573" s="65" t="s">
        <v>193</v>
      </c>
      <c r="K573" s="81">
        <v>0.01</v>
      </c>
      <c r="L573" s="81">
        <v>1</v>
      </c>
    </row>
    <row r="574" s="65" customFormat="1" customHeight="1" spans="1:12">
      <c r="A574" s="77">
        <v>571</v>
      </c>
      <c r="B574" s="78" t="e">
        <f t="shared" si="13"/>
        <v>#N/A</v>
      </c>
      <c r="C574" s="65" t="s">
        <v>115</v>
      </c>
      <c r="D574" s="83" t="s">
        <v>654</v>
      </c>
      <c r="E574" s="65" t="e">
        <f t="shared" si="14"/>
        <v>#N/A</v>
      </c>
      <c r="F574" s="65" t="s">
        <v>193</v>
      </c>
      <c r="K574" s="81">
        <v>0.01</v>
      </c>
      <c r="L574" s="81">
        <v>1</v>
      </c>
    </row>
    <row r="575" s="65" customFormat="1" customHeight="1" spans="1:12">
      <c r="A575" s="77">
        <v>572</v>
      </c>
      <c r="B575" s="78" t="e">
        <f t="shared" si="13"/>
        <v>#N/A</v>
      </c>
      <c r="C575" s="65" t="s">
        <v>115</v>
      </c>
      <c r="D575" s="83" t="s">
        <v>655</v>
      </c>
      <c r="E575" s="65" t="e">
        <f t="shared" si="14"/>
        <v>#N/A</v>
      </c>
      <c r="F575" s="65" t="s">
        <v>193</v>
      </c>
      <c r="K575" s="81">
        <v>0.01</v>
      </c>
      <c r="L575" s="81">
        <v>1</v>
      </c>
    </row>
    <row r="576" s="65" customFormat="1" customHeight="1" spans="1:12">
      <c r="A576" s="77">
        <v>573</v>
      </c>
      <c r="B576" s="78" t="str">
        <f t="shared" si="13"/>
        <v>DilutionCamphora Off.</v>
      </c>
      <c r="C576" s="65" t="s">
        <v>115</v>
      </c>
      <c r="D576" s="83" t="s">
        <v>268</v>
      </c>
      <c r="E576" s="65" t="str">
        <f t="shared" si="14"/>
        <v>Camphora Off.</v>
      </c>
      <c r="F576" s="65" t="s">
        <v>193</v>
      </c>
      <c r="K576" s="81">
        <v>0.01</v>
      </c>
      <c r="L576" s="81">
        <v>1</v>
      </c>
    </row>
    <row r="577" s="65" customFormat="1" customHeight="1" spans="1:12">
      <c r="A577" s="77">
        <v>574</v>
      </c>
      <c r="B577" s="78" t="e">
        <f t="shared" si="13"/>
        <v>#N/A</v>
      </c>
      <c r="C577" s="65" t="s">
        <v>115</v>
      </c>
      <c r="D577" s="83" t="s">
        <v>656</v>
      </c>
      <c r="E577" s="65" t="e">
        <f t="shared" si="14"/>
        <v>#N/A</v>
      </c>
      <c r="F577" s="65" t="s">
        <v>193</v>
      </c>
      <c r="K577" s="81">
        <v>0.01</v>
      </c>
      <c r="L577" s="81">
        <v>1</v>
      </c>
    </row>
    <row r="578" s="65" customFormat="1" customHeight="1" spans="1:12">
      <c r="A578" s="77">
        <v>575</v>
      </c>
      <c r="B578" s="78" t="e">
        <f t="shared" si="13"/>
        <v>#N/A</v>
      </c>
      <c r="C578" s="65" t="s">
        <v>115</v>
      </c>
      <c r="D578" s="83" t="s">
        <v>657</v>
      </c>
      <c r="E578" s="65" t="e">
        <f t="shared" si="14"/>
        <v>#N/A</v>
      </c>
      <c r="F578" s="65" t="s">
        <v>193</v>
      </c>
      <c r="K578" s="81">
        <v>0.01</v>
      </c>
      <c r="L578" s="81">
        <v>1</v>
      </c>
    </row>
    <row r="579" s="65" customFormat="1" customHeight="1" spans="1:12">
      <c r="A579" s="77">
        <v>576</v>
      </c>
      <c r="B579" s="78" t="str">
        <f t="shared" si="13"/>
        <v>DilutionCantharis</v>
      </c>
      <c r="C579" s="65" t="s">
        <v>115</v>
      </c>
      <c r="D579" s="83" t="s">
        <v>269</v>
      </c>
      <c r="E579" s="65" t="str">
        <f t="shared" si="14"/>
        <v>Cantharis</v>
      </c>
      <c r="F579" s="65" t="s">
        <v>193</v>
      </c>
      <c r="K579" s="81">
        <v>0.01</v>
      </c>
      <c r="L579" s="81">
        <v>1</v>
      </c>
    </row>
    <row r="580" s="65" customFormat="1" customHeight="1" spans="1:12">
      <c r="A580" s="77">
        <v>577</v>
      </c>
      <c r="B580" s="78" t="str">
        <f t="shared" si="13"/>
        <v>DilutionCapsicum</v>
      </c>
      <c r="C580" s="65" t="s">
        <v>115</v>
      </c>
      <c r="D580" s="83" t="s">
        <v>270</v>
      </c>
      <c r="E580" s="65" t="str">
        <f t="shared" si="14"/>
        <v>Capsicum</v>
      </c>
      <c r="F580" s="65" t="s">
        <v>193</v>
      </c>
      <c r="K580" s="81">
        <v>0.01</v>
      </c>
      <c r="L580" s="81">
        <v>1</v>
      </c>
    </row>
    <row r="581" s="65" customFormat="1" customHeight="1" spans="1:12">
      <c r="A581" s="77">
        <v>578</v>
      </c>
      <c r="B581" s="78" t="e">
        <f t="shared" ref="B581:B644" si="15">+C581&amp;E581</f>
        <v>#N/A</v>
      </c>
      <c r="C581" s="65" t="s">
        <v>115</v>
      </c>
      <c r="D581" s="83" t="s">
        <v>658</v>
      </c>
      <c r="E581" s="65" t="e">
        <f t="shared" si="14"/>
        <v>#N/A</v>
      </c>
      <c r="F581" s="65" t="s">
        <v>193</v>
      </c>
      <c r="K581" s="81">
        <v>0.01</v>
      </c>
      <c r="L581" s="81">
        <v>1</v>
      </c>
    </row>
    <row r="582" s="65" customFormat="1" customHeight="1" spans="1:12">
      <c r="A582" s="77">
        <v>579</v>
      </c>
      <c r="B582" s="78" t="e">
        <f t="shared" si="15"/>
        <v>#N/A</v>
      </c>
      <c r="C582" s="65" t="s">
        <v>115</v>
      </c>
      <c r="D582" s="83" t="s">
        <v>659</v>
      </c>
      <c r="E582" s="65" t="e">
        <f t="shared" si="14"/>
        <v>#N/A</v>
      </c>
      <c r="F582" s="65" t="s">
        <v>193</v>
      </c>
      <c r="K582" s="81">
        <v>0.01</v>
      </c>
      <c r="L582" s="81">
        <v>1</v>
      </c>
    </row>
    <row r="583" s="65" customFormat="1" customHeight="1" spans="1:12">
      <c r="A583" s="77">
        <v>580</v>
      </c>
      <c r="B583" s="78" t="e">
        <f t="shared" si="15"/>
        <v>#N/A</v>
      </c>
      <c r="C583" s="65" t="s">
        <v>115</v>
      </c>
      <c r="D583" s="83" t="s">
        <v>660</v>
      </c>
      <c r="E583" s="65" t="e">
        <f t="shared" si="14"/>
        <v>#N/A</v>
      </c>
      <c r="F583" s="65" t="s">
        <v>193</v>
      </c>
      <c r="K583" s="81">
        <v>0.01</v>
      </c>
      <c r="L583" s="81">
        <v>1</v>
      </c>
    </row>
    <row r="584" s="65" customFormat="1" customHeight="1" spans="1:12">
      <c r="A584" s="77">
        <v>581</v>
      </c>
      <c r="B584" s="78" t="e">
        <f t="shared" si="15"/>
        <v>#N/A</v>
      </c>
      <c r="C584" s="65" t="s">
        <v>115</v>
      </c>
      <c r="D584" s="83" t="s">
        <v>661</v>
      </c>
      <c r="E584" s="65" t="e">
        <f t="shared" si="14"/>
        <v>#N/A</v>
      </c>
      <c r="F584" s="65" t="s">
        <v>193</v>
      </c>
      <c r="K584" s="81">
        <v>0.01</v>
      </c>
      <c r="L584" s="81">
        <v>1</v>
      </c>
    </row>
    <row r="585" s="65" customFormat="1" customHeight="1" spans="1:12">
      <c r="A585" s="77">
        <v>582</v>
      </c>
      <c r="B585" s="78" t="e">
        <f t="shared" si="15"/>
        <v>#N/A</v>
      </c>
      <c r="C585" s="65" t="s">
        <v>115</v>
      </c>
      <c r="D585" s="83" t="s">
        <v>662</v>
      </c>
      <c r="E585" s="65" t="e">
        <f t="shared" si="14"/>
        <v>#N/A</v>
      </c>
      <c r="F585" s="65" t="s">
        <v>193</v>
      </c>
      <c r="K585" s="81">
        <v>0.01</v>
      </c>
      <c r="L585" s="81">
        <v>1</v>
      </c>
    </row>
    <row r="586" s="65" customFormat="1" customHeight="1" spans="1:12">
      <c r="A586" s="77">
        <v>583</v>
      </c>
      <c r="B586" s="78" t="str">
        <f t="shared" si="15"/>
        <v>DilutionCarduus Mar.</v>
      </c>
      <c r="C586" s="65" t="s">
        <v>115</v>
      </c>
      <c r="D586" s="83" t="s">
        <v>271</v>
      </c>
      <c r="E586" s="65" t="str">
        <f t="shared" si="14"/>
        <v>Carduus Mar.</v>
      </c>
      <c r="F586" s="65" t="s">
        <v>193</v>
      </c>
      <c r="K586" s="81">
        <v>0.01</v>
      </c>
      <c r="L586" s="81">
        <v>1</v>
      </c>
    </row>
    <row r="587" s="65" customFormat="1" customHeight="1" spans="1:12">
      <c r="A587" s="77">
        <v>584</v>
      </c>
      <c r="B587" s="78" t="str">
        <f t="shared" si="15"/>
        <v>DilutionCarica Papaya</v>
      </c>
      <c r="C587" s="65" t="s">
        <v>115</v>
      </c>
      <c r="D587" s="83" t="s">
        <v>272</v>
      </c>
      <c r="E587" s="65" t="str">
        <f t="shared" si="14"/>
        <v>Carica Papaya</v>
      </c>
      <c r="F587" s="65" t="s">
        <v>193</v>
      </c>
      <c r="K587" s="81">
        <v>0.01</v>
      </c>
      <c r="L587" s="81">
        <v>1</v>
      </c>
    </row>
    <row r="588" s="65" customFormat="1" customHeight="1" spans="1:12">
      <c r="A588" s="77">
        <v>585</v>
      </c>
      <c r="B588" s="78" t="e">
        <f t="shared" si="15"/>
        <v>#N/A</v>
      </c>
      <c r="C588" s="65" t="s">
        <v>115</v>
      </c>
      <c r="D588" s="83" t="s">
        <v>663</v>
      </c>
      <c r="E588" s="65" t="e">
        <f t="shared" si="14"/>
        <v>#N/A</v>
      </c>
      <c r="F588" s="65" t="s">
        <v>193</v>
      </c>
      <c r="K588" s="81">
        <v>0.01</v>
      </c>
      <c r="L588" s="81">
        <v>1</v>
      </c>
    </row>
    <row r="589" s="65" customFormat="1" customHeight="1" spans="1:12">
      <c r="A589" s="77">
        <v>586</v>
      </c>
      <c r="B589" s="78" t="str">
        <f t="shared" si="15"/>
        <v>DilutionCascarilla</v>
      </c>
      <c r="C589" s="65" t="s">
        <v>115</v>
      </c>
      <c r="D589" s="83" t="s">
        <v>273</v>
      </c>
      <c r="E589" s="65" t="str">
        <f t="shared" si="14"/>
        <v>Cascarilla</v>
      </c>
      <c r="F589" s="65" t="s">
        <v>193</v>
      </c>
      <c r="K589" s="81">
        <v>0.01</v>
      </c>
      <c r="L589" s="81">
        <v>1</v>
      </c>
    </row>
    <row r="590" s="65" customFormat="1" customHeight="1" spans="1:12">
      <c r="A590" s="77">
        <v>587</v>
      </c>
      <c r="B590" s="78" t="str">
        <f t="shared" si="15"/>
        <v>DilutionCassia Soph.</v>
      </c>
      <c r="C590" s="65" t="s">
        <v>115</v>
      </c>
      <c r="D590" s="83" t="s">
        <v>274</v>
      </c>
      <c r="E590" s="65" t="str">
        <f t="shared" ref="E590:E653" si="16">+VLOOKUP(D590,$D$4:$D$301,1,FALSE)</f>
        <v>Cassia Soph.</v>
      </c>
      <c r="F590" s="65" t="s">
        <v>193</v>
      </c>
      <c r="K590" s="81">
        <v>0.01</v>
      </c>
      <c r="L590" s="81">
        <v>1</v>
      </c>
    </row>
    <row r="591" s="65" customFormat="1" customHeight="1" spans="1:12">
      <c r="A591" s="77">
        <v>588</v>
      </c>
      <c r="B591" s="78" t="str">
        <f t="shared" si="15"/>
        <v>DilutionCastella Tex (Chaparro A)</v>
      </c>
      <c r="C591" s="65" t="s">
        <v>115</v>
      </c>
      <c r="D591" s="83" t="s">
        <v>275</v>
      </c>
      <c r="E591" s="65" t="str">
        <f t="shared" si="16"/>
        <v>Castella Tex (Chaparro A)</v>
      </c>
      <c r="F591" s="65" t="s">
        <v>193</v>
      </c>
      <c r="K591" s="81">
        <v>0.01</v>
      </c>
      <c r="L591" s="81">
        <v>1</v>
      </c>
    </row>
    <row r="592" s="65" customFormat="1" customHeight="1" spans="1:12">
      <c r="A592" s="77">
        <v>589</v>
      </c>
      <c r="B592" s="78" t="e">
        <f t="shared" si="15"/>
        <v>#N/A</v>
      </c>
      <c r="C592" s="65" t="s">
        <v>115</v>
      </c>
      <c r="D592" s="83" t="s">
        <v>664</v>
      </c>
      <c r="E592" s="65" t="e">
        <f t="shared" si="16"/>
        <v>#N/A</v>
      </c>
      <c r="F592" s="65" t="s">
        <v>193</v>
      </c>
      <c r="K592" s="81">
        <v>0.01</v>
      </c>
      <c r="L592" s="81">
        <v>1</v>
      </c>
    </row>
    <row r="593" s="65" customFormat="1" customHeight="1" spans="1:12">
      <c r="A593" s="77">
        <v>590</v>
      </c>
      <c r="B593" s="78" t="e">
        <f t="shared" si="15"/>
        <v>#N/A</v>
      </c>
      <c r="C593" s="65" t="s">
        <v>115</v>
      </c>
      <c r="D593" s="83" t="s">
        <v>665</v>
      </c>
      <c r="E593" s="65" t="e">
        <f t="shared" si="16"/>
        <v>#N/A</v>
      </c>
      <c r="F593" s="65" t="s">
        <v>193</v>
      </c>
      <c r="K593" s="81">
        <v>0.01</v>
      </c>
      <c r="L593" s="81">
        <v>1</v>
      </c>
    </row>
    <row r="594" s="65" customFormat="1" customHeight="1" spans="1:12">
      <c r="A594" s="77">
        <v>591</v>
      </c>
      <c r="B594" s="78" t="str">
        <f t="shared" si="15"/>
        <v>DilutionCaulophylum</v>
      </c>
      <c r="C594" s="65" t="s">
        <v>115</v>
      </c>
      <c r="D594" s="88" t="s">
        <v>277</v>
      </c>
      <c r="E594" s="65" t="str">
        <f t="shared" si="16"/>
        <v>Caulophylum</v>
      </c>
      <c r="F594" s="65" t="s">
        <v>193</v>
      </c>
      <c r="K594" s="81">
        <v>0.01</v>
      </c>
      <c r="L594" s="81">
        <v>1</v>
      </c>
    </row>
    <row r="595" s="65" customFormat="1" customHeight="1" spans="1:12">
      <c r="A595" s="77">
        <v>592</v>
      </c>
      <c r="B595" s="78" t="e">
        <f t="shared" si="15"/>
        <v>#N/A</v>
      </c>
      <c r="C595" s="65" t="s">
        <v>115</v>
      </c>
      <c r="D595" s="88" t="s">
        <v>666</v>
      </c>
      <c r="E595" s="65" t="e">
        <f t="shared" si="16"/>
        <v>#N/A</v>
      </c>
      <c r="F595" s="65" t="s">
        <v>193</v>
      </c>
      <c r="K595" s="81">
        <v>0.01</v>
      </c>
      <c r="L595" s="81">
        <v>1</v>
      </c>
    </row>
    <row r="596" s="65" customFormat="1" customHeight="1" spans="1:12">
      <c r="A596" s="77">
        <v>593</v>
      </c>
      <c r="B596" s="78" t="str">
        <f t="shared" si="15"/>
        <v>DilutionCeanothus Amer.</v>
      </c>
      <c r="C596" s="65" t="s">
        <v>115</v>
      </c>
      <c r="D596" s="88" t="s">
        <v>278</v>
      </c>
      <c r="E596" s="65" t="str">
        <f t="shared" si="16"/>
        <v>Ceanothus Amer.</v>
      </c>
      <c r="F596" s="65" t="s">
        <v>193</v>
      </c>
      <c r="K596" s="81">
        <v>0.01</v>
      </c>
      <c r="L596" s="81">
        <v>1</v>
      </c>
    </row>
    <row r="597" s="65" customFormat="1" customHeight="1" spans="1:12">
      <c r="A597" s="77">
        <v>594</v>
      </c>
      <c r="B597" s="78" t="str">
        <f t="shared" si="15"/>
        <v>DilutionCedron.</v>
      </c>
      <c r="C597" s="65" t="s">
        <v>115</v>
      </c>
      <c r="D597" s="88" t="s">
        <v>279</v>
      </c>
      <c r="E597" s="65" t="str">
        <f t="shared" si="16"/>
        <v>Cedron.</v>
      </c>
      <c r="F597" s="65" t="s">
        <v>193</v>
      </c>
      <c r="K597" s="81">
        <v>0.01</v>
      </c>
      <c r="L597" s="81">
        <v>1</v>
      </c>
    </row>
    <row r="598" s="65" customFormat="1" customHeight="1" spans="1:12">
      <c r="A598" s="77">
        <v>595</v>
      </c>
      <c r="B598" s="78" t="e">
        <f t="shared" si="15"/>
        <v>#N/A</v>
      </c>
      <c r="C598" s="65" t="s">
        <v>115</v>
      </c>
      <c r="D598" s="88" t="s">
        <v>667</v>
      </c>
      <c r="E598" s="65" t="e">
        <f t="shared" si="16"/>
        <v>#N/A</v>
      </c>
      <c r="F598" s="65" t="s">
        <v>193</v>
      </c>
      <c r="K598" s="81">
        <v>0.01</v>
      </c>
      <c r="L598" s="81">
        <v>1</v>
      </c>
    </row>
    <row r="599" s="65" customFormat="1" customHeight="1" spans="1:12">
      <c r="A599" s="77">
        <v>596</v>
      </c>
      <c r="B599" s="78" t="str">
        <f t="shared" si="15"/>
        <v>DilutionCephalandra Ind.</v>
      </c>
      <c r="C599" s="65" t="s">
        <v>115</v>
      </c>
      <c r="D599" s="88" t="s">
        <v>280</v>
      </c>
      <c r="E599" s="65" t="str">
        <f t="shared" si="16"/>
        <v>Cephalandra Ind.</v>
      </c>
      <c r="F599" s="65" t="s">
        <v>193</v>
      </c>
      <c r="K599" s="81">
        <v>0.01</v>
      </c>
      <c r="L599" s="81">
        <v>1</v>
      </c>
    </row>
    <row r="600" s="65" customFormat="1" customHeight="1" spans="1:12">
      <c r="A600" s="77">
        <v>597</v>
      </c>
      <c r="B600" s="78" t="str">
        <f t="shared" si="15"/>
        <v>DilutionChamomilla</v>
      </c>
      <c r="C600" s="65" t="s">
        <v>115</v>
      </c>
      <c r="D600" s="88" t="s">
        <v>281</v>
      </c>
      <c r="E600" s="65" t="str">
        <f t="shared" si="16"/>
        <v>Chamomilla</v>
      </c>
      <c r="F600" s="65" t="s">
        <v>193</v>
      </c>
      <c r="K600" s="81">
        <v>0.01</v>
      </c>
      <c r="L600" s="81">
        <v>1</v>
      </c>
    </row>
    <row r="601" s="65" customFormat="1" customHeight="1" spans="1:12">
      <c r="A601" s="77">
        <v>598</v>
      </c>
      <c r="B601" s="78" t="str">
        <f t="shared" si="15"/>
        <v>DilutionChaparro Amar (Castella T)</v>
      </c>
      <c r="C601" s="65" t="s">
        <v>115</v>
      </c>
      <c r="D601" s="88" t="s">
        <v>282</v>
      </c>
      <c r="E601" s="65" t="str">
        <f t="shared" si="16"/>
        <v>Chaparro Amar (Castella T)</v>
      </c>
      <c r="F601" s="65" t="s">
        <v>193</v>
      </c>
      <c r="K601" s="81">
        <v>0.01</v>
      </c>
      <c r="L601" s="81">
        <v>1</v>
      </c>
    </row>
    <row r="602" s="65" customFormat="1" customHeight="1" spans="1:12">
      <c r="A602" s="77">
        <v>599</v>
      </c>
      <c r="B602" s="78" t="str">
        <f t="shared" si="15"/>
        <v>DilutionChelidonium Maj</v>
      </c>
      <c r="C602" s="65" t="s">
        <v>115</v>
      </c>
      <c r="D602" s="88" t="s">
        <v>283</v>
      </c>
      <c r="E602" s="65" t="str">
        <f t="shared" si="16"/>
        <v>Chelidonium Maj</v>
      </c>
      <c r="F602" s="65" t="s">
        <v>193</v>
      </c>
      <c r="K602" s="81">
        <v>0.01</v>
      </c>
      <c r="L602" s="81">
        <v>1</v>
      </c>
    </row>
    <row r="603" s="65" customFormat="1" customHeight="1" spans="1:12">
      <c r="A603" s="77">
        <v>600</v>
      </c>
      <c r="B603" s="78" t="str">
        <f t="shared" si="15"/>
        <v>DilutionChelone Glab.</v>
      </c>
      <c r="C603" s="65" t="s">
        <v>115</v>
      </c>
      <c r="D603" s="88" t="s">
        <v>284</v>
      </c>
      <c r="E603" s="65" t="str">
        <f t="shared" si="16"/>
        <v>Chelone Glab.</v>
      </c>
      <c r="F603" s="65" t="s">
        <v>193</v>
      </c>
      <c r="K603" s="81">
        <v>0.01</v>
      </c>
      <c r="L603" s="81">
        <v>1</v>
      </c>
    </row>
    <row r="604" s="65" customFormat="1" customHeight="1" spans="1:12">
      <c r="A604" s="77">
        <v>601</v>
      </c>
      <c r="B604" s="78" t="str">
        <f t="shared" si="15"/>
        <v>DilutionChenopod Anth</v>
      </c>
      <c r="C604" s="65" t="s">
        <v>115</v>
      </c>
      <c r="D604" s="88" t="s">
        <v>285</v>
      </c>
      <c r="E604" s="65" t="str">
        <f t="shared" si="16"/>
        <v>Chenopod Anth</v>
      </c>
      <c r="F604" s="65" t="s">
        <v>193</v>
      </c>
      <c r="K604" s="81">
        <v>0.01</v>
      </c>
      <c r="L604" s="81">
        <v>1</v>
      </c>
    </row>
    <row r="605" s="65" customFormat="1" customHeight="1" spans="1:12">
      <c r="A605" s="77">
        <v>602</v>
      </c>
      <c r="B605" s="78" t="e">
        <f t="shared" si="15"/>
        <v>#N/A</v>
      </c>
      <c r="C605" s="65" t="s">
        <v>115</v>
      </c>
      <c r="D605" s="88" t="s">
        <v>668</v>
      </c>
      <c r="E605" s="65" t="e">
        <f t="shared" si="16"/>
        <v>#N/A</v>
      </c>
      <c r="F605" s="65" t="s">
        <v>193</v>
      </c>
      <c r="K605" s="81">
        <v>0.01</v>
      </c>
      <c r="L605" s="81">
        <v>1</v>
      </c>
    </row>
    <row r="606" s="65" customFormat="1" customHeight="1" spans="1:12">
      <c r="A606" s="77">
        <v>603</v>
      </c>
      <c r="B606" s="78" t="e">
        <f t="shared" si="15"/>
        <v>#N/A</v>
      </c>
      <c r="C606" s="65" t="s">
        <v>115</v>
      </c>
      <c r="D606" s="88" t="s">
        <v>669</v>
      </c>
      <c r="E606" s="65" t="e">
        <f t="shared" si="16"/>
        <v>#N/A</v>
      </c>
      <c r="F606" s="65" t="s">
        <v>193</v>
      </c>
      <c r="K606" s="81">
        <v>0.01</v>
      </c>
      <c r="L606" s="81">
        <v>1</v>
      </c>
    </row>
    <row r="607" s="65" customFormat="1" customHeight="1" spans="1:12">
      <c r="A607" s="77">
        <v>604</v>
      </c>
      <c r="B607" s="78" t="str">
        <f t="shared" si="15"/>
        <v>DilutionChimaphila Umb.</v>
      </c>
      <c r="C607" s="65" t="s">
        <v>115</v>
      </c>
      <c r="D607" s="88" t="s">
        <v>286</v>
      </c>
      <c r="E607" s="65" t="str">
        <f t="shared" si="16"/>
        <v>Chimaphila Umb.</v>
      </c>
      <c r="F607" s="65" t="s">
        <v>193</v>
      </c>
      <c r="K607" s="81">
        <v>0.01</v>
      </c>
      <c r="L607" s="81">
        <v>1</v>
      </c>
    </row>
    <row r="608" s="65" customFormat="1" customHeight="1" spans="1:12">
      <c r="A608" s="77">
        <v>605</v>
      </c>
      <c r="B608" s="78" t="str">
        <f t="shared" si="15"/>
        <v>DilutionChina Off. (Cinchona Off.)</v>
      </c>
      <c r="C608" s="65" t="s">
        <v>115</v>
      </c>
      <c r="D608" s="88" t="s">
        <v>287</v>
      </c>
      <c r="E608" s="65" t="str">
        <f t="shared" si="16"/>
        <v>China Off. (Cinchona Off.)</v>
      </c>
      <c r="F608" s="65" t="s">
        <v>193</v>
      </c>
      <c r="K608" s="81">
        <v>0.01</v>
      </c>
      <c r="L608" s="81">
        <v>1</v>
      </c>
    </row>
    <row r="609" s="65" customFormat="1" customHeight="1" spans="1:12">
      <c r="A609" s="77">
        <v>606</v>
      </c>
      <c r="B609" s="78" t="e">
        <f t="shared" si="15"/>
        <v>#N/A</v>
      </c>
      <c r="C609" s="65" t="s">
        <v>115</v>
      </c>
      <c r="D609" s="88" t="s">
        <v>670</v>
      </c>
      <c r="E609" s="65" t="e">
        <f t="shared" si="16"/>
        <v>#N/A</v>
      </c>
      <c r="F609" s="65" t="s">
        <v>193</v>
      </c>
      <c r="K609" s="81">
        <v>0.01</v>
      </c>
      <c r="L609" s="81">
        <v>1</v>
      </c>
    </row>
    <row r="610" s="65" customFormat="1" customHeight="1" spans="1:12">
      <c r="A610" s="77">
        <v>607</v>
      </c>
      <c r="B610" s="78" t="e">
        <f t="shared" si="15"/>
        <v>#N/A</v>
      </c>
      <c r="C610" s="65" t="s">
        <v>115</v>
      </c>
      <c r="D610" s="88" t="s">
        <v>671</v>
      </c>
      <c r="E610" s="65" t="e">
        <f t="shared" si="16"/>
        <v>#N/A</v>
      </c>
      <c r="F610" s="65" t="s">
        <v>193</v>
      </c>
      <c r="K610" s="81">
        <v>0.01</v>
      </c>
      <c r="L610" s="81">
        <v>1</v>
      </c>
    </row>
    <row r="611" s="65" customFormat="1" customHeight="1" spans="1:12">
      <c r="A611" s="77">
        <v>608</v>
      </c>
      <c r="B611" s="78" t="e">
        <f t="shared" si="15"/>
        <v>#N/A</v>
      </c>
      <c r="C611" s="65" t="s">
        <v>115</v>
      </c>
      <c r="D611" s="83" t="s">
        <v>672</v>
      </c>
      <c r="E611" s="65" t="e">
        <f t="shared" si="16"/>
        <v>#N/A</v>
      </c>
      <c r="F611" s="65" t="s">
        <v>193</v>
      </c>
      <c r="K611" s="81">
        <v>0.01</v>
      </c>
      <c r="L611" s="81">
        <v>1</v>
      </c>
    </row>
    <row r="612" s="65" customFormat="1" customHeight="1" spans="1:12">
      <c r="A612" s="77">
        <v>609</v>
      </c>
      <c r="B612" s="78" t="e">
        <f t="shared" si="15"/>
        <v>#N/A</v>
      </c>
      <c r="C612" s="65" t="s">
        <v>115</v>
      </c>
      <c r="D612" s="83" t="s">
        <v>673</v>
      </c>
      <c r="E612" s="65" t="e">
        <f t="shared" si="16"/>
        <v>#N/A</v>
      </c>
      <c r="F612" s="65" t="s">
        <v>193</v>
      </c>
      <c r="K612" s="81">
        <v>0.01</v>
      </c>
      <c r="L612" s="81">
        <v>1</v>
      </c>
    </row>
    <row r="613" s="65" customFormat="1" customHeight="1" spans="1:12">
      <c r="A613" s="77">
        <v>610</v>
      </c>
      <c r="B613" s="78" t="str">
        <f t="shared" si="15"/>
        <v>DilutionChionanthus Virg.</v>
      </c>
      <c r="C613" s="65" t="s">
        <v>115</v>
      </c>
      <c r="D613" s="83" t="s">
        <v>288</v>
      </c>
      <c r="E613" s="65" t="str">
        <f t="shared" si="16"/>
        <v>Chionanthus Virg.</v>
      </c>
      <c r="F613" s="65" t="s">
        <v>193</v>
      </c>
      <c r="K613" s="81">
        <v>0.01</v>
      </c>
      <c r="L613" s="81">
        <v>1</v>
      </c>
    </row>
    <row r="614" s="65" customFormat="1" customHeight="1" spans="1:12">
      <c r="A614" s="77">
        <v>611</v>
      </c>
      <c r="B614" s="78" t="e">
        <f t="shared" si="15"/>
        <v>#N/A</v>
      </c>
      <c r="C614" s="65" t="s">
        <v>115</v>
      </c>
      <c r="D614" s="83" t="s">
        <v>674</v>
      </c>
      <c r="E614" s="65" t="e">
        <f t="shared" si="16"/>
        <v>#N/A</v>
      </c>
      <c r="F614" s="65" t="s">
        <v>193</v>
      </c>
      <c r="K614" s="81">
        <v>0.01</v>
      </c>
      <c r="L614" s="81">
        <v>1</v>
      </c>
    </row>
    <row r="615" s="65" customFormat="1" customHeight="1" spans="1:12">
      <c r="A615" s="77">
        <v>612</v>
      </c>
      <c r="B615" s="78" t="e">
        <f t="shared" si="15"/>
        <v>#N/A</v>
      </c>
      <c r="C615" s="65" t="s">
        <v>115</v>
      </c>
      <c r="D615" s="83" t="s">
        <v>675</v>
      </c>
      <c r="E615" s="65" t="e">
        <f t="shared" si="16"/>
        <v>#N/A</v>
      </c>
      <c r="F615" s="65" t="s">
        <v>193</v>
      </c>
      <c r="K615" s="81">
        <v>0.01</v>
      </c>
      <c r="L615" s="81">
        <v>1</v>
      </c>
    </row>
    <row r="616" s="65" customFormat="1" customHeight="1" spans="1:12">
      <c r="A616" s="77">
        <v>613</v>
      </c>
      <c r="B616" s="78" t="e">
        <f t="shared" si="15"/>
        <v>#N/A</v>
      </c>
      <c r="C616" s="65" t="s">
        <v>115</v>
      </c>
      <c r="D616" s="83" t="s">
        <v>676</v>
      </c>
      <c r="E616" s="65" t="e">
        <f t="shared" si="16"/>
        <v>#N/A</v>
      </c>
      <c r="F616" s="65" t="s">
        <v>193</v>
      </c>
      <c r="K616" s="81">
        <v>0.01</v>
      </c>
      <c r="L616" s="81">
        <v>1</v>
      </c>
    </row>
    <row r="617" s="65" customFormat="1" customHeight="1" spans="1:12">
      <c r="A617" s="77">
        <v>614</v>
      </c>
      <c r="B617" s="78" t="e">
        <f t="shared" si="15"/>
        <v>#N/A</v>
      </c>
      <c r="C617" s="65" t="s">
        <v>115</v>
      </c>
      <c r="D617" s="83" t="s">
        <v>677</v>
      </c>
      <c r="E617" s="65" t="e">
        <f t="shared" si="16"/>
        <v>#N/A</v>
      </c>
      <c r="F617" s="65" t="s">
        <v>193</v>
      </c>
      <c r="K617" s="81">
        <v>0.01</v>
      </c>
      <c r="L617" s="81">
        <v>1</v>
      </c>
    </row>
    <row r="618" s="65" customFormat="1" customHeight="1" spans="1:12">
      <c r="A618" s="77">
        <v>615</v>
      </c>
      <c r="B618" s="78" t="e">
        <f t="shared" si="15"/>
        <v>#N/A</v>
      </c>
      <c r="C618" s="65" t="s">
        <v>115</v>
      </c>
      <c r="D618" s="83" t="s">
        <v>678</v>
      </c>
      <c r="E618" s="65" t="e">
        <f t="shared" si="16"/>
        <v>#N/A</v>
      </c>
      <c r="F618" s="65" t="s">
        <v>193</v>
      </c>
      <c r="K618" s="81">
        <v>0.01</v>
      </c>
      <c r="L618" s="81">
        <v>1</v>
      </c>
    </row>
    <row r="619" s="65" customFormat="1" customHeight="1" spans="1:12">
      <c r="A619" s="77">
        <v>616</v>
      </c>
      <c r="B619" s="78" t="e">
        <f t="shared" si="15"/>
        <v>#N/A</v>
      </c>
      <c r="C619" s="65" t="s">
        <v>115</v>
      </c>
      <c r="D619" s="83" t="s">
        <v>679</v>
      </c>
      <c r="E619" s="65" t="e">
        <f t="shared" si="16"/>
        <v>#N/A</v>
      </c>
      <c r="F619" s="65" t="s">
        <v>193</v>
      </c>
      <c r="K619" s="81">
        <v>0.01</v>
      </c>
      <c r="L619" s="81">
        <v>1</v>
      </c>
    </row>
    <row r="620" s="65" customFormat="1" customHeight="1" spans="1:12">
      <c r="A620" s="77">
        <v>617</v>
      </c>
      <c r="B620" s="78" t="e">
        <f t="shared" si="15"/>
        <v>#N/A</v>
      </c>
      <c r="C620" s="65" t="s">
        <v>115</v>
      </c>
      <c r="D620" s="83" t="s">
        <v>680</v>
      </c>
      <c r="E620" s="65" t="e">
        <f t="shared" si="16"/>
        <v>#N/A</v>
      </c>
      <c r="F620" s="65" t="s">
        <v>193</v>
      </c>
      <c r="K620" s="81">
        <v>0.01</v>
      </c>
      <c r="L620" s="81">
        <v>1</v>
      </c>
    </row>
    <row r="621" s="65" customFormat="1" customHeight="1" spans="1:12">
      <c r="A621" s="77">
        <v>618</v>
      </c>
      <c r="B621" s="78" t="str">
        <f t="shared" si="15"/>
        <v>DilutionCicuta Virosa.</v>
      </c>
      <c r="C621" s="65" t="s">
        <v>115</v>
      </c>
      <c r="D621" s="83" t="s">
        <v>289</v>
      </c>
      <c r="E621" s="65" t="str">
        <f t="shared" si="16"/>
        <v>Cicuta Virosa.</v>
      </c>
      <c r="F621" s="65" t="s">
        <v>193</v>
      </c>
      <c r="K621" s="81">
        <v>0.01</v>
      </c>
      <c r="L621" s="81">
        <v>1</v>
      </c>
    </row>
    <row r="622" s="65" customFormat="1" customHeight="1" spans="1:12">
      <c r="A622" s="77">
        <v>619</v>
      </c>
      <c r="B622" s="78" t="e">
        <f t="shared" si="15"/>
        <v>#N/A</v>
      </c>
      <c r="C622" s="65" t="s">
        <v>115</v>
      </c>
      <c r="D622" s="83" t="s">
        <v>681</v>
      </c>
      <c r="E622" s="65" t="e">
        <f t="shared" si="16"/>
        <v>#N/A</v>
      </c>
      <c r="F622" s="65" t="s">
        <v>193</v>
      </c>
      <c r="K622" s="81">
        <v>0.01</v>
      </c>
      <c r="L622" s="81">
        <v>1</v>
      </c>
    </row>
    <row r="623" s="65" customFormat="1" customHeight="1" spans="1:12">
      <c r="A623" s="77">
        <v>620</v>
      </c>
      <c r="B623" s="78" t="str">
        <f t="shared" si="15"/>
        <v>DilutionCina</v>
      </c>
      <c r="C623" s="65" t="s">
        <v>115</v>
      </c>
      <c r="D623" s="83" t="s">
        <v>291</v>
      </c>
      <c r="E623" s="65" t="str">
        <f t="shared" si="16"/>
        <v>Cina</v>
      </c>
      <c r="F623" s="65" t="s">
        <v>193</v>
      </c>
      <c r="K623" s="81">
        <v>0.01</v>
      </c>
      <c r="L623" s="81">
        <v>1</v>
      </c>
    </row>
    <row r="624" s="65" customFormat="1" customHeight="1" spans="1:12">
      <c r="A624" s="77">
        <v>621</v>
      </c>
      <c r="B624" s="78" t="str">
        <f t="shared" si="15"/>
        <v>DilutionCineraria Mar</v>
      </c>
      <c r="C624" s="65" t="s">
        <v>115</v>
      </c>
      <c r="D624" s="83" t="s">
        <v>292</v>
      </c>
      <c r="E624" s="65" t="str">
        <f t="shared" si="16"/>
        <v>Cineraria Mar</v>
      </c>
      <c r="F624" s="65" t="s">
        <v>193</v>
      </c>
      <c r="K624" s="81">
        <v>0.01</v>
      </c>
      <c r="L624" s="81">
        <v>1</v>
      </c>
    </row>
    <row r="625" s="65" customFormat="1" customHeight="1" spans="1:12">
      <c r="A625" s="77">
        <v>622</v>
      </c>
      <c r="B625" s="78" t="e">
        <f t="shared" si="15"/>
        <v>#N/A</v>
      </c>
      <c r="C625" s="65" t="s">
        <v>115</v>
      </c>
      <c r="D625" s="83" t="s">
        <v>682</v>
      </c>
      <c r="E625" s="65" t="e">
        <f t="shared" si="16"/>
        <v>#N/A</v>
      </c>
      <c r="F625" s="65" t="s">
        <v>193</v>
      </c>
      <c r="K625" s="81">
        <v>0.01</v>
      </c>
      <c r="L625" s="81">
        <v>1</v>
      </c>
    </row>
    <row r="626" s="65" customFormat="1" customHeight="1" spans="1:12">
      <c r="A626" s="77">
        <v>623</v>
      </c>
      <c r="B626" s="78" t="e">
        <f t="shared" si="15"/>
        <v>#N/A</v>
      </c>
      <c r="C626" s="65" t="s">
        <v>115</v>
      </c>
      <c r="D626" s="83" t="s">
        <v>683</v>
      </c>
      <c r="E626" s="65" t="e">
        <f t="shared" si="16"/>
        <v>#N/A</v>
      </c>
      <c r="F626" s="65" t="s">
        <v>193</v>
      </c>
      <c r="K626" s="81">
        <v>0.01</v>
      </c>
      <c r="L626" s="81">
        <v>1</v>
      </c>
    </row>
    <row r="627" s="65" customFormat="1" customHeight="1" spans="1:12">
      <c r="A627" s="77">
        <v>624</v>
      </c>
      <c r="B627" s="78" t="e">
        <f t="shared" si="15"/>
        <v>#N/A</v>
      </c>
      <c r="C627" s="65" t="s">
        <v>115</v>
      </c>
      <c r="D627" s="83" t="s">
        <v>684</v>
      </c>
      <c r="E627" s="65" t="e">
        <f t="shared" si="16"/>
        <v>#N/A</v>
      </c>
      <c r="F627" s="65" t="s">
        <v>193</v>
      </c>
      <c r="K627" s="81">
        <v>0.01</v>
      </c>
      <c r="L627" s="81">
        <v>1</v>
      </c>
    </row>
    <row r="628" s="65" customFormat="1" customHeight="1" spans="1:12">
      <c r="A628" s="77">
        <v>625</v>
      </c>
      <c r="B628" s="78" t="e">
        <f t="shared" si="15"/>
        <v>#N/A</v>
      </c>
      <c r="C628" s="65" t="s">
        <v>115</v>
      </c>
      <c r="D628" s="83" t="s">
        <v>685</v>
      </c>
      <c r="E628" s="65" t="e">
        <f t="shared" si="16"/>
        <v>#N/A</v>
      </c>
      <c r="F628" s="65" t="s">
        <v>193</v>
      </c>
      <c r="K628" s="81">
        <v>0.01</v>
      </c>
      <c r="L628" s="81">
        <v>1</v>
      </c>
    </row>
    <row r="629" s="65" customFormat="1" customHeight="1" spans="1:12">
      <c r="A629" s="77">
        <v>626</v>
      </c>
      <c r="B629" s="78" t="e">
        <f t="shared" si="15"/>
        <v>#N/A</v>
      </c>
      <c r="C629" s="65" t="s">
        <v>115</v>
      </c>
      <c r="D629" s="83" t="s">
        <v>686</v>
      </c>
      <c r="E629" s="65" t="e">
        <f t="shared" si="16"/>
        <v>#N/A</v>
      </c>
      <c r="F629" s="65" t="s">
        <v>193</v>
      </c>
      <c r="K629" s="81">
        <v>0.01</v>
      </c>
      <c r="L629" s="81">
        <v>1</v>
      </c>
    </row>
    <row r="630" s="65" customFormat="1" customHeight="1" spans="1:12">
      <c r="A630" s="77">
        <v>627</v>
      </c>
      <c r="B630" s="78" t="e">
        <f t="shared" si="15"/>
        <v>#N/A</v>
      </c>
      <c r="C630" s="65" t="s">
        <v>115</v>
      </c>
      <c r="D630" s="83" t="s">
        <v>687</v>
      </c>
      <c r="E630" s="65" t="e">
        <f t="shared" si="16"/>
        <v>#N/A</v>
      </c>
      <c r="F630" s="65" t="s">
        <v>193</v>
      </c>
      <c r="K630" s="81">
        <v>0.01</v>
      </c>
      <c r="L630" s="81">
        <v>1</v>
      </c>
    </row>
    <row r="631" s="65" customFormat="1" customHeight="1" spans="1:12">
      <c r="A631" s="77">
        <v>628</v>
      </c>
      <c r="B631" s="78" t="e">
        <f t="shared" si="15"/>
        <v>#N/A</v>
      </c>
      <c r="C631" s="65" t="s">
        <v>115</v>
      </c>
      <c r="D631" s="83" t="s">
        <v>688</v>
      </c>
      <c r="E631" s="65" t="e">
        <f t="shared" si="16"/>
        <v>#N/A</v>
      </c>
      <c r="F631" s="65" t="s">
        <v>193</v>
      </c>
      <c r="K631" s="81">
        <v>0.01</v>
      </c>
      <c r="L631" s="81">
        <v>1</v>
      </c>
    </row>
    <row r="632" s="65" customFormat="1" customHeight="1" spans="1:12">
      <c r="A632" s="77">
        <v>629</v>
      </c>
      <c r="B632" s="78" t="str">
        <f t="shared" si="15"/>
        <v>DilutionCocculus Ind.</v>
      </c>
      <c r="C632" s="65" t="s">
        <v>115</v>
      </c>
      <c r="D632" s="83" t="s">
        <v>293</v>
      </c>
      <c r="E632" s="65" t="str">
        <f t="shared" si="16"/>
        <v>Cocculus Ind.</v>
      </c>
      <c r="F632" s="65" t="s">
        <v>193</v>
      </c>
      <c r="K632" s="81">
        <v>0.01</v>
      </c>
      <c r="L632" s="81">
        <v>1</v>
      </c>
    </row>
    <row r="633" s="65" customFormat="1" customHeight="1" spans="1:12">
      <c r="A633" s="77">
        <v>630</v>
      </c>
      <c r="B633" s="78" t="str">
        <f t="shared" si="15"/>
        <v>DilutionCoccus Cacti.</v>
      </c>
      <c r="C633" s="65" t="s">
        <v>115</v>
      </c>
      <c r="D633" s="83" t="s">
        <v>294</v>
      </c>
      <c r="E633" s="65" t="str">
        <f t="shared" si="16"/>
        <v>Coccus Cacti.</v>
      </c>
      <c r="F633" s="65" t="s">
        <v>193</v>
      </c>
      <c r="K633" s="81">
        <v>0.01</v>
      </c>
      <c r="L633" s="81">
        <v>1</v>
      </c>
    </row>
    <row r="634" s="65" customFormat="1" customHeight="1" spans="1:12">
      <c r="A634" s="77">
        <v>631</v>
      </c>
      <c r="B634" s="78" t="e">
        <f t="shared" si="15"/>
        <v>#N/A</v>
      </c>
      <c r="C634" s="65" t="s">
        <v>115</v>
      </c>
      <c r="D634" s="83" t="s">
        <v>689</v>
      </c>
      <c r="E634" s="65" t="e">
        <f t="shared" si="16"/>
        <v>#N/A</v>
      </c>
      <c r="F634" s="65" t="s">
        <v>193</v>
      </c>
      <c r="K634" s="81">
        <v>0.01</v>
      </c>
      <c r="L634" s="81">
        <v>1</v>
      </c>
    </row>
    <row r="635" s="65" customFormat="1" customHeight="1" spans="1:12">
      <c r="A635" s="77">
        <v>632</v>
      </c>
      <c r="B635" s="78" t="e">
        <f t="shared" si="15"/>
        <v>#N/A</v>
      </c>
      <c r="C635" s="65" t="s">
        <v>115</v>
      </c>
      <c r="D635" s="83" t="s">
        <v>690</v>
      </c>
      <c r="E635" s="65" t="e">
        <f t="shared" si="16"/>
        <v>#N/A</v>
      </c>
      <c r="F635" s="65" t="s">
        <v>193</v>
      </c>
      <c r="K635" s="81">
        <v>0.01</v>
      </c>
      <c r="L635" s="81">
        <v>1</v>
      </c>
    </row>
    <row r="636" s="65" customFormat="1" customHeight="1" spans="1:12">
      <c r="A636" s="77">
        <v>633</v>
      </c>
      <c r="B636" s="78" t="str">
        <f t="shared" si="15"/>
        <v>DilutionCoffea Crud.</v>
      </c>
      <c r="C636" s="65" t="s">
        <v>115</v>
      </c>
      <c r="D636" s="83" t="s">
        <v>295</v>
      </c>
      <c r="E636" s="65" t="str">
        <f t="shared" si="16"/>
        <v>Coffea Crud.</v>
      </c>
      <c r="F636" s="65" t="s">
        <v>193</v>
      </c>
      <c r="K636" s="81">
        <v>0.01</v>
      </c>
      <c r="L636" s="81">
        <v>1</v>
      </c>
    </row>
    <row r="637" s="65" customFormat="1" customHeight="1" spans="1:12">
      <c r="A637" s="77">
        <v>634</v>
      </c>
      <c r="B637" s="78" t="str">
        <f t="shared" si="15"/>
        <v>DilutionColchicum</v>
      </c>
      <c r="C637" s="65" t="s">
        <v>115</v>
      </c>
      <c r="D637" s="83" t="s">
        <v>296</v>
      </c>
      <c r="E637" s="65" t="str">
        <f t="shared" si="16"/>
        <v>Colchicum</v>
      </c>
      <c r="F637" s="65" t="s">
        <v>193</v>
      </c>
      <c r="K637" s="81">
        <v>0.01</v>
      </c>
      <c r="L637" s="81">
        <v>1</v>
      </c>
    </row>
    <row r="638" s="65" customFormat="1" customHeight="1" spans="1:12">
      <c r="A638" s="77">
        <v>635</v>
      </c>
      <c r="B638" s="78" t="str">
        <f t="shared" si="15"/>
        <v>DilutionCollinsonia</v>
      </c>
      <c r="C638" s="65" t="s">
        <v>115</v>
      </c>
      <c r="D638" s="83" t="s">
        <v>297</v>
      </c>
      <c r="E638" s="65" t="str">
        <f t="shared" si="16"/>
        <v>Collinsonia</v>
      </c>
      <c r="F638" s="65" t="s">
        <v>193</v>
      </c>
      <c r="K638" s="81">
        <v>0.01</v>
      </c>
      <c r="L638" s="81">
        <v>1</v>
      </c>
    </row>
    <row r="639" s="65" customFormat="1" customHeight="1" spans="1:12">
      <c r="A639" s="77">
        <v>636</v>
      </c>
      <c r="B639" s="78" t="str">
        <f t="shared" si="15"/>
        <v>DilutionColocynthis</v>
      </c>
      <c r="C639" s="65" t="s">
        <v>115</v>
      </c>
      <c r="D639" s="83" t="s">
        <v>298</v>
      </c>
      <c r="E639" s="65" t="str">
        <f t="shared" si="16"/>
        <v>Colocynthis</v>
      </c>
      <c r="F639" s="65" t="s">
        <v>193</v>
      </c>
      <c r="K639" s="81">
        <v>0.01</v>
      </c>
      <c r="L639" s="81">
        <v>1</v>
      </c>
    </row>
    <row r="640" s="65" customFormat="1" customHeight="1" spans="1:12">
      <c r="A640" s="77">
        <v>637</v>
      </c>
      <c r="B640" s="78" t="e">
        <f t="shared" si="15"/>
        <v>#N/A</v>
      </c>
      <c r="C640" s="65" t="s">
        <v>115</v>
      </c>
      <c r="D640" s="83" t="s">
        <v>691</v>
      </c>
      <c r="E640" s="65" t="e">
        <f t="shared" si="16"/>
        <v>#N/A</v>
      </c>
      <c r="F640" s="65" t="s">
        <v>193</v>
      </c>
      <c r="K640" s="81">
        <v>0.01</v>
      </c>
      <c r="L640" s="81">
        <v>1</v>
      </c>
    </row>
    <row r="641" s="65" customFormat="1" customHeight="1" spans="1:12">
      <c r="A641" s="77">
        <v>638</v>
      </c>
      <c r="B641" s="78" t="str">
        <f t="shared" si="15"/>
        <v>DilutionCondurango</v>
      </c>
      <c r="C641" s="65" t="s">
        <v>115</v>
      </c>
      <c r="D641" s="83" t="s">
        <v>299</v>
      </c>
      <c r="E641" s="65" t="str">
        <f t="shared" si="16"/>
        <v>Condurango</v>
      </c>
      <c r="F641" s="65" t="s">
        <v>193</v>
      </c>
      <c r="K641" s="81">
        <v>0.01</v>
      </c>
      <c r="L641" s="81">
        <v>1</v>
      </c>
    </row>
    <row r="642" s="65" customFormat="1" customHeight="1" spans="1:12">
      <c r="A642" s="77">
        <v>639</v>
      </c>
      <c r="B642" s="78" t="e">
        <f t="shared" si="15"/>
        <v>#N/A</v>
      </c>
      <c r="C642" s="65" t="s">
        <v>115</v>
      </c>
      <c r="D642" s="83" t="s">
        <v>692</v>
      </c>
      <c r="E642" s="65" t="e">
        <f t="shared" si="16"/>
        <v>#N/A</v>
      </c>
      <c r="F642" s="65" t="s">
        <v>193</v>
      </c>
      <c r="K642" s="81">
        <v>0.01</v>
      </c>
      <c r="L642" s="81">
        <v>1</v>
      </c>
    </row>
    <row r="643" s="65" customFormat="1" customHeight="1" spans="1:12">
      <c r="A643" s="77">
        <v>640</v>
      </c>
      <c r="B643" s="78" t="str">
        <f t="shared" si="15"/>
        <v>DilutionConvallaria M.</v>
      </c>
      <c r="C643" s="65" t="s">
        <v>115</v>
      </c>
      <c r="D643" s="83" t="s">
        <v>300</v>
      </c>
      <c r="E643" s="65" t="str">
        <f t="shared" si="16"/>
        <v>Convallaria M.</v>
      </c>
      <c r="F643" s="65" t="s">
        <v>193</v>
      </c>
      <c r="K643" s="81">
        <v>0.01</v>
      </c>
      <c r="L643" s="81">
        <v>1</v>
      </c>
    </row>
    <row r="644" s="65" customFormat="1" customHeight="1" spans="1:12">
      <c r="A644" s="77">
        <v>641</v>
      </c>
      <c r="B644" s="78" t="str">
        <f t="shared" si="15"/>
        <v>DilutionCopaiva Off.</v>
      </c>
      <c r="C644" s="65" t="s">
        <v>115</v>
      </c>
      <c r="D644" s="83" t="s">
        <v>301</v>
      </c>
      <c r="E644" s="65" t="str">
        <f t="shared" si="16"/>
        <v>Copaiva Off.</v>
      </c>
      <c r="F644" s="65" t="s">
        <v>193</v>
      </c>
      <c r="K644" s="81">
        <v>0.01</v>
      </c>
      <c r="L644" s="81">
        <v>1</v>
      </c>
    </row>
    <row r="645" s="65" customFormat="1" customHeight="1" spans="1:12">
      <c r="A645" s="77">
        <v>642</v>
      </c>
      <c r="B645" s="78" t="e">
        <f t="shared" ref="B645:B708" si="17">+C645&amp;E645</f>
        <v>#N/A</v>
      </c>
      <c r="C645" s="65" t="s">
        <v>115</v>
      </c>
      <c r="D645" s="83" t="s">
        <v>693</v>
      </c>
      <c r="E645" s="65" t="e">
        <f t="shared" si="16"/>
        <v>#N/A</v>
      </c>
      <c r="F645" s="65" t="s">
        <v>193</v>
      </c>
      <c r="K645" s="81">
        <v>0.01</v>
      </c>
      <c r="L645" s="81">
        <v>1</v>
      </c>
    </row>
    <row r="646" s="65" customFormat="1" customHeight="1" spans="1:12">
      <c r="A646" s="77">
        <v>643</v>
      </c>
      <c r="B646" s="78" t="e">
        <f t="shared" si="17"/>
        <v>#N/A</v>
      </c>
      <c r="C646" s="65" t="s">
        <v>115</v>
      </c>
      <c r="D646" s="83" t="s">
        <v>694</v>
      </c>
      <c r="E646" s="65" t="e">
        <f t="shared" si="16"/>
        <v>#N/A</v>
      </c>
      <c r="F646" s="65" t="s">
        <v>193</v>
      </c>
      <c r="K646" s="81">
        <v>0.01</v>
      </c>
      <c r="L646" s="81">
        <v>1</v>
      </c>
    </row>
    <row r="647" s="65" customFormat="1" customHeight="1" spans="1:12">
      <c r="A647" s="77">
        <v>644</v>
      </c>
      <c r="B647" s="78" t="e">
        <f t="shared" si="17"/>
        <v>#N/A</v>
      </c>
      <c r="C647" s="65" t="s">
        <v>115</v>
      </c>
      <c r="D647" s="83" t="s">
        <v>695</v>
      </c>
      <c r="E647" s="65" t="e">
        <f t="shared" si="16"/>
        <v>#N/A</v>
      </c>
      <c r="F647" s="65" t="s">
        <v>193</v>
      </c>
      <c r="K647" s="81">
        <v>0.01</v>
      </c>
      <c r="L647" s="81">
        <v>1</v>
      </c>
    </row>
    <row r="648" s="65" customFormat="1" customHeight="1" spans="1:12">
      <c r="A648" s="77">
        <v>645</v>
      </c>
      <c r="B648" s="78" t="e">
        <f t="shared" si="17"/>
        <v>#N/A</v>
      </c>
      <c r="C648" s="65" t="s">
        <v>115</v>
      </c>
      <c r="D648" s="83" t="s">
        <v>696</v>
      </c>
      <c r="E648" s="65" t="e">
        <f t="shared" si="16"/>
        <v>#N/A</v>
      </c>
      <c r="F648" s="65" t="s">
        <v>193</v>
      </c>
      <c r="K648" s="81">
        <v>0.01</v>
      </c>
      <c r="L648" s="81">
        <v>1</v>
      </c>
    </row>
    <row r="649" s="65" customFormat="1" customHeight="1" spans="1:12">
      <c r="A649" s="77">
        <v>646</v>
      </c>
      <c r="B649" s="78" t="str">
        <f t="shared" si="17"/>
        <v>DilutionCrataegus Ox.</v>
      </c>
      <c r="C649" s="65" t="s">
        <v>115</v>
      </c>
      <c r="D649" s="83" t="s">
        <v>302</v>
      </c>
      <c r="E649" s="65" t="str">
        <f t="shared" si="16"/>
        <v>Crataegus Ox.</v>
      </c>
      <c r="F649" s="65" t="s">
        <v>193</v>
      </c>
      <c r="K649" s="81">
        <v>0.01</v>
      </c>
      <c r="L649" s="81">
        <v>1</v>
      </c>
    </row>
    <row r="650" s="65" customFormat="1" customHeight="1" spans="1:12">
      <c r="A650" s="77">
        <v>647</v>
      </c>
      <c r="B650" s="78" t="e">
        <f t="shared" si="17"/>
        <v>#N/A</v>
      </c>
      <c r="C650" s="65" t="s">
        <v>115</v>
      </c>
      <c r="D650" s="83" t="s">
        <v>697</v>
      </c>
      <c r="E650" s="65" t="e">
        <f t="shared" si="16"/>
        <v>#N/A</v>
      </c>
      <c r="F650" s="65" t="s">
        <v>193</v>
      </c>
      <c r="K650" s="81">
        <v>0.01</v>
      </c>
      <c r="L650" s="81">
        <v>1</v>
      </c>
    </row>
    <row r="651" s="65" customFormat="1" customHeight="1" spans="1:12">
      <c r="A651" s="77">
        <v>648</v>
      </c>
      <c r="B651" s="78" t="e">
        <f t="shared" si="17"/>
        <v>#N/A</v>
      </c>
      <c r="C651" s="65" t="s">
        <v>115</v>
      </c>
      <c r="D651" s="83" t="s">
        <v>698</v>
      </c>
      <c r="E651" s="65" t="e">
        <f t="shared" si="16"/>
        <v>#N/A</v>
      </c>
      <c r="F651" s="65" t="s">
        <v>193</v>
      </c>
      <c r="K651" s="81">
        <v>0.01</v>
      </c>
      <c r="L651" s="81">
        <v>1</v>
      </c>
    </row>
    <row r="652" s="65" customFormat="1" customHeight="1" spans="1:12">
      <c r="A652" s="77">
        <v>649</v>
      </c>
      <c r="B652" s="78" t="str">
        <f t="shared" si="17"/>
        <v>DilutionCroton Tig.</v>
      </c>
      <c r="C652" s="65" t="s">
        <v>115</v>
      </c>
      <c r="D652" s="83" t="s">
        <v>303</v>
      </c>
      <c r="E652" s="65" t="str">
        <f t="shared" si="16"/>
        <v>Croton Tig.</v>
      </c>
      <c r="F652" s="65" t="s">
        <v>193</v>
      </c>
      <c r="K652" s="81">
        <v>0.01</v>
      </c>
      <c r="L652" s="81">
        <v>1</v>
      </c>
    </row>
    <row r="653" s="65" customFormat="1" customHeight="1" spans="1:12">
      <c r="A653" s="77">
        <v>650</v>
      </c>
      <c r="B653" s="78" t="e">
        <f t="shared" si="17"/>
        <v>#N/A</v>
      </c>
      <c r="C653" s="65" t="s">
        <v>115</v>
      </c>
      <c r="D653" s="83" t="s">
        <v>699</v>
      </c>
      <c r="E653" s="65" t="e">
        <f t="shared" si="16"/>
        <v>#N/A</v>
      </c>
      <c r="F653" s="65" t="s">
        <v>193</v>
      </c>
      <c r="K653" s="81">
        <v>0.01</v>
      </c>
      <c r="L653" s="81">
        <v>1</v>
      </c>
    </row>
    <row r="654" s="65" customFormat="1" customHeight="1" spans="1:12">
      <c r="A654" s="77">
        <v>651</v>
      </c>
      <c r="B654" s="78" t="e">
        <f t="shared" si="17"/>
        <v>#N/A</v>
      </c>
      <c r="C654" s="65" t="s">
        <v>115</v>
      </c>
      <c r="D654" s="83" t="s">
        <v>700</v>
      </c>
      <c r="E654" s="65" t="e">
        <f t="shared" ref="E654:E717" si="18">+VLOOKUP(D654,$D$4:$D$301,1,FALSE)</f>
        <v>#N/A</v>
      </c>
      <c r="F654" s="65" t="s">
        <v>193</v>
      </c>
      <c r="K654" s="81">
        <v>0.01</v>
      </c>
      <c r="L654" s="81">
        <v>1</v>
      </c>
    </row>
    <row r="655" s="65" customFormat="1" customHeight="1" spans="1:12">
      <c r="A655" s="77">
        <v>652</v>
      </c>
      <c r="B655" s="78" t="e">
        <f t="shared" si="17"/>
        <v>#N/A</v>
      </c>
      <c r="C655" s="65" t="s">
        <v>115</v>
      </c>
      <c r="D655" s="83" t="s">
        <v>701</v>
      </c>
      <c r="E655" s="65" t="e">
        <f t="shared" si="18"/>
        <v>#N/A</v>
      </c>
      <c r="F655" s="65" t="s">
        <v>193</v>
      </c>
      <c r="K655" s="81">
        <v>0.01</v>
      </c>
      <c r="L655" s="81">
        <v>1</v>
      </c>
    </row>
    <row r="656" s="65" customFormat="1" customHeight="1" spans="1:12">
      <c r="A656" s="77">
        <v>653</v>
      </c>
      <c r="B656" s="78" t="e">
        <f t="shared" si="17"/>
        <v>#N/A</v>
      </c>
      <c r="C656" s="65" t="s">
        <v>115</v>
      </c>
      <c r="D656" s="83" t="s">
        <v>702</v>
      </c>
      <c r="E656" s="65" t="e">
        <f t="shared" si="18"/>
        <v>#N/A</v>
      </c>
      <c r="F656" s="65" t="s">
        <v>193</v>
      </c>
      <c r="K656" s="81">
        <v>0.01</v>
      </c>
      <c r="L656" s="81">
        <v>1</v>
      </c>
    </row>
    <row r="657" s="65" customFormat="1" customHeight="1" spans="1:12">
      <c r="A657" s="77">
        <v>654</v>
      </c>
      <c r="B657" s="78" t="e">
        <f t="shared" si="17"/>
        <v>#N/A</v>
      </c>
      <c r="C657" s="65" t="s">
        <v>115</v>
      </c>
      <c r="D657" s="83" t="s">
        <v>703</v>
      </c>
      <c r="E657" s="65" t="e">
        <f t="shared" si="18"/>
        <v>#N/A</v>
      </c>
      <c r="F657" s="65" t="s">
        <v>193</v>
      </c>
      <c r="K657" s="81">
        <v>0.01</v>
      </c>
      <c r="L657" s="81">
        <v>1</v>
      </c>
    </row>
    <row r="658" s="65" customFormat="1" customHeight="1" spans="1:12">
      <c r="A658" s="77">
        <v>655</v>
      </c>
      <c r="B658" s="78" t="e">
        <f t="shared" si="17"/>
        <v>#N/A</v>
      </c>
      <c r="C658" s="65" t="s">
        <v>115</v>
      </c>
      <c r="D658" s="83" t="s">
        <v>704</v>
      </c>
      <c r="E658" s="65" t="e">
        <f t="shared" si="18"/>
        <v>#N/A</v>
      </c>
      <c r="F658" s="65" t="s">
        <v>193</v>
      </c>
      <c r="K658" s="81">
        <v>0.01</v>
      </c>
      <c r="L658" s="81">
        <v>1</v>
      </c>
    </row>
    <row r="659" s="65" customFormat="1" customHeight="1" spans="1:12">
      <c r="A659" s="77">
        <v>656</v>
      </c>
      <c r="B659" s="78" t="str">
        <f t="shared" si="17"/>
        <v>DilutionCurcuma Longa</v>
      </c>
      <c r="C659" s="65" t="s">
        <v>115</v>
      </c>
      <c r="D659" s="83" t="s">
        <v>304</v>
      </c>
      <c r="E659" s="65" t="str">
        <f t="shared" si="18"/>
        <v>Curcuma Longa</v>
      </c>
      <c r="F659" s="65" t="s">
        <v>193</v>
      </c>
      <c r="K659" s="81">
        <v>0.01</v>
      </c>
      <c r="L659" s="81">
        <v>1</v>
      </c>
    </row>
    <row r="660" s="65" customFormat="1" customHeight="1" spans="1:12">
      <c r="A660" s="77">
        <v>657</v>
      </c>
      <c r="B660" s="78" t="e">
        <f t="shared" si="17"/>
        <v>#N/A</v>
      </c>
      <c r="C660" s="65" t="s">
        <v>115</v>
      </c>
      <c r="D660" s="83" t="s">
        <v>705</v>
      </c>
      <c r="E660" s="65" t="e">
        <f t="shared" si="18"/>
        <v>#N/A</v>
      </c>
      <c r="F660" s="65" t="s">
        <v>193</v>
      </c>
      <c r="K660" s="81">
        <v>0.01</v>
      </c>
      <c r="L660" s="81">
        <v>1</v>
      </c>
    </row>
    <row r="661" s="65" customFormat="1" customHeight="1" spans="1:12">
      <c r="A661" s="77">
        <v>658</v>
      </c>
      <c r="B661" s="78" t="str">
        <f t="shared" si="17"/>
        <v>DilutionCynadon Da.</v>
      </c>
      <c r="C661" s="65" t="s">
        <v>115</v>
      </c>
      <c r="D661" s="83" t="s">
        <v>305</v>
      </c>
      <c r="E661" s="65" t="str">
        <f t="shared" si="18"/>
        <v>Cynadon Da.</v>
      </c>
      <c r="F661" s="65" t="s">
        <v>193</v>
      </c>
      <c r="K661" s="81">
        <v>0.01</v>
      </c>
      <c r="L661" s="81">
        <v>1</v>
      </c>
    </row>
    <row r="662" s="65" customFormat="1" customHeight="1" spans="1:12">
      <c r="A662" s="77">
        <v>659</v>
      </c>
      <c r="B662" s="78" t="e">
        <f t="shared" si="17"/>
        <v>#N/A</v>
      </c>
      <c r="C662" s="65" t="s">
        <v>115</v>
      </c>
      <c r="D662" s="83" t="s">
        <v>706</v>
      </c>
      <c r="E662" s="65" t="e">
        <f t="shared" si="18"/>
        <v>#N/A</v>
      </c>
      <c r="F662" s="65" t="s">
        <v>193</v>
      </c>
      <c r="K662" s="81">
        <v>0.01</v>
      </c>
      <c r="L662" s="81">
        <v>1</v>
      </c>
    </row>
    <row r="663" s="65" customFormat="1" customHeight="1" spans="1:12">
      <c r="A663" s="77">
        <v>660</v>
      </c>
      <c r="B663" s="78" t="e">
        <f t="shared" si="17"/>
        <v>#N/A</v>
      </c>
      <c r="C663" s="65" t="s">
        <v>115</v>
      </c>
      <c r="D663" s="83" t="s">
        <v>707</v>
      </c>
      <c r="E663" s="65" t="e">
        <f t="shared" si="18"/>
        <v>#N/A</v>
      </c>
      <c r="F663" s="65" t="s">
        <v>193</v>
      </c>
      <c r="K663" s="81">
        <v>0.01</v>
      </c>
      <c r="L663" s="81">
        <v>1</v>
      </c>
    </row>
    <row r="664" s="65" customFormat="1" customHeight="1" spans="1:12">
      <c r="A664" s="77">
        <v>661</v>
      </c>
      <c r="B664" s="78" t="str">
        <f t="shared" si="17"/>
        <v>DilutionDigitalis Purp.</v>
      </c>
      <c r="C664" s="65" t="s">
        <v>115</v>
      </c>
      <c r="D664" s="83" t="s">
        <v>307</v>
      </c>
      <c r="E664" s="65" t="str">
        <f t="shared" si="18"/>
        <v>Digitalis Purp.</v>
      </c>
      <c r="F664" s="65" t="s">
        <v>193</v>
      </c>
      <c r="K664" s="81">
        <v>0.01</v>
      </c>
      <c r="L664" s="81">
        <v>1</v>
      </c>
    </row>
    <row r="665" s="65" customFormat="1" customHeight="1" spans="1:12">
      <c r="A665" s="77">
        <v>662</v>
      </c>
      <c r="B665" s="78" t="str">
        <f t="shared" si="17"/>
        <v>DilutionDioscorea V.</v>
      </c>
      <c r="C665" s="65" t="s">
        <v>115</v>
      </c>
      <c r="D665" s="83" t="s">
        <v>308</v>
      </c>
      <c r="E665" s="65" t="str">
        <f t="shared" si="18"/>
        <v>Dioscorea V.</v>
      </c>
      <c r="F665" s="65" t="s">
        <v>193</v>
      </c>
      <c r="K665" s="81">
        <v>0.01</v>
      </c>
      <c r="L665" s="81">
        <v>1</v>
      </c>
    </row>
    <row r="666" s="65" customFormat="1" customHeight="1" spans="1:12">
      <c r="A666" s="77">
        <v>663</v>
      </c>
      <c r="B666" s="78" t="e">
        <f t="shared" si="17"/>
        <v>#N/A</v>
      </c>
      <c r="C666" s="65" t="s">
        <v>115</v>
      </c>
      <c r="D666" s="83" t="s">
        <v>708</v>
      </c>
      <c r="E666" s="65" t="e">
        <f t="shared" si="18"/>
        <v>#N/A</v>
      </c>
      <c r="F666" s="65" t="s">
        <v>193</v>
      </c>
      <c r="K666" s="81">
        <v>0.01</v>
      </c>
      <c r="L666" s="81">
        <v>1</v>
      </c>
    </row>
    <row r="667" s="65" customFormat="1" customHeight="1" spans="1:12">
      <c r="A667" s="77">
        <v>664</v>
      </c>
      <c r="B667" s="78" t="e">
        <f t="shared" si="17"/>
        <v>#N/A</v>
      </c>
      <c r="C667" s="65" t="s">
        <v>115</v>
      </c>
      <c r="D667" s="83" t="s">
        <v>709</v>
      </c>
      <c r="E667" s="65" t="e">
        <f t="shared" si="18"/>
        <v>#N/A</v>
      </c>
      <c r="F667" s="65" t="s">
        <v>193</v>
      </c>
      <c r="K667" s="81">
        <v>0.01</v>
      </c>
      <c r="L667" s="81">
        <v>1</v>
      </c>
    </row>
    <row r="668" s="65" customFormat="1" customHeight="1" spans="1:12">
      <c r="A668" s="77">
        <v>665</v>
      </c>
      <c r="B668" s="78" t="str">
        <f t="shared" si="17"/>
        <v>DilutionDrosera Rot.</v>
      </c>
      <c r="C668" s="65" t="s">
        <v>115</v>
      </c>
      <c r="D668" s="83" t="s">
        <v>310</v>
      </c>
      <c r="E668" s="65" t="str">
        <f t="shared" si="18"/>
        <v>Drosera Rot.</v>
      </c>
      <c r="F668" s="65" t="s">
        <v>193</v>
      </c>
      <c r="K668" s="81">
        <v>0.01</v>
      </c>
      <c r="L668" s="81">
        <v>1</v>
      </c>
    </row>
    <row r="669" s="65" customFormat="1" customHeight="1" spans="1:12">
      <c r="A669" s="77">
        <v>666</v>
      </c>
      <c r="B669" s="78" t="str">
        <f t="shared" si="17"/>
        <v>DilutionDulcamara</v>
      </c>
      <c r="C669" s="65" t="s">
        <v>115</v>
      </c>
      <c r="D669" s="83" t="s">
        <v>311</v>
      </c>
      <c r="E669" s="65" t="str">
        <f t="shared" si="18"/>
        <v>Dulcamara</v>
      </c>
      <c r="F669" s="65" t="s">
        <v>193</v>
      </c>
      <c r="K669" s="81">
        <v>0.01</v>
      </c>
      <c r="L669" s="81">
        <v>1</v>
      </c>
    </row>
    <row r="670" s="65" customFormat="1" customHeight="1" spans="1:12">
      <c r="A670" s="77">
        <v>667</v>
      </c>
      <c r="B670" s="78" t="e">
        <f t="shared" si="17"/>
        <v>#N/A</v>
      </c>
      <c r="C670" s="65" t="s">
        <v>115</v>
      </c>
      <c r="D670" s="83" t="s">
        <v>710</v>
      </c>
      <c r="E670" s="65" t="e">
        <f t="shared" si="18"/>
        <v>#N/A</v>
      </c>
      <c r="F670" s="65" t="s">
        <v>193</v>
      </c>
      <c r="K670" s="81">
        <v>0.01</v>
      </c>
      <c r="L670" s="81">
        <v>1</v>
      </c>
    </row>
    <row r="671" s="65" customFormat="1" customHeight="1" spans="1:12">
      <c r="A671" s="77">
        <v>668</v>
      </c>
      <c r="B671" s="78" t="str">
        <f t="shared" si="17"/>
        <v>DilutionEchinacea Ang.</v>
      </c>
      <c r="C671" s="65" t="s">
        <v>115</v>
      </c>
      <c r="D671" s="83" t="s">
        <v>312</v>
      </c>
      <c r="E671" s="65" t="str">
        <f t="shared" si="18"/>
        <v>Echinacea Ang.</v>
      </c>
      <c r="F671" s="65" t="s">
        <v>193</v>
      </c>
      <c r="K671" s="81">
        <v>0.01</v>
      </c>
      <c r="L671" s="81">
        <v>1</v>
      </c>
    </row>
    <row r="672" s="65" customFormat="1" customHeight="1" spans="1:12">
      <c r="A672" s="77">
        <v>669</v>
      </c>
      <c r="B672" s="78" t="e">
        <f t="shared" si="17"/>
        <v>#N/A</v>
      </c>
      <c r="C672" s="65" t="s">
        <v>115</v>
      </c>
      <c r="D672" s="83" t="s">
        <v>711</v>
      </c>
      <c r="E672" s="65" t="e">
        <f t="shared" si="18"/>
        <v>#N/A</v>
      </c>
      <c r="F672" s="65" t="s">
        <v>193</v>
      </c>
      <c r="K672" s="81">
        <v>0.01</v>
      </c>
      <c r="L672" s="81">
        <v>1</v>
      </c>
    </row>
    <row r="673" s="65" customFormat="1" customHeight="1" spans="1:12">
      <c r="A673" s="77">
        <v>670</v>
      </c>
      <c r="B673" s="78" t="e">
        <f t="shared" si="17"/>
        <v>#N/A</v>
      </c>
      <c r="C673" s="65" t="s">
        <v>115</v>
      </c>
      <c r="D673" s="83" t="s">
        <v>712</v>
      </c>
      <c r="E673" s="65" t="e">
        <f t="shared" si="18"/>
        <v>#N/A</v>
      </c>
      <c r="F673" s="65" t="s">
        <v>193</v>
      </c>
      <c r="K673" s="81">
        <v>0.01</v>
      </c>
      <c r="L673" s="81">
        <v>1</v>
      </c>
    </row>
    <row r="674" s="65" customFormat="1" customHeight="1" spans="1:12">
      <c r="A674" s="77">
        <v>671</v>
      </c>
      <c r="B674" s="78" t="e">
        <f t="shared" si="17"/>
        <v>#N/A</v>
      </c>
      <c r="C674" s="65" t="s">
        <v>115</v>
      </c>
      <c r="D674" s="83" t="s">
        <v>713</v>
      </c>
      <c r="E674" s="65" t="e">
        <f t="shared" si="18"/>
        <v>#N/A</v>
      </c>
      <c r="F674" s="65" t="s">
        <v>193</v>
      </c>
      <c r="K674" s="81">
        <v>0.01</v>
      </c>
      <c r="L674" s="81">
        <v>1</v>
      </c>
    </row>
    <row r="675" s="65" customFormat="1" customHeight="1" spans="1:12">
      <c r="A675" s="77">
        <v>672</v>
      </c>
      <c r="B675" s="78" t="e">
        <f t="shared" si="17"/>
        <v>#N/A</v>
      </c>
      <c r="C675" s="65" t="s">
        <v>115</v>
      </c>
      <c r="D675" s="83" t="s">
        <v>714</v>
      </c>
      <c r="E675" s="65" t="e">
        <f t="shared" si="18"/>
        <v>#N/A</v>
      </c>
      <c r="F675" s="65" t="s">
        <v>193</v>
      </c>
      <c r="K675" s="81">
        <v>0.01</v>
      </c>
      <c r="L675" s="81">
        <v>1</v>
      </c>
    </row>
    <row r="676" s="65" customFormat="1" customHeight="1" spans="1:12">
      <c r="A676" s="77">
        <v>673</v>
      </c>
      <c r="B676" s="78" t="e">
        <f t="shared" si="17"/>
        <v>#N/A</v>
      </c>
      <c r="C676" s="65" t="s">
        <v>115</v>
      </c>
      <c r="D676" s="83" t="s">
        <v>715</v>
      </c>
      <c r="E676" s="65" t="e">
        <f t="shared" si="18"/>
        <v>#N/A</v>
      </c>
      <c r="F676" s="65" t="s">
        <v>193</v>
      </c>
      <c r="K676" s="81">
        <v>0.01</v>
      </c>
      <c r="L676" s="81">
        <v>1</v>
      </c>
    </row>
    <row r="677" s="65" customFormat="1" customHeight="1" spans="1:12">
      <c r="A677" s="77">
        <v>674</v>
      </c>
      <c r="B677" s="78" t="str">
        <f t="shared" si="17"/>
        <v>DilutionEquisetum Hym</v>
      </c>
      <c r="C677" s="65" t="s">
        <v>115</v>
      </c>
      <c r="D677" s="83" t="s">
        <v>313</v>
      </c>
      <c r="E677" s="65" t="str">
        <f t="shared" si="18"/>
        <v>Equisetum Hym</v>
      </c>
      <c r="F677" s="65" t="s">
        <v>193</v>
      </c>
      <c r="K677" s="81">
        <v>0.01</v>
      </c>
      <c r="L677" s="81">
        <v>1</v>
      </c>
    </row>
    <row r="678" s="65" customFormat="1" customHeight="1" spans="1:12">
      <c r="A678" s="77">
        <v>675</v>
      </c>
      <c r="B678" s="78" t="str">
        <f t="shared" si="17"/>
        <v>DilutionErigeron can</v>
      </c>
      <c r="C678" s="65" t="s">
        <v>115</v>
      </c>
      <c r="D678" s="83" t="s">
        <v>314</v>
      </c>
      <c r="E678" s="65" t="str">
        <f t="shared" si="18"/>
        <v>Erigeron can</v>
      </c>
      <c r="F678" s="65" t="s">
        <v>193</v>
      </c>
      <c r="K678" s="81">
        <v>0.01</v>
      </c>
      <c r="L678" s="81">
        <v>1</v>
      </c>
    </row>
    <row r="679" s="65" customFormat="1" customHeight="1" spans="1:12">
      <c r="A679" s="77">
        <v>676</v>
      </c>
      <c r="B679" s="78" t="str">
        <f t="shared" si="17"/>
        <v>DilutionEriodictyon G (Yerba Santha)</v>
      </c>
      <c r="C679" s="65" t="s">
        <v>115</v>
      </c>
      <c r="D679" s="83" t="s">
        <v>315</v>
      </c>
      <c r="E679" s="65" t="str">
        <f t="shared" si="18"/>
        <v>Eriodictyon G (Yerba Santha)</v>
      </c>
      <c r="F679" s="65" t="s">
        <v>193</v>
      </c>
      <c r="K679" s="81">
        <v>0.01</v>
      </c>
      <c r="L679" s="81">
        <v>1</v>
      </c>
    </row>
    <row r="680" s="65" customFormat="1" customHeight="1" spans="1:12">
      <c r="A680" s="77">
        <v>677</v>
      </c>
      <c r="B680" s="78" t="e">
        <f t="shared" si="17"/>
        <v>#N/A</v>
      </c>
      <c r="C680" s="65" t="s">
        <v>115</v>
      </c>
      <c r="D680" s="83" t="s">
        <v>716</v>
      </c>
      <c r="E680" s="65" t="e">
        <f t="shared" si="18"/>
        <v>#N/A</v>
      </c>
      <c r="F680" s="65" t="s">
        <v>193</v>
      </c>
      <c r="K680" s="81">
        <v>0.01</v>
      </c>
      <c r="L680" s="81">
        <v>1</v>
      </c>
    </row>
    <row r="681" s="65" customFormat="1" customHeight="1" spans="1:12">
      <c r="A681" s="77">
        <v>678</v>
      </c>
      <c r="B681" s="78" t="str">
        <f t="shared" si="17"/>
        <v>DilutionEucalypt. Glob</v>
      </c>
      <c r="C681" s="65" t="s">
        <v>115</v>
      </c>
      <c r="D681" s="83" t="s">
        <v>316</v>
      </c>
      <c r="E681" s="65" t="str">
        <f t="shared" si="18"/>
        <v>Eucalypt. Glob</v>
      </c>
      <c r="F681" s="65" t="s">
        <v>193</v>
      </c>
      <c r="K681" s="81">
        <v>0.01</v>
      </c>
      <c r="L681" s="81">
        <v>1</v>
      </c>
    </row>
    <row r="682" s="65" customFormat="1" customHeight="1" spans="1:12">
      <c r="A682" s="77">
        <v>679</v>
      </c>
      <c r="B682" s="78" t="e">
        <f t="shared" si="17"/>
        <v>#N/A</v>
      </c>
      <c r="C682" s="65" t="s">
        <v>115</v>
      </c>
      <c r="D682" s="83" t="s">
        <v>717</v>
      </c>
      <c r="E682" s="65" t="e">
        <f t="shared" si="18"/>
        <v>#N/A</v>
      </c>
      <c r="F682" s="65" t="s">
        <v>193</v>
      </c>
      <c r="K682" s="81">
        <v>0.01</v>
      </c>
      <c r="L682" s="81">
        <v>1</v>
      </c>
    </row>
    <row r="683" s="65" customFormat="1" customHeight="1" spans="1:12">
      <c r="A683" s="77">
        <v>680</v>
      </c>
      <c r="B683" s="78" t="str">
        <f t="shared" si="17"/>
        <v>DilutionEupator. Perf.</v>
      </c>
      <c r="C683" s="65" t="s">
        <v>115</v>
      </c>
      <c r="D683" s="83" t="s">
        <v>317</v>
      </c>
      <c r="E683" s="65" t="str">
        <f t="shared" si="18"/>
        <v>Eupator. Perf.</v>
      </c>
      <c r="F683" s="65" t="s">
        <v>193</v>
      </c>
      <c r="K683" s="81">
        <v>0.01</v>
      </c>
      <c r="L683" s="81">
        <v>1</v>
      </c>
    </row>
    <row r="684" s="65" customFormat="1" customHeight="1" spans="1:12">
      <c r="A684" s="77">
        <v>681</v>
      </c>
      <c r="B684" s="78" t="str">
        <f t="shared" si="17"/>
        <v>DilutionEuphorbia Cor</v>
      </c>
      <c r="C684" s="65" t="s">
        <v>115</v>
      </c>
      <c r="D684" s="83" t="s">
        <v>318</v>
      </c>
      <c r="E684" s="65" t="str">
        <f t="shared" si="18"/>
        <v>Euphorbia Cor</v>
      </c>
      <c r="F684" s="65" t="s">
        <v>193</v>
      </c>
      <c r="K684" s="81">
        <v>0.01</v>
      </c>
      <c r="L684" s="81">
        <v>1</v>
      </c>
    </row>
    <row r="685" s="65" customFormat="1" customHeight="1" spans="1:12">
      <c r="A685" s="77">
        <v>682</v>
      </c>
      <c r="B685" s="78" t="str">
        <f t="shared" si="17"/>
        <v>DilutionEuphorbium</v>
      </c>
      <c r="C685" s="65" t="s">
        <v>115</v>
      </c>
      <c r="D685" s="83" t="s">
        <v>319</v>
      </c>
      <c r="E685" s="65" t="str">
        <f t="shared" si="18"/>
        <v>Euphorbium</v>
      </c>
      <c r="F685" s="65" t="s">
        <v>193</v>
      </c>
      <c r="K685" s="81">
        <v>0.01</v>
      </c>
      <c r="L685" s="81">
        <v>1</v>
      </c>
    </row>
    <row r="686" s="65" customFormat="1" customHeight="1" spans="1:12">
      <c r="A686" s="77">
        <v>683</v>
      </c>
      <c r="B686" s="78" t="str">
        <f t="shared" si="17"/>
        <v>DilutionEuphrasia off</v>
      </c>
      <c r="C686" s="65" t="s">
        <v>115</v>
      </c>
      <c r="D686" s="83" t="s">
        <v>320</v>
      </c>
      <c r="E686" s="65" t="str">
        <f t="shared" si="18"/>
        <v>Euphrasia off</v>
      </c>
      <c r="F686" s="65" t="s">
        <v>193</v>
      </c>
      <c r="K686" s="81">
        <v>0.01</v>
      </c>
      <c r="L686" s="81">
        <v>1</v>
      </c>
    </row>
    <row r="687" s="65" customFormat="1" customHeight="1" spans="1:12">
      <c r="A687" s="77">
        <v>684</v>
      </c>
      <c r="B687" s="78" t="e">
        <f t="shared" si="17"/>
        <v>#N/A</v>
      </c>
      <c r="C687" s="65" t="s">
        <v>115</v>
      </c>
      <c r="D687" s="83" t="s">
        <v>718</v>
      </c>
      <c r="E687" s="65" t="e">
        <f t="shared" si="18"/>
        <v>#N/A</v>
      </c>
      <c r="F687" s="65" t="s">
        <v>193</v>
      </c>
      <c r="K687" s="81">
        <v>0.01</v>
      </c>
      <c r="L687" s="81">
        <v>1</v>
      </c>
    </row>
    <row r="688" s="65" customFormat="1" customHeight="1" spans="1:12">
      <c r="A688" s="77">
        <v>685</v>
      </c>
      <c r="B688" s="78" t="e">
        <f t="shared" si="17"/>
        <v>#N/A</v>
      </c>
      <c r="C688" s="65" t="s">
        <v>115</v>
      </c>
      <c r="D688" s="83" t="s">
        <v>719</v>
      </c>
      <c r="E688" s="65" t="e">
        <f t="shared" si="18"/>
        <v>#N/A</v>
      </c>
      <c r="F688" s="65" t="s">
        <v>193</v>
      </c>
      <c r="K688" s="81">
        <v>0.01</v>
      </c>
      <c r="L688" s="81">
        <v>1</v>
      </c>
    </row>
    <row r="689" s="65" customFormat="1" customHeight="1" spans="1:12">
      <c r="A689" s="77">
        <v>686</v>
      </c>
      <c r="B689" s="78" t="e">
        <f t="shared" si="17"/>
        <v>#N/A</v>
      </c>
      <c r="C689" s="65" t="s">
        <v>115</v>
      </c>
      <c r="D689" s="83" t="s">
        <v>720</v>
      </c>
      <c r="E689" s="65" t="e">
        <f t="shared" si="18"/>
        <v>#N/A</v>
      </c>
      <c r="F689" s="65" t="s">
        <v>193</v>
      </c>
      <c r="K689" s="81">
        <v>0.01</v>
      </c>
      <c r="L689" s="81">
        <v>1</v>
      </c>
    </row>
    <row r="690" s="65" customFormat="1" customHeight="1" spans="1:12">
      <c r="A690" s="77">
        <v>687</v>
      </c>
      <c r="B690" s="78" t="e">
        <f t="shared" si="17"/>
        <v>#N/A</v>
      </c>
      <c r="C690" s="65" t="s">
        <v>115</v>
      </c>
      <c r="D690" s="83" t="s">
        <v>721</v>
      </c>
      <c r="E690" s="65" t="e">
        <f t="shared" si="18"/>
        <v>#N/A</v>
      </c>
      <c r="F690" s="65" t="s">
        <v>193</v>
      </c>
      <c r="K690" s="81">
        <v>0.01</v>
      </c>
      <c r="L690" s="81">
        <v>1</v>
      </c>
    </row>
    <row r="691" s="65" customFormat="1" customHeight="1" spans="1:12">
      <c r="A691" s="77">
        <v>688</v>
      </c>
      <c r="B691" s="78" t="e">
        <f t="shared" si="17"/>
        <v>#N/A</v>
      </c>
      <c r="C691" s="65" t="s">
        <v>115</v>
      </c>
      <c r="D691" s="83" t="s">
        <v>722</v>
      </c>
      <c r="E691" s="65" t="e">
        <f t="shared" si="18"/>
        <v>#N/A</v>
      </c>
      <c r="F691" s="65" t="s">
        <v>193</v>
      </c>
      <c r="K691" s="81">
        <v>0.01</v>
      </c>
      <c r="L691" s="81">
        <v>1</v>
      </c>
    </row>
    <row r="692" s="65" customFormat="1" customHeight="1" spans="1:12">
      <c r="A692" s="77">
        <v>689</v>
      </c>
      <c r="B692" s="78" t="e">
        <f t="shared" si="17"/>
        <v>#N/A</v>
      </c>
      <c r="C692" s="65" t="s">
        <v>115</v>
      </c>
      <c r="D692" s="83" t="s">
        <v>723</v>
      </c>
      <c r="E692" s="65" t="e">
        <f t="shared" si="18"/>
        <v>#N/A</v>
      </c>
      <c r="F692" s="65" t="s">
        <v>193</v>
      </c>
      <c r="K692" s="81">
        <v>0.01</v>
      </c>
      <c r="L692" s="81">
        <v>1</v>
      </c>
    </row>
    <row r="693" s="65" customFormat="1" customHeight="1" spans="1:12">
      <c r="A693" s="77">
        <v>690</v>
      </c>
      <c r="B693" s="78" t="e">
        <f t="shared" si="17"/>
        <v>#N/A</v>
      </c>
      <c r="C693" s="65" t="s">
        <v>115</v>
      </c>
      <c r="D693" s="83" t="s">
        <v>724</v>
      </c>
      <c r="E693" s="65" t="e">
        <f t="shared" si="18"/>
        <v>#N/A</v>
      </c>
      <c r="F693" s="65" t="s">
        <v>193</v>
      </c>
      <c r="K693" s="81">
        <v>0.01</v>
      </c>
      <c r="L693" s="81">
        <v>1</v>
      </c>
    </row>
    <row r="694" s="65" customFormat="1" customHeight="1" spans="1:12">
      <c r="A694" s="77">
        <v>691</v>
      </c>
      <c r="B694" s="78" t="str">
        <f t="shared" si="17"/>
        <v>DilutionFerrum Mur.</v>
      </c>
      <c r="C694" s="65" t="s">
        <v>115</v>
      </c>
      <c r="D694" s="83" t="s">
        <v>321</v>
      </c>
      <c r="E694" s="65" t="str">
        <f t="shared" si="18"/>
        <v>Ferrum Mur.</v>
      </c>
      <c r="F694" s="65" t="s">
        <v>193</v>
      </c>
      <c r="K694" s="81">
        <v>0.01</v>
      </c>
      <c r="L694" s="81">
        <v>1</v>
      </c>
    </row>
    <row r="695" s="65" customFormat="1" customHeight="1" spans="1:12">
      <c r="A695" s="77">
        <v>692</v>
      </c>
      <c r="B695" s="78" t="e">
        <f t="shared" si="17"/>
        <v>#N/A</v>
      </c>
      <c r="C695" s="65" t="s">
        <v>115</v>
      </c>
      <c r="D695" s="83" t="s">
        <v>725</v>
      </c>
      <c r="E695" s="65" t="e">
        <f t="shared" si="18"/>
        <v>#N/A</v>
      </c>
      <c r="F695" s="65" t="s">
        <v>193</v>
      </c>
      <c r="K695" s="81">
        <v>0.01</v>
      </c>
      <c r="L695" s="81">
        <v>1</v>
      </c>
    </row>
    <row r="696" s="65" customFormat="1" customHeight="1" spans="1:12">
      <c r="A696" s="77">
        <v>693</v>
      </c>
      <c r="B696" s="78" t="e">
        <f t="shared" si="17"/>
        <v>#N/A</v>
      </c>
      <c r="C696" s="65" t="s">
        <v>115</v>
      </c>
      <c r="D696" s="83" t="s">
        <v>726</v>
      </c>
      <c r="E696" s="65" t="e">
        <f t="shared" si="18"/>
        <v>#N/A</v>
      </c>
      <c r="F696" s="65" t="s">
        <v>193</v>
      </c>
      <c r="K696" s="81">
        <v>0.01</v>
      </c>
      <c r="L696" s="81">
        <v>1</v>
      </c>
    </row>
    <row r="697" s="65" customFormat="1" customHeight="1" spans="1:12">
      <c r="A697" s="77">
        <v>694</v>
      </c>
      <c r="B697" s="78" t="e">
        <f t="shared" si="17"/>
        <v>#N/A</v>
      </c>
      <c r="C697" s="65" t="s">
        <v>115</v>
      </c>
      <c r="D697" s="83" t="s">
        <v>727</v>
      </c>
      <c r="E697" s="65" t="e">
        <f t="shared" si="18"/>
        <v>#N/A</v>
      </c>
      <c r="F697" s="65" t="s">
        <v>193</v>
      </c>
      <c r="K697" s="81">
        <v>0.01</v>
      </c>
      <c r="L697" s="81">
        <v>1</v>
      </c>
    </row>
    <row r="698" s="65" customFormat="1" customHeight="1" spans="1:12">
      <c r="A698" s="77">
        <v>695</v>
      </c>
      <c r="B698" s="78" t="str">
        <f t="shared" si="17"/>
        <v>DilutionFicus Ind.</v>
      </c>
      <c r="C698" s="65" t="s">
        <v>115</v>
      </c>
      <c r="D698" s="83" t="s">
        <v>322</v>
      </c>
      <c r="E698" s="65" t="str">
        <f t="shared" si="18"/>
        <v>Ficus Ind.</v>
      </c>
      <c r="F698" s="65" t="s">
        <v>193</v>
      </c>
      <c r="K698" s="81">
        <v>0.01</v>
      </c>
      <c r="L698" s="81">
        <v>1</v>
      </c>
    </row>
    <row r="699" s="65" customFormat="1" customHeight="1" spans="1:12">
      <c r="A699" s="77">
        <v>696</v>
      </c>
      <c r="B699" s="78" t="str">
        <f t="shared" si="17"/>
        <v>DilutionFicus Rel.</v>
      </c>
      <c r="C699" s="65" t="s">
        <v>115</v>
      </c>
      <c r="D699" s="83" t="s">
        <v>323</v>
      </c>
      <c r="E699" s="65" t="str">
        <f t="shared" si="18"/>
        <v>Ficus Rel.</v>
      </c>
      <c r="F699" s="65" t="s">
        <v>193</v>
      </c>
      <c r="K699" s="81">
        <v>0.01</v>
      </c>
      <c r="L699" s="81">
        <v>1</v>
      </c>
    </row>
    <row r="700" s="65" customFormat="1" customHeight="1" spans="1:12">
      <c r="A700" s="77">
        <v>697</v>
      </c>
      <c r="B700" s="78" t="str">
        <f t="shared" si="17"/>
        <v>DilutionFilix Mas.</v>
      </c>
      <c r="C700" s="65" t="s">
        <v>115</v>
      </c>
      <c r="D700" s="83" t="s">
        <v>324</v>
      </c>
      <c r="E700" s="65" t="str">
        <f t="shared" si="18"/>
        <v>Filix Mas.</v>
      </c>
      <c r="F700" s="65" t="s">
        <v>193</v>
      </c>
      <c r="K700" s="81">
        <v>0.01</v>
      </c>
      <c r="L700" s="81">
        <v>1</v>
      </c>
    </row>
    <row r="701" s="65" customFormat="1" customHeight="1" spans="1:12">
      <c r="A701" s="77">
        <v>698</v>
      </c>
      <c r="B701" s="78" t="e">
        <f t="shared" si="17"/>
        <v>#N/A</v>
      </c>
      <c r="C701" s="65" t="s">
        <v>115</v>
      </c>
      <c r="D701" s="83" t="s">
        <v>728</v>
      </c>
      <c r="E701" s="65" t="e">
        <f t="shared" si="18"/>
        <v>#N/A</v>
      </c>
      <c r="F701" s="65" t="s">
        <v>193</v>
      </c>
      <c r="K701" s="81">
        <v>0.01</v>
      </c>
      <c r="L701" s="81">
        <v>1</v>
      </c>
    </row>
    <row r="702" s="65" customFormat="1" customHeight="1" spans="1:12">
      <c r="A702" s="77">
        <v>699</v>
      </c>
      <c r="B702" s="78" t="str">
        <f t="shared" si="17"/>
        <v>DilutionFormica Rufa</v>
      </c>
      <c r="C702" s="65" t="s">
        <v>115</v>
      </c>
      <c r="D702" s="83" t="s">
        <v>325</v>
      </c>
      <c r="E702" s="65" t="str">
        <f t="shared" si="18"/>
        <v>Formica Rufa</v>
      </c>
      <c r="F702" s="65" t="s">
        <v>193</v>
      </c>
      <c r="K702" s="81">
        <v>0.01</v>
      </c>
      <c r="L702" s="81">
        <v>1</v>
      </c>
    </row>
    <row r="703" s="65" customFormat="1" customHeight="1" spans="1:12">
      <c r="A703" s="77">
        <v>700</v>
      </c>
      <c r="B703" s="78" t="e">
        <f t="shared" si="17"/>
        <v>#N/A</v>
      </c>
      <c r="C703" s="65" t="s">
        <v>115</v>
      </c>
      <c r="D703" s="83" t="s">
        <v>729</v>
      </c>
      <c r="E703" s="65" t="e">
        <f t="shared" si="18"/>
        <v>#N/A</v>
      </c>
      <c r="F703" s="65" t="s">
        <v>193</v>
      </c>
      <c r="K703" s="81">
        <v>0.01</v>
      </c>
      <c r="L703" s="81">
        <v>1</v>
      </c>
    </row>
    <row r="704" s="65" customFormat="1" customHeight="1" spans="1:12">
      <c r="A704" s="77">
        <v>701</v>
      </c>
      <c r="B704" s="78" t="str">
        <f t="shared" si="17"/>
        <v>DilutionFraxinus Amer.</v>
      </c>
      <c r="C704" s="65" t="s">
        <v>115</v>
      </c>
      <c r="D704" s="83" t="s">
        <v>326</v>
      </c>
      <c r="E704" s="65" t="str">
        <f t="shared" si="18"/>
        <v>Fraxinus Amer.</v>
      </c>
      <c r="F704" s="65" t="s">
        <v>193</v>
      </c>
      <c r="K704" s="81">
        <v>0.01</v>
      </c>
      <c r="L704" s="81">
        <v>1</v>
      </c>
    </row>
    <row r="705" s="65" customFormat="1" customHeight="1" spans="1:12">
      <c r="A705" s="77">
        <v>702</v>
      </c>
      <c r="B705" s="78" t="str">
        <f t="shared" si="17"/>
        <v>DilutionFucus Ves.</v>
      </c>
      <c r="C705" s="65" t="s">
        <v>115</v>
      </c>
      <c r="D705" s="83" t="s">
        <v>327</v>
      </c>
      <c r="E705" s="65" t="str">
        <f t="shared" si="18"/>
        <v>Fucus Ves.</v>
      </c>
      <c r="F705" s="65" t="s">
        <v>193</v>
      </c>
      <c r="K705" s="81">
        <v>0.01</v>
      </c>
      <c r="L705" s="81">
        <v>1</v>
      </c>
    </row>
    <row r="706" s="65" customFormat="1" customHeight="1" spans="1:12">
      <c r="A706" s="77">
        <v>703</v>
      </c>
      <c r="B706" s="78" t="e">
        <f t="shared" si="17"/>
        <v>#N/A</v>
      </c>
      <c r="C706" s="65" t="s">
        <v>115</v>
      </c>
      <c r="D706" s="83" t="s">
        <v>730</v>
      </c>
      <c r="E706" s="65" t="e">
        <f t="shared" si="18"/>
        <v>#N/A</v>
      </c>
      <c r="F706" s="65" t="s">
        <v>193</v>
      </c>
      <c r="K706" s="81">
        <v>0.01</v>
      </c>
      <c r="L706" s="81">
        <v>1</v>
      </c>
    </row>
    <row r="707" s="65" customFormat="1" customHeight="1" spans="1:12">
      <c r="A707" s="77">
        <v>704</v>
      </c>
      <c r="B707" s="78" t="str">
        <f t="shared" si="17"/>
        <v>DilutionGambogia</v>
      </c>
      <c r="C707" s="65" t="s">
        <v>115</v>
      </c>
      <c r="D707" s="83" t="s">
        <v>328</v>
      </c>
      <c r="E707" s="65" t="str">
        <f t="shared" si="18"/>
        <v>Gambogia</v>
      </c>
      <c r="F707" s="65" t="s">
        <v>193</v>
      </c>
      <c r="K707" s="81">
        <v>0.01</v>
      </c>
      <c r="L707" s="81">
        <v>1</v>
      </c>
    </row>
    <row r="708" s="65" customFormat="1" customHeight="1" spans="1:12">
      <c r="A708" s="77">
        <v>705</v>
      </c>
      <c r="B708" s="78" t="str">
        <f t="shared" si="17"/>
        <v>DilutionGaultheria</v>
      </c>
      <c r="C708" s="65" t="s">
        <v>115</v>
      </c>
      <c r="D708" s="83" t="s">
        <v>329</v>
      </c>
      <c r="E708" s="65" t="str">
        <f t="shared" si="18"/>
        <v>Gaultheria</v>
      </c>
      <c r="F708" s="65" t="s">
        <v>193</v>
      </c>
      <c r="K708" s="81">
        <v>0.01</v>
      </c>
      <c r="L708" s="81">
        <v>1</v>
      </c>
    </row>
    <row r="709" s="65" customFormat="1" customHeight="1" spans="1:12">
      <c r="A709" s="77">
        <v>706</v>
      </c>
      <c r="B709" s="78" t="str">
        <f t="shared" ref="B709:B772" si="19">+C709&amp;E709</f>
        <v>DilutionGelsemium Semp.</v>
      </c>
      <c r="C709" s="65" t="s">
        <v>115</v>
      </c>
      <c r="D709" s="83" t="s">
        <v>330</v>
      </c>
      <c r="E709" s="65" t="str">
        <f t="shared" si="18"/>
        <v>Gelsemium Semp.</v>
      </c>
      <c r="F709" s="65" t="s">
        <v>193</v>
      </c>
      <c r="K709" s="81">
        <v>0.01</v>
      </c>
      <c r="L709" s="81">
        <v>1</v>
      </c>
    </row>
    <row r="710" s="65" customFormat="1" customHeight="1" spans="1:12">
      <c r="A710" s="77">
        <v>707</v>
      </c>
      <c r="B710" s="78" t="str">
        <f t="shared" si="19"/>
        <v>DilutionGentiana Lut</v>
      </c>
      <c r="C710" s="65" t="s">
        <v>115</v>
      </c>
      <c r="D710" s="83" t="s">
        <v>331</v>
      </c>
      <c r="E710" s="65" t="str">
        <f t="shared" si="18"/>
        <v>Gentiana Lut</v>
      </c>
      <c r="F710" s="65" t="s">
        <v>193</v>
      </c>
      <c r="K710" s="81">
        <v>0.01</v>
      </c>
      <c r="L710" s="81">
        <v>1</v>
      </c>
    </row>
    <row r="711" s="65" customFormat="1" customHeight="1" spans="1:12">
      <c r="A711" s="77">
        <v>708</v>
      </c>
      <c r="B711" s="78" t="str">
        <f t="shared" si="19"/>
        <v>DilutionGeranium Mac.</v>
      </c>
      <c r="C711" s="65" t="s">
        <v>115</v>
      </c>
      <c r="D711" s="83" t="s">
        <v>332</v>
      </c>
      <c r="E711" s="65" t="str">
        <f t="shared" si="18"/>
        <v>Geranium Mac.</v>
      </c>
      <c r="F711" s="65" t="s">
        <v>193</v>
      </c>
      <c r="K711" s="81">
        <v>0.01</v>
      </c>
      <c r="L711" s="81">
        <v>1</v>
      </c>
    </row>
    <row r="712" s="65" customFormat="1" customHeight="1" spans="1:12">
      <c r="A712" s="77">
        <v>709</v>
      </c>
      <c r="B712" s="78" t="str">
        <f t="shared" si="19"/>
        <v>DilutionGinseng</v>
      </c>
      <c r="C712" s="65" t="s">
        <v>115</v>
      </c>
      <c r="D712" s="83" t="s">
        <v>333</v>
      </c>
      <c r="E712" s="65" t="str">
        <f t="shared" si="18"/>
        <v>Ginseng</v>
      </c>
      <c r="F712" s="65" t="s">
        <v>193</v>
      </c>
      <c r="K712" s="81">
        <v>0.01</v>
      </c>
      <c r="L712" s="81">
        <v>1</v>
      </c>
    </row>
    <row r="713" s="65" customFormat="1" customHeight="1" spans="1:12">
      <c r="A713" s="77">
        <v>710</v>
      </c>
      <c r="B713" s="78" t="e">
        <f t="shared" si="19"/>
        <v>#N/A</v>
      </c>
      <c r="C713" s="65" t="s">
        <v>115</v>
      </c>
      <c r="D713" s="83" t="s">
        <v>731</v>
      </c>
      <c r="E713" s="65" t="e">
        <f t="shared" si="18"/>
        <v>#N/A</v>
      </c>
      <c r="F713" s="65" t="s">
        <v>193</v>
      </c>
      <c r="K713" s="81">
        <v>0.01</v>
      </c>
      <c r="L713" s="81">
        <v>1</v>
      </c>
    </row>
    <row r="714" s="65" customFormat="1" customHeight="1" spans="1:12">
      <c r="A714" s="77">
        <v>711</v>
      </c>
      <c r="B714" s="78" t="str">
        <f t="shared" si="19"/>
        <v>DilutionGlycerinum</v>
      </c>
      <c r="C714" s="65" t="s">
        <v>115</v>
      </c>
      <c r="D714" s="83" t="s">
        <v>334</v>
      </c>
      <c r="E714" s="65" t="str">
        <f t="shared" si="18"/>
        <v>Glycerinum</v>
      </c>
      <c r="F714" s="65" t="s">
        <v>193</v>
      </c>
      <c r="K714" s="81">
        <v>0.01</v>
      </c>
      <c r="L714" s="81">
        <v>1</v>
      </c>
    </row>
    <row r="715" s="65" customFormat="1" customHeight="1" spans="1:12">
      <c r="A715" s="77">
        <v>712</v>
      </c>
      <c r="B715" s="78" t="str">
        <f t="shared" si="19"/>
        <v>DilutionGnaphalium P</v>
      </c>
      <c r="C715" s="65" t="s">
        <v>115</v>
      </c>
      <c r="D715" s="83" t="s">
        <v>335</v>
      </c>
      <c r="E715" s="65" t="str">
        <f t="shared" si="18"/>
        <v>Gnaphalium P</v>
      </c>
      <c r="F715" s="65" t="s">
        <v>193</v>
      </c>
      <c r="K715" s="81">
        <v>0.01</v>
      </c>
      <c r="L715" s="81">
        <v>1</v>
      </c>
    </row>
    <row r="716" s="65" customFormat="1" customHeight="1" spans="1:12">
      <c r="A716" s="77">
        <v>713</v>
      </c>
      <c r="B716" s="78" t="e">
        <f t="shared" si="19"/>
        <v>#N/A</v>
      </c>
      <c r="C716" s="65" t="s">
        <v>115</v>
      </c>
      <c r="D716" s="83" t="s">
        <v>732</v>
      </c>
      <c r="E716" s="65" t="e">
        <f t="shared" si="18"/>
        <v>#N/A</v>
      </c>
      <c r="F716" s="65" t="s">
        <v>193</v>
      </c>
      <c r="K716" s="81">
        <v>0.01</v>
      </c>
      <c r="L716" s="81">
        <v>1</v>
      </c>
    </row>
    <row r="717" s="65" customFormat="1" customHeight="1" spans="1:12">
      <c r="A717" s="77">
        <v>714</v>
      </c>
      <c r="B717" s="78" t="str">
        <f t="shared" si="19"/>
        <v>DilutionGossypiun Herb</v>
      </c>
      <c r="C717" s="65" t="s">
        <v>115</v>
      </c>
      <c r="D717" s="83" t="s">
        <v>336</v>
      </c>
      <c r="E717" s="65" t="str">
        <f t="shared" si="18"/>
        <v>Gossypiun Herb</v>
      </c>
      <c r="F717" s="65" t="s">
        <v>193</v>
      </c>
      <c r="K717" s="81">
        <v>0.01</v>
      </c>
      <c r="L717" s="81">
        <v>1</v>
      </c>
    </row>
    <row r="718" s="65" customFormat="1" customHeight="1" spans="1:12">
      <c r="A718" s="77">
        <v>715</v>
      </c>
      <c r="B718" s="78" t="str">
        <f t="shared" si="19"/>
        <v>DilutionGranatum</v>
      </c>
      <c r="C718" s="65" t="s">
        <v>115</v>
      </c>
      <c r="D718" s="83" t="s">
        <v>337</v>
      </c>
      <c r="E718" s="65" t="str">
        <f t="shared" ref="E718:E781" si="20">+VLOOKUP(D718,$D$4:$D$301,1,FALSE)</f>
        <v>Granatum</v>
      </c>
      <c r="F718" s="65" t="s">
        <v>193</v>
      </c>
      <c r="K718" s="81">
        <v>0.01</v>
      </c>
      <c r="L718" s="81">
        <v>1</v>
      </c>
    </row>
    <row r="719" s="65" customFormat="1" customHeight="1" spans="1:12">
      <c r="A719" s="77">
        <v>716</v>
      </c>
      <c r="B719" s="78" t="e">
        <f t="shared" si="19"/>
        <v>#N/A</v>
      </c>
      <c r="C719" s="65" t="s">
        <v>115</v>
      </c>
      <c r="D719" s="83" t="s">
        <v>511</v>
      </c>
      <c r="E719" s="65" t="e">
        <f t="shared" si="20"/>
        <v>#N/A</v>
      </c>
      <c r="F719" s="65" t="s">
        <v>193</v>
      </c>
      <c r="K719" s="81">
        <v>0.01</v>
      </c>
      <c r="L719" s="81">
        <v>1</v>
      </c>
    </row>
    <row r="720" s="65" customFormat="1" customHeight="1" spans="1:12">
      <c r="A720" s="77">
        <v>717</v>
      </c>
      <c r="B720" s="78" t="e">
        <f t="shared" si="19"/>
        <v>#N/A</v>
      </c>
      <c r="C720" s="65" t="s">
        <v>115</v>
      </c>
      <c r="D720" s="83" t="s">
        <v>733</v>
      </c>
      <c r="E720" s="65" t="e">
        <f t="shared" si="20"/>
        <v>#N/A</v>
      </c>
      <c r="F720" s="65" t="s">
        <v>193</v>
      </c>
      <c r="K720" s="81">
        <v>0.01</v>
      </c>
      <c r="L720" s="81">
        <v>1</v>
      </c>
    </row>
    <row r="721" s="65" customFormat="1" customHeight="1" spans="1:12">
      <c r="A721" s="77">
        <v>718</v>
      </c>
      <c r="B721" s="78" t="str">
        <f t="shared" si="19"/>
        <v>DilutionGrindelia Rob.</v>
      </c>
      <c r="C721" s="65" t="s">
        <v>115</v>
      </c>
      <c r="D721" s="83" t="s">
        <v>338</v>
      </c>
      <c r="E721" s="65" t="str">
        <f t="shared" si="20"/>
        <v>Grindelia Rob.</v>
      </c>
      <c r="F721" s="65" t="s">
        <v>193</v>
      </c>
      <c r="K721" s="81">
        <v>0.01</v>
      </c>
      <c r="L721" s="81">
        <v>1</v>
      </c>
    </row>
    <row r="722" s="65" customFormat="1" customHeight="1" spans="1:12">
      <c r="A722" s="77">
        <v>719</v>
      </c>
      <c r="B722" s="78" t="str">
        <f t="shared" si="19"/>
        <v>DilutionGuaiacum</v>
      </c>
      <c r="C722" s="65" t="s">
        <v>115</v>
      </c>
      <c r="D722" s="83" t="s">
        <v>339</v>
      </c>
      <c r="E722" s="65" t="str">
        <f t="shared" si="20"/>
        <v>Guaiacum</v>
      </c>
      <c r="F722" s="65" t="s">
        <v>193</v>
      </c>
      <c r="K722" s="81">
        <v>0.01</v>
      </c>
      <c r="L722" s="81">
        <v>1</v>
      </c>
    </row>
    <row r="723" s="65" customFormat="1" customHeight="1" spans="1:12">
      <c r="A723" s="77">
        <v>720</v>
      </c>
      <c r="B723" s="78" t="e">
        <f t="shared" si="19"/>
        <v>#N/A</v>
      </c>
      <c r="C723" s="65" t="s">
        <v>115</v>
      </c>
      <c r="D723" s="83" t="s">
        <v>734</v>
      </c>
      <c r="E723" s="65" t="e">
        <f t="shared" si="20"/>
        <v>#N/A</v>
      </c>
      <c r="F723" s="65" t="s">
        <v>193</v>
      </c>
      <c r="K723" s="81">
        <v>0.01</v>
      </c>
      <c r="L723" s="81">
        <v>1</v>
      </c>
    </row>
    <row r="724" s="65" customFormat="1" customHeight="1" spans="1:12">
      <c r="A724" s="77">
        <v>721</v>
      </c>
      <c r="B724" s="78" t="str">
        <f t="shared" si="19"/>
        <v>DilutionGymnema. Syl</v>
      </c>
      <c r="C724" s="65" t="s">
        <v>115</v>
      </c>
      <c r="D724" s="83" t="s">
        <v>340</v>
      </c>
      <c r="E724" s="65" t="str">
        <f t="shared" si="20"/>
        <v>Gymnema. Syl</v>
      </c>
      <c r="F724" s="65" t="s">
        <v>193</v>
      </c>
      <c r="K724" s="81">
        <v>0.01</v>
      </c>
      <c r="L724" s="81">
        <v>1</v>
      </c>
    </row>
    <row r="725" s="65" customFormat="1" customHeight="1" spans="1:12">
      <c r="A725" s="77">
        <v>722</v>
      </c>
      <c r="B725" s="78" t="e">
        <f t="shared" si="19"/>
        <v>#N/A</v>
      </c>
      <c r="C725" s="65" t="s">
        <v>115</v>
      </c>
      <c r="D725" s="83" t="s">
        <v>735</v>
      </c>
      <c r="E725" s="65" t="e">
        <f t="shared" si="20"/>
        <v>#N/A</v>
      </c>
      <c r="F725" s="65" t="s">
        <v>193</v>
      </c>
      <c r="K725" s="81">
        <v>0.01</v>
      </c>
      <c r="L725" s="81">
        <v>1</v>
      </c>
    </row>
    <row r="726" s="65" customFormat="1" customHeight="1" spans="1:12">
      <c r="A726" s="77">
        <v>723</v>
      </c>
      <c r="B726" s="78" t="str">
        <f t="shared" si="19"/>
        <v>DilutionHamamelis Virg.</v>
      </c>
      <c r="C726" s="65" t="s">
        <v>115</v>
      </c>
      <c r="D726" s="83" t="s">
        <v>341</v>
      </c>
      <c r="E726" s="65" t="str">
        <f t="shared" si="20"/>
        <v>Hamamelis Virg.</v>
      </c>
      <c r="F726" s="65" t="s">
        <v>193</v>
      </c>
      <c r="K726" s="81">
        <v>0.01</v>
      </c>
      <c r="L726" s="81">
        <v>1</v>
      </c>
    </row>
    <row r="727" s="65" customFormat="1" customHeight="1" spans="1:12">
      <c r="A727" s="77">
        <v>724</v>
      </c>
      <c r="B727" s="78" t="str">
        <f t="shared" si="19"/>
        <v>DilutionHedera Helix</v>
      </c>
      <c r="C727" s="65" t="s">
        <v>115</v>
      </c>
      <c r="D727" s="83" t="s">
        <v>342</v>
      </c>
      <c r="E727" s="65" t="str">
        <f t="shared" si="20"/>
        <v>Hedera Helix</v>
      </c>
      <c r="F727" s="65" t="s">
        <v>193</v>
      </c>
      <c r="K727" s="81">
        <v>0.01</v>
      </c>
      <c r="L727" s="81">
        <v>1</v>
      </c>
    </row>
    <row r="728" s="65" customFormat="1" customHeight="1" spans="1:12">
      <c r="A728" s="77">
        <v>725</v>
      </c>
      <c r="B728" s="78" t="e">
        <f t="shared" si="19"/>
        <v>#N/A</v>
      </c>
      <c r="C728" s="65" t="s">
        <v>115</v>
      </c>
      <c r="D728" s="83" t="s">
        <v>736</v>
      </c>
      <c r="E728" s="65" t="e">
        <f t="shared" si="20"/>
        <v>#N/A</v>
      </c>
      <c r="F728" s="65" t="s">
        <v>193</v>
      </c>
      <c r="K728" s="81">
        <v>0.01</v>
      </c>
      <c r="L728" s="81">
        <v>1</v>
      </c>
    </row>
    <row r="729" s="65" customFormat="1" customHeight="1" spans="1:12">
      <c r="A729" s="77">
        <v>726</v>
      </c>
      <c r="B729" s="78" t="str">
        <f t="shared" si="19"/>
        <v>DilutionHelianthus. A.</v>
      </c>
      <c r="C729" s="65" t="s">
        <v>115</v>
      </c>
      <c r="D729" s="83" t="s">
        <v>343</v>
      </c>
      <c r="E729" s="65" t="str">
        <f t="shared" si="20"/>
        <v>Helianthus. A.</v>
      </c>
      <c r="F729" s="65" t="s">
        <v>193</v>
      </c>
      <c r="K729" s="81">
        <v>0.01</v>
      </c>
      <c r="L729" s="81">
        <v>1</v>
      </c>
    </row>
    <row r="730" s="65" customFormat="1" customHeight="1" spans="1:12">
      <c r="A730" s="77">
        <v>727</v>
      </c>
      <c r="B730" s="78" t="e">
        <f t="shared" si="19"/>
        <v>#N/A</v>
      </c>
      <c r="C730" s="65" t="s">
        <v>115</v>
      </c>
      <c r="D730" s="83" t="s">
        <v>737</v>
      </c>
      <c r="E730" s="65" t="e">
        <f t="shared" si="20"/>
        <v>#N/A</v>
      </c>
      <c r="F730" s="65" t="s">
        <v>193</v>
      </c>
      <c r="K730" s="81">
        <v>0.01</v>
      </c>
      <c r="L730" s="81">
        <v>1</v>
      </c>
    </row>
    <row r="731" s="65" customFormat="1" customHeight="1" spans="1:12">
      <c r="A731" s="77">
        <v>728</v>
      </c>
      <c r="B731" s="78" t="str">
        <f t="shared" si="19"/>
        <v>DilutionHelleborus Nig.</v>
      </c>
      <c r="C731" s="65" t="s">
        <v>115</v>
      </c>
      <c r="D731" s="83" t="s">
        <v>344</v>
      </c>
      <c r="E731" s="65" t="str">
        <f t="shared" si="20"/>
        <v>Helleborus Nig.</v>
      </c>
      <c r="F731" s="65" t="s">
        <v>193</v>
      </c>
      <c r="K731" s="81">
        <v>0.01</v>
      </c>
      <c r="L731" s="81">
        <v>1</v>
      </c>
    </row>
    <row r="732" s="65" customFormat="1" customHeight="1" spans="1:12">
      <c r="A732" s="77">
        <v>729</v>
      </c>
      <c r="B732" s="78" t="e">
        <f t="shared" si="19"/>
        <v>#N/A</v>
      </c>
      <c r="C732" s="65" t="s">
        <v>115</v>
      </c>
      <c r="D732" s="83" t="s">
        <v>738</v>
      </c>
      <c r="E732" s="65" t="e">
        <f t="shared" si="20"/>
        <v>#N/A</v>
      </c>
      <c r="F732" s="65" t="s">
        <v>193</v>
      </c>
      <c r="K732" s="81">
        <v>0.01</v>
      </c>
      <c r="L732" s="81">
        <v>1</v>
      </c>
    </row>
    <row r="733" s="65" customFormat="1" customHeight="1" spans="1:12">
      <c r="A733" s="77">
        <v>730</v>
      </c>
      <c r="B733" s="78" t="str">
        <f t="shared" si="19"/>
        <v>DilutionHelonias Dio</v>
      </c>
      <c r="C733" s="65" t="s">
        <v>115</v>
      </c>
      <c r="D733" s="83" t="s">
        <v>345</v>
      </c>
      <c r="E733" s="65" t="str">
        <f t="shared" si="20"/>
        <v>Helonias Dio</v>
      </c>
      <c r="F733" s="65" t="s">
        <v>193</v>
      </c>
      <c r="K733" s="81">
        <v>0.01</v>
      </c>
      <c r="L733" s="81">
        <v>1</v>
      </c>
    </row>
    <row r="734" s="65" customFormat="1" customHeight="1" spans="1:12">
      <c r="A734" s="77">
        <v>731</v>
      </c>
      <c r="B734" s="78" t="e">
        <f t="shared" si="19"/>
        <v>#N/A</v>
      </c>
      <c r="C734" s="65" t="s">
        <v>115</v>
      </c>
      <c r="D734" s="83" t="s">
        <v>512</v>
      </c>
      <c r="E734" s="65" t="e">
        <f t="shared" si="20"/>
        <v>#N/A</v>
      </c>
      <c r="F734" s="65" t="s">
        <v>193</v>
      </c>
      <c r="K734" s="81">
        <v>0.01</v>
      </c>
      <c r="L734" s="81">
        <v>1</v>
      </c>
    </row>
    <row r="735" s="65" customFormat="1" customHeight="1" spans="1:12">
      <c r="A735" s="77">
        <v>732</v>
      </c>
      <c r="B735" s="78" t="e">
        <f t="shared" si="19"/>
        <v>#N/A</v>
      </c>
      <c r="C735" s="65" t="s">
        <v>115</v>
      </c>
      <c r="D735" s="83" t="s">
        <v>739</v>
      </c>
      <c r="E735" s="65" t="e">
        <f t="shared" si="20"/>
        <v>#N/A</v>
      </c>
      <c r="F735" s="65" t="s">
        <v>193</v>
      </c>
      <c r="K735" s="81">
        <v>0.01</v>
      </c>
      <c r="L735" s="81">
        <v>1</v>
      </c>
    </row>
    <row r="736" s="65" customFormat="1" customHeight="1" spans="1:12">
      <c r="A736" s="77">
        <v>733</v>
      </c>
      <c r="B736" s="78" t="e">
        <f t="shared" si="19"/>
        <v>#N/A</v>
      </c>
      <c r="C736" s="65" t="s">
        <v>115</v>
      </c>
      <c r="D736" s="83" t="s">
        <v>740</v>
      </c>
      <c r="E736" s="65" t="e">
        <f t="shared" si="20"/>
        <v>#N/A</v>
      </c>
      <c r="F736" s="65" t="s">
        <v>193</v>
      </c>
      <c r="K736" s="81">
        <v>0.01</v>
      </c>
      <c r="L736" s="81">
        <v>1</v>
      </c>
    </row>
    <row r="737" s="65" customFormat="1" customHeight="1" spans="1:12">
      <c r="A737" s="77">
        <v>734</v>
      </c>
      <c r="B737" s="78" t="str">
        <f t="shared" si="19"/>
        <v>DilutionHolarrhena Ant. D (Kurchi)</v>
      </c>
      <c r="C737" s="65" t="s">
        <v>115</v>
      </c>
      <c r="D737" s="83" t="s">
        <v>346</v>
      </c>
      <c r="E737" s="65" t="str">
        <f t="shared" si="20"/>
        <v>Holarrhena Ant. D (Kurchi)</v>
      </c>
      <c r="F737" s="65" t="s">
        <v>193</v>
      </c>
      <c r="K737" s="81">
        <v>0.01</v>
      </c>
      <c r="L737" s="81">
        <v>1</v>
      </c>
    </row>
    <row r="738" s="65" customFormat="1" customHeight="1" spans="1:12">
      <c r="A738" s="77">
        <v>735</v>
      </c>
      <c r="B738" s="78" t="e">
        <f t="shared" si="19"/>
        <v>#N/A</v>
      </c>
      <c r="C738" s="65" t="s">
        <v>115</v>
      </c>
      <c r="D738" s="83" t="s">
        <v>741</v>
      </c>
      <c r="E738" s="65" t="e">
        <f t="shared" si="20"/>
        <v>#N/A</v>
      </c>
      <c r="F738" s="65" t="s">
        <v>193</v>
      </c>
      <c r="K738" s="81">
        <v>0.01</v>
      </c>
      <c r="L738" s="81">
        <v>1</v>
      </c>
    </row>
    <row r="739" s="65" customFormat="1" customHeight="1" spans="1:12">
      <c r="A739" s="77">
        <v>736</v>
      </c>
      <c r="B739" s="78" t="e">
        <f t="shared" si="19"/>
        <v>#N/A</v>
      </c>
      <c r="C739" s="65" t="s">
        <v>115</v>
      </c>
      <c r="D739" s="83" t="s">
        <v>742</v>
      </c>
      <c r="E739" s="65" t="e">
        <f t="shared" si="20"/>
        <v>#N/A</v>
      </c>
      <c r="F739" s="65" t="s">
        <v>193</v>
      </c>
      <c r="K739" s="81">
        <v>0.01</v>
      </c>
      <c r="L739" s="81">
        <v>1</v>
      </c>
    </row>
    <row r="740" s="65" customFormat="1" customHeight="1" spans="1:12">
      <c r="A740" s="77">
        <v>737</v>
      </c>
      <c r="B740" s="78" t="str">
        <f t="shared" si="19"/>
        <v>DilutionHydrastis Can.</v>
      </c>
      <c r="C740" s="65" t="s">
        <v>115</v>
      </c>
      <c r="D740" s="83" t="s">
        <v>347</v>
      </c>
      <c r="E740" s="65" t="str">
        <f t="shared" si="20"/>
        <v>Hydrastis Can.</v>
      </c>
      <c r="F740" s="65" t="s">
        <v>193</v>
      </c>
      <c r="K740" s="81">
        <v>0.01</v>
      </c>
      <c r="L740" s="81">
        <v>1</v>
      </c>
    </row>
    <row r="741" s="65" customFormat="1" customHeight="1" spans="1:12">
      <c r="A741" s="77">
        <v>738</v>
      </c>
      <c r="B741" s="78" t="str">
        <f t="shared" si="19"/>
        <v>DilutionHydrocotyle Asi.</v>
      </c>
      <c r="C741" s="65" t="s">
        <v>115</v>
      </c>
      <c r="D741" s="83" t="s">
        <v>348</v>
      </c>
      <c r="E741" s="65" t="str">
        <f t="shared" si="20"/>
        <v>Hydrocotyle Asi.</v>
      </c>
      <c r="F741" s="65" t="s">
        <v>193</v>
      </c>
      <c r="K741" s="81">
        <v>0.01</v>
      </c>
      <c r="L741" s="81">
        <v>1</v>
      </c>
    </row>
    <row r="742" s="65" customFormat="1" customHeight="1" spans="1:12">
      <c r="A742" s="77">
        <v>739</v>
      </c>
      <c r="B742" s="78" t="e">
        <f t="shared" si="19"/>
        <v>#N/A</v>
      </c>
      <c r="C742" s="65" t="s">
        <v>115</v>
      </c>
      <c r="D742" s="83" t="s">
        <v>743</v>
      </c>
      <c r="E742" s="65" t="e">
        <f t="shared" si="20"/>
        <v>#N/A</v>
      </c>
      <c r="F742" s="65" t="s">
        <v>193</v>
      </c>
      <c r="K742" s="81">
        <v>0.01</v>
      </c>
      <c r="L742" s="81">
        <v>1</v>
      </c>
    </row>
    <row r="743" s="65" customFormat="1" customHeight="1" spans="1:12">
      <c r="A743" s="77">
        <v>740</v>
      </c>
      <c r="B743" s="78" t="str">
        <f t="shared" si="19"/>
        <v>DilutionHyoscyamus. N.</v>
      </c>
      <c r="C743" s="65" t="s">
        <v>115</v>
      </c>
      <c r="D743" s="83" t="s">
        <v>349</v>
      </c>
      <c r="E743" s="65" t="str">
        <f t="shared" si="20"/>
        <v>Hyoscyamus. N.</v>
      </c>
      <c r="F743" s="65" t="s">
        <v>193</v>
      </c>
      <c r="K743" s="81">
        <v>0.01</v>
      </c>
      <c r="L743" s="81">
        <v>1</v>
      </c>
    </row>
    <row r="744" s="65" customFormat="1" customHeight="1" spans="1:12">
      <c r="A744" s="77">
        <v>741</v>
      </c>
      <c r="B744" s="78" t="str">
        <f t="shared" si="19"/>
        <v>DilutionHypericum Perf.</v>
      </c>
      <c r="C744" s="65" t="s">
        <v>115</v>
      </c>
      <c r="D744" s="83" t="s">
        <v>350</v>
      </c>
      <c r="E744" s="65" t="str">
        <f t="shared" si="20"/>
        <v>Hypericum Perf.</v>
      </c>
      <c r="F744" s="65" t="s">
        <v>193</v>
      </c>
      <c r="K744" s="81">
        <v>0.01</v>
      </c>
      <c r="L744" s="81">
        <v>1</v>
      </c>
    </row>
    <row r="745" s="65" customFormat="1" customHeight="1" spans="1:12">
      <c r="A745" s="77">
        <v>742</v>
      </c>
      <c r="B745" s="78" t="e">
        <f t="shared" si="19"/>
        <v>#N/A</v>
      </c>
      <c r="C745" s="65" t="s">
        <v>115</v>
      </c>
      <c r="D745" s="83" t="s">
        <v>744</v>
      </c>
      <c r="E745" s="65" t="e">
        <f t="shared" si="20"/>
        <v>#N/A</v>
      </c>
      <c r="F745" s="65" t="s">
        <v>193</v>
      </c>
      <c r="K745" s="81">
        <v>0.01</v>
      </c>
      <c r="L745" s="81">
        <v>1</v>
      </c>
    </row>
    <row r="746" s="65" customFormat="1" customHeight="1" spans="1:12">
      <c r="A746" s="77">
        <v>743</v>
      </c>
      <c r="B746" s="78" t="e">
        <f t="shared" si="19"/>
        <v>#N/A</v>
      </c>
      <c r="C746" s="65" t="s">
        <v>115</v>
      </c>
      <c r="D746" s="83" t="s">
        <v>745</v>
      </c>
      <c r="E746" s="65" t="e">
        <f t="shared" si="20"/>
        <v>#N/A</v>
      </c>
      <c r="F746" s="65" t="s">
        <v>193</v>
      </c>
      <c r="K746" s="81">
        <v>0.01</v>
      </c>
      <c r="L746" s="81">
        <v>1</v>
      </c>
    </row>
    <row r="747" s="65" customFormat="1" customHeight="1" spans="1:12">
      <c r="A747" s="77">
        <v>744</v>
      </c>
      <c r="B747" s="78" t="str">
        <f t="shared" si="19"/>
        <v>DilutionIgnatia Amara</v>
      </c>
      <c r="C747" s="65" t="s">
        <v>115</v>
      </c>
      <c r="D747" s="83" t="s">
        <v>351</v>
      </c>
      <c r="E747" s="65" t="str">
        <f t="shared" si="20"/>
        <v>Ignatia Amara</v>
      </c>
      <c r="F747" s="65" t="s">
        <v>193</v>
      </c>
      <c r="K747" s="81">
        <v>0.01</v>
      </c>
      <c r="L747" s="81">
        <v>1</v>
      </c>
    </row>
    <row r="748" s="65" customFormat="1" customHeight="1" spans="1:12">
      <c r="A748" s="77">
        <v>745</v>
      </c>
      <c r="B748" s="78" t="str">
        <f t="shared" si="19"/>
        <v>DilutionIllicium A.</v>
      </c>
      <c r="C748" s="65" t="s">
        <v>115</v>
      </c>
      <c r="D748" s="83" t="s">
        <v>352</v>
      </c>
      <c r="E748" s="65" t="str">
        <f t="shared" si="20"/>
        <v>Illicium A.</v>
      </c>
      <c r="F748" s="65" t="s">
        <v>193</v>
      </c>
      <c r="K748" s="81">
        <v>0.01</v>
      </c>
      <c r="L748" s="81">
        <v>1</v>
      </c>
    </row>
    <row r="749" s="65" customFormat="1" customHeight="1" spans="1:12">
      <c r="A749" s="77">
        <v>746</v>
      </c>
      <c r="B749" s="78" t="e">
        <f t="shared" si="19"/>
        <v>#N/A</v>
      </c>
      <c r="C749" s="65" t="s">
        <v>115</v>
      </c>
      <c r="D749" s="83" t="s">
        <v>746</v>
      </c>
      <c r="E749" s="65" t="e">
        <f t="shared" si="20"/>
        <v>#N/A</v>
      </c>
      <c r="F749" s="65" t="s">
        <v>193</v>
      </c>
      <c r="K749" s="81">
        <v>0.01</v>
      </c>
      <c r="L749" s="81">
        <v>1</v>
      </c>
    </row>
    <row r="750" s="65" customFormat="1" customHeight="1" spans="1:12">
      <c r="A750" s="77">
        <v>747</v>
      </c>
      <c r="B750" s="78" t="e">
        <f t="shared" si="19"/>
        <v>#N/A</v>
      </c>
      <c r="C750" s="65" t="s">
        <v>115</v>
      </c>
      <c r="D750" s="83" t="s">
        <v>747</v>
      </c>
      <c r="E750" s="65" t="e">
        <f t="shared" si="20"/>
        <v>#N/A</v>
      </c>
      <c r="F750" s="65" t="s">
        <v>193</v>
      </c>
      <c r="K750" s="81">
        <v>0.01</v>
      </c>
      <c r="L750" s="81">
        <v>1</v>
      </c>
    </row>
    <row r="751" s="65" customFormat="1" customHeight="1" spans="1:12">
      <c r="A751" s="77">
        <v>748</v>
      </c>
      <c r="B751" s="78" t="e">
        <f t="shared" si="19"/>
        <v>#N/A</v>
      </c>
      <c r="C751" s="65" t="s">
        <v>115</v>
      </c>
      <c r="D751" s="83" t="s">
        <v>748</v>
      </c>
      <c r="E751" s="65" t="e">
        <f t="shared" si="20"/>
        <v>#N/A</v>
      </c>
      <c r="F751" s="65" t="s">
        <v>193</v>
      </c>
      <c r="K751" s="81">
        <v>0.01</v>
      </c>
      <c r="L751" s="81">
        <v>1</v>
      </c>
    </row>
    <row r="752" s="65" customFormat="1" customHeight="1" spans="1:12">
      <c r="A752" s="77">
        <v>749</v>
      </c>
      <c r="B752" s="78" t="str">
        <f t="shared" si="19"/>
        <v>DilutionIodium</v>
      </c>
      <c r="C752" s="65" t="s">
        <v>115</v>
      </c>
      <c r="D752" s="83" t="s">
        <v>353</v>
      </c>
      <c r="E752" s="65" t="str">
        <f t="shared" si="20"/>
        <v>Iodium</v>
      </c>
      <c r="F752" s="65" t="s">
        <v>193</v>
      </c>
      <c r="K752" s="81">
        <v>0.01</v>
      </c>
      <c r="L752" s="81">
        <v>1</v>
      </c>
    </row>
    <row r="753" s="65" customFormat="1" customHeight="1" spans="1:12">
      <c r="A753" s="77">
        <v>750</v>
      </c>
      <c r="B753" s="78" t="e">
        <f t="shared" si="19"/>
        <v>#N/A</v>
      </c>
      <c r="C753" s="65" t="s">
        <v>115</v>
      </c>
      <c r="D753" s="83" t="s">
        <v>749</v>
      </c>
      <c r="E753" s="65" t="e">
        <f t="shared" si="20"/>
        <v>#N/A</v>
      </c>
      <c r="F753" s="65" t="s">
        <v>193</v>
      </c>
      <c r="K753" s="81">
        <v>0.01</v>
      </c>
      <c r="L753" s="81">
        <v>1</v>
      </c>
    </row>
    <row r="754" s="65" customFormat="1" customHeight="1" spans="1:12">
      <c r="A754" s="77">
        <v>751</v>
      </c>
      <c r="B754" s="78" t="str">
        <f t="shared" si="19"/>
        <v>DilutionIpecac</v>
      </c>
      <c r="C754" s="65" t="s">
        <v>115</v>
      </c>
      <c r="D754" s="83" t="s">
        <v>354</v>
      </c>
      <c r="E754" s="65" t="str">
        <f t="shared" si="20"/>
        <v>Ipecac</v>
      </c>
      <c r="F754" s="65" t="s">
        <v>193</v>
      </c>
      <c r="K754" s="81">
        <v>0.01</v>
      </c>
      <c r="L754" s="81">
        <v>1</v>
      </c>
    </row>
    <row r="755" s="65" customFormat="1" customHeight="1" spans="1:12">
      <c r="A755" s="77">
        <v>752</v>
      </c>
      <c r="B755" s="78" t="e">
        <f t="shared" si="19"/>
        <v>#N/A</v>
      </c>
      <c r="C755" s="65" t="s">
        <v>115</v>
      </c>
      <c r="D755" s="83" t="s">
        <v>750</v>
      </c>
      <c r="E755" s="65" t="e">
        <f t="shared" si="20"/>
        <v>#N/A</v>
      </c>
      <c r="F755" s="65" t="s">
        <v>193</v>
      </c>
      <c r="K755" s="81">
        <v>0.01</v>
      </c>
      <c r="L755" s="81">
        <v>1</v>
      </c>
    </row>
    <row r="756" s="65" customFormat="1" customHeight="1" spans="1:12">
      <c r="A756" s="77">
        <v>753</v>
      </c>
      <c r="B756" s="78" t="e">
        <f t="shared" si="19"/>
        <v>#N/A</v>
      </c>
      <c r="C756" s="65" t="s">
        <v>115</v>
      </c>
      <c r="D756" s="83" t="s">
        <v>751</v>
      </c>
      <c r="E756" s="65" t="e">
        <f t="shared" si="20"/>
        <v>#N/A</v>
      </c>
      <c r="F756" s="65" t="s">
        <v>193</v>
      </c>
      <c r="K756" s="81">
        <v>0.01</v>
      </c>
      <c r="L756" s="81">
        <v>1</v>
      </c>
    </row>
    <row r="757" s="65" customFormat="1" customHeight="1" spans="1:12">
      <c r="A757" s="77">
        <v>754</v>
      </c>
      <c r="B757" s="78" t="e">
        <f t="shared" si="19"/>
        <v>#N/A</v>
      </c>
      <c r="C757" s="65" t="s">
        <v>115</v>
      </c>
      <c r="D757" s="83" t="s">
        <v>752</v>
      </c>
      <c r="E757" s="65" t="e">
        <f t="shared" si="20"/>
        <v>#N/A</v>
      </c>
      <c r="F757" s="65" t="s">
        <v>193</v>
      </c>
      <c r="K757" s="81">
        <v>0.01</v>
      </c>
      <c r="L757" s="81">
        <v>1</v>
      </c>
    </row>
    <row r="758" s="65" customFormat="1" customHeight="1" spans="1:12">
      <c r="A758" s="77">
        <v>755</v>
      </c>
      <c r="B758" s="78" t="str">
        <f t="shared" si="19"/>
        <v>DilutionIris Ver.</v>
      </c>
      <c r="C758" s="65" t="s">
        <v>115</v>
      </c>
      <c r="D758" s="83" t="s">
        <v>355</v>
      </c>
      <c r="E758" s="65" t="str">
        <f t="shared" si="20"/>
        <v>Iris Ver.</v>
      </c>
      <c r="F758" s="65" t="s">
        <v>193</v>
      </c>
      <c r="K758" s="81">
        <v>0.01</v>
      </c>
      <c r="L758" s="81">
        <v>1</v>
      </c>
    </row>
    <row r="759" s="65" customFormat="1" customHeight="1" spans="1:12">
      <c r="A759" s="77">
        <v>756</v>
      </c>
      <c r="B759" s="78" t="str">
        <f t="shared" si="19"/>
        <v>DilutionJaborandi (Pilcarpus)</v>
      </c>
      <c r="C759" s="65" t="s">
        <v>115</v>
      </c>
      <c r="D759" s="83" t="s">
        <v>356</v>
      </c>
      <c r="E759" s="65" t="str">
        <f t="shared" si="20"/>
        <v>Jaborandi (Pilcarpus)</v>
      </c>
      <c r="F759" s="65" t="s">
        <v>193</v>
      </c>
      <c r="K759" s="81">
        <v>0.01</v>
      </c>
      <c r="L759" s="81">
        <v>1</v>
      </c>
    </row>
    <row r="760" s="65" customFormat="1" customHeight="1" spans="1:12">
      <c r="A760" s="77">
        <v>757</v>
      </c>
      <c r="B760" s="78" t="str">
        <f t="shared" si="19"/>
        <v>DilutionJacaranda C.</v>
      </c>
      <c r="C760" s="65" t="s">
        <v>115</v>
      </c>
      <c r="D760" s="83" t="s">
        <v>357</v>
      </c>
      <c r="E760" s="65" t="str">
        <f t="shared" si="20"/>
        <v>Jacaranda C.</v>
      </c>
      <c r="F760" s="65" t="s">
        <v>193</v>
      </c>
      <c r="K760" s="81">
        <v>0.01</v>
      </c>
      <c r="L760" s="81">
        <v>1</v>
      </c>
    </row>
    <row r="761" s="65" customFormat="1" customHeight="1" spans="1:12">
      <c r="A761" s="77">
        <v>758</v>
      </c>
      <c r="B761" s="78" t="str">
        <f t="shared" si="19"/>
        <v>DilutionJalappa</v>
      </c>
      <c r="C761" s="65" t="s">
        <v>115</v>
      </c>
      <c r="D761" s="83" t="s">
        <v>358</v>
      </c>
      <c r="E761" s="65" t="str">
        <f t="shared" si="20"/>
        <v>Jalappa</v>
      </c>
      <c r="F761" s="65" t="s">
        <v>193</v>
      </c>
      <c r="K761" s="81">
        <v>0.01</v>
      </c>
      <c r="L761" s="81">
        <v>1</v>
      </c>
    </row>
    <row r="762" s="65" customFormat="1" customHeight="1" spans="1:12">
      <c r="A762" s="77">
        <v>759</v>
      </c>
      <c r="B762" s="78" t="str">
        <f t="shared" si="19"/>
        <v>DilutionJatropha C.</v>
      </c>
      <c r="C762" s="65" t="s">
        <v>115</v>
      </c>
      <c r="D762" s="83" t="s">
        <v>359</v>
      </c>
      <c r="E762" s="65" t="str">
        <f t="shared" si="20"/>
        <v>Jatropha C.</v>
      </c>
      <c r="F762" s="65" t="s">
        <v>193</v>
      </c>
      <c r="K762" s="81">
        <v>0.01</v>
      </c>
      <c r="L762" s="81">
        <v>1</v>
      </c>
    </row>
    <row r="763" s="65" customFormat="1" customHeight="1" spans="1:12">
      <c r="A763" s="77">
        <v>760</v>
      </c>
      <c r="B763" s="78" t="e">
        <f t="shared" si="19"/>
        <v>#N/A</v>
      </c>
      <c r="C763" s="65" t="s">
        <v>115</v>
      </c>
      <c r="D763" s="83" t="s">
        <v>753</v>
      </c>
      <c r="E763" s="65" t="e">
        <f t="shared" si="20"/>
        <v>#N/A</v>
      </c>
      <c r="F763" s="65" t="s">
        <v>193</v>
      </c>
      <c r="K763" s="81">
        <v>0.01</v>
      </c>
      <c r="L763" s="81">
        <v>1</v>
      </c>
    </row>
    <row r="764" s="65" customFormat="1" customHeight="1" spans="1:12">
      <c r="A764" s="77">
        <v>761</v>
      </c>
      <c r="B764" s="78" t="e">
        <f t="shared" si="19"/>
        <v>#N/A</v>
      </c>
      <c r="C764" s="65" t="s">
        <v>115</v>
      </c>
      <c r="D764" s="83" t="s">
        <v>754</v>
      </c>
      <c r="E764" s="65" t="e">
        <f t="shared" si="20"/>
        <v>#N/A</v>
      </c>
      <c r="F764" s="65" t="s">
        <v>193</v>
      </c>
      <c r="K764" s="81">
        <v>0.01</v>
      </c>
      <c r="L764" s="81">
        <v>1</v>
      </c>
    </row>
    <row r="765" s="65" customFormat="1" customHeight="1" spans="1:12">
      <c r="A765" s="77">
        <v>762</v>
      </c>
      <c r="B765" s="78" t="e">
        <f t="shared" si="19"/>
        <v>#N/A</v>
      </c>
      <c r="C765" s="65" t="s">
        <v>115</v>
      </c>
      <c r="D765" s="83" t="s">
        <v>755</v>
      </c>
      <c r="E765" s="65" t="e">
        <f t="shared" si="20"/>
        <v>#N/A</v>
      </c>
      <c r="F765" s="65" t="s">
        <v>193</v>
      </c>
      <c r="K765" s="81">
        <v>0.01</v>
      </c>
      <c r="L765" s="81">
        <v>1</v>
      </c>
    </row>
    <row r="766" s="65" customFormat="1" customHeight="1" spans="1:12">
      <c r="A766" s="77">
        <v>763</v>
      </c>
      <c r="B766" s="78" t="e">
        <f t="shared" si="19"/>
        <v>#N/A</v>
      </c>
      <c r="C766" s="65" t="s">
        <v>115</v>
      </c>
      <c r="D766" s="83" t="s">
        <v>756</v>
      </c>
      <c r="E766" s="65" t="e">
        <f t="shared" si="20"/>
        <v>#N/A</v>
      </c>
      <c r="F766" s="65" t="s">
        <v>193</v>
      </c>
      <c r="K766" s="81">
        <v>0.01</v>
      </c>
      <c r="L766" s="81">
        <v>1</v>
      </c>
    </row>
    <row r="767" s="65" customFormat="1" customHeight="1" spans="1:12">
      <c r="A767" s="77">
        <v>764</v>
      </c>
      <c r="B767" s="78" t="str">
        <f t="shared" si="19"/>
        <v>DilutionJusticia Adh.</v>
      </c>
      <c r="C767" s="65" t="s">
        <v>115</v>
      </c>
      <c r="D767" s="83" t="s">
        <v>361</v>
      </c>
      <c r="E767" s="65" t="str">
        <f t="shared" si="20"/>
        <v>Justicia Adh.</v>
      </c>
      <c r="F767" s="65" t="s">
        <v>193</v>
      </c>
      <c r="K767" s="81">
        <v>0.01</v>
      </c>
      <c r="L767" s="81">
        <v>1</v>
      </c>
    </row>
    <row r="768" s="65" customFormat="1" customHeight="1" spans="1:12">
      <c r="A768" s="77">
        <v>765</v>
      </c>
      <c r="B768" s="78" t="e">
        <f t="shared" si="19"/>
        <v>#N/A</v>
      </c>
      <c r="C768" s="65" t="s">
        <v>115</v>
      </c>
      <c r="D768" s="83" t="s">
        <v>757</v>
      </c>
      <c r="E768" s="65" t="e">
        <f t="shared" si="20"/>
        <v>#N/A</v>
      </c>
      <c r="F768" s="65" t="s">
        <v>193</v>
      </c>
      <c r="K768" s="81">
        <v>0.01</v>
      </c>
      <c r="L768" s="81">
        <v>1</v>
      </c>
    </row>
    <row r="769" s="65" customFormat="1" customHeight="1" spans="1:12">
      <c r="A769" s="77">
        <v>766</v>
      </c>
      <c r="B769" s="78" t="e">
        <f t="shared" si="19"/>
        <v>#N/A</v>
      </c>
      <c r="C769" s="65" t="s">
        <v>115</v>
      </c>
      <c r="D769" s="83" t="s">
        <v>758</v>
      </c>
      <c r="E769" s="65" t="e">
        <f t="shared" si="20"/>
        <v>#N/A</v>
      </c>
      <c r="F769" s="65" t="s">
        <v>193</v>
      </c>
      <c r="K769" s="81">
        <v>0.01</v>
      </c>
      <c r="L769" s="81">
        <v>1</v>
      </c>
    </row>
    <row r="770" s="65" customFormat="1" customHeight="1" spans="1:12">
      <c r="A770" s="77">
        <v>767</v>
      </c>
      <c r="B770" s="78" t="str">
        <f t="shared" si="19"/>
        <v>DilutionKali Bich.</v>
      </c>
      <c r="C770" s="65" t="s">
        <v>115</v>
      </c>
      <c r="D770" s="83" t="s">
        <v>362</v>
      </c>
      <c r="E770" s="65" t="str">
        <f t="shared" si="20"/>
        <v>Kali Bich.</v>
      </c>
      <c r="F770" s="65" t="s">
        <v>193</v>
      </c>
      <c r="K770" s="81">
        <v>0.01</v>
      </c>
      <c r="L770" s="81">
        <v>1</v>
      </c>
    </row>
    <row r="771" s="65" customFormat="1" customHeight="1" spans="1:12">
      <c r="A771" s="77">
        <v>768</v>
      </c>
      <c r="B771" s="78" t="str">
        <f t="shared" si="19"/>
        <v>Dilution </v>
      </c>
      <c r="C771" s="65" t="s">
        <v>115</v>
      </c>
      <c r="D771" s="83" t="s">
        <v>759</v>
      </c>
      <c r="E771" s="65" t="s">
        <v>760</v>
      </c>
      <c r="F771" s="65" t="s">
        <v>193</v>
      </c>
      <c r="K771" s="81">
        <v>0.01</v>
      </c>
      <c r="L771" s="81">
        <v>1</v>
      </c>
    </row>
    <row r="772" s="65" customFormat="1" customHeight="1" spans="1:12">
      <c r="A772" s="77">
        <v>769</v>
      </c>
      <c r="B772" s="78" t="e">
        <f t="shared" si="19"/>
        <v>#N/A</v>
      </c>
      <c r="C772" s="65" t="s">
        <v>115</v>
      </c>
      <c r="D772" s="83" t="s">
        <v>761</v>
      </c>
      <c r="E772" s="65" t="e">
        <f t="shared" si="20"/>
        <v>#N/A</v>
      </c>
      <c r="F772" s="65" t="s">
        <v>193</v>
      </c>
      <c r="K772" s="81">
        <v>0.01</v>
      </c>
      <c r="L772" s="81">
        <v>1</v>
      </c>
    </row>
    <row r="773" s="65" customFormat="1" customHeight="1" spans="1:12">
      <c r="A773" s="77">
        <v>770</v>
      </c>
      <c r="B773" s="78" t="e">
        <f t="shared" ref="B773:B836" si="21">+C773&amp;E773</f>
        <v>#N/A</v>
      </c>
      <c r="C773" s="65" t="s">
        <v>115</v>
      </c>
      <c r="D773" s="83" t="s">
        <v>762</v>
      </c>
      <c r="E773" s="65" t="e">
        <f t="shared" si="20"/>
        <v>#N/A</v>
      </c>
      <c r="F773" s="65" t="s">
        <v>193</v>
      </c>
      <c r="K773" s="81">
        <v>0.01</v>
      </c>
      <c r="L773" s="81">
        <v>1</v>
      </c>
    </row>
    <row r="774" s="65" customFormat="1" customHeight="1" spans="1:12">
      <c r="A774" s="77">
        <v>771</v>
      </c>
      <c r="B774" s="78" t="e">
        <f t="shared" si="21"/>
        <v>#N/A</v>
      </c>
      <c r="C774" s="65" t="s">
        <v>115</v>
      </c>
      <c r="D774" s="83" t="s">
        <v>763</v>
      </c>
      <c r="E774" s="65" t="e">
        <f t="shared" si="20"/>
        <v>#N/A</v>
      </c>
      <c r="F774" s="65" t="s">
        <v>193</v>
      </c>
      <c r="K774" s="81">
        <v>0.01</v>
      </c>
      <c r="L774" s="81">
        <v>1</v>
      </c>
    </row>
    <row r="775" s="65" customFormat="1" customHeight="1" spans="1:12">
      <c r="A775" s="77">
        <v>772</v>
      </c>
      <c r="B775" s="78" t="e">
        <f t="shared" si="21"/>
        <v>#N/A</v>
      </c>
      <c r="C775" s="65" t="s">
        <v>115</v>
      </c>
      <c r="D775" s="83" t="s">
        <v>764</v>
      </c>
      <c r="E775" s="65" t="e">
        <f t="shared" si="20"/>
        <v>#N/A</v>
      </c>
      <c r="F775" s="65" t="s">
        <v>193</v>
      </c>
      <c r="K775" s="81">
        <v>0.01</v>
      </c>
      <c r="L775" s="81">
        <v>1</v>
      </c>
    </row>
    <row r="776" s="65" customFormat="1" customHeight="1" spans="1:12">
      <c r="A776" s="77">
        <v>773</v>
      </c>
      <c r="B776" s="78" t="e">
        <f t="shared" si="21"/>
        <v>#N/A</v>
      </c>
      <c r="C776" s="65" t="s">
        <v>115</v>
      </c>
      <c r="D776" s="83" t="s">
        <v>765</v>
      </c>
      <c r="E776" s="65" t="e">
        <f t="shared" si="20"/>
        <v>#N/A</v>
      </c>
      <c r="F776" s="65" t="s">
        <v>193</v>
      </c>
      <c r="K776" s="81">
        <v>0.01</v>
      </c>
      <c r="L776" s="81">
        <v>1</v>
      </c>
    </row>
    <row r="777" s="65" customFormat="1" customHeight="1" spans="1:12">
      <c r="A777" s="77">
        <v>774</v>
      </c>
      <c r="B777" s="78" t="e">
        <f t="shared" si="21"/>
        <v>#N/A</v>
      </c>
      <c r="C777" s="65" t="s">
        <v>115</v>
      </c>
      <c r="D777" s="83" t="s">
        <v>766</v>
      </c>
      <c r="E777" s="65" t="e">
        <f t="shared" si="20"/>
        <v>#N/A</v>
      </c>
      <c r="F777" s="65" t="s">
        <v>193</v>
      </c>
      <c r="K777" s="81">
        <v>0.01</v>
      </c>
      <c r="L777" s="81">
        <v>1</v>
      </c>
    </row>
    <row r="778" s="65" customFormat="1" customHeight="1" spans="1:12">
      <c r="A778" s="77">
        <v>775</v>
      </c>
      <c r="B778" s="78" t="e">
        <f t="shared" si="21"/>
        <v>#N/A</v>
      </c>
      <c r="C778" s="65" t="s">
        <v>115</v>
      </c>
      <c r="D778" s="83" t="s">
        <v>767</v>
      </c>
      <c r="E778" s="65" t="e">
        <f t="shared" si="20"/>
        <v>#N/A</v>
      </c>
      <c r="F778" s="65" t="s">
        <v>193</v>
      </c>
      <c r="K778" s="81">
        <v>0.01</v>
      </c>
      <c r="L778" s="81">
        <v>1</v>
      </c>
    </row>
    <row r="779" s="65" customFormat="1" customHeight="1" spans="1:12">
      <c r="A779" s="77">
        <v>776</v>
      </c>
      <c r="B779" s="78" t="e">
        <f t="shared" si="21"/>
        <v>#N/A</v>
      </c>
      <c r="C779" s="65" t="s">
        <v>115</v>
      </c>
      <c r="D779" s="83" t="s">
        <v>768</v>
      </c>
      <c r="E779" s="65" t="e">
        <f t="shared" si="20"/>
        <v>#N/A</v>
      </c>
      <c r="F779" s="65" t="s">
        <v>193</v>
      </c>
      <c r="K779" s="81">
        <v>0.01</v>
      </c>
      <c r="L779" s="81">
        <v>1</v>
      </c>
    </row>
    <row r="780" s="65" customFormat="1" customHeight="1" spans="1:12">
      <c r="A780" s="77">
        <v>777</v>
      </c>
      <c r="B780" s="78" t="e">
        <f t="shared" si="21"/>
        <v>#N/A</v>
      </c>
      <c r="C780" s="65" t="s">
        <v>115</v>
      </c>
      <c r="D780" s="83" t="s">
        <v>769</v>
      </c>
      <c r="E780" s="65" t="e">
        <f t="shared" si="20"/>
        <v>#N/A</v>
      </c>
      <c r="F780" s="65" t="s">
        <v>193</v>
      </c>
      <c r="K780" s="81">
        <v>0.01</v>
      </c>
      <c r="L780" s="81">
        <v>1</v>
      </c>
    </row>
    <row r="781" s="65" customFormat="1" customHeight="1" spans="1:12">
      <c r="A781" s="77">
        <v>778</v>
      </c>
      <c r="B781" s="78" t="e">
        <f t="shared" si="21"/>
        <v>#N/A</v>
      </c>
      <c r="C781" s="65" t="s">
        <v>115</v>
      </c>
      <c r="D781" s="83" t="s">
        <v>770</v>
      </c>
      <c r="E781" s="65" t="e">
        <f t="shared" si="20"/>
        <v>#N/A</v>
      </c>
      <c r="F781" s="65" t="s">
        <v>193</v>
      </c>
      <c r="K781" s="81">
        <v>0.01</v>
      </c>
      <c r="L781" s="81">
        <v>1</v>
      </c>
    </row>
    <row r="782" s="65" customFormat="1" customHeight="1" spans="1:12">
      <c r="A782" s="77">
        <v>779</v>
      </c>
      <c r="B782" s="78" t="e">
        <f t="shared" si="21"/>
        <v>#N/A</v>
      </c>
      <c r="C782" s="65" t="s">
        <v>115</v>
      </c>
      <c r="D782" s="83" t="s">
        <v>771</v>
      </c>
      <c r="E782" s="65" t="e">
        <f t="shared" ref="E782:E845" si="22">+VLOOKUP(D782,$D$4:$D$301,1,FALSE)</f>
        <v>#N/A</v>
      </c>
      <c r="F782" s="65" t="s">
        <v>193</v>
      </c>
      <c r="K782" s="81">
        <v>0.01</v>
      </c>
      <c r="L782" s="81">
        <v>1</v>
      </c>
    </row>
    <row r="783" s="65" customFormat="1" customHeight="1" spans="1:12">
      <c r="A783" s="77">
        <v>780</v>
      </c>
      <c r="B783" s="78" t="str">
        <f t="shared" si="21"/>
        <v>DilutionKalmia Lat.</v>
      </c>
      <c r="C783" s="65" t="s">
        <v>115</v>
      </c>
      <c r="D783" s="83" t="s">
        <v>363</v>
      </c>
      <c r="E783" s="65" t="str">
        <f t="shared" si="22"/>
        <v>Kalmia Lat.</v>
      </c>
      <c r="F783" s="65" t="s">
        <v>193</v>
      </c>
      <c r="K783" s="81">
        <v>0.01</v>
      </c>
      <c r="L783" s="81">
        <v>1</v>
      </c>
    </row>
    <row r="784" s="65" customFormat="1" customHeight="1" spans="1:12">
      <c r="A784" s="77">
        <v>781</v>
      </c>
      <c r="B784" s="78" t="e">
        <f t="shared" si="21"/>
        <v>#N/A</v>
      </c>
      <c r="C784" s="65" t="s">
        <v>115</v>
      </c>
      <c r="D784" s="83" t="s">
        <v>772</v>
      </c>
      <c r="E784" s="65" t="e">
        <f t="shared" si="22"/>
        <v>#N/A</v>
      </c>
      <c r="F784" s="65" t="s">
        <v>193</v>
      </c>
      <c r="K784" s="81">
        <v>0.01</v>
      </c>
      <c r="L784" s="81">
        <v>1</v>
      </c>
    </row>
    <row r="785" s="65" customFormat="1" customHeight="1" spans="1:12">
      <c r="A785" s="77">
        <v>782</v>
      </c>
      <c r="B785" s="78" t="str">
        <f t="shared" si="21"/>
        <v>DilutionKreosotum</v>
      </c>
      <c r="C785" s="65" t="s">
        <v>115</v>
      </c>
      <c r="D785" s="83" t="s">
        <v>364</v>
      </c>
      <c r="E785" s="65" t="str">
        <f t="shared" si="22"/>
        <v>Kreosotum</v>
      </c>
      <c r="F785" s="65" t="s">
        <v>193</v>
      </c>
      <c r="K785" s="81">
        <v>0.01</v>
      </c>
      <c r="L785" s="81">
        <v>1</v>
      </c>
    </row>
    <row r="786" s="65" customFormat="1" customHeight="1" spans="1:12">
      <c r="A786" s="77">
        <v>783</v>
      </c>
      <c r="B786" s="78" t="e">
        <f t="shared" si="21"/>
        <v>#N/A</v>
      </c>
      <c r="C786" s="65" t="s">
        <v>115</v>
      </c>
      <c r="D786" s="90" t="s">
        <v>773</v>
      </c>
      <c r="E786" s="65" t="e">
        <f t="shared" si="22"/>
        <v>#N/A</v>
      </c>
      <c r="F786" s="65" t="s">
        <v>193</v>
      </c>
      <c r="K786" s="81">
        <v>0.01</v>
      </c>
      <c r="L786" s="81">
        <v>1</v>
      </c>
    </row>
    <row r="787" s="65" customFormat="1" customHeight="1" spans="1:12">
      <c r="A787" s="77">
        <v>784</v>
      </c>
      <c r="B787" s="78" t="e">
        <f t="shared" si="21"/>
        <v>#N/A</v>
      </c>
      <c r="C787" s="65" t="s">
        <v>115</v>
      </c>
      <c r="D787" s="83" t="s">
        <v>774</v>
      </c>
      <c r="E787" s="65" t="e">
        <f t="shared" si="22"/>
        <v>#N/A</v>
      </c>
      <c r="F787" s="65" t="s">
        <v>193</v>
      </c>
      <c r="K787" s="81">
        <v>0.01</v>
      </c>
      <c r="L787" s="81">
        <v>1</v>
      </c>
    </row>
    <row r="788" s="65" customFormat="1" customHeight="1" spans="1:12">
      <c r="A788" s="77">
        <v>785</v>
      </c>
      <c r="B788" s="78" t="e">
        <f t="shared" si="21"/>
        <v>#N/A</v>
      </c>
      <c r="C788" s="65" t="s">
        <v>115</v>
      </c>
      <c r="D788" s="83" t="s">
        <v>775</v>
      </c>
      <c r="E788" s="65" t="e">
        <f t="shared" si="22"/>
        <v>#N/A</v>
      </c>
      <c r="F788" s="65" t="s">
        <v>193</v>
      </c>
      <c r="K788" s="81">
        <v>0.01</v>
      </c>
      <c r="L788" s="81">
        <v>1</v>
      </c>
    </row>
    <row r="789" s="65" customFormat="1" customHeight="1" spans="1:12">
      <c r="A789" s="77">
        <v>786</v>
      </c>
      <c r="B789" s="78" t="e">
        <f t="shared" si="21"/>
        <v>#N/A</v>
      </c>
      <c r="C789" s="65" t="s">
        <v>115</v>
      </c>
      <c r="D789" s="83" t="s">
        <v>776</v>
      </c>
      <c r="E789" s="65" t="e">
        <f t="shared" si="22"/>
        <v>#N/A</v>
      </c>
      <c r="F789" s="65" t="s">
        <v>193</v>
      </c>
      <c r="K789" s="81">
        <v>0.01</v>
      </c>
      <c r="L789" s="81">
        <v>1</v>
      </c>
    </row>
    <row r="790" s="65" customFormat="1" customHeight="1" spans="1:12">
      <c r="A790" s="77">
        <v>787</v>
      </c>
      <c r="B790" s="78" t="e">
        <f t="shared" si="21"/>
        <v>#N/A</v>
      </c>
      <c r="C790" s="65" t="s">
        <v>115</v>
      </c>
      <c r="D790" s="83" t="s">
        <v>777</v>
      </c>
      <c r="E790" s="65" t="e">
        <f t="shared" si="22"/>
        <v>#N/A</v>
      </c>
      <c r="F790" s="65" t="s">
        <v>193</v>
      </c>
      <c r="K790" s="81">
        <v>0.01</v>
      </c>
      <c r="L790" s="81">
        <v>1</v>
      </c>
    </row>
    <row r="791" s="65" customFormat="1" customHeight="1" spans="1:12">
      <c r="A791" s="77">
        <v>788</v>
      </c>
      <c r="B791" s="78" t="e">
        <f t="shared" si="21"/>
        <v>#N/A</v>
      </c>
      <c r="C791" s="65" t="s">
        <v>115</v>
      </c>
      <c r="D791" s="83" t="s">
        <v>778</v>
      </c>
      <c r="E791" s="65" t="e">
        <f t="shared" si="22"/>
        <v>#N/A</v>
      </c>
      <c r="F791" s="65" t="s">
        <v>193</v>
      </c>
      <c r="K791" s="81">
        <v>0.01</v>
      </c>
      <c r="L791" s="81">
        <v>1</v>
      </c>
    </row>
    <row r="792" s="65" customFormat="1" customHeight="1" spans="1:12">
      <c r="A792" s="77">
        <v>789</v>
      </c>
      <c r="B792" s="78" t="str">
        <f t="shared" si="21"/>
        <v>DilutionLachnanthes</v>
      </c>
      <c r="C792" s="65" t="s">
        <v>115</v>
      </c>
      <c r="D792" s="83" t="s">
        <v>366</v>
      </c>
      <c r="E792" s="65" t="str">
        <f t="shared" si="22"/>
        <v>Lachnanthes</v>
      </c>
      <c r="F792" s="65" t="s">
        <v>193</v>
      </c>
      <c r="K792" s="81">
        <v>0.01</v>
      </c>
      <c r="L792" s="81">
        <v>1</v>
      </c>
    </row>
    <row r="793" s="65" customFormat="1" customHeight="1" spans="1:12">
      <c r="A793" s="77">
        <v>790</v>
      </c>
      <c r="B793" s="78" t="e">
        <f t="shared" si="21"/>
        <v>#N/A</v>
      </c>
      <c r="C793" s="65" t="s">
        <v>115</v>
      </c>
      <c r="D793" s="83" t="s">
        <v>779</v>
      </c>
      <c r="E793" s="65" t="e">
        <f t="shared" si="22"/>
        <v>#N/A</v>
      </c>
      <c r="F793" s="65" t="s">
        <v>193</v>
      </c>
      <c r="K793" s="81">
        <v>0.01</v>
      </c>
      <c r="L793" s="81">
        <v>1</v>
      </c>
    </row>
    <row r="794" s="65" customFormat="1" customHeight="1" spans="1:12">
      <c r="A794" s="77">
        <v>791</v>
      </c>
      <c r="B794" s="78" t="e">
        <f t="shared" si="21"/>
        <v>#N/A</v>
      </c>
      <c r="C794" s="65" t="s">
        <v>115</v>
      </c>
      <c r="D794" s="83" t="s">
        <v>780</v>
      </c>
      <c r="E794" s="65" t="e">
        <f t="shared" si="22"/>
        <v>#N/A</v>
      </c>
      <c r="F794" s="65" t="s">
        <v>193</v>
      </c>
      <c r="K794" s="81">
        <v>0.01</v>
      </c>
      <c r="L794" s="81">
        <v>1</v>
      </c>
    </row>
    <row r="795" s="65" customFormat="1" customHeight="1" spans="1:12">
      <c r="A795" s="77">
        <v>792</v>
      </c>
      <c r="B795" s="78" t="e">
        <f t="shared" si="21"/>
        <v>#N/A</v>
      </c>
      <c r="C795" s="65" t="s">
        <v>115</v>
      </c>
      <c r="D795" s="83" t="s">
        <v>781</v>
      </c>
      <c r="E795" s="65" t="e">
        <f t="shared" si="22"/>
        <v>#N/A</v>
      </c>
      <c r="F795" s="65" t="s">
        <v>193</v>
      </c>
      <c r="K795" s="81">
        <v>0.01</v>
      </c>
      <c r="L795" s="81">
        <v>1</v>
      </c>
    </row>
    <row r="796" s="65" customFormat="1" customHeight="1" spans="1:12">
      <c r="A796" s="77">
        <v>793</v>
      </c>
      <c r="B796" s="78" t="e">
        <f t="shared" si="21"/>
        <v>#N/A</v>
      </c>
      <c r="C796" s="65" t="s">
        <v>115</v>
      </c>
      <c r="D796" s="83" t="s">
        <v>782</v>
      </c>
      <c r="E796" s="65" t="e">
        <f t="shared" si="22"/>
        <v>#N/A</v>
      </c>
      <c r="F796" s="65" t="s">
        <v>193</v>
      </c>
      <c r="K796" s="81">
        <v>0.01</v>
      </c>
      <c r="L796" s="81">
        <v>1</v>
      </c>
    </row>
    <row r="797" s="65" customFormat="1" customHeight="1" spans="1:12">
      <c r="A797" s="77">
        <v>794</v>
      </c>
      <c r="B797" s="78" t="str">
        <f t="shared" si="21"/>
        <v>DilutionLaurocerasus</v>
      </c>
      <c r="C797" s="65" t="s">
        <v>115</v>
      </c>
      <c r="D797" s="83" t="s">
        <v>367</v>
      </c>
      <c r="E797" s="65" t="str">
        <f t="shared" si="22"/>
        <v>Laurocerasus</v>
      </c>
      <c r="F797" s="65" t="s">
        <v>193</v>
      </c>
      <c r="K797" s="81">
        <v>0.01</v>
      </c>
      <c r="L797" s="81">
        <v>1</v>
      </c>
    </row>
    <row r="798" s="65" customFormat="1" customHeight="1" spans="1:12">
      <c r="A798" s="77">
        <v>795</v>
      </c>
      <c r="B798" s="78" t="e">
        <f t="shared" si="21"/>
        <v>#N/A</v>
      </c>
      <c r="C798" s="65" t="s">
        <v>115</v>
      </c>
      <c r="D798" s="83" t="s">
        <v>783</v>
      </c>
      <c r="E798" s="65" t="e">
        <f t="shared" si="22"/>
        <v>#N/A</v>
      </c>
      <c r="F798" s="65" t="s">
        <v>193</v>
      </c>
      <c r="K798" s="81">
        <v>0.01</v>
      </c>
      <c r="L798" s="81">
        <v>1</v>
      </c>
    </row>
    <row r="799" s="65" customFormat="1" customHeight="1" spans="1:12">
      <c r="A799" s="77">
        <v>796</v>
      </c>
      <c r="B799" s="78" t="str">
        <f t="shared" si="21"/>
        <v>DilutionLedum Pal.</v>
      </c>
      <c r="C799" s="65" t="s">
        <v>115</v>
      </c>
      <c r="D799" s="83" t="s">
        <v>368</v>
      </c>
      <c r="E799" s="65" t="str">
        <f t="shared" si="22"/>
        <v>Ledum Pal.</v>
      </c>
      <c r="F799" s="65" t="s">
        <v>193</v>
      </c>
      <c r="K799" s="81">
        <v>0.01</v>
      </c>
      <c r="L799" s="81">
        <v>1</v>
      </c>
    </row>
    <row r="800" s="65" customFormat="1" customHeight="1" spans="1:12">
      <c r="A800" s="77">
        <v>797</v>
      </c>
      <c r="B800" s="78" t="str">
        <f t="shared" si="21"/>
        <v>DilutionLemna Minor.</v>
      </c>
      <c r="C800" s="65" t="s">
        <v>115</v>
      </c>
      <c r="D800" s="83" t="s">
        <v>369</v>
      </c>
      <c r="E800" s="65" t="str">
        <f t="shared" si="22"/>
        <v>Lemna Minor.</v>
      </c>
      <c r="F800" s="65" t="s">
        <v>193</v>
      </c>
      <c r="K800" s="81">
        <v>0.01</v>
      </c>
      <c r="L800" s="81">
        <v>1</v>
      </c>
    </row>
    <row r="801" s="65" customFormat="1" customHeight="1" spans="1:12">
      <c r="A801" s="77">
        <v>798</v>
      </c>
      <c r="B801" s="78" t="str">
        <f t="shared" si="21"/>
        <v>DilutionLeptandra V.</v>
      </c>
      <c r="C801" s="65" t="s">
        <v>115</v>
      </c>
      <c r="D801" s="83" t="s">
        <v>370</v>
      </c>
      <c r="E801" s="65" t="str">
        <f t="shared" si="22"/>
        <v>Leptandra V.</v>
      </c>
      <c r="F801" s="65" t="s">
        <v>193</v>
      </c>
      <c r="K801" s="81">
        <v>0.01</v>
      </c>
      <c r="L801" s="81">
        <v>1</v>
      </c>
    </row>
    <row r="802" s="65" customFormat="1" customHeight="1" spans="1:12">
      <c r="A802" s="77">
        <v>799</v>
      </c>
      <c r="B802" s="78" t="str">
        <f t="shared" si="21"/>
        <v>DilutionLeucas Asp.</v>
      </c>
      <c r="C802" s="65" t="s">
        <v>115</v>
      </c>
      <c r="D802" s="83" t="s">
        <v>371</v>
      </c>
      <c r="E802" s="65" t="str">
        <f t="shared" si="22"/>
        <v>Leucas Asp.</v>
      </c>
      <c r="F802" s="65" t="s">
        <v>193</v>
      </c>
      <c r="K802" s="81">
        <v>0.01</v>
      </c>
      <c r="L802" s="81">
        <v>1</v>
      </c>
    </row>
    <row r="803" s="65" customFormat="1" customHeight="1" spans="1:12">
      <c r="A803" s="77">
        <v>800</v>
      </c>
      <c r="B803" s="78" t="str">
        <f t="shared" si="21"/>
        <v>DilutionLiatris Spic.</v>
      </c>
      <c r="C803" s="65" t="s">
        <v>115</v>
      </c>
      <c r="D803" s="83" t="s">
        <v>372</v>
      </c>
      <c r="E803" s="65" t="str">
        <f t="shared" si="22"/>
        <v>Liatris Spic.</v>
      </c>
      <c r="F803" s="65" t="s">
        <v>193</v>
      </c>
      <c r="K803" s="81">
        <v>0.01</v>
      </c>
      <c r="L803" s="81">
        <v>1</v>
      </c>
    </row>
    <row r="804" s="65" customFormat="1" customHeight="1" spans="1:12">
      <c r="A804" s="77">
        <v>801</v>
      </c>
      <c r="B804" s="78" t="e">
        <f t="shared" si="21"/>
        <v>#N/A</v>
      </c>
      <c r="C804" s="65" t="s">
        <v>115</v>
      </c>
      <c r="D804" s="83" t="s">
        <v>784</v>
      </c>
      <c r="E804" s="65" t="e">
        <f t="shared" si="22"/>
        <v>#N/A</v>
      </c>
      <c r="F804" s="65" t="s">
        <v>193</v>
      </c>
      <c r="K804" s="81">
        <v>0.01</v>
      </c>
      <c r="L804" s="81">
        <v>1</v>
      </c>
    </row>
    <row r="805" s="65" customFormat="1" customHeight="1" spans="1:12">
      <c r="A805" s="77">
        <v>802</v>
      </c>
      <c r="B805" s="78" t="e">
        <f t="shared" si="21"/>
        <v>#N/A</v>
      </c>
      <c r="C805" s="65" t="s">
        <v>115</v>
      </c>
      <c r="D805" s="83" t="s">
        <v>785</v>
      </c>
      <c r="E805" s="65" t="e">
        <f t="shared" si="22"/>
        <v>#N/A</v>
      </c>
      <c r="F805" s="65" t="s">
        <v>193</v>
      </c>
      <c r="K805" s="81">
        <v>0.01</v>
      </c>
      <c r="L805" s="81">
        <v>1</v>
      </c>
    </row>
    <row r="806" s="65" customFormat="1" customHeight="1" spans="1:12">
      <c r="A806" s="77">
        <v>803</v>
      </c>
      <c r="B806" s="78" t="str">
        <f t="shared" si="21"/>
        <v>DilutionLobelia Infl.</v>
      </c>
      <c r="C806" s="65" t="s">
        <v>115</v>
      </c>
      <c r="D806" s="83" t="s">
        <v>373</v>
      </c>
      <c r="E806" s="65" t="str">
        <f t="shared" si="22"/>
        <v>Lobelia Infl.</v>
      </c>
      <c r="F806" s="65" t="s">
        <v>193</v>
      </c>
      <c r="K806" s="81">
        <v>0.01</v>
      </c>
      <c r="L806" s="81">
        <v>1</v>
      </c>
    </row>
    <row r="807" s="65" customFormat="1" customHeight="1" spans="1:12">
      <c r="A807" s="77">
        <v>804</v>
      </c>
      <c r="B807" s="78" t="e">
        <f t="shared" si="21"/>
        <v>#N/A</v>
      </c>
      <c r="C807" s="65" t="s">
        <v>115</v>
      </c>
      <c r="D807" s="83" t="s">
        <v>786</v>
      </c>
      <c r="E807" s="65" t="e">
        <f t="shared" si="22"/>
        <v>#N/A</v>
      </c>
      <c r="F807" s="65" t="s">
        <v>193</v>
      </c>
      <c r="K807" s="81">
        <v>0.01</v>
      </c>
      <c r="L807" s="81">
        <v>1</v>
      </c>
    </row>
    <row r="808" s="65" customFormat="1" customHeight="1" spans="1:12">
      <c r="A808" s="77">
        <v>805</v>
      </c>
      <c r="B808" s="78" t="str">
        <f t="shared" si="21"/>
        <v>DilutionLuffa Oper</v>
      </c>
      <c r="C808" s="65" t="s">
        <v>115</v>
      </c>
      <c r="D808" s="83" t="s">
        <v>374</v>
      </c>
      <c r="E808" s="65" t="str">
        <f t="shared" si="22"/>
        <v>Luffa Oper</v>
      </c>
      <c r="F808" s="65" t="s">
        <v>193</v>
      </c>
      <c r="K808" s="81">
        <v>0.01</v>
      </c>
      <c r="L808" s="81">
        <v>1</v>
      </c>
    </row>
    <row r="809" s="65" customFormat="1" customHeight="1" spans="1:12">
      <c r="A809" s="77">
        <v>806</v>
      </c>
      <c r="B809" s="78" t="e">
        <f t="shared" si="21"/>
        <v>#N/A</v>
      </c>
      <c r="C809" s="65" t="s">
        <v>115</v>
      </c>
      <c r="D809" s="83" t="s">
        <v>787</v>
      </c>
      <c r="E809" s="65" t="e">
        <f t="shared" si="22"/>
        <v>#N/A</v>
      </c>
      <c r="F809" s="65" t="s">
        <v>193</v>
      </c>
      <c r="K809" s="81">
        <v>0.01</v>
      </c>
      <c r="L809" s="81">
        <v>1</v>
      </c>
    </row>
    <row r="810" s="65" customFormat="1" customHeight="1" spans="1:12">
      <c r="A810" s="77">
        <v>807</v>
      </c>
      <c r="B810" s="78" t="e">
        <f t="shared" si="21"/>
        <v>#N/A</v>
      </c>
      <c r="C810" s="65" t="s">
        <v>115</v>
      </c>
      <c r="D810" s="83" t="s">
        <v>788</v>
      </c>
      <c r="E810" s="65" t="e">
        <f t="shared" si="22"/>
        <v>#N/A</v>
      </c>
      <c r="F810" s="65" t="s">
        <v>193</v>
      </c>
      <c r="K810" s="81">
        <v>0.01</v>
      </c>
      <c r="L810" s="81">
        <v>1</v>
      </c>
    </row>
    <row r="811" s="65" customFormat="1" customHeight="1" spans="1:12">
      <c r="A811" s="77">
        <v>808</v>
      </c>
      <c r="B811" s="78" t="str">
        <f t="shared" si="21"/>
        <v>DilutionLycopodium Clav</v>
      </c>
      <c r="C811" s="65" t="s">
        <v>115</v>
      </c>
      <c r="D811" s="83" t="s">
        <v>375</v>
      </c>
      <c r="E811" s="65" t="str">
        <f t="shared" si="22"/>
        <v>Lycopodium Clav</v>
      </c>
      <c r="F811" s="65" t="s">
        <v>193</v>
      </c>
      <c r="K811" s="81">
        <v>0.01</v>
      </c>
      <c r="L811" s="81">
        <v>1</v>
      </c>
    </row>
    <row r="812" s="65" customFormat="1" customHeight="1" spans="1:12">
      <c r="A812" s="77">
        <v>809</v>
      </c>
      <c r="B812" s="78" t="str">
        <f t="shared" si="21"/>
        <v>DilutionLycopus V</v>
      </c>
      <c r="C812" s="65" t="s">
        <v>115</v>
      </c>
      <c r="D812" s="83" t="s">
        <v>376</v>
      </c>
      <c r="E812" s="65" t="str">
        <f t="shared" si="22"/>
        <v>Lycopus V</v>
      </c>
      <c r="F812" s="65" t="s">
        <v>193</v>
      </c>
      <c r="K812" s="81">
        <v>0.01</v>
      </c>
      <c r="L812" s="81">
        <v>1</v>
      </c>
    </row>
    <row r="813" s="65" customFormat="1" customHeight="1" spans="1:12">
      <c r="A813" s="77">
        <v>810</v>
      </c>
      <c r="B813" s="78" t="e">
        <f t="shared" si="21"/>
        <v>#N/A</v>
      </c>
      <c r="C813" s="65" t="s">
        <v>115</v>
      </c>
      <c r="D813" s="83" t="s">
        <v>789</v>
      </c>
      <c r="E813" s="65" t="e">
        <f t="shared" si="22"/>
        <v>#N/A</v>
      </c>
      <c r="F813" s="65" t="s">
        <v>193</v>
      </c>
      <c r="K813" s="81">
        <v>0.01</v>
      </c>
      <c r="L813" s="81">
        <v>1</v>
      </c>
    </row>
    <row r="814" s="65" customFormat="1" customHeight="1" spans="1:12">
      <c r="A814" s="77">
        <v>811</v>
      </c>
      <c r="B814" s="78" t="e">
        <f t="shared" si="21"/>
        <v>#N/A</v>
      </c>
      <c r="C814" s="65" t="s">
        <v>115</v>
      </c>
      <c r="D814" s="83" t="s">
        <v>790</v>
      </c>
      <c r="E814" s="65" t="e">
        <f t="shared" si="22"/>
        <v>#N/A</v>
      </c>
      <c r="F814" s="65" t="s">
        <v>193</v>
      </c>
      <c r="K814" s="81">
        <v>0.01</v>
      </c>
      <c r="L814" s="81">
        <v>1</v>
      </c>
    </row>
    <row r="815" s="65" customFormat="1" customHeight="1" spans="1:12">
      <c r="A815" s="77">
        <v>812</v>
      </c>
      <c r="B815" s="78" t="e">
        <f t="shared" si="21"/>
        <v>#N/A</v>
      </c>
      <c r="C815" s="65" t="s">
        <v>115</v>
      </c>
      <c r="D815" s="83" t="s">
        <v>791</v>
      </c>
      <c r="E815" s="65" t="e">
        <f t="shared" si="22"/>
        <v>#N/A</v>
      </c>
      <c r="F815" s="65" t="s">
        <v>193</v>
      </c>
      <c r="K815" s="81">
        <v>0.01</v>
      </c>
      <c r="L815" s="81">
        <v>1</v>
      </c>
    </row>
    <row r="816" s="65" customFormat="1" customHeight="1" spans="1:12">
      <c r="A816" s="77">
        <v>813</v>
      </c>
      <c r="B816" s="78" t="e">
        <f t="shared" si="21"/>
        <v>#N/A</v>
      </c>
      <c r="C816" s="65" t="s">
        <v>115</v>
      </c>
      <c r="D816" s="83" t="s">
        <v>792</v>
      </c>
      <c r="E816" s="65" t="e">
        <f t="shared" si="22"/>
        <v>#N/A</v>
      </c>
      <c r="F816" s="65" t="s">
        <v>193</v>
      </c>
      <c r="K816" s="81">
        <v>0.01</v>
      </c>
      <c r="L816" s="81">
        <v>1</v>
      </c>
    </row>
    <row r="817" s="65" customFormat="1" customHeight="1" spans="1:12">
      <c r="A817" s="77">
        <v>814</v>
      </c>
      <c r="B817" s="78" t="e">
        <f t="shared" si="21"/>
        <v>#N/A</v>
      </c>
      <c r="C817" s="65" t="s">
        <v>115</v>
      </c>
      <c r="D817" s="83" t="s">
        <v>793</v>
      </c>
      <c r="E817" s="65" t="e">
        <f t="shared" si="22"/>
        <v>#N/A</v>
      </c>
      <c r="F817" s="65" t="s">
        <v>193</v>
      </c>
      <c r="K817" s="81">
        <v>0.01</v>
      </c>
      <c r="L817" s="81">
        <v>1</v>
      </c>
    </row>
    <row r="818" s="65" customFormat="1" customHeight="1" spans="1:12">
      <c r="A818" s="77">
        <v>815</v>
      </c>
      <c r="B818" s="78" t="e">
        <f t="shared" si="21"/>
        <v>#N/A</v>
      </c>
      <c r="C818" s="65" t="s">
        <v>115</v>
      </c>
      <c r="D818" s="83" t="s">
        <v>794</v>
      </c>
      <c r="E818" s="65" t="e">
        <f t="shared" si="22"/>
        <v>#N/A</v>
      </c>
      <c r="F818" s="65" t="s">
        <v>193</v>
      </c>
      <c r="K818" s="81">
        <v>0.01</v>
      </c>
      <c r="L818" s="81">
        <v>1</v>
      </c>
    </row>
    <row r="819" s="65" customFormat="1" customHeight="1" spans="1:12">
      <c r="A819" s="77">
        <v>816</v>
      </c>
      <c r="B819" s="78" t="e">
        <f t="shared" si="21"/>
        <v>#N/A</v>
      </c>
      <c r="C819" s="65" t="s">
        <v>115</v>
      </c>
      <c r="D819" s="83" t="s">
        <v>795</v>
      </c>
      <c r="E819" s="65" t="e">
        <f t="shared" si="22"/>
        <v>#N/A</v>
      </c>
      <c r="F819" s="65" t="s">
        <v>193</v>
      </c>
      <c r="K819" s="81">
        <v>0.01</v>
      </c>
      <c r="L819" s="81">
        <v>1</v>
      </c>
    </row>
    <row r="820" s="65" customFormat="1" customHeight="1" spans="1:12">
      <c r="A820" s="77">
        <v>817</v>
      </c>
      <c r="B820" s="78" t="e">
        <f t="shared" si="21"/>
        <v>#N/A</v>
      </c>
      <c r="C820" s="65" t="s">
        <v>115</v>
      </c>
      <c r="D820" s="83" t="s">
        <v>796</v>
      </c>
      <c r="E820" s="65" t="e">
        <f t="shared" si="22"/>
        <v>#N/A</v>
      </c>
      <c r="F820" s="65" t="s">
        <v>193</v>
      </c>
      <c r="K820" s="81">
        <v>0.01</v>
      </c>
      <c r="L820" s="81">
        <v>1</v>
      </c>
    </row>
    <row r="821" s="65" customFormat="1" customHeight="1" spans="1:12">
      <c r="A821" s="77">
        <v>818</v>
      </c>
      <c r="B821" s="78" t="e">
        <f t="shared" si="21"/>
        <v>#N/A</v>
      </c>
      <c r="C821" s="65" t="s">
        <v>115</v>
      </c>
      <c r="D821" s="83" t="s">
        <v>797</v>
      </c>
      <c r="E821" s="65" t="e">
        <f t="shared" si="22"/>
        <v>#N/A</v>
      </c>
      <c r="F821" s="65" t="s">
        <v>193</v>
      </c>
      <c r="K821" s="81">
        <v>0.01</v>
      </c>
      <c r="L821" s="81">
        <v>1</v>
      </c>
    </row>
    <row r="822" s="65" customFormat="1" customHeight="1" spans="1:12">
      <c r="A822" s="77">
        <v>819</v>
      </c>
      <c r="B822" s="78" t="e">
        <f t="shared" si="21"/>
        <v>#N/A</v>
      </c>
      <c r="C822" s="65" t="s">
        <v>115</v>
      </c>
      <c r="D822" s="83" t="s">
        <v>798</v>
      </c>
      <c r="E822" s="65" t="e">
        <f t="shared" si="22"/>
        <v>#N/A</v>
      </c>
      <c r="F822" s="65" t="s">
        <v>193</v>
      </c>
      <c r="K822" s="81">
        <v>0.01</v>
      </c>
      <c r="L822" s="81">
        <v>1</v>
      </c>
    </row>
    <row r="823" s="65" customFormat="1" customHeight="1" spans="1:12">
      <c r="A823" s="77">
        <v>820</v>
      </c>
      <c r="B823" s="78" t="e">
        <f t="shared" si="21"/>
        <v>#N/A</v>
      </c>
      <c r="C823" s="65" t="s">
        <v>115</v>
      </c>
      <c r="D823" s="83" t="s">
        <v>799</v>
      </c>
      <c r="E823" s="65" t="e">
        <f t="shared" si="22"/>
        <v>#N/A</v>
      </c>
      <c r="F823" s="65" t="s">
        <v>193</v>
      </c>
      <c r="K823" s="81">
        <v>0.01</v>
      </c>
      <c r="L823" s="81">
        <v>1</v>
      </c>
    </row>
    <row r="824" s="65" customFormat="1" customHeight="1" spans="1:12">
      <c r="A824" s="77">
        <v>821</v>
      </c>
      <c r="B824" s="78" t="e">
        <f t="shared" si="21"/>
        <v>#N/A</v>
      </c>
      <c r="C824" s="65" t="s">
        <v>115</v>
      </c>
      <c r="D824" s="83" t="s">
        <v>800</v>
      </c>
      <c r="E824" s="65" t="e">
        <f t="shared" si="22"/>
        <v>#N/A</v>
      </c>
      <c r="F824" s="65" t="s">
        <v>193</v>
      </c>
      <c r="K824" s="81">
        <v>0.01</v>
      </c>
      <c r="L824" s="81">
        <v>1</v>
      </c>
    </row>
    <row r="825" s="65" customFormat="1" customHeight="1" spans="1:12">
      <c r="A825" s="77">
        <v>822</v>
      </c>
      <c r="B825" s="78" t="str">
        <f t="shared" si="21"/>
        <v>DilutionMangifera Ind.</v>
      </c>
      <c r="C825" s="65" t="s">
        <v>115</v>
      </c>
      <c r="D825" s="83" t="s">
        <v>377</v>
      </c>
      <c r="E825" s="65" t="str">
        <f t="shared" si="22"/>
        <v>Mangifera Ind.</v>
      </c>
      <c r="F825" s="65" t="s">
        <v>193</v>
      </c>
      <c r="K825" s="81">
        <v>0.01</v>
      </c>
      <c r="L825" s="81">
        <v>1</v>
      </c>
    </row>
    <row r="826" s="65" customFormat="1" customHeight="1" spans="1:12">
      <c r="A826" s="77">
        <v>823</v>
      </c>
      <c r="B826" s="78" t="e">
        <f t="shared" si="21"/>
        <v>#N/A</v>
      </c>
      <c r="C826" s="65" t="s">
        <v>115</v>
      </c>
      <c r="D826" s="83" t="s">
        <v>801</v>
      </c>
      <c r="E826" s="65" t="e">
        <f t="shared" si="22"/>
        <v>#N/A</v>
      </c>
      <c r="F826" s="65" t="s">
        <v>193</v>
      </c>
      <c r="K826" s="81">
        <v>0.01</v>
      </c>
      <c r="L826" s="81">
        <v>1</v>
      </c>
    </row>
    <row r="827" s="65" customFormat="1" customHeight="1" spans="1:12">
      <c r="A827" s="77">
        <v>824</v>
      </c>
      <c r="B827" s="78" t="str">
        <f t="shared" si="21"/>
        <v>DilutionMelilotus A.</v>
      </c>
      <c r="C827" s="65" t="s">
        <v>115</v>
      </c>
      <c r="D827" s="83" t="s">
        <v>378</v>
      </c>
      <c r="E827" s="65" t="str">
        <f t="shared" si="22"/>
        <v>Melilotus A.</v>
      </c>
      <c r="F827" s="65" t="s">
        <v>193</v>
      </c>
      <c r="K827" s="81">
        <v>0.01</v>
      </c>
      <c r="L827" s="81">
        <v>1</v>
      </c>
    </row>
    <row r="828" s="65" customFormat="1" customHeight="1" spans="1:12">
      <c r="A828" s="77">
        <v>825</v>
      </c>
      <c r="B828" s="78" t="e">
        <f t="shared" si="21"/>
        <v>#N/A</v>
      </c>
      <c r="C828" s="65" t="s">
        <v>115</v>
      </c>
      <c r="D828" s="83" t="s">
        <v>802</v>
      </c>
      <c r="E828" s="65" t="e">
        <f t="shared" si="22"/>
        <v>#N/A</v>
      </c>
      <c r="F828" s="65" t="s">
        <v>193</v>
      </c>
      <c r="K828" s="81">
        <v>0.01</v>
      </c>
      <c r="L828" s="81">
        <v>1</v>
      </c>
    </row>
    <row r="829" s="65" customFormat="1" customHeight="1" spans="1:12">
      <c r="A829" s="77">
        <v>826</v>
      </c>
      <c r="B829" s="78" t="str">
        <f t="shared" si="21"/>
        <v>DilutionMentha Pip.</v>
      </c>
      <c r="C829" s="65" t="s">
        <v>115</v>
      </c>
      <c r="D829" s="83" t="s">
        <v>379</v>
      </c>
      <c r="E829" s="65" t="str">
        <f t="shared" si="22"/>
        <v>Mentha Pip.</v>
      </c>
      <c r="F829" s="65" t="s">
        <v>193</v>
      </c>
      <c r="K829" s="81">
        <v>0.01</v>
      </c>
      <c r="L829" s="81">
        <v>1</v>
      </c>
    </row>
    <row r="830" s="65" customFormat="1" customHeight="1" spans="1:12">
      <c r="A830" s="77">
        <v>827</v>
      </c>
      <c r="B830" s="78" t="str">
        <f t="shared" si="21"/>
        <v>DilutionMenthol</v>
      </c>
      <c r="C830" s="65" t="s">
        <v>115</v>
      </c>
      <c r="D830" s="83" t="s">
        <v>380</v>
      </c>
      <c r="E830" s="65" t="str">
        <f t="shared" si="22"/>
        <v>Menthol</v>
      </c>
      <c r="F830" s="65" t="s">
        <v>193</v>
      </c>
      <c r="K830" s="81">
        <v>0.01</v>
      </c>
      <c r="L830" s="81">
        <v>1</v>
      </c>
    </row>
    <row r="831" s="65" customFormat="1" customHeight="1" spans="1:12">
      <c r="A831" s="77">
        <v>828</v>
      </c>
      <c r="B831" s="78" t="str">
        <f t="shared" si="21"/>
        <v>DilutionMenyanthus.</v>
      </c>
      <c r="C831" s="65" t="s">
        <v>115</v>
      </c>
      <c r="D831" s="83" t="s">
        <v>381</v>
      </c>
      <c r="E831" s="65" t="str">
        <f t="shared" si="22"/>
        <v>Menyanthus.</v>
      </c>
      <c r="F831" s="65" t="s">
        <v>193</v>
      </c>
      <c r="K831" s="81">
        <v>0.01</v>
      </c>
      <c r="L831" s="81">
        <v>1</v>
      </c>
    </row>
    <row r="832" s="65" customFormat="1" customHeight="1" spans="1:12">
      <c r="A832" s="77">
        <v>829</v>
      </c>
      <c r="B832" s="78" t="e">
        <f t="shared" si="21"/>
        <v>#N/A</v>
      </c>
      <c r="C832" s="65" t="s">
        <v>115</v>
      </c>
      <c r="D832" s="83" t="s">
        <v>803</v>
      </c>
      <c r="E832" s="65" t="e">
        <f t="shared" si="22"/>
        <v>#N/A</v>
      </c>
      <c r="F832" s="65" t="s">
        <v>193</v>
      </c>
      <c r="K832" s="81">
        <v>0.01</v>
      </c>
      <c r="L832" s="81">
        <v>1</v>
      </c>
    </row>
    <row r="833" s="65" customFormat="1" customHeight="1" spans="1:12">
      <c r="A833" s="77">
        <v>830</v>
      </c>
      <c r="B833" s="78" t="e">
        <f t="shared" si="21"/>
        <v>#N/A</v>
      </c>
      <c r="C833" s="65" t="s">
        <v>115</v>
      </c>
      <c r="D833" s="83" t="s">
        <v>804</v>
      </c>
      <c r="E833" s="65" t="e">
        <f t="shared" si="22"/>
        <v>#N/A</v>
      </c>
      <c r="F833" s="65" t="s">
        <v>193</v>
      </c>
      <c r="K833" s="81">
        <v>0.01</v>
      </c>
      <c r="L833" s="81">
        <v>1</v>
      </c>
    </row>
    <row r="834" s="65" customFormat="1" customHeight="1" spans="1:12">
      <c r="A834" s="77">
        <v>831</v>
      </c>
      <c r="B834" s="78" t="e">
        <f t="shared" si="21"/>
        <v>#N/A</v>
      </c>
      <c r="C834" s="65" t="s">
        <v>115</v>
      </c>
      <c r="D834" s="83" t="s">
        <v>805</v>
      </c>
      <c r="E834" s="65" t="e">
        <f t="shared" si="22"/>
        <v>#N/A</v>
      </c>
      <c r="F834" s="65" t="s">
        <v>193</v>
      </c>
      <c r="K834" s="81">
        <v>0.01</v>
      </c>
      <c r="L834" s="81">
        <v>1</v>
      </c>
    </row>
    <row r="835" s="65" customFormat="1" customHeight="1" spans="1:12">
      <c r="A835" s="77">
        <v>832</v>
      </c>
      <c r="B835" s="78" t="e">
        <f t="shared" si="21"/>
        <v>#N/A</v>
      </c>
      <c r="C835" s="65" t="s">
        <v>115</v>
      </c>
      <c r="D835" s="83" t="s">
        <v>806</v>
      </c>
      <c r="E835" s="65" t="e">
        <f t="shared" si="22"/>
        <v>#N/A</v>
      </c>
      <c r="F835" s="65" t="s">
        <v>193</v>
      </c>
      <c r="K835" s="81">
        <v>0.01</v>
      </c>
      <c r="L835" s="81">
        <v>1</v>
      </c>
    </row>
    <row r="836" s="65" customFormat="1" customHeight="1" spans="1:12">
      <c r="A836" s="77">
        <v>833</v>
      </c>
      <c r="B836" s="78" t="e">
        <f t="shared" si="21"/>
        <v>#N/A</v>
      </c>
      <c r="C836" s="65" t="s">
        <v>115</v>
      </c>
      <c r="D836" s="83" t="s">
        <v>807</v>
      </c>
      <c r="E836" s="65" t="e">
        <f t="shared" si="22"/>
        <v>#N/A</v>
      </c>
      <c r="F836" s="65" t="s">
        <v>193</v>
      </c>
      <c r="K836" s="81">
        <v>0.01</v>
      </c>
      <c r="L836" s="81">
        <v>1</v>
      </c>
    </row>
    <row r="837" s="65" customFormat="1" customHeight="1" spans="1:12">
      <c r="A837" s="77">
        <v>834</v>
      </c>
      <c r="B837" s="78" t="e">
        <f t="shared" ref="B837:B900" si="23">+C837&amp;E837</f>
        <v>#N/A</v>
      </c>
      <c r="C837" s="65" t="s">
        <v>115</v>
      </c>
      <c r="D837" s="83" t="s">
        <v>808</v>
      </c>
      <c r="E837" s="65" t="e">
        <f t="shared" si="22"/>
        <v>#N/A</v>
      </c>
      <c r="F837" s="65" t="s">
        <v>193</v>
      </c>
      <c r="K837" s="81">
        <v>0.01</v>
      </c>
      <c r="L837" s="81">
        <v>1</v>
      </c>
    </row>
    <row r="838" s="65" customFormat="1" customHeight="1" spans="1:12">
      <c r="A838" s="77">
        <v>835</v>
      </c>
      <c r="B838" s="78" t="e">
        <f t="shared" si="23"/>
        <v>#N/A</v>
      </c>
      <c r="C838" s="65" t="s">
        <v>115</v>
      </c>
      <c r="D838" s="83" t="s">
        <v>809</v>
      </c>
      <c r="E838" s="65" t="e">
        <f t="shared" si="22"/>
        <v>#N/A</v>
      </c>
      <c r="F838" s="65" t="s">
        <v>193</v>
      </c>
      <c r="K838" s="81">
        <v>0.01</v>
      </c>
      <c r="L838" s="81">
        <v>1</v>
      </c>
    </row>
    <row r="839" s="65" customFormat="1" customHeight="1" spans="1:12">
      <c r="A839" s="77">
        <v>836</v>
      </c>
      <c r="B839" s="78" t="e">
        <f t="shared" si="23"/>
        <v>#N/A</v>
      </c>
      <c r="C839" s="65" t="s">
        <v>115</v>
      </c>
      <c r="D839" s="83" t="s">
        <v>810</v>
      </c>
      <c r="E839" s="65" t="e">
        <f t="shared" si="22"/>
        <v>#N/A</v>
      </c>
      <c r="F839" s="65" t="s">
        <v>193</v>
      </c>
      <c r="K839" s="81">
        <v>0.01</v>
      </c>
      <c r="L839" s="81">
        <v>1</v>
      </c>
    </row>
    <row r="840" s="65" customFormat="1" customHeight="1" spans="1:12">
      <c r="A840" s="77">
        <v>837</v>
      </c>
      <c r="B840" s="78" t="e">
        <f t="shared" si="23"/>
        <v>#N/A</v>
      </c>
      <c r="C840" s="65" t="s">
        <v>115</v>
      </c>
      <c r="D840" s="83" t="s">
        <v>811</v>
      </c>
      <c r="E840" s="65" t="e">
        <f t="shared" si="22"/>
        <v>#N/A</v>
      </c>
      <c r="F840" s="65" t="s">
        <v>193</v>
      </c>
      <c r="K840" s="81">
        <v>0.01</v>
      </c>
      <c r="L840" s="81">
        <v>1</v>
      </c>
    </row>
    <row r="841" s="65" customFormat="1" customHeight="1" spans="1:12">
      <c r="A841" s="77">
        <v>838</v>
      </c>
      <c r="B841" s="78" t="e">
        <f t="shared" si="23"/>
        <v>#N/A</v>
      </c>
      <c r="C841" s="65" t="s">
        <v>115</v>
      </c>
      <c r="D841" s="83" t="s">
        <v>812</v>
      </c>
      <c r="E841" s="65" t="e">
        <f t="shared" si="22"/>
        <v>#N/A</v>
      </c>
      <c r="F841" s="65" t="s">
        <v>193</v>
      </c>
      <c r="K841" s="81">
        <v>0.01</v>
      </c>
      <c r="L841" s="81">
        <v>1</v>
      </c>
    </row>
    <row r="842" s="65" customFormat="1" customHeight="1" spans="1:12">
      <c r="A842" s="77">
        <v>839</v>
      </c>
      <c r="B842" s="78" t="e">
        <f t="shared" si="23"/>
        <v>#N/A</v>
      </c>
      <c r="C842" s="65" t="s">
        <v>115</v>
      </c>
      <c r="D842" s="83" t="s">
        <v>813</v>
      </c>
      <c r="E842" s="65" t="e">
        <f t="shared" si="22"/>
        <v>#N/A</v>
      </c>
      <c r="F842" s="65" t="s">
        <v>193</v>
      </c>
      <c r="K842" s="81">
        <v>0.01</v>
      </c>
      <c r="L842" s="81">
        <v>1</v>
      </c>
    </row>
    <row r="843" s="65" customFormat="1" customHeight="1" spans="1:12">
      <c r="A843" s="77">
        <v>840</v>
      </c>
      <c r="B843" s="78" t="e">
        <f t="shared" si="23"/>
        <v>#N/A</v>
      </c>
      <c r="C843" s="65" t="s">
        <v>115</v>
      </c>
      <c r="D843" s="83" t="s">
        <v>814</v>
      </c>
      <c r="E843" s="65" t="e">
        <f t="shared" si="22"/>
        <v>#N/A</v>
      </c>
      <c r="F843" s="65" t="s">
        <v>193</v>
      </c>
      <c r="K843" s="81">
        <v>0.01</v>
      </c>
      <c r="L843" s="81">
        <v>1</v>
      </c>
    </row>
    <row r="844" s="65" customFormat="1" customHeight="1" spans="1:12">
      <c r="A844" s="77">
        <v>841</v>
      </c>
      <c r="B844" s="78" t="e">
        <f t="shared" si="23"/>
        <v>#N/A</v>
      </c>
      <c r="C844" s="65" t="s">
        <v>115</v>
      </c>
      <c r="D844" s="83" t="s">
        <v>815</v>
      </c>
      <c r="E844" s="65" t="e">
        <f t="shared" si="22"/>
        <v>#N/A</v>
      </c>
      <c r="F844" s="65" t="s">
        <v>193</v>
      </c>
      <c r="K844" s="81">
        <v>0.01</v>
      </c>
      <c r="L844" s="81">
        <v>1</v>
      </c>
    </row>
    <row r="845" s="65" customFormat="1" customHeight="1" spans="1:12">
      <c r="A845" s="77">
        <v>842</v>
      </c>
      <c r="B845" s="78" t="str">
        <f t="shared" si="23"/>
        <v>DilutionMezereum</v>
      </c>
      <c r="C845" s="65" t="s">
        <v>115</v>
      </c>
      <c r="D845" s="83" t="s">
        <v>382</v>
      </c>
      <c r="E845" s="65" t="str">
        <f t="shared" si="22"/>
        <v>Mezereum</v>
      </c>
      <c r="F845" s="65" t="s">
        <v>193</v>
      </c>
      <c r="K845" s="81">
        <v>0.01</v>
      </c>
      <c r="L845" s="81">
        <v>1</v>
      </c>
    </row>
    <row r="846" s="65" customFormat="1" customHeight="1" spans="1:12">
      <c r="A846" s="77">
        <v>843</v>
      </c>
      <c r="B846" s="78" t="str">
        <f t="shared" si="23"/>
        <v>DilutionMillefolium</v>
      </c>
      <c r="C846" s="65" t="s">
        <v>115</v>
      </c>
      <c r="D846" s="83" t="s">
        <v>383</v>
      </c>
      <c r="E846" s="65" t="str">
        <f t="shared" ref="E846:E909" si="24">+VLOOKUP(D846,$D$4:$D$301,1,FALSE)</f>
        <v>Millefolium</v>
      </c>
      <c r="F846" s="65" t="s">
        <v>193</v>
      </c>
      <c r="K846" s="81">
        <v>0.01</v>
      </c>
      <c r="L846" s="81">
        <v>1</v>
      </c>
    </row>
    <row r="847" s="65" customFormat="1" customHeight="1" spans="1:12">
      <c r="A847" s="77">
        <v>844</v>
      </c>
      <c r="B847" s="78" t="str">
        <f t="shared" si="23"/>
        <v>DilutionMimosa Pud</v>
      </c>
      <c r="C847" s="65" t="s">
        <v>115</v>
      </c>
      <c r="D847" s="83" t="s">
        <v>384</v>
      </c>
      <c r="E847" s="65" t="str">
        <f t="shared" si="24"/>
        <v>Mimosa Pud</v>
      </c>
      <c r="F847" s="65" t="s">
        <v>193</v>
      </c>
      <c r="K847" s="81">
        <v>0.01</v>
      </c>
      <c r="L847" s="81">
        <v>1</v>
      </c>
    </row>
    <row r="848" s="65" customFormat="1" customHeight="1" spans="1:12">
      <c r="A848" s="77">
        <v>845</v>
      </c>
      <c r="B848" s="78" t="e">
        <f t="shared" si="23"/>
        <v>#N/A</v>
      </c>
      <c r="C848" s="65" t="s">
        <v>115</v>
      </c>
      <c r="D848" s="83" t="s">
        <v>816</v>
      </c>
      <c r="E848" s="65" t="e">
        <f t="shared" si="24"/>
        <v>#N/A</v>
      </c>
      <c r="F848" s="65" t="s">
        <v>193</v>
      </c>
      <c r="K848" s="81">
        <v>0.01</v>
      </c>
      <c r="L848" s="81">
        <v>1</v>
      </c>
    </row>
    <row r="849" s="65" customFormat="1" customHeight="1" spans="1:12">
      <c r="A849" s="77">
        <v>846</v>
      </c>
      <c r="B849" s="78" t="e">
        <f t="shared" si="23"/>
        <v>#N/A</v>
      </c>
      <c r="C849" s="65" t="s">
        <v>115</v>
      </c>
      <c r="D849" s="83" t="s">
        <v>817</v>
      </c>
      <c r="E849" s="65" t="e">
        <f t="shared" si="24"/>
        <v>#N/A</v>
      </c>
      <c r="F849" s="65" t="s">
        <v>193</v>
      </c>
      <c r="K849" s="81">
        <v>0.01</v>
      </c>
      <c r="L849" s="81">
        <v>1</v>
      </c>
    </row>
    <row r="850" s="65" customFormat="1" customHeight="1" spans="1:12">
      <c r="A850" s="77">
        <v>847</v>
      </c>
      <c r="B850" s="78" t="e">
        <f t="shared" si="23"/>
        <v>#N/A</v>
      </c>
      <c r="C850" s="65" t="s">
        <v>115</v>
      </c>
      <c r="D850" s="83" t="s">
        <v>818</v>
      </c>
      <c r="E850" s="65" t="e">
        <f t="shared" si="24"/>
        <v>#N/A</v>
      </c>
      <c r="F850" s="65" t="s">
        <v>193</v>
      </c>
      <c r="K850" s="81">
        <v>0.01</v>
      </c>
      <c r="L850" s="81">
        <v>1</v>
      </c>
    </row>
    <row r="851" s="65" customFormat="1" customHeight="1" spans="1:12">
      <c r="A851" s="77">
        <v>848</v>
      </c>
      <c r="B851" s="78" t="e">
        <f t="shared" si="23"/>
        <v>#N/A</v>
      </c>
      <c r="C851" s="65" t="s">
        <v>115</v>
      </c>
      <c r="D851" s="83" t="s">
        <v>819</v>
      </c>
      <c r="E851" s="65" t="e">
        <f t="shared" si="24"/>
        <v>#N/A</v>
      </c>
      <c r="F851" s="65" t="s">
        <v>193</v>
      </c>
      <c r="K851" s="81">
        <v>0.01</v>
      </c>
      <c r="L851" s="81">
        <v>1</v>
      </c>
    </row>
    <row r="852" s="65" customFormat="1" customHeight="1" spans="1:12">
      <c r="A852" s="77">
        <v>849</v>
      </c>
      <c r="B852" s="78" t="e">
        <f t="shared" si="23"/>
        <v>#N/A</v>
      </c>
      <c r="C852" s="65" t="s">
        <v>115</v>
      </c>
      <c r="D852" s="83" t="s">
        <v>820</v>
      </c>
      <c r="E852" s="65" t="e">
        <f t="shared" si="24"/>
        <v>#N/A</v>
      </c>
      <c r="F852" s="65" t="s">
        <v>193</v>
      </c>
      <c r="K852" s="81">
        <v>0.01</v>
      </c>
      <c r="L852" s="81">
        <v>1</v>
      </c>
    </row>
    <row r="853" s="65" customFormat="1" customHeight="1" spans="1:12">
      <c r="A853" s="77">
        <v>850</v>
      </c>
      <c r="B853" s="78" t="e">
        <f t="shared" si="23"/>
        <v>#N/A</v>
      </c>
      <c r="C853" s="65" t="s">
        <v>115</v>
      </c>
      <c r="D853" s="83" t="s">
        <v>821</v>
      </c>
      <c r="E853" s="65" t="e">
        <f t="shared" si="24"/>
        <v>#N/A</v>
      </c>
      <c r="F853" s="65" t="s">
        <v>193</v>
      </c>
      <c r="K853" s="81">
        <v>0.01</v>
      </c>
      <c r="L853" s="81">
        <v>1</v>
      </c>
    </row>
    <row r="854" s="65" customFormat="1" customHeight="1" spans="1:12">
      <c r="A854" s="77">
        <v>851</v>
      </c>
      <c r="B854" s="78" t="e">
        <f t="shared" si="23"/>
        <v>#N/A</v>
      </c>
      <c r="C854" s="65" t="s">
        <v>115</v>
      </c>
      <c r="D854" s="83" t="s">
        <v>822</v>
      </c>
      <c r="E854" s="65" t="e">
        <f t="shared" si="24"/>
        <v>#N/A</v>
      </c>
      <c r="F854" s="65" t="s">
        <v>193</v>
      </c>
      <c r="K854" s="81">
        <v>0.01</v>
      </c>
      <c r="L854" s="81">
        <v>1</v>
      </c>
    </row>
    <row r="855" s="65" customFormat="1" customHeight="1" spans="1:12">
      <c r="A855" s="77">
        <v>852</v>
      </c>
      <c r="B855" s="78" t="e">
        <f t="shared" si="23"/>
        <v>#N/A</v>
      </c>
      <c r="C855" s="65" t="s">
        <v>115</v>
      </c>
      <c r="D855" s="83" t="s">
        <v>823</v>
      </c>
      <c r="E855" s="65" t="e">
        <f t="shared" si="24"/>
        <v>#N/A</v>
      </c>
      <c r="F855" s="65" t="s">
        <v>193</v>
      </c>
      <c r="K855" s="81">
        <v>0.01</v>
      </c>
      <c r="L855" s="81">
        <v>1</v>
      </c>
    </row>
    <row r="856" s="65" customFormat="1" customHeight="1" spans="1:12">
      <c r="A856" s="77">
        <v>853</v>
      </c>
      <c r="B856" s="78" t="e">
        <f t="shared" si="23"/>
        <v>#N/A</v>
      </c>
      <c r="C856" s="65" t="s">
        <v>115</v>
      </c>
      <c r="D856" s="83" t="s">
        <v>824</v>
      </c>
      <c r="E856" s="65" t="e">
        <f t="shared" si="24"/>
        <v>#N/A</v>
      </c>
      <c r="F856" s="65" t="s">
        <v>193</v>
      </c>
      <c r="K856" s="81">
        <v>0.01</v>
      </c>
      <c r="L856" s="81">
        <v>1</v>
      </c>
    </row>
    <row r="857" s="65" customFormat="1" customHeight="1" spans="1:12">
      <c r="A857" s="77">
        <v>854</v>
      </c>
      <c r="B857" s="78" t="e">
        <f t="shared" si="23"/>
        <v>#N/A</v>
      </c>
      <c r="C857" s="65" t="s">
        <v>115</v>
      </c>
      <c r="D857" s="83" t="s">
        <v>825</v>
      </c>
      <c r="E857" s="65" t="e">
        <f t="shared" si="24"/>
        <v>#N/A</v>
      </c>
      <c r="F857" s="65" t="s">
        <v>193</v>
      </c>
      <c r="K857" s="81">
        <v>0.01</v>
      </c>
      <c r="L857" s="81">
        <v>1</v>
      </c>
    </row>
    <row r="858" s="65" customFormat="1" customHeight="1" spans="1:12">
      <c r="A858" s="77">
        <v>855</v>
      </c>
      <c r="B858" s="78" t="e">
        <f t="shared" si="23"/>
        <v>#N/A</v>
      </c>
      <c r="C858" s="65" t="s">
        <v>115</v>
      </c>
      <c r="D858" s="83" t="s">
        <v>826</v>
      </c>
      <c r="E858" s="65" t="e">
        <f t="shared" si="24"/>
        <v>#N/A</v>
      </c>
      <c r="F858" s="65" t="s">
        <v>193</v>
      </c>
      <c r="K858" s="81">
        <v>0.01</v>
      </c>
      <c r="L858" s="81">
        <v>1</v>
      </c>
    </row>
    <row r="859" s="65" customFormat="1" customHeight="1" spans="1:12">
      <c r="A859" s="77">
        <v>856</v>
      </c>
      <c r="B859" s="78" t="e">
        <f t="shared" si="23"/>
        <v>#N/A</v>
      </c>
      <c r="C859" s="65" t="s">
        <v>115</v>
      </c>
      <c r="D859" s="83" t="s">
        <v>827</v>
      </c>
      <c r="E859" s="65" t="e">
        <f t="shared" si="24"/>
        <v>#N/A</v>
      </c>
      <c r="F859" s="65" t="s">
        <v>193</v>
      </c>
      <c r="K859" s="81">
        <v>0.01</v>
      </c>
      <c r="L859" s="81">
        <v>1</v>
      </c>
    </row>
    <row r="860" s="65" customFormat="1" customHeight="1" spans="1:12">
      <c r="A860" s="77">
        <v>857</v>
      </c>
      <c r="B860" s="78" t="e">
        <f t="shared" si="23"/>
        <v>#N/A</v>
      </c>
      <c r="C860" s="65" t="s">
        <v>115</v>
      </c>
      <c r="D860" s="83" t="s">
        <v>828</v>
      </c>
      <c r="E860" s="65" t="e">
        <f t="shared" si="24"/>
        <v>#N/A</v>
      </c>
      <c r="F860" s="65" t="s">
        <v>193</v>
      </c>
      <c r="K860" s="81">
        <v>0.01</v>
      </c>
      <c r="L860" s="81">
        <v>1</v>
      </c>
    </row>
    <row r="861" s="65" customFormat="1" customHeight="1" spans="1:12">
      <c r="A861" s="77">
        <v>858</v>
      </c>
      <c r="B861" s="78" t="e">
        <f t="shared" si="23"/>
        <v>#N/A</v>
      </c>
      <c r="C861" s="65" t="s">
        <v>115</v>
      </c>
      <c r="D861" s="83" t="s">
        <v>829</v>
      </c>
      <c r="E861" s="65" t="e">
        <f t="shared" si="24"/>
        <v>#N/A</v>
      </c>
      <c r="F861" s="65" t="s">
        <v>193</v>
      </c>
      <c r="K861" s="81">
        <v>0.01</v>
      </c>
      <c r="L861" s="81">
        <v>1</v>
      </c>
    </row>
    <row r="862" s="65" customFormat="1" customHeight="1" spans="1:12">
      <c r="A862" s="77">
        <v>859</v>
      </c>
      <c r="B862" s="78" t="e">
        <f t="shared" si="23"/>
        <v>#N/A</v>
      </c>
      <c r="C862" s="65" t="s">
        <v>115</v>
      </c>
      <c r="D862" s="83" t="s">
        <v>830</v>
      </c>
      <c r="E862" s="65" t="e">
        <f t="shared" si="24"/>
        <v>#N/A</v>
      </c>
      <c r="F862" s="65" t="s">
        <v>193</v>
      </c>
      <c r="K862" s="81">
        <v>0.01</v>
      </c>
      <c r="L862" s="81">
        <v>1</v>
      </c>
    </row>
    <row r="863" s="65" customFormat="1" customHeight="1" spans="1:12">
      <c r="A863" s="77">
        <v>860</v>
      </c>
      <c r="B863" s="78" t="e">
        <f t="shared" si="23"/>
        <v>#N/A</v>
      </c>
      <c r="C863" s="65" t="s">
        <v>115</v>
      </c>
      <c r="D863" s="83" t="s">
        <v>831</v>
      </c>
      <c r="E863" s="65" t="e">
        <f t="shared" si="24"/>
        <v>#N/A</v>
      </c>
      <c r="F863" s="65" t="s">
        <v>193</v>
      </c>
      <c r="K863" s="81">
        <v>0.01</v>
      </c>
      <c r="L863" s="81">
        <v>1</v>
      </c>
    </row>
    <row r="864" s="65" customFormat="1" customHeight="1" spans="1:12">
      <c r="A864" s="77">
        <v>861</v>
      </c>
      <c r="B864" s="78" t="e">
        <f t="shared" si="23"/>
        <v>#N/A</v>
      </c>
      <c r="C864" s="65" t="s">
        <v>115</v>
      </c>
      <c r="D864" s="83" t="s">
        <v>832</v>
      </c>
      <c r="E864" s="65" t="e">
        <f t="shared" si="24"/>
        <v>#N/A</v>
      </c>
      <c r="F864" s="65" t="s">
        <v>193</v>
      </c>
      <c r="K864" s="81">
        <v>0.01</v>
      </c>
      <c r="L864" s="81">
        <v>1</v>
      </c>
    </row>
    <row r="865" s="65" customFormat="1" customHeight="1" spans="1:12">
      <c r="A865" s="77">
        <v>862</v>
      </c>
      <c r="B865" s="78" t="e">
        <f t="shared" si="23"/>
        <v>#N/A</v>
      </c>
      <c r="C865" s="65" t="s">
        <v>115</v>
      </c>
      <c r="D865" s="83" t="s">
        <v>833</v>
      </c>
      <c r="E865" s="65" t="e">
        <f t="shared" si="24"/>
        <v>#N/A</v>
      </c>
      <c r="F865" s="65" t="s">
        <v>193</v>
      </c>
      <c r="K865" s="81">
        <v>0.01</v>
      </c>
      <c r="L865" s="81">
        <v>1</v>
      </c>
    </row>
    <row r="866" s="65" customFormat="1" customHeight="1" spans="1:12">
      <c r="A866" s="77">
        <v>863</v>
      </c>
      <c r="B866" s="78" t="e">
        <f t="shared" si="23"/>
        <v>#N/A</v>
      </c>
      <c r="C866" s="65" t="s">
        <v>115</v>
      </c>
      <c r="D866" s="83" t="s">
        <v>834</v>
      </c>
      <c r="E866" s="65" t="e">
        <f t="shared" si="24"/>
        <v>#N/A</v>
      </c>
      <c r="F866" s="65" t="s">
        <v>193</v>
      </c>
      <c r="K866" s="81">
        <v>0.01</v>
      </c>
      <c r="L866" s="81">
        <v>1</v>
      </c>
    </row>
    <row r="867" s="65" customFormat="1" customHeight="1" spans="1:12">
      <c r="A867" s="77">
        <v>864</v>
      </c>
      <c r="B867" s="78" t="str">
        <f t="shared" si="23"/>
        <v>DilutionNegundium</v>
      </c>
      <c r="C867" s="65" t="s">
        <v>115</v>
      </c>
      <c r="D867" s="83" t="s">
        <v>386</v>
      </c>
      <c r="E867" s="65" t="str">
        <f t="shared" si="24"/>
        <v>Negundium</v>
      </c>
      <c r="F867" s="65" t="s">
        <v>193</v>
      </c>
      <c r="K867" s="81">
        <v>0.01</v>
      </c>
      <c r="L867" s="81">
        <v>1</v>
      </c>
    </row>
    <row r="868" s="65" customFormat="1" customHeight="1" spans="1:12">
      <c r="A868" s="77">
        <v>865</v>
      </c>
      <c r="B868" s="78" t="str">
        <f t="shared" si="23"/>
        <v>DilutionNuphar Lut.</v>
      </c>
      <c r="C868" s="65" t="s">
        <v>115</v>
      </c>
      <c r="D868" s="83" t="s">
        <v>387</v>
      </c>
      <c r="E868" s="65" t="str">
        <f t="shared" si="24"/>
        <v>Nuphar Lut.</v>
      </c>
      <c r="F868" s="65" t="s">
        <v>193</v>
      </c>
      <c r="K868" s="81">
        <v>0.01</v>
      </c>
      <c r="L868" s="81">
        <v>1</v>
      </c>
    </row>
    <row r="869" s="65" customFormat="1" customHeight="1" spans="1:12">
      <c r="A869" s="77">
        <v>866</v>
      </c>
      <c r="B869" s="78" t="e">
        <f t="shared" si="23"/>
        <v>#N/A</v>
      </c>
      <c r="C869" s="65" t="s">
        <v>115</v>
      </c>
      <c r="D869" s="83" t="s">
        <v>835</v>
      </c>
      <c r="E869" s="65" t="e">
        <f t="shared" si="24"/>
        <v>#N/A</v>
      </c>
      <c r="F869" s="65" t="s">
        <v>193</v>
      </c>
      <c r="K869" s="81">
        <v>0.01</v>
      </c>
      <c r="L869" s="81">
        <v>1</v>
      </c>
    </row>
    <row r="870" s="65" customFormat="1" customHeight="1" spans="1:12">
      <c r="A870" s="77">
        <v>867</v>
      </c>
      <c r="B870" s="78" t="str">
        <f t="shared" si="23"/>
        <v>DilutionNux Mosch</v>
      </c>
      <c r="C870" s="65" t="s">
        <v>115</v>
      </c>
      <c r="D870" s="83" t="s">
        <v>388</v>
      </c>
      <c r="E870" s="65" t="str">
        <f t="shared" si="24"/>
        <v>Nux Mosch</v>
      </c>
      <c r="F870" s="65" t="s">
        <v>193</v>
      </c>
      <c r="K870" s="81">
        <v>0.01</v>
      </c>
      <c r="L870" s="81">
        <v>1</v>
      </c>
    </row>
    <row r="871" s="65" customFormat="1" customHeight="1" spans="1:12">
      <c r="A871" s="77">
        <v>868</v>
      </c>
      <c r="B871" s="78" t="str">
        <f t="shared" si="23"/>
        <v>DilutionNux Vomica</v>
      </c>
      <c r="C871" s="65" t="s">
        <v>115</v>
      </c>
      <c r="D871" s="83" t="s">
        <v>389</v>
      </c>
      <c r="E871" s="65" t="str">
        <f t="shared" si="24"/>
        <v>Nux Vomica</v>
      </c>
      <c r="F871" s="65" t="s">
        <v>193</v>
      </c>
      <c r="K871" s="81">
        <v>0.01</v>
      </c>
      <c r="L871" s="81">
        <v>1</v>
      </c>
    </row>
    <row r="872" s="65" customFormat="1" customHeight="1" spans="1:12">
      <c r="A872" s="77">
        <v>869</v>
      </c>
      <c r="B872" s="78" t="e">
        <f t="shared" si="23"/>
        <v>#N/A</v>
      </c>
      <c r="C872" s="65" t="s">
        <v>115</v>
      </c>
      <c r="D872" s="83" t="s">
        <v>836</v>
      </c>
      <c r="E872" s="65" t="e">
        <f t="shared" si="24"/>
        <v>#N/A</v>
      </c>
      <c r="F872" s="65" t="s">
        <v>193</v>
      </c>
      <c r="K872" s="81">
        <v>0.01</v>
      </c>
      <c r="L872" s="81">
        <v>1</v>
      </c>
    </row>
    <row r="873" s="65" customFormat="1" customHeight="1" spans="1:12">
      <c r="A873" s="77">
        <v>870</v>
      </c>
      <c r="B873" s="78" t="str">
        <f t="shared" si="23"/>
        <v>DilutionNymphoea O</v>
      </c>
      <c r="C873" s="65" t="s">
        <v>115</v>
      </c>
      <c r="D873" s="83" t="s">
        <v>390</v>
      </c>
      <c r="E873" s="65" t="str">
        <f t="shared" si="24"/>
        <v>Nymphoea O</v>
      </c>
      <c r="F873" s="65" t="s">
        <v>193</v>
      </c>
      <c r="K873" s="81">
        <v>0.01</v>
      </c>
      <c r="L873" s="81">
        <v>1</v>
      </c>
    </row>
    <row r="874" s="65" customFormat="1" customHeight="1" spans="1:12">
      <c r="A874" s="77">
        <v>871</v>
      </c>
      <c r="B874" s="78" t="str">
        <f t="shared" si="23"/>
        <v>DilutionOcimum Can.</v>
      </c>
      <c r="C874" s="65" t="s">
        <v>115</v>
      </c>
      <c r="D874" s="83" t="s">
        <v>391</v>
      </c>
      <c r="E874" s="65" t="str">
        <f t="shared" si="24"/>
        <v>Ocimum Can.</v>
      </c>
      <c r="F874" s="65" t="s">
        <v>193</v>
      </c>
      <c r="K874" s="81">
        <v>0.01</v>
      </c>
      <c r="L874" s="81">
        <v>1</v>
      </c>
    </row>
    <row r="875" s="65" customFormat="1" customHeight="1" spans="1:12">
      <c r="A875" s="77">
        <v>872</v>
      </c>
      <c r="B875" s="78" t="str">
        <f t="shared" si="23"/>
        <v>DilutionOcimum Sanct.</v>
      </c>
      <c r="C875" s="65" t="s">
        <v>115</v>
      </c>
      <c r="D875" s="83" t="s">
        <v>392</v>
      </c>
      <c r="E875" s="65" t="str">
        <f t="shared" si="24"/>
        <v>Ocimum Sanct.</v>
      </c>
      <c r="F875" s="65" t="s">
        <v>193</v>
      </c>
      <c r="K875" s="81">
        <v>0.01</v>
      </c>
      <c r="L875" s="81">
        <v>1</v>
      </c>
    </row>
    <row r="876" s="65" customFormat="1" customHeight="1" spans="1:12">
      <c r="A876" s="77">
        <v>873</v>
      </c>
      <c r="B876" s="78" t="str">
        <f t="shared" si="23"/>
        <v>DilutionOenanthe Croc</v>
      </c>
      <c r="C876" s="65" t="s">
        <v>115</v>
      </c>
      <c r="D876" s="83" t="s">
        <v>393</v>
      </c>
      <c r="E876" s="65" t="str">
        <f t="shared" si="24"/>
        <v>Oenanthe Croc</v>
      </c>
      <c r="F876" s="65" t="s">
        <v>193</v>
      </c>
      <c r="K876" s="81">
        <v>0.01</v>
      </c>
      <c r="L876" s="81">
        <v>1</v>
      </c>
    </row>
    <row r="877" s="65" customFormat="1" customHeight="1" spans="1:12">
      <c r="A877" s="77">
        <v>874</v>
      </c>
      <c r="B877" s="78" t="str">
        <f t="shared" si="23"/>
        <v>DilutionOleander</v>
      </c>
      <c r="C877" s="65" t="s">
        <v>115</v>
      </c>
      <c r="D877" s="83" t="s">
        <v>394</v>
      </c>
      <c r="E877" s="65" t="str">
        <f t="shared" si="24"/>
        <v>Oleander</v>
      </c>
      <c r="F877" s="65" t="s">
        <v>193</v>
      </c>
      <c r="K877" s="81">
        <v>0.01</v>
      </c>
      <c r="L877" s="81">
        <v>1</v>
      </c>
    </row>
    <row r="878" s="65" customFormat="1" customHeight="1" spans="1:12">
      <c r="A878" s="77">
        <v>875</v>
      </c>
      <c r="B878" s="78" t="e">
        <f t="shared" si="23"/>
        <v>#N/A</v>
      </c>
      <c r="C878" s="65" t="s">
        <v>115</v>
      </c>
      <c r="D878" s="83" t="s">
        <v>837</v>
      </c>
      <c r="E878" s="65" t="e">
        <f t="shared" si="24"/>
        <v>#N/A</v>
      </c>
      <c r="F878" s="65" t="s">
        <v>193</v>
      </c>
      <c r="K878" s="81">
        <v>0.01</v>
      </c>
      <c r="L878" s="81">
        <v>1</v>
      </c>
    </row>
    <row r="879" s="65" customFormat="1" customHeight="1" spans="1:12">
      <c r="A879" s="77">
        <v>876</v>
      </c>
      <c r="B879" s="78" t="e">
        <f t="shared" si="23"/>
        <v>#N/A</v>
      </c>
      <c r="C879" s="65" t="s">
        <v>115</v>
      </c>
      <c r="D879" s="83" t="s">
        <v>838</v>
      </c>
      <c r="E879" s="65" t="e">
        <f t="shared" si="24"/>
        <v>#N/A</v>
      </c>
      <c r="F879" s="65" t="s">
        <v>193</v>
      </c>
      <c r="K879" s="81">
        <v>0.01</v>
      </c>
      <c r="L879" s="81">
        <v>1</v>
      </c>
    </row>
    <row r="880" s="65" customFormat="1" customHeight="1" spans="1:12">
      <c r="A880" s="77">
        <v>877</v>
      </c>
      <c r="B880" s="78" t="e">
        <f t="shared" si="23"/>
        <v>#N/A</v>
      </c>
      <c r="C880" s="65" t="s">
        <v>115</v>
      </c>
      <c r="D880" s="83" t="s">
        <v>839</v>
      </c>
      <c r="E880" s="65" t="e">
        <f t="shared" si="24"/>
        <v>#N/A</v>
      </c>
      <c r="F880" s="65" t="s">
        <v>193</v>
      </c>
      <c r="K880" s="81">
        <v>0.01</v>
      </c>
      <c r="L880" s="81">
        <v>1</v>
      </c>
    </row>
    <row r="881" s="65" customFormat="1" customHeight="1" spans="1:12">
      <c r="A881" s="77">
        <v>878</v>
      </c>
      <c r="B881" s="78" t="e">
        <f t="shared" si="23"/>
        <v>#N/A</v>
      </c>
      <c r="C881" s="65" t="s">
        <v>115</v>
      </c>
      <c r="D881" s="83" t="s">
        <v>840</v>
      </c>
      <c r="E881" s="65" t="e">
        <f t="shared" si="24"/>
        <v>#N/A</v>
      </c>
      <c r="F881" s="65" t="s">
        <v>193</v>
      </c>
      <c r="K881" s="81">
        <v>0.01</v>
      </c>
      <c r="L881" s="81">
        <v>1</v>
      </c>
    </row>
    <row r="882" s="65" customFormat="1" customHeight="1" spans="1:12">
      <c r="A882" s="77">
        <v>879</v>
      </c>
      <c r="B882" s="78" t="e">
        <f t="shared" si="23"/>
        <v>#N/A</v>
      </c>
      <c r="C882" s="65" t="s">
        <v>115</v>
      </c>
      <c r="D882" s="83" t="s">
        <v>841</v>
      </c>
      <c r="E882" s="65" t="e">
        <f t="shared" si="24"/>
        <v>#N/A</v>
      </c>
      <c r="F882" s="65" t="s">
        <v>193</v>
      </c>
      <c r="K882" s="81">
        <v>0.01</v>
      </c>
      <c r="L882" s="81">
        <v>1</v>
      </c>
    </row>
    <row r="883" s="65" customFormat="1" customHeight="1" spans="1:12">
      <c r="A883" s="77">
        <v>880</v>
      </c>
      <c r="B883" s="78" t="e">
        <f t="shared" si="23"/>
        <v>#N/A</v>
      </c>
      <c r="C883" s="65" t="s">
        <v>115</v>
      </c>
      <c r="D883" s="83" t="s">
        <v>842</v>
      </c>
      <c r="E883" s="65" t="e">
        <f t="shared" si="24"/>
        <v>#N/A</v>
      </c>
      <c r="F883" s="65" t="s">
        <v>193</v>
      </c>
      <c r="K883" s="81">
        <v>0.01</v>
      </c>
      <c r="L883" s="81">
        <v>1</v>
      </c>
    </row>
    <row r="884" s="65" customFormat="1" customHeight="1" spans="1:12">
      <c r="A884" s="77">
        <v>881</v>
      </c>
      <c r="B884" s="78" t="e">
        <f t="shared" si="23"/>
        <v>#N/A</v>
      </c>
      <c r="C884" s="65" t="s">
        <v>115</v>
      </c>
      <c r="D884" s="83" t="s">
        <v>843</v>
      </c>
      <c r="E884" s="65" t="e">
        <f t="shared" si="24"/>
        <v>#N/A</v>
      </c>
      <c r="F884" s="65" t="s">
        <v>193</v>
      </c>
      <c r="K884" s="81">
        <v>0.01</v>
      </c>
      <c r="L884" s="81">
        <v>1</v>
      </c>
    </row>
    <row r="885" s="65" customFormat="1" customHeight="1" spans="1:12">
      <c r="A885" s="77">
        <v>882</v>
      </c>
      <c r="B885" s="78" t="str">
        <f t="shared" si="23"/>
        <v>DilutionOrnithogalum</v>
      </c>
      <c r="C885" s="65" t="s">
        <v>115</v>
      </c>
      <c r="D885" s="83" t="s">
        <v>395</v>
      </c>
      <c r="E885" s="65" t="str">
        <f t="shared" si="24"/>
        <v>Ornithogalum</v>
      </c>
      <c r="F885" s="65" t="s">
        <v>193</v>
      </c>
      <c r="K885" s="81">
        <v>0.01</v>
      </c>
      <c r="L885" s="81">
        <v>1</v>
      </c>
    </row>
    <row r="886" s="65" customFormat="1" customHeight="1" spans="1:12">
      <c r="A886" s="77">
        <v>883</v>
      </c>
      <c r="B886" s="78" t="e">
        <f t="shared" si="23"/>
        <v>#N/A</v>
      </c>
      <c r="C886" s="65" t="s">
        <v>115</v>
      </c>
      <c r="D886" s="83" t="s">
        <v>844</v>
      </c>
      <c r="E886" s="65" t="e">
        <f t="shared" si="24"/>
        <v>#N/A</v>
      </c>
      <c r="F886" s="65" t="s">
        <v>193</v>
      </c>
      <c r="K886" s="81">
        <v>0.01</v>
      </c>
      <c r="L886" s="81">
        <v>1</v>
      </c>
    </row>
    <row r="887" s="65" customFormat="1" customHeight="1" spans="1:12">
      <c r="A887" s="77">
        <v>884</v>
      </c>
      <c r="B887" s="78" t="e">
        <f t="shared" si="23"/>
        <v>#N/A</v>
      </c>
      <c r="C887" s="65" t="s">
        <v>115</v>
      </c>
      <c r="D887" s="83" t="s">
        <v>845</v>
      </c>
      <c r="E887" s="65" t="e">
        <f t="shared" si="24"/>
        <v>#N/A</v>
      </c>
      <c r="F887" s="65" t="s">
        <v>193</v>
      </c>
      <c r="K887" s="81">
        <v>0.01</v>
      </c>
      <c r="L887" s="81">
        <v>1</v>
      </c>
    </row>
    <row r="888" s="65" customFormat="1" customHeight="1" spans="1:12">
      <c r="A888" s="77">
        <v>885</v>
      </c>
      <c r="B888" s="78" t="e">
        <f t="shared" si="23"/>
        <v>#N/A</v>
      </c>
      <c r="C888" s="65" t="s">
        <v>115</v>
      </c>
      <c r="D888" s="83" t="s">
        <v>846</v>
      </c>
      <c r="E888" s="65" t="e">
        <f t="shared" si="24"/>
        <v>#N/A</v>
      </c>
      <c r="F888" s="65" t="s">
        <v>193</v>
      </c>
      <c r="K888" s="81">
        <v>0.01</v>
      </c>
      <c r="L888" s="81">
        <v>1</v>
      </c>
    </row>
    <row r="889" s="65" customFormat="1" customHeight="1" spans="1:12">
      <c r="A889" s="77">
        <v>886</v>
      </c>
      <c r="B889" s="78" t="str">
        <f t="shared" si="23"/>
        <v>DilutionPaeonia Off</v>
      </c>
      <c r="C889" s="65" t="s">
        <v>115</v>
      </c>
      <c r="D889" s="83" t="s">
        <v>396</v>
      </c>
      <c r="E889" s="65" t="str">
        <f t="shared" si="24"/>
        <v>Paeonia Off</v>
      </c>
      <c r="F889" s="65" t="s">
        <v>193</v>
      </c>
      <c r="K889" s="81">
        <v>0.01</v>
      </c>
      <c r="L889" s="81">
        <v>1</v>
      </c>
    </row>
    <row r="890" s="65" customFormat="1" customHeight="1" spans="1:12">
      <c r="A890" s="77">
        <v>887</v>
      </c>
      <c r="B890" s="78" t="e">
        <f t="shared" si="23"/>
        <v>#N/A</v>
      </c>
      <c r="C890" s="65" t="s">
        <v>115</v>
      </c>
      <c r="D890" s="83" t="s">
        <v>847</v>
      </c>
      <c r="E890" s="65" t="e">
        <f t="shared" si="24"/>
        <v>#N/A</v>
      </c>
      <c r="F890" s="65" t="s">
        <v>193</v>
      </c>
      <c r="K890" s="81">
        <v>0.01</v>
      </c>
      <c r="L890" s="81">
        <v>1</v>
      </c>
    </row>
    <row r="891" s="65" customFormat="1" customHeight="1" spans="1:12">
      <c r="A891" s="77">
        <v>888</v>
      </c>
      <c r="B891" s="78" t="e">
        <f t="shared" si="23"/>
        <v>#N/A</v>
      </c>
      <c r="C891" s="65" t="s">
        <v>115</v>
      </c>
      <c r="D891" s="83" t="s">
        <v>848</v>
      </c>
      <c r="E891" s="65" t="e">
        <f t="shared" si="24"/>
        <v>#N/A</v>
      </c>
      <c r="F891" s="65" t="s">
        <v>193</v>
      </c>
      <c r="K891" s="81">
        <v>0.01</v>
      </c>
      <c r="L891" s="81">
        <v>1</v>
      </c>
    </row>
    <row r="892" s="65" customFormat="1" customHeight="1" spans="1:12">
      <c r="A892" s="77">
        <v>889</v>
      </c>
      <c r="B892" s="78" t="e">
        <f t="shared" si="23"/>
        <v>#N/A</v>
      </c>
      <c r="C892" s="65" t="s">
        <v>115</v>
      </c>
      <c r="D892" s="83" t="s">
        <v>849</v>
      </c>
      <c r="E892" s="65" t="e">
        <f t="shared" si="24"/>
        <v>#N/A</v>
      </c>
      <c r="F892" s="65" t="s">
        <v>193</v>
      </c>
      <c r="K892" s="81">
        <v>0.01</v>
      </c>
      <c r="L892" s="81">
        <v>1</v>
      </c>
    </row>
    <row r="893" s="65" customFormat="1" customHeight="1" spans="1:12">
      <c r="A893" s="77">
        <v>890</v>
      </c>
      <c r="B893" s="78" t="e">
        <f t="shared" si="23"/>
        <v>#N/A</v>
      </c>
      <c r="C893" s="65" t="s">
        <v>115</v>
      </c>
      <c r="D893" s="83" t="s">
        <v>850</v>
      </c>
      <c r="E893" s="65" t="e">
        <f t="shared" si="24"/>
        <v>#N/A</v>
      </c>
      <c r="F893" s="65" t="s">
        <v>193</v>
      </c>
      <c r="K893" s="81">
        <v>0.01</v>
      </c>
      <c r="L893" s="81">
        <v>1</v>
      </c>
    </row>
    <row r="894" s="65" customFormat="1" customHeight="1" spans="1:12">
      <c r="A894" s="77">
        <v>891</v>
      </c>
      <c r="B894" s="78" t="str">
        <f t="shared" si="23"/>
        <v>DilutionPareira Brav.</v>
      </c>
      <c r="C894" s="65" t="s">
        <v>115</v>
      </c>
      <c r="D894" s="83" t="s">
        <v>397</v>
      </c>
      <c r="E894" s="65" t="str">
        <f t="shared" si="24"/>
        <v>Pareira Brav.</v>
      </c>
      <c r="F894" s="65" t="s">
        <v>193</v>
      </c>
      <c r="K894" s="81">
        <v>0.01</v>
      </c>
      <c r="L894" s="81">
        <v>1</v>
      </c>
    </row>
    <row r="895" s="65" customFormat="1" customHeight="1" spans="1:12">
      <c r="A895" s="77">
        <v>892</v>
      </c>
      <c r="B895" s="78" t="e">
        <f t="shared" si="23"/>
        <v>#N/A</v>
      </c>
      <c r="C895" s="65" t="s">
        <v>115</v>
      </c>
      <c r="D895" s="83" t="s">
        <v>851</v>
      </c>
      <c r="E895" s="65" t="e">
        <f t="shared" si="24"/>
        <v>#N/A</v>
      </c>
      <c r="F895" s="65" t="s">
        <v>193</v>
      </c>
      <c r="K895" s="81">
        <v>0.01</v>
      </c>
      <c r="L895" s="81">
        <v>1</v>
      </c>
    </row>
    <row r="896" s="65" customFormat="1" customHeight="1" spans="1:12">
      <c r="A896" s="77">
        <v>893</v>
      </c>
      <c r="B896" s="78" t="e">
        <f t="shared" si="23"/>
        <v>#N/A</v>
      </c>
      <c r="C896" s="65" t="s">
        <v>115</v>
      </c>
      <c r="D896" s="83" t="s">
        <v>852</v>
      </c>
      <c r="E896" s="65" t="e">
        <f t="shared" si="24"/>
        <v>#N/A</v>
      </c>
      <c r="F896" s="65" t="s">
        <v>193</v>
      </c>
      <c r="K896" s="81">
        <v>0.01</v>
      </c>
      <c r="L896" s="81">
        <v>1</v>
      </c>
    </row>
    <row r="897" s="65" customFormat="1" customHeight="1" spans="1:12">
      <c r="A897" s="77">
        <v>894</v>
      </c>
      <c r="B897" s="78" t="str">
        <f t="shared" si="23"/>
        <v>DilutionPassiflora. Inc.</v>
      </c>
      <c r="C897" s="65" t="s">
        <v>115</v>
      </c>
      <c r="D897" s="83" t="s">
        <v>398</v>
      </c>
      <c r="E897" s="65" t="str">
        <f t="shared" si="24"/>
        <v>Passiflora. Inc.</v>
      </c>
      <c r="F897" s="65" t="s">
        <v>193</v>
      </c>
      <c r="K897" s="81">
        <v>0.01</v>
      </c>
      <c r="L897" s="81">
        <v>1</v>
      </c>
    </row>
    <row r="898" s="65" customFormat="1" customHeight="1" spans="1:12">
      <c r="A898" s="77">
        <v>895</v>
      </c>
      <c r="B898" s="78" t="e">
        <f t="shared" si="23"/>
        <v>#N/A</v>
      </c>
      <c r="C898" s="65" t="s">
        <v>115</v>
      </c>
      <c r="D898" s="83" t="s">
        <v>853</v>
      </c>
      <c r="E898" s="65" t="e">
        <f t="shared" si="24"/>
        <v>#N/A</v>
      </c>
      <c r="F898" s="65" t="s">
        <v>193</v>
      </c>
      <c r="K898" s="81">
        <v>0.01</v>
      </c>
      <c r="L898" s="81">
        <v>1</v>
      </c>
    </row>
    <row r="899" s="65" customFormat="1" customHeight="1" spans="1:12">
      <c r="A899" s="77">
        <v>896</v>
      </c>
      <c r="B899" s="78" t="e">
        <f t="shared" si="23"/>
        <v>#N/A</v>
      </c>
      <c r="C899" s="65" t="s">
        <v>115</v>
      </c>
      <c r="D899" s="83" t="s">
        <v>854</v>
      </c>
      <c r="E899" s="65" t="e">
        <f t="shared" si="24"/>
        <v>#N/A</v>
      </c>
      <c r="F899" s="65" t="s">
        <v>193</v>
      </c>
      <c r="K899" s="81">
        <v>0.01</v>
      </c>
      <c r="L899" s="81">
        <v>1</v>
      </c>
    </row>
    <row r="900" s="65" customFormat="1" customHeight="1" spans="1:12">
      <c r="A900" s="77">
        <v>897</v>
      </c>
      <c r="B900" s="78" t="e">
        <f t="shared" si="23"/>
        <v>#N/A</v>
      </c>
      <c r="C900" s="65" t="s">
        <v>115</v>
      </c>
      <c r="D900" s="83" t="s">
        <v>855</v>
      </c>
      <c r="E900" s="65" t="e">
        <f t="shared" si="24"/>
        <v>#N/A</v>
      </c>
      <c r="F900" s="65" t="s">
        <v>193</v>
      </c>
      <c r="K900" s="81">
        <v>0.01</v>
      </c>
      <c r="L900" s="81">
        <v>1</v>
      </c>
    </row>
    <row r="901" s="65" customFormat="1" customHeight="1" spans="1:12">
      <c r="A901" s="77">
        <v>898</v>
      </c>
      <c r="B901" s="78" t="e">
        <f t="shared" ref="B901:B964" si="25">+C901&amp;E901</f>
        <v>#N/A</v>
      </c>
      <c r="C901" s="65" t="s">
        <v>115</v>
      </c>
      <c r="D901" s="83" t="s">
        <v>856</v>
      </c>
      <c r="E901" s="65" t="e">
        <f t="shared" si="24"/>
        <v>#N/A</v>
      </c>
      <c r="F901" s="65" t="s">
        <v>193</v>
      </c>
      <c r="K901" s="81">
        <v>0.01</v>
      </c>
      <c r="L901" s="81">
        <v>1</v>
      </c>
    </row>
    <row r="902" s="65" customFormat="1" customHeight="1" spans="1:12">
      <c r="A902" s="77">
        <v>899</v>
      </c>
      <c r="B902" s="78" t="e">
        <f t="shared" si="25"/>
        <v>#N/A</v>
      </c>
      <c r="C902" s="65" t="s">
        <v>115</v>
      </c>
      <c r="D902" s="83" t="s">
        <v>857</v>
      </c>
      <c r="E902" s="65" t="e">
        <f t="shared" si="24"/>
        <v>#N/A</v>
      </c>
      <c r="F902" s="65" t="s">
        <v>193</v>
      </c>
      <c r="K902" s="81">
        <v>0.01</v>
      </c>
      <c r="L902" s="81">
        <v>1</v>
      </c>
    </row>
    <row r="903" s="65" customFormat="1" customHeight="1" spans="1:12">
      <c r="A903" s="77">
        <v>900</v>
      </c>
      <c r="B903" s="78" t="e">
        <f t="shared" si="25"/>
        <v>#N/A</v>
      </c>
      <c r="C903" s="65" t="s">
        <v>115</v>
      </c>
      <c r="D903" s="83" t="s">
        <v>858</v>
      </c>
      <c r="E903" s="65" t="e">
        <f t="shared" si="24"/>
        <v>#N/A</v>
      </c>
      <c r="F903" s="65" t="s">
        <v>193</v>
      </c>
      <c r="K903" s="81">
        <v>0.01</v>
      </c>
      <c r="L903" s="81">
        <v>1</v>
      </c>
    </row>
    <row r="904" s="65" customFormat="1" customHeight="1" spans="1:12">
      <c r="A904" s="77">
        <v>901</v>
      </c>
      <c r="B904" s="78" t="e">
        <f t="shared" si="25"/>
        <v>#N/A</v>
      </c>
      <c r="C904" s="65" t="s">
        <v>115</v>
      </c>
      <c r="D904" s="83" t="s">
        <v>513</v>
      </c>
      <c r="E904" s="65" t="e">
        <f t="shared" si="24"/>
        <v>#N/A</v>
      </c>
      <c r="F904" s="65" t="s">
        <v>193</v>
      </c>
      <c r="K904" s="81">
        <v>0.01</v>
      </c>
      <c r="L904" s="81">
        <v>1</v>
      </c>
    </row>
    <row r="905" s="65" customFormat="1" customHeight="1" spans="1:12">
      <c r="A905" s="77">
        <v>902</v>
      </c>
      <c r="B905" s="78" t="e">
        <f t="shared" si="25"/>
        <v>#N/A</v>
      </c>
      <c r="C905" s="65" t="s">
        <v>115</v>
      </c>
      <c r="D905" s="83" t="s">
        <v>859</v>
      </c>
      <c r="E905" s="65" t="e">
        <f t="shared" si="24"/>
        <v>#N/A</v>
      </c>
      <c r="F905" s="65" t="s">
        <v>193</v>
      </c>
      <c r="K905" s="81">
        <v>0.01</v>
      </c>
      <c r="L905" s="81">
        <v>1</v>
      </c>
    </row>
    <row r="906" s="65" customFormat="1" customHeight="1" spans="1:12">
      <c r="A906" s="77">
        <v>903</v>
      </c>
      <c r="B906" s="78" t="e">
        <f t="shared" si="25"/>
        <v>#N/A</v>
      </c>
      <c r="C906" s="65" t="s">
        <v>115</v>
      </c>
      <c r="D906" s="83" t="s">
        <v>860</v>
      </c>
      <c r="E906" s="65" t="e">
        <f t="shared" si="24"/>
        <v>#N/A</v>
      </c>
      <c r="F906" s="65" t="s">
        <v>193</v>
      </c>
      <c r="K906" s="81">
        <v>0.01</v>
      </c>
      <c r="L906" s="81">
        <v>1</v>
      </c>
    </row>
    <row r="907" s="65" customFormat="1" customHeight="1" spans="1:12">
      <c r="A907" s="77">
        <v>904</v>
      </c>
      <c r="B907" s="78" t="e">
        <f t="shared" si="25"/>
        <v>#N/A</v>
      </c>
      <c r="C907" s="65" t="s">
        <v>115</v>
      </c>
      <c r="D907" s="83" t="s">
        <v>861</v>
      </c>
      <c r="E907" s="65" t="e">
        <f t="shared" si="24"/>
        <v>#N/A</v>
      </c>
      <c r="F907" s="65" t="s">
        <v>193</v>
      </c>
      <c r="K907" s="81">
        <v>0.01</v>
      </c>
      <c r="L907" s="81">
        <v>1</v>
      </c>
    </row>
    <row r="908" s="65" customFormat="1" customHeight="1" spans="1:12">
      <c r="A908" s="77">
        <v>905</v>
      </c>
      <c r="B908" s="78" t="e">
        <f t="shared" si="25"/>
        <v>#N/A</v>
      </c>
      <c r="C908" s="65" t="s">
        <v>115</v>
      </c>
      <c r="D908" s="83" t="s">
        <v>862</v>
      </c>
      <c r="E908" s="65" t="e">
        <f t="shared" si="24"/>
        <v>#N/A</v>
      </c>
      <c r="F908" s="65" t="s">
        <v>193</v>
      </c>
      <c r="K908" s="81">
        <v>0.01</v>
      </c>
      <c r="L908" s="81">
        <v>1</v>
      </c>
    </row>
    <row r="909" s="65" customFormat="1" customHeight="1" spans="1:12">
      <c r="A909" s="77">
        <v>906</v>
      </c>
      <c r="B909" s="78" t="e">
        <f t="shared" si="25"/>
        <v>#N/A</v>
      </c>
      <c r="C909" s="65" t="s">
        <v>115</v>
      </c>
      <c r="D909" s="83" t="s">
        <v>863</v>
      </c>
      <c r="E909" s="65" t="e">
        <f t="shared" si="24"/>
        <v>#N/A</v>
      </c>
      <c r="F909" s="65" t="s">
        <v>193</v>
      </c>
      <c r="K909" s="81">
        <v>0.01</v>
      </c>
      <c r="L909" s="81">
        <v>1</v>
      </c>
    </row>
    <row r="910" s="65" customFormat="1" customHeight="1" spans="1:12">
      <c r="A910" s="77">
        <v>907</v>
      </c>
      <c r="B910" s="78" t="str">
        <f t="shared" si="25"/>
        <v>DilutionPhysostigma</v>
      </c>
      <c r="C910" s="65" t="s">
        <v>115</v>
      </c>
      <c r="D910" s="83" t="s">
        <v>400</v>
      </c>
      <c r="E910" s="65" t="str">
        <f t="shared" ref="E910:E973" si="26">+VLOOKUP(D910,$D$4:$D$301,1,FALSE)</f>
        <v>Physostigma</v>
      </c>
      <c r="F910" s="65" t="s">
        <v>193</v>
      </c>
      <c r="K910" s="81">
        <v>0.01</v>
      </c>
      <c r="L910" s="81">
        <v>1</v>
      </c>
    </row>
    <row r="911" s="65" customFormat="1" customHeight="1" spans="1:12">
      <c r="A911" s="77">
        <v>908</v>
      </c>
      <c r="B911" s="78" t="str">
        <f t="shared" si="25"/>
        <v>DilutionPhytolacca. Berry.</v>
      </c>
      <c r="C911" s="65" t="s">
        <v>115</v>
      </c>
      <c r="D911" s="83" t="s">
        <v>401</v>
      </c>
      <c r="E911" s="65" t="str">
        <f t="shared" si="26"/>
        <v>Phytolacca. Berry.</v>
      </c>
      <c r="F911" s="65" t="s">
        <v>193</v>
      </c>
      <c r="K911" s="81">
        <v>0.01</v>
      </c>
      <c r="L911" s="81">
        <v>1</v>
      </c>
    </row>
    <row r="912" s="65" customFormat="1" customHeight="1" spans="1:12">
      <c r="A912" s="77">
        <v>909</v>
      </c>
      <c r="B912" s="78" t="str">
        <f t="shared" si="25"/>
        <v>DilutionPhytolacca. Dec.</v>
      </c>
      <c r="C912" s="65" t="s">
        <v>115</v>
      </c>
      <c r="D912" s="83" t="s">
        <v>402</v>
      </c>
      <c r="E912" s="65" t="str">
        <f t="shared" si="26"/>
        <v>Phytolacca. Dec.</v>
      </c>
      <c r="F912" s="65" t="s">
        <v>193</v>
      </c>
      <c r="K912" s="81">
        <v>0.01</v>
      </c>
      <c r="L912" s="81">
        <v>1</v>
      </c>
    </row>
    <row r="913" s="65" customFormat="1" customHeight="1" spans="1:12">
      <c r="A913" s="77">
        <v>910</v>
      </c>
      <c r="B913" s="78" t="e">
        <f t="shared" si="25"/>
        <v>#N/A</v>
      </c>
      <c r="C913" s="65" t="s">
        <v>115</v>
      </c>
      <c r="D913" s="83" t="s">
        <v>864</v>
      </c>
      <c r="E913" s="65" t="e">
        <f t="shared" si="26"/>
        <v>#N/A</v>
      </c>
      <c r="F913" s="65" t="s">
        <v>193</v>
      </c>
      <c r="K913" s="81">
        <v>0.01</v>
      </c>
      <c r="L913" s="81">
        <v>1</v>
      </c>
    </row>
    <row r="914" s="65" customFormat="1" customHeight="1" spans="1:12">
      <c r="A914" s="77">
        <v>911</v>
      </c>
      <c r="B914" s="78" t="str">
        <f t="shared" si="25"/>
        <v>DilutionPinus Lamb</v>
      </c>
      <c r="C914" s="65" t="s">
        <v>115</v>
      </c>
      <c r="D914" s="83" t="s">
        <v>404</v>
      </c>
      <c r="E914" s="65" t="str">
        <f t="shared" si="26"/>
        <v>Pinus Lamb</v>
      </c>
      <c r="F914" s="65" t="s">
        <v>193</v>
      </c>
      <c r="K914" s="81">
        <v>0.01</v>
      </c>
      <c r="L914" s="81">
        <v>1</v>
      </c>
    </row>
    <row r="915" s="65" customFormat="1" customHeight="1" spans="1:12">
      <c r="A915" s="77">
        <v>912</v>
      </c>
      <c r="B915" s="78" t="str">
        <f t="shared" si="25"/>
        <v>DilutionPinus Syl.</v>
      </c>
      <c r="C915" s="65" t="s">
        <v>115</v>
      </c>
      <c r="D915" s="83" t="s">
        <v>405</v>
      </c>
      <c r="E915" s="65" t="str">
        <f t="shared" si="26"/>
        <v>Pinus Syl.</v>
      </c>
      <c r="F915" s="65" t="s">
        <v>193</v>
      </c>
      <c r="K915" s="81">
        <v>0.01</v>
      </c>
      <c r="L915" s="81">
        <v>1</v>
      </c>
    </row>
    <row r="916" s="65" customFormat="1" customHeight="1" spans="1:12">
      <c r="A916" s="77">
        <v>913</v>
      </c>
      <c r="B916" s="78" t="str">
        <f t="shared" si="25"/>
        <v>DilutionPiper Meth.</v>
      </c>
      <c r="C916" s="65" t="s">
        <v>115</v>
      </c>
      <c r="D916" s="83" t="s">
        <v>406</v>
      </c>
      <c r="E916" s="65" t="str">
        <f t="shared" si="26"/>
        <v>Piper Meth.</v>
      </c>
      <c r="F916" s="65" t="s">
        <v>193</v>
      </c>
      <c r="K916" s="81">
        <v>0.01</v>
      </c>
      <c r="L916" s="81">
        <v>1</v>
      </c>
    </row>
    <row r="917" s="65" customFormat="1" customHeight="1" spans="1:12">
      <c r="A917" s="77">
        <v>914</v>
      </c>
      <c r="B917" s="78" t="str">
        <f t="shared" si="25"/>
        <v>DilutionPiper Nig.</v>
      </c>
      <c r="C917" s="65" t="s">
        <v>115</v>
      </c>
      <c r="D917" s="83" t="s">
        <v>407</v>
      </c>
      <c r="E917" s="65" t="str">
        <f t="shared" si="26"/>
        <v>Piper Nig.</v>
      </c>
      <c r="F917" s="65" t="s">
        <v>193</v>
      </c>
      <c r="K917" s="81">
        <v>0.01</v>
      </c>
      <c r="L917" s="81">
        <v>1</v>
      </c>
    </row>
    <row r="918" s="65" customFormat="1" customHeight="1" spans="1:12">
      <c r="A918" s="77">
        <v>915</v>
      </c>
      <c r="B918" s="78" t="e">
        <f t="shared" si="25"/>
        <v>#N/A</v>
      </c>
      <c r="C918" s="65" t="s">
        <v>115</v>
      </c>
      <c r="D918" s="83" t="s">
        <v>865</v>
      </c>
      <c r="E918" s="65" t="e">
        <f t="shared" si="26"/>
        <v>#N/A</v>
      </c>
      <c r="F918" s="65" t="s">
        <v>193</v>
      </c>
      <c r="K918" s="81">
        <v>0.01</v>
      </c>
      <c r="L918" s="81">
        <v>1</v>
      </c>
    </row>
    <row r="919" s="65" customFormat="1" customHeight="1" spans="1:12">
      <c r="A919" s="77">
        <v>916</v>
      </c>
      <c r="B919" s="78" t="str">
        <f t="shared" si="25"/>
        <v>DilutionPiscidia E</v>
      </c>
      <c r="C919" s="65" t="s">
        <v>115</v>
      </c>
      <c r="D919" s="83" t="s">
        <v>408</v>
      </c>
      <c r="E919" s="65" t="str">
        <f t="shared" si="26"/>
        <v>Piscidia E</v>
      </c>
      <c r="F919" s="65" t="s">
        <v>193</v>
      </c>
      <c r="K919" s="81">
        <v>0.01</v>
      </c>
      <c r="L919" s="81">
        <v>1</v>
      </c>
    </row>
    <row r="920" s="65" customFormat="1" customHeight="1" spans="1:12">
      <c r="A920" s="77">
        <v>917</v>
      </c>
      <c r="B920" s="78" t="e">
        <f t="shared" si="25"/>
        <v>#N/A</v>
      </c>
      <c r="C920" s="65" t="s">
        <v>115</v>
      </c>
      <c r="D920" s="83" t="s">
        <v>866</v>
      </c>
      <c r="E920" s="65" t="e">
        <f t="shared" si="26"/>
        <v>#N/A</v>
      </c>
      <c r="F920" s="65" t="s">
        <v>193</v>
      </c>
      <c r="K920" s="81">
        <v>0.01</v>
      </c>
      <c r="L920" s="81">
        <v>1</v>
      </c>
    </row>
    <row r="921" s="65" customFormat="1" customHeight="1" spans="1:12">
      <c r="A921" s="77">
        <v>918</v>
      </c>
      <c r="B921" s="78" t="e">
        <f t="shared" si="25"/>
        <v>#N/A</v>
      </c>
      <c r="C921" s="65" t="s">
        <v>115</v>
      </c>
      <c r="D921" s="83" t="s">
        <v>867</v>
      </c>
      <c r="E921" s="65" t="e">
        <f t="shared" si="26"/>
        <v>#N/A</v>
      </c>
      <c r="F921" s="65" t="s">
        <v>193</v>
      </c>
      <c r="K921" s="81">
        <v>0.01</v>
      </c>
      <c r="L921" s="81">
        <v>1</v>
      </c>
    </row>
    <row r="922" s="65" customFormat="1" customHeight="1" spans="1:12">
      <c r="A922" s="77">
        <v>919</v>
      </c>
      <c r="B922" s="78" t="e">
        <f t="shared" si="25"/>
        <v>#N/A</v>
      </c>
      <c r="C922" s="65" t="s">
        <v>115</v>
      </c>
      <c r="D922" s="83" t="s">
        <v>868</v>
      </c>
      <c r="E922" s="65" t="e">
        <f t="shared" si="26"/>
        <v>#N/A</v>
      </c>
      <c r="F922" s="65" t="s">
        <v>193</v>
      </c>
      <c r="K922" s="81">
        <v>0.01</v>
      </c>
      <c r="L922" s="81">
        <v>1</v>
      </c>
    </row>
    <row r="923" s="65" customFormat="1" customHeight="1" spans="1:12">
      <c r="A923" s="77">
        <v>920</v>
      </c>
      <c r="B923" s="78" t="str">
        <f t="shared" si="25"/>
        <v>DilutionPlantago M</v>
      </c>
      <c r="C923" s="65" t="s">
        <v>115</v>
      </c>
      <c r="D923" s="83" t="s">
        <v>409</v>
      </c>
      <c r="E923" s="65" t="str">
        <f t="shared" si="26"/>
        <v>Plantago M</v>
      </c>
      <c r="F923" s="65" t="s">
        <v>193</v>
      </c>
      <c r="K923" s="81">
        <v>0.01</v>
      </c>
      <c r="L923" s="81">
        <v>1</v>
      </c>
    </row>
    <row r="924" s="65" customFormat="1" customHeight="1" spans="1:12">
      <c r="A924" s="77">
        <v>921</v>
      </c>
      <c r="B924" s="78" t="e">
        <f t="shared" si="25"/>
        <v>#N/A</v>
      </c>
      <c r="C924" s="65" t="s">
        <v>115</v>
      </c>
      <c r="D924" s="83" t="s">
        <v>869</v>
      </c>
      <c r="E924" s="65" t="e">
        <f t="shared" si="26"/>
        <v>#N/A</v>
      </c>
      <c r="F924" s="65" t="s">
        <v>193</v>
      </c>
      <c r="K924" s="81">
        <v>0.01</v>
      </c>
      <c r="L924" s="81">
        <v>1</v>
      </c>
    </row>
    <row r="925" s="65" customFormat="1" customHeight="1" spans="1:12">
      <c r="A925" s="77">
        <v>922</v>
      </c>
      <c r="B925" s="78" t="e">
        <f t="shared" si="25"/>
        <v>#N/A</v>
      </c>
      <c r="C925" s="65" t="s">
        <v>115</v>
      </c>
      <c r="D925" s="83" t="s">
        <v>870</v>
      </c>
      <c r="E925" s="65" t="e">
        <f t="shared" si="26"/>
        <v>#N/A</v>
      </c>
      <c r="F925" s="65" t="s">
        <v>193</v>
      </c>
      <c r="K925" s="81">
        <v>0.01</v>
      </c>
      <c r="L925" s="81">
        <v>1</v>
      </c>
    </row>
    <row r="926" s="65" customFormat="1" customHeight="1" spans="1:12">
      <c r="A926" s="77">
        <v>923</v>
      </c>
      <c r="B926" s="78" t="e">
        <f t="shared" si="25"/>
        <v>#N/A</v>
      </c>
      <c r="C926" s="65" t="s">
        <v>115</v>
      </c>
      <c r="D926" s="83" t="s">
        <v>871</v>
      </c>
      <c r="E926" s="65" t="e">
        <f t="shared" si="26"/>
        <v>#N/A</v>
      </c>
      <c r="F926" s="65" t="s">
        <v>193</v>
      </c>
      <c r="K926" s="81">
        <v>0.01</v>
      </c>
      <c r="L926" s="81">
        <v>1</v>
      </c>
    </row>
    <row r="927" s="65" customFormat="1" customHeight="1" spans="1:12">
      <c r="A927" s="77">
        <v>924</v>
      </c>
      <c r="B927" s="78" t="e">
        <f t="shared" si="25"/>
        <v>#N/A</v>
      </c>
      <c r="C927" s="65" t="s">
        <v>115</v>
      </c>
      <c r="D927" s="83" t="s">
        <v>872</v>
      </c>
      <c r="E927" s="65" t="e">
        <f t="shared" si="26"/>
        <v>#N/A</v>
      </c>
      <c r="F927" s="65" t="s">
        <v>193</v>
      </c>
      <c r="K927" s="81">
        <v>0.01</v>
      </c>
      <c r="L927" s="81">
        <v>1</v>
      </c>
    </row>
    <row r="928" s="65" customFormat="1" customHeight="1" spans="1:12">
      <c r="A928" s="77">
        <v>925</v>
      </c>
      <c r="B928" s="78" t="e">
        <f t="shared" si="25"/>
        <v>#N/A</v>
      </c>
      <c r="C928" s="65" t="s">
        <v>115</v>
      </c>
      <c r="D928" s="83" t="s">
        <v>873</v>
      </c>
      <c r="E928" s="65" t="e">
        <f t="shared" si="26"/>
        <v>#N/A</v>
      </c>
      <c r="F928" s="65" t="s">
        <v>193</v>
      </c>
      <c r="K928" s="81">
        <v>0.01</v>
      </c>
      <c r="L928" s="81">
        <v>1</v>
      </c>
    </row>
    <row r="929" s="65" customFormat="1" customHeight="1" spans="1:12">
      <c r="A929" s="77">
        <v>926</v>
      </c>
      <c r="B929" s="78" t="e">
        <f t="shared" si="25"/>
        <v>#N/A</v>
      </c>
      <c r="C929" s="65" t="s">
        <v>115</v>
      </c>
      <c r="D929" s="83" t="s">
        <v>874</v>
      </c>
      <c r="E929" s="65" t="e">
        <f t="shared" si="26"/>
        <v>#N/A</v>
      </c>
      <c r="F929" s="65" t="s">
        <v>193</v>
      </c>
      <c r="K929" s="81">
        <v>0.01</v>
      </c>
      <c r="L929" s="81">
        <v>1</v>
      </c>
    </row>
    <row r="930" s="65" customFormat="1" customHeight="1" spans="1:12">
      <c r="A930" s="77">
        <v>927</v>
      </c>
      <c r="B930" s="78" t="e">
        <f t="shared" si="25"/>
        <v>#N/A</v>
      </c>
      <c r="C930" s="65" t="s">
        <v>115</v>
      </c>
      <c r="D930" s="83" t="s">
        <v>875</v>
      </c>
      <c r="E930" s="65" t="e">
        <f t="shared" si="26"/>
        <v>#N/A</v>
      </c>
      <c r="F930" s="65" t="s">
        <v>193</v>
      </c>
      <c r="K930" s="81">
        <v>0.01</v>
      </c>
      <c r="L930" s="81">
        <v>1</v>
      </c>
    </row>
    <row r="931" s="65" customFormat="1" customHeight="1" spans="1:12">
      <c r="A931" s="77">
        <v>928</v>
      </c>
      <c r="B931" s="78" t="str">
        <f t="shared" si="25"/>
        <v>DilutionPodophyllum</v>
      </c>
      <c r="C931" s="65" t="s">
        <v>115</v>
      </c>
      <c r="D931" s="83" t="s">
        <v>410</v>
      </c>
      <c r="E931" s="65" t="str">
        <f t="shared" si="26"/>
        <v>Podophyllum</v>
      </c>
      <c r="F931" s="65" t="s">
        <v>193</v>
      </c>
      <c r="K931" s="81">
        <v>0.01</v>
      </c>
      <c r="L931" s="81">
        <v>1</v>
      </c>
    </row>
    <row r="932" s="65" customFormat="1" customHeight="1" spans="1:12">
      <c r="A932" s="77">
        <v>929</v>
      </c>
      <c r="B932" s="78" t="e">
        <f t="shared" si="25"/>
        <v>#N/A</v>
      </c>
      <c r="C932" s="65" t="s">
        <v>115</v>
      </c>
      <c r="D932" s="83" t="s">
        <v>876</v>
      </c>
      <c r="E932" s="65" t="e">
        <f t="shared" si="26"/>
        <v>#N/A</v>
      </c>
      <c r="F932" s="65" t="s">
        <v>193</v>
      </c>
      <c r="K932" s="81">
        <v>0.01</v>
      </c>
      <c r="L932" s="81">
        <v>1</v>
      </c>
    </row>
    <row r="933" s="65" customFormat="1" customHeight="1" spans="1:12">
      <c r="A933" s="77">
        <v>930</v>
      </c>
      <c r="B933" s="78" t="str">
        <f t="shared" si="25"/>
        <v>DilutionPopulus Can.</v>
      </c>
      <c r="C933" s="65" t="s">
        <v>115</v>
      </c>
      <c r="D933" s="83" t="s">
        <v>411</v>
      </c>
      <c r="E933" s="65" t="str">
        <f t="shared" si="26"/>
        <v>Populus Can.</v>
      </c>
      <c r="F933" s="65" t="s">
        <v>193</v>
      </c>
      <c r="K933" s="81">
        <v>0.01</v>
      </c>
      <c r="L933" s="81">
        <v>1</v>
      </c>
    </row>
    <row r="934" s="65" customFormat="1" customHeight="1" spans="1:12">
      <c r="A934" s="77">
        <v>931</v>
      </c>
      <c r="B934" s="78" t="str">
        <f t="shared" si="25"/>
        <v>DilutionPothos Foet.</v>
      </c>
      <c r="C934" s="65" t="s">
        <v>115</v>
      </c>
      <c r="D934" s="83" t="s">
        <v>412</v>
      </c>
      <c r="E934" s="65" t="str">
        <f t="shared" si="26"/>
        <v>Pothos Foet.</v>
      </c>
      <c r="F934" s="65" t="s">
        <v>193</v>
      </c>
      <c r="K934" s="81">
        <v>0.01</v>
      </c>
      <c r="L934" s="81">
        <v>1</v>
      </c>
    </row>
    <row r="935" s="65" customFormat="1" customHeight="1" spans="1:12">
      <c r="A935" s="77">
        <v>932</v>
      </c>
      <c r="B935" s="78" t="e">
        <f t="shared" si="25"/>
        <v>#N/A</v>
      </c>
      <c r="C935" s="65" t="s">
        <v>115</v>
      </c>
      <c r="D935" s="83" t="s">
        <v>877</v>
      </c>
      <c r="E935" s="65" t="e">
        <f t="shared" si="26"/>
        <v>#N/A</v>
      </c>
      <c r="F935" s="65" t="s">
        <v>193</v>
      </c>
      <c r="K935" s="81">
        <v>0.01</v>
      </c>
      <c r="L935" s="81">
        <v>1</v>
      </c>
    </row>
    <row r="936" s="65" customFormat="1" customHeight="1" spans="1:12">
      <c r="A936" s="77">
        <v>933</v>
      </c>
      <c r="B936" s="78" t="e">
        <f t="shared" si="25"/>
        <v>#N/A</v>
      </c>
      <c r="C936" s="65" t="s">
        <v>115</v>
      </c>
      <c r="D936" s="83" t="s">
        <v>878</v>
      </c>
      <c r="E936" s="65" t="e">
        <f t="shared" si="26"/>
        <v>#N/A</v>
      </c>
      <c r="F936" s="65" t="s">
        <v>193</v>
      </c>
      <c r="K936" s="81">
        <v>0.01</v>
      </c>
      <c r="L936" s="81">
        <v>1</v>
      </c>
    </row>
    <row r="937" s="65" customFormat="1" customHeight="1" spans="1:12">
      <c r="A937" s="77">
        <v>934</v>
      </c>
      <c r="B937" s="78" t="e">
        <f t="shared" si="25"/>
        <v>#N/A</v>
      </c>
      <c r="C937" s="65" t="s">
        <v>115</v>
      </c>
      <c r="D937" s="83" t="s">
        <v>879</v>
      </c>
      <c r="E937" s="65" t="e">
        <f t="shared" si="26"/>
        <v>#N/A</v>
      </c>
      <c r="F937" s="65" t="s">
        <v>193</v>
      </c>
      <c r="K937" s="81">
        <v>0.01</v>
      </c>
      <c r="L937" s="81">
        <v>1</v>
      </c>
    </row>
    <row r="938" s="65" customFormat="1" customHeight="1" spans="1:12">
      <c r="A938" s="77">
        <v>935</v>
      </c>
      <c r="B938" s="78" t="str">
        <f t="shared" si="25"/>
        <v>DilutionPsoralea Cor.</v>
      </c>
      <c r="C938" s="65" t="s">
        <v>115</v>
      </c>
      <c r="D938" s="83" t="s">
        <v>413</v>
      </c>
      <c r="E938" s="65" t="str">
        <f t="shared" si="26"/>
        <v>Psoralea Cor.</v>
      </c>
      <c r="F938" s="65" t="s">
        <v>193</v>
      </c>
      <c r="K938" s="81">
        <v>0.01</v>
      </c>
      <c r="L938" s="81">
        <v>1</v>
      </c>
    </row>
    <row r="939" s="65" customFormat="1" customHeight="1" spans="1:12">
      <c r="A939" s="77">
        <v>936</v>
      </c>
      <c r="B939" s="78" t="e">
        <f t="shared" si="25"/>
        <v>#N/A</v>
      </c>
      <c r="C939" s="65" t="s">
        <v>115</v>
      </c>
      <c r="D939" s="83" t="s">
        <v>880</v>
      </c>
      <c r="E939" s="65" t="e">
        <f t="shared" si="26"/>
        <v>#N/A</v>
      </c>
      <c r="F939" s="65" t="s">
        <v>193</v>
      </c>
      <c r="K939" s="81">
        <v>0.01</v>
      </c>
      <c r="L939" s="81">
        <v>1</v>
      </c>
    </row>
    <row r="940" s="65" customFormat="1" customHeight="1" spans="1:12">
      <c r="A940" s="77">
        <v>937</v>
      </c>
      <c r="B940" s="78" t="e">
        <f t="shared" si="25"/>
        <v>#N/A</v>
      </c>
      <c r="C940" s="65" t="s">
        <v>115</v>
      </c>
      <c r="D940" s="83" t="s">
        <v>881</v>
      </c>
      <c r="E940" s="65" t="e">
        <f t="shared" si="26"/>
        <v>#N/A</v>
      </c>
      <c r="F940" s="65" t="s">
        <v>193</v>
      </c>
      <c r="K940" s="81">
        <v>0.01</v>
      </c>
      <c r="L940" s="81">
        <v>1</v>
      </c>
    </row>
    <row r="941" s="65" customFormat="1" customHeight="1" spans="1:12">
      <c r="A941" s="77">
        <v>938</v>
      </c>
      <c r="B941" s="78" t="str">
        <f t="shared" si="25"/>
        <v>DilutionPulsatilla Nig.</v>
      </c>
      <c r="C941" s="65" t="s">
        <v>115</v>
      </c>
      <c r="D941" s="83" t="s">
        <v>414</v>
      </c>
      <c r="E941" s="65" t="str">
        <f t="shared" si="26"/>
        <v>Pulsatilla Nig.</v>
      </c>
      <c r="F941" s="65" t="s">
        <v>193</v>
      </c>
      <c r="K941" s="81">
        <v>0.01</v>
      </c>
      <c r="L941" s="81">
        <v>1</v>
      </c>
    </row>
    <row r="942" s="65" customFormat="1" customHeight="1" spans="1:12">
      <c r="A942" s="77">
        <v>939</v>
      </c>
      <c r="B942" s="78" t="e">
        <f t="shared" si="25"/>
        <v>#N/A</v>
      </c>
      <c r="C942" s="65" t="s">
        <v>115</v>
      </c>
      <c r="D942" s="83" t="s">
        <v>882</v>
      </c>
      <c r="E942" s="65" t="e">
        <f t="shared" si="26"/>
        <v>#N/A</v>
      </c>
      <c r="F942" s="65" t="s">
        <v>193</v>
      </c>
      <c r="K942" s="81">
        <v>0.01</v>
      </c>
      <c r="L942" s="81">
        <v>1</v>
      </c>
    </row>
    <row r="943" s="65" customFormat="1" customHeight="1" spans="1:12">
      <c r="A943" s="77">
        <v>940</v>
      </c>
      <c r="B943" s="78" t="e">
        <f t="shared" si="25"/>
        <v>#N/A</v>
      </c>
      <c r="C943" s="65" t="s">
        <v>115</v>
      </c>
      <c r="D943" s="83" t="s">
        <v>883</v>
      </c>
      <c r="E943" s="65" t="e">
        <f t="shared" si="26"/>
        <v>#N/A</v>
      </c>
      <c r="F943" s="65" t="s">
        <v>193</v>
      </c>
      <c r="K943" s="81">
        <v>0.01</v>
      </c>
      <c r="L943" s="81">
        <v>1</v>
      </c>
    </row>
    <row r="944" s="65" customFormat="1" customHeight="1" spans="1:12">
      <c r="A944" s="77">
        <v>941</v>
      </c>
      <c r="B944" s="78" t="e">
        <f t="shared" si="25"/>
        <v>#N/A</v>
      </c>
      <c r="C944" s="65" t="s">
        <v>115</v>
      </c>
      <c r="D944" s="83" t="s">
        <v>884</v>
      </c>
      <c r="E944" s="65" t="e">
        <f t="shared" si="26"/>
        <v>#N/A</v>
      </c>
      <c r="F944" s="65" t="s">
        <v>193</v>
      </c>
      <c r="K944" s="81">
        <v>0.01</v>
      </c>
      <c r="L944" s="81">
        <v>1</v>
      </c>
    </row>
    <row r="945" s="65" customFormat="1" customHeight="1" spans="1:12">
      <c r="A945" s="77">
        <v>942</v>
      </c>
      <c r="B945" s="78" t="e">
        <f t="shared" si="25"/>
        <v>#N/A</v>
      </c>
      <c r="C945" s="65" t="s">
        <v>115</v>
      </c>
      <c r="D945" s="83" t="s">
        <v>885</v>
      </c>
      <c r="E945" s="65" t="e">
        <f t="shared" si="26"/>
        <v>#N/A</v>
      </c>
      <c r="F945" s="65" t="s">
        <v>193</v>
      </c>
      <c r="K945" s="81">
        <v>0.01</v>
      </c>
      <c r="L945" s="81">
        <v>1</v>
      </c>
    </row>
    <row r="946" s="65" customFormat="1" customHeight="1" spans="1:12">
      <c r="A946" s="77">
        <v>943</v>
      </c>
      <c r="B946" s="78" t="e">
        <f t="shared" si="25"/>
        <v>#N/A</v>
      </c>
      <c r="C946" s="65" t="s">
        <v>115</v>
      </c>
      <c r="D946" s="83" t="s">
        <v>886</v>
      </c>
      <c r="E946" s="65" t="e">
        <f t="shared" si="26"/>
        <v>#N/A</v>
      </c>
      <c r="F946" s="65" t="s">
        <v>193</v>
      </c>
      <c r="K946" s="81">
        <v>0.01</v>
      </c>
      <c r="L946" s="81">
        <v>1</v>
      </c>
    </row>
    <row r="947" s="65" customFormat="1" customHeight="1" spans="1:12">
      <c r="A947" s="77">
        <v>944</v>
      </c>
      <c r="B947" s="78" t="e">
        <f t="shared" si="25"/>
        <v>#N/A</v>
      </c>
      <c r="C947" s="65" t="s">
        <v>115</v>
      </c>
      <c r="D947" s="83" t="s">
        <v>887</v>
      </c>
      <c r="E947" s="65" t="e">
        <f t="shared" si="26"/>
        <v>#N/A</v>
      </c>
      <c r="F947" s="65" t="s">
        <v>193</v>
      </c>
      <c r="K947" s="81">
        <v>0.01</v>
      </c>
      <c r="L947" s="81">
        <v>1</v>
      </c>
    </row>
    <row r="948" s="65" customFormat="1" customHeight="1" spans="1:12">
      <c r="A948" s="77">
        <v>945</v>
      </c>
      <c r="B948" s="78" t="str">
        <f t="shared" si="25"/>
        <v>DilutionRanuncul Scl.</v>
      </c>
      <c r="C948" s="65" t="s">
        <v>115</v>
      </c>
      <c r="D948" s="83" t="s">
        <v>416</v>
      </c>
      <c r="E948" s="65" t="str">
        <f t="shared" si="26"/>
        <v>Ranuncul Scl.</v>
      </c>
      <c r="F948" s="65" t="s">
        <v>193</v>
      </c>
      <c r="K948" s="81">
        <v>0.01</v>
      </c>
      <c r="L948" s="81">
        <v>1</v>
      </c>
    </row>
    <row r="949" s="65" customFormat="1" customHeight="1" spans="1:12">
      <c r="A949" s="77">
        <v>946</v>
      </c>
      <c r="B949" s="78" t="str">
        <f t="shared" si="25"/>
        <v>DilutionRaphanus Sat.</v>
      </c>
      <c r="C949" s="65" t="s">
        <v>115</v>
      </c>
      <c r="D949" s="83" t="s">
        <v>417</v>
      </c>
      <c r="E949" s="65" t="str">
        <f t="shared" si="26"/>
        <v>Raphanus Sat.</v>
      </c>
      <c r="F949" s="65" t="s">
        <v>193</v>
      </c>
      <c r="K949" s="81">
        <v>0.01</v>
      </c>
      <c r="L949" s="81">
        <v>1</v>
      </c>
    </row>
    <row r="950" s="65" customFormat="1" customHeight="1" spans="1:12">
      <c r="A950" s="77">
        <v>947</v>
      </c>
      <c r="B950" s="78" t="str">
        <f t="shared" si="25"/>
        <v>DilutionRatanhia</v>
      </c>
      <c r="C950" s="65" t="s">
        <v>115</v>
      </c>
      <c r="D950" s="83" t="s">
        <v>418</v>
      </c>
      <c r="E950" s="65" t="str">
        <f t="shared" si="26"/>
        <v>Ratanhia</v>
      </c>
      <c r="F950" s="65" t="s">
        <v>193</v>
      </c>
      <c r="K950" s="81">
        <v>0.01</v>
      </c>
      <c r="L950" s="81">
        <v>1</v>
      </c>
    </row>
    <row r="951" s="65" customFormat="1" customHeight="1" spans="1:12">
      <c r="A951" s="77">
        <v>948</v>
      </c>
      <c r="B951" s="78" t="str">
        <f t="shared" si="25"/>
        <v>DilutionRauwolfia Serp.</v>
      </c>
      <c r="C951" s="65" t="s">
        <v>115</v>
      </c>
      <c r="D951" s="83" t="s">
        <v>419</v>
      </c>
      <c r="E951" s="65" t="str">
        <f t="shared" si="26"/>
        <v>Rauwolfia Serp.</v>
      </c>
      <c r="F951" s="65" t="s">
        <v>193</v>
      </c>
      <c r="K951" s="81">
        <v>0.01</v>
      </c>
      <c r="L951" s="81">
        <v>1</v>
      </c>
    </row>
    <row r="952" s="65" customFormat="1" customHeight="1" spans="1:12">
      <c r="A952" s="77">
        <v>949</v>
      </c>
      <c r="B952" s="78" t="e">
        <f t="shared" si="25"/>
        <v>#N/A</v>
      </c>
      <c r="C952" s="65" t="s">
        <v>115</v>
      </c>
      <c r="D952" s="83" t="s">
        <v>888</v>
      </c>
      <c r="E952" s="65" t="e">
        <f t="shared" si="26"/>
        <v>#N/A</v>
      </c>
      <c r="F952" s="65" t="s">
        <v>193</v>
      </c>
      <c r="K952" s="81">
        <v>0.01</v>
      </c>
      <c r="L952" s="81">
        <v>1</v>
      </c>
    </row>
    <row r="953" s="65" customFormat="1" customHeight="1" spans="1:12">
      <c r="A953" s="77">
        <v>950</v>
      </c>
      <c r="B953" s="78" t="e">
        <f t="shared" si="25"/>
        <v>#N/A</v>
      </c>
      <c r="C953" s="65" t="s">
        <v>115</v>
      </c>
      <c r="D953" s="83" t="s">
        <v>889</v>
      </c>
      <c r="E953" s="65" t="e">
        <f t="shared" si="26"/>
        <v>#N/A</v>
      </c>
      <c r="F953" s="65" t="s">
        <v>193</v>
      </c>
      <c r="K953" s="81">
        <v>0.01</v>
      </c>
      <c r="L953" s="81">
        <v>1</v>
      </c>
    </row>
    <row r="954" s="65" customFormat="1" customHeight="1" spans="1:12">
      <c r="A954" s="77">
        <v>951</v>
      </c>
      <c r="B954" s="78" t="str">
        <f t="shared" si="25"/>
        <v>DilutionRhododendron</v>
      </c>
      <c r="C954" s="65" t="s">
        <v>115</v>
      </c>
      <c r="D954" s="83" t="s">
        <v>420</v>
      </c>
      <c r="E954" s="65" t="str">
        <f t="shared" si="26"/>
        <v>Rhododendron</v>
      </c>
      <c r="F954" s="65" t="s">
        <v>193</v>
      </c>
      <c r="K954" s="81">
        <v>0.01</v>
      </c>
      <c r="L954" s="81">
        <v>1</v>
      </c>
    </row>
    <row r="955" s="65" customFormat="1" customHeight="1" spans="1:12">
      <c r="A955" s="77">
        <v>952</v>
      </c>
      <c r="B955" s="78" t="e">
        <f t="shared" si="25"/>
        <v>#N/A</v>
      </c>
      <c r="C955" s="65" t="s">
        <v>115</v>
      </c>
      <c r="D955" s="83" t="s">
        <v>890</v>
      </c>
      <c r="E955" s="65" t="e">
        <f t="shared" si="26"/>
        <v>#N/A</v>
      </c>
      <c r="F955" s="65" t="s">
        <v>193</v>
      </c>
      <c r="K955" s="81">
        <v>0.01</v>
      </c>
      <c r="L955" s="81">
        <v>1</v>
      </c>
    </row>
    <row r="956" s="65" customFormat="1" customHeight="1" spans="1:12">
      <c r="A956" s="77">
        <v>953</v>
      </c>
      <c r="B956" s="78" t="e">
        <f t="shared" si="25"/>
        <v>#N/A</v>
      </c>
      <c r="C956" s="65" t="s">
        <v>115</v>
      </c>
      <c r="D956" s="83" t="s">
        <v>891</v>
      </c>
      <c r="E956" s="65" t="e">
        <f t="shared" si="26"/>
        <v>#N/A</v>
      </c>
      <c r="F956" s="65" t="s">
        <v>193</v>
      </c>
      <c r="K956" s="81">
        <v>0.01</v>
      </c>
      <c r="L956" s="81">
        <v>1</v>
      </c>
    </row>
    <row r="957" s="65" customFormat="1" customHeight="1" spans="1:12">
      <c r="A957" s="77">
        <v>954</v>
      </c>
      <c r="B957" s="78" t="str">
        <f t="shared" si="25"/>
        <v>DilutionRhus Tox</v>
      </c>
      <c r="C957" s="65" t="s">
        <v>115</v>
      </c>
      <c r="D957" s="83" t="s">
        <v>421</v>
      </c>
      <c r="E957" s="65" t="str">
        <f t="shared" si="26"/>
        <v>Rhus Tox</v>
      </c>
      <c r="F957" s="65" t="s">
        <v>193</v>
      </c>
      <c r="K957" s="81">
        <v>0.01</v>
      </c>
      <c r="L957" s="81">
        <v>1</v>
      </c>
    </row>
    <row r="958" s="65" customFormat="1" customHeight="1" spans="1:12">
      <c r="A958" s="77">
        <v>955</v>
      </c>
      <c r="B958" s="78" t="str">
        <f t="shared" si="25"/>
        <v>DilutionRhus Ven</v>
      </c>
      <c r="C958" s="65" t="s">
        <v>115</v>
      </c>
      <c r="D958" s="83" t="s">
        <v>422</v>
      </c>
      <c r="E958" s="65" t="str">
        <f t="shared" si="26"/>
        <v>Rhus Ven</v>
      </c>
      <c r="F958" s="65" t="s">
        <v>193</v>
      </c>
      <c r="K958" s="81">
        <v>0.01</v>
      </c>
      <c r="L958" s="81">
        <v>1</v>
      </c>
    </row>
    <row r="959" s="65" customFormat="1" customHeight="1" spans="1:12">
      <c r="A959" s="77">
        <v>956</v>
      </c>
      <c r="B959" s="78" t="str">
        <f t="shared" si="25"/>
        <v>DilutionRicinus Com</v>
      </c>
      <c r="C959" s="65" t="s">
        <v>115</v>
      </c>
      <c r="D959" s="83" t="s">
        <v>423</v>
      </c>
      <c r="E959" s="65" t="str">
        <f t="shared" si="26"/>
        <v>Ricinus Com</v>
      </c>
      <c r="F959" s="65" t="s">
        <v>193</v>
      </c>
      <c r="K959" s="81">
        <v>0.01</v>
      </c>
      <c r="L959" s="81">
        <v>1</v>
      </c>
    </row>
    <row r="960" s="65" customFormat="1" customHeight="1" spans="1:12">
      <c r="A960" s="77">
        <v>957</v>
      </c>
      <c r="B960" s="78" t="str">
        <f t="shared" si="25"/>
        <v>DilutionRobinia</v>
      </c>
      <c r="C960" s="65" t="s">
        <v>115</v>
      </c>
      <c r="D960" s="83" t="s">
        <v>424</v>
      </c>
      <c r="E960" s="65" t="str">
        <f t="shared" si="26"/>
        <v>Robinia</v>
      </c>
      <c r="F960" s="65" t="s">
        <v>193</v>
      </c>
      <c r="K960" s="81">
        <v>0.01</v>
      </c>
      <c r="L960" s="81">
        <v>1</v>
      </c>
    </row>
    <row r="961" s="65" customFormat="1" customHeight="1" spans="1:12">
      <c r="A961" s="77">
        <v>958</v>
      </c>
      <c r="B961" s="78" t="e">
        <f t="shared" si="25"/>
        <v>#N/A</v>
      </c>
      <c r="C961" s="65" t="s">
        <v>115</v>
      </c>
      <c r="D961" s="83" t="s">
        <v>892</v>
      </c>
      <c r="E961" s="65" t="e">
        <f t="shared" si="26"/>
        <v>#N/A</v>
      </c>
      <c r="F961" s="65" t="s">
        <v>193</v>
      </c>
      <c r="K961" s="81">
        <v>0.01</v>
      </c>
      <c r="L961" s="81">
        <v>1</v>
      </c>
    </row>
    <row r="962" s="65" customFormat="1" customHeight="1" spans="1:12">
      <c r="A962" s="77">
        <v>959</v>
      </c>
      <c r="B962" s="78" t="str">
        <f t="shared" si="25"/>
        <v>DilutionRuta Grav.</v>
      </c>
      <c r="C962" s="65" t="s">
        <v>115</v>
      </c>
      <c r="D962" s="83" t="s">
        <v>425</v>
      </c>
      <c r="E962" s="65" t="str">
        <f t="shared" si="26"/>
        <v>Ruta Grav.</v>
      </c>
      <c r="F962" s="65" t="s">
        <v>193</v>
      </c>
      <c r="K962" s="81">
        <v>0.01</v>
      </c>
      <c r="L962" s="81">
        <v>1</v>
      </c>
    </row>
    <row r="963" s="65" customFormat="1" customHeight="1" spans="1:12">
      <c r="A963" s="77">
        <v>960</v>
      </c>
      <c r="B963" s="78" t="str">
        <f t="shared" si="25"/>
        <v>DilutionSabadilla</v>
      </c>
      <c r="C963" s="65" t="s">
        <v>115</v>
      </c>
      <c r="D963" s="83" t="s">
        <v>426</v>
      </c>
      <c r="E963" s="65" t="str">
        <f t="shared" si="26"/>
        <v>Sabadilla</v>
      </c>
      <c r="F963" s="65" t="s">
        <v>193</v>
      </c>
      <c r="K963" s="81">
        <v>0.01</v>
      </c>
      <c r="L963" s="81">
        <v>1</v>
      </c>
    </row>
    <row r="964" s="65" customFormat="1" customHeight="1" spans="1:12">
      <c r="A964" s="77">
        <v>961</v>
      </c>
      <c r="B964" s="78" t="str">
        <f t="shared" si="25"/>
        <v>DilutionSabal Serr.</v>
      </c>
      <c r="C964" s="65" t="s">
        <v>115</v>
      </c>
      <c r="D964" s="83" t="s">
        <v>427</v>
      </c>
      <c r="E964" s="65" t="str">
        <f t="shared" si="26"/>
        <v>Sabal Serr.</v>
      </c>
      <c r="F964" s="65" t="s">
        <v>193</v>
      </c>
      <c r="K964" s="81">
        <v>0.01</v>
      </c>
      <c r="L964" s="81">
        <v>1</v>
      </c>
    </row>
    <row r="965" s="65" customFormat="1" customHeight="1" spans="1:12">
      <c r="A965" s="77">
        <v>962</v>
      </c>
      <c r="B965" s="78" t="str">
        <f t="shared" ref="B965:B1028" si="27">+C965&amp;E965</f>
        <v>DilutionSabina</v>
      </c>
      <c r="C965" s="65" t="s">
        <v>115</v>
      </c>
      <c r="D965" s="83" t="s">
        <v>428</v>
      </c>
      <c r="E965" s="65" t="str">
        <f t="shared" si="26"/>
        <v>Sabina</v>
      </c>
      <c r="F965" s="65" t="s">
        <v>193</v>
      </c>
      <c r="K965" s="81">
        <v>0.01</v>
      </c>
      <c r="L965" s="81">
        <v>1</v>
      </c>
    </row>
    <row r="966" s="65" customFormat="1" customHeight="1" spans="1:12">
      <c r="A966" s="77">
        <v>963</v>
      </c>
      <c r="B966" s="78" t="e">
        <f t="shared" si="27"/>
        <v>#N/A</v>
      </c>
      <c r="C966" s="65" t="s">
        <v>115</v>
      </c>
      <c r="D966" s="83" t="s">
        <v>893</v>
      </c>
      <c r="E966" s="65" t="e">
        <f t="shared" si="26"/>
        <v>#N/A</v>
      </c>
      <c r="F966" s="65" t="s">
        <v>193</v>
      </c>
      <c r="K966" s="81">
        <v>0.01</v>
      </c>
      <c r="L966" s="81">
        <v>1</v>
      </c>
    </row>
    <row r="967" s="65" customFormat="1" customHeight="1" spans="1:12">
      <c r="A967" s="77">
        <v>964</v>
      </c>
      <c r="B967" s="78" t="e">
        <f t="shared" si="27"/>
        <v>#N/A</v>
      </c>
      <c r="C967" s="65" t="s">
        <v>115</v>
      </c>
      <c r="D967" s="83" t="s">
        <v>894</v>
      </c>
      <c r="E967" s="65" t="e">
        <f t="shared" si="26"/>
        <v>#N/A</v>
      </c>
      <c r="F967" s="65" t="s">
        <v>193</v>
      </c>
      <c r="K967" s="81">
        <v>0.01</v>
      </c>
      <c r="L967" s="81">
        <v>1</v>
      </c>
    </row>
    <row r="968" s="65" customFormat="1" customHeight="1" spans="1:12">
      <c r="A968" s="77">
        <v>965</v>
      </c>
      <c r="B968" s="78" t="str">
        <f t="shared" si="27"/>
        <v>DilutionSalix Nig.</v>
      </c>
      <c r="C968" s="65" t="s">
        <v>115</v>
      </c>
      <c r="D968" s="83" t="s">
        <v>429</v>
      </c>
      <c r="E968" s="65" t="str">
        <f t="shared" si="26"/>
        <v>Salix Nig.</v>
      </c>
      <c r="F968" s="65" t="s">
        <v>193</v>
      </c>
      <c r="K968" s="81">
        <v>0.01</v>
      </c>
      <c r="L968" s="81">
        <v>1</v>
      </c>
    </row>
    <row r="969" s="65" customFormat="1" customHeight="1" spans="1:12">
      <c r="A969" s="77">
        <v>966</v>
      </c>
      <c r="B969" s="78" t="e">
        <f t="shared" si="27"/>
        <v>#N/A</v>
      </c>
      <c r="C969" s="65" t="s">
        <v>115</v>
      </c>
      <c r="D969" s="83" t="s">
        <v>895</v>
      </c>
      <c r="E969" s="65" t="e">
        <f t="shared" si="26"/>
        <v>#N/A</v>
      </c>
      <c r="F969" s="65" t="s">
        <v>193</v>
      </c>
      <c r="K969" s="81">
        <v>0.01</v>
      </c>
      <c r="L969" s="81">
        <v>1</v>
      </c>
    </row>
    <row r="970" s="65" customFormat="1" customHeight="1" spans="1:12">
      <c r="A970" s="77">
        <v>967</v>
      </c>
      <c r="B970" s="78" t="str">
        <f t="shared" si="27"/>
        <v>DilutionSambucus Nig.</v>
      </c>
      <c r="C970" s="65" t="s">
        <v>115</v>
      </c>
      <c r="D970" s="83" t="s">
        <v>430</v>
      </c>
      <c r="E970" s="65" t="str">
        <f t="shared" si="26"/>
        <v>Sambucus Nig.</v>
      </c>
      <c r="F970" s="65" t="s">
        <v>193</v>
      </c>
      <c r="K970" s="81">
        <v>0.01</v>
      </c>
      <c r="L970" s="81">
        <v>1</v>
      </c>
    </row>
    <row r="971" s="65" customFormat="1" customHeight="1" spans="1:12">
      <c r="A971" s="77">
        <v>968</v>
      </c>
      <c r="B971" s="78" t="str">
        <f t="shared" si="27"/>
        <v>DilutionSanguinar Can.</v>
      </c>
      <c r="C971" s="65" t="s">
        <v>115</v>
      </c>
      <c r="D971" s="83" t="s">
        <v>431</v>
      </c>
      <c r="E971" s="65" t="str">
        <f t="shared" si="26"/>
        <v>Sanguinar Can.</v>
      </c>
      <c r="F971" s="65" t="s">
        <v>193</v>
      </c>
      <c r="K971" s="81">
        <v>0.01</v>
      </c>
      <c r="L971" s="81">
        <v>1</v>
      </c>
    </row>
    <row r="972" s="65" customFormat="1" customHeight="1" spans="1:12">
      <c r="A972" s="77">
        <v>969</v>
      </c>
      <c r="B972" s="78" t="e">
        <f t="shared" si="27"/>
        <v>#N/A</v>
      </c>
      <c r="C972" s="65" t="s">
        <v>115</v>
      </c>
      <c r="D972" s="83" t="s">
        <v>896</v>
      </c>
      <c r="E972" s="65" t="e">
        <f t="shared" si="26"/>
        <v>#N/A</v>
      </c>
      <c r="F972" s="65" t="s">
        <v>193</v>
      </c>
      <c r="K972" s="81">
        <v>0.01</v>
      </c>
      <c r="L972" s="81">
        <v>1</v>
      </c>
    </row>
    <row r="973" s="65" customFormat="1" customHeight="1" spans="1:12">
      <c r="A973" s="77">
        <v>970</v>
      </c>
      <c r="B973" s="78" t="e">
        <f t="shared" si="27"/>
        <v>#N/A</v>
      </c>
      <c r="C973" s="65" t="s">
        <v>115</v>
      </c>
      <c r="D973" s="83" t="s">
        <v>897</v>
      </c>
      <c r="E973" s="65" t="e">
        <f t="shared" si="26"/>
        <v>#N/A</v>
      </c>
      <c r="F973" s="65" t="s">
        <v>193</v>
      </c>
      <c r="K973" s="81">
        <v>0.01</v>
      </c>
      <c r="L973" s="81">
        <v>1</v>
      </c>
    </row>
    <row r="974" s="65" customFormat="1" customHeight="1" spans="1:12">
      <c r="A974" s="77">
        <v>971</v>
      </c>
      <c r="B974" s="78" t="e">
        <f t="shared" si="27"/>
        <v>#N/A</v>
      </c>
      <c r="C974" s="65" t="s">
        <v>115</v>
      </c>
      <c r="D974" s="83" t="s">
        <v>898</v>
      </c>
      <c r="E974" s="65" t="e">
        <f t="shared" ref="E974:E1037" si="28">+VLOOKUP(D974,$D$4:$D$301,1,FALSE)</f>
        <v>#N/A</v>
      </c>
      <c r="F974" s="65" t="s">
        <v>193</v>
      </c>
      <c r="K974" s="81">
        <v>0.01</v>
      </c>
      <c r="L974" s="81">
        <v>1</v>
      </c>
    </row>
    <row r="975" s="65" customFormat="1" customHeight="1" spans="1:12">
      <c r="A975" s="77">
        <v>972</v>
      </c>
      <c r="B975" s="78" t="e">
        <f t="shared" si="27"/>
        <v>#N/A</v>
      </c>
      <c r="C975" s="65" t="s">
        <v>115</v>
      </c>
      <c r="D975" s="83" t="s">
        <v>899</v>
      </c>
      <c r="E975" s="65" t="e">
        <f t="shared" si="28"/>
        <v>#N/A</v>
      </c>
      <c r="F975" s="65" t="s">
        <v>193</v>
      </c>
      <c r="K975" s="81">
        <v>0.01</v>
      </c>
      <c r="L975" s="81">
        <v>1</v>
      </c>
    </row>
    <row r="976" s="65" customFormat="1" customHeight="1" spans="1:12">
      <c r="A976" s="77">
        <v>973</v>
      </c>
      <c r="B976" s="78" t="e">
        <f t="shared" si="27"/>
        <v>#N/A</v>
      </c>
      <c r="C976" s="65" t="s">
        <v>115</v>
      </c>
      <c r="D976" s="83" t="s">
        <v>900</v>
      </c>
      <c r="E976" s="65" t="e">
        <f t="shared" si="28"/>
        <v>#N/A</v>
      </c>
      <c r="F976" s="65" t="s">
        <v>193</v>
      </c>
      <c r="K976" s="81">
        <v>0.01</v>
      </c>
      <c r="L976" s="81">
        <v>1</v>
      </c>
    </row>
    <row r="977" s="65" customFormat="1" customHeight="1" spans="1:12">
      <c r="A977" s="77">
        <v>974</v>
      </c>
      <c r="B977" s="78" t="e">
        <f t="shared" si="27"/>
        <v>#N/A</v>
      </c>
      <c r="C977" s="65" t="s">
        <v>115</v>
      </c>
      <c r="D977" s="83" t="s">
        <v>901</v>
      </c>
      <c r="E977" s="65" t="e">
        <f t="shared" si="28"/>
        <v>#N/A</v>
      </c>
      <c r="F977" s="65" t="s">
        <v>193</v>
      </c>
      <c r="K977" s="81">
        <v>0.01</v>
      </c>
      <c r="L977" s="81">
        <v>1</v>
      </c>
    </row>
    <row r="978" s="65" customFormat="1" customHeight="1" spans="1:12">
      <c r="A978" s="77">
        <v>975</v>
      </c>
      <c r="B978" s="78" t="str">
        <f t="shared" si="27"/>
        <v>DilutionSarasaparilla</v>
      </c>
      <c r="C978" s="65" t="s">
        <v>115</v>
      </c>
      <c r="D978" s="83" t="s">
        <v>432</v>
      </c>
      <c r="E978" s="65" t="str">
        <f t="shared" si="28"/>
        <v>Sarasaparilla</v>
      </c>
      <c r="F978" s="65" t="s">
        <v>193</v>
      </c>
      <c r="K978" s="81">
        <v>0.01</v>
      </c>
      <c r="L978" s="81">
        <v>1</v>
      </c>
    </row>
    <row r="979" s="65" customFormat="1" customHeight="1" spans="1:12">
      <c r="A979" s="77">
        <v>976</v>
      </c>
      <c r="B979" s="78" t="e">
        <f t="shared" si="27"/>
        <v>#N/A</v>
      </c>
      <c r="C979" s="65" t="s">
        <v>115</v>
      </c>
      <c r="D979" s="83" t="s">
        <v>902</v>
      </c>
      <c r="E979" s="65" t="e">
        <f t="shared" si="28"/>
        <v>#N/A</v>
      </c>
      <c r="F979" s="65" t="s">
        <v>193</v>
      </c>
      <c r="K979" s="81">
        <v>0.01</v>
      </c>
      <c r="L979" s="81">
        <v>1</v>
      </c>
    </row>
    <row r="980" s="65" customFormat="1" customHeight="1" spans="1:12">
      <c r="A980" s="77">
        <v>977</v>
      </c>
      <c r="B980" s="78" t="str">
        <f t="shared" si="27"/>
        <v>DilutionScrophularia Nodosa</v>
      </c>
      <c r="C980" s="65" t="s">
        <v>115</v>
      </c>
      <c r="D980" s="83" t="s">
        <v>433</v>
      </c>
      <c r="E980" s="65" t="str">
        <f t="shared" si="28"/>
        <v>Scrophularia Nodosa</v>
      </c>
      <c r="F980" s="65" t="s">
        <v>193</v>
      </c>
      <c r="K980" s="81">
        <v>0.01</v>
      </c>
      <c r="L980" s="81">
        <v>1</v>
      </c>
    </row>
    <row r="981" s="65" customFormat="1" customHeight="1" spans="1:12">
      <c r="A981" s="77">
        <v>978</v>
      </c>
      <c r="B981" s="78" t="str">
        <f t="shared" si="27"/>
        <v>DilutionScutellar. L</v>
      </c>
      <c r="C981" s="65" t="s">
        <v>115</v>
      </c>
      <c r="D981" s="83" t="s">
        <v>434</v>
      </c>
      <c r="E981" s="65" t="str">
        <f t="shared" si="28"/>
        <v>Scutellar. L</v>
      </c>
      <c r="F981" s="65" t="s">
        <v>193</v>
      </c>
      <c r="K981" s="81">
        <v>0.01</v>
      </c>
      <c r="L981" s="81">
        <v>1</v>
      </c>
    </row>
    <row r="982" s="65" customFormat="1" customHeight="1" spans="1:12">
      <c r="A982" s="77">
        <v>979</v>
      </c>
      <c r="B982" s="78" t="str">
        <f t="shared" si="27"/>
        <v>DilutionSecale Cor.</v>
      </c>
      <c r="C982" s="65" t="s">
        <v>115</v>
      </c>
      <c r="D982" s="83" t="s">
        <v>435</v>
      </c>
      <c r="E982" s="65" t="str">
        <f t="shared" si="28"/>
        <v>Secale Cor.</v>
      </c>
      <c r="F982" s="65" t="s">
        <v>193</v>
      </c>
      <c r="K982" s="81">
        <v>0.01</v>
      </c>
      <c r="L982" s="81">
        <v>1</v>
      </c>
    </row>
    <row r="983" s="65" customFormat="1" customHeight="1" spans="1:12">
      <c r="A983" s="77">
        <v>980</v>
      </c>
      <c r="B983" s="78" t="e">
        <f t="shared" si="27"/>
        <v>#N/A</v>
      </c>
      <c r="C983" s="65" t="s">
        <v>115</v>
      </c>
      <c r="D983" s="83" t="s">
        <v>903</v>
      </c>
      <c r="E983" s="65" t="e">
        <f t="shared" si="28"/>
        <v>#N/A</v>
      </c>
      <c r="F983" s="65" t="s">
        <v>193</v>
      </c>
      <c r="K983" s="81">
        <v>0.01</v>
      </c>
      <c r="L983" s="81">
        <v>1</v>
      </c>
    </row>
    <row r="984" s="65" customFormat="1" customHeight="1" spans="1:12">
      <c r="A984" s="77">
        <v>981</v>
      </c>
      <c r="B984" s="78" t="e">
        <f t="shared" si="27"/>
        <v>#N/A</v>
      </c>
      <c r="C984" s="65" t="s">
        <v>115</v>
      </c>
      <c r="D984" s="83" t="s">
        <v>904</v>
      </c>
      <c r="E984" s="65" t="e">
        <f t="shared" si="28"/>
        <v>#N/A</v>
      </c>
      <c r="F984" s="65" t="s">
        <v>193</v>
      </c>
      <c r="K984" s="81">
        <v>0.01</v>
      </c>
      <c r="L984" s="81">
        <v>1</v>
      </c>
    </row>
    <row r="985" s="65" customFormat="1" customHeight="1" spans="1:12">
      <c r="A985" s="77">
        <v>982</v>
      </c>
      <c r="B985" s="78" t="str">
        <f t="shared" si="27"/>
        <v>DilutionSenecio Aur</v>
      </c>
      <c r="C985" s="65" t="s">
        <v>115</v>
      </c>
      <c r="D985" s="83" t="s">
        <v>436</v>
      </c>
      <c r="E985" s="65" t="str">
        <f t="shared" si="28"/>
        <v>Senecio Aur</v>
      </c>
      <c r="F985" s="65" t="s">
        <v>193</v>
      </c>
      <c r="K985" s="81">
        <v>0.01</v>
      </c>
      <c r="L985" s="81">
        <v>1</v>
      </c>
    </row>
    <row r="986" s="65" customFormat="1" customHeight="1" spans="1:12">
      <c r="A986" s="77">
        <v>983</v>
      </c>
      <c r="B986" s="78" t="str">
        <f t="shared" si="27"/>
        <v>DilutionSenega</v>
      </c>
      <c r="C986" s="65" t="s">
        <v>115</v>
      </c>
      <c r="D986" s="83" t="s">
        <v>437</v>
      </c>
      <c r="E986" s="65" t="str">
        <f t="shared" si="28"/>
        <v>Senega</v>
      </c>
      <c r="F986" s="65" t="s">
        <v>193</v>
      </c>
      <c r="K986" s="81">
        <v>0.01</v>
      </c>
      <c r="L986" s="81">
        <v>1</v>
      </c>
    </row>
    <row r="987" s="65" customFormat="1" customHeight="1" spans="1:12">
      <c r="A987" s="77">
        <v>984</v>
      </c>
      <c r="B987" s="78" t="str">
        <f t="shared" si="27"/>
        <v>DilutionSenna</v>
      </c>
      <c r="C987" s="65" t="s">
        <v>115</v>
      </c>
      <c r="D987" s="83" t="s">
        <v>438</v>
      </c>
      <c r="E987" s="65" t="str">
        <f t="shared" si="28"/>
        <v>Senna</v>
      </c>
      <c r="F987" s="65" t="s">
        <v>193</v>
      </c>
      <c r="K987" s="81">
        <v>0.01</v>
      </c>
      <c r="L987" s="81">
        <v>1</v>
      </c>
    </row>
    <row r="988" s="65" customFormat="1" customHeight="1" spans="1:12">
      <c r="A988" s="77">
        <v>985</v>
      </c>
      <c r="B988" s="78" t="e">
        <f t="shared" si="27"/>
        <v>#N/A</v>
      </c>
      <c r="C988" s="65" t="s">
        <v>115</v>
      </c>
      <c r="D988" s="83" t="s">
        <v>905</v>
      </c>
      <c r="E988" s="65" t="e">
        <f t="shared" si="28"/>
        <v>#N/A</v>
      </c>
      <c r="F988" s="65" t="s">
        <v>193</v>
      </c>
      <c r="K988" s="81">
        <v>0.01</v>
      </c>
      <c r="L988" s="81">
        <v>1</v>
      </c>
    </row>
    <row r="989" s="65" customFormat="1" customHeight="1" spans="1:12">
      <c r="A989" s="77">
        <v>986</v>
      </c>
      <c r="B989" s="78" t="e">
        <f t="shared" si="27"/>
        <v>#N/A</v>
      </c>
      <c r="C989" s="65" t="s">
        <v>115</v>
      </c>
      <c r="D989" s="83" t="s">
        <v>906</v>
      </c>
      <c r="E989" s="65" t="e">
        <f t="shared" si="28"/>
        <v>#N/A</v>
      </c>
      <c r="F989" s="65" t="s">
        <v>193</v>
      </c>
      <c r="K989" s="81">
        <v>0.01</v>
      </c>
      <c r="L989" s="81">
        <v>1</v>
      </c>
    </row>
    <row r="990" s="65" customFormat="1" customHeight="1" spans="1:12">
      <c r="A990" s="77">
        <v>987</v>
      </c>
      <c r="B990" s="78" t="e">
        <f t="shared" si="27"/>
        <v>#N/A</v>
      </c>
      <c r="C990" s="65" t="s">
        <v>115</v>
      </c>
      <c r="D990" s="83" t="s">
        <v>907</v>
      </c>
      <c r="E990" s="65" t="e">
        <f t="shared" si="28"/>
        <v>#N/A</v>
      </c>
      <c r="F990" s="65" t="s">
        <v>193</v>
      </c>
      <c r="K990" s="81">
        <v>0.01</v>
      </c>
      <c r="L990" s="81">
        <v>1</v>
      </c>
    </row>
    <row r="991" s="65" customFormat="1" customHeight="1" spans="1:12">
      <c r="A991" s="77">
        <v>988</v>
      </c>
      <c r="B991" s="78" t="e">
        <f t="shared" si="27"/>
        <v>#N/A</v>
      </c>
      <c r="C991" s="65" t="s">
        <v>115</v>
      </c>
      <c r="D991" s="83" t="s">
        <v>908</v>
      </c>
      <c r="E991" s="65" t="e">
        <f t="shared" si="28"/>
        <v>#N/A</v>
      </c>
      <c r="F991" s="65" t="s">
        <v>193</v>
      </c>
      <c r="K991" s="81">
        <v>0.01</v>
      </c>
      <c r="L991" s="81">
        <v>1</v>
      </c>
    </row>
    <row r="992" s="65" customFormat="1" customHeight="1" spans="1:12">
      <c r="A992" s="77">
        <v>989</v>
      </c>
      <c r="B992" s="78" t="e">
        <f t="shared" si="27"/>
        <v>#N/A</v>
      </c>
      <c r="C992" s="65" t="s">
        <v>115</v>
      </c>
      <c r="D992" s="83" t="s">
        <v>514</v>
      </c>
      <c r="E992" s="65" t="e">
        <f t="shared" si="28"/>
        <v>#N/A</v>
      </c>
      <c r="F992" s="65" t="s">
        <v>193</v>
      </c>
      <c r="K992" s="81">
        <v>0.01</v>
      </c>
      <c r="L992" s="81">
        <v>1</v>
      </c>
    </row>
    <row r="993" s="65" customFormat="1" customHeight="1" spans="1:12">
      <c r="A993" s="77">
        <v>990</v>
      </c>
      <c r="B993" s="78" t="e">
        <f t="shared" si="27"/>
        <v>#N/A</v>
      </c>
      <c r="C993" s="65" t="s">
        <v>115</v>
      </c>
      <c r="D993" s="83" t="s">
        <v>909</v>
      </c>
      <c r="E993" s="65" t="e">
        <f t="shared" si="28"/>
        <v>#N/A</v>
      </c>
      <c r="F993" s="65" t="s">
        <v>193</v>
      </c>
      <c r="K993" s="81">
        <v>0.01</v>
      </c>
      <c r="L993" s="81">
        <v>1</v>
      </c>
    </row>
    <row r="994" s="65" customFormat="1" customHeight="1" spans="1:12">
      <c r="A994" s="77">
        <v>991</v>
      </c>
      <c r="B994" s="78" t="e">
        <f t="shared" si="27"/>
        <v>#N/A</v>
      </c>
      <c r="C994" s="65" t="s">
        <v>115</v>
      </c>
      <c r="D994" s="83" t="s">
        <v>910</v>
      </c>
      <c r="E994" s="65" t="e">
        <f t="shared" si="28"/>
        <v>#N/A</v>
      </c>
      <c r="F994" s="65" t="s">
        <v>193</v>
      </c>
      <c r="K994" s="81">
        <v>0.01</v>
      </c>
      <c r="L994" s="81">
        <v>1</v>
      </c>
    </row>
    <row r="995" s="65" customFormat="1" customHeight="1" spans="1:12">
      <c r="A995" s="77">
        <v>992</v>
      </c>
      <c r="B995" s="78" t="e">
        <f t="shared" si="27"/>
        <v>#N/A</v>
      </c>
      <c r="C995" s="65" t="s">
        <v>115</v>
      </c>
      <c r="D995" s="83" t="s">
        <v>911</v>
      </c>
      <c r="E995" s="65" t="e">
        <f t="shared" si="28"/>
        <v>#N/A</v>
      </c>
      <c r="F995" s="65" t="s">
        <v>193</v>
      </c>
      <c r="K995" s="81">
        <v>0.01</v>
      </c>
      <c r="L995" s="81">
        <v>1</v>
      </c>
    </row>
    <row r="996" s="65" customFormat="1" customHeight="1" spans="1:12">
      <c r="A996" s="77">
        <v>993</v>
      </c>
      <c r="B996" s="78" t="e">
        <f t="shared" si="27"/>
        <v>#N/A</v>
      </c>
      <c r="C996" s="65" t="s">
        <v>115</v>
      </c>
      <c r="D996" s="83" t="s">
        <v>912</v>
      </c>
      <c r="E996" s="65" t="e">
        <f t="shared" si="28"/>
        <v>#N/A</v>
      </c>
      <c r="F996" s="65" t="s">
        <v>193</v>
      </c>
      <c r="K996" s="81">
        <v>0.01</v>
      </c>
      <c r="L996" s="81">
        <v>1</v>
      </c>
    </row>
    <row r="997" s="65" customFormat="1" customHeight="1" spans="1:12">
      <c r="A997" s="77">
        <v>994</v>
      </c>
      <c r="B997" s="78" t="str">
        <f t="shared" si="27"/>
        <v>DilutionSolanum Nig.</v>
      </c>
      <c r="C997" s="65" t="s">
        <v>115</v>
      </c>
      <c r="D997" s="83" t="s">
        <v>439</v>
      </c>
      <c r="E997" s="65" t="str">
        <f t="shared" si="28"/>
        <v>Solanum Nig.</v>
      </c>
      <c r="F997" s="65" t="s">
        <v>193</v>
      </c>
      <c r="K997" s="81">
        <v>0.01</v>
      </c>
      <c r="L997" s="81">
        <v>1</v>
      </c>
    </row>
    <row r="998" s="65" customFormat="1" customHeight="1" spans="1:12">
      <c r="A998" s="77">
        <v>995</v>
      </c>
      <c r="B998" s="78" t="str">
        <f t="shared" si="27"/>
        <v>DilutionSolidago V.</v>
      </c>
      <c r="C998" s="65" t="s">
        <v>115</v>
      </c>
      <c r="D998" s="83" t="s">
        <v>440</v>
      </c>
      <c r="E998" s="65" t="str">
        <f t="shared" si="28"/>
        <v>Solidago V.</v>
      </c>
      <c r="F998" s="65" t="s">
        <v>193</v>
      </c>
      <c r="K998" s="81">
        <v>0.01</v>
      </c>
      <c r="L998" s="81">
        <v>1</v>
      </c>
    </row>
    <row r="999" s="65" customFormat="1" customHeight="1" spans="1:12">
      <c r="A999" s="77">
        <v>996</v>
      </c>
      <c r="B999" s="78" t="str">
        <f t="shared" si="27"/>
        <v>DilutionSpartium Scop.</v>
      </c>
      <c r="C999" s="65" t="s">
        <v>115</v>
      </c>
      <c r="D999" s="83" t="s">
        <v>441</v>
      </c>
      <c r="E999" s="65" t="str">
        <f t="shared" si="28"/>
        <v>Spartium Scop.</v>
      </c>
      <c r="F999" s="65" t="s">
        <v>193</v>
      </c>
      <c r="K999" s="81">
        <v>0.01</v>
      </c>
      <c r="L999" s="81">
        <v>1</v>
      </c>
    </row>
    <row r="1000" s="65" customFormat="1" customHeight="1" spans="1:12">
      <c r="A1000" s="77">
        <v>997</v>
      </c>
      <c r="B1000" s="78" t="str">
        <f t="shared" si="27"/>
        <v>DilutionSpigelia</v>
      </c>
      <c r="C1000" s="65" t="s">
        <v>115</v>
      </c>
      <c r="D1000" s="83" t="s">
        <v>442</v>
      </c>
      <c r="E1000" s="65" t="str">
        <f t="shared" si="28"/>
        <v>Spigelia</v>
      </c>
      <c r="F1000" s="65" t="s">
        <v>193</v>
      </c>
      <c r="K1000" s="81">
        <v>0.01</v>
      </c>
      <c r="L1000" s="81">
        <v>1</v>
      </c>
    </row>
    <row r="1001" s="65" customFormat="1" customHeight="1" spans="1:12">
      <c r="A1001" s="77">
        <v>998</v>
      </c>
      <c r="B1001" s="78" t="e">
        <f t="shared" si="27"/>
        <v>#N/A</v>
      </c>
      <c r="C1001" s="65" t="s">
        <v>115</v>
      </c>
      <c r="D1001" s="83" t="s">
        <v>913</v>
      </c>
      <c r="E1001" s="65" t="e">
        <f t="shared" si="28"/>
        <v>#N/A</v>
      </c>
      <c r="F1001" s="65" t="s">
        <v>193</v>
      </c>
      <c r="K1001" s="81">
        <v>0.01</v>
      </c>
      <c r="L1001" s="81">
        <v>1</v>
      </c>
    </row>
    <row r="1002" s="65" customFormat="1" customHeight="1" spans="1:12">
      <c r="A1002" s="77">
        <v>999</v>
      </c>
      <c r="B1002" s="78" t="e">
        <f t="shared" si="27"/>
        <v>#N/A</v>
      </c>
      <c r="C1002" s="65" t="s">
        <v>115</v>
      </c>
      <c r="D1002" s="83" t="s">
        <v>914</v>
      </c>
      <c r="E1002" s="65" t="e">
        <f t="shared" si="28"/>
        <v>#N/A</v>
      </c>
      <c r="F1002" s="65" t="s">
        <v>193</v>
      </c>
      <c r="K1002" s="81">
        <v>0.01</v>
      </c>
      <c r="L1002" s="81">
        <v>1</v>
      </c>
    </row>
    <row r="1003" s="65" customFormat="1" customHeight="1" spans="1:12">
      <c r="A1003" s="77">
        <v>1000</v>
      </c>
      <c r="B1003" s="78" t="str">
        <f t="shared" si="27"/>
        <v>DilutionSpongia T.</v>
      </c>
      <c r="C1003" s="65" t="s">
        <v>115</v>
      </c>
      <c r="D1003" s="83" t="s">
        <v>443</v>
      </c>
      <c r="E1003" s="65" t="str">
        <f t="shared" si="28"/>
        <v>Spongia T.</v>
      </c>
      <c r="F1003" s="65" t="s">
        <v>193</v>
      </c>
      <c r="K1003" s="81">
        <v>0.01</v>
      </c>
      <c r="L1003" s="81">
        <v>1</v>
      </c>
    </row>
    <row r="1004" s="65" customFormat="1" customHeight="1" spans="1:12">
      <c r="A1004" s="77">
        <v>1001</v>
      </c>
      <c r="B1004" s="78" t="str">
        <f t="shared" si="27"/>
        <v>DilutionSquilla M</v>
      </c>
      <c r="C1004" s="65" t="s">
        <v>115</v>
      </c>
      <c r="D1004" s="83" t="s">
        <v>444</v>
      </c>
      <c r="E1004" s="65" t="str">
        <f t="shared" si="28"/>
        <v>Squilla M</v>
      </c>
      <c r="F1004" s="65" t="s">
        <v>193</v>
      </c>
      <c r="K1004" s="81">
        <v>0.01</v>
      </c>
      <c r="L1004" s="81">
        <v>1</v>
      </c>
    </row>
    <row r="1005" s="65" customFormat="1" customHeight="1" spans="1:12">
      <c r="A1005" s="77">
        <v>1002</v>
      </c>
      <c r="B1005" s="78" t="e">
        <f t="shared" si="27"/>
        <v>#N/A</v>
      </c>
      <c r="C1005" s="65" t="s">
        <v>115</v>
      </c>
      <c r="D1005" s="83" t="s">
        <v>915</v>
      </c>
      <c r="E1005" s="65" t="e">
        <f t="shared" si="28"/>
        <v>#N/A</v>
      </c>
      <c r="F1005" s="65" t="s">
        <v>193</v>
      </c>
      <c r="K1005" s="81">
        <v>0.01</v>
      </c>
      <c r="L1005" s="81">
        <v>1</v>
      </c>
    </row>
    <row r="1006" s="65" customFormat="1" customHeight="1" spans="1:12">
      <c r="A1006" s="77">
        <v>1003</v>
      </c>
      <c r="B1006" s="78" t="e">
        <f t="shared" si="27"/>
        <v>#N/A</v>
      </c>
      <c r="C1006" s="65" t="s">
        <v>115</v>
      </c>
      <c r="D1006" s="83" t="s">
        <v>916</v>
      </c>
      <c r="E1006" s="65" t="e">
        <f t="shared" si="28"/>
        <v>#N/A</v>
      </c>
      <c r="F1006" s="65" t="s">
        <v>193</v>
      </c>
      <c r="K1006" s="81">
        <v>0.01</v>
      </c>
      <c r="L1006" s="81">
        <v>1</v>
      </c>
    </row>
    <row r="1007" s="65" customFormat="1" customHeight="1" spans="1:12">
      <c r="A1007" s="77">
        <v>1004</v>
      </c>
      <c r="B1007" s="78" t="e">
        <f t="shared" si="27"/>
        <v>#N/A</v>
      </c>
      <c r="C1007" s="65" t="s">
        <v>115</v>
      </c>
      <c r="D1007" s="83" t="s">
        <v>917</v>
      </c>
      <c r="E1007" s="65" t="e">
        <f t="shared" si="28"/>
        <v>#N/A</v>
      </c>
      <c r="F1007" s="65" t="s">
        <v>193</v>
      </c>
      <c r="K1007" s="81">
        <v>0.01</v>
      </c>
      <c r="L1007" s="81">
        <v>1</v>
      </c>
    </row>
    <row r="1008" s="65" customFormat="1" customHeight="1" spans="1:12">
      <c r="A1008" s="77">
        <v>1005</v>
      </c>
      <c r="B1008" s="78" t="str">
        <f t="shared" si="27"/>
        <v>DilutionStaphysagria</v>
      </c>
      <c r="C1008" s="65" t="s">
        <v>115</v>
      </c>
      <c r="D1008" s="83" t="s">
        <v>445</v>
      </c>
      <c r="E1008" s="65" t="str">
        <f t="shared" si="28"/>
        <v>Staphysagria</v>
      </c>
      <c r="F1008" s="65" t="s">
        <v>193</v>
      </c>
      <c r="K1008" s="81">
        <v>0.01</v>
      </c>
      <c r="L1008" s="81">
        <v>1</v>
      </c>
    </row>
    <row r="1009" s="65" customFormat="1" customHeight="1" spans="1:12">
      <c r="A1009" s="77">
        <v>1006</v>
      </c>
      <c r="B1009" s="78" t="str">
        <f t="shared" si="27"/>
        <v>DilutionStellaria M</v>
      </c>
      <c r="C1009" s="65" t="s">
        <v>115</v>
      </c>
      <c r="D1009" s="83" t="s">
        <v>446</v>
      </c>
      <c r="E1009" s="65" t="str">
        <f t="shared" si="28"/>
        <v>Stellaria M</v>
      </c>
      <c r="F1009" s="65" t="s">
        <v>193</v>
      </c>
      <c r="K1009" s="81">
        <v>0.01</v>
      </c>
      <c r="L1009" s="81">
        <v>1</v>
      </c>
    </row>
    <row r="1010" s="65" customFormat="1" customHeight="1" spans="1:12">
      <c r="A1010" s="77">
        <v>1007</v>
      </c>
      <c r="B1010" s="78" t="str">
        <f t="shared" si="27"/>
        <v>DilutionSterculia A</v>
      </c>
      <c r="C1010" s="65" t="s">
        <v>115</v>
      </c>
      <c r="D1010" s="83" t="s">
        <v>447</v>
      </c>
      <c r="E1010" s="65" t="str">
        <f t="shared" si="28"/>
        <v>Sterculia A</v>
      </c>
      <c r="F1010" s="65" t="s">
        <v>193</v>
      </c>
      <c r="K1010" s="81">
        <v>0.01</v>
      </c>
      <c r="L1010" s="81">
        <v>1</v>
      </c>
    </row>
    <row r="1011" s="65" customFormat="1" customHeight="1" spans="1:12">
      <c r="A1011" s="77">
        <v>1008</v>
      </c>
      <c r="B1011" s="78" t="str">
        <f t="shared" si="27"/>
        <v>DilutionSticta Pul.</v>
      </c>
      <c r="C1011" s="65" t="s">
        <v>115</v>
      </c>
      <c r="D1011" s="83" t="s">
        <v>448</v>
      </c>
      <c r="E1011" s="65" t="str">
        <f t="shared" si="28"/>
        <v>Sticta Pul.</v>
      </c>
      <c r="F1011" s="65" t="s">
        <v>193</v>
      </c>
      <c r="K1011" s="81">
        <v>0.01</v>
      </c>
      <c r="L1011" s="81">
        <v>1</v>
      </c>
    </row>
    <row r="1012" s="65" customFormat="1" customHeight="1" spans="1:12">
      <c r="A1012" s="77">
        <v>1009</v>
      </c>
      <c r="B1012" s="78" t="e">
        <f t="shared" si="27"/>
        <v>#N/A</v>
      </c>
      <c r="C1012" s="65" t="s">
        <v>115</v>
      </c>
      <c r="D1012" s="83" t="s">
        <v>918</v>
      </c>
      <c r="E1012" s="65" t="e">
        <f t="shared" si="28"/>
        <v>#N/A</v>
      </c>
      <c r="F1012" s="65" t="s">
        <v>193</v>
      </c>
      <c r="K1012" s="81">
        <v>0.01</v>
      </c>
      <c r="L1012" s="81">
        <v>1</v>
      </c>
    </row>
    <row r="1013" s="65" customFormat="1" customHeight="1" spans="1:12">
      <c r="A1013" s="77">
        <v>1010</v>
      </c>
      <c r="B1013" s="78" t="str">
        <f t="shared" si="27"/>
        <v>DilutionStillingia S.</v>
      </c>
      <c r="C1013" s="65" t="s">
        <v>115</v>
      </c>
      <c r="D1013" s="83" t="s">
        <v>449</v>
      </c>
      <c r="E1013" s="65" t="str">
        <f t="shared" si="28"/>
        <v>Stillingia S.</v>
      </c>
      <c r="F1013" s="65" t="s">
        <v>193</v>
      </c>
      <c r="K1013" s="81">
        <v>0.01</v>
      </c>
      <c r="L1013" s="81">
        <v>1</v>
      </c>
    </row>
    <row r="1014" s="65" customFormat="1" customHeight="1" spans="1:12">
      <c r="A1014" s="77">
        <v>1011</v>
      </c>
      <c r="B1014" s="78" t="str">
        <f t="shared" si="27"/>
        <v>DilutionStramonium</v>
      </c>
      <c r="C1014" s="65" t="s">
        <v>115</v>
      </c>
      <c r="D1014" s="83" t="s">
        <v>450</v>
      </c>
      <c r="E1014" s="65" t="str">
        <f t="shared" si="28"/>
        <v>Stramonium</v>
      </c>
      <c r="F1014" s="65" t="s">
        <v>193</v>
      </c>
      <c r="K1014" s="81">
        <v>0.01</v>
      </c>
      <c r="L1014" s="81">
        <v>1</v>
      </c>
    </row>
    <row r="1015" s="65" customFormat="1" customHeight="1" spans="1:12">
      <c r="A1015" s="77">
        <v>1012</v>
      </c>
      <c r="B1015" s="78" t="e">
        <f t="shared" si="27"/>
        <v>#N/A</v>
      </c>
      <c r="C1015" s="65" t="s">
        <v>115</v>
      </c>
      <c r="D1015" s="83" t="s">
        <v>919</v>
      </c>
      <c r="E1015" s="65" t="e">
        <f t="shared" si="28"/>
        <v>#N/A</v>
      </c>
      <c r="F1015" s="65" t="s">
        <v>193</v>
      </c>
      <c r="K1015" s="81">
        <v>0.01</v>
      </c>
      <c r="L1015" s="81">
        <v>1</v>
      </c>
    </row>
    <row r="1016" s="65" customFormat="1" customHeight="1" spans="1:12">
      <c r="A1016" s="77">
        <v>1013</v>
      </c>
      <c r="B1016" s="78" t="e">
        <f t="shared" si="27"/>
        <v>#N/A</v>
      </c>
      <c r="C1016" s="65" t="s">
        <v>115</v>
      </c>
      <c r="D1016" s="83" t="s">
        <v>920</v>
      </c>
      <c r="E1016" s="65" t="e">
        <f t="shared" si="28"/>
        <v>#N/A</v>
      </c>
      <c r="F1016" s="65" t="s">
        <v>193</v>
      </c>
      <c r="K1016" s="81">
        <v>0.01</v>
      </c>
      <c r="L1016" s="81">
        <v>1</v>
      </c>
    </row>
    <row r="1017" s="65" customFormat="1" customHeight="1" spans="1:12">
      <c r="A1017" s="77">
        <v>1014</v>
      </c>
      <c r="B1017" s="78" t="e">
        <f t="shared" si="27"/>
        <v>#N/A</v>
      </c>
      <c r="C1017" s="65" t="s">
        <v>115</v>
      </c>
      <c r="D1017" s="83" t="s">
        <v>921</v>
      </c>
      <c r="E1017" s="65" t="e">
        <f t="shared" si="28"/>
        <v>#N/A</v>
      </c>
      <c r="F1017" s="65" t="s">
        <v>193</v>
      </c>
      <c r="K1017" s="81">
        <v>0.01</v>
      </c>
      <c r="L1017" s="81">
        <v>1</v>
      </c>
    </row>
    <row r="1018" s="65" customFormat="1" customHeight="1" spans="1:12">
      <c r="A1018" s="77">
        <v>1015</v>
      </c>
      <c r="B1018" s="78" t="e">
        <f t="shared" si="27"/>
        <v>#N/A</v>
      </c>
      <c r="C1018" s="65" t="s">
        <v>115</v>
      </c>
      <c r="D1018" s="83" t="s">
        <v>922</v>
      </c>
      <c r="E1018" s="65" t="e">
        <f t="shared" si="28"/>
        <v>#N/A</v>
      </c>
      <c r="F1018" s="65" t="s">
        <v>193</v>
      </c>
      <c r="K1018" s="81">
        <v>0.01</v>
      </c>
      <c r="L1018" s="81">
        <v>1</v>
      </c>
    </row>
    <row r="1019" s="65" customFormat="1" customHeight="1" spans="1:12">
      <c r="A1019" s="77">
        <v>1016</v>
      </c>
      <c r="B1019" s="78" t="str">
        <f t="shared" si="27"/>
        <v>DilutionStrophanthus  Hisp.</v>
      </c>
      <c r="C1019" s="65" t="s">
        <v>115</v>
      </c>
      <c r="D1019" s="83" t="s">
        <v>451</v>
      </c>
      <c r="E1019" s="65" t="str">
        <f t="shared" si="28"/>
        <v>Strophanthus  Hisp.</v>
      </c>
      <c r="F1019" s="65" t="s">
        <v>193</v>
      </c>
      <c r="K1019" s="81">
        <v>0.01</v>
      </c>
      <c r="L1019" s="81">
        <v>1</v>
      </c>
    </row>
    <row r="1020" s="65" customFormat="1" customHeight="1" spans="1:12">
      <c r="A1020" s="77">
        <v>1017</v>
      </c>
      <c r="B1020" s="78" t="e">
        <f t="shared" si="27"/>
        <v>#N/A</v>
      </c>
      <c r="C1020" s="65" t="s">
        <v>115</v>
      </c>
      <c r="D1020" s="83" t="s">
        <v>923</v>
      </c>
      <c r="E1020" s="65" t="e">
        <f t="shared" si="28"/>
        <v>#N/A</v>
      </c>
      <c r="F1020" s="65" t="s">
        <v>193</v>
      </c>
      <c r="K1020" s="81">
        <v>0.01</v>
      </c>
      <c r="L1020" s="81">
        <v>1</v>
      </c>
    </row>
    <row r="1021" s="65" customFormat="1" customHeight="1" spans="1:12">
      <c r="A1021" s="77">
        <v>1018</v>
      </c>
      <c r="B1021" s="78" t="e">
        <f t="shared" si="27"/>
        <v>#N/A</v>
      </c>
      <c r="C1021" s="65" t="s">
        <v>115</v>
      </c>
      <c r="D1021" s="83" t="s">
        <v>924</v>
      </c>
      <c r="E1021" s="65" t="e">
        <f t="shared" si="28"/>
        <v>#N/A</v>
      </c>
      <c r="F1021" s="65" t="s">
        <v>193</v>
      </c>
      <c r="K1021" s="81">
        <v>0.01</v>
      </c>
      <c r="L1021" s="81">
        <v>1</v>
      </c>
    </row>
    <row r="1022" s="65" customFormat="1" customHeight="1" spans="1:12">
      <c r="A1022" s="77">
        <v>1019</v>
      </c>
      <c r="B1022" s="78" t="e">
        <f t="shared" si="27"/>
        <v>#N/A</v>
      </c>
      <c r="C1022" s="65" t="s">
        <v>115</v>
      </c>
      <c r="D1022" s="83" t="s">
        <v>925</v>
      </c>
      <c r="E1022" s="65" t="e">
        <f t="shared" si="28"/>
        <v>#N/A</v>
      </c>
      <c r="F1022" s="65" t="s">
        <v>193</v>
      </c>
      <c r="K1022" s="81">
        <v>0.01</v>
      </c>
      <c r="L1022" s="81">
        <v>1</v>
      </c>
    </row>
    <row r="1023" s="65" customFormat="1" customHeight="1" spans="1:12">
      <c r="A1023" s="77">
        <v>1020</v>
      </c>
      <c r="B1023" s="78" t="e">
        <f t="shared" si="27"/>
        <v>#N/A</v>
      </c>
      <c r="C1023" s="65" t="s">
        <v>115</v>
      </c>
      <c r="D1023" s="83" t="s">
        <v>926</v>
      </c>
      <c r="E1023" s="65" t="e">
        <f t="shared" si="28"/>
        <v>#N/A</v>
      </c>
      <c r="F1023" s="65" t="s">
        <v>193</v>
      </c>
      <c r="K1023" s="81">
        <v>0.01</v>
      </c>
      <c r="L1023" s="81">
        <v>1</v>
      </c>
    </row>
    <row r="1024" s="65" customFormat="1" customHeight="1" spans="1:12">
      <c r="A1024" s="77">
        <v>1021</v>
      </c>
      <c r="B1024" s="78" t="e">
        <f t="shared" si="27"/>
        <v>#N/A</v>
      </c>
      <c r="C1024" s="65" t="s">
        <v>115</v>
      </c>
      <c r="D1024" s="83" t="s">
        <v>927</v>
      </c>
      <c r="E1024" s="65" t="e">
        <f t="shared" si="28"/>
        <v>#N/A</v>
      </c>
      <c r="F1024" s="65" t="s">
        <v>193</v>
      </c>
      <c r="K1024" s="81">
        <v>0.01</v>
      </c>
      <c r="L1024" s="81">
        <v>1</v>
      </c>
    </row>
    <row r="1025" s="65" customFormat="1" customHeight="1" spans="1:12">
      <c r="A1025" s="77">
        <v>1022</v>
      </c>
      <c r="B1025" s="78" t="e">
        <f t="shared" si="27"/>
        <v>#N/A</v>
      </c>
      <c r="C1025" s="65" t="s">
        <v>115</v>
      </c>
      <c r="D1025" s="83" t="s">
        <v>928</v>
      </c>
      <c r="E1025" s="65" t="e">
        <f t="shared" si="28"/>
        <v>#N/A</v>
      </c>
      <c r="F1025" s="65" t="s">
        <v>193</v>
      </c>
      <c r="K1025" s="81">
        <v>0.01</v>
      </c>
      <c r="L1025" s="81">
        <v>1</v>
      </c>
    </row>
    <row r="1026" s="65" customFormat="1" customHeight="1" spans="1:12">
      <c r="A1026" s="77">
        <v>1023</v>
      </c>
      <c r="B1026" s="78" t="e">
        <f t="shared" si="27"/>
        <v>#N/A</v>
      </c>
      <c r="C1026" s="65" t="s">
        <v>115</v>
      </c>
      <c r="D1026" s="83" t="s">
        <v>929</v>
      </c>
      <c r="E1026" s="65" t="e">
        <f t="shared" si="28"/>
        <v>#N/A</v>
      </c>
      <c r="F1026" s="65" t="s">
        <v>193</v>
      </c>
      <c r="K1026" s="81">
        <v>0.01</v>
      </c>
      <c r="L1026" s="81">
        <v>1</v>
      </c>
    </row>
    <row r="1027" s="65" customFormat="1" customHeight="1" spans="1:12">
      <c r="A1027" s="77">
        <v>1024</v>
      </c>
      <c r="B1027" s="78" t="str">
        <f t="shared" si="27"/>
        <v>DilutionSulphur</v>
      </c>
      <c r="C1027" s="65" t="s">
        <v>115</v>
      </c>
      <c r="D1027" s="83" t="s">
        <v>452</v>
      </c>
      <c r="E1027" s="65" t="str">
        <f t="shared" si="28"/>
        <v>Sulphur</v>
      </c>
      <c r="F1027" s="65" t="s">
        <v>193</v>
      </c>
      <c r="K1027" s="81">
        <v>0.01</v>
      </c>
      <c r="L1027" s="81">
        <v>1</v>
      </c>
    </row>
    <row r="1028" s="65" customFormat="1" customHeight="1" spans="1:12">
      <c r="A1028" s="77">
        <v>1025</v>
      </c>
      <c r="B1028" s="78" t="e">
        <f t="shared" si="27"/>
        <v>#N/A</v>
      </c>
      <c r="C1028" s="65" t="s">
        <v>115</v>
      </c>
      <c r="D1028" s="83" t="s">
        <v>930</v>
      </c>
      <c r="E1028" s="65" t="e">
        <f t="shared" si="28"/>
        <v>#N/A</v>
      </c>
      <c r="F1028" s="65" t="s">
        <v>193</v>
      </c>
      <c r="K1028" s="81">
        <v>0.01</v>
      </c>
      <c r="L1028" s="81">
        <v>1</v>
      </c>
    </row>
    <row r="1029" s="65" customFormat="1" customHeight="1" spans="1:12">
      <c r="A1029" s="77">
        <v>1026</v>
      </c>
      <c r="B1029" s="78" t="e">
        <f t="shared" ref="B1029:B1092" si="29">+C1029&amp;E1029</f>
        <v>#N/A</v>
      </c>
      <c r="C1029" s="65" t="s">
        <v>115</v>
      </c>
      <c r="D1029" s="83" t="s">
        <v>931</v>
      </c>
      <c r="E1029" s="65" t="e">
        <f t="shared" si="28"/>
        <v>#N/A</v>
      </c>
      <c r="F1029" s="65" t="s">
        <v>193</v>
      </c>
      <c r="K1029" s="81">
        <v>0.01</v>
      </c>
      <c r="L1029" s="81">
        <v>1</v>
      </c>
    </row>
    <row r="1030" s="65" customFormat="1" customHeight="1" spans="1:12">
      <c r="A1030" s="77">
        <v>1027</v>
      </c>
      <c r="B1030" s="78" t="str">
        <f t="shared" si="29"/>
        <v>DilutionSymphoricar.</v>
      </c>
      <c r="C1030" s="65" t="s">
        <v>115</v>
      </c>
      <c r="D1030" s="83" t="s">
        <v>453</v>
      </c>
      <c r="E1030" s="65" t="str">
        <f t="shared" si="28"/>
        <v>Symphoricar.</v>
      </c>
      <c r="F1030" s="65" t="s">
        <v>193</v>
      </c>
      <c r="K1030" s="81">
        <v>0.01</v>
      </c>
      <c r="L1030" s="81">
        <v>1</v>
      </c>
    </row>
    <row r="1031" s="65" customFormat="1" customHeight="1" spans="1:12">
      <c r="A1031" s="77">
        <v>1028</v>
      </c>
      <c r="B1031" s="78" t="str">
        <f t="shared" si="29"/>
        <v>DilutionSymphytum</v>
      </c>
      <c r="C1031" s="65" t="s">
        <v>115</v>
      </c>
      <c r="D1031" s="83" t="s">
        <v>454</v>
      </c>
      <c r="E1031" s="65" t="str">
        <f t="shared" si="28"/>
        <v>Symphytum</v>
      </c>
      <c r="F1031" s="65" t="s">
        <v>193</v>
      </c>
      <c r="K1031" s="81">
        <v>0.01</v>
      </c>
      <c r="L1031" s="81">
        <v>1</v>
      </c>
    </row>
    <row r="1032" s="65" customFormat="1" customHeight="1" spans="1:12">
      <c r="A1032" s="77">
        <v>1029</v>
      </c>
      <c r="B1032" s="78" t="e">
        <f t="shared" si="29"/>
        <v>#N/A</v>
      </c>
      <c r="C1032" s="65" t="s">
        <v>115</v>
      </c>
      <c r="D1032" s="83" t="s">
        <v>932</v>
      </c>
      <c r="E1032" s="65" t="e">
        <f t="shared" si="28"/>
        <v>#N/A</v>
      </c>
      <c r="F1032" s="65" t="s">
        <v>193</v>
      </c>
      <c r="K1032" s="81">
        <v>0.01</v>
      </c>
      <c r="L1032" s="81">
        <v>1</v>
      </c>
    </row>
    <row r="1033" s="65" customFormat="1" customHeight="1" spans="1:12">
      <c r="A1033" s="77">
        <v>1030</v>
      </c>
      <c r="B1033" s="78" t="str">
        <f t="shared" si="29"/>
        <v>DilutionSyzygium J.</v>
      </c>
      <c r="C1033" s="65" t="s">
        <v>115</v>
      </c>
      <c r="D1033" s="83" t="s">
        <v>455</v>
      </c>
      <c r="E1033" s="65" t="str">
        <f t="shared" si="28"/>
        <v>Syzygium J.</v>
      </c>
      <c r="F1033" s="65" t="s">
        <v>193</v>
      </c>
      <c r="K1033" s="81">
        <v>0.01</v>
      </c>
      <c r="L1033" s="81">
        <v>1</v>
      </c>
    </row>
    <row r="1034" s="65" customFormat="1" customHeight="1" spans="1:12">
      <c r="A1034" s="77">
        <v>1031</v>
      </c>
      <c r="B1034" s="78" t="str">
        <f t="shared" si="29"/>
        <v>DilutionTabacum</v>
      </c>
      <c r="C1034" s="65" t="s">
        <v>115</v>
      </c>
      <c r="D1034" s="83" t="s">
        <v>456</v>
      </c>
      <c r="E1034" s="65" t="str">
        <f t="shared" si="28"/>
        <v>Tabacum</v>
      </c>
      <c r="F1034" s="65" t="s">
        <v>193</v>
      </c>
      <c r="K1034" s="81">
        <v>0.01</v>
      </c>
      <c r="L1034" s="81">
        <v>1</v>
      </c>
    </row>
    <row r="1035" s="65" customFormat="1" customHeight="1" spans="1:12">
      <c r="A1035" s="77">
        <v>1032</v>
      </c>
      <c r="B1035" s="78" t="str">
        <f t="shared" si="29"/>
        <v>DilutionTaraxacum</v>
      </c>
      <c r="C1035" s="65" t="s">
        <v>115</v>
      </c>
      <c r="D1035" s="83" t="s">
        <v>457</v>
      </c>
      <c r="E1035" s="65" t="str">
        <f t="shared" si="28"/>
        <v>Taraxacum</v>
      </c>
      <c r="F1035" s="65" t="s">
        <v>193</v>
      </c>
      <c r="K1035" s="81">
        <v>0.01</v>
      </c>
      <c r="L1035" s="81">
        <v>1</v>
      </c>
    </row>
    <row r="1036" s="65" customFormat="1" customHeight="1" spans="1:12">
      <c r="A1036" s="77">
        <v>1033</v>
      </c>
      <c r="B1036" s="78" t="e">
        <f t="shared" si="29"/>
        <v>#N/A</v>
      </c>
      <c r="C1036" s="65" t="s">
        <v>115</v>
      </c>
      <c r="D1036" s="83" t="s">
        <v>933</v>
      </c>
      <c r="E1036" s="65" t="e">
        <f t="shared" si="28"/>
        <v>#N/A</v>
      </c>
      <c r="F1036" s="65" t="s">
        <v>193</v>
      </c>
      <c r="K1036" s="81">
        <v>0.01</v>
      </c>
      <c r="L1036" s="81">
        <v>1</v>
      </c>
    </row>
    <row r="1037" s="65" customFormat="1" customHeight="1" spans="1:12">
      <c r="A1037" s="77">
        <v>1034</v>
      </c>
      <c r="B1037" s="78" t="e">
        <f t="shared" si="29"/>
        <v>#N/A</v>
      </c>
      <c r="C1037" s="65" t="s">
        <v>115</v>
      </c>
      <c r="D1037" s="83" t="s">
        <v>934</v>
      </c>
      <c r="E1037" s="65" t="e">
        <f t="shared" si="28"/>
        <v>#N/A</v>
      </c>
      <c r="F1037" s="65" t="s">
        <v>193</v>
      </c>
      <c r="K1037" s="81">
        <v>0.01</v>
      </c>
      <c r="L1037" s="81">
        <v>1</v>
      </c>
    </row>
    <row r="1038" s="65" customFormat="1" customHeight="1" spans="1:12">
      <c r="A1038" s="77">
        <v>1035</v>
      </c>
      <c r="B1038" s="78" t="e">
        <f t="shared" si="29"/>
        <v>#N/A</v>
      </c>
      <c r="C1038" s="65" t="s">
        <v>115</v>
      </c>
      <c r="D1038" s="83" t="s">
        <v>935</v>
      </c>
      <c r="E1038" s="65" t="e">
        <f t="shared" ref="E1038:E1069" si="30">+VLOOKUP(D1038,$D$4:$D$301,1,FALSE)</f>
        <v>#N/A</v>
      </c>
      <c r="F1038" s="65" t="s">
        <v>193</v>
      </c>
      <c r="K1038" s="81">
        <v>0.01</v>
      </c>
      <c r="L1038" s="81">
        <v>1</v>
      </c>
    </row>
    <row r="1039" s="65" customFormat="1" customHeight="1" spans="1:12">
      <c r="A1039" s="77">
        <v>1036</v>
      </c>
      <c r="B1039" s="78" t="e">
        <f t="shared" si="29"/>
        <v>#N/A</v>
      </c>
      <c r="C1039" s="65" t="s">
        <v>115</v>
      </c>
      <c r="D1039" s="83" t="s">
        <v>936</v>
      </c>
      <c r="E1039" s="65" t="e">
        <f t="shared" si="30"/>
        <v>#N/A</v>
      </c>
      <c r="F1039" s="65" t="s">
        <v>193</v>
      </c>
      <c r="K1039" s="81">
        <v>0.01</v>
      </c>
      <c r="L1039" s="81">
        <v>1</v>
      </c>
    </row>
    <row r="1040" s="65" customFormat="1" customHeight="1" spans="1:12">
      <c r="A1040" s="77">
        <v>1037</v>
      </c>
      <c r="B1040" s="78" t="str">
        <f t="shared" si="29"/>
        <v>DilutionTerminalia C.</v>
      </c>
      <c r="C1040" s="65" t="s">
        <v>115</v>
      </c>
      <c r="D1040" s="83" t="s">
        <v>459</v>
      </c>
      <c r="E1040" s="65" t="str">
        <f t="shared" si="30"/>
        <v>Terminalia C.</v>
      </c>
      <c r="F1040" s="65" t="s">
        <v>193</v>
      </c>
      <c r="K1040" s="81">
        <v>0.01</v>
      </c>
      <c r="L1040" s="81">
        <v>1</v>
      </c>
    </row>
    <row r="1041" s="65" customFormat="1" customHeight="1" spans="1:12">
      <c r="A1041" s="77">
        <v>1038</v>
      </c>
      <c r="B1041" s="78" t="str">
        <f t="shared" si="29"/>
        <v>DilutionTeucri M. V.</v>
      </c>
      <c r="C1041" s="65" t="s">
        <v>115</v>
      </c>
      <c r="D1041" s="83" t="s">
        <v>460</v>
      </c>
      <c r="E1041" s="65" t="str">
        <f t="shared" si="30"/>
        <v>Teucri M. V.</v>
      </c>
      <c r="F1041" s="65" t="s">
        <v>193</v>
      </c>
      <c r="K1041" s="81">
        <v>0.01</v>
      </c>
      <c r="L1041" s="81">
        <v>1</v>
      </c>
    </row>
    <row r="1042" s="65" customFormat="1" customHeight="1" spans="1:12">
      <c r="A1042" s="77">
        <v>1039</v>
      </c>
      <c r="B1042" s="78" t="e">
        <f t="shared" si="29"/>
        <v>#N/A</v>
      </c>
      <c r="C1042" s="65" t="s">
        <v>115</v>
      </c>
      <c r="D1042" s="83" t="s">
        <v>937</v>
      </c>
      <c r="E1042" s="65" t="e">
        <f t="shared" si="30"/>
        <v>#N/A</v>
      </c>
      <c r="F1042" s="65" t="s">
        <v>193</v>
      </c>
      <c r="K1042" s="81">
        <v>0.01</v>
      </c>
      <c r="L1042" s="81">
        <v>1</v>
      </c>
    </row>
    <row r="1043" s="65" customFormat="1" customHeight="1" spans="1:12">
      <c r="A1043" s="77">
        <v>1040</v>
      </c>
      <c r="B1043" s="78" t="str">
        <f t="shared" si="29"/>
        <v>DilutionThea Chinensis</v>
      </c>
      <c r="C1043" s="65" t="s">
        <v>115</v>
      </c>
      <c r="D1043" s="83" t="s">
        <v>461</v>
      </c>
      <c r="E1043" s="65" t="str">
        <f t="shared" si="30"/>
        <v>Thea Chinensis</v>
      </c>
      <c r="F1043" s="65" t="s">
        <v>193</v>
      </c>
      <c r="K1043" s="81">
        <v>0.01</v>
      </c>
      <c r="L1043" s="81">
        <v>1</v>
      </c>
    </row>
    <row r="1044" s="65" customFormat="1" customHeight="1" spans="1:12">
      <c r="A1044" s="77">
        <v>1041</v>
      </c>
      <c r="B1044" s="78" t="e">
        <f t="shared" si="29"/>
        <v>#N/A</v>
      </c>
      <c r="C1044" s="65" t="s">
        <v>115</v>
      </c>
      <c r="D1044" s="83" t="s">
        <v>938</v>
      </c>
      <c r="E1044" s="65" t="e">
        <f t="shared" si="30"/>
        <v>#N/A</v>
      </c>
      <c r="F1044" s="65" t="s">
        <v>193</v>
      </c>
      <c r="K1044" s="81">
        <v>0.01</v>
      </c>
      <c r="L1044" s="81">
        <v>1</v>
      </c>
    </row>
    <row r="1045" s="65" customFormat="1" customHeight="1" spans="1:12">
      <c r="A1045" s="77">
        <v>1042</v>
      </c>
      <c r="B1045" s="78" t="e">
        <f t="shared" si="29"/>
        <v>#N/A</v>
      </c>
      <c r="C1045" s="65" t="s">
        <v>115</v>
      </c>
      <c r="D1045" s="83" t="s">
        <v>939</v>
      </c>
      <c r="E1045" s="65" t="e">
        <f t="shared" si="30"/>
        <v>#N/A</v>
      </c>
      <c r="F1045" s="65" t="s">
        <v>193</v>
      </c>
      <c r="K1045" s="81">
        <v>0.01</v>
      </c>
      <c r="L1045" s="81">
        <v>1</v>
      </c>
    </row>
    <row r="1046" s="65" customFormat="1" customHeight="1" spans="1:12">
      <c r="A1046" s="77">
        <v>1043</v>
      </c>
      <c r="B1046" s="78" t="str">
        <f t="shared" si="29"/>
        <v>DilutionThlaspi B. P.</v>
      </c>
      <c r="C1046" s="65" t="s">
        <v>115</v>
      </c>
      <c r="D1046" s="83" t="s">
        <v>462</v>
      </c>
      <c r="E1046" s="65" t="str">
        <f t="shared" si="30"/>
        <v>Thlaspi B. P.</v>
      </c>
      <c r="F1046" s="65" t="s">
        <v>193</v>
      </c>
      <c r="K1046" s="81">
        <v>0.01</v>
      </c>
      <c r="L1046" s="81">
        <v>1</v>
      </c>
    </row>
    <row r="1047" s="65" customFormat="1" customHeight="1" spans="1:12">
      <c r="A1047" s="77">
        <v>1044</v>
      </c>
      <c r="B1047" s="78" t="str">
        <f t="shared" si="29"/>
        <v>DilutionThuja Occi.</v>
      </c>
      <c r="C1047" s="65" t="s">
        <v>115</v>
      </c>
      <c r="D1047" s="83" t="s">
        <v>463</v>
      </c>
      <c r="E1047" s="65" t="str">
        <f t="shared" si="30"/>
        <v>Thuja Occi.</v>
      </c>
      <c r="F1047" s="65" t="s">
        <v>193</v>
      </c>
      <c r="K1047" s="81">
        <v>0.01</v>
      </c>
      <c r="L1047" s="81">
        <v>1</v>
      </c>
    </row>
    <row r="1048" s="65" customFormat="1" customHeight="1" spans="1:12">
      <c r="A1048" s="77">
        <v>1045</v>
      </c>
      <c r="B1048" s="78" t="str">
        <f t="shared" si="29"/>
        <v>DilutionThymol</v>
      </c>
      <c r="C1048" s="65" t="s">
        <v>115</v>
      </c>
      <c r="D1048" s="83" t="s">
        <v>464</v>
      </c>
      <c r="E1048" s="65" t="str">
        <f t="shared" si="30"/>
        <v>Thymol</v>
      </c>
      <c r="F1048" s="65" t="s">
        <v>193</v>
      </c>
      <c r="K1048" s="81">
        <v>0.01</v>
      </c>
      <c r="L1048" s="81">
        <v>1</v>
      </c>
    </row>
    <row r="1049" s="65" customFormat="1" customHeight="1" spans="1:12">
      <c r="A1049" s="77">
        <v>1046</v>
      </c>
      <c r="B1049" s="78" t="e">
        <f t="shared" si="29"/>
        <v>#N/A</v>
      </c>
      <c r="C1049" s="65" t="s">
        <v>115</v>
      </c>
      <c r="D1049" s="83" t="s">
        <v>940</v>
      </c>
      <c r="E1049" s="65" t="e">
        <f t="shared" si="30"/>
        <v>#N/A</v>
      </c>
      <c r="F1049" s="65" t="s">
        <v>193</v>
      </c>
      <c r="K1049" s="81">
        <v>0.01</v>
      </c>
      <c r="L1049" s="81">
        <v>1</v>
      </c>
    </row>
    <row r="1050" s="65" customFormat="1" customHeight="1" spans="1:12">
      <c r="A1050" s="77">
        <v>1047</v>
      </c>
      <c r="B1050" s="78" t="str">
        <f t="shared" si="29"/>
        <v>DilutionTinospora C.</v>
      </c>
      <c r="C1050" s="65" t="s">
        <v>115</v>
      </c>
      <c r="D1050" s="83" t="s">
        <v>465</v>
      </c>
      <c r="E1050" s="65" t="str">
        <f t="shared" si="30"/>
        <v>Tinospora C.</v>
      </c>
      <c r="F1050" s="65" t="s">
        <v>193</v>
      </c>
      <c r="K1050" s="81">
        <v>0.01</v>
      </c>
      <c r="L1050" s="81">
        <v>1</v>
      </c>
    </row>
    <row r="1051" s="65" customFormat="1" customHeight="1" spans="1:12">
      <c r="A1051" s="77">
        <v>1048</v>
      </c>
      <c r="B1051" s="78" t="e">
        <f t="shared" si="29"/>
        <v>#N/A</v>
      </c>
      <c r="C1051" s="65" t="s">
        <v>115</v>
      </c>
      <c r="D1051" s="83" t="s">
        <v>941</v>
      </c>
      <c r="E1051" s="65" t="e">
        <f t="shared" si="30"/>
        <v>#N/A</v>
      </c>
      <c r="F1051" s="65" t="s">
        <v>193</v>
      </c>
      <c r="K1051" s="81">
        <v>0.01</v>
      </c>
      <c r="L1051" s="81">
        <v>1</v>
      </c>
    </row>
    <row r="1052" s="65" customFormat="1" customHeight="1" spans="1:12">
      <c r="A1052" s="77">
        <v>1049</v>
      </c>
      <c r="B1052" s="78" t="str">
        <f t="shared" si="29"/>
        <v>DilutionTribulus Terr.</v>
      </c>
      <c r="C1052" s="65" t="s">
        <v>115</v>
      </c>
      <c r="D1052" s="83" t="s">
        <v>466</v>
      </c>
      <c r="E1052" s="65" t="str">
        <f t="shared" si="30"/>
        <v>Tribulus Terr.</v>
      </c>
      <c r="F1052" s="65" t="s">
        <v>193</v>
      </c>
      <c r="K1052" s="81">
        <v>0.01</v>
      </c>
      <c r="L1052" s="81">
        <v>1</v>
      </c>
    </row>
    <row r="1053" s="65" customFormat="1" customHeight="1" spans="1:12">
      <c r="A1053" s="77">
        <v>1050</v>
      </c>
      <c r="B1053" s="78" t="str">
        <f t="shared" si="29"/>
        <v>DilutionTrillium Pend.</v>
      </c>
      <c r="C1053" s="65" t="s">
        <v>115</v>
      </c>
      <c r="D1053" s="83" t="s">
        <v>467</v>
      </c>
      <c r="E1053" s="65" t="str">
        <f t="shared" si="30"/>
        <v>Trillium Pend.</v>
      </c>
      <c r="F1053" s="65" t="s">
        <v>193</v>
      </c>
      <c r="K1053" s="81">
        <v>0.01</v>
      </c>
      <c r="L1053" s="81">
        <v>1</v>
      </c>
    </row>
    <row r="1054" s="65" customFormat="1" customHeight="1" spans="1:12">
      <c r="A1054" s="77">
        <v>1051</v>
      </c>
      <c r="B1054" s="78" t="e">
        <f t="shared" si="29"/>
        <v>#N/A</v>
      </c>
      <c r="C1054" s="65" t="s">
        <v>115</v>
      </c>
      <c r="D1054" s="83" t="s">
        <v>942</v>
      </c>
      <c r="E1054" s="65" t="e">
        <f t="shared" si="30"/>
        <v>#N/A</v>
      </c>
      <c r="F1054" s="65" t="s">
        <v>193</v>
      </c>
      <c r="K1054" s="81">
        <v>0.01</v>
      </c>
      <c r="L1054" s="81">
        <v>1</v>
      </c>
    </row>
    <row r="1055" s="65" customFormat="1" customHeight="1" spans="1:12">
      <c r="A1055" s="77">
        <v>1052</v>
      </c>
      <c r="B1055" s="78" t="e">
        <f t="shared" si="29"/>
        <v>#N/A</v>
      </c>
      <c r="C1055" s="65" t="s">
        <v>115</v>
      </c>
      <c r="D1055" s="83" t="s">
        <v>943</v>
      </c>
      <c r="E1055" s="65" t="e">
        <f t="shared" si="30"/>
        <v>#N/A</v>
      </c>
      <c r="F1055" s="65" t="s">
        <v>193</v>
      </c>
      <c r="K1055" s="81">
        <v>0.01</v>
      </c>
      <c r="L1055" s="81">
        <v>1</v>
      </c>
    </row>
    <row r="1056" s="65" customFormat="1" customHeight="1" spans="1:12">
      <c r="A1056" s="77">
        <v>1053</v>
      </c>
      <c r="B1056" s="78" t="e">
        <f t="shared" si="29"/>
        <v>#N/A</v>
      </c>
      <c r="C1056" s="65" t="s">
        <v>115</v>
      </c>
      <c r="D1056" s="83" t="s">
        <v>944</v>
      </c>
      <c r="E1056" s="65" t="e">
        <f t="shared" si="30"/>
        <v>#N/A</v>
      </c>
      <c r="F1056" s="65" t="s">
        <v>193</v>
      </c>
      <c r="K1056" s="81">
        <v>0.01</v>
      </c>
      <c r="L1056" s="81">
        <v>1</v>
      </c>
    </row>
    <row r="1057" s="65" customFormat="1" customHeight="1" spans="1:12">
      <c r="A1057" s="77">
        <v>1054</v>
      </c>
      <c r="B1057" s="78" t="str">
        <f t="shared" si="29"/>
        <v>DilutionTylophora Ind</v>
      </c>
      <c r="C1057" s="65" t="s">
        <v>115</v>
      </c>
      <c r="D1057" s="83" t="s">
        <v>469</v>
      </c>
      <c r="E1057" s="65" t="str">
        <f t="shared" si="30"/>
        <v>Tylophora Ind</v>
      </c>
      <c r="F1057" s="65" t="s">
        <v>193</v>
      </c>
      <c r="K1057" s="81">
        <v>0.01</v>
      </c>
      <c r="L1057" s="81">
        <v>1</v>
      </c>
    </row>
    <row r="1058" s="65" customFormat="1" customHeight="1" spans="1:12">
      <c r="A1058" s="77">
        <v>1055</v>
      </c>
      <c r="B1058" s="78" t="e">
        <f t="shared" si="29"/>
        <v>#N/A</v>
      </c>
      <c r="C1058" s="65" t="s">
        <v>115</v>
      </c>
      <c r="D1058" s="83" t="s">
        <v>945</v>
      </c>
      <c r="E1058" s="65" t="e">
        <f t="shared" si="30"/>
        <v>#N/A</v>
      </c>
      <c r="F1058" s="65" t="s">
        <v>193</v>
      </c>
      <c r="K1058" s="81">
        <v>0.01</v>
      </c>
      <c r="L1058" s="81">
        <v>1</v>
      </c>
    </row>
    <row r="1059" s="65" customFormat="1" customHeight="1" spans="1:12">
      <c r="A1059" s="77">
        <v>1056</v>
      </c>
      <c r="B1059" s="78" t="e">
        <f t="shared" si="29"/>
        <v>#N/A</v>
      </c>
      <c r="C1059" s="65" t="s">
        <v>115</v>
      </c>
      <c r="D1059" s="83" t="s">
        <v>946</v>
      </c>
      <c r="E1059" s="65" t="e">
        <f t="shared" si="30"/>
        <v>#N/A</v>
      </c>
      <c r="F1059" s="65" t="s">
        <v>193</v>
      </c>
      <c r="K1059" s="81">
        <v>0.01</v>
      </c>
      <c r="L1059" s="81">
        <v>1</v>
      </c>
    </row>
    <row r="1060" s="65" customFormat="1" customHeight="1" spans="1:12">
      <c r="A1060" s="77">
        <v>1057</v>
      </c>
      <c r="B1060" s="78" t="e">
        <f t="shared" si="29"/>
        <v>#N/A</v>
      </c>
      <c r="C1060" s="65" t="s">
        <v>115</v>
      </c>
      <c r="D1060" s="83" t="s">
        <v>947</v>
      </c>
      <c r="E1060" s="65" t="e">
        <f t="shared" si="30"/>
        <v>#N/A</v>
      </c>
      <c r="F1060" s="65" t="s">
        <v>193</v>
      </c>
      <c r="K1060" s="81">
        <v>0.01</v>
      </c>
      <c r="L1060" s="81">
        <v>1</v>
      </c>
    </row>
    <row r="1061" s="65" customFormat="1" customHeight="1" spans="1:12">
      <c r="A1061" s="77">
        <v>1058</v>
      </c>
      <c r="B1061" s="78" t="e">
        <f t="shared" si="29"/>
        <v>#N/A</v>
      </c>
      <c r="C1061" s="65" t="s">
        <v>115</v>
      </c>
      <c r="D1061" s="83" t="s">
        <v>948</v>
      </c>
      <c r="E1061" s="65" t="e">
        <f t="shared" si="30"/>
        <v>#N/A</v>
      </c>
      <c r="F1061" s="65" t="s">
        <v>193</v>
      </c>
      <c r="K1061" s="81">
        <v>0.01</v>
      </c>
      <c r="L1061" s="81">
        <v>1</v>
      </c>
    </row>
    <row r="1062" s="65" customFormat="1" customHeight="1" spans="1:12">
      <c r="A1062" s="77">
        <v>1059</v>
      </c>
      <c r="B1062" s="78" t="str">
        <f t="shared" si="29"/>
        <v>DilutionUrtica Urens</v>
      </c>
      <c r="C1062" s="65" t="s">
        <v>115</v>
      </c>
      <c r="D1062" s="83" t="s">
        <v>470</v>
      </c>
      <c r="E1062" s="65" t="str">
        <f t="shared" si="30"/>
        <v>Urtica Urens</v>
      </c>
      <c r="F1062" s="65" t="s">
        <v>193</v>
      </c>
      <c r="K1062" s="81">
        <v>0.01</v>
      </c>
      <c r="L1062" s="81">
        <v>1</v>
      </c>
    </row>
    <row r="1063" s="65" customFormat="1" customHeight="1" spans="1:12">
      <c r="A1063" s="77">
        <v>1060</v>
      </c>
      <c r="B1063" s="78" t="str">
        <f t="shared" si="29"/>
        <v>DilutionUsnea Bar.</v>
      </c>
      <c r="C1063" s="65" t="s">
        <v>115</v>
      </c>
      <c r="D1063" s="83" t="s">
        <v>471</v>
      </c>
      <c r="E1063" s="65" t="str">
        <f t="shared" si="30"/>
        <v>Usnea Bar.</v>
      </c>
      <c r="F1063" s="65" t="s">
        <v>193</v>
      </c>
      <c r="K1063" s="81">
        <v>0.01</v>
      </c>
      <c r="L1063" s="81">
        <v>1</v>
      </c>
    </row>
    <row r="1064" s="65" customFormat="1" customHeight="1" spans="1:12">
      <c r="A1064" s="77">
        <v>1061</v>
      </c>
      <c r="B1064" s="78" t="str">
        <f t="shared" si="29"/>
        <v>DilutionUstilago M.</v>
      </c>
      <c r="C1064" s="65" t="s">
        <v>115</v>
      </c>
      <c r="D1064" s="83" t="s">
        <v>472</v>
      </c>
      <c r="E1064" s="65" t="str">
        <f t="shared" si="30"/>
        <v>Ustilago M.</v>
      </c>
      <c r="F1064" s="65" t="s">
        <v>193</v>
      </c>
      <c r="K1064" s="81">
        <v>0.01</v>
      </c>
      <c r="L1064" s="81">
        <v>1</v>
      </c>
    </row>
    <row r="1065" s="65" customFormat="1" customHeight="1" spans="1:12">
      <c r="A1065" s="77">
        <v>1062</v>
      </c>
      <c r="B1065" s="78" t="str">
        <f t="shared" si="29"/>
        <v>DilutionUva Ursi</v>
      </c>
      <c r="C1065" s="65" t="s">
        <v>115</v>
      </c>
      <c r="D1065" s="83" t="s">
        <v>473</v>
      </c>
      <c r="E1065" s="65" t="str">
        <f t="shared" si="30"/>
        <v>Uva Ursi</v>
      </c>
      <c r="F1065" s="65" t="s">
        <v>193</v>
      </c>
      <c r="K1065" s="81">
        <v>0.01</v>
      </c>
      <c r="L1065" s="81">
        <v>1</v>
      </c>
    </row>
    <row r="1066" s="65" customFormat="1" customHeight="1" spans="1:12">
      <c r="A1066" s="77">
        <v>1063</v>
      </c>
      <c r="B1066" s="78" t="e">
        <f t="shared" si="29"/>
        <v>#N/A</v>
      </c>
      <c r="C1066" s="65" t="s">
        <v>115</v>
      </c>
      <c r="D1066" s="83" t="s">
        <v>949</v>
      </c>
      <c r="E1066" s="65" t="e">
        <f t="shared" si="30"/>
        <v>#N/A</v>
      </c>
      <c r="F1066" s="65" t="s">
        <v>193</v>
      </c>
      <c r="K1066" s="81">
        <v>0.01</v>
      </c>
      <c r="L1066" s="81">
        <v>1</v>
      </c>
    </row>
    <row r="1067" s="65" customFormat="1" customHeight="1" spans="1:12">
      <c r="A1067" s="77">
        <v>1064</v>
      </c>
      <c r="B1067" s="78" t="str">
        <f t="shared" si="29"/>
        <v>DilutionValeriana 0.</v>
      </c>
      <c r="C1067" s="65" t="s">
        <v>115</v>
      </c>
      <c r="D1067" s="83" t="s">
        <v>474</v>
      </c>
      <c r="E1067" s="65" t="str">
        <f t="shared" si="30"/>
        <v>Valeriana 0.</v>
      </c>
      <c r="F1067" s="65" t="s">
        <v>193</v>
      </c>
      <c r="K1067" s="81">
        <v>0.01</v>
      </c>
      <c r="L1067" s="81">
        <v>1</v>
      </c>
    </row>
    <row r="1068" s="65" customFormat="1" customHeight="1" spans="1:12">
      <c r="A1068" s="77">
        <v>1065</v>
      </c>
      <c r="B1068" s="78" t="e">
        <f t="shared" si="29"/>
        <v>#N/A</v>
      </c>
      <c r="C1068" s="65" t="s">
        <v>115</v>
      </c>
      <c r="D1068" s="83" t="s">
        <v>950</v>
      </c>
      <c r="E1068" s="65" t="e">
        <f t="shared" si="30"/>
        <v>#N/A</v>
      </c>
      <c r="F1068" s="65" t="s">
        <v>193</v>
      </c>
      <c r="K1068" s="81">
        <v>0.01</v>
      </c>
      <c r="L1068" s="81">
        <v>1</v>
      </c>
    </row>
    <row r="1069" s="65" customFormat="1" customHeight="1" spans="1:12">
      <c r="A1069" s="77">
        <v>1066</v>
      </c>
      <c r="B1069" s="78" t="e">
        <f t="shared" si="29"/>
        <v>#N/A</v>
      </c>
      <c r="C1069" s="65" t="s">
        <v>115</v>
      </c>
      <c r="D1069" s="83" t="s">
        <v>951</v>
      </c>
      <c r="E1069" s="65" t="e">
        <f t="shared" si="30"/>
        <v>#N/A</v>
      </c>
      <c r="F1069" s="65" t="s">
        <v>193</v>
      </c>
      <c r="K1069" s="81">
        <v>0.01</v>
      </c>
      <c r="L1069" s="81">
        <v>1</v>
      </c>
    </row>
    <row r="1070" s="65" customFormat="1" customHeight="1" spans="1:12">
      <c r="A1070" s="77">
        <v>1067</v>
      </c>
      <c r="B1070" s="78" t="e">
        <f t="shared" si="29"/>
        <v>#N/A</v>
      </c>
      <c r="C1070" s="65" t="s">
        <v>115</v>
      </c>
      <c r="D1070" s="83" t="s">
        <v>952</v>
      </c>
      <c r="E1070" s="65" t="e">
        <f t="shared" ref="E1070:E1093" si="31">+VLOOKUP(D1070,$D$4:$D$301,1,FALSE)</f>
        <v>#N/A</v>
      </c>
      <c r="F1070" s="65" t="s">
        <v>193</v>
      </c>
      <c r="K1070" s="81">
        <v>0.01</v>
      </c>
      <c r="L1070" s="81">
        <v>1</v>
      </c>
    </row>
    <row r="1071" s="65" customFormat="1" customHeight="1" spans="1:12">
      <c r="A1071" s="77">
        <v>1068</v>
      </c>
      <c r="B1071" s="78" t="e">
        <f t="shared" si="29"/>
        <v>#N/A</v>
      </c>
      <c r="C1071" s="65" t="s">
        <v>115</v>
      </c>
      <c r="D1071" s="83" t="s">
        <v>953</v>
      </c>
      <c r="E1071" s="65" t="e">
        <f t="shared" si="31"/>
        <v>#N/A</v>
      </c>
      <c r="F1071" s="65" t="s">
        <v>193</v>
      </c>
      <c r="K1071" s="81">
        <v>0.01</v>
      </c>
      <c r="L1071" s="81">
        <v>1</v>
      </c>
    </row>
    <row r="1072" s="65" customFormat="1" customHeight="1" spans="1:12">
      <c r="A1072" s="77">
        <v>1069</v>
      </c>
      <c r="B1072" s="78" t="str">
        <f t="shared" si="29"/>
        <v>DilutionVeratrum Vir.</v>
      </c>
      <c r="C1072" s="65" t="s">
        <v>115</v>
      </c>
      <c r="D1072" s="83" t="s">
        <v>475</v>
      </c>
      <c r="E1072" s="65" t="str">
        <f t="shared" si="31"/>
        <v>Veratrum Vir.</v>
      </c>
      <c r="F1072" s="65" t="s">
        <v>193</v>
      </c>
      <c r="K1072" s="81">
        <v>0.01</v>
      </c>
      <c r="L1072" s="81">
        <v>1</v>
      </c>
    </row>
    <row r="1073" s="65" customFormat="1" customHeight="1" spans="1:12">
      <c r="A1073" s="77">
        <v>1070</v>
      </c>
      <c r="B1073" s="78" t="str">
        <f t="shared" si="29"/>
        <v>DilutionVerbascum T.</v>
      </c>
      <c r="C1073" s="65" t="s">
        <v>115</v>
      </c>
      <c r="D1073" s="83" t="s">
        <v>476</v>
      </c>
      <c r="E1073" s="65" t="str">
        <f t="shared" si="31"/>
        <v>Verbascum T.</v>
      </c>
      <c r="F1073" s="65" t="s">
        <v>193</v>
      </c>
      <c r="K1073" s="81">
        <v>0.01</v>
      </c>
      <c r="L1073" s="81">
        <v>1</v>
      </c>
    </row>
    <row r="1074" s="65" customFormat="1" customHeight="1" spans="1:12">
      <c r="A1074" s="77">
        <v>1071</v>
      </c>
      <c r="B1074" s="78" t="str">
        <f t="shared" si="29"/>
        <v>DilutionVesicaria C.</v>
      </c>
      <c r="C1074" s="65" t="s">
        <v>115</v>
      </c>
      <c r="D1074" s="83" t="s">
        <v>477</v>
      </c>
      <c r="E1074" s="65" t="str">
        <f t="shared" si="31"/>
        <v>Vesicaria C.</v>
      </c>
      <c r="F1074" s="65" t="s">
        <v>193</v>
      </c>
      <c r="K1074" s="81">
        <v>0.01</v>
      </c>
      <c r="L1074" s="81">
        <v>1</v>
      </c>
    </row>
    <row r="1075" s="65" customFormat="1" customHeight="1" spans="1:12">
      <c r="A1075" s="77">
        <v>1072</v>
      </c>
      <c r="B1075" s="78" t="e">
        <f t="shared" si="29"/>
        <v>#N/A</v>
      </c>
      <c r="C1075" s="65" t="s">
        <v>115</v>
      </c>
      <c r="D1075" s="83" t="s">
        <v>954</v>
      </c>
      <c r="E1075" s="65" t="e">
        <f t="shared" si="31"/>
        <v>#N/A</v>
      </c>
      <c r="F1075" s="65" t="s">
        <v>193</v>
      </c>
      <c r="K1075" s="81">
        <v>0.01</v>
      </c>
      <c r="L1075" s="81">
        <v>1</v>
      </c>
    </row>
    <row r="1076" s="65" customFormat="1" customHeight="1" spans="1:12">
      <c r="A1076" s="77">
        <v>1073</v>
      </c>
      <c r="B1076" s="78" t="str">
        <f t="shared" si="29"/>
        <v>DilutionViburnum Op.</v>
      </c>
      <c r="C1076" s="65" t="s">
        <v>115</v>
      </c>
      <c r="D1076" s="83" t="s">
        <v>478</v>
      </c>
      <c r="E1076" s="65" t="str">
        <f t="shared" si="31"/>
        <v>Viburnum Op.</v>
      </c>
      <c r="F1076" s="65" t="s">
        <v>193</v>
      </c>
      <c r="K1076" s="81">
        <v>0.01</v>
      </c>
      <c r="L1076" s="81">
        <v>1</v>
      </c>
    </row>
    <row r="1077" s="65" customFormat="1" customHeight="1" spans="1:12">
      <c r="A1077" s="77">
        <v>1074</v>
      </c>
      <c r="B1077" s="78" t="str">
        <f t="shared" si="29"/>
        <v>DilutionViburnum Pru.</v>
      </c>
      <c r="C1077" s="65" t="s">
        <v>115</v>
      </c>
      <c r="D1077" s="83" t="s">
        <v>479</v>
      </c>
      <c r="E1077" s="65" t="str">
        <f t="shared" si="31"/>
        <v>Viburnum Pru.</v>
      </c>
      <c r="F1077" s="65" t="s">
        <v>193</v>
      </c>
      <c r="K1077" s="81">
        <v>0.01</v>
      </c>
      <c r="L1077" s="81">
        <v>1</v>
      </c>
    </row>
    <row r="1078" s="65" customFormat="1" customHeight="1" spans="1:12">
      <c r="A1078" s="77">
        <v>1075</v>
      </c>
      <c r="B1078" s="78" t="str">
        <f t="shared" si="29"/>
        <v>DilutionVinca Minor</v>
      </c>
      <c r="C1078" s="65" t="s">
        <v>115</v>
      </c>
      <c r="D1078" s="83" t="s">
        <v>480</v>
      </c>
      <c r="E1078" s="65" t="str">
        <f t="shared" si="31"/>
        <v>Vinca Minor</v>
      </c>
      <c r="F1078" s="65" t="s">
        <v>193</v>
      </c>
      <c r="K1078" s="81">
        <v>0.01</v>
      </c>
      <c r="L1078" s="81">
        <v>1</v>
      </c>
    </row>
    <row r="1079" s="65" customFormat="1" customHeight="1" spans="1:12">
      <c r="A1079" s="77">
        <v>1076</v>
      </c>
      <c r="B1079" s="78" t="str">
        <f t="shared" si="29"/>
        <v>DilutionVinca Ros (Catharanthus Roseus)</v>
      </c>
      <c r="C1079" s="65" t="s">
        <v>115</v>
      </c>
      <c r="D1079" s="83" t="s">
        <v>481</v>
      </c>
      <c r="E1079" s="65" t="str">
        <f t="shared" si="31"/>
        <v>Vinca Ros (Catharanthus Roseus)</v>
      </c>
      <c r="F1079" s="65" t="s">
        <v>193</v>
      </c>
      <c r="K1079" s="81">
        <v>0.01</v>
      </c>
      <c r="L1079" s="81">
        <v>1</v>
      </c>
    </row>
    <row r="1080" s="65" customFormat="1" customHeight="1" spans="1:12">
      <c r="A1080" s="77">
        <v>1077</v>
      </c>
      <c r="B1080" s="78" t="str">
        <f t="shared" si="29"/>
        <v>DilutionViola Odo.</v>
      </c>
      <c r="C1080" s="65" t="s">
        <v>115</v>
      </c>
      <c r="D1080" s="83" t="s">
        <v>482</v>
      </c>
      <c r="E1080" s="65" t="str">
        <f t="shared" si="31"/>
        <v>Viola Odo.</v>
      </c>
      <c r="F1080" s="65" t="s">
        <v>193</v>
      </c>
      <c r="K1080" s="81">
        <v>0.01</v>
      </c>
      <c r="L1080" s="81">
        <v>1</v>
      </c>
    </row>
    <row r="1081" s="65" customFormat="1" customHeight="1" spans="1:12">
      <c r="A1081" s="77">
        <v>1078</v>
      </c>
      <c r="B1081" s="78" t="str">
        <f t="shared" si="29"/>
        <v>DilutionViola Tric.</v>
      </c>
      <c r="C1081" s="65" t="s">
        <v>115</v>
      </c>
      <c r="D1081" s="83" t="s">
        <v>483</v>
      </c>
      <c r="E1081" s="65" t="str">
        <f t="shared" si="31"/>
        <v>Viola Tric.</v>
      </c>
      <c r="F1081" s="65" t="s">
        <v>193</v>
      </c>
      <c r="K1081" s="81">
        <v>0.01</v>
      </c>
      <c r="L1081" s="81">
        <v>1</v>
      </c>
    </row>
    <row r="1082" s="65" customFormat="1" customHeight="1" spans="1:12">
      <c r="A1082" s="77">
        <v>1079</v>
      </c>
      <c r="B1082" s="78" t="e">
        <f t="shared" si="29"/>
        <v>#N/A</v>
      </c>
      <c r="C1082" s="65" t="s">
        <v>115</v>
      </c>
      <c r="D1082" s="83" t="s">
        <v>955</v>
      </c>
      <c r="E1082" s="65" t="e">
        <f t="shared" si="31"/>
        <v>#N/A</v>
      </c>
      <c r="F1082" s="65" t="s">
        <v>193</v>
      </c>
      <c r="K1082" s="81">
        <v>0.01</v>
      </c>
      <c r="L1082" s="81">
        <v>1</v>
      </c>
    </row>
    <row r="1083" s="65" customFormat="1" customHeight="1" spans="1:12">
      <c r="A1083" s="77">
        <v>1080</v>
      </c>
      <c r="B1083" s="78" t="str">
        <f t="shared" si="29"/>
        <v>DilutionViscum Alb</v>
      </c>
      <c r="C1083" s="65" t="s">
        <v>115</v>
      </c>
      <c r="D1083" s="83" t="s">
        <v>484</v>
      </c>
      <c r="E1083" s="65" t="str">
        <f t="shared" si="31"/>
        <v>Viscum Alb</v>
      </c>
      <c r="F1083" s="65" t="s">
        <v>193</v>
      </c>
      <c r="K1083" s="81">
        <v>0.01</v>
      </c>
      <c r="L1083" s="81">
        <v>1</v>
      </c>
    </row>
    <row r="1084" s="65" customFormat="1" customHeight="1" spans="1:12">
      <c r="A1084" s="77">
        <v>1081</v>
      </c>
      <c r="B1084" s="78" t="e">
        <f t="shared" si="29"/>
        <v>#N/A</v>
      </c>
      <c r="C1084" s="65" t="s">
        <v>115</v>
      </c>
      <c r="D1084" s="83" t="s">
        <v>956</v>
      </c>
      <c r="E1084" s="65" t="e">
        <f t="shared" si="31"/>
        <v>#N/A</v>
      </c>
      <c r="F1084" s="65" t="s">
        <v>193</v>
      </c>
      <c r="K1084" s="81">
        <v>0.01</v>
      </c>
      <c r="L1084" s="81">
        <v>1</v>
      </c>
    </row>
    <row r="1085" s="65" customFormat="1" customHeight="1" spans="1:12">
      <c r="A1085" s="77">
        <v>1082</v>
      </c>
      <c r="B1085" s="78" t="e">
        <f t="shared" si="29"/>
        <v>#N/A</v>
      </c>
      <c r="C1085" s="65" t="s">
        <v>115</v>
      </c>
      <c r="D1085" s="83" t="s">
        <v>957</v>
      </c>
      <c r="E1085" s="65" t="e">
        <f t="shared" si="31"/>
        <v>#N/A</v>
      </c>
      <c r="F1085" s="65" t="s">
        <v>193</v>
      </c>
      <c r="K1085" s="81">
        <v>0.01</v>
      </c>
      <c r="L1085" s="81">
        <v>1</v>
      </c>
    </row>
    <row r="1086" s="65" customFormat="1" customHeight="1" spans="1:12">
      <c r="A1086" s="77">
        <v>1083</v>
      </c>
      <c r="B1086" s="78" t="str">
        <f t="shared" si="29"/>
        <v>DilutionXanthoxyllum</v>
      </c>
      <c r="C1086" s="65" t="s">
        <v>115</v>
      </c>
      <c r="D1086" s="83" t="s">
        <v>486</v>
      </c>
      <c r="E1086" s="65" t="str">
        <f t="shared" si="31"/>
        <v>Xanthoxyllum</v>
      </c>
      <c r="F1086" s="65" t="s">
        <v>193</v>
      </c>
      <c r="K1086" s="81">
        <v>0.01</v>
      </c>
      <c r="L1086" s="81">
        <v>1</v>
      </c>
    </row>
    <row r="1087" s="65" customFormat="1" customHeight="1" spans="1:12">
      <c r="A1087" s="77">
        <v>1084</v>
      </c>
      <c r="B1087" s="78" t="e">
        <f t="shared" si="29"/>
        <v>#N/A</v>
      </c>
      <c r="C1087" s="65" t="s">
        <v>115</v>
      </c>
      <c r="D1087" s="83" t="s">
        <v>958</v>
      </c>
      <c r="E1087" s="65" t="e">
        <f t="shared" si="31"/>
        <v>#N/A</v>
      </c>
      <c r="F1087" s="65" t="s">
        <v>193</v>
      </c>
      <c r="K1087" s="81">
        <v>0.01</v>
      </c>
      <c r="L1087" s="81">
        <v>1</v>
      </c>
    </row>
    <row r="1088" s="65" customFormat="1" customHeight="1" spans="1:12">
      <c r="A1088" s="77">
        <v>1085</v>
      </c>
      <c r="B1088" s="78" t="str">
        <f t="shared" si="29"/>
        <v>DilutionYohimbinum</v>
      </c>
      <c r="C1088" s="65" t="s">
        <v>115</v>
      </c>
      <c r="D1088" s="83" t="s">
        <v>488</v>
      </c>
      <c r="E1088" s="65" t="str">
        <f t="shared" si="31"/>
        <v>Yohimbinum</v>
      </c>
      <c r="F1088" s="65" t="s">
        <v>193</v>
      </c>
      <c r="K1088" s="81">
        <v>0.01</v>
      </c>
      <c r="L1088" s="81">
        <v>1</v>
      </c>
    </row>
    <row r="1089" s="65" customFormat="1" customHeight="1" spans="1:12">
      <c r="A1089" s="77">
        <v>1086</v>
      </c>
      <c r="B1089" s="78" t="str">
        <f t="shared" si="29"/>
        <v>DilutionYucca Filam</v>
      </c>
      <c r="C1089" s="65" t="s">
        <v>115</v>
      </c>
      <c r="D1089" s="83" t="s">
        <v>489</v>
      </c>
      <c r="E1089" s="65" t="str">
        <f t="shared" si="31"/>
        <v>Yucca Filam</v>
      </c>
      <c r="F1089" s="65" t="s">
        <v>193</v>
      </c>
      <c r="K1089" s="81">
        <v>0.01</v>
      </c>
      <c r="L1089" s="81">
        <v>1</v>
      </c>
    </row>
    <row r="1090" s="65" customFormat="1" customHeight="1" spans="1:12">
      <c r="A1090" s="77">
        <v>1087</v>
      </c>
      <c r="B1090" s="78" t="e">
        <f t="shared" si="29"/>
        <v>#N/A</v>
      </c>
      <c r="C1090" s="65" t="s">
        <v>115</v>
      </c>
      <c r="D1090" s="83" t="s">
        <v>959</v>
      </c>
      <c r="E1090" s="65" t="e">
        <f t="shared" si="31"/>
        <v>#N/A</v>
      </c>
      <c r="F1090" s="65" t="s">
        <v>193</v>
      </c>
      <c r="K1090" s="81">
        <v>0.01</v>
      </c>
      <c r="L1090" s="81">
        <v>1</v>
      </c>
    </row>
    <row r="1091" s="65" customFormat="1" customHeight="1" spans="1:12">
      <c r="A1091" s="77">
        <v>1088</v>
      </c>
      <c r="B1091" s="78" t="e">
        <f t="shared" si="29"/>
        <v>#N/A</v>
      </c>
      <c r="C1091" s="65" t="s">
        <v>115</v>
      </c>
      <c r="D1091" s="83" t="s">
        <v>960</v>
      </c>
      <c r="E1091" s="65" t="e">
        <f t="shared" si="31"/>
        <v>#N/A</v>
      </c>
      <c r="F1091" s="65" t="s">
        <v>193</v>
      </c>
      <c r="K1091" s="81">
        <v>0.01</v>
      </c>
      <c r="L1091" s="81">
        <v>1</v>
      </c>
    </row>
    <row r="1092" s="65" customFormat="1" customHeight="1" spans="1:12">
      <c r="A1092" s="77">
        <v>1089</v>
      </c>
      <c r="B1092" s="78" t="e">
        <f t="shared" si="29"/>
        <v>#N/A</v>
      </c>
      <c r="C1092" s="65" t="s">
        <v>115</v>
      </c>
      <c r="D1092" s="83" t="s">
        <v>961</v>
      </c>
      <c r="E1092" s="65" t="e">
        <f t="shared" si="31"/>
        <v>#N/A</v>
      </c>
      <c r="F1092" s="65" t="s">
        <v>193</v>
      </c>
      <c r="K1092" s="81">
        <v>0.01</v>
      </c>
      <c r="L1092" s="81">
        <v>1</v>
      </c>
    </row>
    <row r="1093" s="65" customFormat="1" customHeight="1" spans="1:12">
      <c r="A1093" s="77">
        <v>1090</v>
      </c>
      <c r="B1093" s="78" t="str">
        <f t="shared" ref="B1093:B1156" si="32">+C1093&amp;E1093</f>
        <v>DilutionZingiber.</v>
      </c>
      <c r="C1093" s="65" t="s">
        <v>115</v>
      </c>
      <c r="D1093" s="83" t="s">
        <v>490</v>
      </c>
      <c r="E1093" s="65" t="str">
        <f t="shared" si="31"/>
        <v>Zingiber.</v>
      </c>
      <c r="F1093" s="65" t="s">
        <v>193</v>
      </c>
      <c r="K1093" s="81">
        <v>0.01</v>
      </c>
      <c r="L1093" s="81">
        <v>1</v>
      </c>
    </row>
    <row r="1094" s="65" customFormat="1" customHeight="1" spans="1:12">
      <c r="A1094" s="77">
        <v>1091</v>
      </c>
      <c r="B1094" s="78" t="str">
        <f t="shared" si="32"/>
        <v>TiturationAcid Salicyl</v>
      </c>
      <c r="C1094" s="65" t="s">
        <v>121</v>
      </c>
      <c r="D1094" s="65" t="s">
        <v>207</v>
      </c>
      <c r="E1094" s="65" t="str">
        <f>+D1094</f>
        <v>Acid Salicyl</v>
      </c>
      <c r="F1094" s="65" t="s">
        <v>962</v>
      </c>
      <c r="G1094" s="65" t="s">
        <v>963</v>
      </c>
      <c r="H1094" s="65" t="s">
        <v>964</v>
      </c>
      <c r="K1094" s="81">
        <v>0.01</v>
      </c>
      <c r="L1094" s="81">
        <v>1</v>
      </c>
    </row>
    <row r="1095" s="65" customFormat="1" customHeight="1" spans="1:12">
      <c r="A1095" s="77">
        <v>1092</v>
      </c>
      <c r="B1095" s="78" t="str">
        <f t="shared" si="32"/>
        <v>TiturationAlumina</v>
      </c>
      <c r="C1095" s="65" t="s">
        <v>121</v>
      </c>
      <c r="D1095" s="65" t="s">
        <v>556</v>
      </c>
      <c r="E1095" s="65" t="str">
        <f t="shared" ref="E1095:E1158" si="33">+D1095</f>
        <v>Alumina</v>
      </c>
      <c r="F1095" s="65" t="s">
        <v>962</v>
      </c>
      <c r="G1095" s="65" t="s">
        <v>963</v>
      </c>
      <c r="H1095" s="65" t="s">
        <v>964</v>
      </c>
      <c r="K1095" s="81">
        <v>0.01</v>
      </c>
      <c r="L1095" s="81">
        <v>1</v>
      </c>
    </row>
    <row r="1096" s="65" customFormat="1" customHeight="1" spans="1:12">
      <c r="A1096" s="77">
        <v>1093</v>
      </c>
      <c r="B1096" s="78" t="str">
        <f t="shared" si="32"/>
        <v>TiturationAntim. Ars.</v>
      </c>
      <c r="C1096" s="65" t="s">
        <v>121</v>
      </c>
      <c r="D1096" s="65" t="s">
        <v>578</v>
      </c>
      <c r="E1096" s="65" t="str">
        <f t="shared" si="33"/>
        <v>Antim. Ars.</v>
      </c>
      <c r="F1096" s="65" t="s">
        <v>962</v>
      </c>
      <c r="G1096" s="65" t="s">
        <v>963</v>
      </c>
      <c r="H1096" s="65" t="s">
        <v>964</v>
      </c>
      <c r="K1096" s="81">
        <v>0.01</v>
      </c>
      <c r="L1096" s="81">
        <v>1</v>
      </c>
    </row>
    <row r="1097" s="65" customFormat="1" customHeight="1" spans="1:12">
      <c r="A1097" s="77">
        <v>1094</v>
      </c>
      <c r="B1097" s="78" t="str">
        <f t="shared" si="32"/>
        <v>TiturationAntim. Tart.</v>
      </c>
      <c r="C1097" s="65" t="s">
        <v>121</v>
      </c>
      <c r="D1097" s="65" t="s">
        <v>582</v>
      </c>
      <c r="E1097" s="65" t="str">
        <f t="shared" si="33"/>
        <v>Antim. Tart.</v>
      </c>
      <c r="F1097" s="65" t="s">
        <v>962</v>
      </c>
      <c r="G1097" s="65" t="s">
        <v>963</v>
      </c>
      <c r="H1097" s="65" t="s">
        <v>964</v>
      </c>
      <c r="K1097" s="81">
        <v>0.01</v>
      </c>
      <c r="L1097" s="81">
        <v>1</v>
      </c>
    </row>
    <row r="1098" s="65" customFormat="1" customHeight="1" spans="1:12">
      <c r="A1098" s="77">
        <v>1095</v>
      </c>
      <c r="B1098" s="78" t="str">
        <f t="shared" si="32"/>
        <v>TiturationArsenic. Alb</v>
      </c>
      <c r="C1098" s="65" t="s">
        <v>121</v>
      </c>
      <c r="D1098" s="65" t="s">
        <v>594</v>
      </c>
      <c r="E1098" s="65" t="str">
        <f t="shared" si="33"/>
        <v>Arsenic. Alb</v>
      </c>
      <c r="F1098" s="65" t="s">
        <v>962</v>
      </c>
      <c r="G1098" s="65" t="s">
        <v>963</v>
      </c>
      <c r="H1098" s="65" t="s">
        <v>964</v>
      </c>
      <c r="K1098" s="81">
        <v>0.01</v>
      </c>
      <c r="L1098" s="81">
        <v>1</v>
      </c>
    </row>
    <row r="1099" s="65" customFormat="1" customHeight="1" spans="1:12">
      <c r="A1099" s="77">
        <v>1096</v>
      </c>
      <c r="B1099" s="78" t="str">
        <f t="shared" si="32"/>
        <v>TiturationArsenic. Iod.</v>
      </c>
      <c r="C1099" s="65" t="s">
        <v>121</v>
      </c>
      <c r="D1099" s="65" t="s">
        <v>596</v>
      </c>
      <c r="E1099" s="65" t="str">
        <f t="shared" si="33"/>
        <v>Arsenic. Iod.</v>
      </c>
      <c r="F1099" s="65" t="s">
        <v>962</v>
      </c>
      <c r="G1099" s="65" t="s">
        <v>963</v>
      </c>
      <c r="H1099" s="65" t="s">
        <v>964</v>
      </c>
      <c r="K1099" s="81">
        <v>0.01</v>
      </c>
      <c r="L1099" s="81">
        <v>1</v>
      </c>
    </row>
    <row r="1100" s="65" customFormat="1" customHeight="1" spans="1:12">
      <c r="A1100" s="77">
        <v>1097</v>
      </c>
      <c r="B1100" s="78" t="str">
        <f t="shared" si="32"/>
        <v>TiturationArsenic. Sul. Flav.</v>
      </c>
      <c r="C1100" s="65" t="s">
        <v>121</v>
      </c>
      <c r="D1100" s="65" t="s">
        <v>965</v>
      </c>
      <c r="E1100" s="65" t="str">
        <f t="shared" si="33"/>
        <v>Arsenic. Sul. Flav.</v>
      </c>
      <c r="F1100" s="65" t="s">
        <v>962</v>
      </c>
      <c r="G1100" s="65" t="s">
        <v>963</v>
      </c>
      <c r="H1100" s="65" t="s">
        <v>964</v>
      </c>
      <c r="K1100" s="81">
        <v>0.01</v>
      </c>
      <c r="L1100" s="81">
        <v>1</v>
      </c>
    </row>
    <row r="1101" s="65" customFormat="1" customHeight="1" spans="1:12">
      <c r="A1101" s="77">
        <v>1098</v>
      </c>
      <c r="B1101" s="78" t="str">
        <f t="shared" si="32"/>
        <v>TiturationArsenic. Sul. Rub.</v>
      </c>
      <c r="C1101" s="65" t="s">
        <v>121</v>
      </c>
      <c r="D1101" s="65" t="s">
        <v>599</v>
      </c>
      <c r="E1101" s="65" t="str">
        <f t="shared" si="33"/>
        <v>Arsenic. Sul. Rub.</v>
      </c>
      <c r="F1101" s="65" t="s">
        <v>962</v>
      </c>
      <c r="G1101" s="65" t="s">
        <v>963</v>
      </c>
      <c r="H1101" s="65" t="s">
        <v>964</v>
      </c>
      <c r="K1101" s="81">
        <v>0.01</v>
      </c>
      <c r="L1101" s="81">
        <v>1</v>
      </c>
    </row>
    <row r="1102" s="65" customFormat="1" customHeight="1" spans="1:12">
      <c r="A1102" s="77">
        <v>1099</v>
      </c>
      <c r="B1102" s="78" t="str">
        <f t="shared" si="32"/>
        <v>TiturationAurum Mur Nat</v>
      </c>
      <c r="C1102" s="65" t="s">
        <v>121</v>
      </c>
      <c r="D1102" s="65" t="s">
        <v>610</v>
      </c>
      <c r="E1102" s="65" t="str">
        <f t="shared" si="33"/>
        <v>Aurum Mur Nat</v>
      </c>
      <c r="F1102" s="65" t="s">
        <v>962</v>
      </c>
      <c r="G1102" s="65" t="s">
        <v>963</v>
      </c>
      <c r="H1102" s="65" t="s">
        <v>964</v>
      </c>
      <c r="K1102" s="81">
        <v>0.01</v>
      </c>
      <c r="L1102" s="81">
        <v>1</v>
      </c>
    </row>
    <row r="1103" s="65" customFormat="1" customHeight="1" spans="1:12">
      <c r="A1103" s="77">
        <v>1100</v>
      </c>
      <c r="B1103" s="78" t="str">
        <f t="shared" si="32"/>
        <v>TiturationBaryta Carb.</v>
      </c>
      <c r="C1103" s="65" t="s">
        <v>121</v>
      </c>
      <c r="D1103" s="65" t="s">
        <v>616</v>
      </c>
      <c r="E1103" s="65" t="str">
        <f t="shared" si="33"/>
        <v>Baryta Carb.</v>
      </c>
      <c r="F1103" s="65" t="s">
        <v>962</v>
      </c>
      <c r="G1103" s="65" t="s">
        <v>963</v>
      </c>
      <c r="H1103" s="65" t="s">
        <v>964</v>
      </c>
      <c r="K1103" s="81">
        <v>0.01</v>
      </c>
      <c r="L1103" s="81">
        <v>1</v>
      </c>
    </row>
    <row r="1104" s="65" customFormat="1" customHeight="1" spans="1:12">
      <c r="A1104" s="77">
        <v>1101</v>
      </c>
      <c r="B1104" s="78" t="str">
        <f t="shared" si="32"/>
        <v>TiturationBaryta Iod.</v>
      </c>
      <c r="C1104" s="65" t="s">
        <v>121</v>
      </c>
      <c r="D1104" s="65" t="s">
        <v>617</v>
      </c>
      <c r="E1104" s="65" t="str">
        <f t="shared" si="33"/>
        <v>Baryta Iod.</v>
      </c>
      <c r="F1104" s="65" t="s">
        <v>962</v>
      </c>
      <c r="G1104" s="65" t="s">
        <v>963</v>
      </c>
      <c r="H1104" s="65" t="s">
        <v>964</v>
      </c>
      <c r="K1104" s="81">
        <v>0.01</v>
      </c>
      <c r="L1104" s="81">
        <v>1</v>
      </c>
    </row>
    <row r="1105" s="65" customFormat="1" customHeight="1" spans="1:12">
      <c r="A1105" s="77">
        <v>1102</v>
      </c>
      <c r="B1105" s="78" t="str">
        <f t="shared" si="32"/>
        <v>TiturationBaryta Mur.</v>
      </c>
      <c r="C1105" s="65" t="s">
        <v>121</v>
      </c>
      <c r="D1105" s="65" t="s">
        <v>618</v>
      </c>
      <c r="E1105" s="65" t="str">
        <f t="shared" si="33"/>
        <v>Baryta Mur.</v>
      </c>
      <c r="F1105" s="65" t="s">
        <v>962</v>
      </c>
      <c r="G1105" s="65" t="s">
        <v>963</v>
      </c>
      <c r="H1105" s="65" t="s">
        <v>964</v>
      </c>
      <c r="K1105" s="81">
        <v>0.01</v>
      </c>
      <c r="L1105" s="81">
        <v>1</v>
      </c>
    </row>
    <row r="1106" s="65" customFormat="1" customHeight="1" spans="1:12">
      <c r="A1106" s="77">
        <v>1103</v>
      </c>
      <c r="B1106" s="78" t="str">
        <f t="shared" si="32"/>
        <v>TiturationBorax</v>
      </c>
      <c r="C1106" s="65" t="s">
        <v>121</v>
      </c>
      <c r="D1106" s="65" t="s">
        <v>627</v>
      </c>
      <c r="E1106" s="65" t="str">
        <f t="shared" si="33"/>
        <v>Borax</v>
      </c>
      <c r="F1106" s="65" t="s">
        <v>962</v>
      </c>
      <c r="G1106" s="65" t="s">
        <v>963</v>
      </c>
      <c r="H1106" s="65" t="s">
        <v>964</v>
      </c>
      <c r="K1106" s="81">
        <v>0.01</v>
      </c>
      <c r="L1106" s="81">
        <v>1</v>
      </c>
    </row>
    <row r="1107" s="65" customFormat="1" customHeight="1" spans="1:12">
      <c r="A1107" s="77">
        <v>1104</v>
      </c>
      <c r="B1107" s="78" t="str">
        <f t="shared" si="32"/>
        <v>TiturationCalc. Ars.</v>
      </c>
      <c r="C1107" s="65" t="s">
        <v>121</v>
      </c>
      <c r="D1107" s="65" t="s">
        <v>640</v>
      </c>
      <c r="E1107" s="65" t="str">
        <f t="shared" si="33"/>
        <v>Calc. Ars.</v>
      </c>
      <c r="F1107" s="65" t="s">
        <v>962</v>
      </c>
      <c r="G1107" s="65" t="s">
        <v>963</v>
      </c>
      <c r="H1107" s="65" t="s">
        <v>964</v>
      </c>
      <c r="K1107" s="81">
        <v>0.01</v>
      </c>
      <c r="L1107" s="81">
        <v>1</v>
      </c>
    </row>
    <row r="1108" s="65" customFormat="1" customHeight="1" spans="1:12">
      <c r="A1108" s="77">
        <v>1105</v>
      </c>
      <c r="B1108" s="78" t="str">
        <f t="shared" si="32"/>
        <v>TiturationCalc. Carb.</v>
      </c>
      <c r="C1108" s="65" t="s">
        <v>121</v>
      </c>
      <c r="D1108" s="65" t="s">
        <v>642</v>
      </c>
      <c r="E1108" s="65" t="str">
        <f t="shared" si="33"/>
        <v>Calc. Carb.</v>
      </c>
      <c r="F1108" s="65" t="s">
        <v>962</v>
      </c>
      <c r="G1108" s="65" t="s">
        <v>963</v>
      </c>
      <c r="H1108" s="65" t="s">
        <v>964</v>
      </c>
      <c r="K1108" s="81">
        <v>0.01</v>
      </c>
      <c r="L1108" s="81">
        <v>1</v>
      </c>
    </row>
    <row r="1109" s="65" customFormat="1" customHeight="1" spans="1:12">
      <c r="A1109" s="77">
        <v>1106</v>
      </c>
      <c r="B1109" s="78" t="str">
        <f t="shared" si="32"/>
        <v>TiturationCalc. Hyp. Ph.</v>
      </c>
      <c r="C1109" s="65" t="s">
        <v>121</v>
      </c>
      <c r="D1109" s="65" t="s">
        <v>645</v>
      </c>
      <c r="E1109" s="65" t="str">
        <f t="shared" si="33"/>
        <v>Calc. Hyp. Ph.</v>
      </c>
      <c r="F1109" s="65" t="s">
        <v>962</v>
      </c>
      <c r="G1109" s="65" t="s">
        <v>963</v>
      </c>
      <c r="H1109" s="65" t="s">
        <v>964</v>
      </c>
      <c r="K1109" s="81">
        <v>0.01</v>
      </c>
      <c r="L1109" s="81">
        <v>1</v>
      </c>
    </row>
    <row r="1110" s="65" customFormat="1" customHeight="1" spans="1:12">
      <c r="A1110" s="77">
        <v>1107</v>
      </c>
      <c r="B1110" s="78" t="str">
        <f t="shared" si="32"/>
        <v>TiturationCalc. Iod.</v>
      </c>
      <c r="C1110" s="65" t="s">
        <v>121</v>
      </c>
      <c r="D1110" s="65" t="s">
        <v>646</v>
      </c>
      <c r="E1110" s="65" t="str">
        <f t="shared" si="33"/>
        <v>Calc. Iod.</v>
      </c>
      <c r="F1110" s="65" t="s">
        <v>962</v>
      </c>
      <c r="G1110" s="65" t="s">
        <v>963</v>
      </c>
      <c r="H1110" s="65" t="s">
        <v>964</v>
      </c>
      <c r="K1110" s="81">
        <v>0.01</v>
      </c>
      <c r="L1110" s="81">
        <v>1</v>
      </c>
    </row>
    <row r="1111" s="65" customFormat="1" customHeight="1" spans="1:12">
      <c r="A1111" s="77">
        <v>1108</v>
      </c>
      <c r="B1111" s="78" t="str">
        <f t="shared" si="32"/>
        <v>TiturationCalc. Ova tosta (Ova Tosta)</v>
      </c>
      <c r="C1111" s="65" t="s">
        <v>121</v>
      </c>
      <c r="D1111" s="65" t="s">
        <v>647</v>
      </c>
      <c r="E1111" s="65" t="str">
        <f t="shared" si="33"/>
        <v>Calc. Ova tosta (Ova Tosta)</v>
      </c>
      <c r="F1111" s="65" t="s">
        <v>962</v>
      </c>
      <c r="G1111" s="65" t="s">
        <v>963</v>
      </c>
      <c r="H1111" s="65" t="s">
        <v>964</v>
      </c>
      <c r="K1111" s="81">
        <v>0.01</v>
      </c>
      <c r="L1111" s="81">
        <v>1</v>
      </c>
    </row>
    <row r="1112" s="65" customFormat="1" customHeight="1" spans="1:12">
      <c r="A1112" s="77">
        <v>1109</v>
      </c>
      <c r="B1112" s="78" t="str">
        <f t="shared" si="32"/>
        <v>TiturationCarbo Anim.</v>
      </c>
      <c r="C1112" s="65" t="s">
        <v>121</v>
      </c>
      <c r="D1112" s="65" t="s">
        <v>658</v>
      </c>
      <c r="E1112" s="65" t="str">
        <f t="shared" si="33"/>
        <v>Carbo Anim.</v>
      </c>
      <c r="F1112" s="65" t="s">
        <v>962</v>
      </c>
      <c r="G1112" s="65" t="s">
        <v>963</v>
      </c>
      <c r="H1112" s="65" t="s">
        <v>964</v>
      </c>
      <c r="K1112" s="81">
        <v>0.01</v>
      </c>
      <c r="L1112" s="81">
        <v>1</v>
      </c>
    </row>
    <row r="1113" s="65" customFormat="1" customHeight="1" spans="1:12">
      <c r="A1113" s="77">
        <v>1110</v>
      </c>
      <c r="B1113" s="78" t="str">
        <f t="shared" si="32"/>
        <v>TiturationCarbo Veg.</v>
      </c>
      <c r="C1113" s="65" t="s">
        <v>121</v>
      </c>
      <c r="D1113" s="65" t="s">
        <v>659</v>
      </c>
      <c r="E1113" s="65" t="str">
        <f t="shared" si="33"/>
        <v>Carbo Veg.</v>
      </c>
      <c r="F1113" s="65" t="s">
        <v>962</v>
      </c>
      <c r="G1113" s="65" t="s">
        <v>963</v>
      </c>
      <c r="H1113" s="65" t="s">
        <v>964</v>
      </c>
      <c r="K1113" s="81">
        <v>0.01</v>
      </c>
      <c r="L1113" s="81">
        <v>1</v>
      </c>
    </row>
    <row r="1114" s="65" customFormat="1" customHeight="1" spans="1:12">
      <c r="A1114" s="77">
        <v>1111</v>
      </c>
      <c r="B1114" s="78" t="str">
        <f t="shared" si="32"/>
        <v>TiturationChininum Ars.</v>
      </c>
      <c r="C1114" s="65" t="s">
        <v>121</v>
      </c>
      <c r="D1114" s="65" t="s">
        <v>670</v>
      </c>
      <c r="E1114" s="65" t="str">
        <f t="shared" si="33"/>
        <v>Chininum Ars.</v>
      </c>
      <c r="F1114" s="65" t="s">
        <v>962</v>
      </c>
      <c r="G1114" s="65" t="s">
        <v>963</v>
      </c>
      <c r="H1114" s="65" t="s">
        <v>964</v>
      </c>
      <c r="K1114" s="81">
        <v>0.01</v>
      </c>
      <c r="L1114" s="81">
        <v>1</v>
      </c>
    </row>
    <row r="1115" s="65" customFormat="1" customHeight="1" spans="1:12">
      <c r="A1115" s="77">
        <v>1112</v>
      </c>
      <c r="B1115" s="78" t="str">
        <f t="shared" si="32"/>
        <v>TiturationChinnium Sulf</v>
      </c>
      <c r="C1115" s="65" t="s">
        <v>121</v>
      </c>
      <c r="D1115" s="65" t="s">
        <v>966</v>
      </c>
      <c r="E1115" s="65" t="str">
        <f t="shared" si="33"/>
        <v>Chinnium Sulf</v>
      </c>
      <c r="F1115" s="65" t="s">
        <v>962</v>
      </c>
      <c r="G1115" s="65" t="s">
        <v>963</v>
      </c>
      <c r="H1115" s="65" t="s">
        <v>964</v>
      </c>
      <c r="K1115" s="81">
        <v>0.01</v>
      </c>
      <c r="L1115" s="81">
        <v>1</v>
      </c>
    </row>
    <row r="1116" s="65" customFormat="1" customHeight="1" spans="1:12">
      <c r="A1116" s="77">
        <v>1113</v>
      </c>
      <c r="B1116" s="78" t="str">
        <f t="shared" si="32"/>
        <v>TiturationCholesterinum</v>
      </c>
      <c r="C1116" s="65" t="s">
        <v>121</v>
      </c>
      <c r="D1116" s="65" t="s">
        <v>677</v>
      </c>
      <c r="E1116" s="65" t="str">
        <f t="shared" si="33"/>
        <v>Cholesterinum</v>
      </c>
      <c r="F1116" s="65" t="s">
        <v>962</v>
      </c>
      <c r="G1116" s="65" t="s">
        <v>963</v>
      </c>
      <c r="H1116" s="65" t="s">
        <v>964</v>
      </c>
      <c r="K1116" s="81">
        <v>0.01</v>
      </c>
      <c r="L1116" s="81">
        <v>1</v>
      </c>
    </row>
    <row r="1117" s="65" customFormat="1" customHeight="1" spans="1:12">
      <c r="A1117" s="77">
        <v>1114</v>
      </c>
      <c r="B1117" s="78" t="str">
        <f t="shared" si="32"/>
        <v>TiturationCicuta Mac.</v>
      </c>
      <c r="C1117" s="65" t="s">
        <v>121</v>
      </c>
      <c r="D1117" s="65" t="s">
        <v>680</v>
      </c>
      <c r="E1117" s="65" t="str">
        <f t="shared" si="33"/>
        <v>Cicuta Mac.</v>
      </c>
      <c r="F1117" s="65" t="s">
        <v>962</v>
      </c>
      <c r="G1117" s="65" t="s">
        <v>963</v>
      </c>
      <c r="H1117" s="65" t="s">
        <v>964</v>
      </c>
      <c r="K1117" s="81">
        <v>0.01</v>
      </c>
      <c r="L1117" s="81">
        <v>1</v>
      </c>
    </row>
    <row r="1118" s="65" customFormat="1" customHeight="1" spans="1:12">
      <c r="A1118" s="77">
        <v>1115</v>
      </c>
      <c r="B1118" s="78" t="str">
        <f t="shared" si="32"/>
        <v>TiturationCupurm Ars.</v>
      </c>
      <c r="C1118" s="65" t="s">
        <v>121</v>
      </c>
      <c r="D1118" s="65" t="s">
        <v>967</v>
      </c>
      <c r="E1118" s="65" t="str">
        <f t="shared" si="33"/>
        <v>Cupurm Ars.</v>
      </c>
      <c r="F1118" s="65" t="s">
        <v>962</v>
      </c>
      <c r="G1118" s="65" t="s">
        <v>963</v>
      </c>
      <c r="H1118" s="65" t="s">
        <v>964</v>
      </c>
      <c r="K1118" s="81">
        <v>0.01</v>
      </c>
      <c r="L1118" s="81">
        <v>1</v>
      </c>
    </row>
    <row r="1119" s="65" customFormat="1" customHeight="1" spans="1:12">
      <c r="A1119" s="77">
        <v>1116</v>
      </c>
      <c r="B1119" s="78" t="str">
        <f t="shared" si="32"/>
        <v>TiturationCuprum Met</v>
      </c>
      <c r="C1119" s="65" t="s">
        <v>121</v>
      </c>
      <c r="D1119" s="65" t="s">
        <v>968</v>
      </c>
      <c r="E1119" s="65" t="str">
        <f t="shared" si="33"/>
        <v>Cuprum Met</v>
      </c>
      <c r="F1119" s="65" t="s">
        <v>962</v>
      </c>
      <c r="G1119" s="65" t="s">
        <v>963</v>
      </c>
      <c r="H1119" s="65" t="s">
        <v>964</v>
      </c>
      <c r="K1119" s="81">
        <v>0.01</v>
      </c>
      <c r="L1119" s="81">
        <v>1</v>
      </c>
    </row>
    <row r="1120" s="65" customFormat="1" customHeight="1" spans="1:12">
      <c r="A1120" s="77">
        <v>1117</v>
      </c>
      <c r="B1120" s="78" t="str">
        <f t="shared" si="32"/>
        <v>TiturationFel. Tauri</v>
      </c>
      <c r="C1120" s="65" t="s">
        <v>121</v>
      </c>
      <c r="D1120" s="65" t="s">
        <v>720</v>
      </c>
      <c r="E1120" s="65" t="str">
        <f t="shared" si="33"/>
        <v>Fel. Tauri</v>
      </c>
      <c r="F1120" s="65" t="s">
        <v>962</v>
      </c>
      <c r="G1120" s="65" t="s">
        <v>963</v>
      </c>
      <c r="H1120" s="65" t="s">
        <v>964</v>
      </c>
      <c r="K1120" s="81">
        <v>0.01</v>
      </c>
      <c r="L1120" s="81">
        <v>1</v>
      </c>
    </row>
    <row r="1121" s="65" customFormat="1" customHeight="1" spans="1:12">
      <c r="A1121" s="77">
        <v>1118</v>
      </c>
      <c r="B1121" s="78" t="str">
        <f t="shared" si="32"/>
        <v>TiturationFerrum Iod.</v>
      </c>
      <c r="C1121" s="65" t="s">
        <v>121</v>
      </c>
      <c r="D1121" s="65" t="s">
        <v>723</v>
      </c>
      <c r="E1121" s="65" t="str">
        <f t="shared" si="33"/>
        <v>Ferrum Iod.</v>
      </c>
      <c r="F1121" s="65" t="s">
        <v>962</v>
      </c>
      <c r="G1121" s="65" t="s">
        <v>963</v>
      </c>
      <c r="H1121" s="65" t="s">
        <v>964</v>
      </c>
      <c r="K1121" s="81">
        <v>0.01</v>
      </c>
      <c r="L1121" s="81">
        <v>1</v>
      </c>
    </row>
    <row r="1122" s="65" customFormat="1" customHeight="1" spans="1:12">
      <c r="A1122" s="77">
        <v>1119</v>
      </c>
      <c r="B1122" s="78" t="str">
        <f t="shared" si="32"/>
        <v>TiturationFerrum Met.</v>
      </c>
      <c r="C1122" s="65" t="s">
        <v>121</v>
      </c>
      <c r="D1122" s="65" t="s">
        <v>724</v>
      </c>
      <c r="E1122" s="65" t="str">
        <f t="shared" si="33"/>
        <v>Ferrum Met.</v>
      </c>
      <c r="F1122" s="65" t="s">
        <v>962</v>
      </c>
      <c r="G1122" s="65" t="s">
        <v>963</v>
      </c>
      <c r="H1122" s="65" t="s">
        <v>964</v>
      </c>
      <c r="K1122" s="81">
        <v>0.01</v>
      </c>
      <c r="L1122" s="81">
        <v>1</v>
      </c>
    </row>
    <row r="1123" s="65" customFormat="1" customHeight="1" spans="1:12">
      <c r="A1123" s="77">
        <v>1120</v>
      </c>
      <c r="B1123" s="78" t="str">
        <f t="shared" si="32"/>
        <v>TiturationFerrum Mur.</v>
      </c>
      <c r="C1123" s="65" t="s">
        <v>121</v>
      </c>
      <c r="D1123" s="65" t="s">
        <v>321</v>
      </c>
      <c r="E1123" s="65" t="str">
        <f t="shared" si="33"/>
        <v>Ferrum Mur.</v>
      </c>
      <c r="F1123" s="65" t="s">
        <v>962</v>
      </c>
      <c r="G1123" s="65" t="s">
        <v>963</v>
      </c>
      <c r="H1123" s="65" t="s">
        <v>964</v>
      </c>
      <c r="K1123" s="81">
        <v>0.01</v>
      </c>
      <c r="L1123" s="81">
        <v>1</v>
      </c>
    </row>
    <row r="1124" s="65" customFormat="1" customHeight="1" spans="1:12">
      <c r="A1124" s="77">
        <v>1121</v>
      </c>
      <c r="B1124" s="78" t="str">
        <f t="shared" si="32"/>
        <v>TiturationFerrum. Picr.</v>
      </c>
      <c r="C1124" s="65" t="s">
        <v>121</v>
      </c>
      <c r="D1124" s="65" t="s">
        <v>727</v>
      </c>
      <c r="E1124" s="65" t="str">
        <f t="shared" si="33"/>
        <v>Ferrum. Picr.</v>
      </c>
      <c r="F1124" s="65" t="s">
        <v>962</v>
      </c>
      <c r="G1124" s="65" t="s">
        <v>963</v>
      </c>
      <c r="H1124" s="65" t="s">
        <v>964</v>
      </c>
      <c r="K1124" s="81">
        <v>0.01</v>
      </c>
      <c r="L1124" s="81">
        <v>1</v>
      </c>
    </row>
    <row r="1125" s="65" customFormat="1" customHeight="1" spans="1:12">
      <c r="A1125" s="77">
        <v>1122</v>
      </c>
      <c r="B1125" s="78" t="str">
        <f t="shared" si="32"/>
        <v>TiturationGraphites</v>
      </c>
      <c r="C1125" s="65" t="s">
        <v>121</v>
      </c>
      <c r="D1125" s="65" t="s">
        <v>511</v>
      </c>
      <c r="E1125" s="65" t="str">
        <f t="shared" si="33"/>
        <v>Graphites</v>
      </c>
      <c r="F1125" s="65" t="s">
        <v>962</v>
      </c>
      <c r="G1125" s="65" t="s">
        <v>963</v>
      </c>
      <c r="H1125" s="65" t="s">
        <v>964</v>
      </c>
      <c r="K1125" s="81">
        <v>0.01</v>
      </c>
      <c r="L1125" s="81">
        <v>1</v>
      </c>
    </row>
    <row r="1126" s="65" customFormat="1" customHeight="1" spans="1:12">
      <c r="A1126" s="77">
        <v>1123</v>
      </c>
      <c r="B1126" s="78" t="str">
        <f t="shared" si="32"/>
        <v>TiturationGun-Powder</v>
      </c>
      <c r="C1126" s="65" t="s">
        <v>121</v>
      </c>
      <c r="D1126" s="65" t="s">
        <v>734</v>
      </c>
      <c r="E1126" s="65" t="str">
        <f t="shared" si="33"/>
        <v>Gun-Powder</v>
      </c>
      <c r="F1126" s="65" t="s">
        <v>962</v>
      </c>
      <c r="G1126" s="65" t="s">
        <v>963</v>
      </c>
      <c r="H1126" s="65" t="s">
        <v>964</v>
      </c>
      <c r="K1126" s="81">
        <v>0.01</v>
      </c>
      <c r="L1126" s="81">
        <v>1</v>
      </c>
    </row>
    <row r="1127" s="65" customFormat="1" customHeight="1" spans="1:12">
      <c r="A1127" s="77">
        <v>1124</v>
      </c>
      <c r="B1127" s="78" t="str">
        <f t="shared" si="32"/>
        <v>TiturationHekla Lava</v>
      </c>
      <c r="C1127" s="65" t="s">
        <v>121</v>
      </c>
      <c r="D1127" s="65" t="s">
        <v>736</v>
      </c>
      <c r="E1127" s="65" t="str">
        <f t="shared" si="33"/>
        <v>Hekla Lava</v>
      </c>
      <c r="F1127" s="65" t="s">
        <v>962</v>
      </c>
      <c r="G1127" s="65" t="s">
        <v>963</v>
      </c>
      <c r="H1127" s="65" t="s">
        <v>964</v>
      </c>
      <c r="K1127" s="81">
        <v>0.01</v>
      </c>
      <c r="L1127" s="81">
        <v>1</v>
      </c>
    </row>
    <row r="1128" s="65" customFormat="1" customHeight="1" spans="1:12">
      <c r="A1128" s="77">
        <v>1125</v>
      </c>
      <c r="B1128" s="78" t="str">
        <f t="shared" si="32"/>
        <v>TiturationHepar Sulph.</v>
      </c>
      <c r="C1128" s="65" t="s">
        <v>121</v>
      </c>
      <c r="D1128" s="65" t="s">
        <v>512</v>
      </c>
      <c r="E1128" s="65" t="str">
        <f t="shared" si="33"/>
        <v>Hepar Sulph.</v>
      </c>
      <c r="F1128" s="65" t="s">
        <v>962</v>
      </c>
      <c r="G1128" s="65" t="s">
        <v>963</v>
      </c>
      <c r="H1128" s="65" t="s">
        <v>964</v>
      </c>
      <c r="K1128" s="81">
        <v>0.01</v>
      </c>
      <c r="L1128" s="81">
        <v>1</v>
      </c>
    </row>
    <row r="1129" s="65" customFormat="1" customHeight="1" spans="1:12">
      <c r="A1129" s="77">
        <v>1126</v>
      </c>
      <c r="B1129" s="78" t="str">
        <f t="shared" si="32"/>
        <v>TiturationIodoformum</v>
      </c>
      <c r="C1129" s="65" t="s">
        <v>121</v>
      </c>
      <c r="D1129" s="65" t="s">
        <v>749</v>
      </c>
      <c r="E1129" s="65" t="str">
        <f t="shared" si="33"/>
        <v>Iodoformum</v>
      </c>
      <c r="F1129" s="65" t="s">
        <v>962</v>
      </c>
      <c r="G1129" s="65" t="s">
        <v>963</v>
      </c>
      <c r="H1129" s="65" t="s">
        <v>964</v>
      </c>
      <c r="K1129" s="81">
        <v>0.01</v>
      </c>
      <c r="L1129" s="81">
        <v>1</v>
      </c>
    </row>
    <row r="1130" s="65" customFormat="1" customHeight="1" spans="1:12">
      <c r="A1130" s="77">
        <v>1127</v>
      </c>
      <c r="B1130" s="78" t="str">
        <f t="shared" si="32"/>
        <v>TiturationKali Bich.</v>
      </c>
      <c r="C1130" s="65" t="s">
        <v>121</v>
      </c>
      <c r="D1130" s="65" t="s">
        <v>362</v>
      </c>
      <c r="E1130" s="65" t="str">
        <f t="shared" si="33"/>
        <v>Kali Bich.</v>
      </c>
      <c r="F1130" s="65" t="s">
        <v>962</v>
      </c>
      <c r="G1130" s="65" t="s">
        <v>963</v>
      </c>
      <c r="H1130" s="65" t="s">
        <v>964</v>
      </c>
      <c r="K1130" s="81">
        <v>0.01</v>
      </c>
      <c r="L1130" s="81">
        <v>1</v>
      </c>
    </row>
    <row r="1131" s="65" customFormat="1" customHeight="1" spans="1:12">
      <c r="A1131" s="77">
        <v>1128</v>
      </c>
      <c r="B1131" s="78" t="str">
        <f t="shared" si="32"/>
        <v>TiturationKali Brom.</v>
      </c>
      <c r="C1131" s="65" t="s">
        <v>121</v>
      </c>
      <c r="D1131" s="65" t="s">
        <v>759</v>
      </c>
      <c r="E1131" s="65" t="str">
        <f t="shared" si="33"/>
        <v>Kali Brom.</v>
      </c>
      <c r="F1131" s="65" t="s">
        <v>962</v>
      </c>
      <c r="G1131" s="65" t="s">
        <v>963</v>
      </c>
      <c r="H1131" s="65" t="s">
        <v>964</v>
      </c>
      <c r="K1131" s="81">
        <v>0.01</v>
      </c>
      <c r="L1131" s="81">
        <v>1</v>
      </c>
    </row>
    <row r="1132" s="65" customFormat="1" customHeight="1" spans="1:12">
      <c r="A1132" s="77">
        <v>1129</v>
      </c>
      <c r="B1132" s="78" t="str">
        <f t="shared" si="32"/>
        <v>TiturationKali Carb.</v>
      </c>
      <c r="C1132" s="65" t="s">
        <v>121</v>
      </c>
      <c r="D1132" s="65" t="s">
        <v>761</v>
      </c>
      <c r="E1132" s="65" t="str">
        <f t="shared" si="33"/>
        <v>Kali Carb.</v>
      </c>
      <c r="F1132" s="65" t="s">
        <v>962</v>
      </c>
      <c r="G1132" s="65" t="s">
        <v>963</v>
      </c>
      <c r="H1132" s="65" t="s">
        <v>964</v>
      </c>
      <c r="K1132" s="81">
        <v>0.01</v>
      </c>
      <c r="L1132" s="81">
        <v>1</v>
      </c>
    </row>
    <row r="1133" s="65" customFormat="1" customHeight="1" spans="1:12">
      <c r="A1133" s="77">
        <v>1130</v>
      </c>
      <c r="B1133" s="78" t="str">
        <f t="shared" si="32"/>
        <v>TiturationKali Iod. (Kali Hydro. Iod)</v>
      </c>
      <c r="C1133" s="65" t="s">
        <v>121</v>
      </c>
      <c r="D1133" s="65" t="s">
        <v>765</v>
      </c>
      <c r="E1133" s="65" t="str">
        <f t="shared" si="33"/>
        <v>Kali Iod. (Kali Hydro. Iod)</v>
      </c>
      <c r="F1133" s="65" t="s">
        <v>962</v>
      </c>
      <c r="G1133" s="65" t="s">
        <v>963</v>
      </c>
      <c r="H1133" s="65" t="s">
        <v>964</v>
      </c>
      <c r="K1133" s="81">
        <v>0.01</v>
      </c>
      <c r="L1133" s="81">
        <v>1</v>
      </c>
    </row>
    <row r="1134" s="65" customFormat="1" customHeight="1" spans="1:12">
      <c r="A1134" s="77">
        <v>1131</v>
      </c>
      <c r="B1134" s="78" t="str">
        <f t="shared" si="32"/>
        <v>TiturationLecithin</v>
      </c>
      <c r="C1134" s="65" t="s">
        <v>121</v>
      </c>
      <c r="D1134" s="65" t="s">
        <v>783</v>
      </c>
      <c r="E1134" s="65" t="str">
        <f t="shared" si="33"/>
        <v>Lecithin</v>
      </c>
      <c r="F1134" s="65" t="s">
        <v>962</v>
      </c>
      <c r="G1134" s="65" t="s">
        <v>963</v>
      </c>
      <c r="H1134" s="65" t="s">
        <v>964</v>
      </c>
      <c r="K1134" s="81">
        <v>0.01</v>
      </c>
      <c r="L1134" s="81">
        <v>1</v>
      </c>
    </row>
    <row r="1135" s="65" customFormat="1" customHeight="1" spans="1:12">
      <c r="A1135" s="77">
        <v>1132</v>
      </c>
      <c r="B1135" s="78" t="str">
        <f t="shared" si="32"/>
        <v>TiturationMenthol</v>
      </c>
      <c r="C1135" s="65" t="s">
        <v>121</v>
      </c>
      <c r="D1135" s="65" t="s">
        <v>380</v>
      </c>
      <c r="E1135" s="65" t="str">
        <f t="shared" si="33"/>
        <v>Menthol</v>
      </c>
      <c r="F1135" s="65" t="s">
        <v>962</v>
      </c>
      <c r="G1135" s="65" t="s">
        <v>963</v>
      </c>
      <c r="H1135" s="65" t="s">
        <v>964</v>
      </c>
      <c r="K1135" s="81">
        <v>0.01</v>
      </c>
      <c r="L1135" s="81">
        <v>1</v>
      </c>
    </row>
    <row r="1136" s="65" customFormat="1" customHeight="1" spans="1:12">
      <c r="A1136" s="77">
        <v>1133</v>
      </c>
      <c r="B1136" s="78" t="str">
        <f t="shared" si="32"/>
        <v>TiturationMerc. Bin. Iod (MIR)</v>
      </c>
      <c r="C1136" s="65" t="s">
        <v>121</v>
      </c>
      <c r="D1136" s="65" t="s">
        <v>805</v>
      </c>
      <c r="E1136" s="65" t="str">
        <f t="shared" si="33"/>
        <v>Merc. Bin. Iod (MIR)</v>
      </c>
      <c r="F1136" s="65" t="s">
        <v>962</v>
      </c>
      <c r="G1136" s="65" t="s">
        <v>963</v>
      </c>
      <c r="H1136" s="65" t="s">
        <v>964</v>
      </c>
      <c r="K1136" s="81">
        <v>0.01</v>
      </c>
      <c r="L1136" s="81">
        <v>1</v>
      </c>
    </row>
    <row r="1137" s="65" customFormat="1" customHeight="1" spans="1:12">
      <c r="A1137" s="77">
        <v>1134</v>
      </c>
      <c r="B1137" s="78" t="str">
        <f t="shared" si="32"/>
        <v>TiturationMerc. Dulc.</v>
      </c>
      <c r="C1137" s="65" t="s">
        <v>121</v>
      </c>
      <c r="D1137" s="65" t="s">
        <v>808</v>
      </c>
      <c r="E1137" s="65" t="str">
        <f t="shared" si="33"/>
        <v>Merc. Dulc.</v>
      </c>
      <c r="F1137" s="65" t="s">
        <v>962</v>
      </c>
      <c r="G1137" s="65" t="s">
        <v>963</v>
      </c>
      <c r="H1137" s="65" t="s">
        <v>964</v>
      </c>
      <c r="K1137" s="81">
        <v>0.01</v>
      </c>
      <c r="L1137" s="81">
        <v>1</v>
      </c>
    </row>
    <row r="1138" s="65" customFormat="1" customHeight="1" spans="1:12">
      <c r="A1138" s="77">
        <v>1135</v>
      </c>
      <c r="B1138" s="78" t="str">
        <f t="shared" si="32"/>
        <v>TiturationMerc. Iod. Flav. (MPI)</v>
      </c>
      <c r="C1138" s="65" t="s">
        <v>121</v>
      </c>
      <c r="D1138" s="65" t="s">
        <v>809</v>
      </c>
      <c r="E1138" s="65" t="str">
        <f t="shared" si="33"/>
        <v>Merc. Iod. Flav. (MPI)</v>
      </c>
      <c r="F1138" s="65" t="s">
        <v>962</v>
      </c>
      <c r="G1138" s="65" t="s">
        <v>963</v>
      </c>
      <c r="H1138" s="65" t="s">
        <v>964</v>
      </c>
      <c r="K1138" s="81">
        <v>0.01</v>
      </c>
      <c r="L1138" s="81">
        <v>1</v>
      </c>
    </row>
    <row r="1139" s="65" customFormat="1" customHeight="1" spans="1:12">
      <c r="A1139" s="77">
        <v>1136</v>
      </c>
      <c r="B1139" s="78" t="str">
        <f t="shared" si="32"/>
        <v>TiturationMerc. Pr. Iod (MIF)</v>
      </c>
      <c r="C1139" s="65" t="s">
        <v>121</v>
      </c>
      <c r="D1139" s="65" t="s">
        <v>969</v>
      </c>
      <c r="E1139" s="65" t="str">
        <f t="shared" si="33"/>
        <v>Merc. Pr. Iod (MIF)</v>
      </c>
      <c r="F1139" s="65" t="s">
        <v>962</v>
      </c>
      <c r="G1139" s="65" t="s">
        <v>963</v>
      </c>
      <c r="H1139" s="65" t="s">
        <v>964</v>
      </c>
      <c r="K1139" s="81">
        <v>0.01</v>
      </c>
      <c r="L1139" s="81">
        <v>1</v>
      </c>
    </row>
    <row r="1140" s="65" customFormat="1" customHeight="1" spans="1:12">
      <c r="A1140" s="77">
        <v>1137</v>
      </c>
      <c r="B1140" s="78" t="str">
        <f t="shared" si="32"/>
        <v>TiturationMerc. Iod. Rub. (MBI)</v>
      </c>
      <c r="C1140" s="65" t="s">
        <v>121</v>
      </c>
      <c r="D1140" s="65" t="s">
        <v>810</v>
      </c>
      <c r="E1140" s="65" t="str">
        <f t="shared" si="33"/>
        <v>Merc. Iod. Rub. (MBI)</v>
      </c>
      <c r="F1140" s="65" t="s">
        <v>962</v>
      </c>
      <c r="G1140" s="65" t="s">
        <v>963</v>
      </c>
      <c r="H1140" s="65" t="s">
        <v>964</v>
      </c>
      <c r="K1140" s="81">
        <v>0.01</v>
      </c>
      <c r="L1140" s="81">
        <v>1</v>
      </c>
    </row>
    <row r="1141" s="65" customFormat="1" customHeight="1" spans="1:12">
      <c r="A1141" s="77">
        <v>1138</v>
      </c>
      <c r="B1141" s="78" t="str">
        <f t="shared" si="32"/>
        <v>TiturationNaphthalin</v>
      </c>
      <c r="C1141" s="65" t="s">
        <v>121</v>
      </c>
      <c r="D1141" s="65" t="s">
        <v>824</v>
      </c>
      <c r="E1141" s="65" t="str">
        <f t="shared" si="33"/>
        <v>Naphthalin</v>
      </c>
      <c r="F1141" s="65" t="s">
        <v>962</v>
      </c>
      <c r="G1141" s="65" t="s">
        <v>963</v>
      </c>
      <c r="H1141" s="65" t="s">
        <v>964</v>
      </c>
      <c r="K1141" s="81">
        <v>0.01</v>
      </c>
      <c r="L1141" s="81">
        <v>1</v>
      </c>
    </row>
    <row r="1142" s="65" customFormat="1" customHeight="1" spans="1:12">
      <c r="A1142" s="77">
        <v>1139</v>
      </c>
      <c r="B1142" s="78" t="str">
        <f t="shared" si="32"/>
        <v>TiturationNat. Ars.</v>
      </c>
      <c r="C1142" s="65" t="s">
        <v>121</v>
      </c>
      <c r="D1142" s="65" t="s">
        <v>825</v>
      </c>
      <c r="E1142" s="65" t="str">
        <f t="shared" si="33"/>
        <v>Nat. Ars.</v>
      </c>
      <c r="F1142" s="65" t="s">
        <v>962</v>
      </c>
      <c r="G1142" s="65" t="s">
        <v>963</v>
      </c>
      <c r="H1142" s="65" t="s">
        <v>964</v>
      </c>
      <c r="K1142" s="81">
        <v>0.01</v>
      </c>
      <c r="L1142" s="81">
        <v>1</v>
      </c>
    </row>
    <row r="1143" s="65" customFormat="1" customHeight="1" spans="1:12">
      <c r="A1143" s="77">
        <v>1140</v>
      </c>
      <c r="B1143" s="78" t="str">
        <f t="shared" si="32"/>
        <v>TiturationOvaTosta (Cale. Ova. Tost)</v>
      </c>
      <c r="C1143" s="65" t="s">
        <v>121</v>
      </c>
      <c r="D1143" s="65" t="s">
        <v>845</v>
      </c>
      <c r="E1143" s="65" t="str">
        <f t="shared" si="33"/>
        <v>OvaTosta (Cale. Ova. Tost)</v>
      </c>
      <c r="F1143" s="65" t="s">
        <v>962</v>
      </c>
      <c r="G1143" s="65" t="s">
        <v>963</v>
      </c>
      <c r="H1143" s="65" t="s">
        <v>964</v>
      </c>
      <c r="K1143" s="81">
        <v>0.01</v>
      </c>
      <c r="L1143" s="81">
        <v>1</v>
      </c>
    </row>
    <row r="1144" s="65" customFormat="1" customHeight="1" spans="1:12">
      <c r="A1144" s="77">
        <v>1141</v>
      </c>
      <c r="B1144" s="78" t="str">
        <f t="shared" si="32"/>
        <v>TiturationSantoninum</v>
      </c>
      <c r="C1144" s="65" t="s">
        <v>121</v>
      </c>
      <c r="D1144" s="65" t="s">
        <v>898</v>
      </c>
      <c r="E1144" s="65" t="str">
        <f t="shared" si="33"/>
        <v>Santoninum</v>
      </c>
      <c r="F1144" s="65" t="s">
        <v>962</v>
      </c>
      <c r="G1144" s="65" t="s">
        <v>963</v>
      </c>
      <c r="H1144" s="65" t="s">
        <v>964</v>
      </c>
      <c r="K1144" s="81">
        <v>0.01</v>
      </c>
      <c r="L1144" s="81">
        <v>1</v>
      </c>
    </row>
    <row r="1145" s="65" customFormat="1" customHeight="1" spans="1:12">
      <c r="A1145" s="77">
        <v>1142</v>
      </c>
      <c r="B1145" s="78" t="str">
        <f t="shared" si="32"/>
        <v>TiturationSantoninum</v>
      </c>
      <c r="C1145" s="65" t="s">
        <v>121</v>
      </c>
      <c r="D1145" s="65" t="s">
        <v>898</v>
      </c>
      <c r="E1145" s="65" t="str">
        <f t="shared" si="33"/>
        <v>Santoninum</v>
      </c>
      <c r="F1145" s="65" t="s">
        <v>962</v>
      </c>
      <c r="G1145" s="65" t="s">
        <v>963</v>
      </c>
      <c r="H1145" s="65" t="s">
        <v>964</v>
      </c>
      <c r="K1145" s="81">
        <v>0.01</v>
      </c>
      <c r="L1145" s="81">
        <v>1</v>
      </c>
    </row>
    <row r="1146" s="65" customFormat="1" customHeight="1" spans="1:12">
      <c r="A1146" s="77">
        <v>1143</v>
      </c>
      <c r="B1146" s="78" t="str">
        <f t="shared" si="32"/>
        <v>TiturationSkookum Chuk.</v>
      </c>
      <c r="C1146" s="65" t="s">
        <v>121</v>
      </c>
      <c r="D1146" s="65" t="s">
        <v>911</v>
      </c>
      <c r="E1146" s="65" t="str">
        <f t="shared" si="33"/>
        <v>Skookum Chuk.</v>
      </c>
      <c r="F1146" s="65" t="s">
        <v>962</v>
      </c>
      <c r="G1146" s="65" t="s">
        <v>963</v>
      </c>
      <c r="H1146" s="65" t="s">
        <v>964</v>
      </c>
      <c r="K1146" s="81">
        <v>0.01</v>
      </c>
      <c r="L1146" s="81">
        <v>1</v>
      </c>
    </row>
    <row r="1147" s="65" customFormat="1" customHeight="1" spans="1:12">
      <c r="A1147" s="77">
        <v>1144</v>
      </c>
      <c r="B1147" s="78" t="str">
        <f t="shared" si="32"/>
        <v>TiturationStrychninum</v>
      </c>
      <c r="C1147" s="65" t="s">
        <v>121</v>
      </c>
      <c r="D1147" s="65" t="s">
        <v>928</v>
      </c>
      <c r="E1147" s="65" t="str">
        <f t="shared" si="33"/>
        <v>Strychninum</v>
      </c>
      <c r="F1147" s="65" t="s">
        <v>962</v>
      </c>
      <c r="G1147" s="65" t="s">
        <v>963</v>
      </c>
      <c r="H1147" s="65" t="s">
        <v>964</v>
      </c>
      <c r="K1147" s="81">
        <v>0.01</v>
      </c>
      <c r="L1147" s="81">
        <v>1</v>
      </c>
    </row>
    <row r="1148" s="65" customFormat="1" customHeight="1" spans="1:12">
      <c r="A1148" s="77">
        <v>1145</v>
      </c>
      <c r="B1148" s="78" t="str">
        <f t="shared" si="32"/>
        <v>TiturationStrychnium Nit.</v>
      </c>
      <c r="C1148" s="65" t="s">
        <v>121</v>
      </c>
      <c r="D1148" s="65" t="s">
        <v>970</v>
      </c>
      <c r="E1148" s="65" t="str">
        <f t="shared" si="33"/>
        <v>Strychnium Nit.</v>
      </c>
      <c r="F1148" s="65" t="s">
        <v>962</v>
      </c>
      <c r="G1148" s="65" t="s">
        <v>963</v>
      </c>
      <c r="H1148" s="65" t="s">
        <v>964</v>
      </c>
      <c r="K1148" s="81">
        <v>0.01</v>
      </c>
      <c r="L1148" s="81">
        <v>1</v>
      </c>
    </row>
    <row r="1149" s="65" customFormat="1" customHeight="1" spans="1:12">
      <c r="A1149" s="77">
        <v>1146</v>
      </c>
      <c r="B1149" s="78" t="str">
        <f t="shared" si="32"/>
        <v>TiturationStrychninum Pho</v>
      </c>
      <c r="C1149" s="65" t="s">
        <v>121</v>
      </c>
      <c r="D1149" s="65" t="s">
        <v>971</v>
      </c>
      <c r="E1149" s="65" t="str">
        <f t="shared" si="33"/>
        <v>Strychninum Pho</v>
      </c>
      <c r="F1149" s="65" t="s">
        <v>962</v>
      </c>
      <c r="G1149" s="65" t="s">
        <v>963</v>
      </c>
      <c r="H1149" s="65" t="s">
        <v>964</v>
      </c>
      <c r="K1149" s="81">
        <v>0.01</v>
      </c>
      <c r="L1149" s="81">
        <v>1</v>
      </c>
    </row>
    <row r="1150" s="65" customFormat="1" customHeight="1" spans="1:12">
      <c r="A1150" s="77">
        <v>1147</v>
      </c>
      <c r="B1150" s="78" t="str">
        <f t="shared" si="32"/>
        <v>TiturationSulphur</v>
      </c>
      <c r="C1150" s="65" t="s">
        <v>121</v>
      </c>
      <c r="D1150" s="65" t="s">
        <v>452</v>
      </c>
      <c r="E1150" s="65" t="str">
        <f t="shared" si="33"/>
        <v>Sulphur</v>
      </c>
      <c r="F1150" s="65" t="s">
        <v>962</v>
      </c>
      <c r="G1150" s="65" t="s">
        <v>963</v>
      </c>
      <c r="H1150" s="65" t="s">
        <v>964</v>
      </c>
      <c r="K1150" s="81">
        <v>0.01</v>
      </c>
      <c r="L1150" s="81">
        <v>1</v>
      </c>
    </row>
    <row r="1151" s="65" customFormat="1" customHeight="1" spans="1:12">
      <c r="A1151" s="77">
        <v>1148</v>
      </c>
      <c r="B1151" s="78" t="str">
        <f t="shared" si="32"/>
        <v>TiturationSulphur Iod.</v>
      </c>
      <c r="C1151" s="65" t="s">
        <v>121</v>
      </c>
      <c r="D1151" s="65" t="s">
        <v>930</v>
      </c>
      <c r="E1151" s="65" t="str">
        <f t="shared" si="33"/>
        <v>Sulphur Iod.</v>
      </c>
      <c r="F1151" s="65" t="s">
        <v>962</v>
      </c>
      <c r="G1151" s="65" t="s">
        <v>963</v>
      </c>
      <c r="H1151" s="65" t="s">
        <v>964</v>
      </c>
      <c r="K1151" s="81">
        <v>0.01</v>
      </c>
      <c r="L1151" s="81">
        <v>1</v>
      </c>
    </row>
    <row r="1152" s="65" customFormat="1" customHeight="1" spans="1:12">
      <c r="A1152" s="77">
        <v>1149</v>
      </c>
      <c r="B1152" s="78" t="str">
        <f t="shared" si="32"/>
        <v>TiturationThyroidinum</v>
      </c>
      <c r="C1152" s="65" t="s">
        <v>121</v>
      </c>
      <c r="D1152" s="65" t="s">
        <v>940</v>
      </c>
      <c r="E1152" s="65" t="str">
        <f t="shared" si="33"/>
        <v>Thyroidinum</v>
      </c>
      <c r="F1152" s="65" t="s">
        <v>962</v>
      </c>
      <c r="G1152" s="65" t="s">
        <v>963</v>
      </c>
      <c r="H1152" s="65" t="s">
        <v>964</v>
      </c>
      <c r="K1152" s="81">
        <v>0.01</v>
      </c>
      <c r="L1152" s="81">
        <v>1</v>
      </c>
    </row>
    <row r="1153" s="65" customFormat="1" customHeight="1" spans="1:12">
      <c r="A1153" s="77">
        <v>1150</v>
      </c>
      <c r="B1153" s="78" t="str">
        <f t="shared" si="32"/>
        <v>TiturationUranium Nit.</v>
      </c>
      <c r="C1153" s="65" t="s">
        <v>121</v>
      </c>
      <c r="D1153" s="65" t="s">
        <v>947</v>
      </c>
      <c r="E1153" s="65" t="str">
        <f t="shared" si="33"/>
        <v>Uranium Nit.</v>
      </c>
      <c r="F1153" s="65" t="s">
        <v>962</v>
      </c>
      <c r="G1153" s="65" t="s">
        <v>963</v>
      </c>
      <c r="H1153" s="65" t="s">
        <v>964</v>
      </c>
      <c r="K1153" s="81">
        <v>0.01</v>
      </c>
      <c r="L1153" s="81">
        <v>1</v>
      </c>
    </row>
    <row r="1154" s="65" customFormat="1" customHeight="1" spans="1:12">
      <c r="A1154" s="77">
        <v>1151</v>
      </c>
      <c r="B1154" s="78" t="str">
        <f t="shared" si="32"/>
        <v>TiturationUrea</v>
      </c>
      <c r="C1154" s="65" t="s">
        <v>121</v>
      </c>
      <c r="D1154" s="65" t="s">
        <v>948</v>
      </c>
      <c r="E1154" s="65" t="str">
        <f t="shared" si="33"/>
        <v>Urea</v>
      </c>
      <c r="F1154" s="65" t="s">
        <v>962</v>
      </c>
      <c r="G1154" s="65" t="s">
        <v>963</v>
      </c>
      <c r="H1154" s="65" t="s">
        <v>964</v>
      </c>
      <c r="K1154" s="81">
        <v>0.01</v>
      </c>
      <c r="L1154" s="81">
        <v>1</v>
      </c>
    </row>
    <row r="1155" s="65" customFormat="1" customHeight="1" spans="1:15">
      <c r="A1155" s="77">
        <v>1152</v>
      </c>
      <c r="B1155" s="78" t="str">
        <f t="shared" si="32"/>
        <v>Bio ChemicCalcarea Fluor</v>
      </c>
      <c r="C1155" s="65" t="s">
        <v>122</v>
      </c>
      <c r="D1155" s="83" t="s">
        <v>972</v>
      </c>
      <c r="E1155" s="83" t="str">
        <f t="shared" si="33"/>
        <v>Calcarea Fluor</v>
      </c>
      <c r="F1155" s="65" t="s">
        <v>962</v>
      </c>
      <c r="G1155" s="65" t="s">
        <v>963</v>
      </c>
      <c r="H1155" s="65" t="s">
        <v>964</v>
      </c>
      <c r="K1155" s="81">
        <v>0.01</v>
      </c>
      <c r="L1155" s="81">
        <v>1</v>
      </c>
      <c r="M1155" s="91">
        <v>0.00125</v>
      </c>
      <c r="N1155" s="87">
        <v>0.025</v>
      </c>
      <c r="O1155" s="87"/>
    </row>
    <row r="1156" s="65" customFormat="1" customHeight="1" spans="1:15">
      <c r="A1156" s="77">
        <v>1153</v>
      </c>
      <c r="B1156" s="78" t="str">
        <f t="shared" si="32"/>
        <v>Bio ChemicCalcarea Phos</v>
      </c>
      <c r="C1156" s="65" t="s">
        <v>122</v>
      </c>
      <c r="D1156" s="83" t="s">
        <v>973</v>
      </c>
      <c r="E1156" s="83" t="str">
        <f t="shared" si="33"/>
        <v>Calcarea Phos</v>
      </c>
      <c r="F1156" s="65" t="s">
        <v>962</v>
      </c>
      <c r="G1156" s="65" t="s">
        <v>963</v>
      </c>
      <c r="H1156" s="65" t="s">
        <v>964</v>
      </c>
      <c r="K1156" s="81">
        <v>0.01</v>
      </c>
      <c r="L1156" s="81">
        <v>1</v>
      </c>
      <c r="M1156" s="91">
        <v>0.00125</v>
      </c>
      <c r="N1156" s="87">
        <v>0.025</v>
      </c>
      <c r="O1156" s="91"/>
    </row>
    <row r="1157" s="65" customFormat="1" customHeight="1" spans="1:14">
      <c r="A1157" s="77">
        <v>1154</v>
      </c>
      <c r="B1157" s="78" t="str">
        <f t="shared" ref="B1157:B1220" si="34">+C1157&amp;E1157</f>
        <v>Bio ChemicCalcarea Sulph</v>
      </c>
      <c r="C1157" s="65" t="s">
        <v>122</v>
      </c>
      <c r="D1157" s="83" t="s">
        <v>974</v>
      </c>
      <c r="E1157" s="83" t="str">
        <f t="shared" si="33"/>
        <v>Calcarea Sulph</v>
      </c>
      <c r="F1157" s="65" t="s">
        <v>962</v>
      </c>
      <c r="G1157" s="65" t="s">
        <v>963</v>
      </c>
      <c r="H1157" s="65" t="s">
        <v>964</v>
      </c>
      <c r="K1157" s="81">
        <v>0.01</v>
      </c>
      <c r="L1157" s="81">
        <v>1</v>
      </c>
      <c r="M1157" s="91">
        <v>0.00125</v>
      </c>
      <c r="N1157" s="87">
        <v>0.025</v>
      </c>
    </row>
    <row r="1158" s="65" customFormat="1" customHeight="1" spans="1:14">
      <c r="A1158" s="77">
        <v>1155</v>
      </c>
      <c r="B1158" s="78" t="str">
        <f t="shared" si="34"/>
        <v>Bio ChemicFerrum Phos</v>
      </c>
      <c r="C1158" s="65" t="s">
        <v>122</v>
      </c>
      <c r="D1158" s="83" t="s">
        <v>975</v>
      </c>
      <c r="E1158" s="83" t="str">
        <f t="shared" si="33"/>
        <v>Ferrum Phos</v>
      </c>
      <c r="F1158" s="65" t="s">
        <v>962</v>
      </c>
      <c r="G1158" s="65" t="s">
        <v>963</v>
      </c>
      <c r="H1158" s="65" t="s">
        <v>964</v>
      </c>
      <c r="K1158" s="81">
        <v>0.01</v>
      </c>
      <c r="L1158" s="81">
        <v>1</v>
      </c>
      <c r="M1158" s="91">
        <v>0.00125</v>
      </c>
      <c r="N1158" s="87">
        <v>0.025</v>
      </c>
    </row>
    <row r="1159" s="65" customFormat="1" customHeight="1" spans="1:14">
      <c r="A1159" s="77">
        <v>1156</v>
      </c>
      <c r="B1159" s="78" t="str">
        <f t="shared" si="34"/>
        <v>Bio ChemicKali Mur</v>
      </c>
      <c r="C1159" s="65" t="s">
        <v>122</v>
      </c>
      <c r="D1159" s="83" t="s">
        <v>976</v>
      </c>
      <c r="E1159" s="83" t="str">
        <f t="shared" ref="E1159:E1166" si="35">+D1159</f>
        <v>Kali Mur</v>
      </c>
      <c r="F1159" s="65" t="s">
        <v>962</v>
      </c>
      <c r="G1159" s="65" t="s">
        <v>963</v>
      </c>
      <c r="H1159" s="65" t="s">
        <v>964</v>
      </c>
      <c r="K1159" s="81">
        <v>0.01</v>
      </c>
      <c r="L1159" s="81">
        <v>1</v>
      </c>
      <c r="M1159" s="91">
        <v>0.00125</v>
      </c>
      <c r="N1159" s="87">
        <v>0.025</v>
      </c>
    </row>
    <row r="1160" s="65" customFormat="1" customHeight="1" spans="1:14">
      <c r="A1160" s="77">
        <v>1157</v>
      </c>
      <c r="B1160" s="78" t="str">
        <f t="shared" si="34"/>
        <v>Bio ChemicKali Phos.</v>
      </c>
      <c r="C1160" s="65" t="s">
        <v>122</v>
      </c>
      <c r="D1160" s="83" t="s">
        <v>770</v>
      </c>
      <c r="E1160" s="83" t="str">
        <f t="shared" si="35"/>
        <v>Kali Phos.</v>
      </c>
      <c r="F1160" s="65" t="s">
        <v>962</v>
      </c>
      <c r="G1160" s="65" t="s">
        <v>963</v>
      </c>
      <c r="H1160" s="65" t="s">
        <v>964</v>
      </c>
      <c r="K1160" s="81">
        <v>0.01</v>
      </c>
      <c r="L1160" s="81">
        <v>1</v>
      </c>
      <c r="M1160" s="91">
        <v>0.00125</v>
      </c>
      <c r="N1160" s="87">
        <v>0.025</v>
      </c>
    </row>
    <row r="1161" s="65" customFormat="1" customHeight="1" spans="1:14">
      <c r="A1161" s="77">
        <v>1158</v>
      </c>
      <c r="B1161" s="78" t="str">
        <f t="shared" si="34"/>
        <v>Bio ChemicKali Sulph</v>
      </c>
      <c r="C1161" s="65" t="s">
        <v>122</v>
      </c>
      <c r="D1161" s="83" t="s">
        <v>977</v>
      </c>
      <c r="E1161" s="83" t="str">
        <f t="shared" si="35"/>
        <v>Kali Sulph</v>
      </c>
      <c r="F1161" s="65" t="s">
        <v>962</v>
      </c>
      <c r="G1161" s="65" t="s">
        <v>963</v>
      </c>
      <c r="H1161" s="65" t="s">
        <v>964</v>
      </c>
      <c r="K1161" s="81">
        <v>0.01</v>
      </c>
      <c r="L1161" s="81">
        <v>1</v>
      </c>
      <c r="M1161" s="91">
        <v>0.00125</v>
      </c>
      <c r="N1161" s="87">
        <v>0.025</v>
      </c>
    </row>
    <row r="1162" s="65" customFormat="1" customHeight="1" spans="1:14">
      <c r="A1162" s="77">
        <v>1159</v>
      </c>
      <c r="B1162" s="78" t="str">
        <f t="shared" si="34"/>
        <v>Bio ChemicNat. Phos</v>
      </c>
      <c r="C1162" s="65" t="s">
        <v>122</v>
      </c>
      <c r="D1162" s="83" t="s">
        <v>978</v>
      </c>
      <c r="E1162" s="83" t="str">
        <f t="shared" si="35"/>
        <v>Nat. Phos</v>
      </c>
      <c r="F1162" s="65" t="s">
        <v>962</v>
      </c>
      <c r="G1162" s="65" t="s">
        <v>963</v>
      </c>
      <c r="H1162" s="65" t="s">
        <v>964</v>
      </c>
      <c r="K1162" s="81">
        <v>0.01</v>
      </c>
      <c r="L1162" s="81">
        <v>1</v>
      </c>
      <c r="M1162" s="91">
        <v>0.00125</v>
      </c>
      <c r="N1162" s="87">
        <v>0.025</v>
      </c>
    </row>
    <row r="1163" s="65" customFormat="1" customHeight="1" spans="1:14">
      <c r="A1163" s="77">
        <v>1160</v>
      </c>
      <c r="B1163" s="78" t="str">
        <f t="shared" si="34"/>
        <v>Bio ChemicNat. Sulph</v>
      </c>
      <c r="C1163" s="65" t="s">
        <v>122</v>
      </c>
      <c r="D1163" s="83" t="s">
        <v>979</v>
      </c>
      <c r="E1163" s="83" t="str">
        <f t="shared" si="35"/>
        <v>Nat. Sulph</v>
      </c>
      <c r="F1163" s="65" t="s">
        <v>962</v>
      </c>
      <c r="G1163" s="65" t="s">
        <v>963</v>
      </c>
      <c r="H1163" s="65" t="s">
        <v>964</v>
      </c>
      <c r="K1163" s="81">
        <v>0.01</v>
      </c>
      <c r="L1163" s="81">
        <v>1</v>
      </c>
      <c r="M1163" s="91">
        <v>0.00125</v>
      </c>
      <c r="N1163" s="87">
        <v>0.025</v>
      </c>
    </row>
    <row r="1164" s="65" customFormat="1" customHeight="1" spans="1:14">
      <c r="A1164" s="77">
        <v>1161</v>
      </c>
      <c r="B1164" s="78" t="str">
        <f t="shared" si="34"/>
        <v>Bio ChemicNat. Mur</v>
      </c>
      <c r="C1164" s="65" t="s">
        <v>122</v>
      </c>
      <c r="D1164" s="83" t="s">
        <v>980</v>
      </c>
      <c r="E1164" s="83" t="str">
        <f t="shared" si="35"/>
        <v>Nat. Mur</v>
      </c>
      <c r="F1164" s="65" t="s">
        <v>962</v>
      </c>
      <c r="G1164" s="65" t="s">
        <v>963</v>
      </c>
      <c r="H1164" s="65" t="s">
        <v>964</v>
      </c>
      <c r="K1164" s="81">
        <v>0.01</v>
      </c>
      <c r="L1164" s="81">
        <v>1</v>
      </c>
      <c r="M1164" s="91">
        <v>0.00125</v>
      </c>
      <c r="N1164" s="87">
        <v>0.025</v>
      </c>
    </row>
    <row r="1165" s="65" customFormat="1" customHeight="1" spans="1:14">
      <c r="A1165" s="77">
        <v>1162</v>
      </c>
      <c r="B1165" s="78" t="str">
        <f t="shared" si="34"/>
        <v>Bio ChemicMag. Phos</v>
      </c>
      <c r="C1165" s="65" t="s">
        <v>122</v>
      </c>
      <c r="D1165" s="83" t="s">
        <v>981</v>
      </c>
      <c r="E1165" s="83" t="str">
        <f t="shared" si="35"/>
        <v>Mag. Phos</v>
      </c>
      <c r="F1165" s="65" t="s">
        <v>962</v>
      </c>
      <c r="G1165" s="65" t="s">
        <v>963</v>
      </c>
      <c r="H1165" s="65" t="s">
        <v>964</v>
      </c>
      <c r="K1165" s="81">
        <v>0.01</v>
      </c>
      <c r="L1165" s="81">
        <v>1</v>
      </c>
      <c r="M1165" s="91">
        <v>0.00125</v>
      </c>
      <c r="N1165" s="87">
        <v>0.025</v>
      </c>
    </row>
    <row r="1166" s="65" customFormat="1" customHeight="1" spans="1:14">
      <c r="A1166" s="77">
        <v>1163</v>
      </c>
      <c r="B1166" s="78" t="str">
        <f t="shared" si="34"/>
        <v>Bio ChemicSilicea</v>
      </c>
      <c r="C1166" s="65" t="s">
        <v>122</v>
      </c>
      <c r="D1166" s="83" t="s">
        <v>514</v>
      </c>
      <c r="E1166" s="83" t="str">
        <f t="shared" si="35"/>
        <v>Silicea</v>
      </c>
      <c r="F1166" s="65" t="s">
        <v>962</v>
      </c>
      <c r="G1166" s="65" t="s">
        <v>963</v>
      </c>
      <c r="H1166" s="65" t="s">
        <v>964</v>
      </c>
      <c r="K1166" s="81">
        <v>0.01</v>
      </c>
      <c r="L1166" s="81">
        <v>1</v>
      </c>
      <c r="M1166" s="91">
        <v>0.00125</v>
      </c>
      <c r="N1166" s="87">
        <v>0.025</v>
      </c>
    </row>
    <row r="1167" s="65" customFormat="1" customHeight="1" spans="1:14">
      <c r="A1167" s="77">
        <v>1164</v>
      </c>
      <c r="B1167" s="78" t="str">
        <f>+C1167&amp;D1167</f>
        <v>GlobuleGlobule</v>
      </c>
      <c r="C1167" s="65" t="s">
        <v>123</v>
      </c>
      <c r="D1167" s="65" t="s">
        <v>123</v>
      </c>
      <c r="E1167" s="65" t="s">
        <v>517</v>
      </c>
      <c r="F1167" s="65" t="s">
        <v>194</v>
      </c>
      <c r="K1167" s="81">
        <v>1</v>
      </c>
      <c r="L1167" s="87">
        <v>0.1</v>
      </c>
      <c r="M1167" s="87"/>
      <c r="N1167" s="87"/>
    </row>
    <row r="1168" s="65" customFormat="1" customHeight="1" spans="1:14">
      <c r="A1168" s="77">
        <v>1165</v>
      </c>
      <c r="B1168" s="78" t="str">
        <f t="shared" si="34"/>
        <v/>
      </c>
      <c r="C1168" s="78"/>
      <c r="K1168" s="81">
        <v>1</v>
      </c>
      <c r="L1168" s="87"/>
      <c r="M1168" s="87"/>
      <c r="N1168" s="87"/>
    </row>
    <row r="1169" s="65" customFormat="1" customHeight="1" spans="1:14">
      <c r="A1169" s="77">
        <v>1166</v>
      </c>
      <c r="B1169" s="78" t="str">
        <f t="shared" si="34"/>
        <v/>
      </c>
      <c r="K1169" s="87"/>
      <c r="L1169" s="87"/>
      <c r="M1169" s="87"/>
      <c r="N1169" s="87"/>
    </row>
    <row r="1170" s="65" customFormat="1" customHeight="1" spans="1:14">
      <c r="A1170" s="77">
        <v>1167</v>
      </c>
      <c r="B1170" s="78" t="str">
        <f t="shared" si="34"/>
        <v/>
      </c>
      <c r="K1170" s="87"/>
      <c r="L1170" s="87"/>
      <c r="M1170" s="87"/>
      <c r="N1170" s="87"/>
    </row>
    <row r="1171" s="65" customFormat="1" customHeight="1" spans="1:14">
      <c r="A1171" s="77">
        <v>1168</v>
      </c>
      <c r="B1171" s="78" t="str">
        <f t="shared" si="34"/>
        <v/>
      </c>
      <c r="K1171" s="87"/>
      <c r="L1171" s="87"/>
      <c r="M1171" s="87"/>
      <c r="N1171" s="87"/>
    </row>
    <row r="1172" s="65" customFormat="1" customHeight="1" spans="1:14">
      <c r="A1172" s="77">
        <v>1169</v>
      </c>
      <c r="B1172" s="78" t="str">
        <f t="shared" si="34"/>
        <v/>
      </c>
      <c r="K1172" s="87"/>
      <c r="L1172" s="87"/>
      <c r="M1172" s="87"/>
      <c r="N1172" s="87"/>
    </row>
    <row r="1173" s="65" customFormat="1" customHeight="1" spans="1:14">
      <c r="A1173" s="77">
        <v>1170</v>
      </c>
      <c r="B1173" s="78" t="str">
        <f t="shared" si="34"/>
        <v/>
      </c>
      <c r="K1173" s="87"/>
      <c r="L1173" s="87"/>
      <c r="M1173" s="87"/>
      <c r="N1173" s="87"/>
    </row>
    <row r="1174" s="65" customFormat="1" customHeight="1" spans="1:14">
      <c r="A1174" s="77">
        <v>1171</v>
      </c>
      <c r="B1174" s="78" t="str">
        <f t="shared" si="34"/>
        <v/>
      </c>
      <c r="K1174" s="87"/>
      <c r="L1174" s="87"/>
      <c r="M1174" s="87"/>
      <c r="N1174" s="87"/>
    </row>
    <row r="1175" s="65" customFormat="1" customHeight="1" spans="1:14">
      <c r="A1175" s="77">
        <v>1172</v>
      </c>
      <c r="B1175" s="78" t="str">
        <f t="shared" si="34"/>
        <v/>
      </c>
      <c r="K1175" s="87"/>
      <c r="L1175" s="87"/>
      <c r="M1175" s="87"/>
      <c r="N1175" s="87"/>
    </row>
    <row r="1176" s="65" customFormat="1" customHeight="1" spans="1:14">
      <c r="A1176" s="77">
        <v>1173</v>
      </c>
      <c r="B1176" s="78" t="str">
        <f t="shared" si="34"/>
        <v/>
      </c>
      <c r="K1176" s="87"/>
      <c r="L1176" s="87"/>
      <c r="M1176" s="87"/>
      <c r="N1176" s="87"/>
    </row>
    <row r="1177" s="65" customFormat="1" customHeight="1" spans="1:14">
      <c r="A1177" s="77">
        <v>1174</v>
      </c>
      <c r="B1177" s="78" t="str">
        <f t="shared" si="34"/>
        <v/>
      </c>
      <c r="K1177" s="87"/>
      <c r="L1177" s="87"/>
      <c r="M1177" s="87"/>
      <c r="N1177" s="87"/>
    </row>
    <row r="1178" s="65" customFormat="1" customHeight="1" spans="1:14">
      <c r="A1178" s="77">
        <v>1175</v>
      </c>
      <c r="B1178" s="78" t="str">
        <f t="shared" si="34"/>
        <v/>
      </c>
      <c r="K1178" s="87"/>
      <c r="L1178" s="87"/>
      <c r="M1178" s="87"/>
      <c r="N1178" s="87"/>
    </row>
    <row r="1179" s="65" customFormat="1" customHeight="1" spans="1:14">
      <c r="A1179" s="77">
        <v>1176</v>
      </c>
      <c r="B1179" s="78" t="str">
        <f t="shared" si="34"/>
        <v/>
      </c>
      <c r="K1179" s="87"/>
      <c r="L1179" s="87"/>
      <c r="M1179" s="87"/>
      <c r="N1179" s="87"/>
    </row>
    <row r="1180" s="65" customFormat="1" customHeight="1" spans="1:14">
      <c r="A1180" s="77">
        <v>1177</v>
      </c>
      <c r="B1180" s="78" t="str">
        <f t="shared" si="34"/>
        <v/>
      </c>
      <c r="K1180" s="87"/>
      <c r="L1180" s="87"/>
      <c r="M1180" s="87"/>
      <c r="N1180" s="87"/>
    </row>
    <row r="1181" s="65" customFormat="1" customHeight="1" spans="1:14">
      <c r="A1181" s="77">
        <v>1178</v>
      </c>
      <c r="B1181" s="78" t="str">
        <f t="shared" si="34"/>
        <v/>
      </c>
      <c r="K1181" s="87"/>
      <c r="L1181" s="87"/>
      <c r="M1181" s="87"/>
      <c r="N1181" s="87"/>
    </row>
    <row r="1182" s="65" customFormat="1" customHeight="1" spans="1:14">
      <c r="A1182" s="77">
        <v>1179</v>
      </c>
      <c r="B1182" s="78" t="str">
        <f t="shared" si="34"/>
        <v/>
      </c>
      <c r="K1182" s="87"/>
      <c r="L1182" s="87"/>
      <c r="M1182" s="87"/>
      <c r="N1182" s="87"/>
    </row>
    <row r="1183" s="65" customFormat="1" customHeight="1" spans="1:14">
      <c r="A1183" s="77">
        <v>1180</v>
      </c>
      <c r="B1183" s="78" t="str">
        <f t="shared" si="34"/>
        <v/>
      </c>
      <c r="K1183" s="87"/>
      <c r="L1183" s="87"/>
      <c r="M1183" s="87"/>
      <c r="N1183" s="87"/>
    </row>
    <row r="1184" s="65" customFormat="1" customHeight="1" spans="1:14">
      <c r="A1184" s="77">
        <v>1181</v>
      </c>
      <c r="B1184" s="78" t="str">
        <f t="shared" si="34"/>
        <v/>
      </c>
      <c r="K1184" s="87"/>
      <c r="L1184" s="87"/>
      <c r="M1184" s="87"/>
      <c r="N1184" s="87"/>
    </row>
    <row r="1185" s="65" customFormat="1" customHeight="1" spans="1:14">
      <c r="A1185" s="77">
        <v>1182</v>
      </c>
      <c r="B1185" s="78" t="str">
        <f t="shared" si="34"/>
        <v/>
      </c>
      <c r="K1185" s="87"/>
      <c r="L1185" s="87"/>
      <c r="M1185" s="87"/>
      <c r="N1185" s="87"/>
    </row>
    <row r="1186" s="65" customFormat="1" customHeight="1" spans="1:14">
      <c r="A1186" s="77">
        <v>1183</v>
      </c>
      <c r="B1186" s="78" t="str">
        <f t="shared" si="34"/>
        <v/>
      </c>
      <c r="K1186" s="87"/>
      <c r="L1186" s="87"/>
      <c r="M1186" s="87"/>
      <c r="N1186" s="87"/>
    </row>
    <row r="1187" s="65" customFormat="1" customHeight="1" spans="1:14">
      <c r="A1187" s="77">
        <v>1184</v>
      </c>
      <c r="B1187" s="78" t="str">
        <f t="shared" si="34"/>
        <v/>
      </c>
      <c r="K1187" s="87"/>
      <c r="L1187" s="87"/>
      <c r="M1187" s="87"/>
      <c r="N1187" s="87"/>
    </row>
    <row r="1188" s="65" customFormat="1" customHeight="1" spans="1:14">
      <c r="A1188" s="77">
        <v>1185</v>
      </c>
      <c r="B1188" s="78" t="str">
        <f t="shared" si="34"/>
        <v/>
      </c>
      <c r="K1188" s="87"/>
      <c r="L1188" s="87"/>
      <c r="M1188" s="87"/>
      <c r="N1188" s="87"/>
    </row>
    <row r="1189" s="65" customFormat="1" customHeight="1" spans="1:14">
      <c r="A1189" s="77">
        <v>1186</v>
      </c>
      <c r="B1189" s="78" t="str">
        <f t="shared" si="34"/>
        <v/>
      </c>
      <c r="K1189" s="87"/>
      <c r="L1189" s="87"/>
      <c r="M1189" s="87"/>
      <c r="N1189" s="87"/>
    </row>
    <row r="1190" s="65" customFormat="1" customHeight="1" spans="1:14">
      <c r="A1190" s="77">
        <v>1187</v>
      </c>
      <c r="B1190" s="78" t="str">
        <f t="shared" si="34"/>
        <v/>
      </c>
      <c r="K1190" s="87"/>
      <c r="L1190" s="87"/>
      <c r="M1190" s="87"/>
      <c r="N1190" s="87"/>
    </row>
    <row r="1191" s="65" customFormat="1" customHeight="1" spans="1:14">
      <c r="A1191" s="77">
        <v>1188</v>
      </c>
      <c r="B1191" s="78" t="str">
        <f t="shared" si="34"/>
        <v/>
      </c>
      <c r="K1191" s="87"/>
      <c r="L1191" s="87"/>
      <c r="M1191" s="87"/>
      <c r="N1191" s="87"/>
    </row>
    <row r="1192" s="65" customFormat="1" customHeight="1" spans="1:14">
      <c r="A1192" s="77">
        <v>1189</v>
      </c>
      <c r="B1192" s="78" t="str">
        <f t="shared" si="34"/>
        <v/>
      </c>
      <c r="K1192" s="87"/>
      <c r="L1192" s="87"/>
      <c r="M1192" s="87"/>
      <c r="N1192" s="87"/>
    </row>
    <row r="1193" s="65" customFormat="1" customHeight="1" spans="1:14">
      <c r="A1193" s="77">
        <v>1190</v>
      </c>
      <c r="B1193" s="78" t="str">
        <f t="shared" si="34"/>
        <v/>
      </c>
      <c r="K1193" s="87"/>
      <c r="L1193" s="87"/>
      <c r="M1193" s="87"/>
      <c r="N1193" s="87"/>
    </row>
    <row r="1194" s="65" customFormat="1" customHeight="1" spans="1:14">
      <c r="A1194" s="77">
        <v>1191</v>
      </c>
      <c r="B1194" s="78" t="str">
        <f t="shared" si="34"/>
        <v/>
      </c>
      <c r="K1194" s="87"/>
      <c r="L1194" s="87"/>
      <c r="M1194" s="87"/>
      <c r="N1194" s="87"/>
    </row>
    <row r="1195" s="65" customFormat="1" customHeight="1" spans="1:14">
      <c r="A1195" s="77">
        <v>1192</v>
      </c>
      <c r="B1195" s="78" t="str">
        <f t="shared" si="34"/>
        <v/>
      </c>
      <c r="K1195" s="87"/>
      <c r="L1195" s="87"/>
      <c r="M1195" s="87"/>
      <c r="N1195" s="87"/>
    </row>
    <row r="1196" s="65" customFormat="1" customHeight="1" spans="1:14">
      <c r="A1196" s="77">
        <v>1193</v>
      </c>
      <c r="B1196" s="78" t="str">
        <f t="shared" si="34"/>
        <v/>
      </c>
      <c r="K1196" s="87"/>
      <c r="L1196" s="87"/>
      <c r="M1196" s="87"/>
      <c r="N1196" s="87"/>
    </row>
    <row r="1197" s="65" customFormat="1" customHeight="1" spans="1:14">
      <c r="A1197" s="77">
        <v>1194</v>
      </c>
      <c r="B1197" s="78" t="str">
        <f t="shared" si="34"/>
        <v/>
      </c>
      <c r="K1197" s="87"/>
      <c r="L1197" s="87"/>
      <c r="M1197" s="87"/>
      <c r="N1197" s="87"/>
    </row>
    <row r="1198" s="65" customFormat="1" customHeight="1" spans="1:14">
      <c r="A1198" s="77">
        <v>1195</v>
      </c>
      <c r="B1198" s="78" t="str">
        <f t="shared" si="34"/>
        <v/>
      </c>
      <c r="K1198" s="87"/>
      <c r="L1198" s="87"/>
      <c r="M1198" s="87"/>
      <c r="N1198" s="87"/>
    </row>
    <row r="1199" s="65" customFormat="1" customHeight="1" spans="1:14">
      <c r="A1199" s="77">
        <v>1196</v>
      </c>
      <c r="B1199" s="78" t="str">
        <f t="shared" si="34"/>
        <v/>
      </c>
      <c r="K1199" s="87"/>
      <c r="L1199" s="87"/>
      <c r="M1199" s="87"/>
      <c r="N1199" s="87"/>
    </row>
    <row r="1200" s="65" customFormat="1" customHeight="1" spans="1:14">
      <c r="A1200" s="77">
        <v>1197</v>
      </c>
      <c r="B1200" s="78" t="str">
        <f t="shared" si="34"/>
        <v/>
      </c>
      <c r="K1200" s="87"/>
      <c r="L1200" s="87"/>
      <c r="M1200" s="87"/>
      <c r="N1200" s="87"/>
    </row>
    <row r="1201" s="65" customFormat="1" customHeight="1" spans="1:14">
      <c r="A1201" s="77">
        <v>1198</v>
      </c>
      <c r="B1201" s="78" t="str">
        <f t="shared" si="34"/>
        <v/>
      </c>
      <c r="K1201" s="87"/>
      <c r="L1201" s="87"/>
      <c r="M1201" s="87"/>
      <c r="N1201" s="87"/>
    </row>
    <row r="1202" s="65" customFormat="1" customHeight="1" spans="1:14">
      <c r="A1202" s="77">
        <v>1199</v>
      </c>
      <c r="B1202" s="78" t="str">
        <f t="shared" si="34"/>
        <v/>
      </c>
      <c r="K1202" s="87"/>
      <c r="L1202" s="87"/>
      <c r="M1202" s="87"/>
      <c r="N1202" s="87"/>
    </row>
    <row r="1203" s="65" customFormat="1" customHeight="1" spans="1:14">
      <c r="A1203" s="77">
        <v>1200</v>
      </c>
      <c r="B1203" s="78" t="str">
        <f t="shared" si="34"/>
        <v/>
      </c>
      <c r="K1203" s="87"/>
      <c r="L1203" s="87"/>
      <c r="M1203" s="87"/>
      <c r="N1203" s="87"/>
    </row>
    <row r="1204" s="65" customFormat="1" customHeight="1" spans="1:14">
      <c r="A1204" s="77">
        <v>1201</v>
      </c>
      <c r="B1204" s="78" t="str">
        <f t="shared" si="34"/>
        <v/>
      </c>
      <c r="K1204" s="87"/>
      <c r="L1204" s="87"/>
      <c r="M1204" s="87"/>
      <c r="N1204" s="87"/>
    </row>
    <row r="1205" s="65" customFormat="1" customHeight="1" spans="1:14">
      <c r="A1205" s="77">
        <v>1202</v>
      </c>
      <c r="B1205" s="78" t="str">
        <f t="shared" si="34"/>
        <v/>
      </c>
      <c r="K1205" s="87"/>
      <c r="L1205" s="87"/>
      <c r="M1205" s="87"/>
      <c r="N1205" s="87"/>
    </row>
    <row r="1206" s="65" customFormat="1" customHeight="1" spans="1:14">
      <c r="A1206" s="77">
        <v>1203</v>
      </c>
      <c r="B1206" s="78" t="str">
        <f t="shared" si="34"/>
        <v/>
      </c>
      <c r="K1206" s="87"/>
      <c r="L1206" s="87"/>
      <c r="M1206" s="87"/>
      <c r="N1206" s="87"/>
    </row>
    <row r="1207" s="65" customFormat="1" customHeight="1" spans="1:14">
      <c r="A1207" s="77">
        <v>1204</v>
      </c>
      <c r="B1207" s="78" t="str">
        <f t="shared" si="34"/>
        <v/>
      </c>
      <c r="K1207" s="87"/>
      <c r="L1207" s="87"/>
      <c r="M1207" s="87"/>
      <c r="N1207" s="87"/>
    </row>
    <row r="1208" s="65" customFormat="1" customHeight="1" spans="1:14">
      <c r="A1208" s="77">
        <v>1205</v>
      </c>
      <c r="B1208" s="78" t="str">
        <f t="shared" si="34"/>
        <v/>
      </c>
      <c r="K1208" s="87"/>
      <c r="L1208" s="87"/>
      <c r="M1208" s="87"/>
      <c r="N1208" s="87"/>
    </row>
    <row r="1209" s="65" customFormat="1" customHeight="1" spans="1:14">
      <c r="A1209" s="77">
        <v>1206</v>
      </c>
      <c r="B1209" s="78" t="str">
        <f t="shared" si="34"/>
        <v/>
      </c>
      <c r="K1209" s="87"/>
      <c r="L1209" s="87"/>
      <c r="M1209" s="87"/>
      <c r="N1209" s="87"/>
    </row>
    <row r="1210" s="65" customFormat="1" customHeight="1" spans="1:14">
      <c r="A1210" s="77">
        <v>1207</v>
      </c>
      <c r="B1210" s="78" t="str">
        <f t="shared" si="34"/>
        <v/>
      </c>
      <c r="K1210" s="87"/>
      <c r="L1210" s="87"/>
      <c r="M1210" s="87"/>
      <c r="N1210" s="87"/>
    </row>
    <row r="1211" s="65" customFormat="1" customHeight="1" spans="1:14">
      <c r="A1211" s="77">
        <v>1208</v>
      </c>
      <c r="B1211" s="78" t="str">
        <f t="shared" si="34"/>
        <v/>
      </c>
      <c r="K1211" s="87"/>
      <c r="L1211" s="87"/>
      <c r="M1211" s="87"/>
      <c r="N1211" s="87"/>
    </row>
    <row r="1212" s="65" customFormat="1" customHeight="1" spans="1:14">
      <c r="A1212" s="77">
        <v>1209</v>
      </c>
      <c r="B1212" s="78" t="str">
        <f t="shared" si="34"/>
        <v/>
      </c>
      <c r="K1212" s="87"/>
      <c r="L1212" s="87"/>
      <c r="M1212" s="87"/>
      <c r="N1212" s="87"/>
    </row>
    <row r="1213" s="65" customFormat="1" customHeight="1" spans="1:14">
      <c r="A1213" s="77">
        <v>1210</v>
      </c>
      <c r="B1213" s="78" t="str">
        <f t="shared" si="34"/>
        <v/>
      </c>
      <c r="K1213" s="87"/>
      <c r="L1213" s="87"/>
      <c r="M1213" s="87"/>
      <c r="N1213" s="87"/>
    </row>
    <row r="1214" s="65" customFormat="1" customHeight="1" spans="1:14">
      <c r="A1214" s="77">
        <v>1211</v>
      </c>
      <c r="B1214" s="78" t="str">
        <f t="shared" si="34"/>
        <v/>
      </c>
      <c r="K1214" s="87"/>
      <c r="L1214" s="87"/>
      <c r="M1214" s="87"/>
      <c r="N1214" s="87"/>
    </row>
    <row r="1215" s="65" customFormat="1" customHeight="1" spans="1:14">
      <c r="A1215" s="77">
        <v>1212</v>
      </c>
      <c r="B1215" s="78" t="str">
        <f t="shared" si="34"/>
        <v/>
      </c>
      <c r="K1215" s="87"/>
      <c r="L1215" s="87"/>
      <c r="M1215" s="87"/>
      <c r="N1215" s="87"/>
    </row>
    <row r="1216" s="65" customFormat="1" customHeight="1" spans="1:14">
      <c r="A1216" s="77">
        <v>1213</v>
      </c>
      <c r="B1216" s="78" t="str">
        <f t="shared" si="34"/>
        <v/>
      </c>
      <c r="K1216" s="87"/>
      <c r="L1216" s="87"/>
      <c r="M1216" s="87"/>
      <c r="N1216" s="87"/>
    </row>
    <row r="1217" s="65" customFormat="1" customHeight="1" spans="1:14">
      <c r="A1217" s="77">
        <v>1214</v>
      </c>
      <c r="B1217" s="78" t="str">
        <f t="shared" si="34"/>
        <v/>
      </c>
      <c r="K1217" s="87"/>
      <c r="L1217" s="87"/>
      <c r="M1217" s="87"/>
      <c r="N1217" s="87"/>
    </row>
    <row r="1218" s="65" customFormat="1" customHeight="1" spans="1:14">
      <c r="A1218" s="77">
        <v>1215</v>
      </c>
      <c r="B1218" s="78" t="str">
        <f t="shared" si="34"/>
        <v/>
      </c>
      <c r="K1218" s="87"/>
      <c r="L1218" s="87"/>
      <c r="M1218" s="87"/>
      <c r="N1218" s="87"/>
    </row>
    <row r="1219" s="65" customFormat="1" customHeight="1" spans="1:14">
      <c r="A1219" s="77">
        <v>1216</v>
      </c>
      <c r="B1219" s="78" t="str">
        <f t="shared" si="34"/>
        <v/>
      </c>
      <c r="K1219" s="87"/>
      <c r="L1219" s="87"/>
      <c r="M1219" s="87"/>
      <c r="N1219" s="87"/>
    </row>
    <row r="1220" s="65" customFormat="1" customHeight="1" spans="1:14">
      <c r="A1220" s="77">
        <v>1217</v>
      </c>
      <c r="B1220" s="78" t="str">
        <f t="shared" si="34"/>
        <v/>
      </c>
      <c r="K1220" s="87"/>
      <c r="L1220" s="87"/>
      <c r="M1220" s="87"/>
      <c r="N1220" s="87"/>
    </row>
    <row r="1221" s="65" customFormat="1" customHeight="1" spans="1:14">
      <c r="A1221" s="77">
        <v>1218</v>
      </c>
      <c r="B1221" s="78" t="str">
        <f t="shared" ref="B1221:B1284" si="36">+C1221&amp;E1221</f>
        <v/>
      </c>
      <c r="K1221" s="87"/>
      <c r="L1221" s="87"/>
      <c r="M1221" s="87"/>
      <c r="N1221" s="87"/>
    </row>
    <row r="1222" s="65" customFormat="1" customHeight="1" spans="1:14">
      <c r="A1222" s="77">
        <v>1219</v>
      </c>
      <c r="B1222" s="78" t="str">
        <f t="shared" si="36"/>
        <v/>
      </c>
      <c r="K1222" s="87"/>
      <c r="L1222" s="87"/>
      <c r="M1222" s="87"/>
      <c r="N1222" s="87"/>
    </row>
    <row r="1223" s="65" customFormat="1" customHeight="1" spans="1:14">
      <c r="A1223" s="77">
        <v>1220</v>
      </c>
      <c r="B1223" s="78" t="str">
        <f t="shared" si="36"/>
        <v/>
      </c>
      <c r="K1223" s="87"/>
      <c r="L1223" s="87"/>
      <c r="M1223" s="87"/>
      <c r="N1223" s="87"/>
    </row>
    <row r="1224" s="65" customFormat="1" customHeight="1" spans="1:14">
      <c r="A1224" s="77">
        <v>1221</v>
      </c>
      <c r="B1224" s="78" t="str">
        <f t="shared" si="36"/>
        <v/>
      </c>
      <c r="K1224" s="87"/>
      <c r="L1224" s="87"/>
      <c r="M1224" s="87"/>
      <c r="N1224" s="87"/>
    </row>
    <row r="1225" s="65" customFormat="1" customHeight="1" spans="1:14">
      <c r="A1225" s="77">
        <v>1222</v>
      </c>
      <c r="B1225" s="78" t="str">
        <f t="shared" si="36"/>
        <v/>
      </c>
      <c r="K1225" s="87"/>
      <c r="L1225" s="87"/>
      <c r="M1225" s="87"/>
      <c r="N1225" s="87"/>
    </row>
    <row r="1226" s="65" customFormat="1" customHeight="1" spans="1:14">
      <c r="A1226" s="77">
        <v>1223</v>
      </c>
      <c r="B1226" s="78" t="str">
        <f t="shared" si="36"/>
        <v/>
      </c>
      <c r="K1226" s="87"/>
      <c r="L1226" s="87"/>
      <c r="M1226" s="87"/>
      <c r="N1226" s="87"/>
    </row>
    <row r="1227" s="65" customFormat="1" customHeight="1" spans="1:14">
      <c r="A1227" s="77">
        <v>1224</v>
      </c>
      <c r="B1227" s="78" t="str">
        <f t="shared" si="36"/>
        <v/>
      </c>
      <c r="K1227" s="87"/>
      <c r="L1227" s="87"/>
      <c r="M1227" s="87"/>
      <c r="N1227" s="87"/>
    </row>
    <row r="1228" s="65" customFormat="1" customHeight="1" spans="1:14">
      <c r="A1228" s="77">
        <v>1225</v>
      </c>
      <c r="B1228" s="78" t="str">
        <f t="shared" si="36"/>
        <v/>
      </c>
      <c r="K1228" s="87"/>
      <c r="L1228" s="87"/>
      <c r="M1228" s="87"/>
      <c r="N1228" s="87"/>
    </row>
    <row r="1229" s="65" customFormat="1" customHeight="1" spans="1:14">
      <c r="A1229" s="77">
        <v>1226</v>
      </c>
      <c r="B1229" s="78" t="str">
        <f t="shared" si="36"/>
        <v/>
      </c>
      <c r="K1229" s="87"/>
      <c r="L1229" s="87"/>
      <c r="M1229" s="87"/>
      <c r="N1229" s="87"/>
    </row>
    <row r="1230" s="65" customFormat="1" customHeight="1" spans="1:14">
      <c r="A1230" s="77">
        <v>1227</v>
      </c>
      <c r="B1230" s="78" t="str">
        <f t="shared" si="36"/>
        <v/>
      </c>
      <c r="K1230" s="87"/>
      <c r="L1230" s="87"/>
      <c r="M1230" s="87"/>
      <c r="N1230" s="87"/>
    </row>
    <row r="1231" s="65" customFormat="1" customHeight="1" spans="1:14">
      <c r="A1231" s="77">
        <v>1228</v>
      </c>
      <c r="B1231" s="78" t="str">
        <f t="shared" si="36"/>
        <v/>
      </c>
      <c r="K1231" s="87"/>
      <c r="L1231" s="87"/>
      <c r="M1231" s="87"/>
      <c r="N1231" s="87"/>
    </row>
    <row r="1232" s="65" customFormat="1" customHeight="1" spans="1:14">
      <c r="A1232" s="77">
        <v>1229</v>
      </c>
      <c r="B1232" s="78" t="str">
        <f t="shared" si="36"/>
        <v/>
      </c>
      <c r="K1232" s="87"/>
      <c r="L1232" s="87"/>
      <c r="M1232" s="87"/>
      <c r="N1232" s="87"/>
    </row>
    <row r="1233" s="65" customFormat="1" customHeight="1" spans="1:14">
      <c r="A1233" s="77">
        <v>1230</v>
      </c>
      <c r="B1233" s="78" t="str">
        <f t="shared" si="36"/>
        <v/>
      </c>
      <c r="K1233" s="87"/>
      <c r="L1233" s="87"/>
      <c r="M1233" s="87"/>
      <c r="N1233" s="87"/>
    </row>
    <row r="1234" s="65" customFormat="1" customHeight="1" spans="1:14">
      <c r="A1234" s="77">
        <v>1231</v>
      </c>
      <c r="B1234" s="78" t="str">
        <f t="shared" si="36"/>
        <v/>
      </c>
      <c r="K1234" s="87"/>
      <c r="L1234" s="87"/>
      <c r="M1234" s="87"/>
      <c r="N1234" s="87"/>
    </row>
    <row r="1235" s="65" customFormat="1" customHeight="1" spans="1:14">
      <c r="A1235" s="77">
        <v>1232</v>
      </c>
      <c r="B1235" s="78" t="str">
        <f t="shared" si="36"/>
        <v/>
      </c>
      <c r="K1235" s="87"/>
      <c r="L1235" s="87"/>
      <c r="M1235" s="87"/>
      <c r="N1235" s="87"/>
    </row>
    <row r="1236" s="65" customFormat="1" customHeight="1" spans="1:14">
      <c r="A1236" s="77">
        <v>1233</v>
      </c>
      <c r="B1236" s="78" t="str">
        <f t="shared" si="36"/>
        <v/>
      </c>
      <c r="K1236" s="87"/>
      <c r="L1236" s="87"/>
      <c r="M1236" s="87"/>
      <c r="N1236" s="87"/>
    </row>
    <row r="1237" s="65" customFormat="1" customHeight="1" spans="1:14">
      <c r="A1237" s="77">
        <v>1234</v>
      </c>
      <c r="B1237" s="78" t="str">
        <f t="shared" si="36"/>
        <v/>
      </c>
      <c r="K1237" s="87"/>
      <c r="L1237" s="87"/>
      <c r="M1237" s="87"/>
      <c r="N1237" s="87"/>
    </row>
    <row r="1238" s="65" customFormat="1" customHeight="1" spans="1:14">
      <c r="A1238" s="77">
        <v>1235</v>
      </c>
      <c r="B1238" s="78" t="str">
        <f t="shared" si="36"/>
        <v/>
      </c>
      <c r="K1238" s="87"/>
      <c r="L1238" s="87"/>
      <c r="M1238" s="87"/>
      <c r="N1238" s="87"/>
    </row>
    <row r="1239" s="65" customFormat="1" customHeight="1" spans="1:14">
      <c r="A1239" s="77">
        <v>1236</v>
      </c>
      <c r="B1239" s="78" t="str">
        <f t="shared" si="36"/>
        <v/>
      </c>
      <c r="K1239" s="87"/>
      <c r="L1239" s="87"/>
      <c r="M1239" s="87"/>
      <c r="N1239" s="87"/>
    </row>
    <row r="1240" s="65" customFormat="1" customHeight="1" spans="1:14">
      <c r="A1240" s="77">
        <v>1237</v>
      </c>
      <c r="B1240" s="78" t="str">
        <f t="shared" si="36"/>
        <v/>
      </c>
      <c r="K1240" s="87"/>
      <c r="L1240" s="87"/>
      <c r="M1240" s="87"/>
      <c r="N1240" s="87"/>
    </row>
    <row r="1241" s="65" customFormat="1" customHeight="1" spans="1:14">
      <c r="A1241" s="77">
        <v>1238</v>
      </c>
      <c r="B1241" s="78" t="str">
        <f t="shared" si="36"/>
        <v/>
      </c>
      <c r="K1241" s="87"/>
      <c r="L1241" s="87"/>
      <c r="M1241" s="87"/>
      <c r="N1241" s="87"/>
    </row>
    <row r="1242" s="65" customFormat="1" customHeight="1" spans="1:14">
      <c r="A1242" s="77">
        <v>1239</v>
      </c>
      <c r="B1242" s="78" t="str">
        <f t="shared" si="36"/>
        <v/>
      </c>
      <c r="K1242" s="87"/>
      <c r="L1242" s="87"/>
      <c r="M1242" s="87"/>
      <c r="N1242" s="87"/>
    </row>
    <row r="1243" s="65" customFormat="1" customHeight="1" spans="1:14">
      <c r="A1243" s="77">
        <v>1240</v>
      </c>
      <c r="B1243" s="78" t="str">
        <f t="shared" si="36"/>
        <v/>
      </c>
      <c r="K1243" s="87"/>
      <c r="L1243" s="87"/>
      <c r="M1243" s="87"/>
      <c r="N1243" s="87"/>
    </row>
    <row r="1244" s="65" customFormat="1" customHeight="1" spans="1:14">
      <c r="A1244" s="77">
        <v>1241</v>
      </c>
      <c r="B1244" s="78" t="str">
        <f t="shared" si="36"/>
        <v/>
      </c>
      <c r="K1244" s="87"/>
      <c r="L1244" s="87"/>
      <c r="M1244" s="87"/>
      <c r="N1244" s="87"/>
    </row>
    <row r="1245" s="65" customFormat="1" customHeight="1" spans="1:14">
      <c r="A1245" s="77">
        <v>1242</v>
      </c>
      <c r="B1245" s="78" t="str">
        <f t="shared" si="36"/>
        <v/>
      </c>
      <c r="K1245" s="87"/>
      <c r="L1245" s="87"/>
      <c r="M1245" s="87"/>
      <c r="N1245" s="87"/>
    </row>
    <row r="1246" s="65" customFormat="1" customHeight="1" spans="1:14">
      <c r="A1246" s="77">
        <v>1243</v>
      </c>
      <c r="B1246" s="78" t="str">
        <f t="shared" si="36"/>
        <v/>
      </c>
      <c r="K1246" s="87"/>
      <c r="L1246" s="87"/>
      <c r="M1246" s="87"/>
      <c r="N1246" s="87"/>
    </row>
    <row r="1247" s="65" customFormat="1" customHeight="1" spans="1:14">
      <c r="A1247" s="77">
        <v>1244</v>
      </c>
      <c r="B1247" s="78" t="str">
        <f t="shared" si="36"/>
        <v/>
      </c>
      <c r="K1247" s="87"/>
      <c r="L1247" s="87"/>
      <c r="M1247" s="87"/>
      <c r="N1247" s="87"/>
    </row>
    <row r="1248" s="65" customFormat="1" customHeight="1" spans="1:14">
      <c r="A1248" s="77">
        <v>1245</v>
      </c>
      <c r="B1248" s="78" t="str">
        <f t="shared" si="36"/>
        <v/>
      </c>
      <c r="K1248" s="87"/>
      <c r="L1248" s="87"/>
      <c r="M1248" s="87"/>
      <c r="N1248" s="87"/>
    </row>
    <row r="1249" s="65" customFormat="1" customHeight="1" spans="1:14">
      <c r="A1249" s="77">
        <v>1246</v>
      </c>
      <c r="B1249" s="78" t="str">
        <f t="shared" si="36"/>
        <v/>
      </c>
      <c r="K1249" s="87"/>
      <c r="L1249" s="87"/>
      <c r="M1249" s="87"/>
      <c r="N1249" s="87"/>
    </row>
    <row r="1250" s="65" customFormat="1" customHeight="1" spans="1:14">
      <c r="A1250" s="77">
        <v>1247</v>
      </c>
      <c r="B1250" s="78" t="str">
        <f t="shared" si="36"/>
        <v/>
      </c>
      <c r="K1250" s="87"/>
      <c r="L1250" s="87"/>
      <c r="M1250" s="87"/>
      <c r="N1250" s="87"/>
    </row>
    <row r="1251" s="65" customFormat="1" customHeight="1" spans="1:14">
      <c r="A1251" s="77">
        <v>1248</v>
      </c>
      <c r="B1251" s="78" t="str">
        <f t="shared" si="36"/>
        <v/>
      </c>
      <c r="K1251" s="87"/>
      <c r="L1251" s="87"/>
      <c r="M1251" s="87"/>
      <c r="N1251" s="87"/>
    </row>
    <row r="1252" s="65" customFormat="1" customHeight="1" spans="1:14">
      <c r="A1252" s="77">
        <v>1249</v>
      </c>
      <c r="B1252" s="78" t="str">
        <f t="shared" si="36"/>
        <v/>
      </c>
      <c r="K1252" s="87"/>
      <c r="L1252" s="87"/>
      <c r="M1252" s="87"/>
      <c r="N1252" s="87"/>
    </row>
    <row r="1253" s="65" customFormat="1" customHeight="1" spans="1:14">
      <c r="A1253" s="77">
        <v>1250</v>
      </c>
      <c r="B1253" s="78" t="str">
        <f t="shared" si="36"/>
        <v/>
      </c>
      <c r="K1253" s="87"/>
      <c r="L1253" s="87"/>
      <c r="M1253" s="87"/>
      <c r="N1253" s="87"/>
    </row>
    <row r="1254" s="65" customFormat="1" customHeight="1" spans="1:14">
      <c r="A1254" s="77">
        <v>1251</v>
      </c>
      <c r="B1254" s="78" t="str">
        <f t="shared" si="36"/>
        <v/>
      </c>
      <c r="K1254" s="87"/>
      <c r="L1254" s="87"/>
      <c r="M1254" s="87"/>
      <c r="N1254" s="87"/>
    </row>
    <row r="1255" s="65" customFormat="1" customHeight="1" spans="1:14">
      <c r="A1255" s="77">
        <v>1252</v>
      </c>
      <c r="B1255" s="78" t="str">
        <f t="shared" si="36"/>
        <v/>
      </c>
      <c r="K1255" s="87"/>
      <c r="L1255" s="87"/>
      <c r="M1255" s="87"/>
      <c r="N1255" s="87"/>
    </row>
    <row r="1256" s="65" customFormat="1" customHeight="1" spans="1:14">
      <c r="A1256" s="77">
        <v>1253</v>
      </c>
      <c r="B1256" s="78" t="str">
        <f t="shared" si="36"/>
        <v/>
      </c>
      <c r="K1256" s="87"/>
      <c r="L1256" s="87"/>
      <c r="M1256" s="87"/>
      <c r="N1256" s="87"/>
    </row>
    <row r="1257" s="65" customFormat="1" customHeight="1" spans="1:14">
      <c r="A1257" s="77">
        <v>1254</v>
      </c>
      <c r="B1257" s="78" t="str">
        <f t="shared" si="36"/>
        <v/>
      </c>
      <c r="K1257" s="87"/>
      <c r="L1257" s="87"/>
      <c r="M1257" s="87"/>
      <c r="N1257" s="87"/>
    </row>
    <row r="1258" s="65" customFormat="1" customHeight="1" spans="1:14">
      <c r="A1258" s="77">
        <v>1255</v>
      </c>
      <c r="B1258" s="78" t="str">
        <f t="shared" si="36"/>
        <v/>
      </c>
      <c r="K1258" s="87"/>
      <c r="L1258" s="87"/>
      <c r="M1258" s="87"/>
      <c r="N1258" s="87"/>
    </row>
    <row r="1259" s="65" customFormat="1" customHeight="1" spans="1:14">
      <c r="A1259" s="77">
        <v>1256</v>
      </c>
      <c r="B1259" s="78" t="str">
        <f t="shared" si="36"/>
        <v/>
      </c>
      <c r="K1259" s="87"/>
      <c r="L1259" s="87"/>
      <c r="M1259" s="87"/>
      <c r="N1259" s="87"/>
    </row>
    <row r="1260" s="65" customFormat="1" customHeight="1" spans="1:14">
      <c r="A1260" s="77">
        <v>1257</v>
      </c>
      <c r="B1260" s="78" t="str">
        <f t="shared" si="36"/>
        <v/>
      </c>
      <c r="K1260" s="87"/>
      <c r="L1260" s="87"/>
      <c r="M1260" s="87"/>
      <c r="N1260" s="87"/>
    </row>
    <row r="1261" s="65" customFormat="1" customHeight="1" spans="1:14">
      <c r="A1261" s="77">
        <v>1258</v>
      </c>
      <c r="B1261" s="78" t="str">
        <f t="shared" si="36"/>
        <v/>
      </c>
      <c r="K1261" s="87"/>
      <c r="L1261" s="87"/>
      <c r="M1261" s="87"/>
      <c r="N1261" s="87"/>
    </row>
    <row r="1262" s="65" customFormat="1" customHeight="1" spans="1:14">
      <c r="A1262" s="77">
        <v>1259</v>
      </c>
      <c r="B1262" s="78" t="str">
        <f t="shared" si="36"/>
        <v/>
      </c>
      <c r="K1262" s="87"/>
      <c r="L1262" s="87"/>
      <c r="M1262" s="87"/>
      <c r="N1262" s="87"/>
    </row>
    <row r="1263" s="65" customFormat="1" customHeight="1" spans="1:14">
      <c r="A1263" s="77">
        <v>1260</v>
      </c>
      <c r="B1263" s="78" t="str">
        <f t="shared" si="36"/>
        <v/>
      </c>
      <c r="K1263" s="87"/>
      <c r="L1263" s="87"/>
      <c r="M1263" s="87"/>
      <c r="N1263" s="87"/>
    </row>
    <row r="1264" s="65" customFormat="1" customHeight="1" spans="1:14">
      <c r="A1264" s="77">
        <v>1261</v>
      </c>
      <c r="B1264" s="78" t="str">
        <f t="shared" si="36"/>
        <v/>
      </c>
      <c r="K1264" s="87"/>
      <c r="L1264" s="87"/>
      <c r="M1264" s="87"/>
      <c r="N1264" s="87"/>
    </row>
    <row r="1265" s="65" customFormat="1" customHeight="1" spans="1:14">
      <c r="A1265" s="77">
        <v>1262</v>
      </c>
      <c r="B1265" s="78" t="str">
        <f t="shared" si="36"/>
        <v/>
      </c>
      <c r="K1265" s="87"/>
      <c r="L1265" s="87"/>
      <c r="M1265" s="87"/>
      <c r="N1265" s="87"/>
    </row>
    <row r="1266" s="65" customFormat="1" customHeight="1" spans="1:14">
      <c r="A1266" s="77">
        <v>1263</v>
      </c>
      <c r="B1266" s="78" t="str">
        <f t="shared" si="36"/>
        <v/>
      </c>
      <c r="K1266" s="87"/>
      <c r="L1266" s="87"/>
      <c r="M1266" s="87"/>
      <c r="N1266" s="87"/>
    </row>
    <row r="1267" s="65" customFormat="1" customHeight="1" spans="1:14">
      <c r="A1267" s="77">
        <v>1264</v>
      </c>
      <c r="B1267" s="78" t="str">
        <f t="shared" si="36"/>
        <v/>
      </c>
      <c r="K1267" s="87"/>
      <c r="L1267" s="87"/>
      <c r="M1267" s="87"/>
      <c r="N1267" s="87"/>
    </row>
    <row r="1268" s="65" customFormat="1" customHeight="1" spans="1:14">
      <c r="A1268" s="77">
        <v>1265</v>
      </c>
      <c r="B1268" s="78" t="str">
        <f t="shared" si="36"/>
        <v/>
      </c>
      <c r="K1268" s="87"/>
      <c r="L1268" s="87"/>
      <c r="M1268" s="87"/>
      <c r="N1268" s="87"/>
    </row>
    <row r="1269" s="65" customFormat="1" customHeight="1" spans="1:14">
      <c r="A1269" s="77">
        <v>1266</v>
      </c>
      <c r="B1269" s="78" t="str">
        <f t="shared" si="36"/>
        <v/>
      </c>
      <c r="K1269" s="87"/>
      <c r="L1269" s="87"/>
      <c r="M1269" s="87"/>
      <c r="N1269" s="87"/>
    </row>
    <row r="1270" s="65" customFormat="1" customHeight="1" spans="1:14">
      <c r="A1270" s="77">
        <v>1267</v>
      </c>
      <c r="B1270" s="78" t="str">
        <f t="shared" si="36"/>
        <v/>
      </c>
      <c r="K1270" s="87"/>
      <c r="L1270" s="87"/>
      <c r="M1270" s="87"/>
      <c r="N1270" s="87"/>
    </row>
    <row r="1271" s="65" customFormat="1" customHeight="1" spans="1:14">
      <c r="A1271" s="77">
        <v>1268</v>
      </c>
      <c r="B1271" s="78" t="str">
        <f t="shared" si="36"/>
        <v/>
      </c>
      <c r="K1271" s="87"/>
      <c r="L1271" s="87"/>
      <c r="M1271" s="87"/>
      <c r="N1271" s="87"/>
    </row>
    <row r="1272" s="65" customFormat="1" customHeight="1" spans="1:14">
      <c r="A1272" s="77">
        <v>1269</v>
      </c>
      <c r="B1272" s="78" t="str">
        <f t="shared" si="36"/>
        <v/>
      </c>
      <c r="K1272" s="87"/>
      <c r="L1272" s="87"/>
      <c r="M1272" s="87"/>
      <c r="N1272" s="87"/>
    </row>
    <row r="1273" s="65" customFormat="1" customHeight="1" spans="1:14">
      <c r="A1273" s="77">
        <v>1270</v>
      </c>
      <c r="B1273" s="78" t="str">
        <f t="shared" si="36"/>
        <v/>
      </c>
      <c r="K1273" s="87"/>
      <c r="L1273" s="87"/>
      <c r="M1273" s="87"/>
      <c r="N1273" s="87"/>
    </row>
    <row r="1274" s="65" customFormat="1" customHeight="1" spans="1:14">
      <c r="A1274" s="77">
        <v>1271</v>
      </c>
      <c r="B1274" s="78" t="str">
        <f t="shared" si="36"/>
        <v/>
      </c>
      <c r="K1274" s="87"/>
      <c r="L1274" s="87"/>
      <c r="M1274" s="87"/>
      <c r="N1274" s="87"/>
    </row>
    <row r="1275" s="65" customFormat="1" customHeight="1" spans="1:14">
      <c r="A1275" s="77">
        <v>1272</v>
      </c>
      <c r="B1275" s="78" t="str">
        <f t="shared" si="36"/>
        <v/>
      </c>
      <c r="K1275" s="87"/>
      <c r="L1275" s="87"/>
      <c r="M1275" s="87"/>
      <c r="N1275" s="87"/>
    </row>
    <row r="1276" s="65" customFormat="1" customHeight="1" spans="1:14">
      <c r="A1276" s="77">
        <v>1273</v>
      </c>
      <c r="B1276" s="78" t="str">
        <f t="shared" si="36"/>
        <v/>
      </c>
      <c r="K1276" s="87"/>
      <c r="L1276" s="87"/>
      <c r="M1276" s="87"/>
      <c r="N1276" s="87"/>
    </row>
    <row r="1277" s="65" customFormat="1" customHeight="1" spans="1:14">
      <c r="A1277" s="77">
        <v>1274</v>
      </c>
      <c r="B1277" s="78" t="str">
        <f t="shared" si="36"/>
        <v/>
      </c>
      <c r="K1277" s="87"/>
      <c r="L1277" s="87"/>
      <c r="M1277" s="87"/>
      <c r="N1277" s="87"/>
    </row>
    <row r="1278" s="65" customFormat="1" customHeight="1" spans="1:14">
      <c r="A1278" s="77">
        <v>1275</v>
      </c>
      <c r="B1278" s="78" t="str">
        <f t="shared" si="36"/>
        <v/>
      </c>
      <c r="K1278" s="87"/>
      <c r="L1278" s="87"/>
      <c r="M1278" s="87"/>
      <c r="N1278" s="87"/>
    </row>
    <row r="1279" s="65" customFormat="1" customHeight="1" spans="1:14">
      <c r="A1279" s="77">
        <v>1276</v>
      </c>
      <c r="B1279" s="78" t="str">
        <f t="shared" si="36"/>
        <v/>
      </c>
      <c r="K1279" s="87"/>
      <c r="L1279" s="87"/>
      <c r="M1279" s="87"/>
      <c r="N1279" s="87"/>
    </row>
    <row r="1280" s="65" customFormat="1" customHeight="1" spans="1:14">
      <c r="A1280" s="77">
        <v>1277</v>
      </c>
      <c r="B1280" s="78" t="str">
        <f t="shared" si="36"/>
        <v/>
      </c>
      <c r="K1280" s="87"/>
      <c r="L1280" s="87"/>
      <c r="M1280" s="87"/>
      <c r="N1280" s="87"/>
    </row>
    <row r="1281" s="65" customFormat="1" customHeight="1" spans="1:14">
      <c r="A1281" s="77">
        <v>1278</v>
      </c>
      <c r="B1281" s="78" t="str">
        <f t="shared" si="36"/>
        <v/>
      </c>
      <c r="K1281" s="87"/>
      <c r="L1281" s="87"/>
      <c r="M1281" s="87"/>
      <c r="N1281" s="87"/>
    </row>
    <row r="1282" s="65" customFormat="1" customHeight="1" spans="1:14">
      <c r="A1282" s="77">
        <v>1279</v>
      </c>
      <c r="B1282" s="78" t="str">
        <f t="shared" si="36"/>
        <v/>
      </c>
      <c r="K1282" s="87"/>
      <c r="L1282" s="87"/>
      <c r="M1282" s="87"/>
      <c r="N1282" s="87"/>
    </row>
    <row r="1283" s="65" customFormat="1" customHeight="1" spans="1:14">
      <c r="A1283" s="77">
        <v>1280</v>
      </c>
      <c r="B1283" s="78" t="str">
        <f t="shared" si="36"/>
        <v/>
      </c>
      <c r="K1283" s="87"/>
      <c r="L1283" s="87"/>
      <c r="M1283" s="87"/>
      <c r="N1283" s="87"/>
    </row>
    <row r="1284" s="65" customFormat="1" customHeight="1" spans="1:14">
      <c r="A1284" s="77">
        <v>1281</v>
      </c>
      <c r="B1284" s="78" t="str">
        <f t="shared" si="36"/>
        <v/>
      </c>
      <c r="K1284" s="87"/>
      <c r="L1284" s="87"/>
      <c r="M1284" s="87"/>
      <c r="N1284" s="87"/>
    </row>
    <row r="1285" s="65" customFormat="1" customHeight="1" spans="1:14">
      <c r="A1285" s="77">
        <v>1282</v>
      </c>
      <c r="B1285" s="78" t="str">
        <f t="shared" ref="B1285:B1348" si="37">+C1285&amp;E1285</f>
        <v/>
      </c>
      <c r="K1285" s="87"/>
      <c r="L1285" s="87"/>
      <c r="M1285" s="87"/>
      <c r="N1285" s="87"/>
    </row>
    <row r="1286" s="65" customFormat="1" customHeight="1" spans="1:14">
      <c r="A1286" s="77">
        <v>1283</v>
      </c>
      <c r="B1286" s="78" t="str">
        <f t="shared" si="37"/>
        <v/>
      </c>
      <c r="K1286" s="87"/>
      <c r="L1286" s="87"/>
      <c r="M1286" s="87"/>
      <c r="N1286" s="87"/>
    </row>
    <row r="1287" s="65" customFormat="1" customHeight="1" spans="1:14">
      <c r="A1287" s="77">
        <v>1284</v>
      </c>
      <c r="B1287" s="78" t="str">
        <f t="shared" si="37"/>
        <v/>
      </c>
      <c r="K1287" s="87"/>
      <c r="L1287" s="87"/>
      <c r="M1287" s="87"/>
      <c r="N1287" s="87"/>
    </row>
    <row r="1288" s="65" customFormat="1" customHeight="1" spans="1:14">
      <c r="A1288" s="77">
        <v>1285</v>
      </c>
      <c r="B1288" s="78" t="str">
        <f t="shared" si="37"/>
        <v/>
      </c>
      <c r="K1288" s="87"/>
      <c r="L1288" s="87"/>
      <c r="M1288" s="87"/>
      <c r="N1288" s="87"/>
    </row>
    <row r="1289" s="65" customFormat="1" customHeight="1" spans="1:14">
      <c r="A1289" s="77">
        <v>1286</v>
      </c>
      <c r="B1289" s="78" t="str">
        <f t="shared" si="37"/>
        <v/>
      </c>
      <c r="K1289" s="87"/>
      <c r="L1289" s="87"/>
      <c r="M1289" s="87"/>
      <c r="N1289" s="87"/>
    </row>
    <row r="1290" s="65" customFormat="1" customHeight="1" spans="1:14">
      <c r="A1290" s="77">
        <v>1287</v>
      </c>
      <c r="B1290" s="78" t="str">
        <f t="shared" si="37"/>
        <v/>
      </c>
      <c r="K1290" s="87"/>
      <c r="L1290" s="87"/>
      <c r="M1290" s="87"/>
      <c r="N1290" s="87"/>
    </row>
    <row r="1291" s="65" customFormat="1" customHeight="1" spans="1:14">
      <c r="A1291" s="77">
        <v>1288</v>
      </c>
      <c r="B1291" s="78" t="str">
        <f t="shared" si="37"/>
        <v/>
      </c>
      <c r="K1291" s="87"/>
      <c r="L1291" s="87"/>
      <c r="M1291" s="87"/>
      <c r="N1291" s="87"/>
    </row>
    <row r="1292" s="65" customFormat="1" customHeight="1" spans="1:14">
      <c r="A1292" s="77">
        <v>1289</v>
      </c>
      <c r="B1292" s="78" t="str">
        <f t="shared" si="37"/>
        <v/>
      </c>
      <c r="K1292" s="87"/>
      <c r="L1292" s="87"/>
      <c r="M1292" s="87"/>
      <c r="N1292" s="87"/>
    </row>
    <row r="1293" s="65" customFormat="1" customHeight="1" spans="1:14">
      <c r="A1293" s="77">
        <v>1290</v>
      </c>
      <c r="B1293" s="78" t="str">
        <f t="shared" si="37"/>
        <v/>
      </c>
      <c r="K1293" s="87"/>
      <c r="L1293" s="87"/>
      <c r="M1293" s="87"/>
      <c r="N1293" s="87"/>
    </row>
    <row r="1294" s="65" customFormat="1" customHeight="1" spans="1:14">
      <c r="A1294" s="77">
        <v>1291</v>
      </c>
      <c r="B1294" s="78" t="str">
        <f t="shared" si="37"/>
        <v/>
      </c>
      <c r="K1294" s="87"/>
      <c r="L1294" s="87"/>
      <c r="M1294" s="87"/>
      <c r="N1294" s="87"/>
    </row>
    <row r="1295" s="65" customFormat="1" customHeight="1" spans="1:14">
      <c r="A1295" s="77">
        <v>1292</v>
      </c>
      <c r="B1295" s="78" t="str">
        <f t="shared" si="37"/>
        <v/>
      </c>
      <c r="K1295" s="87"/>
      <c r="L1295" s="87"/>
      <c r="M1295" s="87"/>
      <c r="N1295" s="87"/>
    </row>
    <row r="1296" s="65" customFormat="1" customHeight="1" spans="1:14">
      <c r="A1296" s="77">
        <v>1293</v>
      </c>
      <c r="B1296" s="78" t="str">
        <f t="shared" si="37"/>
        <v/>
      </c>
      <c r="K1296" s="87"/>
      <c r="L1296" s="87"/>
      <c r="M1296" s="87"/>
      <c r="N1296" s="87"/>
    </row>
    <row r="1297" s="65" customFormat="1" customHeight="1" spans="1:14">
      <c r="A1297" s="77">
        <v>1294</v>
      </c>
      <c r="B1297" s="78" t="str">
        <f t="shared" si="37"/>
        <v/>
      </c>
      <c r="K1297" s="87"/>
      <c r="L1297" s="87"/>
      <c r="M1297" s="87"/>
      <c r="N1297" s="87"/>
    </row>
    <row r="1298" s="65" customFormat="1" customHeight="1" spans="1:14">
      <c r="A1298" s="77">
        <v>1295</v>
      </c>
      <c r="B1298" s="78" t="str">
        <f t="shared" si="37"/>
        <v/>
      </c>
      <c r="K1298" s="87"/>
      <c r="L1298" s="87"/>
      <c r="M1298" s="87"/>
      <c r="N1298" s="87"/>
    </row>
    <row r="1299" s="65" customFormat="1" customHeight="1" spans="1:14">
      <c r="A1299" s="77">
        <v>1296</v>
      </c>
      <c r="B1299" s="78" t="str">
        <f t="shared" si="37"/>
        <v/>
      </c>
      <c r="K1299" s="87"/>
      <c r="L1299" s="87"/>
      <c r="M1299" s="87"/>
      <c r="N1299" s="87"/>
    </row>
    <row r="1300" s="65" customFormat="1" customHeight="1" spans="1:14">
      <c r="A1300" s="77">
        <v>1297</v>
      </c>
      <c r="B1300" s="78" t="str">
        <f t="shared" si="37"/>
        <v/>
      </c>
      <c r="K1300" s="87"/>
      <c r="L1300" s="87"/>
      <c r="M1300" s="87"/>
      <c r="N1300" s="87"/>
    </row>
    <row r="1301" s="65" customFormat="1" customHeight="1" spans="1:14">
      <c r="A1301" s="77">
        <v>1298</v>
      </c>
      <c r="B1301" s="78" t="str">
        <f t="shared" si="37"/>
        <v/>
      </c>
      <c r="K1301" s="87"/>
      <c r="L1301" s="87"/>
      <c r="M1301" s="87"/>
      <c r="N1301" s="87"/>
    </row>
    <row r="1302" s="65" customFormat="1" customHeight="1" spans="1:14">
      <c r="A1302" s="77">
        <v>1299</v>
      </c>
      <c r="B1302" s="78" t="str">
        <f t="shared" si="37"/>
        <v/>
      </c>
      <c r="K1302" s="87"/>
      <c r="L1302" s="87"/>
      <c r="M1302" s="87"/>
      <c r="N1302" s="87"/>
    </row>
    <row r="1303" s="65" customFormat="1" customHeight="1" spans="1:14">
      <c r="A1303" s="77">
        <v>1300</v>
      </c>
      <c r="B1303" s="78" t="str">
        <f t="shared" si="37"/>
        <v/>
      </c>
      <c r="K1303" s="87"/>
      <c r="L1303" s="87"/>
      <c r="M1303" s="87"/>
      <c r="N1303" s="87"/>
    </row>
    <row r="1304" s="65" customFormat="1" customHeight="1" spans="1:14">
      <c r="A1304" s="77">
        <v>1301</v>
      </c>
      <c r="B1304" s="78" t="str">
        <f t="shared" si="37"/>
        <v/>
      </c>
      <c r="K1304" s="87"/>
      <c r="L1304" s="87"/>
      <c r="M1304" s="87"/>
      <c r="N1304" s="87"/>
    </row>
    <row r="1305" s="65" customFormat="1" customHeight="1" spans="1:14">
      <c r="A1305" s="77">
        <v>1302</v>
      </c>
      <c r="B1305" s="78" t="str">
        <f t="shared" si="37"/>
        <v/>
      </c>
      <c r="K1305" s="87"/>
      <c r="L1305" s="87"/>
      <c r="M1305" s="87"/>
      <c r="N1305" s="87"/>
    </row>
    <row r="1306" s="65" customFormat="1" customHeight="1" spans="1:14">
      <c r="A1306" s="77">
        <v>1303</v>
      </c>
      <c r="B1306" s="78" t="str">
        <f t="shared" si="37"/>
        <v/>
      </c>
      <c r="K1306" s="87"/>
      <c r="L1306" s="87"/>
      <c r="M1306" s="87"/>
      <c r="N1306" s="87"/>
    </row>
    <row r="1307" s="65" customFormat="1" customHeight="1" spans="1:14">
      <c r="A1307" s="77">
        <v>1304</v>
      </c>
      <c r="B1307" s="78" t="str">
        <f t="shared" si="37"/>
        <v/>
      </c>
      <c r="K1307" s="87"/>
      <c r="L1307" s="87"/>
      <c r="M1307" s="87"/>
      <c r="N1307" s="87"/>
    </row>
    <row r="1308" s="65" customFormat="1" customHeight="1" spans="1:14">
      <c r="A1308" s="77">
        <v>1305</v>
      </c>
      <c r="B1308" s="78" t="str">
        <f t="shared" si="37"/>
        <v/>
      </c>
      <c r="K1308" s="87"/>
      <c r="L1308" s="87"/>
      <c r="M1308" s="87"/>
      <c r="N1308" s="87"/>
    </row>
    <row r="1309" s="65" customFormat="1" customHeight="1" spans="1:14">
      <c r="A1309" s="77">
        <v>1306</v>
      </c>
      <c r="B1309" s="78" t="str">
        <f t="shared" si="37"/>
        <v/>
      </c>
      <c r="K1309" s="87"/>
      <c r="L1309" s="87"/>
      <c r="M1309" s="87"/>
      <c r="N1309" s="87"/>
    </row>
    <row r="1310" s="65" customFormat="1" customHeight="1" spans="1:14">
      <c r="A1310" s="77">
        <v>1307</v>
      </c>
      <c r="B1310" s="78" t="str">
        <f t="shared" si="37"/>
        <v/>
      </c>
      <c r="K1310" s="87"/>
      <c r="L1310" s="87"/>
      <c r="M1310" s="87"/>
      <c r="N1310" s="87"/>
    </row>
    <row r="1311" s="65" customFormat="1" customHeight="1" spans="1:14">
      <c r="A1311" s="77">
        <v>1308</v>
      </c>
      <c r="B1311" s="78" t="str">
        <f t="shared" si="37"/>
        <v/>
      </c>
      <c r="K1311" s="87"/>
      <c r="L1311" s="87"/>
      <c r="M1311" s="87"/>
      <c r="N1311" s="87"/>
    </row>
    <row r="1312" s="65" customFormat="1" customHeight="1" spans="1:14">
      <c r="A1312" s="77">
        <v>1309</v>
      </c>
      <c r="B1312" s="78" t="str">
        <f t="shared" si="37"/>
        <v/>
      </c>
      <c r="K1312" s="87"/>
      <c r="L1312" s="87"/>
      <c r="M1312" s="87"/>
      <c r="N1312" s="87"/>
    </row>
    <row r="1313" s="65" customFormat="1" customHeight="1" spans="1:14">
      <c r="A1313" s="77">
        <v>1310</v>
      </c>
      <c r="B1313" s="78" t="str">
        <f t="shared" si="37"/>
        <v/>
      </c>
      <c r="K1313" s="87"/>
      <c r="L1313" s="87"/>
      <c r="M1313" s="87"/>
      <c r="N1313" s="87"/>
    </row>
    <row r="1314" s="65" customFormat="1" customHeight="1" spans="1:14">
      <c r="A1314" s="77">
        <v>1311</v>
      </c>
      <c r="B1314" s="78" t="str">
        <f t="shared" si="37"/>
        <v/>
      </c>
      <c r="K1314" s="87"/>
      <c r="L1314" s="87"/>
      <c r="M1314" s="87"/>
      <c r="N1314" s="87"/>
    </row>
    <row r="1315" s="65" customFormat="1" customHeight="1" spans="1:14">
      <c r="A1315" s="77">
        <v>1312</v>
      </c>
      <c r="B1315" s="78" t="str">
        <f t="shared" si="37"/>
        <v/>
      </c>
      <c r="K1315" s="87"/>
      <c r="L1315" s="87"/>
      <c r="M1315" s="87"/>
      <c r="N1315" s="87"/>
    </row>
    <row r="1316" s="65" customFormat="1" customHeight="1" spans="1:14">
      <c r="A1316" s="77">
        <v>1313</v>
      </c>
      <c r="B1316" s="78" t="str">
        <f t="shared" si="37"/>
        <v/>
      </c>
      <c r="K1316" s="87"/>
      <c r="L1316" s="87"/>
      <c r="M1316" s="87"/>
      <c r="N1316" s="87"/>
    </row>
    <row r="1317" s="65" customFormat="1" customHeight="1" spans="1:14">
      <c r="A1317" s="77">
        <v>1314</v>
      </c>
      <c r="B1317" s="78" t="str">
        <f t="shared" si="37"/>
        <v/>
      </c>
      <c r="K1317" s="87"/>
      <c r="L1317" s="87"/>
      <c r="M1317" s="87"/>
      <c r="N1317" s="87"/>
    </row>
    <row r="1318" s="65" customFormat="1" customHeight="1" spans="1:14">
      <c r="A1318" s="77">
        <v>1315</v>
      </c>
      <c r="B1318" s="78" t="str">
        <f t="shared" si="37"/>
        <v/>
      </c>
      <c r="K1318" s="87"/>
      <c r="L1318" s="87"/>
      <c r="M1318" s="87"/>
      <c r="N1318" s="87"/>
    </row>
    <row r="1319" s="65" customFormat="1" customHeight="1" spans="1:14">
      <c r="A1319" s="77">
        <v>1316</v>
      </c>
      <c r="B1319" s="78" t="str">
        <f t="shared" si="37"/>
        <v/>
      </c>
      <c r="K1319" s="87"/>
      <c r="L1319" s="87"/>
      <c r="M1319" s="87"/>
      <c r="N1319" s="87"/>
    </row>
    <row r="1320" s="65" customFormat="1" customHeight="1" spans="1:14">
      <c r="A1320" s="77">
        <v>1317</v>
      </c>
      <c r="B1320" s="78" t="str">
        <f t="shared" si="37"/>
        <v/>
      </c>
      <c r="K1320" s="87"/>
      <c r="L1320" s="87"/>
      <c r="M1320" s="87"/>
      <c r="N1320" s="87"/>
    </row>
    <row r="1321" s="65" customFormat="1" customHeight="1" spans="1:14">
      <c r="A1321" s="77">
        <v>1318</v>
      </c>
      <c r="B1321" s="78" t="str">
        <f t="shared" si="37"/>
        <v/>
      </c>
      <c r="K1321" s="87"/>
      <c r="L1321" s="87"/>
      <c r="M1321" s="87"/>
      <c r="N1321" s="87"/>
    </row>
    <row r="1322" s="65" customFormat="1" customHeight="1" spans="1:14">
      <c r="A1322" s="77">
        <v>1319</v>
      </c>
      <c r="B1322" s="78" t="str">
        <f t="shared" si="37"/>
        <v/>
      </c>
      <c r="K1322" s="87"/>
      <c r="L1322" s="87"/>
      <c r="M1322" s="87"/>
      <c r="N1322" s="87"/>
    </row>
    <row r="1323" s="65" customFormat="1" customHeight="1" spans="1:14">
      <c r="A1323" s="77">
        <v>1320</v>
      </c>
      <c r="B1323" s="78" t="str">
        <f t="shared" si="37"/>
        <v/>
      </c>
      <c r="K1323" s="87"/>
      <c r="L1323" s="87"/>
      <c r="M1323" s="87"/>
      <c r="N1323" s="87"/>
    </row>
    <row r="1324" s="65" customFormat="1" customHeight="1" spans="1:14">
      <c r="A1324" s="77">
        <v>1321</v>
      </c>
      <c r="B1324" s="78" t="str">
        <f t="shared" si="37"/>
        <v/>
      </c>
      <c r="K1324" s="87"/>
      <c r="L1324" s="87"/>
      <c r="M1324" s="87"/>
      <c r="N1324" s="87"/>
    </row>
    <row r="1325" s="65" customFormat="1" customHeight="1" spans="1:14">
      <c r="A1325" s="77">
        <v>1322</v>
      </c>
      <c r="B1325" s="78" t="str">
        <f t="shared" si="37"/>
        <v/>
      </c>
      <c r="K1325" s="87"/>
      <c r="L1325" s="87"/>
      <c r="M1325" s="87"/>
      <c r="N1325" s="87"/>
    </row>
    <row r="1326" s="65" customFormat="1" customHeight="1" spans="1:14">
      <c r="A1326" s="77">
        <v>1323</v>
      </c>
      <c r="B1326" s="78" t="str">
        <f t="shared" si="37"/>
        <v/>
      </c>
      <c r="K1326" s="87"/>
      <c r="L1326" s="87"/>
      <c r="M1326" s="87"/>
      <c r="N1326" s="87"/>
    </row>
    <row r="1327" s="65" customFormat="1" customHeight="1" spans="1:14">
      <c r="A1327" s="77">
        <v>1324</v>
      </c>
      <c r="B1327" s="78" t="str">
        <f t="shared" si="37"/>
        <v/>
      </c>
      <c r="K1327" s="87"/>
      <c r="L1327" s="87"/>
      <c r="M1327" s="87"/>
      <c r="N1327" s="87"/>
    </row>
    <row r="1328" s="65" customFormat="1" customHeight="1" spans="1:14">
      <c r="A1328" s="77">
        <v>1325</v>
      </c>
      <c r="B1328" s="78" t="str">
        <f t="shared" si="37"/>
        <v/>
      </c>
      <c r="K1328" s="87"/>
      <c r="L1328" s="87"/>
      <c r="M1328" s="87"/>
      <c r="N1328" s="87"/>
    </row>
    <row r="1329" s="65" customFormat="1" customHeight="1" spans="1:14">
      <c r="A1329" s="77">
        <v>1326</v>
      </c>
      <c r="B1329" s="78" t="str">
        <f t="shared" si="37"/>
        <v/>
      </c>
      <c r="K1329" s="87"/>
      <c r="L1329" s="87"/>
      <c r="M1329" s="87"/>
      <c r="N1329" s="87"/>
    </row>
    <row r="1330" s="65" customFormat="1" customHeight="1" spans="1:14">
      <c r="A1330" s="77">
        <v>1327</v>
      </c>
      <c r="B1330" s="78" t="str">
        <f t="shared" si="37"/>
        <v/>
      </c>
      <c r="K1330" s="87"/>
      <c r="L1330" s="87"/>
      <c r="M1330" s="87"/>
      <c r="N1330" s="87"/>
    </row>
    <row r="1331" s="65" customFormat="1" customHeight="1" spans="1:14">
      <c r="A1331" s="77">
        <v>1328</v>
      </c>
      <c r="B1331" s="78" t="str">
        <f t="shared" si="37"/>
        <v/>
      </c>
      <c r="K1331" s="87"/>
      <c r="L1331" s="87"/>
      <c r="M1331" s="87"/>
      <c r="N1331" s="87"/>
    </row>
    <row r="1332" s="65" customFormat="1" customHeight="1" spans="1:14">
      <c r="A1332" s="77">
        <v>1329</v>
      </c>
      <c r="B1332" s="78" t="str">
        <f t="shared" si="37"/>
        <v/>
      </c>
      <c r="K1332" s="87"/>
      <c r="L1332" s="87"/>
      <c r="M1332" s="87"/>
      <c r="N1332" s="87"/>
    </row>
    <row r="1333" s="65" customFormat="1" customHeight="1" spans="1:14">
      <c r="A1333" s="77">
        <v>1330</v>
      </c>
      <c r="B1333" s="78" t="str">
        <f t="shared" si="37"/>
        <v/>
      </c>
      <c r="K1333" s="87"/>
      <c r="L1333" s="87"/>
      <c r="M1333" s="87"/>
      <c r="N1333" s="87"/>
    </row>
    <row r="1334" s="65" customFormat="1" customHeight="1" spans="1:14">
      <c r="A1334" s="77">
        <v>1331</v>
      </c>
      <c r="B1334" s="78" t="str">
        <f t="shared" si="37"/>
        <v/>
      </c>
      <c r="K1334" s="87"/>
      <c r="L1334" s="87"/>
      <c r="M1334" s="87"/>
      <c r="N1334" s="87"/>
    </row>
    <row r="1335" s="65" customFormat="1" customHeight="1" spans="1:14">
      <c r="A1335" s="77">
        <v>1332</v>
      </c>
      <c r="B1335" s="78" t="str">
        <f t="shared" si="37"/>
        <v/>
      </c>
      <c r="K1335" s="87"/>
      <c r="L1335" s="87"/>
      <c r="M1335" s="87"/>
      <c r="N1335" s="87"/>
    </row>
    <row r="1336" s="65" customFormat="1" customHeight="1" spans="1:14">
      <c r="A1336" s="77">
        <v>1333</v>
      </c>
      <c r="B1336" s="78" t="str">
        <f t="shared" si="37"/>
        <v/>
      </c>
      <c r="K1336" s="87"/>
      <c r="L1336" s="87"/>
      <c r="M1336" s="87"/>
      <c r="N1336" s="87"/>
    </row>
    <row r="1337" s="65" customFormat="1" customHeight="1" spans="1:14">
      <c r="A1337" s="77">
        <v>1334</v>
      </c>
      <c r="B1337" s="78" t="str">
        <f t="shared" si="37"/>
        <v/>
      </c>
      <c r="K1337" s="87"/>
      <c r="L1337" s="87"/>
      <c r="M1337" s="87"/>
      <c r="N1337" s="87"/>
    </row>
    <row r="1338" s="65" customFormat="1" customHeight="1" spans="1:14">
      <c r="A1338" s="77">
        <v>1335</v>
      </c>
      <c r="B1338" s="78" t="str">
        <f t="shared" si="37"/>
        <v/>
      </c>
      <c r="K1338" s="87"/>
      <c r="L1338" s="87"/>
      <c r="M1338" s="87"/>
      <c r="N1338" s="87"/>
    </row>
    <row r="1339" s="65" customFormat="1" customHeight="1" spans="1:14">
      <c r="A1339" s="77">
        <v>1336</v>
      </c>
      <c r="B1339" s="78" t="str">
        <f t="shared" si="37"/>
        <v/>
      </c>
      <c r="K1339" s="87"/>
      <c r="L1339" s="87"/>
      <c r="M1339" s="87"/>
      <c r="N1339" s="87"/>
    </row>
    <row r="1340" s="65" customFormat="1" customHeight="1" spans="1:14">
      <c r="A1340" s="77">
        <v>1337</v>
      </c>
      <c r="B1340" s="78" t="str">
        <f t="shared" si="37"/>
        <v/>
      </c>
      <c r="K1340" s="87"/>
      <c r="L1340" s="87"/>
      <c r="M1340" s="87"/>
      <c r="N1340" s="87"/>
    </row>
    <row r="1341" s="65" customFormat="1" customHeight="1" spans="1:14">
      <c r="A1341" s="77">
        <v>1338</v>
      </c>
      <c r="B1341" s="78" t="str">
        <f t="shared" si="37"/>
        <v/>
      </c>
      <c r="K1341" s="87"/>
      <c r="L1341" s="87"/>
      <c r="M1341" s="87"/>
      <c r="N1341" s="87"/>
    </row>
    <row r="1342" s="65" customFormat="1" customHeight="1" spans="1:14">
      <c r="A1342" s="77">
        <v>1339</v>
      </c>
      <c r="B1342" s="78" t="str">
        <f t="shared" si="37"/>
        <v/>
      </c>
      <c r="K1342" s="87"/>
      <c r="L1342" s="87"/>
      <c r="M1342" s="87"/>
      <c r="N1342" s="87"/>
    </row>
    <row r="1343" s="65" customFormat="1" customHeight="1" spans="1:14">
      <c r="A1343" s="77">
        <v>1340</v>
      </c>
      <c r="B1343" s="78" t="str">
        <f t="shared" si="37"/>
        <v/>
      </c>
      <c r="K1343" s="87"/>
      <c r="L1343" s="87"/>
      <c r="M1343" s="87"/>
      <c r="N1343" s="87"/>
    </row>
    <row r="1344" s="65" customFormat="1" customHeight="1" spans="1:14">
      <c r="A1344" s="77">
        <v>1341</v>
      </c>
      <c r="B1344" s="78" t="str">
        <f t="shared" si="37"/>
        <v/>
      </c>
      <c r="K1344" s="87"/>
      <c r="L1344" s="87"/>
      <c r="M1344" s="87"/>
      <c r="N1344" s="87"/>
    </row>
    <row r="1345" s="65" customFormat="1" customHeight="1" spans="1:14">
      <c r="A1345" s="77">
        <v>1342</v>
      </c>
      <c r="B1345" s="78" t="str">
        <f t="shared" si="37"/>
        <v/>
      </c>
      <c r="K1345" s="87"/>
      <c r="L1345" s="87"/>
      <c r="M1345" s="87"/>
      <c r="N1345" s="87"/>
    </row>
    <row r="1346" s="65" customFormat="1" customHeight="1" spans="1:14">
      <c r="A1346" s="77">
        <v>1343</v>
      </c>
      <c r="B1346" s="78" t="str">
        <f t="shared" si="37"/>
        <v/>
      </c>
      <c r="K1346" s="87"/>
      <c r="L1346" s="87"/>
      <c r="M1346" s="87"/>
      <c r="N1346" s="87"/>
    </row>
    <row r="1347" s="65" customFormat="1" customHeight="1" spans="1:14">
      <c r="A1347" s="77">
        <v>1344</v>
      </c>
      <c r="B1347" s="78" t="str">
        <f t="shared" si="37"/>
        <v/>
      </c>
      <c r="K1347" s="87"/>
      <c r="L1347" s="87"/>
      <c r="M1347" s="87"/>
      <c r="N1347" s="87"/>
    </row>
    <row r="1348" s="65" customFormat="1" customHeight="1" spans="1:14">
      <c r="A1348" s="77">
        <v>1345</v>
      </c>
      <c r="B1348" s="78" t="str">
        <f t="shared" si="37"/>
        <v/>
      </c>
      <c r="K1348" s="87"/>
      <c r="L1348" s="87"/>
      <c r="M1348" s="87"/>
      <c r="N1348" s="87"/>
    </row>
    <row r="1349" s="65" customFormat="1" customHeight="1" spans="1:14">
      <c r="A1349" s="77">
        <v>1346</v>
      </c>
      <c r="B1349" s="78" t="str">
        <f t="shared" ref="B1349:B1412" si="38">+C1349&amp;E1349</f>
        <v/>
      </c>
      <c r="K1349" s="87"/>
      <c r="L1349" s="87"/>
      <c r="M1349" s="87"/>
      <c r="N1349" s="87"/>
    </row>
    <row r="1350" s="65" customFormat="1" customHeight="1" spans="1:14">
      <c r="A1350" s="77">
        <v>1347</v>
      </c>
      <c r="B1350" s="78" t="str">
        <f t="shared" si="38"/>
        <v/>
      </c>
      <c r="K1350" s="87"/>
      <c r="L1350" s="87"/>
      <c r="M1350" s="87"/>
      <c r="N1350" s="87"/>
    </row>
    <row r="1351" s="65" customFormat="1" customHeight="1" spans="1:14">
      <c r="A1351" s="77">
        <v>1348</v>
      </c>
      <c r="B1351" s="78" t="str">
        <f t="shared" si="38"/>
        <v/>
      </c>
      <c r="K1351" s="87"/>
      <c r="L1351" s="87"/>
      <c r="M1351" s="87"/>
      <c r="N1351" s="87"/>
    </row>
    <row r="1352" s="65" customFormat="1" customHeight="1" spans="1:14">
      <c r="A1352" s="77">
        <v>1349</v>
      </c>
      <c r="B1352" s="78" t="str">
        <f t="shared" si="38"/>
        <v/>
      </c>
      <c r="K1352" s="87"/>
      <c r="L1352" s="87"/>
      <c r="M1352" s="87"/>
      <c r="N1352" s="87"/>
    </row>
    <row r="1353" s="65" customFormat="1" customHeight="1" spans="1:14">
      <c r="A1353" s="77">
        <v>1350</v>
      </c>
      <c r="B1353" s="78" t="str">
        <f t="shared" si="38"/>
        <v/>
      </c>
      <c r="K1353" s="87"/>
      <c r="L1353" s="87"/>
      <c r="M1353" s="87"/>
      <c r="N1353" s="87"/>
    </row>
    <row r="1354" s="65" customFormat="1" customHeight="1" spans="1:14">
      <c r="A1354" s="77">
        <v>1351</v>
      </c>
      <c r="B1354" s="78" t="str">
        <f t="shared" si="38"/>
        <v/>
      </c>
      <c r="K1354" s="87"/>
      <c r="L1354" s="87"/>
      <c r="M1354" s="87"/>
      <c r="N1354" s="87"/>
    </row>
    <row r="1355" s="65" customFormat="1" customHeight="1" spans="1:14">
      <c r="A1355" s="77">
        <v>1352</v>
      </c>
      <c r="B1355" s="78" t="str">
        <f t="shared" si="38"/>
        <v/>
      </c>
      <c r="K1355" s="87"/>
      <c r="L1355" s="87"/>
      <c r="M1355" s="87"/>
      <c r="N1355" s="87"/>
    </row>
    <row r="1356" s="65" customFormat="1" customHeight="1" spans="1:14">
      <c r="A1356" s="77">
        <v>1353</v>
      </c>
      <c r="B1356" s="78" t="str">
        <f t="shared" si="38"/>
        <v/>
      </c>
      <c r="K1356" s="87"/>
      <c r="L1356" s="87"/>
      <c r="M1356" s="87"/>
      <c r="N1356" s="87"/>
    </row>
    <row r="1357" s="65" customFormat="1" customHeight="1" spans="1:14">
      <c r="A1357" s="77">
        <v>1354</v>
      </c>
      <c r="B1357" s="78" t="str">
        <f t="shared" si="38"/>
        <v/>
      </c>
      <c r="K1357" s="87"/>
      <c r="L1357" s="87"/>
      <c r="M1357" s="87"/>
      <c r="N1357" s="87"/>
    </row>
    <row r="1358" s="65" customFormat="1" customHeight="1" spans="1:14">
      <c r="A1358" s="77">
        <v>1355</v>
      </c>
      <c r="B1358" s="78" t="str">
        <f t="shared" si="38"/>
        <v/>
      </c>
      <c r="K1358" s="87"/>
      <c r="L1358" s="87"/>
      <c r="M1358" s="87"/>
      <c r="N1358" s="87"/>
    </row>
    <row r="1359" s="65" customFormat="1" customHeight="1" spans="1:14">
      <c r="A1359" s="77">
        <v>1356</v>
      </c>
      <c r="B1359" s="78" t="str">
        <f t="shared" si="38"/>
        <v/>
      </c>
      <c r="K1359" s="87"/>
      <c r="L1359" s="87"/>
      <c r="M1359" s="87"/>
      <c r="N1359" s="87"/>
    </row>
    <row r="1360" s="65" customFormat="1" customHeight="1" spans="1:14">
      <c r="A1360" s="77">
        <v>1357</v>
      </c>
      <c r="B1360" s="78" t="str">
        <f t="shared" si="38"/>
        <v/>
      </c>
      <c r="K1360" s="87"/>
      <c r="L1360" s="87"/>
      <c r="M1360" s="87"/>
      <c r="N1360" s="87"/>
    </row>
    <row r="1361" s="65" customFormat="1" customHeight="1" spans="1:14">
      <c r="A1361" s="77">
        <v>1358</v>
      </c>
      <c r="B1361" s="78" t="str">
        <f t="shared" si="38"/>
        <v/>
      </c>
      <c r="K1361" s="87"/>
      <c r="L1361" s="87"/>
      <c r="M1361" s="87"/>
      <c r="N1361" s="87"/>
    </row>
    <row r="1362" s="65" customFormat="1" customHeight="1" spans="1:14">
      <c r="A1362" s="77">
        <v>1359</v>
      </c>
      <c r="B1362" s="78" t="str">
        <f t="shared" si="38"/>
        <v/>
      </c>
      <c r="K1362" s="87"/>
      <c r="L1362" s="87"/>
      <c r="M1362" s="87"/>
      <c r="N1362" s="87"/>
    </row>
    <row r="1363" s="65" customFormat="1" customHeight="1" spans="1:14">
      <c r="A1363" s="77">
        <v>1360</v>
      </c>
      <c r="B1363" s="78" t="str">
        <f t="shared" si="38"/>
        <v/>
      </c>
      <c r="K1363" s="87"/>
      <c r="L1363" s="87"/>
      <c r="M1363" s="87"/>
      <c r="N1363" s="87"/>
    </row>
    <row r="1364" s="65" customFormat="1" customHeight="1" spans="1:14">
      <c r="A1364" s="77">
        <v>1361</v>
      </c>
      <c r="B1364" s="78" t="str">
        <f t="shared" si="38"/>
        <v/>
      </c>
      <c r="K1364" s="87"/>
      <c r="L1364" s="87"/>
      <c r="M1364" s="87"/>
      <c r="N1364" s="87"/>
    </row>
    <row r="1365" s="65" customFormat="1" customHeight="1" spans="1:14">
      <c r="A1365" s="77">
        <v>1362</v>
      </c>
      <c r="B1365" s="78" t="str">
        <f t="shared" si="38"/>
        <v/>
      </c>
      <c r="K1365" s="87"/>
      <c r="L1365" s="87"/>
      <c r="M1365" s="87"/>
      <c r="N1365" s="87"/>
    </row>
    <row r="1366" s="65" customFormat="1" customHeight="1" spans="1:14">
      <c r="A1366" s="77">
        <v>1363</v>
      </c>
      <c r="B1366" s="78" t="str">
        <f t="shared" si="38"/>
        <v/>
      </c>
      <c r="K1366" s="87"/>
      <c r="L1366" s="87"/>
      <c r="M1366" s="87"/>
      <c r="N1366" s="87"/>
    </row>
    <row r="1367" s="65" customFormat="1" customHeight="1" spans="1:14">
      <c r="A1367" s="77">
        <v>1364</v>
      </c>
      <c r="B1367" s="78" t="str">
        <f t="shared" si="38"/>
        <v/>
      </c>
      <c r="K1367" s="87"/>
      <c r="L1367" s="87"/>
      <c r="M1367" s="87"/>
      <c r="N1367" s="87"/>
    </row>
    <row r="1368" s="65" customFormat="1" customHeight="1" spans="1:14">
      <c r="A1368" s="77">
        <v>1365</v>
      </c>
      <c r="B1368" s="78" t="str">
        <f t="shared" si="38"/>
        <v/>
      </c>
      <c r="K1368" s="87"/>
      <c r="L1368" s="87"/>
      <c r="M1368" s="87"/>
      <c r="N1368" s="87"/>
    </row>
    <row r="1369" s="65" customFormat="1" customHeight="1" spans="1:14">
      <c r="A1369" s="77">
        <v>1366</v>
      </c>
      <c r="B1369" s="78" t="str">
        <f t="shared" si="38"/>
        <v/>
      </c>
      <c r="K1369" s="87"/>
      <c r="L1369" s="87"/>
      <c r="M1369" s="87"/>
      <c r="N1369" s="87"/>
    </row>
    <row r="1370" s="65" customFormat="1" customHeight="1" spans="1:14">
      <c r="A1370" s="77">
        <v>1367</v>
      </c>
      <c r="B1370" s="78" t="str">
        <f t="shared" si="38"/>
        <v/>
      </c>
      <c r="K1370" s="87"/>
      <c r="L1370" s="87"/>
      <c r="M1370" s="87"/>
      <c r="N1370" s="87"/>
    </row>
    <row r="1371" s="65" customFormat="1" customHeight="1" spans="1:14">
      <c r="A1371" s="77">
        <v>1368</v>
      </c>
      <c r="B1371" s="78" t="str">
        <f t="shared" si="38"/>
        <v/>
      </c>
      <c r="K1371" s="87"/>
      <c r="L1371" s="87"/>
      <c r="M1371" s="87"/>
      <c r="N1371" s="87"/>
    </row>
    <row r="1372" s="65" customFormat="1" customHeight="1" spans="1:14">
      <c r="A1372" s="77">
        <v>1369</v>
      </c>
      <c r="B1372" s="78" t="str">
        <f t="shared" si="38"/>
        <v/>
      </c>
      <c r="K1372" s="87"/>
      <c r="L1372" s="87"/>
      <c r="M1372" s="87"/>
      <c r="N1372" s="87"/>
    </row>
    <row r="1373" s="65" customFormat="1" customHeight="1" spans="1:14">
      <c r="A1373" s="77">
        <v>1370</v>
      </c>
      <c r="B1373" s="78" t="str">
        <f t="shared" si="38"/>
        <v/>
      </c>
      <c r="K1373" s="87"/>
      <c r="L1373" s="87"/>
      <c r="M1373" s="87"/>
      <c r="N1373" s="87"/>
    </row>
    <row r="1374" s="65" customFormat="1" customHeight="1" spans="1:14">
      <c r="A1374" s="77">
        <v>1371</v>
      </c>
      <c r="B1374" s="78" t="str">
        <f t="shared" si="38"/>
        <v/>
      </c>
      <c r="K1374" s="87"/>
      <c r="L1374" s="87"/>
      <c r="M1374" s="87"/>
      <c r="N1374" s="87"/>
    </row>
    <row r="1375" s="65" customFormat="1" customHeight="1" spans="1:14">
      <c r="A1375" s="77">
        <v>1372</v>
      </c>
      <c r="B1375" s="78" t="str">
        <f t="shared" si="38"/>
        <v/>
      </c>
      <c r="K1375" s="87"/>
      <c r="L1375" s="87"/>
      <c r="M1375" s="87"/>
      <c r="N1375" s="87"/>
    </row>
    <row r="1376" s="65" customFormat="1" customHeight="1" spans="1:14">
      <c r="A1376" s="77">
        <v>1373</v>
      </c>
      <c r="B1376" s="78" t="str">
        <f t="shared" si="38"/>
        <v/>
      </c>
      <c r="K1376" s="87"/>
      <c r="L1376" s="87"/>
      <c r="M1376" s="87"/>
      <c r="N1376" s="87"/>
    </row>
    <row r="1377" s="65" customFormat="1" customHeight="1" spans="1:14">
      <c r="A1377" s="77">
        <v>1374</v>
      </c>
      <c r="B1377" s="78" t="str">
        <f t="shared" si="38"/>
        <v/>
      </c>
      <c r="K1377" s="87"/>
      <c r="L1377" s="87"/>
      <c r="M1377" s="87"/>
      <c r="N1377" s="87"/>
    </row>
    <row r="1378" s="65" customFormat="1" customHeight="1" spans="1:14">
      <c r="A1378" s="77">
        <v>1375</v>
      </c>
      <c r="B1378" s="78" t="str">
        <f t="shared" si="38"/>
        <v/>
      </c>
      <c r="K1378" s="87"/>
      <c r="L1378" s="87"/>
      <c r="M1378" s="87"/>
      <c r="N1378" s="87"/>
    </row>
    <row r="1379" s="65" customFormat="1" customHeight="1" spans="1:14">
      <c r="A1379" s="77">
        <v>1376</v>
      </c>
      <c r="B1379" s="78" t="str">
        <f t="shared" si="38"/>
        <v/>
      </c>
      <c r="K1379" s="87"/>
      <c r="L1379" s="87"/>
      <c r="M1379" s="87"/>
      <c r="N1379" s="87"/>
    </row>
    <row r="1380" s="65" customFormat="1" customHeight="1" spans="1:14">
      <c r="A1380" s="77">
        <v>1377</v>
      </c>
      <c r="B1380" s="78" t="str">
        <f t="shared" si="38"/>
        <v/>
      </c>
      <c r="K1380" s="87"/>
      <c r="L1380" s="87"/>
      <c r="M1380" s="87"/>
      <c r="N1380" s="87"/>
    </row>
    <row r="1381" s="65" customFormat="1" customHeight="1" spans="1:14">
      <c r="A1381" s="77">
        <v>1378</v>
      </c>
      <c r="B1381" s="78" t="str">
        <f t="shared" si="38"/>
        <v/>
      </c>
      <c r="K1381" s="87"/>
      <c r="L1381" s="87"/>
      <c r="M1381" s="87"/>
      <c r="N1381" s="87"/>
    </row>
    <row r="1382" s="65" customFormat="1" customHeight="1" spans="1:14">
      <c r="A1382" s="77">
        <v>1379</v>
      </c>
      <c r="B1382" s="78" t="str">
        <f t="shared" si="38"/>
        <v/>
      </c>
      <c r="K1382" s="87"/>
      <c r="L1382" s="87"/>
      <c r="M1382" s="87"/>
      <c r="N1382" s="87"/>
    </row>
    <row r="1383" s="65" customFormat="1" customHeight="1" spans="1:14">
      <c r="A1383" s="77">
        <v>1380</v>
      </c>
      <c r="B1383" s="78" t="str">
        <f t="shared" si="38"/>
        <v/>
      </c>
      <c r="K1383" s="87"/>
      <c r="L1383" s="87"/>
      <c r="M1383" s="87"/>
      <c r="N1383" s="87"/>
    </row>
    <row r="1384" s="65" customFormat="1" customHeight="1" spans="1:14">
      <c r="A1384" s="77">
        <v>1381</v>
      </c>
      <c r="B1384" s="78" t="str">
        <f t="shared" si="38"/>
        <v/>
      </c>
      <c r="K1384" s="87"/>
      <c r="L1384" s="87"/>
      <c r="M1384" s="87"/>
      <c r="N1384" s="87"/>
    </row>
    <row r="1385" s="65" customFormat="1" customHeight="1" spans="1:14">
      <c r="A1385" s="77">
        <v>1382</v>
      </c>
      <c r="B1385" s="78" t="str">
        <f t="shared" si="38"/>
        <v/>
      </c>
      <c r="K1385" s="87"/>
      <c r="L1385" s="87"/>
      <c r="M1385" s="87"/>
      <c r="N1385" s="87"/>
    </row>
    <row r="1386" s="65" customFormat="1" customHeight="1" spans="1:14">
      <c r="A1386" s="77">
        <v>1383</v>
      </c>
      <c r="B1386" s="78" t="str">
        <f t="shared" si="38"/>
        <v/>
      </c>
      <c r="K1386" s="87"/>
      <c r="L1386" s="87"/>
      <c r="M1386" s="87"/>
      <c r="N1386" s="87"/>
    </row>
    <row r="1387" s="65" customFormat="1" customHeight="1" spans="1:14">
      <c r="A1387" s="77">
        <v>1384</v>
      </c>
      <c r="B1387" s="78" t="str">
        <f t="shared" si="38"/>
        <v/>
      </c>
      <c r="K1387" s="87"/>
      <c r="L1387" s="87"/>
      <c r="M1387" s="87"/>
      <c r="N1387" s="87"/>
    </row>
    <row r="1388" s="65" customFormat="1" customHeight="1" spans="1:14">
      <c r="A1388" s="77">
        <v>1385</v>
      </c>
      <c r="B1388" s="78" t="str">
        <f t="shared" si="38"/>
        <v/>
      </c>
      <c r="K1388" s="87"/>
      <c r="L1388" s="87"/>
      <c r="M1388" s="87"/>
      <c r="N1388" s="87"/>
    </row>
    <row r="1389" s="65" customFormat="1" customHeight="1" spans="1:14">
      <c r="A1389" s="77">
        <v>1386</v>
      </c>
      <c r="B1389" s="78" t="str">
        <f t="shared" si="38"/>
        <v/>
      </c>
      <c r="K1389" s="87"/>
      <c r="L1389" s="87"/>
      <c r="M1389" s="87"/>
      <c r="N1389" s="87"/>
    </row>
    <row r="1390" s="65" customFormat="1" customHeight="1" spans="1:14">
      <c r="A1390" s="77">
        <v>1387</v>
      </c>
      <c r="B1390" s="78" t="str">
        <f t="shared" si="38"/>
        <v/>
      </c>
      <c r="K1390" s="87"/>
      <c r="L1390" s="87"/>
      <c r="M1390" s="87"/>
      <c r="N1390" s="87"/>
    </row>
    <row r="1391" s="65" customFormat="1" customHeight="1" spans="1:14">
      <c r="A1391" s="77">
        <v>1388</v>
      </c>
      <c r="B1391" s="78" t="str">
        <f t="shared" si="38"/>
        <v/>
      </c>
      <c r="K1391" s="87"/>
      <c r="L1391" s="87"/>
      <c r="M1391" s="87"/>
      <c r="N1391" s="87"/>
    </row>
    <row r="1392" s="65" customFormat="1" customHeight="1" spans="1:14">
      <c r="A1392" s="77">
        <v>1389</v>
      </c>
      <c r="B1392" s="78" t="str">
        <f t="shared" si="38"/>
        <v/>
      </c>
      <c r="K1392" s="87"/>
      <c r="L1392" s="87"/>
      <c r="M1392" s="87"/>
      <c r="N1392" s="87"/>
    </row>
    <row r="1393" s="65" customFormat="1" customHeight="1" spans="1:14">
      <c r="A1393" s="77">
        <v>1390</v>
      </c>
      <c r="B1393" s="78" t="str">
        <f t="shared" si="38"/>
        <v/>
      </c>
      <c r="K1393" s="87"/>
      <c r="L1393" s="87"/>
      <c r="M1393" s="87"/>
      <c r="N1393" s="87"/>
    </row>
    <row r="1394" s="65" customFormat="1" customHeight="1" spans="1:14">
      <c r="A1394" s="77">
        <v>1391</v>
      </c>
      <c r="B1394" s="78" t="str">
        <f t="shared" si="38"/>
        <v/>
      </c>
      <c r="K1394" s="87"/>
      <c r="L1394" s="87"/>
      <c r="M1394" s="87"/>
      <c r="N1394" s="87"/>
    </row>
    <row r="1395" s="65" customFormat="1" customHeight="1" spans="1:14">
      <c r="A1395" s="77">
        <v>1392</v>
      </c>
      <c r="B1395" s="78" t="str">
        <f t="shared" si="38"/>
        <v/>
      </c>
      <c r="K1395" s="87"/>
      <c r="L1395" s="87"/>
      <c r="M1395" s="87"/>
      <c r="N1395" s="87"/>
    </row>
    <row r="1396" s="65" customFormat="1" customHeight="1" spans="1:14">
      <c r="A1396" s="77">
        <v>1393</v>
      </c>
      <c r="B1396" s="78" t="str">
        <f t="shared" si="38"/>
        <v/>
      </c>
      <c r="K1396" s="87"/>
      <c r="L1396" s="87"/>
      <c r="M1396" s="87"/>
      <c r="N1396" s="87"/>
    </row>
    <row r="1397" s="65" customFormat="1" customHeight="1" spans="1:14">
      <c r="A1397" s="77">
        <v>1394</v>
      </c>
      <c r="B1397" s="78" t="str">
        <f t="shared" si="38"/>
        <v/>
      </c>
      <c r="K1397" s="87"/>
      <c r="L1397" s="87"/>
      <c r="M1397" s="87"/>
      <c r="N1397" s="87"/>
    </row>
    <row r="1398" s="65" customFormat="1" customHeight="1" spans="1:14">
      <c r="A1398" s="77">
        <v>1395</v>
      </c>
      <c r="B1398" s="78" t="str">
        <f t="shared" si="38"/>
        <v/>
      </c>
      <c r="K1398" s="87"/>
      <c r="L1398" s="87"/>
      <c r="M1398" s="87"/>
      <c r="N1398" s="87"/>
    </row>
    <row r="1399" s="65" customFormat="1" customHeight="1" spans="1:14">
      <c r="A1399" s="77">
        <v>1396</v>
      </c>
      <c r="B1399" s="78" t="str">
        <f t="shared" si="38"/>
        <v/>
      </c>
      <c r="K1399" s="87"/>
      <c r="L1399" s="87"/>
      <c r="M1399" s="87"/>
      <c r="N1399" s="87"/>
    </row>
    <row r="1400" s="65" customFormat="1" customHeight="1" spans="1:14">
      <c r="A1400" s="77">
        <v>1397</v>
      </c>
      <c r="B1400" s="78" t="str">
        <f t="shared" si="38"/>
        <v/>
      </c>
      <c r="K1400" s="87"/>
      <c r="L1400" s="87"/>
      <c r="M1400" s="87"/>
      <c r="N1400" s="87"/>
    </row>
    <row r="1401" s="65" customFormat="1" customHeight="1" spans="1:14">
      <c r="A1401" s="77">
        <v>1398</v>
      </c>
      <c r="B1401" s="78" t="str">
        <f t="shared" si="38"/>
        <v/>
      </c>
      <c r="K1401" s="87"/>
      <c r="L1401" s="87"/>
      <c r="M1401" s="87"/>
      <c r="N1401" s="87"/>
    </row>
    <row r="1402" s="65" customFormat="1" customHeight="1" spans="1:14">
      <c r="A1402" s="77">
        <v>1399</v>
      </c>
      <c r="B1402" s="78" t="str">
        <f t="shared" si="38"/>
        <v/>
      </c>
      <c r="K1402" s="87"/>
      <c r="L1402" s="87"/>
      <c r="M1402" s="87"/>
      <c r="N1402" s="87"/>
    </row>
    <row r="1403" s="65" customFormat="1" customHeight="1" spans="1:14">
      <c r="A1403" s="77">
        <v>1400</v>
      </c>
      <c r="B1403" s="78" t="str">
        <f t="shared" si="38"/>
        <v/>
      </c>
      <c r="K1403" s="87"/>
      <c r="L1403" s="87"/>
      <c r="M1403" s="87"/>
      <c r="N1403" s="87"/>
    </row>
    <row r="1404" s="65" customFormat="1" customHeight="1" spans="1:14">
      <c r="A1404" s="77">
        <v>1401</v>
      </c>
      <c r="B1404" s="78" t="str">
        <f t="shared" si="38"/>
        <v/>
      </c>
      <c r="K1404" s="87"/>
      <c r="L1404" s="87"/>
      <c r="M1404" s="87"/>
      <c r="N1404" s="87"/>
    </row>
    <row r="1405" s="65" customFormat="1" customHeight="1" spans="1:14">
      <c r="A1405" s="77">
        <v>1402</v>
      </c>
      <c r="B1405" s="78" t="str">
        <f t="shared" si="38"/>
        <v/>
      </c>
      <c r="K1405" s="87"/>
      <c r="L1405" s="87"/>
      <c r="M1405" s="87"/>
      <c r="N1405" s="87"/>
    </row>
    <row r="1406" s="65" customFormat="1" customHeight="1" spans="1:14">
      <c r="A1406" s="77">
        <v>1403</v>
      </c>
      <c r="B1406" s="78" t="str">
        <f t="shared" si="38"/>
        <v/>
      </c>
      <c r="K1406" s="87"/>
      <c r="L1406" s="87"/>
      <c r="M1406" s="87"/>
      <c r="N1406" s="87"/>
    </row>
    <row r="1407" s="65" customFormat="1" customHeight="1" spans="1:14">
      <c r="A1407" s="77">
        <v>1404</v>
      </c>
      <c r="B1407" s="78" t="str">
        <f t="shared" si="38"/>
        <v/>
      </c>
      <c r="K1407" s="87"/>
      <c r="L1407" s="87"/>
      <c r="M1407" s="87"/>
      <c r="N1407" s="87"/>
    </row>
    <row r="1408" s="65" customFormat="1" customHeight="1" spans="1:14">
      <c r="A1408" s="77">
        <v>1405</v>
      </c>
      <c r="B1408" s="78" t="str">
        <f t="shared" si="38"/>
        <v/>
      </c>
      <c r="K1408" s="87"/>
      <c r="L1408" s="87"/>
      <c r="M1408" s="87"/>
      <c r="N1408" s="87"/>
    </row>
    <row r="1409" s="65" customFormat="1" customHeight="1" spans="1:14">
      <c r="A1409" s="77">
        <v>1406</v>
      </c>
      <c r="B1409" s="78" t="str">
        <f t="shared" si="38"/>
        <v/>
      </c>
      <c r="K1409" s="87"/>
      <c r="L1409" s="87"/>
      <c r="M1409" s="87"/>
      <c r="N1409" s="87"/>
    </row>
    <row r="1410" s="65" customFormat="1" customHeight="1" spans="1:14">
      <c r="A1410" s="77">
        <v>1407</v>
      </c>
      <c r="B1410" s="78" t="str">
        <f t="shared" si="38"/>
        <v/>
      </c>
      <c r="K1410" s="87"/>
      <c r="L1410" s="87"/>
      <c r="M1410" s="87"/>
      <c r="N1410" s="87"/>
    </row>
    <row r="1411" s="65" customFormat="1" customHeight="1" spans="1:14">
      <c r="A1411" s="77">
        <v>1408</v>
      </c>
      <c r="B1411" s="78" t="str">
        <f t="shared" si="38"/>
        <v/>
      </c>
      <c r="K1411" s="87"/>
      <c r="L1411" s="87"/>
      <c r="M1411" s="87"/>
      <c r="N1411" s="87"/>
    </row>
    <row r="1412" s="65" customFormat="1" customHeight="1" spans="1:14">
      <c r="A1412" s="77">
        <v>1409</v>
      </c>
      <c r="B1412" s="78" t="str">
        <f t="shared" si="38"/>
        <v/>
      </c>
      <c r="K1412" s="87"/>
      <c r="L1412" s="87"/>
      <c r="M1412" s="87"/>
      <c r="N1412" s="87"/>
    </row>
    <row r="1413" s="65" customFormat="1" customHeight="1" spans="1:14">
      <c r="A1413" s="77">
        <v>1410</v>
      </c>
      <c r="B1413" s="78" t="str">
        <f t="shared" ref="B1413:B1476" si="39">+C1413&amp;E1413</f>
        <v/>
      </c>
      <c r="K1413" s="87"/>
      <c r="L1413" s="87"/>
      <c r="M1413" s="87"/>
      <c r="N1413" s="87"/>
    </row>
    <row r="1414" s="65" customFormat="1" customHeight="1" spans="1:14">
      <c r="A1414" s="77">
        <v>1411</v>
      </c>
      <c r="B1414" s="78" t="str">
        <f t="shared" si="39"/>
        <v/>
      </c>
      <c r="K1414" s="87"/>
      <c r="L1414" s="87"/>
      <c r="M1414" s="87"/>
      <c r="N1414" s="87"/>
    </row>
    <row r="1415" s="65" customFormat="1" customHeight="1" spans="1:14">
      <c r="A1415" s="77">
        <v>1412</v>
      </c>
      <c r="B1415" s="78" t="str">
        <f t="shared" si="39"/>
        <v/>
      </c>
      <c r="K1415" s="87"/>
      <c r="L1415" s="87"/>
      <c r="M1415" s="87"/>
      <c r="N1415" s="87"/>
    </row>
    <row r="1416" s="65" customFormat="1" customHeight="1" spans="1:14">
      <c r="A1416" s="77">
        <v>1413</v>
      </c>
      <c r="B1416" s="78" t="str">
        <f t="shared" si="39"/>
        <v/>
      </c>
      <c r="K1416" s="87"/>
      <c r="L1416" s="87"/>
      <c r="M1416" s="87"/>
      <c r="N1416" s="87"/>
    </row>
    <row r="1417" s="65" customFormat="1" customHeight="1" spans="1:14">
      <c r="A1417" s="77">
        <v>1414</v>
      </c>
      <c r="B1417" s="78" t="str">
        <f t="shared" si="39"/>
        <v/>
      </c>
      <c r="K1417" s="87"/>
      <c r="L1417" s="87"/>
      <c r="M1417" s="87"/>
      <c r="N1417" s="87"/>
    </row>
    <row r="1418" s="65" customFormat="1" customHeight="1" spans="1:14">
      <c r="A1418" s="77">
        <v>1415</v>
      </c>
      <c r="B1418" s="78" t="str">
        <f t="shared" si="39"/>
        <v/>
      </c>
      <c r="K1418" s="87"/>
      <c r="L1418" s="87"/>
      <c r="M1418" s="87"/>
      <c r="N1418" s="87"/>
    </row>
    <row r="1419" s="65" customFormat="1" customHeight="1" spans="1:14">
      <c r="A1419" s="77">
        <v>1416</v>
      </c>
      <c r="B1419" s="78" t="str">
        <f t="shared" si="39"/>
        <v/>
      </c>
      <c r="K1419" s="87"/>
      <c r="L1419" s="87"/>
      <c r="M1419" s="87"/>
      <c r="N1419" s="87"/>
    </row>
    <row r="1420" s="65" customFormat="1" customHeight="1" spans="1:14">
      <c r="A1420" s="77">
        <v>1417</v>
      </c>
      <c r="B1420" s="78" t="str">
        <f t="shared" si="39"/>
        <v/>
      </c>
      <c r="K1420" s="87"/>
      <c r="L1420" s="87"/>
      <c r="M1420" s="87"/>
      <c r="N1420" s="87"/>
    </row>
    <row r="1421" s="65" customFormat="1" customHeight="1" spans="1:14">
      <c r="A1421" s="77">
        <v>1418</v>
      </c>
      <c r="B1421" s="78" t="str">
        <f t="shared" si="39"/>
        <v/>
      </c>
      <c r="K1421" s="87"/>
      <c r="L1421" s="87"/>
      <c r="M1421" s="87"/>
      <c r="N1421" s="87"/>
    </row>
    <row r="1422" s="65" customFormat="1" customHeight="1" spans="1:14">
      <c r="A1422" s="77">
        <v>1419</v>
      </c>
      <c r="B1422" s="78" t="str">
        <f t="shared" si="39"/>
        <v/>
      </c>
      <c r="K1422" s="87"/>
      <c r="L1422" s="87"/>
      <c r="M1422" s="87"/>
      <c r="N1422" s="87"/>
    </row>
    <row r="1423" s="65" customFormat="1" customHeight="1" spans="1:14">
      <c r="A1423" s="77">
        <v>1420</v>
      </c>
      <c r="B1423" s="78" t="str">
        <f t="shared" si="39"/>
        <v/>
      </c>
      <c r="K1423" s="87"/>
      <c r="L1423" s="87"/>
      <c r="M1423" s="87"/>
      <c r="N1423" s="87"/>
    </row>
    <row r="1424" s="65" customFormat="1" customHeight="1" spans="1:14">
      <c r="A1424" s="77">
        <v>1421</v>
      </c>
      <c r="B1424" s="78" t="str">
        <f t="shared" si="39"/>
        <v/>
      </c>
      <c r="K1424" s="87"/>
      <c r="L1424" s="87"/>
      <c r="M1424" s="87"/>
      <c r="N1424" s="87"/>
    </row>
    <row r="1425" s="65" customFormat="1" customHeight="1" spans="1:14">
      <c r="A1425" s="77">
        <v>1422</v>
      </c>
      <c r="B1425" s="78" t="str">
        <f t="shared" si="39"/>
        <v/>
      </c>
      <c r="K1425" s="87"/>
      <c r="L1425" s="87"/>
      <c r="M1425" s="87"/>
      <c r="N1425" s="87"/>
    </row>
    <row r="1426" s="65" customFormat="1" customHeight="1" spans="1:14">
      <c r="A1426" s="77">
        <v>1423</v>
      </c>
      <c r="B1426" s="78" t="str">
        <f t="shared" si="39"/>
        <v/>
      </c>
      <c r="K1426" s="87"/>
      <c r="L1426" s="87"/>
      <c r="M1426" s="87"/>
      <c r="N1426" s="87"/>
    </row>
    <row r="1427" s="65" customFormat="1" customHeight="1" spans="1:14">
      <c r="A1427" s="77">
        <v>1424</v>
      </c>
      <c r="B1427" s="78" t="str">
        <f t="shared" si="39"/>
        <v/>
      </c>
      <c r="K1427" s="87"/>
      <c r="L1427" s="87"/>
      <c r="M1427" s="87"/>
      <c r="N1427" s="87"/>
    </row>
    <row r="1428" s="65" customFormat="1" customHeight="1" spans="1:14">
      <c r="A1428" s="77">
        <v>1425</v>
      </c>
      <c r="B1428" s="78" t="str">
        <f t="shared" si="39"/>
        <v/>
      </c>
      <c r="K1428" s="87"/>
      <c r="L1428" s="87"/>
      <c r="M1428" s="87"/>
      <c r="N1428" s="87"/>
    </row>
    <row r="1429" s="65" customFormat="1" customHeight="1" spans="1:14">
      <c r="A1429" s="77">
        <v>1426</v>
      </c>
      <c r="B1429" s="78" t="str">
        <f t="shared" si="39"/>
        <v/>
      </c>
      <c r="K1429" s="87"/>
      <c r="L1429" s="87"/>
      <c r="M1429" s="87"/>
      <c r="N1429" s="87"/>
    </row>
    <row r="1430" s="65" customFormat="1" customHeight="1" spans="1:14">
      <c r="A1430" s="77">
        <v>1427</v>
      </c>
      <c r="B1430" s="78" t="str">
        <f t="shared" si="39"/>
        <v/>
      </c>
      <c r="K1430" s="87"/>
      <c r="L1430" s="87"/>
      <c r="M1430" s="87"/>
      <c r="N1430" s="87"/>
    </row>
    <row r="1431" s="65" customFormat="1" customHeight="1" spans="1:14">
      <c r="A1431" s="77">
        <v>1428</v>
      </c>
      <c r="B1431" s="78" t="str">
        <f t="shared" si="39"/>
        <v/>
      </c>
      <c r="K1431" s="87"/>
      <c r="L1431" s="87"/>
      <c r="M1431" s="87"/>
      <c r="N1431" s="87"/>
    </row>
    <row r="1432" s="65" customFormat="1" customHeight="1" spans="1:14">
      <c r="A1432" s="77">
        <v>1429</v>
      </c>
      <c r="B1432" s="78" t="str">
        <f t="shared" si="39"/>
        <v/>
      </c>
      <c r="K1432" s="87"/>
      <c r="L1432" s="87"/>
      <c r="M1432" s="87"/>
      <c r="N1432" s="87"/>
    </row>
    <row r="1433" s="65" customFormat="1" customHeight="1" spans="1:14">
      <c r="A1433" s="77">
        <v>1430</v>
      </c>
      <c r="B1433" s="78" t="str">
        <f t="shared" si="39"/>
        <v/>
      </c>
      <c r="K1433" s="87"/>
      <c r="L1433" s="87"/>
      <c r="M1433" s="87"/>
      <c r="N1433" s="87"/>
    </row>
    <row r="1434" s="65" customFormat="1" customHeight="1" spans="1:14">
      <c r="A1434" s="77">
        <v>1431</v>
      </c>
      <c r="B1434" s="78" t="str">
        <f t="shared" si="39"/>
        <v/>
      </c>
      <c r="K1434" s="87"/>
      <c r="L1434" s="87"/>
      <c r="M1434" s="87"/>
      <c r="N1434" s="87"/>
    </row>
    <row r="1435" s="65" customFormat="1" customHeight="1" spans="1:14">
      <c r="A1435" s="77">
        <v>1432</v>
      </c>
      <c r="B1435" s="78" t="str">
        <f t="shared" si="39"/>
        <v/>
      </c>
      <c r="K1435" s="87"/>
      <c r="L1435" s="87"/>
      <c r="M1435" s="87"/>
      <c r="N1435" s="87"/>
    </row>
    <row r="1436" s="65" customFormat="1" customHeight="1" spans="1:14">
      <c r="A1436" s="77">
        <v>1433</v>
      </c>
      <c r="B1436" s="78" t="str">
        <f t="shared" si="39"/>
        <v/>
      </c>
      <c r="K1436" s="87"/>
      <c r="L1436" s="87"/>
      <c r="M1436" s="87"/>
      <c r="N1436" s="87"/>
    </row>
    <row r="1437" s="65" customFormat="1" customHeight="1" spans="1:14">
      <c r="A1437" s="77">
        <v>1434</v>
      </c>
      <c r="B1437" s="78" t="str">
        <f t="shared" si="39"/>
        <v/>
      </c>
      <c r="K1437" s="87"/>
      <c r="L1437" s="87"/>
      <c r="M1437" s="87"/>
      <c r="N1437" s="87"/>
    </row>
    <row r="1438" s="65" customFormat="1" customHeight="1" spans="1:14">
      <c r="A1438" s="77">
        <v>1435</v>
      </c>
      <c r="B1438" s="78" t="str">
        <f t="shared" si="39"/>
        <v/>
      </c>
      <c r="K1438" s="87"/>
      <c r="L1438" s="87"/>
      <c r="M1438" s="87"/>
      <c r="N1438" s="87"/>
    </row>
    <row r="1439" s="65" customFormat="1" customHeight="1" spans="1:14">
      <c r="A1439" s="77">
        <v>1436</v>
      </c>
      <c r="B1439" s="78" t="str">
        <f t="shared" si="39"/>
        <v/>
      </c>
      <c r="K1439" s="87"/>
      <c r="L1439" s="87"/>
      <c r="M1439" s="87"/>
      <c r="N1439" s="87"/>
    </row>
    <row r="1440" s="65" customFormat="1" customHeight="1" spans="1:14">
      <c r="A1440" s="77">
        <v>1437</v>
      </c>
      <c r="B1440" s="78" t="str">
        <f t="shared" si="39"/>
        <v/>
      </c>
      <c r="K1440" s="87"/>
      <c r="L1440" s="87"/>
      <c r="M1440" s="87"/>
      <c r="N1440" s="87"/>
    </row>
    <row r="1441" s="65" customFormat="1" customHeight="1" spans="1:14">
      <c r="A1441" s="77">
        <v>1438</v>
      </c>
      <c r="B1441" s="78" t="str">
        <f t="shared" si="39"/>
        <v/>
      </c>
      <c r="K1441" s="87"/>
      <c r="L1441" s="87"/>
      <c r="M1441" s="87"/>
      <c r="N1441" s="87"/>
    </row>
    <row r="1442" s="65" customFormat="1" customHeight="1" spans="1:14">
      <c r="A1442" s="77">
        <v>1439</v>
      </c>
      <c r="B1442" s="78" t="str">
        <f t="shared" si="39"/>
        <v/>
      </c>
      <c r="K1442" s="87"/>
      <c r="L1442" s="87"/>
      <c r="M1442" s="87"/>
      <c r="N1442" s="87"/>
    </row>
    <row r="1443" s="65" customFormat="1" customHeight="1" spans="1:14">
      <c r="A1443" s="77">
        <v>1440</v>
      </c>
      <c r="B1443" s="78" t="str">
        <f t="shared" si="39"/>
        <v/>
      </c>
      <c r="K1443" s="87"/>
      <c r="L1443" s="87"/>
      <c r="M1443" s="87"/>
      <c r="N1443" s="87"/>
    </row>
    <row r="1444" s="65" customFormat="1" customHeight="1" spans="1:14">
      <c r="A1444" s="77">
        <v>1441</v>
      </c>
      <c r="B1444" s="78" t="str">
        <f t="shared" si="39"/>
        <v/>
      </c>
      <c r="K1444" s="87"/>
      <c r="L1444" s="87"/>
      <c r="M1444" s="87"/>
      <c r="N1444" s="87"/>
    </row>
    <row r="1445" s="65" customFormat="1" customHeight="1" spans="1:14">
      <c r="A1445" s="77">
        <v>1442</v>
      </c>
      <c r="B1445" s="78" t="str">
        <f t="shared" si="39"/>
        <v/>
      </c>
      <c r="K1445" s="87"/>
      <c r="L1445" s="87"/>
      <c r="M1445" s="87"/>
      <c r="N1445" s="87"/>
    </row>
    <row r="1446" s="65" customFormat="1" customHeight="1" spans="1:14">
      <c r="A1446" s="77">
        <v>1443</v>
      </c>
      <c r="B1446" s="78" t="str">
        <f t="shared" si="39"/>
        <v/>
      </c>
      <c r="K1446" s="87"/>
      <c r="L1446" s="87"/>
      <c r="M1446" s="87"/>
      <c r="N1446" s="87"/>
    </row>
    <row r="1447" s="65" customFormat="1" customHeight="1" spans="1:14">
      <c r="A1447" s="77">
        <v>1444</v>
      </c>
      <c r="B1447" s="78" t="str">
        <f t="shared" si="39"/>
        <v/>
      </c>
      <c r="K1447" s="87"/>
      <c r="L1447" s="87"/>
      <c r="M1447" s="87"/>
      <c r="N1447" s="87"/>
    </row>
    <row r="1448" s="65" customFormat="1" customHeight="1" spans="1:14">
      <c r="A1448" s="77">
        <v>1445</v>
      </c>
      <c r="B1448" s="78" t="str">
        <f t="shared" si="39"/>
        <v/>
      </c>
      <c r="K1448" s="87"/>
      <c r="L1448" s="87"/>
      <c r="M1448" s="87"/>
      <c r="N1448" s="87"/>
    </row>
    <row r="1449" s="65" customFormat="1" customHeight="1" spans="1:14">
      <c r="A1449" s="77">
        <v>1446</v>
      </c>
      <c r="B1449" s="78" t="str">
        <f t="shared" si="39"/>
        <v/>
      </c>
      <c r="K1449" s="87"/>
      <c r="L1449" s="87"/>
      <c r="M1449" s="87"/>
      <c r="N1449" s="87"/>
    </row>
    <row r="1450" s="65" customFormat="1" customHeight="1" spans="1:14">
      <c r="A1450" s="77">
        <v>1447</v>
      </c>
      <c r="B1450" s="78" t="str">
        <f t="shared" si="39"/>
        <v/>
      </c>
      <c r="K1450" s="87"/>
      <c r="L1450" s="87"/>
      <c r="M1450" s="87"/>
      <c r="N1450" s="87"/>
    </row>
    <row r="1451" s="65" customFormat="1" customHeight="1" spans="1:14">
      <c r="A1451" s="77">
        <v>1448</v>
      </c>
      <c r="B1451" s="78" t="str">
        <f t="shared" si="39"/>
        <v/>
      </c>
      <c r="K1451" s="87"/>
      <c r="L1451" s="87"/>
      <c r="M1451" s="87"/>
      <c r="N1451" s="87"/>
    </row>
    <row r="1452" s="65" customFormat="1" customHeight="1" spans="1:14">
      <c r="A1452" s="77">
        <v>1449</v>
      </c>
      <c r="B1452" s="78" t="str">
        <f t="shared" si="39"/>
        <v/>
      </c>
      <c r="K1452" s="87"/>
      <c r="L1452" s="87"/>
      <c r="M1452" s="87"/>
      <c r="N1452" s="87"/>
    </row>
    <row r="1453" s="65" customFormat="1" customHeight="1" spans="1:14">
      <c r="A1453" s="77">
        <v>1450</v>
      </c>
      <c r="B1453" s="78" t="str">
        <f t="shared" si="39"/>
        <v/>
      </c>
      <c r="K1453" s="87"/>
      <c r="L1453" s="87"/>
      <c r="M1453" s="87"/>
      <c r="N1453" s="87"/>
    </row>
    <row r="1454" s="65" customFormat="1" customHeight="1" spans="1:14">
      <c r="A1454" s="77">
        <v>1451</v>
      </c>
      <c r="B1454" s="78" t="str">
        <f t="shared" si="39"/>
        <v/>
      </c>
      <c r="K1454" s="87"/>
      <c r="L1454" s="87"/>
      <c r="M1454" s="87"/>
      <c r="N1454" s="87"/>
    </row>
    <row r="1455" s="65" customFormat="1" customHeight="1" spans="1:14">
      <c r="A1455" s="77">
        <v>1452</v>
      </c>
      <c r="B1455" s="78" t="str">
        <f t="shared" si="39"/>
        <v/>
      </c>
      <c r="K1455" s="87"/>
      <c r="L1455" s="87"/>
      <c r="M1455" s="87"/>
      <c r="N1455" s="87"/>
    </row>
    <row r="1456" s="65" customFormat="1" customHeight="1" spans="1:14">
      <c r="A1456" s="77">
        <v>1453</v>
      </c>
      <c r="B1456" s="78" t="str">
        <f t="shared" si="39"/>
        <v/>
      </c>
      <c r="K1456" s="87"/>
      <c r="L1456" s="87"/>
      <c r="M1456" s="87"/>
      <c r="N1456" s="87"/>
    </row>
    <row r="1457" s="65" customFormat="1" customHeight="1" spans="1:14">
      <c r="A1457" s="77">
        <v>1454</v>
      </c>
      <c r="B1457" s="78" t="str">
        <f t="shared" si="39"/>
        <v/>
      </c>
      <c r="K1457" s="87"/>
      <c r="L1457" s="87"/>
      <c r="M1457" s="87"/>
      <c r="N1457" s="87"/>
    </row>
    <row r="1458" s="65" customFormat="1" customHeight="1" spans="1:14">
      <c r="A1458" s="77">
        <v>1455</v>
      </c>
      <c r="B1458" s="78" t="str">
        <f t="shared" si="39"/>
        <v/>
      </c>
      <c r="K1458" s="87"/>
      <c r="L1458" s="87"/>
      <c r="M1458" s="87"/>
      <c r="N1458" s="87"/>
    </row>
    <row r="1459" s="65" customFormat="1" customHeight="1" spans="1:14">
      <c r="A1459" s="77">
        <v>1456</v>
      </c>
      <c r="B1459" s="78" t="str">
        <f t="shared" si="39"/>
        <v/>
      </c>
      <c r="K1459" s="87"/>
      <c r="L1459" s="87"/>
      <c r="M1459" s="87"/>
      <c r="N1459" s="87"/>
    </row>
    <row r="1460" s="65" customFormat="1" customHeight="1" spans="1:14">
      <c r="A1460" s="77">
        <v>1457</v>
      </c>
      <c r="B1460" s="78" t="str">
        <f t="shared" si="39"/>
        <v/>
      </c>
      <c r="K1460" s="87"/>
      <c r="L1460" s="87"/>
      <c r="M1460" s="87"/>
      <c r="N1460" s="87"/>
    </row>
    <row r="1461" s="65" customFormat="1" customHeight="1" spans="1:14">
      <c r="A1461" s="77">
        <v>1458</v>
      </c>
      <c r="B1461" s="78" t="str">
        <f t="shared" si="39"/>
        <v/>
      </c>
      <c r="K1461" s="87"/>
      <c r="L1461" s="87"/>
      <c r="M1461" s="87"/>
      <c r="N1461" s="87"/>
    </row>
    <row r="1462" s="65" customFormat="1" customHeight="1" spans="1:14">
      <c r="A1462" s="77">
        <v>1459</v>
      </c>
      <c r="B1462" s="78" t="str">
        <f t="shared" si="39"/>
        <v/>
      </c>
      <c r="K1462" s="87"/>
      <c r="L1462" s="87"/>
      <c r="M1462" s="87"/>
      <c r="N1462" s="87"/>
    </row>
    <row r="1463" s="65" customFormat="1" customHeight="1" spans="1:14">
      <c r="A1463" s="77">
        <v>1460</v>
      </c>
      <c r="B1463" s="78" t="str">
        <f t="shared" si="39"/>
        <v/>
      </c>
      <c r="K1463" s="87"/>
      <c r="L1463" s="87"/>
      <c r="M1463" s="87"/>
      <c r="N1463" s="87"/>
    </row>
    <row r="1464" s="65" customFormat="1" customHeight="1" spans="1:14">
      <c r="A1464" s="77">
        <v>1461</v>
      </c>
      <c r="B1464" s="78" t="str">
        <f t="shared" si="39"/>
        <v/>
      </c>
      <c r="K1464" s="87"/>
      <c r="L1464" s="87"/>
      <c r="M1464" s="87"/>
      <c r="N1464" s="87"/>
    </row>
    <row r="1465" s="65" customFormat="1" customHeight="1" spans="1:14">
      <c r="A1465" s="77">
        <v>1462</v>
      </c>
      <c r="B1465" s="78" t="str">
        <f t="shared" si="39"/>
        <v/>
      </c>
      <c r="K1465" s="87"/>
      <c r="L1465" s="87"/>
      <c r="M1465" s="87"/>
      <c r="N1465" s="87"/>
    </row>
    <row r="1466" s="65" customFormat="1" customHeight="1" spans="1:14">
      <c r="A1466" s="77">
        <v>1463</v>
      </c>
      <c r="B1466" s="78" t="str">
        <f t="shared" si="39"/>
        <v/>
      </c>
      <c r="K1466" s="87"/>
      <c r="L1466" s="87"/>
      <c r="M1466" s="87"/>
      <c r="N1466" s="87"/>
    </row>
    <row r="1467" s="65" customFormat="1" customHeight="1" spans="1:14">
      <c r="A1467" s="77">
        <v>1464</v>
      </c>
      <c r="B1467" s="78" t="str">
        <f t="shared" si="39"/>
        <v/>
      </c>
      <c r="K1467" s="87"/>
      <c r="L1467" s="87"/>
      <c r="M1467" s="87"/>
      <c r="N1467" s="87"/>
    </row>
    <row r="1468" s="65" customFormat="1" customHeight="1" spans="1:14">
      <c r="A1468" s="77">
        <v>1465</v>
      </c>
      <c r="B1468" s="78" t="str">
        <f t="shared" si="39"/>
        <v/>
      </c>
      <c r="K1468" s="87"/>
      <c r="L1468" s="87"/>
      <c r="M1468" s="87"/>
      <c r="N1468" s="87"/>
    </row>
    <row r="1469" s="65" customFormat="1" customHeight="1" spans="1:14">
      <c r="A1469" s="77">
        <v>1466</v>
      </c>
      <c r="B1469" s="78" t="str">
        <f t="shared" si="39"/>
        <v/>
      </c>
      <c r="K1469" s="87"/>
      <c r="L1469" s="87"/>
      <c r="M1469" s="87"/>
      <c r="N1469" s="87"/>
    </row>
    <row r="1470" s="65" customFormat="1" customHeight="1" spans="1:14">
      <c r="A1470" s="77">
        <v>1467</v>
      </c>
      <c r="B1470" s="78" t="str">
        <f t="shared" si="39"/>
        <v/>
      </c>
      <c r="K1470" s="87"/>
      <c r="L1470" s="87"/>
      <c r="M1470" s="87"/>
      <c r="N1470" s="87"/>
    </row>
    <row r="1471" s="65" customFormat="1" customHeight="1" spans="1:14">
      <c r="A1471" s="77">
        <v>1468</v>
      </c>
      <c r="B1471" s="78" t="str">
        <f t="shared" si="39"/>
        <v/>
      </c>
      <c r="K1471" s="87"/>
      <c r="L1471" s="87"/>
      <c r="M1471" s="87"/>
      <c r="N1471" s="87"/>
    </row>
    <row r="1472" s="65" customFormat="1" customHeight="1" spans="1:14">
      <c r="A1472" s="77">
        <v>1469</v>
      </c>
      <c r="B1472" s="78" t="str">
        <f t="shared" si="39"/>
        <v/>
      </c>
      <c r="K1472" s="87"/>
      <c r="L1472" s="87"/>
      <c r="M1472" s="87"/>
      <c r="N1472" s="87"/>
    </row>
    <row r="1473" s="65" customFormat="1" customHeight="1" spans="1:14">
      <c r="A1473" s="77">
        <v>1470</v>
      </c>
      <c r="B1473" s="78" t="str">
        <f t="shared" si="39"/>
        <v/>
      </c>
      <c r="K1473" s="87"/>
      <c r="L1473" s="87"/>
      <c r="M1473" s="87"/>
      <c r="N1473" s="87"/>
    </row>
    <row r="1474" s="65" customFormat="1" customHeight="1" spans="1:14">
      <c r="A1474" s="77">
        <v>1471</v>
      </c>
      <c r="B1474" s="78" t="str">
        <f t="shared" si="39"/>
        <v/>
      </c>
      <c r="K1474" s="87"/>
      <c r="L1474" s="87"/>
      <c r="M1474" s="87"/>
      <c r="N1474" s="87"/>
    </row>
    <row r="1475" s="65" customFormat="1" customHeight="1" spans="1:14">
      <c r="A1475" s="77">
        <v>1472</v>
      </c>
      <c r="B1475" s="78" t="str">
        <f t="shared" si="39"/>
        <v/>
      </c>
      <c r="K1475" s="87"/>
      <c r="L1475" s="87"/>
      <c r="M1475" s="87"/>
      <c r="N1475" s="87"/>
    </row>
    <row r="1476" s="65" customFormat="1" customHeight="1" spans="1:14">
      <c r="A1476" s="77">
        <v>1473</v>
      </c>
      <c r="B1476" s="78" t="str">
        <f t="shared" si="39"/>
        <v/>
      </c>
      <c r="K1476" s="87"/>
      <c r="L1476" s="87"/>
      <c r="M1476" s="87"/>
      <c r="N1476" s="87"/>
    </row>
    <row r="1477" s="65" customFormat="1" customHeight="1" spans="1:14">
      <c r="A1477" s="77">
        <v>1474</v>
      </c>
      <c r="B1477" s="78" t="str">
        <f t="shared" ref="B1477:B1540" si="40">+C1477&amp;E1477</f>
        <v/>
      </c>
      <c r="K1477" s="87"/>
      <c r="L1477" s="87"/>
      <c r="M1477" s="87"/>
      <c r="N1477" s="87"/>
    </row>
    <row r="1478" s="65" customFormat="1" customHeight="1" spans="1:14">
      <c r="A1478" s="77">
        <v>1475</v>
      </c>
      <c r="B1478" s="78" t="str">
        <f t="shared" si="40"/>
        <v/>
      </c>
      <c r="K1478" s="87"/>
      <c r="L1478" s="87"/>
      <c r="M1478" s="87"/>
      <c r="N1478" s="87"/>
    </row>
    <row r="1479" s="65" customFormat="1" customHeight="1" spans="1:14">
      <c r="A1479" s="77">
        <v>1476</v>
      </c>
      <c r="B1479" s="78" t="str">
        <f t="shared" si="40"/>
        <v/>
      </c>
      <c r="K1479" s="87"/>
      <c r="L1479" s="87"/>
      <c r="M1479" s="87"/>
      <c r="N1479" s="87"/>
    </row>
    <row r="1480" s="65" customFormat="1" customHeight="1" spans="1:14">
      <c r="A1480" s="77">
        <v>1477</v>
      </c>
      <c r="B1480" s="78" t="str">
        <f t="shared" si="40"/>
        <v/>
      </c>
      <c r="K1480" s="87"/>
      <c r="L1480" s="87"/>
      <c r="M1480" s="87"/>
      <c r="N1480" s="87"/>
    </row>
    <row r="1481" s="65" customFormat="1" customHeight="1" spans="1:14">
      <c r="A1481" s="77">
        <v>1478</v>
      </c>
      <c r="B1481" s="78" t="str">
        <f t="shared" si="40"/>
        <v/>
      </c>
      <c r="K1481" s="87"/>
      <c r="L1481" s="87"/>
      <c r="M1481" s="87"/>
      <c r="N1481" s="87"/>
    </row>
    <row r="1482" s="65" customFormat="1" customHeight="1" spans="1:14">
      <c r="A1482" s="77">
        <v>1479</v>
      </c>
      <c r="B1482" s="78" t="str">
        <f t="shared" si="40"/>
        <v/>
      </c>
      <c r="K1482" s="87"/>
      <c r="L1482" s="87"/>
      <c r="M1482" s="87"/>
      <c r="N1482" s="87"/>
    </row>
    <row r="1483" s="65" customFormat="1" customHeight="1" spans="1:14">
      <c r="A1483" s="77">
        <v>1480</v>
      </c>
      <c r="B1483" s="78" t="str">
        <f t="shared" si="40"/>
        <v/>
      </c>
      <c r="K1483" s="87"/>
      <c r="L1483" s="87"/>
      <c r="M1483" s="87"/>
      <c r="N1483" s="87"/>
    </row>
    <row r="1484" s="65" customFormat="1" customHeight="1" spans="1:14">
      <c r="A1484" s="77">
        <v>1481</v>
      </c>
      <c r="B1484" s="78" t="str">
        <f t="shared" si="40"/>
        <v/>
      </c>
      <c r="K1484" s="87"/>
      <c r="L1484" s="87"/>
      <c r="M1484" s="87"/>
      <c r="N1484" s="87"/>
    </row>
    <row r="1485" s="65" customFormat="1" customHeight="1" spans="1:14">
      <c r="A1485" s="77">
        <v>1482</v>
      </c>
      <c r="B1485" s="78" t="str">
        <f t="shared" si="40"/>
        <v/>
      </c>
      <c r="K1485" s="87"/>
      <c r="L1485" s="87"/>
      <c r="M1485" s="87"/>
      <c r="N1485" s="87"/>
    </row>
    <row r="1486" s="65" customFormat="1" customHeight="1" spans="1:14">
      <c r="A1486" s="77">
        <v>1483</v>
      </c>
      <c r="B1486" s="78" t="str">
        <f t="shared" si="40"/>
        <v/>
      </c>
      <c r="K1486" s="87"/>
      <c r="L1486" s="87"/>
      <c r="M1486" s="87"/>
      <c r="N1486" s="87"/>
    </row>
    <row r="1487" s="65" customFormat="1" customHeight="1" spans="1:14">
      <c r="A1487" s="77">
        <v>1484</v>
      </c>
      <c r="B1487" s="78" t="str">
        <f t="shared" si="40"/>
        <v/>
      </c>
      <c r="K1487" s="87"/>
      <c r="L1487" s="87"/>
      <c r="M1487" s="87"/>
      <c r="N1487" s="87"/>
    </row>
    <row r="1488" s="65" customFormat="1" customHeight="1" spans="1:14">
      <c r="A1488" s="77">
        <v>1485</v>
      </c>
      <c r="B1488" s="78" t="str">
        <f t="shared" si="40"/>
        <v/>
      </c>
      <c r="K1488" s="87"/>
      <c r="L1488" s="87"/>
      <c r="M1488" s="87"/>
      <c r="N1488" s="87"/>
    </row>
    <row r="1489" s="65" customFormat="1" customHeight="1" spans="1:14">
      <c r="A1489" s="77">
        <v>1486</v>
      </c>
      <c r="B1489" s="78" t="str">
        <f t="shared" si="40"/>
        <v/>
      </c>
      <c r="K1489" s="87"/>
      <c r="L1489" s="87"/>
      <c r="M1489" s="87"/>
      <c r="N1489" s="87"/>
    </row>
    <row r="1490" s="65" customFormat="1" customHeight="1" spans="1:14">
      <c r="A1490" s="77">
        <v>1487</v>
      </c>
      <c r="B1490" s="78" t="str">
        <f t="shared" si="40"/>
        <v/>
      </c>
      <c r="K1490" s="87"/>
      <c r="L1490" s="87"/>
      <c r="M1490" s="87"/>
      <c r="N1490" s="87"/>
    </row>
    <row r="1491" s="65" customFormat="1" customHeight="1" spans="1:14">
      <c r="A1491" s="77">
        <v>1488</v>
      </c>
      <c r="B1491" s="78" t="str">
        <f t="shared" si="40"/>
        <v/>
      </c>
      <c r="K1491" s="87"/>
      <c r="L1491" s="87"/>
      <c r="M1491" s="87"/>
      <c r="N1491" s="87"/>
    </row>
    <row r="1492" s="65" customFormat="1" customHeight="1" spans="1:14">
      <c r="A1492" s="77">
        <v>1489</v>
      </c>
      <c r="B1492" s="78" t="str">
        <f t="shared" si="40"/>
        <v/>
      </c>
      <c r="K1492" s="87"/>
      <c r="L1492" s="87"/>
      <c r="M1492" s="87"/>
      <c r="N1492" s="87"/>
    </row>
    <row r="1493" s="65" customFormat="1" customHeight="1" spans="1:14">
      <c r="A1493" s="77">
        <v>1490</v>
      </c>
      <c r="B1493" s="78" t="str">
        <f t="shared" si="40"/>
        <v/>
      </c>
      <c r="K1493" s="87"/>
      <c r="L1493" s="87"/>
      <c r="M1493" s="87"/>
      <c r="N1493" s="87"/>
    </row>
    <row r="1494" s="65" customFormat="1" customHeight="1" spans="1:14">
      <c r="A1494" s="77">
        <v>1491</v>
      </c>
      <c r="B1494" s="78" t="str">
        <f t="shared" si="40"/>
        <v/>
      </c>
      <c r="K1494" s="87"/>
      <c r="L1494" s="87"/>
      <c r="M1494" s="87"/>
      <c r="N1494" s="87"/>
    </row>
    <row r="1495" s="65" customFormat="1" customHeight="1" spans="1:14">
      <c r="A1495" s="77">
        <v>1492</v>
      </c>
      <c r="B1495" s="78" t="str">
        <f t="shared" si="40"/>
        <v/>
      </c>
      <c r="K1495" s="87"/>
      <c r="L1495" s="87"/>
      <c r="M1495" s="87"/>
      <c r="N1495" s="87"/>
    </row>
    <row r="1496" s="65" customFormat="1" customHeight="1" spans="1:14">
      <c r="A1496" s="77">
        <v>1493</v>
      </c>
      <c r="B1496" s="78" t="str">
        <f t="shared" si="40"/>
        <v/>
      </c>
      <c r="K1496" s="87"/>
      <c r="L1496" s="87"/>
      <c r="M1496" s="87"/>
      <c r="N1496" s="87"/>
    </row>
    <row r="1497" s="65" customFormat="1" customHeight="1" spans="1:14">
      <c r="A1497" s="77">
        <v>1494</v>
      </c>
      <c r="B1497" s="78" t="str">
        <f t="shared" si="40"/>
        <v/>
      </c>
      <c r="K1497" s="87"/>
      <c r="L1497" s="87"/>
      <c r="M1497" s="87"/>
      <c r="N1497" s="87"/>
    </row>
    <row r="1498" s="65" customFormat="1" customHeight="1" spans="1:14">
      <c r="A1498" s="77">
        <v>1495</v>
      </c>
      <c r="B1498" s="78" t="str">
        <f t="shared" si="40"/>
        <v/>
      </c>
      <c r="K1498" s="87"/>
      <c r="L1498" s="87"/>
      <c r="M1498" s="87"/>
      <c r="N1498" s="87"/>
    </row>
    <row r="1499" s="65" customFormat="1" customHeight="1" spans="1:14">
      <c r="A1499" s="77">
        <v>1496</v>
      </c>
      <c r="B1499" s="78" t="str">
        <f t="shared" si="40"/>
        <v/>
      </c>
      <c r="K1499" s="87"/>
      <c r="L1499" s="87"/>
      <c r="M1499" s="87"/>
      <c r="N1499" s="87"/>
    </row>
    <row r="1500" s="65" customFormat="1" customHeight="1" spans="1:14">
      <c r="A1500" s="77">
        <v>1497</v>
      </c>
      <c r="B1500" s="78" t="str">
        <f t="shared" si="40"/>
        <v/>
      </c>
      <c r="K1500" s="87"/>
      <c r="L1500" s="87"/>
      <c r="M1500" s="87"/>
      <c r="N1500" s="87"/>
    </row>
    <row r="1501" s="65" customFormat="1" customHeight="1" spans="1:14">
      <c r="A1501" s="77">
        <v>1498</v>
      </c>
      <c r="B1501" s="78" t="str">
        <f t="shared" si="40"/>
        <v/>
      </c>
      <c r="K1501" s="87"/>
      <c r="L1501" s="87"/>
      <c r="M1501" s="87"/>
      <c r="N1501" s="87"/>
    </row>
    <row r="1502" s="65" customFormat="1" customHeight="1" spans="1:14">
      <c r="A1502" s="77">
        <v>1499</v>
      </c>
      <c r="B1502" s="78" t="str">
        <f t="shared" si="40"/>
        <v/>
      </c>
      <c r="K1502" s="87"/>
      <c r="L1502" s="87"/>
      <c r="M1502" s="87"/>
      <c r="N1502" s="87"/>
    </row>
    <row r="1503" s="65" customFormat="1" customHeight="1" spans="1:14">
      <c r="A1503" s="77">
        <v>1500</v>
      </c>
      <c r="B1503" s="78" t="str">
        <f t="shared" si="40"/>
        <v/>
      </c>
      <c r="K1503" s="87"/>
      <c r="L1503" s="87"/>
      <c r="M1503" s="87"/>
      <c r="N1503" s="87"/>
    </row>
    <row r="1504" s="65" customFormat="1" customHeight="1" spans="1:14">
      <c r="A1504" s="77">
        <v>1501</v>
      </c>
      <c r="B1504" s="78" t="str">
        <f t="shared" si="40"/>
        <v/>
      </c>
      <c r="K1504" s="87"/>
      <c r="L1504" s="87"/>
      <c r="M1504" s="87"/>
      <c r="N1504" s="87"/>
    </row>
    <row r="1505" s="65" customFormat="1" customHeight="1" spans="1:14">
      <c r="A1505" s="77">
        <v>1502</v>
      </c>
      <c r="B1505" s="78" t="str">
        <f t="shared" si="40"/>
        <v/>
      </c>
      <c r="K1505" s="87"/>
      <c r="L1505" s="87"/>
      <c r="M1505" s="87"/>
      <c r="N1505" s="87"/>
    </row>
    <row r="1506" s="65" customFormat="1" customHeight="1" spans="1:14">
      <c r="A1506" s="77">
        <v>1503</v>
      </c>
      <c r="B1506" s="78" t="str">
        <f t="shared" si="40"/>
        <v/>
      </c>
      <c r="K1506" s="87"/>
      <c r="L1506" s="87"/>
      <c r="M1506" s="87"/>
      <c r="N1506" s="87"/>
    </row>
    <row r="1507" s="65" customFormat="1" customHeight="1" spans="1:14">
      <c r="A1507" s="77">
        <v>1504</v>
      </c>
      <c r="B1507" s="78" t="str">
        <f t="shared" si="40"/>
        <v/>
      </c>
      <c r="K1507" s="87"/>
      <c r="L1507" s="87"/>
      <c r="M1507" s="87"/>
      <c r="N1507" s="87"/>
    </row>
    <row r="1508" s="65" customFormat="1" customHeight="1" spans="1:14">
      <c r="A1508" s="77">
        <v>1505</v>
      </c>
      <c r="B1508" s="78" t="str">
        <f t="shared" si="40"/>
        <v/>
      </c>
      <c r="K1508" s="87"/>
      <c r="L1508" s="87"/>
      <c r="M1508" s="87"/>
      <c r="N1508" s="87"/>
    </row>
    <row r="1509" s="65" customFormat="1" customHeight="1" spans="1:14">
      <c r="A1509" s="77">
        <v>1506</v>
      </c>
      <c r="B1509" s="78" t="str">
        <f t="shared" si="40"/>
        <v/>
      </c>
      <c r="K1509" s="87"/>
      <c r="L1509" s="87"/>
      <c r="M1509" s="87"/>
      <c r="N1509" s="87"/>
    </row>
    <row r="1510" s="65" customFormat="1" customHeight="1" spans="1:14">
      <c r="A1510" s="77">
        <v>1507</v>
      </c>
      <c r="B1510" s="78" t="str">
        <f t="shared" si="40"/>
        <v/>
      </c>
      <c r="K1510" s="87"/>
      <c r="L1510" s="87"/>
      <c r="M1510" s="87"/>
      <c r="N1510" s="87"/>
    </row>
    <row r="1511" s="65" customFormat="1" customHeight="1" spans="1:14">
      <c r="A1511" s="77">
        <v>1508</v>
      </c>
      <c r="B1511" s="78" t="str">
        <f t="shared" si="40"/>
        <v/>
      </c>
      <c r="K1511" s="87"/>
      <c r="L1511" s="87"/>
      <c r="M1511" s="87"/>
      <c r="N1511" s="87"/>
    </row>
    <row r="1512" s="65" customFormat="1" customHeight="1" spans="1:14">
      <c r="A1512" s="77">
        <v>1509</v>
      </c>
      <c r="B1512" s="78" t="str">
        <f t="shared" si="40"/>
        <v/>
      </c>
      <c r="K1512" s="87"/>
      <c r="L1512" s="87"/>
      <c r="M1512" s="87"/>
      <c r="N1512" s="87"/>
    </row>
    <row r="1513" s="65" customFormat="1" customHeight="1" spans="1:14">
      <c r="A1513" s="77">
        <v>1510</v>
      </c>
      <c r="B1513" s="78" t="str">
        <f t="shared" si="40"/>
        <v/>
      </c>
      <c r="K1513" s="87"/>
      <c r="L1513" s="87"/>
      <c r="M1513" s="87"/>
      <c r="N1513" s="87"/>
    </row>
    <row r="1514" s="65" customFormat="1" customHeight="1" spans="1:14">
      <c r="A1514" s="77">
        <v>1511</v>
      </c>
      <c r="B1514" s="78" t="str">
        <f t="shared" si="40"/>
        <v/>
      </c>
      <c r="K1514" s="87"/>
      <c r="L1514" s="87"/>
      <c r="M1514" s="87"/>
      <c r="N1514" s="87"/>
    </row>
    <row r="1515" s="65" customFormat="1" customHeight="1" spans="1:14">
      <c r="A1515" s="77">
        <v>1512</v>
      </c>
      <c r="B1515" s="78" t="str">
        <f t="shared" si="40"/>
        <v/>
      </c>
      <c r="K1515" s="87"/>
      <c r="L1515" s="87"/>
      <c r="M1515" s="87"/>
      <c r="N1515" s="87"/>
    </row>
    <row r="1516" s="65" customFormat="1" customHeight="1" spans="1:14">
      <c r="A1516" s="77">
        <v>1513</v>
      </c>
      <c r="B1516" s="78" t="str">
        <f t="shared" si="40"/>
        <v/>
      </c>
      <c r="K1516" s="87"/>
      <c r="L1516" s="87"/>
      <c r="M1516" s="87"/>
      <c r="N1516" s="87"/>
    </row>
    <row r="1517" s="65" customFormat="1" customHeight="1" spans="1:14">
      <c r="A1517" s="77">
        <v>1514</v>
      </c>
      <c r="B1517" s="78" t="str">
        <f t="shared" si="40"/>
        <v/>
      </c>
      <c r="K1517" s="87"/>
      <c r="L1517" s="87"/>
      <c r="M1517" s="87"/>
      <c r="N1517" s="87"/>
    </row>
    <row r="1518" s="65" customFormat="1" customHeight="1" spans="1:14">
      <c r="A1518" s="77">
        <v>1515</v>
      </c>
      <c r="B1518" s="78" t="str">
        <f t="shared" si="40"/>
        <v/>
      </c>
      <c r="K1518" s="87"/>
      <c r="L1518" s="87"/>
      <c r="M1518" s="87"/>
      <c r="N1518" s="87"/>
    </row>
    <row r="1519" s="65" customFormat="1" customHeight="1" spans="1:14">
      <c r="A1519" s="77">
        <v>1516</v>
      </c>
      <c r="B1519" s="78" t="str">
        <f t="shared" si="40"/>
        <v/>
      </c>
      <c r="K1519" s="87"/>
      <c r="L1519" s="87"/>
      <c r="M1519" s="87"/>
      <c r="N1519" s="87"/>
    </row>
    <row r="1520" s="65" customFormat="1" customHeight="1" spans="1:14">
      <c r="A1520" s="77">
        <v>1517</v>
      </c>
      <c r="B1520" s="78" t="str">
        <f t="shared" si="40"/>
        <v/>
      </c>
      <c r="K1520" s="87"/>
      <c r="L1520" s="87"/>
      <c r="M1520" s="87"/>
      <c r="N1520" s="87"/>
    </row>
    <row r="1521" s="65" customFormat="1" customHeight="1" spans="1:14">
      <c r="A1521" s="77">
        <v>1518</v>
      </c>
      <c r="B1521" s="78" t="str">
        <f t="shared" si="40"/>
        <v/>
      </c>
      <c r="K1521" s="87"/>
      <c r="L1521" s="87"/>
      <c r="M1521" s="87"/>
      <c r="N1521" s="87"/>
    </row>
    <row r="1522" s="65" customFormat="1" customHeight="1" spans="1:14">
      <c r="A1522" s="77">
        <v>1519</v>
      </c>
      <c r="B1522" s="78" t="str">
        <f t="shared" si="40"/>
        <v/>
      </c>
      <c r="K1522" s="87"/>
      <c r="L1522" s="87"/>
      <c r="M1522" s="87"/>
      <c r="N1522" s="87"/>
    </row>
    <row r="1523" s="65" customFormat="1" customHeight="1" spans="1:14">
      <c r="A1523" s="77">
        <v>1520</v>
      </c>
      <c r="B1523" s="78" t="str">
        <f t="shared" si="40"/>
        <v/>
      </c>
      <c r="K1523" s="87"/>
      <c r="L1523" s="87"/>
      <c r="M1523" s="87"/>
      <c r="N1523" s="87"/>
    </row>
    <row r="1524" s="65" customFormat="1" customHeight="1" spans="1:14">
      <c r="A1524" s="77">
        <v>1521</v>
      </c>
      <c r="B1524" s="78" t="str">
        <f t="shared" si="40"/>
        <v/>
      </c>
      <c r="K1524" s="87"/>
      <c r="L1524" s="87"/>
      <c r="M1524" s="87"/>
      <c r="N1524" s="87"/>
    </row>
    <row r="1525" s="65" customFormat="1" customHeight="1" spans="1:14">
      <c r="A1525" s="77">
        <v>1522</v>
      </c>
      <c r="B1525" s="78" t="str">
        <f t="shared" si="40"/>
        <v/>
      </c>
      <c r="K1525" s="87"/>
      <c r="L1525" s="87"/>
      <c r="M1525" s="87"/>
      <c r="N1525" s="87"/>
    </row>
    <row r="1526" s="65" customFormat="1" customHeight="1" spans="1:14">
      <c r="A1526" s="77">
        <v>1523</v>
      </c>
      <c r="B1526" s="78" t="str">
        <f t="shared" si="40"/>
        <v/>
      </c>
      <c r="K1526" s="87"/>
      <c r="L1526" s="87"/>
      <c r="M1526" s="87"/>
      <c r="N1526" s="87"/>
    </row>
    <row r="1527" s="65" customFormat="1" customHeight="1" spans="1:14">
      <c r="A1527" s="77">
        <v>1524</v>
      </c>
      <c r="B1527" s="78" t="str">
        <f t="shared" si="40"/>
        <v/>
      </c>
      <c r="K1527" s="87"/>
      <c r="L1527" s="87"/>
      <c r="M1527" s="87"/>
      <c r="N1527" s="87"/>
    </row>
    <row r="1528" s="65" customFormat="1" customHeight="1" spans="1:14">
      <c r="A1528" s="77">
        <v>1525</v>
      </c>
      <c r="B1528" s="78" t="str">
        <f t="shared" si="40"/>
        <v/>
      </c>
      <c r="K1528" s="87"/>
      <c r="L1528" s="87"/>
      <c r="M1528" s="87"/>
      <c r="N1528" s="87"/>
    </row>
    <row r="1529" s="65" customFormat="1" customHeight="1" spans="1:14">
      <c r="A1529" s="77">
        <v>1526</v>
      </c>
      <c r="B1529" s="78" t="str">
        <f t="shared" si="40"/>
        <v/>
      </c>
      <c r="K1529" s="87"/>
      <c r="L1529" s="87"/>
      <c r="M1529" s="87"/>
      <c r="N1529" s="87"/>
    </row>
    <row r="1530" s="65" customFormat="1" customHeight="1" spans="1:14">
      <c r="A1530" s="77">
        <v>1527</v>
      </c>
      <c r="B1530" s="78" t="str">
        <f t="shared" si="40"/>
        <v/>
      </c>
      <c r="K1530" s="87"/>
      <c r="L1530" s="87"/>
      <c r="M1530" s="87"/>
      <c r="N1530" s="87"/>
    </row>
    <row r="1531" s="65" customFormat="1" customHeight="1" spans="1:14">
      <c r="A1531" s="77">
        <v>1528</v>
      </c>
      <c r="B1531" s="78" t="str">
        <f t="shared" si="40"/>
        <v/>
      </c>
      <c r="K1531" s="87"/>
      <c r="L1531" s="87"/>
      <c r="M1531" s="87"/>
      <c r="N1531" s="87"/>
    </row>
    <row r="1532" s="65" customFormat="1" customHeight="1" spans="1:14">
      <c r="A1532" s="77">
        <v>1529</v>
      </c>
      <c r="B1532" s="78" t="str">
        <f t="shared" si="40"/>
        <v/>
      </c>
      <c r="K1532" s="87"/>
      <c r="L1532" s="87"/>
      <c r="M1532" s="87"/>
      <c r="N1532" s="87"/>
    </row>
    <row r="1533" s="65" customFormat="1" customHeight="1" spans="1:14">
      <c r="A1533" s="77">
        <v>1530</v>
      </c>
      <c r="B1533" s="78" t="str">
        <f t="shared" si="40"/>
        <v/>
      </c>
      <c r="K1533" s="87"/>
      <c r="L1533" s="87"/>
      <c r="M1533" s="87"/>
      <c r="N1533" s="87"/>
    </row>
    <row r="1534" s="65" customFormat="1" customHeight="1" spans="1:14">
      <c r="A1534" s="77">
        <v>1531</v>
      </c>
      <c r="B1534" s="78" t="str">
        <f t="shared" si="40"/>
        <v/>
      </c>
      <c r="K1534" s="87"/>
      <c r="L1534" s="87"/>
      <c r="M1534" s="87"/>
      <c r="N1534" s="87"/>
    </row>
    <row r="1535" s="65" customFormat="1" customHeight="1" spans="1:14">
      <c r="A1535" s="77">
        <v>1532</v>
      </c>
      <c r="B1535" s="78" t="str">
        <f t="shared" si="40"/>
        <v/>
      </c>
      <c r="K1535" s="87"/>
      <c r="L1535" s="87"/>
      <c r="M1535" s="87"/>
      <c r="N1535" s="87"/>
    </row>
    <row r="1536" s="65" customFormat="1" customHeight="1" spans="1:14">
      <c r="A1536" s="77">
        <v>1533</v>
      </c>
      <c r="B1536" s="78" t="str">
        <f t="shared" si="40"/>
        <v/>
      </c>
      <c r="K1536" s="87"/>
      <c r="L1536" s="87"/>
      <c r="M1536" s="87"/>
      <c r="N1536" s="87"/>
    </row>
    <row r="1537" s="65" customFormat="1" customHeight="1" spans="1:14">
      <c r="A1537" s="77">
        <v>1534</v>
      </c>
      <c r="B1537" s="78" t="str">
        <f t="shared" si="40"/>
        <v/>
      </c>
      <c r="K1537" s="87"/>
      <c r="L1537" s="87"/>
      <c r="M1537" s="87"/>
      <c r="N1537" s="87"/>
    </row>
    <row r="1538" s="65" customFormat="1" customHeight="1" spans="1:14">
      <c r="A1538" s="77">
        <v>1535</v>
      </c>
      <c r="B1538" s="78" t="str">
        <f t="shared" si="40"/>
        <v/>
      </c>
      <c r="K1538" s="87"/>
      <c r="L1538" s="87"/>
      <c r="M1538" s="87"/>
      <c r="N1538" s="87"/>
    </row>
    <row r="1539" s="65" customFormat="1" customHeight="1" spans="1:14">
      <c r="A1539" s="77">
        <v>1536</v>
      </c>
      <c r="B1539" s="78" t="str">
        <f t="shared" si="40"/>
        <v/>
      </c>
      <c r="K1539" s="87"/>
      <c r="L1539" s="87"/>
      <c r="M1539" s="87"/>
      <c r="N1539" s="87"/>
    </row>
    <row r="1540" s="65" customFormat="1" customHeight="1" spans="1:14">
      <c r="A1540" s="77">
        <v>1537</v>
      </c>
      <c r="B1540" s="78" t="str">
        <f t="shared" si="40"/>
        <v/>
      </c>
      <c r="K1540" s="87"/>
      <c r="L1540" s="87"/>
      <c r="M1540" s="87"/>
      <c r="N1540" s="87"/>
    </row>
    <row r="1541" s="65" customFormat="1" customHeight="1" spans="1:14">
      <c r="A1541" s="77">
        <v>1538</v>
      </c>
      <c r="B1541" s="78" t="str">
        <f t="shared" ref="B1541:B1604" si="41">+C1541&amp;E1541</f>
        <v/>
      </c>
      <c r="K1541" s="87"/>
      <c r="L1541" s="87"/>
      <c r="M1541" s="87"/>
      <c r="N1541" s="87"/>
    </row>
    <row r="1542" s="65" customFormat="1" customHeight="1" spans="1:14">
      <c r="A1542" s="77">
        <v>1539</v>
      </c>
      <c r="B1542" s="78" t="str">
        <f t="shared" si="41"/>
        <v/>
      </c>
      <c r="K1542" s="87"/>
      <c r="L1542" s="87"/>
      <c r="M1542" s="87"/>
      <c r="N1542" s="87"/>
    </row>
    <row r="1543" s="65" customFormat="1" customHeight="1" spans="1:14">
      <c r="A1543" s="77">
        <v>1540</v>
      </c>
      <c r="B1543" s="78" t="str">
        <f t="shared" si="41"/>
        <v/>
      </c>
      <c r="K1543" s="87"/>
      <c r="L1543" s="87"/>
      <c r="M1543" s="87"/>
      <c r="N1543" s="87"/>
    </row>
    <row r="1544" s="65" customFormat="1" customHeight="1" spans="1:14">
      <c r="A1544" s="77">
        <v>1541</v>
      </c>
      <c r="B1544" s="78" t="str">
        <f t="shared" si="41"/>
        <v/>
      </c>
      <c r="K1544" s="87"/>
      <c r="L1544" s="87"/>
      <c r="M1544" s="87"/>
      <c r="N1544" s="87"/>
    </row>
    <row r="1545" s="65" customFormat="1" customHeight="1" spans="1:14">
      <c r="A1545" s="77">
        <v>1542</v>
      </c>
      <c r="B1545" s="78" t="str">
        <f t="shared" si="41"/>
        <v/>
      </c>
      <c r="K1545" s="87"/>
      <c r="L1545" s="87"/>
      <c r="M1545" s="87"/>
      <c r="N1545" s="87"/>
    </row>
    <row r="1546" s="65" customFormat="1" customHeight="1" spans="1:14">
      <c r="A1546" s="77">
        <v>1543</v>
      </c>
      <c r="B1546" s="78" t="str">
        <f t="shared" si="41"/>
        <v/>
      </c>
      <c r="K1546" s="87"/>
      <c r="L1546" s="87"/>
      <c r="M1546" s="87"/>
      <c r="N1546" s="87"/>
    </row>
    <row r="1547" s="65" customFormat="1" customHeight="1" spans="1:14">
      <c r="A1547" s="77">
        <v>1544</v>
      </c>
      <c r="B1547" s="78" t="str">
        <f t="shared" si="41"/>
        <v/>
      </c>
      <c r="K1547" s="87"/>
      <c r="L1547" s="87"/>
      <c r="M1547" s="87"/>
      <c r="N1547" s="87"/>
    </row>
    <row r="1548" s="65" customFormat="1" customHeight="1" spans="1:14">
      <c r="A1548" s="77">
        <v>1545</v>
      </c>
      <c r="B1548" s="78" t="str">
        <f t="shared" si="41"/>
        <v/>
      </c>
      <c r="K1548" s="87"/>
      <c r="L1548" s="87"/>
      <c r="M1548" s="87"/>
      <c r="N1548" s="87"/>
    </row>
    <row r="1549" s="65" customFormat="1" customHeight="1" spans="1:14">
      <c r="A1549" s="77">
        <v>1546</v>
      </c>
      <c r="B1549" s="78" t="str">
        <f t="shared" si="41"/>
        <v/>
      </c>
      <c r="K1549" s="87"/>
      <c r="L1549" s="87"/>
      <c r="M1549" s="87"/>
      <c r="N1549" s="87"/>
    </row>
    <row r="1550" s="65" customFormat="1" customHeight="1" spans="1:14">
      <c r="A1550" s="77">
        <v>1547</v>
      </c>
      <c r="B1550" s="78" t="str">
        <f t="shared" si="41"/>
        <v/>
      </c>
      <c r="K1550" s="87"/>
      <c r="L1550" s="87"/>
      <c r="M1550" s="87"/>
      <c r="N1550" s="87"/>
    </row>
    <row r="1551" s="65" customFormat="1" customHeight="1" spans="1:14">
      <c r="A1551" s="77">
        <v>1548</v>
      </c>
      <c r="B1551" s="78" t="str">
        <f t="shared" si="41"/>
        <v/>
      </c>
      <c r="K1551" s="87"/>
      <c r="L1551" s="87"/>
      <c r="M1551" s="87"/>
      <c r="N1551" s="87"/>
    </row>
    <row r="1552" s="65" customFormat="1" customHeight="1" spans="1:14">
      <c r="A1552" s="77">
        <v>1549</v>
      </c>
      <c r="B1552" s="78" t="str">
        <f t="shared" si="41"/>
        <v/>
      </c>
      <c r="K1552" s="87"/>
      <c r="L1552" s="87"/>
      <c r="M1552" s="87"/>
      <c r="N1552" s="87"/>
    </row>
    <row r="1553" s="65" customFormat="1" customHeight="1" spans="1:14">
      <c r="A1553" s="77">
        <v>1550</v>
      </c>
      <c r="B1553" s="78" t="str">
        <f t="shared" si="41"/>
        <v/>
      </c>
      <c r="K1553" s="87"/>
      <c r="L1553" s="87"/>
      <c r="M1553" s="87"/>
      <c r="N1553" s="87"/>
    </row>
    <row r="1554" s="65" customFormat="1" customHeight="1" spans="1:14">
      <c r="A1554" s="77">
        <v>1551</v>
      </c>
      <c r="B1554" s="78" t="str">
        <f t="shared" si="41"/>
        <v/>
      </c>
      <c r="K1554" s="87"/>
      <c r="L1554" s="87"/>
      <c r="M1554" s="87"/>
      <c r="N1554" s="87"/>
    </row>
    <row r="1555" s="65" customFormat="1" customHeight="1" spans="1:14">
      <c r="A1555" s="77">
        <v>1552</v>
      </c>
      <c r="B1555" s="78" t="str">
        <f t="shared" si="41"/>
        <v/>
      </c>
      <c r="K1555" s="87"/>
      <c r="L1555" s="87"/>
      <c r="M1555" s="87"/>
      <c r="N1555" s="87"/>
    </row>
    <row r="1556" s="65" customFormat="1" customHeight="1" spans="1:14">
      <c r="A1556" s="77">
        <v>1553</v>
      </c>
      <c r="B1556" s="78" t="str">
        <f t="shared" si="41"/>
        <v/>
      </c>
      <c r="K1556" s="87"/>
      <c r="L1556" s="87"/>
      <c r="M1556" s="87"/>
      <c r="N1556" s="87"/>
    </row>
    <row r="1557" s="65" customFormat="1" customHeight="1" spans="1:14">
      <c r="A1557" s="77">
        <v>1554</v>
      </c>
      <c r="B1557" s="78" t="str">
        <f t="shared" si="41"/>
        <v/>
      </c>
      <c r="K1557" s="87"/>
      <c r="L1557" s="87"/>
      <c r="M1557" s="87"/>
      <c r="N1557" s="87"/>
    </row>
    <row r="1558" s="65" customFormat="1" customHeight="1" spans="1:14">
      <c r="A1558" s="77">
        <v>1555</v>
      </c>
      <c r="B1558" s="78" t="str">
        <f t="shared" si="41"/>
        <v/>
      </c>
      <c r="K1558" s="87"/>
      <c r="L1558" s="87"/>
      <c r="M1558" s="87"/>
      <c r="N1558" s="87"/>
    </row>
    <row r="1559" s="65" customFormat="1" customHeight="1" spans="1:14">
      <c r="A1559" s="77">
        <v>1556</v>
      </c>
      <c r="B1559" s="78" t="str">
        <f t="shared" si="41"/>
        <v/>
      </c>
      <c r="K1559" s="87"/>
      <c r="L1559" s="87"/>
      <c r="M1559" s="87"/>
      <c r="N1559" s="87"/>
    </row>
    <row r="1560" s="65" customFormat="1" customHeight="1" spans="1:14">
      <c r="A1560" s="77">
        <v>1557</v>
      </c>
      <c r="B1560" s="78" t="str">
        <f t="shared" si="41"/>
        <v/>
      </c>
      <c r="K1560" s="87"/>
      <c r="L1560" s="87"/>
      <c r="M1560" s="87"/>
      <c r="N1560" s="87"/>
    </row>
    <row r="1561" s="65" customFormat="1" customHeight="1" spans="1:14">
      <c r="A1561" s="77">
        <v>1558</v>
      </c>
      <c r="B1561" s="78" t="str">
        <f t="shared" si="41"/>
        <v/>
      </c>
      <c r="K1561" s="87"/>
      <c r="L1561" s="87"/>
      <c r="M1561" s="87"/>
      <c r="N1561" s="87"/>
    </row>
    <row r="1562" s="65" customFormat="1" customHeight="1" spans="1:14">
      <c r="A1562" s="77">
        <v>1559</v>
      </c>
      <c r="B1562" s="78" t="str">
        <f t="shared" si="41"/>
        <v/>
      </c>
      <c r="K1562" s="87"/>
      <c r="L1562" s="87"/>
      <c r="M1562" s="87"/>
      <c r="N1562" s="87"/>
    </row>
    <row r="1563" s="65" customFormat="1" customHeight="1" spans="1:14">
      <c r="A1563" s="77">
        <v>1560</v>
      </c>
      <c r="B1563" s="78" t="str">
        <f t="shared" si="41"/>
        <v/>
      </c>
      <c r="K1563" s="87"/>
      <c r="L1563" s="87"/>
      <c r="M1563" s="87"/>
      <c r="N1563" s="87"/>
    </row>
    <row r="1564" s="65" customFormat="1" customHeight="1" spans="1:14">
      <c r="A1564" s="77">
        <v>1561</v>
      </c>
      <c r="B1564" s="78" t="str">
        <f t="shared" si="41"/>
        <v/>
      </c>
      <c r="K1564" s="87"/>
      <c r="L1564" s="87"/>
      <c r="M1564" s="87"/>
      <c r="N1564" s="87"/>
    </row>
    <row r="1565" s="65" customFormat="1" customHeight="1" spans="1:14">
      <c r="A1565" s="77">
        <v>1562</v>
      </c>
      <c r="B1565" s="78" t="str">
        <f t="shared" si="41"/>
        <v/>
      </c>
      <c r="K1565" s="87"/>
      <c r="L1565" s="87"/>
      <c r="M1565" s="87"/>
      <c r="N1565" s="87"/>
    </row>
    <row r="1566" s="65" customFormat="1" customHeight="1" spans="1:14">
      <c r="A1566" s="77">
        <v>1563</v>
      </c>
      <c r="B1566" s="78" t="str">
        <f t="shared" si="41"/>
        <v/>
      </c>
      <c r="K1566" s="87"/>
      <c r="L1566" s="87"/>
      <c r="M1566" s="87"/>
      <c r="N1566" s="87"/>
    </row>
    <row r="1567" s="65" customFormat="1" customHeight="1" spans="1:14">
      <c r="A1567" s="77">
        <v>1564</v>
      </c>
      <c r="B1567" s="78" t="str">
        <f t="shared" si="41"/>
        <v/>
      </c>
      <c r="K1567" s="87"/>
      <c r="L1567" s="87"/>
      <c r="M1567" s="87"/>
      <c r="N1567" s="87"/>
    </row>
    <row r="1568" s="65" customFormat="1" customHeight="1" spans="1:14">
      <c r="A1568" s="77">
        <v>1565</v>
      </c>
      <c r="B1568" s="78" t="str">
        <f t="shared" si="41"/>
        <v/>
      </c>
      <c r="K1568" s="87"/>
      <c r="L1568" s="87"/>
      <c r="M1568" s="87"/>
      <c r="N1568" s="87"/>
    </row>
    <row r="1569" s="65" customFormat="1" customHeight="1" spans="1:14">
      <c r="A1569" s="77">
        <v>1566</v>
      </c>
      <c r="B1569" s="78" t="str">
        <f t="shared" si="41"/>
        <v/>
      </c>
      <c r="K1569" s="87"/>
      <c r="L1569" s="87"/>
      <c r="M1569" s="87"/>
      <c r="N1569" s="87"/>
    </row>
    <row r="1570" s="65" customFormat="1" customHeight="1" spans="1:14">
      <c r="A1570" s="77">
        <v>1567</v>
      </c>
      <c r="B1570" s="78" t="str">
        <f t="shared" si="41"/>
        <v/>
      </c>
      <c r="K1570" s="87"/>
      <c r="L1570" s="87"/>
      <c r="M1570" s="87"/>
      <c r="N1570" s="87"/>
    </row>
    <row r="1571" s="65" customFormat="1" customHeight="1" spans="1:14">
      <c r="A1571" s="77">
        <v>1568</v>
      </c>
      <c r="B1571" s="78" t="str">
        <f t="shared" si="41"/>
        <v/>
      </c>
      <c r="K1571" s="87"/>
      <c r="L1571" s="87"/>
      <c r="M1571" s="87"/>
      <c r="N1571" s="87"/>
    </row>
    <row r="1572" s="65" customFormat="1" customHeight="1" spans="1:14">
      <c r="A1572" s="77">
        <v>1569</v>
      </c>
      <c r="B1572" s="78" t="str">
        <f t="shared" si="41"/>
        <v/>
      </c>
      <c r="K1572" s="87"/>
      <c r="L1572" s="87"/>
      <c r="M1572" s="87"/>
      <c r="N1572" s="87"/>
    </row>
    <row r="1573" s="65" customFormat="1" customHeight="1" spans="1:14">
      <c r="A1573" s="77">
        <v>1570</v>
      </c>
      <c r="B1573" s="78" t="str">
        <f t="shared" si="41"/>
        <v/>
      </c>
      <c r="K1573" s="87"/>
      <c r="L1573" s="87"/>
      <c r="M1573" s="87"/>
      <c r="N1573" s="87"/>
    </row>
    <row r="1574" s="65" customFormat="1" customHeight="1" spans="1:14">
      <c r="A1574" s="77">
        <v>1571</v>
      </c>
      <c r="B1574" s="78" t="str">
        <f t="shared" si="41"/>
        <v/>
      </c>
      <c r="K1574" s="87"/>
      <c r="L1574" s="87"/>
      <c r="M1574" s="87"/>
      <c r="N1574" s="87"/>
    </row>
    <row r="1575" s="65" customFormat="1" customHeight="1" spans="1:14">
      <c r="A1575" s="77">
        <v>1572</v>
      </c>
      <c r="B1575" s="78" t="str">
        <f t="shared" si="41"/>
        <v/>
      </c>
      <c r="K1575" s="87"/>
      <c r="L1575" s="87"/>
      <c r="M1575" s="87"/>
      <c r="N1575" s="87"/>
    </row>
    <row r="1576" s="65" customFormat="1" customHeight="1" spans="1:14">
      <c r="A1576" s="77">
        <v>1573</v>
      </c>
      <c r="B1576" s="78" t="str">
        <f t="shared" si="41"/>
        <v/>
      </c>
      <c r="K1576" s="87"/>
      <c r="L1576" s="87"/>
      <c r="M1576" s="87"/>
      <c r="N1576" s="87"/>
    </row>
    <row r="1577" s="65" customFormat="1" customHeight="1" spans="1:14">
      <c r="A1577" s="77">
        <v>1574</v>
      </c>
      <c r="B1577" s="78" t="str">
        <f t="shared" si="41"/>
        <v/>
      </c>
      <c r="K1577" s="87"/>
      <c r="L1577" s="87"/>
      <c r="M1577" s="87"/>
      <c r="N1577" s="87"/>
    </row>
    <row r="1578" s="65" customFormat="1" customHeight="1" spans="1:14">
      <c r="A1578" s="77">
        <v>1575</v>
      </c>
      <c r="B1578" s="78" t="str">
        <f t="shared" si="41"/>
        <v/>
      </c>
      <c r="K1578" s="87"/>
      <c r="L1578" s="87"/>
      <c r="M1578" s="87"/>
      <c r="N1578" s="87"/>
    </row>
    <row r="1579" s="65" customFormat="1" customHeight="1" spans="1:14">
      <c r="A1579" s="77">
        <v>1576</v>
      </c>
      <c r="B1579" s="78" t="str">
        <f t="shared" si="41"/>
        <v/>
      </c>
      <c r="K1579" s="87"/>
      <c r="L1579" s="87"/>
      <c r="M1579" s="87"/>
      <c r="N1579" s="87"/>
    </row>
    <row r="1580" s="65" customFormat="1" customHeight="1" spans="1:14">
      <c r="A1580" s="77">
        <v>1577</v>
      </c>
      <c r="B1580" s="78" t="str">
        <f t="shared" si="41"/>
        <v/>
      </c>
      <c r="K1580" s="87"/>
      <c r="L1580" s="87"/>
      <c r="M1580" s="87"/>
      <c r="N1580" s="87"/>
    </row>
    <row r="1581" s="65" customFormat="1" customHeight="1" spans="1:14">
      <c r="A1581" s="77">
        <v>1578</v>
      </c>
      <c r="B1581" s="78" t="str">
        <f t="shared" si="41"/>
        <v/>
      </c>
      <c r="K1581" s="87"/>
      <c r="L1581" s="87"/>
      <c r="M1581" s="87"/>
      <c r="N1581" s="87"/>
    </row>
    <row r="1582" s="65" customFormat="1" customHeight="1" spans="1:14">
      <c r="A1582" s="77">
        <v>1579</v>
      </c>
      <c r="B1582" s="78" t="str">
        <f t="shared" si="41"/>
        <v/>
      </c>
      <c r="K1582" s="87"/>
      <c r="L1582" s="87"/>
      <c r="M1582" s="87"/>
      <c r="N1582" s="87"/>
    </row>
    <row r="1583" s="65" customFormat="1" customHeight="1" spans="1:14">
      <c r="A1583" s="77">
        <v>1580</v>
      </c>
      <c r="B1583" s="78" t="str">
        <f t="shared" si="41"/>
        <v/>
      </c>
      <c r="K1583" s="87"/>
      <c r="L1583" s="87"/>
      <c r="M1583" s="87"/>
      <c r="N1583" s="87"/>
    </row>
    <row r="1584" s="65" customFormat="1" customHeight="1" spans="1:14">
      <c r="A1584" s="77">
        <v>1581</v>
      </c>
      <c r="B1584" s="78" t="str">
        <f t="shared" si="41"/>
        <v/>
      </c>
      <c r="K1584" s="87"/>
      <c r="L1584" s="87"/>
      <c r="M1584" s="87"/>
      <c r="N1584" s="87"/>
    </row>
    <row r="1585" s="65" customFormat="1" customHeight="1" spans="1:14">
      <c r="A1585" s="77">
        <v>1582</v>
      </c>
      <c r="B1585" s="78" t="str">
        <f t="shared" si="41"/>
        <v/>
      </c>
      <c r="K1585" s="87"/>
      <c r="L1585" s="87"/>
      <c r="M1585" s="87"/>
      <c r="N1585" s="87"/>
    </row>
    <row r="1586" s="65" customFormat="1" customHeight="1" spans="1:14">
      <c r="A1586" s="77">
        <v>1583</v>
      </c>
      <c r="B1586" s="78" t="str">
        <f t="shared" si="41"/>
        <v/>
      </c>
      <c r="K1586" s="87"/>
      <c r="L1586" s="87"/>
      <c r="M1586" s="87"/>
      <c r="N1586" s="87"/>
    </row>
    <row r="1587" s="65" customFormat="1" customHeight="1" spans="1:14">
      <c r="A1587" s="77">
        <v>1584</v>
      </c>
      <c r="B1587" s="78" t="str">
        <f t="shared" si="41"/>
        <v/>
      </c>
      <c r="K1587" s="87"/>
      <c r="L1587" s="87"/>
      <c r="M1587" s="87"/>
      <c r="N1587" s="87"/>
    </row>
    <row r="1588" s="65" customFormat="1" customHeight="1" spans="1:14">
      <c r="A1588" s="77">
        <v>1585</v>
      </c>
      <c r="B1588" s="78" t="str">
        <f t="shared" si="41"/>
        <v/>
      </c>
      <c r="K1588" s="87"/>
      <c r="L1588" s="87"/>
      <c r="M1588" s="87"/>
      <c r="N1588" s="87"/>
    </row>
    <row r="1589" s="65" customFormat="1" customHeight="1" spans="1:14">
      <c r="A1589" s="77">
        <v>1586</v>
      </c>
      <c r="B1589" s="78" t="str">
        <f t="shared" si="41"/>
        <v/>
      </c>
      <c r="K1589" s="87"/>
      <c r="L1589" s="87"/>
      <c r="M1589" s="87"/>
      <c r="N1589" s="87"/>
    </row>
    <row r="1590" s="65" customFormat="1" customHeight="1" spans="1:14">
      <c r="A1590" s="77">
        <v>1587</v>
      </c>
      <c r="B1590" s="78" t="str">
        <f t="shared" si="41"/>
        <v/>
      </c>
      <c r="K1590" s="87"/>
      <c r="L1590" s="87"/>
      <c r="M1590" s="87"/>
      <c r="N1590" s="87"/>
    </row>
    <row r="1591" s="65" customFormat="1" customHeight="1" spans="1:14">
      <c r="A1591" s="77">
        <v>1588</v>
      </c>
      <c r="B1591" s="78" t="str">
        <f t="shared" si="41"/>
        <v/>
      </c>
      <c r="K1591" s="87"/>
      <c r="L1591" s="87"/>
      <c r="M1591" s="87"/>
      <c r="N1591" s="87"/>
    </row>
    <row r="1592" s="65" customFormat="1" customHeight="1" spans="1:14">
      <c r="A1592" s="77">
        <v>1589</v>
      </c>
      <c r="B1592" s="78" t="str">
        <f t="shared" si="41"/>
        <v/>
      </c>
      <c r="K1592" s="87"/>
      <c r="L1592" s="87"/>
      <c r="M1592" s="87"/>
      <c r="N1592" s="87"/>
    </row>
    <row r="1593" s="65" customFormat="1" customHeight="1" spans="1:14">
      <c r="A1593" s="77">
        <v>1590</v>
      </c>
      <c r="B1593" s="78" t="str">
        <f t="shared" si="41"/>
        <v/>
      </c>
      <c r="K1593" s="87"/>
      <c r="L1593" s="87"/>
      <c r="M1593" s="87"/>
      <c r="N1593" s="87"/>
    </row>
    <row r="1594" s="65" customFormat="1" customHeight="1" spans="1:14">
      <c r="A1594" s="77">
        <v>1591</v>
      </c>
      <c r="B1594" s="78" t="str">
        <f t="shared" si="41"/>
        <v/>
      </c>
      <c r="K1594" s="87"/>
      <c r="L1594" s="87"/>
      <c r="M1594" s="87"/>
      <c r="N1594" s="87"/>
    </row>
    <row r="1595" s="65" customFormat="1" customHeight="1" spans="1:14">
      <c r="A1595" s="77">
        <v>1592</v>
      </c>
      <c r="B1595" s="78" t="str">
        <f t="shared" si="41"/>
        <v/>
      </c>
      <c r="K1595" s="87"/>
      <c r="L1595" s="87"/>
      <c r="M1595" s="87"/>
      <c r="N1595" s="87"/>
    </row>
    <row r="1596" s="65" customFormat="1" customHeight="1" spans="1:14">
      <c r="A1596" s="77">
        <v>1593</v>
      </c>
      <c r="B1596" s="78" t="str">
        <f t="shared" si="41"/>
        <v/>
      </c>
      <c r="K1596" s="87"/>
      <c r="L1596" s="87"/>
      <c r="M1596" s="87"/>
      <c r="N1596" s="87"/>
    </row>
    <row r="1597" s="65" customFormat="1" customHeight="1" spans="1:14">
      <c r="A1597" s="77">
        <v>1594</v>
      </c>
      <c r="B1597" s="78" t="str">
        <f t="shared" si="41"/>
        <v/>
      </c>
      <c r="K1597" s="87"/>
      <c r="L1597" s="87"/>
      <c r="M1597" s="87"/>
      <c r="N1597" s="87"/>
    </row>
    <row r="1598" s="65" customFormat="1" customHeight="1" spans="1:14">
      <c r="A1598" s="77">
        <v>1595</v>
      </c>
      <c r="B1598" s="78" t="str">
        <f t="shared" si="41"/>
        <v/>
      </c>
      <c r="K1598" s="87"/>
      <c r="L1598" s="87"/>
      <c r="M1598" s="87"/>
      <c r="N1598" s="87"/>
    </row>
    <row r="1599" s="65" customFormat="1" customHeight="1" spans="1:14">
      <c r="A1599" s="77">
        <v>1596</v>
      </c>
      <c r="B1599" s="78" t="str">
        <f t="shared" si="41"/>
        <v/>
      </c>
      <c r="K1599" s="87"/>
      <c r="L1599" s="87"/>
      <c r="M1599" s="87"/>
      <c r="N1599" s="87"/>
    </row>
    <row r="1600" s="65" customFormat="1" customHeight="1" spans="1:14">
      <c r="A1600" s="77">
        <v>1597</v>
      </c>
      <c r="B1600" s="78" t="str">
        <f t="shared" si="41"/>
        <v/>
      </c>
      <c r="K1600" s="87"/>
      <c r="L1600" s="87"/>
      <c r="M1600" s="87"/>
      <c r="N1600" s="87"/>
    </row>
    <row r="1601" s="65" customFormat="1" customHeight="1" spans="1:14">
      <c r="A1601" s="77">
        <v>1598</v>
      </c>
      <c r="B1601" s="78" t="str">
        <f t="shared" si="41"/>
        <v/>
      </c>
      <c r="K1601" s="87"/>
      <c r="L1601" s="87"/>
      <c r="M1601" s="87"/>
      <c r="N1601" s="87"/>
    </row>
    <row r="1602" s="65" customFormat="1" customHeight="1" spans="1:14">
      <c r="A1602" s="77">
        <v>1599</v>
      </c>
      <c r="B1602" s="78" t="str">
        <f t="shared" si="41"/>
        <v/>
      </c>
      <c r="K1602" s="87"/>
      <c r="L1602" s="87"/>
      <c r="M1602" s="87"/>
      <c r="N1602" s="87"/>
    </row>
    <row r="1603" s="65" customFormat="1" customHeight="1" spans="1:14">
      <c r="A1603" s="77">
        <v>1600</v>
      </c>
      <c r="B1603" s="78" t="str">
        <f t="shared" si="41"/>
        <v/>
      </c>
      <c r="K1603" s="87"/>
      <c r="L1603" s="87"/>
      <c r="M1603" s="87"/>
      <c r="N1603" s="87"/>
    </row>
    <row r="1604" s="65" customFormat="1" customHeight="1" spans="1:14">
      <c r="A1604" s="77">
        <v>1601</v>
      </c>
      <c r="B1604" s="78" t="str">
        <f t="shared" si="41"/>
        <v/>
      </c>
      <c r="K1604" s="87"/>
      <c r="L1604" s="87"/>
      <c r="M1604" s="87"/>
      <c r="N1604" s="87"/>
    </row>
    <row r="1605" s="65" customFormat="1" customHeight="1" spans="1:14">
      <c r="A1605" s="77">
        <v>1602</v>
      </c>
      <c r="B1605" s="78" t="str">
        <f t="shared" ref="B1605:B1668" si="42">+C1605&amp;E1605</f>
        <v/>
      </c>
      <c r="K1605" s="87"/>
      <c r="L1605" s="87"/>
      <c r="M1605" s="87"/>
      <c r="N1605" s="87"/>
    </row>
    <row r="1606" s="65" customFormat="1" customHeight="1" spans="1:14">
      <c r="A1606" s="77">
        <v>1603</v>
      </c>
      <c r="B1606" s="78" t="str">
        <f t="shared" si="42"/>
        <v/>
      </c>
      <c r="K1606" s="87"/>
      <c r="L1606" s="87"/>
      <c r="M1606" s="87"/>
      <c r="N1606" s="87"/>
    </row>
    <row r="1607" s="65" customFormat="1" customHeight="1" spans="1:14">
      <c r="A1607" s="77">
        <v>1604</v>
      </c>
      <c r="B1607" s="78" t="str">
        <f t="shared" si="42"/>
        <v/>
      </c>
      <c r="K1607" s="87"/>
      <c r="L1607" s="87"/>
      <c r="M1607" s="87"/>
      <c r="N1607" s="87"/>
    </row>
    <row r="1608" s="65" customFormat="1" customHeight="1" spans="1:14">
      <c r="A1608" s="77">
        <v>1605</v>
      </c>
      <c r="B1608" s="78" t="str">
        <f t="shared" si="42"/>
        <v/>
      </c>
      <c r="K1608" s="87"/>
      <c r="L1608" s="87"/>
      <c r="M1608" s="87"/>
      <c r="N1608" s="87"/>
    </row>
    <row r="1609" s="65" customFormat="1" customHeight="1" spans="1:14">
      <c r="A1609" s="77">
        <v>1606</v>
      </c>
      <c r="B1609" s="78" t="str">
        <f t="shared" si="42"/>
        <v/>
      </c>
      <c r="K1609" s="87"/>
      <c r="L1609" s="87"/>
      <c r="M1609" s="87"/>
      <c r="N1609" s="87"/>
    </row>
    <row r="1610" s="65" customFormat="1" customHeight="1" spans="1:14">
      <c r="A1610" s="77">
        <v>1607</v>
      </c>
      <c r="B1610" s="78" t="str">
        <f t="shared" si="42"/>
        <v/>
      </c>
      <c r="K1610" s="87"/>
      <c r="L1610" s="87"/>
      <c r="M1610" s="87"/>
      <c r="N1610" s="87"/>
    </row>
    <row r="1611" s="65" customFormat="1" customHeight="1" spans="1:14">
      <c r="A1611" s="77">
        <v>1608</v>
      </c>
      <c r="B1611" s="78" t="str">
        <f t="shared" si="42"/>
        <v/>
      </c>
      <c r="K1611" s="87"/>
      <c r="L1611" s="87"/>
      <c r="M1611" s="87"/>
      <c r="N1611" s="87"/>
    </row>
    <row r="1612" s="65" customFormat="1" customHeight="1" spans="1:14">
      <c r="A1612" s="77">
        <v>1609</v>
      </c>
      <c r="B1612" s="78" t="str">
        <f t="shared" si="42"/>
        <v/>
      </c>
      <c r="K1612" s="87"/>
      <c r="L1612" s="87"/>
      <c r="M1612" s="87"/>
      <c r="N1612" s="87"/>
    </row>
    <row r="1613" s="65" customFormat="1" customHeight="1" spans="1:14">
      <c r="A1613" s="77">
        <v>1610</v>
      </c>
      <c r="B1613" s="78" t="str">
        <f t="shared" si="42"/>
        <v/>
      </c>
      <c r="K1613" s="87"/>
      <c r="L1613" s="87"/>
      <c r="M1613" s="87"/>
      <c r="N1613" s="87"/>
    </row>
    <row r="1614" s="65" customFormat="1" customHeight="1" spans="1:14">
      <c r="A1614" s="77">
        <v>1611</v>
      </c>
      <c r="B1614" s="78" t="str">
        <f t="shared" si="42"/>
        <v/>
      </c>
      <c r="K1614" s="87"/>
      <c r="L1614" s="87"/>
      <c r="M1614" s="87"/>
      <c r="N1614" s="87"/>
    </row>
    <row r="1615" s="65" customFormat="1" customHeight="1" spans="1:14">
      <c r="A1615" s="77">
        <v>1612</v>
      </c>
      <c r="B1615" s="78" t="str">
        <f t="shared" si="42"/>
        <v/>
      </c>
      <c r="K1615" s="87"/>
      <c r="L1615" s="87"/>
      <c r="M1615" s="87"/>
      <c r="N1615" s="87"/>
    </row>
    <row r="1616" s="65" customFormat="1" customHeight="1" spans="1:14">
      <c r="A1616" s="77">
        <v>1613</v>
      </c>
      <c r="B1616" s="78" t="str">
        <f t="shared" si="42"/>
        <v/>
      </c>
      <c r="K1616" s="87"/>
      <c r="L1616" s="87"/>
      <c r="M1616" s="87"/>
      <c r="N1616" s="87"/>
    </row>
    <row r="1617" s="65" customFormat="1" customHeight="1" spans="1:14">
      <c r="A1617" s="77">
        <v>1614</v>
      </c>
      <c r="B1617" s="78" t="str">
        <f t="shared" si="42"/>
        <v/>
      </c>
      <c r="K1617" s="87"/>
      <c r="L1617" s="87"/>
      <c r="M1617" s="87"/>
      <c r="N1617" s="87"/>
    </row>
    <row r="1618" s="65" customFormat="1" customHeight="1" spans="1:14">
      <c r="A1618" s="77">
        <v>1615</v>
      </c>
      <c r="B1618" s="78" t="str">
        <f t="shared" si="42"/>
        <v/>
      </c>
      <c r="K1618" s="87"/>
      <c r="L1618" s="87"/>
      <c r="M1618" s="87"/>
      <c r="N1618" s="87"/>
    </row>
    <row r="1619" s="65" customFormat="1" customHeight="1" spans="1:14">
      <c r="A1619" s="77">
        <v>1616</v>
      </c>
      <c r="B1619" s="78" t="str">
        <f t="shared" si="42"/>
        <v/>
      </c>
      <c r="K1619" s="87"/>
      <c r="L1619" s="87"/>
      <c r="M1619" s="87"/>
      <c r="N1619" s="87"/>
    </row>
    <row r="1620" s="65" customFormat="1" customHeight="1" spans="1:14">
      <c r="A1620" s="77">
        <v>1617</v>
      </c>
      <c r="B1620" s="78" t="str">
        <f t="shared" si="42"/>
        <v/>
      </c>
      <c r="K1620" s="87"/>
      <c r="L1620" s="87"/>
      <c r="M1620" s="87"/>
      <c r="N1620" s="87"/>
    </row>
    <row r="1621" s="65" customFormat="1" customHeight="1" spans="1:14">
      <c r="A1621" s="77">
        <v>1618</v>
      </c>
      <c r="B1621" s="78" t="str">
        <f t="shared" si="42"/>
        <v/>
      </c>
      <c r="K1621" s="87"/>
      <c r="L1621" s="87"/>
      <c r="M1621" s="87"/>
      <c r="N1621" s="87"/>
    </row>
    <row r="1622" s="65" customFormat="1" customHeight="1" spans="1:14">
      <c r="A1622" s="77">
        <v>1619</v>
      </c>
      <c r="B1622" s="78" t="str">
        <f t="shared" si="42"/>
        <v/>
      </c>
      <c r="K1622" s="87"/>
      <c r="L1622" s="87"/>
      <c r="M1622" s="87"/>
      <c r="N1622" s="87"/>
    </row>
    <row r="1623" s="65" customFormat="1" customHeight="1" spans="1:14">
      <c r="A1623" s="77">
        <v>1620</v>
      </c>
      <c r="B1623" s="78" t="str">
        <f t="shared" si="42"/>
        <v/>
      </c>
      <c r="K1623" s="87"/>
      <c r="L1623" s="87"/>
      <c r="M1623" s="87"/>
      <c r="N1623" s="87"/>
    </row>
    <row r="1624" s="65" customFormat="1" customHeight="1" spans="1:14">
      <c r="A1624" s="77">
        <v>1621</v>
      </c>
      <c r="B1624" s="78" t="str">
        <f t="shared" si="42"/>
        <v/>
      </c>
      <c r="K1624" s="87"/>
      <c r="L1624" s="87"/>
      <c r="M1624" s="87"/>
      <c r="N1624" s="87"/>
    </row>
    <row r="1625" s="65" customFormat="1" customHeight="1" spans="1:14">
      <c r="A1625" s="77">
        <v>1622</v>
      </c>
      <c r="B1625" s="78" t="str">
        <f t="shared" si="42"/>
        <v/>
      </c>
      <c r="K1625" s="87"/>
      <c r="L1625" s="87"/>
      <c r="M1625" s="87"/>
      <c r="N1625" s="87"/>
    </row>
    <row r="1626" s="65" customFormat="1" customHeight="1" spans="1:14">
      <c r="A1626" s="77">
        <v>1623</v>
      </c>
      <c r="B1626" s="78" t="str">
        <f t="shared" si="42"/>
        <v/>
      </c>
      <c r="K1626" s="87"/>
      <c r="L1626" s="87"/>
      <c r="M1626" s="87"/>
      <c r="N1626" s="87"/>
    </row>
    <row r="1627" s="65" customFormat="1" customHeight="1" spans="1:14">
      <c r="A1627" s="77">
        <v>1624</v>
      </c>
      <c r="B1627" s="78" t="str">
        <f t="shared" si="42"/>
        <v/>
      </c>
      <c r="K1627" s="87"/>
      <c r="L1627" s="87"/>
      <c r="M1627" s="87"/>
      <c r="N1627" s="87"/>
    </row>
    <row r="1628" s="65" customFormat="1" customHeight="1" spans="1:14">
      <c r="A1628" s="77">
        <v>1625</v>
      </c>
      <c r="B1628" s="78" t="str">
        <f t="shared" si="42"/>
        <v/>
      </c>
      <c r="K1628" s="87"/>
      <c r="L1628" s="87"/>
      <c r="M1628" s="87"/>
      <c r="N1628" s="87"/>
    </row>
    <row r="1629" s="65" customFormat="1" customHeight="1" spans="1:14">
      <c r="A1629" s="77">
        <v>1626</v>
      </c>
      <c r="B1629" s="78" t="str">
        <f t="shared" si="42"/>
        <v/>
      </c>
      <c r="K1629" s="87"/>
      <c r="L1629" s="87"/>
      <c r="M1629" s="87"/>
      <c r="N1629" s="87"/>
    </row>
    <row r="1630" s="65" customFormat="1" customHeight="1" spans="1:14">
      <c r="A1630" s="77">
        <v>1627</v>
      </c>
      <c r="B1630" s="78" t="str">
        <f t="shared" si="42"/>
        <v/>
      </c>
      <c r="K1630" s="87"/>
      <c r="L1630" s="87"/>
      <c r="M1630" s="87"/>
      <c r="N1630" s="87"/>
    </row>
    <row r="1631" s="65" customFormat="1" customHeight="1" spans="1:14">
      <c r="A1631" s="77">
        <v>1628</v>
      </c>
      <c r="B1631" s="78" t="str">
        <f t="shared" si="42"/>
        <v/>
      </c>
      <c r="K1631" s="87"/>
      <c r="L1631" s="87"/>
      <c r="M1631" s="87"/>
      <c r="N1631" s="87"/>
    </row>
    <row r="1632" s="65" customFormat="1" customHeight="1" spans="1:14">
      <c r="A1632" s="77">
        <v>1629</v>
      </c>
      <c r="B1632" s="78" t="str">
        <f t="shared" si="42"/>
        <v/>
      </c>
      <c r="K1632" s="87"/>
      <c r="L1632" s="87"/>
      <c r="M1632" s="87"/>
      <c r="N1632" s="87"/>
    </row>
    <row r="1633" s="65" customFormat="1" customHeight="1" spans="1:14">
      <c r="A1633" s="77">
        <v>1630</v>
      </c>
      <c r="B1633" s="78" t="str">
        <f t="shared" si="42"/>
        <v/>
      </c>
      <c r="K1633" s="87"/>
      <c r="L1633" s="87"/>
      <c r="M1633" s="87"/>
      <c r="N1633" s="87"/>
    </row>
    <row r="1634" s="65" customFormat="1" customHeight="1" spans="1:14">
      <c r="A1634" s="77">
        <v>1631</v>
      </c>
      <c r="B1634" s="78" t="str">
        <f t="shared" si="42"/>
        <v/>
      </c>
      <c r="K1634" s="87"/>
      <c r="L1634" s="87"/>
      <c r="M1634" s="87"/>
      <c r="N1634" s="87"/>
    </row>
    <row r="1635" s="65" customFormat="1" customHeight="1" spans="1:14">
      <c r="A1635" s="77">
        <v>1632</v>
      </c>
      <c r="B1635" s="78" t="str">
        <f t="shared" si="42"/>
        <v/>
      </c>
      <c r="K1635" s="87"/>
      <c r="L1635" s="87"/>
      <c r="M1635" s="87"/>
      <c r="N1635" s="87"/>
    </row>
    <row r="1636" s="65" customFormat="1" customHeight="1" spans="1:14">
      <c r="A1636" s="77">
        <v>1633</v>
      </c>
      <c r="B1636" s="78" t="str">
        <f t="shared" si="42"/>
        <v/>
      </c>
      <c r="K1636" s="87"/>
      <c r="L1636" s="87"/>
      <c r="M1636" s="87"/>
      <c r="N1636" s="87"/>
    </row>
    <row r="1637" s="65" customFormat="1" customHeight="1" spans="1:14">
      <c r="A1637" s="77">
        <v>1634</v>
      </c>
      <c r="B1637" s="78" t="str">
        <f t="shared" si="42"/>
        <v/>
      </c>
      <c r="K1637" s="87"/>
      <c r="L1637" s="87"/>
      <c r="M1637" s="87"/>
      <c r="N1637" s="87"/>
    </row>
    <row r="1638" s="65" customFormat="1" customHeight="1" spans="1:14">
      <c r="A1638" s="77">
        <v>1635</v>
      </c>
      <c r="B1638" s="78" t="str">
        <f t="shared" si="42"/>
        <v/>
      </c>
      <c r="K1638" s="87"/>
      <c r="L1638" s="87"/>
      <c r="M1638" s="87"/>
      <c r="N1638" s="87"/>
    </row>
    <row r="1639" s="65" customFormat="1" customHeight="1" spans="1:14">
      <c r="A1639" s="77">
        <v>1636</v>
      </c>
      <c r="B1639" s="78" t="str">
        <f t="shared" si="42"/>
        <v/>
      </c>
      <c r="K1639" s="87"/>
      <c r="L1639" s="87"/>
      <c r="M1639" s="87"/>
      <c r="N1639" s="87"/>
    </row>
    <row r="1640" s="65" customFormat="1" customHeight="1" spans="1:14">
      <c r="A1640" s="77">
        <v>1637</v>
      </c>
      <c r="B1640" s="78" t="str">
        <f t="shared" si="42"/>
        <v/>
      </c>
      <c r="K1640" s="87"/>
      <c r="L1640" s="87"/>
      <c r="M1640" s="87"/>
      <c r="N1640" s="87"/>
    </row>
    <row r="1641" s="65" customFormat="1" customHeight="1" spans="1:14">
      <c r="A1641" s="77">
        <v>1638</v>
      </c>
      <c r="B1641" s="78" t="str">
        <f t="shared" si="42"/>
        <v/>
      </c>
      <c r="K1641" s="87"/>
      <c r="L1641" s="87"/>
      <c r="M1641" s="87"/>
      <c r="N1641" s="87"/>
    </row>
    <row r="1642" s="65" customFormat="1" customHeight="1" spans="1:14">
      <c r="A1642" s="77">
        <v>1639</v>
      </c>
      <c r="B1642" s="78" t="str">
        <f t="shared" si="42"/>
        <v/>
      </c>
      <c r="K1642" s="87"/>
      <c r="L1642" s="87"/>
      <c r="M1642" s="87"/>
      <c r="N1642" s="87"/>
    </row>
    <row r="1643" s="65" customFormat="1" customHeight="1" spans="1:14">
      <c r="A1643" s="77">
        <v>1640</v>
      </c>
      <c r="B1643" s="78" t="str">
        <f t="shared" si="42"/>
        <v/>
      </c>
      <c r="K1643" s="87"/>
      <c r="L1643" s="87"/>
      <c r="M1643" s="87"/>
      <c r="N1643" s="87"/>
    </row>
    <row r="1644" s="65" customFormat="1" customHeight="1" spans="1:14">
      <c r="A1644" s="77">
        <v>1641</v>
      </c>
      <c r="B1644" s="78" t="str">
        <f t="shared" si="42"/>
        <v/>
      </c>
      <c r="K1644" s="87"/>
      <c r="L1644" s="87"/>
      <c r="M1644" s="87"/>
      <c r="N1644" s="87"/>
    </row>
    <row r="1645" s="65" customFormat="1" customHeight="1" spans="1:14">
      <c r="A1645" s="77">
        <v>1642</v>
      </c>
      <c r="B1645" s="78" t="str">
        <f t="shared" si="42"/>
        <v/>
      </c>
      <c r="K1645" s="87"/>
      <c r="L1645" s="87"/>
      <c r="M1645" s="87"/>
      <c r="N1645" s="87"/>
    </row>
    <row r="1646" s="65" customFormat="1" customHeight="1" spans="1:14">
      <c r="A1646" s="77">
        <v>1643</v>
      </c>
      <c r="B1646" s="78" t="str">
        <f t="shared" si="42"/>
        <v/>
      </c>
      <c r="K1646" s="87"/>
      <c r="L1646" s="87"/>
      <c r="M1646" s="87"/>
      <c r="N1646" s="87"/>
    </row>
    <row r="1647" s="65" customFormat="1" customHeight="1" spans="1:14">
      <c r="A1647" s="77">
        <v>1644</v>
      </c>
      <c r="B1647" s="78" t="str">
        <f t="shared" si="42"/>
        <v/>
      </c>
      <c r="K1647" s="87"/>
      <c r="L1647" s="87"/>
      <c r="M1647" s="87"/>
      <c r="N1647" s="87"/>
    </row>
    <row r="1648" s="65" customFormat="1" customHeight="1" spans="1:14">
      <c r="A1648" s="77">
        <v>1645</v>
      </c>
      <c r="B1648" s="78" t="str">
        <f t="shared" si="42"/>
        <v/>
      </c>
      <c r="K1648" s="87"/>
      <c r="L1648" s="87"/>
      <c r="M1648" s="87"/>
      <c r="N1648" s="87"/>
    </row>
    <row r="1649" s="65" customFormat="1" customHeight="1" spans="1:14">
      <c r="A1649" s="77">
        <v>1646</v>
      </c>
      <c r="B1649" s="78" t="str">
        <f t="shared" si="42"/>
        <v/>
      </c>
      <c r="K1649" s="87"/>
      <c r="L1649" s="87"/>
      <c r="M1649" s="87"/>
      <c r="N1649" s="87"/>
    </row>
    <row r="1650" s="65" customFormat="1" customHeight="1" spans="1:14">
      <c r="A1650" s="77">
        <v>1647</v>
      </c>
      <c r="B1650" s="78" t="str">
        <f t="shared" si="42"/>
        <v/>
      </c>
      <c r="K1650" s="87"/>
      <c r="L1650" s="87"/>
      <c r="M1650" s="87"/>
      <c r="N1650" s="87"/>
    </row>
    <row r="1651" s="65" customFormat="1" customHeight="1" spans="1:14">
      <c r="A1651" s="77">
        <v>1648</v>
      </c>
      <c r="B1651" s="78" t="str">
        <f t="shared" si="42"/>
        <v/>
      </c>
      <c r="K1651" s="87"/>
      <c r="L1651" s="87"/>
      <c r="M1651" s="87"/>
      <c r="N1651" s="87"/>
    </row>
    <row r="1652" s="65" customFormat="1" customHeight="1" spans="1:14">
      <c r="A1652" s="77">
        <v>1649</v>
      </c>
      <c r="B1652" s="78" t="str">
        <f t="shared" si="42"/>
        <v/>
      </c>
      <c r="K1652" s="87"/>
      <c r="L1652" s="87"/>
      <c r="M1652" s="87"/>
      <c r="N1652" s="87"/>
    </row>
    <row r="1653" s="65" customFormat="1" customHeight="1" spans="1:14">
      <c r="A1653" s="77">
        <v>1650</v>
      </c>
      <c r="B1653" s="78" t="str">
        <f t="shared" si="42"/>
        <v/>
      </c>
      <c r="K1653" s="87"/>
      <c r="L1653" s="87"/>
      <c r="M1653" s="87"/>
      <c r="N1653" s="87"/>
    </row>
    <row r="1654" s="65" customFormat="1" customHeight="1" spans="1:14">
      <c r="A1654" s="77">
        <v>1651</v>
      </c>
      <c r="B1654" s="78" t="str">
        <f t="shared" si="42"/>
        <v/>
      </c>
      <c r="K1654" s="87"/>
      <c r="L1654" s="87"/>
      <c r="M1654" s="87"/>
      <c r="N1654" s="87"/>
    </row>
    <row r="1655" s="65" customFormat="1" customHeight="1" spans="1:14">
      <c r="A1655" s="77">
        <v>1652</v>
      </c>
      <c r="B1655" s="78" t="str">
        <f t="shared" si="42"/>
        <v/>
      </c>
      <c r="K1655" s="87"/>
      <c r="L1655" s="87"/>
      <c r="M1655" s="87"/>
      <c r="N1655" s="87"/>
    </row>
    <row r="1656" s="65" customFormat="1" customHeight="1" spans="1:14">
      <c r="A1656" s="77">
        <v>1653</v>
      </c>
      <c r="B1656" s="78" t="str">
        <f t="shared" si="42"/>
        <v/>
      </c>
      <c r="K1656" s="87"/>
      <c r="L1656" s="87"/>
      <c r="M1656" s="87"/>
      <c r="N1656" s="87"/>
    </row>
    <row r="1657" s="65" customFormat="1" customHeight="1" spans="1:14">
      <c r="A1657" s="77">
        <v>1654</v>
      </c>
      <c r="B1657" s="78" t="str">
        <f t="shared" si="42"/>
        <v/>
      </c>
      <c r="K1657" s="87"/>
      <c r="L1657" s="87"/>
      <c r="M1657" s="87"/>
      <c r="N1657" s="87"/>
    </row>
    <row r="1658" s="65" customFormat="1" customHeight="1" spans="1:14">
      <c r="A1658" s="77">
        <v>1655</v>
      </c>
      <c r="B1658" s="78" t="str">
        <f t="shared" si="42"/>
        <v/>
      </c>
      <c r="K1658" s="87"/>
      <c r="L1658" s="87"/>
      <c r="M1658" s="87"/>
      <c r="N1658" s="87"/>
    </row>
    <row r="1659" s="65" customFormat="1" customHeight="1" spans="1:14">
      <c r="A1659" s="77">
        <v>1656</v>
      </c>
      <c r="B1659" s="78" t="str">
        <f t="shared" si="42"/>
        <v/>
      </c>
      <c r="K1659" s="87"/>
      <c r="L1659" s="87"/>
      <c r="M1659" s="87"/>
      <c r="N1659" s="87"/>
    </row>
    <row r="1660" s="65" customFormat="1" customHeight="1" spans="1:14">
      <c r="A1660" s="77">
        <v>1657</v>
      </c>
      <c r="B1660" s="78" t="str">
        <f t="shared" si="42"/>
        <v/>
      </c>
      <c r="K1660" s="87"/>
      <c r="L1660" s="87"/>
      <c r="M1660" s="87"/>
      <c r="N1660" s="87"/>
    </row>
    <row r="1661" s="65" customFormat="1" customHeight="1" spans="1:14">
      <c r="A1661" s="77">
        <v>1658</v>
      </c>
      <c r="B1661" s="78" t="str">
        <f t="shared" si="42"/>
        <v/>
      </c>
      <c r="K1661" s="87"/>
      <c r="L1661" s="87"/>
      <c r="M1661" s="87"/>
      <c r="N1661" s="87"/>
    </row>
    <row r="1662" s="65" customFormat="1" customHeight="1" spans="1:14">
      <c r="A1662" s="77">
        <v>1659</v>
      </c>
      <c r="B1662" s="78" t="str">
        <f t="shared" si="42"/>
        <v/>
      </c>
      <c r="K1662" s="87"/>
      <c r="L1662" s="87"/>
      <c r="M1662" s="87"/>
      <c r="N1662" s="87"/>
    </row>
    <row r="1663" s="65" customFormat="1" customHeight="1" spans="1:14">
      <c r="A1663" s="77">
        <v>1660</v>
      </c>
      <c r="B1663" s="78" t="str">
        <f t="shared" si="42"/>
        <v/>
      </c>
      <c r="K1663" s="87"/>
      <c r="L1663" s="87"/>
      <c r="M1663" s="87"/>
      <c r="N1663" s="87"/>
    </row>
    <row r="1664" s="65" customFormat="1" customHeight="1" spans="1:14">
      <c r="A1664" s="77">
        <v>1661</v>
      </c>
      <c r="B1664" s="78" t="str">
        <f t="shared" si="42"/>
        <v/>
      </c>
      <c r="K1664" s="87"/>
      <c r="L1664" s="87"/>
      <c r="M1664" s="87"/>
      <c r="N1664" s="87"/>
    </row>
    <row r="1665" s="65" customFormat="1" customHeight="1" spans="1:14">
      <c r="A1665" s="77">
        <v>1662</v>
      </c>
      <c r="B1665" s="78" t="str">
        <f t="shared" si="42"/>
        <v/>
      </c>
      <c r="K1665" s="87"/>
      <c r="L1665" s="87"/>
      <c r="M1665" s="87"/>
      <c r="N1665" s="87"/>
    </row>
    <row r="1666" s="65" customFormat="1" customHeight="1" spans="1:14">
      <c r="A1666" s="77">
        <v>1663</v>
      </c>
      <c r="B1666" s="78" t="str">
        <f t="shared" si="42"/>
        <v/>
      </c>
      <c r="K1666" s="87"/>
      <c r="L1666" s="87"/>
      <c r="M1666" s="87"/>
      <c r="N1666" s="87"/>
    </row>
    <row r="1667" s="65" customFormat="1" customHeight="1" spans="1:14">
      <c r="A1667" s="77">
        <v>1664</v>
      </c>
      <c r="B1667" s="78" t="str">
        <f t="shared" si="42"/>
        <v/>
      </c>
      <c r="K1667" s="87"/>
      <c r="L1667" s="87"/>
      <c r="M1667" s="87"/>
      <c r="N1667" s="87"/>
    </row>
    <row r="1668" s="65" customFormat="1" customHeight="1" spans="1:14">
      <c r="A1668" s="77">
        <v>1665</v>
      </c>
      <c r="B1668" s="78" t="str">
        <f t="shared" si="42"/>
        <v/>
      </c>
      <c r="K1668" s="87"/>
      <c r="L1668" s="87"/>
      <c r="M1668" s="87"/>
      <c r="N1668" s="87"/>
    </row>
    <row r="1669" s="65" customFormat="1" customHeight="1" spans="1:14">
      <c r="A1669" s="77">
        <v>1666</v>
      </c>
      <c r="B1669" s="78" t="str">
        <f t="shared" ref="B1669:B1732" si="43">+C1669&amp;E1669</f>
        <v/>
      </c>
      <c r="K1669" s="87"/>
      <c r="L1669" s="87"/>
      <c r="M1669" s="87"/>
      <c r="N1669" s="87"/>
    </row>
    <row r="1670" s="65" customFormat="1" customHeight="1" spans="1:14">
      <c r="A1670" s="77">
        <v>1667</v>
      </c>
      <c r="B1670" s="78" t="str">
        <f t="shared" si="43"/>
        <v/>
      </c>
      <c r="K1670" s="87"/>
      <c r="L1670" s="87"/>
      <c r="M1670" s="87"/>
      <c r="N1670" s="87"/>
    </row>
    <row r="1671" s="65" customFormat="1" customHeight="1" spans="1:14">
      <c r="A1671" s="77">
        <v>1668</v>
      </c>
      <c r="B1671" s="78" t="str">
        <f t="shared" si="43"/>
        <v/>
      </c>
      <c r="K1671" s="87"/>
      <c r="L1671" s="87"/>
      <c r="M1671" s="87"/>
      <c r="N1671" s="87"/>
    </row>
    <row r="1672" s="65" customFormat="1" customHeight="1" spans="1:14">
      <c r="A1672" s="77">
        <v>1669</v>
      </c>
      <c r="B1672" s="78" t="str">
        <f t="shared" si="43"/>
        <v/>
      </c>
      <c r="K1672" s="87"/>
      <c r="L1672" s="87"/>
      <c r="M1672" s="87"/>
      <c r="N1672" s="87"/>
    </row>
    <row r="1673" s="65" customFormat="1" customHeight="1" spans="1:14">
      <c r="A1673" s="77">
        <v>1670</v>
      </c>
      <c r="B1673" s="78" t="str">
        <f t="shared" si="43"/>
        <v/>
      </c>
      <c r="K1673" s="87"/>
      <c r="L1673" s="87"/>
      <c r="M1673" s="87"/>
      <c r="N1673" s="87"/>
    </row>
    <row r="1674" s="65" customFormat="1" customHeight="1" spans="1:14">
      <c r="A1674" s="77">
        <v>1671</v>
      </c>
      <c r="B1674" s="78" t="str">
        <f t="shared" si="43"/>
        <v/>
      </c>
      <c r="K1674" s="87"/>
      <c r="L1674" s="87"/>
      <c r="M1674" s="87"/>
      <c r="N1674" s="87"/>
    </row>
    <row r="1675" s="65" customFormat="1" customHeight="1" spans="1:14">
      <c r="A1675" s="77">
        <v>1672</v>
      </c>
      <c r="B1675" s="78" t="str">
        <f t="shared" si="43"/>
        <v/>
      </c>
      <c r="K1675" s="87"/>
      <c r="L1675" s="87"/>
      <c r="M1675" s="87"/>
      <c r="N1675" s="87"/>
    </row>
    <row r="1676" s="65" customFormat="1" customHeight="1" spans="1:14">
      <c r="A1676" s="77">
        <v>1673</v>
      </c>
      <c r="B1676" s="78" t="str">
        <f t="shared" si="43"/>
        <v/>
      </c>
      <c r="K1676" s="87"/>
      <c r="L1676" s="87"/>
      <c r="M1676" s="87"/>
      <c r="N1676" s="87"/>
    </row>
    <row r="1677" s="65" customFormat="1" customHeight="1" spans="1:14">
      <c r="A1677" s="77">
        <v>1674</v>
      </c>
      <c r="B1677" s="78" t="str">
        <f t="shared" si="43"/>
        <v/>
      </c>
      <c r="K1677" s="87"/>
      <c r="L1677" s="87"/>
      <c r="M1677" s="87"/>
      <c r="N1677" s="87"/>
    </row>
    <row r="1678" s="65" customFormat="1" customHeight="1" spans="1:14">
      <c r="A1678" s="77">
        <v>1675</v>
      </c>
      <c r="B1678" s="78" t="str">
        <f t="shared" si="43"/>
        <v/>
      </c>
      <c r="K1678" s="87"/>
      <c r="L1678" s="87"/>
      <c r="M1678" s="87"/>
      <c r="N1678" s="87"/>
    </row>
    <row r="1679" s="65" customFormat="1" customHeight="1" spans="1:14">
      <c r="A1679" s="77">
        <v>1676</v>
      </c>
      <c r="B1679" s="78" t="str">
        <f t="shared" si="43"/>
        <v/>
      </c>
      <c r="K1679" s="87"/>
      <c r="L1679" s="87"/>
      <c r="M1679" s="87"/>
      <c r="N1679" s="87"/>
    </row>
    <row r="1680" s="65" customFormat="1" customHeight="1" spans="1:14">
      <c r="A1680" s="77">
        <v>1677</v>
      </c>
      <c r="B1680" s="78" t="str">
        <f t="shared" si="43"/>
        <v/>
      </c>
      <c r="K1680" s="87"/>
      <c r="L1680" s="87"/>
      <c r="M1680" s="87"/>
      <c r="N1680" s="87"/>
    </row>
    <row r="1681" s="65" customFormat="1" customHeight="1" spans="1:14">
      <c r="A1681" s="77">
        <v>1678</v>
      </c>
      <c r="B1681" s="78" t="str">
        <f t="shared" si="43"/>
        <v/>
      </c>
      <c r="K1681" s="87"/>
      <c r="L1681" s="87"/>
      <c r="M1681" s="87"/>
      <c r="N1681" s="87"/>
    </row>
    <row r="1682" s="65" customFormat="1" customHeight="1" spans="1:14">
      <c r="A1682" s="77">
        <v>1679</v>
      </c>
      <c r="B1682" s="78" t="str">
        <f t="shared" si="43"/>
        <v/>
      </c>
      <c r="K1682" s="87"/>
      <c r="L1682" s="87"/>
      <c r="M1682" s="87"/>
      <c r="N1682" s="87"/>
    </row>
    <row r="1683" s="65" customFormat="1" customHeight="1" spans="1:14">
      <c r="A1683" s="77">
        <v>1680</v>
      </c>
      <c r="B1683" s="78" t="str">
        <f t="shared" si="43"/>
        <v/>
      </c>
      <c r="K1683" s="87"/>
      <c r="L1683" s="87"/>
      <c r="M1683" s="87"/>
      <c r="N1683" s="87"/>
    </row>
    <row r="1684" s="65" customFormat="1" customHeight="1" spans="1:14">
      <c r="A1684" s="77">
        <v>1681</v>
      </c>
      <c r="B1684" s="78" t="str">
        <f t="shared" si="43"/>
        <v/>
      </c>
      <c r="K1684" s="87"/>
      <c r="L1684" s="87"/>
      <c r="M1684" s="87"/>
      <c r="N1684" s="87"/>
    </row>
    <row r="1685" s="65" customFormat="1" customHeight="1" spans="1:14">
      <c r="A1685" s="77">
        <v>1682</v>
      </c>
      <c r="B1685" s="78" t="str">
        <f t="shared" si="43"/>
        <v/>
      </c>
      <c r="K1685" s="87"/>
      <c r="L1685" s="87"/>
      <c r="M1685" s="87"/>
      <c r="N1685" s="87"/>
    </row>
    <row r="1686" s="65" customFormat="1" customHeight="1" spans="1:14">
      <c r="A1686" s="77">
        <v>1683</v>
      </c>
      <c r="B1686" s="78" t="str">
        <f t="shared" si="43"/>
        <v/>
      </c>
      <c r="K1686" s="87"/>
      <c r="L1686" s="87"/>
      <c r="M1686" s="87"/>
      <c r="N1686" s="87"/>
    </row>
    <row r="1687" s="65" customFormat="1" customHeight="1" spans="1:14">
      <c r="A1687" s="77">
        <v>1684</v>
      </c>
      <c r="B1687" s="78" t="str">
        <f t="shared" si="43"/>
        <v/>
      </c>
      <c r="K1687" s="87"/>
      <c r="L1687" s="87"/>
      <c r="M1687" s="87"/>
      <c r="N1687" s="87"/>
    </row>
    <row r="1688" s="65" customFormat="1" customHeight="1" spans="1:14">
      <c r="A1688" s="77">
        <v>1685</v>
      </c>
      <c r="B1688" s="78" t="str">
        <f t="shared" si="43"/>
        <v/>
      </c>
      <c r="K1688" s="87"/>
      <c r="L1688" s="87"/>
      <c r="M1688" s="87"/>
      <c r="N1688" s="87"/>
    </row>
    <row r="1689" s="65" customFormat="1" customHeight="1" spans="1:14">
      <c r="A1689" s="77">
        <v>1686</v>
      </c>
      <c r="B1689" s="78" t="str">
        <f t="shared" si="43"/>
        <v/>
      </c>
      <c r="K1689" s="87"/>
      <c r="L1689" s="87"/>
      <c r="M1689" s="87"/>
      <c r="N1689" s="87"/>
    </row>
    <row r="1690" s="65" customFormat="1" customHeight="1" spans="1:14">
      <c r="A1690" s="77">
        <v>1687</v>
      </c>
      <c r="B1690" s="78" t="str">
        <f t="shared" si="43"/>
        <v/>
      </c>
      <c r="K1690" s="87"/>
      <c r="L1690" s="87"/>
      <c r="M1690" s="87"/>
      <c r="N1690" s="87"/>
    </row>
    <row r="1691" s="65" customFormat="1" customHeight="1" spans="1:14">
      <c r="A1691" s="77">
        <v>1688</v>
      </c>
      <c r="B1691" s="78" t="str">
        <f t="shared" si="43"/>
        <v/>
      </c>
      <c r="K1691" s="87"/>
      <c r="L1691" s="87"/>
      <c r="M1691" s="87"/>
      <c r="N1691" s="87"/>
    </row>
    <row r="1692" s="65" customFormat="1" customHeight="1" spans="1:14">
      <c r="A1692" s="77">
        <v>1689</v>
      </c>
      <c r="B1692" s="78" t="str">
        <f t="shared" si="43"/>
        <v/>
      </c>
      <c r="K1692" s="87"/>
      <c r="L1692" s="87"/>
      <c r="M1692" s="87"/>
      <c r="N1692" s="87"/>
    </row>
    <row r="1693" s="65" customFormat="1" customHeight="1" spans="1:14">
      <c r="A1693" s="77">
        <v>1690</v>
      </c>
      <c r="B1693" s="78" t="str">
        <f t="shared" si="43"/>
        <v/>
      </c>
      <c r="K1693" s="87"/>
      <c r="L1693" s="87"/>
      <c r="M1693" s="87"/>
      <c r="N1693" s="87"/>
    </row>
    <row r="1694" s="65" customFormat="1" customHeight="1" spans="1:14">
      <c r="A1694" s="77">
        <v>1691</v>
      </c>
      <c r="B1694" s="78" t="str">
        <f t="shared" si="43"/>
        <v/>
      </c>
      <c r="K1694" s="87"/>
      <c r="L1694" s="87"/>
      <c r="M1694" s="87"/>
      <c r="N1694" s="87"/>
    </row>
    <row r="1695" s="65" customFormat="1" customHeight="1" spans="1:14">
      <c r="A1695" s="77">
        <v>1692</v>
      </c>
      <c r="B1695" s="78" t="str">
        <f t="shared" si="43"/>
        <v/>
      </c>
      <c r="K1695" s="87"/>
      <c r="L1695" s="87"/>
      <c r="M1695" s="87"/>
      <c r="N1695" s="87"/>
    </row>
    <row r="1696" s="65" customFormat="1" customHeight="1" spans="1:14">
      <c r="A1696" s="77">
        <v>1693</v>
      </c>
      <c r="B1696" s="78" t="str">
        <f t="shared" si="43"/>
        <v/>
      </c>
      <c r="K1696" s="87"/>
      <c r="L1696" s="87"/>
      <c r="M1696" s="87"/>
      <c r="N1696" s="87"/>
    </row>
    <row r="1697" s="65" customFormat="1" customHeight="1" spans="1:14">
      <c r="A1697" s="77">
        <v>1694</v>
      </c>
      <c r="B1697" s="78" t="str">
        <f t="shared" si="43"/>
        <v/>
      </c>
      <c r="K1697" s="87"/>
      <c r="L1697" s="87"/>
      <c r="M1697" s="87"/>
      <c r="N1697" s="87"/>
    </row>
    <row r="1698" s="65" customFormat="1" customHeight="1" spans="1:14">
      <c r="A1698" s="77">
        <v>1695</v>
      </c>
      <c r="B1698" s="78" t="str">
        <f t="shared" si="43"/>
        <v/>
      </c>
      <c r="K1698" s="87"/>
      <c r="L1698" s="87"/>
      <c r="M1698" s="87"/>
      <c r="N1698" s="87"/>
    </row>
    <row r="1699" s="65" customFormat="1" customHeight="1" spans="1:14">
      <c r="A1699" s="77">
        <v>1696</v>
      </c>
      <c r="B1699" s="78" t="str">
        <f t="shared" si="43"/>
        <v/>
      </c>
      <c r="K1699" s="87"/>
      <c r="L1699" s="87"/>
      <c r="M1699" s="87"/>
      <c r="N1699" s="87"/>
    </row>
    <row r="1700" s="65" customFormat="1" customHeight="1" spans="1:14">
      <c r="A1700" s="77">
        <v>1697</v>
      </c>
      <c r="B1700" s="78" t="str">
        <f t="shared" si="43"/>
        <v/>
      </c>
      <c r="K1700" s="87"/>
      <c r="L1700" s="87"/>
      <c r="M1700" s="87"/>
      <c r="N1700" s="87"/>
    </row>
    <row r="1701" s="65" customFormat="1" customHeight="1" spans="1:14">
      <c r="A1701" s="77">
        <v>1698</v>
      </c>
      <c r="B1701" s="78" t="str">
        <f t="shared" si="43"/>
        <v/>
      </c>
      <c r="K1701" s="87"/>
      <c r="L1701" s="87"/>
      <c r="M1701" s="87"/>
      <c r="N1701" s="87"/>
    </row>
    <row r="1702" s="65" customFormat="1" customHeight="1" spans="1:14">
      <c r="A1702" s="77">
        <v>1699</v>
      </c>
      <c r="B1702" s="78" t="str">
        <f t="shared" si="43"/>
        <v/>
      </c>
      <c r="K1702" s="87"/>
      <c r="L1702" s="87"/>
      <c r="M1702" s="87"/>
      <c r="N1702" s="87"/>
    </row>
    <row r="1703" s="65" customFormat="1" customHeight="1" spans="1:14">
      <c r="A1703" s="77">
        <v>1700</v>
      </c>
      <c r="B1703" s="78" t="str">
        <f t="shared" si="43"/>
        <v/>
      </c>
      <c r="K1703" s="87"/>
      <c r="L1703" s="87"/>
      <c r="M1703" s="87"/>
      <c r="N1703" s="87"/>
    </row>
    <row r="1704" s="65" customFormat="1" customHeight="1" spans="1:14">
      <c r="A1704" s="77">
        <v>1701</v>
      </c>
      <c r="B1704" s="78" t="str">
        <f t="shared" si="43"/>
        <v/>
      </c>
      <c r="K1704" s="87"/>
      <c r="L1704" s="87"/>
      <c r="M1704" s="87"/>
      <c r="N1704" s="87"/>
    </row>
    <row r="1705" s="65" customFormat="1" customHeight="1" spans="1:14">
      <c r="A1705" s="77">
        <v>1702</v>
      </c>
      <c r="B1705" s="78" t="str">
        <f t="shared" si="43"/>
        <v/>
      </c>
      <c r="K1705" s="87"/>
      <c r="L1705" s="87"/>
      <c r="M1705" s="87"/>
      <c r="N1705" s="87"/>
    </row>
    <row r="1706" s="65" customFormat="1" customHeight="1" spans="1:14">
      <c r="A1706" s="77">
        <v>1703</v>
      </c>
      <c r="B1706" s="78" t="str">
        <f t="shared" si="43"/>
        <v/>
      </c>
      <c r="K1706" s="87"/>
      <c r="L1706" s="87"/>
      <c r="M1706" s="87"/>
      <c r="N1706" s="87"/>
    </row>
    <row r="1707" s="65" customFormat="1" customHeight="1" spans="1:14">
      <c r="A1707" s="77">
        <v>1704</v>
      </c>
      <c r="B1707" s="78" t="str">
        <f t="shared" si="43"/>
        <v/>
      </c>
      <c r="K1707" s="87"/>
      <c r="L1707" s="87"/>
      <c r="M1707" s="87"/>
      <c r="N1707" s="87"/>
    </row>
    <row r="1708" s="65" customFormat="1" customHeight="1" spans="1:14">
      <c r="A1708" s="77">
        <v>1705</v>
      </c>
      <c r="B1708" s="78" t="str">
        <f t="shared" si="43"/>
        <v/>
      </c>
      <c r="K1708" s="87"/>
      <c r="L1708" s="87"/>
      <c r="M1708" s="87"/>
      <c r="N1708" s="87"/>
    </row>
    <row r="1709" s="65" customFormat="1" customHeight="1" spans="1:14">
      <c r="A1709" s="77">
        <v>1706</v>
      </c>
      <c r="B1709" s="78" t="str">
        <f t="shared" si="43"/>
        <v/>
      </c>
      <c r="K1709" s="87"/>
      <c r="L1709" s="87"/>
      <c r="M1709" s="87"/>
      <c r="N1709" s="87"/>
    </row>
    <row r="1710" s="65" customFormat="1" customHeight="1" spans="1:14">
      <c r="A1710" s="77">
        <v>1707</v>
      </c>
      <c r="B1710" s="78" t="str">
        <f t="shared" si="43"/>
        <v/>
      </c>
      <c r="K1710" s="87"/>
      <c r="L1710" s="87"/>
      <c r="M1710" s="87"/>
      <c r="N1710" s="87"/>
    </row>
    <row r="1711" s="65" customFormat="1" customHeight="1" spans="1:14">
      <c r="A1711" s="77">
        <v>1708</v>
      </c>
      <c r="B1711" s="78" t="str">
        <f t="shared" si="43"/>
        <v/>
      </c>
      <c r="K1711" s="87"/>
      <c r="L1711" s="87"/>
      <c r="M1711" s="87"/>
      <c r="N1711" s="87"/>
    </row>
    <row r="1712" s="65" customFormat="1" customHeight="1" spans="1:14">
      <c r="A1712" s="77">
        <v>1709</v>
      </c>
      <c r="B1712" s="78" t="str">
        <f t="shared" si="43"/>
        <v/>
      </c>
      <c r="K1712" s="87"/>
      <c r="L1712" s="87"/>
      <c r="M1712" s="87"/>
      <c r="N1712" s="87"/>
    </row>
    <row r="1713" s="65" customFormat="1" customHeight="1" spans="1:14">
      <c r="A1713" s="77">
        <v>1710</v>
      </c>
      <c r="B1713" s="78" t="str">
        <f t="shared" si="43"/>
        <v/>
      </c>
      <c r="K1713" s="87"/>
      <c r="L1713" s="87"/>
      <c r="M1713" s="87"/>
      <c r="N1713" s="87"/>
    </row>
    <row r="1714" s="65" customFormat="1" customHeight="1" spans="1:14">
      <c r="A1714" s="77">
        <v>1711</v>
      </c>
      <c r="B1714" s="78" t="str">
        <f t="shared" si="43"/>
        <v/>
      </c>
      <c r="K1714" s="87"/>
      <c r="L1714" s="87"/>
      <c r="M1714" s="87"/>
      <c r="N1714" s="87"/>
    </row>
    <row r="1715" s="65" customFormat="1" customHeight="1" spans="1:14">
      <c r="A1715" s="77">
        <v>1712</v>
      </c>
      <c r="B1715" s="78" t="str">
        <f t="shared" si="43"/>
        <v/>
      </c>
      <c r="K1715" s="87"/>
      <c r="L1715" s="87"/>
      <c r="M1715" s="87"/>
      <c r="N1715" s="87"/>
    </row>
    <row r="1716" s="65" customFormat="1" customHeight="1" spans="1:14">
      <c r="A1716" s="77">
        <v>1713</v>
      </c>
      <c r="B1716" s="78" t="str">
        <f t="shared" si="43"/>
        <v/>
      </c>
      <c r="K1716" s="87"/>
      <c r="L1716" s="87"/>
      <c r="M1716" s="87"/>
      <c r="N1716" s="87"/>
    </row>
    <row r="1717" s="65" customFormat="1" customHeight="1" spans="1:14">
      <c r="A1717" s="77">
        <v>1714</v>
      </c>
      <c r="B1717" s="78" t="str">
        <f t="shared" si="43"/>
        <v/>
      </c>
      <c r="K1717" s="87"/>
      <c r="L1717" s="87"/>
      <c r="M1717" s="87"/>
      <c r="N1717" s="87"/>
    </row>
    <row r="1718" s="65" customFormat="1" customHeight="1" spans="1:14">
      <c r="A1718" s="77">
        <v>1715</v>
      </c>
      <c r="B1718" s="78" t="str">
        <f t="shared" si="43"/>
        <v/>
      </c>
      <c r="K1718" s="87"/>
      <c r="L1718" s="87"/>
      <c r="M1718" s="87"/>
      <c r="N1718" s="87"/>
    </row>
    <row r="1719" s="65" customFormat="1" customHeight="1" spans="1:14">
      <c r="A1719" s="77">
        <v>1716</v>
      </c>
      <c r="B1719" s="78" t="str">
        <f t="shared" si="43"/>
        <v/>
      </c>
      <c r="K1719" s="87"/>
      <c r="L1719" s="87"/>
      <c r="M1719" s="87"/>
      <c r="N1719" s="87"/>
    </row>
    <row r="1720" s="65" customFormat="1" customHeight="1" spans="1:14">
      <c r="A1720" s="77">
        <v>1717</v>
      </c>
      <c r="B1720" s="78" t="str">
        <f t="shared" si="43"/>
        <v/>
      </c>
      <c r="K1720" s="87"/>
      <c r="L1720" s="87"/>
      <c r="M1720" s="87"/>
      <c r="N1720" s="87"/>
    </row>
    <row r="1721" s="65" customFormat="1" customHeight="1" spans="1:14">
      <c r="A1721" s="77">
        <v>1718</v>
      </c>
      <c r="B1721" s="78" t="str">
        <f t="shared" si="43"/>
        <v/>
      </c>
      <c r="K1721" s="87"/>
      <c r="L1721" s="87"/>
      <c r="M1721" s="87"/>
      <c r="N1721" s="87"/>
    </row>
    <row r="1722" s="65" customFormat="1" customHeight="1" spans="1:14">
      <c r="A1722" s="77">
        <v>1719</v>
      </c>
      <c r="B1722" s="78" t="str">
        <f t="shared" si="43"/>
        <v/>
      </c>
      <c r="K1722" s="87"/>
      <c r="L1722" s="87"/>
      <c r="M1722" s="87"/>
      <c r="N1722" s="87"/>
    </row>
    <row r="1723" s="65" customFormat="1" customHeight="1" spans="1:14">
      <c r="A1723" s="77">
        <v>1720</v>
      </c>
      <c r="B1723" s="78" t="str">
        <f t="shared" si="43"/>
        <v/>
      </c>
      <c r="K1723" s="87"/>
      <c r="L1723" s="87"/>
      <c r="M1723" s="87"/>
      <c r="N1723" s="87"/>
    </row>
    <row r="1724" s="65" customFormat="1" customHeight="1" spans="1:14">
      <c r="A1724" s="77">
        <v>1721</v>
      </c>
      <c r="B1724" s="78" t="str">
        <f t="shared" si="43"/>
        <v/>
      </c>
      <c r="K1724" s="87"/>
      <c r="L1724" s="87"/>
      <c r="M1724" s="87"/>
      <c r="N1724" s="87"/>
    </row>
    <row r="1725" s="65" customFormat="1" customHeight="1" spans="1:14">
      <c r="A1725" s="77">
        <v>1722</v>
      </c>
      <c r="B1725" s="78" t="str">
        <f t="shared" si="43"/>
        <v/>
      </c>
      <c r="K1725" s="87"/>
      <c r="L1725" s="87"/>
      <c r="M1725" s="87"/>
      <c r="N1725" s="87"/>
    </row>
    <row r="1726" s="65" customFormat="1" customHeight="1" spans="1:14">
      <c r="A1726" s="77">
        <v>1723</v>
      </c>
      <c r="B1726" s="78" t="str">
        <f t="shared" si="43"/>
        <v/>
      </c>
      <c r="K1726" s="87"/>
      <c r="L1726" s="87"/>
      <c r="M1726" s="87"/>
      <c r="N1726" s="87"/>
    </row>
    <row r="1727" s="65" customFormat="1" customHeight="1" spans="1:14">
      <c r="A1727" s="77">
        <v>1724</v>
      </c>
      <c r="B1727" s="78" t="str">
        <f t="shared" si="43"/>
        <v/>
      </c>
      <c r="K1727" s="87"/>
      <c r="L1727" s="87"/>
      <c r="M1727" s="87"/>
      <c r="N1727" s="87"/>
    </row>
    <row r="1728" s="65" customFormat="1" customHeight="1" spans="1:14">
      <c r="A1728" s="77">
        <v>1725</v>
      </c>
      <c r="B1728" s="78" t="str">
        <f t="shared" si="43"/>
        <v/>
      </c>
      <c r="K1728" s="87"/>
      <c r="L1728" s="87"/>
      <c r="M1728" s="87"/>
      <c r="N1728" s="87"/>
    </row>
    <row r="1729" s="65" customFormat="1" customHeight="1" spans="1:14">
      <c r="A1729" s="77">
        <v>1726</v>
      </c>
      <c r="B1729" s="78" t="str">
        <f t="shared" si="43"/>
        <v/>
      </c>
      <c r="K1729" s="87"/>
      <c r="L1729" s="87"/>
      <c r="M1729" s="87"/>
      <c r="N1729" s="87"/>
    </row>
    <row r="1730" s="65" customFormat="1" customHeight="1" spans="1:14">
      <c r="A1730" s="77">
        <v>1727</v>
      </c>
      <c r="B1730" s="78" t="str">
        <f t="shared" si="43"/>
        <v/>
      </c>
      <c r="K1730" s="87"/>
      <c r="L1730" s="87"/>
      <c r="M1730" s="87"/>
      <c r="N1730" s="87"/>
    </row>
    <row r="1731" s="65" customFormat="1" customHeight="1" spans="1:14">
      <c r="A1731" s="77">
        <v>1728</v>
      </c>
      <c r="B1731" s="78" t="str">
        <f t="shared" si="43"/>
        <v/>
      </c>
      <c r="K1731" s="87"/>
      <c r="L1731" s="87"/>
      <c r="M1731" s="87"/>
      <c r="N1731" s="87"/>
    </row>
    <row r="1732" s="65" customFormat="1" customHeight="1" spans="1:14">
      <c r="A1732" s="77">
        <v>1729</v>
      </c>
      <c r="B1732" s="78" t="str">
        <f t="shared" si="43"/>
        <v/>
      </c>
      <c r="K1732" s="87"/>
      <c r="L1732" s="87"/>
      <c r="M1732" s="87"/>
      <c r="N1732" s="87"/>
    </row>
    <row r="1733" s="65" customFormat="1" customHeight="1" spans="1:14">
      <c r="A1733" s="77">
        <v>1730</v>
      </c>
      <c r="B1733" s="78" t="str">
        <f t="shared" ref="B1733:B1741" si="44">+C1733&amp;E1733</f>
        <v/>
      </c>
      <c r="K1733" s="87"/>
      <c r="L1733" s="87"/>
      <c r="M1733" s="87"/>
      <c r="N1733" s="87"/>
    </row>
    <row r="1734" s="65" customFormat="1" customHeight="1" spans="1:14">
      <c r="A1734" s="77">
        <v>1731</v>
      </c>
      <c r="B1734" s="78" t="str">
        <f t="shared" si="44"/>
        <v/>
      </c>
      <c r="K1734" s="87"/>
      <c r="L1734" s="87"/>
      <c r="M1734" s="87"/>
      <c r="N1734" s="87"/>
    </row>
    <row r="1735" s="65" customFormat="1" customHeight="1" spans="1:14">
      <c r="A1735" s="77">
        <v>1732</v>
      </c>
      <c r="B1735" s="78" t="str">
        <f t="shared" si="44"/>
        <v/>
      </c>
      <c r="K1735" s="87"/>
      <c r="L1735" s="87"/>
      <c r="M1735" s="87"/>
      <c r="N1735" s="87"/>
    </row>
    <row r="1736" s="65" customFormat="1" customHeight="1" spans="1:14">
      <c r="A1736" s="77">
        <v>1733</v>
      </c>
      <c r="B1736" s="78" t="str">
        <f t="shared" si="44"/>
        <v/>
      </c>
      <c r="K1736" s="87"/>
      <c r="L1736" s="87"/>
      <c r="M1736" s="87"/>
      <c r="N1736" s="87"/>
    </row>
    <row r="1737" s="65" customFormat="1" customHeight="1" spans="1:14">
      <c r="A1737" s="77">
        <v>1734</v>
      </c>
      <c r="B1737" s="78" t="str">
        <f t="shared" si="44"/>
        <v/>
      </c>
      <c r="K1737" s="87"/>
      <c r="L1737" s="87"/>
      <c r="M1737" s="87"/>
      <c r="N1737" s="87"/>
    </row>
    <row r="1738" s="65" customFormat="1" customHeight="1" spans="1:14">
      <c r="A1738" s="77">
        <v>1735</v>
      </c>
      <c r="B1738" s="78" t="str">
        <f t="shared" si="44"/>
        <v/>
      </c>
      <c r="K1738" s="87"/>
      <c r="L1738" s="87"/>
      <c r="M1738" s="87"/>
      <c r="N1738" s="87"/>
    </row>
    <row r="1739" s="65" customFormat="1" customHeight="1" spans="1:14">
      <c r="A1739" s="77">
        <v>1736</v>
      </c>
      <c r="B1739" s="78" t="str">
        <f t="shared" si="44"/>
        <v/>
      </c>
      <c r="K1739" s="87"/>
      <c r="L1739" s="87"/>
      <c r="M1739" s="87"/>
      <c r="N1739" s="87"/>
    </row>
    <row r="1740" s="65" customFormat="1" customHeight="1" spans="1:14">
      <c r="A1740" s="77">
        <v>1737</v>
      </c>
      <c r="B1740" s="78" t="str">
        <f t="shared" si="44"/>
        <v/>
      </c>
      <c r="K1740" s="87"/>
      <c r="L1740" s="87"/>
      <c r="M1740" s="87"/>
      <c r="N1740" s="87"/>
    </row>
    <row r="1741" s="65" customFormat="1" customHeight="1" spans="1:14">
      <c r="A1741" s="77">
        <v>1738</v>
      </c>
      <c r="B1741" s="78" t="str">
        <f t="shared" si="44"/>
        <v/>
      </c>
      <c r="K1741" s="87"/>
      <c r="L1741" s="87"/>
      <c r="M1741" s="87"/>
      <c r="N1741" s="87"/>
    </row>
    <row r="1742" s="65" customFormat="1" customHeight="1" spans="1:14">
      <c r="A1742" s="77">
        <v>1739</v>
      </c>
      <c r="B1742" s="78" t="str">
        <f t="shared" ref="B1742:B1805" si="45">+C1742&amp;E1742</f>
        <v/>
      </c>
      <c r="K1742" s="87"/>
      <c r="L1742" s="87"/>
      <c r="M1742" s="87"/>
      <c r="N1742" s="87"/>
    </row>
    <row r="1743" s="65" customFormat="1" customHeight="1" spans="1:14">
      <c r="A1743" s="77">
        <v>1740</v>
      </c>
      <c r="B1743" s="78" t="str">
        <f t="shared" si="45"/>
        <v/>
      </c>
      <c r="K1743" s="87"/>
      <c r="L1743" s="87"/>
      <c r="M1743" s="87"/>
      <c r="N1743" s="87"/>
    </row>
    <row r="1744" s="65" customFormat="1" customHeight="1" spans="1:14">
      <c r="A1744" s="77">
        <v>1741</v>
      </c>
      <c r="B1744" s="78" t="str">
        <f t="shared" si="45"/>
        <v/>
      </c>
      <c r="K1744" s="87"/>
      <c r="L1744" s="87"/>
      <c r="M1744" s="87"/>
      <c r="N1744" s="87"/>
    </row>
    <row r="1745" s="65" customFormat="1" customHeight="1" spans="1:14">
      <c r="A1745" s="77">
        <v>1742</v>
      </c>
      <c r="B1745" s="78" t="str">
        <f t="shared" si="45"/>
        <v/>
      </c>
      <c r="K1745" s="87"/>
      <c r="L1745" s="87"/>
      <c r="M1745" s="87"/>
      <c r="N1745" s="87"/>
    </row>
    <row r="1746" s="65" customFormat="1" customHeight="1" spans="1:14">
      <c r="A1746" s="77">
        <v>1743</v>
      </c>
      <c r="B1746" s="78" t="str">
        <f t="shared" si="45"/>
        <v/>
      </c>
      <c r="K1746" s="87"/>
      <c r="L1746" s="87"/>
      <c r="M1746" s="87"/>
      <c r="N1746" s="87"/>
    </row>
    <row r="1747" s="65" customFormat="1" customHeight="1" spans="1:14">
      <c r="A1747" s="77">
        <v>1744</v>
      </c>
      <c r="B1747" s="78" t="str">
        <f t="shared" si="45"/>
        <v/>
      </c>
      <c r="K1747" s="87"/>
      <c r="L1747" s="87"/>
      <c r="M1747" s="87"/>
      <c r="N1747" s="87"/>
    </row>
    <row r="1748" s="65" customFormat="1" customHeight="1" spans="1:14">
      <c r="A1748" s="77">
        <v>1745</v>
      </c>
      <c r="B1748" s="78" t="str">
        <f t="shared" si="45"/>
        <v/>
      </c>
      <c r="K1748" s="87"/>
      <c r="L1748" s="87"/>
      <c r="M1748" s="87"/>
      <c r="N1748" s="87"/>
    </row>
    <row r="1749" s="65" customFormat="1" customHeight="1" spans="1:14">
      <c r="A1749" s="77">
        <v>1746</v>
      </c>
      <c r="B1749" s="78" t="str">
        <f t="shared" si="45"/>
        <v/>
      </c>
      <c r="K1749" s="87"/>
      <c r="L1749" s="87"/>
      <c r="M1749" s="87"/>
      <c r="N1749" s="87"/>
    </row>
    <row r="1750" s="65" customFormat="1" customHeight="1" spans="1:14">
      <c r="A1750" s="77">
        <v>1747</v>
      </c>
      <c r="B1750" s="78" t="str">
        <f t="shared" si="45"/>
        <v/>
      </c>
      <c r="K1750" s="87"/>
      <c r="L1750" s="87"/>
      <c r="M1750" s="87"/>
      <c r="N1750" s="87"/>
    </row>
    <row r="1751" s="65" customFormat="1" customHeight="1" spans="1:14">
      <c r="A1751" s="77">
        <v>1748</v>
      </c>
      <c r="B1751" s="78" t="str">
        <f t="shared" si="45"/>
        <v/>
      </c>
      <c r="K1751" s="87"/>
      <c r="L1751" s="87"/>
      <c r="M1751" s="87"/>
      <c r="N1751" s="87"/>
    </row>
    <row r="1752" s="65" customFormat="1" customHeight="1" spans="1:14">
      <c r="A1752" s="77">
        <v>1749</v>
      </c>
      <c r="B1752" s="78" t="str">
        <f t="shared" si="45"/>
        <v/>
      </c>
      <c r="K1752" s="87"/>
      <c r="L1752" s="87"/>
      <c r="M1752" s="87"/>
      <c r="N1752" s="87"/>
    </row>
    <row r="1753" s="65" customFormat="1" customHeight="1" spans="1:14">
      <c r="A1753" s="77">
        <v>1750</v>
      </c>
      <c r="B1753" s="78" t="str">
        <f t="shared" si="45"/>
        <v/>
      </c>
      <c r="K1753" s="87"/>
      <c r="L1753" s="87"/>
      <c r="M1753" s="87"/>
      <c r="N1753" s="87"/>
    </row>
    <row r="1754" s="65" customFormat="1" customHeight="1" spans="1:14">
      <c r="A1754" s="77">
        <v>1751</v>
      </c>
      <c r="B1754" s="78" t="str">
        <f t="shared" si="45"/>
        <v/>
      </c>
      <c r="K1754" s="87"/>
      <c r="L1754" s="87"/>
      <c r="M1754" s="87"/>
      <c r="N1754" s="87"/>
    </row>
    <row r="1755" s="65" customFormat="1" customHeight="1" spans="1:14">
      <c r="A1755" s="77">
        <v>1752</v>
      </c>
      <c r="B1755" s="78" t="str">
        <f t="shared" si="45"/>
        <v/>
      </c>
      <c r="K1755" s="87"/>
      <c r="L1755" s="87"/>
      <c r="M1755" s="87"/>
      <c r="N1755" s="87"/>
    </row>
    <row r="1756" s="65" customFormat="1" customHeight="1" spans="1:14">
      <c r="A1756" s="77">
        <v>1753</v>
      </c>
      <c r="B1756" s="78" t="str">
        <f t="shared" si="45"/>
        <v/>
      </c>
      <c r="K1756" s="87"/>
      <c r="L1756" s="87"/>
      <c r="M1756" s="87"/>
      <c r="N1756" s="87"/>
    </row>
    <row r="1757" s="65" customFormat="1" customHeight="1" spans="1:14">
      <c r="A1757" s="77">
        <v>1754</v>
      </c>
      <c r="B1757" s="78" t="str">
        <f t="shared" si="45"/>
        <v/>
      </c>
      <c r="K1757" s="87"/>
      <c r="L1757" s="87"/>
      <c r="M1757" s="87"/>
      <c r="N1757" s="87"/>
    </row>
    <row r="1758" s="65" customFormat="1" customHeight="1" spans="1:14">
      <c r="A1758" s="77">
        <v>1755</v>
      </c>
      <c r="B1758" s="78" t="str">
        <f t="shared" si="45"/>
        <v/>
      </c>
      <c r="K1758" s="87"/>
      <c r="L1758" s="87"/>
      <c r="M1758" s="87"/>
      <c r="N1758" s="87"/>
    </row>
    <row r="1759" s="65" customFormat="1" customHeight="1" spans="1:14">
      <c r="A1759" s="77">
        <v>1756</v>
      </c>
      <c r="B1759" s="78" t="str">
        <f t="shared" si="45"/>
        <v/>
      </c>
      <c r="K1759" s="87"/>
      <c r="L1759" s="87"/>
      <c r="M1759" s="87"/>
      <c r="N1759" s="87"/>
    </row>
    <row r="1760" s="65" customFormat="1" customHeight="1" spans="1:14">
      <c r="A1760" s="77">
        <v>1757</v>
      </c>
      <c r="B1760" s="78" t="str">
        <f t="shared" si="45"/>
        <v/>
      </c>
      <c r="K1760" s="87"/>
      <c r="L1760" s="87"/>
      <c r="M1760" s="87"/>
      <c r="N1760" s="87"/>
    </row>
    <row r="1761" s="65" customFormat="1" customHeight="1" spans="1:14">
      <c r="A1761" s="77">
        <v>1758</v>
      </c>
      <c r="B1761" s="78" t="str">
        <f t="shared" si="45"/>
        <v/>
      </c>
      <c r="K1761" s="87"/>
      <c r="L1761" s="87"/>
      <c r="M1761" s="87"/>
      <c r="N1761" s="87"/>
    </row>
    <row r="1762" s="65" customFormat="1" customHeight="1" spans="1:14">
      <c r="A1762" s="77">
        <v>1759</v>
      </c>
      <c r="B1762" s="78" t="str">
        <f t="shared" si="45"/>
        <v/>
      </c>
      <c r="K1762" s="87"/>
      <c r="L1762" s="87"/>
      <c r="M1762" s="87"/>
      <c r="N1762" s="87"/>
    </row>
    <row r="1763" s="65" customFormat="1" customHeight="1" spans="1:14">
      <c r="A1763" s="77">
        <v>1760</v>
      </c>
      <c r="B1763" s="78" t="str">
        <f t="shared" si="45"/>
        <v/>
      </c>
      <c r="K1763" s="87"/>
      <c r="L1763" s="87"/>
      <c r="M1763" s="87"/>
      <c r="N1763" s="87"/>
    </row>
    <row r="1764" s="65" customFormat="1" customHeight="1" spans="1:14">
      <c r="A1764" s="77">
        <v>1761</v>
      </c>
      <c r="B1764" s="78" t="str">
        <f t="shared" si="45"/>
        <v/>
      </c>
      <c r="K1764" s="87"/>
      <c r="L1764" s="87"/>
      <c r="M1764" s="87"/>
      <c r="N1764" s="87"/>
    </row>
    <row r="1765" s="65" customFormat="1" customHeight="1" spans="1:14">
      <c r="A1765" s="77">
        <v>1762</v>
      </c>
      <c r="B1765" s="78" t="str">
        <f t="shared" si="45"/>
        <v/>
      </c>
      <c r="K1765" s="87"/>
      <c r="L1765" s="87"/>
      <c r="M1765" s="87"/>
      <c r="N1765" s="87"/>
    </row>
    <row r="1766" s="65" customFormat="1" customHeight="1" spans="1:14">
      <c r="A1766" s="77">
        <v>1763</v>
      </c>
      <c r="B1766" s="78" t="str">
        <f t="shared" si="45"/>
        <v/>
      </c>
      <c r="K1766" s="87"/>
      <c r="L1766" s="87"/>
      <c r="M1766" s="87"/>
      <c r="N1766" s="87"/>
    </row>
    <row r="1767" s="65" customFormat="1" customHeight="1" spans="1:14">
      <c r="A1767" s="77">
        <v>1764</v>
      </c>
      <c r="B1767" s="78" t="str">
        <f t="shared" si="45"/>
        <v/>
      </c>
      <c r="K1767" s="87"/>
      <c r="L1767" s="87"/>
      <c r="M1767" s="87"/>
      <c r="N1767" s="87"/>
    </row>
    <row r="1768" s="65" customFormat="1" customHeight="1" spans="1:14">
      <c r="A1768" s="77">
        <v>1765</v>
      </c>
      <c r="B1768" s="78" t="str">
        <f t="shared" si="45"/>
        <v/>
      </c>
      <c r="K1768" s="87"/>
      <c r="L1768" s="87"/>
      <c r="M1768" s="87"/>
      <c r="N1768" s="87"/>
    </row>
    <row r="1769" s="65" customFormat="1" customHeight="1" spans="1:14">
      <c r="A1769" s="77">
        <v>1766</v>
      </c>
      <c r="B1769" s="78" t="str">
        <f t="shared" si="45"/>
        <v/>
      </c>
      <c r="K1769" s="87"/>
      <c r="L1769" s="87"/>
      <c r="M1769" s="87"/>
      <c r="N1769" s="87"/>
    </row>
    <row r="1770" s="65" customFormat="1" customHeight="1" spans="1:14">
      <c r="A1770" s="77">
        <v>1767</v>
      </c>
      <c r="B1770" s="78" t="str">
        <f t="shared" si="45"/>
        <v/>
      </c>
      <c r="K1770" s="87"/>
      <c r="L1770" s="87"/>
      <c r="M1770" s="87"/>
      <c r="N1770" s="87"/>
    </row>
    <row r="1771" s="65" customFormat="1" customHeight="1" spans="1:14">
      <c r="A1771" s="77">
        <v>1768</v>
      </c>
      <c r="B1771" s="78" t="str">
        <f t="shared" si="45"/>
        <v/>
      </c>
      <c r="K1771" s="87"/>
      <c r="L1771" s="87"/>
      <c r="M1771" s="87"/>
      <c r="N1771" s="87"/>
    </row>
    <row r="1772" s="65" customFormat="1" customHeight="1" spans="1:14">
      <c r="A1772" s="77">
        <v>1769</v>
      </c>
      <c r="B1772" s="78" t="str">
        <f t="shared" si="45"/>
        <v/>
      </c>
      <c r="K1772" s="87"/>
      <c r="L1772" s="87"/>
      <c r="M1772" s="87"/>
      <c r="N1772" s="87"/>
    </row>
    <row r="1773" s="65" customFormat="1" customHeight="1" spans="1:14">
      <c r="A1773" s="77">
        <v>1770</v>
      </c>
      <c r="B1773" s="78" t="str">
        <f t="shared" si="45"/>
        <v/>
      </c>
      <c r="K1773" s="87"/>
      <c r="L1773" s="87"/>
      <c r="M1773" s="87"/>
      <c r="N1773" s="87"/>
    </row>
    <row r="1774" s="65" customFormat="1" customHeight="1" spans="1:14">
      <c r="A1774" s="77">
        <v>1771</v>
      </c>
      <c r="B1774" s="78" t="str">
        <f t="shared" si="45"/>
        <v/>
      </c>
      <c r="K1774" s="87"/>
      <c r="L1774" s="87"/>
      <c r="M1774" s="87"/>
      <c r="N1774" s="87"/>
    </row>
    <row r="1775" s="65" customFormat="1" customHeight="1" spans="1:14">
      <c r="A1775" s="77">
        <v>1772</v>
      </c>
      <c r="B1775" s="78" t="str">
        <f t="shared" si="45"/>
        <v/>
      </c>
      <c r="K1775" s="87"/>
      <c r="L1775" s="87"/>
      <c r="M1775" s="87"/>
      <c r="N1775" s="87"/>
    </row>
    <row r="1776" s="65" customFormat="1" customHeight="1" spans="1:14">
      <c r="A1776" s="77">
        <v>1773</v>
      </c>
      <c r="B1776" s="78" t="str">
        <f t="shared" si="45"/>
        <v/>
      </c>
      <c r="K1776" s="87"/>
      <c r="L1776" s="87"/>
      <c r="M1776" s="87"/>
      <c r="N1776" s="87"/>
    </row>
    <row r="1777" s="65" customFormat="1" customHeight="1" spans="1:14">
      <c r="A1777" s="77">
        <v>1774</v>
      </c>
      <c r="B1777" s="78" t="str">
        <f t="shared" si="45"/>
        <v/>
      </c>
      <c r="K1777" s="87"/>
      <c r="L1777" s="87"/>
      <c r="M1777" s="87"/>
      <c r="N1777" s="87"/>
    </row>
    <row r="1778" s="65" customFormat="1" customHeight="1" spans="1:14">
      <c r="A1778" s="77">
        <v>1775</v>
      </c>
      <c r="B1778" s="78" t="str">
        <f t="shared" si="45"/>
        <v/>
      </c>
      <c r="K1778" s="87"/>
      <c r="L1778" s="87"/>
      <c r="M1778" s="87"/>
      <c r="N1778" s="87"/>
    </row>
    <row r="1779" s="65" customFormat="1" customHeight="1" spans="1:14">
      <c r="A1779" s="77">
        <v>1776</v>
      </c>
      <c r="B1779" s="78" t="str">
        <f t="shared" si="45"/>
        <v/>
      </c>
      <c r="K1779" s="87"/>
      <c r="L1779" s="87"/>
      <c r="M1779" s="87"/>
      <c r="N1779" s="87"/>
    </row>
    <row r="1780" s="65" customFormat="1" customHeight="1" spans="1:14">
      <c r="A1780" s="77">
        <v>1777</v>
      </c>
      <c r="B1780" s="78" t="str">
        <f t="shared" si="45"/>
        <v/>
      </c>
      <c r="K1780" s="87"/>
      <c r="L1780" s="87"/>
      <c r="M1780" s="87"/>
      <c r="N1780" s="87"/>
    </row>
    <row r="1781" s="65" customFormat="1" customHeight="1" spans="1:14">
      <c r="A1781" s="77">
        <v>1778</v>
      </c>
      <c r="B1781" s="78" t="str">
        <f t="shared" si="45"/>
        <v/>
      </c>
      <c r="K1781" s="87"/>
      <c r="L1781" s="87"/>
      <c r="M1781" s="87"/>
      <c r="N1781" s="87"/>
    </row>
    <row r="1782" s="65" customFormat="1" customHeight="1" spans="1:14">
      <c r="A1782" s="77">
        <v>1779</v>
      </c>
      <c r="B1782" s="78" t="str">
        <f t="shared" si="45"/>
        <v/>
      </c>
      <c r="K1782" s="87"/>
      <c r="L1782" s="87"/>
      <c r="M1782" s="87"/>
      <c r="N1782" s="87"/>
    </row>
    <row r="1783" s="65" customFormat="1" customHeight="1" spans="1:14">
      <c r="A1783" s="77">
        <v>1780</v>
      </c>
      <c r="B1783" s="78" t="str">
        <f t="shared" si="45"/>
        <v/>
      </c>
      <c r="K1783" s="87"/>
      <c r="L1783" s="87"/>
      <c r="M1783" s="87"/>
      <c r="N1783" s="87"/>
    </row>
    <row r="1784" s="65" customFormat="1" customHeight="1" spans="1:14">
      <c r="A1784" s="77">
        <v>1781</v>
      </c>
      <c r="B1784" s="78" t="str">
        <f t="shared" si="45"/>
        <v/>
      </c>
      <c r="K1784" s="87"/>
      <c r="L1784" s="87"/>
      <c r="M1784" s="87"/>
      <c r="N1784" s="87"/>
    </row>
    <row r="1785" s="65" customFormat="1" customHeight="1" spans="1:14">
      <c r="A1785" s="77">
        <v>1782</v>
      </c>
      <c r="B1785" s="78" t="str">
        <f t="shared" si="45"/>
        <v/>
      </c>
      <c r="K1785" s="87"/>
      <c r="L1785" s="87"/>
      <c r="M1785" s="87"/>
      <c r="N1785" s="87"/>
    </row>
    <row r="1786" s="65" customFormat="1" customHeight="1" spans="1:14">
      <c r="A1786" s="77">
        <v>1783</v>
      </c>
      <c r="B1786" s="78" t="str">
        <f t="shared" si="45"/>
        <v/>
      </c>
      <c r="K1786" s="87"/>
      <c r="L1786" s="87"/>
      <c r="M1786" s="87"/>
      <c r="N1786" s="87"/>
    </row>
    <row r="1787" s="65" customFormat="1" customHeight="1" spans="1:14">
      <c r="A1787" s="77">
        <v>1784</v>
      </c>
      <c r="B1787" s="78" t="str">
        <f t="shared" si="45"/>
        <v/>
      </c>
      <c r="K1787" s="87"/>
      <c r="L1787" s="87"/>
      <c r="M1787" s="87"/>
      <c r="N1787" s="87"/>
    </row>
    <row r="1788" s="65" customFormat="1" customHeight="1" spans="1:14">
      <c r="A1788" s="77">
        <v>1785</v>
      </c>
      <c r="B1788" s="78" t="str">
        <f t="shared" si="45"/>
        <v/>
      </c>
      <c r="K1788" s="87"/>
      <c r="L1788" s="87"/>
      <c r="M1788" s="87"/>
      <c r="N1788" s="87"/>
    </row>
    <row r="1789" s="65" customFormat="1" customHeight="1" spans="1:14">
      <c r="A1789" s="77">
        <v>1786</v>
      </c>
      <c r="B1789" s="78" t="str">
        <f t="shared" si="45"/>
        <v/>
      </c>
      <c r="K1789" s="87"/>
      <c r="L1789" s="87"/>
      <c r="M1789" s="87"/>
      <c r="N1789" s="87"/>
    </row>
    <row r="1790" s="65" customFormat="1" customHeight="1" spans="1:14">
      <c r="A1790" s="77">
        <v>1787</v>
      </c>
      <c r="B1790" s="78" t="str">
        <f t="shared" si="45"/>
        <v/>
      </c>
      <c r="K1790" s="87"/>
      <c r="L1790" s="87"/>
      <c r="M1790" s="87"/>
      <c r="N1790" s="87"/>
    </row>
    <row r="1791" s="65" customFormat="1" customHeight="1" spans="1:14">
      <c r="A1791" s="77">
        <v>1788</v>
      </c>
      <c r="B1791" s="78" t="str">
        <f t="shared" si="45"/>
        <v/>
      </c>
      <c r="K1791" s="87"/>
      <c r="L1791" s="87"/>
      <c r="M1791" s="87"/>
      <c r="N1791" s="87"/>
    </row>
    <row r="1792" s="65" customFormat="1" customHeight="1" spans="1:14">
      <c r="A1792" s="77">
        <v>1789</v>
      </c>
      <c r="B1792" s="78" t="str">
        <f t="shared" si="45"/>
        <v/>
      </c>
      <c r="K1792" s="87"/>
      <c r="L1792" s="87"/>
      <c r="M1792" s="87"/>
      <c r="N1792" s="87"/>
    </row>
    <row r="1793" s="65" customFormat="1" customHeight="1" spans="1:14">
      <c r="A1793" s="77">
        <v>1790</v>
      </c>
      <c r="B1793" s="78" t="str">
        <f t="shared" si="45"/>
        <v/>
      </c>
      <c r="K1793" s="87"/>
      <c r="L1793" s="87"/>
      <c r="M1793" s="87"/>
      <c r="N1793" s="87"/>
    </row>
    <row r="1794" s="65" customFormat="1" customHeight="1" spans="1:14">
      <c r="A1794" s="77">
        <v>1791</v>
      </c>
      <c r="B1794" s="78" t="str">
        <f t="shared" si="45"/>
        <v/>
      </c>
      <c r="K1794" s="87"/>
      <c r="L1794" s="87"/>
      <c r="M1794" s="87"/>
      <c r="N1794" s="87"/>
    </row>
    <row r="1795" s="65" customFormat="1" customHeight="1" spans="1:14">
      <c r="A1795" s="77">
        <v>1792</v>
      </c>
      <c r="B1795" s="78" t="str">
        <f t="shared" si="45"/>
        <v/>
      </c>
      <c r="K1795" s="87"/>
      <c r="L1795" s="87"/>
      <c r="M1795" s="87"/>
      <c r="N1795" s="87"/>
    </row>
    <row r="1796" s="65" customFormat="1" customHeight="1" spans="1:14">
      <c r="A1796" s="77">
        <v>1793</v>
      </c>
      <c r="B1796" s="78" t="str">
        <f t="shared" si="45"/>
        <v/>
      </c>
      <c r="K1796" s="87"/>
      <c r="L1796" s="87"/>
      <c r="M1796" s="87"/>
      <c r="N1796" s="87"/>
    </row>
    <row r="1797" s="65" customFormat="1" customHeight="1" spans="1:14">
      <c r="A1797" s="77">
        <v>1794</v>
      </c>
      <c r="B1797" s="78" t="str">
        <f t="shared" si="45"/>
        <v/>
      </c>
      <c r="K1797" s="87"/>
      <c r="L1797" s="87"/>
      <c r="M1797" s="87"/>
      <c r="N1797" s="87"/>
    </row>
    <row r="1798" s="65" customFormat="1" customHeight="1" spans="1:14">
      <c r="A1798" s="77">
        <v>1795</v>
      </c>
      <c r="B1798" s="78" t="str">
        <f t="shared" si="45"/>
        <v/>
      </c>
      <c r="K1798" s="87"/>
      <c r="L1798" s="87"/>
      <c r="M1798" s="87"/>
      <c r="N1798" s="87"/>
    </row>
    <row r="1799" s="65" customFormat="1" customHeight="1" spans="1:14">
      <c r="A1799" s="77">
        <v>1796</v>
      </c>
      <c r="B1799" s="78" t="str">
        <f t="shared" si="45"/>
        <v/>
      </c>
      <c r="K1799" s="87"/>
      <c r="L1799" s="87"/>
      <c r="M1799" s="87"/>
      <c r="N1799" s="87"/>
    </row>
    <row r="1800" s="65" customFormat="1" customHeight="1" spans="1:14">
      <c r="A1800" s="77">
        <v>1797</v>
      </c>
      <c r="B1800" s="78" t="str">
        <f t="shared" si="45"/>
        <v/>
      </c>
      <c r="K1800" s="87"/>
      <c r="L1800" s="87"/>
      <c r="M1800" s="87"/>
      <c r="N1800" s="87"/>
    </row>
    <row r="1801" s="65" customFormat="1" customHeight="1" spans="1:14">
      <c r="A1801" s="77">
        <v>1798</v>
      </c>
      <c r="B1801" s="78" t="str">
        <f t="shared" si="45"/>
        <v/>
      </c>
      <c r="K1801" s="87"/>
      <c r="L1801" s="87"/>
      <c r="M1801" s="87"/>
      <c r="N1801" s="87"/>
    </row>
    <row r="1802" s="65" customFormat="1" customHeight="1" spans="1:14">
      <c r="A1802" s="77">
        <v>1799</v>
      </c>
      <c r="B1802" s="78" t="str">
        <f t="shared" si="45"/>
        <v/>
      </c>
      <c r="K1802" s="87"/>
      <c r="L1802" s="87"/>
      <c r="M1802" s="87"/>
      <c r="N1802" s="87"/>
    </row>
    <row r="1803" s="65" customFormat="1" customHeight="1" spans="1:14">
      <c r="A1803" s="77">
        <v>1800</v>
      </c>
      <c r="B1803" s="78" t="str">
        <f t="shared" si="45"/>
        <v/>
      </c>
      <c r="K1803" s="87"/>
      <c r="L1803" s="87"/>
      <c r="M1803" s="87"/>
      <c r="N1803" s="87"/>
    </row>
    <row r="1804" s="65" customFormat="1" customHeight="1" spans="1:14">
      <c r="A1804" s="77">
        <v>1801</v>
      </c>
      <c r="B1804" s="78" t="str">
        <f t="shared" si="45"/>
        <v/>
      </c>
      <c r="K1804" s="87"/>
      <c r="L1804" s="87"/>
      <c r="M1804" s="87"/>
      <c r="N1804" s="87"/>
    </row>
    <row r="1805" s="65" customFormat="1" customHeight="1" spans="1:14">
      <c r="A1805" s="77">
        <v>1802</v>
      </c>
      <c r="B1805" s="78" t="str">
        <f t="shared" si="45"/>
        <v/>
      </c>
      <c r="K1805" s="87"/>
      <c r="L1805" s="87"/>
      <c r="M1805" s="87"/>
      <c r="N1805" s="87"/>
    </row>
    <row r="1806" s="65" customFormat="1" customHeight="1" spans="1:14">
      <c r="A1806" s="77">
        <v>1803</v>
      </c>
      <c r="B1806" s="78" t="str">
        <f t="shared" ref="B1806:B1869" si="46">+C1806&amp;E1806</f>
        <v/>
      </c>
      <c r="K1806" s="87"/>
      <c r="L1806" s="87"/>
      <c r="M1806" s="87"/>
      <c r="N1806" s="87"/>
    </row>
    <row r="1807" s="65" customFormat="1" customHeight="1" spans="1:14">
      <c r="A1807" s="77">
        <v>1804</v>
      </c>
      <c r="B1807" s="78" t="str">
        <f t="shared" si="46"/>
        <v/>
      </c>
      <c r="K1807" s="87"/>
      <c r="L1807" s="87"/>
      <c r="M1807" s="87"/>
      <c r="N1807" s="87"/>
    </row>
    <row r="1808" s="65" customFormat="1" customHeight="1" spans="1:14">
      <c r="A1808" s="77">
        <v>1805</v>
      </c>
      <c r="B1808" s="78" t="str">
        <f t="shared" si="46"/>
        <v/>
      </c>
      <c r="K1808" s="87"/>
      <c r="L1808" s="87"/>
      <c r="M1808" s="87"/>
      <c r="N1808" s="87"/>
    </row>
    <row r="1809" s="65" customFormat="1" customHeight="1" spans="1:14">
      <c r="A1809" s="77">
        <v>1806</v>
      </c>
      <c r="B1809" s="78" t="str">
        <f t="shared" si="46"/>
        <v/>
      </c>
      <c r="K1809" s="87"/>
      <c r="L1809" s="87"/>
      <c r="M1809" s="87"/>
      <c r="N1809" s="87"/>
    </row>
    <row r="1810" s="65" customFormat="1" customHeight="1" spans="1:14">
      <c r="A1810" s="77">
        <v>1807</v>
      </c>
      <c r="B1810" s="78" t="str">
        <f t="shared" si="46"/>
        <v/>
      </c>
      <c r="K1810" s="87"/>
      <c r="L1810" s="87"/>
      <c r="M1810" s="87"/>
      <c r="N1810" s="87"/>
    </row>
    <row r="1811" s="65" customFormat="1" customHeight="1" spans="1:14">
      <c r="A1811" s="77">
        <v>1808</v>
      </c>
      <c r="B1811" s="78" t="str">
        <f t="shared" si="46"/>
        <v/>
      </c>
      <c r="K1811" s="87"/>
      <c r="L1811" s="87"/>
      <c r="M1811" s="87"/>
      <c r="N1811" s="87"/>
    </row>
    <row r="1812" s="65" customFormat="1" customHeight="1" spans="1:14">
      <c r="A1812" s="77">
        <v>1809</v>
      </c>
      <c r="B1812" s="78" t="str">
        <f t="shared" si="46"/>
        <v/>
      </c>
      <c r="K1812" s="87"/>
      <c r="L1812" s="87"/>
      <c r="M1812" s="87"/>
      <c r="N1812" s="87"/>
    </row>
    <row r="1813" s="65" customFormat="1" customHeight="1" spans="1:14">
      <c r="A1813" s="77">
        <v>1810</v>
      </c>
      <c r="B1813" s="78" t="str">
        <f t="shared" si="46"/>
        <v/>
      </c>
      <c r="K1813" s="87"/>
      <c r="L1813" s="87"/>
      <c r="M1813" s="87"/>
      <c r="N1813" s="87"/>
    </row>
    <row r="1814" s="65" customFormat="1" customHeight="1" spans="1:14">
      <c r="A1814" s="77">
        <v>1811</v>
      </c>
      <c r="B1814" s="78" t="str">
        <f t="shared" si="46"/>
        <v/>
      </c>
      <c r="K1814" s="87"/>
      <c r="L1814" s="87"/>
      <c r="M1814" s="87"/>
      <c r="N1814" s="87"/>
    </row>
    <row r="1815" s="65" customFormat="1" customHeight="1" spans="1:14">
      <c r="A1815" s="77">
        <v>1812</v>
      </c>
      <c r="B1815" s="78" t="str">
        <f t="shared" si="46"/>
        <v/>
      </c>
      <c r="K1815" s="87"/>
      <c r="L1815" s="87"/>
      <c r="M1815" s="87"/>
      <c r="N1815" s="87"/>
    </row>
    <row r="1816" s="65" customFormat="1" customHeight="1" spans="1:14">
      <c r="A1816" s="77">
        <v>1813</v>
      </c>
      <c r="B1816" s="78" t="str">
        <f t="shared" si="46"/>
        <v/>
      </c>
      <c r="K1816" s="87"/>
      <c r="L1816" s="87"/>
      <c r="M1816" s="87"/>
      <c r="N1816" s="87"/>
    </row>
    <row r="1817" s="65" customFormat="1" customHeight="1" spans="1:14">
      <c r="A1817" s="77">
        <v>1814</v>
      </c>
      <c r="B1817" s="78" t="str">
        <f t="shared" si="46"/>
        <v/>
      </c>
      <c r="K1817" s="87"/>
      <c r="L1817" s="87"/>
      <c r="M1817" s="87"/>
      <c r="N1817" s="87"/>
    </row>
    <row r="1818" s="65" customFormat="1" customHeight="1" spans="1:14">
      <c r="A1818" s="77">
        <v>1815</v>
      </c>
      <c r="B1818" s="78" t="str">
        <f t="shared" si="46"/>
        <v/>
      </c>
      <c r="K1818" s="87"/>
      <c r="L1818" s="87"/>
      <c r="M1818" s="87"/>
      <c r="N1818" s="87"/>
    </row>
    <row r="1819" s="65" customFormat="1" customHeight="1" spans="1:14">
      <c r="A1819" s="77">
        <v>1816</v>
      </c>
      <c r="B1819" s="78" t="str">
        <f t="shared" si="46"/>
        <v/>
      </c>
      <c r="K1819" s="87"/>
      <c r="L1819" s="87"/>
      <c r="M1819" s="87"/>
      <c r="N1819" s="87"/>
    </row>
    <row r="1820" s="65" customFormat="1" customHeight="1" spans="1:14">
      <c r="A1820" s="77">
        <v>1817</v>
      </c>
      <c r="B1820" s="78" t="str">
        <f t="shared" si="46"/>
        <v/>
      </c>
      <c r="K1820" s="87"/>
      <c r="L1820" s="87"/>
      <c r="M1820" s="87"/>
      <c r="N1820" s="87"/>
    </row>
    <row r="1821" s="65" customFormat="1" customHeight="1" spans="1:14">
      <c r="A1821" s="77">
        <v>1818</v>
      </c>
      <c r="B1821" s="78" t="str">
        <f t="shared" si="46"/>
        <v/>
      </c>
      <c r="K1821" s="87"/>
      <c r="L1821" s="87"/>
      <c r="M1821" s="87"/>
      <c r="N1821" s="87"/>
    </row>
    <row r="1822" s="65" customFormat="1" customHeight="1" spans="1:14">
      <c r="A1822" s="77">
        <v>1819</v>
      </c>
      <c r="B1822" s="78" t="str">
        <f t="shared" si="46"/>
        <v/>
      </c>
      <c r="K1822" s="87"/>
      <c r="L1822" s="87"/>
      <c r="M1822" s="87"/>
      <c r="N1822" s="87"/>
    </row>
    <row r="1823" s="65" customFormat="1" customHeight="1" spans="1:14">
      <c r="A1823" s="77">
        <v>1820</v>
      </c>
      <c r="B1823" s="78" t="str">
        <f t="shared" si="46"/>
        <v/>
      </c>
      <c r="K1823" s="87"/>
      <c r="L1823" s="87"/>
      <c r="M1823" s="87"/>
      <c r="N1823" s="87"/>
    </row>
    <row r="1824" s="65" customFormat="1" customHeight="1" spans="1:14">
      <c r="A1824" s="77">
        <v>1821</v>
      </c>
      <c r="B1824" s="78" t="str">
        <f t="shared" si="46"/>
        <v/>
      </c>
      <c r="K1824" s="87"/>
      <c r="L1824" s="87"/>
      <c r="M1824" s="87"/>
      <c r="N1824" s="87"/>
    </row>
    <row r="1825" s="65" customFormat="1" customHeight="1" spans="1:14">
      <c r="A1825" s="77">
        <v>1822</v>
      </c>
      <c r="B1825" s="78" t="str">
        <f t="shared" si="46"/>
        <v/>
      </c>
      <c r="K1825" s="87"/>
      <c r="L1825" s="87"/>
      <c r="M1825" s="87"/>
      <c r="N1825" s="87"/>
    </row>
    <row r="1826" s="65" customFormat="1" customHeight="1" spans="1:14">
      <c r="A1826" s="77">
        <v>1823</v>
      </c>
      <c r="B1826" s="78" t="str">
        <f t="shared" si="46"/>
        <v/>
      </c>
      <c r="K1826" s="87"/>
      <c r="L1826" s="87"/>
      <c r="M1826" s="87"/>
      <c r="N1826" s="87"/>
    </row>
    <row r="1827" s="65" customFormat="1" customHeight="1" spans="1:14">
      <c r="A1827" s="77">
        <v>1824</v>
      </c>
      <c r="B1827" s="78" t="str">
        <f t="shared" si="46"/>
        <v/>
      </c>
      <c r="K1827" s="87"/>
      <c r="L1827" s="87"/>
      <c r="M1827" s="87"/>
      <c r="N1827" s="87"/>
    </row>
    <row r="1828" s="65" customFormat="1" customHeight="1" spans="1:14">
      <c r="A1828" s="77">
        <v>1825</v>
      </c>
      <c r="B1828" s="78" t="str">
        <f t="shared" si="46"/>
        <v/>
      </c>
      <c r="K1828" s="87"/>
      <c r="L1828" s="87"/>
      <c r="M1828" s="87"/>
      <c r="N1828" s="87"/>
    </row>
    <row r="1829" s="65" customFormat="1" customHeight="1" spans="1:14">
      <c r="A1829" s="77">
        <v>1826</v>
      </c>
      <c r="B1829" s="78" t="str">
        <f t="shared" si="46"/>
        <v/>
      </c>
      <c r="K1829" s="87"/>
      <c r="L1829" s="87"/>
      <c r="M1829" s="87"/>
      <c r="N1829" s="87"/>
    </row>
    <row r="1830" s="65" customFormat="1" customHeight="1" spans="1:14">
      <c r="A1830" s="77">
        <v>1827</v>
      </c>
      <c r="B1830" s="78" t="str">
        <f t="shared" si="46"/>
        <v/>
      </c>
      <c r="K1830" s="87"/>
      <c r="L1830" s="87"/>
      <c r="M1830" s="87"/>
      <c r="N1830" s="87"/>
    </row>
    <row r="1831" s="65" customFormat="1" customHeight="1" spans="1:14">
      <c r="A1831" s="77">
        <v>1828</v>
      </c>
      <c r="B1831" s="78" t="str">
        <f t="shared" si="46"/>
        <v/>
      </c>
      <c r="K1831" s="87"/>
      <c r="L1831" s="87"/>
      <c r="M1831" s="87"/>
      <c r="N1831" s="87"/>
    </row>
    <row r="1832" s="65" customFormat="1" customHeight="1" spans="1:14">
      <c r="A1832" s="77">
        <v>1829</v>
      </c>
      <c r="B1832" s="78" t="str">
        <f t="shared" si="46"/>
        <v/>
      </c>
      <c r="K1832" s="87"/>
      <c r="L1832" s="87"/>
      <c r="M1832" s="87"/>
      <c r="N1832" s="87"/>
    </row>
    <row r="1833" s="65" customFormat="1" customHeight="1" spans="1:14">
      <c r="A1833" s="77">
        <v>1830</v>
      </c>
      <c r="B1833" s="78" t="str">
        <f t="shared" si="46"/>
        <v/>
      </c>
      <c r="K1833" s="87"/>
      <c r="L1833" s="87"/>
      <c r="M1833" s="87"/>
      <c r="N1833" s="87"/>
    </row>
    <row r="1834" s="65" customFormat="1" customHeight="1" spans="1:14">
      <c r="A1834" s="77">
        <v>1831</v>
      </c>
      <c r="B1834" s="78" t="str">
        <f t="shared" si="46"/>
        <v/>
      </c>
      <c r="K1834" s="87"/>
      <c r="L1834" s="87"/>
      <c r="M1834" s="87"/>
      <c r="N1834" s="87"/>
    </row>
    <row r="1835" s="65" customFormat="1" customHeight="1" spans="1:14">
      <c r="A1835" s="77">
        <v>1832</v>
      </c>
      <c r="B1835" s="78" t="str">
        <f t="shared" si="46"/>
        <v/>
      </c>
      <c r="K1835" s="87"/>
      <c r="L1835" s="87"/>
      <c r="M1835" s="87"/>
      <c r="N1835" s="87"/>
    </row>
    <row r="1836" s="65" customFormat="1" customHeight="1" spans="1:14">
      <c r="A1836" s="77">
        <v>1833</v>
      </c>
      <c r="B1836" s="78" t="str">
        <f t="shared" si="46"/>
        <v/>
      </c>
      <c r="K1836" s="87"/>
      <c r="L1836" s="87"/>
      <c r="M1836" s="87"/>
      <c r="N1836" s="87"/>
    </row>
    <row r="1837" s="65" customFormat="1" customHeight="1" spans="1:14">
      <c r="A1837" s="77">
        <v>1834</v>
      </c>
      <c r="B1837" s="78" t="str">
        <f t="shared" si="46"/>
        <v/>
      </c>
      <c r="K1837" s="87"/>
      <c r="L1837" s="87"/>
      <c r="M1837" s="87"/>
      <c r="N1837" s="87"/>
    </row>
    <row r="1838" s="65" customFormat="1" customHeight="1" spans="1:14">
      <c r="A1838" s="77">
        <v>1835</v>
      </c>
      <c r="B1838" s="78" t="str">
        <f t="shared" si="46"/>
        <v/>
      </c>
      <c r="K1838" s="87"/>
      <c r="L1838" s="87"/>
      <c r="M1838" s="87"/>
      <c r="N1838" s="87"/>
    </row>
    <row r="1839" s="65" customFormat="1" customHeight="1" spans="1:14">
      <c r="A1839" s="77">
        <v>1836</v>
      </c>
      <c r="B1839" s="78" t="str">
        <f t="shared" si="46"/>
        <v/>
      </c>
      <c r="K1839" s="87"/>
      <c r="L1839" s="87"/>
      <c r="M1839" s="87"/>
      <c r="N1839" s="87"/>
    </row>
    <row r="1840" s="65" customFormat="1" customHeight="1" spans="1:14">
      <c r="A1840" s="77">
        <v>1837</v>
      </c>
      <c r="B1840" s="78" t="str">
        <f t="shared" si="46"/>
        <v/>
      </c>
      <c r="K1840" s="87"/>
      <c r="L1840" s="87"/>
      <c r="M1840" s="87"/>
      <c r="N1840" s="87"/>
    </row>
    <row r="1841" s="65" customFormat="1" customHeight="1" spans="1:14">
      <c r="A1841" s="77">
        <v>1838</v>
      </c>
      <c r="B1841" s="78" t="str">
        <f t="shared" si="46"/>
        <v/>
      </c>
      <c r="K1841" s="87"/>
      <c r="L1841" s="87"/>
      <c r="M1841" s="87"/>
      <c r="N1841" s="87"/>
    </row>
    <row r="1842" s="65" customFormat="1" customHeight="1" spans="1:14">
      <c r="A1842" s="77">
        <v>1839</v>
      </c>
      <c r="B1842" s="78" t="str">
        <f t="shared" si="46"/>
        <v/>
      </c>
      <c r="K1842" s="87"/>
      <c r="L1842" s="87"/>
      <c r="M1842" s="87"/>
      <c r="N1842" s="87"/>
    </row>
    <row r="1843" s="65" customFormat="1" customHeight="1" spans="1:14">
      <c r="A1843" s="77">
        <v>1840</v>
      </c>
      <c r="B1843" s="78" t="str">
        <f t="shared" si="46"/>
        <v/>
      </c>
      <c r="K1843" s="87"/>
      <c r="L1843" s="87"/>
      <c r="M1843" s="87"/>
      <c r="N1843" s="87"/>
    </row>
    <row r="1844" s="65" customFormat="1" customHeight="1" spans="1:14">
      <c r="A1844" s="77">
        <v>1841</v>
      </c>
      <c r="B1844" s="78" t="str">
        <f t="shared" si="46"/>
        <v/>
      </c>
      <c r="K1844" s="87"/>
      <c r="L1844" s="87"/>
      <c r="M1844" s="87"/>
      <c r="N1844" s="87"/>
    </row>
    <row r="1845" s="65" customFormat="1" customHeight="1" spans="1:14">
      <c r="A1845" s="77">
        <v>1842</v>
      </c>
      <c r="B1845" s="78" t="str">
        <f t="shared" si="46"/>
        <v/>
      </c>
      <c r="K1845" s="87"/>
      <c r="L1845" s="87"/>
      <c r="M1845" s="87"/>
      <c r="N1845" s="87"/>
    </row>
    <row r="1846" s="65" customFormat="1" customHeight="1" spans="1:14">
      <c r="A1846" s="77">
        <v>1843</v>
      </c>
      <c r="B1846" s="78" t="str">
        <f t="shared" si="46"/>
        <v/>
      </c>
      <c r="K1846" s="87"/>
      <c r="L1846" s="87"/>
      <c r="M1846" s="87"/>
      <c r="N1846" s="87"/>
    </row>
    <row r="1847" s="65" customFormat="1" customHeight="1" spans="1:14">
      <c r="A1847" s="77">
        <v>1844</v>
      </c>
      <c r="B1847" s="78" t="str">
        <f t="shared" si="46"/>
        <v/>
      </c>
      <c r="K1847" s="87"/>
      <c r="L1847" s="87"/>
      <c r="M1847" s="87"/>
      <c r="N1847" s="87"/>
    </row>
    <row r="1848" s="65" customFormat="1" customHeight="1" spans="1:14">
      <c r="A1848" s="77">
        <v>1845</v>
      </c>
      <c r="B1848" s="78" t="str">
        <f t="shared" si="46"/>
        <v/>
      </c>
      <c r="K1848" s="87"/>
      <c r="L1848" s="87"/>
      <c r="M1848" s="87"/>
      <c r="N1848" s="87"/>
    </row>
    <row r="1849" s="65" customFormat="1" customHeight="1" spans="1:14">
      <c r="A1849" s="77">
        <v>1846</v>
      </c>
      <c r="B1849" s="78" t="str">
        <f t="shared" si="46"/>
        <v/>
      </c>
      <c r="K1849" s="87"/>
      <c r="L1849" s="87"/>
      <c r="M1849" s="87"/>
      <c r="N1849" s="87"/>
    </row>
    <row r="1850" s="65" customFormat="1" customHeight="1" spans="1:14">
      <c r="A1850" s="77">
        <v>1847</v>
      </c>
      <c r="B1850" s="78" t="str">
        <f t="shared" si="46"/>
        <v/>
      </c>
      <c r="K1850" s="87"/>
      <c r="L1850" s="87"/>
      <c r="M1850" s="87"/>
      <c r="N1850" s="87"/>
    </row>
    <row r="1851" s="65" customFormat="1" customHeight="1" spans="1:14">
      <c r="A1851" s="77">
        <v>1848</v>
      </c>
      <c r="B1851" s="78" t="str">
        <f t="shared" si="46"/>
        <v/>
      </c>
      <c r="K1851" s="87"/>
      <c r="L1851" s="87"/>
      <c r="M1851" s="87"/>
      <c r="N1851" s="87"/>
    </row>
    <row r="1852" s="65" customFormat="1" customHeight="1" spans="1:14">
      <c r="A1852" s="77">
        <v>1849</v>
      </c>
      <c r="B1852" s="78" t="str">
        <f t="shared" si="46"/>
        <v/>
      </c>
      <c r="K1852" s="87"/>
      <c r="L1852" s="87"/>
      <c r="M1852" s="87"/>
      <c r="N1852" s="87"/>
    </row>
    <row r="1853" s="65" customFormat="1" customHeight="1" spans="1:14">
      <c r="A1853" s="77">
        <v>1850</v>
      </c>
      <c r="B1853" s="78" t="str">
        <f t="shared" si="46"/>
        <v/>
      </c>
      <c r="K1853" s="87"/>
      <c r="L1853" s="87"/>
      <c r="M1853" s="87"/>
      <c r="N1853" s="87"/>
    </row>
    <row r="1854" s="65" customFormat="1" customHeight="1" spans="1:14">
      <c r="A1854" s="77">
        <v>1851</v>
      </c>
      <c r="B1854" s="78" t="str">
        <f t="shared" si="46"/>
        <v/>
      </c>
      <c r="K1854" s="87"/>
      <c r="L1854" s="87"/>
      <c r="M1854" s="87"/>
      <c r="N1854" s="87"/>
    </row>
    <row r="1855" s="65" customFormat="1" customHeight="1" spans="1:14">
      <c r="A1855" s="77">
        <v>1852</v>
      </c>
      <c r="B1855" s="78" t="str">
        <f t="shared" si="46"/>
        <v/>
      </c>
      <c r="K1855" s="87"/>
      <c r="L1855" s="87"/>
      <c r="M1855" s="87"/>
      <c r="N1855" s="87"/>
    </row>
    <row r="1856" s="65" customFormat="1" customHeight="1" spans="1:14">
      <c r="A1856" s="77">
        <v>1853</v>
      </c>
      <c r="B1856" s="78" t="str">
        <f t="shared" si="46"/>
        <v/>
      </c>
      <c r="K1856" s="87"/>
      <c r="L1856" s="87"/>
      <c r="M1856" s="87"/>
      <c r="N1856" s="87"/>
    </row>
    <row r="1857" s="65" customFormat="1" customHeight="1" spans="1:14">
      <c r="A1857" s="77">
        <v>1854</v>
      </c>
      <c r="B1857" s="78" t="str">
        <f t="shared" si="46"/>
        <v/>
      </c>
      <c r="K1857" s="87"/>
      <c r="L1857" s="87"/>
      <c r="M1857" s="87"/>
      <c r="N1857" s="87"/>
    </row>
    <row r="1858" s="65" customFormat="1" customHeight="1" spans="1:14">
      <c r="A1858" s="77">
        <v>1855</v>
      </c>
      <c r="B1858" s="78" t="str">
        <f t="shared" si="46"/>
        <v/>
      </c>
      <c r="K1858" s="87"/>
      <c r="L1858" s="87"/>
      <c r="M1858" s="87"/>
      <c r="N1858" s="87"/>
    </row>
    <row r="1859" s="65" customFormat="1" customHeight="1" spans="1:14">
      <c r="A1859" s="77">
        <v>1856</v>
      </c>
      <c r="B1859" s="78" t="str">
        <f t="shared" si="46"/>
        <v/>
      </c>
      <c r="K1859" s="87"/>
      <c r="L1859" s="87"/>
      <c r="M1859" s="87"/>
      <c r="N1859" s="87"/>
    </row>
    <row r="1860" s="65" customFormat="1" customHeight="1" spans="1:14">
      <c r="A1860" s="77">
        <v>1857</v>
      </c>
      <c r="B1860" s="78" t="str">
        <f t="shared" si="46"/>
        <v/>
      </c>
      <c r="K1860" s="87"/>
      <c r="L1860" s="87"/>
      <c r="M1860" s="87"/>
      <c r="N1860" s="87"/>
    </row>
    <row r="1861" s="65" customFormat="1" customHeight="1" spans="1:14">
      <c r="A1861" s="77">
        <v>1858</v>
      </c>
      <c r="B1861" s="78" t="str">
        <f t="shared" si="46"/>
        <v/>
      </c>
      <c r="K1861" s="87"/>
      <c r="L1861" s="87"/>
      <c r="M1861" s="87"/>
      <c r="N1861" s="87"/>
    </row>
    <row r="1862" s="65" customFormat="1" customHeight="1" spans="1:14">
      <c r="A1862" s="77">
        <v>1859</v>
      </c>
      <c r="B1862" s="78" t="str">
        <f t="shared" si="46"/>
        <v/>
      </c>
      <c r="K1862" s="87"/>
      <c r="L1862" s="87"/>
      <c r="M1862" s="87"/>
      <c r="N1862" s="87"/>
    </row>
    <row r="1863" s="65" customFormat="1" customHeight="1" spans="1:14">
      <c r="A1863" s="77">
        <v>1860</v>
      </c>
      <c r="B1863" s="78" t="str">
        <f t="shared" si="46"/>
        <v/>
      </c>
      <c r="K1863" s="87"/>
      <c r="L1863" s="87"/>
      <c r="M1863" s="87"/>
      <c r="N1863" s="87"/>
    </row>
    <row r="1864" s="65" customFormat="1" customHeight="1" spans="1:14">
      <c r="A1864" s="77">
        <v>1861</v>
      </c>
      <c r="B1864" s="78" t="str">
        <f t="shared" si="46"/>
        <v/>
      </c>
      <c r="K1864" s="87"/>
      <c r="L1864" s="87"/>
      <c r="M1864" s="87"/>
      <c r="N1864" s="87"/>
    </row>
    <row r="1865" s="65" customFormat="1" customHeight="1" spans="1:14">
      <c r="A1865" s="77">
        <v>1862</v>
      </c>
      <c r="B1865" s="78" t="str">
        <f t="shared" si="46"/>
        <v/>
      </c>
      <c r="K1865" s="87"/>
      <c r="L1865" s="87"/>
      <c r="M1865" s="87"/>
      <c r="N1865" s="87"/>
    </row>
    <row r="1866" s="65" customFormat="1" customHeight="1" spans="1:14">
      <c r="A1866" s="77">
        <v>1863</v>
      </c>
      <c r="B1866" s="78" t="str">
        <f t="shared" si="46"/>
        <v/>
      </c>
      <c r="K1866" s="87"/>
      <c r="L1866" s="87"/>
      <c r="M1866" s="87"/>
      <c r="N1866" s="87"/>
    </row>
    <row r="1867" s="65" customFormat="1" customHeight="1" spans="1:14">
      <c r="A1867" s="77">
        <v>1864</v>
      </c>
      <c r="B1867" s="78" t="str">
        <f t="shared" si="46"/>
        <v/>
      </c>
      <c r="K1867" s="87"/>
      <c r="L1867" s="87"/>
      <c r="M1867" s="87"/>
      <c r="N1867" s="87"/>
    </row>
    <row r="1868" s="65" customFormat="1" customHeight="1" spans="1:14">
      <c r="A1868" s="77">
        <v>1865</v>
      </c>
      <c r="B1868" s="78" t="str">
        <f t="shared" si="46"/>
        <v/>
      </c>
      <c r="K1868" s="87"/>
      <c r="L1868" s="87"/>
      <c r="M1868" s="87"/>
      <c r="N1868" s="87"/>
    </row>
    <row r="1869" s="65" customFormat="1" customHeight="1" spans="1:14">
      <c r="A1869" s="77">
        <v>1866</v>
      </c>
      <c r="B1869" s="78" t="str">
        <f t="shared" si="46"/>
        <v/>
      </c>
      <c r="K1869" s="87"/>
      <c r="L1869" s="87"/>
      <c r="M1869" s="87"/>
      <c r="N1869" s="87"/>
    </row>
    <row r="1870" s="65" customFormat="1" customHeight="1" spans="1:14">
      <c r="A1870" s="77">
        <v>1867</v>
      </c>
      <c r="B1870" s="78" t="str">
        <f t="shared" ref="B1870:B1933" si="47">+C1870&amp;E1870</f>
        <v/>
      </c>
      <c r="K1870" s="87"/>
      <c r="L1870" s="87"/>
      <c r="M1870" s="87"/>
      <c r="N1870" s="87"/>
    </row>
    <row r="1871" s="65" customFormat="1" customHeight="1" spans="1:14">
      <c r="A1871" s="77">
        <v>1868</v>
      </c>
      <c r="B1871" s="78" t="str">
        <f t="shared" si="47"/>
        <v/>
      </c>
      <c r="K1871" s="87"/>
      <c r="L1871" s="87"/>
      <c r="M1871" s="87"/>
      <c r="N1871" s="87"/>
    </row>
    <row r="1872" s="65" customFormat="1" customHeight="1" spans="1:14">
      <c r="A1872" s="77">
        <v>1869</v>
      </c>
      <c r="B1872" s="78" t="str">
        <f t="shared" si="47"/>
        <v/>
      </c>
      <c r="K1872" s="87"/>
      <c r="L1872" s="87"/>
      <c r="M1872" s="87"/>
      <c r="N1872" s="87"/>
    </row>
    <row r="1873" s="65" customFormat="1" customHeight="1" spans="1:14">
      <c r="A1873" s="77">
        <v>1870</v>
      </c>
      <c r="B1873" s="78" t="str">
        <f t="shared" si="47"/>
        <v/>
      </c>
      <c r="K1873" s="87"/>
      <c r="L1873" s="87"/>
      <c r="M1873" s="87"/>
      <c r="N1873" s="87"/>
    </row>
    <row r="1874" s="65" customFormat="1" customHeight="1" spans="1:14">
      <c r="A1874" s="77">
        <v>1871</v>
      </c>
      <c r="B1874" s="78" t="str">
        <f t="shared" si="47"/>
        <v/>
      </c>
      <c r="K1874" s="87"/>
      <c r="L1874" s="87"/>
      <c r="M1874" s="87"/>
      <c r="N1874" s="87"/>
    </row>
    <row r="1875" s="65" customFormat="1" customHeight="1" spans="1:14">
      <c r="A1875" s="77">
        <v>1872</v>
      </c>
      <c r="B1875" s="78" t="str">
        <f t="shared" si="47"/>
        <v/>
      </c>
      <c r="K1875" s="87"/>
      <c r="L1875" s="87"/>
      <c r="M1875" s="87"/>
      <c r="N1875" s="87"/>
    </row>
    <row r="1876" s="65" customFormat="1" customHeight="1" spans="1:14">
      <c r="A1876" s="77">
        <v>1873</v>
      </c>
      <c r="B1876" s="78" t="str">
        <f t="shared" si="47"/>
        <v/>
      </c>
      <c r="K1876" s="87"/>
      <c r="L1876" s="87"/>
      <c r="M1876" s="87"/>
      <c r="N1876" s="87"/>
    </row>
    <row r="1877" s="65" customFormat="1" customHeight="1" spans="1:14">
      <c r="A1877" s="77">
        <v>1874</v>
      </c>
      <c r="B1877" s="78" t="str">
        <f t="shared" si="47"/>
        <v/>
      </c>
      <c r="K1877" s="87"/>
      <c r="L1877" s="87"/>
      <c r="M1877" s="87"/>
      <c r="N1877" s="87"/>
    </row>
    <row r="1878" s="65" customFormat="1" customHeight="1" spans="1:14">
      <c r="A1878" s="77">
        <v>1875</v>
      </c>
      <c r="B1878" s="78" t="str">
        <f t="shared" si="47"/>
        <v/>
      </c>
      <c r="K1878" s="87"/>
      <c r="L1878" s="87"/>
      <c r="M1878" s="87"/>
      <c r="N1878" s="87"/>
    </row>
    <row r="1879" s="65" customFormat="1" customHeight="1" spans="1:14">
      <c r="A1879" s="77">
        <v>1876</v>
      </c>
      <c r="B1879" s="78" t="str">
        <f t="shared" si="47"/>
        <v/>
      </c>
      <c r="K1879" s="87"/>
      <c r="L1879" s="87"/>
      <c r="M1879" s="87"/>
      <c r="N1879" s="87"/>
    </row>
    <row r="1880" s="65" customFormat="1" customHeight="1" spans="1:14">
      <c r="A1880" s="77">
        <v>1877</v>
      </c>
      <c r="B1880" s="78" t="str">
        <f t="shared" si="47"/>
        <v/>
      </c>
      <c r="K1880" s="87"/>
      <c r="L1880" s="87"/>
      <c r="M1880" s="87"/>
      <c r="N1880" s="87"/>
    </row>
    <row r="1881" s="65" customFormat="1" customHeight="1" spans="1:14">
      <c r="A1881" s="77">
        <v>1878</v>
      </c>
      <c r="B1881" s="78" t="str">
        <f t="shared" si="47"/>
        <v/>
      </c>
      <c r="K1881" s="87"/>
      <c r="L1881" s="87"/>
      <c r="M1881" s="87"/>
      <c r="N1881" s="87"/>
    </row>
    <row r="1882" s="65" customFormat="1" customHeight="1" spans="1:14">
      <c r="A1882" s="77">
        <v>1879</v>
      </c>
      <c r="B1882" s="78" t="str">
        <f t="shared" si="47"/>
        <v/>
      </c>
      <c r="K1882" s="87"/>
      <c r="L1882" s="87"/>
      <c r="M1882" s="87"/>
      <c r="N1882" s="87"/>
    </row>
    <row r="1883" s="65" customFormat="1" customHeight="1" spans="1:14">
      <c r="A1883" s="77">
        <v>1880</v>
      </c>
      <c r="B1883" s="78" t="str">
        <f t="shared" si="47"/>
        <v/>
      </c>
      <c r="K1883" s="87"/>
      <c r="L1883" s="87"/>
      <c r="M1883" s="87"/>
      <c r="N1883" s="87"/>
    </row>
    <row r="1884" s="65" customFormat="1" customHeight="1" spans="1:14">
      <c r="A1884" s="77">
        <v>1881</v>
      </c>
      <c r="B1884" s="78" t="str">
        <f t="shared" si="47"/>
        <v/>
      </c>
      <c r="K1884" s="87"/>
      <c r="L1884" s="87"/>
      <c r="M1884" s="87"/>
      <c r="N1884" s="87"/>
    </row>
    <row r="1885" s="65" customFormat="1" customHeight="1" spans="1:14">
      <c r="A1885" s="77">
        <v>1882</v>
      </c>
      <c r="B1885" s="78" t="str">
        <f t="shared" si="47"/>
        <v/>
      </c>
      <c r="K1885" s="87"/>
      <c r="L1885" s="87"/>
      <c r="M1885" s="87"/>
      <c r="N1885" s="87"/>
    </row>
    <row r="1886" s="65" customFormat="1" customHeight="1" spans="1:14">
      <c r="A1886" s="77">
        <v>1883</v>
      </c>
      <c r="B1886" s="78" t="str">
        <f t="shared" si="47"/>
        <v/>
      </c>
      <c r="K1886" s="87"/>
      <c r="L1886" s="87"/>
      <c r="M1886" s="87"/>
      <c r="N1886" s="87"/>
    </row>
    <row r="1887" s="65" customFormat="1" customHeight="1" spans="1:14">
      <c r="A1887" s="77">
        <v>1884</v>
      </c>
      <c r="B1887" s="78" t="str">
        <f t="shared" si="47"/>
        <v/>
      </c>
      <c r="K1887" s="87"/>
      <c r="L1887" s="87"/>
      <c r="M1887" s="87"/>
      <c r="N1887" s="87"/>
    </row>
    <row r="1888" s="65" customFormat="1" customHeight="1" spans="1:14">
      <c r="A1888" s="77">
        <v>1885</v>
      </c>
      <c r="B1888" s="78" t="str">
        <f t="shared" si="47"/>
        <v/>
      </c>
      <c r="K1888" s="87"/>
      <c r="L1888" s="87"/>
      <c r="M1888" s="87"/>
      <c r="N1888" s="87"/>
    </row>
    <row r="1889" s="65" customFormat="1" customHeight="1" spans="1:14">
      <c r="A1889" s="77">
        <v>1886</v>
      </c>
      <c r="B1889" s="78" t="str">
        <f t="shared" si="47"/>
        <v/>
      </c>
      <c r="K1889" s="87"/>
      <c r="L1889" s="87"/>
      <c r="M1889" s="87"/>
      <c r="N1889" s="87"/>
    </row>
    <row r="1890" s="65" customFormat="1" customHeight="1" spans="1:14">
      <c r="A1890" s="77">
        <v>1887</v>
      </c>
      <c r="B1890" s="78" t="str">
        <f t="shared" si="47"/>
        <v/>
      </c>
      <c r="K1890" s="87"/>
      <c r="L1890" s="87"/>
      <c r="M1890" s="87"/>
      <c r="N1890" s="87"/>
    </row>
    <row r="1891" s="65" customFormat="1" customHeight="1" spans="1:14">
      <c r="A1891" s="77">
        <v>1888</v>
      </c>
      <c r="B1891" s="78" t="str">
        <f t="shared" si="47"/>
        <v/>
      </c>
      <c r="K1891" s="87"/>
      <c r="L1891" s="87"/>
      <c r="M1891" s="87"/>
      <c r="N1891" s="87"/>
    </row>
    <row r="1892" s="65" customFormat="1" customHeight="1" spans="1:14">
      <c r="A1892" s="77">
        <v>1889</v>
      </c>
      <c r="B1892" s="78" t="str">
        <f t="shared" si="47"/>
        <v/>
      </c>
      <c r="K1892" s="87"/>
      <c r="L1892" s="87"/>
      <c r="M1892" s="87"/>
      <c r="N1892" s="87"/>
    </row>
    <row r="1893" s="65" customFormat="1" customHeight="1" spans="1:14">
      <c r="A1893" s="77">
        <v>1890</v>
      </c>
      <c r="B1893" s="78" t="str">
        <f t="shared" si="47"/>
        <v/>
      </c>
      <c r="K1893" s="87"/>
      <c r="L1893" s="87"/>
      <c r="M1893" s="87"/>
      <c r="N1893" s="87"/>
    </row>
    <row r="1894" s="65" customFormat="1" customHeight="1" spans="1:14">
      <c r="A1894" s="77">
        <v>1891</v>
      </c>
      <c r="B1894" s="78" t="str">
        <f t="shared" si="47"/>
        <v/>
      </c>
      <c r="K1894" s="87"/>
      <c r="L1894" s="87"/>
      <c r="M1894" s="87"/>
      <c r="N1894" s="87"/>
    </row>
    <row r="1895" s="65" customFormat="1" customHeight="1" spans="1:14">
      <c r="A1895" s="77">
        <v>1892</v>
      </c>
      <c r="B1895" s="78" t="str">
        <f t="shared" si="47"/>
        <v/>
      </c>
      <c r="K1895" s="87"/>
      <c r="L1895" s="87"/>
      <c r="M1895" s="87"/>
      <c r="N1895" s="87"/>
    </row>
    <row r="1896" s="65" customFormat="1" customHeight="1" spans="1:14">
      <c r="A1896" s="77">
        <v>1893</v>
      </c>
      <c r="B1896" s="78" t="str">
        <f t="shared" si="47"/>
        <v/>
      </c>
      <c r="K1896" s="87"/>
      <c r="L1896" s="87"/>
      <c r="M1896" s="87"/>
      <c r="N1896" s="87"/>
    </row>
    <row r="1897" s="65" customFormat="1" customHeight="1" spans="1:14">
      <c r="A1897" s="77">
        <v>1894</v>
      </c>
      <c r="B1897" s="78" t="str">
        <f t="shared" si="47"/>
        <v/>
      </c>
      <c r="K1897" s="87"/>
      <c r="L1897" s="87"/>
      <c r="M1897" s="87"/>
      <c r="N1897" s="87"/>
    </row>
    <row r="1898" s="65" customFormat="1" customHeight="1" spans="1:14">
      <c r="A1898" s="77">
        <v>1895</v>
      </c>
      <c r="B1898" s="78" t="str">
        <f t="shared" si="47"/>
        <v/>
      </c>
      <c r="K1898" s="87"/>
      <c r="L1898" s="87"/>
      <c r="M1898" s="87"/>
      <c r="N1898" s="87"/>
    </row>
    <row r="1899" s="65" customFormat="1" customHeight="1" spans="1:14">
      <c r="A1899" s="77">
        <v>1896</v>
      </c>
      <c r="B1899" s="78" t="str">
        <f t="shared" si="47"/>
        <v/>
      </c>
      <c r="K1899" s="87"/>
      <c r="L1899" s="87"/>
      <c r="M1899" s="87"/>
      <c r="N1899" s="87"/>
    </row>
    <row r="1900" s="65" customFormat="1" customHeight="1" spans="1:14">
      <c r="A1900" s="77">
        <v>1897</v>
      </c>
      <c r="B1900" s="78" t="str">
        <f t="shared" si="47"/>
        <v/>
      </c>
      <c r="K1900" s="87"/>
      <c r="L1900" s="87"/>
      <c r="M1900" s="87"/>
      <c r="N1900" s="87"/>
    </row>
    <row r="1901" s="65" customFormat="1" customHeight="1" spans="1:14">
      <c r="A1901" s="77">
        <v>1898</v>
      </c>
      <c r="B1901" s="78" t="str">
        <f t="shared" si="47"/>
        <v/>
      </c>
      <c r="K1901" s="87"/>
      <c r="L1901" s="87"/>
      <c r="M1901" s="87"/>
      <c r="N1901" s="87"/>
    </row>
    <row r="1902" s="65" customFormat="1" customHeight="1" spans="1:14">
      <c r="A1902" s="77">
        <v>1899</v>
      </c>
      <c r="B1902" s="78" t="str">
        <f t="shared" si="47"/>
        <v/>
      </c>
      <c r="K1902" s="87"/>
      <c r="L1902" s="87"/>
      <c r="M1902" s="87"/>
      <c r="N1902" s="87"/>
    </row>
    <row r="1903" s="65" customFormat="1" customHeight="1" spans="1:14">
      <c r="A1903" s="77">
        <v>1900</v>
      </c>
      <c r="B1903" s="78" t="str">
        <f t="shared" si="47"/>
        <v/>
      </c>
      <c r="K1903" s="87"/>
      <c r="L1903" s="87"/>
      <c r="M1903" s="87"/>
      <c r="N1903" s="87"/>
    </row>
    <row r="1904" s="65" customFormat="1" customHeight="1" spans="1:14">
      <c r="A1904" s="77">
        <v>1901</v>
      </c>
      <c r="B1904" s="78" t="str">
        <f t="shared" si="47"/>
        <v/>
      </c>
      <c r="K1904" s="87"/>
      <c r="L1904" s="87"/>
      <c r="M1904" s="87"/>
      <c r="N1904" s="87"/>
    </row>
    <row r="1905" s="65" customFormat="1" customHeight="1" spans="1:14">
      <c r="A1905" s="77">
        <v>1902</v>
      </c>
      <c r="B1905" s="78" t="str">
        <f t="shared" si="47"/>
        <v/>
      </c>
      <c r="K1905" s="87"/>
      <c r="L1905" s="87"/>
      <c r="M1905" s="87"/>
      <c r="N1905" s="87"/>
    </row>
    <row r="1906" s="65" customFormat="1" customHeight="1" spans="1:14">
      <c r="A1906" s="77">
        <v>1903</v>
      </c>
      <c r="B1906" s="78" t="str">
        <f t="shared" si="47"/>
        <v/>
      </c>
      <c r="K1906" s="87"/>
      <c r="L1906" s="87"/>
      <c r="M1906" s="87"/>
      <c r="N1906" s="87"/>
    </row>
    <row r="1907" s="65" customFormat="1" customHeight="1" spans="1:14">
      <c r="A1907" s="77">
        <v>1904</v>
      </c>
      <c r="B1907" s="78" t="str">
        <f t="shared" si="47"/>
        <v/>
      </c>
      <c r="K1907" s="87"/>
      <c r="L1907" s="87"/>
      <c r="M1907" s="87"/>
      <c r="N1907" s="87"/>
    </row>
    <row r="1908" s="65" customFormat="1" customHeight="1" spans="1:14">
      <c r="A1908" s="77">
        <v>1905</v>
      </c>
      <c r="B1908" s="78" t="str">
        <f t="shared" si="47"/>
        <v/>
      </c>
      <c r="K1908" s="87"/>
      <c r="L1908" s="87"/>
      <c r="M1908" s="87"/>
      <c r="N1908" s="87"/>
    </row>
    <row r="1909" s="65" customFormat="1" customHeight="1" spans="1:14">
      <c r="A1909" s="77">
        <v>1906</v>
      </c>
      <c r="B1909" s="78" t="str">
        <f t="shared" si="47"/>
        <v/>
      </c>
      <c r="K1909" s="87"/>
      <c r="L1909" s="87"/>
      <c r="M1909" s="87"/>
      <c r="N1909" s="87"/>
    </row>
    <row r="1910" s="65" customFormat="1" customHeight="1" spans="1:14">
      <c r="A1910" s="77">
        <v>1907</v>
      </c>
      <c r="B1910" s="78" t="str">
        <f t="shared" si="47"/>
        <v/>
      </c>
      <c r="K1910" s="87"/>
      <c r="L1910" s="87"/>
      <c r="M1910" s="87"/>
      <c r="N1910" s="87"/>
    </row>
    <row r="1911" s="65" customFormat="1" customHeight="1" spans="1:14">
      <c r="A1911" s="77">
        <v>1908</v>
      </c>
      <c r="B1911" s="78" t="str">
        <f t="shared" si="47"/>
        <v/>
      </c>
      <c r="K1911" s="87"/>
      <c r="L1911" s="87"/>
      <c r="M1911" s="87"/>
      <c r="N1911" s="87"/>
    </row>
    <row r="1912" s="65" customFormat="1" customHeight="1" spans="1:14">
      <c r="A1912" s="77">
        <v>1909</v>
      </c>
      <c r="B1912" s="78" t="str">
        <f t="shared" si="47"/>
        <v/>
      </c>
      <c r="K1912" s="87"/>
      <c r="L1912" s="87"/>
      <c r="M1912" s="87"/>
      <c r="N1912" s="87"/>
    </row>
    <row r="1913" s="65" customFormat="1" customHeight="1" spans="1:14">
      <c r="A1913" s="77">
        <v>1910</v>
      </c>
      <c r="B1913" s="78" t="str">
        <f t="shared" si="47"/>
        <v/>
      </c>
      <c r="K1913" s="87"/>
      <c r="L1913" s="87"/>
      <c r="M1913" s="87"/>
      <c r="N1913" s="87"/>
    </row>
    <row r="1914" s="65" customFormat="1" customHeight="1" spans="1:14">
      <c r="A1914" s="77">
        <v>1911</v>
      </c>
      <c r="B1914" s="78" t="str">
        <f t="shared" si="47"/>
        <v/>
      </c>
      <c r="K1914" s="87"/>
      <c r="L1914" s="87"/>
      <c r="M1914" s="87"/>
      <c r="N1914" s="87"/>
    </row>
    <row r="1915" s="65" customFormat="1" customHeight="1" spans="1:14">
      <c r="A1915" s="77">
        <v>1912</v>
      </c>
      <c r="B1915" s="78" t="str">
        <f t="shared" si="47"/>
        <v/>
      </c>
      <c r="K1915" s="87"/>
      <c r="L1915" s="87"/>
      <c r="M1915" s="87"/>
      <c r="N1915" s="87"/>
    </row>
    <row r="1916" s="65" customFormat="1" customHeight="1" spans="1:14">
      <c r="A1916" s="77">
        <v>1913</v>
      </c>
      <c r="B1916" s="78" t="str">
        <f t="shared" si="47"/>
        <v/>
      </c>
      <c r="K1916" s="87"/>
      <c r="L1916" s="87"/>
      <c r="M1916" s="87"/>
      <c r="N1916" s="87"/>
    </row>
    <row r="1917" s="65" customFormat="1" customHeight="1" spans="1:14">
      <c r="A1917" s="77">
        <v>1914</v>
      </c>
      <c r="B1917" s="78" t="str">
        <f t="shared" si="47"/>
        <v/>
      </c>
      <c r="K1917" s="87"/>
      <c r="L1917" s="87"/>
      <c r="M1917" s="87"/>
      <c r="N1917" s="87"/>
    </row>
    <row r="1918" s="65" customFormat="1" customHeight="1" spans="1:14">
      <c r="A1918" s="77">
        <v>1915</v>
      </c>
      <c r="B1918" s="78" t="str">
        <f t="shared" si="47"/>
        <v/>
      </c>
      <c r="K1918" s="87"/>
      <c r="L1918" s="87"/>
      <c r="M1918" s="87"/>
      <c r="N1918" s="87"/>
    </row>
    <row r="1919" s="65" customFormat="1" customHeight="1" spans="1:14">
      <c r="A1919" s="77">
        <v>1916</v>
      </c>
      <c r="B1919" s="78" t="str">
        <f t="shared" si="47"/>
        <v/>
      </c>
      <c r="K1919" s="87"/>
      <c r="L1919" s="87"/>
      <c r="M1919" s="87"/>
      <c r="N1919" s="87"/>
    </row>
    <row r="1920" s="65" customFormat="1" customHeight="1" spans="1:14">
      <c r="A1920" s="77">
        <v>1917</v>
      </c>
      <c r="B1920" s="78" t="str">
        <f t="shared" si="47"/>
        <v/>
      </c>
      <c r="K1920" s="87"/>
      <c r="L1920" s="87"/>
      <c r="M1920" s="87"/>
      <c r="N1920" s="87"/>
    </row>
    <row r="1921" s="65" customFormat="1" customHeight="1" spans="1:14">
      <c r="A1921" s="77">
        <v>1918</v>
      </c>
      <c r="B1921" s="78" t="str">
        <f t="shared" si="47"/>
        <v/>
      </c>
      <c r="K1921" s="87"/>
      <c r="L1921" s="87"/>
      <c r="M1921" s="87"/>
      <c r="N1921" s="87"/>
    </row>
    <row r="1922" s="65" customFormat="1" customHeight="1" spans="1:14">
      <c r="A1922" s="77">
        <v>1919</v>
      </c>
      <c r="B1922" s="78" t="str">
        <f t="shared" si="47"/>
        <v/>
      </c>
      <c r="K1922" s="87"/>
      <c r="L1922" s="87"/>
      <c r="M1922" s="87"/>
      <c r="N1922" s="87"/>
    </row>
    <row r="1923" s="65" customFormat="1" customHeight="1" spans="1:14">
      <c r="A1923" s="77">
        <v>1920</v>
      </c>
      <c r="B1923" s="78" t="str">
        <f t="shared" si="47"/>
        <v/>
      </c>
      <c r="K1923" s="87"/>
      <c r="L1923" s="87"/>
      <c r="M1923" s="87"/>
      <c r="N1923" s="87"/>
    </row>
    <row r="1924" s="65" customFormat="1" customHeight="1" spans="1:14">
      <c r="A1924" s="77">
        <v>1921</v>
      </c>
      <c r="B1924" s="78" t="str">
        <f t="shared" si="47"/>
        <v/>
      </c>
      <c r="K1924" s="87"/>
      <c r="L1924" s="87"/>
      <c r="M1924" s="87"/>
      <c r="N1924" s="87"/>
    </row>
    <row r="1925" s="65" customFormat="1" customHeight="1" spans="1:14">
      <c r="A1925" s="77">
        <v>1922</v>
      </c>
      <c r="B1925" s="78" t="str">
        <f t="shared" si="47"/>
        <v/>
      </c>
      <c r="K1925" s="87"/>
      <c r="L1925" s="87"/>
      <c r="M1925" s="87"/>
      <c r="N1925" s="87"/>
    </row>
    <row r="1926" s="65" customFormat="1" customHeight="1" spans="1:14">
      <c r="A1926" s="77">
        <v>1923</v>
      </c>
      <c r="B1926" s="78" t="str">
        <f t="shared" si="47"/>
        <v/>
      </c>
      <c r="K1926" s="87"/>
      <c r="L1926" s="87"/>
      <c r="M1926" s="87"/>
      <c r="N1926" s="87"/>
    </row>
    <row r="1927" s="65" customFormat="1" customHeight="1" spans="1:14">
      <c r="A1927" s="77">
        <v>1924</v>
      </c>
      <c r="B1927" s="78" t="str">
        <f t="shared" si="47"/>
        <v/>
      </c>
      <c r="K1927" s="87"/>
      <c r="L1927" s="87"/>
      <c r="M1927" s="87"/>
      <c r="N1927" s="87"/>
    </row>
    <row r="1928" s="65" customFormat="1" customHeight="1" spans="1:14">
      <c r="A1928" s="77">
        <v>1925</v>
      </c>
      <c r="B1928" s="78" t="str">
        <f t="shared" si="47"/>
        <v/>
      </c>
      <c r="K1928" s="87"/>
      <c r="L1928" s="87"/>
      <c r="M1928" s="87"/>
      <c r="N1928" s="87"/>
    </row>
    <row r="1929" s="65" customFormat="1" customHeight="1" spans="1:14">
      <c r="A1929" s="77">
        <v>1926</v>
      </c>
      <c r="B1929" s="78" t="str">
        <f t="shared" si="47"/>
        <v/>
      </c>
      <c r="K1929" s="87"/>
      <c r="L1929" s="87"/>
      <c r="M1929" s="87"/>
      <c r="N1929" s="87"/>
    </row>
    <row r="1930" s="65" customFormat="1" customHeight="1" spans="1:14">
      <c r="A1930" s="77">
        <v>1927</v>
      </c>
      <c r="B1930" s="78" t="str">
        <f t="shared" si="47"/>
        <v/>
      </c>
      <c r="K1930" s="87"/>
      <c r="L1930" s="87"/>
      <c r="M1930" s="87"/>
      <c r="N1930" s="87"/>
    </row>
    <row r="1931" s="65" customFormat="1" customHeight="1" spans="1:14">
      <c r="A1931" s="77">
        <v>1928</v>
      </c>
      <c r="B1931" s="78" t="str">
        <f t="shared" si="47"/>
        <v/>
      </c>
      <c r="K1931" s="87"/>
      <c r="L1931" s="87"/>
      <c r="M1931" s="87"/>
      <c r="N1931" s="87"/>
    </row>
    <row r="1932" s="65" customFormat="1" customHeight="1" spans="1:14">
      <c r="A1932" s="77">
        <v>1929</v>
      </c>
      <c r="B1932" s="78" t="str">
        <f t="shared" si="47"/>
        <v/>
      </c>
      <c r="K1932" s="87"/>
      <c r="L1932" s="87"/>
      <c r="M1932" s="87"/>
      <c r="N1932" s="87"/>
    </row>
    <row r="1933" s="65" customFormat="1" customHeight="1" spans="1:14">
      <c r="A1933" s="77">
        <v>1930</v>
      </c>
      <c r="B1933" s="78" t="str">
        <f t="shared" si="47"/>
        <v/>
      </c>
      <c r="K1933" s="87"/>
      <c r="L1933" s="87"/>
      <c r="M1933" s="87"/>
      <c r="N1933" s="87"/>
    </row>
    <row r="1934" s="65" customFormat="1" customHeight="1" spans="1:14">
      <c r="A1934" s="77">
        <v>1931</v>
      </c>
      <c r="B1934" s="78" t="str">
        <f t="shared" ref="B1934:B1997" si="48">+C1934&amp;E1934</f>
        <v/>
      </c>
      <c r="K1934" s="87"/>
      <c r="L1934" s="87"/>
      <c r="M1934" s="87"/>
      <c r="N1934" s="87"/>
    </row>
    <row r="1935" s="65" customFormat="1" customHeight="1" spans="1:14">
      <c r="A1935" s="77">
        <v>1932</v>
      </c>
      <c r="B1935" s="78" t="str">
        <f t="shared" si="48"/>
        <v/>
      </c>
      <c r="K1935" s="87"/>
      <c r="L1935" s="87"/>
      <c r="M1935" s="87"/>
      <c r="N1935" s="87"/>
    </row>
    <row r="1936" s="65" customFormat="1" customHeight="1" spans="1:14">
      <c r="A1936" s="77">
        <v>1933</v>
      </c>
      <c r="B1936" s="78" t="str">
        <f t="shared" si="48"/>
        <v/>
      </c>
      <c r="K1936" s="87"/>
      <c r="L1936" s="87"/>
      <c r="M1936" s="87"/>
      <c r="N1936" s="87"/>
    </row>
    <row r="1937" s="65" customFormat="1" customHeight="1" spans="1:14">
      <c r="A1937" s="77">
        <v>1934</v>
      </c>
      <c r="B1937" s="78" t="str">
        <f t="shared" si="48"/>
        <v/>
      </c>
      <c r="K1937" s="87"/>
      <c r="L1937" s="87"/>
      <c r="M1937" s="87"/>
      <c r="N1937" s="87"/>
    </row>
    <row r="1938" s="65" customFormat="1" customHeight="1" spans="1:14">
      <c r="A1938" s="77">
        <v>1935</v>
      </c>
      <c r="B1938" s="78" t="str">
        <f t="shared" si="48"/>
        <v/>
      </c>
      <c r="K1938" s="87"/>
      <c r="L1938" s="87"/>
      <c r="M1938" s="87"/>
      <c r="N1938" s="87"/>
    </row>
    <row r="1939" s="65" customFormat="1" customHeight="1" spans="1:14">
      <c r="A1939" s="77">
        <v>1936</v>
      </c>
      <c r="B1939" s="78" t="str">
        <f t="shared" si="48"/>
        <v/>
      </c>
      <c r="K1939" s="87"/>
      <c r="L1939" s="87"/>
      <c r="M1939" s="87"/>
      <c r="N1939" s="87"/>
    </row>
    <row r="1940" s="65" customFormat="1" customHeight="1" spans="1:14">
      <c r="A1940" s="77">
        <v>1937</v>
      </c>
      <c r="B1940" s="78" t="str">
        <f t="shared" si="48"/>
        <v/>
      </c>
      <c r="K1940" s="87"/>
      <c r="L1940" s="87"/>
      <c r="M1940" s="87"/>
      <c r="N1940" s="87"/>
    </row>
    <row r="1941" s="65" customFormat="1" customHeight="1" spans="1:14">
      <c r="A1941" s="77">
        <v>1938</v>
      </c>
      <c r="B1941" s="78" t="str">
        <f t="shared" si="48"/>
        <v/>
      </c>
      <c r="K1941" s="87"/>
      <c r="L1941" s="87"/>
      <c r="M1941" s="87"/>
      <c r="N1941" s="87"/>
    </row>
    <row r="1942" s="65" customFormat="1" customHeight="1" spans="1:14">
      <c r="A1942" s="77">
        <v>1939</v>
      </c>
      <c r="B1942" s="78" t="str">
        <f t="shared" si="48"/>
        <v/>
      </c>
      <c r="K1942" s="87"/>
      <c r="L1942" s="87"/>
      <c r="M1942" s="87"/>
      <c r="N1942" s="87"/>
    </row>
    <row r="1943" s="65" customFormat="1" customHeight="1" spans="1:14">
      <c r="A1943" s="77">
        <v>1940</v>
      </c>
      <c r="B1943" s="78" t="str">
        <f t="shared" si="48"/>
        <v/>
      </c>
      <c r="K1943" s="87"/>
      <c r="L1943" s="87"/>
      <c r="M1943" s="87"/>
      <c r="N1943" s="87"/>
    </row>
    <row r="1944" s="65" customFormat="1" customHeight="1" spans="1:14">
      <c r="A1944" s="77">
        <v>1941</v>
      </c>
      <c r="B1944" s="78" t="str">
        <f t="shared" si="48"/>
        <v/>
      </c>
      <c r="K1944" s="87"/>
      <c r="L1944" s="87"/>
      <c r="M1944" s="87"/>
      <c r="N1944" s="87"/>
    </row>
    <row r="1945" s="65" customFormat="1" customHeight="1" spans="1:14">
      <c r="A1945" s="77">
        <v>1942</v>
      </c>
      <c r="B1945" s="78" t="str">
        <f t="shared" si="48"/>
        <v/>
      </c>
      <c r="K1945" s="87"/>
      <c r="L1945" s="87"/>
      <c r="M1945" s="87"/>
      <c r="N1945" s="87"/>
    </row>
    <row r="1946" s="65" customFormat="1" customHeight="1" spans="1:14">
      <c r="A1946" s="77">
        <v>1943</v>
      </c>
      <c r="B1946" s="78" t="str">
        <f t="shared" si="48"/>
        <v/>
      </c>
      <c r="K1946" s="87"/>
      <c r="L1946" s="87"/>
      <c r="M1946" s="87"/>
      <c r="N1946" s="87"/>
    </row>
    <row r="1947" s="65" customFormat="1" customHeight="1" spans="1:14">
      <c r="A1947" s="77">
        <v>1944</v>
      </c>
      <c r="B1947" s="78" t="str">
        <f t="shared" si="48"/>
        <v/>
      </c>
      <c r="K1947" s="87"/>
      <c r="L1947" s="87"/>
      <c r="M1947" s="87"/>
      <c r="N1947" s="87"/>
    </row>
    <row r="1948" s="65" customFormat="1" customHeight="1" spans="1:14">
      <c r="A1948" s="77">
        <v>1945</v>
      </c>
      <c r="B1948" s="78" t="str">
        <f t="shared" si="48"/>
        <v/>
      </c>
      <c r="K1948" s="87"/>
      <c r="L1948" s="87"/>
      <c r="M1948" s="87"/>
      <c r="N1948" s="87"/>
    </row>
    <row r="1949" s="65" customFormat="1" customHeight="1" spans="1:14">
      <c r="A1949" s="77">
        <v>1946</v>
      </c>
      <c r="B1949" s="78" t="str">
        <f t="shared" si="48"/>
        <v/>
      </c>
      <c r="K1949" s="87"/>
      <c r="L1949" s="87"/>
      <c r="M1949" s="87"/>
      <c r="N1949" s="87"/>
    </row>
    <row r="1950" s="65" customFormat="1" customHeight="1" spans="1:14">
      <c r="A1950" s="77">
        <v>1947</v>
      </c>
      <c r="B1950" s="78" t="str">
        <f t="shared" si="48"/>
        <v/>
      </c>
      <c r="K1950" s="87"/>
      <c r="L1950" s="87"/>
      <c r="M1950" s="87"/>
      <c r="N1950" s="87"/>
    </row>
    <row r="1951" s="65" customFormat="1" customHeight="1" spans="1:14">
      <c r="A1951" s="77">
        <v>1948</v>
      </c>
      <c r="B1951" s="78" t="str">
        <f t="shared" si="48"/>
        <v/>
      </c>
      <c r="K1951" s="87"/>
      <c r="L1951" s="87"/>
      <c r="M1951" s="87"/>
      <c r="N1951" s="87"/>
    </row>
    <row r="1952" s="65" customFormat="1" customHeight="1" spans="1:14">
      <c r="A1952" s="77">
        <v>1949</v>
      </c>
      <c r="B1952" s="78" t="str">
        <f t="shared" si="48"/>
        <v/>
      </c>
      <c r="K1952" s="87"/>
      <c r="L1952" s="87"/>
      <c r="M1952" s="87"/>
      <c r="N1952" s="87"/>
    </row>
    <row r="1953" s="65" customFormat="1" customHeight="1" spans="1:14">
      <c r="A1953" s="77">
        <v>1950</v>
      </c>
      <c r="B1953" s="78" t="str">
        <f t="shared" si="48"/>
        <v/>
      </c>
      <c r="K1953" s="87"/>
      <c r="L1953" s="87"/>
      <c r="M1953" s="87"/>
      <c r="N1953" s="87"/>
    </row>
    <row r="1954" s="65" customFormat="1" customHeight="1" spans="1:14">
      <c r="A1954" s="77">
        <v>1951</v>
      </c>
      <c r="B1954" s="78" t="str">
        <f t="shared" si="48"/>
        <v/>
      </c>
      <c r="K1954" s="87"/>
      <c r="L1954" s="87"/>
      <c r="M1954" s="87"/>
      <c r="N1954" s="87"/>
    </row>
    <row r="1955" s="65" customFormat="1" customHeight="1" spans="1:14">
      <c r="A1955" s="77">
        <v>1952</v>
      </c>
      <c r="B1955" s="78" t="str">
        <f t="shared" si="48"/>
        <v/>
      </c>
      <c r="K1955" s="87"/>
      <c r="L1955" s="87"/>
      <c r="M1955" s="87"/>
      <c r="N1955" s="87"/>
    </row>
    <row r="1956" s="65" customFormat="1" customHeight="1" spans="1:14">
      <c r="A1956" s="77">
        <v>1953</v>
      </c>
      <c r="B1956" s="78" t="str">
        <f t="shared" si="48"/>
        <v/>
      </c>
      <c r="K1956" s="87"/>
      <c r="L1956" s="87"/>
      <c r="M1956" s="87"/>
      <c r="N1956" s="87"/>
    </row>
    <row r="1957" s="65" customFormat="1" customHeight="1" spans="1:14">
      <c r="A1957" s="77">
        <v>1954</v>
      </c>
      <c r="B1957" s="78" t="str">
        <f t="shared" si="48"/>
        <v/>
      </c>
      <c r="K1957" s="87"/>
      <c r="L1957" s="87"/>
      <c r="M1957" s="87"/>
      <c r="N1957" s="87"/>
    </row>
    <row r="1958" s="65" customFormat="1" customHeight="1" spans="1:14">
      <c r="A1958" s="77">
        <v>1955</v>
      </c>
      <c r="B1958" s="78" t="str">
        <f t="shared" si="48"/>
        <v/>
      </c>
      <c r="K1958" s="87"/>
      <c r="L1958" s="87"/>
      <c r="M1958" s="87"/>
      <c r="N1958" s="87"/>
    </row>
    <row r="1959" s="65" customFormat="1" customHeight="1" spans="1:14">
      <c r="A1959" s="77">
        <v>1956</v>
      </c>
      <c r="B1959" s="78" t="str">
        <f t="shared" si="48"/>
        <v/>
      </c>
      <c r="K1959" s="87"/>
      <c r="L1959" s="87"/>
      <c r="M1959" s="87"/>
      <c r="N1959" s="87"/>
    </row>
    <row r="1960" s="65" customFormat="1" customHeight="1" spans="1:14">
      <c r="A1960" s="77">
        <v>1957</v>
      </c>
      <c r="B1960" s="78" t="str">
        <f t="shared" si="48"/>
        <v/>
      </c>
      <c r="K1960" s="87"/>
      <c r="L1960" s="87"/>
      <c r="M1960" s="87"/>
      <c r="N1960" s="87"/>
    </row>
    <row r="1961" s="65" customFormat="1" customHeight="1" spans="1:14">
      <c r="A1961" s="77">
        <v>1958</v>
      </c>
      <c r="B1961" s="78" t="str">
        <f t="shared" si="48"/>
        <v/>
      </c>
      <c r="K1961" s="87"/>
      <c r="L1961" s="87"/>
      <c r="M1961" s="87"/>
      <c r="N1961" s="87"/>
    </row>
    <row r="1962" s="65" customFormat="1" customHeight="1" spans="1:14">
      <c r="A1962" s="77">
        <v>1959</v>
      </c>
      <c r="B1962" s="78" t="str">
        <f t="shared" si="48"/>
        <v/>
      </c>
      <c r="K1962" s="87"/>
      <c r="L1962" s="87"/>
      <c r="M1962" s="87"/>
      <c r="N1962" s="87"/>
    </row>
    <row r="1963" s="65" customFormat="1" customHeight="1" spans="1:14">
      <c r="A1963" s="77">
        <v>1960</v>
      </c>
      <c r="B1963" s="78" t="str">
        <f t="shared" si="48"/>
        <v/>
      </c>
      <c r="K1963" s="87"/>
      <c r="L1963" s="87"/>
      <c r="M1963" s="87"/>
      <c r="N1963" s="87"/>
    </row>
    <row r="1964" s="65" customFormat="1" customHeight="1" spans="1:14">
      <c r="A1964" s="77">
        <v>1961</v>
      </c>
      <c r="B1964" s="78" t="str">
        <f t="shared" si="48"/>
        <v/>
      </c>
      <c r="K1964" s="87"/>
      <c r="L1964" s="87"/>
      <c r="M1964" s="87"/>
      <c r="N1964" s="87"/>
    </row>
    <row r="1965" s="65" customFormat="1" customHeight="1" spans="1:14">
      <c r="A1965" s="77">
        <v>1962</v>
      </c>
      <c r="B1965" s="78" t="str">
        <f t="shared" si="48"/>
        <v/>
      </c>
      <c r="K1965" s="87"/>
      <c r="L1965" s="87"/>
      <c r="M1965" s="87"/>
      <c r="N1965" s="87"/>
    </row>
    <row r="1966" s="65" customFormat="1" customHeight="1" spans="1:14">
      <c r="A1966" s="77">
        <v>1963</v>
      </c>
      <c r="B1966" s="78" t="str">
        <f t="shared" si="48"/>
        <v/>
      </c>
      <c r="K1966" s="87"/>
      <c r="L1966" s="87"/>
      <c r="M1966" s="87"/>
      <c r="N1966" s="87"/>
    </row>
    <row r="1967" s="65" customFormat="1" customHeight="1" spans="1:14">
      <c r="A1967" s="77">
        <v>1964</v>
      </c>
      <c r="B1967" s="78" t="str">
        <f t="shared" si="48"/>
        <v/>
      </c>
      <c r="K1967" s="87"/>
      <c r="L1967" s="87"/>
      <c r="M1967" s="87"/>
      <c r="N1967" s="87"/>
    </row>
    <row r="1968" s="65" customFormat="1" customHeight="1" spans="1:14">
      <c r="A1968" s="77">
        <v>1965</v>
      </c>
      <c r="B1968" s="78" t="str">
        <f t="shared" si="48"/>
        <v/>
      </c>
      <c r="K1968" s="87"/>
      <c r="L1968" s="87"/>
      <c r="M1968" s="87"/>
      <c r="N1968" s="87"/>
    </row>
    <row r="1969" s="65" customFormat="1" customHeight="1" spans="1:14">
      <c r="A1969" s="77">
        <v>1966</v>
      </c>
      <c r="B1969" s="78" t="str">
        <f t="shared" si="48"/>
        <v/>
      </c>
      <c r="K1969" s="87"/>
      <c r="L1969" s="87"/>
      <c r="M1969" s="87"/>
      <c r="N1969" s="87"/>
    </row>
    <row r="1970" s="65" customFormat="1" customHeight="1" spans="1:14">
      <c r="A1970" s="77">
        <v>1967</v>
      </c>
      <c r="B1970" s="78" t="str">
        <f t="shared" si="48"/>
        <v/>
      </c>
      <c r="K1970" s="87"/>
      <c r="L1970" s="87"/>
      <c r="M1970" s="87"/>
      <c r="N1970" s="87"/>
    </row>
    <row r="1971" s="65" customFormat="1" customHeight="1" spans="1:14">
      <c r="A1971" s="77">
        <v>1968</v>
      </c>
      <c r="B1971" s="78" t="str">
        <f t="shared" si="48"/>
        <v/>
      </c>
      <c r="K1971" s="87"/>
      <c r="L1971" s="87"/>
      <c r="M1971" s="87"/>
      <c r="N1971" s="87"/>
    </row>
    <row r="1972" s="65" customFormat="1" customHeight="1" spans="1:14">
      <c r="A1972" s="77">
        <v>1969</v>
      </c>
      <c r="B1972" s="78" t="str">
        <f t="shared" si="48"/>
        <v/>
      </c>
      <c r="K1972" s="87"/>
      <c r="L1972" s="87"/>
      <c r="M1972" s="87"/>
      <c r="N1972" s="87"/>
    </row>
    <row r="1973" s="65" customFormat="1" customHeight="1" spans="1:14">
      <c r="A1973" s="77">
        <v>1970</v>
      </c>
      <c r="B1973" s="78" t="str">
        <f t="shared" si="48"/>
        <v/>
      </c>
      <c r="K1973" s="87"/>
      <c r="L1973" s="87"/>
      <c r="M1973" s="87"/>
      <c r="N1973" s="87"/>
    </row>
    <row r="1974" s="65" customFormat="1" customHeight="1" spans="1:14">
      <c r="A1974" s="77">
        <v>1971</v>
      </c>
      <c r="B1974" s="78" t="str">
        <f t="shared" si="48"/>
        <v/>
      </c>
      <c r="K1974" s="87"/>
      <c r="L1974" s="87"/>
      <c r="M1974" s="87"/>
      <c r="N1974" s="87"/>
    </row>
    <row r="1975" s="65" customFormat="1" customHeight="1" spans="1:14">
      <c r="A1975" s="77">
        <v>1972</v>
      </c>
      <c r="B1975" s="78" t="str">
        <f t="shared" si="48"/>
        <v/>
      </c>
      <c r="K1975" s="87"/>
      <c r="L1975" s="87"/>
      <c r="M1975" s="87"/>
      <c r="N1975" s="87"/>
    </row>
    <row r="1976" s="65" customFormat="1" customHeight="1" spans="1:14">
      <c r="A1976" s="77">
        <v>1973</v>
      </c>
      <c r="B1976" s="78" t="str">
        <f t="shared" si="48"/>
        <v/>
      </c>
      <c r="K1976" s="87"/>
      <c r="L1976" s="87"/>
      <c r="M1976" s="87"/>
      <c r="N1976" s="87"/>
    </row>
    <row r="1977" s="65" customFormat="1" customHeight="1" spans="1:14">
      <c r="A1977" s="77">
        <v>1974</v>
      </c>
      <c r="B1977" s="78" t="str">
        <f t="shared" si="48"/>
        <v/>
      </c>
      <c r="K1977" s="87"/>
      <c r="L1977" s="87"/>
      <c r="M1977" s="87"/>
      <c r="N1977" s="87"/>
    </row>
    <row r="1978" s="65" customFormat="1" customHeight="1" spans="1:14">
      <c r="A1978" s="77">
        <v>1975</v>
      </c>
      <c r="B1978" s="78" t="str">
        <f t="shared" si="48"/>
        <v/>
      </c>
      <c r="K1978" s="87"/>
      <c r="L1978" s="87"/>
      <c r="M1978" s="87"/>
      <c r="N1978" s="87"/>
    </row>
    <row r="1979" s="65" customFormat="1" customHeight="1" spans="1:14">
      <c r="A1979" s="77">
        <v>1976</v>
      </c>
      <c r="B1979" s="78" t="str">
        <f t="shared" si="48"/>
        <v/>
      </c>
      <c r="K1979" s="87"/>
      <c r="L1979" s="87"/>
      <c r="M1979" s="87"/>
      <c r="N1979" s="87"/>
    </row>
    <row r="1980" s="65" customFormat="1" customHeight="1" spans="1:14">
      <c r="A1980" s="77">
        <v>1977</v>
      </c>
      <c r="B1980" s="78" t="str">
        <f t="shared" si="48"/>
        <v/>
      </c>
      <c r="K1980" s="87"/>
      <c r="L1980" s="87"/>
      <c r="M1980" s="87"/>
      <c r="N1980" s="87"/>
    </row>
    <row r="1981" s="65" customFormat="1" customHeight="1" spans="1:14">
      <c r="A1981" s="77">
        <v>1978</v>
      </c>
      <c r="B1981" s="78" t="str">
        <f t="shared" si="48"/>
        <v/>
      </c>
      <c r="K1981" s="87"/>
      <c r="L1981" s="87"/>
      <c r="M1981" s="87"/>
      <c r="N1981" s="87"/>
    </row>
    <row r="1982" s="65" customFormat="1" customHeight="1" spans="1:14">
      <c r="A1982" s="77">
        <v>1979</v>
      </c>
      <c r="B1982" s="78" t="str">
        <f t="shared" si="48"/>
        <v/>
      </c>
      <c r="K1982" s="87"/>
      <c r="L1982" s="87"/>
      <c r="M1982" s="87"/>
      <c r="N1982" s="87"/>
    </row>
    <row r="1983" s="65" customFormat="1" customHeight="1" spans="1:14">
      <c r="A1983" s="77">
        <v>1980</v>
      </c>
      <c r="B1983" s="78" t="str">
        <f t="shared" si="48"/>
        <v/>
      </c>
      <c r="K1983" s="87"/>
      <c r="L1983" s="87"/>
      <c r="M1983" s="87"/>
      <c r="N1983" s="87"/>
    </row>
    <row r="1984" s="65" customFormat="1" customHeight="1" spans="1:14">
      <c r="A1984" s="77">
        <v>1981</v>
      </c>
      <c r="B1984" s="78" t="str">
        <f t="shared" si="48"/>
        <v/>
      </c>
      <c r="K1984" s="87"/>
      <c r="L1984" s="87"/>
      <c r="M1984" s="87"/>
      <c r="N1984" s="87"/>
    </row>
    <row r="1985" s="65" customFormat="1" customHeight="1" spans="1:14">
      <c r="A1985" s="77">
        <v>1982</v>
      </c>
      <c r="B1985" s="78" t="str">
        <f t="shared" si="48"/>
        <v/>
      </c>
      <c r="K1985" s="87"/>
      <c r="L1985" s="87"/>
      <c r="M1985" s="87"/>
      <c r="N1985" s="87"/>
    </row>
    <row r="1986" s="65" customFormat="1" customHeight="1" spans="1:14">
      <c r="A1986" s="77">
        <v>1983</v>
      </c>
      <c r="B1986" s="78" t="str">
        <f t="shared" si="48"/>
        <v/>
      </c>
      <c r="K1986" s="87"/>
      <c r="L1986" s="87"/>
      <c r="M1986" s="87"/>
      <c r="N1986" s="87"/>
    </row>
    <row r="1987" s="65" customFormat="1" customHeight="1" spans="1:14">
      <c r="A1987" s="77">
        <v>1984</v>
      </c>
      <c r="B1987" s="78" t="str">
        <f t="shared" si="48"/>
        <v/>
      </c>
      <c r="K1987" s="87"/>
      <c r="L1987" s="87"/>
      <c r="M1987" s="87"/>
      <c r="N1987" s="87"/>
    </row>
    <row r="1988" s="65" customFormat="1" customHeight="1" spans="1:14">
      <c r="A1988" s="77">
        <v>1985</v>
      </c>
      <c r="B1988" s="78" t="str">
        <f t="shared" si="48"/>
        <v/>
      </c>
      <c r="K1988" s="87"/>
      <c r="L1988" s="87"/>
      <c r="M1988" s="87"/>
      <c r="N1988" s="87"/>
    </row>
    <row r="1989" s="65" customFormat="1" customHeight="1" spans="1:14">
      <c r="A1989" s="77">
        <v>1986</v>
      </c>
      <c r="B1989" s="78" t="str">
        <f t="shared" si="48"/>
        <v/>
      </c>
      <c r="K1989" s="87"/>
      <c r="L1989" s="87"/>
      <c r="M1989" s="87"/>
      <c r="N1989" s="87"/>
    </row>
    <row r="1990" s="65" customFormat="1" customHeight="1" spans="1:14">
      <c r="A1990" s="77">
        <v>1987</v>
      </c>
      <c r="B1990" s="78" t="str">
        <f t="shared" si="48"/>
        <v/>
      </c>
      <c r="K1990" s="87"/>
      <c r="L1990" s="87"/>
      <c r="M1990" s="87"/>
      <c r="N1990" s="87"/>
    </row>
    <row r="1991" s="65" customFormat="1" customHeight="1" spans="1:14">
      <c r="A1991" s="77">
        <v>1988</v>
      </c>
      <c r="B1991" s="78" t="str">
        <f t="shared" si="48"/>
        <v/>
      </c>
      <c r="K1991" s="87"/>
      <c r="L1991" s="87"/>
      <c r="M1991" s="87"/>
      <c r="N1991" s="87"/>
    </row>
    <row r="1992" s="65" customFormat="1" customHeight="1" spans="1:14">
      <c r="A1992" s="77">
        <v>1989</v>
      </c>
      <c r="B1992" s="78" t="str">
        <f t="shared" si="48"/>
        <v/>
      </c>
      <c r="K1992" s="87"/>
      <c r="L1992" s="87"/>
      <c r="M1992" s="87"/>
      <c r="N1992" s="87"/>
    </row>
    <row r="1993" s="65" customFormat="1" customHeight="1" spans="1:14">
      <c r="A1993" s="77">
        <v>1990</v>
      </c>
      <c r="B1993" s="78" t="str">
        <f t="shared" si="48"/>
        <v/>
      </c>
      <c r="K1993" s="87"/>
      <c r="L1993" s="87"/>
      <c r="M1993" s="87"/>
      <c r="N1993" s="87"/>
    </row>
    <row r="1994" s="65" customFormat="1" customHeight="1" spans="1:14">
      <c r="A1994" s="77">
        <v>1991</v>
      </c>
      <c r="B1994" s="78" t="str">
        <f t="shared" si="48"/>
        <v/>
      </c>
      <c r="K1994" s="87"/>
      <c r="L1994" s="87"/>
      <c r="M1994" s="87"/>
      <c r="N1994" s="87"/>
    </row>
    <row r="1995" s="65" customFormat="1" customHeight="1" spans="1:14">
      <c r="A1995" s="77">
        <v>1992</v>
      </c>
      <c r="B1995" s="78" t="str">
        <f t="shared" si="48"/>
        <v/>
      </c>
      <c r="K1995" s="87"/>
      <c r="L1995" s="87"/>
      <c r="M1995" s="87"/>
      <c r="N1995" s="87"/>
    </row>
    <row r="1996" s="65" customFormat="1" customHeight="1" spans="1:14">
      <c r="A1996" s="77">
        <v>1993</v>
      </c>
      <c r="B1996" s="78" t="str">
        <f t="shared" si="48"/>
        <v/>
      </c>
      <c r="K1996" s="87"/>
      <c r="L1996" s="87"/>
      <c r="M1996" s="87"/>
      <c r="N1996" s="87"/>
    </row>
    <row r="1997" s="65" customFormat="1" customHeight="1" spans="1:14">
      <c r="A1997" s="77">
        <v>1994</v>
      </c>
      <c r="B1997" s="78" t="str">
        <f t="shared" si="48"/>
        <v/>
      </c>
      <c r="K1997" s="87"/>
      <c r="L1997" s="87"/>
      <c r="M1997" s="87"/>
      <c r="N1997" s="87"/>
    </row>
    <row r="1998" s="65" customFormat="1" customHeight="1" spans="1:14">
      <c r="A1998" s="77">
        <v>1995</v>
      </c>
      <c r="B1998" s="78" t="str">
        <f t="shared" ref="B1998:B2034" si="49">+C1998&amp;E1998</f>
        <v/>
      </c>
      <c r="K1998" s="87"/>
      <c r="L1998" s="87"/>
      <c r="M1998" s="87"/>
      <c r="N1998" s="87"/>
    </row>
    <row r="1999" s="65" customFormat="1" customHeight="1" spans="1:14">
      <c r="A1999" s="77">
        <v>1996</v>
      </c>
      <c r="B1999" s="78" t="str">
        <f t="shared" si="49"/>
        <v/>
      </c>
      <c r="K1999" s="87"/>
      <c r="L1999" s="87"/>
      <c r="M1999" s="87"/>
      <c r="N1999" s="87"/>
    </row>
    <row r="2000" s="65" customFormat="1" customHeight="1" spans="1:14">
      <c r="A2000" s="77">
        <v>1997</v>
      </c>
      <c r="B2000" s="78" t="str">
        <f t="shared" si="49"/>
        <v/>
      </c>
      <c r="K2000" s="87"/>
      <c r="L2000" s="87"/>
      <c r="M2000" s="87"/>
      <c r="N2000" s="87"/>
    </row>
    <row r="2001" s="65" customFormat="1" customHeight="1" spans="1:14">
      <c r="A2001" s="77">
        <v>1998</v>
      </c>
      <c r="B2001" s="78" t="str">
        <f t="shared" si="49"/>
        <v/>
      </c>
      <c r="K2001" s="87"/>
      <c r="L2001" s="87"/>
      <c r="M2001" s="87"/>
      <c r="N2001" s="87"/>
    </row>
    <row r="2002" s="65" customFormat="1" customHeight="1" spans="1:14">
      <c r="A2002" s="77">
        <v>1999</v>
      </c>
      <c r="B2002" s="78" t="str">
        <f t="shared" si="49"/>
        <v/>
      </c>
      <c r="K2002" s="87"/>
      <c r="L2002" s="87"/>
      <c r="M2002" s="87"/>
      <c r="N2002" s="87"/>
    </row>
    <row r="2003" s="65" customFormat="1" customHeight="1" spans="1:14">
      <c r="A2003" s="77">
        <v>2000</v>
      </c>
      <c r="B2003" s="78" t="str">
        <f t="shared" si="49"/>
        <v/>
      </c>
      <c r="K2003" s="87"/>
      <c r="L2003" s="87"/>
      <c r="M2003" s="87"/>
      <c r="N2003" s="87"/>
    </row>
    <row r="2004" s="65" customFormat="1" customHeight="1" spans="1:14">
      <c r="A2004" s="77">
        <v>2001</v>
      </c>
      <c r="B2004" s="78" t="str">
        <f t="shared" si="49"/>
        <v/>
      </c>
      <c r="K2004" s="87"/>
      <c r="L2004" s="87"/>
      <c r="M2004" s="87"/>
      <c r="N2004" s="87"/>
    </row>
    <row r="2005" s="65" customFormat="1" customHeight="1" spans="1:14">
      <c r="A2005" s="77">
        <v>2002</v>
      </c>
      <c r="B2005" s="78" t="str">
        <f t="shared" si="49"/>
        <v/>
      </c>
      <c r="K2005" s="87"/>
      <c r="L2005" s="87"/>
      <c r="M2005" s="87"/>
      <c r="N2005" s="87"/>
    </row>
    <row r="2006" s="65" customFormat="1" customHeight="1" spans="1:14">
      <c r="A2006" s="77">
        <v>2003</v>
      </c>
      <c r="B2006" s="78" t="str">
        <f t="shared" si="49"/>
        <v/>
      </c>
      <c r="K2006" s="87"/>
      <c r="L2006" s="87"/>
      <c r="M2006" s="87"/>
      <c r="N2006" s="87"/>
    </row>
    <row r="2007" s="65" customFormat="1" customHeight="1" spans="1:14">
      <c r="A2007" s="77">
        <v>2004</v>
      </c>
      <c r="B2007" s="78" t="str">
        <f t="shared" si="49"/>
        <v/>
      </c>
      <c r="K2007" s="87"/>
      <c r="L2007" s="87"/>
      <c r="M2007" s="87"/>
      <c r="N2007" s="87"/>
    </row>
    <row r="2008" s="65" customFormat="1" customHeight="1" spans="1:14">
      <c r="A2008" s="77">
        <v>2005</v>
      </c>
      <c r="B2008" s="78" t="str">
        <f t="shared" si="49"/>
        <v/>
      </c>
      <c r="K2008" s="87"/>
      <c r="L2008" s="87"/>
      <c r="M2008" s="87"/>
      <c r="N2008" s="87"/>
    </row>
    <row r="2009" s="65" customFormat="1" customHeight="1" spans="1:14">
      <c r="A2009" s="77">
        <v>2006</v>
      </c>
      <c r="B2009" s="78" t="str">
        <f t="shared" si="49"/>
        <v/>
      </c>
      <c r="K2009" s="87"/>
      <c r="L2009" s="87"/>
      <c r="M2009" s="87"/>
      <c r="N2009" s="87"/>
    </row>
    <row r="2010" s="65" customFormat="1" customHeight="1" spans="1:14">
      <c r="A2010" s="77">
        <v>2007</v>
      </c>
      <c r="B2010" s="78" t="str">
        <f t="shared" si="49"/>
        <v/>
      </c>
      <c r="K2010" s="87"/>
      <c r="L2010" s="87"/>
      <c r="M2010" s="87"/>
      <c r="N2010" s="87"/>
    </row>
    <row r="2011" s="65" customFormat="1" customHeight="1" spans="1:14">
      <c r="A2011" s="77">
        <v>2008</v>
      </c>
      <c r="B2011" s="78" t="str">
        <f t="shared" si="49"/>
        <v/>
      </c>
      <c r="K2011" s="87"/>
      <c r="L2011" s="87"/>
      <c r="M2011" s="87"/>
      <c r="N2011" s="87"/>
    </row>
    <row r="2012" s="65" customFormat="1" customHeight="1" spans="1:14">
      <c r="A2012" s="77">
        <v>2009</v>
      </c>
      <c r="B2012" s="78" t="str">
        <f t="shared" si="49"/>
        <v/>
      </c>
      <c r="K2012" s="87"/>
      <c r="L2012" s="87"/>
      <c r="M2012" s="87"/>
      <c r="N2012" s="87"/>
    </row>
    <row r="2013" s="65" customFormat="1" customHeight="1" spans="1:14">
      <c r="A2013" s="77">
        <v>2010</v>
      </c>
      <c r="B2013" s="78" t="str">
        <f t="shared" si="49"/>
        <v/>
      </c>
      <c r="K2013" s="87"/>
      <c r="L2013" s="87"/>
      <c r="M2013" s="87"/>
      <c r="N2013" s="87"/>
    </row>
    <row r="2014" s="65" customFormat="1" customHeight="1" spans="1:14">
      <c r="A2014" s="77">
        <v>2011</v>
      </c>
      <c r="B2014" s="78" t="str">
        <f t="shared" si="49"/>
        <v/>
      </c>
      <c r="K2014" s="87"/>
      <c r="L2014" s="87"/>
      <c r="M2014" s="87"/>
      <c r="N2014" s="87"/>
    </row>
    <row r="2015" s="65" customFormat="1" customHeight="1" spans="1:14">
      <c r="A2015" s="77">
        <v>2012</v>
      </c>
      <c r="B2015" s="78" t="str">
        <f t="shared" si="49"/>
        <v/>
      </c>
      <c r="K2015" s="87"/>
      <c r="L2015" s="87"/>
      <c r="M2015" s="87"/>
      <c r="N2015" s="87"/>
    </row>
    <row r="2016" s="65" customFormat="1" customHeight="1" spans="1:14">
      <c r="A2016" s="77">
        <v>2013</v>
      </c>
      <c r="B2016" s="78" t="str">
        <f t="shared" si="49"/>
        <v/>
      </c>
      <c r="K2016" s="87"/>
      <c r="L2016" s="87"/>
      <c r="M2016" s="87"/>
      <c r="N2016" s="87"/>
    </row>
    <row r="2017" s="65" customFormat="1" customHeight="1" spans="1:14">
      <c r="A2017" s="77">
        <v>2014</v>
      </c>
      <c r="B2017" s="78" t="str">
        <f t="shared" si="49"/>
        <v/>
      </c>
      <c r="K2017" s="87"/>
      <c r="L2017" s="87"/>
      <c r="M2017" s="87"/>
      <c r="N2017" s="87"/>
    </row>
    <row r="2018" s="65" customFormat="1" customHeight="1" spans="1:14">
      <c r="A2018" s="77">
        <v>2015</v>
      </c>
      <c r="B2018" s="78" t="str">
        <f t="shared" si="49"/>
        <v/>
      </c>
      <c r="K2018" s="87"/>
      <c r="L2018" s="87"/>
      <c r="M2018" s="87"/>
      <c r="N2018" s="87"/>
    </row>
    <row r="2019" s="65" customFormat="1" customHeight="1" spans="1:14">
      <c r="A2019" s="77">
        <v>2016</v>
      </c>
      <c r="B2019" s="78" t="str">
        <f t="shared" si="49"/>
        <v/>
      </c>
      <c r="K2019" s="87"/>
      <c r="L2019" s="87"/>
      <c r="M2019" s="87"/>
      <c r="N2019" s="87"/>
    </row>
    <row r="2020" s="65" customFormat="1" customHeight="1" spans="1:14">
      <c r="A2020" s="77">
        <v>2017</v>
      </c>
      <c r="B2020" s="78" t="str">
        <f t="shared" si="49"/>
        <v/>
      </c>
      <c r="K2020" s="87"/>
      <c r="L2020" s="87"/>
      <c r="M2020" s="87"/>
      <c r="N2020" s="87"/>
    </row>
    <row r="2021" s="65" customFormat="1" customHeight="1" spans="1:14">
      <c r="A2021" s="77">
        <v>2018</v>
      </c>
      <c r="B2021" s="78" t="str">
        <f t="shared" si="49"/>
        <v/>
      </c>
      <c r="K2021" s="87"/>
      <c r="L2021" s="87"/>
      <c r="M2021" s="87"/>
      <c r="N2021" s="87"/>
    </row>
    <row r="2022" s="65" customFormat="1" customHeight="1" spans="1:14">
      <c r="A2022" s="77">
        <v>2019</v>
      </c>
      <c r="B2022" s="78" t="str">
        <f t="shared" si="49"/>
        <v/>
      </c>
      <c r="K2022" s="87"/>
      <c r="L2022" s="87"/>
      <c r="M2022" s="87"/>
      <c r="N2022" s="87"/>
    </row>
    <row r="2023" s="65" customFormat="1" customHeight="1" spans="1:14">
      <c r="A2023" s="77">
        <v>2020</v>
      </c>
      <c r="B2023" s="78" t="str">
        <f t="shared" si="49"/>
        <v/>
      </c>
      <c r="K2023" s="87"/>
      <c r="L2023" s="87"/>
      <c r="M2023" s="87"/>
      <c r="N2023" s="87"/>
    </row>
    <row r="2024" s="65" customFormat="1" customHeight="1" spans="1:14">
      <c r="A2024" s="77">
        <v>2021</v>
      </c>
      <c r="B2024" s="78" t="str">
        <f t="shared" si="49"/>
        <v/>
      </c>
      <c r="K2024" s="87"/>
      <c r="L2024" s="87"/>
      <c r="M2024" s="87"/>
      <c r="N2024" s="87"/>
    </row>
    <row r="2025" s="65" customFormat="1" customHeight="1" spans="1:14">
      <c r="A2025" s="77">
        <v>2022</v>
      </c>
      <c r="B2025" s="78" t="str">
        <f t="shared" si="49"/>
        <v/>
      </c>
      <c r="K2025" s="87"/>
      <c r="L2025" s="87"/>
      <c r="M2025" s="87"/>
      <c r="N2025" s="87"/>
    </row>
    <row r="2026" s="65" customFormat="1" customHeight="1" spans="1:14">
      <c r="A2026" s="77">
        <v>2023</v>
      </c>
      <c r="B2026" s="78" t="str">
        <f t="shared" si="49"/>
        <v/>
      </c>
      <c r="K2026" s="87"/>
      <c r="L2026" s="87"/>
      <c r="M2026" s="87"/>
      <c r="N2026" s="87"/>
    </row>
    <row r="2027" s="65" customFormat="1" customHeight="1" spans="1:14">
      <c r="A2027" s="77">
        <v>2024</v>
      </c>
      <c r="B2027" s="78" t="str">
        <f t="shared" si="49"/>
        <v/>
      </c>
      <c r="K2027" s="87"/>
      <c r="L2027" s="87"/>
      <c r="M2027" s="87"/>
      <c r="N2027" s="87"/>
    </row>
    <row r="2028" s="65" customFormat="1" customHeight="1" spans="1:14">
      <c r="A2028" s="77">
        <v>2025</v>
      </c>
      <c r="B2028" s="78" t="str">
        <f t="shared" si="49"/>
        <v/>
      </c>
      <c r="K2028" s="87"/>
      <c r="L2028" s="87"/>
      <c r="M2028" s="87"/>
      <c r="N2028" s="87"/>
    </row>
    <row r="2029" s="65" customFormat="1" customHeight="1" spans="1:14">
      <c r="A2029" s="77">
        <v>2026</v>
      </c>
      <c r="B2029" s="78" t="str">
        <f t="shared" si="49"/>
        <v/>
      </c>
      <c r="K2029" s="87"/>
      <c r="L2029" s="87"/>
      <c r="M2029" s="87"/>
      <c r="N2029" s="87"/>
    </row>
    <row r="2030" s="65" customFormat="1" customHeight="1" spans="1:14">
      <c r="A2030" s="77">
        <v>2027</v>
      </c>
      <c r="B2030" s="78" t="str">
        <f t="shared" si="49"/>
        <v/>
      </c>
      <c r="K2030" s="87"/>
      <c r="L2030" s="87"/>
      <c r="M2030" s="87"/>
      <c r="N2030" s="87"/>
    </row>
    <row r="2031" s="65" customFormat="1" customHeight="1" spans="1:14">
      <c r="A2031" s="77">
        <v>2028</v>
      </c>
      <c r="B2031" s="78" t="str">
        <f t="shared" si="49"/>
        <v/>
      </c>
      <c r="K2031" s="87"/>
      <c r="L2031" s="87"/>
      <c r="M2031" s="87"/>
      <c r="N2031" s="87"/>
    </row>
    <row r="2032" s="65" customFormat="1" customHeight="1" spans="1:14">
      <c r="A2032" s="77">
        <v>2029</v>
      </c>
      <c r="B2032" s="78" t="str">
        <f t="shared" si="49"/>
        <v/>
      </c>
      <c r="K2032" s="87"/>
      <c r="L2032" s="87"/>
      <c r="M2032" s="87"/>
      <c r="N2032" s="87"/>
    </row>
    <row r="2033" s="65" customFormat="1" customHeight="1" spans="1:14">
      <c r="A2033" s="77">
        <v>2030</v>
      </c>
      <c r="B2033" s="78" t="str">
        <f t="shared" si="49"/>
        <v/>
      </c>
      <c r="K2033" s="87"/>
      <c r="L2033" s="87"/>
      <c r="M2033" s="87"/>
      <c r="N2033" s="87"/>
    </row>
    <row r="2034" s="65" customFormat="1" customHeight="1" spans="1:14">
      <c r="A2034" s="77">
        <v>2031</v>
      </c>
      <c r="B2034" s="78" t="str">
        <f t="shared" si="49"/>
        <v/>
      </c>
      <c r="K2034" s="87"/>
      <c r="L2034" s="87"/>
      <c r="M2034" s="87"/>
      <c r="N2034" s="87"/>
    </row>
  </sheetData>
  <mergeCells count="6">
    <mergeCell ref="E1:J1"/>
    <mergeCell ref="K1:P1"/>
    <mergeCell ref="A1:A2"/>
    <mergeCell ref="B1:B2"/>
    <mergeCell ref="C1:C2"/>
    <mergeCell ref="D1:D2"/>
  </mergeCells>
  <pageMargins left="0.7" right="0.7" top="0.75" bottom="0.75" header="0.3" footer="0.3"/>
  <pageSetup paperSize="1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327"/>
  <sheetViews>
    <sheetView view="pageBreakPreview" zoomScale="106" zoomScaleNormal="100" topLeftCell="A311" workbookViewId="0">
      <selection activeCell="D320" sqref="D320"/>
    </sheetView>
  </sheetViews>
  <sheetFormatPr defaultColWidth="9.11111111111111" defaultRowHeight="29.25" customHeight="1" outlineLevelCol="2"/>
  <cols>
    <col min="1" max="1" width="13.3333333333333" style="52" customWidth="1"/>
    <col min="2" max="2" width="31.1111111111111" style="53" customWidth="1"/>
    <col min="3" max="3" width="19.1111111111111" style="52" customWidth="1"/>
    <col min="4" max="4" width="12.8888888888889" style="52" customWidth="1"/>
    <col min="5" max="16384" width="9.11111111111111" style="52"/>
  </cols>
  <sheetData>
    <row r="1" s="51" customFormat="1" ht="22.5" customHeight="1" spans="1:3">
      <c r="A1" s="54" t="s">
        <v>982</v>
      </c>
      <c r="B1" s="55">
        <v>1</v>
      </c>
      <c r="C1" s="55">
        <v>2</v>
      </c>
    </row>
    <row r="2" s="51" customFormat="1" customHeight="1" spans="1:3">
      <c r="A2" s="54" t="s">
        <v>983</v>
      </c>
      <c r="B2" s="54" t="s">
        <v>984</v>
      </c>
      <c r="C2" s="54" t="s">
        <v>985</v>
      </c>
    </row>
    <row r="3" customHeight="1" spans="1:3">
      <c r="A3" s="52">
        <v>1</v>
      </c>
      <c r="B3" s="56" t="s">
        <v>192</v>
      </c>
      <c r="C3" s="52">
        <v>1290</v>
      </c>
    </row>
    <row r="4" customHeight="1" spans="1:3">
      <c r="A4" s="52">
        <v>2</v>
      </c>
      <c r="B4" s="56" t="s">
        <v>528</v>
      </c>
      <c r="C4" s="52" t="s">
        <v>986</v>
      </c>
    </row>
    <row r="5" customHeight="1" spans="1:3">
      <c r="A5" s="52">
        <v>3</v>
      </c>
      <c r="B5" s="56" t="s">
        <v>195</v>
      </c>
      <c r="C5" s="52">
        <v>80</v>
      </c>
    </row>
    <row r="6" customHeight="1" spans="1:3">
      <c r="A6" s="52">
        <v>4</v>
      </c>
      <c r="B6" s="56" t="s">
        <v>196</v>
      </c>
      <c r="C6" s="52" t="s">
        <v>986</v>
      </c>
    </row>
    <row r="7" customHeight="1" spans="1:3">
      <c r="A7" s="52">
        <v>5</v>
      </c>
      <c r="B7" s="56" t="s">
        <v>529</v>
      </c>
      <c r="C7" s="52">
        <v>190</v>
      </c>
    </row>
    <row r="8" customHeight="1" spans="1:3">
      <c r="A8" s="52">
        <v>6</v>
      </c>
      <c r="B8" s="56" t="s">
        <v>530</v>
      </c>
      <c r="C8" s="52">
        <v>190</v>
      </c>
    </row>
    <row r="9" customHeight="1" spans="1:3">
      <c r="A9" s="52">
        <v>7</v>
      </c>
      <c r="B9" s="56" t="s">
        <v>531</v>
      </c>
      <c r="C9" s="52">
        <v>70</v>
      </c>
    </row>
    <row r="10" customHeight="1" spans="1:3">
      <c r="A10" s="52">
        <v>8</v>
      </c>
      <c r="B10" s="56" t="s">
        <v>209</v>
      </c>
      <c r="C10" s="52">
        <v>460</v>
      </c>
    </row>
    <row r="11" customHeight="1" spans="1:3">
      <c r="A11" s="52">
        <v>9</v>
      </c>
      <c r="B11" s="56" t="s">
        <v>210</v>
      </c>
      <c r="C11" s="52">
        <v>1950</v>
      </c>
    </row>
    <row r="12" customHeight="1" spans="1:3">
      <c r="A12" s="52">
        <v>10</v>
      </c>
      <c r="B12" s="56" t="s">
        <v>548</v>
      </c>
      <c r="C12" s="52">
        <v>2500</v>
      </c>
    </row>
    <row r="13" customHeight="1" spans="1:3">
      <c r="A13" s="52">
        <v>11</v>
      </c>
      <c r="B13" s="56" t="s">
        <v>212</v>
      </c>
      <c r="C13" s="52">
        <v>2500</v>
      </c>
    </row>
    <row r="14" customHeight="1" spans="1:3">
      <c r="A14" s="52">
        <v>12</v>
      </c>
      <c r="B14" s="56" t="s">
        <v>215</v>
      </c>
      <c r="C14" s="52">
        <v>80</v>
      </c>
    </row>
    <row r="15" customHeight="1" spans="1:3">
      <c r="A15" s="52">
        <v>13</v>
      </c>
      <c r="B15" s="56" t="s">
        <v>216</v>
      </c>
      <c r="C15" s="52">
        <v>650</v>
      </c>
    </row>
    <row r="16" customHeight="1" spans="1:3">
      <c r="A16" s="52">
        <v>14</v>
      </c>
      <c r="B16" s="56" t="s">
        <v>553</v>
      </c>
      <c r="C16" s="52">
        <v>60</v>
      </c>
    </row>
    <row r="17" customHeight="1" spans="1:3">
      <c r="A17" s="52">
        <v>15</v>
      </c>
      <c r="B17" s="56" t="s">
        <v>218</v>
      </c>
      <c r="C17" s="52">
        <v>290</v>
      </c>
    </row>
    <row r="18" customHeight="1" spans="1:3">
      <c r="A18" s="52">
        <v>16</v>
      </c>
      <c r="B18" s="56" t="s">
        <v>220</v>
      </c>
      <c r="C18" s="52">
        <v>40</v>
      </c>
    </row>
    <row r="19" customHeight="1" spans="1:3">
      <c r="A19" s="52">
        <v>17</v>
      </c>
      <c r="B19" s="56" t="s">
        <v>223</v>
      </c>
      <c r="C19" s="52">
        <v>180</v>
      </c>
    </row>
    <row r="20" customHeight="1" spans="1:3">
      <c r="A20" s="52">
        <v>18</v>
      </c>
      <c r="B20" s="56" t="s">
        <v>574</v>
      </c>
      <c r="C20" s="52">
        <v>60</v>
      </c>
    </row>
    <row r="21" customHeight="1" spans="1:3">
      <c r="A21" s="52">
        <v>19</v>
      </c>
      <c r="B21" s="56" t="s">
        <v>230</v>
      </c>
      <c r="C21" s="52">
        <v>390</v>
      </c>
    </row>
    <row r="22" customHeight="1" spans="1:3">
      <c r="A22" s="52">
        <v>20</v>
      </c>
      <c r="B22" s="56" t="s">
        <v>231</v>
      </c>
      <c r="C22" s="52">
        <v>490</v>
      </c>
    </row>
    <row r="23" customHeight="1" spans="1:3">
      <c r="A23" s="52">
        <v>21</v>
      </c>
      <c r="B23" s="56" t="s">
        <v>586</v>
      </c>
      <c r="C23" s="52">
        <v>120</v>
      </c>
    </row>
    <row r="24" customHeight="1" spans="1:3">
      <c r="A24" s="52">
        <v>22</v>
      </c>
      <c r="B24" s="57" t="s">
        <v>232</v>
      </c>
      <c r="C24" s="52">
        <v>2900</v>
      </c>
    </row>
    <row r="25" customHeight="1" spans="1:3">
      <c r="A25" s="52">
        <v>23</v>
      </c>
      <c r="B25" s="56" t="s">
        <v>233</v>
      </c>
      <c r="C25" s="52">
        <v>350</v>
      </c>
    </row>
    <row r="26" customHeight="1" spans="1:3">
      <c r="A26" s="52">
        <v>24</v>
      </c>
      <c r="B26" s="57" t="s">
        <v>235</v>
      </c>
      <c r="C26" s="52">
        <v>40</v>
      </c>
    </row>
    <row r="27" customHeight="1" spans="1:3">
      <c r="A27" s="52">
        <v>25</v>
      </c>
      <c r="B27" s="56" t="s">
        <v>236</v>
      </c>
      <c r="C27" s="52">
        <v>550</v>
      </c>
    </row>
    <row r="28" customHeight="1" spans="1:3">
      <c r="A28" s="52">
        <v>26</v>
      </c>
      <c r="B28" s="56" t="s">
        <v>236</v>
      </c>
      <c r="C28" s="52">
        <v>210</v>
      </c>
    </row>
    <row r="29" customHeight="1" spans="1:3">
      <c r="A29" s="52">
        <v>27</v>
      </c>
      <c r="B29" s="56" t="s">
        <v>241</v>
      </c>
      <c r="C29" s="52">
        <v>1290</v>
      </c>
    </row>
    <row r="30" customHeight="1" spans="1:3">
      <c r="A30" s="52">
        <v>28</v>
      </c>
      <c r="B30" s="56" t="s">
        <v>244</v>
      </c>
      <c r="C30" s="52">
        <v>100</v>
      </c>
    </row>
    <row r="31" customHeight="1" spans="1:3">
      <c r="A31" s="52">
        <v>29</v>
      </c>
      <c r="B31" s="56" t="s">
        <v>245</v>
      </c>
      <c r="C31" s="52">
        <v>280</v>
      </c>
    </row>
    <row r="32" customHeight="1" spans="1:3">
      <c r="A32" s="52">
        <v>30</v>
      </c>
      <c r="B32" s="56" t="s">
        <v>251</v>
      </c>
      <c r="C32" s="52">
        <v>50</v>
      </c>
    </row>
    <row r="33" customHeight="1" spans="1:3">
      <c r="A33" s="52">
        <v>31</v>
      </c>
      <c r="B33" s="56" t="s">
        <v>252</v>
      </c>
      <c r="C33" s="52">
        <v>30</v>
      </c>
    </row>
    <row r="34" customHeight="1" spans="1:3">
      <c r="A34" s="52">
        <v>32</v>
      </c>
      <c r="B34" s="56" t="s">
        <v>253</v>
      </c>
      <c r="C34" s="52">
        <v>100</v>
      </c>
    </row>
    <row r="35" customHeight="1" spans="1:3">
      <c r="A35" s="52">
        <v>33</v>
      </c>
      <c r="B35" s="56" t="s">
        <v>254</v>
      </c>
      <c r="C35" s="52">
        <v>180</v>
      </c>
    </row>
    <row r="36" customHeight="1" spans="1:3">
      <c r="A36" s="52">
        <v>34</v>
      </c>
      <c r="B36" s="56" t="s">
        <v>255</v>
      </c>
      <c r="C36" s="52">
        <v>2450</v>
      </c>
    </row>
    <row r="37" customHeight="1" spans="1:3">
      <c r="A37" s="52">
        <v>35</v>
      </c>
      <c r="B37" s="56" t="s">
        <v>256</v>
      </c>
      <c r="C37" s="52">
        <v>6800</v>
      </c>
    </row>
    <row r="38" customHeight="1" spans="1:3">
      <c r="A38" s="52">
        <v>36</v>
      </c>
      <c r="B38" s="56" t="s">
        <v>102</v>
      </c>
      <c r="C38" s="52">
        <v>350</v>
      </c>
    </row>
    <row r="39" customHeight="1" spans="1:3">
      <c r="A39" s="52">
        <v>37</v>
      </c>
      <c r="B39" s="56" t="s">
        <v>257</v>
      </c>
      <c r="C39" s="52">
        <v>250</v>
      </c>
    </row>
    <row r="40" customHeight="1" spans="1:3">
      <c r="A40" s="52">
        <v>38</v>
      </c>
      <c r="B40" s="56" t="s">
        <v>258</v>
      </c>
      <c r="C40" s="52">
        <v>120</v>
      </c>
    </row>
    <row r="41" customHeight="1" spans="1:3">
      <c r="A41" s="52">
        <v>39</v>
      </c>
      <c r="B41" s="56" t="s">
        <v>259</v>
      </c>
      <c r="C41" s="52">
        <v>1550</v>
      </c>
    </row>
    <row r="42" customHeight="1" spans="1:3">
      <c r="A42" s="52">
        <v>40</v>
      </c>
      <c r="B42" s="56" t="s">
        <v>260</v>
      </c>
      <c r="C42" s="52">
        <v>790</v>
      </c>
    </row>
    <row r="43" customHeight="1" spans="1:3">
      <c r="A43" s="52">
        <v>41</v>
      </c>
      <c r="B43" s="56" t="s">
        <v>261</v>
      </c>
      <c r="C43" s="52">
        <v>90</v>
      </c>
    </row>
    <row r="44" customHeight="1" spans="1:3">
      <c r="A44" s="52">
        <v>42</v>
      </c>
      <c r="B44" s="56" t="s">
        <v>262</v>
      </c>
      <c r="C44" s="52">
        <v>50</v>
      </c>
    </row>
    <row r="45" customHeight="1" spans="1:3">
      <c r="A45" s="52">
        <v>43</v>
      </c>
      <c r="B45" s="56" t="s">
        <v>631</v>
      </c>
      <c r="C45" s="52">
        <v>1290</v>
      </c>
    </row>
    <row r="46" customHeight="1" spans="1:3">
      <c r="A46" s="52">
        <v>44</v>
      </c>
      <c r="B46" s="56" t="s">
        <v>264</v>
      </c>
      <c r="C46" s="52">
        <v>120</v>
      </c>
    </row>
    <row r="47" customHeight="1" spans="1:3">
      <c r="A47" s="52">
        <v>45</v>
      </c>
      <c r="B47" s="56" t="s">
        <v>265</v>
      </c>
      <c r="C47" s="52">
        <v>160</v>
      </c>
    </row>
    <row r="48" customHeight="1" spans="1:3">
      <c r="A48" s="52">
        <v>46</v>
      </c>
      <c r="B48" s="56" t="s">
        <v>638</v>
      </c>
      <c r="C48" s="52">
        <v>2500</v>
      </c>
    </row>
    <row r="49" customHeight="1" spans="1:3">
      <c r="A49" s="52">
        <v>47</v>
      </c>
      <c r="B49" s="56" t="s">
        <v>266</v>
      </c>
      <c r="C49" s="52">
        <v>60</v>
      </c>
    </row>
    <row r="50" customHeight="1" spans="1:3">
      <c r="A50" s="52">
        <v>48</v>
      </c>
      <c r="B50" s="56" t="s">
        <v>267</v>
      </c>
      <c r="C50" s="52">
        <v>50</v>
      </c>
    </row>
    <row r="51" customHeight="1" spans="1:3">
      <c r="A51" s="52">
        <v>49</v>
      </c>
      <c r="B51" s="56" t="s">
        <v>269</v>
      </c>
      <c r="C51" s="52">
        <v>3550</v>
      </c>
    </row>
    <row r="52" customHeight="1" spans="1:3">
      <c r="A52" s="52">
        <v>50</v>
      </c>
      <c r="B52" s="56" t="s">
        <v>271</v>
      </c>
      <c r="C52" s="52">
        <v>320</v>
      </c>
    </row>
    <row r="53" customHeight="1" spans="1:3">
      <c r="A53" s="52">
        <v>51</v>
      </c>
      <c r="B53" s="56" t="s">
        <v>273</v>
      </c>
      <c r="C53" s="52">
        <v>5500</v>
      </c>
    </row>
    <row r="54" customHeight="1" spans="1:3">
      <c r="A54" s="52">
        <v>52</v>
      </c>
      <c r="B54" s="56" t="s">
        <v>274</v>
      </c>
      <c r="C54" s="52">
        <v>90</v>
      </c>
    </row>
    <row r="55" customHeight="1" spans="1:3">
      <c r="A55" s="52">
        <v>53</v>
      </c>
      <c r="B55" s="56" t="s">
        <v>275</v>
      </c>
      <c r="C55" s="52">
        <v>1500</v>
      </c>
    </row>
    <row r="56" customHeight="1" spans="1:3">
      <c r="A56" s="52">
        <v>54</v>
      </c>
      <c r="B56" s="56" t="s">
        <v>277</v>
      </c>
      <c r="C56" s="52">
        <v>1950</v>
      </c>
    </row>
    <row r="57" customHeight="1" spans="1:3">
      <c r="A57" s="52">
        <v>55</v>
      </c>
      <c r="B57" s="56" t="s">
        <v>278</v>
      </c>
      <c r="C57" s="52">
        <v>3790</v>
      </c>
    </row>
    <row r="58" customHeight="1" spans="1:3">
      <c r="A58" s="52">
        <v>56</v>
      </c>
      <c r="B58" s="56" t="s">
        <v>279</v>
      </c>
      <c r="C58" s="52">
        <v>180</v>
      </c>
    </row>
    <row r="59" customHeight="1" spans="1:3">
      <c r="A59" s="52">
        <v>57</v>
      </c>
      <c r="B59" s="56" t="s">
        <v>280</v>
      </c>
      <c r="C59" s="52">
        <v>123</v>
      </c>
    </row>
    <row r="60" customHeight="1" spans="1:3">
      <c r="A60" s="52">
        <v>58</v>
      </c>
      <c r="B60" s="56" t="s">
        <v>281</v>
      </c>
      <c r="C60" s="52">
        <v>180</v>
      </c>
    </row>
    <row r="61" customHeight="1" spans="1:3">
      <c r="A61" s="52">
        <v>59</v>
      </c>
      <c r="B61" s="56" t="s">
        <v>283</v>
      </c>
      <c r="C61" s="52">
        <v>620</v>
      </c>
    </row>
    <row r="62" customHeight="1" spans="1:3">
      <c r="A62" s="52">
        <v>60</v>
      </c>
      <c r="B62" s="56" t="s">
        <v>284</v>
      </c>
      <c r="C62" s="52" t="s">
        <v>986</v>
      </c>
    </row>
    <row r="63" customHeight="1" spans="1:3">
      <c r="A63" s="52">
        <v>61</v>
      </c>
      <c r="B63" s="56" t="s">
        <v>285</v>
      </c>
      <c r="C63" s="52">
        <v>70</v>
      </c>
    </row>
    <row r="64" customHeight="1" spans="1:3">
      <c r="A64" s="52">
        <v>62</v>
      </c>
      <c r="B64" s="56" t="s">
        <v>286</v>
      </c>
      <c r="C64" s="52">
        <v>2500</v>
      </c>
    </row>
    <row r="65" customHeight="1" spans="1:3">
      <c r="A65" s="52">
        <v>63</v>
      </c>
      <c r="B65" s="56" t="s">
        <v>287</v>
      </c>
      <c r="C65" s="52">
        <v>390</v>
      </c>
    </row>
    <row r="66" customHeight="1" spans="1:3">
      <c r="A66" s="52">
        <v>64</v>
      </c>
      <c r="B66" s="56" t="s">
        <v>288</v>
      </c>
      <c r="C66" s="52" t="s">
        <v>986</v>
      </c>
    </row>
    <row r="67" customHeight="1" spans="1:3">
      <c r="A67" s="52">
        <v>65</v>
      </c>
      <c r="B67" s="56" t="s">
        <v>289</v>
      </c>
      <c r="C67" s="52" t="s">
        <v>987</v>
      </c>
    </row>
    <row r="68" customHeight="1" spans="1:3">
      <c r="A68" s="52">
        <v>66</v>
      </c>
      <c r="B68" s="56" t="s">
        <v>291</v>
      </c>
      <c r="C68" s="52">
        <v>190</v>
      </c>
    </row>
    <row r="69" customHeight="1" spans="1:3">
      <c r="A69" s="52">
        <v>67</v>
      </c>
      <c r="B69" s="56" t="s">
        <v>292</v>
      </c>
      <c r="C69" s="52">
        <v>200</v>
      </c>
    </row>
    <row r="70" customHeight="1" spans="1:3">
      <c r="A70" s="52">
        <v>68</v>
      </c>
      <c r="B70" s="56" t="s">
        <v>683</v>
      </c>
      <c r="C70" s="52">
        <v>220</v>
      </c>
    </row>
    <row r="71" customHeight="1" spans="1:3">
      <c r="A71" s="52">
        <v>69</v>
      </c>
      <c r="B71" s="56" t="s">
        <v>686</v>
      </c>
      <c r="C71" s="52">
        <v>290</v>
      </c>
    </row>
    <row r="72" customHeight="1" spans="1:3">
      <c r="A72" s="52">
        <v>70</v>
      </c>
      <c r="B72" s="56" t="s">
        <v>293</v>
      </c>
      <c r="C72" s="52" t="s">
        <v>986</v>
      </c>
    </row>
    <row r="73" customHeight="1" spans="1:3">
      <c r="A73" s="52">
        <v>71</v>
      </c>
      <c r="B73" s="56" t="s">
        <v>296</v>
      </c>
      <c r="C73" s="52">
        <v>1050</v>
      </c>
    </row>
    <row r="74" customHeight="1" spans="1:3">
      <c r="A74" s="52">
        <v>72</v>
      </c>
      <c r="B74" s="56" t="s">
        <v>297</v>
      </c>
      <c r="C74" s="52">
        <v>1950</v>
      </c>
    </row>
    <row r="75" customHeight="1" spans="1:3">
      <c r="A75" s="52">
        <v>73</v>
      </c>
      <c r="B75" s="56" t="s">
        <v>298</v>
      </c>
      <c r="C75" s="52">
        <v>69</v>
      </c>
    </row>
    <row r="76" customHeight="1" spans="1:3">
      <c r="A76" s="52">
        <v>74</v>
      </c>
      <c r="B76" s="56" t="s">
        <v>299</v>
      </c>
      <c r="C76" s="52">
        <v>1450</v>
      </c>
    </row>
    <row r="77" customHeight="1" spans="1:3">
      <c r="A77" s="52">
        <v>75</v>
      </c>
      <c r="B77" s="56" t="s">
        <v>300</v>
      </c>
      <c r="C77" s="52">
        <v>1450</v>
      </c>
    </row>
    <row r="78" customHeight="1" spans="1:3">
      <c r="A78" s="52">
        <v>76</v>
      </c>
      <c r="B78" s="56" t="s">
        <v>301</v>
      </c>
      <c r="C78" s="52">
        <v>5500</v>
      </c>
    </row>
    <row r="79" customHeight="1" spans="1:3">
      <c r="A79" s="52">
        <v>77</v>
      </c>
      <c r="B79" s="56" t="s">
        <v>302</v>
      </c>
      <c r="C79" s="52">
        <v>280</v>
      </c>
    </row>
    <row r="80" customHeight="1" spans="1:3">
      <c r="A80" s="52">
        <v>78</v>
      </c>
      <c r="B80" s="56" t="s">
        <v>303</v>
      </c>
      <c r="C80" s="52">
        <v>390</v>
      </c>
    </row>
    <row r="81" customHeight="1" spans="1:3">
      <c r="A81" s="52">
        <v>79</v>
      </c>
      <c r="B81" s="56" t="s">
        <v>305</v>
      </c>
      <c r="C81" s="52">
        <v>40</v>
      </c>
    </row>
    <row r="82" customHeight="1" spans="1:3">
      <c r="A82" s="52">
        <v>80</v>
      </c>
      <c r="B82" s="56" t="s">
        <v>706</v>
      </c>
      <c r="C82" s="52">
        <v>750</v>
      </c>
    </row>
    <row r="83" customHeight="1" spans="1:3">
      <c r="A83" s="52">
        <v>81</v>
      </c>
      <c r="B83" s="56" t="s">
        <v>307</v>
      </c>
      <c r="C83" s="52">
        <v>180</v>
      </c>
    </row>
    <row r="84" customHeight="1" spans="1:3">
      <c r="A84" s="52">
        <v>82</v>
      </c>
      <c r="B84" s="56" t="s">
        <v>308</v>
      </c>
      <c r="C84" s="52">
        <v>1890</v>
      </c>
    </row>
    <row r="85" customHeight="1" spans="1:3">
      <c r="A85" s="52">
        <v>83</v>
      </c>
      <c r="B85" s="56" t="s">
        <v>709</v>
      </c>
      <c r="C85" s="52">
        <v>70</v>
      </c>
    </row>
    <row r="86" customHeight="1" spans="1:3">
      <c r="A86" s="52">
        <v>84</v>
      </c>
      <c r="B86" s="56" t="s">
        <v>310</v>
      </c>
      <c r="C86" s="52">
        <v>7250</v>
      </c>
    </row>
    <row r="87" customHeight="1" spans="1:3">
      <c r="A87" s="52">
        <v>85</v>
      </c>
      <c r="B87" s="56" t="s">
        <v>311</v>
      </c>
      <c r="C87" s="52">
        <v>60</v>
      </c>
    </row>
    <row r="88" customHeight="1" spans="1:3">
      <c r="A88" s="52">
        <v>86</v>
      </c>
      <c r="B88" s="56" t="s">
        <v>312</v>
      </c>
      <c r="C88" s="52">
        <v>400</v>
      </c>
    </row>
    <row r="89" customHeight="1" spans="1:3">
      <c r="A89" s="52">
        <v>87</v>
      </c>
      <c r="B89" s="56" t="s">
        <v>313</v>
      </c>
      <c r="C89" s="52">
        <v>290</v>
      </c>
    </row>
    <row r="90" customHeight="1" spans="1:3">
      <c r="A90" s="52">
        <v>88</v>
      </c>
      <c r="B90" s="56" t="s">
        <v>314</v>
      </c>
      <c r="C90" s="52">
        <v>80</v>
      </c>
    </row>
    <row r="91" customHeight="1" spans="1:3">
      <c r="A91" s="52">
        <v>89</v>
      </c>
      <c r="B91" s="56" t="s">
        <v>315</v>
      </c>
      <c r="C91" s="52">
        <v>1550</v>
      </c>
    </row>
    <row r="92" customHeight="1" spans="1:3">
      <c r="A92" s="52">
        <v>90</v>
      </c>
      <c r="B92" s="56" t="s">
        <v>316</v>
      </c>
      <c r="C92" s="52">
        <v>30</v>
      </c>
    </row>
    <row r="93" customHeight="1" spans="1:3">
      <c r="A93" s="52">
        <v>91</v>
      </c>
      <c r="B93" s="56" t="s">
        <v>717</v>
      </c>
      <c r="C93" s="52">
        <v>2950</v>
      </c>
    </row>
    <row r="94" customHeight="1" spans="1:3">
      <c r="A94" s="52">
        <v>92</v>
      </c>
      <c r="B94" s="56" t="s">
        <v>318</v>
      </c>
      <c r="C94" s="52" t="s">
        <v>986</v>
      </c>
    </row>
    <row r="95" customHeight="1" spans="1:3">
      <c r="A95" s="52">
        <v>93</v>
      </c>
      <c r="B95" s="56" t="s">
        <v>319</v>
      </c>
      <c r="C95" s="52">
        <v>1500</v>
      </c>
    </row>
    <row r="96" customHeight="1" spans="1:3">
      <c r="A96" s="52">
        <v>94</v>
      </c>
      <c r="B96" s="56" t="s">
        <v>320</v>
      </c>
      <c r="C96" s="52">
        <v>1800</v>
      </c>
    </row>
    <row r="97" customHeight="1" spans="1:3">
      <c r="A97" s="52">
        <v>95</v>
      </c>
      <c r="B97" s="56" t="s">
        <v>324</v>
      </c>
      <c r="C97" s="52">
        <v>120</v>
      </c>
    </row>
    <row r="98" customHeight="1" spans="1:3">
      <c r="A98" s="52">
        <v>96</v>
      </c>
      <c r="B98" s="56" t="s">
        <v>326</v>
      </c>
      <c r="C98" s="52">
        <v>890</v>
      </c>
    </row>
    <row r="99" customHeight="1" spans="1:3">
      <c r="A99" s="52">
        <v>97</v>
      </c>
      <c r="B99" s="56" t="s">
        <v>327</v>
      </c>
      <c r="C99" s="52">
        <v>650</v>
      </c>
    </row>
    <row r="100" customHeight="1" spans="1:3">
      <c r="A100" s="52">
        <v>98</v>
      </c>
      <c r="B100" s="56" t="s">
        <v>328</v>
      </c>
      <c r="C100" s="52">
        <v>2000</v>
      </c>
    </row>
    <row r="101" customHeight="1" spans="1:3">
      <c r="A101" s="52">
        <v>99</v>
      </c>
      <c r="B101" s="56" t="s">
        <v>329</v>
      </c>
      <c r="C101" s="52">
        <v>350</v>
      </c>
    </row>
    <row r="102" customHeight="1" spans="1:3">
      <c r="A102" s="52">
        <v>100</v>
      </c>
      <c r="B102" s="56" t="s">
        <v>330</v>
      </c>
      <c r="C102" s="52">
        <v>2500</v>
      </c>
    </row>
    <row r="103" customHeight="1" spans="1:3">
      <c r="A103" s="52">
        <v>101</v>
      </c>
      <c r="B103" s="56" t="s">
        <v>331</v>
      </c>
      <c r="C103" s="52">
        <v>2250</v>
      </c>
    </row>
    <row r="104" customHeight="1" spans="1:3">
      <c r="A104" s="52">
        <v>102</v>
      </c>
      <c r="B104" s="56" t="s">
        <v>335</v>
      </c>
      <c r="C104" s="52">
        <v>1500</v>
      </c>
    </row>
    <row r="105" customHeight="1" spans="1:3">
      <c r="A105" s="52">
        <v>103</v>
      </c>
      <c r="B105" s="56" t="s">
        <v>336</v>
      </c>
      <c r="C105" s="52">
        <v>490</v>
      </c>
    </row>
    <row r="106" customHeight="1" spans="1:3">
      <c r="A106" s="52">
        <v>104</v>
      </c>
      <c r="B106" s="56" t="s">
        <v>337</v>
      </c>
      <c r="C106" s="52">
        <v>120</v>
      </c>
    </row>
    <row r="107" customHeight="1" spans="1:3">
      <c r="A107" s="52">
        <v>105</v>
      </c>
      <c r="B107" s="56" t="s">
        <v>733</v>
      </c>
      <c r="C107" s="52" t="s">
        <v>986</v>
      </c>
    </row>
    <row r="108" customHeight="1" spans="1:3">
      <c r="A108" s="52">
        <v>106</v>
      </c>
      <c r="B108" s="56" t="s">
        <v>339</v>
      </c>
      <c r="C108" s="52">
        <v>550</v>
      </c>
    </row>
    <row r="109" customHeight="1" spans="1:3">
      <c r="A109" s="52">
        <v>107</v>
      </c>
      <c r="B109" s="56" t="s">
        <v>340</v>
      </c>
      <c r="C109" s="52">
        <v>150</v>
      </c>
    </row>
    <row r="110" customHeight="1" spans="1:3">
      <c r="A110" s="52">
        <v>108</v>
      </c>
      <c r="B110" s="56" t="s">
        <v>344</v>
      </c>
      <c r="C110" s="52">
        <v>2950</v>
      </c>
    </row>
    <row r="111" customHeight="1" spans="1:3">
      <c r="A111" s="52">
        <v>109</v>
      </c>
      <c r="B111" s="56" t="s">
        <v>345</v>
      </c>
      <c r="C111" s="52">
        <v>38900</v>
      </c>
    </row>
    <row r="112" customHeight="1" spans="1:3">
      <c r="A112" s="52">
        <v>110</v>
      </c>
      <c r="B112" s="56" t="s">
        <v>346</v>
      </c>
      <c r="C112" s="52">
        <v>60</v>
      </c>
    </row>
    <row r="113" customHeight="1" spans="1:3">
      <c r="A113" s="52">
        <v>111</v>
      </c>
      <c r="B113" s="56" t="s">
        <v>741</v>
      </c>
      <c r="C113" s="52">
        <v>1590</v>
      </c>
    </row>
    <row r="114" customHeight="1" spans="1:3">
      <c r="A114" s="52">
        <v>112</v>
      </c>
      <c r="B114" s="56" t="s">
        <v>348</v>
      </c>
      <c r="C114" s="52">
        <v>790</v>
      </c>
    </row>
    <row r="115" customHeight="1" spans="1:3">
      <c r="A115" s="52">
        <v>113</v>
      </c>
      <c r="B115" s="56" t="s">
        <v>349</v>
      </c>
      <c r="C115" s="52">
        <v>60</v>
      </c>
    </row>
    <row r="116" customHeight="1" spans="1:3">
      <c r="A116" s="52">
        <v>114</v>
      </c>
      <c r="B116" s="56" t="s">
        <v>350</v>
      </c>
      <c r="C116" s="52">
        <v>790</v>
      </c>
    </row>
    <row r="117" customHeight="1" spans="1:3">
      <c r="A117" s="52">
        <v>115</v>
      </c>
      <c r="B117" s="56" t="s">
        <v>351</v>
      </c>
      <c r="C117" s="52">
        <v>14500</v>
      </c>
    </row>
    <row r="118" customHeight="1" spans="1:3">
      <c r="A118" s="52">
        <v>116</v>
      </c>
      <c r="B118" s="56" t="s">
        <v>354</v>
      </c>
      <c r="C118" s="52">
        <v>11500</v>
      </c>
    </row>
    <row r="119" customHeight="1" spans="1:3">
      <c r="A119" s="52">
        <v>117</v>
      </c>
      <c r="B119" s="56" t="s">
        <v>750</v>
      </c>
      <c r="C119" s="52">
        <v>1500</v>
      </c>
    </row>
    <row r="120" customHeight="1" spans="1:3">
      <c r="A120" s="52">
        <v>118</v>
      </c>
      <c r="B120" s="56" t="s">
        <v>355</v>
      </c>
      <c r="C120" s="52">
        <v>490</v>
      </c>
    </row>
    <row r="121" customHeight="1" spans="1:3">
      <c r="A121" s="52">
        <v>119</v>
      </c>
      <c r="B121" s="56" t="s">
        <v>356</v>
      </c>
      <c r="C121" s="52">
        <v>1500</v>
      </c>
    </row>
    <row r="122" customHeight="1" spans="1:3">
      <c r="A122" s="52">
        <v>120</v>
      </c>
      <c r="B122" s="56" t="s">
        <v>363</v>
      </c>
      <c r="C122" s="52">
        <v>3500</v>
      </c>
    </row>
    <row r="123" customHeight="1" spans="1:3">
      <c r="A123" s="52">
        <v>121</v>
      </c>
      <c r="B123" s="56" t="s">
        <v>367</v>
      </c>
      <c r="C123" s="52">
        <v>1090</v>
      </c>
    </row>
    <row r="124" customHeight="1" spans="1:3">
      <c r="A124" s="52">
        <v>122</v>
      </c>
      <c r="B124" s="56" t="s">
        <v>783</v>
      </c>
      <c r="C124" s="52">
        <v>5850</v>
      </c>
    </row>
    <row r="125" customHeight="1" spans="1:3">
      <c r="A125" s="52">
        <v>123</v>
      </c>
      <c r="B125" s="56" t="s">
        <v>368</v>
      </c>
      <c r="C125" s="52">
        <v>400</v>
      </c>
    </row>
    <row r="126" customHeight="1" spans="1:3">
      <c r="A126" s="52">
        <v>124</v>
      </c>
      <c r="B126" s="56" t="s">
        <v>369</v>
      </c>
      <c r="C126" s="52">
        <v>100</v>
      </c>
    </row>
    <row r="127" customHeight="1" spans="1:3">
      <c r="A127" s="52">
        <v>125</v>
      </c>
      <c r="B127" s="56" t="s">
        <v>370</v>
      </c>
      <c r="C127" s="52">
        <v>15500</v>
      </c>
    </row>
    <row r="128" customHeight="1" spans="1:3">
      <c r="A128" s="52">
        <v>126</v>
      </c>
      <c r="B128" s="56" t="s">
        <v>372</v>
      </c>
      <c r="C128" s="52">
        <v>3000</v>
      </c>
    </row>
    <row r="129" customHeight="1" spans="1:3">
      <c r="A129" s="52">
        <v>127</v>
      </c>
      <c r="B129" s="56" t="s">
        <v>373</v>
      </c>
      <c r="C129" s="52">
        <v>180</v>
      </c>
    </row>
    <row r="130" customHeight="1" spans="1:3">
      <c r="A130" s="52">
        <v>128</v>
      </c>
      <c r="B130" s="56" t="s">
        <v>375</v>
      </c>
      <c r="C130" s="52">
        <v>1250</v>
      </c>
    </row>
    <row r="131" customHeight="1" spans="1:3">
      <c r="A131" s="52">
        <v>129</v>
      </c>
      <c r="B131" s="56" t="s">
        <v>376</v>
      </c>
      <c r="C131" s="52">
        <v>12500</v>
      </c>
    </row>
    <row r="132" customHeight="1" spans="1:3">
      <c r="A132" s="52">
        <v>130</v>
      </c>
      <c r="B132" s="56" t="s">
        <v>378</v>
      </c>
      <c r="C132" s="52">
        <v>120</v>
      </c>
    </row>
    <row r="133" customHeight="1" spans="1:3">
      <c r="A133" s="52">
        <v>131</v>
      </c>
      <c r="B133" s="56" t="s">
        <v>379</v>
      </c>
      <c r="C133" s="52">
        <v>140</v>
      </c>
    </row>
    <row r="134" customHeight="1" spans="1:3">
      <c r="A134" s="52">
        <v>132</v>
      </c>
      <c r="B134" s="56" t="s">
        <v>381</v>
      </c>
      <c r="C134" s="52">
        <v>1500</v>
      </c>
    </row>
    <row r="135" customHeight="1" spans="1:3">
      <c r="A135" s="52">
        <v>133</v>
      </c>
      <c r="B135" s="56" t="s">
        <v>382</v>
      </c>
      <c r="C135" s="52">
        <v>990</v>
      </c>
    </row>
    <row r="136" customHeight="1" spans="1:3">
      <c r="A136" s="52">
        <v>134</v>
      </c>
      <c r="B136" s="56" t="s">
        <v>383</v>
      </c>
      <c r="C136" s="52">
        <v>550</v>
      </c>
    </row>
    <row r="137" customHeight="1" spans="1:3">
      <c r="A137" s="52">
        <v>135</v>
      </c>
      <c r="B137" s="56" t="s">
        <v>821</v>
      </c>
      <c r="C137" s="52">
        <v>2890</v>
      </c>
    </row>
    <row r="138" customHeight="1" spans="1:3">
      <c r="A138" s="52">
        <v>136</v>
      </c>
      <c r="B138" s="56" t="s">
        <v>386</v>
      </c>
      <c r="C138" s="52">
        <v>80</v>
      </c>
    </row>
    <row r="139" customHeight="1" spans="1:3">
      <c r="A139" s="52">
        <v>137</v>
      </c>
      <c r="B139" s="56" t="s">
        <v>387</v>
      </c>
      <c r="C139" s="52">
        <v>1500</v>
      </c>
    </row>
    <row r="140" customHeight="1" spans="1:3">
      <c r="A140" s="52">
        <v>138</v>
      </c>
      <c r="B140" s="56" t="s">
        <v>388</v>
      </c>
      <c r="C140" s="52" t="s">
        <v>986</v>
      </c>
    </row>
    <row r="141" customHeight="1" spans="1:3">
      <c r="A141" s="52">
        <v>139</v>
      </c>
      <c r="B141" s="56" t="s">
        <v>389</v>
      </c>
      <c r="C141" s="52">
        <v>100</v>
      </c>
    </row>
    <row r="142" customHeight="1" spans="1:3">
      <c r="A142" s="52">
        <v>140</v>
      </c>
      <c r="B142" s="56" t="s">
        <v>391</v>
      </c>
      <c r="C142" s="52">
        <v>90</v>
      </c>
    </row>
    <row r="143" customHeight="1" spans="1:3">
      <c r="A143" s="52">
        <v>141</v>
      </c>
      <c r="B143" s="56" t="s">
        <v>392</v>
      </c>
      <c r="C143" s="52">
        <v>80</v>
      </c>
    </row>
    <row r="144" customHeight="1" spans="1:3">
      <c r="A144" s="52">
        <v>142</v>
      </c>
      <c r="B144" s="56" t="s">
        <v>393</v>
      </c>
      <c r="C144" s="52">
        <v>2950</v>
      </c>
    </row>
    <row r="145" customHeight="1" spans="1:3">
      <c r="A145" s="52">
        <v>143</v>
      </c>
      <c r="B145" s="56" t="s">
        <v>395</v>
      </c>
      <c r="C145" s="52">
        <v>24500</v>
      </c>
    </row>
    <row r="146" customHeight="1" spans="1:3">
      <c r="A146" s="52">
        <v>144</v>
      </c>
      <c r="B146" s="56" t="s">
        <v>396</v>
      </c>
      <c r="C146" s="52">
        <v>690</v>
      </c>
    </row>
    <row r="147" customHeight="1" spans="1:3">
      <c r="A147" s="52">
        <v>145</v>
      </c>
      <c r="B147" s="56" t="s">
        <v>397</v>
      </c>
      <c r="C147" s="52">
        <v>1500</v>
      </c>
    </row>
    <row r="148" customHeight="1" spans="1:3">
      <c r="A148" s="52">
        <v>146</v>
      </c>
      <c r="B148" s="56" t="s">
        <v>398</v>
      </c>
      <c r="C148" s="52">
        <v>190</v>
      </c>
    </row>
    <row r="149" customHeight="1" spans="1:3">
      <c r="A149" s="52">
        <v>147</v>
      </c>
      <c r="B149" s="56" t="s">
        <v>400</v>
      </c>
      <c r="C149" s="52">
        <v>6500</v>
      </c>
    </row>
    <row r="150" customHeight="1" spans="1:3">
      <c r="A150" s="52">
        <v>148</v>
      </c>
      <c r="B150" s="56" t="s">
        <v>402</v>
      </c>
      <c r="C150" s="52">
        <v>250</v>
      </c>
    </row>
    <row r="151" customHeight="1" spans="1:3">
      <c r="A151" s="52">
        <v>149</v>
      </c>
      <c r="B151" s="56" t="s">
        <v>404</v>
      </c>
      <c r="C151" s="52">
        <v>180</v>
      </c>
    </row>
    <row r="152" customHeight="1" spans="1:3">
      <c r="A152" s="52">
        <v>150</v>
      </c>
      <c r="B152" s="56" t="s">
        <v>405</v>
      </c>
      <c r="C152" s="52" t="s">
        <v>986</v>
      </c>
    </row>
    <row r="153" customHeight="1" spans="1:3">
      <c r="A153" s="52">
        <v>151</v>
      </c>
      <c r="B153" s="56" t="s">
        <v>409</v>
      </c>
      <c r="C153" s="52">
        <v>100</v>
      </c>
    </row>
    <row r="154" customHeight="1" spans="1:3">
      <c r="A154" s="52">
        <v>152</v>
      </c>
      <c r="B154" s="56" t="s">
        <v>410</v>
      </c>
      <c r="C154" s="52">
        <v>550</v>
      </c>
    </row>
    <row r="155" customHeight="1" spans="1:3">
      <c r="A155" s="52">
        <v>153</v>
      </c>
      <c r="B155" s="56" t="s">
        <v>411</v>
      </c>
      <c r="C155" s="52">
        <v>6850</v>
      </c>
    </row>
    <row r="156" customHeight="1" spans="1:3">
      <c r="A156" s="52">
        <v>154</v>
      </c>
      <c r="B156" s="56" t="s">
        <v>412</v>
      </c>
      <c r="C156" s="52">
        <v>5500</v>
      </c>
    </row>
    <row r="157" customHeight="1" spans="1:3">
      <c r="A157" s="52">
        <v>155</v>
      </c>
      <c r="B157" s="56" t="s">
        <v>879</v>
      </c>
      <c r="C157" s="52">
        <v>2890</v>
      </c>
    </row>
    <row r="158" customHeight="1" spans="1:3">
      <c r="A158" s="52">
        <v>156</v>
      </c>
      <c r="B158" s="56" t="s">
        <v>413</v>
      </c>
      <c r="C158" s="52">
        <v>100</v>
      </c>
    </row>
    <row r="159" customHeight="1" spans="1:3">
      <c r="A159" s="52">
        <v>157</v>
      </c>
      <c r="B159" s="56" t="s">
        <v>414</v>
      </c>
      <c r="C159" s="52">
        <v>2950</v>
      </c>
    </row>
    <row r="160" customHeight="1" spans="1:3">
      <c r="A160" s="52">
        <v>158</v>
      </c>
      <c r="B160" s="56" t="s">
        <v>883</v>
      </c>
      <c r="C160" s="52">
        <v>590</v>
      </c>
    </row>
    <row r="161" customHeight="1" spans="1:3">
      <c r="A161" s="52">
        <v>159</v>
      </c>
      <c r="B161" s="56" t="s">
        <v>887</v>
      </c>
      <c r="C161" s="52">
        <v>290</v>
      </c>
    </row>
    <row r="162" customHeight="1" spans="1:3">
      <c r="A162" s="52">
        <v>160</v>
      </c>
      <c r="B162" s="56" t="s">
        <v>418</v>
      </c>
      <c r="C162" s="52">
        <v>1400</v>
      </c>
    </row>
    <row r="163" customHeight="1" spans="1:3">
      <c r="A163" s="52">
        <v>161</v>
      </c>
      <c r="B163" s="56" t="s">
        <v>420</v>
      </c>
      <c r="C163" s="52">
        <v>550</v>
      </c>
    </row>
    <row r="164" customHeight="1" spans="1:3">
      <c r="A164" s="52">
        <v>162</v>
      </c>
      <c r="B164" s="56" t="s">
        <v>423</v>
      </c>
      <c r="C164" s="52">
        <v>90</v>
      </c>
    </row>
    <row r="165" customHeight="1" spans="1:3">
      <c r="A165" s="52">
        <v>163</v>
      </c>
      <c r="B165" s="56" t="s">
        <v>892</v>
      </c>
      <c r="C165" s="52">
        <v>180</v>
      </c>
    </row>
    <row r="166" customHeight="1" spans="1:3">
      <c r="A166" s="52">
        <v>164</v>
      </c>
      <c r="B166" s="56" t="s">
        <v>425</v>
      </c>
      <c r="C166" s="52">
        <v>790</v>
      </c>
    </row>
    <row r="167" customHeight="1" spans="1:3">
      <c r="A167" s="52">
        <v>165</v>
      </c>
      <c r="B167" s="56" t="s">
        <v>426</v>
      </c>
      <c r="C167" s="52">
        <v>378</v>
      </c>
    </row>
    <row r="168" customHeight="1" spans="1:3">
      <c r="A168" s="52">
        <v>166</v>
      </c>
      <c r="B168" s="56" t="s">
        <v>428</v>
      </c>
      <c r="C168" s="52">
        <v>490</v>
      </c>
    </row>
    <row r="169" customHeight="1" spans="1:3">
      <c r="A169" s="52">
        <v>167</v>
      </c>
      <c r="B169" s="56" t="s">
        <v>429</v>
      </c>
      <c r="C169" s="52">
        <v>1500</v>
      </c>
    </row>
    <row r="170" customHeight="1" spans="1:3">
      <c r="A170" s="52">
        <v>168</v>
      </c>
      <c r="B170" s="56" t="s">
        <v>430</v>
      </c>
      <c r="C170" s="52">
        <v>120</v>
      </c>
    </row>
    <row r="171" customHeight="1" spans="1:3">
      <c r="A171" s="52">
        <v>169</v>
      </c>
      <c r="B171" s="56" t="s">
        <v>431</v>
      </c>
      <c r="C171" s="52">
        <v>7850</v>
      </c>
    </row>
    <row r="172" customHeight="1" spans="1:3">
      <c r="A172" s="52">
        <v>170</v>
      </c>
      <c r="B172" s="56" t="s">
        <v>432</v>
      </c>
      <c r="C172" s="52">
        <v>900</v>
      </c>
    </row>
    <row r="173" customHeight="1" spans="1:3">
      <c r="A173" s="52">
        <v>171</v>
      </c>
      <c r="B173" s="56" t="s">
        <v>433</v>
      </c>
      <c r="C173" s="52">
        <v>1950</v>
      </c>
    </row>
    <row r="174" customHeight="1" spans="1:3">
      <c r="A174" s="52">
        <v>172</v>
      </c>
      <c r="B174" s="56" t="s">
        <v>434</v>
      </c>
      <c r="C174" s="52">
        <v>2590</v>
      </c>
    </row>
    <row r="175" customHeight="1" spans="1:3">
      <c r="A175" s="52">
        <v>173</v>
      </c>
      <c r="B175" s="56" t="s">
        <v>435</v>
      </c>
      <c r="C175" s="52">
        <v>2790</v>
      </c>
    </row>
    <row r="176" customHeight="1" spans="1:3">
      <c r="A176" s="52">
        <v>174</v>
      </c>
      <c r="B176" s="56" t="s">
        <v>436</v>
      </c>
      <c r="C176" s="52">
        <v>2290</v>
      </c>
    </row>
    <row r="177" customHeight="1" spans="1:3">
      <c r="A177" s="52">
        <v>175</v>
      </c>
      <c r="B177" s="56" t="s">
        <v>437</v>
      </c>
      <c r="C177" s="52">
        <v>12500</v>
      </c>
    </row>
    <row r="178" customHeight="1" spans="1:3">
      <c r="A178" s="52">
        <v>176</v>
      </c>
      <c r="B178" s="56" t="s">
        <v>438</v>
      </c>
      <c r="C178" s="52">
        <v>90</v>
      </c>
    </row>
    <row r="179" customHeight="1" spans="1:3">
      <c r="A179" s="52">
        <v>177</v>
      </c>
      <c r="B179" s="56" t="s">
        <v>909</v>
      </c>
      <c r="C179" s="52">
        <v>80</v>
      </c>
    </row>
    <row r="180" customHeight="1" spans="1:3">
      <c r="A180" s="52">
        <v>178</v>
      </c>
      <c r="B180" s="56" t="s">
        <v>910</v>
      </c>
      <c r="C180" s="52">
        <v>70</v>
      </c>
    </row>
    <row r="181" customHeight="1" spans="1:3">
      <c r="A181" s="52">
        <v>179</v>
      </c>
      <c r="B181" s="56" t="s">
        <v>439</v>
      </c>
      <c r="C181" s="52">
        <v>60</v>
      </c>
    </row>
    <row r="182" customHeight="1" spans="1:3">
      <c r="A182" s="52">
        <v>180</v>
      </c>
      <c r="B182" s="56" t="s">
        <v>440</v>
      </c>
      <c r="C182" s="52">
        <v>1500</v>
      </c>
    </row>
    <row r="183" customHeight="1" spans="1:3">
      <c r="A183" s="52">
        <v>181</v>
      </c>
      <c r="B183" s="56" t="s">
        <v>441</v>
      </c>
      <c r="C183" s="52">
        <v>1250</v>
      </c>
    </row>
    <row r="184" customHeight="1" spans="1:3">
      <c r="A184" s="52">
        <v>182</v>
      </c>
      <c r="B184" s="56" t="s">
        <v>442</v>
      </c>
      <c r="C184" s="52">
        <v>12500</v>
      </c>
    </row>
    <row r="185" customHeight="1" spans="1:3">
      <c r="A185" s="52">
        <v>183</v>
      </c>
      <c r="B185" s="56" t="s">
        <v>443</v>
      </c>
      <c r="C185" s="52">
        <v>990</v>
      </c>
    </row>
    <row r="186" customHeight="1" spans="1:3">
      <c r="A186" s="52">
        <v>184</v>
      </c>
      <c r="B186" s="56" t="s">
        <v>444</v>
      </c>
      <c r="C186" s="52">
        <v>120</v>
      </c>
    </row>
    <row r="187" customHeight="1" spans="1:3">
      <c r="A187" s="52">
        <v>185</v>
      </c>
      <c r="B187" s="56" t="s">
        <v>445</v>
      </c>
      <c r="C187" s="52">
        <v>11900</v>
      </c>
    </row>
    <row r="188" customHeight="1" spans="1:3">
      <c r="A188" s="52">
        <v>186</v>
      </c>
      <c r="B188" s="56" t="s">
        <v>446</v>
      </c>
      <c r="C188" s="52">
        <v>120</v>
      </c>
    </row>
    <row r="189" customHeight="1" spans="1:3">
      <c r="A189" s="52">
        <v>187</v>
      </c>
      <c r="B189" s="56" t="s">
        <v>447</v>
      </c>
      <c r="C189" s="52">
        <v>1090</v>
      </c>
    </row>
    <row r="190" customHeight="1" spans="1:3">
      <c r="A190" s="52">
        <v>188</v>
      </c>
      <c r="B190" s="56" t="s">
        <v>448</v>
      </c>
      <c r="C190" s="52">
        <v>790</v>
      </c>
    </row>
    <row r="191" customHeight="1" spans="1:3">
      <c r="A191" s="52">
        <v>189</v>
      </c>
      <c r="B191" s="56" t="s">
        <v>449</v>
      </c>
      <c r="C191" s="52">
        <v>7850</v>
      </c>
    </row>
    <row r="192" customHeight="1" spans="1:3">
      <c r="A192" s="52">
        <v>190</v>
      </c>
      <c r="B192" s="56" t="s">
        <v>450</v>
      </c>
      <c r="C192" s="52">
        <v>60</v>
      </c>
    </row>
    <row r="193" customHeight="1" spans="1:3">
      <c r="A193" s="52">
        <v>191</v>
      </c>
      <c r="B193" s="56" t="s">
        <v>451</v>
      </c>
      <c r="C193" s="52">
        <v>12900</v>
      </c>
    </row>
    <row r="194" customHeight="1" spans="1:3">
      <c r="A194" s="52">
        <v>192</v>
      </c>
      <c r="B194" s="56" t="s">
        <v>453</v>
      </c>
      <c r="C194" s="52">
        <v>220</v>
      </c>
    </row>
    <row r="195" customHeight="1" spans="1:3">
      <c r="A195" s="52">
        <v>193</v>
      </c>
      <c r="B195" s="56" t="s">
        <v>455</v>
      </c>
      <c r="C195" s="52">
        <v>60</v>
      </c>
    </row>
    <row r="196" customHeight="1" spans="1:3">
      <c r="A196" s="52">
        <v>194</v>
      </c>
      <c r="B196" s="56" t="s">
        <v>456</v>
      </c>
      <c r="C196" s="52">
        <v>180</v>
      </c>
    </row>
    <row r="197" customHeight="1" spans="1:3">
      <c r="A197" s="52">
        <v>195</v>
      </c>
      <c r="B197" s="56" t="s">
        <v>457</v>
      </c>
      <c r="C197" s="52">
        <v>550</v>
      </c>
    </row>
    <row r="198" customHeight="1" spans="1:3">
      <c r="A198" s="52">
        <v>196</v>
      </c>
      <c r="B198" s="56" t="s">
        <v>460</v>
      </c>
      <c r="C198" s="52">
        <v>790</v>
      </c>
    </row>
    <row r="199" customHeight="1" spans="1:3">
      <c r="A199" s="52">
        <v>197</v>
      </c>
      <c r="B199" s="56" t="s">
        <v>462</v>
      </c>
      <c r="C199" s="52">
        <v>90</v>
      </c>
    </row>
    <row r="200" customHeight="1" spans="1:3">
      <c r="A200" s="52">
        <v>198</v>
      </c>
      <c r="B200" s="56" t="s">
        <v>463</v>
      </c>
      <c r="C200" s="52">
        <v>1190</v>
      </c>
    </row>
    <row r="201" customHeight="1" spans="1:3">
      <c r="A201" s="52">
        <v>199</v>
      </c>
      <c r="B201" s="56" t="s">
        <v>465</v>
      </c>
      <c r="C201" s="52">
        <v>60</v>
      </c>
    </row>
    <row r="202" customHeight="1" spans="1:3">
      <c r="A202" s="52">
        <v>200</v>
      </c>
      <c r="B202" s="56" t="s">
        <v>466</v>
      </c>
      <c r="C202" s="52">
        <v>50</v>
      </c>
    </row>
    <row r="203" customHeight="1" spans="1:3">
      <c r="A203" s="52">
        <v>201</v>
      </c>
      <c r="B203" s="56" t="s">
        <v>467</v>
      </c>
      <c r="C203" s="52">
        <v>3850</v>
      </c>
    </row>
    <row r="204" customHeight="1" spans="1:3">
      <c r="A204" s="52">
        <v>202</v>
      </c>
      <c r="B204" s="56" t="s">
        <v>470</v>
      </c>
      <c r="C204" s="52">
        <v>260</v>
      </c>
    </row>
    <row r="205" customHeight="1" spans="1:3">
      <c r="A205" s="52">
        <v>203</v>
      </c>
      <c r="B205" s="56" t="s">
        <v>472</v>
      </c>
      <c r="C205" s="52">
        <v>7850</v>
      </c>
    </row>
    <row r="206" customHeight="1" spans="1:3">
      <c r="A206" s="52">
        <v>204</v>
      </c>
      <c r="B206" s="56" t="s">
        <v>473</v>
      </c>
      <c r="C206" s="52">
        <v>750</v>
      </c>
    </row>
    <row r="207" customHeight="1" spans="1:3">
      <c r="A207" s="52">
        <v>205</v>
      </c>
      <c r="B207" s="56" t="s">
        <v>474</v>
      </c>
      <c r="C207" s="52">
        <v>1500</v>
      </c>
    </row>
    <row r="208" customHeight="1" spans="1:3">
      <c r="A208" s="52">
        <v>206</v>
      </c>
      <c r="B208" s="56" t="s">
        <v>475</v>
      </c>
      <c r="C208" s="52">
        <v>2950</v>
      </c>
    </row>
    <row r="209" customHeight="1" spans="1:3">
      <c r="A209" s="52">
        <v>207</v>
      </c>
      <c r="B209" s="56" t="s">
        <v>476</v>
      </c>
      <c r="C209" s="52">
        <v>80</v>
      </c>
    </row>
    <row r="210" customHeight="1" spans="1:3">
      <c r="A210" s="52">
        <v>208</v>
      </c>
      <c r="B210" s="56" t="s">
        <v>478</v>
      </c>
      <c r="C210" s="52">
        <v>140</v>
      </c>
    </row>
    <row r="211" customHeight="1" spans="1:3">
      <c r="A211" s="52">
        <v>209</v>
      </c>
      <c r="B211" s="56" t="s">
        <v>479</v>
      </c>
      <c r="C211" s="52">
        <v>550</v>
      </c>
    </row>
    <row r="212" customHeight="1" spans="1:3">
      <c r="A212" s="52">
        <v>210</v>
      </c>
      <c r="B212" s="56" t="s">
        <v>480</v>
      </c>
      <c r="C212" s="52">
        <v>1500</v>
      </c>
    </row>
    <row r="213" customHeight="1" spans="1:3">
      <c r="A213" s="52">
        <v>211</v>
      </c>
      <c r="B213" s="56" t="s">
        <v>482</v>
      </c>
      <c r="C213" s="52">
        <v>160</v>
      </c>
    </row>
    <row r="214" customHeight="1" spans="1:3">
      <c r="A214" s="52">
        <v>212</v>
      </c>
      <c r="B214" s="56" t="s">
        <v>484</v>
      </c>
      <c r="C214" s="52">
        <v>1190</v>
      </c>
    </row>
    <row r="215" customHeight="1" spans="1:3">
      <c r="A215" s="52">
        <v>213</v>
      </c>
      <c r="B215" s="56" t="s">
        <v>486</v>
      </c>
      <c r="C215" s="52">
        <v>1290</v>
      </c>
    </row>
    <row r="216" customHeight="1" spans="1:3">
      <c r="A216" s="52">
        <v>214</v>
      </c>
      <c r="B216" s="56" t="s">
        <v>488</v>
      </c>
      <c r="C216" s="52">
        <v>1190</v>
      </c>
    </row>
    <row r="217" customHeight="1" spans="1:3">
      <c r="A217" s="52">
        <v>215</v>
      </c>
      <c r="B217" s="56" t="s">
        <v>490</v>
      </c>
      <c r="C217" s="52">
        <v>265</v>
      </c>
    </row>
    <row r="218" customHeight="1" spans="1:3">
      <c r="A218" s="52">
        <v>216</v>
      </c>
      <c r="B218" s="56" t="s">
        <v>988</v>
      </c>
      <c r="C218" s="52">
        <v>150</v>
      </c>
    </row>
    <row r="219" customHeight="1" spans="1:3">
      <c r="A219" s="52">
        <v>217</v>
      </c>
      <c r="B219" s="56" t="s">
        <v>989</v>
      </c>
      <c r="C219" s="52">
        <v>675</v>
      </c>
    </row>
    <row r="220" customHeight="1" spans="1:3">
      <c r="A220" s="52">
        <v>218</v>
      </c>
      <c r="B220" s="56" t="s">
        <v>990</v>
      </c>
      <c r="C220" s="52">
        <v>2500</v>
      </c>
    </row>
    <row r="221" customHeight="1" spans="1:3">
      <c r="A221" s="52">
        <v>219</v>
      </c>
      <c r="B221" s="56" t="s">
        <v>991</v>
      </c>
      <c r="C221" s="52">
        <v>2850</v>
      </c>
    </row>
    <row r="222" customHeight="1" spans="1:3">
      <c r="A222" s="52">
        <v>220</v>
      </c>
      <c r="B222" s="56" t="s">
        <v>992</v>
      </c>
      <c r="C222" s="52">
        <v>2500</v>
      </c>
    </row>
    <row r="223" customHeight="1" spans="1:3">
      <c r="A223" s="52">
        <v>221</v>
      </c>
      <c r="B223" s="56" t="s">
        <v>993</v>
      </c>
      <c r="C223" s="52">
        <v>150</v>
      </c>
    </row>
    <row r="224" customHeight="1" spans="1:2">
      <c r="A224" s="52">
        <v>222</v>
      </c>
      <c r="B224" s="56" t="s">
        <v>994</v>
      </c>
    </row>
    <row r="225" customHeight="1" spans="1:3">
      <c r="A225" s="52">
        <v>223</v>
      </c>
      <c r="B225" s="56" t="s">
        <v>995</v>
      </c>
      <c r="C225" s="52">
        <v>160</v>
      </c>
    </row>
    <row r="226" customHeight="1" spans="1:3">
      <c r="A226" s="52">
        <v>224</v>
      </c>
      <c r="B226" s="56" t="s">
        <v>996</v>
      </c>
      <c r="C226" s="52">
        <v>80</v>
      </c>
    </row>
    <row r="227" customHeight="1" spans="1:3">
      <c r="A227" s="52">
        <v>225</v>
      </c>
      <c r="B227" s="56" t="s">
        <v>997</v>
      </c>
      <c r="C227" s="52">
        <v>680</v>
      </c>
    </row>
    <row r="228" customHeight="1" spans="1:3">
      <c r="A228" s="52">
        <v>226</v>
      </c>
      <c r="B228" s="56" t="s">
        <v>998</v>
      </c>
      <c r="C228" s="52">
        <v>590</v>
      </c>
    </row>
    <row r="229" customHeight="1" spans="1:3">
      <c r="A229" s="52">
        <v>227</v>
      </c>
      <c r="B229" s="56" t="s">
        <v>963</v>
      </c>
      <c r="C229" s="52">
        <v>137</v>
      </c>
    </row>
    <row r="230" customHeight="1" spans="1:3">
      <c r="A230" s="52">
        <v>228</v>
      </c>
      <c r="B230" s="58" t="s">
        <v>518</v>
      </c>
      <c r="C230" s="59">
        <v>95</v>
      </c>
    </row>
    <row r="231" customHeight="1" spans="1:3">
      <c r="A231" s="52">
        <v>229</v>
      </c>
      <c r="B231" s="58" t="s">
        <v>519</v>
      </c>
      <c r="C231" s="59">
        <v>82.5</v>
      </c>
    </row>
    <row r="232" customHeight="1" spans="1:3">
      <c r="A232" s="52">
        <v>230</v>
      </c>
      <c r="B232" s="60" t="s">
        <v>193</v>
      </c>
      <c r="C232" s="59">
        <v>60</v>
      </c>
    </row>
    <row r="233" customHeight="1" spans="1:3">
      <c r="A233" s="52">
        <v>231</v>
      </c>
      <c r="B233" s="60" t="s">
        <v>194</v>
      </c>
      <c r="C233" s="59">
        <v>2</v>
      </c>
    </row>
    <row r="234" customHeight="1" spans="1:3">
      <c r="A234" s="52">
        <v>232</v>
      </c>
      <c r="B234" s="60" t="s">
        <v>491</v>
      </c>
      <c r="C234" s="59">
        <v>186</v>
      </c>
    </row>
    <row r="235" customHeight="1" spans="1:3">
      <c r="A235" s="52">
        <v>233</v>
      </c>
      <c r="B235" s="60" t="s">
        <v>506</v>
      </c>
      <c r="C235" s="59">
        <v>93</v>
      </c>
    </row>
    <row r="236" customHeight="1" spans="1:3">
      <c r="A236" s="52">
        <v>234</v>
      </c>
      <c r="B236" s="60" t="s">
        <v>507</v>
      </c>
      <c r="C236" s="59">
        <v>140</v>
      </c>
    </row>
    <row r="237" customHeight="1" spans="1:3">
      <c r="A237" s="52">
        <v>235</v>
      </c>
      <c r="B237" s="60" t="s">
        <v>517</v>
      </c>
      <c r="C237" s="59">
        <v>58</v>
      </c>
    </row>
    <row r="238" customHeight="1" spans="1:3">
      <c r="A238" s="52">
        <v>236</v>
      </c>
      <c r="B238" s="53" t="s">
        <v>962</v>
      </c>
      <c r="C238" s="52">
        <v>153</v>
      </c>
    </row>
    <row r="239" customHeight="1" spans="1:3">
      <c r="A239" s="52">
        <v>237</v>
      </c>
      <c r="B239" s="53" t="s">
        <v>999</v>
      </c>
      <c r="C239" s="52">
        <v>0</v>
      </c>
    </row>
    <row r="240" customHeight="1" spans="1:3">
      <c r="A240" s="52">
        <v>238</v>
      </c>
      <c r="B240" s="53" t="s">
        <v>1000</v>
      </c>
      <c r="C240" s="52">
        <v>95</v>
      </c>
    </row>
    <row r="241" customHeight="1" spans="1:3">
      <c r="A241" s="52">
        <v>239</v>
      </c>
      <c r="B241" s="53" t="s">
        <v>1001</v>
      </c>
      <c r="C241" s="52">
        <v>950</v>
      </c>
    </row>
    <row r="242" customHeight="1" spans="1:3">
      <c r="A242" s="52">
        <v>240</v>
      </c>
      <c r="B242" s="53" t="s">
        <v>1002</v>
      </c>
      <c r="C242" s="52">
        <v>135</v>
      </c>
    </row>
    <row r="243" customHeight="1" spans="1:3">
      <c r="A243" s="52">
        <v>241</v>
      </c>
      <c r="B243" s="53" t="s">
        <v>964</v>
      </c>
      <c r="C243" s="52">
        <v>46.5</v>
      </c>
    </row>
    <row r="244" customHeight="1" spans="1:3">
      <c r="A244" s="52">
        <v>242</v>
      </c>
      <c r="B244" s="53" t="s">
        <v>1003</v>
      </c>
      <c r="C244" s="52">
        <v>137</v>
      </c>
    </row>
    <row r="245" customHeight="1" spans="1:3">
      <c r="A245" s="52">
        <v>243</v>
      </c>
      <c r="B245" s="53" t="s">
        <v>523</v>
      </c>
      <c r="C245" s="52">
        <v>600</v>
      </c>
    </row>
    <row r="246" customHeight="1" spans="1:3">
      <c r="A246" s="52">
        <v>244</v>
      </c>
      <c r="B246" s="53" t="s">
        <v>207</v>
      </c>
      <c r="C246" s="52">
        <v>404</v>
      </c>
    </row>
    <row r="247" customHeight="1" spans="1:2">
      <c r="A247" s="52">
        <v>245</v>
      </c>
      <c r="B247" s="53" t="s">
        <v>556</v>
      </c>
    </row>
    <row r="248" customHeight="1" spans="1:2">
      <c r="A248" s="52">
        <v>246</v>
      </c>
      <c r="B248" s="53" t="s">
        <v>578</v>
      </c>
    </row>
    <row r="249" customHeight="1" spans="1:2">
      <c r="A249" s="52">
        <v>247</v>
      </c>
      <c r="B249" s="53" t="s">
        <v>582</v>
      </c>
    </row>
    <row r="250" customHeight="1" spans="1:3">
      <c r="A250" s="52">
        <v>248</v>
      </c>
      <c r="B250" s="53" t="s">
        <v>594</v>
      </c>
      <c r="C250" s="52">
        <v>596</v>
      </c>
    </row>
    <row r="251" customHeight="1" spans="1:3">
      <c r="A251" s="52">
        <v>249</v>
      </c>
      <c r="B251" s="53" t="s">
        <v>596</v>
      </c>
      <c r="C251" s="52">
        <v>324000</v>
      </c>
    </row>
    <row r="252" customHeight="1" spans="1:3">
      <c r="A252" s="52">
        <v>250</v>
      </c>
      <c r="B252" s="53" t="s">
        <v>965</v>
      </c>
      <c r="C252" s="52">
        <v>9000</v>
      </c>
    </row>
    <row r="253" customHeight="1" spans="1:2">
      <c r="A253" s="52">
        <v>251</v>
      </c>
      <c r="B253" s="53" t="s">
        <v>599</v>
      </c>
    </row>
    <row r="254" customHeight="1" spans="1:2">
      <c r="A254" s="52">
        <v>252</v>
      </c>
      <c r="B254" s="53" t="s">
        <v>610</v>
      </c>
    </row>
    <row r="255" customHeight="1" spans="1:3">
      <c r="A255" s="52">
        <v>253</v>
      </c>
      <c r="B255" s="53" t="s">
        <v>616</v>
      </c>
      <c r="C255" s="52">
        <v>718</v>
      </c>
    </row>
    <row r="256" customHeight="1" spans="1:3">
      <c r="A256" s="52">
        <v>254</v>
      </c>
      <c r="B256" s="53" t="s">
        <v>617</v>
      </c>
      <c r="C256" s="52">
        <v>37000</v>
      </c>
    </row>
    <row r="257" customHeight="1" spans="1:3">
      <c r="A257" s="52">
        <v>255</v>
      </c>
      <c r="B257" s="53" t="s">
        <v>618</v>
      </c>
      <c r="C257" s="52">
        <v>320</v>
      </c>
    </row>
    <row r="258" customHeight="1" spans="1:3">
      <c r="A258" s="52">
        <v>256</v>
      </c>
      <c r="B258" s="53" t="s">
        <v>627</v>
      </c>
      <c r="C258" s="52">
        <v>590</v>
      </c>
    </row>
    <row r="259" customHeight="1" spans="1:2">
      <c r="A259" s="52">
        <v>257</v>
      </c>
      <c r="B259" s="53" t="s">
        <v>640</v>
      </c>
    </row>
    <row r="260" customHeight="1" spans="1:3">
      <c r="A260" s="52">
        <v>258</v>
      </c>
      <c r="B260" s="53" t="s">
        <v>642</v>
      </c>
      <c r="C260" s="52">
        <v>120</v>
      </c>
    </row>
    <row r="261" customHeight="1" spans="1:2">
      <c r="A261" s="52">
        <v>259</v>
      </c>
      <c r="B261" s="53" t="s">
        <v>645</v>
      </c>
    </row>
    <row r="262" customHeight="1" spans="1:3">
      <c r="A262" s="52">
        <v>260</v>
      </c>
      <c r="B262" s="53" t="s">
        <v>646</v>
      </c>
      <c r="C262" s="52">
        <v>1980</v>
      </c>
    </row>
    <row r="263" customHeight="1" spans="1:3">
      <c r="A263" s="52">
        <v>261</v>
      </c>
      <c r="B263" s="53" t="s">
        <v>647</v>
      </c>
      <c r="C263" s="52">
        <v>1000</v>
      </c>
    </row>
    <row r="264" customHeight="1" spans="1:3">
      <c r="A264" s="52">
        <v>262</v>
      </c>
      <c r="B264" s="53" t="s">
        <v>658</v>
      </c>
      <c r="C264" s="52">
        <v>588</v>
      </c>
    </row>
    <row r="265" customHeight="1" spans="1:3">
      <c r="A265" s="52">
        <v>263</v>
      </c>
      <c r="B265" s="53" t="s">
        <v>659</v>
      </c>
      <c r="C265" s="52">
        <v>588</v>
      </c>
    </row>
    <row r="266" customHeight="1" spans="1:3">
      <c r="A266" s="52">
        <v>264</v>
      </c>
      <c r="B266" s="53" t="s">
        <v>670</v>
      </c>
      <c r="C266" s="52">
        <v>157000</v>
      </c>
    </row>
    <row r="267" customHeight="1" spans="1:3">
      <c r="A267" s="52">
        <v>265</v>
      </c>
      <c r="B267" s="53" t="s">
        <v>966</v>
      </c>
      <c r="C267" s="52">
        <v>3030</v>
      </c>
    </row>
    <row r="268" customHeight="1" spans="1:3">
      <c r="A268" s="52">
        <v>266</v>
      </c>
      <c r="B268" s="53" t="s">
        <v>677</v>
      </c>
      <c r="C268" s="52">
        <v>225000</v>
      </c>
    </row>
    <row r="269" customHeight="1" spans="1:2">
      <c r="A269" s="52">
        <v>267</v>
      </c>
      <c r="B269" s="53" t="s">
        <v>680</v>
      </c>
    </row>
    <row r="270" customHeight="1" spans="1:2">
      <c r="A270" s="52">
        <v>268</v>
      </c>
      <c r="B270" s="53" t="s">
        <v>967</v>
      </c>
    </row>
    <row r="271" customHeight="1" spans="1:2">
      <c r="A271" s="52">
        <v>269</v>
      </c>
      <c r="B271" s="53" t="s">
        <v>968</v>
      </c>
    </row>
    <row r="272" customHeight="1" spans="1:2">
      <c r="A272" s="52">
        <v>270</v>
      </c>
      <c r="B272" s="53" t="s">
        <v>720</v>
      </c>
    </row>
    <row r="273" customHeight="1" spans="1:2">
      <c r="A273" s="52">
        <v>271</v>
      </c>
      <c r="B273" s="53" t="s">
        <v>723</v>
      </c>
    </row>
    <row r="274" customHeight="1" spans="1:2">
      <c r="A274" s="52">
        <v>272</v>
      </c>
      <c r="B274" s="53" t="s">
        <v>724</v>
      </c>
    </row>
    <row r="275" customHeight="1" spans="1:3">
      <c r="A275" s="52">
        <v>273</v>
      </c>
      <c r="B275" s="53" t="s">
        <v>321</v>
      </c>
      <c r="C275" s="52">
        <v>244</v>
      </c>
    </row>
    <row r="276" customHeight="1" spans="1:2">
      <c r="A276" s="52">
        <v>274</v>
      </c>
      <c r="B276" s="53" t="s">
        <v>727</v>
      </c>
    </row>
    <row r="277" customHeight="1" spans="1:3">
      <c r="A277" s="52">
        <v>275</v>
      </c>
      <c r="B277" s="53" t="s">
        <v>511</v>
      </c>
      <c r="C277" s="52">
        <v>24</v>
      </c>
    </row>
    <row r="278" customHeight="1" spans="1:2">
      <c r="A278" s="52">
        <v>276</v>
      </c>
      <c r="B278" s="53" t="s">
        <v>734</v>
      </c>
    </row>
    <row r="279" customHeight="1" spans="1:2">
      <c r="A279" s="52">
        <v>277</v>
      </c>
      <c r="B279" s="53" t="s">
        <v>736</v>
      </c>
    </row>
    <row r="280" customHeight="1" spans="1:3">
      <c r="A280" s="52">
        <v>278</v>
      </c>
      <c r="B280" s="53" t="s">
        <v>512</v>
      </c>
      <c r="C280" s="52">
        <v>2000</v>
      </c>
    </row>
    <row r="281" customHeight="1" spans="1:2">
      <c r="A281" s="52">
        <v>279</v>
      </c>
      <c r="B281" s="53" t="s">
        <v>749</v>
      </c>
    </row>
    <row r="282" customHeight="1" spans="1:3">
      <c r="A282" s="52">
        <v>280</v>
      </c>
      <c r="B282" s="53" t="s">
        <v>362</v>
      </c>
      <c r="C282" s="52">
        <v>1472</v>
      </c>
    </row>
    <row r="283" customHeight="1" spans="1:2">
      <c r="A283" s="52">
        <v>281</v>
      </c>
      <c r="B283" s="53" t="s">
        <v>759</v>
      </c>
    </row>
    <row r="284" customHeight="1" spans="1:2">
      <c r="A284" s="52">
        <v>282</v>
      </c>
      <c r="B284" s="53" t="s">
        <v>761</v>
      </c>
    </row>
    <row r="285" customHeight="1" spans="1:2">
      <c r="A285" s="52">
        <v>283</v>
      </c>
      <c r="B285" s="53" t="s">
        <v>765</v>
      </c>
    </row>
    <row r="286" customHeight="1" spans="1:3">
      <c r="A286" s="52">
        <v>284</v>
      </c>
      <c r="B286" s="53" t="s">
        <v>783</v>
      </c>
      <c r="C286" s="52">
        <v>19200</v>
      </c>
    </row>
    <row r="287" customHeight="1" spans="1:2">
      <c r="A287" s="52">
        <v>285</v>
      </c>
      <c r="B287" s="53" t="s">
        <v>380</v>
      </c>
    </row>
    <row r="288" customHeight="1" spans="1:3">
      <c r="A288" s="52">
        <v>286</v>
      </c>
      <c r="B288" s="53" t="s">
        <v>805</v>
      </c>
      <c r="C288" s="52">
        <v>16500</v>
      </c>
    </row>
    <row r="289" customHeight="1" spans="1:2">
      <c r="A289" s="52">
        <v>287</v>
      </c>
      <c r="B289" s="53" t="s">
        <v>808</v>
      </c>
    </row>
    <row r="290" customHeight="1" spans="1:2">
      <c r="A290" s="52">
        <v>288</v>
      </c>
      <c r="B290" s="53" t="s">
        <v>809</v>
      </c>
    </row>
    <row r="291" customHeight="1" spans="1:3">
      <c r="A291" s="52">
        <v>289</v>
      </c>
      <c r="B291" s="53" t="s">
        <v>969</v>
      </c>
      <c r="C291" s="52">
        <v>11200</v>
      </c>
    </row>
    <row r="292" customHeight="1" spans="1:2">
      <c r="A292" s="52">
        <v>290</v>
      </c>
      <c r="B292" s="53" t="s">
        <v>810</v>
      </c>
    </row>
    <row r="293" customHeight="1" spans="1:3">
      <c r="A293" s="52">
        <v>291</v>
      </c>
      <c r="B293" s="53" t="s">
        <v>824</v>
      </c>
      <c r="C293" s="52">
        <v>744</v>
      </c>
    </row>
    <row r="294" customHeight="1" spans="1:3">
      <c r="A294" s="52">
        <v>292</v>
      </c>
      <c r="B294" s="53" t="s">
        <v>825</v>
      </c>
      <c r="C294" s="52">
        <v>7200</v>
      </c>
    </row>
    <row r="295" customHeight="1" spans="1:2">
      <c r="A295" s="52">
        <v>293</v>
      </c>
      <c r="B295" s="53" t="s">
        <v>845</v>
      </c>
    </row>
    <row r="296" customHeight="1" spans="1:3">
      <c r="A296" s="52">
        <v>294</v>
      </c>
      <c r="B296" s="53" t="s">
        <v>898</v>
      </c>
      <c r="C296" s="52">
        <v>105200</v>
      </c>
    </row>
    <row r="297" customHeight="1" spans="1:2">
      <c r="A297" s="52">
        <v>295</v>
      </c>
      <c r="B297" s="53" t="s">
        <v>1004</v>
      </c>
    </row>
    <row r="298" customHeight="1" spans="1:2">
      <c r="A298" s="52">
        <v>296</v>
      </c>
      <c r="B298" s="53" t="s">
        <v>911</v>
      </c>
    </row>
    <row r="299" customHeight="1" spans="1:2">
      <c r="A299" s="52">
        <v>297</v>
      </c>
      <c r="B299" s="53" t="s">
        <v>928</v>
      </c>
    </row>
    <row r="300" customHeight="1" spans="1:2">
      <c r="A300" s="52">
        <v>298</v>
      </c>
      <c r="B300" s="53" t="s">
        <v>970</v>
      </c>
    </row>
    <row r="301" customHeight="1" spans="1:2">
      <c r="A301" s="52">
        <v>299</v>
      </c>
      <c r="B301" s="53" t="s">
        <v>971</v>
      </c>
    </row>
    <row r="302" customHeight="1" spans="1:3">
      <c r="A302" s="52">
        <v>300</v>
      </c>
      <c r="B302" s="53" t="s">
        <v>452</v>
      </c>
      <c r="C302" s="52">
        <v>300</v>
      </c>
    </row>
    <row r="303" customHeight="1" spans="1:2">
      <c r="A303" s="52">
        <v>301</v>
      </c>
      <c r="B303" s="53" t="s">
        <v>930</v>
      </c>
    </row>
    <row r="304" customHeight="1" spans="1:2">
      <c r="A304" s="52">
        <v>302</v>
      </c>
      <c r="B304" s="53" t="s">
        <v>940</v>
      </c>
    </row>
    <row r="305" customHeight="1" spans="1:2">
      <c r="A305" s="52">
        <v>303</v>
      </c>
      <c r="B305" s="53" t="s">
        <v>947</v>
      </c>
    </row>
    <row r="306" customHeight="1" spans="1:3">
      <c r="A306" s="52">
        <v>304</v>
      </c>
      <c r="B306" s="53" t="s">
        <v>948</v>
      </c>
      <c r="C306" s="52">
        <v>124</v>
      </c>
    </row>
    <row r="307" customHeight="1" spans="1:3">
      <c r="A307" s="52">
        <v>305</v>
      </c>
      <c r="B307" s="61" t="s">
        <v>972</v>
      </c>
      <c r="C307" s="52">
        <v>898</v>
      </c>
    </row>
    <row r="308" customHeight="1" spans="1:3">
      <c r="A308" s="52">
        <v>306</v>
      </c>
      <c r="B308" s="61" t="s">
        <v>973</v>
      </c>
      <c r="C308" s="52">
        <v>467</v>
      </c>
    </row>
    <row r="309" customHeight="1" spans="1:3">
      <c r="A309" s="52">
        <v>307</v>
      </c>
      <c r="B309" s="61" t="s">
        <v>974</v>
      </c>
      <c r="C309" s="52">
        <v>504</v>
      </c>
    </row>
    <row r="310" customHeight="1" spans="1:3">
      <c r="A310" s="52">
        <v>308</v>
      </c>
      <c r="B310" s="61" t="s">
        <v>975</v>
      </c>
      <c r="C310" s="52">
        <v>2000</v>
      </c>
    </row>
    <row r="311" customHeight="1" spans="1:3">
      <c r="A311" s="52">
        <v>309</v>
      </c>
      <c r="B311" s="61" t="s">
        <v>976</v>
      </c>
      <c r="C311" s="52">
        <v>392</v>
      </c>
    </row>
    <row r="312" customHeight="1" spans="1:3">
      <c r="A312" s="52">
        <v>310</v>
      </c>
      <c r="B312" s="61" t="s">
        <v>770</v>
      </c>
      <c r="C312" s="52">
        <v>1204</v>
      </c>
    </row>
    <row r="313" customHeight="1" spans="1:3">
      <c r="A313" s="52">
        <v>311</v>
      </c>
      <c r="B313" s="61" t="s">
        <v>977</v>
      </c>
      <c r="C313" s="52">
        <v>432</v>
      </c>
    </row>
    <row r="314" customHeight="1" spans="1:3">
      <c r="A314" s="52">
        <v>312</v>
      </c>
      <c r="B314" s="61" t="s">
        <v>978</v>
      </c>
      <c r="C314" s="52">
        <v>416</v>
      </c>
    </row>
    <row r="315" customHeight="1" spans="1:3">
      <c r="A315" s="52">
        <v>313</v>
      </c>
      <c r="B315" s="61" t="s">
        <v>979</v>
      </c>
      <c r="C315" s="52">
        <v>398</v>
      </c>
    </row>
    <row r="316" customHeight="1" spans="1:3">
      <c r="A316" s="52">
        <v>314</v>
      </c>
      <c r="B316" s="61" t="s">
        <v>980</v>
      </c>
      <c r="C316" s="52">
        <v>240</v>
      </c>
    </row>
    <row r="317" customHeight="1" spans="1:3">
      <c r="A317" s="52">
        <v>315</v>
      </c>
      <c r="B317" s="61" t="s">
        <v>981</v>
      </c>
      <c r="C317" s="52">
        <v>2000</v>
      </c>
    </row>
    <row r="318" customHeight="1" spans="1:3">
      <c r="A318" s="52">
        <v>316</v>
      </c>
      <c r="B318" s="61" t="s">
        <v>514</v>
      </c>
      <c r="C318" s="52">
        <v>1050</v>
      </c>
    </row>
    <row r="319" customHeight="1" spans="1:1">
      <c r="A319" s="52">
        <v>317</v>
      </c>
    </row>
    <row r="320" customHeight="1" spans="1:1">
      <c r="A320" s="52">
        <v>318</v>
      </c>
    </row>
    <row r="321" customHeight="1" spans="1:1">
      <c r="A321" s="52">
        <v>319</v>
      </c>
    </row>
    <row r="322" customHeight="1" spans="1:1">
      <c r="A322" s="52">
        <v>320</v>
      </c>
    </row>
    <row r="323" customHeight="1" spans="1:1">
      <c r="A323" s="52">
        <v>321</v>
      </c>
    </row>
    <row r="324" customHeight="1" spans="1:1">
      <c r="A324" s="52">
        <v>322</v>
      </c>
    </row>
    <row r="325" customHeight="1" spans="1:1">
      <c r="A325" s="52">
        <v>323</v>
      </c>
    </row>
    <row r="326" customHeight="1" spans="1:1">
      <c r="A326" s="52">
        <v>324</v>
      </c>
    </row>
    <row r="327" customHeight="1" spans="1:1">
      <c r="A327" s="52">
        <v>325</v>
      </c>
    </row>
  </sheetData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A3100"/>
  <sheetViews>
    <sheetView view="pageBreakPreview" zoomScale="106" zoomScaleNormal="100" workbookViewId="0">
      <selection activeCell="A1" sqref="A1:U9"/>
    </sheetView>
  </sheetViews>
  <sheetFormatPr defaultColWidth="9.11111111111111" defaultRowHeight="20.25" customHeight="1"/>
  <cols>
    <col min="1" max="1" width="19.3333333333333" style="33" customWidth="1"/>
    <col min="2" max="2" width="12.6666666666667" style="34" customWidth="1"/>
    <col min="3" max="3" width="6.33333333333333" style="34" customWidth="1"/>
    <col min="4" max="4" width="4.88888888888889" style="34" customWidth="1"/>
    <col min="5" max="6" width="7.66666666666667" style="35" customWidth="1"/>
    <col min="7" max="7" width="8" style="35" customWidth="1"/>
    <col min="8" max="19" width="6.44444444444444" style="35" customWidth="1"/>
    <col min="20" max="20" width="8" style="35" customWidth="1"/>
    <col min="21" max="21" width="11" style="34" customWidth="1"/>
    <col min="22" max="22" width="9.11111111111111" style="34" customWidth="1"/>
    <col min="23" max="25" width="9.11111111111111" style="34"/>
    <col min="26" max="26" width="21.5555555555556" style="34" customWidth="1"/>
    <col min="27" max="16384" width="9.11111111111111" style="34"/>
  </cols>
  <sheetData>
    <row r="1" s="32" customFormat="1" customHeight="1" spans="1:21">
      <c r="A1" s="36" t="s">
        <v>1005</v>
      </c>
      <c r="B1" s="32">
        <v>2</v>
      </c>
      <c r="C1" s="32">
        <v>3</v>
      </c>
      <c r="D1" s="32">
        <v>4</v>
      </c>
      <c r="E1" s="37">
        <v>5</v>
      </c>
      <c r="F1" s="37">
        <v>6</v>
      </c>
      <c r="G1" s="37">
        <v>7</v>
      </c>
      <c r="H1" s="37">
        <v>8</v>
      </c>
      <c r="I1" s="37">
        <v>9</v>
      </c>
      <c r="J1" s="37">
        <v>10</v>
      </c>
      <c r="K1" s="37">
        <v>11</v>
      </c>
      <c r="L1" s="37">
        <v>12</v>
      </c>
      <c r="M1" s="37">
        <v>13</v>
      </c>
      <c r="N1" s="37">
        <v>14</v>
      </c>
      <c r="O1" s="37">
        <v>15</v>
      </c>
      <c r="P1" s="37">
        <v>16</v>
      </c>
      <c r="Q1" s="37">
        <v>17</v>
      </c>
      <c r="R1" s="37">
        <v>18</v>
      </c>
      <c r="S1" s="37">
        <v>19</v>
      </c>
      <c r="T1" s="37">
        <v>20</v>
      </c>
      <c r="U1" s="32">
        <v>21</v>
      </c>
    </row>
    <row r="2" s="6" customFormat="1" ht="58.5" customHeight="1" spans="1:21">
      <c r="A2" s="38" t="s">
        <v>1006</v>
      </c>
      <c r="B2" s="39" t="s">
        <v>1007</v>
      </c>
      <c r="C2" s="39" t="s">
        <v>1008</v>
      </c>
      <c r="D2" s="39" t="s">
        <v>1009</v>
      </c>
      <c r="E2" s="40" t="s">
        <v>1010</v>
      </c>
      <c r="F2" s="41" t="s">
        <v>1011</v>
      </c>
      <c r="G2" s="41" t="s">
        <v>1012</v>
      </c>
      <c r="H2" s="41" t="s">
        <v>1013</v>
      </c>
      <c r="I2" s="41" t="s">
        <v>1014</v>
      </c>
      <c r="J2" s="41" t="s">
        <v>1015</v>
      </c>
      <c r="K2" s="41" t="s">
        <v>1016</v>
      </c>
      <c r="L2" s="41" t="s">
        <v>1017</v>
      </c>
      <c r="M2" s="41" t="s">
        <v>1018</v>
      </c>
      <c r="N2" s="41" t="s">
        <v>1019</v>
      </c>
      <c r="O2" s="41" t="s">
        <v>1020</v>
      </c>
      <c r="P2" s="41" t="s">
        <v>1020</v>
      </c>
      <c r="Q2" s="41" t="s">
        <v>1020</v>
      </c>
      <c r="R2" s="41" t="s">
        <v>1020</v>
      </c>
      <c r="S2" s="41" t="s">
        <v>1020</v>
      </c>
      <c r="T2" s="41" t="s">
        <v>1020</v>
      </c>
      <c r="U2" s="39" t="s">
        <v>1021</v>
      </c>
    </row>
    <row r="3" customHeight="1" spans="1:22">
      <c r="A3" s="42" t="str">
        <f>B3&amp;" "&amp;C3&amp;D3</f>
        <v>Glass Bottle  100ml</v>
      </c>
      <c r="B3" s="43" t="s">
        <v>1022</v>
      </c>
      <c r="C3" s="43">
        <v>100</v>
      </c>
      <c r="D3" s="43" t="s">
        <v>109</v>
      </c>
      <c r="E3" s="44">
        <v>46.1</v>
      </c>
      <c r="F3" s="44">
        <v>56</v>
      </c>
      <c r="G3" s="45">
        <f t="shared" ref="G3:G66" si="0">+E3/F3</f>
        <v>0.823214285714286</v>
      </c>
      <c r="H3" s="46">
        <v>3.34</v>
      </c>
      <c r="I3" s="46">
        <v>0.26</v>
      </c>
      <c r="J3" s="46">
        <v>0.73</v>
      </c>
      <c r="K3" s="46">
        <v>0.5</v>
      </c>
      <c r="L3" s="46"/>
      <c r="M3" s="46"/>
      <c r="N3" s="46"/>
      <c r="O3" s="46"/>
      <c r="P3" s="46"/>
      <c r="Q3" s="46"/>
      <c r="R3" s="46"/>
      <c r="S3" s="46"/>
      <c r="T3" s="46"/>
      <c r="U3" s="49">
        <f>SUM(G3:T3)</f>
        <v>5.65321428571429</v>
      </c>
      <c r="V3" s="35"/>
    </row>
    <row r="4" customHeight="1" spans="1:21">
      <c r="A4" s="42" t="str">
        <f t="shared" ref="A4:A27" si="1">B4&amp;" "&amp;C4&amp;D4</f>
        <v>Glass Bottle 30ml</v>
      </c>
      <c r="B4" s="43" t="s">
        <v>1023</v>
      </c>
      <c r="C4" s="43">
        <v>30</v>
      </c>
      <c r="D4" s="43" t="s">
        <v>109</v>
      </c>
      <c r="E4" s="44">
        <v>33.79</v>
      </c>
      <c r="F4" s="44">
        <v>105</v>
      </c>
      <c r="G4" s="45">
        <f t="shared" si="0"/>
        <v>0.321809523809524</v>
      </c>
      <c r="H4" s="46">
        <v>2.22</v>
      </c>
      <c r="I4" s="46">
        <f>+I3</f>
        <v>0.26</v>
      </c>
      <c r="J4" s="46">
        <f>+J3</f>
        <v>0.73</v>
      </c>
      <c r="K4" s="46">
        <v>0.5</v>
      </c>
      <c r="L4" s="46"/>
      <c r="M4" s="46"/>
      <c r="N4" s="46"/>
      <c r="O4" s="46"/>
      <c r="P4" s="46"/>
      <c r="Q4" s="46"/>
      <c r="R4" s="46"/>
      <c r="S4" s="46"/>
      <c r="T4" s="46"/>
      <c r="U4" s="49">
        <f t="shared" ref="U4:U67" si="2">SUM(G4:T4)</f>
        <v>4.03180952380952</v>
      </c>
    </row>
    <row r="5" customHeight="1" spans="1:21">
      <c r="A5" s="42" t="str">
        <f t="shared" si="1"/>
        <v>Tube 10g</v>
      </c>
      <c r="B5" s="43" t="s">
        <v>1024</v>
      </c>
      <c r="C5" s="43">
        <v>10</v>
      </c>
      <c r="D5" s="43" t="s">
        <v>86</v>
      </c>
      <c r="E5" s="44">
        <v>11</v>
      </c>
      <c r="F5" s="44">
        <v>360</v>
      </c>
      <c r="G5" s="45">
        <f t="shared" si="0"/>
        <v>0.0305555555555556</v>
      </c>
      <c r="H5" s="46">
        <v>2.89</v>
      </c>
      <c r="I5" s="44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9">
        <f t="shared" si="2"/>
        <v>2.92055555555556</v>
      </c>
    </row>
    <row r="6" customHeight="1" spans="1:21">
      <c r="A6" s="42" t="str">
        <f t="shared" si="1"/>
        <v>Blister 3g</v>
      </c>
      <c r="B6" s="43" t="s">
        <v>1025</v>
      </c>
      <c r="C6" s="43">
        <v>3</v>
      </c>
      <c r="D6" s="43" t="s">
        <v>86</v>
      </c>
      <c r="E6" s="44">
        <v>33.1</v>
      </c>
      <c r="F6" s="44">
        <v>1000</v>
      </c>
      <c r="G6" s="45">
        <f t="shared" si="0"/>
        <v>0.0331</v>
      </c>
      <c r="H6" s="44"/>
      <c r="I6" s="44"/>
      <c r="J6" s="44"/>
      <c r="K6" s="44"/>
      <c r="L6" s="44"/>
      <c r="M6" s="44">
        <v>0.22</v>
      </c>
      <c r="N6" s="44">
        <f>(11/250)</f>
        <v>0.044</v>
      </c>
      <c r="O6" s="44"/>
      <c r="P6" s="44"/>
      <c r="Q6" s="44"/>
      <c r="R6" s="44"/>
      <c r="S6" s="44"/>
      <c r="T6" s="44"/>
      <c r="U6" s="49">
        <f t="shared" si="2"/>
        <v>0.2971</v>
      </c>
    </row>
    <row r="7" customHeight="1" spans="1:21">
      <c r="A7" s="42" t="str">
        <f t="shared" si="1"/>
        <v>Container 20g</v>
      </c>
      <c r="B7" s="43" t="s">
        <v>1026</v>
      </c>
      <c r="C7" s="43">
        <v>20</v>
      </c>
      <c r="D7" s="43" t="s">
        <v>86</v>
      </c>
      <c r="E7" s="44">
        <v>33.1</v>
      </c>
      <c r="F7" s="44">
        <v>140</v>
      </c>
      <c r="G7" s="45">
        <f t="shared" si="0"/>
        <v>0.236428571428571</v>
      </c>
      <c r="H7" s="46">
        <v>3.85</v>
      </c>
      <c r="I7" s="44"/>
      <c r="J7" s="44"/>
      <c r="K7" s="44"/>
      <c r="L7" s="44"/>
      <c r="M7" s="44"/>
      <c r="N7" s="44">
        <f>11/35</f>
        <v>0.314285714285714</v>
      </c>
      <c r="O7" s="44"/>
      <c r="P7" s="44"/>
      <c r="Q7" s="44"/>
      <c r="R7" s="44"/>
      <c r="S7" s="44"/>
      <c r="T7" s="44"/>
      <c r="U7" s="49">
        <f t="shared" si="2"/>
        <v>4.40071428571429</v>
      </c>
    </row>
    <row r="8" customHeight="1" spans="1:21">
      <c r="A8" s="42" t="str">
        <f t="shared" si="1"/>
        <v>Container 500g</v>
      </c>
      <c r="B8" s="43" t="s">
        <v>1026</v>
      </c>
      <c r="C8" s="43">
        <v>500</v>
      </c>
      <c r="D8" s="43" t="s">
        <v>86</v>
      </c>
      <c r="E8" s="44">
        <v>46.1</v>
      </c>
      <c r="F8" s="44">
        <v>20</v>
      </c>
      <c r="G8" s="45">
        <f t="shared" si="0"/>
        <v>2.305</v>
      </c>
      <c r="H8" s="46">
        <v>20</v>
      </c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9">
        <f t="shared" si="2"/>
        <v>22.305</v>
      </c>
    </row>
    <row r="9" customHeight="1" spans="1:21">
      <c r="A9" s="42" t="str">
        <f t="shared" si="1"/>
        <v>Paper Box 500g</v>
      </c>
      <c r="B9" s="43" t="s">
        <v>1027</v>
      </c>
      <c r="C9" s="43">
        <v>500</v>
      </c>
      <c r="D9" s="43" t="s">
        <v>86</v>
      </c>
      <c r="E9" s="44">
        <v>33.1</v>
      </c>
      <c r="F9" s="44">
        <v>28</v>
      </c>
      <c r="G9" s="45">
        <f t="shared" si="0"/>
        <v>1.18214285714286</v>
      </c>
      <c r="H9" s="46"/>
      <c r="I9" s="46"/>
      <c r="J9" s="46"/>
      <c r="K9" s="46"/>
      <c r="L9" s="48">
        <v>0.15</v>
      </c>
      <c r="M9" s="46"/>
      <c r="N9" s="46">
        <v>1.65</v>
      </c>
      <c r="O9" s="46"/>
      <c r="P9" s="46"/>
      <c r="Q9" s="46"/>
      <c r="R9" s="46"/>
      <c r="S9" s="46"/>
      <c r="T9" s="46"/>
      <c r="U9" s="49">
        <f t="shared" si="2"/>
        <v>2.98214285714286</v>
      </c>
    </row>
    <row r="10" customHeight="1" spans="1:27">
      <c r="A10" s="42" t="str">
        <f t="shared" si="1"/>
        <v> </v>
      </c>
      <c r="B10" s="5"/>
      <c r="G10" s="47" t="e">
        <f t="shared" si="0"/>
        <v>#DIV/0!</v>
      </c>
      <c r="U10" s="49" t="e">
        <f t="shared" si="2"/>
        <v>#DIV/0!</v>
      </c>
      <c r="Z10" s="50"/>
      <c r="AA10" s="50"/>
    </row>
    <row r="11" customHeight="1" spans="1:27">
      <c r="A11" s="42" t="str">
        <f t="shared" si="1"/>
        <v> </v>
      </c>
      <c r="B11" s="5"/>
      <c r="G11" s="47" t="e">
        <f t="shared" si="0"/>
        <v>#DIV/0!</v>
      </c>
      <c r="U11" s="49" t="e">
        <f t="shared" si="2"/>
        <v>#DIV/0!</v>
      </c>
      <c r="AA11" s="50"/>
    </row>
    <row r="12" customHeight="1" spans="1:27">
      <c r="A12" s="42" t="str">
        <f t="shared" si="1"/>
        <v> </v>
      </c>
      <c r="B12" s="5"/>
      <c r="C12" s="5"/>
      <c r="G12" s="47" t="e">
        <f t="shared" si="0"/>
        <v>#DIV/0!</v>
      </c>
      <c r="U12" s="49" t="e">
        <f t="shared" si="2"/>
        <v>#DIV/0!</v>
      </c>
      <c r="AA12" s="50"/>
    </row>
    <row r="13" customHeight="1" spans="1:27">
      <c r="A13" s="42" t="str">
        <f t="shared" si="1"/>
        <v> </v>
      </c>
      <c r="B13" s="5"/>
      <c r="G13" s="47" t="e">
        <f t="shared" si="0"/>
        <v>#DIV/0!</v>
      </c>
      <c r="U13" s="49" t="e">
        <f t="shared" si="2"/>
        <v>#DIV/0!</v>
      </c>
      <c r="AA13" s="50"/>
    </row>
    <row r="14" customHeight="1" spans="1:27">
      <c r="A14" s="42" t="str">
        <f t="shared" si="1"/>
        <v> </v>
      </c>
      <c r="B14" s="5"/>
      <c r="G14" s="47" t="e">
        <f t="shared" si="0"/>
        <v>#DIV/0!</v>
      </c>
      <c r="U14" s="49" t="e">
        <f t="shared" si="2"/>
        <v>#DIV/0!</v>
      </c>
      <c r="AA14" s="50"/>
    </row>
    <row r="15" customHeight="1" spans="1:21">
      <c r="A15" s="42" t="str">
        <f t="shared" si="1"/>
        <v> </v>
      </c>
      <c r="G15" s="47" t="e">
        <f t="shared" si="0"/>
        <v>#DIV/0!</v>
      </c>
      <c r="U15" s="49" t="e">
        <f t="shared" si="2"/>
        <v>#DIV/0!</v>
      </c>
    </row>
    <row r="16" customHeight="1" spans="1:21">
      <c r="A16" s="42" t="str">
        <f t="shared" si="1"/>
        <v> </v>
      </c>
      <c r="G16" s="47" t="e">
        <f t="shared" si="0"/>
        <v>#DIV/0!</v>
      </c>
      <c r="U16" s="49" t="e">
        <f t="shared" si="2"/>
        <v>#DIV/0!</v>
      </c>
    </row>
    <row r="17" customHeight="1" spans="1:21">
      <c r="A17" s="42" t="str">
        <f t="shared" si="1"/>
        <v> </v>
      </c>
      <c r="G17" s="47" t="e">
        <f t="shared" si="0"/>
        <v>#DIV/0!</v>
      </c>
      <c r="U17" s="49" t="e">
        <f t="shared" si="2"/>
        <v>#DIV/0!</v>
      </c>
    </row>
    <row r="18" customHeight="1" spans="1:21">
      <c r="A18" s="42" t="str">
        <f t="shared" si="1"/>
        <v> </v>
      </c>
      <c r="G18" s="47" t="e">
        <f t="shared" si="0"/>
        <v>#DIV/0!</v>
      </c>
      <c r="U18" s="49" t="e">
        <f t="shared" si="2"/>
        <v>#DIV/0!</v>
      </c>
    </row>
    <row r="19" customHeight="1" spans="1:21">
      <c r="A19" s="42" t="str">
        <f t="shared" si="1"/>
        <v> </v>
      </c>
      <c r="G19" s="47" t="e">
        <f t="shared" si="0"/>
        <v>#DIV/0!</v>
      </c>
      <c r="U19" s="49" t="e">
        <f t="shared" si="2"/>
        <v>#DIV/0!</v>
      </c>
    </row>
    <row r="20" customHeight="1" spans="1:21">
      <c r="A20" s="42" t="str">
        <f t="shared" si="1"/>
        <v> </v>
      </c>
      <c r="G20" s="47" t="e">
        <f t="shared" si="0"/>
        <v>#DIV/0!</v>
      </c>
      <c r="U20" s="49" t="e">
        <f t="shared" si="2"/>
        <v>#DIV/0!</v>
      </c>
    </row>
    <row r="21" customHeight="1" spans="1:21">
      <c r="A21" s="42" t="str">
        <f t="shared" si="1"/>
        <v> </v>
      </c>
      <c r="G21" s="47" t="e">
        <f t="shared" si="0"/>
        <v>#DIV/0!</v>
      </c>
      <c r="U21" s="49" t="e">
        <f t="shared" si="2"/>
        <v>#DIV/0!</v>
      </c>
    </row>
    <row r="22" customHeight="1" spans="1:21">
      <c r="A22" s="42" t="str">
        <f t="shared" si="1"/>
        <v> </v>
      </c>
      <c r="G22" s="47" t="e">
        <f t="shared" si="0"/>
        <v>#DIV/0!</v>
      </c>
      <c r="U22" s="49" t="e">
        <f t="shared" si="2"/>
        <v>#DIV/0!</v>
      </c>
    </row>
    <row r="23" customHeight="1" spans="1:21">
      <c r="A23" s="42" t="str">
        <f t="shared" si="1"/>
        <v> </v>
      </c>
      <c r="G23" s="47" t="e">
        <f t="shared" si="0"/>
        <v>#DIV/0!</v>
      </c>
      <c r="U23" s="49" t="e">
        <f t="shared" si="2"/>
        <v>#DIV/0!</v>
      </c>
    </row>
    <row r="24" customHeight="1" spans="1:21">
      <c r="A24" s="42" t="str">
        <f t="shared" si="1"/>
        <v> </v>
      </c>
      <c r="G24" s="47" t="e">
        <f t="shared" si="0"/>
        <v>#DIV/0!</v>
      </c>
      <c r="U24" s="49" t="e">
        <f t="shared" si="2"/>
        <v>#DIV/0!</v>
      </c>
    </row>
    <row r="25" customHeight="1" spans="1:21">
      <c r="A25" s="42" t="str">
        <f t="shared" si="1"/>
        <v> </v>
      </c>
      <c r="G25" s="47" t="e">
        <f t="shared" si="0"/>
        <v>#DIV/0!</v>
      </c>
      <c r="U25" s="49" t="e">
        <f t="shared" si="2"/>
        <v>#DIV/0!</v>
      </c>
    </row>
    <row r="26" customHeight="1" spans="1:21">
      <c r="A26" s="42" t="str">
        <f t="shared" si="1"/>
        <v> </v>
      </c>
      <c r="G26" s="47" t="e">
        <f t="shared" si="0"/>
        <v>#DIV/0!</v>
      </c>
      <c r="U26" s="49" t="e">
        <f t="shared" si="2"/>
        <v>#DIV/0!</v>
      </c>
    </row>
    <row r="27" customHeight="1" spans="1:21">
      <c r="A27" s="42" t="str">
        <f t="shared" si="1"/>
        <v> </v>
      </c>
      <c r="G27" s="47" t="e">
        <f t="shared" si="0"/>
        <v>#DIV/0!</v>
      </c>
      <c r="U27" s="49" t="e">
        <f t="shared" si="2"/>
        <v>#DIV/0!</v>
      </c>
    </row>
    <row r="28" customHeight="1" spans="1:21">
      <c r="A28" s="42" t="str">
        <f t="shared" ref="A28:A67" si="3">B28&amp;C28&amp;D28</f>
        <v/>
      </c>
      <c r="G28" s="47" t="e">
        <f t="shared" si="0"/>
        <v>#DIV/0!</v>
      </c>
      <c r="U28" s="49" t="e">
        <f t="shared" si="2"/>
        <v>#DIV/0!</v>
      </c>
    </row>
    <row r="29" customHeight="1" spans="1:21">
      <c r="A29" s="42" t="str">
        <f t="shared" si="3"/>
        <v/>
      </c>
      <c r="G29" s="47" t="e">
        <f t="shared" si="0"/>
        <v>#DIV/0!</v>
      </c>
      <c r="U29" s="49" t="e">
        <f t="shared" si="2"/>
        <v>#DIV/0!</v>
      </c>
    </row>
    <row r="30" customHeight="1" spans="1:21">
      <c r="A30" s="42" t="str">
        <f t="shared" si="3"/>
        <v/>
      </c>
      <c r="G30" s="47" t="e">
        <f t="shared" si="0"/>
        <v>#DIV/0!</v>
      </c>
      <c r="U30" s="49" t="e">
        <f t="shared" si="2"/>
        <v>#DIV/0!</v>
      </c>
    </row>
    <row r="31" customHeight="1" spans="1:21">
      <c r="A31" s="42" t="str">
        <f t="shared" si="3"/>
        <v/>
      </c>
      <c r="G31" s="47" t="e">
        <f t="shared" si="0"/>
        <v>#DIV/0!</v>
      </c>
      <c r="U31" s="49" t="e">
        <f t="shared" si="2"/>
        <v>#DIV/0!</v>
      </c>
    </row>
    <row r="32" customHeight="1" spans="1:21">
      <c r="A32" s="42" t="str">
        <f t="shared" si="3"/>
        <v/>
      </c>
      <c r="G32" s="47" t="e">
        <f t="shared" si="0"/>
        <v>#DIV/0!</v>
      </c>
      <c r="U32" s="49" t="e">
        <f t="shared" si="2"/>
        <v>#DIV/0!</v>
      </c>
    </row>
    <row r="33" customHeight="1" spans="1:21">
      <c r="A33" s="42" t="str">
        <f t="shared" si="3"/>
        <v/>
      </c>
      <c r="G33" s="47" t="e">
        <f t="shared" si="0"/>
        <v>#DIV/0!</v>
      </c>
      <c r="U33" s="49" t="e">
        <f t="shared" si="2"/>
        <v>#DIV/0!</v>
      </c>
    </row>
    <row r="34" customHeight="1" spans="1:21">
      <c r="A34" s="42" t="str">
        <f t="shared" si="3"/>
        <v/>
      </c>
      <c r="G34" s="47" t="e">
        <f t="shared" si="0"/>
        <v>#DIV/0!</v>
      </c>
      <c r="U34" s="49" t="e">
        <f t="shared" si="2"/>
        <v>#DIV/0!</v>
      </c>
    </row>
    <row r="35" customHeight="1" spans="1:21">
      <c r="A35" s="42" t="str">
        <f t="shared" si="3"/>
        <v/>
      </c>
      <c r="G35" s="47" t="e">
        <f t="shared" si="0"/>
        <v>#DIV/0!</v>
      </c>
      <c r="U35" s="49" t="e">
        <f t="shared" si="2"/>
        <v>#DIV/0!</v>
      </c>
    </row>
    <row r="36" customHeight="1" spans="1:21">
      <c r="A36" s="42" t="str">
        <f t="shared" si="3"/>
        <v/>
      </c>
      <c r="G36" s="47" t="e">
        <f t="shared" si="0"/>
        <v>#DIV/0!</v>
      </c>
      <c r="U36" s="49" t="e">
        <f t="shared" si="2"/>
        <v>#DIV/0!</v>
      </c>
    </row>
    <row r="37" customHeight="1" spans="1:21">
      <c r="A37" s="42" t="str">
        <f t="shared" si="3"/>
        <v/>
      </c>
      <c r="G37" s="47" t="e">
        <f t="shared" si="0"/>
        <v>#DIV/0!</v>
      </c>
      <c r="U37" s="49" t="e">
        <f t="shared" si="2"/>
        <v>#DIV/0!</v>
      </c>
    </row>
    <row r="38" customHeight="1" spans="1:21">
      <c r="A38" s="42" t="str">
        <f t="shared" si="3"/>
        <v/>
      </c>
      <c r="G38" s="47" t="e">
        <f t="shared" si="0"/>
        <v>#DIV/0!</v>
      </c>
      <c r="U38" s="49" t="e">
        <f t="shared" si="2"/>
        <v>#DIV/0!</v>
      </c>
    </row>
    <row r="39" customHeight="1" spans="1:21">
      <c r="A39" s="42" t="str">
        <f t="shared" si="3"/>
        <v/>
      </c>
      <c r="G39" s="47" t="e">
        <f t="shared" si="0"/>
        <v>#DIV/0!</v>
      </c>
      <c r="U39" s="49" t="e">
        <f t="shared" si="2"/>
        <v>#DIV/0!</v>
      </c>
    </row>
    <row r="40" customHeight="1" spans="1:21">
      <c r="A40" s="42" t="str">
        <f t="shared" si="3"/>
        <v/>
      </c>
      <c r="G40" s="47" t="e">
        <f t="shared" si="0"/>
        <v>#DIV/0!</v>
      </c>
      <c r="U40" s="49" t="e">
        <f t="shared" si="2"/>
        <v>#DIV/0!</v>
      </c>
    </row>
    <row r="41" customHeight="1" spans="1:21">
      <c r="A41" s="42" t="str">
        <f t="shared" si="3"/>
        <v/>
      </c>
      <c r="G41" s="47" t="e">
        <f t="shared" si="0"/>
        <v>#DIV/0!</v>
      </c>
      <c r="U41" s="49" t="e">
        <f t="shared" si="2"/>
        <v>#DIV/0!</v>
      </c>
    </row>
    <row r="42" customHeight="1" spans="1:21">
      <c r="A42" s="42" t="str">
        <f t="shared" si="3"/>
        <v/>
      </c>
      <c r="G42" s="47" t="e">
        <f t="shared" si="0"/>
        <v>#DIV/0!</v>
      </c>
      <c r="U42" s="49" t="e">
        <f t="shared" si="2"/>
        <v>#DIV/0!</v>
      </c>
    </row>
    <row r="43" customHeight="1" spans="1:21">
      <c r="A43" s="42" t="str">
        <f t="shared" si="3"/>
        <v/>
      </c>
      <c r="G43" s="47" t="e">
        <f t="shared" si="0"/>
        <v>#DIV/0!</v>
      </c>
      <c r="U43" s="49" t="e">
        <f t="shared" si="2"/>
        <v>#DIV/0!</v>
      </c>
    </row>
    <row r="44" customHeight="1" spans="1:21">
      <c r="A44" s="42" t="str">
        <f t="shared" si="3"/>
        <v/>
      </c>
      <c r="G44" s="47" t="e">
        <f t="shared" si="0"/>
        <v>#DIV/0!</v>
      </c>
      <c r="U44" s="49" t="e">
        <f t="shared" si="2"/>
        <v>#DIV/0!</v>
      </c>
    </row>
    <row r="45" customHeight="1" spans="1:21">
      <c r="A45" s="42" t="str">
        <f t="shared" si="3"/>
        <v/>
      </c>
      <c r="G45" s="47" t="e">
        <f t="shared" si="0"/>
        <v>#DIV/0!</v>
      </c>
      <c r="U45" s="49" t="e">
        <f t="shared" si="2"/>
        <v>#DIV/0!</v>
      </c>
    </row>
    <row r="46" customHeight="1" spans="1:21">
      <c r="A46" s="42" t="str">
        <f t="shared" si="3"/>
        <v/>
      </c>
      <c r="G46" s="47" t="e">
        <f t="shared" si="0"/>
        <v>#DIV/0!</v>
      </c>
      <c r="U46" s="49" t="e">
        <f t="shared" si="2"/>
        <v>#DIV/0!</v>
      </c>
    </row>
    <row r="47" customHeight="1" spans="1:21">
      <c r="A47" s="42" t="str">
        <f t="shared" si="3"/>
        <v/>
      </c>
      <c r="G47" s="47" t="e">
        <f t="shared" si="0"/>
        <v>#DIV/0!</v>
      </c>
      <c r="U47" s="49" t="e">
        <f t="shared" si="2"/>
        <v>#DIV/0!</v>
      </c>
    </row>
    <row r="48" customHeight="1" spans="1:21">
      <c r="A48" s="42" t="str">
        <f t="shared" si="3"/>
        <v/>
      </c>
      <c r="G48" s="47" t="e">
        <f t="shared" si="0"/>
        <v>#DIV/0!</v>
      </c>
      <c r="U48" s="49" t="e">
        <f t="shared" si="2"/>
        <v>#DIV/0!</v>
      </c>
    </row>
    <row r="49" customHeight="1" spans="1:21">
      <c r="A49" s="42" t="str">
        <f t="shared" si="3"/>
        <v/>
      </c>
      <c r="G49" s="47" t="e">
        <f t="shared" si="0"/>
        <v>#DIV/0!</v>
      </c>
      <c r="U49" s="49" t="e">
        <f t="shared" si="2"/>
        <v>#DIV/0!</v>
      </c>
    </row>
    <row r="50" customHeight="1" spans="1:21">
      <c r="A50" s="42" t="str">
        <f t="shared" si="3"/>
        <v/>
      </c>
      <c r="G50" s="47" t="e">
        <f t="shared" si="0"/>
        <v>#DIV/0!</v>
      </c>
      <c r="U50" s="49" t="e">
        <f t="shared" si="2"/>
        <v>#DIV/0!</v>
      </c>
    </row>
    <row r="51" customHeight="1" spans="1:21">
      <c r="A51" s="42" t="str">
        <f t="shared" si="3"/>
        <v/>
      </c>
      <c r="G51" s="47" t="e">
        <f t="shared" si="0"/>
        <v>#DIV/0!</v>
      </c>
      <c r="U51" s="49" t="e">
        <f t="shared" si="2"/>
        <v>#DIV/0!</v>
      </c>
    </row>
    <row r="52" customHeight="1" spans="1:21">
      <c r="A52" s="42" t="str">
        <f t="shared" si="3"/>
        <v/>
      </c>
      <c r="G52" s="47" t="e">
        <f t="shared" si="0"/>
        <v>#DIV/0!</v>
      </c>
      <c r="U52" s="49" t="e">
        <f t="shared" si="2"/>
        <v>#DIV/0!</v>
      </c>
    </row>
    <row r="53" customHeight="1" spans="1:21">
      <c r="A53" s="42" t="str">
        <f t="shared" si="3"/>
        <v/>
      </c>
      <c r="G53" s="47" t="e">
        <f t="shared" si="0"/>
        <v>#DIV/0!</v>
      </c>
      <c r="U53" s="49" t="e">
        <f t="shared" si="2"/>
        <v>#DIV/0!</v>
      </c>
    </row>
    <row r="54" customHeight="1" spans="1:21">
      <c r="A54" s="42" t="str">
        <f t="shared" si="3"/>
        <v/>
      </c>
      <c r="G54" s="47" t="e">
        <f t="shared" si="0"/>
        <v>#DIV/0!</v>
      </c>
      <c r="U54" s="49" t="e">
        <f t="shared" si="2"/>
        <v>#DIV/0!</v>
      </c>
    </row>
    <row r="55" customHeight="1" spans="1:21">
      <c r="A55" s="42" t="str">
        <f t="shared" si="3"/>
        <v/>
      </c>
      <c r="G55" s="47" t="e">
        <f t="shared" si="0"/>
        <v>#DIV/0!</v>
      </c>
      <c r="U55" s="49" t="e">
        <f t="shared" si="2"/>
        <v>#DIV/0!</v>
      </c>
    </row>
    <row r="56" customHeight="1" spans="1:21">
      <c r="A56" s="42" t="str">
        <f t="shared" si="3"/>
        <v/>
      </c>
      <c r="G56" s="47" t="e">
        <f t="shared" si="0"/>
        <v>#DIV/0!</v>
      </c>
      <c r="U56" s="49" t="e">
        <f t="shared" si="2"/>
        <v>#DIV/0!</v>
      </c>
    </row>
    <row r="57" customHeight="1" spans="1:21">
      <c r="A57" s="42" t="str">
        <f t="shared" si="3"/>
        <v/>
      </c>
      <c r="G57" s="47" t="e">
        <f t="shared" si="0"/>
        <v>#DIV/0!</v>
      </c>
      <c r="U57" s="49" t="e">
        <f t="shared" si="2"/>
        <v>#DIV/0!</v>
      </c>
    </row>
    <row r="58" customHeight="1" spans="1:21">
      <c r="A58" s="42" t="str">
        <f t="shared" si="3"/>
        <v/>
      </c>
      <c r="G58" s="47" t="e">
        <f t="shared" si="0"/>
        <v>#DIV/0!</v>
      </c>
      <c r="U58" s="49" t="e">
        <f t="shared" si="2"/>
        <v>#DIV/0!</v>
      </c>
    </row>
    <row r="59" customHeight="1" spans="1:21">
      <c r="A59" s="42" t="str">
        <f t="shared" si="3"/>
        <v/>
      </c>
      <c r="G59" s="47" t="e">
        <f t="shared" si="0"/>
        <v>#DIV/0!</v>
      </c>
      <c r="U59" s="49" t="e">
        <f t="shared" si="2"/>
        <v>#DIV/0!</v>
      </c>
    </row>
    <row r="60" customHeight="1" spans="1:21">
      <c r="A60" s="42" t="str">
        <f t="shared" si="3"/>
        <v/>
      </c>
      <c r="G60" s="47" t="e">
        <f t="shared" si="0"/>
        <v>#DIV/0!</v>
      </c>
      <c r="U60" s="49" t="e">
        <f t="shared" si="2"/>
        <v>#DIV/0!</v>
      </c>
    </row>
    <row r="61" customHeight="1" spans="1:21">
      <c r="A61" s="42" t="str">
        <f t="shared" si="3"/>
        <v/>
      </c>
      <c r="G61" s="47" t="e">
        <f t="shared" si="0"/>
        <v>#DIV/0!</v>
      </c>
      <c r="U61" s="49" t="e">
        <f t="shared" si="2"/>
        <v>#DIV/0!</v>
      </c>
    </row>
    <row r="62" customHeight="1" spans="1:21">
      <c r="A62" s="42" t="str">
        <f t="shared" si="3"/>
        <v/>
      </c>
      <c r="G62" s="47" t="e">
        <f t="shared" si="0"/>
        <v>#DIV/0!</v>
      </c>
      <c r="U62" s="49" t="e">
        <f t="shared" si="2"/>
        <v>#DIV/0!</v>
      </c>
    </row>
    <row r="63" customHeight="1" spans="1:21">
      <c r="A63" s="42" t="str">
        <f t="shared" si="3"/>
        <v/>
      </c>
      <c r="G63" s="47" t="e">
        <f t="shared" si="0"/>
        <v>#DIV/0!</v>
      </c>
      <c r="U63" s="49" t="e">
        <f t="shared" si="2"/>
        <v>#DIV/0!</v>
      </c>
    </row>
    <row r="64" customHeight="1" spans="1:21">
      <c r="A64" s="42" t="str">
        <f t="shared" si="3"/>
        <v/>
      </c>
      <c r="G64" s="47" t="e">
        <f t="shared" si="0"/>
        <v>#DIV/0!</v>
      </c>
      <c r="U64" s="49" t="e">
        <f t="shared" si="2"/>
        <v>#DIV/0!</v>
      </c>
    </row>
    <row r="65" customHeight="1" spans="1:21">
      <c r="A65" s="42" t="str">
        <f t="shared" si="3"/>
        <v/>
      </c>
      <c r="G65" s="47" t="e">
        <f t="shared" si="0"/>
        <v>#DIV/0!</v>
      </c>
      <c r="U65" s="49" t="e">
        <f t="shared" si="2"/>
        <v>#DIV/0!</v>
      </c>
    </row>
    <row r="66" customHeight="1" spans="1:21">
      <c r="A66" s="42" t="str">
        <f t="shared" si="3"/>
        <v/>
      </c>
      <c r="G66" s="47" t="e">
        <f t="shared" si="0"/>
        <v>#DIV/0!</v>
      </c>
      <c r="U66" s="49" t="e">
        <f t="shared" si="2"/>
        <v>#DIV/0!</v>
      </c>
    </row>
    <row r="67" customHeight="1" spans="1:21">
      <c r="A67" s="42" t="str">
        <f t="shared" si="3"/>
        <v/>
      </c>
      <c r="G67" s="47" t="e">
        <f t="shared" ref="G67:G130" si="4">+E67/F67</f>
        <v>#DIV/0!</v>
      </c>
      <c r="U67" s="49" t="e">
        <f t="shared" si="2"/>
        <v>#DIV/0!</v>
      </c>
    </row>
    <row r="68" customHeight="1" spans="1:21">
      <c r="A68" s="42" t="str">
        <f t="shared" ref="A68:A131" si="5">B68&amp;C68&amp;D68</f>
        <v/>
      </c>
      <c r="G68" s="47" t="e">
        <f t="shared" si="4"/>
        <v>#DIV/0!</v>
      </c>
      <c r="U68" s="49" t="e">
        <f t="shared" ref="U68:U131" si="6">SUM(G68:T68)</f>
        <v>#DIV/0!</v>
      </c>
    </row>
    <row r="69" customHeight="1" spans="1:21">
      <c r="A69" s="42" t="str">
        <f t="shared" si="5"/>
        <v/>
      </c>
      <c r="G69" s="47" t="e">
        <f t="shared" si="4"/>
        <v>#DIV/0!</v>
      </c>
      <c r="U69" s="49" t="e">
        <f t="shared" si="6"/>
        <v>#DIV/0!</v>
      </c>
    </row>
    <row r="70" customHeight="1" spans="1:21">
      <c r="A70" s="42" t="str">
        <f t="shared" si="5"/>
        <v/>
      </c>
      <c r="G70" s="47" t="e">
        <f t="shared" si="4"/>
        <v>#DIV/0!</v>
      </c>
      <c r="U70" s="49" t="e">
        <f t="shared" si="6"/>
        <v>#DIV/0!</v>
      </c>
    </row>
    <row r="71" customHeight="1" spans="1:21">
      <c r="A71" s="42" t="str">
        <f t="shared" si="5"/>
        <v/>
      </c>
      <c r="G71" s="47" t="e">
        <f t="shared" si="4"/>
        <v>#DIV/0!</v>
      </c>
      <c r="U71" s="49" t="e">
        <f t="shared" si="6"/>
        <v>#DIV/0!</v>
      </c>
    </row>
    <row r="72" customHeight="1" spans="1:21">
      <c r="A72" s="42" t="str">
        <f t="shared" si="5"/>
        <v/>
      </c>
      <c r="G72" s="47" t="e">
        <f t="shared" si="4"/>
        <v>#DIV/0!</v>
      </c>
      <c r="U72" s="49" t="e">
        <f t="shared" si="6"/>
        <v>#DIV/0!</v>
      </c>
    </row>
    <row r="73" customHeight="1" spans="1:21">
      <c r="A73" s="42" t="str">
        <f t="shared" si="5"/>
        <v/>
      </c>
      <c r="G73" s="47" t="e">
        <f t="shared" si="4"/>
        <v>#DIV/0!</v>
      </c>
      <c r="U73" s="49" t="e">
        <f t="shared" si="6"/>
        <v>#DIV/0!</v>
      </c>
    </row>
    <row r="74" customHeight="1" spans="1:21">
      <c r="A74" s="42" t="str">
        <f t="shared" si="5"/>
        <v/>
      </c>
      <c r="G74" s="47" t="e">
        <f t="shared" si="4"/>
        <v>#DIV/0!</v>
      </c>
      <c r="U74" s="49" t="e">
        <f t="shared" si="6"/>
        <v>#DIV/0!</v>
      </c>
    </row>
    <row r="75" customHeight="1" spans="1:21">
      <c r="A75" s="42" t="str">
        <f t="shared" si="5"/>
        <v/>
      </c>
      <c r="G75" s="47" t="e">
        <f t="shared" si="4"/>
        <v>#DIV/0!</v>
      </c>
      <c r="U75" s="49" t="e">
        <f t="shared" si="6"/>
        <v>#DIV/0!</v>
      </c>
    </row>
    <row r="76" customHeight="1" spans="1:21">
      <c r="A76" s="42" t="str">
        <f t="shared" si="5"/>
        <v/>
      </c>
      <c r="G76" s="47" t="e">
        <f t="shared" si="4"/>
        <v>#DIV/0!</v>
      </c>
      <c r="U76" s="49" t="e">
        <f t="shared" si="6"/>
        <v>#DIV/0!</v>
      </c>
    </row>
    <row r="77" customHeight="1" spans="1:21">
      <c r="A77" s="42" t="str">
        <f t="shared" si="5"/>
        <v/>
      </c>
      <c r="G77" s="47" t="e">
        <f t="shared" si="4"/>
        <v>#DIV/0!</v>
      </c>
      <c r="U77" s="49" t="e">
        <f t="shared" si="6"/>
        <v>#DIV/0!</v>
      </c>
    </row>
    <row r="78" customHeight="1" spans="1:21">
      <c r="A78" s="42" t="str">
        <f t="shared" si="5"/>
        <v/>
      </c>
      <c r="G78" s="47" t="e">
        <f t="shared" si="4"/>
        <v>#DIV/0!</v>
      </c>
      <c r="U78" s="49" t="e">
        <f t="shared" si="6"/>
        <v>#DIV/0!</v>
      </c>
    </row>
    <row r="79" customHeight="1" spans="1:21">
      <c r="A79" s="42" t="str">
        <f t="shared" si="5"/>
        <v/>
      </c>
      <c r="G79" s="47" t="e">
        <f t="shared" si="4"/>
        <v>#DIV/0!</v>
      </c>
      <c r="U79" s="49" t="e">
        <f t="shared" si="6"/>
        <v>#DIV/0!</v>
      </c>
    </row>
    <row r="80" customHeight="1" spans="1:21">
      <c r="A80" s="42" t="str">
        <f t="shared" si="5"/>
        <v/>
      </c>
      <c r="G80" s="47" t="e">
        <f t="shared" si="4"/>
        <v>#DIV/0!</v>
      </c>
      <c r="U80" s="49" t="e">
        <f t="shared" si="6"/>
        <v>#DIV/0!</v>
      </c>
    </row>
    <row r="81" customHeight="1" spans="1:21">
      <c r="A81" s="42" t="str">
        <f t="shared" si="5"/>
        <v/>
      </c>
      <c r="G81" s="47" t="e">
        <f t="shared" si="4"/>
        <v>#DIV/0!</v>
      </c>
      <c r="U81" s="49" t="e">
        <f t="shared" si="6"/>
        <v>#DIV/0!</v>
      </c>
    </row>
    <row r="82" customHeight="1" spans="1:21">
      <c r="A82" s="42" t="str">
        <f t="shared" si="5"/>
        <v/>
      </c>
      <c r="G82" s="47" t="e">
        <f t="shared" si="4"/>
        <v>#DIV/0!</v>
      </c>
      <c r="U82" s="49" t="e">
        <f t="shared" si="6"/>
        <v>#DIV/0!</v>
      </c>
    </row>
    <row r="83" customHeight="1" spans="1:21">
      <c r="A83" s="42" t="str">
        <f t="shared" si="5"/>
        <v/>
      </c>
      <c r="G83" s="47" t="e">
        <f t="shared" si="4"/>
        <v>#DIV/0!</v>
      </c>
      <c r="U83" s="49" t="e">
        <f t="shared" si="6"/>
        <v>#DIV/0!</v>
      </c>
    </row>
    <row r="84" customHeight="1" spans="1:21">
      <c r="A84" s="42" t="str">
        <f t="shared" si="5"/>
        <v/>
      </c>
      <c r="G84" s="47" t="e">
        <f t="shared" si="4"/>
        <v>#DIV/0!</v>
      </c>
      <c r="U84" s="49" t="e">
        <f t="shared" si="6"/>
        <v>#DIV/0!</v>
      </c>
    </row>
    <row r="85" customHeight="1" spans="1:21">
      <c r="A85" s="42" t="str">
        <f t="shared" si="5"/>
        <v/>
      </c>
      <c r="G85" s="47" t="e">
        <f t="shared" si="4"/>
        <v>#DIV/0!</v>
      </c>
      <c r="U85" s="49" t="e">
        <f t="shared" si="6"/>
        <v>#DIV/0!</v>
      </c>
    </row>
    <row r="86" customHeight="1" spans="1:21">
      <c r="A86" s="42" t="str">
        <f t="shared" si="5"/>
        <v/>
      </c>
      <c r="G86" s="47" t="e">
        <f t="shared" si="4"/>
        <v>#DIV/0!</v>
      </c>
      <c r="U86" s="49" t="e">
        <f t="shared" si="6"/>
        <v>#DIV/0!</v>
      </c>
    </row>
    <row r="87" customHeight="1" spans="1:21">
      <c r="A87" s="42" t="str">
        <f t="shared" si="5"/>
        <v/>
      </c>
      <c r="G87" s="47" t="e">
        <f t="shared" si="4"/>
        <v>#DIV/0!</v>
      </c>
      <c r="U87" s="49" t="e">
        <f t="shared" si="6"/>
        <v>#DIV/0!</v>
      </c>
    </row>
    <row r="88" customHeight="1" spans="1:21">
      <c r="A88" s="42" t="str">
        <f t="shared" si="5"/>
        <v/>
      </c>
      <c r="G88" s="47" t="e">
        <f t="shared" si="4"/>
        <v>#DIV/0!</v>
      </c>
      <c r="U88" s="49" t="e">
        <f t="shared" si="6"/>
        <v>#DIV/0!</v>
      </c>
    </row>
    <row r="89" customHeight="1" spans="1:21">
      <c r="A89" s="42" t="str">
        <f t="shared" si="5"/>
        <v/>
      </c>
      <c r="G89" s="47" t="e">
        <f t="shared" si="4"/>
        <v>#DIV/0!</v>
      </c>
      <c r="U89" s="49" t="e">
        <f t="shared" si="6"/>
        <v>#DIV/0!</v>
      </c>
    </row>
    <row r="90" customHeight="1" spans="1:21">
      <c r="A90" s="42" t="str">
        <f t="shared" si="5"/>
        <v/>
      </c>
      <c r="G90" s="47" t="e">
        <f t="shared" si="4"/>
        <v>#DIV/0!</v>
      </c>
      <c r="U90" s="49" t="e">
        <f t="shared" si="6"/>
        <v>#DIV/0!</v>
      </c>
    </row>
    <row r="91" customHeight="1" spans="1:21">
      <c r="A91" s="42" t="str">
        <f t="shared" si="5"/>
        <v/>
      </c>
      <c r="G91" s="47" t="e">
        <f t="shared" si="4"/>
        <v>#DIV/0!</v>
      </c>
      <c r="U91" s="49" t="e">
        <f t="shared" si="6"/>
        <v>#DIV/0!</v>
      </c>
    </row>
    <row r="92" customHeight="1" spans="1:21">
      <c r="A92" s="42" t="str">
        <f t="shared" si="5"/>
        <v/>
      </c>
      <c r="G92" s="47" t="e">
        <f t="shared" si="4"/>
        <v>#DIV/0!</v>
      </c>
      <c r="U92" s="49" t="e">
        <f t="shared" si="6"/>
        <v>#DIV/0!</v>
      </c>
    </row>
    <row r="93" customHeight="1" spans="1:21">
      <c r="A93" s="42" t="str">
        <f t="shared" si="5"/>
        <v/>
      </c>
      <c r="G93" s="47" t="e">
        <f t="shared" si="4"/>
        <v>#DIV/0!</v>
      </c>
      <c r="U93" s="49" t="e">
        <f t="shared" si="6"/>
        <v>#DIV/0!</v>
      </c>
    </row>
    <row r="94" customHeight="1" spans="1:21">
      <c r="A94" s="42" t="str">
        <f t="shared" si="5"/>
        <v/>
      </c>
      <c r="G94" s="47" t="e">
        <f t="shared" si="4"/>
        <v>#DIV/0!</v>
      </c>
      <c r="U94" s="49" t="e">
        <f t="shared" si="6"/>
        <v>#DIV/0!</v>
      </c>
    </row>
    <row r="95" customHeight="1" spans="1:21">
      <c r="A95" s="42" t="str">
        <f t="shared" si="5"/>
        <v/>
      </c>
      <c r="G95" s="47" t="e">
        <f t="shared" si="4"/>
        <v>#DIV/0!</v>
      </c>
      <c r="U95" s="49" t="e">
        <f t="shared" si="6"/>
        <v>#DIV/0!</v>
      </c>
    </row>
    <row r="96" customHeight="1" spans="1:21">
      <c r="A96" s="42" t="str">
        <f t="shared" si="5"/>
        <v/>
      </c>
      <c r="G96" s="47" t="e">
        <f t="shared" si="4"/>
        <v>#DIV/0!</v>
      </c>
      <c r="U96" s="49" t="e">
        <f t="shared" si="6"/>
        <v>#DIV/0!</v>
      </c>
    </row>
    <row r="97" customHeight="1" spans="1:21">
      <c r="A97" s="42" t="str">
        <f t="shared" si="5"/>
        <v/>
      </c>
      <c r="G97" s="47" t="e">
        <f t="shared" si="4"/>
        <v>#DIV/0!</v>
      </c>
      <c r="U97" s="49" t="e">
        <f t="shared" si="6"/>
        <v>#DIV/0!</v>
      </c>
    </row>
    <row r="98" customHeight="1" spans="1:21">
      <c r="A98" s="42" t="str">
        <f t="shared" si="5"/>
        <v/>
      </c>
      <c r="G98" s="47" t="e">
        <f t="shared" si="4"/>
        <v>#DIV/0!</v>
      </c>
      <c r="U98" s="49" t="e">
        <f t="shared" si="6"/>
        <v>#DIV/0!</v>
      </c>
    </row>
    <row r="99" customHeight="1" spans="1:21">
      <c r="A99" s="42" t="str">
        <f t="shared" si="5"/>
        <v/>
      </c>
      <c r="G99" s="47" t="e">
        <f t="shared" si="4"/>
        <v>#DIV/0!</v>
      </c>
      <c r="U99" s="49" t="e">
        <f t="shared" si="6"/>
        <v>#DIV/0!</v>
      </c>
    </row>
    <row r="100" customHeight="1" spans="1:21">
      <c r="A100" s="42" t="str">
        <f t="shared" si="5"/>
        <v/>
      </c>
      <c r="G100" s="47" t="e">
        <f t="shared" si="4"/>
        <v>#DIV/0!</v>
      </c>
      <c r="U100" s="49" t="e">
        <f t="shared" si="6"/>
        <v>#DIV/0!</v>
      </c>
    </row>
    <row r="101" customHeight="1" spans="1:21">
      <c r="A101" s="42" t="str">
        <f t="shared" si="5"/>
        <v/>
      </c>
      <c r="G101" s="47" t="e">
        <f t="shared" si="4"/>
        <v>#DIV/0!</v>
      </c>
      <c r="U101" s="49" t="e">
        <f t="shared" si="6"/>
        <v>#DIV/0!</v>
      </c>
    </row>
    <row r="102" customHeight="1" spans="1:21">
      <c r="A102" s="42" t="str">
        <f t="shared" si="5"/>
        <v/>
      </c>
      <c r="G102" s="47" t="e">
        <f t="shared" si="4"/>
        <v>#DIV/0!</v>
      </c>
      <c r="U102" s="49" t="e">
        <f t="shared" si="6"/>
        <v>#DIV/0!</v>
      </c>
    </row>
    <row r="103" customHeight="1" spans="1:21">
      <c r="A103" s="42" t="str">
        <f t="shared" si="5"/>
        <v/>
      </c>
      <c r="G103" s="47" t="e">
        <f t="shared" si="4"/>
        <v>#DIV/0!</v>
      </c>
      <c r="U103" s="49" t="e">
        <f t="shared" si="6"/>
        <v>#DIV/0!</v>
      </c>
    </row>
    <row r="104" customHeight="1" spans="1:21">
      <c r="A104" s="42" t="str">
        <f t="shared" si="5"/>
        <v/>
      </c>
      <c r="G104" s="47" t="e">
        <f t="shared" si="4"/>
        <v>#DIV/0!</v>
      </c>
      <c r="U104" s="49" t="e">
        <f t="shared" si="6"/>
        <v>#DIV/0!</v>
      </c>
    </row>
    <row r="105" customHeight="1" spans="1:21">
      <c r="A105" s="42" t="str">
        <f t="shared" si="5"/>
        <v/>
      </c>
      <c r="G105" s="47" t="e">
        <f t="shared" si="4"/>
        <v>#DIV/0!</v>
      </c>
      <c r="U105" s="49" t="e">
        <f t="shared" si="6"/>
        <v>#DIV/0!</v>
      </c>
    </row>
    <row r="106" customHeight="1" spans="1:21">
      <c r="A106" s="42" t="str">
        <f t="shared" si="5"/>
        <v/>
      </c>
      <c r="G106" s="47" t="e">
        <f t="shared" si="4"/>
        <v>#DIV/0!</v>
      </c>
      <c r="U106" s="49" t="e">
        <f t="shared" si="6"/>
        <v>#DIV/0!</v>
      </c>
    </row>
    <row r="107" customHeight="1" spans="1:21">
      <c r="A107" s="42" t="str">
        <f t="shared" si="5"/>
        <v/>
      </c>
      <c r="G107" s="47" t="e">
        <f t="shared" si="4"/>
        <v>#DIV/0!</v>
      </c>
      <c r="U107" s="49" t="e">
        <f t="shared" si="6"/>
        <v>#DIV/0!</v>
      </c>
    </row>
    <row r="108" customHeight="1" spans="1:21">
      <c r="A108" s="42" t="str">
        <f t="shared" si="5"/>
        <v/>
      </c>
      <c r="G108" s="47" t="e">
        <f t="shared" si="4"/>
        <v>#DIV/0!</v>
      </c>
      <c r="U108" s="49" t="e">
        <f t="shared" si="6"/>
        <v>#DIV/0!</v>
      </c>
    </row>
    <row r="109" customHeight="1" spans="1:21">
      <c r="A109" s="42" t="str">
        <f t="shared" si="5"/>
        <v/>
      </c>
      <c r="G109" s="47" t="e">
        <f t="shared" si="4"/>
        <v>#DIV/0!</v>
      </c>
      <c r="U109" s="49" t="e">
        <f t="shared" si="6"/>
        <v>#DIV/0!</v>
      </c>
    </row>
    <row r="110" customHeight="1" spans="1:21">
      <c r="A110" s="42" t="str">
        <f t="shared" si="5"/>
        <v/>
      </c>
      <c r="G110" s="47" t="e">
        <f t="shared" si="4"/>
        <v>#DIV/0!</v>
      </c>
      <c r="U110" s="49" t="e">
        <f t="shared" si="6"/>
        <v>#DIV/0!</v>
      </c>
    </row>
    <row r="111" customHeight="1" spans="1:21">
      <c r="A111" s="42" t="str">
        <f t="shared" si="5"/>
        <v/>
      </c>
      <c r="G111" s="47" t="e">
        <f t="shared" si="4"/>
        <v>#DIV/0!</v>
      </c>
      <c r="U111" s="49" t="e">
        <f t="shared" si="6"/>
        <v>#DIV/0!</v>
      </c>
    </row>
    <row r="112" customHeight="1" spans="1:21">
      <c r="A112" s="42" t="str">
        <f t="shared" si="5"/>
        <v/>
      </c>
      <c r="G112" s="47" t="e">
        <f t="shared" si="4"/>
        <v>#DIV/0!</v>
      </c>
      <c r="U112" s="49" t="e">
        <f t="shared" si="6"/>
        <v>#DIV/0!</v>
      </c>
    </row>
    <row r="113" customHeight="1" spans="1:21">
      <c r="A113" s="42" t="str">
        <f t="shared" si="5"/>
        <v/>
      </c>
      <c r="G113" s="47" t="e">
        <f t="shared" si="4"/>
        <v>#DIV/0!</v>
      </c>
      <c r="U113" s="49" t="e">
        <f t="shared" si="6"/>
        <v>#DIV/0!</v>
      </c>
    </row>
    <row r="114" customHeight="1" spans="1:21">
      <c r="A114" s="42" t="str">
        <f t="shared" si="5"/>
        <v/>
      </c>
      <c r="G114" s="47" t="e">
        <f t="shared" si="4"/>
        <v>#DIV/0!</v>
      </c>
      <c r="U114" s="49" t="e">
        <f t="shared" si="6"/>
        <v>#DIV/0!</v>
      </c>
    </row>
    <row r="115" customHeight="1" spans="1:21">
      <c r="A115" s="42" t="str">
        <f t="shared" si="5"/>
        <v/>
      </c>
      <c r="G115" s="47" t="e">
        <f t="shared" si="4"/>
        <v>#DIV/0!</v>
      </c>
      <c r="U115" s="49" t="e">
        <f t="shared" si="6"/>
        <v>#DIV/0!</v>
      </c>
    </row>
    <row r="116" customHeight="1" spans="1:21">
      <c r="A116" s="42" t="str">
        <f t="shared" si="5"/>
        <v/>
      </c>
      <c r="G116" s="47" t="e">
        <f t="shared" si="4"/>
        <v>#DIV/0!</v>
      </c>
      <c r="U116" s="49" t="e">
        <f t="shared" si="6"/>
        <v>#DIV/0!</v>
      </c>
    </row>
    <row r="117" customHeight="1" spans="1:21">
      <c r="A117" s="42" t="str">
        <f t="shared" si="5"/>
        <v/>
      </c>
      <c r="G117" s="47" t="e">
        <f t="shared" si="4"/>
        <v>#DIV/0!</v>
      </c>
      <c r="U117" s="49" t="e">
        <f t="shared" si="6"/>
        <v>#DIV/0!</v>
      </c>
    </row>
    <row r="118" customHeight="1" spans="1:21">
      <c r="A118" s="42" t="str">
        <f t="shared" si="5"/>
        <v/>
      </c>
      <c r="G118" s="47" t="e">
        <f t="shared" si="4"/>
        <v>#DIV/0!</v>
      </c>
      <c r="U118" s="49" t="e">
        <f t="shared" si="6"/>
        <v>#DIV/0!</v>
      </c>
    </row>
    <row r="119" customHeight="1" spans="1:21">
      <c r="A119" s="42" t="str">
        <f t="shared" si="5"/>
        <v/>
      </c>
      <c r="G119" s="47" t="e">
        <f t="shared" si="4"/>
        <v>#DIV/0!</v>
      </c>
      <c r="U119" s="49" t="e">
        <f t="shared" si="6"/>
        <v>#DIV/0!</v>
      </c>
    </row>
    <row r="120" customHeight="1" spans="1:21">
      <c r="A120" s="42" t="str">
        <f t="shared" si="5"/>
        <v/>
      </c>
      <c r="G120" s="47" t="e">
        <f t="shared" si="4"/>
        <v>#DIV/0!</v>
      </c>
      <c r="U120" s="49" t="e">
        <f t="shared" si="6"/>
        <v>#DIV/0!</v>
      </c>
    </row>
    <row r="121" customHeight="1" spans="1:21">
      <c r="A121" s="42" t="str">
        <f t="shared" si="5"/>
        <v/>
      </c>
      <c r="G121" s="47" t="e">
        <f t="shared" si="4"/>
        <v>#DIV/0!</v>
      </c>
      <c r="U121" s="49" t="e">
        <f t="shared" si="6"/>
        <v>#DIV/0!</v>
      </c>
    </row>
    <row r="122" customHeight="1" spans="1:21">
      <c r="A122" s="42" t="str">
        <f t="shared" si="5"/>
        <v/>
      </c>
      <c r="G122" s="47" t="e">
        <f t="shared" si="4"/>
        <v>#DIV/0!</v>
      </c>
      <c r="U122" s="49" t="e">
        <f t="shared" si="6"/>
        <v>#DIV/0!</v>
      </c>
    </row>
    <row r="123" customHeight="1" spans="1:21">
      <c r="A123" s="42" t="str">
        <f t="shared" si="5"/>
        <v/>
      </c>
      <c r="G123" s="47" t="e">
        <f t="shared" si="4"/>
        <v>#DIV/0!</v>
      </c>
      <c r="U123" s="49" t="e">
        <f t="shared" si="6"/>
        <v>#DIV/0!</v>
      </c>
    </row>
    <row r="124" customHeight="1" spans="1:21">
      <c r="A124" s="42" t="str">
        <f t="shared" si="5"/>
        <v/>
      </c>
      <c r="G124" s="47" t="e">
        <f t="shared" si="4"/>
        <v>#DIV/0!</v>
      </c>
      <c r="U124" s="49" t="e">
        <f t="shared" si="6"/>
        <v>#DIV/0!</v>
      </c>
    </row>
    <row r="125" customHeight="1" spans="1:21">
      <c r="A125" s="42" t="str">
        <f t="shared" si="5"/>
        <v/>
      </c>
      <c r="G125" s="47" t="e">
        <f t="shared" si="4"/>
        <v>#DIV/0!</v>
      </c>
      <c r="U125" s="49" t="e">
        <f t="shared" si="6"/>
        <v>#DIV/0!</v>
      </c>
    </row>
    <row r="126" customHeight="1" spans="1:21">
      <c r="A126" s="42" t="str">
        <f t="shared" si="5"/>
        <v/>
      </c>
      <c r="G126" s="47" t="e">
        <f t="shared" si="4"/>
        <v>#DIV/0!</v>
      </c>
      <c r="U126" s="49" t="e">
        <f t="shared" si="6"/>
        <v>#DIV/0!</v>
      </c>
    </row>
    <row r="127" customHeight="1" spans="1:21">
      <c r="A127" s="42" t="str">
        <f t="shared" si="5"/>
        <v/>
      </c>
      <c r="G127" s="47" t="e">
        <f t="shared" si="4"/>
        <v>#DIV/0!</v>
      </c>
      <c r="U127" s="49" t="e">
        <f t="shared" si="6"/>
        <v>#DIV/0!</v>
      </c>
    </row>
    <row r="128" customHeight="1" spans="1:21">
      <c r="A128" s="42" t="str">
        <f t="shared" si="5"/>
        <v/>
      </c>
      <c r="G128" s="47" t="e">
        <f t="shared" si="4"/>
        <v>#DIV/0!</v>
      </c>
      <c r="U128" s="49" t="e">
        <f t="shared" si="6"/>
        <v>#DIV/0!</v>
      </c>
    </row>
    <row r="129" customHeight="1" spans="1:21">
      <c r="A129" s="42" t="str">
        <f t="shared" si="5"/>
        <v/>
      </c>
      <c r="G129" s="47" t="e">
        <f t="shared" si="4"/>
        <v>#DIV/0!</v>
      </c>
      <c r="U129" s="49" t="e">
        <f t="shared" si="6"/>
        <v>#DIV/0!</v>
      </c>
    </row>
    <row r="130" customHeight="1" spans="1:21">
      <c r="A130" s="42" t="str">
        <f t="shared" si="5"/>
        <v/>
      </c>
      <c r="G130" s="47" t="e">
        <f t="shared" si="4"/>
        <v>#DIV/0!</v>
      </c>
      <c r="U130" s="49" t="e">
        <f t="shared" si="6"/>
        <v>#DIV/0!</v>
      </c>
    </row>
    <row r="131" customHeight="1" spans="1:21">
      <c r="A131" s="42" t="str">
        <f t="shared" si="5"/>
        <v/>
      </c>
      <c r="G131" s="47" t="e">
        <f t="shared" ref="G131:G194" si="7">+E131/F131</f>
        <v>#DIV/0!</v>
      </c>
      <c r="U131" s="49" t="e">
        <f t="shared" si="6"/>
        <v>#DIV/0!</v>
      </c>
    </row>
    <row r="132" customHeight="1" spans="1:21">
      <c r="A132" s="42" t="str">
        <f t="shared" ref="A132:A195" si="8">B132&amp;C132&amp;D132</f>
        <v/>
      </c>
      <c r="G132" s="47" t="e">
        <f t="shared" si="7"/>
        <v>#DIV/0!</v>
      </c>
      <c r="U132" s="49" t="e">
        <f t="shared" ref="U132:U195" si="9">SUM(G132:T132)</f>
        <v>#DIV/0!</v>
      </c>
    </row>
    <row r="133" customHeight="1" spans="1:21">
      <c r="A133" s="42" t="str">
        <f t="shared" si="8"/>
        <v/>
      </c>
      <c r="G133" s="47" t="e">
        <f t="shared" si="7"/>
        <v>#DIV/0!</v>
      </c>
      <c r="U133" s="49" t="e">
        <f t="shared" si="9"/>
        <v>#DIV/0!</v>
      </c>
    </row>
    <row r="134" customHeight="1" spans="1:21">
      <c r="A134" s="42" t="str">
        <f t="shared" si="8"/>
        <v/>
      </c>
      <c r="G134" s="47" t="e">
        <f t="shared" si="7"/>
        <v>#DIV/0!</v>
      </c>
      <c r="U134" s="49" t="e">
        <f t="shared" si="9"/>
        <v>#DIV/0!</v>
      </c>
    </row>
    <row r="135" customHeight="1" spans="1:21">
      <c r="A135" s="42" t="str">
        <f t="shared" si="8"/>
        <v/>
      </c>
      <c r="G135" s="47" t="e">
        <f t="shared" si="7"/>
        <v>#DIV/0!</v>
      </c>
      <c r="U135" s="49" t="e">
        <f t="shared" si="9"/>
        <v>#DIV/0!</v>
      </c>
    </row>
    <row r="136" customHeight="1" spans="1:21">
      <c r="A136" s="42" t="str">
        <f t="shared" si="8"/>
        <v/>
      </c>
      <c r="G136" s="47" t="e">
        <f t="shared" si="7"/>
        <v>#DIV/0!</v>
      </c>
      <c r="U136" s="49" t="e">
        <f t="shared" si="9"/>
        <v>#DIV/0!</v>
      </c>
    </row>
    <row r="137" customHeight="1" spans="1:21">
      <c r="A137" s="42" t="str">
        <f t="shared" si="8"/>
        <v/>
      </c>
      <c r="G137" s="47" t="e">
        <f t="shared" si="7"/>
        <v>#DIV/0!</v>
      </c>
      <c r="U137" s="49" t="e">
        <f t="shared" si="9"/>
        <v>#DIV/0!</v>
      </c>
    </row>
    <row r="138" customHeight="1" spans="1:21">
      <c r="A138" s="42" t="str">
        <f t="shared" si="8"/>
        <v/>
      </c>
      <c r="G138" s="47" t="e">
        <f t="shared" si="7"/>
        <v>#DIV/0!</v>
      </c>
      <c r="U138" s="49" t="e">
        <f t="shared" si="9"/>
        <v>#DIV/0!</v>
      </c>
    </row>
    <row r="139" customHeight="1" spans="1:21">
      <c r="A139" s="42" t="str">
        <f t="shared" si="8"/>
        <v/>
      </c>
      <c r="G139" s="47" t="e">
        <f t="shared" si="7"/>
        <v>#DIV/0!</v>
      </c>
      <c r="U139" s="49" t="e">
        <f t="shared" si="9"/>
        <v>#DIV/0!</v>
      </c>
    </row>
    <row r="140" customHeight="1" spans="1:21">
      <c r="A140" s="42" t="str">
        <f t="shared" si="8"/>
        <v/>
      </c>
      <c r="G140" s="47" t="e">
        <f t="shared" si="7"/>
        <v>#DIV/0!</v>
      </c>
      <c r="U140" s="49" t="e">
        <f t="shared" si="9"/>
        <v>#DIV/0!</v>
      </c>
    </row>
    <row r="141" customHeight="1" spans="1:21">
      <c r="A141" s="42" t="str">
        <f t="shared" si="8"/>
        <v/>
      </c>
      <c r="G141" s="47" t="e">
        <f t="shared" si="7"/>
        <v>#DIV/0!</v>
      </c>
      <c r="U141" s="49" t="e">
        <f t="shared" si="9"/>
        <v>#DIV/0!</v>
      </c>
    </row>
    <row r="142" customHeight="1" spans="1:21">
      <c r="A142" s="42" t="str">
        <f t="shared" si="8"/>
        <v/>
      </c>
      <c r="G142" s="47" t="e">
        <f t="shared" si="7"/>
        <v>#DIV/0!</v>
      </c>
      <c r="U142" s="49" t="e">
        <f t="shared" si="9"/>
        <v>#DIV/0!</v>
      </c>
    </row>
    <row r="143" customHeight="1" spans="1:21">
      <c r="A143" s="42" t="str">
        <f t="shared" si="8"/>
        <v/>
      </c>
      <c r="G143" s="47" t="e">
        <f t="shared" si="7"/>
        <v>#DIV/0!</v>
      </c>
      <c r="U143" s="49" t="e">
        <f t="shared" si="9"/>
        <v>#DIV/0!</v>
      </c>
    </row>
    <row r="144" customHeight="1" spans="1:21">
      <c r="A144" s="42" t="str">
        <f t="shared" si="8"/>
        <v/>
      </c>
      <c r="G144" s="47" t="e">
        <f t="shared" si="7"/>
        <v>#DIV/0!</v>
      </c>
      <c r="U144" s="49" t="e">
        <f t="shared" si="9"/>
        <v>#DIV/0!</v>
      </c>
    </row>
    <row r="145" customHeight="1" spans="1:21">
      <c r="A145" s="42" t="str">
        <f t="shared" si="8"/>
        <v/>
      </c>
      <c r="G145" s="47" t="e">
        <f t="shared" si="7"/>
        <v>#DIV/0!</v>
      </c>
      <c r="U145" s="49" t="e">
        <f t="shared" si="9"/>
        <v>#DIV/0!</v>
      </c>
    </row>
    <row r="146" customHeight="1" spans="1:21">
      <c r="A146" s="42" t="str">
        <f t="shared" si="8"/>
        <v/>
      </c>
      <c r="G146" s="47" t="e">
        <f t="shared" si="7"/>
        <v>#DIV/0!</v>
      </c>
      <c r="U146" s="49" t="e">
        <f t="shared" si="9"/>
        <v>#DIV/0!</v>
      </c>
    </row>
    <row r="147" customHeight="1" spans="1:21">
      <c r="A147" s="42" t="str">
        <f t="shared" si="8"/>
        <v/>
      </c>
      <c r="G147" s="47" t="e">
        <f t="shared" si="7"/>
        <v>#DIV/0!</v>
      </c>
      <c r="U147" s="49" t="e">
        <f t="shared" si="9"/>
        <v>#DIV/0!</v>
      </c>
    </row>
    <row r="148" customHeight="1" spans="1:21">
      <c r="A148" s="42" t="str">
        <f t="shared" si="8"/>
        <v/>
      </c>
      <c r="G148" s="47" t="e">
        <f t="shared" si="7"/>
        <v>#DIV/0!</v>
      </c>
      <c r="U148" s="49" t="e">
        <f t="shared" si="9"/>
        <v>#DIV/0!</v>
      </c>
    </row>
    <row r="149" customHeight="1" spans="1:21">
      <c r="A149" s="42" t="str">
        <f t="shared" si="8"/>
        <v/>
      </c>
      <c r="G149" s="47" t="e">
        <f t="shared" si="7"/>
        <v>#DIV/0!</v>
      </c>
      <c r="U149" s="49" t="e">
        <f t="shared" si="9"/>
        <v>#DIV/0!</v>
      </c>
    </row>
    <row r="150" customHeight="1" spans="1:21">
      <c r="A150" s="42" t="str">
        <f t="shared" si="8"/>
        <v/>
      </c>
      <c r="G150" s="47" t="e">
        <f t="shared" si="7"/>
        <v>#DIV/0!</v>
      </c>
      <c r="U150" s="49" t="e">
        <f t="shared" si="9"/>
        <v>#DIV/0!</v>
      </c>
    </row>
    <row r="151" customHeight="1" spans="1:21">
      <c r="A151" s="42" t="str">
        <f t="shared" si="8"/>
        <v/>
      </c>
      <c r="G151" s="47" t="e">
        <f t="shared" si="7"/>
        <v>#DIV/0!</v>
      </c>
      <c r="U151" s="49" t="e">
        <f t="shared" si="9"/>
        <v>#DIV/0!</v>
      </c>
    </row>
    <row r="152" customHeight="1" spans="1:21">
      <c r="A152" s="42" t="str">
        <f t="shared" si="8"/>
        <v/>
      </c>
      <c r="G152" s="47" t="e">
        <f t="shared" si="7"/>
        <v>#DIV/0!</v>
      </c>
      <c r="U152" s="49" t="e">
        <f t="shared" si="9"/>
        <v>#DIV/0!</v>
      </c>
    </row>
    <row r="153" customHeight="1" spans="1:21">
      <c r="A153" s="42" t="str">
        <f t="shared" si="8"/>
        <v/>
      </c>
      <c r="G153" s="47" t="e">
        <f t="shared" si="7"/>
        <v>#DIV/0!</v>
      </c>
      <c r="U153" s="49" t="e">
        <f t="shared" si="9"/>
        <v>#DIV/0!</v>
      </c>
    </row>
    <row r="154" customHeight="1" spans="1:21">
      <c r="A154" s="42" t="str">
        <f t="shared" si="8"/>
        <v/>
      </c>
      <c r="G154" s="47" t="e">
        <f t="shared" si="7"/>
        <v>#DIV/0!</v>
      </c>
      <c r="U154" s="49" t="e">
        <f t="shared" si="9"/>
        <v>#DIV/0!</v>
      </c>
    </row>
    <row r="155" customHeight="1" spans="1:21">
      <c r="A155" s="42" t="str">
        <f t="shared" si="8"/>
        <v/>
      </c>
      <c r="G155" s="47" t="e">
        <f t="shared" si="7"/>
        <v>#DIV/0!</v>
      </c>
      <c r="U155" s="49" t="e">
        <f t="shared" si="9"/>
        <v>#DIV/0!</v>
      </c>
    </row>
    <row r="156" customHeight="1" spans="1:21">
      <c r="A156" s="42" t="str">
        <f t="shared" si="8"/>
        <v/>
      </c>
      <c r="G156" s="47" t="e">
        <f t="shared" si="7"/>
        <v>#DIV/0!</v>
      </c>
      <c r="U156" s="49" t="e">
        <f t="shared" si="9"/>
        <v>#DIV/0!</v>
      </c>
    </row>
    <row r="157" customHeight="1" spans="1:21">
      <c r="A157" s="42" t="str">
        <f t="shared" si="8"/>
        <v/>
      </c>
      <c r="G157" s="47" t="e">
        <f t="shared" si="7"/>
        <v>#DIV/0!</v>
      </c>
      <c r="U157" s="49" t="e">
        <f t="shared" si="9"/>
        <v>#DIV/0!</v>
      </c>
    </row>
    <row r="158" customHeight="1" spans="1:21">
      <c r="A158" s="42" t="str">
        <f t="shared" si="8"/>
        <v/>
      </c>
      <c r="G158" s="47" t="e">
        <f t="shared" si="7"/>
        <v>#DIV/0!</v>
      </c>
      <c r="U158" s="49" t="e">
        <f t="shared" si="9"/>
        <v>#DIV/0!</v>
      </c>
    </row>
    <row r="159" customHeight="1" spans="1:21">
      <c r="A159" s="42" t="str">
        <f t="shared" si="8"/>
        <v/>
      </c>
      <c r="G159" s="47" t="e">
        <f t="shared" si="7"/>
        <v>#DIV/0!</v>
      </c>
      <c r="U159" s="49" t="e">
        <f t="shared" si="9"/>
        <v>#DIV/0!</v>
      </c>
    </row>
    <row r="160" customHeight="1" spans="1:21">
      <c r="A160" s="42" t="str">
        <f t="shared" si="8"/>
        <v/>
      </c>
      <c r="G160" s="47" t="e">
        <f t="shared" si="7"/>
        <v>#DIV/0!</v>
      </c>
      <c r="U160" s="49" t="e">
        <f t="shared" si="9"/>
        <v>#DIV/0!</v>
      </c>
    </row>
    <row r="161" customHeight="1" spans="1:21">
      <c r="A161" s="42" t="str">
        <f t="shared" si="8"/>
        <v/>
      </c>
      <c r="G161" s="47" t="e">
        <f t="shared" si="7"/>
        <v>#DIV/0!</v>
      </c>
      <c r="U161" s="49" t="e">
        <f t="shared" si="9"/>
        <v>#DIV/0!</v>
      </c>
    </row>
    <row r="162" customHeight="1" spans="1:21">
      <c r="A162" s="42" t="str">
        <f t="shared" si="8"/>
        <v/>
      </c>
      <c r="G162" s="47" t="e">
        <f t="shared" si="7"/>
        <v>#DIV/0!</v>
      </c>
      <c r="U162" s="49" t="e">
        <f t="shared" si="9"/>
        <v>#DIV/0!</v>
      </c>
    </row>
    <row r="163" customHeight="1" spans="1:21">
      <c r="A163" s="42" t="str">
        <f t="shared" si="8"/>
        <v/>
      </c>
      <c r="G163" s="47" t="e">
        <f t="shared" si="7"/>
        <v>#DIV/0!</v>
      </c>
      <c r="U163" s="49" t="e">
        <f t="shared" si="9"/>
        <v>#DIV/0!</v>
      </c>
    </row>
    <row r="164" customHeight="1" spans="1:21">
      <c r="A164" s="42" t="str">
        <f t="shared" si="8"/>
        <v/>
      </c>
      <c r="G164" s="47" t="e">
        <f t="shared" si="7"/>
        <v>#DIV/0!</v>
      </c>
      <c r="U164" s="49" t="e">
        <f t="shared" si="9"/>
        <v>#DIV/0!</v>
      </c>
    </row>
    <row r="165" customHeight="1" spans="1:21">
      <c r="A165" s="42" t="str">
        <f t="shared" si="8"/>
        <v/>
      </c>
      <c r="G165" s="47" t="e">
        <f t="shared" si="7"/>
        <v>#DIV/0!</v>
      </c>
      <c r="U165" s="49" t="e">
        <f t="shared" si="9"/>
        <v>#DIV/0!</v>
      </c>
    </row>
    <row r="166" customHeight="1" spans="1:21">
      <c r="A166" s="42" t="str">
        <f t="shared" si="8"/>
        <v/>
      </c>
      <c r="G166" s="47" t="e">
        <f t="shared" si="7"/>
        <v>#DIV/0!</v>
      </c>
      <c r="U166" s="49" t="e">
        <f t="shared" si="9"/>
        <v>#DIV/0!</v>
      </c>
    </row>
    <row r="167" customHeight="1" spans="1:21">
      <c r="A167" s="42" t="str">
        <f t="shared" si="8"/>
        <v/>
      </c>
      <c r="G167" s="47" t="e">
        <f t="shared" si="7"/>
        <v>#DIV/0!</v>
      </c>
      <c r="U167" s="49" t="e">
        <f t="shared" si="9"/>
        <v>#DIV/0!</v>
      </c>
    </row>
    <row r="168" customHeight="1" spans="1:21">
      <c r="A168" s="42" t="str">
        <f t="shared" si="8"/>
        <v/>
      </c>
      <c r="G168" s="47" t="e">
        <f t="shared" si="7"/>
        <v>#DIV/0!</v>
      </c>
      <c r="U168" s="49" t="e">
        <f t="shared" si="9"/>
        <v>#DIV/0!</v>
      </c>
    </row>
    <row r="169" customHeight="1" spans="1:21">
      <c r="A169" s="42" t="str">
        <f t="shared" si="8"/>
        <v/>
      </c>
      <c r="G169" s="47" t="e">
        <f t="shared" si="7"/>
        <v>#DIV/0!</v>
      </c>
      <c r="U169" s="49" t="e">
        <f t="shared" si="9"/>
        <v>#DIV/0!</v>
      </c>
    </row>
    <row r="170" customHeight="1" spans="1:21">
      <c r="A170" s="42" t="str">
        <f t="shared" si="8"/>
        <v/>
      </c>
      <c r="G170" s="47" t="e">
        <f t="shared" si="7"/>
        <v>#DIV/0!</v>
      </c>
      <c r="U170" s="49" t="e">
        <f t="shared" si="9"/>
        <v>#DIV/0!</v>
      </c>
    </row>
    <row r="171" customHeight="1" spans="1:21">
      <c r="A171" s="42" t="str">
        <f t="shared" si="8"/>
        <v/>
      </c>
      <c r="G171" s="47" t="e">
        <f t="shared" si="7"/>
        <v>#DIV/0!</v>
      </c>
      <c r="U171" s="49" t="e">
        <f t="shared" si="9"/>
        <v>#DIV/0!</v>
      </c>
    </row>
    <row r="172" customHeight="1" spans="1:21">
      <c r="A172" s="42" t="str">
        <f t="shared" si="8"/>
        <v/>
      </c>
      <c r="G172" s="47" t="e">
        <f t="shared" si="7"/>
        <v>#DIV/0!</v>
      </c>
      <c r="U172" s="49" t="e">
        <f t="shared" si="9"/>
        <v>#DIV/0!</v>
      </c>
    </row>
    <row r="173" customHeight="1" spans="1:21">
      <c r="A173" s="42" t="str">
        <f t="shared" si="8"/>
        <v/>
      </c>
      <c r="G173" s="47" t="e">
        <f t="shared" si="7"/>
        <v>#DIV/0!</v>
      </c>
      <c r="U173" s="49" t="e">
        <f t="shared" si="9"/>
        <v>#DIV/0!</v>
      </c>
    </row>
    <row r="174" customHeight="1" spans="1:21">
      <c r="A174" s="42" t="str">
        <f t="shared" si="8"/>
        <v/>
      </c>
      <c r="G174" s="47" t="e">
        <f t="shared" si="7"/>
        <v>#DIV/0!</v>
      </c>
      <c r="U174" s="49" t="e">
        <f t="shared" si="9"/>
        <v>#DIV/0!</v>
      </c>
    </row>
    <row r="175" customHeight="1" spans="1:21">
      <c r="A175" s="42" t="str">
        <f t="shared" si="8"/>
        <v/>
      </c>
      <c r="G175" s="47" t="e">
        <f t="shared" si="7"/>
        <v>#DIV/0!</v>
      </c>
      <c r="U175" s="49" t="e">
        <f t="shared" si="9"/>
        <v>#DIV/0!</v>
      </c>
    </row>
    <row r="176" customHeight="1" spans="1:21">
      <c r="A176" s="42" t="str">
        <f t="shared" si="8"/>
        <v/>
      </c>
      <c r="G176" s="47" t="e">
        <f t="shared" si="7"/>
        <v>#DIV/0!</v>
      </c>
      <c r="U176" s="49" t="e">
        <f t="shared" si="9"/>
        <v>#DIV/0!</v>
      </c>
    </row>
    <row r="177" customHeight="1" spans="1:21">
      <c r="A177" s="42" t="str">
        <f t="shared" si="8"/>
        <v/>
      </c>
      <c r="G177" s="47" t="e">
        <f t="shared" si="7"/>
        <v>#DIV/0!</v>
      </c>
      <c r="U177" s="49" t="e">
        <f t="shared" si="9"/>
        <v>#DIV/0!</v>
      </c>
    </row>
    <row r="178" customHeight="1" spans="1:21">
      <c r="A178" s="42" t="str">
        <f t="shared" si="8"/>
        <v/>
      </c>
      <c r="G178" s="47" t="e">
        <f t="shared" si="7"/>
        <v>#DIV/0!</v>
      </c>
      <c r="U178" s="49" t="e">
        <f t="shared" si="9"/>
        <v>#DIV/0!</v>
      </c>
    </row>
    <row r="179" customHeight="1" spans="1:21">
      <c r="A179" s="42" t="str">
        <f t="shared" si="8"/>
        <v/>
      </c>
      <c r="G179" s="47" t="e">
        <f t="shared" si="7"/>
        <v>#DIV/0!</v>
      </c>
      <c r="U179" s="49" t="e">
        <f t="shared" si="9"/>
        <v>#DIV/0!</v>
      </c>
    </row>
    <row r="180" customHeight="1" spans="1:21">
      <c r="A180" s="42" t="str">
        <f t="shared" si="8"/>
        <v/>
      </c>
      <c r="G180" s="47" t="e">
        <f t="shared" si="7"/>
        <v>#DIV/0!</v>
      </c>
      <c r="U180" s="49" t="e">
        <f t="shared" si="9"/>
        <v>#DIV/0!</v>
      </c>
    </row>
    <row r="181" customHeight="1" spans="1:21">
      <c r="A181" s="42" t="str">
        <f t="shared" si="8"/>
        <v/>
      </c>
      <c r="G181" s="47" t="e">
        <f t="shared" si="7"/>
        <v>#DIV/0!</v>
      </c>
      <c r="U181" s="49" t="e">
        <f t="shared" si="9"/>
        <v>#DIV/0!</v>
      </c>
    </row>
    <row r="182" customHeight="1" spans="1:21">
      <c r="A182" s="42" t="str">
        <f t="shared" si="8"/>
        <v/>
      </c>
      <c r="G182" s="47" t="e">
        <f t="shared" si="7"/>
        <v>#DIV/0!</v>
      </c>
      <c r="U182" s="49" t="e">
        <f t="shared" si="9"/>
        <v>#DIV/0!</v>
      </c>
    </row>
    <row r="183" customHeight="1" spans="1:21">
      <c r="A183" s="42" t="str">
        <f t="shared" si="8"/>
        <v/>
      </c>
      <c r="G183" s="47" t="e">
        <f t="shared" si="7"/>
        <v>#DIV/0!</v>
      </c>
      <c r="U183" s="49" t="e">
        <f t="shared" si="9"/>
        <v>#DIV/0!</v>
      </c>
    </row>
    <row r="184" customHeight="1" spans="1:21">
      <c r="A184" s="42" t="str">
        <f t="shared" si="8"/>
        <v/>
      </c>
      <c r="G184" s="47" t="e">
        <f t="shared" si="7"/>
        <v>#DIV/0!</v>
      </c>
      <c r="U184" s="49" t="e">
        <f t="shared" si="9"/>
        <v>#DIV/0!</v>
      </c>
    </row>
    <row r="185" customHeight="1" spans="1:21">
      <c r="A185" s="42" t="str">
        <f t="shared" si="8"/>
        <v/>
      </c>
      <c r="G185" s="47" t="e">
        <f t="shared" si="7"/>
        <v>#DIV/0!</v>
      </c>
      <c r="U185" s="49" t="e">
        <f t="shared" si="9"/>
        <v>#DIV/0!</v>
      </c>
    </row>
    <row r="186" customHeight="1" spans="1:21">
      <c r="A186" s="42" t="str">
        <f t="shared" si="8"/>
        <v/>
      </c>
      <c r="G186" s="47" t="e">
        <f t="shared" si="7"/>
        <v>#DIV/0!</v>
      </c>
      <c r="U186" s="49" t="e">
        <f t="shared" si="9"/>
        <v>#DIV/0!</v>
      </c>
    </row>
    <row r="187" customHeight="1" spans="1:21">
      <c r="A187" s="42" t="str">
        <f t="shared" si="8"/>
        <v/>
      </c>
      <c r="G187" s="47" t="e">
        <f t="shared" si="7"/>
        <v>#DIV/0!</v>
      </c>
      <c r="U187" s="49" t="e">
        <f t="shared" si="9"/>
        <v>#DIV/0!</v>
      </c>
    </row>
    <row r="188" customHeight="1" spans="1:21">
      <c r="A188" s="42" t="str">
        <f t="shared" si="8"/>
        <v/>
      </c>
      <c r="G188" s="47" t="e">
        <f t="shared" si="7"/>
        <v>#DIV/0!</v>
      </c>
      <c r="U188" s="49" t="e">
        <f t="shared" si="9"/>
        <v>#DIV/0!</v>
      </c>
    </row>
    <row r="189" customHeight="1" spans="1:21">
      <c r="A189" s="42" t="str">
        <f t="shared" si="8"/>
        <v/>
      </c>
      <c r="G189" s="47" t="e">
        <f t="shared" si="7"/>
        <v>#DIV/0!</v>
      </c>
      <c r="U189" s="49" t="e">
        <f t="shared" si="9"/>
        <v>#DIV/0!</v>
      </c>
    </row>
    <row r="190" customHeight="1" spans="1:21">
      <c r="A190" s="42" t="str">
        <f t="shared" si="8"/>
        <v/>
      </c>
      <c r="G190" s="47" t="e">
        <f t="shared" si="7"/>
        <v>#DIV/0!</v>
      </c>
      <c r="U190" s="49" t="e">
        <f t="shared" si="9"/>
        <v>#DIV/0!</v>
      </c>
    </row>
    <row r="191" customHeight="1" spans="1:21">
      <c r="A191" s="42" t="str">
        <f t="shared" si="8"/>
        <v/>
      </c>
      <c r="G191" s="47" t="e">
        <f t="shared" si="7"/>
        <v>#DIV/0!</v>
      </c>
      <c r="U191" s="49" t="e">
        <f t="shared" si="9"/>
        <v>#DIV/0!</v>
      </c>
    </row>
    <row r="192" customHeight="1" spans="1:21">
      <c r="A192" s="42" t="str">
        <f t="shared" si="8"/>
        <v/>
      </c>
      <c r="G192" s="47" t="e">
        <f t="shared" si="7"/>
        <v>#DIV/0!</v>
      </c>
      <c r="U192" s="49" t="e">
        <f t="shared" si="9"/>
        <v>#DIV/0!</v>
      </c>
    </row>
    <row r="193" customHeight="1" spans="1:21">
      <c r="A193" s="42" t="str">
        <f t="shared" si="8"/>
        <v/>
      </c>
      <c r="G193" s="47" t="e">
        <f t="shared" si="7"/>
        <v>#DIV/0!</v>
      </c>
      <c r="U193" s="49" t="e">
        <f t="shared" si="9"/>
        <v>#DIV/0!</v>
      </c>
    </row>
    <row r="194" customHeight="1" spans="1:21">
      <c r="A194" s="42" t="str">
        <f t="shared" si="8"/>
        <v/>
      </c>
      <c r="G194" s="47" t="e">
        <f t="shared" si="7"/>
        <v>#DIV/0!</v>
      </c>
      <c r="U194" s="49" t="e">
        <f t="shared" si="9"/>
        <v>#DIV/0!</v>
      </c>
    </row>
    <row r="195" customHeight="1" spans="1:21">
      <c r="A195" s="42" t="str">
        <f t="shared" si="8"/>
        <v/>
      </c>
      <c r="G195" s="47" t="e">
        <f t="shared" ref="G195:G258" si="10">+E195/F195</f>
        <v>#DIV/0!</v>
      </c>
      <c r="U195" s="49" t="e">
        <f t="shared" si="9"/>
        <v>#DIV/0!</v>
      </c>
    </row>
    <row r="196" customHeight="1" spans="1:21">
      <c r="A196" s="42" t="str">
        <f t="shared" ref="A196:A259" si="11">B196&amp;C196&amp;D196</f>
        <v/>
      </c>
      <c r="G196" s="47" t="e">
        <f t="shared" si="10"/>
        <v>#DIV/0!</v>
      </c>
      <c r="U196" s="49" t="e">
        <f t="shared" ref="U196:U259" si="12">SUM(G196:T196)</f>
        <v>#DIV/0!</v>
      </c>
    </row>
    <row r="197" customHeight="1" spans="1:21">
      <c r="A197" s="42" t="str">
        <f t="shared" si="11"/>
        <v/>
      </c>
      <c r="G197" s="47" t="e">
        <f t="shared" si="10"/>
        <v>#DIV/0!</v>
      </c>
      <c r="U197" s="49" t="e">
        <f t="shared" si="12"/>
        <v>#DIV/0!</v>
      </c>
    </row>
    <row r="198" customHeight="1" spans="1:21">
      <c r="A198" s="42" t="str">
        <f t="shared" si="11"/>
        <v/>
      </c>
      <c r="G198" s="47" t="e">
        <f t="shared" si="10"/>
        <v>#DIV/0!</v>
      </c>
      <c r="U198" s="49" t="e">
        <f t="shared" si="12"/>
        <v>#DIV/0!</v>
      </c>
    </row>
    <row r="199" customHeight="1" spans="1:21">
      <c r="A199" s="42" t="str">
        <f t="shared" si="11"/>
        <v/>
      </c>
      <c r="G199" s="47" t="e">
        <f t="shared" si="10"/>
        <v>#DIV/0!</v>
      </c>
      <c r="U199" s="49" t="e">
        <f t="shared" si="12"/>
        <v>#DIV/0!</v>
      </c>
    </row>
    <row r="200" customHeight="1" spans="1:21">
      <c r="A200" s="42" t="str">
        <f t="shared" si="11"/>
        <v/>
      </c>
      <c r="G200" s="47" t="e">
        <f t="shared" si="10"/>
        <v>#DIV/0!</v>
      </c>
      <c r="U200" s="49" t="e">
        <f t="shared" si="12"/>
        <v>#DIV/0!</v>
      </c>
    </row>
    <row r="201" customHeight="1" spans="1:21">
      <c r="A201" s="42" t="str">
        <f t="shared" si="11"/>
        <v/>
      </c>
      <c r="G201" s="47" t="e">
        <f t="shared" si="10"/>
        <v>#DIV/0!</v>
      </c>
      <c r="U201" s="49" t="e">
        <f t="shared" si="12"/>
        <v>#DIV/0!</v>
      </c>
    </row>
    <row r="202" customHeight="1" spans="1:21">
      <c r="A202" s="42" t="str">
        <f t="shared" si="11"/>
        <v/>
      </c>
      <c r="G202" s="47" t="e">
        <f t="shared" si="10"/>
        <v>#DIV/0!</v>
      </c>
      <c r="U202" s="49" t="e">
        <f t="shared" si="12"/>
        <v>#DIV/0!</v>
      </c>
    </row>
    <row r="203" customHeight="1" spans="1:21">
      <c r="A203" s="42" t="str">
        <f t="shared" si="11"/>
        <v/>
      </c>
      <c r="G203" s="47" t="e">
        <f t="shared" si="10"/>
        <v>#DIV/0!</v>
      </c>
      <c r="U203" s="49" t="e">
        <f t="shared" si="12"/>
        <v>#DIV/0!</v>
      </c>
    </row>
    <row r="204" customHeight="1" spans="1:21">
      <c r="A204" s="42" t="str">
        <f t="shared" si="11"/>
        <v/>
      </c>
      <c r="G204" s="47" t="e">
        <f t="shared" si="10"/>
        <v>#DIV/0!</v>
      </c>
      <c r="U204" s="49" t="e">
        <f t="shared" si="12"/>
        <v>#DIV/0!</v>
      </c>
    </row>
    <row r="205" customHeight="1" spans="1:21">
      <c r="A205" s="42" t="str">
        <f t="shared" si="11"/>
        <v/>
      </c>
      <c r="G205" s="47" t="e">
        <f t="shared" si="10"/>
        <v>#DIV/0!</v>
      </c>
      <c r="U205" s="49" t="e">
        <f t="shared" si="12"/>
        <v>#DIV/0!</v>
      </c>
    </row>
    <row r="206" customHeight="1" spans="1:21">
      <c r="A206" s="42" t="str">
        <f t="shared" si="11"/>
        <v/>
      </c>
      <c r="G206" s="47" t="e">
        <f t="shared" si="10"/>
        <v>#DIV/0!</v>
      </c>
      <c r="U206" s="49" t="e">
        <f t="shared" si="12"/>
        <v>#DIV/0!</v>
      </c>
    </row>
    <row r="207" customHeight="1" spans="1:21">
      <c r="A207" s="42" t="str">
        <f t="shared" si="11"/>
        <v/>
      </c>
      <c r="G207" s="47" t="e">
        <f t="shared" si="10"/>
        <v>#DIV/0!</v>
      </c>
      <c r="U207" s="49" t="e">
        <f t="shared" si="12"/>
        <v>#DIV/0!</v>
      </c>
    </row>
    <row r="208" customHeight="1" spans="1:21">
      <c r="A208" s="42" t="str">
        <f t="shared" si="11"/>
        <v/>
      </c>
      <c r="G208" s="47" t="e">
        <f t="shared" si="10"/>
        <v>#DIV/0!</v>
      </c>
      <c r="U208" s="49" t="e">
        <f t="shared" si="12"/>
        <v>#DIV/0!</v>
      </c>
    </row>
    <row r="209" customHeight="1" spans="1:21">
      <c r="A209" s="42" t="str">
        <f t="shared" si="11"/>
        <v/>
      </c>
      <c r="G209" s="47" t="e">
        <f t="shared" si="10"/>
        <v>#DIV/0!</v>
      </c>
      <c r="U209" s="49" t="e">
        <f t="shared" si="12"/>
        <v>#DIV/0!</v>
      </c>
    </row>
    <row r="210" customHeight="1" spans="1:21">
      <c r="A210" s="42" t="str">
        <f t="shared" si="11"/>
        <v/>
      </c>
      <c r="G210" s="47" t="e">
        <f t="shared" si="10"/>
        <v>#DIV/0!</v>
      </c>
      <c r="U210" s="49" t="e">
        <f t="shared" si="12"/>
        <v>#DIV/0!</v>
      </c>
    </row>
    <row r="211" customHeight="1" spans="1:21">
      <c r="A211" s="42" t="str">
        <f t="shared" si="11"/>
        <v/>
      </c>
      <c r="G211" s="47" t="e">
        <f t="shared" si="10"/>
        <v>#DIV/0!</v>
      </c>
      <c r="U211" s="49" t="e">
        <f t="shared" si="12"/>
        <v>#DIV/0!</v>
      </c>
    </row>
    <row r="212" customHeight="1" spans="1:21">
      <c r="A212" s="42" t="str">
        <f t="shared" si="11"/>
        <v/>
      </c>
      <c r="G212" s="47" t="e">
        <f t="shared" si="10"/>
        <v>#DIV/0!</v>
      </c>
      <c r="U212" s="49" t="e">
        <f t="shared" si="12"/>
        <v>#DIV/0!</v>
      </c>
    </row>
    <row r="213" customHeight="1" spans="1:21">
      <c r="A213" s="42" t="str">
        <f t="shared" si="11"/>
        <v/>
      </c>
      <c r="G213" s="47" t="e">
        <f t="shared" si="10"/>
        <v>#DIV/0!</v>
      </c>
      <c r="U213" s="49" t="e">
        <f t="shared" si="12"/>
        <v>#DIV/0!</v>
      </c>
    </row>
    <row r="214" customHeight="1" spans="1:21">
      <c r="A214" s="42" t="str">
        <f t="shared" si="11"/>
        <v/>
      </c>
      <c r="G214" s="47" t="e">
        <f t="shared" si="10"/>
        <v>#DIV/0!</v>
      </c>
      <c r="U214" s="49" t="e">
        <f t="shared" si="12"/>
        <v>#DIV/0!</v>
      </c>
    </row>
    <row r="215" customHeight="1" spans="1:21">
      <c r="A215" s="42" t="str">
        <f t="shared" si="11"/>
        <v/>
      </c>
      <c r="G215" s="47" t="e">
        <f t="shared" si="10"/>
        <v>#DIV/0!</v>
      </c>
      <c r="U215" s="49" t="e">
        <f t="shared" si="12"/>
        <v>#DIV/0!</v>
      </c>
    </row>
    <row r="216" customHeight="1" spans="1:21">
      <c r="A216" s="42" t="str">
        <f t="shared" si="11"/>
        <v/>
      </c>
      <c r="G216" s="47" t="e">
        <f t="shared" si="10"/>
        <v>#DIV/0!</v>
      </c>
      <c r="U216" s="49" t="e">
        <f t="shared" si="12"/>
        <v>#DIV/0!</v>
      </c>
    </row>
    <row r="217" customHeight="1" spans="1:21">
      <c r="A217" s="42" t="str">
        <f t="shared" si="11"/>
        <v/>
      </c>
      <c r="G217" s="47" t="e">
        <f t="shared" si="10"/>
        <v>#DIV/0!</v>
      </c>
      <c r="U217" s="49" t="e">
        <f t="shared" si="12"/>
        <v>#DIV/0!</v>
      </c>
    </row>
    <row r="218" customHeight="1" spans="1:21">
      <c r="A218" s="42" t="str">
        <f t="shared" si="11"/>
        <v/>
      </c>
      <c r="G218" s="47" t="e">
        <f t="shared" si="10"/>
        <v>#DIV/0!</v>
      </c>
      <c r="U218" s="49" t="e">
        <f t="shared" si="12"/>
        <v>#DIV/0!</v>
      </c>
    </row>
    <row r="219" customHeight="1" spans="1:21">
      <c r="A219" s="42" t="str">
        <f t="shared" si="11"/>
        <v/>
      </c>
      <c r="G219" s="47" t="e">
        <f t="shared" si="10"/>
        <v>#DIV/0!</v>
      </c>
      <c r="U219" s="49" t="e">
        <f t="shared" si="12"/>
        <v>#DIV/0!</v>
      </c>
    </row>
    <row r="220" customHeight="1" spans="1:21">
      <c r="A220" s="42" t="str">
        <f t="shared" si="11"/>
        <v/>
      </c>
      <c r="G220" s="47" t="e">
        <f t="shared" si="10"/>
        <v>#DIV/0!</v>
      </c>
      <c r="U220" s="49" t="e">
        <f t="shared" si="12"/>
        <v>#DIV/0!</v>
      </c>
    </row>
    <row r="221" customHeight="1" spans="1:21">
      <c r="A221" s="42" t="str">
        <f t="shared" si="11"/>
        <v/>
      </c>
      <c r="G221" s="47" t="e">
        <f t="shared" si="10"/>
        <v>#DIV/0!</v>
      </c>
      <c r="U221" s="49" t="e">
        <f t="shared" si="12"/>
        <v>#DIV/0!</v>
      </c>
    </row>
    <row r="222" customHeight="1" spans="1:21">
      <c r="A222" s="42" t="str">
        <f t="shared" si="11"/>
        <v/>
      </c>
      <c r="G222" s="47" t="e">
        <f t="shared" si="10"/>
        <v>#DIV/0!</v>
      </c>
      <c r="U222" s="49" t="e">
        <f t="shared" si="12"/>
        <v>#DIV/0!</v>
      </c>
    </row>
    <row r="223" customHeight="1" spans="1:21">
      <c r="A223" s="42" t="str">
        <f t="shared" si="11"/>
        <v/>
      </c>
      <c r="G223" s="47" t="e">
        <f t="shared" si="10"/>
        <v>#DIV/0!</v>
      </c>
      <c r="U223" s="49" t="e">
        <f t="shared" si="12"/>
        <v>#DIV/0!</v>
      </c>
    </row>
    <row r="224" customHeight="1" spans="1:21">
      <c r="A224" s="42" t="str">
        <f t="shared" si="11"/>
        <v/>
      </c>
      <c r="G224" s="47" t="e">
        <f t="shared" si="10"/>
        <v>#DIV/0!</v>
      </c>
      <c r="U224" s="49" t="e">
        <f t="shared" si="12"/>
        <v>#DIV/0!</v>
      </c>
    </row>
    <row r="225" customHeight="1" spans="1:21">
      <c r="A225" s="42" t="str">
        <f t="shared" si="11"/>
        <v/>
      </c>
      <c r="G225" s="47" t="e">
        <f t="shared" si="10"/>
        <v>#DIV/0!</v>
      </c>
      <c r="U225" s="49" t="e">
        <f t="shared" si="12"/>
        <v>#DIV/0!</v>
      </c>
    </row>
    <row r="226" customHeight="1" spans="1:21">
      <c r="A226" s="42" t="str">
        <f t="shared" si="11"/>
        <v/>
      </c>
      <c r="G226" s="47" t="e">
        <f t="shared" si="10"/>
        <v>#DIV/0!</v>
      </c>
      <c r="U226" s="49" t="e">
        <f t="shared" si="12"/>
        <v>#DIV/0!</v>
      </c>
    </row>
    <row r="227" customHeight="1" spans="1:21">
      <c r="A227" s="42" t="str">
        <f t="shared" si="11"/>
        <v/>
      </c>
      <c r="G227" s="47" t="e">
        <f t="shared" si="10"/>
        <v>#DIV/0!</v>
      </c>
      <c r="U227" s="49" t="e">
        <f t="shared" si="12"/>
        <v>#DIV/0!</v>
      </c>
    </row>
    <row r="228" customHeight="1" spans="1:21">
      <c r="A228" s="42" t="str">
        <f t="shared" si="11"/>
        <v/>
      </c>
      <c r="G228" s="47" t="e">
        <f t="shared" si="10"/>
        <v>#DIV/0!</v>
      </c>
      <c r="U228" s="49" t="e">
        <f t="shared" si="12"/>
        <v>#DIV/0!</v>
      </c>
    </row>
    <row r="229" customHeight="1" spans="1:21">
      <c r="A229" s="42" t="str">
        <f t="shared" si="11"/>
        <v/>
      </c>
      <c r="G229" s="47" t="e">
        <f t="shared" si="10"/>
        <v>#DIV/0!</v>
      </c>
      <c r="U229" s="49" t="e">
        <f t="shared" si="12"/>
        <v>#DIV/0!</v>
      </c>
    </row>
    <row r="230" customHeight="1" spans="1:21">
      <c r="A230" s="42" t="str">
        <f t="shared" si="11"/>
        <v/>
      </c>
      <c r="G230" s="47" t="e">
        <f t="shared" si="10"/>
        <v>#DIV/0!</v>
      </c>
      <c r="U230" s="49" t="e">
        <f t="shared" si="12"/>
        <v>#DIV/0!</v>
      </c>
    </row>
    <row r="231" customHeight="1" spans="1:21">
      <c r="A231" s="42" t="str">
        <f t="shared" si="11"/>
        <v/>
      </c>
      <c r="G231" s="47" t="e">
        <f t="shared" si="10"/>
        <v>#DIV/0!</v>
      </c>
      <c r="U231" s="49" t="e">
        <f t="shared" si="12"/>
        <v>#DIV/0!</v>
      </c>
    </row>
    <row r="232" customHeight="1" spans="1:21">
      <c r="A232" s="42" t="str">
        <f t="shared" si="11"/>
        <v/>
      </c>
      <c r="G232" s="47" t="e">
        <f t="shared" si="10"/>
        <v>#DIV/0!</v>
      </c>
      <c r="U232" s="49" t="e">
        <f t="shared" si="12"/>
        <v>#DIV/0!</v>
      </c>
    </row>
    <row r="233" customHeight="1" spans="1:21">
      <c r="A233" s="42" t="str">
        <f t="shared" si="11"/>
        <v/>
      </c>
      <c r="G233" s="47" t="e">
        <f t="shared" si="10"/>
        <v>#DIV/0!</v>
      </c>
      <c r="U233" s="49" t="e">
        <f t="shared" si="12"/>
        <v>#DIV/0!</v>
      </c>
    </row>
    <row r="234" customHeight="1" spans="1:21">
      <c r="A234" s="42" t="str">
        <f t="shared" si="11"/>
        <v/>
      </c>
      <c r="G234" s="47" t="e">
        <f t="shared" si="10"/>
        <v>#DIV/0!</v>
      </c>
      <c r="U234" s="49" t="e">
        <f t="shared" si="12"/>
        <v>#DIV/0!</v>
      </c>
    </row>
    <row r="235" customHeight="1" spans="1:21">
      <c r="A235" s="42" t="str">
        <f t="shared" si="11"/>
        <v/>
      </c>
      <c r="G235" s="47" t="e">
        <f t="shared" si="10"/>
        <v>#DIV/0!</v>
      </c>
      <c r="U235" s="49" t="e">
        <f t="shared" si="12"/>
        <v>#DIV/0!</v>
      </c>
    </row>
    <row r="236" customHeight="1" spans="1:21">
      <c r="A236" s="42" t="str">
        <f t="shared" si="11"/>
        <v/>
      </c>
      <c r="G236" s="47" t="e">
        <f t="shared" si="10"/>
        <v>#DIV/0!</v>
      </c>
      <c r="U236" s="49" t="e">
        <f t="shared" si="12"/>
        <v>#DIV/0!</v>
      </c>
    </row>
    <row r="237" customHeight="1" spans="1:21">
      <c r="A237" s="42" t="str">
        <f t="shared" si="11"/>
        <v/>
      </c>
      <c r="G237" s="47" t="e">
        <f t="shared" si="10"/>
        <v>#DIV/0!</v>
      </c>
      <c r="U237" s="49" t="e">
        <f t="shared" si="12"/>
        <v>#DIV/0!</v>
      </c>
    </row>
    <row r="238" customHeight="1" spans="1:21">
      <c r="A238" s="42" t="str">
        <f t="shared" si="11"/>
        <v/>
      </c>
      <c r="G238" s="47" t="e">
        <f t="shared" si="10"/>
        <v>#DIV/0!</v>
      </c>
      <c r="U238" s="49" t="e">
        <f t="shared" si="12"/>
        <v>#DIV/0!</v>
      </c>
    </row>
    <row r="239" customHeight="1" spans="1:21">
      <c r="A239" s="42" t="str">
        <f t="shared" si="11"/>
        <v/>
      </c>
      <c r="G239" s="47" t="e">
        <f t="shared" si="10"/>
        <v>#DIV/0!</v>
      </c>
      <c r="U239" s="49" t="e">
        <f t="shared" si="12"/>
        <v>#DIV/0!</v>
      </c>
    </row>
    <row r="240" customHeight="1" spans="1:21">
      <c r="A240" s="42" t="str">
        <f t="shared" si="11"/>
        <v/>
      </c>
      <c r="G240" s="47" t="e">
        <f t="shared" si="10"/>
        <v>#DIV/0!</v>
      </c>
      <c r="U240" s="49" t="e">
        <f t="shared" si="12"/>
        <v>#DIV/0!</v>
      </c>
    </row>
    <row r="241" customHeight="1" spans="1:21">
      <c r="A241" s="42" t="str">
        <f t="shared" si="11"/>
        <v/>
      </c>
      <c r="G241" s="47" t="e">
        <f t="shared" si="10"/>
        <v>#DIV/0!</v>
      </c>
      <c r="U241" s="49" t="e">
        <f t="shared" si="12"/>
        <v>#DIV/0!</v>
      </c>
    </row>
    <row r="242" customHeight="1" spans="1:21">
      <c r="A242" s="42" t="str">
        <f t="shared" si="11"/>
        <v/>
      </c>
      <c r="G242" s="47" t="e">
        <f t="shared" si="10"/>
        <v>#DIV/0!</v>
      </c>
      <c r="U242" s="49" t="e">
        <f t="shared" si="12"/>
        <v>#DIV/0!</v>
      </c>
    </row>
    <row r="243" customHeight="1" spans="1:21">
      <c r="A243" s="42" t="str">
        <f t="shared" si="11"/>
        <v/>
      </c>
      <c r="G243" s="47" t="e">
        <f t="shared" si="10"/>
        <v>#DIV/0!</v>
      </c>
      <c r="U243" s="49" t="e">
        <f t="shared" si="12"/>
        <v>#DIV/0!</v>
      </c>
    </row>
    <row r="244" customHeight="1" spans="1:21">
      <c r="A244" s="42" t="str">
        <f t="shared" si="11"/>
        <v/>
      </c>
      <c r="G244" s="47" t="e">
        <f t="shared" si="10"/>
        <v>#DIV/0!</v>
      </c>
      <c r="U244" s="49" t="e">
        <f t="shared" si="12"/>
        <v>#DIV/0!</v>
      </c>
    </row>
    <row r="245" customHeight="1" spans="1:21">
      <c r="A245" s="42" t="str">
        <f t="shared" si="11"/>
        <v/>
      </c>
      <c r="G245" s="47" t="e">
        <f t="shared" si="10"/>
        <v>#DIV/0!</v>
      </c>
      <c r="U245" s="49" t="e">
        <f t="shared" si="12"/>
        <v>#DIV/0!</v>
      </c>
    </row>
    <row r="246" customHeight="1" spans="1:21">
      <c r="A246" s="42" t="str">
        <f t="shared" si="11"/>
        <v/>
      </c>
      <c r="G246" s="47" t="e">
        <f t="shared" si="10"/>
        <v>#DIV/0!</v>
      </c>
      <c r="U246" s="49" t="e">
        <f t="shared" si="12"/>
        <v>#DIV/0!</v>
      </c>
    </row>
    <row r="247" customHeight="1" spans="1:21">
      <c r="A247" s="42" t="str">
        <f t="shared" si="11"/>
        <v/>
      </c>
      <c r="G247" s="47" t="e">
        <f t="shared" si="10"/>
        <v>#DIV/0!</v>
      </c>
      <c r="U247" s="49" t="e">
        <f t="shared" si="12"/>
        <v>#DIV/0!</v>
      </c>
    </row>
    <row r="248" customHeight="1" spans="1:21">
      <c r="A248" s="42" t="str">
        <f t="shared" si="11"/>
        <v/>
      </c>
      <c r="G248" s="47" t="e">
        <f t="shared" si="10"/>
        <v>#DIV/0!</v>
      </c>
      <c r="U248" s="49" t="e">
        <f t="shared" si="12"/>
        <v>#DIV/0!</v>
      </c>
    </row>
    <row r="249" customHeight="1" spans="1:21">
      <c r="A249" s="42" t="str">
        <f t="shared" si="11"/>
        <v/>
      </c>
      <c r="G249" s="47" t="e">
        <f t="shared" si="10"/>
        <v>#DIV/0!</v>
      </c>
      <c r="U249" s="49" t="e">
        <f t="shared" si="12"/>
        <v>#DIV/0!</v>
      </c>
    </row>
    <row r="250" customHeight="1" spans="1:21">
      <c r="A250" s="42" t="str">
        <f t="shared" si="11"/>
        <v/>
      </c>
      <c r="G250" s="47" t="e">
        <f t="shared" si="10"/>
        <v>#DIV/0!</v>
      </c>
      <c r="U250" s="49" t="e">
        <f t="shared" si="12"/>
        <v>#DIV/0!</v>
      </c>
    </row>
    <row r="251" customHeight="1" spans="1:21">
      <c r="A251" s="42" t="str">
        <f t="shared" si="11"/>
        <v/>
      </c>
      <c r="G251" s="47" t="e">
        <f t="shared" si="10"/>
        <v>#DIV/0!</v>
      </c>
      <c r="U251" s="49" t="e">
        <f t="shared" si="12"/>
        <v>#DIV/0!</v>
      </c>
    </row>
    <row r="252" customHeight="1" spans="1:21">
      <c r="A252" s="42" t="str">
        <f t="shared" si="11"/>
        <v/>
      </c>
      <c r="G252" s="47" t="e">
        <f t="shared" si="10"/>
        <v>#DIV/0!</v>
      </c>
      <c r="U252" s="49" t="e">
        <f t="shared" si="12"/>
        <v>#DIV/0!</v>
      </c>
    </row>
    <row r="253" customHeight="1" spans="1:21">
      <c r="A253" s="42" t="str">
        <f t="shared" si="11"/>
        <v/>
      </c>
      <c r="G253" s="47" t="e">
        <f t="shared" si="10"/>
        <v>#DIV/0!</v>
      </c>
      <c r="U253" s="49" t="e">
        <f t="shared" si="12"/>
        <v>#DIV/0!</v>
      </c>
    </row>
    <row r="254" customHeight="1" spans="1:21">
      <c r="A254" s="42" t="str">
        <f t="shared" si="11"/>
        <v/>
      </c>
      <c r="G254" s="47" t="e">
        <f t="shared" si="10"/>
        <v>#DIV/0!</v>
      </c>
      <c r="U254" s="49" t="e">
        <f t="shared" si="12"/>
        <v>#DIV/0!</v>
      </c>
    </row>
    <row r="255" customHeight="1" spans="1:21">
      <c r="A255" s="42" t="str">
        <f t="shared" si="11"/>
        <v/>
      </c>
      <c r="G255" s="47" t="e">
        <f t="shared" si="10"/>
        <v>#DIV/0!</v>
      </c>
      <c r="U255" s="49" t="e">
        <f t="shared" si="12"/>
        <v>#DIV/0!</v>
      </c>
    </row>
    <row r="256" customHeight="1" spans="1:21">
      <c r="A256" s="42" t="str">
        <f t="shared" si="11"/>
        <v/>
      </c>
      <c r="G256" s="47" t="e">
        <f t="shared" si="10"/>
        <v>#DIV/0!</v>
      </c>
      <c r="U256" s="49" t="e">
        <f t="shared" si="12"/>
        <v>#DIV/0!</v>
      </c>
    </row>
    <row r="257" customHeight="1" spans="1:21">
      <c r="A257" s="42" t="str">
        <f t="shared" si="11"/>
        <v/>
      </c>
      <c r="G257" s="47" t="e">
        <f t="shared" si="10"/>
        <v>#DIV/0!</v>
      </c>
      <c r="U257" s="49" t="e">
        <f t="shared" si="12"/>
        <v>#DIV/0!</v>
      </c>
    </row>
    <row r="258" customHeight="1" spans="1:21">
      <c r="A258" s="42" t="str">
        <f t="shared" si="11"/>
        <v/>
      </c>
      <c r="G258" s="47" t="e">
        <f t="shared" si="10"/>
        <v>#DIV/0!</v>
      </c>
      <c r="U258" s="49" t="e">
        <f t="shared" si="12"/>
        <v>#DIV/0!</v>
      </c>
    </row>
    <row r="259" customHeight="1" spans="1:21">
      <c r="A259" s="42" t="str">
        <f t="shared" si="11"/>
        <v/>
      </c>
      <c r="G259" s="47" t="e">
        <f t="shared" ref="G259:G322" si="13">+E259/F259</f>
        <v>#DIV/0!</v>
      </c>
      <c r="U259" s="49" t="e">
        <f t="shared" si="12"/>
        <v>#DIV/0!</v>
      </c>
    </row>
    <row r="260" customHeight="1" spans="1:21">
      <c r="A260" s="42" t="str">
        <f t="shared" ref="A260:A323" si="14">B260&amp;C260&amp;D260</f>
        <v/>
      </c>
      <c r="G260" s="47" t="e">
        <f t="shared" si="13"/>
        <v>#DIV/0!</v>
      </c>
      <c r="U260" s="49" t="e">
        <f t="shared" ref="U260:U323" si="15">SUM(G260:T260)</f>
        <v>#DIV/0!</v>
      </c>
    </row>
    <row r="261" customHeight="1" spans="1:21">
      <c r="A261" s="42" t="str">
        <f t="shared" si="14"/>
        <v/>
      </c>
      <c r="G261" s="47" t="e">
        <f t="shared" si="13"/>
        <v>#DIV/0!</v>
      </c>
      <c r="U261" s="49" t="e">
        <f t="shared" si="15"/>
        <v>#DIV/0!</v>
      </c>
    </row>
    <row r="262" customHeight="1" spans="1:21">
      <c r="A262" s="42" t="str">
        <f t="shared" si="14"/>
        <v/>
      </c>
      <c r="G262" s="47" t="e">
        <f t="shared" si="13"/>
        <v>#DIV/0!</v>
      </c>
      <c r="U262" s="49" t="e">
        <f t="shared" si="15"/>
        <v>#DIV/0!</v>
      </c>
    </row>
    <row r="263" customHeight="1" spans="1:21">
      <c r="A263" s="42" t="str">
        <f t="shared" si="14"/>
        <v/>
      </c>
      <c r="G263" s="47" t="e">
        <f t="shared" si="13"/>
        <v>#DIV/0!</v>
      </c>
      <c r="U263" s="49" t="e">
        <f t="shared" si="15"/>
        <v>#DIV/0!</v>
      </c>
    </row>
    <row r="264" customHeight="1" spans="1:21">
      <c r="A264" s="42" t="str">
        <f t="shared" si="14"/>
        <v/>
      </c>
      <c r="G264" s="47" t="e">
        <f t="shared" si="13"/>
        <v>#DIV/0!</v>
      </c>
      <c r="U264" s="49" t="e">
        <f t="shared" si="15"/>
        <v>#DIV/0!</v>
      </c>
    </row>
    <row r="265" customHeight="1" spans="1:21">
      <c r="A265" s="42" t="str">
        <f t="shared" si="14"/>
        <v/>
      </c>
      <c r="G265" s="47" t="e">
        <f t="shared" si="13"/>
        <v>#DIV/0!</v>
      </c>
      <c r="U265" s="49" t="e">
        <f t="shared" si="15"/>
        <v>#DIV/0!</v>
      </c>
    </row>
    <row r="266" customHeight="1" spans="1:21">
      <c r="A266" s="42" t="str">
        <f t="shared" si="14"/>
        <v/>
      </c>
      <c r="G266" s="47" t="e">
        <f t="shared" si="13"/>
        <v>#DIV/0!</v>
      </c>
      <c r="U266" s="49" t="e">
        <f t="shared" si="15"/>
        <v>#DIV/0!</v>
      </c>
    </row>
    <row r="267" customHeight="1" spans="1:21">
      <c r="A267" s="42" t="str">
        <f t="shared" si="14"/>
        <v/>
      </c>
      <c r="G267" s="47" t="e">
        <f t="shared" si="13"/>
        <v>#DIV/0!</v>
      </c>
      <c r="U267" s="49" t="e">
        <f t="shared" si="15"/>
        <v>#DIV/0!</v>
      </c>
    </row>
    <row r="268" customHeight="1" spans="1:21">
      <c r="A268" s="42" t="str">
        <f t="shared" si="14"/>
        <v/>
      </c>
      <c r="G268" s="47" t="e">
        <f t="shared" si="13"/>
        <v>#DIV/0!</v>
      </c>
      <c r="U268" s="49" t="e">
        <f t="shared" si="15"/>
        <v>#DIV/0!</v>
      </c>
    </row>
    <row r="269" customHeight="1" spans="1:21">
      <c r="A269" s="42" t="str">
        <f t="shared" si="14"/>
        <v/>
      </c>
      <c r="G269" s="47" t="e">
        <f t="shared" si="13"/>
        <v>#DIV/0!</v>
      </c>
      <c r="U269" s="49" t="e">
        <f t="shared" si="15"/>
        <v>#DIV/0!</v>
      </c>
    </row>
    <row r="270" customHeight="1" spans="1:21">
      <c r="A270" s="42" t="str">
        <f t="shared" si="14"/>
        <v/>
      </c>
      <c r="G270" s="47" t="e">
        <f t="shared" si="13"/>
        <v>#DIV/0!</v>
      </c>
      <c r="U270" s="49" t="e">
        <f t="shared" si="15"/>
        <v>#DIV/0!</v>
      </c>
    </row>
    <row r="271" customHeight="1" spans="1:21">
      <c r="A271" s="42" t="str">
        <f t="shared" si="14"/>
        <v/>
      </c>
      <c r="G271" s="47" t="e">
        <f t="shared" si="13"/>
        <v>#DIV/0!</v>
      </c>
      <c r="U271" s="49" t="e">
        <f t="shared" si="15"/>
        <v>#DIV/0!</v>
      </c>
    </row>
    <row r="272" customHeight="1" spans="1:21">
      <c r="A272" s="42" t="str">
        <f t="shared" si="14"/>
        <v/>
      </c>
      <c r="G272" s="47" t="e">
        <f t="shared" si="13"/>
        <v>#DIV/0!</v>
      </c>
      <c r="U272" s="49" t="e">
        <f t="shared" si="15"/>
        <v>#DIV/0!</v>
      </c>
    </row>
    <row r="273" customHeight="1" spans="1:21">
      <c r="A273" s="42" t="str">
        <f t="shared" si="14"/>
        <v/>
      </c>
      <c r="G273" s="47" t="e">
        <f t="shared" si="13"/>
        <v>#DIV/0!</v>
      </c>
      <c r="U273" s="49" t="e">
        <f t="shared" si="15"/>
        <v>#DIV/0!</v>
      </c>
    </row>
    <row r="274" customHeight="1" spans="1:21">
      <c r="A274" s="42" t="str">
        <f t="shared" si="14"/>
        <v/>
      </c>
      <c r="G274" s="47" t="e">
        <f t="shared" si="13"/>
        <v>#DIV/0!</v>
      </c>
      <c r="U274" s="49" t="e">
        <f t="shared" si="15"/>
        <v>#DIV/0!</v>
      </c>
    </row>
    <row r="275" customHeight="1" spans="1:21">
      <c r="A275" s="42" t="str">
        <f t="shared" si="14"/>
        <v/>
      </c>
      <c r="G275" s="47" t="e">
        <f t="shared" si="13"/>
        <v>#DIV/0!</v>
      </c>
      <c r="U275" s="49" t="e">
        <f t="shared" si="15"/>
        <v>#DIV/0!</v>
      </c>
    </row>
    <row r="276" customHeight="1" spans="1:21">
      <c r="A276" s="42" t="str">
        <f t="shared" si="14"/>
        <v/>
      </c>
      <c r="G276" s="47" t="e">
        <f t="shared" si="13"/>
        <v>#DIV/0!</v>
      </c>
      <c r="U276" s="49" t="e">
        <f t="shared" si="15"/>
        <v>#DIV/0!</v>
      </c>
    </row>
    <row r="277" customHeight="1" spans="1:21">
      <c r="A277" s="42" t="str">
        <f t="shared" si="14"/>
        <v/>
      </c>
      <c r="G277" s="47" t="e">
        <f t="shared" si="13"/>
        <v>#DIV/0!</v>
      </c>
      <c r="U277" s="49" t="e">
        <f t="shared" si="15"/>
        <v>#DIV/0!</v>
      </c>
    </row>
    <row r="278" customHeight="1" spans="1:21">
      <c r="A278" s="42" t="str">
        <f t="shared" si="14"/>
        <v/>
      </c>
      <c r="G278" s="47" t="e">
        <f t="shared" si="13"/>
        <v>#DIV/0!</v>
      </c>
      <c r="U278" s="49" t="e">
        <f t="shared" si="15"/>
        <v>#DIV/0!</v>
      </c>
    </row>
    <row r="279" customHeight="1" spans="1:21">
      <c r="A279" s="42" t="str">
        <f t="shared" si="14"/>
        <v/>
      </c>
      <c r="G279" s="47" t="e">
        <f t="shared" si="13"/>
        <v>#DIV/0!</v>
      </c>
      <c r="U279" s="49" t="e">
        <f t="shared" si="15"/>
        <v>#DIV/0!</v>
      </c>
    </row>
    <row r="280" customHeight="1" spans="1:21">
      <c r="A280" s="42" t="str">
        <f t="shared" si="14"/>
        <v/>
      </c>
      <c r="G280" s="47" t="e">
        <f t="shared" si="13"/>
        <v>#DIV/0!</v>
      </c>
      <c r="U280" s="49" t="e">
        <f t="shared" si="15"/>
        <v>#DIV/0!</v>
      </c>
    </row>
    <row r="281" customHeight="1" spans="1:21">
      <c r="A281" s="42" t="str">
        <f t="shared" si="14"/>
        <v/>
      </c>
      <c r="G281" s="47" t="e">
        <f t="shared" si="13"/>
        <v>#DIV/0!</v>
      </c>
      <c r="U281" s="49" t="e">
        <f t="shared" si="15"/>
        <v>#DIV/0!</v>
      </c>
    </row>
    <row r="282" customHeight="1" spans="1:21">
      <c r="A282" s="42" t="str">
        <f t="shared" si="14"/>
        <v/>
      </c>
      <c r="G282" s="47" t="e">
        <f t="shared" si="13"/>
        <v>#DIV/0!</v>
      </c>
      <c r="U282" s="49" t="e">
        <f t="shared" si="15"/>
        <v>#DIV/0!</v>
      </c>
    </row>
    <row r="283" customHeight="1" spans="1:21">
      <c r="A283" s="42" t="str">
        <f t="shared" si="14"/>
        <v/>
      </c>
      <c r="G283" s="47" t="e">
        <f t="shared" si="13"/>
        <v>#DIV/0!</v>
      </c>
      <c r="U283" s="49" t="e">
        <f t="shared" si="15"/>
        <v>#DIV/0!</v>
      </c>
    </row>
    <row r="284" customHeight="1" spans="1:21">
      <c r="A284" s="42" t="str">
        <f t="shared" si="14"/>
        <v/>
      </c>
      <c r="G284" s="47" t="e">
        <f t="shared" si="13"/>
        <v>#DIV/0!</v>
      </c>
      <c r="U284" s="49" t="e">
        <f t="shared" si="15"/>
        <v>#DIV/0!</v>
      </c>
    </row>
    <row r="285" customHeight="1" spans="1:21">
      <c r="A285" s="42" t="str">
        <f t="shared" si="14"/>
        <v/>
      </c>
      <c r="G285" s="47" t="e">
        <f t="shared" si="13"/>
        <v>#DIV/0!</v>
      </c>
      <c r="U285" s="49" t="e">
        <f t="shared" si="15"/>
        <v>#DIV/0!</v>
      </c>
    </row>
    <row r="286" customHeight="1" spans="1:21">
      <c r="A286" s="42" t="str">
        <f t="shared" si="14"/>
        <v/>
      </c>
      <c r="G286" s="47" t="e">
        <f t="shared" si="13"/>
        <v>#DIV/0!</v>
      </c>
      <c r="U286" s="49" t="e">
        <f t="shared" si="15"/>
        <v>#DIV/0!</v>
      </c>
    </row>
    <row r="287" customHeight="1" spans="1:21">
      <c r="A287" s="42" t="str">
        <f t="shared" si="14"/>
        <v/>
      </c>
      <c r="G287" s="47" t="e">
        <f t="shared" si="13"/>
        <v>#DIV/0!</v>
      </c>
      <c r="U287" s="49" t="e">
        <f t="shared" si="15"/>
        <v>#DIV/0!</v>
      </c>
    </row>
    <row r="288" customHeight="1" spans="1:21">
      <c r="A288" s="42" t="str">
        <f t="shared" si="14"/>
        <v/>
      </c>
      <c r="G288" s="47" t="e">
        <f t="shared" si="13"/>
        <v>#DIV/0!</v>
      </c>
      <c r="U288" s="49" t="e">
        <f t="shared" si="15"/>
        <v>#DIV/0!</v>
      </c>
    </row>
    <row r="289" customHeight="1" spans="1:21">
      <c r="A289" s="42" t="str">
        <f t="shared" si="14"/>
        <v/>
      </c>
      <c r="G289" s="47" t="e">
        <f t="shared" si="13"/>
        <v>#DIV/0!</v>
      </c>
      <c r="U289" s="49" t="e">
        <f t="shared" si="15"/>
        <v>#DIV/0!</v>
      </c>
    </row>
    <row r="290" customHeight="1" spans="1:21">
      <c r="A290" s="42" t="str">
        <f t="shared" si="14"/>
        <v/>
      </c>
      <c r="G290" s="47" t="e">
        <f t="shared" si="13"/>
        <v>#DIV/0!</v>
      </c>
      <c r="U290" s="49" t="e">
        <f t="shared" si="15"/>
        <v>#DIV/0!</v>
      </c>
    </row>
    <row r="291" customHeight="1" spans="1:21">
      <c r="A291" s="42" t="str">
        <f t="shared" si="14"/>
        <v/>
      </c>
      <c r="G291" s="47" t="e">
        <f t="shared" si="13"/>
        <v>#DIV/0!</v>
      </c>
      <c r="U291" s="49" t="e">
        <f t="shared" si="15"/>
        <v>#DIV/0!</v>
      </c>
    </row>
    <row r="292" customHeight="1" spans="1:21">
      <c r="A292" s="42" t="str">
        <f t="shared" si="14"/>
        <v/>
      </c>
      <c r="G292" s="47" t="e">
        <f t="shared" si="13"/>
        <v>#DIV/0!</v>
      </c>
      <c r="U292" s="49" t="e">
        <f t="shared" si="15"/>
        <v>#DIV/0!</v>
      </c>
    </row>
    <row r="293" customHeight="1" spans="1:21">
      <c r="A293" s="42" t="str">
        <f t="shared" si="14"/>
        <v/>
      </c>
      <c r="G293" s="47" t="e">
        <f t="shared" si="13"/>
        <v>#DIV/0!</v>
      </c>
      <c r="U293" s="49" t="e">
        <f t="shared" si="15"/>
        <v>#DIV/0!</v>
      </c>
    </row>
    <row r="294" customHeight="1" spans="1:21">
      <c r="A294" s="42" t="str">
        <f t="shared" si="14"/>
        <v/>
      </c>
      <c r="G294" s="47" t="e">
        <f t="shared" si="13"/>
        <v>#DIV/0!</v>
      </c>
      <c r="U294" s="49" t="e">
        <f t="shared" si="15"/>
        <v>#DIV/0!</v>
      </c>
    </row>
    <row r="295" customHeight="1" spans="1:21">
      <c r="A295" s="42" t="str">
        <f t="shared" si="14"/>
        <v/>
      </c>
      <c r="G295" s="47" t="e">
        <f t="shared" si="13"/>
        <v>#DIV/0!</v>
      </c>
      <c r="U295" s="49" t="e">
        <f t="shared" si="15"/>
        <v>#DIV/0!</v>
      </c>
    </row>
    <row r="296" customHeight="1" spans="1:21">
      <c r="A296" s="42" t="str">
        <f t="shared" si="14"/>
        <v/>
      </c>
      <c r="G296" s="47" t="e">
        <f t="shared" si="13"/>
        <v>#DIV/0!</v>
      </c>
      <c r="U296" s="49" t="e">
        <f t="shared" si="15"/>
        <v>#DIV/0!</v>
      </c>
    </row>
    <row r="297" customHeight="1" spans="1:21">
      <c r="A297" s="42" t="str">
        <f t="shared" si="14"/>
        <v/>
      </c>
      <c r="G297" s="47" t="e">
        <f t="shared" si="13"/>
        <v>#DIV/0!</v>
      </c>
      <c r="U297" s="49" t="e">
        <f t="shared" si="15"/>
        <v>#DIV/0!</v>
      </c>
    </row>
    <row r="298" customHeight="1" spans="1:21">
      <c r="A298" s="42" t="str">
        <f t="shared" si="14"/>
        <v/>
      </c>
      <c r="G298" s="47" t="e">
        <f t="shared" si="13"/>
        <v>#DIV/0!</v>
      </c>
      <c r="U298" s="49" t="e">
        <f t="shared" si="15"/>
        <v>#DIV/0!</v>
      </c>
    </row>
    <row r="299" customHeight="1" spans="1:21">
      <c r="A299" s="42" t="str">
        <f t="shared" si="14"/>
        <v/>
      </c>
      <c r="G299" s="47" t="e">
        <f t="shared" si="13"/>
        <v>#DIV/0!</v>
      </c>
      <c r="U299" s="49" t="e">
        <f t="shared" si="15"/>
        <v>#DIV/0!</v>
      </c>
    </row>
    <row r="300" customHeight="1" spans="1:21">
      <c r="A300" s="42" t="str">
        <f t="shared" si="14"/>
        <v/>
      </c>
      <c r="G300" s="47" t="e">
        <f t="shared" si="13"/>
        <v>#DIV/0!</v>
      </c>
      <c r="U300" s="49" t="e">
        <f t="shared" si="15"/>
        <v>#DIV/0!</v>
      </c>
    </row>
    <row r="301" customHeight="1" spans="1:21">
      <c r="A301" s="42" t="str">
        <f t="shared" si="14"/>
        <v/>
      </c>
      <c r="G301" s="47" t="e">
        <f t="shared" si="13"/>
        <v>#DIV/0!</v>
      </c>
      <c r="U301" s="49" t="e">
        <f t="shared" si="15"/>
        <v>#DIV/0!</v>
      </c>
    </row>
    <row r="302" customHeight="1" spans="1:21">
      <c r="A302" s="42" t="str">
        <f t="shared" si="14"/>
        <v/>
      </c>
      <c r="G302" s="47" t="e">
        <f t="shared" si="13"/>
        <v>#DIV/0!</v>
      </c>
      <c r="U302" s="49" t="e">
        <f t="shared" si="15"/>
        <v>#DIV/0!</v>
      </c>
    </row>
    <row r="303" customHeight="1" spans="1:21">
      <c r="A303" s="42" t="str">
        <f t="shared" si="14"/>
        <v/>
      </c>
      <c r="G303" s="47" t="e">
        <f t="shared" si="13"/>
        <v>#DIV/0!</v>
      </c>
      <c r="U303" s="49" t="e">
        <f t="shared" si="15"/>
        <v>#DIV/0!</v>
      </c>
    </row>
    <row r="304" customHeight="1" spans="1:21">
      <c r="A304" s="42" t="str">
        <f t="shared" si="14"/>
        <v/>
      </c>
      <c r="G304" s="47" t="e">
        <f t="shared" si="13"/>
        <v>#DIV/0!</v>
      </c>
      <c r="U304" s="49" t="e">
        <f t="shared" si="15"/>
        <v>#DIV/0!</v>
      </c>
    </row>
    <row r="305" customHeight="1" spans="1:21">
      <c r="A305" s="42" t="str">
        <f t="shared" si="14"/>
        <v/>
      </c>
      <c r="G305" s="47" t="e">
        <f t="shared" si="13"/>
        <v>#DIV/0!</v>
      </c>
      <c r="U305" s="49" t="e">
        <f t="shared" si="15"/>
        <v>#DIV/0!</v>
      </c>
    </row>
    <row r="306" customHeight="1" spans="1:21">
      <c r="A306" s="42" t="str">
        <f t="shared" si="14"/>
        <v/>
      </c>
      <c r="G306" s="47" t="e">
        <f t="shared" si="13"/>
        <v>#DIV/0!</v>
      </c>
      <c r="U306" s="49" t="e">
        <f t="shared" si="15"/>
        <v>#DIV/0!</v>
      </c>
    </row>
    <row r="307" customHeight="1" spans="1:21">
      <c r="A307" s="42" t="str">
        <f t="shared" si="14"/>
        <v/>
      </c>
      <c r="G307" s="47" t="e">
        <f t="shared" si="13"/>
        <v>#DIV/0!</v>
      </c>
      <c r="U307" s="49" t="e">
        <f t="shared" si="15"/>
        <v>#DIV/0!</v>
      </c>
    </row>
    <row r="308" customHeight="1" spans="1:21">
      <c r="A308" s="42" t="str">
        <f t="shared" si="14"/>
        <v/>
      </c>
      <c r="G308" s="47" t="e">
        <f t="shared" si="13"/>
        <v>#DIV/0!</v>
      </c>
      <c r="U308" s="49" t="e">
        <f t="shared" si="15"/>
        <v>#DIV/0!</v>
      </c>
    </row>
    <row r="309" customHeight="1" spans="1:21">
      <c r="A309" s="42" t="str">
        <f t="shared" si="14"/>
        <v/>
      </c>
      <c r="G309" s="47" t="e">
        <f t="shared" si="13"/>
        <v>#DIV/0!</v>
      </c>
      <c r="U309" s="49" t="e">
        <f t="shared" si="15"/>
        <v>#DIV/0!</v>
      </c>
    </row>
    <row r="310" customHeight="1" spans="1:21">
      <c r="A310" s="42" t="str">
        <f t="shared" si="14"/>
        <v/>
      </c>
      <c r="G310" s="47" t="e">
        <f t="shared" si="13"/>
        <v>#DIV/0!</v>
      </c>
      <c r="U310" s="49" t="e">
        <f t="shared" si="15"/>
        <v>#DIV/0!</v>
      </c>
    </row>
    <row r="311" customHeight="1" spans="1:21">
      <c r="A311" s="42" t="str">
        <f t="shared" si="14"/>
        <v/>
      </c>
      <c r="G311" s="47" t="e">
        <f t="shared" si="13"/>
        <v>#DIV/0!</v>
      </c>
      <c r="U311" s="49" t="e">
        <f t="shared" si="15"/>
        <v>#DIV/0!</v>
      </c>
    </row>
    <row r="312" customHeight="1" spans="1:21">
      <c r="A312" s="42" t="str">
        <f t="shared" si="14"/>
        <v/>
      </c>
      <c r="G312" s="47" t="e">
        <f t="shared" si="13"/>
        <v>#DIV/0!</v>
      </c>
      <c r="U312" s="49" t="e">
        <f t="shared" si="15"/>
        <v>#DIV/0!</v>
      </c>
    </row>
    <row r="313" customHeight="1" spans="1:21">
      <c r="A313" s="42" t="str">
        <f t="shared" si="14"/>
        <v/>
      </c>
      <c r="G313" s="47" t="e">
        <f t="shared" si="13"/>
        <v>#DIV/0!</v>
      </c>
      <c r="U313" s="49" t="e">
        <f t="shared" si="15"/>
        <v>#DIV/0!</v>
      </c>
    </row>
    <row r="314" customHeight="1" spans="1:21">
      <c r="A314" s="42" t="str">
        <f t="shared" si="14"/>
        <v/>
      </c>
      <c r="G314" s="47" t="e">
        <f t="shared" si="13"/>
        <v>#DIV/0!</v>
      </c>
      <c r="U314" s="49" t="e">
        <f t="shared" si="15"/>
        <v>#DIV/0!</v>
      </c>
    </row>
    <row r="315" customHeight="1" spans="1:21">
      <c r="A315" s="42" t="str">
        <f t="shared" si="14"/>
        <v/>
      </c>
      <c r="G315" s="47" t="e">
        <f t="shared" si="13"/>
        <v>#DIV/0!</v>
      </c>
      <c r="U315" s="49" t="e">
        <f t="shared" si="15"/>
        <v>#DIV/0!</v>
      </c>
    </row>
    <row r="316" customHeight="1" spans="1:21">
      <c r="A316" s="42" t="str">
        <f t="shared" si="14"/>
        <v/>
      </c>
      <c r="G316" s="47" t="e">
        <f t="shared" si="13"/>
        <v>#DIV/0!</v>
      </c>
      <c r="U316" s="49" t="e">
        <f t="shared" si="15"/>
        <v>#DIV/0!</v>
      </c>
    </row>
    <row r="317" customHeight="1" spans="1:21">
      <c r="A317" s="42" t="str">
        <f t="shared" si="14"/>
        <v/>
      </c>
      <c r="G317" s="47" t="e">
        <f t="shared" si="13"/>
        <v>#DIV/0!</v>
      </c>
      <c r="U317" s="49" t="e">
        <f t="shared" si="15"/>
        <v>#DIV/0!</v>
      </c>
    </row>
    <row r="318" customHeight="1" spans="1:21">
      <c r="A318" s="42" t="str">
        <f t="shared" si="14"/>
        <v/>
      </c>
      <c r="G318" s="47" t="e">
        <f t="shared" si="13"/>
        <v>#DIV/0!</v>
      </c>
      <c r="U318" s="49" t="e">
        <f t="shared" si="15"/>
        <v>#DIV/0!</v>
      </c>
    </row>
    <row r="319" customHeight="1" spans="1:21">
      <c r="A319" s="42" t="str">
        <f t="shared" si="14"/>
        <v/>
      </c>
      <c r="G319" s="47" t="e">
        <f t="shared" si="13"/>
        <v>#DIV/0!</v>
      </c>
      <c r="U319" s="49" t="e">
        <f t="shared" si="15"/>
        <v>#DIV/0!</v>
      </c>
    </row>
    <row r="320" customHeight="1" spans="1:21">
      <c r="A320" s="42" t="str">
        <f t="shared" si="14"/>
        <v/>
      </c>
      <c r="G320" s="47" t="e">
        <f t="shared" si="13"/>
        <v>#DIV/0!</v>
      </c>
      <c r="U320" s="49" t="e">
        <f t="shared" si="15"/>
        <v>#DIV/0!</v>
      </c>
    </row>
    <row r="321" customHeight="1" spans="1:21">
      <c r="A321" s="42" t="str">
        <f t="shared" si="14"/>
        <v/>
      </c>
      <c r="G321" s="47" t="e">
        <f t="shared" si="13"/>
        <v>#DIV/0!</v>
      </c>
      <c r="U321" s="49" t="e">
        <f t="shared" si="15"/>
        <v>#DIV/0!</v>
      </c>
    </row>
    <row r="322" customHeight="1" spans="1:21">
      <c r="A322" s="42" t="str">
        <f t="shared" si="14"/>
        <v/>
      </c>
      <c r="G322" s="47" t="e">
        <f t="shared" si="13"/>
        <v>#DIV/0!</v>
      </c>
      <c r="U322" s="49" t="e">
        <f t="shared" si="15"/>
        <v>#DIV/0!</v>
      </c>
    </row>
    <row r="323" customHeight="1" spans="1:21">
      <c r="A323" s="42" t="str">
        <f t="shared" si="14"/>
        <v/>
      </c>
      <c r="G323" s="47" t="e">
        <f t="shared" ref="G323:G386" si="16">+E323/F323</f>
        <v>#DIV/0!</v>
      </c>
      <c r="U323" s="49" t="e">
        <f t="shared" si="15"/>
        <v>#DIV/0!</v>
      </c>
    </row>
    <row r="324" customHeight="1" spans="1:21">
      <c r="A324" s="42" t="str">
        <f t="shared" ref="A324:A387" si="17">B324&amp;C324&amp;D324</f>
        <v/>
      </c>
      <c r="G324" s="47" t="e">
        <f t="shared" si="16"/>
        <v>#DIV/0!</v>
      </c>
      <c r="U324" s="49" t="e">
        <f t="shared" ref="U324:U387" si="18">SUM(G324:T324)</f>
        <v>#DIV/0!</v>
      </c>
    </row>
    <row r="325" customHeight="1" spans="1:21">
      <c r="A325" s="42" t="str">
        <f t="shared" si="17"/>
        <v/>
      </c>
      <c r="G325" s="47" t="e">
        <f t="shared" si="16"/>
        <v>#DIV/0!</v>
      </c>
      <c r="U325" s="49" t="e">
        <f t="shared" si="18"/>
        <v>#DIV/0!</v>
      </c>
    </row>
    <row r="326" customHeight="1" spans="1:21">
      <c r="A326" s="42" t="str">
        <f t="shared" si="17"/>
        <v/>
      </c>
      <c r="G326" s="47" t="e">
        <f t="shared" si="16"/>
        <v>#DIV/0!</v>
      </c>
      <c r="U326" s="49" t="e">
        <f t="shared" si="18"/>
        <v>#DIV/0!</v>
      </c>
    </row>
    <row r="327" customHeight="1" spans="1:21">
      <c r="A327" s="42" t="str">
        <f t="shared" si="17"/>
        <v/>
      </c>
      <c r="G327" s="47" t="e">
        <f t="shared" si="16"/>
        <v>#DIV/0!</v>
      </c>
      <c r="U327" s="49" t="e">
        <f t="shared" si="18"/>
        <v>#DIV/0!</v>
      </c>
    </row>
    <row r="328" customHeight="1" spans="1:21">
      <c r="A328" s="42" t="str">
        <f t="shared" si="17"/>
        <v/>
      </c>
      <c r="G328" s="47" t="e">
        <f t="shared" si="16"/>
        <v>#DIV/0!</v>
      </c>
      <c r="U328" s="49" t="e">
        <f t="shared" si="18"/>
        <v>#DIV/0!</v>
      </c>
    </row>
    <row r="329" customHeight="1" spans="1:21">
      <c r="A329" s="42" t="str">
        <f t="shared" si="17"/>
        <v/>
      </c>
      <c r="G329" s="47" t="e">
        <f t="shared" si="16"/>
        <v>#DIV/0!</v>
      </c>
      <c r="U329" s="49" t="e">
        <f t="shared" si="18"/>
        <v>#DIV/0!</v>
      </c>
    </row>
    <row r="330" customHeight="1" spans="1:21">
      <c r="A330" s="42" t="str">
        <f t="shared" si="17"/>
        <v/>
      </c>
      <c r="G330" s="47" t="e">
        <f t="shared" si="16"/>
        <v>#DIV/0!</v>
      </c>
      <c r="U330" s="49" t="e">
        <f t="shared" si="18"/>
        <v>#DIV/0!</v>
      </c>
    </row>
    <row r="331" customHeight="1" spans="1:21">
      <c r="A331" s="42" t="str">
        <f t="shared" si="17"/>
        <v/>
      </c>
      <c r="G331" s="47" t="e">
        <f t="shared" si="16"/>
        <v>#DIV/0!</v>
      </c>
      <c r="U331" s="49" t="e">
        <f t="shared" si="18"/>
        <v>#DIV/0!</v>
      </c>
    </row>
    <row r="332" customHeight="1" spans="1:21">
      <c r="A332" s="42" t="str">
        <f t="shared" si="17"/>
        <v/>
      </c>
      <c r="G332" s="47" t="e">
        <f t="shared" si="16"/>
        <v>#DIV/0!</v>
      </c>
      <c r="U332" s="49" t="e">
        <f t="shared" si="18"/>
        <v>#DIV/0!</v>
      </c>
    </row>
    <row r="333" customHeight="1" spans="1:21">
      <c r="A333" s="42" t="str">
        <f t="shared" si="17"/>
        <v/>
      </c>
      <c r="G333" s="47" t="e">
        <f t="shared" si="16"/>
        <v>#DIV/0!</v>
      </c>
      <c r="U333" s="49" t="e">
        <f t="shared" si="18"/>
        <v>#DIV/0!</v>
      </c>
    </row>
    <row r="334" customHeight="1" spans="1:21">
      <c r="A334" s="42" t="str">
        <f t="shared" si="17"/>
        <v/>
      </c>
      <c r="G334" s="47" t="e">
        <f t="shared" si="16"/>
        <v>#DIV/0!</v>
      </c>
      <c r="U334" s="49" t="e">
        <f t="shared" si="18"/>
        <v>#DIV/0!</v>
      </c>
    </row>
    <row r="335" customHeight="1" spans="1:21">
      <c r="A335" s="42" t="str">
        <f t="shared" si="17"/>
        <v/>
      </c>
      <c r="G335" s="47" t="e">
        <f t="shared" si="16"/>
        <v>#DIV/0!</v>
      </c>
      <c r="U335" s="49" t="e">
        <f t="shared" si="18"/>
        <v>#DIV/0!</v>
      </c>
    </row>
    <row r="336" customHeight="1" spans="1:21">
      <c r="A336" s="42" t="str">
        <f t="shared" si="17"/>
        <v/>
      </c>
      <c r="G336" s="47" t="e">
        <f t="shared" si="16"/>
        <v>#DIV/0!</v>
      </c>
      <c r="U336" s="49" t="e">
        <f t="shared" si="18"/>
        <v>#DIV/0!</v>
      </c>
    </row>
    <row r="337" customHeight="1" spans="1:21">
      <c r="A337" s="42" t="str">
        <f t="shared" si="17"/>
        <v/>
      </c>
      <c r="G337" s="47" t="e">
        <f t="shared" si="16"/>
        <v>#DIV/0!</v>
      </c>
      <c r="U337" s="49" t="e">
        <f t="shared" si="18"/>
        <v>#DIV/0!</v>
      </c>
    </row>
    <row r="338" customHeight="1" spans="1:21">
      <c r="A338" s="42" t="str">
        <f t="shared" si="17"/>
        <v/>
      </c>
      <c r="G338" s="47" t="e">
        <f t="shared" si="16"/>
        <v>#DIV/0!</v>
      </c>
      <c r="U338" s="49" t="e">
        <f t="shared" si="18"/>
        <v>#DIV/0!</v>
      </c>
    </row>
    <row r="339" customHeight="1" spans="1:21">
      <c r="A339" s="42" t="str">
        <f t="shared" si="17"/>
        <v/>
      </c>
      <c r="G339" s="47" t="e">
        <f t="shared" si="16"/>
        <v>#DIV/0!</v>
      </c>
      <c r="U339" s="49" t="e">
        <f t="shared" si="18"/>
        <v>#DIV/0!</v>
      </c>
    </row>
    <row r="340" customHeight="1" spans="1:21">
      <c r="A340" s="42" t="str">
        <f t="shared" si="17"/>
        <v/>
      </c>
      <c r="G340" s="47" t="e">
        <f t="shared" si="16"/>
        <v>#DIV/0!</v>
      </c>
      <c r="U340" s="49" t="e">
        <f t="shared" si="18"/>
        <v>#DIV/0!</v>
      </c>
    </row>
    <row r="341" customHeight="1" spans="1:21">
      <c r="A341" s="42" t="str">
        <f t="shared" si="17"/>
        <v/>
      </c>
      <c r="G341" s="47" t="e">
        <f t="shared" si="16"/>
        <v>#DIV/0!</v>
      </c>
      <c r="U341" s="49" t="e">
        <f t="shared" si="18"/>
        <v>#DIV/0!</v>
      </c>
    </row>
    <row r="342" customHeight="1" spans="1:21">
      <c r="A342" s="42" t="str">
        <f t="shared" si="17"/>
        <v/>
      </c>
      <c r="G342" s="47" t="e">
        <f t="shared" si="16"/>
        <v>#DIV/0!</v>
      </c>
      <c r="U342" s="49" t="e">
        <f t="shared" si="18"/>
        <v>#DIV/0!</v>
      </c>
    </row>
    <row r="343" customHeight="1" spans="1:21">
      <c r="A343" s="42" t="str">
        <f t="shared" si="17"/>
        <v/>
      </c>
      <c r="G343" s="47" t="e">
        <f t="shared" si="16"/>
        <v>#DIV/0!</v>
      </c>
      <c r="U343" s="49" t="e">
        <f t="shared" si="18"/>
        <v>#DIV/0!</v>
      </c>
    </row>
    <row r="344" customHeight="1" spans="1:21">
      <c r="A344" s="42" t="str">
        <f t="shared" si="17"/>
        <v/>
      </c>
      <c r="G344" s="47" t="e">
        <f t="shared" si="16"/>
        <v>#DIV/0!</v>
      </c>
      <c r="U344" s="49" t="e">
        <f t="shared" si="18"/>
        <v>#DIV/0!</v>
      </c>
    </row>
    <row r="345" customHeight="1" spans="1:21">
      <c r="A345" s="42" t="str">
        <f t="shared" si="17"/>
        <v/>
      </c>
      <c r="G345" s="47" t="e">
        <f t="shared" si="16"/>
        <v>#DIV/0!</v>
      </c>
      <c r="U345" s="49" t="e">
        <f t="shared" si="18"/>
        <v>#DIV/0!</v>
      </c>
    </row>
    <row r="346" customHeight="1" spans="1:21">
      <c r="A346" s="42" t="str">
        <f t="shared" si="17"/>
        <v/>
      </c>
      <c r="G346" s="47" t="e">
        <f t="shared" si="16"/>
        <v>#DIV/0!</v>
      </c>
      <c r="U346" s="49" t="e">
        <f t="shared" si="18"/>
        <v>#DIV/0!</v>
      </c>
    </row>
    <row r="347" customHeight="1" spans="1:21">
      <c r="A347" s="42" t="str">
        <f t="shared" si="17"/>
        <v/>
      </c>
      <c r="G347" s="47" t="e">
        <f t="shared" si="16"/>
        <v>#DIV/0!</v>
      </c>
      <c r="U347" s="49" t="e">
        <f t="shared" si="18"/>
        <v>#DIV/0!</v>
      </c>
    </row>
    <row r="348" customHeight="1" spans="1:21">
      <c r="A348" s="42" t="str">
        <f t="shared" si="17"/>
        <v/>
      </c>
      <c r="G348" s="47" t="e">
        <f t="shared" si="16"/>
        <v>#DIV/0!</v>
      </c>
      <c r="U348" s="49" t="e">
        <f t="shared" si="18"/>
        <v>#DIV/0!</v>
      </c>
    </row>
    <row r="349" customHeight="1" spans="1:21">
      <c r="A349" s="42" t="str">
        <f t="shared" si="17"/>
        <v/>
      </c>
      <c r="G349" s="47" t="e">
        <f t="shared" si="16"/>
        <v>#DIV/0!</v>
      </c>
      <c r="U349" s="49" t="e">
        <f t="shared" si="18"/>
        <v>#DIV/0!</v>
      </c>
    </row>
    <row r="350" customHeight="1" spans="1:21">
      <c r="A350" s="42" t="str">
        <f t="shared" si="17"/>
        <v/>
      </c>
      <c r="G350" s="47" t="e">
        <f t="shared" si="16"/>
        <v>#DIV/0!</v>
      </c>
      <c r="U350" s="49" t="e">
        <f t="shared" si="18"/>
        <v>#DIV/0!</v>
      </c>
    </row>
    <row r="351" customHeight="1" spans="1:21">
      <c r="A351" s="42" t="str">
        <f t="shared" si="17"/>
        <v/>
      </c>
      <c r="G351" s="47" t="e">
        <f t="shared" si="16"/>
        <v>#DIV/0!</v>
      </c>
      <c r="U351" s="49" t="e">
        <f t="shared" si="18"/>
        <v>#DIV/0!</v>
      </c>
    </row>
    <row r="352" customHeight="1" spans="1:21">
      <c r="A352" s="42" t="str">
        <f t="shared" si="17"/>
        <v/>
      </c>
      <c r="G352" s="47" t="e">
        <f t="shared" si="16"/>
        <v>#DIV/0!</v>
      </c>
      <c r="U352" s="49" t="e">
        <f t="shared" si="18"/>
        <v>#DIV/0!</v>
      </c>
    </row>
    <row r="353" customHeight="1" spans="1:21">
      <c r="A353" s="42" t="str">
        <f t="shared" si="17"/>
        <v/>
      </c>
      <c r="G353" s="47" t="e">
        <f t="shared" si="16"/>
        <v>#DIV/0!</v>
      </c>
      <c r="U353" s="49" t="e">
        <f t="shared" si="18"/>
        <v>#DIV/0!</v>
      </c>
    </row>
    <row r="354" customHeight="1" spans="1:21">
      <c r="A354" s="42" t="str">
        <f t="shared" si="17"/>
        <v/>
      </c>
      <c r="G354" s="47" t="e">
        <f t="shared" si="16"/>
        <v>#DIV/0!</v>
      </c>
      <c r="U354" s="49" t="e">
        <f t="shared" si="18"/>
        <v>#DIV/0!</v>
      </c>
    </row>
    <row r="355" customHeight="1" spans="1:21">
      <c r="A355" s="42" t="str">
        <f t="shared" si="17"/>
        <v/>
      </c>
      <c r="G355" s="47" t="e">
        <f t="shared" si="16"/>
        <v>#DIV/0!</v>
      </c>
      <c r="U355" s="49" t="e">
        <f t="shared" si="18"/>
        <v>#DIV/0!</v>
      </c>
    </row>
    <row r="356" customHeight="1" spans="1:21">
      <c r="A356" s="42" t="str">
        <f t="shared" si="17"/>
        <v/>
      </c>
      <c r="G356" s="47" t="e">
        <f t="shared" si="16"/>
        <v>#DIV/0!</v>
      </c>
      <c r="U356" s="49" t="e">
        <f t="shared" si="18"/>
        <v>#DIV/0!</v>
      </c>
    </row>
    <row r="357" customHeight="1" spans="1:21">
      <c r="A357" s="42" t="str">
        <f t="shared" si="17"/>
        <v/>
      </c>
      <c r="G357" s="47" t="e">
        <f t="shared" si="16"/>
        <v>#DIV/0!</v>
      </c>
      <c r="U357" s="49" t="e">
        <f t="shared" si="18"/>
        <v>#DIV/0!</v>
      </c>
    </row>
    <row r="358" customHeight="1" spans="1:21">
      <c r="A358" s="42" t="str">
        <f t="shared" si="17"/>
        <v/>
      </c>
      <c r="G358" s="47" t="e">
        <f t="shared" si="16"/>
        <v>#DIV/0!</v>
      </c>
      <c r="U358" s="49" t="e">
        <f t="shared" si="18"/>
        <v>#DIV/0!</v>
      </c>
    </row>
    <row r="359" customHeight="1" spans="1:21">
      <c r="A359" s="42" t="str">
        <f t="shared" si="17"/>
        <v/>
      </c>
      <c r="G359" s="47" t="e">
        <f t="shared" si="16"/>
        <v>#DIV/0!</v>
      </c>
      <c r="U359" s="49" t="e">
        <f t="shared" si="18"/>
        <v>#DIV/0!</v>
      </c>
    </row>
    <row r="360" customHeight="1" spans="1:21">
      <c r="A360" s="42" t="str">
        <f t="shared" si="17"/>
        <v/>
      </c>
      <c r="G360" s="47" t="e">
        <f t="shared" si="16"/>
        <v>#DIV/0!</v>
      </c>
      <c r="U360" s="49" t="e">
        <f t="shared" si="18"/>
        <v>#DIV/0!</v>
      </c>
    </row>
    <row r="361" customHeight="1" spans="1:21">
      <c r="A361" s="42" t="str">
        <f t="shared" si="17"/>
        <v/>
      </c>
      <c r="G361" s="47" t="e">
        <f t="shared" si="16"/>
        <v>#DIV/0!</v>
      </c>
      <c r="U361" s="49" t="e">
        <f t="shared" si="18"/>
        <v>#DIV/0!</v>
      </c>
    </row>
    <row r="362" customHeight="1" spans="1:21">
      <c r="A362" s="42" t="str">
        <f t="shared" si="17"/>
        <v/>
      </c>
      <c r="G362" s="47" t="e">
        <f t="shared" si="16"/>
        <v>#DIV/0!</v>
      </c>
      <c r="U362" s="49" t="e">
        <f t="shared" si="18"/>
        <v>#DIV/0!</v>
      </c>
    </row>
    <row r="363" customHeight="1" spans="1:21">
      <c r="A363" s="42" t="str">
        <f t="shared" si="17"/>
        <v/>
      </c>
      <c r="G363" s="47" t="e">
        <f t="shared" si="16"/>
        <v>#DIV/0!</v>
      </c>
      <c r="U363" s="49" t="e">
        <f t="shared" si="18"/>
        <v>#DIV/0!</v>
      </c>
    </row>
    <row r="364" customHeight="1" spans="1:21">
      <c r="A364" s="42" t="str">
        <f t="shared" si="17"/>
        <v/>
      </c>
      <c r="G364" s="47" t="e">
        <f t="shared" si="16"/>
        <v>#DIV/0!</v>
      </c>
      <c r="U364" s="49" t="e">
        <f t="shared" si="18"/>
        <v>#DIV/0!</v>
      </c>
    </row>
    <row r="365" customHeight="1" spans="1:21">
      <c r="A365" s="42" t="str">
        <f t="shared" si="17"/>
        <v/>
      </c>
      <c r="G365" s="47" t="e">
        <f t="shared" si="16"/>
        <v>#DIV/0!</v>
      </c>
      <c r="U365" s="49" t="e">
        <f t="shared" si="18"/>
        <v>#DIV/0!</v>
      </c>
    </row>
    <row r="366" customHeight="1" spans="1:21">
      <c r="A366" s="42" t="str">
        <f t="shared" si="17"/>
        <v/>
      </c>
      <c r="G366" s="47" t="e">
        <f t="shared" si="16"/>
        <v>#DIV/0!</v>
      </c>
      <c r="U366" s="49" t="e">
        <f t="shared" si="18"/>
        <v>#DIV/0!</v>
      </c>
    </row>
    <row r="367" customHeight="1" spans="1:21">
      <c r="A367" s="42" t="str">
        <f t="shared" si="17"/>
        <v/>
      </c>
      <c r="G367" s="47" t="e">
        <f t="shared" si="16"/>
        <v>#DIV/0!</v>
      </c>
      <c r="U367" s="49" t="e">
        <f t="shared" si="18"/>
        <v>#DIV/0!</v>
      </c>
    </row>
    <row r="368" customHeight="1" spans="1:21">
      <c r="A368" s="42" t="str">
        <f t="shared" si="17"/>
        <v/>
      </c>
      <c r="G368" s="47" t="e">
        <f t="shared" si="16"/>
        <v>#DIV/0!</v>
      </c>
      <c r="U368" s="49" t="e">
        <f t="shared" si="18"/>
        <v>#DIV/0!</v>
      </c>
    </row>
    <row r="369" customHeight="1" spans="1:21">
      <c r="A369" s="42" t="str">
        <f t="shared" si="17"/>
        <v/>
      </c>
      <c r="G369" s="47" t="e">
        <f t="shared" si="16"/>
        <v>#DIV/0!</v>
      </c>
      <c r="U369" s="49" t="e">
        <f t="shared" si="18"/>
        <v>#DIV/0!</v>
      </c>
    </row>
    <row r="370" customHeight="1" spans="1:21">
      <c r="A370" s="42" t="str">
        <f t="shared" si="17"/>
        <v/>
      </c>
      <c r="G370" s="47" t="e">
        <f t="shared" si="16"/>
        <v>#DIV/0!</v>
      </c>
      <c r="U370" s="49" t="e">
        <f t="shared" si="18"/>
        <v>#DIV/0!</v>
      </c>
    </row>
    <row r="371" customHeight="1" spans="1:21">
      <c r="A371" s="42" t="str">
        <f t="shared" si="17"/>
        <v/>
      </c>
      <c r="G371" s="47" t="e">
        <f t="shared" si="16"/>
        <v>#DIV/0!</v>
      </c>
      <c r="U371" s="49" t="e">
        <f t="shared" si="18"/>
        <v>#DIV/0!</v>
      </c>
    </row>
    <row r="372" customHeight="1" spans="1:21">
      <c r="A372" s="42" t="str">
        <f t="shared" si="17"/>
        <v/>
      </c>
      <c r="G372" s="47" t="e">
        <f t="shared" si="16"/>
        <v>#DIV/0!</v>
      </c>
      <c r="U372" s="49" t="e">
        <f t="shared" si="18"/>
        <v>#DIV/0!</v>
      </c>
    </row>
    <row r="373" customHeight="1" spans="1:21">
      <c r="A373" s="42" t="str">
        <f t="shared" si="17"/>
        <v/>
      </c>
      <c r="G373" s="47" t="e">
        <f t="shared" si="16"/>
        <v>#DIV/0!</v>
      </c>
      <c r="U373" s="49" t="e">
        <f t="shared" si="18"/>
        <v>#DIV/0!</v>
      </c>
    </row>
    <row r="374" customHeight="1" spans="1:21">
      <c r="A374" s="42" t="str">
        <f t="shared" si="17"/>
        <v/>
      </c>
      <c r="G374" s="47" t="e">
        <f t="shared" si="16"/>
        <v>#DIV/0!</v>
      </c>
      <c r="U374" s="49" t="e">
        <f t="shared" si="18"/>
        <v>#DIV/0!</v>
      </c>
    </row>
    <row r="375" customHeight="1" spans="1:21">
      <c r="A375" s="42" t="str">
        <f t="shared" si="17"/>
        <v/>
      </c>
      <c r="G375" s="47" t="e">
        <f t="shared" si="16"/>
        <v>#DIV/0!</v>
      </c>
      <c r="U375" s="49" t="e">
        <f t="shared" si="18"/>
        <v>#DIV/0!</v>
      </c>
    </row>
    <row r="376" customHeight="1" spans="1:21">
      <c r="A376" s="42" t="str">
        <f t="shared" si="17"/>
        <v/>
      </c>
      <c r="G376" s="47" t="e">
        <f t="shared" si="16"/>
        <v>#DIV/0!</v>
      </c>
      <c r="U376" s="49" t="e">
        <f t="shared" si="18"/>
        <v>#DIV/0!</v>
      </c>
    </row>
    <row r="377" customHeight="1" spans="1:21">
      <c r="A377" s="42" t="str">
        <f t="shared" si="17"/>
        <v/>
      </c>
      <c r="G377" s="47" t="e">
        <f t="shared" si="16"/>
        <v>#DIV/0!</v>
      </c>
      <c r="U377" s="49" t="e">
        <f t="shared" si="18"/>
        <v>#DIV/0!</v>
      </c>
    </row>
    <row r="378" customHeight="1" spans="1:21">
      <c r="A378" s="42" t="str">
        <f t="shared" si="17"/>
        <v/>
      </c>
      <c r="G378" s="47" t="e">
        <f t="shared" si="16"/>
        <v>#DIV/0!</v>
      </c>
      <c r="U378" s="49" t="e">
        <f t="shared" si="18"/>
        <v>#DIV/0!</v>
      </c>
    </row>
    <row r="379" customHeight="1" spans="1:21">
      <c r="A379" s="42" t="str">
        <f t="shared" si="17"/>
        <v/>
      </c>
      <c r="G379" s="47" t="e">
        <f t="shared" si="16"/>
        <v>#DIV/0!</v>
      </c>
      <c r="U379" s="49" t="e">
        <f t="shared" si="18"/>
        <v>#DIV/0!</v>
      </c>
    </row>
    <row r="380" customHeight="1" spans="1:21">
      <c r="A380" s="42" t="str">
        <f t="shared" si="17"/>
        <v/>
      </c>
      <c r="G380" s="47" t="e">
        <f t="shared" si="16"/>
        <v>#DIV/0!</v>
      </c>
      <c r="U380" s="49" t="e">
        <f t="shared" si="18"/>
        <v>#DIV/0!</v>
      </c>
    </row>
    <row r="381" customHeight="1" spans="1:21">
      <c r="A381" s="42" t="str">
        <f t="shared" si="17"/>
        <v/>
      </c>
      <c r="G381" s="47" t="e">
        <f t="shared" si="16"/>
        <v>#DIV/0!</v>
      </c>
      <c r="U381" s="49" t="e">
        <f t="shared" si="18"/>
        <v>#DIV/0!</v>
      </c>
    </row>
    <row r="382" customHeight="1" spans="1:21">
      <c r="A382" s="42" t="str">
        <f t="shared" si="17"/>
        <v/>
      </c>
      <c r="G382" s="47" t="e">
        <f t="shared" si="16"/>
        <v>#DIV/0!</v>
      </c>
      <c r="U382" s="49" t="e">
        <f t="shared" si="18"/>
        <v>#DIV/0!</v>
      </c>
    </row>
    <row r="383" customHeight="1" spans="1:21">
      <c r="A383" s="42" t="str">
        <f t="shared" si="17"/>
        <v/>
      </c>
      <c r="G383" s="47" t="e">
        <f t="shared" si="16"/>
        <v>#DIV/0!</v>
      </c>
      <c r="U383" s="49" t="e">
        <f t="shared" si="18"/>
        <v>#DIV/0!</v>
      </c>
    </row>
    <row r="384" customHeight="1" spans="1:21">
      <c r="A384" s="42" t="str">
        <f t="shared" si="17"/>
        <v/>
      </c>
      <c r="G384" s="47" t="e">
        <f t="shared" si="16"/>
        <v>#DIV/0!</v>
      </c>
      <c r="U384" s="49" t="e">
        <f t="shared" si="18"/>
        <v>#DIV/0!</v>
      </c>
    </row>
    <row r="385" customHeight="1" spans="1:21">
      <c r="A385" s="42" t="str">
        <f t="shared" si="17"/>
        <v/>
      </c>
      <c r="G385" s="47" t="e">
        <f t="shared" si="16"/>
        <v>#DIV/0!</v>
      </c>
      <c r="U385" s="49" t="e">
        <f t="shared" si="18"/>
        <v>#DIV/0!</v>
      </c>
    </row>
    <row r="386" customHeight="1" spans="1:21">
      <c r="A386" s="42" t="str">
        <f t="shared" si="17"/>
        <v/>
      </c>
      <c r="G386" s="47" t="e">
        <f t="shared" si="16"/>
        <v>#DIV/0!</v>
      </c>
      <c r="U386" s="49" t="e">
        <f t="shared" si="18"/>
        <v>#DIV/0!</v>
      </c>
    </row>
    <row r="387" customHeight="1" spans="1:21">
      <c r="A387" s="42" t="str">
        <f t="shared" si="17"/>
        <v/>
      </c>
      <c r="G387" s="47" t="e">
        <f t="shared" ref="G387:G450" si="19">+E387/F387</f>
        <v>#DIV/0!</v>
      </c>
      <c r="U387" s="49" t="e">
        <f t="shared" si="18"/>
        <v>#DIV/0!</v>
      </c>
    </row>
    <row r="388" customHeight="1" spans="1:21">
      <c r="A388" s="42" t="str">
        <f t="shared" ref="A388:A451" si="20">B388&amp;C388&amp;D388</f>
        <v/>
      </c>
      <c r="G388" s="47" t="e">
        <f t="shared" si="19"/>
        <v>#DIV/0!</v>
      </c>
      <c r="U388" s="49" t="e">
        <f t="shared" ref="U388:U451" si="21">SUM(G388:T388)</f>
        <v>#DIV/0!</v>
      </c>
    </row>
    <row r="389" customHeight="1" spans="1:21">
      <c r="A389" s="42" t="str">
        <f t="shared" si="20"/>
        <v/>
      </c>
      <c r="G389" s="47" t="e">
        <f t="shared" si="19"/>
        <v>#DIV/0!</v>
      </c>
      <c r="U389" s="49" t="e">
        <f t="shared" si="21"/>
        <v>#DIV/0!</v>
      </c>
    </row>
    <row r="390" customHeight="1" spans="1:21">
      <c r="A390" s="42" t="str">
        <f t="shared" si="20"/>
        <v/>
      </c>
      <c r="G390" s="47" t="e">
        <f t="shared" si="19"/>
        <v>#DIV/0!</v>
      </c>
      <c r="U390" s="49" t="e">
        <f t="shared" si="21"/>
        <v>#DIV/0!</v>
      </c>
    </row>
    <row r="391" customHeight="1" spans="1:21">
      <c r="A391" s="42" t="str">
        <f t="shared" si="20"/>
        <v/>
      </c>
      <c r="G391" s="47" t="e">
        <f t="shared" si="19"/>
        <v>#DIV/0!</v>
      </c>
      <c r="U391" s="49" t="e">
        <f t="shared" si="21"/>
        <v>#DIV/0!</v>
      </c>
    </row>
    <row r="392" customHeight="1" spans="1:21">
      <c r="A392" s="42" t="str">
        <f t="shared" si="20"/>
        <v/>
      </c>
      <c r="G392" s="47" t="e">
        <f t="shared" si="19"/>
        <v>#DIV/0!</v>
      </c>
      <c r="U392" s="49" t="e">
        <f t="shared" si="21"/>
        <v>#DIV/0!</v>
      </c>
    </row>
    <row r="393" customHeight="1" spans="1:21">
      <c r="A393" s="42" t="str">
        <f t="shared" si="20"/>
        <v/>
      </c>
      <c r="G393" s="47" t="e">
        <f t="shared" si="19"/>
        <v>#DIV/0!</v>
      </c>
      <c r="U393" s="49" t="e">
        <f t="shared" si="21"/>
        <v>#DIV/0!</v>
      </c>
    </row>
    <row r="394" customHeight="1" spans="1:21">
      <c r="A394" s="42" t="str">
        <f t="shared" si="20"/>
        <v/>
      </c>
      <c r="G394" s="47" t="e">
        <f t="shared" si="19"/>
        <v>#DIV/0!</v>
      </c>
      <c r="U394" s="49" t="e">
        <f t="shared" si="21"/>
        <v>#DIV/0!</v>
      </c>
    </row>
    <row r="395" customHeight="1" spans="1:21">
      <c r="A395" s="42" t="str">
        <f t="shared" si="20"/>
        <v/>
      </c>
      <c r="G395" s="47" t="e">
        <f t="shared" si="19"/>
        <v>#DIV/0!</v>
      </c>
      <c r="U395" s="49" t="e">
        <f t="shared" si="21"/>
        <v>#DIV/0!</v>
      </c>
    </row>
    <row r="396" customHeight="1" spans="1:21">
      <c r="A396" s="42" t="str">
        <f t="shared" si="20"/>
        <v/>
      </c>
      <c r="G396" s="47" t="e">
        <f t="shared" si="19"/>
        <v>#DIV/0!</v>
      </c>
      <c r="U396" s="49" t="e">
        <f t="shared" si="21"/>
        <v>#DIV/0!</v>
      </c>
    </row>
    <row r="397" customHeight="1" spans="1:21">
      <c r="A397" s="42" t="str">
        <f t="shared" si="20"/>
        <v/>
      </c>
      <c r="G397" s="47" t="e">
        <f t="shared" si="19"/>
        <v>#DIV/0!</v>
      </c>
      <c r="U397" s="49" t="e">
        <f t="shared" si="21"/>
        <v>#DIV/0!</v>
      </c>
    </row>
    <row r="398" customHeight="1" spans="1:21">
      <c r="A398" s="42" t="str">
        <f t="shared" si="20"/>
        <v/>
      </c>
      <c r="G398" s="47" t="e">
        <f t="shared" si="19"/>
        <v>#DIV/0!</v>
      </c>
      <c r="U398" s="49" t="e">
        <f t="shared" si="21"/>
        <v>#DIV/0!</v>
      </c>
    </row>
    <row r="399" customHeight="1" spans="1:21">
      <c r="A399" s="42" t="str">
        <f t="shared" si="20"/>
        <v/>
      </c>
      <c r="G399" s="47" t="e">
        <f t="shared" si="19"/>
        <v>#DIV/0!</v>
      </c>
      <c r="U399" s="49" t="e">
        <f t="shared" si="21"/>
        <v>#DIV/0!</v>
      </c>
    </row>
    <row r="400" customHeight="1" spans="1:21">
      <c r="A400" s="42" t="str">
        <f t="shared" si="20"/>
        <v/>
      </c>
      <c r="G400" s="47" t="e">
        <f t="shared" si="19"/>
        <v>#DIV/0!</v>
      </c>
      <c r="U400" s="49" t="e">
        <f t="shared" si="21"/>
        <v>#DIV/0!</v>
      </c>
    </row>
    <row r="401" customHeight="1" spans="1:21">
      <c r="A401" s="42" t="str">
        <f t="shared" si="20"/>
        <v/>
      </c>
      <c r="G401" s="47" t="e">
        <f t="shared" si="19"/>
        <v>#DIV/0!</v>
      </c>
      <c r="U401" s="49" t="e">
        <f t="shared" si="21"/>
        <v>#DIV/0!</v>
      </c>
    </row>
    <row r="402" customHeight="1" spans="1:21">
      <c r="A402" s="42" t="str">
        <f t="shared" si="20"/>
        <v/>
      </c>
      <c r="G402" s="47" t="e">
        <f t="shared" si="19"/>
        <v>#DIV/0!</v>
      </c>
      <c r="U402" s="49" t="e">
        <f t="shared" si="21"/>
        <v>#DIV/0!</v>
      </c>
    </row>
    <row r="403" customHeight="1" spans="1:21">
      <c r="A403" s="42" t="str">
        <f t="shared" si="20"/>
        <v/>
      </c>
      <c r="G403" s="47" t="e">
        <f t="shared" si="19"/>
        <v>#DIV/0!</v>
      </c>
      <c r="U403" s="49" t="e">
        <f t="shared" si="21"/>
        <v>#DIV/0!</v>
      </c>
    </row>
    <row r="404" customHeight="1" spans="1:21">
      <c r="A404" s="42" t="str">
        <f t="shared" si="20"/>
        <v/>
      </c>
      <c r="G404" s="47" t="e">
        <f t="shared" si="19"/>
        <v>#DIV/0!</v>
      </c>
      <c r="U404" s="49" t="e">
        <f t="shared" si="21"/>
        <v>#DIV/0!</v>
      </c>
    </row>
    <row r="405" customHeight="1" spans="1:21">
      <c r="A405" s="42" t="str">
        <f t="shared" si="20"/>
        <v/>
      </c>
      <c r="G405" s="47" t="e">
        <f t="shared" si="19"/>
        <v>#DIV/0!</v>
      </c>
      <c r="U405" s="49" t="e">
        <f t="shared" si="21"/>
        <v>#DIV/0!</v>
      </c>
    </row>
    <row r="406" customHeight="1" spans="1:21">
      <c r="A406" s="42" t="str">
        <f t="shared" si="20"/>
        <v/>
      </c>
      <c r="G406" s="47" t="e">
        <f t="shared" si="19"/>
        <v>#DIV/0!</v>
      </c>
      <c r="U406" s="49" t="e">
        <f t="shared" si="21"/>
        <v>#DIV/0!</v>
      </c>
    </row>
    <row r="407" customHeight="1" spans="1:21">
      <c r="A407" s="42" t="str">
        <f t="shared" si="20"/>
        <v/>
      </c>
      <c r="G407" s="47" t="e">
        <f t="shared" si="19"/>
        <v>#DIV/0!</v>
      </c>
      <c r="U407" s="49" t="e">
        <f t="shared" si="21"/>
        <v>#DIV/0!</v>
      </c>
    </row>
    <row r="408" customHeight="1" spans="1:21">
      <c r="A408" s="42" t="str">
        <f t="shared" si="20"/>
        <v/>
      </c>
      <c r="G408" s="47" t="e">
        <f t="shared" si="19"/>
        <v>#DIV/0!</v>
      </c>
      <c r="U408" s="49" t="e">
        <f t="shared" si="21"/>
        <v>#DIV/0!</v>
      </c>
    </row>
    <row r="409" customHeight="1" spans="1:21">
      <c r="A409" s="42" t="str">
        <f t="shared" si="20"/>
        <v/>
      </c>
      <c r="G409" s="47" t="e">
        <f t="shared" si="19"/>
        <v>#DIV/0!</v>
      </c>
      <c r="U409" s="49" t="e">
        <f t="shared" si="21"/>
        <v>#DIV/0!</v>
      </c>
    </row>
    <row r="410" customHeight="1" spans="1:21">
      <c r="A410" s="42" t="str">
        <f t="shared" si="20"/>
        <v/>
      </c>
      <c r="G410" s="47" t="e">
        <f t="shared" si="19"/>
        <v>#DIV/0!</v>
      </c>
      <c r="U410" s="49" t="e">
        <f t="shared" si="21"/>
        <v>#DIV/0!</v>
      </c>
    </row>
    <row r="411" customHeight="1" spans="1:21">
      <c r="A411" s="42" t="str">
        <f t="shared" si="20"/>
        <v/>
      </c>
      <c r="G411" s="47" t="e">
        <f t="shared" si="19"/>
        <v>#DIV/0!</v>
      </c>
      <c r="U411" s="49" t="e">
        <f t="shared" si="21"/>
        <v>#DIV/0!</v>
      </c>
    </row>
    <row r="412" customHeight="1" spans="1:21">
      <c r="A412" s="42" t="str">
        <f t="shared" si="20"/>
        <v/>
      </c>
      <c r="G412" s="47" t="e">
        <f t="shared" si="19"/>
        <v>#DIV/0!</v>
      </c>
      <c r="U412" s="49" t="e">
        <f t="shared" si="21"/>
        <v>#DIV/0!</v>
      </c>
    </row>
    <row r="413" customHeight="1" spans="1:21">
      <c r="A413" s="42" t="str">
        <f t="shared" si="20"/>
        <v/>
      </c>
      <c r="G413" s="47" t="e">
        <f t="shared" si="19"/>
        <v>#DIV/0!</v>
      </c>
      <c r="U413" s="49" t="e">
        <f t="shared" si="21"/>
        <v>#DIV/0!</v>
      </c>
    </row>
    <row r="414" customHeight="1" spans="1:21">
      <c r="A414" s="42" t="str">
        <f t="shared" si="20"/>
        <v/>
      </c>
      <c r="G414" s="47" t="e">
        <f t="shared" si="19"/>
        <v>#DIV/0!</v>
      </c>
      <c r="U414" s="49" t="e">
        <f t="shared" si="21"/>
        <v>#DIV/0!</v>
      </c>
    </row>
    <row r="415" customHeight="1" spans="1:21">
      <c r="A415" s="42" t="str">
        <f t="shared" si="20"/>
        <v/>
      </c>
      <c r="G415" s="47" t="e">
        <f t="shared" si="19"/>
        <v>#DIV/0!</v>
      </c>
      <c r="U415" s="49" t="e">
        <f t="shared" si="21"/>
        <v>#DIV/0!</v>
      </c>
    </row>
    <row r="416" customHeight="1" spans="1:21">
      <c r="A416" s="42" t="str">
        <f t="shared" si="20"/>
        <v/>
      </c>
      <c r="G416" s="47" t="e">
        <f t="shared" si="19"/>
        <v>#DIV/0!</v>
      </c>
      <c r="U416" s="49" t="e">
        <f t="shared" si="21"/>
        <v>#DIV/0!</v>
      </c>
    </row>
    <row r="417" customHeight="1" spans="1:21">
      <c r="A417" s="42" t="str">
        <f t="shared" si="20"/>
        <v/>
      </c>
      <c r="G417" s="47" t="e">
        <f t="shared" si="19"/>
        <v>#DIV/0!</v>
      </c>
      <c r="U417" s="49" t="e">
        <f t="shared" si="21"/>
        <v>#DIV/0!</v>
      </c>
    </row>
    <row r="418" customHeight="1" spans="1:21">
      <c r="A418" s="42" t="str">
        <f t="shared" si="20"/>
        <v/>
      </c>
      <c r="G418" s="47" t="e">
        <f t="shared" si="19"/>
        <v>#DIV/0!</v>
      </c>
      <c r="U418" s="49" t="e">
        <f t="shared" si="21"/>
        <v>#DIV/0!</v>
      </c>
    </row>
    <row r="419" customHeight="1" spans="1:21">
      <c r="A419" s="42" t="str">
        <f t="shared" si="20"/>
        <v/>
      </c>
      <c r="G419" s="47" t="e">
        <f t="shared" si="19"/>
        <v>#DIV/0!</v>
      </c>
      <c r="U419" s="49" t="e">
        <f t="shared" si="21"/>
        <v>#DIV/0!</v>
      </c>
    </row>
    <row r="420" customHeight="1" spans="1:21">
      <c r="A420" s="42" t="str">
        <f t="shared" si="20"/>
        <v/>
      </c>
      <c r="G420" s="47" t="e">
        <f t="shared" si="19"/>
        <v>#DIV/0!</v>
      </c>
      <c r="U420" s="49" t="e">
        <f t="shared" si="21"/>
        <v>#DIV/0!</v>
      </c>
    </row>
    <row r="421" customHeight="1" spans="1:21">
      <c r="A421" s="42" t="str">
        <f t="shared" si="20"/>
        <v/>
      </c>
      <c r="G421" s="47" t="e">
        <f t="shared" si="19"/>
        <v>#DIV/0!</v>
      </c>
      <c r="U421" s="49" t="e">
        <f t="shared" si="21"/>
        <v>#DIV/0!</v>
      </c>
    </row>
    <row r="422" customHeight="1" spans="1:21">
      <c r="A422" s="42" t="str">
        <f t="shared" si="20"/>
        <v/>
      </c>
      <c r="G422" s="47" t="e">
        <f t="shared" si="19"/>
        <v>#DIV/0!</v>
      </c>
      <c r="U422" s="49" t="e">
        <f t="shared" si="21"/>
        <v>#DIV/0!</v>
      </c>
    </row>
    <row r="423" customHeight="1" spans="1:21">
      <c r="A423" s="42" t="str">
        <f t="shared" si="20"/>
        <v/>
      </c>
      <c r="G423" s="47" t="e">
        <f t="shared" si="19"/>
        <v>#DIV/0!</v>
      </c>
      <c r="U423" s="49" t="e">
        <f t="shared" si="21"/>
        <v>#DIV/0!</v>
      </c>
    </row>
    <row r="424" customHeight="1" spans="1:21">
      <c r="A424" s="42" t="str">
        <f t="shared" si="20"/>
        <v/>
      </c>
      <c r="G424" s="47" t="e">
        <f t="shared" si="19"/>
        <v>#DIV/0!</v>
      </c>
      <c r="U424" s="49" t="e">
        <f t="shared" si="21"/>
        <v>#DIV/0!</v>
      </c>
    </row>
    <row r="425" customHeight="1" spans="1:21">
      <c r="A425" s="42" t="str">
        <f t="shared" si="20"/>
        <v/>
      </c>
      <c r="G425" s="47" t="e">
        <f t="shared" si="19"/>
        <v>#DIV/0!</v>
      </c>
      <c r="U425" s="49" t="e">
        <f t="shared" si="21"/>
        <v>#DIV/0!</v>
      </c>
    </row>
    <row r="426" customHeight="1" spans="1:21">
      <c r="A426" s="42" t="str">
        <f t="shared" si="20"/>
        <v/>
      </c>
      <c r="G426" s="47" t="e">
        <f t="shared" si="19"/>
        <v>#DIV/0!</v>
      </c>
      <c r="U426" s="49" t="e">
        <f t="shared" si="21"/>
        <v>#DIV/0!</v>
      </c>
    </row>
    <row r="427" customHeight="1" spans="1:21">
      <c r="A427" s="42" t="str">
        <f t="shared" si="20"/>
        <v/>
      </c>
      <c r="G427" s="47" t="e">
        <f t="shared" si="19"/>
        <v>#DIV/0!</v>
      </c>
      <c r="U427" s="49" t="e">
        <f t="shared" si="21"/>
        <v>#DIV/0!</v>
      </c>
    </row>
    <row r="428" customHeight="1" spans="1:21">
      <c r="A428" s="42" t="str">
        <f t="shared" si="20"/>
        <v/>
      </c>
      <c r="G428" s="47" t="e">
        <f t="shared" si="19"/>
        <v>#DIV/0!</v>
      </c>
      <c r="U428" s="49" t="e">
        <f t="shared" si="21"/>
        <v>#DIV/0!</v>
      </c>
    </row>
    <row r="429" customHeight="1" spans="1:21">
      <c r="A429" s="42" t="str">
        <f t="shared" si="20"/>
        <v/>
      </c>
      <c r="G429" s="47" t="e">
        <f t="shared" si="19"/>
        <v>#DIV/0!</v>
      </c>
      <c r="U429" s="49" t="e">
        <f t="shared" si="21"/>
        <v>#DIV/0!</v>
      </c>
    </row>
    <row r="430" customHeight="1" spans="1:21">
      <c r="A430" s="42" t="str">
        <f t="shared" si="20"/>
        <v/>
      </c>
      <c r="G430" s="47" t="e">
        <f t="shared" si="19"/>
        <v>#DIV/0!</v>
      </c>
      <c r="U430" s="49" t="e">
        <f t="shared" si="21"/>
        <v>#DIV/0!</v>
      </c>
    </row>
    <row r="431" customHeight="1" spans="1:21">
      <c r="A431" s="42" t="str">
        <f t="shared" si="20"/>
        <v/>
      </c>
      <c r="G431" s="47" t="e">
        <f t="shared" si="19"/>
        <v>#DIV/0!</v>
      </c>
      <c r="U431" s="49" t="e">
        <f t="shared" si="21"/>
        <v>#DIV/0!</v>
      </c>
    </row>
    <row r="432" customHeight="1" spans="1:21">
      <c r="A432" s="42" t="str">
        <f t="shared" si="20"/>
        <v/>
      </c>
      <c r="G432" s="47" t="e">
        <f t="shared" si="19"/>
        <v>#DIV/0!</v>
      </c>
      <c r="U432" s="49" t="e">
        <f t="shared" si="21"/>
        <v>#DIV/0!</v>
      </c>
    </row>
    <row r="433" customHeight="1" spans="1:21">
      <c r="A433" s="42" t="str">
        <f t="shared" si="20"/>
        <v/>
      </c>
      <c r="G433" s="47" t="e">
        <f t="shared" si="19"/>
        <v>#DIV/0!</v>
      </c>
      <c r="U433" s="49" t="e">
        <f t="shared" si="21"/>
        <v>#DIV/0!</v>
      </c>
    </row>
    <row r="434" customHeight="1" spans="1:21">
      <c r="A434" s="42" t="str">
        <f t="shared" si="20"/>
        <v/>
      </c>
      <c r="G434" s="47" t="e">
        <f t="shared" si="19"/>
        <v>#DIV/0!</v>
      </c>
      <c r="U434" s="49" t="e">
        <f t="shared" si="21"/>
        <v>#DIV/0!</v>
      </c>
    </row>
    <row r="435" customHeight="1" spans="1:21">
      <c r="A435" s="42" t="str">
        <f t="shared" si="20"/>
        <v/>
      </c>
      <c r="G435" s="47" t="e">
        <f t="shared" si="19"/>
        <v>#DIV/0!</v>
      </c>
      <c r="U435" s="49" t="e">
        <f t="shared" si="21"/>
        <v>#DIV/0!</v>
      </c>
    </row>
    <row r="436" customHeight="1" spans="1:21">
      <c r="A436" s="42" t="str">
        <f t="shared" si="20"/>
        <v/>
      </c>
      <c r="G436" s="47" t="e">
        <f t="shared" si="19"/>
        <v>#DIV/0!</v>
      </c>
      <c r="U436" s="49" t="e">
        <f t="shared" si="21"/>
        <v>#DIV/0!</v>
      </c>
    </row>
    <row r="437" customHeight="1" spans="1:21">
      <c r="A437" s="42" t="str">
        <f t="shared" si="20"/>
        <v/>
      </c>
      <c r="G437" s="47" t="e">
        <f t="shared" si="19"/>
        <v>#DIV/0!</v>
      </c>
      <c r="U437" s="49" t="e">
        <f t="shared" si="21"/>
        <v>#DIV/0!</v>
      </c>
    </row>
    <row r="438" customHeight="1" spans="1:21">
      <c r="A438" s="42" t="str">
        <f t="shared" si="20"/>
        <v/>
      </c>
      <c r="G438" s="47" t="e">
        <f t="shared" si="19"/>
        <v>#DIV/0!</v>
      </c>
      <c r="U438" s="49" t="e">
        <f t="shared" si="21"/>
        <v>#DIV/0!</v>
      </c>
    </row>
    <row r="439" customHeight="1" spans="1:21">
      <c r="A439" s="42" t="str">
        <f t="shared" si="20"/>
        <v/>
      </c>
      <c r="G439" s="47" t="e">
        <f t="shared" si="19"/>
        <v>#DIV/0!</v>
      </c>
      <c r="U439" s="49" t="e">
        <f t="shared" si="21"/>
        <v>#DIV/0!</v>
      </c>
    </row>
    <row r="440" customHeight="1" spans="1:21">
      <c r="A440" s="42" t="str">
        <f t="shared" si="20"/>
        <v/>
      </c>
      <c r="G440" s="47" t="e">
        <f t="shared" si="19"/>
        <v>#DIV/0!</v>
      </c>
      <c r="U440" s="49" t="e">
        <f t="shared" si="21"/>
        <v>#DIV/0!</v>
      </c>
    </row>
    <row r="441" customHeight="1" spans="1:21">
      <c r="A441" s="42" t="str">
        <f t="shared" si="20"/>
        <v/>
      </c>
      <c r="G441" s="47" t="e">
        <f t="shared" si="19"/>
        <v>#DIV/0!</v>
      </c>
      <c r="U441" s="49" t="e">
        <f t="shared" si="21"/>
        <v>#DIV/0!</v>
      </c>
    </row>
    <row r="442" customHeight="1" spans="1:21">
      <c r="A442" s="42" t="str">
        <f t="shared" si="20"/>
        <v/>
      </c>
      <c r="G442" s="47" t="e">
        <f t="shared" si="19"/>
        <v>#DIV/0!</v>
      </c>
      <c r="U442" s="49" t="e">
        <f t="shared" si="21"/>
        <v>#DIV/0!</v>
      </c>
    </row>
    <row r="443" customHeight="1" spans="1:21">
      <c r="A443" s="42" t="str">
        <f t="shared" si="20"/>
        <v/>
      </c>
      <c r="G443" s="47" t="e">
        <f t="shared" si="19"/>
        <v>#DIV/0!</v>
      </c>
      <c r="U443" s="49" t="e">
        <f t="shared" si="21"/>
        <v>#DIV/0!</v>
      </c>
    </row>
    <row r="444" customHeight="1" spans="1:21">
      <c r="A444" s="42" t="str">
        <f t="shared" si="20"/>
        <v/>
      </c>
      <c r="G444" s="47" t="e">
        <f t="shared" si="19"/>
        <v>#DIV/0!</v>
      </c>
      <c r="U444" s="49" t="e">
        <f t="shared" si="21"/>
        <v>#DIV/0!</v>
      </c>
    </row>
    <row r="445" customHeight="1" spans="1:21">
      <c r="A445" s="42" t="str">
        <f t="shared" si="20"/>
        <v/>
      </c>
      <c r="G445" s="47" t="e">
        <f t="shared" si="19"/>
        <v>#DIV/0!</v>
      </c>
      <c r="U445" s="49" t="e">
        <f t="shared" si="21"/>
        <v>#DIV/0!</v>
      </c>
    </row>
    <row r="446" customHeight="1" spans="1:21">
      <c r="A446" s="42" t="str">
        <f t="shared" si="20"/>
        <v/>
      </c>
      <c r="G446" s="47" t="e">
        <f t="shared" si="19"/>
        <v>#DIV/0!</v>
      </c>
      <c r="U446" s="49" t="e">
        <f t="shared" si="21"/>
        <v>#DIV/0!</v>
      </c>
    </row>
    <row r="447" customHeight="1" spans="1:21">
      <c r="A447" s="42" t="str">
        <f t="shared" si="20"/>
        <v/>
      </c>
      <c r="G447" s="47" t="e">
        <f t="shared" si="19"/>
        <v>#DIV/0!</v>
      </c>
      <c r="U447" s="49" t="e">
        <f t="shared" si="21"/>
        <v>#DIV/0!</v>
      </c>
    </row>
    <row r="448" customHeight="1" spans="1:21">
      <c r="A448" s="42" t="str">
        <f t="shared" si="20"/>
        <v/>
      </c>
      <c r="G448" s="47" t="e">
        <f t="shared" si="19"/>
        <v>#DIV/0!</v>
      </c>
      <c r="U448" s="49" t="e">
        <f t="shared" si="21"/>
        <v>#DIV/0!</v>
      </c>
    </row>
    <row r="449" customHeight="1" spans="1:21">
      <c r="A449" s="42" t="str">
        <f t="shared" si="20"/>
        <v/>
      </c>
      <c r="G449" s="47" t="e">
        <f t="shared" si="19"/>
        <v>#DIV/0!</v>
      </c>
      <c r="U449" s="49" t="e">
        <f t="shared" si="21"/>
        <v>#DIV/0!</v>
      </c>
    </row>
    <row r="450" customHeight="1" spans="1:21">
      <c r="A450" s="42" t="str">
        <f t="shared" si="20"/>
        <v/>
      </c>
      <c r="G450" s="47" t="e">
        <f t="shared" si="19"/>
        <v>#DIV/0!</v>
      </c>
      <c r="U450" s="49" t="e">
        <f t="shared" si="21"/>
        <v>#DIV/0!</v>
      </c>
    </row>
    <row r="451" customHeight="1" spans="1:21">
      <c r="A451" s="42" t="str">
        <f t="shared" si="20"/>
        <v/>
      </c>
      <c r="G451" s="47" t="e">
        <f t="shared" ref="G451:G514" si="22">+E451/F451</f>
        <v>#DIV/0!</v>
      </c>
      <c r="U451" s="49" t="e">
        <f t="shared" si="21"/>
        <v>#DIV/0!</v>
      </c>
    </row>
    <row r="452" customHeight="1" spans="1:21">
      <c r="A452" s="42" t="str">
        <f t="shared" ref="A452:A515" si="23">B452&amp;C452&amp;D452</f>
        <v/>
      </c>
      <c r="G452" s="47" t="e">
        <f t="shared" si="22"/>
        <v>#DIV/0!</v>
      </c>
      <c r="U452" s="49" t="e">
        <f t="shared" ref="U452:U515" si="24">SUM(G452:T452)</f>
        <v>#DIV/0!</v>
      </c>
    </row>
    <row r="453" customHeight="1" spans="1:21">
      <c r="A453" s="42" t="str">
        <f t="shared" si="23"/>
        <v/>
      </c>
      <c r="G453" s="47" t="e">
        <f t="shared" si="22"/>
        <v>#DIV/0!</v>
      </c>
      <c r="U453" s="49" t="e">
        <f t="shared" si="24"/>
        <v>#DIV/0!</v>
      </c>
    </row>
    <row r="454" customHeight="1" spans="1:21">
      <c r="A454" s="42" t="str">
        <f t="shared" si="23"/>
        <v/>
      </c>
      <c r="G454" s="47" t="e">
        <f t="shared" si="22"/>
        <v>#DIV/0!</v>
      </c>
      <c r="U454" s="49" t="e">
        <f t="shared" si="24"/>
        <v>#DIV/0!</v>
      </c>
    </row>
    <row r="455" customHeight="1" spans="1:21">
      <c r="A455" s="42" t="str">
        <f t="shared" si="23"/>
        <v/>
      </c>
      <c r="G455" s="47" t="e">
        <f t="shared" si="22"/>
        <v>#DIV/0!</v>
      </c>
      <c r="U455" s="49" t="e">
        <f t="shared" si="24"/>
        <v>#DIV/0!</v>
      </c>
    </row>
    <row r="456" customHeight="1" spans="1:21">
      <c r="A456" s="42" t="str">
        <f t="shared" si="23"/>
        <v/>
      </c>
      <c r="G456" s="47" t="e">
        <f t="shared" si="22"/>
        <v>#DIV/0!</v>
      </c>
      <c r="U456" s="49" t="e">
        <f t="shared" si="24"/>
        <v>#DIV/0!</v>
      </c>
    </row>
    <row r="457" customHeight="1" spans="1:21">
      <c r="A457" s="42" t="str">
        <f t="shared" si="23"/>
        <v/>
      </c>
      <c r="G457" s="47" t="e">
        <f t="shared" si="22"/>
        <v>#DIV/0!</v>
      </c>
      <c r="U457" s="49" t="e">
        <f t="shared" si="24"/>
        <v>#DIV/0!</v>
      </c>
    </row>
    <row r="458" customHeight="1" spans="1:21">
      <c r="A458" s="42" t="str">
        <f t="shared" si="23"/>
        <v/>
      </c>
      <c r="G458" s="47" t="e">
        <f t="shared" si="22"/>
        <v>#DIV/0!</v>
      </c>
      <c r="U458" s="49" t="e">
        <f t="shared" si="24"/>
        <v>#DIV/0!</v>
      </c>
    </row>
    <row r="459" customHeight="1" spans="1:21">
      <c r="A459" s="42" t="str">
        <f t="shared" si="23"/>
        <v/>
      </c>
      <c r="G459" s="47" t="e">
        <f t="shared" si="22"/>
        <v>#DIV/0!</v>
      </c>
      <c r="U459" s="49" t="e">
        <f t="shared" si="24"/>
        <v>#DIV/0!</v>
      </c>
    </row>
    <row r="460" customHeight="1" spans="1:21">
      <c r="A460" s="42" t="str">
        <f t="shared" si="23"/>
        <v/>
      </c>
      <c r="G460" s="47" t="e">
        <f t="shared" si="22"/>
        <v>#DIV/0!</v>
      </c>
      <c r="U460" s="49" t="e">
        <f t="shared" si="24"/>
        <v>#DIV/0!</v>
      </c>
    </row>
    <row r="461" customHeight="1" spans="1:21">
      <c r="A461" s="42" t="str">
        <f t="shared" si="23"/>
        <v/>
      </c>
      <c r="G461" s="47" t="e">
        <f t="shared" si="22"/>
        <v>#DIV/0!</v>
      </c>
      <c r="U461" s="49" t="e">
        <f t="shared" si="24"/>
        <v>#DIV/0!</v>
      </c>
    </row>
    <row r="462" customHeight="1" spans="1:21">
      <c r="A462" s="42" t="str">
        <f t="shared" si="23"/>
        <v/>
      </c>
      <c r="G462" s="47" t="e">
        <f t="shared" si="22"/>
        <v>#DIV/0!</v>
      </c>
      <c r="U462" s="49" t="e">
        <f t="shared" si="24"/>
        <v>#DIV/0!</v>
      </c>
    </row>
    <row r="463" customHeight="1" spans="1:21">
      <c r="A463" s="42" t="str">
        <f t="shared" si="23"/>
        <v/>
      </c>
      <c r="G463" s="47" t="e">
        <f t="shared" si="22"/>
        <v>#DIV/0!</v>
      </c>
      <c r="U463" s="49" t="e">
        <f t="shared" si="24"/>
        <v>#DIV/0!</v>
      </c>
    </row>
    <row r="464" customHeight="1" spans="1:21">
      <c r="A464" s="42" t="str">
        <f t="shared" si="23"/>
        <v/>
      </c>
      <c r="G464" s="47" t="e">
        <f t="shared" si="22"/>
        <v>#DIV/0!</v>
      </c>
      <c r="U464" s="49" t="e">
        <f t="shared" si="24"/>
        <v>#DIV/0!</v>
      </c>
    </row>
    <row r="465" customHeight="1" spans="1:21">
      <c r="A465" s="42" t="str">
        <f t="shared" si="23"/>
        <v/>
      </c>
      <c r="G465" s="47" t="e">
        <f t="shared" si="22"/>
        <v>#DIV/0!</v>
      </c>
      <c r="U465" s="49" t="e">
        <f t="shared" si="24"/>
        <v>#DIV/0!</v>
      </c>
    </row>
    <row r="466" customHeight="1" spans="1:21">
      <c r="A466" s="42" t="str">
        <f t="shared" si="23"/>
        <v/>
      </c>
      <c r="G466" s="47" t="e">
        <f t="shared" si="22"/>
        <v>#DIV/0!</v>
      </c>
      <c r="U466" s="49" t="e">
        <f t="shared" si="24"/>
        <v>#DIV/0!</v>
      </c>
    </row>
    <row r="467" customHeight="1" spans="1:21">
      <c r="A467" s="42" t="str">
        <f t="shared" si="23"/>
        <v/>
      </c>
      <c r="G467" s="47" t="e">
        <f t="shared" si="22"/>
        <v>#DIV/0!</v>
      </c>
      <c r="U467" s="49" t="e">
        <f t="shared" si="24"/>
        <v>#DIV/0!</v>
      </c>
    </row>
    <row r="468" customHeight="1" spans="1:21">
      <c r="A468" s="42" t="str">
        <f t="shared" si="23"/>
        <v/>
      </c>
      <c r="G468" s="47" t="e">
        <f t="shared" si="22"/>
        <v>#DIV/0!</v>
      </c>
      <c r="U468" s="49" t="e">
        <f t="shared" si="24"/>
        <v>#DIV/0!</v>
      </c>
    </row>
    <row r="469" customHeight="1" spans="1:21">
      <c r="A469" s="42" t="str">
        <f t="shared" si="23"/>
        <v/>
      </c>
      <c r="G469" s="47" t="e">
        <f t="shared" si="22"/>
        <v>#DIV/0!</v>
      </c>
      <c r="U469" s="49" t="e">
        <f t="shared" si="24"/>
        <v>#DIV/0!</v>
      </c>
    </row>
    <row r="470" customHeight="1" spans="1:21">
      <c r="A470" s="42" t="str">
        <f t="shared" si="23"/>
        <v/>
      </c>
      <c r="G470" s="47" t="e">
        <f t="shared" si="22"/>
        <v>#DIV/0!</v>
      </c>
      <c r="U470" s="49" t="e">
        <f t="shared" si="24"/>
        <v>#DIV/0!</v>
      </c>
    </row>
    <row r="471" customHeight="1" spans="1:21">
      <c r="A471" s="42" t="str">
        <f t="shared" si="23"/>
        <v/>
      </c>
      <c r="G471" s="47" t="e">
        <f t="shared" si="22"/>
        <v>#DIV/0!</v>
      </c>
      <c r="U471" s="49" t="e">
        <f t="shared" si="24"/>
        <v>#DIV/0!</v>
      </c>
    </row>
    <row r="472" customHeight="1" spans="1:21">
      <c r="A472" s="42" t="str">
        <f t="shared" si="23"/>
        <v/>
      </c>
      <c r="G472" s="47" t="e">
        <f t="shared" si="22"/>
        <v>#DIV/0!</v>
      </c>
      <c r="U472" s="49" t="e">
        <f t="shared" si="24"/>
        <v>#DIV/0!</v>
      </c>
    </row>
    <row r="473" customHeight="1" spans="1:21">
      <c r="A473" s="42" t="str">
        <f t="shared" si="23"/>
        <v/>
      </c>
      <c r="G473" s="47" t="e">
        <f t="shared" si="22"/>
        <v>#DIV/0!</v>
      </c>
      <c r="U473" s="49" t="e">
        <f t="shared" si="24"/>
        <v>#DIV/0!</v>
      </c>
    </row>
    <row r="474" customHeight="1" spans="1:21">
      <c r="A474" s="42" t="str">
        <f t="shared" si="23"/>
        <v/>
      </c>
      <c r="G474" s="47" t="e">
        <f t="shared" si="22"/>
        <v>#DIV/0!</v>
      </c>
      <c r="U474" s="49" t="e">
        <f t="shared" si="24"/>
        <v>#DIV/0!</v>
      </c>
    </row>
    <row r="475" customHeight="1" spans="1:21">
      <c r="A475" s="42" t="str">
        <f t="shared" si="23"/>
        <v/>
      </c>
      <c r="G475" s="47" t="e">
        <f t="shared" si="22"/>
        <v>#DIV/0!</v>
      </c>
      <c r="U475" s="49" t="e">
        <f t="shared" si="24"/>
        <v>#DIV/0!</v>
      </c>
    </row>
    <row r="476" customHeight="1" spans="1:21">
      <c r="A476" s="42" t="str">
        <f t="shared" si="23"/>
        <v/>
      </c>
      <c r="G476" s="47" t="e">
        <f t="shared" si="22"/>
        <v>#DIV/0!</v>
      </c>
      <c r="U476" s="49" t="e">
        <f t="shared" si="24"/>
        <v>#DIV/0!</v>
      </c>
    </row>
    <row r="477" customHeight="1" spans="1:21">
      <c r="A477" s="42" t="str">
        <f t="shared" si="23"/>
        <v/>
      </c>
      <c r="G477" s="47" t="e">
        <f t="shared" si="22"/>
        <v>#DIV/0!</v>
      </c>
      <c r="U477" s="49" t="e">
        <f t="shared" si="24"/>
        <v>#DIV/0!</v>
      </c>
    </row>
    <row r="478" customHeight="1" spans="1:21">
      <c r="A478" s="42" t="str">
        <f t="shared" si="23"/>
        <v/>
      </c>
      <c r="G478" s="47" t="e">
        <f t="shared" si="22"/>
        <v>#DIV/0!</v>
      </c>
      <c r="U478" s="49" t="e">
        <f t="shared" si="24"/>
        <v>#DIV/0!</v>
      </c>
    </row>
    <row r="479" customHeight="1" spans="1:21">
      <c r="A479" s="42" t="str">
        <f t="shared" si="23"/>
        <v/>
      </c>
      <c r="G479" s="47" t="e">
        <f t="shared" si="22"/>
        <v>#DIV/0!</v>
      </c>
      <c r="U479" s="49" t="e">
        <f t="shared" si="24"/>
        <v>#DIV/0!</v>
      </c>
    </row>
    <row r="480" customHeight="1" spans="1:21">
      <c r="A480" s="42" t="str">
        <f t="shared" si="23"/>
        <v/>
      </c>
      <c r="G480" s="47" t="e">
        <f t="shared" si="22"/>
        <v>#DIV/0!</v>
      </c>
      <c r="U480" s="49" t="e">
        <f t="shared" si="24"/>
        <v>#DIV/0!</v>
      </c>
    </row>
    <row r="481" customHeight="1" spans="1:21">
      <c r="A481" s="42" t="str">
        <f t="shared" si="23"/>
        <v/>
      </c>
      <c r="G481" s="47" t="e">
        <f t="shared" si="22"/>
        <v>#DIV/0!</v>
      </c>
      <c r="U481" s="49" t="e">
        <f t="shared" si="24"/>
        <v>#DIV/0!</v>
      </c>
    </row>
    <row r="482" customHeight="1" spans="1:21">
      <c r="A482" s="42" t="str">
        <f t="shared" si="23"/>
        <v/>
      </c>
      <c r="G482" s="47" t="e">
        <f t="shared" si="22"/>
        <v>#DIV/0!</v>
      </c>
      <c r="U482" s="49" t="e">
        <f t="shared" si="24"/>
        <v>#DIV/0!</v>
      </c>
    </row>
    <row r="483" customHeight="1" spans="1:21">
      <c r="A483" s="42" t="str">
        <f t="shared" si="23"/>
        <v/>
      </c>
      <c r="G483" s="47" t="e">
        <f t="shared" si="22"/>
        <v>#DIV/0!</v>
      </c>
      <c r="U483" s="49" t="e">
        <f t="shared" si="24"/>
        <v>#DIV/0!</v>
      </c>
    </row>
    <row r="484" customHeight="1" spans="1:21">
      <c r="A484" s="42" t="str">
        <f t="shared" si="23"/>
        <v/>
      </c>
      <c r="G484" s="47" t="e">
        <f t="shared" si="22"/>
        <v>#DIV/0!</v>
      </c>
      <c r="U484" s="49" t="e">
        <f t="shared" si="24"/>
        <v>#DIV/0!</v>
      </c>
    </row>
    <row r="485" customHeight="1" spans="1:21">
      <c r="A485" s="42" t="str">
        <f t="shared" si="23"/>
        <v/>
      </c>
      <c r="G485" s="47" t="e">
        <f t="shared" si="22"/>
        <v>#DIV/0!</v>
      </c>
      <c r="U485" s="49" t="e">
        <f t="shared" si="24"/>
        <v>#DIV/0!</v>
      </c>
    </row>
    <row r="486" customHeight="1" spans="1:21">
      <c r="A486" s="42" t="str">
        <f t="shared" si="23"/>
        <v/>
      </c>
      <c r="G486" s="47" t="e">
        <f t="shared" si="22"/>
        <v>#DIV/0!</v>
      </c>
      <c r="U486" s="49" t="e">
        <f t="shared" si="24"/>
        <v>#DIV/0!</v>
      </c>
    </row>
    <row r="487" customHeight="1" spans="1:21">
      <c r="A487" s="42" t="str">
        <f t="shared" si="23"/>
        <v/>
      </c>
      <c r="G487" s="47" t="e">
        <f t="shared" si="22"/>
        <v>#DIV/0!</v>
      </c>
      <c r="U487" s="49" t="e">
        <f t="shared" si="24"/>
        <v>#DIV/0!</v>
      </c>
    </row>
    <row r="488" customHeight="1" spans="1:21">
      <c r="A488" s="42" t="str">
        <f t="shared" si="23"/>
        <v/>
      </c>
      <c r="G488" s="47" t="e">
        <f t="shared" si="22"/>
        <v>#DIV/0!</v>
      </c>
      <c r="U488" s="49" t="e">
        <f t="shared" si="24"/>
        <v>#DIV/0!</v>
      </c>
    </row>
    <row r="489" customHeight="1" spans="1:21">
      <c r="A489" s="42" t="str">
        <f t="shared" si="23"/>
        <v/>
      </c>
      <c r="G489" s="47" t="e">
        <f t="shared" si="22"/>
        <v>#DIV/0!</v>
      </c>
      <c r="U489" s="49" t="e">
        <f t="shared" si="24"/>
        <v>#DIV/0!</v>
      </c>
    </row>
    <row r="490" customHeight="1" spans="1:21">
      <c r="A490" s="42" t="str">
        <f t="shared" si="23"/>
        <v/>
      </c>
      <c r="G490" s="47" t="e">
        <f t="shared" si="22"/>
        <v>#DIV/0!</v>
      </c>
      <c r="U490" s="49" t="e">
        <f t="shared" si="24"/>
        <v>#DIV/0!</v>
      </c>
    </row>
    <row r="491" customHeight="1" spans="1:21">
      <c r="A491" s="42" t="str">
        <f t="shared" si="23"/>
        <v/>
      </c>
      <c r="G491" s="47" t="e">
        <f t="shared" si="22"/>
        <v>#DIV/0!</v>
      </c>
      <c r="U491" s="49" t="e">
        <f t="shared" si="24"/>
        <v>#DIV/0!</v>
      </c>
    </row>
    <row r="492" customHeight="1" spans="1:21">
      <c r="A492" s="42" t="str">
        <f t="shared" si="23"/>
        <v/>
      </c>
      <c r="G492" s="47" t="e">
        <f t="shared" si="22"/>
        <v>#DIV/0!</v>
      </c>
      <c r="U492" s="49" t="e">
        <f t="shared" si="24"/>
        <v>#DIV/0!</v>
      </c>
    </row>
    <row r="493" customHeight="1" spans="1:21">
      <c r="A493" s="42" t="str">
        <f t="shared" si="23"/>
        <v/>
      </c>
      <c r="G493" s="47" t="e">
        <f t="shared" si="22"/>
        <v>#DIV/0!</v>
      </c>
      <c r="U493" s="49" t="e">
        <f t="shared" si="24"/>
        <v>#DIV/0!</v>
      </c>
    </row>
    <row r="494" customHeight="1" spans="1:21">
      <c r="A494" s="42" t="str">
        <f t="shared" si="23"/>
        <v/>
      </c>
      <c r="G494" s="47" t="e">
        <f t="shared" si="22"/>
        <v>#DIV/0!</v>
      </c>
      <c r="U494" s="49" t="e">
        <f t="shared" si="24"/>
        <v>#DIV/0!</v>
      </c>
    </row>
    <row r="495" customHeight="1" spans="1:21">
      <c r="A495" s="42" t="str">
        <f t="shared" si="23"/>
        <v/>
      </c>
      <c r="G495" s="47" t="e">
        <f t="shared" si="22"/>
        <v>#DIV/0!</v>
      </c>
      <c r="U495" s="49" t="e">
        <f t="shared" si="24"/>
        <v>#DIV/0!</v>
      </c>
    </row>
    <row r="496" customHeight="1" spans="1:21">
      <c r="A496" s="42" t="str">
        <f t="shared" si="23"/>
        <v/>
      </c>
      <c r="G496" s="47" t="e">
        <f t="shared" si="22"/>
        <v>#DIV/0!</v>
      </c>
      <c r="U496" s="49" t="e">
        <f t="shared" si="24"/>
        <v>#DIV/0!</v>
      </c>
    </row>
    <row r="497" customHeight="1" spans="1:21">
      <c r="A497" s="42" t="str">
        <f t="shared" si="23"/>
        <v/>
      </c>
      <c r="G497" s="47" t="e">
        <f t="shared" si="22"/>
        <v>#DIV/0!</v>
      </c>
      <c r="U497" s="49" t="e">
        <f t="shared" si="24"/>
        <v>#DIV/0!</v>
      </c>
    </row>
    <row r="498" customHeight="1" spans="1:21">
      <c r="A498" s="42" t="str">
        <f t="shared" si="23"/>
        <v/>
      </c>
      <c r="G498" s="47" t="e">
        <f t="shared" si="22"/>
        <v>#DIV/0!</v>
      </c>
      <c r="U498" s="49" t="e">
        <f t="shared" si="24"/>
        <v>#DIV/0!</v>
      </c>
    </row>
    <row r="499" customHeight="1" spans="1:21">
      <c r="A499" s="42" t="str">
        <f t="shared" si="23"/>
        <v/>
      </c>
      <c r="G499" s="47" t="e">
        <f t="shared" si="22"/>
        <v>#DIV/0!</v>
      </c>
      <c r="U499" s="49" t="e">
        <f t="shared" si="24"/>
        <v>#DIV/0!</v>
      </c>
    </row>
    <row r="500" customHeight="1" spans="1:21">
      <c r="A500" s="42" t="str">
        <f t="shared" si="23"/>
        <v/>
      </c>
      <c r="G500" s="47" t="e">
        <f t="shared" si="22"/>
        <v>#DIV/0!</v>
      </c>
      <c r="U500" s="49" t="e">
        <f t="shared" si="24"/>
        <v>#DIV/0!</v>
      </c>
    </row>
    <row r="501" customHeight="1" spans="1:21">
      <c r="A501" s="42" t="str">
        <f t="shared" si="23"/>
        <v/>
      </c>
      <c r="G501" s="47" t="e">
        <f t="shared" si="22"/>
        <v>#DIV/0!</v>
      </c>
      <c r="U501" s="49" t="e">
        <f t="shared" si="24"/>
        <v>#DIV/0!</v>
      </c>
    </row>
    <row r="502" customHeight="1" spans="1:21">
      <c r="A502" s="42" t="str">
        <f t="shared" si="23"/>
        <v/>
      </c>
      <c r="G502" s="47" t="e">
        <f t="shared" si="22"/>
        <v>#DIV/0!</v>
      </c>
      <c r="U502" s="49" t="e">
        <f t="shared" si="24"/>
        <v>#DIV/0!</v>
      </c>
    </row>
    <row r="503" customHeight="1" spans="1:21">
      <c r="A503" s="42" t="str">
        <f t="shared" si="23"/>
        <v/>
      </c>
      <c r="G503" s="47" t="e">
        <f t="shared" si="22"/>
        <v>#DIV/0!</v>
      </c>
      <c r="U503" s="49" t="e">
        <f t="shared" si="24"/>
        <v>#DIV/0!</v>
      </c>
    </row>
    <row r="504" customHeight="1" spans="1:21">
      <c r="A504" s="42" t="str">
        <f t="shared" si="23"/>
        <v/>
      </c>
      <c r="G504" s="47" t="e">
        <f t="shared" si="22"/>
        <v>#DIV/0!</v>
      </c>
      <c r="U504" s="49" t="e">
        <f t="shared" si="24"/>
        <v>#DIV/0!</v>
      </c>
    </row>
    <row r="505" customHeight="1" spans="1:21">
      <c r="A505" s="42" t="str">
        <f t="shared" si="23"/>
        <v/>
      </c>
      <c r="G505" s="47" t="e">
        <f t="shared" si="22"/>
        <v>#DIV/0!</v>
      </c>
      <c r="U505" s="49" t="e">
        <f t="shared" si="24"/>
        <v>#DIV/0!</v>
      </c>
    </row>
    <row r="506" customHeight="1" spans="1:21">
      <c r="A506" s="42" t="str">
        <f t="shared" si="23"/>
        <v/>
      </c>
      <c r="G506" s="47" t="e">
        <f t="shared" si="22"/>
        <v>#DIV/0!</v>
      </c>
      <c r="U506" s="49" t="e">
        <f t="shared" si="24"/>
        <v>#DIV/0!</v>
      </c>
    </row>
    <row r="507" customHeight="1" spans="1:21">
      <c r="A507" s="42" t="str">
        <f t="shared" si="23"/>
        <v/>
      </c>
      <c r="G507" s="47" t="e">
        <f t="shared" si="22"/>
        <v>#DIV/0!</v>
      </c>
      <c r="U507" s="49" t="e">
        <f t="shared" si="24"/>
        <v>#DIV/0!</v>
      </c>
    </row>
    <row r="508" customHeight="1" spans="1:21">
      <c r="A508" s="42" t="str">
        <f t="shared" si="23"/>
        <v/>
      </c>
      <c r="G508" s="47" t="e">
        <f t="shared" si="22"/>
        <v>#DIV/0!</v>
      </c>
      <c r="U508" s="49" t="e">
        <f t="shared" si="24"/>
        <v>#DIV/0!</v>
      </c>
    </row>
    <row r="509" customHeight="1" spans="1:21">
      <c r="A509" s="42" t="str">
        <f t="shared" si="23"/>
        <v/>
      </c>
      <c r="G509" s="47" t="e">
        <f t="shared" si="22"/>
        <v>#DIV/0!</v>
      </c>
      <c r="U509" s="49" t="e">
        <f t="shared" si="24"/>
        <v>#DIV/0!</v>
      </c>
    </row>
    <row r="510" customHeight="1" spans="1:21">
      <c r="A510" s="42" t="str">
        <f t="shared" si="23"/>
        <v/>
      </c>
      <c r="G510" s="47" t="e">
        <f t="shared" si="22"/>
        <v>#DIV/0!</v>
      </c>
      <c r="U510" s="49" t="e">
        <f t="shared" si="24"/>
        <v>#DIV/0!</v>
      </c>
    </row>
    <row r="511" customHeight="1" spans="1:21">
      <c r="A511" s="42" t="str">
        <f t="shared" si="23"/>
        <v/>
      </c>
      <c r="G511" s="47" t="e">
        <f t="shared" si="22"/>
        <v>#DIV/0!</v>
      </c>
      <c r="U511" s="49" t="e">
        <f t="shared" si="24"/>
        <v>#DIV/0!</v>
      </c>
    </row>
    <row r="512" customHeight="1" spans="1:21">
      <c r="A512" s="42" t="str">
        <f t="shared" si="23"/>
        <v/>
      </c>
      <c r="G512" s="47" t="e">
        <f t="shared" si="22"/>
        <v>#DIV/0!</v>
      </c>
      <c r="U512" s="49" t="e">
        <f t="shared" si="24"/>
        <v>#DIV/0!</v>
      </c>
    </row>
    <row r="513" customHeight="1" spans="1:21">
      <c r="A513" s="42" t="str">
        <f t="shared" si="23"/>
        <v/>
      </c>
      <c r="G513" s="47" t="e">
        <f t="shared" si="22"/>
        <v>#DIV/0!</v>
      </c>
      <c r="U513" s="49" t="e">
        <f t="shared" si="24"/>
        <v>#DIV/0!</v>
      </c>
    </row>
    <row r="514" customHeight="1" spans="1:21">
      <c r="A514" s="42" t="str">
        <f t="shared" si="23"/>
        <v/>
      </c>
      <c r="G514" s="47" t="e">
        <f t="shared" si="22"/>
        <v>#DIV/0!</v>
      </c>
      <c r="U514" s="49" t="e">
        <f t="shared" si="24"/>
        <v>#DIV/0!</v>
      </c>
    </row>
    <row r="515" customHeight="1" spans="1:21">
      <c r="A515" s="42" t="str">
        <f t="shared" si="23"/>
        <v/>
      </c>
      <c r="G515" s="47" t="e">
        <f t="shared" ref="G515:G578" si="25">+E515/F515</f>
        <v>#DIV/0!</v>
      </c>
      <c r="U515" s="49" t="e">
        <f t="shared" si="24"/>
        <v>#DIV/0!</v>
      </c>
    </row>
    <row r="516" customHeight="1" spans="1:21">
      <c r="A516" s="42" t="str">
        <f t="shared" ref="A516:A579" si="26">B516&amp;C516&amp;D516</f>
        <v/>
      </c>
      <c r="G516" s="47" t="e">
        <f t="shared" si="25"/>
        <v>#DIV/0!</v>
      </c>
      <c r="U516" s="49" t="e">
        <f t="shared" ref="U516:U579" si="27">SUM(G516:T516)</f>
        <v>#DIV/0!</v>
      </c>
    </row>
    <row r="517" customHeight="1" spans="1:21">
      <c r="A517" s="42" t="str">
        <f t="shared" si="26"/>
        <v/>
      </c>
      <c r="G517" s="47" t="e">
        <f t="shared" si="25"/>
        <v>#DIV/0!</v>
      </c>
      <c r="U517" s="49" t="e">
        <f t="shared" si="27"/>
        <v>#DIV/0!</v>
      </c>
    </row>
    <row r="518" customHeight="1" spans="1:21">
      <c r="A518" s="42" t="str">
        <f t="shared" si="26"/>
        <v/>
      </c>
      <c r="G518" s="47" t="e">
        <f t="shared" si="25"/>
        <v>#DIV/0!</v>
      </c>
      <c r="U518" s="49" t="e">
        <f t="shared" si="27"/>
        <v>#DIV/0!</v>
      </c>
    </row>
    <row r="519" customHeight="1" spans="1:21">
      <c r="A519" s="42" t="str">
        <f t="shared" si="26"/>
        <v/>
      </c>
      <c r="G519" s="47" t="e">
        <f t="shared" si="25"/>
        <v>#DIV/0!</v>
      </c>
      <c r="U519" s="49" t="e">
        <f t="shared" si="27"/>
        <v>#DIV/0!</v>
      </c>
    </row>
    <row r="520" customHeight="1" spans="1:21">
      <c r="A520" s="42" t="str">
        <f t="shared" si="26"/>
        <v/>
      </c>
      <c r="G520" s="47" t="e">
        <f t="shared" si="25"/>
        <v>#DIV/0!</v>
      </c>
      <c r="U520" s="49" t="e">
        <f t="shared" si="27"/>
        <v>#DIV/0!</v>
      </c>
    </row>
    <row r="521" customHeight="1" spans="1:21">
      <c r="A521" s="42" t="str">
        <f t="shared" si="26"/>
        <v/>
      </c>
      <c r="G521" s="47" t="e">
        <f t="shared" si="25"/>
        <v>#DIV/0!</v>
      </c>
      <c r="U521" s="49" t="e">
        <f t="shared" si="27"/>
        <v>#DIV/0!</v>
      </c>
    </row>
    <row r="522" customHeight="1" spans="1:21">
      <c r="A522" s="42" t="str">
        <f t="shared" si="26"/>
        <v/>
      </c>
      <c r="G522" s="47" t="e">
        <f t="shared" si="25"/>
        <v>#DIV/0!</v>
      </c>
      <c r="U522" s="49" t="e">
        <f t="shared" si="27"/>
        <v>#DIV/0!</v>
      </c>
    </row>
    <row r="523" customHeight="1" spans="1:21">
      <c r="A523" s="42" t="str">
        <f t="shared" si="26"/>
        <v/>
      </c>
      <c r="G523" s="47" t="e">
        <f t="shared" si="25"/>
        <v>#DIV/0!</v>
      </c>
      <c r="U523" s="49" t="e">
        <f t="shared" si="27"/>
        <v>#DIV/0!</v>
      </c>
    </row>
    <row r="524" customHeight="1" spans="1:21">
      <c r="A524" s="42" t="str">
        <f t="shared" si="26"/>
        <v/>
      </c>
      <c r="G524" s="47" t="e">
        <f t="shared" si="25"/>
        <v>#DIV/0!</v>
      </c>
      <c r="U524" s="49" t="e">
        <f t="shared" si="27"/>
        <v>#DIV/0!</v>
      </c>
    </row>
    <row r="525" customHeight="1" spans="1:21">
      <c r="A525" s="42" t="str">
        <f t="shared" si="26"/>
        <v/>
      </c>
      <c r="G525" s="47" t="e">
        <f t="shared" si="25"/>
        <v>#DIV/0!</v>
      </c>
      <c r="U525" s="49" t="e">
        <f t="shared" si="27"/>
        <v>#DIV/0!</v>
      </c>
    </row>
    <row r="526" customHeight="1" spans="1:21">
      <c r="A526" s="42" t="str">
        <f t="shared" si="26"/>
        <v/>
      </c>
      <c r="G526" s="47" t="e">
        <f t="shared" si="25"/>
        <v>#DIV/0!</v>
      </c>
      <c r="U526" s="49" t="e">
        <f t="shared" si="27"/>
        <v>#DIV/0!</v>
      </c>
    </row>
    <row r="527" customHeight="1" spans="1:21">
      <c r="A527" s="42" t="str">
        <f t="shared" si="26"/>
        <v/>
      </c>
      <c r="G527" s="47" t="e">
        <f t="shared" si="25"/>
        <v>#DIV/0!</v>
      </c>
      <c r="U527" s="49" t="e">
        <f t="shared" si="27"/>
        <v>#DIV/0!</v>
      </c>
    </row>
    <row r="528" customHeight="1" spans="1:21">
      <c r="A528" s="42" t="str">
        <f t="shared" si="26"/>
        <v/>
      </c>
      <c r="G528" s="47" t="e">
        <f t="shared" si="25"/>
        <v>#DIV/0!</v>
      </c>
      <c r="U528" s="49" t="e">
        <f t="shared" si="27"/>
        <v>#DIV/0!</v>
      </c>
    </row>
    <row r="529" customHeight="1" spans="1:21">
      <c r="A529" s="42" t="str">
        <f t="shared" si="26"/>
        <v/>
      </c>
      <c r="G529" s="47" t="e">
        <f t="shared" si="25"/>
        <v>#DIV/0!</v>
      </c>
      <c r="U529" s="49" t="e">
        <f t="shared" si="27"/>
        <v>#DIV/0!</v>
      </c>
    </row>
    <row r="530" customHeight="1" spans="1:21">
      <c r="A530" s="42" t="str">
        <f t="shared" si="26"/>
        <v/>
      </c>
      <c r="G530" s="47" t="e">
        <f t="shared" si="25"/>
        <v>#DIV/0!</v>
      </c>
      <c r="U530" s="49" t="e">
        <f t="shared" si="27"/>
        <v>#DIV/0!</v>
      </c>
    </row>
    <row r="531" customHeight="1" spans="1:21">
      <c r="A531" s="42" t="str">
        <f t="shared" si="26"/>
        <v/>
      </c>
      <c r="G531" s="47" t="e">
        <f t="shared" si="25"/>
        <v>#DIV/0!</v>
      </c>
      <c r="U531" s="49" t="e">
        <f t="shared" si="27"/>
        <v>#DIV/0!</v>
      </c>
    </row>
    <row r="532" customHeight="1" spans="1:21">
      <c r="A532" s="42" t="str">
        <f t="shared" si="26"/>
        <v/>
      </c>
      <c r="G532" s="47" t="e">
        <f t="shared" si="25"/>
        <v>#DIV/0!</v>
      </c>
      <c r="U532" s="49" t="e">
        <f t="shared" si="27"/>
        <v>#DIV/0!</v>
      </c>
    </row>
    <row r="533" customHeight="1" spans="1:21">
      <c r="A533" s="42" t="str">
        <f t="shared" si="26"/>
        <v/>
      </c>
      <c r="G533" s="47" t="e">
        <f t="shared" si="25"/>
        <v>#DIV/0!</v>
      </c>
      <c r="U533" s="49" t="e">
        <f t="shared" si="27"/>
        <v>#DIV/0!</v>
      </c>
    </row>
    <row r="534" customHeight="1" spans="1:21">
      <c r="A534" s="42" t="str">
        <f t="shared" si="26"/>
        <v/>
      </c>
      <c r="G534" s="47" t="e">
        <f t="shared" si="25"/>
        <v>#DIV/0!</v>
      </c>
      <c r="U534" s="49" t="e">
        <f t="shared" si="27"/>
        <v>#DIV/0!</v>
      </c>
    </row>
    <row r="535" customHeight="1" spans="1:21">
      <c r="A535" s="42" t="str">
        <f t="shared" si="26"/>
        <v/>
      </c>
      <c r="G535" s="47" t="e">
        <f t="shared" si="25"/>
        <v>#DIV/0!</v>
      </c>
      <c r="U535" s="49" t="e">
        <f t="shared" si="27"/>
        <v>#DIV/0!</v>
      </c>
    </row>
    <row r="536" customHeight="1" spans="1:21">
      <c r="A536" s="42" t="str">
        <f t="shared" si="26"/>
        <v/>
      </c>
      <c r="G536" s="47" t="e">
        <f t="shared" si="25"/>
        <v>#DIV/0!</v>
      </c>
      <c r="U536" s="49" t="e">
        <f t="shared" si="27"/>
        <v>#DIV/0!</v>
      </c>
    </row>
    <row r="537" customHeight="1" spans="1:21">
      <c r="A537" s="42" t="str">
        <f t="shared" si="26"/>
        <v/>
      </c>
      <c r="G537" s="47" t="e">
        <f t="shared" si="25"/>
        <v>#DIV/0!</v>
      </c>
      <c r="U537" s="49" t="e">
        <f t="shared" si="27"/>
        <v>#DIV/0!</v>
      </c>
    </row>
    <row r="538" customHeight="1" spans="1:21">
      <c r="A538" s="42" t="str">
        <f t="shared" si="26"/>
        <v/>
      </c>
      <c r="G538" s="47" t="e">
        <f t="shared" si="25"/>
        <v>#DIV/0!</v>
      </c>
      <c r="U538" s="49" t="e">
        <f t="shared" si="27"/>
        <v>#DIV/0!</v>
      </c>
    </row>
    <row r="539" customHeight="1" spans="1:21">
      <c r="A539" s="42" t="str">
        <f t="shared" si="26"/>
        <v/>
      </c>
      <c r="G539" s="47" t="e">
        <f t="shared" si="25"/>
        <v>#DIV/0!</v>
      </c>
      <c r="U539" s="49" t="e">
        <f t="shared" si="27"/>
        <v>#DIV/0!</v>
      </c>
    </row>
    <row r="540" customHeight="1" spans="1:21">
      <c r="A540" s="42" t="str">
        <f t="shared" si="26"/>
        <v/>
      </c>
      <c r="G540" s="47" t="e">
        <f t="shared" si="25"/>
        <v>#DIV/0!</v>
      </c>
      <c r="U540" s="49" t="e">
        <f t="shared" si="27"/>
        <v>#DIV/0!</v>
      </c>
    </row>
    <row r="541" customHeight="1" spans="1:21">
      <c r="A541" s="42" t="str">
        <f t="shared" si="26"/>
        <v/>
      </c>
      <c r="G541" s="47" t="e">
        <f t="shared" si="25"/>
        <v>#DIV/0!</v>
      </c>
      <c r="U541" s="49" t="e">
        <f t="shared" si="27"/>
        <v>#DIV/0!</v>
      </c>
    </row>
    <row r="542" customHeight="1" spans="1:21">
      <c r="A542" s="42" t="str">
        <f t="shared" si="26"/>
        <v/>
      </c>
      <c r="G542" s="47" t="e">
        <f t="shared" si="25"/>
        <v>#DIV/0!</v>
      </c>
      <c r="U542" s="49" t="e">
        <f t="shared" si="27"/>
        <v>#DIV/0!</v>
      </c>
    </row>
    <row r="543" customHeight="1" spans="1:21">
      <c r="A543" s="42" t="str">
        <f t="shared" si="26"/>
        <v/>
      </c>
      <c r="G543" s="47" t="e">
        <f t="shared" si="25"/>
        <v>#DIV/0!</v>
      </c>
      <c r="U543" s="49" t="e">
        <f t="shared" si="27"/>
        <v>#DIV/0!</v>
      </c>
    </row>
    <row r="544" customHeight="1" spans="1:21">
      <c r="A544" s="42" t="str">
        <f t="shared" si="26"/>
        <v/>
      </c>
      <c r="G544" s="47" t="e">
        <f t="shared" si="25"/>
        <v>#DIV/0!</v>
      </c>
      <c r="U544" s="49" t="e">
        <f t="shared" si="27"/>
        <v>#DIV/0!</v>
      </c>
    </row>
    <row r="545" customHeight="1" spans="1:21">
      <c r="A545" s="42" t="str">
        <f t="shared" si="26"/>
        <v/>
      </c>
      <c r="G545" s="47" t="e">
        <f t="shared" si="25"/>
        <v>#DIV/0!</v>
      </c>
      <c r="U545" s="49" t="e">
        <f t="shared" si="27"/>
        <v>#DIV/0!</v>
      </c>
    </row>
    <row r="546" customHeight="1" spans="1:21">
      <c r="A546" s="42" t="str">
        <f t="shared" si="26"/>
        <v/>
      </c>
      <c r="G546" s="47" t="e">
        <f t="shared" si="25"/>
        <v>#DIV/0!</v>
      </c>
      <c r="U546" s="49" t="e">
        <f t="shared" si="27"/>
        <v>#DIV/0!</v>
      </c>
    </row>
    <row r="547" customHeight="1" spans="1:21">
      <c r="A547" s="42" t="str">
        <f t="shared" si="26"/>
        <v/>
      </c>
      <c r="G547" s="47" t="e">
        <f t="shared" si="25"/>
        <v>#DIV/0!</v>
      </c>
      <c r="U547" s="49" t="e">
        <f t="shared" si="27"/>
        <v>#DIV/0!</v>
      </c>
    </row>
    <row r="548" customHeight="1" spans="1:21">
      <c r="A548" s="42" t="str">
        <f t="shared" si="26"/>
        <v/>
      </c>
      <c r="G548" s="47" t="e">
        <f t="shared" si="25"/>
        <v>#DIV/0!</v>
      </c>
      <c r="U548" s="49" t="e">
        <f t="shared" si="27"/>
        <v>#DIV/0!</v>
      </c>
    </row>
    <row r="549" customHeight="1" spans="1:21">
      <c r="A549" s="42" t="str">
        <f t="shared" si="26"/>
        <v/>
      </c>
      <c r="G549" s="47" t="e">
        <f t="shared" si="25"/>
        <v>#DIV/0!</v>
      </c>
      <c r="U549" s="49" t="e">
        <f t="shared" si="27"/>
        <v>#DIV/0!</v>
      </c>
    </row>
    <row r="550" customHeight="1" spans="1:21">
      <c r="A550" s="42" t="str">
        <f t="shared" si="26"/>
        <v/>
      </c>
      <c r="G550" s="47" t="e">
        <f t="shared" si="25"/>
        <v>#DIV/0!</v>
      </c>
      <c r="U550" s="49" t="e">
        <f t="shared" si="27"/>
        <v>#DIV/0!</v>
      </c>
    </row>
    <row r="551" customHeight="1" spans="1:21">
      <c r="A551" s="42" t="str">
        <f t="shared" si="26"/>
        <v/>
      </c>
      <c r="G551" s="47" t="e">
        <f t="shared" si="25"/>
        <v>#DIV/0!</v>
      </c>
      <c r="U551" s="49" t="e">
        <f t="shared" si="27"/>
        <v>#DIV/0!</v>
      </c>
    </row>
    <row r="552" customHeight="1" spans="1:21">
      <c r="A552" s="42" t="str">
        <f t="shared" si="26"/>
        <v/>
      </c>
      <c r="G552" s="47" t="e">
        <f t="shared" si="25"/>
        <v>#DIV/0!</v>
      </c>
      <c r="U552" s="49" t="e">
        <f t="shared" si="27"/>
        <v>#DIV/0!</v>
      </c>
    </row>
    <row r="553" customHeight="1" spans="1:21">
      <c r="A553" s="42" t="str">
        <f t="shared" si="26"/>
        <v/>
      </c>
      <c r="G553" s="47" t="e">
        <f t="shared" si="25"/>
        <v>#DIV/0!</v>
      </c>
      <c r="U553" s="49" t="e">
        <f t="shared" si="27"/>
        <v>#DIV/0!</v>
      </c>
    </row>
    <row r="554" customHeight="1" spans="1:21">
      <c r="A554" s="42" t="str">
        <f t="shared" si="26"/>
        <v/>
      </c>
      <c r="G554" s="47" t="e">
        <f t="shared" si="25"/>
        <v>#DIV/0!</v>
      </c>
      <c r="U554" s="49" t="e">
        <f t="shared" si="27"/>
        <v>#DIV/0!</v>
      </c>
    </row>
    <row r="555" customHeight="1" spans="1:21">
      <c r="A555" s="42" t="str">
        <f t="shared" si="26"/>
        <v/>
      </c>
      <c r="G555" s="47" t="e">
        <f t="shared" si="25"/>
        <v>#DIV/0!</v>
      </c>
      <c r="U555" s="49" t="e">
        <f t="shared" si="27"/>
        <v>#DIV/0!</v>
      </c>
    </row>
    <row r="556" customHeight="1" spans="1:21">
      <c r="A556" s="42" t="str">
        <f t="shared" si="26"/>
        <v/>
      </c>
      <c r="G556" s="47" t="e">
        <f t="shared" si="25"/>
        <v>#DIV/0!</v>
      </c>
      <c r="U556" s="49" t="e">
        <f t="shared" si="27"/>
        <v>#DIV/0!</v>
      </c>
    </row>
    <row r="557" customHeight="1" spans="1:21">
      <c r="A557" s="42" t="str">
        <f t="shared" si="26"/>
        <v/>
      </c>
      <c r="G557" s="47" t="e">
        <f t="shared" si="25"/>
        <v>#DIV/0!</v>
      </c>
      <c r="U557" s="49" t="e">
        <f t="shared" si="27"/>
        <v>#DIV/0!</v>
      </c>
    </row>
    <row r="558" customHeight="1" spans="1:21">
      <c r="A558" s="42" t="str">
        <f t="shared" si="26"/>
        <v/>
      </c>
      <c r="G558" s="47" t="e">
        <f t="shared" si="25"/>
        <v>#DIV/0!</v>
      </c>
      <c r="U558" s="49" t="e">
        <f t="shared" si="27"/>
        <v>#DIV/0!</v>
      </c>
    </row>
    <row r="559" customHeight="1" spans="1:21">
      <c r="A559" s="42" t="str">
        <f t="shared" si="26"/>
        <v/>
      </c>
      <c r="G559" s="47" t="e">
        <f t="shared" si="25"/>
        <v>#DIV/0!</v>
      </c>
      <c r="U559" s="49" t="e">
        <f t="shared" si="27"/>
        <v>#DIV/0!</v>
      </c>
    </row>
    <row r="560" customHeight="1" spans="1:21">
      <c r="A560" s="42" t="str">
        <f t="shared" si="26"/>
        <v/>
      </c>
      <c r="G560" s="47" t="e">
        <f t="shared" si="25"/>
        <v>#DIV/0!</v>
      </c>
      <c r="U560" s="49" t="e">
        <f t="shared" si="27"/>
        <v>#DIV/0!</v>
      </c>
    </row>
    <row r="561" customHeight="1" spans="1:21">
      <c r="A561" s="42" t="str">
        <f t="shared" si="26"/>
        <v/>
      </c>
      <c r="G561" s="47" t="e">
        <f t="shared" si="25"/>
        <v>#DIV/0!</v>
      </c>
      <c r="U561" s="49" t="e">
        <f t="shared" si="27"/>
        <v>#DIV/0!</v>
      </c>
    </row>
    <row r="562" customHeight="1" spans="1:21">
      <c r="A562" s="42" t="str">
        <f t="shared" si="26"/>
        <v/>
      </c>
      <c r="G562" s="47" t="e">
        <f t="shared" si="25"/>
        <v>#DIV/0!</v>
      </c>
      <c r="U562" s="49" t="e">
        <f t="shared" si="27"/>
        <v>#DIV/0!</v>
      </c>
    </row>
    <row r="563" customHeight="1" spans="1:21">
      <c r="A563" s="42" t="str">
        <f t="shared" si="26"/>
        <v/>
      </c>
      <c r="G563" s="47" t="e">
        <f t="shared" si="25"/>
        <v>#DIV/0!</v>
      </c>
      <c r="U563" s="49" t="e">
        <f t="shared" si="27"/>
        <v>#DIV/0!</v>
      </c>
    </row>
    <row r="564" customHeight="1" spans="1:21">
      <c r="A564" s="42" t="str">
        <f t="shared" si="26"/>
        <v/>
      </c>
      <c r="G564" s="47" t="e">
        <f t="shared" si="25"/>
        <v>#DIV/0!</v>
      </c>
      <c r="U564" s="49" t="e">
        <f t="shared" si="27"/>
        <v>#DIV/0!</v>
      </c>
    </row>
    <row r="565" customHeight="1" spans="1:21">
      <c r="A565" s="42" t="str">
        <f t="shared" si="26"/>
        <v/>
      </c>
      <c r="G565" s="47" t="e">
        <f t="shared" si="25"/>
        <v>#DIV/0!</v>
      </c>
      <c r="U565" s="49" t="e">
        <f t="shared" si="27"/>
        <v>#DIV/0!</v>
      </c>
    </row>
    <row r="566" customHeight="1" spans="1:21">
      <c r="A566" s="42" t="str">
        <f t="shared" si="26"/>
        <v/>
      </c>
      <c r="G566" s="47" t="e">
        <f t="shared" si="25"/>
        <v>#DIV/0!</v>
      </c>
      <c r="U566" s="49" t="e">
        <f t="shared" si="27"/>
        <v>#DIV/0!</v>
      </c>
    </row>
    <row r="567" customHeight="1" spans="1:21">
      <c r="A567" s="42" t="str">
        <f t="shared" si="26"/>
        <v/>
      </c>
      <c r="G567" s="47" t="e">
        <f t="shared" si="25"/>
        <v>#DIV/0!</v>
      </c>
      <c r="U567" s="49" t="e">
        <f t="shared" si="27"/>
        <v>#DIV/0!</v>
      </c>
    </row>
    <row r="568" customHeight="1" spans="1:21">
      <c r="A568" s="42" t="str">
        <f t="shared" si="26"/>
        <v/>
      </c>
      <c r="G568" s="47" t="e">
        <f t="shared" si="25"/>
        <v>#DIV/0!</v>
      </c>
      <c r="U568" s="49" t="e">
        <f t="shared" si="27"/>
        <v>#DIV/0!</v>
      </c>
    </row>
    <row r="569" customHeight="1" spans="1:21">
      <c r="A569" s="42" t="str">
        <f t="shared" si="26"/>
        <v/>
      </c>
      <c r="G569" s="47" t="e">
        <f t="shared" si="25"/>
        <v>#DIV/0!</v>
      </c>
      <c r="U569" s="49" t="e">
        <f t="shared" si="27"/>
        <v>#DIV/0!</v>
      </c>
    </row>
    <row r="570" customHeight="1" spans="1:21">
      <c r="A570" s="42" t="str">
        <f t="shared" si="26"/>
        <v/>
      </c>
      <c r="G570" s="47" t="e">
        <f t="shared" si="25"/>
        <v>#DIV/0!</v>
      </c>
      <c r="U570" s="49" t="e">
        <f t="shared" si="27"/>
        <v>#DIV/0!</v>
      </c>
    </row>
    <row r="571" customHeight="1" spans="1:21">
      <c r="A571" s="42" t="str">
        <f t="shared" si="26"/>
        <v/>
      </c>
      <c r="G571" s="47" t="e">
        <f t="shared" si="25"/>
        <v>#DIV/0!</v>
      </c>
      <c r="U571" s="49" t="e">
        <f t="shared" si="27"/>
        <v>#DIV/0!</v>
      </c>
    </row>
    <row r="572" customHeight="1" spans="1:21">
      <c r="A572" s="42" t="str">
        <f t="shared" si="26"/>
        <v/>
      </c>
      <c r="G572" s="47" t="e">
        <f t="shared" si="25"/>
        <v>#DIV/0!</v>
      </c>
      <c r="U572" s="49" t="e">
        <f t="shared" si="27"/>
        <v>#DIV/0!</v>
      </c>
    </row>
    <row r="573" customHeight="1" spans="1:21">
      <c r="A573" s="42" t="str">
        <f t="shared" si="26"/>
        <v/>
      </c>
      <c r="G573" s="47" t="e">
        <f t="shared" si="25"/>
        <v>#DIV/0!</v>
      </c>
      <c r="U573" s="49" t="e">
        <f t="shared" si="27"/>
        <v>#DIV/0!</v>
      </c>
    </row>
    <row r="574" customHeight="1" spans="1:21">
      <c r="A574" s="42" t="str">
        <f t="shared" si="26"/>
        <v/>
      </c>
      <c r="G574" s="47" t="e">
        <f t="shared" si="25"/>
        <v>#DIV/0!</v>
      </c>
      <c r="U574" s="49" t="e">
        <f t="shared" si="27"/>
        <v>#DIV/0!</v>
      </c>
    </row>
    <row r="575" customHeight="1" spans="1:21">
      <c r="A575" s="42" t="str">
        <f t="shared" si="26"/>
        <v/>
      </c>
      <c r="G575" s="47" t="e">
        <f t="shared" si="25"/>
        <v>#DIV/0!</v>
      </c>
      <c r="U575" s="49" t="e">
        <f t="shared" si="27"/>
        <v>#DIV/0!</v>
      </c>
    </row>
    <row r="576" customHeight="1" spans="1:21">
      <c r="A576" s="42" t="str">
        <f t="shared" si="26"/>
        <v/>
      </c>
      <c r="G576" s="47" t="e">
        <f t="shared" si="25"/>
        <v>#DIV/0!</v>
      </c>
      <c r="U576" s="49" t="e">
        <f t="shared" si="27"/>
        <v>#DIV/0!</v>
      </c>
    </row>
    <row r="577" customHeight="1" spans="1:21">
      <c r="A577" s="42" t="str">
        <f t="shared" si="26"/>
        <v/>
      </c>
      <c r="G577" s="47" t="e">
        <f t="shared" si="25"/>
        <v>#DIV/0!</v>
      </c>
      <c r="U577" s="49" t="e">
        <f t="shared" si="27"/>
        <v>#DIV/0!</v>
      </c>
    </row>
    <row r="578" customHeight="1" spans="1:21">
      <c r="A578" s="42" t="str">
        <f t="shared" si="26"/>
        <v/>
      </c>
      <c r="G578" s="47" t="e">
        <f t="shared" si="25"/>
        <v>#DIV/0!</v>
      </c>
      <c r="U578" s="49" t="e">
        <f t="shared" si="27"/>
        <v>#DIV/0!</v>
      </c>
    </row>
    <row r="579" customHeight="1" spans="1:21">
      <c r="A579" s="42" t="str">
        <f t="shared" si="26"/>
        <v/>
      </c>
      <c r="G579" s="47" t="e">
        <f t="shared" ref="G579:G642" si="28">+E579/F579</f>
        <v>#DIV/0!</v>
      </c>
      <c r="U579" s="49" t="e">
        <f t="shared" si="27"/>
        <v>#DIV/0!</v>
      </c>
    </row>
    <row r="580" customHeight="1" spans="1:21">
      <c r="A580" s="42" t="str">
        <f t="shared" ref="A580:A643" si="29">B580&amp;C580&amp;D580</f>
        <v/>
      </c>
      <c r="G580" s="47" t="e">
        <f t="shared" si="28"/>
        <v>#DIV/0!</v>
      </c>
      <c r="U580" s="49" t="e">
        <f t="shared" ref="U580:U643" si="30">SUM(G580:T580)</f>
        <v>#DIV/0!</v>
      </c>
    </row>
    <row r="581" customHeight="1" spans="1:21">
      <c r="A581" s="42" t="str">
        <f t="shared" si="29"/>
        <v/>
      </c>
      <c r="G581" s="47" t="e">
        <f t="shared" si="28"/>
        <v>#DIV/0!</v>
      </c>
      <c r="U581" s="49" t="e">
        <f t="shared" si="30"/>
        <v>#DIV/0!</v>
      </c>
    </row>
    <row r="582" customHeight="1" spans="1:21">
      <c r="A582" s="42" t="str">
        <f t="shared" si="29"/>
        <v/>
      </c>
      <c r="G582" s="47" t="e">
        <f t="shared" si="28"/>
        <v>#DIV/0!</v>
      </c>
      <c r="U582" s="49" t="e">
        <f t="shared" si="30"/>
        <v>#DIV/0!</v>
      </c>
    </row>
    <row r="583" customHeight="1" spans="1:21">
      <c r="A583" s="42" t="str">
        <f t="shared" si="29"/>
        <v/>
      </c>
      <c r="G583" s="47" t="e">
        <f t="shared" si="28"/>
        <v>#DIV/0!</v>
      </c>
      <c r="U583" s="49" t="e">
        <f t="shared" si="30"/>
        <v>#DIV/0!</v>
      </c>
    </row>
    <row r="584" customHeight="1" spans="1:21">
      <c r="A584" s="42" t="str">
        <f t="shared" si="29"/>
        <v/>
      </c>
      <c r="G584" s="47" t="e">
        <f t="shared" si="28"/>
        <v>#DIV/0!</v>
      </c>
      <c r="U584" s="49" t="e">
        <f t="shared" si="30"/>
        <v>#DIV/0!</v>
      </c>
    </row>
    <row r="585" customHeight="1" spans="1:21">
      <c r="A585" s="42" t="str">
        <f t="shared" si="29"/>
        <v/>
      </c>
      <c r="G585" s="47" t="e">
        <f t="shared" si="28"/>
        <v>#DIV/0!</v>
      </c>
      <c r="U585" s="49" t="e">
        <f t="shared" si="30"/>
        <v>#DIV/0!</v>
      </c>
    </row>
    <row r="586" customHeight="1" spans="1:21">
      <c r="A586" s="42" t="str">
        <f t="shared" si="29"/>
        <v/>
      </c>
      <c r="G586" s="47" t="e">
        <f t="shared" si="28"/>
        <v>#DIV/0!</v>
      </c>
      <c r="U586" s="49" t="e">
        <f t="shared" si="30"/>
        <v>#DIV/0!</v>
      </c>
    </row>
    <row r="587" customHeight="1" spans="1:21">
      <c r="A587" s="42" t="str">
        <f t="shared" si="29"/>
        <v/>
      </c>
      <c r="G587" s="47" t="e">
        <f t="shared" si="28"/>
        <v>#DIV/0!</v>
      </c>
      <c r="U587" s="49" t="e">
        <f t="shared" si="30"/>
        <v>#DIV/0!</v>
      </c>
    </row>
    <row r="588" customHeight="1" spans="1:21">
      <c r="A588" s="42" t="str">
        <f t="shared" si="29"/>
        <v/>
      </c>
      <c r="G588" s="47" t="e">
        <f t="shared" si="28"/>
        <v>#DIV/0!</v>
      </c>
      <c r="U588" s="49" t="e">
        <f t="shared" si="30"/>
        <v>#DIV/0!</v>
      </c>
    </row>
    <row r="589" customHeight="1" spans="1:21">
      <c r="A589" s="42" t="str">
        <f t="shared" si="29"/>
        <v/>
      </c>
      <c r="G589" s="47" t="e">
        <f t="shared" si="28"/>
        <v>#DIV/0!</v>
      </c>
      <c r="U589" s="49" t="e">
        <f t="shared" si="30"/>
        <v>#DIV/0!</v>
      </c>
    </row>
    <row r="590" customHeight="1" spans="1:21">
      <c r="A590" s="42" t="str">
        <f t="shared" si="29"/>
        <v/>
      </c>
      <c r="G590" s="47" t="e">
        <f t="shared" si="28"/>
        <v>#DIV/0!</v>
      </c>
      <c r="U590" s="49" t="e">
        <f t="shared" si="30"/>
        <v>#DIV/0!</v>
      </c>
    </row>
    <row r="591" customHeight="1" spans="1:21">
      <c r="A591" s="42" t="str">
        <f t="shared" si="29"/>
        <v/>
      </c>
      <c r="G591" s="47" t="e">
        <f t="shared" si="28"/>
        <v>#DIV/0!</v>
      </c>
      <c r="U591" s="49" t="e">
        <f t="shared" si="30"/>
        <v>#DIV/0!</v>
      </c>
    </row>
    <row r="592" customHeight="1" spans="1:21">
      <c r="A592" s="42" t="str">
        <f t="shared" si="29"/>
        <v/>
      </c>
      <c r="G592" s="47" t="e">
        <f t="shared" si="28"/>
        <v>#DIV/0!</v>
      </c>
      <c r="U592" s="49" t="e">
        <f t="shared" si="30"/>
        <v>#DIV/0!</v>
      </c>
    </row>
    <row r="593" customHeight="1" spans="1:21">
      <c r="A593" s="42" t="str">
        <f t="shared" si="29"/>
        <v/>
      </c>
      <c r="G593" s="47" t="e">
        <f t="shared" si="28"/>
        <v>#DIV/0!</v>
      </c>
      <c r="U593" s="49" t="e">
        <f t="shared" si="30"/>
        <v>#DIV/0!</v>
      </c>
    </row>
    <row r="594" customHeight="1" spans="1:21">
      <c r="A594" s="42" t="str">
        <f t="shared" si="29"/>
        <v/>
      </c>
      <c r="G594" s="47" t="e">
        <f t="shared" si="28"/>
        <v>#DIV/0!</v>
      </c>
      <c r="U594" s="49" t="e">
        <f t="shared" si="30"/>
        <v>#DIV/0!</v>
      </c>
    </row>
    <row r="595" customHeight="1" spans="1:21">
      <c r="A595" s="42" t="str">
        <f t="shared" si="29"/>
        <v/>
      </c>
      <c r="G595" s="47" t="e">
        <f t="shared" si="28"/>
        <v>#DIV/0!</v>
      </c>
      <c r="U595" s="49" t="e">
        <f t="shared" si="30"/>
        <v>#DIV/0!</v>
      </c>
    </row>
    <row r="596" customHeight="1" spans="1:21">
      <c r="A596" s="42" t="str">
        <f t="shared" si="29"/>
        <v/>
      </c>
      <c r="G596" s="47" t="e">
        <f t="shared" si="28"/>
        <v>#DIV/0!</v>
      </c>
      <c r="U596" s="49" t="e">
        <f t="shared" si="30"/>
        <v>#DIV/0!</v>
      </c>
    </row>
    <row r="597" customHeight="1" spans="1:21">
      <c r="A597" s="42" t="str">
        <f t="shared" si="29"/>
        <v/>
      </c>
      <c r="G597" s="47" t="e">
        <f t="shared" si="28"/>
        <v>#DIV/0!</v>
      </c>
      <c r="U597" s="49" t="e">
        <f t="shared" si="30"/>
        <v>#DIV/0!</v>
      </c>
    </row>
    <row r="598" customHeight="1" spans="1:21">
      <c r="A598" s="42" t="str">
        <f t="shared" si="29"/>
        <v/>
      </c>
      <c r="G598" s="47" t="e">
        <f t="shared" si="28"/>
        <v>#DIV/0!</v>
      </c>
      <c r="U598" s="49" t="e">
        <f t="shared" si="30"/>
        <v>#DIV/0!</v>
      </c>
    </row>
    <row r="599" customHeight="1" spans="1:21">
      <c r="A599" s="42" t="str">
        <f t="shared" si="29"/>
        <v/>
      </c>
      <c r="G599" s="47" t="e">
        <f t="shared" si="28"/>
        <v>#DIV/0!</v>
      </c>
      <c r="U599" s="49" t="e">
        <f t="shared" si="30"/>
        <v>#DIV/0!</v>
      </c>
    </row>
    <row r="600" customHeight="1" spans="1:21">
      <c r="A600" s="42" t="str">
        <f t="shared" si="29"/>
        <v/>
      </c>
      <c r="G600" s="47" t="e">
        <f t="shared" si="28"/>
        <v>#DIV/0!</v>
      </c>
      <c r="U600" s="49" t="e">
        <f t="shared" si="30"/>
        <v>#DIV/0!</v>
      </c>
    </row>
    <row r="601" customHeight="1" spans="1:21">
      <c r="A601" s="42" t="str">
        <f t="shared" si="29"/>
        <v/>
      </c>
      <c r="G601" s="47" t="e">
        <f t="shared" si="28"/>
        <v>#DIV/0!</v>
      </c>
      <c r="U601" s="49" t="e">
        <f t="shared" si="30"/>
        <v>#DIV/0!</v>
      </c>
    </row>
    <row r="602" customHeight="1" spans="1:21">
      <c r="A602" s="42" t="str">
        <f t="shared" si="29"/>
        <v/>
      </c>
      <c r="G602" s="47" t="e">
        <f t="shared" si="28"/>
        <v>#DIV/0!</v>
      </c>
      <c r="U602" s="49" t="e">
        <f t="shared" si="30"/>
        <v>#DIV/0!</v>
      </c>
    </row>
    <row r="603" customHeight="1" spans="1:21">
      <c r="A603" s="42" t="str">
        <f t="shared" si="29"/>
        <v/>
      </c>
      <c r="G603" s="47" t="e">
        <f t="shared" si="28"/>
        <v>#DIV/0!</v>
      </c>
      <c r="U603" s="49" t="e">
        <f t="shared" si="30"/>
        <v>#DIV/0!</v>
      </c>
    </row>
    <row r="604" customHeight="1" spans="1:21">
      <c r="A604" s="42" t="str">
        <f t="shared" si="29"/>
        <v/>
      </c>
      <c r="G604" s="47" t="e">
        <f t="shared" si="28"/>
        <v>#DIV/0!</v>
      </c>
      <c r="U604" s="49" t="e">
        <f t="shared" si="30"/>
        <v>#DIV/0!</v>
      </c>
    </row>
    <row r="605" customHeight="1" spans="1:21">
      <c r="A605" s="42" t="str">
        <f t="shared" si="29"/>
        <v/>
      </c>
      <c r="G605" s="47" t="e">
        <f t="shared" si="28"/>
        <v>#DIV/0!</v>
      </c>
      <c r="U605" s="49" t="e">
        <f t="shared" si="30"/>
        <v>#DIV/0!</v>
      </c>
    </row>
    <row r="606" customHeight="1" spans="1:21">
      <c r="A606" s="42" t="str">
        <f t="shared" si="29"/>
        <v/>
      </c>
      <c r="G606" s="47" t="e">
        <f t="shared" si="28"/>
        <v>#DIV/0!</v>
      </c>
      <c r="U606" s="49" t="e">
        <f t="shared" si="30"/>
        <v>#DIV/0!</v>
      </c>
    </row>
    <row r="607" customHeight="1" spans="1:21">
      <c r="A607" s="42" t="str">
        <f t="shared" si="29"/>
        <v/>
      </c>
      <c r="G607" s="47" t="e">
        <f t="shared" si="28"/>
        <v>#DIV/0!</v>
      </c>
      <c r="U607" s="49" t="e">
        <f t="shared" si="30"/>
        <v>#DIV/0!</v>
      </c>
    </row>
    <row r="608" customHeight="1" spans="1:21">
      <c r="A608" s="42" t="str">
        <f t="shared" si="29"/>
        <v/>
      </c>
      <c r="G608" s="47" t="e">
        <f t="shared" si="28"/>
        <v>#DIV/0!</v>
      </c>
      <c r="U608" s="49" t="e">
        <f t="shared" si="30"/>
        <v>#DIV/0!</v>
      </c>
    </row>
    <row r="609" customHeight="1" spans="1:21">
      <c r="A609" s="42" t="str">
        <f t="shared" si="29"/>
        <v/>
      </c>
      <c r="G609" s="47" t="e">
        <f t="shared" si="28"/>
        <v>#DIV/0!</v>
      </c>
      <c r="U609" s="49" t="e">
        <f t="shared" si="30"/>
        <v>#DIV/0!</v>
      </c>
    </row>
    <row r="610" customHeight="1" spans="1:21">
      <c r="A610" s="42" t="str">
        <f t="shared" si="29"/>
        <v/>
      </c>
      <c r="G610" s="47" t="e">
        <f t="shared" si="28"/>
        <v>#DIV/0!</v>
      </c>
      <c r="U610" s="49" t="e">
        <f t="shared" si="30"/>
        <v>#DIV/0!</v>
      </c>
    </row>
    <row r="611" customHeight="1" spans="1:21">
      <c r="A611" s="42" t="str">
        <f t="shared" si="29"/>
        <v/>
      </c>
      <c r="G611" s="47" t="e">
        <f t="shared" si="28"/>
        <v>#DIV/0!</v>
      </c>
      <c r="U611" s="49" t="e">
        <f t="shared" si="30"/>
        <v>#DIV/0!</v>
      </c>
    </row>
    <row r="612" customHeight="1" spans="1:21">
      <c r="A612" s="42" t="str">
        <f t="shared" si="29"/>
        <v/>
      </c>
      <c r="G612" s="47" t="e">
        <f t="shared" si="28"/>
        <v>#DIV/0!</v>
      </c>
      <c r="U612" s="49" t="e">
        <f t="shared" si="30"/>
        <v>#DIV/0!</v>
      </c>
    </row>
    <row r="613" customHeight="1" spans="1:21">
      <c r="A613" s="42" t="str">
        <f t="shared" si="29"/>
        <v/>
      </c>
      <c r="G613" s="47" t="e">
        <f t="shared" si="28"/>
        <v>#DIV/0!</v>
      </c>
      <c r="U613" s="49" t="e">
        <f t="shared" si="30"/>
        <v>#DIV/0!</v>
      </c>
    </row>
    <row r="614" customHeight="1" spans="1:21">
      <c r="A614" s="42" t="str">
        <f t="shared" si="29"/>
        <v/>
      </c>
      <c r="G614" s="47" t="e">
        <f t="shared" si="28"/>
        <v>#DIV/0!</v>
      </c>
      <c r="U614" s="49" t="e">
        <f t="shared" si="30"/>
        <v>#DIV/0!</v>
      </c>
    </row>
    <row r="615" customHeight="1" spans="1:21">
      <c r="A615" s="42" t="str">
        <f t="shared" si="29"/>
        <v/>
      </c>
      <c r="G615" s="47" t="e">
        <f t="shared" si="28"/>
        <v>#DIV/0!</v>
      </c>
      <c r="U615" s="49" t="e">
        <f t="shared" si="30"/>
        <v>#DIV/0!</v>
      </c>
    </row>
    <row r="616" customHeight="1" spans="1:21">
      <c r="A616" s="42" t="str">
        <f t="shared" si="29"/>
        <v/>
      </c>
      <c r="G616" s="47" t="e">
        <f t="shared" si="28"/>
        <v>#DIV/0!</v>
      </c>
      <c r="U616" s="49" t="e">
        <f t="shared" si="30"/>
        <v>#DIV/0!</v>
      </c>
    </row>
    <row r="617" customHeight="1" spans="1:21">
      <c r="A617" s="42" t="str">
        <f t="shared" si="29"/>
        <v/>
      </c>
      <c r="G617" s="47" t="e">
        <f t="shared" si="28"/>
        <v>#DIV/0!</v>
      </c>
      <c r="U617" s="49" t="e">
        <f t="shared" si="30"/>
        <v>#DIV/0!</v>
      </c>
    </row>
    <row r="618" customHeight="1" spans="1:21">
      <c r="A618" s="42" t="str">
        <f t="shared" si="29"/>
        <v/>
      </c>
      <c r="G618" s="47" t="e">
        <f t="shared" si="28"/>
        <v>#DIV/0!</v>
      </c>
      <c r="U618" s="49" t="e">
        <f t="shared" si="30"/>
        <v>#DIV/0!</v>
      </c>
    </row>
    <row r="619" customHeight="1" spans="1:21">
      <c r="A619" s="42" t="str">
        <f t="shared" si="29"/>
        <v/>
      </c>
      <c r="G619" s="47" t="e">
        <f t="shared" si="28"/>
        <v>#DIV/0!</v>
      </c>
      <c r="U619" s="49" t="e">
        <f t="shared" si="30"/>
        <v>#DIV/0!</v>
      </c>
    </row>
    <row r="620" customHeight="1" spans="1:21">
      <c r="A620" s="42" t="str">
        <f t="shared" si="29"/>
        <v/>
      </c>
      <c r="G620" s="47" t="e">
        <f t="shared" si="28"/>
        <v>#DIV/0!</v>
      </c>
      <c r="U620" s="49" t="e">
        <f t="shared" si="30"/>
        <v>#DIV/0!</v>
      </c>
    </row>
    <row r="621" customHeight="1" spans="1:21">
      <c r="A621" s="42" t="str">
        <f t="shared" si="29"/>
        <v/>
      </c>
      <c r="G621" s="47" t="e">
        <f t="shared" si="28"/>
        <v>#DIV/0!</v>
      </c>
      <c r="U621" s="49" t="e">
        <f t="shared" si="30"/>
        <v>#DIV/0!</v>
      </c>
    </row>
    <row r="622" customHeight="1" spans="1:21">
      <c r="A622" s="42" t="str">
        <f t="shared" si="29"/>
        <v/>
      </c>
      <c r="G622" s="47" t="e">
        <f t="shared" si="28"/>
        <v>#DIV/0!</v>
      </c>
      <c r="U622" s="49" t="e">
        <f t="shared" si="30"/>
        <v>#DIV/0!</v>
      </c>
    </row>
    <row r="623" customHeight="1" spans="1:21">
      <c r="A623" s="42" t="str">
        <f t="shared" si="29"/>
        <v/>
      </c>
      <c r="G623" s="47" t="e">
        <f t="shared" si="28"/>
        <v>#DIV/0!</v>
      </c>
      <c r="U623" s="49" t="e">
        <f t="shared" si="30"/>
        <v>#DIV/0!</v>
      </c>
    </row>
    <row r="624" customHeight="1" spans="1:21">
      <c r="A624" s="42" t="str">
        <f t="shared" si="29"/>
        <v/>
      </c>
      <c r="G624" s="47" t="e">
        <f t="shared" si="28"/>
        <v>#DIV/0!</v>
      </c>
      <c r="U624" s="49" t="e">
        <f t="shared" si="30"/>
        <v>#DIV/0!</v>
      </c>
    </row>
    <row r="625" customHeight="1" spans="1:21">
      <c r="A625" s="42" t="str">
        <f t="shared" si="29"/>
        <v/>
      </c>
      <c r="G625" s="47" t="e">
        <f t="shared" si="28"/>
        <v>#DIV/0!</v>
      </c>
      <c r="U625" s="49" t="e">
        <f t="shared" si="30"/>
        <v>#DIV/0!</v>
      </c>
    </row>
    <row r="626" customHeight="1" spans="1:21">
      <c r="A626" s="42" t="str">
        <f t="shared" si="29"/>
        <v/>
      </c>
      <c r="G626" s="47" t="e">
        <f t="shared" si="28"/>
        <v>#DIV/0!</v>
      </c>
      <c r="U626" s="49" t="e">
        <f t="shared" si="30"/>
        <v>#DIV/0!</v>
      </c>
    </row>
    <row r="627" customHeight="1" spans="1:21">
      <c r="A627" s="42" t="str">
        <f t="shared" si="29"/>
        <v/>
      </c>
      <c r="G627" s="47" t="e">
        <f t="shared" si="28"/>
        <v>#DIV/0!</v>
      </c>
      <c r="U627" s="49" t="e">
        <f t="shared" si="30"/>
        <v>#DIV/0!</v>
      </c>
    </row>
    <row r="628" customHeight="1" spans="1:21">
      <c r="A628" s="42" t="str">
        <f t="shared" si="29"/>
        <v/>
      </c>
      <c r="G628" s="47" t="e">
        <f t="shared" si="28"/>
        <v>#DIV/0!</v>
      </c>
      <c r="U628" s="49" t="e">
        <f t="shared" si="30"/>
        <v>#DIV/0!</v>
      </c>
    </row>
    <row r="629" customHeight="1" spans="1:21">
      <c r="A629" s="42" t="str">
        <f t="shared" si="29"/>
        <v/>
      </c>
      <c r="G629" s="47" t="e">
        <f t="shared" si="28"/>
        <v>#DIV/0!</v>
      </c>
      <c r="U629" s="49" t="e">
        <f t="shared" si="30"/>
        <v>#DIV/0!</v>
      </c>
    </row>
    <row r="630" customHeight="1" spans="1:21">
      <c r="A630" s="42" t="str">
        <f t="shared" si="29"/>
        <v/>
      </c>
      <c r="G630" s="47" t="e">
        <f t="shared" si="28"/>
        <v>#DIV/0!</v>
      </c>
      <c r="U630" s="49" t="e">
        <f t="shared" si="30"/>
        <v>#DIV/0!</v>
      </c>
    </row>
    <row r="631" customHeight="1" spans="1:21">
      <c r="A631" s="42" t="str">
        <f t="shared" si="29"/>
        <v/>
      </c>
      <c r="G631" s="47" t="e">
        <f t="shared" si="28"/>
        <v>#DIV/0!</v>
      </c>
      <c r="U631" s="49" t="e">
        <f t="shared" si="30"/>
        <v>#DIV/0!</v>
      </c>
    </row>
    <row r="632" customHeight="1" spans="1:21">
      <c r="A632" s="42" t="str">
        <f t="shared" si="29"/>
        <v/>
      </c>
      <c r="G632" s="47" t="e">
        <f t="shared" si="28"/>
        <v>#DIV/0!</v>
      </c>
      <c r="U632" s="49" t="e">
        <f t="shared" si="30"/>
        <v>#DIV/0!</v>
      </c>
    </row>
    <row r="633" customHeight="1" spans="1:21">
      <c r="A633" s="42" t="str">
        <f t="shared" si="29"/>
        <v/>
      </c>
      <c r="G633" s="47" t="e">
        <f t="shared" si="28"/>
        <v>#DIV/0!</v>
      </c>
      <c r="U633" s="49" t="e">
        <f t="shared" si="30"/>
        <v>#DIV/0!</v>
      </c>
    </row>
    <row r="634" customHeight="1" spans="1:21">
      <c r="A634" s="42" t="str">
        <f t="shared" si="29"/>
        <v/>
      </c>
      <c r="G634" s="47" t="e">
        <f t="shared" si="28"/>
        <v>#DIV/0!</v>
      </c>
      <c r="U634" s="49" t="e">
        <f t="shared" si="30"/>
        <v>#DIV/0!</v>
      </c>
    </row>
    <row r="635" customHeight="1" spans="1:21">
      <c r="A635" s="42" t="str">
        <f t="shared" si="29"/>
        <v/>
      </c>
      <c r="G635" s="47" t="e">
        <f t="shared" si="28"/>
        <v>#DIV/0!</v>
      </c>
      <c r="U635" s="49" t="e">
        <f t="shared" si="30"/>
        <v>#DIV/0!</v>
      </c>
    </row>
    <row r="636" customHeight="1" spans="1:21">
      <c r="A636" s="42" t="str">
        <f t="shared" si="29"/>
        <v/>
      </c>
      <c r="G636" s="47" t="e">
        <f t="shared" si="28"/>
        <v>#DIV/0!</v>
      </c>
      <c r="U636" s="49" t="e">
        <f t="shared" si="30"/>
        <v>#DIV/0!</v>
      </c>
    </row>
    <row r="637" customHeight="1" spans="1:21">
      <c r="A637" s="42" t="str">
        <f t="shared" si="29"/>
        <v/>
      </c>
      <c r="G637" s="47" t="e">
        <f t="shared" si="28"/>
        <v>#DIV/0!</v>
      </c>
      <c r="U637" s="49" t="e">
        <f t="shared" si="30"/>
        <v>#DIV/0!</v>
      </c>
    </row>
    <row r="638" customHeight="1" spans="1:21">
      <c r="A638" s="42" t="str">
        <f t="shared" si="29"/>
        <v/>
      </c>
      <c r="G638" s="47" t="e">
        <f t="shared" si="28"/>
        <v>#DIV/0!</v>
      </c>
      <c r="U638" s="49" t="e">
        <f t="shared" si="30"/>
        <v>#DIV/0!</v>
      </c>
    </row>
    <row r="639" customHeight="1" spans="1:21">
      <c r="A639" s="42" t="str">
        <f t="shared" si="29"/>
        <v/>
      </c>
      <c r="G639" s="47" t="e">
        <f t="shared" si="28"/>
        <v>#DIV/0!</v>
      </c>
      <c r="U639" s="49" t="e">
        <f t="shared" si="30"/>
        <v>#DIV/0!</v>
      </c>
    </row>
    <row r="640" customHeight="1" spans="1:21">
      <c r="A640" s="42" t="str">
        <f t="shared" si="29"/>
        <v/>
      </c>
      <c r="G640" s="47" t="e">
        <f t="shared" si="28"/>
        <v>#DIV/0!</v>
      </c>
      <c r="U640" s="49" t="e">
        <f t="shared" si="30"/>
        <v>#DIV/0!</v>
      </c>
    </row>
    <row r="641" customHeight="1" spans="1:21">
      <c r="A641" s="42" t="str">
        <f t="shared" si="29"/>
        <v/>
      </c>
      <c r="G641" s="47" t="e">
        <f t="shared" si="28"/>
        <v>#DIV/0!</v>
      </c>
      <c r="U641" s="49" t="e">
        <f t="shared" si="30"/>
        <v>#DIV/0!</v>
      </c>
    </row>
    <row r="642" customHeight="1" spans="1:21">
      <c r="A642" s="42" t="str">
        <f t="shared" si="29"/>
        <v/>
      </c>
      <c r="G642" s="47" t="e">
        <f t="shared" si="28"/>
        <v>#DIV/0!</v>
      </c>
      <c r="U642" s="49" t="e">
        <f t="shared" si="30"/>
        <v>#DIV/0!</v>
      </c>
    </row>
    <row r="643" customHeight="1" spans="1:21">
      <c r="A643" s="42" t="str">
        <f t="shared" si="29"/>
        <v/>
      </c>
      <c r="G643" s="47" t="e">
        <f t="shared" ref="G643:G706" si="31">+E643/F643</f>
        <v>#DIV/0!</v>
      </c>
      <c r="U643" s="49" t="e">
        <f t="shared" si="30"/>
        <v>#DIV/0!</v>
      </c>
    </row>
    <row r="644" customHeight="1" spans="1:21">
      <c r="A644" s="42" t="str">
        <f t="shared" ref="A644:A707" si="32">B644&amp;C644&amp;D644</f>
        <v/>
      </c>
      <c r="G644" s="47" t="e">
        <f t="shared" si="31"/>
        <v>#DIV/0!</v>
      </c>
      <c r="U644" s="49" t="e">
        <f t="shared" ref="U644:U707" si="33">SUM(G644:T644)</f>
        <v>#DIV/0!</v>
      </c>
    </row>
    <row r="645" customHeight="1" spans="1:21">
      <c r="A645" s="42" t="str">
        <f t="shared" si="32"/>
        <v/>
      </c>
      <c r="G645" s="47" t="e">
        <f t="shared" si="31"/>
        <v>#DIV/0!</v>
      </c>
      <c r="U645" s="49" t="e">
        <f t="shared" si="33"/>
        <v>#DIV/0!</v>
      </c>
    </row>
    <row r="646" customHeight="1" spans="1:21">
      <c r="A646" s="42" t="str">
        <f t="shared" si="32"/>
        <v/>
      </c>
      <c r="G646" s="47" t="e">
        <f t="shared" si="31"/>
        <v>#DIV/0!</v>
      </c>
      <c r="U646" s="49" t="e">
        <f t="shared" si="33"/>
        <v>#DIV/0!</v>
      </c>
    </row>
    <row r="647" customHeight="1" spans="1:21">
      <c r="A647" s="42" t="str">
        <f t="shared" si="32"/>
        <v/>
      </c>
      <c r="G647" s="47" t="e">
        <f t="shared" si="31"/>
        <v>#DIV/0!</v>
      </c>
      <c r="U647" s="49" t="e">
        <f t="shared" si="33"/>
        <v>#DIV/0!</v>
      </c>
    </row>
    <row r="648" customHeight="1" spans="1:21">
      <c r="A648" s="42" t="str">
        <f t="shared" si="32"/>
        <v/>
      </c>
      <c r="G648" s="47" t="e">
        <f t="shared" si="31"/>
        <v>#DIV/0!</v>
      </c>
      <c r="U648" s="49" t="e">
        <f t="shared" si="33"/>
        <v>#DIV/0!</v>
      </c>
    </row>
    <row r="649" customHeight="1" spans="1:21">
      <c r="A649" s="42" t="str">
        <f t="shared" si="32"/>
        <v/>
      </c>
      <c r="G649" s="47" t="e">
        <f t="shared" si="31"/>
        <v>#DIV/0!</v>
      </c>
      <c r="U649" s="49" t="e">
        <f t="shared" si="33"/>
        <v>#DIV/0!</v>
      </c>
    </row>
    <row r="650" customHeight="1" spans="1:21">
      <c r="A650" s="42" t="str">
        <f t="shared" si="32"/>
        <v/>
      </c>
      <c r="G650" s="47" t="e">
        <f t="shared" si="31"/>
        <v>#DIV/0!</v>
      </c>
      <c r="U650" s="49" t="e">
        <f t="shared" si="33"/>
        <v>#DIV/0!</v>
      </c>
    </row>
    <row r="651" customHeight="1" spans="1:21">
      <c r="A651" s="42" t="str">
        <f t="shared" si="32"/>
        <v/>
      </c>
      <c r="G651" s="47" t="e">
        <f t="shared" si="31"/>
        <v>#DIV/0!</v>
      </c>
      <c r="U651" s="49" t="e">
        <f t="shared" si="33"/>
        <v>#DIV/0!</v>
      </c>
    </row>
    <row r="652" customHeight="1" spans="1:21">
      <c r="A652" s="42" t="str">
        <f t="shared" si="32"/>
        <v/>
      </c>
      <c r="G652" s="47" t="e">
        <f t="shared" si="31"/>
        <v>#DIV/0!</v>
      </c>
      <c r="U652" s="49" t="e">
        <f t="shared" si="33"/>
        <v>#DIV/0!</v>
      </c>
    </row>
    <row r="653" customHeight="1" spans="1:21">
      <c r="A653" s="42" t="str">
        <f t="shared" si="32"/>
        <v/>
      </c>
      <c r="G653" s="47" t="e">
        <f t="shared" si="31"/>
        <v>#DIV/0!</v>
      </c>
      <c r="U653" s="49" t="e">
        <f t="shared" si="33"/>
        <v>#DIV/0!</v>
      </c>
    </row>
    <row r="654" customHeight="1" spans="1:21">
      <c r="A654" s="42" t="str">
        <f t="shared" si="32"/>
        <v/>
      </c>
      <c r="G654" s="47" t="e">
        <f t="shared" si="31"/>
        <v>#DIV/0!</v>
      </c>
      <c r="U654" s="49" t="e">
        <f t="shared" si="33"/>
        <v>#DIV/0!</v>
      </c>
    </row>
    <row r="655" customHeight="1" spans="1:21">
      <c r="A655" s="42" t="str">
        <f t="shared" si="32"/>
        <v/>
      </c>
      <c r="G655" s="47" t="e">
        <f t="shared" si="31"/>
        <v>#DIV/0!</v>
      </c>
      <c r="U655" s="49" t="e">
        <f t="shared" si="33"/>
        <v>#DIV/0!</v>
      </c>
    </row>
    <row r="656" customHeight="1" spans="1:21">
      <c r="A656" s="42" t="str">
        <f t="shared" si="32"/>
        <v/>
      </c>
      <c r="G656" s="47" t="e">
        <f t="shared" si="31"/>
        <v>#DIV/0!</v>
      </c>
      <c r="U656" s="49" t="e">
        <f t="shared" si="33"/>
        <v>#DIV/0!</v>
      </c>
    </row>
    <row r="657" customHeight="1" spans="1:21">
      <c r="A657" s="42" t="str">
        <f t="shared" si="32"/>
        <v/>
      </c>
      <c r="G657" s="47" t="e">
        <f t="shared" si="31"/>
        <v>#DIV/0!</v>
      </c>
      <c r="U657" s="49" t="e">
        <f t="shared" si="33"/>
        <v>#DIV/0!</v>
      </c>
    </row>
    <row r="658" customHeight="1" spans="1:21">
      <c r="A658" s="42" t="str">
        <f t="shared" si="32"/>
        <v/>
      </c>
      <c r="G658" s="47" t="e">
        <f t="shared" si="31"/>
        <v>#DIV/0!</v>
      </c>
      <c r="U658" s="49" t="e">
        <f t="shared" si="33"/>
        <v>#DIV/0!</v>
      </c>
    </row>
    <row r="659" customHeight="1" spans="1:21">
      <c r="A659" s="42" t="str">
        <f t="shared" si="32"/>
        <v/>
      </c>
      <c r="G659" s="47" t="e">
        <f t="shared" si="31"/>
        <v>#DIV/0!</v>
      </c>
      <c r="U659" s="49" t="e">
        <f t="shared" si="33"/>
        <v>#DIV/0!</v>
      </c>
    </row>
    <row r="660" customHeight="1" spans="1:21">
      <c r="A660" s="42" t="str">
        <f t="shared" si="32"/>
        <v/>
      </c>
      <c r="G660" s="47" t="e">
        <f t="shared" si="31"/>
        <v>#DIV/0!</v>
      </c>
      <c r="U660" s="49" t="e">
        <f t="shared" si="33"/>
        <v>#DIV/0!</v>
      </c>
    </row>
    <row r="661" customHeight="1" spans="1:21">
      <c r="A661" s="42" t="str">
        <f t="shared" si="32"/>
        <v/>
      </c>
      <c r="G661" s="47" t="e">
        <f t="shared" si="31"/>
        <v>#DIV/0!</v>
      </c>
      <c r="U661" s="49" t="e">
        <f t="shared" si="33"/>
        <v>#DIV/0!</v>
      </c>
    </row>
    <row r="662" customHeight="1" spans="1:21">
      <c r="A662" s="42" t="str">
        <f t="shared" si="32"/>
        <v/>
      </c>
      <c r="G662" s="47" t="e">
        <f t="shared" si="31"/>
        <v>#DIV/0!</v>
      </c>
      <c r="U662" s="49" t="e">
        <f t="shared" si="33"/>
        <v>#DIV/0!</v>
      </c>
    </row>
    <row r="663" customHeight="1" spans="1:21">
      <c r="A663" s="42" t="str">
        <f t="shared" si="32"/>
        <v/>
      </c>
      <c r="G663" s="47" t="e">
        <f t="shared" si="31"/>
        <v>#DIV/0!</v>
      </c>
      <c r="U663" s="49" t="e">
        <f t="shared" si="33"/>
        <v>#DIV/0!</v>
      </c>
    </row>
    <row r="664" customHeight="1" spans="1:21">
      <c r="A664" s="42" t="str">
        <f t="shared" si="32"/>
        <v/>
      </c>
      <c r="G664" s="47" t="e">
        <f t="shared" si="31"/>
        <v>#DIV/0!</v>
      </c>
      <c r="U664" s="49" t="e">
        <f t="shared" si="33"/>
        <v>#DIV/0!</v>
      </c>
    </row>
    <row r="665" customHeight="1" spans="1:21">
      <c r="A665" s="42" t="str">
        <f t="shared" si="32"/>
        <v/>
      </c>
      <c r="G665" s="47" t="e">
        <f t="shared" si="31"/>
        <v>#DIV/0!</v>
      </c>
      <c r="U665" s="49" t="e">
        <f t="shared" si="33"/>
        <v>#DIV/0!</v>
      </c>
    </row>
    <row r="666" customHeight="1" spans="1:21">
      <c r="A666" s="42" t="str">
        <f t="shared" si="32"/>
        <v/>
      </c>
      <c r="G666" s="47" t="e">
        <f t="shared" si="31"/>
        <v>#DIV/0!</v>
      </c>
      <c r="U666" s="49" t="e">
        <f t="shared" si="33"/>
        <v>#DIV/0!</v>
      </c>
    </row>
    <row r="667" customHeight="1" spans="1:21">
      <c r="A667" s="42" t="str">
        <f t="shared" si="32"/>
        <v/>
      </c>
      <c r="G667" s="47" t="e">
        <f t="shared" si="31"/>
        <v>#DIV/0!</v>
      </c>
      <c r="U667" s="49" t="e">
        <f t="shared" si="33"/>
        <v>#DIV/0!</v>
      </c>
    </row>
    <row r="668" customHeight="1" spans="1:21">
      <c r="A668" s="42" t="str">
        <f t="shared" si="32"/>
        <v/>
      </c>
      <c r="G668" s="47" t="e">
        <f t="shared" si="31"/>
        <v>#DIV/0!</v>
      </c>
      <c r="U668" s="49" t="e">
        <f t="shared" si="33"/>
        <v>#DIV/0!</v>
      </c>
    </row>
    <row r="669" customHeight="1" spans="1:21">
      <c r="A669" s="42" t="str">
        <f t="shared" si="32"/>
        <v/>
      </c>
      <c r="G669" s="47" t="e">
        <f t="shared" si="31"/>
        <v>#DIV/0!</v>
      </c>
      <c r="U669" s="49" t="e">
        <f t="shared" si="33"/>
        <v>#DIV/0!</v>
      </c>
    </row>
    <row r="670" customHeight="1" spans="1:21">
      <c r="A670" s="42" t="str">
        <f t="shared" si="32"/>
        <v/>
      </c>
      <c r="G670" s="47" t="e">
        <f t="shared" si="31"/>
        <v>#DIV/0!</v>
      </c>
      <c r="U670" s="49" t="e">
        <f t="shared" si="33"/>
        <v>#DIV/0!</v>
      </c>
    </row>
    <row r="671" customHeight="1" spans="1:21">
      <c r="A671" s="42" t="str">
        <f t="shared" si="32"/>
        <v/>
      </c>
      <c r="G671" s="47" t="e">
        <f t="shared" si="31"/>
        <v>#DIV/0!</v>
      </c>
      <c r="U671" s="49" t="e">
        <f t="shared" si="33"/>
        <v>#DIV/0!</v>
      </c>
    </row>
    <row r="672" customHeight="1" spans="1:21">
      <c r="A672" s="42" t="str">
        <f t="shared" si="32"/>
        <v/>
      </c>
      <c r="G672" s="47" t="e">
        <f t="shared" si="31"/>
        <v>#DIV/0!</v>
      </c>
      <c r="U672" s="49" t="e">
        <f t="shared" si="33"/>
        <v>#DIV/0!</v>
      </c>
    </row>
    <row r="673" customHeight="1" spans="1:21">
      <c r="A673" s="42" t="str">
        <f t="shared" si="32"/>
        <v/>
      </c>
      <c r="G673" s="47" t="e">
        <f t="shared" si="31"/>
        <v>#DIV/0!</v>
      </c>
      <c r="U673" s="49" t="e">
        <f t="shared" si="33"/>
        <v>#DIV/0!</v>
      </c>
    </row>
    <row r="674" customHeight="1" spans="1:21">
      <c r="A674" s="42" t="str">
        <f t="shared" si="32"/>
        <v/>
      </c>
      <c r="G674" s="47" t="e">
        <f t="shared" si="31"/>
        <v>#DIV/0!</v>
      </c>
      <c r="U674" s="49" t="e">
        <f t="shared" si="33"/>
        <v>#DIV/0!</v>
      </c>
    </row>
    <row r="675" customHeight="1" spans="1:21">
      <c r="A675" s="42" t="str">
        <f t="shared" si="32"/>
        <v/>
      </c>
      <c r="G675" s="47" t="e">
        <f t="shared" si="31"/>
        <v>#DIV/0!</v>
      </c>
      <c r="U675" s="49" t="e">
        <f t="shared" si="33"/>
        <v>#DIV/0!</v>
      </c>
    </row>
    <row r="676" customHeight="1" spans="1:21">
      <c r="A676" s="42" t="str">
        <f t="shared" si="32"/>
        <v/>
      </c>
      <c r="G676" s="47" t="e">
        <f t="shared" si="31"/>
        <v>#DIV/0!</v>
      </c>
      <c r="U676" s="49" t="e">
        <f t="shared" si="33"/>
        <v>#DIV/0!</v>
      </c>
    </row>
    <row r="677" customHeight="1" spans="1:21">
      <c r="A677" s="42" t="str">
        <f t="shared" si="32"/>
        <v/>
      </c>
      <c r="G677" s="47" t="e">
        <f t="shared" si="31"/>
        <v>#DIV/0!</v>
      </c>
      <c r="U677" s="49" t="e">
        <f t="shared" si="33"/>
        <v>#DIV/0!</v>
      </c>
    </row>
    <row r="678" customHeight="1" spans="1:21">
      <c r="A678" s="42" t="str">
        <f t="shared" si="32"/>
        <v/>
      </c>
      <c r="G678" s="47" t="e">
        <f t="shared" si="31"/>
        <v>#DIV/0!</v>
      </c>
      <c r="U678" s="49" t="e">
        <f t="shared" si="33"/>
        <v>#DIV/0!</v>
      </c>
    </row>
    <row r="679" customHeight="1" spans="1:21">
      <c r="A679" s="42" t="str">
        <f t="shared" si="32"/>
        <v/>
      </c>
      <c r="G679" s="47" t="e">
        <f t="shared" si="31"/>
        <v>#DIV/0!</v>
      </c>
      <c r="U679" s="49" t="e">
        <f t="shared" si="33"/>
        <v>#DIV/0!</v>
      </c>
    </row>
    <row r="680" customHeight="1" spans="1:21">
      <c r="A680" s="42" t="str">
        <f t="shared" si="32"/>
        <v/>
      </c>
      <c r="G680" s="47" t="e">
        <f t="shared" si="31"/>
        <v>#DIV/0!</v>
      </c>
      <c r="U680" s="49" t="e">
        <f t="shared" si="33"/>
        <v>#DIV/0!</v>
      </c>
    </row>
    <row r="681" customHeight="1" spans="1:21">
      <c r="A681" s="42" t="str">
        <f t="shared" si="32"/>
        <v/>
      </c>
      <c r="G681" s="47" t="e">
        <f t="shared" si="31"/>
        <v>#DIV/0!</v>
      </c>
      <c r="U681" s="49" t="e">
        <f t="shared" si="33"/>
        <v>#DIV/0!</v>
      </c>
    </row>
    <row r="682" customHeight="1" spans="1:21">
      <c r="A682" s="42" t="str">
        <f t="shared" si="32"/>
        <v/>
      </c>
      <c r="G682" s="47" t="e">
        <f t="shared" si="31"/>
        <v>#DIV/0!</v>
      </c>
      <c r="U682" s="49" t="e">
        <f t="shared" si="33"/>
        <v>#DIV/0!</v>
      </c>
    </row>
    <row r="683" customHeight="1" spans="1:21">
      <c r="A683" s="42" t="str">
        <f t="shared" si="32"/>
        <v/>
      </c>
      <c r="G683" s="47" t="e">
        <f t="shared" si="31"/>
        <v>#DIV/0!</v>
      </c>
      <c r="U683" s="49" t="e">
        <f t="shared" si="33"/>
        <v>#DIV/0!</v>
      </c>
    </row>
    <row r="684" customHeight="1" spans="1:21">
      <c r="A684" s="42" t="str">
        <f t="shared" si="32"/>
        <v/>
      </c>
      <c r="G684" s="47" t="e">
        <f t="shared" si="31"/>
        <v>#DIV/0!</v>
      </c>
      <c r="U684" s="49" t="e">
        <f t="shared" si="33"/>
        <v>#DIV/0!</v>
      </c>
    </row>
    <row r="685" customHeight="1" spans="1:21">
      <c r="A685" s="42" t="str">
        <f t="shared" si="32"/>
        <v/>
      </c>
      <c r="G685" s="47" t="e">
        <f t="shared" si="31"/>
        <v>#DIV/0!</v>
      </c>
      <c r="U685" s="49" t="e">
        <f t="shared" si="33"/>
        <v>#DIV/0!</v>
      </c>
    </row>
    <row r="686" customHeight="1" spans="1:21">
      <c r="A686" s="42" t="str">
        <f t="shared" si="32"/>
        <v/>
      </c>
      <c r="G686" s="47" t="e">
        <f t="shared" si="31"/>
        <v>#DIV/0!</v>
      </c>
      <c r="U686" s="49" t="e">
        <f t="shared" si="33"/>
        <v>#DIV/0!</v>
      </c>
    </row>
    <row r="687" customHeight="1" spans="1:21">
      <c r="A687" s="42" t="str">
        <f t="shared" si="32"/>
        <v/>
      </c>
      <c r="G687" s="47" t="e">
        <f t="shared" si="31"/>
        <v>#DIV/0!</v>
      </c>
      <c r="U687" s="49" t="e">
        <f t="shared" si="33"/>
        <v>#DIV/0!</v>
      </c>
    </row>
    <row r="688" customHeight="1" spans="1:21">
      <c r="A688" s="42" t="str">
        <f t="shared" si="32"/>
        <v/>
      </c>
      <c r="G688" s="47" t="e">
        <f t="shared" si="31"/>
        <v>#DIV/0!</v>
      </c>
      <c r="U688" s="49" t="e">
        <f t="shared" si="33"/>
        <v>#DIV/0!</v>
      </c>
    </row>
    <row r="689" customHeight="1" spans="1:21">
      <c r="A689" s="42" t="str">
        <f t="shared" si="32"/>
        <v/>
      </c>
      <c r="G689" s="47" t="e">
        <f t="shared" si="31"/>
        <v>#DIV/0!</v>
      </c>
      <c r="U689" s="49" t="e">
        <f t="shared" si="33"/>
        <v>#DIV/0!</v>
      </c>
    </row>
    <row r="690" customHeight="1" spans="1:21">
      <c r="A690" s="42" t="str">
        <f t="shared" si="32"/>
        <v/>
      </c>
      <c r="G690" s="47" t="e">
        <f t="shared" si="31"/>
        <v>#DIV/0!</v>
      </c>
      <c r="U690" s="49" t="e">
        <f t="shared" si="33"/>
        <v>#DIV/0!</v>
      </c>
    </row>
    <row r="691" customHeight="1" spans="1:21">
      <c r="A691" s="42" t="str">
        <f t="shared" si="32"/>
        <v/>
      </c>
      <c r="G691" s="47" t="e">
        <f t="shared" si="31"/>
        <v>#DIV/0!</v>
      </c>
      <c r="U691" s="49" t="e">
        <f t="shared" si="33"/>
        <v>#DIV/0!</v>
      </c>
    </row>
    <row r="692" customHeight="1" spans="1:21">
      <c r="A692" s="42" t="str">
        <f t="shared" si="32"/>
        <v/>
      </c>
      <c r="G692" s="47" t="e">
        <f t="shared" si="31"/>
        <v>#DIV/0!</v>
      </c>
      <c r="U692" s="49" t="e">
        <f t="shared" si="33"/>
        <v>#DIV/0!</v>
      </c>
    </row>
    <row r="693" customHeight="1" spans="1:21">
      <c r="A693" s="42" t="str">
        <f t="shared" si="32"/>
        <v/>
      </c>
      <c r="G693" s="47" t="e">
        <f t="shared" si="31"/>
        <v>#DIV/0!</v>
      </c>
      <c r="U693" s="49" t="e">
        <f t="shared" si="33"/>
        <v>#DIV/0!</v>
      </c>
    </row>
    <row r="694" customHeight="1" spans="1:21">
      <c r="A694" s="42" t="str">
        <f t="shared" si="32"/>
        <v/>
      </c>
      <c r="G694" s="47" t="e">
        <f t="shared" si="31"/>
        <v>#DIV/0!</v>
      </c>
      <c r="U694" s="49" t="e">
        <f t="shared" si="33"/>
        <v>#DIV/0!</v>
      </c>
    </row>
    <row r="695" customHeight="1" spans="1:21">
      <c r="A695" s="42" t="str">
        <f t="shared" si="32"/>
        <v/>
      </c>
      <c r="G695" s="47" t="e">
        <f t="shared" si="31"/>
        <v>#DIV/0!</v>
      </c>
      <c r="U695" s="49" t="e">
        <f t="shared" si="33"/>
        <v>#DIV/0!</v>
      </c>
    </row>
    <row r="696" customHeight="1" spans="1:21">
      <c r="A696" s="42" t="str">
        <f t="shared" si="32"/>
        <v/>
      </c>
      <c r="G696" s="47" t="e">
        <f t="shared" si="31"/>
        <v>#DIV/0!</v>
      </c>
      <c r="U696" s="49" t="e">
        <f t="shared" si="33"/>
        <v>#DIV/0!</v>
      </c>
    </row>
    <row r="697" customHeight="1" spans="1:21">
      <c r="A697" s="42" t="str">
        <f t="shared" si="32"/>
        <v/>
      </c>
      <c r="G697" s="47" t="e">
        <f t="shared" si="31"/>
        <v>#DIV/0!</v>
      </c>
      <c r="U697" s="49" t="e">
        <f t="shared" si="33"/>
        <v>#DIV/0!</v>
      </c>
    </row>
    <row r="698" customHeight="1" spans="1:21">
      <c r="A698" s="42" t="str">
        <f t="shared" si="32"/>
        <v/>
      </c>
      <c r="G698" s="47" t="e">
        <f t="shared" si="31"/>
        <v>#DIV/0!</v>
      </c>
      <c r="U698" s="49" t="e">
        <f t="shared" si="33"/>
        <v>#DIV/0!</v>
      </c>
    </row>
    <row r="699" customHeight="1" spans="1:21">
      <c r="A699" s="42" t="str">
        <f t="shared" si="32"/>
        <v/>
      </c>
      <c r="G699" s="47" t="e">
        <f t="shared" si="31"/>
        <v>#DIV/0!</v>
      </c>
      <c r="U699" s="49" t="e">
        <f t="shared" si="33"/>
        <v>#DIV/0!</v>
      </c>
    </row>
    <row r="700" customHeight="1" spans="1:21">
      <c r="A700" s="42" t="str">
        <f t="shared" si="32"/>
        <v/>
      </c>
      <c r="G700" s="47" t="e">
        <f t="shared" si="31"/>
        <v>#DIV/0!</v>
      </c>
      <c r="U700" s="49" t="e">
        <f t="shared" si="33"/>
        <v>#DIV/0!</v>
      </c>
    </row>
    <row r="701" customHeight="1" spans="1:21">
      <c r="A701" s="42" t="str">
        <f t="shared" si="32"/>
        <v/>
      </c>
      <c r="G701" s="47" t="e">
        <f t="shared" si="31"/>
        <v>#DIV/0!</v>
      </c>
      <c r="U701" s="49" t="e">
        <f t="shared" si="33"/>
        <v>#DIV/0!</v>
      </c>
    </row>
    <row r="702" customHeight="1" spans="1:21">
      <c r="A702" s="42" t="str">
        <f t="shared" si="32"/>
        <v/>
      </c>
      <c r="G702" s="47" t="e">
        <f t="shared" si="31"/>
        <v>#DIV/0!</v>
      </c>
      <c r="U702" s="49" t="e">
        <f t="shared" si="33"/>
        <v>#DIV/0!</v>
      </c>
    </row>
    <row r="703" customHeight="1" spans="1:21">
      <c r="A703" s="42" t="str">
        <f t="shared" si="32"/>
        <v/>
      </c>
      <c r="G703" s="47" t="e">
        <f t="shared" si="31"/>
        <v>#DIV/0!</v>
      </c>
      <c r="U703" s="49" t="e">
        <f t="shared" si="33"/>
        <v>#DIV/0!</v>
      </c>
    </row>
    <row r="704" customHeight="1" spans="1:21">
      <c r="A704" s="42" t="str">
        <f t="shared" si="32"/>
        <v/>
      </c>
      <c r="G704" s="47" t="e">
        <f t="shared" si="31"/>
        <v>#DIV/0!</v>
      </c>
      <c r="U704" s="49" t="e">
        <f t="shared" si="33"/>
        <v>#DIV/0!</v>
      </c>
    </row>
    <row r="705" customHeight="1" spans="1:21">
      <c r="A705" s="42" t="str">
        <f t="shared" si="32"/>
        <v/>
      </c>
      <c r="G705" s="47" t="e">
        <f t="shared" si="31"/>
        <v>#DIV/0!</v>
      </c>
      <c r="U705" s="49" t="e">
        <f t="shared" si="33"/>
        <v>#DIV/0!</v>
      </c>
    </row>
    <row r="706" customHeight="1" spans="1:21">
      <c r="A706" s="42" t="str">
        <f t="shared" si="32"/>
        <v/>
      </c>
      <c r="G706" s="47" t="e">
        <f t="shared" si="31"/>
        <v>#DIV/0!</v>
      </c>
      <c r="U706" s="49" t="e">
        <f t="shared" si="33"/>
        <v>#DIV/0!</v>
      </c>
    </row>
    <row r="707" customHeight="1" spans="1:21">
      <c r="A707" s="42" t="str">
        <f t="shared" si="32"/>
        <v/>
      </c>
      <c r="G707" s="47" t="e">
        <f t="shared" ref="G707:G770" si="34">+E707/F707</f>
        <v>#DIV/0!</v>
      </c>
      <c r="U707" s="49" t="e">
        <f t="shared" si="33"/>
        <v>#DIV/0!</v>
      </c>
    </row>
    <row r="708" customHeight="1" spans="1:21">
      <c r="A708" s="42" t="str">
        <f t="shared" ref="A708:A771" si="35">B708&amp;C708&amp;D708</f>
        <v/>
      </c>
      <c r="G708" s="47" t="e">
        <f t="shared" si="34"/>
        <v>#DIV/0!</v>
      </c>
      <c r="U708" s="49" t="e">
        <f t="shared" ref="U708:U771" si="36">SUM(G708:T708)</f>
        <v>#DIV/0!</v>
      </c>
    </row>
    <row r="709" customHeight="1" spans="1:21">
      <c r="A709" s="42" t="str">
        <f t="shared" si="35"/>
        <v/>
      </c>
      <c r="G709" s="47" t="e">
        <f t="shared" si="34"/>
        <v>#DIV/0!</v>
      </c>
      <c r="U709" s="49" t="e">
        <f t="shared" si="36"/>
        <v>#DIV/0!</v>
      </c>
    </row>
    <row r="710" customHeight="1" spans="1:21">
      <c r="A710" s="42" t="str">
        <f t="shared" si="35"/>
        <v/>
      </c>
      <c r="G710" s="47" t="e">
        <f t="shared" si="34"/>
        <v>#DIV/0!</v>
      </c>
      <c r="U710" s="49" t="e">
        <f t="shared" si="36"/>
        <v>#DIV/0!</v>
      </c>
    </row>
    <row r="711" customHeight="1" spans="1:21">
      <c r="A711" s="42" t="str">
        <f t="shared" si="35"/>
        <v/>
      </c>
      <c r="G711" s="47" t="e">
        <f t="shared" si="34"/>
        <v>#DIV/0!</v>
      </c>
      <c r="U711" s="49" t="e">
        <f t="shared" si="36"/>
        <v>#DIV/0!</v>
      </c>
    </row>
    <row r="712" customHeight="1" spans="1:21">
      <c r="A712" s="42" t="str">
        <f t="shared" si="35"/>
        <v/>
      </c>
      <c r="G712" s="47" t="e">
        <f t="shared" si="34"/>
        <v>#DIV/0!</v>
      </c>
      <c r="U712" s="49" t="e">
        <f t="shared" si="36"/>
        <v>#DIV/0!</v>
      </c>
    </row>
    <row r="713" customHeight="1" spans="1:21">
      <c r="A713" s="42" t="str">
        <f t="shared" si="35"/>
        <v/>
      </c>
      <c r="G713" s="47" t="e">
        <f t="shared" si="34"/>
        <v>#DIV/0!</v>
      </c>
      <c r="U713" s="49" t="e">
        <f t="shared" si="36"/>
        <v>#DIV/0!</v>
      </c>
    </row>
    <row r="714" customHeight="1" spans="1:21">
      <c r="A714" s="42" t="str">
        <f t="shared" si="35"/>
        <v/>
      </c>
      <c r="G714" s="47" t="e">
        <f t="shared" si="34"/>
        <v>#DIV/0!</v>
      </c>
      <c r="U714" s="49" t="e">
        <f t="shared" si="36"/>
        <v>#DIV/0!</v>
      </c>
    </row>
    <row r="715" customHeight="1" spans="1:21">
      <c r="A715" s="42" t="str">
        <f t="shared" si="35"/>
        <v/>
      </c>
      <c r="G715" s="47" t="e">
        <f t="shared" si="34"/>
        <v>#DIV/0!</v>
      </c>
      <c r="U715" s="49" t="e">
        <f t="shared" si="36"/>
        <v>#DIV/0!</v>
      </c>
    </row>
    <row r="716" customHeight="1" spans="1:21">
      <c r="A716" s="42" t="str">
        <f t="shared" si="35"/>
        <v/>
      </c>
      <c r="G716" s="47" t="e">
        <f t="shared" si="34"/>
        <v>#DIV/0!</v>
      </c>
      <c r="U716" s="49" t="e">
        <f t="shared" si="36"/>
        <v>#DIV/0!</v>
      </c>
    </row>
    <row r="717" customHeight="1" spans="1:21">
      <c r="A717" s="42" t="str">
        <f t="shared" si="35"/>
        <v/>
      </c>
      <c r="G717" s="47" t="e">
        <f t="shared" si="34"/>
        <v>#DIV/0!</v>
      </c>
      <c r="U717" s="49" t="e">
        <f t="shared" si="36"/>
        <v>#DIV/0!</v>
      </c>
    </row>
    <row r="718" customHeight="1" spans="1:21">
      <c r="A718" s="42" t="str">
        <f t="shared" si="35"/>
        <v/>
      </c>
      <c r="G718" s="47" t="e">
        <f t="shared" si="34"/>
        <v>#DIV/0!</v>
      </c>
      <c r="U718" s="49" t="e">
        <f t="shared" si="36"/>
        <v>#DIV/0!</v>
      </c>
    </row>
    <row r="719" customHeight="1" spans="1:21">
      <c r="A719" s="42" t="str">
        <f t="shared" si="35"/>
        <v/>
      </c>
      <c r="G719" s="47" t="e">
        <f t="shared" si="34"/>
        <v>#DIV/0!</v>
      </c>
      <c r="U719" s="49" t="e">
        <f t="shared" si="36"/>
        <v>#DIV/0!</v>
      </c>
    </row>
    <row r="720" customHeight="1" spans="1:21">
      <c r="A720" s="42" t="str">
        <f t="shared" si="35"/>
        <v/>
      </c>
      <c r="G720" s="47" t="e">
        <f t="shared" si="34"/>
        <v>#DIV/0!</v>
      </c>
      <c r="U720" s="49" t="e">
        <f t="shared" si="36"/>
        <v>#DIV/0!</v>
      </c>
    </row>
    <row r="721" customHeight="1" spans="1:21">
      <c r="A721" s="42" t="str">
        <f t="shared" si="35"/>
        <v/>
      </c>
      <c r="G721" s="47" t="e">
        <f t="shared" si="34"/>
        <v>#DIV/0!</v>
      </c>
      <c r="U721" s="49" t="e">
        <f t="shared" si="36"/>
        <v>#DIV/0!</v>
      </c>
    </row>
    <row r="722" customHeight="1" spans="1:21">
      <c r="A722" s="42" t="str">
        <f t="shared" si="35"/>
        <v/>
      </c>
      <c r="G722" s="47" t="e">
        <f t="shared" si="34"/>
        <v>#DIV/0!</v>
      </c>
      <c r="U722" s="49" t="e">
        <f t="shared" si="36"/>
        <v>#DIV/0!</v>
      </c>
    </row>
    <row r="723" customHeight="1" spans="1:21">
      <c r="A723" s="42" t="str">
        <f t="shared" si="35"/>
        <v/>
      </c>
      <c r="G723" s="47" t="e">
        <f t="shared" si="34"/>
        <v>#DIV/0!</v>
      </c>
      <c r="U723" s="49" t="e">
        <f t="shared" si="36"/>
        <v>#DIV/0!</v>
      </c>
    </row>
    <row r="724" customHeight="1" spans="1:21">
      <c r="A724" s="42" t="str">
        <f t="shared" si="35"/>
        <v/>
      </c>
      <c r="G724" s="47" t="e">
        <f t="shared" si="34"/>
        <v>#DIV/0!</v>
      </c>
      <c r="U724" s="49" t="e">
        <f t="shared" si="36"/>
        <v>#DIV/0!</v>
      </c>
    </row>
    <row r="725" customHeight="1" spans="1:21">
      <c r="A725" s="42" t="str">
        <f t="shared" si="35"/>
        <v/>
      </c>
      <c r="G725" s="47" t="e">
        <f t="shared" si="34"/>
        <v>#DIV/0!</v>
      </c>
      <c r="U725" s="49" t="e">
        <f t="shared" si="36"/>
        <v>#DIV/0!</v>
      </c>
    </row>
    <row r="726" customHeight="1" spans="1:21">
      <c r="A726" s="42" t="str">
        <f t="shared" si="35"/>
        <v/>
      </c>
      <c r="G726" s="47" t="e">
        <f t="shared" si="34"/>
        <v>#DIV/0!</v>
      </c>
      <c r="U726" s="49" t="e">
        <f t="shared" si="36"/>
        <v>#DIV/0!</v>
      </c>
    </row>
    <row r="727" customHeight="1" spans="1:21">
      <c r="A727" s="42" t="str">
        <f t="shared" si="35"/>
        <v/>
      </c>
      <c r="G727" s="47" t="e">
        <f t="shared" si="34"/>
        <v>#DIV/0!</v>
      </c>
      <c r="U727" s="49" t="e">
        <f t="shared" si="36"/>
        <v>#DIV/0!</v>
      </c>
    </row>
    <row r="728" customHeight="1" spans="1:21">
      <c r="A728" s="42" t="str">
        <f t="shared" si="35"/>
        <v/>
      </c>
      <c r="G728" s="47" t="e">
        <f t="shared" si="34"/>
        <v>#DIV/0!</v>
      </c>
      <c r="U728" s="49" t="e">
        <f t="shared" si="36"/>
        <v>#DIV/0!</v>
      </c>
    </row>
    <row r="729" customHeight="1" spans="1:21">
      <c r="A729" s="42" t="str">
        <f t="shared" si="35"/>
        <v/>
      </c>
      <c r="G729" s="47" t="e">
        <f t="shared" si="34"/>
        <v>#DIV/0!</v>
      </c>
      <c r="U729" s="49" t="e">
        <f t="shared" si="36"/>
        <v>#DIV/0!</v>
      </c>
    </row>
    <row r="730" customHeight="1" spans="1:21">
      <c r="A730" s="42" t="str">
        <f t="shared" si="35"/>
        <v/>
      </c>
      <c r="G730" s="47" t="e">
        <f t="shared" si="34"/>
        <v>#DIV/0!</v>
      </c>
      <c r="U730" s="49" t="e">
        <f t="shared" si="36"/>
        <v>#DIV/0!</v>
      </c>
    </row>
    <row r="731" customHeight="1" spans="1:21">
      <c r="A731" s="42" t="str">
        <f t="shared" si="35"/>
        <v/>
      </c>
      <c r="G731" s="47" t="e">
        <f t="shared" si="34"/>
        <v>#DIV/0!</v>
      </c>
      <c r="U731" s="49" t="e">
        <f t="shared" si="36"/>
        <v>#DIV/0!</v>
      </c>
    </row>
    <row r="732" customHeight="1" spans="1:21">
      <c r="A732" s="42" t="str">
        <f t="shared" si="35"/>
        <v/>
      </c>
      <c r="G732" s="47" t="e">
        <f t="shared" si="34"/>
        <v>#DIV/0!</v>
      </c>
      <c r="U732" s="49" t="e">
        <f t="shared" si="36"/>
        <v>#DIV/0!</v>
      </c>
    </row>
    <row r="733" customHeight="1" spans="1:21">
      <c r="A733" s="42" t="str">
        <f t="shared" si="35"/>
        <v/>
      </c>
      <c r="G733" s="47" t="e">
        <f t="shared" si="34"/>
        <v>#DIV/0!</v>
      </c>
      <c r="U733" s="49" t="e">
        <f t="shared" si="36"/>
        <v>#DIV/0!</v>
      </c>
    </row>
    <row r="734" customHeight="1" spans="1:21">
      <c r="A734" s="42" t="str">
        <f t="shared" si="35"/>
        <v/>
      </c>
      <c r="G734" s="47" t="e">
        <f t="shared" si="34"/>
        <v>#DIV/0!</v>
      </c>
      <c r="U734" s="49" t="e">
        <f t="shared" si="36"/>
        <v>#DIV/0!</v>
      </c>
    </row>
    <row r="735" customHeight="1" spans="1:21">
      <c r="A735" s="42" t="str">
        <f t="shared" si="35"/>
        <v/>
      </c>
      <c r="G735" s="47" t="e">
        <f t="shared" si="34"/>
        <v>#DIV/0!</v>
      </c>
      <c r="U735" s="49" t="e">
        <f t="shared" si="36"/>
        <v>#DIV/0!</v>
      </c>
    </row>
    <row r="736" customHeight="1" spans="1:21">
      <c r="A736" s="42" t="str">
        <f t="shared" si="35"/>
        <v/>
      </c>
      <c r="G736" s="47" t="e">
        <f t="shared" si="34"/>
        <v>#DIV/0!</v>
      </c>
      <c r="U736" s="49" t="e">
        <f t="shared" si="36"/>
        <v>#DIV/0!</v>
      </c>
    </row>
    <row r="737" customHeight="1" spans="1:21">
      <c r="A737" s="42" t="str">
        <f t="shared" si="35"/>
        <v/>
      </c>
      <c r="G737" s="47" t="e">
        <f t="shared" si="34"/>
        <v>#DIV/0!</v>
      </c>
      <c r="U737" s="49" t="e">
        <f t="shared" si="36"/>
        <v>#DIV/0!</v>
      </c>
    </row>
    <row r="738" customHeight="1" spans="1:21">
      <c r="A738" s="42" t="str">
        <f t="shared" si="35"/>
        <v/>
      </c>
      <c r="G738" s="47" t="e">
        <f t="shared" si="34"/>
        <v>#DIV/0!</v>
      </c>
      <c r="U738" s="49" t="e">
        <f t="shared" si="36"/>
        <v>#DIV/0!</v>
      </c>
    </row>
    <row r="739" customHeight="1" spans="1:21">
      <c r="A739" s="42" t="str">
        <f t="shared" si="35"/>
        <v/>
      </c>
      <c r="G739" s="47" t="e">
        <f t="shared" si="34"/>
        <v>#DIV/0!</v>
      </c>
      <c r="U739" s="49" t="e">
        <f t="shared" si="36"/>
        <v>#DIV/0!</v>
      </c>
    </row>
    <row r="740" customHeight="1" spans="1:21">
      <c r="A740" s="42" t="str">
        <f t="shared" si="35"/>
        <v/>
      </c>
      <c r="G740" s="47" t="e">
        <f t="shared" si="34"/>
        <v>#DIV/0!</v>
      </c>
      <c r="U740" s="49" t="e">
        <f t="shared" si="36"/>
        <v>#DIV/0!</v>
      </c>
    </row>
    <row r="741" customHeight="1" spans="1:21">
      <c r="A741" s="42" t="str">
        <f t="shared" si="35"/>
        <v/>
      </c>
      <c r="G741" s="47" t="e">
        <f t="shared" si="34"/>
        <v>#DIV/0!</v>
      </c>
      <c r="U741" s="49" t="e">
        <f t="shared" si="36"/>
        <v>#DIV/0!</v>
      </c>
    </row>
    <row r="742" customHeight="1" spans="1:21">
      <c r="A742" s="42" t="str">
        <f t="shared" si="35"/>
        <v/>
      </c>
      <c r="G742" s="47" t="e">
        <f t="shared" si="34"/>
        <v>#DIV/0!</v>
      </c>
      <c r="U742" s="49" t="e">
        <f t="shared" si="36"/>
        <v>#DIV/0!</v>
      </c>
    </row>
    <row r="743" customHeight="1" spans="1:21">
      <c r="A743" s="42" t="str">
        <f t="shared" si="35"/>
        <v/>
      </c>
      <c r="G743" s="47" t="e">
        <f t="shared" si="34"/>
        <v>#DIV/0!</v>
      </c>
      <c r="U743" s="49" t="e">
        <f t="shared" si="36"/>
        <v>#DIV/0!</v>
      </c>
    </row>
    <row r="744" customHeight="1" spans="1:21">
      <c r="A744" s="42" t="str">
        <f t="shared" si="35"/>
        <v/>
      </c>
      <c r="G744" s="47" t="e">
        <f t="shared" si="34"/>
        <v>#DIV/0!</v>
      </c>
      <c r="U744" s="49" t="e">
        <f t="shared" si="36"/>
        <v>#DIV/0!</v>
      </c>
    </row>
    <row r="745" customHeight="1" spans="1:21">
      <c r="A745" s="42" t="str">
        <f t="shared" si="35"/>
        <v/>
      </c>
      <c r="G745" s="47" t="e">
        <f t="shared" si="34"/>
        <v>#DIV/0!</v>
      </c>
      <c r="U745" s="49" t="e">
        <f t="shared" si="36"/>
        <v>#DIV/0!</v>
      </c>
    </row>
    <row r="746" customHeight="1" spans="1:21">
      <c r="A746" s="42" t="str">
        <f t="shared" si="35"/>
        <v/>
      </c>
      <c r="G746" s="47" t="e">
        <f t="shared" si="34"/>
        <v>#DIV/0!</v>
      </c>
      <c r="U746" s="49" t="e">
        <f t="shared" si="36"/>
        <v>#DIV/0!</v>
      </c>
    </row>
    <row r="747" customHeight="1" spans="1:21">
      <c r="A747" s="42" t="str">
        <f t="shared" si="35"/>
        <v/>
      </c>
      <c r="G747" s="47" t="e">
        <f t="shared" si="34"/>
        <v>#DIV/0!</v>
      </c>
      <c r="U747" s="49" t="e">
        <f t="shared" si="36"/>
        <v>#DIV/0!</v>
      </c>
    </row>
    <row r="748" customHeight="1" spans="1:21">
      <c r="A748" s="42" t="str">
        <f t="shared" si="35"/>
        <v/>
      </c>
      <c r="G748" s="47" t="e">
        <f t="shared" si="34"/>
        <v>#DIV/0!</v>
      </c>
      <c r="U748" s="49" t="e">
        <f t="shared" si="36"/>
        <v>#DIV/0!</v>
      </c>
    </row>
    <row r="749" customHeight="1" spans="1:21">
      <c r="A749" s="42" t="str">
        <f t="shared" si="35"/>
        <v/>
      </c>
      <c r="G749" s="47" t="e">
        <f t="shared" si="34"/>
        <v>#DIV/0!</v>
      </c>
      <c r="U749" s="49" t="e">
        <f t="shared" si="36"/>
        <v>#DIV/0!</v>
      </c>
    </row>
    <row r="750" customHeight="1" spans="1:21">
      <c r="A750" s="42" t="str">
        <f t="shared" si="35"/>
        <v/>
      </c>
      <c r="G750" s="47" t="e">
        <f t="shared" si="34"/>
        <v>#DIV/0!</v>
      </c>
      <c r="U750" s="49" t="e">
        <f t="shared" si="36"/>
        <v>#DIV/0!</v>
      </c>
    </row>
    <row r="751" customHeight="1" spans="1:21">
      <c r="A751" s="42" t="str">
        <f t="shared" si="35"/>
        <v/>
      </c>
      <c r="G751" s="47" t="e">
        <f t="shared" si="34"/>
        <v>#DIV/0!</v>
      </c>
      <c r="U751" s="49" t="e">
        <f t="shared" si="36"/>
        <v>#DIV/0!</v>
      </c>
    </row>
    <row r="752" customHeight="1" spans="1:21">
      <c r="A752" s="42" t="str">
        <f t="shared" si="35"/>
        <v/>
      </c>
      <c r="G752" s="47" t="e">
        <f t="shared" si="34"/>
        <v>#DIV/0!</v>
      </c>
      <c r="U752" s="49" t="e">
        <f t="shared" si="36"/>
        <v>#DIV/0!</v>
      </c>
    </row>
    <row r="753" customHeight="1" spans="1:21">
      <c r="A753" s="42" t="str">
        <f t="shared" si="35"/>
        <v/>
      </c>
      <c r="G753" s="47" t="e">
        <f t="shared" si="34"/>
        <v>#DIV/0!</v>
      </c>
      <c r="U753" s="49" t="e">
        <f t="shared" si="36"/>
        <v>#DIV/0!</v>
      </c>
    </row>
    <row r="754" customHeight="1" spans="1:21">
      <c r="A754" s="42" t="str">
        <f t="shared" si="35"/>
        <v/>
      </c>
      <c r="G754" s="47" t="e">
        <f t="shared" si="34"/>
        <v>#DIV/0!</v>
      </c>
      <c r="U754" s="49" t="e">
        <f t="shared" si="36"/>
        <v>#DIV/0!</v>
      </c>
    </row>
    <row r="755" customHeight="1" spans="1:21">
      <c r="A755" s="42" t="str">
        <f t="shared" si="35"/>
        <v/>
      </c>
      <c r="G755" s="47" t="e">
        <f t="shared" si="34"/>
        <v>#DIV/0!</v>
      </c>
      <c r="U755" s="49" t="e">
        <f t="shared" si="36"/>
        <v>#DIV/0!</v>
      </c>
    </row>
    <row r="756" customHeight="1" spans="1:21">
      <c r="A756" s="42" t="str">
        <f t="shared" si="35"/>
        <v/>
      </c>
      <c r="G756" s="47" t="e">
        <f t="shared" si="34"/>
        <v>#DIV/0!</v>
      </c>
      <c r="U756" s="49" t="e">
        <f t="shared" si="36"/>
        <v>#DIV/0!</v>
      </c>
    </row>
    <row r="757" customHeight="1" spans="1:21">
      <c r="A757" s="42" t="str">
        <f t="shared" si="35"/>
        <v/>
      </c>
      <c r="G757" s="47" t="e">
        <f t="shared" si="34"/>
        <v>#DIV/0!</v>
      </c>
      <c r="U757" s="49" t="e">
        <f t="shared" si="36"/>
        <v>#DIV/0!</v>
      </c>
    </row>
    <row r="758" customHeight="1" spans="1:21">
      <c r="A758" s="42" t="str">
        <f t="shared" si="35"/>
        <v/>
      </c>
      <c r="G758" s="47" t="e">
        <f t="shared" si="34"/>
        <v>#DIV/0!</v>
      </c>
      <c r="U758" s="49" t="e">
        <f t="shared" si="36"/>
        <v>#DIV/0!</v>
      </c>
    </row>
    <row r="759" customHeight="1" spans="1:21">
      <c r="A759" s="42" t="str">
        <f t="shared" si="35"/>
        <v/>
      </c>
      <c r="G759" s="47" t="e">
        <f t="shared" si="34"/>
        <v>#DIV/0!</v>
      </c>
      <c r="U759" s="49" t="e">
        <f t="shared" si="36"/>
        <v>#DIV/0!</v>
      </c>
    </row>
    <row r="760" customHeight="1" spans="1:21">
      <c r="A760" s="42" t="str">
        <f t="shared" si="35"/>
        <v/>
      </c>
      <c r="G760" s="47" t="e">
        <f t="shared" si="34"/>
        <v>#DIV/0!</v>
      </c>
      <c r="U760" s="49" t="e">
        <f t="shared" si="36"/>
        <v>#DIV/0!</v>
      </c>
    </row>
    <row r="761" customHeight="1" spans="1:21">
      <c r="A761" s="42" t="str">
        <f t="shared" si="35"/>
        <v/>
      </c>
      <c r="G761" s="47" t="e">
        <f t="shared" si="34"/>
        <v>#DIV/0!</v>
      </c>
      <c r="U761" s="49" t="e">
        <f t="shared" si="36"/>
        <v>#DIV/0!</v>
      </c>
    </row>
    <row r="762" customHeight="1" spans="1:21">
      <c r="A762" s="42" t="str">
        <f t="shared" si="35"/>
        <v/>
      </c>
      <c r="G762" s="47" t="e">
        <f t="shared" si="34"/>
        <v>#DIV/0!</v>
      </c>
      <c r="U762" s="49" t="e">
        <f t="shared" si="36"/>
        <v>#DIV/0!</v>
      </c>
    </row>
    <row r="763" customHeight="1" spans="1:21">
      <c r="A763" s="42" t="str">
        <f t="shared" si="35"/>
        <v/>
      </c>
      <c r="G763" s="47" t="e">
        <f t="shared" si="34"/>
        <v>#DIV/0!</v>
      </c>
      <c r="U763" s="49" t="e">
        <f t="shared" si="36"/>
        <v>#DIV/0!</v>
      </c>
    </row>
    <row r="764" customHeight="1" spans="1:21">
      <c r="A764" s="42" t="str">
        <f t="shared" si="35"/>
        <v/>
      </c>
      <c r="G764" s="47" t="e">
        <f t="shared" si="34"/>
        <v>#DIV/0!</v>
      </c>
      <c r="U764" s="49" t="e">
        <f t="shared" si="36"/>
        <v>#DIV/0!</v>
      </c>
    </row>
    <row r="765" customHeight="1" spans="1:21">
      <c r="A765" s="42" t="str">
        <f t="shared" si="35"/>
        <v/>
      </c>
      <c r="G765" s="47" t="e">
        <f t="shared" si="34"/>
        <v>#DIV/0!</v>
      </c>
      <c r="U765" s="49" t="e">
        <f t="shared" si="36"/>
        <v>#DIV/0!</v>
      </c>
    </row>
    <row r="766" customHeight="1" spans="1:21">
      <c r="A766" s="42" t="str">
        <f t="shared" si="35"/>
        <v/>
      </c>
      <c r="G766" s="47" t="e">
        <f t="shared" si="34"/>
        <v>#DIV/0!</v>
      </c>
      <c r="U766" s="49" t="e">
        <f t="shared" si="36"/>
        <v>#DIV/0!</v>
      </c>
    </row>
    <row r="767" customHeight="1" spans="1:21">
      <c r="A767" s="42" t="str">
        <f t="shared" si="35"/>
        <v/>
      </c>
      <c r="G767" s="47" t="e">
        <f t="shared" si="34"/>
        <v>#DIV/0!</v>
      </c>
      <c r="U767" s="49" t="e">
        <f t="shared" si="36"/>
        <v>#DIV/0!</v>
      </c>
    </row>
    <row r="768" customHeight="1" spans="1:21">
      <c r="A768" s="42" t="str">
        <f t="shared" si="35"/>
        <v/>
      </c>
      <c r="G768" s="47" t="e">
        <f t="shared" si="34"/>
        <v>#DIV/0!</v>
      </c>
      <c r="U768" s="49" t="e">
        <f t="shared" si="36"/>
        <v>#DIV/0!</v>
      </c>
    </row>
    <row r="769" customHeight="1" spans="1:21">
      <c r="A769" s="42" t="str">
        <f t="shared" si="35"/>
        <v/>
      </c>
      <c r="G769" s="47" t="e">
        <f t="shared" si="34"/>
        <v>#DIV/0!</v>
      </c>
      <c r="U769" s="49" t="e">
        <f t="shared" si="36"/>
        <v>#DIV/0!</v>
      </c>
    </row>
    <row r="770" customHeight="1" spans="1:21">
      <c r="A770" s="42" t="str">
        <f t="shared" si="35"/>
        <v/>
      </c>
      <c r="G770" s="47" t="e">
        <f t="shared" si="34"/>
        <v>#DIV/0!</v>
      </c>
      <c r="U770" s="49" t="e">
        <f t="shared" si="36"/>
        <v>#DIV/0!</v>
      </c>
    </row>
    <row r="771" customHeight="1" spans="1:21">
      <c r="A771" s="42" t="str">
        <f t="shared" si="35"/>
        <v/>
      </c>
      <c r="G771" s="47" t="e">
        <f t="shared" ref="G771:G834" si="37">+E771/F771</f>
        <v>#DIV/0!</v>
      </c>
      <c r="U771" s="49" t="e">
        <f t="shared" si="36"/>
        <v>#DIV/0!</v>
      </c>
    </row>
    <row r="772" customHeight="1" spans="1:21">
      <c r="A772" s="42" t="str">
        <f t="shared" ref="A772:A835" si="38">B772&amp;C772&amp;D772</f>
        <v/>
      </c>
      <c r="G772" s="47" t="e">
        <f t="shared" si="37"/>
        <v>#DIV/0!</v>
      </c>
      <c r="U772" s="49" t="e">
        <f t="shared" ref="U772:U835" si="39">SUM(G772:T772)</f>
        <v>#DIV/0!</v>
      </c>
    </row>
    <row r="773" customHeight="1" spans="1:21">
      <c r="A773" s="42" t="str">
        <f t="shared" si="38"/>
        <v/>
      </c>
      <c r="G773" s="47" t="e">
        <f t="shared" si="37"/>
        <v>#DIV/0!</v>
      </c>
      <c r="U773" s="49" t="e">
        <f t="shared" si="39"/>
        <v>#DIV/0!</v>
      </c>
    </row>
    <row r="774" customHeight="1" spans="1:21">
      <c r="A774" s="42" t="str">
        <f t="shared" si="38"/>
        <v/>
      </c>
      <c r="G774" s="47" t="e">
        <f t="shared" si="37"/>
        <v>#DIV/0!</v>
      </c>
      <c r="U774" s="49" t="e">
        <f t="shared" si="39"/>
        <v>#DIV/0!</v>
      </c>
    </row>
    <row r="775" customHeight="1" spans="1:21">
      <c r="A775" s="42" t="str">
        <f t="shared" si="38"/>
        <v/>
      </c>
      <c r="G775" s="47" t="e">
        <f t="shared" si="37"/>
        <v>#DIV/0!</v>
      </c>
      <c r="U775" s="49" t="e">
        <f t="shared" si="39"/>
        <v>#DIV/0!</v>
      </c>
    </row>
    <row r="776" customHeight="1" spans="1:21">
      <c r="A776" s="42" t="str">
        <f t="shared" si="38"/>
        <v/>
      </c>
      <c r="G776" s="47" t="e">
        <f t="shared" si="37"/>
        <v>#DIV/0!</v>
      </c>
      <c r="U776" s="49" t="e">
        <f t="shared" si="39"/>
        <v>#DIV/0!</v>
      </c>
    </row>
    <row r="777" customHeight="1" spans="1:21">
      <c r="A777" s="42" t="str">
        <f t="shared" si="38"/>
        <v/>
      </c>
      <c r="G777" s="47" t="e">
        <f t="shared" si="37"/>
        <v>#DIV/0!</v>
      </c>
      <c r="U777" s="49" t="e">
        <f t="shared" si="39"/>
        <v>#DIV/0!</v>
      </c>
    </row>
    <row r="778" customHeight="1" spans="1:21">
      <c r="A778" s="42" t="str">
        <f t="shared" si="38"/>
        <v/>
      </c>
      <c r="G778" s="47" t="e">
        <f t="shared" si="37"/>
        <v>#DIV/0!</v>
      </c>
      <c r="U778" s="49" t="e">
        <f t="shared" si="39"/>
        <v>#DIV/0!</v>
      </c>
    </row>
    <row r="779" customHeight="1" spans="1:21">
      <c r="A779" s="42" t="str">
        <f t="shared" si="38"/>
        <v/>
      </c>
      <c r="G779" s="47" t="e">
        <f t="shared" si="37"/>
        <v>#DIV/0!</v>
      </c>
      <c r="U779" s="49" t="e">
        <f t="shared" si="39"/>
        <v>#DIV/0!</v>
      </c>
    </row>
    <row r="780" customHeight="1" spans="1:21">
      <c r="A780" s="42" t="str">
        <f t="shared" si="38"/>
        <v/>
      </c>
      <c r="G780" s="47" t="e">
        <f t="shared" si="37"/>
        <v>#DIV/0!</v>
      </c>
      <c r="U780" s="49" t="e">
        <f t="shared" si="39"/>
        <v>#DIV/0!</v>
      </c>
    </row>
    <row r="781" customHeight="1" spans="1:21">
      <c r="A781" s="42" t="str">
        <f t="shared" si="38"/>
        <v/>
      </c>
      <c r="G781" s="47" t="e">
        <f t="shared" si="37"/>
        <v>#DIV/0!</v>
      </c>
      <c r="U781" s="49" t="e">
        <f t="shared" si="39"/>
        <v>#DIV/0!</v>
      </c>
    </row>
    <row r="782" customHeight="1" spans="1:21">
      <c r="A782" s="42" t="str">
        <f t="shared" si="38"/>
        <v/>
      </c>
      <c r="G782" s="47" t="e">
        <f t="shared" si="37"/>
        <v>#DIV/0!</v>
      </c>
      <c r="U782" s="49" t="e">
        <f t="shared" si="39"/>
        <v>#DIV/0!</v>
      </c>
    </row>
    <row r="783" customHeight="1" spans="1:21">
      <c r="A783" s="42" t="str">
        <f t="shared" si="38"/>
        <v/>
      </c>
      <c r="G783" s="47" t="e">
        <f t="shared" si="37"/>
        <v>#DIV/0!</v>
      </c>
      <c r="U783" s="49" t="e">
        <f t="shared" si="39"/>
        <v>#DIV/0!</v>
      </c>
    </row>
    <row r="784" customHeight="1" spans="1:21">
      <c r="A784" s="42" t="str">
        <f t="shared" si="38"/>
        <v/>
      </c>
      <c r="G784" s="47" t="e">
        <f t="shared" si="37"/>
        <v>#DIV/0!</v>
      </c>
      <c r="U784" s="49" t="e">
        <f t="shared" si="39"/>
        <v>#DIV/0!</v>
      </c>
    </row>
    <row r="785" customHeight="1" spans="1:21">
      <c r="A785" s="42" t="str">
        <f t="shared" si="38"/>
        <v/>
      </c>
      <c r="G785" s="47" t="e">
        <f t="shared" si="37"/>
        <v>#DIV/0!</v>
      </c>
      <c r="U785" s="49" t="e">
        <f t="shared" si="39"/>
        <v>#DIV/0!</v>
      </c>
    </row>
    <row r="786" customHeight="1" spans="1:21">
      <c r="A786" s="42" t="str">
        <f t="shared" si="38"/>
        <v/>
      </c>
      <c r="G786" s="47" t="e">
        <f t="shared" si="37"/>
        <v>#DIV/0!</v>
      </c>
      <c r="U786" s="49" t="e">
        <f t="shared" si="39"/>
        <v>#DIV/0!</v>
      </c>
    </row>
    <row r="787" customHeight="1" spans="1:21">
      <c r="A787" s="42" t="str">
        <f t="shared" si="38"/>
        <v/>
      </c>
      <c r="G787" s="47" t="e">
        <f t="shared" si="37"/>
        <v>#DIV/0!</v>
      </c>
      <c r="U787" s="49" t="e">
        <f t="shared" si="39"/>
        <v>#DIV/0!</v>
      </c>
    </row>
    <row r="788" customHeight="1" spans="1:21">
      <c r="A788" s="42" t="str">
        <f t="shared" si="38"/>
        <v/>
      </c>
      <c r="G788" s="47" t="e">
        <f t="shared" si="37"/>
        <v>#DIV/0!</v>
      </c>
      <c r="U788" s="49" t="e">
        <f t="shared" si="39"/>
        <v>#DIV/0!</v>
      </c>
    </row>
    <row r="789" customHeight="1" spans="1:21">
      <c r="A789" s="42" t="str">
        <f t="shared" si="38"/>
        <v/>
      </c>
      <c r="G789" s="47" t="e">
        <f t="shared" si="37"/>
        <v>#DIV/0!</v>
      </c>
      <c r="U789" s="49" t="e">
        <f t="shared" si="39"/>
        <v>#DIV/0!</v>
      </c>
    </row>
    <row r="790" customHeight="1" spans="1:21">
      <c r="A790" s="42" t="str">
        <f t="shared" si="38"/>
        <v/>
      </c>
      <c r="G790" s="47" t="e">
        <f t="shared" si="37"/>
        <v>#DIV/0!</v>
      </c>
      <c r="U790" s="49" t="e">
        <f t="shared" si="39"/>
        <v>#DIV/0!</v>
      </c>
    </row>
    <row r="791" customHeight="1" spans="1:21">
      <c r="A791" s="42" t="str">
        <f t="shared" si="38"/>
        <v/>
      </c>
      <c r="G791" s="47" t="e">
        <f t="shared" si="37"/>
        <v>#DIV/0!</v>
      </c>
      <c r="U791" s="49" t="e">
        <f t="shared" si="39"/>
        <v>#DIV/0!</v>
      </c>
    </row>
    <row r="792" customHeight="1" spans="1:21">
      <c r="A792" s="42" t="str">
        <f t="shared" si="38"/>
        <v/>
      </c>
      <c r="G792" s="47" t="e">
        <f t="shared" si="37"/>
        <v>#DIV/0!</v>
      </c>
      <c r="U792" s="49" t="e">
        <f t="shared" si="39"/>
        <v>#DIV/0!</v>
      </c>
    </row>
    <row r="793" customHeight="1" spans="1:21">
      <c r="A793" s="42" t="str">
        <f t="shared" si="38"/>
        <v/>
      </c>
      <c r="G793" s="47" t="e">
        <f t="shared" si="37"/>
        <v>#DIV/0!</v>
      </c>
      <c r="U793" s="49" t="e">
        <f t="shared" si="39"/>
        <v>#DIV/0!</v>
      </c>
    </row>
    <row r="794" customHeight="1" spans="1:21">
      <c r="A794" s="42" t="str">
        <f t="shared" si="38"/>
        <v/>
      </c>
      <c r="G794" s="47" t="e">
        <f t="shared" si="37"/>
        <v>#DIV/0!</v>
      </c>
      <c r="U794" s="49" t="e">
        <f t="shared" si="39"/>
        <v>#DIV/0!</v>
      </c>
    </row>
    <row r="795" customHeight="1" spans="1:21">
      <c r="A795" s="42" t="str">
        <f t="shared" si="38"/>
        <v/>
      </c>
      <c r="G795" s="47" t="e">
        <f t="shared" si="37"/>
        <v>#DIV/0!</v>
      </c>
      <c r="U795" s="49" t="e">
        <f t="shared" si="39"/>
        <v>#DIV/0!</v>
      </c>
    </row>
    <row r="796" customHeight="1" spans="1:21">
      <c r="A796" s="42" t="str">
        <f t="shared" si="38"/>
        <v/>
      </c>
      <c r="G796" s="47" t="e">
        <f t="shared" si="37"/>
        <v>#DIV/0!</v>
      </c>
      <c r="U796" s="49" t="e">
        <f t="shared" si="39"/>
        <v>#DIV/0!</v>
      </c>
    </row>
    <row r="797" customHeight="1" spans="1:21">
      <c r="A797" s="42" t="str">
        <f t="shared" si="38"/>
        <v/>
      </c>
      <c r="G797" s="47" t="e">
        <f t="shared" si="37"/>
        <v>#DIV/0!</v>
      </c>
      <c r="U797" s="49" t="e">
        <f t="shared" si="39"/>
        <v>#DIV/0!</v>
      </c>
    </row>
    <row r="798" customHeight="1" spans="1:21">
      <c r="A798" s="42" t="str">
        <f t="shared" si="38"/>
        <v/>
      </c>
      <c r="G798" s="47" t="e">
        <f t="shared" si="37"/>
        <v>#DIV/0!</v>
      </c>
      <c r="U798" s="49" t="e">
        <f t="shared" si="39"/>
        <v>#DIV/0!</v>
      </c>
    </row>
    <row r="799" customHeight="1" spans="1:21">
      <c r="A799" s="42" t="str">
        <f t="shared" si="38"/>
        <v/>
      </c>
      <c r="G799" s="47" t="e">
        <f t="shared" si="37"/>
        <v>#DIV/0!</v>
      </c>
      <c r="U799" s="49" t="e">
        <f t="shared" si="39"/>
        <v>#DIV/0!</v>
      </c>
    </row>
    <row r="800" customHeight="1" spans="1:21">
      <c r="A800" s="42" t="str">
        <f t="shared" si="38"/>
        <v/>
      </c>
      <c r="G800" s="47" t="e">
        <f t="shared" si="37"/>
        <v>#DIV/0!</v>
      </c>
      <c r="U800" s="49" t="e">
        <f t="shared" si="39"/>
        <v>#DIV/0!</v>
      </c>
    </row>
    <row r="801" customHeight="1" spans="1:21">
      <c r="A801" s="42" t="str">
        <f t="shared" si="38"/>
        <v/>
      </c>
      <c r="G801" s="47" t="e">
        <f t="shared" si="37"/>
        <v>#DIV/0!</v>
      </c>
      <c r="U801" s="49" t="e">
        <f t="shared" si="39"/>
        <v>#DIV/0!</v>
      </c>
    </row>
    <row r="802" customHeight="1" spans="1:21">
      <c r="A802" s="42" t="str">
        <f t="shared" si="38"/>
        <v/>
      </c>
      <c r="G802" s="47" t="e">
        <f t="shared" si="37"/>
        <v>#DIV/0!</v>
      </c>
      <c r="U802" s="49" t="e">
        <f t="shared" si="39"/>
        <v>#DIV/0!</v>
      </c>
    </row>
    <row r="803" customHeight="1" spans="1:21">
      <c r="A803" s="42" t="str">
        <f t="shared" si="38"/>
        <v/>
      </c>
      <c r="G803" s="47" t="e">
        <f t="shared" si="37"/>
        <v>#DIV/0!</v>
      </c>
      <c r="U803" s="49" t="e">
        <f t="shared" si="39"/>
        <v>#DIV/0!</v>
      </c>
    </row>
    <row r="804" customHeight="1" spans="1:21">
      <c r="A804" s="42" t="str">
        <f t="shared" si="38"/>
        <v/>
      </c>
      <c r="G804" s="47" t="e">
        <f t="shared" si="37"/>
        <v>#DIV/0!</v>
      </c>
      <c r="U804" s="49" t="e">
        <f t="shared" si="39"/>
        <v>#DIV/0!</v>
      </c>
    </row>
    <row r="805" customHeight="1" spans="1:21">
      <c r="A805" s="42" t="str">
        <f t="shared" si="38"/>
        <v/>
      </c>
      <c r="G805" s="47" t="e">
        <f t="shared" si="37"/>
        <v>#DIV/0!</v>
      </c>
      <c r="U805" s="49" t="e">
        <f t="shared" si="39"/>
        <v>#DIV/0!</v>
      </c>
    </row>
    <row r="806" customHeight="1" spans="1:21">
      <c r="A806" s="42" t="str">
        <f t="shared" si="38"/>
        <v/>
      </c>
      <c r="G806" s="47" t="e">
        <f t="shared" si="37"/>
        <v>#DIV/0!</v>
      </c>
      <c r="U806" s="49" t="e">
        <f t="shared" si="39"/>
        <v>#DIV/0!</v>
      </c>
    </row>
    <row r="807" customHeight="1" spans="1:21">
      <c r="A807" s="42" t="str">
        <f t="shared" si="38"/>
        <v/>
      </c>
      <c r="G807" s="47" t="e">
        <f t="shared" si="37"/>
        <v>#DIV/0!</v>
      </c>
      <c r="U807" s="49" t="e">
        <f t="shared" si="39"/>
        <v>#DIV/0!</v>
      </c>
    </row>
    <row r="808" customHeight="1" spans="1:21">
      <c r="A808" s="42" t="str">
        <f t="shared" si="38"/>
        <v/>
      </c>
      <c r="G808" s="47" t="e">
        <f t="shared" si="37"/>
        <v>#DIV/0!</v>
      </c>
      <c r="U808" s="49" t="e">
        <f t="shared" si="39"/>
        <v>#DIV/0!</v>
      </c>
    </row>
    <row r="809" customHeight="1" spans="1:21">
      <c r="A809" s="42" t="str">
        <f t="shared" si="38"/>
        <v/>
      </c>
      <c r="G809" s="47" t="e">
        <f t="shared" si="37"/>
        <v>#DIV/0!</v>
      </c>
      <c r="U809" s="49" t="e">
        <f t="shared" si="39"/>
        <v>#DIV/0!</v>
      </c>
    </row>
    <row r="810" customHeight="1" spans="1:21">
      <c r="A810" s="42" t="str">
        <f t="shared" si="38"/>
        <v/>
      </c>
      <c r="G810" s="47" t="e">
        <f t="shared" si="37"/>
        <v>#DIV/0!</v>
      </c>
      <c r="U810" s="49" t="e">
        <f t="shared" si="39"/>
        <v>#DIV/0!</v>
      </c>
    </row>
    <row r="811" customHeight="1" spans="1:21">
      <c r="A811" s="42" t="str">
        <f t="shared" si="38"/>
        <v/>
      </c>
      <c r="G811" s="47" t="e">
        <f t="shared" si="37"/>
        <v>#DIV/0!</v>
      </c>
      <c r="U811" s="49" t="e">
        <f t="shared" si="39"/>
        <v>#DIV/0!</v>
      </c>
    </row>
    <row r="812" customHeight="1" spans="1:21">
      <c r="A812" s="42" t="str">
        <f t="shared" si="38"/>
        <v/>
      </c>
      <c r="G812" s="47" t="e">
        <f t="shared" si="37"/>
        <v>#DIV/0!</v>
      </c>
      <c r="U812" s="49" t="e">
        <f t="shared" si="39"/>
        <v>#DIV/0!</v>
      </c>
    </row>
    <row r="813" customHeight="1" spans="1:21">
      <c r="A813" s="42" t="str">
        <f t="shared" si="38"/>
        <v/>
      </c>
      <c r="G813" s="47" t="e">
        <f t="shared" si="37"/>
        <v>#DIV/0!</v>
      </c>
      <c r="U813" s="49" t="e">
        <f t="shared" si="39"/>
        <v>#DIV/0!</v>
      </c>
    </row>
    <row r="814" customHeight="1" spans="1:21">
      <c r="A814" s="42" t="str">
        <f t="shared" si="38"/>
        <v/>
      </c>
      <c r="G814" s="47" t="e">
        <f t="shared" si="37"/>
        <v>#DIV/0!</v>
      </c>
      <c r="U814" s="49" t="e">
        <f t="shared" si="39"/>
        <v>#DIV/0!</v>
      </c>
    </row>
    <row r="815" customHeight="1" spans="1:21">
      <c r="A815" s="42" t="str">
        <f t="shared" si="38"/>
        <v/>
      </c>
      <c r="G815" s="47" t="e">
        <f t="shared" si="37"/>
        <v>#DIV/0!</v>
      </c>
      <c r="U815" s="49" t="e">
        <f t="shared" si="39"/>
        <v>#DIV/0!</v>
      </c>
    </row>
    <row r="816" customHeight="1" spans="1:21">
      <c r="A816" s="42" t="str">
        <f t="shared" si="38"/>
        <v/>
      </c>
      <c r="G816" s="47" t="e">
        <f t="shared" si="37"/>
        <v>#DIV/0!</v>
      </c>
      <c r="U816" s="49" t="e">
        <f t="shared" si="39"/>
        <v>#DIV/0!</v>
      </c>
    </row>
    <row r="817" customHeight="1" spans="1:21">
      <c r="A817" s="42" t="str">
        <f t="shared" si="38"/>
        <v/>
      </c>
      <c r="G817" s="47" t="e">
        <f t="shared" si="37"/>
        <v>#DIV/0!</v>
      </c>
      <c r="U817" s="49" t="e">
        <f t="shared" si="39"/>
        <v>#DIV/0!</v>
      </c>
    </row>
    <row r="818" customHeight="1" spans="1:21">
      <c r="A818" s="42" t="str">
        <f t="shared" si="38"/>
        <v/>
      </c>
      <c r="G818" s="47" t="e">
        <f t="shared" si="37"/>
        <v>#DIV/0!</v>
      </c>
      <c r="U818" s="49" t="e">
        <f t="shared" si="39"/>
        <v>#DIV/0!</v>
      </c>
    </row>
    <row r="819" customHeight="1" spans="1:21">
      <c r="A819" s="42" t="str">
        <f t="shared" si="38"/>
        <v/>
      </c>
      <c r="G819" s="47" t="e">
        <f t="shared" si="37"/>
        <v>#DIV/0!</v>
      </c>
      <c r="U819" s="49" t="e">
        <f t="shared" si="39"/>
        <v>#DIV/0!</v>
      </c>
    </row>
    <row r="820" customHeight="1" spans="1:21">
      <c r="A820" s="42" t="str">
        <f t="shared" si="38"/>
        <v/>
      </c>
      <c r="G820" s="47" t="e">
        <f t="shared" si="37"/>
        <v>#DIV/0!</v>
      </c>
      <c r="U820" s="49" t="e">
        <f t="shared" si="39"/>
        <v>#DIV/0!</v>
      </c>
    </row>
    <row r="821" customHeight="1" spans="1:21">
      <c r="A821" s="42" t="str">
        <f t="shared" si="38"/>
        <v/>
      </c>
      <c r="G821" s="47" t="e">
        <f t="shared" si="37"/>
        <v>#DIV/0!</v>
      </c>
      <c r="U821" s="49" t="e">
        <f t="shared" si="39"/>
        <v>#DIV/0!</v>
      </c>
    </row>
    <row r="822" customHeight="1" spans="1:21">
      <c r="A822" s="42" t="str">
        <f t="shared" si="38"/>
        <v/>
      </c>
      <c r="G822" s="47" t="e">
        <f t="shared" si="37"/>
        <v>#DIV/0!</v>
      </c>
      <c r="U822" s="49" t="e">
        <f t="shared" si="39"/>
        <v>#DIV/0!</v>
      </c>
    </row>
    <row r="823" customHeight="1" spans="1:21">
      <c r="A823" s="42" t="str">
        <f t="shared" si="38"/>
        <v/>
      </c>
      <c r="G823" s="47" t="e">
        <f t="shared" si="37"/>
        <v>#DIV/0!</v>
      </c>
      <c r="U823" s="49" t="e">
        <f t="shared" si="39"/>
        <v>#DIV/0!</v>
      </c>
    </row>
    <row r="824" customHeight="1" spans="1:21">
      <c r="A824" s="42" t="str">
        <f t="shared" si="38"/>
        <v/>
      </c>
      <c r="G824" s="47" t="e">
        <f t="shared" si="37"/>
        <v>#DIV/0!</v>
      </c>
      <c r="U824" s="49" t="e">
        <f t="shared" si="39"/>
        <v>#DIV/0!</v>
      </c>
    </row>
    <row r="825" customHeight="1" spans="1:21">
      <c r="A825" s="42" t="str">
        <f t="shared" si="38"/>
        <v/>
      </c>
      <c r="G825" s="47" t="e">
        <f t="shared" si="37"/>
        <v>#DIV/0!</v>
      </c>
      <c r="U825" s="49" t="e">
        <f t="shared" si="39"/>
        <v>#DIV/0!</v>
      </c>
    </row>
    <row r="826" customHeight="1" spans="1:21">
      <c r="A826" s="42" t="str">
        <f t="shared" si="38"/>
        <v/>
      </c>
      <c r="G826" s="47" t="e">
        <f t="shared" si="37"/>
        <v>#DIV/0!</v>
      </c>
      <c r="U826" s="49" t="e">
        <f t="shared" si="39"/>
        <v>#DIV/0!</v>
      </c>
    </row>
    <row r="827" customHeight="1" spans="1:21">
      <c r="A827" s="42" t="str">
        <f t="shared" si="38"/>
        <v/>
      </c>
      <c r="G827" s="47" t="e">
        <f t="shared" si="37"/>
        <v>#DIV/0!</v>
      </c>
      <c r="U827" s="49" t="e">
        <f t="shared" si="39"/>
        <v>#DIV/0!</v>
      </c>
    </row>
    <row r="828" customHeight="1" spans="1:21">
      <c r="A828" s="42" t="str">
        <f t="shared" si="38"/>
        <v/>
      </c>
      <c r="G828" s="47" t="e">
        <f t="shared" si="37"/>
        <v>#DIV/0!</v>
      </c>
      <c r="U828" s="49" t="e">
        <f t="shared" si="39"/>
        <v>#DIV/0!</v>
      </c>
    </row>
    <row r="829" customHeight="1" spans="1:21">
      <c r="A829" s="42" t="str">
        <f t="shared" si="38"/>
        <v/>
      </c>
      <c r="G829" s="47" t="e">
        <f t="shared" si="37"/>
        <v>#DIV/0!</v>
      </c>
      <c r="U829" s="49" t="e">
        <f t="shared" si="39"/>
        <v>#DIV/0!</v>
      </c>
    </row>
    <row r="830" customHeight="1" spans="1:21">
      <c r="A830" s="42" t="str">
        <f t="shared" si="38"/>
        <v/>
      </c>
      <c r="G830" s="47" t="e">
        <f t="shared" si="37"/>
        <v>#DIV/0!</v>
      </c>
      <c r="U830" s="49" t="e">
        <f t="shared" si="39"/>
        <v>#DIV/0!</v>
      </c>
    </row>
    <row r="831" customHeight="1" spans="1:21">
      <c r="A831" s="42" t="str">
        <f t="shared" si="38"/>
        <v/>
      </c>
      <c r="G831" s="47" t="e">
        <f t="shared" si="37"/>
        <v>#DIV/0!</v>
      </c>
      <c r="U831" s="49" t="e">
        <f t="shared" si="39"/>
        <v>#DIV/0!</v>
      </c>
    </row>
    <row r="832" customHeight="1" spans="1:21">
      <c r="A832" s="42" t="str">
        <f t="shared" si="38"/>
        <v/>
      </c>
      <c r="G832" s="47" t="e">
        <f t="shared" si="37"/>
        <v>#DIV/0!</v>
      </c>
      <c r="U832" s="49" t="e">
        <f t="shared" si="39"/>
        <v>#DIV/0!</v>
      </c>
    </row>
    <row r="833" customHeight="1" spans="1:21">
      <c r="A833" s="42" t="str">
        <f t="shared" si="38"/>
        <v/>
      </c>
      <c r="G833" s="47" t="e">
        <f t="shared" si="37"/>
        <v>#DIV/0!</v>
      </c>
      <c r="U833" s="49" t="e">
        <f t="shared" si="39"/>
        <v>#DIV/0!</v>
      </c>
    </row>
    <row r="834" customHeight="1" spans="1:21">
      <c r="A834" s="42" t="str">
        <f t="shared" si="38"/>
        <v/>
      </c>
      <c r="G834" s="47" t="e">
        <f t="shared" si="37"/>
        <v>#DIV/0!</v>
      </c>
      <c r="U834" s="49" t="e">
        <f t="shared" si="39"/>
        <v>#DIV/0!</v>
      </c>
    </row>
    <row r="835" customHeight="1" spans="1:21">
      <c r="A835" s="42" t="str">
        <f t="shared" si="38"/>
        <v/>
      </c>
      <c r="G835" s="47" t="e">
        <f t="shared" ref="G835:G898" si="40">+E835/F835</f>
        <v>#DIV/0!</v>
      </c>
      <c r="U835" s="49" t="e">
        <f t="shared" si="39"/>
        <v>#DIV/0!</v>
      </c>
    </row>
    <row r="836" customHeight="1" spans="1:21">
      <c r="A836" s="42" t="str">
        <f t="shared" ref="A836:A899" si="41">B836&amp;C836&amp;D836</f>
        <v/>
      </c>
      <c r="G836" s="47" t="e">
        <f t="shared" si="40"/>
        <v>#DIV/0!</v>
      </c>
      <c r="U836" s="49" t="e">
        <f t="shared" ref="U836:U899" si="42">SUM(G836:T836)</f>
        <v>#DIV/0!</v>
      </c>
    </row>
    <row r="837" customHeight="1" spans="1:21">
      <c r="A837" s="42" t="str">
        <f t="shared" si="41"/>
        <v/>
      </c>
      <c r="G837" s="47" t="e">
        <f t="shared" si="40"/>
        <v>#DIV/0!</v>
      </c>
      <c r="U837" s="49" t="e">
        <f t="shared" si="42"/>
        <v>#DIV/0!</v>
      </c>
    </row>
    <row r="838" customHeight="1" spans="1:21">
      <c r="A838" s="42" t="str">
        <f t="shared" si="41"/>
        <v/>
      </c>
      <c r="G838" s="47" t="e">
        <f t="shared" si="40"/>
        <v>#DIV/0!</v>
      </c>
      <c r="U838" s="49" t="e">
        <f t="shared" si="42"/>
        <v>#DIV/0!</v>
      </c>
    </row>
    <row r="839" customHeight="1" spans="1:21">
      <c r="A839" s="42" t="str">
        <f t="shared" si="41"/>
        <v/>
      </c>
      <c r="G839" s="47" t="e">
        <f t="shared" si="40"/>
        <v>#DIV/0!</v>
      </c>
      <c r="U839" s="49" t="e">
        <f t="shared" si="42"/>
        <v>#DIV/0!</v>
      </c>
    </row>
    <row r="840" customHeight="1" spans="1:21">
      <c r="A840" s="42" t="str">
        <f t="shared" si="41"/>
        <v/>
      </c>
      <c r="G840" s="47" t="e">
        <f t="shared" si="40"/>
        <v>#DIV/0!</v>
      </c>
      <c r="U840" s="49" t="e">
        <f t="shared" si="42"/>
        <v>#DIV/0!</v>
      </c>
    </row>
    <row r="841" customHeight="1" spans="1:21">
      <c r="A841" s="42" t="str">
        <f t="shared" si="41"/>
        <v/>
      </c>
      <c r="G841" s="47" t="e">
        <f t="shared" si="40"/>
        <v>#DIV/0!</v>
      </c>
      <c r="U841" s="49" t="e">
        <f t="shared" si="42"/>
        <v>#DIV/0!</v>
      </c>
    </row>
    <row r="842" customHeight="1" spans="1:21">
      <c r="A842" s="42" t="str">
        <f t="shared" si="41"/>
        <v/>
      </c>
      <c r="G842" s="47" t="e">
        <f t="shared" si="40"/>
        <v>#DIV/0!</v>
      </c>
      <c r="U842" s="49" t="e">
        <f t="shared" si="42"/>
        <v>#DIV/0!</v>
      </c>
    </row>
    <row r="843" customHeight="1" spans="1:21">
      <c r="A843" s="42" t="str">
        <f t="shared" si="41"/>
        <v/>
      </c>
      <c r="G843" s="47" t="e">
        <f t="shared" si="40"/>
        <v>#DIV/0!</v>
      </c>
      <c r="U843" s="49" t="e">
        <f t="shared" si="42"/>
        <v>#DIV/0!</v>
      </c>
    </row>
    <row r="844" customHeight="1" spans="1:21">
      <c r="A844" s="42" t="str">
        <f t="shared" si="41"/>
        <v/>
      </c>
      <c r="G844" s="47" t="e">
        <f t="shared" si="40"/>
        <v>#DIV/0!</v>
      </c>
      <c r="U844" s="49" t="e">
        <f t="shared" si="42"/>
        <v>#DIV/0!</v>
      </c>
    </row>
    <row r="845" customHeight="1" spans="1:21">
      <c r="A845" s="42" t="str">
        <f t="shared" si="41"/>
        <v/>
      </c>
      <c r="G845" s="47" t="e">
        <f t="shared" si="40"/>
        <v>#DIV/0!</v>
      </c>
      <c r="U845" s="49" t="e">
        <f t="shared" si="42"/>
        <v>#DIV/0!</v>
      </c>
    </row>
    <row r="846" customHeight="1" spans="1:21">
      <c r="A846" s="42" t="str">
        <f t="shared" si="41"/>
        <v/>
      </c>
      <c r="G846" s="47" t="e">
        <f t="shared" si="40"/>
        <v>#DIV/0!</v>
      </c>
      <c r="U846" s="49" t="e">
        <f t="shared" si="42"/>
        <v>#DIV/0!</v>
      </c>
    </row>
    <row r="847" customHeight="1" spans="1:21">
      <c r="A847" s="42" t="str">
        <f t="shared" si="41"/>
        <v/>
      </c>
      <c r="G847" s="47" t="e">
        <f t="shared" si="40"/>
        <v>#DIV/0!</v>
      </c>
      <c r="U847" s="49" t="e">
        <f t="shared" si="42"/>
        <v>#DIV/0!</v>
      </c>
    </row>
    <row r="848" customHeight="1" spans="1:21">
      <c r="A848" s="42" t="str">
        <f t="shared" si="41"/>
        <v/>
      </c>
      <c r="G848" s="47" t="e">
        <f t="shared" si="40"/>
        <v>#DIV/0!</v>
      </c>
      <c r="U848" s="49" t="e">
        <f t="shared" si="42"/>
        <v>#DIV/0!</v>
      </c>
    </row>
    <row r="849" customHeight="1" spans="1:21">
      <c r="A849" s="42" t="str">
        <f t="shared" si="41"/>
        <v/>
      </c>
      <c r="G849" s="47" t="e">
        <f t="shared" si="40"/>
        <v>#DIV/0!</v>
      </c>
      <c r="U849" s="49" t="e">
        <f t="shared" si="42"/>
        <v>#DIV/0!</v>
      </c>
    </row>
    <row r="850" customHeight="1" spans="1:21">
      <c r="A850" s="42" t="str">
        <f t="shared" si="41"/>
        <v/>
      </c>
      <c r="G850" s="47" t="e">
        <f t="shared" si="40"/>
        <v>#DIV/0!</v>
      </c>
      <c r="U850" s="49" t="e">
        <f t="shared" si="42"/>
        <v>#DIV/0!</v>
      </c>
    </row>
    <row r="851" customHeight="1" spans="1:21">
      <c r="A851" s="42" t="str">
        <f t="shared" si="41"/>
        <v/>
      </c>
      <c r="G851" s="47" t="e">
        <f t="shared" si="40"/>
        <v>#DIV/0!</v>
      </c>
      <c r="U851" s="49" t="e">
        <f t="shared" si="42"/>
        <v>#DIV/0!</v>
      </c>
    </row>
    <row r="852" customHeight="1" spans="1:21">
      <c r="A852" s="42" t="str">
        <f t="shared" si="41"/>
        <v/>
      </c>
      <c r="G852" s="47" t="e">
        <f t="shared" si="40"/>
        <v>#DIV/0!</v>
      </c>
      <c r="U852" s="49" t="e">
        <f t="shared" si="42"/>
        <v>#DIV/0!</v>
      </c>
    </row>
    <row r="853" customHeight="1" spans="1:21">
      <c r="A853" s="42" t="str">
        <f t="shared" si="41"/>
        <v/>
      </c>
      <c r="G853" s="47" t="e">
        <f t="shared" si="40"/>
        <v>#DIV/0!</v>
      </c>
      <c r="U853" s="49" t="e">
        <f t="shared" si="42"/>
        <v>#DIV/0!</v>
      </c>
    </row>
    <row r="854" customHeight="1" spans="1:21">
      <c r="A854" s="42" t="str">
        <f t="shared" si="41"/>
        <v/>
      </c>
      <c r="G854" s="47" t="e">
        <f t="shared" si="40"/>
        <v>#DIV/0!</v>
      </c>
      <c r="U854" s="49" t="e">
        <f t="shared" si="42"/>
        <v>#DIV/0!</v>
      </c>
    </row>
    <row r="855" customHeight="1" spans="1:21">
      <c r="A855" s="42" t="str">
        <f t="shared" si="41"/>
        <v/>
      </c>
      <c r="G855" s="47" t="e">
        <f t="shared" si="40"/>
        <v>#DIV/0!</v>
      </c>
      <c r="U855" s="49" t="e">
        <f t="shared" si="42"/>
        <v>#DIV/0!</v>
      </c>
    </row>
    <row r="856" customHeight="1" spans="1:21">
      <c r="A856" s="42" t="str">
        <f t="shared" si="41"/>
        <v/>
      </c>
      <c r="G856" s="47" t="e">
        <f t="shared" si="40"/>
        <v>#DIV/0!</v>
      </c>
      <c r="U856" s="49" t="e">
        <f t="shared" si="42"/>
        <v>#DIV/0!</v>
      </c>
    </row>
    <row r="857" customHeight="1" spans="1:21">
      <c r="A857" s="42" t="str">
        <f t="shared" si="41"/>
        <v/>
      </c>
      <c r="G857" s="47" t="e">
        <f t="shared" si="40"/>
        <v>#DIV/0!</v>
      </c>
      <c r="U857" s="49" t="e">
        <f t="shared" si="42"/>
        <v>#DIV/0!</v>
      </c>
    </row>
    <row r="858" customHeight="1" spans="1:21">
      <c r="A858" s="42" t="str">
        <f t="shared" si="41"/>
        <v/>
      </c>
      <c r="G858" s="47" t="e">
        <f t="shared" si="40"/>
        <v>#DIV/0!</v>
      </c>
      <c r="U858" s="49" t="e">
        <f t="shared" si="42"/>
        <v>#DIV/0!</v>
      </c>
    </row>
    <row r="859" customHeight="1" spans="1:21">
      <c r="A859" s="42" t="str">
        <f t="shared" si="41"/>
        <v/>
      </c>
      <c r="G859" s="47" t="e">
        <f t="shared" si="40"/>
        <v>#DIV/0!</v>
      </c>
      <c r="U859" s="49" t="e">
        <f t="shared" si="42"/>
        <v>#DIV/0!</v>
      </c>
    </row>
    <row r="860" customHeight="1" spans="1:21">
      <c r="A860" s="42" t="str">
        <f t="shared" si="41"/>
        <v/>
      </c>
      <c r="G860" s="47" t="e">
        <f t="shared" si="40"/>
        <v>#DIV/0!</v>
      </c>
      <c r="U860" s="49" t="e">
        <f t="shared" si="42"/>
        <v>#DIV/0!</v>
      </c>
    </row>
    <row r="861" customHeight="1" spans="1:21">
      <c r="A861" s="42" t="str">
        <f t="shared" si="41"/>
        <v/>
      </c>
      <c r="G861" s="47" t="e">
        <f t="shared" si="40"/>
        <v>#DIV/0!</v>
      </c>
      <c r="U861" s="49" t="e">
        <f t="shared" si="42"/>
        <v>#DIV/0!</v>
      </c>
    </row>
    <row r="862" customHeight="1" spans="1:21">
      <c r="A862" s="42" t="str">
        <f t="shared" si="41"/>
        <v/>
      </c>
      <c r="G862" s="47" t="e">
        <f t="shared" si="40"/>
        <v>#DIV/0!</v>
      </c>
      <c r="U862" s="49" t="e">
        <f t="shared" si="42"/>
        <v>#DIV/0!</v>
      </c>
    </row>
    <row r="863" customHeight="1" spans="1:21">
      <c r="A863" s="42" t="str">
        <f t="shared" si="41"/>
        <v/>
      </c>
      <c r="G863" s="47" t="e">
        <f t="shared" si="40"/>
        <v>#DIV/0!</v>
      </c>
      <c r="U863" s="49" t="e">
        <f t="shared" si="42"/>
        <v>#DIV/0!</v>
      </c>
    </row>
    <row r="864" customHeight="1" spans="1:21">
      <c r="A864" s="42" t="str">
        <f t="shared" si="41"/>
        <v/>
      </c>
      <c r="G864" s="47" t="e">
        <f t="shared" si="40"/>
        <v>#DIV/0!</v>
      </c>
      <c r="U864" s="49" t="e">
        <f t="shared" si="42"/>
        <v>#DIV/0!</v>
      </c>
    </row>
    <row r="865" customHeight="1" spans="1:21">
      <c r="A865" s="42" t="str">
        <f t="shared" si="41"/>
        <v/>
      </c>
      <c r="G865" s="47" t="e">
        <f t="shared" si="40"/>
        <v>#DIV/0!</v>
      </c>
      <c r="U865" s="49" t="e">
        <f t="shared" si="42"/>
        <v>#DIV/0!</v>
      </c>
    </row>
    <row r="866" customHeight="1" spans="1:21">
      <c r="A866" s="42" t="str">
        <f t="shared" si="41"/>
        <v/>
      </c>
      <c r="G866" s="47" t="e">
        <f t="shared" si="40"/>
        <v>#DIV/0!</v>
      </c>
      <c r="U866" s="49" t="e">
        <f t="shared" si="42"/>
        <v>#DIV/0!</v>
      </c>
    </row>
    <row r="867" customHeight="1" spans="1:21">
      <c r="A867" s="42" t="str">
        <f t="shared" si="41"/>
        <v/>
      </c>
      <c r="G867" s="47" t="e">
        <f t="shared" si="40"/>
        <v>#DIV/0!</v>
      </c>
      <c r="U867" s="49" t="e">
        <f t="shared" si="42"/>
        <v>#DIV/0!</v>
      </c>
    </row>
    <row r="868" customHeight="1" spans="1:21">
      <c r="A868" s="42" t="str">
        <f t="shared" si="41"/>
        <v/>
      </c>
      <c r="G868" s="47" t="e">
        <f t="shared" si="40"/>
        <v>#DIV/0!</v>
      </c>
      <c r="U868" s="49" t="e">
        <f t="shared" si="42"/>
        <v>#DIV/0!</v>
      </c>
    </row>
    <row r="869" customHeight="1" spans="1:21">
      <c r="A869" s="42" t="str">
        <f t="shared" si="41"/>
        <v/>
      </c>
      <c r="G869" s="47" t="e">
        <f t="shared" si="40"/>
        <v>#DIV/0!</v>
      </c>
      <c r="U869" s="49" t="e">
        <f t="shared" si="42"/>
        <v>#DIV/0!</v>
      </c>
    </row>
    <row r="870" customHeight="1" spans="1:21">
      <c r="A870" s="42" t="str">
        <f t="shared" si="41"/>
        <v/>
      </c>
      <c r="G870" s="47" t="e">
        <f t="shared" si="40"/>
        <v>#DIV/0!</v>
      </c>
      <c r="U870" s="49" t="e">
        <f t="shared" si="42"/>
        <v>#DIV/0!</v>
      </c>
    </row>
    <row r="871" customHeight="1" spans="1:21">
      <c r="A871" s="42" t="str">
        <f t="shared" si="41"/>
        <v/>
      </c>
      <c r="G871" s="47" t="e">
        <f t="shared" si="40"/>
        <v>#DIV/0!</v>
      </c>
      <c r="U871" s="49" t="e">
        <f t="shared" si="42"/>
        <v>#DIV/0!</v>
      </c>
    </row>
    <row r="872" customHeight="1" spans="1:21">
      <c r="A872" s="42" t="str">
        <f t="shared" si="41"/>
        <v/>
      </c>
      <c r="G872" s="47" t="e">
        <f t="shared" si="40"/>
        <v>#DIV/0!</v>
      </c>
      <c r="U872" s="49" t="e">
        <f t="shared" si="42"/>
        <v>#DIV/0!</v>
      </c>
    </row>
    <row r="873" customHeight="1" spans="1:21">
      <c r="A873" s="42" t="str">
        <f t="shared" si="41"/>
        <v/>
      </c>
      <c r="G873" s="47" t="e">
        <f t="shared" si="40"/>
        <v>#DIV/0!</v>
      </c>
      <c r="U873" s="49" t="e">
        <f t="shared" si="42"/>
        <v>#DIV/0!</v>
      </c>
    </row>
    <row r="874" customHeight="1" spans="1:21">
      <c r="A874" s="42" t="str">
        <f t="shared" si="41"/>
        <v/>
      </c>
      <c r="G874" s="47" t="e">
        <f t="shared" si="40"/>
        <v>#DIV/0!</v>
      </c>
      <c r="U874" s="49" t="e">
        <f t="shared" si="42"/>
        <v>#DIV/0!</v>
      </c>
    </row>
    <row r="875" customHeight="1" spans="1:21">
      <c r="A875" s="42" t="str">
        <f t="shared" si="41"/>
        <v/>
      </c>
      <c r="G875" s="47" t="e">
        <f t="shared" si="40"/>
        <v>#DIV/0!</v>
      </c>
      <c r="U875" s="49" t="e">
        <f t="shared" si="42"/>
        <v>#DIV/0!</v>
      </c>
    </row>
    <row r="876" customHeight="1" spans="1:21">
      <c r="A876" s="42" t="str">
        <f t="shared" si="41"/>
        <v/>
      </c>
      <c r="G876" s="47" t="e">
        <f t="shared" si="40"/>
        <v>#DIV/0!</v>
      </c>
      <c r="U876" s="49" t="e">
        <f t="shared" si="42"/>
        <v>#DIV/0!</v>
      </c>
    </row>
    <row r="877" customHeight="1" spans="1:21">
      <c r="A877" s="42" t="str">
        <f t="shared" si="41"/>
        <v/>
      </c>
      <c r="G877" s="47" t="e">
        <f t="shared" si="40"/>
        <v>#DIV/0!</v>
      </c>
      <c r="U877" s="49" t="e">
        <f t="shared" si="42"/>
        <v>#DIV/0!</v>
      </c>
    </row>
    <row r="878" customHeight="1" spans="1:21">
      <c r="A878" s="42" t="str">
        <f t="shared" si="41"/>
        <v/>
      </c>
      <c r="G878" s="47" t="e">
        <f t="shared" si="40"/>
        <v>#DIV/0!</v>
      </c>
      <c r="U878" s="49" t="e">
        <f t="shared" si="42"/>
        <v>#DIV/0!</v>
      </c>
    </row>
    <row r="879" customHeight="1" spans="1:21">
      <c r="A879" s="42" t="str">
        <f t="shared" si="41"/>
        <v/>
      </c>
      <c r="G879" s="47" t="e">
        <f t="shared" si="40"/>
        <v>#DIV/0!</v>
      </c>
      <c r="U879" s="49" t="e">
        <f t="shared" si="42"/>
        <v>#DIV/0!</v>
      </c>
    </row>
    <row r="880" customHeight="1" spans="1:21">
      <c r="A880" s="42" t="str">
        <f t="shared" si="41"/>
        <v/>
      </c>
      <c r="G880" s="47" t="e">
        <f t="shared" si="40"/>
        <v>#DIV/0!</v>
      </c>
      <c r="U880" s="49" t="e">
        <f t="shared" si="42"/>
        <v>#DIV/0!</v>
      </c>
    </row>
    <row r="881" customHeight="1" spans="1:21">
      <c r="A881" s="42" t="str">
        <f t="shared" si="41"/>
        <v/>
      </c>
      <c r="G881" s="47" t="e">
        <f t="shared" si="40"/>
        <v>#DIV/0!</v>
      </c>
      <c r="U881" s="49" t="e">
        <f t="shared" si="42"/>
        <v>#DIV/0!</v>
      </c>
    </row>
    <row r="882" customHeight="1" spans="1:21">
      <c r="A882" s="42" t="str">
        <f t="shared" si="41"/>
        <v/>
      </c>
      <c r="G882" s="47" t="e">
        <f t="shared" si="40"/>
        <v>#DIV/0!</v>
      </c>
      <c r="U882" s="49" t="e">
        <f t="shared" si="42"/>
        <v>#DIV/0!</v>
      </c>
    </row>
    <row r="883" customHeight="1" spans="1:21">
      <c r="A883" s="42" t="str">
        <f t="shared" si="41"/>
        <v/>
      </c>
      <c r="G883" s="47" t="e">
        <f t="shared" si="40"/>
        <v>#DIV/0!</v>
      </c>
      <c r="U883" s="49" t="e">
        <f t="shared" si="42"/>
        <v>#DIV/0!</v>
      </c>
    </row>
    <row r="884" customHeight="1" spans="1:21">
      <c r="A884" s="42" t="str">
        <f t="shared" si="41"/>
        <v/>
      </c>
      <c r="G884" s="47" t="e">
        <f t="shared" si="40"/>
        <v>#DIV/0!</v>
      </c>
      <c r="U884" s="49" t="e">
        <f t="shared" si="42"/>
        <v>#DIV/0!</v>
      </c>
    </row>
    <row r="885" customHeight="1" spans="1:21">
      <c r="A885" s="42" t="str">
        <f t="shared" si="41"/>
        <v/>
      </c>
      <c r="G885" s="47" t="e">
        <f t="shared" si="40"/>
        <v>#DIV/0!</v>
      </c>
      <c r="U885" s="49" t="e">
        <f t="shared" si="42"/>
        <v>#DIV/0!</v>
      </c>
    </row>
    <row r="886" customHeight="1" spans="1:21">
      <c r="A886" s="42" t="str">
        <f t="shared" si="41"/>
        <v/>
      </c>
      <c r="G886" s="47" t="e">
        <f t="shared" si="40"/>
        <v>#DIV/0!</v>
      </c>
      <c r="U886" s="49" t="e">
        <f t="shared" si="42"/>
        <v>#DIV/0!</v>
      </c>
    </row>
    <row r="887" customHeight="1" spans="1:21">
      <c r="A887" s="42" t="str">
        <f t="shared" si="41"/>
        <v/>
      </c>
      <c r="G887" s="47" t="e">
        <f t="shared" si="40"/>
        <v>#DIV/0!</v>
      </c>
      <c r="U887" s="49" t="e">
        <f t="shared" si="42"/>
        <v>#DIV/0!</v>
      </c>
    </row>
    <row r="888" customHeight="1" spans="1:21">
      <c r="A888" s="42" t="str">
        <f t="shared" si="41"/>
        <v/>
      </c>
      <c r="G888" s="47" t="e">
        <f t="shared" si="40"/>
        <v>#DIV/0!</v>
      </c>
      <c r="U888" s="49" t="e">
        <f t="shared" si="42"/>
        <v>#DIV/0!</v>
      </c>
    </row>
    <row r="889" customHeight="1" spans="1:21">
      <c r="A889" s="42" t="str">
        <f t="shared" si="41"/>
        <v/>
      </c>
      <c r="G889" s="47" t="e">
        <f t="shared" si="40"/>
        <v>#DIV/0!</v>
      </c>
      <c r="U889" s="49" t="e">
        <f t="shared" si="42"/>
        <v>#DIV/0!</v>
      </c>
    </row>
    <row r="890" customHeight="1" spans="1:21">
      <c r="A890" s="42" t="str">
        <f t="shared" si="41"/>
        <v/>
      </c>
      <c r="G890" s="47" t="e">
        <f t="shared" si="40"/>
        <v>#DIV/0!</v>
      </c>
      <c r="U890" s="49" t="e">
        <f t="shared" si="42"/>
        <v>#DIV/0!</v>
      </c>
    </row>
    <row r="891" customHeight="1" spans="1:21">
      <c r="A891" s="42" t="str">
        <f t="shared" si="41"/>
        <v/>
      </c>
      <c r="G891" s="47" t="e">
        <f t="shared" si="40"/>
        <v>#DIV/0!</v>
      </c>
      <c r="U891" s="49" t="e">
        <f t="shared" si="42"/>
        <v>#DIV/0!</v>
      </c>
    </row>
    <row r="892" customHeight="1" spans="1:21">
      <c r="A892" s="42" t="str">
        <f t="shared" si="41"/>
        <v/>
      </c>
      <c r="G892" s="47" t="e">
        <f t="shared" si="40"/>
        <v>#DIV/0!</v>
      </c>
      <c r="U892" s="49" t="e">
        <f t="shared" si="42"/>
        <v>#DIV/0!</v>
      </c>
    </row>
    <row r="893" customHeight="1" spans="1:21">
      <c r="A893" s="42" t="str">
        <f t="shared" si="41"/>
        <v/>
      </c>
      <c r="G893" s="47" t="e">
        <f t="shared" si="40"/>
        <v>#DIV/0!</v>
      </c>
      <c r="U893" s="49" t="e">
        <f t="shared" si="42"/>
        <v>#DIV/0!</v>
      </c>
    </row>
    <row r="894" customHeight="1" spans="1:21">
      <c r="A894" s="42" t="str">
        <f t="shared" si="41"/>
        <v/>
      </c>
      <c r="G894" s="47" t="e">
        <f t="shared" si="40"/>
        <v>#DIV/0!</v>
      </c>
      <c r="U894" s="49" t="e">
        <f t="shared" si="42"/>
        <v>#DIV/0!</v>
      </c>
    </row>
    <row r="895" customHeight="1" spans="1:21">
      <c r="A895" s="42" t="str">
        <f t="shared" si="41"/>
        <v/>
      </c>
      <c r="G895" s="47" t="e">
        <f t="shared" si="40"/>
        <v>#DIV/0!</v>
      </c>
      <c r="U895" s="49" t="e">
        <f t="shared" si="42"/>
        <v>#DIV/0!</v>
      </c>
    </row>
    <row r="896" customHeight="1" spans="1:21">
      <c r="A896" s="42" t="str">
        <f t="shared" si="41"/>
        <v/>
      </c>
      <c r="G896" s="47" t="e">
        <f t="shared" si="40"/>
        <v>#DIV/0!</v>
      </c>
      <c r="U896" s="49" t="e">
        <f t="shared" si="42"/>
        <v>#DIV/0!</v>
      </c>
    </row>
    <row r="897" customHeight="1" spans="1:21">
      <c r="A897" s="42" t="str">
        <f t="shared" si="41"/>
        <v/>
      </c>
      <c r="G897" s="47" t="e">
        <f t="shared" si="40"/>
        <v>#DIV/0!</v>
      </c>
      <c r="U897" s="49" t="e">
        <f t="shared" si="42"/>
        <v>#DIV/0!</v>
      </c>
    </row>
    <row r="898" customHeight="1" spans="1:21">
      <c r="A898" s="42" t="str">
        <f t="shared" si="41"/>
        <v/>
      </c>
      <c r="G898" s="47" t="e">
        <f t="shared" si="40"/>
        <v>#DIV/0!</v>
      </c>
      <c r="U898" s="49" t="e">
        <f t="shared" si="42"/>
        <v>#DIV/0!</v>
      </c>
    </row>
    <row r="899" customHeight="1" spans="1:21">
      <c r="A899" s="42" t="str">
        <f t="shared" si="41"/>
        <v/>
      </c>
      <c r="G899" s="47" t="e">
        <f t="shared" ref="G899:G962" si="43">+E899/F899</f>
        <v>#DIV/0!</v>
      </c>
      <c r="U899" s="49" t="e">
        <f t="shared" si="42"/>
        <v>#DIV/0!</v>
      </c>
    </row>
    <row r="900" customHeight="1" spans="1:21">
      <c r="A900" s="42" t="str">
        <f t="shared" ref="A900:A963" si="44">B900&amp;C900&amp;D900</f>
        <v/>
      </c>
      <c r="G900" s="47" t="e">
        <f t="shared" si="43"/>
        <v>#DIV/0!</v>
      </c>
      <c r="U900" s="49" t="e">
        <f t="shared" ref="U900:U963" si="45">SUM(G900:T900)</f>
        <v>#DIV/0!</v>
      </c>
    </row>
    <row r="901" customHeight="1" spans="1:21">
      <c r="A901" s="42" t="str">
        <f t="shared" si="44"/>
        <v/>
      </c>
      <c r="G901" s="47" t="e">
        <f t="shared" si="43"/>
        <v>#DIV/0!</v>
      </c>
      <c r="U901" s="49" t="e">
        <f t="shared" si="45"/>
        <v>#DIV/0!</v>
      </c>
    </row>
    <row r="902" customHeight="1" spans="1:21">
      <c r="A902" s="42" t="str">
        <f t="shared" si="44"/>
        <v/>
      </c>
      <c r="G902" s="47" t="e">
        <f t="shared" si="43"/>
        <v>#DIV/0!</v>
      </c>
      <c r="U902" s="49" t="e">
        <f t="shared" si="45"/>
        <v>#DIV/0!</v>
      </c>
    </row>
    <row r="903" customHeight="1" spans="1:21">
      <c r="A903" s="42" t="str">
        <f t="shared" si="44"/>
        <v/>
      </c>
      <c r="G903" s="47" t="e">
        <f t="shared" si="43"/>
        <v>#DIV/0!</v>
      </c>
      <c r="U903" s="49" t="e">
        <f t="shared" si="45"/>
        <v>#DIV/0!</v>
      </c>
    </row>
    <row r="904" customHeight="1" spans="1:21">
      <c r="A904" s="42" t="str">
        <f t="shared" si="44"/>
        <v/>
      </c>
      <c r="G904" s="47" t="e">
        <f t="shared" si="43"/>
        <v>#DIV/0!</v>
      </c>
      <c r="U904" s="49" t="e">
        <f t="shared" si="45"/>
        <v>#DIV/0!</v>
      </c>
    </row>
    <row r="905" customHeight="1" spans="1:21">
      <c r="A905" s="42" t="str">
        <f t="shared" si="44"/>
        <v/>
      </c>
      <c r="G905" s="47" t="e">
        <f t="shared" si="43"/>
        <v>#DIV/0!</v>
      </c>
      <c r="U905" s="49" t="e">
        <f t="shared" si="45"/>
        <v>#DIV/0!</v>
      </c>
    </row>
    <row r="906" customHeight="1" spans="1:21">
      <c r="A906" s="42" t="str">
        <f t="shared" si="44"/>
        <v/>
      </c>
      <c r="G906" s="47" t="e">
        <f t="shared" si="43"/>
        <v>#DIV/0!</v>
      </c>
      <c r="U906" s="49" t="e">
        <f t="shared" si="45"/>
        <v>#DIV/0!</v>
      </c>
    </row>
    <row r="907" customHeight="1" spans="1:21">
      <c r="A907" s="42" t="str">
        <f t="shared" si="44"/>
        <v/>
      </c>
      <c r="G907" s="47" t="e">
        <f t="shared" si="43"/>
        <v>#DIV/0!</v>
      </c>
      <c r="U907" s="49" t="e">
        <f t="shared" si="45"/>
        <v>#DIV/0!</v>
      </c>
    </row>
    <row r="908" customHeight="1" spans="1:21">
      <c r="A908" s="42" t="str">
        <f t="shared" si="44"/>
        <v/>
      </c>
      <c r="G908" s="47" t="e">
        <f t="shared" si="43"/>
        <v>#DIV/0!</v>
      </c>
      <c r="U908" s="49" t="e">
        <f t="shared" si="45"/>
        <v>#DIV/0!</v>
      </c>
    </row>
    <row r="909" customHeight="1" spans="1:21">
      <c r="A909" s="42" t="str">
        <f t="shared" si="44"/>
        <v/>
      </c>
      <c r="G909" s="47" t="e">
        <f t="shared" si="43"/>
        <v>#DIV/0!</v>
      </c>
      <c r="U909" s="49" t="e">
        <f t="shared" si="45"/>
        <v>#DIV/0!</v>
      </c>
    </row>
    <row r="910" customHeight="1" spans="1:21">
      <c r="A910" s="42" t="str">
        <f t="shared" si="44"/>
        <v/>
      </c>
      <c r="G910" s="47" t="e">
        <f t="shared" si="43"/>
        <v>#DIV/0!</v>
      </c>
      <c r="U910" s="49" t="e">
        <f t="shared" si="45"/>
        <v>#DIV/0!</v>
      </c>
    </row>
    <row r="911" customHeight="1" spans="1:21">
      <c r="A911" s="42" t="str">
        <f t="shared" si="44"/>
        <v/>
      </c>
      <c r="G911" s="47" t="e">
        <f t="shared" si="43"/>
        <v>#DIV/0!</v>
      </c>
      <c r="U911" s="49" t="e">
        <f t="shared" si="45"/>
        <v>#DIV/0!</v>
      </c>
    </row>
    <row r="912" customHeight="1" spans="1:21">
      <c r="A912" s="42" t="str">
        <f t="shared" si="44"/>
        <v/>
      </c>
      <c r="G912" s="47" t="e">
        <f t="shared" si="43"/>
        <v>#DIV/0!</v>
      </c>
      <c r="U912" s="49" t="e">
        <f t="shared" si="45"/>
        <v>#DIV/0!</v>
      </c>
    </row>
    <row r="913" customHeight="1" spans="1:21">
      <c r="A913" s="42" t="str">
        <f t="shared" si="44"/>
        <v/>
      </c>
      <c r="G913" s="47" t="e">
        <f t="shared" si="43"/>
        <v>#DIV/0!</v>
      </c>
      <c r="U913" s="49" t="e">
        <f t="shared" si="45"/>
        <v>#DIV/0!</v>
      </c>
    </row>
    <row r="914" customHeight="1" spans="1:21">
      <c r="A914" s="42" t="str">
        <f t="shared" si="44"/>
        <v/>
      </c>
      <c r="G914" s="47" t="e">
        <f t="shared" si="43"/>
        <v>#DIV/0!</v>
      </c>
      <c r="U914" s="49" t="e">
        <f t="shared" si="45"/>
        <v>#DIV/0!</v>
      </c>
    </row>
    <row r="915" customHeight="1" spans="1:21">
      <c r="A915" s="42" t="str">
        <f t="shared" si="44"/>
        <v/>
      </c>
      <c r="G915" s="47" t="e">
        <f t="shared" si="43"/>
        <v>#DIV/0!</v>
      </c>
      <c r="U915" s="49" t="e">
        <f t="shared" si="45"/>
        <v>#DIV/0!</v>
      </c>
    </row>
    <row r="916" customHeight="1" spans="1:21">
      <c r="A916" s="42" t="str">
        <f t="shared" si="44"/>
        <v/>
      </c>
      <c r="G916" s="47" t="e">
        <f t="shared" si="43"/>
        <v>#DIV/0!</v>
      </c>
      <c r="U916" s="49" t="e">
        <f t="shared" si="45"/>
        <v>#DIV/0!</v>
      </c>
    </row>
    <row r="917" customHeight="1" spans="1:21">
      <c r="A917" s="42" t="str">
        <f t="shared" si="44"/>
        <v/>
      </c>
      <c r="G917" s="47" t="e">
        <f t="shared" si="43"/>
        <v>#DIV/0!</v>
      </c>
      <c r="U917" s="49" t="e">
        <f t="shared" si="45"/>
        <v>#DIV/0!</v>
      </c>
    </row>
    <row r="918" customHeight="1" spans="1:21">
      <c r="A918" s="42" t="str">
        <f t="shared" si="44"/>
        <v/>
      </c>
      <c r="G918" s="47" t="e">
        <f t="shared" si="43"/>
        <v>#DIV/0!</v>
      </c>
      <c r="U918" s="49" t="e">
        <f t="shared" si="45"/>
        <v>#DIV/0!</v>
      </c>
    </row>
    <row r="919" customHeight="1" spans="1:21">
      <c r="A919" s="42" t="str">
        <f t="shared" si="44"/>
        <v/>
      </c>
      <c r="G919" s="47" t="e">
        <f t="shared" si="43"/>
        <v>#DIV/0!</v>
      </c>
      <c r="U919" s="49" t="e">
        <f t="shared" si="45"/>
        <v>#DIV/0!</v>
      </c>
    </row>
    <row r="920" customHeight="1" spans="1:21">
      <c r="A920" s="42" t="str">
        <f t="shared" si="44"/>
        <v/>
      </c>
      <c r="G920" s="47" t="e">
        <f t="shared" si="43"/>
        <v>#DIV/0!</v>
      </c>
      <c r="U920" s="49" t="e">
        <f t="shared" si="45"/>
        <v>#DIV/0!</v>
      </c>
    </row>
    <row r="921" customHeight="1" spans="1:21">
      <c r="A921" s="42" t="str">
        <f t="shared" si="44"/>
        <v/>
      </c>
      <c r="G921" s="47" t="e">
        <f t="shared" si="43"/>
        <v>#DIV/0!</v>
      </c>
      <c r="U921" s="49" t="e">
        <f t="shared" si="45"/>
        <v>#DIV/0!</v>
      </c>
    </row>
    <row r="922" customHeight="1" spans="1:21">
      <c r="A922" s="42" t="str">
        <f t="shared" si="44"/>
        <v/>
      </c>
      <c r="G922" s="47" t="e">
        <f t="shared" si="43"/>
        <v>#DIV/0!</v>
      </c>
      <c r="U922" s="49" t="e">
        <f t="shared" si="45"/>
        <v>#DIV/0!</v>
      </c>
    </row>
    <row r="923" customHeight="1" spans="1:21">
      <c r="A923" s="42" t="str">
        <f t="shared" si="44"/>
        <v/>
      </c>
      <c r="G923" s="47" t="e">
        <f t="shared" si="43"/>
        <v>#DIV/0!</v>
      </c>
      <c r="U923" s="49" t="e">
        <f t="shared" si="45"/>
        <v>#DIV/0!</v>
      </c>
    </row>
    <row r="924" customHeight="1" spans="1:21">
      <c r="A924" s="42" t="str">
        <f t="shared" si="44"/>
        <v/>
      </c>
      <c r="G924" s="47" t="e">
        <f t="shared" si="43"/>
        <v>#DIV/0!</v>
      </c>
      <c r="U924" s="49" t="e">
        <f t="shared" si="45"/>
        <v>#DIV/0!</v>
      </c>
    </row>
    <row r="925" customHeight="1" spans="1:21">
      <c r="A925" s="42" t="str">
        <f t="shared" si="44"/>
        <v/>
      </c>
      <c r="G925" s="47" t="e">
        <f t="shared" si="43"/>
        <v>#DIV/0!</v>
      </c>
      <c r="U925" s="49" t="e">
        <f t="shared" si="45"/>
        <v>#DIV/0!</v>
      </c>
    </row>
    <row r="926" customHeight="1" spans="1:21">
      <c r="A926" s="42" t="str">
        <f t="shared" si="44"/>
        <v/>
      </c>
      <c r="G926" s="47" t="e">
        <f t="shared" si="43"/>
        <v>#DIV/0!</v>
      </c>
      <c r="U926" s="49" t="e">
        <f t="shared" si="45"/>
        <v>#DIV/0!</v>
      </c>
    </row>
    <row r="927" customHeight="1" spans="1:21">
      <c r="A927" s="42" t="str">
        <f t="shared" si="44"/>
        <v/>
      </c>
      <c r="G927" s="47" t="e">
        <f t="shared" si="43"/>
        <v>#DIV/0!</v>
      </c>
      <c r="U927" s="49" t="e">
        <f t="shared" si="45"/>
        <v>#DIV/0!</v>
      </c>
    </row>
    <row r="928" customHeight="1" spans="1:21">
      <c r="A928" s="42" t="str">
        <f t="shared" si="44"/>
        <v/>
      </c>
      <c r="G928" s="47" t="e">
        <f t="shared" si="43"/>
        <v>#DIV/0!</v>
      </c>
      <c r="U928" s="49" t="e">
        <f t="shared" si="45"/>
        <v>#DIV/0!</v>
      </c>
    </row>
    <row r="929" customHeight="1" spans="1:21">
      <c r="A929" s="42" t="str">
        <f t="shared" si="44"/>
        <v/>
      </c>
      <c r="G929" s="47" t="e">
        <f t="shared" si="43"/>
        <v>#DIV/0!</v>
      </c>
      <c r="U929" s="49" t="e">
        <f t="shared" si="45"/>
        <v>#DIV/0!</v>
      </c>
    </row>
    <row r="930" customHeight="1" spans="1:21">
      <c r="A930" s="42" t="str">
        <f t="shared" si="44"/>
        <v/>
      </c>
      <c r="G930" s="47" t="e">
        <f t="shared" si="43"/>
        <v>#DIV/0!</v>
      </c>
      <c r="U930" s="49" t="e">
        <f t="shared" si="45"/>
        <v>#DIV/0!</v>
      </c>
    </row>
    <row r="931" customHeight="1" spans="1:21">
      <c r="A931" s="42" t="str">
        <f t="shared" si="44"/>
        <v/>
      </c>
      <c r="G931" s="47" t="e">
        <f t="shared" si="43"/>
        <v>#DIV/0!</v>
      </c>
      <c r="U931" s="49" t="e">
        <f t="shared" si="45"/>
        <v>#DIV/0!</v>
      </c>
    </row>
    <row r="932" customHeight="1" spans="1:21">
      <c r="A932" s="42" t="str">
        <f t="shared" si="44"/>
        <v/>
      </c>
      <c r="G932" s="47" t="e">
        <f t="shared" si="43"/>
        <v>#DIV/0!</v>
      </c>
      <c r="U932" s="49" t="e">
        <f t="shared" si="45"/>
        <v>#DIV/0!</v>
      </c>
    </row>
    <row r="933" customHeight="1" spans="1:21">
      <c r="A933" s="42" t="str">
        <f t="shared" si="44"/>
        <v/>
      </c>
      <c r="G933" s="47" t="e">
        <f t="shared" si="43"/>
        <v>#DIV/0!</v>
      </c>
      <c r="U933" s="49" t="e">
        <f t="shared" si="45"/>
        <v>#DIV/0!</v>
      </c>
    </row>
    <row r="934" customHeight="1" spans="1:21">
      <c r="A934" s="42" t="str">
        <f t="shared" si="44"/>
        <v/>
      </c>
      <c r="G934" s="47" t="e">
        <f t="shared" si="43"/>
        <v>#DIV/0!</v>
      </c>
      <c r="U934" s="49" t="e">
        <f t="shared" si="45"/>
        <v>#DIV/0!</v>
      </c>
    </row>
    <row r="935" customHeight="1" spans="1:21">
      <c r="A935" s="42" t="str">
        <f t="shared" si="44"/>
        <v/>
      </c>
      <c r="G935" s="47" t="e">
        <f t="shared" si="43"/>
        <v>#DIV/0!</v>
      </c>
      <c r="U935" s="49" t="e">
        <f t="shared" si="45"/>
        <v>#DIV/0!</v>
      </c>
    </row>
    <row r="936" customHeight="1" spans="1:21">
      <c r="A936" s="42" t="str">
        <f t="shared" si="44"/>
        <v/>
      </c>
      <c r="G936" s="47" t="e">
        <f t="shared" si="43"/>
        <v>#DIV/0!</v>
      </c>
      <c r="U936" s="49" t="e">
        <f t="shared" si="45"/>
        <v>#DIV/0!</v>
      </c>
    </row>
    <row r="937" customHeight="1" spans="1:21">
      <c r="A937" s="42" t="str">
        <f t="shared" si="44"/>
        <v/>
      </c>
      <c r="G937" s="47" t="e">
        <f t="shared" si="43"/>
        <v>#DIV/0!</v>
      </c>
      <c r="U937" s="49" t="e">
        <f t="shared" si="45"/>
        <v>#DIV/0!</v>
      </c>
    </row>
    <row r="938" customHeight="1" spans="1:21">
      <c r="A938" s="42" t="str">
        <f t="shared" si="44"/>
        <v/>
      </c>
      <c r="G938" s="47" t="e">
        <f t="shared" si="43"/>
        <v>#DIV/0!</v>
      </c>
      <c r="U938" s="49" t="e">
        <f t="shared" si="45"/>
        <v>#DIV/0!</v>
      </c>
    </row>
    <row r="939" customHeight="1" spans="1:21">
      <c r="A939" s="42" t="str">
        <f t="shared" si="44"/>
        <v/>
      </c>
      <c r="G939" s="47" t="e">
        <f t="shared" si="43"/>
        <v>#DIV/0!</v>
      </c>
      <c r="U939" s="49" t="e">
        <f t="shared" si="45"/>
        <v>#DIV/0!</v>
      </c>
    </row>
    <row r="940" customHeight="1" spans="1:21">
      <c r="A940" s="42" t="str">
        <f t="shared" si="44"/>
        <v/>
      </c>
      <c r="G940" s="47" t="e">
        <f t="shared" si="43"/>
        <v>#DIV/0!</v>
      </c>
      <c r="U940" s="49" t="e">
        <f t="shared" si="45"/>
        <v>#DIV/0!</v>
      </c>
    </row>
    <row r="941" customHeight="1" spans="1:21">
      <c r="A941" s="42" t="str">
        <f t="shared" si="44"/>
        <v/>
      </c>
      <c r="G941" s="47" t="e">
        <f t="shared" si="43"/>
        <v>#DIV/0!</v>
      </c>
      <c r="U941" s="49" t="e">
        <f t="shared" si="45"/>
        <v>#DIV/0!</v>
      </c>
    </row>
    <row r="942" customHeight="1" spans="1:21">
      <c r="A942" s="42" t="str">
        <f t="shared" si="44"/>
        <v/>
      </c>
      <c r="G942" s="47" t="e">
        <f t="shared" si="43"/>
        <v>#DIV/0!</v>
      </c>
      <c r="U942" s="49" t="e">
        <f t="shared" si="45"/>
        <v>#DIV/0!</v>
      </c>
    </row>
    <row r="943" customHeight="1" spans="1:21">
      <c r="A943" s="42" t="str">
        <f t="shared" si="44"/>
        <v/>
      </c>
      <c r="G943" s="47" t="e">
        <f t="shared" si="43"/>
        <v>#DIV/0!</v>
      </c>
      <c r="U943" s="49" t="e">
        <f t="shared" si="45"/>
        <v>#DIV/0!</v>
      </c>
    </row>
    <row r="944" customHeight="1" spans="1:21">
      <c r="A944" s="42" t="str">
        <f t="shared" si="44"/>
        <v/>
      </c>
      <c r="G944" s="47" t="e">
        <f t="shared" si="43"/>
        <v>#DIV/0!</v>
      </c>
      <c r="U944" s="49" t="e">
        <f t="shared" si="45"/>
        <v>#DIV/0!</v>
      </c>
    </row>
    <row r="945" customHeight="1" spans="1:21">
      <c r="A945" s="42" t="str">
        <f t="shared" si="44"/>
        <v/>
      </c>
      <c r="G945" s="47" t="e">
        <f t="shared" si="43"/>
        <v>#DIV/0!</v>
      </c>
      <c r="U945" s="49" t="e">
        <f t="shared" si="45"/>
        <v>#DIV/0!</v>
      </c>
    </row>
    <row r="946" customHeight="1" spans="1:21">
      <c r="A946" s="42" t="str">
        <f t="shared" si="44"/>
        <v/>
      </c>
      <c r="G946" s="47" t="e">
        <f t="shared" si="43"/>
        <v>#DIV/0!</v>
      </c>
      <c r="U946" s="49" t="e">
        <f t="shared" si="45"/>
        <v>#DIV/0!</v>
      </c>
    </row>
    <row r="947" customHeight="1" spans="1:21">
      <c r="A947" s="42" t="str">
        <f t="shared" si="44"/>
        <v/>
      </c>
      <c r="G947" s="47" t="e">
        <f t="shared" si="43"/>
        <v>#DIV/0!</v>
      </c>
      <c r="U947" s="49" t="e">
        <f t="shared" si="45"/>
        <v>#DIV/0!</v>
      </c>
    </row>
    <row r="948" customHeight="1" spans="1:21">
      <c r="A948" s="42" t="str">
        <f t="shared" si="44"/>
        <v/>
      </c>
      <c r="G948" s="47" t="e">
        <f t="shared" si="43"/>
        <v>#DIV/0!</v>
      </c>
      <c r="U948" s="49" t="e">
        <f t="shared" si="45"/>
        <v>#DIV/0!</v>
      </c>
    </row>
    <row r="949" customHeight="1" spans="1:21">
      <c r="A949" s="42" t="str">
        <f t="shared" si="44"/>
        <v/>
      </c>
      <c r="G949" s="47" t="e">
        <f t="shared" si="43"/>
        <v>#DIV/0!</v>
      </c>
      <c r="U949" s="49" t="e">
        <f t="shared" si="45"/>
        <v>#DIV/0!</v>
      </c>
    </row>
    <row r="950" customHeight="1" spans="1:21">
      <c r="A950" s="42" t="str">
        <f t="shared" si="44"/>
        <v/>
      </c>
      <c r="G950" s="47" t="e">
        <f t="shared" si="43"/>
        <v>#DIV/0!</v>
      </c>
      <c r="U950" s="49" t="e">
        <f t="shared" si="45"/>
        <v>#DIV/0!</v>
      </c>
    </row>
    <row r="951" customHeight="1" spans="1:21">
      <c r="A951" s="42" t="str">
        <f t="shared" si="44"/>
        <v/>
      </c>
      <c r="G951" s="47" t="e">
        <f t="shared" si="43"/>
        <v>#DIV/0!</v>
      </c>
      <c r="U951" s="49" t="e">
        <f t="shared" si="45"/>
        <v>#DIV/0!</v>
      </c>
    </row>
    <row r="952" customHeight="1" spans="1:21">
      <c r="A952" s="42" t="str">
        <f t="shared" si="44"/>
        <v/>
      </c>
      <c r="G952" s="47" t="e">
        <f t="shared" si="43"/>
        <v>#DIV/0!</v>
      </c>
      <c r="U952" s="49" t="e">
        <f t="shared" si="45"/>
        <v>#DIV/0!</v>
      </c>
    </row>
    <row r="953" customHeight="1" spans="1:21">
      <c r="A953" s="42" t="str">
        <f t="shared" si="44"/>
        <v/>
      </c>
      <c r="G953" s="47" t="e">
        <f t="shared" si="43"/>
        <v>#DIV/0!</v>
      </c>
      <c r="U953" s="49" t="e">
        <f t="shared" si="45"/>
        <v>#DIV/0!</v>
      </c>
    </row>
    <row r="954" customHeight="1" spans="1:21">
      <c r="A954" s="42" t="str">
        <f t="shared" si="44"/>
        <v/>
      </c>
      <c r="G954" s="47" t="e">
        <f t="shared" si="43"/>
        <v>#DIV/0!</v>
      </c>
      <c r="U954" s="49" t="e">
        <f t="shared" si="45"/>
        <v>#DIV/0!</v>
      </c>
    </row>
    <row r="955" customHeight="1" spans="1:21">
      <c r="A955" s="42" t="str">
        <f t="shared" si="44"/>
        <v/>
      </c>
      <c r="G955" s="47" t="e">
        <f t="shared" si="43"/>
        <v>#DIV/0!</v>
      </c>
      <c r="U955" s="49" t="e">
        <f t="shared" si="45"/>
        <v>#DIV/0!</v>
      </c>
    </row>
    <row r="956" customHeight="1" spans="1:21">
      <c r="A956" s="42" t="str">
        <f t="shared" si="44"/>
        <v/>
      </c>
      <c r="G956" s="47" t="e">
        <f t="shared" si="43"/>
        <v>#DIV/0!</v>
      </c>
      <c r="U956" s="49" t="e">
        <f t="shared" si="45"/>
        <v>#DIV/0!</v>
      </c>
    </row>
    <row r="957" customHeight="1" spans="1:21">
      <c r="A957" s="42" t="str">
        <f t="shared" si="44"/>
        <v/>
      </c>
      <c r="G957" s="47" t="e">
        <f t="shared" si="43"/>
        <v>#DIV/0!</v>
      </c>
      <c r="U957" s="49" t="e">
        <f t="shared" si="45"/>
        <v>#DIV/0!</v>
      </c>
    </row>
    <row r="958" customHeight="1" spans="1:21">
      <c r="A958" s="42" t="str">
        <f t="shared" si="44"/>
        <v/>
      </c>
      <c r="G958" s="47" t="e">
        <f t="shared" si="43"/>
        <v>#DIV/0!</v>
      </c>
      <c r="U958" s="49" t="e">
        <f t="shared" si="45"/>
        <v>#DIV/0!</v>
      </c>
    </row>
    <row r="959" customHeight="1" spans="1:21">
      <c r="A959" s="42" t="str">
        <f t="shared" si="44"/>
        <v/>
      </c>
      <c r="G959" s="47" t="e">
        <f t="shared" si="43"/>
        <v>#DIV/0!</v>
      </c>
      <c r="U959" s="49" t="e">
        <f t="shared" si="45"/>
        <v>#DIV/0!</v>
      </c>
    </row>
    <row r="960" customHeight="1" spans="1:21">
      <c r="A960" s="42" t="str">
        <f t="shared" si="44"/>
        <v/>
      </c>
      <c r="G960" s="47" t="e">
        <f t="shared" si="43"/>
        <v>#DIV/0!</v>
      </c>
      <c r="U960" s="49" t="e">
        <f t="shared" si="45"/>
        <v>#DIV/0!</v>
      </c>
    </row>
    <row r="961" customHeight="1" spans="1:21">
      <c r="A961" s="42" t="str">
        <f t="shared" si="44"/>
        <v/>
      </c>
      <c r="G961" s="47" t="e">
        <f t="shared" si="43"/>
        <v>#DIV/0!</v>
      </c>
      <c r="U961" s="49" t="e">
        <f t="shared" si="45"/>
        <v>#DIV/0!</v>
      </c>
    </row>
    <row r="962" customHeight="1" spans="1:21">
      <c r="A962" s="42" t="str">
        <f t="shared" si="44"/>
        <v/>
      </c>
      <c r="G962" s="47" t="e">
        <f t="shared" si="43"/>
        <v>#DIV/0!</v>
      </c>
      <c r="U962" s="49" t="e">
        <f t="shared" si="45"/>
        <v>#DIV/0!</v>
      </c>
    </row>
    <row r="963" customHeight="1" spans="1:21">
      <c r="A963" s="42" t="str">
        <f t="shared" si="44"/>
        <v/>
      </c>
      <c r="G963" s="47" t="e">
        <f t="shared" ref="G963:G1026" si="46">+E963/F963</f>
        <v>#DIV/0!</v>
      </c>
      <c r="U963" s="49" t="e">
        <f t="shared" si="45"/>
        <v>#DIV/0!</v>
      </c>
    </row>
    <row r="964" customHeight="1" spans="1:21">
      <c r="A964" s="42" t="str">
        <f t="shared" ref="A964:A1027" si="47">B964&amp;C964&amp;D964</f>
        <v/>
      </c>
      <c r="G964" s="47" t="e">
        <f t="shared" si="46"/>
        <v>#DIV/0!</v>
      </c>
      <c r="U964" s="49" t="e">
        <f t="shared" ref="U964:U1027" si="48">SUM(G964:T964)</f>
        <v>#DIV/0!</v>
      </c>
    </row>
    <row r="965" customHeight="1" spans="1:21">
      <c r="A965" s="42" t="str">
        <f t="shared" si="47"/>
        <v/>
      </c>
      <c r="G965" s="47" t="e">
        <f t="shared" si="46"/>
        <v>#DIV/0!</v>
      </c>
      <c r="U965" s="49" t="e">
        <f t="shared" si="48"/>
        <v>#DIV/0!</v>
      </c>
    </row>
    <row r="966" customHeight="1" spans="1:21">
      <c r="A966" s="42" t="str">
        <f t="shared" si="47"/>
        <v/>
      </c>
      <c r="G966" s="47" t="e">
        <f t="shared" si="46"/>
        <v>#DIV/0!</v>
      </c>
      <c r="U966" s="49" t="e">
        <f t="shared" si="48"/>
        <v>#DIV/0!</v>
      </c>
    </row>
    <row r="967" customHeight="1" spans="1:21">
      <c r="A967" s="42" t="str">
        <f t="shared" si="47"/>
        <v/>
      </c>
      <c r="G967" s="47" t="e">
        <f t="shared" si="46"/>
        <v>#DIV/0!</v>
      </c>
      <c r="U967" s="49" t="e">
        <f t="shared" si="48"/>
        <v>#DIV/0!</v>
      </c>
    </row>
    <row r="968" customHeight="1" spans="1:21">
      <c r="A968" s="42" t="str">
        <f t="shared" si="47"/>
        <v/>
      </c>
      <c r="G968" s="47" t="e">
        <f t="shared" si="46"/>
        <v>#DIV/0!</v>
      </c>
      <c r="U968" s="49" t="e">
        <f t="shared" si="48"/>
        <v>#DIV/0!</v>
      </c>
    </row>
    <row r="969" customHeight="1" spans="1:21">
      <c r="A969" s="42" t="str">
        <f t="shared" si="47"/>
        <v/>
      </c>
      <c r="G969" s="47" t="e">
        <f t="shared" si="46"/>
        <v>#DIV/0!</v>
      </c>
      <c r="U969" s="49" t="e">
        <f t="shared" si="48"/>
        <v>#DIV/0!</v>
      </c>
    </row>
    <row r="970" customHeight="1" spans="1:21">
      <c r="A970" s="42" t="str">
        <f t="shared" si="47"/>
        <v/>
      </c>
      <c r="G970" s="47" t="e">
        <f t="shared" si="46"/>
        <v>#DIV/0!</v>
      </c>
      <c r="U970" s="49" t="e">
        <f t="shared" si="48"/>
        <v>#DIV/0!</v>
      </c>
    </row>
    <row r="971" customHeight="1" spans="1:21">
      <c r="A971" s="42" t="str">
        <f t="shared" si="47"/>
        <v/>
      </c>
      <c r="G971" s="47" t="e">
        <f t="shared" si="46"/>
        <v>#DIV/0!</v>
      </c>
      <c r="U971" s="49" t="e">
        <f t="shared" si="48"/>
        <v>#DIV/0!</v>
      </c>
    </row>
    <row r="972" customHeight="1" spans="1:21">
      <c r="A972" s="42" t="str">
        <f t="shared" si="47"/>
        <v/>
      </c>
      <c r="G972" s="47" t="e">
        <f t="shared" si="46"/>
        <v>#DIV/0!</v>
      </c>
      <c r="U972" s="49" t="e">
        <f t="shared" si="48"/>
        <v>#DIV/0!</v>
      </c>
    </row>
    <row r="973" customHeight="1" spans="1:21">
      <c r="A973" s="42" t="str">
        <f t="shared" si="47"/>
        <v/>
      </c>
      <c r="G973" s="47" t="e">
        <f t="shared" si="46"/>
        <v>#DIV/0!</v>
      </c>
      <c r="U973" s="49" t="e">
        <f t="shared" si="48"/>
        <v>#DIV/0!</v>
      </c>
    </row>
    <row r="974" customHeight="1" spans="1:21">
      <c r="A974" s="42" t="str">
        <f t="shared" si="47"/>
        <v/>
      </c>
      <c r="G974" s="47" t="e">
        <f t="shared" si="46"/>
        <v>#DIV/0!</v>
      </c>
      <c r="U974" s="49" t="e">
        <f t="shared" si="48"/>
        <v>#DIV/0!</v>
      </c>
    </row>
    <row r="975" customHeight="1" spans="1:21">
      <c r="A975" s="42" t="str">
        <f t="shared" si="47"/>
        <v/>
      </c>
      <c r="G975" s="47" t="e">
        <f t="shared" si="46"/>
        <v>#DIV/0!</v>
      </c>
      <c r="U975" s="49" t="e">
        <f t="shared" si="48"/>
        <v>#DIV/0!</v>
      </c>
    </row>
    <row r="976" customHeight="1" spans="1:21">
      <c r="A976" s="42" t="str">
        <f t="shared" si="47"/>
        <v/>
      </c>
      <c r="G976" s="47" t="e">
        <f t="shared" si="46"/>
        <v>#DIV/0!</v>
      </c>
      <c r="U976" s="49" t="e">
        <f t="shared" si="48"/>
        <v>#DIV/0!</v>
      </c>
    </row>
    <row r="977" customHeight="1" spans="1:21">
      <c r="A977" s="42" t="str">
        <f t="shared" si="47"/>
        <v/>
      </c>
      <c r="G977" s="47" t="e">
        <f t="shared" si="46"/>
        <v>#DIV/0!</v>
      </c>
      <c r="U977" s="49" t="e">
        <f t="shared" si="48"/>
        <v>#DIV/0!</v>
      </c>
    </row>
    <row r="978" customHeight="1" spans="1:21">
      <c r="A978" s="42" t="str">
        <f t="shared" si="47"/>
        <v/>
      </c>
      <c r="G978" s="47" t="e">
        <f t="shared" si="46"/>
        <v>#DIV/0!</v>
      </c>
      <c r="U978" s="49" t="e">
        <f t="shared" si="48"/>
        <v>#DIV/0!</v>
      </c>
    </row>
    <row r="979" customHeight="1" spans="1:21">
      <c r="A979" s="42" t="str">
        <f t="shared" si="47"/>
        <v/>
      </c>
      <c r="G979" s="47" t="e">
        <f t="shared" si="46"/>
        <v>#DIV/0!</v>
      </c>
      <c r="U979" s="49" t="e">
        <f t="shared" si="48"/>
        <v>#DIV/0!</v>
      </c>
    </row>
    <row r="980" customHeight="1" spans="1:21">
      <c r="A980" s="42" t="str">
        <f t="shared" si="47"/>
        <v/>
      </c>
      <c r="G980" s="47" t="e">
        <f t="shared" si="46"/>
        <v>#DIV/0!</v>
      </c>
      <c r="U980" s="49" t="e">
        <f t="shared" si="48"/>
        <v>#DIV/0!</v>
      </c>
    </row>
    <row r="981" customHeight="1" spans="1:21">
      <c r="A981" s="42" t="str">
        <f t="shared" si="47"/>
        <v/>
      </c>
      <c r="G981" s="47" t="e">
        <f t="shared" si="46"/>
        <v>#DIV/0!</v>
      </c>
      <c r="U981" s="49" t="e">
        <f t="shared" si="48"/>
        <v>#DIV/0!</v>
      </c>
    </row>
    <row r="982" customHeight="1" spans="1:21">
      <c r="A982" s="42" t="str">
        <f t="shared" si="47"/>
        <v/>
      </c>
      <c r="G982" s="47" t="e">
        <f t="shared" si="46"/>
        <v>#DIV/0!</v>
      </c>
      <c r="U982" s="49" t="e">
        <f t="shared" si="48"/>
        <v>#DIV/0!</v>
      </c>
    </row>
    <row r="983" customHeight="1" spans="1:21">
      <c r="A983" s="42" t="str">
        <f t="shared" si="47"/>
        <v/>
      </c>
      <c r="G983" s="47" t="e">
        <f t="shared" si="46"/>
        <v>#DIV/0!</v>
      </c>
      <c r="U983" s="49" t="e">
        <f t="shared" si="48"/>
        <v>#DIV/0!</v>
      </c>
    </row>
    <row r="984" customHeight="1" spans="1:21">
      <c r="A984" s="42" t="str">
        <f t="shared" si="47"/>
        <v/>
      </c>
      <c r="G984" s="47" t="e">
        <f t="shared" si="46"/>
        <v>#DIV/0!</v>
      </c>
      <c r="U984" s="49" t="e">
        <f t="shared" si="48"/>
        <v>#DIV/0!</v>
      </c>
    </row>
    <row r="985" customHeight="1" spans="1:21">
      <c r="A985" s="42" t="str">
        <f t="shared" si="47"/>
        <v/>
      </c>
      <c r="G985" s="47" t="e">
        <f t="shared" si="46"/>
        <v>#DIV/0!</v>
      </c>
      <c r="U985" s="49" t="e">
        <f t="shared" si="48"/>
        <v>#DIV/0!</v>
      </c>
    </row>
    <row r="986" customHeight="1" spans="1:21">
      <c r="A986" s="42" t="str">
        <f t="shared" si="47"/>
        <v/>
      </c>
      <c r="G986" s="47" t="e">
        <f t="shared" si="46"/>
        <v>#DIV/0!</v>
      </c>
      <c r="U986" s="49" t="e">
        <f t="shared" si="48"/>
        <v>#DIV/0!</v>
      </c>
    </row>
    <row r="987" customHeight="1" spans="1:21">
      <c r="A987" s="42" t="str">
        <f t="shared" si="47"/>
        <v/>
      </c>
      <c r="G987" s="47" t="e">
        <f t="shared" si="46"/>
        <v>#DIV/0!</v>
      </c>
      <c r="U987" s="49" t="e">
        <f t="shared" si="48"/>
        <v>#DIV/0!</v>
      </c>
    </row>
    <row r="988" customHeight="1" spans="1:21">
      <c r="A988" s="42" t="str">
        <f t="shared" si="47"/>
        <v/>
      </c>
      <c r="G988" s="47" t="e">
        <f t="shared" si="46"/>
        <v>#DIV/0!</v>
      </c>
      <c r="U988" s="49" t="e">
        <f t="shared" si="48"/>
        <v>#DIV/0!</v>
      </c>
    </row>
    <row r="989" customHeight="1" spans="1:21">
      <c r="A989" s="42" t="str">
        <f t="shared" si="47"/>
        <v/>
      </c>
      <c r="G989" s="47" t="e">
        <f t="shared" si="46"/>
        <v>#DIV/0!</v>
      </c>
      <c r="U989" s="49" t="e">
        <f t="shared" si="48"/>
        <v>#DIV/0!</v>
      </c>
    </row>
    <row r="990" customHeight="1" spans="1:21">
      <c r="A990" s="42" t="str">
        <f t="shared" si="47"/>
        <v/>
      </c>
      <c r="G990" s="47" t="e">
        <f t="shared" si="46"/>
        <v>#DIV/0!</v>
      </c>
      <c r="U990" s="49" t="e">
        <f t="shared" si="48"/>
        <v>#DIV/0!</v>
      </c>
    </row>
    <row r="991" customHeight="1" spans="1:21">
      <c r="A991" s="42" t="str">
        <f t="shared" si="47"/>
        <v/>
      </c>
      <c r="G991" s="47" t="e">
        <f t="shared" si="46"/>
        <v>#DIV/0!</v>
      </c>
      <c r="U991" s="49" t="e">
        <f t="shared" si="48"/>
        <v>#DIV/0!</v>
      </c>
    </row>
    <row r="992" customHeight="1" spans="1:21">
      <c r="A992" s="42" t="str">
        <f t="shared" si="47"/>
        <v/>
      </c>
      <c r="G992" s="47" t="e">
        <f t="shared" si="46"/>
        <v>#DIV/0!</v>
      </c>
      <c r="U992" s="49" t="e">
        <f t="shared" si="48"/>
        <v>#DIV/0!</v>
      </c>
    </row>
    <row r="993" customHeight="1" spans="1:21">
      <c r="A993" s="42" t="str">
        <f t="shared" si="47"/>
        <v/>
      </c>
      <c r="G993" s="47" t="e">
        <f t="shared" si="46"/>
        <v>#DIV/0!</v>
      </c>
      <c r="U993" s="49" t="e">
        <f t="shared" si="48"/>
        <v>#DIV/0!</v>
      </c>
    </row>
    <row r="994" customHeight="1" spans="1:21">
      <c r="A994" s="42" t="str">
        <f t="shared" si="47"/>
        <v/>
      </c>
      <c r="G994" s="47" t="e">
        <f t="shared" si="46"/>
        <v>#DIV/0!</v>
      </c>
      <c r="U994" s="49" t="e">
        <f t="shared" si="48"/>
        <v>#DIV/0!</v>
      </c>
    </row>
    <row r="995" customHeight="1" spans="1:21">
      <c r="A995" s="42" t="str">
        <f t="shared" si="47"/>
        <v/>
      </c>
      <c r="G995" s="47" t="e">
        <f t="shared" si="46"/>
        <v>#DIV/0!</v>
      </c>
      <c r="U995" s="49" t="e">
        <f t="shared" si="48"/>
        <v>#DIV/0!</v>
      </c>
    </row>
    <row r="996" customHeight="1" spans="1:21">
      <c r="A996" s="42" t="str">
        <f t="shared" si="47"/>
        <v/>
      </c>
      <c r="G996" s="47" t="e">
        <f t="shared" si="46"/>
        <v>#DIV/0!</v>
      </c>
      <c r="U996" s="49" t="e">
        <f t="shared" si="48"/>
        <v>#DIV/0!</v>
      </c>
    </row>
    <row r="997" customHeight="1" spans="1:21">
      <c r="A997" s="42" t="str">
        <f t="shared" si="47"/>
        <v/>
      </c>
      <c r="G997" s="47" t="e">
        <f t="shared" si="46"/>
        <v>#DIV/0!</v>
      </c>
      <c r="U997" s="49" t="e">
        <f t="shared" si="48"/>
        <v>#DIV/0!</v>
      </c>
    </row>
    <row r="998" customHeight="1" spans="1:21">
      <c r="A998" s="42" t="str">
        <f t="shared" si="47"/>
        <v/>
      </c>
      <c r="G998" s="47" t="e">
        <f t="shared" si="46"/>
        <v>#DIV/0!</v>
      </c>
      <c r="U998" s="49" t="e">
        <f t="shared" si="48"/>
        <v>#DIV/0!</v>
      </c>
    </row>
    <row r="999" customHeight="1" spans="1:21">
      <c r="A999" s="42" t="str">
        <f t="shared" si="47"/>
        <v/>
      </c>
      <c r="G999" s="47" t="e">
        <f t="shared" si="46"/>
        <v>#DIV/0!</v>
      </c>
      <c r="U999" s="49" t="e">
        <f t="shared" si="48"/>
        <v>#DIV/0!</v>
      </c>
    </row>
    <row r="1000" customHeight="1" spans="1:21">
      <c r="A1000" s="42" t="str">
        <f t="shared" si="47"/>
        <v/>
      </c>
      <c r="G1000" s="47" t="e">
        <f t="shared" si="46"/>
        <v>#DIV/0!</v>
      </c>
      <c r="U1000" s="49" t="e">
        <f t="shared" si="48"/>
        <v>#DIV/0!</v>
      </c>
    </row>
    <row r="1001" customHeight="1" spans="1:21">
      <c r="A1001" s="42" t="str">
        <f t="shared" si="47"/>
        <v/>
      </c>
      <c r="G1001" s="47" t="e">
        <f t="shared" si="46"/>
        <v>#DIV/0!</v>
      </c>
      <c r="U1001" s="49" t="e">
        <f t="shared" si="48"/>
        <v>#DIV/0!</v>
      </c>
    </row>
    <row r="1002" customHeight="1" spans="1:21">
      <c r="A1002" s="42" t="str">
        <f t="shared" si="47"/>
        <v/>
      </c>
      <c r="G1002" s="47" t="e">
        <f t="shared" si="46"/>
        <v>#DIV/0!</v>
      </c>
      <c r="U1002" s="49" t="e">
        <f t="shared" si="48"/>
        <v>#DIV/0!</v>
      </c>
    </row>
    <row r="1003" customHeight="1" spans="1:21">
      <c r="A1003" s="42" t="str">
        <f t="shared" si="47"/>
        <v/>
      </c>
      <c r="G1003" s="47" t="e">
        <f t="shared" si="46"/>
        <v>#DIV/0!</v>
      </c>
      <c r="U1003" s="49" t="e">
        <f t="shared" si="48"/>
        <v>#DIV/0!</v>
      </c>
    </row>
    <row r="1004" customHeight="1" spans="1:21">
      <c r="A1004" s="42" t="str">
        <f t="shared" si="47"/>
        <v/>
      </c>
      <c r="G1004" s="47" t="e">
        <f t="shared" si="46"/>
        <v>#DIV/0!</v>
      </c>
      <c r="U1004" s="49" t="e">
        <f t="shared" si="48"/>
        <v>#DIV/0!</v>
      </c>
    </row>
    <row r="1005" customHeight="1" spans="1:21">
      <c r="A1005" s="42" t="str">
        <f t="shared" si="47"/>
        <v/>
      </c>
      <c r="G1005" s="47" t="e">
        <f t="shared" si="46"/>
        <v>#DIV/0!</v>
      </c>
      <c r="U1005" s="49" t="e">
        <f t="shared" si="48"/>
        <v>#DIV/0!</v>
      </c>
    </row>
    <row r="1006" customHeight="1" spans="1:21">
      <c r="A1006" s="42" t="str">
        <f t="shared" si="47"/>
        <v/>
      </c>
      <c r="G1006" s="47" t="e">
        <f t="shared" si="46"/>
        <v>#DIV/0!</v>
      </c>
      <c r="U1006" s="49" t="e">
        <f t="shared" si="48"/>
        <v>#DIV/0!</v>
      </c>
    </row>
    <row r="1007" customHeight="1" spans="1:21">
      <c r="A1007" s="42" t="str">
        <f t="shared" si="47"/>
        <v/>
      </c>
      <c r="G1007" s="47" t="e">
        <f t="shared" si="46"/>
        <v>#DIV/0!</v>
      </c>
      <c r="U1007" s="49" t="e">
        <f t="shared" si="48"/>
        <v>#DIV/0!</v>
      </c>
    </row>
    <row r="1008" customHeight="1" spans="1:21">
      <c r="A1008" s="42" t="str">
        <f t="shared" si="47"/>
        <v/>
      </c>
      <c r="G1008" s="47" t="e">
        <f t="shared" si="46"/>
        <v>#DIV/0!</v>
      </c>
      <c r="U1008" s="49" t="e">
        <f t="shared" si="48"/>
        <v>#DIV/0!</v>
      </c>
    </row>
    <row r="1009" customHeight="1" spans="1:21">
      <c r="A1009" s="42" t="str">
        <f t="shared" si="47"/>
        <v/>
      </c>
      <c r="G1009" s="47" t="e">
        <f t="shared" si="46"/>
        <v>#DIV/0!</v>
      </c>
      <c r="U1009" s="49" t="e">
        <f t="shared" si="48"/>
        <v>#DIV/0!</v>
      </c>
    </row>
    <row r="1010" customHeight="1" spans="1:21">
      <c r="A1010" s="42" t="str">
        <f t="shared" si="47"/>
        <v/>
      </c>
      <c r="G1010" s="47" t="e">
        <f t="shared" si="46"/>
        <v>#DIV/0!</v>
      </c>
      <c r="U1010" s="49" t="e">
        <f t="shared" si="48"/>
        <v>#DIV/0!</v>
      </c>
    </row>
    <row r="1011" customHeight="1" spans="1:21">
      <c r="A1011" s="42" t="str">
        <f t="shared" si="47"/>
        <v/>
      </c>
      <c r="G1011" s="47" t="e">
        <f t="shared" si="46"/>
        <v>#DIV/0!</v>
      </c>
      <c r="U1011" s="49" t="e">
        <f t="shared" si="48"/>
        <v>#DIV/0!</v>
      </c>
    </row>
    <row r="1012" customHeight="1" spans="1:21">
      <c r="A1012" s="42" t="str">
        <f t="shared" si="47"/>
        <v/>
      </c>
      <c r="G1012" s="47" t="e">
        <f t="shared" si="46"/>
        <v>#DIV/0!</v>
      </c>
      <c r="U1012" s="49" t="e">
        <f t="shared" si="48"/>
        <v>#DIV/0!</v>
      </c>
    </row>
    <row r="1013" customHeight="1" spans="1:21">
      <c r="A1013" s="42" t="str">
        <f t="shared" si="47"/>
        <v/>
      </c>
      <c r="G1013" s="47" t="e">
        <f t="shared" si="46"/>
        <v>#DIV/0!</v>
      </c>
      <c r="U1013" s="49" t="e">
        <f t="shared" si="48"/>
        <v>#DIV/0!</v>
      </c>
    </row>
    <row r="1014" customHeight="1" spans="1:21">
      <c r="A1014" s="42" t="str">
        <f t="shared" si="47"/>
        <v/>
      </c>
      <c r="G1014" s="47" t="e">
        <f t="shared" si="46"/>
        <v>#DIV/0!</v>
      </c>
      <c r="U1014" s="49" t="e">
        <f t="shared" si="48"/>
        <v>#DIV/0!</v>
      </c>
    </row>
    <row r="1015" customHeight="1" spans="1:21">
      <c r="A1015" s="42" t="str">
        <f t="shared" si="47"/>
        <v/>
      </c>
      <c r="G1015" s="47" t="e">
        <f t="shared" si="46"/>
        <v>#DIV/0!</v>
      </c>
      <c r="U1015" s="49" t="e">
        <f t="shared" si="48"/>
        <v>#DIV/0!</v>
      </c>
    </row>
    <row r="1016" customHeight="1" spans="1:21">
      <c r="A1016" s="42" t="str">
        <f t="shared" si="47"/>
        <v/>
      </c>
      <c r="G1016" s="47" t="e">
        <f t="shared" si="46"/>
        <v>#DIV/0!</v>
      </c>
      <c r="U1016" s="49" t="e">
        <f t="shared" si="48"/>
        <v>#DIV/0!</v>
      </c>
    </row>
    <row r="1017" customHeight="1" spans="1:21">
      <c r="A1017" s="42" t="str">
        <f t="shared" si="47"/>
        <v/>
      </c>
      <c r="G1017" s="47" t="e">
        <f t="shared" si="46"/>
        <v>#DIV/0!</v>
      </c>
      <c r="U1017" s="49" t="e">
        <f t="shared" si="48"/>
        <v>#DIV/0!</v>
      </c>
    </row>
    <row r="1018" customHeight="1" spans="1:21">
      <c r="A1018" s="42" t="str">
        <f t="shared" si="47"/>
        <v/>
      </c>
      <c r="G1018" s="47" t="e">
        <f t="shared" si="46"/>
        <v>#DIV/0!</v>
      </c>
      <c r="U1018" s="49" t="e">
        <f t="shared" si="48"/>
        <v>#DIV/0!</v>
      </c>
    </row>
    <row r="1019" customHeight="1" spans="1:21">
      <c r="A1019" s="42" t="str">
        <f t="shared" si="47"/>
        <v/>
      </c>
      <c r="G1019" s="47" t="e">
        <f t="shared" si="46"/>
        <v>#DIV/0!</v>
      </c>
      <c r="U1019" s="49" t="e">
        <f t="shared" si="48"/>
        <v>#DIV/0!</v>
      </c>
    </row>
    <row r="1020" customHeight="1" spans="1:21">
      <c r="A1020" s="42" t="str">
        <f t="shared" si="47"/>
        <v/>
      </c>
      <c r="G1020" s="47" t="e">
        <f t="shared" si="46"/>
        <v>#DIV/0!</v>
      </c>
      <c r="U1020" s="49" t="e">
        <f t="shared" si="48"/>
        <v>#DIV/0!</v>
      </c>
    </row>
    <row r="1021" customHeight="1" spans="1:21">
      <c r="A1021" s="42" t="str">
        <f t="shared" si="47"/>
        <v/>
      </c>
      <c r="G1021" s="47" t="e">
        <f t="shared" si="46"/>
        <v>#DIV/0!</v>
      </c>
      <c r="U1021" s="49" t="e">
        <f t="shared" si="48"/>
        <v>#DIV/0!</v>
      </c>
    </row>
    <row r="1022" customHeight="1" spans="1:21">
      <c r="A1022" s="42" t="str">
        <f t="shared" si="47"/>
        <v/>
      </c>
      <c r="G1022" s="47" t="e">
        <f t="shared" si="46"/>
        <v>#DIV/0!</v>
      </c>
      <c r="U1022" s="49" t="e">
        <f t="shared" si="48"/>
        <v>#DIV/0!</v>
      </c>
    </row>
    <row r="1023" customHeight="1" spans="1:21">
      <c r="A1023" s="42" t="str">
        <f t="shared" si="47"/>
        <v/>
      </c>
      <c r="G1023" s="47" t="e">
        <f t="shared" si="46"/>
        <v>#DIV/0!</v>
      </c>
      <c r="U1023" s="49" t="e">
        <f t="shared" si="48"/>
        <v>#DIV/0!</v>
      </c>
    </row>
    <row r="1024" customHeight="1" spans="1:21">
      <c r="A1024" s="42" t="str">
        <f t="shared" si="47"/>
        <v/>
      </c>
      <c r="G1024" s="47" t="e">
        <f t="shared" si="46"/>
        <v>#DIV/0!</v>
      </c>
      <c r="U1024" s="49" t="e">
        <f t="shared" si="48"/>
        <v>#DIV/0!</v>
      </c>
    </row>
    <row r="1025" customHeight="1" spans="1:21">
      <c r="A1025" s="42" t="str">
        <f t="shared" si="47"/>
        <v/>
      </c>
      <c r="G1025" s="47" t="e">
        <f t="shared" si="46"/>
        <v>#DIV/0!</v>
      </c>
      <c r="U1025" s="49" t="e">
        <f t="shared" si="48"/>
        <v>#DIV/0!</v>
      </c>
    </row>
    <row r="1026" customHeight="1" spans="1:21">
      <c r="A1026" s="42" t="str">
        <f t="shared" si="47"/>
        <v/>
      </c>
      <c r="G1026" s="47" t="e">
        <f t="shared" si="46"/>
        <v>#DIV/0!</v>
      </c>
      <c r="U1026" s="49" t="e">
        <f t="shared" si="48"/>
        <v>#DIV/0!</v>
      </c>
    </row>
    <row r="1027" customHeight="1" spans="1:21">
      <c r="A1027" s="42" t="str">
        <f t="shared" si="47"/>
        <v/>
      </c>
      <c r="G1027" s="47" t="e">
        <f t="shared" ref="G1027:G1090" si="49">+E1027/F1027</f>
        <v>#DIV/0!</v>
      </c>
      <c r="U1027" s="49" t="e">
        <f t="shared" si="48"/>
        <v>#DIV/0!</v>
      </c>
    </row>
    <row r="1028" customHeight="1" spans="1:21">
      <c r="A1028" s="42" t="str">
        <f t="shared" ref="A1028:A1091" si="50">B1028&amp;C1028&amp;D1028</f>
        <v/>
      </c>
      <c r="G1028" s="47" t="e">
        <f t="shared" si="49"/>
        <v>#DIV/0!</v>
      </c>
      <c r="U1028" s="49" t="e">
        <f t="shared" ref="U1028:U1091" si="51">SUM(G1028:T1028)</f>
        <v>#DIV/0!</v>
      </c>
    </row>
    <row r="1029" customHeight="1" spans="1:21">
      <c r="A1029" s="42" t="str">
        <f t="shared" si="50"/>
        <v/>
      </c>
      <c r="G1029" s="47" t="e">
        <f t="shared" si="49"/>
        <v>#DIV/0!</v>
      </c>
      <c r="U1029" s="49" t="e">
        <f t="shared" si="51"/>
        <v>#DIV/0!</v>
      </c>
    </row>
    <row r="1030" customHeight="1" spans="1:21">
      <c r="A1030" s="42" t="str">
        <f t="shared" si="50"/>
        <v/>
      </c>
      <c r="G1030" s="47" t="e">
        <f t="shared" si="49"/>
        <v>#DIV/0!</v>
      </c>
      <c r="U1030" s="49" t="e">
        <f t="shared" si="51"/>
        <v>#DIV/0!</v>
      </c>
    </row>
    <row r="1031" customHeight="1" spans="1:21">
      <c r="A1031" s="42" t="str">
        <f t="shared" si="50"/>
        <v/>
      </c>
      <c r="G1031" s="47" t="e">
        <f t="shared" si="49"/>
        <v>#DIV/0!</v>
      </c>
      <c r="U1031" s="49" t="e">
        <f t="shared" si="51"/>
        <v>#DIV/0!</v>
      </c>
    </row>
    <row r="1032" customHeight="1" spans="1:21">
      <c r="A1032" s="42" t="str">
        <f t="shared" si="50"/>
        <v/>
      </c>
      <c r="G1032" s="47" t="e">
        <f t="shared" si="49"/>
        <v>#DIV/0!</v>
      </c>
      <c r="U1032" s="49" t="e">
        <f t="shared" si="51"/>
        <v>#DIV/0!</v>
      </c>
    </row>
    <row r="1033" customHeight="1" spans="1:21">
      <c r="A1033" s="42" t="str">
        <f t="shared" si="50"/>
        <v/>
      </c>
      <c r="G1033" s="47" t="e">
        <f t="shared" si="49"/>
        <v>#DIV/0!</v>
      </c>
      <c r="U1033" s="49" t="e">
        <f t="shared" si="51"/>
        <v>#DIV/0!</v>
      </c>
    </row>
    <row r="1034" customHeight="1" spans="1:21">
      <c r="A1034" s="42" t="str">
        <f t="shared" si="50"/>
        <v/>
      </c>
      <c r="G1034" s="47" t="e">
        <f t="shared" si="49"/>
        <v>#DIV/0!</v>
      </c>
      <c r="U1034" s="49" t="e">
        <f t="shared" si="51"/>
        <v>#DIV/0!</v>
      </c>
    </row>
    <row r="1035" customHeight="1" spans="1:21">
      <c r="A1035" s="42" t="str">
        <f t="shared" si="50"/>
        <v/>
      </c>
      <c r="G1035" s="47" t="e">
        <f t="shared" si="49"/>
        <v>#DIV/0!</v>
      </c>
      <c r="U1035" s="49" t="e">
        <f t="shared" si="51"/>
        <v>#DIV/0!</v>
      </c>
    </row>
    <row r="1036" customHeight="1" spans="1:21">
      <c r="A1036" s="42" t="str">
        <f t="shared" si="50"/>
        <v/>
      </c>
      <c r="G1036" s="47" t="e">
        <f t="shared" si="49"/>
        <v>#DIV/0!</v>
      </c>
      <c r="U1036" s="49" t="e">
        <f t="shared" si="51"/>
        <v>#DIV/0!</v>
      </c>
    </row>
    <row r="1037" customHeight="1" spans="1:21">
      <c r="A1037" s="42" t="str">
        <f t="shared" si="50"/>
        <v/>
      </c>
      <c r="G1037" s="47" t="e">
        <f t="shared" si="49"/>
        <v>#DIV/0!</v>
      </c>
      <c r="U1037" s="49" t="e">
        <f t="shared" si="51"/>
        <v>#DIV/0!</v>
      </c>
    </row>
    <row r="1038" customHeight="1" spans="1:21">
      <c r="A1038" s="42" t="str">
        <f t="shared" si="50"/>
        <v/>
      </c>
      <c r="G1038" s="47" t="e">
        <f t="shared" si="49"/>
        <v>#DIV/0!</v>
      </c>
      <c r="U1038" s="49" t="e">
        <f t="shared" si="51"/>
        <v>#DIV/0!</v>
      </c>
    </row>
    <row r="1039" customHeight="1" spans="1:21">
      <c r="A1039" s="42" t="str">
        <f t="shared" si="50"/>
        <v/>
      </c>
      <c r="G1039" s="47" t="e">
        <f t="shared" si="49"/>
        <v>#DIV/0!</v>
      </c>
      <c r="U1039" s="49" t="e">
        <f t="shared" si="51"/>
        <v>#DIV/0!</v>
      </c>
    </row>
    <row r="1040" customHeight="1" spans="1:21">
      <c r="A1040" s="42" t="str">
        <f t="shared" si="50"/>
        <v/>
      </c>
      <c r="G1040" s="47" t="e">
        <f t="shared" si="49"/>
        <v>#DIV/0!</v>
      </c>
      <c r="U1040" s="49" t="e">
        <f t="shared" si="51"/>
        <v>#DIV/0!</v>
      </c>
    </row>
    <row r="1041" customHeight="1" spans="1:21">
      <c r="A1041" s="42" t="str">
        <f t="shared" si="50"/>
        <v/>
      </c>
      <c r="G1041" s="47" t="e">
        <f t="shared" si="49"/>
        <v>#DIV/0!</v>
      </c>
      <c r="U1041" s="49" t="e">
        <f t="shared" si="51"/>
        <v>#DIV/0!</v>
      </c>
    </row>
    <row r="1042" customHeight="1" spans="1:21">
      <c r="A1042" s="42" t="str">
        <f t="shared" si="50"/>
        <v/>
      </c>
      <c r="G1042" s="47" t="e">
        <f t="shared" si="49"/>
        <v>#DIV/0!</v>
      </c>
      <c r="U1042" s="49" t="e">
        <f t="shared" si="51"/>
        <v>#DIV/0!</v>
      </c>
    </row>
    <row r="1043" customHeight="1" spans="1:21">
      <c r="A1043" s="42" t="str">
        <f t="shared" si="50"/>
        <v/>
      </c>
      <c r="G1043" s="47" t="e">
        <f t="shared" si="49"/>
        <v>#DIV/0!</v>
      </c>
      <c r="U1043" s="49" t="e">
        <f t="shared" si="51"/>
        <v>#DIV/0!</v>
      </c>
    </row>
    <row r="1044" customHeight="1" spans="1:21">
      <c r="A1044" s="42" t="str">
        <f t="shared" si="50"/>
        <v/>
      </c>
      <c r="G1044" s="47" t="e">
        <f t="shared" si="49"/>
        <v>#DIV/0!</v>
      </c>
      <c r="U1044" s="49" t="e">
        <f t="shared" si="51"/>
        <v>#DIV/0!</v>
      </c>
    </row>
    <row r="1045" customHeight="1" spans="1:21">
      <c r="A1045" s="42" t="str">
        <f t="shared" si="50"/>
        <v/>
      </c>
      <c r="G1045" s="47" t="e">
        <f t="shared" si="49"/>
        <v>#DIV/0!</v>
      </c>
      <c r="U1045" s="49" t="e">
        <f t="shared" si="51"/>
        <v>#DIV/0!</v>
      </c>
    </row>
    <row r="1046" customHeight="1" spans="1:21">
      <c r="A1046" s="42" t="str">
        <f t="shared" si="50"/>
        <v/>
      </c>
      <c r="G1046" s="47" t="e">
        <f t="shared" si="49"/>
        <v>#DIV/0!</v>
      </c>
      <c r="U1046" s="49" t="e">
        <f t="shared" si="51"/>
        <v>#DIV/0!</v>
      </c>
    </row>
    <row r="1047" customHeight="1" spans="1:21">
      <c r="A1047" s="42" t="str">
        <f t="shared" si="50"/>
        <v/>
      </c>
      <c r="G1047" s="47" t="e">
        <f t="shared" si="49"/>
        <v>#DIV/0!</v>
      </c>
      <c r="U1047" s="49" t="e">
        <f t="shared" si="51"/>
        <v>#DIV/0!</v>
      </c>
    </row>
    <row r="1048" customHeight="1" spans="1:21">
      <c r="A1048" s="42" t="str">
        <f t="shared" si="50"/>
        <v/>
      </c>
      <c r="G1048" s="47" t="e">
        <f t="shared" si="49"/>
        <v>#DIV/0!</v>
      </c>
      <c r="U1048" s="49" t="e">
        <f t="shared" si="51"/>
        <v>#DIV/0!</v>
      </c>
    </row>
    <row r="1049" customHeight="1" spans="1:21">
      <c r="A1049" s="42" t="str">
        <f t="shared" si="50"/>
        <v/>
      </c>
      <c r="G1049" s="47" t="e">
        <f t="shared" si="49"/>
        <v>#DIV/0!</v>
      </c>
      <c r="U1049" s="49" t="e">
        <f t="shared" si="51"/>
        <v>#DIV/0!</v>
      </c>
    </row>
    <row r="1050" customHeight="1" spans="1:21">
      <c r="A1050" s="42" t="str">
        <f t="shared" si="50"/>
        <v/>
      </c>
      <c r="G1050" s="47" t="e">
        <f t="shared" si="49"/>
        <v>#DIV/0!</v>
      </c>
      <c r="U1050" s="49" t="e">
        <f t="shared" si="51"/>
        <v>#DIV/0!</v>
      </c>
    </row>
    <row r="1051" customHeight="1" spans="1:21">
      <c r="A1051" s="42" t="str">
        <f t="shared" si="50"/>
        <v/>
      </c>
      <c r="G1051" s="47" t="e">
        <f t="shared" si="49"/>
        <v>#DIV/0!</v>
      </c>
      <c r="U1051" s="49" t="e">
        <f t="shared" si="51"/>
        <v>#DIV/0!</v>
      </c>
    </row>
    <row r="1052" customHeight="1" spans="1:21">
      <c r="A1052" s="42" t="str">
        <f t="shared" si="50"/>
        <v/>
      </c>
      <c r="G1052" s="47" t="e">
        <f t="shared" si="49"/>
        <v>#DIV/0!</v>
      </c>
      <c r="U1052" s="49" t="e">
        <f t="shared" si="51"/>
        <v>#DIV/0!</v>
      </c>
    </row>
    <row r="1053" customHeight="1" spans="1:21">
      <c r="A1053" s="42" t="str">
        <f t="shared" si="50"/>
        <v/>
      </c>
      <c r="G1053" s="47" t="e">
        <f t="shared" si="49"/>
        <v>#DIV/0!</v>
      </c>
      <c r="U1053" s="49" t="e">
        <f t="shared" si="51"/>
        <v>#DIV/0!</v>
      </c>
    </row>
    <row r="1054" customHeight="1" spans="1:21">
      <c r="A1054" s="42" t="str">
        <f t="shared" si="50"/>
        <v/>
      </c>
      <c r="G1054" s="47" t="e">
        <f t="shared" si="49"/>
        <v>#DIV/0!</v>
      </c>
      <c r="U1054" s="49" t="e">
        <f t="shared" si="51"/>
        <v>#DIV/0!</v>
      </c>
    </row>
    <row r="1055" customHeight="1" spans="1:21">
      <c r="A1055" s="42" t="str">
        <f t="shared" si="50"/>
        <v/>
      </c>
      <c r="G1055" s="47" t="e">
        <f t="shared" si="49"/>
        <v>#DIV/0!</v>
      </c>
      <c r="U1055" s="49" t="e">
        <f t="shared" si="51"/>
        <v>#DIV/0!</v>
      </c>
    </row>
    <row r="1056" customHeight="1" spans="1:21">
      <c r="A1056" s="42" t="str">
        <f t="shared" si="50"/>
        <v/>
      </c>
      <c r="G1056" s="47" t="e">
        <f t="shared" si="49"/>
        <v>#DIV/0!</v>
      </c>
      <c r="U1056" s="49" t="e">
        <f t="shared" si="51"/>
        <v>#DIV/0!</v>
      </c>
    </row>
    <row r="1057" customHeight="1" spans="1:21">
      <c r="A1057" s="42" t="str">
        <f t="shared" si="50"/>
        <v/>
      </c>
      <c r="G1057" s="47" t="e">
        <f t="shared" si="49"/>
        <v>#DIV/0!</v>
      </c>
      <c r="U1057" s="49" t="e">
        <f t="shared" si="51"/>
        <v>#DIV/0!</v>
      </c>
    </row>
    <row r="1058" customHeight="1" spans="1:21">
      <c r="A1058" s="42" t="str">
        <f t="shared" si="50"/>
        <v/>
      </c>
      <c r="G1058" s="47" t="e">
        <f t="shared" si="49"/>
        <v>#DIV/0!</v>
      </c>
      <c r="U1058" s="49" t="e">
        <f t="shared" si="51"/>
        <v>#DIV/0!</v>
      </c>
    </row>
    <row r="1059" customHeight="1" spans="1:21">
      <c r="A1059" s="42" t="str">
        <f t="shared" si="50"/>
        <v/>
      </c>
      <c r="G1059" s="47" t="e">
        <f t="shared" si="49"/>
        <v>#DIV/0!</v>
      </c>
      <c r="U1059" s="49" t="e">
        <f t="shared" si="51"/>
        <v>#DIV/0!</v>
      </c>
    </row>
    <row r="1060" customHeight="1" spans="1:21">
      <c r="A1060" s="42" t="str">
        <f t="shared" si="50"/>
        <v/>
      </c>
      <c r="G1060" s="47" t="e">
        <f t="shared" si="49"/>
        <v>#DIV/0!</v>
      </c>
      <c r="U1060" s="49" t="e">
        <f t="shared" si="51"/>
        <v>#DIV/0!</v>
      </c>
    </row>
    <row r="1061" customHeight="1" spans="1:21">
      <c r="A1061" s="42" t="str">
        <f t="shared" si="50"/>
        <v/>
      </c>
      <c r="G1061" s="47" t="e">
        <f t="shared" si="49"/>
        <v>#DIV/0!</v>
      </c>
      <c r="U1061" s="49" t="e">
        <f t="shared" si="51"/>
        <v>#DIV/0!</v>
      </c>
    </row>
    <row r="1062" customHeight="1" spans="1:21">
      <c r="A1062" s="42" t="str">
        <f t="shared" si="50"/>
        <v/>
      </c>
      <c r="G1062" s="47" t="e">
        <f t="shared" si="49"/>
        <v>#DIV/0!</v>
      </c>
      <c r="U1062" s="49" t="e">
        <f t="shared" si="51"/>
        <v>#DIV/0!</v>
      </c>
    </row>
    <row r="1063" customHeight="1" spans="1:21">
      <c r="A1063" s="42" t="str">
        <f t="shared" si="50"/>
        <v/>
      </c>
      <c r="G1063" s="47" t="e">
        <f t="shared" si="49"/>
        <v>#DIV/0!</v>
      </c>
      <c r="U1063" s="49" t="e">
        <f t="shared" si="51"/>
        <v>#DIV/0!</v>
      </c>
    </row>
    <row r="1064" customHeight="1" spans="1:21">
      <c r="A1064" s="42" t="str">
        <f t="shared" si="50"/>
        <v/>
      </c>
      <c r="G1064" s="47" t="e">
        <f t="shared" si="49"/>
        <v>#DIV/0!</v>
      </c>
      <c r="U1064" s="49" t="e">
        <f t="shared" si="51"/>
        <v>#DIV/0!</v>
      </c>
    </row>
    <row r="1065" customHeight="1" spans="1:21">
      <c r="A1065" s="42" t="str">
        <f t="shared" si="50"/>
        <v/>
      </c>
      <c r="G1065" s="47" t="e">
        <f t="shared" si="49"/>
        <v>#DIV/0!</v>
      </c>
      <c r="U1065" s="49" t="e">
        <f t="shared" si="51"/>
        <v>#DIV/0!</v>
      </c>
    </row>
    <row r="1066" customHeight="1" spans="1:21">
      <c r="A1066" s="42" t="str">
        <f t="shared" si="50"/>
        <v/>
      </c>
      <c r="G1066" s="47" t="e">
        <f t="shared" si="49"/>
        <v>#DIV/0!</v>
      </c>
      <c r="U1066" s="49" t="e">
        <f t="shared" si="51"/>
        <v>#DIV/0!</v>
      </c>
    </row>
    <row r="1067" customHeight="1" spans="1:21">
      <c r="A1067" s="42" t="str">
        <f t="shared" si="50"/>
        <v/>
      </c>
      <c r="G1067" s="47" t="e">
        <f t="shared" si="49"/>
        <v>#DIV/0!</v>
      </c>
      <c r="U1067" s="49" t="e">
        <f t="shared" si="51"/>
        <v>#DIV/0!</v>
      </c>
    </row>
    <row r="1068" customHeight="1" spans="1:21">
      <c r="A1068" s="42" t="str">
        <f t="shared" si="50"/>
        <v/>
      </c>
      <c r="G1068" s="47" t="e">
        <f t="shared" si="49"/>
        <v>#DIV/0!</v>
      </c>
      <c r="U1068" s="49" t="e">
        <f t="shared" si="51"/>
        <v>#DIV/0!</v>
      </c>
    </row>
    <row r="1069" customHeight="1" spans="1:21">
      <c r="A1069" s="42" t="str">
        <f t="shared" si="50"/>
        <v/>
      </c>
      <c r="G1069" s="47" t="e">
        <f t="shared" si="49"/>
        <v>#DIV/0!</v>
      </c>
      <c r="U1069" s="49" t="e">
        <f t="shared" si="51"/>
        <v>#DIV/0!</v>
      </c>
    </row>
    <row r="1070" customHeight="1" spans="1:21">
      <c r="A1070" s="42" t="str">
        <f t="shared" si="50"/>
        <v/>
      </c>
      <c r="G1070" s="47" t="e">
        <f t="shared" si="49"/>
        <v>#DIV/0!</v>
      </c>
      <c r="U1070" s="49" t="e">
        <f t="shared" si="51"/>
        <v>#DIV/0!</v>
      </c>
    </row>
    <row r="1071" customHeight="1" spans="1:21">
      <c r="A1071" s="42" t="str">
        <f t="shared" si="50"/>
        <v/>
      </c>
      <c r="G1071" s="47" t="e">
        <f t="shared" si="49"/>
        <v>#DIV/0!</v>
      </c>
      <c r="U1071" s="49" t="e">
        <f t="shared" si="51"/>
        <v>#DIV/0!</v>
      </c>
    </row>
    <row r="1072" customHeight="1" spans="1:21">
      <c r="A1072" s="42" t="str">
        <f t="shared" si="50"/>
        <v/>
      </c>
      <c r="G1072" s="47" t="e">
        <f t="shared" si="49"/>
        <v>#DIV/0!</v>
      </c>
      <c r="U1072" s="49" t="e">
        <f t="shared" si="51"/>
        <v>#DIV/0!</v>
      </c>
    </row>
    <row r="1073" customHeight="1" spans="1:21">
      <c r="A1073" s="42" t="str">
        <f t="shared" si="50"/>
        <v/>
      </c>
      <c r="G1073" s="47" t="e">
        <f t="shared" si="49"/>
        <v>#DIV/0!</v>
      </c>
      <c r="U1073" s="49" t="e">
        <f t="shared" si="51"/>
        <v>#DIV/0!</v>
      </c>
    </row>
    <row r="1074" customHeight="1" spans="1:21">
      <c r="A1074" s="42" t="str">
        <f t="shared" si="50"/>
        <v/>
      </c>
      <c r="G1074" s="47" t="e">
        <f t="shared" si="49"/>
        <v>#DIV/0!</v>
      </c>
      <c r="U1074" s="49" t="e">
        <f t="shared" si="51"/>
        <v>#DIV/0!</v>
      </c>
    </row>
    <row r="1075" customHeight="1" spans="1:21">
      <c r="A1075" s="42" t="str">
        <f t="shared" si="50"/>
        <v/>
      </c>
      <c r="G1075" s="47" t="e">
        <f t="shared" si="49"/>
        <v>#DIV/0!</v>
      </c>
      <c r="U1075" s="49" t="e">
        <f t="shared" si="51"/>
        <v>#DIV/0!</v>
      </c>
    </row>
    <row r="1076" customHeight="1" spans="1:21">
      <c r="A1076" s="42" t="str">
        <f t="shared" si="50"/>
        <v/>
      </c>
      <c r="G1076" s="47" t="e">
        <f t="shared" si="49"/>
        <v>#DIV/0!</v>
      </c>
      <c r="U1076" s="49" t="e">
        <f t="shared" si="51"/>
        <v>#DIV/0!</v>
      </c>
    </row>
    <row r="1077" customHeight="1" spans="1:21">
      <c r="A1077" s="42" t="str">
        <f t="shared" si="50"/>
        <v/>
      </c>
      <c r="G1077" s="47" t="e">
        <f t="shared" si="49"/>
        <v>#DIV/0!</v>
      </c>
      <c r="U1077" s="49" t="e">
        <f t="shared" si="51"/>
        <v>#DIV/0!</v>
      </c>
    </row>
    <row r="1078" customHeight="1" spans="1:21">
      <c r="A1078" s="42" t="str">
        <f t="shared" si="50"/>
        <v/>
      </c>
      <c r="G1078" s="47" t="e">
        <f t="shared" si="49"/>
        <v>#DIV/0!</v>
      </c>
      <c r="U1078" s="49" t="e">
        <f t="shared" si="51"/>
        <v>#DIV/0!</v>
      </c>
    </row>
    <row r="1079" customHeight="1" spans="1:21">
      <c r="A1079" s="42" t="str">
        <f t="shared" si="50"/>
        <v/>
      </c>
      <c r="G1079" s="47" t="e">
        <f t="shared" si="49"/>
        <v>#DIV/0!</v>
      </c>
      <c r="U1079" s="49" t="e">
        <f t="shared" si="51"/>
        <v>#DIV/0!</v>
      </c>
    </row>
    <row r="1080" customHeight="1" spans="1:21">
      <c r="A1080" s="42" t="str">
        <f t="shared" si="50"/>
        <v/>
      </c>
      <c r="G1080" s="47" t="e">
        <f t="shared" si="49"/>
        <v>#DIV/0!</v>
      </c>
      <c r="U1080" s="49" t="e">
        <f t="shared" si="51"/>
        <v>#DIV/0!</v>
      </c>
    </row>
    <row r="1081" customHeight="1" spans="1:21">
      <c r="A1081" s="42" t="str">
        <f t="shared" si="50"/>
        <v/>
      </c>
      <c r="G1081" s="47" t="e">
        <f t="shared" si="49"/>
        <v>#DIV/0!</v>
      </c>
      <c r="U1081" s="49" t="e">
        <f t="shared" si="51"/>
        <v>#DIV/0!</v>
      </c>
    </row>
    <row r="1082" customHeight="1" spans="1:21">
      <c r="A1082" s="42" t="str">
        <f t="shared" si="50"/>
        <v/>
      </c>
      <c r="G1082" s="47" t="e">
        <f t="shared" si="49"/>
        <v>#DIV/0!</v>
      </c>
      <c r="U1082" s="49" t="e">
        <f t="shared" si="51"/>
        <v>#DIV/0!</v>
      </c>
    </row>
    <row r="1083" customHeight="1" spans="1:21">
      <c r="A1083" s="42" t="str">
        <f t="shared" si="50"/>
        <v/>
      </c>
      <c r="G1083" s="47" t="e">
        <f t="shared" si="49"/>
        <v>#DIV/0!</v>
      </c>
      <c r="U1083" s="49" t="e">
        <f t="shared" si="51"/>
        <v>#DIV/0!</v>
      </c>
    </row>
    <row r="1084" customHeight="1" spans="1:21">
      <c r="A1084" s="42" t="str">
        <f t="shared" si="50"/>
        <v/>
      </c>
      <c r="G1084" s="47" t="e">
        <f t="shared" si="49"/>
        <v>#DIV/0!</v>
      </c>
      <c r="U1084" s="49" t="e">
        <f t="shared" si="51"/>
        <v>#DIV/0!</v>
      </c>
    </row>
    <row r="1085" customHeight="1" spans="1:21">
      <c r="A1085" s="42" t="str">
        <f t="shared" si="50"/>
        <v/>
      </c>
      <c r="G1085" s="47" t="e">
        <f t="shared" si="49"/>
        <v>#DIV/0!</v>
      </c>
      <c r="U1085" s="49" t="e">
        <f t="shared" si="51"/>
        <v>#DIV/0!</v>
      </c>
    </row>
    <row r="1086" customHeight="1" spans="1:21">
      <c r="A1086" s="42" t="str">
        <f t="shared" si="50"/>
        <v/>
      </c>
      <c r="G1086" s="47" t="e">
        <f t="shared" si="49"/>
        <v>#DIV/0!</v>
      </c>
      <c r="U1086" s="49" t="e">
        <f t="shared" si="51"/>
        <v>#DIV/0!</v>
      </c>
    </row>
    <row r="1087" customHeight="1" spans="1:21">
      <c r="A1087" s="42" t="str">
        <f t="shared" si="50"/>
        <v/>
      </c>
      <c r="G1087" s="47" t="e">
        <f t="shared" si="49"/>
        <v>#DIV/0!</v>
      </c>
      <c r="U1087" s="49" t="e">
        <f t="shared" si="51"/>
        <v>#DIV/0!</v>
      </c>
    </row>
    <row r="1088" customHeight="1" spans="1:21">
      <c r="A1088" s="42" t="str">
        <f t="shared" si="50"/>
        <v/>
      </c>
      <c r="G1088" s="47" t="e">
        <f t="shared" si="49"/>
        <v>#DIV/0!</v>
      </c>
      <c r="U1088" s="49" t="e">
        <f t="shared" si="51"/>
        <v>#DIV/0!</v>
      </c>
    </row>
    <row r="1089" customHeight="1" spans="1:21">
      <c r="A1089" s="42" t="str">
        <f t="shared" si="50"/>
        <v/>
      </c>
      <c r="G1089" s="47" t="e">
        <f t="shared" si="49"/>
        <v>#DIV/0!</v>
      </c>
      <c r="U1089" s="49" t="e">
        <f t="shared" si="51"/>
        <v>#DIV/0!</v>
      </c>
    </row>
    <row r="1090" customHeight="1" spans="1:21">
      <c r="A1090" s="42" t="str">
        <f t="shared" si="50"/>
        <v/>
      </c>
      <c r="G1090" s="47" t="e">
        <f t="shared" si="49"/>
        <v>#DIV/0!</v>
      </c>
      <c r="U1090" s="49" t="e">
        <f t="shared" si="51"/>
        <v>#DIV/0!</v>
      </c>
    </row>
    <row r="1091" customHeight="1" spans="1:21">
      <c r="A1091" s="42" t="str">
        <f t="shared" si="50"/>
        <v/>
      </c>
      <c r="G1091" s="47" t="e">
        <f t="shared" ref="G1091:G1154" si="52">+E1091/F1091</f>
        <v>#DIV/0!</v>
      </c>
      <c r="U1091" s="49" t="e">
        <f t="shared" si="51"/>
        <v>#DIV/0!</v>
      </c>
    </row>
    <row r="1092" customHeight="1" spans="1:21">
      <c r="A1092" s="42" t="str">
        <f t="shared" ref="A1092:A1155" si="53">B1092&amp;C1092&amp;D1092</f>
        <v/>
      </c>
      <c r="G1092" s="47" t="e">
        <f t="shared" si="52"/>
        <v>#DIV/0!</v>
      </c>
      <c r="U1092" s="49" t="e">
        <f t="shared" ref="U1092:U1155" si="54">SUM(G1092:T1092)</f>
        <v>#DIV/0!</v>
      </c>
    </row>
    <row r="1093" customHeight="1" spans="1:21">
      <c r="A1093" s="42" t="str">
        <f t="shared" si="53"/>
        <v/>
      </c>
      <c r="G1093" s="47" t="e">
        <f t="shared" si="52"/>
        <v>#DIV/0!</v>
      </c>
      <c r="U1093" s="49" t="e">
        <f t="shared" si="54"/>
        <v>#DIV/0!</v>
      </c>
    </row>
    <row r="1094" customHeight="1" spans="1:21">
      <c r="A1094" s="42" t="str">
        <f t="shared" si="53"/>
        <v/>
      </c>
      <c r="G1094" s="47" t="e">
        <f t="shared" si="52"/>
        <v>#DIV/0!</v>
      </c>
      <c r="U1094" s="49" t="e">
        <f t="shared" si="54"/>
        <v>#DIV/0!</v>
      </c>
    </row>
    <row r="1095" customHeight="1" spans="1:21">
      <c r="A1095" s="42" t="str">
        <f t="shared" si="53"/>
        <v/>
      </c>
      <c r="G1095" s="47" t="e">
        <f t="shared" si="52"/>
        <v>#DIV/0!</v>
      </c>
      <c r="U1095" s="49" t="e">
        <f t="shared" si="54"/>
        <v>#DIV/0!</v>
      </c>
    </row>
    <row r="1096" customHeight="1" spans="1:21">
      <c r="A1096" s="42" t="str">
        <f t="shared" si="53"/>
        <v/>
      </c>
      <c r="G1096" s="47" t="e">
        <f t="shared" si="52"/>
        <v>#DIV/0!</v>
      </c>
      <c r="U1096" s="49" t="e">
        <f t="shared" si="54"/>
        <v>#DIV/0!</v>
      </c>
    </row>
    <row r="1097" customHeight="1" spans="1:21">
      <c r="A1097" s="42" t="str">
        <f t="shared" si="53"/>
        <v/>
      </c>
      <c r="G1097" s="47" t="e">
        <f t="shared" si="52"/>
        <v>#DIV/0!</v>
      </c>
      <c r="U1097" s="49" t="e">
        <f t="shared" si="54"/>
        <v>#DIV/0!</v>
      </c>
    </row>
    <row r="1098" customHeight="1" spans="1:21">
      <c r="A1098" s="42" t="str">
        <f t="shared" si="53"/>
        <v/>
      </c>
      <c r="G1098" s="47" t="e">
        <f t="shared" si="52"/>
        <v>#DIV/0!</v>
      </c>
      <c r="U1098" s="49" t="e">
        <f t="shared" si="54"/>
        <v>#DIV/0!</v>
      </c>
    </row>
    <row r="1099" customHeight="1" spans="1:21">
      <c r="A1099" s="42" t="str">
        <f t="shared" si="53"/>
        <v/>
      </c>
      <c r="G1099" s="47" t="e">
        <f t="shared" si="52"/>
        <v>#DIV/0!</v>
      </c>
      <c r="U1099" s="49" t="e">
        <f t="shared" si="54"/>
        <v>#DIV/0!</v>
      </c>
    </row>
    <row r="1100" customHeight="1" spans="1:21">
      <c r="A1100" s="42" t="str">
        <f t="shared" si="53"/>
        <v/>
      </c>
      <c r="G1100" s="47" t="e">
        <f t="shared" si="52"/>
        <v>#DIV/0!</v>
      </c>
      <c r="U1100" s="49" t="e">
        <f t="shared" si="54"/>
        <v>#DIV/0!</v>
      </c>
    </row>
    <row r="1101" customHeight="1" spans="1:21">
      <c r="A1101" s="42" t="str">
        <f t="shared" si="53"/>
        <v/>
      </c>
      <c r="G1101" s="47" t="e">
        <f t="shared" si="52"/>
        <v>#DIV/0!</v>
      </c>
      <c r="U1101" s="49" t="e">
        <f t="shared" si="54"/>
        <v>#DIV/0!</v>
      </c>
    </row>
    <row r="1102" customHeight="1" spans="1:21">
      <c r="A1102" s="42" t="str">
        <f t="shared" si="53"/>
        <v/>
      </c>
      <c r="G1102" s="47" t="e">
        <f t="shared" si="52"/>
        <v>#DIV/0!</v>
      </c>
      <c r="U1102" s="49" t="e">
        <f t="shared" si="54"/>
        <v>#DIV/0!</v>
      </c>
    </row>
    <row r="1103" customHeight="1" spans="1:21">
      <c r="A1103" s="42" t="str">
        <f t="shared" si="53"/>
        <v/>
      </c>
      <c r="G1103" s="47" t="e">
        <f t="shared" si="52"/>
        <v>#DIV/0!</v>
      </c>
      <c r="U1103" s="49" t="e">
        <f t="shared" si="54"/>
        <v>#DIV/0!</v>
      </c>
    </row>
    <row r="1104" customHeight="1" spans="1:21">
      <c r="A1104" s="42" t="str">
        <f t="shared" si="53"/>
        <v/>
      </c>
      <c r="G1104" s="47" t="e">
        <f t="shared" si="52"/>
        <v>#DIV/0!</v>
      </c>
      <c r="U1104" s="49" t="e">
        <f t="shared" si="54"/>
        <v>#DIV/0!</v>
      </c>
    </row>
    <row r="1105" customHeight="1" spans="1:21">
      <c r="A1105" s="42" t="str">
        <f t="shared" si="53"/>
        <v/>
      </c>
      <c r="G1105" s="47" t="e">
        <f t="shared" si="52"/>
        <v>#DIV/0!</v>
      </c>
      <c r="U1105" s="49" t="e">
        <f t="shared" si="54"/>
        <v>#DIV/0!</v>
      </c>
    </row>
    <row r="1106" customHeight="1" spans="1:21">
      <c r="A1106" s="42" t="str">
        <f t="shared" si="53"/>
        <v/>
      </c>
      <c r="G1106" s="47" t="e">
        <f t="shared" si="52"/>
        <v>#DIV/0!</v>
      </c>
      <c r="U1106" s="49" t="e">
        <f t="shared" si="54"/>
        <v>#DIV/0!</v>
      </c>
    </row>
    <row r="1107" customHeight="1" spans="1:21">
      <c r="A1107" s="42" t="str">
        <f t="shared" si="53"/>
        <v/>
      </c>
      <c r="G1107" s="47" t="e">
        <f t="shared" si="52"/>
        <v>#DIV/0!</v>
      </c>
      <c r="U1107" s="49" t="e">
        <f t="shared" si="54"/>
        <v>#DIV/0!</v>
      </c>
    </row>
    <row r="1108" customHeight="1" spans="1:21">
      <c r="A1108" s="42" t="str">
        <f t="shared" si="53"/>
        <v/>
      </c>
      <c r="G1108" s="47" t="e">
        <f t="shared" si="52"/>
        <v>#DIV/0!</v>
      </c>
      <c r="U1108" s="49" t="e">
        <f t="shared" si="54"/>
        <v>#DIV/0!</v>
      </c>
    </row>
    <row r="1109" customHeight="1" spans="1:21">
      <c r="A1109" s="42" t="str">
        <f t="shared" si="53"/>
        <v/>
      </c>
      <c r="G1109" s="47" t="e">
        <f t="shared" si="52"/>
        <v>#DIV/0!</v>
      </c>
      <c r="U1109" s="49" t="e">
        <f t="shared" si="54"/>
        <v>#DIV/0!</v>
      </c>
    </row>
    <row r="1110" customHeight="1" spans="1:21">
      <c r="A1110" s="42" t="str">
        <f t="shared" si="53"/>
        <v/>
      </c>
      <c r="G1110" s="47" t="e">
        <f t="shared" si="52"/>
        <v>#DIV/0!</v>
      </c>
      <c r="U1110" s="49" t="e">
        <f t="shared" si="54"/>
        <v>#DIV/0!</v>
      </c>
    </row>
    <row r="1111" customHeight="1" spans="1:21">
      <c r="A1111" s="42" t="str">
        <f t="shared" si="53"/>
        <v/>
      </c>
      <c r="G1111" s="47" t="e">
        <f t="shared" si="52"/>
        <v>#DIV/0!</v>
      </c>
      <c r="U1111" s="49" t="e">
        <f t="shared" si="54"/>
        <v>#DIV/0!</v>
      </c>
    </row>
    <row r="1112" customHeight="1" spans="1:21">
      <c r="A1112" s="42" t="str">
        <f t="shared" si="53"/>
        <v/>
      </c>
      <c r="G1112" s="47" t="e">
        <f t="shared" si="52"/>
        <v>#DIV/0!</v>
      </c>
      <c r="U1112" s="49" t="e">
        <f t="shared" si="54"/>
        <v>#DIV/0!</v>
      </c>
    </row>
    <row r="1113" customHeight="1" spans="1:21">
      <c r="A1113" s="42" t="str">
        <f t="shared" si="53"/>
        <v/>
      </c>
      <c r="G1113" s="47" t="e">
        <f t="shared" si="52"/>
        <v>#DIV/0!</v>
      </c>
      <c r="U1113" s="49" t="e">
        <f t="shared" si="54"/>
        <v>#DIV/0!</v>
      </c>
    </row>
    <row r="1114" customHeight="1" spans="1:21">
      <c r="A1114" s="42" t="str">
        <f t="shared" si="53"/>
        <v/>
      </c>
      <c r="G1114" s="47" t="e">
        <f t="shared" si="52"/>
        <v>#DIV/0!</v>
      </c>
      <c r="U1114" s="49" t="e">
        <f t="shared" si="54"/>
        <v>#DIV/0!</v>
      </c>
    </row>
    <row r="1115" customHeight="1" spans="1:21">
      <c r="A1115" s="42" t="str">
        <f t="shared" si="53"/>
        <v/>
      </c>
      <c r="G1115" s="47" t="e">
        <f t="shared" si="52"/>
        <v>#DIV/0!</v>
      </c>
      <c r="U1115" s="49" t="e">
        <f t="shared" si="54"/>
        <v>#DIV/0!</v>
      </c>
    </row>
    <row r="1116" customHeight="1" spans="1:21">
      <c r="A1116" s="42" t="str">
        <f t="shared" si="53"/>
        <v/>
      </c>
      <c r="G1116" s="47" t="e">
        <f t="shared" si="52"/>
        <v>#DIV/0!</v>
      </c>
      <c r="U1116" s="49" t="e">
        <f t="shared" si="54"/>
        <v>#DIV/0!</v>
      </c>
    </row>
    <row r="1117" customHeight="1" spans="1:21">
      <c r="A1117" s="42" t="str">
        <f t="shared" si="53"/>
        <v/>
      </c>
      <c r="G1117" s="47" t="e">
        <f t="shared" si="52"/>
        <v>#DIV/0!</v>
      </c>
      <c r="U1117" s="49" t="e">
        <f t="shared" si="54"/>
        <v>#DIV/0!</v>
      </c>
    </row>
    <row r="1118" customHeight="1" spans="1:21">
      <c r="A1118" s="42" t="str">
        <f t="shared" si="53"/>
        <v/>
      </c>
      <c r="G1118" s="47" t="e">
        <f t="shared" si="52"/>
        <v>#DIV/0!</v>
      </c>
      <c r="U1118" s="49" t="e">
        <f t="shared" si="54"/>
        <v>#DIV/0!</v>
      </c>
    </row>
    <row r="1119" customHeight="1" spans="1:21">
      <c r="A1119" s="42" t="str">
        <f t="shared" si="53"/>
        <v/>
      </c>
      <c r="G1119" s="47" t="e">
        <f t="shared" si="52"/>
        <v>#DIV/0!</v>
      </c>
      <c r="U1119" s="49" t="e">
        <f t="shared" si="54"/>
        <v>#DIV/0!</v>
      </c>
    </row>
    <row r="1120" customHeight="1" spans="1:21">
      <c r="A1120" s="42" t="str">
        <f t="shared" si="53"/>
        <v/>
      </c>
      <c r="G1120" s="47" t="e">
        <f t="shared" si="52"/>
        <v>#DIV/0!</v>
      </c>
      <c r="U1120" s="49" t="e">
        <f t="shared" si="54"/>
        <v>#DIV/0!</v>
      </c>
    </row>
    <row r="1121" customHeight="1" spans="1:21">
      <c r="A1121" s="42" t="str">
        <f t="shared" si="53"/>
        <v/>
      </c>
      <c r="G1121" s="47" t="e">
        <f t="shared" si="52"/>
        <v>#DIV/0!</v>
      </c>
      <c r="U1121" s="49" t="e">
        <f t="shared" si="54"/>
        <v>#DIV/0!</v>
      </c>
    </row>
    <row r="1122" customHeight="1" spans="1:21">
      <c r="A1122" s="42" t="str">
        <f t="shared" si="53"/>
        <v/>
      </c>
      <c r="G1122" s="47" t="e">
        <f t="shared" si="52"/>
        <v>#DIV/0!</v>
      </c>
      <c r="U1122" s="49" t="e">
        <f t="shared" si="54"/>
        <v>#DIV/0!</v>
      </c>
    </row>
    <row r="1123" customHeight="1" spans="1:21">
      <c r="A1123" s="42" t="str">
        <f t="shared" si="53"/>
        <v/>
      </c>
      <c r="G1123" s="47" t="e">
        <f t="shared" si="52"/>
        <v>#DIV/0!</v>
      </c>
      <c r="U1123" s="49" t="e">
        <f t="shared" si="54"/>
        <v>#DIV/0!</v>
      </c>
    </row>
    <row r="1124" customHeight="1" spans="1:21">
      <c r="A1124" s="42" t="str">
        <f t="shared" si="53"/>
        <v/>
      </c>
      <c r="G1124" s="47" t="e">
        <f t="shared" si="52"/>
        <v>#DIV/0!</v>
      </c>
      <c r="U1124" s="49" t="e">
        <f t="shared" si="54"/>
        <v>#DIV/0!</v>
      </c>
    </row>
    <row r="1125" customHeight="1" spans="1:21">
      <c r="A1125" s="42" t="str">
        <f t="shared" si="53"/>
        <v/>
      </c>
      <c r="G1125" s="47" t="e">
        <f t="shared" si="52"/>
        <v>#DIV/0!</v>
      </c>
      <c r="U1125" s="49" t="e">
        <f t="shared" si="54"/>
        <v>#DIV/0!</v>
      </c>
    </row>
    <row r="1126" customHeight="1" spans="1:21">
      <c r="A1126" s="42" t="str">
        <f t="shared" si="53"/>
        <v/>
      </c>
      <c r="G1126" s="47" t="e">
        <f t="shared" si="52"/>
        <v>#DIV/0!</v>
      </c>
      <c r="U1126" s="49" t="e">
        <f t="shared" si="54"/>
        <v>#DIV/0!</v>
      </c>
    </row>
    <row r="1127" customHeight="1" spans="1:21">
      <c r="A1127" s="42" t="str">
        <f t="shared" si="53"/>
        <v/>
      </c>
      <c r="G1127" s="47" t="e">
        <f t="shared" si="52"/>
        <v>#DIV/0!</v>
      </c>
      <c r="U1127" s="49" t="e">
        <f t="shared" si="54"/>
        <v>#DIV/0!</v>
      </c>
    </row>
    <row r="1128" customHeight="1" spans="1:21">
      <c r="A1128" s="42" t="str">
        <f t="shared" si="53"/>
        <v/>
      </c>
      <c r="G1128" s="47" t="e">
        <f t="shared" si="52"/>
        <v>#DIV/0!</v>
      </c>
      <c r="U1128" s="49" t="e">
        <f t="shared" si="54"/>
        <v>#DIV/0!</v>
      </c>
    </row>
    <row r="1129" customHeight="1" spans="1:21">
      <c r="A1129" s="42" t="str">
        <f t="shared" si="53"/>
        <v/>
      </c>
      <c r="G1129" s="47" t="e">
        <f t="shared" si="52"/>
        <v>#DIV/0!</v>
      </c>
      <c r="U1129" s="49" t="e">
        <f t="shared" si="54"/>
        <v>#DIV/0!</v>
      </c>
    </row>
    <row r="1130" customHeight="1" spans="1:21">
      <c r="A1130" s="42" t="str">
        <f t="shared" si="53"/>
        <v/>
      </c>
      <c r="G1130" s="47" t="e">
        <f t="shared" si="52"/>
        <v>#DIV/0!</v>
      </c>
      <c r="U1130" s="49" t="e">
        <f t="shared" si="54"/>
        <v>#DIV/0!</v>
      </c>
    </row>
    <row r="1131" customHeight="1" spans="1:21">
      <c r="A1131" s="42" t="str">
        <f t="shared" si="53"/>
        <v/>
      </c>
      <c r="G1131" s="47" t="e">
        <f t="shared" si="52"/>
        <v>#DIV/0!</v>
      </c>
      <c r="U1131" s="49" t="e">
        <f t="shared" si="54"/>
        <v>#DIV/0!</v>
      </c>
    </row>
    <row r="1132" customHeight="1" spans="1:21">
      <c r="A1132" s="42" t="str">
        <f t="shared" si="53"/>
        <v/>
      </c>
      <c r="G1132" s="47" t="e">
        <f t="shared" si="52"/>
        <v>#DIV/0!</v>
      </c>
      <c r="U1132" s="49" t="e">
        <f t="shared" si="54"/>
        <v>#DIV/0!</v>
      </c>
    </row>
    <row r="1133" customHeight="1" spans="1:21">
      <c r="A1133" s="42" t="str">
        <f t="shared" si="53"/>
        <v/>
      </c>
      <c r="G1133" s="47" t="e">
        <f t="shared" si="52"/>
        <v>#DIV/0!</v>
      </c>
      <c r="U1133" s="49" t="e">
        <f t="shared" si="54"/>
        <v>#DIV/0!</v>
      </c>
    </row>
    <row r="1134" customHeight="1" spans="1:21">
      <c r="A1134" s="42" t="str">
        <f t="shared" si="53"/>
        <v/>
      </c>
      <c r="G1134" s="47" t="e">
        <f t="shared" si="52"/>
        <v>#DIV/0!</v>
      </c>
      <c r="U1134" s="49" t="e">
        <f t="shared" si="54"/>
        <v>#DIV/0!</v>
      </c>
    </row>
    <row r="1135" customHeight="1" spans="1:21">
      <c r="A1135" s="42" t="str">
        <f t="shared" si="53"/>
        <v/>
      </c>
      <c r="G1135" s="47" t="e">
        <f t="shared" si="52"/>
        <v>#DIV/0!</v>
      </c>
      <c r="U1135" s="49" t="e">
        <f t="shared" si="54"/>
        <v>#DIV/0!</v>
      </c>
    </row>
    <row r="1136" customHeight="1" spans="1:21">
      <c r="A1136" s="42" t="str">
        <f t="shared" si="53"/>
        <v/>
      </c>
      <c r="G1136" s="47" t="e">
        <f t="shared" si="52"/>
        <v>#DIV/0!</v>
      </c>
      <c r="U1136" s="49" t="e">
        <f t="shared" si="54"/>
        <v>#DIV/0!</v>
      </c>
    </row>
    <row r="1137" customHeight="1" spans="1:21">
      <c r="A1137" s="42" t="str">
        <f t="shared" si="53"/>
        <v/>
      </c>
      <c r="G1137" s="47" t="e">
        <f t="shared" si="52"/>
        <v>#DIV/0!</v>
      </c>
      <c r="U1137" s="49" t="e">
        <f t="shared" si="54"/>
        <v>#DIV/0!</v>
      </c>
    </row>
    <row r="1138" customHeight="1" spans="1:21">
      <c r="A1138" s="42" t="str">
        <f t="shared" si="53"/>
        <v/>
      </c>
      <c r="G1138" s="47" t="e">
        <f t="shared" si="52"/>
        <v>#DIV/0!</v>
      </c>
      <c r="U1138" s="49" t="e">
        <f t="shared" si="54"/>
        <v>#DIV/0!</v>
      </c>
    </row>
    <row r="1139" customHeight="1" spans="1:21">
      <c r="A1139" s="42" t="str">
        <f t="shared" si="53"/>
        <v/>
      </c>
      <c r="G1139" s="47" t="e">
        <f t="shared" si="52"/>
        <v>#DIV/0!</v>
      </c>
      <c r="U1139" s="49" t="e">
        <f t="shared" si="54"/>
        <v>#DIV/0!</v>
      </c>
    </row>
    <row r="1140" customHeight="1" spans="1:21">
      <c r="A1140" s="42" t="str">
        <f t="shared" si="53"/>
        <v/>
      </c>
      <c r="G1140" s="47" t="e">
        <f t="shared" si="52"/>
        <v>#DIV/0!</v>
      </c>
      <c r="U1140" s="49" t="e">
        <f t="shared" si="54"/>
        <v>#DIV/0!</v>
      </c>
    </row>
    <row r="1141" customHeight="1" spans="1:21">
      <c r="A1141" s="42" t="str">
        <f t="shared" si="53"/>
        <v/>
      </c>
      <c r="G1141" s="47" t="e">
        <f t="shared" si="52"/>
        <v>#DIV/0!</v>
      </c>
      <c r="U1141" s="49" t="e">
        <f t="shared" si="54"/>
        <v>#DIV/0!</v>
      </c>
    </row>
    <row r="1142" customHeight="1" spans="1:21">
      <c r="A1142" s="42" t="str">
        <f t="shared" si="53"/>
        <v/>
      </c>
      <c r="G1142" s="47" t="e">
        <f t="shared" si="52"/>
        <v>#DIV/0!</v>
      </c>
      <c r="U1142" s="49" t="e">
        <f t="shared" si="54"/>
        <v>#DIV/0!</v>
      </c>
    </row>
    <row r="1143" customHeight="1" spans="1:21">
      <c r="A1143" s="42" t="str">
        <f t="shared" si="53"/>
        <v/>
      </c>
      <c r="G1143" s="47" t="e">
        <f t="shared" si="52"/>
        <v>#DIV/0!</v>
      </c>
      <c r="U1143" s="49" t="e">
        <f t="shared" si="54"/>
        <v>#DIV/0!</v>
      </c>
    </row>
    <row r="1144" customHeight="1" spans="1:21">
      <c r="A1144" s="42" t="str">
        <f t="shared" si="53"/>
        <v/>
      </c>
      <c r="G1144" s="47" t="e">
        <f t="shared" si="52"/>
        <v>#DIV/0!</v>
      </c>
      <c r="U1144" s="49" t="e">
        <f t="shared" si="54"/>
        <v>#DIV/0!</v>
      </c>
    </row>
    <row r="1145" customHeight="1" spans="1:21">
      <c r="A1145" s="42" t="str">
        <f t="shared" si="53"/>
        <v/>
      </c>
      <c r="G1145" s="47" t="e">
        <f t="shared" si="52"/>
        <v>#DIV/0!</v>
      </c>
      <c r="U1145" s="49" t="e">
        <f t="shared" si="54"/>
        <v>#DIV/0!</v>
      </c>
    </row>
    <row r="1146" customHeight="1" spans="1:21">
      <c r="A1146" s="42" t="str">
        <f t="shared" si="53"/>
        <v/>
      </c>
      <c r="G1146" s="47" t="e">
        <f t="shared" si="52"/>
        <v>#DIV/0!</v>
      </c>
      <c r="U1146" s="49" t="e">
        <f t="shared" si="54"/>
        <v>#DIV/0!</v>
      </c>
    </row>
    <row r="1147" customHeight="1" spans="1:21">
      <c r="A1147" s="42" t="str">
        <f t="shared" si="53"/>
        <v/>
      </c>
      <c r="G1147" s="47" t="e">
        <f t="shared" si="52"/>
        <v>#DIV/0!</v>
      </c>
      <c r="U1147" s="49" t="e">
        <f t="shared" si="54"/>
        <v>#DIV/0!</v>
      </c>
    </row>
    <row r="1148" customHeight="1" spans="1:21">
      <c r="A1148" s="42" t="str">
        <f t="shared" si="53"/>
        <v/>
      </c>
      <c r="G1148" s="47" t="e">
        <f t="shared" si="52"/>
        <v>#DIV/0!</v>
      </c>
      <c r="U1148" s="49" t="e">
        <f t="shared" si="54"/>
        <v>#DIV/0!</v>
      </c>
    </row>
    <row r="1149" customHeight="1" spans="1:21">
      <c r="A1149" s="42" t="str">
        <f t="shared" si="53"/>
        <v/>
      </c>
      <c r="G1149" s="47" t="e">
        <f t="shared" si="52"/>
        <v>#DIV/0!</v>
      </c>
      <c r="U1149" s="49" t="e">
        <f t="shared" si="54"/>
        <v>#DIV/0!</v>
      </c>
    </row>
    <row r="1150" customHeight="1" spans="1:21">
      <c r="A1150" s="42" t="str">
        <f t="shared" si="53"/>
        <v/>
      </c>
      <c r="G1150" s="47" t="e">
        <f t="shared" si="52"/>
        <v>#DIV/0!</v>
      </c>
      <c r="U1150" s="49" t="e">
        <f t="shared" si="54"/>
        <v>#DIV/0!</v>
      </c>
    </row>
    <row r="1151" customHeight="1" spans="1:21">
      <c r="A1151" s="42" t="str">
        <f t="shared" si="53"/>
        <v/>
      </c>
      <c r="G1151" s="47" t="e">
        <f t="shared" si="52"/>
        <v>#DIV/0!</v>
      </c>
      <c r="U1151" s="49" t="e">
        <f t="shared" si="54"/>
        <v>#DIV/0!</v>
      </c>
    </row>
    <row r="1152" customHeight="1" spans="1:21">
      <c r="A1152" s="42" t="str">
        <f t="shared" si="53"/>
        <v/>
      </c>
      <c r="G1152" s="47" t="e">
        <f t="shared" si="52"/>
        <v>#DIV/0!</v>
      </c>
      <c r="U1152" s="49" t="e">
        <f t="shared" si="54"/>
        <v>#DIV/0!</v>
      </c>
    </row>
    <row r="1153" customHeight="1" spans="1:21">
      <c r="A1153" s="42" t="str">
        <f t="shared" si="53"/>
        <v/>
      </c>
      <c r="G1153" s="47" t="e">
        <f t="shared" si="52"/>
        <v>#DIV/0!</v>
      </c>
      <c r="U1153" s="49" t="e">
        <f t="shared" si="54"/>
        <v>#DIV/0!</v>
      </c>
    </row>
    <row r="1154" customHeight="1" spans="1:21">
      <c r="A1154" s="42" t="str">
        <f t="shared" si="53"/>
        <v/>
      </c>
      <c r="G1154" s="47" t="e">
        <f t="shared" si="52"/>
        <v>#DIV/0!</v>
      </c>
      <c r="U1154" s="49" t="e">
        <f t="shared" si="54"/>
        <v>#DIV/0!</v>
      </c>
    </row>
    <row r="1155" customHeight="1" spans="1:21">
      <c r="A1155" s="42" t="str">
        <f t="shared" si="53"/>
        <v/>
      </c>
      <c r="G1155" s="47" t="e">
        <f t="shared" ref="G1155:G1218" si="55">+E1155/F1155</f>
        <v>#DIV/0!</v>
      </c>
      <c r="U1155" s="49" t="e">
        <f t="shared" si="54"/>
        <v>#DIV/0!</v>
      </c>
    </row>
    <row r="1156" customHeight="1" spans="1:21">
      <c r="A1156" s="42" t="str">
        <f t="shared" ref="A1156:A1219" si="56">B1156&amp;C1156&amp;D1156</f>
        <v/>
      </c>
      <c r="G1156" s="47" t="e">
        <f t="shared" si="55"/>
        <v>#DIV/0!</v>
      </c>
      <c r="U1156" s="49" t="e">
        <f t="shared" ref="U1156:U1219" si="57">SUM(G1156:T1156)</f>
        <v>#DIV/0!</v>
      </c>
    </row>
    <row r="1157" customHeight="1" spans="1:21">
      <c r="A1157" s="42" t="str">
        <f t="shared" si="56"/>
        <v/>
      </c>
      <c r="G1157" s="47" t="e">
        <f t="shared" si="55"/>
        <v>#DIV/0!</v>
      </c>
      <c r="U1157" s="49" t="e">
        <f t="shared" si="57"/>
        <v>#DIV/0!</v>
      </c>
    </row>
    <row r="1158" customHeight="1" spans="1:21">
      <c r="A1158" s="42" t="str">
        <f t="shared" si="56"/>
        <v/>
      </c>
      <c r="G1158" s="47" t="e">
        <f t="shared" si="55"/>
        <v>#DIV/0!</v>
      </c>
      <c r="U1158" s="49" t="e">
        <f t="shared" si="57"/>
        <v>#DIV/0!</v>
      </c>
    </row>
    <row r="1159" customHeight="1" spans="1:21">
      <c r="A1159" s="42" t="str">
        <f t="shared" si="56"/>
        <v/>
      </c>
      <c r="G1159" s="47" t="e">
        <f t="shared" si="55"/>
        <v>#DIV/0!</v>
      </c>
      <c r="U1159" s="49" t="e">
        <f t="shared" si="57"/>
        <v>#DIV/0!</v>
      </c>
    </row>
    <row r="1160" customHeight="1" spans="1:21">
      <c r="A1160" s="42" t="str">
        <f t="shared" si="56"/>
        <v/>
      </c>
      <c r="G1160" s="47" t="e">
        <f t="shared" si="55"/>
        <v>#DIV/0!</v>
      </c>
      <c r="U1160" s="49" t="e">
        <f t="shared" si="57"/>
        <v>#DIV/0!</v>
      </c>
    </row>
    <row r="1161" customHeight="1" spans="1:21">
      <c r="A1161" s="42" t="str">
        <f t="shared" si="56"/>
        <v/>
      </c>
      <c r="G1161" s="47" t="e">
        <f t="shared" si="55"/>
        <v>#DIV/0!</v>
      </c>
      <c r="U1161" s="49" t="e">
        <f t="shared" si="57"/>
        <v>#DIV/0!</v>
      </c>
    </row>
    <row r="1162" customHeight="1" spans="1:21">
      <c r="A1162" s="42" t="str">
        <f t="shared" si="56"/>
        <v/>
      </c>
      <c r="G1162" s="47" t="e">
        <f t="shared" si="55"/>
        <v>#DIV/0!</v>
      </c>
      <c r="U1162" s="49" t="e">
        <f t="shared" si="57"/>
        <v>#DIV/0!</v>
      </c>
    </row>
    <row r="1163" customHeight="1" spans="1:21">
      <c r="A1163" s="42" t="str">
        <f t="shared" si="56"/>
        <v/>
      </c>
      <c r="G1163" s="47" t="e">
        <f t="shared" si="55"/>
        <v>#DIV/0!</v>
      </c>
      <c r="U1163" s="49" t="e">
        <f t="shared" si="57"/>
        <v>#DIV/0!</v>
      </c>
    </row>
    <row r="1164" customHeight="1" spans="1:21">
      <c r="A1164" s="42" t="str">
        <f t="shared" si="56"/>
        <v/>
      </c>
      <c r="G1164" s="47" t="e">
        <f t="shared" si="55"/>
        <v>#DIV/0!</v>
      </c>
      <c r="U1164" s="49" t="e">
        <f t="shared" si="57"/>
        <v>#DIV/0!</v>
      </c>
    </row>
    <row r="1165" customHeight="1" spans="1:21">
      <c r="A1165" s="42" t="str">
        <f t="shared" si="56"/>
        <v/>
      </c>
      <c r="G1165" s="47" t="e">
        <f t="shared" si="55"/>
        <v>#DIV/0!</v>
      </c>
      <c r="U1165" s="49" t="e">
        <f t="shared" si="57"/>
        <v>#DIV/0!</v>
      </c>
    </row>
    <row r="1166" customHeight="1" spans="1:21">
      <c r="A1166" s="42" t="str">
        <f t="shared" si="56"/>
        <v/>
      </c>
      <c r="G1166" s="47" t="e">
        <f t="shared" si="55"/>
        <v>#DIV/0!</v>
      </c>
      <c r="U1166" s="49" t="e">
        <f t="shared" si="57"/>
        <v>#DIV/0!</v>
      </c>
    </row>
    <row r="1167" customHeight="1" spans="1:21">
      <c r="A1167" s="42" t="str">
        <f t="shared" si="56"/>
        <v/>
      </c>
      <c r="G1167" s="47" t="e">
        <f t="shared" si="55"/>
        <v>#DIV/0!</v>
      </c>
      <c r="U1167" s="49" t="e">
        <f t="shared" si="57"/>
        <v>#DIV/0!</v>
      </c>
    </row>
    <row r="1168" customHeight="1" spans="1:21">
      <c r="A1168" s="42" t="str">
        <f t="shared" si="56"/>
        <v/>
      </c>
      <c r="G1168" s="47" t="e">
        <f t="shared" si="55"/>
        <v>#DIV/0!</v>
      </c>
      <c r="U1168" s="49" t="e">
        <f t="shared" si="57"/>
        <v>#DIV/0!</v>
      </c>
    </row>
    <row r="1169" customHeight="1" spans="1:21">
      <c r="A1169" s="42" t="str">
        <f t="shared" si="56"/>
        <v/>
      </c>
      <c r="G1169" s="47" t="e">
        <f t="shared" si="55"/>
        <v>#DIV/0!</v>
      </c>
      <c r="U1169" s="49" t="e">
        <f t="shared" si="57"/>
        <v>#DIV/0!</v>
      </c>
    </row>
    <row r="1170" customHeight="1" spans="1:21">
      <c r="A1170" s="42" t="str">
        <f t="shared" si="56"/>
        <v/>
      </c>
      <c r="G1170" s="47" t="e">
        <f t="shared" si="55"/>
        <v>#DIV/0!</v>
      </c>
      <c r="U1170" s="49" t="e">
        <f t="shared" si="57"/>
        <v>#DIV/0!</v>
      </c>
    </row>
    <row r="1171" customHeight="1" spans="1:21">
      <c r="A1171" s="42" t="str">
        <f t="shared" si="56"/>
        <v/>
      </c>
      <c r="G1171" s="47" t="e">
        <f t="shared" si="55"/>
        <v>#DIV/0!</v>
      </c>
      <c r="U1171" s="49" t="e">
        <f t="shared" si="57"/>
        <v>#DIV/0!</v>
      </c>
    </row>
    <row r="1172" customHeight="1" spans="1:21">
      <c r="A1172" s="42" t="str">
        <f t="shared" si="56"/>
        <v/>
      </c>
      <c r="G1172" s="47" t="e">
        <f t="shared" si="55"/>
        <v>#DIV/0!</v>
      </c>
      <c r="U1172" s="49" t="e">
        <f t="shared" si="57"/>
        <v>#DIV/0!</v>
      </c>
    </row>
    <row r="1173" customHeight="1" spans="1:21">
      <c r="A1173" s="42" t="str">
        <f t="shared" si="56"/>
        <v/>
      </c>
      <c r="G1173" s="47" t="e">
        <f t="shared" si="55"/>
        <v>#DIV/0!</v>
      </c>
      <c r="U1173" s="49" t="e">
        <f t="shared" si="57"/>
        <v>#DIV/0!</v>
      </c>
    </row>
    <row r="1174" customHeight="1" spans="1:21">
      <c r="A1174" s="42" t="str">
        <f t="shared" si="56"/>
        <v/>
      </c>
      <c r="G1174" s="47" t="e">
        <f t="shared" si="55"/>
        <v>#DIV/0!</v>
      </c>
      <c r="U1174" s="49" t="e">
        <f t="shared" si="57"/>
        <v>#DIV/0!</v>
      </c>
    </row>
    <row r="1175" customHeight="1" spans="1:21">
      <c r="A1175" s="42" t="str">
        <f t="shared" si="56"/>
        <v/>
      </c>
      <c r="G1175" s="47" t="e">
        <f t="shared" si="55"/>
        <v>#DIV/0!</v>
      </c>
      <c r="U1175" s="49" t="e">
        <f t="shared" si="57"/>
        <v>#DIV/0!</v>
      </c>
    </row>
    <row r="1176" customHeight="1" spans="1:21">
      <c r="A1176" s="42" t="str">
        <f t="shared" si="56"/>
        <v/>
      </c>
      <c r="G1176" s="47" t="e">
        <f t="shared" si="55"/>
        <v>#DIV/0!</v>
      </c>
      <c r="U1176" s="49" t="e">
        <f t="shared" si="57"/>
        <v>#DIV/0!</v>
      </c>
    </row>
    <row r="1177" customHeight="1" spans="1:21">
      <c r="A1177" s="42" t="str">
        <f t="shared" si="56"/>
        <v/>
      </c>
      <c r="G1177" s="47" t="e">
        <f t="shared" si="55"/>
        <v>#DIV/0!</v>
      </c>
      <c r="U1177" s="49" t="e">
        <f t="shared" si="57"/>
        <v>#DIV/0!</v>
      </c>
    </row>
    <row r="1178" customHeight="1" spans="1:21">
      <c r="A1178" s="42" t="str">
        <f t="shared" si="56"/>
        <v/>
      </c>
      <c r="G1178" s="47" t="e">
        <f t="shared" si="55"/>
        <v>#DIV/0!</v>
      </c>
      <c r="U1178" s="49" t="e">
        <f t="shared" si="57"/>
        <v>#DIV/0!</v>
      </c>
    </row>
    <row r="1179" customHeight="1" spans="1:21">
      <c r="A1179" s="42" t="str">
        <f t="shared" si="56"/>
        <v/>
      </c>
      <c r="G1179" s="47" t="e">
        <f t="shared" si="55"/>
        <v>#DIV/0!</v>
      </c>
      <c r="U1179" s="49" t="e">
        <f t="shared" si="57"/>
        <v>#DIV/0!</v>
      </c>
    </row>
    <row r="1180" customHeight="1" spans="1:21">
      <c r="A1180" s="42" t="str">
        <f t="shared" si="56"/>
        <v/>
      </c>
      <c r="G1180" s="47" t="e">
        <f t="shared" si="55"/>
        <v>#DIV/0!</v>
      </c>
      <c r="U1180" s="49" t="e">
        <f t="shared" si="57"/>
        <v>#DIV/0!</v>
      </c>
    </row>
    <row r="1181" customHeight="1" spans="1:21">
      <c r="A1181" s="42" t="str">
        <f t="shared" si="56"/>
        <v/>
      </c>
      <c r="G1181" s="47" t="e">
        <f t="shared" si="55"/>
        <v>#DIV/0!</v>
      </c>
      <c r="U1181" s="49" t="e">
        <f t="shared" si="57"/>
        <v>#DIV/0!</v>
      </c>
    </row>
    <row r="1182" customHeight="1" spans="1:21">
      <c r="A1182" s="42" t="str">
        <f t="shared" si="56"/>
        <v/>
      </c>
      <c r="G1182" s="47" t="e">
        <f t="shared" si="55"/>
        <v>#DIV/0!</v>
      </c>
      <c r="U1182" s="49" t="e">
        <f t="shared" si="57"/>
        <v>#DIV/0!</v>
      </c>
    </row>
    <row r="1183" customHeight="1" spans="1:21">
      <c r="A1183" s="42" t="str">
        <f t="shared" si="56"/>
        <v/>
      </c>
      <c r="G1183" s="47" t="e">
        <f t="shared" si="55"/>
        <v>#DIV/0!</v>
      </c>
      <c r="U1183" s="49" t="e">
        <f t="shared" si="57"/>
        <v>#DIV/0!</v>
      </c>
    </row>
    <row r="1184" customHeight="1" spans="1:21">
      <c r="A1184" s="42" t="str">
        <f t="shared" si="56"/>
        <v/>
      </c>
      <c r="G1184" s="47" t="e">
        <f t="shared" si="55"/>
        <v>#DIV/0!</v>
      </c>
      <c r="U1184" s="49" t="e">
        <f t="shared" si="57"/>
        <v>#DIV/0!</v>
      </c>
    </row>
    <row r="1185" customHeight="1" spans="1:21">
      <c r="A1185" s="42" t="str">
        <f t="shared" si="56"/>
        <v/>
      </c>
      <c r="G1185" s="47" t="e">
        <f t="shared" si="55"/>
        <v>#DIV/0!</v>
      </c>
      <c r="U1185" s="49" t="e">
        <f t="shared" si="57"/>
        <v>#DIV/0!</v>
      </c>
    </row>
    <row r="1186" customHeight="1" spans="1:21">
      <c r="A1186" s="42" t="str">
        <f t="shared" si="56"/>
        <v/>
      </c>
      <c r="G1186" s="47" t="e">
        <f t="shared" si="55"/>
        <v>#DIV/0!</v>
      </c>
      <c r="U1186" s="49" t="e">
        <f t="shared" si="57"/>
        <v>#DIV/0!</v>
      </c>
    </row>
    <row r="1187" customHeight="1" spans="1:21">
      <c r="A1187" s="42" t="str">
        <f t="shared" si="56"/>
        <v/>
      </c>
      <c r="G1187" s="47" t="e">
        <f t="shared" si="55"/>
        <v>#DIV/0!</v>
      </c>
      <c r="U1187" s="49" t="e">
        <f t="shared" si="57"/>
        <v>#DIV/0!</v>
      </c>
    </row>
    <row r="1188" customHeight="1" spans="1:21">
      <c r="A1188" s="42" t="str">
        <f t="shared" si="56"/>
        <v/>
      </c>
      <c r="G1188" s="47" t="e">
        <f t="shared" si="55"/>
        <v>#DIV/0!</v>
      </c>
      <c r="U1188" s="49" t="e">
        <f t="shared" si="57"/>
        <v>#DIV/0!</v>
      </c>
    </row>
    <row r="1189" customHeight="1" spans="1:21">
      <c r="A1189" s="42" t="str">
        <f t="shared" si="56"/>
        <v/>
      </c>
      <c r="G1189" s="47" t="e">
        <f t="shared" si="55"/>
        <v>#DIV/0!</v>
      </c>
      <c r="U1189" s="49" t="e">
        <f t="shared" si="57"/>
        <v>#DIV/0!</v>
      </c>
    </row>
    <row r="1190" customHeight="1" spans="1:21">
      <c r="A1190" s="42" t="str">
        <f t="shared" si="56"/>
        <v/>
      </c>
      <c r="G1190" s="47" t="e">
        <f t="shared" si="55"/>
        <v>#DIV/0!</v>
      </c>
      <c r="U1190" s="49" t="e">
        <f t="shared" si="57"/>
        <v>#DIV/0!</v>
      </c>
    </row>
    <row r="1191" customHeight="1" spans="1:21">
      <c r="A1191" s="42" t="str">
        <f t="shared" si="56"/>
        <v/>
      </c>
      <c r="G1191" s="47" t="e">
        <f t="shared" si="55"/>
        <v>#DIV/0!</v>
      </c>
      <c r="U1191" s="49" t="e">
        <f t="shared" si="57"/>
        <v>#DIV/0!</v>
      </c>
    </row>
    <row r="1192" customHeight="1" spans="1:21">
      <c r="A1192" s="42" t="str">
        <f t="shared" si="56"/>
        <v/>
      </c>
      <c r="G1192" s="47" t="e">
        <f t="shared" si="55"/>
        <v>#DIV/0!</v>
      </c>
      <c r="U1192" s="49" t="e">
        <f t="shared" si="57"/>
        <v>#DIV/0!</v>
      </c>
    </row>
    <row r="1193" customHeight="1" spans="1:21">
      <c r="A1193" s="42" t="str">
        <f t="shared" si="56"/>
        <v/>
      </c>
      <c r="G1193" s="47" t="e">
        <f t="shared" si="55"/>
        <v>#DIV/0!</v>
      </c>
      <c r="U1193" s="49" t="e">
        <f t="shared" si="57"/>
        <v>#DIV/0!</v>
      </c>
    </row>
    <row r="1194" customHeight="1" spans="1:21">
      <c r="A1194" s="42" t="str">
        <f t="shared" si="56"/>
        <v/>
      </c>
      <c r="G1194" s="47" t="e">
        <f t="shared" si="55"/>
        <v>#DIV/0!</v>
      </c>
      <c r="U1194" s="49" t="e">
        <f t="shared" si="57"/>
        <v>#DIV/0!</v>
      </c>
    </row>
    <row r="1195" customHeight="1" spans="1:21">
      <c r="A1195" s="42" t="str">
        <f t="shared" si="56"/>
        <v/>
      </c>
      <c r="G1195" s="47" t="e">
        <f t="shared" si="55"/>
        <v>#DIV/0!</v>
      </c>
      <c r="U1195" s="49" t="e">
        <f t="shared" si="57"/>
        <v>#DIV/0!</v>
      </c>
    </row>
    <row r="1196" customHeight="1" spans="1:21">
      <c r="A1196" s="42" t="str">
        <f t="shared" si="56"/>
        <v/>
      </c>
      <c r="G1196" s="47" t="e">
        <f t="shared" si="55"/>
        <v>#DIV/0!</v>
      </c>
      <c r="U1196" s="49" t="e">
        <f t="shared" si="57"/>
        <v>#DIV/0!</v>
      </c>
    </row>
    <row r="1197" customHeight="1" spans="1:21">
      <c r="A1197" s="42" t="str">
        <f t="shared" si="56"/>
        <v/>
      </c>
      <c r="G1197" s="47" t="e">
        <f t="shared" si="55"/>
        <v>#DIV/0!</v>
      </c>
      <c r="U1197" s="49" t="e">
        <f t="shared" si="57"/>
        <v>#DIV/0!</v>
      </c>
    </row>
    <row r="1198" customHeight="1" spans="1:21">
      <c r="A1198" s="42" t="str">
        <f t="shared" si="56"/>
        <v/>
      </c>
      <c r="G1198" s="47" t="e">
        <f t="shared" si="55"/>
        <v>#DIV/0!</v>
      </c>
      <c r="U1198" s="49" t="e">
        <f t="shared" si="57"/>
        <v>#DIV/0!</v>
      </c>
    </row>
    <row r="1199" customHeight="1" spans="1:21">
      <c r="A1199" s="42" t="str">
        <f t="shared" si="56"/>
        <v/>
      </c>
      <c r="G1199" s="47" t="e">
        <f t="shared" si="55"/>
        <v>#DIV/0!</v>
      </c>
      <c r="U1199" s="49" t="e">
        <f t="shared" si="57"/>
        <v>#DIV/0!</v>
      </c>
    </row>
    <row r="1200" customHeight="1" spans="1:21">
      <c r="A1200" s="42" t="str">
        <f t="shared" si="56"/>
        <v/>
      </c>
      <c r="G1200" s="47" t="e">
        <f t="shared" si="55"/>
        <v>#DIV/0!</v>
      </c>
      <c r="U1200" s="49" t="e">
        <f t="shared" si="57"/>
        <v>#DIV/0!</v>
      </c>
    </row>
    <row r="1201" customHeight="1" spans="1:21">
      <c r="A1201" s="42" t="str">
        <f t="shared" si="56"/>
        <v/>
      </c>
      <c r="G1201" s="47" t="e">
        <f t="shared" si="55"/>
        <v>#DIV/0!</v>
      </c>
      <c r="U1201" s="49" t="e">
        <f t="shared" si="57"/>
        <v>#DIV/0!</v>
      </c>
    </row>
    <row r="1202" customHeight="1" spans="1:21">
      <c r="A1202" s="42" t="str">
        <f t="shared" si="56"/>
        <v/>
      </c>
      <c r="G1202" s="47" t="e">
        <f t="shared" si="55"/>
        <v>#DIV/0!</v>
      </c>
      <c r="U1202" s="49" t="e">
        <f t="shared" si="57"/>
        <v>#DIV/0!</v>
      </c>
    </row>
    <row r="1203" customHeight="1" spans="1:21">
      <c r="A1203" s="42" t="str">
        <f t="shared" si="56"/>
        <v/>
      </c>
      <c r="G1203" s="47" t="e">
        <f t="shared" si="55"/>
        <v>#DIV/0!</v>
      </c>
      <c r="U1203" s="49" t="e">
        <f t="shared" si="57"/>
        <v>#DIV/0!</v>
      </c>
    </row>
    <row r="1204" customHeight="1" spans="1:21">
      <c r="A1204" s="42" t="str">
        <f t="shared" si="56"/>
        <v/>
      </c>
      <c r="G1204" s="47" t="e">
        <f t="shared" si="55"/>
        <v>#DIV/0!</v>
      </c>
      <c r="U1204" s="49" t="e">
        <f t="shared" si="57"/>
        <v>#DIV/0!</v>
      </c>
    </row>
    <row r="1205" customHeight="1" spans="1:21">
      <c r="A1205" s="42" t="str">
        <f t="shared" si="56"/>
        <v/>
      </c>
      <c r="G1205" s="47" t="e">
        <f t="shared" si="55"/>
        <v>#DIV/0!</v>
      </c>
      <c r="U1205" s="49" t="e">
        <f t="shared" si="57"/>
        <v>#DIV/0!</v>
      </c>
    </row>
    <row r="1206" customHeight="1" spans="1:21">
      <c r="A1206" s="42" t="str">
        <f t="shared" si="56"/>
        <v/>
      </c>
      <c r="G1206" s="47" t="e">
        <f t="shared" si="55"/>
        <v>#DIV/0!</v>
      </c>
      <c r="U1206" s="49" t="e">
        <f t="shared" si="57"/>
        <v>#DIV/0!</v>
      </c>
    </row>
    <row r="1207" customHeight="1" spans="1:21">
      <c r="A1207" s="42" t="str">
        <f t="shared" si="56"/>
        <v/>
      </c>
      <c r="G1207" s="47" t="e">
        <f t="shared" si="55"/>
        <v>#DIV/0!</v>
      </c>
      <c r="U1207" s="49" t="e">
        <f t="shared" si="57"/>
        <v>#DIV/0!</v>
      </c>
    </row>
    <row r="1208" customHeight="1" spans="1:21">
      <c r="A1208" s="42" t="str">
        <f t="shared" si="56"/>
        <v/>
      </c>
      <c r="G1208" s="47" t="e">
        <f t="shared" si="55"/>
        <v>#DIV/0!</v>
      </c>
      <c r="U1208" s="49" t="e">
        <f t="shared" si="57"/>
        <v>#DIV/0!</v>
      </c>
    </row>
    <row r="1209" customHeight="1" spans="1:21">
      <c r="A1209" s="42" t="str">
        <f t="shared" si="56"/>
        <v/>
      </c>
      <c r="G1209" s="47" t="e">
        <f t="shared" si="55"/>
        <v>#DIV/0!</v>
      </c>
      <c r="U1209" s="49" t="e">
        <f t="shared" si="57"/>
        <v>#DIV/0!</v>
      </c>
    </row>
    <row r="1210" customHeight="1" spans="1:21">
      <c r="A1210" s="42" t="str">
        <f t="shared" si="56"/>
        <v/>
      </c>
      <c r="G1210" s="47" t="e">
        <f t="shared" si="55"/>
        <v>#DIV/0!</v>
      </c>
      <c r="U1210" s="49" t="e">
        <f t="shared" si="57"/>
        <v>#DIV/0!</v>
      </c>
    </row>
    <row r="1211" customHeight="1" spans="1:21">
      <c r="A1211" s="42" t="str">
        <f t="shared" si="56"/>
        <v/>
      </c>
      <c r="G1211" s="47" t="e">
        <f t="shared" si="55"/>
        <v>#DIV/0!</v>
      </c>
      <c r="U1211" s="49" t="e">
        <f t="shared" si="57"/>
        <v>#DIV/0!</v>
      </c>
    </row>
    <row r="1212" customHeight="1" spans="1:21">
      <c r="A1212" s="42" t="str">
        <f t="shared" si="56"/>
        <v/>
      </c>
      <c r="G1212" s="47" t="e">
        <f t="shared" si="55"/>
        <v>#DIV/0!</v>
      </c>
      <c r="U1212" s="49" t="e">
        <f t="shared" si="57"/>
        <v>#DIV/0!</v>
      </c>
    </row>
    <row r="1213" customHeight="1" spans="1:21">
      <c r="A1213" s="42" t="str">
        <f t="shared" si="56"/>
        <v/>
      </c>
      <c r="G1213" s="47" t="e">
        <f t="shared" si="55"/>
        <v>#DIV/0!</v>
      </c>
      <c r="U1213" s="49" t="e">
        <f t="shared" si="57"/>
        <v>#DIV/0!</v>
      </c>
    </row>
    <row r="1214" customHeight="1" spans="1:21">
      <c r="A1214" s="42" t="str">
        <f t="shared" si="56"/>
        <v/>
      </c>
      <c r="G1214" s="47" t="e">
        <f t="shared" si="55"/>
        <v>#DIV/0!</v>
      </c>
      <c r="U1214" s="49" t="e">
        <f t="shared" si="57"/>
        <v>#DIV/0!</v>
      </c>
    </row>
    <row r="1215" customHeight="1" spans="1:21">
      <c r="A1215" s="42" t="str">
        <f t="shared" si="56"/>
        <v/>
      </c>
      <c r="G1215" s="47" t="e">
        <f t="shared" si="55"/>
        <v>#DIV/0!</v>
      </c>
      <c r="U1215" s="49" t="e">
        <f t="shared" si="57"/>
        <v>#DIV/0!</v>
      </c>
    </row>
    <row r="1216" customHeight="1" spans="1:21">
      <c r="A1216" s="42" t="str">
        <f t="shared" si="56"/>
        <v/>
      </c>
      <c r="G1216" s="47" t="e">
        <f t="shared" si="55"/>
        <v>#DIV/0!</v>
      </c>
      <c r="U1216" s="49" t="e">
        <f t="shared" si="57"/>
        <v>#DIV/0!</v>
      </c>
    </row>
    <row r="1217" customHeight="1" spans="1:21">
      <c r="A1217" s="42" t="str">
        <f t="shared" si="56"/>
        <v/>
      </c>
      <c r="G1217" s="47" t="e">
        <f t="shared" si="55"/>
        <v>#DIV/0!</v>
      </c>
      <c r="U1217" s="49" t="e">
        <f t="shared" si="57"/>
        <v>#DIV/0!</v>
      </c>
    </row>
    <row r="1218" customHeight="1" spans="1:21">
      <c r="A1218" s="42" t="str">
        <f t="shared" si="56"/>
        <v/>
      </c>
      <c r="G1218" s="47" t="e">
        <f t="shared" si="55"/>
        <v>#DIV/0!</v>
      </c>
      <c r="U1218" s="49" t="e">
        <f t="shared" si="57"/>
        <v>#DIV/0!</v>
      </c>
    </row>
    <row r="1219" customHeight="1" spans="1:21">
      <c r="A1219" s="42" t="str">
        <f t="shared" si="56"/>
        <v/>
      </c>
      <c r="G1219" s="47" t="e">
        <f t="shared" ref="G1219:G1282" si="58">+E1219/F1219</f>
        <v>#DIV/0!</v>
      </c>
      <c r="U1219" s="49" t="e">
        <f t="shared" si="57"/>
        <v>#DIV/0!</v>
      </c>
    </row>
    <row r="1220" customHeight="1" spans="1:21">
      <c r="A1220" s="42" t="str">
        <f t="shared" ref="A1220:A1283" si="59">B1220&amp;C1220&amp;D1220</f>
        <v/>
      </c>
      <c r="G1220" s="47" t="e">
        <f t="shared" si="58"/>
        <v>#DIV/0!</v>
      </c>
      <c r="U1220" s="49" t="e">
        <f t="shared" ref="U1220:U1283" si="60">SUM(G1220:T1220)</f>
        <v>#DIV/0!</v>
      </c>
    </row>
    <row r="1221" customHeight="1" spans="1:21">
      <c r="A1221" s="42" t="str">
        <f t="shared" si="59"/>
        <v/>
      </c>
      <c r="G1221" s="47" t="e">
        <f t="shared" si="58"/>
        <v>#DIV/0!</v>
      </c>
      <c r="U1221" s="49" t="e">
        <f t="shared" si="60"/>
        <v>#DIV/0!</v>
      </c>
    </row>
    <row r="1222" customHeight="1" spans="1:21">
      <c r="A1222" s="42" t="str">
        <f t="shared" si="59"/>
        <v/>
      </c>
      <c r="G1222" s="47" t="e">
        <f t="shared" si="58"/>
        <v>#DIV/0!</v>
      </c>
      <c r="U1222" s="49" t="e">
        <f t="shared" si="60"/>
        <v>#DIV/0!</v>
      </c>
    </row>
    <row r="1223" customHeight="1" spans="1:21">
      <c r="A1223" s="42" t="str">
        <f t="shared" si="59"/>
        <v/>
      </c>
      <c r="G1223" s="47" t="e">
        <f t="shared" si="58"/>
        <v>#DIV/0!</v>
      </c>
      <c r="U1223" s="49" t="e">
        <f t="shared" si="60"/>
        <v>#DIV/0!</v>
      </c>
    </row>
    <row r="1224" customHeight="1" spans="1:21">
      <c r="A1224" s="42" t="str">
        <f t="shared" si="59"/>
        <v/>
      </c>
      <c r="G1224" s="47" t="e">
        <f t="shared" si="58"/>
        <v>#DIV/0!</v>
      </c>
      <c r="U1224" s="49" t="e">
        <f t="shared" si="60"/>
        <v>#DIV/0!</v>
      </c>
    </row>
    <row r="1225" customHeight="1" spans="1:21">
      <c r="A1225" s="42" t="str">
        <f t="shared" si="59"/>
        <v/>
      </c>
      <c r="G1225" s="47" t="e">
        <f t="shared" si="58"/>
        <v>#DIV/0!</v>
      </c>
      <c r="U1225" s="49" t="e">
        <f t="shared" si="60"/>
        <v>#DIV/0!</v>
      </c>
    </row>
    <row r="1226" customHeight="1" spans="1:21">
      <c r="A1226" s="42" t="str">
        <f t="shared" si="59"/>
        <v/>
      </c>
      <c r="G1226" s="47" t="e">
        <f t="shared" si="58"/>
        <v>#DIV/0!</v>
      </c>
      <c r="U1226" s="49" t="e">
        <f t="shared" si="60"/>
        <v>#DIV/0!</v>
      </c>
    </row>
    <row r="1227" customHeight="1" spans="1:21">
      <c r="A1227" s="42" t="str">
        <f t="shared" si="59"/>
        <v/>
      </c>
      <c r="G1227" s="47" t="e">
        <f t="shared" si="58"/>
        <v>#DIV/0!</v>
      </c>
      <c r="U1227" s="49" t="e">
        <f t="shared" si="60"/>
        <v>#DIV/0!</v>
      </c>
    </row>
    <row r="1228" customHeight="1" spans="1:21">
      <c r="A1228" s="42" t="str">
        <f t="shared" si="59"/>
        <v/>
      </c>
      <c r="G1228" s="47" t="e">
        <f t="shared" si="58"/>
        <v>#DIV/0!</v>
      </c>
      <c r="U1228" s="49" t="e">
        <f t="shared" si="60"/>
        <v>#DIV/0!</v>
      </c>
    </row>
    <row r="1229" customHeight="1" spans="1:21">
      <c r="A1229" s="42" t="str">
        <f t="shared" si="59"/>
        <v/>
      </c>
      <c r="G1229" s="47" t="e">
        <f t="shared" si="58"/>
        <v>#DIV/0!</v>
      </c>
      <c r="U1229" s="49" t="e">
        <f t="shared" si="60"/>
        <v>#DIV/0!</v>
      </c>
    </row>
    <row r="1230" customHeight="1" spans="1:21">
      <c r="A1230" s="42" t="str">
        <f t="shared" si="59"/>
        <v/>
      </c>
      <c r="G1230" s="47" t="e">
        <f t="shared" si="58"/>
        <v>#DIV/0!</v>
      </c>
      <c r="U1230" s="49" t="e">
        <f t="shared" si="60"/>
        <v>#DIV/0!</v>
      </c>
    </row>
    <row r="1231" customHeight="1" spans="1:21">
      <c r="A1231" s="42" t="str">
        <f t="shared" si="59"/>
        <v/>
      </c>
      <c r="G1231" s="47" t="e">
        <f t="shared" si="58"/>
        <v>#DIV/0!</v>
      </c>
      <c r="U1231" s="49" t="e">
        <f t="shared" si="60"/>
        <v>#DIV/0!</v>
      </c>
    </row>
    <row r="1232" customHeight="1" spans="1:21">
      <c r="A1232" s="42" t="str">
        <f t="shared" si="59"/>
        <v/>
      </c>
      <c r="G1232" s="47" t="e">
        <f t="shared" si="58"/>
        <v>#DIV/0!</v>
      </c>
      <c r="U1232" s="49" t="e">
        <f t="shared" si="60"/>
        <v>#DIV/0!</v>
      </c>
    </row>
    <row r="1233" customHeight="1" spans="1:21">
      <c r="A1233" s="42" t="str">
        <f t="shared" si="59"/>
        <v/>
      </c>
      <c r="G1233" s="47" t="e">
        <f t="shared" si="58"/>
        <v>#DIV/0!</v>
      </c>
      <c r="U1233" s="49" t="e">
        <f t="shared" si="60"/>
        <v>#DIV/0!</v>
      </c>
    </row>
    <row r="1234" customHeight="1" spans="1:21">
      <c r="A1234" s="42" t="str">
        <f t="shared" si="59"/>
        <v/>
      </c>
      <c r="G1234" s="47" t="e">
        <f t="shared" si="58"/>
        <v>#DIV/0!</v>
      </c>
      <c r="U1234" s="49" t="e">
        <f t="shared" si="60"/>
        <v>#DIV/0!</v>
      </c>
    </row>
    <row r="1235" customHeight="1" spans="1:21">
      <c r="A1235" s="42" t="str">
        <f t="shared" si="59"/>
        <v/>
      </c>
      <c r="G1235" s="47" t="e">
        <f t="shared" si="58"/>
        <v>#DIV/0!</v>
      </c>
      <c r="U1235" s="49" t="e">
        <f t="shared" si="60"/>
        <v>#DIV/0!</v>
      </c>
    </row>
    <row r="1236" customHeight="1" spans="1:21">
      <c r="A1236" s="42" t="str">
        <f t="shared" si="59"/>
        <v/>
      </c>
      <c r="G1236" s="47" t="e">
        <f t="shared" si="58"/>
        <v>#DIV/0!</v>
      </c>
      <c r="U1236" s="49" t="e">
        <f t="shared" si="60"/>
        <v>#DIV/0!</v>
      </c>
    </row>
    <row r="1237" customHeight="1" spans="1:21">
      <c r="A1237" s="42" t="str">
        <f t="shared" si="59"/>
        <v/>
      </c>
      <c r="G1237" s="47" t="e">
        <f t="shared" si="58"/>
        <v>#DIV/0!</v>
      </c>
      <c r="U1237" s="49" t="e">
        <f t="shared" si="60"/>
        <v>#DIV/0!</v>
      </c>
    </row>
    <row r="1238" customHeight="1" spans="1:21">
      <c r="A1238" s="42" t="str">
        <f t="shared" si="59"/>
        <v/>
      </c>
      <c r="G1238" s="47" t="e">
        <f t="shared" si="58"/>
        <v>#DIV/0!</v>
      </c>
      <c r="U1238" s="49" t="e">
        <f t="shared" si="60"/>
        <v>#DIV/0!</v>
      </c>
    </row>
    <row r="1239" customHeight="1" spans="1:21">
      <c r="A1239" s="42" t="str">
        <f t="shared" si="59"/>
        <v/>
      </c>
      <c r="G1239" s="47" t="e">
        <f t="shared" si="58"/>
        <v>#DIV/0!</v>
      </c>
      <c r="U1239" s="49" t="e">
        <f t="shared" si="60"/>
        <v>#DIV/0!</v>
      </c>
    </row>
    <row r="1240" customHeight="1" spans="1:21">
      <c r="A1240" s="42" t="str">
        <f t="shared" si="59"/>
        <v/>
      </c>
      <c r="G1240" s="47" t="e">
        <f t="shared" si="58"/>
        <v>#DIV/0!</v>
      </c>
      <c r="U1240" s="49" t="e">
        <f t="shared" si="60"/>
        <v>#DIV/0!</v>
      </c>
    </row>
    <row r="1241" customHeight="1" spans="1:21">
      <c r="A1241" s="42" t="str">
        <f t="shared" si="59"/>
        <v/>
      </c>
      <c r="G1241" s="47" t="e">
        <f t="shared" si="58"/>
        <v>#DIV/0!</v>
      </c>
      <c r="U1241" s="49" t="e">
        <f t="shared" si="60"/>
        <v>#DIV/0!</v>
      </c>
    </row>
    <row r="1242" customHeight="1" spans="1:21">
      <c r="A1242" s="42" t="str">
        <f t="shared" si="59"/>
        <v/>
      </c>
      <c r="G1242" s="47" t="e">
        <f t="shared" si="58"/>
        <v>#DIV/0!</v>
      </c>
      <c r="U1242" s="49" t="e">
        <f t="shared" si="60"/>
        <v>#DIV/0!</v>
      </c>
    </row>
    <row r="1243" customHeight="1" spans="1:21">
      <c r="A1243" s="42" t="str">
        <f t="shared" si="59"/>
        <v/>
      </c>
      <c r="G1243" s="47" t="e">
        <f t="shared" si="58"/>
        <v>#DIV/0!</v>
      </c>
      <c r="U1243" s="49" t="e">
        <f t="shared" si="60"/>
        <v>#DIV/0!</v>
      </c>
    </row>
    <row r="1244" customHeight="1" spans="1:21">
      <c r="A1244" s="42" t="str">
        <f t="shared" si="59"/>
        <v/>
      </c>
      <c r="G1244" s="47" t="e">
        <f t="shared" si="58"/>
        <v>#DIV/0!</v>
      </c>
      <c r="U1244" s="49" t="e">
        <f t="shared" si="60"/>
        <v>#DIV/0!</v>
      </c>
    </row>
    <row r="1245" customHeight="1" spans="1:21">
      <c r="A1245" s="42" t="str">
        <f t="shared" si="59"/>
        <v/>
      </c>
      <c r="G1245" s="47" t="e">
        <f t="shared" si="58"/>
        <v>#DIV/0!</v>
      </c>
      <c r="U1245" s="49" t="e">
        <f t="shared" si="60"/>
        <v>#DIV/0!</v>
      </c>
    </row>
    <row r="1246" customHeight="1" spans="1:21">
      <c r="A1246" s="42" t="str">
        <f t="shared" si="59"/>
        <v/>
      </c>
      <c r="G1246" s="47" t="e">
        <f t="shared" si="58"/>
        <v>#DIV/0!</v>
      </c>
      <c r="U1246" s="49" t="e">
        <f t="shared" si="60"/>
        <v>#DIV/0!</v>
      </c>
    </row>
    <row r="1247" customHeight="1" spans="1:21">
      <c r="A1247" s="42" t="str">
        <f t="shared" si="59"/>
        <v/>
      </c>
      <c r="G1247" s="47" t="e">
        <f t="shared" si="58"/>
        <v>#DIV/0!</v>
      </c>
      <c r="U1247" s="49" t="e">
        <f t="shared" si="60"/>
        <v>#DIV/0!</v>
      </c>
    </row>
    <row r="1248" customHeight="1" spans="1:21">
      <c r="A1248" s="42" t="str">
        <f t="shared" si="59"/>
        <v/>
      </c>
      <c r="G1248" s="47" t="e">
        <f t="shared" si="58"/>
        <v>#DIV/0!</v>
      </c>
      <c r="U1248" s="49" t="e">
        <f t="shared" si="60"/>
        <v>#DIV/0!</v>
      </c>
    </row>
    <row r="1249" customHeight="1" spans="1:21">
      <c r="A1249" s="42" t="str">
        <f t="shared" si="59"/>
        <v/>
      </c>
      <c r="G1249" s="47" t="e">
        <f t="shared" si="58"/>
        <v>#DIV/0!</v>
      </c>
      <c r="U1249" s="49" t="e">
        <f t="shared" si="60"/>
        <v>#DIV/0!</v>
      </c>
    </row>
    <row r="1250" customHeight="1" spans="1:21">
      <c r="A1250" s="42" t="str">
        <f t="shared" si="59"/>
        <v/>
      </c>
      <c r="G1250" s="47" t="e">
        <f t="shared" si="58"/>
        <v>#DIV/0!</v>
      </c>
      <c r="U1250" s="49" t="e">
        <f t="shared" si="60"/>
        <v>#DIV/0!</v>
      </c>
    </row>
    <row r="1251" customHeight="1" spans="1:21">
      <c r="A1251" s="42" t="str">
        <f t="shared" si="59"/>
        <v/>
      </c>
      <c r="G1251" s="47" t="e">
        <f t="shared" si="58"/>
        <v>#DIV/0!</v>
      </c>
      <c r="U1251" s="49" t="e">
        <f t="shared" si="60"/>
        <v>#DIV/0!</v>
      </c>
    </row>
    <row r="1252" customHeight="1" spans="1:21">
      <c r="A1252" s="42" t="str">
        <f t="shared" si="59"/>
        <v/>
      </c>
      <c r="G1252" s="47" t="e">
        <f t="shared" si="58"/>
        <v>#DIV/0!</v>
      </c>
      <c r="U1252" s="49" t="e">
        <f t="shared" si="60"/>
        <v>#DIV/0!</v>
      </c>
    </row>
    <row r="1253" customHeight="1" spans="1:21">
      <c r="A1253" s="42" t="str">
        <f t="shared" si="59"/>
        <v/>
      </c>
      <c r="G1253" s="47" t="e">
        <f t="shared" si="58"/>
        <v>#DIV/0!</v>
      </c>
      <c r="U1253" s="49" t="e">
        <f t="shared" si="60"/>
        <v>#DIV/0!</v>
      </c>
    </row>
    <row r="1254" customHeight="1" spans="1:21">
      <c r="A1254" s="42" t="str">
        <f t="shared" si="59"/>
        <v/>
      </c>
      <c r="G1254" s="47" t="e">
        <f t="shared" si="58"/>
        <v>#DIV/0!</v>
      </c>
      <c r="U1254" s="49" t="e">
        <f t="shared" si="60"/>
        <v>#DIV/0!</v>
      </c>
    </row>
    <row r="1255" customHeight="1" spans="1:21">
      <c r="A1255" s="42" t="str">
        <f t="shared" si="59"/>
        <v/>
      </c>
      <c r="G1255" s="47" t="e">
        <f t="shared" si="58"/>
        <v>#DIV/0!</v>
      </c>
      <c r="U1255" s="49" t="e">
        <f t="shared" si="60"/>
        <v>#DIV/0!</v>
      </c>
    </row>
    <row r="1256" customHeight="1" spans="1:21">
      <c r="A1256" s="42" t="str">
        <f t="shared" si="59"/>
        <v/>
      </c>
      <c r="G1256" s="47" t="e">
        <f t="shared" si="58"/>
        <v>#DIV/0!</v>
      </c>
      <c r="U1256" s="49" t="e">
        <f t="shared" si="60"/>
        <v>#DIV/0!</v>
      </c>
    </row>
    <row r="1257" customHeight="1" spans="1:21">
      <c r="A1257" s="42" t="str">
        <f t="shared" si="59"/>
        <v/>
      </c>
      <c r="G1257" s="47" t="e">
        <f t="shared" si="58"/>
        <v>#DIV/0!</v>
      </c>
      <c r="U1257" s="49" t="e">
        <f t="shared" si="60"/>
        <v>#DIV/0!</v>
      </c>
    </row>
    <row r="1258" customHeight="1" spans="1:21">
      <c r="A1258" s="42" t="str">
        <f t="shared" si="59"/>
        <v/>
      </c>
      <c r="G1258" s="47" t="e">
        <f t="shared" si="58"/>
        <v>#DIV/0!</v>
      </c>
      <c r="U1258" s="49" t="e">
        <f t="shared" si="60"/>
        <v>#DIV/0!</v>
      </c>
    </row>
    <row r="1259" customHeight="1" spans="1:21">
      <c r="A1259" s="42" t="str">
        <f t="shared" si="59"/>
        <v/>
      </c>
      <c r="G1259" s="47" t="e">
        <f t="shared" si="58"/>
        <v>#DIV/0!</v>
      </c>
      <c r="U1259" s="49" t="e">
        <f t="shared" si="60"/>
        <v>#DIV/0!</v>
      </c>
    </row>
    <row r="1260" customHeight="1" spans="1:21">
      <c r="A1260" s="42" t="str">
        <f t="shared" si="59"/>
        <v/>
      </c>
      <c r="G1260" s="47" t="e">
        <f t="shared" si="58"/>
        <v>#DIV/0!</v>
      </c>
      <c r="U1260" s="49" t="e">
        <f t="shared" si="60"/>
        <v>#DIV/0!</v>
      </c>
    </row>
    <row r="1261" customHeight="1" spans="1:21">
      <c r="A1261" s="42" t="str">
        <f t="shared" si="59"/>
        <v/>
      </c>
      <c r="G1261" s="47" t="e">
        <f t="shared" si="58"/>
        <v>#DIV/0!</v>
      </c>
      <c r="U1261" s="49" t="e">
        <f t="shared" si="60"/>
        <v>#DIV/0!</v>
      </c>
    </row>
    <row r="1262" customHeight="1" spans="1:21">
      <c r="A1262" s="42" t="str">
        <f t="shared" si="59"/>
        <v/>
      </c>
      <c r="G1262" s="47" t="e">
        <f t="shared" si="58"/>
        <v>#DIV/0!</v>
      </c>
      <c r="U1262" s="49" t="e">
        <f t="shared" si="60"/>
        <v>#DIV/0!</v>
      </c>
    </row>
    <row r="1263" customHeight="1" spans="1:21">
      <c r="A1263" s="42" t="str">
        <f t="shared" si="59"/>
        <v/>
      </c>
      <c r="G1263" s="47" t="e">
        <f t="shared" si="58"/>
        <v>#DIV/0!</v>
      </c>
      <c r="U1263" s="49" t="e">
        <f t="shared" si="60"/>
        <v>#DIV/0!</v>
      </c>
    </row>
    <row r="1264" customHeight="1" spans="1:21">
      <c r="A1264" s="42" t="str">
        <f t="shared" si="59"/>
        <v/>
      </c>
      <c r="G1264" s="47" t="e">
        <f t="shared" si="58"/>
        <v>#DIV/0!</v>
      </c>
      <c r="U1264" s="49" t="e">
        <f t="shared" si="60"/>
        <v>#DIV/0!</v>
      </c>
    </row>
    <row r="1265" customHeight="1" spans="1:21">
      <c r="A1265" s="42" t="str">
        <f t="shared" si="59"/>
        <v/>
      </c>
      <c r="G1265" s="47" t="e">
        <f t="shared" si="58"/>
        <v>#DIV/0!</v>
      </c>
      <c r="U1265" s="49" t="e">
        <f t="shared" si="60"/>
        <v>#DIV/0!</v>
      </c>
    </row>
    <row r="1266" customHeight="1" spans="1:21">
      <c r="A1266" s="42" t="str">
        <f t="shared" si="59"/>
        <v/>
      </c>
      <c r="G1266" s="47" t="e">
        <f t="shared" si="58"/>
        <v>#DIV/0!</v>
      </c>
      <c r="U1266" s="49" t="e">
        <f t="shared" si="60"/>
        <v>#DIV/0!</v>
      </c>
    </row>
    <row r="1267" customHeight="1" spans="1:21">
      <c r="A1267" s="42" t="str">
        <f t="shared" si="59"/>
        <v/>
      </c>
      <c r="G1267" s="47" t="e">
        <f t="shared" si="58"/>
        <v>#DIV/0!</v>
      </c>
      <c r="U1267" s="49" t="e">
        <f t="shared" si="60"/>
        <v>#DIV/0!</v>
      </c>
    </row>
    <row r="1268" customHeight="1" spans="1:21">
      <c r="A1268" s="42" t="str">
        <f t="shared" si="59"/>
        <v/>
      </c>
      <c r="G1268" s="47" t="e">
        <f t="shared" si="58"/>
        <v>#DIV/0!</v>
      </c>
      <c r="U1268" s="49" t="e">
        <f t="shared" si="60"/>
        <v>#DIV/0!</v>
      </c>
    </row>
    <row r="1269" customHeight="1" spans="1:21">
      <c r="A1269" s="42" t="str">
        <f t="shared" si="59"/>
        <v/>
      </c>
      <c r="G1269" s="47" t="e">
        <f t="shared" si="58"/>
        <v>#DIV/0!</v>
      </c>
      <c r="U1269" s="49" t="e">
        <f t="shared" si="60"/>
        <v>#DIV/0!</v>
      </c>
    </row>
    <row r="1270" customHeight="1" spans="1:21">
      <c r="A1270" s="42" t="str">
        <f t="shared" si="59"/>
        <v/>
      </c>
      <c r="G1270" s="47" t="e">
        <f t="shared" si="58"/>
        <v>#DIV/0!</v>
      </c>
      <c r="U1270" s="49" t="e">
        <f t="shared" si="60"/>
        <v>#DIV/0!</v>
      </c>
    </row>
    <row r="1271" customHeight="1" spans="1:21">
      <c r="A1271" s="42" t="str">
        <f t="shared" si="59"/>
        <v/>
      </c>
      <c r="G1271" s="47" t="e">
        <f t="shared" si="58"/>
        <v>#DIV/0!</v>
      </c>
      <c r="U1271" s="49" t="e">
        <f t="shared" si="60"/>
        <v>#DIV/0!</v>
      </c>
    </row>
    <row r="1272" customHeight="1" spans="1:21">
      <c r="A1272" s="42" t="str">
        <f t="shared" si="59"/>
        <v/>
      </c>
      <c r="G1272" s="47" t="e">
        <f t="shared" si="58"/>
        <v>#DIV/0!</v>
      </c>
      <c r="U1272" s="49" t="e">
        <f t="shared" si="60"/>
        <v>#DIV/0!</v>
      </c>
    </row>
    <row r="1273" customHeight="1" spans="1:21">
      <c r="A1273" s="42" t="str">
        <f t="shared" si="59"/>
        <v/>
      </c>
      <c r="G1273" s="47" t="e">
        <f t="shared" si="58"/>
        <v>#DIV/0!</v>
      </c>
      <c r="U1273" s="49" t="e">
        <f t="shared" si="60"/>
        <v>#DIV/0!</v>
      </c>
    </row>
    <row r="1274" customHeight="1" spans="1:21">
      <c r="A1274" s="42" t="str">
        <f t="shared" si="59"/>
        <v/>
      </c>
      <c r="G1274" s="47" t="e">
        <f t="shared" si="58"/>
        <v>#DIV/0!</v>
      </c>
      <c r="U1274" s="49" t="e">
        <f t="shared" si="60"/>
        <v>#DIV/0!</v>
      </c>
    </row>
    <row r="1275" customHeight="1" spans="1:21">
      <c r="A1275" s="42" t="str">
        <f t="shared" si="59"/>
        <v/>
      </c>
      <c r="G1275" s="47" t="e">
        <f t="shared" si="58"/>
        <v>#DIV/0!</v>
      </c>
      <c r="U1275" s="49" t="e">
        <f t="shared" si="60"/>
        <v>#DIV/0!</v>
      </c>
    </row>
    <row r="1276" customHeight="1" spans="1:21">
      <c r="A1276" s="42" t="str">
        <f t="shared" si="59"/>
        <v/>
      </c>
      <c r="G1276" s="47" t="e">
        <f t="shared" si="58"/>
        <v>#DIV/0!</v>
      </c>
      <c r="U1276" s="49" t="e">
        <f t="shared" si="60"/>
        <v>#DIV/0!</v>
      </c>
    </row>
    <row r="1277" customHeight="1" spans="1:21">
      <c r="A1277" s="42" t="str">
        <f t="shared" si="59"/>
        <v/>
      </c>
      <c r="G1277" s="47" t="e">
        <f t="shared" si="58"/>
        <v>#DIV/0!</v>
      </c>
      <c r="U1277" s="49" t="e">
        <f t="shared" si="60"/>
        <v>#DIV/0!</v>
      </c>
    </row>
    <row r="1278" customHeight="1" spans="1:21">
      <c r="A1278" s="42" t="str">
        <f t="shared" si="59"/>
        <v/>
      </c>
      <c r="G1278" s="47" t="e">
        <f t="shared" si="58"/>
        <v>#DIV/0!</v>
      </c>
      <c r="U1278" s="49" t="e">
        <f t="shared" si="60"/>
        <v>#DIV/0!</v>
      </c>
    </row>
    <row r="1279" customHeight="1" spans="1:21">
      <c r="A1279" s="42" t="str">
        <f t="shared" si="59"/>
        <v/>
      </c>
      <c r="G1279" s="47" t="e">
        <f t="shared" si="58"/>
        <v>#DIV/0!</v>
      </c>
      <c r="U1279" s="49" t="e">
        <f t="shared" si="60"/>
        <v>#DIV/0!</v>
      </c>
    </row>
    <row r="1280" customHeight="1" spans="1:21">
      <c r="A1280" s="42" t="str">
        <f t="shared" si="59"/>
        <v/>
      </c>
      <c r="G1280" s="47" t="e">
        <f t="shared" si="58"/>
        <v>#DIV/0!</v>
      </c>
      <c r="U1280" s="49" t="e">
        <f t="shared" si="60"/>
        <v>#DIV/0!</v>
      </c>
    </row>
    <row r="1281" customHeight="1" spans="1:21">
      <c r="A1281" s="42" t="str">
        <f t="shared" si="59"/>
        <v/>
      </c>
      <c r="G1281" s="47" t="e">
        <f t="shared" si="58"/>
        <v>#DIV/0!</v>
      </c>
      <c r="U1281" s="49" t="e">
        <f t="shared" si="60"/>
        <v>#DIV/0!</v>
      </c>
    </row>
    <row r="1282" customHeight="1" spans="1:21">
      <c r="A1282" s="42" t="str">
        <f t="shared" si="59"/>
        <v/>
      </c>
      <c r="G1282" s="47" t="e">
        <f t="shared" si="58"/>
        <v>#DIV/0!</v>
      </c>
      <c r="U1282" s="49" t="e">
        <f t="shared" si="60"/>
        <v>#DIV/0!</v>
      </c>
    </row>
    <row r="1283" customHeight="1" spans="1:21">
      <c r="A1283" s="42" t="str">
        <f t="shared" si="59"/>
        <v/>
      </c>
      <c r="G1283" s="47" t="e">
        <f t="shared" ref="G1283:G1346" si="61">+E1283/F1283</f>
        <v>#DIV/0!</v>
      </c>
      <c r="U1283" s="49" t="e">
        <f t="shared" si="60"/>
        <v>#DIV/0!</v>
      </c>
    </row>
    <row r="1284" customHeight="1" spans="1:21">
      <c r="A1284" s="42" t="str">
        <f t="shared" ref="A1284:A1347" si="62">B1284&amp;C1284&amp;D1284</f>
        <v/>
      </c>
      <c r="G1284" s="47" t="e">
        <f t="shared" si="61"/>
        <v>#DIV/0!</v>
      </c>
      <c r="U1284" s="49" t="e">
        <f t="shared" ref="U1284:U1347" si="63">SUM(G1284:T1284)</f>
        <v>#DIV/0!</v>
      </c>
    </row>
    <row r="1285" customHeight="1" spans="1:21">
      <c r="A1285" s="42" t="str">
        <f t="shared" si="62"/>
        <v/>
      </c>
      <c r="G1285" s="47" t="e">
        <f t="shared" si="61"/>
        <v>#DIV/0!</v>
      </c>
      <c r="U1285" s="49" t="e">
        <f t="shared" si="63"/>
        <v>#DIV/0!</v>
      </c>
    </row>
    <row r="1286" customHeight="1" spans="1:21">
      <c r="A1286" s="42" t="str">
        <f t="shared" si="62"/>
        <v/>
      </c>
      <c r="G1286" s="47" t="e">
        <f t="shared" si="61"/>
        <v>#DIV/0!</v>
      </c>
      <c r="U1286" s="49" t="e">
        <f t="shared" si="63"/>
        <v>#DIV/0!</v>
      </c>
    </row>
    <row r="1287" customHeight="1" spans="1:21">
      <c r="A1287" s="42" t="str">
        <f t="shared" si="62"/>
        <v/>
      </c>
      <c r="G1287" s="47" t="e">
        <f t="shared" si="61"/>
        <v>#DIV/0!</v>
      </c>
      <c r="U1287" s="49" t="e">
        <f t="shared" si="63"/>
        <v>#DIV/0!</v>
      </c>
    </row>
    <row r="1288" customHeight="1" spans="1:21">
      <c r="A1288" s="42" t="str">
        <f t="shared" si="62"/>
        <v/>
      </c>
      <c r="G1288" s="47" t="e">
        <f t="shared" si="61"/>
        <v>#DIV/0!</v>
      </c>
      <c r="U1288" s="49" t="e">
        <f t="shared" si="63"/>
        <v>#DIV/0!</v>
      </c>
    </row>
    <row r="1289" customHeight="1" spans="1:21">
      <c r="A1289" s="42" t="str">
        <f t="shared" si="62"/>
        <v/>
      </c>
      <c r="G1289" s="47" t="e">
        <f t="shared" si="61"/>
        <v>#DIV/0!</v>
      </c>
      <c r="U1289" s="49" t="e">
        <f t="shared" si="63"/>
        <v>#DIV/0!</v>
      </c>
    </row>
    <row r="1290" customHeight="1" spans="1:21">
      <c r="A1290" s="42" t="str">
        <f t="shared" si="62"/>
        <v/>
      </c>
      <c r="G1290" s="47" t="e">
        <f t="shared" si="61"/>
        <v>#DIV/0!</v>
      </c>
      <c r="U1290" s="49" t="e">
        <f t="shared" si="63"/>
        <v>#DIV/0!</v>
      </c>
    </row>
    <row r="1291" customHeight="1" spans="1:21">
      <c r="A1291" s="42" t="str">
        <f t="shared" si="62"/>
        <v/>
      </c>
      <c r="G1291" s="47" t="e">
        <f t="shared" si="61"/>
        <v>#DIV/0!</v>
      </c>
      <c r="U1291" s="49" t="e">
        <f t="shared" si="63"/>
        <v>#DIV/0!</v>
      </c>
    </row>
    <row r="1292" customHeight="1" spans="1:21">
      <c r="A1292" s="42" t="str">
        <f t="shared" si="62"/>
        <v/>
      </c>
      <c r="G1292" s="47" t="e">
        <f t="shared" si="61"/>
        <v>#DIV/0!</v>
      </c>
      <c r="U1292" s="49" t="e">
        <f t="shared" si="63"/>
        <v>#DIV/0!</v>
      </c>
    </row>
    <row r="1293" customHeight="1" spans="1:21">
      <c r="A1293" s="42" t="str">
        <f t="shared" si="62"/>
        <v/>
      </c>
      <c r="G1293" s="47" t="e">
        <f t="shared" si="61"/>
        <v>#DIV/0!</v>
      </c>
      <c r="U1293" s="49" t="e">
        <f t="shared" si="63"/>
        <v>#DIV/0!</v>
      </c>
    </row>
    <row r="1294" customHeight="1" spans="1:21">
      <c r="A1294" s="42" t="str">
        <f t="shared" si="62"/>
        <v/>
      </c>
      <c r="G1294" s="47" t="e">
        <f t="shared" si="61"/>
        <v>#DIV/0!</v>
      </c>
      <c r="U1294" s="49" t="e">
        <f t="shared" si="63"/>
        <v>#DIV/0!</v>
      </c>
    </row>
    <row r="1295" customHeight="1" spans="1:21">
      <c r="A1295" s="42" t="str">
        <f t="shared" si="62"/>
        <v/>
      </c>
      <c r="G1295" s="47" t="e">
        <f t="shared" si="61"/>
        <v>#DIV/0!</v>
      </c>
      <c r="U1295" s="49" t="e">
        <f t="shared" si="63"/>
        <v>#DIV/0!</v>
      </c>
    </row>
    <row r="1296" customHeight="1" spans="1:21">
      <c r="A1296" s="42" t="str">
        <f t="shared" si="62"/>
        <v/>
      </c>
      <c r="G1296" s="47" t="e">
        <f t="shared" si="61"/>
        <v>#DIV/0!</v>
      </c>
      <c r="U1296" s="49" t="e">
        <f t="shared" si="63"/>
        <v>#DIV/0!</v>
      </c>
    </row>
    <row r="1297" customHeight="1" spans="1:21">
      <c r="A1297" s="42" t="str">
        <f t="shared" si="62"/>
        <v/>
      </c>
      <c r="G1297" s="47" t="e">
        <f t="shared" si="61"/>
        <v>#DIV/0!</v>
      </c>
      <c r="U1297" s="49" t="e">
        <f t="shared" si="63"/>
        <v>#DIV/0!</v>
      </c>
    </row>
    <row r="1298" customHeight="1" spans="1:21">
      <c r="A1298" s="42" t="str">
        <f t="shared" si="62"/>
        <v/>
      </c>
      <c r="G1298" s="47" t="e">
        <f t="shared" si="61"/>
        <v>#DIV/0!</v>
      </c>
      <c r="U1298" s="49" t="e">
        <f t="shared" si="63"/>
        <v>#DIV/0!</v>
      </c>
    </row>
    <row r="1299" customHeight="1" spans="1:21">
      <c r="A1299" s="42" t="str">
        <f t="shared" si="62"/>
        <v/>
      </c>
      <c r="G1299" s="47" t="e">
        <f t="shared" si="61"/>
        <v>#DIV/0!</v>
      </c>
      <c r="U1299" s="49" t="e">
        <f t="shared" si="63"/>
        <v>#DIV/0!</v>
      </c>
    </row>
    <row r="1300" customHeight="1" spans="1:21">
      <c r="A1300" s="42" t="str">
        <f t="shared" si="62"/>
        <v/>
      </c>
      <c r="G1300" s="47" t="e">
        <f t="shared" si="61"/>
        <v>#DIV/0!</v>
      </c>
      <c r="U1300" s="49" t="e">
        <f t="shared" si="63"/>
        <v>#DIV/0!</v>
      </c>
    </row>
    <row r="1301" customHeight="1" spans="1:21">
      <c r="A1301" s="42" t="str">
        <f t="shared" si="62"/>
        <v/>
      </c>
      <c r="G1301" s="47" t="e">
        <f t="shared" si="61"/>
        <v>#DIV/0!</v>
      </c>
      <c r="U1301" s="49" t="e">
        <f t="shared" si="63"/>
        <v>#DIV/0!</v>
      </c>
    </row>
    <row r="1302" customHeight="1" spans="1:21">
      <c r="A1302" s="42" t="str">
        <f t="shared" si="62"/>
        <v/>
      </c>
      <c r="G1302" s="47" t="e">
        <f t="shared" si="61"/>
        <v>#DIV/0!</v>
      </c>
      <c r="U1302" s="49" t="e">
        <f t="shared" si="63"/>
        <v>#DIV/0!</v>
      </c>
    </row>
    <row r="1303" customHeight="1" spans="1:21">
      <c r="A1303" s="42" t="str">
        <f t="shared" si="62"/>
        <v/>
      </c>
      <c r="G1303" s="47" t="e">
        <f t="shared" si="61"/>
        <v>#DIV/0!</v>
      </c>
      <c r="U1303" s="49" t="e">
        <f t="shared" si="63"/>
        <v>#DIV/0!</v>
      </c>
    </row>
    <row r="1304" customHeight="1" spans="1:21">
      <c r="A1304" s="42" t="str">
        <f t="shared" si="62"/>
        <v/>
      </c>
      <c r="G1304" s="47" t="e">
        <f t="shared" si="61"/>
        <v>#DIV/0!</v>
      </c>
      <c r="U1304" s="49" t="e">
        <f t="shared" si="63"/>
        <v>#DIV/0!</v>
      </c>
    </row>
    <row r="1305" customHeight="1" spans="1:21">
      <c r="A1305" s="42" t="str">
        <f t="shared" si="62"/>
        <v/>
      </c>
      <c r="G1305" s="47" t="e">
        <f t="shared" si="61"/>
        <v>#DIV/0!</v>
      </c>
      <c r="U1305" s="49" t="e">
        <f t="shared" si="63"/>
        <v>#DIV/0!</v>
      </c>
    </row>
    <row r="1306" customHeight="1" spans="1:21">
      <c r="A1306" s="42" t="str">
        <f t="shared" si="62"/>
        <v/>
      </c>
      <c r="G1306" s="47" t="e">
        <f t="shared" si="61"/>
        <v>#DIV/0!</v>
      </c>
      <c r="U1306" s="49" t="e">
        <f t="shared" si="63"/>
        <v>#DIV/0!</v>
      </c>
    </row>
    <row r="1307" customHeight="1" spans="1:21">
      <c r="A1307" s="42" t="str">
        <f t="shared" si="62"/>
        <v/>
      </c>
      <c r="G1307" s="47" t="e">
        <f t="shared" si="61"/>
        <v>#DIV/0!</v>
      </c>
      <c r="U1307" s="49" t="e">
        <f t="shared" si="63"/>
        <v>#DIV/0!</v>
      </c>
    </row>
    <row r="1308" customHeight="1" spans="1:21">
      <c r="A1308" s="42" t="str">
        <f t="shared" si="62"/>
        <v/>
      </c>
      <c r="G1308" s="47" t="e">
        <f t="shared" si="61"/>
        <v>#DIV/0!</v>
      </c>
      <c r="U1308" s="49" t="e">
        <f t="shared" si="63"/>
        <v>#DIV/0!</v>
      </c>
    </row>
    <row r="1309" customHeight="1" spans="1:21">
      <c r="A1309" s="42" t="str">
        <f t="shared" si="62"/>
        <v/>
      </c>
      <c r="G1309" s="47" t="e">
        <f t="shared" si="61"/>
        <v>#DIV/0!</v>
      </c>
      <c r="U1309" s="49" t="e">
        <f t="shared" si="63"/>
        <v>#DIV/0!</v>
      </c>
    </row>
    <row r="1310" customHeight="1" spans="1:21">
      <c r="A1310" s="42" t="str">
        <f t="shared" si="62"/>
        <v/>
      </c>
      <c r="G1310" s="47" t="e">
        <f t="shared" si="61"/>
        <v>#DIV/0!</v>
      </c>
      <c r="U1310" s="49" t="e">
        <f t="shared" si="63"/>
        <v>#DIV/0!</v>
      </c>
    </row>
    <row r="1311" customHeight="1" spans="1:21">
      <c r="A1311" s="42" t="str">
        <f t="shared" si="62"/>
        <v/>
      </c>
      <c r="G1311" s="47" t="e">
        <f t="shared" si="61"/>
        <v>#DIV/0!</v>
      </c>
      <c r="U1311" s="49" t="e">
        <f t="shared" si="63"/>
        <v>#DIV/0!</v>
      </c>
    </row>
    <row r="1312" customHeight="1" spans="1:21">
      <c r="A1312" s="42" t="str">
        <f t="shared" si="62"/>
        <v/>
      </c>
      <c r="G1312" s="47" t="e">
        <f t="shared" si="61"/>
        <v>#DIV/0!</v>
      </c>
      <c r="U1312" s="49" t="e">
        <f t="shared" si="63"/>
        <v>#DIV/0!</v>
      </c>
    </row>
    <row r="1313" customHeight="1" spans="1:21">
      <c r="A1313" s="42" t="str">
        <f t="shared" si="62"/>
        <v/>
      </c>
      <c r="G1313" s="47" t="e">
        <f t="shared" si="61"/>
        <v>#DIV/0!</v>
      </c>
      <c r="U1313" s="49" t="e">
        <f t="shared" si="63"/>
        <v>#DIV/0!</v>
      </c>
    </row>
    <row r="1314" customHeight="1" spans="1:21">
      <c r="A1314" s="42" t="str">
        <f t="shared" si="62"/>
        <v/>
      </c>
      <c r="G1314" s="47" t="e">
        <f t="shared" si="61"/>
        <v>#DIV/0!</v>
      </c>
      <c r="U1314" s="49" t="e">
        <f t="shared" si="63"/>
        <v>#DIV/0!</v>
      </c>
    </row>
    <row r="1315" customHeight="1" spans="1:21">
      <c r="A1315" s="42" t="str">
        <f t="shared" si="62"/>
        <v/>
      </c>
      <c r="G1315" s="47" t="e">
        <f t="shared" si="61"/>
        <v>#DIV/0!</v>
      </c>
      <c r="U1315" s="49" t="e">
        <f t="shared" si="63"/>
        <v>#DIV/0!</v>
      </c>
    </row>
    <row r="1316" customHeight="1" spans="1:21">
      <c r="A1316" s="42" t="str">
        <f t="shared" si="62"/>
        <v/>
      </c>
      <c r="G1316" s="47" t="e">
        <f t="shared" si="61"/>
        <v>#DIV/0!</v>
      </c>
      <c r="U1316" s="49" t="e">
        <f t="shared" si="63"/>
        <v>#DIV/0!</v>
      </c>
    </row>
    <row r="1317" customHeight="1" spans="1:21">
      <c r="A1317" s="42" t="str">
        <f t="shared" si="62"/>
        <v/>
      </c>
      <c r="G1317" s="47" t="e">
        <f t="shared" si="61"/>
        <v>#DIV/0!</v>
      </c>
      <c r="U1317" s="49" t="e">
        <f t="shared" si="63"/>
        <v>#DIV/0!</v>
      </c>
    </row>
    <row r="1318" customHeight="1" spans="1:21">
      <c r="A1318" s="42" t="str">
        <f t="shared" si="62"/>
        <v/>
      </c>
      <c r="G1318" s="47" t="e">
        <f t="shared" si="61"/>
        <v>#DIV/0!</v>
      </c>
      <c r="U1318" s="49" t="e">
        <f t="shared" si="63"/>
        <v>#DIV/0!</v>
      </c>
    </row>
    <row r="1319" customHeight="1" spans="1:21">
      <c r="A1319" s="42" t="str">
        <f t="shared" si="62"/>
        <v/>
      </c>
      <c r="G1319" s="47" t="e">
        <f t="shared" si="61"/>
        <v>#DIV/0!</v>
      </c>
      <c r="U1319" s="49" t="e">
        <f t="shared" si="63"/>
        <v>#DIV/0!</v>
      </c>
    </row>
    <row r="1320" customHeight="1" spans="1:21">
      <c r="A1320" s="42" t="str">
        <f t="shared" si="62"/>
        <v/>
      </c>
      <c r="G1320" s="47" t="e">
        <f t="shared" si="61"/>
        <v>#DIV/0!</v>
      </c>
      <c r="U1320" s="49" t="e">
        <f t="shared" si="63"/>
        <v>#DIV/0!</v>
      </c>
    </row>
    <row r="1321" customHeight="1" spans="1:21">
      <c r="A1321" s="42" t="str">
        <f t="shared" si="62"/>
        <v/>
      </c>
      <c r="G1321" s="47" t="e">
        <f t="shared" si="61"/>
        <v>#DIV/0!</v>
      </c>
      <c r="U1321" s="49" t="e">
        <f t="shared" si="63"/>
        <v>#DIV/0!</v>
      </c>
    </row>
    <row r="1322" customHeight="1" spans="1:21">
      <c r="A1322" s="42" t="str">
        <f t="shared" si="62"/>
        <v/>
      </c>
      <c r="G1322" s="47" t="e">
        <f t="shared" si="61"/>
        <v>#DIV/0!</v>
      </c>
      <c r="U1322" s="49" t="e">
        <f t="shared" si="63"/>
        <v>#DIV/0!</v>
      </c>
    </row>
    <row r="1323" customHeight="1" spans="1:21">
      <c r="A1323" s="42" t="str">
        <f t="shared" si="62"/>
        <v/>
      </c>
      <c r="G1323" s="47" t="e">
        <f t="shared" si="61"/>
        <v>#DIV/0!</v>
      </c>
      <c r="U1323" s="49" t="e">
        <f t="shared" si="63"/>
        <v>#DIV/0!</v>
      </c>
    </row>
    <row r="1324" customHeight="1" spans="1:21">
      <c r="A1324" s="42" t="str">
        <f t="shared" si="62"/>
        <v/>
      </c>
      <c r="G1324" s="47" t="e">
        <f t="shared" si="61"/>
        <v>#DIV/0!</v>
      </c>
      <c r="U1324" s="49" t="e">
        <f t="shared" si="63"/>
        <v>#DIV/0!</v>
      </c>
    </row>
    <row r="1325" customHeight="1" spans="1:21">
      <c r="A1325" s="42" t="str">
        <f t="shared" si="62"/>
        <v/>
      </c>
      <c r="G1325" s="47" t="e">
        <f t="shared" si="61"/>
        <v>#DIV/0!</v>
      </c>
      <c r="U1325" s="49" t="e">
        <f t="shared" si="63"/>
        <v>#DIV/0!</v>
      </c>
    </row>
    <row r="1326" customHeight="1" spans="1:21">
      <c r="A1326" s="42" t="str">
        <f t="shared" si="62"/>
        <v/>
      </c>
      <c r="G1326" s="47" t="e">
        <f t="shared" si="61"/>
        <v>#DIV/0!</v>
      </c>
      <c r="U1326" s="49" t="e">
        <f t="shared" si="63"/>
        <v>#DIV/0!</v>
      </c>
    </row>
    <row r="1327" customHeight="1" spans="1:21">
      <c r="A1327" s="42" t="str">
        <f t="shared" si="62"/>
        <v/>
      </c>
      <c r="G1327" s="47" t="e">
        <f t="shared" si="61"/>
        <v>#DIV/0!</v>
      </c>
      <c r="U1327" s="49" t="e">
        <f t="shared" si="63"/>
        <v>#DIV/0!</v>
      </c>
    </row>
    <row r="1328" customHeight="1" spans="1:21">
      <c r="A1328" s="42" t="str">
        <f t="shared" si="62"/>
        <v/>
      </c>
      <c r="G1328" s="47" t="e">
        <f t="shared" si="61"/>
        <v>#DIV/0!</v>
      </c>
      <c r="U1328" s="49" t="e">
        <f t="shared" si="63"/>
        <v>#DIV/0!</v>
      </c>
    </row>
    <row r="1329" customHeight="1" spans="1:21">
      <c r="A1329" s="42" t="str">
        <f t="shared" si="62"/>
        <v/>
      </c>
      <c r="G1329" s="47" t="e">
        <f t="shared" si="61"/>
        <v>#DIV/0!</v>
      </c>
      <c r="U1329" s="49" t="e">
        <f t="shared" si="63"/>
        <v>#DIV/0!</v>
      </c>
    </row>
    <row r="1330" customHeight="1" spans="1:21">
      <c r="A1330" s="42" t="str">
        <f t="shared" si="62"/>
        <v/>
      </c>
      <c r="G1330" s="47" t="e">
        <f t="shared" si="61"/>
        <v>#DIV/0!</v>
      </c>
      <c r="U1330" s="49" t="e">
        <f t="shared" si="63"/>
        <v>#DIV/0!</v>
      </c>
    </row>
    <row r="1331" customHeight="1" spans="1:21">
      <c r="A1331" s="42" t="str">
        <f t="shared" si="62"/>
        <v/>
      </c>
      <c r="G1331" s="47" t="e">
        <f t="shared" si="61"/>
        <v>#DIV/0!</v>
      </c>
      <c r="U1331" s="49" t="e">
        <f t="shared" si="63"/>
        <v>#DIV/0!</v>
      </c>
    </row>
    <row r="1332" customHeight="1" spans="1:21">
      <c r="A1332" s="42" t="str">
        <f t="shared" si="62"/>
        <v/>
      </c>
      <c r="G1332" s="47" t="e">
        <f t="shared" si="61"/>
        <v>#DIV/0!</v>
      </c>
      <c r="U1332" s="49" t="e">
        <f t="shared" si="63"/>
        <v>#DIV/0!</v>
      </c>
    </row>
    <row r="1333" customHeight="1" spans="1:21">
      <c r="A1333" s="42" t="str">
        <f t="shared" si="62"/>
        <v/>
      </c>
      <c r="G1333" s="47" t="e">
        <f t="shared" si="61"/>
        <v>#DIV/0!</v>
      </c>
      <c r="U1333" s="49" t="e">
        <f t="shared" si="63"/>
        <v>#DIV/0!</v>
      </c>
    </row>
    <row r="1334" customHeight="1" spans="1:21">
      <c r="A1334" s="42" t="str">
        <f t="shared" si="62"/>
        <v/>
      </c>
      <c r="G1334" s="47" t="e">
        <f t="shared" si="61"/>
        <v>#DIV/0!</v>
      </c>
      <c r="U1334" s="49" t="e">
        <f t="shared" si="63"/>
        <v>#DIV/0!</v>
      </c>
    </row>
    <row r="1335" customHeight="1" spans="1:21">
      <c r="A1335" s="42" t="str">
        <f t="shared" si="62"/>
        <v/>
      </c>
      <c r="G1335" s="47" t="e">
        <f t="shared" si="61"/>
        <v>#DIV/0!</v>
      </c>
      <c r="U1335" s="49" t="e">
        <f t="shared" si="63"/>
        <v>#DIV/0!</v>
      </c>
    </row>
    <row r="1336" customHeight="1" spans="1:21">
      <c r="A1336" s="42" t="str">
        <f t="shared" si="62"/>
        <v/>
      </c>
      <c r="G1336" s="47" t="e">
        <f t="shared" si="61"/>
        <v>#DIV/0!</v>
      </c>
      <c r="U1336" s="49" t="e">
        <f t="shared" si="63"/>
        <v>#DIV/0!</v>
      </c>
    </row>
    <row r="1337" customHeight="1" spans="1:21">
      <c r="A1337" s="42" t="str">
        <f t="shared" si="62"/>
        <v/>
      </c>
      <c r="G1337" s="47" t="e">
        <f t="shared" si="61"/>
        <v>#DIV/0!</v>
      </c>
      <c r="U1337" s="49" t="e">
        <f t="shared" si="63"/>
        <v>#DIV/0!</v>
      </c>
    </row>
    <row r="1338" customHeight="1" spans="1:21">
      <c r="A1338" s="42" t="str">
        <f t="shared" si="62"/>
        <v/>
      </c>
      <c r="G1338" s="47" t="e">
        <f t="shared" si="61"/>
        <v>#DIV/0!</v>
      </c>
      <c r="U1338" s="49" t="e">
        <f t="shared" si="63"/>
        <v>#DIV/0!</v>
      </c>
    </row>
    <row r="1339" customHeight="1" spans="1:21">
      <c r="A1339" s="42" t="str">
        <f t="shared" si="62"/>
        <v/>
      </c>
      <c r="G1339" s="47" t="e">
        <f t="shared" si="61"/>
        <v>#DIV/0!</v>
      </c>
      <c r="U1339" s="49" t="e">
        <f t="shared" si="63"/>
        <v>#DIV/0!</v>
      </c>
    </row>
    <row r="1340" customHeight="1" spans="1:21">
      <c r="A1340" s="42" t="str">
        <f t="shared" si="62"/>
        <v/>
      </c>
      <c r="G1340" s="47" t="e">
        <f t="shared" si="61"/>
        <v>#DIV/0!</v>
      </c>
      <c r="U1340" s="49" t="e">
        <f t="shared" si="63"/>
        <v>#DIV/0!</v>
      </c>
    </row>
    <row r="1341" customHeight="1" spans="1:21">
      <c r="A1341" s="42" t="str">
        <f t="shared" si="62"/>
        <v/>
      </c>
      <c r="G1341" s="47" t="e">
        <f t="shared" si="61"/>
        <v>#DIV/0!</v>
      </c>
      <c r="U1341" s="49" t="e">
        <f t="shared" si="63"/>
        <v>#DIV/0!</v>
      </c>
    </row>
    <row r="1342" customHeight="1" spans="1:21">
      <c r="A1342" s="42" t="str">
        <f t="shared" si="62"/>
        <v/>
      </c>
      <c r="G1342" s="47" t="e">
        <f t="shared" si="61"/>
        <v>#DIV/0!</v>
      </c>
      <c r="U1342" s="49" t="e">
        <f t="shared" si="63"/>
        <v>#DIV/0!</v>
      </c>
    </row>
    <row r="1343" customHeight="1" spans="1:21">
      <c r="A1343" s="42" t="str">
        <f t="shared" si="62"/>
        <v/>
      </c>
      <c r="G1343" s="47" t="e">
        <f t="shared" si="61"/>
        <v>#DIV/0!</v>
      </c>
      <c r="U1343" s="49" t="e">
        <f t="shared" si="63"/>
        <v>#DIV/0!</v>
      </c>
    </row>
    <row r="1344" customHeight="1" spans="1:21">
      <c r="A1344" s="42" t="str">
        <f t="shared" si="62"/>
        <v/>
      </c>
      <c r="G1344" s="47" t="e">
        <f t="shared" si="61"/>
        <v>#DIV/0!</v>
      </c>
      <c r="U1344" s="49" t="e">
        <f t="shared" si="63"/>
        <v>#DIV/0!</v>
      </c>
    </row>
    <row r="1345" customHeight="1" spans="1:21">
      <c r="A1345" s="42" t="str">
        <f t="shared" si="62"/>
        <v/>
      </c>
      <c r="G1345" s="47" t="e">
        <f t="shared" si="61"/>
        <v>#DIV/0!</v>
      </c>
      <c r="U1345" s="49" t="e">
        <f t="shared" si="63"/>
        <v>#DIV/0!</v>
      </c>
    </row>
    <row r="1346" customHeight="1" spans="1:21">
      <c r="A1346" s="42" t="str">
        <f t="shared" si="62"/>
        <v/>
      </c>
      <c r="G1346" s="47" t="e">
        <f t="shared" si="61"/>
        <v>#DIV/0!</v>
      </c>
      <c r="U1346" s="49" t="e">
        <f t="shared" si="63"/>
        <v>#DIV/0!</v>
      </c>
    </row>
    <row r="1347" customHeight="1" spans="1:21">
      <c r="A1347" s="42" t="str">
        <f t="shared" si="62"/>
        <v/>
      </c>
      <c r="G1347" s="47" t="e">
        <f t="shared" ref="G1347:G1410" si="64">+E1347/F1347</f>
        <v>#DIV/0!</v>
      </c>
      <c r="U1347" s="49" t="e">
        <f t="shared" si="63"/>
        <v>#DIV/0!</v>
      </c>
    </row>
    <row r="1348" customHeight="1" spans="1:21">
      <c r="A1348" s="42" t="str">
        <f t="shared" ref="A1348:A1411" si="65">B1348&amp;C1348&amp;D1348</f>
        <v/>
      </c>
      <c r="G1348" s="47" t="e">
        <f t="shared" si="64"/>
        <v>#DIV/0!</v>
      </c>
      <c r="U1348" s="49" t="e">
        <f t="shared" ref="U1348:U1411" si="66">SUM(G1348:T1348)</f>
        <v>#DIV/0!</v>
      </c>
    </row>
    <row r="1349" customHeight="1" spans="1:21">
      <c r="A1349" s="42" t="str">
        <f t="shared" si="65"/>
        <v/>
      </c>
      <c r="G1349" s="47" t="e">
        <f t="shared" si="64"/>
        <v>#DIV/0!</v>
      </c>
      <c r="U1349" s="49" t="e">
        <f t="shared" si="66"/>
        <v>#DIV/0!</v>
      </c>
    </row>
    <row r="1350" customHeight="1" spans="1:21">
      <c r="A1350" s="42" t="str">
        <f t="shared" si="65"/>
        <v/>
      </c>
      <c r="G1350" s="47" t="e">
        <f t="shared" si="64"/>
        <v>#DIV/0!</v>
      </c>
      <c r="U1350" s="49" t="e">
        <f t="shared" si="66"/>
        <v>#DIV/0!</v>
      </c>
    </row>
    <row r="1351" customHeight="1" spans="1:21">
      <c r="A1351" s="42" t="str">
        <f t="shared" si="65"/>
        <v/>
      </c>
      <c r="G1351" s="47" t="e">
        <f t="shared" si="64"/>
        <v>#DIV/0!</v>
      </c>
      <c r="U1351" s="49" t="e">
        <f t="shared" si="66"/>
        <v>#DIV/0!</v>
      </c>
    </row>
    <row r="1352" customHeight="1" spans="1:21">
      <c r="A1352" s="42" t="str">
        <f t="shared" si="65"/>
        <v/>
      </c>
      <c r="G1352" s="47" t="e">
        <f t="shared" si="64"/>
        <v>#DIV/0!</v>
      </c>
      <c r="U1352" s="49" t="e">
        <f t="shared" si="66"/>
        <v>#DIV/0!</v>
      </c>
    </row>
    <row r="1353" customHeight="1" spans="1:21">
      <c r="A1353" s="42" t="str">
        <f t="shared" si="65"/>
        <v/>
      </c>
      <c r="G1353" s="47" t="e">
        <f t="shared" si="64"/>
        <v>#DIV/0!</v>
      </c>
      <c r="U1353" s="49" t="e">
        <f t="shared" si="66"/>
        <v>#DIV/0!</v>
      </c>
    </row>
    <row r="1354" customHeight="1" spans="1:21">
      <c r="A1354" s="42" t="str">
        <f t="shared" si="65"/>
        <v/>
      </c>
      <c r="G1354" s="47" t="e">
        <f t="shared" si="64"/>
        <v>#DIV/0!</v>
      </c>
      <c r="U1354" s="49" t="e">
        <f t="shared" si="66"/>
        <v>#DIV/0!</v>
      </c>
    </row>
    <row r="1355" customHeight="1" spans="1:21">
      <c r="A1355" s="42" t="str">
        <f t="shared" si="65"/>
        <v/>
      </c>
      <c r="G1355" s="47" t="e">
        <f t="shared" si="64"/>
        <v>#DIV/0!</v>
      </c>
      <c r="U1355" s="49" t="e">
        <f t="shared" si="66"/>
        <v>#DIV/0!</v>
      </c>
    </row>
    <row r="1356" customHeight="1" spans="1:21">
      <c r="A1356" s="42" t="str">
        <f t="shared" si="65"/>
        <v/>
      </c>
      <c r="G1356" s="47" t="e">
        <f t="shared" si="64"/>
        <v>#DIV/0!</v>
      </c>
      <c r="U1356" s="49" t="e">
        <f t="shared" si="66"/>
        <v>#DIV/0!</v>
      </c>
    </row>
    <row r="1357" customHeight="1" spans="1:21">
      <c r="A1357" s="42" t="str">
        <f t="shared" si="65"/>
        <v/>
      </c>
      <c r="G1357" s="47" t="e">
        <f t="shared" si="64"/>
        <v>#DIV/0!</v>
      </c>
      <c r="U1357" s="49" t="e">
        <f t="shared" si="66"/>
        <v>#DIV/0!</v>
      </c>
    </row>
    <row r="1358" customHeight="1" spans="1:21">
      <c r="A1358" s="42" t="str">
        <f t="shared" si="65"/>
        <v/>
      </c>
      <c r="G1358" s="47" t="e">
        <f t="shared" si="64"/>
        <v>#DIV/0!</v>
      </c>
      <c r="U1358" s="49" t="e">
        <f t="shared" si="66"/>
        <v>#DIV/0!</v>
      </c>
    </row>
    <row r="1359" customHeight="1" spans="1:21">
      <c r="A1359" s="42" t="str">
        <f t="shared" si="65"/>
        <v/>
      </c>
      <c r="G1359" s="47" t="e">
        <f t="shared" si="64"/>
        <v>#DIV/0!</v>
      </c>
      <c r="U1359" s="49" t="e">
        <f t="shared" si="66"/>
        <v>#DIV/0!</v>
      </c>
    </row>
    <row r="1360" customHeight="1" spans="1:21">
      <c r="A1360" s="42" t="str">
        <f t="shared" si="65"/>
        <v/>
      </c>
      <c r="G1360" s="47" t="e">
        <f t="shared" si="64"/>
        <v>#DIV/0!</v>
      </c>
      <c r="U1360" s="49" t="e">
        <f t="shared" si="66"/>
        <v>#DIV/0!</v>
      </c>
    </row>
    <row r="1361" customHeight="1" spans="1:21">
      <c r="A1361" s="42" t="str">
        <f t="shared" si="65"/>
        <v/>
      </c>
      <c r="G1361" s="47" t="e">
        <f t="shared" si="64"/>
        <v>#DIV/0!</v>
      </c>
      <c r="U1361" s="49" t="e">
        <f t="shared" si="66"/>
        <v>#DIV/0!</v>
      </c>
    </row>
    <row r="1362" customHeight="1" spans="1:21">
      <c r="A1362" s="42" t="str">
        <f t="shared" si="65"/>
        <v/>
      </c>
      <c r="G1362" s="47" t="e">
        <f t="shared" si="64"/>
        <v>#DIV/0!</v>
      </c>
      <c r="U1362" s="49" t="e">
        <f t="shared" si="66"/>
        <v>#DIV/0!</v>
      </c>
    </row>
    <row r="1363" customHeight="1" spans="1:21">
      <c r="A1363" s="42" t="str">
        <f t="shared" si="65"/>
        <v/>
      </c>
      <c r="G1363" s="47" t="e">
        <f t="shared" si="64"/>
        <v>#DIV/0!</v>
      </c>
      <c r="U1363" s="49" t="e">
        <f t="shared" si="66"/>
        <v>#DIV/0!</v>
      </c>
    </row>
    <row r="1364" customHeight="1" spans="1:21">
      <c r="A1364" s="42" t="str">
        <f t="shared" si="65"/>
        <v/>
      </c>
      <c r="G1364" s="47" t="e">
        <f t="shared" si="64"/>
        <v>#DIV/0!</v>
      </c>
      <c r="U1364" s="49" t="e">
        <f t="shared" si="66"/>
        <v>#DIV/0!</v>
      </c>
    </row>
    <row r="1365" customHeight="1" spans="1:21">
      <c r="A1365" s="42" t="str">
        <f t="shared" si="65"/>
        <v/>
      </c>
      <c r="G1365" s="47" t="e">
        <f t="shared" si="64"/>
        <v>#DIV/0!</v>
      </c>
      <c r="U1365" s="49" t="e">
        <f t="shared" si="66"/>
        <v>#DIV/0!</v>
      </c>
    </row>
    <row r="1366" customHeight="1" spans="1:21">
      <c r="A1366" s="42" t="str">
        <f t="shared" si="65"/>
        <v/>
      </c>
      <c r="G1366" s="47" t="e">
        <f t="shared" si="64"/>
        <v>#DIV/0!</v>
      </c>
      <c r="U1366" s="49" t="e">
        <f t="shared" si="66"/>
        <v>#DIV/0!</v>
      </c>
    </row>
    <row r="1367" customHeight="1" spans="1:21">
      <c r="A1367" s="42" t="str">
        <f t="shared" si="65"/>
        <v/>
      </c>
      <c r="G1367" s="47" t="e">
        <f t="shared" si="64"/>
        <v>#DIV/0!</v>
      </c>
      <c r="U1367" s="49" t="e">
        <f t="shared" si="66"/>
        <v>#DIV/0!</v>
      </c>
    </row>
    <row r="1368" customHeight="1" spans="1:21">
      <c r="A1368" s="42" t="str">
        <f t="shared" si="65"/>
        <v/>
      </c>
      <c r="G1368" s="47" t="e">
        <f t="shared" si="64"/>
        <v>#DIV/0!</v>
      </c>
      <c r="U1368" s="49" t="e">
        <f t="shared" si="66"/>
        <v>#DIV/0!</v>
      </c>
    </row>
    <row r="1369" customHeight="1" spans="1:21">
      <c r="A1369" s="42" t="str">
        <f t="shared" si="65"/>
        <v/>
      </c>
      <c r="G1369" s="47" t="e">
        <f t="shared" si="64"/>
        <v>#DIV/0!</v>
      </c>
      <c r="U1369" s="49" t="e">
        <f t="shared" si="66"/>
        <v>#DIV/0!</v>
      </c>
    </row>
    <row r="1370" customHeight="1" spans="1:21">
      <c r="A1370" s="42" t="str">
        <f t="shared" si="65"/>
        <v/>
      </c>
      <c r="G1370" s="47" t="e">
        <f t="shared" si="64"/>
        <v>#DIV/0!</v>
      </c>
      <c r="U1370" s="49" t="e">
        <f t="shared" si="66"/>
        <v>#DIV/0!</v>
      </c>
    </row>
    <row r="1371" customHeight="1" spans="1:21">
      <c r="A1371" s="42" t="str">
        <f t="shared" si="65"/>
        <v/>
      </c>
      <c r="G1371" s="47" t="e">
        <f t="shared" si="64"/>
        <v>#DIV/0!</v>
      </c>
      <c r="U1371" s="49" t="e">
        <f t="shared" si="66"/>
        <v>#DIV/0!</v>
      </c>
    </row>
    <row r="1372" customHeight="1" spans="1:21">
      <c r="A1372" s="42" t="str">
        <f t="shared" si="65"/>
        <v/>
      </c>
      <c r="G1372" s="47" t="e">
        <f t="shared" si="64"/>
        <v>#DIV/0!</v>
      </c>
      <c r="U1372" s="49" t="e">
        <f t="shared" si="66"/>
        <v>#DIV/0!</v>
      </c>
    </row>
    <row r="1373" customHeight="1" spans="1:21">
      <c r="A1373" s="42" t="str">
        <f t="shared" si="65"/>
        <v/>
      </c>
      <c r="G1373" s="47" t="e">
        <f t="shared" si="64"/>
        <v>#DIV/0!</v>
      </c>
      <c r="U1373" s="49" t="e">
        <f t="shared" si="66"/>
        <v>#DIV/0!</v>
      </c>
    </row>
    <row r="1374" customHeight="1" spans="1:21">
      <c r="A1374" s="42" t="str">
        <f t="shared" si="65"/>
        <v/>
      </c>
      <c r="G1374" s="47" t="e">
        <f t="shared" si="64"/>
        <v>#DIV/0!</v>
      </c>
      <c r="U1374" s="49" t="e">
        <f t="shared" si="66"/>
        <v>#DIV/0!</v>
      </c>
    </row>
    <row r="1375" customHeight="1" spans="1:21">
      <c r="A1375" s="42" t="str">
        <f t="shared" si="65"/>
        <v/>
      </c>
      <c r="G1375" s="47" t="e">
        <f t="shared" si="64"/>
        <v>#DIV/0!</v>
      </c>
      <c r="U1375" s="49" t="e">
        <f t="shared" si="66"/>
        <v>#DIV/0!</v>
      </c>
    </row>
    <row r="1376" customHeight="1" spans="1:21">
      <c r="A1376" s="42" t="str">
        <f t="shared" si="65"/>
        <v/>
      </c>
      <c r="G1376" s="47" t="e">
        <f t="shared" si="64"/>
        <v>#DIV/0!</v>
      </c>
      <c r="U1376" s="49" t="e">
        <f t="shared" si="66"/>
        <v>#DIV/0!</v>
      </c>
    </row>
    <row r="1377" customHeight="1" spans="1:21">
      <c r="A1377" s="42" t="str">
        <f t="shared" si="65"/>
        <v/>
      </c>
      <c r="G1377" s="47" t="e">
        <f t="shared" si="64"/>
        <v>#DIV/0!</v>
      </c>
      <c r="U1377" s="49" t="e">
        <f t="shared" si="66"/>
        <v>#DIV/0!</v>
      </c>
    </row>
    <row r="1378" customHeight="1" spans="1:21">
      <c r="A1378" s="42" t="str">
        <f t="shared" si="65"/>
        <v/>
      </c>
      <c r="G1378" s="47" t="e">
        <f t="shared" si="64"/>
        <v>#DIV/0!</v>
      </c>
      <c r="U1378" s="49" t="e">
        <f t="shared" si="66"/>
        <v>#DIV/0!</v>
      </c>
    </row>
    <row r="1379" customHeight="1" spans="1:21">
      <c r="A1379" s="42" t="str">
        <f t="shared" si="65"/>
        <v/>
      </c>
      <c r="G1379" s="47" t="e">
        <f t="shared" si="64"/>
        <v>#DIV/0!</v>
      </c>
      <c r="U1379" s="49" t="e">
        <f t="shared" si="66"/>
        <v>#DIV/0!</v>
      </c>
    </row>
    <row r="1380" customHeight="1" spans="1:21">
      <c r="A1380" s="42" t="str">
        <f t="shared" si="65"/>
        <v/>
      </c>
      <c r="G1380" s="47" t="e">
        <f t="shared" si="64"/>
        <v>#DIV/0!</v>
      </c>
      <c r="U1380" s="49" t="e">
        <f t="shared" si="66"/>
        <v>#DIV/0!</v>
      </c>
    </row>
    <row r="1381" customHeight="1" spans="1:21">
      <c r="A1381" s="42" t="str">
        <f t="shared" si="65"/>
        <v/>
      </c>
      <c r="G1381" s="47" t="e">
        <f t="shared" si="64"/>
        <v>#DIV/0!</v>
      </c>
      <c r="U1381" s="49" t="e">
        <f t="shared" si="66"/>
        <v>#DIV/0!</v>
      </c>
    </row>
    <row r="1382" customHeight="1" spans="1:21">
      <c r="A1382" s="42" t="str">
        <f t="shared" si="65"/>
        <v/>
      </c>
      <c r="G1382" s="47" t="e">
        <f t="shared" si="64"/>
        <v>#DIV/0!</v>
      </c>
      <c r="U1382" s="49" t="e">
        <f t="shared" si="66"/>
        <v>#DIV/0!</v>
      </c>
    </row>
    <row r="1383" customHeight="1" spans="1:21">
      <c r="A1383" s="42" t="str">
        <f t="shared" si="65"/>
        <v/>
      </c>
      <c r="G1383" s="47" t="e">
        <f t="shared" si="64"/>
        <v>#DIV/0!</v>
      </c>
      <c r="U1383" s="49" t="e">
        <f t="shared" si="66"/>
        <v>#DIV/0!</v>
      </c>
    </row>
    <row r="1384" customHeight="1" spans="1:21">
      <c r="A1384" s="42" t="str">
        <f t="shared" si="65"/>
        <v/>
      </c>
      <c r="G1384" s="47" t="e">
        <f t="shared" si="64"/>
        <v>#DIV/0!</v>
      </c>
      <c r="U1384" s="49" t="e">
        <f t="shared" si="66"/>
        <v>#DIV/0!</v>
      </c>
    </row>
    <row r="1385" customHeight="1" spans="1:21">
      <c r="A1385" s="42" t="str">
        <f t="shared" si="65"/>
        <v/>
      </c>
      <c r="G1385" s="47" t="e">
        <f t="shared" si="64"/>
        <v>#DIV/0!</v>
      </c>
      <c r="U1385" s="49" t="e">
        <f t="shared" si="66"/>
        <v>#DIV/0!</v>
      </c>
    </row>
    <row r="1386" customHeight="1" spans="1:21">
      <c r="A1386" s="42" t="str">
        <f t="shared" si="65"/>
        <v/>
      </c>
      <c r="G1386" s="47" t="e">
        <f t="shared" si="64"/>
        <v>#DIV/0!</v>
      </c>
      <c r="U1386" s="49" t="e">
        <f t="shared" si="66"/>
        <v>#DIV/0!</v>
      </c>
    </row>
    <row r="1387" customHeight="1" spans="1:21">
      <c r="A1387" s="42" t="str">
        <f t="shared" si="65"/>
        <v/>
      </c>
      <c r="G1387" s="47" t="e">
        <f t="shared" si="64"/>
        <v>#DIV/0!</v>
      </c>
      <c r="U1387" s="49" t="e">
        <f t="shared" si="66"/>
        <v>#DIV/0!</v>
      </c>
    </row>
    <row r="1388" customHeight="1" spans="1:21">
      <c r="A1388" s="42" t="str">
        <f t="shared" si="65"/>
        <v/>
      </c>
      <c r="G1388" s="47" t="e">
        <f t="shared" si="64"/>
        <v>#DIV/0!</v>
      </c>
      <c r="U1388" s="49" t="e">
        <f t="shared" si="66"/>
        <v>#DIV/0!</v>
      </c>
    </row>
    <row r="1389" customHeight="1" spans="1:21">
      <c r="A1389" s="42" t="str">
        <f t="shared" si="65"/>
        <v/>
      </c>
      <c r="G1389" s="47" t="e">
        <f t="shared" si="64"/>
        <v>#DIV/0!</v>
      </c>
      <c r="U1389" s="49" t="e">
        <f t="shared" si="66"/>
        <v>#DIV/0!</v>
      </c>
    </row>
    <row r="1390" customHeight="1" spans="1:21">
      <c r="A1390" s="42" t="str">
        <f t="shared" si="65"/>
        <v/>
      </c>
      <c r="G1390" s="47" t="e">
        <f t="shared" si="64"/>
        <v>#DIV/0!</v>
      </c>
      <c r="U1390" s="49" t="e">
        <f t="shared" si="66"/>
        <v>#DIV/0!</v>
      </c>
    </row>
    <row r="1391" customHeight="1" spans="1:21">
      <c r="A1391" s="42" t="str">
        <f t="shared" si="65"/>
        <v/>
      </c>
      <c r="G1391" s="47" t="e">
        <f t="shared" si="64"/>
        <v>#DIV/0!</v>
      </c>
      <c r="U1391" s="49" t="e">
        <f t="shared" si="66"/>
        <v>#DIV/0!</v>
      </c>
    </row>
    <row r="1392" customHeight="1" spans="1:21">
      <c r="A1392" s="42" t="str">
        <f t="shared" si="65"/>
        <v/>
      </c>
      <c r="G1392" s="47" t="e">
        <f t="shared" si="64"/>
        <v>#DIV/0!</v>
      </c>
      <c r="U1392" s="49" t="e">
        <f t="shared" si="66"/>
        <v>#DIV/0!</v>
      </c>
    </row>
    <row r="1393" customHeight="1" spans="1:21">
      <c r="A1393" s="42" t="str">
        <f t="shared" si="65"/>
        <v/>
      </c>
      <c r="G1393" s="47" t="e">
        <f t="shared" si="64"/>
        <v>#DIV/0!</v>
      </c>
      <c r="U1393" s="49" t="e">
        <f t="shared" si="66"/>
        <v>#DIV/0!</v>
      </c>
    </row>
    <row r="1394" customHeight="1" spans="1:21">
      <c r="A1394" s="42" t="str">
        <f t="shared" si="65"/>
        <v/>
      </c>
      <c r="G1394" s="47" t="e">
        <f t="shared" si="64"/>
        <v>#DIV/0!</v>
      </c>
      <c r="U1394" s="49" t="e">
        <f t="shared" si="66"/>
        <v>#DIV/0!</v>
      </c>
    </row>
    <row r="1395" customHeight="1" spans="1:21">
      <c r="A1395" s="42" t="str">
        <f t="shared" si="65"/>
        <v/>
      </c>
      <c r="G1395" s="47" t="e">
        <f t="shared" si="64"/>
        <v>#DIV/0!</v>
      </c>
      <c r="U1395" s="49" t="e">
        <f t="shared" si="66"/>
        <v>#DIV/0!</v>
      </c>
    </row>
    <row r="1396" customHeight="1" spans="1:21">
      <c r="A1396" s="42" t="str">
        <f t="shared" si="65"/>
        <v/>
      </c>
      <c r="G1396" s="47" t="e">
        <f t="shared" si="64"/>
        <v>#DIV/0!</v>
      </c>
      <c r="U1396" s="49" t="e">
        <f t="shared" si="66"/>
        <v>#DIV/0!</v>
      </c>
    </row>
    <row r="1397" customHeight="1" spans="1:21">
      <c r="A1397" s="42" t="str">
        <f t="shared" si="65"/>
        <v/>
      </c>
      <c r="G1397" s="47" t="e">
        <f t="shared" si="64"/>
        <v>#DIV/0!</v>
      </c>
      <c r="U1397" s="49" t="e">
        <f t="shared" si="66"/>
        <v>#DIV/0!</v>
      </c>
    </row>
    <row r="1398" customHeight="1" spans="1:21">
      <c r="A1398" s="42" t="str">
        <f t="shared" si="65"/>
        <v/>
      </c>
      <c r="G1398" s="47" t="e">
        <f t="shared" si="64"/>
        <v>#DIV/0!</v>
      </c>
      <c r="U1398" s="49" t="e">
        <f t="shared" si="66"/>
        <v>#DIV/0!</v>
      </c>
    </row>
    <row r="1399" customHeight="1" spans="1:21">
      <c r="A1399" s="42" t="str">
        <f t="shared" si="65"/>
        <v/>
      </c>
      <c r="G1399" s="47" t="e">
        <f t="shared" si="64"/>
        <v>#DIV/0!</v>
      </c>
      <c r="U1399" s="49" t="e">
        <f t="shared" si="66"/>
        <v>#DIV/0!</v>
      </c>
    </row>
    <row r="1400" customHeight="1" spans="1:21">
      <c r="A1400" s="42" t="str">
        <f t="shared" si="65"/>
        <v/>
      </c>
      <c r="G1400" s="47" t="e">
        <f t="shared" si="64"/>
        <v>#DIV/0!</v>
      </c>
      <c r="U1400" s="49" t="e">
        <f t="shared" si="66"/>
        <v>#DIV/0!</v>
      </c>
    </row>
    <row r="1401" customHeight="1" spans="1:21">
      <c r="A1401" s="42" t="str">
        <f t="shared" si="65"/>
        <v/>
      </c>
      <c r="G1401" s="47" t="e">
        <f t="shared" si="64"/>
        <v>#DIV/0!</v>
      </c>
      <c r="U1401" s="49" t="e">
        <f t="shared" si="66"/>
        <v>#DIV/0!</v>
      </c>
    </row>
    <row r="1402" customHeight="1" spans="1:21">
      <c r="A1402" s="42" t="str">
        <f t="shared" si="65"/>
        <v/>
      </c>
      <c r="G1402" s="47" t="e">
        <f t="shared" si="64"/>
        <v>#DIV/0!</v>
      </c>
      <c r="U1402" s="49" t="e">
        <f t="shared" si="66"/>
        <v>#DIV/0!</v>
      </c>
    </row>
    <row r="1403" customHeight="1" spans="1:21">
      <c r="A1403" s="42" t="str">
        <f t="shared" si="65"/>
        <v/>
      </c>
      <c r="G1403" s="47" t="e">
        <f t="shared" si="64"/>
        <v>#DIV/0!</v>
      </c>
      <c r="U1403" s="49" t="e">
        <f t="shared" si="66"/>
        <v>#DIV/0!</v>
      </c>
    </row>
    <row r="1404" customHeight="1" spans="1:21">
      <c r="A1404" s="42" t="str">
        <f t="shared" si="65"/>
        <v/>
      </c>
      <c r="G1404" s="47" t="e">
        <f t="shared" si="64"/>
        <v>#DIV/0!</v>
      </c>
      <c r="U1404" s="49" t="e">
        <f t="shared" si="66"/>
        <v>#DIV/0!</v>
      </c>
    </row>
    <row r="1405" customHeight="1" spans="1:21">
      <c r="A1405" s="42" t="str">
        <f t="shared" si="65"/>
        <v/>
      </c>
      <c r="G1405" s="47" t="e">
        <f t="shared" si="64"/>
        <v>#DIV/0!</v>
      </c>
      <c r="U1405" s="49" t="e">
        <f t="shared" si="66"/>
        <v>#DIV/0!</v>
      </c>
    </row>
    <row r="1406" customHeight="1" spans="1:21">
      <c r="A1406" s="42" t="str">
        <f t="shared" si="65"/>
        <v/>
      </c>
      <c r="G1406" s="47" t="e">
        <f t="shared" si="64"/>
        <v>#DIV/0!</v>
      </c>
      <c r="U1406" s="49" t="e">
        <f t="shared" si="66"/>
        <v>#DIV/0!</v>
      </c>
    </row>
    <row r="1407" customHeight="1" spans="1:21">
      <c r="A1407" s="42" t="str">
        <f t="shared" si="65"/>
        <v/>
      </c>
      <c r="G1407" s="47" t="e">
        <f t="shared" si="64"/>
        <v>#DIV/0!</v>
      </c>
      <c r="U1407" s="49" t="e">
        <f t="shared" si="66"/>
        <v>#DIV/0!</v>
      </c>
    </row>
    <row r="1408" customHeight="1" spans="1:21">
      <c r="A1408" s="42" t="str">
        <f t="shared" si="65"/>
        <v/>
      </c>
      <c r="G1408" s="47" t="e">
        <f t="shared" si="64"/>
        <v>#DIV/0!</v>
      </c>
      <c r="U1408" s="49" t="e">
        <f t="shared" si="66"/>
        <v>#DIV/0!</v>
      </c>
    </row>
    <row r="1409" customHeight="1" spans="1:21">
      <c r="A1409" s="42" t="str">
        <f t="shared" si="65"/>
        <v/>
      </c>
      <c r="G1409" s="47" t="e">
        <f t="shared" si="64"/>
        <v>#DIV/0!</v>
      </c>
      <c r="U1409" s="49" t="e">
        <f t="shared" si="66"/>
        <v>#DIV/0!</v>
      </c>
    </row>
    <row r="1410" customHeight="1" spans="1:21">
      <c r="A1410" s="42" t="str">
        <f t="shared" si="65"/>
        <v/>
      </c>
      <c r="G1410" s="47" t="e">
        <f t="shared" si="64"/>
        <v>#DIV/0!</v>
      </c>
      <c r="U1410" s="49" t="e">
        <f t="shared" si="66"/>
        <v>#DIV/0!</v>
      </c>
    </row>
    <row r="1411" customHeight="1" spans="1:21">
      <c r="A1411" s="42" t="str">
        <f t="shared" si="65"/>
        <v/>
      </c>
      <c r="G1411" s="47" t="e">
        <f t="shared" ref="G1411:G1474" si="67">+E1411/F1411</f>
        <v>#DIV/0!</v>
      </c>
      <c r="U1411" s="49" t="e">
        <f t="shared" si="66"/>
        <v>#DIV/0!</v>
      </c>
    </row>
    <row r="1412" customHeight="1" spans="1:21">
      <c r="A1412" s="42" t="str">
        <f t="shared" ref="A1412:A1475" si="68">B1412&amp;C1412&amp;D1412</f>
        <v/>
      </c>
      <c r="G1412" s="47" t="e">
        <f t="shared" si="67"/>
        <v>#DIV/0!</v>
      </c>
      <c r="U1412" s="49" t="e">
        <f t="shared" ref="U1412:U1475" si="69">SUM(G1412:T1412)</f>
        <v>#DIV/0!</v>
      </c>
    </row>
    <row r="1413" customHeight="1" spans="1:21">
      <c r="A1413" s="42" t="str">
        <f t="shared" si="68"/>
        <v/>
      </c>
      <c r="G1413" s="47" t="e">
        <f t="shared" si="67"/>
        <v>#DIV/0!</v>
      </c>
      <c r="U1413" s="49" t="e">
        <f t="shared" si="69"/>
        <v>#DIV/0!</v>
      </c>
    </row>
    <row r="1414" customHeight="1" spans="1:21">
      <c r="A1414" s="42" t="str">
        <f t="shared" si="68"/>
        <v/>
      </c>
      <c r="G1414" s="47" t="e">
        <f t="shared" si="67"/>
        <v>#DIV/0!</v>
      </c>
      <c r="U1414" s="49" t="e">
        <f t="shared" si="69"/>
        <v>#DIV/0!</v>
      </c>
    </row>
    <row r="1415" customHeight="1" spans="1:21">
      <c r="A1415" s="42" t="str">
        <f t="shared" si="68"/>
        <v/>
      </c>
      <c r="G1415" s="47" t="e">
        <f t="shared" si="67"/>
        <v>#DIV/0!</v>
      </c>
      <c r="U1415" s="49" t="e">
        <f t="shared" si="69"/>
        <v>#DIV/0!</v>
      </c>
    </row>
    <row r="1416" customHeight="1" spans="1:21">
      <c r="A1416" s="42" t="str">
        <f t="shared" si="68"/>
        <v/>
      </c>
      <c r="G1416" s="47" t="e">
        <f t="shared" si="67"/>
        <v>#DIV/0!</v>
      </c>
      <c r="U1416" s="49" t="e">
        <f t="shared" si="69"/>
        <v>#DIV/0!</v>
      </c>
    </row>
    <row r="1417" customHeight="1" spans="1:21">
      <c r="A1417" s="42" t="str">
        <f t="shared" si="68"/>
        <v/>
      </c>
      <c r="G1417" s="47" t="e">
        <f t="shared" si="67"/>
        <v>#DIV/0!</v>
      </c>
      <c r="U1417" s="49" t="e">
        <f t="shared" si="69"/>
        <v>#DIV/0!</v>
      </c>
    </row>
    <row r="1418" customHeight="1" spans="1:21">
      <c r="A1418" s="42" t="str">
        <f t="shared" si="68"/>
        <v/>
      </c>
      <c r="G1418" s="47" t="e">
        <f t="shared" si="67"/>
        <v>#DIV/0!</v>
      </c>
      <c r="U1418" s="49" t="e">
        <f t="shared" si="69"/>
        <v>#DIV/0!</v>
      </c>
    </row>
    <row r="1419" customHeight="1" spans="1:21">
      <c r="A1419" s="42" t="str">
        <f t="shared" si="68"/>
        <v/>
      </c>
      <c r="G1419" s="47" t="e">
        <f t="shared" si="67"/>
        <v>#DIV/0!</v>
      </c>
      <c r="U1419" s="49" t="e">
        <f t="shared" si="69"/>
        <v>#DIV/0!</v>
      </c>
    </row>
    <row r="1420" customHeight="1" spans="1:21">
      <c r="A1420" s="42" t="str">
        <f t="shared" si="68"/>
        <v/>
      </c>
      <c r="G1420" s="47" t="e">
        <f t="shared" si="67"/>
        <v>#DIV/0!</v>
      </c>
      <c r="U1420" s="49" t="e">
        <f t="shared" si="69"/>
        <v>#DIV/0!</v>
      </c>
    </row>
    <row r="1421" customHeight="1" spans="1:21">
      <c r="A1421" s="42" t="str">
        <f t="shared" si="68"/>
        <v/>
      </c>
      <c r="G1421" s="47" t="e">
        <f t="shared" si="67"/>
        <v>#DIV/0!</v>
      </c>
      <c r="U1421" s="49" t="e">
        <f t="shared" si="69"/>
        <v>#DIV/0!</v>
      </c>
    </row>
    <row r="1422" customHeight="1" spans="1:21">
      <c r="A1422" s="42" t="str">
        <f t="shared" si="68"/>
        <v/>
      </c>
      <c r="G1422" s="47" t="e">
        <f t="shared" si="67"/>
        <v>#DIV/0!</v>
      </c>
      <c r="U1422" s="49" t="e">
        <f t="shared" si="69"/>
        <v>#DIV/0!</v>
      </c>
    </row>
    <row r="1423" customHeight="1" spans="1:21">
      <c r="A1423" s="42" t="str">
        <f t="shared" si="68"/>
        <v/>
      </c>
      <c r="G1423" s="47" t="e">
        <f t="shared" si="67"/>
        <v>#DIV/0!</v>
      </c>
      <c r="U1423" s="49" t="e">
        <f t="shared" si="69"/>
        <v>#DIV/0!</v>
      </c>
    </row>
    <row r="1424" customHeight="1" spans="1:21">
      <c r="A1424" s="42" t="str">
        <f t="shared" si="68"/>
        <v/>
      </c>
      <c r="G1424" s="47" t="e">
        <f t="shared" si="67"/>
        <v>#DIV/0!</v>
      </c>
      <c r="U1424" s="49" t="e">
        <f t="shared" si="69"/>
        <v>#DIV/0!</v>
      </c>
    </row>
    <row r="1425" customHeight="1" spans="1:21">
      <c r="A1425" s="42" t="str">
        <f t="shared" si="68"/>
        <v/>
      </c>
      <c r="G1425" s="47" t="e">
        <f t="shared" si="67"/>
        <v>#DIV/0!</v>
      </c>
      <c r="U1425" s="49" t="e">
        <f t="shared" si="69"/>
        <v>#DIV/0!</v>
      </c>
    </row>
    <row r="1426" customHeight="1" spans="1:21">
      <c r="A1426" s="42" t="str">
        <f t="shared" si="68"/>
        <v/>
      </c>
      <c r="G1426" s="47" t="e">
        <f t="shared" si="67"/>
        <v>#DIV/0!</v>
      </c>
      <c r="U1426" s="49" t="e">
        <f t="shared" si="69"/>
        <v>#DIV/0!</v>
      </c>
    </row>
    <row r="1427" customHeight="1" spans="1:21">
      <c r="A1427" s="42" t="str">
        <f t="shared" si="68"/>
        <v/>
      </c>
      <c r="G1427" s="47" t="e">
        <f t="shared" si="67"/>
        <v>#DIV/0!</v>
      </c>
      <c r="U1427" s="49" t="e">
        <f t="shared" si="69"/>
        <v>#DIV/0!</v>
      </c>
    </row>
    <row r="1428" customHeight="1" spans="1:21">
      <c r="A1428" s="42" t="str">
        <f t="shared" si="68"/>
        <v/>
      </c>
      <c r="G1428" s="47" t="e">
        <f t="shared" si="67"/>
        <v>#DIV/0!</v>
      </c>
      <c r="U1428" s="49" t="e">
        <f t="shared" si="69"/>
        <v>#DIV/0!</v>
      </c>
    </row>
    <row r="1429" customHeight="1" spans="1:21">
      <c r="A1429" s="42" t="str">
        <f t="shared" si="68"/>
        <v/>
      </c>
      <c r="G1429" s="47" t="e">
        <f t="shared" si="67"/>
        <v>#DIV/0!</v>
      </c>
      <c r="U1429" s="49" t="e">
        <f t="shared" si="69"/>
        <v>#DIV/0!</v>
      </c>
    </row>
    <row r="1430" customHeight="1" spans="1:21">
      <c r="A1430" s="42" t="str">
        <f t="shared" si="68"/>
        <v/>
      </c>
      <c r="G1430" s="47" t="e">
        <f t="shared" si="67"/>
        <v>#DIV/0!</v>
      </c>
      <c r="U1430" s="49" t="e">
        <f t="shared" si="69"/>
        <v>#DIV/0!</v>
      </c>
    </row>
    <row r="1431" customHeight="1" spans="1:21">
      <c r="A1431" s="42" t="str">
        <f t="shared" si="68"/>
        <v/>
      </c>
      <c r="G1431" s="47" t="e">
        <f t="shared" si="67"/>
        <v>#DIV/0!</v>
      </c>
      <c r="U1431" s="49" t="e">
        <f t="shared" si="69"/>
        <v>#DIV/0!</v>
      </c>
    </row>
    <row r="1432" customHeight="1" spans="1:21">
      <c r="A1432" s="42" t="str">
        <f t="shared" si="68"/>
        <v/>
      </c>
      <c r="G1432" s="47" t="e">
        <f t="shared" si="67"/>
        <v>#DIV/0!</v>
      </c>
      <c r="U1432" s="49" t="e">
        <f t="shared" si="69"/>
        <v>#DIV/0!</v>
      </c>
    </row>
    <row r="1433" customHeight="1" spans="1:21">
      <c r="A1433" s="42" t="str">
        <f t="shared" si="68"/>
        <v/>
      </c>
      <c r="G1433" s="47" t="e">
        <f t="shared" si="67"/>
        <v>#DIV/0!</v>
      </c>
      <c r="U1433" s="49" t="e">
        <f t="shared" si="69"/>
        <v>#DIV/0!</v>
      </c>
    </row>
    <row r="1434" customHeight="1" spans="1:21">
      <c r="A1434" s="42" t="str">
        <f t="shared" si="68"/>
        <v/>
      </c>
      <c r="G1434" s="47" t="e">
        <f t="shared" si="67"/>
        <v>#DIV/0!</v>
      </c>
      <c r="U1434" s="49" t="e">
        <f t="shared" si="69"/>
        <v>#DIV/0!</v>
      </c>
    </row>
    <row r="1435" customHeight="1" spans="1:21">
      <c r="A1435" s="42" t="str">
        <f t="shared" si="68"/>
        <v/>
      </c>
      <c r="G1435" s="47" t="e">
        <f t="shared" si="67"/>
        <v>#DIV/0!</v>
      </c>
      <c r="U1435" s="49" t="e">
        <f t="shared" si="69"/>
        <v>#DIV/0!</v>
      </c>
    </row>
    <row r="1436" customHeight="1" spans="1:21">
      <c r="A1436" s="42" t="str">
        <f t="shared" si="68"/>
        <v/>
      </c>
      <c r="G1436" s="47" t="e">
        <f t="shared" si="67"/>
        <v>#DIV/0!</v>
      </c>
      <c r="U1436" s="49" t="e">
        <f t="shared" si="69"/>
        <v>#DIV/0!</v>
      </c>
    </row>
    <row r="1437" customHeight="1" spans="1:21">
      <c r="A1437" s="42" t="str">
        <f t="shared" si="68"/>
        <v/>
      </c>
      <c r="G1437" s="47" t="e">
        <f t="shared" si="67"/>
        <v>#DIV/0!</v>
      </c>
      <c r="U1437" s="49" t="e">
        <f t="shared" si="69"/>
        <v>#DIV/0!</v>
      </c>
    </row>
    <row r="1438" customHeight="1" spans="1:21">
      <c r="A1438" s="42" t="str">
        <f t="shared" si="68"/>
        <v/>
      </c>
      <c r="G1438" s="47" t="e">
        <f t="shared" si="67"/>
        <v>#DIV/0!</v>
      </c>
      <c r="U1438" s="49" t="e">
        <f t="shared" si="69"/>
        <v>#DIV/0!</v>
      </c>
    </row>
    <row r="1439" customHeight="1" spans="1:21">
      <c r="A1439" s="42" t="str">
        <f t="shared" si="68"/>
        <v/>
      </c>
      <c r="G1439" s="47" t="e">
        <f t="shared" si="67"/>
        <v>#DIV/0!</v>
      </c>
      <c r="U1439" s="49" t="e">
        <f t="shared" si="69"/>
        <v>#DIV/0!</v>
      </c>
    </row>
    <row r="1440" customHeight="1" spans="1:21">
      <c r="A1440" s="42" t="str">
        <f t="shared" si="68"/>
        <v/>
      </c>
      <c r="G1440" s="47" t="e">
        <f t="shared" si="67"/>
        <v>#DIV/0!</v>
      </c>
      <c r="U1440" s="49" t="e">
        <f t="shared" si="69"/>
        <v>#DIV/0!</v>
      </c>
    </row>
    <row r="1441" customHeight="1" spans="1:21">
      <c r="A1441" s="42" t="str">
        <f t="shared" si="68"/>
        <v/>
      </c>
      <c r="G1441" s="47" t="e">
        <f t="shared" si="67"/>
        <v>#DIV/0!</v>
      </c>
      <c r="U1441" s="49" t="e">
        <f t="shared" si="69"/>
        <v>#DIV/0!</v>
      </c>
    </row>
    <row r="1442" customHeight="1" spans="1:21">
      <c r="A1442" s="42" t="str">
        <f t="shared" si="68"/>
        <v/>
      </c>
      <c r="G1442" s="47" t="e">
        <f t="shared" si="67"/>
        <v>#DIV/0!</v>
      </c>
      <c r="U1442" s="49" t="e">
        <f t="shared" si="69"/>
        <v>#DIV/0!</v>
      </c>
    </row>
    <row r="1443" customHeight="1" spans="1:21">
      <c r="A1443" s="42" t="str">
        <f t="shared" si="68"/>
        <v/>
      </c>
      <c r="G1443" s="47" t="e">
        <f t="shared" si="67"/>
        <v>#DIV/0!</v>
      </c>
      <c r="U1443" s="49" t="e">
        <f t="shared" si="69"/>
        <v>#DIV/0!</v>
      </c>
    </row>
    <row r="1444" customHeight="1" spans="1:21">
      <c r="A1444" s="42" t="str">
        <f t="shared" si="68"/>
        <v/>
      </c>
      <c r="G1444" s="47" t="e">
        <f t="shared" si="67"/>
        <v>#DIV/0!</v>
      </c>
      <c r="U1444" s="49" t="e">
        <f t="shared" si="69"/>
        <v>#DIV/0!</v>
      </c>
    </row>
    <row r="1445" customHeight="1" spans="1:21">
      <c r="A1445" s="42" t="str">
        <f t="shared" si="68"/>
        <v/>
      </c>
      <c r="G1445" s="47" t="e">
        <f t="shared" si="67"/>
        <v>#DIV/0!</v>
      </c>
      <c r="U1445" s="49" t="e">
        <f t="shared" si="69"/>
        <v>#DIV/0!</v>
      </c>
    </row>
    <row r="1446" customHeight="1" spans="1:21">
      <c r="A1446" s="42" t="str">
        <f t="shared" si="68"/>
        <v/>
      </c>
      <c r="G1446" s="47" t="e">
        <f t="shared" si="67"/>
        <v>#DIV/0!</v>
      </c>
      <c r="U1446" s="49" t="e">
        <f t="shared" si="69"/>
        <v>#DIV/0!</v>
      </c>
    </row>
    <row r="1447" customHeight="1" spans="1:21">
      <c r="A1447" s="42" t="str">
        <f t="shared" si="68"/>
        <v/>
      </c>
      <c r="G1447" s="47" t="e">
        <f t="shared" si="67"/>
        <v>#DIV/0!</v>
      </c>
      <c r="U1447" s="49" t="e">
        <f t="shared" si="69"/>
        <v>#DIV/0!</v>
      </c>
    </row>
    <row r="1448" customHeight="1" spans="1:21">
      <c r="A1448" s="42" t="str">
        <f t="shared" si="68"/>
        <v/>
      </c>
      <c r="G1448" s="47" t="e">
        <f t="shared" si="67"/>
        <v>#DIV/0!</v>
      </c>
      <c r="U1448" s="49" t="e">
        <f t="shared" si="69"/>
        <v>#DIV/0!</v>
      </c>
    </row>
    <row r="1449" customHeight="1" spans="1:21">
      <c r="A1449" s="42" t="str">
        <f t="shared" si="68"/>
        <v/>
      </c>
      <c r="G1449" s="47" t="e">
        <f t="shared" si="67"/>
        <v>#DIV/0!</v>
      </c>
      <c r="U1449" s="49" t="e">
        <f t="shared" si="69"/>
        <v>#DIV/0!</v>
      </c>
    </row>
    <row r="1450" customHeight="1" spans="1:21">
      <c r="A1450" s="42" t="str">
        <f t="shared" si="68"/>
        <v/>
      </c>
      <c r="G1450" s="47" t="e">
        <f t="shared" si="67"/>
        <v>#DIV/0!</v>
      </c>
      <c r="U1450" s="49" t="e">
        <f t="shared" si="69"/>
        <v>#DIV/0!</v>
      </c>
    </row>
    <row r="1451" customHeight="1" spans="1:21">
      <c r="A1451" s="42" t="str">
        <f t="shared" si="68"/>
        <v/>
      </c>
      <c r="G1451" s="47" t="e">
        <f t="shared" si="67"/>
        <v>#DIV/0!</v>
      </c>
      <c r="U1451" s="49" t="e">
        <f t="shared" si="69"/>
        <v>#DIV/0!</v>
      </c>
    </row>
    <row r="1452" customHeight="1" spans="1:21">
      <c r="A1452" s="42" t="str">
        <f t="shared" si="68"/>
        <v/>
      </c>
      <c r="G1452" s="47" t="e">
        <f t="shared" si="67"/>
        <v>#DIV/0!</v>
      </c>
      <c r="U1452" s="49" t="e">
        <f t="shared" si="69"/>
        <v>#DIV/0!</v>
      </c>
    </row>
    <row r="1453" customHeight="1" spans="1:21">
      <c r="A1453" s="42" t="str">
        <f t="shared" si="68"/>
        <v/>
      </c>
      <c r="G1453" s="47" t="e">
        <f t="shared" si="67"/>
        <v>#DIV/0!</v>
      </c>
      <c r="U1453" s="49" t="e">
        <f t="shared" si="69"/>
        <v>#DIV/0!</v>
      </c>
    </row>
    <row r="1454" customHeight="1" spans="1:21">
      <c r="A1454" s="42" t="str">
        <f t="shared" si="68"/>
        <v/>
      </c>
      <c r="G1454" s="47" t="e">
        <f t="shared" si="67"/>
        <v>#DIV/0!</v>
      </c>
      <c r="U1454" s="49" t="e">
        <f t="shared" si="69"/>
        <v>#DIV/0!</v>
      </c>
    </row>
    <row r="1455" customHeight="1" spans="1:21">
      <c r="A1455" s="42" t="str">
        <f t="shared" si="68"/>
        <v/>
      </c>
      <c r="G1455" s="47" t="e">
        <f t="shared" si="67"/>
        <v>#DIV/0!</v>
      </c>
      <c r="U1455" s="49" t="e">
        <f t="shared" si="69"/>
        <v>#DIV/0!</v>
      </c>
    </row>
    <row r="1456" customHeight="1" spans="1:21">
      <c r="A1456" s="42" t="str">
        <f t="shared" si="68"/>
        <v/>
      </c>
      <c r="G1456" s="47" t="e">
        <f t="shared" si="67"/>
        <v>#DIV/0!</v>
      </c>
      <c r="U1456" s="49" t="e">
        <f t="shared" si="69"/>
        <v>#DIV/0!</v>
      </c>
    </row>
    <row r="1457" customHeight="1" spans="1:21">
      <c r="A1457" s="42" t="str">
        <f t="shared" si="68"/>
        <v/>
      </c>
      <c r="G1457" s="47" t="e">
        <f t="shared" si="67"/>
        <v>#DIV/0!</v>
      </c>
      <c r="U1457" s="49" t="e">
        <f t="shared" si="69"/>
        <v>#DIV/0!</v>
      </c>
    </row>
    <row r="1458" customHeight="1" spans="1:21">
      <c r="A1458" s="42" t="str">
        <f t="shared" si="68"/>
        <v/>
      </c>
      <c r="G1458" s="47" t="e">
        <f t="shared" si="67"/>
        <v>#DIV/0!</v>
      </c>
      <c r="U1458" s="49" t="e">
        <f t="shared" si="69"/>
        <v>#DIV/0!</v>
      </c>
    </row>
    <row r="1459" customHeight="1" spans="1:21">
      <c r="A1459" s="42" t="str">
        <f t="shared" si="68"/>
        <v/>
      </c>
      <c r="G1459" s="47" t="e">
        <f t="shared" si="67"/>
        <v>#DIV/0!</v>
      </c>
      <c r="U1459" s="49" t="e">
        <f t="shared" si="69"/>
        <v>#DIV/0!</v>
      </c>
    </row>
    <row r="1460" customHeight="1" spans="1:21">
      <c r="A1460" s="42" t="str">
        <f t="shared" si="68"/>
        <v/>
      </c>
      <c r="G1460" s="47" t="e">
        <f t="shared" si="67"/>
        <v>#DIV/0!</v>
      </c>
      <c r="U1460" s="49" t="e">
        <f t="shared" si="69"/>
        <v>#DIV/0!</v>
      </c>
    </row>
    <row r="1461" customHeight="1" spans="1:21">
      <c r="A1461" s="42" t="str">
        <f t="shared" si="68"/>
        <v/>
      </c>
      <c r="G1461" s="47" t="e">
        <f t="shared" si="67"/>
        <v>#DIV/0!</v>
      </c>
      <c r="U1461" s="49" t="e">
        <f t="shared" si="69"/>
        <v>#DIV/0!</v>
      </c>
    </row>
    <row r="1462" customHeight="1" spans="1:21">
      <c r="A1462" s="42" t="str">
        <f t="shared" si="68"/>
        <v/>
      </c>
      <c r="G1462" s="47" t="e">
        <f t="shared" si="67"/>
        <v>#DIV/0!</v>
      </c>
      <c r="U1462" s="49" t="e">
        <f t="shared" si="69"/>
        <v>#DIV/0!</v>
      </c>
    </row>
    <row r="1463" customHeight="1" spans="1:21">
      <c r="A1463" s="42" t="str">
        <f t="shared" si="68"/>
        <v/>
      </c>
      <c r="G1463" s="47" t="e">
        <f t="shared" si="67"/>
        <v>#DIV/0!</v>
      </c>
      <c r="U1463" s="49" t="e">
        <f t="shared" si="69"/>
        <v>#DIV/0!</v>
      </c>
    </row>
    <row r="1464" customHeight="1" spans="1:21">
      <c r="A1464" s="42" t="str">
        <f t="shared" si="68"/>
        <v/>
      </c>
      <c r="G1464" s="47" t="e">
        <f t="shared" si="67"/>
        <v>#DIV/0!</v>
      </c>
      <c r="U1464" s="49" t="e">
        <f t="shared" si="69"/>
        <v>#DIV/0!</v>
      </c>
    </row>
    <row r="1465" customHeight="1" spans="1:21">
      <c r="A1465" s="42" t="str">
        <f t="shared" si="68"/>
        <v/>
      </c>
      <c r="G1465" s="47" t="e">
        <f t="shared" si="67"/>
        <v>#DIV/0!</v>
      </c>
      <c r="U1465" s="49" t="e">
        <f t="shared" si="69"/>
        <v>#DIV/0!</v>
      </c>
    </row>
    <row r="1466" customHeight="1" spans="1:21">
      <c r="A1466" s="42" t="str">
        <f t="shared" si="68"/>
        <v/>
      </c>
      <c r="G1466" s="47" t="e">
        <f t="shared" si="67"/>
        <v>#DIV/0!</v>
      </c>
      <c r="U1466" s="49" t="e">
        <f t="shared" si="69"/>
        <v>#DIV/0!</v>
      </c>
    </row>
    <row r="1467" customHeight="1" spans="1:21">
      <c r="A1467" s="42" t="str">
        <f t="shared" si="68"/>
        <v/>
      </c>
      <c r="G1467" s="47" t="e">
        <f t="shared" si="67"/>
        <v>#DIV/0!</v>
      </c>
      <c r="U1467" s="49" t="e">
        <f t="shared" si="69"/>
        <v>#DIV/0!</v>
      </c>
    </row>
    <row r="1468" customHeight="1" spans="1:21">
      <c r="A1468" s="42" t="str">
        <f t="shared" si="68"/>
        <v/>
      </c>
      <c r="G1468" s="47" t="e">
        <f t="shared" si="67"/>
        <v>#DIV/0!</v>
      </c>
      <c r="U1468" s="49" t="e">
        <f t="shared" si="69"/>
        <v>#DIV/0!</v>
      </c>
    </row>
    <row r="1469" customHeight="1" spans="1:21">
      <c r="A1469" s="42" t="str">
        <f t="shared" si="68"/>
        <v/>
      </c>
      <c r="G1469" s="47" t="e">
        <f t="shared" si="67"/>
        <v>#DIV/0!</v>
      </c>
      <c r="U1469" s="49" t="e">
        <f t="shared" si="69"/>
        <v>#DIV/0!</v>
      </c>
    </row>
    <row r="1470" customHeight="1" spans="1:21">
      <c r="A1470" s="42" t="str">
        <f t="shared" si="68"/>
        <v/>
      </c>
      <c r="G1470" s="47" t="e">
        <f t="shared" si="67"/>
        <v>#DIV/0!</v>
      </c>
      <c r="U1470" s="49" t="e">
        <f t="shared" si="69"/>
        <v>#DIV/0!</v>
      </c>
    </row>
    <row r="1471" customHeight="1" spans="1:21">
      <c r="A1471" s="42" t="str">
        <f t="shared" si="68"/>
        <v/>
      </c>
      <c r="G1471" s="47" t="e">
        <f t="shared" si="67"/>
        <v>#DIV/0!</v>
      </c>
      <c r="U1471" s="49" t="e">
        <f t="shared" si="69"/>
        <v>#DIV/0!</v>
      </c>
    </row>
    <row r="1472" customHeight="1" spans="1:21">
      <c r="A1472" s="42" t="str">
        <f t="shared" si="68"/>
        <v/>
      </c>
      <c r="G1472" s="47" t="e">
        <f t="shared" si="67"/>
        <v>#DIV/0!</v>
      </c>
      <c r="U1472" s="49" t="e">
        <f t="shared" si="69"/>
        <v>#DIV/0!</v>
      </c>
    </row>
    <row r="1473" customHeight="1" spans="1:21">
      <c r="A1473" s="42" t="str">
        <f t="shared" si="68"/>
        <v/>
      </c>
      <c r="G1473" s="47" t="e">
        <f t="shared" si="67"/>
        <v>#DIV/0!</v>
      </c>
      <c r="U1473" s="49" t="e">
        <f t="shared" si="69"/>
        <v>#DIV/0!</v>
      </c>
    </row>
    <row r="1474" customHeight="1" spans="1:21">
      <c r="A1474" s="42" t="str">
        <f t="shared" si="68"/>
        <v/>
      </c>
      <c r="G1474" s="47" t="e">
        <f t="shared" si="67"/>
        <v>#DIV/0!</v>
      </c>
      <c r="U1474" s="49" t="e">
        <f t="shared" si="69"/>
        <v>#DIV/0!</v>
      </c>
    </row>
    <row r="1475" customHeight="1" spans="1:21">
      <c r="A1475" s="42" t="str">
        <f t="shared" si="68"/>
        <v/>
      </c>
      <c r="G1475" s="47" t="e">
        <f t="shared" ref="G1475:G1538" si="70">+E1475/F1475</f>
        <v>#DIV/0!</v>
      </c>
      <c r="U1475" s="49" t="e">
        <f t="shared" si="69"/>
        <v>#DIV/0!</v>
      </c>
    </row>
    <row r="1476" customHeight="1" spans="1:21">
      <c r="A1476" s="42" t="str">
        <f t="shared" ref="A1476:A1539" si="71">B1476&amp;C1476&amp;D1476</f>
        <v/>
      </c>
      <c r="G1476" s="47" t="e">
        <f t="shared" si="70"/>
        <v>#DIV/0!</v>
      </c>
      <c r="U1476" s="49" t="e">
        <f t="shared" ref="U1476:U1539" si="72">SUM(G1476:T1476)</f>
        <v>#DIV/0!</v>
      </c>
    </row>
    <row r="1477" customHeight="1" spans="1:21">
      <c r="A1477" s="42" t="str">
        <f t="shared" si="71"/>
        <v/>
      </c>
      <c r="G1477" s="47" t="e">
        <f t="shared" si="70"/>
        <v>#DIV/0!</v>
      </c>
      <c r="U1477" s="49" t="e">
        <f t="shared" si="72"/>
        <v>#DIV/0!</v>
      </c>
    </row>
    <row r="1478" customHeight="1" spans="1:21">
      <c r="A1478" s="42" t="str">
        <f t="shared" si="71"/>
        <v/>
      </c>
      <c r="G1478" s="47" t="e">
        <f t="shared" si="70"/>
        <v>#DIV/0!</v>
      </c>
      <c r="U1478" s="49" t="e">
        <f t="shared" si="72"/>
        <v>#DIV/0!</v>
      </c>
    </row>
    <row r="1479" customHeight="1" spans="1:21">
      <c r="A1479" s="42" t="str">
        <f t="shared" si="71"/>
        <v/>
      </c>
      <c r="G1479" s="47" t="e">
        <f t="shared" si="70"/>
        <v>#DIV/0!</v>
      </c>
      <c r="U1479" s="49" t="e">
        <f t="shared" si="72"/>
        <v>#DIV/0!</v>
      </c>
    </row>
    <row r="1480" customHeight="1" spans="1:21">
      <c r="A1480" s="42" t="str">
        <f t="shared" si="71"/>
        <v/>
      </c>
      <c r="G1480" s="47" t="e">
        <f t="shared" si="70"/>
        <v>#DIV/0!</v>
      </c>
      <c r="U1480" s="49" t="e">
        <f t="shared" si="72"/>
        <v>#DIV/0!</v>
      </c>
    </row>
    <row r="1481" customHeight="1" spans="1:21">
      <c r="A1481" s="42" t="str">
        <f t="shared" si="71"/>
        <v/>
      </c>
      <c r="G1481" s="47" t="e">
        <f t="shared" si="70"/>
        <v>#DIV/0!</v>
      </c>
      <c r="U1481" s="49" t="e">
        <f t="shared" si="72"/>
        <v>#DIV/0!</v>
      </c>
    </row>
    <row r="1482" customHeight="1" spans="1:21">
      <c r="A1482" s="42" t="str">
        <f t="shared" si="71"/>
        <v/>
      </c>
      <c r="G1482" s="47" t="e">
        <f t="shared" si="70"/>
        <v>#DIV/0!</v>
      </c>
      <c r="U1482" s="49" t="e">
        <f t="shared" si="72"/>
        <v>#DIV/0!</v>
      </c>
    </row>
    <row r="1483" customHeight="1" spans="1:21">
      <c r="A1483" s="42" t="str">
        <f t="shared" si="71"/>
        <v/>
      </c>
      <c r="G1483" s="47" t="e">
        <f t="shared" si="70"/>
        <v>#DIV/0!</v>
      </c>
      <c r="U1483" s="49" t="e">
        <f t="shared" si="72"/>
        <v>#DIV/0!</v>
      </c>
    </row>
    <row r="1484" customHeight="1" spans="1:21">
      <c r="A1484" s="42" t="str">
        <f t="shared" si="71"/>
        <v/>
      </c>
      <c r="G1484" s="47" t="e">
        <f t="shared" si="70"/>
        <v>#DIV/0!</v>
      </c>
      <c r="U1484" s="49" t="e">
        <f t="shared" si="72"/>
        <v>#DIV/0!</v>
      </c>
    </row>
    <row r="1485" customHeight="1" spans="1:21">
      <c r="A1485" s="42" t="str">
        <f t="shared" si="71"/>
        <v/>
      </c>
      <c r="G1485" s="47" t="e">
        <f t="shared" si="70"/>
        <v>#DIV/0!</v>
      </c>
      <c r="U1485" s="49" t="e">
        <f t="shared" si="72"/>
        <v>#DIV/0!</v>
      </c>
    </row>
    <row r="1486" customHeight="1" spans="1:21">
      <c r="A1486" s="42" t="str">
        <f t="shared" si="71"/>
        <v/>
      </c>
      <c r="G1486" s="47" t="e">
        <f t="shared" si="70"/>
        <v>#DIV/0!</v>
      </c>
      <c r="U1486" s="49" t="e">
        <f t="shared" si="72"/>
        <v>#DIV/0!</v>
      </c>
    </row>
    <row r="1487" customHeight="1" spans="1:21">
      <c r="A1487" s="42" t="str">
        <f t="shared" si="71"/>
        <v/>
      </c>
      <c r="G1487" s="47" t="e">
        <f t="shared" si="70"/>
        <v>#DIV/0!</v>
      </c>
      <c r="U1487" s="49" t="e">
        <f t="shared" si="72"/>
        <v>#DIV/0!</v>
      </c>
    </row>
    <row r="1488" customHeight="1" spans="1:21">
      <c r="A1488" s="42" t="str">
        <f t="shared" si="71"/>
        <v/>
      </c>
      <c r="G1488" s="47" t="e">
        <f t="shared" si="70"/>
        <v>#DIV/0!</v>
      </c>
      <c r="U1488" s="49" t="e">
        <f t="shared" si="72"/>
        <v>#DIV/0!</v>
      </c>
    </row>
    <row r="1489" customHeight="1" spans="1:21">
      <c r="A1489" s="42" t="str">
        <f t="shared" si="71"/>
        <v/>
      </c>
      <c r="G1489" s="47" t="e">
        <f t="shared" si="70"/>
        <v>#DIV/0!</v>
      </c>
      <c r="U1489" s="49" t="e">
        <f t="shared" si="72"/>
        <v>#DIV/0!</v>
      </c>
    </row>
    <row r="1490" customHeight="1" spans="1:21">
      <c r="A1490" s="42" t="str">
        <f t="shared" si="71"/>
        <v/>
      </c>
      <c r="G1490" s="47" t="e">
        <f t="shared" si="70"/>
        <v>#DIV/0!</v>
      </c>
      <c r="U1490" s="49" t="e">
        <f t="shared" si="72"/>
        <v>#DIV/0!</v>
      </c>
    </row>
    <row r="1491" customHeight="1" spans="1:21">
      <c r="A1491" s="42" t="str">
        <f t="shared" si="71"/>
        <v/>
      </c>
      <c r="G1491" s="47" t="e">
        <f t="shared" si="70"/>
        <v>#DIV/0!</v>
      </c>
      <c r="U1491" s="49" t="e">
        <f t="shared" si="72"/>
        <v>#DIV/0!</v>
      </c>
    </row>
    <row r="1492" customHeight="1" spans="1:21">
      <c r="A1492" s="42" t="str">
        <f t="shared" si="71"/>
        <v/>
      </c>
      <c r="G1492" s="47" t="e">
        <f t="shared" si="70"/>
        <v>#DIV/0!</v>
      </c>
      <c r="U1492" s="49" t="e">
        <f t="shared" si="72"/>
        <v>#DIV/0!</v>
      </c>
    </row>
    <row r="1493" customHeight="1" spans="1:21">
      <c r="A1493" s="42" t="str">
        <f t="shared" si="71"/>
        <v/>
      </c>
      <c r="G1493" s="47" t="e">
        <f t="shared" si="70"/>
        <v>#DIV/0!</v>
      </c>
      <c r="U1493" s="49" t="e">
        <f t="shared" si="72"/>
        <v>#DIV/0!</v>
      </c>
    </row>
    <row r="1494" customHeight="1" spans="1:21">
      <c r="A1494" s="42" t="str">
        <f t="shared" si="71"/>
        <v/>
      </c>
      <c r="G1494" s="47" t="e">
        <f t="shared" si="70"/>
        <v>#DIV/0!</v>
      </c>
      <c r="U1494" s="49" t="e">
        <f t="shared" si="72"/>
        <v>#DIV/0!</v>
      </c>
    </row>
    <row r="1495" customHeight="1" spans="1:21">
      <c r="A1495" s="42" t="str">
        <f t="shared" si="71"/>
        <v/>
      </c>
      <c r="G1495" s="47" t="e">
        <f t="shared" si="70"/>
        <v>#DIV/0!</v>
      </c>
      <c r="U1495" s="49" t="e">
        <f t="shared" si="72"/>
        <v>#DIV/0!</v>
      </c>
    </row>
    <row r="1496" customHeight="1" spans="1:21">
      <c r="A1496" s="42" t="str">
        <f t="shared" si="71"/>
        <v/>
      </c>
      <c r="G1496" s="47" t="e">
        <f t="shared" si="70"/>
        <v>#DIV/0!</v>
      </c>
      <c r="U1496" s="49" t="e">
        <f t="shared" si="72"/>
        <v>#DIV/0!</v>
      </c>
    </row>
    <row r="1497" customHeight="1" spans="1:21">
      <c r="A1497" s="42" t="str">
        <f t="shared" si="71"/>
        <v/>
      </c>
      <c r="G1497" s="47" t="e">
        <f t="shared" si="70"/>
        <v>#DIV/0!</v>
      </c>
      <c r="U1497" s="49" t="e">
        <f t="shared" si="72"/>
        <v>#DIV/0!</v>
      </c>
    </row>
    <row r="1498" customHeight="1" spans="1:21">
      <c r="A1498" s="42" t="str">
        <f t="shared" si="71"/>
        <v/>
      </c>
      <c r="G1498" s="47" t="e">
        <f t="shared" si="70"/>
        <v>#DIV/0!</v>
      </c>
      <c r="U1498" s="49" t="e">
        <f t="shared" si="72"/>
        <v>#DIV/0!</v>
      </c>
    </row>
    <row r="1499" customHeight="1" spans="1:21">
      <c r="A1499" s="42" t="str">
        <f t="shared" si="71"/>
        <v/>
      </c>
      <c r="G1499" s="47" t="e">
        <f t="shared" si="70"/>
        <v>#DIV/0!</v>
      </c>
      <c r="U1499" s="49" t="e">
        <f t="shared" si="72"/>
        <v>#DIV/0!</v>
      </c>
    </row>
    <row r="1500" customHeight="1" spans="1:21">
      <c r="A1500" s="42" t="str">
        <f t="shared" si="71"/>
        <v/>
      </c>
      <c r="G1500" s="47" t="e">
        <f t="shared" si="70"/>
        <v>#DIV/0!</v>
      </c>
      <c r="U1500" s="49" t="e">
        <f t="shared" si="72"/>
        <v>#DIV/0!</v>
      </c>
    </row>
    <row r="1501" customHeight="1" spans="1:21">
      <c r="A1501" s="42" t="str">
        <f t="shared" si="71"/>
        <v/>
      </c>
      <c r="G1501" s="47" t="e">
        <f t="shared" si="70"/>
        <v>#DIV/0!</v>
      </c>
      <c r="U1501" s="49" t="e">
        <f t="shared" si="72"/>
        <v>#DIV/0!</v>
      </c>
    </row>
    <row r="1502" customHeight="1" spans="1:21">
      <c r="A1502" s="42" t="str">
        <f t="shared" si="71"/>
        <v/>
      </c>
      <c r="G1502" s="47" t="e">
        <f t="shared" si="70"/>
        <v>#DIV/0!</v>
      </c>
      <c r="U1502" s="49" t="e">
        <f t="shared" si="72"/>
        <v>#DIV/0!</v>
      </c>
    </row>
    <row r="1503" customHeight="1" spans="1:21">
      <c r="A1503" s="42" t="str">
        <f t="shared" si="71"/>
        <v/>
      </c>
      <c r="G1503" s="47" t="e">
        <f t="shared" si="70"/>
        <v>#DIV/0!</v>
      </c>
      <c r="U1503" s="49" t="e">
        <f t="shared" si="72"/>
        <v>#DIV/0!</v>
      </c>
    </row>
    <row r="1504" customHeight="1" spans="1:21">
      <c r="A1504" s="42" t="str">
        <f t="shared" si="71"/>
        <v/>
      </c>
      <c r="G1504" s="47" t="e">
        <f t="shared" si="70"/>
        <v>#DIV/0!</v>
      </c>
      <c r="U1504" s="49" t="e">
        <f t="shared" si="72"/>
        <v>#DIV/0!</v>
      </c>
    </row>
    <row r="1505" customHeight="1" spans="1:21">
      <c r="A1505" s="42" t="str">
        <f t="shared" si="71"/>
        <v/>
      </c>
      <c r="G1505" s="47" t="e">
        <f t="shared" si="70"/>
        <v>#DIV/0!</v>
      </c>
      <c r="U1505" s="49" t="e">
        <f t="shared" si="72"/>
        <v>#DIV/0!</v>
      </c>
    </row>
    <row r="1506" customHeight="1" spans="1:21">
      <c r="A1506" s="42" t="str">
        <f t="shared" si="71"/>
        <v/>
      </c>
      <c r="G1506" s="47" t="e">
        <f t="shared" si="70"/>
        <v>#DIV/0!</v>
      </c>
      <c r="U1506" s="49" t="e">
        <f t="shared" si="72"/>
        <v>#DIV/0!</v>
      </c>
    </row>
    <row r="1507" customHeight="1" spans="1:21">
      <c r="A1507" s="42" t="str">
        <f t="shared" si="71"/>
        <v/>
      </c>
      <c r="G1507" s="47" t="e">
        <f t="shared" si="70"/>
        <v>#DIV/0!</v>
      </c>
      <c r="U1507" s="49" t="e">
        <f t="shared" si="72"/>
        <v>#DIV/0!</v>
      </c>
    </row>
    <row r="1508" customHeight="1" spans="1:21">
      <c r="A1508" s="42" t="str">
        <f t="shared" si="71"/>
        <v/>
      </c>
      <c r="G1508" s="47" t="e">
        <f t="shared" si="70"/>
        <v>#DIV/0!</v>
      </c>
      <c r="U1508" s="49" t="e">
        <f t="shared" si="72"/>
        <v>#DIV/0!</v>
      </c>
    </row>
    <row r="1509" customHeight="1" spans="1:21">
      <c r="A1509" s="42" t="str">
        <f t="shared" si="71"/>
        <v/>
      </c>
      <c r="G1509" s="47" t="e">
        <f t="shared" si="70"/>
        <v>#DIV/0!</v>
      </c>
      <c r="U1509" s="49" t="e">
        <f t="shared" si="72"/>
        <v>#DIV/0!</v>
      </c>
    </row>
    <row r="1510" customHeight="1" spans="1:21">
      <c r="A1510" s="42" t="str">
        <f t="shared" si="71"/>
        <v/>
      </c>
      <c r="G1510" s="47" t="e">
        <f t="shared" si="70"/>
        <v>#DIV/0!</v>
      </c>
      <c r="U1510" s="49" t="e">
        <f t="shared" si="72"/>
        <v>#DIV/0!</v>
      </c>
    </row>
    <row r="1511" customHeight="1" spans="1:21">
      <c r="A1511" s="42" t="str">
        <f t="shared" si="71"/>
        <v/>
      </c>
      <c r="G1511" s="47" t="e">
        <f t="shared" si="70"/>
        <v>#DIV/0!</v>
      </c>
      <c r="U1511" s="49" t="e">
        <f t="shared" si="72"/>
        <v>#DIV/0!</v>
      </c>
    </row>
    <row r="1512" customHeight="1" spans="1:21">
      <c r="A1512" s="42" t="str">
        <f t="shared" si="71"/>
        <v/>
      </c>
      <c r="G1512" s="47" t="e">
        <f t="shared" si="70"/>
        <v>#DIV/0!</v>
      </c>
      <c r="U1512" s="49" t="e">
        <f t="shared" si="72"/>
        <v>#DIV/0!</v>
      </c>
    </row>
    <row r="1513" customHeight="1" spans="1:21">
      <c r="A1513" s="42" t="str">
        <f t="shared" si="71"/>
        <v/>
      </c>
      <c r="G1513" s="47" t="e">
        <f t="shared" si="70"/>
        <v>#DIV/0!</v>
      </c>
      <c r="U1513" s="49" t="e">
        <f t="shared" si="72"/>
        <v>#DIV/0!</v>
      </c>
    </row>
    <row r="1514" customHeight="1" spans="1:21">
      <c r="A1514" s="42" t="str">
        <f t="shared" si="71"/>
        <v/>
      </c>
      <c r="G1514" s="47" t="e">
        <f t="shared" si="70"/>
        <v>#DIV/0!</v>
      </c>
      <c r="U1514" s="49" t="e">
        <f t="shared" si="72"/>
        <v>#DIV/0!</v>
      </c>
    </row>
    <row r="1515" customHeight="1" spans="1:21">
      <c r="A1515" s="42" t="str">
        <f t="shared" si="71"/>
        <v/>
      </c>
      <c r="G1515" s="47" t="e">
        <f t="shared" si="70"/>
        <v>#DIV/0!</v>
      </c>
      <c r="U1515" s="49" t="e">
        <f t="shared" si="72"/>
        <v>#DIV/0!</v>
      </c>
    </row>
    <row r="1516" customHeight="1" spans="1:21">
      <c r="A1516" s="42" t="str">
        <f t="shared" si="71"/>
        <v/>
      </c>
      <c r="G1516" s="47" t="e">
        <f t="shared" si="70"/>
        <v>#DIV/0!</v>
      </c>
      <c r="U1516" s="49" t="e">
        <f t="shared" si="72"/>
        <v>#DIV/0!</v>
      </c>
    </row>
    <row r="1517" customHeight="1" spans="1:21">
      <c r="A1517" s="42" t="str">
        <f t="shared" si="71"/>
        <v/>
      </c>
      <c r="G1517" s="47" t="e">
        <f t="shared" si="70"/>
        <v>#DIV/0!</v>
      </c>
      <c r="U1517" s="49" t="e">
        <f t="shared" si="72"/>
        <v>#DIV/0!</v>
      </c>
    </row>
    <row r="1518" customHeight="1" spans="1:21">
      <c r="A1518" s="42" t="str">
        <f t="shared" si="71"/>
        <v/>
      </c>
      <c r="G1518" s="47" t="e">
        <f t="shared" si="70"/>
        <v>#DIV/0!</v>
      </c>
      <c r="U1518" s="49" t="e">
        <f t="shared" si="72"/>
        <v>#DIV/0!</v>
      </c>
    </row>
    <row r="1519" customHeight="1" spans="1:21">
      <c r="A1519" s="42" t="str">
        <f t="shared" si="71"/>
        <v/>
      </c>
      <c r="G1519" s="47" t="e">
        <f t="shared" si="70"/>
        <v>#DIV/0!</v>
      </c>
      <c r="U1519" s="49" t="e">
        <f t="shared" si="72"/>
        <v>#DIV/0!</v>
      </c>
    </row>
    <row r="1520" customHeight="1" spans="1:21">
      <c r="A1520" s="42" t="str">
        <f t="shared" si="71"/>
        <v/>
      </c>
      <c r="G1520" s="47" t="e">
        <f t="shared" si="70"/>
        <v>#DIV/0!</v>
      </c>
      <c r="U1520" s="49" t="e">
        <f t="shared" si="72"/>
        <v>#DIV/0!</v>
      </c>
    </row>
    <row r="1521" customHeight="1" spans="1:21">
      <c r="A1521" s="42" t="str">
        <f t="shared" si="71"/>
        <v/>
      </c>
      <c r="G1521" s="47" t="e">
        <f t="shared" si="70"/>
        <v>#DIV/0!</v>
      </c>
      <c r="U1521" s="49" t="e">
        <f t="shared" si="72"/>
        <v>#DIV/0!</v>
      </c>
    </row>
    <row r="1522" customHeight="1" spans="1:21">
      <c r="A1522" s="42" t="str">
        <f t="shared" si="71"/>
        <v/>
      </c>
      <c r="G1522" s="47" t="e">
        <f t="shared" si="70"/>
        <v>#DIV/0!</v>
      </c>
      <c r="U1522" s="49" t="e">
        <f t="shared" si="72"/>
        <v>#DIV/0!</v>
      </c>
    </row>
    <row r="1523" customHeight="1" spans="1:21">
      <c r="A1523" s="42" t="str">
        <f t="shared" si="71"/>
        <v/>
      </c>
      <c r="G1523" s="47" t="e">
        <f t="shared" si="70"/>
        <v>#DIV/0!</v>
      </c>
      <c r="U1523" s="49" t="e">
        <f t="shared" si="72"/>
        <v>#DIV/0!</v>
      </c>
    </row>
    <row r="1524" customHeight="1" spans="1:21">
      <c r="A1524" s="42" t="str">
        <f t="shared" si="71"/>
        <v/>
      </c>
      <c r="G1524" s="47" t="e">
        <f t="shared" si="70"/>
        <v>#DIV/0!</v>
      </c>
      <c r="U1524" s="49" t="e">
        <f t="shared" si="72"/>
        <v>#DIV/0!</v>
      </c>
    </row>
    <row r="1525" customHeight="1" spans="1:21">
      <c r="A1525" s="42" t="str">
        <f t="shared" si="71"/>
        <v/>
      </c>
      <c r="G1525" s="47" t="e">
        <f t="shared" si="70"/>
        <v>#DIV/0!</v>
      </c>
      <c r="U1525" s="49" t="e">
        <f t="shared" si="72"/>
        <v>#DIV/0!</v>
      </c>
    </row>
    <row r="1526" customHeight="1" spans="1:21">
      <c r="A1526" s="42" t="str">
        <f t="shared" si="71"/>
        <v/>
      </c>
      <c r="G1526" s="47" t="e">
        <f t="shared" si="70"/>
        <v>#DIV/0!</v>
      </c>
      <c r="U1526" s="49" t="e">
        <f t="shared" si="72"/>
        <v>#DIV/0!</v>
      </c>
    </row>
    <row r="1527" customHeight="1" spans="1:21">
      <c r="A1527" s="42" t="str">
        <f t="shared" si="71"/>
        <v/>
      </c>
      <c r="G1527" s="47" t="e">
        <f t="shared" si="70"/>
        <v>#DIV/0!</v>
      </c>
      <c r="U1527" s="49" t="e">
        <f t="shared" si="72"/>
        <v>#DIV/0!</v>
      </c>
    </row>
    <row r="1528" customHeight="1" spans="1:21">
      <c r="A1528" s="42" t="str">
        <f t="shared" si="71"/>
        <v/>
      </c>
      <c r="G1528" s="47" t="e">
        <f t="shared" si="70"/>
        <v>#DIV/0!</v>
      </c>
      <c r="U1528" s="49" t="e">
        <f t="shared" si="72"/>
        <v>#DIV/0!</v>
      </c>
    </row>
    <row r="1529" customHeight="1" spans="1:21">
      <c r="A1529" s="42" t="str">
        <f t="shared" si="71"/>
        <v/>
      </c>
      <c r="G1529" s="47" t="e">
        <f t="shared" si="70"/>
        <v>#DIV/0!</v>
      </c>
      <c r="U1529" s="49" t="e">
        <f t="shared" si="72"/>
        <v>#DIV/0!</v>
      </c>
    </row>
    <row r="1530" customHeight="1" spans="1:21">
      <c r="A1530" s="42" t="str">
        <f t="shared" si="71"/>
        <v/>
      </c>
      <c r="G1530" s="47" t="e">
        <f t="shared" si="70"/>
        <v>#DIV/0!</v>
      </c>
      <c r="U1530" s="49" t="e">
        <f t="shared" si="72"/>
        <v>#DIV/0!</v>
      </c>
    </row>
    <row r="1531" customHeight="1" spans="1:21">
      <c r="A1531" s="42" t="str">
        <f t="shared" si="71"/>
        <v/>
      </c>
      <c r="G1531" s="47" t="e">
        <f t="shared" si="70"/>
        <v>#DIV/0!</v>
      </c>
      <c r="U1531" s="49" t="e">
        <f t="shared" si="72"/>
        <v>#DIV/0!</v>
      </c>
    </row>
    <row r="1532" customHeight="1" spans="1:21">
      <c r="A1532" s="42" t="str">
        <f t="shared" si="71"/>
        <v/>
      </c>
      <c r="G1532" s="47" t="e">
        <f t="shared" si="70"/>
        <v>#DIV/0!</v>
      </c>
      <c r="U1532" s="49" t="e">
        <f t="shared" si="72"/>
        <v>#DIV/0!</v>
      </c>
    </row>
    <row r="1533" customHeight="1" spans="1:21">
      <c r="A1533" s="42" t="str">
        <f t="shared" si="71"/>
        <v/>
      </c>
      <c r="G1533" s="47" t="e">
        <f t="shared" si="70"/>
        <v>#DIV/0!</v>
      </c>
      <c r="U1533" s="49" t="e">
        <f t="shared" si="72"/>
        <v>#DIV/0!</v>
      </c>
    </row>
    <row r="1534" customHeight="1" spans="1:21">
      <c r="A1534" s="42" t="str">
        <f t="shared" si="71"/>
        <v/>
      </c>
      <c r="G1534" s="47" t="e">
        <f t="shared" si="70"/>
        <v>#DIV/0!</v>
      </c>
      <c r="U1534" s="49" t="e">
        <f t="shared" si="72"/>
        <v>#DIV/0!</v>
      </c>
    </row>
    <row r="1535" customHeight="1" spans="1:21">
      <c r="A1535" s="42" t="str">
        <f t="shared" si="71"/>
        <v/>
      </c>
      <c r="G1535" s="47" t="e">
        <f t="shared" si="70"/>
        <v>#DIV/0!</v>
      </c>
      <c r="U1535" s="49" t="e">
        <f t="shared" si="72"/>
        <v>#DIV/0!</v>
      </c>
    </row>
    <row r="1536" customHeight="1" spans="1:21">
      <c r="A1536" s="42" t="str">
        <f t="shared" si="71"/>
        <v/>
      </c>
      <c r="G1536" s="47" t="e">
        <f t="shared" si="70"/>
        <v>#DIV/0!</v>
      </c>
      <c r="U1536" s="49" t="e">
        <f t="shared" si="72"/>
        <v>#DIV/0!</v>
      </c>
    </row>
    <row r="1537" customHeight="1" spans="1:21">
      <c r="A1537" s="42" t="str">
        <f t="shared" si="71"/>
        <v/>
      </c>
      <c r="G1537" s="47" t="e">
        <f t="shared" si="70"/>
        <v>#DIV/0!</v>
      </c>
      <c r="U1537" s="49" t="e">
        <f t="shared" si="72"/>
        <v>#DIV/0!</v>
      </c>
    </row>
    <row r="1538" customHeight="1" spans="1:21">
      <c r="A1538" s="42" t="str">
        <f t="shared" si="71"/>
        <v/>
      </c>
      <c r="G1538" s="47" t="e">
        <f t="shared" si="70"/>
        <v>#DIV/0!</v>
      </c>
      <c r="U1538" s="49" t="e">
        <f t="shared" si="72"/>
        <v>#DIV/0!</v>
      </c>
    </row>
    <row r="1539" customHeight="1" spans="1:21">
      <c r="A1539" s="42" t="str">
        <f t="shared" si="71"/>
        <v/>
      </c>
      <c r="G1539" s="47" t="e">
        <f t="shared" ref="G1539:G1602" si="73">+E1539/F1539</f>
        <v>#DIV/0!</v>
      </c>
      <c r="U1539" s="49" t="e">
        <f t="shared" si="72"/>
        <v>#DIV/0!</v>
      </c>
    </row>
    <row r="1540" customHeight="1" spans="1:21">
      <c r="A1540" s="42" t="str">
        <f t="shared" ref="A1540:A1603" si="74">B1540&amp;C1540&amp;D1540</f>
        <v/>
      </c>
      <c r="G1540" s="47" t="e">
        <f t="shared" si="73"/>
        <v>#DIV/0!</v>
      </c>
      <c r="U1540" s="49" t="e">
        <f t="shared" ref="U1540:U1603" si="75">SUM(G1540:T1540)</f>
        <v>#DIV/0!</v>
      </c>
    </row>
    <row r="1541" customHeight="1" spans="1:21">
      <c r="A1541" s="42" t="str">
        <f t="shared" si="74"/>
        <v/>
      </c>
      <c r="G1541" s="47" t="e">
        <f t="shared" si="73"/>
        <v>#DIV/0!</v>
      </c>
      <c r="U1541" s="49" t="e">
        <f t="shared" si="75"/>
        <v>#DIV/0!</v>
      </c>
    </row>
    <row r="1542" customHeight="1" spans="1:21">
      <c r="A1542" s="42" t="str">
        <f t="shared" si="74"/>
        <v/>
      </c>
      <c r="G1542" s="47" t="e">
        <f t="shared" si="73"/>
        <v>#DIV/0!</v>
      </c>
      <c r="U1542" s="49" t="e">
        <f t="shared" si="75"/>
        <v>#DIV/0!</v>
      </c>
    </row>
    <row r="1543" customHeight="1" spans="1:21">
      <c r="A1543" s="42" t="str">
        <f t="shared" si="74"/>
        <v/>
      </c>
      <c r="G1543" s="47" t="e">
        <f t="shared" si="73"/>
        <v>#DIV/0!</v>
      </c>
      <c r="U1543" s="49" t="e">
        <f t="shared" si="75"/>
        <v>#DIV/0!</v>
      </c>
    </row>
    <row r="1544" customHeight="1" spans="1:21">
      <c r="A1544" s="42" t="str">
        <f t="shared" si="74"/>
        <v/>
      </c>
      <c r="G1544" s="47" t="e">
        <f t="shared" si="73"/>
        <v>#DIV/0!</v>
      </c>
      <c r="U1544" s="49" t="e">
        <f t="shared" si="75"/>
        <v>#DIV/0!</v>
      </c>
    </row>
    <row r="1545" customHeight="1" spans="1:21">
      <c r="A1545" s="42" t="str">
        <f t="shared" si="74"/>
        <v/>
      </c>
      <c r="G1545" s="47" t="e">
        <f t="shared" si="73"/>
        <v>#DIV/0!</v>
      </c>
      <c r="U1545" s="49" t="e">
        <f t="shared" si="75"/>
        <v>#DIV/0!</v>
      </c>
    </row>
    <row r="1546" customHeight="1" spans="1:21">
      <c r="A1546" s="42" t="str">
        <f t="shared" si="74"/>
        <v/>
      </c>
      <c r="G1546" s="47" t="e">
        <f t="shared" si="73"/>
        <v>#DIV/0!</v>
      </c>
      <c r="U1546" s="49" t="e">
        <f t="shared" si="75"/>
        <v>#DIV/0!</v>
      </c>
    </row>
    <row r="1547" customHeight="1" spans="1:21">
      <c r="A1547" s="42" t="str">
        <f t="shared" si="74"/>
        <v/>
      </c>
      <c r="G1547" s="47" t="e">
        <f t="shared" si="73"/>
        <v>#DIV/0!</v>
      </c>
      <c r="U1547" s="49" t="e">
        <f t="shared" si="75"/>
        <v>#DIV/0!</v>
      </c>
    </row>
    <row r="1548" customHeight="1" spans="1:21">
      <c r="A1548" s="42" t="str">
        <f t="shared" si="74"/>
        <v/>
      </c>
      <c r="G1548" s="47" t="e">
        <f t="shared" si="73"/>
        <v>#DIV/0!</v>
      </c>
      <c r="U1548" s="49" t="e">
        <f t="shared" si="75"/>
        <v>#DIV/0!</v>
      </c>
    </row>
    <row r="1549" customHeight="1" spans="1:21">
      <c r="A1549" s="42" t="str">
        <f t="shared" si="74"/>
        <v/>
      </c>
      <c r="G1549" s="47" t="e">
        <f t="shared" si="73"/>
        <v>#DIV/0!</v>
      </c>
      <c r="U1549" s="49" t="e">
        <f t="shared" si="75"/>
        <v>#DIV/0!</v>
      </c>
    </row>
    <row r="1550" customHeight="1" spans="1:21">
      <c r="A1550" s="42" t="str">
        <f t="shared" si="74"/>
        <v/>
      </c>
      <c r="G1550" s="47" t="e">
        <f t="shared" si="73"/>
        <v>#DIV/0!</v>
      </c>
      <c r="U1550" s="49" t="e">
        <f t="shared" si="75"/>
        <v>#DIV/0!</v>
      </c>
    </row>
    <row r="1551" customHeight="1" spans="1:21">
      <c r="A1551" s="42" t="str">
        <f t="shared" si="74"/>
        <v/>
      </c>
      <c r="G1551" s="47" t="e">
        <f t="shared" si="73"/>
        <v>#DIV/0!</v>
      </c>
      <c r="U1551" s="49" t="e">
        <f t="shared" si="75"/>
        <v>#DIV/0!</v>
      </c>
    </row>
    <row r="1552" customHeight="1" spans="1:21">
      <c r="A1552" s="42" t="str">
        <f t="shared" si="74"/>
        <v/>
      </c>
      <c r="G1552" s="47" t="e">
        <f t="shared" si="73"/>
        <v>#DIV/0!</v>
      </c>
      <c r="U1552" s="49" t="e">
        <f t="shared" si="75"/>
        <v>#DIV/0!</v>
      </c>
    </row>
    <row r="1553" customHeight="1" spans="1:21">
      <c r="A1553" s="42" t="str">
        <f t="shared" si="74"/>
        <v/>
      </c>
      <c r="G1553" s="47" t="e">
        <f t="shared" si="73"/>
        <v>#DIV/0!</v>
      </c>
      <c r="U1553" s="49" t="e">
        <f t="shared" si="75"/>
        <v>#DIV/0!</v>
      </c>
    </row>
    <row r="1554" customHeight="1" spans="1:21">
      <c r="A1554" s="42" t="str">
        <f t="shared" si="74"/>
        <v/>
      </c>
      <c r="G1554" s="47" t="e">
        <f t="shared" si="73"/>
        <v>#DIV/0!</v>
      </c>
      <c r="U1554" s="49" t="e">
        <f t="shared" si="75"/>
        <v>#DIV/0!</v>
      </c>
    </row>
    <row r="1555" customHeight="1" spans="1:21">
      <c r="A1555" s="42" t="str">
        <f t="shared" si="74"/>
        <v/>
      </c>
      <c r="G1555" s="47" t="e">
        <f t="shared" si="73"/>
        <v>#DIV/0!</v>
      </c>
      <c r="U1555" s="49" t="e">
        <f t="shared" si="75"/>
        <v>#DIV/0!</v>
      </c>
    </row>
    <row r="1556" customHeight="1" spans="1:21">
      <c r="A1556" s="42" t="str">
        <f t="shared" si="74"/>
        <v/>
      </c>
      <c r="G1556" s="47" t="e">
        <f t="shared" si="73"/>
        <v>#DIV/0!</v>
      </c>
      <c r="U1556" s="49" t="e">
        <f t="shared" si="75"/>
        <v>#DIV/0!</v>
      </c>
    </row>
    <row r="1557" customHeight="1" spans="1:21">
      <c r="A1557" s="42" t="str">
        <f t="shared" si="74"/>
        <v/>
      </c>
      <c r="G1557" s="47" t="e">
        <f t="shared" si="73"/>
        <v>#DIV/0!</v>
      </c>
      <c r="U1557" s="49" t="e">
        <f t="shared" si="75"/>
        <v>#DIV/0!</v>
      </c>
    </row>
    <row r="1558" customHeight="1" spans="1:21">
      <c r="A1558" s="42" t="str">
        <f t="shared" si="74"/>
        <v/>
      </c>
      <c r="G1558" s="47" t="e">
        <f t="shared" si="73"/>
        <v>#DIV/0!</v>
      </c>
      <c r="U1558" s="49" t="e">
        <f t="shared" si="75"/>
        <v>#DIV/0!</v>
      </c>
    </row>
    <row r="1559" customHeight="1" spans="1:21">
      <c r="A1559" s="42" t="str">
        <f t="shared" si="74"/>
        <v/>
      </c>
      <c r="G1559" s="47" t="e">
        <f t="shared" si="73"/>
        <v>#DIV/0!</v>
      </c>
      <c r="U1559" s="49" t="e">
        <f t="shared" si="75"/>
        <v>#DIV/0!</v>
      </c>
    </row>
    <row r="1560" customHeight="1" spans="1:21">
      <c r="A1560" s="42" t="str">
        <f t="shared" si="74"/>
        <v/>
      </c>
      <c r="G1560" s="47" t="e">
        <f t="shared" si="73"/>
        <v>#DIV/0!</v>
      </c>
      <c r="U1560" s="49" t="e">
        <f t="shared" si="75"/>
        <v>#DIV/0!</v>
      </c>
    </row>
    <row r="1561" customHeight="1" spans="1:21">
      <c r="A1561" s="42" t="str">
        <f t="shared" si="74"/>
        <v/>
      </c>
      <c r="G1561" s="47" t="e">
        <f t="shared" si="73"/>
        <v>#DIV/0!</v>
      </c>
      <c r="U1561" s="49" t="e">
        <f t="shared" si="75"/>
        <v>#DIV/0!</v>
      </c>
    </row>
    <row r="1562" customHeight="1" spans="1:21">
      <c r="A1562" s="42" t="str">
        <f t="shared" si="74"/>
        <v/>
      </c>
      <c r="G1562" s="47" t="e">
        <f t="shared" si="73"/>
        <v>#DIV/0!</v>
      </c>
      <c r="U1562" s="49" t="e">
        <f t="shared" si="75"/>
        <v>#DIV/0!</v>
      </c>
    </row>
    <row r="1563" customHeight="1" spans="1:21">
      <c r="A1563" s="42" t="str">
        <f t="shared" si="74"/>
        <v/>
      </c>
      <c r="G1563" s="47" t="e">
        <f t="shared" si="73"/>
        <v>#DIV/0!</v>
      </c>
      <c r="U1563" s="49" t="e">
        <f t="shared" si="75"/>
        <v>#DIV/0!</v>
      </c>
    </row>
    <row r="1564" customHeight="1" spans="1:21">
      <c r="A1564" s="42" t="str">
        <f t="shared" si="74"/>
        <v/>
      </c>
      <c r="G1564" s="47" t="e">
        <f t="shared" si="73"/>
        <v>#DIV/0!</v>
      </c>
      <c r="U1564" s="49" t="e">
        <f t="shared" si="75"/>
        <v>#DIV/0!</v>
      </c>
    </row>
    <row r="1565" customHeight="1" spans="1:21">
      <c r="A1565" s="42" t="str">
        <f t="shared" si="74"/>
        <v/>
      </c>
      <c r="G1565" s="47" t="e">
        <f t="shared" si="73"/>
        <v>#DIV/0!</v>
      </c>
      <c r="U1565" s="49" t="e">
        <f t="shared" si="75"/>
        <v>#DIV/0!</v>
      </c>
    </row>
    <row r="1566" customHeight="1" spans="1:21">
      <c r="A1566" s="42" t="str">
        <f t="shared" si="74"/>
        <v/>
      </c>
      <c r="G1566" s="47" t="e">
        <f t="shared" si="73"/>
        <v>#DIV/0!</v>
      </c>
      <c r="U1566" s="49" t="e">
        <f t="shared" si="75"/>
        <v>#DIV/0!</v>
      </c>
    </row>
    <row r="1567" customHeight="1" spans="1:21">
      <c r="A1567" s="42" t="str">
        <f t="shared" si="74"/>
        <v/>
      </c>
      <c r="G1567" s="47" t="e">
        <f t="shared" si="73"/>
        <v>#DIV/0!</v>
      </c>
      <c r="U1567" s="49" t="e">
        <f t="shared" si="75"/>
        <v>#DIV/0!</v>
      </c>
    </row>
    <row r="1568" customHeight="1" spans="1:21">
      <c r="A1568" s="42" t="str">
        <f t="shared" si="74"/>
        <v/>
      </c>
      <c r="G1568" s="47" t="e">
        <f t="shared" si="73"/>
        <v>#DIV/0!</v>
      </c>
      <c r="U1568" s="49" t="e">
        <f t="shared" si="75"/>
        <v>#DIV/0!</v>
      </c>
    </row>
    <row r="1569" customHeight="1" spans="1:21">
      <c r="A1569" s="42" t="str">
        <f t="shared" si="74"/>
        <v/>
      </c>
      <c r="G1569" s="47" t="e">
        <f t="shared" si="73"/>
        <v>#DIV/0!</v>
      </c>
      <c r="U1569" s="49" t="e">
        <f t="shared" si="75"/>
        <v>#DIV/0!</v>
      </c>
    </row>
    <row r="1570" customHeight="1" spans="1:21">
      <c r="A1570" s="42" t="str">
        <f t="shared" si="74"/>
        <v/>
      </c>
      <c r="G1570" s="47" t="e">
        <f t="shared" si="73"/>
        <v>#DIV/0!</v>
      </c>
      <c r="U1570" s="49" t="e">
        <f t="shared" si="75"/>
        <v>#DIV/0!</v>
      </c>
    </row>
    <row r="1571" customHeight="1" spans="1:21">
      <c r="A1571" s="42" t="str">
        <f t="shared" si="74"/>
        <v/>
      </c>
      <c r="G1571" s="47" t="e">
        <f t="shared" si="73"/>
        <v>#DIV/0!</v>
      </c>
      <c r="U1571" s="49" t="e">
        <f t="shared" si="75"/>
        <v>#DIV/0!</v>
      </c>
    </row>
    <row r="1572" customHeight="1" spans="1:21">
      <c r="A1572" s="42" t="str">
        <f t="shared" si="74"/>
        <v/>
      </c>
      <c r="G1572" s="47" t="e">
        <f t="shared" si="73"/>
        <v>#DIV/0!</v>
      </c>
      <c r="U1572" s="49" t="e">
        <f t="shared" si="75"/>
        <v>#DIV/0!</v>
      </c>
    </row>
    <row r="1573" customHeight="1" spans="1:21">
      <c r="A1573" s="42" t="str">
        <f t="shared" si="74"/>
        <v/>
      </c>
      <c r="G1573" s="47" t="e">
        <f t="shared" si="73"/>
        <v>#DIV/0!</v>
      </c>
      <c r="U1573" s="49" t="e">
        <f t="shared" si="75"/>
        <v>#DIV/0!</v>
      </c>
    </row>
    <row r="1574" customHeight="1" spans="1:21">
      <c r="A1574" s="42" t="str">
        <f t="shared" si="74"/>
        <v/>
      </c>
      <c r="G1574" s="47" t="e">
        <f t="shared" si="73"/>
        <v>#DIV/0!</v>
      </c>
      <c r="U1574" s="49" t="e">
        <f t="shared" si="75"/>
        <v>#DIV/0!</v>
      </c>
    </row>
    <row r="1575" customHeight="1" spans="1:21">
      <c r="A1575" s="42" t="str">
        <f t="shared" si="74"/>
        <v/>
      </c>
      <c r="G1575" s="47" t="e">
        <f t="shared" si="73"/>
        <v>#DIV/0!</v>
      </c>
      <c r="U1575" s="49" t="e">
        <f t="shared" si="75"/>
        <v>#DIV/0!</v>
      </c>
    </row>
    <row r="1576" customHeight="1" spans="1:21">
      <c r="A1576" s="42" t="str">
        <f t="shared" si="74"/>
        <v/>
      </c>
      <c r="G1576" s="47" t="e">
        <f t="shared" si="73"/>
        <v>#DIV/0!</v>
      </c>
      <c r="U1576" s="49" t="e">
        <f t="shared" si="75"/>
        <v>#DIV/0!</v>
      </c>
    </row>
    <row r="1577" customHeight="1" spans="1:21">
      <c r="A1577" s="42" t="str">
        <f t="shared" si="74"/>
        <v/>
      </c>
      <c r="G1577" s="47" t="e">
        <f t="shared" si="73"/>
        <v>#DIV/0!</v>
      </c>
      <c r="U1577" s="49" t="e">
        <f t="shared" si="75"/>
        <v>#DIV/0!</v>
      </c>
    </row>
    <row r="1578" customHeight="1" spans="1:21">
      <c r="A1578" s="42" t="str">
        <f t="shared" si="74"/>
        <v/>
      </c>
      <c r="G1578" s="47" t="e">
        <f t="shared" si="73"/>
        <v>#DIV/0!</v>
      </c>
      <c r="U1578" s="49" t="e">
        <f t="shared" si="75"/>
        <v>#DIV/0!</v>
      </c>
    </row>
    <row r="1579" customHeight="1" spans="1:21">
      <c r="A1579" s="42" t="str">
        <f t="shared" si="74"/>
        <v/>
      </c>
      <c r="G1579" s="47" t="e">
        <f t="shared" si="73"/>
        <v>#DIV/0!</v>
      </c>
      <c r="U1579" s="49" t="e">
        <f t="shared" si="75"/>
        <v>#DIV/0!</v>
      </c>
    </row>
    <row r="1580" customHeight="1" spans="1:21">
      <c r="A1580" s="42" t="str">
        <f t="shared" si="74"/>
        <v/>
      </c>
      <c r="G1580" s="47" t="e">
        <f t="shared" si="73"/>
        <v>#DIV/0!</v>
      </c>
      <c r="U1580" s="49" t="e">
        <f t="shared" si="75"/>
        <v>#DIV/0!</v>
      </c>
    </row>
    <row r="1581" customHeight="1" spans="1:21">
      <c r="A1581" s="42" t="str">
        <f t="shared" si="74"/>
        <v/>
      </c>
      <c r="G1581" s="47" t="e">
        <f t="shared" si="73"/>
        <v>#DIV/0!</v>
      </c>
      <c r="U1581" s="49" t="e">
        <f t="shared" si="75"/>
        <v>#DIV/0!</v>
      </c>
    </row>
    <row r="1582" customHeight="1" spans="1:21">
      <c r="A1582" s="42" t="str">
        <f t="shared" si="74"/>
        <v/>
      </c>
      <c r="G1582" s="47" t="e">
        <f t="shared" si="73"/>
        <v>#DIV/0!</v>
      </c>
      <c r="U1582" s="49" t="e">
        <f t="shared" si="75"/>
        <v>#DIV/0!</v>
      </c>
    </row>
    <row r="1583" customHeight="1" spans="1:21">
      <c r="A1583" s="42" t="str">
        <f t="shared" si="74"/>
        <v/>
      </c>
      <c r="G1583" s="47" t="e">
        <f t="shared" si="73"/>
        <v>#DIV/0!</v>
      </c>
      <c r="U1583" s="49" t="e">
        <f t="shared" si="75"/>
        <v>#DIV/0!</v>
      </c>
    </row>
    <row r="1584" customHeight="1" spans="1:21">
      <c r="A1584" s="42" t="str">
        <f t="shared" si="74"/>
        <v/>
      </c>
      <c r="G1584" s="47" t="e">
        <f t="shared" si="73"/>
        <v>#DIV/0!</v>
      </c>
      <c r="U1584" s="49" t="e">
        <f t="shared" si="75"/>
        <v>#DIV/0!</v>
      </c>
    </row>
    <row r="1585" customHeight="1" spans="1:21">
      <c r="A1585" s="42" t="str">
        <f t="shared" si="74"/>
        <v/>
      </c>
      <c r="G1585" s="47" t="e">
        <f t="shared" si="73"/>
        <v>#DIV/0!</v>
      </c>
      <c r="U1585" s="49" t="e">
        <f t="shared" si="75"/>
        <v>#DIV/0!</v>
      </c>
    </row>
    <row r="1586" customHeight="1" spans="1:21">
      <c r="A1586" s="42" t="str">
        <f t="shared" si="74"/>
        <v/>
      </c>
      <c r="G1586" s="47" t="e">
        <f t="shared" si="73"/>
        <v>#DIV/0!</v>
      </c>
      <c r="U1586" s="49" t="e">
        <f t="shared" si="75"/>
        <v>#DIV/0!</v>
      </c>
    </row>
    <row r="1587" customHeight="1" spans="1:21">
      <c r="A1587" s="42" t="str">
        <f t="shared" si="74"/>
        <v/>
      </c>
      <c r="G1587" s="47" t="e">
        <f t="shared" si="73"/>
        <v>#DIV/0!</v>
      </c>
      <c r="U1587" s="49" t="e">
        <f t="shared" si="75"/>
        <v>#DIV/0!</v>
      </c>
    </row>
    <row r="1588" customHeight="1" spans="1:21">
      <c r="A1588" s="42" t="str">
        <f t="shared" si="74"/>
        <v/>
      </c>
      <c r="G1588" s="47" t="e">
        <f t="shared" si="73"/>
        <v>#DIV/0!</v>
      </c>
      <c r="U1588" s="49" t="e">
        <f t="shared" si="75"/>
        <v>#DIV/0!</v>
      </c>
    </row>
    <row r="1589" customHeight="1" spans="1:21">
      <c r="A1589" s="42" t="str">
        <f t="shared" si="74"/>
        <v/>
      </c>
      <c r="G1589" s="47" t="e">
        <f t="shared" si="73"/>
        <v>#DIV/0!</v>
      </c>
      <c r="U1589" s="49" t="e">
        <f t="shared" si="75"/>
        <v>#DIV/0!</v>
      </c>
    </row>
    <row r="1590" customHeight="1" spans="1:21">
      <c r="A1590" s="42" t="str">
        <f t="shared" si="74"/>
        <v/>
      </c>
      <c r="G1590" s="47" t="e">
        <f t="shared" si="73"/>
        <v>#DIV/0!</v>
      </c>
      <c r="U1590" s="49" t="e">
        <f t="shared" si="75"/>
        <v>#DIV/0!</v>
      </c>
    </row>
    <row r="1591" customHeight="1" spans="1:21">
      <c r="A1591" s="42" t="str">
        <f t="shared" si="74"/>
        <v/>
      </c>
      <c r="G1591" s="47" t="e">
        <f t="shared" si="73"/>
        <v>#DIV/0!</v>
      </c>
      <c r="U1591" s="49" t="e">
        <f t="shared" si="75"/>
        <v>#DIV/0!</v>
      </c>
    </row>
    <row r="1592" customHeight="1" spans="1:21">
      <c r="A1592" s="42" t="str">
        <f t="shared" si="74"/>
        <v/>
      </c>
      <c r="G1592" s="47" t="e">
        <f t="shared" si="73"/>
        <v>#DIV/0!</v>
      </c>
      <c r="U1592" s="49" t="e">
        <f t="shared" si="75"/>
        <v>#DIV/0!</v>
      </c>
    </row>
    <row r="1593" customHeight="1" spans="1:21">
      <c r="A1593" s="42" t="str">
        <f t="shared" si="74"/>
        <v/>
      </c>
      <c r="G1593" s="47" t="e">
        <f t="shared" si="73"/>
        <v>#DIV/0!</v>
      </c>
      <c r="U1593" s="49" t="e">
        <f t="shared" si="75"/>
        <v>#DIV/0!</v>
      </c>
    </row>
    <row r="1594" customHeight="1" spans="1:21">
      <c r="A1594" s="42" t="str">
        <f t="shared" si="74"/>
        <v/>
      </c>
      <c r="G1594" s="47" t="e">
        <f t="shared" si="73"/>
        <v>#DIV/0!</v>
      </c>
      <c r="U1594" s="49" t="e">
        <f t="shared" si="75"/>
        <v>#DIV/0!</v>
      </c>
    </row>
    <row r="1595" customHeight="1" spans="1:21">
      <c r="A1595" s="42" t="str">
        <f t="shared" si="74"/>
        <v/>
      </c>
      <c r="G1595" s="47" t="e">
        <f t="shared" si="73"/>
        <v>#DIV/0!</v>
      </c>
      <c r="U1595" s="49" t="e">
        <f t="shared" si="75"/>
        <v>#DIV/0!</v>
      </c>
    </row>
    <row r="1596" customHeight="1" spans="1:21">
      <c r="A1596" s="42" t="str">
        <f t="shared" si="74"/>
        <v/>
      </c>
      <c r="G1596" s="47" t="e">
        <f t="shared" si="73"/>
        <v>#DIV/0!</v>
      </c>
      <c r="U1596" s="49" t="e">
        <f t="shared" si="75"/>
        <v>#DIV/0!</v>
      </c>
    </row>
    <row r="1597" customHeight="1" spans="1:21">
      <c r="A1597" s="42" t="str">
        <f t="shared" si="74"/>
        <v/>
      </c>
      <c r="G1597" s="47" t="e">
        <f t="shared" si="73"/>
        <v>#DIV/0!</v>
      </c>
      <c r="U1597" s="49" t="e">
        <f t="shared" si="75"/>
        <v>#DIV/0!</v>
      </c>
    </row>
    <row r="1598" customHeight="1" spans="1:21">
      <c r="A1598" s="42" t="str">
        <f t="shared" si="74"/>
        <v/>
      </c>
      <c r="G1598" s="47" t="e">
        <f t="shared" si="73"/>
        <v>#DIV/0!</v>
      </c>
      <c r="U1598" s="49" t="e">
        <f t="shared" si="75"/>
        <v>#DIV/0!</v>
      </c>
    </row>
    <row r="1599" customHeight="1" spans="1:21">
      <c r="A1599" s="42" t="str">
        <f t="shared" si="74"/>
        <v/>
      </c>
      <c r="G1599" s="47" t="e">
        <f t="shared" si="73"/>
        <v>#DIV/0!</v>
      </c>
      <c r="U1599" s="49" t="e">
        <f t="shared" si="75"/>
        <v>#DIV/0!</v>
      </c>
    </row>
    <row r="1600" customHeight="1" spans="1:21">
      <c r="A1600" s="42" t="str">
        <f t="shared" si="74"/>
        <v/>
      </c>
      <c r="G1600" s="47" t="e">
        <f t="shared" si="73"/>
        <v>#DIV/0!</v>
      </c>
      <c r="U1600" s="49" t="e">
        <f t="shared" si="75"/>
        <v>#DIV/0!</v>
      </c>
    </row>
    <row r="1601" customHeight="1" spans="1:21">
      <c r="A1601" s="42" t="str">
        <f t="shared" si="74"/>
        <v/>
      </c>
      <c r="G1601" s="47" t="e">
        <f t="shared" si="73"/>
        <v>#DIV/0!</v>
      </c>
      <c r="U1601" s="49" t="e">
        <f t="shared" si="75"/>
        <v>#DIV/0!</v>
      </c>
    </row>
    <row r="1602" customHeight="1" spans="1:21">
      <c r="A1602" s="42" t="str">
        <f t="shared" si="74"/>
        <v/>
      </c>
      <c r="G1602" s="47" t="e">
        <f t="shared" si="73"/>
        <v>#DIV/0!</v>
      </c>
      <c r="U1602" s="49" t="e">
        <f t="shared" si="75"/>
        <v>#DIV/0!</v>
      </c>
    </row>
    <row r="1603" customHeight="1" spans="1:21">
      <c r="A1603" s="42" t="str">
        <f t="shared" si="74"/>
        <v/>
      </c>
      <c r="G1603" s="47" t="e">
        <f t="shared" ref="G1603:G1666" si="76">+E1603/F1603</f>
        <v>#DIV/0!</v>
      </c>
      <c r="U1603" s="49" t="e">
        <f t="shared" si="75"/>
        <v>#DIV/0!</v>
      </c>
    </row>
    <row r="1604" customHeight="1" spans="1:21">
      <c r="A1604" s="42" t="str">
        <f t="shared" ref="A1604:A1667" si="77">B1604&amp;C1604&amp;D1604</f>
        <v/>
      </c>
      <c r="G1604" s="47" t="e">
        <f t="shared" si="76"/>
        <v>#DIV/0!</v>
      </c>
      <c r="U1604" s="49" t="e">
        <f t="shared" ref="U1604:U1667" si="78">SUM(G1604:T1604)</f>
        <v>#DIV/0!</v>
      </c>
    </row>
    <row r="1605" customHeight="1" spans="1:21">
      <c r="A1605" s="42" t="str">
        <f t="shared" si="77"/>
        <v/>
      </c>
      <c r="G1605" s="47" t="e">
        <f t="shared" si="76"/>
        <v>#DIV/0!</v>
      </c>
      <c r="U1605" s="49" t="e">
        <f t="shared" si="78"/>
        <v>#DIV/0!</v>
      </c>
    </row>
    <row r="1606" customHeight="1" spans="1:21">
      <c r="A1606" s="42" t="str">
        <f t="shared" si="77"/>
        <v/>
      </c>
      <c r="G1606" s="47" t="e">
        <f t="shared" si="76"/>
        <v>#DIV/0!</v>
      </c>
      <c r="U1606" s="49" t="e">
        <f t="shared" si="78"/>
        <v>#DIV/0!</v>
      </c>
    </row>
    <row r="1607" customHeight="1" spans="1:21">
      <c r="A1607" s="42" t="str">
        <f t="shared" si="77"/>
        <v/>
      </c>
      <c r="G1607" s="47" t="e">
        <f t="shared" si="76"/>
        <v>#DIV/0!</v>
      </c>
      <c r="U1607" s="49" t="e">
        <f t="shared" si="78"/>
        <v>#DIV/0!</v>
      </c>
    </row>
    <row r="1608" customHeight="1" spans="1:21">
      <c r="A1608" s="42" t="str">
        <f t="shared" si="77"/>
        <v/>
      </c>
      <c r="G1608" s="47" t="e">
        <f t="shared" si="76"/>
        <v>#DIV/0!</v>
      </c>
      <c r="U1608" s="49" t="e">
        <f t="shared" si="78"/>
        <v>#DIV/0!</v>
      </c>
    </row>
    <row r="1609" customHeight="1" spans="1:21">
      <c r="A1609" s="42" t="str">
        <f t="shared" si="77"/>
        <v/>
      </c>
      <c r="G1609" s="47" t="e">
        <f t="shared" si="76"/>
        <v>#DIV/0!</v>
      </c>
      <c r="U1609" s="49" t="e">
        <f t="shared" si="78"/>
        <v>#DIV/0!</v>
      </c>
    </row>
    <row r="1610" customHeight="1" spans="1:21">
      <c r="A1610" s="42" t="str">
        <f t="shared" si="77"/>
        <v/>
      </c>
      <c r="G1610" s="47" t="e">
        <f t="shared" si="76"/>
        <v>#DIV/0!</v>
      </c>
      <c r="U1610" s="49" t="e">
        <f t="shared" si="78"/>
        <v>#DIV/0!</v>
      </c>
    </row>
    <row r="1611" customHeight="1" spans="1:21">
      <c r="A1611" s="42" t="str">
        <f t="shared" si="77"/>
        <v/>
      </c>
      <c r="G1611" s="47" t="e">
        <f t="shared" si="76"/>
        <v>#DIV/0!</v>
      </c>
      <c r="U1611" s="49" t="e">
        <f t="shared" si="78"/>
        <v>#DIV/0!</v>
      </c>
    </row>
    <row r="1612" customHeight="1" spans="1:21">
      <c r="A1612" s="42" t="str">
        <f t="shared" si="77"/>
        <v/>
      </c>
      <c r="G1612" s="47" t="e">
        <f t="shared" si="76"/>
        <v>#DIV/0!</v>
      </c>
      <c r="U1612" s="49" t="e">
        <f t="shared" si="78"/>
        <v>#DIV/0!</v>
      </c>
    </row>
    <row r="1613" customHeight="1" spans="1:21">
      <c r="A1613" s="42" t="str">
        <f t="shared" si="77"/>
        <v/>
      </c>
      <c r="G1613" s="47" t="e">
        <f t="shared" si="76"/>
        <v>#DIV/0!</v>
      </c>
      <c r="U1613" s="49" t="e">
        <f t="shared" si="78"/>
        <v>#DIV/0!</v>
      </c>
    </row>
    <row r="1614" customHeight="1" spans="1:21">
      <c r="A1614" s="42" t="str">
        <f t="shared" si="77"/>
        <v/>
      </c>
      <c r="G1614" s="47" t="e">
        <f t="shared" si="76"/>
        <v>#DIV/0!</v>
      </c>
      <c r="U1614" s="49" t="e">
        <f t="shared" si="78"/>
        <v>#DIV/0!</v>
      </c>
    </row>
    <row r="1615" customHeight="1" spans="1:21">
      <c r="A1615" s="42" t="str">
        <f t="shared" si="77"/>
        <v/>
      </c>
      <c r="G1615" s="47" t="e">
        <f t="shared" si="76"/>
        <v>#DIV/0!</v>
      </c>
      <c r="U1615" s="49" t="e">
        <f t="shared" si="78"/>
        <v>#DIV/0!</v>
      </c>
    </row>
    <row r="1616" customHeight="1" spans="1:21">
      <c r="A1616" s="42" t="str">
        <f t="shared" si="77"/>
        <v/>
      </c>
      <c r="G1616" s="47" t="e">
        <f t="shared" si="76"/>
        <v>#DIV/0!</v>
      </c>
      <c r="U1616" s="49" t="e">
        <f t="shared" si="78"/>
        <v>#DIV/0!</v>
      </c>
    </row>
    <row r="1617" customHeight="1" spans="1:21">
      <c r="A1617" s="42" t="str">
        <f t="shared" si="77"/>
        <v/>
      </c>
      <c r="G1617" s="47" t="e">
        <f t="shared" si="76"/>
        <v>#DIV/0!</v>
      </c>
      <c r="U1617" s="49" t="e">
        <f t="shared" si="78"/>
        <v>#DIV/0!</v>
      </c>
    </row>
    <row r="1618" customHeight="1" spans="1:21">
      <c r="A1618" s="42" t="str">
        <f t="shared" si="77"/>
        <v/>
      </c>
      <c r="G1618" s="47" t="e">
        <f t="shared" si="76"/>
        <v>#DIV/0!</v>
      </c>
      <c r="U1618" s="49" t="e">
        <f t="shared" si="78"/>
        <v>#DIV/0!</v>
      </c>
    </row>
    <row r="1619" customHeight="1" spans="1:21">
      <c r="A1619" s="42" t="str">
        <f t="shared" si="77"/>
        <v/>
      </c>
      <c r="G1619" s="47" t="e">
        <f t="shared" si="76"/>
        <v>#DIV/0!</v>
      </c>
      <c r="U1619" s="49" t="e">
        <f t="shared" si="78"/>
        <v>#DIV/0!</v>
      </c>
    </row>
    <row r="1620" customHeight="1" spans="1:21">
      <c r="A1620" s="42" t="str">
        <f t="shared" si="77"/>
        <v/>
      </c>
      <c r="G1620" s="47" t="e">
        <f t="shared" si="76"/>
        <v>#DIV/0!</v>
      </c>
      <c r="U1620" s="49" t="e">
        <f t="shared" si="78"/>
        <v>#DIV/0!</v>
      </c>
    </row>
    <row r="1621" customHeight="1" spans="1:21">
      <c r="A1621" s="42" t="str">
        <f t="shared" si="77"/>
        <v/>
      </c>
      <c r="G1621" s="47" t="e">
        <f t="shared" si="76"/>
        <v>#DIV/0!</v>
      </c>
      <c r="U1621" s="49" t="e">
        <f t="shared" si="78"/>
        <v>#DIV/0!</v>
      </c>
    </row>
    <row r="1622" customHeight="1" spans="1:21">
      <c r="A1622" s="42" t="str">
        <f t="shared" si="77"/>
        <v/>
      </c>
      <c r="G1622" s="47" t="e">
        <f t="shared" si="76"/>
        <v>#DIV/0!</v>
      </c>
      <c r="U1622" s="49" t="e">
        <f t="shared" si="78"/>
        <v>#DIV/0!</v>
      </c>
    </row>
    <row r="1623" customHeight="1" spans="1:21">
      <c r="A1623" s="42" t="str">
        <f t="shared" si="77"/>
        <v/>
      </c>
      <c r="G1623" s="47" t="e">
        <f t="shared" si="76"/>
        <v>#DIV/0!</v>
      </c>
      <c r="U1623" s="49" t="e">
        <f t="shared" si="78"/>
        <v>#DIV/0!</v>
      </c>
    </row>
    <row r="1624" customHeight="1" spans="1:21">
      <c r="A1624" s="42" t="str">
        <f t="shared" si="77"/>
        <v/>
      </c>
      <c r="G1624" s="47" t="e">
        <f t="shared" si="76"/>
        <v>#DIV/0!</v>
      </c>
      <c r="U1624" s="49" t="e">
        <f t="shared" si="78"/>
        <v>#DIV/0!</v>
      </c>
    </row>
    <row r="1625" customHeight="1" spans="1:21">
      <c r="A1625" s="42" t="str">
        <f t="shared" si="77"/>
        <v/>
      </c>
      <c r="G1625" s="47" t="e">
        <f t="shared" si="76"/>
        <v>#DIV/0!</v>
      </c>
      <c r="U1625" s="49" t="e">
        <f t="shared" si="78"/>
        <v>#DIV/0!</v>
      </c>
    </row>
    <row r="1626" customHeight="1" spans="1:21">
      <c r="A1626" s="42" t="str">
        <f t="shared" si="77"/>
        <v/>
      </c>
      <c r="G1626" s="47" t="e">
        <f t="shared" si="76"/>
        <v>#DIV/0!</v>
      </c>
      <c r="U1626" s="49" t="e">
        <f t="shared" si="78"/>
        <v>#DIV/0!</v>
      </c>
    </row>
    <row r="1627" customHeight="1" spans="1:21">
      <c r="A1627" s="42" t="str">
        <f t="shared" si="77"/>
        <v/>
      </c>
      <c r="G1627" s="47" t="e">
        <f t="shared" si="76"/>
        <v>#DIV/0!</v>
      </c>
      <c r="U1627" s="49" t="e">
        <f t="shared" si="78"/>
        <v>#DIV/0!</v>
      </c>
    </row>
    <row r="1628" customHeight="1" spans="1:21">
      <c r="A1628" s="42" t="str">
        <f t="shared" si="77"/>
        <v/>
      </c>
      <c r="G1628" s="47" t="e">
        <f t="shared" si="76"/>
        <v>#DIV/0!</v>
      </c>
      <c r="U1628" s="49" t="e">
        <f t="shared" si="78"/>
        <v>#DIV/0!</v>
      </c>
    </row>
    <row r="1629" customHeight="1" spans="1:21">
      <c r="A1629" s="42" t="str">
        <f t="shared" si="77"/>
        <v/>
      </c>
      <c r="G1629" s="47" t="e">
        <f t="shared" si="76"/>
        <v>#DIV/0!</v>
      </c>
      <c r="U1629" s="49" t="e">
        <f t="shared" si="78"/>
        <v>#DIV/0!</v>
      </c>
    </row>
    <row r="1630" customHeight="1" spans="1:21">
      <c r="A1630" s="42" t="str">
        <f t="shared" si="77"/>
        <v/>
      </c>
      <c r="G1630" s="47" t="e">
        <f t="shared" si="76"/>
        <v>#DIV/0!</v>
      </c>
      <c r="U1630" s="49" t="e">
        <f t="shared" si="78"/>
        <v>#DIV/0!</v>
      </c>
    </row>
    <row r="1631" customHeight="1" spans="1:21">
      <c r="A1631" s="42" t="str">
        <f t="shared" si="77"/>
        <v/>
      </c>
      <c r="G1631" s="47" t="e">
        <f t="shared" si="76"/>
        <v>#DIV/0!</v>
      </c>
      <c r="U1631" s="49" t="e">
        <f t="shared" si="78"/>
        <v>#DIV/0!</v>
      </c>
    </row>
    <row r="1632" customHeight="1" spans="1:21">
      <c r="A1632" s="42" t="str">
        <f t="shared" si="77"/>
        <v/>
      </c>
      <c r="G1632" s="47" t="e">
        <f t="shared" si="76"/>
        <v>#DIV/0!</v>
      </c>
      <c r="U1632" s="49" t="e">
        <f t="shared" si="78"/>
        <v>#DIV/0!</v>
      </c>
    </row>
    <row r="1633" customHeight="1" spans="1:21">
      <c r="A1633" s="42" t="str">
        <f t="shared" si="77"/>
        <v/>
      </c>
      <c r="G1633" s="47" t="e">
        <f t="shared" si="76"/>
        <v>#DIV/0!</v>
      </c>
      <c r="U1633" s="49" t="e">
        <f t="shared" si="78"/>
        <v>#DIV/0!</v>
      </c>
    </row>
    <row r="1634" customHeight="1" spans="1:21">
      <c r="A1634" s="42" t="str">
        <f t="shared" si="77"/>
        <v/>
      </c>
      <c r="G1634" s="47" t="e">
        <f t="shared" si="76"/>
        <v>#DIV/0!</v>
      </c>
      <c r="U1634" s="49" t="e">
        <f t="shared" si="78"/>
        <v>#DIV/0!</v>
      </c>
    </row>
    <row r="1635" customHeight="1" spans="1:21">
      <c r="A1635" s="42" t="str">
        <f t="shared" si="77"/>
        <v/>
      </c>
      <c r="G1635" s="47" t="e">
        <f t="shared" si="76"/>
        <v>#DIV/0!</v>
      </c>
      <c r="U1635" s="49" t="e">
        <f t="shared" si="78"/>
        <v>#DIV/0!</v>
      </c>
    </row>
    <row r="1636" customHeight="1" spans="1:21">
      <c r="A1636" s="42" t="str">
        <f t="shared" si="77"/>
        <v/>
      </c>
      <c r="G1636" s="47" t="e">
        <f t="shared" si="76"/>
        <v>#DIV/0!</v>
      </c>
      <c r="U1636" s="49" t="e">
        <f t="shared" si="78"/>
        <v>#DIV/0!</v>
      </c>
    </row>
    <row r="1637" customHeight="1" spans="1:21">
      <c r="A1637" s="42" t="str">
        <f t="shared" si="77"/>
        <v/>
      </c>
      <c r="G1637" s="47" t="e">
        <f t="shared" si="76"/>
        <v>#DIV/0!</v>
      </c>
      <c r="U1637" s="49" t="e">
        <f t="shared" si="78"/>
        <v>#DIV/0!</v>
      </c>
    </row>
    <row r="1638" customHeight="1" spans="1:21">
      <c r="A1638" s="42" t="str">
        <f t="shared" si="77"/>
        <v/>
      </c>
      <c r="G1638" s="47" t="e">
        <f t="shared" si="76"/>
        <v>#DIV/0!</v>
      </c>
      <c r="U1638" s="49" t="e">
        <f t="shared" si="78"/>
        <v>#DIV/0!</v>
      </c>
    </row>
    <row r="1639" customHeight="1" spans="1:21">
      <c r="A1639" s="42" t="str">
        <f t="shared" si="77"/>
        <v/>
      </c>
      <c r="G1639" s="47" t="e">
        <f t="shared" si="76"/>
        <v>#DIV/0!</v>
      </c>
      <c r="U1639" s="49" t="e">
        <f t="shared" si="78"/>
        <v>#DIV/0!</v>
      </c>
    </row>
    <row r="1640" customHeight="1" spans="1:21">
      <c r="A1640" s="42" t="str">
        <f t="shared" si="77"/>
        <v/>
      </c>
      <c r="G1640" s="47" t="e">
        <f t="shared" si="76"/>
        <v>#DIV/0!</v>
      </c>
      <c r="U1640" s="49" t="e">
        <f t="shared" si="78"/>
        <v>#DIV/0!</v>
      </c>
    </row>
    <row r="1641" customHeight="1" spans="1:21">
      <c r="A1641" s="42" t="str">
        <f t="shared" si="77"/>
        <v/>
      </c>
      <c r="G1641" s="47" t="e">
        <f t="shared" si="76"/>
        <v>#DIV/0!</v>
      </c>
      <c r="U1641" s="49" t="e">
        <f t="shared" si="78"/>
        <v>#DIV/0!</v>
      </c>
    </row>
    <row r="1642" customHeight="1" spans="1:21">
      <c r="A1642" s="42" t="str">
        <f t="shared" si="77"/>
        <v/>
      </c>
      <c r="G1642" s="47" t="e">
        <f t="shared" si="76"/>
        <v>#DIV/0!</v>
      </c>
      <c r="U1642" s="49" t="e">
        <f t="shared" si="78"/>
        <v>#DIV/0!</v>
      </c>
    </row>
    <row r="1643" customHeight="1" spans="1:21">
      <c r="A1643" s="42" t="str">
        <f t="shared" si="77"/>
        <v/>
      </c>
      <c r="G1643" s="47" t="e">
        <f t="shared" si="76"/>
        <v>#DIV/0!</v>
      </c>
      <c r="U1643" s="49" t="e">
        <f t="shared" si="78"/>
        <v>#DIV/0!</v>
      </c>
    </row>
    <row r="1644" customHeight="1" spans="1:21">
      <c r="A1644" s="42" t="str">
        <f t="shared" si="77"/>
        <v/>
      </c>
      <c r="G1644" s="47" t="e">
        <f t="shared" si="76"/>
        <v>#DIV/0!</v>
      </c>
      <c r="U1644" s="49" t="e">
        <f t="shared" si="78"/>
        <v>#DIV/0!</v>
      </c>
    </row>
    <row r="1645" customHeight="1" spans="1:21">
      <c r="A1645" s="42" t="str">
        <f t="shared" si="77"/>
        <v/>
      </c>
      <c r="G1645" s="47" t="e">
        <f t="shared" si="76"/>
        <v>#DIV/0!</v>
      </c>
      <c r="U1645" s="49" t="e">
        <f t="shared" si="78"/>
        <v>#DIV/0!</v>
      </c>
    </row>
    <row r="1646" customHeight="1" spans="1:21">
      <c r="A1646" s="42" t="str">
        <f t="shared" si="77"/>
        <v/>
      </c>
      <c r="G1646" s="47" t="e">
        <f t="shared" si="76"/>
        <v>#DIV/0!</v>
      </c>
      <c r="U1646" s="49" t="e">
        <f t="shared" si="78"/>
        <v>#DIV/0!</v>
      </c>
    </row>
    <row r="1647" customHeight="1" spans="1:21">
      <c r="A1647" s="42" t="str">
        <f t="shared" si="77"/>
        <v/>
      </c>
      <c r="G1647" s="47" t="e">
        <f t="shared" si="76"/>
        <v>#DIV/0!</v>
      </c>
      <c r="U1647" s="49" t="e">
        <f t="shared" si="78"/>
        <v>#DIV/0!</v>
      </c>
    </row>
    <row r="1648" customHeight="1" spans="1:21">
      <c r="A1648" s="42" t="str">
        <f t="shared" si="77"/>
        <v/>
      </c>
      <c r="G1648" s="47" t="e">
        <f t="shared" si="76"/>
        <v>#DIV/0!</v>
      </c>
      <c r="U1648" s="49" t="e">
        <f t="shared" si="78"/>
        <v>#DIV/0!</v>
      </c>
    </row>
    <row r="1649" customHeight="1" spans="1:21">
      <c r="A1649" s="42" t="str">
        <f t="shared" si="77"/>
        <v/>
      </c>
      <c r="G1649" s="47" t="e">
        <f t="shared" si="76"/>
        <v>#DIV/0!</v>
      </c>
      <c r="U1649" s="49" t="e">
        <f t="shared" si="78"/>
        <v>#DIV/0!</v>
      </c>
    </row>
    <row r="1650" customHeight="1" spans="1:21">
      <c r="A1650" s="42" t="str">
        <f t="shared" si="77"/>
        <v/>
      </c>
      <c r="G1650" s="47" t="e">
        <f t="shared" si="76"/>
        <v>#DIV/0!</v>
      </c>
      <c r="U1650" s="49" t="e">
        <f t="shared" si="78"/>
        <v>#DIV/0!</v>
      </c>
    </row>
    <row r="1651" customHeight="1" spans="1:21">
      <c r="A1651" s="42" t="str">
        <f t="shared" si="77"/>
        <v/>
      </c>
      <c r="G1651" s="47" t="e">
        <f t="shared" si="76"/>
        <v>#DIV/0!</v>
      </c>
      <c r="U1651" s="49" t="e">
        <f t="shared" si="78"/>
        <v>#DIV/0!</v>
      </c>
    </row>
    <row r="1652" customHeight="1" spans="1:21">
      <c r="A1652" s="42" t="str">
        <f t="shared" si="77"/>
        <v/>
      </c>
      <c r="G1652" s="47" t="e">
        <f t="shared" si="76"/>
        <v>#DIV/0!</v>
      </c>
      <c r="U1652" s="49" t="e">
        <f t="shared" si="78"/>
        <v>#DIV/0!</v>
      </c>
    </row>
    <row r="1653" customHeight="1" spans="1:21">
      <c r="A1653" s="42" t="str">
        <f t="shared" si="77"/>
        <v/>
      </c>
      <c r="G1653" s="47" t="e">
        <f t="shared" si="76"/>
        <v>#DIV/0!</v>
      </c>
      <c r="U1653" s="49" t="e">
        <f t="shared" si="78"/>
        <v>#DIV/0!</v>
      </c>
    </row>
    <row r="1654" customHeight="1" spans="1:21">
      <c r="A1654" s="42" t="str">
        <f t="shared" si="77"/>
        <v/>
      </c>
      <c r="G1654" s="47" t="e">
        <f t="shared" si="76"/>
        <v>#DIV/0!</v>
      </c>
      <c r="U1654" s="49" t="e">
        <f t="shared" si="78"/>
        <v>#DIV/0!</v>
      </c>
    </row>
    <row r="1655" customHeight="1" spans="1:21">
      <c r="A1655" s="42" t="str">
        <f t="shared" si="77"/>
        <v/>
      </c>
      <c r="G1655" s="47" t="e">
        <f t="shared" si="76"/>
        <v>#DIV/0!</v>
      </c>
      <c r="U1655" s="49" t="e">
        <f t="shared" si="78"/>
        <v>#DIV/0!</v>
      </c>
    </row>
    <row r="1656" customHeight="1" spans="1:21">
      <c r="A1656" s="42" t="str">
        <f t="shared" si="77"/>
        <v/>
      </c>
      <c r="G1656" s="47" t="e">
        <f t="shared" si="76"/>
        <v>#DIV/0!</v>
      </c>
      <c r="U1656" s="49" t="e">
        <f t="shared" si="78"/>
        <v>#DIV/0!</v>
      </c>
    </row>
    <row r="1657" customHeight="1" spans="1:21">
      <c r="A1657" s="42" t="str">
        <f t="shared" si="77"/>
        <v/>
      </c>
      <c r="G1657" s="47" t="e">
        <f t="shared" si="76"/>
        <v>#DIV/0!</v>
      </c>
      <c r="U1657" s="49" t="e">
        <f t="shared" si="78"/>
        <v>#DIV/0!</v>
      </c>
    </row>
    <row r="1658" customHeight="1" spans="1:21">
      <c r="A1658" s="42" t="str">
        <f t="shared" si="77"/>
        <v/>
      </c>
      <c r="G1658" s="47" t="e">
        <f t="shared" si="76"/>
        <v>#DIV/0!</v>
      </c>
      <c r="U1658" s="49" t="e">
        <f t="shared" si="78"/>
        <v>#DIV/0!</v>
      </c>
    </row>
    <row r="1659" customHeight="1" spans="1:21">
      <c r="A1659" s="42" t="str">
        <f t="shared" si="77"/>
        <v/>
      </c>
      <c r="G1659" s="47" t="e">
        <f t="shared" si="76"/>
        <v>#DIV/0!</v>
      </c>
      <c r="U1659" s="49" t="e">
        <f t="shared" si="78"/>
        <v>#DIV/0!</v>
      </c>
    </row>
    <row r="1660" customHeight="1" spans="1:21">
      <c r="A1660" s="42" t="str">
        <f t="shared" si="77"/>
        <v/>
      </c>
      <c r="G1660" s="47" t="e">
        <f t="shared" si="76"/>
        <v>#DIV/0!</v>
      </c>
      <c r="U1660" s="49" t="e">
        <f t="shared" si="78"/>
        <v>#DIV/0!</v>
      </c>
    </row>
    <row r="1661" customHeight="1" spans="1:21">
      <c r="A1661" s="42" t="str">
        <f t="shared" si="77"/>
        <v/>
      </c>
      <c r="G1661" s="47" t="e">
        <f t="shared" si="76"/>
        <v>#DIV/0!</v>
      </c>
      <c r="U1661" s="49" t="e">
        <f t="shared" si="78"/>
        <v>#DIV/0!</v>
      </c>
    </row>
    <row r="1662" customHeight="1" spans="1:21">
      <c r="A1662" s="42" t="str">
        <f t="shared" si="77"/>
        <v/>
      </c>
      <c r="G1662" s="47" t="e">
        <f t="shared" si="76"/>
        <v>#DIV/0!</v>
      </c>
      <c r="U1662" s="49" t="e">
        <f t="shared" si="78"/>
        <v>#DIV/0!</v>
      </c>
    </row>
    <row r="1663" customHeight="1" spans="1:21">
      <c r="A1663" s="42" t="str">
        <f t="shared" si="77"/>
        <v/>
      </c>
      <c r="G1663" s="47" t="e">
        <f t="shared" si="76"/>
        <v>#DIV/0!</v>
      </c>
      <c r="U1663" s="49" t="e">
        <f t="shared" si="78"/>
        <v>#DIV/0!</v>
      </c>
    </row>
    <row r="1664" customHeight="1" spans="1:21">
      <c r="A1664" s="42" t="str">
        <f t="shared" si="77"/>
        <v/>
      </c>
      <c r="G1664" s="47" t="e">
        <f t="shared" si="76"/>
        <v>#DIV/0!</v>
      </c>
      <c r="U1664" s="49" t="e">
        <f t="shared" si="78"/>
        <v>#DIV/0!</v>
      </c>
    </row>
    <row r="1665" customHeight="1" spans="1:21">
      <c r="A1665" s="42" t="str">
        <f t="shared" si="77"/>
        <v/>
      </c>
      <c r="G1665" s="47" t="e">
        <f t="shared" si="76"/>
        <v>#DIV/0!</v>
      </c>
      <c r="U1665" s="49" t="e">
        <f t="shared" si="78"/>
        <v>#DIV/0!</v>
      </c>
    </row>
    <row r="1666" customHeight="1" spans="1:21">
      <c r="A1666" s="42" t="str">
        <f t="shared" si="77"/>
        <v/>
      </c>
      <c r="G1666" s="47" t="e">
        <f t="shared" si="76"/>
        <v>#DIV/0!</v>
      </c>
      <c r="U1666" s="49" t="e">
        <f t="shared" si="78"/>
        <v>#DIV/0!</v>
      </c>
    </row>
    <row r="1667" customHeight="1" spans="1:21">
      <c r="A1667" s="42" t="str">
        <f t="shared" si="77"/>
        <v/>
      </c>
      <c r="G1667" s="47" t="e">
        <f t="shared" ref="G1667:G1730" si="79">+E1667/F1667</f>
        <v>#DIV/0!</v>
      </c>
      <c r="U1667" s="49" t="e">
        <f t="shared" si="78"/>
        <v>#DIV/0!</v>
      </c>
    </row>
    <row r="1668" customHeight="1" spans="1:21">
      <c r="A1668" s="42" t="str">
        <f t="shared" ref="A1668:A1731" si="80">B1668&amp;C1668&amp;D1668</f>
        <v/>
      </c>
      <c r="G1668" s="47" t="e">
        <f t="shared" si="79"/>
        <v>#DIV/0!</v>
      </c>
      <c r="U1668" s="49" t="e">
        <f t="shared" ref="U1668:U1731" si="81">SUM(G1668:T1668)</f>
        <v>#DIV/0!</v>
      </c>
    </row>
    <row r="1669" customHeight="1" spans="1:21">
      <c r="A1669" s="42" t="str">
        <f t="shared" si="80"/>
        <v/>
      </c>
      <c r="G1669" s="47" t="e">
        <f t="shared" si="79"/>
        <v>#DIV/0!</v>
      </c>
      <c r="U1669" s="49" t="e">
        <f t="shared" si="81"/>
        <v>#DIV/0!</v>
      </c>
    </row>
    <row r="1670" customHeight="1" spans="1:21">
      <c r="A1670" s="42" t="str">
        <f t="shared" si="80"/>
        <v/>
      </c>
      <c r="G1670" s="47" t="e">
        <f t="shared" si="79"/>
        <v>#DIV/0!</v>
      </c>
      <c r="U1670" s="49" t="e">
        <f t="shared" si="81"/>
        <v>#DIV/0!</v>
      </c>
    </row>
    <row r="1671" customHeight="1" spans="1:21">
      <c r="A1671" s="42" t="str">
        <f t="shared" si="80"/>
        <v/>
      </c>
      <c r="G1671" s="47" t="e">
        <f t="shared" si="79"/>
        <v>#DIV/0!</v>
      </c>
      <c r="U1671" s="49" t="e">
        <f t="shared" si="81"/>
        <v>#DIV/0!</v>
      </c>
    </row>
    <row r="1672" customHeight="1" spans="1:21">
      <c r="A1672" s="42" t="str">
        <f t="shared" si="80"/>
        <v/>
      </c>
      <c r="G1672" s="47" t="e">
        <f t="shared" si="79"/>
        <v>#DIV/0!</v>
      </c>
      <c r="U1672" s="49" t="e">
        <f t="shared" si="81"/>
        <v>#DIV/0!</v>
      </c>
    </row>
    <row r="1673" customHeight="1" spans="1:21">
      <c r="A1673" s="42" t="str">
        <f t="shared" si="80"/>
        <v/>
      </c>
      <c r="G1673" s="47" t="e">
        <f t="shared" si="79"/>
        <v>#DIV/0!</v>
      </c>
      <c r="U1673" s="49" t="e">
        <f t="shared" si="81"/>
        <v>#DIV/0!</v>
      </c>
    </row>
    <row r="1674" customHeight="1" spans="1:21">
      <c r="A1674" s="42" t="str">
        <f t="shared" si="80"/>
        <v/>
      </c>
      <c r="G1674" s="47" t="e">
        <f t="shared" si="79"/>
        <v>#DIV/0!</v>
      </c>
      <c r="U1674" s="49" t="e">
        <f t="shared" si="81"/>
        <v>#DIV/0!</v>
      </c>
    </row>
    <row r="1675" customHeight="1" spans="1:21">
      <c r="A1675" s="42" t="str">
        <f t="shared" si="80"/>
        <v/>
      </c>
      <c r="G1675" s="47" t="e">
        <f t="shared" si="79"/>
        <v>#DIV/0!</v>
      </c>
      <c r="U1675" s="49" t="e">
        <f t="shared" si="81"/>
        <v>#DIV/0!</v>
      </c>
    </row>
    <row r="1676" customHeight="1" spans="1:21">
      <c r="A1676" s="42" t="str">
        <f t="shared" si="80"/>
        <v/>
      </c>
      <c r="G1676" s="47" t="e">
        <f t="shared" si="79"/>
        <v>#DIV/0!</v>
      </c>
      <c r="U1676" s="49" t="e">
        <f t="shared" si="81"/>
        <v>#DIV/0!</v>
      </c>
    </row>
    <row r="1677" customHeight="1" spans="1:21">
      <c r="A1677" s="42" t="str">
        <f t="shared" si="80"/>
        <v/>
      </c>
      <c r="G1677" s="47" t="e">
        <f t="shared" si="79"/>
        <v>#DIV/0!</v>
      </c>
      <c r="U1677" s="49" t="e">
        <f t="shared" si="81"/>
        <v>#DIV/0!</v>
      </c>
    </row>
    <row r="1678" customHeight="1" spans="1:21">
      <c r="A1678" s="42" t="str">
        <f t="shared" si="80"/>
        <v/>
      </c>
      <c r="G1678" s="47" t="e">
        <f t="shared" si="79"/>
        <v>#DIV/0!</v>
      </c>
      <c r="U1678" s="49" t="e">
        <f t="shared" si="81"/>
        <v>#DIV/0!</v>
      </c>
    </row>
    <row r="1679" customHeight="1" spans="1:21">
      <c r="A1679" s="42" t="str">
        <f t="shared" si="80"/>
        <v/>
      </c>
      <c r="G1679" s="47" t="e">
        <f t="shared" si="79"/>
        <v>#DIV/0!</v>
      </c>
      <c r="U1679" s="49" t="e">
        <f t="shared" si="81"/>
        <v>#DIV/0!</v>
      </c>
    </row>
    <row r="1680" customHeight="1" spans="1:21">
      <c r="A1680" s="42" t="str">
        <f t="shared" si="80"/>
        <v/>
      </c>
      <c r="G1680" s="47" t="e">
        <f t="shared" si="79"/>
        <v>#DIV/0!</v>
      </c>
      <c r="U1680" s="49" t="e">
        <f t="shared" si="81"/>
        <v>#DIV/0!</v>
      </c>
    </row>
    <row r="1681" customHeight="1" spans="1:21">
      <c r="A1681" s="42" t="str">
        <f t="shared" si="80"/>
        <v/>
      </c>
      <c r="G1681" s="47" t="e">
        <f t="shared" si="79"/>
        <v>#DIV/0!</v>
      </c>
      <c r="U1681" s="49" t="e">
        <f t="shared" si="81"/>
        <v>#DIV/0!</v>
      </c>
    </row>
    <row r="1682" customHeight="1" spans="1:21">
      <c r="A1682" s="42" t="str">
        <f t="shared" si="80"/>
        <v/>
      </c>
      <c r="G1682" s="47" t="e">
        <f t="shared" si="79"/>
        <v>#DIV/0!</v>
      </c>
      <c r="U1682" s="49" t="e">
        <f t="shared" si="81"/>
        <v>#DIV/0!</v>
      </c>
    </row>
    <row r="1683" customHeight="1" spans="1:21">
      <c r="A1683" s="42" t="str">
        <f t="shared" si="80"/>
        <v/>
      </c>
      <c r="G1683" s="47" t="e">
        <f t="shared" si="79"/>
        <v>#DIV/0!</v>
      </c>
      <c r="U1683" s="49" t="e">
        <f t="shared" si="81"/>
        <v>#DIV/0!</v>
      </c>
    </row>
    <row r="1684" customHeight="1" spans="1:21">
      <c r="A1684" s="42" t="str">
        <f t="shared" si="80"/>
        <v/>
      </c>
      <c r="G1684" s="47" t="e">
        <f t="shared" si="79"/>
        <v>#DIV/0!</v>
      </c>
      <c r="U1684" s="49" t="e">
        <f t="shared" si="81"/>
        <v>#DIV/0!</v>
      </c>
    </row>
    <row r="1685" customHeight="1" spans="1:21">
      <c r="A1685" s="42" t="str">
        <f t="shared" si="80"/>
        <v/>
      </c>
      <c r="G1685" s="47" t="e">
        <f t="shared" si="79"/>
        <v>#DIV/0!</v>
      </c>
      <c r="U1685" s="49" t="e">
        <f t="shared" si="81"/>
        <v>#DIV/0!</v>
      </c>
    </row>
    <row r="1686" customHeight="1" spans="1:21">
      <c r="A1686" s="42" t="str">
        <f t="shared" si="80"/>
        <v/>
      </c>
      <c r="G1686" s="47" t="e">
        <f t="shared" si="79"/>
        <v>#DIV/0!</v>
      </c>
      <c r="U1686" s="49" t="e">
        <f t="shared" si="81"/>
        <v>#DIV/0!</v>
      </c>
    </row>
    <row r="1687" customHeight="1" spans="1:21">
      <c r="A1687" s="42" t="str">
        <f t="shared" si="80"/>
        <v/>
      </c>
      <c r="G1687" s="47" t="e">
        <f t="shared" si="79"/>
        <v>#DIV/0!</v>
      </c>
      <c r="U1687" s="49" t="e">
        <f t="shared" si="81"/>
        <v>#DIV/0!</v>
      </c>
    </row>
    <row r="1688" customHeight="1" spans="1:21">
      <c r="A1688" s="42" t="str">
        <f t="shared" si="80"/>
        <v/>
      </c>
      <c r="G1688" s="47" t="e">
        <f t="shared" si="79"/>
        <v>#DIV/0!</v>
      </c>
      <c r="U1688" s="49" t="e">
        <f t="shared" si="81"/>
        <v>#DIV/0!</v>
      </c>
    </row>
    <row r="1689" customHeight="1" spans="1:21">
      <c r="A1689" s="42" t="str">
        <f t="shared" si="80"/>
        <v/>
      </c>
      <c r="G1689" s="47" t="e">
        <f t="shared" si="79"/>
        <v>#DIV/0!</v>
      </c>
      <c r="U1689" s="49" t="e">
        <f t="shared" si="81"/>
        <v>#DIV/0!</v>
      </c>
    </row>
    <row r="1690" customHeight="1" spans="1:21">
      <c r="A1690" s="42" t="str">
        <f t="shared" si="80"/>
        <v/>
      </c>
      <c r="G1690" s="47" t="e">
        <f t="shared" si="79"/>
        <v>#DIV/0!</v>
      </c>
      <c r="U1690" s="49" t="e">
        <f t="shared" si="81"/>
        <v>#DIV/0!</v>
      </c>
    </row>
    <row r="1691" customHeight="1" spans="1:21">
      <c r="A1691" s="42" t="str">
        <f t="shared" si="80"/>
        <v/>
      </c>
      <c r="G1691" s="47" t="e">
        <f t="shared" si="79"/>
        <v>#DIV/0!</v>
      </c>
      <c r="U1691" s="49" t="e">
        <f t="shared" si="81"/>
        <v>#DIV/0!</v>
      </c>
    </row>
    <row r="1692" customHeight="1" spans="1:21">
      <c r="A1692" s="42" t="str">
        <f t="shared" si="80"/>
        <v/>
      </c>
      <c r="G1692" s="47" t="e">
        <f t="shared" si="79"/>
        <v>#DIV/0!</v>
      </c>
      <c r="U1692" s="49" t="e">
        <f t="shared" si="81"/>
        <v>#DIV/0!</v>
      </c>
    </row>
    <row r="1693" customHeight="1" spans="1:21">
      <c r="A1693" s="42" t="str">
        <f t="shared" si="80"/>
        <v/>
      </c>
      <c r="G1693" s="47" t="e">
        <f t="shared" si="79"/>
        <v>#DIV/0!</v>
      </c>
      <c r="U1693" s="49" t="e">
        <f t="shared" si="81"/>
        <v>#DIV/0!</v>
      </c>
    </row>
    <row r="1694" customHeight="1" spans="1:21">
      <c r="A1694" s="42" t="str">
        <f t="shared" si="80"/>
        <v/>
      </c>
      <c r="G1694" s="47" t="e">
        <f t="shared" si="79"/>
        <v>#DIV/0!</v>
      </c>
      <c r="U1694" s="49" t="e">
        <f t="shared" si="81"/>
        <v>#DIV/0!</v>
      </c>
    </row>
    <row r="1695" customHeight="1" spans="1:21">
      <c r="A1695" s="42" t="str">
        <f t="shared" si="80"/>
        <v/>
      </c>
      <c r="G1695" s="47" t="e">
        <f t="shared" si="79"/>
        <v>#DIV/0!</v>
      </c>
      <c r="U1695" s="49" t="e">
        <f t="shared" si="81"/>
        <v>#DIV/0!</v>
      </c>
    </row>
    <row r="1696" customHeight="1" spans="1:21">
      <c r="A1696" s="42" t="str">
        <f t="shared" si="80"/>
        <v/>
      </c>
      <c r="G1696" s="47" t="e">
        <f t="shared" si="79"/>
        <v>#DIV/0!</v>
      </c>
      <c r="U1696" s="49" t="e">
        <f t="shared" si="81"/>
        <v>#DIV/0!</v>
      </c>
    </row>
    <row r="1697" customHeight="1" spans="1:21">
      <c r="A1697" s="42" t="str">
        <f t="shared" si="80"/>
        <v/>
      </c>
      <c r="G1697" s="47" t="e">
        <f t="shared" si="79"/>
        <v>#DIV/0!</v>
      </c>
      <c r="U1697" s="49" t="e">
        <f t="shared" si="81"/>
        <v>#DIV/0!</v>
      </c>
    </row>
    <row r="1698" customHeight="1" spans="1:21">
      <c r="A1698" s="42" t="str">
        <f t="shared" si="80"/>
        <v/>
      </c>
      <c r="G1698" s="47" t="e">
        <f t="shared" si="79"/>
        <v>#DIV/0!</v>
      </c>
      <c r="U1698" s="49" t="e">
        <f t="shared" si="81"/>
        <v>#DIV/0!</v>
      </c>
    </row>
    <row r="1699" customHeight="1" spans="1:21">
      <c r="A1699" s="42" t="str">
        <f t="shared" si="80"/>
        <v/>
      </c>
      <c r="G1699" s="47" t="e">
        <f t="shared" si="79"/>
        <v>#DIV/0!</v>
      </c>
      <c r="U1699" s="49" t="e">
        <f t="shared" si="81"/>
        <v>#DIV/0!</v>
      </c>
    </row>
    <row r="1700" customHeight="1" spans="1:21">
      <c r="A1700" s="42" t="str">
        <f t="shared" si="80"/>
        <v/>
      </c>
      <c r="G1700" s="47" t="e">
        <f t="shared" si="79"/>
        <v>#DIV/0!</v>
      </c>
      <c r="U1700" s="49" t="e">
        <f t="shared" si="81"/>
        <v>#DIV/0!</v>
      </c>
    </row>
    <row r="1701" customHeight="1" spans="1:21">
      <c r="A1701" s="42" t="str">
        <f t="shared" si="80"/>
        <v/>
      </c>
      <c r="G1701" s="47" t="e">
        <f t="shared" si="79"/>
        <v>#DIV/0!</v>
      </c>
      <c r="U1701" s="49" t="e">
        <f t="shared" si="81"/>
        <v>#DIV/0!</v>
      </c>
    </row>
    <row r="1702" customHeight="1" spans="1:21">
      <c r="A1702" s="42" t="str">
        <f t="shared" si="80"/>
        <v/>
      </c>
      <c r="G1702" s="47" t="e">
        <f t="shared" si="79"/>
        <v>#DIV/0!</v>
      </c>
      <c r="U1702" s="49" t="e">
        <f t="shared" si="81"/>
        <v>#DIV/0!</v>
      </c>
    </row>
    <row r="1703" customHeight="1" spans="1:21">
      <c r="A1703" s="42" t="str">
        <f t="shared" si="80"/>
        <v/>
      </c>
      <c r="G1703" s="47" t="e">
        <f t="shared" si="79"/>
        <v>#DIV/0!</v>
      </c>
      <c r="U1703" s="49" t="e">
        <f t="shared" si="81"/>
        <v>#DIV/0!</v>
      </c>
    </row>
    <row r="1704" customHeight="1" spans="1:21">
      <c r="A1704" s="42" t="str">
        <f t="shared" si="80"/>
        <v/>
      </c>
      <c r="G1704" s="47" t="e">
        <f t="shared" si="79"/>
        <v>#DIV/0!</v>
      </c>
      <c r="U1704" s="49" t="e">
        <f t="shared" si="81"/>
        <v>#DIV/0!</v>
      </c>
    </row>
    <row r="1705" customHeight="1" spans="1:21">
      <c r="A1705" s="42" t="str">
        <f t="shared" si="80"/>
        <v/>
      </c>
      <c r="G1705" s="47" t="e">
        <f t="shared" si="79"/>
        <v>#DIV/0!</v>
      </c>
      <c r="U1705" s="49" t="e">
        <f t="shared" si="81"/>
        <v>#DIV/0!</v>
      </c>
    </row>
    <row r="1706" customHeight="1" spans="1:21">
      <c r="A1706" s="42" t="str">
        <f t="shared" si="80"/>
        <v/>
      </c>
      <c r="G1706" s="47" t="e">
        <f t="shared" si="79"/>
        <v>#DIV/0!</v>
      </c>
      <c r="U1706" s="49" t="e">
        <f t="shared" si="81"/>
        <v>#DIV/0!</v>
      </c>
    </row>
    <row r="1707" customHeight="1" spans="1:21">
      <c r="A1707" s="42" t="str">
        <f t="shared" si="80"/>
        <v/>
      </c>
      <c r="G1707" s="47" t="e">
        <f t="shared" si="79"/>
        <v>#DIV/0!</v>
      </c>
      <c r="U1707" s="49" t="e">
        <f t="shared" si="81"/>
        <v>#DIV/0!</v>
      </c>
    </row>
    <row r="1708" customHeight="1" spans="1:21">
      <c r="A1708" s="42" t="str">
        <f t="shared" si="80"/>
        <v/>
      </c>
      <c r="G1708" s="47" t="e">
        <f t="shared" si="79"/>
        <v>#DIV/0!</v>
      </c>
      <c r="U1708" s="49" t="e">
        <f t="shared" si="81"/>
        <v>#DIV/0!</v>
      </c>
    </row>
    <row r="1709" customHeight="1" spans="1:21">
      <c r="A1709" s="42" t="str">
        <f t="shared" si="80"/>
        <v/>
      </c>
      <c r="G1709" s="47" t="e">
        <f t="shared" si="79"/>
        <v>#DIV/0!</v>
      </c>
      <c r="U1709" s="49" t="e">
        <f t="shared" si="81"/>
        <v>#DIV/0!</v>
      </c>
    </row>
    <row r="1710" customHeight="1" spans="1:21">
      <c r="A1710" s="42" t="str">
        <f t="shared" si="80"/>
        <v/>
      </c>
      <c r="G1710" s="47" t="e">
        <f t="shared" si="79"/>
        <v>#DIV/0!</v>
      </c>
      <c r="U1710" s="49" t="e">
        <f t="shared" si="81"/>
        <v>#DIV/0!</v>
      </c>
    </row>
    <row r="1711" customHeight="1" spans="1:21">
      <c r="A1711" s="42" t="str">
        <f t="shared" si="80"/>
        <v/>
      </c>
      <c r="G1711" s="47" t="e">
        <f t="shared" si="79"/>
        <v>#DIV/0!</v>
      </c>
      <c r="U1711" s="49" t="e">
        <f t="shared" si="81"/>
        <v>#DIV/0!</v>
      </c>
    </row>
    <row r="1712" customHeight="1" spans="1:21">
      <c r="A1712" s="42" t="str">
        <f t="shared" si="80"/>
        <v/>
      </c>
      <c r="G1712" s="47" t="e">
        <f t="shared" si="79"/>
        <v>#DIV/0!</v>
      </c>
      <c r="U1712" s="49" t="e">
        <f t="shared" si="81"/>
        <v>#DIV/0!</v>
      </c>
    </row>
    <row r="1713" customHeight="1" spans="1:21">
      <c r="A1713" s="42" t="str">
        <f t="shared" si="80"/>
        <v/>
      </c>
      <c r="G1713" s="47" t="e">
        <f t="shared" si="79"/>
        <v>#DIV/0!</v>
      </c>
      <c r="U1713" s="49" t="e">
        <f t="shared" si="81"/>
        <v>#DIV/0!</v>
      </c>
    </row>
    <row r="1714" customHeight="1" spans="1:21">
      <c r="A1714" s="42" t="str">
        <f t="shared" si="80"/>
        <v/>
      </c>
      <c r="G1714" s="47" t="e">
        <f t="shared" si="79"/>
        <v>#DIV/0!</v>
      </c>
      <c r="U1714" s="49" t="e">
        <f t="shared" si="81"/>
        <v>#DIV/0!</v>
      </c>
    </row>
    <row r="1715" customHeight="1" spans="1:21">
      <c r="A1715" s="42" t="str">
        <f t="shared" si="80"/>
        <v/>
      </c>
      <c r="G1715" s="47" t="e">
        <f t="shared" si="79"/>
        <v>#DIV/0!</v>
      </c>
      <c r="U1715" s="49" t="e">
        <f t="shared" si="81"/>
        <v>#DIV/0!</v>
      </c>
    </row>
    <row r="1716" customHeight="1" spans="1:21">
      <c r="A1716" s="42" t="str">
        <f t="shared" si="80"/>
        <v/>
      </c>
      <c r="G1716" s="47" t="e">
        <f t="shared" si="79"/>
        <v>#DIV/0!</v>
      </c>
      <c r="U1716" s="49" t="e">
        <f t="shared" si="81"/>
        <v>#DIV/0!</v>
      </c>
    </row>
    <row r="1717" customHeight="1" spans="1:21">
      <c r="A1717" s="42" t="str">
        <f t="shared" si="80"/>
        <v/>
      </c>
      <c r="G1717" s="47" t="e">
        <f t="shared" si="79"/>
        <v>#DIV/0!</v>
      </c>
      <c r="U1717" s="49" t="e">
        <f t="shared" si="81"/>
        <v>#DIV/0!</v>
      </c>
    </row>
    <row r="1718" customHeight="1" spans="1:21">
      <c r="A1718" s="42" t="str">
        <f t="shared" si="80"/>
        <v/>
      </c>
      <c r="G1718" s="47" t="e">
        <f t="shared" si="79"/>
        <v>#DIV/0!</v>
      </c>
      <c r="U1718" s="49" t="e">
        <f t="shared" si="81"/>
        <v>#DIV/0!</v>
      </c>
    </row>
    <row r="1719" customHeight="1" spans="1:21">
      <c r="A1719" s="42" t="str">
        <f t="shared" si="80"/>
        <v/>
      </c>
      <c r="G1719" s="47" t="e">
        <f t="shared" si="79"/>
        <v>#DIV/0!</v>
      </c>
      <c r="U1719" s="49" t="e">
        <f t="shared" si="81"/>
        <v>#DIV/0!</v>
      </c>
    </row>
    <row r="1720" customHeight="1" spans="1:21">
      <c r="A1720" s="42" t="str">
        <f t="shared" si="80"/>
        <v/>
      </c>
      <c r="G1720" s="47" t="e">
        <f t="shared" si="79"/>
        <v>#DIV/0!</v>
      </c>
      <c r="U1720" s="49" t="e">
        <f t="shared" si="81"/>
        <v>#DIV/0!</v>
      </c>
    </row>
    <row r="1721" customHeight="1" spans="1:21">
      <c r="A1721" s="42" t="str">
        <f t="shared" si="80"/>
        <v/>
      </c>
      <c r="G1721" s="47" t="e">
        <f t="shared" si="79"/>
        <v>#DIV/0!</v>
      </c>
      <c r="U1721" s="49" t="e">
        <f t="shared" si="81"/>
        <v>#DIV/0!</v>
      </c>
    </row>
    <row r="1722" customHeight="1" spans="1:21">
      <c r="A1722" s="42" t="str">
        <f t="shared" si="80"/>
        <v/>
      </c>
      <c r="G1722" s="47" t="e">
        <f t="shared" si="79"/>
        <v>#DIV/0!</v>
      </c>
      <c r="U1722" s="49" t="e">
        <f t="shared" si="81"/>
        <v>#DIV/0!</v>
      </c>
    </row>
    <row r="1723" customHeight="1" spans="1:21">
      <c r="A1723" s="42" t="str">
        <f t="shared" si="80"/>
        <v/>
      </c>
      <c r="G1723" s="47" t="e">
        <f t="shared" si="79"/>
        <v>#DIV/0!</v>
      </c>
      <c r="U1723" s="49" t="e">
        <f t="shared" si="81"/>
        <v>#DIV/0!</v>
      </c>
    </row>
    <row r="1724" customHeight="1" spans="1:21">
      <c r="A1724" s="42" t="str">
        <f t="shared" si="80"/>
        <v/>
      </c>
      <c r="G1724" s="47" t="e">
        <f t="shared" si="79"/>
        <v>#DIV/0!</v>
      </c>
      <c r="U1724" s="49" t="e">
        <f t="shared" si="81"/>
        <v>#DIV/0!</v>
      </c>
    </row>
    <row r="1725" customHeight="1" spans="1:21">
      <c r="A1725" s="42" t="str">
        <f t="shared" si="80"/>
        <v/>
      </c>
      <c r="G1725" s="47" t="e">
        <f t="shared" si="79"/>
        <v>#DIV/0!</v>
      </c>
      <c r="U1725" s="49" t="e">
        <f t="shared" si="81"/>
        <v>#DIV/0!</v>
      </c>
    </row>
    <row r="1726" customHeight="1" spans="1:21">
      <c r="A1726" s="42" t="str">
        <f t="shared" si="80"/>
        <v/>
      </c>
      <c r="G1726" s="47" t="e">
        <f t="shared" si="79"/>
        <v>#DIV/0!</v>
      </c>
      <c r="U1726" s="49" t="e">
        <f t="shared" si="81"/>
        <v>#DIV/0!</v>
      </c>
    </row>
    <row r="1727" customHeight="1" spans="1:21">
      <c r="A1727" s="42" t="str">
        <f t="shared" si="80"/>
        <v/>
      </c>
      <c r="G1727" s="47" t="e">
        <f t="shared" si="79"/>
        <v>#DIV/0!</v>
      </c>
      <c r="U1727" s="49" t="e">
        <f t="shared" si="81"/>
        <v>#DIV/0!</v>
      </c>
    </row>
    <row r="1728" customHeight="1" spans="1:21">
      <c r="A1728" s="42" t="str">
        <f t="shared" si="80"/>
        <v/>
      </c>
      <c r="G1728" s="47" t="e">
        <f t="shared" si="79"/>
        <v>#DIV/0!</v>
      </c>
      <c r="U1728" s="49" t="e">
        <f t="shared" si="81"/>
        <v>#DIV/0!</v>
      </c>
    </row>
    <row r="1729" customHeight="1" spans="1:21">
      <c r="A1729" s="42" t="str">
        <f t="shared" si="80"/>
        <v/>
      </c>
      <c r="G1729" s="47" t="e">
        <f t="shared" si="79"/>
        <v>#DIV/0!</v>
      </c>
      <c r="U1729" s="49" t="e">
        <f t="shared" si="81"/>
        <v>#DIV/0!</v>
      </c>
    </row>
    <row r="1730" customHeight="1" spans="1:21">
      <c r="A1730" s="42" t="str">
        <f t="shared" si="80"/>
        <v/>
      </c>
      <c r="G1730" s="47" t="e">
        <f t="shared" si="79"/>
        <v>#DIV/0!</v>
      </c>
      <c r="U1730" s="49" t="e">
        <f t="shared" si="81"/>
        <v>#DIV/0!</v>
      </c>
    </row>
    <row r="1731" customHeight="1" spans="1:21">
      <c r="A1731" s="42" t="str">
        <f t="shared" si="80"/>
        <v/>
      </c>
      <c r="G1731" s="47" t="e">
        <f t="shared" ref="G1731:G1794" si="82">+E1731/F1731</f>
        <v>#DIV/0!</v>
      </c>
      <c r="U1731" s="49" t="e">
        <f t="shared" si="81"/>
        <v>#DIV/0!</v>
      </c>
    </row>
    <row r="1732" customHeight="1" spans="1:21">
      <c r="A1732" s="42" t="str">
        <f t="shared" ref="A1732:A1795" si="83">B1732&amp;C1732&amp;D1732</f>
        <v/>
      </c>
      <c r="G1732" s="47" t="e">
        <f t="shared" si="82"/>
        <v>#DIV/0!</v>
      </c>
      <c r="U1732" s="49" t="e">
        <f t="shared" ref="U1732:U1795" si="84">SUM(G1732:T1732)</f>
        <v>#DIV/0!</v>
      </c>
    </row>
    <row r="1733" customHeight="1" spans="1:21">
      <c r="A1733" s="42" t="str">
        <f t="shared" si="83"/>
        <v/>
      </c>
      <c r="G1733" s="47" t="e">
        <f t="shared" si="82"/>
        <v>#DIV/0!</v>
      </c>
      <c r="U1733" s="49" t="e">
        <f t="shared" si="84"/>
        <v>#DIV/0!</v>
      </c>
    </row>
    <row r="1734" customHeight="1" spans="1:21">
      <c r="A1734" s="42" t="str">
        <f t="shared" si="83"/>
        <v/>
      </c>
      <c r="G1734" s="47" t="e">
        <f t="shared" si="82"/>
        <v>#DIV/0!</v>
      </c>
      <c r="U1734" s="49" t="e">
        <f t="shared" si="84"/>
        <v>#DIV/0!</v>
      </c>
    </row>
    <row r="1735" customHeight="1" spans="1:21">
      <c r="A1735" s="42" t="str">
        <f t="shared" si="83"/>
        <v/>
      </c>
      <c r="G1735" s="47" t="e">
        <f t="shared" si="82"/>
        <v>#DIV/0!</v>
      </c>
      <c r="U1735" s="49" t="e">
        <f t="shared" si="84"/>
        <v>#DIV/0!</v>
      </c>
    </row>
    <row r="1736" customHeight="1" spans="1:21">
      <c r="A1736" s="42" t="str">
        <f t="shared" si="83"/>
        <v/>
      </c>
      <c r="G1736" s="47" t="e">
        <f t="shared" si="82"/>
        <v>#DIV/0!</v>
      </c>
      <c r="U1736" s="49" t="e">
        <f t="shared" si="84"/>
        <v>#DIV/0!</v>
      </c>
    </row>
    <row r="1737" customHeight="1" spans="1:21">
      <c r="A1737" s="42" t="str">
        <f t="shared" si="83"/>
        <v/>
      </c>
      <c r="G1737" s="47" t="e">
        <f t="shared" si="82"/>
        <v>#DIV/0!</v>
      </c>
      <c r="U1737" s="49" t="e">
        <f t="shared" si="84"/>
        <v>#DIV/0!</v>
      </c>
    </row>
    <row r="1738" customHeight="1" spans="1:21">
      <c r="A1738" s="42" t="str">
        <f t="shared" si="83"/>
        <v/>
      </c>
      <c r="G1738" s="47" t="e">
        <f t="shared" si="82"/>
        <v>#DIV/0!</v>
      </c>
      <c r="U1738" s="49" t="e">
        <f t="shared" si="84"/>
        <v>#DIV/0!</v>
      </c>
    </row>
    <row r="1739" customHeight="1" spans="1:21">
      <c r="A1739" s="42" t="str">
        <f t="shared" si="83"/>
        <v/>
      </c>
      <c r="G1739" s="47" t="e">
        <f t="shared" si="82"/>
        <v>#DIV/0!</v>
      </c>
      <c r="U1739" s="49" t="e">
        <f t="shared" si="84"/>
        <v>#DIV/0!</v>
      </c>
    </row>
    <row r="1740" customHeight="1" spans="1:21">
      <c r="A1740" s="42" t="str">
        <f t="shared" si="83"/>
        <v/>
      </c>
      <c r="G1740" s="47" t="e">
        <f t="shared" si="82"/>
        <v>#DIV/0!</v>
      </c>
      <c r="U1740" s="49" t="e">
        <f t="shared" si="84"/>
        <v>#DIV/0!</v>
      </c>
    </row>
    <row r="1741" customHeight="1" spans="1:21">
      <c r="A1741" s="42" t="str">
        <f t="shared" si="83"/>
        <v/>
      </c>
      <c r="G1741" s="47" t="e">
        <f t="shared" si="82"/>
        <v>#DIV/0!</v>
      </c>
      <c r="U1741" s="49" t="e">
        <f t="shared" si="84"/>
        <v>#DIV/0!</v>
      </c>
    </row>
    <row r="1742" customHeight="1" spans="1:21">
      <c r="A1742" s="42" t="str">
        <f t="shared" si="83"/>
        <v/>
      </c>
      <c r="G1742" s="47" t="e">
        <f t="shared" si="82"/>
        <v>#DIV/0!</v>
      </c>
      <c r="U1742" s="49" t="e">
        <f t="shared" si="84"/>
        <v>#DIV/0!</v>
      </c>
    </row>
    <row r="1743" customHeight="1" spans="1:21">
      <c r="A1743" s="42" t="str">
        <f t="shared" si="83"/>
        <v/>
      </c>
      <c r="G1743" s="47" t="e">
        <f t="shared" si="82"/>
        <v>#DIV/0!</v>
      </c>
      <c r="U1743" s="49" t="e">
        <f t="shared" si="84"/>
        <v>#DIV/0!</v>
      </c>
    </row>
    <row r="1744" customHeight="1" spans="1:21">
      <c r="A1744" s="42" t="str">
        <f t="shared" si="83"/>
        <v/>
      </c>
      <c r="G1744" s="47" t="e">
        <f t="shared" si="82"/>
        <v>#DIV/0!</v>
      </c>
      <c r="U1744" s="49" t="e">
        <f t="shared" si="84"/>
        <v>#DIV/0!</v>
      </c>
    </row>
    <row r="1745" customHeight="1" spans="1:21">
      <c r="A1745" s="42" t="str">
        <f t="shared" si="83"/>
        <v/>
      </c>
      <c r="G1745" s="47" t="e">
        <f t="shared" si="82"/>
        <v>#DIV/0!</v>
      </c>
      <c r="U1745" s="49" t="e">
        <f t="shared" si="84"/>
        <v>#DIV/0!</v>
      </c>
    </row>
    <row r="1746" customHeight="1" spans="1:21">
      <c r="A1746" s="42" t="str">
        <f t="shared" si="83"/>
        <v/>
      </c>
      <c r="G1746" s="47" t="e">
        <f t="shared" si="82"/>
        <v>#DIV/0!</v>
      </c>
      <c r="U1746" s="49" t="e">
        <f t="shared" si="84"/>
        <v>#DIV/0!</v>
      </c>
    </row>
    <row r="1747" customHeight="1" spans="1:21">
      <c r="A1747" s="42" t="str">
        <f t="shared" si="83"/>
        <v/>
      </c>
      <c r="G1747" s="47" t="e">
        <f t="shared" si="82"/>
        <v>#DIV/0!</v>
      </c>
      <c r="U1747" s="49" t="e">
        <f t="shared" si="84"/>
        <v>#DIV/0!</v>
      </c>
    </row>
    <row r="1748" customHeight="1" spans="1:21">
      <c r="A1748" s="42" t="str">
        <f t="shared" si="83"/>
        <v/>
      </c>
      <c r="G1748" s="47" t="e">
        <f t="shared" si="82"/>
        <v>#DIV/0!</v>
      </c>
      <c r="U1748" s="49" t="e">
        <f t="shared" si="84"/>
        <v>#DIV/0!</v>
      </c>
    </row>
    <row r="1749" customHeight="1" spans="1:21">
      <c r="A1749" s="42" t="str">
        <f t="shared" si="83"/>
        <v/>
      </c>
      <c r="G1749" s="47" t="e">
        <f t="shared" si="82"/>
        <v>#DIV/0!</v>
      </c>
      <c r="U1749" s="49" t="e">
        <f t="shared" si="84"/>
        <v>#DIV/0!</v>
      </c>
    </row>
    <row r="1750" customHeight="1" spans="1:21">
      <c r="A1750" s="42" t="str">
        <f t="shared" si="83"/>
        <v/>
      </c>
      <c r="G1750" s="47" t="e">
        <f t="shared" si="82"/>
        <v>#DIV/0!</v>
      </c>
      <c r="U1750" s="49" t="e">
        <f t="shared" si="84"/>
        <v>#DIV/0!</v>
      </c>
    </row>
    <row r="1751" customHeight="1" spans="1:21">
      <c r="A1751" s="42" t="str">
        <f t="shared" si="83"/>
        <v/>
      </c>
      <c r="G1751" s="47" t="e">
        <f t="shared" si="82"/>
        <v>#DIV/0!</v>
      </c>
      <c r="U1751" s="49" t="e">
        <f t="shared" si="84"/>
        <v>#DIV/0!</v>
      </c>
    </row>
    <row r="1752" customHeight="1" spans="1:21">
      <c r="A1752" s="42" t="str">
        <f t="shared" si="83"/>
        <v/>
      </c>
      <c r="G1752" s="47" t="e">
        <f t="shared" si="82"/>
        <v>#DIV/0!</v>
      </c>
      <c r="U1752" s="49" t="e">
        <f t="shared" si="84"/>
        <v>#DIV/0!</v>
      </c>
    </row>
    <row r="1753" customHeight="1" spans="1:21">
      <c r="A1753" s="42" t="str">
        <f t="shared" si="83"/>
        <v/>
      </c>
      <c r="G1753" s="47" t="e">
        <f t="shared" si="82"/>
        <v>#DIV/0!</v>
      </c>
      <c r="U1753" s="49" t="e">
        <f t="shared" si="84"/>
        <v>#DIV/0!</v>
      </c>
    </row>
    <row r="1754" customHeight="1" spans="1:21">
      <c r="A1754" s="42" t="str">
        <f t="shared" si="83"/>
        <v/>
      </c>
      <c r="G1754" s="47" t="e">
        <f t="shared" si="82"/>
        <v>#DIV/0!</v>
      </c>
      <c r="U1754" s="49" t="e">
        <f t="shared" si="84"/>
        <v>#DIV/0!</v>
      </c>
    </row>
    <row r="1755" customHeight="1" spans="1:21">
      <c r="A1755" s="42" t="str">
        <f t="shared" si="83"/>
        <v/>
      </c>
      <c r="G1755" s="47" t="e">
        <f t="shared" si="82"/>
        <v>#DIV/0!</v>
      </c>
      <c r="U1755" s="49" t="e">
        <f t="shared" si="84"/>
        <v>#DIV/0!</v>
      </c>
    </row>
    <row r="1756" customHeight="1" spans="1:21">
      <c r="A1756" s="42" t="str">
        <f t="shared" si="83"/>
        <v/>
      </c>
      <c r="G1756" s="47" t="e">
        <f t="shared" si="82"/>
        <v>#DIV/0!</v>
      </c>
      <c r="U1756" s="49" t="e">
        <f t="shared" si="84"/>
        <v>#DIV/0!</v>
      </c>
    </row>
    <row r="1757" customHeight="1" spans="1:21">
      <c r="A1757" s="42" t="str">
        <f t="shared" si="83"/>
        <v/>
      </c>
      <c r="G1757" s="47" t="e">
        <f t="shared" si="82"/>
        <v>#DIV/0!</v>
      </c>
      <c r="U1757" s="49" t="e">
        <f t="shared" si="84"/>
        <v>#DIV/0!</v>
      </c>
    </row>
    <row r="1758" customHeight="1" spans="1:21">
      <c r="A1758" s="42" t="str">
        <f t="shared" si="83"/>
        <v/>
      </c>
      <c r="G1758" s="47" t="e">
        <f t="shared" si="82"/>
        <v>#DIV/0!</v>
      </c>
      <c r="U1758" s="49" t="e">
        <f t="shared" si="84"/>
        <v>#DIV/0!</v>
      </c>
    </row>
    <row r="1759" customHeight="1" spans="1:21">
      <c r="A1759" s="42" t="str">
        <f t="shared" si="83"/>
        <v/>
      </c>
      <c r="G1759" s="47" t="e">
        <f t="shared" si="82"/>
        <v>#DIV/0!</v>
      </c>
      <c r="U1759" s="49" t="e">
        <f t="shared" si="84"/>
        <v>#DIV/0!</v>
      </c>
    </row>
    <row r="1760" customHeight="1" spans="1:21">
      <c r="A1760" s="42" t="str">
        <f t="shared" si="83"/>
        <v/>
      </c>
      <c r="G1760" s="47" t="e">
        <f t="shared" si="82"/>
        <v>#DIV/0!</v>
      </c>
      <c r="U1760" s="49" t="e">
        <f t="shared" si="84"/>
        <v>#DIV/0!</v>
      </c>
    </row>
    <row r="1761" customHeight="1" spans="1:21">
      <c r="A1761" s="42" t="str">
        <f t="shared" si="83"/>
        <v/>
      </c>
      <c r="G1761" s="47" t="e">
        <f t="shared" si="82"/>
        <v>#DIV/0!</v>
      </c>
      <c r="U1761" s="49" t="e">
        <f t="shared" si="84"/>
        <v>#DIV/0!</v>
      </c>
    </row>
    <row r="1762" customHeight="1" spans="1:21">
      <c r="A1762" s="42" t="str">
        <f t="shared" si="83"/>
        <v/>
      </c>
      <c r="G1762" s="47" t="e">
        <f t="shared" si="82"/>
        <v>#DIV/0!</v>
      </c>
      <c r="U1762" s="49" t="e">
        <f t="shared" si="84"/>
        <v>#DIV/0!</v>
      </c>
    </row>
    <row r="1763" customHeight="1" spans="1:21">
      <c r="A1763" s="42" t="str">
        <f t="shared" si="83"/>
        <v/>
      </c>
      <c r="G1763" s="47" t="e">
        <f t="shared" si="82"/>
        <v>#DIV/0!</v>
      </c>
      <c r="U1763" s="49" t="e">
        <f t="shared" si="84"/>
        <v>#DIV/0!</v>
      </c>
    </row>
    <row r="1764" customHeight="1" spans="1:21">
      <c r="A1764" s="42" t="str">
        <f t="shared" si="83"/>
        <v/>
      </c>
      <c r="G1764" s="47" t="e">
        <f t="shared" si="82"/>
        <v>#DIV/0!</v>
      </c>
      <c r="U1764" s="49" t="e">
        <f t="shared" si="84"/>
        <v>#DIV/0!</v>
      </c>
    </row>
    <row r="1765" customHeight="1" spans="1:21">
      <c r="A1765" s="42" t="str">
        <f t="shared" si="83"/>
        <v/>
      </c>
      <c r="G1765" s="47" t="e">
        <f t="shared" si="82"/>
        <v>#DIV/0!</v>
      </c>
      <c r="U1765" s="49" t="e">
        <f t="shared" si="84"/>
        <v>#DIV/0!</v>
      </c>
    </row>
    <row r="1766" customHeight="1" spans="1:21">
      <c r="A1766" s="42" t="str">
        <f t="shared" si="83"/>
        <v/>
      </c>
      <c r="G1766" s="47" t="e">
        <f t="shared" si="82"/>
        <v>#DIV/0!</v>
      </c>
      <c r="U1766" s="49" t="e">
        <f t="shared" si="84"/>
        <v>#DIV/0!</v>
      </c>
    </row>
    <row r="1767" customHeight="1" spans="1:21">
      <c r="A1767" s="42" t="str">
        <f t="shared" si="83"/>
        <v/>
      </c>
      <c r="G1767" s="47" t="e">
        <f t="shared" si="82"/>
        <v>#DIV/0!</v>
      </c>
      <c r="U1767" s="49" t="e">
        <f t="shared" si="84"/>
        <v>#DIV/0!</v>
      </c>
    </row>
    <row r="1768" customHeight="1" spans="1:21">
      <c r="A1768" s="42" t="str">
        <f t="shared" si="83"/>
        <v/>
      </c>
      <c r="G1768" s="47" t="e">
        <f t="shared" si="82"/>
        <v>#DIV/0!</v>
      </c>
      <c r="U1768" s="49" t="e">
        <f t="shared" si="84"/>
        <v>#DIV/0!</v>
      </c>
    </row>
    <row r="1769" customHeight="1" spans="1:21">
      <c r="A1769" s="42" t="str">
        <f t="shared" si="83"/>
        <v/>
      </c>
      <c r="G1769" s="47" t="e">
        <f t="shared" si="82"/>
        <v>#DIV/0!</v>
      </c>
      <c r="U1769" s="49" t="e">
        <f t="shared" si="84"/>
        <v>#DIV/0!</v>
      </c>
    </row>
    <row r="1770" customHeight="1" spans="1:21">
      <c r="A1770" s="42" t="str">
        <f t="shared" si="83"/>
        <v/>
      </c>
      <c r="G1770" s="47" t="e">
        <f t="shared" si="82"/>
        <v>#DIV/0!</v>
      </c>
      <c r="U1770" s="49" t="e">
        <f t="shared" si="84"/>
        <v>#DIV/0!</v>
      </c>
    </row>
    <row r="1771" customHeight="1" spans="1:21">
      <c r="A1771" s="42" t="str">
        <f t="shared" si="83"/>
        <v/>
      </c>
      <c r="G1771" s="47" t="e">
        <f t="shared" si="82"/>
        <v>#DIV/0!</v>
      </c>
      <c r="U1771" s="49" t="e">
        <f t="shared" si="84"/>
        <v>#DIV/0!</v>
      </c>
    </row>
    <row r="1772" customHeight="1" spans="1:21">
      <c r="A1772" s="42" t="str">
        <f t="shared" si="83"/>
        <v/>
      </c>
      <c r="G1772" s="47" t="e">
        <f t="shared" si="82"/>
        <v>#DIV/0!</v>
      </c>
      <c r="U1772" s="49" t="e">
        <f t="shared" si="84"/>
        <v>#DIV/0!</v>
      </c>
    </row>
    <row r="1773" customHeight="1" spans="1:21">
      <c r="A1773" s="42" t="str">
        <f t="shared" si="83"/>
        <v/>
      </c>
      <c r="G1773" s="47" t="e">
        <f t="shared" si="82"/>
        <v>#DIV/0!</v>
      </c>
      <c r="U1773" s="49" t="e">
        <f t="shared" si="84"/>
        <v>#DIV/0!</v>
      </c>
    </row>
    <row r="1774" customHeight="1" spans="1:21">
      <c r="A1774" s="42" t="str">
        <f t="shared" si="83"/>
        <v/>
      </c>
      <c r="G1774" s="47" t="e">
        <f t="shared" si="82"/>
        <v>#DIV/0!</v>
      </c>
      <c r="U1774" s="49" t="e">
        <f t="shared" si="84"/>
        <v>#DIV/0!</v>
      </c>
    </row>
    <row r="1775" customHeight="1" spans="1:21">
      <c r="A1775" s="42" t="str">
        <f t="shared" si="83"/>
        <v/>
      </c>
      <c r="G1775" s="47" t="e">
        <f t="shared" si="82"/>
        <v>#DIV/0!</v>
      </c>
      <c r="U1775" s="49" t="e">
        <f t="shared" si="84"/>
        <v>#DIV/0!</v>
      </c>
    </row>
    <row r="1776" customHeight="1" spans="1:21">
      <c r="A1776" s="42" t="str">
        <f t="shared" si="83"/>
        <v/>
      </c>
      <c r="G1776" s="47" t="e">
        <f t="shared" si="82"/>
        <v>#DIV/0!</v>
      </c>
      <c r="U1776" s="49" t="e">
        <f t="shared" si="84"/>
        <v>#DIV/0!</v>
      </c>
    </row>
    <row r="1777" customHeight="1" spans="1:21">
      <c r="A1777" s="42" t="str">
        <f t="shared" si="83"/>
        <v/>
      </c>
      <c r="G1777" s="47" t="e">
        <f t="shared" si="82"/>
        <v>#DIV/0!</v>
      </c>
      <c r="U1777" s="49" t="e">
        <f t="shared" si="84"/>
        <v>#DIV/0!</v>
      </c>
    </row>
    <row r="1778" customHeight="1" spans="1:21">
      <c r="A1778" s="42" t="str">
        <f t="shared" si="83"/>
        <v/>
      </c>
      <c r="G1778" s="47" t="e">
        <f t="shared" si="82"/>
        <v>#DIV/0!</v>
      </c>
      <c r="U1778" s="49" t="e">
        <f t="shared" si="84"/>
        <v>#DIV/0!</v>
      </c>
    </row>
    <row r="1779" customHeight="1" spans="1:21">
      <c r="A1779" s="42" t="str">
        <f t="shared" si="83"/>
        <v/>
      </c>
      <c r="G1779" s="47" t="e">
        <f t="shared" si="82"/>
        <v>#DIV/0!</v>
      </c>
      <c r="U1779" s="49" t="e">
        <f t="shared" si="84"/>
        <v>#DIV/0!</v>
      </c>
    </row>
    <row r="1780" customHeight="1" spans="1:21">
      <c r="A1780" s="42" t="str">
        <f t="shared" si="83"/>
        <v/>
      </c>
      <c r="G1780" s="47" t="e">
        <f t="shared" si="82"/>
        <v>#DIV/0!</v>
      </c>
      <c r="U1780" s="49" t="e">
        <f t="shared" si="84"/>
        <v>#DIV/0!</v>
      </c>
    </row>
    <row r="1781" customHeight="1" spans="1:21">
      <c r="A1781" s="42" t="str">
        <f t="shared" si="83"/>
        <v/>
      </c>
      <c r="G1781" s="47" t="e">
        <f t="shared" si="82"/>
        <v>#DIV/0!</v>
      </c>
      <c r="U1781" s="49" t="e">
        <f t="shared" si="84"/>
        <v>#DIV/0!</v>
      </c>
    </row>
    <row r="1782" customHeight="1" spans="1:21">
      <c r="A1782" s="42" t="str">
        <f t="shared" si="83"/>
        <v/>
      </c>
      <c r="G1782" s="47" t="e">
        <f t="shared" si="82"/>
        <v>#DIV/0!</v>
      </c>
      <c r="U1782" s="49" t="e">
        <f t="shared" si="84"/>
        <v>#DIV/0!</v>
      </c>
    </row>
    <row r="1783" customHeight="1" spans="1:21">
      <c r="A1783" s="42" t="str">
        <f t="shared" si="83"/>
        <v/>
      </c>
      <c r="G1783" s="47" t="e">
        <f t="shared" si="82"/>
        <v>#DIV/0!</v>
      </c>
      <c r="U1783" s="49" t="e">
        <f t="shared" si="84"/>
        <v>#DIV/0!</v>
      </c>
    </row>
    <row r="1784" customHeight="1" spans="1:21">
      <c r="A1784" s="42" t="str">
        <f t="shared" si="83"/>
        <v/>
      </c>
      <c r="G1784" s="47" t="e">
        <f t="shared" si="82"/>
        <v>#DIV/0!</v>
      </c>
      <c r="U1784" s="49" t="e">
        <f t="shared" si="84"/>
        <v>#DIV/0!</v>
      </c>
    </row>
    <row r="1785" customHeight="1" spans="1:21">
      <c r="A1785" s="42" t="str">
        <f t="shared" si="83"/>
        <v/>
      </c>
      <c r="G1785" s="47" t="e">
        <f t="shared" si="82"/>
        <v>#DIV/0!</v>
      </c>
      <c r="U1785" s="49" t="e">
        <f t="shared" si="84"/>
        <v>#DIV/0!</v>
      </c>
    </row>
    <row r="1786" customHeight="1" spans="1:21">
      <c r="A1786" s="42" t="str">
        <f t="shared" si="83"/>
        <v/>
      </c>
      <c r="G1786" s="47" t="e">
        <f t="shared" si="82"/>
        <v>#DIV/0!</v>
      </c>
      <c r="U1786" s="49" t="e">
        <f t="shared" si="84"/>
        <v>#DIV/0!</v>
      </c>
    </row>
    <row r="1787" customHeight="1" spans="1:21">
      <c r="A1787" s="42" t="str">
        <f t="shared" si="83"/>
        <v/>
      </c>
      <c r="G1787" s="47" t="e">
        <f t="shared" si="82"/>
        <v>#DIV/0!</v>
      </c>
      <c r="U1787" s="49" t="e">
        <f t="shared" si="84"/>
        <v>#DIV/0!</v>
      </c>
    </row>
    <row r="1788" customHeight="1" spans="1:21">
      <c r="A1788" s="42" t="str">
        <f t="shared" si="83"/>
        <v/>
      </c>
      <c r="G1788" s="47" t="e">
        <f t="shared" si="82"/>
        <v>#DIV/0!</v>
      </c>
      <c r="U1788" s="49" t="e">
        <f t="shared" si="84"/>
        <v>#DIV/0!</v>
      </c>
    </row>
    <row r="1789" customHeight="1" spans="1:21">
      <c r="A1789" s="42" t="str">
        <f t="shared" si="83"/>
        <v/>
      </c>
      <c r="G1789" s="47" t="e">
        <f t="shared" si="82"/>
        <v>#DIV/0!</v>
      </c>
      <c r="U1789" s="49" t="e">
        <f t="shared" si="84"/>
        <v>#DIV/0!</v>
      </c>
    </row>
    <row r="1790" customHeight="1" spans="1:21">
      <c r="A1790" s="42" t="str">
        <f t="shared" si="83"/>
        <v/>
      </c>
      <c r="G1790" s="47" t="e">
        <f t="shared" si="82"/>
        <v>#DIV/0!</v>
      </c>
      <c r="U1790" s="49" t="e">
        <f t="shared" si="84"/>
        <v>#DIV/0!</v>
      </c>
    </row>
    <row r="1791" customHeight="1" spans="1:21">
      <c r="A1791" s="42" t="str">
        <f t="shared" si="83"/>
        <v/>
      </c>
      <c r="G1791" s="47" t="e">
        <f t="shared" si="82"/>
        <v>#DIV/0!</v>
      </c>
      <c r="U1791" s="49" t="e">
        <f t="shared" si="84"/>
        <v>#DIV/0!</v>
      </c>
    </row>
    <row r="1792" customHeight="1" spans="1:21">
      <c r="A1792" s="42" t="str">
        <f t="shared" si="83"/>
        <v/>
      </c>
      <c r="G1792" s="47" t="e">
        <f t="shared" si="82"/>
        <v>#DIV/0!</v>
      </c>
      <c r="U1792" s="49" t="e">
        <f t="shared" si="84"/>
        <v>#DIV/0!</v>
      </c>
    </row>
    <row r="1793" customHeight="1" spans="1:21">
      <c r="A1793" s="42" t="str">
        <f t="shared" si="83"/>
        <v/>
      </c>
      <c r="G1793" s="47" t="e">
        <f t="shared" si="82"/>
        <v>#DIV/0!</v>
      </c>
      <c r="U1793" s="49" t="e">
        <f t="shared" si="84"/>
        <v>#DIV/0!</v>
      </c>
    </row>
    <row r="1794" customHeight="1" spans="1:21">
      <c r="A1794" s="42" t="str">
        <f t="shared" si="83"/>
        <v/>
      </c>
      <c r="G1794" s="47" t="e">
        <f t="shared" si="82"/>
        <v>#DIV/0!</v>
      </c>
      <c r="U1794" s="49" t="e">
        <f t="shared" si="84"/>
        <v>#DIV/0!</v>
      </c>
    </row>
    <row r="1795" customHeight="1" spans="1:21">
      <c r="A1795" s="42" t="str">
        <f t="shared" si="83"/>
        <v/>
      </c>
      <c r="G1795" s="47" t="e">
        <f t="shared" ref="G1795:G1858" si="85">+E1795/F1795</f>
        <v>#DIV/0!</v>
      </c>
      <c r="U1795" s="49" t="e">
        <f t="shared" si="84"/>
        <v>#DIV/0!</v>
      </c>
    </row>
    <row r="1796" customHeight="1" spans="1:21">
      <c r="A1796" s="42" t="str">
        <f t="shared" ref="A1796:A1859" si="86">B1796&amp;C1796&amp;D1796</f>
        <v/>
      </c>
      <c r="G1796" s="47" t="e">
        <f t="shared" si="85"/>
        <v>#DIV/0!</v>
      </c>
      <c r="U1796" s="49" t="e">
        <f t="shared" ref="U1796:U1859" si="87">SUM(G1796:T1796)</f>
        <v>#DIV/0!</v>
      </c>
    </row>
    <row r="1797" customHeight="1" spans="1:21">
      <c r="A1797" s="42" t="str">
        <f t="shared" si="86"/>
        <v/>
      </c>
      <c r="G1797" s="47" t="e">
        <f t="shared" si="85"/>
        <v>#DIV/0!</v>
      </c>
      <c r="U1797" s="49" t="e">
        <f t="shared" si="87"/>
        <v>#DIV/0!</v>
      </c>
    </row>
    <row r="1798" customHeight="1" spans="1:21">
      <c r="A1798" s="42" t="str">
        <f t="shared" si="86"/>
        <v/>
      </c>
      <c r="G1798" s="47" t="e">
        <f t="shared" si="85"/>
        <v>#DIV/0!</v>
      </c>
      <c r="U1798" s="49" t="e">
        <f t="shared" si="87"/>
        <v>#DIV/0!</v>
      </c>
    </row>
    <row r="1799" customHeight="1" spans="1:21">
      <c r="A1799" s="42" t="str">
        <f t="shared" si="86"/>
        <v/>
      </c>
      <c r="G1799" s="47" t="e">
        <f t="shared" si="85"/>
        <v>#DIV/0!</v>
      </c>
      <c r="U1799" s="49" t="e">
        <f t="shared" si="87"/>
        <v>#DIV/0!</v>
      </c>
    </row>
    <row r="1800" customHeight="1" spans="1:21">
      <c r="A1800" s="42" t="str">
        <f t="shared" si="86"/>
        <v/>
      </c>
      <c r="G1800" s="47" t="e">
        <f t="shared" si="85"/>
        <v>#DIV/0!</v>
      </c>
      <c r="U1800" s="49" t="e">
        <f t="shared" si="87"/>
        <v>#DIV/0!</v>
      </c>
    </row>
    <row r="1801" customHeight="1" spans="1:21">
      <c r="A1801" s="42" t="str">
        <f t="shared" si="86"/>
        <v/>
      </c>
      <c r="G1801" s="47" t="e">
        <f t="shared" si="85"/>
        <v>#DIV/0!</v>
      </c>
      <c r="U1801" s="49" t="e">
        <f t="shared" si="87"/>
        <v>#DIV/0!</v>
      </c>
    </row>
    <row r="1802" customHeight="1" spans="1:21">
      <c r="A1802" s="42" t="str">
        <f t="shared" si="86"/>
        <v/>
      </c>
      <c r="G1802" s="47" t="e">
        <f t="shared" si="85"/>
        <v>#DIV/0!</v>
      </c>
      <c r="U1802" s="49" t="e">
        <f t="shared" si="87"/>
        <v>#DIV/0!</v>
      </c>
    </row>
    <row r="1803" customHeight="1" spans="1:21">
      <c r="A1803" s="42" t="str">
        <f t="shared" si="86"/>
        <v/>
      </c>
      <c r="G1803" s="47" t="e">
        <f t="shared" si="85"/>
        <v>#DIV/0!</v>
      </c>
      <c r="U1803" s="49" t="e">
        <f t="shared" si="87"/>
        <v>#DIV/0!</v>
      </c>
    </row>
    <row r="1804" customHeight="1" spans="1:21">
      <c r="A1804" s="42" t="str">
        <f t="shared" si="86"/>
        <v/>
      </c>
      <c r="G1804" s="47" t="e">
        <f t="shared" si="85"/>
        <v>#DIV/0!</v>
      </c>
      <c r="U1804" s="49" t="e">
        <f t="shared" si="87"/>
        <v>#DIV/0!</v>
      </c>
    </row>
    <row r="1805" customHeight="1" spans="1:21">
      <c r="A1805" s="42" t="str">
        <f t="shared" si="86"/>
        <v/>
      </c>
      <c r="G1805" s="47" t="e">
        <f t="shared" si="85"/>
        <v>#DIV/0!</v>
      </c>
      <c r="U1805" s="49" t="e">
        <f t="shared" si="87"/>
        <v>#DIV/0!</v>
      </c>
    </row>
    <row r="1806" customHeight="1" spans="1:21">
      <c r="A1806" s="42" t="str">
        <f t="shared" si="86"/>
        <v/>
      </c>
      <c r="G1806" s="47" t="e">
        <f t="shared" si="85"/>
        <v>#DIV/0!</v>
      </c>
      <c r="U1806" s="49" t="e">
        <f t="shared" si="87"/>
        <v>#DIV/0!</v>
      </c>
    </row>
    <row r="1807" customHeight="1" spans="1:21">
      <c r="A1807" s="42" t="str">
        <f t="shared" si="86"/>
        <v/>
      </c>
      <c r="G1807" s="47" t="e">
        <f t="shared" si="85"/>
        <v>#DIV/0!</v>
      </c>
      <c r="U1807" s="49" t="e">
        <f t="shared" si="87"/>
        <v>#DIV/0!</v>
      </c>
    </row>
    <row r="1808" customHeight="1" spans="1:21">
      <c r="A1808" s="42" t="str">
        <f t="shared" si="86"/>
        <v/>
      </c>
      <c r="G1808" s="47" t="e">
        <f t="shared" si="85"/>
        <v>#DIV/0!</v>
      </c>
      <c r="U1808" s="49" t="e">
        <f t="shared" si="87"/>
        <v>#DIV/0!</v>
      </c>
    </row>
    <row r="1809" customHeight="1" spans="1:21">
      <c r="A1809" s="42" t="str">
        <f t="shared" si="86"/>
        <v/>
      </c>
      <c r="G1809" s="47" t="e">
        <f t="shared" si="85"/>
        <v>#DIV/0!</v>
      </c>
      <c r="U1809" s="49" t="e">
        <f t="shared" si="87"/>
        <v>#DIV/0!</v>
      </c>
    </row>
    <row r="1810" customHeight="1" spans="1:21">
      <c r="A1810" s="42" t="str">
        <f t="shared" si="86"/>
        <v/>
      </c>
      <c r="G1810" s="47" t="e">
        <f t="shared" si="85"/>
        <v>#DIV/0!</v>
      </c>
      <c r="U1810" s="49" t="e">
        <f t="shared" si="87"/>
        <v>#DIV/0!</v>
      </c>
    </row>
    <row r="1811" customHeight="1" spans="1:21">
      <c r="A1811" s="42" t="str">
        <f t="shared" si="86"/>
        <v/>
      </c>
      <c r="G1811" s="47" t="e">
        <f t="shared" si="85"/>
        <v>#DIV/0!</v>
      </c>
      <c r="U1811" s="49" t="e">
        <f t="shared" si="87"/>
        <v>#DIV/0!</v>
      </c>
    </row>
    <row r="1812" customHeight="1" spans="1:21">
      <c r="A1812" s="42" t="str">
        <f t="shared" si="86"/>
        <v/>
      </c>
      <c r="G1812" s="47" t="e">
        <f t="shared" si="85"/>
        <v>#DIV/0!</v>
      </c>
      <c r="U1812" s="49" t="e">
        <f t="shared" si="87"/>
        <v>#DIV/0!</v>
      </c>
    </row>
    <row r="1813" customHeight="1" spans="1:21">
      <c r="A1813" s="42" t="str">
        <f t="shared" si="86"/>
        <v/>
      </c>
      <c r="G1813" s="47" t="e">
        <f t="shared" si="85"/>
        <v>#DIV/0!</v>
      </c>
      <c r="U1813" s="49" t="e">
        <f t="shared" si="87"/>
        <v>#DIV/0!</v>
      </c>
    </row>
    <row r="1814" customHeight="1" spans="1:21">
      <c r="A1814" s="42" t="str">
        <f t="shared" si="86"/>
        <v/>
      </c>
      <c r="G1814" s="47" t="e">
        <f t="shared" si="85"/>
        <v>#DIV/0!</v>
      </c>
      <c r="U1814" s="49" t="e">
        <f t="shared" si="87"/>
        <v>#DIV/0!</v>
      </c>
    </row>
    <row r="1815" customHeight="1" spans="1:21">
      <c r="A1815" s="42" t="str">
        <f t="shared" si="86"/>
        <v/>
      </c>
      <c r="G1815" s="47" t="e">
        <f t="shared" si="85"/>
        <v>#DIV/0!</v>
      </c>
      <c r="U1815" s="49" t="e">
        <f t="shared" si="87"/>
        <v>#DIV/0!</v>
      </c>
    </row>
    <row r="1816" customHeight="1" spans="1:21">
      <c r="A1816" s="42" t="str">
        <f t="shared" si="86"/>
        <v/>
      </c>
      <c r="G1816" s="47" t="e">
        <f t="shared" si="85"/>
        <v>#DIV/0!</v>
      </c>
      <c r="U1816" s="49" t="e">
        <f t="shared" si="87"/>
        <v>#DIV/0!</v>
      </c>
    </row>
    <row r="1817" customHeight="1" spans="1:21">
      <c r="A1817" s="42" t="str">
        <f t="shared" si="86"/>
        <v/>
      </c>
      <c r="G1817" s="47" t="e">
        <f t="shared" si="85"/>
        <v>#DIV/0!</v>
      </c>
      <c r="U1817" s="49" t="e">
        <f t="shared" si="87"/>
        <v>#DIV/0!</v>
      </c>
    </row>
    <row r="1818" customHeight="1" spans="1:21">
      <c r="A1818" s="42" t="str">
        <f t="shared" si="86"/>
        <v/>
      </c>
      <c r="G1818" s="47" t="e">
        <f t="shared" si="85"/>
        <v>#DIV/0!</v>
      </c>
      <c r="U1818" s="49" t="e">
        <f t="shared" si="87"/>
        <v>#DIV/0!</v>
      </c>
    </row>
    <row r="1819" customHeight="1" spans="1:21">
      <c r="A1819" s="42" t="str">
        <f t="shared" si="86"/>
        <v/>
      </c>
      <c r="G1819" s="47" t="e">
        <f t="shared" si="85"/>
        <v>#DIV/0!</v>
      </c>
      <c r="U1819" s="49" t="e">
        <f t="shared" si="87"/>
        <v>#DIV/0!</v>
      </c>
    </row>
    <row r="1820" customHeight="1" spans="1:21">
      <c r="A1820" s="42" t="str">
        <f t="shared" si="86"/>
        <v/>
      </c>
      <c r="G1820" s="47" t="e">
        <f t="shared" si="85"/>
        <v>#DIV/0!</v>
      </c>
      <c r="U1820" s="49" t="e">
        <f t="shared" si="87"/>
        <v>#DIV/0!</v>
      </c>
    </row>
    <row r="1821" customHeight="1" spans="1:21">
      <c r="A1821" s="42" t="str">
        <f t="shared" si="86"/>
        <v/>
      </c>
      <c r="G1821" s="47" t="e">
        <f t="shared" si="85"/>
        <v>#DIV/0!</v>
      </c>
      <c r="U1821" s="49" t="e">
        <f t="shared" si="87"/>
        <v>#DIV/0!</v>
      </c>
    </row>
    <row r="1822" customHeight="1" spans="1:21">
      <c r="A1822" s="42" t="str">
        <f t="shared" si="86"/>
        <v/>
      </c>
      <c r="G1822" s="47" t="e">
        <f t="shared" si="85"/>
        <v>#DIV/0!</v>
      </c>
      <c r="U1822" s="49" t="e">
        <f t="shared" si="87"/>
        <v>#DIV/0!</v>
      </c>
    </row>
    <row r="1823" customHeight="1" spans="1:21">
      <c r="A1823" s="42" t="str">
        <f t="shared" si="86"/>
        <v/>
      </c>
      <c r="G1823" s="47" t="e">
        <f t="shared" si="85"/>
        <v>#DIV/0!</v>
      </c>
      <c r="U1823" s="49" t="e">
        <f t="shared" si="87"/>
        <v>#DIV/0!</v>
      </c>
    </row>
    <row r="1824" customHeight="1" spans="1:21">
      <c r="A1824" s="42" t="str">
        <f t="shared" si="86"/>
        <v/>
      </c>
      <c r="G1824" s="47" t="e">
        <f t="shared" si="85"/>
        <v>#DIV/0!</v>
      </c>
      <c r="U1824" s="49" t="e">
        <f t="shared" si="87"/>
        <v>#DIV/0!</v>
      </c>
    </row>
    <row r="1825" customHeight="1" spans="1:21">
      <c r="A1825" s="42" t="str">
        <f t="shared" si="86"/>
        <v/>
      </c>
      <c r="G1825" s="47" t="e">
        <f t="shared" si="85"/>
        <v>#DIV/0!</v>
      </c>
      <c r="U1825" s="49" t="e">
        <f t="shared" si="87"/>
        <v>#DIV/0!</v>
      </c>
    </row>
    <row r="1826" customHeight="1" spans="1:21">
      <c r="A1826" s="42" t="str">
        <f t="shared" si="86"/>
        <v/>
      </c>
      <c r="G1826" s="47" t="e">
        <f t="shared" si="85"/>
        <v>#DIV/0!</v>
      </c>
      <c r="U1826" s="49" t="e">
        <f t="shared" si="87"/>
        <v>#DIV/0!</v>
      </c>
    </row>
    <row r="1827" customHeight="1" spans="1:21">
      <c r="A1827" s="42" t="str">
        <f t="shared" si="86"/>
        <v/>
      </c>
      <c r="G1827" s="47" t="e">
        <f t="shared" si="85"/>
        <v>#DIV/0!</v>
      </c>
      <c r="U1827" s="49" t="e">
        <f t="shared" si="87"/>
        <v>#DIV/0!</v>
      </c>
    </row>
    <row r="1828" customHeight="1" spans="1:21">
      <c r="A1828" s="42" t="str">
        <f t="shared" si="86"/>
        <v/>
      </c>
      <c r="G1828" s="47" t="e">
        <f t="shared" si="85"/>
        <v>#DIV/0!</v>
      </c>
      <c r="U1828" s="49" t="e">
        <f t="shared" si="87"/>
        <v>#DIV/0!</v>
      </c>
    </row>
    <row r="1829" customHeight="1" spans="1:21">
      <c r="A1829" s="42" t="str">
        <f t="shared" si="86"/>
        <v/>
      </c>
      <c r="G1829" s="47" t="e">
        <f t="shared" si="85"/>
        <v>#DIV/0!</v>
      </c>
      <c r="U1829" s="49" t="e">
        <f t="shared" si="87"/>
        <v>#DIV/0!</v>
      </c>
    </row>
    <row r="1830" customHeight="1" spans="1:21">
      <c r="A1830" s="42" t="str">
        <f t="shared" si="86"/>
        <v/>
      </c>
      <c r="G1830" s="47" t="e">
        <f t="shared" si="85"/>
        <v>#DIV/0!</v>
      </c>
      <c r="U1830" s="49" t="e">
        <f t="shared" si="87"/>
        <v>#DIV/0!</v>
      </c>
    </row>
    <row r="1831" customHeight="1" spans="1:21">
      <c r="A1831" s="42" t="str">
        <f t="shared" si="86"/>
        <v/>
      </c>
      <c r="G1831" s="47" t="e">
        <f t="shared" si="85"/>
        <v>#DIV/0!</v>
      </c>
      <c r="U1831" s="49" t="e">
        <f t="shared" si="87"/>
        <v>#DIV/0!</v>
      </c>
    </row>
    <row r="1832" customHeight="1" spans="1:21">
      <c r="A1832" s="42" t="str">
        <f t="shared" si="86"/>
        <v/>
      </c>
      <c r="G1832" s="47" t="e">
        <f t="shared" si="85"/>
        <v>#DIV/0!</v>
      </c>
      <c r="U1832" s="49" t="e">
        <f t="shared" si="87"/>
        <v>#DIV/0!</v>
      </c>
    </row>
    <row r="1833" customHeight="1" spans="1:21">
      <c r="A1833" s="42" t="str">
        <f t="shared" si="86"/>
        <v/>
      </c>
      <c r="G1833" s="47" t="e">
        <f t="shared" si="85"/>
        <v>#DIV/0!</v>
      </c>
      <c r="U1833" s="49" t="e">
        <f t="shared" si="87"/>
        <v>#DIV/0!</v>
      </c>
    </row>
    <row r="1834" customHeight="1" spans="1:21">
      <c r="A1834" s="42" t="str">
        <f t="shared" si="86"/>
        <v/>
      </c>
      <c r="G1834" s="47" t="e">
        <f t="shared" si="85"/>
        <v>#DIV/0!</v>
      </c>
      <c r="U1834" s="49" t="e">
        <f t="shared" si="87"/>
        <v>#DIV/0!</v>
      </c>
    </row>
    <row r="1835" customHeight="1" spans="1:21">
      <c r="A1835" s="42" t="str">
        <f t="shared" si="86"/>
        <v/>
      </c>
      <c r="G1835" s="47" t="e">
        <f t="shared" si="85"/>
        <v>#DIV/0!</v>
      </c>
      <c r="U1835" s="49" t="e">
        <f t="shared" si="87"/>
        <v>#DIV/0!</v>
      </c>
    </row>
    <row r="1836" customHeight="1" spans="1:21">
      <c r="A1836" s="42" t="str">
        <f t="shared" si="86"/>
        <v/>
      </c>
      <c r="G1836" s="47" t="e">
        <f t="shared" si="85"/>
        <v>#DIV/0!</v>
      </c>
      <c r="U1836" s="49" t="e">
        <f t="shared" si="87"/>
        <v>#DIV/0!</v>
      </c>
    </row>
    <row r="1837" customHeight="1" spans="1:21">
      <c r="A1837" s="42" t="str">
        <f t="shared" si="86"/>
        <v/>
      </c>
      <c r="G1837" s="47" t="e">
        <f t="shared" si="85"/>
        <v>#DIV/0!</v>
      </c>
      <c r="U1837" s="49" t="e">
        <f t="shared" si="87"/>
        <v>#DIV/0!</v>
      </c>
    </row>
    <row r="1838" customHeight="1" spans="1:21">
      <c r="A1838" s="42" t="str">
        <f t="shared" si="86"/>
        <v/>
      </c>
      <c r="G1838" s="47" t="e">
        <f t="shared" si="85"/>
        <v>#DIV/0!</v>
      </c>
      <c r="U1838" s="49" t="e">
        <f t="shared" si="87"/>
        <v>#DIV/0!</v>
      </c>
    </row>
    <row r="1839" customHeight="1" spans="1:21">
      <c r="A1839" s="42" t="str">
        <f t="shared" si="86"/>
        <v/>
      </c>
      <c r="G1839" s="47" t="e">
        <f t="shared" si="85"/>
        <v>#DIV/0!</v>
      </c>
      <c r="U1839" s="49" t="e">
        <f t="shared" si="87"/>
        <v>#DIV/0!</v>
      </c>
    </row>
    <row r="1840" customHeight="1" spans="1:21">
      <c r="A1840" s="42" t="str">
        <f t="shared" si="86"/>
        <v/>
      </c>
      <c r="G1840" s="47" t="e">
        <f t="shared" si="85"/>
        <v>#DIV/0!</v>
      </c>
      <c r="U1840" s="49" t="e">
        <f t="shared" si="87"/>
        <v>#DIV/0!</v>
      </c>
    </row>
    <row r="1841" customHeight="1" spans="1:21">
      <c r="A1841" s="42" t="str">
        <f t="shared" si="86"/>
        <v/>
      </c>
      <c r="G1841" s="47" t="e">
        <f t="shared" si="85"/>
        <v>#DIV/0!</v>
      </c>
      <c r="U1841" s="49" t="e">
        <f t="shared" si="87"/>
        <v>#DIV/0!</v>
      </c>
    </row>
    <row r="1842" customHeight="1" spans="1:21">
      <c r="A1842" s="42" t="str">
        <f t="shared" si="86"/>
        <v/>
      </c>
      <c r="G1842" s="47" t="e">
        <f t="shared" si="85"/>
        <v>#DIV/0!</v>
      </c>
      <c r="U1842" s="49" t="e">
        <f t="shared" si="87"/>
        <v>#DIV/0!</v>
      </c>
    </row>
    <row r="1843" customHeight="1" spans="1:21">
      <c r="A1843" s="42" t="str">
        <f t="shared" si="86"/>
        <v/>
      </c>
      <c r="G1843" s="47" t="e">
        <f t="shared" si="85"/>
        <v>#DIV/0!</v>
      </c>
      <c r="U1843" s="49" t="e">
        <f t="shared" si="87"/>
        <v>#DIV/0!</v>
      </c>
    </row>
    <row r="1844" customHeight="1" spans="1:21">
      <c r="A1844" s="42" t="str">
        <f t="shared" si="86"/>
        <v/>
      </c>
      <c r="G1844" s="47" t="e">
        <f t="shared" si="85"/>
        <v>#DIV/0!</v>
      </c>
      <c r="U1844" s="49" t="e">
        <f t="shared" si="87"/>
        <v>#DIV/0!</v>
      </c>
    </row>
    <row r="1845" customHeight="1" spans="1:21">
      <c r="A1845" s="42" t="str">
        <f t="shared" si="86"/>
        <v/>
      </c>
      <c r="G1845" s="47" t="e">
        <f t="shared" si="85"/>
        <v>#DIV/0!</v>
      </c>
      <c r="U1845" s="49" t="e">
        <f t="shared" si="87"/>
        <v>#DIV/0!</v>
      </c>
    </row>
    <row r="1846" customHeight="1" spans="1:21">
      <c r="A1846" s="42" t="str">
        <f t="shared" si="86"/>
        <v/>
      </c>
      <c r="G1846" s="47" t="e">
        <f t="shared" si="85"/>
        <v>#DIV/0!</v>
      </c>
      <c r="U1846" s="49" t="e">
        <f t="shared" si="87"/>
        <v>#DIV/0!</v>
      </c>
    </row>
    <row r="1847" customHeight="1" spans="1:21">
      <c r="A1847" s="42" t="str">
        <f t="shared" si="86"/>
        <v/>
      </c>
      <c r="G1847" s="47" t="e">
        <f t="shared" si="85"/>
        <v>#DIV/0!</v>
      </c>
      <c r="U1847" s="49" t="e">
        <f t="shared" si="87"/>
        <v>#DIV/0!</v>
      </c>
    </row>
    <row r="1848" customHeight="1" spans="1:21">
      <c r="A1848" s="42" t="str">
        <f t="shared" si="86"/>
        <v/>
      </c>
      <c r="G1848" s="47" t="e">
        <f t="shared" si="85"/>
        <v>#DIV/0!</v>
      </c>
      <c r="U1848" s="49" t="e">
        <f t="shared" si="87"/>
        <v>#DIV/0!</v>
      </c>
    </row>
    <row r="1849" customHeight="1" spans="1:21">
      <c r="A1849" s="42" t="str">
        <f t="shared" si="86"/>
        <v/>
      </c>
      <c r="G1849" s="47" t="e">
        <f t="shared" si="85"/>
        <v>#DIV/0!</v>
      </c>
      <c r="U1849" s="49" t="e">
        <f t="shared" si="87"/>
        <v>#DIV/0!</v>
      </c>
    </row>
    <row r="1850" customHeight="1" spans="1:21">
      <c r="A1850" s="42" t="str">
        <f t="shared" si="86"/>
        <v/>
      </c>
      <c r="G1850" s="47" t="e">
        <f t="shared" si="85"/>
        <v>#DIV/0!</v>
      </c>
      <c r="U1850" s="49" t="e">
        <f t="shared" si="87"/>
        <v>#DIV/0!</v>
      </c>
    </row>
    <row r="1851" customHeight="1" spans="1:21">
      <c r="A1851" s="42" t="str">
        <f t="shared" si="86"/>
        <v/>
      </c>
      <c r="G1851" s="47" t="e">
        <f t="shared" si="85"/>
        <v>#DIV/0!</v>
      </c>
      <c r="U1851" s="49" t="e">
        <f t="shared" si="87"/>
        <v>#DIV/0!</v>
      </c>
    </row>
    <row r="1852" customHeight="1" spans="1:21">
      <c r="A1852" s="42" t="str">
        <f t="shared" si="86"/>
        <v/>
      </c>
      <c r="G1852" s="47" t="e">
        <f t="shared" si="85"/>
        <v>#DIV/0!</v>
      </c>
      <c r="U1852" s="49" t="e">
        <f t="shared" si="87"/>
        <v>#DIV/0!</v>
      </c>
    </row>
    <row r="1853" customHeight="1" spans="1:21">
      <c r="A1853" s="42" t="str">
        <f t="shared" si="86"/>
        <v/>
      </c>
      <c r="G1853" s="47" t="e">
        <f t="shared" si="85"/>
        <v>#DIV/0!</v>
      </c>
      <c r="U1853" s="49" t="e">
        <f t="shared" si="87"/>
        <v>#DIV/0!</v>
      </c>
    </row>
    <row r="1854" customHeight="1" spans="1:21">
      <c r="A1854" s="42" t="str">
        <f t="shared" si="86"/>
        <v/>
      </c>
      <c r="G1854" s="47" t="e">
        <f t="shared" si="85"/>
        <v>#DIV/0!</v>
      </c>
      <c r="U1854" s="49" t="e">
        <f t="shared" si="87"/>
        <v>#DIV/0!</v>
      </c>
    </row>
    <row r="1855" customHeight="1" spans="1:21">
      <c r="A1855" s="42" t="str">
        <f t="shared" si="86"/>
        <v/>
      </c>
      <c r="G1855" s="47" t="e">
        <f t="shared" si="85"/>
        <v>#DIV/0!</v>
      </c>
      <c r="U1855" s="49" t="e">
        <f t="shared" si="87"/>
        <v>#DIV/0!</v>
      </c>
    </row>
    <row r="1856" customHeight="1" spans="1:21">
      <c r="A1856" s="42" t="str">
        <f t="shared" si="86"/>
        <v/>
      </c>
      <c r="G1856" s="47" t="e">
        <f t="shared" si="85"/>
        <v>#DIV/0!</v>
      </c>
      <c r="U1856" s="49" t="e">
        <f t="shared" si="87"/>
        <v>#DIV/0!</v>
      </c>
    </row>
    <row r="1857" customHeight="1" spans="1:21">
      <c r="A1857" s="42" t="str">
        <f t="shared" si="86"/>
        <v/>
      </c>
      <c r="G1857" s="47" t="e">
        <f t="shared" si="85"/>
        <v>#DIV/0!</v>
      </c>
      <c r="U1857" s="49" t="e">
        <f t="shared" si="87"/>
        <v>#DIV/0!</v>
      </c>
    </row>
    <row r="1858" customHeight="1" spans="1:21">
      <c r="A1858" s="42" t="str">
        <f t="shared" si="86"/>
        <v/>
      </c>
      <c r="G1858" s="47" t="e">
        <f t="shared" si="85"/>
        <v>#DIV/0!</v>
      </c>
      <c r="U1858" s="49" t="e">
        <f t="shared" si="87"/>
        <v>#DIV/0!</v>
      </c>
    </row>
    <row r="1859" customHeight="1" spans="1:21">
      <c r="A1859" s="42" t="str">
        <f t="shared" si="86"/>
        <v/>
      </c>
      <c r="G1859" s="47" t="e">
        <f t="shared" ref="G1859:G1922" si="88">+E1859/F1859</f>
        <v>#DIV/0!</v>
      </c>
      <c r="U1859" s="49" t="e">
        <f t="shared" si="87"/>
        <v>#DIV/0!</v>
      </c>
    </row>
    <row r="1860" customHeight="1" spans="1:21">
      <c r="A1860" s="42" t="str">
        <f t="shared" ref="A1860:A1923" si="89">B1860&amp;C1860&amp;D1860</f>
        <v/>
      </c>
      <c r="G1860" s="47" t="e">
        <f t="shared" si="88"/>
        <v>#DIV/0!</v>
      </c>
      <c r="U1860" s="49" t="e">
        <f t="shared" ref="U1860:U1923" si="90">SUM(G1860:T1860)</f>
        <v>#DIV/0!</v>
      </c>
    </row>
    <row r="1861" customHeight="1" spans="1:21">
      <c r="A1861" s="42" t="str">
        <f t="shared" si="89"/>
        <v/>
      </c>
      <c r="G1861" s="47" t="e">
        <f t="shared" si="88"/>
        <v>#DIV/0!</v>
      </c>
      <c r="U1861" s="49" t="e">
        <f t="shared" si="90"/>
        <v>#DIV/0!</v>
      </c>
    </row>
    <row r="1862" customHeight="1" spans="1:21">
      <c r="A1862" s="42" t="str">
        <f t="shared" si="89"/>
        <v/>
      </c>
      <c r="G1862" s="47" t="e">
        <f t="shared" si="88"/>
        <v>#DIV/0!</v>
      </c>
      <c r="U1862" s="49" t="e">
        <f t="shared" si="90"/>
        <v>#DIV/0!</v>
      </c>
    </row>
    <row r="1863" customHeight="1" spans="1:21">
      <c r="A1863" s="42" t="str">
        <f t="shared" si="89"/>
        <v/>
      </c>
      <c r="G1863" s="47" t="e">
        <f t="shared" si="88"/>
        <v>#DIV/0!</v>
      </c>
      <c r="U1863" s="49" t="e">
        <f t="shared" si="90"/>
        <v>#DIV/0!</v>
      </c>
    </row>
    <row r="1864" customHeight="1" spans="1:21">
      <c r="A1864" s="42" t="str">
        <f t="shared" si="89"/>
        <v/>
      </c>
      <c r="G1864" s="47" t="e">
        <f t="shared" si="88"/>
        <v>#DIV/0!</v>
      </c>
      <c r="U1864" s="49" t="e">
        <f t="shared" si="90"/>
        <v>#DIV/0!</v>
      </c>
    </row>
    <row r="1865" customHeight="1" spans="1:21">
      <c r="A1865" s="42" t="str">
        <f t="shared" si="89"/>
        <v/>
      </c>
      <c r="G1865" s="47" t="e">
        <f t="shared" si="88"/>
        <v>#DIV/0!</v>
      </c>
      <c r="U1865" s="49" t="e">
        <f t="shared" si="90"/>
        <v>#DIV/0!</v>
      </c>
    </row>
    <row r="1866" customHeight="1" spans="1:21">
      <c r="A1866" s="42" t="str">
        <f t="shared" si="89"/>
        <v/>
      </c>
      <c r="G1866" s="47" t="e">
        <f t="shared" si="88"/>
        <v>#DIV/0!</v>
      </c>
      <c r="U1866" s="49" t="e">
        <f t="shared" si="90"/>
        <v>#DIV/0!</v>
      </c>
    </row>
    <row r="1867" customHeight="1" spans="1:21">
      <c r="A1867" s="42" t="str">
        <f t="shared" si="89"/>
        <v/>
      </c>
      <c r="G1867" s="47" t="e">
        <f t="shared" si="88"/>
        <v>#DIV/0!</v>
      </c>
      <c r="U1867" s="49" t="e">
        <f t="shared" si="90"/>
        <v>#DIV/0!</v>
      </c>
    </row>
    <row r="1868" customHeight="1" spans="1:21">
      <c r="A1868" s="42" t="str">
        <f t="shared" si="89"/>
        <v/>
      </c>
      <c r="G1868" s="47" t="e">
        <f t="shared" si="88"/>
        <v>#DIV/0!</v>
      </c>
      <c r="U1868" s="49" t="e">
        <f t="shared" si="90"/>
        <v>#DIV/0!</v>
      </c>
    </row>
    <row r="1869" customHeight="1" spans="1:21">
      <c r="A1869" s="42" t="str">
        <f t="shared" si="89"/>
        <v/>
      </c>
      <c r="G1869" s="47" t="e">
        <f t="shared" si="88"/>
        <v>#DIV/0!</v>
      </c>
      <c r="U1869" s="49" t="e">
        <f t="shared" si="90"/>
        <v>#DIV/0!</v>
      </c>
    </row>
    <row r="1870" customHeight="1" spans="1:21">
      <c r="A1870" s="42" t="str">
        <f t="shared" si="89"/>
        <v/>
      </c>
      <c r="G1870" s="47" t="e">
        <f t="shared" si="88"/>
        <v>#DIV/0!</v>
      </c>
      <c r="U1870" s="49" t="e">
        <f t="shared" si="90"/>
        <v>#DIV/0!</v>
      </c>
    </row>
    <row r="1871" customHeight="1" spans="1:21">
      <c r="A1871" s="42" t="str">
        <f t="shared" si="89"/>
        <v/>
      </c>
      <c r="G1871" s="47" t="e">
        <f t="shared" si="88"/>
        <v>#DIV/0!</v>
      </c>
      <c r="U1871" s="49" t="e">
        <f t="shared" si="90"/>
        <v>#DIV/0!</v>
      </c>
    </row>
    <row r="1872" customHeight="1" spans="1:21">
      <c r="A1872" s="42" t="str">
        <f t="shared" si="89"/>
        <v/>
      </c>
      <c r="G1872" s="47" t="e">
        <f t="shared" si="88"/>
        <v>#DIV/0!</v>
      </c>
      <c r="U1872" s="49" t="e">
        <f t="shared" si="90"/>
        <v>#DIV/0!</v>
      </c>
    </row>
    <row r="1873" customHeight="1" spans="1:21">
      <c r="A1873" s="42" t="str">
        <f t="shared" si="89"/>
        <v/>
      </c>
      <c r="G1873" s="47" t="e">
        <f t="shared" si="88"/>
        <v>#DIV/0!</v>
      </c>
      <c r="U1873" s="49" t="e">
        <f t="shared" si="90"/>
        <v>#DIV/0!</v>
      </c>
    </row>
    <row r="1874" customHeight="1" spans="1:21">
      <c r="A1874" s="42" t="str">
        <f t="shared" si="89"/>
        <v/>
      </c>
      <c r="G1874" s="47" t="e">
        <f t="shared" si="88"/>
        <v>#DIV/0!</v>
      </c>
      <c r="U1874" s="49" t="e">
        <f t="shared" si="90"/>
        <v>#DIV/0!</v>
      </c>
    </row>
    <row r="1875" customHeight="1" spans="1:21">
      <c r="A1875" s="42" t="str">
        <f t="shared" si="89"/>
        <v/>
      </c>
      <c r="G1875" s="47" t="e">
        <f t="shared" si="88"/>
        <v>#DIV/0!</v>
      </c>
      <c r="U1875" s="49" t="e">
        <f t="shared" si="90"/>
        <v>#DIV/0!</v>
      </c>
    </row>
    <row r="1876" customHeight="1" spans="1:21">
      <c r="A1876" s="42" t="str">
        <f t="shared" si="89"/>
        <v/>
      </c>
      <c r="G1876" s="47" t="e">
        <f t="shared" si="88"/>
        <v>#DIV/0!</v>
      </c>
      <c r="U1876" s="49" t="e">
        <f t="shared" si="90"/>
        <v>#DIV/0!</v>
      </c>
    </row>
    <row r="1877" customHeight="1" spans="1:21">
      <c r="A1877" s="42" t="str">
        <f t="shared" si="89"/>
        <v/>
      </c>
      <c r="G1877" s="47" t="e">
        <f t="shared" si="88"/>
        <v>#DIV/0!</v>
      </c>
      <c r="U1877" s="49" t="e">
        <f t="shared" si="90"/>
        <v>#DIV/0!</v>
      </c>
    </row>
    <row r="1878" customHeight="1" spans="1:21">
      <c r="A1878" s="42" t="str">
        <f t="shared" si="89"/>
        <v/>
      </c>
      <c r="G1878" s="47" t="e">
        <f t="shared" si="88"/>
        <v>#DIV/0!</v>
      </c>
      <c r="U1878" s="49" t="e">
        <f t="shared" si="90"/>
        <v>#DIV/0!</v>
      </c>
    </row>
    <row r="1879" customHeight="1" spans="1:21">
      <c r="A1879" s="42" t="str">
        <f t="shared" si="89"/>
        <v/>
      </c>
      <c r="G1879" s="47" t="e">
        <f t="shared" si="88"/>
        <v>#DIV/0!</v>
      </c>
      <c r="U1879" s="49" t="e">
        <f t="shared" si="90"/>
        <v>#DIV/0!</v>
      </c>
    </row>
    <row r="1880" customHeight="1" spans="1:21">
      <c r="A1880" s="42" t="str">
        <f t="shared" si="89"/>
        <v/>
      </c>
      <c r="G1880" s="47" t="e">
        <f t="shared" si="88"/>
        <v>#DIV/0!</v>
      </c>
      <c r="U1880" s="49" t="e">
        <f t="shared" si="90"/>
        <v>#DIV/0!</v>
      </c>
    </row>
    <row r="1881" customHeight="1" spans="1:21">
      <c r="A1881" s="42" t="str">
        <f t="shared" si="89"/>
        <v/>
      </c>
      <c r="G1881" s="47" t="e">
        <f t="shared" si="88"/>
        <v>#DIV/0!</v>
      </c>
      <c r="U1881" s="49" t="e">
        <f t="shared" si="90"/>
        <v>#DIV/0!</v>
      </c>
    </row>
    <row r="1882" customHeight="1" spans="1:21">
      <c r="A1882" s="42" t="str">
        <f t="shared" si="89"/>
        <v/>
      </c>
      <c r="G1882" s="47" t="e">
        <f t="shared" si="88"/>
        <v>#DIV/0!</v>
      </c>
      <c r="U1882" s="49" t="e">
        <f t="shared" si="90"/>
        <v>#DIV/0!</v>
      </c>
    </row>
    <row r="1883" customHeight="1" spans="1:21">
      <c r="A1883" s="42" t="str">
        <f t="shared" si="89"/>
        <v/>
      </c>
      <c r="G1883" s="47" t="e">
        <f t="shared" si="88"/>
        <v>#DIV/0!</v>
      </c>
      <c r="U1883" s="49" t="e">
        <f t="shared" si="90"/>
        <v>#DIV/0!</v>
      </c>
    </row>
    <row r="1884" customHeight="1" spans="1:21">
      <c r="A1884" s="42" t="str">
        <f t="shared" si="89"/>
        <v/>
      </c>
      <c r="G1884" s="47" t="e">
        <f t="shared" si="88"/>
        <v>#DIV/0!</v>
      </c>
      <c r="U1884" s="49" t="e">
        <f t="shared" si="90"/>
        <v>#DIV/0!</v>
      </c>
    </row>
    <row r="1885" customHeight="1" spans="1:21">
      <c r="A1885" s="42" t="str">
        <f t="shared" si="89"/>
        <v/>
      </c>
      <c r="G1885" s="47" t="e">
        <f t="shared" si="88"/>
        <v>#DIV/0!</v>
      </c>
      <c r="U1885" s="49" t="e">
        <f t="shared" si="90"/>
        <v>#DIV/0!</v>
      </c>
    </row>
    <row r="1886" customHeight="1" spans="1:21">
      <c r="A1886" s="42" t="str">
        <f t="shared" si="89"/>
        <v/>
      </c>
      <c r="G1886" s="47" t="e">
        <f t="shared" si="88"/>
        <v>#DIV/0!</v>
      </c>
      <c r="U1886" s="49" t="e">
        <f t="shared" si="90"/>
        <v>#DIV/0!</v>
      </c>
    </row>
    <row r="1887" customHeight="1" spans="1:21">
      <c r="A1887" s="42" t="str">
        <f t="shared" si="89"/>
        <v/>
      </c>
      <c r="G1887" s="47" t="e">
        <f t="shared" si="88"/>
        <v>#DIV/0!</v>
      </c>
      <c r="U1887" s="49" t="e">
        <f t="shared" si="90"/>
        <v>#DIV/0!</v>
      </c>
    </row>
    <row r="1888" customHeight="1" spans="1:21">
      <c r="A1888" s="42" t="str">
        <f t="shared" si="89"/>
        <v/>
      </c>
      <c r="G1888" s="47" t="e">
        <f t="shared" si="88"/>
        <v>#DIV/0!</v>
      </c>
      <c r="U1888" s="49" t="e">
        <f t="shared" si="90"/>
        <v>#DIV/0!</v>
      </c>
    </row>
    <row r="1889" customHeight="1" spans="1:21">
      <c r="A1889" s="42" t="str">
        <f t="shared" si="89"/>
        <v/>
      </c>
      <c r="G1889" s="47" t="e">
        <f t="shared" si="88"/>
        <v>#DIV/0!</v>
      </c>
      <c r="U1889" s="49" t="e">
        <f t="shared" si="90"/>
        <v>#DIV/0!</v>
      </c>
    </row>
    <row r="1890" customHeight="1" spans="1:21">
      <c r="A1890" s="42" t="str">
        <f t="shared" si="89"/>
        <v/>
      </c>
      <c r="G1890" s="47" t="e">
        <f t="shared" si="88"/>
        <v>#DIV/0!</v>
      </c>
      <c r="U1890" s="49" t="e">
        <f t="shared" si="90"/>
        <v>#DIV/0!</v>
      </c>
    </row>
    <row r="1891" customHeight="1" spans="1:21">
      <c r="A1891" s="42" t="str">
        <f t="shared" si="89"/>
        <v/>
      </c>
      <c r="G1891" s="47" t="e">
        <f t="shared" si="88"/>
        <v>#DIV/0!</v>
      </c>
      <c r="U1891" s="49" t="e">
        <f t="shared" si="90"/>
        <v>#DIV/0!</v>
      </c>
    </row>
    <row r="1892" customHeight="1" spans="1:21">
      <c r="A1892" s="42" t="str">
        <f t="shared" si="89"/>
        <v/>
      </c>
      <c r="G1892" s="47" t="e">
        <f t="shared" si="88"/>
        <v>#DIV/0!</v>
      </c>
      <c r="U1892" s="49" t="e">
        <f t="shared" si="90"/>
        <v>#DIV/0!</v>
      </c>
    </row>
    <row r="1893" customHeight="1" spans="1:21">
      <c r="A1893" s="42" t="str">
        <f t="shared" si="89"/>
        <v/>
      </c>
      <c r="G1893" s="47" t="e">
        <f t="shared" si="88"/>
        <v>#DIV/0!</v>
      </c>
      <c r="U1893" s="49" t="e">
        <f t="shared" si="90"/>
        <v>#DIV/0!</v>
      </c>
    </row>
    <row r="1894" customHeight="1" spans="1:21">
      <c r="A1894" s="42" t="str">
        <f t="shared" si="89"/>
        <v/>
      </c>
      <c r="G1894" s="47" t="e">
        <f t="shared" si="88"/>
        <v>#DIV/0!</v>
      </c>
      <c r="U1894" s="49" t="e">
        <f t="shared" si="90"/>
        <v>#DIV/0!</v>
      </c>
    </row>
    <row r="1895" customHeight="1" spans="1:21">
      <c r="A1895" s="42" t="str">
        <f t="shared" si="89"/>
        <v/>
      </c>
      <c r="G1895" s="47" t="e">
        <f t="shared" si="88"/>
        <v>#DIV/0!</v>
      </c>
      <c r="U1895" s="49" t="e">
        <f t="shared" si="90"/>
        <v>#DIV/0!</v>
      </c>
    </row>
    <row r="1896" customHeight="1" spans="1:21">
      <c r="A1896" s="42" t="str">
        <f t="shared" si="89"/>
        <v/>
      </c>
      <c r="G1896" s="47" t="e">
        <f t="shared" si="88"/>
        <v>#DIV/0!</v>
      </c>
      <c r="U1896" s="49" t="e">
        <f t="shared" si="90"/>
        <v>#DIV/0!</v>
      </c>
    </row>
    <row r="1897" customHeight="1" spans="1:21">
      <c r="A1897" s="42" t="str">
        <f t="shared" si="89"/>
        <v/>
      </c>
      <c r="G1897" s="47" t="e">
        <f t="shared" si="88"/>
        <v>#DIV/0!</v>
      </c>
      <c r="U1897" s="49" t="e">
        <f t="shared" si="90"/>
        <v>#DIV/0!</v>
      </c>
    </row>
    <row r="1898" customHeight="1" spans="1:21">
      <c r="A1898" s="42" t="str">
        <f t="shared" si="89"/>
        <v/>
      </c>
      <c r="G1898" s="47" t="e">
        <f t="shared" si="88"/>
        <v>#DIV/0!</v>
      </c>
      <c r="U1898" s="49" t="e">
        <f t="shared" si="90"/>
        <v>#DIV/0!</v>
      </c>
    </row>
    <row r="1899" customHeight="1" spans="1:21">
      <c r="A1899" s="42" t="str">
        <f t="shared" si="89"/>
        <v/>
      </c>
      <c r="G1899" s="47" t="e">
        <f t="shared" si="88"/>
        <v>#DIV/0!</v>
      </c>
      <c r="U1899" s="49" t="e">
        <f t="shared" si="90"/>
        <v>#DIV/0!</v>
      </c>
    </row>
    <row r="1900" customHeight="1" spans="1:21">
      <c r="A1900" s="42" t="str">
        <f t="shared" si="89"/>
        <v/>
      </c>
      <c r="G1900" s="47" t="e">
        <f t="shared" si="88"/>
        <v>#DIV/0!</v>
      </c>
      <c r="U1900" s="49" t="e">
        <f t="shared" si="90"/>
        <v>#DIV/0!</v>
      </c>
    </row>
    <row r="1901" customHeight="1" spans="1:21">
      <c r="A1901" s="42" t="str">
        <f t="shared" si="89"/>
        <v/>
      </c>
      <c r="G1901" s="47" t="e">
        <f t="shared" si="88"/>
        <v>#DIV/0!</v>
      </c>
      <c r="U1901" s="49" t="e">
        <f t="shared" si="90"/>
        <v>#DIV/0!</v>
      </c>
    </row>
    <row r="1902" customHeight="1" spans="1:21">
      <c r="A1902" s="42" t="str">
        <f t="shared" si="89"/>
        <v/>
      </c>
      <c r="G1902" s="47" t="e">
        <f t="shared" si="88"/>
        <v>#DIV/0!</v>
      </c>
      <c r="U1902" s="49" t="e">
        <f t="shared" si="90"/>
        <v>#DIV/0!</v>
      </c>
    </row>
    <row r="1903" customHeight="1" spans="1:21">
      <c r="A1903" s="42" t="str">
        <f t="shared" si="89"/>
        <v/>
      </c>
      <c r="G1903" s="47" t="e">
        <f t="shared" si="88"/>
        <v>#DIV/0!</v>
      </c>
      <c r="U1903" s="49" t="e">
        <f t="shared" si="90"/>
        <v>#DIV/0!</v>
      </c>
    </row>
    <row r="1904" customHeight="1" spans="1:21">
      <c r="A1904" s="42" t="str">
        <f t="shared" si="89"/>
        <v/>
      </c>
      <c r="G1904" s="47" t="e">
        <f t="shared" si="88"/>
        <v>#DIV/0!</v>
      </c>
      <c r="U1904" s="49" t="e">
        <f t="shared" si="90"/>
        <v>#DIV/0!</v>
      </c>
    </row>
    <row r="1905" customHeight="1" spans="1:21">
      <c r="A1905" s="42" t="str">
        <f t="shared" si="89"/>
        <v/>
      </c>
      <c r="G1905" s="47" t="e">
        <f t="shared" si="88"/>
        <v>#DIV/0!</v>
      </c>
      <c r="U1905" s="49" t="e">
        <f t="shared" si="90"/>
        <v>#DIV/0!</v>
      </c>
    </row>
    <row r="1906" customHeight="1" spans="1:21">
      <c r="A1906" s="42" t="str">
        <f t="shared" si="89"/>
        <v/>
      </c>
      <c r="G1906" s="47" t="e">
        <f t="shared" si="88"/>
        <v>#DIV/0!</v>
      </c>
      <c r="U1906" s="49" t="e">
        <f t="shared" si="90"/>
        <v>#DIV/0!</v>
      </c>
    </row>
    <row r="1907" customHeight="1" spans="1:21">
      <c r="A1907" s="42" t="str">
        <f t="shared" si="89"/>
        <v/>
      </c>
      <c r="G1907" s="47" t="e">
        <f t="shared" si="88"/>
        <v>#DIV/0!</v>
      </c>
      <c r="U1907" s="49" t="e">
        <f t="shared" si="90"/>
        <v>#DIV/0!</v>
      </c>
    </row>
    <row r="1908" customHeight="1" spans="1:21">
      <c r="A1908" s="42" t="str">
        <f t="shared" si="89"/>
        <v/>
      </c>
      <c r="G1908" s="47" t="e">
        <f t="shared" si="88"/>
        <v>#DIV/0!</v>
      </c>
      <c r="U1908" s="49" t="e">
        <f t="shared" si="90"/>
        <v>#DIV/0!</v>
      </c>
    </row>
    <row r="1909" customHeight="1" spans="1:21">
      <c r="A1909" s="42" t="str">
        <f t="shared" si="89"/>
        <v/>
      </c>
      <c r="G1909" s="47" t="e">
        <f t="shared" si="88"/>
        <v>#DIV/0!</v>
      </c>
      <c r="U1909" s="49" t="e">
        <f t="shared" si="90"/>
        <v>#DIV/0!</v>
      </c>
    </row>
    <row r="1910" customHeight="1" spans="1:21">
      <c r="A1910" s="42" t="str">
        <f t="shared" si="89"/>
        <v/>
      </c>
      <c r="G1910" s="47" t="e">
        <f t="shared" si="88"/>
        <v>#DIV/0!</v>
      </c>
      <c r="U1910" s="49" t="e">
        <f t="shared" si="90"/>
        <v>#DIV/0!</v>
      </c>
    </row>
    <row r="1911" customHeight="1" spans="1:21">
      <c r="A1911" s="42" t="str">
        <f t="shared" si="89"/>
        <v/>
      </c>
      <c r="G1911" s="47" t="e">
        <f t="shared" si="88"/>
        <v>#DIV/0!</v>
      </c>
      <c r="U1911" s="49" t="e">
        <f t="shared" si="90"/>
        <v>#DIV/0!</v>
      </c>
    </row>
    <row r="1912" customHeight="1" spans="1:21">
      <c r="A1912" s="42" t="str">
        <f t="shared" si="89"/>
        <v/>
      </c>
      <c r="G1912" s="47" t="e">
        <f t="shared" si="88"/>
        <v>#DIV/0!</v>
      </c>
      <c r="U1912" s="49" t="e">
        <f t="shared" si="90"/>
        <v>#DIV/0!</v>
      </c>
    </row>
    <row r="1913" customHeight="1" spans="1:21">
      <c r="A1913" s="42" t="str">
        <f t="shared" si="89"/>
        <v/>
      </c>
      <c r="G1913" s="47" t="e">
        <f t="shared" si="88"/>
        <v>#DIV/0!</v>
      </c>
      <c r="U1913" s="49" t="e">
        <f t="shared" si="90"/>
        <v>#DIV/0!</v>
      </c>
    </row>
    <row r="1914" customHeight="1" spans="1:21">
      <c r="A1914" s="42" t="str">
        <f t="shared" si="89"/>
        <v/>
      </c>
      <c r="G1914" s="47" t="e">
        <f t="shared" si="88"/>
        <v>#DIV/0!</v>
      </c>
      <c r="U1914" s="49" t="e">
        <f t="shared" si="90"/>
        <v>#DIV/0!</v>
      </c>
    </row>
    <row r="1915" customHeight="1" spans="1:21">
      <c r="A1915" s="42" t="str">
        <f t="shared" si="89"/>
        <v/>
      </c>
      <c r="G1915" s="47" t="e">
        <f t="shared" si="88"/>
        <v>#DIV/0!</v>
      </c>
      <c r="U1915" s="49" t="e">
        <f t="shared" si="90"/>
        <v>#DIV/0!</v>
      </c>
    </row>
    <row r="1916" customHeight="1" spans="1:21">
      <c r="A1916" s="42" t="str">
        <f t="shared" si="89"/>
        <v/>
      </c>
      <c r="G1916" s="47" t="e">
        <f t="shared" si="88"/>
        <v>#DIV/0!</v>
      </c>
      <c r="U1916" s="49" t="e">
        <f t="shared" si="90"/>
        <v>#DIV/0!</v>
      </c>
    </row>
    <row r="1917" customHeight="1" spans="1:21">
      <c r="A1917" s="42" t="str">
        <f t="shared" si="89"/>
        <v/>
      </c>
      <c r="G1917" s="47" t="e">
        <f t="shared" si="88"/>
        <v>#DIV/0!</v>
      </c>
      <c r="U1917" s="49" t="e">
        <f t="shared" si="90"/>
        <v>#DIV/0!</v>
      </c>
    </row>
    <row r="1918" customHeight="1" spans="1:21">
      <c r="A1918" s="42" t="str">
        <f t="shared" si="89"/>
        <v/>
      </c>
      <c r="G1918" s="47" t="e">
        <f t="shared" si="88"/>
        <v>#DIV/0!</v>
      </c>
      <c r="U1918" s="49" t="e">
        <f t="shared" si="90"/>
        <v>#DIV/0!</v>
      </c>
    </row>
    <row r="1919" customHeight="1" spans="1:21">
      <c r="A1919" s="42" t="str">
        <f t="shared" si="89"/>
        <v/>
      </c>
      <c r="G1919" s="47" t="e">
        <f t="shared" si="88"/>
        <v>#DIV/0!</v>
      </c>
      <c r="U1919" s="49" t="e">
        <f t="shared" si="90"/>
        <v>#DIV/0!</v>
      </c>
    </row>
    <row r="1920" customHeight="1" spans="1:21">
      <c r="A1920" s="42" t="str">
        <f t="shared" si="89"/>
        <v/>
      </c>
      <c r="G1920" s="47" t="e">
        <f t="shared" si="88"/>
        <v>#DIV/0!</v>
      </c>
      <c r="U1920" s="49" t="e">
        <f t="shared" si="90"/>
        <v>#DIV/0!</v>
      </c>
    </row>
    <row r="1921" customHeight="1" spans="1:21">
      <c r="A1921" s="42" t="str">
        <f t="shared" si="89"/>
        <v/>
      </c>
      <c r="G1921" s="47" t="e">
        <f t="shared" si="88"/>
        <v>#DIV/0!</v>
      </c>
      <c r="U1921" s="49" t="e">
        <f t="shared" si="90"/>
        <v>#DIV/0!</v>
      </c>
    </row>
    <row r="1922" customHeight="1" spans="1:21">
      <c r="A1922" s="42" t="str">
        <f t="shared" si="89"/>
        <v/>
      </c>
      <c r="G1922" s="47" t="e">
        <f t="shared" si="88"/>
        <v>#DIV/0!</v>
      </c>
      <c r="U1922" s="49" t="e">
        <f t="shared" si="90"/>
        <v>#DIV/0!</v>
      </c>
    </row>
    <row r="1923" customHeight="1" spans="1:21">
      <c r="A1923" s="42" t="str">
        <f t="shared" si="89"/>
        <v/>
      </c>
      <c r="G1923" s="47" t="e">
        <f t="shared" ref="G1923:G1986" si="91">+E1923/F1923</f>
        <v>#DIV/0!</v>
      </c>
      <c r="U1923" s="49" t="e">
        <f t="shared" si="90"/>
        <v>#DIV/0!</v>
      </c>
    </row>
    <row r="1924" customHeight="1" spans="1:21">
      <c r="A1924" s="42" t="str">
        <f t="shared" ref="A1924:A1987" si="92">B1924&amp;C1924&amp;D1924</f>
        <v/>
      </c>
      <c r="G1924" s="47" t="e">
        <f t="shared" si="91"/>
        <v>#DIV/0!</v>
      </c>
      <c r="U1924" s="49" t="e">
        <f t="shared" ref="U1924:U1987" si="93">SUM(G1924:T1924)</f>
        <v>#DIV/0!</v>
      </c>
    </row>
    <row r="1925" customHeight="1" spans="1:21">
      <c r="A1925" s="42" t="str">
        <f t="shared" si="92"/>
        <v/>
      </c>
      <c r="G1925" s="47" t="e">
        <f t="shared" si="91"/>
        <v>#DIV/0!</v>
      </c>
      <c r="U1925" s="49" t="e">
        <f t="shared" si="93"/>
        <v>#DIV/0!</v>
      </c>
    </row>
    <row r="1926" customHeight="1" spans="1:21">
      <c r="A1926" s="42" t="str">
        <f t="shared" si="92"/>
        <v/>
      </c>
      <c r="G1926" s="47" t="e">
        <f t="shared" si="91"/>
        <v>#DIV/0!</v>
      </c>
      <c r="U1926" s="49" t="e">
        <f t="shared" si="93"/>
        <v>#DIV/0!</v>
      </c>
    </row>
    <row r="1927" customHeight="1" spans="1:21">
      <c r="A1927" s="42" t="str">
        <f t="shared" si="92"/>
        <v/>
      </c>
      <c r="G1927" s="47" t="e">
        <f t="shared" si="91"/>
        <v>#DIV/0!</v>
      </c>
      <c r="U1927" s="49" t="e">
        <f t="shared" si="93"/>
        <v>#DIV/0!</v>
      </c>
    </row>
    <row r="1928" customHeight="1" spans="1:21">
      <c r="A1928" s="42" t="str">
        <f t="shared" si="92"/>
        <v/>
      </c>
      <c r="G1928" s="47" t="e">
        <f t="shared" si="91"/>
        <v>#DIV/0!</v>
      </c>
      <c r="U1928" s="49" t="e">
        <f t="shared" si="93"/>
        <v>#DIV/0!</v>
      </c>
    </row>
    <row r="1929" customHeight="1" spans="1:21">
      <c r="A1929" s="42" t="str">
        <f t="shared" si="92"/>
        <v/>
      </c>
      <c r="G1929" s="47" t="e">
        <f t="shared" si="91"/>
        <v>#DIV/0!</v>
      </c>
      <c r="U1929" s="49" t="e">
        <f t="shared" si="93"/>
        <v>#DIV/0!</v>
      </c>
    </row>
    <row r="1930" customHeight="1" spans="1:21">
      <c r="A1930" s="42" t="str">
        <f t="shared" si="92"/>
        <v/>
      </c>
      <c r="G1930" s="47" t="e">
        <f t="shared" si="91"/>
        <v>#DIV/0!</v>
      </c>
      <c r="U1930" s="49" t="e">
        <f t="shared" si="93"/>
        <v>#DIV/0!</v>
      </c>
    </row>
    <row r="1931" customHeight="1" spans="1:21">
      <c r="A1931" s="42" t="str">
        <f t="shared" si="92"/>
        <v/>
      </c>
      <c r="G1931" s="47" t="e">
        <f t="shared" si="91"/>
        <v>#DIV/0!</v>
      </c>
      <c r="U1931" s="49" t="e">
        <f t="shared" si="93"/>
        <v>#DIV/0!</v>
      </c>
    </row>
    <row r="1932" customHeight="1" spans="1:21">
      <c r="A1932" s="42" t="str">
        <f t="shared" si="92"/>
        <v/>
      </c>
      <c r="G1932" s="47" t="e">
        <f t="shared" si="91"/>
        <v>#DIV/0!</v>
      </c>
      <c r="U1932" s="49" t="e">
        <f t="shared" si="93"/>
        <v>#DIV/0!</v>
      </c>
    </row>
    <row r="1933" customHeight="1" spans="1:21">
      <c r="A1933" s="42" t="str">
        <f t="shared" si="92"/>
        <v/>
      </c>
      <c r="G1933" s="47" t="e">
        <f t="shared" si="91"/>
        <v>#DIV/0!</v>
      </c>
      <c r="U1933" s="49" t="e">
        <f t="shared" si="93"/>
        <v>#DIV/0!</v>
      </c>
    </row>
    <row r="1934" customHeight="1" spans="1:21">
      <c r="A1934" s="42" t="str">
        <f t="shared" si="92"/>
        <v/>
      </c>
      <c r="G1934" s="47" t="e">
        <f t="shared" si="91"/>
        <v>#DIV/0!</v>
      </c>
      <c r="U1934" s="49" t="e">
        <f t="shared" si="93"/>
        <v>#DIV/0!</v>
      </c>
    </row>
    <row r="1935" customHeight="1" spans="1:21">
      <c r="A1935" s="42" t="str">
        <f t="shared" si="92"/>
        <v/>
      </c>
      <c r="G1935" s="47" t="e">
        <f t="shared" si="91"/>
        <v>#DIV/0!</v>
      </c>
      <c r="U1935" s="49" t="e">
        <f t="shared" si="93"/>
        <v>#DIV/0!</v>
      </c>
    </row>
    <row r="1936" customHeight="1" spans="1:21">
      <c r="A1936" s="42" t="str">
        <f t="shared" si="92"/>
        <v/>
      </c>
      <c r="G1936" s="47" t="e">
        <f t="shared" si="91"/>
        <v>#DIV/0!</v>
      </c>
      <c r="U1936" s="49" t="e">
        <f t="shared" si="93"/>
        <v>#DIV/0!</v>
      </c>
    </row>
    <row r="1937" customHeight="1" spans="1:21">
      <c r="A1937" s="42" t="str">
        <f t="shared" si="92"/>
        <v/>
      </c>
      <c r="G1937" s="47" t="e">
        <f t="shared" si="91"/>
        <v>#DIV/0!</v>
      </c>
      <c r="U1937" s="49" t="e">
        <f t="shared" si="93"/>
        <v>#DIV/0!</v>
      </c>
    </row>
    <row r="1938" customHeight="1" spans="1:21">
      <c r="A1938" s="42" t="str">
        <f t="shared" si="92"/>
        <v/>
      </c>
      <c r="G1938" s="47" t="e">
        <f t="shared" si="91"/>
        <v>#DIV/0!</v>
      </c>
      <c r="U1938" s="49" t="e">
        <f t="shared" si="93"/>
        <v>#DIV/0!</v>
      </c>
    </row>
    <row r="1939" customHeight="1" spans="1:21">
      <c r="A1939" s="42" t="str">
        <f t="shared" si="92"/>
        <v/>
      </c>
      <c r="G1939" s="47" t="e">
        <f t="shared" si="91"/>
        <v>#DIV/0!</v>
      </c>
      <c r="U1939" s="49" t="e">
        <f t="shared" si="93"/>
        <v>#DIV/0!</v>
      </c>
    </row>
    <row r="1940" customHeight="1" spans="1:21">
      <c r="A1940" s="42" t="str">
        <f t="shared" si="92"/>
        <v/>
      </c>
      <c r="G1940" s="47" t="e">
        <f t="shared" si="91"/>
        <v>#DIV/0!</v>
      </c>
      <c r="U1940" s="49" t="e">
        <f t="shared" si="93"/>
        <v>#DIV/0!</v>
      </c>
    </row>
    <row r="1941" customHeight="1" spans="1:21">
      <c r="A1941" s="42" t="str">
        <f t="shared" si="92"/>
        <v/>
      </c>
      <c r="G1941" s="47" t="e">
        <f t="shared" si="91"/>
        <v>#DIV/0!</v>
      </c>
      <c r="U1941" s="49" t="e">
        <f t="shared" si="93"/>
        <v>#DIV/0!</v>
      </c>
    </row>
    <row r="1942" customHeight="1" spans="1:21">
      <c r="A1942" s="42" t="str">
        <f t="shared" si="92"/>
        <v/>
      </c>
      <c r="G1942" s="47" t="e">
        <f t="shared" si="91"/>
        <v>#DIV/0!</v>
      </c>
      <c r="U1942" s="49" t="e">
        <f t="shared" si="93"/>
        <v>#DIV/0!</v>
      </c>
    </row>
    <row r="1943" customHeight="1" spans="1:21">
      <c r="A1943" s="42" t="str">
        <f t="shared" si="92"/>
        <v/>
      </c>
      <c r="G1943" s="47" t="e">
        <f t="shared" si="91"/>
        <v>#DIV/0!</v>
      </c>
      <c r="U1943" s="49" t="e">
        <f t="shared" si="93"/>
        <v>#DIV/0!</v>
      </c>
    </row>
    <row r="1944" customHeight="1" spans="1:21">
      <c r="A1944" s="42" t="str">
        <f t="shared" si="92"/>
        <v/>
      </c>
      <c r="G1944" s="47" t="e">
        <f t="shared" si="91"/>
        <v>#DIV/0!</v>
      </c>
      <c r="U1944" s="49" t="e">
        <f t="shared" si="93"/>
        <v>#DIV/0!</v>
      </c>
    </row>
    <row r="1945" customHeight="1" spans="1:21">
      <c r="A1945" s="42" t="str">
        <f t="shared" si="92"/>
        <v/>
      </c>
      <c r="G1945" s="47" t="e">
        <f t="shared" si="91"/>
        <v>#DIV/0!</v>
      </c>
      <c r="U1945" s="49" t="e">
        <f t="shared" si="93"/>
        <v>#DIV/0!</v>
      </c>
    </row>
    <row r="1946" customHeight="1" spans="1:21">
      <c r="A1946" s="42" t="str">
        <f t="shared" si="92"/>
        <v/>
      </c>
      <c r="G1946" s="47" t="e">
        <f t="shared" si="91"/>
        <v>#DIV/0!</v>
      </c>
      <c r="U1946" s="49" t="e">
        <f t="shared" si="93"/>
        <v>#DIV/0!</v>
      </c>
    </row>
    <row r="1947" customHeight="1" spans="1:21">
      <c r="A1947" s="42" t="str">
        <f t="shared" si="92"/>
        <v/>
      </c>
      <c r="G1947" s="47" t="e">
        <f t="shared" si="91"/>
        <v>#DIV/0!</v>
      </c>
      <c r="U1947" s="49" t="e">
        <f t="shared" si="93"/>
        <v>#DIV/0!</v>
      </c>
    </row>
    <row r="1948" customHeight="1" spans="1:21">
      <c r="A1948" s="42" t="str">
        <f t="shared" si="92"/>
        <v/>
      </c>
      <c r="G1948" s="47" t="e">
        <f t="shared" si="91"/>
        <v>#DIV/0!</v>
      </c>
      <c r="U1948" s="49" t="e">
        <f t="shared" si="93"/>
        <v>#DIV/0!</v>
      </c>
    </row>
    <row r="1949" customHeight="1" spans="1:21">
      <c r="A1949" s="42" t="str">
        <f t="shared" si="92"/>
        <v/>
      </c>
      <c r="G1949" s="47" t="e">
        <f t="shared" si="91"/>
        <v>#DIV/0!</v>
      </c>
      <c r="U1949" s="49" t="e">
        <f t="shared" si="93"/>
        <v>#DIV/0!</v>
      </c>
    </row>
    <row r="1950" customHeight="1" spans="1:21">
      <c r="A1950" s="42" t="str">
        <f t="shared" si="92"/>
        <v/>
      </c>
      <c r="G1950" s="47" t="e">
        <f t="shared" si="91"/>
        <v>#DIV/0!</v>
      </c>
      <c r="U1950" s="49" t="e">
        <f t="shared" si="93"/>
        <v>#DIV/0!</v>
      </c>
    </row>
    <row r="1951" customHeight="1" spans="1:21">
      <c r="A1951" s="42" t="str">
        <f t="shared" si="92"/>
        <v/>
      </c>
      <c r="G1951" s="47" t="e">
        <f t="shared" si="91"/>
        <v>#DIV/0!</v>
      </c>
      <c r="U1951" s="49" t="e">
        <f t="shared" si="93"/>
        <v>#DIV/0!</v>
      </c>
    </row>
    <row r="1952" customHeight="1" spans="1:21">
      <c r="A1952" s="42" t="str">
        <f t="shared" si="92"/>
        <v/>
      </c>
      <c r="G1952" s="47" t="e">
        <f t="shared" si="91"/>
        <v>#DIV/0!</v>
      </c>
      <c r="U1952" s="49" t="e">
        <f t="shared" si="93"/>
        <v>#DIV/0!</v>
      </c>
    </row>
    <row r="1953" customHeight="1" spans="1:21">
      <c r="A1953" s="42" t="str">
        <f t="shared" si="92"/>
        <v/>
      </c>
      <c r="G1953" s="47" t="e">
        <f t="shared" si="91"/>
        <v>#DIV/0!</v>
      </c>
      <c r="U1953" s="49" t="e">
        <f t="shared" si="93"/>
        <v>#DIV/0!</v>
      </c>
    </row>
    <row r="1954" customHeight="1" spans="1:21">
      <c r="A1954" s="42" t="str">
        <f t="shared" si="92"/>
        <v/>
      </c>
      <c r="G1954" s="47" t="e">
        <f t="shared" si="91"/>
        <v>#DIV/0!</v>
      </c>
      <c r="U1954" s="49" t="e">
        <f t="shared" si="93"/>
        <v>#DIV/0!</v>
      </c>
    </row>
    <row r="1955" customHeight="1" spans="1:21">
      <c r="A1955" s="42" t="str">
        <f t="shared" si="92"/>
        <v/>
      </c>
      <c r="G1955" s="47" t="e">
        <f t="shared" si="91"/>
        <v>#DIV/0!</v>
      </c>
      <c r="U1955" s="49" t="e">
        <f t="shared" si="93"/>
        <v>#DIV/0!</v>
      </c>
    </row>
    <row r="1956" customHeight="1" spans="1:21">
      <c r="A1956" s="42" t="str">
        <f t="shared" si="92"/>
        <v/>
      </c>
      <c r="G1956" s="47" t="e">
        <f t="shared" si="91"/>
        <v>#DIV/0!</v>
      </c>
      <c r="U1956" s="49" t="e">
        <f t="shared" si="93"/>
        <v>#DIV/0!</v>
      </c>
    </row>
    <row r="1957" customHeight="1" spans="1:21">
      <c r="A1957" s="42" t="str">
        <f t="shared" si="92"/>
        <v/>
      </c>
      <c r="G1957" s="47" t="e">
        <f t="shared" si="91"/>
        <v>#DIV/0!</v>
      </c>
      <c r="U1957" s="49" t="e">
        <f t="shared" si="93"/>
        <v>#DIV/0!</v>
      </c>
    </row>
    <row r="1958" customHeight="1" spans="1:21">
      <c r="A1958" s="42" t="str">
        <f t="shared" si="92"/>
        <v/>
      </c>
      <c r="G1958" s="47" t="e">
        <f t="shared" si="91"/>
        <v>#DIV/0!</v>
      </c>
      <c r="U1958" s="49" t="e">
        <f t="shared" si="93"/>
        <v>#DIV/0!</v>
      </c>
    </row>
    <row r="1959" customHeight="1" spans="1:21">
      <c r="A1959" s="42" t="str">
        <f t="shared" si="92"/>
        <v/>
      </c>
      <c r="G1959" s="47" t="e">
        <f t="shared" si="91"/>
        <v>#DIV/0!</v>
      </c>
      <c r="U1959" s="49" t="e">
        <f t="shared" si="93"/>
        <v>#DIV/0!</v>
      </c>
    </row>
    <row r="1960" customHeight="1" spans="1:21">
      <c r="A1960" s="42" t="str">
        <f t="shared" si="92"/>
        <v/>
      </c>
      <c r="G1960" s="47" t="e">
        <f t="shared" si="91"/>
        <v>#DIV/0!</v>
      </c>
      <c r="U1960" s="49" t="e">
        <f t="shared" si="93"/>
        <v>#DIV/0!</v>
      </c>
    </row>
    <row r="1961" customHeight="1" spans="1:21">
      <c r="A1961" s="42" t="str">
        <f t="shared" si="92"/>
        <v/>
      </c>
      <c r="G1961" s="47" t="e">
        <f t="shared" si="91"/>
        <v>#DIV/0!</v>
      </c>
      <c r="U1961" s="49" t="e">
        <f t="shared" si="93"/>
        <v>#DIV/0!</v>
      </c>
    </row>
    <row r="1962" customHeight="1" spans="1:21">
      <c r="A1962" s="42" t="str">
        <f t="shared" si="92"/>
        <v/>
      </c>
      <c r="G1962" s="47" t="e">
        <f t="shared" si="91"/>
        <v>#DIV/0!</v>
      </c>
      <c r="U1962" s="49" t="e">
        <f t="shared" si="93"/>
        <v>#DIV/0!</v>
      </c>
    </row>
    <row r="1963" customHeight="1" spans="1:21">
      <c r="A1963" s="42" t="str">
        <f t="shared" si="92"/>
        <v/>
      </c>
      <c r="G1963" s="47" t="e">
        <f t="shared" si="91"/>
        <v>#DIV/0!</v>
      </c>
      <c r="U1963" s="49" t="e">
        <f t="shared" si="93"/>
        <v>#DIV/0!</v>
      </c>
    </row>
    <row r="1964" customHeight="1" spans="1:21">
      <c r="A1964" s="42" t="str">
        <f t="shared" si="92"/>
        <v/>
      </c>
      <c r="G1964" s="47" t="e">
        <f t="shared" si="91"/>
        <v>#DIV/0!</v>
      </c>
      <c r="U1964" s="49" t="e">
        <f t="shared" si="93"/>
        <v>#DIV/0!</v>
      </c>
    </row>
    <row r="1965" customHeight="1" spans="1:21">
      <c r="A1965" s="42" t="str">
        <f t="shared" si="92"/>
        <v/>
      </c>
      <c r="G1965" s="47" t="e">
        <f t="shared" si="91"/>
        <v>#DIV/0!</v>
      </c>
      <c r="U1965" s="49" t="e">
        <f t="shared" si="93"/>
        <v>#DIV/0!</v>
      </c>
    </row>
    <row r="1966" customHeight="1" spans="1:21">
      <c r="A1966" s="42" t="str">
        <f t="shared" si="92"/>
        <v/>
      </c>
      <c r="G1966" s="47" t="e">
        <f t="shared" si="91"/>
        <v>#DIV/0!</v>
      </c>
      <c r="U1966" s="49" t="e">
        <f t="shared" si="93"/>
        <v>#DIV/0!</v>
      </c>
    </row>
    <row r="1967" customHeight="1" spans="1:21">
      <c r="A1967" s="42" t="str">
        <f t="shared" si="92"/>
        <v/>
      </c>
      <c r="G1967" s="47" t="e">
        <f t="shared" si="91"/>
        <v>#DIV/0!</v>
      </c>
      <c r="U1967" s="49" t="e">
        <f t="shared" si="93"/>
        <v>#DIV/0!</v>
      </c>
    </row>
    <row r="1968" customHeight="1" spans="1:21">
      <c r="A1968" s="42" t="str">
        <f t="shared" si="92"/>
        <v/>
      </c>
      <c r="G1968" s="47" t="e">
        <f t="shared" si="91"/>
        <v>#DIV/0!</v>
      </c>
      <c r="U1968" s="49" t="e">
        <f t="shared" si="93"/>
        <v>#DIV/0!</v>
      </c>
    </row>
    <row r="1969" customHeight="1" spans="1:21">
      <c r="A1969" s="42" t="str">
        <f t="shared" si="92"/>
        <v/>
      </c>
      <c r="G1969" s="47" t="e">
        <f t="shared" si="91"/>
        <v>#DIV/0!</v>
      </c>
      <c r="U1969" s="49" t="e">
        <f t="shared" si="93"/>
        <v>#DIV/0!</v>
      </c>
    </row>
    <row r="1970" customHeight="1" spans="1:21">
      <c r="A1970" s="42" t="str">
        <f t="shared" si="92"/>
        <v/>
      </c>
      <c r="G1970" s="47" t="e">
        <f t="shared" si="91"/>
        <v>#DIV/0!</v>
      </c>
      <c r="U1970" s="49" t="e">
        <f t="shared" si="93"/>
        <v>#DIV/0!</v>
      </c>
    </row>
    <row r="1971" customHeight="1" spans="1:21">
      <c r="A1971" s="42" t="str">
        <f t="shared" si="92"/>
        <v/>
      </c>
      <c r="G1971" s="47" t="e">
        <f t="shared" si="91"/>
        <v>#DIV/0!</v>
      </c>
      <c r="U1971" s="49" t="e">
        <f t="shared" si="93"/>
        <v>#DIV/0!</v>
      </c>
    </row>
    <row r="1972" customHeight="1" spans="1:21">
      <c r="A1972" s="42" t="str">
        <f t="shared" si="92"/>
        <v/>
      </c>
      <c r="G1972" s="47" t="e">
        <f t="shared" si="91"/>
        <v>#DIV/0!</v>
      </c>
      <c r="U1972" s="49" t="e">
        <f t="shared" si="93"/>
        <v>#DIV/0!</v>
      </c>
    </row>
    <row r="1973" customHeight="1" spans="1:21">
      <c r="A1973" s="42" t="str">
        <f t="shared" si="92"/>
        <v/>
      </c>
      <c r="G1973" s="47" t="e">
        <f t="shared" si="91"/>
        <v>#DIV/0!</v>
      </c>
      <c r="U1973" s="49" t="e">
        <f t="shared" si="93"/>
        <v>#DIV/0!</v>
      </c>
    </row>
    <row r="1974" customHeight="1" spans="1:21">
      <c r="A1974" s="42" t="str">
        <f t="shared" si="92"/>
        <v/>
      </c>
      <c r="G1974" s="47" t="e">
        <f t="shared" si="91"/>
        <v>#DIV/0!</v>
      </c>
      <c r="U1974" s="49" t="e">
        <f t="shared" si="93"/>
        <v>#DIV/0!</v>
      </c>
    </row>
    <row r="1975" customHeight="1" spans="1:21">
      <c r="A1975" s="42" t="str">
        <f t="shared" si="92"/>
        <v/>
      </c>
      <c r="G1975" s="47" t="e">
        <f t="shared" si="91"/>
        <v>#DIV/0!</v>
      </c>
      <c r="U1975" s="49" t="e">
        <f t="shared" si="93"/>
        <v>#DIV/0!</v>
      </c>
    </row>
    <row r="1976" customHeight="1" spans="1:21">
      <c r="A1976" s="42" t="str">
        <f t="shared" si="92"/>
        <v/>
      </c>
      <c r="G1976" s="47" t="e">
        <f t="shared" si="91"/>
        <v>#DIV/0!</v>
      </c>
      <c r="U1976" s="49" t="e">
        <f t="shared" si="93"/>
        <v>#DIV/0!</v>
      </c>
    </row>
    <row r="1977" customHeight="1" spans="1:21">
      <c r="A1977" s="42" t="str">
        <f t="shared" si="92"/>
        <v/>
      </c>
      <c r="G1977" s="47" t="e">
        <f t="shared" si="91"/>
        <v>#DIV/0!</v>
      </c>
      <c r="U1977" s="49" t="e">
        <f t="shared" si="93"/>
        <v>#DIV/0!</v>
      </c>
    </row>
    <row r="1978" customHeight="1" spans="1:21">
      <c r="A1978" s="42" t="str">
        <f t="shared" si="92"/>
        <v/>
      </c>
      <c r="G1978" s="47" t="e">
        <f t="shared" si="91"/>
        <v>#DIV/0!</v>
      </c>
      <c r="U1978" s="49" t="e">
        <f t="shared" si="93"/>
        <v>#DIV/0!</v>
      </c>
    </row>
    <row r="1979" customHeight="1" spans="1:21">
      <c r="A1979" s="42" t="str">
        <f t="shared" si="92"/>
        <v/>
      </c>
      <c r="G1979" s="47" t="e">
        <f t="shared" si="91"/>
        <v>#DIV/0!</v>
      </c>
      <c r="U1979" s="49" t="e">
        <f t="shared" si="93"/>
        <v>#DIV/0!</v>
      </c>
    </row>
    <row r="1980" customHeight="1" spans="1:21">
      <c r="A1980" s="42" t="str">
        <f t="shared" si="92"/>
        <v/>
      </c>
      <c r="G1980" s="47" t="e">
        <f t="shared" si="91"/>
        <v>#DIV/0!</v>
      </c>
      <c r="U1980" s="49" t="e">
        <f t="shared" si="93"/>
        <v>#DIV/0!</v>
      </c>
    </row>
    <row r="1981" customHeight="1" spans="1:21">
      <c r="A1981" s="42" t="str">
        <f t="shared" si="92"/>
        <v/>
      </c>
      <c r="G1981" s="47" t="e">
        <f t="shared" si="91"/>
        <v>#DIV/0!</v>
      </c>
      <c r="U1981" s="49" t="e">
        <f t="shared" si="93"/>
        <v>#DIV/0!</v>
      </c>
    </row>
    <row r="1982" customHeight="1" spans="1:21">
      <c r="A1982" s="42" t="str">
        <f t="shared" si="92"/>
        <v/>
      </c>
      <c r="G1982" s="47" t="e">
        <f t="shared" si="91"/>
        <v>#DIV/0!</v>
      </c>
      <c r="U1982" s="49" t="e">
        <f t="shared" si="93"/>
        <v>#DIV/0!</v>
      </c>
    </row>
    <row r="1983" customHeight="1" spans="1:21">
      <c r="A1983" s="42" t="str">
        <f t="shared" si="92"/>
        <v/>
      </c>
      <c r="G1983" s="47" t="e">
        <f t="shared" si="91"/>
        <v>#DIV/0!</v>
      </c>
      <c r="U1983" s="49" t="e">
        <f t="shared" si="93"/>
        <v>#DIV/0!</v>
      </c>
    </row>
    <row r="1984" customHeight="1" spans="1:21">
      <c r="A1984" s="42" t="str">
        <f t="shared" si="92"/>
        <v/>
      </c>
      <c r="G1984" s="47" t="e">
        <f t="shared" si="91"/>
        <v>#DIV/0!</v>
      </c>
      <c r="U1984" s="49" t="e">
        <f t="shared" si="93"/>
        <v>#DIV/0!</v>
      </c>
    </row>
    <row r="1985" customHeight="1" spans="1:21">
      <c r="A1985" s="42" t="str">
        <f t="shared" si="92"/>
        <v/>
      </c>
      <c r="G1985" s="47" t="e">
        <f t="shared" si="91"/>
        <v>#DIV/0!</v>
      </c>
      <c r="U1985" s="49" t="e">
        <f t="shared" si="93"/>
        <v>#DIV/0!</v>
      </c>
    </row>
    <row r="1986" customHeight="1" spans="1:21">
      <c r="A1986" s="42" t="str">
        <f t="shared" si="92"/>
        <v/>
      </c>
      <c r="G1986" s="47" t="e">
        <f t="shared" si="91"/>
        <v>#DIV/0!</v>
      </c>
      <c r="U1986" s="49" t="e">
        <f t="shared" si="93"/>
        <v>#DIV/0!</v>
      </c>
    </row>
    <row r="1987" customHeight="1" spans="1:21">
      <c r="A1987" s="42" t="str">
        <f t="shared" si="92"/>
        <v/>
      </c>
      <c r="G1987" s="47" t="e">
        <f t="shared" ref="G1987:G2050" si="94">+E1987/F1987</f>
        <v>#DIV/0!</v>
      </c>
      <c r="U1987" s="49" t="e">
        <f t="shared" si="93"/>
        <v>#DIV/0!</v>
      </c>
    </row>
    <row r="1988" customHeight="1" spans="1:21">
      <c r="A1988" s="42" t="str">
        <f t="shared" ref="A1988:A2051" si="95">B1988&amp;C1988&amp;D1988</f>
        <v/>
      </c>
      <c r="G1988" s="47" t="e">
        <f t="shared" si="94"/>
        <v>#DIV/0!</v>
      </c>
      <c r="U1988" s="49" t="e">
        <f t="shared" ref="U1988:U2051" si="96">SUM(G1988:T1988)</f>
        <v>#DIV/0!</v>
      </c>
    </row>
    <row r="1989" customHeight="1" spans="1:21">
      <c r="A1989" s="42" t="str">
        <f t="shared" si="95"/>
        <v/>
      </c>
      <c r="G1989" s="47" t="e">
        <f t="shared" si="94"/>
        <v>#DIV/0!</v>
      </c>
      <c r="U1989" s="49" t="e">
        <f t="shared" si="96"/>
        <v>#DIV/0!</v>
      </c>
    </row>
    <row r="1990" customHeight="1" spans="1:21">
      <c r="A1990" s="42" t="str">
        <f t="shared" si="95"/>
        <v/>
      </c>
      <c r="G1990" s="47" t="e">
        <f t="shared" si="94"/>
        <v>#DIV/0!</v>
      </c>
      <c r="U1990" s="49" t="e">
        <f t="shared" si="96"/>
        <v>#DIV/0!</v>
      </c>
    </row>
    <row r="1991" customHeight="1" spans="1:21">
      <c r="A1991" s="42" t="str">
        <f t="shared" si="95"/>
        <v/>
      </c>
      <c r="G1991" s="47" t="e">
        <f t="shared" si="94"/>
        <v>#DIV/0!</v>
      </c>
      <c r="U1991" s="49" t="e">
        <f t="shared" si="96"/>
        <v>#DIV/0!</v>
      </c>
    </row>
    <row r="1992" customHeight="1" spans="1:21">
      <c r="A1992" s="42" t="str">
        <f t="shared" si="95"/>
        <v/>
      </c>
      <c r="G1992" s="47" t="e">
        <f t="shared" si="94"/>
        <v>#DIV/0!</v>
      </c>
      <c r="U1992" s="49" t="e">
        <f t="shared" si="96"/>
        <v>#DIV/0!</v>
      </c>
    </row>
    <row r="1993" customHeight="1" spans="1:21">
      <c r="A1993" s="42" t="str">
        <f t="shared" si="95"/>
        <v/>
      </c>
      <c r="G1993" s="47" t="e">
        <f t="shared" si="94"/>
        <v>#DIV/0!</v>
      </c>
      <c r="U1993" s="49" t="e">
        <f t="shared" si="96"/>
        <v>#DIV/0!</v>
      </c>
    </row>
    <row r="1994" customHeight="1" spans="1:21">
      <c r="A1994" s="42" t="str">
        <f t="shared" si="95"/>
        <v/>
      </c>
      <c r="G1994" s="47" t="e">
        <f t="shared" si="94"/>
        <v>#DIV/0!</v>
      </c>
      <c r="U1994" s="49" t="e">
        <f t="shared" si="96"/>
        <v>#DIV/0!</v>
      </c>
    </row>
    <row r="1995" customHeight="1" spans="1:21">
      <c r="A1995" s="42" t="str">
        <f t="shared" si="95"/>
        <v/>
      </c>
      <c r="G1995" s="47" t="e">
        <f t="shared" si="94"/>
        <v>#DIV/0!</v>
      </c>
      <c r="U1995" s="49" t="e">
        <f t="shared" si="96"/>
        <v>#DIV/0!</v>
      </c>
    </row>
    <row r="1996" customHeight="1" spans="1:21">
      <c r="A1996" s="42" t="str">
        <f t="shared" si="95"/>
        <v/>
      </c>
      <c r="G1996" s="47" t="e">
        <f t="shared" si="94"/>
        <v>#DIV/0!</v>
      </c>
      <c r="U1996" s="49" t="e">
        <f t="shared" si="96"/>
        <v>#DIV/0!</v>
      </c>
    </row>
    <row r="1997" customHeight="1" spans="1:21">
      <c r="A1997" s="42" t="str">
        <f t="shared" si="95"/>
        <v/>
      </c>
      <c r="G1997" s="47" t="e">
        <f t="shared" si="94"/>
        <v>#DIV/0!</v>
      </c>
      <c r="U1997" s="49" t="e">
        <f t="shared" si="96"/>
        <v>#DIV/0!</v>
      </c>
    </row>
    <row r="1998" customHeight="1" spans="1:21">
      <c r="A1998" s="42" t="str">
        <f t="shared" si="95"/>
        <v/>
      </c>
      <c r="G1998" s="47" t="e">
        <f t="shared" si="94"/>
        <v>#DIV/0!</v>
      </c>
      <c r="U1998" s="49" t="e">
        <f t="shared" si="96"/>
        <v>#DIV/0!</v>
      </c>
    </row>
    <row r="1999" customHeight="1" spans="1:21">
      <c r="A1999" s="42" t="str">
        <f t="shared" si="95"/>
        <v/>
      </c>
      <c r="G1999" s="47" t="e">
        <f t="shared" si="94"/>
        <v>#DIV/0!</v>
      </c>
      <c r="U1999" s="49" t="e">
        <f t="shared" si="96"/>
        <v>#DIV/0!</v>
      </c>
    </row>
    <row r="2000" customHeight="1" spans="1:21">
      <c r="A2000" s="42" t="str">
        <f t="shared" si="95"/>
        <v/>
      </c>
      <c r="G2000" s="47" t="e">
        <f t="shared" si="94"/>
        <v>#DIV/0!</v>
      </c>
      <c r="U2000" s="49" t="e">
        <f t="shared" si="96"/>
        <v>#DIV/0!</v>
      </c>
    </row>
    <row r="2001" customHeight="1" spans="1:21">
      <c r="A2001" s="42" t="str">
        <f t="shared" si="95"/>
        <v/>
      </c>
      <c r="G2001" s="47" t="e">
        <f t="shared" si="94"/>
        <v>#DIV/0!</v>
      </c>
      <c r="U2001" s="49" t="e">
        <f t="shared" si="96"/>
        <v>#DIV/0!</v>
      </c>
    </row>
    <row r="2002" customHeight="1" spans="1:21">
      <c r="A2002" s="42" t="str">
        <f t="shared" si="95"/>
        <v/>
      </c>
      <c r="G2002" s="47" t="e">
        <f t="shared" si="94"/>
        <v>#DIV/0!</v>
      </c>
      <c r="U2002" s="49" t="e">
        <f t="shared" si="96"/>
        <v>#DIV/0!</v>
      </c>
    </row>
    <row r="2003" customHeight="1" spans="1:21">
      <c r="A2003" s="42" t="str">
        <f t="shared" si="95"/>
        <v/>
      </c>
      <c r="G2003" s="47" t="e">
        <f t="shared" si="94"/>
        <v>#DIV/0!</v>
      </c>
      <c r="U2003" s="49" t="e">
        <f t="shared" si="96"/>
        <v>#DIV/0!</v>
      </c>
    </row>
    <row r="2004" customHeight="1" spans="1:21">
      <c r="A2004" s="42" t="str">
        <f t="shared" si="95"/>
        <v/>
      </c>
      <c r="G2004" s="47" t="e">
        <f t="shared" si="94"/>
        <v>#DIV/0!</v>
      </c>
      <c r="U2004" s="49" t="e">
        <f t="shared" si="96"/>
        <v>#DIV/0!</v>
      </c>
    </row>
    <row r="2005" customHeight="1" spans="1:21">
      <c r="A2005" s="42" t="str">
        <f t="shared" si="95"/>
        <v/>
      </c>
      <c r="G2005" s="47" t="e">
        <f t="shared" si="94"/>
        <v>#DIV/0!</v>
      </c>
      <c r="U2005" s="49" t="e">
        <f t="shared" si="96"/>
        <v>#DIV/0!</v>
      </c>
    </row>
    <row r="2006" customHeight="1" spans="1:21">
      <c r="A2006" s="42" t="str">
        <f t="shared" si="95"/>
        <v/>
      </c>
      <c r="G2006" s="47" t="e">
        <f t="shared" si="94"/>
        <v>#DIV/0!</v>
      </c>
      <c r="U2006" s="49" t="e">
        <f t="shared" si="96"/>
        <v>#DIV/0!</v>
      </c>
    </row>
    <row r="2007" customHeight="1" spans="1:21">
      <c r="A2007" s="42" t="str">
        <f t="shared" si="95"/>
        <v/>
      </c>
      <c r="G2007" s="47" t="e">
        <f t="shared" si="94"/>
        <v>#DIV/0!</v>
      </c>
      <c r="U2007" s="49" t="e">
        <f t="shared" si="96"/>
        <v>#DIV/0!</v>
      </c>
    </row>
    <row r="2008" customHeight="1" spans="1:21">
      <c r="A2008" s="42" t="str">
        <f t="shared" si="95"/>
        <v/>
      </c>
      <c r="G2008" s="47" t="e">
        <f t="shared" si="94"/>
        <v>#DIV/0!</v>
      </c>
      <c r="U2008" s="49" t="e">
        <f t="shared" si="96"/>
        <v>#DIV/0!</v>
      </c>
    </row>
    <row r="2009" customHeight="1" spans="1:21">
      <c r="A2009" s="42" t="str">
        <f t="shared" si="95"/>
        <v/>
      </c>
      <c r="G2009" s="47" t="e">
        <f t="shared" si="94"/>
        <v>#DIV/0!</v>
      </c>
      <c r="U2009" s="49" t="e">
        <f t="shared" si="96"/>
        <v>#DIV/0!</v>
      </c>
    </row>
    <row r="2010" customHeight="1" spans="1:21">
      <c r="A2010" s="42" t="str">
        <f t="shared" si="95"/>
        <v/>
      </c>
      <c r="G2010" s="47" t="e">
        <f t="shared" si="94"/>
        <v>#DIV/0!</v>
      </c>
      <c r="U2010" s="49" t="e">
        <f t="shared" si="96"/>
        <v>#DIV/0!</v>
      </c>
    </row>
    <row r="2011" customHeight="1" spans="1:21">
      <c r="A2011" s="42" t="str">
        <f t="shared" si="95"/>
        <v/>
      </c>
      <c r="G2011" s="47" t="e">
        <f t="shared" si="94"/>
        <v>#DIV/0!</v>
      </c>
      <c r="U2011" s="49" t="e">
        <f t="shared" si="96"/>
        <v>#DIV/0!</v>
      </c>
    </row>
    <row r="2012" customHeight="1" spans="1:21">
      <c r="A2012" s="42" t="str">
        <f t="shared" si="95"/>
        <v/>
      </c>
      <c r="G2012" s="47" t="e">
        <f t="shared" si="94"/>
        <v>#DIV/0!</v>
      </c>
      <c r="U2012" s="49" t="e">
        <f t="shared" si="96"/>
        <v>#DIV/0!</v>
      </c>
    </row>
    <row r="2013" customHeight="1" spans="1:21">
      <c r="A2013" s="42" t="str">
        <f t="shared" si="95"/>
        <v/>
      </c>
      <c r="G2013" s="47" t="e">
        <f t="shared" si="94"/>
        <v>#DIV/0!</v>
      </c>
      <c r="U2013" s="49" t="e">
        <f t="shared" si="96"/>
        <v>#DIV/0!</v>
      </c>
    </row>
    <row r="2014" customHeight="1" spans="1:21">
      <c r="A2014" s="42" t="str">
        <f t="shared" si="95"/>
        <v/>
      </c>
      <c r="G2014" s="47" t="e">
        <f t="shared" si="94"/>
        <v>#DIV/0!</v>
      </c>
      <c r="U2014" s="49" t="e">
        <f t="shared" si="96"/>
        <v>#DIV/0!</v>
      </c>
    </row>
    <row r="2015" customHeight="1" spans="1:21">
      <c r="A2015" s="42" t="str">
        <f t="shared" si="95"/>
        <v/>
      </c>
      <c r="G2015" s="47" t="e">
        <f t="shared" si="94"/>
        <v>#DIV/0!</v>
      </c>
      <c r="U2015" s="49" t="e">
        <f t="shared" si="96"/>
        <v>#DIV/0!</v>
      </c>
    </row>
    <row r="2016" customHeight="1" spans="1:21">
      <c r="A2016" s="42" t="str">
        <f t="shared" si="95"/>
        <v/>
      </c>
      <c r="G2016" s="47" t="e">
        <f t="shared" si="94"/>
        <v>#DIV/0!</v>
      </c>
      <c r="U2016" s="49" t="e">
        <f t="shared" si="96"/>
        <v>#DIV/0!</v>
      </c>
    </row>
    <row r="2017" customHeight="1" spans="1:21">
      <c r="A2017" s="42" t="str">
        <f t="shared" si="95"/>
        <v/>
      </c>
      <c r="G2017" s="47" t="e">
        <f t="shared" si="94"/>
        <v>#DIV/0!</v>
      </c>
      <c r="U2017" s="49" t="e">
        <f t="shared" si="96"/>
        <v>#DIV/0!</v>
      </c>
    </row>
    <row r="2018" customHeight="1" spans="1:21">
      <c r="A2018" s="42" t="str">
        <f t="shared" si="95"/>
        <v/>
      </c>
      <c r="G2018" s="47" t="e">
        <f t="shared" si="94"/>
        <v>#DIV/0!</v>
      </c>
      <c r="U2018" s="49" t="e">
        <f t="shared" si="96"/>
        <v>#DIV/0!</v>
      </c>
    </row>
    <row r="2019" customHeight="1" spans="1:21">
      <c r="A2019" s="42" t="str">
        <f t="shared" si="95"/>
        <v/>
      </c>
      <c r="G2019" s="47" t="e">
        <f t="shared" si="94"/>
        <v>#DIV/0!</v>
      </c>
      <c r="U2019" s="49" t="e">
        <f t="shared" si="96"/>
        <v>#DIV/0!</v>
      </c>
    </row>
    <row r="2020" customHeight="1" spans="1:21">
      <c r="A2020" s="42" t="str">
        <f t="shared" si="95"/>
        <v/>
      </c>
      <c r="G2020" s="47" t="e">
        <f t="shared" si="94"/>
        <v>#DIV/0!</v>
      </c>
      <c r="U2020" s="49" t="e">
        <f t="shared" si="96"/>
        <v>#DIV/0!</v>
      </c>
    </row>
    <row r="2021" customHeight="1" spans="1:21">
      <c r="A2021" s="42" t="str">
        <f t="shared" si="95"/>
        <v/>
      </c>
      <c r="G2021" s="47" t="e">
        <f t="shared" si="94"/>
        <v>#DIV/0!</v>
      </c>
      <c r="U2021" s="49" t="e">
        <f t="shared" si="96"/>
        <v>#DIV/0!</v>
      </c>
    </row>
    <row r="2022" customHeight="1" spans="1:21">
      <c r="A2022" s="42" t="str">
        <f t="shared" si="95"/>
        <v/>
      </c>
      <c r="G2022" s="47" t="e">
        <f t="shared" si="94"/>
        <v>#DIV/0!</v>
      </c>
      <c r="U2022" s="49" t="e">
        <f t="shared" si="96"/>
        <v>#DIV/0!</v>
      </c>
    </row>
    <row r="2023" customHeight="1" spans="1:21">
      <c r="A2023" s="42" t="str">
        <f t="shared" si="95"/>
        <v/>
      </c>
      <c r="G2023" s="47" t="e">
        <f t="shared" si="94"/>
        <v>#DIV/0!</v>
      </c>
      <c r="U2023" s="49" t="e">
        <f t="shared" si="96"/>
        <v>#DIV/0!</v>
      </c>
    </row>
    <row r="2024" customHeight="1" spans="1:21">
      <c r="A2024" s="42" t="str">
        <f t="shared" si="95"/>
        <v/>
      </c>
      <c r="G2024" s="47" t="e">
        <f t="shared" si="94"/>
        <v>#DIV/0!</v>
      </c>
      <c r="U2024" s="49" t="e">
        <f t="shared" si="96"/>
        <v>#DIV/0!</v>
      </c>
    </row>
    <row r="2025" customHeight="1" spans="1:21">
      <c r="A2025" s="42" t="str">
        <f t="shared" si="95"/>
        <v/>
      </c>
      <c r="G2025" s="47" t="e">
        <f t="shared" si="94"/>
        <v>#DIV/0!</v>
      </c>
      <c r="U2025" s="49" t="e">
        <f t="shared" si="96"/>
        <v>#DIV/0!</v>
      </c>
    </row>
    <row r="2026" customHeight="1" spans="1:21">
      <c r="A2026" s="42" t="str">
        <f t="shared" si="95"/>
        <v/>
      </c>
      <c r="G2026" s="47" t="e">
        <f t="shared" si="94"/>
        <v>#DIV/0!</v>
      </c>
      <c r="U2026" s="49" t="e">
        <f t="shared" si="96"/>
        <v>#DIV/0!</v>
      </c>
    </row>
    <row r="2027" customHeight="1" spans="1:21">
      <c r="A2027" s="42" t="str">
        <f t="shared" si="95"/>
        <v/>
      </c>
      <c r="G2027" s="47" t="e">
        <f t="shared" si="94"/>
        <v>#DIV/0!</v>
      </c>
      <c r="U2027" s="49" t="e">
        <f t="shared" si="96"/>
        <v>#DIV/0!</v>
      </c>
    </row>
    <row r="2028" customHeight="1" spans="1:21">
      <c r="A2028" s="42" t="str">
        <f t="shared" si="95"/>
        <v/>
      </c>
      <c r="G2028" s="47" t="e">
        <f t="shared" si="94"/>
        <v>#DIV/0!</v>
      </c>
      <c r="U2028" s="49" t="e">
        <f t="shared" si="96"/>
        <v>#DIV/0!</v>
      </c>
    </row>
    <row r="2029" customHeight="1" spans="1:21">
      <c r="A2029" s="42" t="str">
        <f t="shared" si="95"/>
        <v/>
      </c>
      <c r="G2029" s="47" t="e">
        <f t="shared" si="94"/>
        <v>#DIV/0!</v>
      </c>
      <c r="U2029" s="49" t="e">
        <f t="shared" si="96"/>
        <v>#DIV/0!</v>
      </c>
    </row>
    <row r="2030" customHeight="1" spans="1:21">
      <c r="A2030" s="42" t="str">
        <f t="shared" si="95"/>
        <v/>
      </c>
      <c r="G2030" s="47" t="e">
        <f t="shared" si="94"/>
        <v>#DIV/0!</v>
      </c>
      <c r="U2030" s="49" t="e">
        <f t="shared" si="96"/>
        <v>#DIV/0!</v>
      </c>
    </row>
    <row r="2031" customHeight="1" spans="1:21">
      <c r="A2031" s="42" t="str">
        <f t="shared" si="95"/>
        <v/>
      </c>
      <c r="G2031" s="47" t="e">
        <f t="shared" si="94"/>
        <v>#DIV/0!</v>
      </c>
      <c r="U2031" s="49" t="e">
        <f t="shared" si="96"/>
        <v>#DIV/0!</v>
      </c>
    </row>
    <row r="2032" customHeight="1" spans="1:21">
      <c r="A2032" s="42" t="str">
        <f t="shared" si="95"/>
        <v/>
      </c>
      <c r="G2032" s="47" t="e">
        <f t="shared" si="94"/>
        <v>#DIV/0!</v>
      </c>
      <c r="U2032" s="49" t="e">
        <f t="shared" si="96"/>
        <v>#DIV/0!</v>
      </c>
    </row>
    <row r="2033" customHeight="1" spans="1:21">
      <c r="A2033" s="42" t="str">
        <f t="shared" si="95"/>
        <v/>
      </c>
      <c r="G2033" s="47" t="e">
        <f t="shared" si="94"/>
        <v>#DIV/0!</v>
      </c>
      <c r="U2033" s="49" t="e">
        <f t="shared" si="96"/>
        <v>#DIV/0!</v>
      </c>
    </row>
    <row r="2034" customHeight="1" spans="1:21">
      <c r="A2034" s="42" t="str">
        <f t="shared" si="95"/>
        <v/>
      </c>
      <c r="G2034" s="47" t="e">
        <f t="shared" si="94"/>
        <v>#DIV/0!</v>
      </c>
      <c r="U2034" s="49" t="e">
        <f t="shared" si="96"/>
        <v>#DIV/0!</v>
      </c>
    </row>
    <row r="2035" customHeight="1" spans="1:21">
      <c r="A2035" s="42" t="str">
        <f t="shared" si="95"/>
        <v/>
      </c>
      <c r="G2035" s="47" t="e">
        <f t="shared" si="94"/>
        <v>#DIV/0!</v>
      </c>
      <c r="U2035" s="49" t="e">
        <f t="shared" si="96"/>
        <v>#DIV/0!</v>
      </c>
    </row>
    <row r="2036" customHeight="1" spans="1:21">
      <c r="A2036" s="42" t="str">
        <f t="shared" si="95"/>
        <v/>
      </c>
      <c r="G2036" s="47" t="e">
        <f t="shared" si="94"/>
        <v>#DIV/0!</v>
      </c>
      <c r="U2036" s="49" t="e">
        <f t="shared" si="96"/>
        <v>#DIV/0!</v>
      </c>
    </row>
    <row r="2037" customHeight="1" spans="1:21">
      <c r="A2037" s="42" t="str">
        <f t="shared" si="95"/>
        <v/>
      </c>
      <c r="G2037" s="47" t="e">
        <f t="shared" si="94"/>
        <v>#DIV/0!</v>
      </c>
      <c r="U2037" s="49" t="e">
        <f t="shared" si="96"/>
        <v>#DIV/0!</v>
      </c>
    </row>
    <row r="2038" customHeight="1" spans="1:21">
      <c r="A2038" s="42" t="str">
        <f t="shared" si="95"/>
        <v/>
      </c>
      <c r="G2038" s="47" t="e">
        <f t="shared" si="94"/>
        <v>#DIV/0!</v>
      </c>
      <c r="U2038" s="49" t="e">
        <f t="shared" si="96"/>
        <v>#DIV/0!</v>
      </c>
    </row>
    <row r="2039" customHeight="1" spans="1:21">
      <c r="A2039" s="42" t="str">
        <f t="shared" si="95"/>
        <v/>
      </c>
      <c r="G2039" s="47" t="e">
        <f t="shared" si="94"/>
        <v>#DIV/0!</v>
      </c>
      <c r="U2039" s="49" t="e">
        <f t="shared" si="96"/>
        <v>#DIV/0!</v>
      </c>
    </row>
    <row r="2040" customHeight="1" spans="1:21">
      <c r="A2040" s="42" t="str">
        <f t="shared" si="95"/>
        <v/>
      </c>
      <c r="G2040" s="47" t="e">
        <f t="shared" si="94"/>
        <v>#DIV/0!</v>
      </c>
      <c r="U2040" s="49" t="e">
        <f t="shared" si="96"/>
        <v>#DIV/0!</v>
      </c>
    </row>
    <row r="2041" customHeight="1" spans="1:21">
      <c r="A2041" s="42" t="str">
        <f t="shared" si="95"/>
        <v/>
      </c>
      <c r="G2041" s="47" t="e">
        <f t="shared" si="94"/>
        <v>#DIV/0!</v>
      </c>
      <c r="U2041" s="49" t="e">
        <f t="shared" si="96"/>
        <v>#DIV/0!</v>
      </c>
    </row>
    <row r="2042" customHeight="1" spans="1:21">
      <c r="A2042" s="42" t="str">
        <f t="shared" si="95"/>
        <v/>
      </c>
      <c r="G2042" s="47" t="e">
        <f t="shared" si="94"/>
        <v>#DIV/0!</v>
      </c>
      <c r="U2042" s="49" t="e">
        <f t="shared" si="96"/>
        <v>#DIV/0!</v>
      </c>
    </row>
    <row r="2043" customHeight="1" spans="1:21">
      <c r="A2043" s="42" t="str">
        <f t="shared" si="95"/>
        <v/>
      </c>
      <c r="G2043" s="47" t="e">
        <f t="shared" si="94"/>
        <v>#DIV/0!</v>
      </c>
      <c r="U2043" s="49" t="e">
        <f t="shared" si="96"/>
        <v>#DIV/0!</v>
      </c>
    </row>
    <row r="2044" customHeight="1" spans="1:21">
      <c r="A2044" s="42" t="str">
        <f t="shared" si="95"/>
        <v/>
      </c>
      <c r="G2044" s="47" t="e">
        <f t="shared" si="94"/>
        <v>#DIV/0!</v>
      </c>
      <c r="U2044" s="49" t="e">
        <f t="shared" si="96"/>
        <v>#DIV/0!</v>
      </c>
    </row>
    <row r="2045" customHeight="1" spans="1:21">
      <c r="A2045" s="42" t="str">
        <f t="shared" si="95"/>
        <v/>
      </c>
      <c r="G2045" s="47" t="e">
        <f t="shared" si="94"/>
        <v>#DIV/0!</v>
      </c>
      <c r="U2045" s="49" t="e">
        <f t="shared" si="96"/>
        <v>#DIV/0!</v>
      </c>
    </row>
    <row r="2046" customHeight="1" spans="1:21">
      <c r="A2046" s="42" t="str">
        <f t="shared" si="95"/>
        <v/>
      </c>
      <c r="G2046" s="47" t="e">
        <f t="shared" si="94"/>
        <v>#DIV/0!</v>
      </c>
      <c r="U2046" s="49" t="e">
        <f t="shared" si="96"/>
        <v>#DIV/0!</v>
      </c>
    </row>
    <row r="2047" customHeight="1" spans="1:21">
      <c r="A2047" s="42" t="str">
        <f t="shared" si="95"/>
        <v/>
      </c>
      <c r="G2047" s="47" t="e">
        <f t="shared" si="94"/>
        <v>#DIV/0!</v>
      </c>
      <c r="U2047" s="49" t="e">
        <f t="shared" si="96"/>
        <v>#DIV/0!</v>
      </c>
    </row>
    <row r="2048" customHeight="1" spans="1:21">
      <c r="A2048" s="42" t="str">
        <f t="shared" si="95"/>
        <v/>
      </c>
      <c r="G2048" s="47" t="e">
        <f t="shared" si="94"/>
        <v>#DIV/0!</v>
      </c>
      <c r="U2048" s="49" t="e">
        <f t="shared" si="96"/>
        <v>#DIV/0!</v>
      </c>
    </row>
    <row r="2049" customHeight="1" spans="1:21">
      <c r="A2049" s="42" t="str">
        <f t="shared" si="95"/>
        <v/>
      </c>
      <c r="G2049" s="47" t="e">
        <f t="shared" si="94"/>
        <v>#DIV/0!</v>
      </c>
      <c r="U2049" s="49" t="e">
        <f t="shared" si="96"/>
        <v>#DIV/0!</v>
      </c>
    </row>
    <row r="2050" customHeight="1" spans="1:21">
      <c r="A2050" s="42" t="str">
        <f t="shared" si="95"/>
        <v/>
      </c>
      <c r="G2050" s="47" t="e">
        <f t="shared" si="94"/>
        <v>#DIV/0!</v>
      </c>
      <c r="U2050" s="49" t="e">
        <f t="shared" si="96"/>
        <v>#DIV/0!</v>
      </c>
    </row>
    <row r="2051" customHeight="1" spans="1:21">
      <c r="A2051" s="42" t="str">
        <f t="shared" si="95"/>
        <v/>
      </c>
      <c r="G2051" s="47" t="e">
        <f t="shared" ref="G2051:G2114" si="97">+E2051/F2051</f>
        <v>#DIV/0!</v>
      </c>
      <c r="U2051" s="49" t="e">
        <f t="shared" si="96"/>
        <v>#DIV/0!</v>
      </c>
    </row>
    <row r="2052" customHeight="1" spans="1:21">
      <c r="A2052" s="42" t="str">
        <f t="shared" ref="A2052:A2115" si="98">B2052&amp;C2052&amp;D2052</f>
        <v/>
      </c>
      <c r="G2052" s="47" t="e">
        <f t="shared" si="97"/>
        <v>#DIV/0!</v>
      </c>
      <c r="U2052" s="49" t="e">
        <f t="shared" ref="U2052:U2115" si="99">SUM(G2052:T2052)</f>
        <v>#DIV/0!</v>
      </c>
    </row>
    <row r="2053" customHeight="1" spans="1:21">
      <c r="A2053" s="42" t="str">
        <f t="shared" si="98"/>
        <v/>
      </c>
      <c r="G2053" s="47" t="e">
        <f t="shared" si="97"/>
        <v>#DIV/0!</v>
      </c>
      <c r="U2053" s="49" t="e">
        <f t="shared" si="99"/>
        <v>#DIV/0!</v>
      </c>
    </row>
    <row r="2054" customHeight="1" spans="1:21">
      <c r="A2054" s="42" t="str">
        <f t="shared" si="98"/>
        <v/>
      </c>
      <c r="G2054" s="47" t="e">
        <f t="shared" si="97"/>
        <v>#DIV/0!</v>
      </c>
      <c r="U2054" s="49" t="e">
        <f t="shared" si="99"/>
        <v>#DIV/0!</v>
      </c>
    </row>
    <row r="2055" customHeight="1" spans="1:21">
      <c r="A2055" s="42" t="str">
        <f t="shared" si="98"/>
        <v/>
      </c>
      <c r="G2055" s="47" t="e">
        <f t="shared" si="97"/>
        <v>#DIV/0!</v>
      </c>
      <c r="U2055" s="49" t="e">
        <f t="shared" si="99"/>
        <v>#DIV/0!</v>
      </c>
    </row>
    <row r="2056" customHeight="1" spans="1:21">
      <c r="A2056" s="42" t="str">
        <f t="shared" si="98"/>
        <v/>
      </c>
      <c r="G2056" s="47" t="e">
        <f t="shared" si="97"/>
        <v>#DIV/0!</v>
      </c>
      <c r="U2056" s="49" t="e">
        <f t="shared" si="99"/>
        <v>#DIV/0!</v>
      </c>
    </row>
    <row r="2057" customHeight="1" spans="1:21">
      <c r="A2057" s="42" t="str">
        <f t="shared" si="98"/>
        <v/>
      </c>
      <c r="G2057" s="47" t="e">
        <f t="shared" si="97"/>
        <v>#DIV/0!</v>
      </c>
      <c r="U2057" s="49" t="e">
        <f t="shared" si="99"/>
        <v>#DIV/0!</v>
      </c>
    </row>
    <row r="2058" customHeight="1" spans="1:21">
      <c r="A2058" s="42" t="str">
        <f t="shared" si="98"/>
        <v/>
      </c>
      <c r="G2058" s="47" t="e">
        <f t="shared" si="97"/>
        <v>#DIV/0!</v>
      </c>
      <c r="U2058" s="49" t="e">
        <f t="shared" si="99"/>
        <v>#DIV/0!</v>
      </c>
    </row>
    <row r="2059" customHeight="1" spans="1:21">
      <c r="A2059" s="42" t="str">
        <f t="shared" si="98"/>
        <v/>
      </c>
      <c r="G2059" s="47" t="e">
        <f t="shared" si="97"/>
        <v>#DIV/0!</v>
      </c>
      <c r="U2059" s="49" t="e">
        <f t="shared" si="99"/>
        <v>#DIV/0!</v>
      </c>
    </row>
    <row r="2060" customHeight="1" spans="1:21">
      <c r="A2060" s="42" t="str">
        <f t="shared" si="98"/>
        <v/>
      </c>
      <c r="G2060" s="47" t="e">
        <f t="shared" si="97"/>
        <v>#DIV/0!</v>
      </c>
      <c r="U2060" s="49" t="e">
        <f t="shared" si="99"/>
        <v>#DIV/0!</v>
      </c>
    </row>
    <row r="2061" customHeight="1" spans="1:21">
      <c r="A2061" s="42" t="str">
        <f t="shared" si="98"/>
        <v/>
      </c>
      <c r="G2061" s="47" t="e">
        <f t="shared" si="97"/>
        <v>#DIV/0!</v>
      </c>
      <c r="U2061" s="49" t="e">
        <f t="shared" si="99"/>
        <v>#DIV/0!</v>
      </c>
    </row>
    <row r="2062" customHeight="1" spans="1:21">
      <c r="A2062" s="42" t="str">
        <f t="shared" si="98"/>
        <v/>
      </c>
      <c r="G2062" s="47" t="e">
        <f t="shared" si="97"/>
        <v>#DIV/0!</v>
      </c>
      <c r="U2062" s="49" t="e">
        <f t="shared" si="99"/>
        <v>#DIV/0!</v>
      </c>
    </row>
    <row r="2063" customHeight="1" spans="1:21">
      <c r="A2063" s="42" t="str">
        <f t="shared" si="98"/>
        <v/>
      </c>
      <c r="G2063" s="47" t="e">
        <f t="shared" si="97"/>
        <v>#DIV/0!</v>
      </c>
      <c r="U2063" s="49" t="e">
        <f t="shared" si="99"/>
        <v>#DIV/0!</v>
      </c>
    </row>
    <row r="2064" customHeight="1" spans="1:21">
      <c r="A2064" s="42" t="str">
        <f t="shared" si="98"/>
        <v/>
      </c>
      <c r="G2064" s="47" t="e">
        <f t="shared" si="97"/>
        <v>#DIV/0!</v>
      </c>
      <c r="U2064" s="49" t="e">
        <f t="shared" si="99"/>
        <v>#DIV/0!</v>
      </c>
    </row>
    <row r="2065" customHeight="1" spans="1:21">
      <c r="A2065" s="42" t="str">
        <f t="shared" si="98"/>
        <v/>
      </c>
      <c r="G2065" s="47" t="e">
        <f t="shared" si="97"/>
        <v>#DIV/0!</v>
      </c>
      <c r="U2065" s="49" t="e">
        <f t="shared" si="99"/>
        <v>#DIV/0!</v>
      </c>
    </row>
    <row r="2066" customHeight="1" spans="1:21">
      <c r="A2066" s="42" t="str">
        <f t="shared" si="98"/>
        <v/>
      </c>
      <c r="G2066" s="47" t="e">
        <f t="shared" si="97"/>
        <v>#DIV/0!</v>
      </c>
      <c r="U2066" s="49" t="e">
        <f t="shared" si="99"/>
        <v>#DIV/0!</v>
      </c>
    </row>
    <row r="2067" customHeight="1" spans="1:21">
      <c r="A2067" s="42" t="str">
        <f t="shared" si="98"/>
        <v/>
      </c>
      <c r="G2067" s="47" t="e">
        <f t="shared" si="97"/>
        <v>#DIV/0!</v>
      </c>
      <c r="U2067" s="49" t="e">
        <f t="shared" si="99"/>
        <v>#DIV/0!</v>
      </c>
    </row>
    <row r="2068" customHeight="1" spans="1:21">
      <c r="A2068" s="42" t="str">
        <f t="shared" si="98"/>
        <v/>
      </c>
      <c r="G2068" s="47" t="e">
        <f t="shared" si="97"/>
        <v>#DIV/0!</v>
      </c>
      <c r="U2068" s="49" t="e">
        <f t="shared" si="99"/>
        <v>#DIV/0!</v>
      </c>
    </row>
    <row r="2069" customHeight="1" spans="1:21">
      <c r="A2069" s="42" t="str">
        <f t="shared" si="98"/>
        <v/>
      </c>
      <c r="G2069" s="47" t="e">
        <f t="shared" si="97"/>
        <v>#DIV/0!</v>
      </c>
      <c r="U2069" s="49" t="e">
        <f t="shared" si="99"/>
        <v>#DIV/0!</v>
      </c>
    </row>
    <row r="2070" customHeight="1" spans="1:21">
      <c r="A2070" s="42" t="str">
        <f t="shared" si="98"/>
        <v/>
      </c>
      <c r="G2070" s="47" t="e">
        <f t="shared" si="97"/>
        <v>#DIV/0!</v>
      </c>
      <c r="U2070" s="49" t="e">
        <f t="shared" si="99"/>
        <v>#DIV/0!</v>
      </c>
    </row>
    <row r="2071" customHeight="1" spans="1:21">
      <c r="A2071" s="42" t="str">
        <f t="shared" si="98"/>
        <v/>
      </c>
      <c r="G2071" s="47" t="e">
        <f t="shared" si="97"/>
        <v>#DIV/0!</v>
      </c>
      <c r="U2071" s="49" t="e">
        <f t="shared" si="99"/>
        <v>#DIV/0!</v>
      </c>
    </row>
    <row r="2072" customHeight="1" spans="1:21">
      <c r="A2072" s="42" t="str">
        <f t="shared" si="98"/>
        <v/>
      </c>
      <c r="G2072" s="47" t="e">
        <f t="shared" si="97"/>
        <v>#DIV/0!</v>
      </c>
      <c r="U2072" s="49" t="e">
        <f t="shared" si="99"/>
        <v>#DIV/0!</v>
      </c>
    </row>
    <row r="2073" customHeight="1" spans="1:21">
      <c r="A2073" s="42" t="str">
        <f t="shared" si="98"/>
        <v/>
      </c>
      <c r="G2073" s="47" t="e">
        <f t="shared" si="97"/>
        <v>#DIV/0!</v>
      </c>
      <c r="U2073" s="49" t="e">
        <f t="shared" si="99"/>
        <v>#DIV/0!</v>
      </c>
    </row>
    <row r="2074" customHeight="1" spans="1:21">
      <c r="A2074" s="42" t="str">
        <f t="shared" si="98"/>
        <v/>
      </c>
      <c r="G2074" s="47" t="e">
        <f t="shared" si="97"/>
        <v>#DIV/0!</v>
      </c>
      <c r="U2074" s="49" t="e">
        <f t="shared" si="99"/>
        <v>#DIV/0!</v>
      </c>
    </row>
    <row r="2075" customHeight="1" spans="1:21">
      <c r="A2075" s="42" t="str">
        <f t="shared" si="98"/>
        <v/>
      </c>
      <c r="G2075" s="47" t="e">
        <f t="shared" si="97"/>
        <v>#DIV/0!</v>
      </c>
      <c r="U2075" s="49" t="e">
        <f t="shared" si="99"/>
        <v>#DIV/0!</v>
      </c>
    </row>
    <row r="2076" customHeight="1" spans="1:21">
      <c r="A2076" s="42" t="str">
        <f t="shared" si="98"/>
        <v/>
      </c>
      <c r="G2076" s="47" t="e">
        <f t="shared" si="97"/>
        <v>#DIV/0!</v>
      </c>
      <c r="U2076" s="49" t="e">
        <f t="shared" si="99"/>
        <v>#DIV/0!</v>
      </c>
    </row>
    <row r="2077" customHeight="1" spans="1:21">
      <c r="A2077" s="42" t="str">
        <f t="shared" si="98"/>
        <v/>
      </c>
      <c r="G2077" s="47" t="e">
        <f t="shared" si="97"/>
        <v>#DIV/0!</v>
      </c>
      <c r="U2077" s="49" t="e">
        <f t="shared" si="99"/>
        <v>#DIV/0!</v>
      </c>
    </row>
    <row r="2078" customHeight="1" spans="1:21">
      <c r="A2078" s="42" t="str">
        <f t="shared" si="98"/>
        <v/>
      </c>
      <c r="G2078" s="47" t="e">
        <f t="shared" si="97"/>
        <v>#DIV/0!</v>
      </c>
      <c r="U2078" s="49" t="e">
        <f t="shared" si="99"/>
        <v>#DIV/0!</v>
      </c>
    </row>
    <row r="2079" customHeight="1" spans="1:21">
      <c r="A2079" s="42" t="str">
        <f t="shared" si="98"/>
        <v/>
      </c>
      <c r="G2079" s="47" t="e">
        <f t="shared" si="97"/>
        <v>#DIV/0!</v>
      </c>
      <c r="U2079" s="49" t="e">
        <f t="shared" si="99"/>
        <v>#DIV/0!</v>
      </c>
    </row>
    <row r="2080" customHeight="1" spans="1:21">
      <c r="A2080" s="42" t="str">
        <f t="shared" si="98"/>
        <v/>
      </c>
      <c r="G2080" s="47" t="e">
        <f t="shared" si="97"/>
        <v>#DIV/0!</v>
      </c>
      <c r="U2080" s="49" t="e">
        <f t="shared" si="99"/>
        <v>#DIV/0!</v>
      </c>
    </row>
    <row r="2081" customHeight="1" spans="1:21">
      <c r="A2081" s="42" t="str">
        <f t="shared" si="98"/>
        <v/>
      </c>
      <c r="G2081" s="47" t="e">
        <f t="shared" si="97"/>
        <v>#DIV/0!</v>
      </c>
      <c r="U2081" s="49" t="e">
        <f t="shared" si="99"/>
        <v>#DIV/0!</v>
      </c>
    </row>
    <row r="2082" customHeight="1" spans="1:21">
      <c r="A2082" s="42" t="str">
        <f t="shared" si="98"/>
        <v/>
      </c>
      <c r="G2082" s="47" t="e">
        <f t="shared" si="97"/>
        <v>#DIV/0!</v>
      </c>
      <c r="U2082" s="49" t="e">
        <f t="shared" si="99"/>
        <v>#DIV/0!</v>
      </c>
    </row>
    <row r="2083" customHeight="1" spans="1:21">
      <c r="A2083" s="42" t="str">
        <f t="shared" si="98"/>
        <v/>
      </c>
      <c r="G2083" s="47" t="e">
        <f t="shared" si="97"/>
        <v>#DIV/0!</v>
      </c>
      <c r="U2083" s="49" t="e">
        <f t="shared" si="99"/>
        <v>#DIV/0!</v>
      </c>
    </row>
    <row r="2084" customHeight="1" spans="1:21">
      <c r="A2084" s="42" t="str">
        <f t="shared" si="98"/>
        <v/>
      </c>
      <c r="G2084" s="47" t="e">
        <f t="shared" si="97"/>
        <v>#DIV/0!</v>
      </c>
      <c r="U2084" s="49" t="e">
        <f t="shared" si="99"/>
        <v>#DIV/0!</v>
      </c>
    </row>
    <row r="2085" customHeight="1" spans="1:21">
      <c r="A2085" s="42" t="str">
        <f t="shared" si="98"/>
        <v/>
      </c>
      <c r="G2085" s="47" t="e">
        <f t="shared" si="97"/>
        <v>#DIV/0!</v>
      </c>
      <c r="U2085" s="49" t="e">
        <f t="shared" si="99"/>
        <v>#DIV/0!</v>
      </c>
    </row>
    <row r="2086" customHeight="1" spans="1:21">
      <c r="A2086" s="42" t="str">
        <f t="shared" si="98"/>
        <v/>
      </c>
      <c r="G2086" s="47" t="e">
        <f t="shared" si="97"/>
        <v>#DIV/0!</v>
      </c>
      <c r="U2086" s="49" t="e">
        <f t="shared" si="99"/>
        <v>#DIV/0!</v>
      </c>
    </row>
    <row r="2087" customHeight="1" spans="1:21">
      <c r="A2087" s="42" t="str">
        <f t="shared" si="98"/>
        <v/>
      </c>
      <c r="G2087" s="47" t="e">
        <f t="shared" si="97"/>
        <v>#DIV/0!</v>
      </c>
      <c r="U2087" s="49" t="e">
        <f t="shared" si="99"/>
        <v>#DIV/0!</v>
      </c>
    </row>
    <row r="2088" customHeight="1" spans="1:21">
      <c r="A2088" s="42" t="str">
        <f t="shared" si="98"/>
        <v/>
      </c>
      <c r="G2088" s="47" t="e">
        <f t="shared" si="97"/>
        <v>#DIV/0!</v>
      </c>
      <c r="U2088" s="49" t="e">
        <f t="shared" si="99"/>
        <v>#DIV/0!</v>
      </c>
    </row>
    <row r="2089" customHeight="1" spans="1:21">
      <c r="A2089" s="42" t="str">
        <f t="shared" si="98"/>
        <v/>
      </c>
      <c r="G2089" s="47" t="e">
        <f t="shared" si="97"/>
        <v>#DIV/0!</v>
      </c>
      <c r="U2089" s="49" t="e">
        <f t="shared" si="99"/>
        <v>#DIV/0!</v>
      </c>
    </row>
    <row r="2090" customHeight="1" spans="1:21">
      <c r="A2090" s="42" t="str">
        <f t="shared" si="98"/>
        <v/>
      </c>
      <c r="G2090" s="47" t="e">
        <f t="shared" si="97"/>
        <v>#DIV/0!</v>
      </c>
      <c r="U2090" s="49" t="e">
        <f t="shared" si="99"/>
        <v>#DIV/0!</v>
      </c>
    </row>
    <row r="2091" customHeight="1" spans="1:21">
      <c r="A2091" s="42" t="str">
        <f t="shared" si="98"/>
        <v/>
      </c>
      <c r="G2091" s="47" t="e">
        <f t="shared" si="97"/>
        <v>#DIV/0!</v>
      </c>
      <c r="U2091" s="49" t="e">
        <f t="shared" si="99"/>
        <v>#DIV/0!</v>
      </c>
    </row>
    <row r="2092" customHeight="1" spans="1:21">
      <c r="A2092" s="42" t="str">
        <f t="shared" si="98"/>
        <v/>
      </c>
      <c r="G2092" s="47" t="e">
        <f t="shared" si="97"/>
        <v>#DIV/0!</v>
      </c>
      <c r="U2092" s="49" t="e">
        <f t="shared" si="99"/>
        <v>#DIV/0!</v>
      </c>
    </row>
    <row r="2093" customHeight="1" spans="1:21">
      <c r="A2093" s="42" t="str">
        <f t="shared" si="98"/>
        <v/>
      </c>
      <c r="G2093" s="47" t="e">
        <f t="shared" si="97"/>
        <v>#DIV/0!</v>
      </c>
      <c r="U2093" s="49" t="e">
        <f t="shared" si="99"/>
        <v>#DIV/0!</v>
      </c>
    </row>
    <row r="2094" customHeight="1" spans="1:21">
      <c r="A2094" s="42" t="str">
        <f t="shared" si="98"/>
        <v/>
      </c>
      <c r="G2094" s="47" t="e">
        <f t="shared" si="97"/>
        <v>#DIV/0!</v>
      </c>
      <c r="U2094" s="49" t="e">
        <f t="shared" si="99"/>
        <v>#DIV/0!</v>
      </c>
    </row>
    <row r="2095" customHeight="1" spans="1:21">
      <c r="A2095" s="42" t="str">
        <f t="shared" si="98"/>
        <v/>
      </c>
      <c r="G2095" s="47" t="e">
        <f t="shared" si="97"/>
        <v>#DIV/0!</v>
      </c>
      <c r="U2095" s="49" t="e">
        <f t="shared" si="99"/>
        <v>#DIV/0!</v>
      </c>
    </row>
    <row r="2096" customHeight="1" spans="1:21">
      <c r="A2096" s="42" t="str">
        <f t="shared" si="98"/>
        <v/>
      </c>
      <c r="G2096" s="47" t="e">
        <f t="shared" si="97"/>
        <v>#DIV/0!</v>
      </c>
      <c r="U2096" s="49" t="e">
        <f t="shared" si="99"/>
        <v>#DIV/0!</v>
      </c>
    </row>
    <row r="2097" customHeight="1" spans="1:21">
      <c r="A2097" s="42" t="str">
        <f t="shared" si="98"/>
        <v/>
      </c>
      <c r="G2097" s="47" t="e">
        <f t="shared" si="97"/>
        <v>#DIV/0!</v>
      </c>
      <c r="U2097" s="49" t="e">
        <f t="shared" si="99"/>
        <v>#DIV/0!</v>
      </c>
    </row>
    <row r="2098" customHeight="1" spans="1:21">
      <c r="A2098" s="42" t="str">
        <f t="shared" si="98"/>
        <v/>
      </c>
      <c r="G2098" s="47" t="e">
        <f t="shared" si="97"/>
        <v>#DIV/0!</v>
      </c>
      <c r="U2098" s="49" t="e">
        <f t="shared" si="99"/>
        <v>#DIV/0!</v>
      </c>
    </row>
    <row r="2099" customHeight="1" spans="1:21">
      <c r="A2099" s="42" t="str">
        <f t="shared" si="98"/>
        <v/>
      </c>
      <c r="G2099" s="47" t="e">
        <f t="shared" si="97"/>
        <v>#DIV/0!</v>
      </c>
      <c r="U2099" s="49" t="e">
        <f t="shared" si="99"/>
        <v>#DIV/0!</v>
      </c>
    </row>
    <row r="2100" customHeight="1" spans="1:21">
      <c r="A2100" s="42" t="str">
        <f t="shared" si="98"/>
        <v/>
      </c>
      <c r="G2100" s="47" t="e">
        <f t="shared" si="97"/>
        <v>#DIV/0!</v>
      </c>
      <c r="U2100" s="49" t="e">
        <f t="shared" si="99"/>
        <v>#DIV/0!</v>
      </c>
    </row>
    <row r="2101" customHeight="1" spans="1:21">
      <c r="A2101" s="42" t="str">
        <f t="shared" si="98"/>
        <v/>
      </c>
      <c r="G2101" s="47" t="e">
        <f t="shared" si="97"/>
        <v>#DIV/0!</v>
      </c>
      <c r="U2101" s="49" t="e">
        <f t="shared" si="99"/>
        <v>#DIV/0!</v>
      </c>
    </row>
    <row r="2102" customHeight="1" spans="1:21">
      <c r="A2102" s="42" t="str">
        <f t="shared" si="98"/>
        <v/>
      </c>
      <c r="G2102" s="47" t="e">
        <f t="shared" si="97"/>
        <v>#DIV/0!</v>
      </c>
      <c r="U2102" s="49" t="e">
        <f t="shared" si="99"/>
        <v>#DIV/0!</v>
      </c>
    </row>
    <row r="2103" customHeight="1" spans="1:21">
      <c r="A2103" s="42" t="str">
        <f t="shared" si="98"/>
        <v/>
      </c>
      <c r="G2103" s="47" t="e">
        <f t="shared" si="97"/>
        <v>#DIV/0!</v>
      </c>
      <c r="U2103" s="49" t="e">
        <f t="shared" si="99"/>
        <v>#DIV/0!</v>
      </c>
    </row>
    <row r="2104" customHeight="1" spans="1:21">
      <c r="A2104" s="42" t="str">
        <f t="shared" si="98"/>
        <v/>
      </c>
      <c r="G2104" s="47" t="e">
        <f t="shared" si="97"/>
        <v>#DIV/0!</v>
      </c>
      <c r="U2104" s="49" t="e">
        <f t="shared" si="99"/>
        <v>#DIV/0!</v>
      </c>
    </row>
    <row r="2105" customHeight="1" spans="1:21">
      <c r="A2105" s="42" t="str">
        <f t="shared" si="98"/>
        <v/>
      </c>
      <c r="G2105" s="47" t="e">
        <f t="shared" si="97"/>
        <v>#DIV/0!</v>
      </c>
      <c r="U2105" s="49" t="e">
        <f t="shared" si="99"/>
        <v>#DIV/0!</v>
      </c>
    </row>
    <row r="2106" customHeight="1" spans="1:21">
      <c r="A2106" s="42" t="str">
        <f t="shared" si="98"/>
        <v/>
      </c>
      <c r="G2106" s="47" t="e">
        <f t="shared" si="97"/>
        <v>#DIV/0!</v>
      </c>
      <c r="U2106" s="49" t="e">
        <f t="shared" si="99"/>
        <v>#DIV/0!</v>
      </c>
    </row>
    <row r="2107" customHeight="1" spans="1:21">
      <c r="A2107" s="42" t="str">
        <f t="shared" si="98"/>
        <v/>
      </c>
      <c r="G2107" s="47" t="e">
        <f t="shared" si="97"/>
        <v>#DIV/0!</v>
      </c>
      <c r="U2107" s="49" t="e">
        <f t="shared" si="99"/>
        <v>#DIV/0!</v>
      </c>
    </row>
    <row r="2108" customHeight="1" spans="1:21">
      <c r="A2108" s="42" t="str">
        <f t="shared" si="98"/>
        <v/>
      </c>
      <c r="G2108" s="47" t="e">
        <f t="shared" si="97"/>
        <v>#DIV/0!</v>
      </c>
      <c r="U2108" s="49" t="e">
        <f t="shared" si="99"/>
        <v>#DIV/0!</v>
      </c>
    </row>
    <row r="2109" customHeight="1" spans="1:21">
      <c r="A2109" s="42" t="str">
        <f t="shared" si="98"/>
        <v/>
      </c>
      <c r="G2109" s="47" t="e">
        <f t="shared" si="97"/>
        <v>#DIV/0!</v>
      </c>
      <c r="U2109" s="49" t="e">
        <f t="shared" si="99"/>
        <v>#DIV/0!</v>
      </c>
    </row>
    <row r="2110" customHeight="1" spans="1:21">
      <c r="A2110" s="42" t="str">
        <f t="shared" si="98"/>
        <v/>
      </c>
      <c r="G2110" s="47" t="e">
        <f t="shared" si="97"/>
        <v>#DIV/0!</v>
      </c>
      <c r="U2110" s="49" t="e">
        <f t="shared" si="99"/>
        <v>#DIV/0!</v>
      </c>
    </row>
    <row r="2111" customHeight="1" spans="1:21">
      <c r="A2111" s="42" t="str">
        <f t="shared" si="98"/>
        <v/>
      </c>
      <c r="G2111" s="47" t="e">
        <f t="shared" si="97"/>
        <v>#DIV/0!</v>
      </c>
      <c r="U2111" s="49" t="e">
        <f t="shared" si="99"/>
        <v>#DIV/0!</v>
      </c>
    </row>
    <row r="2112" customHeight="1" spans="1:21">
      <c r="A2112" s="42" t="str">
        <f t="shared" si="98"/>
        <v/>
      </c>
      <c r="G2112" s="47" t="e">
        <f t="shared" si="97"/>
        <v>#DIV/0!</v>
      </c>
      <c r="U2112" s="49" t="e">
        <f t="shared" si="99"/>
        <v>#DIV/0!</v>
      </c>
    </row>
    <row r="2113" customHeight="1" spans="1:21">
      <c r="A2113" s="42" t="str">
        <f t="shared" si="98"/>
        <v/>
      </c>
      <c r="G2113" s="47" t="e">
        <f t="shared" si="97"/>
        <v>#DIV/0!</v>
      </c>
      <c r="U2113" s="49" t="e">
        <f t="shared" si="99"/>
        <v>#DIV/0!</v>
      </c>
    </row>
    <row r="2114" customHeight="1" spans="1:21">
      <c r="A2114" s="42" t="str">
        <f t="shared" si="98"/>
        <v/>
      </c>
      <c r="G2114" s="47" t="e">
        <f t="shared" si="97"/>
        <v>#DIV/0!</v>
      </c>
      <c r="U2114" s="49" t="e">
        <f t="shared" si="99"/>
        <v>#DIV/0!</v>
      </c>
    </row>
    <row r="2115" customHeight="1" spans="1:21">
      <c r="A2115" s="42" t="str">
        <f t="shared" si="98"/>
        <v/>
      </c>
      <c r="G2115" s="47" t="e">
        <f t="shared" ref="G2115:G2178" si="100">+E2115/F2115</f>
        <v>#DIV/0!</v>
      </c>
      <c r="U2115" s="49" t="e">
        <f t="shared" si="99"/>
        <v>#DIV/0!</v>
      </c>
    </row>
    <row r="2116" customHeight="1" spans="1:21">
      <c r="A2116" s="42" t="str">
        <f t="shared" ref="A2116:A2179" si="101">B2116&amp;C2116&amp;D2116</f>
        <v/>
      </c>
      <c r="G2116" s="47" t="e">
        <f t="shared" si="100"/>
        <v>#DIV/0!</v>
      </c>
      <c r="U2116" s="49" t="e">
        <f t="shared" ref="U2116:U2179" si="102">SUM(G2116:T2116)</f>
        <v>#DIV/0!</v>
      </c>
    </row>
    <row r="2117" customHeight="1" spans="1:21">
      <c r="A2117" s="42" t="str">
        <f t="shared" si="101"/>
        <v/>
      </c>
      <c r="G2117" s="47" t="e">
        <f t="shared" si="100"/>
        <v>#DIV/0!</v>
      </c>
      <c r="U2117" s="49" t="e">
        <f t="shared" si="102"/>
        <v>#DIV/0!</v>
      </c>
    </row>
    <row r="2118" customHeight="1" spans="1:21">
      <c r="A2118" s="42" t="str">
        <f t="shared" si="101"/>
        <v/>
      </c>
      <c r="G2118" s="47" t="e">
        <f t="shared" si="100"/>
        <v>#DIV/0!</v>
      </c>
      <c r="U2118" s="49" t="e">
        <f t="shared" si="102"/>
        <v>#DIV/0!</v>
      </c>
    </row>
    <row r="2119" customHeight="1" spans="1:21">
      <c r="A2119" s="42" t="str">
        <f t="shared" si="101"/>
        <v/>
      </c>
      <c r="G2119" s="47" t="e">
        <f t="shared" si="100"/>
        <v>#DIV/0!</v>
      </c>
      <c r="U2119" s="49" t="e">
        <f t="shared" si="102"/>
        <v>#DIV/0!</v>
      </c>
    </row>
    <row r="2120" customHeight="1" spans="1:21">
      <c r="A2120" s="42" t="str">
        <f t="shared" si="101"/>
        <v/>
      </c>
      <c r="G2120" s="47" t="e">
        <f t="shared" si="100"/>
        <v>#DIV/0!</v>
      </c>
      <c r="U2120" s="49" t="e">
        <f t="shared" si="102"/>
        <v>#DIV/0!</v>
      </c>
    </row>
    <row r="2121" customHeight="1" spans="1:21">
      <c r="A2121" s="42" t="str">
        <f t="shared" si="101"/>
        <v/>
      </c>
      <c r="G2121" s="47" t="e">
        <f t="shared" si="100"/>
        <v>#DIV/0!</v>
      </c>
      <c r="U2121" s="49" t="e">
        <f t="shared" si="102"/>
        <v>#DIV/0!</v>
      </c>
    </row>
    <row r="2122" customHeight="1" spans="1:21">
      <c r="A2122" s="42" t="str">
        <f t="shared" si="101"/>
        <v/>
      </c>
      <c r="G2122" s="47" t="e">
        <f t="shared" si="100"/>
        <v>#DIV/0!</v>
      </c>
      <c r="U2122" s="49" t="e">
        <f t="shared" si="102"/>
        <v>#DIV/0!</v>
      </c>
    </row>
    <row r="2123" customHeight="1" spans="1:21">
      <c r="A2123" s="42" t="str">
        <f t="shared" si="101"/>
        <v/>
      </c>
      <c r="G2123" s="47" t="e">
        <f t="shared" si="100"/>
        <v>#DIV/0!</v>
      </c>
      <c r="U2123" s="49" t="e">
        <f t="shared" si="102"/>
        <v>#DIV/0!</v>
      </c>
    </row>
    <row r="2124" customHeight="1" spans="1:21">
      <c r="A2124" s="42" t="str">
        <f t="shared" si="101"/>
        <v/>
      </c>
      <c r="G2124" s="47" t="e">
        <f t="shared" si="100"/>
        <v>#DIV/0!</v>
      </c>
      <c r="U2124" s="49" t="e">
        <f t="shared" si="102"/>
        <v>#DIV/0!</v>
      </c>
    </row>
    <row r="2125" customHeight="1" spans="1:21">
      <c r="A2125" s="42" t="str">
        <f t="shared" si="101"/>
        <v/>
      </c>
      <c r="G2125" s="47" t="e">
        <f t="shared" si="100"/>
        <v>#DIV/0!</v>
      </c>
      <c r="U2125" s="49" t="e">
        <f t="shared" si="102"/>
        <v>#DIV/0!</v>
      </c>
    </row>
    <row r="2126" customHeight="1" spans="1:21">
      <c r="A2126" s="42" t="str">
        <f t="shared" si="101"/>
        <v/>
      </c>
      <c r="G2126" s="47" t="e">
        <f t="shared" si="100"/>
        <v>#DIV/0!</v>
      </c>
      <c r="U2126" s="49" t="e">
        <f t="shared" si="102"/>
        <v>#DIV/0!</v>
      </c>
    </row>
    <row r="2127" customHeight="1" spans="1:21">
      <c r="A2127" s="42" t="str">
        <f t="shared" si="101"/>
        <v/>
      </c>
      <c r="G2127" s="47" t="e">
        <f t="shared" si="100"/>
        <v>#DIV/0!</v>
      </c>
      <c r="U2127" s="49" t="e">
        <f t="shared" si="102"/>
        <v>#DIV/0!</v>
      </c>
    </row>
    <row r="2128" customHeight="1" spans="1:21">
      <c r="A2128" s="42" t="str">
        <f t="shared" si="101"/>
        <v/>
      </c>
      <c r="G2128" s="47" t="e">
        <f t="shared" si="100"/>
        <v>#DIV/0!</v>
      </c>
      <c r="U2128" s="49" t="e">
        <f t="shared" si="102"/>
        <v>#DIV/0!</v>
      </c>
    </row>
    <row r="2129" customHeight="1" spans="1:21">
      <c r="A2129" s="42" t="str">
        <f t="shared" si="101"/>
        <v/>
      </c>
      <c r="G2129" s="47" t="e">
        <f t="shared" si="100"/>
        <v>#DIV/0!</v>
      </c>
      <c r="U2129" s="49" t="e">
        <f t="shared" si="102"/>
        <v>#DIV/0!</v>
      </c>
    </row>
    <row r="2130" customHeight="1" spans="1:21">
      <c r="A2130" s="42" t="str">
        <f t="shared" si="101"/>
        <v/>
      </c>
      <c r="G2130" s="47" t="e">
        <f t="shared" si="100"/>
        <v>#DIV/0!</v>
      </c>
      <c r="U2130" s="49" t="e">
        <f t="shared" si="102"/>
        <v>#DIV/0!</v>
      </c>
    </row>
    <row r="2131" customHeight="1" spans="1:21">
      <c r="A2131" s="42" t="str">
        <f t="shared" si="101"/>
        <v/>
      </c>
      <c r="G2131" s="47" t="e">
        <f t="shared" si="100"/>
        <v>#DIV/0!</v>
      </c>
      <c r="U2131" s="49" t="e">
        <f t="shared" si="102"/>
        <v>#DIV/0!</v>
      </c>
    </row>
    <row r="2132" customHeight="1" spans="1:21">
      <c r="A2132" s="42" t="str">
        <f t="shared" si="101"/>
        <v/>
      </c>
      <c r="G2132" s="47" t="e">
        <f t="shared" si="100"/>
        <v>#DIV/0!</v>
      </c>
      <c r="U2132" s="49" t="e">
        <f t="shared" si="102"/>
        <v>#DIV/0!</v>
      </c>
    </row>
    <row r="2133" customHeight="1" spans="1:21">
      <c r="A2133" s="42" t="str">
        <f t="shared" si="101"/>
        <v/>
      </c>
      <c r="G2133" s="47" t="e">
        <f t="shared" si="100"/>
        <v>#DIV/0!</v>
      </c>
      <c r="U2133" s="49" t="e">
        <f t="shared" si="102"/>
        <v>#DIV/0!</v>
      </c>
    </row>
    <row r="2134" customHeight="1" spans="1:21">
      <c r="A2134" s="42" t="str">
        <f t="shared" si="101"/>
        <v/>
      </c>
      <c r="G2134" s="47" t="e">
        <f t="shared" si="100"/>
        <v>#DIV/0!</v>
      </c>
      <c r="U2134" s="49" t="e">
        <f t="shared" si="102"/>
        <v>#DIV/0!</v>
      </c>
    </row>
    <row r="2135" customHeight="1" spans="1:21">
      <c r="A2135" s="42" t="str">
        <f t="shared" si="101"/>
        <v/>
      </c>
      <c r="G2135" s="47" t="e">
        <f t="shared" si="100"/>
        <v>#DIV/0!</v>
      </c>
      <c r="U2135" s="49" t="e">
        <f t="shared" si="102"/>
        <v>#DIV/0!</v>
      </c>
    </row>
    <row r="2136" customHeight="1" spans="1:21">
      <c r="A2136" s="42" t="str">
        <f t="shared" si="101"/>
        <v/>
      </c>
      <c r="G2136" s="47" t="e">
        <f t="shared" si="100"/>
        <v>#DIV/0!</v>
      </c>
      <c r="U2136" s="49" t="e">
        <f t="shared" si="102"/>
        <v>#DIV/0!</v>
      </c>
    </row>
    <row r="2137" customHeight="1" spans="1:21">
      <c r="A2137" s="42" t="str">
        <f t="shared" si="101"/>
        <v/>
      </c>
      <c r="G2137" s="47" t="e">
        <f t="shared" si="100"/>
        <v>#DIV/0!</v>
      </c>
      <c r="U2137" s="49" t="e">
        <f t="shared" si="102"/>
        <v>#DIV/0!</v>
      </c>
    </row>
    <row r="2138" customHeight="1" spans="1:21">
      <c r="A2138" s="42" t="str">
        <f t="shared" si="101"/>
        <v/>
      </c>
      <c r="G2138" s="47" t="e">
        <f t="shared" si="100"/>
        <v>#DIV/0!</v>
      </c>
      <c r="U2138" s="49" t="e">
        <f t="shared" si="102"/>
        <v>#DIV/0!</v>
      </c>
    </row>
    <row r="2139" customHeight="1" spans="1:21">
      <c r="A2139" s="42" t="str">
        <f t="shared" si="101"/>
        <v/>
      </c>
      <c r="G2139" s="47" t="e">
        <f t="shared" si="100"/>
        <v>#DIV/0!</v>
      </c>
      <c r="U2139" s="49" t="e">
        <f t="shared" si="102"/>
        <v>#DIV/0!</v>
      </c>
    </row>
    <row r="2140" customHeight="1" spans="1:21">
      <c r="A2140" s="42" t="str">
        <f t="shared" si="101"/>
        <v/>
      </c>
      <c r="G2140" s="47" t="e">
        <f t="shared" si="100"/>
        <v>#DIV/0!</v>
      </c>
      <c r="U2140" s="49" t="e">
        <f t="shared" si="102"/>
        <v>#DIV/0!</v>
      </c>
    </row>
    <row r="2141" customHeight="1" spans="1:21">
      <c r="A2141" s="42" t="str">
        <f t="shared" si="101"/>
        <v/>
      </c>
      <c r="G2141" s="47" t="e">
        <f t="shared" si="100"/>
        <v>#DIV/0!</v>
      </c>
      <c r="U2141" s="49" t="e">
        <f t="shared" si="102"/>
        <v>#DIV/0!</v>
      </c>
    </row>
    <row r="2142" customHeight="1" spans="1:21">
      <c r="A2142" s="42" t="str">
        <f t="shared" si="101"/>
        <v/>
      </c>
      <c r="G2142" s="47" t="e">
        <f t="shared" si="100"/>
        <v>#DIV/0!</v>
      </c>
      <c r="U2142" s="49" t="e">
        <f t="shared" si="102"/>
        <v>#DIV/0!</v>
      </c>
    </row>
    <row r="2143" customHeight="1" spans="1:21">
      <c r="A2143" s="42" t="str">
        <f t="shared" si="101"/>
        <v/>
      </c>
      <c r="G2143" s="47" t="e">
        <f t="shared" si="100"/>
        <v>#DIV/0!</v>
      </c>
      <c r="U2143" s="49" t="e">
        <f t="shared" si="102"/>
        <v>#DIV/0!</v>
      </c>
    </row>
    <row r="2144" customHeight="1" spans="1:21">
      <c r="A2144" s="42" t="str">
        <f t="shared" si="101"/>
        <v/>
      </c>
      <c r="G2144" s="47" t="e">
        <f t="shared" si="100"/>
        <v>#DIV/0!</v>
      </c>
      <c r="U2144" s="49" t="e">
        <f t="shared" si="102"/>
        <v>#DIV/0!</v>
      </c>
    </row>
    <row r="2145" customHeight="1" spans="1:21">
      <c r="A2145" s="42" t="str">
        <f t="shared" si="101"/>
        <v/>
      </c>
      <c r="G2145" s="47" t="e">
        <f t="shared" si="100"/>
        <v>#DIV/0!</v>
      </c>
      <c r="U2145" s="49" t="e">
        <f t="shared" si="102"/>
        <v>#DIV/0!</v>
      </c>
    </row>
    <row r="2146" customHeight="1" spans="1:21">
      <c r="A2146" s="42" t="str">
        <f t="shared" si="101"/>
        <v/>
      </c>
      <c r="G2146" s="47" t="e">
        <f t="shared" si="100"/>
        <v>#DIV/0!</v>
      </c>
      <c r="U2146" s="49" t="e">
        <f t="shared" si="102"/>
        <v>#DIV/0!</v>
      </c>
    </row>
    <row r="2147" customHeight="1" spans="1:21">
      <c r="A2147" s="42" t="str">
        <f t="shared" si="101"/>
        <v/>
      </c>
      <c r="G2147" s="47" t="e">
        <f t="shared" si="100"/>
        <v>#DIV/0!</v>
      </c>
      <c r="U2147" s="49" t="e">
        <f t="shared" si="102"/>
        <v>#DIV/0!</v>
      </c>
    </row>
    <row r="2148" customHeight="1" spans="1:21">
      <c r="A2148" s="42" t="str">
        <f t="shared" si="101"/>
        <v/>
      </c>
      <c r="G2148" s="47" t="e">
        <f t="shared" si="100"/>
        <v>#DIV/0!</v>
      </c>
      <c r="U2148" s="49" t="e">
        <f t="shared" si="102"/>
        <v>#DIV/0!</v>
      </c>
    </row>
    <row r="2149" customHeight="1" spans="1:21">
      <c r="A2149" s="42" t="str">
        <f t="shared" si="101"/>
        <v/>
      </c>
      <c r="G2149" s="47" t="e">
        <f t="shared" si="100"/>
        <v>#DIV/0!</v>
      </c>
      <c r="U2149" s="49" t="e">
        <f t="shared" si="102"/>
        <v>#DIV/0!</v>
      </c>
    </row>
    <row r="2150" customHeight="1" spans="1:21">
      <c r="A2150" s="42" t="str">
        <f t="shared" si="101"/>
        <v/>
      </c>
      <c r="G2150" s="47" t="e">
        <f t="shared" si="100"/>
        <v>#DIV/0!</v>
      </c>
      <c r="U2150" s="49" t="e">
        <f t="shared" si="102"/>
        <v>#DIV/0!</v>
      </c>
    </row>
    <row r="2151" customHeight="1" spans="1:21">
      <c r="A2151" s="42" t="str">
        <f t="shared" si="101"/>
        <v/>
      </c>
      <c r="G2151" s="47" t="e">
        <f t="shared" si="100"/>
        <v>#DIV/0!</v>
      </c>
      <c r="U2151" s="49" t="e">
        <f t="shared" si="102"/>
        <v>#DIV/0!</v>
      </c>
    </row>
    <row r="2152" customHeight="1" spans="1:21">
      <c r="A2152" s="42" t="str">
        <f t="shared" si="101"/>
        <v/>
      </c>
      <c r="G2152" s="47" t="e">
        <f t="shared" si="100"/>
        <v>#DIV/0!</v>
      </c>
      <c r="U2152" s="49" t="e">
        <f t="shared" si="102"/>
        <v>#DIV/0!</v>
      </c>
    </row>
    <row r="2153" customHeight="1" spans="1:21">
      <c r="A2153" s="42" t="str">
        <f t="shared" si="101"/>
        <v/>
      </c>
      <c r="G2153" s="47" t="e">
        <f t="shared" si="100"/>
        <v>#DIV/0!</v>
      </c>
      <c r="U2153" s="49" t="e">
        <f t="shared" si="102"/>
        <v>#DIV/0!</v>
      </c>
    </row>
    <row r="2154" customHeight="1" spans="1:21">
      <c r="A2154" s="42" t="str">
        <f t="shared" si="101"/>
        <v/>
      </c>
      <c r="G2154" s="47" t="e">
        <f t="shared" si="100"/>
        <v>#DIV/0!</v>
      </c>
      <c r="U2154" s="49" t="e">
        <f t="shared" si="102"/>
        <v>#DIV/0!</v>
      </c>
    </row>
    <row r="2155" customHeight="1" spans="1:21">
      <c r="A2155" s="42" t="str">
        <f t="shared" si="101"/>
        <v/>
      </c>
      <c r="G2155" s="47" t="e">
        <f t="shared" si="100"/>
        <v>#DIV/0!</v>
      </c>
      <c r="U2155" s="49" t="e">
        <f t="shared" si="102"/>
        <v>#DIV/0!</v>
      </c>
    </row>
    <row r="2156" customHeight="1" spans="1:21">
      <c r="A2156" s="42" t="str">
        <f t="shared" si="101"/>
        <v/>
      </c>
      <c r="G2156" s="47" t="e">
        <f t="shared" si="100"/>
        <v>#DIV/0!</v>
      </c>
      <c r="U2156" s="49" t="e">
        <f t="shared" si="102"/>
        <v>#DIV/0!</v>
      </c>
    </row>
    <row r="2157" customHeight="1" spans="1:21">
      <c r="A2157" s="42" t="str">
        <f t="shared" si="101"/>
        <v/>
      </c>
      <c r="G2157" s="47" t="e">
        <f t="shared" si="100"/>
        <v>#DIV/0!</v>
      </c>
      <c r="U2157" s="49" t="e">
        <f t="shared" si="102"/>
        <v>#DIV/0!</v>
      </c>
    </row>
    <row r="2158" customHeight="1" spans="1:21">
      <c r="A2158" s="42" t="str">
        <f t="shared" si="101"/>
        <v/>
      </c>
      <c r="G2158" s="47" t="e">
        <f t="shared" si="100"/>
        <v>#DIV/0!</v>
      </c>
      <c r="U2158" s="49" t="e">
        <f t="shared" si="102"/>
        <v>#DIV/0!</v>
      </c>
    </row>
    <row r="2159" customHeight="1" spans="1:21">
      <c r="A2159" s="42" t="str">
        <f t="shared" si="101"/>
        <v/>
      </c>
      <c r="G2159" s="47" t="e">
        <f t="shared" si="100"/>
        <v>#DIV/0!</v>
      </c>
      <c r="U2159" s="49" t="e">
        <f t="shared" si="102"/>
        <v>#DIV/0!</v>
      </c>
    </row>
    <row r="2160" customHeight="1" spans="1:21">
      <c r="A2160" s="42" t="str">
        <f t="shared" si="101"/>
        <v/>
      </c>
      <c r="G2160" s="47" t="e">
        <f t="shared" si="100"/>
        <v>#DIV/0!</v>
      </c>
      <c r="U2160" s="49" t="e">
        <f t="shared" si="102"/>
        <v>#DIV/0!</v>
      </c>
    </row>
    <row r="2161" customHeight="1" spans="1:21">
      <c r="A2161" s="42" t="str">
        <f t="shared" si="101"/>
        <v/>
      </c>
      <c r="G2161" s="47" t="e">
        <f t="shared" si="100"/>
        <v>#DIV/0!</v>
      </c>
      <c r="U2161" s="49" t="e">
        <f t="shared" si="102"/>
        <v>#DIV/0!</v>
      </c>
    </row>
    <row r="2162" customHeight="1" spans="1:21">
      <c r="A2162" s="42" t="str">
        <f t="shared" si="101"/>
        <v/>
      </c>
      <c r="G2162" s="47" t="e">
        <f t="shared" si="100"/>
        <v>#DIV/0!</v>
      </c>
      <c r="U2162" s="49" t="e">
        <f t="shared" si="102"/>
        <v>#DIV/0!</v>
      </c>
    </row>
    <row r="2163" customHeight="1" spans="1:21">
      <c r="A2163" s="42" t="str">
        <f t="shared" si="101"/>
        <v/>
      </c>
      <c r="G2163" s="47" t="e">
        <f t="shared" si="100"/>
        <v>#DIV/0!</v>
      </c>
      <c r="U2163" s="49" t="e">
        <f t="shared" si="102"/>
        <v>#DIV/0!</v>
      </c>
    </row>
    <row r="2164" customHeight="1" spans="1:21">
      <c r="A2164" s="42" t="str">
        <f t="shared" si="101"/>
        <v/>
      </c>
      <c r="G2164" s="47" t="e">
        <f t="shared" si="100"/>
        <v>#DIV/0!</v>
      </c>
      <c r="U2164" s="49" t="e">
        <f t="shared" si="102"/>
        <v>#DIV/0!</v>
      </c>
    </row>
    <row r="2165" customHeight="1" spans="1:21">
      <c r="A2165" s="42" t="str">
        <f t="shared" si="101"/>
        <v/>
      </c>
      <c r="G2165" s="47" t="e">
        <f t="shared" si="100"/>
        <v>#DIV/0!</v>
      </c>
      <c r="U2165" s="49" t="e">
        <f t="shared" si="102"/>
        <v>#DIV/0!</v>
      </c>
    </row>
    <row r="2166" customHeight="1" spans="1:21">
      <c r="A2166" s="42" t="str">
        <f t="shared" si="101"/>
        <v/>
      </c>
      <c r="G2166" s="47" t="e">
        <f t="shared" si="100"/>
        <v>#DIV/0!</v>
      </c>
      <c r="U2166" s="49" t="e">
        <f t="shared" si="102"/>
        <v>#DIV/0!</v>
      </c>
    </row>
    <row r="2167" customHeight="1" spans="1:21">
      <c r="A2167" s="42" t="str">
        <f t="shared" si="101"/>
        <v/>
      </c>
      <c r="G2167" s="47" t="e">
        <f t="shared" si="100"/>
        <v>#DIV/0!</v>
      </c>
      <c r="U2167" s="49" t="e">
        <f t="shared" si="102"/>
        <v>#DIV/0!</v>
      </c>
    </row>
    <row r="2168" customHeight="1" spans="1:21">
      <c r="A2168" s="42" t="str">
        <f t="shared" si="101"/>
        <v/>
      </c>
      <c r="G2168" s="47" t="e">
        <f t="shared" si="100"/>
        <v>#DIV/0!</v>
      </c>
      <c r="U2168" s="49" t="e">
        <f t="shared" si="102"/>
        <v>#DIV/0!</v>
      </c>
    </row>
    <row r="2169" customHeight="1" spans="1:21">
      <c r="A2169" s="42" t="str">
        <f t="shared" si="101"/>
        <v/>
      </c>
      <c r="G2169" s="47" t="e">
        <f t="shared" si="100"/>
        <v>#DIV/0!</v>
      </c>
      <c r="U2169" s="49" t="e">
        <f t="shared" si="102"/>
        <v>#DIV/0!</v>
      </c>
    </row>
    <row r="2170" customHeight="1" spans="1:21">
      <c r="A2170" s="42" t="str">
        <f t="shared" si="101"/>
        <v/>
      </c>
      <c r="G2170" s="47" t="e">
        <f t="shared" si="100"/>
        <v>#DIV/0!</v>
      </c>
      <c r="U2170" s="49" t="e">
        <f t="shared" si="102"/>
        <v>#DIV/0!</v>
      </c>
    </row>
    <row r="2171" customHeight="1" spans="1:21">
      <c r="A2171" s="42" t="str">
        <f t="shared" si="101"/>
        <v/>
      </c>
      <c r="G2171" s="47" t="e">
        <f t="shared" si="100"/>
        <v>#DIV/0!</v>
      </c>
      <c r="U2171" s="49" t="e">
        <f t="shared" si="102"/>
        <v>#DIV/0!</v>
      </c>
    </row>
    <row r="2172" customHeight="1" spans="1:21">
      <c r="A2172" s="42" t="str">
        <f t="shared" si="101"/>
        <v/>
      </c>
      <c r="G2172" s="47" t="e">
        <f t="shared" si="100"/>
        <v>#DIV/0!</v>
      </c>
      <c r="U2172" s="49" t="e">
        <f t="shared" si="102"/>
        <v>#DIV/0!</v>
      </c>
    </row>
    <row r="2173" customHeight="1" spans="1:21">
      <c r="A2173" s="42" t="str">
        <f t="shared" si="101"/>
        <v/>
      </c>
      <c r="G2173" s="47" t="e">
        <f t="shared" si="100"/>
        <v>#DIV/0!</v>
      </c>
      <c r="U2173" s="49" t="e">
        <f t="shared" si="102"/>
        <v>#DIV/0!</v>
      </c>
    </row>
    <row r="2174" customHeight="1" spans="1:21">
      <c r="A2174" s="42" t="str">
        <f t="shared" si="101"/>
        <v/>
      </c>
      <c r="G2174" s="47" t="e">
        <f t="shared" si="100"/>
        <v>#DIV/0!</v>
      </c>
      <c r="U2174" s="49" t="e">
        <f t="shared" si="102"/>
        <v>#DIV/0!</v>
      </c>
    </row>
    <row r="2175" customHeight="1" spans="1:21">
      <c r="A2175" s="42" t="str">
        <f t="shared" si="101"/>
        <v/>
      </c>
      <c r="G2175" s="47" t="e">
        <f t="shared" si="100"/>
        <v>#DIV/0!</v>
      </c>
      <c r="U2175" s="49" t="e">
        <f t="shared" si="102"/>
        <v>#DIV/0!</v>
      </c>
    </row>
    <row r="2176" customHeight="1" spans="1:21">
      <c r="A2176" s="42" t="str">
        <f t="shared" si="101"/>
        <v/>
      </c>
      <c r="G2176" s="47" t="e">
        <f t="shared" si="100"/>
        <v>#DIV/0!</v>
      </c>
      <c r="U2176" s="49" t="e">
        <f t="shared" si="102"/>
        <v>#DIV/0!</v>
      </c>
    </row>
    <row r="2177" customHeight="1" spans="1:21">
      <c r="A2177" s="42" t="str">
        <f t="shared" si="101"/>
        <v/>
      </c>
      <c r="G2177" s="47" t="e">
        <f t="shared" si="100"/>
        <v>#DIV/0!</v>
      </c>
      <c r="U2177" s="49" t="e">
        <f t="shared" si="102"/>
        <v>#DIV/0!</v>
      </c>
    </row>
    <row r="2178" customHeight="1" spans="1:21">
      <c r="A2178" s="42" t="str">
        <f t="shared" si="101"/>
        <v/>
      </c>
      <c r="G2178" s="47" t="e">
        <f t="shared" si="100"/>
        <v>#DIV/0!</v>
      </c>
      <c r="U2178" s="49" t="e">
        <f t="shared" si="102"/>
        <v>#DIV/0!</v>
      </c>
    </row>
    <row r="2179" customHeight="1" spans="1:21">
      <c r="A2179" s="42" t="str">
        <f t="shared" si="101"/>
        <v/>
      </c>
      <c r="G2179" s="47" t="e">
        <f t="shared" ref="G2179:G2242" si="103">+E2179/F2179</f>
        <v>#DIV/0!</v>
      </c>
      <c r="U2179" s="49" t="e">
        <f t="shared" si="102"/>
        <v>#DIV/0!</v>
      </c>
    </row>
    <row r="2180" customHeight="1" spans="1:21">
      <c r="A2180" s="42" t="str">
        <f t="shared" ref="A2180:A2243" si="104">B2180&amp;C2180&amp;D2180</f>
        <v/>
      </c>
      <c r="G2180" s="47" t="e">
        <f t="shared" si="103"/>
        <v>#DIV/0!</v>
      </c>
      <c r="U2180" s="49" t="e">
        <f t="shared" ref="U2180:U2243" si="105">SUM(G2180:T2180)</f>
        <v>#DIV/0!</v>
      </c>
    </row>
    <row r="2181" customHeight="1" spans="1:21">
      <c r="A2181" s="42" t="str">
        <f t="shared" si="104"/>
        <v/>
      </c>
      <c r="G2181" s="47" t="e">
        <f t="shared" si="103"/>
        <v>#DIV/0!</v>
      </c>
      <c r="U2181" s="49" t="e">
        <f t="shared" si="105"/>
        <v>#DIV/0!</v>
      </c>
    </row>
    <row r="2182" customHeight="1" spans="1:21">
      <c r="A2182" s="42" t="str">
        <f t="shared" si="104"/>
        <v/>
      </c>
      <c r="G2182" s="47" t="e">
        <f t="shared" si="103"/>
        <v>#DIV/0!</v>
      </c>
      <c r="U2182" s="49" t="e">
        <f t="shared" si="105"/>
        <v>#DIV/0!</v>
      </c>
    </row>
    <row r="2183" customHeight="1" spans="1:21">
      <c r="A2183" s="42" t="str">
        <f t="shared" si="104"/>
        <v/>
      </c>
      <c r="G2183" s="47" t="e">
        <f t="shared" si="103"/>
        <v>#DIV/0!</v>
      </c>
      <c r="U2183" s="49" t="e">
        <f t="shared" si="105"/>
        <v>#DIV/0!</v>
      </c>
    </row>
    <row r="2184" customHeight="1" spans="1:21">
      <c r="A2184" s="42" t="str">
        <f t="shared" si="104"/>
        <v/>
      </c>
      <c r="G2184" s="47" t="e">
        <f t="shared" si="103"/>
        <v>#DIV/0!</v>
      </c>
      <c r="U2184" s="49" t="e">
        <f t="shared" si="105"/>
        <v>#DIV/0!</v>
      </c>
    </row>
    <row r="2185" customHeight="1" spans="1:21">
      <c r="A2185" s="42" t="str">
        <f t="shared" si="104"/>
        <v/>
      </c>
      <c r="G2185" s="47" t="e">
        <f t="shared" si="103"/>
        <v>#DIV/0!</v>
      </c>
      <c r="U2185" s="49" t="e">
        <f t="shared" si="105"/>
        <v>#DIV/0!</v>
      </c>
    </row>
    <row r="2186" customHeight="1" spans="1:21">
      <c r="A2186" s="42" t="str">
        <f t="shared" si="104"/>
        <v/>
      </c>
      <c r="G2186" s="47" t="e">
        <f t="shared" si="103"/>
        <v>#DIV/0!</v>
      </c>
      <c r="U2186" s="49" t="e">
        <f t="shared" si="105"/>
        <v>#DIV/0!</v>
      </c>
    </row>
    <row r="2187" customHeight="1" spans="1:21">
      <c r="A2187" s="42" t="str">
        <f t="shared" si="104"/>
        <v/>
      </c>
      <c r="G2187" s="47" t="e">
        <f t="shared" si="103"/>
        <v>#DIV/0!</v>
      </c>
      <c r="U2187" s="49" t="e">
        <f t="shared" si="105"/>
        <v>#DIV/0!</v>
      </c>
    </row>
    <row r="2188" customHeight="1" spans="1:21">
      <c r="A2188" s="42" t="str">
        <f t="shared" si="104"/>
        <v/>
      </c>
      <c r="G2188" s="47" t="e">
        <f t="shared" si="103"/>
        <v>#DIV/0!</v>
      </c>
      <c r="U2188" s="49" t="e">
        <f t="shared" si="105"/>
        <v>#DIV/0!</v>
      </c>
    </row>
    <row r="2189" customHeight="1" spans="1:21">
      <c r="A2189" s="42" t="str">
        <f t="shared" si="104"/>
        <v/>
      </c>
      <c r="G2189" s="47" t="e">
        <f t="shared" si="103"/>
        <v>#DIV/0!</v>
      </c>
      <c r="U2189" s="49" t="e">
        <f t="shared" si="105"/>
        <v>#DIV/0!</v>
      </c>
    </row>
    <row r="2190" customHeight="1" spans="1:21">
      <c r="A2190" s="42" t="str">
        <f t="shared" si="104"/>
        <v/>
      </c>
      <c r="G2190" s="47" t="e">
        <f t="shared" si="103"/>
        <v>#DIV/0!</v>
      </c>
      <c r="U2190" s="49" t="e">
        <f t="shared" si="105"/>
        <v>#DIV/0!</v>
      </c>
    </row>
    <row r="2191" customHeight="1" spans="1:21">
      <c r="A2191" s="42" t="str">
        <f t="shared" si="104"/>
        <v/>
      </c>
      <c r="G2191" s="47" t="e">
        <f t="shared" si="103"/>
        <v>#DIV/0!</v>
      </c>
      <c r="U2191" s="49" t="e">
        <f t="shared" si="105"/>
        <v>#DIV/0!</v>
      </c>
    </row>
    <row r="2192" customHeight="1" spans="1:21">
      <c r="A2192" s="42" t="str">
        <f t="shared" si="104"/>
        <v/>
      </c>
      <c r="G2192" s="47" t="e">
        <f t="shared" si="103"/>
        <v>#DIV/0!</v>
      </c>
      <c r="U2192" s="49" t="e">
        <f t="shared" si="105"/>
        <v>#DIV/0!</v>
      </c>
    </row>
    <row r="2193" customHeight="1" spans="1:21">
      <c r="A2193" s="42" t="str">
        <f t="shared" si="104"/>
        <v/>
      </c>
      <c r="G2193" s="47" t="e">
        <f t="shared" si="103"/>
        <v>#DIV/0!</v>
      </c>
      <c r="U2193" s="49" t="e">
        <f t="shared" si="105"/>
        <v>#DIV/0!</v>
      </c>
    </row>
    <row r="2194" customHeight="1" spans="1:21">
      <c r="A2194" s="42" t="str">
        <f t="shared" si="104"/>
        <v/>
      </c>
      <c r="G2194" s="47" t="e">
        <f t="shared" si="103"/>
        <v>#DIV/0!</v>
      </c>
      <c r="U2194" s="49" t="e">
        <f t="shared" si="105"/>
        <v>#DIV/0!</v>
      </c>
    </row>
    <row r="2195" customHeight="1" spans="1:21">
      <c r="A2195" s="42" t="str">
        <f t="shared" si="104"/>
        <v/>
      </c>
      <c r="G2195" s="47" t="e">
        <f t="shared" si="103"/>
        <v>#DIV/0!</v>
      </c>
      <c r="U2195" s="49" t="e">
        <f t="shared" si="105"/>
        <v>#DIV/0!</v>
      </c>
    </row>
    <row r="2196" customHeight="1" spans="1:21">
      <c r="A2196" s="42" t="str">
        <f t="shared" si="104"/>
        <v/>
      </c>
      <c r="G2196" s="47" t="e">
        <f t="shared" si="103"/>
        <v>#DIV/0!</v>
      </c>
      <c r="U2196" s="49" t="e">
        <f t="shared" si="105"/>
        <v>#DIV/0!</v>
      </c>
    </row>
    <row r="2197" customHeight="1" spans="1:21">
      <c r="A2197" s="42" t="str">
        <f t="shared" si="104"/>
        <v/>
      </c>
      <c r="G2197" s="47" t="e">
        <f t="shared" si="103"/>
        <v>#DIV/0!</v>
      </c>
      <c r="U2197" s="49" t="e">
        <f t="shared" si="105"/>
        <v>#DIV/0!</v>
      </c>
    </row>
    <row r="2198" customHeight="1" spans="1:21">
      <c r="A2198" s="42" t="str">
        <f t="shared" si="104"/>
        <v/>
      </c>
      <c r="G2198" s="47" t="e">
        <f t="shared" si="103"/>
        <v>#DIV/0!</v>
      </c>
      <c r="U2198" s="49" t="e">
        <f t="shared" si="105"/>
        <v>#DIV/0!</v>
      </c>
    </row>
    <row r="2199" customHeight="1" spans="1:21">
      <c r="A2199" s="42" t="str">
        <f t="shared" si="104"/>
        <v/>
      </c>
      <c r="G2199" s="47" t="e">
        <f t="shared" si="103"/>
        <v>#DIV/0!</v>
      </c>
      <c r="U2199" s="49" t="e">
        <f t="shared" si="105"/>
        <v>#DIV/0!</v>
      </c>
    </row>
    <row r="2200" customHeight="1" spans="1:21">
      <c r="A2200" s="42" t="str">
        <f t="shared" si="104"/>
        <v/>
      </c>
      <c r="G2200" s="47" t="e">
        <f t="shared" si="103"/>
        <v>#DIV/0!</v>
      </c>
      <c r="U2200" s="49" t="e">
        <f t="shared" si="105"/>
        <v>#DIV/0!</v>
      </c>
    </row>
    <row r="2201" customHeight="1" spans="1:21">
      <c r="A2201" s="42" t="str">
        <f t="shared" si="104"/>
        <v/>
      </c>
      <c r="G2201" s="47" t="e">
        <f t="shared" si="103"/>
        <v>#DIV/0!</v>
      </c>
      <c r="U2201" s="49" t="e">
        <f t="shared" si="105"/>
        <v>#DIV/0!</v>
      </c>
    </row>
    <row r="2202" customHeight="1" spans="1:21">
      <c r="A2202" s="42" t="str">
        <f t="shared" si="104"/>
        <v/>
      </c>
      <c r="G2202" s="47" t="e">
        <f t="shared" si="103"/>
        <v>#DIV/0!</v>
      </c>
      <c r="U2202" s="49" t="e">
        <f t="shared" si="105"/>
        <v>#DIV/0!</v>
      </c>
    </row>
    <row r="2203" customHeight="1" spans="1:21">
      <c r="A2203" s="42" t="str">
        <f t="shared" si="104"/>
        <v/>
      </c>
      <c r="G2203" s="47" t="e">
        <f t="shared" si="103"/>
        <v>#DIV/0!</v>
      </c>
      <c r="U2203" s="49" t="e">
        <f t="shared" si="105"/>
        <v>#DIV/0!</v>
      </c>
    </row>
    <row r="2204" customHeight="1" spans="1:21">
      <c r="A2204" s="42" t="str">
        <f t="shared" si="104"/>
        <v/>
      </c>
      <c r="G2204" s="47" t="e">
        <f t="shared" si="103"/>
        <v>#DIV/0!</v>
      </c>
      <c r="U2204" s="49" t="e">
        <f t="shared" si="105"/>
        <v>#DIV/0!</v>
      </c>
    </row>
    <row r="2205" customHeight="1" spans="1:21">
      <c r="A2205" s="42" t="str">
        <f t="shared" si="104"/>
        <v/>
      </c>
      <c r="G2205" s="47" t="e">
        <f t="shared" si="103"/>
        <v>#DIV/0!</v>
      </c>
      <c r="U2205" s="49" t="e">
        <f t="shared" si="105"/>
        <v>#DIV/0!</v>
      </c>
    </row>
    <row r="2206" customHeight="1" spans="1:21">
      <c r="A2206" s="42" t="str">
        <f t="shared" si="104"/>
        <v/>
      </c>
      <c r="G2206" s="47" t="e">
        <f t="shared" si="103"/>
        <v>#DIV/0!</v>
      </c>
      <c r="U2206" s="49" t="e">
        <f t="shared" si="105"/>
        <v>#DIV/0!</v>
      </c>
    </row>
    <row r="2207" customHeight="1" spans="1:21">
      <c r="A2207" s="42" t="str">
        <f t="shared" si="104"/>
        <v/>
      </c>
      <c r="G2207" s="47" t="e">
        <f t="shared" si="103"/>
        <v>#DIV/0!</v>
      </c>
      <c r="U2207" s="49" t="e">
        <f t="shared" si="105"/>
        <v>#DIV/0!</v>
      </c>
    </row>
    <row r="2208" customHeight="1" spans="1:21">
      <c r="A2208" s="42" t="str">
        <f t="shared" si="104"/>
        <v/>
      </c>
      <c r="G2208" s="47" t="e">
        <f t="shared" si="103"/>
        <v>#DIV/0!</v>
      </c>
      <c r="U2208" s="49" t="e">
        <f t="shared" si="105"/>
        <v>#DIV/0!</v>
      </c>
    </row>
    <row r="2209" customHeight="1" spans="1:21">
      <c r="A2209" s="42" t="str">
        <f t="shared" si="104"/>
        <v/>
      </c>
      <c r="G2209" s="47" t="e">
        <f t="shared" si="103"/>
        <v>#DIV/0!</v>
      </c>
      <c r="U2209" s="49" t="e">
        <f t="shared" si="105"/>
        <v>#DIV/0!</v>
      </c>
    </row>
    <row r="2210" customHeight="1" spans="1:21">
      <c r="A2210" s="42" t="str">
        <f t="shared" si="104"/>
        <v/>
      </c>
      <c r="G2210" s="47" t="e">
        <f t="shared" si="103"/>
        <v>#DIV/0!</v>
      </c>
      <c r="U2210" s="49" t="e">
        <f t="shared" si="105"/>
        <v>#DIV/0!</v>
      </c>
    </row>
    <row r="2211" customHeight="1" spans="1:21">
      <c r="A2211" s="42" t="str">
        <f t="shared" si="104"/>
        <v/>
      </c>
      <c r="G2211" s="47" t="e">
        <f t="shared" si="103"/>
        <v>#DIV/0!</v>
      </c>
      <c r="U2211" s="49" t="e">
        <f t="shared" si="105"/>
        <v>#DIV/0!</v>
      </c>
    </row>
    <row r="2212" customHeight="1" spans="1:21">
      <c r="A2212" s="42" t="str">
        <f t="shared" si="104"/>
        <v/>
      </c>
      <c r="G2212" s="47" t="e">
        <f t="shared" si="103"/>
        <v>#DIV/0!</v>
      </c>
      <c r="U2212" s="49" t="e">
        <f t="shared" si="105"/>
        <v>#DIV/0!</v>
      </c>
    </row>
    <row r="2213" customHeight="1" spans="1:21">
      <c r="A2213" s="42" t="str">
        <f t="shared" si="104"/>
        <v/>
      </c>
      <c r="G2213" s="47" t="e">
        <f t="shared" si="103"/>
        <v>#DIV/0!</v>
      </c>
      <c r="U2213" s="49" t="e">
        <f t="shared" si="105"/>
        <v>#DIV/0!</v>
      </c>
    </row>
    <row r="2214" customHeight="1" spans="1:21">
      <c r="A2214" s="42" t="str">
        <f t="shared" si="104"/>
        <v/>
      </c>
      <c r="G2214" s="47" t="e">
        <f t="shared" si="103"/>
        <v>#DIV/0!</v>
      </c>
      <c r="U2214" s="49" t="e">
        <f t="shared" si="105"/>
        <v>#DIV/0!</v>
      </c>
    </row>
    <row r="2215" customHeight="1" spans="1:21">
      <c r="A2215" s="42" t="str">
        <f t="shared" si="104"/>
        <v/>
      </c>
      <c r="G2215" s="47" t="e">
        <f t="shared" si="103"/>
        <v>#DIV/0!</v>
      </c>
      <c r="U2215" s="49" t="e">
        <f t="shared" si="105"/>
        <v>#DIV/0!</v>
      </c>
    </row>
    <row r="2216" customHeight="1" spans="1:21">
      <c r="A2216" s="42" t="str">
        <f t="shared" si="104"/>
        <v/>
      </c>
      <c r="G2216" s="47" t="e">
        <f t="shared" si="103"/>
        <v>#DIV/0!</v>
      </c>
      <c r="U2216" s="49" t="e">
        <f t="shared" si="105"/>
        <v>#DIV/0!</v>
      </c>
    </row>
    <row r="2217" customHeight="1" spans="1:21">
      <c r="A2217" s="42" t="str">
        <f t="shared" si="104"/>
        <v/>
      </c>
      <c r="G2217" s="47" t="e">
        <f t="shared" si="103"/>
        <v>#DIV/0!</v>
      </c>
      <c r="U2217" s="49" t="e">
        <f t="shared" si="105"/>
        <v>#DIV/0!</v>
      </c>
    </row>
    <row r="2218" customHeight="1" spans="1:21">
      <c r="A2218" s="42" t="str">
        <f t="shared" si="104"/>
        <v/>
      </c>
      <c r="G2218" s="47" t="e">
        <f t="shared" si="103"/>
        <v>#DIV/0!</v>
      </c>
      <c r="U2218" s="49" t="e">
        <f t="shared" si="105"/>
        <v>#DIV/0!</v>
      </c>
    </row>
    <row r="2219" customHeight="1" spans="1:21">
      <c r="A2219" s="42" t="str">
        <f t="shared" si="104"/>
        <v/>
      </c>
      <c r="G2219" s="47" t="e">
        <f t="shared" si="103"/>
        <v>#DIV/0!</v>
      </c>
      <c r="U2219" s="49" t="e">
        <f t="shared" si="105"/>
        <v>#DIV/0!</v>
      </c>
    </row>
    <row r="2220" customHeight="1" spans="1:21">
      <c r="A2220" s="42" t="str">
        <f t="shared" si="104"/>
        <v/>
      </c>
      <c r="G2220" s="47" t="e">
        <f t="shared" si="103"/>
        <v>#DIV/0!</v>
      </c>
      <c r="U2220" s="49" t="e">
        <f t="shared" si="105"/>
        <v>#DIV/0!</v>
      </c>
    </row>
    <row r="2221" customHeight="1" spans="1:21">
      <c r="A2221" s="42" t="str">
        <f t="shared" si="104"/>
        <v/>
      </c>
      <c r="G2221" s="47" t="e">
        <f t="shared" si="103"/>
        <v>#DIV/0!</v>
      </c>
      <c r="U2221" s="49" t="e">
        <f t="shared" si="105"/>
        <v>#DIV/0!</v>
      </c>
    </row>
    <row r="2222" customHeight="1" spans="1:21">
      <c r="A2222" s="42" t="str">
        <f t="shared" si="104"/>
        <v/>
      </c>
      <c r="G2222" s="47" t="e">
        <f t="shared" si="103"/>
        <v>#DIV/0!</v>
      </c>
      <c r="U2222" s="49" t="e">
        <f t="shared" si="105"/>
        <v>#DIV/0!</v>
      </c>
    </row>
    <row r="2223" customHeight="1" spans="1:21">
      <c r="A2223" s="42" t="str">
        <f t="shared" si="104"/>
        <v/>
      </c>
      <c r="G2223" s="47" t="e">
        <f t="shared" si="103"/>
        <v>#DIV/0!</v>
      </c>
      <c r="U2223" s="49" t="e">
        <f t="shared" si="105"/>
        <v>#DIV/0!</v>
      </c>
    </row>
    <row r="2224" customHeight="1" spans="1:21">
      <c r="A2224" s="42" t="str">
        <f t="shared" si="104"/>
        <v/>
      </c>
      <c r="G2224" s="47" t="e">
        <f t="shared" si="103"/>
        <v>#DIV/0!</v>
      </c>
      <c r="U2224" s="49" t="e">
        <f t="shared" si="105"/>
        <v>#DIV/0!</v>
      </c>
    </row>
    <row r="2225" customHeight="1" spans="1:21">
      <c r="A2225" s="42" t="str">
        <f t="shared" si="104"/>
        <v/>
      </c>
      <c r="G2225" s="47" t="e">
        <f t="shared" si="103"/>
        <v>#DIV/0!</v>
      </c>
      <c r="U2225" s="49" t="e">
        <f t="shared" si="105"/>
        <v>#DIV/0!</v>
      </c>
    </row>
    <row r="2226" customHeight="1" spans="1:21">
      <c r="A2226" s="42" t="str">
        <f t="shared" si="104"/>
        <v/>
      </c>
      <c r="G2226" s="47" t="e">
        <f t="shared" si="103"/>
        <v>#DIV/0!</v>
      </c>
      <c r="U2226" s="49" t="e">
        <f t="shared" si="105"/>
        <v>#DIV/0!</v>
      </c>
    </row>
    <row r="2227" customHeight="1" spans="1:21">
      <c r="A2227" s="42" t="str">
        <f t="shared" si="104"/>
        <v/>
      </c>
      <c r="G2227" s="47" t="e">
        <f t="shared" si="103"/>
        <v>#DIV/0!</v>
      </c>
      <c r="U2227" s="49" t="e">
        <f t="shared" si="105"/>
        <v>#DIV/0!</v>
      </c>
    </row>
    <row r="2228" customHeight="1" spans="1:21">
      <c r="A2228" s="42" t="str">
        <f t="shared" si="104"/>
        <v/>
      </c>
      <c r="G2228" s="47" t="e">
        <f t="shared" si="103"/>
        <v>#DIV/0!</v>
      </c>
      <c r="U2228" s="49" t="e">
        <f t="shared" si="105"/>
        <v>#DIV/0!</v>
      </c>
    </row>
    <row r="2229" customHeight="1" spans="1:21">
      <c r="A2229" s="42" t="str">
        <f t="shared" si="104"/>
        <v/>
      </c>
      <c r="G2229" s="47" t="e">
        <f t="shared" si="103"/>
        <v>#DIV/0!</v>
      </c>
      <c r="U2229" s="49" t="e">
        <f t="shared" si="105"/>
        <v>#DIV/0!</v>
      </c>
    </row>
    <row r="2230" customHeight="1" spans="1:21">
      <c r="A2230" s="42" t="str">
        <f t="shared" si="104"/>
        <v/>
      </c>
      <c r="G2230" s="47" t="e">
        <f t="shared" si="103"/>
        <v>#DIV/0!</v>
      </c>
      <c r="U2230" s="49" t="e">
        <f t="shared" si="105"/>
        <v>#DIV/0!</v>
      </c>
    </row>
    <row r="2231" customHeight="1" spans="1:21">
      <c r="A2231" s="42" t="str">
        <f t="shared" si="104"/>
        <v/>
      </c>
      <c r="G2231" s="47" t="e">
        <f t="shared" si="103"/>
        <v>#DIV/0!</v>
      </c>
      <c r="U2231" s="49" t="e">
        <f t="shared" si="105"/>
        <v>#DIV/0!</v>
      </c>
    </row>
    <row r="2232" customHeight="1" spans="1:21">
      <c r="A2232" s="42" t="str">
        <f t="shared" si="104"/>
        <v/>
      </c>
      <c r="G2232" s="47" t="e">
        <f t="shared" si="103"/>
        <v>#DIV/0!</v>
      </c>
      <c r="U2232" s="49" t="e">
        <f t="shared" si="105"/>
        <v>#DIV/0!</v>
      </c>
    </row>
    <row r="2233" customHeight="1" spans="1:21">
      <c r="A2233" s="42" t="str">
        <f t="shared" si="104"/>
        <v/>
      </c>
      <c r="G2233" s="47" t="e">
        <f t="shared" si="103"/>
        <v>#DIV/0!</v>
      </c>
      <c r="U2233" s="49" t="e">
        <f t="shared" si="105"/>
        <v>#DIV/0!</v>
      </c>
    </row>
    <row r="2234" customHeight="1" spans="1:21">
      <c r="A2234" s="42" t="str">
        <f t="shared" si="104"/>
        <v/>
      </c>
      <c r="G2234" s="47" t="e">
        <f t="shared" si="103"/>
        <v>#DIV/0!</v>
      </c>
      <c r="U2234" s="49" t="e">
        <f t="shared" si="105"/>
        <v>#DIV/0!</v>
      </c>
    </row>
    <row r="2235" customHeight="1" spans="1:21">
      <c r="A2235" s="42" t="str">
        <f t="shared" si="104"/>
        <v/>
      </c>
      <c r="G2235" s="47" t="e">
        <f t="shared" si="103"/>
        <v>#DIV/0!</v>
      </c>
      <c r="U2235" s="49" t="e">
        <f t="shared" si="105"/>
        <v>#DIV/0!</v>
      </c>
    </row>
    <row r="2236" customHeight="1" spans="1:21">
      <c r="A2236" s="42" t="str">
        <f t="shared" si="104"/>
        <v/>
      </c>
      <c r="G2236" s="47" t="e">
        <f t="shared" si="103"/>
        <v>#DIV/0!</v>
      </c>
      <c r="U2236" s="49" t="e">
        <f t="shared" si="105"/>
        <v>#DIV/0!</v>
      </c>
    </row>
    <row r="2237" customHeight="1" spans="1:21">
      <c r="A2237" s="42" t="str">
        <f t="shared" si="104"/>
        <v/>
      </c>
      <c r="G2237" s="47" t="e">
        <f t="shared" si="103"/>
        <v>#DIV/0!</v>
      </c>
      <c r="U2237" s="49" t="e">
        <f t="shared" si="105"/>
        <v>#DIV/0!</v>
      </c>
    </row>
    <row r="2238" customHeight="1" spans="1:21">
      <c r="A2238" s="42" t="str">
        <f t="shared" si="104"/>
        <v/>
      </c>
      <c r="G2238" s="47" t="e">
        <f t="shared" si="103"/>
        <v>#DIV/0!</v>
      </c>
      <c r="U2238" s="49" t="e">
        <f t="shared" si="105"/>
        <v>#DIV/0!</v>
      </c>
    </row>
    <row r="2239" customHeight="1" spans="1:21">
      <c r="A2239" s="42" t="str">
        <f t="shared" si="104"/>
        <v/>
      </c>
      <c r="G2239" s="47" t="e">
        <f t="shared" si="103"/>
        <v>#DIV/0!</v>
      </c>
      <c r="U2239" s="49" t="e">
        <f t="shared" si="105"/>
        <v>#DIV/0!</v>
      </c>
    </row>
    <row r="2240" customHeight="1" spans="1:21">
      <c r="A2240" s="42" t="str">
        <f t="shared" si="104"/>
        <v/>
      </c>
      <c r="G2240" s="47" t="e">
        <f t="shared" si="103"/>
        <v>#DIV/0!</v>
      </c>
      <c r="U2240" s="49" t="e">
        <f t="shared" si="105"/>
        <v>#DIV/0!</v>
      </c>
    </row>
    <row r="2241" customHeight="1" spans="1:21">
      <c r="A2241" s="42" t="str">
        <f t="shared" si="104"/>
        <v/>
      </c>
      <c r="G2241" s="47" t="e">
        <f t="shared" si="103"/>
        <v>#DIV/0!</v>
      </c>
      <c r="U2241" s="49" t="e">
        <f t="shared" si="105"/>
        <v>#DIV/0!</v>
      </c>
    </row>
    <row r="2242" customHeight="1" spans="1:21">
      <c r="A2242" s="42" t="str">
        <f t="shared" si="104"/>
        <v/>
      </c>
      <c r="G2242" s="47" t="e">
        <f t="shared" si="103"/>
        <v>#DIV/0!</v>
      </c>
      <c r="U2242" s="49" t="e">
        <f t="shared" si="105"/>
        <v>#DIV/0!</v>
      </c>
    </row>
    <row r="2243" customHeight="1" spans="1:21">
      <c r="A2243" s="42" t="str">
        <f t="shared" si="104"/>
        <v/>
      </c>
      <c r="G2243" s="47" t="e">
        <f t="shared" ref="G2243:G2306" si="106">+E2243/F2243</f>
        <v>#DIV/0!</v>
      </c>
      <c r="U2243" s="49" t="e">
        <f t="shared" si="105"/>
        <v>#DIV/0!</v>
      </c>
    </row>
    <row r="2244" customHeight="1" spans="1:21">
      <c r="A2244" s="42" t="str">
        <f t="shared" ref="A2244:A2307" si="107">B2244&amp;C2244&amp;D2244</f>
        <v/>
      </c>
      <c r="G2244" s="47" t="e">
        <f t="shared" si="106"/>
        <v>#DIV/0!</v>
      </c>
      <c r="U2244" s="49" t="e">
        <f t="shared" ref="U2244:U2307" si="108">SUM(G2244:T2244)</f>
        <v>#DIV/0!</v>
      </c>
    </row>
    <row r="2245" customHeight="1" spans="1:21">
      <c r="A2245" s="42" t="str">
        <f t="shared" si="107"/>
        <v/>
      </c>
      <c r="G2245" s="47" t="e">
        <f t="shared" si="106"/>
        <v>#DIV/0!</v>
      </c>
      <c r="U2245" s="49" t="e">
        <f t="shared" si="108"/>
        <v>#DIV/0!</v>
      </c>
    </row>
    <row r="2246" customHeight="1" spans="1:21">
      <c r="A2246" s="42" t="str">
        <f t="shared" si="107"/>
        <v/>
      </c>
      <c r="G2246" s="47" t="e">
        <f t="shared" si="106"/>
        <v>#DIV/0!</v>
      </c>
      <c r="U2246" s="49" t="e">
        <f t="shared" si="108"/>
        <v>#DIV/0!</v>
      </c>
    </row>
    <row r="2247" customHeight="1" spans="1:21">
      <c r="A2247" s="42" t="str">
        <f t="shared" si="107"/>
        <v/>
      </c>
      <c r="G2247" s="47" t="e">
        <f t="shared" si="106"/>
        <v>#DIV/0!</v>
      </c>
      <c r="U2247" s="49" t="e">
        <f t="shared" si="108"/>
        <v>#DIV/0!</v>
      </c>
    </row>
    <row r="2248" customHeight="1" spans="1:21">
      <c r="A2248" s="42" t="str">
        <f t="shared" si="107"/>
        <v/>
      </c>
      <c r="G2248" s="47" t="e">
        <f t="shared" si="106"/>
        <v>#DIV/0!</v>
      </c>
      <c r="U2248" s="49" t="e">
        <f t="shared" si="108"/>
        <v>#DIV/0!</v>
      </c>
    </row>
    <row r="2249" customHeight="1" spans="1:21">
      <c r="A2249" s="42" t="str">
        <f t="shared" si="107"/>
        <v/>
      </c>
      <c r="G2249" s="47" t="e">
        <f t="shared" si="106"/>
        <v>#DIV/0!</v>
      </c>
      <c r="U2249" s="49" t="e">
        <f t="shared" si="108"/>
        <v>#DIV/0!</v>
      </c>
    </row>
    <row r="2250" customHeight="1" spans="1:21">
      <c r="A2250" s="42" t="str">
        <f t="shared" si="107"/>
        <v/>
      </c>
      <c r="G2250" s="47" t="e">
        <f t="shared" si="106"/>
        <v>#DIV/0!</v>
      </c>
      <c r="U2250" s="49" t="e">
        <f t="shared" si="108"/>
        <v>#DIV/0!</v>
      </c>
    </row>
    <row r="2251" customHeight="1" spans="1:21">
      <c r="A2251" s="42" t="str">
        <f t="shared" si="107"/>
        <v/>
      </c>
      <c r="G2251" s="47" t="e">
        <f t="shared" si="106"/>
        <v>#DIV/0!</v>
      </c>
      <c r="U2251" s="49" t="e">
        <f t="shared" si="108"/>
        <v>#DIV/0!</v>
      </c>
    </row>
    <row r="2252" customHeight="1" spans="1:21">
      <c r="A2252" s="42" t="str">
        <f t="shared" si="107"/>
        <v/>
      </c>
      <c r="G2252" s="47" t="e">
        <f t="shared" si="106"/>
        <v>#DIV/0!</v>
      </c>
      <c r="U2252" s="49" t="e">
        <f t="shared" si="108"/>
        <v>#DIV/0!</v>
      </c>
    </row>
    <row r="2253" customHeight="1" spans="1:21">
      <c r="A2253" s="42" t="str">
        <f t="shared" si="107"/>
        <v/>
      </c>
      <c r="G2253" s="47" t="e">
        <f t="shared" si="106"/>
        <v>#DIV/0!</v>
      </c>
      <c r="U2253" s="49" t="e">
        <f t="shared" si="108"/>
        <v>#DIV/0!</v>
      </c>
    </row>
    <row r="2254" customHeight="1" spans="1:21">
      <c r="A2254" s="42" t="str">
        <f t="shared" si="107"/>
        <v/>
      </c>
      <c r="G2254" s="47" t="e">
        <f t="shared" si="106"/>
        <v>#DIV/0!</v>
      </c>
      <c r="U2254" s="49" t="e">
        <f t="shared" si="108"/>
        <v>#DIV/0!</v>
      </c>
    </row>
    <row r="2255" customHeight="1" spans="1:21">
      <c r="A2255" s="42" t="str">
        <f t="shared" si="107"/>
        <v/>
      </c>
      <c r="G2255" s="47" t="e">
        <f t="shared" si="106"/>
        <v>#DIV/0!</v>
      </c>
      <c r="U2255" s="49" t="e">
        <f t="shared" si="108"/>
        <v>#DIV/0!</v>
      </c>
    </row>
    <row r="2256" customHeight="1" spans="1:21">
      <c r="A2256" s="42" t="str">
        <f t="shared" si="107"/>
        <v/>
      </c>
      <c r="G2256" s="47" t="e">
        <f t="shared" si="106"/>
        <v>#DIV/0!</v>
      </c>
      <c r="U2256" s="49" t="e">
        <f t="shared" si="108"/>
        <v>#DIV/0!</v>
      </c>
    </row>
    <row r="2257" customHeight="1" spans="1:21">
      <c r="A2257" s="42" t="str">
        <f t="shared" si="107"/>
        <v/>
      </c>
      <c r="G2257" s="47" t="e">
        <f t="shared" si="106"/>
        <v>#DIV/0!</v>
      </c>
      <c r="U2257" s="49" t="e">
        <f t="shared" si="108"/>
        <v>#DIV/0!</v>
      </c>
    </row>
    <row r="2258" customHeight="1" spans="1:21">
      <c r="A2258" s="42" t="str">
        <f t="shared" si="107"/>
        <v/>
      </c>
      <c r="G2258" s="47" t="e">
        <f t="shared" si="106"/>
        <v>#DIV/0!</v>
      </c>
      <c r="U2258" s="49" t="e">
        <f t="shared" si="108"/>
        <v>#DIV/0!</v>
      </c>
    </row>
    <row r="2259" customHeight="1" spans="1:21">
      <c r="A2259" s="42" t="str">
        <f t="shared" si="107"/>
        <v/>
      </c>
      <c r="G2259" s="47" t="e">
        <f t="shared" si="106"/>
        <v>#DIV/0!</v>
      </c>
      <c r="U2259" s="49" t="e">
        <f t="shared" si="108"/>
        <v>#DIV/0!</v>
      </c>
    </row>
    <row r="2260" customHeight="1" spans="1:21">
      <c r="A2260" s="42" t="str">
        <f t="shared" si="107"/>
        <v/>
      </c>
      <c r="G2260" s="47" t="e">
        <f t="shared" si="106"/>
        <v>#DIV/0!</v>
      </c>
      <c r="U2260" s="49" t="e">
        <f t="shared" si="108"/>
        <v>#DIV/0!</v>
      </c>
    </row>
    <row r="2261" customHeight="1" spans="1:21">
      <c r="A2261" s="42" t="str">
        <f t="shared" si="107"/>
        <v/>
      </c>
      <c r="G2261" s="47" t="e">
        <f t="shared" si="106"/>
        <v>#DIV/0!</v>
      </c>
      <c r="U2261" s="49" t="e">
        <f t="shared" si="108"/>
        <v>#DIV/0!</v>
      </c>
    </row>
    <row r="2262" customHeight="1" spans="1:21">
      <c r="A2262" s="42" t="str">
        <f t="shared" si="107"/>
        <v/>
      </c>
      <c r="G2262" s="47" t="e">
        <f t="shared" si="106"/>
        <v>#DIV/0!</v>
      </c>
      <c r="U2262" s="49" t="e">
        <f t="shared" si="108"/>
        <v>#DIV/0!</v>
      </c>
    </row>
    <row r="2263" customHeight="1" spans="1:21">
      <c r="A2263" s="42" t="str">
        <f t="shared" si="107"/>
        <v/>
      </c>
      <c r="G2263" s="47" t="e">
        <f t="shared" si="106"/>
        <v>#DIV/0!</v>
      </c>
      <c r="U2263" s="49" t="e">
        <f t="shared" si="108"/>
        <v>#DIV/0!</v>
      </c>
    </row>
    <row r="2264" customHeight="1" spans="1:21">
      <c r="A2264" s="42" t="str">
        <f t="shared" si="107"/>
        <v/>
      </c>
      <c r="G2264" s="47" t="e">
        <f t="shared" si="106"/>
        <v>#DIV/0!</v>
      </c>
      <c r="U2264" s="49" t="e">
        <f t="shared" si="108"/>
        <v>#DIV/0!</v>
      </c>
    </row>
    <row r="2265" customHeight="1" spans="1:21">
      <c r="A2265" s="42" t="str">
        <f t="shared" si="107"/>
        <v/>
      </c>
      <c r="G2265" s="47" t="e">
        <f t="shared" si="106"/>
        <v>#DIV/0!</v>
      </c>
      <c r="U2265" s="49" t="e">
        <f t="shared" si="108"/>
        <v>#DIV/0!</v>
      </c>
    </row>
    <row r="2266" customHeight="1" spans="1:21">
      <c r="A2266" s="42" t="str">
        <f t="shared" si="107"/>
        <v/>
      </c>
      <c r="G2266" s="47" t="e">
        <f t="shared" si="106"/>
        <v>#DIV/0!</v>
      </c>
      <c r="U2266" s="49" t="e">
        <f t="shared" si="108"/>
        <v>#DIV/0!</v>
      </c>
    </row>
    <row r="2267" customHeight="1" spans="1:21">
      <c r="A2267" s="42" t="str">
        <f t="shared" si="107"/>
        <v/>
      </c>
      <c r="G2267" s="47" t="e">
        <f t="shared" si="106"/>
        <v>#DIV/0!</v>
      </c>
      <c r="U2267" s="49" t="e">
        <f t="shared" si="108"/>
        <v>#DIV/0!</v>
      </c>
    </row>
    <row r="2268" customHeight="1" spans="1:21">
      <c r="A2268" s="42" t="str">
        <f t="shared" si="107"/>
        <v/>
      </c>
      <c r="G2268" s="47" t="e">
        <f t="shared" si="106"/>
        <v>#DIV/0!</v>
      </c>
      <c r="U2268" s="49" t="e">
        <f t="shared" si="108"/>
        <v>#DIV/0!</v>
      </c>
    </row>
    <row r="2269" customHeight="1" spans="1:21">
      <c r="A2269" s="42" t="str">
        <f t="shared" si="107"/>
        <v/>
      </c>
      <c r="G2269" s="47" t="e">
        <f t="shared" si="106"/>
        <v>#DIV/0!</v>
      </c>
      <c r="U2269" s="49" t="e">
        <f t="shared" si="108"/>
        <v>#DIV/0!</v>
      </c>
    </row>
    <row r="2270" customHeight="1" spans="1:21">
      <c r="A2270" s="42" t="str">
        <f t="shared" si="107"/>
        <v/>
      </c>
      <c r="G2270" s="47" t="e">
        <f t="shared" si="106"/>
        <v>#DIV/0!</v>
      </c>
      <c r="U2270" s="49" t="e">
        <f t="shared" si="108"/>
        <v>#DIV/0!</v>
      </c>
    </row>
    <row r="2271" customHeight="1" spans="1:21">
      <c r="A2271" s="42" t="str">
        <f t="shared" si="107"/>
        <v/>
      </c>
      <c r="G2271" s="47" t="e">
        <f t="shared" si="106"/>
        <v>#DIV/0!</v>
      </c>
      <c r="U2271" s="49" t="e">
        <f t="shared" si="108"/>
        <v>#DIV/0!</v>
      </c>
    </row>
    <row r="2272" customHeight="1" spans="1:21">
      <c r="A2272" s="42" t="str">
        <f t="shared" si="107"/>
        <v/>
      </c>
      <c r="G2272" s="47" t="e">
        <f t="shared" si="106"/>
        <v>#DIV/0!</v>
      </c>
      <c r="U2272" s="49" t="e">
        <f t="shared" si="108"/>
        <v>#DIV/0!</v>
      </c>
    </row>
    <row r="2273" customHeight="1" spans="1:21">
      <c r="A2273" s="42" t="str">
        <f t="shared" si="107"/>
        <v/>
      </c>
      <c r="G2273" s="47" t="e">
        <f t="shared" si="106"/>
        <v>#DIV/0!</v>
      </c>
      <c r="U2273" s="49" t="e">
        <f t="shared" si="108"/>
        <v>#DIV/0!</v>
      </c>
    </row>
    <row r="2274" customHeight="1" spans="1:21">
      <c r="A2274" s="42" t="str">
        <f t="shared" si="107"/>
        <v/>
      </c>
      <c r="G2274" s="47" t="e">
        <f t="shared" si="106"/>
        <v>#DIV/0!</v>
      </c>
      <c r="U2274" s="49" t="e">
        <f t="shared" si="108"/>
        <v>#DIV/0!</v>
      </c>
    </row>
    <row r="2275" customHeight="1" spans="1:21">
      <c r="A2275" s="42" t="str">
        <f t="shared" si="107"/>
        <v/>
      </c>
      <c r="G2275" s="47" t="e">
        <f t="shared" si="106"/>
        <v>#DIV/0!</v>
      </c>
      <c r="U2275" s="49" t="e">
        <f t="shared" si="108"/>
        <v>#DIV/0!</v>
      </c>
    </row>
    <row r="2276" customHeight="1" spans="1:21">
      <c r="A2276" s="42" t="str">
        <f t="shared" si="107"/>
        <v/>
      </c>
      <c r="G2276" s="47" t="e">
        <f t="shared" si="106"/>
        <v>#DIV/0!</v>
      </c>
      <c r="U2276" s="49" t="e">
        <f t="shared" si="108"/>
        <v>#DIV/0!</v>
      </c>
    </row>
    <row r="2277" customHeight="1" spans="1:21">
      <c r="A2277" s="42" t="str">
        <f t="shared" si="107"/>
        <v/>
      </c>
      <c r="G2277" s="47" t="e">
        <f t="shared" si="106"/>
        <v>#DIV/0!</v>
      </c>
      <c r="U2277" s="49" t="e">
        <f t="shared" si="108"/>
        <v>#DIV/0!</v>
      </c>
    </row>
    <row r="2278" customHeight="1" spans="1:21">
      <c r="A2278" s="42" t="str">
        <f t="shared" si="107"/>
        <v/>
      </c>
      <c r="G2278" s="47" t="e">
        <f t="shared" si="106"/>
        <v>#DIV/0!</v>
      </c>
      <c r="U2278" s="49" t="e">
        <f t="shared" si="108"/>
        <v>#DIV/0!</v>
      </c>
    </row>
    <row r="2279" customHeight="1" spans="1:21">
      <c r="A2279" s="42" t="str">
        <f t="shared" si="107"/>
        <v/>
      </c>
      <c r="G2279" s="47" t="e">
        <f t="shared" si="106"/>
        <v>#DIV/0!</v>
      </c>
      <c r="U2279" s="49" t="e">
        <f t="shared" si="108"/>
        <v>#DIV/0!</v>
      </c>
    </row>
    <row r="2280" customHeight="1" spans="1:21">
      <c r="A2280" s="42" t="str">
        <f t="shared" si="107"/>
        <v/>
      </c>
      <c r="G2280" s="47" t="e">
        <f t="shared" si="106"/>
        <v>#DIV/0!</v>
      </c>
      <c r="U2280" s="49" t="e">
        <f t="shared" si="108"/>
        <v>#DIV/0!</v>
      </c>
    </row>
    <row r="2281" customHeight="1" spans="1:21">
      <c r="A2281" s="42" t="str">
        <f t="shared" si="107"/>
        <v/>
      </c>
      <c r="G2281" s="47" t="e">
        <f t="shared" si="106"/>
        <v>#DIV/0!</v>
      </c>
      <c r="U2281" s="49" t="e">
        <f t="shared" si="108"/>
        <v>#DIV/0!</v>
      </c>
    </row>
    <row r="2282" customHeight="1" spans="1:21">
      <c r="A2282" s="42" t="str">
        <f t="shared" si="107"/>
        <v/>
      </c>
      <c r="G2282" s="47" t="e">
        <f t="shared" si="106"/>
        <v>#DIV/0!</v>
      </c>
      <c r="U2282" s="49" t="e">
        <f t="shared" si="108"/>
        <v>#DIV/0!</v>
      </c>
    </row>
    <row r="2283" customHeight="1" spans="1:21">
      <c r="A2283" s="42" t="str">
        <f t="shared" si="107"/>
        <v/>
      </c>
      <c r="G2283" s="47" t="e">
        <f t="shared" si="106"/>
        <v>#DIV/0!</v>
      </c>
      <c r="U2283" s="49" t="e">
        <f t="shared" si="108"/>
        <v>#DIV/0!</v>
      </c>
    </row>
    <row r="2284" customHeight="1" spans="1:21">
      <c r="A2284" s="42" t="str">
        <f t="shared" si="107"/>
        <v/>
      </c>
      <c r="G2284" s="47" t="e">
        <f t="shared" si="106"/>
        <v>#DIV/0!</v>
      </c>
      <c r="U2284" s="49" t="e">
        <f t="shared" si="108"/>
        <v>#DIV/0!</v>
      </c>
    </row>
    <row r="2285" customHeight="1" spans="1:21">
      <c r="A2285" s="42" t="str">
        <f t="shared" si="107"/>
        <v/>
      </c>
      <c r="G2285" s="47" t="e">
        <f t="shared" si="106"/>
        <v>#DIV/0!</v>
      </c>
      <c r="U2285" s="49" t="e">
        <f t="shared" si="108"/>
        <v>#DIV/0!</v>
      </c>
    </row>
    <row r="2286" customHeight="1" spans="1:21">
      <c r="A2286" s="42" t="str">
        <f t="shared" si="107"/>
        <v/>
      </c>
      <c r="G2286" s="47" t="e">
        <f t="shared" si="106"/>
        <v>#DIV/0!</v>
      </c>
      <c r="U2286" s="49" t="e">
        <f t="shared" si="108"/>
        <v>#DIV/0!</v>
      </c>
    </row>
    <row r="2287" customHeight="1" spans="1:21">
      <c r="A2287" s="42" t="str">
        <f t="shared" si="107"/>
        <v/>
      </c>
      <c r="G2287" s="47" t="e">
        <f t="shared" si="106"/>
        <v>#DIV/0!</v>
      </c>
      <c r="U2287" s="49" t="e">
        <f t="shared" si="108"/>
        <v>#DIV/0!</v>
      </c>
    </row>
    <row r="2288" customHeight="1" spans="1:21">
      <c r="A2288" s="42" t="str">
        <f t="shared" si="107"/>
        <v/>
      </c>
      <c r="G2288" s="47" t="e">
        <f t="shared" si="106"/>
        <v>#DIV/0!</v>
      </c>
      <c r="U2288" s="49" t="e">
        <f t="shared" si="108"/>
        <v>#DIV/0!</v>
      </c>
    </row>
    <row r="2289" customHeight="1" spans="1:21">
      <c r="A2289" s="42" t="str">
        <f t="shared" si="107"/>
        <v/>
      </c>
      <c r="G2289" s="47" t="e">
        <f t="shared" si="106"/>
        <v>#DIV/0!</v>
      </c>
      <c r="U2289" s="49" t="e">
        <f t="shared" si="108"/>
        <v>#DIV/0!</v>
      </c>
    </row>
    <row r="2290" customHeight="1" spans="1:21">
      <c r="A2290" s="42" t="str">
        <f t="shared" si="107"/>
        <v/>
      </c>
      <c r="G2290" s="47" t="e">
        <f t="shared" si="106"/>
        <v>#DIV/0!</v>
      </c>
      <c r="U2290" s="49" t="e">
        <f t="shared" si="108"/>
        <v>#DIV/0!</v>
      </c>
    </row>
    <row r="2291" customHeight="1" spans="1:21">
      <c r="A2291" s="42" t="str">
        <f t="shared" si="107"/>
        <v/>
      </c>
      <c r="G2291" s="47" t="e">
        <f t="shared" si="106"/>
        <v>#DIV/0!</v>
      </c>
      <c r="U2291" s="49" t="e">
        <f t="shared" si="108"/>
        <v>#DIV/0!</v>
      </c>
    </row>
    <row r="2292" customHeight="1" spans="1:21">
      <c r="A2292" s="42" t="str">
        <f t="shared" si="107"/>
        <v/>
      </c>
      <c r="G2292" s="47" t="e">
        <f t="shared" si="106"/>
        <v>#DIV/0!</v>
      </c>
      <c r="U2292" s="49" t="e">
        <f t="shared" si="108"/>
        <v>#DIV/0!</v>
      </c>
    </row>
    <row r="2293" customHeight="1" spans="1:21">
      <c r="A2293" s="42" t="str">
        <f t="shared" si="107"/>
        <v/>
      </c>
      <c r="G2293" s="47" t="e">
        <f t="shared" si="106"/>
        <v>#DIV/0!</v>
      </c>
      <c r="U2293" s="49" t="e">
        <f t="shared" si="108"/>
        <v>#DIV/0!</v>
      </c>
    </row>
    <row r="2294" customHeight="1" spans="1:21">
      <c r="A2294" s="42" t="str">
        <f t="shared" si="107"/>
        <v/>
      </c>
      <c r="G2294" s="47" t="e">
        <f t="shared" si="106"/>
        <v>#DIV/0!</v>
      </c>
      <c r="U2294" s="49" t="e">
        <f t="shared" si="108"/>
        <v>#DIV/0!</v>
      </c>
    </row>
    <row r="2295" customHeight="1" spans="1:21">
      <c r="A2295" s="42" t="str">
        <f t="shared" si="107"/>
        <v/>
      </c>
      <c r="G2295" s="47" t="e">
        <f t="shared" si="106"/>
        <v>#DIV/0!</v>
      </c>
      <c r="U2295" s="49" t="e">
        <f t="shared" si="108"/>
        <v>#DIV/0!</v>
      </c>
    </row>
    <row r="2296" customHeight="1" spans="1:21">
      <c r="A2296" s="42" t="str">
        <f t="shared" si="107"/>
        <v/>
      </c>
      <c r="G2296" s="47" t="e">
        <f t="shared" si="106"/>
        <v>#DIV/0!</v>
      </c>
      <c r="U2296" s="49" t="e">
        <f t="shared" si="108"/>
        <v>#DIV/0!</v>
      </c>
    </row>
    <row r="2297" customHeight="1" spans="1:21">
      <c r="A2297" s="42" t="str">
        <f t="shared" si="107"/>
        <v/>
      </c>
      <c r="G2297" s="47" t="e">
        <f t="shared" si="106"/>
        <v>#DIV/0!</v>
      </c>
      <c r="U2297" s="49" t="e">
        <f t="shared" si="108"/>
        <v>#DIV/0!</v>
      </c>
    </row>
    <row r="2298" customHeight="1" spans="1:21">
      <c r="A2298" s="42" t="str">
        <f t="shared" si="107"/>
        <v/>
      </c>
      <c r="G2298" s="47" t="e">
        <f t="shared" si="106"/>
        <v>#DIV/0!</v>
      </c>
      <c r="U2298" s="49" t="e">
        <f t="shared" si="108"/>
        <v>#DIV/0!</v>
      </c>
    </row>
    <row r="2299" customHeight="1" spans="1:21">
      <c r="A2299" s="42" t="str">
        <f t="shared" si="107"/>
        <v/>
      </c>
      <c r="G2299" s="47" t="e">
        <f t="shared" si="106"/>
        <v>#DIV/0!</v>
      </c>
      <c r="U2299" s="49" t="e">
        <f t="shared" si="108"/>
        <v>#DIV/0!</v>
      </c>
    </row>
    <row r="2300" customHeight="1" spans="1:21">
      <c r="A2300" s="42" t="str">
        <f t="shared" si="107"/>
        <v/>
      </c>
      <c r="G2300" s="47" t="e">
        <f t="shared" si="106"/>
        <v>#DIV/0!</v>
      </c>
      <c r="U2300" s="49" t="e">
        <f t="shared" si="108"/>
        <v>#DIV/0!</v>
      </c>
    </row>
    <row r="2301" customHeight="1" spans="1:21">
      <c r="A2301" s="42" t="str">
        <f t="shared" si="107"/>
        <v/>
      </c>
      <c r="G2301" s="47" t="e">
        <f t="shared" si="106"/>
        <v>#DIV/0!</v>
      </c>
      <c r="U2301" s="49" t="e">
        <f t="shared" si="108"/>
        <v>#DIV/0!</v>
      </c>
    </row>
    <row r="2302" customHeight="1" spans="1:21">
      <c r="A2302" s="42" t="str">
        <f t="shared" si="107"/>
        <v/>
      </c>
      <c r="G2302" s="47" t="e">
        <f t="shared" si="106"/>
        <v>#DIV/0!</v>
      </c>
      <c r="U2302" s="49" t="e">
        <f t="shared" si="108"/>
        <v>#DIV/0!</v>
      </c>
    </row>
    <row r="2303" customHeight="1" spans="1:21">
      <c r="A2303" s="42" t="str">
        <f t="shared" si="107"/>
        <v/>
      </c>
      <c r="G2303" s="47" t="e">
        <f t="shared" si="106"/>
        <v>#DIV/0!</v>
      </c>
      <c r="U2303" s="49" t="e">
        <f t="shared" si="108"/>
        <v>#DIV/0!</v>
      </c>
    </row>
    <row r="2304" customHeight="1" spans="1:21">
      <c r="A2304" s="42" t="str">
        <f t="shared" si="107"/>
        <v/>
      </c>
      <c r="G2304" s="47" t="e">
        <f t="shared" si="106"/>
        <v>#DIV/0!</v>
      </c>
      <c r="U2304" s="49" t="e">
        <f t="shared" si="108"/>
        <v>#DIV/0!</v>
      </c>
    </row>
    <row r="2305" customHeight="1" spans="1:21">
      <c r="A2305" s="42" t="str">
        <f t="shared" si="107"/>
        <v/>
      </c>
      <c r="G2305" s="47" t="e">
        <f t="shared" si="106"/>
        <v>#DIV/0!</v>
      </c>
      <c r="U2305" s="49" t="e">
        <f t="shared" si="108"/>
        <v>#DIV/0!</v>
      </c>
    </row>
    <row r="2306" customHeight="1" spans="1:21">
      <c r="A2306" s="42" t="str">
        <f t="shared" si="107"/>
        <v/>
      </c>
      <c r="G2306" s="47" t="e">
        <f t="shared" si="106"/>
        <v>#DIV/0!</v>
      </c>
      <c r="U2306" s="49" t="e">
        <f t="shared" si="108"/>
        <v>#DIV/0!</v>
      </c>
    </row>
    <row r="2307" customHeight="1" spans="1:21">
      <c r="A2307" s="42" t="str">
        <f t="shared" si="107"/>
        <v/>
      </c>
      <c r="G2307" s="47" t="e">
        <f t="shared" ref="G2307:G2370" si="109">+E2307/F2307</f>
        <v>#DIV/0!</v>
      </c>
      <c r="U2307" s="49" t="e">
        <f t="shared" si="108"/>
        <v>#DIV/0!</v>
      </c>
    </row>
    <row r="2308" customHeight="1" spans="1:21">
      <c r="A2308" s="42" t="str">
        <f t="shared" ref="A2308:A2371" si="110">B2308&amp;C2308&amp;D2308</f>
        <v/>
      </c>
      <c r="G2308" s="47" t="e">
        <f t="shared" si="109"/>
        <v>#DIV/0!</v>
      </c>
      <c r="U2308" s="49" t="e">
        <f t="shared" ref="U2308:U2371" si="111">SUM(G2308:T2308)</f>
        <v>#DIV/0!</v>
      </c>
    </row>
    <row r="2309" customHeight="1" spans="1:21">
      <c r="A2309" s="42" t="str">
        <f t="shared" si="110"/>
        <v/>
      </c>
      <c r="G2309" s="47" t="e">
        <f t="shared" si="109"/>
        <v>#DIV/0!</v>
      </c>
      <c r="U2309" s="49" t="e">
        <f t="shared" si="111"/>
        <v>#DIV/0!</v>
      </c>
    </row>
    <row r="2310" customHeight="1" spans="1:21">
      <c r="A2310" s="42" t="str">
        <f t="shared" si="110"/>
        <v/>
      </c>
      <c r="G2310" s="47" t="e">
        <f t="shared" si="109"/>
        <v>#DIV/0!</v>
      </c>
      <c r="U2310" s="49" t="e">
        <f t="shared" si="111"/>
        <v>#DIV/0!</v>
      </c>
    </row>
    <row r="2311" customHeight="1" spans="1:21">
      <c r="A2311" s="42" t="str">
        <f t="shared" si="110"/>
        <v/>
      </c>
      <c r="G2311" s="47" t="e">
        <f t="shared" si="109"/>
        <v>#DIV/0!</v>
      </c>
      <c r="U2311" s="49" t="e">
        <f t="shared" si="111"/>
        <v>#DIV/0!</v>
      </c>
    </row>
    <row r="2312" customHeight="1" spans="1:21">
      <c r="A2312" s="42" t="str">
        <f t="shared" si="110"/>
        <v/>
      </c>
      <c r="G2312" s="47" t="e">
        <f t="shared" si="109"/>
        <v>#DIV/0!</v>
      </c>
      <c r="U2312" s="49" t="e">
        <f t="shared" si="111"/>
        <v>#DIV/0!</v>
      </c>
    </row>
    <row r="2313" customHeight="1" spans="1:21">
      <c r="A2313" s="42" t="str">
        <f t="shared" si="110"/>
        <v/>
      </c>
      <c r="G2313" s="47" t="e">
        <f t="shared" si="109"/>
        <v>#DIV/0!</v>
      </c>
      <c r="U2313" s="49" t="e">
        <f t="shared" si="111"/>
        <v>#DIV/0!</v>
      </c>
    </row>
    <row r="2314" customHeight="1" spans="1:21">
      <c r="A2314" s="42" t="str">
        <f t="shared" si="110"/>
        <v/>
      </c>
      <c r="G2314" s="47" t="e">
        <f t="shared" si="109"/>
        <v>#DIV/0!</v>
      </c>
      <c r="U2314" s="49" t="e">
        <f t="shared" si="111"/>
        <v>#DIV/0!</v>
      </c>
    </row>
    <row r="2315" customHeight="1" spans="1:21">
      <c r="A2315" s="42" t="str">
        <f t="shared" si="110"/>
        <v/>
      </c>
      <c r="G2315" s="47" t="e">
        <f t="shared" si="109"/>
        <v>#DIV/0!</v>
      </c>
      <c r="U2315" s="49" t="e">
        <f t="shared" si="111"/>
        <v>#DIV/0!</v>
      </c>
    </row>
    <row r="2316" customHeight="1" spans="1:21">
      <c r="A2316" s="42" t="str">
        <f t="shared" si="110"/>
        <v/>
      </c>
      <c r="G2316" s="47" t="e">
        <f t="shared" si="109"/>
        <v>#DIV/0!</v>
      </c>
      <c r="U2316" s="49" t="e">
        <f t="shared" si="111"/>
        <v>#DIV/0!</v>
      </c>
    </row>
    <row r="2317" customHeight="1" spans="1:21">
      <c r="A2317" s="42" t="str">
        <f t="shared" si="110"/>
        <v/>
      </c>
      <c r="G2317" s="47" t="e">
        <f t="shared" si="109"/>
        <v>#DIV/0!</v>
      </c>
      <c r="U2317" s="49" t="e">
        <f t="shared" si="111"/>
        <v>#DIV/0!</v>
      </c>
    </row>
    <row r="2318" customHeight="1" spans="1:21">
      <c r="A2318" s="42" t="str">
        <f t="shared" si="110"/>
        <v/>
      </c>
      <c r="G2318" s="47" t="e">
        <f t="shared" si="109"/>
        <v>#DIV/0!</v>
      </c>
      <c r="U2318" s="49" t="e">
        <f t="shared" si="111"/>
        <v>#DIV/0!</v>
      </c>
    </row>
    <row r="2319" customHeight="1" spans="1:21">
      <c r="A2319" s="42" t="str">
        <f t="shared" si="110"/>
        <v/>
      </c>
      <c r="G2319" s="47" t="e">
        <f t="shared" si="109"/>
        <v>#DIV/0!</v>
      </c>
      <c r="U2319" s="49" t="e">
        <f t="shared" si="111"/>
        <v>#DIV/0!</v>
      </c>
    </row>
    <row r="2320" customHeight="1" spans="1:21">
      <c r="A2320" s="42" t="str">
        <f t="shared" si="110"/>
        <v/>
      </c>
      <c r="G2320" s="47" t="e">
        <f t="shared" si="109"/>
        <v>#DIV/0!</v>
      </c>
      <c r="U2320" s="49" t="e">
        <f t="shared" si="111"/>
        <v>#DIV/0!</v>
      </c>
    </row>
    <row r="2321" customHeight="1" spans="1:21">
      <c r="A2321" s="42" t="str">
        <f t="shared" si="110"/>
        <v/>
      </c>
      <c r="G2321" s="47" t="e">
        <f t="shared" si="109"/>
        <v>#DIV/0!</v>
      </c>
      <c r="U2321" s="49" t="e">
        <f t="shared" si="111"/>
        <v>#DIV/0!</v>
      </c>
    </row>
    <row r="2322" customHeight="1" spans="1:21">
      <c r="A2322" s="42" t="str">
        <f t="shared" si="110"/>
        <v/>
      </c>
      <c r="G2322" s="47" t="e">
        <f t="shared" si="109"/>
        <v>#DIV/0!</v>
      </c>
      <c r="U2322" s="49" t="e">
        <f t="shared" si="111"/>
        <v>#DIV/0!</v>
      </c>
    </row>
    <row r="2323" customHeight="1" spans="1:21">
      <c r="A2323" s="42" t="str">
        <f t="shared" si="110"/>
        <v/>
      </c>
      <c r="G2323" s="47" t="e">
        <f t="shared" si="109"/>
        <v>#DIV/0!</v>
      </c>
      <c r="U2323" s="49" t="e">
        <f t="shared" si="111"/>
        <v>#DIV/0!</v>
      </c>
    </row>
    <row r="2324" customHeight="1" spans="1:21">
      <c r="A2324" s="42" t="str">
        <f t="shared" si="110"/>
        <v/>
      </c>
      <c r="G2324" s="47" t="e">
        <f t="shared" si="109"/>
        <v>#DIV/0!</v>
      </c>
      <c r="U2324" s="49" t="e">
        <f t="shared" si="111"/>
        <v>#DIV/0!</v>
      </c>
    </row>
    <row r="2325" customHeight="1" spans="1:21">
      <c r="A2325" s="42" t="str">
        <f t="shared" si="110"/>
        <v/>
      </c>
      <c r="G2325" s="47" t="e">
        <f t="shared" si="109"/>
        <v>#DIV/0!</v>
      </c>
      <c r="U2325" s="49" t="e">
        <f t="shared" si="111"/>
        <v>#DIV/0!</v>
      </c>
    </row>
    <row r="2326" customHeight="1" spans="1:21">
      <c r="A2326" s="42" t="str">
        <f t="shared" si="110"/>
        <v/>
      </c>
      <c r="G2326" s="47" t="e">
        <f t="shared" si="109"/>
        <v>#DIV/0!</v>
      </c>
      <c r="U2326" s="49" t="e">
        <f t="shared" si="111"/>
        <v>#DIV/0!</v>
      </c>
    </row>
    <row r="2327" customHeight="1" spans="1:21">
      <c r="A2327" s="42" t="str">
        <f t="shared" si="110"/>
        <v/>
      </c>
      <c r="G2327" s="47" t="e">
        <f t="shared" si="109"/>
        <v>#DIV/0!</v>
      </c>
      <c r="U2327" s="49" t="e">
        <f t="shared" si="111"/>
        <v>#DIV/0!</v>
      </c>
    </row>
    <row r="2328" customHeight="1" spans="1:21">
      <c r="A2328" s="42" t="str">
        <f t="shared" si="110"/>
        <v/>
      </c>
      <c r="G2328" s="47" t="e">
        <f t="shared" si="109"/>
        <v>#DIV/0!</v>
      </c>
      <c r="U2328" s="49" t="e">
        <f t="shared" si="111"/>
        <v>#DIV/0!</v>
      </c>
    </row>
    <row r="2329" customHeight="1" spans="1:21">
      <c r="A2329" s="42" t="str">
        <f t="shared" si="110"/>
        <v/>
      </c>
      <c r="G2329" s="47" t="e">
        <f t="shared" si="109"/>
        <v>#DIV/0!</v>
      </c>
      <c r="U2329" s="49" t="e">
        <f t="shared" si="111"/>
        <v>#DIV/0!</v>
      </c>
    </row>
    <row r="2330" customHeight="1" spans="1:21">
      <c r="A2330" s="42" t="str">
        <f t="shared" si="110"/>
        <v/>
      </c>
      <c r="G2330" s="47" t="e">
        <f t="shared" si="109"/>
        <v>#DIV/0!</v>
      </c>
      <c r="U2330" s="49" t="e">
        <f t="shared" si="111"/>
        <v>#DIV/0!</v>
      </c>
    </row>
    <row r="2331" customHeight="1" spans="1:21">
      <c r="A2331" s="42" t="str">
        <f t="shared" si="110"/>
        <v/>
      </c>
      <c r="G2331" s="47" t="e">
        <f t="shared" si="109"/>
        <v>#DIV/0!</v>
      </c>
      <c r="U2331" s="49" t="e">
        <f t="shared" si="111"/>
        <v>#DIV/0!</v>
      </c>
    </row>
    <row r="2332" customHeight="1" spans="1:21">
      <c r="A2332" s="42" t="str">
        <f t="shared" si="110"/>
        <v/>
      </c>
      <c r="G2332" s="47" t="e">
        <f t="shared" si="109"/>
        <v>#DIV/0!</v>
      </c>
      <c r="U2332" s="49" t="e">
        <f t="shared" si="111"/>
        <v>#DIV/0!</v>
      </c>
    </row>
    <row r="2333" customHeight="1" spans="1:21">
      <c r="A2333" s="42" t="str">
        <f t="shared" si="110"/>
        <v/>
      </c>
      <c r="G2333" s="47" t="e">
        <f t="shared" si="109"/>
        <v>#DIV/0!</v>
      </c>
      <c r="U2333" s="49" t="e">
        <f t="shared" si="111"/>
        <v>#DIV/0!</v>
      </c>
    </row>
    <row r="2334" customHeight="1" spans="1:21">
      <c r="A2334" s="42" t="str">
        <f t="shared" si="110"/>
        <v/>
      </c>
      <c r="G2334" s="47" t="e">
        <f t="shared" si="109"/>
        <v>#DIV/0!</v>
      </c>
      <c r="U2334" s="49" t="e">
        <f t="shared" si="111"/>
        <v>#DIV/0!</v>
      </c>
    </row>
    <row r="2335" customHeight="1" spans="1:21">
      <c r="A2335" s="42" t="str">
        <f t="shared" si="110"/>
        <v/>
      </c>
      <c r="G2335" s="47" t="e">
        <f t="shared" si="109"/>
        <v>#DIV/0!</v>
      </c>
      <c r="U2335" s="49" t="e">
        <f t="shared" si="111"/>
        <v>#DIV/0!</v>
      </c>
    </row>
    <row r="2336" customHeight="1" spans="1:21">
      <c r="A2336" s="42" t="str">
        <f t="shared" si="110"/>
        <v/>
      </c>
      <c r="G2336" s="47" t="e">
        <f t="shared" si="109"/>
        <v>#DIV/0!</v>
      </c>
      <c r="U2336" s="49" t="e">
        <f t="shared" si="111"/>
        <v>#DIV/0!</v>
      </c>
    </row>
    <row r="2337" customHeight="1" spans="1:21">
      <c r="A2337" s="42" t="str">
        <f t="shared" si="110"/>
        <v/>
      </c>
      <c r="G2337" s="47" t="e">
        <f t="shared" si="109"/>
        <v>#DIV/0!</v>
      </c>
      <c r="U2337" s="49" t="e">
        <f t="shared" si="111"/>
        <v>#DIV/0!</v>
      </c>
    </row>
    <row r="2338" customHeight="1" spans="1:21">
      <c r="A2338" s="42" t="str">
        <f t="shared" si="110"/>
        <v/>
      </c>
      <c r="G2338" s="47" t="e">
        <f t="shared" si="109"/>
        <v>#DIV/0!</v>
      </c>
      <c r="U2338" s="49" t="e">
        <f t="shared" si="111"/>
        <v>#DIV/0!</v>
      </c>
    </row>
    <row r="2339" customHeight="1" spans="1:21">
      <c r="A2339" s="42" t="str">
        <f t="shared" si="110"/>
        <v/>
      </c>
      <c r="G2339" s="47" t="e">
        <f t="shared" si="109"/>
        <v>#DIV/0!</v>
      </c>
      <c r="U2339" s="49" t="e">
        <f t="shared" si="111"/>
        <v>#DIV/0!</v>
      </c>
    </row>
    <row r="2340" customHeight="1" spans="1:21">
      <c r="A2340" s="42" t="str">
        <f t="shared" si="110"/>
        <v/>
      </c>
      <c r="G2340" s="47" t="e">
        <f t="shared" si="109"/>
        <v>#DIV/0!</v>
      </c>
      <c r="U2340" s="49" t="e">
        <f t="shared" si="111"/>
        <v>#DIV/0!</v>
      </c>
    </row>
    <row r="2341" customHeight="1" spans="1:21">
      <c r="A2341" s="42" t="str">
        <f t="shared" si="110"/>
        <v/>
      </c>
      <c r="G2341" s="47" t="e">
        <f t="shared" si="109"/>
        <v>#DIV/0!</v>
      </c>
      <c r="U2341" s="49" t="e">
        <f t="shared" si="111"/>
        <v>#DIV/0!</v>
      </c>
    </row>
    <row r="2342" customHeight="1" spans="1:21">
      <c r="A2342" s="42" t="str">
        <f t="shared" si="110"/>
        <v/>
      </c>
      <c r="G2342" s="47" t="e">
        <f t="shared" si="109"/>
        <v>#DIV/0!</v>
      </c>
      <c r="U2342" s="49" t="e">
        <f t="shared" si="111"/>
        <v>#DIV/0!</v>
      </c>
    </row>
    <row r="2343" customHeight="1" spans="1:21">
      <c r="A2343" s="42" t="str">
        <f t="shared" si="110"/>
        <v/>
      </c>
      <c r="G2343" s="47" t="e">
        <f t="shared" si="109"/>
        <v>#DIV/0!</v>
      </c>
      <c r="U2343" s="49" t="e">
        <f t="shared" si="111"/>
        <v>#DIV/0!</v>
      </c>
    </row>
    <row r="2344" customHeight="1" spans="1:21">
      <c r="A2344" s="42" t="str">
        <f t="shared" si="110"/>
        <v/>
      </c>
      <c r="G2344" s="47" t="e">
        <f t="shared" si="109"/>
        <v>#DIV/0!</v>
      </c>
      <c r="U2344" s="49" t="e">
        <f t="shared" si="111"/>
        <v>#DIV/0!</v>
      </c>
    </row>
    <row r="2345" customHeight="1" spans="1:21">
      <c r="A2345" s="42" t="str">
        <f t="shared" si="110"/>
        <v/>
      </c>
      <c r="G2345" s="47" t="e">
        <f t="shared" si="109"/>
        <v>#DIV/0!</v>
      </c>
      <c r="U2345" s="49" t="e">
        <f t="shared" si="111"/>
        <v>#DIV/0!</v>
      </c>
    </row>
    <row r="2346" customHeight="1" spans="1:21">
      <c r="A2346" s="42" t="str">
        <f t="shared" si="110"/>
        <v/>
      </c>
      <c r="G2346" s="47" t="e">
        <f t="shared" si="109"/>
        <v>#DIV/0!</v>
      </c>
      <c r="U2346" s="49" t="e">
        <f t="shared" si="111"/>
        <v>#DIV/0!</v>
      </c>
    </row>
    <row r="2347" customHeight="1" spans="1:21">
      <c r="A2347" s="42" t="str">
        <f t="shared" si="110"/>
        <v/>
      </c>
      <c r="G2347" s="47" t="e">
        <f t="shared" si="109"/>
        <v>#DIV/0!</v>
      </c>
      <c r="U2347" s="49" t="e">
        <f t="shared" si="111"/>
        <v>#DIV/0!</v>
      </c>
    </row>
    <row r="2348" customHeight="1" spans="1:21">
      <c r="A2348" s="42" t="str">
        <f t="shared" si="110"/>
        <v/>
      </c>
      <c r="G2348" s="47" t="e">
        <f t="shared" si="109"/>
        <v>#DIV/0!</v>
      </c>
      <c r="U2348" s="49" t="e">
        <f t="shared" si="111"/>
        <v>#DIV/0!</v>
      </c>
    </row>
    <row r="2349" customHeight="1" spans="1:21">
      <c r="A2349" s="42" t="str">
        <f t="shared" si="110"/>
        <v/>
      </c>
      <c r="G2349" s="47" t="e">
        <f t="shared" si="109"/>
        <v>#DIV/0!</v>
      </c>
      <c r="U2349" s="49" t="e">
        <f t="shared" si="111"/>
        <v>#DIV/0!</v>
      </c>
    </row>
    <row r="2350" customHeight="1" spans="1:21">
      <c r="A2350" s="42" t="str">
        <f t="shared" si="110"/>
        <v/>
      </c>
      <c r="G2350" s="47" t="e">
        <f t="shared" si="109"/>
        <v>#DIV/0!</v>
      </c>
      <c r="U2350" s="49" t="e">
        <f t="shared" si="111"/>
        <v>#DIV/0!</v>
      </c>
    </row>
    <row r="2351" customHeight="1" spans="1:21">
      <c r="A2351" s="42" t="str">
        <f t="shared" si="110"/>
        <v/>
      </c>
      <c r="G2351" s="47" t="e">
        <f t="shared" si="109"/>
        <v>#DIV/0!</v>
      </c>
      <c r="U2351" s="49" t="e">
        <f t="shared" si="111"/>
        <v>#DIV/0!</v>
      </c>
    </row>
    <row r="2352" customHeight="1" spans="1:21">
      <c r="A2352" s="42" t="str">
        <f t="shared" si="110"/>
        <v/>
      </c>
      <c r="G2352" s="47" t="e">
        <f t="shared" si="109"/>
        <v>#DIV/0!</v>
      </c>
      <c r="U2352" s="49" t="e">
        <f t="shared" si="111"/>
        <v>#DIV/0!</v>
      </c>
    </row>
    <row r="2353" customHeight="1" spans="1:21">
      <c r="A2353" s="42" t="str">
        <f t="shared" si="110"/>
        <v/>
      </c>
      <c r="G2353" s="47" t="e">
        <f t="shared" si="109"/>
        <v>#DIV/0!</v>
      </c>
      <c r="U2353" s="49" t="e">
        <f t="shared" si="111"/>
        <v>#DIV/0!</v>
      </c>
    </row>
    <row r="2354" customHeight="1" spans="1:21">
      <c r="A2354" s="42" t="str">
        <f t="shared" si="110"/>
        <v/>
      </c>
      <c r="G2354" s="47" t="e">
        <f t="shared" si="109"/>
        <v>#DIV/0!</v>
      </c>
      <c r="U2354" s="49" t="e">
        <f t="shared" si="111"/>
        <v>#DIV/0!</v>
      </c>
    </row>
    <row r="2355" customHeight="1" spans="1:21">
      <c r="A2355" s="42" t="str">
        <f t="shared" si="110"/>
        <v/>
      </c>
      <c r="G2355" s="47" t="e">
        <f t="shared" si="109"/>
        <v>#DIV/0!</v>
      </c>
      <c r="U2355" s="49" t="e">
        <f t="shared" si="111"/>
        <v>#DIV/0!</v>
      </c>
    </row>
    <row r="2356" customHeight="1" spans="1:21">
      <c r="A2356" s="42" t="str">
        <f t="shared" si="110"/>
        <v/>
      </c>
      <c r="G2356" s="47" t="e">
        <f t="shared" si="109"/>
        <v>#DIV/0!</v>
      </c>
      <c r="U2356" s="49" t="e">
        <f t="shared" si="111"/>
        <v>#DIV/0!</v>
      </c>
    </row>
    <row r="2357" customHeight="1" spans="1:21">
      <c r="A2357" s="42" t="str">
        <f t="shared" si="110"/>
        <v/>
      </c>
      <c r="G2357" s="47" t="e">
        <f t="shared" si="109"/>
        <v>#DIV/0!</v>
      </c>
      <c r="U2357" s="49" t="e">
        <f t="shared" si="111"/>
        <v>#DIV/0!</v>
      </c>
    </row>
    <row r="2358" customHeight="1" spans="1:21">
      <c r="A2358" s="42" t="str">
        <f t="shared" si="110"/>
        <v/>
      </c>
      <c r="G2358" s="47" t="e">
        <f t="shared" si="109"/>
        <v>#DIV/0!</v>
      </c>
      <c r="U2358" s="49" t="e">
        <f t="shared" si="111"/>
        <v>#DIV/0!</v>
      </c>
    </row>
    <row r="2359" customHeight="1" spans="1:21">
      <c r="A2359" s="42" t="str">
        <f t="shared" si="110"/>
        <v/>
      </c>
      <c r="G2359" s="47" t="e">
        <f t="shared" si="109"/>
        <v>#DIV/0!</v>
      </c>
      <c r="U2359" s="49" t="e">
        <f t="shared" si="111"/>
        <v>#DIV/0!</v>
      </c>
    </row>
    <row r="2360" customHeight="1" spans="1:21">
      <c r="A2360" s="42" t="str">
        <f t="shared" si="110"/>
        <v/>
      </c>
      <c r="G2360" s="47" t="e">
        <f t="shared" si="109"/>
        <v>#DIV/0!</v>
      </c>
      <c r="U2360" s="49" t="e">
        <f t="shared" si="111"/>
        <v>#DIV/0!</v>
      </c>
    </row>
    <row r="2361" customHeight="1" spans="1:21">
      <c r="A2361" s="42" t="str">
        <f t="shared" si="110"/>
        <v/>
      </c>
      <c r="G2361" s="47" t="e">
        <f t="shared" si="109"/>
        <v>#DIV/0!</v>
      </c>
      <c r="U2361" s="49" t="e">
        <f t="shared" si="111"/>
        <v>#DIV/0!</v>
      </c>
    </row>
    <row r="2362" customHeight="1" spans="1:21">
      <c r="A2362" s="42" t="str">
        <f t="shared" si="110"/>
        <v/>
      </c>
      <c r="G2362" s="47" t="e">
        <f t="shared" si="109"/>
        <v>#DIV/0!</v>
      </c>
      <c r="U2362" s="49" t="e">
        <f t="shared" si="111"/>
        <v>#DIV/0!</v>
      </c>
    </row>
    <row r="2363" customHeight="1" spans="1:21">
      <c r="A2363" s="42" t="str">
        <f t="shared" si="110"/>
        <v/>
      </c>
      <c r="G2363" s="47" t="e">
        <f t="shared" si="109"/>
        <v>#DIV/0!</v>
      </c>
      <c r="U2363" s="49" t="e">
        <f t="shared" si="111"/>
        <v>#DIV/0!</v>
      </c>
    </row>
    <row r="2364" customHeight="1" spans="1:21">
      <c r="A2364" s="42" t="str">
        <f t="shared" si="110"/>
        <v/>
      </c>
      <c r="G2364" s="47" t="e">
        <f t="shared" si="109"/>
        <v>#DIV/0!</v>
      </c>
      <c r="U2364" s="49" t="e">
        <f t="shared" si="111"/>
        <v>#DIV/0!</v>
      </c>
    </row>
    <row r="2365" customHeight="1" spans="1:21">
      <c r="A2365" s="42" t="str">
        <f t="shared" si="110"/>
        <v/>
      </c>
      <c r="G2365" s="47" t="e">
        <f t="shared" si="109"/>
        <v>#DIV/0!</v>
      </c>
      <c r="U2365" s="49" t="e">
        <f t="shared" si="111"/>
        <v>#DIV/0!</v>
      </c>
    </row>
    <row r="2366" customHeight="1" spans="1:21">
      <c r="A2366" s="42" t="str">
        <f t="shared" si="110"/>
        <v/>
      </c>
      <c r="G2366" s="47" t="e">
        <f t="shared" si="109"/>
        <v>#DIV/0!</v>
      </c>
      <c r="U2366" s="49" t="e">
        <f t="shared" si="111"/>
        <v>#DIV/0!</v>
      </c>
    </row>
    <row r="2367" customHeight="1" spans="1:21">
      <c r="A2367" s="42" t="str">
        <f t="shared" si="110"/>
        <v/>
      </c>
      <c r="G2367" s="47" t="e">
        <f t="shared" si="109"/>
        <v>#DIV/0!</v>
      </c>
      <c r="U2367" s="49" t="e">
        <f t="shared" si="111"/>
        <v>#DIV/0!</v>
      </c>
    </row>
    <row r="2368" customHeight="1" spans="1:21">
      <c r="A2368" s="42" t="str">
        <f t="shared" si="110"/>
        <v/>
      </c>
      <c r="G2368" s="47" t="e">
        <f t="shared" si="109"/>
        <v>#DIV/0!</v>
      </c>
      <c r="U2368" s="49" t="e">
        <f t="shared" si="111"/>
        <v>#DIV/0!</v>
      </c>
    </row>
    <row r="2369" customHeight="1" spans="1:21">
      <c r="A2369" s="42" t="str">
        <f t="shared" si="110"/>
        <v/>
      </c>
      <c r="G2369" s="47" t="e">
        <f t="shared" si="109"/>
        <v>#DIV/0!</v>
      </c>
      <c r="U2369" s="49" t="e">
        <f t="shared" si="111"/>
        <v>#DIV/0!</v>
      </c>
    </row>
    <row r="2370" customHeight="1" spans="1:21">
      <c r="A2370" s="42" t="str">
        <f t="shared" si="110"/>
        <v/>
      </c>
      <c r="G2370" s="47" t="e">
        <f t="shared" si="109"/>
        <v>#DIV/0!</v>
      </c>
      <c r="U2370" s="49" t="e">
        <f t="shared" si="111"/>
        <v>#DIV/0!</v>
      </c>
    </row>
    <row r="2371" customHeight="1" spans="1:21">
      <c r="A2371" s="42" t="str">
        <f t="shared" si="110"/>
        <v/>
      </c>
      <c r="G2371" s="47" t="e">
        <f t="shared" ref="G2371:G2434" si="112">+E2371/F2371</f>
        <v>#DIV/0!</v>
      </c>
      <c r="U2371" s="49" t="e">
        <f t="shared" si="111"/>
        <v>#DIV/0!</v>
      </c>
    </row>
    <row r="2372" customHeight="1" spans="1:21">
      <c r="A2372" s="42" t="str">
        <f t="shared" ref="A2372:A2435" si="113">B2372&amp;C2372&amp;D2372</f>
        <v/>
      </c>
      <c r="G2372" s="47" t="e">
        <f t="shared" si="112"/>
        <v>#DIV/0!</v>
      </c>
      <c r="U2372" s="49" t="e">
        <f t="shared" ref="U2372:U2435" si="114">SUM(G2372:T2372)</f>
        <v>#DIV/0!</v>
      </c>
    </row>
    <row r="2373" customHeight="1" spans="1:21">
      <c r="A2373" s="42" t="str">
        <f t="shared" si="113"/>
        <v/>
      </c>
      <c r="G2373" s="47" t="e">
        <f t="shared" si="112"/>
        <v>#DIV/0!</v>
      </c>
      <c r="U2373" s="49" t="e">
        <f t="shared" si="114"/>
        <v>#DIV/0!</v>
      </c>
    </row>
    <row r="2374" customHeight="1" spans="1:21">
      <c r="A2374" s="42" t="str">
        <f t="shared" si="113"/>
        <v/>
      </c>
      <c r="G2374" s="47" t="e">
        <f t="shared" si="112"/>
        <v>#DIV/0!</v>
      </c>
      <c r="U2374" s="49" t="e">
        <f t="shared" si="114"/>
        <v>#DIV/0!</v>
      </c>
    </row>
    <row r="2375" customHeight="1" spans="1:21">
      <c r="A2375" s="42" t="str">
        <f t="shared" si="113"/>
        <v/>
      </c>
      <c r="G2375" s="47" t="e">
        <f t="shared" si="112"/>
        <v>#DIV/0!</v>
      </c>
      <c r="U2375" s="49" t="e">
        <f t="shared" si="114"/>
        <v>#DIV/0!</v>
      </c>
    </row>
    <row r="2376" customHeight="1" spans="1:21">
      <c r="A2376" s="42" t="str">
        <f t="shared" si="113"/>
        <v/>
      </c>
      <c r="G2376" s="47" t="e">
        <f t="shared" si="112"/>
        <v>#DIV/0!</v>
      </c>
      <c r="U2376" s="49" t="e">
        <f t="shared" si="114"/>
        <v>#DIV/0!</v>
      </c>
    </row>
    <row r="2377" customHeight="1" spans="1:21">
      <c r="A2377" s="42" t="str">
        <f t="shared" si="113"/>
        <v/>
      </c>
      <c r="G2377" s="47" t="e">
        <f t="shared" si="112"/>
        <v>#DIV/0!</v>
      </c>
      <c r="U2377" s="49" t="e">
        <f t="shared" si="114"/>
        <v>#DIV/0!</v>
      </c>
    </row>
    <row r="2378" customHeight="1" spans="1:21">
      <c r="A2378" s="42" t="str">
        <f t="shared" si="113"/>
        <v/>
      </c>
      <c r="G2378" s="47" t="e">
        <f t="shared" si="112"/>
        <v>#DIV/0!</v>
      </c>
      <c r="U2378" s="49" t="e">
        <f t="shared" si="114"/>
        <v>#DIV/0!</v>
      </c>
    </row>
    <row r="2379" customHeight="1" spans="1:21">
      <c r="A2379" s="42" t="str">
        <f t="shared" si="113"/>
        <v/>
      </c>
      <c r="G2379" s="47" t="e">
        <f t="shared" si="112"/>
        <v>#DIV/0!</v>
      </c>
      <c r="U2379" s="49" t="e">
        <f t="shared" si="114"/>
        <v>#DIV/0!</v>
      </c>
    </row>
    <row r="2380" customHeight="1" spans="1:21">
      <c r="A2380" s="42" t="str">
        <f t="shared" si="113"/>
        <v/>
      </c>
      <c r="G2380" s="47" t="e">
        <f t="shared" si="112"/>
        <v>#DIV/0!</v>
      </c>
      <c r="U2380" s="49" t="e">
        <f t="shared" si="114"/>
        <v>#DIV/0!</v>
      </c>
    </row>
    <row r="2381" customHeight="1" spans="1:21">
      <c r="A2381" s="42" t="str">
        <f t="shared" si="113"/>
        <v/>
      </c>
      <c r="G2381" s="47" t="e">
        <f t="shared" si="112"/>
        <v>#DIV/0!</v>
      </c>
      <c r="U2381" s="49" t="e">
        <f t="shared" si="114"/>
        <v>#DIV/0!</v>
      </c>
    </row>
    <row r="2382" customHeight="1" spans="1:21">
      <c r="A2382" s="42" t="str">
        <f t="shared" si="113"/>
        <v/>
      </c>
      <c r="G2382" s="47" t="e">
        <f t="shared" si="112"/>
        <v>#DIV/0!</v>
      </c>
      <c r="U2382" s="49" t="e">
        <f t="shared" si="114"/>
        <v>#DIV/0!</v>
      </c>
    </row>
    <row r="2383" customHeight="1" spans="1:21">
      <c r="A2383" s="42" t="str">
        <f t="shared" si="113"/>
        <v/>
      </c>
      <c r="G2383" s="47" t="e">
        <f t="shared" si="112"/>
        <v>#DIV/0!</v>
      </c>
      <c r="U2383" s="49" t="e">
        <f t="shared" si="114"/>
        <v>#DIV/0!</v>
      </c>
    </row>
    <row r="2384" customHeight="1" spans="1:21">
      <c r="A2384" s="42" t="str">
        <f t="shared" si="113"/>
        <v/>
      </c>
      <c r="G2384" s="47" t="e">
        <f t="shared" si="112"/>
        <v>#DIV/0!</v>
      </c>
      <c r="U2384" s="49" t="e">
        <f t="shared" si="114"/>
        <v>#DIV/0!</v>
      </c>
    </row>
    <row r="2385" customHeight="1" spans="1:21">
      <c r="A2385" s="42" t="str">
        <f t="shared" si="113"/>
        <v/>
      </c>
      <c r="G2385" s="47" t="e">
        <f t="shared" si="112"/>
        <v>#DIV/0!</v>
      </c>
      <c r="U2385" s="49" t="e">
        <f t="shared" si="114"/>
        <v>#DIV/0!</v>
      </c>
    </row>
    <row r="2386" customHeight="1" spans="1:21">
      <c r="A2386" s="42" t="str">
        <f t="shared" si="113"/>
        <v/>
      </c>
      <c r="G2386" s="47" t="e">
        <f t="shared" si="112"/>
        <v>#DIV/0!</v>
      </c>
      <c r="U2386" s="49" t="e">
        <f t="shared" si="114"/>
        <v>#DIV/0!</v>
      </c>
    </row>
    <row r="2387" customHeight="1" spans="1:21">
      <c r="A2387" s="42" t="str">
        <f t="shared" si="113"/>
        <v/>
      </c>
      <c r="G2387" s="47" t="e">
        <f t="shared" si="112"/>
        <v>#DIV/0!</v>
      </c>
      <c r="U2387" s="49" t="e">
        <f t="shared" si="114"/>
        <v>#DIV/0!</v>
      </c>
    </row>
    <row r="2388" customHeight="1" spans="1:21">
      <c r="A2388" s="42" t="str">
        <f t="shared" si="113"/>
        <v/>
      </c>
      <c r="G2388" s="47" t="e">
        <f t="shared" si="112"/>
        <v>#DIV/0!</v>
      </c>
      <c r="U2388" s="49" t="e">
        <f t="shared" si="114"/>
        <v>#DIV/0!</v>
      </c>
    </row>
    <row r="2389" customHeight="1" spans="1:21">
      <c r="A2389" s="42" t="str">
        <f t="shared" si="113"/>
        <v/>
      </c>
      <c r="G2389" s="47" t="e">
        <f t="shared" si="112"/>
        <v>#DIV/0!</v>
      </c>
      <c r="U2389" s="49" t="e">
        <f t="shared" si="114"/>
        <v>#DIV/0!</v>
      </c>
    </row>
    <row r="2390" customHeight="1" spans="1:21">
      <c r="A2390" s="42" t="str">
        <f t="shared" si="113"/>
        <v/>
      </c>
      <c r="G2390" s="47" t="e">
        <f t="shared" si="112"/>
        <v>#DIV/0!</v>
      </c>
      <c r="U2390" s="49" t="e">
        <f t="shared" si="114"/>
        <v>#DIV/0!</v>
      </c>
    </row>
    <row r="2391" customHeight="1" spans="1:21">
      <c r="A2391" s="42" t="str">
        <f t="shared" si="113"/>
        <v/>
      </c>
      <c r="G2391" s="47" t="e">
        <f t="shared" si="112"/>
        <v>#DIV/0!</v>
      </c>
      <c r="U2391" s="49" t="e">
        <f t="shared" si="114"/>
        <v>#DIV/0!</v>
      </c>
    </row>
    <row r="2392" customHeight="1" spans="1:21">
      <c r="A2392" s="42" t="str">
        <f t="shared" si="113"/>
        <v/>
      </c>
      <c r="G2392" s="47" t="e">
        <f t="shared" si="112"/>
        <v>#DIV/0!</v>
      </c>
      <c r="U2392" s="49" t="e">
        <f t="shared" si="114"/>
        <v>#DIV/0!</v>
      </c>
    </row>
    <row r="2393" customHeight="1" spans="1:21">
      <c r="A2393" s="42" t="str">
        <f t="shared" si="113"/>
        <v/>
      </c>
      <c r="G2393" s="47" t="e">
        <f t="shared" si="112"/>
        <v>#DIV/0!</v>
      </c>
      <c r="U2393" s="49" t="e">
        <f t="shared" si="114"/>
        <v>#DIV/0!</v>
      </c>
    </row>
    <row r="2394" customHeight="1" spans="1:21">
      <c r="A2394" s="42" t="str">
        <f t="shared" si="113"/>
        <v/>
      </c>
      <c r="G2394" s="47" t="e">
        <f t="shared" si="112"/>
        <v>#DIV/0!</v>
      </c>
      <c r="U2394" s="49" t="e">
        <f t="shared" si="114"/>
        <v>#DIV/0!</v>
      </c>
    </row>
    <row r="2395" customHeight="1" spans="1:21">
      <c r="A2395" s="42" t="str">
        <f t="shared" si="113"/>
        <v/>
      </c>
      <c r="G2395" s="47" t="e">
        <f t="shared" si="112"/>
        <v>#DIV/0!</v>
      </c>
      <c r="U2395" s="49" t="e">
        <f t="shared" si="114"/>
        <v>#DIV/0!</v>
      </c>
    </row>
    <row r="2396" customHeight="1" spans="1:21">
      <c r="A2396" s="42" t="str">
        <f t="shared" si="113"/>
        <v/>
      </c>
      <c r="G2396" s="47" t="e">
        <f t="shared" si="112"/>
        <v>#DIV/0!</v>
      </c>
      <c r="U2396" s="49" t="e">
        <f t="shared" si="114"/>
        <v>#DIV/0!</v>
      </c>
    </row>
    <row r="2397" customHeight="1" spans="1:21">
      <c r="A2397" s="42" t="str">
        <f t="shared" si="113"/>
        <v/>
      </c>
      <c r="G2397" s="47" t="e">
        <f t="shared" si="112"/>
        <v>#DIV/0!</v>
      </c>
      <c r="U2397" s="49" t="e">
        <f t="shared" si="114"/>
        <v>#DIV/0!</v>
      </c>
    </row>
    <row r="2398" customHeight="1" spans="1:21">
      <c r="A2398" s="42" t="str">
        <f t="shared" si="113"/>
        <v/>
      </c>
      <c r="G2398" s="47" t="e">
        <f t="shared" si="112"/>
        <v>#DIV/0!</v>
      </c>
      <c r="U2398" s="49" t="e">
        <f t="shared" si="114"/>
        <v>#DIV/0!</v>
      </c>
    </row>
    <row r="2399" customHeight="1" spans="1:21">
      <c r="A2399" s="42" t="str">
        <f t="shared" si="113"/>
        <v/>
      </c>
      <c r="G2399" s="47" t="e">
        <f t="shared" si="112"/>
        <v>#DIV/0!</v>
      </c>
      <c r="U2399" s="49" t="e">
        <f t="shared" si="114"/>
        <v>#DIV/0!</v>
      </c>
    </row>
    <row r="2400" customHeight="1" spans="1:21">
      <c r="A2400" s="42" t="str">
        <f t="shared" si="113"/>
        <v/>
      </c>
      <c r="G2400" s="47" t="e">
        <f t="shared" si="112"/>
        <v>#DIV/0!</v>
      </c>
      <c r="U2400" s="49" t="e">
        <f t="shared" si="114"/>
        <v>#DIV/0!</v>
      </c>
    </row>
    <row r="2401" customHeight="1" spans="1:21">
      <c r="A2401" s="42" t="str">
        <f t="shared" si="113"/>
        <v/>
      </c>
      <c r="G2401" s="47" t="e">
        <f t="shared" si="112"/>
        <v>#DIV/0!</v>
      </c>
      <c r="U2401" s="49" t="e">
        <f t="shared" si="114"/>
        <v>#DIV/0!</v>
      </c>
    </row>
    <row r="2402" customHeight="1" spans="1:21">
      <c r="A2402" s="42" t="str">
        <f t="shared" si="113"/>
        <v/>
      </c>
      <c r="G2402" s="47" t="e">
        <f t="shared" si="112"/>
        <v>#DIV/0!</v>
      </c>
      <c r="U2402" s="49" t="e">
        <f t="shared" si="114"/>
        <v>#DIV/0!</v>
      </c>
    </row>
    <row r="2403" customHeight="1" spans="1:21">
      <c r="A2403" s="42" t="str">
        <f t="shared" si="113"/>
        <v/>
      </c>
      <c r="G2403" s="47" t="e">
        <f t="shared" si="112"/>
        <v>#DIV/0!</v>
      </c>
      <c r="U2403" s="49" t="e">
        <f t="shared" si="114"/>
        <v>#DIV/0!</v>
      </c>
    </row>
    <row r="2404" customHeight="1" spans="1:21">
      <c r="A2404" s="42" t="str">
        <f t="shared" si="113"/>
        <v/>
      </c>
      <c r="G2404" s="47" t="e">
        <f t="shared" si="112"/>
        <v>#DIV/0!</v>
      </c>
      <c r="U2404" s="49" t="e">
        <f t="shared" si="114"/>
        <v>#DIV/0!</v>
      </c>
    </row>
    <row r="2405" customHeight="1" spans="1:21">
      <c r="A2405" s="42" t="str">
        <f t="shared" si="113"/>
        <v/>
      </c>
      <c r="G2405" s="47" t="e">
        <f t="shared" si="112"/>
        <v>#DIV/0!</v>
      </c>
      <c r="U2405" s="49" t="e">
        <f t="shared" si="114"/>
        <v>#DIV/0!</v>
      </c>
    </row>
    <row r="2406" customHeight="1" spans="1:21">
      <c r="A2406" s="42" t="str">
        <f t="shared" si="113"/>
        <v/>
      </c>
      <c r="G2406" s="47" t="e">
        <f t="shared" si="112"/>
        <v>#DIV/0!</v>
      </c>
      <c r="U2406" s="49" t="e">
        <f t="shared" si="114"/>
        <v>#DIV/0!</v>
      </c>
    </row>
    <row r="2407" customHeight="1" spans="1:21">
      <c r="A2407" s="42" t="str">
        <f t="shared" si="113"/>
        <v/>
      </c>
      <c r="G2407" s="47" t="e">
        <f t="shared" si="112"/>
        <v>#DIV/0!</v>
      </c>
      <c r="U2407" s="49" t="e">
        <f t="shared" si="114"/>
        <v>#DIV/0!</v>
      </c>
    </row>
    <row r="2408" customHeight="1" spans="1:21">
      <c r="A2408" s="42" t="str">
        <f t="shared" si="113"/>
        <v/>
      </c>
      <c r="G2408" s="47" t="e">
        <f t="shared" si="112"/>
        <v>#DIV/0!</v>
      </c>
      <c r="U2408" s="49" t="e">
        <f t="shared" si="114"/>
        <v>#DIV/0!</v>
      </c>
    </row>
    <row r="2409" customHeight="1" spans="1:21">
      <c r="A2409" s="42" t="str">
        <f t="shared" si="113"/>
        <v/>
      </c>
      <c r="G2409" s="47" t="e">
        <f t="shared" si="112"/>
        <v>#DIV/0!</v>
      </c>
      <c r="U2409" s="49" t="e">
        <f t="shared" si="114"/>
        <v>#DIV/0!</v>
      </c>
    </row>
    <row r="2410" customHeight="1" spans="1:21">
      <c r="A2410" s="42" t="str">
        <f t="shared" si="113"/>
        <v/>
      </c>
      <c r="G2410" s="47" t="e">
        <f t="shared" si="112"/>
        <v>#DIV/0!</v>
      </c>
      <c r="U2410" s="49" t="e">
        <f t="shared" si="114"/>
        <v>#DIV/0!</v>
      </c>
    </row>
    <row r="2411" customHeight="1" spans="1:21">
      <c r="A2411" s="42" t="str">
        <f t="shared" si="113"/>
        <v/>
      </c>
      <c r="G2411" s="47" t="e">
        <f t="shared" si="112"/>
        <v>#DIV/0!</v>
      </c>
      <c r="U2411" s="49" t="e">
        <f t="shared" si="114"/>
        <v>#DIV/0!</v>
      </c>
    </row>
    <row r="2412" customHeight="1" spans="1:21">
      <c r="A2412" s="42" t="str">
        <f t="shared" si="113"/>
        <v/>
      </c>
      <c r="G2412" s="47" t="e">
        <f t="shared" si="112"/>
        <v>#DIV/0!</v>
      </c>
      <c r="U2412" s="49" t="e">
        <f t="shared" si="114"/>
        <v>#DIV/0!</v>
      </c>
    </row>
    <row r="2413" customHeight="1" spans="1:21">
      <c r="A2413" s="42" t="str">
        <f t="shared" si="113"/>
        <v/>
      </c>
      <c r="G2413" s="47" t="e">
        <f t="shared" si="112"/>
        <v>#DIV/0!</v>
      </c>
      <c r="U2413" s="49" t="e">
        <f t="shared" si="114"/>
        <v>#DIV/0!</v>
      </c>
    </row>
    <row r="2414" customHeight="1" spans="1:21">
      <c r="A2414" s="42" t="str">
        <f t="shared" si="113"/>
        <v/>
      </c>
      <c r="G2414" s="47" t="e">
        <f t="shared" si="112"/>
        <v>#DIV/0!</v>
      </c>
      <c r="U2414" s="49" t="e">
        <f t="shared" si="114"/>
        <v>#DIV/0!</v>
      </c>
    </row>
    <row r="2415" customHeight="1" spans="1:21">
      <c r="A2415" s="42" t="str">
        <f t="shared" si="113"/>
        <v/>
      </c>
      <c r="G2415" s="47" t="e">
        <f t="shared" si="112"/>
        <v>#DIV/0!</v>
      </c>
      <c r="U2415" s="49" t="e">
        <f t="shared" si="114"/>
        <v>#DIV/0!</v>
      </c>
    </row>
    <row r="2416" customHeight="1" spans="1:21">
      <c r="A2416" s="42" t="str">
        <f t="shared" si="113"/>
        <v/>
      </c>
      <c r="G2416" s="47" t="e">
        <f t="shared" si="112"/>
        <v>#DIV/0!</v>
      </c>
      <c r="U2416" s="49" t="e">
        <f t="shared" si="114"/>
        <v>#DIV/0!</v>
      </c>
    </row>
    <row r="2417" customHeight="1" spans="1:21">
      <c r="A2417" s="42" t="str">
        <f t="shared" si="113"/>
        <v/>
      </c>
      <c r="G2417" s="47" t="e">
        <f t="shared" si="112"/>
        <v>#DIV/0!</v>
      </c>
      <c r="U2417" s="49" t="e">
        <f t="shared" si="114"/>
        <v>#DIV/0!</v>
      </c>
    </row>
    <row r="2418" customHeight="1" spans="1:21">
      <c r="A2418" s="42" t="str">
        <f t="shared" si="113"/>
        <v/>
      </c>
      <c r="G2418" s="47" t="e">
        <f t="shared" si="112"/>
        <v>#DIV/0!</v>
      </c>
      <c r="U2418" s="49" t="e">
        <f t="shared" si="114"/>
        <v>#DIV/0!</v>
      </c>
    </row>
    <row r="2419" customHeight="1" spans="1:21">
      <c r="A2419" s="42" t="str">
        <f t="shared" si="113"/>
        <v/>
      </c>
      <c r="G2419" s="47" t="e">
        <f t="shared" si="112"/>
        <v>#DIV/0!</v>
      </c>
      <c r="U2419" s="49" t="e">
        <f t="shared" si="114"/>
        <v>#DIV/0!</v>
      </c>
    </row>
    <row r="2420" customHeight="1" spans="1:21">
      <c r="A2420" s="42" t="str">
        <f t="shared" si="113"/>
        <v/>
      </c>
      <c r="G2420" s="47" t="e">
        <f t="shared" si="112"/>
        <v>#DIV/0!</v>
      </c>
      <c r="U2420" s="49" t="e">
        <f t="shared" si="114"/>
        <v>#DIV/0!</v>
      </c>
    </row>
    <row r="2421" customHeight="1" spans="1:21">
      <c r="A2421" s="42" t="str">
        <f t="shared" si="113"/>
        <v/>
      </c>
      <c r="G2421" s="47" t="e">
        <f t="shared" si="112"/>
        <v>#DIV/0!</v>
      </c>
      <c r="U2421" s="49" t="e">
        <f t="shared" si="114"/>
        <v>#DIV/0!</v>
      </c>
    </row>
    <row r="2422" customHeight="1" spans="1:21">
      <c r="A2422" s="42" t="str">
        <f t="shared" si="113"/>
        <v/>
      </c>
      <c r="G2422" s="47" t="e">
        <f t="shared" si="112"/>
        <v>#DIV/0!</v>
      </c>
      <c r="U2422" s="49" t="e">
        <f t="shared" si="114"/>
        <v>#DIV/0!</v>
      </c>
    </row>
    <row r="2423" customHeight="1" spans="1:21">
      <c r="A2423" s="42" t="str">
        <f t="shared" si="113"/>
        <v/>
      </c>
      <c r="G2423" s="47" t="e">
        <f t="shared" si="112"/>
        <v>#DIV/0!</v>
      </c>
      <c r="U2423" s="49" t="e">
        <f t="shared" si="114"/>
        <v>#DIV/0!</v>
      </c>
    </row>
    <row r="2424" customHeight="1" spans="1:21">
      <c r="A2424" s="42" t="str">
        <f t="shared" si="113"/>
        <v/>
      </c>
      <c r="G2424" s="47" t="e">
        <f t="shared" si="112"/>
        <v>#DIV/0!</v>
      </c>
      <c r="U2424" s="49" t="e">
        <f t="shared" si="114"/>
        <v>#DIV/0!</v>
      </c>
    </row>
    <row r="2425" customHeight="1" spans="1:21">
      <c r="A2425" s="42" t="str">
        <f t="shared" si="113"/>
        <v/>
      </c>
      <c r="G2425" s="47" t="e">
        <f t="shared" si="112"/>
        <v>#DIV/0!</v>
      </c>
      <c r="U2425" s="49" t="e">
        <f t="shared" si="114"/>
        <v>#DIV/0!</v>
      </c>
    </row>
    <row r="2426" customHeight="1" spans="1:21">
      <c r="A2426" s="42" t="str">
        <f t="shared" si="113"/>
        <v/>
      </c>
      <c r="G2426" s="47" t="e">
        <f t="shared" si="112"/>
        <v>#DIV/0!</v>
      </c>
      <c r="U2426" s="49" t="e">
        <f t="shared" si="114"/>
        <v>#DIV/0!</v>
      </c>
    </row>
    <row r="2427" customHeight="1" spans="1:21">
      <c r="A2427" s="42" t="str">
        <f t="shared" si="113"/>
        <v/>
      </c>
      <c r="G2427" s="47" t="e">
        <f t="shared" si="112"/>
        <v>#DIV/0!</v>
      </c>
      <c r="U2427" s="49" t="e">
        <f t="shared" si="114"/>
        <v>#DIV/0!</v>
      </c>
    </row>
    <row r="2428" customHeight="1" spans="1:21">
      <c r="A2428" s="42" t="str">
        <f t="shared" si="113"/>
        <v/>
      </c>
      <c r="G2428" s="47" t="e">
        <f t="shared" si="112"/>
        <v>#DIV/0!</v>
      </c>
      <c r="U2428" s="49" t="e">
        <f t="shared" si="114"/>
        <v>#DIV/0!</v>
      </c>
    </row>
    <row r="2429" customHeight="1" spans="1:21">
      <c r="A2429" s="42" t="str">
        <f t="shared" si="113"/>
        <v/>
      </c>
      <c r="G2429" s="47" t="e">
        <f t="shared" si="112"/>
        <v>#DIV/0!</v>
      </c>
      <c r="U2429" s="49" t="e">
        <f t="shared" si="114"/>
        <v>#DIV/0!</v>
      </c>
    </row>
    <row r="2430" customHeight="1" spans="1:21">
      <c r="A2430" s="42" t="str">
        <f t="shared" si="113"/>
        <v/>
      </c>
      <c r="G2430" s="47" t="e">
        <f t="shared" si="112"/>
        <v>#DIV/0!</v>
      </c>
      <c r="U2430" s="49" t="e">
        <f t="shared" si="114"/>
        <v>#DIV/0!</v>
      </c>
    </row>
    <row r="2431" customHeight="1" spans="1:21">
      <c r="A2431" s="42" t="str">
        <f t="shared" si="113"/>
        <v/>
      </c>
      <c r="G2431" s="47" t="e">
        <f t="shared" si="112"/>
        <v>#DIV/0!</v>
      </c>
      <c r="U2431" s="49" t="e">
        <f t="shared" si="114"/>
        <v>#DIV/0!</v>
      </c>
    </row>
    <row r="2432" customHeight="1" spans="1:21">
      <c r="A2432" s="42" t="str">
        <f t="shared" si="113"/>
        <v/>
      </c>
      <c r="G2432" s="47" t="e">
        <f t="shared" si="112"/>
        <v>#DIV/0!</v>
      </c>
      <c r="U2432" s="49" t="e">
        <f t="shared" si="114"/>
        <v>#DIV/0!</v>
      </c>
    </row>
    <row r="2433" customHeight="1" spans="1:21">
      <c r="A2433" s="42" t="str">
        <f t="shared" si="113"/>
        <v/>
      </c>
      <c r="G2433" s="47" t="e">
        <f t="shared" si="112"/>
        <v>#DIV/0!</v>
      </c>
      <c r="U2433" s="49" t="e">
        <f t="shared" si="114"/>
        <v>#DIV/0!</v>
      </c>
    </row>
    <row r="2434" customHeight="1" spans="1:21">
      <c r="A2434" s="42" t="str">
        <f t="shared" si="113"/>
        <v/>
      </c>
      <c r="G2434" s="47" t="e">
        <f t="shared" si="112"/>
        <v>#DIV/0!</v>
      </c>
      <c r="U2434" s="49" t="e">
        <f t="shared" si="114"/>
        <v>#DIV/0!</v>
      </c>
    </row>
    <row r="2435" customHeight="1" spans="1:21">
      <c r="A2435" s="42" t="str">
        <f t="shared" si="113"/>
        <v/>
      </c>
      <c r="G2435" s="47" t="e">
        <f t="shared" ref="G2435:G2498" si="115">+E2435/F2435</f>
        <v>#DIV/0!</v>
      </c>
      <c r="U2435" s="49" t="e">
        <f t="shared" si="114"/>
        <v>#DIV/0!</v>
      </c>
    </row>
    <row r="2436" customHeight="1" spans="1:21">
      <c r="A2436" s="42" t="str">
        <f t="shared" ref="A2436:A2499" si="116">B2436&amp;C2436&amp;D2436</f>
        <v/>
      </c>
      <c r="G2436" s="47" t="e">
        <f t="shared" si="115"/>
        <v>#DIV/0!</v>
      </c>
      <c r="U2436" s="49" t="e">
        <f t="shared" ref="U2436:U2499" si="117">SUM(G2436:T2436)</f>
        <v>#DIV/0!</v>
      </c>
    </row>
    <row r="2437" customHeight="1" spans="1:21">
      <c r="A2437" s="42" t="str">
        <f t="shared" si="116"/>
        <v/>
      </c>
      <c r="G2437" s="47" t="e">
        <f t="shared" si="115"/>
        <v>#DIV/0!</v>
      </c>
      <c r="U2437" s="49" t="e">
        <f t="shared" si="117"/>
        <v>#DIV/0!</v>
      </c>
    </row>
    <row r="2438" customHeight="1" spans="1:21">
      <c r="A2438" s="42" t="str">
        <f t="shared" si="116"/>
        <v/>
      </c>
      <c r="G2438" s="47" t="e">
        <f t="shared" si="115"/>
        <v>#DIV/0!</v>
      </c>
      <c r="U2438" s="49" t="e">
        <f t="shared" si="117"/>
        <v>#DIV/0!</v>
      </c>
    </row>
    <row r="2439" customHeight="1" spans="1:21">
      <c r="A2439" s="42" t="str">
        <f t="shared" si="116"/>
        <v/>
      </c>
      <c r="G2439" s="47" t="e">
        <f t="shared" si="115"/>
        <v>#DIV/0!</v>
      </c>
      <c r="U2439" s="49" t="e">
        <f t="shared" si="117"/>
        <v>#DIV/0!</v>
      </c>
    </row>
    <row r="2440" customHeight="1" spans="1:21">
      <c r="A2440" s="42" t="str">
        <f t="shared" si="116"/>
        <v/>
      </c>
      <c r="G2440" s="47" t="e">
        <f t="shared" si="115"/>
        <v>#DIV/0!</v>
      </c>
      <c r="U2440" s="49" t="e">
        <f t="shared" si="117"/>
        <v>#DIV/0!</v>
      </c>
    </row>
    <row r="2441" customHeight="1" spans="1:21">
      <c r="A2441" s="42" t="str">
        <f t="shared" si="116"/>
        <v/>
      </c>
      <c r="G2441" s="47" t="e">
        <f t="shared" si="115"/>
        <v>#DIV/0!</v>
      </c>
      <c r="U2441" s="49" t="e">
        <f t="shared" si="117"/>
        <v>#DIV/0!</v>
      </c>
    </row>
    <row r="2442" customHeight="1" spans="1:21">
      <c r="A2442" s="42" t="str">
        <f t="shared" si="116"/>
        <v/>
      </c>
      <c r="G2442" s="47" t="e">
        <f t="shared" si="115"/>
        <v>#DIV/0!</v>
      </c>
      <c r="U2442" s="49" t="e">
        <f t="shared" si="117"/>
        <v>#DIV/0!</v>
      </c>
    </row>
    <row r="2443" customHeight="1" spans="1:21">
      <c r="A2443" s="42" t="str">
        <f t="shared" si="116"/>
        <v/>
      </c>
      <c r="G2443" s="47" t="e">
        <f t="shared" si="115"/>
        <v>#DIV/0!</v>
      </c>
      <c r="U2443" s="49" t="e">
        <f t="shared" si="117"/>
        <v>#DIV/0!</v>
      </c>
    </row>
    <row r="2444" customHeight="1" spans="1:21">
      <c r="A2444" s="42" t="str">
        <f t="shared" si="116"/>
        <v/>
      </c>
      <c r="G2444" s="47" t="e">
        <f t="shared" si="115"/>
        <v>#DIV/0!</v>
      </c>
      <c r="U2444" s="49" t="e">
        <f t="shared" si="117"/>
        <v>#DIV/0!</v>
      </c>
    </row>
    <row r="2445" customHeight="1" spans="1:21">
      <c r="A2445" s="42" t="str">
        <f t="shared" si="116"/>
        <v/>
      </c>
      <c r="G2445" s="47" t="e">
        <f t="shared" si="115"/>
        <v>#DIV/0!</v>
      </c>
      <c r="U2445" s="49" t="e">
        <f t="shared" si="117"/>
        <v>#DIV/0!</v>
      </c>
    </row>
    <row r="2446" customHeight="1" spans="1:21">
      <c r="A2446" s="42" t="str">
        <f t="shared" si="116"/>
        <v/>
      </c>
      <c r="G2446" s="47" t="e">
        <f t="shared" si="115"/>
        <v>#DIV/0!</v>
      </c>
      <c r="U2446" s="49" t="e">
        <f t="shared" si="117"/>
        <v>#DIV/0!</v>
      </c>
    </row>
    <row r="2447" customHeight="1" spans="1:21">
      <c r="A2447" s="42" t="str">
        <f t="shared" si="116"/>
        <v/>
      </c>
      <c r="G2447" s="47" t="e">
        <f t="shared" si="115"/>
        <v>#DIV/0!</v>
      </c>
      <c r="U2447" s="49" t="e">
        <f t="shared" si="117"/>
        <v>#DIV/0!</v>
      </c>
    </row>
    <row r="2448" customHeight="1" spans="1:21">
      <c r="A2448" s="42" t="str">
        <f t="shared" si="116"/>
        <v/>
      </c>
      <c r="G2448" s="47" t="e">
        <f t="shared" si="115"/>
        <v>#DIV/0!</v>
      </c>
      <c r="U2448" s="49" t="e">
        <f t="shared" si="117"/>
        <v>#DIV/0!</v>
      </c>
    </row>
    <row r="2449" customHeight="1" spans="1:21">
      <c r="A2449" s="42" t="str">
        <f t="shared" si="116"/>
        <v/>
      </c>
      <c r="G2449" s="47" t="e">
        <f t="shared" si="115"/>
        <v>#DIV/0!</v>
      </c>
      <c r="U2449" s="49" t="e">
        <f t="shared" si="117"/>
        <v>#DIV/0!</v>
      </c>
    </row>
    <row r="2450" customHeight="1" spans="1:21">
      <c r="A2450" s="42" t="str">
        <f t="shared" si="116"/>
        <v/>
      </c>
      <c r="G2450" s="47" t="e">
        <f t="shared" si="115"/>
        <v>#DIV/0!</v>
      </c>
      <c r="U2450" s="49" t="e">
        <f t="shared" si="117"/>
        <v>#DIV/0!</v>
      </c>
    </row>
    <row r="2451" customHeight="1" spans="1:21">
      <c r="A2451" s="42" t="str">
        <f t="shared" si="116"/>
        <v/>
      </c>
      <c r="G2451" s="47" t="e">
        <f t="shared" si="115"/>
        <v>#DIV/0!</v>
      </c>
      <c r="U2451" s="49" t="e">
        <f t="shared" si="117"/>
        <v>#DIV/0!</v>
      </c>
    </row>
    <row r="2452" customHeight="1" spans="1:21">
      <c r="A2452" s="42" t="str">
        <f t="shared" si="116"/>
        <v/>
      </c>
      <c r="G2452" s="47" t="e">
        <f t="shared" si="115"/>
        <v>#DIV/0!</v>
      </c>
      <c r="U2452" s="49" t="e">
        <f t="shared" si="117"/>
        <v>#DIV/0!</v>
      </c>
    </row>
    <row r="2453" customHeight="1" spans="1:21">
      <c r="A2453" s="42" t="str">
        <f t="shared" si="116"/>
        <v/>
      </c>
      <c r="G2453" s="47" t="e">
        <f t="shared" si="115"/>
        <v>#DIV/0!</v>
      </c>
      <c r="U2453" s="49" t="e">
        <f t="shared" si="117"/>
        <v>#DIV/0!</v>
      </c>
    </row>
    <row r="2454" customHeight="1" spans="1:21">
      <c r="A2454" s="42" t="str">
        <f t="shared" si="116"/>
        <v/>
      </c>
      <c r="G2454" s="47" t="e">
        <f t="shared" si="115"/>
        <v>#DIV/0!</v>
      </c>
      <c r="U2454" s="49" t="e">
        <f t="shared" si="117"/>
        <v>#DIV/0!</v>
      </c>
    </row>
    <row r="2455" customHeight="1" spans="1:21">
      <c r="A2455" s="42" t="str">
        <f t="shared" si="116"/>
        <v/>
      </c>
      <c r="G2455" s="47" t="e">
        <f t="shared" si="115"/>
        <v>#DIV/0!</v>
      </c>
      <c r="U2455" s="49" t="e">
        <f t="shared" si="117"/>
        <v>#DIV/0!</v>
      </c>
    </row>
    <row r="2456" customHeight="1" spans="1:21">
      <c r="A2456" s="42" t="str">
        <f t="shared" si="116"/>
        <v/>
      </c>
      <c r="G2456" s="47" t="e">
        <f t="shared" si="115"/>
        <v>#DIV/0!</v>
      </c>
      <c r="U2456" s="49" t="e">
        <f t="shared" si="117"/>
        <v>#DIV/0!</v>
      </c>
    </row>
    <row r="2457" customHeight="1" spans="1:21">
      <c r="A2457" s="42" t="str">
        <f t="shared" si="116"/>
        <v/>
      </c>
      <c r="G2457" s="47" t="e">
        <f t="shared" si="115"/>
        <v>#DIV/0!</v>
      </c>
      <c r="U2457" s="49" t="e">
        <f t="shared" si="117"/>
        <v>#DIV/0!</v>
      </c>
    </row>
    <row r="2458" customHeight="1" spans="1:21">
      <c r="A2458" s="42" t="str">
        <f t="shared" si="116"/>
        <v/>
      </c>
      <c r="G2458" s="47" t="e">
        <f t="shared" si="115"/>
        <v>#DIV/0!</v>
      </c>
      <c r="U2458" s="49" t="e">
        <f t="shared" si="117"/>
        <v>#DIV/0!</v>
      </c>
    </row>
    <row r="2459" customHeight="1" spans="1:21">
      <c r="A2459" s="42" t="str">
        <f t="shared" si="116"/>
        <v/>
      </c>
      <c r="G2459" s="47" t="e">
        <f t="shared" si="115"/>
        <v>#DIV/0!</v>
      </c>
      <c r="U2459" s="49" t="e">
        <f t="shared" si="117"/>
        <v>#DIV/0!</v>
      </c>
    </row>
    <row r="2460" customHeight="1" spans="1:21">
      <c r="A2460" s="42" t="str">
        <f t="shared" si="116"/>
        <v/>
      </c>
      <c r="G2460" s="47" t="e">
        <f t="shared" si="115"/>
        <v>#DIV/0!</v>
      </c>
      <c r="U2460" s="49" t="e">
        <f t="shared" si="117"/>
        <v>#DIV/0!</v>
      </c>
    </row>
    <row r="2461" customHeight="1" spans="1:21">
      <c r="A2461" s="42" t="str">
        <f t="shared" si="116"/>
        <v/>
      </c>
      <c r="G2461" s="47" t="e">
        <f t="shared" si="115"/>
        <v>#DIV/0!</v>
      </c>
      <c r="U2461" s="49" t="e">
        <f t="shared" si="117"/>
        <v>#DIV/0!</v>
      </c>
    </row>
    <row r="2462" customHeight="1" spans="1:21">
      <c r="A2462" s="42" t="str">
        <f t="shared" si="116"/>
        <v/>
      </c>
      <c r="G2462" s="47" t="e">
        <f t="shared" si="115"/>
        <v>#DIV/0!</v>
      </c>
      <c r="U2462" s="49" t="e">
        <f t="shared" si="117"/>
        <v>#DIV/0!</v>
      </c>
    </row>
    <row r="2463" customHeight="1" spans="1:21">
      <c r="A2463" s="42" t="str">
        <f t="shared" si="116"/>
        <v/>
      </c>
      <c r="G2463" s="47" t="e">
        <f t="shared" si="115"/>
        <v>#DIV/0!</v>
      </c>
      <c r="U2463" s="49" t="e">
        <f t="shared" si="117"/>
        <v>#DIV/0!</v>
      </c>
    </row>
    <row r="2464" customHeight="1" spans="1:21">
      <c r="A2464" s="42" t="str">
        <f t="shared" si="116"/>
        <v/>
      </c>
      <c r="G2464" s="47" t="e">
        <f t="shared" si="115"/>
        <v>#DIV/0!</v>
      </c>
      <c r="U2464" s="49" t="e">
        <f t="shared" si="117"/>
        <v>#DIV/0!</v>
      </c>
    </row>
    <row r="2465" customHeight="1" spans="1:21">
      <c r="A2465" s="42" t="str">
        <f t="shared" si="116"/>
        <v/>
      </c>
      <c r="G2465" s="47" t="e">
        <f t="shared" si="115"/>
        <v>#DIV/0!</v>
      </c>
      <c r="U2465" s="49" t="e">
        <f t="shared" si="117"/>
        <v>#DIV/0!</v>
      </c>
    </row>
    <row r="2466" customHeight="1" spans="1:21">
      <c r="A2466" s="42" t="str">
        <f t="shared" si="116"/>
        <v/>
      </c>
      <c r="G2466" s="47" t="e">
        <f t="shared" si="115"/>
        <v>#DIV/0!</v>
      </c>
      <c r="U2466" s="49" t="e">
        <f t="shared" si="117"/>
        <v>#DIV/0!</v>
      </c>
    </row>
    <row r="2467" customHeight="1" spans="1:21">
      <c r="A2467" s="42" t="str">
        <f t="shared" si="116"/>
        <v/>
      </c>
      <c r="G2467" s="47" t="e">
        <f t="shared" si="115"/>
        <v>#DIV/0!</v>
      </c>
      <c r="U2467" s="49" t="e">
        <f t="shared" si="117"/>
        <v>#DIV/0!</v>
      </c>
    </row>
    <row r="2468" customHeight="1" spans="1:21">
      <c r="A2468" s="42" t="str">
        <f t="shared" si="116"/>
        <v/>
      </c>
      <c r="G2468" s="47" t="e">
        <f t="shared" si="115"/>
        <v>#DIV/0!</v>
      </c>
      <c r="U2468" s="49" t="e">
        <f t="shared" si="117"/>
        <v>#DIV/0!</v>
      </c>
    </row>
    <row r="2469" customHeight="1" spans="1:21">
      <c r="A2469" s="42" t="str">
        <f t="shared" si="116"/>
        <v/>
      </c>
      <c r="G2469" s="47" t="e">
        <f t="shared" si="115"/>
        <v>#DIV/0!</v>
      </c>
      <c r="U2469" s="49" t="e">
        <f t="shared" si="117"/>
        <v>#DIV/0!</v>
      </c>
    </row>
    <row r="2470" customHeight="1" spans="1:21">
      <c r="A2470" s="42" t="str">
        <f t="shared" si="116"/>
        <v/>
      </c>
      <c r="G2470" s="47" t="e">
        <f t="shared" si="115"/>
        <v>#DIV/0!</v>
      </c>
      <c r="U2470" s="49" t="e">
        <f t="shared" si="117"/>
        <v>#DIV/0!</v>
      </c>
    </row>
    <row r="2471" customHeight="1" spans="1:21">
      <c r="A2471" s="42" t="str">
        <f t="shared" si="116"/>
        <v/>
      </c>
      <c r="G2471" s="47" t="e">
        <f t="shared" si="115"/>
        <v>#DIV/0!</v>
      </c>
      <c r="U2471" s="49" t="e">
        <f t="shared" si="117"/>
        <v>#DIV/0!</v>
      </c>
    </row>
    <row r="2472" customHeight="1" spans="1:21">
      <c r="A2472" s="42" t="str">
        <f t="shared" si="116"/>
        <v/>
      </c>
      <c r="G2472" s="47" t="e">
        <f t="shared" si="115"/>
        <v>#DIV/0!</v>
      </c>
      <c r="U2472" s="49" t="e">
        <f t="shared" si="117"/>
        <v>#DIV/0!</v>
      </c>
    </row>
    <row r="2473" customHeight="1" spans="1:21">
      <c r="A2473" s="42" t="str">
        <f t="shared" si="116"/>
        <v/>
      </c>
      <c r="G2473" s="47" t="e">
        <f t="shared" si="115"/>
        <v>#DIV/0!</v>
      </c>
      <c r="U2473" s="49" t="e">
        <f t="shared" si="117"/>
        <v>#DIV/0!</v>
      </c>
    </row>
    <row r="2474" customHeight="1" spans="1:21">
      <c r="A2474" s="42" t="str">
        <f t="shared" si="116"/>
        <v/>
      </c>
      <c r="G2474" s="47" t="e">
        <f t="shared" si="115"/>
        <v>#DIV/0!</v>
      </c>
      <c r="U2474" s="49" t="e">
        <f t="shared" si="117"/>
        <v>#DIV/0!</v>
      </c>
    </row>
    <row r="2475" customHeight="1" spans="1:21">
      <c r="A2475" s="42" t="str">
        <f t="shared" si="116"/>
        <v/>
      </c>
      <c r="G2475" s="47" t="e">
        <f t="shared" si="115"/>
        <v>#DIV/0!</v>
      </c>
      <c r="U2475" s="49" t="e">
        <f t="shared" si="117"/>
        <v>#DIV/0!</v>
      </c>
    </row>
    <row r="2476" customHeight="1" spans="1:21">
      <c r="A2476" s="42" t="str">
        <f t="shared" si="116"/>
        <v/>
      </c>
      <c r="G2476" s="47" t="e">
        <f t="shared" si="115"/>
        <v>#DIV/0!</v>
      </c>
      <c r="U2476" s="49" t="e">
        <f t="shared" si="117"/>
        <v>#DIV/0!</v>
      </c>
    </row>
    <row r="2477" customHeight="1" spans="1:21">
      <c r="A2477" s="42" t="str">
        <f t="shared" si="116"/>
        <v/>
      </c>
      <c r="G2477" s="47" t="e">
        <f t="shared" si="115"/>
        <v>#DIV/0!</v>
      </c>
      <c r="U2477" s="49" t="e">
        <f t="shared" si="117"/>
        <v>#DIV/0!</v>
      </c>
    </row>
    <row r="2478" customHeight="1" spans="1:21">
      <c r="A2478" s="42" t="str">
        <f t="shared" si="116"/>
        <v/>
      </c>
      <c r="G2478" s="47" t="e">
        <f t="shared" si="115"/>
        <v>#DIV/0!</v>
      </c>
      <c r="U2478" s="49" t="e">
        <f t="shared" si="117"/>
        <v>#DIV/0!</v>
      </c>
    </row>
    <row r="2479" customHeight="1" spans="1:21">
      <c r="A2479" s="42" t="str">
        <f t="shared" si="116"/>
        <v/>
      </c>
      <c r="G2479" s="47" t="e">
        <f t="shared" si="115"/>
        <v>#DIV/0!</v>
      </c>
      <c r="U2479" s="49" t="e">
        <f t="shared" si="117"/>
        <v>#DIV/0!</v>
      </c>
    </row>
    <row r="2480" customHeight="1" spans="1:21">
      <c r="A2480" s="42" t="str">
        <f t="shared" si="116"/>
        <v/>
      </c>
      <c r="G2480" s="47" t="e">
        <f t="shared" si="115"/>
        <v>#DIV/0!</v>
      </c>
      <c r="U2480" s="49" t="e">
        <f t="shared" si="117"/>
        <v>#DIV/0!</v>
      </c>
    </row>
    <row r="2481" customHeight="1" spans="1:21">
      <c r="A2481" s="42" t="str">
        <f t="shared" si="116"/>
        <v/>
      </c>
      <c r="G2481" s="47" t="e">
        <f t="shared" si="115"/>
        <v>#DIV/0!</v>
      </c>
      <c r="U2481" s="49" t="e">
        <f t="shared" si="117"/>
        <v>#DIV/0!</v>
      </c>
    </row>
    <row r="2482" customHeight="1" spans="1:21">
      <c r="A2482" s="42" t="str">
        <f t="shared" si="116"/>
        <v/>
      </c>
      <c r="G2482" s="47" t="e">
        <f t="shared" si="115"/>
        <v>#DIV/0!</v>
      </c>
      <c r="U2482" s="49" t="e">
        <f t="shared" si="117"/>
        <v>#DIV/0!</v>
      </c>
    </row>
    <row r="2483" customHeight="1" spans="1:21">
      <c r="A2483" s="42" t="str">
        <f t="shared" si="116"/>
        <v/>
      </c>
      <c r="G2483" s="47" t="e">
        <f t="shared" si="115"/>
        <v>#DIV/0!</v>
      </c>
      <c r="U2483" s="49" t="e">
        <f t="shared" si="117"/>
        <v>#DIV/0!</v>
      </c>
    </row>
    <row r="2484" customHeight="1" spans="1:21">
      <c r="A2484" s="42" t="str">
        <f t="shared" si="116"/>
        <v/>
      </c>
      <c r="G2484" s="47" t="e">
        <f t="shared" si="115"/>
        <v>#DIV/0!</v>
      </c>
      <c r="U2484" s="49" t="e">
        <f t="shared" si="117"/>
        <v>#DIV/0!</v>
      </c>
    </row>
    <row r="2485" customHeight="1" spans="1:21">
      <c r="A2485" s="42" t="str">
        <f t="shared" si="116"/>
        <v/>
      </c>
      <c r="G2485" s="47" t="e">
        <f t="shared" si="115"/>
        <v>#DIV/0!</v>
      </c>
      <c r="U2485" s="49" t="e">
        <f t="shared" si="117"/>
        <v>#DIV/0!</v>
      </c>
    </row>
    <row r="2486" customHeight="1" spans="1:21">
      <c r="A2486" s="42" t="str">
        <f t="shared" si="116"/>
        <v/>
      </c>
      <c r="G2486" s="47" t="e">
        <f t="shared" si="115"/>
        <v>#DIV/0!</v>
      </c>
      <c r="U2486" s="49" t="e">
        <f t="shared" si="117"/>
        <v>#DIV/0!</v>
      </c>
    </row>
    <row r="2487" customHeight="1" spans="1:21">
      <c r="A2487" s="42" t="str">
        <f t="shared" si="116"/>
        <v/>
      </c>
      <c r="G2487" s="47" t="e">
        <f t="shared" si="115"/>
        <v>#DIV/0!</v>
      </c>
      <c r="U2487" s="49" t="e">
        <f t="shared" si="117"/>
        <v>#DIV/0!</v>
      </c>
    </row>
    <row r="2488" customHeight="1" spans="1:21">
      <c r="A2488" s="42" t="str">
        <f t="shared" si="116"/>
        <v/>
      </c>
      <c r="G2488" s="47" t="e">
        <f t="shared" si="115"/>
        <v>#DIV/0!</v>
      </c>
      <c r="U2488" s="49" t="e">
        <f t="shared" si="117"/>
        <v>#DIV/0!</v>
      </c>
    </row>
    <row r="2489" customHeight="1" spans="1:21">
      <c r="A2489" s="42" t="str">
        <f t="shared" si="116"/>
        <v/>
      </c>
      <c r="G2489" s="47" t="e">
        <f t="shared" si="115"/>
        <v>#DIV/0!</v>
      </c>
      <c r="U2489" s="49" t="e">
        <f t="shared" si="117"/>
        <v>#DIV/0!</v>
      </c>
    </row>
    <row r="2490" customHeight="1" spans="1:21">
      <c r="A2490" s="42" t="str">
        <f t="shared" si="116"/>
        <v/>
      </c>
      <c r="G2490" s="47" t="e">
        <f t="shared" si="115"/>
        <v>#DIV/0!</v>
      </c>
      <c r="U2490" s="49" t="e">
        <f t="shared" si="117"/>
        <v>#DIV/0!</v>
      </c>
    </row>
    <row r="2491" customHeight="1" spans="1:21">
      <c r="A2491" s="42" t="str">
        <f t="shared" si="116"/>
        <v/>
      </c>
      <c r="G2491" s="47" t="e">
        <f t="shared" si="115"/>
        <v>#DIV/0!</v>
      </c>
      <c r="U2491" s="49" t="e">
        <f t="shared" si="117"/>
        <v>#DIV/0!</v>
      </c>
    </row>
    <row r="2492" customHeight="1" spans="1:21">
      <c r="A2492" s="42" t="str">
        <f t="shared" si="116"/>
        <v/>
      </c>
      <c r="G2492" s="47" t="e">
        <f t="shared" si="115"/>
        <v>#DIV/0!</v>
      </c>
      <c r="U2492" s="49" t="e">
        <f t="shared" si="117"/>
        <v>#DIV/0!</v>
      </c>
    </row>
    <row r="2493" customHeight="1" spans="1:21">
      <c r="A2493" s="42" t="str">
        <f t="shared" si="116"/>
        <v/>
      </c>
      <c r="G2493" s="47" t="e">
        <f t="shared" si="115"/>
        <v>#DIV/0!</v>
      </c>
      <c r="U2493" s="49" t="e">
        <f t="shared" si="117"/>
        <v>#DIV/0!</v>
      </c>
    </row>
    <row r="2494" customHeight="1" spans="1:21">
      <c r="A2494" s="42" t="str">
        <f t="shared" si="116"/>
        <v/>
      </c>
      <c r="G2494" s="47" t="e">
        <f t="shared" si="115"/>
        <v>#DIV/0!</v>
      </c>
      <c r="U2494" s="49" t="e">
        <f t="shared" si="117"/>
        <v>#DIV/0!</v>
      </c>
    </row>
    <row r="2495" customHeight="1" spans="1:21">
      <c r="A2495" s="42" t="str">
        <f t="shared" si="116"/>
        <v/>
      </c>
      <c r="G2495" s="47" t="e">
        <f t="shared" si="115"/>
        <v>#DIV/0!</v>
      </c>
      <c r="U2495" s="49" t="e">
        <f t="shared" si="117"/>
        <v>#DIV/0!</v>
      </c>
    </row>
    <row r="2496" customHeight="1" spans="1:21">
      <c r="A2496" s="42" t="str">
        <f t="shared" si="116"/>
        <v/>
      </c>
      <c r="G2496" s="47" t="e">
        <f t="shared" si="115"/>
        <v>#DIV/0!</v>
      </c>
      <c r="U2496" s="49" t="e">
        <f t="shared" si="117"/>
        <v>#DIV/0!</v>
      </c>
    </row>
    <row r="2497" customHeight="1" spans="1:21">
      <c r="A2497" s="42" t="str">
        <f t="shared" si="116"/>
        <v/>
      </c>
      <c r="G2497" s="47" t="e">
        <f t="shared" si="115"/>
        <v>#DIV/0!</v>
      </c>
      <c r="U2497" s="49" t="e">
        <f t="shared" si="117"/>
        <v>#DIV/0!</v>
      </c>
    </row>
    <row r="2498" customHeight="1" spans="1:21">
      <c r="A2498" s="42" t="str">
        <f t="shared" si="116"/>
        <v/>
      </c>
      <c r="G2498" s="47" t="e">
        <f t="shared" si="115"/>
        <v>#DIV/0!</v>
      </c>
      <c r="U2498" s="49" t="e">
        <f t="shared" si="117"/>
        <v>#DIV/0!</v>
      </c>
    </row>
    <row r="2499" customHeight="1" spans="1:21">
      <c r="A2499" s="42" t="str">
        <f t="shared" si="116"/>
        <v/>
      </c>
      <c r="G2499" s="47" t="e">
        <f t="shared" ref="G2499:G2562" si="118">+E2499/F2499</f>
        <v>#DIV/0!</v>
      </c>
      <c r="U2499" s="49" t="e">
        <f t="shared" si="117"/>
        <v>#DIV/0!</v>
      </c>
    </row>
    <row r="2500" customHeight="1" spans="1:21">
      <c r="A2500" s="42" t="str">
        <f t="shared" ref="A2500:A2563" si="119">B2500&amp;C2500&amp;D2500</f>
        <v/>
      </c>
      <c r="G2500" s="47" t="e">
        <f t="shared" si="118"/>
        <v>#DIV/0!</v>
      </c>
      <c r="U2500" s="49" t="e">
        <f t="shared" ref="U2500:U2563" si="120">SUM(G2500:T2500)</f>
        <v>#DIV/0!</v>
      </c>
    </row>
    <row r="2501" customHeight="1" spans="1:21">
      <c r="A2501" s="42" t="str">
        <f t="shared" si="119"/>
        <v/>
      </c>
      <c r="G2501" s="47" t="e">
        <f t="shared" si="118"/>
        <v>#DIV/0!</v>
      </c>
      <c r="U2501" s="49" t="e">
        <f t="shared" si="120"/>
        <v>#DIV/0!</v>
      </c>
    </row>
    <row r="2502" customHeight="1" spans="1:21">
      <c r="A2502" s="42" t="str">
        <f t="shared" si="119"/>
        <v/>
      </c>
      <c r="G2502" s="47" t="e">
        <f t="shared" si="118"/>
        <v>#DIV/0!</v>
      </c>
      <c r="U2502" s="49" t="e">
        <f t="shared" si="120"/>
        <v>#DIV/0!</v>
      </c>
    </row>
    <row r="2503" customHeight="1" spans="1:21">
      <c r="A2503" s="42" t="str">
        <f t="shared" si="119"/>
        <v/>
      </c>
      <c r="G2503" s="47" t="e">
        <f t="shared" si="118"/>
        <v>#DIV/0!</v>
      </c>
      <c r="U2503" s="49" t="e">
        <f t="shared" si="120"/>
        <v>#DIV/0!</v>
      </c>
    </row>
    <row r="2504" customHeight="1" spans="1:21">
      <c r="A2504" s="42" t="str">
        <f t="shared" si="119"/>
        <v/>
      </c>
      <c r="G2504" s="47" t="e">
        <f t="shared" si="118"/>
        <v>#DIV/0!</v>
      </c>
      <c r="U2504" s="49" t="e">
        <f t="shared" si="120"/>
        <v>#DIV/0!</v>
      </c>
    </row>
    <row r="2505" customHeight="1" spans="1:21">
      <c r="A2505" s="42" t="str">
        <f t="shared" si="119"/>
        <v/>
      </c>
      <c r="G2505" s="47" t="e">
        <f t="shared" si="118"/>
        <v>#DIV/0!</v>
      </c>
      <c r="U2505" s="49" t="e">
        <f t="shared" si="120"/>
        <v>#DIV/0!</v>
      </c>
    </row>
    <row r="2506" customHeight="1" spans="1:21">
      <c r="A2506" s="42" t="str">
        <f t="shared" si="119"/>
        <v/>
      </c>
      <c r="G2506" s="47" t="e">
        <f t="shared" si="118"/>
        <v>#DIV/0!</v>
      </c>
      <c r="U2506" s="49" t="e">
        <f t="shared" si="120"/>
        <v>#DIV/0!</v>
      </c>
    </row>
    <row r="2507" customHeight="1" spans="1:21">
      <c r="A2507" s="42" t="str">
        <f t="shared" si="119"/>
        <v/>
      </c>
      <c r="G2507" s="47" t="e">
        <f t="shared" si="118"/>
        <v>#DIV/0!</v>
      </c>
      <c r="U2507" s="49" t="e">
        <f t="shared" si="120"/>
        <v>#DIV/0!</v>
      </c>
    </row>
    <row r="2508" customHeight="1" spans="1:21">
      <c r="A2508" s="42" t="str">
        <f t="shared" si="119"/>
        <v/>
      </c>
      <c r="G2508" s="47" t="e">
        <f t="shared" si="118"/>
        <v>#DIV/0!</v>
      </c>
      <c r="U2508" s="49" t="e">
        <f t="shared" si="120"/>
        <v>#DIV/0!</v>
      </c>
    </row>
    <row r="2509" customHeight="1" spans="1:21">
      <c r="A2509" s="42" t="str">
        <f t="shared" si="119"/>
        <v/>
      </c>
      <c r="G2509" s="47" t="e">
        <f t="shared" si="118"/>
        <v>#DIV/0!</v>
      </c>
      <c r="U2509" s="49" t="e">
        <f t="shared" si="120"/>
        <v>#DIV/0!</v>
      </c>
    </row>
    <row r="2510" customHeight="1" spans="1:21">
      <c r="A2510" s="42" t="str">
        <f t="shared" si="119"/>
        <v/>
      </c>
      <c r="G2510" s="47" t="e">
        <f t="shared" si="118"/>
        <v>#DIV/0!</v>
      </c>
      <c r="U2510" s="49" t="e">
        <f t="shared" si="120"/>
        <v>#DIV/0!</v>
      </c>
    </row>
    <row r="2511" customHeight="1" spans="1:21">
      <c r="A2511" s="42" t="str">
        <f t="shared" si="119"/>
        <v/>
      </c>
      <c r="G2511" s="47" t="e">
        <f t="shared" si="118"/>
        <v>#DIV/0!</v>
      </c>
      <c r="U2511" s="49" t="e">
        <f t="shared" si="120"/>
        <v>#DIV/0!</v>
      </c>
    </row>
    <row r="2512" customHeight="1" spans="1:21">
      <c r="A2512" s="42" t="str">
        <f t="shared" si="119"/>
        <v/>
      </c>
      <c r="G2512" s="47" t="e">
        <f t="shared" si="118"/>
        <v>#DIV/0!</v>
      </c>
      <c r="U2512" s="49" t="e">
        <f t="shared" si="120"/>
        <v>#DIV/0!</v>
      </c>
    </row>
    <row r="2513" customHeight="1" spans="1:21">
      <c r="A2513" s="42" t="str">
        <f t="shared" si="119"/>
        <v/>
      </c>
      <c r="G2513" s="47" t="e">
        <f t="shared" si="118"/>
        <v>#DIV/0!</v>
      </c>
      <c r="U2513" s="49" t="e">
        <f t="shared" si="120"/>
        <v>#DIV/0!</v>
      </c>
    </row>
    <row r="2514" customHeight="1" spans="1:21">
      <c r="A2514" s="42" t="str">
        <f t="shared" si="119"/>
        <v/>
      </c>
      <c r="G2514" s="47" t="e">
        <f t="shared" si="118"/>
        <v>#DIV/0!</v>
      </c>
      <c r="U2514" s="49" t="e">
        <f t="shared" si="120"/>
        <v>#DIV/0!</v>
      </c>
    </row>
    <row r="2515" customHeight="1" spans="1:21">
      <c r="A2515" s="42" t="str">
        <f t="shared" si="119"/>
        <v/>
      </c>
      <c r="G2515" s="47" t="e">
        <f t="shared" si="118"/>
        <v>#DIV/0!</v>
      </c>
      <c r="U2515" s="49" t="e">
        <f t="shared" si="120"/>
        <v>#DIV/0!</v>
      </c>
    </row>
    <row r="2516" customHeight="1" spans="1:21">
      <c r="A2516" s="42" t="str">
        <f t="shared" si="119"/>
        <v/>
      </c>
      <c r="G2516" s="47" t="e">
        <f t="shared" si="118"/>
        <v>#DIV/0!</v>
      </c>
      <c r="U2516" s="49" t="e">
        <f t="shared" si="120"/>
        <v>#DIV/0!</v>
      </c>
    </row>
    <row r="2517" customHeight="1" spans="1:21">
      <c r="A2517" s="42" t="str">
        <f t="shared" si="119"/>
        <v/>
      </c>
      <c r="G2517" s="47" t="e">
        <f t="shared" si="118"/>
        <v>#DIV/0!</v>
      </c>
      <c r="U2517" s="49" t="e">
        <f t="shared" si="120"/>
        <v>#DIV/0!</v>
      </c>
    </row>
    <row r="2518" customHeight="1" spans="1:21">
      <c r="A2518" s="42" t="str">
        <f t="shared" si="119"/>
        <v/>
      </c>
      <c r="G2518" s="47" t="e">
        <f t="shared" si="118"/>
        <v>#DIV/0!</v>
      </c>
      <c r="U2518" s="49" t="e">
        <f t="shared" si="120"/>
        <v>#DIV/0!</v>
      </c>
    </row>
    <row r="2519" customHeight="1" spans="1:21">
      <c r="A2519" s="42" t="str">
        <f t="shared" si="119"/>
        <v/>
      </c>
      <c r="G2519" s="47" t="e">
        <f t="shared" si="118"/>
        <v>#DIV/0!</v>
      </c>
      <c r="U2519" s="49" t="e">
        <f t="shared" si="120"/>
        <v>#DIV/0!</v>
      </c>
    </row>
    <row r="2520" customHeight="1" spans="1:21">
      <c r="A2520" s="42" t="str">
        <f t="shared" si="119"/>
        <v/>
      </c>
      <c r="G2520" s="47" t="e">
        <f t="shared" si="118"/>
        <v>#DIV/0!</v>
      </c>
      <c r="U2520" s="49" t="e">
        <f t="shared" si="120"/>
        <v>#DIV/0!</v>
      </c>
    </row>
    <row r="2521" customHeight="1" spans="1:21">
      <c r="A2521" s="42" t="str">
        <f t="shared" si="119"/>
        <v/>
      </c>
      <c r="G2521" s="47" t="e">
        <f t="shared" si="118"/>
        <v>#DIV/0!</v>
      </c>
      <c r="U2521" s="49" t="e">
        <f t="shared" si="120"/>
        <v>#DIV/0!</v>
      </c>
    </row>
    <row r="2522" customHeight="1" spans="1:21">
      <c r="A2522" s="42" t="str">
        <f t="shared" si="119"/>
        <v/>
      </c>
      <c r="G2522" s="47" t="e">
        <f t="shared" si="118"/>
        <v>#DIV/0!</v>
      </c>
      <c r="U2522" s="49" t="e">
        <f t="shared" si="120"/>
        <v>#DIV/0!</v>
      </c>
    </row>
    <row r="2523" customHeight="1" spans="1:21">
      <c r="A2523" s="42" t="str">
        <f t="shared" si="119"/>
        <v/>
      </c>
      <c r="G2523" s="47" t="e">
        <f t="shared" si="118"/>
        <v>#DIV/0!</v>
      </c>
      <c r="U2523" s="49" t="e">
        <f t="shared" si="120"/>
        <v>#DIV/0!</v>
      </c>
    </row>
    <row r="2524" customHeight="1" spans="1:21">
      <c r="A2524" s="42" t="str">
        <f t="shared" si="119"/>
        <v/>
      </c>
      <c r="G2524" s="47" t="e">
        <f t="shared" si="118"/>
        <v>#DIV/0!</v>
      </c>
      <c r="U2524" s="49" t="e">
        <f t="shared" si="120"/>
        <v>#DIV/0!</v>
      </c>
    </row>
    <row r="2525" customHeight="1" spans="1:21">
      <c r="A2525" s="42" t="str">
        <f t="shared" si="119"/>
        <v/>
      </c>
      <c r="G2525" s="47" t="e">
        <f t="shared" si="118"/>
        <v>#DIV/0!</v>
      </c>
      <c r="U2525" s="49" t="e">
        <f t="shared" si="120"/>
        <v>#DIV/0!</v>
      </c>
    </row>
    <row r="2526" customHeight="1" spans="1:21">
      <c r="A2526" s="42" t="str">
        <f t="shared" si="119"/>
        <v/>
      </c>
      <c r="G2526" s="47" t="e">
        <f t="shared" si="118"/>
        <v>#DIV/0!</v>
      </c>
      <c r="U2526" s="49" t="e">
        <f t="shared" si="120"/>
        <v>#DIV/0!</v>
      </c>
    </row>
    <row r="2527" customHeight="1" spans="1:21">
      <c r="A2527" s="42" t="str">
        <f t="shared" si="119"/>
        <v/>
      </c>
      <c r="G2527" s="47" t="e">
        <f t="shared" si="118"/>
        <v>#DIV/0!</v>
      </c>
      <c r="U2527" s="49" t="e">
        <f t="shared" si="120"/>
        <v>#DIV/0!</v>
      </c>
    </row>
    <row r="2528" customHeight="1" spans="1:21">
      <c r="A2528" s="42" t="str">
        <f t="shared" si="119"/>
        <v/>
      </c>
      <c r="G2528" s="47" t="e">
        <f t="shared" si="118"/>
        <v>#DIV/0!</v>
      </c>
      <c r="U2528" s="49" t="e">
        <f t="shared" si="120"/>
        <v>#DIV/0!</v>
      </c>
    </row>
    <row r="2529" customHeight="1" spans="1:21">
      <c r="A2529" s="42" t="str">
        <f t="shared" si="119"/>
        <v/>
      </c>
      <c r="G2529" s="47" t="e">
        <f t="shared" si="118"/>
        <v>#DIV/0!</v>
      </c>
      <c r="U2529" s="49" t="e">
        <f t="shared" si="120"/>
        <v>#DIV/0!</v>
      </c>
    </row>
    <row r="2530" customHeight="1" spans="1:21">
      <c r="A2530" s="42" t="str">
        <f t="shared" si="119"/>
        <v/>
      </c>
      <c r="G2530" s="47" t="e">
        <f t="shared" si="118"/>
        <v>#DIV/0!</v>
      </c>
      <c r="U2530" s="49" t="e">
        <f t="shared" si="120"/>
        <v>#DIV/0!</v>
      </c>
    </row>
    <row r="2531" customHeight="1" spans="1:21">
      <c r="A2531" s="42" t="str">
        <f t="shared" si="119"/>
        <v/>
      </c>
      <c r="G2531" s="47" t="e">
        <f t="shared" si="118"/>
        <v>#DIV/0!</v>
      </c>
      <c r="U2531" s="49" t="e">
        <f t="shared" si="120"/>
        <v>#DIV/0!</v>
      </c>
    </row>
    <row r="2532" customHeight="1" spans="1:21">
      <c r="A2532" s="42" t="str">
        <f t="shared" si="119"/>
        <v/>
      </c>
      <c r="G2532" s="47" t="e">
        <f t="shared" si="118"/>
        <v>#DIV/0!</v>
      </c>
      <c r="U2532" s="49" t="e">
        <f t="shared" si="120"/>
        <v>#DIV/0!</v>
      </c>
    </row>
    <row r="2533" customHeight="1" spans="1:21">
      <c r="A2533" s="42" t="str">
        <f t="shared" si="119"/>
        <v/>
      </c>
      <c r="G2533" s="47" t="e">
        <f t="shared" si="118"/>
        <v>#DIV/0!</v>
      </c>
      <c r="U2533" s="49" t="e">
        <f t="shared" si="120"/>
        <v>#DIV/0!</v>
      </c>
    </row>
    <row r="2534" customHeight="1" spans="1:21">
      <c r="A2534" s="42" t="str">
        <f t="shared" si="119"/>
        <v/>
      </c>
      <c r="G2534" s="47" t="e">
        <f t="shared" si="118"/>
        <v>#DIV/0!</v>
      </c>
      <c r="U2534" s="49" t="e">
        <f t="shared" si="120"/>
        <v>#DIV/0!</v>
      </c>
    </row>
    <row r="2535" customHeight="1" spans="1:21">
      <c r="A2535" s="42" t="str">
        <f t="shared" si="119"/>
        <v/>
      </c>
      <c r="G2535" s="47" t="e">
        <f t="shared" si="118"/>
        <v>#DIV/0!</v>
      </c>
      <c r="U2535" s="49" t="e">
        <f t="shared" si="120"/>
        <v>#DIV/0!</v>
      </c>
    </row>
    <row r="2536" customHeight="1" spans="1:21">
      <c r="A2536" s="42" t="str">
        <f t="shared" si="119"/>
        <v/>
      </c>
      <c r="G2536" s="47" t="e">
        <f t="shared" si="118"/>
        <v>#DIV/0!</v>
      </c>
      <c r="U2536" s="49" t="e">
        <f t="shared" si="120"/>
        <v>#DIV/0!</v>
      </c>
    </row>
    <row r="2537" customHeight="1" spans="1:21">
      <c r="A2537" s="42" t="str">
        <f t="shared" si="119"/>
        <v/>
      </c>
      <c r="G2537" s="47" t="e">
        <f t="shared" si="118"/>
        <v>#DIV/0!</v>
      </c>
      <c r="U2537" s="49" t="e">
        <f t="shared" si="120"/>
        <v>#DIV/0!</v>
      </c>
    </row>
    <row r="2538" customHeight="1" spans="1:21">
      <c r="A2538" s="42" t="str">
        <f t="shared" si="119"/>
        <v/>
      </c>
      <c r="G2538" s="47" t="e">
        <f t="shared" si="118"/>
        <v>#DIV/0!</v>
      </c>
      <c r="U2538" s="49" t="e">
        <f t="shared" si="120"/>
        <v>#DIV/0!</v>
      </c>
    </row>
    <row r="2539" customHeight="1" spans="1:21">
      <c r="A2539" s="42" t="str">
        <f t="shared" si="119"/>
        <v/>
      </c>
      <c r="G2539" s="47" t="e">
        <f t="shared" si="118"/>
        <v>#DIV/0!</v>
      </c>
      <c r="U2539" s="49" t="e">
        <f t="shared" si="120"/>
        <v>#DIV/0!</v>
      </c>
    </row>
    <row r="2540" customHeight="1" spans="1:21">
      <c r="A2540" s="42" t="str">
        <f t="shared" si="119"/>
        <v/>
      </c>
      <c r="G2540" s="47" t="e">
        <f t="shared" si="118"/>
        <v>#DIV/0!</v>
      </c>
      <c r="U2540" s="49" t="e">
        <f t="shared" si="120"/>
        <v>#DIV/0!</v>
      </c>
    </row>
    <row r="2541" customHeight="1" spans="1:21">
      <c r="A2541" s="42" t="str">
        <f t="shared" si="119"/>
        <v/>
      </c>
      <c r="G2541" s="47" t="e">
        <f t="shared" si="118"/>
        <v>#DIV/0!</v>
      </c>
      <c r="U2541" s="49" t="e">
        <f t="shared" si="120"/>
        <v>#DIV/0!</v>
      </c>
    </row>
    <row r="2542" customHeight="1" spans="1:21">
      <c r="A2542" s="42" t="str">
        <f t="shared" si="119"/>
        <v/>
      </c>
      <c r="G2542" s="47" t="e">
        <f t="shared" si="118"/>
        <v>#DIV/0!</v>
      </c>
      <c r="U2542" s="49" t="e">
        <f t="shared" si="120"/>
        <v>#DIV/0!</v>
      </c>
    </row>
    <row r="2543" customHeight="1" spans="1:21">
      <c r="A2543" s="42" t="str">
        <f t="shared" si="119"/>
        <v/>
      </c>
      <c r="G2543" s="47" t="e">
        <f t="shared" si="118"/>
        <v>#DIV/0!</v>
      </c>
      <c r="U2543" s="49" t="e">
        <f t="shared" si="120"/>
        <v>#DIV/0!</v>
      </c>
    </row>
    <row r="2544" customHeight="1" spans="1:21">
      <c r="A2544" s="42" t="str">
        <f t="shared" si="119"/>
        <v/>
      </c>
      <c r="G2544" s="47" t="e">
        <f t="shared" si="118"/>
        <v>#DIV/0!</v>
      </c>
      <c r="U2544" s="49" t="e">
        <f t="shared" si="120"/>
        <v>#DIV/0!</v>
      </c>
    </row>
    <row r="2545" customHeight="1" spans="1:21">
      <c r="A2545" s="42" t="str">
        <f t="shared" si="119"/>
        <v/>
      </c>
      <c r="G2545" s="47" t="e">
        <f t="shared" si="118"/>
        <v>#DIV/0!</v>
      </c>
      <c r="U2545" s="49" t="e">
        <f t="shared" si="120"/>
        <v>#DIV/0!</v>
      </c>
    </row>
    <row r="2546" customHeight="1" spans="1:21">
      <c r="A2546" s="42" t="str">
        <f t="shared" si="119"/>
        <v/>
      </c>
      <c r="G2546" s="47" t="e">
        <f t="shared" si="118"/>
        <v>#DIV/0!</v>
      </c>
      <c r="U2546" s="49" t="e">
        <f t="shared" si="120"/>
        <v>#DIV/0!</v>
      </c>
    </row>
    <row r="2547" customHeight="1" spans="1:21">
      <c r="A2547" s="42" t="str">
        <f t="shared" si="119"/>
        <v/>
      </c>
      <c r="G2547" s="47" t="e">
        <f t="shared" si="118"/>
        <v>#DIV/0!</v>
      </c>
      <c r="U2547" s="49" t="e">
        <f t="shared" si="120"/>
        <v>#DIV/0!</v>
      </c>
    </row>
    <row r="2548" customHeight="1" spans="1:21">
      <c r="A2548" s="42" t="str">
        <f t="shared" si="119"/>
        <v/>
      </c>
      <c r="G2548" s="47" t="e">
        <f t="shared" si="118"/>
        <v>#DIV/0!</v>
      </c>
      <c r="U2548" s="49" t="e">
        <f t="shared" si="120"/>
        <v>#DIV/0!</v>
      </c>
    </row>
    <row r="2549" customHeight="1" spans="1:21">
      <c r="A2549" s="42" t="str">
        <f t="shared" si="119"/>
        <v/>
      </c>
      <c r="G2549" s="47" t="e">
        <f t="shared" si="118"/>
        <v>#DIV/0!</v>
      </c>
      <c r="U2549" s="49" t="e">
        <f t="shared" si="120"/>
        <v>#DIV/0!</v>
      </c>
    </row>
    <row r="2550" customHeight="1" spans="1:21">
      <c r="A2550" s="42" t="str">
        <f t="shared" si="119"/>
        <v/>
      </c>
      <c r="G2550" s="47" t="e">
        <f t="shared" si="118"/>
        <v>#DIV/0!</v>
      </c>
      <c r="U2550" s="49" t="e">
        <f t="shared" si="120"/>
        <v>#DIV/0!</v>
      </c>
    </row>
    <row r="2551" customHeight="1" spans="1:21">
      <c r="A2551" s="42" t="str">
        <f t="shared" si="119"/>
        <v/>
      </c>
      <c r="G2551" s="47" t="e">
        <f t="shared" si="118"/>
        <v>#DIV/0!</v>
      </c>
      <c r="U2551" s="49" t="e">
        <f t="shared" si="120"/>
        <v>#DIV/0!</v>
      </c>
    </row>
    <row r="2552" customHeight="1" spans="1:21">
      <c r="A2552" s="42" t="str">
        <f t="shared" si="119"/>
        <v/>
      </c>
      <c r="G2552" s="47" t="e">
        <f t="shared" si="118"/>
        <v>#DIV/0!</v>
      </c>
      <c r="U2552" s="49" t="e">
        <f t="shared" si="120"/>
        <v>#DIV/0!</v>
      </c>
    </row>
    <row r="2553" customHeight="1" spans="1:21">
      <c r="A2553" s="42" t="str">
        <f t="shared" si="119"/>
        <v/>
      </c>
      <c r="G2553" s="47" t="e">
        <f t="shared" si="118"/>
        <v>#DIV/0!</v>
      </c>
      <c r="U2553" s="49" t="e">
        <f t="shared" si="120"/>
        <v>#DIV/0!</v>
      </c>
    </row>
    <row r="2554" customHeight="1" spans="1:21">
      <c r="A2554" s="42" t="str">
        <f t="shared" si="119"/>
        <v/>
      </c>
      <c r="G2554" s="47" t="e">
        <f t="shared" si="118"/>
        <v>#DIV/0!</v>
      </c>
      <c r="U2554" s="49" t="e">
        <f t="shared" si="120"/>
        <v>#DIV/0!</v>
      </c>
    </row>
    <row r="2555" customHeight="1" spans="1:21">
      <c r="A2555" s="42" t="str">
        <f t="shared" si="119"/>
        <v/>
      </c>
      <c r="G2555" s="47" t="e">
        <f t="shared" si="118"/>
        <v>#DIV/0!</v>
      </c>
      <c r="U2555" s="49" t="e">
        <f t="shared" si="120"/>
        <v>#DIV/0!</v>
      </c>
    </row>
    <row r="2556" customHeight="1" spans="1:21">
      <c r="A2556" s="42" t="str">
        <f t="shared" si="119"/>
        <v/>
      </c>
      <c r="G2556" s="47" t="e">
        <f t="shared" si="118"/>
        <v>#DIV/0!</v>
      </c>
      <c r="U2556" s="49" t="e">
        <f t="shared" si="120"/>
        <v>#DIV/0!</v>
      </c>
    </row>
    <row r="2557" customHeight="1" spans="1:21">
      <c r="A2557" s="42" t="str">
        <f t="shared" si="119"/>
        <v/>
      </c>
      <c r="G2557" s="47" t="e">
        <f t="shared" si="118"/>
        <v>#DIV/0!</v>
      </c>
      <c r="U2557" s="49" t="e">
        <f t="shared" si="120"/>
        <v>#DIV/0!</v>
      </c>
    </row>
    <row r="2558" customHeight="1" spans="1:21">
      <c r="A2558" s="42" t="str">
        <f t="shared" si="119"/>
        <v/>
      </c>
      <c r="G2558" s="47" t="e">
        <f t="shared" si="118"/>
        <v>#DIV/0!</v>
      </c>
      <c r="U2558" s="49" t="e">
        <f t="shared" si="120"/>
        <v>#DIV/0!</v>
      </c>
    </row>
    <row r="2559" customHeight="1" spans="1:21">
      <c r="A2559" s="42" t="str">
        <f t="shared" si="119"/>
        <v/>
      </c>
      <c r="G2559" s="47" t="e">
        <f t="shared" si="118"/>
        <v>#DIV/0!</v>
      </c>
      <c r="U2559" s="49" t="e">
        <f t="shared" si="120"/>
        <v>#DIV/0!</v>
      </c>
    </row>
    <row r="2560" customHeight="1" spans="1:21">
      <c r="A2560" s="42" t="str">
        <f t="shared" si="119"/>
        <v/>
      </c>
      <c r="G2560" s="47" t="e">
        <f t="shared" si="118"/>
        <v>#DIV/0!</v>
      </c>
      <c r="U2560" s="49" t="e">
        <f t="shared" si="120"/>
        <v>#DIV/0!</v>
      </c>
    </row>
    <row r="2561" customHeight="1" spans="1:21">
      <c r="A2561" s="42" t="str">
        <f t="shared" si="119"/>
        <v/>
      </c>
      <c r="G2561" s="47" t="e">
        <f t="shared" si="118"/>
        <v>#DIV/0!</v>
      </c>
      <c r="U2561" s="49" t="e">
        <f t="shared" si="120"/>
        <v>#DIV/0!</v>
      </c>
    </row>
    <row r="2562" customHeight="1" spans="1:21">
      <c r="A2562" s="42" t="str">
        <f t="shared" si="119"/>
        <v/>
      </c>
      <c r="G2562" s="47" t="e">
        <f t="shared" si="118"/>
        <v>#DIV/0!</v>
      </c>
      <c r="U2562" s="49" t="e">
        <f t="shared" si="120"/>
        <v>#DIV/0!</v>
      </c>
    </row>
    <row r="2563" customHeight="1" spans="1:21">
      <c r="A2563" s="42" t="str">
        <f t="shared" si="119"/>
        <v/>
      </c>
      <c r="G2563" s="47" t="e">
        <f t="shared" ref="G2563:G2626" si="121">+E2563/F2563</f>
        <v>#DIV/0!</v>
      </c>
      <c r="U2563" s="49" t="e">
        <f t="shared" si="120"/>
        <v>#DIV/0!</v>
      </c>
    </row>
    <row r="2564" customHeight="1" spans="1:21">
      <c r="A2564" s="42" t="str">
        <f t="shared" ref="A2564:A2627" si="122">B2564&amp;C2564&amp;D2564</f>
        <v/>
      </c>
      <c r="G2564" s="47" t="e">
        <f t="shared" si="121"/>
        <v>#DIV/0!</v>
      </c>
      <c r="U2564" s="49" t="e">
        <f t="shared" ref="U2564:U2627" si="123">SUM(G2564:T2564)</f>
        <v>#DIV/0!</v>
      </c>
    </row>
    <row r="2565" customHeight="1" spans="1:21">
      <c r="A2565" s="42" t="str">
        <f t="shared" si="122"/>
        <v/>
      </c>
      <c r="G2565" s="47" t="e">
        <f t="shared" si="121"/>
        <v>#DIV/0!</v>
      </c>
      <c r="U2565" s="49" t="e">
        <f t="shared" si="123"/>
        <v>#DIV/0!</v>
      </c>
    </row>
    <row r="2566" customHeight="1" spans="1:21">
      <c r="A2566" s="42" t="str">
        <f t="shared" si="122"/>
        <v/>
      </c>
      <c r="G2566" s="47" t="e">
        <f t="shared" si="121"/>
        <v>#DIV/0!</v>
      </c>
      <c r="U2566" s="49" t="e">
        <f t="shared" si="123"/>
        <v>#DIV/0!</v>
      </c>
    </row>
    <row r="2567" customHeight="1" spans="1:21">
      <c r="A2567" s="42" t="str">
        <f t="shared" si="122"/>
        <v/>
      </c>
      <c r="G2567" s="47" t="e">
        <f t="shared" si="121"/>
        <v>#DIV/0!</v>
      </c>
      <c r="U2567" s="49" t="e">
        <f t="shared" si="123"/>
        <v>#DIV/0!</v>
      </c>
    </row>
    <row r="2568" customHeight="1" spans="1:21">
      <c r="A2568" s="42" t="str">
        <f t="shared" si="122"/>
        <v/>
      </c>
      <c r="G2568" s="47" t="e">
        <f t="shared" si="121"/>
        <v>#DIV/0!</v>
      </c>
      <c r="U2568" s="49" t="e">
        <f t="shared" si="123"/>
        <v>#DIV/0!</v>
      </c>
    </row>
    <row r="2569" customHeight="1" spans="1:21">
      <c r="A2569" s="42" t="str">
        <f t="shared" si="122"/>
        <v/>
      </c>
      <c r="G2569" s="47" t="e">
        <f t="shared" si="121"/>
        <v>#DIV/0!</v>
      </c>
      <c r="U2569" s="49" t="e">
        <f t="shared" si="123"/>
        <v>#DIV/0!</v>
      </c>
    </row>
    <row r="2570" customHeight="1" spans="1:21">
      <c r="A2570" s="42" t="str">
        <f t="shared" si="122"/>
        <v/>
      </c>
      <c r="G2570" s="47" t="e">
        <f t="shared" si="121"/>
        <v>#DIV/0!</v>
      </c>
      <c r="U2570" s="49" t="e">
        <f t="shared" si="123"/>
        <v>#DIV/0!</v>
      </c>
    </row>
    <row r="2571" customHeight="1" spans="1:21">
      <c r="A2571" s="42" t="str">
        <f t="shared" si="122"/>
        <v/>
      </c>
      <c r="G2571" s="47" t="e">
        <f t="shared" si="121"/>
        <v>#DIV/0!</v>
      </c>
      <c r="U2571" s="49" t="e">
        <f t="shared" si="123"/>
        <v>#DIV/0!</v>
      </c>
    </row>
    <row r="2572" customHeight="1" spans="1:21">
      <c r="A2572" s="42" t="str">
        <f t="shared" si="122"/>
        <v/>
      </c>
      <c r="G2572" s="47" t="e">
        <f t="shared" si="121"/>
        <v>#DIV/0!</v>
      </c>
      <c r="U2572" s="49" t="e">
        <f t="shared" si="123"/>
        <v>#DIV/0!</v>
      </c>
    </row>
    <row r="2573" customHeight="1" spans="1:21">
      <c r="A2573" s="42" t="str">
        <f t="shared" si="122"/>
        <v/>
      </c>
      <c r="G2573" s="47" t="e">
        <f t="shared" si="121"/>
        <v>#DIV/0!</v>
      </c>
      <c r="U2573" s="49" t="e">
        <f t="shared" si="123"/>
        <v>#DIV/0!</v>
      </c>
    </row>
    <row r="2574" customHeight="1" spans="1:21">
      <c r="A2574" s="42" t="str">
        <f t="shared" si="122"/>
        <v/>
      </c>
      <c r="G2574" s="47" t="e">
        <f t="shared" si="121"/>
        <v>#DIV/0!</v>
      </c>
      <c r="U2574" s="49" t="e">
        <f t="shared" si="123"/>
        <v>#DIV/0!</v>
      </c>
    </row>
    <row r="2575" customHeight="1" spans="1:21">
      <c r="A2575" s="42" t="str">
        <f t="shared" si="122"/>
        <v/>
      </c>
      <c r="G2575" s="47" t="e">
        <f t="shared" si="121"/>
        <v>#DIV/0!</v>
      </c>
      <c r="U2575" s="49" t="e">
        <f t="shared" si="123"/>
        <v>#DIV/0!</v>
      </c>
    </row>
    <row r="2576" customHeight="1" spans="1:21">
      <c r="A2576" s="42" t="str">
        <f t="shared" si="122"/>
        <v/>
      </c>
      <c r="G2576" s="47" t="e">
        <f t="shared" si="121"/>
        <v>#DIV/0!</v>
      </c>
      <c r="U2576" s="49" t="e">
        <f t="shared" si="123"/>
        <v>#DIV/0!</v>
      </c>
    </row>
    <row r="2577" customHeight="1" spans="1:21">
      <c r="A2577" s="42" t="str">
        <f t="shared" si="122"/>
        <v/>
      </c>
      <c r="G2577" s="47" t="e">
        <f t="shared" si="121"/>
        <v>#DIV/0!</v>
      </c>
      <c r="U2577" s="49" t="e">
        <f t="shared" si="123"/>
        <v>#DIV/0!</v>
      </c>
    </row>
    <row r="2578" customHeight="1" spans="1:21">
      <c r="A2578" s="42" t="str">
        <f t="shared" si="122"/>
        <v/>
      </c>
      <c r="G2578" s="47" t="e">
        <f t="shared" si="121"/>
        <v>#DIV/0!</v>
      </c>
      <c r="U2578" s="49" t="e">
        <f t="shared" si="123"/>
        <v>#DIV/0!</v>
      </c>
    </row>
    <row r="2579" customHeight="1" spans="1:21">
      <c r="A2579" s="42" t="str">
        <f t="shared" si="122"/>
        <v/>
      </c>
      <c r="G2579" s="47" t="e">
        <f t="shared" si="121"/>
        <v>#DIV/0!</v>
      </c>
      <c r="U2579" s="49" t="e">
        <f t="shared" si="123"/>
        <v>#DIV/0!</v>
      </c>
    </row>
    <row r="2580" customHeight="1" spans="1:21">
      <c r="A2580" s="42" t="str">
        <f t="shared" si="122"/>
        <v/>
      </c>
      <c r="G2580" s="47" t="e">
        <f t="shared" si="121"/>
        <v>#DIV/0!</v>
      </c>
      <c r="U2580" s="49" t="e">
        <f t="shared" si="123"/>
        <v>#DIV/0!</v>
      </c>
    </row>
    <row r="2581" customHeight="1" spans="1:21">
      <c r="A2581" s="42" t="str">
        <f t="shared" si="122"/>
        <v/>
      </c>
      <c r="G2581" s="47" t="e">
        <f t="shared" si="121"/>
        <v>#DIV/0!</v>
      </c>
      <c r="U2581" s="49" t="e">
        <f t="shared" si="123"/>
        <v>#DIV/0!</v>
      </c>
    </row>
    <row r="2582" customHeight="1" spans="1:21">
      <c r="A2582" s="42" t="str">
        <f t="shared" si="122"/>
        <v/>
      </c>
      <c r="G2582" s="47" t="e">
        <f t="shared" si="121"/>
        <v>#DIV/0!</v>
      </c>
      <c r="U2582" s="49" t="e">
        <f t="shared" si="123"/>
        <v>#DIV/0!</v>
      </c>
    </row>
    <row r="2583" customHeight="1" spans="1:21">
      <c r="A2583" s="42" t="str">
        <f t="shared" si="122"/>
        <v/>
      </c>
      <c r="G2583" s="47" t="e">
        <f t="shared" si="121"/>
        <v>#DIV/0!</v>
      </c>
      <c r="U2583" s="49" t="e">
        <f t="shared" si="123"/>
        <v>#DIV/0!</v>
      </c>
    </row>
    <row r="2584" customHeight="1" spans="1:21">
      <c r="A2584" s="42" t="str">
        <f t="shared" si="122"/>
        <v/>
      </c>
      <c r="G2584" s="47" t="e">
        <f t="shared" si="121"/>
        <v>#DIV/0!</v>
      </c>
      <c r="U2584" s="49" t="e">
        <f t="shared" si="123"/>
        <v>#DIV/0!</v>
      </c>
    </row>
    <row r="2585" customHeight="1" spans="1:21">
      <c r="A2585" s="42" t="str">
        <f t="shared" si="122"/>
        <v/>
      </c>
      <c r="G2585" s="47" t="e">
        <f t="shared" si="121"/>
        <v>#DIV/0!</v>
      </c>
      <c r="U2585" s="49" t="e">
        <f t="shared" si="123"/>
        <v>#DIV/0!</v>
      </c>
    </row>
    <row r="2586" customHeight="1" spans="1:21">
      <c r="A2586" s="42" t="str">
        <f t="shared" si="122"/>
        <v/>
      </c>
      <c r="G2586" s="47" t="e">
        <f t="shared" si="121"/>
        <v>#DIV/0!</v>
      </c>
      <c r="U2586" s="49" t="e">
        <f t="shared" si="123"/>
        <v>#DIV/0!</v>
      </c>
    </row>
    <row r="2587" customHeight="1" spans="1:21">
      <c r="A2587" s="42" t="str">
        <f t="shared" si="122"/>
        <v/>
      </c>
      <c r="G2587" s="47" t="e">
        <f t="shared" si="121"/>
        <v>#DIV/0!</v>
      </c>
      <c r="U2587" s="49" t="e">
        <f t="shared" si="123"/>
        <v>#DIV/0!</v>
      </c>
    </row>
    <row r="2588" customHeight="1" spans="1:21">
      <c r="A2588" s="42" t="str">
        <f t="shared" si="122"/>
        <v/>
      </c>
      <c r="G2588" s="47" t="e">
        <f t="shared" si="121"/>
        <v>#DIV/0!</v>
      </c>
      <c r="U2588" s="49" t="e">
        <f t="shared" si="123"/>
        <v>#DIV/0!</v>
      </c>
    </row>
    <row r="2589" customHeight="1" spans="1:21">
      <c r="A2589" s="42" t="str">
        <f t="shared" si="122"/>
        <v/>
      </c>
      <c r="G2589" s="47" t="e">
        <f t="shared" si="121"/>
        <v>#DIV/0!</v>
      </c>
      <c r="U2589" s="49" t="e">
        <f t="shared" si="123"/>
        <v>#DIV/0!</v>
      </c>
    </row>
    <row r="2590" customHeight="1" spans="1:21">
      <c r="A2590" s="42" t="str">
        <f t="shared" si="122"/>
        <v/>
      </c>
      <c r="G2590" s="47" t="e">
        <f t="shared" si="121"/>
        <v>#DIV/0!</v>
      </c>
      <c r="U2590" s="49" t="e">
        <f t="shared" si="123"/>
        <v>#DIV/0!</v>
      </c>
    </row>
    <row r="2591" customHeight="1" spans="1:21">
      <c r="A2591" s="42" t="str">
        <f t="shared" si="122"/>
        <v/>
      </c>
      <c r="G2591" s="47" t="e">
        <f t="shared" si="121"/>
        <v>#DIV/0!</v>
      </c>
      <c r="U2591" s="49" t="e">
        <f t="shared" si="123"/>
        <v>#DIV/0!</v>
      </c>
    </row>
    <row r="2592" customHeight="1" spans="1:21">
      <c r="A2592" s="42" t="str">
        <f t="shared" si="122"/>
        <v/>
      </c>
      <c r="G2592" s="47" t="e">
        <f t="shared" si="121"/>
        <v>#DIV/0!</v>
      </c>
      <c r="U2592" s="49" t="e">
        <f t="shared" si="123"/>
        <v>#DIV/0!</v>
      </c>
    </row>
    <row r="2593" customHeight="1" spans="1:21">
      <c r="A2593" s="42" t="str">
        <f t="shared" si="122"/>
        <v/>
      </c>
      <c r="G2593" s="47" t="e">
        <f t="shared" si="121"/>
        <v>#DIV/0!</v>
      </c>
      <c r="U2593" s="49" t="e">
        <f t="shared" si="123"/>
        <v>#DIV/0!</v>
      </c>
    </row>
    <row r="2594" customHeight="1" spans="1:21">
      <c r="A2594" s="42" t="str">
        <f t="shared" si="122"/>
        <v/>
      </c>
      <c r="G2594" s="47" t="e">
        <f t="shared" si="121"/>
        <v>#DIV/0!</v>
      </c>
      <c r="U2594" s="49" t="e">
        <f t="shared" si="123"/>
        <v>#DIV/0!</v>
      </c>
    </row>
    <row r="2595" customHeight="1" spans="1:21">
      <c r="A2595" s="42" t="str">
        <f t="shared" si="122"/>
        <v/>
      </c>
      <c r="G2595" s="47" t="e">
        <f t="shared" si="121"/>
        <v>#DIV/0!</v>
      </c>
      <c r="U2595" s="49" t="e">
        <f t="shared" si="123"/>
        <v>#DIV/0!</v>
      </c>
    </row>
    <row r="2596" customHeight="1" spans="1:21">
      <c r="A2596" s="42" t="str">
        <f t="shared" si="122"/>
        <v/>
      </c>
      <c r="G2596" s="47" t="e">
        <f t="shared" si="121"/>
        <v>#DIV/0!</v>
      </c>
      <c r="U2596" s="49" t="e">
        <f t="shared" si="123"/>
        <v>#DIV/0!</v>
      </c>
    </row>
    <row r="2597" customHeight="1" spans="1:21">
      <c r="A2597" s="42" t="str">
        <f t="shared" si="122"/>
        <v/>
      </c>
      <c r="G2597" s="47" t="e">
        <f t="shared" si="121"/>
        <v>#DIV/0!</v>
      </c>
      <c r="U2597" s="49" t="e">
        <f t="shared" si="123"/>
        <v>#DIV/0!</v>
      </c>
    </row>
    <row r="2598" customHeight="1" spans="1:21">
      <c r="A2598" s="42" t="str">
        <f t="shared" si="122"/>
        <v/>
      </c>
      <c r="G2598" s="47" t="e">
        <f t="shared" si="121"/>
        <v>#DIV/0!</v>
      </c>
      <c r="U2598" s="49" t="e">
        <f t="shared" si="123"/>
        <v>#DIV/0!</v>
      </c>
    </row>
    <row r="2599" customHeight="1" spans="1:21">
      <c r="A2599" s="42" t="str">
        <f t="shared" si="122"/>
        <v/>
      </c>
      <c r="G2599" s="47" t="e">
        <f t="shared" si="121"/>
        <v>#DIV/0!</v>
      </c>
      <c r="U2599" s="49" t="e">
        <f t="shared" si="123"/>
        <v>#DIV/0!</v>
      </c>
    </row>
    <row r="2600" customHeight="1" spans="1:21">
      <c r="A2600" s="42" t="str">
        <f t="shared" si="122"/>
        <v/>
      </c>
      <c r="G2600" s="47" t="e">
        <f t="shared" si="121"/>
        <v>#DIV/0!</v>
      </c>
      <c r="U2600" s="49" t="e">
        <f t="shared" si="123"/>
        <v>#DIV/0!</v>
      </c>
    </row>
    <row r="2601" customHeight="1" spans="1:21">
      <c r="A2601" s="42" t="str">
        <f t="shared" si="122"/>
        <v/>
      </c>
      <c r="G2601" s="47" t="e">
        <f t="shared" si="121"/>
        <v>#DIV/0!</v>
      </c>
      <c r="U2601" s="49" t="e">
        <f t="shared" si="123"/>
        <v>#DIV/0!</v>
      </c>
    </row>
    <row r="2602" customHeight="1" spans="1:21">
      <c r="A2602" s="42" t="str">
        <f t="shared" si="122"/>
        <v/>
      </c>
      <c r="G2602" s="47" t="e">
        <f t="shared" si="121"/>
        <v>#DIV/0!</v>
      </c>
      <c r="U2602" s="49" t="e">
        <f t="shared" si="123"/>
        <v>#DIV/0!</v>
      </c>
    </row>
    <row r="2603" customHeight="1" spans="1:21">
      <c r="A2603" s="42" t="str">
        <f t="shared" si="122"/>
        <v/>
      </c>
      <c r="G2603" s="47" t="e">
        <f t="shared" si="121"/>
        <v>#DIV/0!</v>
      </c>
      <c r="U2603" s="49" t="e">
        <f t="shared" si="123"/>
        <v>#DIV/0!</v>
      </c>
    </row>
    <row r="2604" customHeight="1" spans="1:21">
      <c r="A2604" s="42" t="str">
        <f t="shared" si="122"/>
        <v/>
      </c>
      <c r="G2604" s="47" t="e">
        <f t="shared" si="121"/>
        <v>#DIV/0!</v>
      </c>
      <c r="U2604" s="49" t="e">
        <f t="shared" si="123"/>
        <v>#DIV/0!</v>
      </c>
    </row>
    <row r="2605" customHeight="1" spans="1:21">
      <c r="A2605" s="42" t="str">
        <f t="shared" si="122"/>
        <v/>
      </c>
      <c r="G2605" s="47" t="e">
        <f t="shared" si="121"/>
        <v>#DIV/0!</v>
      </c>
      <c r="U2605" s="49" t="e">
        <f t="shared" si="123"/>
        <v>#DIV/0!</v>
      </c>
    </row>
    <row r="2606" customHeight="1" spans="1:21">
      <c r="A2606" s="42" t="str">
        <f t="shared" si="122"/>
        <v/>
      </c>
      <c r="G2606" s="47" t="e">
        <f t="shared" si="121"/>
        <v>#DIV/0!</v>
      </c>
      <c r="U2606" s="49" t="e">
        <f t="shared" si="123"/>
        <v>#DIV/0!</v>
      </c>
    </row>
    <row r="2607" customHeight="1" spans="1:21">
      <c r="A2607" s="42" t="str">
        <f t="shared" si="122"/>
        <v/>
      </c>
      <c r="G2607" s="47" t="e">
        <f t="shared" si="121"/>
        <v>#DIV/0!</v>
      </c>
      <c r="U2607" s="49" t="e">
        <f t="shared" si="123"/>
        <v>#DIV/0!</v>
      </c>
    </row>
    <row r="2608" customHeight="1" spans="1:21">
      <c r="A2608" s="42" t="str">
        <f t="shared" si="122"/>
        <v/>
      </c>
      <c r="G2608" s="47" t="e">
        <f t="shared" si="121"/>
        <v>#DIV/0!</v>
      </c>
      <c r="U2608" s="49" t="e">
        <f t="shared" si="123"/>
        <v>#DIV/0!</v>
      </c>
    </row>
    <row r="2609" customHeight="1" spans="1:21">
      <c r="A2609" s="42" t="str">
        <f t="shared" si="122"/>
        <v/>
      </c>
      <c r="G2609" s="47" t="e">
        <f t="shared" si="121"/>
        <v>#DIV/0!</v>
      </c>
      <c r="U2609" s="49" t="e">
        <f t="shared" si="123"/>
        <v>#DIV/0!</v>
      </c>
    </row>
    <row r="2610" customHeight="1" spans="1:21">
      <c r="A2610" s="42" t="str">
        <f t="shared" si="122"/>
        <v/>
      </c>
      <c r="G2610" s="47" t="e">
        <f t="shared" si="121"/>
        <v>#DIV/0!</v>
      </c>
      <c r="U2610" s="49" t="e">
        <f t="shared" si="123"/>
        <v>#DIV/0!</v>
      </c>
    </row>
    <row r="2611" customHeight="1" spans="1:21">
      <c r="A2611" s="42" t="str">
        <f t="shared" si="122"/>
        <v/>
      </c>
      <c r="G2611" s="47" t="e">
        <f t="shared" si="121"/>
        <v>#DIV/0!</v>
      </c>
      <c r="U2611" s="49" t="e">
        <f t="shared" si="123"/>
        <v>#DIV/0!</v>
      </c>
    </row>
    <row r="2612" customHeight="1" spans="1:21">
      <c r="A2612" s="42" t="str">
        <f t="shared" si="122"/>
        <v/>
      </c>
      <c r="G2612" s="47" t="e">
        <f t="shared" si="121"/>
        <v>#DIV/0!</v>
      </c>
      <c r="U2612" s="49" t="e">
        <f t="shared" si="123"/>
        <v>#DIV/0!</v>
      </c>
    </row>
    <row r="2613" customHeight="1" spans="1:21">
      <c r="A2613" s="42" t="str">
        <f t="shared" si="122"/>
        <v/>
      </c>
      <c r="G2613" s="47" t="e">
        <f t="shared" si="121"/>
        <v>#DIV/0!</v>
      </c>
      <c r="U2613" s="49" t="e">
        <f t="shared" si="123"/>
        <v>#DIV/0!</v>
      </c>
    </row>
    <row r="2614" customHeight="1" spans="1:21">
      <c r="A2614" s="42" t="str">
        <f t="shared" si="122"/>
        <v/>
      </c>
      <c r="G2614" s="47" t="e">
        <f t="shared" si="121"/>
        <v>#DIV/0!</v>
      </c>
      <c r="U2614" s="49" t="e">
        <f t="shared" si="123"/>
        <v>#DIV/0!</v>
      </c>
    </row>
    <row r="2615" customHeight="1" spans="1:21">
      <c r="A2615" s="42" t="str">
        <f t="shared" si="122"/>
        <v/>
      </c>
      <c r="G2615" s="47" t="e">
        <f t="shared" si="121"/>
        <v>#DIV/0!</v>
      </c>
      <c r="U2615" s="49" t="e">
        <f t="shared" si="123"/>
        <v>#DIV/0!</v>
      </c>
    </row>
    <row r="2616" customHeight="1" spans="1:21">
      <c r="A2616" s="42" t="str">
        <f t="shared" si="122"/>
        <v/>
      </c>
      <c r="G2616" s="47" t="e">
        <f t="shared" si="121"/>
        <v>#DIV/0!</v>
      </c>
      <c r="U2616" s="49" t="e">
        <f t="shared" si="123"/>
        <v>#DIV/0!</v>
      </c>
    </row>
    <row r="2617" customHeight="1" spans="1:21">
      <c r="A2617" s="42" t="str">
        <f t="shared" si="122"/>
        <v/>
      </c>
      <c r="G2617" s="47" t="e">
        <f t="shared" si="121"/>
        <v>#DIV/0!</v>
      </c>
      <c r="U2617" s="49" t="e">
        <f t="shared" si="123"/>
        <v>#DIV/0!</v>
      </c>
    </row>
    <row r="2618" customHeight="1" spans="1:21">
      <c r="A2618" s="42" t="str">
        <f t="shared" si="122"/>
        <v/>
      </c>
      <c r="G2618" s="47" t="e">
        <f t="shared" si="121"/>
        <v>#DIV/0!</v>
      </c>
      <c r="U2618" s="49" t="e">
        <f t="shared" si="123"/>
        <v>#DIV/0!</v>
      </c>
    </row>
    <row r="2619" customHeight="1" spans="1:21">
      <c r="A2619" s="42" t="str">
        <f t="shared" si="122"/>
        <v/>
      </c>
      <c r="G2619" s="47" t="e">
        <f t="shared" si="121"/>
        <v>#DIV/0!</v>
      </c>
      <c r="U2619" s="49" t="e">
        <f t="shared" si="123"/>
        <v>#DIV/0!</v>
      </c>
    </row>
    <row r="2620" customHeight="1" spans="1:21">
      <c r="A2620" s="42" t="str">
        <f t="shared" si="122"/>
        <v/>
      </c>
      <c r="G2620" s="47" t="e">
        <f t="shared" si="121"/>
        <v>#DIV/0!</v>
      </c>
      <c r="U2620" s="49" t="e">
        <f t="shared" si="123"/>
        <v>#DIV/0!</v>
      </c>
    </row>
    <row r="2621" customHeight="1" spans="1:21">
      <c r="A2621" s="42" t="str">
        <f t="shared" si="122"/>
        <v/>
      </c>
      <c r="G2621" s="47" t="e">
        <f t="shared" si="121"/>
        <v>#DIV/0!</v>
      </c>
      <c r="U2621" s="49" t="e">
        <f t="shared" si="123"/>
        <v>#DIV/0!</v>
      </c>
    </row>
    <row r="2622" customHeight="1" spans="1:21">
      <c r="A2622" s="42" t="str">
        <f t="shared" si="122"/>
        <v/>
      </c>
      <c r="G2622" s="47" t="e">
        <f t="shared" si="121"/>
        <v>#DIV/0!</v>
      </c>
      <c r="U2622" s="49" t="e">
        <f t="shared" si="123"/>
        <v>#DIV/0!</v>
      </c>
    </row>
    <row r="2623" customHeight="1" spans="1:21">
      <c r="A2623" s="42" t="str">
        <f t="shared" si="122"/>
        <v/>
      </c>
      <c r="G2623" s="47" t="e">
        <f t="shared" si="121"/>
        <v>#DIV/0!</v>
      </c>
      <c r="U2623" s="49" t="e">
        <f t="shared" si="123"/>
        <v>#DIV/0!</v>
      </c>
    </row>
    <row r="2624" customHeight="1" spans="1:21">
      <c r="A2624" s="42" t="str">
        <f t="shared" si="122"/>
        <v/>
      </c>
      <c r="G2624" s="47" t="e">
        <f t="shared" si="121"/>
        <v>#DIV/0!</v>
      </c>
      <c r="U2624" s="49" t="e">
        <f t="shared" si="123"/>
        <v>#DIV/0!</v>
      </c>
    </row>
    <row r="2625" customHeight="1" spans="1:21">
      <c r="A2625" s="42" t="str">
        <f t="shared" si="122"/>
        <v/>
      </c>
      <c r="G2625" s="47" t="e">
        <f t="shared" si="121"/>
        <v>#DIV/0!</v>
      </c>
      <c r="U2625" s="49" t="e">
        <f t="shared" si="123"/>
        <v>#DIV/0!</v>
      </c>
    </row>
    <row r="2626" customHeight="1" spans="1:21">
      <c r="A2626" s="42" t="str">
        <f t="shared" si="122"/>
        <v/>
      </c>
      <c r="G2626" s="47" t="e">
        <f t="shared" si="121"/>
        <v>#DIV/0!</v>
      </c>
      <c r="U2626" s="49" t="e">
        <f t="shared" si="123"/>
        <v>#DIV/0!</v>
      </c>
    </row>
    <row r="2627" customHeight="1" spans="1:21">
      <c r="A2627" s="42" t="str">
        <f t="shared" si="122"/>
        <v/>
      </c>
      <c r="G2627" s="47" t="e">
        <f t="shared" ref="G2627:G2690" si="124">+E2627/F2627</f>
        <v>#DIV/0!</v>
      </c>
      <c r="U2627" s="49" t="e">
        <f t="shared" si="123"/>
        <v>#DIV/0!</v>
      </c>
    </row>
    <row r="2628" customHeight="1" spans="1:21">
      <c r="A2628" s="42" t="str">
        <f t="shared" ref="A2628:A2691" si="125">B2628&amp;C2628&amp;D2628</f>
        <v/>
      </c>
      <c r="G2628" s="47" t="e">
        <f t="shared" si="124"/>
        <v>#DIV/0!</v>
      </c>
      <c r="U2628" s="49" t="e">
        <f t="shared" ref="U2628:U2691" si="126">SUM(G2628:T2628)</f>
        <v>#DIV/0!</v>
      </c>
    </row>
    <row r="2629" customHeight="1" spans="1:21">
      <c r="A2629" s="42" t="str">
        <f t="shared" si="125"/>
        <v/>
      </c>
      <c r="G2629" s="47" t="e">
        <f t="shared" si="124"/>
        <v>#DIV/0!</v>
      </c>
      <c r="U2629" s="49" t="e">
        <f t="shared" si="126"/>
        <v>#DIV/0!</v>
      </c>
    </row>
    <row r="2630" customHeight="1" spans="1:21">
      <c r="A2630" s="42" t="str">
        <f t="shared" si="125"/>
        <v/>
      </c>
      <c r="G2630" s="47" t="e">
        <f t="shared" si="124"/>
        <v>#DIV/0!</v>
      </c>
      <c r="U2630" s="49" t="e">
        <f t="shared" si="126"/>
        <v>#DIV/0!</v>
      </c>
    </row>
    <row r="2631" customHeight="1" spans="1:21">
      <c r="A2631" s="42" t="str">
        <f t="shared" si="125"/>
        <v/>
      </c>
      <c r="G2631" s="47" t="e">
        <f t="shared" si="124"/>
        <v>#DIV/0!</v>
      </c>
      <c r="U2631" s="49" t="e">
        <f t="shared" si="126"/>
        <v>#DIV/0!</v>
      </c>
    </row>
    <row r="2632" customHeight="1" spans="1:21">
      <c r="A2632" s="42" t="str">
        <f t="shared" si="125"/>
        <v/>
      </c>
      <c r="G2632" s="47" t="e">
        <f t="shared" si="124"/>
        <v>#DIV/0!</v>
      </c>
      <c r="U2632" s="49" t="e">
        <f t="shared" si="126"/>
        <v>#DIV/0!</v>
      </c>
    </row>
    <row r="2633" customHeight="1" spans="1:21">
      <c r="A2633" s="42" t="str">
        <f t="shared" si="125"/>
        <v/>
      </c>
      <c r="G2633" s="47" t="e">
        <f t="shared" si="124"/>
        <v>#DIV/0!</v>
      </c>
      <c r="U2633" s="49" t="e">
        <f t="shared" si="126"/>
        <v>#DIV/0!</v>
      </c>
    </row>
    <row r="2634" customHeight="1" spans="1:21">
      <c r="A2634" s="42" t="str">
        <f t="shared" si="125"/>
        <v/>
      </c>
      <c r="G2634" s="47" t="e">
        <f t="shared" si="124"/>
        <v>#DIV/0!</v>
      </c>
      <c r="U2634" s="49" t="e">
        <f t="shared" si="126"/>
        <v>#DIV/0!</v>
      </c>
    </row>
    <row r="2635" customHeight="1" spans="1:21">
      <c r="A2635" s="42" t="str">
        <f t="shared" si="125"/>
        <v/>
      </c>
      <c r="G2635" s="47" t="e">
        <f t="shared" si="124"/>
        <v>#DIV/0!</v>
      </c>
      <c r="U2635" s="49" t="e">
        <f t="shared" si="126"/>
        <v>#DIV/0!</v>
      </c>
    </row>
    <row r="2636" customHeight="1" spans="1:21">
      <c r="A2636" s="42" t="str">
        <f t="shared" si="125"/>
        <v/>
      </c>
      <c r="G2636" s="47" t="e">
        <f t="shared" si="124"/>
        <v>#DIV/0!</v>
      </c>
      <c r="U2636" s="49" t="e">
        <f t="shared" si="126"/>
        <v>#DIV/0!</v>
      </c>
    </row>
    <row r="2637" customHeight="1" spans="1:21">
      <c r="A2637" s="42" t="str">
        <f t="shared" si="125"/>
        <v/>
      </c>
      <c r="G2637" s="47" t="e">
        <f t="shared" si="124"/>
        <v>#DIV/0!</v>
      </c>
      <c r="U2637" s="49" t="e">
        <f t="shared" si="126"/>
        <v>#DIV/0!</v>
      </c>
    </row>
    <row r="2638" customHeight="1" spans="1:21">
      <c r="A2638" s="42" t="str">
        <f t="shared" si="125"/>
        <v/>
      </c>
      <c r="G2638" s="47" t="e">
        <f t="shared" si="124"/>
        <v>#DIV/0!</v>
      </c>
      <c r="U2638" s="49" t="e">
        <f t="shared" si="126"/>
        <v>#DIV/0!</v>
      </c>
    </row>
    <row r="2639" customHeight="1" spans="1:21">
      <c r="A2639" s="42" t="str">
        <f t="shared" si="125"/>
        <v/>
      </c>
      <c r="G2639" s="47" t="e">
        <f t="shared" si="124"/>
        <v>#DIV/0!</v>
      </c>
      <c r="U2639" s="49" t="e">
        <f t="shared" si="126"/>
        <v>#DIV/0!</v>
      </c>
    </row>
    <row r="2640" customHeight="1" spans="1:21">
      <c r="A2640" s="42" t="str">
        <f t="shared" si="125"/>
        <v/>
      </c>
      <c r="G2640" s="47" t="e">
        <f t="shared" si="124"/>
        <v>#DIV/0!</v>
      </c>
      <c r="U2640" s="49" t="e">
        <f t="shared" si="126"/>
        <v>#DIV/0!</v>
      </c>
    </row>
    <row r="2641" customHeight="1" spans="1:21">
      <c r="A2641" s="42" t="str">
        <f t="shared" si="125"/>
        <v/>
      </c>
      <c r="G2641" s="47" t="e">
        <f t="shared" si="124"/>
        <v>#DIV/0!</v>
      </c>
      <c r="U2641" s="49" t="e">
        <f t="shared" si="126"/>
        <v>#DIV/0!</v>
      </c>
    </row>
    <row r="2642" customHeight="1" spans="1:21">
      <c r="A2642" s="42" t="str">
        <f t="shared" si="125"/>
        <v/>
      </c>
      <c r="G2642" s="47" t="e">
        <f t="shared" si="124"/>
        <v>#DIV/0!</v>
      </c>
      <c r="U2642" s="49" t="e">
        <f t="shared" si="126"/>
        <v>#DIV/0!</v>
      </c>
    </row>
    <row r="2643" customHeight="1" spans="1:21">
      <c r="A2643" s="42" t="str">
        <f t="shared" si="125"/>
        <v/>
      </c>
      <c r="G2643" s="47" t="e">
        <f t="shared" si="124"/>
        <v>#DIV/0!</v>
      </c>
      <c r="U2643" s="49" t="e">
        <f t="shared" si="126"/>
        <v>#DIV/0!</v>
      </c>
    </row>
    <row r="2644" customHeight="1" spans="1:21">
      <c r="A2644" s="42" t="str">
        <f t="shared" si="125"/>
        <v/>
      </c>
      <c r="G2644" s="47" t="e">
        <f t="shared" si="124"/>
        <v>#DIV/0!</v>
      </c>
      <c r="U2644" s="49" t="e">
        <f t="shared" si="126"/>
        <v>#DIV/0!</v>
      </c>
    </row>
    <row r="2645" customHeight="1" spans="1:21">
      <c r="A2645" s="42" t="str">
        <f t="shared" si="125"/>
        <v/>
      </c>
      <c r="G2645" s="47" t="e">
        <f t="shared" si="124"/>
        <v>#DIV/0!</v>
      </c>
      <c r="U2645" s="49" t="e">
        <f t="shared" si="126"/>
        <v>#DIV/0!</v>
      </c>
    </row>
    <row r="2646" customHeight="1" spans="1:21">
      <c r="A2646" s="42" t="str">
        <f t="shared" si="125"/>
        <v/>
      </c>
      <c r="G2646" s="47" t="e">
        <f t="shared" si="124"/>
        <v>#DIV/0!</v>
      </c>
      <c r="U2646" s="49" t="e">
        <f t="shared" si="126"/>
        <v>#DIV/0!</v>
      </c>
    </row>
    <row r="2647" customHeight="1" spans="1:21">
      <c r="A2647" s="42" t="str">
        <f t="shared" si="125"/>
        <v/>
      </c>
      <c r="G2647" s="47" t="e">
        <f t="shared" si="124"/>
        <v>#DIV/0!</v>
      </c>
      <c r="U2647" s="49" t="e">
        <f t="shared" si="126"/>
        <v>#DIV/0!</v>
      </c>
    </row>
    <row r="2648" customHeight="1" spans="1:21">
      <c r="A2648" s="42" t="str">
        <f t="shared" si="125"/>
        <v/>
      </c>
      <c r="G2648" s="47" t="e">
        <f t="shared" si="124"/>
        <v>#DIV/0!</v>
      </c>
      <c r="U2648" s="49" t="e">
        <f t="shared" si="126"/>
        <v>#DIV/0!</v>
      </c>
    </row>
    <row r="2649" customHeight="1" spans="1:21">
      <c r="A2649" s="42" t="str">
        <f t="shared" si="125"/>
        <v/>
      </c>
      <c r="G2649" s="47" t="e">
        <f t="shared" si="124"/>
        <v>#DIV/0!</v>
      </c>
      <c r="U2649" s="49" t="e">
        <f t="shared" si="126"/>
        <v>#DIV/0!</v>
      </c>
    </row>
    <row r="2650" customHeight="1" spans="1:21">
      <c r="A2650" s="42" t="str">
        <f t="shared" si="125"/>
        <v/>
      </c>
      <c r="G2650" s="47" t="e">
        <f t="shared" si="124"/>
        <v>#DIV/0!</v>
      </c>
      <c r="U2650" s="49" t="e">
        <f t="shared" si="126"/>
        <v>#DIV/0!</v>
      </c>
    </row>
    <row r="2651" customHeight="1" spans="1:21">
      <c r="A2651" s="42" t="str">
        <f t="shared" si="125"/>
        <v/>
      </c>
      <c r="G2651" s="47" t="e">
        <f t="shared" si="124"/>
        <v>#DIV/0!</v>
      </c>
      <c r="U2651" s="49" t="e">
        <f t="shared" si="126"/>
        <v>#DIV/0!</v>
      </c>
    </row>
    <row r="2652" customHeight="1" spans="1:21">
      <c r="A2652" s="42" t="str">
        <f t="shared" si="125"/>
        <v/>
      </c>
      <c r="G2652" s="47" t="e">
        <f t="shared" si="124"/>
        <v>#DIV/0!</v>
      </c>
      <c r="U2652" s="49" t="e">
        <f t="shared" si="126"/>
        <v>#DIV/0!</v>
      </c>
    </row>
    <row r="2653" customHeight="1" spans="1:21">
      <c r="A2653" s="42" t="str">
        <f t="shared" si="125"/>
        <v/>
      </c>
      <c r="G2653" s="47" t="e">
        <f t="shared" si="124"/>
        <v>#DIV/0!</v>
      </c>
      <c r="U2653" s="49" t="e">
        <f t="shared" si="126"/>
        <v>#DIV/0!</v>
      </c>
    </row>
    <row r="2654" customHeight="1" spans="1:21">
      <c r="A2654" s="42" t="str">
        <f t="shared" si="125"/>
        <v/>
      </c>
      <c r="G2654" s="47" t="e">
        <f t="shared" si="124"/>
        <v>#DIV/0!</v>
      </c>
      <c r="U2654" s="49" t="e">
        <f t="shared" si="126"/>
        <v>#DIV/0!</v>
      </c>
    </row>
    <row r="2655" customHeight="1" spans="1:21">
      <c r="A2655" s="42" t="str">
        <f t="shared" si="125"/>
        <v/>
      </c>
      <c r="G2655" s="47" t="e">
        <f t="shared" si="124"/>
        <v>#DIV/0!</v>
      </c>
      <c r="U2655" s="49" t="e">
        <f t="shared" si="126"/>
        <v>#DIV/0!</v>
      </c>
    </row>
    <row r="2656" customHeight="1" spans="1:21">
      <c r="A2656" s="42" t="str">
        <f t="shared" si="125"/>
        <v/>
      </c>
      <c r="G2656" s="47" t="e">
        <f t="shared" si="124"/>
        <v>#DIV/0!</v>
      </c>
      <c r="U2656" s="49" t="e">
        <f t="shared" si="126"/>
        <v>#DIV/0!</v>
      </c>
    </row>
    <row r="2657" customHeight="1" spans="1:21">
      <c r="A2657" s="42" t="str">
        <f t="shared" si="125"/>
        <v/>
      </c>
      <c r="G2657" s="47" t="e">
        <f t="shared" si="124"/>
        <v>#DIV/0!</v>
      </c>
      <c r="U2657" s="49" t="e">
        <f t="shared" si="126"/>
        <v>#DIV/0!</v>
      </c>
    </row>
    <row r="2658" customHeight="1" spans="1:21">
      <c r="A2658" s="42" t="str">
        <f t="shared" si="125"/>
        <v/>
      </c>
      <c r="G2658" s="47" t="e">
        <f t="shared" si="124"/>
        <v>#DIV/0!</v>
      </c>
      <c r="U2658" s="49" t="e">
        <f t="shared" si="126"/>
        <v>#DIV/0!</v>
      </c>
    </row>
    <row r="2659" customHeight="1" spans="1:21">
      <c r="A2659" s="42" t="str">
        <f t="shared" si="125"/>
        <v/>
      </c>
      <c r="G2659" s="47" t="e">
        <f t="shared" si="124"/>
        <v>#DIV/0!</v>
      </c>
      <c r="U2659" s="49" t="e">
        <f t="shared" si="126"/>
        <v>#DIV/0!</v>
      </c>
    </row>
    <row r="2660" customHeight="1" spans="1:21">
      <c r="A2660" s="42" t="str">
        <f t="shared" si="125"/>
        <v/>
      </c>
      <c r="G2660" s="47" t="e">
        <f t="shared" si="124"/>
        <v>#DIV/0!</v>
      </c>
      <c r="U2660" s="49" t="e">
        <f t="shared" si="126"/>
        <v>#DIV/0!</v>
      </c>
    </row>
    <row r="2661" customHeight="1" spans="1:21">
      <c r="A2661" s="42" t="str">
        <f t="shared" si="125"/>
        <v/>
      </c>
      <c r="G2661" s="47" t="e">
        <f t="shared" si="124"/>
        <v>#DIV/0!</v>
      </c>
      <c r="U2661" s="49" t="e">
        <f t="shared" si="126"/>
        <v>#DIV/0!</v>
      </c>
    </row>
    <row r="2662" customHeight="1" spans="1:21">
      <c r="A2662" s="42" t="str">
        <f t="shared" si="125"/>
        <v/>
      </c>
      <c r="G2662" s="47" t="e">
        <f t="shared" si="124"/>
        <v>#DIV/0!</v>
      </c>
      <c r="U2662" s="49" t="e">
        <f t="shared" si="126"/>
        <v>#DIV/0!</v>
      </c>
    </row>
    <row r="2663" customHeight="1" spans="1:21">
      <c r="A2663" s="42" t="str">
        <f t="shared" si="125"/>
        <v/>
      </c>
      <c r="G2663" s="47" t="e">
        <f t="shared" si="124"/>
        <v>#DIV/0!</v>
      </c>
      <c r="U2663" s="49" t="e">
        <f t="shared" si="126"/>
        <v>#DIV/0!</v>
      </c>
    </row>
    <row r="2664" customHeight="1" spans="1:21">
      <c r="A2664" s="42" t="str">
        <f t="shared" si="125"/>
        <v/>
      </c>
      <c r="G2664" s="47" t="e">
        <f t="shared" si="124"/>
        <v>#DIV/0!</v>
      </c>
      <c r="U2664" s="49" t="e">
        <f t="shared" si="126"/>
        <v>#DIV/0!</v>
      </c>
    </row>
    <row r="2665" customHeight="1" spans="1:21">
      <c r="A2665" s="42" t="str">
        <f t="shared" si="125"/>
        <v/>
      </c>
      <c r="G2665" s="47" t="e">
        <f t="shared" si="124"/>
        <v>#DIV/0!</v>
      </c>
      <c r="U2665" s="49" t="e">
        <f t="shared" si="126"/>
        <v>#DIV/0!</v>
      </c>
    </row>
    <row r="2666" customHeight="1" spans="1:21">
      <c r="A2666" s="42" t="str">
        <f t="shared" si="125"/>
        <v/>
      </c>
      <c r="G2666" s="47" t="e">
        <f t="shared" si="124"/>
        <v>#DIV/0!</v>
      </c>
      <c r="U2666" s="49" t="e">
        <f t="shared" si="126"/>
        <v>#DIV/0!</v>
      </c>
    </row>
    <row r="2667" customHeight="1" spans="1:21">
      <c r="A2667" s="42" t="str">
        <f t="shared" si="125"/>
        <v/>
      </c>
      <c r="G2667" s="47" t="e">
        <f t="shared" si="124"/>
        <v>#DIV/0!</v>
      </c>
      <c r="U2667" s="49" t="e">
        <f t="shared" si="126"/>
        <v>#DIV/0!</v>
      </c>
    </row>
    <row r="2668" customHeight="1" spans="1:21">
      <c r="A2668" s="42" t="str">
        <f t="shared" si="125"/>
        <v/>
      </c>
      <c r="G2668" s="47" t="e">
        <f t="shared" si="124"/>
        <v>#DIV/0!</v>
      </c>
      <c r="U2668" s="49" t="e">
        <f t="shared" si="126"/>
        <v>#DIV/0!</v>
      </c>
    </row>
    <row r="2669" customHeight="1" spans="1:21">
      <c r="A2669" s="42" t="str">
        <f t="shared" si="125"/>
        <v/>
      </c>
      <c r="G2669" s="47" t="e">
        <f t="shared" si="124"/>
        <v>#DIV/0!</v>
      </c>
      <c r="U2669" s="49" t="e">
        <f t="shared" si="126"/>
        <v>#DIV/0!</v>
      </c>
    </row>
    <row r="2670" customHeight="1" spans="1:21">
      <c r="A2670" s="42" t="str">
        <f t="shared" si="125"/>
        <v/>
      </c>
      <c r="G2670" s="47" t="e">
        <f t="shared" si="124"/>
        <v>#DIV/0!</v>
      </c>
      <c r="U2670" s="49" t="e">
        <f t="shared" si="126"/>
        <v>#DIV/0!</v>
      </c>
    </row>
    <row r="2671" customHeight="1" spans="1:21">
      <c r="A2671" s="42" t="str">
        <f t="shared" si="125"/>
        <v/>
      </c>
      <c r="G2671" s="47" t="e">
        <f t="shared" si="124"/>
        <v>#DIV/0!</v>
      </c>
      <c r="U2671" s="49" t="e">
        <f t="shared" si="126"/>
        <v>#DIV/0!</v>
      </c>
    </row>
    <row r="2672" customHeight="1" spans="1:21">
      <c r="A2672" s="42" t="str">
        <f t="shared" si="125"/>
        <v/>
      </c>
      <c r="G2672" s="47" t="e">
        <f t="shared" si="124"/>
        <v>#DIV/0!</v>
      </c>
      <c r="U2672" s="49" t="e">
        <f t="shared" si="126"/>
        <v>#DIV/0!</v>
      </c>
    </row>
    <row r="2673" customHeight="1" spans="1:21">
      <c r="A2673" s="42" t="str">
        <f t="shared" si="125"/>
        <v/>
      </c>
      <c r="G2673" s="47" t="e">
        <f t="shared" si="124"/>
        <v>#DIV/0!</v>
      </c>
      <c r="U2673" s="49" t="e">
        <f t="shared" si="126"/>
        <v>#DIV/0!</v>
      </c>
    </row>
    <row r="2674" customHeight="1" spans="1:21">
      <c r="A2674" s="42" t="str">
        <f t="shared" si="125"/>
        <v/>
      </c>
      <c r="G2674" s="47" t="e">
        <f t="shared" si="124"/>
        <v>#DIV/0!</v>
      </c>
      <c r="U2674" s="49" t="e">
        <f t="shared" si="126"/>
        <v>#DIV/0!</v>
      </c>
    </row>
    <row r="2675" customHeight="1" spans="1:21">
      <c r="A2675" s="42" t="str">
        <f t="shared" si="125"/>
        <v/>
      </c>
      <c r="G2675" s="47" t="e">
        <f t="shared" si="124"/>
        <v>#DIV/0!</v>
      </c>
      <c r="U2675" s="49" t="e">
        <f t="shared" si="126"/>
        <v>#DIV/0!</v>
      </c>
    </row>
    <row r="2676" customHeight="1" spans="1:21">
      <c r="A2676" s="42" t="str">
        <f t="shared" si="125"/>
        <v/>
      </c>
      <c r="G2676" s="47" t="e">
        <f t="shared" si="124"/>
        <v>#DIV/0!</v>
      </c>
      <c r="U2676" s="49" t="e">
        <f t="shared" si="126"/>
        <v>#DIV/0!</v>
      </c>
    </row>
    <row r="2677" customHeight="1" spans="1:21">
      <c r="A2677" s="42" t="str">
        <f t="shared" si="125"/>
        <v/>
      </c>
      <c r="G2677" s="47" t="e">
        <f t="shared" si="124"/>
        <v>#DIV/0!</v>
      </c>
      <c r="U2677" s="49" t="e">
        <f t="shared" si="126"/>
        <v>#DIV/0!</v>
      </c>
    </row>
    <row r="2678" customHeight="1" spans="1:21">
      <c r="A2678" s="42" t="str">
        <f t="shared" si="125"/>
        <v/>
      </c>
      <c r="G2678" s="47" t="e">
        <f t="shared" si="124"/>
        <v>#DIV/0!</v>
      </c>
      <c r="U2678" s="49" t="e">
        <f t="shared" si="126"/>
        <v>#DIV/0!</v>
      </c>
    </row>
    <row r="2679" customHeight="1" spans="1:21">
      <c r="A2679" s="42" t="str">
        <f t="shared" si="125"/>
        <v/>
      </c>
      <c r="G2679" s="47" t="e">
        <f t="shared" si="124"/>
        <v>#DIV/0!</v>
      </c>
      <c r="U2679" s="49" t="e">
        <f t="shared" si="126"/>
        <v>#DIV/0!</v>
      </c>
    </row>
    <row r="2680" customHeight="1" spans="1:21">
      <c r="A2680" s="42" t="str">
        <f t="shared" si="125"/>
        <v/>
      </c>
      <c r="G2680" s="47" t="e">
        <f t="shared" si="124"/>
        <v>#DIV/0!</v>
      </c>
      <c r="U2680" s="49" t="e">
        <f t="shared" si="126"/>
        <v>#DIV/0!</v>
      </c>
    </row>
    <row r="2681" customHeight="1" spans="1:21">
      <c r="A2681" s="42" t="str">
        <f t="shared" si="125"/>
        <v/>
      </c>
      <c r="G2681" s="47" t="e">
        <f t="shared" si="124"/>
        <v>#DIV/0!</v>
      </c>
      <c r="U2681" s="49" t="e">
        <f t="shared" si="126"/>
        <v>#DIV/0!</v>
      </c>
    </row>
    <row r="2682" customHeight="1" spans="1:21">
      <c r="A2682" s="42" t="str">
        <f t="shared" si="125"/>
        <v/>
      </c>
      <c r="G2682" s="47" t="e">
        <f t="shared" si="124"/>
        <v>#DIV/0!</v>
      </c>
      <c r="U2682" s="49" t="e">
        <f t="shared" si="126"/>
        <v>#DIV/0!</v>
      </c>
    </row>
    <row r="2683" customHeight="1" spans="1:21">
      <c r="A2683" s="42" t="str">
        <f t="shared" si="125"/>
        <v/>
      </c>
      <c r="G2683" s="47" t="e">
        <f t="shared" si="124"/>
        <v>#DIV/0!</v>
      </c>
      <c r="U2683" s="49" t="e">
        <f t="shared" si="126"/>
        <v>#DIV/0!</v>
      </c>
    </row>
    <row r="2684" customHeight="1" spans="1:21">
      <c r="A2684" s="42" t="str">
        <f t="shared" si="125"/>
        <v/>
      </c>
      <c r="G2684" s="47" t="e">
        <f t="shared" si="124"/>
        <v>#DIV/0!</v>
      </c>
      <c r="U2684" s="49" t="e">
        <f t="shared" si="126"/>
        <v>#DIV/0!</v>
      </c>
    </row>
    <row r="2685" customHeight="1" spans="1:21">
      <c r="A2685" s="42" t="str">
        <f t="shared" si="125"/>
        <v/>
      </c>
      <c r="G2685" s="47" t="e">
        <f t="shared" si="124"/>
        <v>#DIV/0!</v>
      </c>
      <c r="U2685" s="49" t="e">
        <f t="shared" si="126"/>
        <v>#DIV/0!</v>
      </c>
    </row>
    <row r="2686" customHeight="1" spans="1:21">
      <c r="A2686" s="42" t="str">
        <f t="shared" si="125"/>
        <v/>
      </c>
      <c r="G2686" s="47" t="e">
        <f t="shared" si="124"/>
        <v>#DIV/0!</v>
      </c>
      <c r="U2686" s="49" t="e">
        <f t="shared" si="126"/>
        <v>#DIV/0!</v>
      </c>
    </row>
    <row r="2687" customHeight="1" spans="1:21">
      <c r="A2687" s="42" t="str">
        <f t="shared" si="125"/>
        <v/>
      </c>
      <c r="G2687" s="47" t="e">
        <f t="shared" si="124"/>
        <v>#DIV/0!</v>
      </c>
      <c r="U2687" s="49" t="e">
        <f t="shared" si="126"/>
        <v>#DIV/0!</v>
      </c>
    </row>
    <row r="2688" customHeight="1" spans="1:21">
      <c r="A2688" s="42" t="str">
        <f t="shared" si="125"/>
        <v/>
      </c>
      <c r="G2688" s="47" t="e">
        <f t="shared" si="124"/>
        <v>#DIV/0!</v>
      </c>
      <c r="U2688" s="49" t="e">
        <f t="shared" si="126"/>
        <v>#DIV/0!</v>
      </c>
    </row>
    <row r="2689" customHeight="1" spans="1:21">
      <c r="A2689" s="42" t="str">
        <f t="shared" si="125"/>
        <v/>
      </c>
      <c r="G2689" s="47" t="e">
        <f t="shared" si="124"/>
        <v>#DIV/0!</v>
      </c>
      <c r="U2689" s="49" t="e">
        <f t="shared" si="126"/>
        <v>#DIV/0!</v>
      </c>
    </row>
    <row r="2690" customHeight="1" spans="1:21">
      <c r="A2690" s="42" t="str">
        <f t="shared" si="125"/>
        <v/>
      </c>
      <c r="G2690" s="47" t="e">
        <f t="shared" si="124"/>
        <v>#DIV/0!</v>
      </c>
      <c r="U2690" s="49" t="e">
        <f t="shared" si="126"/>
        <v>#DIV/0!</v>
      </c>
    </row>
    <row r="2691" customHeight="1" spans="1:21">
      <c r="A2691" s="42" t="str">
        <f t="shared" si="125"/>
        <v/>
      </c>
      <c r="G2691" s="47" t="e">
        <f t="shared" ref="G2691:G2754" si="127">+E2691/F2691</f>
        <v>#DIV/0!</v>
      </c>
      <c r="U2691" s="49" t="e">
        <f t="shared" si="126"/>
        <v>#DIV/0!</v>
      </c>
    </row>
    <row r="2692" customHeight="1" spans="1:21">
      <c r="A2692" s="42" t="str">
        <f t="shared" ref="A2692:A2755" si="128">B2692&amp;C2692&amp;D2692</f>
        <v/>
      </c>
      <c r="G2692" s="47" t="e">
        <f t="shared" si="127"/>
        <v>#DIV/0!</v>
      </c>
      <c r="U2692" s="49" t="e">
        <f t="shared" ref="U2692:U2755" si="129">SUM(G2692:T2692)</f>
        <v>#DIV/0!</v>
      </c>
    </row>
    <row r="2693" customHeight="1" spans="1:21">
      <c r="A2693" s="42" t="str">
        <f t="shared" si="128"/>
        <v/>
      </c>
      <c r="G2693" s="47" t="e">
        <f t="shared" si="127"/>
        <v>#DIV/0!</v>
      </c>
      <c r="U2693" s="49" t="e">
        <f t="shared" si="129"/>
        <v>#DIV/0!</v>
      </c>
    </row>
    <row r="2694" customHeight="1" spans="1:21">
      <c r="A2694" s="42" t="str">
        <f t="shared" si="128"/>
        <v/>
      </c>
      <c r="G2694" s="47" t="e">
        <f t="shared" si="127"/>
        <v>#DIV/0!</v>
      </c>
      <c r="U2694" s="49" t="e">
        <f t="shared" si="129"/>
        <v>#DIV/0!</v>
      </c>
    </row>
    <row r="2695" customHeight="1" spans="1:21">
      <c r="A2695" s="42" t="str">
        <f t="shared" si="128"/>
        <v/>
      </c>
      <c r="G2695" s="47" t="e">
        <f t="shared" si="127"/>
        <v>#DIV/0!</v>
      </c>
      <c r="U2695" s="49" t="e">
        <f t="shared" si="129"/>
        <v>#DIV/0!</v>
      </c>
    </row>
    <row r="2696" customHeight="1" spans="1:21">
      <c r="A2696" s="42" t="str">
        <f t="shared" si="128"/>
        <v/>
      </c>
      <c r="G2696" s="47" t="e">
        <f t="shared" si="127"/>
        <v>#DIV/0!</v>
      </c>
      <c r="U2696" s="49" t="e">
        <f t="shared" si="129"/>
        <v>#DIV/0!</v>
      </c>
    </row>
    <row r="2697" customHeight="1" spans="1:21">
      <c r="A2697" s="42" t="str">
        <f t="shared" si="128"/>
        <v/>
      </c>
      <c r="G2697" s="47" t="e">
        <f t="shared" si="127"/>
        <v>#DIV/0!</v>
      </c>
      <c r="U2697" s="49" t="e">
        <f t="shared" si="129"/>
        <v>#DIV/0!</v>
      </c>
    </row>
    <row r="2698" customHeight="1" spans="1:21">
      <c r="A2698" s="42" t="str">
        <f t="shared" si="128"/>
        <v/>
      </c>
      <c r="G2698" s="47" t="e">
        <f t="shared" si="127"/>
        <v>#DIV/0!</v>
      </c>
      <c r="U2698" s="49" t="e">
        <f t="shared" si="129"/>
        <v>#DIV/0!</v>
      </c>
    </row>
    <row r="2699" customHeight="1" spans="1:21">
      <c r="A2699" s="42" t="str">
        <f t="shared" si="128"/>
        <v/>
      </c>
      <c r="G2699" s="47" t="e">
        <f t="shared" si="127"/>
        <v>#DIV/0!</v>
      </c>
      <c r="U2699" s="49" t="e">
        <f t="shared" si="129"/>
        <v>#DIV/0!</v>
      </c>
    </row>
    <row r="2700" customHeight="1" spans="1:21">
      <c r="A2700" s="42" t="str">
        <f t="shared" si="128"/>
        <v/>
      </c>
      <c r="G2700" s="47" t="e">
        <f t="shared" si="127"/>
        <v>#DIV/0!</v>
      </c>
      <c r="U2700" s="49" t="e">
        <f t="shared" si="129"/>
        <v>#DIV/0!</v>
      </c>
    </row>
    <row r="2701" customHeight="1" spans="1:21">
      <c r="A2701" s="42" t="str">
        <f t="shared" si="128"/>
        <v/>
      </c>
      <c r="G2701" s="47" t="e">
        <f t="shared" si="127"/>
        <v>#DIV/0!</v>
      </c>
      <c r="U2701" s="49" t="e">
        <f t="shared" si="129"/>
        <v>#DIV/0!</v>
      </c>
    </row>
    <row r="2702" customHeight="1" spans="1:21">
      <c r="A2702" s="42" t="str">
        <f t="shared" si="128"/>
        <v/>
      </c>
      <c r="G2702" s="47" t="e">
        <f t="shared" si="127"/>
        <v>#DIV/0!</v>
      </c>
      <c r="U2702" s="49" t="e">
        <f t="shared" si="129"/>
        <v>#DIV/0!</v>
      </c>
    </row>
    <row r="2703" customHeight="1" spans="1:21">
      <c r="A2703" s="42" t="str">
        <f t="shared" si="128"/>
        <v/>
      </c>
      <c r="G2703" s="47" t="e">
        <f t="shared" si="127"/>
        <v>#DIV/0!</v>
      </c>
      <c r="U2703" s="49" t="e">
        <f t="shared" si="129"/>
        <v>#DIV/0!</v>
      </c>
    </row>
    <row r="2704" customHeight="1" spans="1:21">
      <c r="A2704" s="42" t="str">
        <f t="shared" si="128"/>
        <v/>
      </c>
      <c r="G2704" s="47" t="e">
        <f t="shared" si="127"/>
        <v>#DIV/0!</v>
      </c>
      <c r="U2704" s="49" t="e">
        <f t="shared" si="129"/>
        <v>#DIV/0!</v>
      </c>
    </row>
    <row r="2705" customHeight="1" spans="1:21">
      <c r="A2705" s="42" t="str">
        <f t="shared" si="128"/>
        <v/>
      </c>
      <c r="G2705" s="47" t="e">
        <f t="shared" si="127"/>
        <v>#DIV/0!</v>
      </c>
      <c r="U2705" s="49" t="e">
        <f t="shared" si="129"/>
        <v>#DIV/0!</v>
      </c>
    </row>
    <row r="2706" customHeight="1" spans="1:21">
      <c r="A2706" s="42" t="str">
        <f t="shared" si="128"/>
        <v/>
      </c>
      <c r="G2706" s="47" t="e">
        <f t="shared" si="127"/>
        <v>#DIV/0!</v>
      </c>
      <c r="U2706" s="49" t="e">
        <f t="shared" si="129"/>
        <v>#DIV/0!</v>
      </c>
    </row>
    <row r="2707" customHeight="1" spans="1:21">
      <c r="A2707" s="42" t="str">
        <f t="shared" si="128"/>
        <v/>
      </c>
      <c r="G2707" s="47" t="e">
        <f t="shared" si="127"/>
        <v>#DIV/0!</v>
      </c>
      <c r="U2707" s="49" t="e">
        <f t="shared" si="129"/>
        <v>#DIV/0!</v>
      </c>
    </row>
    <row r="2708" customHeight="1" spans="1:21">
      <c r="A2708" s="42" t="str">
        <f t="shared" si="128"/>
        <v/>
      </c>
      <c r="G2708" s="47" t="e">
        <f t="shared" si="127"/>
        <v>#DIV/0!</v>
      </c>
      <c r="U2708" s="49" t="e">
        <f t="shared" si="129"/>
        <v>#DIV/0!</v>
      </c>
    </row>
    <row r="2709" customHeight="1" spans="1:21">
      <c r="A2709" s="42" t="str">
        <f t="shared" si="128"/>
        <v/>
      </c>
      <c r="G2709" s="47" t="e">
        <f t="shared" si="127"/>
        <v>#DIV/0!</v>
      </c>
      <c r="U2709" s="49" t="e">
        <f t="shared" si="129"/>
        <v>#DIV/0!</v>
      </c>
    </row>
    <row r="2710" customHeight="1" spans="1:21">
      <c r="A2710" s="42" t="str">
        <f t="shared" si="128"/>
        <v/>
      </c>
      <c r="G2710" s="47" t="e">
        <f t="shared" si="127"/>
        <v>#DIV/0!</v>
      </c>
      <c r="U2710" s="49" t="e">
        <f t="shared" si="129"/>
        <v>#DIV/0!</v>
      </c>
    </row>
    <row r="2711" customHeight="1" spans="1:21">
      <c r="A2711" s="42" t="str">
        <f t="shared" si="128"/>
        <v/>
      </c>
      <c r="G2711" s="47" t="e">
        <f t="shared" si="127"/>
        <v>#DIV/0!</v>
      </c>
      <c r="U2711" s="49" t="e">
        <f t="shared" si="129"/>
        <v>#DIV/0!</v>
      </c>
    </row>
    <row r="2712" customHeight="1" spans="1:21">
      <c r="A2712" s="42" t="str">
        <f t="shared" si="128"/>
        <v/>
      </c>
      <c r="G2712" s="47" t="e">
        <f t="shared" si="127"/>
        <v>#DIV/0!</v>
      </c>
      <c r="U2712" s="49" t="e">
        <f t="shared" si="129"/>
        <v>#DIV/0!</v>
      </c>
    </row>
    <row r="2713" customHeight="1" spans="1:21">
      <c r="A2713" s="42" t="str">
        <f t="shared" si="128"/>
        <v/>
      </c>
      <c r="G2713" s="47" t="e">
        <f t="shared" si="127"/>
        <v>#DIV/0!</v>
      </c>
      <c r="U2713" s="49" t="e">
        <f t="shared" si="129"/>
        <v>#DIV/0!</v>
      </c>
    </row>
    <row r="2714" customHeight="1" spans="1:21">
      <c r="A2714" s="42" t="str">
        <f t="shared" si="128"/>
        <v/>
      </c>
      <c r="G2714" s="47" t="e">
        <f t="shared" si="127"/>
        <v>#DIV/0!</v>
      </c>
      <c r="U2714" s="49" t="e">
        <f t="shared" si="129"/>
        <v>#DIV/0!</v>
      </c>
    </row>
    <row r="2715" customHeight="1" spans="1:21">
      <c r="A2715" s="42" t="str">
        <f t="shared" si="128"/>
        <v/>
      </c>
      <c r="G2715" s="47" t="e">
        <f t="shared" si="127"/>
        <v>#DIV/0!</v>
      </c>
      <c r="U2715" s="49" t="e">
        <f t="shared" si="129"/>
        <v>#DIV/0!</v>
      </c>
    </row>
    <row r="2716" customHeight="1" spans="1:21">
      <c r="A2716" s="42" t="str">
        <f t="shared" si="128"/>
        <v/>
      </c>
      <c r="G2716" s="47" t="e">
        <f t="shared" si="127"/>
        <v>#DIV/0!</v>
      </c>
      <c r="U2716" s="49" t="e">
        <f t="shared" si="129"/>
        <v>#DIV/0!</v>
      </c>
    </row>
    <row r="2717" customHeight="1" spans="1:21">
      <c r="A2717" s="42" t="str">
        <f t="shared" si="128"/>
        <v/>
      </c>
      <c r="G2717" s="47" t="e">
        <f t="shared" si="127"/>
        <v>#DIV/0!</v>
      </c>
      <c r="U2717" s="49" t="e">
        <f t="shared" si="129"/>
        <v>#DIV/0!</v>
      </c>
    </row>
    <row r="2718" customHeight="1" spans="1:21">
      <c r="A2718" s="42" t="str">
        <f t="shared" si="128"/>
        <v/>
      </c>
      <c r="G2718" s="47" t="e">
        <f t="shared" si="127"/>
        <v>#DIV/0!</v>
      </c>
      <c r="U2718" s="49" t="e">
        <f t="shared" si="129"/>
        <v>#DIV/0!</v>
      </c>
    </row>
    <row r="2719" customHeight="1" spans="1:21">
      <c r="A2719" s="42" t="str">
        <f t="shared" si="128"/>
        <v/>
      </c>
      <c r="G2719" s="47" t="e">
        <f t="shared" si="127"/>
        <v>#DIV/0!</v>
      </c>
      <c r="U2719" s="49" t="e">
        <f t="shared" si="129"/>
        <v>#DIV/0!</v>
      </c>
    </row>
    <row r="2720" customHeight="1" spans="1:21">
      <c r="A2720" s="42" t="str">
        <f t="shared" si="128"/>
        <v/>
      </c>
      <c r="G2720" s="47" t="e">
        <f t="shared" si="127"/>
        <v>#DIV/0!</v>
      </c>
      <c r="U2720" s="49" t="e">
        <f t="shared" si="129"/>
        <v>#DIV/0!</v>
      </c>
    </row>
    <row r="2721" customHeight="1" spans="1:21">
      <c r="A2721" s="42" t="str">
        <f t="shared" si="128"/>
        <v/>
      </c>
      <c r="G2721" s="47" t="e">
        <f t="shared" si="127"/>
        <v>#DIV/0!</v>
      </c>
      <c r="U2721" s="49" t="e">
        <f t="shared" si="129"/>
        <v>#DIV/0!</v>
      </c>
    </row>
    <row r="2722" customHeight="1" spans="1:21">
      <c r="A2722" s="42" t="str">
        <f t="shared" si="128"/>
        <v/>
      </c>
      <c r="G2722" s="47" t="e">
        <f t="shared" si="127"/>
        <v>#DIV/0!</v>
      </c>
      <c r="U2722" s="49" t="e">
        <f t="shared" si="129"/>
        <v>#DIV/0!</v>
      </c>
    </row>
    <row r="2723" customHeight="1" spans="1:21">
      <c r="A2723" s="42" t="str">
        <f t="shared" si="128"/>
        <v/>
      </c>
      <c r="G2723" s="47" t="e">
        <f t="shared" si="127"/>
        <v>#DIV/0!</v>
      </c>
      <c r="U2723" s="49" t="e">
        <f t="shared" si="129"/>
        <v>#DIV/0!</v>
      </c>
    </row>
    <row r="2724" customHeight="1" spans="1:21">
      <c r="A2724" s="42" t="str">
        <f t="shared" si="128"/>
        <v/>
      </c>
      <c r="G2724" s="47" t="e">
        <f t="shared" si="127"/>
        <v>#DIV/0!</v>
      </c>
      <c r="U2724" s="49" t="e">
        <f t="shared" si="129"/>
        <v>#DIV/0!</v>
      </c>
    </row>
    <row r="2725" customHeight="1" spans="1:21">
      <c r="A2725" s="42" t="str">
        <f t="shared" si="128"/>
        <v/>
      </c>
      <c r="G2725" s="47" t="e">
        <f t="shared" si="127"/>
        <v>#DIV/0!</v>
      </c>
      <c r="U2725" s="49" t="e">
        <f t="shared" si="129"/>
        <v>#DIV/0!</v>
      </c>
    </row>
    <row r="2726" customHeight="1" spans="1:21">
      <c r="A2726" s="42" t="str">
        <f t="shared" si="128"/>
        <v/>
      </c>
      <c r="G2726" s="47" t="e">
        <f t="shared" si="127"/>
        <v>#DIV/0!</v>
      </c>
      <c r="U2726" s="49" t="e">
        <f t="shared" si="129"/>
        <v>#DIV/0!</v>
      </c>
    </row>
    <row r="2727" customHeight="1" spans="1:21">
      <c r="A2727" s="42" t="str">
        <f t="shared" si="128"/>
        <v/>
      </c>
      <c r="G2727" s="47" t="e">
        <f t="shared" si="127"/>
        <v>#DIV/0!</v>
      </c>
      <c r="U2727" s="49" t="e">
        <f t="shared" si="129"/>
        <v>#DIV/0!</v>
      </c>
    </row>
    <row r="2728" customHeight="1" spans="1:21">
      <c r="A2728" s="42" t="str">
        <f t="shared" si="128"/>
        <v/>
      </c>
      <c r="G2728" s="47" t="e">
        <f t="shared" si="127"/>
        <v>#DIV/0!</v>
      </c>
      <c r="U2728" s="49" t="e">
        <f t="shared" si="129"/>
        <v>#DIV/0!</v>
      </c>
    </row>
    <row r="2729" customHeight="1" spans="1:21">
      <c r="A2729" s="42" t="str">
        <f t="shared" si="128"/>
        <v/>
      </c>
      <c r="G2729" s="47" t="e">
        <f t="shared" si="127"/>
        <v>#DIV/0!</v>
      </c>
      <c r="U2729" s="49" t="e">
        <f t="shared" si="129"/>
        <v>#DIV/0!</v>
      </c>
    </row>
    <row r="2730" customHeight="1" spans="1:21">
      <c r="A2730" s="42" t="str">
        <f t="shared" si="128"/>
        <v/>
      </c>
      <c r="G2730" s="47" t="e">
        <f t="shared" si="127"/>
        <v>#DIV/0!</v>
      </c>
      <c r="U2730" s="49" t="e">
        <f t="shared" si="129"/>
        <v>#DIV/0!</v>
      </c>
    </row>
    <row r="2731" customHeight="1" spans="1:21">
      <c r="A2731" s="42" t="str">
        <f t="shared" si="128"/>
        <v/>
      </c>
      <c r="G2731" s="47" t="e">
        <f t="shared" si="127"/>
        <v>#DIV/0!</v>
      </c>
      <c r="U2731" s="49" t="e">
        <f t="shared" si="129"/>
        <v>#DIV/0!</v>
      </c>
    </row>
    <row r="2732" customHeight="1" spans="1:21">
      <c r="A2732" s="42" t="str">
        <f t="shared" si="128"/>
        <v/>
      </c>
      <c r="G2732" s="47" t="e">
        <f t="shared" si="127"/>
        <v>#DIV/0!</v>
      </c>
      <c r="U2732" s="49" t="e">
        <f t="shared" si="129"/>
        <v>#DIV/0!</v>
      </c>
    </row>
    <row r="2733" customHeight="1" spans="1:21">
      <c r="A2733" s="42" t="str">
        <f t="shared" si="128"/>
        <v/>
      </c>
      <c r="G2733" s="47" t="e">
        <f t="shared" si="127"/>
        <v>#DIV/0!</v>
      </c>
      <c r="U2733" s="49" t="e">
        <f t="shared" si="129"/>
        <v>#DIV/0!</v>
      </c>
    </row>
    <row r="2734" customHeight="1" spans="1:21">
      <c r="A2734" s="42" t="str">
        <f t="shared" si="128"/>
        <v/>
      </c>
      <c r="G2734" s="47" t="e">
        <f t="shared" si="127"/>
        <v>#DIV/0!</v>
      </c>
      <c r="U2734" s="49" t="e">
        <f t="shared" si="129"/>
        <v>#DIV/0!</v>
      </c>
    </row>
    <row r="2735" customHeight="1" spans="1:21">
      <c r="A2735" s="42" t="str">
        <f t="shared" si="128"/>
        <v/>
      </c>
      <c r="G2735" s="47" t="e">
        <f t="shared" si="127"/>
        <v>#DIV/0!</v>
      </c>
      <c r="U2735" s="49" t="e">
        <f t="shared" si="129"/>
        <v>#DIV/0!</v>
      </c>
    </row>
    <row r="2736" customHeight="1" spans="1:21">
      <c r="A2736" s="42" t="str">
        <f t="shared" si="128"/>
        <v/>
      </c>
      <c r="G2736" s="47" t="e">
        <f t="shared" si="127"/>
        <v>#DIV/0!</v>
      </c>
      <c r="U2736" s="49" t="e">
        <f t="shared" si="129"/>
        <v>#DIV/0!</v>
      </c>
    </row>
    <row r="2737" customHeight="1" spans="1:21">
      <c r="A2737" s="42" t="str">
        <f t="shared" si="128"/>
        <v/>
      </c>
      <c r="G2737" s="47" t="e">
        <f t="shared" si="127"/>
        <v>#DIV/0!</v>
      </c>
      <c r="U2737" s="49" t="e">
        <f t="shared" si="129"/>
        <v>#DIV/0!</v>
      </c>
    </row>
    <row r="2738" customHeight="1" spans="1:21">
      <c r="A2738" s="42" t="str">
        <f t="shared" si="128"/>
        <v/>
      </c>
      <c r="G2738" s="47" t="e">
        <f t="shared" si="127"/>
        <v>#DIV/0!</v>
      </c>
      <c r="U2738" s="49" t="e">
        <f t="shared" si="129"/>
        <v>#DIV/0!</v>
      </c>
    </row>
    <row r="2739" customHeight="1" spans="1:21">
      <c r="A2739" s="42" t="str">
        <f t="shared" si="128"/>
        <v/>
      </c>
      <c r="G2739" s="47" t="e">
        <f t="shared" si="127"/>
        <v>#DIV/0!</v>
      </c>
      <c r="U2739" s="49" t="e">
        <f t="shared" si="129"/>
        <v>#DIV/0!</v>
      </c>
    </row>
    <row r="2740" customHeight="1" spans="1:21">
      <c r="A2740" s="42" t="str">
        <f t="shared" si="128"/>
        <v/>
      </c>
      <c r="G2740" s="47" t="e">
        <f t="shared" si="127"/>
        <v>#DIV/0!</v>
      </c>
      <c r="U2740" s="49" t="e">
        <f t="shared" si="129"/>
        <v>#DIV/0!</v>
      </c>
    </row>
    <row r="2741" customHeight="1" spans="1:21">
      <c r="A2741" s="42" t="str">
        <f t="shared" si="128"/>
        <v/>
      </c>
      <c r="G2741" s="47" t="e">
        <f t="shared" si="127"/>
        <v>#DIV/0!</v>
      </c>
      <c r="U2741" s="49" t="e">
        <f t="shared" si="129"/>
        <v>#DIV/0!</v>
      </c>
    </row>
    <row r="2742" customHeight="1" spans="1:21">
      <c r="A2742" s="42" t="str">
        <f t="shared" si="128"/>
        <v/>
      </c>
      <c r="G2742" s="47" t="e">
        <f t="shared" si="127"/>
        <v>#DIV/0!</v>
      </c>
      <c r="U2742" s="49" t="e">
        <f t="shared" si="129"/>
        <v>#DIV/0!</v>
      </c>
    </row>
    <row r="2743" customHeight="1" spans="1:21">
      <c r="A2743" s="42" t="str">
        <f t="shared" si="128"/>
        <v/>
      </c>
      <c r="G2743" s="47" t="e">
        <f t="shared" si="127"/>
        <v>#DIV/0!</v>
      </c>
      <c r="U2743" s="49" t="e">
        <f t="shared" si="129"/>
        <v>#DIV/0!</v>
      </c>
    </row>
    <row r="2744" customHeight="1" spans="1:21">
      <c r="A2744" s="42" t="str">
        <f t="shared" si="128"/>
        <v/>
      </c>
      <c r="G2744" s="47" t="e">
        <f t="shared" si="127"/>
        <v>#DIV/0!</v>
      </c>
      <c r="U2744" s="49" t="e">
        <f t="shared" si="129"/>
        <v>#DIV/0!</v>
      </c>
    </row>
    <row r="2745" customHeight="1" spans="1:21">
      <c r="A2745" s="42" t="str">
        <f t="shared" si="128"/>
        <v/>
      </c>
      <c r="G2745" s="47" t="e">
        <f t="shared" si="127"/>
        <v>#DIV/0!</v>
      </c>
      <c r="U2745" s="49" t="e">
        <f t="shared" si="129"/>
        <v>#DIV/0!</v>
      </c>
    </row>
    <row r="2746" customHeight="1" spans="1:21">
      <c r="A2746" s="42" t="str">
        <f t="shared" si="128"/>
        <v/>
      </c>
      <c r="G2746" s="47" t="e">
        <f t="shared" si="127"/>
        <v>#DIV/0!</v>
      </c>
      <c r="U2746" s="49" t="e">
        <f t="shared" si="129"/>
        <v>#DIV/0!</v>
      </c>
    </row>
    <row r="2747" customHeight="1" spans="1:21">
      <c r="A2747" s="42" t="str">
        <f t="shared" si="128"/>
        <v/>
      </c>
      <c r="G2747" s="47" t="e">
        <f t="shared" si="127"/>
        <v>#DIV/0!</v>
      </c>
      <c r="U2747" s="49" t="e">
        <f t="shared" si="129"/>
        <v>#DIV/0!</v>
      </c>
    </row>
    <row r="2748" customHeight="1" spans="1:21">
      <c r="A2748" s="42" t="str">
        <f t="shared" si="128"/>
        <v/>
      </c>
      <c r="G2748" s="47" t="e">
        <f t="shared" si="127"/>
        <v>#DIV/0!</v>
      </c>
      <c r="U2748" s="49" t="e">
        <f t="shared" si="129"/>
        <v>#DIV/0!</v>
      </c>
    </row>
    <row r="2749" customHeight="1" spans="1:21">
      <c r="A2749" s="42" t="str">
        <f t="shared" si="128"/>
        <v/>
      </c>
      <c r="G2749" s="47" t="e">
        <f t="shared" si="127"/>
        <v>#DIV/0!</v>
      </c>
      <c r="U2749" s="49" t="e">
        <f t="shared" si="129"/>
        <v>#DIV/0!</v>
      </c>
    </row>
    <row r="2750" customHeight="1" spans="1:21">
      <c r="A2750" s="42" t="str">
        <f t="shared" si="128"/>
        <v/>
      </c>
      <c r="G2750" s="47" t="e">
        <f t="shared" si="127"/>
        <v>#DIV/0!</v>
      </c>
      <c r="U2750" s="49" t="e">
        <f t="shared" si="129"/>
        <v>#DIV/0!</v>
      </c>
    </row>
    <row r="2751" customHeight="1" spans="1:21">
      <c r="A2751" s="42" t="str">
        <f t="shared" si="128"/>
        <v/>
      </c>
      <c r="G2751" s="47" t="e">
        <f t="shared" si="127"/>
        <v>#DIV/0!</v>
      </c>
      <c r="U2751" s="49" t="e">
        <f t="shared" si="129"/>
        <v>#DIV/0!</v>
      </c>
    </row>
    <row r="2752" customHeight="1" spans="1:21">
      <c r="A2752" s="42" t="str">
        <f t="shared" si="128"/>
        <v/>
      </c>
      <c r="G2752" s="47" t="e">
        <f t="shared" si="127"/>
        <v>#DIV/0!</v>
      </c>
      <c r="U2752" s="49" t="e">
        <f t="shared" si="129"/>
        <v>#DIV/0!</v>
      </c>
    </row>
    <row r="2753" customHeight="1" spans="1:21">
      <c r="A2753" s="42" t="str">
        <f t="shared" si="128"/>
        <v/>
      </c>
      <c r="G2753" s="47" t="e">
        <f t="shared" si="127"/>
        <v>#DIV/0!</v>
      </c>
      <c r="U2753" s="49" t="e">
        <f t="shared" si="129"/>
        <v>#DIV/0!</v>
      </c>
    </row>
    <row r="2754" customHeight="1" spans="1:21">
      <c r="A2754" s="42" t="str">
        <f t="shared" si="128"/>
        <v/>
      </c>
      <c r="G2754" s="47" t="e">
        <f t="shared" si="127"/>
        <v>#DIV/0!</v>
      </c>
      <c r="U2754" s="49" t="e">
        <f t="shared" si="129"/>
        <v>#DIV/0!</v>
      </c>
    </row>
    <row r="2755" customHeight="1" spans="1:21">
      <c r="A2755" s="42" t="str">
        <f t="shared" si="128"/>
        <v/>
      </c>
      <c r="G2755" s="47" t="e">
        <f t="shared" ref="G2755:G2818" si="130">+E2755/F2755</f>
        <v>#DIV/0!</v>
      </c>
      <c r="U2755" s="49" t="e">
        <f t="shared" si="129"/>
        <v>#DIV/0!</v>
      </c>
    </row>
    <row r="2756" customHeight="1" spans="1:21">
      <c r="A2756" s="42" t="str">
        <f t="shared" ref="A2756:A2819" si="131">B2756&amp;C2756&amp;D2756</f>
        <v/>
      </c>
      <c r="G2756" s="47" t="e">
        <f t="shared" si="130"/>
        <v>#DIV/0!</v>
      </c>
      <c r="U2756" s="49" t="e">
        <f t="shared" ref="U2756:U2819" si="132">SUM(G2756:T2756)</f>
        <v>#DIV/0!</v>
      </c>
    </row>
    <row r="2757" customHeight="1" spans="1:21">
      <c r="A2757" s="42" t="str">
        <f t="shared" si="131"/>
        <v/>
      </c>
      <c r="G2757" s="47" t="e">
        <f t="shared" si="130"/>
        <v>#DIV/0!</v>
      </c>
      <c r="U2757" s="49" t="e">
        <f t="shared" si="132"/>
        <v>#DIV/0!</v>
      </c>
    </row>
    <row r="2758" customHeight="1" spans="1:21">
      <c r="A2758" s="42" t="str">
        <f t="shared" si="131"/>
        <v/>
      </c>
      <c r="G2758" s="47" t="e">
        <f t="shared" si="130"/>
        <v>#DIV/0!</v>
      </c>
      <c r="U2758" s="49" t="e">
        <f t="shared" si="132"/>
        <v>#DIV/0!</v>
      </c>
    </row>
    <row r="2759" customHeight="1" spans="1:21">
      <c r="A2759" s="42" t="str">
        <f t="shared" si="131"/>
        <v/>
      </c>
      <c r="G2759" s="47" t="e">
        <f t="shared" si="130"/>
        <v>#DIV/0!</v>
      </c>
      <c r="U2759" s="49" t="e">
        <f t="shared" si="132"/>
        <v>#DIV/0!</v>
      </c>
    </row>
    <row r="2760" customHeight="1" spans="1:21">
      <c r="A2760" s="42" t="str">
        <f t="shared" si="131"/>
        <v/>
      </c>
      <c r="G2760" s="47" t="e">
        <f t="shared" si="130"/>
        <v>#DIV/0!</v>
      </c>
      <c r="U2760" s="49" t="e">
        <f t="shared" si="132"/>
        <v>#DIV/0!</v>
      </c>
    </row>
    <row r="2761" customHeight="1" spans="1:21">
      <c r="A2761" s="42" t="str">
        <f t="shared" si="131"/>
        <v/>
      </c>
      <c r="G2761" s="47" t="e">
        <f t="shared" si="130"/>
        <v>#DIV/0!</v>
      </c>
      <c r="U2761" s="49" t="e">
        <f t="shared" si="132"/>
        <v>#DIV/0!</v>
      </c>
    </row>
    <row r="2762" customHeight="1" spans="1:21">
      <c r="A2762" s="42" t="str">
        <f t="shared" si="131"/>
        <v/>
      </c>
      <c r="G2762" s="47" t="e">
        <f t="shared" si="130"/>
        <v>#DIV/0!</v>
      </c>
      <c r="U2762" s="49" t="e">
        <f t="shared" si="132"/>
        <v>#DIV/0!</v>
      </c>
    </row>
    <row r="2763" customHeight="1" spans="1:21">
      <c r="A2763" s="42" t="str">
        <f t="shared" si="131"/>
        <v/>
      </c>
      <c r="G2763" s="47" t="e">
        <f t="shared" si="130"/>
        <v>#DIV/0!</v>
      </c>
      <c r="U2763" s="49" t="e">
        <f t="shared" si="132"/>
        <v>#DIV/0!</v>
      </c>
    </row>
    <row r="2764" customHeight="1" spans="1:21">
      <c r="A2764" s="42" t="str">
        <f t="shared" si="131"/>
        <v/>
      </c>
      <c r="G2764" s="47" t="e">
        <f t="shared" si="130"/>
        <v>#DIV/0!</v>
      </c>
      <c r="U2764" s="49" t="e">
        <f t="shared" si="132"/>
        <v>#DIV/0!</v>
      </c>
    </row>
    <row r="2765" customHeight="1" spans="1:21">
      <c r="A2765" s="42" t="str">
        <f t="shared" si="131"/>
        <v/>
      </c>
      <c r="G2765" s="47" t="e">
        <f t="shared" si="130"/>
        <v>#DIV/0!</v>
      </c>
      <c r="U2765" s="49" t="e">
        <f t="shared" si="132"/>
        <v>#DIV/0!</v>
      </c>
    </row>
    <row r="2766" customHeight="1" spans="1:21">
      <c r="A2766" s="42" t="str">
        <f t="shared" si="131"/>
        <v/>
      </c>
      <c r="G2766" s="47" t="e">
        <f t="shared" si="130"/>
        <v>#DIV/0!</v>
      </c>
      <c r="U2766" s="49" t="e">
        <f t="shared" si="132"/>
        <v>#DIV/0!</v>
      </c>
    </row>
    <row r="2767" customHeight="1" spans="1:21">
      <c r="A2767" s="42" t="str">
        <f t="shared" si="131"/>
        <v/>
      </c>
      <c r="G2767" s="47" t="e">
        <f t="shared" si="130"/>
        <v>#DIV/0!</v>
      </c>
      <c r="U2767" s="49" t="e">
        <f t="shared" si="132"/>
        <v>#DIV/0!</v>
      </c>
    </row>
    <row r="2768" customHeight="1" spans="1:21">
      <c r="A2768" s="42" t="str">
        <f t="shared" si="131"/>
        <v/>
      </c>
      <c r="G2768" s="47" t="e">
        <f t="shared" si="130"/>
        <v>#DIV/0!</v>
      </c>
      <c r="U2768" s="49" t="e">
        <f t="shared" si="132"/>
        <v>#DIV/0!</v>
      </c>
    </row>
    <row r="2769" customHeight="1" spans="1:21">
      <c r="A2769" s="42" t="str">
        <f t="shared" si="131"/>
        <v/>
      </c>
      <c r="G2769" s="47" t="e">
        <f t="shared" si="130"/>
        <v>#DIV/0!</v>
      </c>
      <c r="U2769" s="49" t="e">
        <f t="shared" si="132"/>
        <v>#DIV/0!</v>
      </c>
    </row>
    <row r="2770" customHeight="1" spans="1:21">
      <c r="A2770" s="42" t="str">
        <f t="shared" si="131"/>
        <v/>
      </c>
      <c r="G2770" s="47" t="e">
        <f t="shared" si="130"/>
        <v>#DIV/0!</v>
      </c>
      <c r="U2770" s="49" t="e">
        <f t="shared" si="132"/>
        <v>#DIV/0!</v>
      </c>
    </row>
    <row r="2771" customHeight="1" spans="1:21">
      <c r="A2771" s="42" t="str">
        <f t="shared" si="131"/>
        <v/>
      </c>
      <c r="G2771" s="47" t="e">
        <f t="shared" si="130"/>
        <v>#DIV/0!</v>
      </c>
      <c r="U2771" s="49" t="e">
        <f t="shared" si="132"/>
        <v>#DIV/0!</v>
      </c>
    </row>
    <row r="2772" customHeight="1" spans="1:21">
      <c r="A2772" s="42" t="str">
        <f t="shared" si="131"/>
        <v/>
      </c>
      <c r="G2772" s="47" t="e">
        <f t="shared" si="130"/>
        <v>#DIV/0!</v>
      </c>
      <c r="U2772" s="49" t="e">
        <f t="shared" si="132"/>
        <v>#DIV/0!</v>
      </c>
    </row>
    <row r="2773" customHeight="1" spans="1:21">
      <c r="A2773" s="42" t="str">
        <f t="shared" si="131"/>
        <v/>
      </c>
      <c r="G2773" s="47" t="e">
        <f t="shared" si="130"/>
        <v>#DIV/0!</v>
      </c>
      <c r="U2773" s="49" t="e">
        <f t="shared" si="132"/>
        <v>#DIV/0!</v>
      </c>
    </row>
    <row r="2774" customHeight="1" spans="1:21">
      <c r="A2774" s="42" t="str">
        <f t="shared" si="131"/>
        <v/>
      </c>
      <c r="G2774" s="47" t="e">
        <f t="shared" si="130"/>
        <v>#DIV/0!</v>
      </c>
      <c r="U2774" s="49" t="e">
        <f t="shared" si="132"/>
        <v>#DIV/0!</v>
      </c>
    </row>
    <row r="2775" customHeight="1" spans="1:21">
      <c r="A2775" s="42" t="str">
        <f t="shared" si="131"/>
        <v/>
      </c>
      <c r="G2775" s="47" t="e">
        <f t="shared" si="130"/>
        <v>#DIV/0!</v>
      </c>
      <c r="U2775" s="49" t="e">
        <f t="shared" si="132"/>
        <v>#DIV/0!</v>
      </c>
    </row>
    <row r="2776" customHeight="1" spans="1:21">
      <c r="A2776" s="42" t="str">
        <f t="shared" si="131"/>
        <v/>
      </c>
      <c r="G2776" s="47" t="e">
        <f t="shared" si="130"/>
        <v>#DIV/0!</v>
      </c>
      <c r="U2776" s="49" t="e">
        <f t="shared" si="132"/>
        <v>#DIV/0!</v>
      </c>
    </row>
    <row r="2777" customHeight="1" spans="1:21">
      <c r="A2777" s="42" t="str">
        <f t="shared" si="131"/>
        <v/>
      </c>
      <c r="G2777" s="47" t="e">
        <f t="shared" si="130"/>
        <v>#DIV/0!</v>
      </c>
      <c r="U2777" s="49" t="e">
        <f t="shared" si="132"/>
        <v>#DIV/0!</v>
      </c>
    </row>
    <row r="2778" customHeight="1" spans="1:21">
      <c r="A2778" s="42" t="str">
        <f t="shared" si="131"/>
        <v/>
      </c>
      <c r="G2778" s="47" t="e">
        <f t="shared" si="130"/>
        <v>#DIV/0!</v>
      </c>
      <c r="U2778" s="49" t="e">
        <f t="shared" si="132"/>
        <v>#DIV/0!</v>
      </c>
    </row>
    <row r="2779" customHeight="1" spans="1:21">
      <c r="A2779" s="42" t="str">
        <f t="shared" si="131"/>
        <v/>
      </c>
      <c r="G2779" s="47" t="e">
        <f t="shared" si="130"/>
        <v>#DIV/0!</v>
      </c>
      <c r="U2779" s="49" t="e">
        <f t="shared" si="132"/>
        <v>#DIV/0!</v>
      </c>
    </row>
    <row r="2780" customHeight="1" spans="1:21">
      <c r="A2780" s="42" t="str">
        <f t="shared" si="131"/>
        <v/>
      </c>
      <c r="G2780" s="47" t="e">
        <f t="shared" si="130"/>
        <v>#DIV/0!</v>
      </c>
      <c r="U2780" s="49" t="e">
        <f t="shared" si="132"/>
        <v>#DIV/0!</v>
      </c>
    </row>
    <row r="2781" customHeight="1" spans="1:21">
      <c r="A2781" s="42" t="str">
        <f t="shared" si="131"/>
        <v/>
      </c>
      <c r="G2781" s="47" t="e">
        <f t="shared" si="130"/>
        <v>#DIV/0!</v>
      </c>
      <c r="U2781" s="49" t="e">
        <f t="shared" si="132"/>
        <v>#DIV/0!</v>
      </c>
    </row>
    <row r="2782" customHeight="1" spans="1:21">
      <c r="A2782" s="42" t="str">
        <f t="shared" si="131"/>
        <v/>
      </c>
      <c r="G2782" s="47" t="e">
        <f t="shared" si="130"/>
        <v>#DIV/0!</v>
      </c>
      <c r="U2782" s="49" t="e">
        <f t="shared" si="132"/>
        <v>#DIV/0!</v>
      </c>
    </row>
    <row r="2783" customHeight="1" spans="1:21">
      <c r="A2783" s="42" t="str">
        <f t="shared" si="131"/>
        <v/>
      </c>
      <c r="G2783" s="47" t="e">
        <f t="shared" si="130"/>
        <v>#DIV/0!</v>
      </c>
      <c r="U2783" s="49" t="e">
        <f t="shared" si="132"/>
        <v>#DIV/0!</v>
      </c>
    </row>
    <row r="2784" customHeight="1" spans="1:21">
      <c r="A2784" s="42" t="str">
        <f t="shared" si="131"/>
        <v/>
      </c>
      <c r="G2784" s="47" t="e">
        <f t="shared" si="130"/>
        <v>#DIV/0!</v>
      </c>
      <c r="U2784" s="49" t="e">
        <f t="shared" si="132"/>
        <v>#DIV/0!</v>
      </c>
    </row>
    <row r="2785" customHeight="1" spans="1:21">
      <c r="A2785" s="42" t="str">
        <f t="shared" si="131"/>
        <v/>
      </c>
      <c r="G2785" s="47" t="e">
        <f t="shared" si="130"/>
        <v>#DIV/0!</v>
      </c>
      <c r="U2785" s="49" t="e">
        <f t="shared" si="132"/>
        <v>#DIV/0!</v>
      </c>
    </row>
    <row r="2786" customHeight="1" spans="1:21">
      <c r="A2786" s="42" t="str">
        <f t="shared" si="131"/>
        <v/>
      </c>
      <c r="G2786" s="47" t="e">
        <f t="shared" si="130"/>
        <v>#DIV/0!</v>
      </c>
      <c r="U2786" s="49" t="e">
        <f t="shared" si="132"/>
        <v>#DIV/0!</v>
      </c>
    </row>
    <row r="2787" customHeight="1" spans="1:21">
      <c r="A2787" s="42" t="str">
        <f t="shared" si="131"/>
        <v/>
      </c>
      <c r="G2787" s="47" t="e">
        <f t="shared" si="130"/>
        <v>#DIV/0!</v>
      </c>
      <c r="U2787" s="49" t="e">
        <f t="shared" si="132"/>
        <v>#DIV/0!</v>
      </c>
    </row>
    <row r="2788" customHeight="1" spans="1:21">
      <c r="A2788" s="42" t="str">
        <f t="shared" si="131"/>
        <v/>
      </c>
      <c r="G2788" s="47" t="e">
        <f t="shared" si="130"/>
        <v>#DIV/0!</v>
      </c>
      <c r="U2788" s="49" t="e">
        <f t="shared" si="132"/>
        <v>#DIV/0!</v>
      </c>
    </row>
    <row r="2789" customHeight="1" spans="1:21">
      <c r="A2789" s="42" t="str">
        <f t="shared" si="131"/>
        <v/>
      </c>
      <c r="G2789" s="47" t="e">
        <f t="shared" si="130"/>
        <v>#DIV/0!</v>
      </c>
      <c r="U2789" s="49" t="e">
        <f t="shared" si="132"/>
        <v>#DIV/0!</v>
      </c>
    </row>
    <row r="2790" customHeight="1" spans="1:21">
      <c r="A2790" s="42" t="str">
        <f t="shared" si="131"/>
        <v/>
      </c>
      <c r="G2790" s="47" t="e">
        <f t="shared" si="130"/>
        <v>#DIV/0!</v>
      </c>
      <c r="U2790" s="49" t="e">
        <f t="shared" si="132"/>
        <v>#DIV/0!</v>
      </c>
    </row>
    <row r="2791" customHeight="1" spans="1:21">
      <c r="A2791" s="42" t="str">
        <f t="shared" si="131"/>
        <v/>
      </c>
      <c r="G2791" s="47" t="e">
        <f t="shared" si="130"/>
        <v>#DIV/0!</v>
      </c>
      <c r="U2791" s="49" t="e">
        <f t="shared" si="132"/>
        <v>#DIV/0!</v>
      </c>
    </row>
    <row r="2792" customHeight="1" spans="1:21">
      <c r="A2792" s="42" t="str">
        <f t="shared" si="131"/>
        <v/>
      </c>
      <c r="G2792" s="47" t="e">
        <f t="shared" si="130"/>
        <v>#DIV/0!</v>
      </c>
      <c r="U2792" s="49" t="e">
        <f t="shared" si="132"/>
        <v>#DIV/0!</v>
      </c>
    </row>
    <row r="2793" customHeight="1" spans="1:21">
      <c r="A2793" s="42" t="str">
        <f t="shared" si="131"/>
        <v/>
      </c>
      <c r="G2793" s="47" t="e">
        <f t="shared" si="130"/>
        <v>#DIV/0!</v>
      </c>
      <c r="U2793" s="49" t="e">
        <f t="shared" si="132"/>
        <v>#DIV/0!</v>
      </c>
    </row>
    <row r="2794" customHeight="1" spans="1:21">
      <c r="A2794" s="42" t="str">
        <f t="shared" si="131"/>
        <v/>
      </c>
      <c r="G2794" s="47" t="e">
        <f t="shared" si="130"/>
        <v>#DIV/0!</v>
      </c>
      <c r="U2794" s="49" t="e">
        <f t="shared" si="132"/>
        <v>#DIV/0!</v>
      </c>
    </row>
    <row r="2795" customHeight="1" spans="1:21">
      <c r="A2795" s="42" t="str">
        <f t="shared" si="131"/>
        <v/>
      </c>
      <c r="G2795" s="47" t="e">
        <f t="shared" si="130"/>
        <v>#DIV/0!</v>
      </c>
      <c r="U2795" s="49" t="e">
        <f t="shared" si="132"/>
        <v>#DIV/0!</v>
      </c>
    </row>
    <row r="2796" customHeight="1" spans="1:21">
      <c r="A2796" s="42" t="str">
        <f t="shared" si="131"/>
        <v/>
      </c>
      <c r="G2796" s="47" t="e">
        <f t="shared" si="130"/>
        <v>#DIV/0!</v>
      </c>
      <c r="U2796" s="49" t="e">
        <f t="shared" si="132"/>
        <v>#DIV/0!</v>
      </c>
    </row>
    <row r="2797" customHeight="1" spans="1:21">
      <c r="A2797" s="42" t="str">
        <f t="shared" si="131"/>
        <v/>
      </c>
      <c r="G2797" s="47" t="e">
        <f t="shared" si="130"/>
        <v>#DIV/0!</v>
      </c>
      <c r="U2797" s="49" t="e">
        <f t="shared" si="132"/>
        <v>#DIV/0!</v>
      </c>
    </row>
    <row r="2798" customHeight="1" spans="1:21">
      <c r="A2798" s="42" t="str">
        <f t="shared" si="131"/>
        <v/>
      </c>
      <c r="G2798" s="47" t="e">
        <f t="shared" si="130"/>
        <v>#DIV/0!</v>
      </c>
      <c r="U2798" s="49" t="e">
        <f t="shared" si="132"/>
        <v>#DIV/0!</v>
      </c>
    </row>
    <row r="2799" customHeight="1" spans="1:21">
      <c r="A2799" s="42" t="str">
        <f t="shared" si="131"/>
        <v/>
      </c>
      <c r="G2799" s="47" t="e">
        <f t="shared" si="130"/>
        <v>#DIV/0!</v>
      </c>
      <c r="U2799" s="49" t="e">
        <f t="shared" si="132"/>
        <v>#DIV/0!</v>
      </c>
    </row>
    <row r="2800" customHeight="1" spans="1:21">
      <c r="A2800" s="42" t="str">
        <f t="shared" si="131"/>
        <v/>
      </c>
      <c r="G2800" s="47" t="e">
        <f t="shared" si="130"/>
        <v>#DIV/0!</v>
      </c>
      <c r="U2800" s="49" t="e">
        <f t="shared" si="132"/>
        <v>#DIV/0!</v>
      </c>
    </row>
    <row r="2801" customHeight="1" spans="1:21">
      <c r="A2801" s="42" t="str">
        <f t="shared" si="131"/>
        <v/>
      </c>
      <c r="G2801" s="47" t="e">
        <f t="shared" si="130"/>
        <v>#DIV/0!</v>
      </c>
      <c r="U2801" s="49" t="e">
        <f t="shared" si="132"/>
        <v>#DIV/0!</v>
      </c>
    </row>
    <row r="2802" customHeight="1" spans="1:21">
      <c r="A2802" s="42" t="str">
        <f t="shared" si="131"/>
        <v/>
      </c>
      <c r="G2802" s="47" t="e">
        <f t="shared" si="130"/>
        <v>#DIV/0!</v>
      </c>
      <c r="U2802" s="49" t="e">
        <f t="shared" si="132"/>
        <v>#DIV/0!</v>
      </c>
    </row>
    <row r="2803" customHeight="1" spans="1:21">
      <c r="A2803" s="42" t="str">
        <f t="shared" si="131"/>
        <v/>
      </c>
      <c r="G2803" s="47" t="e">
        <f t="shared" si="130"/>
        <v>#DIV/0!</v>
      </c>
      <c r="U2803" s="49" t="e">
        <f t="shared" si="132"/>
        <v>#DIV/0!</v>
      </c>
    </row>
    <row r="2804" customHeight="1" spans="1:21">
      <c r="A2804" s="42" t="str">
        <f t="shared" si="131"/>
        <v/>
      </c>
      <c r="G2804" s="47" t="e">
        <f t="shared" si="130"/>
        <v>#DIV/0!</v>
      </c>
      <c r="U2804" s="49" t="e">
        <f t="shared" si="132"/>
        <v>#DIV/0!</v>
      </c>
    </row>
    <row r="2805" customHeight="1" spans="1:21">
      <c r="A2805" s="42" t="str">
        <f t="shared" si="131"/>
        <v/>
      </c>
      <c r="G2805" s="47" t="e">
        <f t="shared" si="130"/>
        <v>#DIV/0!</v>
      </c>
      <c r="U2805" s="49" t="e">
        <f t="shared" si="132"/>
        <v>#DIV/0!</v>
      </c>
    </row>
    <row r="2806" customHeight="1" spans="1:21">
      <c r="A2806" s="42" t="str">
        <f t="shared" si="131"/>
        <v/>
      </c>
      <c r="G2806" s="47" t="e">
        <f t="shared" si="130"/>
        <v>#DIV/0!</v>
      </c>
      <c r="U2806" s="49" t="e">
        <f t="shared" si="132"/>
        <v>#DIV/0!</v>
      </c>
    </row>
    <row r="2807" customHeight="1" spans="1:21">
      <c r="A2807" s="42" t="str">
        <f t="shared" si="131"/>
        <v/>
      </c>
      <c r="G2807" s="47" t="e">
        <f t="shared" si="130"/>
        <v>#DIV/0!</v>
      </c>
      <c r="U2807" s="49" t="e">
        <f t="shared" si="132"/>
        <v>#DIV/0!</v>
      </c>
    </row>
    <row r="2808" customHeight="1" spans="1:21">
      <c r="A2808" s="42" t="str">
        <f t="shared" si="131"/>
        <v/>
      </c>
      <c r="G2808" s="47" t="e">
        <f t="shared" si="130"/>
        <v>#DIV/0!</v>
      </c>
      <c r="U2808" s="49" t="e">
        <f t="shared" si="132"/>
        <v>#DIV/0!</v>
      </c>
    </row>
    <row r="2809" customHeight="1" spans="1:21">
      <c r="A2809" s="42" t="str">
        <f t="shared" si="131"/>
        <v/>
      </c>
      <c r="G2809" s="47" t="e">
        <f t="shared" si="130"/>
        <v>#DIV/0!</v>
      </c>
      <c r="U2809" s="49" t="e">
        <f t="shared" si="132"/>
        <v>#DIV/0!</v>
      </c>
    </row>
    <row r="2810" customHeight="1" spans="1:21">
      <c r="A2810" s="42" t="str">
        <f t="shared" si="131"/>
        <v/>
      </c>
      <c r="G2810" s="47" t="e">
        <f t="shared" si="130"/>
        <v>#DIV/0!</v>
      </c>
      <c r="U2810" s="49" t="e">
        <f t="shared" si="132"/>
        <v>#DIV/0!</v>
      </c>
    </row>
    <row r="2811" customHeight="1" spans="1:21">
      <c r="A2811" s="42" t="str">
        <f t="shared" si="131"/>
        <v/>
      </c>
      <c r="G2811" s="47" t="e">
        <f t="shared" si="130"/>
        <v>#DIV/0!</v>
      </c>
      <c r="U2811" s="49" t="e">
        <f t="shared" si="132"/>
        <v>#DIV/0!</v>
      </c>
    </row>
    <row r="2812" customHeight="1" spans="1:21">
      <c r="A2812" s="42" t="str">
        <f t="shared" si="131"/>
        <v/>
      </c>
      <c r="G2812" s="47" t="e">
        <f t="shared" si="130"/>
        <v>#DIV/0!</v>
      </c>
      <c r="U2812" s="49" t="e">
        <f t="shared" si="132"/>
        <v>#DIV/0!</v>
      </c>
    </row>
    <row r="2813" customHeight="1" spans="1:21">
      <c r="A2813" s="42" t="str">
        <f t="shared" si="131"/>
        <v/>
      </c>
      <c r="G2813" s="47" t="e">
        <f t="shared" si="130"/>
        <v>#DIV/0!</v>
      </c>
      <c r="U2813" s="49" t="e">
        <f t="shared" si="132"/>
        <v>#DIV/0!</v>
      </c>
    </row>
    <row r="2814" customHeight="1" spans="1:21">
      <c r="A2814" s="42" t="str">
        <f t="shared" si="131"/>
        <v/>
      </c>
      <c r="G2814" s="47" t="e">
        <f t="shared" si="130"/>
        <v>#DIV/0!</v>
      </c>
      <c r="U2814" s="49" t="e">
        <f t="shared" si="132"/>
        <v>#DIV/0!</v>
      </c>
    </row>
    <row r="2815" customHeight="1" spans="1:21">
      <c r="A2815" s="42" t="str">
        <f t="shared" si="131"/>
        <v/>
      </c>
      <c r="G2815" s="47" t="e">
        <f t="shared" si="130"/>
        <v>#DIV/0!</v>
      </c>
      <c r="U2815" s="49" t="e">
        <f t="shared" si="132"/>
        <v>#DIV/0!</v>
      </c>
    </row>
    <row r="2816" customHeight="1" spans="1:21">
      <c r="A2816" s="42" t="str">
        <f t="shared" si="131"/>
        <v/>
      </c>
      <c r="G2816" s="47" t="e">
        <f t="shared" si="130"/>
        <v>#DIV/0!</v>
      </c>
      <c r="U2816" s="49" t="e">
        <f t="shared" si="132"/>
        <v>#DIV/0!</v>
      </c>
    </row>
    <row r="2817" customHeight="1" spans="1:21">
      <c r="A2817" s="42" t="str">
        <f t="shared" si="131"/>
        <v/>
      </c>
      <c r="G2817" s="47" t="e">
        <f t="shared" si="130"/>
        <v>#DIV/0!</v>
      </c>
      <c r="U2817" s="49" t="e">
        <f t="shared" si="132"/>
        <v>#DIV/0!</v>
      </c>
    </row>
    <row r="2818" customHeight="1" spans="1:21">
      <c r="A2818" s="42" t="str">
        <f t="shared" si="131"/>
        <v/>
      </c>
      <c r="G2818" s="47" t="e">
        <f t="shared" si="130"/>
        <v>#DIV/0!</v>
      </c>
      <c r="U2818" s="49" t="e">
        <f t="shared" si="132"/>
        <v>#DIV/0!</v>
      </c>
    </row>
    <row r="2819" customHeight="1" spans="1:21">
      <c r="A2819" s="42" t="str">
        <f t="shared" si="131"/>
        <v/>
      </c>
      <c r="G2819" s="47" t="e">
        <f t="shared" ref="G2819:G2882" si="133">+E2819/F2819</f>
        <v>#DIV/0!</v>
      </c>
      <c r="U2819" s="49" t="e">
        <f t="shared" si="132"/>
        <v>#DIV/0!</v>
      </c>
    </row>
    <row r="2820" customHeight="1" spans="1:21">
      <c r="A2820" s="42" t="str">
        <f t="shared" ref="A2820:A2883" si="134">B2820&amp;C2820&amp;D2820</f>
        <v/>
      </c>
      <c r="G2820" s="47" t="e">
        <f t="shared" si="133"/>
        <v>#DIV/0!</v>
      </c>
      <c r="U2820" s="49" t="e">
        <f t="shared" ref="U2820:U2883" si="135">SUM(G2820:T2820)</f>
        <v>#DIV/0!</v>
      </c>
    </row>
    <row r="2821" customHeight="1" spans="1:21">
      <c r="A2821" s="42" t="str">
        <f t="shared" si="134"/>
        <v/>
      </c>
      <c r="G2821" s="47" t="e">
        <f t="shared" si="133"/>
        <v>#DIV/0!</v>
      </c>
      <c r="U2821" s="49" t="e">
        <f t="shared" si="135"/>
        <v>#DIV/0!</v>
      </c>
    </row>
    <row r="2822" customHeight="1" spans="1:21">
      <c r="A2822" s="42" t="str">
        <f t="shared" si="134"/>
        <v/>
      </c>
      <c r="G2822" s="47" t="e">
        <f t="shared" si="133"/>
        <v>#DIV/0!</v>
      </c>
      <c r="U2822" s="49" t="e">
        <f t="shared" si="135"/>
        <v>#DIV/0!</v>
      </c>
    </row>
    <row r="2823" customHeight="1" spans="1:21">
      <c r="A2823" s="42" t="str">
        <f t="shared" si="134"/>
        <v/>
      </c>
      <c r="G2823" s="47" t="e">
        <f t="shared" si="133"/>
        <v>#DIV/0!</v>
      </c>
      <c r="U2823" s="49" t="e">
        <f t="shared" si="135"/>
        <v>#DIV/0!</v>
      </c>
    </row>
    <row r="2824" customHeight="1" spans="1:21">
      <c r="A2824" s="42" t="str">
        <f t="shared" si="134"/>
        <v/>
      </c>
      <c r="G2824" s="47" t="e">
        <f t="shared" si="133"/>
        <v>#DIV/0!</v>
      </c>
      <c r="U2824" s="49" t="e">
        <f t="shared" si="135"/>
        <v>#DIV/0!</v>
      </c>
    </row>
    <row r="2825" customHeight="1" spans="1:21">
      <c r="A2825" s="42" t="str">
        <f t="shared" si="134"/>
        <v/>
      </c>
      <c r="G2825" s="47" t="e">
        <f t="shared" si="133"/>
        <v>#DIV/0!</v>
      </c>
      <c r="U2825" s="49" t="e">
        <f t="shared" si="135"/>
        <v>#DIV/0!</v>
      </c>
    </row>
    <row r="2826" customHeight="1" spans="1:21">
      <c r="A2826" s="42" t="str">
        <f t="shared" si="134"/>
        <v/>
      </c>
      <c r="G2826" s="47" t="e">
        <f t="shared" si="133"/>
        <v>#DIV/0!</v>
      </c>
      <c r="U2826" s="49" t="e">
        <f t="shared" si="135"/>
        <v>#DIV/0!</v>
      </c>
    </row>
    <row r="2827" customHeight="1" spans="1:21">
      <c r="A2827" s="42" t="str">
        <f t="shared" si="134"/>
        <v/>
      </c>
      <c r="G2827" s="47" t="e">
        <f t="shared" si="133"/>
        <v>#DIV/0!</v>
      </c>
      <c r="U2827" s="49" t="e">
        <f t="shared" si="135"/>
        <v>#DIV/0!</v>
      </c>
    </row>
    <row r="2828" customHeight="1" spans="1:21">
      <c r="A2828" s="42" t="str">
        <f t="shared" si="134"/>
        <v/>
      </c>
      <c r="G2828" s="47" t="e">
        <f t="shared" si="133"/>
        <v>#DIV/0!</v>
      </c>
      <c r="U2828" s="49" t="e">
        <f t="shared" si="135"/>
        <v>#DIV/0!</v>
      </c>
    </row>
    <row r="2829" customHeight="1" spans="1:21">
      <c r="A2829" s="42" t="str">
        <f t="shared" si="134"/>
        <v/>
      </c>
      <c r="G2829" s="47" t="e">
        <f t="shared" si="133"/>
        <v>#DIV/0!</v>
      </c>
      <c r="U2829" s="49" t="e">
        <f t="shared" si="135"/>
        <v>#DIV/0!</v>
      </c>
    </row>
    <row r="2830" customHeight="1" spans="1:21">
      <c r="A2830" s="42" t="str">
        <f t="shared" si="134"/>
        <v/>
      </c>
      <c r="G2830" s="47" t="e">
        <f t="shared" si="133"/>
        <v>#DIV/0!</v>
      </c>
      <c r="U2830" s="49" t="e">
        <f t="shared" si="135"/>
        <v>#DIV/0!</v>
      </c>
    </row>
    <row r="2831" customHeight="1" spans="1:21">
      <c r="A2831" s="42" t="str">
        <f t="shared" si="134"/>
        <v/>
      </c>
      <c r="G2831" s="47" t="e">
        <f t="shared" si="133"/>
        <v>#DIV/0!</v>
      </c>
      <c r="U2831" s="49" t="e">
        <f t="shared" si="135"/>
        <v>#DIV/0!</v>
      </c>
    </row>
    <row r="2832" customHeight="1" spans="1:21">
      <c r="A2832" s="42" t="str">
        <f t="shared" si="134"/>
        <v/>
      </c>
      <c r="G2832" s="47" t="e">
        <f t="shared" si="133"/>
        <v>#DIV/0!</v>
      </c>
      <c r="U2832" s="49" t="e">
        <f t="shared" si="135"/>
        <v>#DIV/0!</v>
      </c>
    </row>
    <row r="2833" customHeight="1" spans="1:21">
      <c r="A2833" s="42" t="str">
        <f t="shared" si="134"/>
        <v/>
      </c>
      <c r="G2833" s="47" t="e">
        <f t="shared" si="133"/>
        <v>#DIV/0!</v>
      </c>
      <c r="U2833" s="49" t="e">
        <f t="shared" si="135"/>
        <v>#DIV/0!</v>
      </c>
    </row>
    <row r="2834" customHeight="1" spans="1:21">
      <c r="A2834" s="42" t="str">
        <f t="shared" si="134"/>
        <v/>
      </c>
      <c r="G2834" s="47" t="e">
        <f t="shared" si="133"/>
        <v>#DIV/0!</v>
      </c>
      <c r="U2834" s="49" t="e">
        <f t="shared" si="135"/>
        <v>#DIV/0!</v>
      </c>
    </row>
    <row r="2835" customHeight="1" spans="1:21">
      <c r="A2835" s="42" t="str">
        <f t="shared" si="134"/>
        <v/>
      </c>
      <c r="G2835" s="47" t="e">
        <f t="shared" si="133"/>
        <v>#DIV/0!</v>
      </c>
      <c r="U2835" s="49" t="e">
        <f t="shared" si="135"/>
        <v>#DIV/0!</v>
      </c>
    </row>
    <row r="2836" customHeight="1" spans="1:21">
      <c r="A2836" s="42" t="str">
        <f t="shared" si="134"/>
        <v/>
      </c>
      <c r="G2836" s="47" t="e">
        <f t="shared" si="133"/>
        <v>#DIV/0!</v>
      </c>
      <c r="U2836" s="49" t="e">
        <f t="shared" si="135"/>
        <v>#DIV/0!</v>
      </c>
    </row>
    <row r="2837" customHeight="1" spans="1:21">
      <c r="A2837" s="42" t="str">
        <f t="shared" si="134"/>
        <v/>
      </c>
      <c r="G2837" s="47" t="e">
        <f t="shared" si="133"/>
        <v>#DIV/0!</v>
      </c>
      <c r="U2837" s="49" t="e">
        <f t="shared" si="135"/>
        <v>#DIV/0!</v>
      </c>
    </row>
    <row r="2838" customHeight="1" spans="1:21">
      <c r="A2838" s="42" t="str">
        <f t="shared" si="134"/>
        <v/>
      </c>
      <c r="G2838" s="47" t="e">
        <f t="shared" si="133"/>
        <v>#DIV/0!</v>
      </c>
      <c r="U2838" s="49" t="e">
        <f t="shared" si="135"/>
        <v>#DIV/0!</v>
      </c>
    </row>
    <row r="2839" customHeight="1" spans="1:21">
      <c r="A2839" s="42" t="str">
        <f t="shared" si="134"/>
        <v/>
      </c>
      <c r="G2839" s="47" t="e">
        <f t="shared" si="133"/>
        <v>#DIV/0!</v>
      </c>
      <c r="U2839" s="49" t="e">
        <f t="shared" si="135"/>
        <v>#DIV/0!</v>
      </c>
    </row>
    <row r="2840" customHeight="1" spans="1:21">
      <c r="A2840" s="42" t="str">
        <f t="shared" si="134"/>
        <v/>
      </c>
      <c r="G2840" s="47" t="e">
        <f t="shared" si="133"/>
        <v>#DIV/0!</v>
      </c>
      <c r="U2840" s="49" t="e">
        <f t="shared" si="135"/>
        <v>#DIV/0!</v>
      </c>
    </row>
    <row r="2841" customHeight="1" spans="1:21">
      <c r="A2841" s="42" t="str">
        <f t="shared" si="134"/>
        <v/>
      </c>
      <c r="G2841" s="47" t="e">
        <f t="shared" si="133"/>
        <v>#DIV/0!</v>
      </c>
      <c r="U2841" s="49" t="e">
        <f t="shared" si="135"/>
        <v>#DIV/0!</v>
      </c>
    </row>
    <row r="2842" customHeight="1" spans="1:21">
      <c r="A2842" s="42" t="str">
        <f t="shared" si="134"/>
        <v/>
      </c>
      <c r="G2842" s="47" t="e">
        <f t="shared" si="133"/>
        <v>#DIV/0!</v>
      </c>
      <c r="U2842" s="49" t="e">
        <f t="shared" si="135"/>
        <v>#DIV/0!</v>
      </c>
    </row>
    <row r="2843" customHeight="1" spans="1:21">
      <c r="A2843" s="42" t="str">
        <f t="shared" si="134"/>
        <v/>
      </c>
      <c r="G2843" s="47" t="e">
        <f t="shared" si="133"/>
        <v>#DIV/0!</v>
      </c>
      <c r="U2843" s="49" t="e">
        <f t="shared" si="135"/>
        <v>#DIV/0!</v>
      </c>
    </row>
    <row r="2844" customHeight="1" spans="1:21">
      <c r="A2844" s="42" t="str">
        <f t="shared" si="134"/>
        <v/>
      </c>
      <c r="G2844" s="47" t="e">
        <f t="shared" si="133"/>
        <v>#DIV/0!</v>
      </c>
      <c r="U2844" s="49" t="e">
        <f t="shared" si="135"/>
        <v>#DIV/0!</v>
      </c>
    </row>
    <row r="2845" customHeight="1" spans="1:21">
      <c r="A2845" s="42" t="str">
        <f t="shared" si="134"/>
        <v/>
      </c>
      <c r="G2845" s="47" t="e">
        <f t="shared" si="133"/>
        <v>#DIV/0!</v>
      </c>
      <c r="U2845" s="49" t="e">
        <f t="shared" si="135"/>
        <v>#DIV/0!</v>
      </c>
    </row>
    <row r="2846" customHeight="1" spans="1:21">
      <c r="A2846" s="42" t="str">
        <f t="shared" si="134"/>
        <v/>
      </c>
      <c r="G2846" s="47" t="e">
        <f t="shared" si="133"/>
        <v>#DIV/0!</v>
      </c>
      <c r="U2846" s="49" t="e">
        <f t="shared" si="135"/>
        <v>#DIV/0!</v>
      </c>
    </row>
    <row r="2847" customHeight="1" spans="1:21">
      <c r="A2847" s="42" t="str">
        <f t="shared" si="134"/>
        <v/>
      </c>
      <c r="G2847" s="47" t="e">
        <f t="shared" si="133"/>
        <v>#DIV/0!</v>
      </c>
      <c r="U2847" s="49" t="e">
        <f t="shared" si="135"/>
        <v>#DIV/0!</v>
      </c>
    </row>
    <row r="2848" customHeight="1" spans="1:21">
      <c r="A2848" s="42" t="str">
        <f t="shared" si="134"/>
        <v/>
      </c>
      <c r="G2848" s="47" t="e">
        <f t="shared" si="133"/>
        <v>#DIV/0!</v>
      </c>
      <c r="U2848" s="49" t="e">
        <f t="shared" si="135"/>
        <v>#DIV/0!</v>
      </c>
    </row>
    <row r="2849" customHeight="1" spans="1:21">
      <c r="A2849" s="42" t="str">
        <f t="shared" si="134"/>
        <v/>
      </c>
      <c r="G2849" s="47" t="e">
        <f t="shared" si="133"/>
        <v>#DIV/0!</v>
      </c>
      <c r="U2849" s="49" t="e">
        <f t="shared" si="135"/>
        <v>#DIV/0!</v>
      </c>
    </row>
    <row r="2850" customHeight="1" spans="1:21">
      <c r="A2850" s="42" t="str">
        <f t="shared" si="134"/>
        <v/>
      </c>
      <c r="G2850" s="47" t="e">
        <f t="shared" si="133"/>
        <v>#DIV/0!</v>
      </c>
      <c r="U2850" s="49" t="e">
        <f t="shared" si="135"/>
        <v>#DIV/0!</v>
      </c>
    </row>
    <row r="2851" customHeight="1" spans="1:21">
      <c r="A2851" s="42" t="str">
        <f t="shared" si="134"/>
        <v/>
      </c>
      <c r="G2851" s="47" t="e">
        <f t="shared" si="133"/>
        <v>#DIV/0!</v>
      </c>
      <c r="U2851" s="49" t="e">
        <f t="shared" si="135"/>
        <v>#DIV/0!</v>
      </c>
    </row>
    <row r="2852" customHeight="1" spans="1:21">
      <c r="A2852" s="42" t="str">
        <f t="shared" si="134"/>
        <v/>
      </c>
      <c r="G2852" s="47" t="e">
        <f t="shared" si="133"/>
        <v>#DIV/0!</v>
      </c>
      <c r="U2852" s="49" t="e">
        <f t="shared" si="135"/>
        <v>#DIV/0!</v>
      </c>
    </row>
    <row r="2853" customHeight="1" spans="1:21">
      <c r="A2853" s="42" t="str">
        <f t="shared" si="134"/>
        <v/>
      </c>
      <c r="G2853" s="47" t="e">
        <f t="shared" si="133"/>
        <v>#DIV/0!</v>
      </c>
      <c r="U2853" s="49" t="e">
        <f t="shared" si="135"/>
        <v>#DIV/0!</v>
      </c>
    </row>
    <row r="2854" customHeight="1" spans="1:21">
      <c r="A2854" s="42" t="str">
        <f t="shared" si="134"/>
        <v/>
      </c>
      <c r="G2854" s="47" t="e">
        <f t="shared" si="133"/>
        <v>#DIV/0!</v>
      </c>
      <c r="U2854" s="49" t="e">
        <f t="shared" si="135"/>
        <v>#DIV/0!</v>
      </c>
    </row>
    <row r="2855" customHeight="1" spans="1:21">
      <c r="A2855" s="42" t="str">
        <f t="shared" si="134"/>
        <v/>
      </c>
      <c r="G2855" s="47" t="e">
        <f t="shared" si="133"/>
        <v>#DIV/0!</v>
      </c>
      <c r="U2855" s="49" t="e">
        <f t="shared" si="135"/>
        <v>#DIV/0!</v>
      </c>
    </row>
    <row r="2856" customHeight="1" spans="1:21">
      <c r="A2856" s="42" t="str">
        <f t="shared" si="134"/>
        <v/>
      </c>
      <c r="G2856" s="47" t="e">
        <f t="shared" si="133"/>
        <v>#DIV/0!</v>
      </c>
      <c r="U2856" s="49" t="e">
        <f t="shared" si="135"/>
        <v>#DIV/0!</v>
      </c>
    </row>
    <row r="2857" customHeight="1" spans="1:21">
      <c r="A2857" s="42" t="str">
        <f t="shared" si="134"/>
        <v/>
      </c>
      <c r="G2857" s="47" t="e">
        <f t="shared" si="133"/>
        <v>#DIV/0!</v>
      </c>
      <c r="U2857" s="49" t="e">
        <f t="shared" si="135"/>
        <v>#DIV/0!</v>
      </c>
    </row>
    <row r="2858" customHeight="1" spans="1:21">
      <c r="A2858" s="42" t="str">
        <f t="shared" si="134"/>
        <v/>
      </c>
      <c r="G2858" s="47" t="e">
        <f t="shared" si="133"/>
        <v>#DIV/0!</v>
      </c>
      <c r="U2858" s="49" t="e">
        <f t="shared" si="135"/>
        <v>#DIV/0!</v>
      </c>
    </row>
    <row r="2859" customHeight="1" spans="1:21">
      <c r="A2859" s="42" t="str">
        <f t="shared" si="134"/>
        <v/>
      </c>
      <c r="G2859" s="47" t="e">
        <f t="shared" si="133"/>
        <v>#DIV/0!</v>
      </c>
      <c r="U2859" s="49" t="e">
        <f t="shared" si="135"/>
        <v>#DIV/0!</v>
      </c>
    </row>
    <row r="2860" customHeight="1" spans="1:21">
      <c r="A2860" s="42" t="str">
        <f t="shared" si="134"/>
        <v/>
      </c>
      <c r="G2860" s="47" t="e">
        <f t="shared" si="133"/>
        <v>#DIV/0!</v>
      </c>
      <c r="U2860" s="49" t="e">
        <f t="shared" si="135"/>
        <v>#DIV/0!</v>
      </c>
    </row>
    <row r="2861" customHeight="1" spans="1:21">
      <c r="A2861" s="42" t="str">
        <f t="shared" si="134"/>
        <v/>
      </c>
      <c r="G2861" s="47" t="e">
        <f t="shared" si="133"/>
        <v>#DIV/0!</v>
      </c>
      <c r="U2861" s="49" t="e">
        <f t="shared" si="135"/>
        <v>#DIV/0!</v>
      </c>
    </row>
    <row r="2862" customHeight="1" spans="1:21">
      <c r="A2862" s="42" t="str">
        <f t="shared" si="134"/>
        <v/>
      </c>
      <c r="G2862" s="47" t="e">
        <f t="shared" si="133"/>
        <v>#DIV/0!</v>
      </c>
      <c r="U2862" s="49" t="e">
        <f t="shared" si="135"/>
        <v>#DIV/0!</v>
      </c>
    </row>
    <row r="2863" customHeight="1" spans="1:21">
      <c r="A2863" s="42" t="str">
        <f t="shared" si="134"/>
        <v/>
      </c>
      <c r="G2863" s="47" t="e">
        <f t="shared" si="133"/>
        <v>#DIV/0!</v>
      </c>
      <c r="U2863" s="49" t="e">
        <f t="shared" si="135"/>
        <v>#DIV/0!</v>
      </c>
    </row>
    <row r="2864" customHeight="1" spans="1:21">
      <c r="A2864" s="42" t="str">
        <f t="shared" si="134"/>
        <v/>
      </c>
      <c r="G2864" s="47" t="e">
        <f t="shared" si="133"/>
        <v>#DIV/0!</v>
      </c>
      <c r="U2864" s="49" t="e">
        <f t="shared" si="135"/>
        <v>#DIV/0!</v>
      </c>
    </row>
    <row r="2865" customHeight="1" spans="1:21">
      <c r="A2865" s="42" t="str">
        <f t="shared" si="134"/>
        <v/>
      </c>
      <c r="G2865" s="47" t="e">
        <f t="shared" si="133"/>
        <v>#DIV/0!</v>
      </c>
      <c r="U2865" s="49" t="e">
        <f t="shared" si="135"/>
        <v>#DIV/0!</v>
      </c>
    </row>
    <row r="2866" customHeight="1" spans="1:21">
      <c r="A2866" s="42" t="str">
        <f t="shared" si="134"/>
        <v/>
      </c>
      <c r="G2866" s="47" t="e">
        <f t="shared" si="133"/>
        <v>#DIV/0!</v>
      </c>
      <c r="U2866" s="49" t="e">
        <f t="shared" si="135"/>
        <v>#DIV/0!</v>
      </c>
    </row>
    <row r="2867" customHeight="1" spans="1:21">
      <c r="A2867" s="42" t="str">
        <f t="shared" si="134"/>
        <v/>
      </c>
      <c r="G2867" s="47" t="e">
        <f t="shared" si="133"/>
        <v>#DIV/0!</v>
      </c>
      <c r="U2867" s="49" t="e">
        <f t="shared" si="135"/>
        <v>#DIV/0!</v>
      </c>
    </row>
    <row r="2868" customHeight="1" spans="1:21">
      <c r="A2868" s="42" t="str">
        <f t="shared" si="134"/>
        <v/>
      </c>
      <c r="G2868" s="47" t="e">
        <f t="shared" si="133"/>
        <v>#DIV/0!</v>
      </c>
      <c r="U2868" s="49" t="e">
        <f t="shared" si="135"/>
        <v>#DIV/0!</v>
      </c>
    </row>
    <row r="2869" customHeight="1" spans="1:21">
      <c r="A2869" s="42" t="str">
        <f t="shared" si="134"/>
        <v/>
      </c>
      <c r="G2869" s="47" t="e">
        <f t="shared" si="133"/>
        <v>#DIV/0!</v>
      </c>
      <c r="U2869" s="49" t="e">
        <f t="shared" si="135"/>
        <v>#DIV/0!</v>
      </c>
    </row>
    <row r="2870" customHeight="1" spans="1:21">
      <c r="A2870" s="42" t="str">
        <f t="shared" si="134"/>
        <v/>
      </c>
      <c r="G2870" s="47" t="e">
        <f t="shared" si="133"/>
        <v>#DIV/0!</v>
      </c>
      <c r="U2870" s="49" t="e">
        <f t="shared" si="135"/>
        <v>#DIV/0!</v>
      </c>
    </row>
    <row r="2871" customHeight="1" spans="1:21">
      <c r="A2871" s="42" t="str">
        <f t="shared" si="134"/>
        <v/>
      </c>
      <c r="G2871" s="47" t="e">
        <f t="shared" si="133"/>
        <v>#DIV/0!</v>
      </c>
      <c r="U2871" s="49" t="e">
        <f t="shared" si="135"/>
        <v>#DIV/0!</v>
      </c>
    </row>
    <row r="2872" customHeight="1" spans="1:21">
      <c r="A2872" s="42" t="str">
        <f t="shared" si="134"/>
        <v/>
      </c>
      <c r="G2872" s="47" t="e">
        <f t="shared" si="133"/>
        <v>#DIV/0!</v>
      </c>
      <c r="U2872" s="49" t="e">
        <f t="shared" si="135"/>
        <v>#DIV/0!</v>
      </c>
    </row>
    <row r="2873" customHeight="1" spans="1:21">
      <c r="A2873" s="42" t="str">
        <f t="shared" si="134"/>
        <v/>
      </c>
      <c r="G2873" s="47" t="e">
        <f t="shared" si="133"/>
        <v>#DIV/0!</v>
      </c>
      <c r="U2873" s="49" t="e">
        <f t="shared" si="135"/>
        <v>#DIV/0!</v>
      </c>
    </row>
    <row r="2874" customHeight="1" spans="1:21">
      <c r="A2874" s="42" t="str">
        <f t="shared" si="134"/>
        <v/>
      </c>
      <c r="G2874" s="47" t="e">
        <f t="shared" si="133"/>
        <v>#DIV/0!</v>
      </c>
      <c r="U2874" s="49" t="e">
        <f t="shared" si="135"/>
        <v>#DIV/0!</v>
      </c>
    </row>
    <row r="2875" customHeight="1" spans="1:21">
      <c r="A2875" s="42" t="str">
        <f t="shared" si="134"/>
        <v/>
      </c>
      <c r="G2875" s="47" t="e">
        <f t="shared" si="133"/>
        <v>#DIV/0!</v>
      </c>
      <c r="U2875" s="49" t="e">
        <f t="shared" si="135"/>
        <v>#DIV/0!</v>
      </c>
    </row>
    <row r="2876" customHeight="1" spans="1:21">
      <c r="A2876" s="42" t="str">
        <f t="shared" si="134"/>
        <v/>
      </c>
      <c r="G2876" s="47" t="e">
        <f t="shared" si="133"/>
        <v>#DIV/0!</v>
      </c>
      <c r="U2876" s="49" t="e">
        <f t="shared" si="135"/>
        <v>#DIV/0!</v>
      </c>
    </row>
    <row r="2877" customHeight="1" spans="1:21">
      <c r="A2877" s="42" t="str">
        <f t="shared" si="134"/>
        <v/>
      </c>
      <c r="G2877" s="47" t="e">
        <f t="shared" si="133"/>
        <v>#DIV/0!</v>
      </c>
      <c r="U2877" s="49" t="e">
        <f t="shared" si="135"/>
        <v>#DIV/0!</v>
      </c>
    </row>
    <row r="2878" customHeight="1" spans="1:21">
      <c r="A2878" s="42" t="str">
        <f t="shared" si="134"/>
        <v/>
      </c>
      <c r="G2878" s="47" t="e">
        <f t="shared" si="133"/>
        <v>#DIV/0!</v>
      </c>
      <c r="U2878" s="49" t="e">
        <f t="shared" si="135"/>
        <v>#DIV/0!</v>
      </c>
    </row>
    <row r="2879" customHeight="1" spans="1:21">
      <c r="A2879" s="42" t="str">
        <f t="shared" si="134"/>
        <v/>
      </c>
      <c r="G2879" s="47" t="e">
        <f t="shared" si="133"/>
        <v>#DIV/0!</v>
      </c>
      <c r="U2879" s="49" t="e">
        <f t="shared" si="135"/>
        <v>#DIV/0!</v>
      </c>
    </row>
    <row r="2880" customHeight="1" spans="1:21">
      <c r="A2880" s="42" t="str">
        <f t="shared" si="134"/>
        <v/>
      </c>
      <c r="G2880" s="47" t="e">
        <f t="shared" si="133"/>
        <v>#DIV/0!</v>
      </c>
      <c r="U2880" s="49" t="e">
        <f t="shared" si="135"/>
        <v>#DIV/0!</v>
      </c>
    </row>
    <row r="2881" customHeight="1" spans="1:21">
      <c r="A2881" s="42" t="str">
        <f t="shared" si="134"/>
        <v/>
      </c>
      <c r="G2881" s="47" t="e">
        <f t="shared" si="133"/>
        <v>#DIV/0!</v>
      </c>
      <c r="U2881" s="49" t="e">
        <f t="shared" si="135"/>
        <v>#DIV/0!</v>
      </c>
    </row>
    <row r="2882" customHeight="1" spans="1:21">
      <c r="A2882" s="42" t="str">
        <f t="shared" si="134"/>
        <v/>
      </c>
      <c r="G2882" s="47" t="e">
        <f t="shared" si="133"/>
        <v>#DIV/0!</v>
      </c>
      <c r="U2882" s="49" t="e">
        <f t="shared" si="135"/>
        <v>#DIV/0!</v>
      </c>
    </row>
    <row r="2883" customHeight="1" spans="1:21">
      <c r="A2883" s="42" t="str">
        <f t="shared" si="134"/>
        <v/>
      </c>
      <c r="G2883" s="47" t="e">
        <f t="shared" ref="G2883:G2946" si="136">+E2883/F2883</f>
        <v>#DIV/0!</v>
      </c>
      <c r="U2883" s="49" t="e">
        <f t="shared" si="135"/>
        <v>#DIV/0!</v>
      </c>
    </row>
    <row r="2884" customHeight="1" spans="1:21">
      <c r="A2884" s="42" t="str">
        <f t="shared" ref="A2884:A2947" si="137">B2884&amp;C2884&amp;D2884</f>
        <v/>
      </c>
      <c r="G2884" s="47" t="e">
        <f t="shared" si="136"/>
        <v>#DIV/0!</v>
      </c>
      <c r="U2884" s="49" t="e">
        <f t="shared" ref="U2884:U2947" si="138">SUM(G2884:T2884)</f>
        <v>#DIV/0!</v>
      </c>
    </row>
    <row r="2885" customHeight="1" spans="1:21">
      <c r="A2885" s="42" t="str">
        <f t="shared" si="137"/>
        <v/>
      </c>
      <c r="G2885" s="47" t="e">
        <f t="shared" si="136"/>
        <v>#DIV/0!</v>
      </c>
      <c r="U2885" s="49" t="e">
        <f t="shared" si="138"/>
        <v>#DIV/0!</v>
      </c>
    </row>
    <row r="2886" customHeight="1" spans="1:21">
      <c r="A2886" s="42" t="str">
        <f t="shared" si="137"/>
        <v/>
      </c>
      <c r="G2886" s="47" t="e">
        <f t="shared" si="136"/>
        <v>#DIV/0!</v>
      </c>
      <c r="U2886" s="49" t="e">
        <f t="shared" si="138"/>
        <v>#DIV/0!</v>
      </c>
    </row>
    <row r="2887" customHeight="1" spans="1:21">
      <c r="A2887" s="42" t="str">
        <f t="shared" si="137"/>
        <v/>
      </c>
      <c r="G2887" s="47" t="e">
        <f t="shared" si="136"/>
        <v>#DIV/0!</v>
      </c>
      <c r="U2887" s="49" t="e">
        <f t="shared" si="138"/>
        <v>#DIV/0!</v>
      </c>
    </row>
    <row r="2888" customHeight="1" spans="1:21">
      <c r="A2888" s="42" t="str">
        <f t="shared" si="137"/>
        <v/>
      </c>
      <c r="G2888" s="47" t="e">
        <f t="shared" si="136"/>
        <v>#DIV/0!</v>
      </c>
      <c r="U2888" s="49" t="e">
        <f t="shared" si="138"/>
        <v>#DIV/0!</v>
      </c>
    </row>
    <row r="2889" customHeight="1" spans="1:21">
      <c r="A2889" s="42" t="str">
        <f t="shared" si="137"/>
        <v/>
      </c>
      <c r="G2889" s="47" t="e">
        <f t="shared" si="136"/>
        <v>#DIV/0!</v>
      </c>
      <c r="U2889" s="49" t="e">
        <f t="shared" si="138"/>
        <v>#DIV/0!</v>
      </c>
    </row>
    <row r="2890" customHeight="1" spans="1:21">
      <c r="A2890" s="42" t="str">
        <f t="shared" si="137"/>
        <v/>
      </c>
      <c r="G2890" s="47" t="e">
        <f t="shared" si="136"/>
        <v>#DIV/0!</v>
      </c>
      <c r="U2890" s="49" t="e">
        <f t="shared" si="138"/>
        <v>#DIV/0!</v>
      </c>
    </row>
    <row r="2891" customHeight="1" spans="1:21">
      <c r="A2891" s="42" t="str">
        <f t="shared" si="137"/>
        <v/>
      </c>
      <c r="G2891" s="47" t="e">
        <f t="shared" si="136"/>
        <v>#DIV/0!</v>
      </c>
      <c r="U2891" s="49" t="e">
        <f t="shared" si="138"/>
        <v>#DIV/0!</v>
      </c>
    </row>
    <row r="2892" customHeight="1" spans="1:21">
      <c r="A2892" s="42" t="str">
        <f t="shared" si="137"/>
        <v/>
      </c>
      <c r="G2892" s="47" t="e">
        <f t="shared" si="136"/>
        <v>#DIV/0!</v>
      </c>
      <c r="U2892" s="49" t="e">
        <f t="shared" si="138"/>
        <v>#DIV/0!</v>
      </c>
    </row>
    <row r="2893" customHeight="1" spans="1:21">
      <c r="A2893" s="42" t="str">
        <f t="shared" si="137"/>
        <v/>
      </c>
      <c r="G2893" s="47" t="e">
        <f t="shared" si="136"/>
        <v>#DIV/0!</v>
      </c>
      <c r="U2893" s="49" t="e">
        <f t="shared" si="138"/>
        <v>#DIV/0!</v>
      </c>
    </row>
    <row r="2894" customHeight="1" spans="1:21">
      <c r="A2894" s="42" t="str">
        <f t="shared" si="137"/>
        <v/>
      </c>
      <c r="G2894" s="47" t="e">
        <f t="shared" si="136"/>
        <v>#DIV/0!</v>
      </c>
      <c r="U2894" s="49" t="e">
        <f t="shared" si="138"/>
        <v>#DIV/0!</v>
      </c>
    </row>
    <row r="2895" customHeight="1" spans="1:21">
      <c r="A2895" s="42" t="str">
        <f t="shared" si="137"/>
        <v/>
      </c>
      <c r="G2895" s="47" t="e">
        <f t="shared" si="136"/>
        <v>#DIV/0!</v>
      </c>
      <c r="U2895" s="49" t="e">
        <f t="shared" si="138"/>
        <v>#DIV/0!</v>
      </c>
    </row>
    <row r="2896" customHeight="1" spans="1:21">
      <c r="A2896" s="42" t="str">
        <f t="shared" si="137"/>
        <v/>
      </c>
      <c r="G2896" s="47" t="e">
        <f t="shared" si="136"/>
        <v>#DIV/0!</v>
      </c>
      <c r="U2896" s="49" t="e">
        <f t="shared" si="138"/>
        <v>#DIV/0!</v>
      </c>
    </row>
    <row r="2897" customHeight="1" spans="1:21">
      <c r="A2897" s="42" t="str">
        <f t="shared" si="137"/>
        <v/>
      </c>
      <c r="G2897" s="47" t="e">
        <f t="shared" si="136"/>
        <v>#DIV/0!</v>
      </c>
      <c r="U2897" s="49" t="e">
        <f t="shared" si="138"/>
        <v>#DIV/0!</v>
      </c>
    </row>
    <row r="2898" customHeight="1" spans="1:21">
      <c r="A2898" s="42" t="str">
        <f t="shared" si="137"/>
        <v/>
      </c>
      <c r="G2898" s="47" t="e">
        <f t="shared" si="136"/>
        <v>#DIV/0!</v>
      </c>
      <c r="U2898" s="49" t="e">
        <f t="shared" si="138"/>
        <v>#DIV/0!</v>
      </c>
    </row>
    <row r="2899" customHeight="1" spans="1:21">
      <c r="A2899" s="42" t="str">
        <f t="shared" si="137"/>
        <v/>
      </c>
      <c r="G2899" s="47" t="e">
        <f t="shared" si="136"/>
        <v>#DIV/0!</v>
      </c>
      <c r="U2899" s="49" t="e">
        <f t="shared" si="138"/>
        <v>#DIV/0!</v>
      </c>
    </row>
    <row r="2900" customHeight="1" spans="1:21">
      <c r="A2900" s="42" t="str">
        <f t="shared" si="137"/>
        <v/>
      </c>
      <c r="G2900" s="47" t="e">
        <f t="shared" si="136"/>
        <v>#DIV/0!</v>
      </c>
      <c r="U2900" s="49" t="e">
        <f t="shared" si="138"/>
        <v>#DIV/0!</v>
      </c>
    </row>
    <row r="2901" customHeight="1" spans="1:21">
      <c r="A2901" s="42" t="str">
        <f t="shared" si="137"/>
        <v/>
      </c>
      <c r="G2901" s="47" t="e">
        <f t="shared" si="136"/>
        <v>#DIV/0!</v>
      </c>
      <c r="U2901" s="49" t="e">
        <f t="shared" si="138"/>
        <v>#DIV/0!</v>
      </c>
    </row>
    <row r="2902" customHeight="1" spans="1:21">
      <c r="A2902" s="42" t="str">
        <f t="shared" si="137"/>
        <v/>
      </c>
      <c r="G2902" s="47" t="e">
        <f t="shared" si="136"/>
        <v>#DIV/0!</v>
      </c>
      <c r="U2902" s="49" t="e">
        <f t="shared" si="138"/>
        <v>#DIV/0!</v>
      </c>
    </row>
    <row r="2903" customHeight="1" spans="1:21">
      <c r="A2903" s="42" t="str">
        <f t="shared" si="137"/>
        <v/>
      </c>
      <c r="G2903" s="47" t="e">
        <f t="shared" si="136"/>
        <v>#DIV/0!</v>
      </c>
      <c r="U2903" s="49" t="e">
        <f t="shared" si="138"/>
        <v>#DIV/0!</v>
      </c>
    </row>
    <row r="2904" customHeight="1" spans="1:21">
      <c r="A2904" s="42" t="str">
        <f t="shared" si="137"/>
        <v/>
      </c>
      <c r="G2904" s="47" t="e">
        <f t="shared" si="136"/>
        <v>#DIV/0!</v>
      </c>
      <c r="U2904" s="49" t="e">
        <f t="shared" si="138"/>
        <v>#DIV/0!</v>
      </c>
    </row>
    <row r="2905" customHeight="1" spans="1:21">
      <c r="A2905" s="42" t="str">
        <f t="shared" si="137"/>
        <v/>
      </c>
      <c r="G2905" s="47" t="e">
        <f t="shared" si="136"/>
        <v>#DIV/0!</v>
      </c>
      <c r="U2905" s="49" t="e">
        <f t="shared" si="138"/>
        <v>#DIV/0!</v>
      </c>
    </row>
    <row r="2906" customHeight="1" spans="1:21">
      <c r="A2906" s="42" t="str">
        <f t="shared" si="137"/>
        <v/>
      </c>
      <c r="G2906" s="47" t="e">
        <f t="shared" si="136"/>
        <v>#DIV/0!</v>
      </c>
      <c r="U2906" s="49" t="e">
        <f t="shared" si="138"/>
        <v>#DIV/0!</v>
      </c>
    </row>
    <row r="2907" customHeight="1" spans="1:21">
      <c r="A2907" s="42" t="str">
        <f t="shared" si="137"/>
        <v/>
      </c>
      <c r="G2907" s="47" t="e">
        <f t="shared" si="136"/>
        <v>#DIV/0!</v>
      </c>
      <c r="U2907" s="49" t="e">
        <f t="shared" si="138"/>
        <v>#DIV/0!</v>
      </c>
    </row>
    <row r="2908" customHeight="1" spans="1:21">
      <c r="A2908" s="42" t="str">
        <f t="shared" si="137"/>
        <v/>
      </c>
      <c r="G2908" s="47" t="e">
        <f t="shared" si="136"/>
        <v>#DIV/0!</v>
      </c>
      <c r="U2908" s="49" t="e">
        <f t="shared" si="138"/>
        <v>#DIV/0!</v>
      </c>
    </row>
    <row r="2909" customHeight="1" spans="1:21">
      <c r="A2909" s="42" t="str">
        <f t="shared" si="137"/>
        <v/>
      </c>
      <c r="G2909" s="47" t="e">
        <f t="shared" si="136"/>
        <v>#DIV/0!</v>
      </c>
      <c r="U2909" s="49" t="e">
        <f t="shared" si="138"/>
        <v>#DIV/0!</v>
      </c>
    </row>
    <row r="2910" customHeight="1" spans="1:21">
      <c r="A2910" s="42" t="str">
        <f t="shared" si="137"/>
        <v/>
      </c>
      <c r="G2910" s="47" t="e">
        <f t="shared" si="136"/>
        <v>#DIV/0!</v>
      </c>
      <c r="U2910" s="49" t="e">
        <f t="shared" si="138"/>
        <v>#DIV/0!</v>
      </c>
    </row>
    <row r="2911" customHeight="1" spans="1:21">
      <c r="A2911" s="42" t="str">
        <f t="shared" si="137"/>
        <v/>
      </c>
      <c r="G2911" s="47" t="e">
        <f t="shared" si="136"/>
        <v>#DIV/0!</v>
      </c>
      <c r="U2911" s="49" t="e">
        <f t="shared" si="138"/>
        <v>#DIV/0!</v>
      </c>
    </row>
    <row r="2912" customHeight="1" spans="1:21">
      <c r="A2912" s="42" t="str">
        <f t="shared" si="137"/>
        <v/>
      </c>
      <c r="G2912" s="47" t="e">
        <f t="shared" si="136"/>
        <v>#DIV/0!</v>
      </c>
      <c r="U2912" s="49" t="e">
        <f t="shared" si="138"/>
        <v>#DIV/0!</v>
      </c>
    </row>
    <row r="2913" customHeight="1" spans="1:21">
      <c r="A2913" s="42" t="str">
        <f t="shared" si="137"/>
        <v/>
      </c>
      <c r="G2913" s="47" t="e">
        <f t="shared" si="136"/>
        <v>#DIV/0!</v>
      </c>
      <c r="U2913" s="49" t="e">
        <f t="shared" si="138"/>
        <v>#DIV/0!</v>
      </c>
    </row>
    <row r="2914" customHeight="1" spans="1:21">
      <c r="A2914" s="42" t="str">
        <f t="shared" si="137"/>
        <v/>
      </c>
      <c r="G2914" s="47" t="e">
        <f t="shared" si="136"/>
        <v>#DIV/0!</v>
      </c>
      <c r="U2914" s="49" t="e">
        <f t="shared" si="138"/>
        <v>#DIV/0!</v>
      </c>
    </row>
    <row r="2915" customHeight="1" spans="1:21">
      <c r="A2915" s="42" t="str">
        <f t="shared" si="137"/>
        <v/>
      </c>
      <c r="G2915" s="47" t="e">
        <f t="shared" si="136"/>
        <v>#DIV/0!</v>
      </c>
      <c r="U2915" s="49" t="e">
        <f t="shared" si="138"/>
        <v>#DIV/0!</v>
      </c>
    </row>
    <row r="2916" customHeight="1" spans="1:21">
      <c r="A2916" s="42" t="str">
        <f t="shared" si="137"/>
        <v/>
      </c>
      <c r="G2916" s="47" t="e">
        <f t="shared" si="136"/>
        <v>#DIV/0!</v>
      </c>
      <c r="U2916" s="49" t="e">
        <f t="shared" si="138"/>
        <v>#DIV/0!</v>
      </c>
    </row>
    <row r="2917" customHeight="1" spans="1:21">
      <c r="A2917" s="42" t="str">
        <f t="shared" si="137"/>
        <v/>
      </c>
      <c r="G2917" s="47" t="e">
        <f t="shared" si="136"/>
        <v>#DIV/0!</v>
      </c>
      <c r="U2917" s="49" t="e">
        <f t="shared" si="138"/>
        <v>#DIV/0!</v>
      </c>
    </row>
    <row r="2918" customHeight="1" spans="1:21">
      <c r="A2918" s="42" t="str">
        <f t="shared" si="137"/>
        <v/>
      </c>
      <c r="G2918" s="47" t="e">
        <f t="shared" si="136"/>
        <v>#DIV/0!</v>
      </c>
      <c r="U2918" s="49" t="e">
        <f t="shared" si="138"/>
        <v>#DIV/0!</v>
      </c>
    </row>
    <row r="2919" customHeight="1" spans="1:21">
      <c r="A2919" s="42" t="str">
        <f t="shared" si="137"/>
        <v/>
      </c>
      <c r="G2919" s="47" t="e">
        <f t="shared" si="136"/>
        <v>#DIV/0!</v>
      </c>
      <c r="U2919" s="49" t="e">
        <f t="shared" si="138"/>
        <v>#DIV/0!</v>
      </c>
    </row>
    <row r="2920" customHeight="1" spans="1:21">
      <c r="A2920" s="42" t="str">
        <f t="shared" si="137"/>
        <v/>
      </c>
      <c r="G2920" s="47" t="e">
        <f t="shared" si="136"/>
        <v>#DIV/0!</v>
      </c>
      <c r="U2920" s="49" t="e">
        <f t="shared" si="138"/>
        <v>#DIV/0!</v>
      </c>
    </row>
    <row r="2921" customHeight="1" spans="1:21">
      <c r="A2921" s="42" t="str">
        <f t="shared" si="137"/>
        <v/>
      </c>
      <c r="G2921" s="47" t="e">
        <f t="shared" si="136"/>
        <v>#DIV/0!</v>
      </c>
      <c r="U2921" s="49" t="e">
        <f t="shared" si="138"/>
        <v>#DIV/0!</v>
      </c>
    </row>
    <row r="2922" customHeight="1" spans="1:21">
      <c r="A2922" s="42" t="str">
        <f t="shared" si="137"/>
        <v/>
      </c>
      <c r="G2922" s="47" t="e">
        <f t="shared" si="136"/>
        <v>#DIV/0!</v>
      </c>
      <c r="U2922" s="49" t="e">
        <f t="shared" si="138"/>
        <v>#DIV/0!</v>
      </c>
    </row>
    <row r="2923" customHeight="1" spans="1:21">
      <c r="A2923" s="42" t="str">
        <f t="shared" si="137"/>
        <v/>
      </c>
      <c r="G2923" s="47" t="e">
        <f t="shared" si="136"/>
        <v>#DIV/0!</v>
      </c>
      <c r="U2923" s="49" t="e">
        <f t="shared" si="138"/>
        <v>#DIV/0!</v>
      </c>
    </row>
    <row r="2924" customHeight="1" spans="1:21">
      <c r="A2924" s="42" t="str">
        <f t="shared" si="137"/>
        <v/>
      </c>
      <c r="G2924" s="47" t="e">
        <f t="shared" si="136"/>
        <v>#DIV/0!</v>
      </c>
      <c r="U2924" s="49" t="e">
        <f t="shared" si="138"/>
        <v>#DIV/0!</v>
      </c>
    </row>
    <row r="2925" customHeight="1" spans="1:21">
      <c r="A2925" s="42" t="str">
        <f t="shared" si="137"/>
        <v/>
      </c>
      <c r="G2925" s="47" t="e">
        <f t="shared" si="136"/>
        <v>#DIV/0!</v>
      </c>
      <c r="U2925" s="49" t="e">
        <f t="shared" si="138"/>
        <v>#DIV/0!</v>
      </c>
    </row>
    <row r="2926" customHeight="1" spans="1:21">
      <c r="A2926" s="42" t="str">
        <f t="shared" si="137"/>
        <v/>
      </c>
      <c r="G2926" s="47" t="e">
        <f t="shared" si="136"/>
        <v>#DIV/0!</v>
      </c>
      <c r="U2926" s="49" t="e">
        <f t="shared" si="138"/>
        <v>#DIV/0!</v>
      </c>
    </row>
    <row r="2927" customHeight="1" spans="1:21">
      <c r="A2927" s="42" t="str">
        <f t="shared" si="137"/>
        <v/>
      </c>
      <c r="G2927" s="47" t="e">
        <f t="shared" si="136"/>
        <v>#DIV/0!</v>
      </c>
      <c r="U2927" s="49" t="e">
        <f t="shared" si="138"/>
        <v>#DIV/0!</v>
      </c>
    </row>
    <row r="2928" customHeight="1" spans="1:21">
      <c r="A2928" s="42" t="str">
        <f t="shared" si="137"/>
        <v/>
      </c>
      <c r="G2928" s="47" t="e">
        <f t="shared" si="136"/>
        <v>#DIV/0!</v>
      </c>
      <c r="U2928" s="49" t="e">
        <f t="shared" si="138"/>
        <v>#DIV/0!</v>
      </c>
    </row>
    <row r="2929" customHeight="1" spans="1:21">
      <c r="A2929" s="42" t="str">
        <f t="shared" si="137"/>
        <v/>
      </c>
      <c r="G2929" s="47" t="e">
        <f t="shared" si="136"/>
        <v>#DIV/0!</v>
      </c>
      <c r="U2929" s="49" t="e">
        <f t="shared" si="138"/>
        <v>#DIV/0!</v>
      </c>
    </row>
    <row r="2930" customHeight="1" spans="1:21">
      <c r="A2930" s="42" t="str">
        <f t="shared" si="137"/>
        <v/>
      </c>
      <c r="G2930" s="47" t="e">
        <f t="shared" si="136"/>
        <v>#DIV/0!</v>
      </c>
      <c r="U2930" s="49" t="e">
        <f t="shared" si="138"/>
        <v>#DIV/0!</v>
      </c>
    </row>
    <row r="2931" customHeight="1" spans="1:21">
      <c r="A2931" s="42" t="str">
        <f t="shared" si="137"/>
        <v/>
      </c>
      <c r="G2931" s="47" t="e">
        <f t="shared" si="136"/>
        <v>#DIV/0!</v>
      </c>
      <c r="U2931" s="49" t="e">
        <f t="shared" si="138"/>
        <v>#DIV/0!</v>
      </c>
    </row>
    <row r="2932" customHeight="1" spans="1:21">
      <c r="A2932" s="42" t="str">
        <f t="shared" si="137"/>
        <v/>
      </c>
      <c r="G2932" s="47" t="e">
        <f t="shared" si="136"/>
        <v>#DIV/0!</v>
      </c>
      <c r="U2932" s="49" t="e">
        <f t="shared" si="138"/>
        <v>#DIV/0!</v>
      </c>
    </row>
    <row r="2933" customHeight="1" spans="1:21">
      <c r="A2933" s="42" t="str">
        <f t="shared" si="137"/>
        <v/>
      </c>
      <c r="G2933" s="47" t="e">
        <f t="shared" si="136"/>
        <v>#DIV/0!</v>
      </c>
      <c r="U2933" s="49" t="e">
        <f t="shared" si="138"/>
        <v>#DIV/0!</v>
      </c>
    </row>
    <row r="2934" customHeight="1" spans="1:21">
      <c r="A2934" s="42" t="str">
        <f t="shared" si="137"/>
        <v/>
      </c>
      <c r="G2934" s="47" t="e">
        <f t="shared" si="136"/>
        <v>#DIV/0!</v>
      </c>
      <c r="U2934" s="49" t="e">
        <f t="shared" si="138"/>
        <v>#DIV/0!</v>
      </c>
    </row>
    <row r="2935" customHeight="1" spans="1:21">
      <c r="A2935" s="42" t="str">
        <f t="shared" si="137"/>
        <v/>
      </c>
      <c r="G2935" s="47" t="e">
        <f t="shared" si="136"/>
        <v>#DIV/0!</v>
      </c>
      <c r="U2935" s="49" t="e">
        <f t="shared" si="138"/>
        <v>#DIV/0!</v>
      </c>
    </row>
    <row r="2936" customHeight="1" spans="1:21">
      <c r="A2936" s="42" t="str">
        <f t="shared" si="137"/>
        <v/>
      </c>
      <c r="G2936" s="47" t="e">
        <f t="shared" si="136"/>
        <v>#DIV/0!</v>
      </c>
      <c r="U2936" s="49" t="e">
        <f t="shared" si="138"/>
        <v>#DIV/0!</v>
      </c>
    </row>
    <row r="2937" customHeight="1" spans="1:21">
      <c r="A2937" s="42" t="str">
        <f t="shared" si="137"/>
        <v/>
      </c>
      <c r="G2937" s="47" t="e">
        <f t="shared" si="136"/>
        <v>#DIV/0!</v>
      </c>
      <c r="U2937" s="49" t="e">
        <f t="shared" si="138"/>
        <v>#DIV/0!</v>
      </c>
    </row>
    <row r="2938" customHeight="1" spans="1:21">
      <c r="A2938" s="42" t="str">
        <f t="shared" si="137"/>
        <v/>
      </c>
      <c r="G2938" s="47" t="e">
        <f t="shared" si="136"/>
        <v>#DIV/0!</v>
      </c>
      <c r="U2938" s="49" t="e">
        <f t="shared" si="138"/>
        <v>#DIV/0!</v>
      </c>
    </row>
    <row r="2939" customHeight="1" spans="1:21">
      <c r="A2939" s="42" t="str">
        <f t="shared" si="137"/>
        <v/>
      </c>
      <c r="G2939" s="47" t="e">
        <f t="shared" si="136"/>
        <v>#DIV/0!</v>
      </c>
      <c r="U2939" s="49" t="e">
        <f t="shared" si="138"/>
        <v>#DIV/0!</v>
      </c>
    </row>
    <row r="2940" customHeight="1" spans="1:21">
      <c r="A2940" s="42" t="str">
        <f t="shared" si="137"/>
        <v/>
      </c>
      <c r="G2940" s="47" t="e">
        <f t="shared" si="136"/>
        <v>#DIV/0!</v>
      </c>
      <c r="U2940" s="49" t="e">
        <f t="shared" si="138"/>
        <v>#DIV/0!</v>
      </c>
    </row>
    <row r="2941" customHeight="1" spans="1:21">
      <c r="A2941" s="42" t="str">
        <f t="shared" si="137"/>
        <v/>
      </c>
      <c r="G2941" s="47" t="e">
        <f t="shared" si="136"/>
        <v>#DIV/0!</v>
      </c>
      <c r="U2941" s="49" t="e">
        <f t="shared" si="138"/>
        <v>#DIV/0!</v>
      </c>
    </row>
    <row r="2942" customHeight="1" spans="1:21">
      <c r="A2942" s="42" t="str">
        <f t="shared" si="137"/>
        <v/>
      </c>
      <c r="G2942" s="47" t="e">
        <f t="shared" si="136"/>
        <v>#DIV/0!</v>
      </c>
      <c r="U2942" s="49" t="e">
        <f t="shared" si="138"/>
        <v>#DIV/0!</v>
      </c>
    </row>
    <row r="2943" customHeight="1" spans="1:21">
      <c r="A2943" s="42" t="str">
        <f t="shared" si="137"/>
        <v/>
      </c>
      <c r="G2943" s="47" t="e">
        <f t="shared" si="136"/>
        <v>#DIV/0!</v>
      </c>
      <c r="U2943" s="49" t="e">
        <f t="shared" si="138"/>
        <v>#DIV/0!</v>
      </c>
    </row>
    <row r="2944" customHeight="1" spans="1:21">
      <c r="A2944" s="42" t="str">
        <f t="shared" si="137"/>
        <v/>
      </c>
      <c r="G2944" s="47" t="e">
        <f t="shared" si="136"/>
        <v>#DIV/0!</v>
      </c>
      <c r="U2944" s="49" t="e">
        <f t="shared" si="138"/>
        <v>#DIV/0!</v>
      </c>
    </row>
    <row r="2945" customHeight="1" spans="1:21">
      <c r="A2945" s="42" t="str">
        <f t="shared" si="137"/>
        <v/>
      </c>
      <c r="G2945" s="47" t="e">
        <f t="shared" si="136"/>
        <v>#DIV/0!</v>
      </c>
      <c r="U2945" s="49" t="e">
        <f t="shared" si="138"/>
        <v>#DIV/0!</v>
      </c>
    </row>
    <row r="2946" customHeight="1" spans="1:21">
      <c r="A2946" s="42" t="str">
        <f t="shared" si="137"/>
        <v/>
      </c>
      <c r="G2946" s="47" t="e">
        <f t="shared" si="136"/>
        <v>#DIV/0!</v>
      </c>
      <c r="U2946" s="49" t="e">
        <f t="shared" si="138"/>
        <v>#DIV/0!</v>
      </c>
    </row>
    <row r="2947" customHeight="1" spans="1:21">
      <c r="A2947" s="42" t="str">
        <f t="shared" si="137"/>
        <v/>
      </c>
      <c r="G2947" s="47" t="e">
        <f t="shared" ref="G2947:G3010" si="139">+E2947/F2947</f>
        <v>#DIV/0!</v>
      </c>
      <c r="U2947" s="49" t="e">
        <f t="shared" si="138"/>
        <v>#DIV/0!</v>
      </c>
    </row>
    <row r="2948" customHeight="1" spans="1:21">
      <c r="A2948" s="42" t="str">
        <f t="shared" ref="A2948:A3011" si="140">B2948&amp;C2948&amp;D2948</f>
        <v/>
      </c>
      <c r="G2948" s="47" t="e">
        <f t="shared" si="139"/>
        <v>#DIV/0!</v>
      </c>
      <c r="U2948" s="49" t="e">
        <f t="shared" ref="U2948:U3011" si="141">SUM(G2948:T2948)</f>
        <v>#DIV/0!</v>
      </c>
    </row>
    <row r="2949" customHeight="1" spans="1:21">
      <c r="A2949" s="42" t="str">
        <f t="shared" si="140"/>
        <v/>
      </c>
      <c r="G2949" s="47" t="e">
        <f t="shared" si="139"/>
        <v>#DIV/0!</v>
      </c>
      <c r="U2949" s="49" t="e">
        <f t="shared" si="141"/>
        <v>#DIV/0!</v>
      </c>
    </row>
    <row r="2950" customHeight="1" spans="1:21">
      <c r="A2950" s="42" t="str">
        <f t="shared" si="140"/>
        <v/>
      </c>
      <c r="G2950" s="47" t="e">
        <f t="shared" si="139"/>
        <v>#DIV/0!</v>
      </c>
      <c r="U2950" s="49" t="e">
        <f t="shared" si="141"/>
        <v>#DIV/0!</v>
      </c>
    </row>
    <row r="2951" customHeight="1" spans="1:21">
      <c r="A2951" s="42" t="str">
        <f t="shared" si="140"/>
        <v/>
      </c>
      <c r="G2951" s="47" t="e">
        <f t="shared" si="139"/>
        <v>#DIV/0!</v>
      </c>
      <c r="U2951" s="49" t="e">
        <f t="shared" si="141"/>
        <v>#DIV/0!</v>
      </c>
    </row>
    <row r="2952" customHeight="1" spans="1:21">
      <c r="A2952" s="42" t="str">
        <f t="shared" si="140"/>
        <v/>
      </c>
      <c r="G2952" s="47" t="e">
        <f t="shared" si="139"/>
        <v>#DIV/0!</v>
      </c>
      <c r="U2952" s="49" t="e">
        <f t="shared" si="141"/>
        <v>#DIV/0!</v>
      </c>
    </row>
    <row r="2953" customHeight="1" spans="1:21">
      <c r="A2953" s="42" t="str">
        <f t="shared" si="140"/>
        <v/>
      </c>
      <c r="G2953" s="47" t="e">
        <f t="shared" si="139"/>
        <v>#DIV/0!</v>
      </c>
      <c r="U2953" s="49" t="e">
        <f t="shared" si="141"/>
        <v>#DIV/0!</v>
      </c>
    </row>
    <row r="2954" customHeight="1" spans="1:21">
      <c r="A2954" s="42" t="str">
        <f t="shared" si="140"/>
        <v/>
      </c>
      <c r="G2954" s="47" t="e">
        <f t="shared" si="139"/>
        <v>#DIV/0!</v>
      </c>
      <c r="U2954" s="49" t="e">
        <f t="shared" si="141"/>
        <v>#DIV/0!</v>
      </c>
    </row>
    <row r="2955" customHeight="1" spans="1:21">
      <c r="A2955" s="42" t="str">
        <f t="shared" si="140"/>
        <v/>
      </c>
      <c r="G2955" s="47" t="e">
        <f t="shared" si="139"/>
        <v>#DIV/0!</v>
      </c>
      <c r="U2955" s="49" t="e">
        <f t="shared" si="141"/>
        <v>#DIV/0!</v>
      </c>
    </row>
    <row r="2956" customHeight="1" spans="1:21">
      <c r="A2956" s="42" t="str">
        <f t="shared" si="140"/>
        <v/>
      </c>
      <c r="G2956" s="47" t="e">
        <f t="shared" si="139"/>
        <v>#DIV/0!</v>
      </c>
      <c r="U2956" s="49" t="e">
        <f t="shared" si="141"/>
        <v>#DIV/0!</v>
      </c>
    </row>
    <row r="2957" customHeight="1" spans="1:21">
      <c r="A2957" s="42" t="str">
        <f t="shared" si="140"/>
        <v/>
      </c>
      <c r="G2957" s="47" t="e">
        <f t="shared" si="139"/>
        <v>#DIV/0!</v>
      </c>
      <c r="U2957" s="49" t="e">
        <f t="shared" si="141"/>
        <v>#DIV/0!</v>
      </c>
    </row>
    <row r="2958" customHeight="1" spans="1:21">
      <c r="A2958" s="42" t="str">
        <f t="shared" si="140"/>
        <v/>
      </c>
      <c r="G2958" s="47" t="e">
        <f t="shared" si="139"/>
        <v>#DIV/0!</v>
      </c>
      <c r="U2958" s="49" t="e">
        <f t="shared" si="141"/>
        <v>#DIV/0!</v>
      </c>
    </row>
    <row r="2959" customHeight="1" spans="1:21">
      <c r="A2959" s="42" t="str">
        <f t="shared" si="140"/>
        <v/>
      </c>
      <c r="G2959" s="47" t="e">
        <f t="shared" si="139"/>
        <v>#DIV/0!</v>
      </c>
      <c r="U2959" s="49" t="e">
        <f t="shared" si="141"/>
        <v>#DIV/0!</v>
      </c>
    </row>
    <row r="2960" customHeight="1" spans="1:21">
      <c r="A2960" s="42" t="str">
        <f t="shared" si="140"/>
        <v/>
      </c>
      <c r="G2960" s="47" t="e">
        <f t="shared" si="139"/>
        <v>#DIV/0!</v>
      </c>
      <c r="U2960" s="49" t="e">
        <f t="shared" si="141"/>
        <v>#DIV/0!</v>
      </c>
    </row>
    <row r="2961" customHeight="1" spans="1:21">
      <c r="A2961" s="42" t="str">
        <f t="shared" si="140"/>
        <v/>
      </c>
      <c r="G2961" s="47" t="e">
        <f t="shared" si="139"/>
        <v>#DIV/0!</v>
      </c>
      <c r="U2961" s="49" t="e">
        <f t="shared" si="141"/>
        <v>#DIV/0!</v>
      </c>
    </row>
    <row r="2962" customHeight="1" spans="1:21">
      <c r="A2962" s="42" t="str">
        <f t="shared" si="140"/>
        <v/>
      </c>
      <c r="G2962" s="47" t="e">
        <f t="shared" si="139"/>
        <v>#DIV/0!</v>
      </c>
      <c r="U2962" s="49" t="e">
        <f t="shared" si="141"/>
        <v>#DIV/0!</v>
      </c>
    </row>
    <row r="2963" customHeight="1" spans="1:21">
      <c r="A2963" s="42" t="str">
        <f t="shared" si="140"/>
        <v/>
      </c>
      <c r="G2963" s="47" t="e">
        <f t="shared" si="139"/>
        <v>#DIV/0!</v>
      </c>
      <c r="U2963" s="49" t="e">
        <f t="shared" si="141"/>
        <v>#DIV/0!</v>
      </c>
    </row>
    <row r="2964" customHeight="1" spans="1:21">
      <c r="A2964" s="42" t="str">
        <f t="shared" si="140"/>
        <v/>
      </c>
      <c r="G2964" s="47" t="e">
        <f t="shared" si="139"/>
        <v>#DIV/0!</v>
      </c>
      <c r="U2964" s="49" t="e">
        <f t="shared" si="141"/>
        <v>#DIV/0!</v>
      </c>
    </row>
    <row r="2965" customHeight="1" spans="1:21">
      <c r="A2965" s="42" t="str">
        <f t="shared" si="140"/>
        <v/>
      </c>
      <c r="G2965" s="47" t="e">
        <f t="shared" si="139"/>
        <v>#DIV/0!</v>
      </c>
      <c r="U2965" s="49" t="e">
        <f t="shared" si="141"/>
        <v>#DIV/0!</v>
      </c>
    </row>
    <row r="2966" customHeight="1" spans="1:21">
      <c r="A2966" s="42" t="str">
        <f t="shared" si="140"/>
        <v/>
      </c>
      <c r="G2966" s="47" t="e">
        <f t="shared" si="139"/>
        <v>#DIV/0!</v>
      </c>
      <c r="U2966" s="49" t="e">
        <f t="shared" si="141"/>
        <v>#DIV/0!</v>
      </c>
    </row>
    <row r="2967" customHeight="1" spans="1:21">
      <c r="A2967" s="42" t="str">
        <f t="shared" si="140"/>
        <v/>
      </c>
      <c r="G2967" s="47" t="e">
        <f t="shared" si="139"/>
        <v>#DIV/0!</v>
      </c>
      <c r="U2967" s="49" t="e">
        <f t="shared" si="141"/>
        <v>#DIV/0!</v>
      </c>
    </row>
    <row r="2968" customHeight="1" spans="1:21">
      <c r="A2968" s="42" t="str">
        <f t="shared" si="140"/>
        <v/>
      </c>
      <c r="G2968" s="47" t="e">
        <f t="shared" si="139"/>
        <v>#DIV/0!</v>
      </c>
      <c r="U2968" s="49" t="e">
        <f t="shared" si="141"/>
        <v>#DIV/0!</v>
      </c>
    </row>
    <row r="2969" customHeight="1" spans="1:21">
      <c r="A2969" s="42" t="str">
        <f t="shared" si="140"/>
        <v/>
      </c>
      <c r="G2969" s="47" t="e">
        <f t="shared" si="139"/>
        <v>#DIV/0!</v>
      </c>
      <c r="U2969" s="49" t="e">
        <f t="shared" si="141"/>
        <v>#DIV/0!</v>
      </c>
    </row>
    <row r="2970" customHeight="1" spans="1:21">
      <c r="A2970" s="42" t="str">
        <f t="shared" si="140"/>
        <v/>
      </c>
      <c r="G2970" s="47" t="e">
        <f t="shared" si="139"/>
        <v>#DIV/0!</v>
      </c>
      <c r="U2970" s="49" t="e">
        <f t="shared" si="141"/>
        <v>#DIV/0!</v>
      </c>
    </row>
    <row r="2971" customHeight="1" spans="1:21">
      <c r="A2971" s="42" t="str">
        <f t="shared" si="140"/>
        <v/>
      </c>
      <c r="G2971" s="47" t="e">
        <f t="shared" si="139"/>
        <v>#DIV/0!</v>
      </c>
      <c r="U2971" s="49" t="e">
        <f t="shared" si="141"/>
        <v>#DIV/0!</v>
      </c>
    </row>
    <row r="2972" customHeight="1" spans="1:21">
      <c r="A2972" s="42" t="str">
        <f t="shared" si="140"/>
        <v/>
      </c>
      <c r="G2972" s="47" t="e">
        <f t="shared" si="139"/>
        <v>#DIV/0!</v>
      </c>
      <c r="U2972" s="49" t="e">
        <f t="shared" si="141"/>
        <v>#DIV/0!</v>
      </c>
    </row>
    <row r="2973" customHeight="1" spans="1:21">
      <c r="A2973" s="42" t="str">
        <f t="shared" si="140"/>
        <v/>
      </c>
      <c r="G2973" s="47" t="e">
        <f t="shared" si="139"/>
        <v>#DIV/0!</v>
      </c>
      <c r="U2973" s="49" t="e">
        <f t="shared" si="141"/>
        <v>#DIV/0!</v>
      </c>
    </row>
    <row r="2974" customHeight="1" spans="1:21">
      <c r="A2974" s="42" t="str">
        <f t="shared" si="140"/>
        <v/>
      </c>
      <c r="G2974" s="47" t="e">
        <f t="shared" si="139"/>
        <v>#DIV/0!</v>
      </c>
      <c r="U2974" s="49" t="e">
        <f t="shared" si="141"/>
        <v>#DIV/0!</v>
      </c>
    </row>
    <row r="2975" customHeight="1" spans="1:21">
      <c r="A2975" s="42" t="str">
        <f t="shared" si="140"/>
        <v/>
      </c>
      <c r="G2975" s="47" t="e">
        <f t="shared" si="139"/>
        <v>#DIV/0!</v>
      </c>
      <c r="U2975" s="49" t="e">
        <f t="shared" si="141"/>
        <v>#DIV/0!</v>
      </c>
    </row>
    <row r="2976" customHeight="1" spans="1:21">
      <c r="A2976" s="42" t="str">
        <f t="shared" si="140"/>
        <v/>
      </c>
      <c r="G2976" s="47" t="e">
        <f t="shared" si="139"/>
        <v>#DIV/0!</v>
      </c>
      <c r="U2976" s="49" t="e">
        <f t="shared" si="141"/>
        <v>#DIV/0!</v>
      </c>
    </row>
    <row r="2977" customHeight="1" spans="1:21">
      <c r="A2977" s="42" t="str">
        <f t="shared" si="140"/>
        <v/>
      </c>
      <c r="G2977" s="47" t="e">
        <f t="shared" si="139"/>
        <v>#DIV/0!</v>
      </c>
      <c r="U2977" s="49" t="e">
        <f t="shared" si="141"/>
        <v>#DIV/0!</v>
      </c>
    </row>
    <row r="2978" customHeight="1" spans="1:21">
      <c r="A2978" s="42" t="str">
        <f t="shared" si="140"/>
        <v/>
      </c>
      <c r="G2978" s="47" t="e">
        <f t="shared" si="139"/>
        <v>#DIV/0!</v>
      </c>
      <c r="U2978" s="49" t="e">
        <f t="shared" si="141"/>
        <v>#DIV/0!</v>
      </c>
    </row>
    <row r="2979" customHeight="1" spans="1:21">
      <c r="A2979" s="42" t="str">
        <f t="shared" si="140"/>
        <v/>
      </c>
      <c r="G2979" s="47" t="e">
        <f t="shared" si="139"/>
        <v>#DIV/0!</v>
      </c>
      <c r="U2979" s="49" t="e">
        <f t="shared" si="141"/>
        <v>#DIV/0!</v>
      </c>
    </row>
    <row r="2980" customHeight="1" spans="1:21">
      <c r="A2980" s="42" t="str">
        <f t="shared" si="140"/>
        <v/>
      </c>
      <c r="G2980" s="47" t="e">
        <f t="shared" si="139"/>
        <v>#DIV/0!</v>
      </c>
      <c r="U2980" s="49" t="e">
        <f t="shared" si="141"/>
        <v>#DIV/0!</v>
      </c>
    </row>
    <row r="2981" customHeight="1" spans="1:21">
      <c r="A2981" s="42" t="str">
        <f t="shared" si="140"/>
        <v/>
      </c>
      <c r="G2981" s="47" t="e">
        <f t="shared" si="139"/>
        <v>#DIV/0!</v>
      </c>
      <c r="U2981" s="49" t="e">
        <f t="shared" si="141"/>
        <v>#DIV/0!</v>
      </c>
    </row>
    <row r="2982" customHeight="1" spans="1:21">
      <c r="A2982" s="42" t="str">
        <f t="shared" si="140"/>
        <v/>
      </c>
      <c r="G2982" s="47" t="e">
        <f t="shared" si="139"/>
        <v>#DIV/0!</v>
      </c>
      <c r="U2982" s="49" t="e">
        <f t="shared" si="141"/>
        <v>#DIV/0!</v>
      </c>
    </row>
    <row r="2983" customHeight="1" spans="1:21">
      <c r="A2983" s="42" t="str">
        <f t="shared" si="140"/>
        <v/>
      </c>
      <c r="G2983" s="47" t="e">
        <f t="shared" si="139"/>
        <v>#DIV/0!</v>
      </c>
      <c r="U2983" s="49" t="e">
        <f t="shared" si="141"/>
        <v>#DIV/0!</v>
      </c>
    </row>
    <row r="2984" customHeight="1" spans="1:21">
      <c r="A2984" s="42" t="str">
        <f t="shared" si="140"/>
        <v/>
      </c>
      <c r="G2984" s="47" t="e">
        <f t="shared" si="139"/>
        <v>#DIV/0!</v>
      </c>
      <c r="U2984" s="49" t="e">
        <f t="shared" si="141"/>
        <v>#DIV/0!</v>
      </c>
    </row>
    <row r="2985" customHeight="1" spans="1:21">
      <c r="A2985" s="42" t="str">
        <f t="shared" si="140"/>
        <v/>
      </c>
      <c r="G2985" s="47" t="e">
        <f t="shared" si="139"/>
        <v>#DIV/0!</v>
      </c>
      <c r="U2985" s="49" t="e">
        <f t="shared" si="141"/>
        <v>#DIV/0!</v>
      </c>
    </row>
    <row r="2986" customHeight="1" spans="1:21">
      <c r="A2986" s="42" t="str">
        <f t="shared" si="140"/>
        <v/>
      </c>
      <c r="G2986" s="47" t="e">
        <f t="shared" si="139"/>
        <v>#DIV/0!</v>
      </c>
      <c r="U2986" s="49" t="e">
        <f t="shared" si="141"/>
        <v>#DIV/0!</v>
      </c>
    </row>
    <row r="2987" customHeight="1" spans="1:21">
      <c r="A2987" s="42" t="str">
        <f t="shared" si="140"/>
        <v/>
      </c>
      <c r="G2987" s="47" t="e">
        <f t="shared" si="139"/>
        <v>#DIV/0!</v>
      </c>
      <c r="U2987" s="49" t="e">
        <f t="shared" si="141"/>
        <v>#DIV/0!</v>
      </c>
    </row>
    <row r="2988" customHeight="1" spans="1:21">
      <c r="A2988" s="42" t="str">
        <f t="shared" si="140"/>
        <v/>
      </c>
      <c r="G2988" s="47" t="e">
        <f t="shared" si="139"/>
        <v>#DIV/0!</v>
      </c>
      <c r="U2988" s="49" t="e">
        <f t="shared" si="141"/>
        <v>#DIV/0!</v>
      </c>
    </row>
    <row r="2989" customHeight="1" spans="1:21">
      <c r="A2989" s="42" t="str">
        <f t="shared" si="140"/>
        <v/>
      </c>
      <c r="G2989" s="47" t="e">
        <f t="shared" si="139"/>
        <v>#DIV/0!</v>
      </c>
      <c r="U2989" s="49" t="e">
        <f t="shared" si="141"/>
        <v>#DIV/0!</v>
      </c>
    </row>
    <row r="2990" customHeight="1" spans="1:21">
      <c r="A2990" s="42" t="str">
        <f t="shared" si="140"/>
        <v/>
      </c>
      <c r="G2990" s="47" t="e">
        <f t="shared" si="139"/>
        <v>#DIV/0!</v>
      </c>
      <c r="U2990" s="49" t="e">
        <f t="shared" si="141"/>
        <v>#DIV/0!</v>
      </c>
    </row>
    <row r="2991" customHeight="1" spans="1:21">
      <c r="A2991" s="42" t="str">
        <f t="shared" si="140"/>
        <v/>
      </c>
      <c r="G2991" s="47" t="e">
        <f t="shared" si="139"/>
        <v>#DIV/0!</v>
      </c>
      <c r="U2991" s="49" t="e">
        <f t="shared" si="141"/>
        <v>#DIV/0!</v>
      </c>
    </row>
    <row r="2992" customHeight="1" spans="1:21">
      <c r="A2992" s="42" t="str">
        <f t="shared" si="140"/>
        <v/>
      </c>
      <c r="G2992" s="47" t="e">
        <f t="shared" si="139"/>
        <v>#DIV/0!</v>
      </c>
      <c r="U2992" s="49" t="e">
        <f t="shared" si="141"/>
        <v>#DIV/0!</v>
      </c>
    </row>
    <row r="2993" customHeight="1" spans="1:21">
      <c r="A2993" s="42" t="str">
        <f t="shared" si="140"/>
        <v/>
      </c>
      <c r="G2993" s="47" t="e">
        <f t="shared" si="139"/>
        <v>#DIV/0!</v>
      </c>
      <c r="U2993" s="49" t="e">
        <f t="shared" si="141"/>
        <v>#DIV/0!</v>
      </c>
    </row>
    <row r="2994" customHeight="1" spans="1:21">
      <c r="A2994" s="42" t="str">
        <f t="shared" si="140"/>
        <v/>
      </c>
      <c r="G2994" s="47" t="e">
        <f t="shared" si="139"/>
        <v>#DIV/0!</v>
      </c>
      <c r="U2994" s="49" t="e">
        <f t="shared" si="141"/>
        <v>#DIV/0!</v>
      </c>
    </row>
    <row r="2995" customHeight="1" spans="1:21">
      <c r="A2995" s="42" t="str">
        <f t="shared" si="140"/>
        <v/>
      </c>
      <c r="G2995" s="47" t="e">
        <f t="shared" si="139"/>
        <v>#DIV/0!</v>
      </c>
      <c r="U2995" s="49" t="e">
        <f t="shared" si="141"/>
        <v>#DIV/0!</v>
      </c>
    </row>
    <row r="2996" customHeight="1" spans="1:21">
      <c r="A2996" s="42" t="str">
        <f t="shared" si="140"/>
        <v/>
      </c>
      <c r="G2996" s="47" t="e">
        <f t="shared" si="139"/>
        <v>#DIV/0!</v>
      </c>
      <c r="U2996" s="49" t="e">
        <f t="shared" si="141"/>
        <v>#DIV/0!</v>
      </c>
    </row>
    <row r="2997" customHeight="1" spans="1:21">
      <c r="A2997" s="42" t="str">
        <f t="shared" si="140"/>
        <v/>
      </c>
      <c r="G2997" s="47" t="e">
        <f t="shared" si="139"/>
        <v>#DIV/0!</v>
      </c>
      <c r="U2997" s="49" t="e">
        <f t="shared" si="141"/>
        <v>#DIV/0!</v>
      </c>
    </row>
    <row r="2998" customHeight="1" spans="1:21">
      <c r="A2998" s="42" t="str">
        <f t="shared" si="140"/>
        <v/>
      </c>
      <c r="G2998" s="47" t="e">
        <f t="shared" si="139"/>
        <v>#DIV/0!</v>
      </c>
      <c r="U2998" s="49" t="e">
        <f t="shared" si="141"/>
        <v>#DIV/0!</v>
      </c>
    </row>
    <row r="2999" customHeight="1" spans="1:21">
      <c r="A2999" s="42" t="str">
        <f t="shared" si="140"/>
        <v/>
      </c>
      <c r="G2999" s="47" t="e">
        <f t="shared" si="139"/>
        <v>#DIV/0!</v>
      </c>
      <c r="U2999" s="49" t="e">
        <f t="shared" si="141"/>
        <v>#DIV/0!</v>
      </c>
    </row>
    <row r="3000" customHeight="1" spans="1:21">
      <c r="A3000" s="42" t="str">
        <f t="shared" si="140"/>
        <v/>
      </c>
      <c r="G3000" s="47" t="e">
        <f t="shared" si="139"/>
        <v>#DIV/0!</v>
      </c>
      <c r="U3000" s="49" t="e">
        <f t="shared" si="141"/>
        <v>#DIV/0!</v>
      </c>
    </row>
    <row r="3001" customHeight="1" spans="1:21">
      <c r="A3001" s="42" t="str">
        <f t="shared" si="140"/>
        <v/>
      </c>
      <c r="G3001" s="47" t="e">
        <f t="shared" si="139"/>
        <v>#DIV/0!</v>
      </c>
      <c r="U3001" s="49" t="e">
        <f t="shared" si="141"/>
        <v>#DIV/0!</v>
      </c>
    </row>
    <row r="3002" customHeight="1" spans="1:21">
      <c r="A3002" s="42" t="str">
        <f t="shared" si="140"/>
        <v/>
      </c>
      <c r="G3002" s="47" t="e">
        <f t="shared" si="139"/>
        <v>#DIV/0!</v>
      </c>
      <c r="U3002" s="49" t="e">
        <f t="shared" si="141"/>
        <v>#DIV/0!</v>
      </c>
    </row>
    <row r="3003" customHeight="1" spans="1:21">
      <c r="A3003" s="42" t="str">
        <f t="shared" si="140"/>
        <v/>
      </c>
      <c r="G3003" s="47" t="e">
        <f t="shared" si="139"/>
        <v>#DIV/0!</v>
      </c>
      <c r="U3003" s="49" t="e">
        <f t="shared" si="141"/>
        <v>#DIV/0!</v>
      </c>
    </row>
    <row r="3004" customHeight="1" spans="1:21">
      <c r="A3004" s="42" t="str">
        <f t="shared" si="140"/>
        <v/>
      </c>
      <c r="G3004" s="47" t="e">
        <f t="shared" si="139"/>
        <v>#DIV/0!</v>
      </c>
      <c r="U3004" s="49" t="e">
        <f t="shared" si="141"/>
        <v>#DIV/0!</v>
      </c>
    </row>
    <row r="3005" customHeight="1" spans="1:21">
      <c r="A3005" s="42" t="str">
        <f t="shared" si="140"/>
        <v/>
      </c>
      <c r="G3005" s="47" t="e">
        <f t="shared" si="139"/>
        <v>#DIV/0!</v>
      </c>
      <c r="U3005" s="49" t="e">
        <f t="shared" si="141"/>
        <v>#DIV/0!</v>
      </c>
    </row>
    <row r="3006" customHeight="1" spans="1:21">
      <c r="A3006" s="42" t="str">
        <f t="shared" si="140"/>
        <v/>
      </c>
      <c r="G3006" s="47" t="e">
        <f t="shared" si="139"/>
        <v>#DIV/0!</v>
      </c>
      <c r="U3006" s="49" t="e">
        <f t="shared" si="141"/>
        <v>#DIV/0!</v>
      </c>
    </row>
    <row r="3007" customHeight="1" spans="1:21">
      <c r="A3007" s="42" t="str">
        <f t="shared" si="140"/>
        <v/>
      </c>
      <c r="G3007" s="47" t="e">
        <f t="shared" si="139"/>
        <v>#DIV/0!</v>
      </c>
      <c r="U3007" s="49" t="e">
        <f t="shared" si="141"/>
        <v>#DIV/0!</v>
      </c>
    </row>
    <row r="3008" customHeight="1" spans="1:21">
      <c r="A3008" s="42" t="str">
        <f t="shared" si="140"/>
        <v/>
      </c>
      <c r="G3008" s="47" t="e">
        <f t="shared" si="139"/>
        <v>#DIV/0!</v>
      </c>
      <c r="U3008" s="49" t="e">
        <f t="shared" si="141"/>
        <v>#DIV/0!</v>
      </c>
    </row>
    <row r="3009" customHeight="1" spans="1:21">
      <c r="A3009" s="42" t="str">
        <f t="shared" si="140"/>
        <v/>
      </c>
      <c r="G3009" s="47" t="e">
        <f t="shared" si="139"/>
        <v>#DIV/0!</v>
      </c>
      <c r="U3009" s="49" t="e">
        <f t="shared" si="141"/>
        <v>#DIV/0!</v>
      </c>
    </row>
    <row r="3010" customHeight="1" spans="1:21">
      <c r="A3010" s="42" t="str">
        <f t="shared" si="140"/>
        <v/>
      </c>
      <c r="G3010" s="47" t="e">
        <f t="shared" si="139"/>
        <v>#DIV/0!</v>
      </c>
      <c r="U3010" s="49" t="e">
        <f t="shared" si="141"/>
        <v>#DIV/0!</v>
      </c>
    </row>
    <row r="3011" customHeight="1" spans="1:21">
      <c r="A3011" s="42" t="str">
        <f t="shared" si="140"/>
        <v/>
      </c>
      <c r="G3011" s="47" t="e">
        <f t="shared" ref="G3011:G3074" si="142">+E3011/F3011</f>
        <v>#DIV/0!</v>
      </c>
      <c r="U3011" s="49" t="e">
        <f t="shared" si="141"/>
        <v>#DIV/0!</v>
      </c>
    </row>
    <row r="3012" customHeight="1" spans="1:21">
      <c r="A3012" s="42" t="str">
        <f t="shared" ref="A3012:A3075" si="143">B3012&amp;C3012&amp;D3012</f>
        <v/>
      </c>
      <c r="G3012" s="47" t="e">
        <f t="shared" si="142"/>
        <v>#DIV/0!</v>
      </c>
      <c r="U3012" s="49" t="e">
        <f t="shared" ref="U3012:U3075" si="144">SUM(G3012:T3012)</f>
        <v>#DIV/0!</v>
      </c>
    </row>
    <row r="3013" customHeight="1" spans="1:21">
      <c r="A3013" s="42" t="str">
        <f t="shared" si="143"/>
        <v/>
      </c>
      <c r="G3013" s="47" t="e">
        <f t="shared" si="142"/>
        <v>#DIV/0!</v>
      </c>
      <c r="U3013" s="49" t="e">
        <f t="shared" si="144"/>
        <v>#DIV/0!</v>
      </c>
    </row>
    <row r="3014" customHeight="1" spans="1:21">
      <c r="A3014" s="42" t="str">
        <f t="shared" si="143"/>
        <v/>
      </c>
      <c r="G3014" s="47" t="e">
        <f t="shared" si="142"/>
        <v>#DIV/0!</v>
      </c>
      <c r="U3014" s="49" t="e">
        <f t="shared" si="144"/>
        <v>#DIV/0!</v>
      </c>
    </row>
    <row r="3015" customHeight="1" spans="1:21">
      <c r="A3015" s="42" t="str">
        <f t="shared" si="143"/>
        <v/>
      </c>
      <c r="G3015" s="47" t="e">
        <f t="shared" si="142"/>
        <v>#DIV/0!</v>
      </c>
      <c r="U3015" s="49" t="e">
        <f t="shared" si="144"/>
        <v>#DIV/0!</v>
      </c>
    </row>
    <row r="3016" customHeight="1" spans="1:21">
      <c r="A3016" s="42" t="str">
        <f t="shared" si="143"/>
        <v/>
      </c>
      <c r="G3016" s="47" t="e">
        <f t="shared" si="142"/>
        <v>#DIV/0!</v>
      </c>
      <c r="U3016" s="49" t="e">
        <f t="shared" si="144"/>
        <v>#DIV/0!</v>
      </c>
    </row>
    <row r="3017" customHeight="1" spans="1:21">
      <c r="A3017" s="42" t="str">
        <f t="shared" si="143"/>
        <v/>
      </c>
      <c r="G3017" s="47" t="e">
        <f t="shared" si="142"/>
        <v>#DIV/0!</v>
      </c>
      <c r="U3017" s="49" t="e">
        <f t="shared" si="144"/>
        <v>#DIV/0!</v>
      </c>
    </row>
    <row r="3018" customHeight="1" spans="1:21">
      <c r="A3018" s="42" t="str">
        <f t="shared" si="143"/>
        <v/>
      </c>
      <c r="G3018" s="47" t="e">
        <f t="shared" si="142"/>
        <v>#DIV/0!</v>
      </c>
      <c r="U3018" s="49" t="e">
        <f t="shared" si="144"/>
        <v>#DIV/0!</v>
      </c>
    </row>
    <row r="3019" customHeight="1" spans="1:21">
      <c r="A3019" s="42" t="str">
        <f t="shared" si="143"/>
        <v/>
      </c>
      <c r="G3019" s="47" t="e">
        <f t="shared" si="142"/>
        <v>#DIV/0!</v>
      </c>
      <c r="U3019" s="49" t="e">
        <f t="shared" si="144"/>
        <v>#DIV/0!</v>
      </c>
    </row>
    <row r="3020" customHeight="1" spans="1:21">
      <c r="A3020" s="42" t="str">
        <f t="shared" si="143"/>
        <v/>
      </c>
      <c r="G3020" s="47" t="e">
        <f t="shared" si="142"/>
        <v>#DIV/0!</v>
      </c>
      <c r="U3020" s="49" t="e">
        <f t="shared" si="144"/>
        <v>#DIV/0!</v>
      </c>
    </row>
    <row r="3021" customHeight="1" spans="1:21">
      <c r="A3021" s="42" t="str">
        <f t="shared" si="143"/>
        <v/>
      </c>
      <c r="G3021" s="47" t="e">
        <f t="shared" si="142"/>
        <v>#DIV/0!</v>
      </c>
      <c r="U3021" s="49" t="e">
        <f t="shared" si="144"/>
        <v>#DIV/0!</v>
      </c>
    </row>
    <row r="3022" customHeight="1" spans="1:21">
      <c r="A3022" s="42" t="str">
        <f t="shared" si="143"/>
        <v/>
      </c>
      <c r="G3022" s="47" t="e">
        <f t="shared" si="142"/>
        <v>#DIV/0!</v>
      </c>
      <c r="U3022" s="49" t="e">
        <f t="shared" si="144"/>
        <v>#DIV/0!</v>
      </c>
    </row>
    <row r="3023" customHeight="1" spans="1:21">
      <c r="A3023" s="42" t="str">
        <f t="shared" si="143"/>
        <v/>
      </c>
      <c r="G3023" s="47" t="e">
        <f t="shared" si="142"/>
        <v>#DIV/0!</v>
      </c>
      <c r="U3023" s="49" t="e">
        <f t="shared" si="144"/>
        <v>#DIV/0!</v>
      </c>
    </row>
    <row r="3024" customHeight="1" spans="1:21">
      <c r="A3024" s="42" t="str">
        <f t="shared" si="143"/>
        <v/>
      </c>
      <c r="G3024" s="47" t="e">
        <f t="shared" si="142"/>
        <v>#DIV/0!</v>
      </c>
      <c r="U3024" s="49" t="e">
        <f t="shared" si="144"/>
        <v>#DIV/0!</v>
      </c>
    </row>
    <row r="3025" customHeight="1" spans="1:21">
      <c r="A3025" s="42" t="str">
        <f t="shared" si="143"/>
        <v/>
      </c>
      <c r="G3025" s="47" t="e">
        <f t="shared" si="142"/>
        <v>#DIV/0!</v>
      </c>
      <c r="U3025" s="49" t="e">
        <f t="shared" si="144"/>
        <v>#DIV/0!</v>
      </c>
    </row>
    <row r="3026" customHeight="1" spans="1:21">
      <c r="A3026" s="42" t="str">
        <f t="shared" si="143"/>
        <v/>
      </c>
      <c r="G3026" s="47" t="e">
        <f t="shared" si="142"/>
        <v>#DIV/0!</v>
      </c>
      <c r="U3026" s="49" t="e">
        <f t="shared" si="144"/>
        <v>#DIV/0!</v>
      </c>
    </row>
    <row r="3027" customHeight="1" spans="1:21">
      <c r="A3027" s="42" t="str">
        <f t="shared" si="143"/>
        <v/>
      </c>
      <c r="G3027" s="47" t="e">
        <f t="shared" si="142"/>
        <v>#DIV/0!</v>
      </c>
      <c r="U3027" s="49" t="e">
        <f t="shared" si="144"/>
        <v>#DIV/0!</v>
      </c>
    </row>
    <row r="3028" customHeight="1" spans="1:21">
      <c r="A3028" s="42" t="str">
        <f t="shared" si="143"/>
        <v/>
      </c>
      <c r="G3028" s="47" t="e">
        <f t="shared" si="142"/>
        <v>#DIV/0!</v>
      </c>
      <c r="U3028" s="49" t="e">
        <f t="shared" si="144"/>
        <v>#DIV/0!</v>
      </c>
    </row>
    <row r="3029" customHeight="1" spans="1:21">
      <c r="A3029" s="42" t="str">
        <f t="shared" si="143"/>
        <v/>
      </c>
      <c r="G3029" s="47" t="e">
        <f t="shared" si="142"/>
        <v>#DIV/0!</v>
      </c>
      <c r="U3029" s="49" t="e">
        <f t="shared" si="144"/>
        <v>#DIV/0!</v>
      </c>
    </row>
    <row r="3030" customHeight="1" spans="1:21">
      <c r="A3030" s="42" t="str">
        <f t="shared" si="143"/>
        <v/>
      </c>
      <c r="G3030" s="47" t="e">
        <f t="shared" si="142"/>
        <v>#DIV/0!</v>
      </c>
      <c r="U3030" s="49" t="e">
        <f t="shared" si="144"/>
        <v>#DIV/0!</v>
      </c>
    </row>
    <row r="3031" customHeight="1" spans="1:21">
      <c r="A3031" s="42" t="str">
        <f t="shared" si="143"/>
        <v/>
      </c>
      <c r="G3031" s="47" t="e">
        <f t="shared" si="142"/>
        <v>#DIV/0!</v>
      </c>
      <c r="U3031" s="49" t="e">
        <f t="shared" si="144"/>
        <v>#DIV/0!</v>
      </c>
    </row>
    <row r="3032" customHeight="1" spans="1:21">
      <c r="A3032" s="42" t="str">
        <f t="shared" si="143"/>
        <v/>
      </c>
      <c r="G3032" s="47" t="e">
        <f t="shared" si="142"/>
        <v>#DIV/0!</v>
      </c>
      <c r="U3032" s="49" t="e">
        <f t="shared" si="144"/>
        <v>#DIV/0!</v>
      </c>
    </row>
    <row r="3033" customHeight="1" spans="1:21">
      <c r="A3033" s="42" t="str">
        <f t="shared" si="143"/>
        <v/>
      </c>
      <c r="G3033" s="47" t="e">
        <f t="shared" si="142"/>
        <v>#DIV/0!</v>
      </c>
      <c r="U3033" s="49" t="e">
        <f t="shared" si="144"/>
        <v>#DIV/0!</v>
      </c>
    </row>
    <row r="3034" customHeight="1" spans="1:21">
      <c r="A3034" s="42" t="str">
        <f t="shared" si="143"/>
        <v/>
      </c>
      <c r="G3034" s="47" t="e">
        <f t="shared" si="142"/>
        <v>#DIV/0!</v>
      </c>
      <c r="U3034" s="49" t="e">
        <f t="shared" si="144"/>
        <v>#DIV/0!</v>
      </c>
    </row>
    <row r="3035" customHeight="1" spans="1:21">
      <c r="A3035" s="42" t="str">
        <f t="shared" si="143"/>
        <v/>
      </c>
      <c r="G3035" s="47" t="e">
        <f t="shared" si="142"/>
        <v>#DIV/0!</v>
      </c>
      <c r="U3035" s="49" t="e">
        <f t="shared" si="144"/>
        <v>#DIV/0!</v>
      </c>
    </row>
    <row r="3036" customHeight="1" spans="1:21">
      <c r="A3036" s="42" t="str">
        <f t="shared" si="143"/>
        <v/>
      </c>
      <c r="G3036" s="47" t="e">
        <f t="shared" si="142"/>
        <v>#DIV/0!</v>
      </c>
      <c r="U3036" s="49" t="e">
        <f t="shared" si="144"/>
        <v>#DIV/0!</v>
      </c>
    </row>
    <row r="3037" customHeight="1" spans="1:21">
      <c r="A3037" s="42" t="str">
        <f t="shared" si="143"/>
        <v/>
      </c>
      <c r="G3037" s="47" t="e">
        <f t="shared" si="142"/>
        <v>#DIV/0!</v>
      </c>
      <c r="U3037" s="49" t="e">
        <f t="shared" si="144"/>
        <v>#DIV/0!</v>
      </c>
    </row>
    <row r="3038" customHeight="1" spans="1:21">
      <c r="A3038" s="42" t="str">
        <f t="shared" si="143"/>
        <v/>
      </c>
      <c r="G3038" s="47" t="e">
        <f t="shared" si="142"/>
        <v>#DIV/0!</v>
      </c>
      <c r="U3038" s="49" t="e">
        <f t="shared" si="144"/>
        <v>#DIV/0!</v>
      </c>
    </row>
    <row r="3039" customHeight="1" spans="1:21">
      <c r="A3039" s="42" t="str">
        <f t="shared" si="143"/>
        <v/>
      </c>
      <c r="G3039" s="47" t="e">
        <f t="shared" si="142"/>
        <v>#DIV/0!</v>
      </c>
      <c r="U3039" s="49" t="e">
        <f t="shared" si="144"/>
        <v>#DIV/0!</v>
      </c>
    </row>
    <row r="3040" customHeight="1" spans="1:21">
      <c r="A3040" s="42" t="str">
        <f t="shared" si="143"/>
        <v/>
      </c>
      <c r="G3040" s="47" t="e">
        <f t="shared" si="142"/>
        <v>#DIV/0!</v>
      </c>
      <c r="U3040" s="49" t="e">
        <f t="shared" si="144"/>
        <v>#DIV/0!</v>
      </c>
    </row>
    <row r="3041" customHeight="1" spans="1:21">
      <c r="A3041" s="42" t="str">
        <f t="shared" si="143"/>
        <v/>
      </c>
      <c r="G3041" s="47" t="e">
        <f t="shared" si="142"/>
        <v>#DIV/0!</v>
      </c>
      <c r="U3041" s="49" t="e">
        <f t="shared" si="144"/>
        <v>#DIV/0!</v>
      </c>
    </row>
    <row r="3042" customHeight="1" spans="1:21">
      <c r="A3042" s="42" t="str">
        <f t="shared" si="143"/>
        <v/>
      </c>
      <c r="G3042" s="47" t="e">
        <f t="shared" si="142"/>
        <v>#DIV/0!</v>
      </c>
      <c r="U3042" s="49" t="e">
        <f t="shared" si="144"/>
        <v>#DIV/0!</v>
      </c>
    </row>
    <row r="3043" customHeight="1" spans="1:21">
      <c r="A3043" s="42" t="str">
        <f t="shared" si="143"/>
        <v/>
      </c>
      <c r="G3043" s="47" t="e">
        <f t="shared" si="142"/>
        <v>#DIV/0!</v>
      </c>
      <c r="U3043" s="49" t="e">
        <f t="shared" si="144"/>
        <v>#DIV/0!</v>
      </c>
    </row>
    <row r="3044" customHeight="1" spans="1:21">
      <c r="A3044" s="42" t="str">
        <f t="shared" si="143"/>
        <v/>
      </c>
      <c r="G3044" s="47" t="e">
        <f t="shared" si="142"/>
        <v>#DIV/0!</v>
      </c>
      <c r="U3044" s="49" t="e">
        <f t="shared" si="144"/>
        <v>#DIV/0!</v>
      </c>
    </row>
    <row r="3045" customHeight="1" spans="1:21">
      <c r="A3045" s="42" t="str">
        <f t="shared" si="143"/>
        <v/>
      </c>
      <c r="G3045" s="47" t="e">
        <f t="shared" si="142"/>
        <v>#DIV/0!</v>
      </c>
      <c r="U3045" s="49" t="e">
        <f t="shared" si="144"/>
        <v>#DIV/0!</v>
      </c>
    </row>
    <row r="3046" customHeight="1" spans="1:21">
      <c r="A3046" s="42" t="str">
        <f t="shared" si="143"/>
        <v/>
      </c>
      <c r="G3046" s="47" t="e">
        <f t="shared" si="142"/>
        <v>#DIV/0!</v>
      </c>
      <c r="U3046" s="49" t="e">
        <f t="shared" si="144"/>
        <v>#DIV/0!</v>
      </c>
    </row>
    <row r="3047" customHeight="1" spans="1:21">
      <c r="A3047" s="42" t="str">
        <f t="shared" si="143"/>
        <v/>
      </c>
      <c r="G3047" s="47" t="e">
        <f t="shared" si="142"/>
        <v>#DIV/0!</v>
      </c>
      <c r="U3047" s="49" t="e">
        <f t="shared" si="144"/>
        <v>#DIV/0!</v>
      </c>
    </row>
    <row r="3048" customHeight="1" spans="1:21">
      <c r="A3048" s="42" t="str">
        <f t="shared" si="143"/>
        <v/>
      </c>
      <c r="G3048" s="47" t="e">
        <f t="shared" si="142"/>
        <v>#DIV/0!</v>
      </c>
      <c r="U3048" s="49" t="e">
        <f t="shared" si="144"/>
        <v>#DIV/0!</v>
      </c>
    </row>
    <row r="3049" customHeight="1" spans="1:21">
      <c r="A3049" s="42" t="str">
        <f t="shared" si="143"/>
        <v/>
      </c>
      <c r="G3049" s="47" t="e">
        <f t="shared" si="142"/>
        <v>#DIV/0!</v>
      </c>
      <c r="U3049" s="49" t="e">
        <f t="shared" si="144"/>
        <v>#DIV/0!</v>
      </c>
    </row>
    <row r="3050" customHeight="1" spans="1:21">
      <c r="A3050" s="42" t="str">
        <f t="shared" si="143"/>
        <v/>
      </c>
      <c r="G3050" s="47" t="e">
        <f t="shared" si="142"/>
        <v>#DIV/0!</v>
      </c>
      <c r="U3050" s="49" t="e">
        <f t="shared" si="144"/>
        <v>#DIV/0!</v>
      </c>
    </row>
    <row r="3051" customHeight="1" spans="1:21">
      <c r="A3051" s="42" t="str">
        <f t="shared" si="143"/>
        <v/>
      </c>
      <c r="G3051" s="47" t="e">
        <f t="shared" si="142"/>
        <v>#DIV/0!</v>
      </c>
      <c r="U3051" s="49" t="e">
        <f t="shared" si="144"/>
        <v>#DIV/0!</v>
      </c>
    </row>
    <row r="3052" customHeight="1" spans="1:21">
      <c r="A3052" s="42" t="str">
        <f t="shared" si="143"/>
        <v/>
      </c>
      <c r="G3052" s="47" t="e">
        <f t="shared" si="142"/>
        <v>#DIV/0!</v>
      </c>
      <c r="U3052" s="49" t="e">
        <f t="shared" si="144"/>
        <v>#DIV/0!</v>
      </c>
    </row>
    <row r="3053" customHeight="1" spans="1:21">
      <c r="A3053" s="42" t="str">
        <f t="shared" si="143"/>
        <v/>
      </c>
      <c r="G3053" s="47" t="e">
        <f t="shared" si="142"/>
        <v>#DIV/0!</v>
      </c>
      <c r="U3053" s="49" t="e">
        <f t="shared" si="144"/>
        <v>#DIV/0!</v>
      </c>
    </row>
    <row r="3054" customHeight="1" spans="1:21">
      <c r="A3054" s="42" t="str">
        <f t="shared" si="143"/>
        <v/>
      </c>
      <c r="G3054" s="47" t="e">
        <f t="shared" si="142"/>
        <v>#DIV/0!</v>
      </c>
      <c r="U3054" s="49" t="e">
        <f t="shared" si="144"/>
        <v>#DIV/0!</v>
      </c>
    </row>
    <row r="3055" customHeight="1" spans="1:21">
      <c r="A3055" s="42" t="str">
        <f t="shared" si="143"/>
        <v/>
      </c>
      <c r="G3055" s="47" t="e">
        <f t="shared" si="142"/>
        <v>#DIV/0!</v>
      </c>
      <c r="U3055" s="49" t="e">
        <f t="shared" si="144"/>
        <v>#DIV/0!</v>
      </c>
    </row>
    <row r="3056" customHeight="1" spans="1:21">
      <c r="A3056" s="42" t="str">
        <f t="shared" si="143"/>
        <v/>
      </c>
      <c r="G3056" s="47" t="e">
        <f t="shared" si="142"/>
        <v>#DIV/0!</v>
      </c>
      <c r="U3056" s="49" t="e">
        <f t="shared" si="144"/>
        <v>#DIV/0!</v>
      </c>
    </row>
    <row r="3057" customHeight="1" spans="1:21">
      <c r="A3057" s="42" t="str">
        <f t="shared" si="143"/>
        <v/>
      </c>
      <c r="G3057" s="47" t="e">
        <f t="shared" si="142"/>
        <v>#DIV/0!</v>
      </c>
      <c r="U3057" s="49" t="e">
        <f t="shared" si="144"/>
        <v>#DIV/0!</v>
      </c>
    </row>
    <row r="3058" customHeight="1" spans="1:21">
      <c r="A3058" s="42" t="str">
        <f t="shared" si="143"/>
        <v/>
      </c>
      <c r="G3058" s="47" t="e">
        <f t="shared" si="142"/>
        <v>#DIV/0!</v>
      </c>
      <c r="U3058" s="49" t="e">
        <f t="shared" si="144"/>
        <v>#DIV/0!</v>
      </c>
    </row>
    <row r="3059" customHeight="1" spans="1:21">
      <c r="A3059" s="42" t="str">
        <f t="shared" si="143"/>
        <v/>
      </c>
      <c r="G3059" s="47" t="e">
        <f t="shared" si="142"/>
        <v>#DIV/0!</v>
      </c>
      <c r="U3059" s="49" t="e">
        <f t="shared" si="144"/>
        <v>#DIV/0!</v>
      </c>
    </row>
    <row r="3060" customHeight="1" spans="1:21">
      <c r="A3060" s="42" t="str">
        <f t="shared" si="143"/>
        <v/>
      </c>
      <c r="G3060" s="47" t="e">
        <f t="shared" si="142"/>
        <v>#DIV/0!</v>
      </c>
      <c r="U3060" s="49" t="e">
        <f t="shared" si="144"/>
        <v>#DIV/0!</v>
      </c>
    </row>
    <row r="3061" customHeight="1" spans="1:21">
      <c r="A3061" s="42" t="str">
        <f t="shared" si="143"/>
        <v/>
      </c>
      <c r="G3061" s="47" t="e">
        <f t="shared" si="142"/>
        <v>#DIV/0!</v>
      </c>
      <c r="U3061" s="49" t="e">
        <f t="shared" si="144"/>
        <v>#DIV/0!</v>
      </c>
    </row>
    <row r="3062" customHeight="1" spans="1:21">
      <c r="A3062" s="42" t="str">
        <f t="shared" si="143"/>
        <v/>
      </c>
      <c r="G3062" s="47" t="e">
        <f t="shared" si="142"/>
        <v>#DIV/0!</v>
      </c>
      <c r="U3062" s="49" t="e">
        <f t="shared" si="144"/>
        <v>#DIV/0!</v>
      </c>
    </row>
    <row r="3063" customHeight="1" spans="1:21">
      <c r="A3063" s="42" t="str">
        <f t="shared" si="143"/>
        <v/>
      </c>
      <c r="G3063" s="47" t="e">
        <f t="shared" si="142"/>
        <v>#DIV/0!</v>
      </c>
      <c r="U3063" s="49" t="e">
        <f t="shared" si="144"/>
        <v>#DIV/0!</v>
      </c>
    </row>
    <row r="3064" customHeight="1" spans="1:21">
      <c r="A3064" s="42" t="str">
        <f t="shared" si="143"/>
        <v/>
      </c>
      <c r="G3064" s="47" t="e">
        <f t="shared" si="142"/>
        <v>#DIV/0!</v>
      </c>
      <c r="U3064" s="49" t="e">
        <f t="shared" si="144"/>
        <v>#DIV/0!</v>
      </c>
    </row>
    <row r="3065" customHeight="1" spans="1:21">
      <c r="A3065" s="42" t="str">
        <f t="shared" si="143"/>
        <v/>
      </c>
      <c r="G3065" s="47" t="e">
        <f t="shared" si="142"/>
        <v>#DIV/0!</v>
      </c>
      <c r="U3065" s="49" t="e">
        <f t="shared" si="144"/>
        <v>#DIV/0!</v>
      </c>
    </row>
    <row r="3066" customHeight="1" spans="1:21">
      <c r="A3066" s="42" t="str">
        <f t="shared" si="143"/>
        <v/>
      </c>
      <c r="G3066" s="47" t="e">
        <f t="shared" si="142"/>
        <v>#DIV/0!</v>
      </c>
      <c r="U3066" s="49" t="e">
        <f t="shared" si="144"/>
        <v>#DIV/0!</v>
      </c>
    </row>
    <row r="3067" customHeight="1" spans="1:21">
      <c r="A3067" s="42" t="str">
        <f t="shared" si="143"/>
        <v/>
      </c>
      <c r="G3067" s="47" t="e">
        <f t="shared" si="142"/>
        <v>#DIV/0!</v>
      </c>
      <c r="U3067" s="49" t="e">
        <f t="shared" si="144"/>
        <v>#DIV/0!</v>
      </c>
    </row>
    <row r="3068" customHeight="1" spans="1:21">
      <c r="A3068" s="42" t="str">
        <f t="shared" si="143"/>
        <v/>
      </c>
      <c r="G3068" s="47" t="e">
        <f t="shared" si="142"/>
        <v>#DIV/0!</v>
      </c>
      <c r="U3068" s="49" t="e">
        <f t="shared" si="144"/>
        <v>#DIV/0!</v>
      </c>
    </row>
    <row r="3069" customHeight="1" spans="1:21">
      <c r="A3069" s="42" t="str">
        <f t="shared" si="143"/>
        <v/>
      </c>
      <c r="G3069" s="47" t="e">
        <f t="shared" si="142"/>
        <v>#DIV/0!</v>
      </c>
      <c r="U3069" s="49" t="e">
        <f t="shared" si="144"/>
        <v>#DIV/0!</v>
      </c>
    </row>
    <row r="3070" customHeight="1" spans="1:21">
      <c r="A3070" s="42" t="str">
        <f t="shared" si="143"/>
        <v/>
      </c>
      <c r="G3070" s="47" t="e">
        <f t="shared" si="142"/>
        <v>#DIV/0!</v>
      </c>
      <c r="U3070" s="49" t="e">
        <f t="shared" si="144"/>
        <v>#DIV/0!</v>
      </c>
    </row>
    <row r="3071" customHeight="1" spans="1:21">
      <c r="A3071" s="42" t="str">
        <f t="shared" si="143"/>
        <v/>
      </c>
      <c r="G3071" s="47" t="e">
        <f t="shared" si="142"/>
        <v>#DIV/0!</v>
      </c>
      <c r="U3071" s="49" t="e">
        <f t="shared" si="144"/>
        <v>#DIV/0!</v>
      </c>
    </row>
    <row r="3072" customHeight="1" spans="1:21">
      <c r="A3072" s="42" t="str">
        <f t="shared" si="143"/>
        <v/>
      </c>
      <c r="G3072" s="47" t="e">
        <f t="shared" si="142"/>
        <v>#DIV/0!</v>
      </c>
      <c r="U3072" s="49" t="e">
        <f t="shared" si="144"/>
        <v>#DIV/0!</v>
      </c>
    </row>
    <row r="3073" customHeight="1" spans="1:21">
      <c r="A3073" s="42" t="str">
        <f t="shared" si="143"/>
        <v/>
      </c>
      <c r="G3073" s="47" t="e">
        <f t="shared" si="142"/>
        <v>#DIV/0!</v>
      </c>
      <c r="U3073" s="49" t="e">
        <f t="shared" si="144"/>
        <v>#DIV/0!</v>
      </c>
    </row>
    <row r="3074" customHeight="1" spans="1:21">
      <c r="A3074" s="42" t="str">
        <f t="shared" si="143"/>
        <v/>
      </c>
      <c r="G3074" s="47" t="e">
        <f t="shared" si="142"/>
        <v>#DIV/0!</v>
      </c>
      <c r="U3074" s="49" t="e">
        <f t="shared" si="144"/>
        <v>#DIV/0!</v>
      </c>
    </row>
    <row r="3075" customHeight="1" spans="1:21">
      <c r="A3075" s="42" t="str">
        <f t="shared" si="143"/>
        <v/>
      </c>
      <c r="G3075" s="47" t="e">
        <f t="shared" ref="G3075:G3100" si="145">+E3075/F3075</f>
        <v>#DIV/0!</v>
      </c>
      <c r="U3075" s="49" t="e">
        <f t="shared" si="144"/>
        <v>#DIV/0!</v>
      </c>
    </row>
    <row r="3076" customHeight="1" spans="1:21">
      <c r="A3076" s="42" t="str">
        <f t="shared" ref="A3076:A3100" si="146">B3076&amp;C3076&amp;D3076</f>
        <v/>
      </c>
      <c r="G3076" s="47" t="e">
        <f t="shared" si="145"/>
        <v>#DIV/0!</v>
      </c>
      <c r="U3076" s="49" t="e">
        <f t="shared" ref="U3076:U3100" si="147">SUM(G3076:T3076)</f>
        <v>#DIV/0!</v>
      </c>
    </row>
    <row r="3077" customHeight="1" spans="1:21">
      <c r="A3077" s="42" t="str">
        <f t="shared" si="146"/>
        <v/>
      </c>
      <c r="G3077" s="47" t="e">
        <f t="shared" si="145"/>
        <v>#DIV/0!</v>
      </c>
      <c r="U3077" s="49" t="e">
        <f t="shared" si="147"/>
        <v>#DIV/0!</v>
      </c>
    </row>
    <row r="3078" customHeight="1" spans="1:21">
      <c r="A3078" s="42" t="str">
        <f t="shared" si="146"/>
        <v/>
      </c>
      <c r="G3078" s="47" t="e">
        <f t="shared" si="145"/>
        <v>#DIV/0!</v>
      </c>
      <c r="U3078" s="49" t="e">
        <f t="shared" si="147"/>
        <v>#DIV/0!</v>
      </c>
    </row>
    <row r="3079" customHeight="1" spans="1:21">
      <c r="A3079" s="42" t="str">
        <f t="shared" si="146"/>
        <v/>
      </c>
      <c r="G3079" s="47" t="e">
        <f t="shared" si="145"/>
        <v>#DIV/0!</v>
      </c>
      <c r="U3079" s="49" t="e">
        <f t="shared" si="147"/>
        <v>#DIV/0!</v>
      </c>
    </row>
    <row r="3080" customHeight="1" spans="1:21">
      <c r="A3080" s="42" t="str">
        <f t="shared" si="146"/>
        <v/>
      </c>
      <c r="G3080" s="47" t="e">
        <f t="shared" si="145"/>
        <v>#DIV/0!</v>
      </c>
      <c r="U3080" s="49" t="e">
        <f t="shared" si="147"/>
        <v>#DIV/0!</v>
      </c>
    </row>
    <row r="3081" customHeight="1" spans="1:21">
      <c r="A3081" s="42" t="str">
        <f t="shared" si="146"/>
        <v/>
      </c>
      <c r="G3081" s="47" t="e">
        <f t="shared" si="145"/>
        <v>#DIV/0!</v>
      </c>
      <c r="U3081" s="49" t="e">
        <f t="shared" si="147"/>
        <v>#DIV/0!</v>
      </c>
    </row>
    <row r="3082" customHeight="1" spans="1:21">
      <c r="A3082" s="42" t="str">
        <f t="shared" si="146"/>
        <v/>
      </c>
      <c r="G3082" s="47" t="e">
        <f t="shared" si="145"/>
        <v>#DIV/0!</v>
      </c>
      <c r="U3082" s="49" t="e">
        <f t="shared" si="147"/>
        <v>#DIV/0!</v>
      </c>
    </row>
    <row r="3083" customHeight="1" spans="1:21">
      <c r="A3083" s="42" t="str">
        <f t="shared" si="146"/>
        <v/>
      </c>
      <c r="G3083" s="47" t="e">
        <f t="shared" si="145"/>
        <v>#DIV/0!</v>
      </c>
      <c r="U3083" s="49" t="e">
        <f t="shared" si="147"/>
        <v>#DIV/0!</v>
      </c>
    </row>
    <row r="3084" customHeight="1" spans="1:21">
      <c r="A3084" s="42" t="str">
        <f t="shared" si="146"/>
        <v/>
      </c>
      <c r="G3084" s="47" t="e">
        <f t="shared" si="145"/>
        <v>#DIV/0!</v>
      </c>
      <c r="U3084" s="49" t="e">
        <f t="shared" si="147"/>
        <v>#DIV/0!</v>
      </c>
    </row>
    <row r="3085" customHeight="1" spans="1:21">
      <c r="A3085" s="42" t="str">
        <f t="shared" si="146"/>
        <v/>
      </c>
      <c r="G3085" s="47" t="e">
        <f t="shared" si="145"/>
        <v>#DIV/0!</v>
      </c>
      <c r="U3085" s="49" t="e">
        <f t="shared" si="147"/>
        <v>#DIV/0!</v>
      </c>
    </row>
    <row r="3086" customHeight="1" spans="1:21">
      <c r="A3086" s="42" t="str">
        <f t="shared" si="146"/>
        <v/>
      </c>
      <c r="G3086" s="47" t="e">
        <f t="shared" si="145"/>
        <v>#DIV/0!</v>
      </c>
      <c r="U3086" s="49" t="e">
        <f t="shared" si="147"/>
        <v>#DIV/0!</v>
      </c>
    </row>
    <row r="3087" customHeight="1" spans="1:21">
      <c r="A3087" s="42" t="str">
        <f t="shared" si="146"/>
        <v/>
      </c>
      <c r="G3087" s="47" t="e">
        <f t="shared" si="145"/>
        <v>#DIV/0!</v>
      </c>
      <c r="U3087" s="49" t="e">
        <f t="shared" si="147"/>
        <v>#DIV/0!</v>
      </c>
    </row>
    <row r="3088" customHeight="1" spans="1:21">
      <c r="A3088" s="42" t="str">
        <f t="shared" si="146"/>
        <v/>
      </c>
      <c r="G3088" s="47" t="e">
        <f t="shared" si="145"/>
        <v>#DIV/0!</v>
      </c>
      <c r="U3088" s="49" t="e">
        <f t="shared" si="147"/>
        <v>#DIV/0!</v>
      </c>
    </row>
    <row r="3089" customHeight="1" spans="1:21">
      <c r="A3089" s="42" t="str">
        <f t="shared" si="146"/>
        <v/>
      </c>
      <c r="G3089" s="47" t="e">
        <f t="shared" si="145"/>
        <v>#DIV/0!</v>
      </c>
      <c r="U3089" s="49" t="e">
        <f t="shared" si="147"/>
        <v>#DIV/0!</v>
      </c>
    </row>
    <row r="3090" customHeight="1" spans="1:21">
      <c r="A3090" s="42" t="str">
        <f t="shared" si="146"/>
        <v/>
      </c>
      <c r="G3090" s="47" t="e">
        <f t="shared" si="145"/>
        <v>#DIV/0!</v>
      </c>
      <c r="U3090" s="49" t="e">
        <f t="shared" si="147"/>
        <v>#DIV/0!</v>
      </c>
    </row>
    <row r="3091" customHeight="1" spans="1:21">
      <c r="A3091" s="42" t="str">
        <f t="shared" si="146"/>
        <v/>
      </c>
      <c r="G3091" s="47" t="e">
        <f t="shared" si="145"/>
        <v>#DIV/0!</v>
      </c>
      <c r="U3091" s="49" t="e">
        <f t="shared" si="147"/>
        <v>#DIV/0!</v>
      </c>
    </row>
    <row r="3092" customHeight="1" spans="1:21">
      <c r="A3092" s="42" t="str">
        <f t="shared" si="146"/>
        <v/>
      </c>
      <c r="G3092" s="47" t="e">
        <f t="shared" si="145"/>
        <v>#DIV/0!</v>
      </c>
      <c r="U3092" s="49" t="e">
        <f t="shared" si="147"/>
        <v>#DIV/0!</v>
      </c>
    </row>
    <row r="3093" customHeight="1" spans="1:21">
      <c r="A3093" s="42" t="str">
        <f t="shared" si="146"/>
        <v/>
      </c>
      <c r="G3093" s="47" t="e">
        <f t="shared" si="145"/>
        <v>#DIV/0!</v>
      </c>
      <c r="U3093" s="49" t="e">
        <f t="shared" si="147"/>
        <v>#DIV/0!</v>
      </c>
    </row>
    <row r="3094" customHeight="1" spans="1:21">
      <c r="A3094" s="42" t="str">
        <f t="shared" si="146"/>
        <v/>
      </c>
      <c r="G3094" s="47" t="e">
        <f t="shared" si="145"/>
        <v>#DIV/0!</v>
      </c>
      <c r="U3094" s="49" t="e">
        <f t="shared" si="147"/>
        <v>#DIV/0!</v>
      </c>
    </row>
    <row r="3095" customHeight="1" spans="1:21">
      <c r="A3095" s="42" t="str">
        <f t="shared" si="146"/>
        <v/>
      </c>
      <c r="G3095" s="47" t="e">
        <f t="shared" si="145"/>
        <v>#DIV/0!</v>
      </c>
      <c r="U3095" s="49" t="e">
        <f t="shared" si="147"/>
        <v>#DIV/0!</v>
      </c>
    </row>
    <row r="3096" customHeight="1" spans="1:21">
      <c r="A3096" s="42" t="str">
        <f t="shared" si="146"/>
        <v/>
      </c>
      <c r="G3096" s="47" t="e">
        <f t="shared" si="145"/>
        <v>#DIV/0!</v>
      </c>
      <c r="U3096" s="49" t="e">
        <f t="shared" si="147"/>
        <v>#DIV/0!</v>
      </c>
    </row>
    <row r="3097" customHeight="1" spans="1:21">
      <c r="A3097" s="42" t="str">
        <f t="shared" si="146"/>
        <v/>
      </c>
      <c r="G3097" s="47" t="e">
        <f t="shared" si="145"/>
        <v>#DIV/0!</v>
      </c>
      <c r="U3097" s="49" t="e">
        <f t="shared" si="147"/>
        <v>#DIV/0!</v>
      </c>
    </row>
    <row r="3098" customHeight="1" spans="1:21">
      <c r="A3098" s="42" t="str">
        <f t="shared" si="146"/>
        <v/>
      </c>
      <c r="G3098" s="47" t="e">
        <f t="shared" si="145"/>
        <v>#DIV/0!</v>
      </c>
      <c r="U3098" s="49" t="e">
        <f t="shared" si="147"/>
        <v>#DIV/0!</v>
      </c>
    </row>
    <row r="3099" customHeight="1" spans="1:21">
      <c r="A3099" s="42" t="str">
        <f t="shared" si="146"/>
        <v/>
      </c>
      <c r="G3099" s="47" t="e">
        <f t="shared" si="145"/>
        <v>#DIV/0!</v>
      </c>
      <c r="U3099" s="49" t="e">
        <f t="shared" si="147"/>
        <v>#DIV/0!</v>
      </c>
    </row>
    <row r="3100" customHeight="1" spans="1:21">
      <c r="A3100" s="42" t="str">
        <f t="shared" si="146"/>
        <v/>
      </c>
      <c r="G3100" s="47" t="e">
        <f t="shared" si="145"/>
        <v>#DIV/0!</v>
      </c>
      <c r="U3100" s="49" t="e">
        <f t="shared" si="147"/>
        <v>#DIV/0!</v>
      </c>
    </row>
  </sheetData>
  <pageMargins left="0.7" right="0.7" top="0.75" bottom="0.75" header="0.3" footer="0.3"/>
  <pageSetup paperSize="9" scale="80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KB3001"/>
  <sheetViews>
    <sheetView view="pageBreakPreview" zoomScaleNormal="100" topLeftCell="F1" workbookViewId="0">
      <selection activeCell="AI7" sqref="AI7"/>
    </sheetView>
  </sheetViews>
  <sheetFormatPr defaultColWidth="9.11111111111111" defaultRowHeight="27.75" customHeight="1"/>
  <cols>
    <col min="1" max="1" width="15.5555555555556" style="11" customWidth="1"/>
    <col min="2" max="2" width="11.3333333333333" style="12" customWidth="1"/>
    <col min="3" max="3" width="9" style="12" customWidth="1"/>
    <col min="4" max="4" width="10.8888888888889" style="12" customWidth="1"/>
    <col min="5" max="5" width="9.11111111111111" style="12" customWidth="1"/>
    <col min="6" max="6" width="5.66666666666667" style="12" customWidth="1"/>
    <col min="7" max="7" width="10.4444444444444" style="12" customWidth="1"/>
    <col min="8" max="12" width="5.55555555555556" style="12" customWidth="1"/>
    <col min="13" max="13" width="6.11111111111111" style="12" customWidth="1"/>
    <col min="14" max="17" width="5.55555555555556" style="12" customWidth="1"/>
    <col min="18" max="25" width="5.88888888888889" style="12" customWidth="1"/>
    <col min="26" max="34" width="6.11111111111111" style="12" customWidth="1"/>
    <col min="35" max="16384" width="9.11111111111111" style="12"/>
  </cols>
  <sheetData>
    <row r="1" s="8" customFormat="1" customHeight="1" spans="1:34">
      <c r="A1" s="13" t="s">
        <v>1028</v>
      </c>
      <c r="B1" s="14" t="s">
        <v>1029</v>
      </c>
      <c r="C1" s="14" t="s">
        <v>1030</v>
      </c>
      <c r="D1" s="15" t="s">
        <v>1031</v>
      </c>
      <c r="E1" s="15"/>
      <c r="F1" s="15"/>
      <c r="G1" s="14" t="s">
        <v>1032</v>
      </c>
      <c r="H1" s="16" t="s">
        <v>1033</v>
      </c>
      <c r="I1" s="27"/>
      <c r="J1" s="27"/>
      <c r="K1" s="27"/>
      <c r="L1" s="27"/>
      <c r="M1" s="27"/>
      <c r="N1" s="27"/>
      <c r="O1" s="27"/>
      <c r="P1" s="28"/>
      <c r="Q1" s="16" t="s">
        <v>1034</v>
      </c>
      <c r="R1" s="27"/>
      <c r="S1" s="27"/>
      <c r="T1" s="27"/>
      <c r="U1" s="27"/>
      <c r="V1" s="27"/>
      <c r="W1" s="27"/>
      <c r="X1" s="27"/>
      <c r="Y1" s="28"/>
      <c r="Z1" s="30" t="s">
        <v>1035</v>
      </c>
      <c r="AA1" s="31"/>
      <c r="AB1" s="31"/>
      <c r="AC1" s="31"/>
      <c r="AD1" s="31"/>
      <c r="AE1" s="31"/>
      <c r="AF1" s="31"/>
      <c r="AG1" s="31"/>
      <c r="AH1" s="31"/>
    </row>
    <row r="2" s="8" customFormat="1" ht="35.25" customHeight="1" spans="1:34">
      <c r="A2" s="17"/>
      <c r="B2" s="18"/>
      <c r="C2" s="18"/>
      <c r="D2" s="19" t="s">
        <v>1036</v>
      </c>
      <c r="E2" s="19" t="s">
        <v>1037</v>
      </c>
      <c r="F2" s="19" t="s">
        <v>1021</v>
      </c>
      <c r="G2" s="18"/>
      <c r="H2" s="20">
        <v>30</v>
      </c>
      <c r="I2" s="20">
        <v>100</v>
      </c>
      <c r="J2" s="20">
        <v>10</v>
      </c>
      <c r="K2" s="20">
        <v>20</v>
      </c>
      <c r="L2" s="20">
        <v>500</v>
      </c>
      <c r="M2" s="20">
        <v>3</v>
      </c>
      <c r="N2" s="20" t="s">
        <v>1038</v>
      </c>
      <c r="O2" s="20" t="s">
        <v>1038</v>
      </c>
      <c r="P2" s="20" t="s">
        <v>1038</v>
      </c>
      <c r="Q2" s="20">
        <f>+H2</f>
        <v>30</v>
      </c>
      <c r="R2" s="20">
        <f t="shared" ref="R2:Y3" si="0">+I2</f>
        <v>100</v>
      </c>
      <c r="S2" s="20">
        <f t="shared" si="0"/>
        <v>10</v>
      </c>
      <c r="T2" s="20">
        <f t="shared" si="0"/>
        <v>20</v>
      </c>
      <c r="U2" s="20">
        <f t="shared" si="0"/>
        <v>500</v>
      </c>
      <c r="V2" s="20">
        <f t="shared" si="0"/>
        <v>3</v>
      </c>
      <c r="W2" s="20" t="str">
        <f t="shared" si="0"/>
        <v>Add Qty</v>
      </c>
      <c r="X2" s="20" t="str">
        <f t="shared" si="0"/>
        <v>Add Qty</v>
      </c>
      <c r="Y2" s="20" t="str">
        <f t="shared" si="0"/>
        <v>Add Qty</v>
      </c>
      <c r="Z2" s="20">
        <f>+H2</f>
        <v>30</v>
      </c>
      <c r="AA2" s="20">
        <f t="shared" ref="AA2:AH3" si="1">+I2</f>
        <v>100</v>
      </c>
      <c r="AB2" s="20">
        <f t="shared" si="1"/>
        <v>10</v>
      </c>
      <c r="AC2" s="20">
        <f t="shared" si="1"/>
        <v>20</v>
      </c>
      <c r="AD2" s="20">
        <f t="shared" si="1"/>
        <v>500</v>
      </c>
      <c r="AE2" s="20">
        <f t="shared" si="1"/>
        <v>3</v>
      </c>
      <c r="AF2" s="20" t="str">
        <f t="shared" si="1"/>
        <v>Add Qty</v>
      </c>
      <c r="AG2" s="20" t="str">
        <f t="shared" si="1"/>
        <v>Add Qty</v>
      </c>
      <c r="AH2" s="20" t="str">
        <f t="shared" si="1"/>
        <v>Add Qty</v>
      </c>
    </row>
    <row r="3" s="9" customFormat="1" customHeight="1" spans="1:34">
      <c r="A3" s="21"/>
      <c r="B3" s="18" t="s">
        <v>1039</v>
      </c>
      <c r="C3" s="18" t="s">
        <v>1040</v>
      </c>
      <c r="D3" s="18"/>
      <c r="E3" s="18"/>
      <c r="F3" s="18"/>
      <c r="G3" s="18" t="s">
        <v>1041</v>
      </c>
      <c r="H3" s="18" t="s">
        <v>109</v>
      </c>
      <c r="I3" s="18" t="s">
        <v>109</v>
      </c>
      <c r="J3" s="18" t="s">
        <v>86</v>
      </c>
      <c r="K3" s="18" t="s">
        <v>86</v>
      </c>
      <c r="L3" s="18" t="s">
        <v>86</v>
      </c>
      <c r="M3" s="18" t="s">
        <v>86</v>
      </c>
      <c r="N3" s="20" t="s">
        <v>1042</v>
      </c>
      <c r="O3" s="20" t="s">
        <v>1042</v>
      </c>
      <c r="P3" s="20" t="s">
        <v>1042</v>
      </c>
      <c r="Q3" s="18" t="str">
        <f>+H3</f>
        <v>ml</v>
      </c>
      <c r="R3" s="18" t="str">
        <f t="shared" si="0"/>
        <v>ml</v>
      </c>
      <c r="S3" s="18" t="str">
        <f t="shared" si="0"/>
        <v>g</v>
      </c>
      <c r="T3" s="18" t="str">
        <f t="shared" si="0"/>
        <v>g</v>
      </c>
      <c r="U3" s="18" t="str">
        <f t="shared" si="0"/>
        <v>g</v>
      </c>
      <c r="V3" s="18" t="str">
        <f t="shared" si="0"/>
        <v>g</v>
      </c>
      <c r="W3" s="18" t="str">
        <f t="shared" si="0"/>
        <v>Add Unit</v>
      </c>
      <c r="X3" s="18" t="str">
        <f t="shared" si="0"/>
        <v>Add Unit</v>
      </c>
      <c r="Y3" s="18" t="str">
        <f t="shared" si="0"/>
        <v>Add Unit</v>
      </c>
      <c r="Z3" s="18" t="str">
        <f>+H3</f>
        <v>ml</v>
      </c>
      <c r="AA3" s="18" t="str">
        <f t="shared" si="1"/>
        <v>ml</v>
      </c>
      <c r="AB3" s="18" t="str">
        <f t="shared" si="1"/>
        <v>g</v>
      </c>
      <c r="AC3" s="18" t="str">
        <f t="shared" si="1"/>
        <v>g</v>
      </c>
      <c r="AD3" s="18" t="str">
        <f t="shared" si="1"/>
        <v>g</v>
      </c>
      <c r="AE3" s="18" t="str">
        <f t="shared" si="1"/>
        <v>g</v>
      </c>
      <c r="AF3" s="18" t="str">
        <f t="shared" si="1"/>
        <v>Add Unit</v>
      </c>
      <c r="AG3" s="18" t="str">
        <f t="shared" si="1"/>
        <v>Add Unit</v>
      </c>
      <c r="AH3" s="18" t="str">
        <f t="shared" si="1"/>
        <v>Add Unit</v>
      </c>
    </row>
    <row r="4" s="8" customFormat="1" ht="14.25" customHeight="1" spans="1:288">
      <c r="A4" s="22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 t="str">
        <f>+Z2&amp;Z3</f>
        <v>30ml</v>
      </c>
      <c r="AA4" s="23" t="str">
        <f t="shared" ref="AA4:CL4" si="2">+AA2&amp;AA3</f>
        <v>100ml</v>
      </c>
      <c r="AB4" s="23" t="str">
        <f t="shared" si="2"/>
        <v>10g</v>
      </c>
      <c r="AC4" s="23" t="str">
        <f t="shared" si="2"/>
        <v>20g</v>
      </c>
      <c r="AD4" s="23" t="str">
        <f t="shared" si="2"/>
        <v>500g</v>
      </c>
      <c r="AE4" s="23" t="str">
        <f t="shared" si="2"/>
        <v>3g</v>
      </c>
      <c r="AF4" s="23" t="str">
        <f t="shared" si="2"/>
        <v>Add QtyAdd Unit</v>
      </c>
      <c r="AG4" s="23" t="str">
        <f t="shared" si="2"/>
        <v>Add QtyAdd Unit</v>
      </c>
      <c r="AH4" s="23" t="str">
        <f t="shared" si="2"/>
        <v>Add QtyAdd Unit</v>
      </c>
      <c r="AI4" s="23" t="str">
        <f t="shared" si="2"/>
        <v/>
      </c>
      <c r="AJ4" s="23" t="str">
        <f t="shared" si="2"/>
        <v/>
      </c>
      <c r="AK4" s="23" t="str">
        <f t="shared" si="2"/>
        <v/>
      </c>
      <c r="AL4" s="23" t="str">
        <f t="shared" si="2"/>
        <v/>
      </c>
      <c r="AM4" s="23" t="str">
        <f t="shared" si="2"/>
        <v/>
      </c>
      <c r="AN4" s="23" t="str">
        <f t="shared" si="2"/>
        <v/>
      </c>
      <c r="AO4" s="23" t="str">
        <f t="shared" si="2"/>
        <v/>
      </c>
      <c r="AP4" s="23" t="str">
        <f t="shared" si="2"/>
        <v/>
      </c>
      <c r="AQ4" s="23" t="str">
        <f t="shared" si="2"/>
        <v/>
      </c>
      <c r="AR4" s="23" t="str">
        <f t="shared" si="2"/>
        <v/>
      </c>
      <c r="AS4" s="23" t="str">
        <f t="shared" si="2"/>
        <v/>
      </c>
      <c r="AT4" s="23" t="str">
        <f t="shared" si="2"/>
        <v/>
      </c>
      <c r="AU4" s="23" t="str">
        <f t="shared" si="2"/>
        <v/>
      </c>
      <c r="AV4" s="23" t="str">
        <f t="shared" si="2"/>
        <v/>
      </c>
      <c r="AW4" s="23" t="str">
        <f t="shared" si="2"/>
        <v/>
      </c>
      <c r="AX4" s="23" t="str">
        <f t="shared" si="2"/>
        <v/>
      </c>
      <c r="AY4" s="23" t="str">
        <f t="shared" si="2"/>
        <v/>
      </c>
      <c r="AZ4" s="23" t="str">
        <f t="shared" si="2"/>
        <v/>
      </c>
      <c r="BA4" s="23" t="str">
        <f t="shared" si="2"/>
        <v/>
      </c>
      <c r="BB4" s="23" t="str">
        <f t="shared" si="2"/>
        <v/>
      </c>
      <c r="BC4" s="23" t="str">
        <f t="shared" si="2"/>
        <v/>
      </c>
      <c r="BD4" s="23" t="str">
        <f t="shared" si="2"/>
        <v/>
      </c>
      <c r="BE4" s="23" t="str">
        <f t="shared" si="2"/>
        <v/>
      </c>
      <c r="BF4" s="23" t="str">
        <f t="shared" si="2"/>
        <v/>
      </c>
      <c r="BG4" s="23" t="str">
        <f t="shared" si="2"/>
        <v/>
      </c>
      <c r="BH4" s="23" t="str">
        <f t="shared" si="2"/>
        <v/>
      </c>
      <c r="BI4" s="23" t="str">
        <f t="shared" si="2"/>
        <v/>
      </c>
      <c r="BJ4" s="23" t="str">
        <f t="shared" si="2"/>
        <v/>
      </c>
      <c r="BK4" s="23" t="str">
        <f t="shared" si="2"/>
        <v/>
      </c>
      <c r="BL4" s="23" t="str">
        <f t="shared" si="2"/>
        <v/>
      </c>
      <c r="BM4" s="23" t="str">
        <f t="shared" si="2"/>
        <v/>
      </c>
      <c r="BN4" s="23" t="str">
        <f t="shared" si="2"/>
        <v/>
      </c>
      <c r="BO4" s="23" t="str">
        <f t="shared" si="2"/>
        <v/>
      </c>
      <c r="BP4" s="23" t="str">
        <f t="shared" si="2"/>
        <v/>
      </c>
      <c r="BQ4" s="23" t="str">
        <f t="shared" si="2"/>
        <v/>
      </c>
      <c r="BR4" s="23" t="str">
        <f t="shared" si="2"/>
        <v/>
      </c>
      <c r="BS4" s="23" t="str">
        <f t="shared" si="2"/>
        <v/>
      </c>
      <c r="BT4" s="23" t="str">
        <f t="shared" si="2"/>
        <v/>
      </c>
      <c r="BU4" s="23" t="str">
        <f t="shared" si="2"/>
        <v/>
      </c>
      <c r="BV4" s="23" t="str">
        <f t="shared" si="2"/>
        <v/>
      </c>
      <c r="BW4" s="23" t="str">
        <f t="shared" si="2"/>
        <v/>
      </c>
      <c r="BX4" s="23" t="str">
        <f t="shared" si="2"/>
        <v/>
      </c>
      <c r="BY4" s="23" t="str">
        <f t="shared" si="2"/>
        <v/>
      </c>
      <c r="BZ4" s="23" t="str">
        <f t="shared" si="2"/>
        <v/>
      </c>
      <c r="CA4" s="23" t="str">
        <f t="shared" si="2"/>
        <v/>
      </c>
      <c r="CB4" s="23" t="str">
        <f t="shared" si="2"/>
        <v/>
      </c>
      <c r="CC4" s="23" t="str">
        <f t="shared" si="2"/>
        <v/>
      </c>
      <c r="CD4" s="23" t="str">
        <f t="shared" si="2"/>
        <v/>
      </c>
      <c r="CE4" s="23" t="str">
        <f t="shared" si="2"/>
        <v/>
      </c>
      <c r="CF4" s="23" t="str">
        <f t="shared" si="2"/>
        <v/>
      </c>
      <c r="CG4" s="23" t="str">
        <f t="shared" si="2"/>
        <v/>
      </c>
      <c r="CH4" s="23" t="str">
        <f t="shared" si="2"/>
        <v/>
      </c>
      <c r="CI4" s="23" t="str">
        <f t="shared" si="2"/>
        <v/>
      </c>
      <c r="CJ4" s="23" t="str">
        <f t="shared" si="2"/>
        <v/>
      </c>
      <c r="CK4" s="23" t="str">
        <f t="shared" si="2"/>
        <v/>
      </c>
      <c r="CL4" s="23" t="str">
        <f t="shared" si="2"/>
        <v/>
      </c>
      <c r="CM4" s="23" t="str">
        <f t="shared" ref="CM4:EX4" si="3">+CM2&amp;CM3</f>
        <v/>
      </c>
      <c r="CN4" s="23" t="str">
        <f t="shared" si="3"/>
        <v/>
      </c>
      <c r="CO4" s="23" t="str">
        <f t="shared" si="3"/>
        <v/>
      </c>
      <c r="CP4" s="23" t="str">
        <f t="shared" si="3"/>
        <v/>
      </c>
      <c r="CQ4" s="23" t="str">
        <f t="shared" si="3"/>
        <v/>
      </c>
      <c r="CR4" s="23" t="str">
        <f t="shared" si="3"/>
        <v/>
      </c>
      <c r="CS4" s="23" t="str">
        <f t="shared" si="3"/>
        <v/>
      </c>
      <c r="CT4" s="23" t="str">
        <f t="shared" si="3"/>
        <v/>
      </c>
      <c r="CU4" s="23" t="str">
        <f t="shared" si="3"/>
        <v/>
      </c>
      <c r="CV4" s="23" t="str">
        <f t="shared" si="3"/>
        <v/>
      </c>
      <c r="CW4" s="23" t="str">
        <f t="shared" si="3"/>
        <v/>
      </c>
      <c r="CX4" s="23" t="str">
        <f t="shared" si="3"/>
        <v/>
      </c>
      <c r="CY4" s="23" t="str">
        <f t="shared" si="3"/>
        <v/>
      </c>
      <c r="CZ4" s="23" t="str">
        <f t="shared" si="3"/>
        <v/>
      </c>
      <c r="DA4" s="23" t="str">
        <f t="shared" si="3"/>
        <v/>
      </c>
      <c r="DB4" s="23" t="str">
        <f t="shared" si="3"/>
        <v/>
      </c>
      <c r="DC4" s="23" t="str">
        <f t="shared" si="3"/>
        <v/>
      </c>
      <c r="DD4" s="23" t="str">
        <f t="shared" si="3"/>
        <v/>
      </c>
      <c r="DE4" s="23" t="str">
        <f t="shared" si="3"/>
        <v/>
      </c>
      <c r="DF4" s="23" t="str">
        <f t="shared" si="3"/>
        <v/>
      </c>
      <c r="DG4" s="23" t="str">
        <f t="shared" si="3"/>
        <v/>
      </c>
      <c r="DH4" s="23" t="str">
        <f t="shared" si="3"/>
        <v/>
      </c>
      <c r="DI4" s="23" t="str">
        <f t="shared" si="3"/>
        <v/>
      </c>
      <c r="DJ4" s="23" t="str">
        <f t="shared" si="3"/>
        <v/>
      </c>
      <c r="DK4" s="23" t="str">
        <f t="shared" si="3"/>
        <v/>
      </c>
      <c r="DL4" s="23" t="str">
        <f t="shared" si="3"/>
        <v/>
      </c>
      <c r="DM4" s="23" t="str">
        <f t="shared" si="3"/>
        <v/>
      </c>
      <c r="DN4" s="23" t="str">
        <f t="shared" si="3"/>
        <v/>
      </c>
      <c r="DO4" s="23" t="str">
        <f t="shared" si="3"/>
        <v/>
      </c>
      <c r="DP4" s="23" t="str">
        <f t="shared" si="3"/>
        <v/>
      </c>
      <c r="DQ4" s="23" t="str">
        <f t="shared" si="3"/>
        <v/>
      </c>
      <c r="DR4" s="23" t="str">
        <f t="shared" si="3"/>
        <v/>
      </c>
      <c r="DS4" s="23" t="str">
        <f t="shared" si="3"/>
        <v/>
      </c>
      <c r="DT4" s="23" t="str">
        <f t="shared" si="3"/>
        <v/>
      </c>
      <c r="DU4" s="23" t="str">
        <f t="shared" si="3"/>
        <v/>
      </c>
      <c r="DV4" s="23" t="str">
        <f t="shared" si="3"/>
        <v/>
      </c>
      <c r="DW4" s="23" t="str">
        <f t="shared" si="3"/>
        <v/>
      </c>
      <c r="DX4" s="23" t="str">
        <f t="shared" si="3"/>
        <v/>
      </c>
      <c r="DY4" s="23" t="str">
        <f t="shared" si="3"/>
        <v/>
      </c>
      <c r="DZ4" s="23" t="str">
        <f t="shared" si="3"/>
        <v/>
      </c>
      <c r="EA4" s="23" t="str">
        <f t="shared" si="3"/>
        <v/>
      </c>
      <c r="EB4" s="23" t="str">
        <f t="shared" si="3"/>
        <v/>
      </c>
      <c r="EC4" s="23" t="str">
        <f t="shared" si="3"/>
        <v/>
      </c>
      <c r="ED4" s="23" t="str">
        <f t="shared" si="3"/>
        <v/>
      </c>
      <c r="EE4" s="23" t="str">
        <f t="shared" si="3"/>
        <v/>
      </c>
      <c r="EF4" s="23" t="str">
        <f t="shared" si="3"/>
        <v/>
      </c>
      <c r="EG4" s="23" t="str">
        <f t="shared" si="3"/>
        <v/>
      </c>
      <c r="EH4" s="23" t="str">
        <f t="shared" si="3"/>
        <v/>
      </c>
      <c r="EI4" s="23" t="str">
        <f t="shared" si="3"/>
        <v/>
      </c>
      <c r="EJ4" s="23" t="str">
        <f t="shared" si="3"/>
        <v/>
      </c>
      <c r="EK4" s="23" t="str">
        <f t="shared" si="3"/>
        <v/>
      </c>
      <c r="EL4" s="23" t="str">
        <f t="shared" si="3"/>
        <v/>
      </c>
      <c r="EM4" s="23" t="str">
        <f t="shared" si="3"/>
        <v/>
      </c>
      <c r="EN4" s="23" t="str">
        <f t="shared" si="3"/>
        <v/>
      </c>
      <c r="EO4" s="23" t="str">
        <f t="shared" si="3"/>
        <v/>
      </c>
      <c r="EP4" s="23" t="str">
        <f t="shared" si="3"/>
        <v/>
      </c>
      <c r="EQ4" s="23" t="str">
        <f t="shared" si="3"/>
        <v/>
      </c>
      <c r="ER4" s="23" t="str">
        <f t="shared" si="3"/>
        <v/>
      </c>
      <c r="ES4" s="23" t="str">
        <f t="shared" si="3"/>
        <v/>
      </c>
      <c r="ET4" s="23" t="str">
        <f t="shared" si="3"/>
        <v/>
      </c>
      <c r="EU4" s="23" t="str">
        <f t="shared" si="3"/>
        <v/>
      </c>
      <c r="EV4" s="23" t="str">
        <f t="shared" si="3"/>
        <v/>
      </c>
      <c r="EW4" s="23" t="str">
        <f t="shared" si="3"/>
        <v/>
      </c>
      <c r="EX4" s="23" t="str">
        <f t="shared" si="3"/>
        <v/>
      </c>
      <c r="EY4" s="23" t="str">
        <f t="shared" ref="EY4:HJ4" si="4">+EY2&amp;EY3</f>
        <v/>
      </c>
      <c r="EZ4" s="23" t="str">
        <f t="shared" si="4"/>
        <v/>
      </c>
      <c r="FA4" s="23" t="str">
        <f t="shared" si="4"/>
        <v/>
      </c>
      <c r="FB4" s="23" t="str">
        <f t="shared" si="4"/>
        <v/>
      </c>
      <c r="FC4" s="23" t="str">
        <f t="shared" si="4"/>
        <v/>
      </c>
      <c r="FD4" s="23" t="str">
        <f t="shared" si="4"/>
        <v/>
      </c>
      <c r="FE4" s="23" t="str">
        <f t="shared" si="4"/>
        <v/>
      </c>
      <c r="FF4" s="23" t="str">
        <f t="shared" si="4"/>
        <v/>
      </c>
      <c r="FG4" s="23" t="str">
        <f t="shared" si="4"/>
        <v/>
      </c>
      <c r="FH4" s="23" t="str">
        <f t="shared" si="4"/>
        <v/>
      </c>
      <c r="FI4" s="23" t="str">
        <f t="shared" si="4"/>
        <v/>
      </c>
      <c r="FJ4" s="23" t="str">
        <f t="shared" si="4"/>
        <v/>
      </c>
      <c r="FK4" s="23" t="str">
        <f t="shared" si="4"/>
        <v/>
      </c>
      <c r="FL4" s="23" t="str">
        <f t="shared" si="4"/>
        <v/>
      </c>
      <c r="FM4" s="23" t="str">
        <f t="shared" si="4"/>
        <v/>
      </c>
      <c r="FN4" s="23" t="str">
        <f t="shared" si="4"/>
        <v/>
      </c>
      <c r="FO4" s="23" t="str">
        <f t="shared" si="4"/>
        <v/>
      </c>
      <c r="FP4" s="23" t="str">
        <f t="shared" si="4"/>
        <v/>
      </c>
      <c r="FQ4" s="23" t="str">
        <f t="shared" si="4"/>
        <v/>
      </c>
      <c r="FR4" s="23" t="str">
        <f t="shared" si="4"/>
        <v/>
      </c>
      <c r="FS4" s="23" t="str">
        <f t="shared" si="4"/>
        <v/>
      </c>
      <c r="FT4" s="23" t="str">
        <f t="shared" si="4"/>
        <v/>
      </c>
      <c r="FU4" s="23" t="str">
        <f t="shared" si="4"/>
        <v/>
      </c>
      <c r="FV4" s="23" t="str">
        <f t="shared" si="4"/>
        <v/>
      </c>
      <c r="FW4" s="23" t="str">
        <f t="shared" si="4"/>
        <v/>
      </c>
      <c r="FX4" s="23" t="str">
        <f t="shared" si="4"/>
        <v/>
      </c>
      <c r="FY4" s="23" t="str">
        <f t="shared" si="4"/>
        <v/>
      </c>
      <c r="FZ4" s="23" t="str">
        <f t="shared" si="4"/>
        <v/>
      </c>
      <c r="GA4" s="23" t="str">
        <f t="shared" si="4"/>
        <v/>
      </c>
      <c r="GB4" s="23" t="str">
        <f t="shared" si="4"/>
        <v/>
      </c>
      <c r="GC4" s="23" t="str">
        <f t="shared" si="4"/>
        <v/>
      </c>
      <c r="GD4" s="23" t="str">
        <f t="shared" si="4"/>
        <v/>
      </c>
      <c r="GE4" s="23" t="str">
        <f t="shared" si="4"/>
        <v/>
      </c>
      <c r="GF4" s="23" t="str">
        <f t="shared" si="4"/>
        <v/>
      </c>
      <c r="GG4" s="23" t="str">
        <f t="shared" si="4"/>
        <v/>
      </c>
      <c r="GH4" s="23" t="str">
        <f t="shared" si="4"/>
        <v/>
      </c>
      <c r="GI4" s="23" t="str">
        <f t="shared" si="4"/>
        <v/>
      </c>
      <c r="GJ4" s="23" t="str">
        <f t="shared" si="4"/>
        <v/>
      </c>
      <c r="GK4" s="23" t="str">
        <f t="shared" si="4"/>
        <v/>
      </c>
      <c r="GL4" s="23" t="str">
        <f t="shared" si="4"/>
        <v/>
      </c>
      <c r="GM4" s="23" t="str">
        <f t="shared" si="4"/>
        <v/>
      </c>
      <c r="GN4" s="23" t="str">
        <f t="shared" si="4"/>
        <v/>
      </c>
      <c r="GO4" s="23" t="str">
        <f t="shared" si="4"/>
        <v/>
      </c>
      <c r="GP4" s="23" t="str">
        <f t="shared" si="4"/>
        <v/>
      </c>
      <c r="GQ4" s="23" t="str">
        <f t="shared" si="4"/>
        <v/>
      </c>
      <c r="GR4" s="23" t="str">
        <f t="shared" si="4"/>
        <v/>
      </c>
      <c r="GS4" s="23" t="str">
        <f t="shared" si="4"/>
        <v/>
      </c>
      <c r="GT4" s="23" t="str">
        <f t="shared" si="4"/>
        <v/>
      </c>
      <c r="GU4" s="23" t="str">
        <f t="shared" si="4"/>
        <v/>
      </c>
      <c r="GV4" s="23" t="str">
        <f t="shared" si="4"/>
        <v/>
      </c>
      <c r="GW4" s="23" t="str">
        <f t="shared" si="4"/>
        <v/>
      </c>
      <c r="GX4" s="23" t="str">
        <f t="shared" si="4"/>
        <v/>
      </c>
      <c r="GY4" s="23" t="str">
        <f t="shared" si="4"/>
        <v/>
      </c>
      <c r="GZ4" s="23" t="str">
        <f t="shared" si="4"/>
        <v/>
      </c>
      <c r="HA4" s="23" t="str">
        <f t="shared" si="4"/>
        <v/>
      </c>
      <c r="HB4" s="23" t="str">
        <f t="shared" si="4"/>
        <v/>
      </c>
      <c r="HC4" s="23" t="str">
        <f t="shared" si="4"/>
        <v/>
      </c>
      <c r="HD4" s="23" t="str">
        <f t="shared" si="4"/>
        <v/>
      </c>
      <c r="HE4" s="23" t="str">
        <f t="shared" si="4"/>
        <v/>
      </c>
      <c r="HF4" s="23" t="str">
        <f t="shared" si="4"/>
        <v/>
      </c>
      <c r="HG4" s="23" t="str">
        <f t="shared" si="4"/>
        <v/>
      </c>
      <c r="HH4" s="23" t="str">
        <f t="shared" si="4"/>
        <v/>
      </c>
      <c r="HI4" s="23" t="str">
        <f t="shared" si="4"/>
        <v/>
      </c>
      <c r="HJ4" s="23" t="str">
        <f t="shared" si="4"/>
        <v/>
      </c>
      <c r="HK4" s="23" t="str">
        <f t="shared" ref="HK4:JV4" si="5">+HK2&amp;HK3</f>
        <v/>
      </c>
      <c r="HL4" s="23" t="str">
        <f t="shared" si="5"/>
        <v/>
      </c>
      <c r="HM4" s="23" t="str">
        <f t="shared" si="5"/>
        <v/>
      </c>
      <c r="HN4" s="23" t="str">
        <f t="shared" si="5"/>
        <v/>
      </c>
      <c r="HO4" s="23" t="str">
        <f t="shared" si="5"/>
        <v/>
      </c>
      <c r="HP4" s="23" t="str">
        <f t="shared" si="5"/>
        <v/>
      </c>
      <c r="HQ4" s="23" t="str">
        <f t="shared" si="5"/>
        <v/>
      </c>
      <c r="HR4" s="23" t="str">
        <f t="shared" si="5"/>
        <v/>
      </c>
      <c r="HS4" s="23" t="str">
        <f t="shared" si="5"/>
        <v/>
      </c>
      <c r="HT4" s="23" t="str">
        <f t="shared" si="5"/>
        <v/>
      </c>
      <c r="HU4" s="23" t="str">
        <f t="shared" si="5"/>
        <v/>
      </c>
      <c r="HV4" s="23" t="str">
        <f t="shared" si="5"/>
        <v/>
      </c>
      <c r="HW4" s="23" t="str">
        <f t="shared" si="5"/>
        <v/>
      </c>
      <c r="HX4" s="23" t="str">
        <f t="shared" si="5"/>
        <v/>
      </c>
      <c r="HY4" s="23" t="str">
        <f t="shared" si="5"/>
        <v/>
      </c>
      <c r="HZ4" s="23" t="str">
        <f t="shared" si="5"/>
        <v/>
      </c>
      <c r="IA4" s="23" t="str">
        <f t="shared" si="5"/>
        <v/>
      </c>
      <c r="IB4" s="23" t="str">
        <f t="shared" si="5"/>
        <v/>
      </c>
      <c r="IC4" s="23" t="str">
        <f t="shared" si="5"/>
        <v/>
      </c>
      <c r="ID4" s="23" t="str">
        <f t="shared" si="5"/>
        <v/>
      </c>
      <c r="IE4" s="23" t="str">
        <f t="shared" si="5"/>
        <v/>
      </c>
      <c r="IF4" s="23" t="str">
        <f t="shared" si="5"/>
        <v/>
      </c>
      <c r="IG4" s="23" t="str">
        <f t="shared" si="5"/>
        <v/>
      </c>
      <c r="IH4" s="23" t="str">
        <f t="shared" si="5"/>
        <v/>
      </c>
      <c r="II4" s="23" t="str">
        <f t="shared" si="5"/>
        <v/>
      </c>
      <c r="IJ4" s="23" t="str">
        <f t="shared" si="5"/>
        <v/>
      </c>
      <c r="IK4" s="23" t="str">
        <f t="shared" si="5"/>
        <v/>
      </c>
      <c r="IL4" s="23" t="str">
        <f t="shared" si="5"/>
        <v/>
      </c>
      <c r="IM4" s="23" t="str">
        <f t="shared" si="5"/>
        <v/>
      </c>
      <c r="IN4" s="23" t="str">
        <f t="shared" si="5"/>
        <v/>
      </c>
      <c r="IO4" s="23" t="str">
        <f t="shared" si="5"/>
        <v/>
      </c>
      <c r="IP4" s="23" t="str">
        <f t="shared" si="5"/>
        <v/>
      </c>
      <c r="IQ4" s="23" t="str">
        <f t="shared" si="5"/>
        <v/>
      </c>
      <c r="IR4" s="23" t="str">
        <f t="shared" si="5"/>
        <v/>
      </c>
      <c r="IS4" s="23" t="str">
        <f t="shared" si="5"/>
        <v/>
      </c>
      <c r="IT4" s="23" t="str">
        <f t="shared" si="5"/>
        <v/>
      </c>
      <c r="IU4" s="23" t="str">
        <f t="shared" si="5"/>
        <v/>
      </c>
      <c r="IV4" s="23" t="str">
        <f t="shared" si="5"/>
        <v/>
      </c>
      <c r="IW4" s="23" t="str">
        <f t="shared" si="5"/>
        <v/>
      </c>
      <c r="IX4" s="23" t="str">
        <f t="shared" si="5"/>
        <v/>
      </c>
      <c r="IY4" s="23" t="str">
        <f t="shared" si="5"/>
        <v/>
      </c>
      <c r="IZ4" s="23" t="str">
        <f t="shared" si="5"/>
        <v/>
      </c>
      <c r="JA4" s="23" t="str">
        <f t="shared" si="5"/>
        <v/>
      </c>
      <c r="JB4" s="23" t="str">
        <f t="shared" si="5"/>
        <v/>
      </c>
      <c r="JC4" s="23" t="str">
        <f t="shared" si="5"/>
        <v/>
      </c>
      <c r="JD4" s="23" t="str">
        <f t="shared" si="5"/>
        <v/>
      </c>
      <c r="JE4" s="23" t="str">
        <f t="shared" si="5"/>
        <v/>
      </c>
      <c r="JF4" s="23" t="str">
        <f t="shared" si="5"/>
        <v/>
      </c>
      <c r="JG4" s="23" t="str">
        <f t="shared" si="5"/>
        <v/>
      </c>
      <c r="JH4" s="23" t="str">
        <f t="shared" si="5"/>
        <v/>
      </c>
      <c r="JI4" s="23" t="str">
        <f t="shared" si="5"/>
        <v/>
      </c>
      <c r="JJ4" s="23" t="str">
        <f t="shared" si="5"/>
        <v/>
      </c>
      <c r="JK4" s="23" t="str">
        <f t="shared" si="5"/>
        <v/>
      </c>
      <c r="JL4" s="23" t="str">
        <f t="shared" si="5"/>
        <v/>
      </c>
      <c r="JM4" s="23" t="str">
        <f t="shared" si="5"/>
        <v/>
      </c>
      <c r="JN4" s="23" t="str">
        <f t="shared" si="5"/>
        <v/>
      </c>
      <c r="JO4" s="23" t="str">
        <f t="shared" si="5"/>
        <v/>
      </c>
      <c r="JP4" s="23" t="str">
        <f t="shared" si="5"/>
        <v/>
      </c>
      <c r="JQ4" s="23" t="str">
        <f t="shared" si="5"/>
        <v/>
      </c>
      <c r="JR4" s="23" t="str">
        <f t="shared" si="5"/>
        <v/>
      </c>
      <c r="JS4" s="23" t="str">
        <f t="shared" si="5"/>
        <v/>
      </c>
      <c r="JT4" s="23" t="str">
        <f t="shared" si="5"/>
        <v/>
      </c>
      <c r="JU4" s="23" t="str">
        <f t="shared" si="5"/>
        <v/>
      </c>
      <c r="JV4" s="23" t="str">
        <f t="shared" si="5"/>
        <v/>
      </c>
      <c r="JW4" s="23" t="str">
        <f t="shared" ref="JW4:KB4" si="6">+JW2&amp;JW3</f>
        <v/>
      </c>
      <c r="JX4" s="23" t="str">
        <f t="shared" si="6"/>
        <v/>
      </c>
      <c r="JY4" s="23" t="str">
        <f t="shared" si="6"/>
        <v/>
      </c>
      <c r="JZ4" s="23" t="str">
        <f t="shared" si="6"/>
        <v/>
      </c>
      <c r="KA4" s="23" t="str">
        <f t="shared" si="6"/>
        <v/>
      </c>
      <c r="KB4" s="23" t="str">
        <f t="shared" si="6"/>
        <v/>
      </c>
    </row>
    <row r="5" s="10" customFormat="1" customHeight="1" spans="1:34">
      <c r="A5" s="12" t="s">
        <v>107</v>
      </c>
      <c r="B5" s="24">
        <v>480</v>
      </c>
      <c r="C5" s="24">
        <v>300</v>
      </c>
      <c r="D5" s="24">
        <v>6</v>
      </c>
      <c r="E5" s="24">
        <v>9</v>
      </c>
      <c r="F5" s="24">
        <f>+D5+E5</f>
        <v>15</v>
      </c>
      <c r="G5" s="24">
        <f t="shared" ref="G5:G68" si="7">B5*D5/C5</f>
        <v>9.6</v>
      </c>
      <c r="H5" s="24">
        <f>900*3</f>
        <v>2700</v>
      </c>
      <c r="I5" s="24">
        <f>1000*3</f>
        <v>3000</v>
      </c>
      <c r="J5" s="24"/>
      <c r="K5" s="24"/>
      <c r="L5" s="24"/>
      <c r="M5" s="24"/>
      <c r="N5" s="24"/>
      <c r="O5" s="24"/>
      <c r="P5" s="24"/>
      <c r="Q5" s="29">
        <f>IFERROR($B5*$E5/H5,"NA")</f>
        <v>1.6</v>
      </c>
      <c r="R5" s="29">
        <f t="shared" ref="R5:Y5" si="8">IFERROR($B5*$E5/I5,"NA")</f>
        <v>1.44</v>
      </c>
      <c r="S5" s="29" t="str">
        <f t="shared" si="8"/>
        <v>NA</v>
      </c>
      <c r="T5" s="29" t="str">
        <f t="shared" si="8"/>
        <v>NA</v>
      </c>
      <c r="U5" s="29" t="str">
        <f t="shared" si="8"/>
        <v>NA</v>
      </c>
      <c r="V5" s="29" t="str">
        <f t="shared" si="8"/>
        <v>NA</v>
      </c>
      <c r="W5" s="29" t="str">
        <f t="shared" si="8"/>
        <v>NA</v>
      </c>
      <c r="X5" s="29" t="str">
        <f t="shared" si="8"/>
        <v>NA</v>
      </c>
      <c r="Y5" s="29" t="str">
        <f t="shared" si="8"/>
        <v>NA</v>
      </c>
      <c r="Z5" s="29">
        <f>IFERROR((($G5*Z$2/1000)+Q5)/1,"NA")</f>
        <v>1.888</v>
      </c>
      <c r="AA5" s="29">
        <f>IFERROR((($G5*AA$2/1000)+R5)/1,"NA")</f>
        <v>2.4</v>
      </c>
      <c r="AB5" s="29" t="str">
        <f t="shared" ref="AB5:AH5" si="9">IFERROR((($G5*AB$2/1000)+S5)/1,"NA")</f>
        <v>NA</v>
      </c>
      <c r="AC5" s="29" t="str">
        <f t="shared" si="9"/>
        <v>NA</v>
      </c>
      <c r="AD5" s="29" t="str">
        <f t="shared" si="9"/>
        <v>NA</v>
      </c>
      <c r="AE5" s="29" t="str">
        <f t="shared" si="9"/>
        <v>NA</v>
      </c>
      <c r="AF5" s="29" t="str">
        <f t="shared" si="9"/>
        <v>NA</v>
      </c>
      <c r="AG5" s="29" t="str">
        <f t="shared" si="9"/>
        <v>NA</v>
      </c>
      <c r="AH5" s="29" t="str">
        <f t="shared" si="9"/>
        <v>NA</v>
      </c>
    </row>
    <row r="6" customHeight="1" spans="1:34">
      <c r="A6" s="12" t="s">
        <v>115</v>
      </c>
      <c r="B6" s="24">
        <v>480</v>
      </c>
      <c r="C6" s="24">
        <v>500</v>
      </c>
      <c r="D6" s="24">
        <v>21</v>
      </c>
      <c r="E6" s="24">
        <v>18</v>
      </c>
      <c r="F6" s="24">
        <f t="shared" ref="F6:F69" si="10">+D6+E6</f>
        <v>39</v>
      </c>
      <c r="G6" s="24">
        <f t="shared" si="7"/>
        <v>20.16</v>
      </c>
      <c r="H6" s="24">
        <f>1000*6</f>
        <v>6000</v>
      </c>
      <c r="I6" s="24">
        <f>900*6</f>
        <v>5400</v>
      </c>
      <c r="J6" s="24"/>
      <c r="K6" s="24"/>
      <c r="L6" s="24"/>
      <c r="M6" s="24"/>
      <c r="N6" s="24"/>
      <c r="O6" s="24"/>
      <c r="P6" s="24"/>
      <c r="Q6" s="29">
        <f t="shared" ref="Q6:Q13" si="11">IFERROR($B6*$E6/H6,"NA")</f>
        <v>1.44</v>
      </c>
      <c r="R6" s="29">
        <f t="shared" ref="R6:R13" si="12">IFERROR($B6*$E6/I6,"NA")</f>
        <v>1.6</v>
      </c>
      <c r="S6" s="29" t="str">
        <f t="shared" ref="S6:S13" si="13">IFERROR($B6*$E6/J6,"NA")</f>
        <v>NA</v>
      </c>
      <c r="T6" s="29" t="str">
        <f t="shared" ref="T6:T13" si="14">IFERROR($B6*$E6/K6,"NA")</f>
        <v>NA</v>
      </c>
      <c r="U6" s="29" t="str">
        <f t="shared" ref="U6:U13" si="15">IFERROR($B6*$E6/L6,"NA")</f>
        <v>NA</v>
      </c>
      <c r="V6" s="29" t="str">
        <f t="shared" ref="V6:V13" si="16">IFERROR($B6*$E6/M6,"NA")</f>
        <v>NA</v>
      </c>
      <c r="W6" s="29" t="str">
        <f t="shared" ref="W6:W13" si="17">IFERROR($B6*$E6/N6,"NA")</f>
        <v>NA</v>
      </c>
      <c r="X6" s="29" t="str">
        <f t="shared" ref="X6:X13" si="18">IFERROR($B6*$E6/O6,"NA")</f>
        <v>NA</v>
      </c>
      <c r="Y6" s="29" t="str">
        <f t="shared" ref="Y6:Y13" si="19">IFERROR($B6*$E6/P6,"NA")</f>
        <v>NA</v>
      </c>
      <c r="Z6" s="29">
        <f t="shared" ref="Z6:Z13" si="20">IFERROR((($G6*Z$2/1000)+Q6)/1,"NA")</f>
        <v>2.0448</v>
      </c>
      <c r="AA6" s="29">
        <f t="shared" ref="AA6:AA13" si="21">IFERROR((($G6*AA$2/1000)+R6)/1,"NA")</f>
        <v>3.616</v>
      </c>
      <c r="AB6" s="29" t="str">
        <f t="shared" ref="AB6:AB13" si="22">IFERROR((($G6*AB$2/1000)+S6)/1,"NA")</f>
        <v>NA</v>
      </c>
      <c r="AC6" s="29" t="str">
        <f t="shared" ref="AC6:AC13" si="23">IFERROR((($G6*AC$2/1000)+T6)/1,"NA")</f>
        <v>NA</v>
      </c>
      <c r="AD6" s="29" t="str">
        <f t="shared" ref="AD6:AD13" si="24">IFERROR((($G6*AD$2/1000)+U6)/1,"NA")</f>
        <v>NA</v>
      </c>
      <c r="AE6" s="29" t="str">
        <f t="shared" ref="AE6:AE13" si="25">IFERROR((($G6*AE$2/1000)+V6)/1,"NA")</f>
        <v>NA</v>
      </c>
      <c r="AF6" s="29" t="str">
        <f t="shared" ref="AF6:AF13" si="26">IFERROR((($G6*AF$2/1000)+W6)/1,"NA")</f>
        <v>NA</v>
      </c>
      <c r="AG6" s="29" t="str">
        <f t="shared" ref="AG6:AG13" si="27">IFERROR((($G6*AG$2/1000)+X6)/1,"NA")</f>
        <v>NA</v>
      </c>
      <c r="AH6" s="29" t="str">
        <f t="shared" ref="AH6:AH13" si="28">IFERROR((($G6*AH$2/1000)+Y6)/1,"NA")</f>
        <v>NA</v>
      </c>
    </row>
    <row r="7" customHeight="1" spans="1:34">
      <c r="A7" s="25" t="s">
        <v>1025</v>
      </c>
      <c r="B7" s="24">
        <v>480</v>
      </c>
      <c r="C7" s="24">
        <v>100</v>
      </c>
      <c r="D7" s="26">
        <v>6</v>
      </c>
      <c r="E7" s="26">
        <v>2</v>
      </c>
      <c r="F7" s="24">
        <f t="shared" si="10"/>
        <v>8</v>
      </c>
      <c r="G7" s="24">
        <f t="shared" si="7"/>
        <v>28.8</v>
      </c>
      <c r="H7" s="24"/>
      <c r="I7" s="24"/>
      <c r="J7" s="24"/>
      <c r="K7" s="24"/>
      <c r="L7" s="24"/>
      <c r="M7" s="24">
        <f>+(100*1000/3)</f>
        <v>33333.3333333333</v>
      </c>
      <c r="N7" s="24"/>
      <c r="O7" s="24"/>
      <c r="P7" s="24"/>
      <c r="Q7" s="29" t="str">
        <f t="shared" si="11"/>
        <v>NA</v>
      </c>
      <c r="R7" s="29" t="str">
        <f t="shared" si="12"/>
        <v>NA</v>
      </c>
      <c r="S7" s="29" t="str">
        <f t="shared" si="13"/>
        <v>NA</v>
      </c>
      <c r="T7" s="29" t="str">
        <f t="shared" si="14"/>
        <v>NA</v>
      </c>
      <c r="U7" s="29" t="str">
        <f t="shared" si="15"/>
        <v>NA</v>
      </c>
      <c r="V7" s="29">
        <f t="shared" si="16"/>
        <v>0.0288</v>
      </c>
      <c r="W7" s="29" t="str">
        <f t="shared" si="17"/>
        <v>NA</v>
      </c>
      <c r="X7" s="29" t="str">
        <f t="shared" si="18"/>
        <v>NA</v>
      </c>
      <c r="Y7" s="29" t="str">
        <f t="shared" si="19"/>
        <v>NA</v>
      </c>
      <c r="Z7" s="29" t="str">
        <f t="shared" si="20"/>
        <v>NA</v>
      </c>
      <c r="AA7" s="29" t="str">
        <f t="shared" si="21"/>
        <v>NA</v>
      </c>
      <c r="AB7" s="29" t="str">
        <f t="shared" si="22"/>
        <v>NA</v>
      </c>
      <c r="AC7" s="29" t="str">
        <f t="shared" si="23"/>
        <v>NA</v>
      </c>
      <c r="AD7" s="29" t="str">
        <f t="shared" si="24"/>
        <v>NA</v>
      </c>
      <c r="AE7" s="29">
        <f t="shared" si="25"/>
        <v>0.1152</v>
      </c>
      <c r="AF7" s="29" t="str">
        <f t="shared" si="26"/>
        <v>NA</v>
      </c>
      <c r="AG7" s="29" t="str">
        <f t="shared" si="27"/>
        <v>NA</v>
      </c>
      <c r="AH7" s="29" t="str">
        <f t="shared" si="28"/>
        <v>NA</v>
      </c>
    </row>
    <row r="8" customHeight="1" spans="1:34">
      <c r="A8" s="11" t="s">
        <v>121</v>
      </c>
      <c r="B8" s="24">
        <v>480</v>
      </c>
      <c r="C8" s="24">
        <v>100</v>
      </c>
      <c r="D8" s="26">
        <v>6</v>
      </c>
      <c r="E8" s="26">
        <v>4</v>
      </c>
      <c r="F8" s="24">
        <f t="shared" si="10"/>
        <v>10</v>
      </c>
      <c r="G8" s="24">
        <f t="shared" si="7"/>
        <v>28.8</v>
      </c>
      <c r="H8" s="24"/>
      <c r="I8" s="24"/>
      <c r="J8" s="24"/>
      <c r="K8" s="24">
        <f>+(100*1000/20)</f>
        <v>5000</v>
      </c>
      <c r="L8" s="24">
        <v>800</v>
      </c>
      <c r="M8" s="24"/>
      <c r="N8" s="24"/>
      <c r="O8" s="24"/>
      <c r="P8" s="24"/>
      <c r="Q8" s="29" t="str">
        <f t="shared" si="11"/>
        <v>NA</v>
      </c>
      <c r="R8" s="29" t="str">
        <f t="shared" si="12"/>
        <v>NA</v>
      </c>
      <c r="S8" s="29" t="str">
        <f t="shared" si="13"/>
        <v>NA</v>
      </c>
      <c r="T8" s="29">
        <f t="shared" si="14"/>
        <v>0.384</v>
      </c>
      <c r="U8" s="29">
        <f t="shared" si="15"/>
        <v>2.4</v>
      </c>
      <c r="V8" s="29" t="str">
        <f t="shared" si="16"/>
        <v>NA</v>
      </c>
      <c r="W8" s="29" t="str">
        <f t="shared" si="17"/>
        <v>NA</v>
      </c>
      <c r="X8" s="29" t="str">
        <f t="shared" si="18"/>
        <v>NA</v>
      </c>
      <c r="Y8" s="29" t="str">
        <f t="shared" si="19"/>
        <v>NA</v>
      </c>
      <c r="Z8" s="29" t="str">
        <f t="shared" si="20"/>
        <v>NA</v>
      </c>
      <c r="AA8" s="29" t="str">
        <f t="shared" si="21"/>
        <v>NA</v>
      </c>
      <c r="AB8" s="29" t="str">
        <f t="shared" si="22"/>
        <v>NA</v>
      </c>
      <c r="AC8" s="29">
        <f t="shared" si="23"/>
        <v>0.96</v>
      </c>
      <c r="AD8" s="29">
        <f t="shared" si="24"/>
        <v>16.8</v>
      </c>
      <c r="AE8" s="29" t="str">
        <f t="shared" si="25"/>
        <v>NA</v>
      </c>
      <c r="AF8" s="29" t="str">
        <f t="shared" si="26"/>
        <v>NA</v>
      </c>
      <c r="AG8" s="29" t="str">
        <f t="shared" si="27"/>
        <v>NA</v>
      </c>
      <c r="AH8" s="29" t="str">
        <f t="shared" si="28"/>
        <v>NA</v>
      </c>
    </row>
    <row r="9" customHeight="1" spans="1:34">
      <c r="A9" s="25" t="s">
        <v>122</v>
      </c>
      <c r="B9" s="24">
        <v>480</v>
      </c>
      <c r="C9" s="24">
        <v>100</v>
      </c>
      <c r="D9" s="26">
        <v>6</v>
      </c>
      <c r="E9" s="26">
        <v>2</v>
      </c>
      <c r="F9" s="24">
        <f t="shared" si="10"/>
        <v>8</v>
      </c>
      <c r="G9" s="24">
        <f t="shared" si="7"/>
        <v>28.8</v>
      </c>
      <c r="H9" s="24"/>
      <c r="I9" s="24"/>
      <c r="J9" s="24"/>
      <c r="K9" s="24">
        <f>+(100*1000/20)</f>
        <v>5000</v>
      </c>
      <c r="L9" s="24">
        <f>+(100*1000/500)</f>
        <v>200</v>
      </c>
      <c r="M9" s="24"/>
      <c r="N9" s="24"/>
      <c r="O9" s="24"/>
      <c r="P9" s="24"/>
      <c r="Q9" s="29" t="str">
        <f t="shared" si="11"/>
        <v>NA</v>
      </c>
      <c r="R9" s="29" t="str">
        <f t="shared" si="12"/>
        <v>NA</v>
      </c>
      <c r="S9" s="29" t="str">
        <f t="shared" si="13"/>
        <v>NA</v>
      </c>
      <c r="T9" s="29">
        <f t="shared" si="14"/>
        <v>0.192</v>
      </c>
      <c r="U9" s="29">
        <f t="shared" si="15"/>
        <v>4.8</v>
      </c>
      <c r="V9" s="29" t="str">
        <f t="shared" si="16"/>
        <v>NA</v>
      </c>
      <c r="W9" s="29" t="str">
        <f t="shared" si="17"/>
        <v>NA</v>
      </c>
      <c r="X9" s="29" t="str">
        <f t="shared" si="18"/>
        <v>NA</v>
      </c>
      <c r="Y9" s="29" t="str">
        <f t="shared" si="19"/>
        <v>NA</v>
      </c>
      <c r="Z9" s="29" t="str">
        <f t="shared" si="20"/>
        <v>NA</v>
      </c>
      <c r="AA9" s="29" t="str">
        <f t="shared" si="21"/>
        <v>NA</v>
      </c>
      <c r="AB9" s="29" t="str">
        <f t="shared" si="22"/>
        <v>NA</v>
      </c>
      <c r="AC9" s="29">
        <f t="shared" si="23"/>
        <v>0.768</v>
      </c>
      <c r="AD9" s="29">
        <f t="shared" si="24"/>
        <v>19.2</v>
      </c>
      <c r="AE9" s="29" t="str">
        <f t="shared" si="25"/>
        <v>NA</v>
      </c>
      <c r="AF9" s="29" t="str">
        <f t="shared" si="26"/>
        <v>NA</v>
      </c>
      <c r="AG9" s="29" t="str">
        <f t="shared" si="27"/>
        <v>NA</v>
      </c>
      <c r="AH9" s="29" t="str">
        <f t="shared" si="28"/>
        <v>NA</v>
      </c>
    </row>
    <row r="10" customHeight="1" spans="1:34">
      <c r="A10" s="12" t="s">
        <v>123</v>
      </c>
      <c r="B10" s="24">
        <v>480</v>
      </c>
      <c r="C10" s="24">
        <v>200</v>
      </c>
      <c r="D10" s="24">
        <v>4</v>
      </c>
      <c r="E10" s="24">
        <v>4</v>
      </c>
      <c r="F10" s="24">
        <f t="shared" si="10"/>
        <v>8</v>
      </c>
      <c r="G10" s="24">
        <f t="shared" si="7"/>
        <v>9.6</v>
      </c>
      <c r="H10" s="24"/>
      <c r="I10" s="24"/>
      <c r="J10" s="24"/>
      <c r="K10" s="24"/>
      <c r="L10" s="24">
        <f>+(200*1000/500)</f>
        <v>400</v>
      </c>
      <c r="M10" s="24"/>
      <c r="N10" s="24"/>
      <c r="O10" s="24"/>
      <c r="P10" s="24"/>
      <c r="Q10" s="29" t="str">
        <f t="shared" si="11"/>
        <v>NA</v>
      </c>
      <c r="R10" s="29" t="str">
        <f t="shared" si="12"/>
        <v>NA</v>
      </c>
      <c r="S10" s="29" t="str">
        <f t="shared" si="13"/>
        <v>NA</v>
      </c>
      <c r="T10" s="29" t="str">
        <f t="shared" si="14"/>
        <v>NA</v>
      </c>
      <c r="U10" s="29">
        <f t="shared" si="15"/>
        <v>4.8</v>
      </c>
      <c r="V10" s="29" t="str">
        <f t="shared" si="16"/>
        <v>NA</v>
      </c>
      <c r="W10" s="29" t="str">
        <f t="shared" si="17"/>
        <v>NA</v>
      </c>
      <c r="X10" s="29" t="str">
        <f t="shared" si="18"/>
        <v>NA</v>
      </c>
      <c r="Y10" s="29" t="str">
        <f t="shared" si="19"/>
        <v>NA</v>
      </c>
      <c r="Z10" s="29" t="str">
        <f t="shared" si="20"/>
        <v>NA</v>
      </c>
      <c r="AA10" s="29" t="str">
        <f t="shared" si="21"/>
        <v>NA</v>
      </c>
      <c r="AB10" s="29" t="str">
        <f t="shared" si="22"/>
        <v>NA</v>
      </c>
      <c r="AC10" s="29" t="str">
        <f t="shared" si="23"/>
        <v>NA</v>
      </c>
      <c r="AD10" s="29">
        <f t="shared" si="24"/>
        <v>9.6</v>
      </c>
      <c r="AE10" s="29" t="str">
        <f t="shared" si="25"/>
        <v>NA</v>
      </c>
      <c r="AF10" s="29" t="str">
        <f t="shared" si="26"/>
        <v>NA</v>
      </c>
      <c r="AG10" s="29" t="str">
        <f t="shared" si="27"/>
        <v>NA</v>
      </c>
      <c r="AH10" s="29" t="str">
        <f t="shared" si="28"/>
        <v>NA</v>
      </c>
    </row>
    <row r="11" customHeight="1" spans="1:34">
      <c r="A11" s="12" t="s">
        <v>120</v>
      </c>
      <c r="B11" s="24">
        <v>480</v>
      </c>
      <c r="C11" s="24">
        <v>150</v>
      </c>
      <c r="D11" s="24">
        <v>2</v>
      </c>
      <c r="E11" s="24">
        <v>4</v>
      </c>
      <c r="F11" s="24">
        <f t="shared" si="10"/>
        <v>6</v>
      </c>
      <c r="G11" s="24">
        <f t="shared" si="7"/>
        <v>6.4</v>
      </c>
      <c r="H11" s="24">
        <v>1500</v>
      </c>
      <c r="I11" s="24">
        <v>1500</v>
      </c>
      <c r="J11" s="24"/>
      <c r="K11" s="24"/>
      <c r="L11" s="24"/>
      <c r="M11" s="24"/>
      <c r="N11" s="24"/>
      <c r="O11" s="24"/>
      <c r="P11" s="24"/>
      <c r="Q11" s="29">
        <f t="shared" si="11"/>
        <v>1.28</v>
      </c>
      <c r="R11" s="29">
        <f t="shared" si="12"/>
        <v>1.28</v>
      </c>
      <c r="S11" s="29" t="str">
        <f t="shared" si="13"/>
        <v>NA</v>
      </c>
      <c r="T11" s="29" t="str">
        <f t="shared" si="14"/>
        <v>NA</v>
      </c>
      <c r="U11" s="29" t="str">
        <f t="shared" si="15"/>
        <v>NA</v>
      </c>
      <c r="V11" s="29" t="str">
        <f t="shared" si="16"/>
        <v>NA</v>
      </c>
      <c r="W11" s="29" t="str">
        <f t="shared" si="17"/>
        <v>NA</v>
      </c>
      <c r="X11" s="29" t="str">
        <f t="shared" si="18"/>
        <v>NA</v>
      </c>
      <c r="Y11" s="29" t="str">
        <f t="shared" si="19"/>
        <v>NA</v>
      </c>
      <c r="Z11" s="29">
        <f t="shared" si="20"/>
        <v>1.472</v>
      </c>
      <c r="AA11" s="29">
        <f t="shared" si="21"/>
        <v>1.92</v>
      </c>
      <c r="AB11" s="29" t="str">
        <f t="shared" si="22"/>
        <v>NA</v>
      </c>
      <c r="AC11" s="29" t="str">
        <f t="shared" si="23"/>
        <v>NA</v>
      </c>
      <c r="AD11" s="29" t="str">
        <f t="shared" si="24"/>
        <v>NA</v>
      </c>
      <c r="AE11" s="29" t="str">
        <f t="shared" si="25"/>
        <v>NA</v>
      </c>
      <c r="AF11" s="29" t="str">
        <f t="shared" si="26"/>
        <v>NA</v>
      </c>
      <c r="AG11" s="29" t="str">
        <f t="shared" si="27"/>
        <v>NA</v>
      </c>
      <c r="AH11" s="29" t="str">
        <f t="shared" si="28"/>
        <v>NA</v>
      </c>
    </row>
    <row r="12" customHeight="1" spans="1:34">
      <c r="A12" s="12" t="s">
        <v>119</v>
      </c>
      <c r="B12" s="24">
        <v>480</v>
      </c>
      <c r="C12" s="24">
        <v>200</v>
      </c>
      <c r="D12" s="24">
        <v>2</v>
      </c>
      <c r="E12" s="24">
        <v>2</v>
      </c>
      <c r="F12" s="24">
        <f t="shared" si="10"/>
        <v>4</v>
      </c>
      <c r="G12" s="24">
        <f t="shared" si="7"/>
        <v>4.8</v>
      </c>
      <c r="H12" s="24">
        <f>670*4</f>
        <v>2680</v>
      </c>
      <c r="I12" s="24">
        <f>500*4</f>
        <v>2000</v>
      </c>
      <c r="J12" s="24"/>
      <c r="K12" s="24"/>
      <c r="L12" s="24"/>
      <c r="M12" s="24"/>
      <c r="N12" s="24"/>
      <c r="O12" s="24"/>
      <c r="P12" s="24"/>
      <c r="Q12" s="29">
        <f t="shared" si="11"/>
        <v>0.358208955223881</v>
      </c>
      <c r="R12" s="29">
        <f t="shared" si="12"/>
        <v>0.48</v>
      </c>
      <c r="S12" s="29" t="str">
        <f t="shared" si="13"/>
        <v>NA</v>
      </c>
      <c r="T12" s="29" t="str">
        <f t="shared" si="14"/>
        <v>NA</v>
      </c>
      <c r="U12" s="29" t="str">
        <f t="shared" si="15"/>
        <v>NA</v>
      </c>
      <c r="V12" s="29" t="str">
        <f t="shared" si="16"/>
        <v>NA</v>
      </c>
      <c r="W12" s="29" t="str">
        <f t="shared" si="17"/>
        <v>NA</v>
      </c>
      <c r="X12" s="29" t="str">
        <f t="shared" si="18"/>
        <v>NA</v>
      </c>
      <c r="Y12" s="29" t="str">
        <f t="shared" si="19"/>
        <v>NA</v>
      </c>
      <c r="Z12" s="29">
        <f t="shared" si="20"/>
        <v>0.502208955223881</v>
      </c>
      <c r="AA12" s="29">
        <f t="shared" si="21"/>
        <v>0.96</v>
      </c>
      <c r="AB12" s="29" t="str">
        <f t="shared" si="22"/>
        <v>NA</v>
      </c>
      <c r="AC12" s="29" t="str">
        <f t="shared" si="23"/>
        <v>NA</v>
      </c>
      <c r="AD12" s="29" t="str">
        <f t="shared" si="24"/>
        <v>NA</v>
      </c>
      <c r="AE12" s="29" t="str">
        <f t="shared" si="25"/>
        <v>NA</v>
      </c>
      <c r="AF12" s="29" t="str">
        <f t="shared" si="26"/>
        <v>NA</v>
      </c>
      <c r="AG12" s="29" t="str">
        <f t="shared" si="27"/>
        <v>NA</v>
      </c>
      <c r="AH12" s="29" t="str">
        <f t="shared" si="28"/>
        <v>NA</v>
      </c>
    </row>
    <row r="13" customHeight="1" spans="1:34">
      <c r="A13" s="12" t="s">
        <v>99</v>
      </c>
      <c r="B13" s="24">
        <v>480</v>
      </c>
      <c r="C13" s="24">
        <v>50</v>
      </c>
      <c r="D13" s="24">
        <v>2</v>
      </c>
      <c r="E13" s="24">
        <v>2</v>
      </c>
      <c r="F13" s="24">
        <f t="shared" si="10"/>
        <v>4</v>
      </c>
      <c r="G13" s="24">
        <f t="shared" si="7"/>
        <v>19.2</v>
      </c>
      <c r="H13" s="24"/>
      <c r="I13" s="24"/>
      <c r="J13" s="24">
        <f>700*4</f>
        <v>2800</v>
      </c>
      <c r="K13" s="24"/>
      <c r="L13" s="24"/>
      <c r="M13" s="24"/>
      <c r="N13" s="24"/>
      <c r="O13" s="24"/>
      <c r="P13" s="24"/>
      <c r="Q13" s="29" t="str">
        <f t="shared" si="11"/>
        <v>NA</v>
      </c>
      <c r="R13" s="29" t="str">
        <f t="shared" si="12"/>
        <v>NA</v>
      </c>
      <c r="S13" s="29">
        <f t="shared" si="13"/>
        <v>0.342857142857143</v>
      </c>
      <c r="T13" s="29" t="str">
        <f t="shared" si="14"/>
        <v>NA</v>
      </c>
      <c r="U13" s="29" t="str">
        <f t="shared" si="15"/>
        <v>NA</v>
      </c>
      <c r="V13" s="29" t="str">
        <f t="shared" si="16"/>
        <v>NA</v>
      </c>
      <c r="W13" s="29" t="str">
        <f t="shared" si="17"/>
        <v>NA</v>
      </c>
      <c r="X13" s="29" t="str">
        <f t="shared" si="18"/>
        <v>NA</v>
      </c>
      <c r="Y13" s="29" t="str">
        <f t="shared" si="19"/>
        <v>NA</v>
      </c>
      <c r="Z13" s="29" t="str">
        <f t="shared" si="20"/>
        <v>NA</v>
      </c>
      <c r="AA13" s="29" t="str">
        <f t="shared" si="21"/>
        <v>NA</v>
      </c>
      <c r="AB13" s="29">
        <f t="shared" si="22"/>
        <v>0.534857142857143</v>
      </c>
      <c r="AC13" s="29" t="str">
        <f t="shared" si="23"/>
        <v>NA</v>
      </c>
      <c r="AD13" s="29" t="str">
        <f t="shared" si="24"/>
        <v>NA</v>
      </c>
      <c r="AE13" s="29" t="str">
        <f t="shared" si="25"/>
        <v>NA</v>
      </c>
      <c r="AF13" s="29" t="str">
        <f t="shared" si="26"/>
        <v>NA</v>
      </c>
      <c r="AG13" s="29" t="str">
        <f t="shared" si="27"/>
        <v>NA</v>
      </c>
      <c r="AH13" s="29" t="str">
        <f t="shared" si="28"/>
        <v>NA</v>
      </c>
    </row>
    <row r="14" customHeight="1" spans="1:34">
      <c r="A14" s="12" t="s">
        <v>1043</v>
      </c>
      <c r="F14" s="24">
        <f t="shared" si="10"/>
        <v>0</v>
      </c>
      <c r="G14" s="24" t="e">
        <f t="shared" si="7"/>
        <v>#DIV/0!</v>
      </c>
      <c r="Q14" s="29" t="str">
        <f t="shared" ref="Q14:Q15" si="29">IFERROR($B14*$E14/H14,"NA")</f>
        <v>NA</v>
      </c>
      <c r="R14" s="29" t="str">
        <f t="shared" ref="R14:R15" si="30">IFERROR($B14*$E14/I14,"NA")</f>
        <v>NA</v>
      </c>
      <c r="S14" s="29" t="str">
        <f t="shared" ref="S14:S15" si="31">IFERROR($B14*$E14/J14,"NA")</f>
        <v>NA</v>
      </c>
      <c r="T14" s="29" t="str">
        <f t="shared" ref="T14:T15" si="32">IFERROR($B14*$E14/K14,"NA")</f>
        <v>NA</v>
      </c>
      <c r="U14" s="29" t="str">
        <f t="shared" ref="U14:U15" si="33">IFERROR($B14*$E14/L14,"NA")</f>
        <v>NA</v>
      </c>
      <c r="V14" s="29" t="str">
        <f t="shared" ref="V14:V15" si="34">IFERROR($B14*$E14/M14,"NA")</f>
        <v>NA</v>
      </c>
      <c r="W14" s="29" t="str">
        <f t="shared" ref="W14:W15" si="35">IFERROR($B14*$E14/N14,"NA")</f>
        <v>NA</v>
      </c>
      <c r="X14" s="29" t="str">
        <f t="shared" ref="X14:X15" si="36">IFERROR($B14*$E14/O14,"NA")</f>
        <v>NA</v>
      </c>
      <c r="Y14" s="29" t="str">
        <f t="shared" ref="Y14:Y15" si="37">IFERROR($B14*$E14/P14,"NA")</f>
        <v>NA</v>
      </c>
      <c r="Z14" s="29" t="str">
        <f t="shared" ref="Z14:Z15" si="38">IFERROR((($G14*Z$2/1000)+Q14)/1,"NA")</f>
        <v>NA</v>
      </c>
      <c r="AA14" s="29" t="str">
        <f t="shared" ref="AA14:AA15" si="39">IFERROR((($G14*AA$2/1000)+R14)/1,"NA")</f>
        <v>NA</v>
      </c>
      <c r="AB14" s="29" t="str">
        <f t="shared" ref="AB14:AB15" si="40">IFERROR((($G14*AB$2/1000)+S14)/1,"NA")</f>
        <v>NA</v>
      </c>
      <c r="AC14" s="29" t="str">
        <f t="shared" ref="AC14:AC15" si="41">IFERROR((($G14*AC$2/1000)+T14)/1,"NA")</f>
        <v>NA</v>
      </c>
      <c r="AD14" s="29" t="str">
        <f t="shared" ref="AD14:AD15" si="42">IFERROR((($G14*AD$2/1000)+U14)/1,"NA")</f>
        <v>NA</v>
      </c>
      <c r="AE14" s="29" t="str">
        <f t="shared" ref="AE14:AE15" si="43">IFERROR((($G14*AE$2/1000)+V14)/1,"NA")</f>
        <v>NA</v>
      </c>
      <c r="AF14" s="29" t="str">
        <f t="shared" ref="AF14:AF15" si="44">IFERROR((($G14*AF$2/1000)+W14)/1,"NA")</f>
        <v>NA</v>
      </c>
      <c r="AG14" s="29" t="str">
        <f t="shared" ref="AG14:AG15" si="45">IFERROR((($G14*AG$2/1000)+X14)/1,"NA")</f>
        <v>NA</v>
      </c>
      <c r="AH14" s="29" t="str">
        <f t="shared" ref="AH14:AH15" si="46">IFERROR((($G14*AH$2/1000)+Y14)/1,"NA")</f>
        <v>NA</v>
      </c>
    </row>
    <row r="15" customHeight="1" spans="1:34">
      <c r="A15" s="12" t="s">
        <v>1043</v>
      </c>
      <c r="F15" s="24">
        <f t="shared" si="10"/>
        <v>0</v>
      </c>
      <c r="G15" s="24" t="e">
        <f t="shared" si="7"/>
        <v>#DIV/0!</v>
      </c>
      <c r="Q15" s="29" t="str">
        <f t="shared" si="29"/>
        <v>NA</v>
      </c>
      <c r="R15" s="29" t="str">
        <f t="shared" si="30"/>
        <v>NA</v>
      </c>
      <c r="S15" s="29" t="str">
        <f t="shared" si="31"/>
        <v>NA</v>
      </c>
      <c r="T15" s="29" t="str">
        <f t="shared" si="32"/>
        <v>NA</v>
      </c>
      <c r="U15" s="29" t="str">
        <f t="shared" si="33"/>
        <v>NA</v>
      </c>
      <c r="V15" s="29" t="str">
        <f t="shared" si="34"/>
        <v>NA</v>
      </c>
      <c r="W15" s="29" t="str">
        <f t="shared" si="35"/>
        <v>NA</v>
      </c>
      <c r="X15" s="29" t="str">
        <f t="shared" si="36"/>
        <v>NA</v>
      </c>
      <c r="Y15" s="29" t="str">
        <f t="shared" si="37"/>
        <v>NA</v>
      </c>
      <c r="Z15" s="29" t="str">
        <f t="shared" si="38"/>
        <v>NA</v>
      </c>
      <c r="AA15" s="29" t="str">
        <f t="shared" si="39"/>
        <v>NA</v>
      </c>
      <c r="AB15" s="29" t="str">
        <f t="shared" si="40"/>
        <v>NA</v>
      </c>
      <c r="AC15" s="29" t="str">
        <f t="shared" si="41"/>
        <v>NA</v>
      </c>
      <c r="AD15" s="29" t="str">
        <f t="shared" si="42"/>
        <v>NA</v>
      </c>
      <c r="AE15" s="29" t="str">
        <f t="shared" si="43"/>
        <v>NA</v>
      </c>
      <c r="AF15" s="29" t="str">
        <f t="shared" si="44"/>
        <v>NA</v>
      </c>
      <c r="AG15" s="29" t="str">
        <f t="shared" si="45"/>
        <v>NA</v>
      </c>
      <c r="AH15" s="29" t="str">
        <f t="shared" si="46"/>
        <v>NA</v>
      </c>
    </row>
    <row r="16" customHeight="1" spans="1:34">
      <c r="A16" s="12" t="s">
        <v>1043</v>
      </c>
      <c r="F16" s="24">
        <f t="shared" si="10"/>
        <v>0</v>
      </c>
      <c r="G16" s="24" t="e">
        <f t="shared" si="7"/>
        <v>#DIV/0!</v>
      </c>
      <c r="Q16" s="29" t="str">
        <f t="shared" ref="Q16:Q79" si="47">IFERROR($B16*$E16/H16,"NA")</f>
        <v>NA</v>
      </c>
      <c r="R16" s="29" t="str">
        <f t="shared" ref="R16:R79" si="48">IFERROR($B16*$E16/I16,"NA")</f>
        <v>NA</v>
      </c>
      <c r="S16" s="29" t="str">
        <f t="shared" ref="S16:S79" si="49">IFERROR($B16*$E16/J16,"NA")</f>
        <v>NA</v>
      </c>
      <c r="T16" s="29" t="str">
        <f t="shared" ref="T16:T79" si="50">IFERROR($B16*$E16/K16,"NA")</f>
        <v>NA</v>
      </c>
      <c r="U16" s="29" t="str">
        <f t="shared" ref="U16:U79" si="51">IFERROR($B16*$E16/L16,"NA")</f>
        <v>NA</v>
      </c>
      <c r="V16" s="29" t="str">
        <f t="shared" ref="V16:V79" si="52">IFERROR($B16*$E16/M16,"NA")</f>
        <v>NA</v>
      </c>
      <c r="W16" s="29" t="str">
        <f t="shared" ref="W16:W79" si="53">IFERROR($B16*$E16/N16,"NA")</f>
        <v>NA</v>
      </c>
      <c r="X16" s="29" t="str">
        <f t="shared" ref="X16:X79" si="54">IFERROR($B16*$E16/O16,"NA")</f>
        <v>NA</v>
      </c>
      <c r="Y16" s="29" t="str">
        <f t="shared" ref="Y16:Y79" si="55">IFERROR($B16*$E16/P16,"NA")</f>
        <v>NA</v>
      </c>
      <c r="Z16" s="29" t="str">
        <f t="shared" ref="Z16:Z79" si="56">IFERROR((($G16*Z$2/1000)+Q16)/1,"NA")</f>
        <v>NA</v>
      </c>
      <c r="AA16" s="29" t="str">
        <f t="shared" ref="AA16:AA79" si="57">IFERROR((($G16*AA$2/1000)+R16)/1,"NA")</f>
        <v>NA</v>
      </c>
      <c r="AB16" s="29" t="str">
        <f t="shared" ref="AB16:AB79" si="58">IFERROR((($G16*AB$2/1000)+S16)/1,"NA")</f>
        <v>NA</v>
      </c>
      <c r="AC16" s="29" t="str">
        <f t="shared" ref="AC16:AC79" si="59">IFERROR((($G16*AC$2/1000)+T16)/1,"NA")</f>
        <v>NA</v>
      </c>
      <c r="AD16" s="29" t="str">
        <f t="shared" ref="AD16:AD79" si="60">IFERROR((($G16*AD$2/1000)+U16)/1,"NA")</f>
        <v>NA</v>
      </c>
      <c r="AE16" s="29" t="str">
        <f t="shared" ref="AE16:AE79" si="61">IFERROR((($G16*AE$2/1000)+V16)/1,"NA")</f>
        <v>NA</v>
      </c>
      <c r="AF16" s="29" t="str">
        <f t="shared" ref="AF16:AF79" si="62">IFERROR((($G16*AF$2/1000)+W16)/1,"NA")</f>
        <v>NA</v>
      </c>
      <c r="AG16" s="29" t="str">
        <f t="shared" ref="AG16:AG79" si="63">IFERROR((($G16*AG$2/1000)+X16)/1,"NA")</f>
        <v>NA</v>
      </c>
      <c r="AH16" s="29" t="str">
        <f t="shared" ref="AH16:AH79" si="64">IFERROR((($G16*AH$2/1000)+Y16)/1,"NA")</f>
        <v>NA</v>
      </c>
    </row>
    <row r="17" customHeight="1" spans="1:34">
      <c r="A17" s="12" t="s">
        <v>1043</v>
      </c>
      <c r="F17" s="24">
        <f t="shared" si="10"/>
        <v>0</v>
      </c>
      <c r="G17" s="24" t="e">
        <f t="shared" si="7"/>
        <v>#DIV/0!</v>
      </c>
      <c r="Q17" s="29" t="str">
        <f t="shared" si="47"/>
        <v>NA</v>
      </c>
      <c r="R17" s="29" t="str">
        <f t="shared" si="48"/>
        <v>NA</v>
      </c>
      <c r="S17" s="29" t="str">
        <f t="shared" si="49"/>
        <v>NA</v>
      </c>
      <c r="T17" s="29" t="str">
        <f t="shared" si="50"/>
        <v>NA</v>
      </c>
      <c r="U17" s="29" t="str">
        <f t="shared" si="51"/>
        <v>NA</v>
      </c>
      <c r="V17" s="29" t="str">
        <f t="shared" si="52"/>
        <v>NA</v>
      </c>
      <c r="W17" s="29" t="str">
        <f t="shared" si="53"/>
        <v>NA</v>
      </c>
      <c r="X17" s="29" t="str">
        <f t="shared" si="54"/>
        <v>NA</v>
      </c>
      <c r="Y17" s="29" t="str">
        <f t="shared" si="55"/>
        <v>NA</v>
      </c>
      <c r="Z17" s="29" t="str">
        <f t="shared" si="56"/>
        <v>NA</v>
      </c>
      <c r="AA17" s="29" t="str">
        <f t="shared" si="57"/>
        <v>NA</v>
      </c>
      <c r="AB17" s="29" t="str">
        <f t="shared" si="58"/>
        <v>NA</v>
      </c>
      <c r="AC17" s="29" t="str">
        <f t="shared" si="59"/>
        <v>NA</v>
      </c>
      <c r="AD17" s="29" t="str">
        <f t="shared" si="60"/>
        <v>NA</v>
      </c>
      <c r="AE17" s="29" t="str">
        <f t="shared" si="61"/>
        <v>NA</v>
      </c>
      <c r="AF17" s="29" t="str">
        <f t="shared" si="62"/>
        <v>NA</v>
      </c>
      <c r="AG17" s="29" t="str">
        <f t="shared" si="63"/>
        <v>NA</v>
      </c>
      <c r="AH17" s="29" t="str">
        <f t="shared" si="64"/>
        <v>NA</v>
      </c>
    </row>
    <row r="18" customHeight="1" spans="1:34">
      <c r="A18" s="12" t="s">
        <v>1043</v>
      </c>
      <c r="F18" s="24">
        <f t="shared" si="10"/>
        <v>0</v>
      </c>
      <c r="G18" s="24" t="e">
        <f t="shared" si="7"/>
        <v>#DIV/0!</v>
      </c>
      <c r="Q18" s="29" t="str">
        <f t="shared" si="47"/>
        <v>NA</v>
      </c>
      <c r="R18" s="29" t="str">
        <f t="shared" si="48"/>
        <v>NA</v>
      </c>
      <c r="S18" s="29" t="str">
        <f t="shared" si="49"/>
        <v>NA</v>
      </c>
      <c r="T18" s="29" t="str">
        <f t="shared" si="50"/>
        <v>NA</v>
      </c>
      <c r="U18" s="29" t="str">
        <f t="shared" si="51"/>
        <v>NA</v>
      </c>
      <c r="V18" s="29" t="str">
        <f t="shared" si="52"/>
        <v>NA</v>
      </c>
      <c r="W18" s="29" t="str">
        <f t="shared" si="53"/>
        <v>NA</v>
      </c>
      <c r="X18" s="29" t="str">
        <f t="shared" si="54"/>
        <v>NA</v>
      </c>
      <c r="Y18" s="29" t="str">
        <f t="shared" si="55"/>
        <v>NA</v>
      </c>
      <c r="Z18" s="29" t="str">
        <f t="shared" si="56"/>
        <v>NA</v>
      </c>
      <c r="AA18" s="29" t="str">
        <f t="shared" si="57"/>
        <v>NA</v>
      </c>
      <c r="AB18" s="29" t="str">
        <f t="shared" si="58"/>
        <v>NA</v>
      </c>
      <c r="AC18" s="29" t="str">
        <f t="shared" si="59"/>
        <v>NA</v>
      </c>
      <c r="AD18" s="29" t="str">
        <f t="shared" si="60"/>
        <v>NA</v>
      </c>
      <c r="AE18" s="29" t="str">
        <f t="shared" si="61"/>
        <v>NA</v>
      </c>
      <c r="AF18" s="29" t="str">
        <f t="shared" si="62"/>
        <v>NA</v>
      </c>
      <c r="AG18" s="29" t="str">
        <f t="shared" si="63"/>
        <v>NA</v>
      </c>
      <c r="AH18" s="29" t="str">
        <f t="shared" si="64"/>
        <v>NA</v>
      </c>
    </row>
    <row r="19" customHeight="1" spans="1:34">
      <c r="A19" s="12" t="s">
        <v>1043</v>
      </c>
      <c r="F19" s="24">
        <f t="shared" si="10"/>
        <v>0</v>
      </c>
      <c r="G19" s="24" t="e">
        <f t="shared" si="7"/>
        <v>#DIV/0!</v>
      </c>
      <c r="Q19" s="29" t="str">
        <f t="shared" si="47"/>
        <v>NA</v>
      </c>
      <c r="R19" s="29" t="str">
        <f t="shared" si="48"/>
        <v>NA</v>
      </c>
      <c r="S19" s="29" t="str">
        <f t="shared" si="49"/>
        <v>NA</v>
      </c>
      <c r="T19" s="29" t="str">
        <f t="shared" si="50"/>
        <v>NA</v>
      </c>
      <c r="U19" s="29" t="str">
        <f t="shared" si="51"/>
        <v>NA</v>
      </c>
      <c r="V19" s="29" t="str">
        <f t="shared" si="52"/>
        <v>NA</v>
      </c>
      <c r="W19" s="29" t="str">
        <f t="shared" si="53"/>
        <v>NA</v>
      </c>
      <c r="X19" s="29" t="str">
        <f t="shared" si="54"/>
        <v>NA</v>
      </c>
      <c r="Y19" s="29" t="str">
        <f t="shared" si="55"/>
        <v>NA</v>
      </c>
      <c r="Z19" s="29" t="str">
        <f t="shared" si="56"/>
        <v>NA</v>
      </c>
      <c r="AA19" s="29" t="str">
        <f t="shared" si="57"/>
        <v>NA</v>
      </c>
      <c r="AB19" s="29" t="str">
        <f t="shared" si="58"/>
        <v>NA</v>
      </c>
      <c r="AC19" s="29" t="str">
        <f t="shared" si="59"/>
        <v>NA</v>
      </c>
      <c r="AD19" s="29" t="str">
        <f t="shared" si="60"/>
        <v>NA</v>
      </c>
      <c r="AE19" s="29" t="str">
        <f t="shared" si="61"/>
        <v>NA</v>
      </c>
      <c r="AF19" s="29" t="str">
        <f t="shared" si="62"/>
        <v>NA</v>
      </c>
      <c r="AG19" s="29" t="str">
        <f t="shared" si="63"/>
        <v>NA</v>
      </c>
      <c r="AH19" s="29" t="str">
        <f t="shared" si="64"/>
        <v>NA</v>
      </c>
    </row>
    <row r="20" customHeight="1" spans="1:34">
      <c r="A20" s="12" t="s">
        <v>1043</v>
      </c>
      <c r="F20" s="24">
        <f t="shared" si="10"/>
        <v>0</v>
      </c>
      <c r="G20" s="24" t="e">
        <f t="shared" si="7"/>
        <v>#DIV/0!</v>
      </c>
      <c r="Q20" s="29" t="str">
        <f t="shared" si="47"/>
        <v>NA</v>
      </c>
      <c r="R20" s="29" t="str">
        <f t="shared" si="48"/>
        <v>NA</v>
      </c>
      <c r="S20" s="29" t="str">
        <f t="shared" si="49"/>
        <v>NA</v>
      </c>
      <c r="T20" s="29" t="str">
        <f t="shared" si="50"/>
        <v>NA</v>
      </c>
      <c r="U20" s="29" t="str">
        <f t="shared" si="51"/>
        <v>NA</v>
      </c>
      <c r="V20" s="29" t="str">
        <f t="shared" si="52"/>
        <v>NA</v>
      </c>
      <c r="W20" s="29" t="str">
        <f t="shared" si="53"/>
        <v>NA</v>
      </c>
      <c r="X20" s="29" t="str">
        <f t="shared" si="54"/>
        <v>NA</v>
      </c>
      <c r="Y20" s="29" t="str">
        <f t="shared" si="55"/>
        <v>NA</v>
      </c>
      <c r="Z20" s="29" t="str">
        <f t="shared" si="56"/>
        <v>NA</v>
      </c>
      <c r="AA20" s="29" t="str">
        <f t="shared" si="57"/>
        <v>NA</v>
      </c>
      <c r="AB20" s="29" t="str">
        <f t="shared" si="58"/>
        <v>NA</v>
      </c>
      <c r="AC20" s="29" t="str">
        <f t="shared" si="59"/>
        <v>NA</v>
      </c>
      <c r="AD20" s="29" t="str">
        <f t="shared" si="60"/>
        <v>NA</v>
      </c>
      <c r="AE20" s="29" t="str">
        <f t="shared" si="61"/>
        <v>NA</v>
      </c>
      <c r="AF20" s="29" t="str">
        <f t="shared" si="62"/>
        <v>NA</v>
      </c>
      <c r="AG20" s="29" t="str">
        <f t="shared" si="63"/>
        <v>NA</v>
      </c>
      <c r="AH20" s="29" t="str">
        <f t="shared" si="64"/>
        <v>NA</v>
      </c>
    </row>
    <row r="21" customHeight="1" spans="1:34">
      <c r="A21" s="12" t="s">
        <v>1043</v>
      </c>
      <c r="F21" s="24">
        <f t="shared" si="10"/>
        <v>0</v>
      </c>
      <c r="G21" s="24" t="e">
        <f t="shared" si="7"/>
        <v>#DIV/0!</v>
      </c>
      <c r="Q21" s="29" t="str">
        <f t="shared" si="47"/>
        <v>NA</v>
      </c>
      <c r="R21" s="29" t="str">
        <f t="shared" si="48"/>
        <v>NA</v>
      </c>
      <c r="S21" s="29" t="str">
        <f t="shared" si="49"/>
        <v>NA</v>
      </c>
      <c r="T21" s="29" t="str">
        <f t="shared" si="50"/>
        <v>NA</v>
      </c>
      <c r="U21" s="29" t="str">
        <f t="shared" si="51"/>
        <v>NA</v>
      </c>
      <c r="V21" s="29" t="str">
        <f t="shared" si="52"/>
        <v>NA</v>
      </c>
      <c r="W21" s="29" t="str">
        <f t="shared" si="53"/>
        <v>NA</v>
      </c>
      <c r="X21" s="29" t="str">
        <f t="shared" si="54"/>
        <v>NA</v>
      </c>
      <c r="Y21" s="29" t="str">
        <f t="shared" si="55"/>
        <v>NA</v>
      </c>
      <c r="Z21" s="29" t="str">
        <f t="shared" si="56"/>
        <v>NA</v>
      </c>
      <c r="AA21" s="29" t="str">
        <f t="shared" si="57"/>
        <v>NA</v>
      </c>
      <c r="AB21" s="29" t="str">
        <f t="shared" si="58"/>
        <v>NA</v>
      </c>
      <c r="AC21" s="29" t="str">
        <f t="shared" si="59"/>
        <v>NA</v>
      </c>
      <c r="AD21" s="29" t="str">
        <f t="shared" si="60"/>
        <v>NA</v>
      </c>
      <c r="AE21" s="29" t="str">
        <f t="shared" si="61"/>
        <v>NA</v>
      </c>
      <c r="AF21" s="29" t="str">
        <f t="shared" si="62"/>
        <v>NA</v>
      </c>
      <c r="AG21" s="29" t="str">
        <f t="shared" si="63"/>
        <v>NA</v>
      </c>
      <c r="AH21" s="29" t="str">
        <f t="shared" si="64"/>
        <v>NA</v>
      </c>
    </row>
    <row r="22" customHeight="1" spans="1:34">
      <c r="A22" s="12" t="s">
        <v>1043</v>
      </c>
      <c r="F22" s="24">
        <f t="shared" si="10"/>
        <v>0</v>
      </c>
      <c r="G22" s="24" t="e">
        <f t="shared" si="7"/>
        <v>#DIV/0!</v>
      </c>
      <c r="Q22" s="29" t="str">
        <f t="shared" si="47"/>
        <v>NA</v>
      </c>
      <c r="R22" s="29" t="str">
        <f t="shared" si="48"/>
        <v>NA</v>
      </c>
      <c r="S22" s="29" t="str">
        <f t="shared" si="49"/>
        <v>NA</v>
      </c>
      <c r="T22" s="29" t="str">
        <f t="shared" si="50"/>
        <v>NA</v>
      </c>
      <c r="U22" s="29" t="str">
        <f t="shared" si="51"/>
        <v>NA</v>
      </c>
      <c r="V22" s="29" t="str">
        <f t="shared" si="52"/>
        <v>NA</v>
      </c>
      <c r="W22" s="29" t="str">
        <f t="shared" si="53"/>
        <v>NA</v>
      </c>
      <c r="X22" s="29" t="str">
        <f t="shared" si="54"/>
        <v>NA</v>
      </c>
      <c r="Y22" s="29" t="str">
        <f t="shared" si="55"/>
        <v>NA</v>
      </c>
      <c r="Z22" s="29" t="str">
        <f t="shared" si="56"/>
        <v>NA</v>
      </c>
      <c r="AA22" s="29" t="str">
        <f t="shared" si="57"/>
        <v>NA</v>
      </c>
      <c r="AB22" s="29" t="str">
        <f t="shared" si="58"/>
        <v>NA</v>
      </c>
      <c r="AC22" s="29" t="str">
        <f t="shared" si="59"/>
        <v>NA</v>
      </c>
      <c r="AD22" s="29" t="str">
        <f t="shared" si="60"/>
        <v>NA</v>
      </c>
      <c r="AE22" s="29" t="str">
        <f t="shared" si="61"/>
        <v>NA</v>
      </c>
      <c r="AF22" s="29" t="str">
        <f t="shared" si="62"/>
        <v>NA</v>
      </c>
      <c r="AG22" s="29" t="str">
        <f t="shared" si="63"/>
        <v>NA</v>
      </c>
      <c r="AH22" s="29" t="str">
        <f t="shared" si="64"/>
        <v>NA</v>
      </c>
    </row>
    <row r="23" customHeight="1" spans="1:34">
      <c r="A23" s="12" t="s">
        <v>1043</v>
      </c>
      <c r="F23" s="24">
        <f t="shared" si="10"/>
        <v>0</v>
      </c>
      <c r="G23" s="24" t="e">
        <f t="shared" si="7"/>
        <v>#DIV/0!</v>
      </c>
      <c r="Q23" s="29" t="str">
        <f t="shared" si="47"/>
        <v>NA</v>
      </c>
      <c r="R23" s="29" t="str">
        <f t="shared" si="48"/>
        <v>NA</v>
      </c>
      <c r="S23" s="29" t="str">
        <f t="shared" si="49"/>
        <v>NA</v>
      </c>
      <c r="T23" s="29" t="str">
        <f t="shared" si="50"/>
        <v>NA</v>
      </c>
      <c r="U23" s="29" t="str">
        <f t="shared" si="51"/>
        <v>NA</v>
      </c>
      <c r="V23" s="29" t="str">
        <f t="shared" si="52"/>
        <v>NA</v>
      </c>
      <c r="W23" s="29" t="str">
        <f t="shared" si="53"/>
        <v>NA</v>
      </c>
      <c r="X23" s="29" t="str">
        <f t="shared" si="54"/>
        <v>NA</v>
      </c>
      <c r="Y23" s="29" t="str">
        <f t="shared" si="55"/>
        <v>NA</v>
      </c>
      <c r="Z23" s="29" t="str">
        <f t="shared" si="56"/>
        <v>NA</v>
      </c>
      <c r="AA23" s="29" t="str">
        <f t="shared" si="57"/>
        <v>NA</v>
      </c>
      <c r="AB23" s="29" t="str">
        <f t="shared" si="58"/>
        <v>NA</v>
      </c>
      <c r="AC23" s="29" t="str">
        <f t="shared" si="59"/>
        <v>NA</v>
      </c>
      <c r="AD23" s="29" t="str">
        <f t="shared" si="60"/>
        <v>NA</v>
      </c>
      <c r="AE23" s="29" t="str">
        <f t="shared" si="61"/>
        <v>NA</v>
      </c>
      <c r="AF23" s="29" t="str">
        <f t="shared" si="62"/>
        <v>NA</v>
      </c>
      <c r="AG23" s="29" t="str">
        <f t="shared" si="63"/>
        <v>NA</v>
      </c>
      <c r="AH23" s="29" t="str">
        <f t="shared" si="64"/>
        <v>NA</v>
      </c>
    </row>
    <row r="24" customHeight="1" spans="1:34">
      <c r="A24" s="12" t="s">
        <v>1043</v>
      </c>
      <c r="F24" s="24">
        <f t="shared" si="10"/>
        <v>0</v>
      </c>
      <c r="G24" s="24" t="e">
        <f t="shared" si="7"/>
        <v>#DIV/0!</v>
      </c>
      <c r="Q24" s="29" t="str">
        <f t="shared" si="47"/>
        <v>NA</v>
      </c>
      <c r="R24" s="29" t="str">
        <f t="shared" si="48"/>
        <v>NA</v>
      </c>
      <c r="S24" s="29" t="str">
        <f t="shared" si="49"/>
        <v>NA</v>
      </c>
      <c r="T24" s="29" t="str">
        <f t="shared" si="50"/>
        <v>NA</v>
      </c>
      <c r="U24" s="29" t="str">
        <f t="shared" si="51"/>
        <v>NA</v>
      </c>
      <c r="V24" s="29" t="str">
        <f t="shared" si="52"/>
        <v>NA</v>
      </c>
      <c r="W24" s="29" t="str">
        <f t="shared" si="53"/>
        <v>NA</v>
      </c>
      <c r="X24" s="29" t="str">
        <f t="shared" si="54"/>
        <v>NA</v>
      </c>
      <c r="Y24" s="29" t="str">
        <f t="shared" si="55"/>
        <v>NA</v>
      </c>
      <c r="Z24" s="29" t="str">
        <f t="shared" si="56"/>
        <v>NA</v>
      </c>
      <c r="AA24" s="29" t="str">
        <f t="shared" si="57"/>
        <v>NA</v>
      </c>
      <c r="AB24" s="29" t="str">
        <f t="shared" si="58"/>
        <v>NA</v>
      </c>
      <c r="AC24" s="29" t="str">
        <f t="shared" si="59"/>
        <v>NA</v>
      </c>
      <c r="AD24" s="29" t="str">
        <f t="shared" si="60"/>
        <v>NA</v>
      </c>
      <c r="AE24" s="29" t="str">
        <f t="shared" si="61"/>
        <v>NA</v>
      </c>
      <c r="AF24" s="29" t="str">
        <f t="shared" si="62"/>
        <v>NA</v>
      </c>
      <c r="AG24" s="29" t="str">
        <f t="shared" si="63"/>
        <v>NA</v>
      </c>
      <c r="AH24" s="29" t="str">
        <f t="shared" si="64"/>
        <v>NA</v>
      </c>
    </row>
    <row r="25" customHeight="1" spans="1:34">
      <c r="A25" s="12" t="s">
        <v>1043</v>
      </c>
      <c r="F25" s="24">
        <f t="shared" si="10"/>
        <v>0</v>
      </c>
      <c r="G25" s="24" t="e">
        <f t="shared" si="7"/>
        <v>#DIV/0!</v>
      </c>
      <c r="Q25" s="29" t="str">
        <f t="shared" si="47"/>
        <v>NA</v>
      </c>
      <c r="R25" s="29" t="str">
        <f t="shared" si="48"/>
        <v>NA</v>
      </c>
      <c r="S25" s="29" t="str">
        <f t="shared" si="49"/>
        <v>NA</v>
      </c>
      <c r="T25" s="29" t="str">
        <f t="shared" si="50"/>
        <v>NA</v>
      </c>
      <c r="U25" s="29" t="str">
        <f t="shared" si="51"/>
        <v>NA</v>
      </c>
      <c r="V25" s="29" t="str">
        <f t="shared" si="52"/>
        <v>NA</v>
      </c>
      <c r="W25" s="29" t="str">
        <f t="shared" si="53"/>
        <v>NA</v>
      </c>
      <c r="X25" s="29" t="str">
        <f t="shared" si="54"/>
        <v>NA</v>
      </c>
      <c r="Y25" s="29" t="str">
        <f t="shared" si="55"/>
        <v>NA</v>
      </c>
      <c r="Z25" s="29" t="str">
        <f t="shared" si="56"/>
        <v>NA</v>
      </c>
      <c r="AA25" s="29" t="str">
        <f t="shared" si="57"/>
        <v>NA</v>
      </c>
      <c r="AB25" s="29" t="str">
        <f t="shared" si="58"/>
        <v>NA</v>
      </c>
      <c r="AC25" s="29" t="str">
        <f t="shared" si="59"/>
        <v>NA</v>
      </c>
      <c r="AD25" s="29" t="str">
        <f t="shared" si="60"/>
        <v>NA</v>
      </c>
      <c r="AE25" s="29" t="str">
        <f t="shared" si="61"/>
        <v>NA</v>
      </c>
      <c r="AF25" s="29" t="str">
        <f t="shared" si="62"/>
        <v>NA</v>
      </c>
      <c r="AG25" s="29" t="str">
        <f t="shared" si="63"/>
        <v>NA</v>
      </c>
      <c r="AH25" s="29" t="str">
        <f t="shared" si="64"/>
        <v>NA</v>
      </c>
    </row>
    <row r="26" customHeight="1" spans="1:34">
      <c r="A26" s="12" t="s">
        <v>1043</v>
      </c>
      <c r="F26" s="24">
        <f t="shared" si="10"/>
        <v>0</v>
      </c>
      <c r="G26" s="24" t="e">
        <f t="shared" si="7"/>
        <v>#DIV/0!</v>
      </c>
      <c r="Q26" s="29" t="str">
        <f t="shared" si="47"/>
        <v>NA</v>
      </c>
      <c r="R26" s="29" t="str">
        <f t="shared" si="48"/>
        <v>NA</v>
      </c>
      <c r="S26" s="29" t="str">
        <f t="shared" si="49"/>
        <v>NA</v>
      </c>
      <c r="T26" s="29" t="str">
        <f t="shared" si="50"/>
        <v>NA</v>
      </c>
      <c r="U26" s="29" t="str">
        <f t="shared" si="51"/>
        <v>NA</v>
      </c>
      <c r="V26" s="29" t="str">
        <f t="shared" si="52"/>
        <v>NA</v>
      </c>
      <c r="W26" s="29" t="str">
        <f t="shared" si="53"/>
        <v>NA</v>
      </c>
      <c r="X26" s="29" t="str">
        <f t="shared" si="54"/>
        <v>NA</v>
      </c>
      <c r="Y26" s="29" t="str">
        <f t="shared" si="55"/>
        <v>NA</v>
      </c>
      <c r="Z26" s="29" t="str">
        <f t="shared" si="56"/>
        <v>NA</v>
      </c>
      <c r="AA26" s="29" t="str">
        <f t="shared" si="57"/>
        <v>NA</v>
      </c>
      <c r="AB26" s="29" t="str">
        <f t="shared" si="58"/>
        <v>NA</v>
      </c>
      <c r="AC26" s="29" t="str">
        <f t="shared" si="59"/>
        <v>NA</v>
      </c>
      <c r="AD26" s="29" t="str">
        <f t="shared" si="60"/>
        <v>NA</v>
      </c>
      <c r="AE26" s="29" t="str">
        <f t="shared" si="61"/>
        <v>NA</v>
      </c>
      <c r="AF26" s="29" t="str">
        <f t="shared" si="62"/>
        <v>NA</v>
      </c>
      <c r="AG26" s="29" t="str">
        <f t="shared" si="63"/>
        <v>NA</v>
      </c>
      <c r="AH26" s="29" t="str">
        <f t="shared" si="64"/>
        <v>NA</v>
      </c>
    </row>
    <row r="27" customHeight="1" spans="1:34">
      <c r="A27" s="12" t="s">
        <v>1043</v>
      </c>
      <c r="F27" s="24">
        <f t="shared" si="10"/>
        <v>0</v>
      </c>
      <c r="G27" s="24" t="e">
        <f t="shared" si="7"/>
        <v>#DIV/0!</v>
      </c>
      <c r="Q27" s="29" t="str">
        <f t="shared" si="47"/>
        <v>NA</v>
      </c>
      <c r="R27" s="29" t="str">
        <f t="shared" si="48"/>
        <v>NA</v>
      </c>
      <c r="S27" s="29" t="str">
        <f t="shared" si="49"/>
        <v>NA</v>
      </c>
      <c r="T27" s="29" t="str">
        <f t="shared" si="50"/>
        <v>NA</v>
      </c>
      <c r="U27" s="29" t="str">
        <f t="shared" si="51"/>
        <v>NA</v>
      </c>
      <c r="V27" s="29" t="str">
        <f t="shared" si="52"/>
        <v>NA</v>
      </c>
      <c r="W27" s="29" t="str">
        <f t="shared" si="53"/>
        <v>NA</v>
      </c>
      <c r="X27" s="29" t="str">
        <f t="shared" si="54"/>
        <v>NA</v>
      </c>
      <c r="Y27" s="29" t="str">
        <f t="shared" si="55"/>
        <v>NA</v>
      </c>
      <c r="Z27" s="29" t="str">
        <f t="shared" si="56"/>
        <v>NA</v>
      </c>
      <c r="AA27" s="29" t="str">
        <f t="shared" si="57"/>
        <v>NA</v>
      </c>
      <c r="AB27" s="29" t="str">
        <f t="shared" si="58"/>
        <v>NA</v>
      </c>
      <c r="AC27" s="29" t="str">
        <f t="shared" si="59"/>
        <v>NA</v>
      </c>
      <c r="AD27" s="29" t="str">
        <f t="shared" si="60"/>
        <v>NA</v>
      </c>
      <c r="AE27" s="29" t="str">
        <f t="shared" si="61"/>
        <v>NA</v>
      </c>
      <c r="AF27" s="29" t="str">
        <f t="shared" si="62"/>
        <v>NA</v>
      </c>
      <c r="AG27" s="29" t="str">
        <f t="shared" si="63"/>
        <v>NA</v>
      </c>
      <c r="AH27" s="29" t="str">
        <f t="shared" si="64"/>
        <v>NA</v>
      </c>
    </row>
    <row r="28" customHeight="1" spans="1:34">
      <c r="A28" s="12" t="s">
        <v>1043</v>
      </c>
      <c r="F28" s="24">
        <f t="shared" si="10"/>
        <v>0</v>
      </c>
      <c r="G28" s="24" t="e">
        <f t="shared" si="7"/>
        <v>#DIV/0!</v>
      </c>
      <c r="Q28" s="29" t="str">
        <f t="shared" si="47"/>
        <v>NA</v>
      </c>
      <c r="R28" s="29" t="str">
        <f t="shared" si="48"/>
        <v>NA</v>
      </c>
      <c r="S28" s="29" t="str">
        <f t="shared" si="49"/>
        <v>NA</v>
      </c>
      <c r="T28" s="29" t="str">
        <f t="shared" si="50"/>
        <v>NA</v>
      </c>
      <c r="U28" s="29" t="str">
        <f t="shared" si="51"/>
        <v>NA</v>
      </c>
      <c r="V28" s="29" t="str">
        <f t="shared" si="52"/>
        <v>NA</v>
      </c>
      <c r="W28" s="29" t="str">
        <f t="shared" si="53"/>
        <v>NA</v>
      </c>
      <c r="X28" s="29" t="str">
        <f t="shared" si="54"/>
        <v>NA</v>
      </c>
      <c r="Y28" s="29" t="str">
        <f t="shared" si="55"/>
        <v>NA</v>
      </c>
      <c r="Z28" s="29" t="str">
        <f t="shared" si="56"/>
        <v>NA</v>
      </c>
      <c r="AA28" s="29" t="str">
        <f t="shared" si="57"/>
        <v>NA</v>
      </c>
      <c r="AB28" s="29" t="str">
        <f t="shared" si="58"/>
        <v>NA</v>
      </c>
      <c r="AC28" s="29" t="str">
        <f t="shared" si="59"/>
        <v>NA</v>
      </c>
      <c r="AD28" s="29" t="str">
        <f t="shared" si="60"/>
        <v>NA</v>
      </c>
      <c r="AE28" s="29" t="str">
        <f t="shared" si="61"/>
        <v>NA</v>
      </c>
      <c r="AF28" s="29" t="str">
        <f t="shared" si="62"/>
        <v>NA</v>
      </c>
      <c r="AG28" s="29" t="str">
        <f t="shared" si="63"/>
        <v>NA</v>
      </c>
      <c r="AH28" s="29" t="str">
        <f t="shared" si="64"/>
        <v>NA</v>
      </c>
    </row>
    <row r="29" customHeight="1" spans="1:34">
      <c r="A29" s="12" t="s">
        <v>1043</v>
      </c>
      <c r="F29" s="24">
        <f t="shared" si="10"/>
        <v>0</v>
      </c>
      <c r="G29" s="24" t="e">
        <f t="shared" si="7"/>
        <v>#DIV/0!</v>
      </c>
      <c r="Q29" s="29" t="str">
        <f t="shared" si="47"/>
        <v>NA</v>
      </c>
      <c r="R29" s="29" t="str">
        <f t="shared" si="48"/>
        <v>NA</v>
      </c>
      <c r="S29" s="29" t="str">
        <f t="shared" si="49"/>
        <v>NA</v>
      </c>
      <c r="T29" s="29" t="str">
        <f t="shared" si="50"/>
        <v>NA</v>
      </c>
      <c r="U29" s="29" t="str">
        <f t="shared" si="51"/>
        <v>NA</v>
      </c>
      <c r="V29" s="29" t="str">
        <f t="shared" si="52"/>
        <v>NA</v>
      </c>
      <c r="W29" s="29" t="str">
        <f t="shared" si="53"/>
        <v>NA</v>
      </c>
      <c r="X29" s="29" t="str">
        <f t="shared" si="54"/>
        <v>NA</v>
      </c>
      <c r="Y29" s="29" t="str">
        <f t="shared" si="55"/>
        <v>NA</v>
      </c>
      <c r="Z29" s="29" t="str">
        <f t="shared" si="56"/>
        <v>NA</v>
      </c>
      <c r="AA29" s="29" t="str">
        <f t="shared" si="57"/>
        <v>NA</v>
      </c>
      <c r="AB29" s="29" t="str">
        <f t="shared" si="58"/>
        <v>NA</v>
      </c>
      <c r="AC29" s="29" t="str">
        <f t="shared" si="59"/>
        <v>NA</v>
      </c>
      <c r="AD29" s="29" t="str">
        <f t="shared" si="60"/>
        <v>NA</v>
      </c>
      <c r="AE29" s="29" t="str">
        <f t="shared" si="61"/>
        <v>NA</v>
      </c>
      <c r="AF29" s="29" t="str">
        <f t="shared" si="62"/>
        <v>NA</v>
      </c>
      <c r="AG29" s="29" t="str">
        <f t="shared" si="63"/>
        <v>NA</v>
      </c>
      <c r="AH29" s="29" t="str">
        <f t="shared" si="64"/>
        <v>NA</v>
      </c>
    </row>
    <row r="30" customHeight="1" spans="1:34">
      <c r="A30" s="12" t="s">
        <v>1043</v>
      </c>
      <c r="F30" s="24">
        <f t="shared" si="10"/>
        <v>0</v>
      </c>
      <c r="G30" s="24" t="e">
        <f t="shared" si="7"/>
        <v>#DIV/0!</v>
      </c>
      <c r="Q30" s="29" t="str">
        <f t="shared" si="47"/>
        <v>NA</v>
      </c>
      <c r="R30" s="29" t="str">
        <f t="shared" si="48"/>
        <v>NA</v>
      </c>
      <c r="S30" s="29" t="str">
        <f t="shared" si="49"/>
        <v>NA</v>
      </c>
      <c r="T30" s="29" t="str">
        <f t="shared" si="50"/>
        <v>NA</v>
      </c>
      <c r="U30" s="29" t="str">
        <f t="shared" si="51"/>
        <v>NA</v>
      </c>
      <c r="V30" s="29" t="str">
        <f t="shared" si="52"/>
        <v>NA</v>
      </c>
      <c r="W30" s="29" t="str">
        <f t="shared" si="53"/>
        <v>NA</v>
      </c>
      <c r="X30" s="29" t="str">
        <f t="shared" si="54"/>
        <v>NA</v>
      </c>
      <c r="Y30" s="29" t="str">
        <f t="shared" si="55"/>
        <v>NA</v>
      </c>
      <c r="Z30" s="29" t="str">
        <f t="shared" si="56"/>
        <v>NA</v>
      </c>
      <c r="AA30" s="29" t="str">
        <f t="shared" si="57"/>
        <v>NA</v>
      </c>
      <c r="AB30" s="29" t="str">
        <f t="shared" si="58"/>
        <v>NA</v>
      </c>
      <c r="AC30" s="29" t="str">
        <f t="shared" si="59"/>
        <v>NA</v>
      </c>
      <c r="AD30" s="29" t="str">
        <f t="shared" si="60"/>
        <v>NA</v>
      </c>
      <c r="AE30" s="29" t="str">
        <f t="shared" si="61"/>
        <v>NA</v>
      </c>
      <c r="AF30" s="29" t="str">
        <f t="shared" si="62"/>
        <v>NA</v>
      </c>
      <c r="AG30" s="29" t="str">
        <f t="shared" si="63"/>
        <v>NA</v>
      </c>
      <c r="AH30" s="29" t="str">
        <f t="shared" si="64"/>
        <v>NA</v>
      </c>
    </row>
    <row r="31" customHeight="1" spans="1:34">
      <c r="A31" s="12" t="s">
        <v>1043</v>
      </c>
      <c r="F31" s="24">
        <f t="shared" si="10"/>
        <v>0</v>
      </c>
      <c r="G31" s="24" t="e">
        <f t="shared" si="7"/>
        <v>#DIV/0!</v>
      </c>
      <c r="Q31" s="29" t="str">
        <f t="shared" si="47"/>
        <v>NA</v>
      </c>
      <c r="R31" s="29" t="str">
        <f t="shared" si="48"/>
        <v>NA</v>
      </c>
      <c r="S31" s="29" t="str">
        <f t="shared" si="49"/>
        <v>NA</v>
      </c>
      <c r="T31" s="29" t="str">
        <f t="shared" si="50"/>
        <v>NA</v>
      </c>
      <c r="U31" s="29" t="str">
        <f t="shared" si="51"/>
        <v>NA</v>
      </c>
      <c r="V31" s="29" t="str">
        <f t="shared" si="52"/>
        <v>NA</v>
      </c>
      <c r="W31" s="29" t="str">
        <f t="shared" si="53"/>
        <v>NA</v>
      </c>
      <c r="X31" s="29" t="str">
        <f t="shared" si="54"/>
        <v>NA</v>
      </c>
      <c r="Y31" s="29" t="str">
        <f t="shared" si="55"/>
        <v>NA</v>
      </c>
      <c r="Z31" s="29" t="str">
        <f t="shared" si="56"/>
        <v>NA</v>
      </c>
      <c r="AA31" s="29" t="str">
        <f t="shared" si="57"/>
        <v>NA</v>
      </c>
      <c r="AB31" s="29" t="str">
        <f t="shared" si="58"/>
        <v>NA</v>
      </c>
      <c r="AC31" s="29" t="str">
        <f t="shared" si="59"/>
        <v>NA</v>
      </c>
      <c r="AD31" s="29" t="str">
        <f t="shared" si="60"/>
        <v>NA</v>
      </c>
      <c r="AE31" s="29" t="str">
        <f t="shared" si="61"/>
        <v>NA</v>
      </c>
      <c r="AF31" s="29" t="str">
        <f t="shared" si="62"/>
        <v>NA</v>
      </c>
      <c r="AG31" s="29" t="str">
        <f t="shared" si="63"/>
        <v>NA</v>
      </c>
      <c r="AH31" s="29" t="str">
        <f t="shared" si="64"/>
        <v>NA</v>
      </c>
    </row>
    <row r="32" customHeight="1" spans="1:34">
      <c r="A32" s="12" t="s">
        <v>1043</v>
      </c>
      <c r="F32" s="24">
        <f t="shared" si="10"/>
        <v>0</v>
      </c>
      <c r="G32" s="24" t="e">
        <f t="shared" si="7"/>
        <v>#DIV/0!</v>
      </c>
      <c r="Q32" s="29" t="str">
        <f t="shared" si="47"/>
        <v>NA</v>
      </c>
      <c r="R32" s="29" t="str">
        <f t="shared" si="48"/>
        <v>NA</v>
      </c>
      <c r="S32" s="29" t="str">
        <f t="shared" si="49"/>
        <v>NA</v>
      </c>
      <c r="T32" s="29" t="str">
        <f t="shared" si="50"/>
        <v>NA</v>
      </c>
      <c r="U32" s="29" t="str">
        <f t="shared" si="51"/>
        <v>NA</v>
      </c>
      <c r="V32" s="29" t="str">
        <f t="shared" si="52"/>
        <v>NA</v>
      </c>
      <c r="W32" s="29" t="str">
        <f t="shared" si="53"/>
        <v>NA</v>
      </c>
      <c r="X32" s="29" t="str">
        <f t="shared" si="54"/>
        <v>NA</v>
      </c>
      <c r="Y32" s="29" t="str">
        <f t="shared" si="55"/>
        <v>NA</v>
      </c>
      <c r="Z32" s="29" t="str">
        <f t="shared" si="56"/>
        <v>NA</v>
      </c>
      <c r="AA32" s="29" t="str">
        <f t="shared" si="57"/>
        <v>NA</v>
      </c>
      <c r="AB32" s="29" t="str">
        <f t="shared" si="58"/>
        <v>NA</v>
      </c>
      <c r="AC32" s="29" t="str">
        <f t="shared" si="59"/>
        <v>NA</v>
      </c>
      <c r="AD32" s="29" t="str">
        <f t="shared" si="60"/>
        <v>NA</v>
      </c>
      <c r="AE32" s="29" t="str">
        <f t="shared" si="61"/>
        <v>NA</v>
      </c>
      <c r="AF32" s="29" t="str">
        <f t="shared" si="62"/>
        <v>NA</v>
      </c>
      <c r="AG32" s="29" t="str">
        <f t="shared" si="63"/>
        <v>NA</v>
      </c>
      <c r="AH32" s="29" t="str">
        <f t="shared" si="64"/>
        <v>NA</v>
      </c>
    </row>
    <row r="33" customHeight="1" spans="1:34">
      <c r="A33" s="12" t="s">
        <v>1043</v>
      </c>
      <c r="F33" s="24">
        <f t="shared" si="10"/>
        <v>0</v>
      </c>
      <c r="G33" s="24" t="e">
        <f t="shared" si="7"/>
        <v>#DIV/0!</v>
      </c>
      <c r="Q33" s="29" t="str">
        <f t="shared" si="47"/>
        <v>NA</v>
      </c>
      <c r="R33" s="29" t="str">
        <f t="shared" si="48"/>
        <v>NA</v>
      </c>
      <c r="S33" s="29" t="str">
        <f t="shared" si="49"/>
        <v>NA</v>
      </c>
      <c r="T33" s="29" t="str">
        <f t="shared" si="50"/>
        <v>NA</v>
      </c>
      <c r="U33" s="29" t="str">
        <f t="shared" si="51"/>
        <v>NA</v>
      </c>
      <c r="V33" s="29" t="str">
        <f t="shared" si="52"/>
        <v>NA</v>
      </c>
      <c r="W33" s="29" t="str">
        <f t="shared" si="53"/>
        <v>NA</v>
      </c>
      <c r="X33" s="29" t="str">
        <f t="shared" si="54"/>
        <v>NA</v>
      </c>
      <c r="Y33" s="29" t="str">
        <f t="shared" si="55"/>
        <v>NA</v>
      </c>
      <c r="Z33" s="29" t="str">
        <f t="shared" si="56"/>
        <v>NA</v>
      </c>
      <c r="AA33" s="29" t="str">
        <f t="shared" si="57"/>
        <v>NA</v>
      </c>
      <c r="AB33" s="29" t="str">
        <f t="shared" si="58"/>
        <v>NA</v>
      </c>
      <c r="AC33" s="29" t="str">
        <f t="shared" si="59"/>
        <v>NA</v>
      </c>
      <c r="AD33" s="29" t="str">
        <f t="shared" si="60"/>
        <v>NA</v>
      </c>
      <c r="AE33" s="29" t="str">
        <f t="shared" si="61"/>
        <v>NA</v>
      </c>
      <c r="AF33" s="29" t="str">
        <f t="shared" si="62"/>
        <v>NA</v>
      </c>
      <c r="AG33" s="29" t="str">
        <f t="shared" si="63"/>
        <v>NA</v>
      </c>
      <c r="AH33" s="29" t="str">
        <f t="shared" si="64"/>
        <v>NA</v>
      </c>
    </row>
    <row r="34" customHeight="1" spans="1:34">
      <c r="A34" s="12" t="s">
        <v>1043</v>
      </c>
      <c r="F34" s="24">
        <f t="shared" si="10"/>
        <v>0</v>
      </c>
      <c r="G34" s="24" t="e">
        <f t="shared" si="7"/>
        <v>#DIV/0!</v>
      </c>
      <c r="Q34" s="29" t="str">
        <f t="shared" si="47"/>
        <v>NA</v>
      </c>
      <c r="R34" s="29" t="str">
        <f t="shared" si="48"/>
        <v>NA</v>
      </c>
      <c r="S34" s="29" t="str">
        <f t="shared" si="49"/>
        <v>NA</v>
      </c>
      <c r="T34" s="29" t="str">
        <f t="shared" si="50"/>
        <v>NA</v>
      </c>
      <c r="U34" s="29" t="str">
        <f t="shared" si="51"/>
        <v>NA</v>
      </c>
      <c r="V34" s="29" t="str">
        <f t="shared" si="52"/>
        <v>NA</v>
      </c>
      <c r="W34" s="29" t="str">
        <f t="shared" si="53"/>
        <v>NA</v>
      </c>
      <c r="X34" s="29" t="str">
        <f t="shared" si="54"/>
        <v>NA</v>
      </c>
      <c r="Y34" s="29" t="str">
        <f t="shared" si="55"/>
        <v>NA</v>
      </c>
      <c r="Z34" s="29" t="str">
        <f t="shared" si="56"/>
        <v>NA</v>
      </c>
      <c r="AA34" s="29" t="str">
        <f t="shared" si="57"/>
        <v>NA</v>
      </c>
      <c r="AB34" s="29" t="str">
        <f t="shared" si="58"/>
        <v>NA</v>
      </c>
      <c r="AC34" s="29" t="str">
        <f t="shared" si="59"/>
        <v>NA</v>
      </c>
      <c r="AD34" s="29" t="str">
        <f t="shared" si="60"/>
        <v>NA</v>
      </c>
      <c r="AE34" s="29" t="str">
        <f t="shared" si="61"/>
        <v>NA</v>
      </c>
      <c r="AF34" s="29" t="str">
        <f t="shared" si="62"/>
        <v>NA</v>
      </c>
      <c r="AG34" s="29" t="str">
        <f t="shared" si="63"/>
        <v>NA</v>
      </c>
      <c r="AH34" s="29" t="str">
        <f t="shared" si="64"/>
        <v>NA</v>
      </c>
    </row>
    <row r="35" customHeight="1" spans="1:34">
      <c r="A35" s="12" t="s">
        <v>1043</v>
      </c>
      <c r="F35" s="24">
        <f t="shared" si="10"/>
        <v>0</v>
      </c>
      <c r="G35" s="24" t="e">
        <f t="shared" si="7"/>
        <v>#DIV/0!</v>
      </c>
      <c r="Q35" s="29" t="str">
        <f t="shared" si="47"/>
        <v>NA</v>
      </c>
      <c r="R35" s="29" t="str">
        <f t="shared" si="48"/>
        <v>NA</v>
      </c>
      <c r="S35" s="29" t="str">
        <f t="shared" si="49"/>
        <v>NA</v>
      </c>
      <c r="T35" s="29" t="str">
        <f t="shared" si="50"/>
        <v>NA</v>
      </c>
      <c r="U35" s="29" t="str">
        <f t="shared" si="51"/>
        <v>NA</v>
      </c>
      <c r="V35" s="29" t="str">
        <f t="shared" si="52"/>
        <v>NA</v>
      </c>
      <c r="W35" s="29" t="str">
        <f t="shared" si="53"/>
        <v>NA</v>
      </c>
      <c r="X35" s="29" t="str">
        <f t="shared" si="54"/>
        <v>NA</v>
      </c>
      <c r="Y35" s="29" t="str">
        <f t="shared" si="55"/>
        <v>NA</v>
      </c>
      <c r="Z35" s="29" t="str">
        <f t="shared" si="56"/>
        <v>NA</v>
      </c>
      <c r="AA35" s="29" t="str">
        <f t="shared" si="57"/>
        <v>NA</v>
      </c>
      <c r="AB35" s="29" t="str">
        <f t="shared" si="58"/>
        <v>NA</v>
      </c>
      <c r="AC35" s="29" t="str">
        <f t="shared" si="59"/>
        <v>NA</v>
      </c>
      <c r="AD35" s="29" t="str">
        <f t="shared" si="60"/>
        <v>NA</v>
      </c>
      <c r="AE35" s="29" t="str">
        <f t="shared" si="61"/>
        <v>NA</v>
      </c>
      <c r="AF35" s="29" t="str">
        <f t="shared" si="62"/>
        <v>NA</v>
      </c>
      <c r="AG35" s="29" t="str">
        <f t="shared" si="63"/>
        <v>NA</v>
      </c>
      <c r="AH35" s="29" t="str">
        <f t="shared" si="64"/>
        <v>NA</v>
      </c>
    </row>
    <row r="36" customHeight="1" spans="1:34">
      <c r="A36" s="12" t="s">
        <v>1043</v>
      </c>
      <c r="F36" s="24">
        <f t="shared" si="10"/>
        <v>0</v>
      </c>
      <c r="G36" s="24" t="e">
        <f t="shared" si="7"/>
        <v>#DIV/0!</v>
      </c>
      <c r="Q36" s="29" t="str">
        <f t="shared" si="47"/>
        <v>NA</v>
      </c>
      <c r="R36" s="29" t="str">
        <f t="shared" si="48"/>
        <v>NA</v>
      </c>
      <c r="S36" s="29" t="str">
        <f t="shared" si="49"/>
        <v>NA</v>
      </c>
      <c r="T36" s="29" t="str">
        <f t="shared" si="50"/>
        <v>NA</v>
      </c>
      <c r="U36" s="29" t="str">
        <f t="shared" si="51"/>
        <v>NA</v>
      </c>
      <c r="V36" s="29" t="str">
        <f t="shared" si="52"/>
        <v>NA</v>
      </c>
      <c r="W36" s="29" t="str">
        <f t="shared" si="53"/>
        <v>NA</v>
      </c>
      <c r="X36" s="29" t="str">
        <f t="shared" si="54"/>
        <v>NA</v>
      </c>
      <c r="Y36" s="29" t="str">
        <f t="shared" si="55"/>
        <v>NA</v>
      </c>
      <c r="Z36" s="29" t="str">
        <f t="shared" si="56"/>
        <v>NA</v>
      </c>
      <c r="AA36" s="29" t="str">
        <f t="shared" si="57"/>
        <v>NA</v>
      </c>
      <c r="AB36" s="29" t="str">
        <f t="shared" si="58"/>
        <v>NA</v>
      </c>
      <c r="AC36" s="29" t="str">
        <f t="shared" si="59"/>
        <v>NA</v>
      </c>
      <c r="AD36" s="29" t="str">
        <f t="shared" si="60"/>
        <v>NA</v>
      </c>
      <c r="AE36" s="29" t="str">
        <f t="shared" si="61"/>
        <v>NA</v>
      </c>
      <c r="AF36" s="29" t="str">
        <f t="shared" si="62"/>
        <v>NA</v>
      </c>
      <c r="AG36" s="29" t="str">
        <f t="shared" si="63"/>
        <v>NA</v>
      </c>
      <c r="AH36" s="29" t="str">
        <f t="shared" si="64"/>
        <v>NA</v>
      </c>
    </row>
    <row r="37" customHeight="1" spans="1:34">
      <c r="A37" s="12" t="s">
        <v>1043</v>
      </c>
      <c r="F37" s="24">
        <f t="shared" si="10"/>
        <v>0</v>
      </c>
      <c r="G37" s="24" t="e">
        <f t="shared" si="7"/>
        <v>#DIV/0!</v>
      </c>
      <c r="Q37" s="29" t="str">
        <f t="shared" si="47"/>
        <v>NA</v>
      </c>
      <c r="R37" s="29" t="str">
        <f t="shared" si="48"/>
        <v>NA</v>
      </c>
      <c r="S37" s="29" t="str">
        <f t="shared" si="49"/>
        <v>NA</v>
      </c>
      <c r="T37" s="29" t="str">
        <f t="shared" si="50"/>
        <v>NA</v>
      </c>
      <c r="U37" s="29" t="str">
        <f t="shared" si="51"/>
        <v>NA</v>
      </c>
      <c r="V37" s="29" t="str">
        <f t="shared" si="52"/>
        <v>NA</v>
      </c>
      <c r="W37" s="29" t="str">
        <f t="shared" si="53"/>
        <v>NA</v>
      </c>
      <c r="X37" s="29" t="str">
        <f t="shared" si="54"/>
        <v>NA</v>
      </c>
      <c r="Y37" s="29" t="str">
        <f t="shared" si="55"/>
        <v>NA</v>
      </c>
      <c r="Z37" s="29" t="str">
        <f t="shared" si="56"/>
        <v>NA</v>
      </c>
      <c r="AA37" s="29" t="str">
        <f t="shared" si="57"/>
        <v>NA</v>
      </c>
      <c r="AB37" s="29" t="str">
        <f t="shared" si="58"/>
        <v>NA</v>
      </c>
      <c r="AC37" s="29" t="str">
        <f t="shared" si="59"/>
        <v>NA</v>
      </c>
      <c r="AD37" s="29" t="str">
        <f t="shared" si="60"/>
        <v>NA</v>
      </c>
      <c r="AE37" s="29" t="str">
        <f t="shared" si="61"/>
        <v>NA</v>
      </c>
      <c r="AF37" s="29" t="str">
        <f t="shared" si="62"/>
        <v>NA</v>
      </c>
      <c r="AG37" s="29" t="str">
        <f t="shared" si="63"/>
        <v>NA</v>
      </c>
      <c r="AH37" s="29" t="str">
        <f t="shared" si="64"/>
        <v>NA</v>
      </c>
    </row>
    <row r="38" customHeight="1" spans="1:34">
      <c r="A38" s="12" t="s">
        <v>1043</v>
      </c>
      <c r="F38" s="24">
        <f t="shared" si="10"/>
        <v>0</v>
      </c>
      <c r="G38" s="24" t="e">
        <f t="shared" si="7"/>
        <v>#DIV/0!</v>
      </c>
      <c r="Q38" s="29" t="str">
        <f t="shared" si="47"/>
        <v>NA</v>
      </c>
      <c r="R38" s="29" t="str">
        <f t="shared" si="48"/>
        <v>NA</v>
      </c>
      <c r="S38" s="29" t="str">
        <f t="shared" si="49"/>
        <v>NA</v>
      </c>
      <c r="T38" s="29" t="str">
        <f t="shared" si="50"/>
        <v>NA</v>
      </c>
      <c r="U38" s="29" t="str">
        <f t="shared" si="51"/>
        <v>NA</v>
      </c>
      <c r="V38" s="29" t="str">
        <f t="shared" si="52"/>
        <v>NA</v>
      </c>
      <c r="W38" s="29" t="str">
        <f t="shared" si="53"/>
        <v>NA</v>
      </c>
      <c r="X38" s="29" t="str">
        <f t="shared" si="54"/>
        <v>NA</v>
      </c>
      <c r="Y38" s="29" t="str">
        <f t="shared" si="55"/>
        <v>NA</v>
      </c>
      <c r="Z38" s="29" t="str">
        <f t="shared" si="56"/>
        <v>NA</v>
      </c>
      <c r="AA38" s="29" t="str">
        <f t="shared" si="57"/>
        <v>NA</v>
      </c>
      <c r="AB38" s="29" t="str">
        <f t="shared" si="58"/>
        <v>NA</v>
      </c>
      <c r="AC38" s="29" t="str">
        <f t="shared" si="59"/>
        <v>NA</v>
      </c>
      <c r="AD38" s="29" t="str">
        <f t="shared" si="60"/>
        <v>NA</v>
      </c>
      <c r="AE38" s="29" t="str">
        <f t="shared" si="61"/>
        <v>NA</v>
      </c>
      <c r="AF38" s="29" t="str">
        <f t="shared" si="62"/>
        <v>NA</v>
      </c>
      <c r="AG38" s="29" t="str">
        <f t="shared" si="63"/>
        <v>NA</v>
      </c>
      <c r="AH38" s="29" t="str">
        <f t="shared" si="64"/>
        <v>NA</v>
      </c>
    </row>
    <row r="39" customHeight="1" spans="1:34">
      <c r="A39" s="12" t="s">
        <v>1043</v>
      </c>
      <c r="F39" s="24">
        <f t="shared" si="10"/>
        <v>0</v>
      </c>
      <c r="G39" s="24" t="e">
        <f t="shared" si="7"/>
        <v>#DIV/0!</v>
      </c>
      <c r="Q39" s="29" t="str">
        <f t="shared" si="47"/>
        <v>NA</v>
      </c>
      <c r="R39" s="29" t="str">
        <f t="shared" si="48"/>
        <v>NA</v>
      </c>
      <c r="S39" s="29" t="str">
        <f t="shared" si="49"/>
        <v>NA</v>
      </c>
      <c r="T39" s="29" t="str">
        <f t="shared" si="50"/>
        <v>NA</v>
      </c>
      <c r="U39" s="29" t="str">
        <f t="shared" si="51"/>
        <v>NA</v>
      </c>
      <c r="V39" s="29" t="str">
        <f t="shared" si="52"/>
        <v>NA</v>
      </c>
      <c r="W39" s="29" t="str">
        <f t="shared" si="53"/>
        <v>NA</v>
      </c>
      <c r="X39" s="29" t="str">
        <f t="shared" si="54"/>
        <v>NA</v>
      </c>
      <c r="Y39" s="29" t="str">
        <f t="shared" si="55"/>
        <v>NA</v>
      </c>
      <c r="Z39" s="29" t="str">
        <f t="shared" si="56"/>
        <v>NA</v>
      </c>
      <c r="AA39" s="29" t="str">
        <f t="shared" si="57"/>
        <v>NA</v>
      </c>
      <c r="AB39" s="29" t="str">
        <f t="shared" si="58"/>
        <v>NA</v>
      </c>
      <c r="AC39" s="29" t="str">
        <f t="shared" si="59"/>
        <v>NA</v>
      </c>
      <c r="AD39" s="29" t="str">
        <f t="shared" si="60"/>
        <v>NA</v>
      </c>
      <c r="AE39" s="29" t="str">
        <f t="shared" si="61"/>
        <v>NA</v>
      </c>
      <c r="AF39" s="29" t="str">
        <f t="shared" si="62"/>
        <v>NA</v>
      </c>
      <c r="AG39" s="29" t="str">
        <f t="shared" si="63"/>
        <v>NA</v>
      </c>
      <c r="AH39" s="29" t="str">
        <f t="shared" si="64"/>
        <v>NA</v>
      </c>
    </row>
    <row r="40" customHeight="1" spans="1:34">
      <c r="A40" s="12" t="s">
        <v>1043</v>
      </c>
      <c r="F40" s="24">
        <f t="shared" si="10"/>
        <v>0</v>
      </c>
      <c r="G40" s="24" t="e">
        <f t="shared" si="7"/>
        <v>#DIV/0!</v>
      </c>
      <c r="Q40" s="29" t="str">
        <f t="shared" si="47"/>
        <v>NA</v>
      </c>
      <c r="R40" s="29" t="str">
        <f t="shared" si="48"/>
        <v>NA</v>
      </c>
      <c r="S40" s="29" t="str">
        <f t="shared" si="49"/>
        <v>NA</v>
      </c>
      <c r="T40" s="29" t="str">
        <f t="shared" si="50"/>
        <v>NA</v>
      </c>
      <c r="U40" s="29" t="str">
        <f t="shared" si="51"/>
        <v>NA</v>
      </c>
      <c r="V40" s="29" t="str">
        <f t="shared" si="52"/>
        <v>NA</v>
      </c>
      <c r="W40" s="29" t="str">
        <f t="shared" si="53"/>
        <v>NA</v>
      </c>
      <c r="X40" s="29" t="str">
        <f t="shared" si="54"/>
        <v>NA</v>
      </c>
      <c r="Y40" s="29" t="str">
        <f t="shared" si="55"/>
        <v>NA</v>
      </c>
      <c r="Z40" s="29" t="str">
        <f t="shared" si="56"/>
        <v>NA</v>
      </c>
      <c r="AA40" s="29" t="str">
        <f t="shared" si="57"/>
        <v>NA</v>
      </c>
      <c r="AB40" s="29" t="str">
        <f t="shared" si="58"/>
        <v>NA</v>
      </c>
      <c r="AC40" s="29" t="str">
        <f t="shared" si="59"/>
        <v>NA</v>
      </c>
      <c r="AD40" s="29" t="str">
        <f t="shared" si="60"/>
        <v>NA</v>
      </c>
      <c r="AE40" s="29" t="str">
        <f t="shared" si="61"/>
        <v>NA</v>
      </c>
      <c r="AF40" s="29" t="str">
        <f t="shared" si="62"/>
        <v>NA</v>
      </c>
      <c r="AG40" s="29" t="str">
        <f t="shared" si="63"/>
        <v>NA</v>
      </c>
      <c r="AH40" s="29" t="str">
        <f t="shared" si="64"/>
        <v>NA</v>
      </c>
    </row>
    <row r="41" customHeight="1" spans="1:34">
      <c r="A41" s="12" t="s">
        <v>1043</v>
      </c>
      <c r="F41" s="24">
        <f t="shared" si="10"/>
        <v>0</v>
      </c>
      <c r="G41" s="24" t="e">
        <f t="shared" si="7"/>
        <v>#DIV/0!</v>
      </c>
      <c r="Q41" s="29" t="str">
        <f t="shared" si="47"/>
        <v>NA</v>
      </c>
      <c r="R41" s="29" t="str">
        <f t="shared" si="48"/>
        <v>NA</v>
      </c>
      <c r="S41" s="29" t="str">
        <f t="shared" si="49"/>
        <v>NA</v>
      </c>
      <c r="T41" s="29" t="str">
        <f t="shared" si="50"/>
        <v>NA</v>
      </c>
      <c r="U41" s="29" t="str">
        <f t="shared" si="51"/>
        <v>NA</v>
      </c>
      <c r="V41" s="29" t="str">
        <f t="shared" si="52"/>
        <v>NA</v>
      </c>
      <c r="W41" s="29" t="str">
        <f t="shared" si="53"/>
        <v>NA</v>
      </c>
      <c r="X41" s="29" t="str">
        <f t="shared" si="54"/>
        <v>NA</v>
      </c>
      <c r="Y41" s="29" t="str">
        <f t="shared" si="55"/>
        <v>NA</v>
      </c>
      <c r="Z41" s="29" t="str">
        <f t="shared" si="56"/>
        <v>NA</v>
      </c>
      <c r="AA41" s="29" t="str">
        <f t="shared" si="57"/>
        <v>NA</v>
      </c>
      <c r="AB41" s="29" t="str">
        <f t="shared" si="58"/>
        <v>NA</v>
      </c>
      <c r="AC41" s="29" t="str">
        <f t="shared" si="59"/>
        <v>NA</v>
      </c>
      <c r="AD41" s="29" t="str">
        <f t="shared" si="60"/>
        <v>NA</v>
      </c>
      <c r="AE41" s="29" t="str">
        <f t="shared" si="61"/>
        <v>NA</v>
      </c>
      <c r="AF41" s="29" t="str">
        <f t="shared" si="62"/>
        <v>NA</v>
      </c>
      <c r="AG41" s="29" t="str">
        <f t="shared" si="63"/>
        <v>NA</v>
      </c>
      <c r="AH41" s="29" t="str">
        <f t="shared" si="64"/>
        <v>NA</v>
      </c>
    </row>
    <row r="42" customHeight="1" spans="1:34">
      <c r="A42" s="12" t="s">
        <v>1043</v>
      </c>
      <c r="F42" s="24">
        <f t="shared" si="10"/>
        <v>0</v>
      </c>
      <c r="G42" s="24" t="e">
        <f t="shared" si="7"/>
        <v>#DIV/0!</v>
      </c>
      <c r="Q42" s="29" t="str">
        <f t="shared" si="47"/>
        <v>NA</v>
      </c>
      <c r="R42" s="29" t="str">
        <f t="shared" si="48"/>
        <v>NA</v>
      </c>
      <c r="S42" s="29" t="str">
        <f t="shared" si="49"/>
        <v>NA</v>
      </c>
      <c r="T42" s="29" t="str">
        <f t="shared" si="50"/>
        <v>NA</v>
      </c>
      <c r="U42" s="29" t="str">
        <f t="shared" si="51"/>
        <v>NA</v>
      </c>
      <c r="V42" s="29" t="str">
        <f t="shared" si="52"/>
        <v>NA</v>
      </c>
      <c r="W42" s="29" t="str">
        <f t="shared" si="53"/>
        <v>NA</v>
      </c>
      <c r="X42" s="29" t="str">
        <f t="shared" si="54"/>
        <v>NA</v>
      </c>
      <c r="Y42" s="29" t="str">
        <f t="shared" si="55"/>
        <v>NA</v>
      </c>
      <c r="Z42" s="29" t="str">
        <f t="shared" si="56"/>
        <v>NA</v>
      </c>
      <c r="AA42" s="29" t="str">
        <f t="shared" si="57"/>
        <v>NA</v>
      </c>
      <c r="AB42" s="29" t="str">
        <f t="shared" si="58"/>
        <v>NA</v>
      </c>
      <c r="AC42" s="29" t="str">
        <f t="shared" si="59"/>
        <v>NA</v>
      </c>
      <c r="AD42" s="29" t="str">
        <f t="shared" si="60"/>
        <v>NA</v>
      </c>
      <c r="AE42" s="29" t="str">
        <f t="shared" si="61"/>
        <v>NA</v>
      </c>
      <c r="AF42" s="29" t="str">
        <f t="shared" si="62"/>
        <v>NA</v>
      </c>
      <c r="AG42" s="29" t="str">
        <f t="shared" si="63"/>
        <v>NA</v>
      </c>
      <c r="AH42" s="29" t="str">
        <f t="shared" si="64"/>
        <v>NA</v>
      </c>
    </row>
    <row r="43" customHeight="1" spans="1:34">
      <c r="A43" s="12" t="s">
        <v>1043</v>
      </c>
      <c r="F43" s="24">
        <f t="shared" si="10"/>
        <v>0</v>
      </c>
      <c r="G43" s="24" t="e">
        <f t="shared" si="7"/>
        <v>#DIV/0!</v>
      </c>
      <c r="Q43" s="29" t="str">
        <f t="shared" si="47"/>
        <v>NA</v>
      </c>
      <c r="R43" s="29" t="str">
        <f t="shared" si="48"/>
        <v>NA</v>
      </c>
      <c r="S43" s="29" t="str">
        <f t="shared" si="49"/>
        <v>NA</v>
      </c>
      <c r="T43" s="29" t="str">
        <f t="shared" si="50"/>
        <v>NA</v>
      </c>
      <c r="U43" s="29" t="str">
        <f t="shared" si="51"/>
        <v>NA</v>
      </c>
      <c r="V43" s="29" t="str">
        <f t="shared" si="52"/>
        <v>NA</v>
      </c>
      <c r="W43" s="29" t="str">
        <f t="shared" si="53"/>
        <v>NA</v>
      </c>
      <c r="X43" s="29" t="str">
        <f t="shared" si="54"/>
        <v>NA</v>
      </c>
      <c r="Y43" s="29" t="str">
        <f t="shared" si="55"/>
        <v>NA</v>
      </c>
      <c r="Z43" s="29" t="str">
        <f t="shared" si="56"/>
        <v>NA</v>
      </c>
      <c r="AA43" s="29" t="str">
        <f t="shared" si="57"/>
        <v>NA</v>
      </c>
      <c r="AB43" s="29" t="str">
        <f t="shared" si="58"/>
        <v>NA</v>
      </c>
      <c r="AC43" s="29" t="str">
        <f t="shared" si="59"/>
        <v>NA</v>
      </c>
      <c r="AD43" s="29" t="str">
        <f t="shared" si="60"/>
        <v>NA</v>
      </c>
      <c r="AE43" s="29" t="str">
        <f t="shared" si="61"/>
        <v>NA</v>
      </c>
      <c r="AF43" s="29" t="str">
        <f t="shared" si="62"/>
        <v>NA</v>
      </c>
      <c r="AG43" s="29" t="str">
        <f t="shared" si="63"/>
        <v>NA</v>
      </c>
      <c r="AH43" s="29" t="str">
        <f t="shared" si="64"/>
        <v>NA</v>
      </c>
    </row>
    <row r="44" customHeight="1" spans="1:34">
      <c r="A44" s="12" t="s">
        <v>1043</v>
      </c>
      <c r="F44" s="24">
        <f t="shared" si="10"/>
        <v>0</v>
      </c>
      <c r="G44" s="24" t="e">
        <f t="shared" si="7"/>
        <v>#DIV/0!</v>
      </c>
      <c r="Q44" s="29" t="str">
        <f t="shared" si="47"/>
        <v>NA</v>
      </c>
      <c r="R44" s="29" t="str">
        <f t="shared" si="48"/>
        <v>NA</v>
      </c>
      <c r="S44" s="29" t="str">
        <f t="shared" si="49"/>
        <v>NA</v>
      </c>
      <c r="T44" s="29" t="str">
        <f t="shared" si="50"/>
        <v>NA</v>
      </c>
      <c r="U44" s="29" t="str">
        <f t="shared" si="51"/>
        <v>NA</v>
      </c>
      <c r="V44" s="29" t="str">
        <f t="shared" si="52"/>
        <v>NA</v>
      </c>
      <c r="W44" s="29" t="str">
        <f t="shared" si="53"/>
        <v>NA</v>
      </c>
      <c r="X44" s="29" t="str">
        <f t="shared" si="54"/>
        <v>NA</v>
      </c>
      <c r="Y44" s="29" t="str">
        <f t="shared" si="55"/>
        <v>NA</v>
      </c>
      <c r="Z44" s="29" t="str">
        <f t="shared" si="56"/>
        <v>NA</v>
      </c>
      <c r="AA44" s="29" t="str">
        <f t="shared" si="57"/>
        <v>NA</v>
      </c>
      <c r="AB44" s="29" t="str">
        <f t="shared" si="58"/>
        <v>NA</v>
      </c>
      <c r="AC44" s="29" t="str">
        <f t="shared" si="59"/>
        <v>NA</v>
      </c>
      <c r="AD44" s="29" t="str">
        <f t="shared" si="60"/>
        <v>NA</v>
      </c>
      <c r="AE44" s="29" t="str">
        <f t="shared" si="61"/>
        <v>NA</v>
      </c>
      <c r="AF44" s="29" t="str">
        <f t="shared" si="62"/>
        <v>NA</v>
      </c>
      <c r="AG44" s="29" t="str">
        <f t="shared" si="63"/>
        <v>NA</v>
      </c>
      <c r="AH44" s="29" t="str">
        <f t="shared" si="64"/>
        <v>NA</v>
      </c>
    </row>
    <row r="45" customHeight="1" spans="1:34">
      <c r="A45" s="12" t="s">
        <v>1043</v>
      </c>
      <c r="F45" s="24">
        <f t="shared" si="10"/>
        <v>0</v>
      </c>
      <c r="G45" s="24" t="e">
        <f t="shared" si="7"/>
        <v>#DIV/0!</v>
      </c>
      <c r="Q45" s="29" t="str">
        <f t="shared" si="47"/>
        <v>NA</v>
      </c>
      <c r="R45" s="29" t="str">
        <f t="shared" si="48"/>
        <v>NA</v>
      </c>
      <c r="S45" s="29" t="str">
        <f t="shared" si="49"/>
        <v>NA</v>
      </c>
      <c r="T45" s="29" t="str">
        <f t="shared" si="50"/>
        <v>NA</v>
      </c>
      <c r="U45" s="29" t="str">
        <f t="shared" si="51"/>
        <v>NA</v>
      </c>
      <c r="V45" s="29" t="str">
        <f t="shared" si="52"/>
        <v>NA</v>
      </c>
      <c r="W45" s="29" t="str">
        <f t="shared" si="53"/>
        <v>NA</v>
      </c>
      <c r="X45" s="29" t="str">
        <f t="shared" si="54"/>
        <v>NA</v>
      </c>
      <c r="Y45" s="29" t="str">
        <f t="shared" si="55"/>
        <v>NA</v>
      </c>
      <c r="Z45" s="29" t="str">
        <f t="shared" si="56"/>
        <v>NA</v>
      </c>
      <c r="AA45" s="29" t="str">
        <f t="shared" si="57"/>
        <v>NA</v>
      </c>
      <c r="AB45" s="29" t="str">
        <f t="shared" si="58"/>
        <v>NA</v>
      </c>
      <c r="AC45" s="29" t="str">
        <f t="shared" si="59"/>
        <v>NA</v>
      </c>
      <c r="AD45" s="29" t="str">
        <f t="shared" si="60"/>
        <v>NA</v>
      </c>
      <c r="AE45" s="29" t="str">
        <f t="shared" si="61"/>
        <v>NA</v>
      </c>
      <c r="AF45" s="29" t="str">
        <f t="shared" si="62"/>
        <v>NA</v>
      </c>
      <c r="AG45" s="29" t="str">
        <f t="shared" si="63"/>
        <v>NA</v>
      </c>
      <c r="AH45" s="29" t="str">
        <f t="shared" si="64"/>
        <v>NA</v>
      </c>
    </row>
    <row r="46" customHeight="1" spans="1:34">
      <c r="A46" s="12" t="s">
        <v>1043</v>
      </c>
      <c r="F46" s="24">
        <f t="shared" si="10"/>
        <v>0</v>
      </c>
      <c r="G46" s="24" t="e">
        <f t="shared" si="7"/>
        <v>#DIV/0!</v>
      </c>
      <c r="Q46" s="29" t="str">
        <f t="shared" si="47"/>
        <v>NA</v>
      </c>
      <c r="R46" s="29" t="str">
        <f t="shared" si="48"/>
        <v>NA</v>
      </c>
      <c r="S46" s="29" t="str">
        <f t="shared" si="49"/>
        <v>NA</v>
      </c>
      <c r="T46" s="29" t="str">
        <f t="shared" si="50"/>
        <v>NA</v>
      </c>
      <c r="U46" s="29" t="str">
        <f t="shared" si="51"/>
        <v>NA</v>
      </c>
      <c r="V46" s="29" t="str">
        <f t="shared" si="52"/>
        <v>NA</v>
      </c>
      <c r="W46" s="29" t="str">
        <f t="shared" si="53"/>
        <v>NA</v>
      </c>
      <c r="X46" s="29" t="str">
        <f t="shared" si="54"/>
        <v>NA</v>
      </c>
      <c r="Y46" s="29" t="str">
        <f t="shared" si="55"/>
        <v>NA</v>
      </c>
      <c r="Z46" s="29" t="str">
        <f t="shared" si="56"/>
        <v>NA</v>
      </c>
      <c r="AA46" s="29" t="str">
        <f t="shared" si="57"/>
        <v>NA</v>
      </c>
      <c r="AB46" s="29" t="str">
        <f t="shared" si="58"/>
        <v>NA</v>
      </c>
      <c r="AC46" s="29" t="str">
        <f t="shared" si="59"/>
        <v>NA</v>
      </c>
      <c r="AD46" s="29" t="str">
        <f t="shared" si="60"/>
        <v>NA</v>
      </c>
      <c r="AE46" s="29" t="str">
        <f t="shared" si="61"/>
        <v>NA</v>
      </c>
      <c r="AF46" s="29" t="str">
        <f t="shared" si="62"/>
        <v>NA</v>
      </c>
      <c r="AG46" s="29" t="str">
        <f t="shared" si="63"/>
        <v>NA</v>
      </c>
      <c r="AH46" s="29" t="str">
        <f t="shared" si="64"/>
        <v>NA</v>
      </c>
    </row>
    <row r="47" customHeight="1" spans="1:34">
      <c r="A47" s="12" t="s">
        <v>1043</v>
      </c>
      <c r="F47" s="24">
        <f t="shared" si="10"/>
        <v>0</v>
      </c>
      <c r="G47" s="24" t="e">
        <f t="shared" si="7"/>
        <v>#DIV/0!</v>
      </c>
      <c r="Q47" s="29" t="str">
        <f t="shared" si="47"/>
        <v>NA</v>
      </c>
      <c r="R47" s="29" t="str">
        <f t="shared" si="48"/>
        <v>NA</v>
      </c>
      <c r="S47" s="29" t="str">
        <f t="shared" si="49"/>
        <v>NA</v>
      </c>
      <c r="T47" s="29" t="str">
        <f t="shared" si="50"/>
        <v>NA</v>
      </c>
      <c r="U47" s="29" t="str">
        <f t="shared" si="51"/>
        <v>NA</v>
      </c>
      <c r="V47" s="29" t="str">
        <f t="shared" si="52"/>
        <v>NA</v>
      </c>
      <c r="W47" s="29" t="str">
        <f t="shared" si="53"/>
        <v>NA</v>
      </c>
      <c r="X47" s="29" t="str">
        <f t="shared" si="54"/>
        <v>NA</v>
      </c>
      <c r="Y47" s="29" t="str">
        <f t="shared" si="55"/>
        <v>NA</v>
      </c>
      <c r="Z47" s="29" t="str">
        <f t="shared" si="56"/>
        <v>NA</v>
      </c>
      <c r="AA47" s="29" t="str">
        <f t="shared" si="57"/>
        <v>NA</v>
      </c>
      <c r="AB47" s="29" t="str">
        <f t="shared" si="58"/>
        <v>NA</v>
      </c>
      <c r="AC47" s="29" t="str">
        <f t="shared" si="59"/>
        <v>NA</v>
      </c>
      <c r="AD47" s="29" t="str">
        <f t="shared" si="60"/>
        <v>NA</v>
      </c>
      <c r="AE47" s="29" t="str">
        <f t="shared" si="61"/>
        <v>NA</v>
      </c>
      <c r="AF47" s="29" t="str">
        <f t="shared" si="62"/>
        <v>NA</v>
      </c>
      <c r="AG47" s="29" t="str">
        <f t="shared" si="63"/>
        <v>NA</v>
      </c>
      <c r="AH47" s="29" t="str">
        <f t="shared" si="64"/>
        <v>NA</v>
      </c>
    </row>
    <row r="48" customHeight="1" spans="1:34">
      <c r="A48" s="12" t="s">
        <v>1043</v>
      </c>
      <c r="F48" s="24">
        <f t="shared" si="10"/>
        <v>0</v>
      </c>
      <c r="G48" s="24" t="e">
        <f t="shared" si="7"/>
        <v>#DIV/0!</v>
      </c>
      <c r="Q48" s="29" t="str">
        <f t="shared" si="47"/>
        <v>NA</v>
      </c>
      <c r="R48" s="29" t="str">
        <f t="shared" si="48"/>
        <v>NA</v>
      </c>
      <c r="S48" s="29" t="str">
        <f t="shared" si="49"/>
        <v>NA</v>
      </c>
      <c r="T48" s="29" t="str">
        <f t="shared" si="50"/>
        <v>NA</v>
      </c>
      <c r="U48" s="29" t="str">
        <f t="shared" si="51"/>
        <v>NA</v>
      </c>
      <c r="V48" s="29" t="str">
        <f t="shared" si="52"/>
        <v>NA</v>
      </c>
      <c r="W48" s="29" t="str">
        <f t="shared" si="53"/>
        <v>NA</v>
      </c>
      <c r="X48" s="29" t="str">
        <f t="shared" si="54"/>
        <v>NA</v>
      </c>
      <c r="Y48" s="29" t="str">
        <f t="shared" si="55"/>
        <v>NA</v>
      </c>
      <c r="Z48" s="29" t="str">
        <f t="shared" si="56"/>
        <v>NA</v>
      </c>
      <c r="AA48" s="29" t="str">
        <f t="shared" si="57"/>
        <v>NA</v>
      </c>
      <c r="AB48" s="29" t="str">
        <f t="shared" si="58"/>
        <v>NA</v>
      </c>
      <c r="AC48" s="29" t="str">
        <f t="shared" si="59"/>
        <v>NA</v>
      </c>
      <c r="AD48" s="29" t="str">
        <f t="shared" si="60"/>
        <v>NA</v>
      </c>
      <c r="AE48" s="29" t="str">
        <f t="shared" si="61"/>
        <v>NA</v>
      </c>
      <c r="AF48" s="29" t="str">
        <f t="shared" si="62"/>
        <v>NA</v>
      </c>
      <c r="AG48" s="29" t="str">
        <f t="shared" si="63"/>
        <v>NA</v>
      </c>
      <c r="AH48" s="29" t="str">
        <f t="shared" si="64"/>
        <v>NA</v>
      </c>
    </row>
    <row r="49" customHeight="1" spans="1:34">
      <c r="A49" s="12" t="s">
        <v>1043</v>
      </c>
      <c r="F49" s="24">
        <f t="shared" si="10"/>
        <v>0</v>
      </c>
      <c r="G49" s="24" t="e">
        <f t="shared" si="7"/>
        <v>#DIV/0!</v>
      </c>
      <c r="Q49" s="29" t="str">
        <f t="shared" si="47"/>
        <v>NA</v>
      </c>
      <c r="R49" s="29" t="str">
        <f t="shared" si="48"/>
        <v>NA</v>
      </c>
      <c r="S49" s="29" t="str">
        <f t="shared" si="49"/>
        <v>NA</v>
      </c>
      <c r="T49" s="29" t="str">
        <f t="shared" si="50"/>
        <v>NA</v>
      </c>
      <c r="U49" s="29" t="str">
        <f t="shared" si="51"/>
        <v>NA</v>
      </c>
      <c r="V49" s="29" t="str">
        <f t="shared" si="52"/>
        <v>NA</v>
      </c>
      <c r="W49" s="29" t="str">
        <f t="shared" si="53"/>
        <v>NA</v>
      </c>
      <c r="X49" s="29" t="str">
        <f t="shared" si="54"/>
        <v>NA</v>
      </c>
      <c r="Y49" s="29" t="str">
        <f t="shared" si="55"/>
        <v>NA</v>
      </c>
      <c r="Z49" s="29" t="str">
        <f t="shared" si="56"/>
        <v>NA</v>
      </c>
      <c r="AA49" s="29" t="str">
        <f t="shared" si="57"/>
        <v>NA</v>
      </c>
      <c r="AB49" s="29" t="str">
        <f t="shared" si="58"/>
        <v>NA</v>
      </c>
      <c r="AC49" s="29" t="str">
        <f t="shared" si="59"/>
        <v>NA</v>
      </c>
      <c r="AD49" s="29" t="str">
        <f t="shared" si="60"/>
        <v>NA</v>
      </c>
      <c r="AE49" s="29" t="str">
        <f t="shared" si="61"/>
        <v>NA</v>
      </c>
      <c r="AF49" s="29" t="str">
        <f t="shared" si="62"/>
        <v>NA</v>
      </c>
      <c r="AG49" s="29" t="str">
        <f t="shared" si="63"/>
        <v>NA</v>
      </c>
      <c r="AH49" s="29" t="str">
        <f t="shared" si="64"/>
        <v>NA</v>
      </c>
    </row>
    <row r="50" customHeight="1" spans="1:34">
      <c r="A50" s="12" t="s">
        <v>1043</v>
      </c>
      <c r="F50" s="24">
        <f t="shared" si="10"/>
        <v>0</v>
      </c>
      <c r="G50" s="24" t="e">
        <f t="shared" si="7"/>
        <v>#DIV/0!</v>
      </c>
      <c r="Q50" s="29" t="str">
        <f t="shared" si="47"/>
        <v>NA</v>
      </c>
      <c r="R50" s="29" t="str">
        <f t="shared" si="48"/>
        <v>NA</v>
      </c>
      <c r="S50" s="29" t="str">
        <f t="shared" si="49"/>
        <v>NA</v>
      </c>
      <c r="T50" s="29" t="str">
        <f t="shared" si="50"/>
        <v>NA</v>
      </c>
      <c r="U50" s="29" t="str">
        <f t="shared" si="51"/>
        <v>NA</v>
      </c>
      <c r="V50" s="29" t="str">
        <f t="shared" si="52"/>
        <v>NA</v>
      </c>
      <c r="W50" s="29" t="str">
        <f t="shared" si="53"/>
        <v>NA</v>
      </c>
      <c r="X50" s="29" t="str">
        <f t="shared" si="54"/>
        <v>NA</v>
      </c>
      <c r="Y50" s="29" t="str">
        <f t="shared" si="55"/>
        <v>NA</v>
      </c>
      <c r="Z50" s="29" t="str">
        <f t="shared" si="56"/>
        <v>NA</v>
      </c>
      <c r="AA50" s="29" t="str">
        <f t="shared" si="57"/>
        <v>NA</v>
      </c>
      <c r="AB50" s="29" t="str">
        <f t="shared" si="58"/>
        <v>NA</v>
      </c>
      <c r="AC50" s="29" t="str">
        <f t="shared" si="59"/>
        <v>NA</v>
      </c>
      <c r="AD50" s="29" t="str">
        <f t="shared" si="60"/>
        <v>NA</v>
      </c>
      <c r="AE50" s="29" t="str">
        <f t="shared" si="61"/>
        <v>NA</v>
      </c>
      <c r="AF50" s="29" t="str">
        <f t="shared" si="62"/>
        <v>NA</v>
      </c>
      <c r="AG50" s="29" t="str">
        <f t="shared" si="63"/>
        <v>NA</v>
      </c>
      <c r="AH50" s="29" t="str">
        <f t="shared" si="64"/>
        <v>NA</v>
      </c>
    </row>
    <row r="51" customHeight="1" spans="1:34">
      <c r="A51" s="12" t="s">
        <v>1043</v>
      </c>
      <c r="F51" s="24">
        <f t="shared" si="10"/>
        <v>0</v>
      </c>
      <c r="G51" s="24" t="e">
        <f t="shared" si="7"/>
        <v>#DIV/0!</v>
      </c>
      <c r="Q51" s="29" t="str">
        <f t="shared" si="47"/>
        <v>NA</v>
      </c>
      <c r="R51" s="29" t="str">
        <f t="shared" si="48"/>
        <v>NA</v>
      </c>
      <c r="S51" s="29" t="str">
        <f t="shared" si="49"/>
        <v>NA</v>
      </c>
      <c r="T51" s="29" t="str">
        <f t="shared" si="50"/>
        <v>NA</v>
      </c>
      <c r="U51" s="29" t="str">
        <f t="shared" si="51"/>
        <v>NA</v>
      </c>
      <c r="V51" s="29" t="str">
        <f t="shared" si="52"/>
        <v>NA</v>
      </c>
      <c r="W51" s="29" t="str">
        <f t="shared" si="53"/>
        <v>NA</v>
      </c>
      <c r="X51" s="29" t="str">
        <f t="shared" si="54"/>
        <v>NA</v>
      </c>
      <c r="Y51" s="29" t="str">
        <f t="shared" si="55"/>
        <v>NA</v>
      </c>
      <c r="Z51" s="29" t="str">
        <f t="shared" si="56"/>
        <v>NA</v>
      </c>
      <c r="AA51" s="29" t="str">
        <f t="shared" si="57"/>
        <v>NA</v>
      </c>
      <c r="AB51" s="29" t="str">
        <f t="shared" si="58"/>
        <v>NA</v>
      </c>
      <c r="AC51" s="29" t="str">
        <f t="shared" si="59"/>
        <v>NA</v>
      </c>
      <c r="AD51" s="29" t="str">
        <f t="shared" si="60"/>
        <v>NA</v>
      </c>
      <c r="AE51" s="29" t="str">
        <f t="shared" si="61"/>
        <v>NA</v>
      </c>
      <c r="AF51" s="29" t="str">
        <f t="shared" si="62"/>
        <v>NA</v>
      </c>
      <c r="AG51" s="29" t="str">
        <f t="shared" si="63"/>
        <v>NA</v>
      </c>
      <c r="AH51" s="29" t="str">
        <f t="shared" si="64"/>
        <v>NA</v>
      </c>
    </row>
    <row r="52" customHeight="1" spans="1:34">
      <c r="A52" s="12" t="s">
        <v>1043</v>
      </c>
      <c r="F52" s="24">
        <f t="shared" si="10"/>
        <v>0</v>
      </c>
      <c r="G52" s="24" t="e">
        <f t="shared" si="7"/>
        <v>#DIV/0!</v>
      </c>
      <c r="Q52" s="29" t="str">
        <f t="shared" si="47"/>
        <v>NA</v>
      </c>
      <c r="R52" s="29" t="str">
        <f t="shared" si="48"/>
        <v>NA</v>
      </c>
      <c r="S52" s="29" t="str">
        <f t="shared" si="49"/>
        <v>NA</v>
      </c>
      <c r="T52" s="29" t="str">
        <f t="shared" si="50"/>
        <v>NA</v>
      </c>
      <c r="U52" s="29" t="str">
        <f t="shared" si="51"/>
        <v>NA</v>
      </c>
      <c r="V52" s="29" t="str">
        <f t="shared" si="52"/>
        <v>NA</v>
      </c>
      <c r="W52" s="29" t="str">
        <f t="shared" si="53"/>
        <v>NA</v>
      </c>
      <c r="X52" s="29" t="str">
        <f t="shared" si="54"/>
        <v>NA</v>
      </c>
      <c r="Y52" s="29" t="str">
        <f t="shared" si="55"/>
        <v>NA</v>
      </c>
      <c r="Z52" s="29" t="str">
        <f t="shared" si="56"/>
        <v>NA</v>
      </c>
      <c r="AA52" s="29" t="str">
        <f t="shared" si="57"/>
        <v>NA</v>
      </c>
      <c r="AB52" s="29" t="str">
        <f t="shared" si="58"/>
        <v>NA</v>
      </c>
      <c r="AC52" s="29" t="str">
        <f t="shared" si="59"/>
        <v>NA</v>
      </c>
      <c r="AD52" s="29" t="str">
        <f t="shared" si="60"/>
        <v>NA</v>
      </c>
      <c r="AE52" s="29" t="str">
        <f t="shared" si="61"/>
        <v>NA</v>
      </c>
      <c r="AF52" s="29" t="str">
        <f t="shared" si="62"/>
        <v>NA</v>
      </c>
      <c r="AG52" s="29" t="str">
        <f t="shared" si="63"/>
        <v>NA</v>
      </c>
      <c r="AH52" s="29" t="str">
        <f t="shared" si="64"/>
        <v>NA</v>
      </c>
    </row>
    <row r="53" customHeight="1" spans="1:34">
      <c r="A53" s="12" t="s">
        <v>1043</v>
      </c>
      <c r="F53" s="24">
        <f t="shared" si="10"/>
        <v>0</v>
      </c>
      <c r="G53" s="24" t="e">
        <f t="shared" si="7"/>
        <v>#DIV/0!</v>
      </c>
      <c r="Q53" s="29" t="str">
        <f t="shared" si="47"/>
        <v>NA</v>
      </c>
      <c r="R53" s="29" t="str">
        <f t="shared" si="48"/>
        <v>NA</v>
      </c>
      <c r="S53" s="29" t="str">
        <f t="shared" si="49"/>
        <v>NA</v>
      </c>
      <c r="T53" s="29" t="str">
        <f t="shared" si="50"/>
        <v>NA</v>
      </c>
      <c r="U53" s="29" t="str">
        <f t="shared" si="51"/>
        <v>NA</v>
      </c>
      <c r="V53" s="29" t="str">
        <f t="shared" si="52"/>
        <v>NA</v>
      </c>
      <c r="W53" s="29" t="str">
        <f t="shared" si="53"/>
        <v>NA</v>
      </c>
      <c r="X53" s="29" t="str">
        <f t="shared" si="54"/>
        <v>NA</v>
      </c>
      <c r="Y53" s="29" t="str">
        <f t="shared" si="55"/>
        <v>NA</v>
      </c>
      <c r="Z53" s="29" t="str">
        <f t="shared" si="56"/>
        <v>NA</v>
      </c>
      <c r="AA53" s="29" t="str">
        <f t="shared" si="57"/>
        <v>NA</v>
      </c>
      <c r="AB53" s="29" t="str">
        <f t="shared" si="58"/>
        <v>NA</v>
      </c>
      <c r="AC53" s="29" t="str">
        <f t="shared" si="59"/>
        <v>NA</v>
      </c>
      <c r="AD53" s="29" t="str">
        <f t="shared" si="60"/>
        <v>NA</v>
      </c>
      <c r="AE53" s="29" t="str">
        <f t="shared" si="61"/>
        <v>NA</v>
      </c>
      <c r="AF53" s="29" t="str">
        <f t="shared" si="62"/>
        <v>NA</v>
      </c>
      <c r="AG53" s="29" t="str">
        <f t="shared" si="63"/>
        <v>NA</v>
      </c>
      <c r="AH53" s="29" t="str">
        <f t="shared" si="64"/>
        <v>NA</v>
      </c>
    </row>
    <row r="54" customHeight="1" spans="1:34">
      <c r="A54" s="12" t="s">
        <v>1043</v>
      </c>
      <c r="F54" s="24">
        <f t="shared" si="10"/>
        <v>0</v>
      </c>
      <c r="G54" s="24" t="e">
        <f t="shared" si="7"/>
        <v>#DIV/0!</v>
      </c>
      <c r="Q54" s="29" t="str">
        <f t="shared" si="47"/>
        <v>NA</v>
      </c>
      <c r="R54" s="29" t="str">
        <f t="shared" si="48"/>
        <v>NA</v>
      </c>
      <c r="S54" s="29" t="str">
        <f t="shared" si="49"/>
        <v>NA</v>
      </c>
      <c r="T54" s="29" t="str">
        <f t="shared" si="50"/>
        <v>NA</v>
      </c>
      <c r="U54" s="29" t="str">
        <f t="shared" si="51"/>
        <v>NA</v>
      </c>
      <c r="V54" s="29" t="str">
        <f t="shared" si="52"/>
        <v>NA</v>
      </c>
      <c r="W54" s="29" t="str">
        <f t="shared" si="53"/>
        <v>NA</v>
      </c>
      <c r="X54" s="29" t="str">
        <f t="shared" si="54"/>
        <v>NA</v>
      </c>
      <c r="Y54" s="29" t="str">
        <f t="shared" si="55"/>
        <v>NA</v>
      </c>
      <c r="Z54" s="29" t="str">
        <f t="shared" si="56"/>
        <v>NA</v>
      </c>
      <c r="AA54" s="29" t="str">
        <f t="shared" si="57"/>
        <v>NA</v>
      </c>
      <c r="AB54" s="29" t="str">
        <f t="shared" si="58"/>
        <v>NA</v>
      </c>
      <c r="AC54" s="29" t="str">
        <f t="shared" si="59"/>
        <v>NA</v>
      </c>
      <c r="AD54" s="29" t="str">
        <f t="shared" si="60"/>
        <v>NA</v>
      </c>
      <c r="AE54" s="29" t="str">
        <f t="shared" si="61"/>
        <v>NA</v>
      </c>
      <c r="AF54" s="29" t="str">
        <f t="shared" si="62"/>
        <v>NA</v>
      </c>
      <c r="AG54" s="29" t="str">
        <f t="shared" si="63"/>
        <v>NA</v>
      </c>
      <c r="AH54" s="29" t="str">
        <f t="shared" si="64"/>
        <v>NA</v>
      </c>
    </row>
    <row r="55" customHeight="1" spans="1:34">
      <c r="A55" s="12" t="s">
        <v>1043</v>
      </c>
      <c r="F55" s="24">
        <f t="shared" si="10"/>
        <v>0</v>
      </c>
      <c r="G55" s="24" t="e">
        <f t="shared" si="7"/>
        <v>#DIV/0!</v>
      </c>
      <c r="Q55" s="29" t="str">
        <f t="shared" si="47"/>
        <v>NA</v>
      </c>
      <c r="R55" s="29" t="str">
        <f t="shared" si="48"/>
        <v>NA</v>
      </c>
      <c r="S55" s="29" t="str">
        <f t="shared" si="49"/>
        <v>NA</v>
      </c>
      <c r="T55" s="29" t="str">
        <f t="shared" si="50"/>
        <v>NA</v>
      </c>
      <c r="U55" s="29" t="str">
        <f t="shared" si="51"/>
        <v>NA</v>
      </c>
      <c r="V55" s="29" t="str">
        <f t="shared" si="52"/>
        <v>NA</v>
      </c>
      <c r="W55" s="29" t="str">
        <f t="shared" si="53"/>
        <v>NA</v>
      </c>
      <c r="X55" s="29" t="str">
        <f t="shared" si="54"/>
        <v>NA</v>
      </c>
      <c r="Y55" s="29" t="str">
        <f t="shared" si="55"/>
        <v>NA</v>
      </c>
      <c r="Z55" s="29" t="str">
        <f t="shared" si="56"/>
        <v>NA</v>
      </c>
      <c r="AA55" s="29" t="str">
        <f t="shared" si="57"/>
        <v>NA</v>
      </c>
      <c r="AB55" s="29" t="str">
        <f t="shared" si="58"/>
        <v>NA</v>
      </c>
      <c r="AC55" s="29" t="str">
        <f t="shared" si="59"/>
        <v>NA</v>
      </c>
      <c r="AD55" s="29" t="str">
        <f t="shared" si="60"/>
        <v>NA</v>
      </c>
      <c r="AE55" s="29" t="str">
        <f t="shared" si="61"/>
        <v>NA</v>
      </c>
      <c r="AF55" s="29" t="str">
        <f t="shared" si="62"/>
        <v>NA</v>
      </c>
      <c r="AG55" s="29" t="str">
        <f t="shared" si="63"/>
        <v>NA</v>
      </c>
      <c r="AH55" s="29" t="str">
        <f t="shared" si="64"/>
        <v>NA</v>
      </c>
    </row>
    <row r="56" customHeight="1" spans="1:34">
      <c r="A56" s="12" t="s">
        <v>1043</v>
      </c>
      <c r="F56" s="24">
        <f t="shared" si="10"/>
        <v>0</v>
      </c>
      <c r="G56" s="24" t="e">
        <f t="shared" si="7"/>
        <v>#DIV/0!</v>
      </c>
      <c r="Q56" s="29" t="str">
        <f t="shared" si="47"/>
        <v>NA</v>
      </c>
      <c r="R56" s="29" t="str">
        <f t="shared" si="48"/>
        <v>NA</v>
      </c>
      <c r="S56" s="29" t="str">
        <f t="shared" si="49"/>
        <v>NA</v>
      </c>
      <c r="T56" s="29" t="str">
        <f t="shared" si="50"/>
        <v>NA</v>
      </c>
      <c r="U56" s="29" t="str">
        <f t="shared" si="51"/>
        <v>NA</v>
      </c>
      <c r="V56" s="29" t="str">
        <f t="shared" si="52"/>
        <v>NA</v>
      </c>
      <c r="W56" s="29" t="str">
        <f t="shared" si="53"/>
        <v>NA</v>
      </c>
      <c r="X56" s="29" t="str">
        <f t="shared" si="54"/>
        <v>NA</v>
      </c>
      <c r="Y56" s="29" t="str">
        <f t="shared" si="55"/>
        <v>NA</v>
      </c>
      <c r="Z56" s="29" t="str">
        <f t="shared" si="56"/>
        <v>NA</v>
      </c>
      <c r="AA56" s="29" t="str">
        <f t="shared" si="57"/>
        <v>NA</v>
      </c>
      <c r="AB56" s="29" t="str">
        <f t="shared" si="58"/>
        <v>NA</v>
      </c>
      <c r="AC56" s="29" t="str">
        <f t="shared" si="59"/>
        <v>NA</v>
      </c>
      <c r="AD56" s="29" t="str">
        <f t="shared" si="60"/>
        <v>NA</v>
      </c>
      <c r="AE56" s="29" t="str">
        <f t="shared" si="61"/>
        <v>NA</v>
      </c>
      <c r="AF56" s="29" t="str">
        <f t="shared" si="62"/>
        <v>NA</v>
      </c>
      <c r="AG56" s="29" t="str">
        <f t="shared" si="63"/>
        <v>NA</v>
      </c>
      <c r="AH56" s="29" t="str">
        <f t="shared" si="64"/>
        <v>NA</v>
      </c>
    </row>
    <row r="57" customHeight="1" spans="1:34">
      <c r="A57" s="12" t="s">
        <v>1043</v>
      </c>
      <c r="F57" s="24">
        <f t="shared" si="10"/>
        <v>0</v>
      </c>
      <c r="G57" s="24" t="e">
        <f t="shared" si="7"/>
        <v>#DIV/0!</v>
      </c>
      <c r="Q57" s="29" t="str">
        <f t="shared" si="47"/>
        <v>NA</v>
      </c>
      <c r="R57" s="29" t="str">
        <f t="shared" si="48"/>
        <v>NA</v>
      </c>
      <c r="S57" s="29" t="str">
        <f t="shared" si="49"/>
        <v>NA</v>
      </c>
      <c r="T57" s="29" t="str">
        <f t="shared" si="50"/>
        <v>NA</v>
      </c>
      <c r="U57" s="29" t="str">
        <f t="shared" si="51"/>
        <v>NA</v>
      </c>
      <c r="V57" s="29" t="str">
        <f t="shared" si="52"/>
        <v>NA</v>
      </c>
      <c r="W57" s="29" t="str">
        <f t="shared" si="53"/>
        <v>NA</v>
      </c>
      <c r="X57" s="29" t="str">
        <f t="shared" si="54"/>
        <v>NA</v>
      </c>
      <c r="Y57" s="29" t="str">
        <f t="shared" si="55"/>
        <v>NA</v>
      </c>
      <c r="Z57" s="29" t="str">
        <f t="shared" si="56"/>
        <v>NA</v>
      </c>
      <c r="AA57" s="29" t="str">
        <f t="shared" si="57"/>
        <v>NA</v>
      </c>
      <c r="AB57" s="29" t="str">
        <f t="shared" si="58"/>
        <v>NA</v>
      </c>
      <c r="AC57" s="29" t="str">
        <f t="shared" si="59"/>
        <v>NA</v>
      </c>
      <c r="AD57" s="29" t="str">
        <f t="shared" si="60"/>
        <v>NA</v>
      </c>
      <c r="AE57" s="29" t="str">
        <f t="shared" si="61"/>
        <v>NA</v>
      </c>
      <c r="AF57" s="29" t="str">
        <f t="shared" si="62"/>
        <v>NA</v>
      </c>
      <c r="AG57" s="29" t="str">
        <f t="shared" si="63"/>
        <v>NA</v>
      </c>
      <c r="AH57" s="29" t="str">
        <f t="shared" si="64"/>
        <v>NA</v>
      </c>
    </row>
    <row r="58" customHeight="1" spans="1:34">
      <c r="A58" s="12" t="s">
        <v>1043</v>
      </c>
      <c r="F58" s="24">
        <f t="shared" si="10"/>
        <v>0</v>
      </c>
      <c r="G58" s="24" t="e">
        <f t="shared" si="7"/>
        <v>#DIV/0!</v>
      </c>
      <c r="Q58" s="29" t="str">
        <f t="shared" si="47"/>
        <v>NA</v>
      </c>
      <c r="R58" s="29" t="str">
        <f t="shared" si="48"/>
        <v>NA</v>
      </c>
      <c r="S58" s="29" t="str">
        <f t="shared" si="49"/>
        <v>NA</v>
      </c>
      <c r="T58" s="29" t="str">
        <f t="shared" si="50"/>
        <v>NA</v>
      </c>
      <c r="U58" s="29" t="str">
        <f t="shared" si="51"/>
        <v>NA</v>
      </c>
      <c r="V58" s="29" t="str">
        <f t="shared" si="52"/>
        <v>NA</v>
      </c>
      <c r="W58" s="29" t="str">
        <f t="shared" si="53"/>
        <v>NA</v>
      </c>
      <c r="X58" s="29" t="str">
        <f t="shared" si="54"/>
        <v>NA</v>
      </c>
      <c r="Y58" s="29" t="str">
        <f t="shared" si="55"/>
        <v>NA</v>
      </c>
      <c r="Z58" s="29" t="str">
        <f t="shared" si="56"/>
        <v>NA</v>
      </c>
      <c r="AA58" s="29" t="str">
        <f t="shared" si="57"/>
        <v>NA</v>
      </c>
      <c r="AB58" s="29" t="str">
        <f t="shared" si="58"/>
        <v>NA</v>
      </c>
      <c r="AC58" s="29" t="str">
        <f t="shared" si="59"/>
        <v>NA</v>
      </c>
      <c r="AD58" s="29" t="str">
        <f t="shared" si="60"/>
        <v>NA</v>
      </c>
      <c r="AE58" s="29" t="str">
        <f t="shared" si="61"/>
        <v>NA</v>
      </c>
      <c r="AF58" s="29" t="str">
        <f t="shared" si="62"/>
        <v>NA</v>
      </c>
      <c r="AG58" s="29" t="str">
        <f t="shared" si="63"/>
        <v>NA</v>
      </c>
      <c r="AH58" s="29" t="str">
        <f t="shared" si="64"/>
        <v>NA</v>
      </c>
    </row>
    <row r="59" customHeight="1" spans="1:34">
      <c r="A59" s="12" t="s">
        <v>1043</v>
      </c>
      <c r="F59" s="24">
        <f t="shared" si="10"/>
        <v>0</v>
      </c>
      <c r="G59" s="24" t="e">
        <f t="shared" si="7"/>
        <v>#DIV/0!</v>
      </c>
      <c r="Q59" s="29" t="str">
        <f t="shared" si="47"/>
        <v>NA</v>
      </c>
      <c r="R59" s="29" t="str">
        <f t="shared" si="48"/>
        <v>NA</v>
      </c>
      <c r="S59" s="29" t="str">
        <f t="shared" si="49"/>
        <v>NA</v>
      </c>
      <c r="T59" s="29" t="str">
        <f t="shared" si="50"/>
        <v>NA</v>
      </c>
      <c r="U59" s="29" t="str">
        <f t="shared" si="51"/>
        <v>NA</v>
      </c>
      <c r="V59" s="29" t="str">
        <f t="shared" si="52"/>
        <v>NA</v>
      </c>
      <c r="W59" s="29" t="str">
        <f t="shared" si="53"/>
        <v>NA</v>
      </c>
      <c r="X59" s="29" t="str">
        <f t="shared" si="54"/>
        <v>NA</v>
      </c>
      <c r="Y59" s="29" t="str">
        <f t="shared" si="55"/>
        <v>NA</v>
      </c>
      <c r="Z59" s="29" t="str">
        <f t="shared" si="56"/>
        <v>NA</v>
      </c>
      <c r="AA59" s="29" t="str">
        <f t="shared" si="57"/>
        <v>NA</v>
      </c>
      <c r="AB59" s="29" t="str">
        <f t="shared" si="58"/>
        <v>NA</v>
      </c>
      <c r="AC59" s="29" t="str">
        <f t="shared" si="59"/>
        <v>NA</v>
      </c>
      <c r="AD59" s="29" t="str">
        <f t="shared" si="60"/>
        <v>NA</v>
      </c>
      <c r="AE59" s="29" t="str">
        <f t="shared" si="61"/>
        <v>NA</v>
      </c>
      <c r="AF59" s="29" t="str">
        <f t="shared" si="62"/>
        <v>NA</v>
      </c>
      <c r="AG59" s="29" t="str">
        <f t="shared" si="63"/>
        <v>NA</v>
      </c>
      <c r="AH59" s="29" t="str">
        <f t="shared" si="64"/>
        <v>NA</v>
      </c>
    </row>
    <row r="60" customHeight="1" spans="1:34">
      <c r="A60" s="12" t="s">
        <v>1043</v>
      </c>
      <c r="F60" s="24">
        <f t="shared" si="10"/>
        <v>0</v>
      </c>
      <c r="G60" s="24" t="e">
        <f t="shared" si="7"/>
        <v>#DIV/0!</v>
      </c>
      <c r="Q60" s="29" t="str">
        <f t="shared" si="47"/>
        <v>NA</v>
      </c>
      <c r="R60" s="29" t="str">
        <f t="shared" si="48"/>
        <v>NA</v>
      </c>
      <c r="S60" s="29" t="str">
        <f t="shared" si="49"/>
        <v>NA</v>
      </c>
      <c r="T60" s="29" t="str">
        <f t="shared" si="50"/>
        <v>NA</v>
      </c>
      <c r="U60" s="29" t="str">
        <f t="shared" si="51"/>
        <v>NA</v>
      </c>
      <c r="V60" s="29" t="str">
        <f t="shared" si="52"/>
        <v>NA</v>
      </c>
      <c r="W60" s="29" t="str">
        <f t="shared" si="53"/>
        <v>NA</v>
      </c>
      <c r="X60" s="29" t="str">
        <f t="shared" si="54"/>
        <v>NA</v>
      </c>
      <c r="Y60" s="29" t="str">
        <f t="shared" si="55"/>
        <v>NA</v>
      </c>
      <c r="Z60" s="29" t="str">
        <f t="shared" si="56"/>
        <v>NA</v>
      </c>
      <c r="AA60" s="29" t="str">
        <f t="shared" si="57"/>
        <v>NA</v>
      </c>
      <c r="AB60" s="29" t="str">
        <f t="shared" si="58"/>
        <v>NA</v>
      </c>
      <c r="AC60" s="29" t="str">
        <f t="shared" si="59"/>
        <v>NA</v>
      </c>
      <c r="AD60" s="29" t="str">
        <f t="shared" si="60"/>
        <v>NA</v>
      </c>
      <c r="AE60" s="29" t="str">
        <f t="shared" si="61"/>
        <v>NA</v>
      </c>
      <c r="AF60" s="29" t="str">
        <f t="shared" si="62"/>
        <v>NA</v>
      </c>
      <c r="AG60" s="29" t="str">
        <f t="shared" si="63"/>
        <v>NA</v>
      </c>
      <c r="AH60" s="29" t="str">
        <f t="shared" si="64"/>
        <v>NA</v>
      </c>
    </row>
    <row r="61" customHeight="1" spans="1:34">
      <c r="A61" s="12" t="s">
        <v>1043</v>
      </c>
      <c r="F61" s="24">
        <f t="shared" si="10"/>
        <v>0</v>
      </c>
      <c r="G61" s="24" t="e">
        <f t="shared" si="7"/>
        <v>#DIV/0!</v>
      </c>
      <c r="Q61" s="29" t="str">
        <f t="shared" si="47"/>
        <v>NA</v>
      </c>
      <c r="R61" s="29" t="str">
        <f t="shared" si="48"/>
        <v>NA</v>
      </c>
      <c r="S61" s="29" t="str">
        <f t="shared" si="49"/>
        <v>NA</v>
      </c>
      <c r="T61" s="29" t="str">
        <f t="shared" si="50"/>
        <v>NA</v>
      </c>
      <c r="U61" s="29" t="str">
        <f t="shared" si="51"/>
        <v>NA</v>
      </c>
      <c r="V61" s="29" t="str">
        <f t="shared" si="52"/>
        <v>NA</v>
      </c>
      <c r="W61" s="29" t="str">
        <f t="shared" si="53"/>
        <v>NA</v>
      </c>
      <c r="X61" s="29" t="str">
        <f t="shared" si="54"/>
        <v>NA</v>
      </c>
      <c r="Y61" s="29" t="str">
        <f t="shared" si="55"/>
        <v>NA</v>
      </c>
      <c r="Z61" s="29" t="str">
        <f t="shared" si="56"/>
        <v>NA</v>
      </c>
      <c r="AA61" s="29" t="str">
        <f t="shared" si="57"/>
        <v>NA</v>
      </c>
      <c r="AB61" s="29" t="str">
        <f t="shared" si="58"/>
        <v>NA</v>
      </c>
      <c r="AC61" s="29" t="str">
        <f t="shared" si="59"/>
        <v>NA</v>
      </c>
      <c r="AD61" s="29" t="str">
        <f t="shared" si="60"/>
        <v>NA</v>
      </c>
      <c r="AE61" s="29" t="str">
        <f t="shared" si="61"/>
        <v>NA</v>
      </c>
      <c r="AF61" s="29" t="str">
        <f t="shared" si="62"/>
        <v>NA</v>
      </c>
      <c r="AG61" s="29" t="str">
        <f t="shared" si="63"/>
        <v>NA</v>
      </c>
      <c r="AH61" s="29" t="str">
        <f t="shared" si="64"/>
        <v>NA</v>
      </c>
    </row>
    <row r="62" customHeight="1" spans="1:34">
      <c r="A62" s="12" t="s">
        <v>1043</v>
      </c>
      <c r="F62" s="24">
        <f t="shared" si="10"/>
        <v>0</v>
      </c>
      <c r="G62" s="24" t="e">
        <f t="shared" si="7"/>
        <v>#DIV/0!</v>
      </c>
      <c r="Q62" s="29" t="str">
        <f t="shared" si="47"/>
        <v>NA</v>
      </c>
      <c r="R62" s="29" t="str">
        <f t="shared" si="48"/>
        <v>NA</v>
      </c>
      <c r="S62" s="29" t="str">
        <f t="shared" si="49"/>
        <v>NA</v>
      </c>
      <c r="T62" s="29" t="str">
        <f t="shared" si="50"/>
        <v>NA</v>
      </c>
      <c r="U62" s="29" t="str">
        <f t="shared" si="51"/>
        <v>NA</v>
      </c>
      <c r="V62" s="29" t="str">
        <f t="shared" si="52"/>
        <v>NA</v>
      </c>
      <c r="W62" s="29" t="str">
        <f t="shared" si="53"/>
        <v>NA</v>
      </c>
      <c r="X62" s="29" t="str">
        <f t="shared" si="54"/>
        <v>NA</v>
      </c>
      <c r="Y62" s="29" t="str">
        <f t="shared" si="55"/>
        <v>NA</v>
      </c>
      <c r="Z62" s="29" t="str">
        <f t="shared" si="56"/>
        <v>NA</v>
      </c>
      <c r="AA62" s="29" t="str">
        <f t="shared" si="57"/>
        <v>NA</v>
      </c>
      <c r="AB62" s="29" t="str">
        <f t="shared" si="58"/>
        <v>NA</v>
      </c>
      <c r="AC62" s="29" t="str">
        <f t="shared" si="59"/>
        <v>NA</v>
      </c>
      <c r="AD62" s="29" t="str">
        <f t="shared" si="60"/>
        <v>NA</v>
      </c>
      <c r="AE62" s="29" t="str">
        <f t="shared" si="61"/>
        <v>NA</v>
      </c>
      <c r="AF62" s="29" t="str">
        <f t="shared" si="62"/>
        <v>NA</v>
      </c>
      <c r="AG62" s="29" t="str">
        <f t="shared" si="63"/>
        <v>NA</v>
      </c>
      <c r="AH62" s="29" t="str">
        <f t="shared" si="64"/>
        <v>NA</v>
      </c>
    </row>
    <row r="63" customHeight="1" spans="1:34">
      <c r="A63" s="12" t="s">
        <v>1043</v>
      </c>
      <c r="F63" s="24">
        <f t="shared" si="10"/>
        <v>0</v>
      </c>
      <c r="G63" s="24" t="e">
        <f t="shared" si="7"/>
        <v>#DIV/0!</v>
      </c>
      <c r="Q63" s="29" t="str">
        <f t="shared" si="47"/>
        <v>NA</v>
      </c>
      <c r="R63" s="29" t="str">
        <f t="shared" si="48"/>
        <v>NA</v>
      </c>
      <c r="S63" s="29" t="str">
        <f t="shared" si="49"/>
        <v>NA</v>
      </c>
      <c r="T63" s="29" t="str">
        <f t="shared" si="50"/>
        <v>NA</v>
      </c>
      <c r="U63" s="29" t="str">
        <f t="shared" si="51"/>
        <v>NA</v>
      </c>
      <c r="V63" s="29" t="str">
        <f t="shared" si="52"/>
        <v>NA</v>
      </c>
      <c r="W63" s="29" t="str">
        <f t="shared" si="53"/>
        <v>NA</v>
      </c>
      <c r="X63" s="29" t="str">
        <f t="shared" si="54"/>
        <v>NA</v>
      </c>
      <c r="Y63" s="29" t="str">
        <f t="shared" si="55"/>
        <v>NA</v>
      </c>
      <c r="Z63" s="29" t="str">
        <f t="shared" si="56"/>
        <v>NA</v>
      </c>
      <c r="AA63" s="29" t="str">
        <f t="shared" si="57"/>
        <v>NA</v>
      </c>
      <c r="AB63" s="29" t="str">
        <f t="shared" si="58"/>
        <v>NA</v>
      </c>
      <c r="AC63" s="29" t="str">
        <f t="shared" si="59"/>
        <v>NA</v>
      </c>
      <c r="AD63" s="29" t="str">
        <f t="shared" si="60"/>
        <v>NA</v>
      </c>
      <c r="AE63" s="29" t="str">
        <f t="shared" si="61"/>
        <v>NA</v>
      </c>
      <c r="AF63" s="29" t="str">
        <f t="shared" si="62"/>
        <v>NA</v>
      </c>
      <c r="AG63" s="29" t="str">
        <f t="shared" si="63"/>
        <v>NA</v>
      </c>
      <c r="AH63" s="29" t="str">
        <f t="shared" si="64"/>
        <v>NA</v>
      </c>
    </row>
    <row r="64" customHeight="1" spans="1:34">
      <c r="A64" s="12" t="s">
        <v>1043</v>
      </c>
      <c r="F64" s="24">
        <f t="shared" si="10"/>
        <v>0</v>
      </c>
      <c r="G64" s="24" t="e">
        <f t="shared" si="7"/>
        <v>#DIV/0!</v>
      </c>
      <c r="Q64" s="29" t="str">
        <f t="shared" si="47"/>
        <v>NA</v>
      </c>
      <c r="R64" s="29" t="str">
        <f t="shared" si="48"/>
        <v>NA</v>
      </c>
      <c r="S64" s="29" t="str">
        <f t="shared" si="49"/>
        <v>NA</v>
      </c>
      <c r="T64" s="29" t="str">
        <f t="shared" si="50"/>
        <v>NA</v>
      </c>
      <c r="U64" s="29" t="str">
        <f t="shared" si="51"/>
        <v>NA</v>
      </c>
      <c r="V64" s="29" t="str">
        <f t="shared" si="52"/>
        <v>NA</v>
      </c>
      <c r="W64" s="29" t="str">
        <f t="shared" si="53"/>
        <v>NA</v>
      </c>
      <c r="X64" s="29" t="str">
        <f t="shared" si="54"/>
        <v>NA</v>
      </c>
      <c r="Y64" s="29" t="str">
        <f t="shared" si="55"/>
        <v>NA</v>
      </c>
      <c r="Z64" s="29" t="str">
        <f t="shared" si="56"/>
        <v>NA</v>
      </c>
      <c r="AA64" s="29" t="str">
        <f t="shared" si="57"/>
        <v>NA</v>
      </c>
      <c r="AB64" s="29" t="str">
        <f t="shared" si="58"/>
        <v>NA</v>
      </c>
      <c r="AC64" s="29" t="str">
        <f t="shared" si="59"/>
        <v>NA</v>
      </c>
      <c r="AD64" s="29" t="str">
        <f t="shared" si="60"/>
        <v>NA</v>
      </c>
      <c r="AE64" s="29" t="str">
        <f t="shared" si="61"/>
        <v>NA</v>
      </c>
      <c r="AF64" s="29" t="str">
        <f t="shared" si="62"/>
        <v>NA</v>
      </c>
      <c r="AG64" s="29" t="str">
        <f t="shared" si="63"/>
        <v>NA</v>
      </c>
      <c r="AH64" s="29" t="str">
        <f t="shared" si="64"/>
        <v>NA</v>
      </c>
    </row>
    <row r="65" customHeight="1" spans="1:34">
      <c r="A65" s="12" t="s">
        <v>1043</v>
      </c>
      <c r="F65" s="24">
        <f t="shared" si="10"/>
        <v>0</v>
      </c>
      <c r="G65" s="24" t="e">
        <f t="shared" si="7"/>
        <v>#DIV/0!</v>
      </c>
      <c r="Q65" s="29" t="str">
        <f t="shared" si="47"/>
        <v>NA</v>
      </c>
      <c r="R65" s="29" t="str">
        <f t="shared" si="48"/>
        <v>NA</v>
      </c>
      <c r="S65" s="29" t="str">
        <f t="shared" si="49"/>
        <v>NA</v>
      </c>
      <c r="T65" s="29" t="str">
        <f t="shared" si="50"/>
        <v>NA</v>
      </c>
      <c r="U65" s="29" t="str">
        <f t="shared" si="51"/>
        <v>NA</v>
      </c>
      <c r="V65" s="29" t="str">
        <f t="shared" si="52"/>
        <v>NA</v>
      </c>
      <c r="W65" s="29" t="str">
        <f t="shared" si="53"/>
        <v>NA</v>
      </c>
      <c r="X65" s="29" t="str">
        <f t="shared" si="54"/>
        <v>NA</v>
      </c>
      <c r="Y65" s="29" t="str">
        <f t="shared" si="55"/>
        <v>NA</v>
      </c>
      <c r="Z65" s="29" t="str">
        <f t="shared" si="56"/>
        <v>NA</v>
      </c>
      <c r="AA65" s="29" t="str">
        <f t="shared" si="57"/>
        <v>NA</v>
      </c>
      <c r="AB65" s="29" t="str">
        <f t="shared" si="58"/>
        <v>NA</v>
      </c>
      <c r="AC65" s="29" t="str">
        <f t="shared" si="59"/>
        <v>NA</v>
      </c>
      <c r="AD65" s="29" t="str">
        <f t="shared" si="60"/>
        <v>NA</v>
      </c>
      <c r="AE65" s="29" t="str">
        <f t="shared" si="61"/>
        <v>NA</v>
      </c>
      <c r="AF65" s="29" t="str">
        <f t="shared" si="62"/>
        <v>NA</v>
      </c>
      <c r="AG65" s="29" t="str">
        <f t="shared" si="63"/>
        <v>NA</v>
      </c>
      <c r="AH65" s="29" t="str">
        <f t="shared" si="64"/>
        <v>NA</v>
      </c>
    </row>
    <row r="66" customHeight="1" spans="1:34">
      <c r="A66" s="12" t="s">
        <v>1043</v>
      </c>
      <c r="F66" s="24">
        <f t="shared" si="10"/>
        <v>0</v>
      </c>
      <c r="G66" s="24" t="e">
        <f t="shared" si="7"/>
        <v>#DIV/0!</v>
      </c>
      <c r="Q66" s="29" t="str">
        <f t="shared" si="47"/>
        <v>NA</v>
      </c>
      <c r="R66" s="29" t="str">
        <f t="shared" si="48"/>
        <v>NA</v>
      </c>
      <c r="S66" s="29" t="str">
        <f t="shared" si="49"/>
        <v>NA</v>
      </c>
      <c r="T66" s="29" t="str">
        <f t="shared" si="50"/>
        <v>NA</v>
      </c>
      <c r="U66" s="29" t="str">
        <f t="shared" si="51"/>
        <v>NA</v>
      </c>
      <c r="V66" s="29" t="str">
        <f t="shared" si="52"/>
        <v>NA</v>
      </c>
      <c r="W66" s="29" t="str">
        <f t="shared" si="53"/>
        <v>NA</v>
      </c>
      <c r="X66" s="29" t="str">
        <f t="shared" si="54"/>
        <v>NA</v>
      </c>
      <c r="Y66" s="29" t="str">
        <f t="shared" si="55"/>
        <v>NA</v>
      </c>
      <c r="Z66" s="29" t="str">
        <f t="shared" si="56"/>
        <v>NA</v>
      </c>
      <c r="AA66" s="29" t="str">
        <f t="shared" si="57"/>
        <v>NA</v>
      </c>
      <c r="AB66" s="29" t="str">
        <f t="shared" si="58"/>
        <v>NA</v>
      </c>
      <c r="AC66" s="29" t="str">
        <f t="shared" si="59"/>
        <v>NA</v>
      </c>
      <c r="AD66" s="29" t="str">
        <f t="shared" si="60"/>
        <v>NA</v>
      </c>
      <c r="AE66" s="29" t="str">
        <f t="shared" si="61"/>
        <v>NA</v>
      </c>
      <c r="AF66" s="29" t="str">
        <f t="shared" si="62"/>
        <v>NA</v>
      </c>
      <c r="AG66" s="29" t="str">
        <f t="shared" si="63"/>
        <v>NA</v>
      </c>
      <c r="AH66" s="29" t="str">
        <f t="shared" si="64"/>
        <v>NA</v>
      </c>
    </row>
    <row r="67" customHeight="1" spans="1:34">
      <c r="A67" s="12" t="s">
        <v>1043</v>
      </c>
      <c r="F67" s="24">
        <f t="shared" si="10"/>
        <v>0</v>
      </c>
      <c r="G67" s="24" t="e">
        <f t="shared" si="7"/>
        <v>#DIV/0!</v>
      </c>
      <c r="Q67" s="29" t="str">
        <f t="shared" si="47"/>
        <v>NA</v>
      </c>
      <c r="R67" s="29" t="str">
        <f t="shared" si="48"/>
        <v>NA</v>
      </c>
      <c r="S67" s="29" t="str">
        <f t="shared" si="49"/>
        <v>NA</v>
      </c>
      <c r="T67" s="29" t="str">
        <f t="shared" si="50"/>
        <v>NA</v>
      </c>
      <c r="U67" s="29" t="str">
        <f t="shared" si="51"/>
        <v>NA</v>
      </c>
      <c r="V67" s="29" t="str">
        <f t="shared" si="52"/>
        <v>NA</v>
      </c>
      <c r="W67" s="29" t="str">
        <f t="shared" si="53"/>
        <v>NA</v>
      </c>
      <c r="X67" s="29" t="str">
        <f t="shared" si="54"/>
        <v>NA</v>
      </c>
      <c r="Y67" s="29" t="str">
        <f t="shared" si="55"/>
        <v>NA</v>
      </c>
      <c r="Z67" s="29" t="str">
        <f t="shared" si="56"/>
        <v>NA</v>
      </c>
      <c r="AA67" s="29" t="str">
        <f t="shared" si="57"/>
        <v>NA</v>
      </c>
      <c r="AB67" s="29" t="str">
        <f t="shared" si="58"/>
        <v>NA</v>
      </c>
      <c r="AC67" s="29" t="str">
        <f t="shared" si="59"/>
        <v>NA</v>
      </c>
      <c r="AD67" s="29" t="str">
        <f t="shared" si="60"/>
        <v>NA</v>
      </c>
      <c r="AE67" s="29" t="str">
        <f t="shared" si="61"/>
        <v>NA</v>
      </c>
      <c r="AF67" s="29" t="str">
        <f t="shared" si="62"/>
        <v>NA</v>
      </c>
      <c r="AG67" s="29" t="str">
        <f t="shared" si="63"/>
        <v>NA</v>
      </c>
      <c r="AH67" s="29" t="str">
        <f t="shared" si="64"/>
        <v>NA</v>
      </c>
    </row>
    <row r="68" customHeight="1" spans="1:34">
      <c r="A68" s="12" t="s">
        <v>1043</v>
      </c>
      <c r="F68" s="24">
        <f t="shared" si="10"/>
        <v>0</v>
      </c>
      <c r="G68" s="24" t="e">
        <f t="shared" si="7"/>
        <v>#DIV/0!</v>
      </c>
      <c r="Q68" s="29" t="str">
        <f t="shared" si="47"/>
        <v>NA</v>
      </c>
      <c r="R68" s="29" t="str">
        <f t="shared" si="48"/>
        <v>NA</v>
      </c>
      <c r="S68" s="29" t="str">
        <f t="shared" si="49"/>
        <v>NA</v>
      </c>
      <c r="T68" s="29" t="str">
        <f t="shared" si="50"/>
        <v>NA</v>
      </c>
      <c r="U68" s="29" t="str">
        <f t="shared" si="51"/>
        <v>NA</v>
      </c>
      <c r="V68" s="29" t="str">
        <f t="shared" si="52"/>
        <v>NA</v>
      </c>
      <c r="W68" s="29" t="str">
        <f t="shared" si="53"/>
        <v>NA</v>
      </c>
      <c r="X68" s="29" t="str">
        <f t="shared" si="54"/>
        <v>NA</v>
      </c>
      <c r="Y68" s="29" t="str">
        <f t="shared" si="55"/>
        <v>NA</v>
      </c>
      <c r="Z68" s="29" t="str">
        <f t="shared" si="56"/>
        <v>NA</v>
      </c>
      <c r="AA68" s="29" t="str">
        <f t="shared" si="57"/>
        <v>NA</v>
      </c>
      <c r="AB68" s="29" t="str">
        <f t="shared" si="58"/>
        <v>NA</v>
      </c>
      <c r="AC68" s="29" t="str">
        <f t="shared" si="59"/>
        <v>NA</v>
      </c>
      <c r="AD68" s="29" t="str">
        <f t="shared" si="60"/>
        <v>NA</v>
      </c>
      <c r="AE68" s="29" t="str">
        <f t="shared" si="61"/>
        <v>NA</v>
      </c>
      <c r="AF68" s="29" t="str">
        <f t="shared" si="62"/>
        <v>NA</v>
      </c>
      <c r="AG68" s="29" t="str">
        <f t="shared" si="63"/>
        <v>NA</v>
      </c>
      <c r="AH68" s="29" t="str">
        <f t="shared" si="64"/>
        <v>NA</v>
      </c>
    </row>
    <row r="69" customHeight="1" spans="1:34">
      <c r="A69" s="12" t="s">
        <v>1043</v>
      </c>
      <c r="F69" s="24">
        <f t="shared" si="10"/>
        <v>0</v>
      </c>
      <c r="G69" s="24" t="e">
        <f t="shared" ref="G69:G132" si="65">B69*D69/C69</f>
        <v>#DIV/0!</v>
      </c>
      <c r="Q69" s="29" t="str">
        <f t="shared" si="47"/>
        <v>NA</v>
      </c>
      <c r="R69" s="29" t="str">
        <f t="shared" si="48"/>
        <v>NA</v>
      </c>
      <c r="S69" s="29" t="str">
        <f t="shared" si="49"/>
        <v>NA</v>
      </c>
      <c r="T69" s="29" t="str">
        <f t="shared" si="50"/>
        <v>NA</v>
      </c>
      <c r="U69" s="29" t="str">
        <f t="shared" si="51"/>
        <v>NA</v>
      </c>
      <c r="V69" s="29" t="str">
        <f t="shared" si="52"/>
        <v>NA</v>
      </c>
      <c r="W69" s="29" t="str">
        <f t="shared" si="53"/>
        <v>NA</v>
      </c>
      <c r="X69" s="29" t="str">
        <f t="shared" si="54"/>
        <v>NA</v>
      </c>
      <c r="Y69" s="29" t="str">
        <f t="shared" si="55"/>
        <v>NA</v>
      </c>
      <c r="Z69" s="29" t="str">
        <f t="shared" si="56"/>
        <v>NA</v>
      </c>
      <c r="AA69" s="29" t="str">
        <f t="shared" si="57"/>
        <v>NA</v>
      </c>
      <c r="AB69" s="29" t="str">
        <f t="shared" si="58"/>
        <v>NA</v>
      </c>
      <c r="AC69" s="29" t="str">
        <f t="shared" si="59"/>
        <v>NA</v>
      </c>
      <c r="AD69" s="29" t="str">
        <f t="shared" si="60"/>
        <v>NA</v>
      </c>
      <c r="AE69" s="29" t="str">
        <f t="shared" si="61"/>
        <v>NA</v>
      </c>
      <c r="AF69" s="29" t="str">
        <f t="shared" si="62"/>
        <v>NA</v>
      </c>
      <c r="AG69" s="29" t="str">
        <f t="shared" si="63"/>
        <v>NA</v>
      </c>
      <c r="AH69" s="29" t="str">
        <f t="shared" si="64"/>
        <v>NA</v>
      </c>
    </row>
    <row r="70" customHeight="1" spans="1:34">
      <c r="A70" s="12" t="s">
        <v>1043</v>
      </c>
      <c r="F70" s="24">
        <f t="shared" ref="F70:F133" si="66">+D70+E70</f>
        <v>0</v>
      </c>
      <c r="G70" s="24" t="e">
        <f t="shared" si="65"/>
        <v>#DIV/0!</v>
      </c>
      <c r="Q70" s="29" t="str">
        <f t="shared" si="47"/>
        <v>NA</v>
      </c>
      <c r="R70" s="29" t="str">
        <f t="shared" si="48"/>
        <v>NA</v>
      </c>
      <c r="S70" s="29" t="str">
        <f t="shared" si="49"/>
        <v>NA</v>
      </c>
      <c r="T70" s="29" t="str">
        <f t="shared" si="50"/>
        <v>NA</v>
      </c>
      <c r="U70" s="29" t="str">
        <f t="shared" si="51"/>
        <v>NA</v>
      </c>
      <c r="V70" s="29" t="str">
        <f t="shared" si="52"/>
        <v>NA</v>
      </c>
      <c r="W70" s="29" t="str">
        <f t="shared" si="53"/>
        <v>NA</v>
      </c>
      <c r="X70" s="29" t="str">
        <f t="shared" si="54"/>
        <v>NA</v>
      </c>
      <c r="Y70" s="29" t="str">
        <f t="shared" si="55"/>
        <v>NA</v>
      </c>
      <c r="Z70" s="29" t="str">
        <f t="shared" si="56"/>
        <v>NA</v>
      </c>
      <c r="AA70" s="29" t="str">
        <f t="shared" si="57"/>
        <v>NA</v>
      </c>
      <c r="AB70" s="29" t="str">
        <f t="shared" si="58"/>
        <v>NA</v>
      </c>
      <c r="AC70" s="29" t="str">
        <f t="shared" si="59"/>
        <v>NA</v>
      </c>
      <c r="AD70" s="29" t="str">
        <f t="shared" si="60"/>
        <v>NA</v>
      </c>
      <c r="AE70" s="29" t="str">
        <f t="shared" si="61"/>
        <v>NA</v>
      </c>
      <c r="AF70" s="29" t="str">
        <f t="shared" si="62"/>
        <v>NA</v>
      </c>
      <c r="AG70" s="29" t="str">
        <f t="shared" si="63"/>
        <v>NA</v>
      </c>
      <c r="AH70" s="29" t="str">
        <f t="shared" si="64"/>
        <v>NA</v>
      </c>
    </row>
    <row r="71" customHeight="1" spans="1:34">
      <c r="A71" s="12" t="s">
        <v>1043</v>
      </c>
      <c r="F71" s="24">
        <f t="shared" si="66"/>
        <v>0</v>
      </c>
      <c r="G71" s="24" t="e">
        <f t="shared" si="65"/>
        <v>#DIV/0!</v>
      </c>
      <c r="Q71" s="29" t="str">
        <f t="shared" si="47"/>
        <v>NA</v>
      </c>
      <c r="R71" s="29" t="str">
        <f t="shared" si="48"/>
        <v>NA</v>
      </c>
      <c r="S71" s="29" t="str">
        <f t="shared" si="49"/>
        <v>NA</v>
      </c>
      <c r="T71" s="29" t="str">
        <f t="shared" si="50"/>
        <v>NA</v>
      </c>
      <c r="U71" s="29" t="str">
        <f t="shared" si="51"/>
        <v>NA</v>
      </c>
      <c r="V71" s="29" t="str">
        <f t="shared" si="52"/>
        <v>NA</v>
      </c>
      <c r="W71" s="29" t="str">
        <f t="shared" si="53"/>
        <v>NA</v>
      </c>
      <c r="X71" s="29" t="str">
        <f t="shared" si="54"/>
        <v>NA</v>
      </c>
      <c r="Y71" s="29" t="str">
        <f t="shared" si="55"/>
        <v>NA</v>
      </c>
      <c r="Z71" s="29" t="str">
        <f t="shared" si="56"/>
        <v>NA</v>
      </c>
      <c r="AA71" s="29" t="str">
        <f t="shared" si="57"/>
        <v>NA</v>
      </c>
      <c r="AB71" s="29" t="str">
        <f t="shared" si="58"/>
        <v>NA</v>
      </c>
      <c r="AC71" s="29" t="str">
        <f t="shared" si="59"/>
        <v>NA</v>
      </c>
      <c r="AD71" s="29" t="str">
        <f t="shared" si="60"/>
        <v>NA</v>
      </c>
      <c r="AE71" s="29" t="str">
        <f t="shared" si="61"/>
        <v>NA</v>
      </c>
      <c r="AF71" s="29" t="str">
        <f t="shared" si="62"/>
        <v>NA</v>
      </c>
      <c r="AG71" s="29" t="str">
        <f t="shared" si="63"/>
        <v>NA</v>
      </c>
      <c r="AH71" s="29" t="str">
        <f t="shared" si="64"/>
        <v>NA</v>
      </c>
    </row>
    <row r="72" customHeight="1" spans="1:34">
      <c r="A72" s="12" t="s">
        <v>1043</v>
      </c>
      <c r="F72" s="24">
        <f t="shared" si="66"/>
        <v>0</v>
      </c>
      <c r="G72" s="24" t="e">
        <f t="shared" si="65"/>
        <v>#DIV/0!</v>
      </c>
      <c r="Q72" s="29" t="str">
        <f t="shared" si="47"/>
        <v>NA</v>
      </c>
      <c r="R72" s="29" t="str">
        <f t="shared" si="48"/>
        <v>NA</v>
      </c>
      <c r="S72" s="29" t="str">
        <f t="shared" si="49"/>
        <v>NA</v>
      </c>
      <c r="T72" s="29" t="str">
        <f t="shared" si="50"/>
        <v>NA</v>
      </c>
      <c r="U72" s="29" t="str">
        <f t="shared" si="51"/>
        <v>NA</v>
      </c>
      <c r="V72" s="29" t="str">
        <f t="shared" si="52"/>
        <v>NA</v>
      </c>
      <c r="W72" s="29" t="str">
        <f t="shared" si="53"/>
        <v>NA</v>
      </c>
      <c r="X72" s="29" t="str">
        <f t="shared" si="54"/>
        <v>NA</v>
      </c>
      <c r="Y72" s="29" t="str">
        <f t="shared" si="55"/>
        <v>NA</v>
      </c>
      <c r="Z72" s="29" t="str">
        <f t="shared" si="56"/>
        <v>NA</v>
      </c>
      <c r="AA72" s="29" t="str">
        <f t="shared" si="57"/>
        <v>NA</v>
      </c>
      <c r="AB72" s="29" t="str">
        <f t="shared" si="58"/>
        <v>NA</v>
      </c>
      <c r="AC72" s="29" t="str">
        <f t="shared" si="59"/>
        <v>NA</v>
      </c>
      <c r="AD72" s="29" t="str">
        <f t="shared" si="60"/>
        <v>NA</v>
      </c>
      <c r="AE72" s="29" t="str">
        <f t="shared" si="61"/>
        <v>NA</v>
      </c>
      <c r="AF72" s="29" t="str">
        <f t="shared" si="62"/>
        <v>NA</v>
      </c>
      <c r="AG72" s="29" t="str">
        <f t="shared" si="63"/>
        <v>NA</v>
      </c>
      <c r="AH72" s="29" t="str">
        <f t="shared" si="64"/>
        <v>NA</v>
      </c>
    </row>
    <row r="73" customHeight="1" spans="1:34">
      <c r="A73" s="12" t="s">
        <v>1043</v>
      </c>
      <c r="F73" s="24">
        <f t="shared" si="66"/>
        <v>0</v>
      </c>
      <c r="G73" s="24" t="e">
        <f t="shared" si="65"/>
        <v>#DIV/0!</v>
      </c>
      <c r="Q73" s="29" t="str">
        <f t="shared" si="47"/>
        <v>NA</v>
      </c>
      <c r="R73" s="29" t="str">
        <f t="shared" si="48"/>
        <v>NA</v>
      </c>
      <c r="S73" s="29" t="str">
        <f t="shared" si="49"/>
        <v>NA</v>
      </c>
      <c r="T73" s="29" t="str">
        <f t="shared" si="50"/>
        <v>NA</v>
      </c>
      <c r="U73" s="29" t="str">
        <f t="shared" si="51"/>
        <v>NA</v>
      </c>
      <c r="V73" s="29" t="str">
        <f t="shared" si="52"/>
        <v>NA</v>
      </c>
      <c r="W73" s="29" t="str">
        <f t="shared" si="53"/>
        <v>NA</v>
      </c>
      <c r="X73" s="29" t="str">
        <f t="shared" si="54"/>
        <v>NA</v>
      </c>
      <c r="Y73" s="29" t="str">
        <f t="shared" si="55"/>
        <v>NA</v>
      </c>
      <c r="Z73" s="29" t="str">
        <f t="shared" si="56"/>
        <v>NA</v>
      </c>
      <c r="AA73" s="29" t="str">
        <f t="shared" si="57"/>
        <v>NA</v>
      </c>
      <c r="AB73" s="29" t="str">
        <f t="shared" si="58"/>
        <v>NA</v>
      </c>
      <c r="AC73" s="29" t="str">
        <f t="shared" si="59"/>
        <v>NA</v>
      </c>
      <c r="AD73" s="29" t="str">
        <f t="shared" si="60"/>
        <v>NA</v>
      </c>
      <c r="AE73" s="29" t="str">
        <f t="shared" si="61"/>
        <v>NA</v>
      </c>
      <c r="AF73" s="29" t="str">
        <f t="shared" si="62"/>
        <v>NA</v>
      </c>
      <c r="AG73" s="29" t="str">
        <f t="shared" si="63"/>
        <v>NA</v>
      </c>
      <c r="AH73" s="29" t="str">
        <f t="shared" si="64"/>
        <v>NA</v>
      </c>
    </row>
    <row r="74" customHeight="1" spans="1:34">
      <c r="A74" s="12" t="s">
        <v>1043</v>
      </c>
      <c r="F74" s="24">
        <f t="shared" si="66"/>
        <v>0</v>
      </c>
      <c r="G74" s="24" t="e">
        <f t="shared" si="65"/>
        <v>#DIV/0!</v>
      </c>
      <c r="Q74" s="29" t="str">
        <f t="shared" si="47"/>
        <v>NA</v>
      </c>
      <c r="R74" s="29" t="str">
        <f t="shared" si="48"/>
        <v>NA</v>
      </c>
      <c r="S74" s="29" t="str">
        <f t="shared" si="49"/>
        <v>NA</v>
      </c>
      <c r="T74" s="29" t="str">
        <f t="shared" si="50"/>
        <v>NA</v>
      </c>
      <c r="U74" s="29" t="str">
        <f t="shared" si="51"/>
        <v>NA</v>
      </c>
      <c r="V74" s="29" t="str">
        <f t="shared" si="52"/>
        <v>NA</v>
      </c>
      <c r="W74" s="29" t="str">
        <f t="shared" si="53"/>
        <v>NA</v>
      </c>
      <c r="X74" s="29" t="str">
        <f t="shared" si="54"/>
        <v>NA</v>
      </c>
      <c r="Y74" s="29" t="str">
        <f t="shared" si="55"/>
        <v>NA</v>
      </c>
      <c r="Z74" s="29" t="str">
        <f t="shared" si="56"/>
        <v>NA</v>
      </c>
      <c r="AA74" s="29" t="str">
        <f t="shared" si="57"/>
        <v>NA</v>
      </c>
      <c r="AB74" s="29" t="str">
        <f t="shared" si="58"/>
        <v>NA</v>
      </c>
      <c r="AC74" s="29" t="str">
        <f t="shared" si="59"/>
        <v>NA</v>
      </c>
      <c r="AD74" s="29" t="str">
        <f t="shared" si="60"/>
        <v>NA</v>
      </c>
      <c r="AE74" s="29" t="str">
        <f t="shared" si="61"/>
        <v>NA</v>
      </c>
      <c r="AF74" s="29" t="str">
        <f t="shared" si="62"/>
        <v>NA</v>
      </c>
      <c r="AG74" s="29" t="str">
        <f t="shared" si="63"/>
        <v>NA</v>
      </c>
      <c r="AH74" s="29" t="str">
        <f t="shared" si="64"/>
        <v>NA</v>
      </c>
    </row>
    <row r="75" customHeight="1" spans="1:34">
      <c r="A75" s="12" t="s">
        <v>1043</v>
      </c>
      <c r="F75" s="24">
        <f t="shared" si="66"/>
        <v>0</v>
      </c>
      <c r="G75" s="24" t="e">
        <f t="shared" si="65"/>
        <v>#DIV/0!</v>
      </c>
      <c r="Q75" s="29" t="str">
        <f t="shared" si="47"/>
        <v>NA</v>
      </c>
      <c r="R75" s="29" t="str">
        <f t="shared" si="48"/>
        <v>NA</v>
      </c>
      <c r="S75" s="29" t="str">
        <f t="shared" si="49"/>
        <v>NA</v>
      </c>
      <c r="T75" s="29" t="str">
        <f t="shared" si="50"/>
        <v>NA</v>
      </c>
      <c r="U75" s="29" t="str">
        <f t="shared" si="51"/>
        <v>NA</v>
      </c>
      <c r="V75" s="29" t="str">
        <f t="shared" si="52"/>
        <v>NA</v>
      </c>
      <c r="W75" s="29" t="str">
        <f t="shared" si="53"/>
        <v>NA</v>
      </c>
      <c r="X75" s="29" t="str">
        <f t="shared" si="54"/>
        <v>NA</v>
      </c>
      <c r="Y75" s="29" t="str">
        <f t="shared" si="55"/>
        <v>NA</v>
      </c>
      <c r="Z75" s="29" t="str">
        <f t="shared" si="56"/>
        <v>NA</v>
      </c>
      <c r="AA75" s="29" t="str">
        <f t="shared" si="57"/>
        <v>NA</v>
      </c>
      <c r="AB75" s="29" t="str">
        <f t="shared" si="58"/>
        <v>NA</v>
      </c>
      <c r="AC75" s="29" t="str">
        <f t="shared" si="59"/>
        <v>NA</v>
      </c>
      <c r="AD75" s="29" t="str">
        <f t="shared" si="60"/>
        <v>NA</v>
      </c>
      <c r="AE75" s="29" t="str">
        <f t="shared" si="61"/>
        <v>NA</v>
      </c>
      <c r="AF75" s="29" t="str">
        <f t="shared" si="62"/>
        <v>NA</v>
      </c>
      <c r="AG75" s="29" t="str">
        <f t="shared" si="63"/>
        <v>NA</v>
      </c>
      <c r="AH75" s="29" t="str">
        <f t="shared" si="64"/>
        <v>NA</v>
      </c>
    </row>
    <row r="76" customHeight="1" spans="1:34">
      <c r="A76" s="12" t="s">
        <v>1043</v>
      </c>
      <c r="F76" s="24">
        <f t="shared" si="66"/>
        <v>0</v>
      </c>
      <c r="G76" s="24" t="e">
        <f t="shared" si="65"/>
        <v>#DIV/0!</v>
      </c>
      <c r="Q76" s="29" t="str">
        <f t="shared" si="47"/>
        <v>NA</v>
      </c>
      <c r="R76" s="29" t="str">
        <f t="shared" si="48"/>
        <v>NA</v>
      </c>
      <c r="S76" s="29" t="str">
        <f t="shared" si="49"/>
        <v>NA</v>
      </c>
      <c r="T76" s="29" t="str">
        <f t="shared" si="50"/>
        <v>NA</v>
      </c>
      <c r="U76" s="29" t="str">
        <f t="shared" si="51"/>
        <v>NA</v>
      </c>
      <c r="V76" s="29" t="str">
        <f t="shared" si="52"/>
        <v>NA</v>
      </c>
      <c r="W76" s="29" t="str">
        <f t="shared" si="53"/>
        <v>NA</v>
      </c>
      <c r="X76" s="29" t="str">
        <f t="shared" si="54"/>
        <v>NA</v>
      </c>
      <c r="Y76" s="29" t="str">
        <f t="shared" si="55"/>
        <v>NA</v>
      </c>
      <c r="Z76" s="29" t="str">
        <f t="shared" si="56"/>
        <v>NA</v>
      </c>
      <c r="AA76" s="29" t="str">
        <f t="shared" si="57"/>
        <v>NA</v>
      </c>
      <c r="AB76" s="29" t="str">
        <f t="shared" si="58"/>
        <v>NA</v>
      </c>
      <c r="AC76" s="29" t="str">
        <f t="shared" si="59"/>
        <v>NA</v>
      </c>
      <c r="AD76" s="29" t="str">
        <f t="shared" si="60"/>
        <v>NA</v>
      </c>
      <c r="AE76" s="29" t="str">
        <f t="shared" si="61"/>
        <v>NA</v>
      </c>
      <c r="AF76" s="29" t="str">
        <f t="shared" si="62"/>
        <v>NA</v>
      </c>
      <c r="AG76" s="29" t="str">
        <f t="shared" si="63"/>
        <v>NA</v>
      </c>
      <c r="AH76" s="29" t="str">
        <f t="shared" si="64"/>
        <v>NA</v>
      </c>
    </row>
    <row r="77" customHeight="1" spans="1:34">
      <c r="A77" s="12" t="s">
        <v>1043</v>
      </c>
      <c r="F77" s="24">
        <f t="shared" si="66"/>
        <v>0</v>
      </c>
      <c r="G77" s="24" t="e">
        <f t="shared" si="65"/>
        <v>#DIV/0!</v>
      </c>
      <c r="Q77" s="29" t="str">
        <f t="shared" si="47"/>
        <v>NA</v>
      </c>
      <c r="R77" s="29" t="str">
        <f t="shared" si="48"/>
        <v>NA</v>
      </c>
      <c r="S77" s="29" t="str">
        <f t="shared" si="49"/>
        <v>NA</v>
      </c>
      <c r="T77" s="29" t="str">
        <f t="shared" si="50"/>
        <v>NA</v>
      </c>
      <c r="U77" s="29" t="str">
        <f t="shared" si="51"/>
        <v>NA</v>
      </c>
      <c r="V77" s="29" t="str">
        <f t="shared" si="52"/>
        <v>NA</v>
      </c>
      <c r="W77" s="29" t="str">
        <f t="shared" si="53"/>
        <v>NA</v>
      </c>
      <c r="X77" s="29" t="str">
        <f t="shared" si="54"/>
        <v>NA</v>
      </c>
      <c r="Y77" s="29" t="str">
        <f t="shared" si="55"/>
        <v>NA</v>
      </c>
      <c r="Z77" s="29" t="str">
        <f t="shared" si="56"/>
        <v>NA</v>
      </c>
      <c r="AA77" s="29" t="str">
        <f t="shared" si="57"/>
        <v>NA</v>
      </c>
      <c r="AB77" s="29" t="str">
        <f t="shared" si="58"/>
        <v>NA</v>
      </c>
      <c r="AC77" s="29" t="str">
        <f t="shared" si="59"/>
        <v>NA</v>
      </c>
      <c r="AD77" s="29" t="str">
        <f t="shared" si="60"/>
        <v>NA</v>
      </c>
      <c r="AE77" s="29" t="str">
        <f t="shared" si="61"/>
        <v>NA</v>
      </c>
      <c r="AF77" s="29" t="str">
        <f t="shared" si="62"/>
        <v>NA</v>
      </c>
      <c r="AG77" s="29" t="str">
        <f t="shared" si="63"/>
        <v>NA</v>
      </c>
      <c r="AH77" s="29" t="str">
        <f t="shared" si="64"/>
        <v>NA</v>
      </c>
    </row>
    <row r="78" customHeight="1" spans="1:34">
      <c r="A78" s="12" t="s">
        <v>1043</v>
      </c>
      <c r="F78" s="24">
        <f t="shared" si="66"/>
        <v>0</v>
      </c>
      <c r="G78" s="24" t="e">
        <f t="shared" si="65"/>
        <v>#DIV/0!</v>
      </c>
      <c r="Q78" s="29" t="str">
        <f t="shared" si="47"/>
        <v>NA</v>
      </c>
      <c r="R78" s="29" t="str">
        <f t="shared" si="48"/>
        <v>NA</v>
      </c>
      <c r="S78" s="29" t="str">
        <f t="shared" si="49"/>
        <v>NA</v>
      </c>
      <c r="T78" s="29" t="str">
        <f t="shared" si="50"/>
        <v>NA</v>
      </c>
      <c r="U78" s="29" t="str">
        <f t="shared" si="51"/>
        <v>NA</v>
      </c>
      <c r="V78" s="29" t="str">
        <f t="shared" si="52"/>
        <v>NA</v>
      </c>
      <c r="W78" s="29" t="str">
        <f t="shared" si="53"/>
        <v>NA</v>
      </c>
      <c r="X78" s="29" t="str">
        <f t="shared" si="54"/>
        <v>NA</v>
      </c>
      <c r="Y78" s="29" t="str">
        <f t="shared" si="55"/>
        <v>NA</v>
      </c>
      <c r="Z78" s="29" t="str">
        <f t="shared" si="56"/>
        <v>NA</v>
      </c>
      <c r="AA78" s="29" t="str">
        <f t="shared" si="57"/>
        <v>NA</v>
      </c>
      <c r="AB78" s="29" t="str">
        <f t="shared" si="58"/>
        <v>NA</v>
      </c>
      <c r="AC78" s="29" t="str">
        <f t="shared" si="59"/>
        <v>NA</v>
      </c>
      <c r="AD78" s="29" t="str">
        <f t="shared" si="60"/>
        <v>NA</v>
      </c>
      <c r="AE78" s="29" t="str">
        <f t="shared" si="61"/>
        <v>NA</v>
      </c>
      <c r="AF78" s="29" t="str">
        <f t="shared" si="62"/>
        <v>NA</v>
      </c>
      <c r="AG78" s="29" t="str">
        <f t="shared" si="63"/>
        <v>NA</v>
      </c>
      <c r="AH78" s="29" t="str">
        <f t="shared" si="64"/>
        <v>NA</v>
      </c>
    </row>
    <row r="79" customHeight="1" spans="1:34">
      <c r="A79" s="12" t="s">
        <v>1043</v>
      </c>
      <c r="F79" s="24">
        <f t="shared" si="66"/>
        <v>0</v>
      </c>
      <c r="G79" s="24" t="e">
        <f t="shared" si="65"/>
        <v>#DIV/0!</v>
      </c>
      <c r="Q79" s="29" t="str">
        <f t="shared" si="47"/>
        <v>NA</v>
      </c>
      <c r="R79" s="29" t="str">
        <f t="shared" si="48"/>
        <v>NA</v>
      </c>
      <c r="S79" s="29" t="str">
        <f t="shared" si="49"/>
        <v>NA</v>
      </c>
      <c r="T79" s="29" t="str">
        <f t="shared" si="50"/>
        <v>NA</v>
      </c>
      <c r="U79" s="29" t="str">
        <f t="shared" si="51"/>
        <v>NA</v>
      </c>
      <c r="V79" s="29" t="str">
        <f t="shared" si="52"/>
        <v>NA</v>
      </c>
      <c r="W79" s="29" t="str">
        <f t="shared" si="53"/>
        <v>NA</v>
      </c>
      <c r="X79" s="29" t="str">
        <f t="shared" si="54"/>
        <v>NA</v>
      </c>
      <c r="Y79" s="29" t="str">
        <f t="shared" si="55"/>
        <v>NA</v>
      </c>
      <c r="Z79" s="29" t="str">
        <f t="shared" si="56"/>
        <v>NA</v>
      </c>
      <c r="AA79" s="29" t="str">
        <f t="shared" si="57"/>
        <v>NA</v>
      </c>
      <c r="AB79" s="29" t="str">
        <f t="shared" si="58"/>
        <v>NA</v>
      </c>
      <c r="AC79" s="29" t="str">
        <f t="shared" si="59"/>
        <v>NA</v>
      </c>
      <c r="AD79" s="29" t="str">
        <f t="shared" si="60"/>
        <v>NA</v>
      </c>
      <c r="AE79" s="29" t="str">
        <f t="shared" si="61"/>
        <v>NA</v>
      </c>
      <c r="AF79" s="29" t="str">
        <f t="shared" si="62"/>
        <v>NA</v>
      </c>
      <c r="AG79" s="29" t="str">
        <f t="shared" si="63"/>
        <v>NA</v>
      </c>
      <c r="AH79" s="29" t="str">
        <f t="shared" si="64"/>
        <v>NA</v>
      </c>
    </row>
    <row r="80" customHeight="1" spans="1:34">
      <c r="A80" s="12" t="s">
        <v>1043</v>
      </c>
      <c r="F80" s="24">
        <f t="shared" si="66"/>
        <v>0</v>
      </c>
      <c r="G80" s="24" t="e">
        <f t="shared" si="65"/>
        <v>#DIV/0!</v>
      </c>
      <c r="Q80" s="29" t="str">
        <f t="shared" ref="Q80:Q143" si="67">IFERROR($B80*$E80/H80,"NA")</f>
        <v>NA</v>
      </c>
      <c r="R80" s="29" t="str">
        <f t="shared" ref="R80:R143" si="68">IFERROR($B80*$E80/I80,"NA")</f>
        <v>NA</v>
      </c>
      <c r="S80" s="29" t="str">
        <f t="shared" ref="S80:S143" si="69">IFERROR($B80*$E80/J80,"NA")</f>
        <v>NA</v>
      </c>
      <c r="T80" s="29" t="str">
        <f t="shared" ref="T80:T143" si="70">IFERROR($B80*$E80/K80,"NA")</f>
        <v>NA</v>
      </c>
      <c r="U80" s="29" t="str">
        <f t="shared" ref="U80:U143" si="71">IFERROR($B80*$E80/L80,"NA")</f>
        <v>NA</v>
      </c>
      <c r="V80" s="29" t="str">
        <f t="shared" ref="V80:V143" si="72">IFERROR($B80*$E80/M80,"NA")</f>
        <v>NA</v>
      </c>
      <c r="W80" s="29" t="str">
        <f t="shared" ref="W80:W143" si="73">IFERROR($B80*$E80/N80,"NA")</f>
        <v>NA</v>
      </c>
      <c r="X80" s="29" t="str">
        <f t="shared" ref="X80:X143" si="74">IFERROR($B80*$E80/O80,"NA")</f>
        <v>NA</v>
      </c>
      <c r="Y80" s="29" t="str">
        <f t="shared" ref="Y80:Y143" si="75">IFERROR($B80*$E80/P80,"NA")</f>
        <v>NA</v>
      </c>
      <c r="Z80" s="29" t="str">
        <f t="shared" ref="Z80:Z143" si="76">IFERROR((($G80*Z$2/1000)+Q80)/1,"NA")</f>
        <v>NA</v>
      </c>
      <c r="AA80" s="29" t="str">
        <f t="shared" ref="AA80:AA143" si="77">IFERROR((($G80*AA$2/1000)+R80)/1,"NA")</f>
        <v>NA</v>
      </c>
      <c r="AB80" s="29" t="str">
        <f t="shared" ref="AB80:AB143" si="78">IFERROR((($G80*AB$2/1000)+S80)/1,"NA")</f>
        <v>NA</v>
      </c>
      <c r="AC80" s="29" t="str">
        <f t="shared" ref="AC80:AC143" si="79">IFERROR((($G80*AC$2/1000)+T80)/1,"NA")</f>
        <v>NA</v>
      </c>
      <c r="AD80" s="29" t="str">
        <f t="shared" ref="AD80:AD143" si="80">IFERROR((($G80*AD$2/1000)+U80)/1,"NA")</f>
        <v>NA</v>
      </c>
      <c r="AE80" s="29" t="str">
        <f t="shared" ref="AE80:AE143" si="81">IFERROR((($G80*AE$2/1000)+V80)/1,"NA")</f>
        <v>NA</v>
      </c>
      <c r="AF80" s="29" t="str">
        <f t="shared" ref="AF80:AF143" si="82">IFERROR((($G80*AF$2/1000)+W80)/1,"NA")</f>
        <v>NA</v>
      </c>
      <c r="AG80" s="29" t="str">
        <f t="shared" ref="AG80:AG143" si="83">IFERROR((($G80*AG$2/1000)+X80)/1,"NA")</f>
        <v>NA</v>
      </c>
      <c r="AH80" s="29" t="str">
        <f t="shared" ref="AH80:AH143" si="84">IFERROR((($G80*AH$2/1000)+Y80)/1,"NA")</f>
        <v>NA</v>
      </c>
    </row>
    <row r="81" customHeight="1" spans="1:34">
      <c r="A81" s="12" t="s">
        <v>1043</v>
      </c>
      <c r="F81" s="24">
        <f t="shared" si="66"/>
        <v>0</v>
      </c>
      <c r="G81" s="24" t="e">
        <f t="shared" si="65"/>
        <v>#DIV/0!</v>
      </c>
      <c r="Q81" s="29" t="str">
        <f t="shared" si="67"/>
        <v>NA</v>
      </c>
      <c r="R81" s="29" t="str">
        <f t="shared" si="68"/>
        <v>NA</v>
      </c>
      <c r="S81" s="29" t="str">
        <f t="shared" si="69"/>
        <v>NA</v>
      </c>
      <c r="T81" s="29" t="str">
        <f t="shared" si="70"/>
        <v>NA</v>
      </c>
      <c r="U81" s="29" t="str">
        <f t="shared" si="71"/>
        <v>NA</v>
      </c>
      <c r="V81" s="29" t="str">
        <f t="shared" si="72"/>
        <v>NA</v>
      </c>
      <c r="W81" s="29" t="str">
        <f t="shared" si="73"/>
        <v>NA</v>
      </c>
      <c r="X81" s="29" t="str">
        <f t="shared" si="74"/>
        <v>NA</v>
      </c>
      <c r="Y81" s="29" t="str">
        <f t="shared" si="75"/>
        <v>NA</v>
      </c>
      <c r="Z81" s="29" t="str">
        <f t="shared" si="76"/>
        <v>NA</v>
      </c>
      <c r="AA81" s="29" t="str">
        <f t="shared" si="77"/>
        <v>NA</v>
      </c>
      <c r="AB81" s="29" t="str">
        <f t="shared" si="78"/>
        <v>NA</v>
      </c>
      <c r="AC81" s="29" t="str">
        <f t="shared" si="79"/>
        <v>NA</v>
      </c>
      <c r="AD81" s="29" t="str">
        <f t="shared" si="80"/>
        <v>NA</v>
      </c>
      <c r="AE81" s="29" t="str">
        <f t="shared" si="81"/>
        <v>NA</v>
      </c>
      <c r="AF81" s="29" t="str">
        <f t="shared" si="82"/>
        <v>NA</v>
      </c>
      <c r="AG81" s="29" t="str">
        <f t="shared" si="83"/>
        <v>NA</v>
      </c>
      <c r="AH81" s="29" t="str">
        <f t="shared" si="84"/>
        <v>NA</v>
      </c>
    </row>
    <row r="82" customHeight="1" spans="1:34">
      <c r="A82" s="12" t="s">
        <v>1043</v>
      </c>
      <c r="F82" s="24">
        <f t="shared" si="66"/>
        <v>0</v>
      </c>
      <c r="G82" s="24" t="e">
        <f t="shared" si="65"/>
        <v>#DIV/0!</v>
      </c>
      <c r="Q82" s="29" t="str">
        <f t="shared" si="67"/>
        <v>NA</v>
      </c>
      <c r="R82" s="29" t="str">
        <f t="shared" si="68"/>
        <v>NA</v>
      </c>
      <c r="S82" s="29" t="str">
        <f t="shared" si="69"/>
        <v>NA</v>
      </c>
      <c r="T82" s="29" t="str">
        <f t="shared" si="70"/>
        <v>NA</v>
      </c>
      <c r="U82" s="29" t="str">
        <f t="shared" si="71"/>
        <v>NA</v>
      </c>
      <c r="V82" s="29" t="str">
        <f t="shared" si="72"/>
        <v>NA</v>
      </c>
      <c r="W82" s="29" t="str">
        <f t="shared" si="73"/>
        <v>NA</v>
      </c>
      <c r="X82" s="29" t="str">
        <f t="shared" si="74"/>
        <v>NA</v>
      </c>
      <c r="Y82" s="29" t="str">
        <f t="shared" si="75"/>
        <v>NA</v>
      </c>
      <c r="Z82" s="29" t="str">
        <f t="shared" si="76"/>
        <v>NA</v>
      </c>
      <c r="AA82" s="29" t="str">
        <f t="shared" si="77"/>
        <v>NA</v>
      </c>
      <c r="AB82" s="29" t="str">
        <f t="shared" si="78"/>
        <v>NA</v>
      </c>
      <c r="AC82" s="29" t="str">
        <f t="shared" si="79"/>
        <v>NA</v>
      </c>
      <c r="AD82" s="29" t="str">
        <f t="shared" si="80"/>
        <v>NA</v>
      </c>
      <c r="AE82" s="29" t="str">
        <f t="shared" si="81"/>
        <v>NA</v>
      </c>
      <c r="AF82" s="29" t="str">
        <f t="shared" si="82"/>
        <v>NA</v>
      </c>
      <c r="AG82" s="29" t="str">
        <f t="shared" si="83"/>
        <v>NA</v>
      </c>
      <c r="AH82" s="29" t="str">
        <f t="shared" si="84"/>
        <v>NA</v>
      </c>
    </row>
    <row r="83" customHeight="1" spans="1:34">
      <c r="A83" s="12" t="s">
        <v>1043</v>
      </c>
      <c r="F83" s="24">
        <f t="shared" si="66"/>
        <v>0</v>
      </c>
      <c r="G83" s="24" t="e">
        <f t="shared" si="65"/>
        <v>#DIV/0!</v>
      </c>
      <c r="Q83" s="29" t="str">
        <f t="shared" si="67"/>
        <v>NA</v>
      </c>
      <c r="R83" s="29" t="str">
        <f t="shared" si="68"/>
        <v>NA</v>
      </c>
      <c r="S83" s="29" t="str">
        <f t="shared" si="69"/>
        <v>NA</v>
      </c>
      <c r="T83" s="29" t="str">
        <f t="shared" si="70"/>
        <v>NA</v>
      </c>
      <c r="U83" s="29" t="str">
        <f t="shared" si="71"/>
        <v>NA</v>
      </c>
      <c r="V83" s="29" t="str">
        <f t="shared" si="72"/>
        <v>NA</v>
      </c>
      <c r="W83" s="29" t="str">
        <f t="shared" si="73"/>
        <v>NA</v>
      </c>
      <c r="X83" s="29" t="str">
        <f t="shared" si="74"/>
        <v>NA</v>
      </c>
      <c r="Y83" s="29" t="str">
        <f t="shared" si="75"/>
        <v>NA</v>
      </c>
      <c r="Z83" s="29" t="str">
        <f t="shared" si="76"/>
        <v>NA</v>
      </c>
      <c r="AA83" s="29" t="str">
        <f t="shared" si="77"/>
        <v>NA</v>
      </c>
      <c r="AB83" s="29" t="str">
        <f t="shared" si="78"/>
        <v>NA</v>
      </c>
      <c r="AC83" s="29" t="str">
        <f t="shared" si="79"/>
        <v>NA</v>
      </c>
      <c r="AD83" s="29" t="str">
        <f t="shared" si="80"/>
        <v>NA</v>
      </c>
      <c r="AE83" s="29" t="str">
        <f t="shared" si="81"/>
        <v>NA</v>
      </c>
      <c r="AF83" s="29" t="str">
        <f t="shared" si="82"/>
        <v>NA</v>
      </c>
      <c r="AG83" s="29" t="str">
        <f t="shared" si="83"/>
        <v>NA</v>
      </c>
      <c r="AH83" s="29" t="str">
        <f t="shared" si="84"/>
        <v>NA</v>
      </c>
    </row>
    <row r="84" customHeight="1" spans="1:34">
      <c r="A84" s="12" t="s">
        <v>1043</v>
      </c>
      <c r="F84" s="24">
        <f t="shared" si="66"/>
        <v>0</v>
      </c>
      <c r="G84" s="24" t="e">
        <f t="shared" si="65"/>
        <v>#DIV/0!</v>
      </c>
      <c r="Q84" s="29" t="str">
        <f t="shared" si="67"/>
        <v>NA</v>
      </c>
      <c r="R84" s="29" t="str">
        <f t="shared" si="68"/>
        <v>NA</v>
      </c>
      <c r="S84" s="29" t="str">
        <f t="shared" si="69"/>
        <v>NA</v>
      </c>
      <c r="T84" s="29" t="str">
        <f t="shared" si="70"/>
        <v>NA</v>
      </c>
      <c r="U84" s="29" t="str">
        <f t="shared" si="71"/>
        <v>NA</v>
      </c>
      <c r="V84" s="29" t="str">
        <f t="shared" si="72"/>
        <v>NA</v>
      </c>
      <c r="W84" s="29" t="str">
        <f t="shared" si="73"/>
        <v>NA</v>
      </c>
      <c r="X84" s="29" t="str">
        <f t="shared" si="74"/>
        <v>NA</v>
      </c>
      <c r="Y84" s="29" t="str">
        <f t="shared" si="75"/>
        <v>NA</v>
      </c>
      <c r="Z84" s="29" t="str">
        <f t="shared" si="76"/>
        <v>NA</v>
      </c>
      <c r="AA84" s="29" t="str">
        <f t="shared" si="77"/>
        <v>NA</v>
      </c>
      <c r="AB84" s="29" t="str">
        <f t="shared" si="78"/>
        <v>NA</v>
      </c>
      <c r="AC84" s="29" t="str">
        <f t="shared" si="79"/>
        <v>NA</v>
      </c>
      <c r="AD84" s="29" t="str">
        <f t="shared" si="80"/>
        <v>NA</v>
      </c>
      <c r="AE84" s="29" t="str">
        <f t="shared" si="81"/>
        <v>NA</v>
      </c>
      <c r="AF84" s="29" t="str">
        <f t="shared" si="82"/>
        <v>NA</v>
      </c>
      <c r="AG84" s="29" t="str">
        <f t="shared" si="83"/>
        <v>NA</v>
      </c>
      <c r="AH84" s="29" t="str">
        <f t="shared" si="84"/>
        <v>NA</v>
      </c>
    </row>
    <row r="85" customHeight="1" spans="1:34">
      <c r="A85" s="12" t="s">
        <v>1043</v>
      </c>
      <c r="F85" s="24">
        <f t="shared" si="66"/>
        <v>0</v>
      </c>
      <c r="G85" s="24" t="e">
        <f t="shared" si="65"/>
        <v>#DIV/0!</v>
      </c>
      <c r="Q85" s="29" t="str">
        <f t="shared" si="67"/>
        <v>NA</v>
      </c>
      <c r="R85" s="29" t="str">
        <f t="shared" si="68"/>
        <v>NA</v>
      </c>
      <c r="S85" s="29" t="str">
        <f t="shared" si="69"/>
        <v>NA</v>
      </c>
      <c r="T85" s="29" t="str">
        <f t="shared" si="70"/>
        <v>NA</v>
      </c>
      <c r="U85" s="29" t="str">
        <f t="shared" si="71"/>
        <v>NA</v>
      </c>
      <c r="V85" s="29" t="str">
        <f t="shared" si="72"/>
        <v>NA</v>
      </c>
      <c r="W85" s="29" t="str">
        <f t="shared" si="73"/>
        <v>NA</v>
      </c>
      <c r="X85" s="29" t="str">
        <f t="shared" si="74"/>
        <v>NA</v>
      </c>
      <c r="Y85" s="29" t="str">
        <f t="shared" si="75"/>
        <v>NA</v>
      </c>
      <c r="Z85" s="29" t="str">
        <f t="shared" si="76"/>
        <v>NA</v>
      </c>
      <c r="AA85" s="29" t="str">
        <f t="shared" si="77"/>
        <v>NA</v>
      </c>
      <c r="AB85" s="29" t="str">
        <f t="shared" si="78"/>
        <v>NA</v>
      </c>
      <c r="AC85" s="29" t="str">
        <f t="shared" si="79"/>
        <v>NA</v>
      </c>
      <c r="AD85" s="29" t="str">
        <f t="shared" si="80"/>
        <v>NA</v>
      </c>
      <c r="AE85" s="29" t="str">
        <f t="shared" si="81"/>
        <v>NA</v>
      </c>
      <c r="AF85" s="29" t="str">
        <f t="shared" si="82"/>
        <v>NA</v>
      </c>
      <c r="AG85" s="29" t="str">
        <f t="shared" si="83"/>
        <v>NA</v>
      </c>
      <c r="AH85" s="29" t="str">
        <f t="shared" si="84"/>
        <v>NA</v>
      </c>
    </row>
    <row r="86" customHeight="1" spans="1:34">
      <c r="A86" s="12" t="s">
        <v>1043</v>
      </c>
      <c r="F86" s="24">
        <f t="shared" si="66"/>
        <v>0</v>
      </c>
      <c r="G86" s="24" t="e">
        <f t="shared" si="65"/>
        <v>#DIV/0!</v>
      </c>
      <c r="Q86" s="29" t="str">
        <f t="shared" si="67"/>
        <v>NA</v>
      </c>
      <c r="R86" s="29" t="str">
        <f t="shared" si="68"/>
        <v>NA</v>
      </c>
      <c r="S86" s="29" t="str">
        <f t="shared" si="69"/>
        <v>NA</v>
      </c>
      <c r="T86" s="29" t="str">
        <f t="shared" si="70"/>
        <v>NA</v>
      </c>
      <c r="U86" s="29" t="str">
        <f t="shared" si="71"/>
        <v>NA</v>
      </c>
      <c r="V86" s="29" t="str">
        <f t="shared" si="72"/>
        <v>NA</v>
      </c>
      <c r="W86" s="29" t="str">
        <f t="shared" si="73"/>
        <v>NA</v>
      </c>
      <c r="X86" s="29" t="str">
        <f t="shared" si="74"/>
        <v>NA</v>
      </c>
      <c r="Y86" s="29" t="str">
        <f t="shared" si="75"/>
        <v>NA</v>
      </c>
      <c r="Z86" s="29" t="str">
        <f t="shared" si="76"/>
        <v>NA</v>
      </c>
      <c r="AA86" s="29" t="str">
        <f t="shared" si="77"/>
        <v>NA</v>
      </c>
      <c r="AB86" s="29" t="str">
        <f t="shared" si="78"/>
        <v>NA</v>
      </c>
      <c r="AC86" s="29" t="str">
        <f t="shared" si="79"/>
        <v>NA</v>
      </c>
      <c r="AD86" s="29" t="str">
        <f t="shared" si="80"/>
        <v>NA</v>
      </c>
      <c r="AE86" s="29" t="str">
        <f t="shared" si="81"/>
        <v>NA</v>
      </c>
      <c r="AF86" s="29" t="str">
        <f t="shared" si="82"/>
        <v>NA</v>
      </c>
      <c r="AG86" s="29" t="str">
        <f t="shared" si="83"/>
        <v>NA</v>
      </c>
      <c r="AH86" s="29" t="str">
        <f t="shared" si="84"/>
        <v>NA</v>
      </c>
    </row>
    <row r="87" customHeight="1" spans="1:34">
      <c r="A87" s="12" t="s">
        <v>1043</v>
      </c>
      <c r="F87" s="24">
        <f t="shared" si="66"/>
        <v>0</v>
      </c>
      <c r="G87" s="24" t="e">
        <f t="shared" si="65"/>
        <v>#DIV/0!</v>
      </c>
      <c r="Q87" s="29" t="str">
        <f t="shared" si="67"/>
        <v>NA</v>
      </c>
      <c r="R87" s="29" t="str">
        <f t="shared" si="68"/>
        <v>NA</v>
      </c>
      <c r="S87" s="29" t="str">
        <f t="shared" si="69"/>
        <v>NA</v>
      </c>
      <c r="T87" s="29" t="str">
        <f t="shared" si="70"/>
        <v>NA</v>
      </c>
      <c r="U87" s="29" t="str">
        <f t="shared" si="71"/>
        <v>NA</v>
      </c>
      <c r="V87" s="29" t="str">
        <f t="shared" si="72"/>
        <v>NA</v>
      </c>
      <c r="W87" s="29" t="str">
        <f t="shared" si="73"/>
        <v>NA</v>
      </c>
      <c r="X87" s="29" t="str">
        <f t="shared" si="74"/>
        <v>NA</v>
      </c>
      <c r="Y87" s="29" t="str">
        <f t="shared" si="75"/>
        <v>NA</v>
      </c>
      <c r="Z87" s="29" t="str">
        <f t="shared" si="76"/>
        <v>NA</v>
      </c>
      <c r="AA87" s="29" t="str">
        <f t="shared" si="77"/>
        <v>NA</v>
      </c>
      <c r="AB87" s="29" t="str">
        <f t="shared" si="78"/>
        <v>NA</v>
      </c>
      <c r="AC87" s="29" t="str">
        <f t="shared" si="79"/>
        <v>NA</v>
      </c>
      <c r="AD87" s="29" t="str">
        <f t="shared" si="80"/>
        <v>NA</v>
      </c>
      <c r="AE87" s="29" t="str">
        <f t="shared" si="81"/>
        <v>NA</v>
      </c>
      <c r="AF87" s="29" t="str">
        <f t="shared" si="82"/>
        <v>NA</v>
      </c>
      <c r="AG87" s="29" t="str">
        <f t="shared" si="83"/>
        <v>NA</v>
      </c>
      <c r="AH87" s="29" t="str">
        <f t="shared" si="84"/>
        <v>NA</v>
      </c>
    </row>
    <row r="88" customHeight="1" spans="1:34">
      <c r="A88" s="12" t="s">
        <v>1043</v>
      </c>
      <c r="F88" s="24">
        <f t="shared" si="66"/>
        <v>0</v>
      </c>
      <c r="G88" s="24" t="e">
        <f t="shared" si="65"/>
        <v>#DIV/0!</v>
      </c>
      <c r="Q88" s="29" t="str">
        <f t="shared" si="67"/>
        <v>NA</v>
      </c>
      <c r="R88" s="29" t="str">
        <f t="shared" si="68"/>
        <v>NA</v>
      </c>
      <c r="S88" s="29" t="str">
        <f t="shared" si="69"/>
        <v>NA</v>
      </c>
      <c r="T88" s="29" t="str">
        <f t="shared" si="70"/>
        <v>NA</v>
      </c>
      <c r="U88" s="29" t="str">
        <f t="shared" si="71"/>
        <v>NA</v>
      </c>
      <c r="V88" s="29" t="str">
        <f t="shared" si="72"/>
        <v>NA</v>
      </c>
      <c r="W88" s="29" t="str">
        <f t="shared" si="73"/>
        <v>NA</v>
      </c>
      <c r="X88" s="29" t="str">
        <f t="shared" si="74"/>
        <v>NA</v>
      </c>
      <c r="Y88" s="29" t="str">
        <f t="shared" si="75"/>
        <v>NA</v>
      </c>
      <c r="Z88" s="29" t="str">
        <f t="shared" si="76"/>
        <v>NA</v>
      </c>
      <c r="AA88" s="29" t="str">
        <f t="shared" si="77"/>
        <v>NA</v>
      </c>
      <c r="AB88" s="29" t="str">
        <f t="shared" si="78"/>
        <v>NA</v>
      </c>
      <c r="AC88" s="29" t="str">
        <f t="shared" si="79"/>
        <v>NA</v>
      </c>
      <c r="AD88" s="29" t="str">
        <f t="shared" si="80"/>
        <v>NA</v>
      </c>
      <c r="AE88" s="29" t="str">
        <f t="shared" si="81"/>
        <v>NA</v>
      </c>
      <c r="AF88" s="29" t="str">
        <f t="shared" si="82"/>
        <v>NA</v>
      </c>
      <c r="AG88" s="29" t="str">
        <f t="shared" si="83"/>
        <v>NA</v>
      </c>
      <c r="AH88" s="29" t="str">
        <f t="shared" si="84"/>
        <v>NA</v>
      </c>
    </row>
    <row r="89" customHeight="1" spans="1:34">
      <c r="A89" s="12" t="s">
        <v>1043</v>
      </c>
      <c r="F89" s="24">
        <f t="shared" si="66"/>
        <v>0</v>
      </c>
      <c r="G89" s="24" t="e">
        <f t="shared" si="65"/>
        <v>#DIV/0!</v>
      </c>
      <c r="Q89" s="29" t="str">
        <f t="shared" si="67"/>
        <v>NA</v>
      </c>
      <c r="R89" s="29" t="str">
        <f t="shared" si="68"/>
        <v>NA</v>
      </c>
      <c r="S89" s="29" t="str">
        <f t="shared" si="69"/>
        <v>NA</v>
      </c>
      <c r="T89" s="29" t="str">
        <f t="shared" si="70"/>
        <v>NA</v>
      </c>
      <c r="U89" s="29" t="str">
        <f t="shared" si="71"/>
        <v>NA</v>
      </c>
      <c r="V89" s="29" t="str">
        <f t="shared" si="72"/>
        <v>NA</v>
      </c>
      <c r="W89" s="29" t="str">
        <f t="shared" si="73"/>
        <v>NA</v>
      </c>
      <c r="X89" s="29" t="str">
        <f t="shared" si="74"/>
        <v>NA</v>
      </c>
      <c r="Y89" s="29" t="str">
        <f t="shared" si="75"/>
        <v>NA</v>
      </c>
      <c r="Z89" s="29" t="str">
        <f t="shared" si="76"/>
        <v>NA</v>
      </c>
      <c r="AA89" s="29" t="str">
        <f t="shared" si="77"/>
        <v>NA</v>
      </c>
      <c r="AB89" s="29" t="str">
        <f t="shared" si="78"/>
        <v>NA</v>
      </c>
      <c r="AC89" s="29" t="str">
        <f t="shared" si="79"/>
        <v>NA</v>
      </c>
      <c r="AD89" s="29" t="str">
        <f t="shared" si="80"/>
        <v>NA</v>
      </c>
      <c r="AE89" s="29" t="str">
        <f t="shared" si="81"/>
        <v>NA</v>
      </c>
      <c r="AF89" s="29" t="str">
        <f t="shared" si="82"/>
        <v>NA</v>
      </c>
      <c r="AG89" s="29" t="str">
        <f t="shared" si="83"/>
        <v>NA</v>
      </c>
      <c r="AH89" s="29" t="str">
        <f t="shared" si="84"/>
        <v>NA</v>
      </c>
    </row>
    <row r="90" customHeight="1" spans="1:34">
      <c r="A90" s="12" t="s">
        <v>1043</v>
      </c>
      <c r="F90" s="24">
        <f t="shared" si="66"/>
        <v>0</v>
      </c>
      <c r="G90" s="24" t="e">
        <f t="shared" si="65"/>
        <v>#DIV/0!</v>
      </c>
      <c r="Q90" s="29" t="str">
        <f t="shared" si="67"/>
        <v>NA</v>
      </c>
      <c r="R90" s="29" t="str">
        <f t="shared" si="68"/>
        <v>NA</v>
      </c>
      <c r="S90" s="29" t="str">
        <f t="shared" si="69"/>
        <v>NA</v>
      </c>
      <c r="T90" s="29" t="str">
        <f t="shared" si="70"/>
        <v>NA</v>
      </c>
      <c r="U90" s="29" t="str">
        <f t="shared" si="71"/>
        <v>NA</v>
      </c>
      <c r="V90" s="29" t="str">
        <f t="shared" si="72"/>
        <v>NA</v>
      </c>
      <c r="W90" s="29" t="str">
        <f t="shared" si="73"/>
        <v>NA</v>
      </c>
      <c r="X90" s="29" t="str">
        <f t="shared" si="74"/>
        <v>NA</v>
      </c>
      <c r="Y90" s="29" t="str">
        <f t="shared" si="75"/>
        <v>NA</v>
      </c>
      <c r="Z90" s="29" t="str">
        <f t="shared" si="76"/>
        <v>NA</v>
      </c>
      <c r="AA90" s="29" t="str">
        <f t="shared" si="77"/>
        <v>NA</v>
      </c>
      <c r="AB90" s="29" t="str">
        <f t="shared" si="78"/>
        <v>NA</v>
      </c>
      <c r="AC90" s="29" t="str">
        <f t="shared" si="79"/>
        <v>NA</v>
      </c>
      <c r="AD90" s="29" t="str">
        <f t="shared" si="80"/>
        <v>NA</v>
      </c>
      <c r="AE90" s="29" t="str">
        <f t="shared" si="81"/>
        <v>NA</v>
      </c>
      <c r="AF90" s="29" t="str">
        <f t="shared" si="82"/>
        <v>NA</v>
      </c>
      <c r="AG90" s="29" t="str">
        <f t="shared" si="83"/>
        <v>NA</v>
      </c>
      <c r="AH90" s="29" t="str">
        <f t="shared" si="84"/>
        <v>NA</v>
      </c>
    </row>
    <row r="91" customHeight="1" spans="1:34">
      <c r="A91" s="12" t="s">
        <v>1043</v>
      </c>
      <c r="F91" s="24">
        <f t="shared" si="66"/>
        <v>0</v>
      </c>
      <c r="G91" s="24" t="e">
        <f t="shared" si="65"/>
        <v>#DIV/0!</v>
      </c>
      <c r="Q91" s="29" t="str">
        <f t="shared" si="67"/>
        <v>NA</v>
      </c>
      <c r="R91" s="29" t="str">
        <f t="shared" si="68"/>
        <v>NA</v>
      </c>
      <c r="S91" s="29" t="str">
        <f t="shared" si="69"/>
        <v>NA</v>
      </c>
      <c r="T91" s="29" t="str">
        <f t="shared" si="70"/>
        <v>NA</v>
      </c>
      <c r="U91" s="29" t="str">
        <f t="shared" si="71"/>
        <v>NA</v>
      </c>
      <c r="V91" s="29" t="str">
        <f t="shared" si="72"/>
        <v>NA</v>
      </c>
      <c r="W91" s="29" t="str">
        <f t="shared" si="73"/>
        <v>NA</v>
      </c>
      <c r="X91" s="29" t="str">
        <f t="shared" si="74"/>
        <v>NA</v>
      </c>
      <c r="Y91" s="29" t="str">
        <f t="shared" si="75"/>
        <v>NA</v>
      </c>
      <c r="Z91" s="29" t="str">
        <f t="shared" si="76"/>
        <v>NA</v>
      </c>
      <c r="AA91" s="29" t="str">
        <f t="shared" si="77"/>
        <v>NA</v>
      </c>
      <c r="AB91" s="29" t="str">
        <f t="shared" si="78"/>
        <v>NA</v>
      </c>
      <c r="AC91" s="29" t="str">
        <f t="shared" si="79"/>
        <v>NA</v>
      </c>
      <c r="AD91" s="29" t="str">
        <f t="shared" si="80"/>
        <v>NA</v>
      </c>
      <c r="AE91" s="29" t="str">
        <f t="shared" si="81"/>
        <v>NA</v>
      </c>
      <c r="AF91" s="29" t="str">
        <f t="shared" si="82"/>
        <v>NA</v>
      </c>
      <c r="AG91" s="29" t="str">
        <f t="shared" si="83"/>
        <v>NA</v>
      </c>
      <c r="AH91" s="29" t="str">
        <f t="shared" si="84"/>
        <v>NA</v>
      </c>
    </row>
    <row r="92" customHeight="1" spans="1:34">
      <c r="A92" s="12" t="s">
        <v>1043</v>
      </c>
      <c r="F92" s="24">
        <f t="shared" si="66"/>
        <v>0</v>
      </c>
      <c r="G92" s="24" t="e">
        <f t="shared" si="65"/>
        <v>#DIV/0!</v>
      </c>
      <c r="Q92" s="29" t="str">
        <f t="shared" si="67"/>
        <v>NA</v>
      </c>
      <c r="R92" s="29" t="str">
        <f t="shared" si="68"/>
        <v>NA</v>
      </c>
      <c r="S92" s="29" t="str">
        <f t="shared" si="69"/>
        <v>NA</v>
      </c>
      <c r="T92" s="29" t="str">
        <f t="shared" si="70"/>
        <v>NA</v>
      </c>
      <c r="U92" s="29" t="str">
        <f t="shared" si="71"/>
        <v>NA</v>
      </c>
      <c r="V92" s="29" t="str">
        <f t="shared" si="72"/>
        <v>NA</v>
      </c>
      <c r="W92" s="29" t="str">
        <f t="shared" si="73"/>
        <v>NA</v>
      </c>
      <c r="X92" s="29" t="str">
        <f t="shared" si="74"/>
        <v>NA</v>
      </c>
      <c r="Y92" s="29" t="str">
        <f t="shared" si="75"/>
        <v>NA</v>
      </c>
      <c r="Z92" s="29" t="str">
        <f t="shared" si="76"/>
        <v>NA</v>
      </c>
      <c r="AA92" s="29" t="str">
        <f t="shared" si="77"/>
        <v>NA</v>
      </c>
      <c r="AB92" s="29" t="str">
        <f t="shared" si="78"/>
        <v>NA</v>
      </c>
      <c r="AC92" s="29" t="str">
        <f t="shared" si="79"/>
        <v>NA</v>
      </c>
      <c r="AD92" s="29" t="str">
        <f t="shared" si="80"/>
        <v>NA</v>
      </c>
      <c r="AE92" s="29" t="str">
        <f t="shared" si="81"/>
        <v>NA</v>
      </c>
      <c r="AF92" s="29" t="str">
        <f t="shared" si="82"/>
        <v>NA</v>
      </c>
      <c r="AG92" s="29" t="str">
        <f t="shared" si="83"/>
        <v>NA</v>
      </c>
      <c r="AH92" s="29" t="str">
        <f t="shared" si="84"/>
        <v>NA</v>
      </c>
    </row>
    <row r="93" customHeight="1" spans="1:34">
      <c r="A93" s="12" t="s">
        <v>1043</v>
      </c>
      <c r="F93" s="24">
        <f t="shared" si="66"/>
        <v>0</v>
      </c>
      <c r="G93" s="24" t="e">
        <f t="shared" si="65"/>
        <v>#DIV/0!</v>
      </c>
      <c r="Q93" s="29" t="str">
        <f t="shared" si="67"/>
        <v>NA</v>
      </c>
      <c r="R93" s="29" t="str">
        <f t="shared" si="68"/>
        <v>NA</v>
      </c>
      <c r="S93" s="29" t="str">
        <f t="shared" si="69"/>
        <v>NA</v>
      </c>
      <c r="T93" s="29" t="str">
        <f t="shared" si="70"/>
        <v>NA</v>
      </c>
      <c r="U93" s="29" t="str">
        <f t="shared" si="71"/>
        <v>NA</v>
      </c>
      <c r="V93" s="29" t="str">
        <f t="shared" si="72"/>
        <v>NA</v>
      </c>
      <c r="W93" s="29" t="str">
        <f t="shared" si="73"/>
        <v>NA</v>
      </c>
      <c r="X93" s="29" t="str">
        <f t="shared" si="74"/>
        <v>NA</v>
      </c>
      <c r="Y93" s="29" t="str">
        <f t="shared" si="75"/>
        <v>NA</v>
      </c>
      <c r="Z93" s="29" t="str">
        <f t="shared" si="76"/>
        <v>NA</v>
      </c>
      <c r="AA93" s="29" t="str">
        <f t="shared" si="77"/>
        <v>NA</v>
      </c>
      <c r="AB93" s="29" t="str">
        <f t="shared" si="78"/>
        <v>NA</v>
      </c>
      <c r="AC93" s="29" t="str">
        <f t="shared" si="79"/>
        <v>NA</v>
      </c>
      <c r="AD93" s="29" t="str">
        <f t="shared" si="80"/>
        <v>NA</v>
      </c>
      <c r="AE93" s="29" t="str">
        <f t="shared" si="81"/>
        <v>NA</v>
      </c>
      <c r="AF93" s="29" t="str">
        <f t="shared" si="82"/>
        <v>NA</v>
      </c>
      <c r="AG93" s="29" t="str">
        <f t="shared" si="83"/>
        <v>NA</v>
      </c>
      <c r="AH93" s="29" t="str">
        <f t="shared" si="84"/>
        <v>NA</v>
      </c>
    </row>
    <row r="94" customHeight="1" spans="1:34">
      <c r="A94" s="12" t="s">
        <v>1043</v>
      </c>
      <c r="F94" s="24">
        <f t="shared" si="66"/>
        <v>0</v>
      </c>
      <c r="G94" s="24" t="e">
        <f t="shared" si="65"/>
        <v>#DIV/0!</v>
      </c>
      <c r="Q94" s="29" t="str">
        <f t="shared" si="67"/>
        <v>NA</v>
      </c>
      <c r="R94" s="29" t="str">
        <f t="shared" si="68"/>
        <v>NA</v>
      </c>
      <c r="S94" s="29" t="str">
        <f t="shared" si="69"/>
        <v>NA</v>
      </c>
      <c r="T94" s="29" t="str">
        <f t="shared" si="70"/>
        <v>NA</v>
      </c>
      <c r="U94" s="29" t="str">
        <f t="shared" si="71"/>
        <v>NA</v>
      </c>
      <c r="V94" s="29" t="str">
        <f t="shared" si="72"/>
        <v>NA</v>
      </c>
      <c r="W94" s="29" t="str">
        <f t="shared" si="73"/>
        <v>NA</v>
      </c>
      <c r="X94" s="29" t="str">
        <f t="shared" si="74"/>
        <v>NA</v>
      </c>
      <c r="Y94" s="29" t="str">
        <f t="shared" si="75"/>
        <v>NA</v>
      </c>
      <c r="Z94" s="29" t="str">
        <f t="shared" si="76"/>
        <v>NA</v>
      </c>
      <c r="AA94" s="29" t="str">
        <f t="shared" si="77"/>
        <v>NA</v>
      </c>
      <c r="AB94" s="29" t="str">
        <f t="shared" si="78"/>
        <v>NA</v>
      </c>
      <c r="AC94" s="29" t="str">
        <f t="shared" si="79"/>
        <v>NA</v>
      </c>
      <c r="AD94" s="29" t="str">
        <f t="shared" si="80"/>
        <v>NA</v>
      </c>
      <c r="AE94" s="29" t="str">
        <f t="shared" si="81"/>
        <v>NA</v>
      </c>
      <c r="AF94" s="29" t="str">
        <f t="shared" si="82"/>
        <v>NA</v>
      </c>
      <c r="AG94" s="29" t="str">
        <f t="shared" si="83"/>
        <v>NA</v>
      </c>
      <c r="AH94" s="29" t="str">
        <f t="shared" si="84"/>
        <v>NA</v>
      </c>
    </row>
    <row r="95" customHeight="1" spans="1:34">
      <c r="A95" s="12" t="s">
        <v>1043</v>
      </c>
      <c r="F95" s="24">
        <f t="shared" si="66"/>
        <v>0</v>
      </c>
      <c r="G95" s="24" t="e">
        <f t="shared" si="65"/>
        <v>#DIV/0!</v>
      </c>
      <c r="Q95" s="29" t="str">
        <f t="shared" si="67"/>
        <v>NA</v>
      </c>
      <c r="R95" s="29" t="str">
        <f t="shared" si="68"/>
        <v>NA</v>
      </c>
      <c r="S95" s="29" t="str">
        <f t="shared" si="69"/>
        <v>NA</v>
      </c>
      <c r="T95" s="29" t="str">
        <f t="shared" si="70"/>
        <v>NA</v>
      </c>
      <c r="U95" s="29" t="str">
        <f t="shared" si="71"/>
        <v>NA</v>
      </c>
      <c r="V95" s="29" t="str">
        <f t="shared" si="72"/>
        <v>NA</v>
      </c>
      <c r="W95" s="29" t="str">
        <f t="shared" si="73"/>
        <v>NA</v>
      </c>
      <c r="X95" s="29" t="str">
        <f t="shared" si="74"/>
        <v>NA</v>
      </c>
      <c r="Y95" s="29" t="str">
        <f t="shared" si="75"/>
        <v>NA</v>
      </c>
      <c r="Z95" s="29" t="str">
        <f t="shared" si="76"/>
        <v>NA</v>
      </c>
      <c r="AA95" s="29" t="str">
        <f t="shared" si="77"/>
        <v>NA</v>
      </c>
      <c r="AB95" s="29" t="str">
        <f t="shared" si="78"/>
        <v>NA</v>
      </c>
      <c r="AC95" s="29" t="str">
        <f t="shared" si="79"/>
        <v>NA</v>
      </c>
      <c r="AD95" s="29" t="str">
        <f t="shared" si="80"/>
        <v>NA</v>
      </c>
      <c r="AE95" s="29" t="str">
        <f t="shared" si="81"/>
        <v>NA</v>
      </c>
      <c r="AF95" s="29" t="str">
        <f t="shared" si="82"/>
        <v>NA</v>
      </c>
      <c r="AG95" s="29" t="str">
        <f t="shared" si="83"/>
        <v>NA</v>
      </c>
      <c r="AH95" s="29" t="str">
        <f t="shared" si="84"/>
        <v>NA</v>
      </c>
    </row>
    <row r="96" customHeight="1" spans="1:34">
      <c r="A96" s="12" t="s">
        <v>1043</v>
      </c>
      <c r="F96" s="24">
        <f t="shared" si="66"/>
        <v>0</v>
      </c>
      <c r="G96" s="24" t="e">
        <f t="shared" si="65"/>
        <v>#DIV/0!</v>
      </c>
      <c r="Q96" s="29" t="str">
        <f t="shared" si="67"/>
        <v>NA</v>
      </c>
      <c r="R96" s="29" t="str">
        <f t="shared" si="68"/>
        <v>NA</v>
      </c>
      <c r="S96" s="29" t="str">
        <f t="shared" si="69"/>
        <v>NA</v>
      </c>
      <c r="T96" s="29" t="str">
        <f t="shared" si="70"/>
        <v>NA</v>
      </c>
      <c r="U96" s="29" t="str">
        <f t="shared" si="71"/>
        <v>NA</v>
      </c>
      <c r="V96" s="29" t="str">
        <f t="shared" si="72"/>
        <v>NA</v>
      </c>
      <c r="W96" s="29" t="str">
        <f t="shared" si="73"/>
        <v>NA</v>
      </c>
      <c r="X96" s="29" t="str">
        <f t="shared" si="74"/>
        <v>NA</v>
      </c>
      <c r="Y96" s="29" t="str">
        <f t="shared" si="75"/>
        <v>NA</v>
      </c>
      <c r="Z96" s="29" t="str">
        <f t="shared" si="76"/>
        <v>NA</v>
      </c>
      <c r="AA96" s="29" t="str">
        <f t="shared" si="77"/>
        <v>NA</v>
      </c>
      <c r="AB96" s="29" t="str">
        <f t="shared" si="78"/>
        <v>NA</v>
      </c>
      <c r="AC96" s="29" t="str">
        <f t="shared" si="79"/>
        <v>NA</v>
      </c>
      <c r="AD96" s="29" t="str">
        <f t="shared" si="80"/>
        <v>NA</v>
      </c>
      <c r="AE96" s="29" t="str">
        <f t="shared" si="81"/>
        <v>NA</v>
      </c>
      <c r="AF96" s="29" t="str">
        <f t="shared" si="82"/>
        <v>NA</v>
      </c>
      <c r="AG96" s="29" t="str">
        <f t="shared" si="83"/>
        <v>NA</v>
      </c>
      <c r="AH96" s="29" t="str">
        <f t="shared" si="84"/>
        <v>NA</v>
      </c>
    </row>
    <row r="97" customHeight="1" spans="1:34">
      <c r="A97" s="12" t="s">
        <v>1043</v>
      </c>
      <c r="F97" s="24">
        <f t="shared" si="66"/>
        <v>0</v>
      </c>
      <c r="G97" s="24" t="e">
        <f t="shared" si="65"/>
        <v>#DIV/0!</v>
      </c>
      <c r="Q97" s="29" t="str">
        <f t="shared" si="67"/>
        <v>NA</v>
      </c>
      <c r="R97" s="29" t="str">
        <f t="shared" si="68"/>
        <v>NA</v>
      </c>
      <c r="S97" s="29" t="str">
        <f t="shared" si="69"/>
        <v>NA</v>
      </c>
      <c r="T97" s="29" t="str">
        <f t="shared" si="70"/>
        <v>NA</v>
      </c>
      <c r="U97" s="29" t="str">
        <f t="shared" si="71"/>
        <v>NA</v>
      </c>
      <c r="V97" s="29" t="str">
        <f t="shared" si="72"/>
        <v>NA</v>
      </c>
      <c r="W97" s="29" t="str">
        <f t="shared" si="73"/>
        <v>NA</v>
      </c>
      <c r="X97" s="29" t="str">
        <f t="shared" si="74"/>
        <v>NA</v>
      </c>
      <c r="Y97" s="29" t="str">
        <f t="shared" si="75"/>
        <v>NA</v>
      </c>
      <c r="Z97" s="29" t="str">
        <f t="shared" si="76"/>
        <v>NA</v>
      </c>
      <c r="AA97" s="29" t="str">
        <f t="shared" si="77"/>
        <v>NA</v>
      </c>
      <c r="AB97" s="29" t="str">
        <f t="shared" si="78"/>
        <v>NA</v>
      </c>
      <c r="AC97" s="29" t="str">
        <f t="shared" si="79"/>
        <v>NA</v>
      </c>
      <c r="AD97" s="29" t="str">
        <f t="shared" si="80"/>
        <v>NA</v>
      </c>
      <c r="AE97" s="29" t="str">
        <f t="shared" si="81"/>
        <v>NA</v>
      </c>
      <c r="AF97" s="29" t="str">
        <f t="shared" si="82"/>
        <v>NA</v>
      </c>
      <c r="AG97" s="29" t="str">
        <f t="shared" si="83"/>
        <v>NA</v>
      </c>
      <c r="AH97" s="29" t="str">
        <f t="shared" si="84"/>
        <v>NA</v>
      </c>
    </row>
    <row r="98" customHeight="1" spans="1:34">
      <c r="A98" s="12" t="s">
        <v>1043</v>
      </c>
      <c r="F98" s="24">
        <f t="shared" si="66"/>
        <v>0</v>
      </c>
      <c r="G98" s="24" t="e">
        <f t="shared" si="65"/>
        <v>#DIV/0!</v>
      </c>
      <c r="Q98" s="29" t="str">
        <f t="shared" si="67"/>
        <v>NA</v>
      </c>
      <c r="R98" s="29" t="str">
        <f t="shared" si="68"/>
        <v>NA</v>
      </c>
      <c r="S98" s="29" t="str">
        <f t="shared" si="69"/>
        <v>NA</v>
      </c>
      <c r="T98" s="29" t="str">
        <f t="shared" si="70"/>
        <v>NA</v>
      </c>
      <c r="U98" s="29" t="str">
        <f t="shared" si="71"/>
        <v>NA</v>
      </c>
      <c r="V98" s="29" t="str">
        <f t="shared" si="72"/>
        <v>NA</v>
      </c>
      <c r="W98" s="29" t="str">
        <f t="shared" si="73"/>
        <v>NA</v>
      </c>
      <c r="X98" s="29" t="str">
        <f t="shared" si="74"/>
        <v>NA</v>
      </c>
      <c r="Y98" s="29" t="str">
        <f t="shared" si="75"/>
        <v>NA</v>
      </c>
      <c r="Z98" s="29" t="str">
        <f t="shared" si="76"/>
        <v>NA</v>
      </c>
      <c r="AA98" s="29" t="str">
        <f t="shared" si="77"/>
        <v>NA</v>
      </c>
      <c r="AB98" s="29" t="str">
        <f t="shared" si="78"/>
        <v>NA</v>
      </c>
      <c r="AC98" s="29" t="str">
        <f t="shared" si="79"/>
        <v>NA</v>
      </c>
      <c r="AD98" s="29" t="str">
        <f t="shared" si="80"/>
        <v>NA</v>
      </c>
      <c r="AE98" s="29" t="str">
        <f t="shared" si="81"/>
        <v>NA</v>
      </c>
      <c r="AF98" s="29" t="str">
        <f t="shared" si="82"/>
        <v>NA</v>
      </c>
      <c r="AG98" s="29" t="str">
        <f t="shared" si="83"/>
        <v>NA</v>
      </c>
      <c r="AH98" s="29" t="str">
        <f t="shared" si="84"/>
        <v>NA</v>
      </c>
    </row>
    <row r="99" customHeight="1" spans="1:34">
      <c r="A99" s="12" t="s">
        <v>1043</v>
      </c>
      <c r="F99" s="24">
        <f t="shared" si="66"/>
        <v>0</v>
      </c>
      <c r="G99" s="24" t="e">
        <f t="shared" si="65"/>
        <v>#DIV/0!</v>
      </c>
      <c r="Q99" s="29" t="str">
        <f t="shared" si="67"/>
        <v>NA</v>
      </c>
      <c r="R99" s="29" t="str">
        <f t="shared" si="68"/>
        <v>NA</v>
      </c>
      <c r="S99" s="29" t="str">
        <f t="shared" si="69"/>
        <v>NA</v>
      </c>
      <c r="T99" s="29" t="str">
        <f t="shared" si="70"/>
        <v>NA</v>
      </c>
      <c r="U99" s="29" t="str">
        <f t="shared" si="71"/>
        <v>NA</v>
      </c>
      <c r="V99" s="29" t="str">
        <f t="shared" si="72"/>
        <v>NA</v>
      </c>
      <c r="W99" s="29" t="str">
        <f t="shared" si="73"/>
        <v>NA</v>
      </c>
      <c r="X99" s="29" t="str">
        <f t="shared" si="74"/>
        <v>NA</v>
      </c>
      <c r="Y99" s="29" t="str">
        <f t="shared" si="75"/>
        <v>NA</v>
      </c>
      <c r="Z99" s="29" t="str">
        <f t="shared" si="76"/>
        <v>NA</v>
      </c>
      <c r="AA99" s="29" t="str">
        <f t="shared" si="77"/>
        <v>NA</v>
      </c>
      <c r="AB99" s="29" t="str">
        <f t="shared" si="78"/>
        <v>NA</v>
      </c>
      <c r="AC99" s="29" t="str">
        <f t="shared" si="79"/>
        <v>NA</v>
      </c>
      <c r="AD99" s="29" t="str">
        <f t="shared" si="80"/>
        <v>NA</v>
      </c>
      <c r="AE99" s="29" t="str">
        <f t="shared" si="81"/>
        <v>NA</v>
      </c>
      <c r="AF99" s="29" t="str">
        <f t="shared" si="82"/>
        <v>NA</v>
      </c>
      <c r="AG99" s="29" t="str">
        <f t="shared" si="83"/>
        <v>NA</v>
      </c>
      <c r="AH99" s="29" t="str">
        <f t="shared" si="84"/>
        <v>NA</v>
      </c>
    </row>
    <row r="100" customHeight="1" spans="1:34">
      <c r="A100" s="12" t="s">
        <v>1043</v>
      </c>
      <c r="F100" s="24">
        <f t="shared" si="66"/>
        <v>0</v>
      </c>
      <c r="G100" s="24" t="e">
        <f t="shared" si="65"/>
        <v>#DIV/0!</v>
      </c>
      <c r="Q100" s="29" t="str">
        <f t="shared" si="67"/>
        <v>NA</v>
      </c>
      <c r="R100" s="29" t="str">
        <f t="shared" si="68"/>
        <v>NA</v>
      </c>
      <c r="S100" s="29" t="str">
        <f t="shared" si="69"/>
        <v>NA</v>
      </c>
      <c r="T100" s="29" t="str">
        <f t="shared" si="70"/>
        <v>NA</v>
      </c>
      <c r="U100" s="29" t="str">
        <f t="shared" si="71"/>
        <v>NA</v>
      </c>
      <c r="V100" s="29" t="str">
        <f t="shared" si="72"/>
        <v>NA</v>
      </c>
      <c r="W100" s="29" t="str">
        <f t="shared" si="73"/>
        <v>NA</v>
      </c>
      <c r="X100" s="29" t="str">
        <f t="shared" si="74"/>
        <v>NA</v>
      </c>
      <c r="Y100" s="29" t="str">
        <f t="shared" si="75"/>
        <v>NA</v>
      </c>
      <c r="Z100" s="29" t="str">
        <f t="shared" si="76"/>
        <v>NA</v>
      </c>
      <c r="AA100" s="29" t="str">
        <f t="shared" si="77"/>
        <v>NA</v>
      </c>
      <c r="AB100" s="29" t="str">
        <f t="shared" si="78"/>
        <v>NA</v>
      </c>
      <c r="AC100" s="29" t="str">
        <f t="shared" si="79"/>
        <v>NA</v>
      </c>
      <c r="AD100" s="29" t="str">
        <f t="shared" si="80"/>
        <v>NA</v>
      </c>
      <c r="AE100" s="29" t="str">
        <f t="shared" si="81"/>
        <v>NA</v>
      </c>
      <c r="AF100" s="29" t="str">
        <f t="shared" si="82"/>
        <v>NA</v>
      </c>
      <c r="AG100" s="29" t="str">
        <f t="shared" si="83"/>
        <v>NA</v>
      </c>
      <c r="AH100" s="29" t="str">
        <f t="shared" si="84"/>
        <v>NA</v>
      </c>
    </row>
    <row r="101" customHeight="1" spans="1:34">
      <c r="A101" s="12" t="s">
        <v>1043</v>
      </c>
      <c r="F101" s="24">
        <f t="shared" si="66"/>
        <v>0</v>
      </c>
      <c r="G101" s="24" t="e">
        <f t="shared" si="65"/>
        <v>#DIV/0!</v>
      </c>
      <c r="Q101" s="29" t="str">
        <f t="shared" si="67"/>
        <v>NA</v>
      </c>
      <c r="R101" s="29" t="str">
        <f t="shared" si="68"/>
        <v>NA</v>
      </c>
      <c r="S101" s="29" t="str">
        <f t="shared" si="69"/>
        <v>NA</v>
      </c>
      <c r="T101" s="29" t="str">
        <f t="shared" si="70"/>
        <v>NA</v>
      </c>
      <c r="U101" s="29" t="str">
        <f t="shared" si="71"/>
        <v>NA</v>
      </c>
      <c r="V101" s="29" t="str">
        <f t="shared" si="72"/>
        <v>NA</v>
      </c>
      <c r="W101" s="29" t="str">
        <f t="shared" si="73"/>
        <v>NA</v>
      </c>
      <c r="X101" s="29" t="str">
        <f t="shared" si="74"/>
        <v>NA</v>
      </c>
      <c r="Y101" s="29" t="str">
        <f t="shared" si="75"/>
        <v>NA</v>
      </c>
      <c r="Z101" s="29" t="str">
        <f t="shared" si="76"/>
        <v>NA</v>
      </c>
      <c r="AA101" s="29" t="str">
        <f t="shared" si="77"/>
        <v>NA</v>
      </c>
      <c r="AB101" s="29" t="str">
        <f t="shared" si="78"/>
        <v>NA</v>
      </c>
      <c r="AC101" s="29" t="str">
        <f t="shared" si="79"/>
        <v>NA</v>
      </c>
      <c r="AD101" s="29" t="str">
        <f t="shared" si="80"/>
        <v>NA</v>
      </c>
      <c r="AE101" s="29" t="str">
        <f t="shared" si="81"/>
        <v>NA</v>
      </c>
      <c r="AF101" s="29" t="str">
        <f t="shared" si="82"/>
        <v>NA</v>
      </c>
      <c r="AG101" s="29" t="str">
        <f t="shared" si="83"/>
        <v>NA</v>
      </c>
      <c r="AH101" s="29" t="str">
        <f t="shared" si="84"/>
        <v>NA</v>
      </c>
    </row>
    <row r="102" customHeight="1" spans="1:34">
      <c r="A102" s="12" t="s">
        <v>1043</v>
      </c>
      <c r="F102" s="24">
        <f t="shared" si="66"/>
        <v>0</v>
      </c>
      <c r="G102" s="24" t="e">
        <f t="shared" si="65"/>
        <v>#DIV/0!</v>
      </c>
      <c r="Q102" s="29" t="str">
        <f t="shared" si="67"/>
        <v>NA</v>
      </c>
      <c r="R102" s="29" t="str">
        <f t="shared" si="68"/>
        <v>NA</v>
      </c>
      <c r="S102" s="29" t="str">
        <f t="shared" si="69"/>
        <v>NA</v>
      </c>
      <c r="T102" s="29" t="str">
        <f t="shared" si="70"/>
        <v>NA</v>
      </c>
      <c r="U102" s="29" t="str">
        <f t="shared" si="71"/>
        <v>NA</v>
      </c>
      <c r="V102" s="29" t="str">
        <f t="shared" si="72"/>
        <v>NA</v>
      </c>
      <c r="W102" s="29" t="str">
        <f t="shared" si="73"/>
        <v>NA</v>
      </c>
      <c r="X102" s="29" t="str">
        <f t="shared" si="74"/>
        <v>NA</v>
      </c>
      <c r="Y102" s="29" t="str">
        <f t="shared" si="75"/>
        <v>NA</v>
      </c>
      <c r="Z102" s="29" t="str">
        <f t="shared" si="76"/>
        <v>NA</v>
      </c>
      <c r="AA102" s="29" t="str">
        <f t="shared" si="77"/>
        <v>NA</v>
      </c>
      <c r="AB102" s="29" t="str">
        <f t="shared" si="78"/>
        <v>NA</v>
      </c>
      <c r="AC102" s="29" t="str">
        <f t="shared" si="79"/>
        <v>NA</v>
      </c>
      <c r="AD102" s="29" t="str">
        <f t="shared" si="80"/>
        <v>NA</v>
      </c>
      <c r="AE102" s="29" t="str">
        <f t="shared" si="81"/>
        <v>NA</v>
      </c>
      <c r="AF102" s="29" t="str">
        <f t="shared" si="82"/>
        <v>NA</v>
      </c>
      <c r="AG102" s="29" t="str">
        <f t="shared" si="83"/>
        <v>NA</v>
      </c>
      <c r="AH102" s="29" t="str">
        <f t="shared" si="84"/>
        <v>NA</v>
      </c>
    </row>
    <row r="103" customHeight="1" spans="1:34">
      <c r="A103" s="12" t="s">
        <v>1043</v>
      </c>
      <c r="F103" s="24">
        <f t="shared" si="66"/>
        <v>0</v>
      </c>
      <c r="G103" s="24" t="e">
        <f t="shared" si="65"/>
        <v>#DIV/0!</v>
      </c>
      <c r="Q103" s="29" t="str">
        <f t="shared" si="67"/>
        <v>NA</v>
      </c>
      <c r="R103" s="29" t="str">
        <f t="shared" si="68"/>
        <v>NA</v>
      </c>
      <c r="S103" s="29" t="str">
        <f t="shared" si="69"/>
        <v>NA</v>
      </c>
      <c r="T103" s="29" t="str">
        <f t="shared" si="70"/>
        <v>NA</v>
      </c>
      <c r="U103" s="29" t="str">
        <f t="shared" si="71"/>
        <v>NA</v>
      </c>
      <c r="V103" s="29" t="str">
        <f t="shared" si="72"/>
        <v>NA</v>
      </c>
      <c r="W103" s="29" t="str">
        <f t="shared" si="73"/>
        <v>NA</v>
      </c>
      <c r="X103" s="29" t="str">
        <f t="shared" si="74"/>
        <v>NA</v>
      </c>
      <c r="Y103" s="29" t="str">
        <f t="shared" si="75"/>
        <v>NA</v>
      </c>
      <c r="Z103" s="29" t="str">
        <f t="shared" si="76"/>
        <v>NA</v>
      </c>
      <c r="AA103" s="29" t="str">
        <f t="shared" si="77"/>
        <v>NA</v>
      </c>
      <c r="AB103" s="29" t="str">
        <f t="shared" si="78"/>
        <v>NA</v>
      </c>
      <c r="AC103" s="29" t="str">
        <f t="shared" si="79"/>
        <v>NA</v>
      </c>
      <c r="AD103" s="29" t="str">
        <f t="shared" si="80"/>
        <v>NA</v>
      </c>
      <c r="AE103" s="29" t="str">
        <f t="shared" si="81"/>
        <v>NA</v>
      </c>
      <c r="AF103" s="29" t="str">
        <f t="shared" si="82"/>
        <v>NA</v>
      </c>
      <c r="AG103" s="29" t="str">
        <f t="shared" si="83"/>
        <v>NA</v>
      </c>
      <c r="AH103" s="29" t="str">
        <f t="shared" si="84"/>
        <v>NA</v>
      </c>
    </row>
    <row r="104" customHeight="1" spans="1:34">
      <c r="A104" s="12" t="s">
        <v>1043</v>
      </c>
      <c r="F104" s="24">
        <f t="shared" si="66"/>
        <v>0</v>
      </c>
      <c r="G104" s="24" t="e">
        <f t="shared" si="65"/>
        <v>#DIV/0!</v>
      </c>
      <c r="Q104" s="29" t="str">
        <f t="shared" si="67"/>
        <v>NA</v>
      </c>
      <c r="R104" s="29" t="str">
        <f t="shared" si="68"/>
        <v>NA</v>
      </c>
      <c r="S104" s="29" t="str">
        <f t="shared" si="69"/>
        <v>NA</v>
      </c>
      <c r="T104" s="29" t="str">
        <f t="shared" si="70"/>
        <v>NA</v>
      </c>
      <c r="U104" s="29" t="str">
        <f t="shared" si="71"/>
        <v>NA</v>
      </c>
      <c r="V104" s="29" t="str">
        <f t="shared" si="72"/>
        <v>NA</v>
      </c>
      <c r="W104" s="29" t="str">
        <f t="shared" si="73"/>
        <v>NA</v>
      </c>
      <c r="X104" s="29" t="str">
        <f t="shared" si="74"/>
        <v>NA</v>
      </c>
      <c r="Y104" s="29" t="str">
        <f t="shared" si="75"/>
        <v>NA</v>
      </c>
      <c r="Z104" s="29" t="str">
        <f t="shared" si="76"/>
        <v>NA</v>
      </c>
      <c r="AA104" s="29" t="str">
        <f t="shared" si="77"/>
        <v>NA</v>
      </c>
      <c r="AB104" s="29" t="str">
        <f t="shared" si="78"/>
        <v>NA</v>
      </c>
      <c r="AC104" s="29" t="str">
        <f t="shared" si="79"/>
        <v>NA</v>
      </c>
      <c r="AD104" s="29" t="str">
        <f t="shared" si="80"/>
        <v>NA</v>
      </c>
      <c r="AE104" s="29" t="str">
        <f t="shared" si="81"/>
        <v>NA</v>
      </c>
      <c r="AF104" s="29" t="str">
        <f t="shared" si="82"/>
        <v>NA</v>
      </c>
      <c r="AG104" s="29" t="str">
        <f t="shared" si="83"/>
        <v>NA</v>
      </c>
      <c r="AH104" s="29" t="str">
        <f t="shared" si="84"/>
        <v>NA</v>
      </c>
    </row>
    <row r="105" customHeight="1" spans="1:34">
      <c r="A105" s="12" t="s">
        <v>1043</v>
      </c>
      <c r="F105" s="24">
        <f t="shared" si="66"/>
        <v>0</v>
      </c>
      <c r="G105" s="24" t="e">
        <f t="shared" si="65"/>
        <v>#DIV/0!</v>
      </c>
      <c r="Q105" s="29" t="str">
        <f t="shared" si="67"/>
        <v>NA</v>
      </c>
      <c r="R105" s="29" t="str">
        <f t="shared" si="68"/>
        <v>NA</v>
      </c>
      <c r="S105" s="29" t="str">
        <f t="shared" si="69"/>
        <v>NA</v>
      </c>
      <c r="T105" s="29" t="str">
        <f t="shared" si="70"/>
        <v>NA</v>
      </c>
      <c r="U105" s="29" t="str">
        <f t="shared" si="71"/>
        <v>NA</v>
      </c>
      <c r="V105" s="29" t="str">
        <f t="shared" si="72"/>
        <v>NA</v>
      </c>
      <c r="W105" s="29" t="str">
        <f t="shared" si="73"/>
        <v>NA</v>
      </c>
      <c r="X105" s="29" t="str">
        <f t="shared" si="74"/>
        <v>NA</v>
      </c>
      <c r="Y105" s="29" t="str">
        <f t="shared" si="75"/>
        <v>NA</v>
      </c>
      <c r="Z105" s="29" t="str">
        <f t="shared" si="76"/>
        <v>NA</v>
      </c>
      <c r="AA105" s="29" t="str">
        <f t="shared" si="77"/>
        <v>NA</v>
      </c>
      <c r="AB105" s="29" t="str">
        <f t="shared" si="78"/>
        <v>NA</v>
      </c>
      <c r="AC105" s="29" t="str">
        <f t="shared" si="79"/>
        <v>NA</v>
      </c>
      <c r="AD105" s="29" t="str">
        <f t="shared" si="80"/>
        <v>NA</v>
      </c>
      <c r="AE105" s="29" t="str">
        <f t="shared" si="81"/>
        <v>NA</v>
      </c>
      <c r="AF105" s="29" t="str">
        <f t="shared" si="82"/>
        <v>NA</v>
      </c>
      <c r="AG105" s="29" t="str">
        <f t="shared" si="83"/>
        <v>NA</v>
      </c>
      <c r="AH105" s="29" t="str">
        <f t="shared" si="84"/>
        <v>NA</v>
      </c>
    </row>
    <row r="106" customHeight="1" spans="1:34">
      <c r="A106" s="12" t="s">
        <v>1043</v>
      </c>
      <c r="F106" s="24">
        <f t="shared" si="66"/>
        <v>0</v>
      </c>
      <c r="G106" s="24" t="e">
        <f t="shared" si="65"/>
        <v>#DIV/0!</v>
      </c>
      <c r="Q106" s="29" t="str">
        <f t="shared" si="67"/>
        <v>NA</v>
      </c>
      <c r="R106" s="29" t="str">
        <f t="shared" si="68"/>
        <v>NA</v>
      </c>
      <c r="S106" s="29" t="str">
        <f t="shared" si="69"/>
        <v>NA</v>
      </c>
      <c r="T106" s="29" t="str">
        <f t="shared" si="70"/>
        <v>NA</v>
      </c>
      <c r="U106" s="29" t="str">
        <f t="shared" si="71"/>
        <v>NA</v>
      </c>
      <c r="V106" s="29" t="str">
        <f t="shared" si="72"/>
        <v>NA</v>
      </c>
      <c r="W106" s="29" t="str">
        <f t="shared" si="73"/>
        <v>NA</v>
      </c>
      <c r="X106" s="29" t="str">
        <f t="shared" si="74"/>
        <v>NA</v>
      </c>
      <c r="Y106" s="29" t="str">
        <f t="shared" si="75"/>
        <v>NA</v>
      </c>
      <c r="Z106" s="29" t="str">
        <f t="shared" si="76"/>
        <v>NA</v>
      </c>
      <c r="AA106" s="29" t="str">
        <f t="shared" si="77"/>
        <v>NA</v>
      </c>
      <c r="AB106" s="29" t="str">
        <f t="shared" si="78"/>
        <v>NA</v>
      </c>
      <c r="AC106" s="29" t="str">
        <f t="shared" si="79"/>
        <v>NA</v>
      </c>
      <c r="AD106" s="29" t="str">
        <f t="shared" si="80"/>
        <v>NA</v>
      </c>
      <c r="AE106" s="29" t="str">
        <f t="shared" si="81"/>
        <v>NA</v>
      </c>
      <c r="AF106" s="29" t="str">
        <f t="shared" si="82"/>
        <v>NA</v>
      </c>
      <c r="AG106" s="29" t="str">
        <f t="shared" si="83"/>
        <v>NA</v>
      </c>
      <c r="AH106" s="29" t="str">
        <f t="shared" si="84"/>
        <v>NA</v>
      </c>
    </row>
    <row r="107" customHeight="1" spans="1:34">
      <c r="A107" s="12" t="s">
        <v>1043</v>
      </c>
      <c r="F107" s="24">
        <f t="shared" si="66"/>
        <v>0</v>
      </c>
      <c r="G107" s="24" t="e">
        <f t="shared" si="65"/>
        <v>#DIV/0!</v>
      </c>
      <c r="Q107" s="29" t="str">
        <f t="shared" si="67"/>
        <v>NA</v>
      </c>
      <c r="R107" s="29" t="str">
        <f t="shared" si="68"/>
        <v>NA</v>
      </c>
      <c r="S107" s="29" t="str">
        <f t="shared" si="69"/>
        <v>NA</v>
      </c>
      <c r="T107" s="29" t="str">
        <f t="shared" si="70"/>
        <v>NA</v>
      </c>
      <c r="U107" s="29" t="str">
        <f t="shared" si="71"/>
        <v>NA</v>
      </c>
      <c r="V107" s="29" t="str">
        <f t="shared" si="72"/>
        <v>NA</v>
      </c>
      <c r="W107" s="29" t="str">
        <f t="shared" si="73"/>
        <v>NA</v>
      </c>
      <c r="X107" s="29" t="str">
        <f t="shared" si="74"/>
        <v>NA</v>
      </c>
      <c r="Y107" s="29" t="str">
        <f t="shared" si="75"/>
        <v>NA</v>
      </c>
      <c r="Z107" s="29" t="str">
        <f t="shared" si="76"/>
        <v>NA</v>
      </c>
      <c r="AA107" s="29" t="str">
        <f t="shared" si="77"/>
        <v>NA</v>
      </c>
      <c r="AB107" s="29" t="str">
        <f t="shared" si="78"/>
        <v>NA</v>
      </c>
      <c r="AC107" s="29" t="str">
        <f t="shared" si="79"/>
        <v>NA</v>
      </c>
      <c r="AD107" s="29" t="str">
        <f t="shared" si="80"/>
        <v>NA</v>
      </c>
      <c r="AE107" s="29" t="str">
        <f t="shared" si="81"/>
        <v>NA</v>
      </c>
      <c r="AF107" s="29" t="str">
        <f t="shared" si="82"/>
        <v>NA</v>
      </c>
      <c r="AG107" s="29" t="str">
        <f t="shared" si="83"/>
        <v>NA</v>
      </c>
      <c r="AH107" s="29" t="str">
        <f t="shared" si="84"/>
        <v>NA</v>
      </c>
    </row>
    <row r="108" customHeight="1" spans="1:34">
      <c r="A108" s="12" t="s">
        <v>1043</v>
      </c>
      <c r="F108" s="24">
        <f t="shared" si="66"/>
        <v>0</v>
      </c>
      <c r="G108" s="24" t="e">
        <f t="shared" si="65"/>
        <v>#DIV/0!</v>
      </c>
      <c r="Q108" s="29" t="str">
        <f t="shared" si="67"/>
        <v>NA</v>
      </c>
      <c r="R108" s="29" t="str">
        <f t="shared" si="68"/>
        <v>NA</v>
      </c>
      <c r="S108" s="29" t="str">
        <f t="shared" si="69"/>
        <v>NA</v>
      </c>
      <c r="T108" s="29" t="str">
        <f t="shared" si="70"/>
        <v>NA</v>
      </c>
      <c r="U108" s="29" t="str">
        <f t="shared" si="71"/>
        <v>NA</v>
      </c>
      <c r="V108" s="29" t="str">
        <f t="shared" si="72"/>
        <v>NA</v>
      </c>
      <c r="W108" s="29" t="str">
        <f t="shared" si="73"/>
        <v>NA</v>
      </c>
      <c r="X108" s="29" t="str">
        <f t="shared" si="74"/>
        <v>NA</v>
      </c>
      <c r="Y108" s="29" t="str">
        <f t="shared" si="75"/>
        <v>NA</v>
      </c>
      <c r="Z108" s="29" t="str">
        <f t="shared" si="76"/>
        <v>NA</v>
      </c>
      <c r="AA108" s="29" t="str">
        <f t="shared" si="77"/>
        <v>NA</v>
      </c>
      <c r="AB108" s="29" t="str">
        <f t="shared" si="78"/>
        <v>NA</v>
      </c>
      <c r="AC108" s="29" t="str">
        <f t="shared" si="79"/>
        <v>NA</v>
      </c>
      <c r="AD108" s="29" t="str">
        <f t="shared" si="80"/>
        <v>NA</v>
      </c>
      <c r="AE108" s="29" t="str">
        <f t="shared" si="81"/>
        <v>NA</v>
      </c>
      <c r="AF108" s="29" t="str">
        <f t="shared" si="82"/>
        <v>NA</v>
      </c>
      <c r="AG108" s="29" t="str">
        <f t="shared" si="83"/>
        <v>NA</v>
      </c>
      <c r="AH108" s="29" t="str">
        <f t="shared" si="84"/>
        <v>NA</v>
      </c>
    </row>
    <row r="109" customHeight="1" spans="1:34">
      <c r="A109" s="12" t="s">
        <v>1043</v>
      </c>
      <c r="F109" s="24">
        <f t="shared" si="66"/>
        <v>0</v>
      </c>
      <c r="G109" s="24" t="e">
        <f t="shared" si="65"/>
        <v>#DIV/0!</v>
      </c>
      <c r="Q109" s="29" t="str">
        <f t="shared" si="67"/>
        <v>NA</v>
      </c>
      <c r="R109" s="29" t="str">
        <f t="shared" si="68"/>
        <v>NA</v>
      </c>
      <c r="S109" s="29" t="str">
        <f t="shared" si="69"/>
        <v>NA</v>
      </c>
      <c r="T109" s="29" t="str">
        <f t="shared" si="70"/>
        <v>NA</v>
      </c>
      <c r="U109" s="29" t="str">
        <f t="shared" si="71"/>
        <v>NA</v>
      </c>
      <c r="V109" s="29" t="str">
        <f t="shared" si="72"/>
        <v>NA</v>
      </c>
      <c r="W109" s="29" t="str">
        <f t="shared" si="73"/>
        <v>NA</v>
      </c>
      <c r="X109" s="29" t="str">
        <f t="shared" si="74"/>
        <v>NA</v>
      </c>
      <c r="Y109" s="29" t="str">
        <f t="shared" si="75"/>
        <v>NA</v>
      </c>
      <c r="Z109" s="29" t="str">
        <f t="shared" si="76"/>
        <v>NA</v>
      </c>
      <c r="AA109" s="29" t="str">
        <f t="shared" si="77"/>
        <v>NA</v>
      </c>
      <c r="AB109" s="29" t="str">
        <f t="shared" si="78"/>
        <v>NA</v>
      </c>
      <c r="AC109" s="29" t="str">
        <f t="shared" si="79"/>
        <v>NA</v>
      </c>
      <c r="AD109" s="29" t="str">
        <f t="shared" si="80"/>
        <v>NA</v>
      </c>
      <c r="AE109" s="29" t="str">
        <f t="shared" si="81"/>
        <v>NA</v>
      </c>
      <c r="AF109" s="29" t="str">
        <f t="shared" si="82"/>
        <v>NA</v>
      </c>
      <c r="AG109" s="29" t="str">
        <f t="shared" si="83"/>
        <v>NA</v>
      </c>
      <c r="AH109" s="29" t="str">
        <f t="shared" si="84"/>
        <v>NA</v>
      </c>
    </row>
    <row r="110" customHeight="1" spans="1:34">
      <c r="A110" s="12" t="s">
        <v>1043</v>
      </c>
      <c r="F110" s="24">
        <f t="shared" si="66"/>
        <v>0</v>
      </c>
      <c r="G110" s="24" t="e">
        <f t="shared" si="65"/>
        <v>#DIV/0!</v>
      </c>
      <c r="Q110" s="29" t="str">
        <f t="shared" si="67"/>
        <v>NA</v>
      </c>
      <c r="R110" s="29" t="str">
        <f t="shared" si="68"/>
        <v>NA</v>
      </c>
      <c r="S110" s="29" t="str">
        <f t="shared" si="69"/>
        <v>NA</v>
      </c>
      <c r="T110" s="29" t="str">
        <f t="shared" si="70"/>
        <v>NA</v>
      </c>
      <c r="U110" s="29" t="str">
        <f t="shared" si="71"/>
        <v>NA</v>
      </c>
      <c r="V110" s="29" t="str">
        <f t="shared" si="72"/>
        <v>NA</v>
      </c>
      <c r="W110" s="29" t="str">
        <f t="shared" si="73"/>
        <v>NA</v>
      </c>
      <c r="X110" s="29" t="str">
        <f t="shared" si="74"/>
        <v>NA</v>
      </c>
      <c r="Y110" s="29" t="str">
        <f t="shared" si="75"/>
        <v>NA</v>
      </c>
      <c r="Z110" s="29" t="str">
        <f t="shared" si="76"/>
        <v>NA</v>
      </c>
      <c r="AA110" s="29" t="str">
        <f t="shared" si="77"/>
        <v>NA</v>
      </c>
      <c r="AB110" s="29" t="str">
        <f t="shared" si="78"/>
        <v>NA</v>
      </c>
      <c r="AC110" s="29" t="str">
        <f t="shared" si="79"/>
        <v>NA</v>
      </c>
      <c r="AD110" s="29" t="str">
        <f t="shared" si="80"/>
        <v>NA</v>
      </c>
      <c r="AE110" s="29" t="str">
        <f t="shared" si="81"/>
        <v>NA</v>
      </c>
      <c r="AF110" s="29" t="str">
        <f t="shared" si="82"/>
        <v>NA</v>
      </c>
      <c r="AG110" s="29" t="str">
        <f t="shared" si="83"/>
        <v>NA</v>
      </c>
      <c r="AH110" s="29" t="str">
        <f t="shared" si="84"/>
        <v>NA</v>
      </c>
    </row>
    <row r="111" customHeight="1" spans="1:34">
      <c r="A111" s="12" t="s">
        <v>1043</v>
      </c>
      <c r="F111" s="24">
        <f t="shared" si="66"/>
        <v>0</v>
      </c>
      <c r="G111" s="24" t="e">
        <f t="shared" si="65"/>
        <v>#DIV/0!</v>
      </c>
      <c r="Q111" s="29" t="str">
        <f t="shared" si="67"/>
        <v>NA</v>
      </c>
      <c r="R111" s="29" t="str">
        <f t="shared" si="68"/>
        <v>NA</v>
      </c>
      <c r="S111" s="29" t="str">
        <f t="shared" si="69"/>
        <v>NA</v>
      </c>
      <c r="T111" s="29" t="str">
        <f t="shared" si="70"/>
        <v>NA</v>
      </c>
      <c r="U111" s="29" t="str">
        <f t="shared" si="71"/>
        <v>NA</v>
      </c>
      <c r="V111" s="29" t="str">
        <f t="shared" si="72"/>
        <v>NA</v>
      </c>
      <c r="W111" s="29" t="str">
        <f t="shared" si="73"/>
        <v>NA</v>
      </c>
      <c r="X111" s="29" t="str">
        <f t="shared" si="74"/>
        <v>NA</v>
      </c>
      <c r="Y111" s="29" t="str">
        <f t="shared" si="75"/>
        <v>NA</v>
      </c>
      <c r="Z111" s="29" t="str">
        <f t="shared" si="76"/>
        <v>NA</v>
      </c>
      <c r="AA111" s="29" t="str">
        <f t="shared" si="77"/>
        <v>NA</v>
      </c>
      <c r="AB111" s="29" t="str">
        <f t="shared" si="78"/>
        <v>NA</v>
      </c>
      <c r="AC111" s="29" t="str">
        <f t="shared" si="79"/>
        <v>NA</v>
      </c>
      <c r="AD111" s="29" t="str">
        <f t="shared" si="80"/>
        <v>NA</v>
      </c>
      <c r="AE111" s="29" t="str">
        <f t="shared" si="81"/>
        <v>NA</v>
      </c>
      <c r="AF111" s="29" t="str">
        <f t="shared" si="82"/>
        <v>NA</v>
      </c>
      <c r="AG111" s="29" t="str">
        <f t="shared" si="83"/>
        <v>NA</v>
      </c>
      <c r="AH111" s="29" t="str">
        <f t="shared" si="84"/>
        <v>NA</v>
      </c>
    </row>
    <row r="112" customHeight="1" spans="1:34">
      <c r="A112" s="12" t="s">
        <v>1043</v>
      </c>
      <c r="F112" s="24">
        <f t="shared" si="66"/>
        <v>0</v>
      </c>
      <c r="G112" s="24" t="e">
        <f t="shared" si="65"/>
        <v>#DIV/0!</v>
      </c>
      <c r="Q112" s="29" t="str">
        <f t="shared" si="67"/>
        <v>NA</v>
      </c>
      <c r="R112" s="29" t="str">
        <f t="shared" si="68"/>
        <v>NA</v>
      </c>
      <c r="S112" s="29" t="str">
        <f t="shared" si="69"/>
        <v>NA</v>
      </c>
      <c r="T112" s="29" t="str">
        <f t="shared" si="70"/>
        <v>NA</v>
      </c>
      <c r="U112" s="29" t="str">
        <f t="shared" si="71"/>
        <v>NA</v>
      </c>
      <c r="V112" s="29" t="str">
        <f t="shared" si="72"/>
        <v>NA</v>
      </c>
      <c r="W112" s="29" t="str">
        <f t="shared" si="73"/>
        <v>NA</v>
      </c>
      <c r="X112" s="29" t="str">
        <f t="shared" si="74"/>
        <v>NA</v>
      </c>
      <c r="Y112" s="29" t="str">
        <f t="shared" si="75"/>
        <v>NA</v>
      </c>
      <c r="Z112" s="29" t="str">
        <f t="shared" si="76"/>
        <v>NA</v>
      </c>
      <c r="AA112" s="29" t="str">
        <f t="shared" si="77"/>
        <v>NA</v>
      </c>
      <c r="AB112" s="29" t="str">
        <f t="shared" si="78"/>
        <v>NA</v>
      </c>
      <c r="AC112" s="29" t="str">
        <f t="shared" si="79"/>
        <v>NA</v>
      </c>
      <c r="AD112" s="29" t="str">
        <f t="shared" si="80"/>
        <v>NA</v>
      </c>
      <c r="AE112" s="29" t="str">
        <f t="shared" si="81"/>
        <v>NA</v>
      </c>
      <c r="AF112" s="29" t="str">
        <f t="shared" si="82"/>
        <v>NA</v>
      </c>
      <c r="AG112" s="29" t="str">
        <f t="shared" si="83"/>
        <v>NA</v>
      </c>
      <c r="AH112" s="29" t="str">
        <f t="shared" si="84"/>
        <v>NA</v>
      </c>
    </row>
    <row r="113" customHeight="1" spans="1:34">
      <c r="A113" s="12" t="s">
        <v>1043</v>
      </c>
      <c r="F113" s="24">
        <f t="shared" si="66"/>
        <v>0</v>
      </c>
      <c r="G113" s="24" t="e">
        <f t="shared" si="65"/>
        <v>#DIV/0!</v>
      </c>
      <c r="Q113" s="29" t="str">
        <f t="shared" si="67"/>
        <v>NA</v>
      </c>
      <c r="R113" s="29" t="str">
        <f t="shared" si="68"/>
        <v>NA</v>
      </c>
      <c r="S113" s="29" t="str">
        <f t="shared" si="69"/>
        <v>NA</v>
      </c>
      <c r="T113" s="29" t="str">
        <f t="shared" si="70"/>
        <v>NA</v>
      </c>
      <c r="U113" s="29" t="str">
        <f t="shared" si="71"/>
        <v>NA</v>
      </c>
      <c r="V113" s="29" t="str">
        <f t="shared" si="72"/>
        <v>NA</v>
      </c>
      <c r="W113" s="29" t="str">
        <f t="shared" si="73"/>
        <v>NA</v>
      </c>
      <c r="X113" s="29" t="str">
        <f t="shared" si="74"/>
        <v>NA</v>
      </c>
      <c r="Y113" s="29" t="str">
        <f t="shared" si="75"/>
        <v>NA</v>
      </c>
      <c r="Z113" s="29" t="str">
        <f t="shared" si="76"/>
        <v>NA</v>
      </c>
      <c r="AA113" s="29" t="str">
        <f t="shared" si="77"/>
        <v>NA</v>
      </c>
      <c r="AB113" s="29" t="str">
        <f t="shared" si="78"/>
        <v>NA</v>
      </c>
      <c r="AC113" s="29" t="str">
        <f t="shared" si="79"/>
        <v>NA</v>
      </c>
      <c r="AD113" s="29" t="str">
        <f t="shared" si="80"/>
        <v>NA</v>
      </c>
      <c r="AE113" s="29" t="str">
        <f t="shared" si="81"/>
        <v>NA</v>
      </c>
      <c r="AF113" s="29" t="str">
        <f t="shared" si="82"/>
        <v>NA</v>
      </c>
      <c r="AG113" s="29" t="str">
        <f t="shared" si="83"/>
        <v>NA</v>
      </c>
      <c r="AH113" s="29" t="str">
        <f t="shared" si="84"/>
        <v>NA</v>
      </c>
    </row>
    <row r="114" customHeight="1" spans="1:34">
      <c r="A114" s="12" t="s">
        <v>1043</v>
      </c>
      <c r="F114" s="24">
        <f t="shared" si="66"/>
        <v>0</v>
      </c>
      <c r="G114" s="24" t="e">
        <f t="shared" si="65"/>
        <v>#DIV/0!</v>
      </c>
      <c r="Q114" s="29" t="str">
        <f t="shared" si="67"/>
        <v>NA</v>
      </c>
      <c r="R114" s="29" t="str">
        <f t="shared" si="68"/>
        <v>NA</v>
      </c>
      <c r="S114" s="29" t="str">
        <f t="shared" si="69"/>
        <v>NA</v>
      </c>
      <c r="T114" s="29" t="str">
        <f t="shared" si="70"/>
        <v>NA</v>
      </c>
      <c r="U114" s="29" t="str">
        <f t="shared" si="71"/>
        <v>NA</v>
      </c>
      <c r="V114" s="29" t="str">
        <f t="shared" si="72"/>
        <v>NA</v>
      </c>
      <c r="W114" s="29" t="str">
        <f t="shared" si="73"/>
        <v>NA</v>
      </c>
      <c r="X114" s="29" t="str">
        <f t="shared" si="74"/>
        <v>NA</v>
      </c>
      <c r="Y114" s="29" t="str">
        <f t="shared" si="75"/>
        <v>NA</v>
      </c>
      <c r="Z114" s="29" t="str">
        <f t="shared" si="76"/>
        <v>NA</v>
      </c>
      <c r="AA114" s="29" t="str">
        <f t="shared" si="77"/>
        <v>NA</v>
      </c>
      <c r="AB114" s="29" t="str">
        <f t="shared" si="78"/>
        <v>NA</v>
      </c>
      <c r="AC114" s="29" t="str">
        <f t="shared" si="79"/>
        <v>NA</v>
      </c>
      <c r="AD114" s="29" t="str">
        <f t="shared" si="80"/>
        <v>NA</v>
      </c>
      <c r="AE114" s="29" t="str">
        <f t="shared" si="81"/>
        <v>NA</v>
      </c>
      <c r="AF114" s="29" t="str">
        <f t="shared" si="82"/>
        <v>NA</v>
      </c>
      <c r="AG114" s="29" t="str">
        <f t="shared" si="83"/>
        <v>NA</v>
      </c>
      <c r="AH114" s="29" t="str">
        <f t="shared" si="84"/>
        <v>NA</v>
      </c>
    </row>
    <row r="115" customHeight="1" spans="1:34">
      <c r="A115" s="12" t="s">
        <v>1043</v>
      </c>
      <c r="F115" s="24">
        <f t="shared" si="66"/>
        <v>0</v>
      </c>
      <c r="G115" s="24" t="e">
        <f t="shared" si="65"/>
        <v>#DIV/0!</v>
      </c>
      <c r="Q115" s="29" t="str">
        <f t="shared" si="67"/>
        <v>NA</v>
      </c>
      <c r="R115" s="29" t="str">
        <f t="shared" si="68"/>
        <v>NA</v>
      </c>
      <c r="S115" s="29" t="str">
        <f t="shared" si="69"/>
        <v>NA</v>
      </c>
      <c r="T115" s="29" t="str">
        <f t="shared" si="70"/>
        <v>NA</v>
      </c>
      <c r="U115" s="29" t="str">
        <f t="shared" si="71"/>
        <v>NA</v>
      </c>
      <c r="V115" s="29" t="str">
        <f t="shared" si="72"/>
        <v>NA</v>
      </c>
      <c r="W115" s="29" t="str">
        <f t="shared" si="73"/>
        <v>NA</v>
      </c>
      <c r="X115" s="29" t="str">
        <f t="shared" si="74"/>
        <v>NA</v>
      </c>
      <c r="Y115" s="29" t="str">
        <f t="shared" si="75"/>
        <v>NA</v>
      </c>
      <c r="Z115" s="29" t="str">
        <f t="shared" si="76"/>
        <v>NA</v>
      </c>
      <c r="AA115" s="29" t="str">
        <f t="shared" si="77"/>
        <v>NA</v>
      </c>
      <c r="AB115" s="29" t="str">
        <f t="shared" si="78"/>
        <v>NA</v>
      </c>
      <c r="AC115" s="29" t="str">
        <f t="shared" si="79"/>
        <v>NA</v>
      </c>
      <c r="AD115" s="29" t="str">
        <f t="shared" si="80"/>
        <v>NA</v>
      </c>
      <c r="AE115" s="29" t="str">
        <f t="shared" si="81"/>
        <v>NA</v>
      </c>
      <c r="AF115" s="29" t="str">
        <f t="shared" si="82"/>
        <v>NA</v>
      </c>
      <c r="AG115" s="29" t="str">
        <f t="shared" si="83"/>
        <v>NA</v>
      </c>
      <c r="AH115" s="29" t="str">
        <f t="shared" si="84"/>
        <v>NA</v>
      </c>
    </row>
    <row r="116" customHeight="1" spans="1:34">
      <c r="A116" s="12" t="s">
        <v>1043</v>
      </c>
      <c r="F116" s="24">
        <f t="shared" si="66"/>
        <v>0</v>
      </c>
      <c r="G116" s="24" t="e">
        <f t="shared" si="65"/>
        <v>#DIV/0!</v>
      </c>
      <c r="Q116" s="29" t="str">
        <f t="shared" si="67"/>
        <v>NA</v>
      </c>
      <c r="R116" s="29" t="str">
        <f t="shared" si="68"/>
        <v>NA</v>
      </c>
      <c r="S116" s="29" t="str">
        <f t="shared" si="69"/>
        <v>NA</v>
      </c>
      <c r="T116" s="29" t="str">
        <f t="shared" si="70"/>
        <v>NA</v>
      </c>
      <c r="U116" s="29" t="str">
        <f t="shared" si="71"/>
        <v>NA</v>
      </c>
      <c r="V116" s="29" t="str">
        <f t="shared" si="72"/>
        <v>NA</v>
      </c>
      <c r="W116" s="29" t="str">
        <f t="shared" si="73"/>
        <v>NA</v>
      </c>
      <c r="X116" s="29" t="str">
        <f t="shared" si="74"/>
        <v>NA</v>
      </c>
      <c r="Y116" s="29" t="str">
        <f t="shared" si="75"/>
        <v>NA</v>
      </c>
      <c r="Z116" s="29" t="str">
        <f t="shared" si="76"/>
        <v>NA</v>
      </c>
      <c r="AA116" s="29" t="str">
        <f t="shared" si="77"/>
        <v>NA</v>
      </c>
      <c r="AB116" s="29" t="str">
        <f t="shared" si="78"/>
        <v>NA</v>
      </c>
      <c r="AC116" s="29" t="str">
        <f t="shared" si="79"/>
        <v>NA</v>
      </c>
      <c r="AD116" s="29" t="str">
        <f t="shared" si="80"/>
        <v>NA</v>
      </c>
      <c r="AE116" s="29" t="str">
        <f t="shared" si="81"/>
        <v>NA</v>
      </c>
      <c r="AF116" s="29" t="str">
        <f t="shared" si="82"/>
        <v>NA</v>
      </c>
      <c r="AG116" s="29" t="str">
        <f t="shared" si="83"/>
        <v>NA</v>
      </c>
      <c r="AH116" s="29" t="str">
        <f t="shared" si="84"/>
        <v>NA</v>
      </c>
    </row>
    <row r="117" customHeight="1" spans="1:34">
      <c r="A117" s="12" t="s">
        <v>1043</v>
      </c>
      <c r="F117" s="24">
        <f t="shared" si="66"/>
        <v>0</v>
      </c>
      <c r="G117" s="24" t="e">
        <f t="shared" si="65"/>
        <v>#DIV/0!</v>
      </c>
      <c r="Q117" s="29" t="str">
        <f t="shared" si="67"/>
        <v>NA</v>
      </c>
      <c r="R117" s="29" t="str">
        <f t="shared" si="68"/>
        <v>NA</v>
      </c>
      <c r="S117" s="29" t="str">
        <f t="shared" si="69"/>
        <v>NA</v>
      </c>
      <c r="T117" s="29" t="str">
        <f t="shared" si="70"/>
        <v>NA</v>
      </c>
      <c r="U117" s="29" t="str">
        <f t="shared" si="71"/>
        <v>NA</v>
      </c>
      <c r="V117" s="29" t="str">
        <f t="shared" si="72"/>
        <v>NA</v>
      </c>
      <c r="W117" s="29" t="str">
        <f t="shared" si="73"/>
        <v>NA</v>
      </c>
      <c r="X117" s="29" t="str">
        <f t="shared" si="74"/>
        <v>NA</v>
      </c>
      <c r="Y117" s="29" t="str">
        <f t="shared" si="75"/>
        <v>NA</v>
      </c>
      <c r="Z117" s="29" t="str">
        <f t="shared" si="76"/>
        <v>NA</v>
      </c>
      <c r="AA117" s="29" t="str">
        <f t="shared" si="77"/>
        <v>NA</v>
      </c>
      <c r="AB117" s="29" t="str">
        <f t="shared" si="78"/>
        <v>NA</v>
      </c>
      <c r="AC117" s="29" t="str">
        <f t="shared" si="79"/>
        <v>NA</v>
      </c>
      <c r="AD117" s="29" t="str">
        <f t="shared" si="80"/>
        <v>NA</v>
      </c>
      <c r="AE117" s="29" t="str">
        <f t="shared" si="81"/>
        <v>NA</v>
      </c>
      <c r="AF117" s="29" t="str">
        <f t="shared" si="82"/>
        <v>NA</v>
      </c>
      <c r="AG117" s="29" t="str">
        <f t="shared" si="83"/>
        <v>NA</v>
      </c>
      <c r="AH117" s="29" t="str">
        <f t="shared" si="84"/>
        <v>NA</v>
      </c>
    </row>
    <row r="118" customHeight="1" spans="1:34">
      <c r="A118" s="12" t="s">
        <v>1043</v>
      </c>
      <c r="F118" s="24">
        <f t="shared" si="66"/>
        <v>0</v>
      </c>
      <c r="G118" s="24" t="e">
        <f t="shared" si="65"/>
        <v>#DIV/0!</v>
      </c>
      <c r="Q118" s="29" t="str">
        <f t="shared" si="67"/>
        <v>NA</v>
      </c>
      <c r="R118" s="29" t="str">
        <f t="shared" si="68"/>
        <v>NA</v>
      </c>
      <c r="S118" s="29" t="str">
        <f t="shared" si="69"/>
        <v>NA</v>
      </c>
      <c r="T118" s="29" t="str">
        <f t="shared" si="70"/>
        <v>NA</v>
      </c>
      <c r="U118" s="29" t="str">
        <f t="shared" si="71"/>
        <v>NA</v>
      </c>
      <c r="V118" s="29" t="str">
        <f t="shared" si="72"/>
        <v>NA</v>
      </c>
      <c r="W118" s="29" t="str">
        <f t="shared" si="73"/>
        <v>NA</v>
      </c>
      <c r="X118" s="29" t="str">
        <f t="shared" si="74"/>
        <v>NA</v>
      </c>
      <c r="Y118" s="29" t="str">
        <f t="shared" si="75"/>
        <v>NA</v>
      </c>
      <c r="Z118" s="29" t="str">
        <f t="shared" si="76"/>
        <v>NA</v>
      </c>
      <c r="AA118" s="29" t="str">
        <f t="shared" si="77"/>
        <v>NA</v>
      </c>
      <c r="AB118" s="29" t="str">
        <f t="shared" si="78"/>
        <v>NA</v>
      </c>
      <c r="AC118" s="29" t="str">
        <f t="shared" si="79"/>
        <v>NA</v>
      </c>
      <c r="AD118" s="29" t="str">
        <f t="shared" si="80"/>
        <v>NA</v>
      </c>
      <c r="AE118" s="29" t="str">
        <f t="shared" si="81"/>
        <v>NA</v>
      </c>
      <c r="AF118" s="29" t="str">
        <f t="shared" si="82"/>
        <v>NA</v>
      </c>
      <c r="AG118" s="29" t="str">
        <f t="shared" si="83"/>
        <v>NA</v>
      </c>
      <c r="AH118" s="29" t="str">
        <f t="shared" si="84"/>
        <v>NA</v>
      </c>
    </row>
    <row r="119" customHeight="1" spans="1:34">
      <c r="A119" s="12" t="s">
        <v>1043</v>
      </c>
      <c r="F119" s="24">
        <f t="shared" si="66"/>
        <v>0</v>
      </c>
      <c r="G119" s="24" t="e">
        <f t="shared" si="65"/>
        <v>#DIV/0!</v>
      </c>
      <c r="Q119" s="29" t="str">
        <f t="shared" si="67"/>
        <v>NA</v>
      </c>
      <c r="R119" s="29" t="str">
        <f t="shared" si="68"/>
        <v>NA</v>
      </c>
      <c r="S119" s="29" t="str">
        <f t="shared" si="69"/>
        <v>NA</v>
      </c>
      <c r="T119" s="29" t="str">
        <f t="shared" si="70"/>
        <v>NA</v>
      </c>
      <c r="U119" s="29" t="str">
        <f t="shared" si="71"/>
        <v>NA</v>
      </c>
      <c r="V119" s="29" t="str">
        <f t="shared" si="72"/>
        <v>NA</v>
      </c>
      <c r="W119" s="29" t="str">
        <f t="shared" si="73"/>
        <v>NA</v>
      </c>
      <c r="X119" s="29" t="str">
        <f t="shared" si="74"/>
        <v>NA</v>
      </c>
      <c r="Y119" s="29" t="str">
        <f t="shared" si="75"/>
        <v>NA</v>
      </c>
      <c r="Z119" s="29" t="str">
        <f t="shared" si="76"/>
        <v>NA</v>
      </c>
      <c r="AA119" s="29" t="str">
        <f t="shared" si="77"/>
        <v>NA</v>
      </c>
      <c r="AB119" s="29" t="str">
        <f t="shared" si="78"/>
        <v>NA</v>
      </c>
      <c r="AC119" s="29" t="str">
        <f t="shared" si="79"/>
        <v>NA</v>
      </c>
      <c r="AD119" s="29" t="str">
        <f t="shared" si="80"/>
        <v>NA</v>
      </c>
      <c r="AE119" s="29" t="str">
        <f t="shared" si="81"/>
        <v>NA</v>
      </c>
      <c r="AF119" s="29" t="str">
        <f t="shared" si="82"/>
        <v>NA</v>
      </c>
      <c r="AG119" s="29" t="str">
        <f t="shared" si="83"/>
        <v>NA</v>
      </c>
      <c r="AH119" s="29" t="str">
        <f t="shared" si="84"/>
        <v>NA</v>
      </c>
    </row>
    <row r="120" customHeight="1" spans="1:34">
      <c r="A120" s="12" t="s">
        <v>1043</v>
      </c>
      <c r="F120" s="24">
        <f t="shared" si="66"/>
        <v>0</v>
      </c>
      <c r="G120" s="24" t="e">
        <f t="shared" si="65"/>
        <v>#DIV/0!</v>
      </c>
      <c r="Q120" s="29" t="str">
        <f t="shared" si="67"/>
        <v>NA</v>
      </c>
      <c r="R120" s="29" t="str">
        <f t="shared" si="68"/>
        <v>NA</v>
      </c>
      <c r="S120" s="29" t="str">
        <f t="shared" si="69"/>
        <v>NA</v>
      </c>
      <c r="T120" s="29" t="str">
        <f t="shared" si="70"/>
        <v>NA</v>
      </c>
      <c r="U120" s="29" t="str">
        <f t="shared" si="71"/>
        <v>NA</v>
      </c>
      <c r="V120" s="29" t="str">
        <f t="shared" si="72"/>
        <v>NA</v>
      </c>
      <c r="W120" s="29" t="str">
        <f t="shared" si="73"/>
        <v>NA</v>
      </c>
      <c r="X120" s="29" t="str">
        <f t="shared" si="74"/>
        <v>NA</v>
      </c>
      <c r="Y120" s="29" t="str">
        <f t="shared" si="75"/>
        <v>NA</v>
      </c>
      <c r="Z120" s="29" t="str">
        <f t="shared" si="76"/>
        <v>NA</v>
      </c>
      <c r="AA120" s="29" t="str">
        <f t="shared" si="77"/>
        <v>NA</v>
      </c>
      <c r="AB120" s="29" t="str">
        <f t="shared" si="78"/>
        <v>NA</v>
      </c>
      <c r="AC120" s="29" t="str">
        <f t="shared" si="79"/>
        <v>NA</v>
      </c>
      <c r="AD120" s="29" t="str">
        <f t="shared" si="80"/>
        <v>NA</v>
      </c>
      <c r="AE120" s="29" t="str">
        <f t="shared" si="81"/>
        <v>NA</v>
      </c>
      <c r="AF120" s="29" t="str">
        <f t="shared" si="82"/>
        <v>NA</v>
      </c>
      <c r="AG120" s="29" t="str">
        <f t="shared" si="83"/>
        <v>NA</v>
      </c>
      <c r="AH120" s="29" t="str">
        <f t="shared" si="84"/>
        <v>NA</v>
      </c>
    </row>
    <row r="121" customHeight="1" spans="1:34">
      <c r="A121" s="12" t="s">
        <v>1043</v>
      </c>
      <c r="F121" s="24">
        <f t="shared" si="66"/>
        <v>0</v>
      </c>
      <c r="G121" s="24" t="e">
        <f t="shared" si="65"/>
        <v>#DIV/0!</v>
      </c>
      <c r="Q121" s="29" t="str">
        <f t="shared" si="67"/>
        <v>NA</v>
      </c>
      <c r="R121" s="29" t="str">
        <f t="shared" si="68"/>
        <v>NA</v>
      </c>
      <c r="S121" s="29" t="str">
        <f t="shared" si="69"/>
        <v>NA</v>
      </c>
      <c r="T121" s="29" t="str">
        <f t="shared" si="70"/>
        <v>NA</v>
      </c>
      <c r="U121" s="29" t="str">
        <f t="shared" si="71"/>
        <v>NA</v>
      </c>
      <c r="V121" s="29" t="str">
        <f t="shared" si="72"/>
        <v>NA</v>
      </c>
      <c r="W121" s="29" t="str">
        <f t="shared" si="73"/>
        <v>NA</v>
      </c>
      <c r="X121" s="29" t="str">
        <f t="shared" si="74"/>
        <v>NA</v>
      </c>
      <c r="Y121" s="29" t="str">
        <f t="shared" si="75"/>
        <v>NA</v>
      </c>
      <c r="Z121" s="29" t="str">
        <f t="shared" si="76"/>
        <v>NA</v>
      </c>
      <c r="AA121" s="29" t="str">
        <f t="shared" si="77"/>
        <v>NA</v>
      </c>
      <c r="AB121" s="29" t="str">
        <f t="shared" si="78"/>
        <v>NA</v>
      </c>
      <c r="AC121" s="29" t="str">
        <f t="shared" si="79"/>
        <v>NA</v>
      </c>
      <c r="AD121" s="29" t="str">
        <f t="shared" si="80"/>
        <v>NA</v>
      </c>
      <c r="AE121" s="29" t="str">
        <f t="shared" si="81"/>
        <v>NA</v>
      </c>
      <c r="AF121" s="29" t="str">
        <f t="shared" si="82"/>
        <v>NA</v>
      </c>
      <c r="AG121" s="29" t="str">
        <f t="shared" si="83"/>
        <v>NA</v>
      </c>
      <c r="AH121" s="29" t="str">
        <f t="shared" si="84"/>
        <v>NA</v>
      </c>
    </row>
    <row r="122" customHeight="1" spans="1:34">
      <c r="A122" s="12" t="s">
        <v>1043</v>
      </c>
      <c r="F122" s="24">
        <f t="shared" si="66"/>
        <v>0</v>
      </c>
      <c r="G122" s="24" t="e">
        <f t="shared" si="65"/>
        <v>#DIV/0!</v>
      </c>
      <c r="Q122" s="29" t="str">
        <f t="shared" si="67"/>
        <v>NA</v>
      </c>
      <c r="R122" s="29" t="str">
        <f t="shared" si="68"/>
        <v>NA</v>
      </c>
      <c r="S122" s="29" t="str">
        <f t="shared" si="69"/>
        <v>NA</v>
      </c>
      <c r="T122" s="29" t="str">
        <f t="shared" si="70"/>
        <v>NA</v>
      </c>
      <c r="U122" s="29" t="str">
        <f t="shared" si="71"/>
        <v>NA</v>
      </c>
      <c r="V122" s="29" t="str">
        <f t="shared" si="72"/>
        <v>NA</v>
      </c>
      <c r="W122" s="29" t="str">
        <f t="shared" si="73"/>
        <v>NA</v>
      </c>
      <c r="X122" s="29" t="str">
        <f t="shared" si="74"/>
        <v>NA</v>
      </c>
      <c r="Y122" s="29" t="str">
        <f t="shared" si="75"/>
        <v>NA</v>
      </c>
      <c r="Z122" s="29" t="str">
        <f t="shared" si="76"/>
        <v>NA</v>
      </c>
      <c r="AA122" s="29" t="str">
        <f t="shared" si="77"/>
        <v>NA</v>
      </c>
      <c r="AB122" s="29" t="str">
        <f t="shared" si="78"/>
        <v>NA</v>
      </c>
      <c r="AC122" s="29" t="str">
        <f t="shared" si="79"/>
        <v>NA</v>
      </c>
      <c r="AD122" s="29" t="str">
        <f t="shared" si="80"/>
        <v>NA</v>
      </c>
      <c r="AE122" s="29" t="str">
        <f t="shared" si="81"/>
        <v>NA</v>
      </c>
      <c r="AF122" s="29" t="str">
        <f t="shared" si="82"/>
        <v>NA</v>
      </c>
      <c r="AG122" s="29" t="str">
        <f t="shared" si="83"/>
        <v>NA</v>
      </c>
      <c r="AH122" s="29" t="str">
        <f t="shared" si="84"/>
        <v>NA</v>
      </c>
    </row>
    <row r="123" customHeight="1" spans="1:34">
      <c r="A123" s="12" t="s">
        <v>1043</v>
      </c>
      <c r="F123" s="24">
        <f t="shared" si="66"/>
        <v>0</v>
      </c>
      <c r="G123" s="24" t="e">
        <f t="shared" si="65"/>
        <v>#DIV/0!</v>
      </c>
      <c r="Q123" s="29" t="str">
        <f t="shared" si="67"/>
        <v>NA</v>
      </c>
      <c r="R123" s="29" t="str">
        <f t="shared" si="68"/>
        <v>NA</v>
      </c>
      <c r="S123" s="29" t="str">
        <f t="shared" si="69"/>
        <v>NA</v>
      </c>
      <c r="T123" s="29" t="str">
        <f t="shared" si="70"/>
        <v>NA</v>
      </c>
      <c r="U123" s="29" t="str">
        <f t="shared" si="71"/>
        <v>NA</v>
      </c>
      <c r="V123" s="29" t="str">
        <f t="shared" si="72"/>
        <v>NA</v>
      </c>
      <c r="W123" s="29" t="str">
        <f t="shared" si="73"/>
        <v>NA</v>
      </c>
      <c r="X123" s="29" t="str">
        <f t="shared" si="74"/>
        <v>NA</v>
      </c>
      <c r="Y123" s="29" t="str">
        <f t="shared" si="75"/>
        <v>NA</v>
      </c>
      <c r="Z123" s="29" t="str">
        <f t="shared" si="76"/>
        <v>NA</v>
      </c>
      <c r="AA123" s="29" t="str">
        <f t="shared" si="77"/>
        <v>NA</v>
      </c>
      <c r="AB123" s="29" t="str">
        <f t="shared" si="78"/>
        <v>NA</v>
      </c>
      <c r="AC123" s="29" t="str">
        <f t="shared" si="79"/>
        <v>NA</v>
      </c>
      <c r="AD123" s="29" t="str">
        <f t="shared" si="80"/>
        <v>NA</v>
      </c>
      <c r="AE123" s="29" t="str">
        <f t="shared" si="81"/>
        <v>NA</v>
      </c>
      <c r="AF123" s="29" t="str">
        <f t="shared" si="82"/>
        <v>NA</v>
      </c>
      <c r="AG123" s="29" t="str">
        <f t="shared" si="83"/>
        <v>NA</v>
      </c>
      <c r="AH123" s="29" t="str">
        <f t="shared" si="84"/>
        <v>NA</v>
      </c>
    </row>
    <row r="124" customHeight="1" spans="1:34">
      <c r="A124" s="12" t="s">
        <v>1043</v>
      </c>
      <c r="F124" s="24">
        <f t="shared" si="66"/>
        <v>0</v>
      </c>
      <c r="G124" s="24" t="e">
        <f t="shared" si="65"/>
        <v>#DIV/0!</v>
      </c>
      <c r="Q124" s="29" t="str">
        <f t="shared" si="67"/>
        <v>NA</v>
      </c>
      <c r="R124" s="29" t="str">
        <f t="shared" si="68"/>
        <v>NA</v>
      </c>
      <c r="S124" s="29" t="str">
        <f t="shared" si="69"/>
        <v>NA</v>
      </c>
      <c r="T124" s="29" t="str">
        <f t="shared" si="70"/>
        <v>NA</v>
      </c>
      <c r="U124" s="29" t="str">
        <f t="shared" si="71"/>
        <v>NA</v>
      </c>
      <c r="V124" s="29" t="str">
        <f t="shared" si="72"/>
        <v>NA</v>
      </c>
      <c r="W124" s="29" t="str">
        <f t="shared" si="73"/>
        <v>NA</v>
      </c>
      <c r="X124" s="29" t="str">
        <f t="shared" si="74"/>
        <v>NA</v>
      </c>
      <c r="Y124" s="29" t="str">
        <f t="shared" si="75"/>
        <v>NA</v>
      </c>
      <c r="Z124" s="29" t="str">
        <f t="shared" si="76"/>
        <v>NA</v>
      </c>
      <c r="AA124" s="29" t="str">
        <f t="shared" si="77"/>
        <v>NA</v>
      </c>
      <c r="AB124" s="29" t="str">
        <f t="shared" si="78"/>
        <v>NA</v>
      </c>
      <c r="AC124" s="29" t="str">
        <f t="shared" si="79"/>
        <v>NA</v>
      </c>
      <c r="AD124" s="29" t="str">
        <f t="shared" si="80"/>
        <v>NA</v>
      </c>
      <c r="AE124" s="29" t="str">
        <f t="shared" si="81"/>
        <v>NA</v>
      </c>
      <c r="AF124" s="29" t="str">
        <f t="shared" si="82"/>
        <v>NA</v>
      </c>
      <c r="AG124" s="29" t="str">
        <f t="shared" si="83"/>
        <v>NA</v>
      </c>
      <c r="AH124" s="29" t="str">
        <f t="shared" si="84"/>
        <v>NA</v>
      </c>
    </row>
    <row r="125" customHeight="1" spans="1:34">
      <c r="A125" s="12" t="s">
        <v>1043</v>
      </c>
      <c r="F125" s="24">
        <f t="shared" si="66"/>
        <v>0</v>
      </c>
      <c r="G125" s="24" t="e">
        <f t="shared" si="65"/>
        <v>#DIV/0!</v>
      </c>
      <c r="Q125" s="29" t="str">
        <f t="shared" si="67"/>
        <v>NA</v>
      </c>
      <c r="R125" s="29" t="str">
        <f t="shared" si="68"/>
        <v>NA</v>
      </c>
      <c r="S125" s="29" t="str">
        <f t="shared" si="69"/>
        <v>NA</v>
      </c>
      <c r="T125" s="29" t="str">
        <f t="shared" si="70"/>
        <v>NA</v>
      </c>
      <c r="U125" s="29" t="str">
        <f t="shared" si="71"/>
        <v>NA</v>
      </c>
      <c r="V125" s="29" t="str">
        <f t="shared" si="72"/>
        <v>NA</v>
      </c>
      <c r="W125" s="29" t="str">
        <f t="shared" si="73"/>
        <v>NA</v>
      </c>
      <c r="X125" s="29" t="str">
        <f t="shared" si="74"/>
        <v>NA</v>
      </c>
      <c r="Y125" s="29" t="str">
        <f t="shared" si="75"/>
        <v>NA</v>
      </c>
      <c r="Z125" s="29" t="str">
        <f t="shared" si="76"/>
        <v>NA</v>
      </c>
      <c r="AA125" s="29" t="str">
        <f t="shared" si="77"/>
        <v>NA</v>
      </c>
      <c r="AB125" s="29" t="str">
        <f t="shared" si="78"/>
        <v>NA</v>
      </c>
      <c r="AC125" s="29" t="str">
        <f t="shared" si="79"/>
        <v>NA</v>
      </c>
      <c r="AD125" s="29" t="str">
        <f t="shared" si="80"/>
        <v>NA</v>
      </c>
      <c r="AE125" s="29" t="str">
        <f t="shared" si="81"/>
        <v>NA</v>
      </c>
      <c r="AF125" s="29" t="str">
        <f t="shared" si="82"/>
        <v>NA</v>
      </c>
      <c r="AG125" s="29" t="str">
        <f t="shared" si="83"/>
        <v>NA</v>
      </c>
      <c r="AH125" s="29" t="str">
        <f t="shared" si="84"/>
        <v>NA</v>
      </c>
    </row>
    <row r="126" customHeight="1" spans="1:34">
      <c r="A126" s="12" t="s">
        <v>1043</v>
      </c>
      <c r="F126" s="24">
        <f t="shared" si="66"/>
        <v>0</v>
      </c>
      <c r="G126" s="24" t="e">
        <f t="shared" si="65"/>
        <v>#DIV/0!</v>
      </c>
      <c r="Q126" s="29" t="str">
        <f t="shared" si="67"/>
        <v>NA</v>
      </c>
      <c r="R126" s="29" t="str">
        <f t="shared" si="68"/>
        <v>NA</v>
      </c>
      <c r="S126" s="29" t="str">
        <f t="shared" si="69"/>
        <v>NA</v>
      </c>
      <c r="T126" s="29" t="str">
        <f t="shared" si="70"/>
        <v>NA</v>
      </c>
      <c r="U126" s="29" t="str">
        <f t="shared" si="71"/>
        <v>NA</v>
      </c>
      <c r="V126" s="29" t="str">
        <f t="shared" si="72"/>
        <v>NA</v>
      </c>
      <c r="W126" s="29" t="str">
        <f t="shared" si="73"/>
        <v>NA</v>
      </c>
      <c r="X126" s="29" t="str">
        <f t="shared" si="74"/>
        <v>NA</v>
      </c>
      <c r="Y126" s="29" t="str">
        <f t="shared" si="75"/>
        <v>NA</v>
      </c>
      <c r="Z126" s="29" t="str">
        <f t="shared" si="76"/>
        <v>NA</v>
      </c>
      <c r="AA126" s="29" t="str">
        <f t="shared" si="77"/>
        <v>NA</v>
      </c>
      <c r="AB126" s="29" t="str">
        <f t="shared" si="78"/>
        <v>NA</v>
      </c>
      <c r="AC126" s="29" t="str">
        <f t="shared" si="79"/>
        <v>NA</v>
      </c>
      <c r="AD126" s="29" t="str">
        <f t="shared" si="80"/>
        <v>NA</v>
      </c>
      <c r="AE126" s="29" t="str">
        <f t="shared" si="81"/>
        <v>NA</v>
      </c>
      <c r="AF126" s="29" t="str">
        <f t="shared" si="82"/>
        <v>NA</v>
      </c>
      <c r="AG126" s="29" t="str">
        <f t="shared" si="83"/>
        <v>NA</v>
      </c>
      <c r="AH126" s="29" t="str">
        <f t="shared" si="84"/>
        <v>NA</v>
      </c>
    </row>
    <row r="127" customHeight="1" spans="1:34">
      <c r="A127" s="12" t="s">
        <v>1043</v>
      </c>
      <c r="F127" s="24">
        <f t="shared" si="66"/>
        <v>0</v>
      </c>
      <c r="G127" s="24" t="e">
        <f t="shared" si="65"/>
        <v>#DIV/0!</v>
      </c>
      <c r="Q127" s="29" t="str">
        <f t="shared" si="67"/>
        <v>NA</v>
      </c>
      <c r="R127" s="29" t="str">
        <f t="shared" si="68"/>
        <v>NA</v>
      </c>
      <c r="S127" s="29" t="str">
        <f t="shared" si="69"/>
        <v>NA</v>
      </c>
      <c r="T127" s="29" t="str">
        <f t="shared" si="70"/>
        <v>NA</v>
      </c>
      <c r="U127" s="29" t="str">
        <f t="shared" si="71"/>
        <v>NA</v>
      </c>
      <c r="V127" s="29" t="str">
        <f t="shared" si="72"/>
        <v>NA</v>
      </c>
      <c r="W127" s="29" t="str">
        <f t="shared" si="73"/>
        <v>NA</v>
      </c>
      <c r="X127" s="29" t="str">
        <f t="shared" si="74"/>
        <v>NA</v>
      </c>
      <c r="Y127" s="29" t="str">
        <f t="shared" si="75"/>
        <v>NA</v>
      </c>
      <c r="Z127" s="29" t="str">
        <f t="shared" si="76"/>
        <v>NA</v>
      </c>
      <c r="AA127" s="29" t="str">
        <f t="shared" si="77"/>
        <v>NA</v>
      </c>
      <c r="AB127" s="29" t="str">
        <f t="shared" si="78"/>
        <v>NA</v>
      </c>
      <c r="AC127" s="29" t="str">
        <f t="shared" si="79"/>
        <v>NA</v>
      </c>
      <c r="AD127" s="29" t="str">
        <f t="shared" si="80"/>
        <v>NA</v>
      </c>
      <c r="AE127" s="29" t="str">
        <f t="shared" si="81"/>
        <v>NA</v>
      </c>
      <c r="AF127" s="29" t="str">
        <f t="shared" si="82"/>
        <v>NA</v>
      </c>
      <c r="AG127" s="29" t="str">
        <f t="shared" si="83"/>
        <v>NA</v>
      </c>
      <c r="AH127" s="29" t="str">
        <f t="shared" si="84"/>
        <v>NA</v>
      </c>
    </row>
    <row r="128" customHeight="1" spans="1:34">
      <c r="A128" s="12" t="s">
        <v>1043</v>
      </c>
      <c r="F128" s="24">
        <f t="shared" si="66"/>
        <v>0</v>
      </c>
      <c r="G128" s="24" t="e">
        <f t="shared" si="65"/>
        <v>#DIV/0!</v>
      </c>
      <c r="Q128" s="29" t="str">
        <f t="shared" si="67"/>
        <v>NA</v>
      </c>
      <c r="R128" s="29" t="str">
        <f t="shared" si="68"/>
        <v>NA</v>
      </c>
      <c r="S128" s="29" t="str">
        <f t="shared" si="69"/>
        <v>NA</v>
      </c>
      <c r="T128" s="29" t="str">
        <f t="shared" si="70"/>
        <v>NA</v>
      </c>
      <c r="U128" s="29" t="str">
        <f t="shared" si="71"/>
        <v>NA</v>
      </c>
      <c r="V128" s="29" t="str">
        <f t="shared" si="72"/>
        <v>NA</v>
      </c>
      <c r="W128" s="29" t="str">
        <f t="shared" si="73"/>
        <v>NA</v>
      </c>
      <c r="X128" s="29" t="str">
        <f t="shared" si="74"/>
        <v>NA</v>
      </c>
      <c r="Y128" s="29" t="str">
        <f t="shared" si="75"/>
        <v>NA</v>
      </c>
      <c r="Z128" s="29" t="str">
        <f t="shared" si="76"/>
        <v>NA</v>
      </c>
      <c r="AA128" s="29" t="str">
        <f t="shared" si="77"/>
        <v>NA</v>
      </c>
      <c r="AB128" s="29" t="str">
        <f t="shared" si="78"/>
        <v>NA</v>
      </c>
      <c r="AC128" s="29" t="str">
        <f t="shared" si="79"/>
        <v>NA</v>
      </c>
      <c r="AD128" s="29" t="str">
        <f t="shared" si="80"/>
        <v>NA</v>
      </c>
      <c r="AE128" s="29" t="str">
        <f t="shared" si="81"/>
        <v>NA</v>
      </c>
      <c r="AF128" s="29" t="str">
        <f t="shared" si="82"/>
        <v>NA</v>
      </c>
      <c r="AG128" s="29" t="str">
        <f t="shared" si="83"/>
        <v>NA</v>
      </c>
      <c r="AH128" s="29" t="str">
        <f t="shared" si="84"/>
        <v>NA</v>
      </c>
    </row>
    <row r="129" customHeight="1" spans="1:34">
      <c r="A129" s="12" t="s">
        <v>1043</v>
      </c>
      <c r="F129" s="24">
        <f t="shared" si="66"/>
        <v>0</v>
      </c>
      <c r="G129" s="24" t="e">
        <f t="shared" si="65"/>
        <v>#DIV/0!</v>
      </c>
      <c r="Q129" s="29" t="str">
        <f t="shared" si="67"/>
        <v>NA</v>
      </c>
      <c r="R129" s="29" t="str">
        <f t="shared" si="68"/>
        <v>NA</v>
      </c>
      <c r="S129" s="29" t="str">
        <f t="shared" si="69"/>
        <v>NA</v>
      </c>
      <c r="T129" s="29" t="str">
        <f t="shared" si="70"/>
        <v>NA</v>
      </c>
      <c r="U129" s="29" t="str">
        <f t="shared" si="71"/>
        <v>NA</v>
      </c>
      <c r="V129" s="29" t="str">
        <f t="shared" si="72"/>
        <v>NA</v>
      </c>
      <c r="W129" s="29" t="str">
        <f t="shared" si="73"/>
        <v>NA</v>
      </c>
      <c r="X129" s="29" t="str">
        <f t="shared" si="74"/>
        <v>NA</v>
      </c>
      <c r="Y129" s="29" t="str">
        <f t="shared" si="75"/>
        <v>NA</v>
      </c>
      <c r="Z129" s="29" t="str">
        <f t="shared" si="76"/>
        <v>NA</v>
      </c>
      <c r="AA129" s="29" t="str">
        <f t="shared" si="77"/>
        <v>NA</v>
      </c>
      <c r="AB129" s="29" t="str">
        <f t="shared" si="78"/>
        <v>NA</v>
      </c>
      <c r="AC129" s="29" t="str">
        <f t="shared" si="79"/>
        <v>NA</v>
      </c>
      <c r="AD129" s="29" t="str">
        <f t="shared" si="80"/>
        <v>NA</v>
      </c>
      <c r="AE129" s="29" t="str">
        <f t="shared" si="81"/>
        <v>NA</v>
      </c>
      <c r="AF129" s="29" t="str">
        <f t="shared" si="82"/>
        <v>NA</v>
      </c>
      <c r="AG129" s="29" t="str">
        <f t="shared" si="83"/>
        <v>NA</v>
      </c>
      <c r="AH129" s="29" t="str">
        <f t="shared" si="84"/>
        <v>NA</v>
      </c>
    </row>
    <row r="130" customHeight="1" spans="1:34">
      <c r="A130" s="12" t="s">
        <v>1043</v>
      </c>
      <c r="F130" s="24">
        <f t="shared" si="66"/>
        <v>0</v>
      </c>
      <c r="G130" s="24" t="e">
        <f t="shared" si="65"/>
        <v>#DIV/0!</v>
      </c>
      <c r="Q130" s="29" t="str">
        <f t="shared" si="67"/>
        <v>NA</v>
      </c>
      <c r="R130" s="29" t="str">
        <f t="shared" si="68"/>
        <v>NA</v>
      </c>
      <c r="S130" s="29" t="str">
        <f t="shared" si="69"/>
        <v>NA</v>
      </c>
      <c r="T130" s="29" t="str">
        <f t="shared" si="70"/>
        <v>NA</v>
      </c>
      <c r="U130" s="29" t="str">
        <f t="shared" si="71"/>
        <v>NA</v>
      </c>
      <c r="V130" s="29" t="str">
        <f t="shared" si="72"/>
        <v>NA</v>
      </c>
      <c r="W130" s="29" t="str">
        <f t="shared" si="73"/>
        <v>NA</v>
      </c>
      <c r="X130" s="29" t="str">
        <f t="shared" si="74"/>
        <v>NA</v>
      </c>
      <c r="Y130" s="29" t="str">
        <f t="shared" si="75"/>
        <v>NA</v>
      </c>
      <c r="Z130" s="29" t="str">
        <f t="shared" si="76"/>
        <v>NA</v>
      </c>
      <c r="AA130" s="29" t="str">
        <f t="shared" si="77"/>
        <v>NA</v>
      </c>
      <c r="AB130" s="29" t="str">
        <f t="shared" si="78"/>
        <v>NA</v>
      </c>
      <c r="AC130" s="29" t="str">
        <f t="shared" si="79"/>
        <v>NA</v>
      </c>
      <c r="AD130" s="29" t="str">
        <f t="shared" si="80"/>
        <v>NA</v>
      </c>
      <c r="AE130" s="29" t="str">
        <f t="shared" si="81"/>
        <v>NA</v>
      </c>
      <c r="AF130" s="29" t="str">
        <f t="shared" si="82"/>
        <v>NA</v>
      </c>
      <c r="AG130" s="29" t="str">
        <f t="shared" si="83"/>
        <v>NA</v>
      </c>
      <c r="AH130" s="29" t="str">
        <f t="shared" si="84"/>
        <v>NA</v>
      </c>
    </row>
    <row r="131" customHeight="1" spans="1:34">
      <c r="A131" s="12" t="s">
        <v>1043</v>
      </c>
      <c r="F131" s="24">
        <f t="shared" si="66"/>
        <v>0</v>
      </c>
      <c r="G131" s="24" t="e">
        <f t="shared" si="65"/>
        <v>#DIV/0!</v>
      </c>
      <c r="Q131" s="29" t="str">
        <f t="shared" si="67"/>
        <v>NA</v>
      </c>
      <c r="R131" s="29" t="str">
        <f t="shared" si="68"/>
        <v>NA</v>
      </c>
      <c r="S131" s="29" t="str">
        <f t="shared" si="69"/>
        <v>NA</v>
      </c>
      <c r="T131" s="29" t="str">
        <f t="shared" si="70"/>
        <v>NA</v>
      </c>
      <c r="U131" s="29" t="str">
        <f t="shared" si="71"/>
        <v>NA</v>
      </c>
      <c r="V131" s="29" t="str">
        <f t="shared" si="72"/>
        <v>NA</v>
      </c>
      <c r="W131" s="29" t="str">
        <f t="shared" si="73"/>
        <v>NA</v>
      </c>
      <c r="X131" s="29" t="str">
        <f t="shared" si="74"/>
        <v>NA</v>
      </c>
      <c r="Y131" s="29" t="str">
        <f t="shared" si="75"/>
        <v>NA</v>
      </c>
      <c r="Z131" s="29" t="str">
        <f t="shared" si="76"/>
        <v>NA</v>
      </c>
      <c r="AA131" s="29" t="str">
        <f t="shared" si="77"/>
        <v>NA</v>
      </c>
      <c r="AB131" s="29" t="str">
        <f t="shared" si="78"/>
        <v>NA</v>
      </c>
      <c r="AC131" s="29" t="str">
        <f t="shared" si="79"/>
        <v>NA</v>
      </c>
      <c r="AD131" s="29" t="str">
        <f t="shared" si="80"/>
        <v>NA</v>
      </c>
      <c r="AE131" s="29" t="str">
        <f t="shared" si="81"/>
        <v>NA</v>
      </c>
      <c r="AF131" s="29" t="str">
        <f t="shared" si="82"/>
        <v>NA</v>
      </c>
      <c r="AG131" s="29" t="str">
        <f t="shared" si="83"/>
        <v>NA</v>
      </c>
      <c r="AH131" s="29" t="str">
        <f t="shared" si="84"/>
        <v>NA</v>
      </c>
    </row>
    <row r="132" customHeight="1" spans="1:34">
      <c r="A132" s="12" t="s">
        <v>1043</v>
      </c>
      <c r="F132" s="24">
        <f t="shared" si="66"/>
        <v>0</v>
      </c>
      <c r="G132" s="24" t="e">
        <f t="shared" si="65"/>
        <v>#DIV/0!</v>
      </c>
      <c r="Q132" s="29" t="str">
        <f t="shared" si="67"/>
        <v>NA</v>
      </c>
      <c r="R132" s="29" t="str">
        <f t="shared" si="68"/>
        <v>NA</v>
      </c>
      <c r="S132" s="29" t="str">
        <f t="shared" si="69"/>
        <v>NA</v>
      </c>
      <c r="T132" s="29" t="str">
        <f t="shared" si="70"/>
        <v>NA</v>
      </c>
      <c r="U132" s="29" t="str">
        <f t="shared" si="71"/>
        <v>NA</v>
      </c>
      <c r="V132" s="29" t="str">
        <f t="shared" si="72"/>
        <v>NA</v>
      </c>
      <c r="W132" s="29" t="str">
        <f t="shared" si="73"/>
        <v>NA</v>
      </c>
      <c r="X132" s="29" t="str">
        <f t="shared" si="74"/>
        <v>NA</v>
      </c>
      <c r="Y132" s="29" t="str">
        <f t="shared" si="75"/>
        <v>NA</v>
      </c>
      <c r="Z132" s="29" t="str">
        <f t="shared" si="76"/>
        <v>NA</v>
      </c>
      <c r="AA132" s="29" t="str">
        <f t="shared" si="77"/>
        <v>NA</v>
      </c>
      <c r="AB132" s="29" t="str">
        <f t="shared" si="78"/>
        <v>NA</v>
      </c>
      <c r="AC132" s="29" t="str">
        <f t="shared" si="79"/>
        <v>NA</v>
      </c>
      <c r="AD132" s="29" t="str">
        <f t="shared" si="80"/>
        <v>NA</v>
      </c>
      <c r="AE132" s="29" t="str">
        <f t="shared" si="81"/>
        <v>NA</v>
      </c>
      <c r="AF132" s="29" t="str">
        <f t="shared" si="82"/>
        <v>NA</v>
      </c>
      <c r="AG132" s="29" t="str">
        <f t="shared" si="83"/>
        <v>NA</v>
      </c>
      <c r="AH132" s="29" t="str">
        <f t="shared" si="84"/>
        <v>NA</v>
      </c>
    </row>
    <row r="133" customHeight="1" spans="1:34">
      <c r="A133" s="12" t="s">
        <v>1043</v>
      </c>
      <c r="F133" s="24">
        <f t="shared" si="66"/>
        <v>0</v>
      </c>
      <c r="G133" s="24" t="e">
        <f t="shared" ref="G133:G196" si="85">B133*D133/C133</f>
        <v>#DIV/0!</v>
      </c>
      <c r="Q133" s="29" t="str">
        <f t="shared" si="67"/>
        <v>NA</v>
      </c>
      <c r="R133" s="29" t="str">
        <f t="shared" si="68"/>
        <v>NA</v>
      </c>
      <c r="S133" s="29" t="str">
        <f t="shared" si="69"/>
        <v>NA</v>
      </c>
      <c r="T133" s="29" t="str">
        <f t="shared" si="70"/>
        <v>NA</v>
      </c>
      <c r="U133" s="29" t="str">
        <f t="shared" si="71"/>
        <v>NA</v>
      </c>
      <c r="V133" s="29" t="str">
        <f t="shared" si="72"/>
        <v>NA</v>
      </c>
      <c r="W133" s="29" t="str">
        <f t="shared" si="73"/>
        <v>NA</v>
      </c>
      <c r="X133" s="29" t="str">
        <f t="shared" si="74"/>
        <v>NA</v>
      </c>
      <c r="Y133" s="29" t="str">
        <f t="shared" si="75"/>
        <v>NA</v>
      </c>
      <c r="Z133" s="29" t="str">
        <f t="shared" si="76"/>
        <v>NA</v>
      </c>
      <c r="AA133" s="29" t="str">
        <f t="shared" si="77"/>
        <v>NA</v>
      </c>
      <c r="AB133" s="29" t="str">
        <f t="shared" si="78"/>
        <v>NA</v>
      </c>
      <c r="AC133" s="29" t="str">
        <f t="shared" si="79"/>
        <v>NA</v>
      </c>
      <c r="AD133" s="29" t="str">
        <f t="shared" si="80"/>
        <v>NA</v>
      </c>
      <c r="AE133" s="29" t="str">
        <f t="shared" si="81"/>
        <v>NA</v>
      </c>
      <c r="AF133" s="29" t="str">
        <f t="shared" si="82"/>
        <v>NA</v>
      </c>
      <c r="AG133" s="29" t="str">
        <f t="shared" si="83"/>
        <v>NA</v>
      </c>
      <c r="AH133" s="29" t="str">
        <f t="shared" si="84"/>
        <v>NA</v>
      </c>
    </row>
    <row r="134" customHeight="1" spans="1:34">
      <c r="A134" s="12" t="s">
        <v>1043</v>
      </c>
      <c r="F134" s="24">
        <f t="shared" ref="F134:F197" si="86">+D134+E134</f>
        <v>0</v>
      </c>
      <c r="G134" s="24" t="e">
        <f t="shared" si="85"/>
        <v>#DIV/0!</v>
      </c>
      <c r="Q134" s="29" t="str">
        <f t="shared" si="67"/>
        <v>NA</v>
      </c>
      <c r="R134" s="29" t="str">
        <f t="shared" si="68"/>
        <v>NA</v>
      </c>
      <c r="S134" s="29" t="str">
        <f t="shared" si="69"/>
        <v>NA</v>
      </c>
      <c r="T134" s="29" t="str">
        <f t="shared" si="70"/>
        <v>NA</v>
      </c>
      <c r="U134" s="29" t="str">
        <f t="shared" si="71"/>
        <v>NA</v>
      </c>
      <c r="V134" s="29" t="str">
        <f t="shared" si="72"/>
        <v>NA</v>
      </c>
      <c r="W134" s="29" t="str">
        <f t="shared" si="73"/>
        <v>NA</v>
      </c>
      <c r="X134" s="29" t="str">
        <f t="shared" si="74"/>
        <v>NA</v>
      </c>
      <c r="Y134" s="29" t="str">
        <f t="shared" si="75"/>
        <v>NA</v>
      </c>
      <c r="Z134" s="29" t="str">
        <f t="shared" si="76"/>
        <v>NA</v>
      </c>
      <c r="AA134" s="29" t="str">
        <f t="shared" si="77"/>
        <v>NA</v>
      </c>
      <c r="AB134" s="29" t="str">
        <f t="shared" si="78"/>
        <v>NA</v>
      </c>
      <c r="AC134" s="29" t="str">
        <f t="shared" si="79"/>
        <v>NA</v>
      </c>
      <c r="AD134" s="29" t="str">
        <f t="shared" si="80"/>
        <v>NA</v>
      </c>
      <c r="AE134" s="29" t="str">
        <f t="shared" si="81"/>
        <v>NA</v>
      </c>
      <c r="AF134" s="29" t="str">
        <f t="shared" si="82"/>
        <v>NA</v>
      </c>
      <c r="AG134" s="29" t="str">
        <f t="shared" si="83"/>
        <v>NA</v>
      </c>
      <c r="AH134" s="29" t="str">
        <f t="shared" si="84"/>
        <v>NA</v>
      </c>
    </row>
    <row r="135" customHeight="1" spans="1:34">
      <c r="A135" s="12" t="s">
        <v>1043</v>
      </c>
      <c r="F135" s="24">
        <f t="shared" si="86"/>
        <v>0</v>
      </c>
      <c r="G135" s="24" t="e">
        <f t="shared" si="85"/>
        <v>#DIV/0!</v>
      </c>
      <c r="Q135" s="29" t="str">
        <f t="shared" si="67"/>
        <v>NA</v>
      </c>
      <c r="R135" s="29" t="str">
        <f t="shared" si="68"/>
        <v>NA</v>
      </c>
      <c r="S135" s="29" t="str">
        <f t="shared" si="69"/>
        <v>NA</v>
      </c>
      <c r="T135" s="29" t="str">
        <f t="shared" si="70"/>
        <v>NA</v>
      </c>
      <c r="U135" s="29" t="str">
        <f t="shared" si="71"/>
        <v>NA</v>
      </c>
      <c r="V135" s="29" t="str">
        <f t="shared" si="72"/>
        <v>NA</v>
      </c>
      <c r="W135" s="29" t="str">
        <f t="shared" si="73"/>
        <v>NA</v>
      </c>
      <c r="X135" s="29" t="str">
        <f t="shared" si="74"/>
        <v>NA</v>
      </c>
      <c r="Y135" s="29" t="str">
        <f t="shared" si="75"/>
        <v>NA</v>
      </c>
      <c r="Z135" s="29" t="str">
        <f t="shared" si="76"/>
        <v>NA</v>
      </c>
      <c r="AA135" s="29" t="str">
        <f t="shared" si="77"/>
        <v>NA</v>
      </c>
      <c r="AB135" s="29" t="str">
        <f t="shared" si="78"/>
        <v>NA</v>
      </c>
      <c r="AC135" s="29" t="str">
        <f t="shared" si="79"/>
        <v>NA</v>
      </c>
      <c r="AD135" s="29" t="str">
        <f t="shared" si="80"/>
        <v>NA</v>
      </c>
      <c r="AE135" s="29" t="str">
        <f t="shared" si="81"/>
        <v>NA</v>
      </c>
      <c r="AF135" s="29" t="str">
        <f t="shared" si="82"/>
        <v>NA</v>
      </c>
      <c r="AG135" s="29" t="str">
        <f t="shared" si="83"/>
        <v>NA</v>
      </c>
      <c r="AH135" s="29" t="str">
        <f t="shared" si="84"/>
        <v>NA</v>
      </c>
    </row>
    <row r="136" customHeight="1" spans="1:34">
      <c r="A136" s="12" t="s">
        <v>1043</v>
      </c>
      <c r="F136" s="24">
        <f t="shared" si="86"/>
        <v>0</v>
      </c>
      <c r="G136" s="24" t="e">
        <f t="shared" si="85"/>
        <v>#DIV/0!</v>
      </c>
      <c r="Q136" s="29" t="str">
        <f t="shared" si="67"/>
        <v>NA</v>
      </c>
      <c r="R136" s="29" t="str">
        <f t="shared" si="68"/>
        <v>NA</v>
      </c>
      <c r="S136" s="29" t="str">
        <f t="shared" si="69"/>
        <v>NA</v>
      </c>
      <c r="T136" s="29" t="str">
        <f t="shared" si="70"/>
        <v>NA</v>
      </c>
      <c r="U136" s="29" t="str">
        <f t="shared" si="71"/>
        <v>NA</v>
      </c>
      <c r="V136" s="29" t="str">
        <f t="shared" si="72"/>
        <v>NA</v>
      </c>
      <c r="W136" s="29" t="str">
        <f t="shared" si="73"/>
        <v>NA</v>
      </c>
      <c r="X136" s="29" t="str">
        <f t="shared" si="74"/>
        <v>NA</v>
      </c>
      <c r="Y136" s="29" t="str">
        <f t="shared" si="75"/>
        <v>NA</v>
      </c>
      <c r="Z136" s="29" t="str">
        <f t="shared" si="76"/>
        <v>NA</v>
      </c>
      <c r="AA136" s="29" t="str">
        <f t="shared" si="77"/>
        <v>NA</v>
      </c>
      <c r="AB136" s="29" t="str">
        <f t="shared" si="78"/>
        <v>NA</v>
      </c>
      <c r="AC136" s="29" t="str">
        <f t="shared" si="79"/>
        <v>NA</v>
      </c>
      <c r="AD136" s="29" t="str">
        <f t="shared" si="80"/>
        <v>NA</v>
      </c>
      <c r="AE136" s="29" t="str">
        <f t="shared" si="81"/>
        <v>NA</v>
      </c>
      <c r="AF136" s="29" t="str">
        <f t="shared" si="82"/>
        <v>NA</v>
      </c>
      <c r="AG136" s="29" t="str">
        <f t="shared" si="83"/>
        <v>NA</v>
      </c>
      <c r="AH136" s="29" t="str">
        <f t="shared" si="84"/>
        <v>NA</v>
      </c>
    </row>
    <row r="137" customHeight="1" spans="1:34">
      <c r="A137" s="12" t="s">
        <v>1043</v>
      </c>
      <c r="F137" s="24">
        <f t="shared" si="86"/>
        <v>0</v>
      </c>
      <c r="G137" s="24" t="e">
        <f t="shared" si="85"/>
        <v>#DIV/0!</v>
      </c>
      <c r="Q137" s="29" t="str">
        <f t="shared" si="67"/>
        <v>NA</v>
      </c>
      <c r="R137" s="29" t="str">
        <f t="shared" si="68"/>
        <v>NA</v>
      </c>
      <c r="S137" s="29" t="str">
        <f t="shared" si="69"/>
        <v>NA</v>
      </c>
      <c r="T137" s="29" t="str">
        <f t="shared" si="70"/>
        <v>NA</v>
      </c>
      <c r="U137" s="29" t="str">
        <f t="shared" si="71"/>
        <v>NA</v>
      </c>
      <c r="V137" s="29" t="str">
        <f t="shared" si="72"/>
        <v>NA</v>
      </c>
      <c r="W137" s="29" t="str">
        <f t="shared" si="73"/>
        <v>NA</v>
      </c>
      <c r="X137" s="29" t="str">
        <f t="shared" si="74"/>
        <v>NA</v>
      </c>
      <c r="Y137" s="29" t="str">
        <f t="shared" si="75"/>
        <v>NA</v>
      </c>
      <c r="Z137" s="29" t="str">
        <f t="shared" si="76"/>
        <v>NA</v>
      </c>
      <c r="AA137" s="29" t="str">
        <f t="shared" si="77"/>
        <v>NA</v>
      </c>
      <c r="AB137" s="29" t="str">
        <f t="shared" si="78"/>
        <v>NA</v>
      </c>
      <c r="AC137" s="29" t="str">
        <f t="shared" si="79"/>
        <v>NA</v>
      </c>
      <c r="AD137" s="29" t="str">
        <f t="shared" si="80"/>
        <v>NA</v>
      </c>
      <c r="AE137" s="29" t="str">
        <f t="shared" si="81"/>
        <v>NA</v>
      </c>
      <c r="AF137" s="29" t="str">
        <f t="shared" si="82"/>
        <v>NA</v>
      </c>
      <c r="AG137" s="29" t="str">
        <f t="shared" si="83"/>
        <v>NA</v>
      </c>
      <c r="AH137" s="29" t="str">
        <f t="shared" si="84"/>
        <v>NA</v>
      </c>
    </row>
    <row r="138" customHeight="1" spans="1:34">
      <c r="A138" s="12" t="s">
        <v>1043</v>
      </c>
      <c r="F138" s="24">
        <f t="shared" si="86"/>
        <v>0</v>
      </c>
      <c r="G138" s="24" t="e">
        <f t="shared" si="85"/>
        <v>#DIV/0!</v>
      </c>
      <c r="Q138" s="29" t="str">
        <f t="shared" si="67"/>
        <v>NA</v>
      </c>
      <c r="R138" s="29" t="str">
        <f t="shared" si="68"/>
        <v>NA</v>
      </c>
      <c r="S138" s="29" t="str">
        <f t="shared" si="69"/>
        <v>NA</v>
      </c>
      <c r="T138" s="29" t="str">
        <f t="shared" si="70"/>
        <v>NA</v>
      </c>
      <c r="U138" s="29" t="str">
        <f t="shared" si="71"/>
        <v>NA</v>
      </c>
      <c r="V138" s="29" t="str">
        <f t="shared" si="72"/>
        <v>NA</v>
      </c>
      <c r="W138" s="29" t="str">
        <f t="shared" si="73"/>
        <v>NA</v>
      </c>
      <c r="X138" s="29" t="str">
        <f t="shared" si="74"/>
        <v>NA</v>
      </c>
      <c r="Y138" s="29" t="str">
        <f t="shared" si="75"/>
        <v>NA</v>
      </c>
      <c r="Z138" s="29" t="str">
        <f t="shared" si="76"/>
        <v>NA</v>
      </c>
      <c r="AA138" s="29" t="str">
        <f t="shared" si="77"/>
        <v>NA</v>
      </c>
      <c r="AB138" s="29" t="str">
        <f t="shared" si="78"/>
        <v>NA</v>
      </c>
      <c r="AC138" s="29" t="str">
        <f t="shared" si="79"/>
        <v>NA</v>
      </c>
      <c r="AD138" s="29" t="str">
        <f t="shared" si="80"/>
        <v>NA</v>
      </c>
      <c r="AE138" s="29" t="str">
        <f t="shared" si="81"/>
        <v>NA</v>
      </c>
      <c r="AF138" s="29" t="str">
        <f t="shared" si="82"/>
        <v>NA</v>
      </c>
      <c r="AG138" s="29" t="str">
        <f t="shared" si="83"/>
        <v>NA</v>
      </c>
      <c r="AH138" s="29" t="str">
        <f t="shared" si="84"/>
        <v>NA</v>
      </c>
    </row>
    <row r="139" customHeight="1" spans="1:34">
      <c r="A139" s="12" t="s">
        <v>1043</v>
      </c>
      <c r="F139" s="24">
        <f t="shared" si="86"/>
        <v>0</v>
      </c>
      <c r="G139" s="24" t="e">
        <f t="shared" si="85"/>
        <v>#DIV/0!</v>
      </c>
      <c r="Q139" s="29" t="str">
        <f t="shared" si="67"/>
        <v>NA</v>
      </c>
      <c r="R139" s="29" t="str">
        <f t="shared" si="68"/>
        <v>NA</v>
      </c>
      <c r="S139" s="29" t="str">
        <f t="shared" si="69"/>
        <v>NA</v>
      </c>
      <c r="T139" s="29" t="str">
        <f t="shared" si="70"/>
        <v>NA</v>
      </c>
      <c r="U139" s="29" t="str">
        <f t="shared" si="71"/>
        <v>NA</v>
      </c>
      <c r="V139" s="29" t="str">
        <f t="shared" si="72"/>
        <v>NA</v>
      </c>
      <c r="W139" s="29" t="str">
        <f t="shared" si="73"/>
        <v>NA</v>
      </c>
      <c r="X139" s="29" t="str">
        <f t="shared" si="74"/>
        <v>NA</v>
      </c>
      <c r="Y139" s="29" t="str">
        <f t="shared" si="75"/>
        <v>NA</v>
      </c>
      <c r="Z139" s="29" t="str">
        <f t="shared" si="76"/>
        <v>NA</v>
      </c>
      <c r="AA139" s="29" t="str">
        <f t="shared" si="77"/>
        <v>NA</v>
      </c>
      <c r="AB139" s="29" t="str">
        <f t="shared" si="78"/>
        <v>NA</v>
      </c>
      <c r="AC139" s="29" t="str">
        <f t="shared" si="79"/>
        <v>NA</v>
      </c>
      <c r="AD139" s="29" t="str">
        <f t="shared" si="80"/>
        <v>NA</v>
      </c>
      <c r="AE139" s="29" t="str">
        <f t="shared" si="81"/>
        <v>NA</v>
      </c>
      <c r="AF139" s="29" t="str">
        <f t="shared" si="82"/>
        <v>NA</v>
      </c>
      <c r="AG139" s="29" t="str">
        <f t="shared" si="83"/>
        <v>NA</v>
      </c>
      <c r="AH139" s="29" t="str">
        <f t="shared" si="84"/>
        <v>NA</v>
      </c>
    </row>
    <row r="140" customHeight="1" spans="1:34">
      <c r="A140" s="12" t="s">
        <v>1043</v>
      </c>
      <c r="F140" s="24">
        <f t="shared" si="86"/>
        <v>0</v>
      </c>
      <c r="G140" s="24" t="e">
        <f t="shared" si="85"/>
        <v>#DIV/0!</v>
      </c>
      <c r="Q140" s="29" t="str">
        <f t="shared" si="67"/>
        <v>NA</v>
      </c>
      <c r="R140" s="29" t="str">
        <f t="shared" si="68"/>
        <v>NA</v>
      </c>
      <c r="S140" s="29" t="str">
        <f t="shared" si="69"/>
        <v>NA</v>
      </c>
      <c r="T140" s="29" t="str">
        <f t="shared" si="70"/>
        <v>NA</v>
      </c>
      <c r="U140" s="29" t="str">
        <f t="shared" si="71"/>
        <v>NA</v>
      </c>
      <c r="V140" s="29" t="str">
        <f t="shared" si="72"/>
        <v>NA</v>
      </c>
      <c r="W140" s="29" t="str">
        <f t="shared" si="73"/>
        <v>NA</v>
      </c>
      <c r="X140" s="29" t="str">
        <f t="shared" si="74"/>
        <v>NA</v>
      </c>
      <c r="Y140" s="29" t="str">
        <f t="shared" si="75"/>
        <v>NA</v>
      </c>
      <c r="Z140" s="29" t="str">
        <f t="shared" si="76"/>
        <v>NA</v>
      </c>
      <c r="AA140" s="29" t="str">
        <f t="shared" si="77"/>
        <v>NA</v>
      </c>
      <c r="AB140" s="29" t="str">
        <f t="shared" si="78"/>
        <v>NA</v>
      </c>
      <c r="AC140" s="29" t="str">
        <f t="shared" si="79"/>
        <v>NA</v>
      </c>
      <c r="AD140" s="29" t="str">
        <f t="shared" si="80"/>
        <v>NA</v>
      </c>
      <c r="AE140" s="29" t="str">
        <f t="shared" si="81"/>
        <v>NA</v>
      </c>
      <c r="AF140" s="29" t="str">
        <f t="shared" si="82"/>
        <v>NA</v>
      </c>
      <c r="AG140" s="29" t="str">
        <f t="shared" si="83"/>
        <v>NA</v>
      </c>
      <c r="AH140" s="29" t="str">
        <f t="shared" si="84"/>
        <v>NA</v>
      </c>
    </row>
    <row r="141" customHeight="1" spans="1:34">
      <c r="A141" s="12" t="s">
        <v>1043</v>
      </c>
      <c r="F141" s="24">
        <f t="shared" si="86"/>
        <v>0</v>
      </c>
      <c r="G141" s="24" t="e">
        <f t="shared" si="85"/>
        <v>#DIV/0!</v>
      </c>
      <c r="Q141" s="29" t="str">
        <f t="shared" si="67"/>
        <v>NA</v>
      </c>
      <c r="R141" s="29" t="str">
        <f t="shared" si="68"/>
        <v>NA</v>
      </c>
      <c r="S141" s="29" t="str">
        <f t="shared" si="69"/>
        <v>NA</v>
      </c>
      <c r="T141" s="29" t="str">
        <f t="shared" si="70"/>
        <v>NA</v>
      </c>
      <c r="U141" s="29" t="str">
        <f t="shared" si="71"/>
        <v>NA</v>
      </c>
      <c r="V141" s="29" t="str">
        <f t="shared" si="72"/>
        <v>NA</v>
      </c>
      <c r="W141" s="29" t="str">
        <f t="shared" si="73"/>
        <v>NA</v>
      </c>
      <c r="X141" s="29" t="str">
        <f t="shared" si="74"/>
        <v>NA</v>
      </c>
      <c r="Y141" s="29" t="str">
        <f t="shared" si="75"/>
        <v>NA</v>
      </c>
      <c r="Z141" s="29" t="str">
        <f t="shared" si="76"/>
        <v>NA</v>
      </c>
      <c r="AA141" s="29" t="str">
        <f t="shared" si="77"/>
        <v>NA</v>
      </c>
      <c r="AB141" s="29" t="str">
        <f t="shared" si="78"/>
        <v>NA</v>
      </c>
      <c r="AC141" s="29" t="str">
        <f t="shared" si="79"/>
        <v>NA</v>
      </c>
      <c r="AD141" s="29" t="str">
        <f t="shared" si="80"/>
        <v>NA</v>
      </c>
      <c r="AE141" s="29" t="str">
        <f t="shared" si="81"/>
        <v>NA</v>
      </c>
      <c r="AF141" s="29" t="str">
        <f t="shared" si="82"/>
        <v>NA</v>
      </c>
      <c r="AG141" s="29" t="str">
        <f t="shared" si="83"/>
        <v>NA</v>
      </c>
      <c r="AH141" s="29" t="str">
        <f t="shared" si="84"/>
        <v>NA</v>
      </c>
    </row>
    <row r="142" customHeight="1" spans="1:34">
      <c r="A142" s="12" t="s">
        <v>1043</v>
      </c>
      <c r="F142" s="24">
        <f t="shared" si="86"/>
        <v>0</v>
      </c>
      <c r="G142" s="24" t="e">
        <f t="shared" si="85"/>
        <v>#DIV/0!</v>
      </c>
      <c r="Q142" s="29" t="str">
        <f t="shared" si="67"/>
        <v>NA</v>
      </c>
      <c r="R142" s="29" t="str">
        <f t="shared" si="68"/>
        <v>NA</v>
      </c>
      <c r="S142" s="29" t="str">
        <f t="shared" si="69"/>
        <v>NA</v>
      </c>
      <c r="T142" s="29" t="str">
        <f t="shared" si="70"/>
        <v>NA</v>
      </c>
      <c r="U142" s="29" t="str">
        <f t="shared" si="71"/>
        <v>NA</v>
      </c>
      <c r="V142" s="29" t="str">
        <f t="shared" si="72"/>
        <v>NA</v>
      </c>
      <c r="W142" s="29" t="str">
        <f t="shared" si="73"/>
        <v>NA</v>
      </c>
      <c r="X142" s="29" t="str">
        <f t="shared" si="74"/>
        <v>NA</v>
      </c>
      <c r="Y142" s="29" t="str">
        <f t="shared" si="75"/>
        <v>NA</v>
      </c>
      <c r="Z142" s="29" t="str">
        <f t="shared" si="76"/>
        <v>NA</v>
      </c>
      <c r="AA142" s="29" t="str">
        <f t="shared" si="77"/>
        <v>NA</v>
      </c>
      <c r="AB142" s="29" t="str">
        <f t="shared" si="78"/>
        <v>NA</v>
      </c>
      <c r="AC142" s="29" t="str">
        <f t="shared" si="79"/>
        <v>NA</v>
      </c>
      <c r="AD142" s="29" t="str">
        <f t="shared" si="80"/>
        <v>NA</v>
      </c>
      <c r="AE142" s="29" t="str">
        <f t="shared" si="81"/>
        <v>NA</v>
      </c>
      <c r="AF142" s="29" t="str">
        <f t="shared" si="82"/>
        <v>NA</v>
      </c>
      <c r="AG142" s="29" t="str">
        <f t="shared" si="83"/>
        <v>NA</v>
      </c>
      <c r="AH142" s="29" t="str">
        <f t="shared" si="84"/>
        <v>NA</v>
      </c>
    </row>
    <row r="143" customHeight="1" spans="1:34">
      <c r="A143" s="12" t="s">
        <v>1043</v>
      </c>
      <c r="F143" s="24">
        <f t="shared" si="86"/>
        <v>0</v>
      </c>
      <c r="G143" s="24" t="e">
        <f t="shared" si="85"/>
        <v>#DIV/0!</v>
      </c>
      <c r="Q143" s="29" t="str">
        <f t="shared" si="67"/>
        <v>NA</v>
      </c>
      <c r="R143" s="29" t="str">
        <f t="shared" si="68"/>
        <v>NA</v>
      </c>
      <c r="S143" s="29" t="str">
        <f t="shared" si="69"/>
        <v>NA</v>
      </c>
      <c r="T143" s="29" t="str">
        <f t="shared" si="70"/>
        <v>NA</v>
      </c>
      <c r="U143" s="29" t="str">
        <f t="shared" si="71"/>
        <v>NA</v>
      </c>
      <c r="V143" s="29" t="str">
        <f t="shared" si="72"/>
        <v>NA</v>
      </c>
      <c r="W143" s="29" t="str">
        <f t="shared" si="73"/>
        <v>NA</v>
      </c>
      <c r="X143" s="29" t="str">
        <f t="shared" si="74"/>
        <v>NA</v>
      </c>
      <c r="Y143" s="29" t="str">
        <f t="shared" si="75"/>
        <v>NA</v>
      </c>
      <c r="Z143" s="29" t="str">
        <f t="shared" si="76"/>
        <v>NA</v>
      </c>
      <c r="AA143" s="29" t="str">
        <f t="shared" si="77"/>
        <v>NA</v>
      </c>
      <c r="AB143" s="29" t="str">
        <f t="shared" si="78"/>
        <v>NA</v>
      </c>
      <c r="AC143" s="29" t="str">
        <f t="shared" si="79"/>
        <v>NA</v>
      </c>
      <c r="AD143" s="29" t="str">
        <f t="shared" si="80"/>
        <v>NA</v>
      </c>
      <c r="AE143" s="29" t="str">
        <f t="shared" si="81"/>
        <v>NA</v>
      </c>
      <c r="AF143" s="29" t="str">
        <f t="shared" si="82"/>
        <v>NA</v>
      </c>
      <c r="AG143" s="29" t="str">
        <f t="shared" si="83"/>
        <v>NA</v>
      </c>
      <c r="AH143" s="29" t="str">
        <f t="shared" si="84"/>
        <v>NA</v>
      </c>
    </row>
    <row r="144" customHeight="1" spans="1:34">
      <c r="A144" s="12" t="s">
        <v>1043</v>
      </c>
      <c r="F144" s="24">
        <f t="shared" si="86"/>
        <v>0</v>
      </c>
      <c r="G144" s="24" t="e">
        <f t="shared" si="85"/>
        <v>#DIV/0!</v>
      </c>
      <c r="Q144" s="29" t="str">
        <f t="shared" ref="Q144:Q207" si="87">IFERROR($B144*$E144/H144,"NA")</f>
        <v>NA</v>
      </c>
      <c r="R144" s="29" t="str">
        <f t="shared" ref="R144:R207" si="88">IFERROR($B144*$E144/I144,"NA")</f>
        <v>NA</v>
      </c>
      <c r="S144" s="29" t="str">
        <f t="shared" ref="S144:S207" si="89">IFERROR($B144*$E144/J144,"NA")</f>
        <v>NA</v>
      </c>
      <c r="T144" s="29" t="str">
        <f t="shared" ref="T144:T207" si="90">IFERROR($B144*$E144/K144,"NA")</f>
        <v>NA</v>
      </c>
      <c r="U144" s="29" t="str">
        <f t="shared" ref="U144:U207" si="91">IFERROR($B144*$E144/L144,"NA")</f>
        <v>NA</v>
      </c>
      <c r="V144" s="29" t="str">
        <f t="shared" ref="V144:V207" si="92">IFERROR($B144*$E144/M144,"NA")</f>
        <v>NA</v>
      </c>
      <c r="W144" s="29" t="str">
        <f t="shared" ref="W144:W207" si="93">IFERROR($B144*$E144/N144,"NA")</f>
        <v>NA</v>
      </c>
      <c r="X144" s="29" t="str">
        <f t="shared" ref="X144:X207" si="94">IFERROR($B144*$E144/O144,"NA")</f>
        <v>NA</v>
      </c>
      <c r="Y144" s="29" t="str">
        <f t="shared" ref="Y144:Y207" si="95">IFERROR($B144*$E144/P144,"NA")</f>
        <v>NA</v>
      </c>
      <c r="Z144" s="29" t="str">
        <f t="shared" ref="Z144:Z207" si="96">IFERROR((($G144*Z$2/1000)+Q144)/1,"NA")</f>
        <v>NA</v>
      </c>
      <c r="AA144" s="29" t="str">
        <f t="shared" ref="AA144:AA207" si="97">IFERROR((($G144*AA$2/1000)+R144)/1,"NA")</f>
        <v>NA</v>
      </c>
      <c r="AB144" s="29" t="str">
        <f t="shared" ref="AB144:AB207" si="98">IFERROR((($G144*AB$2/1000)+S144)/1,"NA")</f>
        <v>NA</v>
      </c>
      <c r="AC144" s="29" t="str">
        <f t="shared" ref="AC144:AC207" si="99">IFERROR((($G144*AC$2/1000)+T144)/1,"NA")</f>
        <v>NA</v>
      </c>
      <c r="AD144" s="29" t="str">
        <f t="shared" ref="AD144:AD207" si="100">IFERROR((($G144*AD$2/1000)+U144)/1,"NA")</f>
        <v>NA</v>
      </c>
      <c r="AE144" s="29" t="str">
        <f t="shared" ref="AE144:AE207" si="101">IFERROR((($G144*AE$2/1000)+V144)/1,"NA")</f>
        <v>NA</v>
      </c>
      <c r="AF144" s="29" t="str">
        <f t="shared" ref="AF144:AF207" si="102">IFERROR((($G144*AF$2/1000)+W144)/1,"NA")</f>
        <v>NA</v>
      </c>
      <c r="AG144" s="29" t="str">
        <f t="shared" ref="AG144:AG207" si="103">IFERROR((($G144*AG$2/1000)+X144)/1,"NA")</f>
        <v>NA</v>
      </c>
      <c r="AH144" s="29" t="str">
        <f t="shared" ref="AH144:AH207" si="104">IFERROR((($G144*AH$2/1000)+Y144)/1,"NA")</f>
        <v>NA</v>
      </c>
    </row>
    <row r="145" customHeight="1" spans="1:34">
      <c r="A145" s="12" t="s">
        <v>1043</v>
      </c>
      <c r="F145" s="24">
        <f t="shared" si="86"/>
        <v>0</v>
      </c>
      <c r="G145" s="24" t="e">
        <f t="shared" si="85"/>
        <v>#DIV/0!</v>
      </c>
      <c r="Q145" s="29" t="str">
        <f t="shared" si="87"/>
        <v>NA</v>
      </c>
      <c r="R145" s="29" t="str">
        <f t="shared" si="88"/>
        <v>NA</v>
      </c>
      <c r="S145" s="29" t="str">
        <f t="shared" si="89"/>
        <v>NA</v>
      </c>
      <c r="T145" s="29" t="str">
        <f t="shared" si="90"/>
        <v>NA</v>
      </c>
      <c r="U145" s="29" t="str">
        <f t="shared" si="91"/>
        <v>NA</v>
      </c>
      <c r="V145" s="29" t="str">
        <f t="shared" si="92"/>
        <v>NA</v>
      </c>
      <c r="W145" s="29" t="str">
        <f t="shared" si="93"/>
        <v>NA</v>
      </c>
      <c r="X145" s="29" t="str">
        <f t="shared" si="94"/>
        <v>NA</v>
      </c>
      <c r="Y145" s="29" t="str">
        <f t="shared" si="95"/>
        <v>NA</v>
      </c>
      <c r="Z145" s="29" t="str">
        <f t="shared" si="96"/>
        <v>NA</v>
      </c>
      <c r="AA145" s="29" t="str">
        <f t="shared" si="97"/>
        <v>NA</v>
      </c>
      <c r="AB145" s="29" t="str">
        <f t="shared" si="98"/>
        <v>NA</v>
      </c>
      <c r="AC145" s="29" t="str">
        <f t="shared" si="99"/>
        <v>NA</v>
      </c>
      <c r="AD145" s="29" t="str">
        <f t="shared" si="100"/>
        <v>NA</v>
      </c>
      <c r="AE145" s="29" t="str">
        <f t="shared" si="101"/>
        <v>NA</v>
      </c>
      <c r="AF145" s="29" t="str">
        <f t="shared" si="102"/>
        <v>NA</v>
      </c>
      <c r="AG145" s="29" t="str">
        <f t="shared" si="103"/>
        <v>NA</v>
      </c>
      <c r="AH145" s="29" t="str">
        <f t="shared" si="104"/>
        <v>NA</v>
      </c>
    </row>
    <row r="146" customHeight="1" spans="1:34">
      <c r="A146" s="12" t="s">
        <v>1043</v>
      </c>
      <c r="F146" s="24">
        <f t="shared" si="86"/>
        <v>0</v>
      </c>
      <c r="G146" s="24" t="e">
        <f t="shared" si="85"/>
        <v>#DIV/0!</v>
      </c>
      <c r="Q146" s="29" t="str">
        <f t="shared" si="87"/>
        <v>NA</v>
      </c>
      <c r="R146" s="29" t="str">
        <f t="shared" si="88"/>
        <v>NA</v>
      </c>
      <c r="S146" s="29" t="str">
        <f t="shared" si="89"/>
        <v>NA</v>
      </c>
      <c r="T146" s="29" t="str">
        <f t="shared" si="90"/>
        <v>NA</v>
      </c>
      <c r="U146" s="29" t="str">
        <f t="shared" si="91"/>
        <v>NA</v>
      </c>
      <c r="V146" s="29" t="str">
        <f t="shared" si="92"/>
        <v>NA</v>
      </c>
      <c r="W146" s="29" t="str">
        <f t="shared" si="93"/>
        <v>NA</v>
      </c>
      <c r="X146" s="29" t="str">
        <f t="shared" si="94"/>
        <v>NA</v>
      </c>
      <c r="Y146" s="29" t="str">
        <f t="shared" si="95"/>
        <v>NA</v>
      </c>
      <c r="Z146" s="29" t="str">
        <f t="shared" si="96"/>
        <v>NA</v>
      </c>
      <c r="AA146" s="29" t="str">
        <f t="shared" si="97"/>
        <v>NA</v>
      </c>
      <c r="AB146" s="29" t="str">
        <f t="shared" si="98"/>
        <v>NA</v>
      </c>
      <c r="AC146" s="29" t="str">
        <f t="shared" si="99"/>
        <v>NA</v>
      </c>
      <c r="AD146" s="29" t="str">
        <f t="shared" si="100"/>
        <v>NA</v>
      </c>
      <c r="AE146" s="29" t="str">
        <f t="shared" si="101"/>
        <v>NA</v>
      </c>
      <c r="AF146" s="29" t="str">
        <f t="shared" si="102"/>
        <v>NA</v>
      </c>
      <c r="AG146" s="29" t="str">
        <f t="shared" si="103"/>
        <v>NA</v>
      </c>
      <c r="AH146" s="29" t="str">
        <f t="shared" si="104"/>
        <v>NA</v>
      </c>
    </row>
    <row r="147" customHeight="1" spans="1:34">
      <c r="A147" s="12" t="s">
        <v>1043</v>
      </c>
      <c r="F147" s="24">
        <f t="shared" si="86"/>
        <v>0</v>
      </c>
      <c r="G147" s="24" t="e">
        <f t="shared" si="85"/>
        <v>#DIV/0!</v>
      </c>
      <c r="Q147" s="29" t="str">
        <f t="shared" si="87"/>
        <v>NA</v>
      </c>
      <c r="R147" s="29" t="str">
        <f t="shared" si="88"/>
        <v>NA</v>
      </c>
      <c r="S147" s="29" t="str">
        <f t="shared" si="89"/>
        <v>NA</v>
      </c>
      <c r="T147" s="29" t="str">
        <f t="shared" si="90"/>
        <v>NA</v>
      </c>
      <c r="U147" s="29" t="str">
        <f t="shared" si="91"/>
        <v>NA</v>
      </c>
      <c r="V147" s="29" t="str">
        <f t="shared" si="92"/>
        <v>NA</v>
      </c>
      <c r="W147" s="29" t="str">
        <f t="shared" si="93"/>
        <v>NA</v>
      </c>
      <c r="X147" s="29" t="str">
        <f t="shared" si="94"/>
        <v>NA</v>
      </c>
      <c r="Y147" s="29" t="str">
        <f t="shared" si="95"/>
        <v>NA</v>
      </c>
      <c r="Z147" s="29" t="str">
        <f t="shared" si="96"/>
        <v>NA</v>
      </c>
      <c r="AA147" s="29" t="str">
        <f t="shared" si="97"/>
        <v>NA</v>
      </c>
      <c r="AB147" s="29" t="str">
        <f t="shared" si="98"/>
        <v>NA</v>
      </c>
      <c r="AC147" s="29" t="str">
        <f t="shared" si="99"/>
        <v>NA</v>
      </c>
      <c r="AD147" s="29" t="str">
        <f t="shared" si="100"/>
        <v>NA</v>
      </c>
      <c r="AE147" s="29" t="str">
        <f t="shared" si="101"/>
        <v>NA</v>
      </c>
      <c r="AF147" s="29" t="str">
        <f t="shared" si="102"/>
        <v>NA</v>
      </c>
      <c r="AG147" s="29" t="str">
        <f t="shared" si="103"/>
        <v>NA</v>
      </c>
      <c r="AH147" s="29" t="str">
        <f t="shared" si="104"/>
        <v>NA</v>
      </c>
    </row>
    <row r="148" customHeight="1" spans="1:34">
      <c r="A148" s="12" t="s">
        <v>1043</v>
      </c>
      <c r="F148" s="24">
        <f t="shared" si="86"/>
        <v>0</v>
      </c>
      <c r="G148" s="24" t="e">
        <f t="shared" si="85"/>
        <v>#DIV/0!</v>
      </c>
      <c r="Q148" s="29" t="str">
        <f t="shared" si="87"/>
        <v>NA</v>
      </c>
      <c r="R148" s="29" t="str">
        <f t="shared" si="88"/>
        <v>NA</v>
      </c>
      <c r="S148" s="29" t="str">
        <f t="shared" si="89"/>
        <v>NA</v>
      </c>
      <c r="T148" s="29" t="str">
        <f t="shared" si="90"/>
        <v>NA</v>
      </c>
      <c r="U148" s="29" t="str">
        <f t="shared" si="91"/>
        <v>NA</v>
      </c>
      <c r="V148" s="29" t="str">
        <f t="shared" si="92"/>
        <v>NA</v>
      </c>
      <c r="W148" s="29" t="str">
        <f t="shared" si="93"/>
        <v>NA</v>
      </c>
      <c r="X148" s="29" t="str">
        <f t="shared" si="94"/>
        <v>NA</v>
      </c>
      <c r="Y148" s="29" t="str">
        <f t="shared" si="95"/>
        <v>NA</v>
      </c>
      <c r="Z148" s="29" t="str">
        <f t="shared" si="96"/>
        <v>NA</v>
      </c>
      <c r="AA148" s="29" t="str">
        <f t="shared" si="97"/>
        <v>NA</v>
      </c>
      <c r="AB148" s="29" t="str">
        <f t="shared" si="98"/>
        <v>NA</v>
      </c>
      <c r="AC148" s="29" t="str">
        <f t="shared" si="99"/>
        <v>NA</v>
      </c>
      <c r="AD148" s="29" t="str">
        <f t="shared" si="100"/>
        <v>NA</v>
      </c>
      <c r="AE148" s="29" t="str">
        <f t="shared" si="101"/>
        <v>NA</v>
      </c>
      <c r="AF148" s="29" t="str">
        <f t="shared" si="102"/>
        <v>NA</v>
      </c>
      <c r="AG148" s="29" t="str">
        <f t="shared" si="103"/>
        <v>NA</v>
      </c>
      <c r="AH148" s="29" t="str">
        <f t="shared" si="104"/>
        <v>NA</v>
      </c>
    </row>
    <row r="149" customHeight="1" spans="1:34">
      <c r="A149" s="12" t="s">
        <v>1043</v>
      </c>
      <c r="F149" s="24">
        <f t="shared" si="86"/>
        <v>0</v>
      </c>
      <c r="G149" s="24" t="e">
        <f t="shared" si="85"/>
        <v>#DIV/0!</v>
      </c>
      <c r="Q149" s="29" t="str">
        <f t="shared" si="87"/>
        <v>NA</v>
      </c>
      <c r="R149" s="29" t="str">
        <f t="shared" si="88"/>
        <v>NA</v>
      </c>
      <c r="S149" s="29" t="str">
        <f t="shared" si="89"/>
        <v>NA</v>
      </c>
      <c r="T149" s="29" t="str">
        <f t="shared" si="90"/>
        <v>NA</v>
      </c>
      <c r="U149" s="29" t="str">
        <f t="shared" si="91"/>
        <v>NA</v>
      </c>
      <c r="V149" s="29" t="str">
        <f t="shared" si="92"/>
        <v>NA</v>
      </c>
      <c r="W149" s="29" t="str">
        <f t="shared" si="93"/>
        <v>NA</v>
      </c>
      <c r="X149" s="29" t="str">
        <f t="shared" si="94"/>
        <v>NA</v>
      </c>
      <c r="Y149" s="29" t="str">
        <f t="shared" si="95"/>
        <v>NA</v>
      </c>
      <c r="Z149" s="29" t="str">
        <f t="shared" si="96"/>
        <v>NA</v>
      </c>
      <c r="AA149" s="29" t="str">
        <f t="shared" si="97"/>
        <v>NA</v>
      </c>
      <c r="AB149" s="29" t="str">
        <f t="shared" si="98"/>
        <v>NA</v>
      </c>
      <c r="AC149" s="29" t="str">
        <f t="shared" si="99"/>
        <v>NA</v>
      </c>
      <c r="AD149" s="29" t="str">
        <f t="shared" si="100"/>
        <v>NA</v>
      </c>
      <c r="AE149" s="29" t="str">
        <f t="shared" si="101"/>
        <v>NA</v>
      </c>
      <c r="AF149" s="29" t="str">
        <f t="shared" si="102"/>
        <v>NA</v>
      </c>
      <c r="AG149" s="29" t="str">
        <f t="shared" si="103"/>
        <v>NA</v>
      </c>
      <c r="AH149" s="29" t="str">
        <f t="shared" si="104"/>
        <v>NA</v>
      </c>
    </row>
    <row r="150" customHeight="1" spans="1:34">
      <c r="A150" s="12" t="s">
        <v>1043</v>
      </c>
      <c r="F150" s="24">
        <f t="shared" si="86"/>
        <v>0</v>
      </c>
      <c r="G150" s="24" t="e">
        <f t="shared" si="85"/>
        <v>#DIV/0!</v>
      </c>
      <c r="Q150" s="29" t="str">
        <f t="shared" si="87"/>
        <v>NA</v>
      </c>
      <c r="R150" s="29" t="str">
        <f t="shared" si="88"/>
        <v>NA</v>
      </c>
      <c r="S150" s="29" t="str">
        <f t="shared" si="89"/>
        <v>NA</v>
      </c>
      <c r="T150" s="29" t="str">
        <f t="shared" si="90"/>
        <v>NA</v>
      </c>
      <c r="U150" s="29" t="str">
        <f t="shared" si="91"/>
        <v>NA</v>
      </c>
      <c r="V150" s="29" t="str">
        <f t="shared" si="92"/>
        <v>NA</v>
      </c>
      <c r="W150" s="29" t="str">
        <f t="shared" si="93"/>
        <v>NA</v>
      </c>
      <c r="X150" s="29" t="str">
        <f t="shared" si="94"/>
        <v>NA</v>
      </c>
      <c r="Y150" s="29" t="str">
        <f t="shared" si="95"/>
        <v>NA</v>
      </c>
      <c r="Z150" s="29" t="str">
        <f t="shared" si="96"/>
        <v>NA</v>
      </c>
      <c r="AA150" s="29" t="str">
        <f t="shared" si="97"/>
        <v>NA</v>
      </c>
      <c r="AB150" s="29" t="str">
        <f t="shared" si="98"/>
        <v>NA</v>
      </c>
      <c r="AC150" s="29" t="str">
        <f t="shared" si="99"/>
        <v>NA</v>
      </c>
      <c r="AD150" s="29" t="str">
        <f t="shared" si="100"/>
        <v>NA</v>
      </c>
      <c r="AE150" s="29" t="str">
        <f t="shared" si="101"/>
        <v>NA</v>
      </c>
      <c r="AF150" s="29" t="str">
        <f t="shared" si="102"/>
        <v>NA</v>
      </c>
      <c r="AG150" s="29" t="str">
        <f t="shared" si="103"/>
        <v>NA</v>
      </c>
      <c r="AH150" s="29" t="str">
        <f t="shared" si="104"/>
        <v>NA</v>
      </c>
    </row>
    <row r="151" customHeight="1" spans="1:34">
      <c r="A151" s="12" t="s">
        <v>1043</v>
      </c>
      <c r="F151" s="24">
        <f t="shared" si="86"/>
        <v>0</v>
      </c>
      <c r="G151" s="24" t="e">
        <f t="shared" si="85"/>
        <v>#DIV/0!</v>
      </c>
      <c r="Q151" s="29" t="str">
        <f t="shared" si="87"/>
        <v>NA</v>
      </c>
      <c r="R151" s="29" t="str">
        <f t="shared" si="88"/>
        <v>NA</v>
      </c>
      <c r="S151" s="29" t="str">
        <f t="shared" si="89"/>
        <v>NA</v>
      </c>
      <c r="T151" s="29" t="str">
        <f t="shared" si="90"/>
        <v>NA</v>
      </c>
      <c r="U151" s="29" t="str">
        <f t="shared" si="91"/>
        <v>NA</v>
      </c>
      <c r="V151" s="29" t="str">
        <f t="shared" si="92"/>
        <v>NA</v>
      </c>
      <c r="W151" s="29" t="str">
        <f t="shared" si="93"/>
        <v>NA</v>
      </c>
      <c r="X151" s="29" t="str">
        <f t="shared" si="94"/>
        <v>NA</v>
      </c>
      <c r="Y151" s="29" t="str">
        <f t="shared" si="95"/>
        <v>NA</v>
      </c>
      <c r="Z151" s="29" t="str">
        <f t="shared" si="96"/>
        <v>NA</v>
      </c>
      <c r="AA151" s="29" t="str">
        <f t="shared" si="97"/>
        <v>NA</v>
      </c>
      <c r="AB151" s="29" t="str">
        <f t="shared" si="98"/>
        <v>NA</v>
      </c>
      <c r="AC151" s="29" t="str">
        <f t="shared" si="99"/>
        <v>NA</v>
      </c>
      <c r="AD151" s="29" t="str">
        <f t="shared" si="100"/>
        <v>NA</v>
      </c>
      <c r="AE151" s="29" t="str">
        <f t="shared" si="101"/>
        <v>NA</v>
      </c>
      <c r="AF151" s="29" t="str">
        <f t="shared" si="102"/>
        <v>NA</v>
      </c>
      <c r="AG151" s="29" t="str">
        <f t="shared" si="103"/>
        <v>NA</v>
      </c>
      <c r="AH151" s="29" t="str">
        <f t="shared" si="104"/>
        <v>NA</v>
      </c>
    </row>
    <row r="152" customHeight="1" spans="1:34">
      <c r="A152" s="12" t="s">
        <v>1043</v>
      </c>
      <c r="F152" s="24">
        <f t="shared" si="86"/>
        <v>0</v>
      </c>
      <c r="G152" s="24" t="e">
        <f t="shared" si="85"/>
        <v>#DIV/0!</v>
      </c>
      <c r="Q152" s="29" t="str">
        <f t="shared" si="87"/>
        <v>NA</v>
      </c>
      <c r="R152" s="29" t="str">
        <f t="shared" si="88"/>
        <v>NA</v>
      </c>
      <c r="S152" s="29" t="str">
        <f t="shared" si="89"/>
        <v>NA</v>
      </c>
      <c r="T152" s="29" t="str">
        <f t="shared" si="90"/>
        <v>NA</v>
      </c>
      <c r="U152" s="29" t="str">
        <f t="shared" si="91"/>
        <v>NA</v>
      </c>
      <c r="V152" s="29" t="str">
        <f t="shared" si="92"/>
        <v>NA</v>
      </c>
      <c r="W152" s="29" t="str">
        <f t="shared" si="93"/>
        <v>NA</v>
      </c>
      <c r="X152" s="29" t="str">
        <f t="shared" si="94"/>
        <v>NA</v>
      </c>
      <c r="Y152" s="29" t="str">
        <f t="shared" si="95"/>
        <v>NA</v>
      </c>
      <c r="Z152" s="29" t="str">
        <f t="shared" si="96"/>
        <v>NA</v>
      </c>
      <c r="AA152" s="29" t="str">
        <f t="shared" si="97"/>
        <v>NA</v>
      </c>
      <c r="AB152" s="29" t="str">
        <f t="shared" si="98"/>
        <v>NA</v>
      </c>
      <c r="AC152" s="29" t="str">
        <f t="shared" si="99"/>
        <v>NA</v>
      </c>
      <c r="AD152" s="29" t="str">
        <f t="shared" si="100"/>
        <v>NA</v>
      </c>
      <c r="AE152" s="29" t="str">
        <f t="shared" si="101"/>
        <v>NA</v>
      </c>
      <c r="AF152" s="29" t="str">
        <f t="shared" si="102"/>
        <v>NA</v>
      </c>
      <c r="AG152" s="29" t="str">
        <f t="shared" si="103"/>
        <v>NA</v>
      </c>
      <c r="AH152" s="29" t="str">
        <f t="shared" si="104"/>
        <v>NA</v>
      </c>
    </row>
    <row r="153" customHeight="1" spans="1:34">
      <c r="A153" s="12" t="s">
        <v>1043</v>
      </c>
      <c r="F153" s="24">
        <f t="shared" si="86"/>
        <v>0</v>
      </c>
      <c r="G153" s="24" t="e">
        <f t="shared" si="85"/>
        <v>#DIV/0!</v>
      </c>
      <c r="Q153" s="29" t="str">
        <f t="shared" si="87"/>
        <v>NA</v>
      </c>
      <c r="R153" s="29" t="str">
        <f t="shared" si="88"/>
        <v>NA</v>
      </c>
      <c r="S153" s="29" t="str">
        <f t="shared" si="89"/>
        <v>NA</v>
      </c>
      <c r="T153" s="29" t="str">
        <f t="shared" si="90"/>
        <v>NA</v>
      </c>
      <c r="U153" s="29" t="str">
        <f t="shared" si="91"/>
        <v>NA</v>
      </c>
      <c r="V153" s="29" t="str">
        <f t="shared" si="92"/>
        <v>NA</v>
      </c>
      <c r="W153" s="29" t="str">
        <f t="shared" si="93"/>
        <v>NA</v>
      </c>
      <c r="X153" s="29" t="str">
        <f t="shared" si="94"/>
        <v>NA</v>
      </c>
      <c r="Y153" s="29" t="str">
        <f t="shared" si="95"/>
        <v>NA</v>
      </c>
      <c r="Z153" s="29" t="str">
        <f t="shared" si="96"/>
        <v>NA</v>
      </c>
      <c r="AA153" s="29" t="str">
        <f t="shared" si="97"/>
        <v>NA</v>
      </c>
      <c r="AB153" s="29" t="str">
        <f t="shared" si="98"/>
        <v>NA</v>
      </c>
      <c r="AC153" s="29" t="str">
        <f t="shared" si="99"/>
        <v>NA</v>
      </c>
      <c r="AD153" s="29" t="str">
        <f t="shared" si="100"/>
        <v>NA</v>
      </c>
      <c r="AE153" s="29" t="str">
        <f t="shared" si="101"/>
        <v>NA</v>
      </c>
      <c r="AF153" s="29" t="str">
        <f t="shared" si="102"/>
        <v>NA</v>
      </c>
      <c r="AG153" s="29" t="str">
        <f t="shared" si="103"/>
        <v>NA</v>
      </c>
      <c r="AH153" s="29" t="str">
        <f t="shared" si="104"/>
        <v>NA</v>
      </c>
    </row>
    <row r="154" customHeight="1" spans="1:34">
      <c r="A154" s="12" t="s">
        <v>1043</v>
      </c>
      <c r="F154" s="24">
        <f t="shared" si="86"/>
        <v>0</v>
      </c>
      <c r="G154" s="24" t="e">
        <f t="shared" si="85"/>
        <v>#DIV/0!</v>
      </c>
      <c r="Q154" s="29" t="str">
        <f t="shared" si="87"/>
        <v>NA</v>
      </c>
      <c r="R154" s="29" t="str">
        <f t="shared" si="88"/>
        <v>NA</v>
      </c>
      <c r="S154" s="29" t="str">
        <f t="shared" si="89"/>
        <v>NA</v>
      </c>
      <c r="T154" s="29" t="str">
        <f t="shared" si="90"/>
        <v>NA</v>
      </c>
      <c r="U154" s="29" t="str">
        <f t="shared" si="91"/>
        <v>NA</v>
      </c>
      <c r="V154" s="29" t="str">
        <f t="shared" si="92"/>
        <v>NA</v>
      </c>
      <c r="W154" s="29" t="str">
        <f t="shared" si="93"/>
        <v>NA</v>
      </c>
      <c r="X154" s="29" t="str">
        <f t="shared" si="94"/>
        <v>NA</v>
      </c>
      <c r="Y154" s="29" t="str">
        <f t="shared" si="95"/>
        <v>NA</v>
      </c>
      <c r="Z154" s="29" t="str">
        <f t="shared" si="96"/>
        <v>NA</v>
      </c>
      <c r="AA154" s="29" t="str">
        <f t="shared" si="97"/>
        <v>NA</v>
      </c>
      <c r="AB154" s="29" t="str">
        <f t="shared" si="98"/>
        <v>NA</v>
      </c>
      <c r="AC154" s="29" t="str">
        <f t="shared" si="99"/>
        <v>NA</v>
      </c>
      <c r="AD154" s="29" t="str">
        <f t="shared" si="100"/>
        <v>NA</v>
      </c>
      <c r="AE154" s="29" t="str">
        <f t="shared" si="101"/>
        <v>NA</v>
      </c>
      <c r="AF154" s="29" t="str">
        <f t="shared" si="102"/>
        <v>NA</v>
      </c>
      <c r="AG154" s="29" t="str">
        <f t="shared" si="103"/>
        <v>NA</v>
      </c>
      <c r="AH154" s="29" t="str">
        <f t="shared" si="104"/>
        <v>NA</v>
      </c>
    </row>
    <row r="155" customHeight="1" spans="1:34">
      <c r="A155" s="12" t="s">
        <v>1043</v>
      </c>
      <c r="F155" s="24">
        <f t="shared" si="86"/>
        <v>0</v>
      </c>
      <c r="G155" s="24" t="e">
        <f t="shared" si="85"/>
        <v>#DIV/0!</v>
      </c>
      <c r="Q155" s="29" t="str">
        <f t="shared" si="87"/>
        <v>NA</v>
      </c>
      <c r="R155" s="29" t="str">
        <f t="shared" si="88"/>
        <v>NA</v>
      </c>
      <c r="S155" s="29" t="str">
        <f t="shared" si="89"/>
        <v>NA</v>
      </c>
      <c r="T155" s="29" t="str">
        <f t="shared" si="90"/>
        <v>NA</v>
      </c>
      <c r="U155" s="29" t="str">
        <f t="shared" si="91"/>
        <v>NA</v>
      </c>
      <c r="V155" s="29" t="str">
        <f t="shared" si="92"/>
        <v>NA</v>
      </c>
      <c r="W155" s="29" t="str">
        <f t="shared" si="93"/>
        <v>NA</v>
      </c>
      <c r="X155" s="29" t="str">
        <f t="shared" si="94"/>
        <v>NA</v>
      </c>
      <c r="Y155" s="29" t="str">
        <f t="shared" si="95"/>
        <v>NA</v>
      </c>
      <c r="Z155" s="29" t="str">
        <f t="shared" si="96"/>
        <v>NA</v>
      </c>
      <c r="AA155" s="29" t="str">
        <f t="shared" si="97"/>
        <v>NA</v>
      </c>
      <c r="AB155" s="29" t="str">
        <f t="shared" si="98"/>
        <v>NA</v>
      </c>
      <c r="AC155" s="29" t="str">
        <f t="shared" si="99"/>
        <v>NA</v>
      </c>
      <c r="AD155" s="29" t="str">
        <f t="shared" si="100"/>
        <v>NA</v>
      </c>
      <c r="AE155" s="29" t="str">
        <f t="shared" si="101"/>
        <v>NA</v>
      </c>
      <c r="AF155" s="29" t="str">
        <f t="shared" si="102"/>
        <v>NA</v>
      </c>
      <c r="AG155" s="29" t="str">
        <f t="shared" si="103"/>
        <v>NA</v>
      </c>
      <c r="AH155" s="29" t="str">
        <f t="shared" si="104"/>
        <v>NA</v>
      </c>
    </row>
    <row r="156" customHeight="1" spans="1:34">
      <c r="A156" s="12" t="s">
        <v>1043</v>
      </c>
      <c r="F156" s="24">
        <f t="shared" si="86"/>
        <v>0</v>
      </c>
      <c r="G156" s="24" t="e">
        <f t="shared" si="85"/>
        <v>#DIV/0!</v>
      </c>
      <c r="Q156" s="29" t="str">
        <f t="shared" si="87"/>
        <v>NA</v>
      </c>
      <c r="R156" s="29" t="str">
        <f t="shared" si="88"/>
        <v>NA</v>
      </c>
      <c r="S156" s="29" t="str">
        <f t="shared" si="89"/>
        <v>NA</v>
      </c>
      <c r="T156" s="29" t="str">
        <f t="shared" si="90"/>
        <v>NA</v>
      </c>
      <c r="U156" s="29" t="str">
        <f t="shared" si="91"/>
        <v>NA</v>
      </c>
      <c r="V156" s="29" t="str">
        <f t="shared" si="92"/>
        <v>NA</v>
      </c>
      <c r="W156" s="29" t="str">
        <f t="shared" si="93"/>
        <v>NA</v>
      </c>
      <c r="X156" s="29" t="str">
        <f t="shared" si="94"/>
        <v>NA</v>
      </c>
      <c r="Y156" s="29" t="str">
        <f t="shared" si="95"/>
        <v>NA</v>
      </c>
      <c r="Z156" s="29" t="str">
        <f t="shared" si="96"/>
        <v>NA</v>
      </c>
      <c r="AA156" s="29" t="str">
        <f t="shared" si="97"/>
        <v>NA</v>
      </c>
      <c r="AB156" s="29" t="str">
        <f t="shared" si="98"/>
        <v>NA</v>
      </c>
      <c r="AC156" s="29" t="str">
        <f t="shared" si="99"/>
        <v>NA</v>
      </c>
      <c r="AD156" s="29" t="str">
        <f t="shared" si="100"/>
        <v>NA</v>
      </c>
      <c r="AE156" s="29" t="str">
        <f t="shared" si="101"/>
        <v>NA</v>
      </c>
      <c r="AF156" s="29" t="str">
        <f t="shared" si="102"/>
        <v>NA</v>
      </c>
      <c r="AG156" s="29" t="str">
        <f t="shared" si="103"/>
        <v>NA</v>
      </c>
      <c r="AH156" s="29" t="str">
        <f t="shared" si="104"/>
        <v>NA</v>
      </c>
    </row>
    <row r="157" customHeight="1" spans="1:34">
      <c r="A157" s="12" t="s">
        <v>1043</v>
      </c>
      <c r="F157" s="24">
        <f t="shared" si="86"/>
        <v>0</v>
      </c>
      <c r="G157" s="24" t="e">
        <f t="shared" si="85"/>
        <v>#DIV/0!</v>
      </c>
      <c r="Q157" s="29" t="str">
        <f t="shared" si="87"/>
        <v>NA</v>
      </c>
      <c r="R157" s="29" t="str">
        <f t="shared" si="88"/>
        <v>NA</v>
      </c>
      <c r="S157" s="29" t="str">
        <f t="shared" si="89"/>
        <v>NA</v>
      </c>
      <c r="T157" s="29" t="str">
        <f t="shared" si="90"/>
        <v>NA</v>
      </c>
      <c r="U157" s="29" t="str">
        <f t="shared" si="91"/>
        <v>NA</v>
      </c>
      <c r="V157" s="29" t="str">
        <f t="shared" si="92"/>
        <v>NA</v>
      </c>
      <c r="W157" s="29" t="str">
        <f t="shared" si="93"/>
        <v>NA</v>
      </c>
      <c r="X157" s="29" t="str">
        <f t="shared" si="94"/>
        <v>NA</v>
      </c>
      <c r="Y157" s="29" t="str">
        <f t="shared" si="95"/>
        <v>NA</v>
      </c>
      <c r="Z157" s="29" t="str">
        <f t="shared" si="96"/>
        <v>NA</v>
      </c>
      <c r="AA157" s="29" t="str">
        <f t="shared" si="97"/>
        <v>NA</v>
      </c>
      <c r="AB157" s="29" t="str">
        <f t="shared" si="98"/>
        <v>NA</v>
      </c>
      <c r="AC157" s="29" t="str">
        <f t="shared" si="99"/>
        <v>NA</v>
      </c>
      <c r="AD157" s="29" t="str">
        <f t="shared" si="100"/>
        <v>NA</v>
      </c>
      <c r="AE157" s="29" t="str">
        <f t="shared" si="101"/>
        <v>NA</v>
      </c>
      <c r="AF157" s="29" t="str">
        <f t="shared" si="102"/>
        <v>NA</v>
      </c>
      <c r="AG157" s="29" t="str">
        <f t="shared" si="103"/>
        <v>NA</v>
      </c>
      <c r="AH157" s="29" t="str">
        <f t="shared" si="104"/>
        <v>NA</v>
      </c>
    </row>
    <row r="158" customHeight="1" spans="1:34">
      <c r="A158" s="12" t="s">
        <v>1043</v>
      </c>
      <c r="F158" s="24">
        <f t="shared" si="86"/>
        <v>0</v>
      </c>
      <c r="G158" s="24" t="e">
        <f t="shared" si="85"/>
        <v>#DIV/0!</v>
      </c>
      <c r="Q158" s="29" t="str">
        <f t="shared" si="87"/>
        <v>NA</v>
      </c>
      <c r="R158" s="29" t="str">
        <f t="shared" si="88"/>
        <v>NA</v>
      </c>
      <c r="S158" s="29" t="str">
        <f t="shared" si="89"/>
        <v>NA</v>
      </c>
      <c r="T158" s="29" t="str">
        <f t="shared" si="90"/>
        <v>NA</v>
      </c>
      <c r="U158" s="29" t="str">
        <f t="shared" si="91"/>
        <v>NA</v>
      </c>
      <c r="V158" s="29" t="str">
        <f t="shared" si="92"/>
        <v>NA</v>
      </c>
      <c r="W158" s="29" t="str">
        <f t="shared" si="93"/>
        <v>NA</v>
      </c>
      <c r="X158" s="29" t="str">
        <f t="shared" si="94"/>
        <v>NA</v>
      </c>
      <c r="Y158" s="29" t="str">
        <f t="shared" si="95"/>
        <v>NA</v>
      </c>
      <c r="Z158" s="29" t="str">
        <f t="shared" si="96"/>
        <v>NA</v>
      </c>
      <c r="AA158" s="29" t="str">
        <f t="shared" si="97"/>
        <v>NA</v>
      </c>
      <c r="AB158" s="29" t="str">
        <f t="shared" si="98"/>
        <v>NA</v>
      </c>
      <c r="AC158" s="29" t="str">
        <f t="shared" si="99"/>
        <v>NA</v>
      </c>
      <c r="AD158" s="29" t="str">
        <f t="shared" si="100"/>
        <v>NA</v>
      </c>
      <c r="AE158" s="29" t="str">
        <f t="shared" si="101"/>
        <v>NA</v>
      </c>
      <c r="AF158" s="29" t="str">
        <f t="shared" si="102"/>
        <v>NA</v>
      </c>
      <c r="AG158" s="29" t="str">
        <f t="shared" si="103"/>
        <v>NA</v>
      </c>
      <c r="AH158" s="29" t="str">
        <f t="shared" si="104"/>
        <v>NA</v>
      </c>
    </row>
    <row r="159" customHeight="1" spans="1:34">
      <c r="A159" s="12" t="s">
        <v>1043</v>
      </c>
      <c r="F159" s="24">
        <f t="shared" si="86"/>
        <v>0</v>
      </c>
      <c r="G159" s="24" t="e">
        <f t="shared" si="85"/>
        <v>#DIV/0!</v>
      </c>
      <c r="Q159" s="29" t="str">
        <f t="shared" si="87"/>
        <v>NA</v>
      </c>
      <c r="R159" s="29" t="str">
        <f t="shared" si="88"/>
        <v>NA</v>
      </c>
      <c r="S159" s="29" t="str">
        <f t="shared" si="89"/>
        <v>NA</v>
      </c>
      <c r="T159" s="29" t="str">
        <f t="shared" si="90"/>
        <v>NA</v>
      </c>
      <c r="U159" s="29" t="str">
        <f t="shared" si="91"/>
        <v>NA</v>
      </c>
      <c r="V159" s="29" t="str">
        <f t="shared" si="92"/>
        <v>NA</v>
      </c>
      <c r="W159" s="29" t="str">
        <f t="shared" si="93"/>
        <v>NA</v>
      </c>
      <c r="X159" s="29" t="str">
        <f t="shared" si="94"/>
        <v>NA</v>
      </c>
      <c r="Y159" s="29" t="str">
        <f t="shared" si="95"/>
        <v>NA</v>
      </c>
      <c r="Z159" s="29" t="str">
        <f t="shared" si="96"/>
        <v>NA</v>
      </c>
      <c r="AA159" s="29" t="str">
        <f t="shared" si="97"/>
        <v>NA</v>
      </c>
      <c r="AB159" s="29" t="str">
        <f t="shared" si="98"/>
        <v>NA</v>
      </c>
      <c r="AC159" s="29" t="str">
        <f t="shared" si="99"/>
        <v>NA</v>
      </c>
      <c r="AD159" s="29" t="str">
        <f t="shared" si="100"/>
        <v>NA</v>
      </c>
      <c r="AE159" s="29" t="str">
        <f t="shared" si="101"/>
        <v>NA</v>
      </c>
      <c r="AF159" s="29" t="str">
        <f t="shared" si="102"/>
        <v>NA</v>
      </c>
      <c r="AG159" s="29" t="str">
        <f t="shared" si="103"/>
        <v>NA</v>
      </c>
      <c r="AH159" s="29" t="str">
        <f t="shared" si="104"/>
        <v>NA</v>
      </c>
    </row>
    <row r="160" customHeight="1" spans="1:34">
      <c r="A160" s="12" t="s">
        <v>1043</v>
      </c>
      <c r="F160" s="24">
        <f t="shared" si="86"/>
        <v>0</v>
      </c>
      <c r="G160" s="24" t="e">
        <f t="shared" si="85"/>
        <v>#DIV/0!</v>
      </c>
      <c r="Q160" s="29" t="str">
        <f t="shared" si="87"/>
        <v>NA</v>
      </c>
      <c r="R160" s="29" t="str">
        <f t="shared" si="88"/>
        <v>NA</v>
      </c>
      <c r="S160" s="29" t="str">
        <f t="shared" si="89"/>
        <v>NA</v>
      </c>
      <c r="T160" s="29" t="str">
        <f t="shared" si="90"/>
        <v>NA</v>
      </c>
      <c r="U160" s="29" t="str">
        <f t="shared" si="91"/>
        <v>NA</v>
      </c>
      <c r="V160" s="29" t="str">
        <f t="shared" si="92"/>
        <v>NA</v>
      </c>
      <c r="W160" s="29" t="str">
        <f t="shared" si="93"/>
        <v>NA</v>
      </c>
      <c r="X160" s="29" t="str">
        <f t="shared" si="94"/>
        <v>NA</v>
      </c>
      <c r="Y160" s="29" t="str">
        <f t="shared" si="95"/>
        <v>NA</v>
      </c>
      <c r="Z160" s="29" t="str">
        <f t="shared" si="96"/>
        <v>NA</v>
      </c>
      <c r="AA160" s="29" t="str">
        <f t="shared" si="97"/>
        <v>NA</v>
      </c>
      <c r="AB160" s="29" t="str">
        <f t="shared" si="98"/>
        <v>NA</v>
      </c>
      <c r="AC160" s="29" t="str">
        <f t="shared" si="99"/>
        <v>NA</v>
      </c>
      <c r="AD160" s="29" t="str">
        <f t="shared" si="100"/>
        <v>NA</v>
      </c>
      <c r="AE160" s="29" t="str">
        <f t="shared" si="101"/>
        <v>NA</v>
      </c>
      <c r="AF160" s="29" t="str">
        <f t="shared" si="102"/>
        <v>NA</v>
      </c>
      <c r="AG160" s="29" t="str">
        <f t="shared" si="103"/>
        <v>NA</v>
      </c>
      <c r="AH160" s="29" t="str">
        <f t="shared" si="104"/>
        <v>NA</v>
      </c>
    </row>
    <row r="161" customHeight="1" spans="1:34">
      <c r="A161" s="12" t="s">
        <v>1043</v>
      </c>
      <c r="F161" s="24">
        <f t="shared" si="86"/>
        <v>0</v>
      </c>
      <c r="G161" s="24" t="e">
        <f t="shared" si="85"/>
        <v>#DIV/0!</v>
      </c>
      <c r="Q161" s="29" t="str">
        <f t="shared" si="87"/>
        <v>NA</v>
      </c>
      <c r="R161" s="29" t="str">
        <f t="shared" si="88"/>
        <v>NA</v>
      </c>
      <c r="S161" s="29" t="str">
        <f t="shared" si="89"/>
        <v>NA</v>
      </c>
      <c r="T161" s="29" t="str">
        <f t="shared" si="90"/>
        <v>NA</v>
      </c>
      <c r="U161" s="29" t="str">
        <f t="shared" si="91"/>
        <v>NA</v>
      </c>
      <c r="V161" s="29" t="str">
        <f t="shared" si="92"/>
        <v>NA</v>
      </c>
      <c r="W161" s="29" t="str">
        <f t="shared" si="93"/>
        <v>NA</v>
      </c>
      <c r="X161" s="29" t="str">
        <f t="shared" si="94"/>
        <v>NA</v>
      </c>
      <c r="Y161" s="29" t="str">
        <f t="shared" si="95"/>
        <v>NA</v>
      </c>
      <c r="Z161" s="29" t="str">
        <f t="shared" si="96"/>
        <v>NA</v>
      </c>
      <c r="AA161" s="29" t="str">
        <f t="shared" si="97"/>
        <v>NA</v>
      </c>
      <c r="AB161" s="29" t="str">
        <f t="shared" si="98"/>
        <v>NA</v>
      </c>
      <c r="AC161" s="29" t="str">
        <f t="shared" si="99"/>
        <v>NA</v>
      </c>
      <c r="AD161" s="29" t="str">
        <f t="shared" si="100"/>
        <v>NA</v>
      </c>
      <c r="AE161" s="29" t="str">
        <f t="shared" si="101"/>
        <v>NA</v>
      </c>
      <c r="AF161" s="29" t="str">
        <f t="shared" si="102"/>
        <v>NA</v>
      </c>
      <c r="AG161" s="29" t="str">
        <f t="shared" si="103"/>
        <v>NA</v>
      </c>
      <c r="AH161" s="29" t="str">
        <f t="shared" si="104"/>
        <v>NA</v>
      </c>
    </row>
    <row r="162" customHeight="1" spans="1:34">
      <c r="A162" s="12" t="s">
        <v>1043</v>
      </c>
      <c r="F162" s="24">
        <f t="shared" si="86"/>
        <v>0</v>
      </c>
      <c r="G162" s="24" t="e">
        <f t="shared" si="85"/>
        <v>#DIV/0!</v>
      </c>
      <c r="Q162" s="29" t="str">
        <f t="shared" si="87"/>
        <v>NA</v>
      </c>
      <c r="R162" s="29" t="str">
        <f t="shared" si="88"/>
        <v>NA</v>
      </c>
      <c r="S162" s="29" t="str">
        <f t="shared" si="89"/>
        <v>NA</v>
      </c>
      <c r="T162" s="29" t="str">
        <f t="shared" si="90"/>
        <v>NA</v>
      </c>
      <c r="U162" s="29" t="str">
        <f t="shared" si="91"/>
        <v>NA</v>
      </c>
      <c r="V162" s="29" t="str">
        <f t="shared" si="92"/>
        <v>NA</v>
      </c>
      <c r="W162" s="29" t="str">
        <f t="shared" si="93"/>
        <v>NA</v>
      </c>
      <c r="X162" s="29" t="str">
        <f t="shared" si="94"/>
        <v>NA</v>
      </c>
      <c r="Y162" s="29" t="str">
        <f t="shared" si="95"/>
        <v>NA</v>
      </c>
      <c r="Z162" s="29" t="str">
        <f t="shared" si="96"/>
        <v>NA</v>
      </c>
      <c r="AA162" s="29" t="str">
        <f t="shared" si="97"/>
        <v>NA</v>
      </c>
      <c r="AB162" s="29" t="str">
        <f t="shared" si="98"/>
        <v>NA</v>
      </c>
      <c r="AC162" s="29" t="str">
        <f t="shared" si="99"/>
        <v>NA</v>
      </c>
      <c r="AD162" s="29" t="str">
        <f t="shared" si="100"/>
        <v>NA</v>
      </c>
      <c r="AE162" s="29" t="str">
        <f t="shared" si="101"/>
        <v>NA</v>
      </c>
      <c r="AF162" s="29" t="str">
        <f t="shared" si="102"/>
        <v>NA</v>
      </c>
      <c r="AG162" s="29" t="str">
        <f t="shared" si="103"/>
        <v>NA</v>
      </c>
      <c r="AH162" s="29" t="str">
        <f t="shared" si="104"/>
        <v>NA</v>
      </c>
    </row>
    <row r="163" customHeight="1" spans="1:34">
      <c r="A163" s="12" t="s">
        <v>1043</v>
      </c>
      <c r="F163" s="24">
        <f t="shared" si="86"/>
        <v>0</v>
      </c>
      <c r="G163" s="24" t="e">
        <f t="shared" si="85"/>
        <v>#DIV/0!</v>
      </c>
      <c r="Q163" s="29" t="str">
        <f t="shared" si="87"/>
        <v>NA</v>
      </c>
      <c r="R163" s="29" t="str">
        <f t="shared" si="88"/>
        <v>NA</v>
      </c>
      <c r="S163" s="29" t="str">
        <f t="shared" si="89"/>
        <v>NA</v>
      </c>
      <c r="T163" s="29" t="str">
        <f t="shared" si="90"/>
        <v>NA</v>
      </c>
      <c r="U163" s="29" t="str">
        <f t="shared" si="91"/>
        <v>NA</v>
      </c>
      <c r="V163" s="29" t="str">
        <f t="shared" si="92"/>
        <v>NA</v>
      </c>
      <c r="W163" s="29" t="str">
        <f t="shared" si="93"/>
        <v>NA</v>
      </c>
      <c r="X163" s="29" t="str">
        <f t="shared" si="94"/>
        <v>NA</v>
      </c>
      <c r="Y163" s="29" t="str">
        <f t="shared" si="95"/>
        <v>NA</v>
      </c>
      <c r="Z163" s="29" t="str">
        <f t="shared" si="96"/>
        <v>NA</v>
      </c>
      <c r="AA163" s="29" t="str">
        <f t="shared" si="97"/>
        <v>NA</v>
      </c>
      <c r="AB163" s="29" t="str">
        <f t="shared" si="98"/>
        <v>NA</v>
      </c>
      <c r="AC163" s="29" t="str">
        <f t="shared" si="99"/>
        <v>NA</v>
      </c>
      <c r="AD163" s="29" t="str">
        <f t="shared" si="100"/>
        <v>NA</v>
      </c>
      <c r="AE163" s="29" t="str">
        <f t="shared" si="101"/>
        <v>NA</v>
      </c>
      <c r="AF163" s="29" t="str">
        <f t="shared" si="102"/>
        <v>NA</v>
      </c>
      <c r="AG163" s="29" t="str">
        <f t="shared" si="103"/>
        <v>NA</v>
      </c>
      <c r="AH163" s="29" t="str">
        <f t="shared" si="104"/>
        <v>NA</v>
      </c>
    </row>
    <row r="164" customHeight="1" spans="1:34">
      <c r="A164" s="12" t="s">
        <v>1043</v>
      </c>
      <c r="F164" s="24">
        <f t="shared" si="86"/>
        <v>0</v>
      </c>
      <c r="G164" s="24" t="e">
        <f t="shared" si="85"/>
        <v>#DIV/0!</v>
      </c>
      <c r="Q164" s="29" t="str">
        <f t="shared" si="87"/>
        <v>NA</v>
      </c>
      <c r="R164" s="29" t="str">
        <f t="shared" si="88"/>
        <v>NA</v>
      </c>
      <c r="S164" s="29" t="str">
        <f t="shared" si="89"/>
        <v>NA</v>
      </c>
      <c r="T164" s="29" t="str">
        <f t="shared" si="90"/>
        <v>NA</v>
      </c>
      <c r="U164" s="29" t="str">
        <f t="shared" si="91"/>
        <v>NA</v>
      </c>
      <c r="V164" s="29" t="str">
        <f t="shared" si="92"/>
        <v>NA</v>
      </c>
      <c r="W164" s="29" t="str">
        <f t="shared" si="93"/>
        <v>NA</v>
      </c>
      <c r="X164" s="29" t="str">
        <f t="shared" si="94"/>
        <v>NA</v>
      </c>
      <c r="Y164" s="29" t="str">
        <f t="shared" si="95"/>
        <v>NA</v>
      </c>
      <c r="Z164" s="29" t="str">
        <f t="shared" si="96"/>
        <v>NA</v>
      </c>
      <c r="AA164" s="29" t="str">
        <f t="shared" si="97"/>
        <v>NA</v>
      </c>
      <c r="AB164" s="29" t="str">
        <f t="shared" si="98"/>
        <v>NA</v>
      </c>
      <c r="AC164" s="29" t="str">
        <f t="shared" si="99"/>
        <v>NA</v>
      </c>
      <c r="AD164" s="29" t="str">
        <f t="shared" si="100"/>
        <v>NA</v>
      </c>
      <c r="AE164" s="29" t="str">
        <f t="shared" si="101"/>
        <v>NA</v>
      </c>
      <c r="AF164" s="29" t="str">
        <f t="shared" si="102"/>
        <v>NA</v>
      </c>
      <c r="AG164" s="29" t="str">
        <f t="shared" si="103"/>
        <v>NA</v>
      </c>
      <c r="AH164" s="29" t="str">
        <f t="shared" si="104"/>
        <v>NA</v>
      </c>
    </row>
    <row r="165" customHeight="1" spans="1:34">
      <c r="A165" s="12" t="s">
        <v>1043</v>
      </c>
      <c r="F165" s="24">
        <f t="shared" si="86"/>
        <v>0</v>
      </c>
      <c r="G165" s="24" t="e">
        <f t="shared" si="85"/>
        <v>#DIV/0!</v>
      </c>
      <c r="Q165" s="29" t="str">
        <f t="shared" si="87"/>
        <v>NA</v>
      </c>
      <c r="R165" s="29" t="str">
        <f t="shared" si="88"/>
        <v>NA</v>
      </c>
      <c r="S165" s="29" t="str">
        <f t="shared" si="89"/>
        <v>NA</v>
      </c>
      <c r="T165" s="29" t="str">
        <f t="shared" si="90"/>
        <v>NA</v>
      </c>
      <c r="U165" s="29" t="str">
        <f t="shared" si="91"/>
        <v>NA</v>
      </c>
      <c r="V165" s="29" t="str">
        <f t="shared" si="92"/>
        <v>NA</v>
      </c>
      <c r="W165" s="29" t="str">
        <f t="shared" si="93"/>
        <v>NA</v>
      </c>
      <c r="X165" s="29" t="str">
        <f t="shared" si="94"/>
        <v>NA</v>
      </c>
      <c r="Y165" s="29" t="str">
        <f t="shared" si="95"/>
        <v>NA</v>
      </c>
      <c r="Z165" s="29" t="str">
        <f t="shared" si="96"/>
        <v>NA</v>
      </c>
      <c r="AA165" s="29" t="str">
        <f t="shared" si="97"/>
        <v>NA</v>
      </c>
      <c r="AB165" s="29" t="str">
        <f t="shared" si="98"/>
        <v>NA</v>
      </c>
      <c r="AC165" s="29" t="str">
        <f t="shared" si="99"/>
        <v>NA</v>
      </c>
      <c r="AD165" s="29" t="str">
        <f t="shared" si="100"/>
        <v>NA</v>
      </c>
      <c r="AE165" s="29" t="str">
        <f t="shared" si="101"/>
        <v>NA</v>
      </c>
      <c r="AF165" s="29" t="str">
        <f t="shared" si="102"/>
        <v>NA</v>
      </c>
      <c r="AG165" s="29" t="str">
        <f t="shared" si="103"/>
        <v>NA</v>
      </c>
      <c r="AH165" s="29" t="str">
        <f t="shared" si="104"/>
        <v>NA</v>
      </c>
    </row>
    <row r="166" customHeight="1" spans="1:34">
      <c r="A166" s="12" t="s">
        <v>1043</v>
      </c>
      <c r="F166" s="24">
        <f t="shared" si="86"/>
        <v>0</v>
      </c>
      <c r="G166" s="24" t="e">
        <f t="shared" si="85"/>
        <v>#DIV/0!</v>
      </c>
      <c r="Q166" s="29" t="str">
        <f t="shared" si="87"/>
        <v>NA</v>
      </c>
      <c r="R166" s="29" t="str">
        <f t="shared" si="88"/>
        <v>NA</v>
      </c>
      <c r="S166" s="29" t="str">
        <f t="shared" si="89"/>
        <v>NA</v>
      </c>
      <c r="T166" s="29" t="str">
        <f t="shared" si="90"/>
        <v>NA</v>
      </c>
      <c r="U166" s="29" t="str">
        <f t="shared" si="91"/>
        <v>NA</v>
      </c>
      <c r="V166" s="29" t="str">
        <f t="shared" si="92"/>
        <v>NA</v>
      </c>
      <c r="W166" s="29" t="str">
        <f t="shared" si="93"/>
        <v>NA</v>
      </c>
      <c r="X166" s="29" t="str">
        <f t="shared" si="94"/>
        <v>NA</v>
      </c>
      <c r="Y166" s="29" t="str">
        <f t="shared" si="95"/>
        <v>NA</v>
      </c>
      <c r="Z166" s="29" t="str">
        <f t="shared" si="96"/>
        <v>NA</v>
      </c>
      <c r="AA166" s="29" t="str">
        <f t="shared" si="97"/>
        <v>NA</v>
      </c>
      <c r="AB166" s="29" t="str">
        <f t="shared" si="98"/>
        <v>NA</v>
      </c>
      <c r="AC166" s="29" t="str">
        <f t="shared" si="99"/>
        <v>NA</v>
      </c>
      <c r="AD166" s="29" t="str">
        <f t="shared" si="100"/>
        <v>NA</v>
      </c>
      <c r="AE166" s="29" t="str">
        <f t="shared" si="101"/>
        <v>NA</v>
      </c>
      <c r="AF166" s="29" t="str">
        <f t="shared" si="102"/>
        <v>NA</v>
      </c>
      <c r="AG166" s="29" t="str">
        <f t="shared" si="103"/>
        <v>NA</v>
      </c>
      <c r="AH166" s="29" t="str">
        <f t="shared" si="104"/>
        <v>NA</v>
      </c>
    </row>
    <row r="167" customHeight="1" spans="1:34">
      <c r="A167" s="12" t="s">
        <v>1043</v>
      </c>
      <c r="F167" s="24">
        <f t="shared" si="86"/>
        <v>0</v>
      </c>
      <c r="G167" s="24" t="e">
        <f t="shared" si="85"/>
        <v>#DIV/0!</v>
      </c>
      <c r="Q167" s="29" t="str">
        <f t="shared" si="87"/>
        <v>NA</v>
      </c>
      <c r="R167" s="29" t="str">
        <f t="shared" si="88"/>
        <v>NA</v>
      </c>
      <c r="S167" s="29" t="str">
        <f t="shared" si="89"/>
        <v>NA</v>
      </c>
      <c r="T167" s="29" t="str">
        <f t="shared" si="90"/>
        <v>NA</v>
      </c>
      <c r="U167" s="29" t="str">
        <f t="shared" si="91"/>
        <v>NA</v>
      </c>
      <c r="V167" s="29" t="str">
        <f t="shared" si="92"/>
        <v>NA</v>
      </c>
      <c r="W167" s="29" t="str">
        <f t="shared" si="93"/>
        <v>NA</v>
      </c>
      <c r="X167" s="29" t="str">
        <f t="shared" si="94"/>
        <v>NA</v>
      </c>
      <c r="Y167" s="29" t="str">
        <f t="shared" si="95"/>
        <v>NA</v>
      </c>
      <c r="Z167" s="29" t="str">
        <f t="shared" si="96"/>
        <v>NA</v>
      </c>
      <c r="AA167" s="29" t="str">
        <f t="shared" si="97"/>
        <v>NA</v>
      </c>
      <c r="AB167" s="29" t="str">
        <f t="shared" si="98"/>
        <v>NA</v>
      </c>
      <c r="AC167" s="29" t="str">
        <f t="shared" si="99"/>
        <v>NA</v>
      </c>
      <c r="AD167" s="29" t="str">
        <f t="shared" si="100"/>
        <v>NA</v>
      </c>
      <c r="AE167" s="29" t="str">
        <f t="shared" si="101"/>
        <v>NA</v>
      </c>
      <c r="AF167" s="29" t="str">
        <f t="shared" si="102"/>
        <v>NA</v>
      </c>
      <c r="AG167" s="29" t="str">
        <f t="shared" si="103"/>
        <v>NA</v>
      </c>
      <c r="AH167" s="29" t="str">
        <f t="shared" si="104"/>
        <v>NA</v>
      </c>
    </row>
    <row r="168" customHeight="1" spans="1:34">
      <c r="A168" s="12" t="s">
        <v>1043</v>
      </c>
      <c r="F168" s="24">
        <f t="shared" si="86"/>
        <v>0</v>
      </c>
      <c r="G168" s="24" t="e">
        <f t="shared" si="85"/>
        <v>#DIV/0!</v>
      </c>
      <c r="Q168" s="29" t="str">
        <f t="shared" si="87"/>
        <v>NA</v>
      </c>
      <c r="R168" s="29" t="str">
        <f t="shared" si="88"/>
        <v>NA</v>
      </c>
      <c r="S168" s="29" t="str">
        <f t="shared" si="89"/>
        <v>NA</v>
      </c>
      <c r="T168" s="29" t="str">
        <f t="shared" si="90"/>
        <v>NA</v>
      </c>
      <c r="U168" s="29" t="str">
        <f t="shared" si="91"/>
        <v>NA</v>
      </c>
      <c r="V168" s="29" t="str">
        <f t="shared" si="92"/>
        <v>NA</v>
      </c>
      <c r="W168" s="29" t="str">
        <f t="shared" si="93"/>
        <v>NA</v>
      </c>
      <c r="X168" s="29" t="str">
        <f t="shared" si="94"/>
        <v>NA</v>
      </c>
      <c r="Y168" s="29" t="str">
        <f t="shared" si="95"/>
        <v>NA</v>
      </c>
      <c r="Z168" s="29" t="str">
        <f t="shared" si="96"/>
        <v>NA</v>
      </c>
      <c r="AA168" s="29" t="str">
        <f t="shared" si="97"/>
        <v>NA</v>
      </c>
      <c r="AB168" s="29" t="str">
        <f t="shared" si="98"/>
        <v>NA</v>
      </c>
      <c r="AC168" s="29" t="str">
        <f t="shared" si="99"/>
        <v>NA</v>
      </c>
      <c r="AD168" s="29" t="str">
        <f t="shared" si="100"/>
        <v>NA</v>
      </c>
      <c r="AE168" s="29" t="str">
        <f t="shared" si="101"/>
        <v>NA</v>
      </c>
      <c r="AF168" s="29" t="str">
        <f t="shared" si="102"/>
        <v>NA</v>
      </c>
      <c r="AG168" s="29" t="str">
        <f t="shared" si="103"/>
        <v>NA</v>
      </c>
      <c r="AH168" s="29" t="str">
        <f t="shared" si="104"/>
        <v>NA</v>
      </c>
    </row>
    <row r="169" customHeight="1" spans="1:34">
      <c r="A169" s="12" t="s">
        <v>1043</v>
      </c>
      <c r="F169" s="24">
        <f t="shared" si="86"/>
        <v>0</v>
      </c>
      <c r="G169" s="24" t="e">
        <f t="shared" si="85"/>
        <v>#DIV/0!</v>
      </c>
      <c r="Q169" s="29" t="str">
        <f t="shared" si="87"/>
        <v>NA</v>
      </c>
      <c r="R169" s="29" t="str">
        <f t="shared" si="88"/>
        <v>NA</v>
      </c>
      <c r="S169" s="29" t="str">
        <f t="shared" si="89"/>
        <v>NA</v>
      </c>
      <c r="T169" s="29" t="str">
        <f t="shared" si="90"/>
        <v>NA</v>
      </c>
      <c r="U169" s="29" t="str">
        <f t="shared" si="91"/>
        <v>NA</v>
      </c>
      <c r="V169" s="29" t="str">
        <f t="shared" si="92"/>
        <v>NA</v>
      </c>
      <c r="W169" s="29" t="str">
        <f t="shared" si="93"/>
        <v>NA</v>
      </c>
      <c r="X169" s="29" t="str">
        <f t="shared" si="94"/>
        <v>NA</v>
      </c>
      <c r="Y169" s="29" t="str">
        <f t="shared" si="95"/>
        <v>NA</v>
      </c>
      <c r="Z169" s="29" t="str">
        <f t="shared" si="96"/>
        <v>NA</v>
      </c>
      <c r="AA169" s="29" t="str">
        <f t="shared" si="97"/>
        <v>NA</v>
      </c>
      <c r="AB169" s="29" t="str">
        <f t="shared" si="98"/>
        <v>NA</v>
      </c>
      <c r="AC169" s="29" t="str">
        <f t="shared" si="99"/>
        <v>NA</v>
      </c>
      <c r="AD169" s="29" t="str">
        <f t="shared" si="100"/>
        <v>NA</v>
      </c>
      <c r="AE169" s="29" t="str">
        <f t="shared" si="101"/>
        <v>NA</v>
      </c>
      <c r="AF169" s="29" t="str">
        <f t="shared" si="102"/>
        <v>NA</v>
      </c>
      <c r="AG169" s="29" t="str">
        <f t="shared" si="103"/>
        <v>NA</v>
      </c>
      <c r="AH169" s="29" t="str">
        <f t="shared" si="104"/>
        <v>NA</v>
      </c>
    </row>
    <row r="170" customHeight="1" spans="1:34">
      <c r="A170" s="12" t="s">
        <v>1043</v>
      </c>
      <c r="F170" s="24">
        <f t="shared" si="86"/>
        <v>0</v>
      </c>
      <c r="G170" s="24" t="e">
        <f t="shared" si="85"/>
        <v>#DIV/0!</v>
      </c>
      <c r="Q170" s="29" t="str">
        <f t="shared" si="87"/>
        <v>NA</v>
      </c>
      <c r="R170" s="29" t="str">
        <f t="shared" si="88"/>
        <v>NA</v>
      </c>
      <c r="S170" s="29" t="str">
        <f t="shared" si="89"/>
        <v>NA</v>
      </c>
      <c r="T170" s="29" t="str">
        <f t="shared" si="90"/>
        <v>NA</v>
      </c>
      <c r="U170" s="29" t="str">
        <f t="shared" si="91"/>
        <v>NA</v>
      </c>
      <c r="V170" s="29" t="str">
        <f t="shared" si="92"/>
        <v>NA</v>
      </c>
      <c r="W170" s="29" t="str">
        <f t="shared" si="93"/>
        <v>NA</v>
      </c>
      <c r="X170" s="29" t="str">
        <f t="shared" si="94"/>
        <v>NA</v>
      </c>
      <c r="Y170" s="29" t="str">
        <f t="shared" si="95"/>
        <v>NA</v>
      </c>
      <c r="Z170" s="29" t="str">
        <f t="shared" si="96"/>
        <v>NA</v>
      </c>
      <c r="AA170" s="29" t="str">
        <f t="shared" si="97"/>
        <v>NA</v>
      </c>
      <c r="AB170" s="29" t="str">
        <f t="shared" si="98"/>
        <v>NA</v>
      </c>
      <c r="AC170" s="29" t="str">
        <f t="shared" si="99"/>
        <v>NA</v>
      </c>
      <c r="AD170" s="29" t="str">
        <f t="shared" si="100"/>
        <v>NA</v>
      </c>
      <c r="AE170" s="29" t="str">
        <f t="shared" si="101"/>
        <v>NA</v>
      </c>
      <c r="AF170" s="29" t="str">
        <f t="shared" si="102"/>
        <v>NA</v>
      </c>
      <c r="AG170" s="29" t="str">
        <f t="shared" si="103"/>
        <v>NA</v>
      </c>
      <c r="AH170" s="29" t="str">
        <f t="shared" si="104"/>
        <v>NA</v>
      </c>
    </row>
    <row r="171" customHeight="1" spans="1:34">
      <c r="A171" s="12" t="s">
        <v>1043</v>
      </c>
      <c r="F171" s="24">
        <f t="shared" si="86"/>
        <v>0</v>
      </c>
      <c r="G171" s="24" t="e">
        <f t="shared" si="85"/>
        <v>#DIV/0!</v>
      </c>
      <c r="Q171" s="29" t="str">
        <f t="shared" si="87"/>
        <v>NA</v>
      </c>
      <c r="R171" s="29" t="str">
        <f t="shared" si="88"/>
        <v>NA</v>
      </c>
      <c r="S171" s="29" t="str">
        <f t="shared" si="89"/>
        <v>NA</v>
      </c>
      <c r="T171" s="29" t="str">
        <f t="shared" si="90"/>
        <v>NA</v>
      </c>
      <c r="U171" s="29" t="str">
        <f t="shared" si="91"/>
        <v>NA</v>
      </c>
      <c r="V171" s="29" t="str">
        <f t="shared" si="92"/>
        <v>NA</v>
      </c>
      <c r="W171" s="29" t="str">
        <f t="shared" si="93"/>
        <v>NA</v>
      </c>
      <c r="X171" s="29" t="str">
        <f t="shared" si="94"/>
        <v>NA</v>
      </c>
      <c r="Y171" s="29" t="str">
        <f t="shared" si="95"/>
        <v>NA</v>
      </c>
      <c r="Z171" s="29" t="str">
        <f t="shared" si="96"/>
        <v>NA</v>
      </c>
      <c r="AA171" s="29" t="str">
        <f t="shared" si="97"/>
        <v>NA</v>
      </c>
      <c r="AB171" s="29" t="str">
        <f t="shared" si="98"/>
        <v>NA</v>
      </c>
      <c r="AC171" s="29" t="str">
        <f t="shared" si="99"/>
        <v>NA</v>
      </c>
      <c r="AD171" s="29" t="str">
        <f t="shared" si="100"/>
        <v>NA</v>
      </c>
      <c r="AE171" s="29" t="str">
        <f t="shared" si="101"/>
        <v>NA</v>
      </c>
      <c r="AF171" s="29" t="str">
        <f t="shared" si="102"/>
        <v>NA</v>
      </c>
      <c r="AG171" s="29" t="str">
        <f t="shared" si="103"/>
        <v>NA</v>
      </c>
      <c r="AH171" s="29" t="str">
        <f t="shared" si="104"/>
        <v>NA</v>
      </c>
    </row>
    <row r="172" customHeight="1" spans="1:34">
      <c r="A172" s="12" t="s">
        <v>1043</v>
      </c>
      <c r="F172" s="24">
        <f t="shared" si="86"/>
        <v>0</v>
      </c>
      <c r="G172" s="24" t="e">
        <f t="shared" si="85"/>
        <v>#DIV/0!</v>
      </c>
      <c r="Q172" s="29" t="str">
        <f t="shared" si="87"/>
        <v>NA</v>
      </c>
      <c r="R172" s="29" t="str">
        <f t="shared" si="88"/>
        <v>NA</v>
      </c>
      <c r="S172" s="29" t="str">
        <f t="shared" si="89"/>
        <v>NA</v>
      </c>
      <c r="T172" s="29" t="str">
        <f t="shared" si="90"/>
        <v>NA</v>
      </c>
      <c r="U172" s="29" t="str">
        <f t="shared" si="91"/>
        <v>NA</v>
      </c>
      <c r="V172" s="29" t="str">
        <f t="shared" si="92"/>
        <v>NA</v>
      </c>
      <c r="W172" s="29" t="str">
        <f t="shared" si="93"/>
        <v>NA</v>
      </c>
      <c r="X172" s="29" t="str">
        <f t="shared" si="94"/>
        <v>NA</v>
      </c>
      <c r="Y172" s="29" t="str">
        <f t="shared" si="95"/>
        <v>NA</v>
      </c>
      <c r="Z172" s="29" t="str">
        <f t="shared" si="96"/>
        <v>NA</v>
      </c>
      <c r="AA172" s="29" t="str">
        <f t="shared" si="97"/>
        <v>NA</v>
      </c>
      <c r="AB172" s="29" t="str">
        <f t="shared" si="98"/>
        <v>NA</v>
      </c>
      <c r="AC172" s="29" t="str">
        <f t="shared" si="99"/>
        <v>NA</v>
      </c>
      <c r="AD172" s="29" t="str">
        <f t="shared" si="100"/>
        <v>NA</v>
      </c>
      <c r="AE172" s="29" t="str">
        <f t="shared" si="101"/>
        <v>NA</v>
      </c>
      <c r="AF172" s="29" t="str">
        <f t="shared" si="102"/>
        <v>NA</v>
      </c>
      <c r="AG172" s="29" t="str">
        <f t="shared" si="103"/>
        <v>NA</v>
      </c>
      <c r="AH172" s="29" t="str">
        <f t="shared" si="104"/>
        <v>NA</v>
      </c>
    </row>
    <row r="173" customHeight="1" spans="1:34">
      <c r="A173" s="12" t="s">
        <v>1043</v>
      </c>
      <c r="F173" s="24">
        <f t="shared" si="86"/>
        <v>0</v>
      </c>
      <c r="G173" s="24" t="e">
        <f t="shared" si="85"/>
        <v>#DIV/0!</v>
      </c>
      <c r="Q173" s="29" t="str">
        <f t="shared" si="87"/>
        <v>NA</v>
      </c>
      <c r="R173" s="29" t="str">
        <f t="shared" si="88"/>
        <v>NA</v>
      </c>
      <c r="S173" s="29" t="str">
        <f t="shared" si="89"/>
        <v>NA</v>
      </c>
      <c r="T173" s="29" t="str">
        <f t="shared" si="90"/>
        <v>NA</v>
      </c>
      <c r="U173" s="29" t="str">
        <f t="shared" si="91"/>
        <v>NA</v>
      </c>
      <c r="V173" s="29" t="str">
        <f t="shared" si="92"/>
        <v>NA</v>
      </c>
      <c r="W173" s="29" t="str">
        <f t="shared" si="93"/>
        <v>NA</v>
      </c>
      <c r="X173" s="29" t="str">
        <f t="shared" si="94"/>
        <v>NA</v>
      </c>
      <c r="Y173" s="29" t="str">
        <f t="shared" si="95"/>
        <v>NA</v>
      </c>
      <c r="Z173" s="29" t="str">
        <f t="shared" si="96"/>
        <v>NA</v>
      </c>
      <c r="AA173" s="29" t="str">
        <f t="shared" si="97"/>
        <v>NA</v>
      </c>
      <c r="AB173" s="29" t="str">
        <f t="shared" si="98"/>
        <v>NA</v>
      </c>
      <c r="AC173" s="29" t="str">
        <f t="shared" si="99"/>
        <v>NA</v>
      </c>
      <c r="AD173" s="29" t="str">
        <f t="shared" si="100"/>
        <v>NA</v>
      </c>
      <c r="AE173" s="29" t="str">
        <f t="shared" si="101"/>
        <v>NA</v>
      </c>
      <c r="AF173" s="29" t="str">
        <f t="shared" si="102"/>
        <v>NA</v>
      </c>
      <c r="AG173" s="29" t="str">
        <f t="shared" si="103"/>
        <v>NA</v>
      </c>
      <c r="AH173" s="29" t="str">
        <f t="shared" si="104"/>
        <v>NA</v>
      </c>
    </row>
    <row r="174" customHeight="1" spans="1:34">
      <c r="A174" s="12" t="s">
        <v>1043</v>
      </c>
      <c r="F174" s="24">
        <f t="shared" si="86"/>
        <v>0</v>
      </c>
      <c r="G174" s="24" t="e">
        <f t="shared" si="85"/>
        <v>#DIV/0!</v>
      </c>
      <c r="Q174" s="29" t="str">
        <f t="shared" si="87"/>
        <v>NA</v>
      </c>
      <c r="R174" s="29" t="str">
        <f t="shared" si="88"/>
        <v>NA</v>
      </c>
      <c r="S174" s="29" t="str">
        <f t="shared" si="89"/>
        <v>NA</v>
      </c>
      <c r="T174" s="29" t="str">
        <f t="shared" si="90"/>
        <v>NA</v>
      </c>
      <c r="U174" s="29" t="str">
        <f t="shared" si="91"/>
        <v>NA</v>
      </c>
      <c r="V174" s="29" t="str">
        <f t="shared" si="92"/>
        <v>NA</v>
      </c>
      <c r="W174" s="29" t="str">
        <f t="shared" si="93"/>
        <v>NA</v>
      </c>
      <c r="X174" s="29" t="str">
        <f t="shared" si="94"/>
        <v>NA</v>
      </c>
      <c r="Y174" s="29" t="str">
        <f t="shared" si="95"/>
        <v>NA</v>
      </c>
      <c r="Z174" s="29" t="str">
        <f t="shared" si="96"/>
        <v>NA</v>
      </c>
      <c r="AA174" s="29" t="str">
        <f t="shared" si="97"/>
        <v>NA</v>
      </c>
      <c r="AB174" s="29" t="str">
        <f t="shared" si="98"/>
        <v>NA</v>
      </c>
      <c r="AC174" s="29" t="str">
        <f t="shared" si="99"/>
        <v>NA</v>
      </c>
      <c r="AD174" s="29" t="str">
        <f t="shared" si="100"/>
        <v>NA</v>
      </c>
      <c r="AE174" s="29" t="str">
        <f t="shared" si="101"/>
        <v>NA</v>
      </c>
      <c r="AF174" s="29" t="str">
        <f t="shared" si="102"/>
        <v>NA</v>
      </c>
      <c r="AG174" s="29" t="str">
        <f t="shared" si="103"/>
        <v>NA</v>
      </c>
      <c r="AH174" s="29" t="str">
        <f t="shared" si="104"/>
        <v>NA</v>
      </c>
    </row>
    <row r="175" customHeight="1" spans="1:34">
      <c r="A175" s="12" t="s">
        <v>1043</v>
      </c>
      <c r="F175" s="24">
        <f t="shared" si="86"/>
        <v>0</v>
      </c>
      <c r="G175" s="24" t="e">
        <f t="shared" si="85"/>
        <v>#DIV/0!</v>
      </c>
      <c r="Q175" s="29" t="str">
        <f t="shared" si="87"/>
        <v>NA</v>
      </c>
      <c r="R175" s="29" t="str">
        <f t="shared" si="88"/>
        <v>NA</v>
      </c>
      <c r="S175" s="29" t="str">
        <f t="shared" si="89"/>
        <v>NA</v>
      </c>
      <c r="T175" s="29" t="str">
        <f t="shared" si="90"/>
        <v>NA</v>
      </c>
      <c r="U175" s="29" t="str">
        <f t="shared" si="91"/>
        <v>NA</v>
      </c>
      <c r="V175" s="29" t="str">
        <f t="shared" si="92"/>
        <v>NA</v>
      </c>
      <c r="W175" s="29" t="str">
        <f t="shared" si="93"/>
        <v>NA</v>
      </c>
      <c r="X175" s="29" t="str">
        <f t="shared" si="94"/>
        <v>NA</v>
      </c>
      <c r="Y175" s="29" t="str">
        <f t="shared" si="95"/>
        <v>NA</v>
      </c>
      <c r="Z175" s="29" t="str">
        <f t="shared" si="96"/>
        <v>NA</v>
      </c>
      <c r="AA175" s="29" t="str">
        <f t="shared" si="97"/>
        <v>NA</v>
      </c>
      <c r="AB175" s="29" t="str">
        <f t="shared" si="98"/>
        <v>NA</v>
      </c>
      <c r="AC175" s="29" t="str">
        <f t="shared" si="99"/>
        <v>NA</v>
      </c>
      <c r="AD175" s="29" t="str">
        <f t="shared" si="100"/>
        <v>NA</v>
      </c>
      <c r="AE175" s="29" t="str">
        <f t="shared" si="101"/>
        <v>NA</v>
      </c>
      <c r="AF175" s="29" t="str">
        <f t="shared" si="102"/>
        <v>NA</v>
      </c>
      <c r="AG175" s="29" t="str">
        <f t="shared" si="103"/>
        <v>NA</v>
      </c>
      <c r="AH175" s="29" t="str">
        <f t="shared" si="104"/>
        <v>NA</v>
      </c>
    </row>
    <row r="176" customHeight="1" spans="1:34">
      <c r="A176" s="12" t="s">
        <v>1043</v>
      </c>
      <c r="F176" s="24">
        <f t="shared" si="86"/>
        <v>0</v>
      </c>
      <c r="G176" s="24" t="e">
        <f t="shared" si="85"/>
        <v>#DIV/0!</v>
      </c>
      <c r="Q176" s="29" t="str">
        <f t="shared" si="87"/>
        <v>NA</v>
      </c>
      <c r="R176" s="29" t="str">
        <f t="shared" si="88"/>
        <v>NA</v>
      </c>
      <c r="S176" s="29" t="str">
        <f t="shared" si="89"/>
        <v>NA</v>
      </c>
      <c r="T176" s="29" t="str">
        <f t="shared" si="90"/>
        <v>NA</v>
      </c>
      <c r="U176" s="29" t="str">
        <f t="shared" si="91"/>
        <v>NA</v>
      </c>
      <c r="V176" s="29" t="str">
        <f t="shared" si="92"/>
        <v>NA</v>
      </c>
      <c r="W176" s="29" t="str">
        <f t="shared" si="93"/>
        <v>NA</v>
      </c>
      <c r="X176" s="29" t="str">
        <f t="shared" si="94"/>
        <v>NA</v>
      </c>
      <c r="Y176" s="29" t="str">
        <f t="shared" si="95"/>
        <v>NA</v>
      </c>
      <c r="Z176" s="29" t="str">
        <f t="shared" si="96"/>
        <v>NA</v>
      </c>
      <c r="AA176" s="29" t="str">
        <f t="shared" si="97"/>
        <v>NA</v>
      </c>
      <c r="AB176" s="29" t="str">
        <f t="shared" si="98"/>
        <v>NA</v>
      </c>
      <c r="AC176" s="29" t="str">
        <f t="shared" si="99"/>
        <v>NA</v>
      </c>
      <c r="AD176" s="29" t="str">
        <f t="shared" si="100"/>
        <v>NA</v>
      </c>
      <c r="AE176" s="29" t="str">
        <f t="shared" si="101"/>
        <v>NA</v>
      </c>
      <c r="AF176" s="29" t="str">
        <f t="shared" si="102"/>
        <v>NA</v>
      </c>
      <c r="AG176" s="29" t="str">
        <f t="shared" si="103"/>
        <v>NA</v>
      </c>
      <c r="AH176" s="29" t="str">
        <f t="shared" si="104"/>
        <v>NA</v>
      </c>
    </row>
    <row r="177" customHeight="1" spans="1:34">
      <c r="A177" s="12" t="s">
        <v>1043</v>
      </c>
      <c r="F177" s="24">
        <f t="shared" si="86"/>
        <v>0</v>
      </c>
      <c r="G177" s="24" t="e">
        <f t="shared" si="85"/>
        <v>#DIV/0!</v>
      </c>
      <c r="Q177" s="29" t="str">
        <f t="shared" si="87"/>
        <v>NA</v>
      </c>
      <c r="R177" s="29" t="str">
        <f t="shared" si="88"/>
        <v>NA</v>
      </c>
      <c r="S177" s="29" t="str">
        <f t="shared" si="89"/>
        <v>NA</v>
      </c>
      <c r="T177" s="29" t="str">
        <f t="shared" si="90"/>
        <v>NA</v>
      </c>
      <c r="U177" s="29" t="str">
        <f t="shared" si="91"/>
        <v>NA</v>
      </c>
      <c r="V177" s="29" t="str">
        <f t="shared" si="92"/>
        <v>NA</v>
      </c>
      <c r="W177" s="29" t="str">
        <f t="shared" si="93"/>
        <v>NA</v>
      </c>
      <c r="X177" s="29" t="str">
        <f t="shared" si="94"/>
        <v>NA</v>
      </c>
      <c r="Y177" s="29" t="str">
        <f t="shared" si="95"/>
        <v>NA</v>
      </c>
      <c r="Z177" s="29" t="str">
        <f t="shared" si="96"/>
        <v>NA</v>
      </c>
      <c r="AA177" s="29" t="str">
        <f t="shared" si="97"/>
        <v>NA</v>
      </c>
      <c r="AB177" s="29" t="str">
        <f t="shared" si="98"/>
        <v>NA</v>
      </c>
      <c r="AC177" s="29" t="str">
        <f t="shared" si="99"/>
        <v>NA</v>
      </c>
      <c r="AD177" s="29" t="str">
        <f t="shared" si="100"/>
        <v>NA</v>
      </c>
      <c r="AE177" s="29" t="str">
        <f t="shared" si="101"/>
        <v>NA</v>
      </c>
      <c r="AF177" s="29" t="str">
        <f t="shared" si="102"/>
        <v>NA</v>
      </c>
      <c r="AG177" s="29" t="str">
        <f t="shared" si="103"/>
        <v>NA</v>
      </c>
      <c r="AH177" s="29" t="str">
        <f t="shared" si="104"/>
        <v>NA</v>
      </c>
    </row>
    <row r="178" customHeight="1" spans="1:34">
      <c r="A178" s="12" t="s">
        <v>1043</v>
      </c>
      <c r="F178" s="24">
        <f t="shared" si="86"/>
        <v>0</v>
      </c>
      <c r="G178" s="24" t="e">
        <f t="shared" si="85"/>
        <v>#DIV/0!</v>
      </c>
      <c r="Q178" s="29" t="str">
        <f t="shared" si="87"/>
        <v>NA</v>
      </c>
      <c r="R178" s="29" t="str">
        <f t="shared" si="88"/>
        <v>NA</v>
      </c>
      <c r="S178" s="29" t="str">
        <f t="shared" si="89"/>
        <v>NA</v>
      </c>
      <c r="T178" s="29" t="str">
        <f t="shared" si="90"/>
        <v>NA</v>
      </c>
      <c r="U178" s="29" t="str">
        <f t="shared" si="91"/>
        <v>NA</v>
      </c>
      <c r="V178" s="29" t="str">
        <f t="shared" si="92"/>
        <v>NA</v>
      </c>
      <c r="W178" s="29" t="str">
        <f t="shared" si="93"/>
        <v>NA</v>
      </c>
      <c r="X178" s="29" t="str">
        <f t="shared" si="94"/>
        <v>NA</v>
      </c>
      <c r="Y178" s="29" t="str">
        <f t="shared" si="95"/>
        <v>NA</v>
      </c>
      <c r="Z178" s="29" t="str">
        <f t="shared" si="96"/>
        <v>NA</v>
      </c>
      <c r="AA178" s="29" t="str">
        <f t="shared" si="97"/>
        <v>NA</v>
      </c>
      <c r="AB178" s="29" t="str">
        <f t="shared" si="98"/>
        <v>NA</v>
      </c>
      <c r="AC178" s="29" t="str">
        <f t="shared" si="99"/>
        <v>NA</v>
      </c>
      <c r="AD178" s="29" t="str">
        <f t="shared" si="100"/>
        <v>NA</v>
      </c>
      <c r="AE178" s="29" t="str">
        <f t="shared" si="101"/>
        <v>NA</v>
      </c>
      <c r="AF178" s="29" t="str">
        <f t="shared" si="102"/>
        <v>NA</v>
      </c>
      <c r="AG178" s="29" t="str">
        <f t="shared" si="103"/>
        <v>NA</v>
      </c>
      <c r="AH178" s="29" t="str">
        <f t="shared" si="104"/>
        <v>NA</v>
      </c>
    </row>
    <row r="179" customHeight="1" spans="1:34">
      <c r="A179" s="12" t="s">
        <v>1043</v>
      </c>
      <c r="F179" s="24">
        <f t="shared" si="86"/>
        <v>0</v>
      </c>
      <c r="G179" s="24" t="e">
        <f t="shared" si="85"/>
        <v>#DIV/0!</v>
      </c>
      <c r="Q179" s="29" t="str">
        <f t="shared" si="87"/>
        <v>NA</v>
      </c>
      <c r="R179" s="29" t="str">
        <f t="shared" si="88"/>
        <v>NA</v>
      </c>
      <c r="S179" s="29" t="str">
        <f t="shared" si="89"/>
        <v>NA</v>
      </c>
      <c r="T179" s="29" t="str">
        <f t="shared" si="90"/>
        <v>NA</v>
      </c>
      <c r="U179" s="29" t="str">
        <f t="shared" si="91"/>
        <v>NA</v>
      </c>
      <c r="V179" s="29" t="str">
        <f t="shared" si="92"/>
        <v>NA</v>
      </c>
      <c r="W179" s="29" t="str">
        <f t="shared" si="93"/>
        <v>NA</v>
      </c>
      <c r="X179" s="29" t="str">
        <f t="shared" si="94"/>
        <v>NA</v>
      </c>
      <c r="Y179" s="29" t="str">
        <f t="shared" si="95"/>
        <v>NA</v>
      </c>
      <c r="Z179" s="29" t="str">
        <f t="shared" si="96"/>
        <v>NA</v>
      </c>
      <c r="AA179" s="29" t="str">
        <f t="shared" si="97"/>
        <v>NA</v>
      </c>
      <c r="AB179" s="29" t="str">
        <f t="shared" si="98"/>
        <v>NA</v>
      </c>
      <c r="AC179" s="29" t="str">
        <f t="shared" si="99"/>
        <v>NA</v>
      </c>
      <c r="AD179" s="29" t="str">
        <f t="shared" si="100"/>
        <v>NA</v>
      </c>
      <c r="AE179" s="29" t="str">
        <f t="shared" si="101"/>
        <v>NA</v>
      </c>
      <c r="AF179" s="29" t="str">
        <f t="shared" si="102"/>
        <v>NA</v>
      </c>
      <c r="AG179" s="29" t="str">
        <f t="shared" si="103"/>
        <v>NA</v>
      </c>
      <c r="AH179" s="29" t="str">
        <f t="shared" si="104"/>
        <v>NA</v>
      </c>
    </row>
    <row r="180" customHeight="1" spans="1:34">
      <c r="A180" s="12" t="s">
        <v>1043</v>
      </c>
      <c r="F180" s="24">
        <f t="shared" si="86"/>
        <v>0</v>
      </c>
      <c r="G180" s="24" t="e">
        <f t="shared" si="85"/>
        <v>#DIV/0!</v>
      </c>
      <c r="Q180" s="29" t="str">
        <f t="shared" si="87"/>
        <v>NA</v>
      </c>
      <c r="R180" s="29" t="str">
        <f t="shared" si="88"/>
        <v>NA</v>
      </c>
      <c r="S180" s="29" t="str">
        <f t="shared" si="89"/>
        <v>NA</v>
      </c>
      <c r="T180" s="29" t="str">
        <f t="shared" si="90"/>
        <v>NA</v>
      </c>
      <c r="U180" s="29" t="str">
        <f t="shared" si="91"/>
        <v>NA</v>
      </c>
      <c r="V180" s="29" t="str">
        <f t="shared" si="92"/>
        <v>NA</v>
      </c>
      <c r="W180" s="29" t="str">
        <f t="shared" si="93"/>
        <v>NA</v>
      </c>
      <c r="X180" s="29" t="str">
        <f t="shared" si="94"/>
        <v>NA</v>
      </c>
      <c r="Y180" s="29" t="str">
        <f t="shared" si="95"/>
        <v>NA</v>
      </c>
      <c r="Z180" s="29" t="str">
        <f t="shared" si="96"/>
        <v>NA</v>
      </c>
      <c r="AA180" s="29" t="str">
        <f t="shared" si="97"/>
        <v>NA</v>
      </c>
      <c r="AB180" s="29" t="str">
        <f t="shared" si="98"/>
        <v>NA</v>
      </c>
      <c r="AC180" s="29" t="str">
        <f t="shared" si="99"/>
        <v>NA</v>
      </c>
      <c r="AD180" s="29" t="str">
        <f t="shared" si="100"/>
        <v>NA</v>
      </c>
      <c r="AE180" s="29" t="str">
        <f t="shared" si="101"/>
        <v>NA</v>
      </c>
      <c r="AF180" s="29" t="str">
        <f t="shared" si="102"/>
        <v>NA</v>
      </c>
      <c r="AG180" s="29" t="str">
        <f t="shared" si="103"/>
        <v>NA</v>
      </c>
      <c r="AH180" s="29" t="str">
        <f t="shared" si="104"/>
        <v>NA</v>
      </c>
    </row>
    <row r="181" customHeight="1" spans="1:34">
      <c r="A181" s="12" t="s">
        <v>1043</v>
      </c>
      <c r="F181" s="24">
        <f t="shared" si="86"/>
        <v>0</v>
      </c>
      <c r="G181" s="24" t="e">
        <f t="shared" si="85"/>
        <v>#DIV/0!</v>
      </c>
      <c r="Q181" s="29" t="str">
        <f t="shared" si="87"/>
        <v>NA</v>
      </c>
      <c r="R181" s="29" t="str">
        <f t="shared" si="88"/>
        <v>NA</v>
      </c>
      <c r="S181" s="29" t="str">
        <f t="shared" si="89"/>
        <v>NA</v>
      </c>
      <c r="T181" s="29" t="str">
        <f t="shared" si="90"/>
        <v>NA</v>
      </c>
      <c r="U181" s="29" t="str">
        <f t="shared" si="91"/>
        <v>NA</v>
      </c>
      <c r="V181" s="29" t="str">
        <f t="shared" si="92"/>
        <v>NA</v>
      </c>
      <c r="W181" s="29" t="str">
        <f t="shared" si="93"/>
        <v>NA</v>
      </c>
      <c r="X181" s="29" t="str">
        <f t="shared" si="94"/>
        <v>NA</v>
      </c>
      <c r="Y181" s="29" t="str">
        <f t="shared" si="95"/>
        <v>NA</v>
      </c>
      <c r="Z181" s="29" t="str">
        <f t="shared" si="96"/>
        <v>NA</v>
      </c>
      <c r="AA181" s="29" t="str">
        <f t="shared" si="97"/>
        <v>NA</v>
      </c>
      <c r="AB181" s="29" t="str">
        <f t="shared" si="98"/>
        <v>NA</v>
      </c>
      <c r="AC181" s="29" t="str">
        <f t="shared" si="99"/>
        <v>NA</v>
      </c>
      <c r="AD181" s="29" t="str">
        <f t="shared" si="100"/>
        <v>NA</v>
      </c>
      <c r="AE181" s="29" t="str">
        <f t="shared" si="101"/>
        <v>NA</v>
      </c>
      <c r="AF181" s="29" t="str">
        <f t="shared" si="102"/>
        <v>NA</v>
      </c>
      <c r="AG181" s="29" t="str">
        <f t="shared" si="103"/>
        <v>NA</v>
      </c>
      <c r="AH181" s="29" t="str">
        <f t="shared" si="104"/>
        <v>NA</v>
      </c>
    </row>
    <row r="182" customHeight="1" spans="1:34">
      <c r="A182" s="12" t="s">
        <v>1043</v>
      </c>
      <c r="F182" s="24">
        <f t="shared" si="86"/>
        <v>0</v>
      </c>
      <c r="G182" s="24" t="e">
        <f t="shared" si="85"/>
        <v>#DIV/0!</v>
      </c>
      <c r="Q182" s="29" t="str">
        <f t="shared" si="87"/>
        <v>NA</v>
      </c>
      <c r="R182" s="29" t="str">
        <f t="shared" si="88"/>
        <v>NA</v>
      </c>
      <c r="S182" s="29" t="str">
        <f t="shared" si="89"/>
        <v>NA</v>
      </c>
      <c r="T182" s="29" t="str">
        <f t="shared" si="90"/>
        <v>NA</v>
      </c>
      <c r="U182" s="29" t="str">
        <f t="shared" si="91"/>
        <v>NA</v>
      </c>
      <c r="V182" s="29" t="str">
        <f t="shared" si="92"/>
        <v>NA</v>
      </c>
      <c r="W182" s="29" t="str">
        <f t="shared" si="93"/>
        <v>NA</v>
      </c>
      <c r="X182" s="29" t="str">
        <f t="shared" si="94"/>
        <v>NA</v>
      </c>
      <c r="Y182" s="29" t="str">
        <f t="shared" si="95"/>
        <v>NA</v>
      </c>
      <c r="Z182" s="29" t="str">
        <f t="shared" si="96"/>
        <v>NA</v>
      </c>
      <c r="AA182" s="29" t="str">
        <f t="shared" si="97"/>
        <v>NA</v>
      </c>
      <c r="AB182" s="29" t="str">
        <f t="shared" si="98"/>
        <v>NA</v>
      </c>
      <c r="AC182" s="29" t="str">
        <f t="shared" si="99"/>
        <v>NA</v>
      </c>
      <c r="AD182" s="29" t="str">
        <f t="shared" si="100"/>
        <v>NA</v>
      </c>
      <c r="AE182" s="29" t="str">
        <f t="shared" si="101"/>
        <v>NA</v>
      </c>
      <c r="AF182" s="29" t="str">
        <f t="shared" si="102"/>
        <v>NA</v>
      </c>
      <c r="AG182" s="29" t="str">
        <f t="shared" si="103"/>
        <v>NA</v>
      </c>
      <c r="AH182" s="29" t="str">
        <f t="shared" si="104"/>
        <v>NA</v>
      </c>
    </row>
    <row r="183" customHeight="1" spans="1:34">
      <c r="A183" s="12" t="s">
        <v>1043</v>
      </c>
      <c r="F183" s="24">
        <f t="shared" si="86"/>
        <v>0</v>
      </c>
      <c r="G183" s="24" t="e">
        <f t="shared" si="85"/>
        <v>#DIV/0!</v>
      </c>
      <c r="Q183" s="29" t="str">
        <f t="shared" si="87"/>
        <v>NA</v>
      </c>
      <c r="R183" s="29" t="str">
        <f t="shared" si="88"/>
        <v>NA</v>
      </c>
      <c r="S183" s="29" t="str">
        <f t="shared" si="89"/>
        <v>NA</v>
      </c>
      <c r="T183" s="29" t="str">
        <f t="shared" si="90"/>
        <v>NA</v>
      </c>
      <c r="U183" s="29" t="str">
        <f t="shared" si="91"/>
        <v>NA</v>
      </c>
      <c r="V183" s="29" t="str">
        <f t="shared" si="92"/>
        <v>NA</v>
      </c>
      <c r="W183" s="29" t="str">
        <f t="shared" si="93"/>
        <v>NA</v>
      </c>
      <c r="X183" s="29" t="str">
        <f t="shared" si="94"/>
        <v>NA</v>
      </c>
      <c r="Y183" s="29" t="str">
        <f t="shared" si="95"/>
        <v>NA</v>
      </c>
      <c r="Z183" s="29" t="str">
        <f t="shared" si="96"/>
        <v>NA</v>
      </c>
      <c r="AA183" s="29" t="str">
        <f t="shared" si="97"/>
        <v>NA</v>
      </c>
      <c r="AB183" s="29" t="str">
        <f t="shared" si="98"/>
        <v>NA</v>
      </c>
      <c r="AC183" s="29" t="str">
        <f t="shared" si="99"/>
        <v>NA</v>
      </c>
      <c r="AD183" s="29" t="str">
        <f t="shared" si="100"/>
        <v>NA</v>
      </c>
      <c r="AE183" s="29" t="str">
        <f t="shared" si="101"/>
        <v>NA</v>
      </c>
      <c r="AF183" s="29" t="str">
        <f t="shared" si="102"/>
        <v>NA</v>
      </c>
      <c r="AG183" s="29" t="str">
        <f t="shared" si="103"/>
        <v>NA</v>
      </c>
      <c r="AH183" s="29" t="str">
        <f t="shared" si="104"/>
        <v>NA</v>
      </c>
    </row>
    <row r="184" customHeight="1" spans="1:34">
      <c r="A184" s="12" t="s">
        <v>1043</v>
      </c>
      <c r="F184" s="24">
        <f t="shared" si="86"/>
        <v>0</v>
      </c>
      <c r="G184" s="24" t="e">
        <f t="shared" si="85"/>
        <v>#DIV/0!</v>
      </c>
      <c r="Q184" s="29" t="str">
        <f t="shared" si="87"/>
        <v>NA</v>
      </c>
      <c r="R184" s="29" t="str">
        <f t="shared" si="88"/>
        <v>NA</v>
      </c>
      <c r="S184" s="29" t="str">
        <f t="shared" si="89"/>
        <v>NA</v>
      </c>
      <c r="T184" s="29" t="str">
        <f t="shared" si="90"/>
        <v>NA</v>
      </c>
      <c r="U184" s="29" t="str">
        <f t="shared" si="91"/>
        <v>NA</v>
      </c>
      <c r="V184" s="29" t="str">
        <f t="shared" si="92"/>
        <v>NA</v>
      </c>
      <c r="W184" s="29" t="str">
        <f t="shared" si="93"/>
        <v>NA</v>
      </c>
      <c r="X184" s="29" t="str">
        <f t="shared" si="94"/>
        <v>NA</v>
      </c>
      <c r="Y184" s="29" t="str">
        <f t="shared" si="95"/>
        <v>NA</v>
      </c>
      <c r="Z184" s="29" t="str">
        <f t="shared" si="96"/>
        <v>NA</v>
      </c>
      <c r="AA184" s="29" t="str">
        <f t="shared" si="97"/>
        <v>NA</v>
      </c>
      <c r="AB184" s="29" t="str">
        <f t="shared" si="98"/>
        <v>NA</v>
      </c>
      <c r="AC184" s="29" t="str">
        <f t="shared" si="99"/>
        <v>NA</v>
      </c>
      <c r="AD184" s="29" t="str">
        <f t="shared" si="100"/>
        <v>NA</v>
      </c>
      <c r="AE184" s="29" t="str">
        <f t="shared" si="101"/>
        <v>NA</v>
      </c>
      <c r="AF184" s="29" t="str">
        <f t="shared" si="102"/>
        <v>NA</v>
      </c>
      <c r="AG184" s="29" t="str">
        <f t="shared" si="103"/>
        <v>NA</v>
      </c>
      <c r="AH184" s="29" t="str">
        <f t="shared" si="104"/>
        <v>NA</v>
      </c>
    </row>
    <row r="185" customHeight="1" spans="1:34">
      <c r="A185" s="12" t="s">
        <v>1043</v>
      </c>
      <c r="F185" s="24">
        <f t="shared" si="86"/>
        <v>0</v>
      </c>
      <c r="G185" s="24" t="e">
        <f t="shared" si="85"/>
        <v>#DIV/0!</v>
      </c>
      <c r="Q185" s="29" t="str">
        <f t="shared" si="87"/>
        <v>NA</v>
      </c>
      <c r="R185" s="29" t="str">
        <f t="shared" si="88"/>
        <v>NA</v>
      </c>
      <c r="S185" s="29" t="str">
        <f t="shared" si="89"/>
        <v>NA</v>
      </c>
      <c r="T185" s="29" t="str">
        <f t="shared" si="90"/>
        <v>NA</v>
      </c>
      <c r="U185" s="29" t="str">
        <f t="shared" si="91"/>
        <v>NA</v>
      </c>
      <c r="V185" s="29" t="str">
        <f t="shared" si="92"/>
        <v>NA</v>
      </c>
      <c r="W185" s="29" t="str">
        <f t="shared" si="93"/>
        <v>NA</v>
      </c>
      <c r="X185" s="29" t="str">
        <f t="shared" si="94"/>
        <v>NA</v>
      </c>
      <c r="Y185" s="29" t="str">
        <f t="shared" si="95"/>
        <v>NA</v>
      </c>
      <c r="Z185" s="29" t="str">
        <f t="shared" si="96"/>
        <v>NA</v>
      </c>
      <c r="AA185" s="29" t="str">
        <f t="shared" si="97"/>
        <v>NA</v>
      </c>
      <c r="AB185" s="29" t="str">
        <f t="shared" si="98"/>
        <v>NA</v>
      </c>
      <c r="AC185" s="29" t="str">
        <f t="shared" si="99"/>
        <v>NA</v>
      </c>
      <c r="AD185" s="29" t="str">
        <f t="shared" si="100"/>
        <v>NA</v>
      </c>
      <c r="AE185" s="29" t="str">
        <f t="shared" si="101"/>
        <v>NA</v>
      </c>
      <c r="AF185" s="29" t="str">
        <f t="shared" si="102"/>
        <v>NA</v>
      </c>
      <c r="AG185" s="29" t="str">
        <f t="shared" si="103"/>
        <v>NA</v>
      </c>
      <c r="AH185" s="29" t="str">
        <f t="shared" si="104"/>
        <v>NA</v>
      </c>
    </row>
    <row r="186" customHeight="1" spans="1:34">
      <c r="A186" s="12" t="s">
        <v>1043</v>
      </c>
      <c r="F186" s="24">
        <f t="shared" si="86"/>
        <v>0</v>
      </c>
      <c r="G186" s="24" t="e">
        <f t="shared" si="85"/>
        <v>#DIV/0!</v>
      </c>
      <c r="Q186" s="29" t="str">
        <f t="shared" si="87"/>
        <v>NA</v>
      </c>
      <c r="R186" s="29" t="str">
        <f t="shared" si="88"/>
        <v>NA</v>
      </c>
      <c r="S186" s="29" t="str">
        <f t="shared" si="89"/>
        <v>NA</v>
      </c>
      <c r="T186" s="29" t="str">
        <f t="shared" si="90"/>
        <v>NA</v>
      </c>
      <c r="U186" s="29" t="str">
        <f t="shared" si="91"/>
        <v>NA</v>
      </c>
      <c r="V186" s="29" t="str">
        <f t="shared" si="92"/>
        <v>NA</v>
      </c>
      <c r="W186" s="29" t="str">
        <f t="shared" si="93"/>
        <v>NA</v>
      </c>
      <c r="X186" s="29" t="str">
        <f t="shared" si="94"/>
        <v>NA</v>
      </c>
      <c r="Y186" s="29" t="str">
        <f t="shared" si="95"/>
        <v>NA</v>
      </c>
      <c r="Z186" s="29" t="str">
        <f t="shared" si="96"/>
        <v>NA</v>
      </c>
      <c r="AA186" s="29" t="str">
        <f t="shared" si="97"/>
        <v>NA</v>
      </c>
      <c r="AB186" s="29" t="str">
        <f t="shared" si="98"/>
        <v>NA</v>
      </c>
      <c r="AC186" s="29" t="str">
        <f t="shared" si="99"/>
        <v>NA</v>
      </c>
      <c r="AD186" s="29" t="str">
        <f t="shared" si="100"/>
        <v>NA</v>
      </c>
      <c r="AE186" s="29" t="str">
        <f t="shared" si="101"/>
        <v>NA</v>
      </c>
      <c r="AF186" s="29" t="str">
        <f t="shared" si="102"/>
        <v>NA</v>
      </c>
      <c r="AG186" s="29" t="str">
        <f t="shared" si="103"/>
        <v>NA</v>
      </c>
      <c r="AH186" s="29" t="str">
        <f t="shared" si="104"/>
        <v>NA</v>
      </c>
    </row>
    <row r="187" customHeight="1" spans="1:34">
      <c r="A187" s="12" t="s">
        <v>1043</v>
      </c>
      <c r="F187" s="24">
        <f t="shared" si="86"/>
        <v>0</v>
      </c>
      <c r="G187" s="24" t="e">
        <f t="shared" si="85"/>
        <v>#DIV/0!</v>
      </c>
      <c r="Q187" s="29" t="str">
        <f t="shared" si="87"/>
        <v>NA</v>
      </c>
      <c r="R187" s="29" t="str">
        <f t="shared" si="88"/>
        <v>NA</v>
      </c>
      <c r="S187" s="29" t="str">
        <f t="shared" si="89"/>
        <v>NA</v>
      </c>
      <c r="T187" s="29" t="str">
        <f t="shared" si="90"/>
        <v>NA</v>
      </c>
      <c r="U187" s="29" t="str">
        <f t="shared" si="91"/>
        <v>NA</v>
      </c>
      <c r="V187" s="29" t="str">
        <f t="shared" si="92"/>
        <v>NA</v>
      </c>
      <c r="W187" s="29" t="str">
        <f t="shared" si="93"/>
        <v>NA</v>
      </c>
      <c r="X187" s="29" t="str">
        <f t="shared" si="94"/>
        <v>NA</v>
      </c>
      <c r="Y187" s="29" t="str">
        <f t="shared" si="95"/>
        <v>NA</v>
      </c>
      <c r="Z187" s="29" t="str">
        <f t="shared" si="96"/>
        <v>NA</v>
      </c>
      <c r="AA187" s="29" t="str">
        <f t="shared" si="97"/>
        <v>NA</v>
      </c>
      <c r="AB187" s="29" t="str">
        <f t="shared" si="98"/>
        <v>NA</v>
      </c>
      <c r="AC187" s="29" t="str">
        <f t="shared" si="99"/>
        <v>NA</v>
      </c>
      <c r="AD187" s="29" t="str">
        <f t="shared" si="100"/>
        <v>NA</v>
      </c>
      <c r="AE187" s="29" t="str">
        <f t="shared" si="101"/>
        <v>NA</v>
      </c>
      <c r="AF187" s="29" t="str">
        <f t="shared" si="102"/>
        <v>NA</v>
      </c>
      <c r="AG187" s="29" t="str">
        <f t="shared" si="103"/>
        <v>NA</v>
      </c>
      <c r="AH187" s="29" t="str">
        <f t="shared" si="104"/>
        <v>NA</v>
      </c>
    </row>
    <row r="188" customHeight="1" spans="1:34">
      <c r="A188" s="12" t="s">
        <v>1043</v>
      </c>
      <c r="F188" s="24">
        <f t="shared" si="86"/>
        <v>0</v>
      </c>
      <c r="G188" s="24" t="e">
        <f t="shared" si="85"/>
        <v>#DIV/0!</v>
      </c>
      <c r="Q188" s="29" t="str">
        <f t="shared" si="87"/>
        <v>NA</v>
      </c>
      <c r="R188" s="29" t="str">
        <f t="shared" si="88"/>
        <v>NA</v>
      </c>
      <c r="S188" s="29" t="str">
        <f t="shared" si="89"/>
        <v>NA</v>
      </c>
      <c r="T188" s="29" t="str">
        <f t="shared" si="90"/>
        <v>NA</v>
      </c>
      <c r="U188" s="29" t="str">
        <f t="shared" si="91"/>
        <v>NA</v>
      </c>
      <c r="V188" s="29" t="str">
        <f t="shared" si="92"/>
        <v>NA</v>
      </c>
      <c r="W188" s="29" t="str">
        <f t="shared" si="93"/>
        <v>NA</v>
      </c>
      <c r="X188" s="29" t="str">
        <f t="shared" si="94"/>
        <v>NA</v>
      </c>
      <c r="Y188" s="29" t="str">
        <f t="shared" si="95"/>
        <v>NA</v>
      </c>
      <c r="Z188" s="29" t="str">
        <f t="shared" si="96"/>
        <v>NA</v>
      </c>
      <c r="AA188" s="29" t="str">
        <f t="shared" si="97"/>
        <v>NA</v>
      </c>
      <c r="AB188" s="29" t="str">
        <f t="shared" si="98"/>
        <v>NA</v>
      </c>
      <c r="AC188" s="29" t="str">
        <f t="shared" si="99"/>
        <v>NA</v>
      </c>
      <c r="AD188" s="29" t="str">
        <f t="shared" si="100"/>
        <v>NA</v>
      </c>
      <c r="AE188" s="29" t="str">
        <f t="shared" si="101"/>
        <v>NA</v>
      </c>
      <c r="AF188" s="29" t="str">
        <f t="shared" si="102"/>
        <v>NA</v>
      </c>
      <c r="AG188" s="29" t="str">
        <f t="shared" si="103"/>
        <v>NA</v>
      </c>
      <c r="AH188" s="29" t="str">
        <f t="shared" si="104"/>
        <v>NA</v>
      </c>
    </row>
    <row r="189" customHeight="1" spans="1:34">
      <c r="A189" s="12" t="s">
        <v>1043</v>
      </c>
      <c r="F189" s="24">
        <f t="shared" si="86"/>
        <v>0</v>
      </c>
      <c r="G189" s="24" t="e">
        <f t="shared" si="85"/>
        <v>#DIV/0!</v>
      </c>
      <c r="Q189" s="29" t="str">
        <f t="shared" si="87"/>
        <v>NA</v>
      </c>
      <c r="R189" s="29" t="str">
        <f t="shared" si="88"/>
        <v>NA</v>
      </c>
      <c r="S189" s="29" t="str">
        <f t="shared" si="89"/>
        <v>NA</v>
      </c>
      <c r="T189" s="29" t="str">
        <f t="shared" si="90"/>
        <v>NA</v>
      </c>
      <c r="U189" s="29" t="str">
        <f t="shared" si="91"/>
        <v>NA</v>
      </c>
      <c r="V189" s="29" t="str">
        <f t="shared" si="92"/>
        <v>NA</v>
      </c>
      <c r="W189" s="29" t="str">
        <f t="shared" si="93"/>
        <v>NA</v>
      </c>
      <c r="X189" s="29" t="str">
        <f t="shared" si="94"/>
        <v>NA</v>
      </c>
      <c r="Y189" s="29" t="str">
        <f t="shared" si="95"/>
        <v>NA</v>
      </c>
      <c r="Z189" s="29" t="str">
        <f t="shared" si="96"/>
        <v>NA</v>
      </c>
      <c r="AA189" s="29" t="str">
        <f t="shared" si="97"/>
        <v>NA</v>
      </c>
      <c r="AB189" s="29" t="str">
        <f t="shared" si="98"/>
        <v>NA</v>
      </c>
      <c r="AC189" s="29" t="str">
        <f t="shared" si="99"/>
        <v>NA</v>
      </c>
      <c r="AD189" s="29" t="str">
        <f t="shared" si="100"/>
        <v>NA</v>
      </c>
      <c r="AE189" s="29" t="str">
        <f t="shared" si="101"/>
        <v>NA</v>
      </c>
      <c r="AF189" s="29" t="str">
        <f t="shared" si="102"/>
        <v>NA</v>
      </c>
      <c r="AG189" s="29" t="str">
        <f t="shared" si="103"/>
        <v>NA</v>
      </c>
      <c r="AH189" s="29" t="str">
        <f t="shared" si="104"/>
        <v>NA</v>
      </c>
    </row>
    <row r="190" customHeight="1" spans="1:34">
      <c r="A190" s="12" t="s">
        <v>1043</v>
      </c>
      <c r="F190" s="24">
        <f t="shared" si="86"/>
        <v>0</v>
      </c>
      <c r="G190" s="24" t="e">
        <f t="shared" si="85"/>
        <v>#DIV/0!</v>
      </c>
      <c r="Q190" s="29" t="str">
        <f t="shared" si="87"/>
        <v>NA</v>
      </c>
      <c r="R190" s="29" t="str">
        <f t="shared" si="88"/>
        <v>NA</v>
      </c>
      <c r="S190" s="29" t="str">
        <f t="shared" si="89"/>
        <v>NA</v>
      </c>
      <c r="T190" s="29" t="str">
        <f t="shared" si="90"/>
        <v>NA</v>
      </c>
      <c r="U190" s="29" t="str">
        <f t="shared" si="91"/>
        <v>NA</v>
      </c>
      <c r="V190" s="29" t="str">
        <f t="shared" si="92"/>
        <v>NA</v>
      </c>
      <c r="W190" s="29" t="str">
        <f t="shared" si="93"/>
        <v>NA</v>
      </c>
      <c r="X190" s="29" t="str">
        <f t="shared" si="94"/>
        <v>NA</v>
      </c>
      <c r="Y190" s="29" t="str">
        <f t="shared" si="95"/>
        <v>NA</v>
      </c>
      <c r="Z190" s="29" t="str">
        <f t="shared" si="96"/>
        <v>NA</v>
      </c>
      <c r="AA190" s="29" t="str">
        <f t="shared" si="97"/>
        <v>NA</v>
      </c>
      <c r="AB190" s="29" t="str">
        <f t="shared" si="98"/>
        <v>NA</v>
      </c>
      <c r="AC190" s="29" t="str">
        <f t="shared" si="99"/>
        <v>NA</v>
      </c>
      <c r="AD190" s="29" t="str">
        <f t="shared" si="100"/>
        <v>NA</v>
      </c>
      <c r="AE190" s="29" t="str">
        <f t="shared" si="101"/>
        <v>NA</v>
      </c>
      <c r="AF190" s="29" t="str">
        <f t="shared" si="102"/>
        <v>NA</v>
      </c>
      <c r="AG190" s="29" t="str">
        <f t="shared" si="103"/>
        <v>NA</v>
      </c>
      <c r="AH190" s="29" t="str">
        <f t="shared" si="104"/>
        <v>NA</v>
      </c>
    </row>
    <row r="191" customHeight="1" spans="1:34">
      <c r="A191" s="12" t="s">
        <v>1043</v>
      </c>
      <c r="F191" s="24">
        <f t="shared" si="86"/>
        <v>0</v>
      </c>
      <c r="G191" s="24" t="e">
        <f t="shared" si="85"/>
        <v>#DIV/0!</v>
      </c>
      <c r="Q191" s="29" t="str">
        <f t="shared" si="87"/>
        <v>NA</v>
      </c>
      <c r="R191" s="29" t="str">
        <f t="shared" si="88"/>
        <v>NA</v>
      </c>
      <c r="S191" s="29" t="str">
        <f t="shared" si="89"/>
        <v>NA</v>
      </c>
      <c r="T191" s="29" t="str">
        <f t="shared" si="90"/>
        <v>NA</v>
      </c>
      <c r="U191" s="29" t="str">
        <f t="shared" si="91"/>
        <v>NA</v>
      </c>
      <c r="V191" s="29" t="str">
        <f t="shared" si="92"/>
        <v>NA</v>
      </c>
      <c r="W191" s="29" t="str">
        <f t="shared" si="93"/>
        <v>NA</v>
      </c>
      <c r="X191" s="29" t="str">
        <f t="shared" si="94"/>
        <v>NA</v>
      </c>
      <c r="Y191" s="29" t="str">
        <f t="shared" si="95"/>
        <v>NA</v>
      </c>
      <c r="Z191" s="29" t="str">
        <f t="shared" si="96"/>
        <v>NA</v>
      </c>
      <c r="AA191" s="29" t="str">
        <f t="shared" si="97"/>
        <v>NA</v>
      </c>
      <c r="AB191" s="29" t="str">
        <f t="shared" si="98"/>
        <v>NA</v>
      </c>
      <c r="AC191" s="29" t="str">
        <f t="shared" si="99"/>
        <v>NA</v>
      </c>
      <c r="AD191" s="29" t="str">
        <f t="shared" si="100"/>
        <v>NA</v>
      </c>
      <c r="AE191" s="29" t="str">
        <f t="shared" si="101"/>
        <v>NA</v>
      </c>
      <c r="AF191" s="29" t="str">
        <f t="shared" si="102"/>
        <v>NA</v>
      </c>
      <c r="AG191" s="29" t="str">
        <f t="shared" si="103"/>
        <v>NA</v>
      </c>
      <c r="AH191" s="29" t="str">
        <f t="shared" si="104"/>
        <v>NA</v>
      </c>
    </row>
    <row r="192" customHeight="1" spans="1:34">
      <c r="A192" s="12" t="s">
        <v>1043</v>
      </c>
      <c r="F192" s="24">
        <f t="shared" si="86"/>
        <v>0</v>
      </c>
      <c r="G192" s="24" t="e">
        <f t="shared" si="85"/>
        <v>#DIV/0!</v>
      </c>
      <c r="Q192" s="29" t="str">
        <f t="shared" si="87"/>
        <v>NA</v>
      </c>
      <c r="R192" s="29" t="str">
        <f t="shared" si="88"/>
        <v>NA</v>
      </c>
      <c r="S192" s="29" t="str">
        <f t="shared" si="89"/>
        <v>NA</v>
      </c>
      <c r="T192" s="29" t="str">
        <f t="shared" si="90"/>
        <v>NA</v>
      </c>
      <c r="U192" s="29" t="str">
        <f t="shared" si="91"/>
        <v>NA</v>
      </c>
      <c r="V192" s="29" t="str">
        <f t="shared" si="92"/>
        <v>NA</v>
      </c>
      <c r="W192" s="29" t="str">
        <f t="shared" si="93"/>
        <v>NA</v>
      </c>
      <c r="X192" s="29" t="str">
        <f t="shared" si="94"/>
        <v>NA</v>
      </c>
      <c r="Y192" s="29" t="str">
        <f t="shared" si="95"/>
        <v>NA</v>
      </c>
      <c r="Z192" s="29" t="str">
        <f t="shared" si="96"/>
        <v>NA</v>
      </c>
      <c r="AA192" s="29" t="str">
        <f t="shared" si="97"/>
        <v>NA</v>
      </c>
      <c r="AB192" s="29" t="str">
        <f t="shared" si="98"/>
        <v>NA</v>
      </c>
      <c r="AC192" s="29" t="str">
        <f t="shared" si="99"/>
        <v>NA</v>
      </c>
      <c r="AD192" s="29" t="str">
        <f t="shared" si="100"/>
        <v>NA</v>
      </c>
      <c r="AE192" s="29" t="str">
        <f t="shared" si="101"/>
        <v>NA</v>
      </c>
      <c r="AF192" s="29" t="str">
        <f t="shared" si="102"/>
        <v>NA</v>
      </c>
      <c r="AG192" s="29" t="str">
        <f t="shared" si="103"/>
        <v>NA</v>
      </c>
      <c r="AH192" s="29" t="str">
        <f t="shared" si="104"/>
        <v>NA</v>
      </c>
    </row>
    <row r="193" customHeight="1" spans="1:34">
      <c r="A193" s="12" t="s">
        <v>1043</v>
      </c>
      <c r="F193" s="24">
        <f t="shared" si="86"/>
        <v>0</v>
      </c>
      <c r="G193" s="24" t="e">
        <f t="shared" si="85"/>
        <v>#DIV/0!</v>
      </c>
      <c r="Q193" s="29" t="str">
        <f t="shared" si="87"/>
        <v>NA</v>
      </c>
      <c r="R193" s="29" t="str">
        <f t="shared" si="88"/>
        <v>NA</v>
      </c>
      <c r="S193" s="29" t="str">
        <f t="shared" si="89"/>
        <v>NA</v>
      </c>
      <c r="T193" s="29" t="str">
        <f t="shared" si="90"/>
        <v>NA</v>
      </c>
      <c r="U193" s="29" t="str">
        <f t="shared" si="91"/>
        <v>NA</v>
      </c>
      <c r="V193" s="29" t="str">
        <f t="shared" si="92"/>
        <v>NA</v>
      </c>
      <c r="W193" s="29" t="str">
        <f t="shared" si="93"/>
        <v>NA</v>
      </c>
      <c r="X193" s="29" t="str">
        <f t="shared" si="94"/>
        <v>NA</v>
      </c>
      <c r="Y193" s="29" t="str">
        <f t="shared" si="95"/>
        <v>NA</v>
      </c>
      <c r="Z193" s="29" t="str">
        <f t="shared" si="96"/>
        <v>NA</v>
      </c>
      <c r="AA193" s="29" t="str">
        <f t="shared" si="97"/>
        <v>NA</v>
      </c>
      <c r="AB193" s="29" t="str">
        <f t="shared" si="98"/>
        <v>NA</v>
      </c>
      <c r="AC193" s="29" t="str">
        <f t="shared" si="99"/>
        <v>NA</v>
      </c>
      <c r="AD193" s="29" t="str">
        <f t="shared" si="100"/>
        <v>NA</v>
      </c>
      <c r="AE193" s="29" t="str">
        <f t="shared" si="101"/>
        <v>NA</v>
      </c>
      <c r="AF193" s="29" t="str">
        <f t="shared" si="102"/>
        <v>NA</v>
      </c>
      <c r="AG193" s="29" t="str">
        <f t="shared" si="103"/>
        <v>NA</v>
      </c>
      <c r="AH193" s="29" t="str">
        <f t="shared" si="104"/>
        <v>NA</v>
      </c>
    </row>
    <row r="194" customHeight="1" spans="1:34">
      <c r="A194" s="12" t="s">
        <v>1043</v>
      </c>
      <c r="F194" s="24">
        <f t="shared" si="86"/>
        <v>0</v>
      </c>
      <c r="G194" s="24" t="e">
        <f t="shared" si="85"/>
        <v>#DIV/0!</v>
      </c>
      <c r="Q194" s="29" t="str">
        <f t="shared" si="87"/>
        <v>NA</v>
      </c>
      <c r="R194" s="29" t="str">
        <f t="shared" si="88"/>
        <v>NA</v>
      </c>
      <c r="S194" s="29" t="str">
        <f t="shared" si="89"/>
        <v>NA</v>
      </c>
      <c r="T194" s="29" t="str">
        <f t="shared" si="90"/>
        <v>NA</v>
      </c>
      <c r="U194" s="29" t="str">
        <f t="shared" si="91"/>
        <v>NA</v>
      </c>
      <c r="V194" s="29" t="str">
        <f t="shared" si="92"/>
        <v>NA</v>
      </c>
      <c r="W194" s="29" t="str">
        <f t="shared" si="93"/>
        <v>NA</v>
      </c>
      <c r="X194" s="29" t="str">
        <f t="shared" si="94"/>
        <v>NA</v>
      </c>
      <c r="Y194" s="29" t="str">
        <f t="shared" si="95"/>
        <v>NA</v>
      </c>
      <c r="Z194" s="29" t="str">
        <f t="shared" si="96"/>
        <v>NA</v>
      </c>
      <c r="AA194" s="29" t="str">
        <f t="shared" si="97"/>
        <v>NA</v>
      </c>
      <c r="AB194" s="29" t="str">
        <f t="shared" si="98"/>
        <v>NA</v>
      </c>
      <c r="AC194" s="29" t="str">
        <f t="shared" si="99"/>
        <v>NA</v>
      </c>
      <c r="AD194" s="29" t="str">
        <f t="shared" si="100"/>
        <v>NA</v>
      </c>
      <c r="AE194" s="29" t="str">
        <f t="shared" si="101"/>
        <v>NA</v>
      </c>
      <c r="AF194" s="29" t="str">
        <f t="shared" si="102"/>
        <v>NA</v>
      </c>
      <c r="AG194" s="29" t="str">
        <f t="shared" si="103"/>
        <v>NA</v>
      </c>
      <c r="AH194" s="29" t="str">
        <f t="shared" si="104"/>
        <v>NA</v>
      </c>
    </row>
    <row r="195" customHeight="1" spans="1:34">
      <c r="A195" s="12" t="s">
        <v>1043</v>
      </c>
      <c r="F195" s="24">
        <f t="shared" si="86"/>
        <v>0</v>
      </c>
      <c r="G195" s="24" t="e">
        <f t="shared" si="85"/>
        <v>#DIV/0!</v>
      </c>
      <c r="Q195" s="29" t="str">
        <f t="shared" si="87"/>
        <v>NA</v>
      </c>
      <c r="R195" s="29" t="str">
        <f t="shared" si="88"/>
        <v>NA</v>
      </c>
      <c r="S195" s="29" t="str">
        <f t="shared" si="89"/>
        <v>NA</v>
      </c>
      <c r="T195" s="29" t="str">
        <f t="shared" si="90"/>
        <v>NA</v>
      </c>
      <c r="U195" s="29" t="str">
        <f t="shared" si="91"/>
        <v>NA</v>
      </c>
      <c r="V195" s="29" t="str">
        <f t="shared" si="92"/>
        <v>NA</v>
      </c>
      <c r="W195" s="29" t="str">
        <f t="shared" si="93"/>
        <v>NA</v>
      </c>
      <c r="X195" s="29" t="str">
        <f t="shared" si="94"/>
        <v>NA</v>
      </c>
      <c r="Y195" s="29" t="str">
        <f t="shared" si="95"/>
        <v>NA</v>
      </c>
      <c r="Z195" s="29" t="str">
        <f t="shared" si="96"/>
        <v>NA</v>
      </c>
      <c r="AA195" s="29" t="str">
        <f t="shared" si="97"/>
        <v>NA</v>
      </c>
      <c r="AB195" s="29" t="str">
        <f t="shared" si="98"/>
        <v>NA</v>
      </c>
      <c r="AC195" s="29" t="str">
        <f t="shared" si="99"/>
        <v>NA</v>
      </c>
      <c r="AD195" s="29" t="str">
        <f t="shared" si="100"/>
        <v>NA</v>
      </c>
      <c r="AE195" s="29" t="str">
        <f t="shared" si="101"/>
        <v>NA</v>
      </c>
      <c r="AF195" s="29" t="str">
        <f t="shared" si="102"/>
        <v>NA</v>
      </c>
      <c r="AG195" s="29" t="str">
        <f t="shared" si="103"/>
        <v>NA</v>
      </c>
      <c r="AH195" s="29" t="str">
        <f t="shared" si="104"/>
        <v>NA</v>
      </c>
    </row>
    <row r="196" customHeight="1" spans="1:34">
      <c r="A196" s="12" t="s">
        <v>1043</v>
      </c>
      <c r="F196" s="24">
        <f t="shared" si="86"/>
        <v>0</v>
      </c>
      <c r="G196" s="24" t="e">
        <f t="shared" si="85"/>
        <v>#DIV/0!</v>
      </c>
      <c r="Q196" s="29" t="str">
        <f t="shared" si="87"/>
        <v>NA</v>
      </c>
      <c r="R196" s="29" t="str">
        <f t="shared" si="88"/>
        <v>NA</v>
      </c>
      <c r="S196" s="29" t="str">
        <f t="shared" si="89"/>
        <v>NA</v>
      </c>
      <c r="T196" s="29" t="str">
        <f t="shared" si="90"/>
        <v>NA</v>
      </c>
      <c r="U196" s="29" t="str">
        <f t="shared" si="91"/>
        <v>NA</v>
      </c>
      <c r="V196" s="29" t="str">
        <f t="shared" si="92"/>
        <v>NA</v>
      </c>
      <c r="W196" s="29" t="str">
        <f t="shared" si="93"/>
        <v>NA</v>
      </c>
      <c r="X196" s="29" t="str">
        <f t="shared" si="94"/>
        <v>NA</v>
      </c>
      <c r="Y196" s="29" t="str">
        <f t="shared" si="95"/>
        <v>NA</v>
      </c>
      <c r="Z196" s="29" t="str">
        <f t="shared" si="96"/>
        <v>NA</v>
      </c>
      <c r="AA196" s="29" t="str">
        <f t="shared" si="97"/>
        <v>NA</v>
      </c>
      <c r="AB196" s="29" t="str">
        <f t="shared" si="98"/>
        <v>NA</v>
      </c>
      <c r="AC196" s="29" t="str">
        <f t="shared" si="99"/>
        <v>NA</v>
      </c>
      <c r="AD196" s="29" t="str">
        <f t="shared" si="100"/>
        <v>NA</v>
      </c>
      <c r="AE196" s="29" t="str">
        <f t="shared" si="101"/>
        <v>NA</v>
      </c>
      <c r="AF196" s="29" t="str">
        <f t="shared" si="102"/>
        <v>NA</v>
      </c>
      <c r="AG196" s="29" t="str">
        <f t="shared" si="103"/>
        <v>NA</v>
      </c>
      <c r="AH196" s="29" t="str">
        <f t="shared" si="104"/>
        <v>NA</v>
      </c>
    </row>
    <row r="197" customHeight="1" spans="1:34">
      <c r="A197" s="12" t="s">
        <v>1043</v>
      </c>
      <c r="F197" s="24">
        <f t="shared" si="86"/>
        <v>0</v>
      </c>
      <c r="G197" s="24" t="e">
        <f t="shared" ref="G197:G260" si="105">B197*D197/C197</f>
        <v>#DIV/0!</v>
      </c>
      <c r="Q197" s="29" t="str">
        <f t="shared" si="87"/>
        <v>NA</v>
      </c>
      <c r="R197" s="29" t="str">
        <f t="shared" si="88"/>
        <v>NA</v>
      </c>
      <c r="S197" s="29" t="str">
        <f t="shared" si="89"/>
        <v>NA</v>
      </c>
      <c r="T197" s="29" t="str">
        <f t="shared" si="90"/>
        <v>NA</v>
      </c>
      <c r="U197" s="29" t="str">
        <f t="shared" si="91"/>
        <v>NA</v>
      </c>
      <c r="V197" s="29" t="str">
        <f t="shared" si="92"/>
        <v>NA</v>
      </c>
      <c r="W197" s="29" t="str">
        <f t="shared" si="93"/>
        <v>NA</v>
      </c>
      <c r="X197" s="29" t="str">
        <f t="shared" si="94"/>
        <v>NA</v>
      </c>
      <c r="Y197" s="29" t="str">
        <f t="shared" si="95"/>
        <v>NA</v>
      </c>
      <c r="Z197" s="29" t="str">
        <f t="shared" si="96"/>
        <v>NA</v>
      </c>
      <c r="AA197" s="29" t="str">
        <f t="shared" si="97"/>
        <v>NA</v>
      </c>
      <c r="AB197" s="29" t="str">
        <f t="shared" si="98"/>
        <v>NA</v>
      </c>
      <c r="AC197" s="29" t="str">
        <f t="shared" si="99"/>
        <v>NA</v>
      </c>
      <c r="AD197" s="29" t="str">
        <f t="shared" si="100"/>
        <v>NA</v>
      </c>
      <c r="AE197" s="29" t="str">
        <f t="shared" si="101"/>
        <v>NA</v>
      </c>
      <c r="AF197" s="29" t="str">
        <f t="shared" si="102"/>
        <v>NA</v>
      </c>
      <c r="AG197" s="29" t="str">
        <f t="shared" si="103"/>
        <v>NA</v>
      </c>
      <c r="AH197" s="29" t="str">
        <f t="shared" si="104"/>
        <v>NA</v>
      </c>
    </row>
    <row r="198" customHeight="1" spans="1:34">
      <c r="A198" s="12" t="s">
        <v>1043</v>
      </c>
      <c r="F198" s="24">
        <f t="shared" ref="F198:F261" si="106">+D198+E198</f>
        <v>0</v>
      </c>
      <c r="G198" s="24" t="e">
        <f t="shared" si="105"/>
        <v>#DIV/0!</v>
      </c>
      <c r="Q198" s="29" t="str">
        <f t="shared" si="87"/>
        <v>NA</v>
      </c>
      <c r="R198" s="29" t="str">
        <f t="shared" si="88"/>
        <v>NA</v>
      </c>
      <c r="S198" s="29" t="str">
        <f t="shared" si="89"/>
        <v>NA</v>
      </c>
      <c r="T198" s="29" t="str">
        <f t="shared" si="90"/>
        <v>NA</v>
      </c>
      <c r="U198" s="29" t="str">
        <f t="shared" si="91"/>
        <v>NA</v>
      </c>
      <c r="V198" s="29" t="str">
        <f t="shared" si="92"/>
        <v>NA</v>
      </c>
      <c r="W198" s="29" t="str">
        <f t="shared" si="93"/>
        <v>NA</v>
      </c>
      <c r="X198" s="29" t="str">
        <f t="shared" si="94"/>
        <v>NA</v>
      </c>
      <c r="Y198" s="29" t="str">
        <f t="shared" si="95"/>
        <v>NA</v>
      </c>
      <c r="Z198" s="29" t="str">
        <f t="shared" si="96"/>
        <v>NA</v>
      </c>
      <c r="AA198" s="29" t="str">
        <f t="shared" si="97"/>
        <v>NA</v>
      </c>
      <c r="AB198" s="29" t="str">
        <f t="shared" si="98"/>
        <v>NA</v>
      </c>
      <c r="AC198" s="29" t="str">
        <f t="shared" si="99"/>
        <v>NA</v>
      </c>
      <c r="AD198" s="29" t="str">
        <f t="shared" si="100"/>
        <v>NA</v>
      </c>
      <c r="AE198" s="29" t="str">
        <f t="shared" si="101"/>
        <v>NA</v>
      </c>
      <c r="AF198" s="29" t="str">
        <f t="shared" si="102"/>
        <v>NA</v>
      </c>
      <c r="AG198" s="29" t="str">
        <f t="shared" si="103"/>
        <v>NA</v>
      </c>
      <c r="AH198" s="29" t="str">
        <f t="shared" si="104"/>
        <v>NA</v>
      </c>
    </row>
    <row r="199" customHeight="1" spans="1:34">
      <c r="A199" s="12" t="s">
        <v>1043</v>
      </c>
      <c r="F199" s="24">
        <f t="shared" si="106"/>
        <v>0</v>
      </c>
      <c r="G199" s="24" t="e">
        <f t="shared" si="105"/>
        <v>#DIV/0!</v>
      </c>
      <c r="Q199" s="29" t="str">
        <f t="shared" si="87"/>
        <v>NA</v>
      </c>
      <c r="R199" s="29" t="str">
        <f t="shared" si="88"/>
        <v>NA</v>
      </c>
      <c r="S199" s="29" t="str">
        <f t="shared" si="89"/>
        <v>NA</v>
      </c>
      <c r="T199" s="29" t="str">
        <f t="shared" si="90"/>
        <v>NA</v>
      </c>
      <c r="U199" s="29" t="str">
        <f t="shared" si="91"/>
        <v>NA</v>
      </c>
      <c r="V199" s="29" t="str">
        <f t="shared" si="92"/>
        <v>NA</v>
      </c>
      <c r="W199" s="29" t="str">
        <f t="shared" si="93"/>
        <v>NA</v>
      </c>
      <c r="X199" s="29" t="str">
        <f t="shared" si="94"/>
        <v>NA</v>
      </c>
      <c r="Y199" s="29" t="str">
        <f t="shared" si="95"/>
        <v>NA</v>
      </c>
      <c r="Z199" s="29" t="str">
        <f t="shared" si="96"/>
        <v>NA</v>
      </c>
      <c r="AA199" s="29" t="str">
        <f t="shared" si="97"/>
        <v>NA</v>
      </c>
      <c r="AB199" s="29" t="str">
        <f t="shared" si="98"/>
        <v>NA</v>
      </c>
      <c r="AC199" s="29" t="str">
        <f t="shared" si="99"/>
        <v>NA</v>
      </c>
      <c r="AD199" s="29" t="str">
        <f t="shared" si="100"/>
        <v>NA</v>
      </c>
      <c r="AE199" s="29" t="str">
        <f t="shared" si="101"/>
        <v>NA</v>
      </c>
      <c r="AF199" s="29" t="str">
        <f t="shared" si="102"/>
        <v>NA</v>
      </c>
      <c r="AG199" s="29" t="str">
        <f t="shared" si="103"/>
        <v>NA</v>
      </c>
      <c r="AH199" s="29" t="str">
        <f t="shared" si="104"/>
        <v>NA</v>
      </c>
    </row>
    <row r="200" customHeight="1" spans="1:34">
      <c r="A200" s="12" t="s">
        <v>1043</v>
      </c>
      <c r="F200" s="24">
        <f t="shared" si="106"/>
        <v>0</v>
      </c>
      <c r="G200" s="24" t="e">
        <f t="shared" si="105"/>
        <v>#DIV/0!</v>
      </c>
      <c r="Q200" s="29" t="str">
        <f t="shared" si="87"/>
        <v>NA</v>
      </c>
      <c r="R200" s="29" t="str">
        <f t="shared" si="88"/>
        <v>NA</v>
      </c>
      <c r="S200" s="29" t="str">
        <f t="shared" si="89"/>
        <v>NA</v>
      </c>
      <c r="T200" s="29" t="str">
        <f t="shared" si="90"/>
        <v>NA</v>
      </c>
      <c r="U200" s="29" t="str">
        <f t="shared" si="91"/>
        <v>NA</v>
      </c>
      <c r="V200" s="29" t="str">
        <f t="shared" si="92"/>
        <v>NA</v>
      </c>
      <c r="W200" s="29" t="str">
        <f t="shared" si="93"/>
        <v>NA</v>
      </c>
      <c r="X200" s="29" t="str">
        <f t="shared" si="94"/>
        <v>NA</v>
      </c>
      <c r="Y200" s="29" t="str">
        <f t="shared" si="95"/>
        <v>NA</v>
      </c>
      <c r="Z200" s="29" t="str">
        <f t="shared" si="96"/>
        <v>NA</v>
      </c>
      <c r="AA200" s="29" t="str">
        <f t="shared" si="97"/>
        <v>NA</v>
      </c>
      <c r="AB200" s="29" t="str">
        <f t="shared" si="98"/>
        <v>NA</v>
      </c>
      <c r="AC200" s="29" t="str">
        <f t="shared" si="99"/>
        <v>NA</v>
      </c>
      <c r="AD200" s="29" t="str">
        <f t="shared" si="100"/>
        <v>NA</v>
      </c>
      <c r="AE200" s="29" t="str">
        <f t="shared" si="101"/>
        <v>NA</v>
      </c>
      <c r="AF200" s="29" t="str">
        <f t="shared" si="102"/>
        <v>NA</v>
      </c>
      <c r="AG200" s="29" t="str">
        <f t="shared" si="103"/>
        <v>NA</v>
      </c>
      <c r="AH200" s="29" t="str">
        <f t="shared" si="104"/>
        <v>NA</v>
      </c>
    </row>
    <row r="201" customHeight="1" spans="1:34">
      <c r="A201" s="12" t="s">
        <v>1043</v>
      </c>
      <c r="F201" s="24">
        <f t="shared" si="106"/>
        <v>0</v>
      </c>
      <c r="G201" s="24" t="e">
        <f t="shared" si="105"/>
        <v>#DIV/0!</v>
      </c>
      <c r="Q201" s="29" t="str">
        <f t="shared" si="87"/>
        <v>NA</v>
      </c>
      <c r="R201" s="29" t="str">
        <f t="shared" si="88"/>
        <v>NA</v>
      </c>
      <c r="S201" s="29" t="str">
        <f t="shared" si="89"/>
        <v>NA</v>
      </c>
      <c r="T201" s="29" t="str">
        <f t="shared" si="90"/>
        <v>NA</v>
      </c>
      <c r="U201" s="29" t="str">
        <f t="shared" si="91"/>
        <v>NA</v>
      </c>
      <c r="V201" s="29" t="str">
        <f t="shared" si="92"/>
        <v>NA</v>
      </c>
      <c r="W201" s="29" t="str">
        <f t="shared" si="93"/>
        <v>NA</v>
      </c>
      <c r="X201" s="29" t="str">
        <f t="shared" si="94"/>
        <v>NA</v>
      </c>
      <c r="Y201" s="29" t="str">
        <f t="shared" si="95"/>
        <v>NA</v>
      </c>
      <c r="Z201" s="29" t="str">
        <f t="shared" si="96"/>
        <v>NA</v>
      </c>
      <c r="AA201" s="29" t="str">
        <f t="shared" si="97"/>
        <v>NA</v>
      </c>
      <c r="AB201" s="29" t="str">
        <f t="shared" si="98"/>
        <v>NA</v>
      </c>
      <c r="AC201" s="29" t="str">
        <f t="shared" si="99"/>
        <v>NA</v>
      </c>
      <c r="AD201" s="29" t="str">
        <f t="shared" si="100"/>
        <v>NA</v>
      </c>
      <c r="AE201" s="29" t="str">
        <f t="shared" si="101"/>
        <v>NA</v>
      </c>
      <c r="AF201" s="29" t="str">
        <f t="shared" si="102"/>
        <v>NA</v>
      </c>
      <c r="AG201" s="29" t="str">
        <f t="shared" si="103"/>
        <v>NA</v>
      </c>
      <c r="AH201" s="29" t="str">
        <f t="shared" si="104"/>
        <v>NA</v>
      </c>
    </row>
    <row r="202" customHeight="1" spans="1:34">
      <c r="A202" s="12" t="s">
        <v>1043</v>
      </c>
      <c r="F202" s="24">
        <f t="shared" si="106"/>
        <v>0</v>
      </c>
      <c r="G202" s="24" t="e">
        <f t="shared" si="105"/>
        <v>#DIV/0!</v>
      </c>
      <c r="Q202" s="29" t="str">
        <f t="shared" si="87"/>
        <v>NA</v>
      </c>
      <c r="R202" s="29" t="str">
        <f t="shared" si="88"/>
        <v>NA</v>
      </c>
      <c r="S202" s="29" t="str">
        <f t="shared" si="89"/>
        <v>NA</v>
      </c>
      <c r="T202" s="29" t="str">
        <f t="shared" si="90"/>
        <v>NA</v>
      </c>
      <c r="U202" s="29" t="str">
        <f t="shared" si="91"/>
        <v>NA</v>
      </c>
      <c r="V202" s="29" t="str">
        <f t="shared" si="92"/>
        <v>NA</v>
      </c>
      <c r="W202" s="29" t="str">
        <f t="shared" si="93"/>
        <v>NA</v>
      </c>
      <c r="X202" s="29" t="str">
        <f t="shared" si="94"/>
        <v>NA</v>
      </c>
      <c r="Y202" s="29" t="str">
        <f t="shared" si="95"/>
        <v>NA</v>
      </c>
      <c r="Z202" s="29" t="str">
        <f t="shared" si="96"/>
        <v>NA</v>
      </c>
      <c r="AA202" s="29" t="str">
        <f t="shared" si="97"/>
        <v>NA</v>
      </c>
      <c r="AB202" s="29" t="str">
        <f t="shared" si="98"/>
        <v>NA</v>
      </c>
      <c r="AC202" s="29" t="str">
        <f t="shared" si="99"/>
        <v>NA</v>
      </c>
      <c r="AD202" s="29" t="str">
        <f t="shared" si="100"/>
        <v>NA</v>
      </c>
      <c r="AE202" s="29" t="str">
        <f t="shared" si="101"/>
        <v>NA</v>
      </c>
      <c r="AF202" s="29" t="str">
        <f t="shared" si="102"/>
        <v>NA</v>
      </c>
      <c r="AG202" s="29" t="str">
        <f t="shared" si="103"/>
        <v>NA</v>
      </c>
      <c r="AH202" s="29" t="str">
        <f t="shared" si="104"/>
        <v>NA</v>
      </c>
    </row>
    <row r="203" customHeight="1" spans="1:34">
      <c r="A203" s="12" t="s">
        <v>1043</v>
      </c>
      <c r="F203" s="24">
        <f t="shared" si="106"/>
        <v>0</v>
      </c>
      <c r="G203" s="24" t="e">
        <f t="shared" si="105"/>
        <v>#DIV/0!</v>
      </c>
      <c r="Q203" s="29" t="str">
        <f t="shared" si="87"/>
        <v>NA</v>
      </c>
      <c r="R203" s="29" t="str">
        <f t="shared" si="88"/>
        <v>NA</v>
      </c>
      <c r="S203" s="29" t="str">
        <f t="shared" si="89"/>
        <v>NA</v>
      </c>
      <c r="T203" s="29" t="str">
        <f t="shared" si="90"/>
        <v>NA</v>
      </c>
      <c r="U203" s="29" t="str">
        <f t="shared" si="91"/>
        <v>NA</v>
      </c>
      <c r="V203" s="29" t="str">
        <f t="shared" si="92"/>
        <v>NA</v>
      </c>
      <c r="W203" s="29" t="str">
        <f t="shared" si="93"/>
        <v>NA</v>
      </c>
      <c r="X203" s="29" t="str">
        <f t="shared" si="94"/>
        <v>NA</v>
      </c>
      <c r="Y203" s="29" t="str">
        <f t="shared" si="95"/>
        <v>NA</v>
      </c>
      <c r="Z203" s="29" t="str">
        <f t="shared" si="96"/>
        <v>NA</v>
      </c>
      <c r="AA203" s="29" t="str">
        <f t="shared" si="97"/>
        <v>NA</v>
      </c>
      <c r="AB203" s="29" t="str">
        <f t="shared" si="98"/>
        <v>NA</v>
      </c>
      <c r="AC203" s="29" t="str">
        <f t="shared" si="99"/>
        <v>NA</v>
      </c>
      <c r="AD203" s="29" t="str">
        <f t="shared" si="100"/>
        <v>NA</v>
      </c>
      <c r="AE203" s="29" t="str">
        <f t="shared" si="101"/>
        <v>NA</v>
      </c>
      <c r="AF203" s="29" t="str">
        <f t="shared" si="102"/>
        <v>NA</v>
      </c>
      <c r="AG203" s="29" t="str">
        <f t="shared" si="103"/>
        <v>NA</v>
      </c>
      <c r="AH203" s="29" t="str">
        <f t="shared" si="104"/>
        <v>NA</v>
      </c>
    </row>
    <row r="204" customHeight="1" spans="1:34">
      <c r="A204" s="12" t="s">
        <v>1043</v>
      </c>
      <c r="F204" s="24">
        <f t="shared" si="106"/>
        <v>0</v>
      </c>
      <c r="G204" s="24" t="e">
        <f t="shared" si="105"/>
        <v>#DIV/0!</v>
      </c>
      <c r="Q204" s="29" t="str">
        <f t="shared" si="87"/>
        <v>NA</v>
      </c>
      <c r="R204" s="29" t="str">
        <f t="shared" si="88"/>
        <v>NA</v>
      </c>
      <c r="S204" s="29" t="str">
        <f t="shared" si="89"/>
        <v>NA</v>
      </c>
      <c r="T204" s="29" t="str">
        <f t="shared" si="90"/>
        <v>NA</v>
      </c>
      <c r="U204" s="29" t="str">
        <f t="shared" si="91"/>
        <v>NA</v>
      </c>
      <c r="V204" s="29" t="str">
        <f t="shared" si="92"/>
        <v>NA</v>
      </c>
      <c r="W204" s="29" t="str">
        <f t="shared" si="93"/>
        <v>NA</v>
      </c>
      <c r="X204" s="29" t="str">
        <f t="shared" si="94"/>
        <v>NA</v>
      </c>
      <c r="Y204" s="29" t="str">
        <f t="shared" si="95"/>
        <v>NA</v>
      </c>
      <c r="Z204" s="29" t="str">
        <f t="shared" si="96"/>
        <v>NA</v>
      </c>
      <c r="AA204" s="29" t="str">
        <f t="shared" si="97"/>
        <v>NA</v>
      </c>
      <c r="AB204" s="29" t="str">
        <f t="shared" si="98"/>
        <v>NA</v>
      </c>
      <c r="AC204" s="29" t="str">
        <f t="shared" si="99"/>
        <v>NA</v>
      </c>
      <c r="AD204" s="29" t="str">
        <f t="shared" si="100"/>
        <v>NA</v>
      </c>
      <c r="AE204" s="29" t="str">
        <f t="shared" si="101"/>
        <v>NA</v>
      </c>
      <c r="AF204" s="29" t="str">
        <f t="shared" si="102"/>
        <v>NA</v>
      </c>
      <c r="AG204" s="29" t="str">
        <f t="shared" si="103"/>
        <v>NA</v>
      </c>
      <c r="AH204" s="29" t="str">
        <f t="shared" si="104"/>
        <v>NA</v>
      </c>
    </row>
    <row r="205" customHeight="1" spans="1:34">
      <c r="A205" s="12" t="s">
        <v>1043</v>
      </c>
      <c r="F205" s="24">
        <f t="shared" si="106"/>
        <v>0</v>
      </c>
      <c r="G205" s="24" t="e">
        <f t="shared" si="105"/>
        <v>#DIV/0!</v>
      </c>
      <c r="Q205" s="29" t="str">
        <f t="shared" si="87"/>
        <v>NA</v>
      </c>
      <c r="R205" s="29" t="str">
        <f t="shared" si="88"/>
        <v>NA</v>
      </c>
      <c r="S205" s="29" t="str">
        <f t="shared" si="89"/>
        <v>NA</v>
      </c>
      <c r="T205" s="29" t="str">
        <f t="shared" si="90"/>
        <v>NA</v>
      </c>
      <c r="U205" s="29" t="str">
        <f t="shared" si="91"/>
        <v>NA</v>
      </c>
      <c r="V205" s="29" t="str">
        <f t="shared" si="92"/>
        <v>NA</v>
      </c>
      <c r="W205" s="29" t="str">
        <f t="shared" si="93"/>
        <v>NA</v>
      </c>
      <c r="X205" s="29" t="str">
        <f t="shared" si="94"/>
        <v>NA</v>
      </c>
      <c r="Y205" s="29" t="str">
        <f t="shared" si="95"/>
        <v>NA</v>
      </c>
      <c r="Z205" s="29" t="str">
        <f t="shared" si="96"/>
        <v>NA</v>
      </c>
      <c r="AA205" s="29" t="str">
        <f t="shared" si="97"/>
        <v>NA</v>
      </c>
      <c r="AB205" s="29" t="str">
        <f t="shared" si="98"/>
        <v>NA</v>
      </c>
      <c r="AC205" s="29" t="str">
        <f t="shared" si="99"/>
        <v>NA</v>
      </c>
      <c r="AD205" s="29" t="str">
        <f t="shared" si="100"/>
        <v>NA</v>
      </c>
      <c r="AE205" s="29" t="str">
        <f t="shared" si="101"/>
        <v>NA</v>
      </c>
      <c r="AF205" s="29" t="str">
        <f t="shared" si="102"/>
        <v>NA</v>
      </c>
      <c r="AG205" s="29" t="str">
        <f t="shared" si="103"/>
        <v>NA</v>
      </c>
      <c r="AH205" s="29" t="str">
        <f t="shared" si="104"/>
        <v>NA</v>
      </c>
    </row>
    <row r="206" customHeight="1" spans="1:34">
      <c r="A206" s="12" t="s">
        <v>1043</v>
      </c>
      <c r="F206" s="24">
        <f t="shared" si="106"/>
        <v>0</v>
      </c>
      <c r="G206" s="24" t="e">
        <f t="shared" si="105"/>
        <v>#DIV/0!</v>
      </c>
      <c r="Q206" s="29" t="str">
        <f t="shared" si="87"/>
        <v>NA</v>
      </c>
      <c r="R206" s="29" t="str">
        <f t="shared" si="88"/>
        <v>NA</v>
      </c>
      <c r="S206" s="29" t="str">
        <f t="shared" si="89"/>
        <v>NA</v>
      </c>
      <c r="T206" s="29" t="str">
        <f t="shared" si="90"/>
        <v>NA</v>
      </c>
      <c r="U206" s="29" t="str">
        <f t="shared" si="91"/>
        <v>NA</v>
      </c>
      <c r="V206" s="29" t="str">
        <f t="shared" si="92"/>
        <v>NA</v>
      </c>
      <c r="W206" s="29" t="str">
        <f t="shared" si="93"/>
        <v>NA</v>
      </c>
      <c r="X206" s="29" t="str">
        <f t="shared" si="94"/>
        <v>NA</v>
      </c>
      <c r="Y206" s="29" t="str">
        <f t="shared" si="95"/>
        <v>NA</v>
      </c>
      <c r="Z206" s="29" t="str">
        <f t="shared" si="96"/>
        <v>NA</v>
      </c>
      <c r="AA206" s="29" t="str">
        <f t="shared" si="97"/>
        <v>NA</v>
      </c>
      <c r="AB206" s="29" t="str">
        <f t="shared" si="98"/>
        <v>NA</v>
      </c>
      <c r="AC206" s="29" t="str">
        <f t="shared" si="99"/>
        <v>NA</v>
      </c>
      <c r="AD206" s="29" t="str">
        <f t="shared" si="100"/>
        <v>NA</v>
      </c>
      <c r="AE206" s="29" t="str">
        <f t="shared" si="101"/>
        <v>NA</v>
      </c>
      <c r="AF206" s="29" t="str">
        <f t="shared" si="102"/>
        <v>NA</v>
      </c>
      <c r="AG206" s="29" t="str">
        <f t="shared" si="103"/>
        <v>NA</v>
      </c>
      <c r="AH206" s="29" t="str">
        <f t="shared" si="104"/>
        <v>NA</v>
      </c>
    </row>
    <row r="207" customHeight="1" spans="1:34">
      <c r="A207" s="12" t="s">
        <v>1043</v>
      </c>
      <c r="F207" s="24">
        <f t="shared" si="106"/>
        <v>0</v>
      </c>
      <c r="G207" s="24" t="e">
        <f t="shared" si="105"/>
        <v>#DIV/0!</v>
      </c>
      <c r="Q207" s="29" t="str">
        <f t="shared" si="87"/>
        <v>NA</v>
      </c>
      <c r="R207" s="29" t="str">
        <f t="shared" si="88"/>
        <v>NA</v>
      </c>
      <c r="S207" s="29" t="str">
        <f t="shared" si="89"/>
        <v>NA</v>
      </c>
      <c r="T207" s="29" t="str">
        <f t="shared" si="90"/>
        <v>NA</v>
      </c>
      <c r="U207" s="29" t="str">
        <f t="shared" si="91"/>
        <v>NA</v>
      </c>
      <c r="V207" s="29" t="str">
        <f t="shared" si="92"/>
        <v>NA</v>
      </c>
      <c r="W207" s="29" t="str">
        <f t="shared" si="93"/>
        <v>NA</v>
      </c>
      <c r="X207" s="29" t="str">
        <f t="shared" si="94"/>
        <v>NA</v>
      </c>
      <c r="Y207" s="29" t="str">
        <f t="shared" si="95"/>
        <v>NA</v>
      </c>
      <c r="Z207" s="29" t="str">
        <f t="shared" si="96"/>
        <v>NA</v>
      </c>
      <c r="AA207" s="29" t="str">
        <f t="shared" si="97"/>
        <v>NA</v>
      </c>
      <c r="AB207" s="29" t="str">
        <f t="shared" si="98"/>
        <v>NA</v>
      </c>
      <c r="AC207" s="29" t="str">
        <f t="shared" si="99"/>
        <v>NA</v>
      </c>
      <c r="AD207" s="29" t="str">
        <f t="shared" si="100"/>
        <v>NA</v>
      </c>
      <c r="AE207" s="29" t="str">
        <f t="shared" si="101"/>
        <v>NA</v>
      </c>
      <c r="AF207" s="29" t="str">
        <f t="shared" si="102"/>
        <v>NA</v>
      </c>
      <c r="AG207" s="29" t="str">
        <f t="shared" si="103"/>
        <v>NA</v>
      </c>
      <c r="AH207" s="29" t="str">
        <f t="shared" si="104"/>
        <v>NA</v>
      </c>
    </row>
    <row r="208" customHeight="1" spans="1:34">
      <c r="A208" s="12" t="s">
        <v>1043</v>
      </c>
      <c r="F208" s="24">
        <f t="shared" si="106"/>
        <v>0</v>
      </c>
      <c r="G208" s="24" t="e">
        <f t="shared" si="105"/>
        <v>#DIV/0!</v>
      </c>
      <c r="Q208" s="29" t="str">
        <f t="shared" ref="Q208:Q271" si="107">IFERROR($B208*$E208/H208,"NA")</f>
        <v>NA</v>
      </c>
      <c r="R208" s="29" t="str">
        <f t="shared" ref="R208:R271" si="108">IFERROR($B208*$E208/I208,"NA")</f>
        <v>NA</v>
      </c>
      <c r="S208" s="29" t="str">
        <f t="shared" ref="S208:S271" si="109">IFERROR($B208*$E208/J208,"NA")</f>
        <v>NA</v>
      </c>
      <c r="T208" s="29" t="str">
        <f t="shared" ref="T208:T271" si="110">IFERROR($B208*$E208/K208,"NA")</f>
        <v>NA</v>
      </c>
      <c r="U208" s="29" t="str">
        <f t="shared" ref="U208:U271" si="111">IFERROR($B208*$E208/L208,"NA")</f>
        <v>NA</v>
      </c>
      <c r="V208" s="29" t="str">
        <f t="shared" ref="V208:V271" si="112">IFERROR($B208*$E208/M208,"NA")</f>
        <v>NA</v>
      </c>
      <c r="W208" s="29" t="str">
        <f t="shared" ref="W208:W271" si="113">IFERROR($B208*$E208/N208,"NA")</f>
        <v>NA</v>
      </c>
      <c r="X208" s="29" t="str">
        <f t="shared" ref="X208:X271" si="114">IFERROR($B208*$E208/O208,"NA")</f>
        <v>NA</v>
      </c>
      <c r="Y208" s="29" t="str">
        <f t="shared" ref="Y208:Y271" si="115">IFERROR($B208*$E208/P208,"NA")</f>
        <v>NA</v>
      </c>
      <c r="Z208" s="29" t="str">
        <f t="shared" ref="Z208:Z271" si="116">IFERROR((($G208*Z$2/1000)+Q208)/1,"NA")</f>
        <v>NA</v>
      </c>
      <c r="AA208" s="29" t="str">
        <f t="shared" ref="AA208:AA271" si="117">IFERROR((($G208*AA$2/1000)+R208)/1,"NA")</f>
        <v>NA</v>
      </c>
      <c r="AB208" s="29" t="str">
        <f t="shared" ref="AB208:AB271" si="118">IFERROR((($G208*AB$2/1000)+S208)/1,"NA")</f>
        <v>NA</v>
      </c>
      <c r="AC208" s="29" t="str">
        <f t="shared" ref="AC208:AC271" si="119">IFERROR((($G208*AC$2/1000)+T208)/1,"NA")</f>
        <v>NA</v>
      </c>
      <c r="AD208" s="29" t="str">
        <f t="shared" ref="AD208:AD271" si="120">IFERROR((($G208*AD$2/1000)+U208)/1,"NA")</f>
        <v>NA</v>
      </c>
      <c r="AE208" s="29" t="str">
        <f t="shared" ref="AE208:AE271" si="121">IFERROR((($G208*AE$2/1000)+V208)/1,"NA")</f>
        <v>NA</v>
      </c>
      <c r="AF208" s="29" t="str">
        <f t="shared" ref="AF208:AF271" si="122">IFERROR((($G208*AF$2/1000)+W208)/1,"NA")</f>
        <v>NA</v>
      </c>
      <c r="AG208" s="29" t="str">
        <f t="shared" ref="AG208:AG271" si="123">IFERROR((($G208*AG$2/1000)+X208)/1,"NA")</f>
        <v>NA</v>
      </c>
      <c r="AH208" s="29" t="str">
        <f t="shared" ref="AH208:AH271" si="124">IFERROR((($G208*AH$2/1000)+Y208)/1,"NA")</f>
        <v>NA</v>
      </c>
    </row>
    <row r="209" customHeight="1" spans="1:34">
      <c r="A209" s="12" t="s">
        <v>1043</v>
      </c>
      <c r="F209" s="24">
        <f t="shared" si="106"/>
        <v>0</v>
      </c>
      <c r="G209" s="24" t="e">
        <f t="shared" si="105"/>
        <v>#DIV/0!</v>
      </c>
      <c r="Q209" s="29" t="str">
        <f t="shared" si="107"/>
        <v>NA</v>
      </c>
      <c r="R209" s="29" t="str">
        <f t="shared" si="108"/>
        <v>NA</v>
      </c>
      <c r="S209" s="29" t="str">
        <f t="shared" si="109"/>
        <v>NA</v>
      </c>
      <c r="T209" s="29" t="str">
        <f t="shared" si="110"/>
        <v>NA</v>
      </c>
      <c r="U209" s="29" t="str">
        <f t="shared" si="111"/>
        <v>NA</v>
      </c>
      <c r="V209" s="29" t="str">
        <f t="shared" si="112"/>
        <v>NA</v>
      </c>
      <c r="W209" s="29" t="str">
        <f t="shared" si="113"/>
        <v>NA</v>
      </c>
      <c r="X209" s="29" t="str">
        <f t="shared" si="114"/>
        <v>NA</v>
      </c>
      <c r="Y209" s="29" t="str">
        <f t="shared" si="115"/>
        <v>NA</v>
      </c>
      <c r="Z209" s="29" t="str">
        <f t="shared" si="116"/>
        <v>NA</v>
      </c>
      <c r="AA209" s="29" t="str">
        <f t="shared" si="117"/>
        <v>NA</v>
      </c>
      <c r="AB209" s="29" t="str">
        <f t="shared" si="118"/>
        <v>NA</v>
      </c>
      <c r="AC209" s="29" t="str">
        <f t="shared" si="119"/>
        <v>NA</v>
      </c>
      <c r="AD209" s="29" t="str">
        <f t="shared" si="120"/>
        <v>NA</v>
      </c>
      <c r="AE209" s="29" t="str">
        <f t="shared" si="121"/>
        <v>NA</v>
      </c>
      <c r="AF209" s="29" t="str">
        <f t="shared" si="122"/>
        <v>NA</v>
      </c>
      <c r="AG209" s="29" t="str">
        <f t="shared" si="123"/>
        <v>NA</v>
      </c>
      <c r="AH209" s="29" t="str">
        <f t="shared" si="124"/>
        <v>NA</v>
      </c>
    </row>
    <row r="210" customHeight="1" spans="1:34">
      <c r="A210" s="12" t="s">
        <v>1043</v>
      </c>
      <c r="F210" s="24">
        <f t="shared" si="106"/>
        <v>0</v>
      </c>
      <c r="G210" s="24" t="e">
        <f t="shared" si="105"/>
        <v>#DIV/0!</v>
      </c>
      <c r="Q210" s="29" t="str">
        <f t="shared" si="107"/>
        <v>NA</v>
      </c>
      <c r="R210" s="29" t="str">
        <f t="shared" si="108"/>
        <v>NA</v>
      </c>
      <c r="S210" s="29" t="str">
        <f t="shared" si="109"/>
        <v>NA</v>
      </c>
      <c r="T210" s="29" t="str">
        <f t="shared" si="110"/>
        <v>NA</v>
      </c>
      <c r="U210" s="29" t="str">
        <f t="shared" si="111"/>
        <v>NA</v>
      </c>
      <c r="V210" s="29" t="str">
        <f t="shared" si="112"/>
        <v>NA</v>
      </c>
      <c r="W210" s="29" t="str">
        <f t="shared" si="113"/>
        <v>NA</v>
      </c>
      <c r="X210" s="29" t="str">
        <f t="shared" si="114"/>
        <v>NA</v>
      </c>
      <c r="Y210" s="29" t="str">
        <f t="shared" si="115"/>
        <v>NA</v>
      </c>
      <c r="Z210" s="29" t="str">
        <f t="shared" si="116"/>
        <v>NA</v>
      </c>
      <c r="AA210" s="29" t="str">
        <f t="shared" si="117"/>
        <v>NA</v>
      </c>
      <c r="AB210" s="29" t="str">
        <f t="shared" si="118"/>
        <v>NA</v>
      </c>
      <c r="AC210" s="29" t="str">
        <f t="shared" si="119"/>
        <v>NA</v>
      </c>
      <c r="AD210" s="29" t="str">
        <f t="shared" si="120"/>
        <v>NA</v>
      </c>
      <c r="AE210" s="29" t="str">
        <f t="shared" si="121"/>
        <v>NA</v>
      </c>
      <c r="AF210" s="29" t="str">
        <f t="shared" si="122"/>
        <v>NA</v>
      </c>
      <c r="AG210" s="29" t="str">
        <f t="shared" si="123"/>
        <v>NA</v>
      </c>
      <c r="AH210" s="29" t="str">
        <f t="shared" si="124"/>
        <v>NA</v>
      </c>
    </row>
    <row r="211" customHeight="1" spans="1:34">
      <c r="A211" s="12" t="s">
        <v>1043</v>
      </c>
      <c r="F211" s="24">
        <f t="shared" si="106"/>
        <v>0</v>
      </c>
      <c r="G211" s="24" t="e">
        <f t="shared" si="105"/>
        <v>#DIV/0!</v>
      </c>
      <c r="Q211" s="29" t="str">
        <f t="shared" si="107"/>
        <v>NA</v>
      </c>
      <c r="R211" s="29" t="str">
        <f t="shared" si="108"/>
        <v>NA</v>
      </c>
      <c r="S211" s="29" t="str">
        <f t="shared" si="109"/>
        <v>NA</v>
      </c>
      <c r="T211" s="29" t="str">
        <f t="shared" si="110"/>
        <v>NA</v>
      </c>
      <c r="U211" s="29" t="str">
        <f t="shared" si="111"/>
        <v>NA</v>
      </c>
      <c r="V211" s="29" t="str">
        <f t="shared" si="112"/>
        <v>NA</v>
      </c>
      <c r="W211" s="29" t="str">
        <f t="shared" si="113"/>
        <v>NA</v>
      </c>
      <c r="X211" s="29" t="str">
        <f t="shared" si="114"/>
        <v>NA</v>
      </c>
      <c r="Y211" s="29" t="str">
        <f t="shared" si="115"/>
        <v>NA</v>
      </c>
      <c r="Z211" s="29" t="str">
        <f t="shared" si="116"/>
        <v>NA</v>
      </c>
      <c r="AA211" s="29" t="str">
        <f t="shared" si="117"/>
        <v>NA</v>
      </c>
      <c r="AB211" s="29" t="str">
        <f t="shared" si="118"/>
        <v>NA</v>
      </c>
      <c r="AC211" s="29" t="str">
        <f t="shared" si="119"/>
        <v>NA</v>
      </c>
      <c r="AD211" s="29" t="str">
        <f t="shared" si="120"/>
        <v>NA</v>
      </c>
      <c r="AE211" s="29" t="str">
        <f t="shared" si="121"/>
        <v>NA</v>
      </c>
      <c r="AF211" s="29" t="str">
        <f t="shared" si="122"/>
        <v>NA</v>
      </c>
      <c r="AG211" s="29" t="str">
        <f t="shared" si="123"/>
        <v>NA</v>
      </c>
      <c r="AH211" s="29" t="str">
        <f t="shared" si="124"/>
        <v>NA</v>
      </c>
    </row>
    <row r="212" customHeight="1" spans="1:34">
      <c r="A212" s="12" t="s">
        <v>1043</v>
      </c>
      <c r="F212" s="24">
        <f t="shared" si="106"/>
        <v>0</v>
      </c>
      <c r="G212" s="24" t="e">
        <f t="shared" si="105"/>
        <v>#DIV/0!</v>
      </c>
      <c r="Q212" s="29" t="str">
        <f t="shared" si="107"/>
        <v>NA</v>
      </c>
      <c r="R212" s="29" t="str">
        <f t="shared" si="108"/>
        <v>NA</v>
      </c>
      <c r="S212" s="29" t="str">
        <f t="shared" si="109"/>
        <v>NA</v>
      </c>
      <c r="T212" s="29" t="str">
        <f t="shared" si="110"/>
        <v>NA</v>
      </c>
      <c r="U212" s="29" t="str">
        <f t="shared" si="111"/>
        <v>NA</v>
      </c>
      <c r="V212" s="29" t="str">
        <f t="shared" si="112"/>
        <v>NA</v>
      </c>
      <c r="W212" s="29" t="str">
        <f t="shared" si="113"/>
        <v>NA</v>
      </c>
      <c r="X212" s="29" t="str">
        <f t="shared" si="114"/>
        <v>NA</v>
      </c>
      <c r="Y212" s="29" t="str">
        <f t="shared" si="115"/>
        <v>NA</v>
      </c>
      <c r="Z212" s="29" t="str">
        <f t="shared" si="116"/>
        <v>NA</v>
      </c>
      <c r="AA212" s="29" t="str">
        <f t="shared" si="117"/>
        <v>NA</v>
      </c>
      <c r="AB212" s="29" t="str">
        <f t="shared" si="118"/>
        <v>NA</v>
      </c>
      <c r="AC212" s="29" t="str">
        <f t="shared" si="119"/>
        <v>NA</v>
      </c>
      <c r="AD212" s="29" t="str">
        <f t="shared" si="120"/>
        <v>NA</v>
      </c>
      <c r="AE212" s="29" t="str">
        <f t="shared" si="121"/>
        <v>NA</v>
      </c>
      <c r="AF212" s="29" t="str">
        <f t="shared" si="122"/>
        <v>NA</v>
      </c>
      <c r="AG212" s="29" t="str">
        <f t="shared" si="123"/>
        <v>NA</v>
      </c>
      <c r="AH212" s="29" t="str">
        <f t="shared" si="124"/>
        <v>NA</v>
      </c>
    </row>
    <row r="213" customHeight="1" spans="1:34">
      <c r="A213" s="12" t="s">
        <v>1043</v>
      </c>
      <c r="F213" s="24">
        <f t="shared" si="106"/>
        <v>0</v>
      </c>
      <c r="G213" s="24" t="e">
        <f t="shared" si="105"/>
        <v>#DIV/0!</v>
      </c>
      <c r="Q213" s="29" t="str">
        <f t="shared" si="107"/>
        <v>NA</v>
      </c>
      <c r="R213" s="29" t="str">
        <f t="shared" si="108"/>
        <v>NA</v>
      </c>
      <c r="S213" s="29" t="str">
        <f t="shared" si="109"/>
        <v>NA</v>
      </c>
      <c r="T213" s="29" t="str">
        <f t="shared" si="110"/>
        <v>NA</v>
      </c>
      <c r="U213" s="29" t="str">
        <f t="shared" si="111"/>
        <v>NA</v>
      </c>
      <c r="V213" s="29" t="str">
        <f t="shared" si="112"/>
        <v>NA</v>
      </c>
      <c r="W213" s="29" t="str">
        <f t="shared" si="113"/>
        <v>NA</v>
      </c>
      <c r="X213" s="29" t="str">
        <f t="shared" si="114"/>
        <v>NA</v>
      </c>
      <c r="Y213" s="29" t="str">
        <f t="shared" si="115"/>
        <v>NA</v>
      </c>
      <c r="Z213" s="29" t="str">
        <f t="shared" si="116"/>
        <v>NA</v>
      </c>
      <c r="AA213" s="29" t="str">
        <f t="shared" si="117"/>
        <v>NA</v>
      </c>
      <c r="AB213" s="29" t="str">
        <f t="shared" si="118"/>
        <v>NA</v>
      </c>
      <c r="AC213" s="29" t="str">
        <f t="shared" si="119"/>
        <v>NA</v>
      </c>
      <c r="AD213" s="29" t="str">
        <f t="shared" si="120"/>
        <v>NA</v>
      </c>
      <c r="AE213" s="29" t="str">
        <f t="shared" si="121"/>
        <v>NA</v>
      </c>
      <c r="AF213" s="29" t="str">
        <f t="shared" si="122"/>
        <v>NA</v>
      </c>
      <c r="AG213" s="29" t="str">
        <f t="shared" si="123"/>
        <v>NA</v>
      </c>
      <c r="AH213" s="29" t="str">
        <f t="shared" si="124"/>
        <v>NA</v>
      </c>
    </row>
    <row r="214" customHeight="1" spans="1:34">
      <c r="A214" s="12" t="s">
        <v>1043</v>
      </c>
      <c r="F214" s="24">
        <f t="shared" si="106"/>
        <v>0</v>
      </c>
      <c r="G214" s="24" t="e">
        <f t="shared" si="105"/>
        <v>#DIV/0!</v>
      </c>
      <c r="Q214" s="29" t="str">
        <f t="shared" si="107"/>
        <v>NA</v>
      </c>
      <c r="R214" s="29" t="str">
        <f t="shared" si="108"/>
        <v>NA</v>
      </c>
      <c r="S214" s="29" t="str">
        <f t="shared" si="109"/>
        <v>NA</v>
      </c>
      <c r="T214" s="29" t="str">
        <f t="shared" si="110"/>
        <v>NA</v>
      </c>
      <c r="U214" s="29" t="str">
        <f t="shared" si="111"/>
        <v>NA</v>
      </c>
      <c r="V214" s="29" t="str">
        <f t="shared" si="112"/>
        <v>NA</v>
      </c>
      <c r="W214" s="29" t="str">
        <f t="shared" si="113"/>
        <v>NA</v>
      </c>
      <c r="X214" s="29" t="str">
        <f t="shared" si="114"/>
        <v>NA</v>
      </c>
      <c r="Y214" s="29" t="str">
        <f t="shared" si="115"/>
        <v>NA</v>
      </c>
      <c r="Z214" s="29" t="str">
        <f t="shared" si="116"/>
        <v>NA</v>
      </c>
      <c r="AA214" s="29" t="str">
        <f t="shared" si="117"/>
        <v>NA</v>
      </c>
      <c r="AB214" s="29" t="str">
        <f t="shared" si="118"/>
        <v>NA</v>
      </c>
      <c r="AC214" s="29" t="str">
        <f t="shared" si="119"/>
        <v>NA</v>
      </c>
      <c r="AD214" s="29" t="str">
        <f t="shared" si="120"/>
        <v>NA</v>
      </c>
      <c r="AE214" s="29" t="str">
        <f t="shared" si="121"/>
        <v>NA</v>
      </c>
      <c r="AF214" s="29" t="str">
        <f t="shared" si="122"/>
        <v>NA</v>
      </c>
      <c r="AG214" s="29" t="str">
        <f t="shared" si="123"/>
        <v>NA</v>
      </c>
      <c r="AH214" s="29" t="str">
        <f t="shared" si="124"/>
        <v>NA</v>
      </c>
    </row>
    <row r="215" customHeight="1" spans="1:34">
      <c r="A215" s="12" t="s">
        <v>1043</v>
      </c>
      <c r="F215" s="24">
        <f t="shared" si="106"/>
        <v>0</v>
      </c>
      <c r="G215" s="24" t="e">
        <f t="shared" si="105"/>
        <v>#DIV/0!</v>
      </c>
      <c r="Q215" s="29" t="str">
        <f t="shared" si="107"/>
        <v>NA</v>
      </c>
      <c r="R215" s="29" t="str">
        <f t="shared" si="108"/>
        <v>NA</v>
      </c>
      <c r="S215" s="29" t="str">
        <f t="shared" si="109"/>
        <v>NA</v>
      </c>
      <c r="T215" s="29" t="str">
        <f t="shared" si="110"/>
        <v>NA</v>
      </c>
      <c r="U215" s="29" t="str">
        <f t="shared" si="111"/>
        <v>NA</v>
      </c>
      <c r="V215" s="29" t="str">
        <f t="shared" si="112"/>
        <v>NA</v>
      </c>
      <c r="W215" s="29" t="str">
        <f t="shared" si="113"/>
        <v>NA</v>
      </c>
      <c r="X215" s="29" t="str">
        <f t="shared" si="114"/>
        <v>NA</v>
      </c>
      <c r="Y215" s="29" t="str">
        <f t="shared" si="115"/>
        <v>NA</v>
      </c>
      <c r="Z215" s="29" t="str">
        <f t="shared" si="116"/>
        <v>NA</v>
      </c>
      <c r="AA215" s="29" t="str">
        <f t="shared" si="117"/>
        <v>NA</v>
      </c>
      <c r="AB215" s="29" t="str">
        <f t="shared" si="118"/>
        <v>NA</v>
      </c>
      <c r="AC215" s="29" t="str">
        <f t="shared" si="119"/>
        <v>NA</v>
      </c>
      <c r="AD215" s="29" t="str">
        <f t="shared" si="120"/>
        <v>NA</v>
      </c>
      <c r="AE215" s="29" t="str">
        <f t="shared" si="121"/>
        <v>NA</v>
      </c>
      <c r="AF215" s="29" t="str">
        <f t="shared" si="122"/>
        <v>NA</v>
      </c>
      <c r="AG215" s="29" t="str">
        <f t="shared" si="123"/>
        <v>NA</v>
      </c>
      <c r="AH215" s="29" t="str">
        <f t="shared" si="124"/>
        <v>NA</v>
      </c>
    </row>
    <row r="216" customHeight="1" spans="1:34">
      <c r="A216" s="12" t="s">
        <v>1043</v>
      </c>
      <c r="F216" s="24">
        <f t="shared" si="106"/>
        <v>0</v>
      </c>
      <c r="G216" s="24" t="e">
        <f t="shared" si="105"/>
        <v>#DIV/0!</v>
      </c>
      <c r="Q216" s="29" t="str">
        <f t="shared" si="107"/>
        <v>NA</v>
      </c>
      <c r="R216" s="29" t="str">
        <f t="shared" si="108"/>
        <v>NA</v>
      </c>
      <c r="S216" s="29" t="str">
        <f t="shared" si="109"/>
        <v>NA</v>
      </c>
      <c r="T216" s="29" t="str">
        <f t="shared" si="110"/>
        <v>NA</v>
      </c>
      <c r="U216" s="29" t="str">
        <f t="shared" si="111"/>
        <v>NA</v>
      </c>
      <c r="V216" s="29" t="str">
        <f t="shared" si="112"/>
        <v>NA</v>
      </c>
      <c r="W216" s="29" t="str">
        <f t="shared" si="113"/>
        <v>NA</v>
      </c>
      <c r="X216" s="29" t="str">
        <f t="shared" si="114"/>
        <v>NA</v>
      </c>
      <c r="Y216" s="29" t="str">
        <f t="shared" si="115"/>
        <v>NA</v>
      </c>
      <c r="Z216" s="29" t="str">
        <f t="shared" si="116"/>
        <v>NA</v>
      </c>
      <c r="AA216" s="29" t="str">
        <f t="shared" si="117"/>
        <v>NA</v>
      </c>
      <c r="AB216" s="29" t="str">
        <f t="shared" si="118"/>
        <v>NA</v>
      </c>
      <c r="AC216" s="29" t="str">
        <f t="shared" si="119"/>
        <v>NA</v>
      </c>
      <c r="AD216" s="29" t="str">
        <f t="shared" si="120"/>
        <v>NA</v>
      </c>
      <c r="AE216" s="29" t="str">
        <f t="shared" si="121"/>
        <v>NA</v>
      </c>
      <c r="AF216" s="29" t="str">
        <f t="shared" si="122"/>
        <v>NA</v>
      </c>
      <c r="AG216" s="29" t="str">
        <f t="shared" si="123"/>
        <v>NA</v>
      </c>
      <c r="AH216" s="29" t="str">
        <f t="shared" si="124"/>
        <v>NA</v>
      </c>
    </row>
    <row r="217" customHeight="1" spans="1:34">
      <c r="A217" s="12" t="s">
        <v>1043</v>
      </c>
      <c r="F217" s="24">
        <f t="shared" si="106"/>
        <v>0</v>
      </c>
      <c r="G217" s="24" t="e">
        <f t="shared" si="105"/>
        <v>#DIV/0!</v>
      </c>
      <c r="Q217" s="29" t="str">
        <f t="shared" si="107"/>
        <v>NA</v>
      </c>
      <c r="R217" s="29" t="str">
        <f t="shared" si="108"/>
        <v>NA</v>
      </c>
      <c r="S217" s="29" t="str">
        <f t="shared" si="109"/>
        <v>NA</v>
      </c>
      <c r="T217" s="29" t="str">
        <f t="shared" si="110"/>
        <v>NA</v>
      </c>
      <c r="U217" s="29" t="str">
        <f t="shared" si="111"/>
        <v>NA</v>
      </c>
      <c r="V217" s="29" t="str">
        <f t="shared" si="112"/>
        <v>NA</v>
      </c>
      <c r="W217" s="29" t="str">
        <f t="shared" si="113"/>
        <v>NA</v>
      </c>
      <c r="X217" s="29" t="str">
        <f t="shared" si="114"/>
        <v>NA</v>
      </c>
      <c r="Y217" s="29" t="str">
        <f t="shared" si="115"/>
        <v>NA</v>
      </c>
      <c r="Z217" s="29" t="str">
        <f t="shared" si="116"/>
        <v>NA</v>
      </c>
      <c r="AA217" s="29" t="str">
        <f t="shared" si="117"/>
        <v>NA</v>
      </c>
      <c r="AB217" s="29" t="str">
        <f t="shared" si="118"/>
        <v>NA</v>
      </c>
      <c r="AC217" s="29" t="str">
        <f t="shared" si="119"/>
        <v>NA</v>
      </c>
      <c r="AD217" s="29" t="str">
        <f t="shared" si="120"/>
        <v>NA</v>
      </c>
      <c r="AE217" s="29" t="str">
        <f t="shared" si="121"/>
        <v>NA</v>
      </c>
      <c r="AF217" s="29" t="str">
        <f t="shared" si="122"/>
        <v>NA</v>
      </c>
      <c r="AG217" s="29" t="str">
        <f t="shared" si="123"/>
        <v>NA</v>
      </c>
      <c r="AH217" s="29" t="str">
        <f t="shared" si="124"/>
        <v>NA</v>
      </c>
    </row>
    <row r="218" customHeight="1" spans="1:34">
      <c r="A218" s="12" t="s">
        <v>1043</v>
      </c>
      <c r="F218" s="24">
        <f t="shared" si="106"/>
        <v>0</v>
      </c>
      <c r="G218" s="24" t="e">
        <f t="shared" si="105"/>
        <v>#DIV/0!</v>
      </c>
      <c r="Q218" s="29" t="str">
        <f t="shared" si="107"/>
        <v>NA</v>
      </c>
      <c r="R218" s="29" t="str">
        <f t="shared" si="108"/>
        <v>NA</v>
      </c>
      <c r="S218" s="29" t="str">
        <f t="shared" si="109"/>
        <v>NA</v>
      </c>
      <c r="T218" s="29" t="str">
        <f t="shared" si="110"/>
        <v>NA</v>
      </c>
      <c r="U218" s="29" t="str">
        <f t="shared" si="111"/>
        <v>NA</v>
      </c>
      <c r="V218" s="29" t="str">
        <f t="shared" si="112"/>
        <v>NA</v>
      </c>
      <c r="W218" s="29" t="str">
        <f t="shared" si="113"/>
        <v>NA</v>
      </c>
      <c r="X218" s="29" t="str">
        <f t="shared" si="114"/>
        <v>NA</v>
      </c>
      <c r="Y218" s="29" t="str">
        <f t="shared" si="115"/>
        <v>NA</v>
      </c>
      <c r="Z218" s="29" t="str">
        <f t="shared" si="116"/>
        <v>NA</v>
      </c>
      <c r="AA218" s="29" t="str">
        <f t="shared" si="117"/>
        <v>NA</v>
      </c>
      <c r="AB218" s="29" t="str">
        <f t="shared" si="118"/>
        <v>NA</v>
      </c>
      <c r="AC218" s="29" t="str">
        <f t="shared" si="119"/>
        <v>NA</v>
      </c>
      <c r="AD218" s="29" t="str">
        <f t="shared" si="120"/>
        <v>NA</v>
      </c>
      <c r="AE218" s="29" t="str">
        <f t="shared" si="121"/>
        <v>NA</v>
      </c>
      <c r="AF218" s="29" t="str">
        <f t="shared" si="122"/>
        <v>NA</v>
      </c>
      <c r="AG218" s="29" t="str">
        <f t="shared" si="123"/>
        <v>NA</v>
      </c>
      <c r="AH218" s="29" t="str">
        <f t="shared" si="124"/>
        <v>NA</v>
      </c>
    </row>
    <row r="219" customHeight="1" spans="1:34">
      <c r="A219" s="12" t="s">
        <v>1043</v>
      </c>
      <c r="F219" s="24">
        <f t="shared" si="106"/>
        <v>0</v>
      </c>
      <c r="G219" s="24" t="e">
        <f t="shared" si="105"/>
        <v>#DIV/0!</v>
      </c>
      <c r="Q219" s="29" t="str">
        <f t="shared" si="107"/>
        <v>NA</v>
      </c>
      <c r="R219" s="29" t="str">
        <f t="shared" si="108"/>
        <v>NA</v>
      </c>
      <c r="S219" s="29" t="str">
        <f t="shared" si="109"/>
        <v>NA</v>
      </c>
      <c r="T219" s="29" t="str">
        <f t="shared" si="110"/>
        <v>NA</v>
      </c>
      <c r="U219" s="29" t="str">
        <f t="shared" si="111"/>
        <v>NA</v>
      </c>
      <c r="V219" s="29" t="str">
        <f t="shared" si="112"/>
        <v>NA</v>
      </c>
      <c r="W219" s="29" t="str">
        <f t="shared" si="113"/>
        <v>NA</v>
      </c>
      <c r="X219" s="29" t="str">
        <f t="shared" si="114"/>
        <v>NA</v>
      </c>
      <c r="Y219" s="29" t="str">
        <f t="shared" si="115"/>
        <v>NA</v>
      </c>
      <c r="Z219" s="29" t="str">
        <f t="shared" si="116"/>
        <v>NA</v>
      </c>
      <c r="AA219" s="29" t="str">
        <f t="shared" si="117"/>
        <v>NA</v>
      </c>
      <c r="AB219" s="29" t="str">
        <f t="shared" si="118"/>
        <v>NA</v>
      </c>
      <c r="AC219" s="29" t="str">
        <f t="shared" si="119"/>
        <v>NA</v>
      </c>
      <c r="AD219" s="29" t="str">
        <f t="shared" si="120"/>
        <v>NA</v>
      </c>
      <c r="AE219" s="29" t="str">
        <f t="shared" si="121"/>
        <v>NA</v>
      </c>
      <c r="AF219" s="29" t="str">
        <f t="shared" si="122"/>
        <v>NA</v>
      </c>
      <c r="AG219" s="29" t="str">
        <f t="shared" si="123"/>
        <v>NA</v>
      </c>
      <c r="AH219" s="29" t="str">
        <f t="shared" si="124"/>
        <v>NA</v>
      </c>
    </row>
    <row r="220" customHeight="1" spans="1:34">
      <c r="A220" s="12" t="s">
        <v>1043</v>
      </c>
      <c r="F220" s="24">
        <f t="shared" si="106"/>
        <v>0</v>
      </c>
      <c r="G220" s="24" t="e">
        <f t="shared" si="105"/>
        <v>#DIV/0!</v>
      </c>
      <c r="Q220" s="29" t="str">
        <f t="shared" si="107"/>
        <v>NA</v>
      </c>
      <c r="R220" s="29" t="str">
        <f t="shared" si="108"/>
        <v>NA</v>
      </c>
      <c r="S220" s="29" t="str">
        <f t="shared" si="109"/>
        <v>NA</v>
      </c>
      <c r="T220" s="29" t="str">
        <f t="shared" si="110"/>
        <v>NA</v>
      </c>
      <c r="U220" s="29" t="str">
        <f t="shared" si="111"/>
        <v>NA</v>
      </c>
      <c r="V220" s="29" t="str">
        <f t="shared" si="112"/>
        <v>NA</v>
      </c>
      <c r="W220" s="29" t="str">
        <f t="shared" si="113"/>
        <v>NA</v>
      </c>
      <c r="X220" s="29" t="str">
        <f t="shared" si="114"/>
        <v>NA</v>
      </c>
      <c r="Y220" s="29" t="str">
        <f t="shared" si="115"/>
        <v>NA</v>
      </c>
      <c r="Z220" s="29" t="str">
        <f t="shared" si="116"/>
        <v>NA</v>
      </c>
      <c r="AA220" s="29" t="str">
        <f t="shared" si="117"/>
        <v>NA</v>
      </c>
      <c r="AB220" s="29" t="str">
        <f t="shared" si="118"/>
        <v>NA</v>
      </c>
      <c r="AC220" s="29" t="str">
        <f t="shared" si="119"/>
        <v>NA</v>
      </c>
      <c r="AD220" s="29" t="str">
        <f t="shared" si="120"/>
        <v>NA</v>
      </c>
      <c r="AE220" s="29" t="str">
        <f t="shared" si="121"/>
        <v>NA</v>
      </c>
      <c r="AF220" s="29" t="str">
        <f t="shared" si="122"/>
        <v>NA</v>
      </c>
      <c r="AG220" s="29" t="str">
        <f t="shared" si="123"/>
        <v>NA</v>
      </c>
      <c r="AH220" s="29" t="str">
        <f t="shared" si="124"/>
        <v>NA</v>
      </c>
    </row>
    <row r="221" customHeight="1" spans="1:34">
      <c r="A221" s="12" t="s">
        <v>1043</v>
      </c>
      <c r="F221" s="24">
        <f t="shared" si="106"/>
        <v>0</v>
      </c>
      <c r="G221" s="24" t="e">
        <f t="shared" si="105"/>
        <v>#DIV/0!</v>
      </c>
      <c r="Q221" s="29" t="str">
        <f t="shared" si="107"/>
        <v>NA</v>
      </c>
      <c r="R221" s="29" t="str">
        <f t="shared" si="108"/>
        <v>NA</v>
      </c>
      <c r="S221" s="29" t="str">
        <f t="shared" si="109"/>
        <v>NA</v>
      </c>
      <c r="T221" s="29" t="str">
        <f t="shared" si="110"/>
        <v>NA</v>
      </c>
      <c r="U221" s="29" t="str">
        <f t="shared" si="111"/>
        <v>NA</v>
      </c>
      <c r="V221" s="29" t="str">
        <f t="shared" si="112"/>
        <v>NA</v>
      </c>
      <c r="W221" s="29" t="str">
        <f t="shared" si="113"/>
        <v>NA</v>
      </c>
      <c r="X221" s="29" t="str">
        <f t="shared" si="114"/>
        <v>NA</v>
      </c>
      <c r="Y221" s="29" t="str">
        <f t="shared" si="115"/>
        <v>NA</v>
      </c>
      <c r="Z221" s="29" t="str">
        <f t="shared" si="116"/>
        <v>NA</v>
      </c>
      <c r="AA221" s="29" t="str">
        <f t="shared" si="117"/>
        <v>NA</v>
      </c>
      <c r="AB221" s="29" t="str">
        <f t="shared" si="118"/>
        <v>NA</v>
      </c>
      <c r="AC221" s="29" t="str">
        <f t="shared" si="119"/>
        <v>NA</v>
      </c>
      <c r="AD221" s="29" t="str">
        <f t="shared" si="120"/>
        <v>NA</v>
      </c>
      <c r="AE221" s="29" t="str">
        <f t="shared" si="121"/>
        <v>NA</v>
      </c>
      <c r="AF221" s="29" t="str">
        <f t="shared" si="122"/>
        <v>NA</v>
      </c>
      <c r="AG221" s="29" t="str">
        <f t="shared" si="123"/>
        <v>NA</v>
      </c>
      <c r="AH221" s="29" t="str">
        <f t="shared" si="124"/>
        <v>NA</v>
      </c>
    </row>
    <row r="222" customHeight="1" spans="1:34">
      <c r="A222" s="12" t="s">
        <v>1043</v>
      </c>
      <c r="F222" s="24">
        <f t="shared" si="106"/>
        <v>0</v>
      </c>
      <c r="G222" s="24" t="e">
        <f t="shared" si="105"/>
        <v>#DIV/0!</v>
      </c>
      <c r="Q222" s="29" t="str">
        <f t="shared" si="107"/>
        <v>NA</v>
      </c>
      <c r="R222" s="29" t="str">
        <f t="shared" si="108"/>
        <v>NA</v>
      </c>
      <c r="S222" s="29" t="str">
        <f t="shared" si="109"/>
        <v>NA</v>
      </c>
      <c r="T222" s="29" t="str">
        <f t="shared" si="110"/>
        <v>NA</v>
      </c>
      <c r="U222" s="29" t="str">
        <f t="shared" si="111"/>
        <v>NA</v>
      </c>
      <c r="V222" s="29" t="str">
        <f t="shared" si="112"/>
        <v>NA</v>
      </c>
      <c r="W222" s="29" t="str">
        <f t="shared" si="113"/>
        <v>NA</v>
      </c>
      <c r="X222" s="29" t="str">
        <f t="shared" si="114"/>
        <v>NA</v>
      </c>
      <c r="Y222" s="29" t="str">
        <f t="shared" si="115"/>
        <v>NA</v>
      </c>
      <c r="Z222" s="29" t="str">
        <f t="shared" si="116"/>
        <v>NA</v>
      </c>
      <c r="AA222" s="29" t="str">
        <f t="shared" si="117"/>
        <v>NA</v>
      </c>
      <c r="AB222" s="29" t="str">
        <f t="shared" si="118"/>
        <v>NA</v>
      </c>
      <c r="AC222" s="29" t="str">
        <f t="shared" si="119"/>
        <v>NA</v>
      </c>
      <c r="AD222" s="29" t="str">
        <f t="shared" si="120"/>
        <v>NA</v>
      </c>
      <c r="AE222" s="29" t="str">
        <f t="shared" si="121"/>
        <v>NA</v>
      </c>
      <c r="AF222" s="29" t="str">
        <f t="shared" si="122"/>
        <v>NA</v>
      </c>
      <c r="AG222" s="29" t="str">
        <f t="shared" si="123"/>
        <v>NA</v>
      </c>
      <c r="AH222" s="29" t="str">
        <f t="shared" si="124"/>
        <v>NA</v>
      </c>
    </row>
    <row r="223" customHeight="1" spans="1:34">
      <c r="A223" s="12" t="s">
        <v>1043</v>
      </c>
      <c r="F223" s="24">
        <f t="shared" si="106"/>
        <v>0</v>
      </c>
      <c r="G223" s="24" t="e">
        <f t="shared" si="105"/>
        <v>#DIV/0!</v>
      </c>
      <c r="Q223" s="29" t="str">
        <f t="shared" si="107"/>
        <v>NA</v>
      </c>
      <c r="R223" s="29" t="str">
        <f t="shared" si="108"/>
        <v>NA</v>
      </c>
      <c r="S223" s="29" t="str">
        <f t="shared" si="109"/>
        <v>NA</v>
      </c>
      <c r="T223" s="29" t="str">
        <f t="shared" si="110"/>
        <v>NA</v>
      </c>
      <c r="U223" s="29" t="str">
        <f t="shared" si="111"/>
        <v>NA</v>
      </c>
      <c r="V223" s="29" t="str">
        <f t="shared" si="112"/>
        <v>NA</v>
      </c>
      <c r="W223" s="29" t="str">
        <f t="shared" si="113"/>
        <v>NA</v>
      </c>
      <c r="X223" s="29" t="str">
        <f t="shared" si="114"/>
        <v>NA</v>
      </c>
      <c r="Y223" s="29" t="str">
        <f t="shared" si="115"/>
        <v>NA</v>
      </c>
      <c r="Z223" s="29" t="str">
        <f t="shared" si="116"/>
        <v>NA</v>
      </c>
      <c r="AA223" s="29" t="str">
        <f t="shared" si="117"/>
        <v>NA</v>
      </c>
      <c r="AB223" s="29" t="str">
        <f t="shared" si="118"/>
        <v>NA</v>
      </c>
      <c r="AC223" s="29" t="str">
        <f t="shared" si="119"/>
        <v>NA</v>
      </c>
      <c r="AD223" s="29" t="str">
        <f t="shared" si="120"/>
        <v>NA</v>
      </c>
      <c r="AE223" s="29" t="str">
        <f t="shared" si="121"/>
        <v>NA</v>
      </c>
      <c r="AF223" s="29" t="str">
        <f t="shared" si="122"/>
        <v>NA</v>
      </c>
      <c r="AG223" s="29" t="str">
        <f t="shared" si="123"/>
        <v>NA</v>
      </c>
      <c r="AH223" s="29" t="str">
        <f t="shared" si="124"/>
        <v>NA</v>
      </c>
    </row>
    <row r="224" customHeight="1" spans="1:34">
      <c r="A224" s="12" t="s">
        <v>1043</v>
      </c>
      <c r="F224" s="24">
        <f t="shared" si="106"/>
        <v>0</v>
      </c>
      <c r="G224" s="24" t="e">
        <f t="shared" si="105"/>
        <v>#DIV/0!</v>
      </c>
      <c r="Q224" s="29" t="str">
        <f t="shared" si="107"/>
        <v>NA</v>
      </c>
      <c r="R224" s="29" t="str">
        <f t="shared" si="108"/>
        <v>NA</v>
      </c>
      <c r="S224" s="29" t="str">
        <f t="shared" si="109"/>
        <v>NA</v>
      </c>
      <c r="T224" s="29" t="str">
        <f t="shared" si="110"/>
        <v>NA</v>
      </c>
      <c r="U224" s="29" t="str">
        <f t="shared" si="111"/>
        <v>NA</v>
      </c>
      <c r="V224" s="29" t="str">
        <f t="shared" si="112"/>
        <v>NA</v>
      </c>
      <c r="W224" s="29" t="str">
        <f t="shared" si="113"/>
        <v>NA</v>
      </c>
      <c r="X224" s="29" t="str">
        <f t="shared" si="114"/>
        <v>NA</v>
      </c>
      <c r="Y224" s="29" t="str">
        <f t="shared" si="115"/>
        <v>NA</v>
      </c>
      <c r="Z224" s="29" t="str">
        <f t="shared" si="116"/>
        <v>NA</v>
      </c>
      <c r="AA224" s="29" t="str">
        <f t="shared" si="117"/>
        <v>NA</v>
      </c>
      <c r="AB224" s="29" t="str">
        <f t="shared" si="118"/>
        <v>NA</v>
      </c>
      <c r="AC224" s="29" t="str">
        <f t="shared" si="119"/>
        <v>NA</v>
      </c>
      <c r="AD224" s="29" t="str">
        <f t="shared" si="120"/>
        <v>NA</v>
      </c>
      <c r="AE224" s="29" t="str">
        <f t="shared" si="121"/>
        <v>NA</v>
      </c>
      <c r="AF224" s="29" t="str">
        <f t="shared" si="122"/>
        <v>NA</v>
      </c>
      <c r="AG224" s="29" t="str">
        <f t="shared" si="123"/>
        <v>NA</v>
      </c>
      <c r="AH224" s="29" t="str">
        <f t="shared" si="124"/>
        <v>NA</v>
      </c>
    </row>
    <row r="225" customHeight="1" spans="1:34">
      <c r="A225" s="12" t="s">
        <v>1043</v>
      </c>
      <c r="F225" s="24">
        <f t="shared" si="106"/>
        <v>0</v>
      </c>
      <c r="G225" s="24" t="e">
        <f t="shared" si="105"/>
        <v>#DIV/0!</v>
      </c>
      <c r="Q225" s="29" t="str">
        <f t="shared" si="107"/>
        <v>NA</v>
      </c>
      <c r="R225" s="29" t="str">
        <f t="shared" si="108"/>
        <v>NA</v>
      </c>
      <c r="S225" s="29" t="str">
        <f t="shared" si="109"/>
        <v>NA</v>
      </c>
      <c r="T225" s="29" t="str">
        <f t="shared" si="110"/>
        <v>NA</v>
      </c>
      <c r="U225" s="29" t="str">
        <f t="shared" si="111"/>
        <v>NA</v>
      </c>
      <c r="V225" s="29" t="str">
        <f t="shared" si="112"/>
        <v>NA</v>
      </c>
      <c r="W225" s="29" t="str">
        <f t="shared" si="113"/>
        <v>NA</v>
      </c>
      <c r="X225" s="29" t="str">
        <f t="shared" si="114"/>
        <v>NA</v>
      </c>
      <c r="Y225" s="29" t="str">
        <f t="shared" si="115"/>
        <v>NA</v>
      </c>
      <c r="Z225" s="29" t="str">
        <f t="shared" si="116"/>
        <v>NA</v>
      </c>
      <c r="AA225" s="29" t="str">
        <f t="shared" si="117"/>
        <v>NA</v>
      </c>
      <c r="AB225" s="29" t="str">
        <f t="shared" si="118"/>
        <v>NA</v>
      </c>
      <c r="AC225" s="29" t="str">
        <f t="shared" si="119"/>
        <v>NA</v>
      </c>
      <c r="AD225" s="29" t="str">
        <f t="shared" si="120"/>
        <v>NA</v>
      </c>
      <c r="AE225" s="29" t="str">
        <f t="shared" si="121"/>
        <v>NA</v>
      </c>
      <c r="AF225" s="29" t="str">
        <f t="shared" si="122"/>
        <v>NA</v>
      </c>
      <c r="AG225" s="29" t="str">
        <f t="shared" si="123"/>
        <v>NA</v>
      </c>
      <c r="AH225" s="29" t="str">
        <f t="shared" si="124"/>
        <v>NA</v>
      </c>
    </row>
    <row r="226" customHeight="1" spans="1:34">
      <c r="A226" s="12" t="s">
        <v>1043</v>
      </c>
      <c r="F226" s="24">
        <f t="shared" si="106"/>
        <v>0</v>
      </c>
      <c r="G226" s="24" t="e">
        <f t="shared" si="105"/>
        <v>#DIV/0!</v>
      </c>
      <c r="Q226" s="29" t="str">
        <f t="shared" si="107"/>
        <v>NA</v>
      </c>
      <c r="R226" s="29" t="str">
        <f t="shared" si="108"/>
        <v>NA</v>
      </c>
      <c r="S226" s="29" t="str">
        <f t="shared" si="109"/>
        <v>NA</v>
      </c>
      <c r="T226" s="29" t="str">
        <f t="shared" si="110"/>
        <v>NA</v>
      </c>
      <c r="U226" s="29" t="str">
        <f t="shared" si="111"/>
        <v>NA</v>
      </c>
      <c r="V226" s="29" t="str">
        <f t="shared" si="112"/>
        <v>NA</v>
      </c>
      <c r="W226" s="29" t="str">
        <f t="shared" si="113"/>
        <v>NA</v>
      </c>
      <c r="X226" s="29" t="str">
        <f t="shared" si="114"/>
        <v>NA</v>
      </c>
      <c r="Y226" s="29" t="str">
        <f t="shared" si="115"/>
        <v>NA</v>
      </c>
      <c r="Z226" s="29" t="str">
        <f t="shared" si="116"/>
        <v>NA</v>
      </c>
      <c r="AA226" s="29" t="str">
        <f t="shared" si="117"/>
        <v>NA</v>
      </c>
      <c r="AB226" s="29" t="str">
        <f t="shared" si="118"/>
        <v>NA</v>
      </c>
      <c r="AC226" s="29" t="str">
        <f t="shared" si="119"/>
        <v>NA</v>
      </c>
      <c r="AD226" s="29" t="str">
        <f t="shared" si="120"/>
        <v>NA</v>
      </c>
      <c r="AE226" s="29" t="str">
        <f t="shared" si="121"/>
        <v>NA</v>
      </c>
      <c r="AF226" s="29" t="str">
        <f t="shared" si="122"/>
        <v>NA</v>
      </c>
      <c r="AG226" s="29" t="str">
        <f t="shared" si="123"/>
        <v>NA</v>
      </c>
      <c r="AH226" s="29" t="str">
        <f t="shared" si="124"/>
        <v>NA</v>
      </c>
    </row>
    <row r="227" customHeight="1" spans="1:34">
      <c r="A227" s="12" t="s">
        <v>1043</v>
      </c>
      <c r="F227" s="24">
        <f t="shared" si="106"/>
        <v>0</v>
      </c>
      <c r="G227" s="24" t="e">
        <f t="shared" si="105"/>
        <v>#DIV/0!</v>
      </c>
      <c r="Q227" s="29" t="str">
        <f t="shared" si="107"/>
        <v>NA</v>
      </c>
      <c r="R227" s="29" t="str">
        <f t="shared" si="108"/>
        <v>NA</v>
      </c>
      <c r="S227" s="29" t="str">
        <f t="shared" si="109"/>
        <v>NA</v>
      </c>
      <c r="T227" s="29" t="str">
        <f t="shared" si="110"/>
        <v>NA</v>
      </c>
      <c r="U227" s="29" t="str">
        <f t="shared" si="111"/>
        <v>NA</v>
      </c>
      <c r="V227" s="29" t="str">
        <f t="shared" si="112"/>
        <v>NA</v>
      </c>
      <c r="W227" s="29" t="str">
        <f t="shared" si="113"/>
        <v>NA</v>
      </c>
      <c r="X227" s="29" t="str">
        <f t="shared" si="114"/>
        <v>NA</v>
      </c>
      <c r="Y227" s="29" t="str">
        <f t="shared" si="115"/>
        <v>NA</v>
      </c>
      <c r="Z227" s="29" t="str">
        <f t="shared" si="116"/>
        <v>NA</v>
      </c>
      <c r="AA227" s="29" t="str">
        <f t="shared" si="117"/>
        <v>NA</v>
      </c>
      <c r="AB227" s="29" t="str">
        <f t="shared" si="118"/>
        <v>NA</v>
      </c>
      <c r="AC227" s="29" t="str">
        <f t="shared" si="119"/>
        <v>NA</v>
      </c>
      <c r="AD227" s="29" t="str">
        <f t="shared" si="120"/>
        <v>NA</v>
      </c>
      <c r="AE227" s="29" t="str">
        <f t="shared" si="121"/>
        <v>NA</v>
      </c>
      <c r="AF227" s="29" t="str">
        <f t="shared" si="122"/>
        <v>NA</v>
      </c>
      <c r="AG227" s="29" t="str">
        <f t="shared" si="123"/>
        <v>NA</v>
      </c>
      <c r="AH227" s="29" t="str">
        <f t="shared" si="124"/>
        <v>NA</v>
      </c>
    </row>
    <row r="228" customHeight="1" spans="1:34">
      <c r="A228" s="12" t="s">
        <v>1043</v>
      </c>
      <c r="F228" s="24">
        <f t="shared" si="106"/>
        <v>0</v>
      </c>
      <c r="G228" s="24" t="e">
        <f t="shared" si="105"/>
        <v>#DIV/0!</v>
      </c>
      <c r="Q228" s="29" t="str">
        <f t="shared" si="107"/>
        <v>NA</v>
      </c>
      <c r="R228" s="29" t="str">
        <f t="shared" si="108"/>
        <v>NA</v>
      </c>
      <c r="S228" s="29" t="str">
        <f t="shared" si="109"/>
        <v>NA</v>
      </c>
      <c r="T228" s="29" t="str">
        <f t="shared" si="110"/>
        <v>NA</v>
      </c>
      <c r="U228" s="29" t="str">
        <f t="shared" si="111"/>
        <v>NA</v>
      </c>
      <c r="V228" s="29" t="str">
        <f t="shared" si="112"/>
        <v>NA</v>
      </c>
      <c r="W228" s="29" t="str">
        <f t="shared" si="113"/>
        <v>NA</v>
      </c>
      <c r="X228" s="29" t="str">
        <f t="shared" si="114"/>
        <v>NA</v>
      </c>
      <c r="Y228" s="29" t="str">
        <f t="shared" si="115"/>
        <v>NA</v>
      </c>
      <c r="Z228" s="29" t="str">
        <f t="shared" si="116"/>
        <v>NA</v>
      </c>
      <c r="AA228" s="29" t="str">
        <f t="shared" si="117"/>
        <v>NA</v>
      </c>
      <c r="AB228" s="29" t="str">
        <f t="shared" si="118"/>
        <v>NA</v>
      </c>
      <c r="AC228" s="29" t="str">
        <f t="shared" si="119"/>
        <v>NA</v>
      </c>
      <c r="AD228" s="29" t="str">
        <f t="shared" si="120"/>
        <v>NA</v>
      </c>
      <c r="AE228" s="29" t="str">
        <f t="shared" si="121"/>
        <v>NA</v>
      </c>
      <c r="AF228" s="29" t="str">
        <f t="shared" si="122"/>
        <v>NA</v>
      </c>
      <c r="AG228" s="29" t="str">
        <f t="shared" si="123"/>
        <v>NA</v>
      </c>
      <c r="AH228" s="29" t="str">
        <f t="shared" si="124"/>
        <v>NA</v>
      </c>
    </row>
    <row r="229" customHeight="1" spans="1:34">
      <c r="A229" s="12" t="s">
        <v>1043</v>
      </c>
      <c r="F229" s="24">
        <f t="shared" si="106"/>
        <v>0</v>
      </c>
      <c r="G229" s="24" t="e">
        <f t="shared" si="105"/>
        <v>#DIV/0!</v>
      </c>
      <c r="Q229" s="29" t="str">
        <f t="shared" si="107"/>
        <v>NA</v>
      </c>
      <c r="R229" s="29" t="str">
        <f t="shared" si="108"/>
        <v>NA</v>
      </c>
      <c r="S229" s="29" t="str">
        <f t="shared" si="109"/>
        <v>NA</v>
      </c>
      <c r="T229" s="29" t="str">
        <f t="shared" si="110"/>
        <v>NA</v>
      </c>
      <c r="U229" s="29" t="str">
        <f t="shared" si="111"/>
        <v>NA</v>
      </c>
      <c r="V229" s="29" t="str">
        <f t="shared" si="112"/>
        <v>NA</v>
      </c>
      <c r="W229" s="29" t="str">
        <f t="shared" si="113"/>
        <v>NA</v>
      </c>
      <c r="X229" s="29" t="str">
        <f t="shared" si="114"/>
        <v>NA</v>
      </c>
      <c r="Y229" s="29" t="str">
        <f t="shared" si="115"/>
        <v>NA</v>
      </c>
      <c r="Z229" s="29" t="str">
        <f t="shared" si="116"/>
        <v>NA</v>
      </c>
      <c r="AA229" s="29" t="str">
        <f t="shared" si="117"/>
        <v>NA</v>
      </c>
      <c r="AB229" s="29" t="str">
        <f t="shared" si="118"/>
        <v>NA</v>
      </c>
      <c r="AC229" s="29" t="str">
        <f t="shared" si="119"/>
        <v>NA</v>
      </c>
      <c r="AD229" s="29" t="str">
        <f t="shared" si="120"/>
        <v>NA</v>
      </c>
      <c r="AE229" s="29" t="str">
        <f t="shared" si="121"/>
        <v>NA</v>
      </c>
      <c r="AF229" s="29" t="str">
        <f t="shared" si="122"/>
        <v>NA</v>
      </c>
      <c r="AG229" s="29" t="str">
        <f t="shared" si="123"/>
        <v>NA</v>
      </c>
      <c r="AH229" s="29" t="str">
        <f t="shared" si="124"/>
        <v>NA</v>
      </c>
    </row>
    <row r="230" customHeight="1" spans="1:34">
      <c r="A230" s="12" t="s">
        <v>1043</v>
      </c>
      <c r="F230" s="24">
        <f t="shared" si="106"/>
        <v>0</v>
      </c>
      <c r="G230" s="24" t="e">
        <f t="shared" si="105"/>
        <v>#DIV/0!</v>
      </c>
      <c r="Q230" s="29" t="str">
        <f t="shared" si="107"/>
        <v>NA</v>
      </c>
      <c r="R230" s="29" t="str">
        <f t="shared" si="108"/>
        <v>NA</v>
      </c>
      <c r="S230" s="29" t="str">
        <f t="shared" si="109"/>
        <v>NA</v>
      </c>
      <c r="T230" s="29" t="str">
        <f t="shared" si="110"/>
        <v>NA</v>
      </c>
      <c r="U230" s="29" t="str">
        <f t="shared" si="111"/>
        <v>NA</v>
      </c>
      <c r="V230" s="29" t="str">
        <f t="shared" si="112"/>
        <v>NA</v>
      </c>
      <c r="W230" s="29" t="str">
        <f t="shared" si="113"/>
        <v>NA</v>
      </c>
      <c r="X230" s="29" t="str">
        <f t="shared" si="114"/>
        <v>NA</v>
      </c>
      <c r="Y230" s="29" t="str">
        <f t="shared" si="115"/>
        <v>NA</v>
      </c>
      <c r="Z230" s="29" t="str">
        <f t="shared" si="116"/>
        <v>NA</v>
      </c>
      <c r="AA230" s="29" t="str">
        <f t="shared" si="117"/>
        <v>NA</v>
      </c>
      <c r="AB230" s="29" t="str">
        <f t="shared" si="118"/>
        <v>NA</v>
      </c>
      <c r="AC230" s="29" t="str">
        <f t="shared" si="119"/>
        <v>NA</v>
      </c>
      <c r="AD230" s="29" t="str">
        <f t="shared" si="120"/>
        <v>NA</v>
      </c>
      <c r="AE230" s="29" t="str">
        <f t="shared" si="121"/>
        <v>NA</v>
      </c>
      <c r="AF230" s="29" t="str">
        <f t="shared" si="122"/>
        <v>NA</v>
      </c>
      <c r="AG230" s="29" t="str">
        <f t="shared" si="123"/>
        <v>NA</v>
      </c>
      <c r="AH230" s="29" t="str">
        <f t="shared" si="124"/>
        <v>NA</v>
      </c>
    </row>
    <row r="231" customHeight="1" spans="1:34">
      <c r="A231" s="12" t="s">
        <v>1043</v>
      </c>
      <c r="F231" s="24">
        <f t="shared" si="106"/>
        <v>0</v>
      </c>
      <c r="G231" s="24" t="e">
        <f t="shared" si="105"/>
        <v>#DIV/0!</v>
      </c>
      <c r="Q231" s="29" t="str">
        <f t="shared" si="107"/>
        <v>NA</v>
      </c>
      <c r="R231" s="29" t="str">
        <f t="shared" si="108"/>
        <v>NA</v>
      </c>
      <c r="S231" s="29" t="str">
        <f t="shared" si="109"/>
        <v>NA</v>
      </c>
      <c r="T231" s="29" t="str">
        <f t="shared" si="110"/>
        <v>NA</v>
      </c>
      <c r="U231" s="29" t="str">
        <f t="shared" si="111"/>
        <v>NA</v>
      </c>
      <c r="V231" s="29" t="str">
        <f t="shared" si="112"/>
        <v>NA</v>
      </c>
      <c r="W231" s="29" t="str">
        <f t="shared" si="113"/>
        <v>NA</v>
      </c>
      <c r="X231" s="29" t="str">
        <f t="shared" si="114"/>
        <v>NA</v>
      </c>
      <c r="Y231" s="29" t="str">
        <f t="shared" si="115"/>
        <v>NA</v>
      </c>
      <c r="Z231" s="29" t="str">
        <f t="shared" si="116"/>
        <v>NA</v>
      </c>
      <c r="AA231" s="29" t="str">
        <f t="shared" si="117"/>
        <v>NA</v>
      </c>
      <c r="AB231" s="29" t="str">
        <f t="shared" si="118"/>
        <v>NA</v>
      </c>
      <c r="AC231" s="29" t="str">
        <f t="shared" si="119"/>
        <v>NA</v>
      </c>
      <c r="AD231" s="29" t="str">
        <f t="shared" si="120"/>
        <v>NA</v>
      </c>
      <c r="AE231" s="29" t="str">
        <f t="shared" si="121"/>
        <v>NA</v>
      </c>
      <c r="AF231" s="29" t="str">
        <f t="shared" si="122"/>
        <v>NA</v>
      </c>
      <c r="AG231" s="29" t="str">
        <f t="shared" si="123"/>
        <v>NA</v>
      </c>
      <c r="AH231" s="29" t="str">
        <f t="shared" si="124"/>
        <v>NA</v>
      </c>
    </row>
    <row r="232" customHeight="1" spans="1:34">
      <c r="A232" s="12" t="s">
        <v>1043</v>
      </c>
      <c r="F232" s="24">
        <f t="shared" si="106"/>
        <v>0</v>
      </c>
      <c r="G232" s="24" t="e">
        <f t="shared" si="105"/>
        <v>#DIV/0!</v>
      </c>
      <c r="Q232" s="29" t="str">
        <f t="shared" si="107"/>
        <v>NA</v>
      </c>
      <c r="R232" s="29" t="str">
        <f t="shared" si="108"/>
        <v>NA</v>
      </c>
      <c r="S232" s="29" t="str">
        <f t="shared" si="109"/>
        <v>NA</v>
      </c>
      <c r="T232" s="29" t="str">
        <f t="shared" si="110"/>
        <v>NA</v>
      </c>
      <c r="U232" s="29" t="str">
        <f t="shared" si="111"/>
        <v>NA</v>
      </c>
      <c r="V232" s="29" t="str">
        <f t="shared" si="112"/>
        <v>NA</v>
      </c>
      <c r="W232" s="29" t="str">
        <f t="shared" si="113"/>
        <v>NA</v>
      </c>
      <c r="X232" s="29" t="str">
        <f t="shared" si="114"/>
        <v>NA</v>
      </c>
      <c r="Y232" s="29" t="str">
        <f t="shared" si="115"/>
        <v>NA</v>
      </c>
      <c r="Z232" s="29" t="str">
        <f t="shared" si="116"/>
        <v>NA</v>
      </c>
      <c r="AA232" s="29" t="str">
        <f t="shared" si="117"/>
        <v>NA</v>
      </c>
      <c r="AB232" s="29" t="str">
        <f t="shared" si="118"/>
        <v>NA</v>
      </c>
      <c r="AC232" s="29" t="str">
        <f t="shared" si="119"/>
        <v>NA</v>
      </c>
      <c r="AD232" s="29" t="str">
        <f t="shared" si="120"/>
        <v>NA</v>
      </c>
      <c r="AE232" s="29" t="str">
        <f t="shared" si="121"/>
        <v>NA</v>
      </c>
      <c r="AF232" s="29" t="str">
        <f t="shared" si="122"/>
        <v>NA</v>
      </c>
      <c r="AG232" s="29" t="str">
        <f t="shared" si="123"/>
        <v>NA</v>
      </c>
      <c r="AH232" s="29" t="str">
        <f t="shared" si="124"/>
        <v>NA</v>
      </c>
    </row>
    <row r="233" customHeight="1" spans="1:34">
      <c r="A233" s="12" t="s">
        <v>1043</v>
      </c>
      <c r="F233" s="24">
        <f t="shared" si="106"/>
        <v>0</v>
      </c>
      <c r="G233" s="24" t="e">
        <f t="shared" si="105"/>
        <v>#DIV/0!</v>
      </c>
      <c r="Q233" s="29" t="str">
        <f t="shared" si="107"/>
        <v>NA</v>
      </c>
      <c r="R233" s="29" t="str">
        <f t="shared" si="108"/>
        <v>NA</v>
      </c>
      <c r="S233" s="29" t="str">
        <f t="shared" si="109"/>
        <v>NA</v>
      </c>
      <c r="T233" s="29" t="str">
        <f t="shared" si="110"/>
        <v>NA</v>
      </c>
      <c r="U233" s="29" t="str">
        <f t="shared" si="111"/>
        <v>NA</v>
      </c>
      <c r="V233" s="29" t="str">
        <f t="shared" si="112"/>
        <v>NA</v>
      </c>
      <c r="W233" s="29" t="str">
        <f t="shared" si="113"/>
        <v>NA</v>
      </c>
      <c r="X233" s="29" t="str">
        <f t="shared" si="114"/>
        <v>NA</v>
      </c>
      <c r="Y233" s="29" t="str">
        <f t="shared" si="115"/>
        <v>NA</v>
      </c>
      <c r="Z233" s="29" t="str">
        <f t="shared" si="116"/>
        <v>NA</v>
      </c>
      <c r="AA233" s="29" t="str">
        <f t="shared" si="117"/>
        <v>NA</v>
      </c>
      <c r="AB233" s="29" t="str">
        <f t="shared" si="118"/>
        <v>NA</v>
      </c>
      <c r="AC233" s="29" t="str">
        <f t="shared" si="119"/>
        <v>NA</v>
      </c>
      <c r="AD233" s="29" t="str">
        <f t="shared" si="120"/>
        <v>NA</v>
      </c>
      <c r="AE233" s="29" t="str">
        <f t="shared" si="121"/>
        <v>NA</v>
      </c>
      <c r="AF233" s="29" t="str">
        <f t="shared" si="122"/>
        <v>NA</v>
      </c>
      <c r="AG233" s="29" t="str">
        <f t="shared" si="123"/>
        <v>NA</v>
      </c>
      <c r="AH233" s="29" t="str">
        <f t="shared" si="124"/>
        <v>NA</v>
      </c>
    </row>
    <row r="234" customHeight="1" spans="1:34">
      <c r="A234" s="12" t="s">
        <v>1043</v>
      </c>
      <c r="F234" s="24">
        <f t="shared" si="106"/>
        <v>0</v>
      </c>
      <c r="G234" s="24" t="e">
        <f t="shared" si="105"/>
        <v>#DIV/0!</v>
      </c>
      <c r="Q234" s="29" t="str">
        <f t="shared" si="107"/>
        <v>NA</v>
      </c>
      <c r="R234" s="29" t="str">
        <f t="shared" si="108"/>
        <v>NA</v>
      </c>
      <c r="S234" s="29" t="str">
        <f t="shared" si="109"/>
        <v>NA</v>
      </c>
      <c r="T234" s="29" t="str">
        <f t="shared" si="110"/>
        <v>NA</v>
      </c>
      <c r="U234" s="29" t="str">
        <f t="shared" si="111"/>
        <v>NA</v>
      </c>
      <c r="V234" s="29" t="str">
        <f t="shared" si="112"/>
        <v>NA</v>
      </c>
      <c r="W234" s="29" t="str">
        <f t="shared" si="113"/>
        <v>NA</v>
      </c>
      <c r="X234" s="29" t="str">
        <f t="shared" si="114"/>
        <v>NA</v>
      </c>
      <c r="Y234" s="29" t="str">
        <f t="shared" si="115"/>
        <v>NA</v>
      </c>
      <c r="Z234" s="29" t="str">
        <f t="shared" si="116"/>
        <v>NA</v>
      </c>
      <c r="AA234" s="29" t="str">
        <f t="shared" si="117"/>
        <v>NA</v>
      </c>
      <c r="AB234" s="29" t="str">
        <f t="shared" si="118"/>
        <v>NA</v>
      </c>
      <c r="AC234" s="29" t="str">
        <f t="shared" si="119"/>
        <v>NA</v>
      </c>
      <c r="AD234" s="29" t="str">
        <f t="shared" si="120"/>
        <v>NA</v>
      </c>
      <c r="AE234" s="29" t="str">
        <f t="shared" si="121"/>
        <v>NA</v>
      </c>
      <c r="AF234" s="29" t="str">
        <f t="shared" si="122"/>
        <v>NA</v>
      </c>
      <c r="AG234" s="29" t="str">
        <f t="shared" si="123"/>
        <v>NA</v>
      </c>
      <c r="AH234" s="29" t="str">
        <f t="shared" si="124"/>
        <v>NA</v>
      </c>
    </row>
    <row r="235" customHeight="1" spans="1:34">
      <c r="A235" s="12" t="s">
        <v>1043</v>
      </c>
      <c r="F235" s="24">
        <f t="shared" si="106"/>
        <v>0</v>
      </c>
      <c r="G235" s="24" t="e">
        <f t="shared" si="105"/>
        <v>#DIV/0!</v>
      </c>
      <c r="Q235" s="29" t="str">
        <f t="shared" si="107"/>
        <v>NA</v>
      </c>
      <c r="R235" s="29" t="str">
        <f t="shared" si="108"/>
        <v>NA</v>
      </c>
      <c r="S235" s="29" t="str">
        <f t="shared" si="109"/>
        <v>NA</v>
      </c>
      <c r="T235" s="29" t="str">
        <f t="shared" si="110"/>
        <v>NA</v>
      </c>
      <c r="U235" s="29" t="str">
        <f t="shared" si="111"/>
        <v>NA</v>
      </c>
      <c r="V235" s="29" t="str">
        <f t="shared" si="112"/>
        <v>NA</v>
      </c>
      <c r="W235" s="29" t="str">
        <f t="shared" si="113"/>
        <v>NA</v>
      </c>
      <c r="X235" s="29" t="str">
        <f t="shared" si="114"/>
        <v>NA</v>
      </c>
      <c r="Y235" s="29" t="str">
        <f t="shared" si="115"/>
        <v>NA</v>
      </c>
      <c r="Z235" s="29" t="str">
        <f t="shared" si="116"/>
        <v>NA</v>
      </c>
      <c r="AA235" s="29" t="str">
        <f t="shared" si="117"/>
        <v>NA</v>
      </c>
      <c r="AB235" s="29" t="str">
        <f t="shared" si="118"/>
        <v>NA</v>
      </c>
      <c r="AC235" s="29" t="str">
        <f t="shared" si="119"/>
        <v>NA</v>
      </c>
      <c r="AD235" s="29" t="str">
        <f t="shared" si="120"/>
        <v>NA</v>
      </c>
      <c r="AE235" s="29" t="str">
        <f t="shared" si="121"/>
        <v>NA</v>
      </c>
      <c r="AF235" s="29" t="str">
        <f t="shared" si="122"/>
        <v>NA</v>
      </c>
      <c r="AG235" s="29" t="str">
        <f t="shared" si="123"/>
        <v>NA</v>
      </c>
      <c r="AH235" s="29" t="str">
        <f t="shared" si="124"/>
        <v>NA</v>
      </c>
    </row>
    <row r="236" customHeight="1" spans="1:34">
      <c r="A236" s="12" t="s">
        <v>1043</v>
      </c>
      <c r="F236" s="24">
        <f t="shared" si="106"/>
        <v>0</v>
      </c>
      <c r="G236" s="24" t="e">
        <f t="shared" si="105"/>
        <v>#DIV/0!</v>
      </c>
      <c r="Q236" s="29" t="str">
        <f t="shared" si="107"/>
        <v>NA</v>
      </c>
      <c r="R236" s="29" t="str">
        <f t="shared" si="108"/>
        <v>NA</v>
      </c>
      <c r="S236" s="29" t="str">
        <f t="shared" si="109"/>
        <v>NA</v>
      </c>
      <c r="T236" s="29" t="str">
        <f t="shared" si="110"/>
        <v>NA</v>
      </c>
      <c r="U236" s="29" t="str">
        <f t="shared" si="111"/>
        <v>NA</v>
      </c>
      <c r="V236" s="29" t="str">
        <f t="shared" si="112"/>
        <v>NA</v>
      </c>
      <c r="W236" s="29" t="str">
        <f t="shared" si="113"/>
        <v>NA</v>
      </c>
      <c r="X236" s="29" t="str">
        <f t="shared" si="114"/>
        <v>NA</v>
      </c>
      <c r="Y236" s="29" t="str">
        <f t="shared" si="115"/>
        <v>NA</v>
      </c>
      <c r="Z236" s="29" t="str">
        <f t="shared" si="116"/>
        <v>NA</v>
      </c>
      <c r="AA236" s="29" t="str">
        <f t="shared" si="117"/>
        <v>NA</v>
      </c>
      <c r="AB236" s="29" t="str">
        <f t="shared" si="118"/>
        <v>NA</v>
      </c>
      <c r="AC236" s="29" t="str">
        <f t="shared" si="119"/>
        <v>NA</v>
      </c>
      <c r="AD236" s="29" t="str">
        <f t="shared" si="120"/>
        <v>NA</v>
      </c>
      <c r="AE236" s="29" t="str">
        <f t="shared" si="121"/>
        <v>NA</v>
      </c>
      <c r="AF236" s="29" t="str">
        <f t="shared" si="122"/>
        <v>NA</v>
      </c>
      <c r="AG236" s="29" t="str">
        <f t="shared" si="123"/>
        <v>NA</v>
      </c>
      <c r="AH236" s="29" t="str">
        <f t="shared" si="124"/>
        <v>NA</v>
      </c>
    </row>
    <row r="237" customHeight="1" spans="1:34">
      <c r="A237" s="12" t="s">
        <v>1043</v>
      </c>
      <c r="F237" s="24">
        <f t="shared" si="106"/>
        <v>0</v>
      </c>
      <c r="G237" s="24" t="e">
        <f t="shared" si="105"/>
        <v>#DIV/0!</v>
      </c>
      <c r="Q237" s="29" t="str">
        <f t="shared" si="107"/>
        <v>NA</v>
      </c>
      <c r="R237" s="29" t="str">
        <f t="shared" si="108"/>
        <v>NA</v>
      </c>
      <c r="S237" s="29" t="str">
        <f t="shared" si="109"/>
        <v>NA</v>
      </c>
      <c r="T237" s="29" t="str">
        <f t="shared" si="110"/>
        <v>NA</v>
      </c>
      <c r="U237" s="29" t="str">
        <f t="shared" si="111"/>
        <v>NA</v>
      </c>
      <c r="V237" s="29" t="str">
        <f t="shared" si="112"/>
        <v>NA</v>
      </c>
      <c r="W237" s="29" t="str">
        <f t="shared" si="113"/>
        <v>NA</v>
      </c>
      <c r="X237" s="29" t="str">
        <f t="shared" si="114"/>
        <v>NA</v>
      </c>
      <c r="Y237" s="29" t="str">
        <f t="shared" si="115"/>
        <v>NA</v>
      </c>
      <c r="Z237" s="29" t="str">
        <f t="shared" si="116"/>
        <v>NA</v>
      </c>
      <c r="AA237" s="29" t="str">
        <f t="shared" si="117"/>
        <v>NA</v>
      </c>
      <c r="AB237" s="29" t="str">
        <f t="shared" si="118"/>
        <v>NA</v>
      </c>
      <c r="AC237" s="29" t="str">
        <f t="shared" si="119"/>
        <v>NA</v>
      </c>
      <c r="AD237" s="29" t="str">
        <f t="shared" si="120"/>
        <v>NA</v>
      </c>
      <c r="AE237" s="29" t="str">
        <f t="shared" si="121"/>
        <v>NA</v>
      </c>
      <c r="AF237" s="29" t="str">
        <f t="shared" si="122"/>
        <v>NA</v>
      </c>
      <c r="AG237" s="29" t="str">
        <f t="shared" si="123"/>
        <v>NA</v>
      </c>
      <c r="AH237" s="29" t="str">
        <f t="shared" si="124"/>
        <v>NA</v>
      </c>
    </row>
    <row r="238" customHeight="1" spans="1:34">
      <c r="A238" s="12" t="s">
        <v>1043</v>
      </c>
      <c r="F238" s="24">
        <f t="shared" si="106"/>
        <v>0</v>
      </c>
      <c r="G238" s="24" t="e">
        <f t="shared" si="105"/>
        <v>#DIV/0!</v>
      </c>
      <c r="Q238" s="29" t="str">
        <f t="shared" si="107"/>
        <v>NA</v>
      </c>
      <c r="R238" s="29" t="str">
        <f t="shared" si="108"/>
        <v>NA</v>
      </c>
      <c r="S238" s="29" t="str">
        <f t="shared" si="109"/>
        <v>NA</v>
      </c>
      <c r="T238" s="29" t="str">
        <f t="shared" si="110"/>
        <v>NA</v>
      </c>
      <c r="U238" s="29" t="str">
        <f t="shared" si="111"/>
        <v>NA</v>
      </c>
      <c r="V238" s="29" t="str">
        <f t="shared" si="112"/>
        <v>NA</v>
      </c>
      <c r="W238" s="29" t="str">
        <f t="shared" si="113"/>
        <v>NA</v>
      </c>
      <c r="X238" s="29" t="str">
        <f t="shared" si="114"/>
        <v>NA</v>
      </c>
      <c r="Y238" s="29" t="str">
        <f t="shared" si="115"/>
        <v>NA</v>
      </c>
      <c r="Z238" s="29" t="str">
        <f t="shared" si="116"/>
        <v>NA</v>
      </c>
      <c r="AA238" s="29" t="str">
        <f t="shared" si="117"/>
        <v>NA</v>
      </c>
      <c r="AB238" s="29" t="str">
        <f t="shared" si="118"/>
        <v>NA</v>
      </c>
      <c r="AC238" s="29" t="str">
        <f t="shared" si="119"/>
        <v>NA</v>
      </c>
      <c r="AD238" s="29" t="str">
        <f t="shared" si="120"/>
        <v>NA</v>
      </c>
      <c r="AE238" s="29" t="str">
        <f t="shared" si="121"/>
        <v>NA</v>
      </c>
      <c r="AF238" s="29" t="str">
        <f t="shared" si="122"/>
        <v>NA</v>
      </c>
      <c r="AG238" s="29" t="str">
        <f t="shared" si="123"/>
        <v>NA</v>
      </c>
      <c r="AH238" s="29" t="str">
        <f t="shared" si="124"/>
        <v>NA</v>
      </c>
    </row>
    <row r="239" customHeight="1" spans="1:34">
      <c r="A239" s="12" t="s">
        <v>1043</v>
      </c>
      <c r="F239" s="24">
        <f t="shared" si="106"/>
        <v>0</v>
      </c>
      <c r="G239" s="24" t="e">
        <f t="shared" si="105"/>
        <v>#DIV/0!</v>
      </c>
      <c r="Q239" s="29" t="str">
        <f t="shared" si="107"/>
        <v>NA</v>
      </c>
      <c r="R239" s="29" t="str">
        <f t="shared" si="108"/>
        <v>NA</v>
      </c>
      <c r="S239" s="29" t="str">
        <f t="shared" si="109"/>
        <v>NA</v>
      </c>
      <c r="T239" s="29" t="str">
        <f t="shared" si="110"/>
        <v>NA</v>
      </c>
      <c r="U239" s="29" t="str">
        <f t="shared" si="111"/>
        <v>NA</v>
      </c>
      <c r="V239" s="29" t="str">
        <f t="shared" si="112"/>
        <v>NA</v>
      </c>
      <c r="W239" s="29" t="str">
        <f t="shared" si="113"/>
        <v>NA</v>
      </c>
      <c r="X239" s="29" t="str">
        <f t="shared" si="114"/>
        <v>NA</v>
      </c>
      <c r="Y239" s="29" t="str">
        <f t="shared" si="115"/>
        <v>NA</v>
      </c>
      <c r="Z239" s="29" t="str">
        <f t="shared" si="116"/>
        <v>NA</v>
      </c>
      <c r="AA239" s="29" t="str">
        <f t="shared" si="117"/>
        <v>NA</v>
      </c>
      <c r="AB239" s="29" t="str">
        <f t="shared" si="118"/>
        <v>NA</v>
      </c>
      <c r="AC239" s="29" t="str">
        <f t="shared" si="119"/>
        <v>NA</v>
      </c>
      <c r="AD239" s="29" t="str">
        <f t="shared" si="120"/>
        <v>NA</v>
      </c>
      <c r="AE239" s="29" t="str">
        <f t="shared" si="121"/>
        <v>NA</v>
      </c>
      <c r="AF239" s="29" t="str">
        <f t="shared" si="122"/>
        <v>NA</v>
      </c>
      <c r="AG239" s="29" t="str">
        <f t="shared" si="123"/>
        <v>NA</v>
      </c>
      <c r="AH239" s="29" t="str">
        <f t="shared" si="124"/>
        <v>NA</v>
      </c>
    </row>
    <row r="240" customHeight="1" spans="1:34">
      <c r="A240" s="12" t="s">
        <v>1043</v>
      </c>
      <c r="F240" s="24">
        <f t="shared" si="106"/>
        <v>0</v>
      </c>
      <c r="G240" s="24" t="e">
        <f t="shared" si="105"/>
        <v>#DIV/0!</v>
      </c>
      <c r="Q240" s="29" t="str">
        <f t="shared" si="107"/>
        <v>NA</v>
      </c>
      <c r="R240" s="29" t="str">
        <f t="shared" si="108"/>
        <v>NA</v>
      </c>
      <c r="S240" s="29" t="str">
        <f t="shared" si="109"/>
        <v>NA</v>
      </c>
      <c r="T240" s="29" t="str">
        <f t="shared" si="110"/>
        <v>NA</v>
      </c>
      <c r="U240" s="29" t="str">
        <f t="shared" si="111"/>
        <v>NA</v>
      </c>
      <c r="V240" s="29" t="str">
        <f t="shared" si="112"/>
        <v>NA</v>
      </c>
      <c r="W240" s="29" t="str">
        <f t="shared" si="113"/>
        <v>NA</v>
      </c>
      <c r="X240" s="29" t="str">
        <f t="shared" si="114"/>
        <v>NA</v>
      </c>
      <c r="Y240" s="29" t="str">
        <f t="shared" si="115"/>
        <v>NA</v>
      </c>
      <c r="Z240" s="29" t="str">
        <f t="shared" si="116"/>
        <v>NA</v>
      </c>
      <c r="AA240" s="29" t="str">
        <f t="shared" si="117"/>
        <v>NA</v>
      </c>
      <c r="AB240" s="29" t="str">
        <f t="shared" si="118"/>
        <v>NA</v>
      </c>
      <c r="AC240" s="29" t="str">
        <f t="shared" si="119"/>
        <v>NA</v>
      </c>
      <c r="AD240" s="29" t="str">
        <f t="shared" si="120"/>
        <v>NA</v>
      </c>
      <c r="AE240" s="29" t="str">
        <f t="shared" si="121"/>
        <v>NA</v>
      </c>
      <c r="AF240" s="29" t="str">
        <f t="shared" si="122"/>
        <v>NA</v>
      </c>
      <c r="AG240" s="29" t="str">
        <f t="shared" si="123"/>
        <v>NA</v>
      </c>
      <c r="AH240" s="29" t="str">
        <f t="shared" si="124"/>
        <v>NA</v>
      </c>
    </row>
    <row r="241" customHeight="1" spans="1:34">
      <c r="A241" s="12" t="s">
        <v>1043</v>
      </c>
      <c r="F241" s="24">
        <f t="shared" si="106"/>
        <v>0</v>
      </c>
      <c r="G241" s="24" t="e">
        <f t="shared" si="105"/>
        <v>#DIV/0!</v>
      </c>
      <c r="Q241" s="29" t="str">
        <f t="shared" si="107"/>
        <v>NA</v>
      </c>
      <c r="R241" s="29" t="str">
        <f t="shared" si="108"/>
        <v>NA</v>
      </c>
      <c r="S241" s="29" t="str">
        <f t="shared" si="109"/>
        <v>NA</v>
      </c>
      <c r="T241" s="29" t="str">
        <f t="shared" si="110"/>
        <v>NA</v>
      </c>
      <c r="U241" s="29" t="str">
        <f t="shared" si="111"/>
        <v>NA</v>
      </c>
      <c r="V241" s="29" t="str">
        <f t="shared" si="112"/>
        <v>NA</v>
      </c>
      <c r="W241" s="29" t="str">
        <f t="shared" si="113"/>
        <v>NA</v>
      </c>
      <c r="X241" s="29" t="str">
        <f t="shared" si="114"/>
        <v>NA</v>
      </c>
      <c r="Y241" s="29" t="str">
        <f t="shared" si="115"/>
        <v>NA</v>
      </c>
      <c r="Z241" s="29" t="str">
        <f t="shared" si="116"/>
        <v>NA</v>
      </c>
      <c r="AA241" s="29" t="str">
        <f t="shared" si="117"/>
        <v>NA</v>
      </c>
      <c r="AB241" s="29" t="str">
        <f t="shared" si="118"/>
        <v>NA</v>
      </c>
      <c r="AC241" s="29" t="str">
        <f t="shared" si="119"/>
        <v>NA</v>
      </c>
      <c r="AD241" s="29" t="str">
        <f t="shared" si="120"/>
        <v>NA</v>
      </c>
      <c r="AE241" s="29" t="str">
        <f t="shared" si="121"/>
        <v>NA</v>
      </c>
      <c r="AF241" s="29" t="str">
        <f t="shared" si="122"/>
        <v>NA</v>
      </c>
      <c r="AG241" s="29" t="str">
        <f t="shared" si="123"/>
        <v>NA</v>
      </c>
      <c r="AH241" s="29" t="str">
        <f t="shared" si="124"/>
        <v>NA</v>
      </c>
    </row>
    <row r="242" customHeight="1" spans="1:34">
      <c r="A242" s="12" t="s">
        <v>1043</v>
      </c>
      <c r="F242" s="24">
        <f t="shared" si="106"/>
        <v>0</v>
      </c>
      <c r="G242" s="24" t="e">
        <f t="shared" si="105"/>
        <v>#DIV/0!</v>
      </c>
      <c r="Q242" s="29" t="str">
        <f t="shared" si="107"/>
        <v>NA</v>
      </c>
      <c r="R242" s="29" t="str">
        <f t="shared" si="108"/>
        <v>NA</v>
      </c>
      <c r="S242" s="29" t="str">
        <f t="shared" si="109"/>
        <v>NA</v>
      </c>
      <c r="T242" s="29" t="str">
        <f t="shared" si="110"/>
        <v>NA</v>
      </c>
      <c r="U242" s="29" t="str">
        <f t="shared" si="111"/>
        <v>NA</v>
      </c>
      <c r="V242" s="29" t="str">
        <f t="shared" si="112"/>
        <v>NA</v>
      </c>
      <c r="W242" s="29" t="str">
        <f t="shared" si="113"/>
        <v>NA</v>
      </c>
      <c r="X242" s="29" t="str">
        <f t="shared" si="114"/>
        <v>NA</v>
      </c>
      <c r="Y242" s="29" t="str">
        <f t="shared" si="115"/>
        <v>NA</v>
      </c>
      <c r="Z242" s="29" t="str">
        <f t="shared" si="116"/>
        <v>NA</v>
      </c>
      <c r="AA242" s="29" t="str">
        <f t="shared" si="117"/>
        <v>NA</v>
      </c>
      <c r="AB242" s="29" t="str">
        <f t="shared" si="118"/>
        <v>NA</v>
      </c>
      <c r="AC242" s="29" t="str">
        <f t="shared" si="119"/>
        <v>NA</v>
      </c>
      <c r="AD242" s="29" t="str">
        <f t="shared" si="120"/>
        <v>NA</v>
      </c>
      <c r="AE242" s="29" t="str">
        <f t="shared" si="121"/>
        <v>NA</v>
      </c>
      <c r="AF242" s="29" t="str">
        <f t="shared" si="122"/>
        <v>NA</v>
      </c>
      <c r="AG242" s="29" t="str">
        <f t="shared" si="123"/>
        <v>NA</v>
      </c>
      <c r="AH242" s="29" t="str">
        <f t="shared" si="124"/>
        <v>NA</v>
      </c>
    </row>
    <row r="243" customHeight="1" spans="1:34">
      <c r="A243" s="12" t="s">
        <v>1043</v>
      </c>
      <c r="F243" s="24">
        <f t="shared" si="106"/>
        <v>0</v>
      </c>
      <c r="G243" s="24" t="e">
        <f t="shared" si="105"/>
        <v>#DIV/0!</v>
      </c>
      <c r="Q243" s="29" t="str">
        <f t="shared" si="107"/>
        <v>NA</v>
      </c>
      <c r="R243" s="29" t="str">
        <f t="shared" si="108"/>
        <v>NA</v>
      </c>
      <c r="S243" s="29" t="str">
        <f t="shared" si="109"/>
        <v>NA</v>
      </c>
      <c r="T243" s="29" t="str">
        <f t="shared" si="110"/>
        <v>NA</v>
      </c>
      <c r="U243" s="29" t="str">
        <f t="shared" si="111"/>
        <v>NA</v>
      </c>
      <c r="V243" s="29" t="str">
        <f t="shared" si="112"/>
        <v>NA</v>
      </c>
      <c r="W243" s="29" t="str">
        <f t="shared" si="113"/>
        <v>NA</v>
      </c>
      <c r="X243" s="29" t="str">
        <f t="shared" si="114"/>
        <v>NA</v>
      </c>
      <c r="Y243" s="29" t="str">
        <f t="shared" si="115"/>
        <v>NA</v>
      </c>
      <c r="Z243" s="29" t="str">
        <f t="shared" si="116"/>
        <v>NA</v>
      </c>
      <c r="AA243" s="29" t="str">
        <f t="shared" si="117"/>
        <v>NA</v>
      </c>
      <c r="AB243" s="29" t="str">
        <f t="shared" si="118"/>
        <v>NA</v>
      </c>
      <c r="AC243" s="29" t="str">
        <f t="shared" si="119"/>
        <v>NA</v>
      </c>
      <c r="AD243" s="29" t="str">
        <f t="shared" si="120"/>
        <v>NA</v>
      </c>
      <c r="AE243" s="29" t="str">
        <f t="shared" si="121"/>
        <v>NA</v>
      </c>
      <c r="AF243" s="29" t="str">
        <f t="shared" si="122"/>
        <v>NA</v>
      </c>
      <c r="AG243" s="29" t="str">
        <f t="shared" si="123"/>
        <v>NA</v>
      </c>
      <c r="AH243" s="29" t="str">
        <f t="shared" si="124"/>
        <v>NA</v>
      </c>
    </row>
    <row r="244" customHeight="1" spans="1:34">
      <c r="A244" s="12" t="s">
        <v>1043</v>
      </c>
      <c r="F244" s="24">
        <f t="shared" si="106"/>
        <v>0</v>
      </c>
      <c r="G244" s="24" t="e">
        <f t="shared" si="105"/>
        <v>#DIV/0!</v>
      </c>
      <c r="Q244" s="29" t="str">
        <f t="shared" si="107"/>
        <v>NA</v>
      </c>
      <c r="R244" s="29" t="str">
        <f t="shared" si="108"/>
        <v>NA</v>
      </c>
      <c r="S244" s="29" t="str">
        <f t="shared" si="109"/>
        <v>NA</v>
      </c>
      <c r="T244" s="29" t="str">
        <f t="shared" si="110"/>
        <v>NA</v>
      </c>
      <c r="U244" s="29" t="str">
        <f t="shared" si="111"/>
        <v>NA</v>
      </c>
      <c r="V244" s="29" t="str">
        <f t="shared" si="112"/>
        <v>NA</v>
      </c>
      <c r="W244" s="29" t="str">
        <f t="shared" si="113"/>
        <v>NA</v>
      </c>
      <c r="X244" s="29" t="str">
        <f t="shared" si="114"/>
        <v>NA</v>
      </c>
      <c r="Y244" s="29" t="str">
        <f t="shared" si="115"/>
        <v>NA</v>
      </c>
      <c r="Z244" s="29" t="str">
        <f t="shared" si="116"/>
        <v>NA</v>
      </c>
      <c r="AA244" s="29" t="str">
        <f t="shared" si="117"/>
        <v>NA</v>
      </c>
      <c r="AB244" s="29" t="str">
        <f t="shared" si="118"/>
        <v>NA</v>
      </c>
      <c r="AC244" s="29" t="str">
        <f t="shared" si="119"/>
        <v>NA</v>
      </c>
      <c r="AD244" s="29" t="str">
        <f t="shared" si="120"/>
        <v>NA</v>
      </c>
      <c r="AE244" s="29" t="str">
        <f t="shared" si="121"/>
        <v>NA</v>
      </c>
      <c r="AF244" s="29" t="str">
        <f t="shared" si="122"/>
        <v>NA</v>
      </c>
      <c r="AG244" s="29" t="str">
        <f t="shared" si="123"/>
        <v>NA</v>
      </c>
      <c r="AH244" s="29" t="str">
        <f t="shared" si="124"/>
        <v>NA</v>
      </c>
    </row>
    <row r="245" customHeight="1" spans="1:34">
      <c r="A245" s="12" t="s">
        <v>1043</v>
      </c>
      <c r="F245" s="24">
        <f t="shared" si="106"/>
        <v>0</v>
      </c>
      <c r="G245" s="24" t="e">
        <f t="shared" si="105"/>
        <v>#DIV/0!</v>
      </c>
      <c r="Q245" s="29" t="str">
        <f t="shared" si="107"/>
        <v>NA</v>
      </c>
      <c r="R245" s="29" t="str">
        <f t="shared" si="108"/>
        <v>NA</v>
      </c>
      <c r="S245" s="29" t="str">
        <f t="shared" si="109"/>
        <v>NA</v>
      </c>
      <c r="T245" s="29" t="str">
        <f t="shared" si="110"/>
        <v>NA</v>
      </c>
      <c r="U245" s="29" t="str">
        <f t="shared" si="111"/>
        <v>NA</v>
      </c>
      <c r="V245" s="29" t="str">
        <f t="shared" si="112"/>
        <v>NA</v>
      </c>
      <c r="W245" s="29" t="str">
        <f t="shared" si="113"/>
        <v>NA</v>
      </c>
      <c r="X245" s="29" t="str">
        <f t="shared" si="114"/>
        <v>NA</v>
      </c>
      <c r="Y245" s="29" t="str">
        <f t="shared" si="115"/>
        <v>NA</v>
      </c>
      <c r="Z245" s="29" t="str">
        <f t="shared" si="116"/>
        <v>NA</v>
      </c>
      <c r="AA245" s="29" t="str">
        <f t="shared" si="117"/>
        <v>NA</v>
      </c>
      <c r="AB245" s="29" t="str">
        <f t="shared" si="118"/>
        <v>NA</v>
      </c>
      <c r="AC245" s="29" t="str">
        <f t="shared" si="119"/>
        <v>NA</v>
      </c>
      <c r="AD245" s="29" t="str">
        <f t="shared" si="120"/>
        <v>NA</v>
      </c>
      <c r="AE245" s="29" t="str">
        <f t="shared" si="121"/>
        <v>NA</v>
      </c>
      <c r="AF245" s="29" t="str">
        <f t="shared" si="122"/>
        <v>NA</v>
      </c>
      <c r="AG245" s="29" t="str">
        <f t="shared" si="123"/>
        <v>NA</v>
      </c>
      <c r="AH245" s="29" t="str">
        <f t="shared" si="124"/>
        <v>NA</v>
      </c>
    </row>
    <row r="246" customHeight="1" spans="1:34">
      <c r="A246" s="12" t="s">
        <v>1043</v>
      </c>
      <c r="F246" s="24">
        <f t="shared" si="106"/>
        <v>0</v>
      </c>
      <c r="G246" s="24" t="e">
        <f t="shared" si="105"/>
        <v>#DIV/0!</v>
      </c>
      <c r="Q246" s="29" t="str">
        <f t="shared" si="107"/>
        <v>NA</v>
      </c>
      <c r="R246" s="29" t="str">
        <f t="shared" si="108"/>
        <v>NA</v>
      </c>
      <c r="S246" s="29" t="str">
        <f t="shared" si="109"/>
        <v>NA</v>
      </c>
      <c r="T246" s="29" t="str">
        <f t="shared" si="110"/>
        <v>NA</v>
      </c>
      <c r="U246" s="29" t="str">
        <f t="shared" si="111"/>
        <v>NA</v>
      </c>
      <c r="V246" s="29" t="str">
        <f t="shared" si="112"/>
        <v>NA</v>
      </c>
      <c r="W246" s="29" t="str">
        <f t="shared" si="113"/>
        <v>NA</v>
      </c>
      <c r="X246" s="29" t="str">
        <f t="shared" si="114"/>
        <v>NA</v>
      </c>
      <c r="Y246" s="29" t="str">
        <f t="shared" si="115"/>
        <v>NA</v>
      </c>
      <c r="Z246" s="29" t="str">
        <f t="shared" si="116"/>
        <v>NA</v>
      </c>
      <c r="AA246" s="29" t="str">
        <f t="shared" si="117"/>
        <v>NA</v>
      </c>
      <c r="AB246" s="29" t="str">
        <f t="shared" si="118"/>
        <v>NA</v>
      </c>
      <c r="AC246" s="29" t="str">
        <f t="shared" si="119"/>
        <v>NA</v>
      </c>
      <c r="AD246" s="29" t="str">
        <f t="shared" si="120"/>
        <v>NA</v>
      </c>
      <c r="AE246" s="29" t="str">
        <f t="shared" si="121"/>
        <v>NA</v>
      </c>
      <c r="AF246" s="29" t="str">
        <f t="shared" si="122"/>
        <v>NA</v>
      </c>
      <c r="AG246" s="29" t="str">
        <f t="shared" si="123"/>
        <v>NA</v>
      </c>
      <c r="AH246" s="29" t="str">
        <f t="shared" si="124"/>
        <v>NA</v>
      </c>
    </row>
    <row r="247" customHeight="1" spans="1:34">
      <c r="A247" s="12" t="s">
        <v>1043</v>
      </c>
      <c r="F247" s="24">
        <f t="shared" si="106"/>
        <v>0</v>
      </c>
      <c r="G247" s="24" t="e">
        <f t="shared" si="105"/>
        <v>#DIV/0!</v>
      </c>
      <c r="Q247" s="29" t="str">
        <f t="shared" si="107"/>
        <v>NA</v>
      </c>
      <c r="R247" s="29" t="str">
        <f t="shared" si="108"/>
        <v>NA</v>
      </c>
      <c r="S247" s="29" t="str">
        <f t="shared" si="109"/>
        <v>NA</v>
      </c>
      <c r="T247" s="29" t="str">
        <f t="shared" si="110"/>
        <v>NA</v>
      </c>
      <c r="U247" s="29" t="str">
        <f t="shared" si="111"/>
        <v>NA</v>
      </c>
      <c r="V247" s="29" t="str">
        <f t="shared" si="112"/>
        <v>NA</v>
      </c>
      <c r="W247" s="29" t="str">
        <f t="shared" si="113"/>
        <v>NA</v>
      </c>
      <c r="X247" s="29" t="str">
        <f t="shared" si="114"/>
        <v>NA</v>
      </c>
      <c r="Y247" s="29" t="str">
        <f t="shared" si="115"/>
        <v>NA</v>
      </c>
      <c r="Z247" s="29" t="str">
        <f t="shared" si="116"/>
        <v>NA</v>
      </c>
      <c r="AA247" s="29" t="str">
        <f t="shared" si="117"/>
        <v>NA</v>
      </c>
      <c r="AB247" s="29" t="str">
        <f t="shared" si="118"/>
        <v>NA</v>
      </c>
      <c r="AC247" s="29" t="str">
        <f t="shared" si="119"/>
        <v>NA</v>
      </c>
      <c r="AD247" s="29" t="str">
        <f t="shared" si="120"/>
        <v>NA</v>
      </c>
      <c r="AE247" s="29" t="str">
        <f t="shared" si="121"/>
        <v>NA</v>
      </c>
      <c r="AF247" s="29" t="str">
        <f t="shared" si="122"/>
        <v>NA</v>
      </c>
      <c r="AG247" s="29" t="str">
        <f t="shared" si="123"/>
        <v>NA</v>
      </c>
      <c r="AH247" s="29" t="str">
        <f t="shared" si="124"/>
        <v>NA</v>
      </c>
    </row>
    <row r="248" customHeight="1" spans="1:34">
      <c r="A248" s="12" t="s">
        <v>1043</v>
      </c>
      <c r="F248" s="24">
        <f t="shared" si="106"/>
        <v>0</v>
      </c>
      <c r="G248" s="24" t="e">
        <f t="shared" si="105"/>
        <v>#DIV/0!</v>
      </c>
      <c r="Q248" s="29" t="str">
        <f t="shared" si="107"/>
        <v>NA</v>
      </c>
      <c r="R248" s="29" t="str">
        <f t="shared" si="108"/>
        <v>NA</v>
      </c>
      <c r="S248" s="29" t="str">
        <f t="shared" si="109"/>
        <v>NA</v>
      </c>
      <c r="T248" s="29" t="str">
        <f t="shared" si="110"/>
        <v>NA</v>
      </c>
      <c r="U248" s="29" t="str">
        <f t="shared" si="111"/>
        <v>NA</v>
      </c>
      <c r="V248" s="29" t="str">
        <f t="shared" si="112"/>
        <v>NA</v>
      </c>
      <c r="W248" s="29" t="str">
        <f t="shared" si="113"/>
        <v>NA</v>
      </c>
      <c r="X248" s="29" t="str">
        <f t="shared" si="114"/>
        <v>NA</v>
      </c>
      <c r="Y248" s="29" t="str">
        <f t="shared" si="115"/>
        <v>NA</v>
      </c>
      <c r="Z248" s="29" t="str">
        <f t="shared" si="116"/>
        <v>NA</v>
      </c>
      <c r="AA248" s="29" t="str">
        <f t="shared" si="117"/>
        <v>NA</v>
      </c>
      <c r="AB248" s="29" t="str">
        <f t="shared" si="118"/>
        <v>NA</v>
      </c>
      <c r="AC248" s="29" t="str">
        <f t="shared" si="119"/>
        <v>NA</v>
      </c>
      <c r="AD248" s="29" t="str">
        <f t="shared" si="120"/>
        <v>NA</v>
      </c>
      <c r="AE248" s="29" t="str">
        <f t="shared" si="121"/>
        <v>NA</v>
      </c>
      <c r="AF248" s="29" t="str">
        <f t="shared" si="122"/>
        <v>NA</v>
      </c>
      <c r="AG248" s="29" t="str">
        <f t="shared" si="123"/>
        <v>NA</v>
      </c>
      <c r="AH248" s="29" t="str">
        <f t="shared" si="124"/>
        <v>NA</v>
      </c>
    </row>
    <row r="249" customHeight="1" spans="1:34">
      <c r="A249" s="12" t="s">
        <v>1043</v>
      </c>
      <c r="F249" s="24">
        <f t="shared" si="106"/>
        <v>0</v>
      </c>
      <c r="G249" s="24" t="e">
        <f t="shared" si="105"/>
        <v>#DIV/0!</v>
      </c>
      <c r="Q249" s="29" t="str">
        <f t="shared" si="107"/>
        <v>NA</v>
      </c>
      <c r="R249" s="29" t="str">
        <f t="shared" si="108"/>
        <v>NA</v>
      </c>
      <c r="S249" s="29" t="str">
        <f t="shared" si="109"/>
        <v>NA</v>
      </c>
      <c r="T249" s="29" t="str">
        <f t="shared" si="110"/>
        <v>NA</v>
      </c>
      <c r="U249" s="29" t="str">
        <f t="shared" si="111"/>
        <v>NA</v>
      </c>
      <c r="V249" s="29" t="str">
        <f t="shared" si="112"/>
        <v>NA</v>
      </c>
      <c r="W249" s="29" t="str">
        <f t="shared" si="113"/>
        <v>NA</v>
      </c>
      <c r="X249" s="29" t="str">
        <f t="shared" si="114"/>
        <v>NA</v>
      </c>
      <c r="Y249" s="29" t="str">
        <f t="shared" si="115"/>
        <v>NA</v>
      </c>
      <c r="Z249" s="29" t="str">
        <f t="shared" si="116"/>
        <v>NA</v>
      </c>
      <c r="AA249" s="29" t="str">
        <f t="shared" si="117"/>
        <v>NA</v>
      </c>
      <c r="AB249" s="29" t="str">
        <f t="shared" si="118"/>
        <v>NA</v>
      </c>
      <c r="AC249" s="29" t="str">
        <f t="shared" si="119"/>
        <v>NA</v>
      </c>
      <c r="AD249" s="29" t="str">
        <f t="shared" si="120"/>
        <v>NA</v>
      </c>
      <c r="AE249" s="29" t="str">
        <f t="shared" si="121"/>
        <v>NA</v>
      </c>
      <c r="AF249" s="29" t="str">
        <f t="shared" si="122"/>
        <v>NA</v>
      </c>
      <c r="AG249" s="29" t="str">
        <f t="shared" si="123"/>
        <v>NA</v>
      </c>
      <c r="AH249" s="29" t="str">
        <f t="shared" si="124"/>
        <v>NA</v>
      </c>
    </row>
    <row r="250" customHeight="1" spans="1:34">
      <c r="A250" s="12" t="s">
        <v>1043</v>
      </c>
      <c r="F250" s="24">
        <f t="shared" si="106"/>
        <v>0</v>
      </c>
      <c r="G250" s="24" t="e">
        <f t="shared" si="105"/>
        <v>#DIV/0!</v>
      </c>
      <c r="Q250" s="29" t="str">
        <f t="shared" si="107"/>
        <v>NA</v>
      </c>
      <c r="R250" s="29" t="str">
        <f t="shared" si="108"/>
        <v>NA</v>
      </c>
      <c r="S250" s="29" t="str">
        <f t="shared" si="109"/>
        <v>NA</v>
      </c>
      <c r="T250" s="29" t="str">
        <f t="shared" si="110"/>
        <v>NA</v>
      </c>
      <c r="U250" s="29" t="str">
        <f t="shared" si="111"/>
        <v>NA</v>
      </c>
      <c r="V250" s="29" t="str">
        <f t="shared" si="112"/>
        <v>NA</v>
      </c>
      <c r="W250" s="29" t="str">
        <f t="shared" si="113"/>
        <v>NA</v>
      </c>
      <c r="X250" s="29" t="str">
        <f t="shared" si="114"/>
        <v>NA</v>
      </c>
      <c r="Y250" s="29" t="str">
        <f t="shared" si="115"/>
        <v>NA</v>
      </c>
      <c r="Z250" s="29" t="str">
        <f t="shared" si="116"/>
        <v>NA</v>
      </c>
      <c r="AA250" s="29" t="str">
        <f t="shared" si="117"/>
        <v>NA</v>
      </c>
      <c r="AB250" s="29" t="str">
        <f t="shared" si="118"/>
        <v>NA</v>
      </c>
      <c r="AC250" s="29" t="str">
        <f t="shared" si="119"/>
        <v>NA</v>
      </c>
      <c r="AD250" s="29" t="str">
        <f t="shared" si="120"/>
        <v>NA</v>
      </c>
      <c r="AE250" s="29" t="str">
        <f t="shared" si="121"/>
        <v>NA</v>
      </c>
      <c r="AF250" s="29" t="str">
        <f t="shared" si="122"/>
        <v>NA</v>
      </c>
      <c r="AG250" s="29" t="str">
        <f t="shared" si="123"/>
        <v>NA</v>
      </c>
      <c r="AH250" s="29" t="str">
        <f t="shared" si="124"/>
        <v>NA</v>
      </c>
    </row>
    <row r="251" customHeight="1" spans="1:34">
      <c r="A251" s="12" t="s">
        <v>1043</v>
      </c>
      <c r="F251" s="24">
        <f t="shared" si="106"/>
        <v>0</v>
      </c>
      <c r="G251" s="24" t="e">
        <f t="shared" si="105"/>
        <v>#DIV/0!</v>
      </c>
      <c r="Q251" s="29" t="str">
        <f t="shared" si="107"/>
        <v>NA</v>
      </c>
      <c r="R251" s="29" t="str">
        <f t="shared" si="108"/>
        <v>NA</v>
      </c>
      <c r="S251" s="29" t="str">
        <f t="shared" si="109"/>
        <v>NA</v>
      </c>
      <c r="T251" s="29" t="str">
        <f t="shared" si="110"/>
        <v>NA</v>
      </c>
      <c r="U251" s="29" t="str">
        <f t="shared" si="111"/>
        <v>NA</v>
      </c>
      <c r="V251" s="29" t="str">
        <f t="shared" si="112"/>
        <v>NA</v>
      </c>
      <c r="W251" s="29" t="str">
        <f t="shared" si="113"/>
        <v>NA</v>
      </c>
      <c r="X251" s="29" t="str">
        <f t="shared" si="114"/>
        <v>NA</v>
      </c>
      <c r="Y251" s="29" t="str">
        <f t="shared" si="115"/>
        <v>NA</v>
      </c>
      <c r="Z251" s="29" t="str">
        <f t="shared" si="116"/>
        <v>NA</v>
      </c>
      <c r="AA251" s="29" t="str">
        <f t="shared" si="117"/>
        <v>NA</v>
      </c>
      <c r="AB251" s="29" t="str">
        <f t="shared" si="118"/>
        <v>NA</v>
      </c>
      <c r="AC251" s="29" t="str">
        <f t="shared" si="119"/>
        <v>NA</v>
      </c>
      <c r="AD251" s="29" t="str">
        <f t="shared" si="120"/>
        <v>NA</v>
      </c>
      <c r="AE251" s="29" t="str">
        <f t="shared" si="121"/>
        <v>NA</v>
      </c>
      <c r="AF251" s="29" t="str">
        <f t="shared" si="122"/>
        <v>NA</v>
      </c>
      <c r="AG251" s="29" t="str">
        <f t="shared" si="123"/>
        <v>NA</v>
      </c>
      <c r="AH251" s="29" t="str">
        <f t="shared" si="124"/>
        <v>NA</v>
      </c>
    </row>
    <row r="252" customHeight="1" spans="1:34">
      <c r="A252" s="12" t="s">
        <v>1043</v>
      </c>
      <c r="F252" s="24">
        <f t="shared" si="106"/>
        <v>0</v>
      </c>
      <c r="G252" s="24" t="e">
        <f t="shared" si="105"/>
        <v>#DIV/0!</v>
      </c>
      <c r="Q252" s="29" t="str">
        <f t="shared" si="107"/>
        <v>NA</v>
      </c>
      <c r="R252" s="29" t="str">
        <f t="shared" si="108"/>
        <v>NA</v>
      </c>
      <c r="S252" s="29" t="str">
        <f t="shared" si="109"/>
        <v>NA</v>
      </c>
      <c r="T252" s="29" t="str">
        <f t="shared" si="110"/>
        <v>NA</v>
      </c>
      <c r="U252" s="29" t="str">
        <f t="shared" si="111"/>
        <v>NA</v>
      </c>
      <c r="V252" s="29" t="str">
        <f t="shared" si="112"/>
        <v>NA</v>
      </c>
      <c r="W252" s="29" t="str">
        <f t="shared" si="113"/>
        <v>NA</v>
      </c>
      <c r="X252" s="29" t="str">
        <f t="shared" si="114"/>
        <v>NA</v>
      </c>
      <c r="Y252" s="29" t="str">
        <f t="shared" si="115"/>
        <v>NA</v>
      </c>
      <c r="Z252" s="29" t="str">
        <f t="shared" si="116"/>
        <v>NA</v>
      </c>
      <c r="AA252" s="29" t="str">
        <f t="shared" si="117"/>
        <v>NA</v>
      </c>
      <c r="AB252" s="29" t="str">
        <f t="shared" si="118"/>
        <v>NA</v>
      </c>
      <c r="AC252" s="29" t="str">
        <f t="shared" si="119"/>
        <v>NA</v>
      </c>
      <c r="AD252" s="29" t="str">
        <f t="shared" si="120"/>
        <v>NA</v>
      </c>
      <c r="AE252" s="29" t="str">
        <f t="shared" si="121"/>
        <v>NA</v>
      </c>
      <c r="AF252" s="29" t="str">
        <f t="shared" si="122"/>
        <v>NA</v>
      </c>
      <c r="AG252" s="29" t="str">
        <f t="shared" si="123"/>
        <v>NA</v>
      </c>
      <c r="AH252" s="29" t="str">
        <f t="shared" si="124"/>
        <v>NA</v>
      </c>
    </row>
    <row r="253" customHeight="1" spans="1:34">
      <c r="A253" s="12" t="s">
        <v>1043</v>
      </c>
      <c r="F253" s="24">
        <f t="shared" si="106"/>
        <v>0</v>
      </c>
      <c r="G253" s="24" t="e">
        <f t="shared" si="105"/>
        <v>#DIV/0!</v>
      </c>
      <c r="Q253" s="29" t="str">
        <f t="shared" si="107"/>
        <v>NA</v>
      </c>
      <c r="R253" s="29" t="str">
        <f t="shared" si="108"/>
        <v>NA</v>
      </c>
      <c r="S253" s="29" t="str">
        <f t="shared" si="109"/>
        <v>NA</v>
      </c>
      <c r="T253" s="29" t="str">
        <f t="shared" si="110"/>
        <v>NA</v>
      </c>
      <c r="U253" s="29" t="str">
        <f t="shared" si="111"/>
        <v>NA</v>
      </c>
      <c r="V253" s="29" t="str">
        <f t="shared" si="112"/>
        <v>NA</v>
      </c>
      <c r="W253" s="29" t="str">
        <f t="shared" si="113"/>
        <v>NA</v>
      </c>
      <c r="X253" s="29" t="str">
        <f t="shared" si="114"/>
        <v>NA</v>
      </c>
      <c r="Y253" s="29" t="str">
        <f t="shared" si="115"/>
        <v>NA</v>
      </c>
      <c r="Z253" s="29" t="str">
        <f t="shared" si="116"/>
        <v>NA</v>
      </c>
      <c r="AA253" s="29" t="str">
        <f t="shared" si="117"/>
        <v>NA</v>
      </c>
      <c r="AB253" s="29" t="str">
        <f t="shared" si="118"/>
        <v>NA</v>
      </c>
      <c r="AC253" s="29" t="str">
        <f t="shared" si="119"/>
        <v>NA</v>
      </c>
      <c r="AD253" s="29" t="str">
        <f t="shared" si="120"/>
        <v>NA</v>
      </c>
      <c r="AE253" s="29" t="str">
        <f t="shared" si="121"/>
        <v>NA</v>
      </c>
      <c r="AF253" s="29" t="str">
        <f t="shared" si="122"/>
        <v>NA</v>
      </c>
      <c r="AG253" s="29" t="str">
        <f t="shared" si="123"/>
        <v>NA</v>
      </c>
      <c r="AH253" s="29" t="str">
        <f t="shared" si="124"/>
        <v>NA</v>
      </c>
    </row>
    <row r="254" customHeight="1" spans="1:34">
      <c r="A254" s="12" t="s">
        <v>1043</v>
      </c>
      <c r="F254" s="24">
        <f t="shared" si="106"/>
        <v>0</v>
      </c>
      <c r="G254" s="24" t="e">
        <f t="shared" si="105"/>
        <v>#DIV/0!</v>
      </c>
      <c r="Q254" s="29" t="str">
        <f t="shared" si="107"/>
        <v>NA</v>
      </c>
      <c r="R254" s="29" t="str">
        <f t="shared" si="108"/>
        <v>NA</v>
      </c>
      <c r="S254" s="29" t="str">
        <f t="shared" si="109"/>
        <v>NA</v>
      </c>
      <c r="T254" s="29" t="str">
        <f t="shared" si="110"/>
        <v>NA</v>
      </c>
      <c r="U254" s="29" t="str">
        <f t="shared" si="111"/>
        <v>NA</v>
      </c>
      <c r="V254" s="29" t="str">
        <f t="shared" si="112"/>
        <v>NA</v>
      </c>
      <c r="W254" s="29" t="str">
        <f t="shared" si="113"/>
        <v>NA</v>
      </c>
      <c r="X254" s="29" t="str">
        <f t="shared" si="114"/>
        <v>NA</v>
      </c>
      <c r="Y254" s="29" t="str">
        <f t="shared" si="115"/>
        <v>NA</v>
      </c>
      <c r="Z254" s="29" t="str">
        <f t="shared" si="116"/>
        <v>NA</v>
      </c>
      <c r="AA254" s="29" t="str">
        <f t="shared" si="117"/>
        <v>NA</v>
      </c>
      <c r="AB254" s="29" t="str">
        <f t="shared" si="118"/>
        <v>NA</v>
      </c>
      <c r="AC254" s="29" t="str">
        <f t="shared" si="119"/>
        <v>NA</v>
      </c>
      <c r="AD254" s="29" t="str">
        <f t="shared" si="120"/>
        <v>NA</v>
      </c>
      <c r="AE254" s="29" t="str">
        <f t="shared" si="121"/>
        <v>NA</v>
      </c>
      <c r="AF254" s="29" t="str">
        <f t="shared" si="122"/>
        <v>NA</v>
      </c>
      <c r="AG254" s="29" t="str">
        <f t="shared" si="123"/>
        <v>NA</v>
      </c>
      <c r="AH254" s="29" t="str">
        <f t="shared" si="124"/>
        <v>NA</v>
      </c>
    </row>
    <row r="255" customHeight="1" spans="1:34">
      <c r="A255" s="12" t="s">
        <v>1043</v>
      </c>
      <c r="F255" s="24">
        <f t="shared" si="106"/>
        <v>0</v>
      </c>
      <c r="G255" s="24" t="e">
        <f t="shared" si="105"/>
        <v>#DIV/0!</v>
      </c>
      <c r="Q255" s="29" t="str">
        <f t="shared" si="107"/>
        <v>NA</v>
      </c>
      <c r="R255" s="29" t="str">
        <f t="shared" si="108"/>
        <v>NA</v>
      </c>
      <c r="S255" s="29" t="str">
        <f t="shared" si="109"/>
        <v>NA</v>
      </c>
      <c r="T255" s="29" t="str">
        <f t="shared" si="110"/>
        <v>NA</v>
      </c>
      <c r="U255" s="29" t="str">
        <f t="shared" si="111"/>
        <v>NA</v>
      </c>
      <c r="V255" s="29" t="str">
        <f t="shared" si="112"/>
        <v>NA</v>
      </c>
      <c r="W255" s="29" t="str">
        <f t="shared" si="113"/>
        <v>NA</v>
      </c>
      <c r="X255" s="29" t="str">
        <f t="shared" si="114"/>
        <v>NA</v>
      </c>
      <c r="Y255" s="29" t="str">
        <f t="shared" si="115"/>
        <v>NA</v>
      </c>
      <c r="Z255" s="29" t="str">
        <f t="shared" si="116"/>
        <v>NA</v>
      </c>
      <c r="AA255" s="29" t="str">
        <f t="shared" si="117"/>
        <v>NA</v>
      </c>
      <c r="AB255" s="29" t="str">
        <f t="shared" si="118"/>
        <v>NA</v>
      </c>
      <c r="AC255" s="29" t="str">
        <f t="shared" si="119"/>
        <v>NA</v>
      </c>
      <c r="AD255" s="29" t="str">
        <f t="shared" si="120"/>
        <v>NA</v>
      </c>
      <c r="AE255" s="29" t="str">
        <f t="shared" si="121"/>
        <v>NA</v>
      </c>
      <c r="AF255" s="29" t="str">
        <f t="shared" si="122"/>
        <v>NA</v>
      </c>
      <c r="AG255" s="29" t="str">
        <f t="shared" si="123"/>
        <v>NA</v>
      </c>
      <c r="AH255" s="29" t="str">
        <f t="shared" si="124"/>
        <v>NA</v>
      </c>
    </row>
    <row r="256" customHeight="1" spans="1:34">
      <c r="A256" s="12" t="s">
        <v>1043</v>
      </c>
      <c r="F256" s="24">
        <f t="shared" si="106"/>
        <v>0</v>
      </c>
      <c r="G256" s="24" t="e">
        <f t="shared" si="105"/>
        <v>#DIV/0!</v>
      </c>
      <c r="Q256" s="29" t="str">
        <f t="shared" si="107"/>
        <v>NA</v>
      </c>
      <c r="R256" s="29" t="str">
        <f t="shared" si="108"/>
        <v>NA</v>
      </c>
      <c r="S256" s="29" t="str">
        <f t="shared" si="109"/>
        <v>NA</v>
      </c>
      <c r="T256" s="29" t="str">
        <f t="shared" si="110"/>
        <v>NA</v>
      </c>
      <c r="U256" s="29" t="str">
        <f t="shared" si="111"/>
        <v>NA</v>
      </c>
      <c r="V256" s="29" t="str">
        <f t="shared" si="112"/>
        <v>NA</v>
      </c>
      <c r="W256" s="29" t="str">
        <f t="shared" si="113"/>
        <v>NA</v>
      </c>
      <c r="X256" s="29" t="str">
        <f t="shared" si="114"/>
        <v>NA</v>
      </c>
      <c r="Y256" s="29" t="str">
        <f t="shared" si="115"/>
        <v>NA</v>
      </c>
      <c r="Z256" s="29" t="str">
        <f t="shared" si="116"/>
        <v>NA</v>
      </c>
      <c r="AA256" s="29" t="str">
        <f t="shared" si="117"/>
        <v>NA</v>
      </c>
      <c r="AB256" s="29" t="str">
        <f t="shared" si="118"/>
        <v>NA</v>
      </c>
      <c r="AC256" s="29" t="str">
        <f t="shared" si="119"/>
        <v>NA</v>
      </c>
      <c r="AD256" s="29" t="str">
        <f t="shared" si="120"/>
        <v>NA</v>
      </c>
      <c r="AE256" s="29" t="str">
        <f t="shared" si="121"/>
        <v>NA</v>
      </c>
      <c r="AF256" s="29" t="str">
        <f t="shared" si="122"/>
        <v>NA</v>
      </c>
      <c r="AG256" s="29" t="str">
        <f t="shared" si="123"/>
        <v>NA</v>
      </c>
      <c r="AH256" s="29" t="str">
        <f t="shared" si="124"/>
        <v>NA</v>
      </c>
    </row>
    <row r="257" customHeight="1" spans="1:34">
      <c r="A257" s="12" t="s">
        <v>1043</v>
      </c>
      <c r="F257" s="24">
        <f t="shared" si="106"/>
        <v>0</v>
      </c>
      <c r="G257" s="24" t="e">
        <f t="shared" si="105"/>
        <v>#DIV/0!</v>
      </c>
      <c r="Q257" s="29" t="str">
        <f t="shared" si="107"/>
        <v>NA</v>
      </c>
      <c r="R257" s="29" t="str">
        <f t="shared" si="108"/>
        <v>NA</v>
      </c>
      <c r="S257" s="29" t="str">
        <f t="shared" si="109"/>
        <v>NA</v>
      </c>
      <c r="T257" s="29" t="str">
        <f t="shared" si="110"/>
        <v>NA</v>
      </c>
      <c r="U257" s="29" t="str">
        <f t="shared" si="111"/>
        <v>NA</v>
      </c>
      <c r="V257" s="29" t="str">
        <f t="shared" si="112"/>
        <v>NA</v>
      </c>
      <c r="W257" s="29" t="str">
        <f t="shared" si="113"/>
        <v>NA</v>
      </c>
      <c r="X257" s="29" t="str">
        <f t="shared" si="114"/>
        <v>NA</v>
      </c>
      <c r="Y257" s="29" t="str">
        <f t="shared" si="115"/>
        <v>NA</v>
      </c>
      <c r="Z257" s="29" t="str">
        <f t="shared" si="116"/>
        <v>NA</v>
      </c>
      <c r="AA257" s="29" t="str">
        <f t="shared" si="117"/>
        <v>NA</v>
      </c>
      <c r="AB257" s="29" t="str">
        <f t="shared" si="118"/>
        <v>NA</v>
      </c>
      <c r="AC257" s="29" t="str">
        <f t="shared" si="119"/>
        <v>NA</v>
      </c>
      <c r="AD257" s="29" t="str">
        <f t="shared" si="120"/>
        <v>NA</v>
      </c>
      <c r="AE257" s="29" t="str">
        <f t="shared" si="121"/>
        <v>NA</v>
      </c>
      <c r="AF257" s="29" t="str">
        <f t="shared" si="122"/>
        <v>NA</v>
      </c>
      <c r="AG257" s="29" t="str">
        <f t="shared" si="123"/>
        <v>NA</v>
      </c>
      <c r="AH257" s="29" t="str">
        <f t="shared" si="124"/>
        <v>NA</v>
      </c>
    </row>
    <row r="258" customHeight="1" spans="1:34">
      <c r="A258" s="12" t="s">
        <v>1043</v>
      </c>
      <c r="F258" s="24">
        <f t="shared" si="106"/>
        <v>0</v>
      </c>
      <c r="G258" s="24" t="e">
        <f t="shared" si="105"/>
        <v>#DIV/0!</v>
      </c>
      <c r="Q258" s="29" t="str">
        <f t="shared" si="107"/>
        <v>NA</v>
      </c>
      <c r="R258" s="29" t="str">
        <f t="shared" si="108"/>
        <v>NA</v>
      </c>
      <c r="S258" s="29" t="str">
        <f t="shared" si="109"/>
        <v>NA</v>
      </c>
      <c r="T258" s="29" t="str">
        <f t="shared" si="110"/>
        <v>NA</v>
      </c>
      <c r="U258" s="29" t="str">
        <f t="shared" si="111"/>
        <v>NA</v>
      </c>
      <c r="V258" s="29" t="str">
        <f t="shared" si="112"/>
        <v>NA</v>
      </c>
      <c r="W258" s="29" t="str">
        <f t="shared" si="113"/>
        <v>NA</v>
      </c>
      <c r="X258" s="29" t="str">
        <f t="shared" si="114"/>
        <v>NA</v>
      </c>
      <c r="Y258" s="29" t="str">
        <f t="shared" si="115"/>
        <v>NA</v>
      </c>
      <c r="Z258" s="29" t="str">
        <f t="shared" si="116"/>
        <v>NA</v>
      </c>
      <c r="AA258" s="29" t="str">
        <f t="shared" si="117"/>
        <v>NA</v>
      </c>
      <c r="AB258" s="29" t="str">
        <f t="shared" si="118"/>
        <v>NA</v>
      </c>
      <c r="AC258" s="29" t="str">
        <f t="shared" si="119"/>
        <v>NA</v>
      </c>
      <c r="AD258" s="29" t="str">
        <f t="shared" si="120"/>
        <v>NA</v>
      </c>
      <c r="AE258" s="29" t="str">
        <f t="shared" si="121"/>
        <v>NA</v>
      </c>
      <c r="AF258" s="29" t="str">
        <f t="shared" si="122"/>
        <v>NA</v>
      </c>
      <c r="AG258" s="29" t="str">
        <f t="shared" si="123"/>
        <v>NA</v>
      </c>
      <c r="AH258" s="29" t="str">
        <f t="shared" si="124"/>
        <v>NA</v>
      </c>
    </row>
    <row r="259" customHeight="1" spans="1:34">
      <c r="A259" s="12" t="s">
        <v>1043</v>
      </c>
      <c r="F259" s="24">
        <f t="shared" si="106"/>
        <v>0</v>
      </c>
      <c r="G259" s="24" t="e">
        <f t="shared" si="105"/>
        <v>#DIV/0!</v>
      </c>
      <c r="Q259" s="29" t="str">
        <f t="shared" si="107"/>
        <v>NA</v>
      </c>
      <c r="R259" s="29" t="str">
        <f t="shared" si="108"/>
        <v>NA</v>
      </c>
      <c r="S259" s="29" t="str">
        <f t="shared" si="109"/>
        <v>NA</v>
      </c>
      <c r="T259" s="29" t="str">
        <f t="shared" si="110"/>
        <v>NA</v>
      </c>
      <c r="U259" s="29" t="str">
        <f t="shared" si="111"/>
        <v>NA</v>
      </c>
      <c r="V259" s="29" t="str">
        <f t="shared" si="112"/>
        <v>NA</v>
      </c>
      <c r="W259" s="29" t="str">
        <f t="shared" si="113"/>
        <v>NA</v>
      </c>
      <c r="X259" s="29" t="str">
        <f t="shared" si="114"/>
        <v>NA</v>
      </c>
      <c r="Y259" s="29" t="str">
        <f t="shared" si="115"/>
        <v>NA</v>
      </c>
      <c r="Z259" s="29" t="str">
        <f t="shared" si="116"/>
        <v>NA</v>
      </c>
      <c r="AA259" s="29" t="str">
        <f t="shared" si="117"/>
        <v>NA</v>
      </c>
      <c r="AB259" s="29" t="str">
        <f t="shared" si="118"/>
        <v>NA</v>
      </c>
      <c r="AC259" s="29" t="str">
        <f t="shared" si="119"/>
        <v>NA</v>
      </c>
      <c r="AD259" s="29" t="str">
        <f t="shared" si="120"/>
        <v>NA</v>
      </c>
      <c r="AE259" s="29" t="str">
        <f t="shared" si="121"/>
        <v>NA</v>
      </c>
      <c r="AF259" s="29" t="str">
        <f t="shared" si="122"/>
        <v>NA</v>
      </c>
      <c r="AG259" s="29" t="str">
        <f t="shared" si="123"/>
        <v>NA</v>
      </c>
      <c r="AH259" s="29" t="str">
        <f t="shared" si="124"/>
        <v>NA</v>
      </c>
    </row>
    <row r="260" customHeight="1" spans="1:34">
      <c r="A260" s="12" t="s">
        <v>1043</v>
      </c>
      <c r="F260" s="24">
        <f t="shared" si="106"/>
        <v>0</v>
      </c>
      <c r="G260" s="24" t="e">
        <f t="shared" si="105"/>
        <v>#DIV/0!</v>
      </c>
      <c r="Q260" s="29" t="str">
        <f t="shared" si="107"/>
        <v>NA</v>
      </c>
      <c r="R260" s="29" t="str">
        <f t="shared" si="108"/>
        <v>NA</v>
      </c>
      <c r="S260" s="29" t="str">
        <f t="shared" si="109"/>
        <v>NA</v>
      </c>
      <c r="T260" s="29" t="str">
        <f t="shared" si="110"/>
        <v>NA</v>
      </c>
      <c r="U260" s="29" t="str">
        <f t="shared" si="111"/>
        <v>NA</v>
      </c>
      <c r="V260" s="29" t="str">
        <f t="shared" si="112"/>
        <v>NA</v>
      </c>
      <c r="W260" s="29" t="str">
        <f t="shared" si="113"/>
        <v>NA</v>
      </c>
      <c r="X260" s="29" t="str">
        <f t="shared" si="114"/>
        <v>NA</v>
      </c>
      <c r="Y260" s="29" t="str">
        <f t="shared" si="115"/>
        <v>NA</v>
      </c>
      <c r="Z260" s="29" t="str">
        <f t="shared" si="116"/>
        <v>NA</v>
      </c>
      <c r="AA260" s="29" t="str">
        <f t="shared" si="117"/>
        <v>NA</v>
      </c>
      <c r="AB260" s="29" t="str">
        <f t="shared" si="118"/>
        <v>NA</v>
      </c>
      <c r="AC260" s="29" t="str">
        <f t="shared" si="119"/>
        <v>NA</v>
      </c>
      <c r="AD260" s="29" t="str">
        <f t="shared" si="120"/>
        <v>NA</v>
      </c>
      <c r="AE260" s="29" t="str">
        <f t="shared" si="121"/>
        <v>NA</v>
      </c>
      <c r="AF260" s="29" t="str">
        <f t="shared" si="122"/>
        <v>NA</v>
      </c>
      <c r="AG260" s="29" t="str">
        <f t="shared" si="123"/>
        <v>NA</v>
      </c>
      <c r="AH260" s="29" t="str">
        <f t="shared" si="124"/>
        <v>NA</v>
      </c>
    </row>
    <row r="261" customHeight="1" spans="1:34">
      <c r="A261" s="12" t="s">
        <v>1043</v>
      </c>
      <c r="F261" s="24">
        <f t="shared" si="106"/>
        <v>0</v>
      </c>
      <c r="G261" s="24" t="e">
        <f t="shared" ref="G261:G324" si="125">B261*D261/C261</f>
        <v>#DIV/0!</v>
      </c>
      <c r="Q261" s="29" t="str">
        <f t="shared" si="107"/>
        <v>NA</v>
      </c>
      <c r="R261" s="29" t="str">
        <f t="shared" si="108"/>
        <v>NA</v>
      </c>
      <c r="S261" s="29" t="str">
        <f t="shared" si="109"/>
        <v>NA</v>
      </c>
      <c r="T261" s="29" t="str">
        <f t="shared" si="110"/>
        <v>NA</v>
      </c>
      <c r="U261" s="29" t="str">
        <f t="shared" si="111"/>
        <v>NA</v>
      </c>
      <c r="V261" s="29" t="str">
        <f t="shared" si="112"/>
        <v>NA</v>
      </c>
      <c r="W261" s="29" t="str">
        <f t="shared" si="113"/>
        <v>NA</v>
      </c>
      <c r="X261" s="29" t="str">
        <f t="shared" si="114"/>
        <v>NA</v>
      </c>
      <c r="Y261" s="29" t="str">
        <f t="shared" si="115"/>
        <v>NA</v>
      </c>
      <c r="Z261" s="29" t="str">
        <f t="shared" si="116"/>
        <v>NA</v>
      </c>
      <c r="AA261" s="29" t="str">
        <f t="shared" si="117"/>
        <v>NA</v>
      </c>
      <c r="AB261" s="29" t="str">
        <f t="shared" si="118"/>
        <v>NA</v>
      </c>
      <c r="AC261" s="29" t="str">
        <f t="shared" si="119"/>
        <v>NA</v>
      </c>
      <c r="AD261" s="29" t="str">
        <f t="shared" si="120"/>
        <v>NA</v>
      </c>
      <c r="AE261" s="29" t="str">
        <f t="shared" si="121"/>
        <v>NA</v>
      </c>
      <c r="AF261" s="29" t="str">
        <f t="shared" si="122"/>
        <v>NA</v>
      </c>
      <c r="AG261" s="29" t="str">
        <f t="shared" si="123"/>
        <v>NA</v>
      </c>
      <c r="AH261" s="29" t="str">
        <f t="shared" si="124"/>
        <v>NA</v>
      </c>
    </row>
    <row r="262" customHeight="1" spans="1:34">
      <c r="A262" s="12" t="s">
        <v>1043</v>
      </c>
      <c r="F262" s="24">
        <f t="shared" ref="F262:F325" si="126">+D262+E262</f>
        <v>0</v>
      </c>
      <c r="G262" s="24" t="e">
        <f t="shared" si="125"/>
        <v>#DIV/0!</v>
      </c>
      <c r="Q262" s="29" t="str">
        <f t="shared" si="107"/>
        <v>NA</v>
      </c>
      <c r="R262" s="29" t="str">
        <f t="shared" si="108"/>
        <v>NA</v>
      </c>
      <c r="S262" s="29" t="str">
        <f t="shared" si="109"/>
        <v>NA</v>
      </c>
      <c r="T262" s="29" t="str">
        <f t="shared" si="110"/>
        <v>NA</v>
      </c>
      <c r="U262" s="29" t="str">
        <f t="shared" si="111"/>
        <v>NA</v>
      </c>
      <c r="V262" s="29" t="str">
        <f t="shared" si="112"/>
        <v>NA</v>
      </c>
      <c r="W262" s="29" t="str">
        <f t="shared" si="113"/>
        <v>NA</v>
      </c>
      <c r="X262" s="29" t="str">
        <f t="shared" si="114"/>
        <v>NA</v>
      </c>
      <c r="Y262" s="29" t="str">
        <f t="shared" si="115"/>
        <v>NA</v>
      </c>
      <c r="Z262" s="29" t="str">
        <f t="shared" si="116"/>
        <v>NA</v>
      </c>
      <c r="AA262" s="29" t="str">
        <f t="shared" si="117"/>
        <v>NA</v>
      </c>
      <c r="AB262" s="29" t="str">
        <f t="shared" si="118"/>
        <v>NA</v>
      </c>
      <c r="AC262" s="29" t="str">
        <f t="shared" si="119"/>
        <v>NA</v>
      </c>
      <c r="AD262" s="29" t="str">
        <f t="shared" si="120"/>
        <v>NA</v>
      </c>
      <c r="AE262" s="29" t="str">
        <f t="shared" si="121"/>
        <v>NA</v>
      </c>
      <c r="AF262" s="29" t="str">
        <f t="shared" si="122"/>
        <v>NA</v>
      </c>
      <c r="AG262" s="29" t="str">
        <f t="shared" si="123"/>
        <v>NA</v>
      </c>
      <c r="AH262" s="29" t="str">
        <f t="shared" si="124"/>
        <v>NA</v>
      </c>
    </row>
    <row r="263" customHeight="1" spans="1:34">
      <c r="A263" s="12" t="s">
        <v>1043</v>
      </c>
      <c r="F263" s="24">
        <f t="shared" si="126"/>
        <v>0</v>
      </c>
      <c r="G263" s="24" t="e">
        <f t="shared" si="125"/>
        <v>#DIV/0!</v>
      </c>
      <c r="Q263" s="29" t="str">
        <f t="shared" si="107"/>
        <v>NA</v>
      </c>
      <c r="R263" s="29" t="str">
        <f t="shared" si="108"/>
        <v>NA</v>
      </c>
      <c r="S263" s="29" t="str">
        <f t="shared" si="109"/>
        <v>NA</v>
      </c>
      <c r="T263" s="29" t="str">
        <f t="shared" si="110"/>
        <v>NA</v>
      </c>
      <c r="U263" s="29" t="str">
        <f t="shared" si="111"/>
        <v>NA</v>
      </c>
      <c r="V263" s="29" t="str">
        <f t="shared" si="112"/>
        <v>NA</v>
      </c>
      <c r="W263" s="29" t="str">
        <f t="shared" si="113"/>
        <v>NA</v>
      </c>
      <c r="X263" s="29" t="str">
        <f t="shared" si="114"/>
        <v>NA</v>
      </c>
      <c r="Y263" s="29" t="str">
        <f t="shared" si="115"/>
        <v>NA</v>
      </c>
      <c r="Z263" s="29" t="str">
        <f t="shared" si="116"/>
        <v>NA</v>
      </c>
      <c r="AA263" s="29" t="str">
        <f t="shared" si="117"/>
        <v>NA</v>
      </c>
      <c r="AB263" s="29" t="str">
        <f t="shared" si="118"/>
        <v>NA</v>
      </c>
      <c r="AC263" s="29" t="str">
        <f t="shared" si="119"/>
        <v>NA</v>
      </c>
      <c r="AD263" s="29" t="str">
        <f t="shared" si="120"/>
        <v>NA</v>
      </c>
      <c r="AE263" s="29" t="str">
        <f t="shared" si="121"/>
        <v>NA</v>
      </c>
      <c r="AF263" s="29" t="str">
        <f t="shared" si="122"/>
        <v>NA</v>
      </c>
      <c r="AG263" s="29" t="str">
        <f t="shared" si="123"/>
        <v>NA</v>
      </c>
      <c r="AH263" s="29" t="str">
        <f t="shared" si="124"/>
        <v>NA</v>
      </c>
    </row>
    <row r="264" customHeight="1" spans="1:34">
      <c r="A264" s="12" t="s">
        <v>1043</v>
      </c>
      <c r="F264" s="24">
        <f t="shared" si="126"/>
        <v>0</v>
      </c>
      <c r="G264" s="24" t="e">
        <f t="shared" si="125"/>
        <v>#DIV/0!</v>
      </c>
      <c r="Q264" s="29" t="str">
        <f t="shared" si="107"/>
        <v>NA</v>
      </c>
      <c r="R264" s="29" t="str">
        <f t="shared" si="108"/>
        <v>NA</v>
      </c>
      <c r="S264" s="29" t="str">
        <f t="shared" si="109"/>
        <v>NA</v>
      </c>
      <c r="T264" s="29" t="str">
        <f t="shared" si="110"/>
        <v>NA</v>
      </c>
      <c r="U264" s="29" t="str">
        <f t="shared" si="111"/>
        <v>NA</v>
      </c>
      <c r="V264" s="29" t="str">
        <f t="shared" si="112"/>
        <v>NA</v>
      </c>
      <c r="W264" s="29" t="str">
        <f t="shared" si="113"/>
        <v>NA</v>
      </c>
      <c r="X264" s="29" t="str">
        <f t="shared" si="114"/>
        <v>NA</v>
      </c>
      <c r="Y264" s="29" t="str">
        <f t="shared" si="115"/>
        <v>NA</v>
      </c>
      <c r="Z264" s="29" t="str">
        <f t="shared" si="116"/>
        <v>NA</v>
      </c>
      <c r="AA264" s="29" t="str">
        <f t="shared" si="117"/>
        <v>NA</v>
      </c>
      <c r="AB264" s="29" t="str">
        <f t="shared" si="118"/>
        <v>NA</v>
      </c>
      <c r="AC264" s="29" t="str">
        <f t="shared" si="119"/>
        <v>NA</v>
      </c>
      <c r="AD264" s="29" t="str">
        <f t="shared" si="120"/>
        <v>NA</v>
      </c>
      <c r="AE264" s="29" t="str">
        <f t="shared" si="121"/>
        <v>NA</v>
      </c>
      <c r="AF264" s="29" t="str">
        <f t="shared" si="122"/>
        <v>NA</v>
      </c>
      <c r="AG264" s="29" t="str">
        <f t="shared" si="123"/>
        <v>NA</v>
      </c>
      <c r="AH264" s="29" t="str">
        <f t="shared" si="124"/>
        <v>NA</v>
      </c>
    </row>
    <row r="265" customHeight="1" spans="1:34">
      <c r="A265" s="12" t="s">
        <v>1043</v>
      </c>
      <c r="F265" s="24">
        <f t="shared" si="126"/>
        <v>0</v>
      </c>
      <c r="G265" s="24" t="e">
        <f t="shared" si="125"/>
        <v>#DIV/0!</v>
      </c>
      <c r="Q265" s="29" t="str">
        <f t="shared" si="107"/>
        <v>NA</v>
      </c>
      <c r="R265" s="29" t="str">
        <f t="shared" si="108"/>
        <v>NA</v>
      </c>
      <c r="S265" s="29" t="str">
        <f t="shared" si="109"/>
        <v>NA</v>
      </c>
      <c r="T265" s="29" t="str">
        <f t="shared" si="110"/>
        <v>NA</v>
      </c>
      <c r="U265" s="29" t="str">
        <f t="shared" si="111"/>
        <v>NA</v>
      </c>
      <c r="V265" s="29" t="str">
        <f t="shared" si="112"/>
        <v>NA</v>
      </c>
      <c r="W265" s="29" t="str">
        <f t="shared" si="113"/>
        <v>NA</v>
      </c>
      <c r="X265" s="29" t="str">
        <f t="shared" si="114"/>
        <v>NA</v>
      </c>
      <c r="Y265" s="29" t="str">
        <f t="shared" si="115"/>
        <v>NA</v>
      </c>
      <c r="Z265" s="29" t="str">
        <f t="shared" si="116"/>
        <v>NA</v>
      </c>
      <c r="AA265" s="29" t="str">
        <f t="shared" si="117"/>
        <v>NA</v>
      </c>
      <c r="AB265" s="29" t="str">
        <f t="shared" si="118"/>
        <v>NA</v>
      </c>
      <c r="AC265" s="29" t="str">
        <f t="shared" si="119"/>
        <v>NA</v>
      </c>
      <c r="AD265" s="29" t="str">
        <f t="shared" si="120"/>
        <v>NA</v>
      </c>
      <c r="AE265" s="29" t="str">
        <f t="shared" si="121"/>
        <v>NA</v>
      </c>
      <c r="AF265" s="29" t="str">
        <f t="shared" si="122"/>
        <v>NA</v>
      </c>
      <c r="AG265" s="29" t="str">
        <f t="shared" si="123"/>
        <v>NA</v>
      </c>
      <c r="AH265" s="29" t="str">
        <f t="shared" si="124"/>
        <v>NA</v>
      </c>
    </row>
    <row r="266" customHeight="1" spans="1:34">
      <c r="A266" s="12" t="s">
        <v>1043</v>
      </c>
      <c r="F266" s="24">
        <f t="shared" si="126"/>
        <v>0</v>
      </c>
      <c r="G266" s="24" t="e">
        <f t="shared" si="125"/>
        <v>#DIV/0!</v>
      </c>
      <c r="Q266" s="29" t="str">
        <f t="shared" si="107"/>
        <v>NA</v>
      </c>
      <c r="R266" s="29" t="str">
        <f t="shared" si="108"/>
        <v>NA</v>
      </c>
      <c r="S266" s="29" t="str">
        <f t="shared" si="109"/>
        <v>NA</v>
      </c>
      <c r="T266" s="29" t="str">
        <f t="shared" si="110"/>
        <v>NA</v>
      </c>
      <c r="U266" s="29" t="str">
        <f t="shared" si="111"/>
        <v>NA</v>
      </c>
      <c r="V266" s="29" t="str">
        <f t="shared" si="112"/>
        <v>NA</v>
      </c>
      <c r="W266" s="29" t="str">
        <f t="shared" si="113"/>
        <v>NA</v>
      </c>
      <c r="X266" s="29" t="str">
        <f t="shared" si="114"/>
        <v>NA</v>
      </c>
      <c r="Y266" s="29" t="str">
        <f t="shared" si="115"/>
        <v>NA</v>
      </c>
      <c r="Z266" s="29" t="str">
        <f t="shared" si="116"/>
        <v>NA</v>
      </c>
      <c r="AA266" s="29" t="str">
        <f t="shared" si="117"/>
        <v>NA</v>
      </c>
      <c r="AB266" s="29" t="str">
        <f t="shared" si="118"/>
        <v>NA</v>
      </c>
      <c r="AC266" s="29" t="str">
        <f t="shared" si="119"/>
        <v>NA</v>
      </c>
      <c r="AD266" s="29" t="str">
        <f t="shared" si="120"/>
        <v>NA</v>
      </c>
      <c r="AE266" s="29" t="str">
        <f t="shared" si="121"/>
        <v>NA</v>
      </c>
      <c r="AF266" s="29" t="str">
        <f t="shared" si="122"/>
        <v>NA</v>
      </c>
      <c r="AG266" s="29" t="str">
        <f t="shared" si="123"/>
        <v>NA</v>
      </c>
      <c r="AH266" s="29" t="str">
        <f t="shared" si="124"/>
        <v>NA</v>
      </c>
    </row>
    <row r="267" customHeight="1" spans="1:34">
      <c r="A267" s="12" t="s">
        <v>1043</v>
      </c>
      <c r="F267" s="24">
        <f t="shared" si="126"/>
        <v>0</v>
      </c>
      <c r="G267" s="24" t="e">
        <f t="shared" si="125"/>
        <v>#DIV/0!</v>
      </c>
      <c r="Q267" s="29" t="str">
        <f t="shared" si="107"/>
        <v>NA</v>
      </c>
      <c r="R267" s="29" t="str">
        <f t="shared" si="108"/>
        <v>NA</v>
      </c>
      <c r="S267" s="29" t="str">
        <f t="shared" si="109"/>
        <v>NA</v>
      </c>
      <c r="T267" s="29" t="str">
        <f t="shared" si="110"/>
        <v>NA</v>
      </c>
      <c r="U267" s="29" t="str">
        <f t="shared" si="111"/>
        <v>NA</v>
      </c>
      <c r="V267" s="29" t="str">
        <f t="shared" si="112"/>
        <v>NA</v>
      </c>
      <c r="W267" s="29" t="str">
        <f t="shared" si="113"/>
        <v>NA</v>
      </c>
      <c r="X267" s="29" t="str">
        <f t="shared" si="114"/>
        <v>NA</v>
      </c>
      <c r="Y267" s="29" t="str">
        <f t="shared" si="115"/>
        <v>NA</v>
      </c>
      <c r="Z267" s="29" t="str">
        <f t="shared" si="116"/>
        <v>NA</v>
      </c>
      <c r="AA267" s="29" t="str">
        <f t="shared" si="117"/>
        <v>NA</v>
      </c>
      <c r="AB267" s="29" t="str">
        <f t="shared" si="118"/>
        <v>NA</v>
      </c>
      <c r="AC267" s="29" t="str">
        <f t="shared" si="119"/>
        <v>NA</v>
      </c>
      <c r="AD267" s="29" t="str">
        <f t="shared" si="120"/>
        <v>NA</v>
      </c>
      <c r="AE267" s="29" t="str">
        <f t="shared" si="121"/>
        <v>NA</v>
      </c>
      <c r="AF267" s="29" t="str">
        <f t="shared" si="122"/>
        <v>NA</v>
      </c>
      <c r="AG267" s="29" t="str">
        <f t="shared" si="123"/>
        <v>NA</v>
      </c>
      <c r="AH267" s="29" t="str">
        <f t="shared" si="124"/>
        <v>NA</v>
      </c>
    </row>
    <row r="268" customHeight="1" spans="1:34">
      <c r="A268" s="12" t="s">
        <v>1043</v>
      </c>
      <c r="F268" s="24">
        <f t="shared" si="126"/>
        <v>0</v>
      </c>
      <c r="G268" s="24" t="e">
        <f t="shared" si="125"/>
        <v>#DIV/0!</v>
      </c>
      <c r="Q268" s="29" t="str">
        <f t="shared" si="107"/>
        <v>NA</v>
      </c>
      <c r="R268" s="29" t="str">
        <f t="shared" si="108"/>
        <v>NA</v>
      </c>
      <c r="S268" s="29" t="str">
        <f t="shared" si="109"/>
        <v>NA</v>
      </c>
      <c r="T268" s="29" t="str">
        <f t="shared" si="110"/>
        <v>NA</v>
      </c>
      <c r="U268" s="29" t="str">
        <f t="shared" si="111"/>
        <v>NA</v>
      </c>
      <c r="V268" s="29" t="str">
        <f t="shared" si="112"/>
        <v>NA</v>
      </c>
      <c r="W268" s="29" t="str">
        <f t="shared" si="113"/>
        <v>NA</v>
      </c>
      <c r="X268" s="29" t="str">
        <f t="shared" si="114"/>
        <v>NA</v>
      </c>
      <c r="Y268" s="29" t="str">
        <f t="shared" si="115"/>
        <v>NA</v>
      </c>
      <c r="Z268" s="29" t="str">
        <f t="shared" si="116"/>
        <v>NA</v>
      </c>
      <c r="AA268" s="29" t="str">
        <f t="shared" si="117"/>
        <v>NA</v>
      </c>
      <c r="AB268" s="29" t="str">
        <f t="shared" si="118"/>
        <v>NA</v>
      </c>
      <c r="AC268" s="29" t="str">
        <f t="shared" si="119"/>
        <v>NA</v>
      </c>
      <c r="AD268" s="29" t="str">
        <f t="shared" si="120"/>
        <v>NA</v>
      </c>
      <c r="AE268" s="29" t="str">
        <f t="shared" si="121"/>
        <v>NA</v>
      </c>
      <c r="AF268" s="29" t="str">
        <f t="shared" si="122"/>
        <v>NA</v>
      </c>
      <c r="AG268" s="29" t="str">
        <f t="shared" si="123"/>
        <v>NA</v>
      </c>
      <c r="AH268" s="29" t="str">
        <f t="shared" si="124"/>
        <v>NA</v>
      </c>
    </row>
    <row r="269" customHeight="1" spans="1:34">
      <c r="A269" s="12" t="s">
        <v>1043</v>
      </c>
      <c r="F269" s="24">
        <f t="shared" si="126"/>
        <v>0</v>
      </c>
      <c r="G269" s="24" t="e">
        <f t="shared" si="125"/>
        <v>#DIV/0!</v>
      </c>
      <c r="Q269" s="29" t="str">
        <f t="shared" si="107"/>
        <v>NA</v>
      </c>
      <c r="R269" s="29" t="str">
        <f t="shared" si="108"/>
        <v>NA</v>
      </c>
      <c r="S269" s="29" t="str">
        <f t="shared" si="109"/>
        <v>NA</v>
      </c>
      <c r="T269" s="29" t="str">
        <f t="shared" si="110"/>
        <v>NA</v>
      </c>
      <c r="U269" s="29" t="str">
        <f t="shared" si="111"/>
        <v>NA</v>
      </c>
      <c r="V269" s="29" t="str">
        <f t="shared" si="112"/>
        <v>NA</v>
      </c>
      <c r="W269" s="29" t="str">
        <f t="shared" si="113"/>
        <v>NA</v>
      </c>
      <c r="X269" s="29" t="str">
        <f t="shared" si="114"/>
        <v>NA</v>
      </c>
      <c r="Y269" s="29" t="str">
        <f t="shared" si="115"/>
        <v>NA</v>
      </c>
      <c r="Z269" s="29" t="str">
        <f t="shared" si="116"/>
        <v>NA</v>
      </c>
      <c r="AA269" s="29" t="str">
        <f t="shared" si="117"/>
        <v>NA</v>
      </c>
      <c r="AB269" s="29" t="str">
        <f t="shared" si="118"/>
        <v>NA</v>
      </c>
      <c r="AC269" s="29" t="str">
        <f t="shared" si="119"/>
        <v>NA</v>
      </c>
      <c r="AD269" s="29" t="str">
        <f t="shared" si="120"/>
        <v>NA</v>
      </c>
      <c r="AE269" s="29" t="str">
        <f t="shared" si="121"/>
        <v>NA</v>
      </c>
      <c r="AF269" s="29" t="str">
        <f t="shared" si="122"/>
        <v>NA</v>
      </c>
      <c r="AG269" s="29" t="str">
        <f t="shared" si="123"/>
        <v>NA</v>
      </c>
      <c r="AH269" s="29" t="str">
        <f t="shared" si="124"/>
        <v>NA</v>
      </c>
    </row>
    <row r="270" customHeight="1" spans="1:34">
      <c r="A270" s="12" t="s">
        <v>1043</v>
      </c>
      <c r="F270" s="24">
        <f t="shared" si="126"/>
        <v>0</v>
      </c>
      <c r="G270" s="24" t="e">
        <f t="shared" si="125"/>
        <v>#DIV/0!</v>
      </c>
      <c r="Q270" s="29" t="str">
        <f t="shared" si="107"/>
        <v>NA</v>
      </c>
      <c r="R270" s="29" t="str">
        <f t="shared" si="108"/>
        <v>NA</v>
      </c>
      <c r="S270" s="29" t="str">
        <f t="shared" si="109"/>
        <v>NA</v>
      </c>
      <c r="T270" s="29" t="str">
        <f t="shared" si="110"/>
        <v>NA</v>
      </c>
      <c r="U270" s="29" t="str">
        <f t="shared" si="111"/>
        <v>NA</v>
      </c>
      <c r="V270" s="29" t="str">
        <f t="shared" si="112"/>
        <v>NA</v>
      </c>
      <c r="W270" s="29" t="str">
        <f t="shared" si="113"/>
        <v>NA</v>
      </c>
      <c r="X270" s="29" t="str">
        <f t="shared" si="114"/>
        <v>NA</v>
      </c>
      <c r="Y270" s="29" t="str">
        <f t="shared" si="115"/>
        <v>NA</v>
      </c>
      <c r="Z270" s="29" t="str">
        <f t="shared" si="116"/>
        <v>NA</v>
      </c>
      <c r="AA270" s="29" t="str">
        <f t="shared" si="117"/>
        <v>NA</v>
      </c>
      <c r="AB270" s="29" t="str">
        <f t="shared" si="118"/>
        <v>NA</v>
      </c>
      <c r="AC270" s="29" t="str">
        <f t="shared" si="119"/>
        <v>NA</v>
      </c>
      <c r="AD270" s="29" t="str">
        <f t="shared" si="120"/>
        <v>NA</v>
      </c>
      <c r="AE270" s="29" t="str">
        <f t="shared" si="121"/>
        <v>NA</v>
      </c>
      <c r="AF270" s="29" t="str">
        <f t="shared" si="122"/>
        <v>NA</v>
      </c>
      <c r="AG270" s="29" t="str">
        <f t="shared" si="123"/>
        <v>NA</v>
      </c>
      <c r="AH270" s="29" t="str">
        <f t="shared" si="124"/>
        <v>NA</v>
      </c>
    </row>
    <row r="271" customHeight="1" spans="1:34">
      <c r="A271" s="12" t="s">
        <v>1043</v>
      </c>
      <c r="F271" s="24">
        <f t="shared" si="126"/>
        <v>0</v>
      </c>
      <c r="G271" s="24" t="e">
        <f t="shared" si="125"/>
        <v>#DIV/0!</v>
      </c>
      <c r="Q271" s="29" t="str">
        <f t="shared" si="107"/>
        <v>NA</v>
      </c>
      <c r="R271" s="29" t="str">
        <f t="shared" si="108"/>
        <v>NA</v>
      </c>
      <c r="S271" s="29" t="str">
        <f t="shared" si="109"/>
        <v>NA</v>
      </c>
      <c r="T271" s="29" t="str">
        <f t="shared" si="110"/>
        <v>NA</v>
      </c>
      <c r="U271" s="29" t="str">
        <f t="shared" si="111"/>
        <v>NA</v>
      </c>
      <c r="V271" s="29" t="str">
        <f t="shared" si="112"/>
        <v>NA</v>
      </c>
      <c r="W271" s="29" t="str">
        <f t="shared" si="113"/>
        <v>NA</v>
      </c>
      <c r="X271" s="29" t="str">
        <f t="shared" si="114"/>
        <v>NA</v>
      </c>
      <c r="Y271" s="29" t="str">
        <f t="shared" si="115"/>
        <v>NA</v>
      </c>
      <c r="Z271" s="29" t="str">
        <f t="shared" si="116"/>
        <v>NA</v>
      </c>
      <c r="AA271" s="29" t="str">
        <f t="shared" si="117"/>
        <v>NA</v>
      </c>
      <c r="AB271" s="29" t="str">
        <f t="shared" si="118"/>
        <v>NA</v>
      </c>
      <c r="AC271" s="29" t="str">
        <f t="shared" si="119"/>
        <v>NA</v>
      </c>
      <c r="AD271" s="29" t="str">
        <f t="shared" si="120"/>
        <v>NA</v>
      </c>
      <c r="AE271" s="29" t="str">
        <f t="shared" si="121"/>
        <v>NA</v>
      </c>
      <c r="AF271" s="29" t="str">
        <f t="shared" si="122"/>
        <v>NA</v>
      </c>
      <c r="AG271" s="29" t="str">
        <f t="shared" si="123"/>
        <v>NA</v>
      </c>
      <c r="AH271" s="29" t="str">
        <f t="shared" si="124"/>
        <v>NA</v>
      </c>
    </row>
    <row r="272" customHeight="1" spans="1:34">
      <c r="A272" s="12" t="s">
        <v>1043</v>
      </c>
      <c r="F272" s="24">
        <f t="shared" si="126"/>
        <v>0</v>
      </c>
      <c r="G272" s="24" t="e">
        <f t="shared" si="125"/>
        <v>#DIV/0!</v>
      </c>
      <c r="Q272" s="29" t="str">
        <f t="shared" ref="Q272:Q335" si="127">IFERROR($B272*$E272/H272,"NA")</f>
        <v>NA</v>
      </c>
      <c r="R272" s="29" t="str">
        <f t="shared" ref="R272:R335" si="128">IFERROR($B272*$E272/I272,"NA")</f>
        <v>NA</v>
      </c>
      <c r="S272" s="29" t="str">
        <f t="shared" ref="S272:S335" si="129">IFERROR($B272*$E272/J272,"NA")</f>
        <v>NA</v>
      </c>
      <c r="T272" s="29" t="str">
        <f t="shared" ref="T272:T335" si="130">IFERROR($B272*$E272/K272,"NA")</f>
        <v>NA</v>
      </c>
      <c r="U272" s="29" t="str">
        <f t="shared" ref="U272:U335" si="131">IFERROR($B272*$E272/L272,"NA")</f>
        <v>NA</v>
      </c>
      <c r="V272" s="29" t="str">
        <f t="shared" ref="V272:V335" si="132">IFERROR($B272*$E272/M272,"NA")</f>
        <v>NA</v>
      </c>
      <c r="W272" s="29" t="str">
        <f t="shared" ref="W272:W335" si="133">IFERROR($B272*$E272/N272,"NA")</f>
        <v>NA</v>
      </c>
      <c r="X272" s="29" t="str">
        <f t="shared" ref="X272:X335" si="134">IFERROR($B272*$E272/O272,"NA")</f>
        <v>NA</v>
      </c>
      <c r="Y272" s="29" t="str">
        <f t="shared" ref="Y272:Y335" si="135">IFERROR($B272*$E272/P272,"NA")</f>
        <v>NA</v>
      </c>
      <c r="Z272" s="29" t="str">
        <f t="shared" ref="Z272:Z335" si="136">IFERROR((($G272*Z$2/1000)+Q272)/1,"NA")</f>
        <v>NA</v>
      </c>
      <c r="AA272" s="29" t="str">
        <f t="shared" ref="AA272:AA335" si="137">IFERROR((($G272*AA$2/1000)+R272)/1,"NA")</f>
        <v>NA</v>
      </c>
      <c r="AB272" s="29" t="str">
        <f t="shared" ref="AB272:AB335" si="138">IFERROR((($G272*AB$2/1000)+S272)/1,"NA")</f>
        <v>NA</v>
      </c>
      <c r="AC272" s="29" t="str">
        <f t="shared" ref="AC272:AC335" si="139">IFERROR((($G272*AC$2/1000)+T272)/1,"NA")</f>
        <v>NA</v>
      </c>
      <c r="AD272" s="29" t="str">
        <f t="shared" ref="AD272:AD335" si="140">IFERROR((($G272*AD$2/1000)+U272)/1,"NA")</f>
        <v>NA</v>
      </c>
      <c r="AE272" s="29" t="str">
        <f t="shared" ref="AE272:AE335" si="141">IFERROR((($G272*AE$2/1000)+V272)/1,"NA")</f>
        <v>NA</v>
      </c>
      <c r="AF272" s="29" t="str">
        <f t="shared" ref="AF272:AF335" si="142">IFERROR((($G272*AF$2/1000)+W272)/1,"NA")</f>
        <v>NA</v>
      </c>
      <c r="AG272" s="29" t="str">
        <f t="shared" ref="AG272:AG335" si="143">IFERROR((($G272*AG$2/1000)+X272)/1,"NA")</f>
        <v>NA</v>
      </c>
      <c r="AH272" s="29" t="str">
        <f t="shared" ref="AH272:AH335" si="144">IFERROR((($G272*AH$2/1000)+Y272)/1,"NA")</f>
        <v>NA</v>
      </c>
    </row>
    <row r="273" customHeight="1" spans="1:34">
      <c r="A273" s="12" t="s">
        <v>1043</v>
      </c>
      <c r="F273" s="24">
        <f t="shared" si="126"/>
        <v>0</v>
      </c>
      <c r="G273" s="24" t="e">
        <f t="shared" si="125"/>
        <v>#DIV/0!</v>
      </c>
      <c r="Q273" s="29" t="str">
        <f t="shared" si="127"/>
        <v>NA</v>
      </c>
      <c r="R273" s="29" t="str">
        <f t="shared" si="128"/>
        <v>NA</v>
      </c>
      <c r="S273" s="29" t="str">
        <f t="shared" si="129"/>
        <v>NA</v>
      </c>
      <c r="T273" s="29" t="str">
        <f t="shared" si="130"/>
        <v>NA</v>
      </c>
      <c r="U273" s="29" t="str">
        <f t="shared" si="131"/>
        <v>NA</v>
      </c>
      <c r="V273" s="29" t="str">
        <f t="shared" si="132"/>
        <v>NA</v>
      </c>
      <c r="W273" s="29" t="str">
        <f t="shared" si="133"/>
        <v>NA</v>
      </c>
      <c r="X273" s="29" t="str">
        <f t="shared" si="134"/>
        <v>NA</v>
      </c>
      <c r="Y273" s="29" t="str">
        <f t="shared" si="135"/>
        <v>NA</v>
      </c>
      <c r="Z273" s="29" t="str">
        <f t="shared" si="136"/>
        <v>NA</v>
      </c>
      <c r="AA273" s="29" t="str">
        <f t="shared" si="137"/>
        <v>NA</v>
      </c>
      <c r="AB273" s="29" t="str">
        <f t="shared" si="138"/>
        <v>NA</v>
      </c>
      <c r="AC273" s="29" t="str">
        <f t="shared" si="139"/>
        <v>NA</v>
      </c>
      <c r="AD273" s="29" t="str">
        <f t="shared" si="140"/>
        <v>NA</v>
      </c>
      <c r="AE273" s="29" t="str">
        <f t="shared" si="141"/>
        <v>NA</v>
      </c>
      <c r="AF273" s="29" t="str">
        <f t="shared" si="142"/>
        <v>NA</v>
      </c>
      <c r="AG273" s="29" t="str">
        <f t="shared" si="143"/>
        <v>NA</v>
      </c>
      <c r="AH273" s="29" t="str">
        <f t="shared" si="144"/>
        <v>NA</v>
      </c>
    </row>
    <row r="274" customHeight="1" spans="1:34">
      <c r="A274" s="12" t="s">
        <v>1043</v>
      </c>
      <c r="F274" s="24">
        <f t="shared" si="126"/>
        <v>0</v>
      </c>
      <c r="G274" s="24" t="e">
        <f t="shared" si="125"/>
        <v>#DIV/0!</v>
      </c>
      <c r="Q274" s="29" t="str">
        <f t="shared" si="127"/>
        <v>NA</v>
      </c>
      <c r="R274" s="29" t="str">
        <f t="shared" si="128"/>
        <v>NA</v>
      </c>
      <c r="S274" s="29" t="str">
        <f t="shared" si="129"/>
        <v>NA</v>
      </c>
      <c r="T274" s="29" t="str">
        <f t="shared" si="130"/>
        <v>NA</v>
      </c>
      <c r="U274" s="29" t="str">
        <f t="shared" si="131"/>
        <v>NA</v>
      </c>
      <c r="V274" s="29" t="str">
        <f t="shared" si="132"/>
        <v>NA</v>
      </c>
      <c r="W274" s="29" t="str">
        <f t="shared" si="133"/>
        <v>NA</v>
      </c>
      <c r="X274" s="29" t="str">
        <f t="shared" si="134"/>
        <v>NA</v>
      </c>
      <c r="Y274" s="29" t="str">
        <f t="shared" si="135"/>
        <v>NA</v>
      </c>
      <c r="Z274" s="29" t="str">
        <f t="shared" si="136"/>
        <v>NA</v>
      </c>
      <c r="AA274" s="29" t="str">
        <f t="shared" si="137"/>
        <v>NA</v>
      </c>
      <c r="AB274" s="29" t="str">
        <f t="shared" si="138"/>
        <v>NA</v>
      </c>
      <c r="AC274" s="29" t="str">
        <f t="shared" si="139"/>
        <v>NA</v>
      </c>
      <c r="AD274" s="29" t="str">
        <f t="shared" si="140"/>
        <v>NA</v>
      </c>
      <c r="AE274" s="29" t="str">
        <f t="shared" si="141"/>
        <v>NA</v>
      </c>
      <c r="AF274" s="29" t="str">
        <f t="shared" si="142"/>
        <v>NA</v>
      </c>
      <c r="AG274" s="29" t="str">
        <f t="shared" si="143"/>
        <v>NA</v>
      </c>
      <c r="AH274" s="29" t="str">
        <f t="shared" si="144"/>
        <v>NA</v>
      </c>
    </row>
    <row r="275" customHeight="1" spans="1:34">
      <c r="A275" s="12" t="s">
        <v>1043</v>
      </c>
      <c r="F275" s="24">
        <f t="shared" si="126"/>
        <v>0</v>
      </c>
      <c r="G275" s="24" t="e">
        <f t="shared" si="125"/>
        <v>#DIV/0!</v>
      </c>
      <c r="Q275" s="29" t="str">
        <f t="shared" si="127"/>
        <v>NA</v>
      </c>
      <c r="R275" s="29" t="str">
        <f t="shared" si="128"/>
        <v>NA</v>
      </c>
      <c r="S275" s="29" t="str">
        <f t="shared" si="129"/>
        <v>NA</v>
      </c>
      <c r="T275" s="29" t="str">
        <f t="shared" si="130"/>
        <v>NA</v>
      </c>
      <c r="U275" s="29" t="str">
        <f t="shared" si="131"/>
        <v>NA</v>
      </c>
      <c r="V275" s="29" t="str">
        <f t="shared" si="132"/>
        <v>NA</v>
      </c>
      <c r="W275" s="29" t="str">
        <f t="shared" si="133"/>
        <v>NA</v>
      </c>
      <c r="X275" s="29" t="str">
        <f t="shared" si="134"/>
        <v>NA</v>
      </c>
      <c r="Y275" s="29" t="str">
        <f t="shared" si="135"/>
        <v>NA</v>
      </c>
      <c r="Z275" s="29" t="str">
        <f t="shared" si="136"/>
        <v>NA</v>
      </c>
      <c r="AA275" s="29" t="str">
        <f t="shared" si="137"/>
        <v>NA</v>
      </c>
      <c r="AB275" s="29" t="str">
        <f t="shared" si="138"/>
        <v>NA</v>
      </c>
      <c r="AC275" s="29" t="str">
        <f t="shared" si="139"/>
        <v>NA</v>
      </c>
      <c r="AD275" s="29" t="str">
        <f t="shared" si="140"/>
        <v>NA</v>
      </c>
      <c r="AE275" s="29" t="str">
        <f t="shared" si="141"/>
        <v>NA</v>
      </c>
      <c r="AF275" s="29" t="str">
        <f t="shared" si="142"/>
        <v>NA</v>
      </c>
      <c r="AG275" s="29" t="str">
        <f t="shared" si="143"/>
        <v>NA</v>
      </c>
      <c r="AH275" s="29" t="str">
        <f t="shared" si="144"/>
        <v>NA</v>
      </c>
    </row>
    <row r="276" customHeight="1" spans="1:34">
      <c r="A276" s="12" t="s">
        <v>1043</v>
      </c>
      <c r="F276" s="24">
        <f t="shared" si="126"/>
        <v>0</v>
      </c>
      <c r="G276" s="24" t="e">
        <f t="shared" si="125"/>
        <v>#DIV/0!</v>
      </c>
      <c r="Q276" s="29" t="str">
        <f t="shared" si="127"/>
        <v>NA</v>
      </c>
      <c r="R276" s="29" t="str">
        <f t="shared" si="128"/>
        <v>NA</v>
      </c>
      <c r="S276" s="29" t="str">
        <f t="shared" si="129"/>
        <v>NA</v>
      </c>
      <c r="T276" s="29" t="str">
        <f t="shared" si="130"/>
        <v>NA</v>
      </c>
      <c r="U276" s="29" t="str">
        <f t="shared" si="131"/>
        <v>NA</v>
      </c>
      <c r="V276" s="29" t="str">
        <f t="shared" si="132"/>
        <v>NA</v>
      </c>
      <c r="W276" s="29" t="str">
        <f t="shared" si="133"/>
        <v>NA</v>
      </c>
      <c r="X276" s="29" t="str">
        <f t="shared" si="134"/>
        <v>NA</v>
      </c>
      <c r="Y276" s="29" t="str">
        <f t="shared" si="135"/>
        <v>NA</v>
      </c>
      <c r="Z276" s="29" t="str">
        <f t="shared" si="136"/>
        <v>NA</v>
      </c>
      <c r="AA276" s="29" t="str">
        <f t="shared" si="137"/>
        <v>NA</v>
      </c>
      <c r="AB276" s="29" t="str">
        <f t="shared" si="138"/>
        <v>NA</v>
      </c>
      <c r="AC276" s="29" t="str">
        <f t="shared" si="139"/>
        <v>NA</v>
      </c>
      <c r="AD276" s="29" t="str">
        <f t="shared" si="140"/>
        <v>NA</v>
      </c>
      <c r="AE276" s="29" t="str">
        <f t="shared" si="141"/>
        <v>NA</v>
      </c>
      <c r="AF276" s="29" t="str">
        <f t="shared" si="142"/>
        <v>NA</v>
      </c>
      <c r="AG276" s="29" t="str">
        <f t="shared" si="143"/>
        <v>NA</v>
      </c>
      <c r="AH276" s="29" t="str">
        <f t="shared" si="144"/>
        <v>NA</v>
      </c>
    </row>
    <row r="277" customHeight="1" spans="1:34">
      <c r="A277" s="12" t="s">
        <v>1043</v>
      </c>
      <c r="F277" s="24">
        <f t="shared" si="126"/>
        <v>0</v>
      </c>
      <c r="G277" s="24" t="e">
        <f t="shared" si="125"/>
        <v>#DIV/0!</v>
      </c>
      <c r="Q277" s="29" t="str">
        <f t="shared" si="127"/>
        <v>NA</v>
      </c>
      <c r="R277" s="29" t="str">
        <f t="shared" si="128"/>
        <v>NA</v>
      </c>
      <c r="S277" s="29" t="str">
        <f t="shared" si="129"/>
        <v>NA</v>
      </c>
      <c r="T277" s="29" t="str">
        <f t="shared" si="130"/>
        <v>NA</v>
      </c>
      <c r="U277" s="29" t="str">
        <f t="shared" si="131"/>
        <v>NA</v>
      </c>
      <c r="V277" s="29" t="str">
        <f t="shared" si="132"/>
        <v>NA</v>
      </c>
      <c r="W277" s="29" t="str">
        <f t="shared" si="133"/>
        <v>NA</v>
      </c>
      <c r="X277" s="29" t="str">
        <f t="shared" si="134"/>
        <v>NA</v>
      </c>
      <c r="Y277" s="29" t="str">
        <f t="shared" si="135"/>
        <v>NA</v>
      </c>
      <c r="Z277" s="29" t="str">
        <f t="shared" si="136"/>
        <v>NA</v>
      </c>
      <c r="AA277" s="29" t="str">
        <f t="shared" si="137"/>
        <v>NA</v>
      </c>
      <c r="AB277" s="29" t="str">
        <f t="shared" si="138"/>
        <v>NA</v>
      </c>
      <c r="AC277" s="29" t="str">
        <f t="shared" si="139"/>
        <v>NA</v>
      </c>
      <c r="AD277" s="29" t="str">
        <f t="shared" si="140"/>
        <v>NA</v>
      </c>
      <c r="AE277" s="29" t="str">
        <f t="shared" si="141"/>
        <v>NA</v>
      </c>
      <c r="AF277" s="29" t="str">
        <f t="shared" si="142"/>
        <v>NA</v>
      </c>
      <c r="AG277" s="29" t="str">
        <f t="shared" si="143"/>
        <v>NA</v>
      </c>
      <c r="AH277" s="29" t="str">
        <f t="shared" si="144"/>
        <v>NA</v>
      </c>
    </row>
    <row r="278" customHeight="1" spans="1:34">
      <c r="A278" s="12" t="s">
        <v>1043</v>
      </c>
      <c r="F278" s="24">
        <f t="shared" si="126"/>
        <v>0</v>
      </c>
      <c r="G278" s="24" t="e">
        <f t="shared" si="125"/>
        <v>#DIV/0!</v>
      </c>
      <c r="Q278" s="29" t="str">
        <f t="shared" si="127"/>
        <v>NA</v>
      </c>
      <c r="R278" s="29" t="str">
        <f t="shared" si="128"/>
        <v>NA</v>
      </c>
      <c r="S278" s="29" t="str">
        <f t="shared" si="129"/>
        <v>NA</v>
      </c>
      <c r="T278" s="29" t="str">
        <f t="shared" si="130"/>
        <v>NA</v>
      </c>
      <c r="U278" s="29" t="str">
        <f t="shared" si="131"/>
        <v>NA</v>
      </c>
      <c r="V278" s="29" t="str">
        <f t="shared" si="132"/>
        <v>NA</v>
      </c>
      <c r="W278" s="29" t="str">
        <f t="shared" si="133"/>
        <v>NA</v>
      </c>
      <c r="X278" s="29" t="str">
        <f t="shared" si="134"/>
        <v>NA</v>
      </c>
      <c r="Y278" s="29" t="str">
        <f t="shared" si="135"/>
        <v>NA</v>
      </c>
      <c r="Z278" s="29" t="str">
        <f t="shared" si="136"/>
        <v>NA</v>
      </c>
      <c r="AA278" s="29" t="str">
        <f t="shared" si="137"/>
        <v>NA</v>
      </c>
      <c r="AB278" s="29" t="str">
        <f t="shared" si="138"/>
        <v>NA</v>
      </c>
      <c r="AC278" s="29" t="str">
        <f t="shared" si="139"/>
        <v>NA</v>
      </c>
      <c r="AD278" s="29" t="str">
        <f t="shared" si="140"/>
        <v>NA</v>
      </c>
      <c r="AE278" s="29" t="str">
        <f t="shared" si="141"/>
        <v>NA</v>
      </c>
      <c r="AF278" s="29" t="str">
        <f t="shared" si="142"/>
        <v>NA</v>
      </c>
      <c r="AG278" s="29" t="str">
        <f t="shared" si="143"/>
        <v>NA</v>
      </c>
      <c r="AH278" s="29" t="str">
        <f t="shared" si="144"/>
        <v>NA</v>
      </c>
    </row>
    <row r="279" customHeight="1" spans="1:34">
      <c r="A279" s="12" t="s">
        <v>1043</v>
      </c>
      <c r="F279" s="24">
        <f t="shared" si="126"/>
        <v>0</v>
      </c>
      <c r="G279" s="24" t="e">
        <f t="shared" si="125"/>
        <v>#DIV/0!</v>
      </c>
      <c r="Q279" s="29" t="str">
        <f t="shared" si="127"/>
        <v>NA</v>
      </c>
      <c r="R279" s="29" t="str">
        <f t="shared" si="128"/>
        <v>NA</v>
      </c>
      <c r="S279" s="29" t="str">
        <f t="shared" si="129"/>
        <v>NA</v>
      </c>
      <c r="T279" s="29" t="str">
        <f t="shared" si="130"/>
        <v>NA</v>
      </c>
      <c r="U279" s="29" t="str">
        <f t="shared" si="131"/>
        <v>NA</v>
      </c>
      <c r="V279" s="29" t="str">
        <f t="shared" si="132"/>
        <v>NA</v>
      </c>
      <c r="W279" s="29" t="str">
        <f t="shared" si="133"/>
        <v>NA</v>
      </c>
      <c r="X279" s="29" t="str">
        <f t="shared" si="134"/>
        <v>NA</v>
      </c>
      <c r="Y279" s="29" t="str">
        <f t="shared" si="135"/>
        <v>NA</v>
      </c>
      <c r="Z279" s="29" t="str">
        <f t="shared" si="136"/>
        <v>NA</v>
      </c>
      <c r="AA279" s="29" t="str">
        <f t="shared" si="137"/>
        <v>NA</v>
      </c>
      <c r="AB279" s="29" t="str">
        <f t="shared" si="138"/>
        <v>NA</v>
      </c>
      <c r="AC279" s="29" t="str">
        <f t="shared" si="139"/>
        <v>NA</v>
      </c>
      <c r="AD279" s="29" t="str">
        <f t="shared" si="140"/>
        <v>NA</v>
      </c>
      <c r="AE279" s="29" t="str">
        <f t="shared" si="141"/>
        <v>NA</v>
      </c>
      <c r="AF279" s="29" t="str">
        <f t="shared" si="142"/>
        <v>NA</v>
      </c>
      <c r="AG279" s="29" t="str">
        <f t="shared" si="143"/>
        <v>NA</v>
      </c>
      <c r="AH279" s="29" t="str">
        <f t="shared" si="144"/>
        <v>NA</v>
      </c>
    </row>
    <row r="280" customHeight="1" spans="1:34">
      <c r="A280" s="12" t="s">
        <v>1043</v>
      </c>
      <c r="F280" s="24">
        <f t="shared" si="126"/>
        <v>0</v>
      </c>
      <c r="G280" s="24" t="e">
        <f t="shared" si="125"/>
        <v>#DIV/0!</v>
      </c>
      <c r="Q280" s="29" t="str">
        <f t="shared" si="127"/>
        <v>NA</v>
      </c>
      <c r="R280" s="29" t="str">
        <f t="shared" si="128"/>
        <v>NA</v>
      </c>
      <c r="S280" s="29" t="str">
        <f t="shared" si="129"/>
        <v>NA</v>
      </c>
      <c r="T280" s="29" t="str">
        <f t="shared" si="130"/>
        <v>NA</v>
      </c>
      <c r="U280" s="29" t="str">
        <f t="shared" si="131"/>
        <v>NA</v>
      </c>
      <c r="V280" s="29" t="str">
        <f t="shared" si="132"/>
        <v>NA</v>
      </c>
      <c r="W280" s="29" t="str">
        <f t="shared" si="133"/>
        <v>NA</v>
      </c>
      <c r="X280" s="29" t="str">
        <f t="shared" si="134"/>
        <v>NA</v>
      </c>
      <c r="Y280" s="29" t="str">
        <f t="shared" si="135"/>
        <v>NA</v>
      </c>
      <c r="Z280" s="29" t="str">
        <f t="shared" si="136"/>
        <v>NA</v>
      </c>
      <c r="AA280" s="29" t="str">
        <f t="shared" si="137"/>
        <v>NA</v>
      </c>
      <c r="AB280" s="29" t="str">
        <f t="shared" si="138"/>
        <v>NA</v>
      </c>
      <c r="AC280" s="29" t="str">
        <f t="shared" si="139"/>
        <v>NA</v>
      </c>
      <c r="AD280" s="29" t="str">
        <f t="shared" si="140"/>
        <v>NA</v>
      </c>
      <c r="AE280" s="29" t="str">
        <f t="shared" si="141"/>
        <v>NA</v>
      </c>
      <c r="AF280" s="29" t="str">
        <f t="shared" si="142"/>
        <v>NA</v>
      </c>
      <c r="AG280" s="29" t="str">
        <f t="shared" si="143"/>
        <v>NA</v>
      </c>
      <c r="AH280" s="29" t="str">
        <f t="shared" si="144"/>
        <v>NA</v>
      </c>
    </row>
    <row r="281" customHeight="1" spans="1:34">
      <c r="A281" s="12" t="s">
        <v>1043</v>
      </c>
      <c r="F281" s="24">
        <f t="shared" si="126"/>
        <v>0</v>
      </c>
      <c r="G281" s="24" t="e">
        <f t="shared" si="125"/>
        <v>#DIV/0!</v>
      </c>
      <c r="Q281" s="29" t="str">
        <f t="shared" si="127"/>
        <v>NA</v>
      </c>
      <c r="R281" s="29" t="str">
        <f t="shared" si="128"/>
        <v>NA</v>
      </c>
      <c r="S281" s="29" t="str">
        <f t="shared" si="129"/>
        <v>NA</v>
      </c>
      <c r="T281" s="29" t="str">
        <f t="shared" si="130"/>
        <v>NA</v>
      </c>
      <c r="U281" s="29" t="str">
        <f t="shared" si="131"/>
        <v>NA</v>
      </c>
      <c r="V281" s="29" t="str">
        <f t="shared" si="132"/>
        <v>NA</v>
      </c>
      <c r="W281" s="29" t="str">
        <f t="shared" si="133"/>
        <v>NA</v>
      </c>
      <c r="X281" s="29" t="str">
        <f t="shared" si="134"/>
        <v>NA</v>
      </c>
      <c r="Y281" s="29" t="str">
        <f t="shared" si="135"/>
        <v>NA</v>
      </c>
      <c r="Z281" s="29" t="str">
        <f t="shared" si="136"/>
        <v>NA</v>
      </c>
      <c r="AA281" s="29" t="str">
        <f t="shared" si="137"/>
        <v>NA</v>
      </c>
      <c r="AB281" s="29" t="str">
        <f t="shared" si="138"/>
        <v>NA</v>
      </c>
      <c r="AC281" s="29" t="str">
        <f t="shared" si="139"/>
        <v>NA</v>
      </c>
      <c r="AD281" s="29" t="str">
        <f t="shared" si="140"/>
        <v>NA</v>
      </c>
      <c r="AE281" s="29" t="str">
        <f t="shared" si="141"/>
        <v>NA</v>
      </c>
      <c r="AF281" s="29" t="str">
        <f t="shared" si="142"/>
        <v>NA</v>
      </c>
      <c r="AG281" s="29" t="str">
        <f t="shared" si="143"/>
        <v>NA</v>
      </c>
      <c r="AH281" s="29" t="str">
        <f t="shared" si="144"/>
        <v>NA</v>
      </c>
    </row>
    <row r="282" customHeight="1" spans="1:34">
      <c r="A282" s="12" t="s">
        <v>1043</v>
      </c>
      <c r="F282" s="24">
        <f t="shared" si="126"/>
        <v>0</v>
      </c>
      <c r="G282" s="24" t="e">
        <f t="shared" si="125"/>
        <v>#DIV/0!</v>
      </c>
      <c r="Q282" s="29" t="str">
        <f t="shared" si="127"/>
        <v>NA</v>
      </c>
      <c r="R282" s="29" t="str">
        <f t="shared" si="128"/>
        <v>NA</v>
      </c>
      <c r="S282" s="29" t="str">
        <f t="shared" si="129"/>
        <v>NA</v>
      </c>
      <c r="T282" s="29" t="str">
        <f t="shared" si="130"/>
        <v>NA</v>
      </c>
      <c r="U282" s="29" t="str">
        <f t="shared" si="131"/>
        <v>NA</v>
      </c>
      <c r="V282" s="29" t="str">
        <f t="shared" si="132"/>
        <v>NA</v>
      </c>
      <c r="W282" s="29" t="str">
        <f t="shared" si="133"/>
        <v>NA</v>
      </c>
      <c r="X282" s="29" t="str">
        <f t="shared" si="134"/>
        <v>NA</v>
      </c>
      <c r="Y282" s="29" t="str">
        <f t="shared" si="135"/>
        <v>NA</v>
      </c>
      <c r="Z282" s="29" t="str">
        <f t="shared" si="136"/>
        <v>NA</v>
      </c>
      <c r="AA282" s="29" t="str">
        <f t="shared" si="137"/>
        <v>NA</v>
      </c>
      <c r="AB282" s="29" t="str">
        <f t="shared" si="138"/>
        <v>NA</v>
      </c>
      <c r="AC282" s="29" t="str">
        <f t="shared" si="139"/>
        <v>NA</v>
      </c>
      <c r="AD282" s="29" t="str">
        <f t="shared" si="140"/>
        <v>NA</v>
      </c>
      <c r="AE282" s="29" t="str">
        <f t="shared" si="141"/>
        <v>NA</v>
      </c>
      <c r="AF282" s="29" t="str">
        <f t="shared" si="142"/>
        <v>NA</v>
      </c>
      <c r="AG282" s="29" t="str">
        <f t="shared" si="143"/>
        <v>NA</v>
      </c>
      <c r="AH282" s="29" t="str">
        <f t="shared" si="144"/>
        <v>NA</v>
      </c>
    </row>
    <row r="283" customHeight="1" spans="1:34">
      <c r="A283" s="12" t="s">
        <v>1043</v>
      </c>
      <c r="F283" s="24">
        <f t="shared" si="126"/>
        <v>0</v>
      </c>
      <c r="G283" s="24" t="e">
        <f t="shared" si="125"/>
        <v>#DIV/0!</v>
      </c>
      <c r="Q283" s="29" t="str">
        <f t="shared" si="127"/>
        <v>NA</v>
      </c>
      <c r="R283" s="29" t="str">
        <f t="shared" si="128"/>
        <v>NA</v>
      </c>
      <c r="S283" s="29" t="str">
        <f t="shared" si="129"/>
        <v>NA</v>
      </c>
      <c r="T283" s="29" t="str">
        <f t="shared" si="130"/>
        <v>NA</v>
      </c>
      <c r="U283" s="29" t="str">
        <f t="shared" si="131"/>
        <v>NA</v>
      </c>
      <c r="V283" s="29" t="str">
        <f t="shared" si="132"/>
        <v>NA</v>
      </c>
      <c r="W283" s="29" t="str">
        <f t="shared" si="133"/>
        <v>NA</v>
      </c>
      <c r="X283" s="29" t="str">
        <f t="shared" si="134"/>
        <v>NA</v>
      </c>
      <c r="Y283" s="29" t="str">
        <f t="shared" si="135"/>
        <v>NA</v>
      </c>
      <c r="Z283" s="29" t="str">
        <f t="shared" si="136"/>
        <v>NA</v>
      </c>
      <c r="AA283" s="29" t="str">
        <f t="shared" si="137"/>
        <v>NA</v>
      </c>
      <c r="AB283" s="29" t="str">
        <f t="shared" si="138"/>
        <v>NA</v>
      </c>
      <c r="AC283" s="29" t="str">
        <f t="shared" si="139"/>
        <v>NA</v>
      </c>
      <c r="AD283" s="29" t="str">
        <f t="shared" si="140"/>
        <v>NA</v>
      </c>
      <c r="AE283" s="29" t="str">
        <f t="shared" si="141"/>
        <v>NA</v>
      </c>
      <c r="AF283" s="29" t="str">
        <f t="shared" si="142"/>
        <v>NA</v>
      </c>
      <c r="AG283" s="29" t="str">
        <f t="shared" si="143"/>
        <v>NA</v>
      </c>
      <c r="AH283" s="29" t="str">
        <f t="shared" si="144"/>
        <v>NA</v>
      </c>
    </row>
    <row r="284" customHeight="1" spans="1:34">
      <c r="A284" s="12" t="s">
        <v>1043</v>
      </c>
      <c r="F284" s="24">
        <f t="shared" si="126"/>
        <v>0</v>
      </c>
      <c r="G284" s="24" t="e">
        <f t="shared" si="125"/>
        <v>#DIV/0!</v>
      </c>
      <c r="Q284" s="29" t="str">
        <f t="shared" si="127"/>
        <v>NA</v>
      </c>
      <c r="R284" s="29" t="str">
        <f t="shared" si="128"/>
        <v>NA</v>
      </c>
      <c r="S284" s="29" t="str">
        <f t="shared" si="129"/>
        <v>NA</v>
      </c>
      <c r="T284" s="29" t="str">
        <f t="shared" si="130"/>
        <v>NA</v>
      </c>
      <c r="U284" s="29" t="str">
        <f t="shared" si="131"/>
        <v>NA</v>
      </c>
      <c r="V284" s="29" t="str">
        <f t="shared" si="132"/>
        <v>NA</v>
      </c>
      <c r="W284" s="29" t="str">
        <f t="shared" si="133"/>
        <v>NA</v>
      </c>
      <c r="X284" s="29" t="str">
        <f t="shared" si="134"/>
        <v>NA</v>
      </c>
      <c r="Y284" s="29" t="str">
        <f t="shared" si="135"/>
        <v>NA</v>
      </c>
      <c r="Z284" s="29" t="str">
        <f t="shared" si="136"/>
        <v>NA</v>
      </c>
      <c r="AA284" s="29" t="str">
        <f t="shared" si="137"/>
        <v>NA</v>
      </c>
      <c r="AB284" s="29" t="str">
        <f t="shared" si="138"/>
        <v>NA</v>
      </c>
      <c r="AC284" s="29" t="str">
        <f t="shared" si="139"/>
        <v>NA</v>
      </c>
      <c r="AD284" s="29" t="str">
        <f t="shared" si="140"/>
        <v>NA</v>
      </c>
      <c r="AE284" s="29" t="str">
        <f t="shared" si="141"/>
        <v>NA</v>
      </c>
      <c r="AF284" s="29" t="str">
        <f t="shared" si="142"/>
        <v>NA</v>
      </c>
      <c r="AG284" s="29" t="str">
        <f t="shared" si="143"/>
        <v>NA</v>
      </c>
      <c r="AH284" s="29" t="str">
        <f t="shared" si="144"/>
        <v>NA</v>
      </c>
    </row>
    <row r="285" customHeight="1" spans="1:34">
      <c r="A285" s="12" t="s">
        <v>1043</v>
      </c>
      <c r="F285" s="24">
        <f t="shared" si="126"/>
        <v>0</v>
      </c>
      <c r="G285" s="24" t="e">
        <f t="shared" si="125"/>
        <v>#DIV/0!</v>
      </c>
      <c r="Q285" s="29" t="str">
        <f t="shared" si="127"/>
        <v>NA</v>
      </c>
      <c r="R285" s="29" t="str">
        <f t="shared" si="128"/>
        <v>NA</v>
      </c>
      <c r="S285" s="29" t="str">
        <f t="shared" si="129"/>
        <v>NA</v>
      </c>
      <c r="T285" s="29" t="str">
        <f t="shared" si="130"/>
        <v>NA</v>
      </c>
      <c r="U285" s="29" t="str">
        <f t="shared" si="131"/>
        <v>NA</v>
      </c>
      <c r="V285" s="29" t="str">
        <f t="shared" si="132"/>
        <v>NA</v>
      </c>
      <c r="W285" s="29" t="str">
        <f t="shared" si="133"/>
        <v>NA</v>
      </c>
      <c r="X285" s="29" t="str">
        <f t="shared" si="134"/>
        <v>NA</v>
      </c>
      <c r="Y285" s="29" t="str">
        <f t="shared" si="135"/>
        <v>NA</v>
      </c>
      <c r="Z285" s="29" t="str">
        <f t="shared" si="136"/>
        <v>NA</v>
      </c>
      <c r="AA285" s="29" t="str">
        <f t="shared" si="137"/>
        <v>NA</v>
      </c>
      <c r="AB285" s="29" t="str">
        <f t="shared" si="138"/>
        <v>NA</v>
      </c>
      <c r="AC285" s="29" t="str">
        <f t="shared" si="139"/>
        <v>NA</v>
      </c>
      <c r="AD285" s="29" t="str">
        <f t="shared" si="140"/>
        <v>NA</v>
      </c>
      <c r="AE285" s="29" t="str">
        <f t="shared" si="141"/>
        <v>NA</v>
      </c>
      <c r="AF285" s="29" t="str">
        <f t="shared" si="142"/>
        <v>NA</v>
      </c>
      <c r="AG285" s="29" t="str">
        <f t="shared" si="143"/>
        <v>NA</v>
      </c>
      <c r="AH285" s="29" t="str">
        <f t="shared" si="144"/>
        <v>NA</v>
      </c>
    </row>
    <row r="286" customHeight="1" spans="1:34">
      <c r="A286" s="12" t="s">
        <v>1043</v>
      </c>
      <c r="F286" s="24">
        <f t="shared" si="126"/>
        <v>0</v>
      </c>
      <c r="G286" s="24" t="e">
        <f t="shared" si="125"/>
        <v>#DIV/0!</v>
      </c>
      <c r="Q286" s="29" t="str">
        <f t="shared" si="127"/>
        <v>NA</v>
      </c>
      <c r="R286" s="29" t="str">
        <f t="shared" si="128"/>
        <v>NA</v>
      </c>
      <c r="S286" s="29" t="str">
        <f t="shared" si="129"/>
        <v>NA</v>
      </c>
      <c r="T286" s="29" t="str">
        <f t="shared" si="130"/>
        <v>NA</v>
      </c>
      <c r="U286" s="29" t="str">
        <f t="shared" si="131"/>
        <v>NA</v>
      </c>
      <c r="V286" s="29" t="str">
        <f t="shared" si="132"/>
        <v>NA</v>
      </c>
      <c r="W286" s="29" t="str">
        <f t="shared" si="133"/>
        <v>NA</v>
      </c>
      <c r="X286" s="29" t="str">
        <f t="shared" si="134"/>
        <v>NA</v>
      </c>
      <c r="Y286" s="29" t="str">
        <f t="shared" si="135"/>
        <v>NA</v>
      </c>
      <c r="Z286" s="29" t="str">
        <f t="shared" si="136"/>
        <v>NA</v>
      </c>
      <c r="AA286" s="29" t="str">
        <f t="shared" si="137"/>
        <v>NA</v>
      </c>
      <c r="AB286" s="29" t="str">
        <f t="shared" si="138"/>
        <v>NA</v>
      </c>
      <c r="AC286" s="29" t="str">
        <f t="shared" si="139"/>
        <v>NA</v>
      </c>
      <c r="AD286" s="29" t="str">
        <f t="shared" si="140"/>
        <v>NA</v>
      </c>
      <c r="AE286" s="29" t="str">
        <f t="shared" si="141"/>
        <v>NA</v>
      </c>
      <c r="AF286" s="29" t="str">
        <f t="shared" si="142"/>
        <v>NA</v>
      </c>
      <c r="AG286" s="29" t="str">
        <f t="shared" si="143"/>
        <v>NA</v>
      </c>
      <c r="AH286" s="29" t="str">
        <f t="shared" si="144"/>
        <v>NA</v>
      </c>
    </row>
    <row r="287" customHeight="1" spans="1:34">
      <c r="A287" s="12" t="s">
        <v>1043</v>
      </c>
      <c r="F287" s="24">
        <f t="shared" si="126"/>
        <v>0</v>
      </c>
      <c r="G287" s="24" t="e">
        <f t="shared" si="125"/>
        <v>#DIV/0!</v>
      </c>
      <c r="Q287" s="29" t="str">
        <f t="shared" si="127"/>
        <v>NA</v>
      </c>
      <c r="R287" s="29" t="str">
        <f t="shared" si="128"/>
        <v>NA</v>
      </c>
      <c r="S287" s="29" t="str">
        <f t="shared" si="129"/>
        <v>NA</v>
      </c>
      <c r="T287" s="29" t="str">
        <f t="shared" si="130"/>
        <v>NA</v>
      </c>
      <c r="U287" s="29" t="str">
        <f t="shared" si="131"/>
        <v>NA</v>
      </c>
      <c r="V287" s="29" t="str">
        <f t="shared" si="132"/>
        <v>NA</v>
      </c>
      <c r="W287" s="29" t="str">
        <f t="shared" si="133"/>
        <v>NA</v>
      </c>
      <c r="X287" s="29" t="str">
        <f t="shared" si="134"/>
        <v>NA</v>
      </c>
      <c r="Y287" s="29" t="str">
        <f t="shared" si="135"/>
        <v>NA</v>
      </c>
      <c r="Z287" s="29" t="str">
        <f t="shared" si="136"/>
        <v>NA</v>
      </c>
      <c r="AA287" s="29" t="str">
        <f t="shared" si="137"/>
        <v>NA</v>
      </c>
      <c r="AB287" s="29" t="str">
        <f t="shared" si="138"/>
        <v>NA</v>
      </c>
      <c r="AC287" s="29" t="str">
        <f t="shared" si="139"/>
        <v>NA</v>
      </c>
      <c r="AD287" s="29" t="str">
        <f t="shared" si="140"/>
        <v>NA</v>
      </c>
      <c r="AE287" s="29" t="str">
        <f t="shared" si="141"/>
        <v>NA</v>
      </c>
      <c r="AF287" s="29" t="str">
        <f t="shared" si="142"/>
        <v>NA</v>
      </c>
      <c r="AG287" s="29" t="str">
        <f t="shared" si="143"/>
        <v>NA</v>
      </c>
      <c r="AH287" s="29" t="str">
        <f t="shared" si="144"/>
        <v>NA</v>
      </c>
    </row>
    <row r="288" customHeight="1" spans="1:34">
      <c r="A288" s="12" t="s">
        <v>1043</v>
      </c>
      <c r="F288" s="24">
        <f t="shared" si="126"/>
        <v>0</v>
      </c>
      <c r="G288" s="24" t="e">
        <f t="shared" si="125"/>
        <v>#DIV/0!</v>
      </c>
      <c r="Q288" s="29" t="str">
        <f t="shared" si="127"/>
        <v>NA</v>
      </c>
      <c r="R288" s="29" t="str">
        <f t="shared" si="128"/>
        <v>NA</v>
      </c>
      <c r="S288" s="29" t="str">
        <f t="shared" si="129"/>
        <v>NA</v>
      </c>
      <c r="T288" s="29" t="str">
        <f t="shared" si="130"/>
        <v>NA</v>
      </c>
      <c r="U288" s="29" t="str">
        <f t="shared" si="131"/>
        <v>NA</v>
      </c>
      <c r="V288" s="29" t="str">
        <f t="shared" si="132"/>
        <v>NA</v>
      </c>
      <c r="W288" s="29" t="str">
        <f t="shared" si="133"/>
        <v>NA</v>
      </c>
      <c r="X288" s="29" t="str">
        <f t="shared" si="134"/>
        <v>NA</v>
      </c>
      <c r="Y288" s="29" t="str">
        <f t="shared" si="135"/>
        <v>NA</v>
      </c>
      <c r="Z288" s="29" t="str">
        <f t="shared" si="136"/>
        <v>NA</v>
      </c>
      <c r="AA288" s="29" t="str">
        <f t="shared" si="137"/>
        <v>NA</v>
      </c>
      <c r="AB288" s="29" t="str">
        <f t="shared" si="138"/>
        <v>NA</v>
      </c>
      <c r="AC288" s="29" t="str">
        <f t="shared" si="139"/>
        <v>NA</v>
      </c>
      <c r="AD288" s="29" t="str">
        <f t="shared" si="140"/>
        <v>NA</v>
      </c>
      <c r="AE288" s="29" t="str">
        <f t="shared" si="141"/>
        <v>NA</v>
      </c>
      <c r="AF288" s="29" t="str">
        <f t="shared" si="142"/>
        <v>NA</v>
      </c>
      <c r="AG288" s="29" t="str">
        <f t="shared" si="143"/>
        <v>NA</v>
      </c>
      <c r="AH288" s="29" t="str">
        <f t="shared" si="144"/>
        <v>NA</v>
      </c>
    </row>
    <row r="289" customHeight="1" spans="1:34">
      <c r="A289" s="12" t="s">
        <v>1043</v>
      </c>
      <c r="F289" s="24">
        <f t="shared" si="126"/>
        <v>0</v>
      </c>
      <c r="G289" s="24" t="e">
        <f t="shared" si="125"/>
        <v>#DIV/0!</v>
      </c>
      <c r="Q289" s="29" t="str">
        <f t="shared" si="127"/>
        <v>NA</v>
      </c>
      <c r="R289" s="29" t="str">
        <f t="shared" si="128"/>
        <v>NA</v>
      </c>
      <c r="S289" s="29" t="str">
        <f t="shared" si="129"/>
        <v>NA</v>
      </c>
      <c r="T289" s="29" t="str">
        <f t="shared" si="130"/>
        <v>NA</v>
      </c>
      <c r="U289" s="29" t="str">
        <f t="shared" si="131"/>
        <v>NA</v>
      </c>
      <c r="V289" s="29" t="str">
        <f t="shared" si="132"/>
        <v>NA</v>
      </c>
      <c r="W289" s="29" t="str">
        <f t="shared" si="133"/>
        <v>NA</v>
      </c>
      <c r="X289" s="29" t="str">
        <f t="shared" si="134"/>
        <v>NA</v>
      </c>
      <c r="Y289" s="29" t="str">
        <f t="shared" si="135"/>
        <v>NA</v>
      </c>
      <c r="Z289" s="29" t="str">
        <f t="shared" si="136"/>
        <v>NA</v>
      </c>
      <c r="AA289" s="29" t="str">
        <f t="shared" si="137"/>
        <v>NA</v>
      </c>
      <c r="AB289" s="29" t="str">
        <f t="shared" si="138"/>
        <v>NA</v>
      </c>
      <c r="AC289" s="29" t="str">
        <f t="shared" si="139"/>
        <v>NA</v>
      </c>
      <c r="AD289" s="29" t="str">
        <f t="shared" si="140"/>
        <v>NA</v>
      </c>
      <c r="AE289" s="29" t="str">
        <f t="shared" si="141"/>
        <v>NA</v>
      </c>
      <c r="AF289" s="29" t="str">
        <f t="shared" si="142"/>
        <v>NA</v>
      </c>
      <c r="AG289" s="29" t="str">
        <f t="shared" si="143"/>
        <v>NA</v>
      </c>
      <c r="AH289" s="29" t="str">
        <f t="shared" si="144"/>
        <v>NA</v>
      </c>
    </row>
    <row r="290" customHeight="1" spans="1:34">
      <c r="A290" s="12" t="s">
        <v>1043</v>
      </c>
      <c r="F290" s="24">
        <f t="shared" si="126"/>
        <v>0</v>
      </c>
      <c r="G290" s="24" t="e">
        <f t="shared" si="125"/>
        <v>#DIV/0!</v>
      </c>
      <c r="Q290" s="29" t="str">
        <f t="shared" si="127"/>
        <v>NA</v>
      </c>
      <c r="R290" s="29" t="str">
        <f t="shared" si="128"/>
        <v>NA</v>
      </c>
      <c r="S290" s="29" t="str">
        <f t="shared" si="129"/>
        <v>NA</v>
      </c>
      <c r="T290" s="29" t="str">
        <f t="shared" si="130"/>
        <v>NA</v>
      </c>
      <c r="U290" s="29" t="str">
        <f t="shared" si="131"/>
        <v>NA</v>
      </c>
      <c r="V290" s="29" t="str">
        <f t="shared" si="132"/>
        <v>NA</v>
      </c>
      <c r="W290" s="29" t="str">
        <f t="shared" si="133"/>
        <v>NA</v>
      </c>
      <c r="X290" s="29" t="str">
        <f t="shared" si="134"/>
        <v>NA</v>
      </c>
      <c r="Y290" s="29" t="str">
        <f t="shared" si="135"/>
        <v>NA</v>
      </c>
      <c r="Z290" s="29" t="str">
        <f t="shared" si="136"/>
        <v>NA</v>
      </c>
      <c r="AA290" s="29" t="str">
        <f t="shared" si="137"/>
        <v>NA</v>
      </c>
      <c r="AB290" s="29" t="str">
        <f t="shared" si="138"/>
        <v>NA</v>
      </c>
      <c r="AC290" s="29" t="str">
        <f t="shared" si="139"/>
        <v>NA</v>
      </c>
      <c r="AD290" s="29" t="str">
        <f t="shared" si="140"/>
        <v>NA</v>
      </c>
      <c r="AE290" s="29" t="str">
        <f t="shared" si="141"/>
        <v>NA</v>
      </c>
      <c r="AF290" s="29" t="str">
        <f t="shared" si="142"/>
        <v>NA</v>
      </c>
      <c r="AG290" s="29" t="str">
        <f t="shared" si="143"/>
        <v>NA</v>
      </c>
      <c r="AH290" s="29" t="str">
        <f t="shared" si="144"/>
        <v>NA</v>
      </c>
    </row>
    <row r="291" customHeight="1" spans="1:34">
      <c r="A291" s="12" t="s">
        <v>1043</v>
      </c>
      <c r="F291" s="24">
        <f t="shared" si="126"/>
        <v>0</v>
      </c>
      <c r="G291" s="24" t="e">
        <f t="shared" si="125"/>
        <v>#DIV/0!</v>
      </c>
      <c r="Q291" s="29" t="str">
        <f t="shared" si="127"/>
        <v>NA</v>
      </c>
      <c r="R291" s="29" t="str">
        <f t="shared" si="128"/>
        <v>NA</v>
      </c>
      <c r="S291" s="29" t="str">
        <f t="shared" si="129"/>
        <v>NA</v>
      </c>
      <c r="T291" s="29" t="str">
        <f t="shared" si="130"/>
        <v>NA</v>
      </c>
      <c r="U291" s="29" t="str">
        <f t="shared" si="131"/>
        <v>NA</v>
      </c>
      <c r="V291" s="29" t="str">
        <f t="shared" si="132"/>
        <v>NA</v>
      </c>
      <c r="W291" s="29" t="str">
        <f t="shared" si="133"/>
        <v>NA</v>
      </c>
      <c r="X291" s="29" t="str">
        <f t="shared" si="134"/>
        <v>NA</v>
      </c>
      <c r="Y291" s="29" t="str">
        <f t="shared" si="135"/>
        <v>NA</v>
      </c>
      <c r="Z291" s="29" t="str">
        <f t="shared" si="136"/>
        <v>NA</v>
      </c>
      <c r="AA291" s="29" t="str">
        <f t="shared" si="137"/>
        <v>NA</v>
      </c>
      <c r="AB291" s="29" t="str">
        <f t="shared" si="138"/>
        <v>NA</v>
      </c>
      <c r="AC291" s="29" t="str">
        <f t="shared" si="139"/>
        <v>NA</v>
      </c>
      <c r="AD291" s="29" t="str">
        <f t="shared" si="140"/>
        <v>NA</v>
      </c>
      <c r="AE291" s="29" t="str">
        <f t="shared" si="141"/>
        <v>NA</v>
      </c>
      <c r="AF291" s="29" t="str">
        <f t="shared" si="142"/>
        <v>NA</v>
      </c>
      <c r="AG291" s="29" t="str">
        <f t="shared" si="143"/>
        <v>NA</v>
      </c>
      <c r="AH291" s="29" t="str">
        <f t="shared" si="144"/>
        <v>NA</v>
      </c>
    </row>
    <row r="292" customHeight="1" spans="1:34">
      <c r="A292" s="12" t="s">
        <v>1043</v>
      </c>
      <c r="F292" s="24">
        <f t="shared" si="126"/>
        <v>0</v>
      </c>
      <c r="G292" s="24" t="e">
        <f t="shared" si="125"/>
        <v>#DIV/0!</v>
      </c>
      <c r="Q292" s="29" t="str">
        <f t="shared" si="127"/>
        <v>NA</v>
      </c>
      <c r="R292" s="29" t="str">
        <f t="shared" si="128"/>
        <v>NA</v>
      </c>
      <c r="S292" s="29" t="str">
        <f t="shared" si="129"/>
        <v>NA</v>
      </c>
      <c r="T292" s="29" t="str">
        <f t="shared" si="130"/>
        <v>NA</v>
      </c>
      <c r="U292" s="29" t="str">
        <f t="shared" si="131"/>
        <v>NA</v>
      </c>
      <c r="V292" s="29" t="str">
        <f t="shared" si="132"/>
        <v>NA</v>
      </c>
      <c r="W292" s="29" t="str">
        <f t="shared" si="133"/>
        <v>NA</v>
      </c>
      <c r="X292" s="29" t="str">
        <f t="shared" si="134"/>
        <v>NA</v>
      </c>
      <c r="Y292" s="29" t="str">
        <f t="shared" si="135"/>
        <v>NA</v>
      </c>
      <c r="Z292" s="29" t="str">
        <f t="shared" si="136"/>
        <v>NA</v>
      </c>
      <c r="AA292" s="29" t="str">
        <f t="shared" si="137"/>
        <v>NA</v>
      </c>
      <c r="AB292" s="29" t="str">
        <f t="shared" si="138"/>
        <v>NA</v>
      </c>
      <c r="AC292" s="29" t="str">
        <f t="shared" si="139"/>
        <v>NA</v>
      </c>
      <c r="AD292" s="29" t="str">
        <f t="shared" si="140"/>
        <v>NA</v>
      </c>
      <c r="AE292" s="29" t="str">
        <f t="shared" si="141"/>
        <v>NA</v>
      </c>
      <c r="AF292" s="29" t="str">
        <f t="shared" si="142"/>
        <v>NA</v>
      </c>
      <c r="AG292" s="29" t="str">
        <f t="shared" si="143"/>
        <v>NA</v>
      </c>
      <c r="AH292" s="29" t="str">
        <f t="shared" si="144"/>
        <v>NA</v>
      </c>
    </row>
    <row r="293" customHeight="1" spans="1:34">
      <c r="A293" s="12" t="s">
        <v>1043</v>
      </c>
      <c r="F293" s="24">
        <f t="shared" si="126"/>
        <v>0</v>
      </c>
      <c r="G293" s="24" t="e">
        <f t="shared" si="125"/>
        <v>#DIV/0!</v>
      </c>
      <c r="Q293" s="29" t="str">
        <f t="shared" si="127"/>
        <v>NA</v>
      </c>
      <c r="R293" s="29" t="str">
        <f t="shared" si="128"/>
        <v>NA</v>
      </c>
      <c r="S293" s="29" t="str">
        <f t="shared" si="129"/>
        <v>NA</v>
      </c>
      <c r="T293" s="29" t="str">
        <f t="shared" si="130"/>
        <v>NA</v>
      </c>
      <c r="U293" s="29" t="str">
        <f t="shared" si="131"/>
        <v>NA</v>
      </c>
      <c r="V293" s="29" t="str">
        <f t="shared" si="132"/>
        <v>NA</v>
      </c>
      <c r="W293" s="29" t="str">
        <f t="shared" si="133"/>
        <v>NA</v>
      </c>
      <c r="X293" s="29" t="str">
        <f t="shared" si="134"/>
        <v>NA</v>
      </c>
      <c r="Y293" s="29" t="str">
        <f t="shared" si="135"/>
        <v>NA</v>
      </c>
      <c r="Z293" s="29" t="str">
        <f t="shared" si="136"/>
        <v>NA</v>
      </c>
      <c r="AA293" s="29" t="str">
        <f t="shared" si="137"/>
        <v>NA</v>
      </c>
      <c r="AB293" s="29" t="str">
        <f t="shared" si="138"/>
        <v>NA</v>
      </c>
      <c r="AC293" s="29" t="str">
        <f t="shared" si="139"/>
        <v>NA</v>
      </c>
      <c r="AD293" s="29" t="str">
        <f t="shared" si="140"/>
        <v>NA</v>
      </c>
      <c r="AE293" s="29" t="str">
        <f t="shared" si="141"/>
        <v>NA</v>
      </c>
      <c r="AF293" s="29" t="str">
        <f t="shared" si="142"/>
        <v>NA</v>
      </c>
      <c r="AG293" s="29" t="str">
        <f t="shared" si="143"/>
        <v>NA</v>
      </c>
      <c r="AH293" s="29" t="str">
        <f t="shared" si="144"/>
        <v>NA</v>
      </c>
    </row>
    <row r="294" customHeight="1" spans="1:34">
      <c r="A294" s="12" t="s">
        <v>1043</v>
      </c>
      <c r="F294" s="24">
        <f t="shared" si="126"/>
        <v>0</v>
      </c>
      <c r="G294" s="24" t="e">
        <f t="shared" si="125"/>
        <v>#DIV/0!</v>
      </c>
      <c r="Q294" s="29" t="str">
        <f t="shared" si="127"/>
        <v>NA</v>
      </c>
      <c r="R294" s="29" t="str">
        <f t="shared" si="128"/>
        <v>NA</v>
      </c>
      <c r="S294" s="29" t="str">
        <f t="shared" si="129"/>
        <v>NA</v>
      </c>
      <c r="T294" s="29" t="str">
        <f t="shared" si="130"/>
        <v>NA</v>
      </c>
      <c r="U294" s="29" t="str">
        <f t="shared" si="131"/>
        <v>NA</v>
      </c>
      <c r="V294" s="29" t="str">
        <f t="shared" si="132"/>
        <v>NA</v>
      </c>
      <c r="W294" s="29" t="str">
        <f t="shared" si="133"/>
        <v>NA</v>
      </c>
      <c r="X294" s="29" t="str">
        <f t="shared" si="134"/>
        <v>NA</v>
      </c>
      <c r="Y294" s="29" t="str">
        <f t="shared" si="135"/>
        <v>NA</v>
      </c>
      <c r="Z294" s="29" t="str">
        <f t="shared" si="136"/>
        <v>NA</v>
      </c>
      <c r="AA294" s="29" t="str">
        <f t="shared" si="137"/>
        <v>NA</v>
      </c>
      <c r="AB294" s="29" t="str">
        <f t="shared" si="138"/>
        <v>NA</v>
      </c>
      <c r="AC294" s="29" t="str">
        <f t="shared" si="139"/>
        <v>NA</v>
      </c>
      <c r="AD294" s="29" t="str">
        <f t="shared" si="140"/>
        <v>NA</v>
      </c>
      <c r="AE294" s="29" t="str">
        <f t="shared" si="141"/>
        <v>NA</v>
      </c>
      <c r="AF294" s="29" t="str">
        <f t="shared" si="142"/>
        <v>NA</v>
      </c>
      <c r="AG294" s="29" t="str">
        <f t="shared" si="143"/>
        <v>NA</v>
      </c>
      <c r="AH294" s="29" t="str">
        <f t="shared" si="144"/>
        <v>NA</v>
      </c>
    </row>
    <row r="295" customHeight="1" spans="1:34">
      <c r="A295" s="12" t="s">
        <v>1043</v>
      </c>
      <c r="F295" s="24">
        <f t="shared" si="126"/>
        <v>0</v>
      </c>
      <c r="G295" s="24" t="e">
        <f t="shared" si="125"/>
        <v>#DIV/0!</v>
      </c>
      <c r="Q295" s="29" t="str">
        <f t="shared" si="127"/>
        <v>NA</v>
      </c>
      <c r="R295" s="29" t="str">
        <f t="shared" si="128"/>
        <v>NA</v>
      </c>
      <c r="S295" s="29" t="str">
        <f t="shared" si="129"/>
        <v>NA</v>
      </c>
      <c r="T295" s="29" t="str">
        <f t="shared" si="130"/>
        <v>NA</v>
      </c>
      <c r="U295" s="29" t="str">
        <f t="shared" si="131"/>
        <v>NA</v>
      </c>
      <c r="V295" s="29" t="str">
        <f t="shared" si="132"/>
        <v>NA</v>
      </c>
      <c r="W295" s="29" t="str">
        <f t="shared" si="133"/>
        <v>NA</v>
      </c>
      <c r="X295" s="29" t="str">
        <f t="shared" si="134"/>
        <v>NA</v>
      </c>
      <c r="Y295" s="29" t="str">
        <f t="shared" si="135"/>
        <v>NA</v>
      </c>
      <c r="Z295" s="29" t="str">
        <f t="shared" si="136"/>
        <v>NA</v>
      </c>
      <c r="AA295" s="29" t="str">
        <f t="shared" si="137"/>
        <v>NA</v>
      </c>
      <c r="AB295" s="29" t="str">
        <f t="shared" si="138"/>
        <v>NA</v>
      </c>
      <c r="AC295" s="29" t="str">
        <f t="shared" si="139"/>
        <v>NA</v>
      </c>
      <c r="AD295" s="29" t="str">
        <f t="shared" si="140"/>
        <v>NA</v>
      </c>
      <c r="AE295" s="29" t="str">
        <f t="shared" si="141"/>
        <v>NA</v>
      </c>
      <c r="AF295" s="29" t="str">
        <f t="shared" si="142"/>
        <v>NA</v>
      </c>
      <c r="AG295" s="29" t="str">
        <f t="shared" si="143"/>
        <v>NA</v>
      </c>
      <c r="AH295" s="29" t="str">
        <f t="shared" si="144"/>
        <v>NA</v>
      </c>
    </row>
    <row r="296" customHeight="1" spans="1:34">
      <c r="A296" s="12" t="s">
        <v>1043</v>
      </c>
      <c r="F296" s="24">
        <f t="shared" si="126"/>
        <v>0</v>
      </c>
      <c r="G296" s="24" t="e">
        <f t="shared" si="125"/>
        <v>#DIV/0!</v>
      </c>
      <c r="Q296" s="29" t="str">
        <f t="shared" si="127"/>
        <v>NA</v>
      </c>
      <c r="R296" s="29" t="str">
        <f t="shared" si="128"/>
        <v>NA</v>
      </c>
      <c r="S296" s="29" t="str">
        <f t="shared" si="129"/>
        <v>NA</v>
      </c>
      <c r="T296" s="29" t="str">
        <f t="shared" si="130"/>
        <v>NA</v>
      </c>
      <c r="U296" s="29" t="str">
        <f t="shared" si="131"/>
        <v>NA</v>
      </c>
      <c r="V296" s="29" t="str">
        <f t="shared" si="132"/>
        <v>NA</v>
      </c>
      <c r="W296" s="29" t="str">
        <f t="shared" si="133"/>
        <v>NA</v>
      </c>
      <c r="X296" s="29" t="str">
        <f t="shared" si="134"/>
        <v>NA</v>
      </c>
      <c r="Y296" s="29" t="str">
        <f t="shared" si="135"/>
        <v>NA</v>
      </c>
      <c r="Z296" s="29" t="str">
        <f t="shared" si="136"/>
        <v>NA</v>
      </c>
      <c r="AA296" s="29" t="str">
        <f t="shared" si="137"/>
        <v>NA</v>
      </c>
      <c r="AB296" s="29" t="str">
        <f t="shared" si="138"/>
        <v>NA</v>
      </c>
      <c r="AC296" s="29" t="str">
        <f t="shared" si="139"/>
        <v>NA</v>
      </c>
      <c r="AD296" s="29" t="str">
        <f t="shared" si="140"/>
        <v>NA</v>
      </c>
      <c r="AE296" s="29" t="str">
        <f t="shared" si="141"/>
        <v>NA</v>
      </c>
      <c r="AF296" s="29" t="str">
        <f t="shared" si="142"/>
        <v>NA</v>
      </c>
      <c r="AG296" s="29" t="str">
        <f t="shared" si="143"/>
        <v>NA</v>
      </c>
      <c r="AH296" s="29" t="str">
        <f t="shared" si="144"/>
        <v>NA</v>
      </c>
    </row>
    <row r="297" customHeight="1" spans="1:34">
      <c r="A297" s="12" t="s">
        <v>1043</v>
      </c>
      <c r="F297" s="24">
        <f t="shared" si="126"/>
        <v>0</v>
      </c>
      <c r="G297" s="24" t="e">
        <f t="shared" si="125"/>
        <v>#DIV/0!</v>
      </c>
      <c r="Q297" s="29" t="str">
        <f t="shared" si="127"/>
        <v>NA</v>
      </c>
      <c r="R297" s="29" t="str">
        <f t="shared" si="128"/>
        <v>NA</v>
      </c>
      <c r="S297" s="29" t="str">
        <f t="shared" si="129"/>
        <v>NA</v>
      </c>
      <c r="T297" s="29" t="str">
        <f t="shared" si="130"/>
        <v>NA</v>
      </c>
      <c r="U297" s="29" t="str">
        <f t="shared" si="131"/>
        <v>NA</v>
      </c>
      <c r="V297" s="29" t="str">
        <f t="shared" si="132"/>
        <v>NA</v>
      </c>
      <c r="W297" s="29" t="str">
        <f t="shared" si="133"/>
        <v>NA</v>
      </c>
      <c r="X297" s="29" t="str">
        <f t="shared" si="134"/>
        <v>NA</v>
      </c>
      <c r="Y297" s="29" t="str">
        <f t="shared" si="135"/>
        <v>NA</v>
      </c>
      <c r="Z297" s="29" t="str">
        <f t="shared" si="136"/>
        <v>NA</v>
      </c>
      <c r="AA297" s="29" t="str">
        <f t="shared" si="137"/>
        <v>NA</v>
      </c>
      <c r="AB297" s="29" t="str">
        <f t="shared" si="138"/>
        <v>NA</v>
      </c>
      <c r="AC297" s="29" t="str">
        <f t="shared" si="139"/>
        <v>NA</v>
      </c>
      <c r="AD297" s="29" t="str">
        <f t="shared" si="140"/>
        <v>NA</v>
      </c>
      <c r="AE297" s="29" t="str">
        <f t="shared" si="141"/>
        <v>NA</v>
      </c>
      <c r="AF297" s="29" t="str">
        <f t="shared" si="142"/>
        <v>NA</v>
      </c>
      <c r="AG297" s="29" t="str">
        <f t="shared" si="143"/>
        <v>NA</v>
      </c>
      <c r="AH297" s="29" t="str">
        <f t="shared" si="144"/>
        <v>NA</v>
      </c>
    </row>
    <row r="298" customHeight="1" spans="1:34">
      <c r="A298" s="12" t="s">
        <v>1043</v>
      </c>
      <c r="F298" s="24">
        <f t="shared" si="126"/>
        <v>0</v>
      </c>
      <c r="G298" s="24" t="e">
        <f t="shared" si="125"/>
        <v>#DIV/0!</v>
      </c>
      <c r="Q298" s="29" t="str">
        <f t="shared" si="127"/>
        <v>NA</v>
      </c>
      <c r="R298" s="29" t="str">
        <f t="shared" si="128"/>
        <v>NA</v>
      </c>
      <c r="S298" s="29" t="str">
        <f t="shared" si="129"/>
        <v>NA</v>
      </c>
      <c r="T298" s="29" t="str">
        <f t="shared" si="130"/>
        <v>NA</v>
      </c>
      <c r="U298" s="29" t="str">
        <f t="shared" si="131"/>
        <v>NA</v>
      </c>
      <c r="V298" s="29" t="str">
        <f t="shared" si="132"/>
        <v>NA</v>
      </c>
      <c r="W298" s="29" t="str">
        <f t="shared" si="133"/>
        <v>NA</v>
      </c>
      <c r="X298" s="29" t="str">
        <f t="shared" si="134"/>
        <v>NA</v>
      </c>
      <c r="Y298" s="29" t="str">
        <f t="shared" si="135"/>
        <v>NA</v>
      </c>
      <c r="Z298" s="29" t="str">
        <f t="shared" si="136"/>
        <v>NA</v>
      </c>
      <c r="AA298" s="29" t="str">
        <f t="shared" si="137"/>
        <v>NA</v>
      </c>
      <c r="AB298" s="29" t="str">
        <f t="shared" si="138"/>
        <v>NA</v>
      </c>
      <c r="AC298" s="29" t="str">
        <f t="shared" si="139"/>
        <v>NA</v>
      </c>
      <c r="AD298" s="29" t="str">
        <f t="shared" si="140"/>
        <v>NA</v>
      </c>
      <c r="AE298" s="29" t="str">
        <f t="shared" si="141"/>
        <v>NA</v>
      </c>
      <c r="AF298" s="29" t="str">
        <f t="shared" si="142"/>
        <v>NA</v>
      </c>
      <c r="AG298" s="29" t="str">
        <f t="shared" si="143"/>
        <v>NA</v>
      </c>
      <c r="AH298" s="29" t="str">
        <f t="shared" si="144"/>
        <v>NA</v>
      </c>
    </row>
    <row r="299" customHeight="1" spans="1:34">
      <c r="A299" s="12" t="s">
        <v>1043</v>
      </c>
      <c r="F299" s="24">
        <f t="shared" si="126"/>
        <v>0</v>
      </c>
      <c r="G299" s="24" t="e">
        <f t="shared" si="125"/>
        <v>#DIV/0!</v>
      </c>
      <c r="Q299" s="29" t="str">
        <f t="shared" si="127"/>
        <v>NA</v>
      </c>
      <c r="R299" s="29" t="str">
        <f t="shared" si="128"/>
        <v>NA</v>
      </c>
      <c r="S299" s="29" t="str">
        <f t="shared" si="129"/>
        <v>NA</v>
      </c>
      <c r="T299" s="29" t="str">
        <f t="shared" si="130"/>
        <v>NA</v>
      </c>
      <c r="U299" s="29" t="str">
        <f t="shared" si="131"/>
        <v>NA</v>
      </c>
      <c r="V299" s="29" t="str">
        <f t="shared" si="132"/>
        <v>NA</v>
      </c>
      <c r="W299" s="29" t="str">
        <f t="shared" si="133"/>
        <v>NA</v>
      </c>
      <c r="X299" s="29" t="str">
        <f t="shared" si="134"/>
        <v>NA</v>
      </c>
      <c r="Y299" s="29" t="str">
        <f t="shared" si="135"/>
        <v>NA</v>
      </c>
      <c r="Z299" s="29" t="str">
        <f t="shared" si="136"/>
        <v>NA</v>
      </c>
      <c r="AA299" s="29" t="str">
        <f t="shared" si="137"/>
        <v>NA</v>
      </c>
      <c r="AB299" s="29" t="str">
        <f t="shared" si="138"/>
        <v>NA</v>
      </c>
      <c r="AC299" s="29" t="str">
        <f t="shared" si="139"/>
        <v>NA</v>
      </c>
      <c r="AD299" s="29" t="str">
        <f t="shared" si="140"/>
        <v>NA</v>
      </c>
      <c r="AE299" s="29" t="str">
        <f t="shared" si="141"/>
        <v>NA</v>
      </c>
      <c r="AF299" s="29" t="str">
        <f t="shared" si="142"/>
        <v>NA</v>
      </c>
      <c r="AG299" s="29" t="str">
        <f t="shared" si="143"/>
        <v>NA</v>
      </c>
      <c r="AH299" s="29" t="str">
        <f t="shared" si="144"/>
        <v>NA</v>
      </c>
    </row>
    <row r="300" customHeight="1" spans="1:34">
      <c r="A300" s="12" t="s">
        <v>1043</v>
      </c>
      <c r="F300" s="24">
        <f t="shared" si="126"/>
        <v>0</v>
      </c>
      <c r="G300" s="24" t="e">
        <f t="shared" si="125"/>
        <v>#DIV/0!</v>
      </c>
      <c r="Q300" s="29" t="str">
        <f t="shared" si="127"/>
        <v>NA</v>
      </c>
      <c r="R300" s="29" t="str">
        <f t="shared" si="128"/>
        <v>NA</v>
      </c>
      <c r="S300" s="29" t="str">
        <f t="shared" si="129"/>
        <v>NA</v>
      </c>
      <c r="T300" s="29" t="str">
        <f t="shared" si="130"/>
        <v>NA</v>
      </c>
      <c r="U300" s="29" t="str">
        <f t="shared" si="131"/>
        <v>NA</v>
      </c>
      <c r="V300" s="29" t="str">
        <f t="shared" si="132"/>
        <v>NA</v>
      </c>
      <c r="W300" s="29" t="str">
        <f t="shared" si="133"/>
        <v>NA</v>
      </c>
      <c r="X300" s="29" t="str">
        <f t="shared" si="134"/>
        <v>NA</v>
      </c>
      <c r="Y300" s="29" t="str">
        <f t="shared" si="135"/>
        <v>NA</v>
      </c>
      <c r="Z300" s="29" t="str">
        <f t="shared" si="136"/>
        <v>NA</v>
      </c>
      <c r="AA300" s="29" t="str">
        <f t="shared" si="137"/>
        <v>NA</v>
      </c>
      <c r="AB300" s="29" t="str">
        <f t="shared" si="138"/>
        <v>NA</v>
      </c>
      <c r="AC300" s="29" t="str">
        <f t="shared" si="139"/>
        <v>NA</v>
      </c>
      <c r="AD300" s="29" t="str">
        <f t="shared" si="140"/>
        <v>NA</v>
      </c>
      <c r="AE300" s="29" t="str">
        <f t="shared" si="141"/>
        <v>NA</v>
      </c>
      <c r="AF300" s="29" t="str">
        <f t="shared" si="142"/>
        <v>NA</v>
      </c>
      <c r="AG300" s="29" t="str">
        <f t="shared" si="143"/>
        <v>NA</v>
      </c>
      <c r="AH300" s="29" t="str">
        <f t="shared" si="144"/>
        <v>NA</v>
      </c>
    </row>
    <row r="301" customHeight="1" spans="1:34">
      <c r="A301" s="12" t="s">
        <v>1043</v>
      </c>
      <c r="F301" s="24">
        <f t="shared" si="126"/>
        <v>0</v>
      </c>
      <c r="G301" s="24" t="e">
        <f t="shared" si="125"/>
        <v>#DIV/0!</v>
      </c>
      <c r="Q301" s="29" t="str">
        <f t="shared" si="127"/>
        <v>NA</v>
      </c>
      <c r="R301" s="29" t="str">
        <f t="shared" si="128"/>
        <v>NA</v>
      </c>
      <c r="S301" s="29" t="str">
        <f t="shared" si="129"/>
        <v>NA</v>
      </c>
      <c r="T301" s="29" t="str">
        <f t="shared" si="130"/>
        <v>NA</v>
      </c>
      <c r="U301" s="29" t="str">
        <f t="shared" si="131"/>
        <v>NA</v>
      </c>
      <c r="V301" s="29" t="str">
        <f t="shared" si="132"/>
        <v>NA</v>
      </c>
      <c r="W301" s="29" t="str">
        <f t="shared" si="133"/>
        <v>NA</v>
      </c>
      <c r="X301" s="29" t="str">
        <f t="shared" si="134"/>
        <v>NA</v>
      </c>
      <c r="Y301" s="29" t="str">
        <f t="shared" si="135"/>
        <v>NA</v>
      </c>
      <c r="Z301" s="29" t="str">
        <f t="shared" si="136"/>
        <v>NA</v>
      </c>
      <c r="AA301" s="29" t="str">
        <f t="shared" si="137"/>
        <v>NA</v>
      </c>
      <c r="AB301" s="29" t="str">
        <f t="shared" si="138"/>
        <v>NA</v>
      </c>
      <c r="AC301" s="29" t="str">
        <f t="shared" si="139"/>
        <v>NA</v>
      </c>
      <c r="AD301" s="29" t="str">
        <f t="shared" si="140"/>
        <v>NA</v>
      </c>
      <c r="AE301" s="29" t="str">
        <f t="shared" si="141"/>
        <v>NA</v>
      </c>
      <c r="AF301" s="29" t="str">
        <f t="shared" si="142"/>
        <v>NA</v>
      </c>
      <c r="AG301" s="29" t="str">
        <f t="shared" si="143"/>
        <v>NA</v>
      </c>
      <c r="AH301" s="29" t="str">
        <f t="shared" si="144"/>
        <v>NA</v>
      </c>
    </row>
    <row r="302" customHeight="1" spans="1:34">
      <c r="A302" s="12" t="s">
        <v>1043</v>
      </c>
      <c r="F302" s="24">
        <f t="shared" si="126"/>
        <v>0</v>
      </c>
      <c r="G302" s="24" t="e">
        <f t="shared" si="125"/>
        <v>#DIV/0!</v>
      </c>
      <c r="Q302" s="29" t="str">
        <f t="shared" si="127"/>
        <v>NA</v>
      </c>
      <c r="R302" s="29" t="str">
        <f t="shared" si="128"/>
        <v>NA</v>
      </c>
      <c r="S302" s="29" t="str">
        <f t="shared" si="129"/>
        <v>NA</v>
      </c>
      <c r="T302" s="29" t="str">
        <f t="shared" si="130"/>
        <v>NA</v>
      </c>
      <c r="U302" s="29" t="str">
        <f t="shared" si="131"/>
        <v>NA</v>
      </c>
      <c r="V302" s="29" t="str">
        <f t="shared" si="132"/>
        <v>NA</v>
      </c>
      <c r="W302" s="29" t="str">
        <f t="shared" si="133"/>
        <v>NA</v>
      </c>
      <c r="X302" s="29" t="str">
        <f t="shared" si="134"/>
        <v>NA</v>
      </c>
      <c r="Y302" s="29" t="str">
        <f t="shared" si="135"/>
        <v>NA</v>
      </c>
      <c r="Z302" s="29" t="str">
        <f t="shared" si="136"/>
        <v>NA</v>
      </c>
      <c r="AA302" s="29" t="str">
        <f t="shared" si="137"/>
        <v>NA</v>
      </c>
      <c r="AB302" s="29" t="str">
        <f t="shared" si="138"/>
        <v>NA</v>
      </c>
      <c r="AC302" s="29" t="str">
        <f t="shared" si="139"/>
        <v>NA</v>
      </c>
      <c r="AD302" s="29" t="str">
        <f t="shared" si="140"/>
        <v>NA</v>
      </c>
      <c r="AE302" s="29" t="str">
        <f t="shared" si="141"/>
        <v>NA</v>
      </c>
      <c r="AF302" s="29" t="str">
        <f t="shared" si="142"/>
        <v>NA</v>
      </c>
      <c r="AG302" s="29" t="str">
        <f t="shared" si="143"/>
        <v>NA</v>
      </c>
      <c r="AH302" s="29" t="str">
        <f t="shared" si="144"/>
        <v>NA</v>
      </c>
    </row>
    <row r="303" customHeight="1" spans="1:34">
      <c r="A303" s="12" t="s">
        <v>1043</v>
      </c>
      <c r="F303" s="24">
        <f t="shared" si="126"/>
        <v>0</v>
      </c>
      <c r="G303" s="24" t="e">
        <f t="shared" si="125"/>
        <v>#DIV/0!</v>
      </c>
      <c r="Q303" s="29" t="str">
        <f t="shared" si="127"/>
        <v>NA</v>
      </c>
      <c r="R303" s="29" t="str">
        <f t="shared" si="128"/>
        <v>NA</v>
      </c>
      <c r="S303" s="29" t="str">
        <f t="shared" si="129"/>
        <v>NA</v>
      </c>
      <c r="T303" s="29" t="str">
        <f t="shared" si="130"/>
        <v>NA</v>
      </c>
      <c r="U303" s="29" t="str">
        <f t="shared" si="131"/>
        <v>NA</v>
      </c>
      <c r="V303" s="29" t="str">
        <f t="shared" si="132"/>
        <v>NA</v>
      </c>
      <c r="W303" s="29" t="str">
        <f t="shared" si="133"/>
        <v>NA</v>
      </c>
      <c r="X303" s="29" t="str">
        <f t="shared" si="134"/>
        <v>NA</v>
      </c>
      <c r="Y303" s="29" t="str">
        <f t="shared" si="135"/>
        <v>NA</v>
      </c>
      <c r="Z303" s="29" t="str">
        <f t="shared" si="136"/>
        <v>NA</v>
      </c>
      <c r="AA303" s="29" t="str">
        <f t="shared" si="137"/>
        <v>NA</v>
      </c>
      <c r="AB303" s="29" t="str">
        <f t="shared" si="138"/>
        <v>NA</v>
      </c>
      <c r="AC303" s="29" t="str">
        <f t="shared" si="139"/>
        <v>NA</v>
      </c>
      <c r="AD303" s="29" t="str">
        <f t="shared" si="140"/>
        <v>NA</v>
      </c>
      <c r="AE303" s="29" t="str">
        <f t="shared" si="141"/>
        <v>NA</v>
      </c>
      <c r="AF303" s="29" t="str">
        <f t="shared" si="142"/>
        <v>NA</v>
      </c>
      <c r="AG303" s="29" t="str">
        <f t="shared" si="143"/>
        <v>NA</v>
      </c>
      <c r="AH303" s="29" t="str">
        <f t="shared" si="144"/>
        <v>NA</v>
      </c>
    </row>
    <row r="304" customHeight="1" spans="1:34">
      <c r="A304" s="12" t="s">
        <v>1043</v>
      </c>
      <c r="F304" s="24">
        <f t="shared" si="126"/>
        <v>0</v>
      </c>
      <c r="G304" s="24" t="e">
        <f t="shared" si="125"/>
        <v>#DIV/0!</v>
      </c>
      <c r="Q304" s="29" t="str">
        <f t="shared" si="127"/>
        <v>NA</v>
      </c>
      <c r="R304" s="29" t="str">
        <f t="shared" si="128"/>
        <v>NA</v>
      </c>
      <c r="S304" s="29" t="str">
        <f t="shared" si="129"/>
        <v>NA</v>
      </c>
      <c r="T304" s="29" t="str">
        <f t="shared" si="130"/>
        <v>NA</v>
      </c>
      <c r="U304" s="29" t="str">
        <f t="shared" si="131"/>
        <v>NA</v>
      </c>
      <c r="V304" s="29" t="str">
        <f t="shared" si="132"/>
        <v>NA</v>
      </c>
      <c r="W304" s="29" t="str">
        <f t="shared" si="133"/>
        <v>NA</v>
      </c>
      <c r="X304" s="29" t="str">
        <f t="shared" si="134"/>
        <v>NA</v>
      </c>
      <c r="Y304" s="29" t="str">
        <f t="shared" si="135"/>
        <v>NA</v>
      </c>
      <c r="Z304" s="29" t="str">
        <f t="shared" si="136"/>
        <v>NA</v>
      </c>
      <c r="AA304" s="29" t="str">
        <f t="shared" si="137"/>
        <v>NA</v>
      </c>
      <c r="AB304" s="29" t="str">
        <f t="shared" si="138"/>
        <v>NA</v>
      </c>
      <c r="AC304" s="29" t="str">
        <f t="shared" si="139"/>
        <v>NA</v>
      </c>
      <c r="AD304" s="29" t="str">
        <f t="shared" si="140"/>
        <v>NA</v>
      </c>
      <c r="AE304" s="29" t="str">
        <f t="shared" si="141"/>
        <v>NA</v>
      </c>
      <c r="AF304" s="29" t="str">
        <f t="shared" si="142"/>
        <v>NA</v>
      </c>
      <c r="AG304" s="29" t="str">
        <f t="shared" si="143"/>
        <v>NA</v>
      </c>
      <c r="AH304" s="29" t="str">
        <f t="shared" si="144"/>
        <v>NA</v>
      </c>
    </row>
    <row r="305" customHeight="1" spans="1:34">
      <c r="A305" s="12" t="s">
        <v>1043</v>
      </c>
      <c r="F305" s="24">
        <f t="shared" si="126"/>
        <v>0</v>
      </c>
      <c r="G305" s="24" t="e">
        <f t="shared" si="125"/>
        <v>#DIV/0!</v>
      </c>
      <c r="Q305" s="29" t="str">
        <f t="shared" si="127"/>
        <v>NA</v>
      </c>
      <c r="R305" s="29" t="str">
        <f t="shared" si="128"/>
        <v>NA</v>
      </c>
      <c r="S305" s="29" t="str">
        <f t="shared" si="129"/>
        <v>NA</v>
      </c>
      <c r="T305" s="29" t="str">
        <f t="shared" si="130"/>
        <v>NA</v>
      </c>
      <c r="U305" s="29" t="str">
        <f t="shared" si="131"/>
        <v>NA</v>
      </c>
      <c r="V305" s="29" t="str">
        <f t="shared" si="132"/>
        <v>NA</v>
      </c>
      <c r="W305" s="29" t="str">
        <f t="shared" si="133"/>
        <v>NA</v>
      </c>
      <c r="X305" s="29" t="str">
        <f t="shared" si="134"/>
        <v>NA</v>
      </c>
      <c r="Y305" s="29" t="str">
        <f t="shared" si="135"/>
        <v>NA</v>
      </c>
      <c r="Z305" s="29" t="str">
        <f t="shared" si="136"/>
        <v>NA</v>
      </c>
      <c r="AA305" s="29" t="str">
        <f t="shared" si="137"/>
        <v>NA</v>
      </c>
      <c r="AB305" s="29" t="str">
        <f t="shared" si="138"/>
        <v>NA</v>
      </c>
      <c r="AC305" s="29" t="str">
        <f t="shared" si="139"/>
        <v>NA</v>
      </c>
      <c r="AD305" s="29" t="str">
        <f t="shared" si="140"/>
        <v>NA</v>
      </c>
      <c r="AE305" s="29" t="str">
        <f t="shared" si="141"/>
        <v>NA</v>
      </c>
      <c r="AF305" s="29" t="str">
        <f t="shared" si="142"/>
        <v>NA</v>
      </c>
      <c r="AG305" s="29" t="str">
        <f t="shared" si="143"/>
        <v>NA</v>
      </c>
      <c r="AH305" s="29" t="str">
        <f t="shared" si="144"/>
        <v>NA</v>
      </c>
    </row>
    <row r="306" customHeight="1" spans="1:34">
      <c r="A306" s="12" t="s">
        <v>1043</v>
      </c>
      <c r="F306" s="24">
        <f t="shared" si="126"/>
        <v>0</v>
      </c>
      <c r="G306" s="24" t="e">
        <f t="shared" si="125"/>
        <v>#DIV/0!</v>
      </c>
      <c r="Q306" s="29" t="str">
        <f t="shared" si="127"/>
        <v>NA</v>
      </c>
      <c r="R306" s="29" t="str">
        <f t="shared" si="128"/>
        <v>NA</v>
      </c>
      <c r="S306" s="29" t="str">
        <f t="shared" si="129"/>
        <v>NA</v>
      </c>
      <c r="T306" s="29" t="str">
        <f t="shared" si="130"/>
        <v>NA</v>
      </c>
      <c r="U306" s="29" t="str">
        <f t="shared" si="131"/>
        <v>NA</v>
      </c>
      <c r="V306" s="29" t="str">
        <f t="shared" si="132"/>
        <v>NA</v>
      </c>
      <c r="W306" s="29" t="str">
        <f t="shared" si="133"/>
        <v>NA</v>
      </c>
      <c r="X306" s="29" t="str">
        <f t="shared" si="134"/>
        <v>NA</v>
      </c>
      <c r="Y306" s="29" t="str">
        <f t="shared" si="135"/>
        <v>NA</v>
      </c>
      <c r="Z306" s="29" t="str">
        <f t="shared" si="136"/>
        <v>NA</v>
      </c>
      <c r="AA306" s="29" t="str">
        <f t="shared" si="137"/>
        <v>NA</v>
      </c>
      <c r="AB306" s="29" t="str">
        <f t="shared" si="138"/>
        <v>NA</v>
      </c>
      <c r="AC306" s="29" t="str">
        <f t="shared" si="139"/>
        <v>NA</v>
      </c>
      <c r="AD306" s="29" t="str">
        <f t="shared" si="140"/>
        <v>NA</v>
      </c>
      <c r="AE306" s="29" t="str">
        <f t="shared" si="141"/>
        <v>NA</v>
      </c>
      <c r="AF306" s="29" t="str">
        <f t="shared" si="142"/>
        <v>NA</v>
      </c>
      <c r="AG306" s="29" t="str">
        <f t="shared" si="143"/>
        <v>NA</v>
      </c>
      <c r="AH306" s="29" t="str">
        <f t="shared" si="144"/>
        <v>NA</v>
      </c>
    </row>
    <row r="307" customHeight="1" spans="1:34">
      <c r="A307" s="12" t="s">
        <v>1043</v>
      </c>
      <c r="F307" s="24">
        <f t="shared" si="126"/>
        <v>0</v>
      </c>
      <c r="G307" s="24" t="e">
        <f t="shared" si="125"/>
        <v>#DIV/0!</v>
      </c>
      <c r="Q307" s="29" t="str">
        <f t="shared" si="127"/>
        <v>NA</v>
      </c>
      <c r="R307" s="29" t="str">
        <f t="shared" si="128"/>
        <v>NA</v>
      </c>
      <c r="S307" s="29" t="str">
        <f t="shared" si="129"/>
        <v>NA</v>
      </c>
      <c r="T307" s="29" t="str">
        <f t="shared" si="130"/>
        <v>NA</v>
      </c>
      <c r="U307" s="29" t="str">
        <f t="shared" si="131"/>
        <v>NA</v>
      </c>
      <c r="V307" s="29" t="str">
        <f t="shared" si="132"/>
        <v>NA</v>
      </c>
      <c r="W307" s="29" t="str">
        <f t="shared" si="133"/>
        <v>NA</v>
      </c>
      <c r="X307" s="29" t="str">
        <f t="shared" si="134"/>
        <v>NA</v>
      </c>
      <c r="Y307" s="29" t="str">
        <f t="shared" si="135"/>
        <v>NA</v>
      </c>
      <c r="Z307" s="29" t="str">
        <f t="shared" si="136"/>
        <v>NA</v>
      </c>
      <c r="AA307" s="29" t="str">
        <f t="shared" si="137"/>
        <v>NA</v>
      </c>
      <c r="AB307" s="29" t="str">
        <f t="shared" si="138"/>
        <v>NA</v>
      </c>
      <c r="AC307" s="29" t="str">
        <f t="shared" si="139"/>
        <v>NA</v>
      </c>
      <c r="AD307" s="29" t="str">
        <f t="shared" si="140"/>
        <v>NA</v>
      </c>
      <c r="AE307" s="29" t="str">
        <f t="shared" si="141"/>
        <v>NA</v>
      </c>
      <c r="AF307" s="29" t="str">
        <f t="shared" si="142"/>
        <v>NA</v>
      </c>
      <c r="AG307" s="29" t="str">
        <f t="shared" si="143"/>
        <v>NA</v>
      </c>
      <c r="AH307" s="29" t="str">
        <f t="shared" si="144"/>
        <v>NA</v>
      </c>
    </row>
    <row r="308" customHeight="1" spans="1:34">
      <c r="A308" s="12" t="s">
        <v>1043</v>
      </c>
      <c r="F308" s="24">
        <f t="shared" si="126"/>
        <v>0</v>
      </c>
      <c r="G308" s="24" t="e">
        <f t="shared" si="125"/>
        <v>#DIV/0!</v>
      </c>
      <c r="Q308" s="29" t="str">
        <f t="shared" si="127"/>
        <v>NA</v>
      </c>
      <c r="R308" s="29" t="str">
        <f t="shared" si="128"/>
        <v>NA</v>
      </c>
      <c r="S308" s="29" t="str">
        <f t="shared" si="129"/>
        <v>NA</v>
      </c>
      <c r="T308" s="29" t="str">
        <f t="shared" si="130"/>
        <v>NA</v>
      </c>
      <c r="U308" s="29" t="str">
        <f t="shared" si="131"/>
        <v>NA</v>
      </c>
      <c r="V308" s="29" t="str">
        <f t="shared" si="132"/>
        <v>NA</v>
      </c>
      <c r="W308" s="29" t="str">
        <f t="shared" si="133"/>
        <v>NA</v>
      </c>
      <c r="X308" s="29" t="str">
        <f t="shared" si="134"/>
        <v>NA</v>
      </c>
      <c r="Y308" s="29" t="str">
        <f t="shared" si="135"/>
        <v>NA</v>
      </c>
      <c r="Z308" s="29" t="str">
        <f t="shared" si="136"/>
        <v>NA</v>
      </c>
      <c r="AA308" s="29" t="str">
        <f t="shared" si="137"/>
        <v>NA</v>
      </c>
      <c r="AB308" s="29" t="str">
        <f t="shared" si="138"/>
        <v>NA</v>
      </c>
      <c r="AC308" s="29" t="str">
        <f t="shared" si="139"/>
        <v>NA</v>
      </c>
      <c r="AD308" s="29" t="str">
        <f t="shared" si="140"/>
        <v>NA</v>
      </c>
      <c r="AE308" s="29" t="str">
        <f t="shared" si="141"/>
        <v>NA</v>
      </c>
      <c r="AF308" s="29" t="str">
        <f t="shared" si="142"/>
        <v>NA</v>
      </c>
      <c r="AG308" s="29" t="str">
        <f t="shared" si="143"/>
        <v>NA</v>
      </c>
      <c r="AH308" s="29" t="str">
        <f t="shared" si="144"/>
        <v>NA</v>
      </c>
    </row>
    <row r="309" customHeight="1" spans="1:34">
      <c r="A309" s="12" t="s">
        <v>1043</v>
      </c>
      <c r="F309" s="24">
        <f t="shared" si="126"/>
        <v>0</v>
      </c>
      <c r="G309" s="24" t="e">
        <f t="shared" si="125"/>
        <v>#DIV/0!</v>
      </c>
      <c r="Q309" s="29" t="str">
        <f t="shared" si="127"/>
        <v>NA</v>
      </c>
      <c r="R309" s="29" t="str">
        <f t="shared" si="128"/>
        <v>NA</v>
      </c>
      <c r="S309" s="29" t="str">
        <f t="shared" si="129"/>
        <v>NA</v>
      </c>
      <c r="T309" s="29" t="str">
        <f t="shared" si="130"/>
        <v>NA</v>
      </c>
      <c r="U309" s="29" t="str">
        <f t="shared" si="131"/>
        <v>NA</v>
      </c>
      <c r="V309" s="29" t="str">
        <f t="shared" si="132"/>
        <v>NA</v>
      </c>
      <c r="W309" s="29" t="str">
        <f t="shared" si="133"/>
        <v>NA</v>
      </c>
      <c r="X309" s="29" t="str">
        <f t="shared" si="134"/>
        <v>NA</v>
      </c>
      <c r="Y309" s="29" t="str">
        <f t="shared" si="135"/>
        <v>NA</v>
      </c>
      <c r="Z309" s="29" t="str">
        <f t="shared" si="136"/>
        <v>NA</v>
      </c>
      <c r="AA309" s="29" t="str">
        <f t="shared" si="137"/>
        <v>NA</v>
      </c>
      <c r="AB309" s="29" t="str">
        <f t="shared" si="138"/>
        <v>NA</v>
      </c>
      <c r="AC309" s="29" t="str">
        <f t="shared" si="139"/>
        <v>NA</v>
      </c>
      <c r="AD309" s="29" t="str">
        <f t="shared" si="140"/>
        <v>NA</v>
      </c>
      <c r="AE309" s="29" t="str">
        <f t="shared" si="141"/>
        <v>NA</v>
      </c>
      <c r="AF309" s="29" t="str">
        <f t="shared" si="142"/>
        <v>NA</v>
      </c>
      <c r="AG309" s="29" t="str">
        <f t="shared" si="143"/>
        <v>NA</v>
      </c>
      <c r="AH309" s="29" t="str">
        <f t="shared" si="144"/>
        <v>NA</v>
      </c>
    </row>
    <row r="310" customHeight="1" spans="1:34">
      <c r="A310" s="12" t="s">
        <v>1043</v>
      </c>
      <c r="F310" s="24">
        <f t="shared" si="126"/>
        <v>0</v>
      </c>
      <c r="G310" s="24" t="e">
        <f t="shared" si="125"/>
        <v>#DIV/0!</v>
      </c>
      <c r="Q310" s="29" t="str">
        <f t="shared" si="127"/>
        <v>NA</v>
      </c>
      <c r="R310" s="29" t="str">
        <f t="shared" si="128"/>
        <v>NA</v>
      </c>
      <c r="S310" s="29" t="str">
        <f t="shared" si="129"/>
        <v>NA</v>
      </c>
      <c r="T310" s="29" t="str">
        <f t="shared" si="130"/>
        <v>NA</v>
      </c>
      <c r="U310" s="29" t="str">
        <f t="shared" si="131"/>
        <v>NA</v>
      </c>
      <c r="V310" s="29" t="str">
        <f t="shared" si="132"/>
        <v>NA</v>
      </c>
      <c r="W310" s="29" t="str">
        <f t="shared" si="133"/>
        <v>NA</v>
      </c>
      <c r="X310" s="29" t="str">
        <f t="shared" si="134"/>
        <v>NA</v>
      </c>
      <c r="Y310" s="29" t="str">
        <f t="shared" si="135"/>
        <v>NA</v>
      </c>
      <c r="Z310" s="29" t="str">
        <f t="shared" si="136"/>
        <v>NA</v>
      </c>
      <c r="AA310" s="29" t="str">
        <f t="shared" si="137"/>
        <v>NA</v>
      </c>
      <c r="AB310" s="29" t="str">
        <f t="shared" si="138"/>
        <v>NA</v>
      </c>
      <c r="AC310" s="29" t="str">
        <f t="shared" si="139"/>
        <v>NA</v>
      </c>
      <c r="AD310" s="29" t="str">
        <f t="shared" si="140"/>
        <v>NA</v>
      </c>
      <c r="AE310" s="29" t="str">
        <f t="shared" si="141"/>
        <v>NA</v>
      </c>
      <c r="AF310" s="29" t="str">
        <f t="shared" si="142"/>
        <v>NA</v>
      </c>
      <c r="AG310" s="29" t="str">
        <f t="shared" si="143"/>
        <v>NA</v>
      </c>
      <c r="AH310" s="29" t="str">
        <f t="shared" si="144"/>
        <v>NA</v>
      </c>
    </row>
    <row r="311" customHeight="1" spans="1:34">
      <c r="A311" s="12" t="s">
        <v>1043</v>
      </c>
      <c r="F311" s="24">
        <f t="shared" si="126"/>
        <v>0</v>
      </c>
      <c r="G311" s="24" t="e">
        <f t="shared" si="125"/>
        <v>#DIV/0!</v>
      </c>
      <c r="Q311" s="29" t="str">
        <f t="shared" si="127"/>
        <v>NA</v>
      </c>
      <c r="R311" s="29" t="str">
        <f t="shared" si="128"/>
        <v>NA</v>
      </c>
      <c r="S311" s="29" t="str">
        <f t="shared" si="129"/>
        <v>NA</v>
      </c>
      <c r="T311" s="29" t="str">
        <f t="shared" si="130"/>
        <v>NA</v>
      </c>
      <c r="U311" s="29" t="str">
        <f t="shared" si="131"/>
        <v>NA</v>
      </c>
      <c r="V311" s="29" t="str">
        <f t="shared" si="132"/>
        <v>NA</v>
      </c>
      <c r="W311" s="29" t="str">
        <f t="shared" si="133"/>
        <v>NA</v>
      </c>
      <c r="X311" s="29" t="str">
        <f t="shared" si="134"/>
        <v>NA</v>
      </c>
      <c r="Y311" s="29" t="str">
        <f t="shared" si="135"/>
        <v>NA</v>
      </c>
      <c r="Z311" s="29" t="str">
        <f t="shared" si="136"/>
        <v>NA</v>
      </c>
      <c r="AA311" s="29" t="str">
        <f t="shared" si="137"/>
        <v>NA</v>
      </c>
      <c r="AB311" s="29" t="str">
        <f t="shared" si="138"/>
        <v>NA</v>
      </c>
      <c r="AC311" s="29" t="str">
        <f t="shared" si="139"/>
        <v>NA</v>
      </c>
      <c r="AD311" s="29" t="str">
        <f t="shared" si="140"/>
        <v>NA</v>
      </c>
      <c r="AE311" s="29" t="str">
        <f t="shared" si="141"/>
        <v>NA</v>
      </c>
      <c r="AF311" s="29" t="str">
        <f t="shared" si="142"/>
        <v>NA</v>
      </c>
      <c r="AG311" s="29" t="str">
        <f t="shared" si="143"/>
        <v>NA</v>
      </c>
      <c r="AH311" s="29" t="str">
        <f t="shared" si="144"/>
        <v>NA</v>
      </c>
    </row>
    <row r="312" customHeight="1" spans="1:34">
      <c r="A312" s="12" t="s">
        <v>1043</v>
      </c>
      <c r="F312" s="24">
        <f t="shared" si="126"/>
        <v>0</v>
      </c>
      <c r="G312" s="24" t="e">
        <f t="shared" si="125"/>
        <v>#DIV/0!</v>
      </c>
      <c r="Q312" s="29" t="str">
        <f t="shared" si="127"/>
        <v>NA</v>
      </c>
      <c r="R312" s="29" t="str">
        <f t="shared" si="128"/>
        <v>NA</v>
      </c>
      <c r="S312" s="29" t="str">
        <f t="shared" si="129"/>
        <v>NA</v>
      </c>
      <c r="T312" s="29" t="str">
        <f t="shared" si="130"/>
        <v>NA</v>
      </c>
      <c r="U312" s="29" t="str">
        <f t="shared" si="131"/>
        <v>NA</v>
      </c>
      <c r="V312" s="29" t="str">
        <f t="shared" si="132"/>
        <v>NA</v>
      </c>
      <c r="W312" s="29" t="str">
        <f t="shared" si="133"/>
        <v>NA</v>
      </c>
      <c r="X312" s="29" t="str">
        <f t="shared" si="134"/>
        <v>NA</v>
      </c>
      <c r="Y312" s="29" t="str">
        <f t="shared" si="135"/>
        <v>NA</v>
      </c>
      <c r="Z312" s="29" t="str">
        <f t="shared" si="136"/>
        <v>NA</v>
      </c>
      <c r="AA312" s="29" t="str">
        <f t="shared" si="137"/>
        <v>NA</v>
      </c>
      <c r="AB312" s="29" t="str">
        <f t="shared" si="138"/>
        <v>NA</v>
      </c>
      <c r="AC312" s="29" t="str">
        <f t="shared" si="139"/>
        <v>NA</v>
      </c>
      <c r="AD312" s="29" t="str">
        <f t="shared" si="140"/>
        <v>NA</v>
      </c>
      <c r="AE312" s="29" t="str">
        <f t="shared" si="141"/>
        <v>NA</v>
      </c>
      <c r="AF312" s="29" t="str">
        <f t="shared" si="142"/>
        <v>NA</v>
      </c>
      <c r="AG312" s="29" t="str">
        <f t="shared" si="143"/>
        <v>NA</v>
      </c>
      <c r="AH312" s="29" t="str">
        <f t="shared" si="144"/>
        <v>NA</v>
      </c>
    </row>
    <row r="313" customHeight="1" spans="1:34">
      <c r="A313" s="12" t="s">
        <v>1043</v>
      </c>
      <c r="F313" s="24">
        <f t="shared" si="126"/>
        <v>0</v>
      </c>
      <c r="G313" s="24" t="e">
        <f t="shared" si="125"/>
        <v>#DIV/0!</v>
      </c>
      <c r="Q313" s="29" t="str">
        <f t="shared" si="127"/>
        <v>NA</v>
      </c>
      <c r="R313" s="29" t="str">
        <f t="shared" si="128"/>
        <v>NA</v>
      </c>
      <c r="S313" s="29" t="str">
        <f t="shared" si="129"/>
        <v>NA</v>
      </c>
      <c r="T313" s="29" t="str">
        <f t="shared" si="130"/>
        <v>NA</v>
      </c>
      <c r="U313" s="29" t="str">
        <f t="shared" si="131"/>
        <v>NA</v>
      </c>
      <c r="V313" s="29" t="str">
        <f t="shared" si="132"/>
        <v>NA</v>
      </c>
      <c r="W313" s="29" t="str">
        <f t="shared" si="133"/>
        <v>NA</v>
      </c>
      <c r="X313" s="29" t="str">
        <f t="shared" si="134"/>
        <v>NA</v>
      </c>
      <c r="Y313" s="29" t="str">
        <f t="shared" si="135"/>
        <v>NA</v>
      </c>
      <c r="Z313" s="29" t="str">
        <f t="shared" si="136"/>
        <v>NA</v>
      </c>
      <c r="AA313" s="29" t="str">
        <f t="shared" si="137"/>
        <v>NA</v>
      </c>
      <c r="AB313" s="29" t="str">
        <f t="shared" si="138"/>
        <v>NA</v>
      </c>
      <c r="AC313" s="29" t="str">
        <f t="shared" si="139"/>
        <v>NA</v>
      </c>
      <c r="AD313" s="29" t="str">
        <f t="shared" si="140"/>
        <v>NA</v>
      </c>
      <c r="AE313" s="29" t="str">
        <f t="shared" si="141"/>
        <v>NA</v>
      </c>
      <c r="AF313" s="29" t="str">
        <f t="shared" si="142"/>
        <v>NA</v>
      </c>
      <c r="AG313" s="29" t="str">
        <f t="shared" si="143"/>
        <v>NA</v>
      </c>
      <c r="AH313" s="29" t="str">
        <f t="shared" si="144"/>
        <v>NA</v>
      </c>
    </row>
    <row r="314" customHeight="1" spans="1:34">
      <c r="A314" s="12" t="s">
        <v>1043</v>
      </c>
      <c r="F314" s="24">
        <f t="shared" si="126"/>
        <v>0</v>
      </c>
      <c r="G314" s="24" t="e">
        <f t="shared" si="125"/>
        <v>#DIV/0!</v>
      </c>
      <c r="Q314" s="29" t="str">
        <f t="shared" si="127"/>
        <v>NA</v>
      </c>
      <c r="R314" s="29" t="str">
        <f t="shared" si="128"/>
        <v>NA</v>
      </c>
      <c r="S314" s="29" t="str">
        <f t="shared" si="129"/>
        <v>NA</v>
      </c>
      <c r="T314" s="29" t="str">
        <f t="shared" si="130"/>
        <v>NA</v>
      </c>
      <c r="U314" s="29" t="str">
        <f t="shared" si="131"/>
        <v>NA</v>
      </c>
      <c r="V314" s="29" t="str">
        <f t="shared" si="132"/>
        <v>NA</v>
      </c>
      <c r="W314" s="29" t="str">
        <f t="shared" si="133"/>
        <v>NA</v>
      </c>
      <c r="X314" s="29" t="str">
        <f t="shared" si="134"/>
        <v>NA</v>
      </c>
      <c r="Y314" s="29" t="str">
        <f t="shared" si="135"/>
        <v>NA</v>
      </c>
      <c r="Z314" s="29" t="str">
        <f t="shared" si="136"/>
        <v>NA</v>
      </c>
      <c r="AA314" s="29" t="str">
        <f t="shared" si="137"/>
        <v>NA</v>
      </c>
      <c r="AB314" s="29" t="str">
        <f t="shared" si="138"/>
        <v>NA</v>
      </c>
      <c r="AC314" s="29" t="str">
        <f t="shared" si="139"/>
        <v>NA</v>
      </c>
      <c r="AD314" s="29" t="str">
        <f t="shared" si="140"/>
        <v>NA</v>
      </c>
      <c r="AE314" s="29" t="str">
        <f t="shared" si="141"/>
        <v>NA</v>
      </c>
      <c r="AF314" s="29" t="str">
        <f t="shared" si="142"/>
        <v>NA</v>
      </c>
      <c r="AG314" s="29" t="str">
        <f t="shared" si="143"/>
        <v>NA</v>
      </c>
      <c r="AH314" s="29" t="str">
        <f t="shared" si="144"/>
        <v>NA</v>
      </c>
    </row>
    <row r="315" customHeight="1" spans="1:34">
      <c r="A315" s="12" t="s">
        <v>1043</v>
      </c>
      <c r="F315" s="24">
        <f t="shared" si="126"/>
        <v>0</v>
      </c>
      <c r="G315" s="24" t="e">
        <f t="shared" si="125"/>
        <v>#DIV/0!</v>
      </c>
      <c r="Q315" s="29" t="str">
        <f t="shared" si="127"/>
        <v>NA</v>
      </c>
      <c r="R315" s="29" t="str">
        <f t="shared" si="128"/>
        <v>NA</v>
      </c>
      <c r="S315" s="29" t="str">
        <f t="shared" si="129"/>
        <v>NA</v>
      </c>
      <c r="T315" s="29" t="str">
        <f t="shared" si="130"/>
        <v>NA</v>
      </c>
      <c r="U315" s="29" t="str">
        <f t="shared" si="131"/>
        <v>NA</v>
      </c>
      <c r="V315" s="29" t="str">
        <f t="shared" si="132"/>
        <v>NA</v>
      </c>
      <c r="W315" s="29" t="str">
        <f t="shared" si="133"/>
        <v>NA</v>
      </c>
      <c r="X315" s="29" t="str">
        <f t="shared" si="134"/>
        <v>NA</v>
      </c>
      <c r="Y315" s="29" t="str">
        <f t="shared" si="135"/>
        <v>NA</v>
      </c>
      <c r="Z315" s="29" t="str">
        <f t="shared" si="136"/>
        <v>NA</v>
      </c>
      <c r="AA315" s="29" t="str">
        <f t="shared" si="137"/>
        <v>NA</v>
      </c>
      <c r="AB315" s="29" t="str">
        <f t="shared" si="138"/>
        <v>NA</v>
      </c>
      <c r="AC315" s="29" t="str">
        <f t="shared" si="139"/>
        <v>NA</v>
      </c>
      <c r="AD315" s="29" t="str">
        <f t="shared" si="140"/>
        <v>NA</v>
      </c>
      <c r="AE315" s="29" t="str">
        <f t="shared" si="141"/>
        <v>NA</v>
      </c>
      <c r="AF315" s="29" t="str">
        <f t="shared" si="142"/>
        <v>NA</v>
      </c>
      <c r="AG315" s="29" t="str">
        <f t="shared" si="143"/>
        <v>NA</v>
      </c>
      <c r="AH315" s="29" t="str">
        <f t="shared" si="144"/>
        <v>NA</v>
      </c>
    </row>
    <row r="316" customHeight="1" spans="1:34">
      <c r="A316" s="12" t="s">
        <v>1043</v>
      </c>
      <c r="F316" s="24">
        <f t="shared" si="126"/>
        <v>0</v>
      </c>
      <c r="G316" s="24" t="e">
        <f t="shared" si="125"/>
        <v>#DIV/0!</v>
      </c>
      <c r="Q316" s="29" t="str">
        <f t="shared" si="127"/>
        <v>NA</v>
      </c>
      <c r="R316" s="29" t="str">
        <f t="shared" si="128"/>
        <v>NA</v>
      </c>
      <c r="S316" s="29" t="str">
        <f t="shared" si="129"/>
        <v>NA</v>
      </c>
      <c r="T316" s="29" t="str">
        <f t="shared" si="130"/>
        <v>NA</v>
      </c>
      <c r="U316" s="29" t="str">
        <f t="shared" si="131"/>
        <v>NA</v>
      </c>
      <c r="V316" s="29" t="str">
        <f t="shared" si="132"/>
        <v>NA</v>
      </c>
      <c r="W316" s="29" t="str">
        <f t="shared" si="133"/>
        <v>NA</v>
      </c>
      <c r="X316" s="29" t="str">
        <f t="shared" si="134"/>
        <v>NA</v>
      </c>
      <c r="Y316" s="29" t="str">
        <f t="shared" si="135"/>
        <v>NA</v>
      </c>
      <c r="Z316" s="29" t="str">
        <f t="shared" si="136"/>
        <v>NA</v>
      </c>
      <c r="AA316" s="29" t="str">
        <f t="shared" si="137"/>
        <v>NA</v>
      </c>
      <c r="AB316" s="29" t="str">
        <f t="shared" si="138"/>
        <v>NA</v>
      </c>
      <c r="AC316" s="29" t="str">
        <f t="shared" si="139"/>
        <v>NA</v>
      </c>
      <c r="AD316" s="29" t="str">
        <f t="shared" si="140"/>
        <v>NA</v>
      </c>
      <c r="AE316" s="29" t="str">
        <f t="shared" si="141"/>
        <v>NA</v>
      </c>
      <c r="AF316" s="29" t="str">
        <f t="shared" si="142"/>
        <v>NA</v>
      </c>
      <c r="AG316" s="29" t="str">
        <f t="shared" si="143"/>
        <v>NA</v>
      </c>
      <c r="AH316" s="29" t="str">
        <f t="shared" si="144"/>
        <v>NA</v>
      </c>
    </row>
    <row r="317" customHeight="1" spans="1:34">
      <c r="A317" s="12" t="s">
        <v>1043</v>
      </c>
      <c r="F317" s="24">
        <f t="shared" si="126"/>
        <v>0</v>
      </c>
      <c r="G317" s="24" t="e">
        <f t="shared" si="125"/>
        <v>#DIV/0!</v>
      </c>
      <c r="Q317" s="29" t="str">
        <f t="shared" si="127"/>
        <v>NA</v>
      </c>
      <c r="R317" s="29" t="str">
        <f t="shared" si="128"/>
        <v>NA</v>
      </c>
      <c r="S317" s="29" t="str">
        <f t="shared" si="129"/>
        <v>NA</v>
      </c>
      <c r="T317" s="29" t="str">
        <f t="shared" si="130"/>
        <v>NA</v>
      </c>
      <c r="U317" s="29" t="str">
        <f t="shared" si="131"/>
        <v>NA</v>
      </c>
      <c r="V317" s="29" t="str">
        <f t="shared" si="132"/>
        <v>NA</v>
      </c>
      <c r="W317" s="29" t="str">
        <f t="shared" si="133"/>
        <v>NA</v>
      </c>
      <c r="X317" s="29" t="str">
        <f t="shared" si="134"/>
        <v>NA</v>
      </c>
      <c r="Y317" s="29" t="str">
        <f t="shared" si="135"/>
        <v>NA</v>
      </c>
      <c r="Z317" s="29" t="str">
        <f t="shared" si="136"/>
        <v>NA</v>
      </c>
      <c r="AA317" s="29" t="str">
        <f t="shared" si="137"/>
        <v>NA</v>
      </c>
      <c r="AB317" s="29" t="str">
        <f t="shared" si="138"/>
        <v>NA</v>
      </c>
      <c r="AC317" s="29" t="str">
        <f t="shared" si="139"/>
        <v>NA</v>
      </c>
      <c r="AD317" s="29" t="str">
        <f t="shared" si="140"/>
        <v>NA</v>
      </c>
      <c r="AE317" s="29" t="str">
        <f t="shared" si="141"/>
        <v>NA</v>
      </c>
      <c r="AF317" s="29" t="str">
        <f t="shared" si="142"/>
        <v>NA</v>
      </c>
      <c r="AG317" s="29" t="str">
        <f t="shared" si="143"/>
        <v>NA</v>
      </c>
      <c r="AH317" s="29" t="str">
        <f t="shared" si="144"/>
        <v>NA</v>
      </c>
    </row>
    <row r="318" customHeight="1" spans="1:34">
      <c r="A318" s="12" t="s">
        <v>1043</v>
      </c>
      <c r="F318" s="24">
        <f t="shared" si="126"/>
        <v>0</v>
      </c>
      <c r="G318" s="24" t="e">
        <f t="shared" si="125"/>
        <v>#DIV/0!</v>
      </c>
      <c r="Q318" s="29" t="str">
        <f t="shared" si="127"/>
        <v>NA</v>
      </c>
      <c r="R318" s="29" t="str">
        <f t="shared" si="128"/>
        <v>NA</v>
      </c>
      <c r="S318" s="29" t="str">
        <f t="shared" si="129"/>
        <v>NA</v>
      </c>
      <c r="T318" s="29" t="str">
        <f t="shared" si="130"/>
        <v>NA</v>
      </c>
      <c r="U318" s="29" t="str">
        <f t="shared" si="131"/>
        <v>NA</v>
      </c>
      <c r="V318" s="29" t="str">
        <f t="shared" si="132"/>
        <v>NA</v>
      </c>
      <c r="W318" s="29" t="str">
        <f t="shared" si="133"/>
        <v>NA</v>
      </c>
      <c r="X318" s="29" t="str">
        <f t="shared" si="134"/>
        <v>NA</v>
      </c>
      <c r="Y318" s="29" t="str">
        <f t="shared" si="135"/>
        <v>NA</v>
      </c>
      <c r="Z318" s="29" t="str">
        <f t="shared" si="136"/>
        <v>NA</v>
      </c>
      <c r="AA318" s="29" t="str">
        <f t="shared" si="137"/>
        <v>NA</v>
      </c>
      <c r="AB318" s="29" t="str">
        <f t="shared" si="138"/>
        <v>NA</v>
      </c>
      <c r="AC318" s="29" t="str">
        <f t="shared" si="139"/>
        <v>NA</v>
      </c>
      <c r="AD318" s="29" t="str">
        <f t="shared" si="140"/>
        <v>NA</v>
      </c>
      <c r="AE318" s="29" t="str">
        <f t="shared" si="141"/>
        <v>NA</v>
      </c>
      <c r="AF318" s="29" t="str">
        <f t="shared" si="142"/>
        <v>NA</v>
      </c>
      <c r="AG318" s="29" t="str">
        <f t="shared" si="143"/>
        <v>NA</v>
      </c>
      <c r="AH318" s="29" t="str">
        <f t="shared" si="144"/>
        <v>NA</v>
      </c>
    </row>
    <row r="319" customHeight="1" spans="1:34">
      <c r="A319" s="12" t="s">
        <v>1043</v>
      </c>
      <c r="F319" s="24">
        <f t="shared" si="126"/>
        <v>0</v>
      </c>
      <c r="G319" s="24" t="e">
        <f t="shared" si="125"/>
        <v>#DIV/0!</v>
      </c>
      <c r="Q319" s="29" t="str">
        <f t="shared" si="127"/>
        <v>NA</v>
      </c>
      <c r="R319" s="29" t="str">
        <f t="shared" si="128"/>
        <v>NA</v>
      </c>
      <c r="S319" s="29" t="str">
        <f t="shared" si="129"/>
        <v>NA</v>
      </c>
      <c r="T319" s="29" t="str">
        <f t="shared" si="130"/>
        <v>NA</v>
      </c>
      <c r="U319" s="29" t="str">
        <f t="shared" si="131"/>
        <v>NA</v>
      </c>
      <c r="V319" s="29" t="str">
        <f t="shared" si="132"/>
        <v>NA</v>
      </c>
      <c r="W319" s="29" t="str">
        <f t="shared" si="133"/>
        <v>NA</v>
      </c>
      <c r="X319" s="29" t="str">
        <f t="shared" si="134"/>
        <v>NA</v>
      </c>
      <c r="Y319" s="29" t="str">
        <f t="shared" si="135"/>
        <v>NA</v>
      </c>
      <c r="Z319" s="29" t="str">
        <f t="shared" si="136"/>
        <v>NA</v>
      </c>
      <c r="AA319" s="29" t="str">
        <f t="shared" si="137"/>
        <v>NA</v>
      </c>
      <c r="AB319" s="29" t="str">
        <f t="shared" si="138"/>
        <v>NA</v>
      </c>
      <c r="AC319" s="29" t="str">
        <f t="shared" si="139"/>
        <v>NA</v>
      </c>
      <c r="AD319" s="29" t="str">
        <f t="shared" si="140"/>
        <v>NA</v>
      </c>
      <c r="AE319" s="29" t="str">
        <f t="shared" si="141"/>
        <v>NA</v>
      </c>
      <c r="AF319" s="29" t="str">
        <f t="shared" si="142"/>
        <v>NA</v>
      </c>
      <c r="AG319" s="29" t="str">
        <f t="shared" si="143"/>
        <v>NA</v>
      </c>
      <c r="AH319" s="29" t="str">
        <f t="shared" si="144"/>
        <v>NA</v>
      </c>
    </row>
    <row r="320" customHeight="1" spans="1:34">
      <c r="A320" s="12" t="s">
        <v>1043</v>
      </c>
      <c r="F320" s="24">
        <f t="shared" si="126"/>
        <v>0</v>
      </c>
      <c r="G320" s="24" t="e">
        <f t="shared" si="125"/>
        <v>#DIV/0!</v>
      </c>
      <c r="Q320" s="29" t="str">
        <f t="shared" si="127"/>
        <v>NA</v>
      </c>
      <c r="R320" s="29" t="str">
        <f t="shared" si="128"/>
        <v>NA</v>
      </c>
      <c r="S320" s="29" t="str">
        <f t="shared" si="129"/>
        <v>NA</v>
      </c>
      <c r="T320" s="29" t="str">
        <f t="shared" si="130"/>
        <v>NA</v>
      </c>
      <c r="U320" s="29" t="str">
        <f t="shared" si="131"/>
        <v>NA</v>
      </c>
      <c r="V320" s="29" t="str">
        <f t="shared" si="132"/>
        <v>NA</v>
      </c>
      <c r="W320" s="29" t="str">
        <f t="shared" si="133"/>
        <v>NA</v>
      </c>
      <c r="X320" s="29" t="str">
        <f t="shared" si="134"/>
        <v>NA</v>
      </c>
      <c r="Y320" s="29" t="str">
        <f t="shared" si="135"/>
        <v>NA</v>
      </c>
      <c r="Z320" s="29" t="str">
        <f t="shared" si="136"/>
        <v>NA</v>
      </c>
      <c r="AA320" s="29" t="str">
        <f t="shared" si="137"/>
        <v>NA</v>
      </c>
      <c r="AB320" s="29" t="str">
        <f t="shared" si="138"/>
        <v>NA</v>
      </c>
      <c r="AC320" s="29" t="str">
        <f t="shared" si="139"/>
        <v>NA</v>
      </c>
      <c r="AD320" s="29" t="str">
        <f t="shared" si="140"/>
        <v>NA</v>
      </c>
      <c r="AE320" s="29" t="str">
        <f t="shared" si="141"/>
        <v>NA</v>
      </c>
      <c r="AF320" s="29" t="str">
        <f t="shared" si="142"/>
        <v>NA</v>
      </c>
      <c r="AG320" s="29" t="str">
        <f t="shared" si="143"/>
        <v>NA</v>
      </c>
      <c r="AH320" s="29" t="str">
        <f t="shared" si="144"/>
        <v>NA</v>
      </c>
    </row>
    <row r="321" customHeight="1" spans="1:34">
      <c r="A321" s="12" t="s">
        <v>1043</v>
      </c>
      <c r="F321" s="24">
        <f t="shared" si="126"/>
        <v>0</v>
      </c>
      <c r="G321" s="24" t="e">
        <f t="shared" si="125"/>
        <v>#DIV/0!</v>
      </c>
      <c r="Q321" s="29" t="str">
        <f t="shared" si="127"/>
        <v>NA</v>
      </c>
      <c r="R321" s="29" t="str">
        <f t="shared" si="128"/>
        <v>NA</v>
      </c>
      <c r="S321" s="29" t="str">
        <f t="shared" si="129"/>
        <v>NA</v>
      </c>
      <c r="T321" s="29" t="str">
        <f t="shared" si="130"/>
        <v>NA</v>
      </c>
      <c r="U321" s="29" t="str">
        <f t="shared" si="131"/>
        <v>NA</v>
      </c>
      <c r="V321" s="29" t="str">
        <f t="shared" si="132"/>
        <v>NA</v>
      </c>
      <c r="W321" s="29" t="str">
        <f t="shared" si="133"/>
        <v>NA</v>
      </c>
      <c r="X321" s="29" t="str">
        <f t="shared" si="134"/>
        <v>NA</v>
      </c>
      <c r="Y321" s="29" t="str">
        <f t="shared" si="135"/>
        <v>NA</v>
      </c>
      <c r="Z321" s="29" t="str">
        <f t="shared" si="136"/>
        <v>NA</v>
      </c>
      <c r="AA321" s="29" t="str">
        <f t="shared" si="137"/>
        <v>NA</v>
      </c>
      <c r="AB321" s="29" t="str">
        <f t="shared" si="138"/>
        <v>NA</v>
      </c>
      <c r="AC321" s="29" t="str">
        <f t="shared" si="139"/>
        <v>NA</v>
      </c>
      <c r="AD321" s="29" t="str">
        <f t="shared" si="140"/>
        <v>NA</v>
      </c>
      <c r="AE321" s="29" t="str">
        <f t="shared" si="141"/>
        <v>NA</v>
      </c>
      <c r="AF321" s="29" t="str">
        <f t="shared" si="142"/>
        <v>NA</v>
      </c>
      <c r="AG321" s="29" t="str">
        <f t="shared" si="143"/>
        <v>NA</v>
      </c>
      <c r="AH321" s="29" t="str">
        <f t="shared" si="144"/>
        <v>NA</v>
      </c>
    </row>
    <row r="322" customHeight="1" spans="1:34">
      <c r="A322" s="12" t="s">
        <v>1043</v>
      </c>
      <c r="F322" s="24">
        <f t="shared" si="126"/>
        <v>0</v>
      </c>
      <c r="G322" s="24" t="e">
        <f t="shared" si="125"/>
        <v>#DIV/0!</v>
      </c>
      <c r="Q322" s="29" t="str">
        <f t="shared" si="127"/>
        <v>NA</v>
      </c>
      <c r="R322" s="29" t="str">
        <f t="shared" si="128"/>
        <v>NA</v>
      </c>
      <c r="S322" s="29" t="str">
        <f t="shared" si="129"/>
        <v>NA</v>
      </c>
      <c r="T322" s="29" t="str">
        <f t="shared" si="130"/>
        <v>NA</v>
      </c>
      <c r="U322" s="29" t="str">
        <f t="shared" si="131"/>
        <v>NA</v>
      </c>
      <c r="V322" s="29" t="str">
        <f t="shared" si="132"/>
        <v>NA</v>
      </c>
      <c r="W322" s="29" t="str">
        <f t="shared" si="133"/>
        <v>NA</v>
      </c>
      <c r="X322" s="29" t="str">
        <f t="shared" si="134"/>
        <v>NA</v>
      </c>
      <c r="Y322" s="29" t="str">
        <f t="shared" si="135"/>
        <v>NA</v>
      </c>
      <c r="Z322" s="29" t="str">
        <f t="shared" si="136"/>
        <v>NA</v>
      </c>
      <c r="AA322" s="29" t="str">
        <f t="shared" si="137"/>
        <v>NA</v>
      </c>
      <c r="AB322" s="29" t="str">
        <f t="shared" si="138"/>
        <v>NA</v>
      </c>
      <c r="AC322" s="29" t="str">
        <f t="shared" si="139"/>
        <v>NA</v>
      </c>
      <c r="AD322" s="29" t="str">
        <f t="shared" si="140"/>
        <v>NA</v>
      </c>
      <c r="AE322" s="29" t="str">
        <f t="shared" si="141"/>
        <v>NA</v>
      </c>
      <c r="AF322" s="29" t="str">
        <f t="shared" si="142"/>
        <v>NA</v>
      </c>
      <c r="AG322" s="29" t="str">
        <f t="shared" si="143"/>
        <v>NA</v>
      </c>
      <c r="AH322" s="29" t="str">
        <f t="shared" si="144"/>
        <v>NA</v>
      </c>
    </row>
    <row r="323" customHeight="1" spans="1:34">
      <c r="A323" s="12" t="s">
        <v>1043</v>
      </c>
      <c r="F323" s="24">
        <f t="shared" si="126"/>
        <v>0</v>
      </c>
      <c r="G323" s="24" t="e">
        <f t="shared" si="125"/>
        <v>#DIV/0!</v>
      </c>
      <c r="Q323" s="29" t="str">
        <f t="shared" si="127"/>
        <v>NA</v>
      </c>
      <c r="R323" s="29" t="str">
        <f t="shared" si="128"/>
        <v>NA</v>
      </c>
      <c r="S323" s="29" t="str">
        <f t="shared" si="129"/>
        <v>NA</v>
      </c>
      <c r="T323" s="29" t="str">
        <f t="shared" si="130"/>
        <v>NA</v>
      </c>
      <c r="U323" s="29" t="str">
        <f t="shared" si="131"/>
        <v>NA</v>
      </c>
      <c r="V323" s="29" t="str">
        <f t="shared" si="132"/>
        <v>NA</v>
      </c>
      <c r="W323" s="29" t="str">
        <f t="shared" si="133"/>
        <v>NA</v>
      </c>
      <c r="X323" s="29" t="str">
        <f t="shared" si="134"/>
        <v>NA</v>
      </c>
      <c r="Y323" s="29" t="str">
        <f t="shared" si="135"/>
        <v>NA</v>
      </c>
      <c r="Z323" s="29" t="str">
        <f t="shared" si="136"/>
        <v>NA</v>
      </c>
      <c r="AA323" s="29" t="str">
        <f t="shared" si="137"/>
        <v>NA</v>
      </c>
      <c r="AB323" s="29" t="str">
        <f t="shared" si="138"/>
        <v>NA</v>
      </c>
      <c r="AC323" s="29" t="str">
        <f t="shared" si="139"/>
        <v>NA</v>
      </c>
      <c r="AD323" s="29" t="str">
        <f t="shared" si="140"/>
        <v>NA</v>
      </c>
      <c r="AE323" s="29" t="str">
        <f t="shared" si="141"/>
        <v>NA</v>
      </c>
      <c r="AF323" s="29" t="str">
        <f t="shared" si="142"/>
        <v>NA</v>
      </c>
      <c r="AG323" s="29" t="str">
        <f t="shared" si="143"/>
        <v>NA</v>
      </c>
      <c r="AH323" s="29" t="str">
        <f t="shared" si="144"/>
        <v>NA</v>
      </c>
    </row>
    <row r="324" customHeight="1" spans="1:34">
      <c r="A324" s="12" t="s">
        <v>1043</v>
      </c>
      <c r="F324" s="24">
        <f t="shared" si="126"/>
        <v>0</v>
      </c>
      <c r="G324" s="24" t="e">
        <f t="shared" si="125"/>
        <v>#DIV/0!</v>
      </c>
      <c r="Q324" s="29" t="str">
        <f t="shared" si="127"/>
        <v>NA</v>
      </c>
      <c r="R324" s="29" t="str">
        <f t="shared" si="128"/>
        <v>NA</v>
      </c>
      <c r="S324" s="29" t="str">
        <f t="shared" si="129"/>
        <v>NA</v>
      </c>
      <c r="T324" s="29" t="str">
        <f t="shared" si="130"/>
        <v>NA</v>
      </c>
      <c r="U324" s="29" t="str">
        <f t="shared" si="131"/>
        <v>NA</v>
      </c>
      <c r="V324" s="29" t="str">
        <f t="shared" si="132"/>
        <v>NA</v>
      </c>
      <c r="W324" s="29" t="str">
        <f t="shared" si="133"/>
        <v>NA</v>
      </c>
      <c r="X324" s="29" t="str">
        <f t="shared" si="134"/>
        <v>NA</v>
      </c>
      <c r="Y324" s="29" t="str">
        <f t="shared" si="135"/>
        <v>NA</v>
      </c>
      <c r="Z324" s="29" t="str">
        <f t="shared" si="136"/>
        <v>NA</v>
      </c>
      <c r="AA324" s="29" t="str">
        <f t="shared" si="137"/>
        <v>NA</v>
      </c>
      <c r="AB324" s="29" t="str">
        <f t="shared" si="138"/>
        <v>NA</v>
      </c>
      <c r="AC324" s="29" t="str">
        <f t="shared" si="139"/>
        <v>NA</v>
      </c>
      <c r="AD324" s="29" t="str">
        <f t="shared" si="140"/>
        <v>NA</v>
      </c>
      <c r="AE324" s="29" t="str">
        <f t="shared" si="141"/>
        <v>NA</v>
      </c>
      <c r="AF324" s="29" t="str">
        <f t="shared" si="142"/>
        <v>NA</v>
      </c>
      <c r="AG324" s="29" t="str">
        <f t="shared" si="143"/>
        <v>NA</v>
      </c>
      <c r="AH324" s="29" t="str">
        <f t="shared" si="144"/>
        <v>NA</v>
      </c>
    </row>
    <row r="325" customHeight="1" spans="1:34">
      <c r="A325" s="12" t="s">
        <v>1043</v>
      </c>
      <c r="F325" s="24">
        <f t="shared" si="126"/>
        <v>0</v>
      </c>
      <c r="G325" s="24" t="e">
        <f t="shared" ref="G325:G388" si="145">B325*D325/C325</f>
        <v>#DIV/0!</v>
      </c>
      <c r="Q325" s="29" t="str">
        <f t="shared" si="127"/>
        <v>NA</v>
      </c>
      <c r="R325" s="29" t="str">
        <f t="shared" si="128"/>
        <v>NA</v>
      </c>
      <c r="S325" s="29" t="str">
        <f t="shared" si="129"/>
        <v>NA</v>
      </c>
      <c r="T325" s="29" t="str">
        <f t="shared" si="130"/>
        <v>NA</v>
      </c>
      <c r="U325" s="29" t="str">
        <f t="shared" si="131"/>
        <v>NA</v>
      </c>
      <c r="V325" s="29" t="str">
        <f t="shared" si="132"/>
        <v>NA</v>
      </c>
      <c r="W325" s="29" t="str">
        <f t="shared" si="133"/>
        <v>NA</v>
      </c>
      <c r="X325" s="29" t="str">
        <f t="shared" si="134"/>
        <v>NA</v>
      </c>
      <c r="Y325" s="29" t="str">
        <f t="shared" si="135"/>
        <v>NA</v>
      </c>
      <c r="Z325" s="29" t="str">
        <f t="shared" si="136"/>
        <v>NA</v>
      </c>
      <c r="AA325" s="29" t="str">
        <f t="shared" si="137"/>
        <v>NA</v>
      </c>
      <c r="AB325" s="29" t="str">
        <f t="shared" si="138"/>
        <v>NA</v>
      </c>
      <c r="AC325" s="29" t="str">
        <f t="shared" si="139"/>
        <v>NA</v>
      </c>
      <c r="AD325" s="29" t="str">
        <f t="shared" si="140"/>
        <v>NA</v>
      </c>
      <c r="AE325" s="29" t="str">
        <f t="shared" si="141"/>
        <v>NA</v>
      </c>
      <c r="AF325" s="29" t="str">
        <f t="shared" si="142"/>
        <v>NA</v>
      </c>
      <c r="AG325" s="29" t="str">
        <f t="shared" si="143"/>
        <v>NA</v>
      </c>
      <c r="AH325" s="29" t="str">
        <f t="shared" si="144"/>
        <v>NA</v>
      </c>
    </row>
    <row r="326" customHeight="1" spans="1:34">
      <c r="A326" s="12" t="s">
        <v>1043</v>
      </c>
      <c r="F326" s="24">
        <f t="shared" ref="F326:F389" si="146">+D326+E326</f>
        <v>0</v>
      </c>
      <c r="G326" s="24" t="e">
        <f t="shared" si="145"/>
        <v>#DIV/0!</v>
      </c>
      <c r="Q326" s="29" t="str">
        <f t="shared" si="127"/>
        <v>NA</v>
      </c>
      <c r="R326" s="29" t="str">
        <f t="shared" si="128"/>
        <v>NA</v>
      </c>
      <c r="S326" s="29" t="str">
        <f t="shared" si="129"/>
        <v>NA</v>
      </c>
      <c r="T326" s="29" t="str">
        <f t="shared" si="130"/>
        <v>NA</v>
      </c>
      <c r="U326" s="29" t="str">
        <f t="shared" si="131"/>
        <v>NA</v>
      </c>
      <c r="V326" s="29" t="str">
        <f t="shared" si="132"/>
        <v>NA</v>
      </c>
      <c r="W326" s="29" t="str">
        <f t="shared" si="133"/>
        <v>NA</v>
      </c>
      <c r="X326" s="29" t="str">
        <f t="shared" si="134"/>
        <v>NA</v>
      </c>
      <c r="Y326" s="29" t="str">
        <f t="shared" si="135"/>
        <v>NA</v>
      </c>
      <c r="Z326" s="29" t="str">
        <f t="shared" si="136"/>
        <v>NA</v>
      </c>
      <c r="AA326" s="29" t="str">
        <f t="shared" si="137"/>
        <v>NA</v>
      </c>
      <c r="AB326" s="29" t="str">
        <f t="shared" si="138"/>
        <v>NA</v>
      </c>
      <c r="AC326" s="29" t="str">
        <f t="shared" si="139"/>
        <v>NA</v>
      </c>
      <c r="AD326" s="29" t="str">
        <f t="shared" si="140"/>
        <v>NA</v>
      </c>
      <c r="AE326" s="29" t="str">
        <f t="shared" si="141"/>
        <v>NA</v>
      </c>
      <c r="AF326" s="29" t="str">
        <f t="shared" si="142"/>
        <v>NA</v>
      </c>
      <c r="AG326" s="29" t="str">
        <f t="shared" si="143"/>
        <v>NA</v>
      </c>
      <c r="AH326" s="29" t="str">
        <f t="shared" si="144"/>
        <v>NA</v>
      </c>
    </row>
    <row r="327" customHeight="1" spans="1:34">
      <c r="A327" s="12" t="s">
        <v>1043</v>
      </c>
      <c r="F327" s="24">
        <f t="shared" si="146"/>
        <v>0</v>
      </c>
      <c r="G327" s="24" t="e">
        <f t="shared" si="145"/>
        <v>#DIV/0!</v>
      </c>
      <c r="Q327" s="29" t="str">
        <f t="shared" si="127"/>
        <v>NA</v>
      </c>
      <c r="R327" s="29" t="str">
        <f t="shared" si="128"/>
        <v>NA</v>
      </c>
      <c r="S327" s="29" t="str">
        <f t="shared" si="129"/>
        <v>NA</v>
      </c>
      <c r="T327" s="29" t="str">
        <f t="shared" si="130"/>
        <v>NA</v>
      </c>
      <c r="U327" s="29" t="str">
        <f t="shared" si="131"/>
        <v>NA</v>
      </c>
      <c r="V327" s="29" t="str">
        <f t="shared" si="132"/>
        <v>NA</v>
      </c>
      <c r="W327" s="29" t="str">
        <f t="shared" si="133"/>
        <v>NA</v>
      </c>
      <c r="X327" s="29" t="str">
        <f t="shared" si="134"/>
        <v>NA</v>
      </c>
      <c r="Y327" s="29" t="str">
        <f t="shared" si="135"/>
        <v>NA</v>
      </c>
      <c r="Z327" s="29" t="str">
        <f t="shared" si="136"/>
        <v>NA</v>
      </c>
      <c r="AA327" s="29" t="str">
        <f t="shared" si="137"/>
        <v>NA</v>
      </c>
      <c r="AB327" s="29" t="str">
        <f t="shared" si="138"/>
        <v>NA</v>
      </c>
      <c r="AC327" s="29" t="str">
        <f t="shared" si="139"/>
        <v>NA</v>
      </c>
      <c r="AD327" s="29" t="str">
        <f t="shared" si="140"/>
        <v>NA</v>
      </c>
      <c r="AE327" s="29" t="str">
        <f t="shared" si="141"/>
        <v>NA</v>
      </c>
      <c r="AF327" s="29" t="str">
        <f t="shared" si="142"/>
        <v>NA</v>
      </c>
      <c r="AG327" s="29" t="str">
        <f t="shared" si="143"/>
        <v>NA</v>
      </c>
      <c r="AH327" s="29" t="str">
        <f t="shared" si="144"/>
        <v>NA</v>
      </c>
    </row>
    <row r="328" customHeight="1" spans="1:34">
      <c r="A328" s="12" t="s">
        <v>1043</v>
      </c>
      <c r="F328" s="24">
        <f t="shared" si="146"/>
        <v>0</v>
      </c>
      <c r="G328" s="24" t="e">
        <f t="shared" si="145"/>
        <v>#DIV/0!</v>
      </c>
      <c r="Q328" s="29" t="str">
        <f t="shared" si="127"/>
        <v>NA</v>
      </c>
      <c r="R328" s="29" t="str">
        <f t="shared" si="128"/>
        <v>NA</v>
      </c>
      <c r="S328" s="29" t="str">
        <f t="shared" si="129"/>
        <v>NA</v>
      </c>
      <c r="T328" s="29" t="str">
        <f t="shared" si="130"/>
        <v>NA</v>
      </c>
      <c r="U328" s="29" t="str">
        <f t="shared" si="131"/>
        <v>NA</v>
      </c>
      <c r="V328" s="29" t="str">
        <f t="shared" si="132"/>
        <v>NA</v>
      </c>
      <c r="W328" s="29" t="str">
        <f t="shared" si="133"/>
        <v>NA</v>
      </c>
      <c r="X328" s="29" t="str">
        <f t="shared" si="134"/>
        <v>NA</v>
      </c>
      <c r="Y328" s="29" t="str">
        <f t="shared" si="135"/>
        <v>NA</v>
      </c>
      <c r="Z328" s="29" t="str">
        <f t="shared" si="136"/>
        <v>NA</v>
      </c>
      <c r="AA328" s="29" t="str">
        <f t="shared" si="137"/>
        <v>NA</v>
      </c>
      <c r="AB328" s="29" t="str">
        <f t="shared" si="138"/>
        <v>NA</v>
      </c>
      <c r="AC328" s="29" t="str">
        <f t="shared" si="139"/>
        <v>NA</v>
      </c>
      <c r="AD328" s="29" t="str">
        <f t="shared" si="140"/>
        <v>NA</v>
      </c>
      <c r="AE328" s="29" t="str">
        <f t="shared" si="141"/>
        <v>NA</v>
      </c>
      <c r="AF328" s="29" t="str">
        <f t="shared" si="142"/>
        <v>NA</v>
      </c>
      <c r="AG328" s="29" t="str">
        <f t="shared" si="143"/>
        <v>NA</v>
      </c>
      <c r="AH328" s="29" t="str">
        <f t="shared" si="144"/>
        <v>NA</v>
      </c>
    </row>
    <row r="329" customHeight="1" spans="1:34">
      <c r="A329" s="12" t="s">
        <v>1043</v>
      </c>
      <c r="F329" s="24">
        <f t="shared" si="146"/>
        <v>0</v>
      </c>
      <c r="G329" s="24" t="e">
        <f t="shared" si="145"/>
        <v>#DIV/0!</v>
      </c>
      <c r="Q329" s="29" t="str">
        <f t="shared" si="127"/>
        <v>NA</v>
      </c>
      <c r="R329" s="29" t="str">
        <f t="shared" si="128"/>
        <v>NA</v>
      </c>
      <c r="S329" s="29" t="str">
        <f t="shared" si="129"/>
        <v>NA</v>
      </c>
      <c r="T329" s="29" t="str">
        <f t="shared" si="130"/>
        <v>NA</v>
      </c>
      <c r="U329" s="29" t="str">
        <f t="shared" si="131"/>
        <v>NA</v>
      </c>
      <c r="V329" s="29" t="str">
        <f t="shared" si="132"/>
        <v>NA</v>
      </c>
      <c r="W329" s="29" t="str">
        <f t="shared" si="133"/>
        <v>NA</v>
      </c>
      <c r="X329" s="29" t="str">
        <f t="shared" si="134"/>
        <v>NA</v>
      </c>
      <c r="Y329" s="29" t="str">
        <f t="shared" si="135"/>
        <v>NA</v>
      </c>
      <c r="Z329" s="29" t="str">
        <f t="shared" si="136"/>
        <v>NA</v>
      </c>
      <c r="AA329" s="29" t="str">
        <f t="shared" si="137"/>
        <v>NA</v>
      </c>
      <c r="AB329" s="29" t="str">
        <f t="shared" si="138"/>
        <v>NA</v>
      </c>
      <c r="AC329" s="29" t="str">
        <f t="shared" si="139"/>
        <v>NA</v>
      </c>
      <c r="AD329" s="29" t="str">
        <f t="shared" si="140"/>
        <v>NA</v>
      </c>
      <c r="AE329" s="29" t="str">
        <f t="shared" si="141"/>
        <v>NA</v>
      </c>
      <c r="AF329" s="29" t="str">
        <f t="shared" si="142"/>
        <v>NA</v>
      </c>
      <c r="AG329" s="29" t="str">
        <f t="shared" si="143"/>
        <v>NA</v>
      </c>
      <c r="AH329" s="29" t="str">
        <f t="shared" si="144"/>
        <v>NA</v>
      </c>
    </row>
    <row r="330" customHeight="1" spans="1:34">
      <c r="A330" s="12" t="s">
        <v>1043</v>
      </c>
      <c r="F330" s="24">
        <f t="shared" si="146"/>
        <v>0</v>
      </c>
      <c r="G330" s="24" t="e">
        <f t="shared" si="145"/>
        <v>#DIV/0!</v>
      </c>
      <c r="Q330" s="29" t="str">
        <f t="shared" si="127"/>
        <v>NA</v>
      </c>
      <c r="R330" s="29" t="str">
        <f t="shared" si="128"/>
        <v>NA</v>
      </c>
      <c r="S330" s="29" t="str">
        <f t="shared" si="129"/>
        <v>NA</v>
      </c>
      <c r="T330" s="29" t="str">
        <f t="shared" si="130"/>
        <v>NA</v>
      </c>
      <c r="U330" s="29" t="str">
        <f t="shared" si="131"/>
        <v>NA</v>
      </c>
      <c r="V330" s="29" t="str">
        <f t="shared" si="132"/>
        <v>NA</v>
      </c>
      <c r="W330" s="29" t="str">
        <f t="shared" si="133"/>
        <v>NA</v>
      </c>
      <c r="X330" s="29" t="str">
        <f t="shared" si="134"/>
        <v>NA</v>
      </c>
      <c r="Y330" s="29" t="str">
        <f t="shared" si="135"/>
        <v>NA</v>
      </c>
      <c r="Z330" s="29" t="str">
        <f t="shared" si="136"/>
        <v>NA</v>
      </c>
      <c r="AA330" s="29" t="str">
        <f t="shared" si="137"/>
        <v>NA</v>
      </c>
      <c r="AB330" s="29" t="str">
        <f t="shared" si="138"/>
        <v>NA</v>
      </c>
      <c r="AC330" s="29" t="str">
        <f t="shared" si="139"/>
        <v>NA</v>
      </c>
      <c r="AD330" s="29" t="str">
        <f t="shared" si="140"/>
        <v>NA</v>
      </c>
      <c r="AE330" s="29" t="str">
        <f t="shared" si="141"/>
        <v>NA</v>
      </c>
      <c r="AF330" s="29" t="str">
        <f t="shared" si="142"/>
        <v>NA</v>
      </c>
      <c r="AG330" s="29" t="str">
        <f t="shared" si="143"/>
        <v>NA</v>
      </c>
      <c r="AH330" s="29" t="str">
        <f t="shared" si="144"/>
        <v>NA</v>
      </c>
    </row>
    <row r="331" customHeight="1" spans="1:34">
      <c r="A331" s="12" t="s">
        <v>1043</v>
      </c>
      <c r="F331" s="24">
        <f t="shared" si="146"/>
        <v>0</v>
      </c>
      <c r="G331" s="24" t="e">
        <f t="shared" si="145"/>
        <v>#DIV/0!</v>
      </c>
      <c r="Q331" s="29" t="str">
        <f t="shared" si="127"/>
        <v>NA</v>
      </c>
      <c r="R331" s="29" t="str">
        <f t="shared" si="128"/>
        <v>NA</v>
      </c>
      <c r="S331" s="29" t="str">
        <f t="shared" si="129"/>
        <v>NA</v>
      </c>
      <c r="T331" s="29" t="str">
        <f t="shared" si="130"/>
        <v>NA</v>
      </c>
      <c r="U331" s="29" t="str">
        <f t="shared" si="131"/>
        <v>NA</v>
      </c>
      <c r="V331" s="29" t="str">
        <f t="shared" si="132"/>
        <v>NA</v>
      </c>
      <c r="W331" s="29" t="str">
        <f t="shared" si="133"/>
        <v>NA</v>
      </c>
      <c r="X331" s="29" t="str">
        <f t="shared" si="134"/>
        <v>NA</v>
      </c>
      <c r="Y331" s="29" t="str">
        <f t="shared" si="135"/>
        <v>NA</v>
      </c>
      <c r="Z331" s="29" t="str">
        <f t="shared" si="136"/>
        <v>NA</v>
      </c>
      <c r="AA331" s="29" t="str">
        <f t="shared" si="137"/>
        <v>NA</v>
      </c>
      <c r="AB331" s="29" t="str">
        <f t="shared" si="138"/>
        <v>NA</v>
      </c>
      <c r="AC331" s="29" t="str">
        <f t="shared" si="139"/>
        <v>NA</v>
      </c>
      <c r="AD331" s="29" t="str">
        <f t="shared" si="140"/>
        <v>NA</v>
      </c>
      <c r="AE331" s="29" t="str">
        <f t="shared" si="141"/>
        <v>NA</v>
      </c>
      <c r="AF331" s="29" t="str">
        <f t="shared" si="142"/>
        <v>NA</v>
      </c>
      <c r="AG331" s="29" t="str">
        <f t="shared" si="143"/>
        <v>NA</v>
      </c>
      <c r="AH331" s="29" t="str">
        <f t="shared" si="144"/>
        <v>NA</v>
      </c>
    </row>
    <row r="332" customHeight="1" spans="1:34">
      <c r="A332" s="12" t="s">
        <v>1043</v>
      </c>
      <c r="F332" s="24">
        <f t="shared" si="146"/>
        <v>0</v>
      </c>
      <c r="G332" s="24" t="e">
        <f t="shared" si="145"/>
        <v>#DIV/0!</v>
      </c>
      <c r="Q332" s="29" t="str">
        <f t="shared" si="127"/>
        <v>NA</v>
      </c>
      <c r="R332" s="29" t="str">
        <f t="shared" si="128"/>
        <v>NA</v>
      </c>
      <c r="S332" s="29" t="str">
        <f t="shared" si="129"/>
        <v>NA</v>
      </c>
      <c r="T332" s="29" t="str">
        <f t="shared" si="130"/>
        <v>NA</v>
      </c>
      <c r="U332" s="29" t="str">
        <f t="shared" si="131"/>
        <v>NA</v>
      </c>
      <c r="V332" s="29" t="str">
        <f t="shared" si="132"/>
        <v>NA</v>
      </c>
      <c r="W332" s="29" t="str">
        <f t="shared" si="133"/>
        <v>NA</v>
      </c>
      <c r="X332" s="29" t="str">
        <f t="shared" si="134"/>
        <v>NA</v>
      </c>
      <c r="Y332" s="29" t="str">
        <f t="shared" si="135"/>
        <v>NA</v>
      </c>
      <c r="Z332" s="29" t="str">
        <f t="shared" si="136"/>
        <v>NA</v>
      </c>
      <c r="AA332" s="29" t="str">
        <f t="shared" si="137"/>
        <v>NA</v>
      </c>
      <c r="AB332" s="29" t="str">
        <f t="shared" si="138"/>
        <v>NA</v>
      </c>
      <c r="AC332" s="29" t="str">
        <f t="shared" si="139"/>
        <v>NA</v>
      </c>
      <c r="AD332" s="29" t="str">
        <f t="shared" si="140"/>
        <v>NA</v>
      </c>
      <c r="AE332" s="29" t="str">
        <f t="shared" si="141"/>
        <v>NA</v>
      </c>
      <c r="AF332" s="29" t="str">
        <f t="shared" si="142"/>
        <v>NA</v>
      </c>
      <c r="AG332" s="29" t="str">
        <f t="shared" si="143"/>
        <v>NA</v>
      </c>
      <c r="AH332" s="29" t="str">
        <f t="shared" si="144"/>
        <v>NA</v>
      </c>
    </row>
    <row r="333" customHeight="1" spans="1:34">
      <c r="A333" s="12" t="s">
        <v>1043</v>
      </c>
      <c r="F333" s="24">
        <f t="shared" si="146"/>
        <v>0</v>
      </c>
      <c r="G333" s="24" t="e">
        <f t="shared" si="145"/>
        <v>#DIV/0!</v>
      </c>
      <c r="Q333" s="29" t="str">
        <f t="shared" si="127"/>
        <v>NA</v>
      </c>
      <c r="R333" s="29" t="str">
        <f t="shared" si="128"/>
        <v>NA</v>
      </c>
      <c r="S333" s="29" t="str">
        <f t="shared" si="129"/>
        <v>NA</v>
      </c>
      <c r="T333" s="29" t="str">
        <f t="shared" si="130"/>
        <v>NA</v>
      </c>
      <c r="U333" s="29" t="str">
        <f t="shared" si="131"/>
        <v>NA</v>
      </c>
      <c r="V333" s="29" t="str">
        <f t="shared" si="132"/>
        <v>NA</v>
      </c>
      <c r="W333" s="29" t="str">
        <f t="shared" si="133"/>
        <v>NA</v>
      </c>
      <c r="X333" s="29" t="str">
        <f t="shared" si="134"/>
        <v>NA</v>
      </c>
      <c r="Y333" s="29" t="str">
        <f t="shared" si="135"/>
        <v>NA</v>
      </c>
      <c r="Z333" s="29" t="str">
        <f t="shared" si="136"/>
        <v>NA</v>
      </c>
      <c r="AA333" s="29" t="str">
        <f t="shared" si="137"/>
        <v>NA</v>
      </c>
      <c r="AB333" s="29" t="str">
        <f t="shared" si="138"/>
        <v>NA</v>
      </c>
      <c r="AC333" s="29" t="str">
        <f t="shared" si="139"/>
        <v>NA</v>
      </c>
      <c r="AD333" s="29" t="str">
        <f t="shared" si="140"/>
        <v>NA</v>
      </c>
      <c r="AE333" s="29" t="str">
        <f t="shared" si="141"/>
        <v>NA</v>
      </c>
      <c r="AF333" s="29" t="str">
        <f t="shared" si="142"/>
        <v>NA</v>
      </c>
      <c r="AG333" s="29" t="str">
        <f t="shared" si="143"/>
        <v>NA</v>
      </c>
      <c r="AH333" s="29" t="str">
        <f t="shared" si="144"/>
        <v>NA</v>
      </c>
    </row>
    <row r="334" customHeight="1" spans="1:34">
      <c r="A334" s="12" t="s">
        <v>1043</v>
      </c>
      <c r="F334" s="24">
        <f t="shared" si="146"/>
        <v>0</v>
      </c>
      <c r="G334" s="24" t="e">
        <f t="shared" si="145"/>
        <v>#DIV/0!</v>
      </c>
      <c r="Q334" s="29" t="str">
        <f t="shared" si="127"/>
        <v>NA</v>
      </c>
      <c r="R334" s="29" t="str">
        <f t="shared" si="128"/>
        <v>NA</v>
      </c>
      <c r="S334" s="29" t="str">
        <f t="shared" si="129"/>
        <v>NA</v>
      </c>
      <c r="T334" s="29" t="str">
        <f t="shared" si="130"/>
        <v>NA</v>
      </c>
      <c r="U334" s="29" t="str">
        <f t="shared" si="131"/>
        <v>NA</v>
      </c>
      <c r="V334" s="29" t="str">
        <f t="shared" si="132"/>
        <v>NA</v>
      </c>
      <c r="W334" s="29" t="str">
        <f t="shared" si="133"/>
        <v>NA</v>
      </c>
      <c r="X334" s="29" t="str">
        <f t="shared" si="134"/>
        <v>NA</v>
      </c>
      <c r="Y334" s="29" t="str">
        <f t="shared" si="135"/>
        <v>NA</v>
      </c>
      <c r="Z334" s="29" t="str">
        <f t="shared" si="136"/>
        <v>NA</v>
      </c>
      <c r="AA334" s="29" t="str">
        <f t="shared" si="137"/>
        <v>NA</v>
      </c>
      <c r="AB334" s="29" t="str">
        <f t="shared" si="138"/>
        <v>NA</v>
      </c>
      <c r="AC334" s="29" t="str">
        <f t="shared" si="139"/>
        <v>NA</v>
      </c>
      <c r="AD334" s="29" t="str">
        <f t="shared" si="140"/>
        <v>NA</v>
      </c>
      <c r="AE334" s="29" t="str">
        <f t="shared" si="141"/>
        <v>NA</v>
      </c>
      <c r="AF334" s="29" t="str">
        <f t="shared" si="142"/>
        <v>NA</v>
      </c>
      <c r="AG334" s="29" t="str">
        <f t="shared" si="143"/>
        <v>NA</v>
      </c>
      <c r="AH334" s="29" t="str">
        <f t="shared" si="144"/>
        <v>NA</v>
      </c>
    </row>
    <row r="335" customHeight="1" spans="1:34">
      <c r="A335" s="12" t="s">
        <v>1043</v>
      </c>
      <c r="F335" s="24">
        <f t="shared" si="146"/>
        <v>0</v>
      </c>
      <c r="G335" s="24" t="e">
        <f t="shared" si="145"/>
        <v>#DIV/0!</v>
      </c>
      <c r="Q335" s="29" t="str">
        <f t="shared" si="127"/>
        <v>NA</v>
      </c>
      <c r="R335" s="29" t="str">
        <f t="shared" si="128"/>
        <v>NA</v>
      </c>
      <c r="S335" s="29" t="str">
        <f t="shared" si="129"/>
        <v>NA</v>
      </c>
      <c r="T335" s="29" t="str">
        <f t="shared" si="130"/>
        <v>NA</v>
      </c>
      <c r="U335" s="29" t="str">
        <f t="shared" si="131"/>
        <v>NA</v>
      </c>
      <c r="V335" s="29" t="str">
        <f t="shared" si="132"/>
        <v>NA</v>
      </c>
      <c r="W335" s="29" t="str">
        <f t="shared" si="133"/>
        <v>NA</v>
      </c>
      <c r="X335" s="29" t="str">
        <f t="shared" si="134"/>
        <v>NA</v>
      </c>
      <c r="Y335" s="29" t="str">
        <f t="shared" si="135"/>
        <v>NA</v>
      </c>
      <c r="Z335" s="29" t="str">
        <f t="shared" si="136"/>
        <v>NA</v>
      </c>
      <c r="AA335" s="29" t="str">
        <f t="shared" si="137"/>
        <v>NA</v>
      </c>
      <c r="AB335" s="29" t="str">
        <f t="shared" si="138"/>
        <v>NA</v>
      </c>
      <c r="AC335" s="29" t="str">
        <f t="shared" si="139"/>
        <v>NA</v>
      </c>
      <c r="AD335" s="29" t="str">
        <f t="shared" si="140"/>
        <v>NA</v>
      </c>
      <c r="AE335" s="29" t="str">
        <f t="shared" si="141"/>
        <v>NA</v>
      </c>
      <c r="AF335" s="29" t="str">
        <f t="shared" si="142"/>
        <v>NA</v>
      </c>
      <c r="AG335" s="29" t="str">
        <f t="shared" si="143"/>
        <v>NA</v>
      </c>
      <c r="AH335" s="29" t="str">
        <f t="shared" si="144"/>
        <v>NA</v>
      </c>
    </row>
    <row r="336" customHeight="1" spans="1:34">
      <c r="A336" s="12" t="s">
        <v>1043</v>
      </c>
      <c r="F336" s="24">
        <f t="shared" si="146"/>
        <v>0</v>
      </c>
      <c r="G336" s="24" t="e">
        <f t="shared" si="145"/>
        <v>#DIV/0!</v>
      </c>
      <c r="Q336" s="29" t="str">
        <f t="shared" ref="Q336:Q399" si="147">IFERROR($B336*$E336/H336,"NA")</f>
        <v>NA</v>
      </c>
      <c r="R336" s="29" t="str">
        <f t="shared" ref="R336:R399" si="148">IFERROR($B336*$E336/I336,"NA")</f>
        <v>NA</v>
      </c>
      <c r="S336" s="29" t="str">
        <f t="shared" ref="S336:S399" si="149">IFERROR($B336*$E336/J336,"NA")</f>
        <v>NA</v>
      </c>
      <c r="T336" s="29" t="str">
        <f t="shared" ref="T336:T399" si="150">IFERROR($B336*$E336/K336,"NA")</f>
        <v>NA</v>
      </c>
      <c r="U336" s="29" t="str">
        <f t="shared" ref="U336:U399" si="151">IFERROR($B336*$E336/L336,"NA")</f>
        <v>NA</v>
      </c>
      <c r="V336" s="29" t="str">
        <f t="shared" ref="V336:V399" si="152">IFERROR($B336*$E336/M336,"NA")</f>
        <v>NA</v>
      </c>
      <c r="W336" s="29" t="str">
        <f t="shared" ref="W336:W399" si="153">IFERROR($B336*$E336/N336,"NA")</f>
        <v>NA</v>
      </c>
      <c r="X336" s="29" t="str">
        <f t="shared" ref="X336:X399" si="154">IFERROR($B336*$E336/O336,"NA")</f>
        <v>NA</v>
      </c>
      <c r="Y336" s="29" t="str">
        <f t="shared" ref="Y336:Y399" si="155">IFERROR($B336*$E336/P336,"NA")</f>
        <v>NA</v>
      </c>
      <c r="Z336" s="29" t="str">
        <f t="shared" ref="Z336:Z399" si="156">IFERROR((($G336*Z$2/1000)+Q336)/1,"NA")</f>
        <v>NA</v>
      </c>
      <c r="AA336" s="29" t="str">
        <f t="shared" ref="AA336:AA399" si="157">IFERROR((($G336*AA$2/1000)+R336)/1,"NA")</f>
        <v>NA</v>
      </c>
      <c r="AB336" s="29" t="str">
        <f t="shared" ref="AB336:AB399" si="158">IFERROR((($G336*AB$2/1000)+S336)/1,"NA")</f>
        <v>NA</v>
      </c>
      <c r="AC336" s="29" t="str">
        <f t="shared" ref="AC336:AC399" si="159">IFERROR((($G336*AC$2/1000)+T336)/1,"NA")</f>
        <v>NA</v>
      </c>
      <c r="AD336" s="29" t="str">
        <f t="shared" ref="AD336:AD399" si="160">IFERROR((($G336*AD$2/1000)+U336)/1,"NA")</f>
        <v>NA</v>
      </c>
      <c r="AE336" s="29" t="str">
        <f t="shared" ref="AE336:AE399" si="161">IFERROR((($G336*AE$2/1000)+V336)/1,"NA")</f>
        <v>NA</v>
      </c>
      <c r="AF336" s="29" t="str">
        <f t="shared" ref="AF336:AF399" si="162">IFERROR((($G336*AF$2/1000)+W336)/1,"NA")</f>
        <v>NA</v>
      </c>
      <c r="AG336" s="29" t="str">
        <f t="shared" ref="AG336:AG399" si="163">IFERROR((($G336*AG$2/1000)+X336)/1,"NA")</f>
        <v>NA</v>
      </c>
      <c r="AH336" s="29" t="str">
        <f t="shared" ref="AH336:AH399" si="164">IFERROR((($G336*AH$2/1000)+Y336)/1,"NA")</f>
        <v>NA</v>
      </c>
    </row>
    <row r="337" customHeight="1" spans="1:34">
      <c r="A337" s="12" t="s">
        <v>1043</v>
      </c>
      <c r="F337" s="24">
        <f t="shared" si="146"/>
        <v>0</v>
      </c>
      <c r="G337" s="24" t="e">
        <f t="shared" si="145"/>
        <v>#DIV/0!</v>
      </c>
      <c r="Q337" s="29" t="str">
        <f t="shared" si="147"/>
        <v>NA</v>
      </c>
      <c r="R337" s="29" t="str">
        <f t="shared" si="148"/>
        <v>NA</v>
      </c>
      <c r="S337" s="29" t="str">
        <f t="shared" si="149"/>
        <v>NA</v>
      </c>
      <c r="T337" s="29" t="str">
        <f t="shared" si="150"/>
        <v>NA</v>
      </c>
      <c r="U337" s="29" t="str">
        <f t="shared" si="151"/>
        <v>NA</v>
      </c>
      <c r="V337" s="29" t="str">
        <f t="shared" si="152"/>
        <v>NA</v>
      </c>
      <c r="W337" s="29" t="str">
        <f t="shared" si="153"/>
        <v>NA</v>
      </c>
      <c r="X337" s="29" t="str">
        <f t="shared" si="154"/>
        <v>NA</v>
      </c>
      <c r="Y337" s="29" t="str">
        <f t="shared" si="155"/>
        <v>NA</v>
      </c>
      <c r="Z337" s="29" t="str">
        <f t="shared" si="156"/>
        <v>NA</v>
      </c>
      <c r="AA337" s="29" t="str">
        <f t="shared" si="157"/>
        <v>NA</v>
      </c>
      <c r="AB337" s="29" t="str">
        <f t="shared" si="158"/>
        <v>NA</v>
      </c>
      <c r="AC337" s="29" t="str">
        <f t="shared" si="159"/>
        <v>NA</v>
      </c>
      <c r="AD337" s="29" t="str">
        <f t="shared" si="160"/>
        <v>NA</v>
      </c>
      <c r="AE337" s="29" t="str">
        <f t="shared" si="161"/>
        <v>NA</v>
      </c>
      <c r="AF337" s="29" t="str">
        <f t="shared" si="162"/>
        <v>NA</v>
      </c>
      <c r="AG337" s="29" t="str">
        <f t="shared" si="163"/>
        <v>NA</v>
      </c>
      <c r="AH337" s="29" t="str">
        <f t="shared" si="164"/>
        <v>NA</v>
      </c>
    </row>
    <row r="338" customHeight="1" spans="1:34">
      <c r="A338" s="12" t="s">
        <v>1043</v>
      </c>
      <c r="F338" s="24">
        <f t="shared" si="146"/>
        <v>0</v>
      </c>
      <c r="G338" s="24" t="e">
        <f t="shared" si="145"/>
        <v>#DIV/0!</v>
      </c>
      <c r="Q338" s="29" t="str">
        <f t="shared" si="147"/>
        <v>NA</v>
      </c>
      <c r="R338" s="29" t="str">
        <f t="shared" si="148"/>
        <v>NA</v>
      </c>
      <c r="S338" s="29" t="str">
        <f t="shared" si="149"/>
        <v>NA</v>
      </c>
      <c r="T338" s="29" t="str">
        <f t="shared" si="150"/>
        <v>NA</v>
      </c>
      <c r="U338" s="29" t="str">
        <f t="shared" si="151"/>
        <v>NA</v>
      </c>
      <c r="V338" s="29" t="str">
        <f t="shared" si="152"/>
        <v>NA</v>
      </c>
      <c r="W338" s="29" t="str">
        <f t="shared" si="153"/>
        <v>NA</v>
      </c>
      <c r="X338" s="29" t="str">
        <f t="shared" si="154"/>
        <v>NA</v>
      </c>
      <c r="Y338" s="29" t="str">
        <f t="shared" si="155"/>
        <v>NA</v>
      </c>
      <c r="Z338" s="29" t="str">
        <f t="shared" si="156"/>
        <v>NA</v>
      </c>
      <c r="AA338" s="29" t="str">
        <f t="shared" si="157"/>
        <v>NA</v>
      </c>
      <c r="AB338" s="29" t="str">
        <f t="shared" si="158"/>
        <v>NA</v>
      </c>
      <c r="AC338" s="29" t="str">
        <f t="shared" si="159"/>
        <v>NA</v>
      </c>
      <c r="AD338" s="29" t="str">
        <f t="shared" si="160"/>
        <v>NA</v>
      </c>
      <c r="AE338" s="29" t="str">
        <f t="shared" si="161"/>
        <v>NA</v>
      </c>
      <c r="AF338" s="29" t="str">
        <f t="shared" si="162"/>
        <v>NA</v>
      </c>
      <c r="AG338" s="29" t="str">
        <f t="shared" si="163"/>
        <v>NA</v>
      </c>
      <c r="AH338" s="29" t="str">
        <f t="shared" si="164"/>
        <v>NA</v>
      </c>
    </row>
    <row r="339" customHeight="1" spans="1:34">
      <c r="A339" s="12" t="s">
        <v>1043</v>
      </c>
      <c r="F339" s="24">
        <f t="shared" si="146"/>
        <v>0</v>
      </c>
      <c r="G339" s="24" t="e">
        <f t="shared" si="145"/>
        <v>#DIV/0!</v>
      </c>
      <c r="Q339" s="29" t="str">
        <f t="shared" si="147"/>
        <v>NA</v>
      </c>
      <c r="R339" s="29" t="str">
        <f t="shared" si="148"/>
        <v>NA</v>
      </c>
      <c r="S339" s="29" t="str">
        <f t="shared" si="149"/>
        <v>NA</v>
      </c>
      <c r="T339" s="29" t="str">
        <f t="shared" si="150"/>
        <v>NA</v>
      </c>
      <c r="U339" s="29" t="str">
        <f t="shared" si="151"/>
        <v>NA</v>
      </c>
      <c r="V339" s="29" t="str">
        <f t="shared" si="152"/>
        <v>NA</v>
      </c>
      <c r="W339" s="29" t="str">
        <f t="shared" si="153"/>
        <v>NA</v>
      </c>
      <c r="X339" s="29" t="str">
        <f t="shared" si="154"/>
        <v>NA</v>
      </c>
      <c r="Y339" s="29" t="str">
        <f t="shared" si="155"/>
        <v>NA</v>
      </c>
      <c r="Z339" s="29" t="str">
        <f t="shared" si="156"/>
        <v>NA</v>
      </c>
      <c r="AA339" s="29" t="str">
        <f t="shared" si="157"/>
        <v>NA</v>
      </c>
      <c r="AB339" s="29" t="str">
        <f t="shared" si="158"/>
        <v>NA</v>
      </c>
      <c r="AC339" s="29" t="str">
        <f t="shared" si="159"/>
        <v>NA</v>
      </c>
      <c r="AD339" s="29" t="str">
        <f t="shared" si="160"/>
        <v>NA</v>
      </c>
      <c r="AE339" s="29" t="str">
        <f t="shared" si="161"/>
        <v>NA</v>
      </c>
      <c r="AF339" s="29" t="str">
        <f t="shared" si="162"/>
        <v>NA</v>
      </c>
      <c r="AG339" s="29" t="str">
        <f t="shared" si="163"/>
        <v>NA</v>
      </c>
      <c r="AH339" s="29" t="str">
        <f t="shared" si="164"/>
        <v>NA</v>
      </c>
    </row>
    <row r="340" customHeight="1" spans="1:34">
      <c r="A340" s="12" t="s">
        <v>1043</v>
      </c>
      <c r="F340" s="24">
        <f t="shared" si="146"/>
        <v>0</v>
      </c>
      <c r="G340" s="24" t="e">
        <f t="shared" si="145"/>
        <v>#DIV/0!</v>
      </c>
      <c r="Q340" s="29" t="str">
        <f t="shared" si="147"/>
        <v>NA</v>
      </c>
      <c r="R340" s="29" t="str">
        <f t="shared" si="148"/>
        <v>NA</v>
      </c>
      <c r="S340" s="29" t="str">
        <f t="shared" si="149"/>
        <v>NA</v>
      </c>
      <c r="T340" s="29" t="str">
        <f t="shared" si="150"/>
        <v>NA</v>
      </c>
      <c r="U340" s="29" t="str">
        <f t="shared" si="151"/>
        <v>NA</v>
      </c>
      <c r="V340" s="29" t="str">
        <f t="shared" si="152"/>
        <v>NA</v>
      </c>
      <c r="W340" s="29" t="str">
        <f t="shared" si="153"/>
        <v>NA</v>
      </c>
      <c r="X340" s="29" t="str">
        <f t="shared" si="154"/>
        <v>NA</v>
      </c>
      <c r="Y340" s="29" t="str">
        <f t="shared" si="155"/>
        <v>NA</v>
      </c>
      <c r="Z340" s="29" t="str">
        <f t="shared" si="156"/>
        <v>NA</v>
      </c>
      <c r="AA340" s="29" t="str">
        <f t="shared" si="157"/>
        <v>NA</v>
      </c>
      <c r="AB340" s="29" t="str">
        <f t="shared" si="158"/>
        <v>NA</v>
      </c>
      <c r="AC340" s="29" t="str">
        <f t="shared" si="159"/>
        <v>NA</v>
      </c>
      <c r="AD340" s="29" t="str">
        <f t="shared" si="160"/>
        <v>NA</v>
      </c>
      <c r="AE340" s="29" t="str">
        <f t="shared" si="161"/>
        <v>NA</v>
      </c>
      <c r="AF340" s="29" t="str">
        <f t="shared" si="162"/>
        <v>NA</v>
      </c>
      <c r="AG340" s="29" t="str">
        <f t="shared" si="163"/>
        <v>NA</v>
      </c>
      <c r="AH340" s="29" t="str">
        <f t="shared" si="164"/>
        <v>NA</v>
      </c>
    </row>
    <row r="341" customHeight="1" spans="1:34">
      <c r="A341" s="12" t="s">
        <v>1043</v>
      </c>
      <c r="F341" s="24">
        <f t="shared" si="146"/>
        <v>0</v>
      </c>
      <c r="G341" s="24" t="e">
        <f t="shared" si="145"/>
        <v>#DIV/0!</v>
      </c>
      <c r="Q341" s="29" t="str">
        <f t="shared" si="147"/>
        <v>NA</v>
      </c>
      <c r="R341" s="29" t="str">
        <f t="shared" si="148"/>
        <v>NA</v>
      </c>
      <c r="S341" s="29" t="str">
        <f t="shared" si="149"/>
        <v>NA</v>
      </c>
      <c r="T341" s="29" t="str">
        <f t="shared" si="150"/>
        <v>NA</v>
      </c>
      <c r="U341" s="29" t="str">
        <f t="shared" si="151"/>
        <v>NA</v>
      </c>
      <c r="V341" s="29" t="str">
        <f t="shared" si="152"/>
        <v>NA</v>
      </c>
      <c r="W341" s="29" t="str">
        <f t="shared" si="153"/>
        <v>NA</v>
      </c>
      <c r="X341" s="29" t="str">
        <f t="shared" si="154"/>
        <v>NA</v>
      </c>
      <c r="Y341" s="29" t="str">
        <f t="shared" si="155"/>
        <v>NA</v>
      </c>
      <c r="Z341" s="29" t="str">
        <f t="shared" si="156"/>
        <v>NA</v>
      </c>
      <c r="AA341" s="29" t="str">
        <f t="shared" si="157"/>
        <v>NA</v>
      </c>
      <c r="AB341" s="29" t="str">
        <f t="shared" si="158"/>
        <v>NA</v>
      </c>
      <c r="AC341" s="29" t="str">
        <f t="shared" si="159"/>
        <v>NA</v>
      </c>
      <c r="AD341" s="29" t="str">
        <f t="shared" si="160"/>
        <v>NA</v>
      </c>
      <c r="AE341" s="29" t="str">
        <f t="shared" si="161"/>
        <v>NA</v>
      </c>
      <c r="AF341" s="29" t="str">
        <f t="shared" si="162"/>
        <v>NA</v>
      </c>
      <c r="AG341" s="29" t="str">
        <f t="shared" si="163"/>
        <v>NA</v>
      </c>
      <c r="AH341" s="29" t="str">
        <f t="shared" si="164"/>
        <v>NA</v>
      </c>
    </row>
    <row r="342" customHeight="1" spans="1:34">
      <c r="A342" s="12" t="s">
        <v>1043</v>
      </c>
      <c r="F342" s="24">
        <f t="shared" si="146"/>
        <v>0</v>
      </c>
      <c r="G342" s="24" t="e">
        <f t="shared" si="145"/>
        <v>#DIV/0!</v>
      </c>
      <c r="Q342" s="29" t="str">
        <f t="shared" si="147"/>
        <v>NA</v>
      </c>
      <c r="R342" s="29" t="str">
        <f t="shared" si="148"/>
        <v>NA</v>
      </c>
      <c r="S342" s="29" t="str">
        <f t="shared" si="149"/>
        <v>NA</v>
      </c>
      <c r="T342" s="29" t="str">
        <f t="shared" si="150"/>
        <v>NA</v>
      </c>
      <c r="U342" s="29" t="str">
        <f t="shared" si="151"/>
        <v>NA</v>
      </c>
      <c r="V342" s="29" t="str">
        <f t="shared" si="152"/>
        <v>NA</v>
      </c>
      <c r="W342" s="29" t="str">
        <f t="shared" si="153"/>
        <v>NA</v>
      </c>
      <c r="X342" s="29" t="str">
        <f t="shared" si="154"/>
        <v>NA</v>
      </c>
      <c r="Y342" s="29" t="str">
        <f t="shared" si="155"/>
        <v>NA</v>
      </c>
      <c r="Z342" s="29" t="str">
        <f t="shared" si="156"/>
        <v>NA</v>
      </c>
      <c r="AA342" s="29" t="str">
        <f t="shared" si="157"/>
        <v>NA</v>
      </c>
      <c r="AB342" s="29" t="str">
        <f t="shared" si="158"/>
        <v>NA</v>
      </c>
      <c r="AC342" s="29" t="str">
        <f t="shared" si="159"/>
        <v>NA</v>
      </c>
      <c r="AD342" s="29" t="str">
        <f t="shared" si="160"/>
        <v>NA</v>
      </c>
      <c r="AE342" s="29" t="str">
        <f t="shared" si="161"/>
        <v>NA</v>
      </c>
      <c r="AF342" s="29" t="str">
        <f t="shared" si="162"/>
        <v>NA</v>
      </c>
      <c r="AG342" s="29" t="str">
        <f t="shared" si="163"/>
        <v>NA</v>
      </c>
      <c r="AH342" s="29" t="str">
        <f t="shared" si="164"/>
        <v>NA</v>
      </c>
    </row>
    <row r="343" customHeight="1" spans="1:34">
      <c r="A343" s="12" t="s">
        <v>1043</v>
      </c>
      <c r="F343" s="24">
        <f t="shared" si="146"/>
        <v>0</v>
      </c>
      <c r="G343" s="24" t="e">
        <f t="shared" si="145"/>
        <v>#DIV/0!</v>
      </c>
      <c r="Q343" s="29" t="str">
        <f t="shared" si="147"/>
        <v>NA</v>
      </c>
      <c r="R343" s="29" t="str">
        <f t="shared" si="148"/>
        <v>NA</v>
      </c>
      <c r="S343" s="29" t="str">
        <f t="shared" si="149"/>
        <v>NA</v>
      </c>
      <c r="T343" s="29" t="str">
        <f t="shared" si="150"/>
        <v>NA</v>
      </c>
      <c r="U343" s="29" t="str">
        <f t="shared" si="151"/>
        <v>NA</v>
      </c>
      <c r="V343" s="29" t="str">
        <f t="shared" si="152"/>
        <v>NA</v>
      </c>
      <c r="W343" s="29" t="str">
        <f t="shared" si="153"/>
        <v>NA</v>
      </c>
      <c r="X343" s="29" t="str">
        <f t="shared" si="154"/>
        <v>NA</v>
      </c>
      <c r="Y343" s="29" t="str">
        <f t="shared" si="155"/>
        <v>NA</v>
      </c>
      <c r="Z343" s="29" t="str">
        <f t="shared" si="156"/>
        <v>NA</v>
      </c>
      <c r="AA343" s="29" t="str">
        <f t="shared" si="157"/>
        <v>NA</v>
      </c>
      <c r="AB343" s="29" t="str">
        <f t="shared" si="158"/>
        <v>NA</v>
      </c>
      <c r="AC343" s="29" t="str">
        <f t="shared" si="159"/>
        <v>NA</v>
      </c>
      <c r="AD343" s="29" t="str">
        <f t="shared" si="160"/>
        <v>NA</v>
      </c>
      <c r="AE343" s="29" t="str">
        <f t="shared" si="161"/>
        <v>NA</v>
      </c>
      <c r="AF343" s="29" t="str">
        <f t="shared" si="162"/>
        <v>NA</v>
      </c>
      <c r="AG343" s="29" t="str">
        <f t="shared" si="163"/>
        <v>NA</v>
      </c>
      <c r="AH343" s="29" t="str">
        <f t="shared" si="164"/>
        <v>NA</v>
      </c>
    </row>
    <row r="344" customHeight="1" spans="1:34">
      <c r="A344" s="12" t="s">
        <v>1043</v>
      </c>
      <c r="F344" s="24">
        <f t="shared" si="146"/>
        <v>0</v>
      </c>
      <c r="G344" s="24" t="e">
        <f t="shared" si="145"/>
        <v>#DIV/0!</v>
      </c>
      <c r="Q344" s="29" t="str">
        <f t="shared" si="147"/>
        <v>NA</v>
      </c>
      <c r="R344" s="29" t="str">
        <f t="shared" si="148"/>
        <v>NA</v>
      </c>
      <c r="S344" s="29" t="str">
        <f t="shared" si="149"/>
        <v>NA</v>
      </c>
      <c r="T344" s="29" t="str">
        <f t="shared" si="150"/>
        <v>NA</v>
      </c>
      <c r="U344" s="29" t="str">
        <f t="shared" si="151"/>
        <v>NA</v>
      </c>
      <c r="V344" s="29" t="str">
        <f t="shared" si="152"/>
        <v>NA</v>
      </c>
      <c r="W344" s="29" t="str">
        <f t="shared" si="153"/>
        <v>NA</v>
      </c>
      <c r="X344" s="29" t="str">
        <f t="shared" si="154"/>
        <v>NA</v>
      </c>
      <c r="Y344" s="29" t="str">
        <f t="shared" si="155"/>
        <v>NA</v>
      </c>
      <c r="Z344" s="29" t="str">
        <f t="shared" si="156"/>
        <v>NA</v>
      </c>
      <c r="AA344" s="29" t="str">
        <f t="shared" si="157"/>
        <v>NA</v>
      </c>
      <c r="AB344" s="29" t="str">
        <f t="shared" si="158"/>
        <v>NA</v>
      </c>
      <c r="AC344" s="29" t="str">
        <f t="shared" si="159"/>
        <v>NA</v>
      </c>
      <c r="AD344" s="29" t="str">
        <f t="shared" si="160"/>
        <v>NA</v>
      </c>
      <c r="AE344" s="29" t="str">
        <f t="shared" si="161"/>
        <v>NA</v>
      </c>
      <c r="AF344" s="29" t="str">
        <f t="shared" si="162"/>
        <v>NA</v>
      </c>
      <c r="AG344" s="29" t="str">
        <f t="shared" si="163"/>
        <v>NA</v>
      </c>
      <c r="AH344" s="29" t="str">
        <f t="shared" si="164"/>
        <v>NA</v>
      </c>
    </row>
    <row r="345" customHeight="1" spans="1:34">
      <c r="A345" s="12" t="s">
        <v>1043</v>
      </c>
      <c r="F345" s="24">
        <f t="shared" si="146"/>
        <v>0</v>
      </c>
      <c r="G345" s="24" t="e">
        <f t="shared" si="145"/>
        <v>#DIV/0!</v>
      </c>
      <c r="Q345" s="29" t="str">
        <f t="shared" si="147"/>
        <v>NA</v>
      </c>
      <c r="R345" s="29" t="str">
        <f t="shared" si="148"/>
        <v>NA</v>
      </c>
      <c r="S345" s="29" t="str">
        <f t="shared" si="149"/>
        <v>NA</v>
      </c>
      <c r="T345" s="29" t="str">
        <f t="shared" si="150"/>
        <v>NA</v>
      </c>
      <c r="U345" s="29" t="str">
        <f t="shared" si="151"/>
        <v>NA</v>
      </c>
      <c r="V345" s="29" t="str">
        <f t="shared" si="152"/>
        <v>NA</v>
      </c>
      <c r="W345" s="29" t="str">
        <f t="shared" si="153"/>
        <v>NA</v>
      </c>
      <c r="X345" s="29" t="str">
        <f t="shared" si="154"/>
        <v>NA</v>
      </c>
      <c r="Y345" s="29" t="str">
        <f t="shared" si="155"/>
        <v>NA</v>
      </c>
      <c r="Z345" s="29" t="str">
        <f t="shared" si="156"/>
        <v>NA</v>
      </c>
      <c r="AA345" s="29" t="str">
        <f t="shared" si="157"/>
        <v>NA</v>
      </c>
      <c r="AB345" s="29" t="str">
        <f t="shared" si="158"/>
        <v>NA</v>
      </c>
      <c r="AC345" s="29" t="str">
        <f t="shared" si="159"/>
        <v>NA</v>
      </c>
      <c r="AD345" s="29" t="str">
        <f t="shared" si="160"/>
        <v>NA</v>
      </c>
      <c r="AE345" s="29" t="str">
        <f t="shared" si="161"/>
        <v>NA</v>
      </c>
      <c r="AF345" s="29" t="str">
        <f t="shared" si="162"/>
        <v>NA</v>
      </c>
      <c r="AG345" s="29" t="str">
        <f t="shared" si="163"/>
        <v>NA</v>
      </c>
      <c r="AH345" s="29" t="str">
        <f t="shared" si="164"/>
        <v>NA</v>
      </c>
    </row>
    <row r="346" customHeight="1" spans="1:34">
      <c r="A346" s="12" t="s">
        <v>1043</v>
      </c>
      <c r="F346" s="24">
        <f t="shared" si="146"/>
        <v>0</v>
      </c>
      <c r="G346" s="24" t="e">
        <f t="shared" si="145"/>
        <v>#DIV/0!</v>
      </c>
      <c r="Q346" s="29" t="str">
        <f t="shared" si="147"/>
        <v>NA</v>
      </c>
      <c r="R346" s="29" t="str">
        <f t="shared" si="148"/>
        <v>NA</v>
      </c>
      <c r="S346" s="29" t="str">
        <f t="shared" si="149"/>
        <v>NA</v>
      </c>
      <c r="T346" s="29" t="str">
        <f t="shared" si="150"/>
        <v>NA</v>
      </c>
      <c r="U346" s="29" t="str">
        <f t="shared" si="151"/>
        <v>NA</v>
      </c>
      <c r="V346" s="29" t="str">
        <f t="shared" si="152"/>
        <v>NA</v>
      </c>
      <c r="W346" s="29" t="str">
        <f t="shared" si="153"/>
        <v>NA</v>
      </c>
      <c r="X346" s="29" t="str">
        <f t="shared" si="154"/>
        <v>NA</v>
      </c>
      <c r="Y346" s="29" t="str">
        <f t="shared" si="155"/>
        <v>NA</v>
      </c>
      <c r="Z346" s="29" t="str">
        <f t="shared" si="156"/>
        <v>NA</v>
      </c>
      <c r="AA346" s="29" t="str">
        <f t="shared" si="157"/>
        <v>NA</v>
      </c>
      <c r="AB346" s="29" t="str">
        <f t="shared" si="158"/>
        <v>NA</v>
      </c>
      <c r="AC346" s="29" t="str">
        <f t="shared" si="159"/>
        <v>NA</v>
      </c>
      <c r="AD346" s="29" t="str">
        <f t="shared" si="160"/>
        <v>NA</v>
      </c>
      <c r="AE346" s="29" t="str">
        <f t="shared" si="161"/>
        <v>NA</v>
      </c>
      <c r="AF346" s="29" t="str">
        <f t="shared" si="162"/>
        <v>NA</v>
      </c>
      <c r="AG346" s="29" t="str">
        <f t="shared" si="163"/>
        <v>NA</v>
      </c>
      <c r="AH346" s="29" t="str">
        <f t="shared" si="164"/>
        <v>NA</v>
      </c>
    </row>
    <row r="347" customHeight="1" spans="1:34">
      <c r="A347" s="12" t="s">
        <v>1043</v>
      </c>
      <c r="F347" s="24">
        <f t="shared" si="146"/>
        <v>0</v>
      </c>
      <c r="G347" s="24" t="e">
        <f t="shared" si="145"/>
        <v>#DIV/0!</v>
      </c>
      <c r="Q347" s="29" t="str">
        <f t="shared" si="147"/>
        <v>NA</v>
      </c>
      <c r="R347" s="29" t="str">
        <f t="shared" si="148"/>
        <v>NA</v>
      </c>
      <c r="S347" s="29" t="str">
        <f t="shared" si="149"/>
        <v>NA</v>
      </c>
      <c r="T347" s="29" t="str">
        <f t="shared" si="150"/>
        <v>NA</v>
      </c>
      <c r="U347" s="29" t="str">
        <f t="shared" si="151"/>
        <v>NA</v>
      </c>
      <c r="V347" s="29" t="str">
        <f t="shared" si="152"/>
        <v>NA</v>
      </c>
      <c r="W347" s="29" t="str">
        <f t="shared" si="153"/>
        <v>NA</v>
      </c>
      <c r="X347" s="29" t="str">
        <f t="shared" si="154"/>
        <v>NA</v>
      </c>
      <c r="Y347" s="29" t="str">
        <f t="shared" si="155"/>
        <v>NA</v>
      </c>
      <c r="Z347" s="29" t="str">
        <f t="shared" si="156"/>
        <v>NA</v>
      </c>
      <c r="AA347" s="29" t="str">
        <f t="shared" si="157"/>
        <v>NA</v>
      </c>
      <c r="AB347" s="29" t="str">
        <f t="shared" si="158"/>
        <v>NA</v>
      </c>
      <c r="AC347" s="29" t="str">
        <f t="shared" si="159"/>
        <v>NA</v>
      </c>
      <c r="AD347" s="29" t="str">
        <f t="shared" si="160"/>
        <v>NA</v>
      </c>
      <c r="AE347" s="29" t="str">
        <f t="shared" si="161"/>
        <v>NA</v>
      </c>
      <c r="AF347" s="29" t="str">
        <f t="shared" si="162"/>
        <v>NA</v>
      </c>
      <c r="AG347" s="29" t="str">
        <f t="shared" si="163"/>
        <v>NA</v>
      </c>
      <c r="AH347" s="29" t="str">
        <f t="shared" si="164"/>
        <v>NA</v>
      </c>
    </row>
    <row r="348" customHeight="1" spans="1:34">
      <c r="A348" s="12" t="s">
        <v>1043</v>
      </c>
      <c r="F348" s="24">
        <f t="shared" si="146"/>
        <v>0</v>
      </c>
      <c r="G348" s="24" t="e">
        <f t="shared" si="145"/>
        <v>#DIV/0!</v>
      </c>
      <c r="Q348" s="29" t="str">
        <f t="shared" si="147"/>
        <v>NA</v>
      </c>
      <c r="R348" s="29" t="str">
        <f t="shared" si="148"/>
        <v>NA</v>
      </c>
      <c r="S348" s="29" t="str">
        <f t="shared" si="149"/>
        <v>NA</v>
      </c>
      <c r="T348" s="29" t="str">
        <f t="shared" si="150"/>
        <v>NA</v>
      </c>
      <c r="U348" s="29" t="str">
        <f t="shared" si="151"/>
        <v>NA</v>
      </c>
      <c r="V348" s="29" t="str">
        <f t="shared" si="152"/>
        <v>NA</v>
      </c>
      <c r="W348" s="29" t="str">
        <f t="shared" si="153"/>
        <v>NA</v>
      </c>
      <c r="X348" s="29" t="str">
        <f t="shared" si="154"/>
        <v>NA</v>
      </c>
      <c r="Y348" s="29" t="str">
        <f t="shared" si="155"/>
        <v>NA</v>
      </c>
      <c r="Z348" s="29" t="str">
        <f t="shared" si="156"/>
        <v>NA</v>
      </c>
      <c r="AA348" s="29" t="str">
        <f t="shared" si="157"/>
        <v>NA</v>
      </c>
      <c r="AB348" s="29" t="str">
        <f t="shared" si="158"/>
        <v>NA</v>
      </c>
      <c r="AC348" s="29" t="str">
        <f t="shared" si="159"/>
        <v>NA</v>
      </c>
      <c r="AD348" s="29" t="str">
        <f t="shared" si="160"/>
        <v>NA</v>
      </c>
      <c r="AE348" s="29" t="str">
        <f t="shared" si="161"/>
        <v>NA</v>
      </c>
      <c r="AF348" s="29" t="str">
        <f t="shared" si="162"/>
        <v>NA</v>
      </c>
      <c r="AG348" s="29" t="str">
        <f t="shared" si="163"/>
        <v>NA</v>
      </c>
      <c r="AH348" s="29" t="str">
        <f t="shared" si="164"/>
        <v>NA</v>
      </c>
    </row>
    <row r="349" customHeight="1" spans="1:34">
      <c r="A349" s="12" t="s">
        <v>1043</v>
      </c>
      <c r="F349" s="24">
        <f t="shared" si="146"/>
        <v>0</v>
      </c>
      <c r="G349" s="24" t="e">
        <f t="shared" si="145"/>
        <v>#DIV/0!</v>
      </c>
      <c r="Q349" s="29" t="str">
        <f t="shared" si="147"/>
        <v>NA</v>
      </c>
      <c r="R349" s="29" t="str">
        <f t="shared" si="148"/>
        <v>NA</v>
      </c>
      <c r="S349" s="29" t="str">
        <f t="shared" si="149"/>
        <v>NA</v>
      </c>
      <c r="T349" s="29" t="str">
        <f t="shared" si="150"/>
        <v>NA</v>
      </c>
      <c r="U349" s="29" t="str">
        <f t="shared" si="151"/>
        <v>NA</v>
      </c>
      <c r="V349" s="29" t="str">
        <f t="shared" si="152"/>
        <v>NA</v>
      </c>
      <c r="W349" s="29" t="str">
        <f t="shared" si="153"/>
        <v>NA</v>
      </c>
      <c r="X349" s="29" t="str">
        <f t="shared" si="154"/>
        <v>NA</v>
      </c>
      <c r="Y349" s="29" t="str">
        <f t="shared" si="155"/>
        <v>NA</v>
      </c>
      <c r="Z349" s="29" t="str">
        <f t="shared" si="156"/>
        <v>NA</v>
      </c>
      <c r="AA349" s="29" t="str">
        <f t="shared" si="157"/>
        <v>NA</v>
      </c>
      <c r="AB349" s="29" t="str">
        <f t="shared" si="158"/>
        <v>NA</v>
      </c>
      <c r="AC349" s="29" t="str">
        <f t="shared" si="159"/>
        <v>NA</v>
      </c>
      <c r="AD349" s="29" t="str">
        <f t="shared" si="160"/>
        <v>NA</v>
      </c>
      <c r="AE349" s="29" t="str">
        <f t="shared" si="161"/>
        <v>NA</v>
      </c>
      <c r="AF349" s="29" t="str">
        <f t="shared" si="162"/>
        <v>NA</v>
      </c>
      <c r="AG349" s="29" t="str">
        <f t="shared" si="163"/>
        <v>NA</v>
      </c>
      <c r="AH349" s="29" t="str">
        <f t="shared" si="164"/>
        <v>NA</v>
      </c>
    </row>
    <row r="350" customHeight="1" spans="1:34">
      <c r="A350" s="12" t="s">
        <v>1043</v>
      </c>
      <c r="F350" s="24">
        <f t="shared" si="146"/>
        <v>0</v>
      </c>
      <c r="G350" s="24" t="e">
        <f t="shared" si="145"/>
        <v>#DIV/0!</v>
      </c>
      <c r="Q350" s="29" t="str">
        <f t="shared" si="147"/>
        <v>NA</v>
      </c>
      <c r="R350" s="29" t="str">
        <f t="shared" si="148"/>
        <v>NA</v>
      </c>
      <c r="S350" s="29" t="str">
        <f t="shared" si="149"/>
        <v>NA</v>
      </c>
      <c r="T350" s="29" t="str">
        <f t="shared" si="150"/>
        <v>NA</v>
      </c>
      <c r="U350" s="29" t="str">
        <f t="shared" si="151"/>
        <v>NA</v>
      </c>
      <c r="V350" s="29" t="str">
        <f t="shared" si="152"/>
        <v>NA</v>
      </c>
      <c r="W350" s="29" t="str">
        <f t="shared" si="153"/>
        <v>NA</v>
      </c>
      <c r="X350" s="29" t="str">
        <f t="shared" si="154"/>
        <v>NA</v>
      </c>
      <c r="Y350" s="29" t="str">
        <f t="shared" si="155"/>
        <v>NA</v>
      </c>
      <c r="Z350" s="29" t="str">
        <f t="shared" si="156"/>
        <v>NA</v>
      </c>
      <c r="AA350" s="29" t="str">
        <f t="shared" si="157"/>
        <v>NA</v>
      </c>
      <c r="AB350" s="29" t="str">
        <f t="shared" si="158"/>
        <v>NA</v>
      </c>
      <c r="AC350" s="29" t="str">
        <f t="shared" si="159"/>
        <v>NA</v>
      </c>
      <c r="AD350" s="29" t="str">
        <f t="shared" si="160"/>
        <v>NA</v>
      </c>
      <c r="AE350" s="29" t="str">
        <f t="shared" si="161"/>
        <v>NA</v>
      </c>
      <c r="AF350" s="29" t="str">
        <f t="shared" si="162"/>
        <v>NA</v>
      </c>
      <c r="AG350" s="29" t="str">
        <f t="shared" si="163"/>
        <v>NA</v>
      </c>
      <c r="AH350" s="29" t="str">
        <f t="shared" si="164"/>
        <v>NA</v>
      </c>
    </row>
    <row r="351" customHeight="1" spans="1:34">
      <c r="A351" s="12" t="s">
        <v>1043</v>
      </c>
      <c r="F351" s="24">
        <f t="shared" si="146"/>
        <v>0</v>
      </c>
      <c r="G351" s="24" t="e">
        <f t="shared" si="145"/>
        <v>#DIV/0!</v>
      </c>
      <c r="Q351" s="29" t="str">
        <f t="shared" si="147"/>
        <v>NA</v>
      </c>
      <c r="R351" s="29" t="str">
        <f t="shared" si="148"/>
        <v>NA</v>
      </c>
      <c r="S351" s="29" t="str">
        <f t="shared" si="149"/>
        <v>NA</v>
      </c>
      <c r="T351" s="29" t="str">
        <f t="shared" si="150"/>
        <v>NA</v>
      </c>
      <c r="U351" s="29" t="str">
        <f t="shared" si="151"/>
        <v>NA</v>
      </c>
      <c r="V351" s="29" t="str">
        <f t="shared" si="152"/>
        <v>NA</v>
      </c>
      <c r="W351" s="29" t="str">
        <f t="shared" si="153"/>
        <v>NA</v>
      </c>
      <c r="X351" s="29" t="str">
        <f t="shared" si="154"/>
        <v>NA</v>
      </c>
      <c r="Y351" s="29" t="str">
        <f t="shared" si="155"/>
        <v>NA</v>
      </c>
      <c r="Z351" s="29" t="str">
        <f t="shared" si="156"/>
        <v>NA</v>
      </c>
      <c r="AA351" s="29" t="str">
        <f t="shared" si="157"/>
        <v>NA</v>
      </c>
      <c r="AB351" s="29" t="str">
        <f t="shared" si="158"/>
        <v>NA</v>
      </c>
      <c r="AC351" s="29" t="str">
        <f t="shared" si="159"/>
        <v>NA</v>
      </c>
      <c r="AD351" s="29" t="str">
        <f t="shared" si="160"/>
        <v>NA</v>
      </c>
      <c r="AE351" s="29" t="str">
        <f t="shared" si="161"/>
        <v>NA</v>
      </c>
      <c r="AF351" s="29" t="str">
        <f t="shared" si="162"/>
        <v>NA</v>
      </c>
      <c r="AG351" s="29" t="str">
        <f t="shared" si="163"/>
        <v>NA</v>
      </c>
      <c r="AH351" s="29" t="str">
        <f t="shared" si="164"/>
        <v>NA</v>
      </c>
    </row>
    <row r="352" customHeight="1" spans="1:34">
      <c r="A352" s="12" t="s">
        <v>1043</v>
      </c>
      <c r="F352" s="24">
        <f t="shared" si="146"/>
        <v>0</v>
      </c>
      <c r="G352" s="24" t="e">
        <f t="shared" si="145"/>
        <v>#DIV/0!</v>
      </c>
      <c r="Q352" s="29" t="str">
        <f t="shared" si="147"/>
        <v>NA</v>
      </c>
      <c r="R352" s="29" t="str">
        <f t="shared" si="148"/>
        <v>NA</v>
      </c>
      <c r="S352" s="29" t="str">
        <f t="shared" si="149"/>
        <v>NA</v>
      </c>
      <c r="T352" s="29" t="str">
        <f t="shared" si="150"/>
        <v>NA</v>
      </c>
      <c r="U352" s="29" t="str">
        <f t="shared" si="151"/>
        <v>NA</v>
      </c>
      <c r="V352" s="29" t="str">
        <f t="shared" si="152"/>
        <v>NA</v>
      </c>
      <c r="W352" s="29" t="str">
        <f t="shared" si="153"/>
        <v>NA</v>
      </c>
      <c r="X352" s="29" t="str">
        <f t="shared" si="154"/>
        <v>NA</v>
      </c>
      <c r="Y352" s="29" t="str">
        <f t="shared" si="155"/>
        <v>NA</v>
      </c>
      <c r="Z352" s="29" t="str">
        <f t="shared" si="156"/>
        <v>NA</v>
      </c>
      <c r="AA352" s="29" t="str">
        <f t="shared" si="157"/>
        <v>NA</v>
      </c>
      <c r="AB352" s="29" t="str">
        <f t="shared" si="158"/>
        <v>NA</v>
      </c>
      <c r="AC352" s="29" t="str">
        <f t="shared" si="159"/>
        <v>NA</v>
      </c>
      <c r="AD352" s="29" t="str">
        <f t="shared" si="160"/>
        <v>NA</v>
      </c>
      <c r="AE352" s="29" t="str">
        <f t="shared" si="161"/>
        <v>NA</v>
      </c>
      <c r="AF352" s="29" t="str">
        <f t="shared" si="162"/>
        <v>NA</v>
      </c>
      <c r="AG352" s="29" t="str">
        <f t="shared" si="163"/>
        <v>NA</v>
      </c>
      <c r="AH352" s="29" t="str">
        <f t="shared" si="164"/>
        <v>NA</v>
      </c>
    </row>
    <row r="353" customHeight="1" spans="1:34">
      <c r="A353" s="12" t="s">
        <v>1043</v>
      </c>
      <c r="F353" s="24">
        <f t="shared" si="146"/>
        <v>0</v>
      </c>
      <c r="G353" s="24" t="e">
        <f t="shared" si="145"/>
        <v>#DIV/0!</v>
      </c>
      <c r="Q353" s="29" t="str">
        <f t="shared" si="147"/>
        <v>NA</v>
      </c>
      <c r="R353" s="29" t="str">
        <f t="shared" si="148"/>
        <v>NA</v>
      </c>
      <c r="S353" s="29" t="str">
        <f t="shared" si="149"/>
        <v>NA</v>
      </c>
      <c r="T353" s="29" t="str">
        <f t="shared" si="150"/>
        <v>NA</v>
      </c>
      <c r="U353" s="29" t="str">
        <f t="shared" si="151"/>
        <v>NA</v>
      </c>
      <c r="V353" s="29" t="str">
        <f t="shared" si="152"/>
        <v>NA</v>
      </c>
      <c r="W353" s="29" t="str">
        <f t="shared" si="153"/>
        <v>NA</v>
      </c>
      <c r="X353" s="29" t="str">
        <f t="shared" si="154"/>
        <v>NA</v>
      </c>
      <c r="Y353" s="29" t="str">
        <f t="shared" si="155"/>
        <v>NA</v>
      </c>
      <c r="Z353" s="29" t="str">
        <f t="shared" si="156"/>
        <v>NA</v>
      </c>
      <c r="AA353" s="29" t="str">
        <f t="shared" si="157"/>
        <v>NA</v>
      </c>
      <c r="AB353" s="29" t="str">
        <f t="shared" si="158"/>
        <v>NA</v>
      </c>
      <c r="AC353" s="29" t="str">
        <f t="shared" si="159"/>
        <v>NA</v>
      </c>
      <c r="AD353" s="29" t="str">
        <f t="shared" si="160"/>
        <v>NA</v>
      </c>
      <c r="AE353" s="29" t="str">
        <f t="shared" si="161"/>
        <v>NA</v>
      </c>
      <c r="AF353" s="29" t="str">
        <f t="shared" si="162"/>
        <v>NA</v>
      </c>
      <c r="AG353" s="29" t="str">
        <f t="shared" si="163"/>
        <v>NA</v>
      </c>
      <c r="AH353" s="29" t="str">
        <f t="shared" si="164"/>
        <v>NA</v>
      </c>
    </row>
    <row r="354" customHeight="1" spans="1:34">
      <c r="A354" s="12" t="s">
        <v>1043</v>
      </c>
      <c r="F354" s="24">
        <f t="shared" si="146"/>
        <v>0</v>
      </c>
      <c r="G354" s="24" t="e">
        <f t="shared" si="145"/>
        <v>#DIV/0!</v>
      </c>
      <c r="Q354" s="29" t="str">
        <f t="shared" si="147"/>
        <v>NA</v>
      </c>
      <c r="R354" s="29" t="str">
        <f t="shared" si="148"/>
        <v>NA</v>
      </c>
      <c r="S354" s="29" t="str">
        <f t="shared" si="149"/>
        <v>NA</v>
      </c>
      <c r="T354" s="29" t="str">
        <f t="shared" si="150"/>
        <v>NA</v>
      </c>
      <c r="U354" s="29" t="str">
        <f t="shared" si="151"/>
        <v>NA</v>
      </c>
      <c r="V354" s="29" t="str">
        <f t="shared" si="152"/>
        <v>NA</v>
      </c>
      <c r="W354" s="29" t="str">
        <f t="shared" si="153"/>
        <v>NA</v>
      </c>
      <c r="X354" s="29" t="str">
        <f t="shared" si="154"/>
        <v>NA</v>
      </c>
      <c r="Y354" s="29" t="str">
        <f t="shared" si="155"/>
        <v>NA</v>
      </c>
      <c r="Z354" s="29" t="str">
        <f t="shared" si="156"/>
        <v>NA</v>
      </c>
      <c r="AA354" s="29" t="str">
        <f t="shared" si="157"/>
        <v>NA</v>
      </c>
      <c r="AB354" s="29" t="str">
        <f t="shared" si="158"/>
        <v>NA</v>
      </c>
      <c r="AC354" s="29" t="str">
        <f t="shared" si="159"/>
        <v>NA</v>
      </c>
      <c r="AD354" s="29" t="str">
        <f t="shared" si="160"/>
        <v>NA</v>
      </c>
      <c r="AE354" s="29" t="str">
        <f t="shared" si="161"/>
        <v>NA</v>
      </c>
      <c r="AF354" s="29" t="str">
        <f t="shared" si="162"/>
        <v>NA</v>
      </c>
      <c r="AG354" s="29" t="str">
        <f t="shared" si="163"/>
        <v>NA</v>
      </c>
      <c r="AH354" s="29" t="str">
        <f t="shared" si="164"/>
        <v>NA</v>
      </c>
    </row>
    <row r="355" customHeight="1" spans="1:34">
      <c r="A355" s="12" t="s">
        <v>1043</v>
      </c>
      <c r="F355" s="24">
        <f t="shared" si="146"/>
        <v>0</v>
      </c>
      <c r="G355" s="24" t="e">
        <f t="shared" si="145"/>
        <v>#DIV/0!</v>
      </c>
      <c r="Q355" s="29" t="str">
        <f t="shared" si="147"/>
        <v>NA</v>
      </c>
      <c r="R355" s="29" t="str">
        <f t="shared" si="148"/>
        <v>NA</v>
      </c>
      <c r="S355" s="29" t="str">
        <f t="shared" si="149"/>
        <v>NA</v>
      </c>
      <c r="T355" s="29" t="str">
        <f t="shared" si="150"/>
        <v>NA</v>
      </c>
      <c r="U355" s="29" t="str">
        <f t="shared" si="151"/>
        <v>NA</v>
      </c>
      <c r="V355" s="29" t="str">
        <f t="shared" si="152"/>
        <v>NA</v>
      </c>
      <c r="W355" s="29" t="str">
        <f t="shared" si="153"/>
        <v>NA</v>
      </c>
      <c r="X355" s="29" t="str">
        <f t="shared" si="154"/>
        <v>NA</v>
      </c>
      <c r="Y355" s="29" t="str">
        <f t="shared" si="155"/>
        <v>NA</v>
      </c>
      <c r="Z355" s="29" t="str">
        <f t="shared" si="156"/>
        <v>NA</v>
      </c>
      <c r="AA355" s="29" t="str">
        <f t="shared" si="157"/>
        <v>NA</v>
      </c>
      <c r="AB355" s="29" t="str">
        <f t="shared" si="158"/>
        <v>NA</v>
      </c>
      <c r="AC355" s="29" t="str">
        <f t="shared" si="159"/>
        <v>NA</v>
      </c>
      <c r="AD355" s="29" t="str">
        <f t="shared" si="160"/>
        <v>NA</v>
      </c>
      <c r="AE355" s="29" t="str">
        <f t="shared" si="161"/>
        <v>NA</v>
      </c>
      <c r="AF355" s="29" t="str">
        <f t="shared" si="162"/>
        <v>NA</v>
      </c>
      <c r="AG355" s="29" t="str">
        <f t="shared" si="163"/>
        <v>NA</v>
      </c>
      <c r="AH355" s="29" t="str">
        <f t="shared" si="164"/>
        <v>NA</v>
      </c>
    </row>
    <row r="356" customHeight="1" spans="1:34">
      <c r="A356" s="12" t="s">
        <v>1043</v>
      </c>
      <c r="F356" s="24">
        <f t="shared" si="146"/>
        <v>0</v>
      </c>
      <c r="G356" s="24" t="e">
        <f t="shared" si="145"/>
        <v>#DIV/0!</v>
      </c>
      <c r="Q356" s="29" t="str">
        <f t="shared" si="147"/>
        <v>NA</v>
      </c>
      <c r="R356" s="29" t="str">
        <f t="shared" si="148"/>
        <v>NA</v>
      </c>
      <c r="S356" s="29" t="str">
        <f t="shared" si="149"/>
        <v>NA</v>
      </c>
      <c r="T356" s="29" t="str">
        <f t="shared" si="150"/>
        <v>NA</v>
      </c>
      <c r="U356" s="29" t="str">
        <f t="shared" si="151"/>
        <v>NA</v>
      </c>
      <c r="V356" s="29" t="str">
        <f t="shared" si="152"/>
        <v>NA</v>
      </c>
      <c r="W356" s="29" t="str">
        <f t="shared" si="153"/>
        <v>NA</v>
      </c>
      <c r="X356" s="29" t="str">
        <f t="shared" si="154"/>
        <v>NA</v>
      </c>
      <c r="Y356" s="29" t="str">
        <f t="shared" si="155"/>
        <v>NA</v>
      </c>
      <c r="Z356" s="29" t="str">
        <f t="shared" si="156"/>
        <v>NA</v>
      </c>
      <c r="AA356" s="29" t="str">
        <f t="shared" si="157"/>
        <v>NA</v>
      </c>
      <c r="AB356" s="29" t="str">
        <f t="shared" si="158"/>
        <v>NA</v>
      </c>
      <c r="AC356" s="29" t="str">
        <f t="shared" si="159"/>
        <v>NA</v>
      </c>
      <c r="AD356" s="29" t="str">
        <f t="shared" si="160"/>
        <v>NA</v>
      </c>
      <c r="AE356" s="29" t="str">
        <f t="shared" si="161"/>
        <v>NA</v>
      </c>
      <c r="AF356" s="29" t="str">
        <f t="shared" si="162"/>
        <v>NA</v>
      </c>
      <c r="AG356" s="29" t="str">
        <f t="shared" si="163"/>
        <v>NA</v>
      </c>
      <c r="AH356" s="29" t="str">
        <f t="shared" si="164"/>
        <v>NA</v>
      </c>
    </row>
    <row r="357" customHeight="1" spans="1:34">
      <c r="A357" s="12" t="s">
        <v>1043</v>
      </c>
      <c r="F357" s="24">
        <f t="shared" si="146"/>
        <v>0</v>
      </c>
      <c r="G357" s="24" t="e">
        <f t="shared" si="145"/>
        <v>#DIV/0!</v>
      </c>
      <c r="Q357" s="29" t="str">
        <f t="shared" si="147"/>
        <v>NA</v>
      </c>
      <c r="R357" s="29" t="str">
        <f t="shared" si="148"/>
        <v>NA</v>
      </c>
      <c r="S357" s="29" t="str">
        <f t="shared" si="149"/>
        <v>NA</v>
      </c>
      <c r="T357" s="29" t="str">
        <f t="shared" si="150"/>
        <v>NA</v>
      </c>
      <c r="U357" s="29" t="str">
        <f t="shared" si="151"/>
        <v>NA</v>
      </c>
      <c r="V357" s="29" t="str">
        <f t="shared" si="152"/>
        <v>NA</v>
      </c>
      <c r="W357" s="29" t="str">
        <f t="shared" si="153"/>
        <v>NA</v>
      </c>
      <c r="X357" s="29" t="str">
        <f t="shared" si="154"/>
        <v>NA</v>
      </c>
      <c r="Y357" s="29" t="str">
        <f t="shared" si="155"/>
        <v>NA</v>
      </c>
      <c r="Z357" s="29" t="str">
        <f t="shared" si="156"/>
        <v>NA</v>
      </c>
      <c r="AA357" s="29" t="str">
        <f t="shared" si="157"/>
        <v>NA</v>
      </c>
      <c r="AB357" s="29" t="str">
        <f t="shared" si="158"/>
        <v>NA</v>
      </c>
      <c r="AC357" s="29" t="str">
        <f t="shared" si="159"/>
        <v>NA</v>
      </c>
      <c r="AD357" s="29" t="str">
        <f t="shared" si="160"/>
        <v>NA</v>
      </c>
      <c r="AE357" s="29" t="str">
        <f t="shared" si="161"/>
        <v>NA</v>
      </c>
      <c r="AF357" s="29" t="str">
        <f t="shared" si="162"/>
        <v>NA</v>
      </c>
      <c r="AG357" s="29" t="str">
        <f t="shared" si="163"/>
        <v>NA</v>
      </c>
      <c r="AH357" s="29" t="str">
        <f t="shared" si="164"/>
        <v>NA</v>
      </c>
    </row>
    <row r="358" customHeight="1" spans="1:34">
      <c r="A358" s="12" t="s">
        <v>1043</v>
      </c>
      <c r="F358" s="24">
        <f t="shared" si="146"/>
        <v>0</v>
      </c>
      <c r="G358" s="24" t="e">
        <f t="shared" si="145"/>
        <v>#DIV/0!</v>
      </c>
      <c r="Q358" s="29" t="str">
        <f t="shared" si="147"/>
        <v>NA</v>
      </c>
      <c r="R358" s="29" t="str">
        <f t="shared" si="148"/>
        <v>NA</v>
      </c>
      <c r="S358" s="29" t="str">
        <f t="shared" si="149"/>
        <v>NA</v>
      </c>
      <c r="T358" s="29" t="str">
        <f t="shared" si="150"/>
        <v>NA</v>
      </c>
      <c r="U358" s="29" t="str">
        <f t="shared" si="151"/>
        <v>NA</v>
      </c>
      <c r="V358" s="29" t="str">
        <f t="shared" si="152"/>
        <v>NA</v>
      </c>
      <c r="W358" s="29" t="str">
        <f t="shared" si="153"/>
        <v>NA</v>
      </c>
      <c r="X358" s="29" t="str">
        <f t="shared" si="154"/>
        <v>NA</v>
      </c>
      <c r="Y358" s="29" t="str">
        <f t="shared" si="155"/>
        <v>NA</v>
      </c>
      <c r="Z358" s="29" t="str">
        <f t="shared" si="156"/>
        <v>NA</v>
      </c>
      <c r="AA358" s="29" t="str">
        <f t="shared" si="157"/>
        <v>NA</v>
      </c>
      <c r="AB358" s="29" t="str">
        <f t="shared" si="158"/>
        <v>NA</v>
      </c>
      <c r="AC358" s="29" t="str">
        <f t="shared" si="159"/>
        <v>NA</v>
      </c>
      <c r="AD358" s="29" t="str">
        <f t="shared" si="160"/>
        <v>NA</v>
      </c>
      <c r="AE358" s="29" t="str">
        <f t="shared" si="161"/>
        <v>NA</v>
      </c>
      <c r="AF358" s="29" t="str">
        <f t="shared" si="162"/>
        <v>NA</v>
      </c>
      <c r="AG358" s="29" t="str">
        <f t="shared" si="163"/>
        <v>NA</v>
      </c>
      <c r="AH358" s="29" t="str">
        <f t="shared" si="164"/>
        <v>NA</v>
      </c>
    </row>
    <row r="359" customHeight="1" spans="1:34">
      <c r="A359" s="12" t="s">
        <v>1043</v>
      </c>
      <c r="F359" s="24">
        <f t="shared" si="146"/>
        <v>0</v>
      </c>
      <c r="G359" s="24" t="e">
        <f t="shared" si="145"/>
        <v>#DIV/0!</v>
      </c>
      <c r="Q359" s="29" t="str">
        <f t="shared" si="147"/>
        <v>NA</v>
      </c>
      <c r="R359" s="29" t="str">
        <f t="shared" si="148"/>
        <v>NA</v>
      </c>
      <c r="S359" s="29" t="str">
        <f t="shared" si="149"/>
        <v>NA</v>
      </c>
      <c r="T359" s="29" t="str">
        <f t="shared" si="150"/>
        <v>NA</v>
      </c>
      <c r="U359" s="29" t="str">
        <f t="shared" si="151"/>
        <v>NA</v>
      </c>
      <c r="V359" s="29" t="str">
        <f t="shared" si="152"/>
        <v>NA</v>
      </c>
      <c r="W359" s="29" t="str">
        <f t="shared" si="153"/>
        <v>NA</v>
      </c>
      <c r="X359" s="29" t="str">
        <f t="shared" si="154"/>
        <v>NA</v>
      </c>
      <c r="Y359" s="29" t="str">
        <f t="shared" si="155"/>
        <v>NA</v>
      </c>
      <c r="Z359" s="29" t="str">
        <f t="shared" si="156"/>
        <v>NA</v>
      </c>
      <c r="AA359" s="29" t="str">
        <f t="shared" si="157"/>
        <v>NA</v>
      </c>
      <c r="AB359" s="29" t="str">
        <f t="shared" si="158"/>
        <v>NA</v>
      </c>
      <c r="AC359" s="29" t="str">
        <f t="shared" si="159"/>
        <v>NA</v>
      </c>
      <c r="AD359" s="29" t="str">
        <f t="shared" si="160"/>
        <v>NA</v>
      </c>
      <c r="AE359" s="29" t="str">
        <f t="shared" si="161"/>
        <v>NA</v>
      </c>
      <c r="AF359" s="29" t="str">
        <f t="shared" si="162"/>
        <v>NA</v>
      </c>
      <c r="AG359" s="29" t="str">
        <f t="shared" si="163"/>
        <v>NA</v>
      </c>
      <c r="AH359" s="29" t="str">
        <f t="shared" si="164"/>
        <v>NA</v>
      </c>
    </row>
    <row r="360" customHeight="1" spans="1:34">
      <c r="A360" s="12" t="s">
        <v>1043</v>
      </c>
      <c r="F360" s="24">
        <f t="shared" si="146"/>
        <v>0</v>
      </c>
      <c r="G360" s="24" t="e">
        <f t="shared" si="145"/>
        <v>#DIV/0!</v>
      </c>
      <c r="Q360" s="29" t="str">
        <f t="shared" si="147"/>
        <v>NA</v>
      </c>
      <c r="R360" s="29" t="str">
        <f t="shared" si="148"/>
        <v>NA</v>
      </c>
      <c r="S360" s="29" t="str">
        <f t="shared" si="149"/>
        <v>NA</v>
      </c>
      <c r="T360" s="29" t="str">
        <f t="shared" si="150"/>
        <v>NA</v>
      </c>
      <c r="U360" s="29" t="str">
        <f t="shared" si="151"/>
        <v>NA</v>
      </c>
      <c r="V360" s="29" t="str">
        <f t="shared" si="152"/>
        <v>NA</v>
      </c>
      <c r="W360" s="29" t="str">
        <f t="shared" si="153"/>
        <v>NA</v>
      </c>
      <c r="X360" s="29" t="str">
        <f t="shared" si="154"/>
        <v>NA</v>
      </c>
      <c r="Y360" s="29" t="str">
        <f t="shared" si="155"/>
        <v>NA</v>
      </c>
      <c r="Z360" s="29" t="str">
        <f t="shared" si="156"/>
        <v>NA</v>
      </c>
      <c r="AA360" s="29" t="str">
        <f t="shared" si="157"/>
        <v>NA</v>
      </c>
      <c r="AB360" s="29" t="str">
        <f t="shared" si="158"/>
        <v>NA</v>
      </c>
      <c r="AC360" s="29" t="str">
        <f t="shared" si="159"/>
        <v>NA</v>
      </c>
      <c r="AD360" s="29" t="str">
        <f t="shared" si="160"/>
        <v>NA</v>
      </c>
      <c r="AE360" s="29" t="str">
        <f t="shared" si="161"/>
        <v>NA</v>
      </c>
      <c r="AF360" s="29" t="str">
        <f t="shared" si="162"/>
        <v>NA</v>
      </c>
      <c r="AG360" s="29" t="str">
        <f t="shared" si="163"/>
        <v>NA</v>
      </c>
      <c r="AH360" s="29" t="str">
        <f t="shared" si="164"/>
        <v>NA</v>
      </c>
    </row>
    <row r="361" customHeight="1" spans="1:34">
      <c r="A361" s="12" t="s">
        <v>1043</v>
      </c>
      <c r="F361" s="24">
        <f t="shared" si="146"/>
        <v>0</v>
      </c>
      <c r="G361" s="24" t="e">
        <f t="shared" si="145"/>
        <v>#DIV/0!</v>
      </c>
      <c r="Q361" s="29" t="str">
        <f t="shared" si="147"/>
        <v>NA</v>
      </c>
      <c r="R361" s="29" t="str">
        <f t="shared" si="148"/>
        <v>NA</v>
      </c>
      <c r="S361" s="29" t="str">
        <f t="shared" si="149"/>
        <v>NA</v>
      </c>
      <c r="T361" s="29" t="str">
        <f t="shared" si="150"/>
        <v>NA</v>
      </c>
      <c r="U361" s="29" t="str">
        <f t="shared" si="151"/>
        <v>NA</v>
      </c>
      <c r="V361" s="29" t="str">
        <f t="shared" si="152"/>
        <v>NA</v>
      </c>
      <c r="W361" s="29" t="str">
        <f t="shared" si="153"/>
        <v>NA</v>
      </c>
      <c r="X361" s="29" t="str">
        <f t="shared" si="154"/>
        <v>NA</v>
      </c>
      <c r="Y361" s="29" t="str">
        <f t="shared" si="155"/>
        <v>NA</v>
      </c>
      <c r="Z361" s="29" t="str">
        <f t="shared" si="156"/>
        <v>NA</v>
      </c>
      <c r="AA361" s="29" t="str">
        <f t="shared" si="157"/>
        <v>NA</v>
      </c>
      <c r="AB361" s="29" t="str">
        <f t="shared" si="158"/>
        <v>NA</v>
      </c>
      <c r="AC361" s="29" t="str">
        <f t="shared" si="159"/>
        <v>NA</v>
      </c>
      <c r="AD361" s="29" t="str">
        <f t="shared" si="160"/>
        <v>NA</v>
      </c>
      <c r="AE361" s="29" t="str">
        <f t="shared" si="161"/>
        <v>NA</v>
      </c>
      <c r="AF361" s="29" t="str">
        <f t="shared" si="162"/>
        <v>NA</v>
      </c>
      <c r="AG361" s="29" t="str">
        <f t="shared" si="163"/>
        <v>NA</v>
      </c>
      <c r="AH361" s="29" t="str">
        <f t="shared" si="164"/>
        <v>NA</v>
      </c>
    </row>
    <row r="362" customHeight="1" spans="1:34">
      <c r="A362" s="12" t="s">
        <v>1043</v>
      </c>
      <c r="F362" s="24">
        <f t="shared" si="146"/>
        <v>0</v>
      </c>
      <c r="G362" s="24" t="e">
        <f t="shared" si="145"/>
        <v>#DIV/0!</v>
      </c>
      <c r="Q362" s="29" t="str">
        <f t="shared" si="147"/>
        <v>NA</v>
      </c>
      <c r="R362" s="29" t="str">
        <f t="shared" si="148"/>
        <v>NA</v>
      </c>
      <c r="S362" s="29" t="str">
        <f t="shared" si="149"/>
        <v>NA</v>
      </c>
      <c r="T362" s="29" t="str">
        <f t="shared" si="150"/>
        <v>NA</v>
      </c>
      <c r="U362" s="29" t="str">
        <f t="shared" si="151"/>
        <v>NA</v>
      </c>
      <c r="V362" s="29" t="str">
        <f t="shared" si="152"/>
        <v>NA</v>
      </c>
      <c r="W362" s="29" t="str">
        <f t="shared" si="153"/>
        <v>NA</v>
      </c>
      <c r="X362" s="29" t="str">
        <f t="shared" si="154"/>
        <v>NA</v>
      </c>
      <c r="Y362" s="29" t="str">
        <f t="shared" si="155"/>
        <v>NA</v>
      </c>
      <c r="Z362" s="29" t="str">
        <f t="shared" si="156"/>
        <v>NA</v>
      </c>
      <c r="AA362" s="29" t="str">
        <f t="shared" si="157"/>
        <v>NA</v>
      </c>
      <c r="AB362" s="29" t="str">
        <f t="shared" si="158"/>
        <v>NA</v>
      </c>
      <c r="AC362" s="29" t="str">
        <f t="shared" si="159"/>
        <v>NA</v>
      </c>
      <c r="AD362" s="29" t="str">
        <f t="shared" si="160"/>
        <v>NA</v>
      </c>
      <c r="AE362" s="29" t="str">
        <f t="shared" si="161"/>
        <v>NA</v>
      </c>
      <c r="AF362" s="29" t="str">
        <f t="shared" si="162"/>
        <v>NA</v>
      </c>
      <c r="AG362" s="29" t="str">
        <f t="shared" si="163"/>
        <v>NA</v>
      </c>
      <c r="AH362" s="29" t="str">
        <f t="shared" si="164"/>
        <v>NA</v>
      </c>
    </row>
    <row r="363" customHeight="1" spans="1:34">
      <c r="A363" s="12" t="s">
        <v>1043</v>
      </c>
      <c r="F363" s="24">
        <f t="shared" si="146"/>
        <v>0</v>
      </c>
      <c r="G363" s="24" t="e">
        <f t="shared" si="145"/>
        <v>#DIV/0!</v>
      </c>
      <c r="Q363" s="29" t="str">
        <f t="shared" si="147"/>
        <v>NA</v>
      </c>
      <c r="R363" s="29" t="str">
        <f t="shared" si="148"/>
        <v>NA</v>
      </c>
      <c r="S363" s="29" t="str">
        <f t="shared" si="149"/>
        <v>NA</v>
      </c>
      <c r="T363" s="29" t="str">
        <f t="shared" si="150"/>
        <v>NA</v>
      </c>
      <c r="U363" s="29" t="str">
        <f t="shared" si="151"/>
        <v>NA</v>
      </c>
      <c r="V363" s="29" t="str">
        <f t="shared" si="152"/>
        <v>NA</v>
      </c>
      <c r="W363" s="29" t="str">
        <f t="shared" si="153"/>
        <v>NA</v>
      </c>
      <c r="X363" s="29" t="str">
        <f t="shared" si="154"/>
        <v>NA</v>
      </c>
      <c r="Y363" s="29" t="str">
        <f t="shared" si="155"/>
        <v>NA</v>
      </c>
      <c r="Z363" s="29" t="str">
        <f t="shared" si="156"/>
        <v>NA</v>
      </c>
      <c r="AA363" s="29" t="str">
        <f t="shared" si="157"/>
        <v>NA</v>
      </c>
      <c r="AB363" s="29" t="str">
        <f t="shared" si="158"/>
        <v>NA</v>
      </c>
      <c r="AC363" s="29" t="str">
        <f t="shared" si="159"/>
        <v>NA</v>
      </c>
      <c r="AD363" s="29" t="str">
        <f t="shared" si="160"/>
        <v>NA</v>
      </c>
      <c r="AE363" s="29" t="str">
        <f t="shared" si="161"/>
        <v>NA</v>
      </c>
      <c r="AF363" s="29" t="str">
        <f t="shared" si="162"/>
        <v>NA</v>
      </c>
      <c r="AG363" s="29" t="str">
        <f t="shared" si="163"/>
        <v>NA</v>
      </c>
      <c r="AH363" s="29" t="str">
        <f t="shared" si="164"/>
        <v>NA</v>
      </c>
    </row>
    <row r="364" customHeight="1" spans="1:34">
      <c r="A364" s="12" t="s">
        <v>1043</v>
      </c>
      <c r="F364" s="24">
        <f t="shared" si="146"/>
        <v>0</v>
      </c>
      <c r="G364" s="24" t="e">
        <f t="shared" si="145"/>
        <v>#DIV/0!</v>
      </c>
      <c r="Q364" s="29" t="str">
        <f t="shared" si="147"/>
        <v>NA</v>
      </c>
      <c r="R364" s="29" t="str">
        <f t="shared" si="148"/>
        <v>NA</v>
      </c>
      <c r="S364" s="29" t="str">
        <f t="shared" si="149"/>
        <v>NA</v>
      </c>
      <c r="T364" s="29" t="str">
        <f t="shared" si="150"/>
        <v>NA</v>
      </c>
      <c r="U364" s="29" t="str">
        <f t="shared" si="151"/>
        <v>NA</v>
      </c>
      <c r="V364" s="29" t="str">
        <f t="shared" si="152"/>
        <v>NA</v>
      </c>
      <c r="W364" s="29" t="str">
        <f t="shared" si="153"/>
        <v>NA</v>
      </c>
      <c r="X364" s="29" t="str">
        <f t="shared" si="154"/>
        <v>NA</v>
      </c>
      <c r="Y364" s="29" t="str">
        <f t="shared" si="155"/>
        <v>NA</v>
      </c>
      <c r="Z364" s="29" t="str">
        <f t="shared" si="156"/>
        <v>NA</v>
      </c>
      <c r="AA364" s="29" t="str">
        <f t="shared" si="157"/>
        <v>NA</v>
      </c>
      <c r="AB364" s="29" t="str">
        <f t="shared" si="158"/>
        <v>NA</v>
      </c>
      <c r="AC364" s="29" t="str">
        <f t="shared" si="159"/>
        <v>NA</v>
      </c>
      <c r="AD364" s="29" t="str">
        <f t="shared" si="160"/>
        <v>NA</v>
      </c>
      <c r="AE364" s="29" t="str">
        <f t="shared" si="161"/>
        <v>NA</v>
      </c>
      <c r="AF364" s="29" t="str">
        <f t="shared" si="162"/>
        <v>NA</v>
      </c>
      <c r="AG364" s="29" t="str">
        <f t="shared" si="163"/>
        <v>NA</v>
      </c>
      <c r="AH364" s="29" t="str">
        <f t="shared" si="164"/>
        <v>NA</v>
      </c>
    </row>
    <row r="365" customHeight="1" spans="1:34">
      <c r="A365" s="12" t="s">
        <v>1043</v>
      </c>
      <c r="F365" s="24">
        <f t="shared" si="146"/>
        <v>0</v>
      </c>
      <c r="G365" s="24" t="e">
        <f t="shared" si="145"/>
        <v>#DIV/0!</v>
      </c>
      <c r="Q365" s="29" t="str">
        <f t="shared" si="147"/>
        <v>NA</v>
      </c>
      <c r="R365" s="29" t="str">
        <f t="shared" si="148"/>
        <v>NA</v>
      </c>
      <c r="S365" s="29" t="str">
        <f t="shared" si="149"/>
        <v>NA</v>
      </c>
      <c r="T365" s="29" t="str">
        <f t="shared" si="150"/>
        <v>NA</v>
      </c>
      <c r="U365" s="29" t="str">
        <f t="shared" si="151"/>
        <v>NA</v>
      </c>
      <c r="V365" s="29" t="str">
        <f t="shared" si="152"/>
        <v>NA</v>
      </c>
      <c r="W365" s="29" t="str">
        <f t="shared" si="153"/>
        <v>NA</v>
      </c>
      <c r="X365" s="29" t="str">
        <f t="shared" si="154"/>
        <v>NA</v>
      </c>
      <c r="Y365" s="29" t="str">
        <f t="shared" si="155"/>
        <v>NA</v>
      </c>
      <c r="Z365" s="29" t="str">
        <f t="shared" si="156"/>
        <v>NA</v>
      </c>
      <c r="AA365" s="29" t="str">
        <f t="shared" si="157"/>
        <v>NA</v>
      </c>
      <c r="AB365" s="29" t="str">
        <f t="shared" si="158"/>
        <v>NA</v>
      </c>
      <c r="AC365" s="29" t="str">
        <f t="shared" si="159"/>
        <v>NA</v>
      </c>
      <c r="AD365" s="29" t="str">
        <f t="shared" si="160"/>
        <v>NA</v>
      </c>
      <c r="AE365" s="29" t="str">
        <f t="shared" si="161"/>
        <v>NA</v>
      </c>
      <c r="AF365" s="29" t="str">
        <f t="shared" si="162"/>
        <v>NA</v>
      </c>
      <c r="AG365" s="29" t="str">
        <f t="shared" si="163"/>
        <v>NA</v>
      </c>
      <c r="AH365" s="29" t="str">
        <f t="shared" si="164"/>
        <v>NA</v>
      </c>
    </row>
    <row r="366" customHeight="1" spans="1:34">
      <c r="A366" s="12" t="s">
        <v>1043</v>
      </c>
      <c r="F366" s="24">
        <f t="shared" si="146"/>
        <v>0</v>
      </c>
      <c r="G366" s="24" t="e">
        <f t="shared" si="145"/>
        <v>#DIV/0!</v>
      </c>
      <c r="Q366" s="29" t="str">
        <f t="shared" si="147"/>
        <v>NA</v>
      </c>
      <c r="R366" s="29" t="str">
        <f t="shared" si="148"/>
        <v>NA</v>
      </c>
      <c r="S366" s="29" t="str">
        <f t="shared" si="149"/>
        <v>NA</v>
      </c>
      <c r="T366" s="29" t="str">
        <f t="shared" si="150"/>
        <v>NA</v>
      </c>
      <c r="U366" s="29" t="str">
        <f t="shared" si="151"/>
        <v>NA</v>
      </c>
      <c r="V366" s="29" t="str">
        <f t="shared" si="152"/>
        <v>NA</v>
      </c>
      <c r="W366" s="29" t="str">
        <f t="shared" si="153"/>
        <v>NA</v>
      </c>
      <c r="X366" s="29" t="str">
        <f t="shared" si="154"/>
        <v>NA</v>
      </c>
      <c r="Y366" s="29" t="str">
        <f t="shared" si="155"/>
        <v>NA</v>
      </c>
      <c r="Z366" s="29" t="str">
        <f t="shared" si="156"/>
        <v>NA</v>
      </c>
      <c r="AA366" s="29" t="str">
        <f t="shared" si="157"/>
        <v>NA</v>
      </c>
      <c r="AB366" s="29" t="str">
        <f t="shared" si="158"/>
        <v>NA</v>
      </c>
      <c r="AC366" s="29" t="str">
        <f t="shared" si="159"/>
        <v>NA</v>
      </c>
      <c r="AD366" s="29" t="str">
        <f t="shared" si="160"/>
        <v>NA</v>
      </c>
      <c r="AE366" s="29" t="str">
        <f t="shared" si="161"/>
        <v>NA</v>
      </c>
      <c r="AF366" s="29" t="str">
        <f t="shared" si="162"/>
        <v>NA</v>
      </c>
      <c r="AG366" s="29" t="str">
        <f t="shared" si="163"/>
        <v>NA</v>
      </c>
      <c r="AH366" s="29" t="str">
        <f t="shared" si="164"/>
        <v>NA</v>
      </c>
    </row>
    <row r="367" customHeight="1" spans="1:34">
      <c r="A367" s="12" t="s">
        <v>1043</v>
      </c>
      <c r="F367" s="24">
        <f t="shared" si="146"/>
        <v>0</v>
      </c>
      <c r="G367" s="24" t="e">
        <f t="shared" si="145"/>
        <v>#DIV/0!</v>
      </c>
      <c r="Q367" s="29" t="str">
        <f t="shared" si="147"/>
        <v>NA</v>
      </c>
      <c r="R367" s="29" t="str">
        <f t="shared" si="148"/>
        <v>NA</v>
      </c>
      <c r="S367" s="29" t="str">
        <f t="shared" si="149"/>
        <v>NA</v>
      </c>
      <c r="T367" s="29" t="str">
        <f t="shared" si="150"/>
        <v>NA</v>
      </c>
      <c r="U367" s="29" t="str">
        <f t="shared" si="151"/>
        <v>NA</v>
      </c>
      <c r="V367" s="29" t="str">
        <f t="shared" si="152"/>
        <v>NA</v>
      </c>
      <c r="W367" s="29" t="str">
        <f t="shared" si="153"/>
        <v>NA</v>
      </c>
      <c r="X367" s="29" t="str">
        <f t="shared" si="154"/>
        <v>NA</v>
      </c>
      <c r="Y367" s="29" t="str">
        <f t="shared" si="155"/>
        <v>NA</v>
      </c>
      <c r="Z367" s="29" t="str">
        <f t="shared" si="156"/>
        <v>NA</v>
      </c>
      <c r="AA367" s="29" t="str">
        <f t="shared" si="157"/>
        <v>NA</v>
      </c>
      <c r="AB367" s="29" t="str">
        <f t="shared" si="158"/>
        <v>NA</v>
      </c>
      <c r="AC367" s="29" t="str">
        <f t="shared" si="159"/>
        <v>NA</v>
      </c>
      <c r="AD367" s="29" t="str">
        <f t="shared" si="160"/>
        <v>NA</v>
      </c>
      <c r="AE367" s="29" t="str">
        <f t="shared" si="161"/>
        <v>NA</v>
      </c>
      <c r="AF367" s="29" t="str">
        <f t="shared" si="162"/>
        <v>NA</v>
      </c>
      <c r="AG367" s="29" t="str">
        <f t="shared" si="163"/>
        <v>NA</v>
      </c>
      <c r="AH367" s="29" t="str">
        <f t="shared" si="164"/>
        <v>NA</v>
      </c>
    </row>
    <row r="368" customHeight="1" spans="1:34">
      <c r="A368" s="12" t="s">
        <v>1043</v>
      </c>
      <c r="F368" s="24">
        <f t="shared" si="146"/>
        <v>0</v>
      </c>
      <c r="G368" s="24" t="e">
        <f t="shared" si="145"/>
        <v>#DIV/0!</v>
      </c>
      <c r="Q368" s="29" t="str">
        <f t="shared" si="147"/>
        <v>NA</v>
      </c>
      <c r="R368" s="29" t="str">
        <f t="shared" si="148"/>
        <v>NA</v>
      </c>
      <c r="S368" s="29" t="str">
        <f t="shared" si="149"/>
        <v>NA</v>
      </c>
      <c r="T368" s="29" t="str">
        <f t="shared" si="150"/>
        <v>NA</v>
      </c>
      <c r="U368" s="29" t="str">
        <f t="shared" si="151"/>
        <v>NA</v>
      </c>
      <c r="V368" s="29" t="str">
        <f t="shared" si="152"/>
        <v>NA</v>
      </c>
      <c r="W368" s="29" t="str">
        <f t="shared" si="153"/>
        <v>NA</v>
      </c>
      <c r="X368" s="29" t="str">
        <f t="shared" si="154"/>
        <v>NA</v>
      </c>
      <c r="Y368" s="29" t="str">
        <f t="shared" si="155"/>
        <v>NA</v>
      </c>
      <c r="Z368" s="29" t="str">
        <f t="shared" si="156"/>
        <v>NA</v>
      </c>
      <c r="AA368" s="29" t="str">
        <f t="shared" si="157"/>
        <v>NA</v>
      </c>
      <c r="AB368" s="29" t="str">
        <f t="shared" si="158"/>
        <v>NA</v>
      </c>
      <c r="AC368" s="29" t="str">
        <f t="shared" si="159"/>
        <v>NA</v>
      </c>
      <c r="AD368" s="29" t="str">
        <f t="shared" si="160"/>
        <v>NA</v>
      </c>
      <c r="AE368" s="29" t="str">
        <f t="shared" si="161"/>
        <v>NA</v>
      </c>
      <c r="AF368" s="29" t="str">
        <f t="shared" si="162"/>
        <v>NA</v>
      </c>
      <c r="AG368" s="29" t="str">
        <f t="shared" si="163"/>
        <v>NA</v>
      </c>
      <c r="AH368" s="29" t="str">
        <f t="shared" si="164"/>
        <v>NA</v>
      </c>
    </row>
    <row r="369" customHeight="1" spans="1:34">
      <c r="A369" s="12" t="s">
        <v>1043</v>
      </c>
      <c r="F369" s="24">
        <f t="shared" si="146"/>
        <v>0</v>
      </c>
      <c r="G369" s="24" t="e">
        <f t="shared" si="145"/>
        <v>#DIV/0!</v>
      </c>
      <c r="Q369" s="29" t="str">
        <f t="shared" si="147"/>
        <v>NA</v>
      </c>
      <c r="R369" s="29" t="str">
        <f t="shared" si="148"/>
        <v>NA</v>
      </c>
      <c r="S369" s="29" t="str">
        <f t="shared" si="149"/>
        <v>NA</v>
      </c>
      <c r="T369" s="29" t="str">
        <f t="shared" si="150"/>
        <v>NA</v>
      </c>
      <c r="U369" s="29" t="str">
        <f t="shared" si="151"/>
        <v>NA</v>
      </c>
      <c r="V369" s="29" t="str">
        <f t="shared" si="152"/>
        <v>NA</v>
      </c>
      <c r="W369" s="29" t="str">
        <f t="shared" si="153"/>
        <v>NA</v>
      </c>
      <c r="X369" s="29" t="str">
        <f t="shared" si="154"/>
        <v>NA</v>
      </c>
      <c r="Y369" s="29" t="str">
        <f t="shared" si="155"/>
        <v>NA</v>
      </c>
      <c r="Z369" s="29" t="str">
        <f t="shared" si="156"/>
        <v>NA</v>
      </c>
      <c r="AA369" s="29" t="str">
        <f t="shared" si="157"/>
        <v>NA</v>
      </c>
      <c r="AB369" s="29" t="str">
        <f t="shared" si="158"/>
        <v>NA</v>
      </c>
      <c r="AC369" s="29" t="str">
        <f t="shared" si="159"/>
        <v>NA</v>
      </c>
      <c r="AD369" s="29" t="str">
        <f t="shared" si="160"/>
        <v>NA</v>
      </c>
      <c r="AE369" s="29" t="str">
        <f t="shared" si="161"/>
        <v>NA</v>
      </c>
      <c r="AF369" s="29" t="str">
        <f t="shared" si="162"/>
        <v>NA</v>
      </c>
      <c r="AG369" s="29" t="str">
        <f t="shared" si="163"/>
        <v>NA</v>
      </c>
      <c r="AH369" s="29" t="str">
        <f t="shared" si="164"/>
        <v>NA</v>
      </c>
    </row>
    <row r="370" customHeight="1" spans="1:34">
      <c r="A370" s="12" t="s">
        <v>1043</v>
      </c>
      <c r="F370" s="24">
        <f t="shared" si="146"/>
        <v>0</v>
      </c>
      <c r="G370" s="24" t="e">
        <f t="shared" si="145"/>
        <v>#DIV/0!</v>
      </c>
      <c r="Q370" s="29" t="str">
        <f t="shared" si="147"/>
        <v>NA</v>
      </c>
      <c r="R370" s="29" t="str">
        <f t="shared" si="148"/>
        <v>NA</v>
      </c>
      <c r="S370" s="29" t="str">
        <f t="shared" si="149"/>
        <v>NA</v>
      </c>
      <c r="T370" s="29" t="str">
        <f t="shared" si="150"/>
        <v>NA</v>
      </c>
      <c r="U370" s="29" t="str">
        <f t="shared" si="151"/>
        <v>NA</v>
      </c>
      <c r="V370" s="29" t="str">
        <f t="shared" si="152"/>
        <v>NA</v>
      </c>
      <c r="W370" s="29" t="str">
        <f t="shared" si="153"/>
        <v>NA</v>
      </c>
      <c r="X370" s="29" t="str">
        <f t="shared" si="154"/>
        <v>NA</v>
      </c>
      <c r="Y370" s="29" t="str">
        <f t="shared" si="155"/>
        <v>NA</v>
      </c>
      <c r="Z370" s="29" t="str">
        <f t="shared" si="156"/>
        <v>NA</v>
      </c>
      <c r="AA370" s="29" t="str">
        <f t="shared" si="157"/>
        <v>NA</v>
      </c>
      <c r="AB370" s="29" t="str">
        <f t="shared" si="158"/>
        <v>NA</v>
      </c>
      <c r="AC370" s="29" t="str">
        <f t="shared" si="159"/>
        <v>NA</v>
      </c>
      <c r="AD370" s="29" t="str">
        <f t="shared" si="160"/>
        <v>NA</v>
      </c>
      <c r="AE370" s="29" t="str">
        <f t="shared" si="161"/>
        <v>NA</v>
      </c>
      <c r="AF370" s="29" t="str">
        <f t="shared" si="162"/>
        <v>NA</v>
      </c>
      <c r="AG370" s="29" t="str">
        <f t="shared" si="163"/>
        <v>NA</v>
      </c>
      <c r="AH370" s="29" t="str">
        <f t="shared" si="164"/>
        <v>NA</v>
      </c>
    </row>
    <row r="371" customHeight="1" spans="1:34">
      <c r="A371" s="12" t="s">
        <v>1043</v>
      </c>
      <c r="F371" s="24">
        <f t="shared" si="146"/>
        <v>0</v>
      </c>
      <c r="G371" s="24" t="e">
        <f t="shared" si="145"/>
        <v>#DIV/0!</v>
      </c>
      <c r="Q371" s="29" t="str">
        <f t="shared" si="147"/>
        <v>NA</v>
      </c>
      <c r="R371" s="29" t="str">
        <f t="shared" si="148"/>
        <v>NA</v>
      </c>
      <c r="S371" s="29" t="str">
        <f t="shared" si="149"/>
        <v>NA</v>
      </c>
      <c r="T371" s="29" t="str">
        <f t="shared" si="150"/>
        <v>NA</v>
      </c>
      <c r="U371" s="29" t="str">
        <f t="shared" si="151"/>
        <v>NA</v>
      </c>
      <c r="V371" s="29" t="str">
        <f t="shared" si="152"/>
        <v>NA</v>
      </c>
      <c r="W371" s="29" t="str">
        <f t="shared" si="153"/>
        <v>NA</v>
      </c>
      <c r="X371" s="29" t="str">
        <f t="shared" si="154"/>
        <v>NA</v>
      </c>
      <c r="Y371" s="29" t="str">
        <f t="shared" si="155"/>
        <v>NA</v>
      </c>
      <c r="Z371" s="29" t="str">
        <f t="shared" si="156"/>
        <v>NA</v>
      </c>
      <c r="AA371" s="29" t="str">
        <f t="shared" si="157"/>
        <v>NA</v>
      </c>
      <c r="AB371" s="29" t="str">
        <f t="shared" si="158"/>
        <v>NA</v>
      </c>
      <c r="AC371" s="29" t="str">
        <f t="shared" si="159"/>
        <v>NA</v>
      </c>
      <c r="AD371" s="29" t="str">
        <f t="shared" si="160"/>
        <v>NA</v>
      </c>
      <c r="AE371" s="29" t="str">
        <f t="shared" si="161"/>
        <v>NA</v>
      </c>
      <c r="AF371" s="29" t="str">
        <f t="shared" si="162"/>
        <v>NA</v>
      </c>
      <c r="AG371" s="29" t="str">
        <f t="shared" si="163"/>
        <v>NA</v>
      </c>
      <c r="AH371" s="29" t="str">
        <f t="shared" si="164"/>
        <v>NA</v>
      </c>
    </row>
    <row r="372" customHeight="1" spans="1:34">
      <c r="A372" s="12" t="s">
        <v>1043</v>
      </c>
      <c r="F372" s="24">
        <f t="shared" si="146"/>
        <v>0</v>
      </c>
      <c r="G372" s="24" t="e">
        <f t="shared" si="145"/>
        <v>#DIV/0!</v>
      </c>
      <c r="Q372" s="29" t="str">
        <f t="shared" si="147"/>
        <v>NA</v>
      </c>
      <c r="R372" s="29" t="str">
        <f t="shared" si="148"/>
        <v>NA</v>
      </c>
      <c r="S372" s="29" t="str">
        <f t="shared" si="149"/>
        <v>NA</v>
      </c>
      <c r="T372" s="29" t="str">
        <f t="shared" si="150"/>
        <v>NA</v>
      </c>
      <c r="U372" s="29" t="str">
        <f t="shared" si="151"/>
        <v>NA</v>
      </c>
      <c r="V372" s="29" t="str">
        <f t="shared" si="152"/>
        <v>NA</v>
      </c>
      <c r="W372" s="29" t="str">
        <f t="shared" si="153"/>
        <v>NA</v>
      </c>
      <c r="X372" s="29" t="str">
        <f t="shared" si="154"/>
        <v>NA</v>
      </c>
      <c r="Y372" s="29" t="str">
        <f t="shared" si="155"/>
        <v>NA</v>
      </c>
      <c r="Z372" s="29" t="str">
        <f t="shared" si="156"/>
        <v>NA</v>
      </c>
      <c r="AA372" s="29" t="str">
        <f t="shared" si="157"/>
        <v>NA</v>
      </c>
      <c r="AB372" s="29" t="str">
        <f t="shared" si="158"/>
        <v>NA</v>
      </c>
      <c r="AC372" s="29" t="str">
        <f t="shared" si="159"/>
        <v>NA</v>
      </c>
      <c r="AD372" s="29" t="str">
        <f t="shared" si="160"/>
        <v>NA</v>
      </c>
      <c r="AE372" s="29" t="str">
        <f t="shared" si="161"/>
        <v>NA</v>
      </c>
      <c r="AF372" s="29" t="str">
        <f t="shared" si="162"/>
        <v>NA</v>
      </c>
      <c r="AG372" s="29" t="str">
        <f t="shared" si="163"/>
        <v>NA</v>
      </c>
      <c r="AH372" s="29" t="str">
        <f t="shared" si="164"/>
        <v>NA</v>
      </c>
    </row>
    <row r="373" customHeight="1" spans="1:34">
      <c r="A373" s="12" t="s">
        <v>1043</v>
      </c>
      <c r="F373" s="24">
        <f t="shared" si="146"/>
        <v>0</v>
      </c>
      <c r="G373" s="24" t="e">
        <f t="shared" si="145"/>
        <v>#DIV/0!</v>
      </c>
      <c r="Q373" s="29" t="str">
        <f t="shared" si="147"/>
        <v>NA</v>
      </c>
      <c r="R373" s="29" t="str">
        <f t="shared" si="148"/>
        <v>NA</v>
      </c>
      <c r="S373" s="29" t="str">
        <f t="shared" si="149"/>
        <v>NA</v>
      </c>
      <c r="T373" s="29" t="str">
        <f t="shared" si="150"/>
        <v>NA</v>
      </c>
      <c r="U373" s="29" t="str">
        <f t="shared" si="151"/>
        <v>NA</v>
      </c>
      <c r="V373" s="29" t="str">
        <f t="shared" si="152"/>
        <v>NA</v>
      </c>
      <c r="W373" s="29" t="str">
        <f t="shared" si="153"/>
        <v>NA</v>
      </c>
      <c r="X373" s="29" t="str">
        <f t="shared" si="154"/>
        <v>NA</v>
      </c>
      <c r="Y373" s="29" t="str">
        <f t="shared" si="155"/>
        <v>NA</v>
      </c>
      <c r="Z373" s="29" t="str">
        <f t="shared" si="156"/>
        <v>NA</v>
      </c>
      <c r="AA373" s="29" t="str">
        <f t="shared" si="157"/>
        <v>NA</v>
      </c>
      <c r="AB373" s="29" t="str">
        <f t="shared" si="158"/>
        <v>NA</v>
      </c>
      <c r="AC373" s="29" t="str">
        <f t="shared" si="159"/>
        <v>NA</v>
      </c>
      <c r="AD373" s="29" t="str">
        <f t="shared" si="160"/>
        <v>NA</v>
      </c>
      <c r="AE373" s="29" t="str">
        <f t="shared" si="161"/>
        <v>NA</v>
      </c>
      <c r="AF373" s="29" t="str">
        <f t="shared" si="162"/>
        <v>NA</v>
      </c>
      <c r="AG373" s="29" t="str">
        <f t="shared" si="163"/>
        <v>NA</v>
      </c>
      <c r="AH373" s="29" t="str">
        <f t="shared" si="164"/>
        <v>NA</v>
      </c>
    </row>
    <row r="374" customHeight="1" spans="1:34">
      <c r="A374" s="12" t="s">
        <v>1043</v>
      </c>
      <c r="F374" s="24">
        <f t="shared" si="146"/>
        <v>0</v>
      </c>
      <c r="G374" s="24" t="e">
        <f t="shared" si="145"/>
        <v>#DIV/0!</v>
      </c>
      <c r="Q374" s="29" t="str">
        <f t="shared" si="147"/>
        <v>NA</v>
      </c>
      <c r="R374" s="29" t="str">
        <f t="shared" si="148"/>
        <v>NA</v>
      </c>
      <c r="S374" s="29" t="str">
        <f t="shared" si="149"/>
        <v>NA</v>
      </c>
      <c r="T374" s="29" t="str">
        <f t="shared" si="150"/>
        <v>NA</v>
      </c>
      <c r="U374" s="29" t="str">
        <f t="shared" si="151"/>
        <v>NA</v>
      </c>
      <c r="V374" s="29" t="str">
        <f t="shared" si="152"/>
        <v>NA</v>
      </c>
      <c r="W374" s="29" t="str">
        <f t="shared" si="153"/>
        <v>NA</v>
      </c>
      <c r="X374" s="29" t="str">
        <f t="shared" si="154"/>
        <v>NA</v>
      </c>
      <c r="Y374" s="29" t="str">
        <f t="shared" si="155"/>
        <v>NA</v>
      </c>
      <c r="Z374" s="29" t="str">
        <f t="shared" si="156"/>
        <v>NA</v>
      </c>
      <c r="AA374" s="29" t="str">
        <f t="shared" si="157"/>
        <v>NA</v>
      </c>
      <c r="AB374" s="29" t="str">
        <f t="shared" si="158"/>
        <v>NA</v>
      </c>
      <c r="AC374" s="29" t="str">
        <f t="shared" si="159"/>
        <v>NA</v>
      </c>
      <c r="AD374" s="29" t="str">
        <f t="shared" si="160"/>
        <v>NA</v>
      </c>
      <c r="AE374" s="29" t="str">
        <f t="shared" si="161"/>
        <v>NA</v>
      </c>
      <c r="AF374" s="29" t="str">
        <f t="shared" si="162"/>
        <v>NA</v>
      </c>
      <c r="AG374" s="29" t="str">
        <f t="shared" si="163"/>
        <v>NA</v>
      </c>
      <c r="AH374" s="29" t="str">
        <f t="shared" si="164"/>
        <v>NA</v>
      </c>
    </row>
    <row r="375" customHeight="1" spans="1:34">
      <c r="A375" s="12" t="s">
        <v>1043</v>
      </c>
      <c r="F375" s="24">
        <f t="shared" si="146"/>
        <v>0</v>
      </c>
      <c r="G375" s="24" t="e">
        <f t="shared" si="145"/>
        <v>#DIV/0!</v>
      </c>
      <c r="Q375" s="29" t="str">
        <f t="shared" si="147"/>
        <v>NA</v>
      </c>
      <c r="R375" s="29" t="str">
        <f t="shared" si="148"/>
        <v>NA</v>
      </c>
      <c r="S375" s="29" t="str">
        <f t="shared" si="149"/>
        <v>NA</v>
      </c>
      <c r="T375" s="29" t="str">
        <f t="shared" si="150"/>
        <v>NA</v>
      </c>
      <c r="U375" s="29" t="str">
        <f t="shared" si="151"/>
        <v>NA</v>
      </c>
      <c r="V375" s="29" t="str">
        <f t="shared" si="152"/>
        <v>NA</v>
      </c>
      <c r="W375" s="29" t="str">
        <f t="shared" si="153"/>
        <v>NA</v>
      </c>
      <c r="X375" s="29" t="str">
        <f t="shared" si="154"/>
        <v>NA</v>
      </c>
      <c r="Y375" s="29" t="str">
        <f t="shared" si="155"/>
        <v>NA</v>
      </c>
      <c r="Z375" s="29" t="str">
        <f t="shared" si="156"/>
        <v>NA</v>
      </c>
      <c r="AA375" s="29" t="str">
        <f t="shared" si="157"/>
        <v>NA</v>
      </c>
      <c r="AB375" s="29" t="str">
        <f t="shared" si="158"/>
        <v>NA</v>
      </c>
      <c r="AC375" s="29" t="str">
        <f t="shared" si="159"/>
        <v>NA</v>
      </c>
      <c r="AD375" s="29" t="str">
        <f t="shared" si="160"/>
        <v>NA</v>
      </c>
      <c r="AE375" s="29" t="str">
        <f t="shared" si="161"/>
        <v>NA</v>
      </c>
      <c r="AF375" s="29" t="str">
        <f t="shared" si="162"/>
        <v>NA</v>
      </c>
      <c r="AG375" s="29" t="str">
        <f t="shared" si="163"/>
        <v>NA</v>
      </c>
      <c r="AH375" s="29" t="str">
        <f t="shared" si="164"/>
        <v>NA</v>
      </c>
    </row>
    <row r="376" customHeight="1" spans="1:34">
      <c r="A376" s="12" t="s">
        <v>1043</v>
      </c>
      <c r="F376" s="24">
        <f t="shared" si="146"/>
        <v>0</v>
      </c>
      <c r="G376" s="24" t="e">
        <f t="shared" si="145"/>
        <v>#DIV/0!</v>
      </c>
      <c r="Q376" s="29" t="str">
        <f t="shared" si="147"/>
        <v>NA</v>
      </c>
      <c r="R376" s="29" t="str">
        <f t="shared" si="148"/>
        <v>NA</v>
      </c>
      <c r="S376" s="29" t="str">
        <f t="shared" si="149"/>
        <v>NA</v>
      </c>
      <c r="T376" s="29" t="str">
        <f t="shared" si="150"/>
        <v>NA</v>
      </c>
      <c r="U376" s="29" t="str">
        <f t="shared" si="151"/>
        <v>NA</v>
      </c>
      <c r="V376" s="29" t="str">
        <f t="shared" si="152"/>
        <v>NA</v>
      </c>
      <c r="W376" s="29" t="str">
        <f t="shared" si="153"/>
        <v>NA</v>
      </c>
      <c r="X376" s="29" t="str">
        <f t="shared" si="154"/>
        <v>NA</v>
      </c>
      <c r="Y376" s="29" t="str">
        <f t="shared" si="155"/>
        <v>NA</v>
      </c>
      <c r="Z376" s="29" t="str">
        <f t="shared" si="156"/>
        <v>NA</v>
      </c>
      <c r="AA376" s="29" t="str">
        <f t="shared" si="157"/>
        <v>NA</v>
      </c>
      <c r="AB376" s="29" t="str">
        <f t="shared" si="158"/>
        <v>NA</v>
      </c>
      <c r="AC376" s="29" t="str">
        <f t="shared" si="159"/>
        <v>NA</v>
      </c>
      <c r="AD376" s="29" t="str">
        <f t="shared" si="160"/>
        <v>NA</v>
      </c>
      <c r="AE376" s="29" t="str">
        <f t="shared" si="161"/>
        <v>NA</v>
      </c>
      <c r="AF376" s="29" t="str">
        <f t="shared" si="162"/>
        <v>NA</v>
      </c>
      <c r="AG376" s="29" t="str">
        <f t="shared" si="163"/>
        <v>NA</v>
      </c>
      <c r="AH376" s="29" t="str">
        <f t="shared" si="164"/>
        <v>NA</v>
      </c>
    </row>
    <row r="377" customHeight="1" spans="1:34">
      <c r="A377" s="12" t="s">
        <v>1043</v>
      </c>
      <c r="F377" s="24">
        <f t="shared" si="146"/>
        <v>0</v>
      </c>
      <c r="G377" s="24" t="e">
        <f t="shared" si="145"/>
        <v>#DIV/0!</v>
      </c>
      <c r="Q377" s="29" t="str">
        <f t="shared" si="147"/>
        <v>NA</v>
      </c>
      <c r="R377" s="29" t="str">
        <f t="shared" si="148"/>
        <v>NA</v>
      </c>
      <c r="S377" s="29" t="str">
        <f t="shared" si="149"/>
        <v>NA</v>
      </c>
      <c r="T377" s="29" t="str">
        <f t="shared" si="150"/>
        <v>NA</v>
      </c>
      <c r="U377" s="29" t="str">
        <f t="shared" si="151"/>
        <v>NA</v>
      </c>
      <c r="V377" s="29" t="str">
        <f t="shared" si="152"/>
        <v>NA</v>
      </c>
      <c r="W377" s="29" t="str">
        <f t="shared" si="153"/>
        <v>NA</v>
      </c>
      <c r="X377" s="29" t="str">
        <f t="shared" si="154"/>
        <v>NA</v>
      </c>
      <c r="Y377" s="29" t="str">
        <f t="shared" si="155"/>
        <v>NA</v>
      </c>
      <c r="Z377" s="29" t="str">
        <f t="shared" si="156"/>
        <v>NA</v>
      </c>
      <c r="AA377" s="29" t="str">
        <f t="shared" si="157"/>
        <v>NA</v>
      </c>
      <c r="AB377" s="29" t="str">
        <f t="shared" si="158"/>
        <v>NA</v>
      </c>
      <c r="AC377" s="29" t="str">
        <f t="shared" si="159"/>
        <v>NA</v>
      </c>
      <c r="AD377" s="29" t="str">
        <f t="shared" si="160"/>
        <v>NA</v>
      </c>
      <c r="AE377" s="29" t="str">
        <f t="shared" si="161"/>
        <v>NA</v>
      </c>
      <c r="AF377" s="29" t="str">
        <f t="shared" si="162"/>
        <v>NA</v>
      </c>
      <c r="AG377" s="29" t="str">
        <f t="shared" si="163"/>
        <v>NA</v>
      </c>
      <c r="AH377" s="29" t="str">
        <f t="shared" si="164"/>
        <v>NA</v>
      </c>
    </row>
    <row r="378" customHeight="1" spans="1:34">
      <c r="A378" s="12" t="s">
        <v>1043</v>
      </c>
      <c r="F378" s="24">
        <f t="shared" si="146"/>
        <v>0</v>
      </c>
      <c r="G378" s="24" t="e">
        <f t="shared" si="145"/>
        <v>#DIV/0!</v>
      </c>
      <c r="Q378" s="29" t="str">
        <f t="shared" si="147"/>
        <v>NA</v>
      </c>
      <c r="R378" s="29" t="str">
        <f t="shared" si="148"/>
        <v>NA</v>
      </c>
      <c r="S378" s="29" t="str">
        <f t="shared" si="149"/>
        <v>NA</v>
      </c>
      <c r="T378" s="29" t="str">
        <f t="shared" si="150"/>
        <v>NA</v>
      </c>
      <c r="U378" s="29" t="str">
        <f t="shared" si="151"/>
        <v>NA</v>
      </c>
      <c r="V378" s="29" t="str">
        <f t="shared" si="152"/>
        <v>NA</v>
      </c>
      <c r="W378" s="29" t="str">
        <f t="shared" si="153"/>
        <v>NA</v>
      </c>
      <c r="X378" s="29" t="str">
        <f t="shared" si="154"/>
        <v>NA</v>
      </c>
      <c r="Y378" s="29" t="str">
        <f t="shared" si="155"/>
        <v>NA</v>
      </c>
      <c r="Z378" s="29" t="str">
        <f t="shared" si="156"/>
        <v>NA</v>
      </c>
      <c r="AA378" s="29" t="str">
        <f t="shared" si="157"/>
        <v>NA</v>
      </c>
      <c r="AB378" s="29" t="str">
        <f t="shared" si="158"/>
        <v>NA</v>
      </c>
      <c r="AC378" s="29" t="str">
        <f t="shared" si="159"/>
        <v>NA</v>
      </c>
      <c r="AD378" s="29" t="str">
        <f t="shared" si="160"/>
        <v>NA</v>
      </c>
      <c r="AE378" s="29" t="str">
        <f t="shared" si="161"/>
        <v>NA</v>
      </c>
      <c r="AF378" s="29" t="str">
        <f t="shared" si="162"/>
        <v>NA</v>
      </c>
      <c r="AG378" s="29" t="str">
        <f t="shared" si="163"/>
        <v>NA</v>
      </c>
      <c r="AH378" s="29" t="str">
        <f t="shared" si="164"/>
        <v>NA</v>
      </c>
    </row>
    <row r="379" customHeight="1" spans="1:34">
      <c r="A379" s="12" t="s">
        <v>1043</v>
      </c>
      <c r="F379" s="24">
        <f t="shared" si="146"/>
        <v>0</v>
      </c>
      <c r="G379" s="24" t="e">
        <f t="shared" si="145"/>
        <v>#DIV/0!</v>
      </c>
      <c r="Q379" s="29" t="str">
        <f t="shared" si="147"/>
        <v>NA</v>
      </c>
      <c r="R379" s="29" t="str">
        <f t="shared" si="148"/>
        <v>NA</v>
      </c>
      <c r="S379" s="29" t="str">
        <f t="shared" si="149"/>
        <v>NA</v>
      </c>
      <c r="T379" s="29" t="str">
        <f t="shared" si="150"/>
        <v>NA</v>
      </c>
      <c r="U379" s="29" t="str">
        <f t="shared" si="151"/>
        <v>NA</v>
      </c>
      <c r="V379" s="29" t="str">
        <f t="shared" si="152"/>
        <v>NA</v>
      </c>
      <c r="W379" s="29" t="str">
        <f t="shared" si="153"/>
        <v>NA</v>
      </c>
      <c r="X379" s="29" t="str">
        <f t="shared" si="154"/>
        <v>NA</v>
      </c>
      <c r="Y379" s="29" t="str">
        <f t="shared" si="155"/>
        <v>NA</v>
      </c>
      <c r="Z379" s="29" t="str">
        <f t="shared" si="156"/>
        <v>NA</v>
      </c>
      <c r="AA379" s="29" t="str">
        <f t="shared" si="157"/>
        <v>NA</v>
      </c>
      <c r="AB379" s="29" t="str">
        <f t="shared" si="158"/>
        <v>NA</v>
      </c>
      <c r="AC379" s="29" t="str">
        <f t="shared" si="159"/>
        <v>NA</v>
      </c>
      <c r="AD379" s="29" t="str">
        <f t="shared" si="160"/>
        <v>NA</v>
      </c>
      <c r="AE379" s="29" t="str">
        <f t="shared" si="161"/>
        <v>NA</v>
      </c>
      <c r="AF379" s="29" t="str">
        <f t="shared" si="162"/>
        <v>NA</v>
      </c>
      <c r="AG379" s="29" t="str">
        <f t="shared" si="163"/>
        <v>NA</v>
      </c>
      <c r="AH379" s="29" t="str">
        <f t="shared" si="164"/>
        <v>NA</v>
      </c>
    </row>
    <row r="380" customHeight="1" spans="1:34">
      <c r="A380" s="12" t="s">
        <v>1043</v>
      </c>
      <c r="F380" s="24">
        <f t="shared" si="146"/>
        <v>0</v>
      </c>
      <c r="G380" s="24" t="e">
        <f t="shared" si="145"/>
        <v>#DIV/0!</v>
      </c>
      <c r="Q380" s="29" t="str">
        <f t="shared" si="147"/>
        <v>NA</v>
      </c>
      <c r="R380" s="29" t="str">
        <f t="shared" si="148"/>
        <v>NA</v>
      </c>
      <c r="S380" s="29" t="str">
        <f t="shared" si="149"/>
        <v>NA</v>
      </c>
      <c r="T380" s="29" t="str">
        <f t="shared" si="150"/>
        <v>NA</v>
      </c>
      <c r="U380" s="29" t="str">
        <f t="shared" si="151"/>
        <v>NA</v>
      </c>
      <c r="V380" s="29" t="str">
        <f t="shared" si="152"/>
        <v>NA</v>
      </c>
      <c r="W380" s="29" t="str">
        <f t="shared" si="153"/>
        <v>NA</v>
      </c>
      <c r="X380" s="29" t="str">
        <f t="shared" si="154"/>
        <v>NA</v>
      </c>
      <c r="Y380" s="29" t="str">
        <f t="shared" si="155"/>
        <v>NA</v>
      </c>
      <c r="Z380" s="29" t="str">
        <f t="shared" si="156"/>
        <v>NA</v>
      </c>
      <c r="AA380" s="29" t="str">
        <f t="shared" si="157"/>
        <v>NA</v>
      </c>
      <c r="AB380" s="29" t="str">
        <f t="shared" si="158"/>
        <v>NA</v>
      </c>
      <c r="AC380" s="29" t="str">
        <f t="shared" si="159"/>
        <v>NA</v>
      </c>
      <c r="AD380" s="29" t="str">
        <f t="shared" si="160"/>
        <v>NA</v>
      </c>
      <c r="AE380" s="29" t="str">
        <f t="shared" si="161"/>
        <v>NA</v>
      </c>
      <c r="AF380" s="29" t="str">
        <f t="shared" si="162"/>
        <v>NA</v>
      </c>
      <c r="AG380" s="29" t="str">
        <f t="shared" si="163"/>
        <v>NA</v>
      </c>
      <c r="AH380" s="29" t="str">
        <f t="shared" si="164"/>
        <v>NA</v>
      </c>
    </row>
    <row r="381" customHeight="1" spans="1:34">
      <c r="A381" s="12" t="s">
        <v>1043</v>
      </c>
      <c r="F381" s="24">
        <f t="shared" si="146"/>
        <v>0</v>
      </c>
      <c r="G381" s="24" t="e">
        <f t="shared" si="145"/>
        <v>#DIV/0!</v>
      </c>
      <c r="Q381" s="29" t="str">
        <f t="shared" si="147"/>
        <v>NA</v>
      </c>
      <c r="R381" s="29" t="str">
        <f t="shared" si="148"/>
        <v>NA</v>
      </c>
      <c r="S381" s="29" t="str">
        <f t="shared" si="149"/>
        <v>NA</v>
      </c>
      <c r="T381" s="29" t="str">
        <f t="shared" si="150"/>
        <v>NA</v>
      </c>
      <c r="U381" s="29" t="str">
        <f t="shared" si="151"/>
        <v>NA</v>
      </c>
      <c r="V381" s="29" t="str">
        <f t="shared" si="152"/>
        <v>NA</v>
      </c>
      <c r="W381" s="29" t="str">
        <f t="shared" si="153"/>
        <v>NA</v>
      </c>
      <c r="X381" s="29" t="str">
        <f t="shared" si="154"/>
        <v>NA</v>
      </c>
      <c r="Y381" s="29" t="str">
        <f t="shared" si="155"/>
        <v>NA</v>
      </c>
      <c r="Z381" s="29" t="str">
        <f t="shared" si="156"/>
        <v>NA</v>
      </c>
      <c r="AA381" s="29" t="str">
        <f t="shared" si="157"/>
        <v>NA</v>
      </c>
      <c r="AB381" s="29" t="str">
        <f t="shared" si="158"/>
        <v>NA</v>
      </c>
      <c r="AC381" s="29" t="str">
        <f t="shared" si="159"/>
        <v>NA</v>
      </c>
      <c r="AD381" s="29" t="str">
        <f t="shared" si="160"/>
        <v>NA</v>
      </c>
      <c r="AE381" s="29" t="str">
        <f t="shared" si="161"/>
        <v>NA</v>
      </c>
      <c r="AF381" s="29" t="str">
        <f t="shared" si="162"/>
        <v>NA</v>
      </c>
      <c r="AG381" s="29" t="str">
        <f t="shared" si="163"/>
        <v>NA</v>
      </c>
      <c r="AH381" s="29" t="str">
        <f t="shared" si="164"/>
        <v>NA</v>
      </c>
    </row>
    <row r="382" customHeight="1" spans="1:34">
      <c r="A382" s="12" t="s">
        <v>1043</v>
      </c>
      <c r="F382" s="24">
        <f t="shared" si="146"/>
        <v>0</v>
      </c>
      <c r="G382" s="24" t="e">
        <f t="shared" si="145"/>
        <v>#DIV/0!</v>
      </c>
      <c r="Q382" s="29" t="str">
        <f t="shared" si="147"/>
        <v>NA</v>
      </c>
      <c r="R382" s="29" t="str">
        <f t="shared" si="148"/>
        <v>NA</v>
      </c>
      <c r="S382" s="29" t="str">
        <f t="shared" si="149"/>
        <v>NA</v>
      </c>
      <c r="T382" s="29" t="str">
        <f t="shared" si="150"/>
        <v>NA</v>
      </c>
      <c r="U382" s="29" t="str">
        <f t="shared" si="151"/>
        <v>NA</v>
      </c>
      <c r="V382" s="29" t="str">
        <f t="shared" si="152"/>
        <v>NA</v>
      </c>
      <c r="W382" s="29" t="str">
        <f t="shared" si="153"/>
        <v>NA</v>
      </c>
      <c r="X382" s="29" t="str">
        <f t="shared" si="154"/>
        <v>NA</v>
      </c>
      <c r="Y382" s="29" t="str">
        <f t="shared" si="155"/>
        <v>NA</v>
      </c>
      <c r="Z382" s="29" t="str">
        <f t="shared" si="156"/>
        <v>NA</v>
      </c>
      <c r="AA382" s="29" t="str">
        <f t="shared" si="157"/>
        <v>NA</v>
      </c>
      <c r="AB382" s="29" t="str">
        <f t="shared" si="158"/>
        <v>NA</v>
      </c>
      <c r="AC382" s="29" t="str">
        <f t="shared" si="159"/>
        <v>NA</v>
      </c>
      <c r="AD382" s="29" t="str">
        <f t="shared" si="160"/>
        <v>NA</v>
      </c>
      <c r="AE382" s="29" t="str">
        <f t="shared" si="161"/>
        <v>NA</v>
      </c>
      <c r="AF382" s="29" t="str">
        <f t="shared" si="162"/>
        <v>NA</v>
      </c>
      <c r="AG382" s="29" t="str">
        <f t="shared" si="163"/>
        <v>NA</v>
      </c>
      <c r="AH382" s="29" t="str">
        <f t="shared" si="164"/>
        <v>NA</v>
      </c>
    </row>
    <row r="383" customHeight="1" spans="1:34">
      <c r="A383" s="12" t="s">
        <v>1043</v>
      </c>
      <c r="F383" s="24">
        <f t="shared" si="146"/>
        <v>0</v>
      </c>
      <c r="G383" s="24" t="e">
        <f t="shared" si="145"/>
        <v>#DIV/0!</v>
      </c>
      <c r="Q383" s="29" t="str">
        <f t="shared" si="147"/>
        <v>NA</v>
      </c>
      <c r="R383" s="29" t="str">
        <f t="shared" si="148"/>
        <v>NA</v>
      </c>
      <c r="S383" s="29" t="str">
        <f t="shared" si="149"/>
        <v>NA</v>
      </c>
      <c r="T383" s="29" t="str">
        <f t="shared" si="150"/>
        <v>NA</v>
      </c>
      <c r="U383" s="29" t="str">
        <f t="shared" si="151"/>
        <v>NA</v>
      </c>
      <c r="V383" s="29" t="str">
        <f t="shared" si="152"/>
        <v>NA</v>
      </c>
      <c r="W383" s="29" t="str">
        <f t="shared" si="153"/>
        <v>NA</v>
      </c>
      <c r="X383" s="29" t="str">
        <f t="shared" si="154"/>
        <v>NA</v>
      </c>
      <c r="Y383" s="29" t="str">
        <f t="shared" si="155"/>
        <v>NA</v>
      </c>
      <c r="Z383" s="29" t="str">
        <f t="shared" si="156"/>
        <v>NA</v>
      </c>
      <c r="AA383" s="29" t="str">
        <f t="shared" si="157"/>
        <v>NA</v>
      </c>
      <c r="AB383" s="29" t="str">
        <f t="shared" si="158"/>
        <v>NA</v>
      </c>
      <c r="AC383" s="29" t="str">
        <f t="shared" si="159"/>
        <v>NA</v>
      </c>
      <c r="AD383" s="29" t="str">
        <f t="shared" si="160"/>
        <v>NA</v>
      </c>
      <c r="AE383" s="29" t="str">
        <f t="shared" si="161"/>
        <v>NA</v>
      </c>
      <c r="AF383" s="29" t="str">
        <f t="shared" si="162"/>
        <v>NA</v>
      </c>
      <c r="AG383" s="29" t="str">
        <f t="shared" si="163"/>
        <v>NA</v>
      </c>
      <c r="AH383" s="29" t="str">
        <f t="shared" si="164"/>
        <v>NA</v>
      </c>
    </row>
    <row r="384" customHeight="1" spans="1:34">
      <c r="A384" s="12" t="s">
        <v>1043</v>
      </c>
      <c r="F384" s="24">
        <f t="shared" si="146"/>
        <v>0</v>
      </c>
      <c r="G384" s="24" t="e">
        <f t="shared" si="145"/>
        <v>#DIV/0!</v>
      </c>
      <c r="Q384" s="29" t="str">
        <f t="shared" si="147"/>
        <v>NA</v>
      </c>
      <c r="R384" s="29" t="str">
        <f t="shared" si="148"/>
        <v>NA</v>
      </c>
      <c r="S384" s="29" t="str">
        <f t="shared" si="149"/>
        <v>NA</v>
      </c>
      <c r="T384" s="29" t="str">
        <f t="shared" si="150"/>
        <v>NA</v>
      </c>
      <c r="U384" s="29" t="str">
        <f t="shared" si="151"/>
        <v>NA</v>
      </c>
      <c r="V384" s="29" t="str">
        <f t="shared" si="152"/>
        <v>NA</v>
      </c>
      <c r="W384" s="29" t="str">
        <f t="shared" si="153"/>
        <v>NA</v>
      </c>
      <c r="X384" s="29" t="str">
        <f t="shared" si="154"/>
        <v>NA</v>
      </c>
      <c r="Y384" s="29" t="str">
        <f t="shared" si="155"/>
        <v>NA</v>
      </c>
      <c r="Z384" s="29" t="str">
        <f t="shared" si="156"/>
        <v>NA</v>
      </c>
      <c r="AA384" s="29" t="str">
        <f t="shared" si="157"/>
        <v>NA</v>
      </c>
      <c r="AB384" s="29" t="str">
        <f t="shared" si="158"/>
        <v>NA</v>
      </c>
      <c r="AC384" s="29" t="str">
        <f t="shared" si="159"/>
        <v>NA</v>
      </c>
      <c r="AD384" s="29" t="str">
        <f t="shared" si="160"/>
        <v>NA</v>
      </c>
      <c r="AE384" s="29" t="str">
        <f t="shared" si="161"/>
        <v>NA</v>
      </c>
      <c r="AF384" s="29" t="str">
        <f t="shared" si="162"/>
        <v>NA</v>
      </c>
      <c r="AG384" s="29" t="str">
        <f t="shared" si="163"/>
        <v>NA</v>
      </c>
      <c r="AH384" s="29" t="str">
        <f t="shared" si="164"/>
        <v>NA</v>
      </c>
    </row>
    <row r="385" customHeight="1" spans="1:34">
      <c r="A385" s="12" t="s">
        <v>1043</v>
      </c>
      <c r="F385" s="24">
        <f t="shared" si="146"/>
        <v>0</v>
      </c>
      <c r="G385" s="24" t="e">
        <f t="shared" si="145"/>
        <v>#DIV/0!</v>
      </c>
      <c r="Q385" s="29" t="str">
        <f t="shared" si="147"/>
        <v>NA</v>
      </c>
      <c r="R385" s="29" t="str">
        <f t="shared" si="148"/>
        <v>NA</v>
      </c>
      <c r="S385" s="29" t="str">
        <f t="shared" si="149"/>
        <v>NA</v>
      </c>
      <c r="T385" s="29" t="str">
        <f t="shared" si="150"/>
        <v>NA</v>
      </c>
      <c r="U385" s="29" t="str">
        <f t="shared" si="151"/>
        <v>NA</v>
      </c>
      <c r="V385" s="29" t="str">
        <f t="shared" si="152"/>
        <v>NA</v>
      </c>
      <c r="W385" s="29" t="str">
        <f t="shared" si="153"/>
        <v>NA</v>
      </c>
      <c r="X385" s="29" t="str">
        <f t="shared" si="154"/>
        <v>NA</v>
      </c>
      <c r="Y385" s="29" t="str">
        <f t="shared" si="155"/>
        <v>NA</v>
      </c>
      <c r="Z385" s="29" t="str">
        <f t="shared" si="156"/>
        <v>NA</v>
      </c>
      <c r="AA385" s="29" t="str">
        <f t="shared" si="157"/>
        <v>NA</v>
      </c>
      <c r="AB385" s="29" t="str">
        <f t="shared" si="158"/>
        <v>NA</v>
      </c>
      <c r="AC385" s="29" t="str">
        <f t="shared" si="159"/>
        <v>NA</v>
      </c>
      <c r="AD385" s="29" t="str">
        <f t="shared" si="160"/>
        <v>NA</v>
      </c>
      <c r="AE385" s="29" t="str">
        <f t="shared" si="161"/>
        <v>NA</v>
      </c>
      <c r="AF385" s="29" t="str">
        <f t="shared" si="162"/>
        <v>NA</v>
      </c>
      <c r="AG385" s="29" t="str">
        <f t="shared" si="163"/>
        <v>NA</v>
      </c>
      <c r="AH385" s="29" t="str">
        <f t="shared" si="164"/>
        <v>NA</v>
      </c>
    </row>
    <row r="386" customHeight="1" spans="1:34">
      <c r="A386" s="12" t="s">
        <v>1043</v>
      </c>
      <c r="F386" s="24">
        <f t="shared" si="146"/>
        <v>0</v>
      </c>
      <c r="G386" s="24" t="e">
        <f t="shared" si="145"/>
        <v>#DIV/0!</v>
      </c>
      <c r="Q386" s="29" t="str">
        <f t="shared" si="147"/>
        <v>NA</v>
      </c>
      <c r="R386" s="29" t="str">
        <f t="shared" si="148"/>
        <v>NA</v>
      </c>
      <c r="S386" s="29" t="str">
        <f t="shared" si="149"/>
        <v>NA</v>
      </c>
      <c r="T386" s="29" t="str">
        <f t="shared" si="150"/>
        <v>NA</v>
      </c>
      <c r="U386" s="29" t="str">
        <f t="shared" si="151"/>
        <v>NA</v>
      </c>
      <c r="V386" s="29" t="str">
        <f t="shared" si="152"/>
        <v>NA</v>
      </c>
      <c r="W386" s="29" t="str">
        <f t="shared" si="153"/>
        <v>NA</v>
      </c>
      <c r="X386" s="29" t="str">
        <f t="shared" si="154"/>
        <v>NA</v>
      </c>
      <c r="Y386" s="29" t="str">
        <f t="shared" si="155"/>
        <v>NA</v>
      </c>
      <c r="Z386" s="29" t="str">
        <f t="shared" si="156"/>
        <v>NA</v>
      </c>
      <c r="AA386" s="29" t="str">
        <f t="shared" si="157"/>
        <v>NA</v>
      </c>
      <c r="AB386" s="29" t="str">
        <f t="shared" si="158"/>
        <v>NA</v>
      </c>
      <c r="AC386" s="29" t="str">
        <f t="shared" si="159"/>
        <v>NA</v>
      </c>
      <c r="AD386" s="29" t="str">
        <f t="shared" si="160"/>
        <v>NA</v>
      </c>
      <c r="AE386" s="29" t="str">
        <f t="shared" si="161"/>
        <v>NA</v>
      </c>
      <c r="AF386" s="29" t="str">
        <f t="shared" si="162"/>
        <v>NA</v>
      </c>
      <c r="AG386" s="29" t="str">
        <f t="shared" si="163"/>
        <v>NA</v>
      </c>
      <c r="AH386" s="29" t="str">
        <f t="shared" si="164"/>
        <v>NA</v>
      </c>
    </row>
    <row r="387" customHeight="1" spans="1:34">
      <c r="A387" s="12" t="s">
        <v>1043</v>
      </c>
      <c r="F387" s="24">
        <f t="shared" si="146"/>
        <v>0</v>
      </c>
      <c r="G387" s="24" t="e">
        <f t="shared" si="145"/>
        <v>#DIV/0!</v>
      </c>
      <c r="Q387" s="29" t="str">
        <f t="shared" si="147"/>
        <v>NA</v>
      </c>
      <c r="R387" s="29" t="str">
        <f t="shared" si="148"/>
        <v>NA</v>
      </c>
      <c r="S387" s="29" t="str">
        <f t="shared" si="149"/>
        <v>NA</v>
      </c>
      <c r="T387" s="29" t="str">
        <f t="shared" si="150"/>
        <v>NA</v>
      </c>
      <c r="U387" s="29" t="str">
        <f t="shared" si="151"/>
        <v>NA</v>
      </c>
      <c r="V387" s="29" t="str">
        <f t="shared" si="152"/>
        <v>NA</v>
      </c>
      <c r="W387" s="29" t="str">
        <f t="shared" si="153"/>
        <v>NA</v>
      </c>
      <c r="X387" s="29" t="str">
        <f t="shared" si="154"/>
        <v>NA</v>
      </c>
      <c r="Y387" s="29" t="str">
        <f t="shared" si="155"/>
        <v>NA</v>
      </c>
      <c r="Z387" s="29" t="str">
        <f t="shared" si="156"/>
        <v>NA</v>
      </c>
      <c r="AA387" s="29" t="str">
        <f t="shared" si="157"/>
        <v>NA</v>
      </c>
      <c r="AB387" s="29" t="str">
        <f t="shared" si="158"/>
        <v>NA</v>
      </c>
      <c r="AC387" s="29" t="str">
        <f t="shared" si="159"/>
        <v>NA</v>
      </c>
      <c r="AD387" s="29" t="str">
        <f t="shared" si="160"/>
        <v>NA</v>
      </c>
      <c r="AE387" s="29" t="str">
        <f t="shared" si="161"/>
        <v>NA</v>
      </c>
      <c r="AF387" s="29" t="str">
        <f t="shared" si="162"/>
        <v>NA</v>
      </c>
      <c r="AG387" s="29" t="str">
        <f t="shared" si="163"/>
        <v>NA</v>
      </c>
      <c r="AH387" s="29" t="str">
        <f t="shared" si="164"/>
        <v>NA</v>
      </c>
    </row>
    <row r="388" customHeight="1" spans="1:34">
      <c r="A388" s="12" t="s">
        <v>1043</v>
      </c>
      <c r="F388" s="24">
        <f t="shared" si="146"/>
        <v>0</v>
      </c>
      <c r="G388" s="24" t="e">
        <f t="shared" si="145"/>
        <v>#DIV/0!</v>
      </c>
      <c r="Q388" s="29" t="str">
        <f t="shared" si="147"/>
        <v>NA</v>
      </c>
      <c r="R388" s="29" t="str">
        <f t="shared" si="148"/>
        <v>NA</v>
      </c>
      <c r="S388" s="29" t="str">
        <f t="shared" si="149"/>
        <v>NA</v>
      </c>
      <c r="T388" s="29" t="str">
        <f t="shared" si="150"/>
        <v>NA</v>
      </c>
      <c r="U388" s="29" t="str">
        <f t="shared" si="151"/>
        <v>NA</v>
      </c>
      <c r="V388" s="29" t="str">
        <f t="shared" si="152"/>
        <v>NA</v>
      </c>
      <c r="W388" s="29" t="str">
        <f t="shared" si="153"/>
        <v>NA</v>
      </c>
      <c r="X388" s="29" t="str">
        <f t="shared" si="154"/>
        <v>NA</v>
      </c>
      <c r="Y388" s="29" t="str">
        <f t="shared" si="155"/>
        <v>NA</v>
      </c>
      <c r="Z388" s="29" t="str">
        <f t="shared" si="156"/>
        <v>NA</v>
      </c>
      <c r="AA388" s="29" t="str">
        <f t="shared" si="157"/>
        <v>NA</v>
      </c>
      <c r="AB388" s="29" t="str">
        <f t="shared" si="158"/>
        <v>NA</v>
      </c>
      <c r="AC388" s="29" t="str">
        <f t="shared" si="159"/>
        <v>NA</v>
      </c>
      <c r="AD388" s="29" t="str">
        <f t="shared" si="160"/>
        <v>NA</v>
      </c>
      <c r="AE388" s="29" t="str">
        <f t="shared" si="161"/>
        <v>NA</v>
      </c>
      <c r="AF388" s="29" t="str">
        <f t="shared" si="162"/>
        <v>NA</v>
      </c>
      <c r="AG388" s="29" t="str">
        <f t="shared" si="163"/>
        <v>NA</v>
      </c>
      <c r="AH388" s="29" t="str">
        <f t="shared" si="164"/>
        <v>NA</v>
      </c>
    </row>
    <row r="389" customHeight="1" spans="1:34">
      <c r="A389" s="12" t="s">
        <v>1043</v>
      </c>
      <c r="F389" s="24">
        <f t="shared" si="146"/>
        <v>0</v>
      </c>
      <c r="G389" s="24" t="e">
        <f t="shared" ref="G389:G452" si="165">B389*D389/C389</f>
        <v>#DIV/0!</v>
      </c>
      <c r="Q389" s="29" t="str">
        <f t="shared" si="147"/>
        <v>NA</v>
      </c>
      <c r="R389" s="29" t="str">
        <f t="shared" si="148"/>
        <v>NA</v>
      </c>
      <c r="S389" s="29" t="str">
        <f t="shared" si="149"/>
        <v>NA</v>
      </c>
      <c r="T389" s="29" t="str">
        <f t="shared" si="150"/>
        <v>NA</v>
      </c>
      <c r="U389" s="29" t="str">
        <f t="shared" si="151"/>
        <v>NA</v>
      </c>
      <c r="V389" s="29" t="str">
        <f t="shared" si="152"/>
        <v>NA</v>
      </c>
      <c r="W389" s="29" t="str">
        <f t="shared" si="153"/>
        <v>NA</v>
      </c>
      <c r="X389" s="29" t="str">
        <f t="shared" si="154"/>
        <v>NA</v>
      </c>
      <c r="Y389" s="29" t="str">
        <f t="shared" si="155"/>
        <v>NA</v>
      </c>
      <c r="Z389" s="29" t="str">
        <f t="shared" si="156"/>
        <v>NA</v>
      </c>
      <c r="AA389" s="29" t="str">
        <f t="shared" si="157"/>
        <v>NA</v>
      </c>
      <c r="AB389" s="29" t="str">
        <f t="shared" si="158"/>
        <v>NA</v>
      </c>
      <c r="AC389" s="29" t="str">
        <f t="shared" si="159"/>
        <v>NA</v>
      </c>
      <c r="AD389" s="29" t="str">
        <f t="shared" si="160"/>
        <v>NA</v>
      </c>
      <c r="AE389" s="29" t="str">
        <f t="shared" si="161"/>
        <v>NA</v>
      </c>
      <c r="AF389" s="29" t="str">
        <f t="shared" si="162"/>
        <v>NA</v>
      </c>
      <c r="AG389" s="29" t="str">
        <f t="shared" si="163"/>
        <v>NA</v>
      </c>
      <c r="AH389" s="29" t="str">
        <f t="shared" si="164"/>
        <v>NA</v>
      </c>
    </row>
    <row r="390" customHeight="1" spans="1:34">
      <c r="A390" s="12" t="s">
        <v>1043</v>
      </c>
      <c r="F390" s="24">
        <f t="shared" ref="F390:F453" si="166">+D390+E390</f>
        <v>0</v>
      </c>
      <c r="G390" s="24" t="e">
        <f t="shared" si="165"/>
        <v>#DIV/0!</v>
      </c>
      <c r="Q390" s="29" t="str">
        <f t="shared" si="147"/>
        <v>NA</v>
      </c>
      <c r="R390" s="29" t="str">
        <f t="shared" si="148"/>
        <v>NA</v>
      </c>
      <c r="S390" s="29" t="str">
        <f t="shared" si="149"/>
        <v>NA</v>
      </c>
      <c r="T390" s="29" t="str">
        <f t="shared" si="150"/>
        <v>NA</v>
      </c>
      <c r="U390" s="29" t="str">
        <f t="shared" si="151"/>
        <v>NA</v>
      </c>
      <c r="V390" s="29" t="str">
        <f t="shared" si="152"/>
        <v>NA</v>
      </c>
      <c r="W390" s="29" t="str">
        <f t="shared" si="153"/>
        <v>NA</v>
      </c>
      <c r="X390" s="29" t="str">
        <f t="shared" si="154"/>
        <v>NA</v>
      </c>
      <c r="Y390" s="29" t="str">
        <f t="shared" si="155"/>
        <v>NA</v>
      </c>
      <c r="Z390" s="29" t="str">
        <f t="shared" si="156"/>
        <v>NA</v>
      </c>
      <c r="AA390" s="29" t="str">
        <f t="shared" si="157"/>
        <v>NA</v>
      </c>
      <c r="AB390" s="29" t="str">
        <f t="shared" si="158"/>
        <v>NA</v>
      </c>
      <c r="AC390" s="29" t="str">
        <f t="shared" si="159"/>
        <v>NA</v>
      </c>
      <c r="AD390" s="29" t="str">
        <f t="shared" si="160"/>
        <v>NA</v>
      </c>
      <c r="AE390" s="29" t="str">
        <f t="shared" si="161"/>
        <v>NA</v>
      </c>
      <c r="AF390" s="29" t="str">
        <f t="shared" si="162"/>
        <v>NA</v>
      </c>
      <c r="AG390" s="29" t="str">
        <f t="shared" si="163"/>
        <v>NA</v>
      </c>
      <c r="AH390" s="29" t="str">
        <f t="shared" si="164"/>
        <v>NA</v>
      </c>
    </row>
    <row r="391" customHeight="1" spans="1:34">
      <c r="A391" s="12" t="s">
        <v>1043</v>
      </c>
      <c r="F391" s="24">
        <f t="shared" si="166"/>
        <v>0</v>
      </c>
      <c r="G391" s="24" t="e">
        <f t="shared" si="165"/>
        <v>#DIV/0!</v>
      </c>
      <c r="Q391" s="29" t="str">
        <f t="shared" si="147"/>
        <v>NA</v>
      </c>
      <c r="R391" s="29" t="str">
        <f t="shared" si="148"/>
        <v>NA</v>
      </c>
      <c r="S391" s="29" t="str">
        <f t="shared" si="149"/>
        <v>NA</v>
      </c>
      <c r="T391" s="29" t="str">
        <f t="shared" si="150"/>
        <v>NA</v>
      </c>
      <c r="U391" s="29" t="str">
        <f t="shared" si="151"/>
        <v>NA</v>
      </c>
      <c r="V391" s="29" t="str">
        <f t="shared" si="152"/>
        <v>NA</v>
      </c>
      <c r="W391" s="29" t="str">
        <f t="shared" si="153"/>
        <v>NA</v>
      </c>
      <c r="X391" s="29" t="str">
        <f t="shared" si="154"/>
        <v>NA</v>
      </c>
      <c r="Y391" s="29" t="str">
        <f t="shared" si="155"/>
        <v>NA</v>
      </c>
      <c r="Z391" s="29" t="str">
        <f t="shared" si="156"/>
        <v>NA</v>
      </c>
      <c r="AA391" s="29" t="str">
        <f t="shared" si="157"/>
        <v>NA</v>
      </c>
      <c r="AB391" s="29" t="str">
        <f t="shared" si="158"/>
        <v>NA</v>
      </c>
      <c r="AC391" s="29" t="str">
        <f t="shared" si="159"/>
        <v>NA</v>
      </c>
      <c r="AD391" s="29" t="str">
        <f t="shared" si="160"/>
        <v>NA</v>
      </c>
      <c r="AE391" s="29" t="str">
        <f t="shared" si="161"/>
        <v>NA</v>
      </c>
      <c r="AF391" s="29" t="str">
        <f t="shared" si="162"/>
        <v>NA</v>
      </c>
      <c r="AG391" s="29" t="str">
        <f t="shared" si="163"/>
        <v>NA</v>
      </c>
      <c r="AH391" s="29" t="str">
        <f t="shared" si="164"/>
        <v>NA</v>
      </c>
    </row>
    <row r="392" customHeight="1" spans="1:34">
      <c r="A392" s="12" t="s">
        <v>1043</v>
      </c>
      <c r="F392" s="24">
        <f t="shared" si="166"/>
        <v>0</v>
      </c>
      <c r="G392" s="24" t="e">
        <f t="shared" si="165"/>
        <v>#DIV/0!</v>
      </c>
      <c r="Q392" s="29" t="str">
        <f t="shared" si="147"/>
        <v>NA</v>
      </c>
      <c r="R392" s="29" t="str">
        <f t="shared" si="148"/>
        <v>NA</v>
      </c>
      <c r="S392" s="29" t="str">
        <f t="shared" si="149"/>
        <v>NA</v>
      </c>
      <c r="T392" s="29" t="str">
        <f t="shared" si="150"/>
        <v>NA</v>
      </c>
      <c r="U392" s="29" t="str">
        <f t="shared" si="151"/>
        <v>NA</v>
      </c>
      <c r="V392" s="29" t="str">
        <f t="shared" si="152"/>
        <v>NA</v>
      </c>
      <c r="W392" s="29" t="str">
        <f t="shared" si="153"/>
        <v>NA</v>
      </c>
      <c r="X392" s="29" t="str">
        <f t="shared" si="154"/>
        <v>NA</v>
      </c>
      <c r="Y392" s="29" t="str">
        <f t="shared" si="155"/>
        <v>NA</v>
      </c>
      <c r="Z392" s="29" t="str">
        <f t="shared" si="156"/>
        <v>NA</v>
      </c>
      <c r="AA392" s="29" t="str">
        <f t="shared" si="157"/>
        <v>NA</v>
      </c>
      <c r="AB392" s="29" t="str">
        <f t="shared" si="158"/>
        <v>NA</v>
      </c>
      <c r="AC392" s="29" t="str">
        <f t="shared" si="159"/>
        <v>NA</v>
      </c>
      <c r="AD392" s="29" t="str">
        <f t="shared" si="160"/>
        <v>NA</v>
      </c>
      <c r="AE392" s="29" t="str">
        <f t="shared" si="161"/>
        <v>NA</v>
      </c>
      <c r="AF392" s="29" t="str">
        <f t="shared" si="162"/>
        <v>NA</v>
      </c>
      <c r="AG392" s="29" t="str">
        <f t="shared" si="163"/>
        <v>NA</v>
      </c>
      <c r="AH392" s="29" t="str">
        <f t="shared" si="164"/>
        <v>NA</v>
      </c>
    </row>
    <row r="393" customHeight="1" spans="1:34">
      <c r="A393" s="12" t="s">
        <v>1043</v>
      </c>
      <c r="F393" s="24">
        <f t="shared" si="166"/>
        <v>0</v>
      </c>
      <c r="G393" s="24" t="e">
        <f t="shared" si="165"/>
        <v>#DIV/0!</v>
      </c>
      <c r="Q393" s="29" t="str">
        <f t="shared" si="147"/>
        <v>NA</v>
      </c>
      <c r="R393" s="29" t="str">
        <f t="shared" si="148"/>
        <v>NA</v>
      </c>
      <c r="S393" s="29" t="str">
        <f t="shared" si="149"/>
        <v>NA</v>
      </c>
      <c r="T393" s="29" t="str">
        <f t="shared" si="150"/>
        <v>NA</v>
      </c>
      <c r="U393" s="29" t="str">
        <f t="shared" si="151"/>
        <v>NA</v>
      </c>
      <c r="V393" s="29" t="str">
        <f t="shared" si="152"/>
        <v>NA</v>
      </c>
      <c r="W393" s="29" t="str">
        <f t="shared" si="153"/>
        <v>NA</v>
      </c>
      <c r="X393" s="29" t="str">
        <f t="shared" si="154"/>
        <v>NA</v>
      </c>
      <c r="Y393" s="29" t="str">
        <f t="shared" si="155"/>
        <v>NA</v>
      </c>
      <c r="Z393" s="29" t="str">
        <f t="shared" si="156"/>
        <v>NA</v>
      </c>
      <c r="AA393" s="29" t="str">
        <f t="shared" si="157"/>
        <v>NA</v>
      </c>
      <c r="AB393" s="29" t="str">
        <f t="shared" si="158"/>
        <v>NA</v>
      </c>
      <c r="AC393" s="29" t="str">
        <f t="shared" si="159"/>
        <v>NA</v>
      </c>
      <c r="AD393" s="29" t="str">
        <f t="shared" si="160"/>
        <v>NA</v>
      </c>
      <c r="AE393" s="29" t="str">
        <f t="shared" si="161"/>
        <v>NA</v>
      </c>
      <c r="AF393" s="29" t="str">
        <f t="shared" si="162"/>
        <v>NA</v>
      </c>
      <c r="AG393" s="29" t="str">
        <f t="shared" si="163"/>
        <v>NA</v>
      </c>
      <c r="AH393" s="29" t="str">
        <f t="shared" si="164"/>
        <v>NA</v>
      </c>
    </row>
    <row r="394" customHeight="1" spans="1:34">
      <c r="A394" s="12" t="s">
        <v>1043</v>
      </c>
      <c r="F394" s="24">
        <f t="shared" si="166"/>
        <v>0</v>
      </c>
      <c r="G394" s="24" t="e">
        <f t="shared" si="165"/>
        <v>#DIV/0!</v>
      </c>
      <c r="Q394" s="29" t="str">
        <f t="shared" si="147"/>
        <v>NA</v>
      </c>
      <c r="R394" s="29" t="str">
        <f t="shared" si="148"/>
        <v>NA</v>
      </c>
      <c r="S394" s="29" t="str">
        <f t="shared" si="149"/>
        <v>NA</v>
      </c>
      <c r="T394" s="29" t="str">
        <f t="shared" si="150"/>
        <v>NA</v>
      </c>
      <c r="U394" s="29" t="str">
        <f t="shared" si="151"/>
        <v>NA</v>
      </c>
      <c r="V394" s="29" t="str">
        <f t="shared" si="152"/>
        <v>NA</v>
      </c>
      <c r="W394" s="29" t="str">
        <f t="shared" si="153"/>
        <v>NA</v>
      </c>
      <c r="X394" s="29" t="str">
        <f t="shared" si="154"/>
        <v>NA</v>
      </c>
      <c r="Y394" s="29" t="str">
        <f t="shared" si="155"/>
        <v>NA</v>
      </c>
      <c r="Z394" s="29" t="str">
        <f t="shared" si="156"/>
        <v>NA</v>
      </c>
      <c r="AA394" s="29" t="str">
        <f t="shared" si="157"/>
        <v>NA</v>
      </c>
      <c r="AB394" s="29" t="str">
        <f t="shared" si="158"/>
        <v>NA</v>
      </c>
      <c r="AC394" s="29" t="str">
        <f t="shared" si="159"/>
        <v>NA</v>
      </c>
      <c r="AD394" s="29" t="str">
        <f t="shared" si="160"/>
        <v>NA</v>
      </c>
      <c r="AE394" s="29" t="str">
        <f t="shared" si="161"/>
        <v>NA</v>
      </c>
      <c r="AF394" s="29" t="str">
        <f t="shared" si="162"/>
        <v>NA</v>
      </c>
      <c r="AG394" s="29" t="str">
        <f t="shared" si="163"/>
        <v>NA</v>
      </c>
      <c r="AH394" s="29" t="str">
        <f t="shared" si="164"/>
        <v>NA</v>
      </c>
    </row>
    <row r="395" customHeight="1" spans="1:34">
      <c r="A395" s="12" t="s">
        <v>1043</v>
      </c>
      <c r="F395" s="24">
        <f t="shared" si="166"/>
        <v>0</v>
      </c>
      <c r="G395" s="24" t="e">
        <f t="shared" si="165"/>
        <v>#DIV/0!</v>
      </c>
      <c r="Q395" s="29" t="str">
        <f t="shared" si="147"/>
        <v>NA</v>
      </c>
      <c r="R395" s="29" t="str">
        <f t="shared" si="148"/>
        <v>NA</v>
      </c>
      <c r="S395" s="29" t="str">
        <f t="shared" si="149"/>
        <v>NA</v>
      </c>
      <c r="T395" s="29" t="str">
        <f t="shared" si="150"/>
        <v>NA</v>
      </c>
      <c r="U395" s="29" t="str">
        <f t="shared" si="151"/>
        <v>NA</v>
      </c>
      <c r="V395" s="29" t="str">
        <f t="shared" si="152"/>
        <v>NA</v>
      </c>
      <c r="W395" s="29" t="str">
        <f t="shared" si="153"/>
        <v>NA</v>
      </c>
      <c r="X395" s="29" t="str">
        <f t="shared" si="154"/>
        <v>NA</v>
      </c>
      <c r="Y395" s="29" t="str">
        <f t="shared" si="155"/>
        <v>NA</v>
      </c>
      <c r="Z395" s="29" t="str">
        <f t="shared" si="156"/>
        <v>NA</v>
      </c>
      <c r="AA395" s="29" t="str">
        <f t="shared" si="157"/>
        <v>NA</v>
      </c>
      <c r="AB395" s="29" t="str">
        <f t="shared" si="158"/>
        <v>NA</v>
      </c>
      <c r="AC395" s="29" t="str">
        <f t="shared" si="159"/>
        <v>NA</v>
      </c>
      <c r="AD395" s="29" t="str">
        <f t="shared" si="160"/>
        <v>NA</v>
      </c>
      <c r="AE395" s="29" t="str">
        <f t="shared" si="161"/>
        <v>NA</v>
      </c>
      <c r="AF395" s="29" t="str">
        <f t="shared" si="162"/>
        <v>NA</v>
      </c>
      <c r="AG395" s="29" t="str">
        <f t="shared" si="163"/>
        <v>NA</v>
      </c>
      <c r="AH395" s="29" t="str">
        <f t="shared" si="164"/>
        <v>NA</v>
      </c>
    </row>
    <row r="396" customHeight="1" spans="1:34">
      <c r="A396" s="12" t="s">
        <v>1043</v>
      </c>
      <c r="F396" s="24">
        <f t="shared" si="166"/>
        <v>0</v>
      </c>
      <c r="G396" s="24" t="e">
        <f t="shared" si="165"/>
        <v>#DIV/0!</v>
      </c>
      <c r="Q396" s="29" t="str">
        <f t="shared" si="147"/>
        <v>NA</v>
      </c>
      <c r="R396" s="29" t="str">
        <f t="shared" si="148"/>
        <v>NA</v>
      </c>
      <c r="S396" s="29" t="str">
        <f t="shared" si="149"/>
        <v>NA</v>
      </c>
      <c r="T396" s="29" t="str">
        <f t="shared" si="150"/>
        <v>NA</v>
      </c>
      <c r="U396" s="29" t="str">
        <f t="shared" si="151"/>
        <v>NA</v>
      </c>
      <c r="V396" s="29" t="str">
        <f t="shared" si="152"/>
        <v>NA</v>
      </c>
      <c r="W396" s="29" t="str">
        <f t="shared" si="153"/>
        <v>NA</v>
      </c>
      <c r="X396" s="29" t="str">
        <f t="shared" si="154"/>
        <v>NA</v>
      </c>
      <c r="Y396" s="29" t="str">
        <f t="shared" si="155"/>
        <v>NA</v>
      </c>
      <c r="Z396" s="29" t="str">
        <f t="shared" si="156"/>
        <v>NA</v>
      </c>
      <c r="AA396" s="29" t="str">
        <f t="shared" si="157"/>
        <v>NA</v>
      </c>
      <c r="AB396" s="29" t="str">
        <f t="shared" si="158"/>
        <v>NA</v>
      </c>
      <c r="AC396" s="29" t="str">
        <f t="shared" si="159"/>
        <v>NA</v>
      </c>
      <c r="AD396" s="29" t="str">
        <f t="shared" si="160"/>
        <v>NA</v>
      </c>
      <c r="AE396" s="29" t="str">
        <f t="shared" si="161"/>
        <v>NA</v>
      </c>
      <c r="AF396" s="29" t="str">
        <f t="shared" si="162"/>
        <v>NA</v>
      </c>
      <c r="AG396" s="29" t="str">
        <f t="shared" si="163"/>
        <v>NA</v>
      </c>
      <c r="AH396" s="29" t="str">
        <f t="shared" si="164"/>
        <v>NA</v>
      </c>
    </row>
    <row r="397" customHeight="1" spans="1:34">
      <c r="A397" s="12" t="s">
        <v>1043</v>
      </c>
      <c r="F397" s="24">
        <f t="shared" si="166"/>
        <v>0</v>
      </c>
      <c r="G397" s="24" t="e">
        <f t="shared" si="165"/>
        <v>#DIV/0!</v>
      </c>
      <c r="Q397" s="29" t="str">
        <f t="shared" si="147"/>
        <v>NA</v>
      </c>
      <c r="R397" s="29" t="str">
        <f t="shared" si="148"/>
        <v>NA</v>
      </c>
      <c r="S397" s="29" t="str">
        <f t="shared" si="149"/>
        <v>NA</v>
      </c>
      <c r="T397" s="29" t="str">
        <f t="shared" si="150"/>
        <v>NA</v>
      </c>
      <c r="U397" s="29" t="str">
        <f t="shared" si="151"/>
        <v>NA</v>
      </c>
      <c r="V397" s="29" t="str">
        <f t="shared" si="152"/>
        <v>NA</v>
      </c>
      <c r="W397" s="29" t="str">
        <f t="shared" si="153"/>
        <v>NA</v>
      </c>
      <c r="X397" s="29" t="str">
        <f t="shared" si="154"/>
        <v>NA</v>
      </c>
      <c r="Y397" s="29" t="str">
        <f t="shared" si="155"/>
        <v>NA</v>
      </c>
      <c r="Z397" s="29" t="str">
        <f t="shared" si="156"/>
        <v>NA</v>
      </c>
      <c r="AA397" s="29" t="str">
        <f t="shared" si="157"/>
        <v>NA</v>
      </c>
      <c r="AB397" s="29" t="str">
        <f t="shared" si="158"/>
        <v>NA</v>
      </c>
      <c r="AC397" s="29" t="str">
        <f t="shared" si="159"/>
        <v>NA</v>
      </c>
      <c r="AD397" s="29" t="str">
        <f t="shared" si="160"/>
        <v>NA</v>
      </c>
      <c r="AE397" s="29" t="str">
        <f t="shared" si="161"/>
        <v>NA</v>
      </c>
      <c r="AF397" s="29" t="str">
        <f t="shared" si="162"/>
        <v>NA</v>
      </c>
      <c r="AG397" s="29" t="str">
        <f t="shared" si="163"/>
        <v>NA</v>
      </c>
      <c r="AH397" s="29" t="str">
        <f t="shared" si="164"/>
        <v>NA</v>
      </c>
    </row>
    <row r="398" customHeight="1" spans="1:34">
      <c r="A398" s="12" t="s">
        <v>1043</v>
      </c>
      <c r="F398" s="24">
        <f t="shared" si="166"/>
        <v>0</v>
      </c>
      <c r="G398" s="24" t="e">
        <f t="shared" si="165"/>
        <v>#DIV/0!</v>
      </c>
      <c r="Q398" s="29" t="str">
        <f t="shared" si="147"/>
        <v>NA</v>
      </c>
      <c r="R398" s="29" t="str">
        <f t="shared" si="148"/>
        <v>NA</v>
      </c>
      <c r="S398" s="29" t="str">
        <f t="shared" si="149"/>
        <v>NA</v>
      </c>
      <c r="T398" s="29" t="str">
        <f t="shared" si="150"/>
        <v>NA</v>
      </c>
      <c r="U398" s="29" t="str">
        <f t="shared" si="151"/>
        <v>NA</v>
      </c>
      <c r="V398" s="29" t="str">
        <f t="shared" si="152"/>
        <v>NA</v>
      </c>
      <c r="W398" s="29" t="str">
        <f t="shared" si="153"/>
        <v>NA</v>
      </c>
      <c r="X398" s="29" t="str">
        <f t="shared" si="154"/>
        <v>NA</v>
      </c>
      <c r="Y398" s="29" t="str">
        <f t="shared" si="155"/>
        <v>NA</v>
      </c>
      <c r="Z398" s="29" t="str">
        <f t="shared" si="156"/>
        <v>NA</v>
      </c>
      <c r="AA398" s="29" t="str">
        <f t="shared" si="157"/>
        <v>NA</v>
      </c>
      <c r="AB398" s="29" t="str">
        <f t="shared" si="158"/>
        <v>NA</v>
      </c>
      <c r="AC398" s="29" t="str">
        <f t="shared" si="159"/>
        <v>NA</v>
      </c>
      <c r="AD398" s="29" t="str">
        <f t="shared" si="160"/>
        <v>NA</v>
      </c>
      <c r="AE398" s="29" t="str">
        <f t="shared" si="161"/>
        <v>NA</v>
      </c>
      <c r="AF398" s="29" t="str">
        <f t="shared" si="162"/>
        <v>NA</v>
      </c>
      <c r="AG398" s="29" t="str">
        <f t="shared" si="163"/>
        <v>NA</v>
      </c>
      <c r="AH398" s="29" t="str">
        <f t="shared" si="164"/>
        <v>NA</v>
      </c>
    </row>
    <row r="399" customHeight="1" spans="1:34">
      <c r="A399" s="12" t="s">
        <v>1043</v>
      </c>
      <c r="F399" s="24">
        <f t="shared" si="166"/>
        <v>0</v>
      </c>
      <c r="G399" s="24" t="e">
        <f t="shared" si="165"/>
        <v>#DIV/0!</v>
      </c>
      <c r="Q399" s="29" t="str">
        <f t="shared" si="147"/>
        <v>NA</v>
      </c>
      <c r="R399" s="29" t="str">
        <f t="shared" si="148"/>
        <v>NA</v>
      </c>
      <c r="S399" s="29" t="str">
        <f t="shared" si="149"/>
        <v>NA</v>
      </c>
      <c r="T399" s="29" t="str">
        <f t="shared" si="150"/>
        <v>NA</v>
      </c>
      <c r="U399" s="29" t="str">
        <f t="shared" si="151"/>
        <v>NA</v>
      </c>
      <c r="V399" s="29" t="str">
        <f t="shared" si="152"/>
        <v>NA</v>
      </c>
      <c r="W399" s="29" t="str">
        <f t="shared" si="153"/>
        <v>NA</v>
      </c>
      <c r="X399" s="29" t="str">
        <f t="shared" si="154"/>
        <v>NA</v>
      </c>
      <c r="Y399" s="29" t="str">
        <f t="shared" si="155"/>
        <v>NA</v>
      </c>
      <c r="Z399" s="29" t="str">
        <f t="shared" si="156"/>
        <v>NA</v>
      </c>
      <c r="AA399" s="29" t="str">
        <f t="shared" si="157"/>
        <v>NA</v>
      </c>
      <c r="AB399" s="29" t="str">
        <f t="shared" si="158"/>
        <v>NA</v>
      </c>
      <c r="AC399" s="29" t="str">
        <f t="shared" si="159"/>
        <v>NA</v>
      </c>
      <c r="AD399" s="29" t="str">
        <f t="shared" si="160"/>
        <v>NA</v>
      </c>
      <c r="AE399" s="29" t="str">
        <f t="shared" si="161"/>
        <v>NA</v>
      </c>
      <c r="AF399" s="29" t="str">
        <f t="shared" si="162"/>
        <v>NA</v>
      </c>
      <c r="AG399" s="29" t="str">
        <f t="shared" si="163"/>
        <v>NA</v>
      </c>
      <c r="AH399" s="29" t="str">
        <f t="shared" si="164"/>
        <v>NA</v>
      </c>
    </row>
    <row r="400" customHeight="1" spans="1:34">
      <c r="A400" s="12" t="s">
        <v>1043</v>
      </c>
      <c r="F400" s="24">
        <f t="shared" si="166"/>
        <v>0</v>
      </c>
      <c r="G400" s="24" t="e">
        <f t="shared" si="165"/>
        <v>#DIV/0!</v>
      </c>
      <c r="Q400" s="29" t="str">
        <f t="shared" ref="Q400:Q463" si="167">IFERROR($B400*$E400/H400,"NA")</f>
        <v>NA</v>
      </c>
      <c r="R400" s="29" t="str">
        <f t="shared" ref="R400:R463" si="168">IFERROR($B400*$E400/I400,"NA")</f>
        <v>NA</v>
      </c>
      <c r="S400" s="29" t="str">
        <f t="shared" ref="S400:S463" si="169">IFERROR($B400*$E400/J400,"NA")</f>
        <v>NA</v>
      </c>
      <c r="T400" s="29" t="str">
        <f t="shared" ref="T400:T463" si="170">IFERROR($B400*$E400/K400,"NA")</f>
        <v>NA</v>
      </c>
      <c r="U400" s="29" t="str">
        <f t="shared" ref="U400:U463" si="171">IFERROR($B400*$E400/L400,"NA")</f>
        <v>NA</v>
      </c>
      <c r="V400" s="29" t="str">
        <f t="shared" ref="V400:V463" si="172">IFERROR($B400*$E400/M400,"NA")</f>
        <v>NA</v>
      </c>
      <c r="W400" s="29" t="str">
        <f t="shared" ref="W400:W463" si="173">IFERROR($B400*$E400/N400,"NA")</f>
        <v>NA</v>
      </c>
      <c r="X400" s="29" t="str">
        <f t="shared" ref="X400:X463" si="174">IFERROR($B400*$E400/O400,"NA")</f>
        <v>NA</v>
      </c>
      <c r="Y400" s="29" t="str">
        <f t="shared" ref="Y400:Y463" si="175">IFERROR($B400*$E400/P400,"NA")</f>
        <v>NA</v>
      </c>
      <c r="Z400" s="29" t="str">
        <f t="shared" ref="Z400:Z463" si="176">IFERROR((($G400*Z$2/1000)+Q400)/1,"NA")</f>
        <v>NA</v>
      </c>
      <c r="AA400" s="29" t="str">
        <f t="shared" ref="AA400:AA463" si="177">IFERROR((($G400*AA$2/1000)+R400)/1,"NA")</f>
        <v>NA</v>
      </c>
      <c r="AB400" s="29" t="str">
        <f t="shared" ref="AB400:AB463" si="178">IFERROR((($G400*AB$2/1000)+S400)/1,"NA")</f>
        <v>NA</v>
      </c>
      <c r="AC400" s="29" t="str">
        <f t="shared" ref="AC400:AC463" si="179">IFERROR((($G400*AC$2/1000)+T400)/1,"NA")</f>
        <v>NA</v>
      </c>
      <c r="AD400" s="29" t="str">
        <f t="shared" ref="AD400:AD463" si="180">IFERROR((($G400*AD$2/1000)+U400)/1,"NA")</f>
        <v>NA</v>
      </c>
      <c r="AE400" s="29" t="str">
        <f t="shared" ref="AE400:AE463" si="181">IFERROR((($G400*AE$2/1000)+V400)/1,"NA")</f>
        <v>NA</v>
      </c>
      <c r="AF400" s="29" t="str">
        <f t="shared" ref="AF400:AF463" si="182">IFERROR((($G400*AF$2/1000)+W400)/1,"NA")</f>
        <v>NA</v>
      </c>
      <c r="AG400" s="29" t="str">
        <f t="shared" ref="AG400:AG463" si="183">IFERROR((($G400*AG$2/1000)+X400)/1,"NA")</f>
        <v>NA</v>
      </c>
      <c r="AH400" s="29" t="str">
        <f t="shared" ref="AH400:AH463" si="184">IFERROR((($G400*AH$2/1000)+Y400)/1,"NA")</f>
        <v>NA</v>
      </c>
    </row>
    <row r="401" customHeight="1" spans="1:34">
      <c r="A401" s="12" t="s">
        <v>1043</v>
      </c>
      <c r="F401" s="24">
        <f t="shared" si="166"/>
        <v>0</v>
      </c>
      <c r="G401" s="24" t="e">
        <f t="shared" si="165"/>
        <v>#DIV/0!</v>
      </c>
      <c r="Q401" s="29" t="str">
        <f t="shared" si="167"/>
        <v>NA</v>
      </c>
      <c r="R401" s="29" t="str">
        <f t="shared" si="168"/>
        <v>NA</v>
      </c>
      <c r="S401" s="29" t="str">
        <f t="shared" si="169"/>
        <v>NA</v>
      </c>
      <c r="T401" s="29" t="str">
        <f t="shared" si="170"/>
        <v>NA</v>
      </c>
      <c r="U401" s="29" t="str">
        <f t="shared" si="171"/>
        <v>NA</v>
      </c>
      <c r="V401" s="29" t="str">
        <f t="shared" si="172"/>
        <v>NA</v>
      </c>
      <c r="W401" s="29" t="str">
        <f t="shared" si="173"/>
        <v>NA</v>
      </c>
      <c r="X401" s="29" t="str">
        <f t="shared" si="174"/>
        <v>NA</v>
      </c>
      <c r="Y401" s="29" t="str">
        <f t="shared" si="175"/>
        <v>NA</v>
      </c>
      <c r="Z401" s="29" t="str">
        <f t="shared" si="176"/>
        <v>NA</v>
      </c>
      <c r="AA401" s="29" t="str">
        <f t="shared" si="177"/>
        <v>NA</v>
      </c>
      <c r="AB401" s="29" t="str">
        <f t="shared" si="178"/>
        <v>NA</v>
      </c>
      <c r="AC401" s="29" t="str">
        <f t="shared" si="179"/>
        <v>NA</v>
      </c>
      <c r="AD401" s="29" t="str">
        <f t="shared" si="180"/>
        <v>NA</v>
      </c>
      <c r="AE401" s="29" t="str">
        <f t="shared" si="181"/>
        <v>NA</v>
      </c>
      <c r="AF401" s="29" t="str">
        <f t="shared" si="182"/>
        <v>NA</v>
      </c>
      <c r="AG401" s="29" t="str">
        <f t="shared" si="183"/>
        <v>NA</v>
      </c>
      <c r="AH401" s="29" t="str">
        <f t="shared" si="184"/>
        <v>NA</v>
      </c>
    </row>
    <row r="402" customHeight="1" spans="1:34">
      <c r="A402" s="12" t="s">
        <v>1043</v>
      </c>
      <c r="F402" s="24">
        <f t="shared" si="166"/>
        <v>0</v>
      </c>
      <c r="G402" s="24" t="e">
        <f t="shared" si="165"/>
        <v>#DIV/0!</v>
      </c>
      <c r="Q402" s="29" t="str">
        <f t="shared" si="167"/>
        <v>NA</v>
      </c>
      <c r="R402" s="29" t="str">
        <f t="shared" si="168"/>
        <v>NA</v>
      </c>
      <c r="S402" s="29" t="str">
        <f t="shared" si="169"/>
        <v>NA</v>
      </c>
      <c r="T402" s="29" t="str">
        <f t="shared" si="170"/>
        <v>NA</v>
      </c>
      <c r="U402" s="29" t="str">
        <f t="shared" si="171"/>
        <v>NA</v>
      </c>
      <c r="V402" s="29" t="str">
        <f t="shared" si="172"/>
        <v>NA</v>
      </c>
      <c r="W402" s="29" t="str">
        <f t="shared" si="173"/>
        <v>NA</v>
      </c>
      <c r="X402" s="29" t="str">
        <f t="shared" si="174"/>
        <v>NA</v>
      </c>
      <c r="Y402" s="29" t="str">
        <f t="shared" si="175"/>
        <v>NA</v>
      </c>
      <c r="Z402" s="29" t="str">
        <f t="shared" si="176"/>
        <v>NA</v>
      </c>
      <c r="AA402" s="29" t="str">
        <f t="shared" si="177"/>
        <v>NA</v>
      </c>
      <c r="AB402" s="29" t="str">
        <f t="shared" si="178"/>
        <v>NA</v>
      </c>
      <c r="AC402" s="29" t="str">
        <f t="shared" si="179"/>
        <v>NA</v>
      </c>
      <c r="AD402" s="29" t="str">
        <f t="shared" si="180"/>
        <v>NA</v>
      </c>
      <c r="AE402" s="29" t="str">
        <f t="shared" si="181"/>
        <v>NA</v>
      </c>
      <c r="AF402" s="29" t="str">
        <f t="shared" si="182"/>
        <v>NA</v>
      </c>
      <c r="AG402" s="29" t="str">
        <f t="shared" si="183"/>
        <v>NA</v>
      </c>
      <c r="AH402" s="29" t="str">
        <f t="shared" si="184"/>
        <v>NA</v>
      </c>
    </row>
    <row r="403" customHeight="1" spans="1:34">
      <c r="A403" s="12" t="s">
        <v>1043</v>
      </c>
      <c r="F403" s="24">
        <f t="shared" si="166"/>
        <v>0</v>
      </c>
      <c r="G403" s="24" t="e">
        <f t="shared" si="165"/>
        <v>#DIV/0!</v>
      </c>
      <c r="Q403" s="29" t="str">
        <f t="shared" si="167"/>
        <v>NA</v>
      </c>
      <c r="R403" s="29" t="str">
        <f t="shared" si="168"/>
        <v>NA</v>
      </c>
      <c r="S403" s="29" t="str">
        <f t="shared" si="169"/>
        <v>NA</v>
      </c>
      <c r="T403" s="29" t="str">
        <f t="shared" si="170"/>
        <v>NA</v>
      </c>
      <c r="U403" s="29" t="str">
        <f t="shared" si="171"/>
        <v>NA</v>
      </c>
      <c r="V403" s="29" t="str">
        <f t="shared" si="172"/>
        <v>NA</v>
      </c>
      <c r="W403" s="29" t="str">
        <f t="shared" si="173"/>
        <v>NA</v>
      </c>
      <c r="X403" s="29" t="str">
        <f t="shared" si="174"/>
        <v>NA</v>
      </c>
      <c r="Y403" s="29" t="str">
        <f t="shared" si="175"/>
        <v>NA</v>
      </c>
      <c r="Z403" s="29" t="str">
        <f t="shared" si="176"/>
        <v>NA</v>
      </c>
      <c r="AA403" s="29" t="str">
        <f t="shared" si="177"/>
        <v>NA</v>
      </c>
      <c r="AB403" s="29" t="str">
        <f t="shared" si="178"/>
        <v>NA</v>
      </c>
      <c r="AC403" s="29" t="str">
        <f t="shared" si="179"/>
        <v>NA</v>
      </c>
      <c r="AD403" s="29" t="str">
        <f t="shared" si="180"/>
        <v>NA</v>
      </c>
      <c r="AE403" s="29" t="str">
        <f t="shared" si="181"/>
        <v>NA</v>
      </c>
      <c r="AF403" s="29" t="str">
        <f t="shared" si="182"/>
        <v>NA</v>
      </c>
      <c r="AG403" s="29" t="str">
        <f t="shared" si="183"/>
        <v>NA</v>
      </c>
      <c r="AH403" s="29" t="str">
        <f t="shared" si="184"/>
        <v>NA</v>
      </c>
    </row>
    <row r="404" customHeight="1" spans="1:34">
      <c r="A404" s="12" t="s">
        <v>1043</v>
      </c>
      <c r="F404" s="24">
        <f t="shared" si="166"/>
        <v>0</v>
      </c>
      <c r="G404" s="24" t="e">
        <f t="shared" si="165"/>
        <v>#DIV/0!</v>
      </c>
      <c r="Q404" s="29" t="str">
        <f t="shared" si="167"/>
        <v>NA</v>
      </c>
      <c r="R404" s="29" t="str">
        <f t="shared" si="168"/>
        <v>NA</v>
      </c>
      <c r="S404" s="29" t="str">
        <f t="shared" si="169"/>
        <v>NA</v>
      </c>
      <c r="T404" s="29" t="str">
        <f t="shared" si="170"/>
        <v>NA</v>
      </c>
      <c r="U404" s="29" t="str">
        <f t="shared" si="171"/>
        <v>NA</v>
      </c>
      <c r="V404" s="29" t="str">
        <f t="shared" si="172"/>
        <v>NA</v>
      </c>
      <c r="W404" s="29" t="str">
        <f t="shared" si="173"/>
        <v>NA</v>
      </c>
      <c r="X404" s="29" t="str">
        <f t="shared" si="174"/>
        <v>NA</v>
      </c>
      <c r="Y404" s="29" t="str">
        <f t="shared" si="175"/>
        <v>NA</v>
      </c>
      <c r="Z404" s="29" t="str">
        <f t="shared" si="176"/>
        <v>NA</v>
      </c>
      <c r="AA404" s="29" t="str">
        <f t="shared" si="177"/>
        <v>NA</v>
      </c>
      <c r="AB404" s="29" t="str">
        <f t="shared" si="178"/>
        <v>NA</v>
      </c>
      <c r="AC404" s="29" t="str">
        <f t="shared" si="179"/>
        <v>NA</v>
      </c>
      <c r="AD404" s="29" t="str">
        <f t="shared" si="180"/>
        <v>NA</v>
      </c>
      <c r="AE404" s="29" t="str">
        <f t="shared" si="181"/>
        <v>NA</v>
      </c>
      <c r="AF404" s="29" t="str">
        <f t="shared" si="182"/>
        <v>NA</v>
      </c>
      <c r="AG404" s="29" t="str">
        <f t="shared" si="183"/>
        <v>NA</v>
      </c>
      <c r="AH404" s="29" t="str">
        <f t="shared" si="184"/>
        <v>NA</v>
      </c>
    </row>
    <row r="405" customHeight="1" spans="1:34">
      <c r="A405" s="12" t="s">
        <v>1043</v>
      </c>
      <c r="F405" s="24">
        <f t="shared" si="166"/>
        <v>0</v>
      </c>
      <c r="G405" s="24" t="e">
        <f t="shared" si="165"/>
        <v>#DIV/0!</v>
      </c>
      <c r="Q405" s="29" t="str">
        <f t="shared" si="167"/>
        <v>NA</v>
      </c>
      <c r="R405" s="29" t="str">
        <f t="shared" si="168"/>
        <v>NA</v>
      </c>
      <c r="S405" s="29" t="str">
        <f t="shared" si="169"/>
        <v>NA</v>
      </c>
      <c r="T405" s="29" t="str">
        <f t="shared" si="170"/>
        <v>NA</v>
      </c>
      <c r="U405" s="29" t="str">
        <f t="shared" si="171"/>
        <v>NA</v>
      </c>
      <c r="V405" s="29" t="str">
        <f t="shared" si="172"/>
        <v>NA</v>
      </c>
      <c r="W405" s="29" t="str">
        <f t="shared" si="173"/>
        <v>NA</v>
      </c>
      <c r="X405" s="29" t="str">
        <f t="shared" si="174"/>
        <v>NA</v>
      </c>
      <c r="Y405" s="29" t="str">
        <f t="shared" si="175"/>
        <v>NA</v>
      </c>
      <c r="Z405" s="29" t="str">
        <f t="shared" si="176"/>
        <v>NA</v>
      </c>
      <c r="AA405" s="29" t="str">
        <f t="shared" si="177"/>
        <v>NA</v>
      </c>
      <c r="AB405" s="29" t="str">
        <f t="shared" si="178"/>
        <v>NA</v>
      </c>
      <c r="AC405" s="29" t="str">
        <f t="shared" si="179"/>
        <v>NA</v>
      </c>
      <c r="AD405" s="29" t="str">
        <f t="shared" si="180"/>
        <v>NA</v>
      </c>
      <c r="AE405" s="29" t="str">
        <f t="shared" si="181"/>
        <v>NA</v>
      </c>
      <c r="AF405" s="29" t="str">
        <f t="shared" si="182"/>
        <v>NA</v>
      </c>
      <c r="AG405" s="29" t="str">
        <f t="shared" si="183"/>
        <v>NA</v>
      </c>
      <c r="AH405" s="29" t="str">
        <f t="shared" si="184"/>
        <v>NA</v>
      </c>
    </row>
    <row r="406" customHeight="1" spans="1:34">
      <c r="A406" s="12" t="s">
        <v>1043</v>
      </c>
      <c r="F406" s="24">
        <f t="shared" si="166"/>
        <v>0</v>
      </c>
      <c r="G406" s="24" t="e">
        <f t="shared" si="165"/>
        <v>#DIV/0!</v>
      </c>
      <c r="Q406" s="29" t="str">
        <f t="shared" si="167"/>
        <v>NA</v>
      </c>
      <c r="R406" s="29" t="str">
        <f t="shared" si="168"/>
        <v>NA</v>
      </c>
      <c r="S406" s="29" t="str">
        <f t="shared" si="169"/>
        <v>NA</v>
      </c>
      <c r="T406" s="29" t="str">
        <f t="shared" si="170"/>
        <v>NA</v>
      </c>
      <c r="U406" s="29" t="str">
        <f t="shared" si="171"/>
        <v>NA</v>
      </c>
      <c r="V406" s="29" t="str">
        <f t="shared" si="172"/>
        <v>NA</v>
      </c>
      <c r="W406" s="29" t="str">
        <f t="shared" si="173"/>
        <v>NA</v>
      </c>
      <c r="X406" s="29" t="str">
        <f t="shared" si="174"/>
        <v>NA</v>
      </c>
      <c r="Y406" s="29" t="str">
        <f t="shared" si="175"/>
        <v>NA</v>
      </c>
      <c r="Z406" s="29" t="str">
        <f t="shared" si="176"/>
        <v>NA</v>
      </c>
      <c r="AA406" s="29" t="str">
        <f t="shared" si="177"/>
        <v>NA</v>
      </c>
      <c r="AB406" s="29" t="str">
        <f t="shared" si="178"/>
        <v>NA</v>
      </c>
      <c r="AC406" s="29" t="str">
        <f t="shared" si="179"/>
        <v>NA</v>
      </c>
      <c r="AD406" s="29" t="str">
        <f t="shared" si="180"/>
        <v>NA</v>
      </c>
      <c r="AE406" s="29" t="str">
        <f t="shared" si="181"/>
        <v>NA</v>
      </c>
      <c r="AF406" s="29" t="str">
        <f t="shared" si="182"/>
        <v>NA</v>
      </c>
      <c r="AG406" s="29" t="str">
        <f t="shared" si="183"/>
        <v>NA</v>
      </c>
      <c r="AH406" s="29" t="str">
        <f t="shared" si="184"/>
        <v>NA</v>
      </c>
    </row>
    <row r="407" customHeight="1" spans="1:34">
      <c r="A407" s="12" t="s">
        <v>1043</v>
      </c>
      <c r="F407" s="24">
        <f t="shared" si="166"/>
        <v>0</v>
      </c>
      <c r="G407" s="24" t="e">
        <f t="shared" si="165"/>
        <v>#DIV/0!</v>
      </c>
      <c r="Q407" s="29" t="str">
        <f t="shared" si="167"/>
        <v>NA</v>
      </c>
      <c r="R407" s="29" t="str">
        <f t="shared" si="168"/>
        <v>NA</v>
      </c>
      <c r="S407" s="29" t="str">
        <f t="shared" si="169"/>
        <v>NA</v>
      </c>
      <c r="T407" s="29" t="str">
        <f t="shared" si="170"/>
        <v>NA</v>
      </c>
      <c r="U407" s="29" t="str">
        <f t="shared" si="171"/>
        <v>NA</v>
      </c>
      <c r="V407" s="29" t="str">
        <f t="shared" si="172"/>
        <v>NA</v>
      </c>
      <c r="W407" s="29" t="str">
        <f t="shared" si="173"/>
        <v>NA</v>
      </c>
      <c r="X407" s="29" t="str">
        <f t="shared" si="174"/>
        <v>NA</v>
      </c>
      <c r="Y407" s="29" t="str">
        <f t="shared" si="175"/>
        <v>NA</v>
      </c>
      <c r="Z407" s="29" t="str">
        <f t="shared" si="176"/>
        <v>NA</v>
      </c>
      <c r="AA407" s="29" t="str">
        <f t="shared" si="177"/>
        <v>NA</v>
      </c>
      <c r="AB407" s="29" t="str">
        <f t="shared" si="178"/>
        <v>NA</v>
      </c>
      <c r="AC407" s="29" t="str">
        <f t="shared" si="179"/>
        <v>NA</v>
      </c>
      <c r="AD407" s="29" t="str">
        <f t="shared" si="180"/>
        <v>NA</v>
      </c>
      <c r="AE407" s="29" t="str">
        <f t="shared" si="181"/>
        <v>NA</v>
      </c>
      <c r="AF407" s="29" t="str">
        <f t="shared" si="182"/>
        <v>NA</v>
      </c>
      <c r="AG407" s="29" t="str">
        <f t="shared" si="183"/>
        <v>NA</v>
      </c>
      <c r="AH407" s="29" t="str">
        <f t="shared" si="184"/>
        <v>NA</v>
      </c>
    </row>
    <row r="408" customHeight="1" spans="1:34">
      <c r="A408" s="12" t="s">
        <v>1043</v>
      </c>
      <c r="F408" s="24">
        <f t="shared" si="166"/>
        <v>0</v>
      </c>
      <c r="G408" s="24" t="e">
        <f t="shared" si="165"/>
        <v>#DIV/0!</v>
      </c>
      <c r="Q408" s="29" t="str">
        <f t="shared" si="167"/>
        <v>NA</v>
      </c>
      <c r="R408" s="29" t="str">
        <f t="shared" si="168"/>
        <v>NA</v>
      </c>
      <c r="S408" s="29" t="str">
        <f t="shared" si="169"/>
        <v>NA</v>
      </c>
      <c r="T408" s="29" t="str">
        <f t="shared" si="170"/>
        <v>NA</v>
      </c>
      <c r="U408" s="29" t="str">
        <f t="shared" si="171"/>
        <v>NA</v>
      </c>
      <c r="V408" s="29" t="str">
        <f t="shared" si="172"/>
        <v>NA</v>
      </c>
      <c r="W408" s="29" t="str">
        <f t="shared" si="173"/>
        <v>NA</v>
      </c>
      <c r="X408" s="29" t="str">
        <f t="shared" si="174"/>
        <v>NA</v>
      </c>
      <c r="Y408" s="29" t="str">
        <f t="shared" si="175"/>
        <v>NA</v>
      </c>
      <c r="Z408" s="29" t="str">
        <f t="shared" si="176"/>
        <v>NA</v>
      </c>
      <c r="AA408" s="29" t="str">
        <f t="shared" si="177"/>
        <v>NA</v>
      </c>
      <c r="AB408" s="29" t="str">
        <f t="shared" si="178"/>
        <v>NA</v>
      </c>
      <c r="AC408" s="29" t="str">
        <f t="shared" si="179"/>
        <v>NA</v>
      </c>
      <c r="AD408" s="29" t="str">
        <f t="shared" si="180"/>
        <v>NA</v>
      </c>
      <c r="AE408" s="29" t="str">
        <f t="shared" si="181"/>
        <v>NA</v>
      </c>
      <c r="AF408" s="29" t="str">
        <f t="shared" si="182"/>
        <v>NA</v>
      </c>
      <c r="AG408" s="29" t="str">
        <f t="shared" si="183"/>
        <v>NA</v>
      </c>
      <c r="AH408" s="29" t="str">
        <f t="shared" si="184"/>
        <v>NA</v>
      </c>
    </row>
    <row r="409" customHeight="1" spans="1:34">
      <c r="A409" s="12" t="s">
        <v>1043</v>
      </c>
      <c r="F409" s="24">
        <f t="shared" si="166"/>
        <v>0</v>
      </c>
      <c r="G409" s="24" t="e">
        <f t="shared" si="165"/>
        <v>#DIV/0!</v>
      </c>
      <c r="Q409" s="29" t="str">
        <f t="shared" si="167"/>
        <v>NA</v>
      </c>
      <c r="R409" s="29" t="str">
        <f t="shared" si="168"/>
        <v>NA</v>
      </c>
      <c r="S409" s="29" t="str">
        <f t="shared" si="169"/>
        <v>NA</v>
      </c>
      <c r="T409" s="29" t="str">
        <f t="shared" si="170"/>
        <v>NA</v>
      </c>
      <c r="U409" s="29" t="str">
        <f t="shared" si="171"/>
        <v>NA</v>
      </c>
      <c r="V409" s="29" t="str">
        <f t="shared" si="172"/>
        <v>NA</v>
      </c>
      <c r="W409" s="29" t="str">
        <f t="shared" si="173"/>
        <v>NA</v>
      </c>
      <c r="X409" s="29" t="str">
        <f t="shared" si="174"/>
        <v>NA</v>
      </c>
      <c r="Y409" s="29" t="str">
        <f t="shared" si="175"/>
        <v>NA</v>
      </c>
      <c r="Z409" s="29" t="str">
        <f t="shared" si="176"/>
        <v>NA</v>
      </c>
      <c r="AA409" s="29" t="str">
        <f t="shared" si="177"/>
        <v>NA</v>
      </c>
      <c r="AB409" s="29" t="str">
        <f t="shared" si="178"/>
        <v>NA</v>
      </c>
      <c r="AC409" s="29" t="str">
        <f t="shared" si="179"/>
        <v>NA</v>
      </c>
      <c r="AD409" s="29" t="str">
        <f t="shared" si="180"/>
        <v>NA</v>
      </c>
      <c r="AE409" s="29" t="str">
        <f t="shared" si="181"/>
        <v>NA</v>
      </c>
      <c r="AF409" s="29" t="str">
        <f t="shared" si="182"/>
        <v>NA</v>
      </c>
      <c r="AG409" s="29" t="str">
        <f t="shared" si="183"/>
        <v>NA</v>
      </c>
      <c r="AH409" s="29" t="str">
        <f t="shared" si="184"/>
        <v>NA</v>
      </c>
    </row>
    <row r="410" customHeight="1" spans="1:34">
      <c r="A410" s="12" t="s">
        <v>1043</v>
      </c>
      <c r="F410" s="24">
        <f t="shared" si="166"/>
        <v>0</v>
      </c>
      <c r="G410" s="24" t="e">
        <f t="shared" si="165"/>
        <v>#DIV/0!</v>
      </c>
      <c r="Q410" s="29" t="str">
        <f t="shared" si="167"/>
        <v>NA</v>
      </c>
      <c r="R410" s="29" t="str">
        <f t="shared" si="168"/>
        <v>NA</v>
      </c>
      <c r="S410" s="29" t="str">
        <f t="shared" si="169"/>
        <v>NA</v>
      </c>
      <c r="T410" s="29" t="str">
        <f t="shared" si="170"/>
        <v>NA</v>
      </c>
      <c r="U410" s="29" t="str">
        <f t="shared" si="171"/>
        <v>NA</v>
      </c>
      <c r="V410" s="29" t="str">
        <f t="shared" si="172"/>
        <v>NA</v>
      </c>
      <c r="W410" s="29" t="str">
        <f t="shared" si="173"/>
        <v>NA</v>
      </c>
      <c r="X410" s="29" t="str">
        <f t="shared" si="174"/>
        <v>NA</v>
      </c>
      <c r="Y410" s="29" t="str">
        <f t="shared" si="175"/>
        <v>NA</v>
      </c>
      <c r="Z410" s="29" t="str">
        <f t="shared" si="176"/>
        <v>NA</v>
      </c>
      <c r="AA410" s="29" t="str">
        <f t="shared" si="177"/>
        <v>NA</v>
      </c>
      <c r="AB410" s="29" t="str">
        <f t="shared" si="178"/>
        <v>NA</v>
      </c>
      <c r="AC410" s="29" t="str">
        <f t="shared" si="179"/>
        <v>NA</v>
      </c>
      <c r="AD410" s="29" t="str">
        <f t="shared" si="180"/>
        <v>NA</v>
      </c>
      <c r="AE410" s="29" t="str">
        <f t="shared" si="181"/>
        <v>NA</v>
      </c>
      <c r="AF410" s="29" t="str">
        <f t="shared" si="182"/>
        <v>NA</v>
      </c>
      <c r="AG410" s="29" t="str">
        <f t="shared" si="183"/>
        <v>NA</v>
      </c>
      <c r="AH410" s="29" t="str">
        <f t="shared" si="184"/>
        <v>NA</v>
      </c>
    </row>
    <row r="411" customHeight="1" spans="1:34">
      <c r="A411" s="12" t="s">
        <v>1043</v>
      </c>
      <c r="F411" s="24">
        <f t="shared" si="166"/>
        <v>0</v>
      </c>
      <c r="G411" s="24" t="e">
        <f t="shared" si="165"/>
        <v>#DIV/0!</v>
      </c>
      <c r="Q411" s="29" t="str">
        <f t="shared" si="167"/>
        <v>NA</v>
      </c>
      <c r="R411" s="29" t="str">
        <f t="shared" si="168"/>
        <v>NA</v>
      </c>
      <c r="S411" s="29" t="str">
        <f t="shared" si="169"/>
        <v>NA</v>
      </c>
      <c r="T411" s="29" t="str">
        <f t="shared" si="170"/>
        <v>NA</v>
      </c>
      <c r="U411" s="29" t="str">
        <f t="shared" si="171"/>
        <v>NA</v>
      </c>
      <c r="V411" s="29" t="str">
        <f t="shared" si="172"/>
        <v>NA</v>
      </c>
      <c r="W411" s="29" t="str">
        <f t="shared" si="173"/>
        <v>NA</v>
      </c>
      <c r="X411" s="29" t="str">
        <f t="shared" si="174"/>
        <v>NA</v>
      </c>
      <c r="Y411" s="29" t="str">
        <f t="shared" si="175"/>
        <v>NA</v>
      </c>
      <c r="Z411" s="29" t="str">
        <f t="shared" si="176"/>
        <v>NA</v>
      </c>
      <c r="AA411" s="29" t="str">
        <f t="shared" si="177"/>
        <v>NA</v>
      </c>
      <c r="AB411" s="29" t="str">
        <f t="shared" si="178"/>
        <v>NA</v>
      </c>
      <c r="AC411" s="29" t="str">
        <f t="shared" si="179"/>
        <v>NA</v>
      </c>
      <c r="AD411" s="29" t="str">
        <f t="shared" si="180"/>
        <v>NA</v>
      </c>
      <c r="AE411" s="29" t="str">
        <f t="shared" si="181"/>
        <v>NA</v>
      </c>
      <c r="AF411" s="29" t="str">
        <f t="shared" si="182"/>
        <v>NA</v>
      </c>
      <c r="AG411" s="29" t="str">
        <f t="shared" si="183"/>
        <v>NA</v>
      </c>
      <c r="AH411" s="29" t="str">
        <f t="shared" si="184"/>
        <v>NA</v>
      </c>
    </row>
    <row r="412" customHeight="1" spans="1:34">
      <c r="A412" s="12" t="s">
        <v>1043</v>
      </c>
      <c r="F412" s="24">
        <f t="shared" si="166"/>
        <v>0</v>
      </c>
      <c r="G412" s="24" t="e">
        <f t="shared" si="165"/>
        <v>#DIV/0!</v>
      </c>
      <c r="Q412" s="29" t="str">
        <f t="shared" si="167"/>
        <v>NA</v>
      </c>
      <c r="R412" s="29" t="str">
        <f t="shared" si="168"/>
        <v>NA</v>
      </c>
      <c r="S412" s="29" t="str">
        <f t="shared" si="169"/>
        <v>NA</v>
      </c>
      <c r="T412" s="29" t="str">
        <f t="shared" si="170"/>
        <v>NA</v>
      </c>
      <c r="U412" s="29" t="str">
        <f t="shared" si="171"/>
        <v>NA</v>
      </c>
      <c r="V412" s="29" t="str">
        <f t="shared" si="172"/>
        <v>NA</v>
      </c>
      <c r="W412" s="29" t="str">
        <f t="shared" si="173"/>
        <v>NA</v>
      </c>
      <c r="X412" s="29" t="str">
        <f t="shared" si="174"/>
        <v>NA</v>
      </c>
      <c r="Y412" s="29" t="str">
        <f t="shared" si="175"/>
        <v>NA</v>
      </c>
      <c r="Z412" s="29" t="str">
        <f t="shared" si="176"/>
        <v>NA</v>
      </c>
      <c r="AA412" s="29" t="str">
        <f t="shared" si="177"/>
        <v>NA</v>
      </c>
      <c r="AB412" s="29" t="str">
        <f t="shared" si="178"/>
        <v>NA</v>
      </c>
      <c r="AC412" s="29" t="str">
        <f t="shared" si="179"/>
        <v>NA</v>
      </c>
      <c r="AD412" s="29" t="str">
        <f t="shared" si="180"/>
        <v>NA</v>
      </c>
      <c r="AE412" s="29" t="str">
        <f t="shared" si="181"/>
        <v>NA</v>
      </c>
      <c r="AF412" s="29" t="str">
        <f t="shared" si="182"/>
        <v>NA</v>
      </c>
      <c r="AG412" s="29" t="str">
        <f t="shared" si="183"/>
        <v>NA</v>
      </c>
      <c r="AH412" s="29" t="str">
        <f t="shared" si="184"/>
        <v>NA</v>
      </c>
    </row>
    <row r="413" customHeight="1" spans="1:34">
      <c r="A413" s="12" t="s">
        <v>1043</v>
      </c>
      <c r="F413" s="24">
        <f t="shared" si="166"/>
        <v>0</v>
      </c>
      <c r="G413" s="24" t="e">
        <f t="shared" si="165"/>
        <v>#DIV/0!</v>
      </c>
      <c r="Q413" s="29" t="str">
        <f t="shared" si="167"/>
        <v>NA</v>
      </c>
      <c r="R413" s="29" t="str">
        <f t="shared" si="168"/>
        <v>NA</v>
      </c>
      <c r="S413" s="29" t="str">
        <f t="shared" si="169"/>
        <v>NA</v>
      </c>
      <c r="T413" s="29" t="str">
        <f t="shared" si="170"/>
        <v>NA</v>
      </c>
      <c r="U413" s="29" t="str">
        <f t="shared" si="171"/>
        <v>NA</v>
      </c>
      <c r="V413" s="29" t="str">
        <f t="shared" si="172"/>
        <v>NA</v>
      </c>
      <c r="W413" s="29" t="str">
        <f t="shared" si="173"/>
        <v>NA</v>
      </c>
      <c r="X413" s="29" t="str">
        <f t="shared" si="174"/>
        <v>NA</v>
      </c>
      <c r="Y413" s="29" t="str">
        <f t="shared" si="175"/>
        <v>NA</v>
      </c>
      <c r="Z413" s="29" t="str">
        <f t="shared" si="176"/>
        <v>NA</v>
      </c>
      <c r="AA413" s="29" t="str">
        <f t="shared" si="177"/>
        <v>NA</v>
      </c>
      <c r="AB413" s="29" t="str">
        <f t="shared" si="178"/>
        <v>NA</v>
      </c>
      <c r="AC413" s="29" t="str">
        <f t="shared" si="179"/>
        <v>NA</v>
      </c>
      <c r="AD413" s="29" t="str">
        <f t="shared" si="180"/>
        <v>NA</v>
      </c>
      <c r="AE413" s="29" t="str">
        <f t="shared" si="181"/>
        <v>NA</v>
      </c>
      <c r="AF413" s="29" t="str">
        <f t="shared" si="182"/>
        <v>NA</v>
      </c>
      <c r="AG413" s="29" t="str">
        <f t="shared" si="183"/>
        <v>NA</v>
      </c>
      <c r="AH413" s="29" t="str">
        <f t="shared" si="184"/>
        <v>NA</v>
      </c>
    </row>
    <row r="414" customHeight="1" spans="1:34">
      <c r="A414" s="12" t="s">
        <v>1043</v>
      </c>
      <c r="F414" s="24">
        <f t="shared" si="166"/>
        <v>0</v>
      </c>
      <c r="G414" s="24" t="e">
        <f t="shared" si="165"/>
        <v>#DIV/0!</v>
      </c>
      <c r="Q414" s="29" t="str">
        <f t="shared" si="167"/>
        <v>NA</v>
      </c>
      <c r="R414" s="29" t="str">
        <f t="shared" si="168"/>
        <v>NA</v>
      </c>
      <c r="S414" s="29" t="str">
        <f t="shared" si="169"/>
        <v>NA</v>
      </c>
      <c r="T414" s="29" t="str">
        <f t="shared" si="170"/>
        <v>NA</v>
      </c>
      <c r="U414" s="29" t="str">
        <f t="shared" si="171"/>
        <v>NA</v>
      </c>
      <c r="V414" s="29" t="str">
        <f t="shared" si="172"/>
        <v>NA</v>
      </c>
      <c r="W414" s="29" t="str">
        <f t="shared" si="173"/>
        <v>NA</v>
      </c>
      <c r="X414" s="29" t="str">
        <f t="shared" si="174"/>
        <v>NA</v>
      </c>
      <c r="Y414" s="29" t="str">
        <f t="shared" si="175"/>
        <v>NA</v>
      </c>
      <c r="Z414" s="29" t="str">
        <f t="shared" si="176"/>
        <v>NA</v>
      </c>
      <c r="AA414" s="29" t="str">
        <f t="shared" si="177"/>
        <v>NA</v>
      </c>
      <c r="AB414" s="29" t="str">
        <f t="shared" si="178"/>
        <v>NA</v>
      </c>
      <c r="AC414" s="29" t="str">
        <f t="shared" si="179"/>
        <v>NA</v>
      </c>
      <c r="AD414" s="29" t="str">
        <f t="shared" si="180"/>
        <v>NA</v>
      </c>
      <c r="AE414" s="29" t="str">
        <f t="shared" si="181"/>
        <v>NA</v>
      </c>
      <c r="AF414" s="29" t="str">
        <f t="shared" si="182"/>
        <v>NA</v>
      </c>
      <c r="AG414" s="29" t="str">
        <f t="shared" si="183"/>
        <v>NA</v>
      </c>
      <c r="AH414" s="29" t="str">
        <f t="shared" si="184"/>
        <v>NA</v>
      </c>
    </row>
    <row r="415" customHeight="1" spans="1:34">
      <c r="A415" s="12" t="s">
        <v>1043</v>
      </c>
      <c r="F415" s="24">
        <f t="shared" si="166"/>
        <v>0</v>
      </c>
      <c r="G415" s="24" t="e">
        <f t="shared" si="165"/>
        <v>#DIV/0!</v>
      </c>
      <c r="Q415" s="29" t="str">
        <f t="shared" si="167"/>
        <v>NA</v>
      </c>
      <c r="R415" s="29" t="str">
        <f t="shared" si="168"/>
        <v>NA</v>
      </c>
      <c r="S415" s="29" t="str">
        <f t="shared" si="169"/>
        <v>NA</v>
      </c>
      <c r="T415" s="29" t="str">
        <f t="shared" si="170"/>
        <v>NA</v>
      </c>
      <c r="U415" s="29" t="str">
        <f t="shared" si="171"/>
        <v>NA</v>
      </c>
      <c r="V415" s="29" t="str">
        <f t="shared" si="172"/>
        <v>NA</v>
      </c>
      <c r="W415" s="29" t="str">
        <f t="shared" si="173"/>
        <v>NA</v>
      </c>
      <c r="X415" s="29" t="str">
        <f t="shared" si="174"/>
        <v>NA</v>
      </c>
      <c r="Y415" s="29" t="str">
        <f t="shared" si="175"/>
        <v>NA</v>
      </c>
      <c r="Z415" s="29" t="str">
        <f t="shared" si="176"/>
        <v>NA</v>
      </c>
      <c r="AA415" s="29" t="str">
        <f t="shared" si="177"/>
        <v>NA</v>
      </c>
      <c r="AB415" s="29" t="str">
        <f t="shared" si="178"/>
        <v>NA</v>
      </c>
      <c r="AC415" s="29" t="str">
        <f t="shared" si="179"/>
        <v>NA</v>
      </c>
      <c r="AD415" s="29" t="str">
        <f t="shared" si="180"/>
        <v>NA</v>
      </c>
      <c r="AE415" s="29" t="str">
        <f t="shared" si="181"/>
        <v>NA</v>
      </c>
      <c r="AF415" s="29" t="str">
        <f t="shared" si="182"/>
        <v>NA</v>
      </c>
      <c r="AG415" s="29" t="str">
        <f t="shared" si="183"/>
        <v>NA</v>
      </c>
      <c r="AH415" s="29" t="str">
        <f t="shared" si="184"/>
        <v>NA</v>
      </c>
    </row>
    <row r="416" customHeight="1" spans="1:34">
      <c r="A416" s="12" t="s">
        <v>1043</v>
      </c>
      <c r="F416" s="24">
        <f t="shared" si="166"/>
        <v>0</v>
      </c>
      <c r="G416" s="24" t="e">
        <f t="shared" si="165"/>
        <v>#DIV/0!</v>
      </c>
      <c r="Q416" s="29" t="str">
        <f t="shared" si="167"/>
        <v>NA</v>
      </c>
      <c r="R416" s="29" t="str">
        <f t="shared" si="168"/>
        <v>NA</v>
      </c>
      <c r="S416" s="29" t="str">
        <f t="shared" si="169"/>
        <v>NA</v>
      </c>
      <c r="T416" s="29" t="str">
        <f t="shared" si="170"/>
        <v>NA</v>
      </c>
      <c r="U416" s="29" t="str">
        <f t="shared" si="171"/>
        <v>NA</v>
      </c>
      <c r="V416" s="29" t="str">
        <f t="shared" si="172"/>
        <v>NA</v>
      </c>
      <c r="W416" s="29" t="str">
        <f t="shared" si="173"/>
        <v>NA</v>
      </c>
      <c r="X416" s="29" t="str">
        <f t="shared" si="174"/>
        <v>NA</v>
      </c>
      <c r="Y416" s="29" t="str">
        <f t="shared" si="175"/>
        <v>NA</v>
      </c>
      <c r="Z416" s="29" t="str">
        <f t="shared" si="176"/>
        <v>NA</v>
      </c>
      <c r="AA416" s="29" t="str">
        <f t="shared" si="177"/>
        <v>NA</v>
      </c>
      <c r="AB416" s="29" t="str">
        <f t="shared" si="178"/>
        <v>NA</v>
      </c>
      <c r="AC416" s="29" t="str">
        <f t="shared" si="179"/>
        <v>NA</v>
      </c>
      <c r="AD416" s="29" t="str">
        <f t="shared" si="180"/>
        <v>NA</v>
      </c>
      <c r="AE416" s="29" t="str">
        <f t="shared" si="181"/>
        <v>NA</v>
      </c>
      <c r="AF416" s="29" t="str">
        <f t="shared" si="182"/>
        <v>NA</v>
      </c>
      <c r="AG416" s="29" t="str">
        <f t="shared" si="183"/>
        <v>NA</v>
      </c>
      <c r="AH416" s="29" t="str">
        <f t="shared" si="184"/>
        <v>NA</v>
      </c>
    </row>
    <row r="417" customHeight="1" spans="1:34">
      <c r="A417" s="12" t="s">
        <v>1043</v>
      </c>
      <c r="F417" s="24">
        <f t="shared" si="166"/>
        <v>0</v>
      </c>
      <c r="G417" s="24" t="e">
        <f t="shared" si="165"/>
        <v>#DIV/0!</v>
      </c>
      <c r="Q417" s="29" t="str">
        <f t="shared" si="167"/>
        <v>NA</v>
      </c>
      <c r="R417" s="29" t="str">
        <f t="shared" si="168"/>
        <v>NA</v>
      </c>
      <c r="S417" s="29" t="str">
        <f t="shared" si="169"/>
        <v>NA</v>
      </c>
      <c r="T417" s="29" t="str">
        <f t="shared" si="170"/>
        <v>NA</v>
      </c>
      <c r="U417" s="29" t="str">
        <f t="shared" si="171"/>
        <v>NA</v>
      </c>
      <c r="V417" s="29" t="str">
        <f t="shared" si="172"/>
        <v>NA</v>
      </c>
      <c r="W417" s="29" t="str">
        <f t="shared" si="173"/>
        <v>NA</v>
      </c>
      <c r="X417" s="29" t="str">
        <f t="shared" si="174"/>
        <v>NA</v>
      </c>
      <c r="Y417" s="29" t="str">
        <f t="shared" si="175"/>
        <v>NA</v>
      </c>
      <c r="Z417" s="29" t="str">
        <f t="shared" si="176"/>
        <v>NA</v>
      </c>
      <c r="AA417" s="29" t="str">
        <f t="shared" si="177"/>
        <v>NA</v>
      </c>
      <c r="AB417" s="29" t="str">
        <f t="shared" si="178"/>
        <v>NA</v>
      </c>
      <c r="AC417" s="29" t="str">
        <f t="shared" si="179"/>
        <v>NA</v>
      </c>
      <c r="AD417" s="29" t="str">
        <f t="shared" si="180"/>
        <v>NA</v>
      </c>
      <c r="AE417" s="29" t="str">
        <f t="shared" si="181"/>
        <v>NA</v>
      </c>
      <c r="AF417" s="29" t="str">
        <f t="shared" si="182"/>
        <v>NA</v>
      </c>
      <c r="AG417" s="29" t="str">
        <f t="shared" si="183"/>
        <v>NA</v>
      </c>
      <c r="AH417" s="29" t="str">
        <f t="shared" si="184"/>
        <v>NA</v>
      </c>
    </row>
    <row r="418" customHeight="1" spans="1:34">
      <c r="A418" s="12" t="s">
        <v>1043</v>
      </c>
      <c r="F418" s="24">
        <f t="shared" si="166"/>
        <v>0</v>
      </c>
      <c r="G418" s="24" t="e">
        <f t="shared" si="165"/>
        <v>#DIV/0!</v>
      </c>
      <c r="Q418" s="29" t="str">
        <f t="shared" si="167"/>
        <v>NA</v>
      </c>
      <c r="R418" s="29" t="str">
        <f t="shared" si="168"/>
        <v>NA</v>
      </c>
      <c r="S418" s="29" t="str">
        <f t="shared" si="169"/>
        <v>NA</v>
      </c>
      <c r="T418" s="29" t="str">
        <f t="shared" si="170"/>
        <v>NA</v>
      </c>
      <c r="U418" s="29" t="str">
        <f t="shared" si="171"/>
        <v>NA</v>
      </c>
      <c r="V418" s="29" t="str">
        <f t="shared" si="172"/>
        <v>NA</v>
      </c>
      <c r="W418" s="29" t="str">
        <f t="shared" si="173"/>
        <v>NA</v>
      </c>
      <c r="X418" s="29" t="str">
        <f t="shared" si="174"/>
        <v>NA</v>
      </c>
      <c r="Y418" s="29" t="str">
        <f t="shared" si="175"/>
        <v>NA</v>
      </c>
      <c r="Z418" s="29" t="str">
        <f t="shared" si="176"/>
        <v>NA</v>
      </c>
      <c r="AA418" s="29" t="str">
        <f t="shared" si="177"/>
        <v>NA</v>
      </c>
      <c r="AB418" s="29" t="str">
        <f t="shared" si="178"/>
        <v>NA</v>
      </c>
      <c r="AC418" s="29" t="str">
        <f t="shared" si="179"/>
        <v>NA</v>
      </c>
      <c r="AD418" s="29" t="str">
        <f t="shared" si="180"/>
        <v>NA</v>
      </c>
      <c r="AE418" s="29" t="str">
        <f t="shared" si="181"/>
        <v>NA</v>
      </c>
      <c r="AF418" s="29" t="str">
        <f t="shared" si="182"/>
        <v>NA</v>
      </c>
      <c r="AG418" s="29" t="str">
        <f t="shared" si="183"/>
        <v>NA</v>
      </c>
      <c r="AH418" s="29" t="str">
        <f t="shared" si="184"/>
        <v>NA</v>
      </c>
    </row>
    <row r="419" customHeight="1" spans="1:34">
      <c r="A419" s="12" t="s">
        <v>1043</v>
      </c>
      <c r="F419" s="24">
        <f t="shared" si="166"/>
        <v>0</v>
      </c>
      <c r="G419" s="24" t="e">
        <f t="shared" si="165"/>
        <v>#DIV/0!</v>
      </c>
      <c r="Q419" s="29" t="str">
        <f t="shared" si="167"/>
        <v>NA</v>
      </c>
      <c r="R419" s="29" t="str">
        <f t="shared" si="168"/>
        <v>NA</v>
      </c>
      <c r="S419" s="29" t="str">
        <f t="shared" si="169"/>
        <v>NA</v>
      </c>
      <c r="T419" s="29" t="str">
        <f t="shared" si="170"/>
        <v>NA</v>
      </c>
      <c r="U419" s="29" t="str">
        <f t="shared" si="171"/>
        <v>NA</v>
      </c>
      <c r="V419" s="29" t="str">
        <f t="shared" si="172"/>
        <v>NA</v>
      </c>
      <c r="W419" s="29" t="str">
        <f t="shared" si="173"/>
        <v>NA</v>
      </c>
      <c r="X419" s="29" t="str">
        <f t="shared" si="174"/>
        <v>NA</v>
      </c>
      <c r="Y419" s="29" t="str">
        <f t="shared" si="175"/>
        <v>NA</v>
      </c>
      <c r="Z419" s="29" t="str">
        <f t="shared" si="176"/>
        <v>NA</v>
      </c>
      <c r="AA419" s="29" t="str">
        <f t="shared" si="177"/>
        <v>NA</v>
      </c>
      <c r="AB419" s="29" t="str">
        <f t="shared" si="178"/>
        <v>NA</v>
      </c>
      <c r="AC419" s="29" t="str">
        <f t="shared" si="179"/>
        <v>NA</v>
      </c>
      <c r="AD419" s="29" t="str">
        <f t="shared" si="180"/>
        <v>NA</v>
      </c>
      <c r="AE419" s="29" t="str">
        <f t="shared" si="181"/>
        <v>NA</v>
      </c>
      <c r="AF419" s="29" t="str">
        <f t="shared" si="182"/>
        <v>NA</v>
      </c>
      <c r="AG419" s="29" t="str">
        <f t="shared" si="183"/>
        <v>NA</v>
      </c>
      <c r="AH419" s="29" t="str">
        <f t="shared" si="184"/>
        <v>NA</v>
      </c>
    </row>
    <row r="420" customHeight="1" spans="1:34">
      <c r="A420" s="12" t="s">
        <v>1043</v>
      </c>
      <c r="F420" s="24">
        <f t="shared" si="166"/>
        <v>0</v>
      </c>
      <c r="G420" s="24" t="e">
        <f t="shared" si="165"/>
        <v>#DIV/0!</v>
      </c>
      <c r="Q420" s="29" t="str">
        <f t="shared" si="167"/>
        <v>NA</v>
      </c>
      <c r="R420" s="29" t="str">
        <f t="shared" si="168"/>
        <v>NA</v>
      </c>
      <c r="S420" s="29" t="str">
        <f t="shared" si="169"/>
        <v>NA</v>
      </c>
      <c r="T420" s="29" t="str">
        <f t="shared" si="170"/>
        <v>NA</v>
      </c>
      <c r="U420" s="29" t="str">
        <f t="shared" si="171"/>
        <v>NA</v>
      </c>
      <c r="V420" s="29" t="str">
        <f t="shared" si="172"/>
        <v>NA</v>
      </c>
      <c r="W420" s="29" t="str">
        <f t="shared" si="173"/>
        <v>NA</v>
      </c>
      <c r="X420" s="29" t="str">
        <f t="shared" si="174"/>
        <v>NA</v>
      </c>
      <c r="Y420" s="29" t="str">
        <f t="shared" si="175"/>
        <v>NA</v>
      </c>
      <c r="Z420" s="29" t="str">
        <f t="shared" si="176"/>
        <v>NA</v>
      </c>
      <c r="AA420" s="29" t="str">
        <f t="shared" si="177"/>
        <v>NA</v>
      </c>
      <c r="AB420" s="29" t="str">
        <f t="shared" si="178"/>
        <v>NA</v>
      </c>
      <c r="AC420" s="29" t="str">
        <f t="shared" si="179"/>
        <v>NA</v>
      </c>
      <c r="AD420" s="29" t="str">
        <f t="shared" si="180"/>
        <v>NA</v>
      </c>
      <c r="AE420" s="29" t="str">
        <f t="shared" si="181"/>
        <v>NA</v>
      </c>
      <c r="AF420" s="29" t="str">
        <f t="shared" si="182"/>
        <v>NA</v>
      </c>
      <c r="AG420" s="29" t="str">
        <f t="shared" si="183"/>
        <v>NA</v>
      </c>
      <c r="AH420" s="29" t="str">
        <f t="shared" si="184"/>
        <v>NA</v>
      </c>
    </row>
    <row r="421" customHeight="1" spans="1:34">
      <c r="A421" s="12" t="s">
        <v>1043</v>
      </c>
      <c r="F421" s="24">
        <f t="shared" si="166"/>
        <v>0</v>
      </c>
      <c r="G421" s="24" t="e">
        <f t="shared" si="165"/>
        <v>#DIV/0!</v>
      </c>
      <c r="Q421" s="29" t="str">
        <f t="shared" si="167"/>
        <v>NA</v>
      </c>
      <c r="R421" s="29" t="str">
        <f t="shared" si="168"/>
        <v>NA</v>
      </c>
      <c r="S421" s="29" t="str">
        <f t="shared" si="169"/>
        <v>NA</v>
      </c>
      <c r="T421" s="29" t="str">
        <f t="shared" si="170"/>
        <v>NA</v>
      </c>
      <c r="U421" s="29" t="str">
        <f t="shared" si="171"/>
        <v>NA</v>
      </c>
      <c r="V421" s="29" t="str">
        <f t="shared" si="172"/>
        <v>NA</v>
      </c>
      <c r="W421" s="29" t="str">
        <f t="shared" si="173"/>
        <v>NA</v>
      </c>
      <c r="X421" s="29" t="str">
        <f t="shared" si="174"/>
        <v>NA</v>
      </c>
      <c r="Y421" s="29" t="str">
        <f t="shared" si="175"/>
        <v>NA</v>
      </c>
      <c r="Z421" s="29" t="str">
        <f t="shared" si="176"/>
        <v>NA</v>
      </c>
      <c r="AA421" s="29" t="str">
        <f t="shared" si="177"/>
        <v>NA</v>
      </c>
      <c r="AB421" s="29" t="str">
        <f t="shared" si="178"/>
        <v>NA</v>
      </c>
      <c r="AC421" s="29" t="str">
        <f t="shared" si="179"/>
        <v>NA</v>
      </c>
      <c r="AD421" s="29" t="str">
        <f t="shared" si="180"/>
        <v>NA</v>
      </c>
      <c r="AE421" s="29" t="str">
        <f t="shared" si="181"/>
        <v>NA</v>
      </c>
      <c r="AF421" s="29" t="str">
        <f t="shared" si="182"/>
        <v>NA</v>
      </c>
      <c r="AG421" s="29" t="str">
        <f t="shared" si="183"/>
        <v>NA</v>
      </c>
      <c r="AH421" s="29" t="str">
        <f t="shared" si="184"/>
        <v>NA</v>
      </c>
    </row>
    <row r="422" customHeight="1" spans="1:34">
      <c r="A422" s="12" t="s">
        <v>1043</v>
      </c>
      <c r="F422" s="24">
        <f t="shared" si="166"/>
        <v>0</v>
      </c>
      <c r="G422" s="24" t="e">
        <f t="shared" si="165"/>
        <v>#DIV/0!</v>
      </c>
      <c r="Q422" s="29" t="str">
        <f t="shared" si="167"/>
        <v>NA</v>
      </c>
      <c r="R422" s="29" t="str">
        <f t="shared" si="168"/>
        <v>NA</v>
      </c>
      <c r="S422" s="29" t="str">
        <f t="shared" si="169"/>
        <v>NA</v>
      </c>
      <c r="T422" s="29" t="str">
        <f t="shared" si="170"/>
        <v>NA</v>
      </c>
      <c r="U422" s="29" t="str">
        <f t="shared" si="171"/>
        <v>NA</v>
      </c>
      <c r="V422" s="29" t="str">
        <f t="shared" si="172"/>
        <v>NA</v>
      </c>
      <c r="W422" s="29" t="str">
        <f t="shared" si="173"/>
        <v>NA</v>
      </c>
      <c r="X422" s="29" t="str">
        <f t="shared" si="174"/>
        <v>NA</v>
      </c>
      <c r="Y422" s="29" t="str">
        <f t="shared" si="175"/>
        <v>NA</v>
      </c>
      <c r="Z422" s="29" t="str">
        <f t="shared" si="176"/>
        <v>NA</v>
      </c>
      <c r="AA422" s="29" t="str">
        <f t="shared" si="177"/>
        <v>NA</v>
      </c>
      <c r="AB422" s="29" t="str">
        <f t="shared" si="178"/>
        <v>NA</v>
      </c>
      <c r="AC422" s="29" t="str">
        <f t="shared" si="179"/>
        <v>NA</v>
      </c>
      <c r="AD422" s="29" t="str">
        <f t="shared" si="180"/>
        <v>NA</v>
      </c>
      <c r="AE422" s="29" t="str">
        <f t="shared" si="181"/>
        <v>NA</v>
      </c>
      <c r="AF422" s="29" t="str">
        <f t="shared" si="182"/>
        <v>NA</v>
      </c>
      <c r="AG422" s="29" t="str">
        <f t="shared" si="183"/>
        <v>NA</v>
      </c>
      <c r="AH422" s="29" t="str">
        <f t="shared" si="184"/>
        <v>NA</v>
      </c>
    </row>
    <row r="423" customHeight="1" spans="1:34">
      <c r="A423" s="12" t="s">
        <v>1043</v>
      </c>
      <c r="F423" s="24">
        <f t="shared" si="166"/>
        <v>0</v>
      </c>
      <c r="G423" s="24" t="e">
        <f t="shared" si="165"/>
        <v>#DIV/0!</v>
      </c>
      <c r="Q423" s="29" t="str">
        <f t="shared" si="167"/>
        <v>NA</v>
      </c>
      <c r="R423" s="29" t="str">
        <f t="shared" si="168"/>
        <v>NA</v>
      </c>
      <c r="S423" s="29" t="str">
        <f t="shared" si="169"/>
        <v>NA</v>
      </c>
      <c r="T423" s="29" t="str">
        <f t="shared" si="170"/>
        <v>NA</v>
      </c>
      <c r="U423" s="29" t="str">
        <f t="shared" si="171"/>
        <v>NA</v>
      </c>
      <c r="V423" s="29" t="str">
        <f t="shared" si="172"/>
        <v>NA</v>
      </c>
      <c r="W423" s="29" t="str">
        <f t="shared" si="173"/>
        <v>NA</v>
      </c>
      <c r="X423" s="29" t="str">
        <f t="shared" si="174"/>
        <v>NA</v>
      </c>
      <c r="Y423" s="29" t="str">
        <f t="shared" si="175"/>
        <v>NA</v>
      </c>
      <c r="Z423" s="29" t="str">
        <f t="shared" si="176"/>
        <v>NA</v>
      </c>
      <c r="AA423" s="29" t="str">
        <f t="shared" si="177"/>
        <v>NA</v>
      </c>
      <c r="AB423" s="29" t="str">
        <f t="shared" si="178"/>
        <v>NA</v>
      </c>
      <c r="AC423" s="29" t="str">
        <f t="shared" si="179"/>
        <v>NA</v>
      </c>
      <c r="AD423" s="29" t="str">
        <f t="shared" si="180"/>
        <v>NA</v>
      </c>
      <c r="AE423" s="29" t="str">
        <f t="shared" si="181"/>
        <v>NA</v>
      </c>
      <c r="AF423" s="29" t="str">
        <f t="shared" si="182"/>
        <v>NA</v>
      </c>
      <c r="AG423" s="29" t="str">
        <f t="shared" si="183"/>
        <v>NA</v>
      </c>
      <c r="AH423" s="29" t="str">
        <f t="shared" si="184"/>
        <v>NA</v>
      </c>
    </row>
    <row r="424" customHeight="1" spans="1:34">
      <c r="A424" s="12" t="s">
        <v>1043</v>
      </c>
      <c r="F424" s="24">
        <f t="shared" si="166"/>
        <v>0</v>
      </c>
      <c r="G424" s="24" t="e">
        <f t="shared" si="165"/>
        <v>#DIV/0!</v>
      </c>
      <c r="Q424" s="29" t="str">
        <f t="shared" si="167"/>
        <v>NA</v>
      </c>
      <c r="R424" s="29" t="str">
        <f t="shared" si="168"/>
        <v>NA</v>
      </c>
      <c r="S424" s="29" t="str">
        <f t="shared" si="169"/>
        <v>NA</v>
      </c>
      <c r="T424" s="29" t="str">
        <f t="shared" si="170"/>
        <v>NA</v>
      </c>
      <c r="U424" s="29" t="str">
        <f t="shared" si="171"/>
        <v>NA</v>
      </c>
      <c r="V424" s="29" t="str">
        <f t="shared" si="172"/>
        <v>NA</v>
      </c>
      <c r="W424" s="29" t="str">
        <f t="shared" si="173"/>
        <v>NA</v>
      </c>
      <c r="X424" s="29" t="str">
        <f t="shared" si="174"/>
        <v>NA</v>
      </c>
      <c r="Y424" s="29" t="str">
        <f t="shared" si="175"/>
        <v>NA</v>
      </c>
      <c r="Z424" s="29" t="str">
        <f t="shared" si="176"/>
        <v>NA</v>
      </c>
      <c r="AA424" s="29" t="str">
        <f t="shared" si="177"/>
        <v>NA</v>
      </c>
      <c r="AB424" s="29" t="str">
        <f t="shared" si="178"/>
        <v>NA</v>
      </c>
      <c r="AC424" s="29" t="str">
        <f t="shared" si="179"/>
        <v>NA</v>
      </c>
      <c r="AD424" s="29" t="str">
        <f t="shared" si="180"/>
        <v>NA</v>
      </c>
      <c r="AE424" s="29" t="str">
        <f t="shared" si="181"/>
        <v>NA</v>
      </c>
      <c r="AF424" s="29" t="str">
        <f t="shared" si="182"/>
        <v>NA</v>
      </c>
      <c r="AG424" s="29" t="str">
        <f t="shared" si="183"/>
        <v>NA</v>
      </c>
      <c r="AH424" s="29" t="str">
        <f t="shared" si="184"/>
        <v>NA</v>
      </c>
    </row>
    <row r="425" customHeight="1" spans="1:34">
      <c r="A425" s="12" t="s">
        <v>1043</v>
      </c>
      <c r="F425" s="24">
        <f t="shared" si="166"/>
        <v>0</v>
      </c>
      <c r="G425" s="24" t="e">
        <f t="shared" si="165"/>
        <v>#DIV/0!</v>
      </c>
      <c r="Q425" s="29" t="str">
        <f t="shared" si="167"/>
        <v>NA</v>
      </c>
      <c r="R425" s="29" t="str">
        <f t="shared" si="168"/>
        <v>NA</v>
      </c>
      <c r="S425" s="29" t="str">
        <f t="shared" si="169"/>
        <v>NA</v>
      </c>
      <c r="T425" s="29" t="str">
        <f t="shared" si="170"/>
        <v>NA</v>
      </c>
      <c r="U425" s="29" t="str">
        <f t="shared" si="171"/>
        <v>NA</v>
      </c>
      <c r="V425" s="29" t="str">
        <f t="shared" si="172"/>
        <v>NA</v>
      </c>
      <c r="W425" s="29" t="str">
        <f t="shared" si="173"/>
        <v>NA</v>
      </c>
      <c r="X425" s="29" t="str">
        <f t="shared" si="174"/>
        <v>NA</v>
      </c>
      <c r="Y425" s="29" t="str">
        <f t="shared" si="175"/>
        <v>NA</v>
      </c>
      <c r="Z425" s="29" t="str">
        <f t="shared" si="176"/>
        <v>NA</v>
      </c>
      <c r="AA425" s="29" t="str">
        <f t="shared" si="177"/>
        <v>NA</v>
      </c>
      <c r="AB425" s="29" t="str">
        <f t="shared" si="178"/>
        <v>NA</v>
      </c>
      <c r="AC425" s="29" t="str">
        <f t="shared" si="179"/>
        <v>NA</v>
      </c>
      <c r="AD425" s="29" t="str">
        <f t="shared" si="180"/>
        <v>NA</v>
      </c>
      <c r="AE425" s="29" t="str">
        <f t="shared" si="181"/>
        <v>NA</v>
      </c>
      <c r="AF425" s="29" t="str">
        <f t="shared" si="182"/>
        <v>NA</v>
      </c>
      <c r="AG425" s="29" t="str">
        <f t="shared" si="183"/>
        <v>NA</v>
      </c>
      <c r="AH425" s="29" t="str">
        <f t="shared" si="184"/>
        <v>NA</v>
      </c>
    </row>
    <row r="426" customHeight="1" spans="1:34">
      <c r="A426" s="12" t="s">
        <v>1043</v>
      </c>
      <c r="F426" s="24">
        <f t="shared" si="166"/>
        <v>0</v>
      </c>
      <c r="G426" s="24" t="e">
        <f t="shared" si="165"/>
        <v>#DIV/0!</v>
      </c>
      <c r="Q426" s="29" t="str">
        <f t="shared" si="167"/>
        <v>NA</v>
      </c>
      <c r="R426" s="29" t="str">
        <f t="shared" si="168"/>
        <v>NA</v>
      </c>
      <c r="S426" s="29" t="str">
        <f t="shared" si="169"/>
        <v>NA</v>
      </c>
      <c r="T426" s="29" t="str">
        <f t="shared" si="170"/>
        <v>NA</v>
      </c>
      <c r="U426" s="29" t="str">
        <f t="shared" si="171"/>
        <v>NA</v>
      </c>
      <c r="V426" s="29" t="str">
        <f t="shared" si="172"/>
        <v>NA</v>
      </c>
      <c r="W426" s="29" t="str">
        <f t="shared" si="173"/>
        <v>NA</v>
      </c>
      <c r="X426" s="29" t="str">
        <f t="shared" si="174"/>
        <v>NA</v>
      </c>
      <c r="Y426" s="29" t="str">
        <f t="shared" si="175"/>
        <v>NA</v>
      </c>
      <c r="Z426" s="29" t="str">
        <f t="shared" si="176"/>
        <v>NA</v>
      </c>
      <c r="AA426" s="29" t="str">
        <f t="shared" si="177"/>
        <v>NA</v>
      </c>
      <c r="AB426" s="29" t="str">
        <f t="shared" si="178"/>
        <v>NA</v>
      </c>
      <c r="AC426" s="29" t="str">
        <f t="shared" si="179"/>
        <v>NA</v>
      </c>
      <c r="AD426" s="29" t="str">
        <f t="shared" si="180"/>
        <v>NA</v>
      </c>
      <c r="AE426" s="29" t="str">
        <f t="shared" si="181"/>
        <v>NA</v>
      </c>
      <c r="AF426" s="29" t="str">
        <f t="shared" si="182"/>
        <v>NA</v>
      </c>
      <c r="AG426" s="29" t="str">
        <f t="shared" si="183"/>
        <v>NA</v>
      </c>
      <c r="AH426" s="29" t="str">
        <f t="shared" si="184"/>
        <v>NA</v>
      </c>
    </row>
    <row r="427" customHeight="1" spans="1:34">
      <c r="A427" s="12" t="s">
        <v>1043</v>
      </c>
      <c r="F427" s="24">
        <f t="shared" si="166"/>
        <v>0</v>
      </c>
      <c r="G427" s="24" t="e">
        <f t="shared" si="165"/>
        <v>#DIV/0!</v>
      </c>
      <c r="Q427" s="29" t="str">
        <f t="shared" si="167"/>
        <v>NA</v>
      </c>
      <c r="R427" s="29" t="str">
        <f t="shared" si="168"/>
        <v>NA</v>
      </c>
      <c r="S427" s="29" t="str">
        <f t="shared" si="169"/>
        <v>NA</v>
      </c>
      <c r="T427" s="29" t="str">
        <f t="shared" si="170"/>
        <v>NA</v>
      </c>
      <c r="U427" s="29" t="str">
        <f t="shared" si="171"/>
        <v>NA</v>
      </c>
      <c r="V427" s="29" t="str">
        <f t="shared" si="172"/>
        <v>NA</v>
      </c>
      <c r="W427" s="29" t="str">
        <f t="shared" si="173"/>
        <v>NA</v>
      </c>
      <c r="X427" s="29" t="str">
        <f t="shared" si="174"/>
        <v>NA</v>
      </c>
      <c r="Y427" s="29" t="str">
        <f t="shared" si="175"/>
        <v>NA</v>
      </c>
      <c r="Z427" s="29" t="str">
        <f t="shared" si="176"/>
        <v>NA</v>
      </c>
      <c r="AA427" s="29" t="str">
        <f t="shared" si="177"/>
        <v>NA</v>
      </c>
      <c r="AB427" s="29" t="str">
        <f t="shared" si="178"/>
        <v>NA</v>
      </c>
      <c r="AC427" s="29" t="str">
        <f t="shared" si="179"/>
        <v>NA</v>
      </c>
      <c r="AD427" s="29" t="str">
        <f t="shared" si="180"/>
        <v>NA</v>
      </c>
      <c r="AE427" s="29" t="str">
        <f t="shared" si="181"/>
        <v>NA</v>
      </c>
      <c r="AF427" s="29" t="str">
        <f t="shared" si="182"/>
        <v>NA</v>
      </c>
      <c r="AG427" s="29" t="str">
        <f t="shared" si="183"/>
        <v>NA</v>
      </c>
      <c r="AH427" s="29" t="str">
        <f t="shared" si="184"/>
        <v>NA</v>
      </c>
    </row>
    <row r="428" customHeight="1" spans="1:34">
      <c r="A428" s="12" t="s">
        <v>1043</v>
      </c>
      <c r="F428" s="24">
        <f t="shared" si="166"/>
        <v>0</v>
      </c>
      <c r="G428" s="24" t="e">
        <f t="shared" si="165"/>
        <v>#DIV/0!</v>
      </c>
      <c r="Q428" s="29" t="str">
        <f t="shared" si="167"/>
        <v>NA</v>
      </c>
      <c r="R428" s="29" t="str">
        <f t="shared" si="168"/>
        <v>NA</v>
      </c>
      <c r="S428" s="29" t="str">
        <f t="shared" si="169"/>
        <v>NA</v>
      </c>
      <c r="T428" s="29" t="str">
        <f t="shared" si="170"/>
        <v>NA</v>
      </c>
      <c r="U428" s="29" t="str">
        <f t="shared" si="171"/>
        <v>NA</v>
      </c>
      <c r="V428" s="29" t="str">
        <f t="shared" si="172"/>
        <v>NA</v>
      </c>
      <c r="W428" s="29" t="str">
        <f t="shared" si="173"/>
        <v>NA</v>
      </c>
      <c r="X428" s="29" t="str">
        <f t="shared" si="174"/>
        <v>NA</v>
      </c>
      <c r="Y428" s="29" t="str">
        <f t="shared" si="175"/>
        <v>NA</v>
      </c>
      <c r="Z428" s="29" t="str">
        <f t="shared" si="176"/>
        <v>NA</v>
      </c>
      <c r="AA428" s="29" t="str">
        <f t="shared" si="177"/>
        <v>NA</v>
      </c>
      <c r="AB428" s="29" t="str">
        <f t="shared" si="178"/>
        <v>NA</v>
      </c>
      <c r="AC428" s="29" t="str">
        <f t="shared" si="179"/>
        <v>NA</v>
      </c>
      <c r="AD428" s="29" t="str">
        <f t="shared" si="180"/>
        <v>NA</v>
      </c>
      <c r="AE428" s="29" t="str">
        <f t="shared" si="181"/>
        <v>NA</v>
      </c>
      <c r="AF428" s="29" t="str">
        <f t="shared" si="182"/>
        <v>NA</v>
      </c>
      <c r="AG428" s="29" t="str">
        <f t="shared" si="183"/>
        <v>NA</v>
      </c>
      <c r="AH428" s="29" t="str">
        <f t="shared" si="184"/>
        <v>NA</v>
      </c>
    </row>
    <row r="429" customHeight="1" spans="1:34">
      <c r="A429" s="12" t="s">
        <v>1043</v>
      </c>
      <c r="F429" s="24">
        <f t="shared" si="166"/>
        <v>0</v>
      </c>
      <c r="G429" s="24" t="e">
        <f t="shared" si="165"/>
        <v>#DIV/0!</v>
      </c>
      <c r="Q429" s="29" t="str">
        <f t="shared" si="167"/>
        <v>NA</v>
      </c>
      <c r="R429" s="29" t="str">
        <f t="shared" si="168"/>
        <v>NA</v>
      </c>
      <c r="S429" s="29" t="str">
        <f t="shared" si="169"/>
        <v>NA</v>
      </c>
      <c r="T429" s="29" t="str">
        <f t="shared" si="170"/>
        <v>NA</v>
      </c>
      <c r="U429" s="29" t="str">
        <f t="shared" si="171"/>
        <v>NA</v>
      </c>
      <c r="V429" s="29" t="str">
        <f t="shared" si="172"/>
        <v>NA</v>
      </c>
      <c r="W429" s="29" t="str">
        <f t="shared" si="173"/>
        <v>NA</v>
      </c>
      <c r="X429" s="29" t="str">
        <f t="shared" si="174"/>
        <v>NA</v>
      </c>
      <c r="Y429" s="29" t="str">
        <f t="shared" si="175"/>
        <v>NA</v>
      </c>
      <c r="Z429" s="29" t="str">
        <f t="shared" si="176"/>
        <v>NA</v>
      </c>
      <c r="AA429" s="29" t="str">
        <f t="shared" si="177"/>
        <v>NA</v>
      </c>
      <c r="AB429" s="29" t="str">
        <f t="shared" si="178"/>
        <v>NA</v>
      </c>
      <c r="AC429" s="29" t="str">
        <f t="shared" si="179"/>
        <v>NA</v>
      </c>
      <c r="AD429" s="29" t="str">
        <f t="shared" si="180"/>
        <v>NA</v>
      </c>
      <c r="AE429" s="29" t="str">
        <f t="shared" si="181"/>
        <v>NA</v>
      </c>
      <c r="AF429" s="29" t="str">
        <f t="shared" si="182"/>
        <v>NA</v>
      </c>
      <c r="AG429" s="29" t="str">
        <f t="shared" si="183"/>
        <v>NA</v>
      </c>
      <c r="AH429" s="29" t="str">
        <f t="shared" si="184"/>
        <v>NA</v>
      </c>
    </row>
    <row r="430" customHeight="1" spans="1:34">
      <c r="A430" s="12" t="s">
        <v>1043</v>
      </c>
      <c r="F430" s="24">
        <f t="shared" si="166"/>
        <v>0</v>
      </c>
      <c r="G430" s="24" t="e">
        <f t="shared" si="165"/>
        <v>#DIV/0!</v>
      </c>
      <c r="Q430" s="29" t="str">
        <f t="shared" si="167"/>
        <v>NA</v>
      </c>
      <c r="R430" s="29" t="str">
        <f t="shared" si="168"/>
        <v>NA</v>
      </c>
      <c r="S430" s="29" t="str">
        <f t="shared" si="169"/>
        <v>NA</v>
      </c>
      <c r="T430" s="29" t="str">
        <f t="shared" si="170"/>
        <v>NA</v>
      </c>
      <c r="U430" s="29" t="str">
        <f t="shared" si="171"/>
        <v>NA</v>
      </c>
      <c r="V430" s="29" t="str">
        <f t="shared" si="172"/>
        <v>NA</v>
      </c>
      <c r="W430" s="29" t="str">
        <f t="shared" si="173"/>
        <v>NA</v>
      </c>
      <c r="X430" s="29" t="str">
        <f t="shared" si="174"/>
        <v>NA</v>
      </c>
      <c r="Y430" s="29" t="str">
        <f t="shared" si="175"/>
        <v>NA</v>
      </c>
      <c r="Z430" s="29" t="str">
        <f t="shared" si="176"/>
        <v>NA</v>
      </c>
      <c r="AA430" s="29" t="str">
        <f t="shared" si="177"/>
        <v>NA</v>
      </c>
      <c r="AB430" s="29" t="str">
        <f t="shared" si="178"/>
        <v>NA</v>
      </c>
      <c r="AC430" s="29" t="str">
        <f t="shared" si="179"/>
        <v>NA</v>
      </c>
      <c r="AD430" s="29" t="str">
        <f t="shared" si="180"/>
        <v>NA</v>
      </c>
      <c r="AE430" s="29" t="str">
        <f t="shared" si="181"/>
        <v>NA</v>
      </c>
      <c r="AF430" s="29" t="str">
        <f t="shared" si="182"/>
        <v>NA</v>
      </c>
      <c r="AG430" s="29" t="str">
        <f t="shared" si="183"/>
        <v>NA</v>
      </c>
      <c r="AH430" s="29" t="str">
        <f t="shared" si="184"/>
        <v>NA</v>
      </c>
    </row>
    <row r="431" customHeight="1" spans="1:34">
      <c r="A431" s="12" t="s">
        <v>1043</v>
      </c>
      <c r="F431" s="24">
        <f t="shared" si="166"/>
        <v>0</v>
      </c>
      <c r="G431" s="24" t="e">
        <f t="shared" si="165"/>
        <v>#DIV/0!</v>
      </c>
      <c r="Q431" s="29" t="str">
        <f t="shared" si="167"/>
        <v>NA</v>
      </c>
      <c r="R431" s="29" t="str">
        <f t="shared" si="168"/>
        <v>NA</v>
      </c>
      <c r="S431" s="29" t="str">
        <f t="shared" si="169"/>
        <v>NA</v>
      </c>
      <c r="T431" s="29" t="str">
        <f t="shared" si="170"/>
        <v>NA</v>
      </c>
      <c r="U431" s="29" t="str">
        <f t="shared" si="171"/>
        <v>NA</v>
      </c>
      <c r="V431" s="29" t="str">
        <f t="shared" si="172"/>
        <v>NA</v>
      </c>
      <c r="W431" s="29" t="str">
        <f t="shared" si="173"/>
        <v>NA</v>
      </c>
      <c r="X431" s="29" t="str">
        <f t="shared" si="174"/>
        <v>NA</v>
      </c>
      <c r="Y431" s="29" t="str">
        <f t="shared" si="175"/>
        <v>NA</v>
      </c>
      <c r="Z431" s="29" t="str">
        <f t="shared" si="176"/>
        <v>NA</v>
      </c>
      <c r="AA431" s="29" t="str">
        <f t="shared" si="177"/>
        <v>NA</v>
      </c>
      <c r="AB431" s="29" t="str">
        <f t="shared" si="178"/>
        <v>NA</v>
      </c>
      <c r="AC431" s="29" t="str">
        <f t="shared" si="179"/>
        <v>NA</v>
      </c>
      <c r="AD431" s="29" t="str">
        <f t="shared" si="180"/>
        <v>NA</v>
      </c>
      <c r="AE431" s="29" t="str">
        <f t="shared" si="181"/>
        <v>NA</v>
      </c>
      <c r="AF431" s="29" t="str">
        <f t="shared" si="182"/>
        <v>NA</v>
      </c>
      <c r="AG431" s="29" t="str">
        <f t="shared" si="183"/>
        <v>NA</v>
      </c>
      <c r="AH431" s="29" t="str">
        <f t="shared" si="184"/>
        <v>NA</v>
      </c>
    </row>
    <row r="432" customHeight="1" spans="1:34">
      <c r="A432" s="12" t="s">
        <v>1043</v>
      </c>
      <c r="F432" s="24">
        <f t="shared" si="166"/>
        <v>0</v>
      </c>
      <c r="G432" s="24" t="e">
        <f t="shared" si="165"/>
        <v>#DIV/0!</v>
      </c>
      <c r="Q432" s="29" t="str">
        <f t="shared" si="167"/>
        <v>NA</v>
      </c>
      <c r="R432" s="29" t="str">
        <f t="shared" si="168"/>
        <v>NA</v>
      </c>
      <c r="S432" s="29" t="str">
        <f t="shared" si="169"/>
        <v>NA</v>
      </c>
      <c r="T432" s="29" t="str">
        <f t="shared" si="170"/>
        <v>NA</v>
      </c>
      <c r="U432" s="29" t="str">
        <f t="shared" si="171"/>
        <v>NA</v>
      </c>
      <c r="V432" s="29" t="str">
        <f t="shared" si="172"/>
        <v>NA</v>
      </c>
      <c r="W432" s="29" t="str">
        <f t="shared" si="173"/>
        <v>NA</v>
      </c>
      <c r="X432" s="29" t="str">
        <f t="shared" si="174"/>
        <v>NA</v>
      </c>
      <c r="Y432" s="29" t="str">
        <f t="shared" si="175"/>
        <v>NA</v>
      </c>
      <c r="Z432" s="29" t="str">
        <f t="shared" si="176"/>
        <v>NA</v>
      </c>
      <c r="AA432" s="29" t="str">
        <f t="shared" si="177"/>
        <v>NA</v>
      </c>
      <c r="AB432" s="29" t="str">
        <f t="shared" si="178"/>
        <v>NA</v>
      </c>
      <c r="AC432" s="29" t="str">
        <f t="shared" si="179"/>
        <v>NA</v>
      </c>
      <c r="AD432" s="29" t="str">
        <f t="shared" si="180"/>
        <v>NA</v>
      </c>
      <c r="AE432" s="29" t="str">
        <f t="shared" si="181"/>
        <v>NA</v>
      </c>
      <c r="AF432" s="29" t="str">
        <f t="shared" si="182"/>
        <v>NA</v>
      </c>
      <c r="AG432" s="29" t="str">
        <f t="shared" si="183"/>
        <v>NA</v>
      </c>
      <c r="AH432" s="29" t="str">
        <f t="shared" si="184"/>
        <v>NA</v>
      </c>
    </row>
    <row r="433" customHeight="1" spans="1:34">
      <c r="A433" s="12" t="s">
        <v>1043</v>
      </c>
      <c r="F433" s="24">
        <f t="shared" si="166"/>
        <v>0</v>
      </c>
      <c r="G433" s="24" t="e">
        <f t="shared" si="165"/>
        <v>#DIV/0!</v>
      </c>
      <c r="Q433" s="29" t="str">
        <f t="shared" si="167"/>
        <v>NA</v>
      </c>
      <c r="R433" s="29" t="str">
        <f t="shared" si="168"/>
        <v>NA</v>
      </c>
      <c r="S433" s="29" t="str">
        <f t="shared" si="169"/>
        <v>NA</v>
      </c>
      <c r="T433" s="29" t="str">
        <f t="shared" si="170"/>
        <v>NA</v>
      </c>
      <c r="U433" s="29" t="str">
        <f t="shared" si="171"/>
        <v>NA</v>
      </c>
      <c r="V433" s="29" t="str">
        <f t="shared" si="172"/>
        <v>NA</v>
      </c>
      <c r="W433" s="29" t="str">
        <f t="shared" si="173"/>
        <v>NA</v>
      </c>
      <c r="X433" s="29" t="str">
        <f t="shared" si="174"/>
        <v>NA</v>
      </c>
      <c r="Y433" s="29" t="str">
        <f t="shared" si="175"/>
        <v>NA</v>
      </c>
      <c r="Z433" s="29" t="str">
        <f t="shared" si="176"/>
        <v>NA</v>
      </c>
      <c r="AA433" s="29" t="str">
        <f t="shared" si="177"/>
        <v>NA</v>
      </c>
      <c r="AB433" s="29" t="str">
        <f t="shared" si="178"/>
        <v>NA</v>
      </c>
      <c r="AC433" s="29" t="str">
        <f t="shared" si="179"/>
        <v>NA</v>
      </c>
      <c r="AD433" s="29" t="str">
        <f t="shared" si="180"/>
        <v>NA</v>
      </c>
      <c r="AE433" s="29" t="str">
        <f t="shared" si="181"/>
        <v>NA</v>
      </c>
      <c r="AF433" s="29" t="str">
        <f t="shared" si="182"/>
        <v>NA</v>
      </c>
      <c r="AG433" s="29" t="str">
        <f t="shared" si="183"/>
        <v>NA</v>
      </c>
      <c r="AH433" s="29" t="str">
        <f t="shared" si="184"/>
        <v>NA</v>
      </c>
    </row>
    <row r="434" customHeight="1" spans="1:34">
      <c r="A434" s="12" t="s">
        <v>1043</v>
      </c>
      <c r="F434" s="24">
        <f t="shared" si="166"/>
        <v>0</v>
      </c>
      <c r="G434" s="24" t="e">
        <f t="shared" si="165"/>
        <v>#DIV/0!</v>
      </c>
      <c r="Q434" s="29" t="str">
        <f t="shared" si="167"/>
        <v>NA</v>
      </c>
      <c r="R434" s="29" t="str">
        <f t="shared" si="168"/>
        <v>NA</v>
      </c>
      <c r="S434" s="29" t="str">
        <f t="shared" si="169"/>
        <v>NA</v>
      </c>
      <c r="T434" s="29" t="str">
        <f t="shared" si="170"/>
        <v>NA</v>
      </c>
      <c r="U434" s="29" t="str">
        <f t="shared" si="171"/>
        <v>NA</v>
      </c>
      <c r="V434" s="29" t="str">
        <f t="shared" si="172"/>
        <v>NA</v>
      </c>
      <c r="W434" s="29" t="str">
        <f t="shared" si="173"/>
        <v>NA</v>
      </c>
      <c r="X434" s="29" t="str">
        <f t="shared" si="174"/>
        <v>NA</v>
      </c>
      <c r="Y434" s="29" t="str">
        <f t="shared" si="175"/>
        <v>NA</v>
      </c>
      <c r="Z434" s="29" t="str">
        <f t="shared" si="176"/>
        <v>NA</v>
      </c>
      <c r="AA434" s="29" t="str">
        <f t="shared" si="177"/>
        <v>NA</v>
      </c>
      <c r="AB434" s="29" t="str">
        <f t="shared" si="178"/>
        <v>NA</v>
      </c>
      <c r="AC434" s="29" t="str">
        <f t="shared" si="179"/>
        <v>NA</v>
      </c>
      <c r="AD434" s="29" t="str">
        <f t="shared" si="180"/>
        <v>NA</v>
      </c>
      <c r="AE434" s="29" t="str">
        <f t="shared" si="181"/>
        <v>NA</v>
      </c>
      <c r="AF434" s="29" t="str">
        <f t="shared" si="182"/>
        <v>NA</v>
      </c>
      <c r="AG434" s="29" t="str">
        <f t="shared" si="183"/>
        <v>NA</v>
      </c>
      <c r="AH434" s="29" t="str">
        <f t="shared" si="184"/>
        <v>NA</v>
      </c>
    </row>
    <row r="435" customHeight="1" spans="1:34">
      <c r="A435" s="12" t="s">
        <v>1043</v>
      </c>
      <c r="F435" s="24">
        <f t="shared" si="166"/>
        <v>0</v>
      </c>
      <c r="G435" s="24" t="e">
        <f t="shared" si="165"/>
        <v>#DIV/0!</v>
      </c>
      <c r="Q435" s="29" t="str">
        <f t="shared" si="167"/>
        <v>NA</v>
      </c>
      <c r="R435" s="29" t="str">
        <f t="shared" si="168"/>
        <v>NA</v>
      </c>
      <c r="S435" s="29" t="str">
        <f t="shared" si="169"/>
        <v>NA</v>
      </c>
      <c r="T435" s="29" t="str">
        <f t="shared" si="170"/>
        <v>NA</v>
      </c>
      <c r="U435" s="29" t="str">
        <f t="shared" si="171"/>
        <v>NA</v>
      </c>
      <c r="V435" s="29" t="str">
        <f t="shared" si="172"/>
        <v>NA</v>
      </c>
      <c r="W435" s="29" t="str">
        <f t="shared" si="173"/>
        <v>NA</v>
      </c>
      <c r="X435" s="29" t="str">
        <f t="shared" si="174"/>
        <v>NA</v>
      </c>
      <c r="Y435" s="29" t="str">
        <f t="shared" si="175"/>
        <v>NA</v>
      </c>
      <c r="Z435" s="29" t="str">
        <f t="shared" si="176"/>
        <v>NA</v>
      </c>
      <c r="AA435" s="29" t="str">
        <f t="shared" si="177"/>
        <v>NA</v>
      </c>
      <c r="AB435" s="29" t="str">
        <f t="shared" si="178"/>
        <v>NA</v>
      </c>
      <c r="AC435" s="29" t="str">
        <f t="shared" si="179"/>
        <v>NA</v>
      </c>
      <c r="AD435" s="29" t="str">
        <f t="shared" si="180"/>
        <v>NA</v>
      </c>
      <c r="AE435" s="29" t="str">
        <f t="shared" si="181"/>
        <v>NA</v>
      </c>
      <c r="AF435" s="29" t="str">
        <f t="shared" si="182"/>
        <v>NA</v>
      </c>
      <c r="AG435" s="29" t="str">
        <f t="shared" si="183"/>
        <v>NA</v>
      </c>
      <c r="AH435" s="29" t="str">
        <f t="shared" si="184"/>
        <v>NA</v>
      </c>
    </row>
    <row r="436" customHeight="1" spans="1:34">
      <c r="A436" s="12" t="s">
        <v>1043</v>
      </c>
      <c r="F436" s="24">
        <f t="shared" si="166"/>
        <v>0</v>
      </c>
      <c r="G436" s="24" t="e">
        <f t="shared" si="165"/>
        <v>#DIV/0!</v>
      </c>
      <c r="Q436" s="29" t="str">
        <f t="shared" si="167"/>
        <v>NA</v>
      </c>
      <c r="R436" s="29" t="str">
        <f t="shared" si="168"/>
        <v>NA</v>
      </c>
      <c r="S436" s="29" t="str">
        <f t="shared" si="169"/>
        <v>NA</v>
      </c>
      <c r="T436" s="29" t="str">
        <f t="shared" si="170"/>
        <v>NA</v>
      </c>
      <c r="U436" s="29" t="str">
        <f t="shared" si="171"/>
        <v>NA</v>
      </c>
      <c r="V436" s="29" t="str">
        <f t="shared" si="172"/>
        <v>NA</v>
      </c>
      <c r="W436" s="29" t="str">
        <f t="shared" si="173"/>
        <v>NA</v>
      </c>
      <c r="X436" s="29" t="str">
        <f t="shared" si="174"/>
        <v>NA</v>
      </c>
      <c r="Y436" s="29" t="str">
        <f t="shared" si="175"/>
        <v>NA</v>
      </c>
      <c r="Z436" s="29" t="str">
        <f t="shared" si="176"/>
        <v>NA</v>
      </c>
      <c r="AA436" s="29" t="str">
        <f t="shared" si="177"/>
        <v>NA</v>
      </c>
      <c r="AB436" s="29" t="str">
        <f t="shared" si="178"/>
        <v>NA</v>
      </c>
      <c r="AC436" s="29" t="str">
        <f t="shared" si="179"/>
        <v>NA</v>
      </c>
      <c r="AD436" s="29" t="str">
        <f t="shared" si="180"/>
        <v>NA</v>
      </c>
      <c r="AE436" s="29" t="str">
        <f t="shared" si="181"/>
        <v>NA</v>
      </c>
      <c r="AF436" s="29" t="str">
        <f t="shared" si="182"/>
        <v>NA</v>
      </c>
      <c r="AG436" s="29" t="str">
        <f t="shared" si="183"/>
        <v>NA</v>
      </c>
      <c r="AH436" s="29" t="str">
        <f t="shared" si="184"/>
        <v>NA</v>
      </c>
    </row>
    <row r="437" customHeight="1" spans="1:34">
      <c r="A437" s="12" t="s">
        <v>1043</v>
      </c>
      <c r="F437" s="24">
        <f t="shared" si="166"/>
        <v>0</v>
      </c>
      <c r="G437" s="24" t="e">
        <f t="shared" si="165"/>
        <v>#DIV/0!</v>
      </c>
      <c r="Q437" s="29" t="str">
        <f t="shared" si="167"/>
        <v>NA</v>
      </c>
      <c r="R437" s="29" t="str">
        <f t="shared" si="168"/>
        <v>NA</v>
      </c>
      <c r="S437" s="29" t="str">
        <f t="shared" si="169"/>
        <v>NA</v>
      </c>
      <c r="T437" s="29" t="str">
        <f t="shared" si="170"/>
        <v>NA</v>
      </c>
      <c r="U437" s="29" t="str">
        <f t="shared" si="171"/>
        <v>NA</v>
      </c>
      <c r="V437" s="29" t="str">
        <f t="shared" si="172"/>
        <v>NA</v>
      </c>
      <c r="W437" s="29" t="str">
        <f t="shared" si="173"/>
        <v>NA</v>
      </c>
      <c r="X437" s="29" t="str">
        <f t="shared" si="174"/>
        <v>NA</v>
      </c>
      <c r="Y437" s="29" t="str">
        <f t="shared" si="175"/>
        <v>NA</v>
      </c>
      <c r="Z437" s="29" t="str">
        <f t="shared" si="176"/>
        <v>NA</v>
      </c>
      <c r="AA437" s="29" t="str">
        <f t="shared" si="177"/>
        <v>NA</v>
      </c>
      <c r="AB437" s="29" t="str">
        <f t="shared" si="178"/>
        <v>NA</v>
      </c>
      <c r="AC437" s="29" t="str">
        <f t="shared" si="179"/>
        <v>NA</v>
      </c>
      <c r="AD437" s="29" t="str">
        <f t="shared" si="180"/>
        <v>NA</v>
      </c>
      <c r="AE437" s="29" t="str">
        <f t="shared" si="181"/>
        <v>NA</v>
      </c>
      <c r="AF437" s="29" t="str">
        <f t="shared" si="182"/>
        <v>NA</v>
      </c>
      <c r="AG437" s="29" t="str">
        <f t="shared" si="183"/>
        <v>NA</v>
      </c>
      <c r="AH437" s="29" t="str">
        <f t="shared" si="184"/>
        <v>NA</v>
      </c>
    </row>
    <row r="438" customHeight="1" spans="1:34">
      <c r="A438" s="12" t="s">
        <v>1043</v>
      </c>
      <c r="F438" s="24">
        <f t="shared" si="166"/>
        <v>0</v>
      </c>
      <c r="G438" s="24" t="e">
        <f t="shared" si="165"/>
        <v>#DIV/0!</v>
      </c>
      <c r="Q438" s="29" t="str">
        <f t="shared" si="167"/>
        <v>NA</v>
      </c>
      <c r="R438" s="29" t="str">
        <f t="shared" si="168"/>
        <v>NA</v>
      </c>
      <c r="S438" s="29" t="str">
        <f t="shared" si="169"/>
        <v>NA</v>
      </c>
      <c r="T438" s="29" t="str">
        <f t="shared" si="170"/>
        <v>NA</v>
      </c>
      <c r="U438" s="29" t="str">
        <f t="shared" si="171"/>
        <v>NA</v>
      </c>
      <c r="V438" s="29" t="str">
        <f t="shared" si="172"/>
        <v>NA</v>
      </c>
      <c r="W438" s="29" t="str">
        <f t="shared" si="173"/>
        <v>NA</v>
      </c>
      <c r="X438" s="29" t="str">
        <f t="shared" si="174"/>
        <v>NA</v>
      </c>
      <c r="Y438" s="29" t="str">
        <f t="shared" si="175"/>
        <v>NA</v>
      </c>
      <c r="Z438" s="29" t="str">
        <f t="shared" si="176"/>
        <v>NA</v>
      </c>
      <c r="AA438" s="29" t="str">
        <f t="shared" si="177"/>
        <v>NA</v>
      </c>
      <c r="AB438" s="29" t="str">
        <f t="shared" si="178"/>
        <v>NA</v>
      </c>
      <c r="AC438" s="29" t="str">
        <f t="shared" si="179"/>
        <v>NA</v>
      </c>
      <c r="AD438" s="29" t="str">
        <f t="shared" si="180"/>
        <v>NA</v>
      </c>
      <c r="AE438" s="29" t="str">
        <f t="shared" si="181"/>
        <v>NA</v>
      </c>
      <c r="AF438" s="29" t="str">
        <f t="shared" si="182"/>
        <v>NA</v>
      </c>
      <c r="AG438" s="29" t="str">
        <f t="shared" si="183"/>
        <v>NA</v>
      </c>
      <c r="AH438" s="29" t="str">
        <f t="shared" si="184"/>
        <v>NA</v>
      </c>
    </row>
    <row r="439" customHeight="1" spans="1:34">
      <c r="A439" s="12" t="s">
        <v>1043</v>
      </c>
      <c r="F439" s="24">
        <f t="shared" si="166"/>
        <v>0</v>
      </c>
      <c r="G439" s="24" t="e">
        <f t="shared" si="165"/>
        <v>#DIV/0!</v>
      </c>
      <c r="Q439" s="29" t="str">
        <f t="shared" si="167"/>
        <v>NA</v>
      </c>
      <c r="R439" s="29" t="str">
        <f t="shared" si="168"/>
        <v>NA</v>
      </c>
      <c r="S439" s="29" t="str">
        <f t="shared" si="169"/>
        <v>NA</v>
      </c>
      <c r="T439" s="29" t="str">
        <f t="shared" si="170"/>
        <v>NA</v>
      </c>
      <c r="U439" s="29" t="str">
        <f t="shared" si="171"/>
        <v>NA</v>
      </c>
      <c r="V439" s="29" t="str">
        <f t="shared" si="172"/>
        <v>NA</v>
      </c>
      <c r="W439" s="29" t="str">
        <f t="shared" si="173"/>
        <v>NA</v>
      </c>
      <c r="X439" s="29" t="str">
        <f t="shared" si="174"/>
        <v>NA</v>
      </c>
      <c r="Y439" s="29" t="str">
        <f t="shared" si="175"/>
        <v>NA</v>
      </c>
      <c r="Z439" s="29" t="str">
        <f t="shared" si="176"/>
        <v>NA</v>
      </c>
      <c r="AA439" s="29" t="str">
        <f t="shared" si="177"/>
        <v>NA</v>
      </c>
      <c r="AB439" s="29" t="str">
        <f t="shared" si="178"/>
        <v>NA</v>
      </c>
      <c r="AC439" s="29" t="str">
        <f t="shared" si="179"/>
        <v>NA</v>
      </c>
      <c r="AD439" s="29" t="str">
        <f t="shared" si="180"/>
        <v>NA</v>
      </c>
      <c r="AE439" s="29" t="str">
        <f t="shared" si="181"/>
        <v>NA</v>
      </c>
      <c r="AF439" s="29" t="str">
        <f t="shared" si="182"/>
        <v>NA</v>
      </c>
      <c r="AG439" s="29" t="str">
        <f t="shared" si="183"/>
        <v>NA</v>
      </c>
      <c r="AH439" s="29" t="str">
        <f t="shared" si="184"/>
        <v>NA</v>
      </c>
    </row>
    <row r="440" customHeight="1" spans="1:34">
      <c r="A440" s="12" t="s">
        <v>1043</v>
      </c>
      <c r="F440" s="24">
        <f t="shared" si="166"/>
        <v>0</v>
      </c>
      <c r="G440" s="24" t="e">
        <f t="shared" si="165"/>
        <v>#DIV/0!</v>
      </c>
      <c r="Q440" s="29" t="str">
        <f t="shared" si="167"/>
        <v>NA</v>
      </c>
      <c r="R440" s="29" t="str">
        <f t="shared" si="168"/>
        <v>NA</v>
      </c>
      <c r="S440" s="29" t="str">
        <f t="shared" si="169"/>
        <v>NA</v>
      </c>
      <c r="T440" s="29" t="str">
        <f t="shared" si="170"/>
        <v>NA</v>
      </c>
      <c r="U440" s="29" t="str">
        <f t="shared" si="171"/>
        <v>NA</v>
      </c>
      <c r="V440" s="29" t="str">
        <f t="shared" si="172"/>
        <v>NA</v>
      </c>
      <c r="W440" s="29" t="str">
        <f t="shared" si="173"/>
        <v>NA</v>
      </c>
      <c r="X440" s="29" t="str">
        <f t="shared" si="174"/>
        <v>NA</v>
      </c>
      <c r="Y440" s="29" t="str">
        <f t="shared" si="175"/>
        <v>NA</v>
      </c>
      <c r="Z440" s="29" t="str">
        <f t="shared" si="176"/>
        <v>NA</v>
      </c>
      <c r="AA440" s="29" t="str">
        <f t="shared" si="177"/>
        <v>NA</v>
      </c>
      <c r="AB440" s="29" t="str">
        <f t="shared" si="178"/>
        <v>NA</v>
      </c>
      <c r="AC440" s="29" t="str">
        <f t="shared" si="179"/>
        <v>NA</v>
      </c>
      <c r="AD440" s="29" t="str">
        <f t="shared" si="180"/>
        <v>NA</v>
      </c>
      <c r="AE440" s="29" t="str">
        <f t="shared" si="181"/>
        <v>NA</v>
      </c>
      <c r="AF440" s="29" t="str">
        <f t="shared" si="182"/>
        <v>NA</v>
      </c>
      <c r="AG440" s="29" t="str">
        <f t="shared" si="183"/>
        <v>NA</v>
      </c>
      <c r="AH440" s="29" t="str">
        <f t="shared" si="184"/>
        <v>NA</v>
      </c>
    </row>
    <row r="441" customHeight="1" spans="1:34">
      <c r="A441" s="12" t="s">
        <v>1043</v>
      </c>
      <c r="F441" s="24">
        <f t="shared" si="166"/>
        <v>0</v>
      </c>
      <c r="G441" s="24" t="e">
        <f t="shared" si="165"/>
        <v>#DIV/0!</v>
      </c>
      <c r="Q441" s="29" t="str">
        <f t="shared" si="167"/>
        <v>NA</v>
      </c>
      <c r="R441" s="29" t="str">
        <f t="shared" si="168"/>
        <v>NA</v>
      </c>
      <c r="S441" s="29" t="str">
        <f t="shared" si="169"/>
        <v>NA</v>
      </c>
      <c r="T441" s="29" t="str">
        <f t="shared" si="170"/>
        <v>NA</v>
      </c>
      <c r="U441" s="29" t="str">
        <f t="shared" si="171"/>
        <v>NA</v>
      </c>
      <c r="V441" s="29" t="str">
        <f t="shared" si="172"/>
        <v>NA</v>
      </c>
      <c r="W441" s="29" t="str">
        <f t="shared" si="173"/>
        <v>NA</v>
      </c>
      <c r="X441" s="29" t="str">
        <f t="shared" si="174"/>
        <v>NA</v>
      </c>
      <c r="Y441" s="29" t="str">
        <f t="shared" si="175"/>
        <v>NA</v>
      </c>
      <c r="Z441" s="29" t="str">
        <f t="shared" si="176"/>
        <v>NA</v>
      </c>
      <c r="AA441" s="29" t="str">
        <f t="shared" si="177"/>
        <v>NA</v>
      </c>
      <c r="AB441" s="29" t="str">
        <f t="shared" si="178"/>
        <v>NA</v>
      </c>
      <c r="AC441" s="29" t="str">
        <f t="shared" si="179"/>
        <v>NA</v>
      </c>
      <c r="AD441" s="29" t="str">
        <f t="shared" si="180"/>
        <v>NA</v>
      </c>
      <c r="AE441" s="29" t="str">
        <f t="shared" si="181"/>
        <v>NA</v>
      </c>
      <c r="AF441" s="29" t="str">
        <f t="shared" si="182"/>
        <v>NA</v>
      </c>
      <c r="AG441" s="29" t="str">
        <f t="shared" si="183"/>
        <v>NA</v>
      </c>
      <c r="AH441" s="29" t="str">
        <f t="shared" si="184"/>
        <v>NA</v>
      </c>
    </row>
    <row r="442" customHeight="1" spans="1:34">
      <c r="A442" s="12" t="s">
        <v>1043</v>
      </c>
      <c r="F442" s="24">
        <f t="shared" si="166"/>
        <v>0</v>
      </c>
      <c r="G442" s="24" t="e">
        <f t="shared" si="165"/>
        <v>#DIV/0!</v>
      </c>
      <c r="Q442" s="29" t="str">
        <f t="shared" si="167"/>
        <v>NA</v>
      </c>
      <c r="R442" s="29" t="str">
        <f t="shared" si="168"/>
        <v>NA</v>
      </c>
      <c r="S442" s="29" t="str">
        <f t="shared" si="169"/>
        <v>NA</v>
      </c>
      <c r="T442" s="29" t="str">
        <f t="shared" si="170"/>
        <v>NA</v>
      </c>
      <c r="U442" s="29" t="str">
        <f t="shared" si="171"/>
        <v>NA</v>
      </c>
      <c r="V442" s="29" t="str">
        <f t="shared" si="172"/>
        <v>NA</v>
      </c>
      <c r="W442" s="29" t="str">
        <f t="shared" si="173"/>
        <v>NA</v>
      </c>
      <c r="X442" s="29" t="str">
        <f t="shared" si="174"/>
        <v>NA</v>
      </c>
      <c r="Y442" s="29" t="str">
        <f t="shared" si="175"/>
        <v>NA</v>
      </c>
      <c r="Z442" s="29" t="str">
        <f t="shared" si="176"/>
        <v>NA</v>
      </c>
      <c r="AA442" s="29" t="str">
        <f t="shared" si="177"/>
        <v>NA</v>
      </c>
      <c r="AB442" s="29" t="str">
        <f t="shared" si="178"/>
        <v>NA</v>
      </c>
      <c r="AC442" s="29" t="str">
        <f t="shared" si="179"/>
        <v>NA</v>
      </c>
      <c r="AD442" s="29" t="str">
        <f t="shared" si="180"/>
        <v>NA</v>
      </c>
      <c r="AE442" s="29" t="str">
        <f t="shared" si="181"/>
        <v>NA</v>
      </c>
      <c r="AF442" s="29" t="str">
        <f t="shared" si="182"/>
        <v>NA</v>
      </c>
      <c r="AG442" s="29" t="str">
        <f t="shared" si="183"/>
        <v>NA</v>
      </c>
      <c r="AH442" s="29" t="str">
        <f t="shared" si="184"/>
        <v>NA</v>
      </c>
    </row>
    <row r="443" customHeight="1" spans="1:34">
      <c r="A443" s="12" t="s">
        <v>1043</v>
      </c>
      <c r="F443" s="24">
        <f t="shared" si="166"/>
        <v>0</v>
      </c>
      <c r="G443" s="24" t="e">
        <f t="shared" si="165"/>
        <v>#DIV/0!</v>
      </c>
      <c r="Q443" s="29" t="str">
        <f t="shared" si="167"/>
        <v>NA</v>
      </c>
      <c r="R443" s="29" t="str">
        <f t="shared" si="168"/>
        <v>NA</v>
      </c>
      <c r="S443" s="29" t="str">
        <f t="shared" si="169"/>
        <v>NA</v>
      </c>
      <c r="T443" s="29" t="str">
        <f t="shared" si="170"/>
        <v>NA</v>
      </c>
      <c r="U443" s="29" t="str">
        <f t="shared" si="171"/>
        <v>NA</v>
      </c>
      <c r="V443" s="29" t="str">
        <f t="shared" si="172"/>
        <v>NA</v>
      </c>
      <c r="W443" s="29" t="str">
        <f t="shared" si="173"/>
        <v>NA</v>
      </c>
      <c r="X443" s="29" t="str">
        <f t="shared" si="174"/>
        <v>NA</v>
      </c>
      <c r="Y443" s="29" t="str">
        <f t="shared" si="175"/>
        <v>NA</v>
      </c>
      <c r="Z443" s="29" t="str">
        <f t="shared" si="176"/>
        <v>NA</v>
      </c>
      <c r="AA443" s="29" t="str">
        <f t="shared" si="177"/>
        <v>NA</v>
      </c>
      <c r="AB443" s="29" t="str">
        <f t="shared" si="178"/>
        <v>NA</v>
      </c>
      <c r="AC443" s="29" t="str">
        <f t="shared" si="179"/>
        <v>NA</v>
      </c>
      <c r="AD443" s="29" t="str">
        <f t="shared" si="180"/>
        <v>NA</v>
      </c>
      <c r="AE443" s="29" t="str">
        <f t="shared" si="181"/>
        <v>NA</v>
      </c>
      <c r="AF443" s="29" t="str">
        <f t="shared" si="182"/>
        <v>NA</v>
      </c>
      <c r="AG443" s="29" t="str">
        <f t="shared" si="183"/>
        <v>NA</v>
      </c>
      <c r="AH443" s="29" t="str">
        <f t="shared" si="184"/>
        <v>NA</v>
      </c>
    </row>
    <row r="444" customHeight="1" spans="1:34">
      <c r="A444" s="12" t="s">
        <v>1043</v>
      </c>
      <c r="F444" s="24">
        <f t="shared" si="166"/>
        <v>0</v>
      </c>
      <c r="G444" s="24" t="e">
        <f t="shared" si="165"/>
        <v>#DIV/0!</v>
      </c>
      <c r="Q444" s="29" t="str">
        <f t="shared" si="167"/>
        <v>NA</v>
      </c>
      <c r="R444" s="29" t="str">
        <f t="shared" si="168"/>
        <v>NA</v>
      </c>
      <c r="S444" s="29" t="str">
        <f t="shared" si="169"/>
        <v>NA</v>
      </c>
      <c r="T444" s="29" t="str">
        <f t="shared" si="170"/>
        <v>NA</v>
      </c>
      <c r="U444" s="29" t="str">
        <f t="shared" si="171"/>
        <v>NA</v>
      </c>
      <c r="V444" s="29" t="str">
        <f t="shared" si="172"/>
        <v>NA</v>
      </c>
      <c r="W444" s="29" t="str">
        <f t="shared" si="173"/>
        <v>NA</v>
      </c>
      <c r="X444" s="29" t="str">
        <f t="shared" si="174"/>
        <v>NA</v>
      </c>
      <c r="Y444" s="29" t="str">
        <f t="shared" si="175"/>
        <v>NA</v>
      </c>
      <c r="Z444" s="29" t="str">
        <f t="shared" si="176"/>
        <v>NA</v>
      </c>
      <c r="AA444" s="29" t="str">
        <f t="shared" si="177"/>
        <v>NA</v>
      </c>
      <c r="AB444" s="29" t="str">
        <f t="shared" si="178"/>
        <v>NA</v>
      </c>
      <c r="AC444" s="29" t="str">
        <f t="shared" si="179"/>
        <v>NA</v>
      </c>
      <c r="AD444" s="29" t="str">
        <f t="shared" si="180"/>
        <v>NA</v>
      </c>
      <c r="AE444" s="29" t="str">
        <f t="shared" si="181"/>
        <v>NA</v>
      </c>
      <c r="AF444" s="29" t="str">
        <f t="shared" si="182"/>
        <v>NA</v>
      </c>
      <c r="AG444" s="29" t="str">
        <f t="shared" si="183"/>
        <v>NA</v>
      </c>
      <c r="AH444" s="29" t="str">
        <f t="shared" si="184"/>
        <v>NA</v>
      </c>
    </row>
    <row r="445" customHeight="1" spans="1:34">
      <c r="A445" s="12" t="s">
        <v>1043</v>
      </c>
      <c r="F445" s="24">
        <f t="shared" si="166"/>
        <v>0</v>
      </c>
      <c r="G445" s="24" t="e">
        <f t="shared" si="165"/>
        <v>#DIV/0!</v>
      </c>
      <c r="Q445" s="29" t="str">
        <f t="shared" si="167"/>
        <v>NA</v>
      </c>
      <c r="R445" s="29" t="str">
        <f t="shared" si="168"/>
        <v>NA</v>
      </c>
      <c r="S445" s="29" t="str">
        <f t="shared" si="169"/>
        <v>NA</v>
      </c>
      <c r="T445" s="29" t="str">
        <f t="shared" si="170"/>
        <v>NA</v>
      </c>
      <c r="U445" s="29" t="str">
        <f t="shared" si="171"/>
        <v>NA</v>
      </c>
      <c r="V445" s="29" t="str">
        <f t="shared" si="172"/>
        <v>NA</v>
      </c>
      <c r="W445" s="29" t="str">
        <f t="shared" si="173"/>
        <v>NA</v>
      </c>
      <c r="X445" s="29" t="str">
        <f t="shared" si="174"/>
        <v>NA</v>
      </c>
      <c r="Y445" s="29" t="str">
        <f t="shared" si="175"/>
        <v>NA</v>
      </c>
      <c r="Z445" s="29" t="str">
        <f t="shared" si="176"/>
        <v>NA</v>
      </c>
      <c r="AA445" s="29" t="str">
        <f t="shared" si="177"/>
        <v>NA</v>
      </c>
      <c r="AB445" s="29" t="str">
        <f t="shared" si="178"/>
        <v>NA</v>
      </c>
      <c r="AC445" s="29" t="str">
        <f t="shared" si="179"/>
        <v>NA</v>
      </c>
      <c r="AD445" s="29" t="str">
        <f t="shared" si="180"/>
        <v>NA</v>
      </c>
      <c r="AE445" s="29" t="str">
        <f t="shared" si="181"/>
        <v>NA</v>
      </c>
      <c r="AF445" s="29" t="str">
        <f t="shared" si="182"/>
        <v>NA</v>
      </c>
      <c r="AG445" s="29" t="str">
        <f t="shared" si="183"/>
        <v>NA</v>
      </c>
      <c r="AH445" s="29" t="str">
        <f t="shared" si="184"/>
        <v>NA</v>
      </c>
    </row>
    <row r="446" customHeight="1" spans="1:34">
      <c r="A446" s="12" t="s">
        <v>1043</v>
      </c>
      <c r="F446" s="24">
        <f t="shared" si="166"/>
        <v>0</v>
      </c>
      <c r="G446" s="24" t="e">
        <f t="shared" si="165"/>
        <v>#DIV/0!</v>
      </c>
      <c r="Q446" s="29" t="str">
        <f t="shared" si="167"/>
        <v>NA</v>
      </c>
      <c r="R446" s="29" t="str">
        <f t="shared" si="168"/>
        <v>NA</v>
      </c>
      <c r="S446" s="29" t="str">
        <f t="shared" si="169"/>
        <v>NA</v>
      </c>
      <c r="T446" s="29" t="str">
        <f t="shared" si="170"/>
        <v>NA</v>
      </c>
      <c r="U446" s="29" t="str">
        <f t="shared" si="171"/>
        <v>NA</v>
      </c>
      <c r="V446" s="29" t="str">
        <f t="shared" si="172"/>
        <v>NA</v>
      </c>
      <c r="W446" s="29" t="str">
        <f t="shared" si="173"/>
        <v>NA</v>
      </c>
      <c r="X446" s="29" t="str">
        <f t="shared" si="174"/>
        <v>NA</v>
      </c>
      <c r="Y446" s="29" t="str">
        <f t="shared" si="175"/>
        <v>NA</v>
      </c>
      <c r="Z446" s="29" t="str">
        <f t="shared" si="176"/>
        <v>NA</v>
      </c>
      <c r="AA446" s="29" t="str">
        <f t="shared" si="177"/>
        <v>NA</v>
      </c>
      <c r="AB446" s="29" t="str">
        <f t="shared" si="178"/>
        <v>NA</v>
      </c>
      <c r="AC446" s="29" t="str">
        <f t="shared" si="179"/>
        <v>NA</v>
      </c>
      <c r="AD446" s="29" t="str">
        <f t="shared" si="180"/>
        <v>NA</v>
      </c>
      <c r="AE446" s="29" t="str">
        <f t="shared" si="181"/>
        <v>NA</v>
      </c>
      <c r="AF446" s="29" t="str">
        <f t="shared" si="182"/>
        <v>NA</v>
      </c>
      <c r="AG446" s="29" t="str">
        <f t="shared" si="183"/>
        <v>NA</v>
      </c>
      <c r="AH446" s="29" t="str">
        <f t="shared" si="184"/>
        <v>NA</v>
      </c>
    </row>
    <row r="447" customHeight="1" spans="1:34">
      <c r="A447" s="12" t="s">
        <v>1043</v>
      </c>
      <c r="F447" s="24">
        <f t="shared" si="166"/>
        <v>0</v>
      </c>
      <c r="G447" s="24" t="e">
        <f t="shared" si="165"/>
        <v>#DIV/0!</v>
      </c>
      <c r="Q447" s="29" t="str">
        <f t="shared" si="167"/>
        <v>NA</v>
      </c>
      <c r="R447" s="29" t="str">
        <f t="shared" si="168"/>
        <v>NA</v>
      </c>
      <c r="S447" s="29" t="str">
        <f t="shared" si="169"/>
        <v>NA</v>
      </c>
      <c r="T447" s="29" t="str">
        <f t="shared" si="170"/>
        <v>NA</v>
      </c>
      <c r="U447" s="29" t="str">
        <f t="shared" si="171"/>
        <v>NA</v>
      </c>
      <c r="V447" s="29" t="str">
        <f t="shared" si="172"/>
        <v>NA</v>
      </c>
      <c r="W447" s="29" t="str">
        <f t="shared" si="173"/>
        <v>NA</v>
      </c>
      <c r="X447" s="29" t="str">
        <f t="shared" si="174"/>
        <v>NA</v>
      </c>
      <c r="Y447" s="29" t="str">
        <f t="shared" si="175"/>
        <v>NA</v>
      </c>
      <c r="Z447" s="29" t="str">
        <f t="shared" si="176"/>
        <v>NA</v>
      </c>
      <c r="AA447" s="29" t="str">
        <f t="shared" si="177"/>
        <v>NA</v>
      </c>
      <c r="AB447" s="29" t="str">
        <f t="shared" si="178"/>
        <v>NA</v>
      </c>
      <c r="AC447" s="29" t="str">
        <f t="shared" si="179"/>
        <v>NA</v>
      </c>
      <c r="AD447" s="29" t="str">
        <f t="shared" si="180"/>
        <v>NA</v>
      </c>
      <c r="AE447" s="29" t="str">
        <f t="shared" si="181"/>
        <v>NA</v>
      </c>
      <c r="AF447" s="29" t="str">
        <f t="shared" si="182"/>
        <v>NA</v>
      </c>
      <c r="AG447" s="29" t="str">
        <f t="shared" si="183"/>
        <v>NA</v>
      </c>
      <c r="AH447" s="29" t="str">
        <f t="shared" si="184"/>
        <v>NA</v>
      </c>
    </row>
    <row r="448" customHeight="1" spans="1:34">
      <c r="A448" s="12" t="s">
        <v>1043</v>
      </c>
      <c r="F448" s="24">
        <f t="shared" si="166"/>
        <v>0</v>
      </c>
      <c r="G448" s="24" t="e">
        <f t="shared" si="165"/>
        <v>#DIV/0!</v>
      </c>
      <c r="Q448" s="29" t="str">
        <f t="shared" si="167"/>
        <v>NA</v>
      </c>
      <c r="R448" s="29" t="str">
        <f t="shared" si="168"/>
        <v>NA</v>
      </c>
      <c r="S448" s="29" t="str">
        <f t="shared" si="169"/>
        <v>NA</v>
      </c>
      <c r="T448" s="29" t="str">
        <f t="shared" si="170"/>
        <v>NA</v>
      </c>
      <c r="U448" s="29" t="str">
        <f t="shared" si="171"/>
        <v>NA</v>
      </c>
      <c r="V448" s="29" t="str">
        <f t="shared" si="172"/>
        <v>NA</v>
      </c>
      <c r="W448" s="29" t="str">
        <f t="shared" si="173"/>
        <v>NA</v>
      </c>
      <c r="X448" s="29" t="str">
        <f t="shared" si="174"/>
        <v>NA</v>
      </c>
      <c r="Y448" s="29" t="str">
        <f t="shared" si="175"/>
        <v>NA</v>
      </c>
      <c r="Z448" s="29" t="str">
        <f t="shared" si="176"/>
        <v>NA</v>
      </c>
      <c r="AA448" s="29" t="str">
        <f t="shared" si="177"/>
        <v>NA</v>
      </c>
      <c r="AB448" s="29" t="str">
        <f t="shared" si="178"/>
        <v>NA</v>
      </c>
      <c r="AC448" s="29" t="str">
        <f t="shared" si="179"/>
        <v>NA</v>
      </c>
      <c r="AD448" s="29" t="str">
        <f t="shared" si="180"/>
        <v>NA</v>
      </c>
      <c r="AE448" s="29" t="str">
        <f t="shared" si="181"/>
        <v>NA</v>
      </c>
      <c r="AF448" s="29" t="str">
        <f t="shared" si="182"/>
        <v>NA</v>
      </c>
      <c r="AG448" s="29" t="str">
        <f t="shared" si="183"/>
        <v>NA</v>
      </c>
      <c r="AH448" s="29" t="str">
        <f t="shared" si="184"/>
        <v>NA</v>
      </c>
    </row>
    <row r="449" customHeight="1" spans="1:34">
      <c r="A449" s="12" t="s">
        <v>1043</v>
      </c>
      <c r="F449" s="24">
        <f t="shared" si="166"/>
        <v>0</v>
      </c>
      <c r="G449" s="24" t="e">
        <f t="shared" si="165"/>
        <v>#DIV/0!</v>
      </c>
      <c r="Q449" s="29" t="str">
        <f t="shared" si="167"/>
        <v>NA</v>
      </c>
      <c r="R449" s="29" t="str">
        <f t="shared" si="168"/>
        <v>NA</v>
      </c>
      <c r="S449" s="29" t="str">
        <f t="shared" si="169"/>
        <v>NA</v>
      </c>
      <c r="T449" s="29" t="str">
        <f t="shared" si="170"/>
        <v>NA</v>
      </c>
      <c r="U449" s="29" t="str">
        <f t="shared" si="171"/>
        <v>NA</v>
      </c>
      <c r="V449" s="29" t="str">
        <f t="shared" si="172"/>
        <v>NA</v>
      </c>
      <c r="W449" s="29" t="str">
        <f t="shared" si="173"/>
        <v>NA</v>
      </c>
      <c r="X449" s="29" t="str">
        <f t="shared" si="174"/>
        <v>NA</v>
      </c>
      <c r="Y449" s="29" t="str">
        <f t="shared" si="175"/>
        <v>NA</v>
      </c>
      <c r="Z449" s="29" t="str">
        <f t="shared" si="176"/>
        <v>NA</v>
      </c>
      <c r="AA449" s="29" t="str">
        <f t="shared" si="177"/>
        <v>NA</v>
      </c>
      <c r="AB449" s="29" t="str">
        <f t="shared" si="178"/>
        <v>NA</v>
      </c>
      <c r="AC449" s="29" t="str">
        <f t="shared" si="179"/>
        <v>NA</v>
      </c>
      <c r="AD449" s="29" t="str">
        <f t="shared" si="180"/>
        <v>NA</v>
      </c>
      <c r="AE449" s="29" t="str">
        <f t="shared" si="181"/>
        <v>NA</v>
      </c>
      <c r="AF449" s="29" t="str">
        <f t="shared" si="182"/>
        <v>NA</v>
      </c>
      <c r="AG449" s="29" t="str">
        <f t="shared" si="183"/>
        <v>NA</v>
      </c>
      <c r="AH449" s="29" t="str">
        <f t="shared" si="184"/>
        <v>NA</v>
      </c>
    </row>
    <row r="450" customHeight="1" spans="1:34">
      <c r="A450" s="12" t="s">
        <v>1043</v>
      </c>
      <c r="F450" s="24">
        <f t="shared" si="166"/>
        <v>0</v>
      </c>
      <c r="G450" s="24" t="e">
        <f t="shared" si="165"/>
        <v>#DIV/0!</v>
      </c>
      <c r="Q450" s="29" t="str">
        <f t="shared" si="167"/>
        <v>NA</v>
      </c>
      <c r="R450" s="29" t="str">
        <f t="shared" si="168"/>
        <v>NA</v>
      </c>
      <c r="S450" s="29" t="str">
        <f t="shared" si="169"/>
        <v>NA</v>
      </c>
      <c r="T450" s="29" t="str">
        <f t="shared" si="170"/>
        <v>NA</v>
      </c>
      <c r="U450" s="29" t="str">
        <f t="shared" si="171"/>
        <v>NA</v>
      </c>
      <c r="V450" s="29" t="str">
        <f t="shared" si="172"/>
        <v>NA</v>
      </c>
      <c r="W450" s="29" t="str">
        <f t="shared" si="173"/>
        <v>NA</v>
      </c>
      <c r="X450" s="29" t="str">
        <f t="shared" si="174"/>
        <v>NA</v>
      </c>
      <c r="Y450" s="29" t="str">
        <f t="shared" si="175"/>
        <v>NA</v>
      </c>
      <c r="Z450" s="29" t="str">
        <f t="shared" si="176"/>
        <v>NA</v>
      </c>
      <c r="AA450" s="29" t="str">
        <f t="shared" si="177"/>
        <v>NA</v>
      </c>
      <c r="AB450" s="29" t="str">
        <f t="shared" si="178"/>
        <v>NA</v>
      </c>
      <c r="AC450" s="29" t="str">
        <f t="shared" si="179"/>
        <v>NA</v>
      </c>
      <c r="AD450" s="29" t="str">
        <f t="shared" si="180"/>
        <v>NA</v>
      </c>
      <c r="AE450" s="29" t="str">
        <f t="shared" si="181"/>
        <v>NA</v>
      </c>
      <c r="AF450" s="29" t="str">
        <f t="shared" si="182"/>
        <v>NA</v>
      </c>
      <c r="AG450" s="29" t="str">
        <f t="shared" si="183"/>
        <v>NA</v>
      </c>
      <c r="AH450" s="29" t="str">
        <f t="shared" si="184"/>
        <v>NA</v>
      </c>
    </row>
    <row r="451" customHeight="1" spans="1:34">
      <c r="A451" s="12" t="s">
        <v>1043</v>
      </c>
      <c r="F451" s="24">
        <f t="shared" si="166"/>
        <v>0</v>
      </c>
      <c r="G451" s="24" t="e">
        <f t="shared" si="165"/>
        <v>#DIV/0!</v>
      </c>
      <c r="Q451" s="29" t="str">
        <f t="shared" si="167"/>
        <v>NA</v>
      </c>
      <c r="R451" s="29" t="str">
        <f t="shared" si="168"/>
        <v>NA</v>
      </c>
      <c r="S451" s="29" t="str">
        <f t="shared" si="169"/>
        <v>NA</v>
      </c>
      <c r="T451" s="29" t="str">
        <f t="shared" si="170"/>
        <v>NA</v>
      </c>
      <c r="U451" s="29" t="str">
        <f t="shared" si="171"/>
        <v>NA</v>
      </c>
      <c r="V451" s="29" t="str">
        <f t="shared" si="172"/>
        <v>NA</v>
      </c>
      <c r="W451" s="29" t="str">
        <f t="shared" si="173"/>
        <v>NA</v>
      </c>
      <c r="X451" s="29" t="str">
        <f t="shared" si="174"/>
        <v>NA</v>
      </c>
      <c r="Y451" s="29" t="str">
        <f t="shared" si="175"/>
        <v>NA</v>
      </c>
      <c r="Z451" s="29" t="str">
        <f t="shared" si="176"/>
        <v>NA</v>
      </c>
      <c r="AA451" s="29" t="str">
        <f t="shared" si="177"/>
        <v>NA</v>
      </c>
      <c r="AB451" s="29" t="str">
        <f t="shared" si="178"/>
        <v>NA</v>
      </c>
      <c r="AC451" s="29" t="str">
        <f t="shared" si="179"/>
        <v>NA</v>
      </c>
      <c r="AD451" s="29" t="str">
        <f t="shared" si="180"/>
        <v>NA</v>
      </c>
      <c r="AE451" s="29" t="str">
        <f t="shared" si="181"/>
        <v>NA</v>
      </c>
      <c r="AF451" s="29" t="str">
        <f t="shared" si="182"/>
        <v>NA</v>
      </c>
      <c r="AG451" s="29" t="str">
        <f t="shared" si="183"/>
        <v>NA</v>
      </c>
      <c r="AH451" s="29" t="str">
        <f t="shared" si="184"/>
        <v>NA</v>
      </c>
    </row>
    <row r="452" customHeight="1" spans="1:34">
      <c r="A452" s="12" t="s">
        <v>1043</v>
      </c>
      <c r="F452" s="24">
        <f t="shared" si="166"/>
        <v>0</v>
      </c>
      <c r="G452" s="24" t="e">
        <f t="shared" si="165"/>
        <v>#DIV/0!</v>
      </c>
      <c r="Q452" s="29" t="str">
        <f t="shared" si="167"/>
        <v>NA</v>
      </c>
      <c r="R452" s="29" t="str">
        <f t="shared" si="168"/>
        <v>NA</v>
      </c>
      <c r="S452" s="29" t="str">
        <f t="shared" si="169"/>
        <v>NA</v>
      </c>
      <c r="T452" s="29" t="str">
        <f t="shared" si="170"/>
        <v>NA</v>
      </c>
      <c r="U452" s="29" t="str">
        <f t="shared" si="171"/>
        <v>NA</v>
      </c>
      <c r="V452" s="29" t="str">
        <f t="shared" si="172"/>
        <v>NA</v>
      </c>
      <c r="W452" s="29" t="str">
        <f t="shared" si="173"/>
        <v>NA</v>
      </c>
      <c r="X452" s="29" t="str">
        <f t="shared" si="174"/>
        <v>NA</v>
      </c>
      <c r="Y452" s="29" t="str">
        <f t="shared" si="175"/>
        <v>NA</v>
      </c>
      <c r="Z452" s="29" t="str">
        <f t="shared" si="176"/>
        <v>NA</v>
      </c>
      <c r="AA452" s="29" t="str">
        <f t="shared" si="177"/>
        <v>NA</v>
      </c>
      <c r="AB452" s="29" t="str">
        <f t="shared" si="178"/>
        <v>NA</v>
      </c>
      <c r="AC452" s="29" t="str">
        <f t="shared" si="179"/>
        <v>NA</v>
      </c>
      <c r="AD452" s="29" t="str">
        <f t="shared" si="180"/>
        <v>NA</v>
      </c>
      <c r="AE452" s="29" t="str">
        <f t="shared" si="181"/>
        <v>NA</v>
      </c>
      <c r="AF452" s="29" t="str">
        <f t="shared" si="182"/>
        <v>NA</v>
      </c>
      <c r="AG452" s="29" t="str">
        <f t="shared" si="183"/>
        <v>NA</v>
      </c>
      <c r="AH452" s="29" t="str">
        <f t="shared" si="184"/>
        <v>NA</v>
      </c>
    </row>
    <row r="453" customHeight="1" spans="1:34">
      <c r="A453" s="12" t="s">
        <v>1043</v>
      </c>
      <c r="F453" s="24">
        <f t="shared" si="166"/>
        <v>0</v>
      </c>
      <c r="G453" s="24" t="e">
        <f t="shared" ref="G453:G516" si="185">B453*D453/C453</f>
        <v>#DIV/0!</v>
      </c>
      <c r="Q453" s="29" t="str">
        <f t="shared" si="167"/>
        <v>NA</v>
      </c>
      <c r="R453" s="29" t="str">
        <f t="shared" si="168"/>
        <v>NA</v>
      </c>
      <c r="S453" s="29" t="str">
        <f t="shared" si="169"/>
        <v>NA</v>
      </c>
      <c r="T453" s="29" t="str">
        <f t="shared" si="170"/>
        <v>NA</v>
      </c>
      <c r="U453" s="29" t="str">
        <f t="shared" si="171"/>
        <v>NA</v>
      </c>
      <c r="V453" s="29" t="str">
        <f t="shared" si="172"/>
        <v>NA</v>
      </c>
      <c r="W453" s="29" t="str">
        <f t="shared" si="173"/>
        <v>NA</v>
      </c>
      <c r="X453" s="29" t="str">
        <f t="shared" si="174"/>
        <v>NA</v>
      </c>
      <c r="Y453" s="29" t="str">
        <f t="shared" si="175"/>
        <v>NA</v>
      </c>
      <c r="Z453" s="29" t="str">
        <f t="shared" si="176"/>
        <v>NA</v>
      </c>
      <c r="AA453" s="29" t="str">
        <f t="shared" si="177"/>
        <v>NA</v>
      </c>
      <c r="AB453" s="29" t="str">
        <f t="shared" si="178"/>
        <v>NA</v>
      </c>
      <c r="AC453" s="29" t="str">
        <f t="shared" si="179"/>
        <v>NA</v>
      </c>
      <c r="AD453" s="29" t="str">
        <f t="shared" si="180"/>
        <v>NA</v>
      </c>
      <c r="AE453" s="29" t="str">
        <f t="shared" si="181"/>
        <v>NA</v>
      </c>
      <c r="AF453" s="29" t="str">
        <f t="shared" si="182"/>
        <v>NA</v>
      </c>
      <c r="AG453" s="29" t="str">
        <f t="shared" si="183"/>
        <v>NA</v>
      </c>
      <c r="AH453" s="29" t="str">
        <f t="shared" si="184"/>
        <v>NA</v>
      </c>
    </row>
    <row r="454" customHeight="1" spans="1:34">
      <c r="A454" s="12" t="s">
        <v>1043</v>
      </c>
      <c r="F454" s="24">
        <f t="shared" ref="F454:F517" si="186">+D454+E454</f>
        <v>0</v>
      </c>
      <c r="G454" s="24" t="e">
        <f t="shared" si="185"/>
        <v>#DIV/0!</v>
      </c>
      <c r="Q454" s="29" t="str">
        <f t="shared" si="167"/>
        <v>NA</v>
      </c>
      <c r="R454" s="29" t="str">
        <f t="shared" si="168"/>
        <v>NA</v>
      </c>
      <c r="S454" s="29" t="str">
        <f t="shared" si="169"/>
        <v>NA</v>
      </c>
      <c r="T454" s="29" t="str">
        <f t="shared" si="170"/>
        <v>NA</v>
      </c>
      <c r="U454" s="29" t="str">
        <f t="shared" si="171"/>
        <v>NA</v>
      </c>
      <c r="V454" s="29" t="str">
        <f t="shared" si="172"/>
        <v>NA</v>
      </c>
      <c r="W454" s="29" t="str">
        <f t="shared" si="173"/>
        <v>NA</v>
      </c>
      <c r="X454" s="29" t="str">
        <f t="shared" si="174"/>
        <v>NA</v>
      </c>
      <c r="Y454" s="29" t="str">
        <f t="shared" si="175"/>
        <v>NA</v>
      </c>
      <c r="Z454" s="29" t="str">
        <f t="shared" si="176"/>
        <v>NA</v>
      </c>
      <c r="AA454" s="29" t="str">
        <f t="shared" si="177"/>
        <v>NA</v>
      </c>
      <c r="AB454" s="29" t="str">
        <f t="shared" si="178"/>
        <v>NA</v>
      </c>
      <c r="AC454" s="29" t="str">
        <f t="shared" si="179"/>
        <v>NA</v>
      </c>
      <c r="AD454" s="29" t="str">
        <f t="shared" si="180"/>
        <v>NA</v>
      </c>
      <c r="AE454" s="29" t="str">
        <f t="shared" si="181"/>
        <v>NA</v>
      </c>
      <c r="AF454" s="29" t="str">
        <f t="shared" si="182"/>
        <v>NA</v>
      </c>
      <c r="AG454" s="29" t="str">
        <f t="shared" si="183"/>
        <v>NA</v>
      </c>
      <c r="AH454" s="29" t="str">
        <f t="shared" si="184"/>
        <v>NA</v>
      </c>
    </row>
    <row r="455" customHeight="1" spans="1:34">
      <c r="A455" s="12" t="s">
        <v>1043</v>
      </c>
      <c r="F455" s="24">
        <f t="shared" si="186"/>
        <v>0</v>
      </c>
      <c r="G455" s="24" t="e">
        <f t="shared" si="185"/>
        <v>#DIV/0!</v>
      </c>
      <c r="Q455" s="29" t="str">
        <f t="shared" si="167"/>
        <v>NA</v>
      </c>
      <c r="R455" s="29" t="str">
        <f t="shared" si="168"/>
        <v>NA</v>
      </c>
      <c r="S455" s="29" t="str">
        <f t="shared" si="169"/>
        <v>NA</v>
      </c>
      <c r="T455" s="29" t="str">
        <f t="shared" si="170"/>
        <v>NA</v>
      </c>
      <c r="U455" s="29" t="str">
        <f t="shared" si="171"/>
        <v>NA</v>
      </c>
      <c r="V455" s="29" t="str">
        <f t="shared" si="172"/>
        <v>NA</v>
      </c>
      <c r="W455" s="29" t="str">
        <f t="shared" si="173"/>
        <v>NA</v>
      </c>
      <c r="X455" s="29" t="str">
        <f t="shared" si="174"/>
        <v>NA</v>
      </c>
      <c r="Y455" s="29" t="str">
        <f t="shared" si="175"/>
        <v>NA</v>
      </c>
      <c r="Z455" s="29" t="str">
        <f t="shared" si="176"/>
        <v>NA</v>
      </c>
      <c r="AA455" s="29" t="str">
        <f t="shared" si="177"/>
        <v>NA</v>
      </c>
      <c r="AB455" s="29" t="str">
        <f t="shared" si="178"/>
        <v>NA</v>
      </c>
      <c r="AC455" s="29" t="str">
        <f t="shared" si="179"/>
        <v>NA</v>
      </c>
      <c r="AD455" s="29" t="str">
        <f t="shared" si="180"/>
        <v>NA</v>
      </c>
      <c r="AE455" s="29" t="str">
        <f t="shared" si="181"/>
        <v>NA</v>
      </c>
      <c r="AF455" s="29" t="str">
        <f t="shared" si="182"/>
        <v>NA</v>
      </c>
      <c r="AG455" s="29" t="str">
        <f t="shared" si="183"/>
        <v>NA</v>
      </c>
      <c r="AH455" s="29" t="str">
        <f t="shared" si="184"/>
        <v>NA</v>
      </c>
    </row>
    <row r="456" customHeight="1" spans="1:34">
      <c r="A456" s="12" t="s">
        <v>1043</v>
      </c>
      <c r="F456" s="24">
        <f t="shared" si="186"/>
        <v>0</v>
      </c>
      <c r="G456" s="24" t="e">
        <f t="shared" si="185"/>
        <v>#DIV/0!</v>
      </c>
      <c r="Q456" s="29" t="str">
        <f t="shared" si="167"/>
        <v>NA</v>
      </c>
      <c r="R456" s="29" t="str">
        <f t="shared" si="168"/>
        <v>NA</v>
      </c>
      <c r="S456" s="29" t="str">
        <f t="shared" si="169"/>
        <v>NA</v>
      </c>
      <c r="T456" s="29" t="str">
        <f t="shared" si="170"/>
        <v>NA</v>
      </c>
      <c r="U456" s="29" t="str">
        <f t="shared" si="171"/>
        <v>NA</v>
      </c>
      <c r="V456" s="29" t="str">
        <f t="shared" si="172"/>
        <v>NA</v>
      </c>
      <c r="W456" s="29" t="str">
        <f t="shared" si="173"/>
        <v>NA</v>
      </c>
      <c r="X456" s="29" t="str">
        <f t="shared" si="174"/>
        <v>NA</v>
      </c>
      <c r="Y456" s="29" t="str">
        <f t="shared" si="175"/>
        <v>NA</v>
      </c>
      <c r="Z456" s="29" t="str">
        <f t="shared" si="176"/>
        <v>NA</v>
      </c>
      <c r="AA456" s="29" t="str">
        <f t="shared" si="177"/>
        <v>NA</v>
      </c>
      <c r="AB456" s="29" t="str">
        <f t="shared" si="178"/>
        <v>NA</v>
      </c>
      <c r="AC456" s="29" t="str">
        <f t="shared" si="179"/>
        <v>NA</v>
      </c>
      <c r="AD456" s="29" t="str">
        <f t="shared" si="180"/>
        <v>NA</v>
      </c>
      <c r="AE456" s="29" t="str">
        <f t="shared" si="181"/>
        <v>NA</v>
      </c>
      <c r="AF456" s="29" t="str">
        <f t="shared" si="182"/>
        <v>NA</v>
      </c>
      <c r="AG456" s="29" t="str">
        <f t="shared" si="183"/>
        <v>NA</v>
      </c>
      <c r="AH456" s="29" t="str">
        <f t="shared" si="184"/>
        <v>NA</v>
      </c>
    </row>
    <row r="457" customHeight="1" spans="1:34">
      <c r="A457" s="12" t="s">
        <v>1043</v>
      </c>
      <c r="F457" s="24">
        <f t="shared" si="186"/>
        <v>0</v>
      </c>
      <c r="G457" s="24" t="e">
        <f t="shared" si="185"/>
        <v>#DIV/0!</v>
      </c>
      <c r="Q457" s="29" t="str">
        <f t="shared" si="167"/>
        <v>NA</v>
      </c>
      <c r="R457" s="29" t="str">
        <f t="shared" si="168"/>
        <v>NA</v>
      </c>
      <c r="S457" s="29" t="str">
        <f t="shared" si="169"/>
        <v>NA</v>
      </c>
      <c r="T457" s="29" t="str">
        <f t="shared" si="170"/>
        <v>NA</v>
      </c>
      <c r="U457" s="29" t="str">
        <f t="shared" si="171"/>
        <v>NA</v>
      </c>
      <c r="V457" s="29" t="str">
        <f t="shared" si="172"/>
        <v>NA</v>
      </c>
      <c r="W457" s="29" t="str">
        <f t="shared" si="173"/>
        <v>NA</v>
      </c>
      <c r="X457" s="29" t="str">
        <f t="shared" si="174"/>
        <v>NA</v>
      </c>
      <c r="Y457" s="29" t="str">
        <f t="shared" si="175"/>
        <v>NA</v>
      </c>
      <c r="Z457" s="29" t="str">
        <f t="shared" si="176"/>
        <v>NA</v>
      </c>
      <c r="AA457" s="29" t="str">
        <f t="shared" si="177"/>
        <v>NA</v>
      </c>
      <c r="AB457" s="29" t="str">
        <f t="shared" si="178"/>
        <v>NA</v>
      </c>
      <c r="AC457" s="29" t="str">
        <f t="shared" si="179"/>
        <v>NA</v>
      </c>
      <c r="AD457" s="29" t="str">
        <f t="shared" si="180"/>
        <v>NA</v>
      </c>
      <c r="AE457" s="29" t="str">
        <f t="shared" si="181"/>
        <v>NA</v>
      </c>
      <c r="AF457" s="29" t="str">
        <f t="shared" si="182"/>
        <v>NA</v>
      </c>
      <c r="AG457" s="29" t="str">
        <f t="shared" si="183"/>
        <v>NA</v>
      </c>
      <c r="AH457" s="29" t="str">
        <f t="shared" si="184"/>
        <v>NA</v>
      </c>
    </row>
    <row r="458" customHeight="1" spans="1:34">
      <c r="A458" s="12" t="s">
        <v>1043</v>
      </c>
      <c r="F458" s="24">
        <f t="shared" si="186"/>
        <v>0</v>
      </c>
      <c r="G458" s="24" t="e">
        <f t="shared" si="185"/>
        <v>#DIV/0!</v>
      </c>
      <c r="Q458" s="29" t="str">
        <f t="shared" si="167"/>
        <v>NA</v>
      </c>
      <c r="R458" s="29" t="str">
        <f t="shared" si="168"/>
        <v>NA</v>
      </c>
      <c r="S458" s="29" t="str">
        <f t="shared" si="169"/>
        <v>NA</v>
      </c>
      <c r="T458" s="29" t="str">
        <f t="shared" si="170"/>
        <v>NA</v>
      </c>
      <c r="U458" s="29" t="str">
        <f t="shared" si="171"/>
        <v>NA</v>
      </c>
      <c r="V458" s="29" t="str">
        <f t="shared" si="172"/>
        <v>NA</v>
      </c>
      <c r="W458" s="29" t="str">
        <f t="shared" si="173"/>
        <v>NA</v>
      </c>
      <c r="X458" s="29" t="str">
        <f t="shared" si="174"/>
        <v>NA</v>
      </c>
      <c r="Y458" s="29" t="str">
        <f t="shared" si="175"/>
        <v>NA</v>
      </c>
      <c r="Z458" s="29" t="str">
        <f t="shared" si="176"/>
        <v>NA</v>
      </c>
      <c r="AA458" s="29" t="str">
        <f t="shared" si="177"/>
        <v>NA</v>
      </c>
      <c r="AB458" s="29" t="str">
        <f t="shared" si="178"/>
        <v>NA</v>
      </c>
      <c r="AC458" s="29" t="str">
        <f t="shared" si="179"/>
        <v>NA</v>
      </c>
      <c r="AD458" s="29" t="str">
        <f t="shared" si="180"/>
        <v>NA</v>
      </c>
      <c r="AE458" s="29" t="str">
        <f t="shared" si="181"/>
        <v>NA</v>
      </c>
      <c r="AF458" s="29" t="str">
        <f t="shared" si="182"/>
        <v>NA</v>
      </c>
      <c r="AG458" s="29" t="str">
        <f t="shared" si="183"/>
        <v>NA</v>
      </c>
      <c r="AH458" s="29" t="str">
        <f t="shared" si="184"/>
        <v>NA</v>
      </c>
    </row>
    <row r="459" customHeight="1" spans="1:34">
      <c r="A459" s="12" t="s">
        <v>1043</v>
      </c>
      <c r="F459" s="24">
        <f t="shared" si="186"/>
        <v>0</v>
      </c>
      <c r="G459" s="24" t="e">
        <f t="shared" si="185"/>
        <v>#DIV/0!</v>
      </c>
      <c r="Q459" s="29" t="str">
        <f t="shared" si="167"/>
        <v>NA</v>
      </c>
      <c r="R459" s="29" t="str">
        <f t="shared" si="168"/>
        <v>NA</v>
      </c>
      <c r="S459" s="29" t="str">
        <f t="shared" si="169"/>
        <v>NA</v>
      </c>
      <c r="T459" s="29" t="str">
        <f t="shared" si="170"/>
        <v>NA</v>
      </c>
      <c r="U459" s="29" t="str">
        <f t="shared" si="171"/>
        <v>NA</v>
      </c>
      <c r="V459" s="29" t="str">
        <f t="shared" si="172"/>
        <v>NA</v>
      </c>
      <c r="W459" s="29" t="str">
        <f t="shared" si="173"/>
        <v>NA</v>
      </c>
      <c r="X459" s="29" t="str">
        <f t="shared" si="174"/>
        <v>NA</v>
      </c>
      <c r="Y459" s="29" t="str">
        <f t="shared" si="175"/>
        <v>NA</v>
      </c>
      <c r="Z459" s="29" t="str">
        <f t="shared" si="176"/>
        <v>NA</v>
      </c>
      <c r="AA459" s="29" t="str">
        <f t="shared" si="177"/>
        <v>NA</v>
      </c>
      <c r="AB459" s="29" t="str">
        <f t="shared" si="178"/>
        <v>NA</v>
      </c>
      <c r="AC459" s="29" t="str">
        <f t="shared" si="179"/>
        <v>NA</v>
      </c>
      <c r="AD459" s="29" t="str">
        <f t="shared" si="180"/>
        <v>NA</v>
      </c>
      <c r="AE459" s="29" t="str">
        <f t="shared" si="181"/>
        <v>NA</v>
      </c>
      <c r="AF459" s="29" t="str">
        <f t="shared" si="182"/>
        <v>NA</v>
      </c>
      <c r="AG459" s="29" t="str">
        <f t="shared" si="183"/>
        <v>NA</v>
      </c>
      <c r="AH459" s="29" t="str">
        <f t="shared" si="184"/>
        <v>NA</v>
      </c>
    </row>
    <row r="460" customHeight="1" spans="1:34">
      <c r="A460" s="12" t="s">
        <v>1043</v>
      </c>
      <c r="F460" s="24">
        <f t="shared" si="186"/>
        <v>0</v>
      </c>
      <c r="G460" s="24" t="e">
        <f t="shared" si="185"/>
        <v>#DIV/0!</v>
      </c>
      <c r="Q460" s="29" t="str">
        <f t="shared" si="167"/>
        <v>NA</v>
      </c>
      <c r="R460" s="29" t="str">
        <f t="shared" si="168"/>
        <v>NA</v>
      </c>
      <c r="S460" s="29" t="str">
        <f t="shared" si="169"/>
        <v>NA</v>
      </c>
      <c r="T460" s="29" t="str">
        <f t="shared" si="170"/>
        <v>NA</v>
      </c>
      <c r="U460" s="29" t="str">
        <f t="shared" si="171"/>
        <v>NA</v>
      </c>
      <c r="V460" s="29" t="str">
        <f t="shared" si="172"/>
        <v>NA</v>
      </c>
      <c r="W460" s="29" t="str">
        <f t="shared" si="173"/>
        <v>NA</v>
      </c>
      <c r="X460" s="29" t="str">
        <f t="shared" si="174"/>
        <v>NA</v>
      </c>
      <c r="Y460" s="29" t="str">
        <f t="shared" si="175"/>
        <v>NA</v>
      </c>
      <c r="Z460" s="29" t="str">
        <f t="shared" si="176"/>
        <v>NA</v>
      </c>
      <c r="AA460" s="29" t="str">
        <f t="shared" si="177"/>
        <v>NA</v>
      </c>
      <c r="AB460" s="29" t="str">
        <f t="shared" si="178"/>
        <v>NA</v>
      </c>
      <c r="AC460" s="29" t="str">
        <f t="shared" si="179"/>
        <v>NA</v>
      </c>
      <c r="AD460" s="29" t="str">
        <f t="shared" si="180"/>
        <v>NA</v>
      </c>
      <c r="AE460" s="29" t="str">
        <f t="shared" si="181"/>
        <v>NA</v>
      </c>
      <c r="AF460" s="29" t="str">
        <f t="shared" si="182"/>
        <v>NA</v>
      </c>
      <c r="AG460" s="29" t="str">
        <f t="shared" si="183"/>
        <v>NA</v>
      </c>
      <c r="AH460" s="29" t="str">
        <f t="shared" si="184"/>
        <v>NA</v>
      </c>
    </row>
    <row r="461" customHeight="1" spans="1:34">
      <c r="A461" s="12" t="s">
        <v>1043</v>
      </c>
      <c r="F461" s="24">
        <f t="shared" si="186"/>
        <v>0</v>
      </c>
      <c r="G461" s="24" t="e">
        <f t="shared" si="185"/>
        <v>#DIV/0!</v>
      </c>
      <c r="Q461" s="29" t="str">
        <f t="shared" si="167"/>
        <v>NA</v>
      </c>
      <c r="R461" s="29" t="str">
        <f t="shared" si="168"/>
        <v>NA</v>
      </c>
      <c r="S461" s="29" t="str">
        <f t="shared" si="169"/>
        <v>NA</v>
      </c>
      <c r="T461" s="29" t="str">
        <f t="shared" si="170"/>
        <v>NA</v>
      </c>
      <c r="U461" s="29" t="str">
        <f t="shared" si="171"/>
        <v>NA</v>
      </c>
      <c r="V461" s="29" t="str">
        <f t="shared" si="172"/>
        <v>NA</v>
      </c>
      <c r="W461" s="29" t="str">
        <f t="shared" si="173"/>
        <v>NA</v>
      </c>
      <c r="X461" s="29" t="str">
        <f t="shared" si="174"/>
        <v>NA</v>
      </c>
      <c r="Y461" s="29" t="str">
        <f t="shared" si="175"/>
        <v>NA</v>
      </c>
      <c r="Z461" s="29" t="str">
        <f t="shared" si="176"/>
        <v>NA</v>
      </c>
      <c r="AA461" s="29" t="str">
        <f t="shared" si="177"/>
        <v>NA</v>
      </c>
      <c r="AB461" s="29" t="str">
        <f t="shared" si="178"/>
        <v>NA</v>
      </c>
      <c r="AC461" s="29" t="str">
        <f t="shared" si="179"/>
        <v>NA</v>
      </c>
      <c r="AD461" s="29" t="str">
        <f t="shared" si="180"/>
        <v>NA</v>
      </c>
      <c r="AE461" s="29" t="str">
        <f t="shared" si="181"/>
        <v>NA</v>
      </c>
      <c r="AF461" s="29" t="str">
        <f t="shared" si="182"/>
        <v>NA</v>
      </c>
      <c r="AG461" s="29" t="str">
        <f t="shared" si="183"/>
        <v>NA</v>
      </c>
      <c r="AH461" s="29" t="str">
        <f t="shared" si="184"/>
        <v>NA</v>
      </c>
    </row>
    <row r="462" customHeight="1" spans="1:34">
      <c r="A462" s="12" t="s">
        <v>1043</v>
      </c>
      <c r="F462" s="24">
        <f t="shared" si="186"/>
        <v>0</v>
      </c>
      <c r="G462" s="24" t="e">
        <f t="shared" si="185"/>
        <v>#DIV/0!</v>
      </c>
      <c r="Q462" s="29" t="str">
        <f t="shared" si="167"/>
        <v>NA</v>
      </c>
      <c r="R462" s="29" t="str">
        <f t="shared" si="168"/>
        <v>NA</v>
      </c>
      <c r="S462" s="29" t="str">
        <f t="shared" si="169"/>
        <v>NA</v>
      </c>
      <c r="T462" s="29" t="str">
        <f t="shared" si="170"/>
        <v>NA</v>
      </c>
      <c r="U462" s="29" t="str">
        <f t="shared" si="171"/>
        <v>NA</v>
      </c>
      <c r="V462" s="29" t="str">
        <f t="shared" si="172"/>
        <v>NA</v>
      </c>
      <c r="W462" s="29" t="str">
        <f t="shared" si="173"/>
        <v>NA</v>
      </c>
      <c r="X462" s="29" t="str">
        <f t="shared" si="174"/>
        <v>NA</v>
      </c>
      <c r="Y462" s="29" t="str">
        <f t="shared" si="175"/>
        <v>NA</v>
      </c>
      <c r="Z462" s="29" t="str">
        <f t="shared" si="176"/>
        <v>NA</v>
      </c>
      <c r="AA462" s="29" t="str">
        <f t="shared" si="177"/>
        <v>NA</v>
      </c>
      <c r="AB462" s="29" t="str">
        <f t="shared" si="178"/>
        <v>NA</v>
      </c>
      <c r="AC462" s="29" t="str">
        <f t="shared" si="179"/>
        <v>NA</v>
      </c>
      <c r="AD462" s="29" t="str">
        <f t="shared" si="180"/>
        <v>NA</v>
      </c>
      <c r="AE462" s="29" t="str">
        <f t="shared" si="181"/>
        <v>NA</v>
      </c>
      <c r="AF462" s="29" t="str">
        <f t="shared" si="182"/>
        <v>NA</v>
      </c>
      <c r="AG462" s="29" t="str">
        <f t="shared" si="183"/>
        <v>NA</v>
      </c>
      <c r="AH462" s="29" t="str">
        <f t="shared" si="184"/>
        <v>NA</v>
      </c>
    </row>
    <row r="463" customHeight="1" spans="1:34">
      <c r="A463" s="12" t="s">
        <v>1043</v>
      </c>
      <c r="F463" s="24">
        <f t="shared" si="186"/>
        <v>0</v>
      </c>
      <c r="G463" s="24" t="e">
        <f t="shared" si="185"/>
        <v>#DIV/0!</v>
      </c>
      <c r="Q463" s="29" t="str">
        <f t="shared" si="167"/>
        <v>NA</v>
      </c>
      <c r="R463" s="29" t="str">
        <f t="shared" si="168"/>
        <v>NA</v>
      </c>
      <c r="S463" s="29" t="str">
        <f t="shared" si="169"/>
        <v>NA</v>
      </c>
      <c r="T463" s="29" t="str">
        <f t="shared" si="170"/>
        <v>NA</v>
      </c>
      <c r="U463" s="29" t="str">
        <f t="shared" si="171"/>
        <v>NA</v>
      </c>
      <c r="V463" s="29" t="str">
        <f t="shared" si="172"/>
        <v>NA</v>
      </c>
      <c r="W463" s="29" t="str">
        <f t="shared" si="173"/>
        <v>NA</v>
      </c>
      <c r="X463" s="29" t="str">
        <f t="shared" si="174"/>
        <v>NA</v>
      </c>
      <c r="Y463" s="29" t="str">
        <f t="shared" si="175"/>
        <v>NA</v>
      </c>
      <c r="Z463" s="29" t="str">
        <f t="shared" si="176"/>
        <v>NA</v>
      </c>
      <c r="AA463" s="29" t="str">
        <f t="shared" si="177"/>
        <v>NA</v>
      </c>
      <c r="AB463" s="29" t="str">
        <f t="shared" si="178"/>
        <v>NA</v>
      </c>
      <c r="AC463" s="29" t="str">
        <f t="shared" si="179"/>
        <v>NA</v>
      </c>
      <c r="AD463" s="29" t="str">
        <f t="shared" si="180"/>
        <v>NA</v>
      </c>
      <c r="AE463" s="29" t="str">
        <f t="shared" si="181"/>
        <v>NA</v>
      </c>
      <c r="AF463" s="29" t="str">
        <f t="shared" si="182"/>
        <v>NA</v>
      </c>
      <c r="AG463" s="29" t="str">
        <f t="shared" si="183"/>
        <v>NA</v>
      </c>
      <c r="AH463" s="29" t="str">
        <f t="shared" si="184"/>
        <v>NA</v>
      </c>
    </row>
    <row r="464" customHeight="1" spans="1:34">
      <c r="A464" s="12" t="s">
        <v>1043</v>
      </c>
      <c r="F464" s="24">
        <f t="shared" si="186"/>
        <v>0</v>
      </c>
      <c r="G464" s="24" t="e">
        <f t="shared" si="185"/>
        <v>#DIV/0!</v>
      </c>
      <c r="Q464" s="29" t="str">
        <f t="shared" ref="Q464:Q527" si="187">IFERROR($B464*$E464/H464,"NA")</f>
        <v>NA</v>
      </c>
      <c r="R464" s="29" t="str">
        <f t="shared" ref="R464:R527" si="188">IFERROR($B464*$E464/I464,"NA")</f>
        <v>NA</v>
      </c>
      <c r="S464" s="29" t="str">
        <f t="shared" ref="S464:S527" si="189">IFERROR($B464*$E464/J464,"NA")</f>
        <v>NA</v>
      </c>
      <c r="T464" s="29" t="str">
        <f t="shared" ref="T464:T527" si="190">IFERROR($B464*$E464/K464,"NA")</f>
        <v>NA</v>
      </c>
      <c r="U464" s="29" t="str">
        <f t="shared" ref="U464:U527" si="191">IFERROR($B464*$E464/L464,"NA")</f>
        <v>NA</v>
      </c>
      <c r="V464" s="29" t="str">
        <f t="shared" ref="V464:V527" si="192">IFERROR($B464*$E464/M464,"NA")</f>
        <v>NA</v>
      </c>
      <c r="W464" s="29" t="str">
        <f t="shared" ref="W464:W527" si="193">IFERROR($B464*$E464/N464,"NA")</f>
        <v>NA</v>
      </c>
      <c r="X464" s="29" t="str">
        <f t="shared" ref="X464:X527" si="194">IFERROR($B464*$E464/O464,"NA")</f>
        <v>NA</v>
      </c>
      <c r="Y464" s="29" t="str">
        <f t="shared" ref="Y464:Y527" si="195">IFERROR($B464*$E464/P464,"NA")</f>
        <v>NA</v>
      </c>
      <c r="Z464" s="29" t="str">
        <f t="shared" ref="Z464:Z527" si="196">IFERROR((($G464*Z$2/1000)+Q464)/1,"NA")</f>
        <v>NA</v>
      </c>
      <c r="AA464" s="29" t="str">
        <f t="shared" ref="AA464:AA527" si="197">IFERROR((($G464*AA$2/1000)+R464)/1,"NA")</f>
        <v>NA</v>
      </c>
      <c r="AB464" s="29" t="str">
        <f t="shared" ref="AB464:AB527" si="198">IFERROR((($G464*AB$2/1000)+S464)/1,"NA")</f>
        <v>NA</v>
      </c>
      <c r="AC464" s="29" t="str">
        <f t="shared" ref="AC464:AC527" si="199">IFERROR((($G464*AC$2/1000)+T464)/1,"NA")</f>
        <v>NA</v>
      </c>
      <c r="AD464" s="29" t="str">
        <f t="shared" ref="AD464:AD527" si="200">IFERROR((($G464*AD$2/1000)+U464)/1,"NA")</f>
        <v>NA</v>
      </c>
      <c r="AE464" s="29" t="str">
        <f t="shared" ref="AE464:AE527" si="201">IFERROR((($G464*AE$2/1000)+V464)/1,"NA")</f>
        <v>NA</v>
      </c>
      <c r="AF464" s="29" t="str">
        <f t="shared" ref="AF464:AF527" si="202">IFERROR((($G464*AF$2/1000)+W464)/1,"NA")</f>
        <v>NA</v>
      </c>
      <c r="AG464" s="29" t="str">
        <f t="shared" ref="AG464:AG527" si="203">IFERROR((($G464*AG$2/1000)+X464)/1,"NA")</f>
        <v>NA</v>
      </c>
      <c r="AH464" s="29" t="str">
        <f t="shared" ref="AH464:AH527" si="204">IFERROR((($G464*AH$2/1000)+Y464)/1,"NA")</f>
        <v>NA</v>
      </c>
    </row>
    <row r="465" customHeight="1" spans="1:34">
      <c r="A465" s="12" t="s">
        <v>1043</v>
      </c>
      <c r="F465" s="24">
        <f t="shared" si="186"/>
        <v>0</v>
      </c>
      <c r="G465" s="24" t="e">
        <f t="shared" si="185"/>
        <v>#DIV/0!</v>
      </c>
      <c r="Q465" s="29" t="str">
        <f t="shared" si="187"/>
        <v>NA</v>
      </c>
      <c r="R465" s="29" t="str">
        <f t="shared" si="188"/>
        <v>NA</v>
      </c>
      <c r="S465" s="29" t="str">
        <f t="shared" si="189"/>
        <v>NA</v>
      </c>
      <c r="T465" s="29" t="str">
        <f t="shared" si="190"/>
        <v>NA</v>
      </c>
      <c r="U465" s="29" t="str">
        <f t="shared" si="191"/>
        <v>NA</v>
      </c>
      <c r="V465" s="29" t="str">
        <f t="shared" si="192"/>
        <v>NA</v>
      </c>
      <c r="W465" s="29" t="str">
        <f t="shared" si="193"/>
        <v>NA</v>
      </c>
      <c r="X465" s="29" t="str">
        <f t="shared" si="194"/>
        <v>NA</v>
      </c>
      <c r="Y465" s="29" t="str">
        <f t="shared" si="195"/>
        <v>NA</v>
      </c>
      <c r="Z465" s="29" t="str">
        <f t="shared" si="196"/>
        <v>NA</v>
      </c>
      <c r="AA465" s="29" t="str">
        <f t="shared" si="197"/>
        <v>NA</v>
      </c>
      <c r="AB465" s="29" t="str">
        <f t="shared" si="198"/>
        <v>NA</v>
      </c>
      <c r="AC465" s="29" t="str">
        <f t="shared" si="199"/>
        <v>NA</v>
      </c>
      <c r="AD465" s="29" t="str">
        <f t="shared" si="200"/>
        <v>NA</v>
      </c>
      <c r="AE465" s="29" t="str">
        <f t="shared" si="201"/>
        <v>NA</v>
      </c>
      <c r="AF465" s="29" t="str">
        <f t="shared" si="202"/>
        <v>NA</v>
      </c>
      <c r="AG465" s="29" t="str">
        <f t="shared" si="203"/>
        <v>NA</v>
      </c>
      <c r="AH465" s="29" t="str">
        <f t="shared" si="204"/>
        <v>NA</v>
      </c>
    </row>
    <row r="466" customHeight="1" spans="1:34">
      <c r="A466" s="12" t="s">
        <v>1043</v>
      </c>
      <c r="F466" s="24">
        <f t="shared" si="186"/>
        <v>0</v>
      </c>
      <c r="G466" s="24" t="e">
        <f t="shared" si="185"/>
        <v>#DIV/0!</v>
      </c>
      <c r="Q466" s="29" t="str">
        <f t="shared" si="187"/>
        <v>NA</v>
      </c>
      <c r="R466" s="29" t="str">
        <f t="shared" si="188"/>
        <v>NA</v>
      </c>
      <c r="S466" s="29" t="str">
        <f t="shared" si="189"/>
        <v>NA</v>
      </c>
      <c r="T466" s="29" t="str">
        <f t="shared" si="190"/>
        <v>NA</v>
      </c>
      <c r="U466" s="29" t="str">
        <f t="shared" si="191"/>
        <v>NA</v>
      </c>
      <c r="V466" s="29" t="str">
        <f t="shared" si="192"/>
        <v>NA</v>
      </c>
      <c r="W466" s="29" t="str">
        <f t="shared" si="193"/>
        <v>NA</v>
      </c>
      <c r="X466" s="29" t="str">
        <f t="shared" si="194"/>
        <v>NA</v>
      </c>
      <c r="Y466" s="29" t="str">
        <f t="shared" si="195"/>
        <v>NA</v>
      </c>
      <c r="Z466" s="29" t="str">
        <f t="shared" si="196"/>
        <v>NA</v>
      </c>
      <c r="AA466" s="29" t="str">
        <f t="shared" si="197"/>
        <v>NA</v>
      </c>
      <c r="AB466" s="29" t="str">
        <f t="shared" si="198"/>
        <v>NA</v>
      </c>
      <c r="AC466" s="29" t="str">
        <f t="shared" si="199"/>
        <v>NA</v>
      </c>
      <c r="AD466" s="29" t="str">
        <f t="shared" si="200"/>
        <v>NA</v>
      </c>
      <c r="AE466" s="29" t="str">
        <f t="shared" si="201"/>
        <v>NA</v>
      </c>
      <c r="AF466" s="29" t="str">
        <f t="shared" si="202"/>
        <v>NA</v>
      </c>
      <c r="AG466" s="29" t="str">
        <f t="shared" si="203"/>
        <v>NA</v>
      </c>
      <c r="AH466" s="29" t="str">
        <f t="shared" si="204"/>
        <v>NA</v>
      </c>
    </row>
    <row r="467" customHeight="1" spans="1:34">
      <c r="A467" s="12" t="s">
        <v>1043</v>
      </c>
      <c r="F467" s="24">
        <f t="shared" si="186"/>
        <v>0</v>
      </c>
      <c r="G467" s="24" t="e">
        <f t="shared" si="185"/>
        <v>#DIV/0!</v>
      </c>
      <c r="Q467" s="29" t="str">
        <f t="shared" si="187"/>
        <v>NA</v>
      </c>
      <c r="R467" s="29" t="str">
        <f t="shared" si="188"/>
        <v>NA</v>
      </c>
      <c r="S467" s="29" t="str">
        <f t="shared" si="189"/>
        <v>NA</v>
      </c>
      <c r="T467" s="29" t="str">
        <f t="shared" si="190"/>
        <v>NA</v>
      </c>
      <c r="U467" s="29" t="str">
        <f t="shared" si="191"/>
        <v>NA</v>
      </c>
      <c r="V467" s="29" t="str">
        <f t="shared" si="192"/>
        <v>NA</v>
      </c>
      <c r="W467" s="29" t="str">
        <f t="shared" si="193"/>
        <v>NA</v>
      </c>
      <c r="X467" s="29" t="str">
        <f t="shared" si="194"/>
        <v>NA</v>
      </c>
      <c r="Y467" s="29" t="str">
        <f t="shared" si="195"/>
        <v>NA</v>
      </c>
      <c r="Z467" s="29" t="str">
        <f t="shared" si="196"/>
        <v>NA</v>
      </c>
      <c r="AA467" s="29" t="str">
        <f t="shared" si="197"/>
        <v>NA</v>
      </c>
      <c r="AB467" s="29" t="str">
        <f t="shared" si="198"/>
        <v>NA</v>
      </c>
      <c r="AC467" s="29" t="str">
        <f t="shared" si="199"/>
        <v>NA</v>
      </c>
      <c r="AD467" s="29" t="str">
        <f t="shared" si="200"/>
        <v>NA</v>
      </c>
      <c r="AE467" s="29" t="str">
        <f t="shared" si="201"/>
        <v>NA</v>
      </c>
      <c r="AF467" s="29" t="str">
        <f t="shared" si="202"/>
        <v>NA</v>
      </c>
      <c r="AG467" s="29" t="str">
        <f t="shared" si="203"/>
        <v>NA</v>
      </c>
      <c r="AH467" s="29" t="str">
        <f t="shared" si="204"/>
        <v>NA</v>
      </c>
    </row>
    <row r="468" customHeight="1" spans="1:34">
      <c r="A468" s="12" t="s">
        <v>1043</v>
      </c>
      <c r="F468" s="24">
        <f t="shared" si="186"/>
        <v>0</v>
      </c>
      <c r="G468" s="24" t="e">
        <f t="shared" si="185"/>
        <v>#DIV/0!</v>
      </c>
      <c r="Q468" s="29" t="str">
        <f t="shared" si="187"/>
        <v>NA</v>
      </c>
      <c r="R468" s="29" t="str">
        <f t="shared" si="188"/>
        <v>NA</v>
      </c>
      <c r="S468" s="29" t="str">
        <f t="shared" si="189"/>
        <v>NA</v>
      </c>
      <c r="T468" s="29" t="str">
        <f t="shared" si="190"/>
        <v>NA</v>
      </c>
      <c r="U468" s="29" t="str">
        <f t="shared" si="191"/>
        <v>NA</v>
      </c>
      <c r="V468" s="29" t="str">
        <f t="shared" si="192"/>
        <v>NA</v>
      </c>
      <c r="W468" s="29" t="str">
        <f t="shared" si="193"/>
        <v>NA</v>
      </c>
      <c r="X468" s="29" t="str">
        <f t="shared" si="194"/>
        <v>NA</v>
      </c>
      <c r="Y468" s="29" t="str">
        <f t="shared" si="195"/>
        <v>NA</v>
      </c>
      <c r="Z468" s="29" t="str">
        <f t="shared" si="196"/>
        <v>NA</v>
      </c>
      <c r="AA468" s="29" t="str">
        <f t="shared" si="197"/>
        <v>NA</v>
      </c>
      <c r="AB468" s="29" t="str">
        <f t="shared" si="198"/>
        <v>NA</v>
      </c>
      <c r="AC468" s="29" t="str">
        <f t="shared" si="199"/>
        <v>NA</v>
      </c>
      <c r="AD468" s="29" t="str">
        <f t="shared" si="200"/>
        <v>NA</v>
      </c>
      <c r="AE468" s="29" t="str">
        <f t="shared" si="201"/>
        <v>NA</v>
      </c>
      <c r="AF468" s="29" t="str">
        <f t="shared" si="202"/>
        <v>NA</v>
      </c>
      <c r="AG468" s="29" t="str">
        <f t="shared" si="203"/>
        <v>NA</v>
      </c>
      <c r="AH468" s="29" t="str">
        <f t="shared" si="204"/>
        <v>NA</v>
      </c>
    </row>
    <row r="469" customHeight="1" spans="1:34">
      <c r="A469" s="12" t="s">
        <v>1043</v>
      </c>
      <c r="F469" s="24">
        <f t="shared" si="186"/>
        <v>0</v>
      </c>
      <c r="G469" s="24" t="e">
        <f t="shared" si="185"/>
        <v>#DIV/0!</v>
      </c>
      <c r="Q469" s="29" t="str">
        <f t="shared" si="187"/>
        <v>NA</v>
      </c>
      <c r="R469" s="29" t="str">
        <f t="shared" si="188"/>
        <v>NA</v>
      </c>
      <c r="S469" s="29" t="str">
        <f t="shared" si="189"/>
        <v>NA</v>
      </c>
      <c r="T469" s="29" t="str">
        <f t="shared" si="190"/>
        <v>NA</v>
      </c>
      <c r="U469" s="29" t="str">
        <f t="shared" si="191"/>
        <v>NA</v>
      </c>
      <c r="V469" s="29" t="str">
        <f t="shared" si="192"/>
        <v>NA</v>
      </c>
      <c r="W469" s="29" t="str">
        <f t="shared" si="193"/>
        <v>NA</v>
      </c>
      <c r="X469" s="29" t="str">
        <f t="shared" si="194"/>
        <v>NA</v>
      </c>
      <c r="Y469" s="29" t="str">
        <f t="shared" si="195"/>
        <v>NA</v>
      </c>
      <c r="Z469" s="29" t="str">
        <f t="shared" si="196"/>
        <v>NA</v>
      </c>
      <c r="AA469" s="29" t="str">
        <f t="shared" si="197"/>
        <v>NA</v>
      </c>
      <c r="AB469" s="29" t="str">
        <f t="shared" si="198"/>
        <v>NA</v>
      </c>
      <c r="AC469" s="29" t="str">
        <f t="shared" si="199"/>
        <v>NA</v>
      </c>
      <c r="AD469" s="29" t="str">
        <f t="shared" si="200"/>
        <v>NA</v>
      </c>
      <c r="AE469" s="29" t="str">
        <f t="shared" si="201"/>
        <v>NA</v>
      </c>
      <c r="AF469" s="29" t="str">
        <f t="shared" si="202"/>
        <v>NA</v>
      </c>
      <c r="AG469" s="29" t="str">
        <f t="shared" si="203"/>
        <v>NA</v>
      </c>
      <c r="AH469" s="29" t="str">
        <f t="shared" si="204"/>
        <v>NA</v>
      </c>
    </row>
    <row r="470" customHeight="1" spans="1:34">
      <c r="A470" s="12" t="s">
        <v>1043</v>
      </c>
      <c r="F470" s="24">
        <f t="shared" si="186"/>
        <v>0</v>
      </c>
      <c r="G470" s="24" t="e">
        <f t="shared" si="185"/>
        <v>#DIV/0!</v>
      </c>
      <c r="Q470" s="29" t="str">
        <f t="shared" si="187"/>
        <v>NA</v>
      </c>
      <c r="R470" s="29" t="str">
        <f t="shared" si="188"/>
        <v>NA</v>
      </c>
      <c r="S470" s="29" t="str">
        <f t="shared" si="189"/>
        <v>NA</v>
      </c>
      <c r="T470" s="29" t="str">
        <f t="shared" si="190"/>
        <v>NA</v>
      </c>
      <c r="U470" s="29" t="str">
        <f t="shared" si="191"/>
        <v>NA</v>
      </c>
      <c r="V470" s="29" t="str">
        <f t="shared" si="192"/>
        <v>NA</v>
      </c>
      <c r="W470" s="29" t="str">
        <f t="shared" si="193"/>
        <v>NA</v>
      </c>
      <c r="X470" s="29" t="str">
        <f t="shared" si="194"/>
        <v>NA</v>
      </c>
      <c r="Y470" s="29" t="str">
        <f t="shared" si="195"/>
        <v>NA</v>
      </c>
      <c r="Z470" s="29" t="str">
        <f t="shared" si="196"/>
        <v>NA</v>
      </c>
      <c r="AA470" s="29" t="str">
        <f t="shared" si="197"/>
        <v>NA</v>
      </c>
      <c r="AB470" s="29" t="str">
        <f t="shared" si="198"/>
        <v>NA</v>
      </c>
      <c r="AC470" s="29" t="str">
        <f t="shared" si="199"/>
        <v>NA</v>
      </c>
      <c r="AD470" s="29" t="str">
        <f t="shared" si="200"/>
        <v>NA</v>
      </c>
      <c r="AE470" s="29" t="str">
        <f t="shared" si="201"/>
        <v>NA</v>
      </c>
      <c r="AF470" s="29" t="str">
        <f t="shared" si="202"/>
        <v>NA</v>
      </c>
      <c r="AG470" s="29" t="str">
        <f t="shared" si="203"/>
        <v>NA</v>
      </c>
      <c r="AH470" s="29" t="str">
        <f t="shared" si="204"/>
        <v>NA</v>
      </c>
    </row>
    <row r="471" customHeight="1" spans="1:34">
      <c r="A471" s="12" t="s">
        <v>1043</v>
      </c>
      <c r="F471" s="24">
        <f t="shared" si="186"/>
        <v>0</v>
      </c>
      <c r="G471" s="24" t="e">
        <f t="shared" si="185"/>
        <v>#DIV/0!</v>
      </c>
      <c r="Q471" s="29" t="str">
        <f t="shared" si="187"/>
        <v>NA</v>
      </c>
      <c r="R471" s="29" t="str">
        <f t="shared" si="188"/>
        <v>NA</v>
      </c>
      <c r="S471" s="29" t="str">
        <f t="shared" si="189"/>
        <v>NA</v>
      </c>
      <c r="T471" s="29" t="str">
        <f t="shared" si="190"/>
        <v>NA</v>
      </c>
      <c r="U471" s="29" t="str">
        <f t="shared" si="191"/>
        <v>NA</v>
      </c>
      <c r="V471" s="29" t="str">
        <f t="shared" si="192"/>
        <v>NA</v>
      </c>
      <c r="W471" s="29" t="str">
        <f t="shared" si="193"/>
        <v>NA</v>
      </c>
      <c r="X471" s="29" t="str">
        <f t="shared" si="194"/>
        <v>NA</v>
      </c>
      <c r="Y471" s="29" t="str">
        <f t="shared" si="195"/>
        <v>NA</v>
      </c>
      <c r="Z471" s="29" t="str">
        <f t="shared" si="196"/>
        <v>NA</v>
      </c>
      <c r="AA471" s="29" t="str">
        <f t="shared" si="197"/>
        <v>NA</v>
      </c>
      <c r="AB471" s="29" t="str">
        <f t="shared" si="198"/>
        <v>NA</v>
      </c>
      <c r="AC471" s="29" t="str">
        <f t="shared" si="199"/>
        <v>NA</v>
      </c>
      <c r="AD471" s="29" t="str">
        <f t="shared" si="200"/>
        <v>NA</v>
      </c>
      <c r="AE471" s="29" t="str">
        <f t="shared" si="201"/>
        <v>NA</v>
      </c>
      <c r="AF471" s="29" t="str">
        <f t="shared" si="202"/>
        <v>NA</v>
      </c>
      <c r="AG471" s="29" t="str">
        <f t="shared" si="203"/>
        <v>NA</v>
      </c>
      <c r="AH471" s="29" t="str">
        <f t="shared" si="204"/>
        <v>NA</v>
      </c>
    </row>
    <row r="472" customHeight="1" spans="1:34">
      <c r="A472" s="12" t="s">
        <v>1043</v>
      </c>
      <c r="F472" s="24">
        <f t="shared" si="186"/>
        <v>0</v>
      </c>
      <c r="G472" s="24" t="e">
        <f t="shared" si="185"/>
        <v>#DIV/0!</v>
      </c>
      <c r="Q472" s="29" t="str">
        <f t="shared" si="187"/>
        <v>NA</v>
      </c>
      <c r="R472" s="29" t="str">
        <f t="shared" si="188"/>
        <v>NA</v>
      </c>
      <c r="S472" s="29" t="str">
        <f t="shared" si="189"/>
        <v>NA</v>
      </c>
      <c r="T472" s="29" t="str">
        <f t="shared" si="190"/>
        <v>NA</v>
      </c>
      <c r="U472" s="29" t="str">
        <f t="shared" si="191"/>
        <v>NA</v>
      </c>
      <c r="V472" s="29" t="str">
        <f t="shared" si="192"/>
        <v>NA</v>
      </c>
      <c r="W472" s="29" t="str">
        <f t="shared" si="193"/>
        <v>NA</v>
      </c>
      <c r="X472" s="29" t="str">
        <f t="shared" si="194"/>
        <v>NA</v>
      </c>
      <c r="Y472" s="29" t="str">
        <f t="shared" si="195"/>
        <v>NA</v>
      </c>
      <c r="Z472" s="29" t="str">
        <f t="shared" si="196"/>
        <v>NA</v>
      </c>
      <c r="AA472" s="29" t="str">
        <f t="shared" si="197"/>
        <v>NA</v>
      </c>
      <c r="AB472" s="29" t="str">
        <f t="shared" si="198"/>
        <v>NA</v>
      </c>
      <c r="AC472" s="29" t="str">
        <f t="shared" si="199"/>
        <v>NA</v>
      </c>
      <c r="AD472" s="29" t="str">
        <f t="shared" si="200"/>
        <v>NA</v>
      </c>
      <c r="AE472" s="29" t="str">
        <f t="shared" si="201"/>
        <v>NA</v>
      </c>
      <c r="AF472" s="29" t="str">
        <f t="shared" si="202"/>
        <v>NA</v>
      </c>
      <c r="AG472" s="29" t="str">
        <f t="shared" si="203"/>
        <v>NA</v>
      </c>
      <c r="AH472" s="29" t="str">
        <f t="shared" si="204"/>
        <v>NA</v>
      </c>
    </row>
    <row r="473" customHeight="1" spans="1:34">
      <c r="A473" s="12" t="s">
        <v>1043</v>
      </c>
      <c r="F473" s="24">
        <f t="shared" si="186"/>
        <v>0</v>
      </c>
      <c r="G473" s="24" t="e">
        <f t="shared" si="185"/>
        <v>#DIV/0!</v>
      </c>
      <c r="Q473" s="29" t="str">
        <f t="shared" si="187"/>
        <v>NA</v>
      </c>
      <c r="R473" s="29" t="str">
        <f t="shared" si="188"/>
        <v>NA</v>
      </c>
      <c r="S473" s="29" t="str">
        <f t="shared" si="189"/>
        <v>NA</v>
      </c>
      <c r="T473" s="29" t="str">
        <f t="shared" si="190"/>
        <v>NA</v>
      </c>
      <c r="U473" s="29" t="str">
        <f t="shared" si="191"/>
        <v>NA</v>
      </c>
      <c r="V473" s="29" t="str">
        <f t="shared" si="192"/>
        <v>NA</v>
      </c>
      <c r="W473" s="29" t="str">
        <f t="shared" si="193"/>
        <v>NA</v>
      </c>
      <c r="X473" s="29" t="str">
        <f t="shared" si="194"/>
        <v>NA</v>
      </c>
      <c r="Y473" s="29" t="str">
        <f t="shared" si="195"/>
        <v>NA</v>
      </c>
      <c r="Z473" s="29" t="str">
        <f t="shared" si="196"/>
        <v>NA</v>
      </c>
      <c r="AA473" s="29" t="str">
        <f t="shared" si="197"/>
        <v>NA</v>
      </c>
      <c r="AB473" s="29" t="str">
        <f t="shared" si="198"/>
        <v>NA</v>
      </c>
      <c r="AC473" s="29" t="str">
        <f t="shared" si="199"/>
        <v>NA</v>
      </c>
      <c r="AD473" s="29" t="str">
        <f t="shared" si="200"/>
        <v>NA</v>
      </c>
      <c r="AE473" s="29" t="str">
        <f t="shared" si="201"/>
        <v>NA</v>
      </c>
      <c r="AF473" s="29" t="str">
        <f t="shared" si="202"/>
        <v>NA</v>
      </c>
      <c r="AG473" s="29" t="str">
        <f t="shared" si="203"/>
        <v>NA</v>
      </c>
      <c r="AH473" s="29" t="str">
        <f t="shared" si="204"/>
        <v>NA</v>
      </c>
    </row>
    <row r="474" customHeight="1" spans="1:34">
      <c r="A474" s="12" t="s">
        <v>1043</v>
      </c>
      <c r="F474" s="24">
        <f t="shared" si="186"/>
        <v>0</v>
      </c>
      <c r="G474" s="24" t="e">
        <f t="shared" si="185"/>
        <v>#DIV/0!</v>
      </c>
      <c r="Q474" s="29" t="str">
        <f t="shared" si="187"/>
        <v>NA</v>
      </c>
      <c r="R474" s="29" t="str">
        <f t="shared" si="188"/>
        <v>NA</v>
      </c>
      <c r="S474" s="29" t="str">
        <f t="shared" si="189"/>
        <v>NA</v>
      </c>
      <c r="T474" s="29" t="str">
        <f t="shared" si="190"/>
        <v>NA</v>
      </c>
      <c r="U474" s="29" t="str">
        <f t="shared" si="191"/>
        <v>NA</v>
      </c>
      <c r="V474" s="29" t="str">
        <f t="shared" si="192"/>
        <v>NA</v>
      </c>
      <c r="W474" s="29" t="str">
        <f t="shared" si="193"/>
        <v>NA</v>
      </c>
      <c r="X474" s="29" t="str">
        <f t="shared" si="194"/>
        <v>NA</v>
      </c>
      <c r="Y474" s="29" t="str">
        <f t="shared" si="195"/>
        <v>NA</v>
      </c>
      <c r="Z474" s="29" t="str">
        <f t="shared" si="196"/>
        <v>NA</v>
      </c>
      <c r="AA474" s="29" t="str">
        <f t="shared" si="197"/>
        <v>NA</v>
      </c>
      <c r="AB474" s="29" t="str">
        <f t="shared" si="198"/>
        <v>NA</v>
      </c>
      <c r="AC474" s="29" t="str">
        <f t="shared" si="199"/>
        <v>NA</v>
      </c>
      <c r="AD474" s="29" t="str">
        <f t="shared" si="200"/>
        <v>NA</v>
      </c>
      <c r="AE474" s="29" t="str">
        <f t="shared" si="201"/>
        <v>NA</v>
      </c>
      <c r="AF474" s="29" t="str">
        <f t="shared" si="202"/>
        <v>NA</v>
      </c>
      <c r="AG474" s="29" t="str">
        <f t="shared" si="203"/>
        <v>NA</v>
      </c>
      <c r="AH474" s="29" t="str">
        <f t="shared" si="204"/>
        <v>NA</v>
      </c>
    </row>
    <row r="475" customHeight="1" spans="1:34">
      <c r="A475" s="12" t="s">
        <v>1043</v>
      </c>
      <c r="F475" s="24">
        <f t="shared" si="186"/>
        <v>0</v>
      </c>
      <c r="G475" s="24" t="e">
        <f t="shared" si="185"/>
        <v>#DIV/0!</v>
      </c>
      <c r="Q475" s="29" t="str">
        <f t="shared" si="187"/>
        <v>NA</v>
      </c>
      <c r="R475" s="29" t="str">
        <f t="shared" si="188"/>
        <v>NA</v>
      </c>
      <c r="S475" s="29" t="str">
        <f t="shared" si="189"/>
        <v>NA</v>
      </c>
      <c r="T475" s="29" t="str">
        <f t="shared" si="190"/>
        <v>NA</v>
      </c>
      <c r="U475" s="29" t="str">
        <f t="shared" si="191"/>
        <v>NA</v>
      </c>
      <c r="V475" s="29" t="str">
        <f t="shared" si="192"/>
        <v>NA</v>
      </c>
      <c r="W475" s="29" t="str">
        <f t="shared" si="193"/>
        <v>NA</v>
      </c>
      <c r="X475" s="29" t="str">
        <f t="shared" si="194"/>
        <v>NA</v>
      </c>
      <c r="Y475" s="29" t="str">
        <f t="shared" si="195"/>
        <v>NA</v>
      </c>
      <c r="Z475" s="29" t="str">
        <f t="shared" si="196"/>
        <v>NA</v>
      </c>
      <c r="AA475" s="29" t="str">
        <f t="shared" si="197"/>
        <v>NA</v>
      </c>
      <c r="AB475" s="29" t="str">
        <f t="shared" si="198"/>
        <v>NA</v>
      </c>
      <c r="AC475" s="29" t="str">
        <f t="shared" si="199"/>
        <v>NA</v>
      </c>
      <c r="AD475" s="29" t="str">
        <f t="shared" si="200"/>
        <v>NA</v>
      </c>
      <c r="AE475" s="29" t="str">
        <f t="shared" si="201"/>
        <v>NA</v>
      </c>
      <c r="AF475" s="29" t="str">
        <f t="shared" si="202"/>
        <v>NA</v>
      </c>
      <c r="AG475" s="29" t="str">
        <f t="shared" si="203"/>
        <v>NA</v>
      </c>
      <c r="AH475" s="29" t="str">
        <f t="shared" si="204"/>
        <v>NA</v>
      </c>
    </row>
    <row r="476" customHeight="1" spans="1:34">
      <c r="A476" s="12" t="s">
        <v>1043</v>
      </c>
      <c r="F476" s="24">
        <f t="shared" si="186"/>
        <v>0</v>
      </c>
      <c r="G476" s="24" t="e">
        <f t="shared" si="185"/>
        <v>#DIV/0!</v>
      </c>
      <c r="Q476" s="29" t="str">
        <f t="shared" si="187"/>
        <v>NA</v>
      </c>
      <c r="R476" s="29" t="str">
        <f t="shared" si="188"/>
        <v>NA</v>
      </c>
      <c r="S476" s="29" t="str">
        <f t="shared" si="189"/>
        <v>NA</v>
      </c>
      <c r="T476" s="29" t="str">
        <f t="shared" si="190"/>
        <v>NA</v>
      </c>
      <c r="U476" s="29" t="str">
        <f t="shared" si="191"/>
        <v>NA</v>
      </c>
      <c r="V476" s="29" t="str">
        <f t="shared" si="192"/>
        <v>NA</v>
      </c>
      <c r="W476" s="29" t="str">
        <f t="shared" si="193"/>
        <v>NA</v>
      </c>
      <c r="X476" s="29" t="str">
        <f t="shared" si="194"/>
        <v>NA</v>
      </c>
      <c r="Y476" s="29" t="str">
        <f t="shared" si="195"/>
        <v>NA</v>
      </c>
      <c r="Z476" s="29" t="str">
        <f t="shared" si="196"/>
        <v>NA</v>
      </c>
      <c r="AA476" s="29" t="str">
        <f t="shared" si="197"/>
        <v>NA</v>
      </c>
      <c r="AB476" s="29" t="str">
        <f t="shared" si="198"/>
        <v>NA</v>
      </c>
      <c r="AC476" s="29" t="str">
        <f t="shared" si="199"/>
        <v>NA</v>
      </c>
      <c r="AD476" s="29" t="str">
        <f t="shared" si="200"/>
        <v>NA</v>
      </c>
      <c r="AE476" s="29" t="str">
        <f t="shared" si="201"/>
        <v>NA</v>
      </c>
      <c r="AF476" s="29" t="str">
        <f t="shared" si="202"/>
        <v>NA</v>
      </c>
      <c r="AG476" s="29" t="str">
        <f t="shared" si="203"/>
        <v>NA</v>
      </c>
      <c r="AH476" s="29" t="str">
        <f t="shared" si="204"/>
        <v>NA</v>
      </c>
    </row>
    <row r="477" customHeight="1" spans="1:34">
      <c r="A477" s="12" t="s">
        <v>1043</v>
      </c>
      <c r="F477" s="24">
        <f t="shared" si="186"/>
        <v>0</v>
      </c>
      <c r="G477" s="24" t="e">
        <f t="shared" si="185"/>
        <v>#DIV/0!</v>
      </c>
      <c r="Q477" s="29" t="str">
        <f t="shared" si="187"/>
        <v>NA</v>
      </c>
      <c r="R477" s="29" t="str">
        <f t="shared" si="188"/>
        <v>NA</v>
      </c>
      <c r="S477" s="29" t="str">
        <f t="shared" si="189"/>
        <v>NA</v>
      </c>
      <c r="T477" s="29" t="str">
        <f t="shared" si="190"/>
        <v>NA</v>
      </c>
      <c r="U477" s="29" t="str">
        <f t="shared" si="191"/>
        <v>NA</v>
      </c>
      <c r="V477" s="29" t="str">
        <f t="shared" si="192"/>
        <v>NA</v>
      </c>
      <c r="W477" s="29" t="str">
        <f t="shared" si="193"/>
        <v>NA</v>
      </c>
      <c r="X477" s="29" t="str">
        <f t="shared" si="194"/>
        <v>NA</v>
      </c>
      <c r="Y477" s="29" t="str">
        <f t="shared" si="195"/>
        <v>NA</v>
      </c>
      <c r="Z477" s="29" t="str">
        <f t="shared" si="196"/>
        <v>NA</v>
      </c>
      <c r="AA477" s="29" t="str">
        <f t="shared" si="197"/>
        <v>NA</v>
      </c>
      <c r="AB477" s="29" t="str">
        <f t="shared" si="198"/>
        <v>NA</v>
      </c>
      <c r="AC477" s="29" t="str">
        <f t="shared" si="199"/>
        <v>NA</v>
      </c>
      <c r="AD477" s="29" t="str">
        <f t="shared" si="200"/>
        <v>NA</v>
      </c>
      <c r="AE477" s="29" t="str">
        <f t="shared" si="201"/>
        <v>NA</v>
      </c>
      <c r="AF477" s="29" t="str">
        <f t="shared" si="202"/>
        <v>NA</v>
      </c>
      <c r="AG477" s="29" t="str">
        <f t="shared" si="203"/>
        <v>NA</v>
      </c>
      <c r="AH477" s="29" t="str">
        <f t="shared" si="204"/>
        <v>NA</v>
      </c>
    </row>
    <row r="478" customHeight="1" spans="1:34">
      <c r="A478" s="12" t="s">
        <v>1043</v>
      </c>
      <c r="F478" s="24">
        <f t="shared" si="186"/>
        <v>0</v>
      </c>
      <c r="G478" s="24" t="e">
        <f t="shared" si="185"/>
        <v>#DIV/0!</v>
      </c>
      <c r="Q478" s="29" t="str">
        <f t="shared" si="187"/>
        <v>NA</v>
      </c>
      <c r="R478" s="29" t="str">
        <f t="shared" si="188"/>
        <v>NA</v>
      </c>
      <c r="S478" s="29" t="str">
        <f t="shared" si="189"/>
        <v>NA</v>
      </c>
      <c r="T478" s="29" t="str">
        <f t="shared" si="190"/>
        <v>NA</v>
      </c>
      <c r="U478" s="29" t="str">
        <f t="shared" si="191"/>
        <v>NA</v>
      </c>
      <c r="V478" s="29" t="str">
        <f t="shared" si="192"/>
        <v>NA</v>
      </c>
      <c r="W478" s="29" t="str">
        <f t="shared" si="193"/>
        <v>NA</v>
      </c>
      <c r="X478" s="29" t="str">
        <f t="shared" si="194"/>
        <v>NA</v>
      </c>
      <c r="Y478" s="29" t="str">
        <f t="shared" si="195"/>
        <v>NA</v>
      </c>
      <c r="Z478" s="29" t="str">
        <f t="shared" si="196"/>
        <v>NA</v>
      </c>
      <c r="AA478" s="29" t="str">
        <f t="shared" si="197"/>
        <v>NA</v>
      </c>
      <c r="AB478" s="29" t="str">
        <f t="shared" si="198"/>
        <v>NA</v>
      </c>
      <c r="AC478" s="29" t="str">
        <f t="shared" si="199"/>
        <v>NA</v>
      </c>
      <c r="AD478" s="29" t="str">
        <f t="shared" si="200"/>
        <v>NA</v>
      </c>
      <c r="AE478" s="29" t="str">
        <f t="shared" si="201"/>
        <v>NA</v>
      </c>
      <c r="AF478" s="29" t="str">
        <f t="shared" si="202"/>
        <v>NA</v>
      </c>
      <c r="AG478" s="29" t="str">
        <f t="shared" si="203"/>
        <v>NA</v>
      </c>
      <c r="AH478" s="29" t="str">
        <f t="shared" si="204"/>
        <v>NA</v>
      </c>
    </row>
    <row r="479" customHeight="1" spans="1:34">
      <c r="A479" s="12" t="s">
        <v>1043</v>
      </c>
      <c r="F479" s="24">
        <f t="shared" si="186"/>
        <v>0</v>
      </c>
      <c r="G479" s="24" t="e">
        <f t="shared" si="185"/>
        <v>#DIV/0!</v>
      </c>
      <c r="Q479" s="29" t="str">
        <f t="shared" si="187"/>
        <v>NA</v>
      </c>
      <c r="R479" s="29" t="str">
        <f t="shared" si="188"/>
        <v>NA</v>
      </c>
      <c r="S479" s="29" t="str">
        <f t="shared" si="189"/>
        <v>NA</v>
      </c>
      <c r="T479" s="29" t="str">
        <f t="shared" si="190"/>
        <v>NA</v>
      </c>
      <c r="U479" s="29" t="str">
        <f t="shared" si="191"/>
        <v>NA</v>
      </c>
      <c r="V479" s="29" t="str">
        <f t="shared" si="192"/>
        <v>NA</v>
      </c>
      <c r="W479" s="29" t="str">
        <f t="shared" si="193"/>
        <v>NA</v>
      </c>
      <c r="X479" s="29" t="str">
        <f t="shared" si="194"/>
        <v>NA</v>
      </c>
      <c r="Y479" s="29" t="str">
        <f t="shared" si="195"/>
        <v>NA</v>
      </c>
      <c r="Z479" s="29" t="str">
        <f t="shared" si="196"/>
        <v>NA</v>
      </c>
      <c r="AA479" s="29" t="str">
        <f t="shared" si="197"/>
        <v>NA</v>
      </c>
      <c r="AB479" s="29" t="str">
        <f t="shared" si="198"/>
        <v>NA</v>
      </c>
      <c r="AC479" s="29" t="str">
        <f t="shared" si="199"/>
        <v>NA</v>
      </c>
      <c r="AD479" s="29" t="str">
        <f t="shared" si="200"/>
        <v>NA</v>
      </c>
      <c r="AE479" s="29" t="str">
        <f t="shared" si="201"/>
        <v>NA</v>
      </c>
      <c r="AF479" s="29" t="str">
        <f t="shared" si="202"/>
        <v>NA</v>
      </c>
      <c r="AG479" s="29" t="str">
        <f t="shared" si="203"/>
        <v>NA</v>
      </c>
      <c r="AH479" s="29" t="str">
        <f t="shared" si="204"/>
        <v>NA</v>
      </c>
    </row>
    <row r="480" customHeight="1" spans="1:34">
      <c r="A480" s="12" t="s">
        <v>1043</v>
      </c>
      <c r="F480" s="24">
        <f t="shared" si="186"/>
        <v>0</v>
      </c>
      <c r="G480" s="24" t="e">
        <f t="shared" si="185"/>
        <v>#DIV/0!</v>
      </c>
      <c r="Q480" s="29" t="str">
        <f t="shared" si="187"/>
        <v>NA</v>
      </c>
      <c r="R480" s="29" t="str">
        <f t="shared" si="188"/>
        <v>NA</v>
      </c>
      <c r="S480" s="29" t="str">
        <f t="shared" si="189"/>
        <v>NA</v>
      </c>
      <c r="T480" s="29" t="str">
        <f t="shared" si="190"/>
        <v>NA</v>
      </c>
      <c r="U480" s="29" t="str">
        <f t="shared" si="191"/>
        <v>NA</v>
      </c>
      <c r="V480" s="29" t="str">
        <f t="shared" si="192"/>
        <v>NA</v>
      </c>
      <c r="W480" s="29" t="str">
        <f t="shared" si="193"/>
        <v>NA</v>
      </c>
      <c r="X480" s="29" t="str">
        <f t="shared" si="194"/>
        <v>NA</v>
      </c>
      <c r="Y480" s="29" t="str">
        <f t="shared" si="195"/>
        <v>NA</v>
      </c>
      <c r="Z480" s="29" t="str">
        <f t="shared" si="196"/>
        <v>NA</v>
      </c>
      <c r="AA480" s="29" t="str">
        <f t="shared" si="197"/>
        <v>NA</v>
      </c>
      <c r="AB480" s="29" t="str">
        <f t="shared" si="198"/>
        <v>NA</v>
      </c>
      <c r="AC480" s="29" t="str">
        <f t="shared" si="199"/>
        <v>NA</v>
      </c>
      <c r="AD480" s="29" t="str">
        <f t="shared" si="200"/>
        <v>NA</v>
      </c>
      <c r="AE480" s="29" t="str">
        <f t="shared" si="201"/>
        <v>NA</v>
      </c>
      <c r="AF480" s="29" t="str">
        <f t="shared" si="202"/>
        <v>NA</v>
      </c>
      <c r="AG480" s="29" t="str">
        <f t="shared" si="203"/>
        <v>NA</v>
      </c>
      <c r="AH480" s="29" t="str">
        <f t="shared" si="204"/>
        <v>NA</v>
      </c>
    </row>
    <row r="481" customHeight="1" spans="1:34">
      <c r="A481" s="12" t="s">
        <v>1043</v>
      </c>
      <c r="F481" s="24">
        <f t="shared" si="186"/>
        <v>0</v>
      </c>
      <c r="G481" s="24" t="e">
        <f t="shared" si="185"/>
        <v>#DIV/0!</v>
      </c>
      <c r="Q481" s="29" t="str">
        <f t="shared" si="187"/>
        <v>NA</v>
      </c>
      <c r="R481" s="29" t="str">
        <f t="shared" si="188"/>
        <v>NA</v>
      </c>
      <c r="S481" s="29" t="str">
        <f t="shared" si="189"/>
        <v>NA</v>
      </c>
      <c r="T481" s="29" t="str">
        <f t="shared" si="190"/>
        <v>NA</v>
      </c>
      <c r="U481" s="29" t="str">
        <f t="shared" si="191"/>
        <v>NA</v>
      </c>
      <c r="V481" s="29" t="str">
        <f t="shared" si="192"/>
        <v>NA</v>
      </c>
      <c r="W481" s="29" t="str">
        <f t="shared" si="193"/>
        <v>NA</v>
      </c>
      <c r="X481" s="29" t="str">
        <f t="shared" si="194"/>
        <v>NA</v>
      </c>
      <c r="Y481" s="29" t="str">
        <f t="shared" si="195"/>
        <v>NA</v>
      </c>
      <c r="Z481" s="29" t="str">
        <f t="shared" si="196"/>
        <v>NA</v>
      </c>
      <c r="AA481" s="29" t="str">
        <f t="shared" si="197"/>
        <v>NA</v>
      </c>
      <c r="AB481" s="29" t="str">
        <f t="shared" si="198"/>
        <v>NA</v>
      </c>
      <c r="AC481" s="29" t="str">
        <f t="shared" si="199"/>
        <v>NA</v>
      </c>
      <c r="AD481" s="29" t="str">
        <f t="shared" si="200"/>
        <v>NA</v>
      </c>
      <c r="AE481" s="29" t="str">
        <f t="shared" si="201"/>
        <v>NA</v>
      </c>
      <c r="AF481" s="29" t="str">
        <f t="shared" si="202"/>
        <v>NA</v>
      </c>
      <c r="AG481" s="29" t="str">
        <f t="shared" si="203"/>
        <v>NA</v>
      </c>
      <c r="AH481" s="29" t="str">
        <f t="shared" si="204"/>
        <v>NA</v>
      </c>
    </row>
    <row r="482" customHeight="1" spans="1:34">
      <c r="A482" s="12" t="s">
        <v>1043</v>
      </c>
      <c r="F482" s="24">
        <f t="shared" si="186"/>
        <v>0</v>
      </c>
      <c r="G482" s="24" t="e">
        <f t="shared" si="185"/>
        <v>#DIV/0!</v>
      </c>
      <c r="Q482" s="29" t="str">
        <f t="shared" si="187"/>
        <v>NA</v>
      </c>
      <c r="R482" s="29" t="str">
        <f t="shared" si="188"/>
        <v>NA</v>
      </c>
      <c r="S482" s="29" t="str">
        <f t="shared" si="189"/>
        <v>NA</v>
      </c>
      <c r="T482" s="29" t="str">
        <f t="shared" si="190"/>
        <v>NA</v>
      </c>
      <c r="U482" s="29" t="str">
        <f t="shared" si="191"/>
        <v>NA</v>
      </c>
      <c r="V482" s="29" t="str">
        <f t="shared" si="192"/>
        <v>NA</v>
      </c>
      <c r="W482" s="29" t="str">
        <f t="shared" si="193"/>
        <v>NA</v>
      </c>
      <c r="X482" s="29" t="str">
        <f t="shared" si="194"/>
        <v>NA</v>
      </c>
      <c r="Y482" s="29" t="str">
        <f t="shared" si="195"/>
        <v>NA</v>
      </c>
      <c r="Z482" s="29" t="str">
        <f t="shared" si="196"/>
        <v>NA</v>
      </c>
      <c r="AA482" s="29" t="str">
        <f t="shared" si="197"/>
        <v>NA</v>
      </c>
      <c r="AB482" s="29" t="str">
        <f t="shared" si="198"/>
        <v>NA</v>
      </c>
      <c r="AC482" s="29" t="str">
        <f t="shared" si="199"/>
        <v>NA</v>
      </c>
      <c r="AD482" s="29" t="str">
        <f t="shared" si="200"/>
        <v>NA</v>
      </c>
      <c r="AE482" s="29" t="str">
        <f t="shared" si="201"/>
        <v>NA</v>
      </c>
      <c r="AF482" s="29" t="str">
        <f t="shared" si="202"/>
        <v>NA</v>
      </c>
      <c r="AG482" s="29" t="str">
        <f t="shared" si="203"/>
        <v>NA</v>
      </c>
      <c r="AH482" s="29" t="str">
        <f t="shared" si="204"/>
        <v>NA</v>
      </c>
    </row>
    <row r="483" customHeight="1" spans="1:34">
      <c r="A483" s="12" t="s">
        <v>1043</v>
      </c>
      <c r="F483" s="24">
        <f t="shared" si="186"/>
        <v>0</v>
      </c>
      <c r="G483" s="24" t="e">
        <f t="shared" si="185"/>
        <v>#DIV/0!</v>
      </c>
      <c r="Q483" s="29" t="str">
        <f t="shared" si="187"/>
        <v>NA</v>
      </c>
      <c r="R483" s="29" t="str">
        <f t="shared" si="188"/>
        <v>NA</v>
      </c>
      <c r="S483" s="29" t="str">
        <f t="shared" si="189"/>
        <v>NA</v>
      </c>
      <c r="T483" s="29" t="str">
        <f t="shared" si="190"/>
        <v>NA</v>
      </c>
      <c r="U483" s="29" t="str">
        <f t="shared" si="191"/>
        <v>NA</v>
      </c>
      <c r="V483" s="29" t="str">
        <f t="shared" si="192"/>
        <v>NA</v>
      </c>
      <c r="W483" s="29" t="str">
        <f t="shared" si="193"/>
        <v>NA</v>
      </c>
      <c r="X483" s="29" t="str">
        <f t="shared" si="194"/>
        <v>NA</v>
      </c>
      <c r="Y483" s="29" t="str">
        <f t="shared" si="195"/>
        <v>NA</v>
      </c>
      <c r="Z483" s="29" t="str">
        <f t="shared" si="196"/>
        <v>NA</v>
      </c>
      <c r="AA483" s="29" t="str">
        <f t="shared" si="197"/>
        <v>NA</v>
      </c>
      <c r="AB483" s="29" t="str">
        <f t="shared" si="198"/>
        <v>NA</v>
      </c>
      <c r="AC483" s="29" t="str">
        <f t="shared" si="199"/>
        <v>NA</v>
      </c>
      <c r="AD483" s="29" t="str">
        <f t="shared" si="200"/>
        <v>NA</v>
      </c>
      <c r="AE483" s="29" t="str">
        <f t="shared" si="201"/>
        <v>NA</v>
      </c>
      <c r="AF483" s="29" t="str">
        <f t="shared" si="202"/>
        <v>NA</v>
      </c>
      <c r="AG483" s="29" t="str">
        <f t="shared" si="203"/>
        <v>NA</v>
      </c>
      <c r="AH483" s="29" t="str">
        <f t="shared" si="204"/>
        <v>NA</v>
      </c>
    </row>
    <row r="484" customHeight="1" spans="1:34">
      <c r="A484" s="12" t="s">
        <v>1043</v>
      </c>
      <c r="F484" s="24">
        <f t="shared" si="186"/>
        <v>0</v>
      </c>
      <c r="G484" s="24" t="e">
        <f t="shared" si="185"/>
        <v>#DIV/0!</v>
      </c>
      <c r="Q484" s="29" t="str">
        <f t="shared" si="187"/>
        <v>NA</v>
      </c>
      <c r="R484" s="29" t="str">
        <f t="shared" si="188"/>
        <v>NA</v>
      </c>
      <c r="S484" s="29" t="str">
        <f t="shared" si="189"/>
        <v>NA</v>
      </c>
      <c r="T484" s="29" t="str">
        <f t="shared" si="190"/>
        <v>NA</v>
      </c>
      <c r="U484" s="29" t="str">
        <f t="shared" si="191"/>
        <v>NA</v>
      </c>
      <c r="V484" s="29" t="str">
        <f t="shared" si="192"/>
        <v>NA</v>
      </c>
      <c r="W484" s="29" t="str">
        <f t="shared" si="193"/>
        <v>NA</v>
      </c>
      <c r="X484" s="29" t="str">
        <f t="shared" si="194"/>
        <v>NA</v>
      </c>
      <c r="Y484" s="29" t="str">
        <f t="shared" si="195"/>
        <v>NA</v>
      </c>
      <c r="Z484" s="29" t="str">
        <f t="shared" si="196"/>
        <v>NA</v>
      </c>
      <c r="AA484" s="29" t="str">
        <f t="shared" si="197"/>
        <v>NA</v>
      </c>
      <c r="AB484" s="29" t="str">
        <f t="shared" si="198"/>
        <v>NA</v>
      </c>
      <c r="AC484" s="29" t="str">
        <f t="shared" si="199"/>
        <v>NA</v>
      </c>
      <c r="AD484" s="29" t="str">
        <f t="shared" si="200"/>
        <v>NA</v>
      </c>
      <c r="AE484" s="29" t="str">
        <f t="shared" si="201"/>
        <v>NA</v>
      </c>
      <c r="AF484" s="29" t="str">
        <f t="shared" si="202"/>
        <v>NA</v>
      </c>
      <c r="AG484" s="29" t="str">
        <f t="shared" si="203"/>
        <v>NA</v>
      </c>
      <c r="AH484" s="29" t="str">
        <f t="shared" si="204"/>
        <v>NA</v>
      </c>
    </row>
    <row r="485" customHeight="1" spans="1:34">
      <c r="A485" s="12" t="s">
        <v>1043</v>
      </c>
      <c r="F485" s="24">
        <f t="shared" si="186"/>
        <v>0</v>
      </c>
      <c r="G485" s="24" t="e">
        <f t="shared" si="185"/>
        <v>#DIV/0!</v>
      </c>
      <c r="Q485" s="29" t="str">
        <f t="shared" si="187"/>
        <v>NA</v>
      </c>
      <c r="R485" s="29" t="str">
        <f t="shared" si="188"/>
        <v>NA</v>
      </c>
      <c r="S485" s="29" t="str">
        <f t="shared" si="189"/>
        <v>NA</v>
      </c>
      <c r="T485" s="29" t="str">
        <f t="shared" si="190"/>
        <v>NA</v>
      </c>
      <c r="U485" s="29" t="str">
        <f t="shared" si="191"/>
        <v>NA</v>
      </c>
      <c r="V485" s="29" t="str">
        <f t="shared" si="192"/>
        <v>NA</v>
      </c>
      <c r="W485" s="29" t="str">
        <f t="shared" si="193"/>
        <v>NA</v>
      </c>
      <c r="X485" s="29" t="str">
        <f t="shared" si="194"/>
        <v>NA</v>
      </c>
      <c r="Y485" s="29" t="str">
        <f t="shared" si="195"/>
        <v>NA</v>
      </c>
      <c r="Z485" s="29" t="str">
        <f t="shared" si="196"/>
        <v>NA</v>
      </c>
      <c r="AA485" s="29" t="str">
        <f t="shared" si="197"/>
        <v>NA</v>
      </c>
      <c r="AB485" s="29" t="str">
        <f t="shared" si="198"/>
        <v>NA</v>
      </c>
      <c r="AC485" s="29" t="str">
        <f t="shared" si="199"/>
        <v>NA</v>
      </c>
      <c r="AD485" s="29" t="str">
        <f t="shared" si="200"/>
        <v>NA</v>
      </c>
      <c r="AE485" s="29" t="str">
        <f t="shared" si="201"/>
        <v>NA</v>
      </c>
      <c r="AF485" s="29" t="str">
        <f t="shared" si="202"/>
        <v>NA</v>
      </c>
      <c r="AG485" s="29" t="str">
        <f t="shared" si="203"/>
        <v>NA</v>
      </c>
      <c r="AH485" s="29" t="str">
        <f t="shared" si="204"/>
        <v>NA</v>
      </c>
    </row>
    <row r="486" customHeight="1" spans="1:34">
      <c r="A486" s="12" t="s">
        <v>1043</v>
      </c>
      <c r="F486" s="24">
        <f t="shared" si="186"/>
        <v>0</v>
      </c>
      <c r="G486" s="24" t="e">
        <f t="shared" si="185"/>
        <v>#DIV/0!</v>
      </c>
      <c r="Q486" s="29" t="str">
        <f t="shared" si="187"/>
        <v>NA</v>
      </c>
      <c r="R486" s="29" t="str">
        <f t="shared" si="188"/>
        <v>NA</v>
      </c>
      <c r="S486" s="29" t="str">
        <f t="shared" si="189"/>
        <v>NA</v>
      </c>
      <c r="T486" s="29" t="str">
        <f t="shared" si="190"/>
        <v>NA</v>
      </c>
      <c r="U486" s="29" t="str">
        <f t="shared" si="191"/>
        <v>NA</v>
      </c>
      <c r="V486" s="29" t="str">
        <f t="shared" si="192"/>
        <v>NA</v>
      </c>
      <c r="W486" s="29" t="str">
        <f t="shared" si="193"/>
        <v>NA</v>
      </c>
      <c r="X486" s="29" t="str">
        <f t="shared" si="194"/>
        <v>NA</v>
      </c>
      <c r="Y486" s="29" t="str">
        <f t="shared" si="195"/>
        <v>NA</v>
      </c>
      <c r="Z486" s="29" t="str">
        <f t="shared" si="196"/>
        <v>NA</v>
      </c>
      <c r="AA486" s="29" t="str">
        <f t="shared" si="197"/>
        <v>NA</v>
      </c>
      <c r="AB486" s="29" t="str">
        <f t="shared" si="198"/>
        <v>NA</v>
      </c>
      <c r="AC486" s="29" t="str">
        <f t="shared" si="199"/>
        <v>NA</v>
      </c>
      <c r="AD486" s="29" t="str">
        <f t="shared" si="200"/>
        <v>NA</v>
      </c>
      <c r="AE486" s="29" t="str">
        <f t="shared" si="201"/>
        <v>NA</v>
      </c>
      <c r="AF486" s="29" t="str">
        <f t="shared" si="202"/>
        <v>NA</v>
      </c>
      <c r="AG486" s="29" t="str">
        <f t="shared" si="203"/>
        <v>NA</v>
      </c>
      <c r="AH486" s="29" t="str">
        <f t="shared" si="204"/>
        <v>NA</v>
      </c>
    </row>
    <row r="487" customHeight="1" spans="1:34">
      <c r="A487" s="12" t="s">
        <v>1043</v>
      </c>
      <c r="F487" s="24">
        <f t="shared" si="186"/>
        <v>0</v>
      </c>
      <c r="G487" s="24" t="e">
        <f t="shared" si="185"/>
        <v>#DIV/0!</v>
      </c>
      <c r="Q487" s="29" t="str">
        <f t="shared" si="187"/>
        <v>NA</v>
      </c>
      <c r="R487" s="29" t="str">
        <f t="shared" si="188"/>
        <v>NA</v>
      </c>
      <c r="S487" s="29" t="str">
        <f t="shared" si="189"/>
        <v>NA</v>
      </c>
      <c r="T487" s="29" t="str">
        <f t="shared" si="190"/>
        <v>NA</v>
      </c>
      <c r="U487" s="29" t="str">
        <f t="shared" si="191"/>
        <v>NA</v>
      </c>
      <c r="V487" s="29" t="str">
        <f t="shared" si="192"/>
        <v>NA</v>
      </c>
      <c r="W487" s="29" t="str">
        <f t="shared" si="193"/>
        <v>NA</v>
      </c>
      <c r="X487" s="29" t="str">
        <f t="shared" si="194"/>
        <v>NA</v>
      </c>
      <c r="Y487" s="29" t="str">
        <f t="shared" si="195"/>
        <v>NA</v>
      </c>
      <c r="Z487" s="29" t="str">
        <f t="shared" si="196"/>
        <v>NA</v>
      </c>
      <c r="AA487" s="29" t="str">
        <f t="shared" si="197"/>
        <v>NA</v>
      </c>
      <c r="AB487" s="29" t="str">
        <f t="shared" si="198"/>
        <v>NA</v>
      </c>
      <c r="AC487" s="29" t="str">
        <f t="shared" si="199"/>
        <v>NA</v>
      </c>
      <c r="AD487" s="29" t="str">
        <f t="shared" si="200"/>
        <v>NA</v>
      </c>
      <c r="AE487" s="29" t="str">
        <f t="shared" si="201"/>
        <v>NA</v>
      </c>
      <c r="AF487" s="29" t="str">
        <f t="shared" si="202"/>
        <v>NA</v>
      </c>
      <c r="AG487" s="29" t="str">
        <f t="shared" si="203"/>
        <v>NA</v>
      </c>
      <c r="AH487" s="29" t="str">
        <f t="shared" si="204"/>
        <v>NA</v>
      </c>
    </row>
    <row r="488" customHeight="1" spans="1:34">
      <c r="A488" s="12" t="s">
        <v>1043</v>
      </c>
      <c r="F488" s="24">
        <f t="shared" si="186"/>
        <v>0</v>
      </c>
      <c r="G488" s="24" t="e">
        <f t="shared" si="185"/>
        <v>#DIV/0!</v>
      </c>
      <c r="Q488" s="29" t="str">
        <f t="shared" si="187"/>
        <v>NA</v>
      </c>
      <c r="R488" s="29" t="str">
        <f t="shared" si="188"/>
        <v>NA</v>
      </c>
      <c r="S488" s="29" t="str">
        <f t="shared" si="189"/>
        <v>NA</v>
      </c>
      <c r="T488" s="29" t="str">
        <f t="shared" si="190"/>
        <v>NA</v>
      </c>
      <c r="U488" s="29" t="str">
        <f t="shared" si="191"/>
        <v>NA</v>
      </c>
      <c r="V488" s="29" t="str">
        <f t="shared" si="192"/>
        <v>NA</v>
      </c>
      <c r="W488" s="29" t="str">
        <f t="shared" si="193"/>
        <v>NA</v>
      </c>
      <c r="X488" s="29" t="str">
        <f t="shared" si="194"/>
        <v>NA</v>
      </c>
      <c r="Y488" s="29" t="str">
        <f t="shared" si="195"/>
        <v>NA</v>
      </c>
      <c r="Z488" s="29" t="str">
        <f t="shared" si="196"/>
        <v>NA</v>
      </c>
      <c r="AA488" s="29" t="str">
        <f t="shared" si="197"/>
        <v>NA</v>
      </c>
      <c r="AB488" s="29" t="str">
        <f t="shared" si="198"/>
        <v>NA</v>
      </c>
      <c r="AC488" s="29" t="str">
        <f t="shared" si="199"/>
        <v>NA</v>
      </c>
      <c r="AD488" s="29" t="str">
        <f t="shared" si="200"/>
        <v>NA</v>
      </c>
      <c r="AE488" s="29" t="str">
        <f t="shared" si="201"/>
        <v>NA</v>
      </c>
      <c r="AF488" s="29" t="str">
        <f t="shared" si="202"/>
        <v>NA</v>
      </c>
      <c r="AG488" s="29" t="str">
        <f t="shared" si="203"/>
        <v>NA</v>
      </c>
      <c r="AH488" s="29" t="str">
        <f t="shared" si="204"/>
        <v>NA</v>
      </c>
    </row>
    <row r="489" customHeight="1" spans="1:34">
      <c r="A489" s="12" t="s">
        <v>1043</v>
      </c>
      <c r="F489" s="24">
        <f t="shared" si="186"/>
        <v>0</v>
      </c>
      <c r="G489" s="24" t="e">
        <f t="shared" si="185"/>
        <v>#DIV/0!</v>
      </c>
      <c r="Q489" s="29" t="str">
        <f t="shared" si="187"/>
        <v>NA</v>
      </c>
      <c r="R489" s="29" t="str">
        <f t="shared" si="188"/>
        <v>NA</v>
      </c>
      <c r="S489" s="29" t="str">
        <f t="shared" si="189"/>
        <v>NA</v>
      </c>
      <c r="T489" s="29" t="str">
        <f t="shared" si="190"/>
        <v>NA</v>
      </c>
      <c r="U489" s="29" t="str">
        <f t="shared" si="191"/>
        <v>NA</v>
      </c>
      <c r="V489" s="29" t="str">
        <f t="shared" si="192"/>
        <v>NA</v>
      </c>
      <c r="W489" s="29" t="str">
        <f t="shared" si="193"/>
        <v>NA</v>
      </c>
      <c r="X489" s="29" t="str">
        <f t="shared" si="194"/>
        <v>NA</v>
      </c>
      <c r="Y489" s="29" t="str">
        <f t="shared" si="195"/>
        <v>NA</v>
      </c>
      <c r="Z489" s="29" t="str">
        <f t="shared" si="196"/>
        <v>NA</v>
      </c>
      <c r="AA489" s="29" t="str">
        <f t="shared" si="197"/>
        <v>NA</v>
      </c>
      <c r="AB489" s="29" t="str">
        <f t="shared" si="198"/>
        <v>NA</v>
      </c>
      <c r="AC489" s="29" t="str">
        <f t="shared" si="199"/>
        <v>NA</v>
      </c>
      <c r="AD489" s="29" t="str">
        <f t="shared" si="200"/>
        <v>NA</v>
      </c>
      <c r="AE489" s="29" t="str">
        <f t="shared" si="201"/>
        <v>NA</v>
      </c>
      <c r="AF489" s="29" t="str">
        <f t="shared" si="202"/>
        <v>NA</v>
      </c>
      <c r="AG489" s="29" t="str">
        <f t="shared" si="203"/>
        <v>NA</v>
      </c>
      <c r="AH489" s="29" t="str">
        <f t="shared" si="204"/>
        <v>NA</v>
      </c>
    </row>
    <row r="490" customHeight="1" spans="1:34">
      <c r="A490" s="12" t="s">
        <v>1043</v>
      </c>
      <c r="F490" s="24">
        <f t="shared" si="186"/>
        <v>0</v>
      </c>
      <c r="G490" s="24" t="e">
        <f t="shared" si="185"/>
        <v>#DIV/0!</v>
      </c>
      <c r="Q490" s="29" t="str">
        <f t="shared" si="187"/>
        <v>NA</v>
      </c>
      <c r="R490" s="29" t="str">
        <f t="shared" si="188"/>
        <v>NA</v>
      </c>
      <c r="S490" s="29" t="str">
        <f t="shared" si="189"/>
        <v>NA</v>
      </c>
      <c r="T490" s="29" t="str">
        <f t="shared" si="190"/>
        <v>NA</v>
      </c>
      <c r="U490" s="29" t="str">
        <f t="shared" si="191"/>
        <v>NA</v>
      </c>
      <c r="V490" s="29" t="str">
        <f t="shared" si="192"/>
        <v>NA</v>
      </c>
      <c r="W490" s="29" t="str">
        <f t="shared" si="193"/>
        <v>NA</v>
      </c>
      <c r="X490" s="29" t="str">
        <f t="shared" si="194"/>
        <v>NA</v>
      </c>
      <c r="Y490" s="29" t="str">
        <f t="shared" si="195"/>
        <v>NA</v>
      </c>
      <c r="Z490" s="29" t="str">
        <f t="shared" si="196"/>
        <v>NA</v>
      </c>
      <c r="AA490" s="29" t="str">
        <f t="shared" si="197"/>
        <v>NA</v>
      </c>
      <c r="AB490" s="29" t="str">
        <f t="shared" si="198"/>
        <v>NA</v>
      </c>
      <c r="AC490" s="29" t="str">
        <f t="shared" si="199"/>
        <v>NA</v>
      </c>
      <c r="AD490" s="29" t="str">
        <f t="shared" si="200"/>
        <v>NA</v>
      </c>
      <c r="AE490" s="29" t="str">
        <f t="shared" si="201"/>
        <v>NA</v>
      </c>
      <c r="AF490" s="29" t="str">
        <f t="shared" si="202"/>
        <v>NA</v>
      </c>
      <c r="AG490" s="29" t="str">
        <f t="shared" si="203"/>
        <v>NA</v>
      </c>
      <c r="AH490" s="29" t="str">
        <f t="shared" si="204"/>
        <v>NA</v>
      </c>
    </row>
    <row r="491" customHeight="1" spans="1:34">
      <c r="A491" s="12" t="s">
        <v>1043</v>
      </c>
      <c r="F491" s="24">
        <f t="shared" si="186"/>
        <v>0</v>
      </c>
      <c r="G491" s="24" t="e">
        <f t="shared" si="185"/>
        <v>#DIV/0!</v>
      </c>
      <c r="Q491" s="29" t="str">
        <f t="shared" si="187"/>
        <v>NA</v>
      </c>
      <c r="R491" s="29" t="str">
        <f t="shared" si="188"/>
        <v>NA</v>
      </c>
      <c r="S491" s="29" t="str">
        <f t="shared" si="189"/>
        <v>NA</v>
      </c>
      <c r="T491" s="29" t="str">
        <f t="shared" si="190"/>
        <v>NA</v>
      </c>
      <c r="U491" s="29" t="str">
        <f t="shared" si="191"/>
        <v>NA</v>
      </c>
      <c r="V491" s="29" t="str">
        <f t="shared" si="192"/>
        <v>NA</v>
      </c>
      <c r="W491" s="29" t="str">
        <f t="shared" si="193"/>
        <v>NA</v>
      </c>
      <c r="X491" s="29" t="str">
        <f t="shared" si="194"/>
        <v>NA</v>
      </c>
      <c r="Y491" s="29" t="str">
        <f t="shared" si="195"/>
        <v>NA</v>
      </c>
      <c r="Z491" s="29" t="str">
        <f t="shared" si="196"/>
        <v>NA</v>
      </c>
      <c r="AA491" s="29" t="str">
        <f t="shared" si="197"/>
        <v>NA</v>
      </c>
      <c r="AB491" s="29" t="str">
        <f t="shared" si="198"/>
        <v>NA</v>
      </c>
      <c r="AC491" s="29" t="str">
        <f t="shared" si="199"/>
        <v>NA</v>
      </c>
      <c r="AD491" s="29" t="str">
        <f t="shared" si="200"/>
        <v>NA</v>
      </c>
      <c r="AE491" s="29" t="str">
        <f t="shared" si="201"/>
        <v>NA</v>
      </c>
      <c r="AF491" s="29" t="str">
        <f t="shared" si="202"/>
        <v>NA</v>
      </c>
      <c r="AG491" s="29" t="str">
        <f t="shared" si="203"/>
        <v>NA</v>
      </c>
      <c r="AH491" s="29" t="str">
        <f t="shared" si="204"/>
        <v>NA</v>
      </c>
    </row>
    <row r="492" customHeight="1" spans="1:34">
      <c r="A492" s="12" t="s">
        <v>1043</v>
      </c>
      <c r="F492" s="24">
        <f t="shared" si="186"/>
        <v>0</v>
      </c>
      <c r="G492" s="24" t="e">
        <f t="shared" si="185"/>
        <v>#DIV/0!</v>
      </c>
      <c r="Q492" s="29" t="str">
        <f t="shared" si="187"/>
        <v>NA</v>
      </c>
      <c r="R492" s="29" t="str">
        <f t="shared" si="188"/>
        <v>NA</v>
      </c>
      <c r="S492" s="29" t="str">
        <f t="shared" si="189"/>
        <v>NA</v>
      </c>
      <c r="T492" s="29" t="str">
        <f t="shared" si="190"/>
        <v>NA</v>
      </c>
      <c r="U492" s="29" t="str">
        <f t="shared" si="191"/>
        <v>NA</v>
      </c>
      <c r="V492" s="29" t="str">
        <f t="shared" si="192"/>
        <v>NA</v>
      </c>
      <c r="W492" s="29" t="str">
        <f t="shared" si="193"/>
        <v>NA</v>
      </c>
      <c r="X492" s="29" t="str">
        <f t="shared" si="194"/>
        <v>NA</v>
      </c>
      <c r="Y492" s="29" t="str">
        <f t="shared" si="195"/>
        <v>NA</v>
      </c>
      <c r="Z492" s="29" t="str">
        <f t="shared" si="196"/>
        <v>NA</v>
      </c>
      <c r="AA492" s="29" t="str">
        <f t="shared" si="197"/>
        <v>NA</v>
      </c>
      <c r="AB492" s="29" t="str">
        <f t="shared" si="198"/>
        <v>NA</v>
      </c>
      <c r="AC492" s="29" t="str">
        <f t="shared" si="199"/>
        <v>NA</v>
      </c>
      <c r="AD492" s="29" t="str">
        <f t="shared" si="200"/>
        <v>NA</v>
      </c>
      <c r="AE492" s="29" t="str">
        <f t="shared" si="201"/>
        <v>NA</v>
      </c>
      <c r="AF492" s="29" t="str">
        <f t="shared" si="202"/>
        <v>NA</v>
      </c>
      <c r="AG492" s="29" t="str">
        <f t="shared" si="203"/>
        <v>NA</v>
      </c>
      <c r="AH492" s="29" t="str">
        <f t="shared" si="204"/>
        <v>NA</v>
      </c>
    </row>
    <row r="493" customHeight="1" spans="1:34">
      <c r="A493" s="12" t="s">
        <v>1043</v>
      </c>
      <c r="F493" s="24">
        <f t="shared" si="186"/>
        <v>0</v>
      </c>
      <c r="G493" s="24" t="e">
        <f t="shared" si="185"/>
        <v>#DIV/0!</v>
      </c>
      <c r="Q493" s="29" t="str">
        <f t="shared" si="187"/>
        <v>NA</v>
      </c>
      <c r="R493" s="29" t="str">
        <f t="shared" si="188"/>
        <v>NA</v>
      </c>
      <c r="S493" s="29" t="str">
        <f t="shared" si="189"/>
        <v>NA</v>
      </c>
      <c r="T493" s="29" t="str">
        <f t="shared" si="190"/>
        <v>NA</v>
      </c>
      <c r="U493" s="29" t="str">
        <f t="shared" si="191"/>
        <v>NA</v>
      </c>
      <c r="V493" s="29" t="str">
        <f t="shared" si="192"/>
        <v>NA</v>
      </c>
      <c r="W493" s="29" t="str">
        <f t="shared" si="193"/>
        <v>NA</v>
      </c>
      <c r="X493" s="29" t="str">
        <f t="shared" si="194"/>
        <v>NA</v>
      </c>
      <c r="Y493" s="29" t="str">
        <f t="shared" si="195"/>
        <v>NA</v>
      </c>
      <c r="Z493" s="29" t="str">
        <f t="shared" si="196"/>
        <v>NA</v>
      </c>
      <c r="AA493" s="29" t="str">
        <f t="shared" si="197"/>
        <v>NA</v>
      </c>
      <c r="AB493" s="29" t="str">
        <f t="shared" si="198"/>
        <v>NA</v>
      </c>
      <c r="AC493" s="29" t="str">
        <f t="shared" si="199"/>
        <v>NA</v>
      </c>
      <c r="AD493" s="29" t="str">
        <f t="shared" si="200"/>
        <v>NA</v>
      </c>
      <c r="AE493" s="29" t="str">
        <f t="shared" si="201"/>
        <v>NA</v>
      </c>
      <c r="AF493" s="29" t="str">
        <f t="shared" si="202"/>
        <v>NA</v>
      </c>
      <c r="AG493" s="29" t="str">
        <f t="shared" si="203"/>
        <v>NA</v>
      </c>
      <c r="AH493" s="29" t="str">
        <f t="shared" si="204"/>
        <v>NA</v>
      </c>
    </row>
    <row r="494" customHeight="1" spans="1:34">
      <c r="A494" s="12" t="s">
        <v>1043</v>
      </c>
      <c r="F494" s="24">
        <f t="shared" si="186"/>
        <v>0</v>
      </c>
      <c r="G494" s="24" t="e">
        <f t="shared" si="185"/>
        <v>#DIV/0!</v>
      </c>
      <c r="Q494" s="29" t="str">
        <f t="shared" si="187"/>
        <v>NA</v>
      </c>
      <c r="R494" s="29" t="str">
        <f t="shared" si="188"/>
        <v>NA</v>
      </c>
      <c r="S494" s="29" t="str">
        <f t="shared" si="189"/>
        <v>NA</v>
      </c>
      <c r="T494" s="29" t="str">
        <f t="shared" si="190"/>
        <v>NA</v>
      </c>
      <c r="U494" s="29" t="str">
        <f t="shared" si="191"/>
        <v>NA</v>
      </c>
      <c r="V494" s="29" t="str">
        <f t="shared" si="192"/>
        <v>NA</v>
      </c>
      <c r="W494" s="29" t="str">
        <f t="shared" si="193"/>
        <v>NA</v>
      </c>
      <c r="X494" s="29" t="str">
        <f t="shared" si="194"/>
        <v>NA</v>
      </c>
      <c r="Y494" s="29" t="str">
        <f t="shared" si="195"/>
        <v>NA</v>
      </c>
      <c r="Z494" s="29" t="str">
        <f t="shared" si="196"/>
        <v>NA</v>
      </c>
      <c r="AA494" s="29" t="str">
        <f t="shared" si="197"/>
        <v>NA</v>
      </c>
      <c r="AB494" s="29" t="str">
        <f t="shared" si="198"/>
        <v>NA</v>
      </c>
      <c r="AC494" s="29" t="str">
        <f t="shared" si="199"/>
        <v>NA</v>
      </c>
      <c r="AD494" s="29" t="str">
        <f t="shared" si="200"/>
        <v>NA</v>
      </c>
      <c r="AE494" s="29" t="str">
        <f t="shared" si="201"/>
        <v>NA</v>
      </c>
      <c r="AF494" s="29" t="str">
        <f t="shared" si="202"/>
        <v>NA</v>
      </c>
      <c r="AG494" s="29" t="str">
        <f t="shared" si="203"/>
        <v>NA</v>
      </c>
      <c r="AH494" s="29" t="str">
        <f t="shared" si="204"/>
        <v>NA</v>
      </c>
    </row>
    <row r="495" customHeight="1" spans="1:34">
      <c r="A495" s="12" t="s">
        <v>1043</v>
      </c>
      <c r="F495" s="24">
        <f t="shared" si="186"/>
        <v>0</v>
      </c>
      <c r="G495" s="24" t="e">
        <f t="shared" si="185"/>
        <v>#DIV/0!</v>
      </c>
      <c r="Q495" s="29" t="str">
        <f t="shared" si="187"/>
        <v>NA</v>
      </c>
      <c r="R495" s="29" t="str">
        <f t="shared" si="188"/>
        <v>NA</v>
      </c>
      <c r="S495" s="29" t="str">
        <f t="shared" si="189"/>
        <v>NA</v>
      </c>
      <c r="T495" s="29" t="str">
        <f t="shared" si="190"/>
        <v>NA</v>
      </c>
      <c r="U495" s="29" t="str">
        <f t="shared" si="191"/>
        <v>NA</v>
      </c>
      <c r="V495" s="29" t="str">
        <f t="shared" si="192"/>
        <v>NA</v>
      </c>
      <c r="W495" s="29" t="str">
        <f t="shared" si="193"/>
        <v>NA</v>
      </c>
      <c r="X495" s="29" t="str">
        <f t="shared" si="194"/>
        <v>NA</v>
      </c>
      <c r="Y495" s="29" t="str">
        <f t="shared" si="195"/>
        <v>NA</v>
      </c>
      <c r="Z495" s="29" t="str">
        <f t="shared" si="196"/>
        <v>NA</v>
      </c>
      <c r="AA495" s="29" t="str">
        <f t="shared" si="197"/>
        <v>NA</v>
      </c>
      <c r="AB495" s="29" t="str">
        <f t="shared" si="198"/>
        <v>NA</v>
      </c>
      <c r="AC495" s="29" t="str">
        <f t="shared" si="199"/>
        <v>NA</v>
      </c>
      <c r="AD495" s="29" t="str">
        <f t="shared" si="200"/>
        <v>NA</v>
      </c>
      <c r="AE495" s="29" t="str">
        <f t="shared" si="201"/>
        <v>NA</v>
      </c>
      <c r="AF495" s="29" t="str">
        <f t="shared" si="202"/>
        <v>NA</v>
      </c>
      <c r="AG495" s="29" t="str">
        <f t="shared" si="203"/>
        <v>NA</v>
      </c>
      <c r="AH495" s="29" t="str">
        <f t="shared" si="204"/>
        <v>NA</v>
      </c>
    </row>
    <row r="496" customHeight="1" spans="1:34">
      <c r="A496" s="12" t="s">
        <v>1043</v>
      </c>
      <c r="F496" s="24">
        <f t="shared" si="186"/>
        <v>0</v>
      </c>
      <c r="G496" s="24" t="e">
        <f t="shared" si="185"/>
        <v>#DIV/0!</v>
      </c>
      <c r="Q496" s="29" t="str">
        <f t="shared" si="187"/>
        <v>NA</v>
      </c>
      <c r="R496" s="29" t="str">
        <f t="shared" si="188"/>
        <v>NA</v>
      </c>
      <c r="S496" s="29" t="str">
        <f t="shared" si="189"/>
        <v>NA</v>
      </c>
      <c r="T496" s="29" t="str">
        <f t="shared" si="190"/>
        <v>NA</v>
      </c>
      <c r="U496" s="29" t="str">
        <f t="shared" si="191"/>
        <v>NA</v>
      </c>
      <c r="V496" s="29" t="str">
        <f t="shared" si="192"/>
        <v>NA</v>
      </c>
      <c r="W496" s="29" t="str">
        <f t="shared" si="193"/>
        <v>NA</v>
      </c>
      <c r="X496" s="29" t="str">
        <f t="shared" si="194"/>
        <v>NA</v>
      </c>
      <c r="Y496" s="29" t="str">
        <f t="shared" si="195"/>
        <v>NA</v>
      </c>
      <c r="Z496" s="29" t="str">
        <f t="shared" si="196"/>
        <v>NA</v>
      </c>
      <c r="AA496" s="29" t="str">
        <f t="shared" si="197"/>
        <v>NA</v>
      </c>
      <c r="AB496" s="29" t="str">
        <f t="shared" si="198"/>
        <v>NA</v>
      </c>
      <c r="AC496" s="29" t="str">
        <f t="shared" si="199"/>
        <v>NA</v>
      </c>
      <c r="AD496" s="29" t="str">
        <f t="shared" si="200"/>
        <v>NA</v>
      </c>
      <c r="AE496" s="29" t="str">
        <f t="shared" si="201"/>
        <v>NA</v>
      </c>
      <c r="AF496" s="29" t="str">
        <f t="shared" si="202"/>
        <v>NA</v>
      </c>
      <c r="AG496" s="29" t="str">
        <f t="shared" si="203"/>
        <v>NA</v>
      </c>
      <c r="AH496" s="29" t="str">
        <f t="shared" si="204"/>
        <v>NA</v>
      </c>
    </row>
    <row r="497" customHeight="1" spans="1:34">
      <c r="A497" s="12" t="s">
        <v>1043</v>
      </c>
      <c r="F497" s="24">
        <f t="shared" si="186"/>
        <v>0</v>
      </c>
      <c r="G497" s="24" t="e">
        <f t="shared" si="185"/>
        <v>#DIV/0!</v>
      </c>
      <c r="Q497" s="29" t="str">
        <f t="shared" si="187"/>
        <v>NA</v>
      </c>
      <c r="R497" s="29" t="str">
        <f t="shared" si="188"/>
        <v>NA</v>
      </c>
      <c r="S497" s="29" t="str">
        <f t="shared" si="189"/>
        <v>NA</v>
      </c>
      <c r="T497" s="29" t="str">
        <f t="shared" si="190"/>
        <v>NA</v>
      </c>
      <c r="U497" s="29" t="str">
        <f t="shared" si="191"/>
        <v>NA</v>
      </c>
      <c r="V497" s="29" t="str">
        <f t="shared" si="192"/>
        <v>NA</v>
      </c>
      <c r="W497" s="29" t="str">
        <f t="shared" si="193"/>
        <v>NA</v>
      </c>
      <c r="X497" s="29" t="str">
        <f t="shared" si="194"/>
        <v>NA</v>
      </c>
      <c r="Y497" s="29" t="str">
        <f t="shared" si="195"/>
        <v>NA</v>
      </c>
      <c r="Z497" s="29" t="str">
        <f t="shared" si="196"/>
        <v>NA</v>
      </c>
      <c r="AA497" s="29" t="str">
        <f t="shared" si="197"/>
        <v>NA</v>
      </c>
      <c r="AB497" s="29" t="str">
        <f t="shared" si="198"/>
        <v>NA</v>
      </c>
      <c r="AC497" s="29" t="str">
        <f t="shared" si="199"/>
        <v>NA</v>
      </c>
      <c r="AD497" s="29" t="str">
        <f t="shared" si="200"/>
        <v>NA</v>
      </c>
      <c r="AE497" s="29" t="str">
        <f t="shared" si="201"/>
        <v>NA</v>
      </c>
      <c r="AF497" s="29" t="str">
        <f t="shared" si="202"/>
        <v>NA</v>
      </c>
      <c r="AG497" s="29" t="str">
        <f t="shared" si="203"/>
        <v>NA</v>
      </c>
      <c r="AH497" s="29" t="str">
        <f t="shared" si="204"/>
        <v>NA</v>
      </c>
    </row>
    <row r="498" customHeight="1" spans="1:34">
      <c r="A498" s="12" t="s">
        <v>1043</v>
      </c>
      <c r="F498" s="24">
        <f t="shared" si="186"/>
        <v>0</v>
      </c>
      <c r="G498" s="24" t="e">
        <f t="shared" si="185"/>
        <v>#DIV/0!</v>
      </c>
      <c r="Q498" s="29" t="str">
        <f t="shared" si="187"/>
        <v>NA</v>
      </c>
      <c r="R498" s="29" t="str">
        <f t="shared" si="188"/>
        <v>NA</v>
      </c>
      <c r="S498" s="29" t="str">
        <f t="shared" si="189"/>
        <v>NA</v>
      </c>
      <c r="T498" s="29" t="str">
        <f t="shared" si="190"/>
        <v>NA</v>
      </c>
      <c r="U498" s="29" t="str">
        <f t="shared" si="191"/>
        <v>NA</v>
      </c>
      <c r="V498" s="29" t="str">
        <f t="shared" si="192"/>
        <v>NA</v>
      </c>
      <c r="W498" s="29" t="str">
        <f t="shared" si="193"/>
        <v>NA</v>
      </c>
      <c r="X498" s="29" t="str">
        <f t="shared" si="194"/>
        <v>NA</v>
      </c>
      <c r="Y498" s="29" t="str">
        <f t="shared" si="195"/>
        <v>NA</v>
      </c>
      <c r="Z498" s="29" t="str">
        <f t="shared" si="196"/>
        <v>NA</v>
      </c>
      <c r="AA498" s="29" t="str">
        <f t="shared" si="197"/>
        <v>NA</v>
      </c>
      <c r="AB498" s="29" t="str">
        <f t="shared" si="198"/>
        <v>NA</v>
      </c>
      <c r="AC498" s="29" t="str">
        <f t="shared" si="199"/>
        <v>NA</v>
      </c>
      <c r="AD498" s="29" t="str">
        <f t="shared" si="200"/>
        <v>NA</v>
      </c>
      <c r="AE498" s="29" t="str">
        <f t="shared" si="201"/>
        <v>NA</v>
      </c>
      <c r="AF498" s="29" t="str">
        <f t="shared" si="202"/>
        <v>NA</v>
      </c>
      <c r="AG498" s="29" t="str">
        <f t="shared" si="203"/>
        <v>NA</v>
      </c>
      <c r="AH498" s="29" t="str">
        <f t="shared" si="204"/>
        <v>NA</v>
      </c>
    </row>
    <row r="499" customHeight="1" spans="1:34">
      <c r="A499" s="12" t="s">
        <v>1043</v>
      </c>
      <c r="F499" s="24">
        <f t="shared" si="186"/>
        <v>0</v>
      </c>
      <c r="G499" s="24" t="e">
        <f t="shared" si="185"/>
        <v>#DIV/0!</v>
      </c>
      <c r="Q499" s="29" t="str">
        <f t="shared" si="187"/>
        <v>NA</v>
      </c>
      <c r="R499" s="29" t="str">
        <f t="shared" si="188"/>
        <v>NA</v>
      </c>
      <c r="S499" s="29" t="str">
        <f t="shared" si="189"/>
        <v>NA</v>
      </c>
      <c r="T499" s="29" t="str">
        <f t="shared" si="190"/>
        <v>NA</v>
      </c>
      <c r="U499" s="29" t="str">
        <f t="shared" si="191"/>
        <v>NA</v>
      </c>
      <c r="V499" s="29" t="str">
        <f t="shared" si="192"/>
        <v>NA</v>
      </c>
      <c r="W499" s="29" t="str">
        <f t="shared" si="193"/>
        <v>NA</v>
      </c>
      <c r="X499" s="29" t="str">
        <f t="shared" si="194"/>
        <v>NA</v>
      </c>
      <c r="Y499" s="29" t="str">
        <f t="shared" si="195"/>
        <v>NA</v>
      </c>
      <c r="Z499" s="29" t="str">
        <f t="shared" si="196"/>
        <v>NA</v>
      </c>
      <c r="AA499" s="29" t="str">
        <f t="shared" si="197"/>
        <v>NA</v>
      </c>
      <c r="AB499" s="29" t="str">
        <f t="shared" si="198"/>
        <v>NA</v>
      </c>
      <c r="AC499" s="29" t="str">
        <f t="shared" si="199"/>
        <v>NA</v>
      </c>
      <c r="AD499" s="29" t="str">
        <f t="shared" si="200"/>
        <v>NA</v>
      </c>
      <c r="AE499" s="29" t="str">
        <f t="shared" si="201"/>
        <v>NA</v>
      </c>
      <c r="AF499" s="29" t="str">
        <f t="shared" si="202"/>
        <v>NA</v>
      </c>
      <c r="AG499" s="29" t="str">
        <f t="shared" si="203"/>
        <v>NA</v>
      </c>
      <c r="AH499" s="29" t="str">
        <f t="shared" si="204"/>
        <v>NA</v>
      </c>
    </row>
    <row r="500" customHeight="1" spans="1:34">
      <c r="A500" s="12" t="s">
        <v>1043</v>
      </c>
      <c r="F500" s="24">
        <f t="shared" si="186"/>
        <v>0</v>
      </c>
      <c r="G500" s="24" t="e">
        <f t="shared" si="185"/>
        <v>#DIV/0!</v>
      </c>
      <c r="Q500" s="29" t="str">
        <f t="shared" si="187"/>
        <v>NA</v>
      </c>
      <c r="R500" s="29" t="str">
        <f t="shared" si="188"/>
        <v>NA</v>
      </c>
      <c r="S500" s="29" t="str">
        <f t="shared" si="189"/>
        <v>NA</v>
      </c>
      <c r="T500" s="29" t="str">
        <f t="shared" si="190"/>
        <v>NA</v>
      </c>
      <c r="U500" s="29" t="str">
        <f t="shared" si="191"/>
        <v>NA</v>
      </c>
      <c r="V500" s="29" t="str">
        <f t="shared" si="192"/>
        <v>NA</v>
      </c>
      <c r="W500" s="29" t="str">
        <f t="shared" si="193"/>
        <v>NA</v>
      </c>
      <c r="X500" s="29" t="str">
        <f t="shared" si="194"/>
        <v>NA</v>
      </c>
      <c r="Y500" s="29" t="str">
        <f t="shared" si="195"/>
        <v>NA</v>
      </c>
      <c r="Z500" s="29" t="str">
        <f t="shared" si="196"/>
        <v>NA</v>
      </c>
      <c r="AA500" s="29" t="str">
        <f t="shared" si="197"/>
        <v>NA</v>
      </c>
      <c r="AB500" s="29" t="str">
        <f t="shared" si="198"/>
        <v>NA</v>
      </c>
      <c r="AC500" s="29" t="str">
        <f t="shared" si="199"/>
        <v>NA</v>
      </c>
      <c r="AD500" s="29" t="str">
        <f t="shared" si="200"/>
        <v>NA</v>
      </c>
      <c r="AE500" s="29" t="str">
        <f t="shared" si="201"/>
        <v>NA</v>
      </c>
      <c r="AF500" s="29" t="str">
        <f t="shared" si="202"/>
        <v>NA</v>
      </c>
      <c r="AG500" s="29" t="str">
        <f t="shared" si="203"/>
        <v>NA</v>
      </c>
      <c r="AH500" s="29" t="str">
        <f t="shared" si="204"/>
        <v>NA</v>
      </c>
    </row>
    <row r="501" customHeight="1" spans="1:34">
      <c r="A501" s="12" t="s">
        <v>1043</v>
      </c>
      <c r="F501" s="24">
        <f t="shared" si="186"/>
        <v>0</v>
      </c>
      <c r="G501" s="24" t="e">
        <f t="shared" si="185"/>
        <v>#DIV/0!</v>
      </c>
      <c r="Q501" s="29" t="str">
        <f t="shared" si="187"/>
        <v>NA</v>
      </c>
      <c r="R501" s="29" t="str">
        <f t="shared" si="188"/>
        <v>NA</v>
      </c>
      <c r="S501" s="29" t="str">
        <f t="shared" si="189"/>
        <v>NA</v>
      </c>
      <c r="T501" s="29" t="str">
        <f t="shared" si="190"/>
        <v>NA</v>
      </c>
      <c r="U501" s="29" t="str">
        <f t="shared" si="191"/>
        <v>NA</v>
      </c>
      <c r="V501" s="29" t="str">
        <f t="shared" si="192"/>
        <v>NA</v>
      </c>
      <c r="W501" s="29" t="str">
        <f t="shared" si="193"/>
        <v>NA</v>
      </c>
      <c r="X501" s="29" t="str">
        <f t="shared" si="194"/>
        <v>NA</v>
      </c>
      <c r="Y501" s="29" t="str">
        <f t="shared" si="195"/>
        <v>NA</v>
      </c>
      <c r="Z501" s="29" t="str">
        <f t="shared" si="196"/>
        <v>NA</v>
      </c>
      <c r="AA501" s="29" t="str">
        <f t="shared" si="197"/>
        <v>NA</v>
      </c>
      <c r="AB501" s="29" t="str">
        <f t="shared" si="198"/>
        <v>NA</v>
      </c>
      <c r="AC501" s="29" t="str">
        <f t="shared" si="199"/>
        <v>NA</v>
      </c>
      <c r="AD501" s="29" t="str">
        <f t="shared" si="200"/>
        <v>NA</v>
      </c>
      <c r="AE501" s="29" t="str">
        <f t="shared" si="201"/>
        <v>NA</v>
      </c>
      <c r="AF501" s="29" t="str">
        <f t="shared" si="202"/>
        <v>NA</v>
      </c>
      <c r="AG501" s="29" t="str">
        <f t="shared" si="203"/>
        <v>NA</v>
      </c>
      <c r="AH501" s="29" t="str">
        <f t="shared" si="204"/>
        <v>NA</v>
      </c>
    </row>
    <row r="502" customHeight="1" spans="1:34">
      <c r="A502" s="12" t="s">
        <v>1043</v>
      </c>
      <c r="F502" s="24">
        <f t="shared" si="186"/>
        <v>0</v>
      </c>
      <c r="G502" s="24" t="e">
        <f t="shared" si="185"/>
        <v>#DIV/0!</v>
      </c>
      <c r="Q502" s="29" t="str">
        <f t="shared" si="187"/>
        <v>NA</v>
      </c>
      <c r="R502" s="29" t="str">
        <f t="shared" si="188"/>
        <v>NA</v>
      </c>
      <c r="S502" s="29" t="str">
        <f t="shared" si="189"/>
        <v>NA</v>
      </c>
      <c r="T502" s="29" t="str">
        <f t="shared" si="190"/>
        <v>NA</v>
      </c>
      <c r="U502" s="29" t="str">
        <f t="shared" si="191"/>
        <v>NA</v>
      </c>
      <c r="V502" s="29" t="str">
        <f t="shared" si="192"/>
        <v>NA</v>
      </c>
      <c r="W502" s="29" t="str">
        <f t="shared" si="193"/>
        <v>NA</v>
      </c>
      <c r="X502" s="29" t="str">
        <f t="shared" si="194"/>
        <v>NA</v>
      </c>
      <c r="Y502" s="29" t="str">
        <f t="shared" si="195"/>
        <v>NA</v>
      </c>
      <c r="Z502" s="29" t="str">
        <f t="shared" si="196"/>
        <v>NA</v>
      </c>
      <c r="AA502" s="29" t="str">
        <f t="shared" si="197"/>
        <v>NA</v>
      </c>
      <c r="AB502" s="29" t="str">
        <f t="shared" si="198"/>
        <v>NA</v>
      </c>
      <c r="AC502" s="29" t="str">
        <f t="shared" si="199"/>
        <v>NA</v>
      </c>
      <c r="AD502" s="29" t="str">
        <f t="shared" si="200"/>
        <v>NA</v>
      </c>
      <c r="AE502" s="29" t="str">
        <f t="shared" si="201"/>
        <v>NA</v>
      </c>
      <c r="AF502" s="29" t="str">
        <f t="shared" si="202"/>
        <v>NA</v>
      </c>
      <c r="AG502" s="29" t="str">
        <f t="shared" si="203"/>
        <v>NA</v>
      </c>
      <c r="AH502" s="29" t="str">
        <f t="shared" si="204"/>
        <v>NA</v>
      </c>
    </row>
    <row r="503" customHeight="1" spans="1:34">
      <c r="A503" s="12" t="s">
        <v>1043</v>
      </c>
      <c r="F503" s="24">
        <f t="shared" si="186"/>
        <v>0</v>
      </c>
      <c r="G503" s="24" t="e">
        <f t="shared" si="185"/>
        <v>#DIV/0!</v>
      </c>
      <c r="Q503" s="29" t="str">
        <f t="shared" si="187"/>
        <v>NA</v>
      </c>
      <c r="R503" s="29" t="str">
        <f t="shared" si="188"/>
        <v>NA</v>
      </c>
      <c r="S503" s="29" t="str">
        <f t="shared" si="189"/>
        <v>NA</v>
      </c>
      <c r="T503" s="29" t="str">
        <f t="shared" si="190"/>
        <v>NA</v>
      </c>
      <c r="U503" s="29" t="str">
        <f t="shared" si="191"/>
        <v>NA</v>
      </c>
      <c r="V503" s="29" t="str">
        <f t="shared" si="192"/>
        <v>NA</v>
      </c>
      <c r="W503" s="29" t="str">
        <f t="shared" si="193"/>
        <v>NA</v>
      </c>
      <c r="X503" s="29" t="str">
        <f t="shared" si="194"/>
        <v>NA</v>
      </c>
      <c r="Y503" s="29" t="str">
        <f t="shared" si="195"/>
        <v>NA</v>
      </c>
      <c r="Z503" s="29" t="str">
        <f t="shared" si="196"/>
        <v>NA</v>
      </c>
      <c r="AA503" s="29" t="str">
        <f t="shared" si="197"/>
        <v>NA</v>
      </c>
      <c r="AB503" s="29" t="str">
        <f t="shared" si="198"/>
        <v>NA</v>
      </c>
      <c r="AC503" s="29" t="str">
        <f t="shared" si="199"/>
        <v>NA</v>
      </c>
      <c r="AD503" s="29" t="str">
        <f t="shared" si="200"/>
        <v>NA</v>
      </c>
      <c r="AE503" s="29" t="str">
        <f t="shared" si="201"/>
        <v>NA</v>
      </c>
      <c r="AF503" s="29" t="str">
        <f t="shared" si="202"/>
        <v>NA</v>
      </c>
      <c r="AG503" s="29" t="str">
        <f t="shared" si="203"/>
        <v>NA</v>
      </c>
      <c r="AH503" s="29" t="str">
        <f t="shared" si="204"/>
        <v>NA</v>
      </c>
    </row>
    <row r="504" customHeight="1" spans="1:34">
      <c r="A504" s="12" t="s">
        <v>1043</v>
      </c>
      <c r="F504" s="24">
        <f t="shared" si="186"/>
        <v>0</v>
      </c>
      <c r="G504" s="24" t="e">
        <f t="shared" si="185"/>
        <v>#DIV/0!</v>
      </c>
      <c r="Q504" s="29" t="str">
        <f t="shared" si="187"/>
        <v>NA</v>
      </c>
      <c r="R504" s="29" t="str">
        <f t="shared" si="188"/>
        <v>NA</v>
      </c>
      <c r="S504" s="29" t="str">
        <f t="shared" si="189"/>
        <v>NA</v>
      </c>
      <c r="T504" s="29" t="str">
        <f t="shared" si="190"/>
        <v>NA</v>
      </c>
      <c r="U504" s="29" t="str">
        <f t="shared" si="191"/>
        <v>NA</v>
      </c>
      <c r="V504" s="29" t="str">
        <f t="shared" si="192"/>
        <v>NA</v>
      </c>
      <c r="W504" s="29" t="str">
        <f t="shared" si="193"/>
        <v>NA</v>
      </c>
      <c r="X504" s="29" t="str">
        <f t="shared" si="194"/>
        <v>NA</v>
      </c>
      <c r="Y504" s="29" t="str">
        <f t="shared" si="195"/>
        <v>NA</v>
      </c>
      <c r="Z504" s="29" t="str">
        <f t="shared" si="196"/>
        <v>NA</v>
      </c>
      <c r="AA504" s="29" t="str">
        <f t="shared" si="197"/>
        <v>NA</v>
      </c>
      <c r="AB504" s="29" t="str">
        <f t="shared" si="198"/>
        <v>NA</v>
      </c>
      <c r="AC504" s="29" t="str">
        <f t="shared" si="199"/>
        <v>NA</v>
      </c>
      <c r="AD504" s="29" t="str">
        <f t="shared" si="200"/>
        <v>NA</v>
      </c>
      <c r="AE504" s="29" t="str">
        <f t="shared" si="201"/>
        <v>NA</v>
      </c>
      <c r="AF504" s="29" t="str">
        <f t="shared" si="202"/>
        <v>NA</v>
      </c>
      <c r="AG504" s="29" t="str">
        <f t="shared" si="203"/>
        <v>NA</v>
      </c>
      <c r="AH504" s="29" t="str">
        <f t="shared" si="204"/>
        <v>NA</v>
      </c>
    </row>
    <row r="505" customHeight="1" spans="1:34">
      <c r="A505" s="12" t="s">
        <v>1043</v>
      </c>
      <c r="F505" s="24">
        <f t="shared" si="186"/>
        <v>0</v>
      </c>
      <c r="G505" s="24" t="e">
        <f t="shared" si="185"/>
        <v>#DIV/0!</v>
      </c>
      <c r="Q505" s="29" t="str">
        <f t="shared" si="187"/>
        <v>NA</v>
      </c>
      <c r="R505" s="29" t="str">
        <f t="shared" si="188"/>
        <v>NA</v>
      </c>
      <c r="S505" s="29" t="str">
        <f t="shared" si="189"/>
        <v>NA</v>
      </c>
      <c r="T505" s="29" t="str">
        <f t="shared" si="190"/>
        <v>NA</v>
      </c>
      <c r="U505" s="29" t="str">
        <f t="shared" si="191"/>
        <v>NA</v>
      </c>
      <c r="V505" s="29" t="str">
        <f t="shared" si="192"/>
        <v>NA</v>
      </c>
      <c r="W505" s="29" t="str">
        <f t="shared" si="193"/>
        <v>NA</v>
      </c>
      <c r="X505" s="29" t="str">
        <f t="shared" si="194"/>
        <v>NA</v>
      </c>
      <c r="Y505" s="29" t="str">
        <f t="shared" si="195"/>
        <v>NA</v>
      </c>
      <c r="Z505" s="29" t="str">
        <f t="shared" si="196"/>
        <v>NA</v>
      </c>
      <c r="AA505" s="29" t="str">
        <f t="shared" si="197"/>
        <v>NA</v>
      </c>
      <c r="AB505" s="29" t="str">
        <f t="shared" si="198"/>
        <v>NA</v>
      </c>
      <c r="AC505" s="29" t="str">
        <f t="shared" si="199"/>
        <v>NA</v>
      </c>
      <c r="AD505" s="29" t="str">
        <f t="shared" si="200"/>
        <v>NA</v>
      </c>
      <c r="AE505" s="29" t="str">
        <f t="shared" si="201"/>
        <v>NA</v>
      </c>
      <c r="AF505" s="29" t="str">
        <f t="shared" si="202"/>
        <v>NA</v>
      </c>
      <c r="AG505" s="29" t="str">
        <f t="shared" si="203"/>
        <v>NA</v>
      </c>
      <c r="AH505" s="29" t="str">
        <f t="shared" si="204"/>
        <v>NA</v>
      </c>
    </row>
    <row r="506" customHeight="1" spans="1:34">
      <c r="A506" s="12" t="s">
        <v>1043</v>
      </c>
      <c r="F506" s="24">
        <f t="shared" si="186"/>
        <v>0</v>
      </c>
      <c r="G506" s="24" t="e">
        <f t="shared" si="185"/>
        <v>#DIV/0!</v>
      </c>
      <c r="Q506" s="29" t="str">
        <f t="shared" si="187"/>
        <v>NA</v>
      </c>
      <c r="R506" s="29" t="str">
        <f t="shared" si="188"/>
        <v>NA</v>
      </c>
      <c r="S506" s="29" t="str">
        <f t="shared" si="189"/>
        <v>NA</v>
      </c>
      <c r="T506" s="29" t="str">
        <f t="shared" si="190"/>
        <v>NA</v>
      </c>
      <c r="U506" s="29" t="str">
        <f t="shared" si="191"/>
        <v>NA</v>
      </c>
      <c r="V506" s="29" t="str">
        <f t="shared" si="192"/>
        <v>NA</v>
      </c>
      <c r="W506" s="29" t="str">
        <f t="shared" si="193"/>
        <v>NA</v>
      </c>
      <c r="X506" s="29" t="str">
        <f t="shared" si="194"/>
        <v>NA</v>
      </c>
      <c r="Y506" s="29" t="str">
        <f t="shared" si="195"/>
        <v>NA</v>
      </c>
      <c r="Z506" s="29" t="str">
        <f t="shared" si="196"/>
        <v>NA</v>
      </c>
      <c r="AA506" s="29" t="str">
        <f t="shared" si="197"/>
        <v>NA</v>
      </c>
      <c r="AB506" s="29" t="str">
        <f t="shared" si="198"/>
        <v>NA</v>
      </c>
      <c r="AC506" s="29" t="str">
        <f t="shared" si="199"/>
        <v>NA</v>
      </c>
      <c r="AD506" s="29" t="str">
        <f t="shared" si="200"/>
        <v>NA</v>
      </c>
      <c r="AE506" s="29" t="str">
        <f t="shared" si="201"/>
        <v>NA</v>
      </c>
      <c r="AF506" s="29" t="str">
        <f t="shared" si="202"/>
        <v>NA</v>
      </c>
      <c r="AG506" s="29" t="str">
        <f t="shared" si="203"/>
        <v>NA</v>
      </c>
      <c r="AH506" s="29" t="str">
        <f t="shared" si="204"/>
        <v>NA</v>
      </c>
    </row>
    <row r="507" customHeight="1" spans="1:34">
      <c r="A507" s="12" t="s">
        <v>1043</v>
      </c>
      <c r="F507" s="24">
        <f t="shared" si="186"/>
        <v>0</v>
      </c>
      <c r="G507" s="24" t="e">
        <f t="shared" si="185"/>
        <v>#DIV/0!</v>
      </c>
      <c r="Q507" s="29" t="str">
        <f t="shared" si="187"/>
        <v>NA</v>
      </c>
      <c r="R507" s="29" t="str">
        <f t="shared" si="188"/>
        <v>NA</v>
      </c>
      <c r="S507" s="29" t="str">
        <f t="shared" si="189"/>
        <v>NA</v>
      </c>
      <c r="T507" s="29" t="str">
        <f t="shared" si="190"/>
        <v>NA</v>
      </c>
      <c r="U507" s="29" t="str">
        <f t="shared" si="191"/>
        <v>NA</v>
      </c>
      <c r="V507" s="29" t="str">
        <f t="shared" si="192"/>
        <v>NA</v>
      </c>
      <c r="W507" s="29" t="str">
        <f t="shared" si="193"/>
        <v>NA</v>
      </c>
      <c r="X507" s="29" t="str">
        <f t="shared" si="194"/>
        <v>NA</v>
      </c>
      <c r="Y507" s="29" t="str">
        <f t="shared" si="195"/>
        <v>NA</v>
      </c>
      <c r="Z507" s="29" t="str">
        <f t="shared" si="196"/>
        <v>NA</v>
      </c>
      <c r="AA507" s="29" t="str">
        <f t="shared" si="197"/>
        <v>NA</v>
      </c>
      <c r="AB507" s="29" t="str">
        <f t="shared" si="198"/>
        <v>NA</v>
      </c>
      <c r="AC507" s="29" t="str">
        <f t="shared" si="199"/>
        <v>NA</v>
      </c>
      <c r="AD507" s="29" t="str">
        <f t="shared" si="200"/>
        <v>NA</v>
      </c>
      <c r="AE507" s="29" t="str">
        <f t="shared" si="201"/>
        <v>NA</v>
      </c>
      <c r="AF507" s="29" t="str">
        <f t="shared" si="202"/>
        <v>NA</v>
      </c>
      <c r="AG507" s="29" t="str">
        <f t="shared" si="203"/>
        <v>NA</v>
      </c>
      <c r="AH507" s="29" t="str">
        <f t="shared" si="204"/>
        <v>NA</v>
      </c>
    </row>
    <row r="508" customHeight="1" spans="1:34">
      <c r="A508" s="12" t="s">
        <v>1043</v>
      </c>
      <c r="F508" s="24">
        <f t="shared" si="186"/>
        <v>0</v>
      </c>
      <c r="G508" s="24" t="e">
        <f t="shared" si="185"/>
        <v>#DIV/0!</v>
      </c>
      <c r="Q508" s="29" t="str">
        <f t="shared" si="187"/>
        <v>NA</v>
      </c>
      <c r="R508" s="29" t="str">
        <f t="shared" si="188"/>
        <v>NA</v>
      </c>
      <c r="S508" s="29" t="str">
        <f t="shared" si="189"/>
        <v>NA</v>
      </c>
      <c r="T508" s="29" t="str">
        <f t="shared" si="190"/>
        <v>NA</v>
      </c>
      <c r="U508" s="29" t="str">
        <f t="shared" si="191"/>
        <v>NA</v>
      </c>
      <c r="V508" s="29" t="str">
        <f t="shared" si="192"/>
        <v>NA</v>
      </c>
      <c r="W508" s="29" t="str">
        <f t="shared" si="193"/>
        <v>NA</v>
      </c>
      <c r="X508" s="29" t="str">
        <f t="shared" si="194"/>
        <v>NA</v>
      </c>
      <c r="Y508" s="29" t="str">
        <f t="shared" si="195"/>
        <v>NA</v>
      </c>
      <c r="Z508" s="29" t="str">
        <f t="shared" si="196"/>
        <v>NA</v>
      </c>
      <c r="AA508" s="29" t="str">
        <f t="shared" si="197"/>
        <v>NA</v>
      </c>
      <c r="AB508" s="29" t="str">
        <f t="shared" si="198"/>
        <v>NA</v>
      </c>
      <c r="AC508" s="29" t="str">
        <f t="shared" si="199"/>
        <v>NA</v>
      </c>
      <c r="AD508" s="29" t="str">
        <f t="shared" si="200"/>
        <v>NA</v>
      </c>
      <c r="AE508" s="29" t="str">
        <f t="shared" si="201"/>
        <v>NA</v>
      </c>
      <c r="AF508" s="29" t="str">
        <f t="shared" si="202"/>
        <v>NA</v>
      </c>
      <c r="AG508" s="29" t="str">
        <f t="shared" si="203"/>
        <v>NA</v>
      </c>
      <c r="AH508" s="29" t="str">
        <f t="shared" si="204"/>
        <v>NA</v>
      </c>
    </row>
    <row r="509" customHeight="1" spans="1:34">
      <c r="A509" s="12" t="s">
        <v>1043</v>
      </c>
      <c r="F509" s="24">
        <f t="shared" si="186"/>
        <v>0</v>
      </c>
      <c r="G509" s="24" t="e">
        <f t="shared" si="185"/>
        <v>#DIV/0!</v>
      </c>
      <c r="Q509" s="29" t="str">
        <f t="shared" si="187"/>
        <v>NA</v>
      </c>
      <c r="R509" s="29" t="str">
        <f t="shared" si="188"/>
        <v>NA</v>
      </c>
      <c r="S509" s="29" t="str">
        <f t="shared" si="189"/>
        <v>NA</v>
      </c>
      <c r="T509" s="29" t="str">
        <f t="shared" si="190"/>
        <v>NA</v>
      </c>
      <c r="U509" s="29" t="str">
        <f t="shared" si="191"/>
        <v>NA</v>
      </c>
      <c r="V509" s="29" t="str">
        <f t="shared" si="192"/>
        <v>NA</v>
      </c>
      <c r="W509" s="29" t="str">
        <f t="shared" si="193"/>
        <v>NA</v>
      </c>
      <c r="X509" s="29" t="str">
        <f t="shared" si="194"/>
        <v>NA</v>
      </c>
      <c r="Y509" s="29" t="str">
        <f t="shared" si="195"/>
        <v>NA</v>
      </c>
      <c r="Z509" s="29" t="str">
        <f t="shared" si="196"/>
        <v>NA</v>
      </c>
      <c r="AA509" s="29" t="str">
        <f t="shared" si="197"/>
        <v>NA</v>
      </c>
      <c r="AB509" s="29" t="str">
        <f t="shared" si="198"/>
        <v>NA</v>
      </c>
      <c r="AC509" s="29" t="str">
        <f t="shared" si="199"/>
        <v>NA</v>
      </c>
      <c r="AD509" s="29" t="str">
        <f t="shared" si="200"/>
        <v>NA</v>
      </c>
      <c r="AE509" s="29" t="str">
        <f t="shared" si="201"/>
        <v>NA</v>
      </c>
      <c r="AF509" s="29" t="str">
        <f t="shared" si="202"/>
        <v>NA</v>
      </c>
      <c r="AG509" s="29" t="str">
        <f t="shared" si="203"/>
        <v>NA</v>
      </c>
      <c r="AH509" s="29" t="str">
        <f t="shared" si="204"/>
        <v>NA</v>
      </c>
    </row>
    <row r="510" customHeight="1" spans="1:34">
      <c r="A510" s="12" t="s">
        <v>1043</v>
      </c>
      <c r="F510" s="24">
        <f t="shared" si="186"/>
        <v>0</v>
      </c>
      <c r="G510" s="24" t="e">
        <f t="shared" si="185"/>
        <v>#DIV/0!</v>
      </c>
      <c r="Q510" s="29" t="str">
        <f t="shared" si="187"/>
        <v>NA</v>
      </c>
      <c r="R510" s="29" t="str">
        <f t="shared" si="188"/>
        <v>NA</v>
      </c>
      <c r="S510" s="29" t="str">
        <f t="shared" si="189"/>
        <v>NA</v>
      </c>
      <c r="T510" s="29" t="str">
        <f t="shared" si="190"/>
        <v>NA</v>
      </c>
      <c r="U510" s="29" t="str">
        <f t="shared" si="191"/>
        <v>NA</v>
      </c>
      <c r="V510" s="29" t="str">
        <f t="shared" si="192"/>
        <v>NA</v>
      </c>
      <c r="W510" s="29" t="str">
        <f t="shared" si="193"/>
        <v>NA</v>
      </c>
      <c r="X510" s="29" t="str">
        <f t="shared" si="194"/>
        <v>NA</v>
      </c>
      <c r="Y510" s="29" t="str">
        <f t="shared" si="195"/>
        <v>NA</v>
      </c>
      <c r="Z510" s="29" t="str">
        <f t="shared" si="196"/>
        <v>NA</v>
      </c>
      <c r="AA510" s="29" t="str">
        <f t="shared" si="197"/>
        <v>NA</v>
      </c>
      <c r="AB510" s="29" t="str">
        <f t="shared" si="198"/>
        <v>NA</v>
      </c>
      <c r="AC510" s="29" t="str">
        <f t="shared" si="199"/>
        <v>NA</v>
      </c>
      <c r="AD510" s="29" t="str">
        <f t="shared" si="200"/>
        <v>NA</v>
      </c>
      <c r="AE510" s="29" t="str">
        <f t="shared" si="201"/>
        <v>NA</v>
      </c>
      <c r="AF510" s="29" t="str">
        <f t="shared" si="202"/>
        <v>NA</v>
      </c>
      <c r="AG510" s="29" t="str">
        <f t="shared" si="203"/>
        <v>NA</v>
      </c>
      <c r="AH510" s="29" t="str">
        <f t="shared" si="204"/>
        <v>NA</v>
      </c>
    </row>
    <row r="511" customHeight="1" spans="1:34">
      <c r="A511" s="12" t="s">
        <v>1043</v>
      </c>
      <c r="F511" s="24">
        <f t="shared" si="186"/>
        <v>0</v>
      </c>
      <c r="G511" s="24" t="e">
        <f t="shared" si="185"/>
        <v>#DIV/0!</v>
      </c>
      <c r="Q511" s="29" t="str">
        <f t="shared" si="187"/>
        <v>NA</v>
      </c>
      <c r="R511" s="29" t="str">
        <f t="shared" si="188"/>
        <v>NA</v>
      </c>
      <c r="S511" s="29" t="str">
        <f t="shared" si="189"/>
        <v>NA</v>
      </c>
      <c r="T511" s="29" t="str">
        <f t="shared" si="190"/>
        <v>NA</v>
      </c>
      <c r="U511" s="29" t="str">
        <f t="shared" si="191"/>
        <v>NA</v>
      </c>
      <c r="V511" s="29" t="str">
        <f t="shared" si="192"/>
        <v>NA</v>
      </c>
      <c r="W511" s="29" t="str">
        <f t="shared" si="193"/>
        <v>NA</v>
      </c>
      <c r="X511" s="29" t="str">
        <f t="shared" si="194"/>
        <v>NA</v>
      </c>
      <c r="Y511" s="29" t="str">
        <f t="shared" si="195"/>
        <v>NA</v>
      </c>
      <c r="Z511" s="29" t="str">
        <f t="shared" si="196"/>
        <v>NA</v>
      </c>
      <c r="AA511" s="29" t="str">
        <f t="shared" si="197"/>
        <v>NA</v>
      </c>
      <c r="AB511" s="29" t="str">
        <f t="shared" si="198"/>
        <v>NA</v>
      </c>
      <c r="AC511" s="29" t="str">
        <f t="shared" si="199"/>
        <v>NA</v>
      </c>
      <c r="AD511" s="29" t="str">
        <f t="shared" si="200"/>
        <v>NA</v>
      </c>
      <c r="AE511" s="29" t="str">
        <f t="shared" si="201"/>
        <v>NA</v>
      </c>
      <c r="AF511" s="29" t="str">
        <f t="shared" si="202"/>
        <v>NA</v>
      </c>
      <c r="AG511" s="29" t="str">
        <f t="shared" si="203"/>
        <v>NA</v>
      </c>
      <c r="AH511" s="29" t="str">
        <f t="shared" si="204"/>
        <v>NA</v>
      </c>
    </row>
    <row r="512" customHeight="1" spans="1:34">
      <c r="A512" s="12" t="s">
        <v>1043</v>
      </c>
      <c r="F512" s="24">
        <f t="shared" si="186"/>
        <v>0</v>
      </c>
      <c r="G512" s="24" t="e">
        <f t="shared" si="185"/>
        <v>#DIV/0!</v>
      </c>
      <c r="Q512" s="29" t="str">
        <f t="shared" si="187"/>
        <v>NA</v>
      </c>
      <c r="R512" s="29" t="str">
        <f t="shared" si="188"/>
        <v>NA</v>
      </c>
      <c r="S512" s="29" t="str">
        <f t="shared" si="189"/>
        <v>NA</v>
      </c>
      <c r="T512" s="29" t="str">
        <f t="shared" si="190"/>
        <v>NA</v>
      </c>
      <c r="U512" s="29" t="str">
        <f t="shared" si="191"/>
        <v>NA</v>
      </c>
      <c r="V512" s="29" t="str">
        <f t="shared" si="192"/>
        <v>NA</v>
      </c>
      <c r="W512" s="29" t="str">
        <f t="shared" si="193"/>
        <v>NA</v>
      </c>
      <c r="X512" s="29" t="str">
        <f t="shared" si="194"/>
        <v>NA</v>
      </c>
      <c r="Y512" s="29" t="str">
        <f t="shared" si="195"/>
        <v>NA</v>
      </c>
      <c r="Z512" s="29" t="str">
        <f t="shared" si="196"/>
        <v>NA</v>
      </c>
      <c r="AA512" s="29" t="str">
        <f t="shared" si="197"/>
        <v>NA</v>
      </c>
      <c r="AB512" s="29" t="str">
        <f t="shared" si="198"/>
        <v>NA</v>
      </c>
      <c r="AC512" s="29" t="str">
        <f t="shared" si="199"/>
        <v>NA</v>
      </c>
      <c r="AD512" s="29" t="str">
        <f t="shared" si="200"/>
        <v>NA</v>
      </c>
      <c r="AE512" s="29" t="str">
        <f t="shared" si="201"/>
        <v>NA</v>
      </c>
      <c r="AF512" s="29" t="str">
        <f t="shared" si="202"/>
        <v>NA</v>
      </c>
      <c r="AG512" s="29" t="str">
        <f t="shared" si="203"/>
        <v>NA</v>
      </c>
      <c r="AH512" s="29" t="str">
        <f t="shared" si="204"/>
        <v>NA</v>
      </c>
    </row>
    <row r="513" customHeight="1" spans="1:34">
      <c r="A513" s="12" t="s">
        <v>1043</v>
      </c>
      <c r="F513" s="24">
        <f t="shared" si="186"/>
        <v>0</v>
      </c>
      <c r="G513" s="24" t="e">
        <f t="shared" si="185"/>
        <v>#DIV/0!</v>
      </c>
      <c r="Q513" s="29" t="str">
        <f t="shared" si="187"/>
        <v>NA</v>
      </c>
      <c r="R513" s="29" t="str">
        <f t="shared" si="188"/>
        <v>NA</v>
      </c>
      <c r="S513" s="29" t="str">
        <f t="shared" si="189"/>
        <v>NA</v>
      </c>
      <c r="T513" s="29" t="str">
        <f t="shared" si="190"/>
        <v>NA</v>
      </c>
      <c r="U513" s="29" t="str">
        <f t="shared" si="191"/>
        <v>NA</v>
      </c>
      <c r="V513" s="29" t="str">
        <f t="shared" si="192"/>
        <v>NA</v>
      </c>
      <c r="W513" s="29" t="str">
        <f t="shared" si="193"/>
        <v>NA</v>
      </c>
      <c r="X513" s="29" t="str">
        <f t="shared" si="194"/>
        <v>NA</v>
      </c>
      <c r="Y513" s="29" t="str">
        <f t="shared" si="195"/>
        <v>NA</v>
      </c>
      <c r="Z513" s="29" t="str">
        <f t="shared" si="196"/>
        <v>NA</v>
      </c>
      <c r="AA513" s="29" t="str">
        <f t="shared" si="197"/>
        <v>NA</v>
      </c>
      <c r="AB513" s="29" t="str">
        <f t="shared" si="198"/>
        <v>NA</v>
      </c>
      <c r="AC513" s="29" t="str">
        <f t="shared" si="199"/>
        <v>NA</v>
      </c>
      <c r="AD513" s="29" t="str">
        <f t="shared" si="200"/>
        <v>NA</v>
      </c>
      <c r="AE513" s="29" t="str">
        <f t="shared" si="201"/>
        <v>NA</v>
      </c>
      <c r="AF513" s="29" t="str">
        <f t="shared" si="202"/>
        <v>NA</v>
      </c>
      <c r="AG513" s="29" t="str">
        <f t="shared" si="203"/>
        <v>NA</v>
      </c>
      <c r="AH513" s="29" t="str">
        <f t="shared" si="204"/>
        <v>NA</v>
      </c>
    </row>
    <row r="514" customHeight="1" spans="1:34">
      <c r="A514" s="12" t="s">
        <v>1043</v>
      </c>
      <c r="F514" s="24">
        <f t="shared" si="186"/>
        <v>0</v>
      </c>
      <c r="G514" s="24" t="e">
        <f t="shared" si="185"/>
        <v>#DIV/0!</v>
      </c>
      <c r="Q514" s="29" t="str">
        <f t="shared" si="187"/>
        <v>NA</v>
      </c>
      <c r="R514" s="29" t="str">
        <f t="shared" si="188"/>
        <v>NA</v>
      </c>
      <c r="S514" s="29" t="str">
        <f t="shared" si="189"/>
        <v>NA</v>
      </c>
      <c r="T514" s="29" t="str">
        <f t="shared" si="190"/>
        <v>NA</v>
      </c>
      <c r="U514" s="29" t="str">
        <f t="shared" si="191"/>
        <v>NA</v>
      </c>
      <c r="V514" s="29" t="str">
        <f t="shared" si="192"/>
        <v>NA</v>
      </c>
      <c r="W514" s="29" t="str">
        <f t="shared" si="193"/>
        <v>NA</v>
      </c>
      <c r="X514" s="29" t="str">
        <f t="shared" si="194"/>
        <v>NA</v>
      </c>
      <c r="Y514" s="29" t="str">
        <f t="shared" si="195"/>
        <v>NA</v>
      </c>
      <c r="Z514" s="29" t="str">
        <f t="shared" si="196"/>
        <v>NA</v>
      </c>
      <c r="AA514" s="29" t="str">
        <f t="shared" si="197"/>
        <v>NA</v>
      </c>
      <c r="AB514" s="29" t="str">
        <f t="shared" si="198"/>
        <v>NA</v>
      </c>
      <c r="AC514" s="29" t="str">
        <f t="shared" si="199"/>
        <v>NA</v>
      </c>
      <c r="AD514" s="29" t="str">
        <f t="shared" si="200"/>
        <v>NA</v>
      </c>
      <c r="AE514" s="29" t="str">
        <f t="shared" si="201"/>
        <v>NA</v>
      </c>
      <c r="AF514" s="29" t="str">
        <f t="shared" si="202"/>
        <v>NA</v>
      </c>
      <c r="AG514" s="29" t="str">
        <f t="shared" si="203"/>
        <v>NA</v>
      </c>
      <c r="AH514" s="29" t="str">
        <f t="shared" si="204"/>
        <v>NA</v>
      </c>
    </row>
    <row r="515" customHeight="1" spans="1:34">
      <c r="A515" s="12" t="s">
        <v>1043</v>
      </c>
      <c r="F515" s="24">
        <f t="shared" si="186"/>
        <v>0</v>
      </c>
      <c r="G515" s="24" t="e">
        <f t="shared" si="185"/>
        <v>#DIV/0!</v>
      </c>
      <c r="Q515" s="29" t="str">
        <f t="shared" si="187"/>
        <v>NA</v>
      </c>
      <c r="R515" s="29" t="str">
        <f t="shared" si="188"/>
        <v>NA</v>
      </c>
      <c r="S515" s="29" t="str">
        <f t="shared" si="189"/>
        <v>NA</v>
      </c>
      <c r="T515" s="29" t="str">
        <f t="shared" si="190"/>
        <v>NA</v>
      </c>
      <c r="U515" s="29" t="str">
        <f t="shared" si="191"/>
        <v>NA</v>
      </c>
      <c r="V515" s="29" t="str">
        <f t="shared" si="192"/>
        <v>NA</v>
      </c>
      <c r="W515" s="29" t="str">
        <f t="shared" si="193"/>
        <v>NA</v>
      </c>
      <c r="X515" s="29" t="str">
        <f t="shared" si="194"/>
        <v>NA</v>
      </c>
      <c r="Y515" s="29" t="str">
        <f t="shared" si="195"/>
        <v>NA</v>
      </c>
      <c r="Z515" s="29" t="str">
        <f t="shared" si="196"/>
        <v>NA</v>
      </c>
      <c r="AA515" s="29" t="str">
        <f t="shared" si="197"/>
        <v>NA</v>
      </c>
      <c r="AB515" s="29" t="str">
        <f t="shared" si="198"/>
        <v>NA</v>
      </c>
      <c r="AC515" s="29" t="str">
        <f t="shared" si="199"/>
        <v>NA</v>
      </c>
      <c r="AD515" s="29" t="str">
        <f t="shared" si="200"/>
        <v>NA</v>
      </c>
      <c r="AE515" s="29" t="str">
        <f t="shared" si="201"/>
        <v>NA</v>
      </c>
      <c r="AF515" s="29" t="str">
        <f t="shared" si="202"/>
        <v>NA</v>
      </c>
      <c r="AG515" s="29" t="str">
        <f t="shared" si="203"/>
        <v>NA</v>
      </c>
      <c r="AH515" s="29" t="str">
        <f t="shared" si="204"/>
        <v>NA</v>
      </c>
    </row>
    <row r="516" customHeight="1" spans="1:34">
      <c r="A516" s="12" t="s">
        <v>1043</v>
      </c>
      <c r="F516" s="24">
        <f t="shared" si="186"/>
        <v>0</v>
      </c>
      <c r="G516" s="24" t="e">
        <f t="shared" si="185"/>
        <v>#DIV/0!</v>
      </c>
      <c r="Q516" s="29" t="str">
        <f t="shared" si="187"/>
        <v>NA</v>
      </c>
      <c r="R516" s="29" t="str">
        <f t="shared" si="188"/>
        <v>NA</v>
      </c>
      <c r="S516" s="29" t="str">
        <f t="shared" si="189"/>
        <v>NA</v>
      </c>
      <c r="T516" s="29" t="str">
        <f t="shared" si="190"/>
        <v>NA</v>
      </c>
      <c r="U516" s="29" t="str">
        <f t="shared" si="191"/>
        <v>NA</v>
      </c>
      <c r="V516" s="29" t="str">
        <f t="shared" si="192"/>
        <v>NA</v>
      </c>
      <c r="W516" s="29" t="str">
        <f t="shared" si="193"/>
        <v>NA</v>
      </c>
      <c r="X516" s="29" t="str">
        <f t="shared" si="194"/>
        <v>NA</v>
      </c>
      <c r="Y516" s="29" t="str">
        <f t="shared" si="195"/>
        <v>NA</v>
      </c>
      <c r="Z516" s="29" t="str">
        <f t="shared" si="196"/>
        <v>NA</v>
      </c>
      <c r="AA516" s="29" t="str">
        <f t="shared" si="197"/>
        <v>NA</v>
      </c>
      <c r="AB516" s="29" t="str">
        <f t="shared" si="198"/>
        <v>NA</v>
      </c>
      <c r="AC516" s="29" t="str">
        <f t="shared" si="199"/>
        <v>NA</v>
      </c>
      <c r="AD516" s="29" t="str">
        <f t="shared" si="200"/>
        <v>NA</v>
      </c>
      <c r="AE516" s="29" t="str">
        <f t="shared" si="201"/>
        <v>NA</v>
      </c>
      <c r="AF516" s="29" t="str">
        <f t="shared" si="202"/>
        <v>NA</v>
      </c>
      <c r="AG516" s="29" t="str">
        <f t="shared" si="203"/>
        <v>NA</v>
      </c>
      <c r="AH516" s="29" t="str">
        <f t="shared" si="204"/>
        <v>NA</v>
      </c>
    </row>
    <row r="517" customHeight="1" spans="1:34">
      <c r="A517" s="12" t="s">
        <v>1043</v>
      </c>
      <c r="F517" s="24">
        <f t="shared" si="186"/>
        <v>0</v>
      </c>
      <c r="G517" s="24" t="e">
        <f t="shared" ref="G517:G580" si="205">B517*D517/C517</f>
        <v>#DIV/0!</v>
      </c>
      <c r="Q517" s="29" t="str">
        <f t="shared" si="187"/>
        <v>NA</v>
      </c>
      <c r="R517" s="29" t="str">
        <f t="shared" si="188"/>
        <v>NA</v>
      </c>
      <c r="S517" s="29" t="str">
        <f t="shared" si="189"/>
        <v>NA</v>
      </c>
      <c r="T517" s="29" t="str">
        <f t="shared" si="190"/>
        <v>NA</v>
      </c>
      <c r="U517" s="29" t="str">
        <f t="shared" si="191"/>
        <v>NA</v>
      </c>
      <c r="V517" s="29" t="str">
        <f t="shared" si="192"/>
        <v>NA</v>
      </c>
      <c r="W517" s="29" t="str">
        <f t="shared" si="193"/>
        <v>NA</v>
      </c>
      <c r="X517" s="29" t="str">
        <f t="shared" si="194"/>
        <v>NA</v>
      </c>
      <c r="Y517" s="29" t="str">
        <f t="shared" si="195"/>
        <v>NA</v>
      </c>
      <c r="Z517" s="29" t="str">
        <f t="shared" si="196"/>
        <v>NA</v>
      </c>
      <c r="AA517" s="29" t="str">
        <f t="shared" si="197"/>
        <v>NA</v>
      </c>
      <c r="AB517" s="29" t="str">
        <f t="shared" si="198"/>
        <v>NA</v>
      </c>
      <c r="AC517" s="29" t="str">
        <f t="shared" si="199"/>
        <v>NA</v>
      </c>
      <c r="AD517" s="29" t="str">
        <f t="shared" si="200"/>
        <v>NA</v>
      </c>
      <c r="AE517" s="29" t="str">
        <f t="shared" si="201"/>
        <v>NA</v>
      </c>
      <c r="AF517" s="29" t="str">
        <f t="shared" si="202"/>
        <v>NA</v>
      </c>
      <c r="AG517" s="29" t="str">
        <f t="shared" si="203"/>
        <v>NA</v>
      </c>
      <c r="AH517" s="29" t="str">
        <f t="shared" si="204"/>
        <v>NA</v>
      </c>
    </row>
    <row r="518" customHeight="1" spans="1:34">
      <c r="A518" s="12" t="s">
        <v>1043</v>
      </c>
      <c r="F518" s="24">
        <f t="shared" ref="F518:F581" si="206">+D518+E518</f>
        <v>0</v>
      </c>
      <c r="G518" s="24" t="e">
        <f t="shared" si="205"/>
        <v>#DIV/0!</v>
      </c>
      <c r="Q518" s="29" t="str">
        <f t="shared" si="187"/>
        <v>NA</v>
      </c>
      <c r="R518" s="29" t="str">
        <f t="shared" si="188"/>
        <v>NA</v>
      </c>
      <c r="S518" s="29" t="str">
        <f t="shared" si="189"/>
        <v>NA</v>
      </c>
      <c r="T518" s="29" t="str">
        <f t="shared" si="190"/>
        <v>NA</v>
      </c>
      <c r="U518" s="29" t="str">
        <f t="shared" si="191"/>
        <v>NA</v>
      </c>
      <c r="V518" s="29" t="str">
        <f t="shared" si="192"/>
        <v>NA</v>
      </c>
      <c r="W518" s="29" t="str">
        <f t="shared" si="193"/>
        <v>NA</v>
      </c>
      <c r="X518" s="29" t="str">
        <f t="shared" si="194"/>
        <v>NA</v>
      </c>
      <c r="Y518" s="29" t="str">
        <f t="shared" si="195"/>
        <v>NA</v>
      </c>
      <c r="Z518" s="29" t="str">
        <f t="shared" si="196"/>
        <v>NA</v>
      </c>
      <c r="AA518" s="29" t="str">
        <f t="shared" si="197"/>
        <v>NA</v>
      </c>
      <c r="AB518" s="29" t="str">
        <f t="shared" si="198"/>
        <v>NA</v>
      </c>
      <c r="AC518" s="29" t="str">
        <f t="shared" si="199"/>
        <v>NA</v>
      </c>
      <c r="AD518" s="29" t="str">
        <f t="shared" si="200"/>
        <v>NA</v>
      </c>
      <c r="AE518" s="29" t="str">
        <f t="shared" si="201"/>
        <v>NA</v>
      </c>
      <c r="AF518" s="29" t="str">
        <f t="shared" si="202"/>
        <v>NA</v>
      </c>
      <c r="AG518" s="29" t="str">
        <f t="shared" si="203"/>
        <v>NA</v>
      </c>
      <c r="AH518" s="29" t="str">
        <f t="shared" si="204"/>
        <v>NA</v>
      </c>
    </row>
    <row r="519" customHeight="1" spans="1:34">
      <c r="A519" s="12" t="s">
        <v>1043</v>
      </c>
      <c r="F519" s="24">
        <f t="shared" si="206"/>
        <v>0</v>
      </c>
      <c r="G519" s="24" t="e">
        <f t="shared" si="205"/>
        <v>#DIV/0!</v>
      </c>
      <c r="Q519" s="29" t="str">
        <f t="shared" si="187"/>
        <v>NA</v>
      </c>
      <c r="R519" s="29" t="str">
        <f t="shared" si="188"/>
        <v>NA</v>
      </c>
      <c r="S519" s="29" t="str">
        <f t="shared" si="189"/>
        <v>NA</v>
      </c>
      <c r="T519" s="29" t="str">
        <f t="shared" si="190"/>
        <v>NA</v>
      </c>
      <c r="U519" s="29" t="str">
        <f t="shared" si="191"/>
        <v>NA</v>
      </c>
      <c r="V519" s="29" t="str">
        <f t="shared" si="192"/>
        <v>NA</v>
      </c>
      <c r="W519" s="29" t="str">
        <f t="shared" si="193"/>
        <v>NA</v>
      </c>
      <c r="X519" s="29" t="str">
        <f t="shared" si="194"/>
        <v>NA</v>
      </c>
      <c r="Y519" s="29" t="str">
        <f t="shared" si="195"/>
        <v>NA</v>
      </c>
      <c r="Z519" s="29" t="str">
        <f t="shared" si="196"/>
        <v>NA</v>
      </c>
      <c r="AA519" s="29" t="str">
        <f t="shared" si="197"/>
        <v>NA</v>
      </c>
      <c r="AB519" s="29" t="str">
        <f t="shared" si="198"/>
        <v>NA</v>
      </c>
      <c r="AC519" s="29" t="str">
        <f t="shared" si="199"/>
        <v>NA</v>
      </c>
      <c r="AD519" s="29" t="str">
        <f t="shared" si="200"/>
        <v>NA</v>
      </c>
      <c r="AE519" s="29" t="str">
        <f t="shared" si="201"/>
        <v>NA</v>
      </c>
      <c r="AF519" s="29" t="str">
        <f t="shared" si="202"/>
        <v>NA</v>
      </c>
      <c r="AG519" s="29" t="str">
        <f t="shared" si="203"/>
        <v>NA</v>
      </c>
      <c r="AH519" s="29" t="str">
        <f t="shared" si="204"/>
        <v>NA</v>
      </c>
    </row>
    <row r="520" customHeight="1" spans="1:34">
      <c r="A520" s="12" t="s">
        <v>1043</v>
      </c>
      <c r="F520" s="24">
        <f t="shared" si="206"/>
        <v>0</v>
      </c>
      <c r="G520" s="24" t="e">
        <f t="shared" si="205"/>
        <v>#DIV/0!</v>
      </c>
      <c r="Q520" s="29" t="str">
        <f t="shared" si="187"/>
        <v>NA</v>
      </c>
      <c r="R520" s="29" t="str">
        <f t="shared" si="188"/>
        <v>NA</v>
      </c>
      <c r="S520" s="29" t="str">
        <f t="shared" si="189"/>
        <v>NA</v>
      </c>
      <c r="T520" s="29" t="str">
        <f t="shared" si="190"/>
        <v>NA</v>
      </c>
      <c r="U520" s="29" t="str">
        <f t="shared" si="191"/>
        <v>NA</v>
      </c>
      <c r="V520" s="29" t="str">
        <f t="shared" si="192"/>
        <v>NA</v>
      </c>
      <c r="W520" s="29" t="str">
        <f t="shared" si="193"/>
        <v>NA</v>
      </c>
      <c r="X520" s="29" t="str">
        <f t="shared" si="194"/>
        <v>NA</v>
      </c>
      <c r="Y520" s="29" t="str">
        <f t="shared" si="195"/>
        <v>NA</v>
      </c>
      <c r="Z520" s="29" t="str">
        <f t="shared" si="196"/>
        <v>NA</v>
      </c>
      <c r="AA520" s="29" t="str">
        <f t="shared" si="197"/>
        <v>NA</v>
      </c>
      <c r="AB520" s="29" t="str">
        <f t="shared" si="198"/>
        <v>NA</v>
      </c>
      <c r="AC520" s="29" t="str">
        <f t="shared" si="199"/>
        <v>NA</v>
      </c>
      <c r="AD520" s="29" t="str">
        <f t="shared" si="200"/>
        <v>NA</v>
      </c>
      <c r="AE520" s="29" t="str">
        <f t="shared" si="201"/>
        <v>NA</v>
      </c>
      <c r="AF520" s="29" t="str">
        <f t="shared" si="202"/>
        <v>NA</v>
      </c>
      <c r="AG520" s="29" t="str">
        <f t="shared" si="203"/>
        <v>NA</v>
      </c>
      <c r="AH520" s="29" t="str">
        <f t="shared" si="204"/>
        <v>NA</v>
      </c>
    </row>
    <row r="521" customHeight="1" spans="1:34">
      <c r="A521" s="12" t="s">
        <v>1043</v>
      </c>
      <c r="F521" s="24">
        <f t="shared" si="206"/>
        <v>0</v>
      </c>
      <c r="G521" s="24" t="e">
        <f t="shared" si="205"/>
        <v>#DIV/0!</v>
      </c>
      <c r="Q521" s="29" t="str">
        <f t="shared" si="187"/>
        <v>NA</v>
      </c>
      <c r="R521" s="29" t="str">
        <f t="shared" si="188"/>
        <v>NA</v>
      </c>
      <c r="S521" s="29" t="str">
        <f t="shared" si="189"/>
        <v>NA</v>
      </c>
      <c r="T521" s="29" t="str">
        <f t="shared" si="190"/>
        <v>NA</v>
      </c>
      <c r="U521" s="29" t="str">
        <f t="shared" si="191"/>
        <v>NA</v>
      </c>
      <c r="V521" s="29" t="str">
        <f t="shared" si="192"/>
        <v>NA</v>
      </c>
      <c r="W521" s="29" t="str">
        <f t="shared" si="193"/>
        <v>NA</v>
      </c>
      <c r="X521" s="29" t="str">
        <f t="shared" si="194"/>
        <v>NA</v>
      </c>
      <c r="Y521" s="29" t="str">
        <f t="shared" si="195"/>
        <v>NA</v>
      </c>
      <c r="Z521" s="29" t="str">
        <f t="shared" si="196"/>
        <v>NA</v>
      </c>
      <c r="AA521" s="29" t="str">
        <f t="shared" si="197"/>
        <v>NA</v>
      </c>
      <c r="AB521" s="29" t="str">
        <f t="shared" si="198"/>
        <v>NA</v>
      </c>
      <c r="AC521" s="29" t="str">
        <f t="shared" si="199"/>
        <v>NA</v>
      </c>
      <c r="AD521" s="29" t="str">
        <f t="shared" si="200"/>
        <v>NA</v>
      </c>
      <c r="AE521" s="29" t="str">
        <f t="shared" si="201"/>
        <v>NA</v>
      </c>
      <c r="AF521" s="29" t="str">
        <f t="shared" si="202"/>
        <v>NA</v>
      </c>
      <c r="AG521" s="29" t="str">
        <f t="shared" si="203"/>
        <v>NA</v>
      </c>
      <c r="AH521" s="29" t="str">
        <f t="shared" si="204"/>
        <v>NA</v>
      </c>
    </row>
    <row r="522" customHeight="1" spans="1:34">
      <c r="A522" s="12" t="s">
        <v>1043</v>
      </c>
      <c r="F522" s="24">
        <f t="shared" si="206"/>
        <v>0</v>
      </c>
      <c r="G522" s="24" t="e">
        <f t="shared" si="205"/>
        <v>#DIV/0!</v>
      </c>
      <c r="Q522" s="29" t="str">
        <f t="shared" si="187"/>
        <v>NA</v>
      </c>
      <c r="R522" s="29" t="str">
        <f t="shared" si="188"/>
        <v>NA</v>
      </c>
      <c r="S522" s="29" t="str">
        <f t="shared" si="189"/>
        <v>NA</v>
      </c>
      <c r="T522" s="29" t="str">
        <f t="shared" si="190"/>
        <v>NA</v>
      </c>
      <c r="U522" s="29" t="str">
        <f t="shared" si="191"/>
        <v>NA</v>
      </c>
      <c r="V522" s="29" t="str">
        <f t="shared" si="192"/>
        <v>NA</v>
      </c>
      <c r="W522" s="29" t="str">
        <f t="shared" si="193"/>
        <v>NA</v>
      </c>
      <c r="X522" s="29" t="str">
        <f t="shared" si="194"/>
        <v>NA</v>
      </c>
      <c r="Y522" s="29" t="str">
        <f t="shared" si="195"/>
        <v>NA</v>
      </c>
      <c r="Z522" s="29" t="str">
        <f t="shared" si="196"/>
        <v>NA</v>
      </c>
      <c r="AA522" s="29" t="str">
        <f t="shared" si="197"/>
        <v>NA</v>
      </c>
      <c r="AB522" s="29" t="str">
        <f t="shared" si="198"/>
        <v>NA</v>
      </c>
      <c r="AC522" s="29" t="str">
        <f t="shared" si="199"/>
        <v>NA</v>
      </c>
      <c r="AD522" s="29" t="str">
        <f t="shared" si="200"/>
        <v>NA</v>
      </c>
      <c r="AE522" s="29" t="str">
        <f t="shared" si="201"/>
        <v>NA</v>
      </c>
      <c r="AF522" s="29" t="str">
        <f t="shared" si="202"/>
        <v>NA</v>
      </c>
      <c r="AG522" s="29" t="str">
        <f t="shared" si="203"/>
        <v>NA</v>
      </c>
      <c r="AH522" s="29" t="str">
        <f t="shared" si="204"/>
        <v>NA</v>
      </c>
    </row>
    <row r="523" customHeight="1" spans="1:34">
      <c r="A523" s="12" t="s">
        <v>1043</v>
      </c>
      <c r="F523" s="24">
        <f t="shared" si="206"/>
        <v>0</v>
      </c>
      <c r="G523" s="24" t="e">
        <f t="shared" si="205"/>
        <v>#DIV/0!</v>
      </c>
      <c r="Q523" s="29" t="str">
        <f t="shared" si="187"/>
        <v>NA</v>
      </c>
      <c r="R523" s="29" t="str">
        <f t="shared" si="188"/>
        <v>NA</v>
      </c>
      <c r="S523" s="29" t="str">
        <f t="shared" si="189"/>
        <v>NA</v>
      </c>
      <c r="T523" s="29" t="str">
        <f t="shared" si="190"/>
        <v>NA</v>
      </c>
      <c r="U523" s="29" t="str">
        <f t="shared" si="191"/>
        <v>NA</v>
      </c>
      <c r="V523" s="29" t="str">
        <f t="shared" si="192"/>
        <v>NA</v>
      </c>
      <c r="W523" s="29" t="str">
        <f t="shared" si="193"/>
        <v>NA</v>
      </c>
      <c r="X523" s="29" t="str">
        <f t="shared" si="194"/>
        <v>NA</v>
      </c>
      <c r="Y523" s="29" t="str">
        <f t="shared" si="195"/>
        <v>NA</v>
      </c>
      <c r="Z523" s="29" t="str">
        <f t="shared" si="196"/>
        <v>NA</v>
      </c>
      <c r="AA523" s="29" t="str">
        <f t="shared" si="197"/>
        <v>NA</v>
      </c>
      <c r="AB523" s="29" t="str">
        <f t="shared" si="198"/>
        <v>NA</v>
      </c>
      <c r="AC523" s="29" t="str">
        <f t="shared" si="199"/>
        <v>NA</v>
      </c>
      <c r="AD523" s="29" t="str">
        <f t="shared" si="200"/>
        <v>NA</v>
      </c>
      <c r="AE523" s="29" t="str">
        <f t="shared" si="201"/>
        <v>NA</v>
      </c>
      <c r="AF523" s="29" t="str">
        <f t="shared" si="202"/>
        <v>NA</v>
      </c>
      <c r="AG523" s="29" t="str">
        <f t="shared" si="203"/>
        <v>NA</v>
      </c>
      <c r="AH523" s="29" t="str">
        <f t="shared" si="204"/>
        <v>NA</v>
      </c>
    </row>
    <row r="524" customHeight="1" spans="1:34">
      <c r="A524" s="12" t="s">
        <v>1043</v>
      </c>
      <c r="F524" s="24">
        <f t="shared" si="206"/>
        <v>0</v>
      </c>
      <c r="G524" s="24" t="e">
        <f t="shared" si="205"/>
        <v>#DIV/0!</v>
      </c>
      <c r="Q524" s="29" t="str">
        <f t="shared" si="187"/>
        <v>NA</v>
      </c>
      <c r="R524" s="29" t="str">
        <f t="shared" si="188"/>
        <v>NA</v>
      </c>
      <c r="S524" s="29" t="str">
        <f t="shared" si="189"/>
        <v>NA</v>
      </c>
      <c r="T524" s="29" t="str">
        <f t="shared" si="190"/>
        <v>NA</v>
      </c>
      <c r="U524" s="29" t="str">
        <f t="shared" si="191"/>
        <v>NA</v>
      </c>
      <c r="V524" s="29" t="str">
        <f t="shared" si="192"/>
        <v>NA</v>
      </c>
      <c r="W524" s="29" t="str">
        <f t="shared" si="193"/>
        <v>NA</v>
      </c>
      <c r="X524" s="29" t="str">
        <f t="shared" si="194"/>
        <v>NA</v>
      </c>
      <c r="Y524" s="29" t="str">
        <f t="shared" si="195"/>
        <v>NA</v>
      </c>
      <c r="Z524" s="29" t="str">
        <f t="shared" si="196"/>
        <v>NA</v>
      </c>
      <c r="AA524" s="29" t="str">
        <f t="shared" si="197"/>
        <v>NA</v>
      </c>
      <c r="AB524" s="29" t="str">
        <f t="shared" si="198"/>
        <v>NA</v>
      </c>
      <c r="AC524" s="29" t="str">
        <f t="shared" si="199"/>
        <v>NA</v>
      </c>
      <c r="AD524" s="29" t="str">
        <f t="shared" si="200"/>
        <v>NA</v>
      </c>
      <c r="AE524" s="29" t="str">
        <f t="shared" si="201"/>
        <v>NA</v>
      </c>
      <c r="AF524" s="29" t="str">
        <f t="shared" si="202"/>
        <v>NA</v>
      </c>
      <c r="AG524" s="29" t="str">
        <f t="shared" si="203"/>
        <v>NA</v>
      </c>
      <c r="AH524" s="29" t="str">
        <f t="shared" si="204"/>
        <v>NA</v>
      </c>
    </row>
    <row r="525" customHeight="1" spans="1:34">
      <c r="A525" s="12" t="s">
        <v>1043</v>
      </c>
      <c r="F525" s="24">
        <f t="shared" si="206"/>
        <v>0</v>
      </c>
      <c r="G525" s="24" t="e">
        <f t="shared" si="205"/>
        <v>#DIV/0!</v>
      </c>
      <c r="Q525" s="29" t="str">
        <f t="shared" si="187"/>
        <v>NA</v>
      </c>
      <c r="R525" s="29" t="str">
        <f t="shared" si="188"/>
        <v>NA</v>
      </c>
      <c r="S525" s="29" t="str">
        <f t="shared" si="189"/>
        <v>NA</v>
      </c>
      <c r="T525" s="29" t="str">
        <f t="shared" si="190"/>
        <v>NA</v>
      </c>
      <c r="U525" s="29" t="str">
        <f t="shared" si="191"/>
        <v>NA</v>
      </c>
      <c r="V525" s="29" t="str">
        <f t="shared" si="192"/>
        <v>NA</v>
      </c>
      <c r="W525" s="29" t="str">
        <f t="shared" si="193"/>
        <v>NA</v>
      </c>
      <c r="X525" s="29" t="str">
        <f t="shared" si="194"/>
        <v>NA</v>
      </c>
      <c r="Y525" s="29" t="str">
        <f t="shared" si="195"/>
        <v>NA</v>
      </c>
      <c r="Z525" s="29" t="str">
        <f t="shared" si="196"/>
        <v>NA</v>
      </c>
      <c r="AA525" s="29" t="str">
        <f t="shared" si="197"/>
        <v>NA</v>
      </c>
      <c r="AB525" s="29" t="str">
        <f t="shared" si="198"/>
        <v>NA</v>
      </c>
      <c r="AC525" s="29" t="str">
        <f t="shared" si="199"/>
        <v>NA</v>
      </c>
      <c r="AD525" s="29" t="str">
        <f t="shared" si="200"/>
        <v>NA</v>
      </c>
      <c r="AE525" s="29" t="str">
        <f t="shared" si="201"/>
        <v>NA</v>
      </c>
      <c r="AF525" s="29" t="str">
        <f t="shared" si="202"/>
        <v>NA</v>
      </c>
      <c r="AG525" s="29" t="str">
        <f t="shared" si="203"/>
        <v>NA</v>
      </c>
      <c r="AH525" s="29" t="str">
        <f t="shared" si="204"/>
        <v>NA</v>
      </c>
    </row>
    <row r="526" customHeight="1" spans="1:34">
      <c r="A526" s="12" t="s">
        <v>1043</v>
      </c>
      <c r="F526" s="24">
        <f t="shared" si="206"/>
        <v>0</v>
      </c>
      <c r="G526" s="24" t="e">
        <f t="shared" si="205"/>
        <v>#DIV/0!</v>
      </c>
      <c r="Q526" s="29" t="str">
        <f t="shared" si="187"/>
        <v>NA</v>
      </c>
      <c r="R526" s="29" t="str">
        <f t="shared" si="188"/>
        <v>NA</v>
      </c>
      <c r="S526" s="29" t="str">
        <f t="shared" si="189"/>
        <v>NA</v>
      </c>
      <c r="T526" s="29" t="str">
        <f t="shared" si="190"/>
        <v>NA</v>
      </c>
      <c r="U526" s="29" t="str">
        <f t="shared" si="191"/>
        <v>NA</v>
      </c>
      <c r="V526" s="29" t="str">
        <f t="shared" si="192"/>
        <v>NA</v>
      </c>
      <c r="W526" s="29" t="str">
        <f t="shared" si="193"/>
        <v>NA</v>
      </c>
      <c r="X526" s="29" t="str">
        <f t="shared" si="194"/>
        <v>NA</v>
      </c>
      <c r="Y526" s="29" t="str">
        <f t="shared" si="195"/>
        <v>NA</v>
      </c>
      <c r="Z526" s="29" t="str">
        <f t="shared" si="196"/>
        <v>NA</v>
      </c>
      <c r="AA526" s="29" t="str">
        <f t="shared" si="197"/>
        <v>NA</v>
      </c>
      <c r="AB526" s="29" t="str">
        <f t="shared" si="198"/>
        <v>NA</v>
      </c>
      <c r="AC526" s="29" t="str">
        <f t="shared" si="199"/>
        <v>NA</v>
      </c>
      <c r="AD526" s="29" t="str">
        <f t="shared" si="200"/>
        <v>NA</v>
      </c>
      <c r="AE526" s="29" t="str">
        <f t="shared" si="201"/>
        <v>NA</v>
      </c>
      <c r="AF526" s="29" t="str">
        <f t="shared" si="202"/>
        <v>NA</v>
      </c>
      <c r="AG526" s="29" t="str">
        <f t="shared" si="203"/>
        <v>NA</v>
      </c>
      <c r="AH526" s="29" t="str">
        <f t="shared" si="204"/>
        <v>NA</v>
      </c>
    </row>
    <row r="527" customHeight="1" spans="1:34">
      <c r="A527" s="12" t="s">
        <v>1043</v>
      </c>
      <c r="F527" s="24">
        <f t="shared" si="206"/>
        <v>0</v>
      </c>
      <c r="G527" s="24" t="e">
        <f t="shared" si="205"/>
        <v>#DIV/0!</v>
      </c>
      <c r="Q527" s="29" t="str">
        <f t="shared" si="187"/>
        <v>NA</v>
      </c>
      <c r="R527" s="29" t="str">
        <f t="shared" si="188"/>
        <v>NA</v>
      </c>
      <c r="S527" s="29" t="str">
        <f t="shared" si="189"/>
        <v>NA</v>
      </c>
      <c r="T527" s="29" t="str">
        <f t="shared" si="190"/>
        <v>NA</v>
      </c>
      <c r="U527" s="29" t="str">
        <f t="shared" si="191"/>
        <v>NA</v>
      </c>
      <c r="V527" s="29" t="str">
        <f t="shared" si="192"/>
        <v>NA</v>
      </c>
      <c r="W527" s="29" t="str">
        <f t="shared" si="193"/>
        <v>NA</v>
      </c>
      <c r="X527" s="29" t="str">
        <f t="shared" si="194"/>
        <v>NA</v>
      </c>
      <c r="Y527" s="29" t="str">
        <f t="shared" si="195"/>
        <v>NA</v>
      </c>
      <c r="Z527" s="29" t="str">
        <f t="shared" si="196"/>
        <v>NA</v>
      </c>
      <c r="AA527" s="29" t="str">
        <f t="shared" si="197"/>
        <v>NA</v>
      </c>
      <c r="AB527" s="29" t="str">
        <f t="shared" si="198"/>
        <v>NA</v>
      </c>
      <c r="AC527" s="29" t="str">
        <f t="shared" si="199"/>
        <v>NA</v>
      </c>
      <c r="AD527" s="29" t="str">
        <f t="shared" si="200"/>
        <v>NA</v>
      </c>
      <c r="AE527" s="29" t="str">
        <f t="shared" si="201"/>
        <v>NA</v>
      </c>
      <c r="AF527" s="29" t="str">
        <f t="shared" si="202"/>
        <v>NA</v>
      </c>
      <c r="AG527" s="29" t="str">
        <f t="shared" si="203"/>
        <v>NA</v>
      </c>
      <c r="AH527" s="29" t="str">
        <f t="shared" si="204"/>
        <v>NA</v>
      </c>
    </row>
    <row r="528" customHeight="1" spans="1:34">
      <c r="A528" s="12" t="s">
        <v>1043</v>
      </c>
      <c r="F528" s="24">
        <f t="shared" si="206"/>
        <v>0</v>
      </c>
      <c r="G528" s="24" t="e">
        <f t="shared" si="205"/>
        <v>#DIV/0!</v>
      </c>
      <c r="Q528" s="29" t="str">
        <f t="shared" ref="Q528:Q591" si="207">IFERROR($B528*$E528/H528,"NA")</f>
        <v>NA</v>
      </c>
      <c r="R528" s="29" t="str">
        <f t="shared" ref="R528:R591" si="208">IFERROR($B528*$E528/I528,"NA")</f>
        <v>NA</v>
      </c>
      <c r="S528" s="29" t="str">
        <f t="shared" ref="S528:S591" si="209">IFERROR($B528*$E528/J528,"NA")</f>
        <v>NA</v>
      </c>
      <c r="T528" s="29" t="str">
        <f t="shared" ref="T528:T591" si="210">IFERROR($B528*$E528/K528,"NA")</f>
        <v>NA</v>
      </c>
      <c r="U528" s="29" t="str">
        <f t="shared" ref="U528:U591" si="211">IFERROR($B528*$E528/L528,"NA")</f>
        <v>NA</v>
      </c>
      <c r="V528" s="29" t="str">
        <f t="shared" ref="V528:V591" si="212">IFERROR($B528*$E528/M528,"NA")</f>
        <v>NA</v>
      </c>
      <c r="W528" s="29" t="str">
        <f t="shared" ref="W528:W591" si="213">IFERROR($B528*$E528/N528,"NA")</f>
        <v>NA</v>
      </c>
      <c r="X528" s="29" t="str">
        <f t="shared" ref="X528:X591" si="214">IFERROR($B528*$E528/O528,"NA")</f>
        <v>NA</v>
      </c>
      <c r="Y528" s="29" t="str">
        <f t="shared" ref="Y528:Y591" si="215">IFERROR($B528*$E528/P528,"NA")</f>
        <v>NA</v>
      </c>
      <c r="Z528" s="29" t="str">
        <f t="shared" ref="Z528:Z591" si="216">IFERROR((($G528*Z$2/1000)+Q528)/1,"NA")</f>
        <v>NA</v>
      </c>
      <c r="AA528" s="29" t="str">
        <f t="shared" ref="AA528:AA591" si="217">IFERROR((($G528*AA$2/1000)+R528)/1,"NA")</f>
        <v>NA</v>
      </c>
      <c r="AB528" s="29" t="str">
        <f t="shared" ref="AB528:AB591" si="218">IFERROR((($G528*AB$2/1000)+S528)/1,"NA")</f>
        <v>NA</v>
      </c>
      <c r="AC528" s="29" t="str">
        <f t="shared" ref="AC528:AC591" si="219">IFERROR((($G528*AC$2/1000)+T528)/1,"NA")</f>
        <v>NA</v>
      </c>
      <c r="AD528" s="29" t="str">
        <f t="shared" ref="AD528:AD591" si="220">IFERROR((($G528*AD$2/1000)+U528)/1,"NA")</f>
        <v>NA</v>
      </c>
      <c r="AE528" s="29" t="str">
        <f t="shared" ref="AE528:AE591" si="221">IFERROR((($G528*AE$2/1000)+V528)/1,"NA")</f>
        <v>NA</v>
      </c>
      <c r="AF528" s="29" t="str">
        <f t="shared" ref="AF528:AF591" si="222">IFERROR((($G528*AF$2/1000)+W528)/1,"NA")</f>
        <v>NA</v>
      </c>
      <c r="AG528" s="29" t="str">
        <f t="shared" ref="AG528:AG591" si="223">IFERROR((($G528*AG$2/1000)+X528)/1,"NA")</f>
        <v>NA</v>
      </c>
      <c r="AH528" s="29" t="str">
        <f t="shared" ref="AH528:AH591" si="224">IFERROR((($G528*AH$2/1000)+Y528)/1,"NA")</f>
        <v>NA</v>
      </c>
    </row>
    <row r="529" customHeight="1" spans="1:34">
      <c r="A529" s="12" t="s">
        <v>1043</v>
      </c>
      <c r="F529" s="24">
        <f t="shared" si="206"/>
        <v>0</v>
      </c>
      <c r="G529" s="24" t="e">
        <f t="shared" si="205"/>
        <v>#DIV/0!</v>
      </c>
      <c r="Q529" s="29" t="str">
        <f t="shared" si="207"/>
        <v>NA</v>
      </c>
      <c r="R529" s="29" t="str">
        <f t="shared" si="208"/>
        <v>NA</v>
      </c>
      <c r="S529" s="29" t="str">
        <f t="shared" si="209"/>
        <v>NA</v>
      </c>
      <c r="T529" s="29" t="str">
        <f t="shared" si="210"/>
        <v>NA</v>
      </c>
      <c r="U529" s="29" t="str">
        <f t="shared" si="211"/>
        <v>NA</v>
      </c>
      <c r="V529" s="29" t="str">
        <f t="shared" si="212"/>
        <v>NA</v>
      </c>
      <c r="W529" s="29" t="str">
        <f t="shared" si="213"/>
        <v>NA</v>
      </c>
      <c r="X529" s="29" t="str">
        <f t="shared" si="214"/>
        <v>NA</v>
      </c>
      <c r="Y529" s="29" t="str">
        <f t="shared" si="215"/>
        <v>NA</v>
      </c>
      <c r="Z529" s="29" t="str">
        <f t="shared" si="216"/>
        <v>NA</v>
      </c>
      <c r="AA529" s="29" t="str">
        <f t="shared" si="217"/>
        <v>NA</v>
      </c>
      <c r="AB529" s="29" t="str">
        <f t="shared" si="218"/>
        <v>NA</v>
      </c>
      <c r="AC529" s="29" t="str">
        <f t="shared" si="219"/>
        <v>NA</v>
      </c>
      <c r="AD529" s="29" t="str">
        <f t="shared" si="220"/>
        <v>NA</v>
      </c>
      <c r="AE529" s="29" t="str">
        <f t="shared" si="221"/>
        <v>NA</v>
      </c>
      <c r="AF529" s="29" t="str">
        <f t="shared" si="222"/>
        <v>NA</v>
      </c>
      <c r="AG529" s="29" t="str">
        <f t="shared" si="223"/>
        <v>NA</v>
      </c>
      <c r="AH529" s="29" t="str">
        <f t="shared" si="224"/>
        <v>NA</v>
      </c>
    </row>
    <row r="530" customHeight="1" spans="1:34">
      <c r="A530" s="12" t="s">
        <v>1043</v>
      </c>
      <c r="F530" s="24">
        <f t="shared" si="206"/>
        <v>0</v>
      </c>
      <c r="G530" s="24" t="e">
        <f t="shared" si="205"/>
        <v>#DIV/0!</v>
      </c>
      <c r="Q530" s="29" t="str">
        <f t="shared" si="207"/>
        <v>NA</v>
      </c>
      <c r="R530" s="29" t="str">
        <f t="shared" si="208"/>
        <v>NA</v>
      </c>
      <c r="S530" s="29" t="str">
        <f t="shared" si="209"/>
        <v>NA</v>
      </c>
      <c r="T530" s="29" t="str">
        <f t="shared" si="210"/>
        <v>NA</v>
      </c>
      <c r="U530" s="29" t="str">
        <f t="shared" si="211"/>
        <v>NA</v>
      </c>
      <c r="V530" s="29" t="str">
        <f t="shared" si="212"/>
        <v>NA</v>
      </c>
      <c r="W530" s="29" t="str">
        <f t="shared" si="213"/>
        <v>NA</v>
      </c>
      <c r="X530" s="29" t="str">
        <f t="shared" si="214"/>
        <v>NA</v>
      </c>
      <c r="Y530" s="29" t="str">
        <f t="shared" si="215"/>
        <v>NA</v>
      </c>
      <c r="Z530" s="29" t="str">
        <f t="shared" si="216"/>
        <v>NA</v>
      </c>
      <c r="AA530" s="29" t="str">
        <f t="shared" si="217"/>
        <v>NA</v>
      </c>
      <c r="AB530" s="29" t="str">
        <f t="shared" si="218"/>
        <v>NA</v>
      </c>
      <c r="AC530" s="29" t="str">
        <f t="shared" si="219"/>
        <v>NA</v>
      </c>
      <c r="AD530" s="29" t="str">
        <f t="shared" si="220"/>
        <v>NA</v>
      </c>
      <c r="AE530" s="29" t="str">
        <f t="shared" si="221"/>
        <v>NA</v>
      </c>
      <c r="AF530" s="29" t="str">
        <f t="shared" si="222"/>
        <v>NA</v>
      </c>
      <c r="AG530" s="29" t="str">
        <f t="shared" si="223"/>
        <v>NA</v>
      </c>
      <c r="AH530" s="29" t="str">
        <f t="shared" si="224"/>
        <v>NA</v>
      </c>
    </row>
    <row r="531" customHeight="1" spans="1:34">
      <c r="A531" s="12" t="s">
        <v>1043</v>
      </c>
      <c r="F531" s="24">
        <f t="shared" si="206"/>
        <v>0</v>
      </c>
      <c r="G531" s="24" t="e">
        <f t="shared" si="205"/>
        <v>#DIV/0!</v>
      </c>
      <c r="Q531" s="29" t="str">
        <f t="shared" si="207"/>
        <v>NA</v>
      </c>
      <c r="R531" s="29" t="str">
        <f t="shared" si="208"/>
        <v>NA</v>
      </c>
      <c r="S531" s="29" t="str">
        <f t="shared" si="209"/>
        <v>NA</v>
      </c>
      <c r="T531" s="29" t="str">
        <f t="shared" si="210"/>
        <v>NA</v>
      </c>
      <c r="U531" s="29" t="str">
        <f t="shared" si="211"/>
        <v>NA</v>
      </c>
      <c r="V531" s="29" t="str">
        <f t="shared" si="212"/>
        <v>NA</v>
      </c>
      <c r="W531" s="29" t="str">
        <f t="shared" si="213"/>
        <v>NA</v>
      </c>
      <c r="X531" s="29" t="str">
        <f t="shared" si="214"/>
        <v>NA</v>
      </c>
      <c r="Y531" s="29" t="str">
        <f t="shared" si="215"/>
        <v>NA</v>
      </c>
      <c r="Z531" s="29" t="str">
        <f t="shared" si="216"/>
        <v>NA</v>
      </c>
      <c r="AA531" s="29" t="str">
        <f t="shared" si="217"/>
        <v>NA</v>
      </c>
      <c r="AB531" s="29" t="str">
        <f t="shared" si="218"/>
        <v>NA</v>
      </c>
      <c r="AC531" s="29" t="str">
        <f t="shared" si="219"/>
        <v>NA</v>
      </c>
      <c r="AD531" s="29" t="str">
        <f t="shared" si="220"/>
        <v>NA</v>
      </c>
      <c r="AE531" s="29" t="str">
        <f t="shared" si="221"/>
        <v>NA</v>
      </c>
      <c r="AF531" s="29" t="str">
        <f t="shared" si="222"/>
        <v>NA</v>
      </c>
      <c r="AG531" s="29" t="str">
        <f t="shared" si="223"/>
        <v>NA</v>
      </c>
      <c r="AH531" s="29" t="str">
        <f t="shared" si="224"/>
        <v>NA</v>
      </c>
    </row>
    <row r="532" customHeight="1" spans="1:34">
      <c r="A532" s="12" t="s">
        <v>1043</v>
      </c>
      <c r="F532" s="24">
        <f t="shared" si="206"/>
        <v>0</v>
      </c>
      <c r="G532" s="24" t="e">
        <f t="shared" si="205"/>
        <v>#DIV/0!</v>
      </c>
      <c r="Q532" s="29" t="str">
        <f t="shared" si="207"/>
        <v>NA</v>
      </c>
      <c r="R532" s="29" t="str">
        <f t="shared" si="208"/>
        <v>NA</v>
      </c>
      <c r="S532" s="29" t="str">
        <f t="shared" si="209"/>
        <v>NA</v>
      </c>
      <c r="T532" s="29" t="str">
        <f t="shared" si="210"/>
        <v>NA</v>
      </c>
      <c r="U532" s="29" t="str">
        <f t="shared" si="211"/>
        <v>NA</v>
      </c>
      <c r="V532" s="29" t="str">
        <f t="shared" si="212"/>
        <v>NA</v>
      </c>
      <c r="W532" s="29" t="str">
        <f t="shared" si="213"/>
        <v>NA</v>
      </c>
      <c r="X532" s="29" t="str">
        <f t="shared" si="214"/>
        <v>NA</v>
      </c>
      <c r="Y532" s="29" t="str">
        <f t="shared" si="215"/>
        <v>NA</v>
      </c>
      <c r="Z532" s="29" t="str">
        <f t="shared" si="216"/>
        <v>NA</v>
      </c>
      <c r="AA532" s="29" t="str">
        <f t="shared" si="217"/>
        <v>NA</v>
      </c>
      <c r="AB532" s="29" t="str">
        <f t="shared" si="218"/>
        <v>NA</v>
      </c>
      <c r="AC532" s="29" t="str">
        <f t="shared" si="219"/>
        <v>NA</v>
      </c>
      <c r="AD532" s="29" t="str">
        <f t="shared" si="220"/>
        <v>NA</v>
      </c>
      <c r="AE532" s="29" t="str">
        <f t="shared" si="221"/>
        <v>NA</v>
      </c>
      <c r="AF532" s="29" t="str">
        <f t="shared" si="222"/>
        <v>NA</v>
      </c>
      <c r="AG532" s="29" t="str">
        <f t="shared" si="223"/>
        <v>NA</v>
      </c>
      <c r="AH532" s="29" t="str">
        <f t="shared" si="224"/>
        <v>NA</v>
      </c>
    </row>
    <row r="533" customHeight="1" spans="1:34">
      <c r="A533" s="12" t="s">
        <v>1043</v>
      </c>
      <c r="F533" s="24">
        <f t="shared" si="206"/>
        <v>0</v>
      </c>
      <c r="G533" s="24" t="e">
        <f t="shared" si="205"/>
        <v>#DIV/0!</v>
      </c>
      <c r="Q533" s="29" t="str">
        <f t="shared" si="207"/>
        <v>NA</v>
      </c>
      <c r="R533" s="29" t="str">
        <f t="shared" si="208"/>
        <v>NA</v>
      </c>
      <c r="S533" s="29" t="str">
        <f t="shared" si="209"/>
        <v>NA</v>
      </c>
      <c r="T533" s="29" t="str">
        <f t="shared" si="210"/>
        <v>NA</v>
      </c>
      <c r="U533" s="29" t="str">
        <f t="shared" si="211"/>
        <v>NA</v>
      </c>
      <c r="V533" s="29" t="str">
        <f t="shared" si="212"/>
        <v>NA</v>
      </c>
      <c r="W533" s="29" t="str">
        <f t="shared" si="213"/>
        <v>NA</v>
      </c>
      <c r="X533" s="29" t="str">
        <f t="shared" si="214"/>
        <v>NA</v>
      </c>
      <c r="Y533" s="29" t="str">
        <f t="shared" si="215"/>
        <v>NA</v>
      </c>
      <c r="Z533" s="29" t="str">
        <f t="shared" si="216"/>
        <v>NA</v>
      </c>
      <c r="AA533" s="29" t="str">
        <f t="shared" si="217"/>
        <v>NA</v>
      </c>
      <c r="AB533" s="29" t="str">
        <f t="shared" si="218"/>
        <v>NA</v>
      </c>
      <c r="AC533" s="29" t="str">
        <f t="shared" si="219"/>
        <v>NA</v>
      </c>
      <c r="AD533" s="29" t="str">
        <f t="shared" si="220"/>
        <v>NA</v>
      </c>
      <c r="AE533" s="29" t="str">
        <f t="shared" si="221"/>
        <v>NA</v>
      </c>
      <c r="AF533" s="29" t="str">
        <f t="shared" si="222"/>
        <v>NA</v>
      </c>
      <c r="AG533" s="29" t="str">
        <f t="shared" si="223"/>
        <v>NA</v>
      </c>
      <c r="AH533" s="29" t="str">
        <f t="shared" si="224"/>
        <v>NA</v>
      </c>
    </row>
    <row r="534" customHeight="1" spans="1:34">
      <c r="A534" s="12" t="s">
        <v>1043</v>
      </c>
      <c r="F534" s="24">
        <f t="shared" si="206"/>
        <v>0</v>
      </c>
      <c r="G534" s="24" t="e">
        <f t="shared" si="205"/>
        <v>#DIV/0!</v>
      </c>
      <c r="Q534" s="29" t="str">
        <f t="shared" si="207"/>
        <v>NA</v>
      </c>
      <c r="R534" s="29" t="str">
        <f t="shared" si="208"/>
        <v>NA</v>
      </c>
      <c r="S534" s="29" t="str">
        <f t="shared" si="209"/>
        <v>NA</v>
      </c>
      <c r="T534" s="29" t="str">
        <f t="shared" si="210"/>
        <v>NA</v>
      </c>
      <c r="U534" s="29" t="str">
        <f t="shared" si="211"/>
        <v>NA</v>
      </c>
      <c r="V534" s="29" t="str">
        <f t="shared" si="212"/>
        <v>NA</v>
      </c>
      <c r="W534" s="29" t="str">
        <f t="shared" si="213"/>
        <v>NA</v>
      </c>
      <c r="X534" s="29" t="str">
        <f t="shared" si="214"/>
        <v>NA</v>
      </c>
      <c r="Y534" s="29" t="str">
        <f t="shared" si="215"/>
        <v>NA</v>
      </c>
      <c r="Z534" s="29" t="str">
        <f t="shared" si="216"/>
        <v>NA</v>
      </c>
      <c r="AA534" s="29" t="str">
        <f t="shared" si="217"/>
        <v>NA</v>
      </c>
      <c r="AB534" s="29" t="str">
        <f t="shared" si="218"/>
        <v>NA</v>
      </c>
      <c r="AC534" s="29" t="str">
        <f t="shared" si="219"/>
        <v>NA</v>
      </c>
      <c r="AD534" s="29" t="str">
        <f t="shared" si="220"/>
        <v>NA</v>
      </c>
      <c r="AE534" s="29" t="str">
        <f t="shared" si="221"/>
        <v>NA</v>
      </c>
      <c r="AF534" s="29" t="str">
        <f t="shared" si="222"/>
        <v>NA</v>
      </c>
      <c r="AG534" s="29" t="str">
        <f t="shared" si="223"/>
        <v>NA</v>
      </c>
      <c r="AH534" s="29" t="str">
        <f t="shared" si="224"/>
        <v>NA</v>
      </c>
    </row>
    <row r="535" customHeight="1" spans="1:34">
      <c r="A535" s="12" t="s">
        <v>1043</v>
      </c>
      <c r="F535" s="24">
        <f t="shared" si="206"/>
        <v>0</v>
      </c>
      <c r="G535" s="24" t="e">
        <f t="shared" si="205"/>
        <v>#DIV/0!</v>
      </c>
      <c r="Q535" s="29" t="str">
        <f t="shared" si="207"/>
        <v>NA</v>
      </c>
      <c r="R535" s="29" t="str">
        <f t="shared" si="208"/>
        <v>NA</v>
      </c>
      <c r="S535" s="29" t="str">
        <f t="shared" si="209"/>
        <v>NA</v>
      </c>
      <c r="T535" s="29" t="str">
        <f t="shared" si="210"/>
        <v>NA</v>
      </c>
      <c r="U535" s="29" t="str">
        <f t="shared" si="211"/>
        <v>NA</v>
      </c>
      <c r="V535" s="29" t="str">
        <f t="shared" si="212"/>
        <v>NA</v>
      </c>
      <c r="W535" s="29" t="str">
        <f t="shared" si="213"/>
        <v>NA</v>
      </c>
      <c r="X535" s="29" t="str">
        <f t="shared" si="214"/>
        <v>NA</v>
      </c>
      <c r="Y535" s="29" t="str">
        <f t="shared" si="215"/>
        <v>NA</v>
      </c>
      <c r="Z535" s="29" t="str">
        <f t="shared" si="216"/>
        <v>NA</v>
      </c>
      <c r="AA535" s="29" t="str">
        <f t="shared" si="217"/>
        <v>NA</v>
      </c>
      <c r="AB535" s="29" t="str">
        <f t="shared" si="218"/>
        <v>NA</v>
      </c>
      <c r="AC535" s="29" t="str">
        <f t="shared" si="219"/>
        <v>NA</v>
      </c>
      <c r="AD535" s="29" t="str">
        <f t="shared" si="220"/>
        <v>NA</v>
      </c>
      <c r="AE535" s="29" t="str">
        <f t="shared" si="221"/>
        <v>NA</v>
      </c>
      <c r="AF535" s="29" t="str">
        <f t="shared" si="222"/>
        <v>NA</v>
      </c>
      <c r="AG535" s="29" t="str">
        <f t="shared" si="223"/>
        <v>NA</v>
      </c>
      <c r="AH535" s="29" t="str">
        <f t="shared" si="224"/>
        <v>NA</v>
      </c>
    </row>
    <row r="536" customHeight="1" spans="1:34">
      <c r="A536" s="12" t="s">
        <v>1043</v>
      </c>
      <c r="F536" s="24">
        <f t="shared" si="206"/>
        <v>0</v>
      </c>
      <c r="G536" s="24" t="e">
        <f t="shared" si="205"/>
        <v>#DIV/0!</v>
      </c>
      <c r="Q536" s="29" t="str">
        <f t="shared" si="207"/>
        <v>NA</v>
      </c>
      <c r="R536" s="29" t="str">
        <f t="shared" si="208"/>
        <v>NA</v>
      </c>
      <c r="S536" s="29" t="str">
        <f t="shared" si="209"/>
        <v>NA</v>
      </c>
      <c r="T536" s="29" t="str">
        <f t="shared" si="210"/>
        <v>NA</v>
      </c>
      <c r="U536" s="29" t="str">
        <f t="shared" si="211"/>
        <v>NA</v>
      </c>
      <c r="V536" s="29" t="str">
        <f t="shared" si="212"/>
        <v>NA</v>
      </c>
      <c r="W536" s="29" t="str">
        <f t="shared" si="213"/>
        <v>NA</v>
      </c>
      <c r="X536" s="29" t="str">
        <f t="shared" si="214"/>
        <v>NA</v>
      </c>
      <c r="Y536" s="29" t="str">
        <f t="shared" si="215"/>
        <v>NA</v>
      </c>
      <c r="Z536" s="29" t="str">
        <f t="shared" si="216"/>
        <v>NA</v>
      </c>
      <c r="AA536" s="29" t="str">
        <f t="shared" si="217"/>
        <v>NA</v>
      </c>
      <c r="AB536" s="29" t="str">
        <f t="shared" si="218"/>
        <v>NA</v>
      </c>
      <c r="AC536" s="29" t="str">
        <f t="shared" si="219"/>
        <v>NA</v>
      </c>
      <c r="AD536" s="29" t="str">
        <f t="shared" si="220"/>
        <v>NA</v>
      </c>
      <c r="AE536" s="29" t="str">
        <f t="shared" si="221"/>
        <v>NA</v>
      </c>
      <c r="AF536" s="29" t="str">
        <f t="shared" si="222"/>
        <v>NA</v>
      </c>
      <c r="AG536" s="29" t="str">
        <f t="shared" si="223"/>
        <v>NA</v>
      </c>
      <c r="AH536" s="29" t="str">
        <f t="shared" si="224"/>
        <v>NA</v>
      </c>
    </row>
    <row r="537" customHeight="1" spans="1:34">
      <c r="A537" s="12" t="s">
        <v>1043</v>
      </c>
      <c r="F537" s="24">
        <f t="shared" si="206"/>
        <v>0</v>
      </c>
      <c r="G537" s="24" t="e">
        <f t="shared" si="205"/>
        <v>#DIV/0!</v>
      </c>
      <c r="Q537" s="29" t="str">
        <f t="shared" si="207"/>
        <v>NA</v>
      </c>
      <c r="R537" s="29" t="str">
        <f t="shared" si="208"/>
        <v>NA</v>
      </c>
      <c r="S537" s="29" t="str">
        <f t="shared" si="209"/>
        <v>NA</v>
      </c>
      <c r="T537" s="29" t="str">
        <f t="shared" si="210"/>
        <v>NA</v>
      </c>
      <c r="U537" s="29" t="str">
        <f t="shared" si="211"/>
        <v>NA</v>
      </c>
      <c r="V537" s="29" t="str">
        <f t="shared" si="212"/>
        <v>NA</v>
      </c>
      <c r="W537" s="29" t="str">
        <f t="shared" si="213"/>
        <v>NA</v>
      </c>
      <c r="X537" s="29" t="str">
        <f t="shared" si="214"/>
        <v>NA</v>
      </c>
      <c r="Y537" s="29" t="str">
        <f t="shared" si="215"/>
        <v>NA</v>
      </c>
      <c r="Z537" s="29" t="str">
        <f t="shared" si="216"/>
        <v>NA</v>
      </c>
      <c r="AA537" s="29" t="str">
        <f t="shared" si="217"/>
        <v>NA</v>
      </c>
      <c r="AB537" s="29" t="str">
        <f t="shared" si="218"/>
        <v>NA</v>
      </c>
      <c r="AC537" s="29" t="str">
        <f t="shared" si="219"/>
        <v>NA</v>
      </c>
      <c r="AD537" s="29" t="str">
        <f t="shared" si="220"/>
        <v>NA</v>
      </c>
      <c r="AE537" s="29" t="str">
        <f t="shared" si="221"/>
        <v>NA</v>
      </c>
      <c r="AF537" s="29" t="str">
        <f t="shared" si="222"/>
        <v>NA</v>
      </c>
      <c r="AG537" s="29" t="str">
        <f t="shared" si="223"/>
        <v>NA</v>
      </c>
      <c r="AH537" s="29" t="str">
        <f t="shared" si="224"/>
        <v>NA</v>
      </c>
    </row>
    <row r="538" customHeight="1" spans="1:34">
      <c r="A538" s="12" t="s">
        <v>1043</v>
      </c>
      <c r="F538" s="24">
        <f t="shared" si="206"/>
        <v>0</v>
      </c>
      <c r="G538" s="24" t="e">
        <f t="shared" si="205"/>
        <v>#DIV/0!</v>
      </c>
      <c r="Q538" s="29" t="str">
        <f t="shared" si="207"/>
        <v>NA</v>
      </c>
      <c r="R538" s="29" t="str">
        <f t="shared" si="208"/>
        <v>NA</v>
      </c>
      <c r="S538" s="29" t="str">
        <f t="shared" si="209"/>
        <v>NA</v>
      </c>
      <c r="T538" s="29" t="str">
        <f t="shared" si="210"/>
        <v>NA</v>
      </c>
      <c r="U538" s="29" t="str">
        <f t="shared" si="211"/>
        <v>NA</v>
      </c>
      <c r="V538" s="29" t="str">
        <f t="shared" si="212"/>
        <v>NA</v>
      </c>
      <c r="W538" s="29" t="str">
        <f t="shared" si="213"/>
        <v>NA</v>
      </c>
      <c r="X538" s="29" t="str">
        <f t="shared" si="214"/>
        <v>NA</v>
      </c>
      <c r="Y538" s="29" t="str">
        <f t="shared" si="215"/>
        <v>NA</v>
      </c>
      <c r="Z538" s="29" t="str">
        <f t="shared" si="216"/>
        <v>NA</v>
      </c>
      <c r="AA538" s="29" t="str">
        <f t="shared" si="217"/>
        <v>NA</v>
      </c>
      <c r="AB538" s="29" t="str">
        <f t="shared" si="218"/>
        <v>NA</v>
      </c>
      <c r="AC538" s="29" t="str">
        <f t="shared" si="219"/>
        <v>NA</v>
      </c>
      <c r="AD538" s="29" t="str">
        <f t="shared" si="220"/>
        <v>NA</v>
      </c>
      <c r="AE538" s="29" t="str">
        <f t="shared" si="221"/>
        <v>NA</v>
      </c>
      <c r="AF538" s="29" t="str">
        <f t="shared" si="222"/>
        <v>NA</v>
      </c>
      <c r="AG538" s="29" t="str">
        <f t="shared" si="223"/>
        <v>NA</v>
      </c>
      <c r="AH538" s="29" t="str">
        <f t="shared" si="224"/>
        <v>NA</v>
      </c>
    </row>
    <row r="539" customHeight="1" spans="1:34">
      <c r="A539" s="12" t="s">
        <v>1043</v>
      </c>
      <c r="F539" s="24">
        <f t="shared" si="206"/>
        <v>0</v>
      </c>
      <c r="G539" s="24" t="e">
        <f t="shared" si="205"/>
        <v>#DIV/0!</v>
      </c>
      <c r="Q539" s="29" t="str">
        <f t="shared" si="207"/>
        <v>NA</v>
      </c>
      <c r="R539" s="29" t="str">
        <f t="shared" si="208"/>
        <v>NA</v>
      </c>
      <c r="S539" s="29" t="str">
        <f t="shared" si="209"/>
        <v>NA</v>
      </c>
      <c r="T539" s="29" t="str">
        <f t="shared" si="210"/>
        <v>NA</v>
      </c>
      <c r="U539" s="29" t="str">
        <f t="shared" si="211"/>
        <v>NA</v>
      </c>
      <c r="V539" s="29" t="str">
        <f t="shared" si="212"/>
        <v>NA</v>
      </c>
      <c r="W539" s="29" t="str">
        <f t="shared" si="213"/>
        <v>NA</v>
      </c>
      <c r="X539" s="29" t="str">
        <f t="shared" si="214"/>
        <v>NA</v>
      </c>
      <c r="Y539" s="29" t="str">
        <f t="shared" si="215"/>
        <v>NA</v>
      </c>
      <c r="Z539" s="29" t="str">
        <f t="shared" si="216"/>
        <v>NA</v>
      </c>
      <c r="AA539" s="29" t="str">
        <f t="shared" si="217"/>
        <v>NA</v>
      </c>
      <c r="AB539" s="29" t="str">
        <f t="shared" si="218"/>
        <v>NA</v>
      </c>
      <c r="AC539" s="29" t="str">
        <f t="shared" si="219"/>
        <v>NA</v>
      </c>
      <c r="AD539" s="29" t="str">
        <f t="shared" si="220"/>
        <v>NA</v>
      </c>
      <c r="AE539" s="29" t="str">
        <f t="shared" si="221"/>
        <v>NA</v>
      </c>
      <c r="AF539" s="29" t="str">
        <f t="shared" si="222"/>
        <v>NA</v>
      </c>
      <c r="AG539" s="29" t="str">
        <f t="shared" si="223"/>
        <v>NA</v>
      </c>
      <c r="AH539" s="29" t="str">
        <f t="shared" si="224"/>
        <v>NA</v>
      </c>
    </row>
    <row r="540" customHeight="1" spans="1:34">
      <c r="A540" s="12" t="s">
        <v>1043</v>
      </c>
      <c r="F540" s="24">
        <f t="shared" si="206"/>
        <v>0</v>
      </c>
      <c r="G540" s="24" t="e">
        <f t="shared" si="205"/>
        <v>#DIV/0!</v>
      </c>
      <c r="Q540" s="29" t="str">
        <f t="shared" si="207"/>
        <v>NA</v>
      </c>
      <c r="R540" s="29" t="str">
        <f t="shared" si="208"/>
        <v>NA</v>
      </c>
      <c r="S540" s="29" t="str">
        <f t="shared" si="209"/>
        <v>NA</v>
      </c>
      <c r="T540" s="29" t="str">
        <f t="shared" si="210"/>
        <v>NA</v>
      </c>
      <c r="U540" s="29" t="str">
        <f t="shared" si="211"/>
        <v>NA</v>
      </c>
      <c r="V540" s="29" t="str">
        <f t="shared" si="212"/>
        <v>NA</v>
      </c>
      <c r="W540" s="29" t="str">
        <f t="shared" si="213"/>
        <v>NA</v>
      </c>
      <c r="X540" s="29" t="str">
        <f t="shared" si="214"/>
        <v>NA</v>
      </c>
      <c r="Y540" s="29" t="str">
        <f t="shared" si="215"/>
        <v>NA</v>
      </c>
      <c r="Z540" s="29" t="str">
        <f t="shared" si="216"/>
        <v>NA</v>
      </c>
      <c r="AA540" s="29" t="str">
        <f t="shared" si="217"/>
        <v>NA</v>
      </c>
      <c r="AB540" s="29" t="str">
        <f t="shared" si="218"/>
        <v>NA</v>
      </c>
      <c r="AC540" s="29" t="str">
        <f t="shared" si="219"/>
        <v>NA</v>
      </c>
      <c r="AD540" s="29" t="str">
        <f t="shared" si="220"/>
        <v>NA</v>
      </c>
      <c r="AE540" s="29" t="str">
        <f t="shared" si="221"/>
        <v>NA</v>
      </c>
      <c r="AF540" s="29" t="str">
        <f t="shared" si="222"/>
        <v>NA</v>
      </c>
      <c r="AG540" s="29" t="str">
        <f t="shared" si="223"/>
        <v>NA</v>
      </c>
      <c r="AH540" s="29" t="str">
        <f t="shared" si="224"/>
        <v>NA</v>
      </c>
    </row>
    <row r="541" customHeight="1" spans="1:34">
      <c r="A541" s="12" t="s">
        <v>1043</v>
      </c>
      <c r="F541" s="24">
        <f t="shared" si="206"/>
        <v>0</v>
      </c>
      <c r="G541" s="24" t="e">
        <f t="shared" si="205"/>
        <v>#DIV/0!</v>
      </c>
      <c r="Q541" s="29" t="str">
        <f t="shared" si="207"/>
        <v>NA</v>
      </c>
      <c r="R541" s="29" t="str">
        <f t="shared" si="208"/>
        <v>NA</v>
      </c>
      <c r="S541" s="29" t="str">
        <f t="shared" si="209"/>
        <v>NA</v>
      </c>
      <c r="T541" s="29" t="str">
        <f t="shared" si="210"/>
        <v>NA</v>
      </c>
      <c r="U541" s="29" t="str">
        <f t="shared" si="211"/>
        <v>NA</v>
      </c>
      <c r="V541" s="29" t="str">
        <f t="shared" si="212"/>
        <v>NA</v>
      </c>
      <c r="W541" s="29" t="str">
        <f t="shared" si="213"/>
        <v>NA</v>
      </c>
      <c r="X541" s="29" t="str">
        <f t="shared" si="214"/>
        <v>NA</v>
      </c>
      <c r="Y541" s="29" t="str">
        <f t="shared" si="215"/>
        <v>NA</v>
      </c>
      <c r="Z541" s="29" t="str">
        <f t="shared" si="216"/>
        <v>NA</v>
      </c>
      <c r="AA541" s="29" t="str">
        <f t="shared" si="217"/>
        <v>NA</v>
      </c>
      <c r="AB541" s="29" t="str">
        <f t="shared" si="218"/>
        <v>NA</v>
      </c>
      <c r="AC541" s="29" t="str">
        <f t="shared" si="219"/>
        <v>NA</v>
      </c>
      <c r="AD541" s="29" t="str">
        <f t="shared" si="220"/>
        <v>NA</v>
      </c>
      <c r="AE541" s="29" t="str">
        <f t="shared" si="221"/>
        <v>NA</v>
      </c>
      <c r="AF541" s="29" t="str">
        <f t="shared" si="222"/>
        <v>NA</v>
      </c>
      <c r="AG541" s="29" t="str">
        <f t="shared" si="223"/>
        <v>NA</v>
      </c>
      <c r="AH541" s="29" t="str">
        <f t="shared" si="224"/>
        <v>NA</v>
      </c>
    </row>
    <row r="542" customHeight="1" spans="1:34">
      <c r="A542" s="12" t="s">
        <v>1043</v>
      </c>
      <c r="F542" s="24">
        <f t="shared" si="206"/>
        <v>0</v>
      </c>
      <c r="G542" s="24" t="e">
        <f t="shared" si="205"/>
        <v>#DIV/0!</v>
      </c>
      <c r="Q542" s="29" t="str">
        <f t="shared" si="207"/>
        <v>NA</v>
      </c>
      <c r="R542" s="29" t="str">
        <f t="shared" si="208"/>
        <v>NA</v>
      </c>
      <c r="S542" s="29" t="str">
        <f t="shared" si="209"/>
        <v>NA</v>
      </c>
      <c r="T542" s="29" t="str">
        <f t="shared" si="210"/>
        <v>NA</v>
      </c>
      <c r="U542" s="29" t="str">
        <f t="shared" si="211"/>
        <v>NA</v>
      </c>
      <c r="V542" s="29" t="str">
        <f t="shared" si="212"/>
        <v>NA</v>
      </c>
      <c r="W542" s="29" t="str">
        <f t="shared" si="213"/>
        <v>NA</v>
      </c>
      <c r="X542" s="29" t="str">
        <f t="shared" si="214"/>
        <v>NA</v>
      </c>
      <c r="Y542" s="29" t="str">
        <f t="shared" si="215"/>
        <v>NA</v>
      </c>
      <c r="Z542" s="29" t="str">
        <f t="shared" si="216"/>
        <v>NA</v>
      </c>
      <c r="AA542" s="29" t="str">
        <f t="shared" si="217"/>
        <v>NA</v>
      </c>
      <c r="AB542" s="29" t="str">
        <f t="shared" si="218"/>
        <v>NA</v>
      </c>
      <c r="AC542" s="29" t="str">
        <f t="shared" si="219"/>
        <v>NA</v>
      </c>
      <c r="AD542" s="29" t="str">
        <f t="shared" si="220"/>
        <v>NA</v>
      </c>
      <c r="AE542" s="29" t="str">
        <f t="shared" si="221"/>
        <v>NA</v>
      </c>
      <c r="AF542" s="29" t="str">
        <f t="shared" si="222"/>
        <v>NA</v>
      </c>
      <c r="AG542" s="29" t="str">
        <f t="shared" si="223"/>
        <v>NA</v>
      </c>
      <c r="AH542" s="29" t="str">
        <f t="shared" si="224"/>
        <v>NA</v>
      </c>
    </row>
    <row r="543" customHeight="1" spans="1:34">
      <c r="A543" s="12" t="s">
        <v>1043</v>
      </c>
      <c r="F543" s="24">
        <f t="shared" si="206"/>
        <v>0</v>
      </c>
      <c r="G543" s="24" t="e">
        <f t="shared" si="205"/>
        <v>#DIV/0!</v>
      </c>
      <c r="Q543" s="29" t="str">
        <f t="shared" si="207"/>
        <v>NA</v>
      </c>
      <c r="R543" s="29" t="str">
        <f t="shared" si="208"/>
        <v>NA</v>
      </c>
      <c r="S543" s="29" t="str">
        <f t="shared" si="209"/>
        <v>NA</v>
      </c>
      <c r="T543" s="29" t="str">
        <f t="shared" si="210"/>
        <v>NA</v>
      </c>
      <c r="U543" s="29" t="str">
        <f t="shared" si="211"/>
        <v>NA</v>
      </c>
      <c r="V543" s="29" t="str">
        <f t="shared" si="212"/>
        <v>NA</v>
      </c>
      <c r="W543" s="29" t="str">
        <f t="shared" si="213"/>
        <v>NA</v>
      </c>
      <c r="X543" s="29" t="str">
        <f t="shared" si="214"/>
        <v>NA</v>
      </c>
      <c r="Y543" s="29" t="str">
        <f t="shared" si="215"/>
        <v>NA</v>
      </c>
      <c r="Z543" s="29" t="str">
        <f t="shared" si="216"/>
        <v>NA</v>
      </c>
      <c r="AA543" s="29" t="str">
        <f t="shared" si="217"/>
        <v>NA</v>
      </c>
      <c r="AB543" s="29" t="str">
        <f t="shared" si="218"/>
        <v>NA</v>
      </c>
      <c r="AC543" s="29" t="str">
        <f t="shared" si="219"/>
        <v>NA</v>
      </c>
      <c r="AD543" s="29" t="str">
        <f t="shared" si="220"/>
        <v>NA</v>
      </c>
      <c r="AE543" s="29" t="str">
        <f t="shared" si="221"/>
        <v>NA</v>
      </c>
      <c r="AF543" s="29" t="str">
        <f t="shared" si="222"/>
        <v>NA</v>
      </c>
      <c r="AG543" s="29" t="str">
        <f t="shared" si="223"/>
        <v>NA</v>
      </c>
      <c r="AH543" s="29" t="str">
        <f t="shared" si="224"/>
        <v>NA</v>
      </c>
    </row>
    <row r="544" customHeight="1" spans="1:34">
      <c r="A544" s="12" t="s">
        <v>1043</v>
      </c>
      <c r="F544" s="24">
        <f t="shared" si="206"/>
        <v>0</v>
      </c>
      <c r="G544" s="24" t="e">
        <f t="shared" si="205"/>
        <v>#DIV/0!</v>
      </c>
      <c r="Q544" s="29" t="str">
        <f t="shared" si="207"/>
        <v>NA</v>
      </c>
      <c r="R544" s="29" t="str">
        <f t="shared" si="208"/>
        <v>NA</v>
      </c>
      <c r="S544" s="29" t="str">
        <f t="shared" si="209"/>
        <v>NA</v>
      </c>
      <c r="T544" s="29" t="str">
        <f t="shared" si="210"/>
        <v>NA</v>
      </c>
      <c r="U544" s="29" t="str">
        <f t="shared" si="211"/>
        <v>NA</v>
      </c>
      <c r="V544" s="29" t="str">
        <f t="shared" si="212"/>
        <v>NA</v>
      </c>
      <c r="W544" s="29" t="str">
        <f t="shared" si="213"/>
        <v>NA</v>
      </c>
      <c r="X544" s="29" t="str">
        <f t="shared" si="214"/>
        <v>NA</v>
      </c>
      <c r="Y544" s="29" t="str">
        <f t="shared" si="215"/>
        <v>NA</v>
      </c>
      <c r="Z544" s="29" t="str">
        <f t="shared" si="216"/>
        <v>NA</v>
      </c>
      <c r="AA544" s="29" t="str">
        <f t="shared" si="217"/>
        <v>NA</v>
      </c>
      <c r="AB544" s="29" t="str">
        <f t="shared" si="218"/>
        <v>NA</v>
      </c>
      <c r="AC544" s="29" t="str">
        <f t="shared" si="219"/>
        <v>NA</v>
      </c>
      <c r="AD544" s="29" t="str">
        <f t="shared" si="220"/>
        <v>NA</v>
      </c>
      <c r="AE544" s="29" t="str">
        <f t="shared" si="221"/>
        <v>NA</v>
      </c>
      <c r="AF544" s="29" t="str">
        <f t="shared" si="222"/>
        <v>NA</v>
      </c>
      <c r="AG544" s="29" t="str">
        <f t="shared" si="223"/>
        <v>NA</v>
      </c>
      <c r="AH544" s="29" t="str">
        <f t="shared" si="224"/>
        <v>NA</v>
      </c>
    </row>
    <row r="545" customHeight="1" spans="1:34">
      <c r="A545" s="12" t="s">
        <v>1043</v>
      </c>
      <c r="F545" s="24">
        <f t="shared" si="206"/>
        <v>0</v>
      </c>
      <c r="G545" s="24" t="e">
        <f t="shared" si="205"/>
        <v>#DIV/0!</v>
      </c>
      <c r="Q545" s="29" t="str">
        <f t="shared" si="207"/>
        <v>NA</v>
      </c>
      <c r="R545" s="29" t="str">
        <f t="shared" si="208"/>
        <v>NA</v>
      </c>
      <c r="S545" s="29" t="str">
        <f t="shared" si="209"/>
        <v>NA</v>
      </c>
      <c r="T545" s="29" t="str">
        <f t="shared" si="210"/>
        <v>NA</v>
      </c>
      <c r="U545" s="29" t="str">
        <f t="shared" si="211"/>
        <v>NA</v>
      </c>
      <c r="V545" s="29" t="str">
        <f t="shared" si="212"/>
        <v>NA</v>
      </c>
      <c r="W545" s="29" t="str">
        <f t="shared" si="213"/>
        <v>NA</v>
      </c>
      <c r="X545" s="29" t="str">
        <f t="shared" si="214"/>
        <v>NA</v>
      </c>
      <c r="Y545" s="29" t="str">
        <f t="shared" si="215"/>
        <v>NA</v>
      </c>
      <c r="Z545" s="29" t="str">
        <f t="shared" si="216"/>
        <v>NA</v>
      </c>
      <c r="AA545" s="29" t="str">
        <f t="shared" si="217"/>
        <v>NA</v>
      </c>
      <c r="AB545" s="29" t="str">
        <f t="shared" si="218"/>
        <v>NA</v>
      </c>
      <c r="AC545" s="29" t="str">
        <f t="shared" si="219"/>
        <v>NA</v>
      </c>
      <c r="AD545" s="29" t="str">
        <f t="shared" si="220"/>
        <v>NA</v>
      </c>
      <c r="AE545" s="29" t="str">
        <f t="shared" si="221"/>
        <v>NA</v>
      </c>
      <c r="AF545" s="29" t="str">
        <f t="shared" si="222"/>
        <v>NA</v>
      </c>
      <c r="AG545" s="29" t="str">
        <f t="shared" si="223"/>
        <v>NA</v>
      </c>
      <c r="AH545" s="29" t="str">
        <f t="shared" si="224"/>
        <v>NA</v>
      </c>
    </row>
    <row r="546" customHeight="1" spans="1:34">
      <c r="A546" s="12" t="s">
        <v>1043</v>
      </c>
      <c r="F546" s="24">
        <f t="shared" si="206"/>
        <v>0</v>
      </c>
      <c r="G546" s="24" t="e">
        <f t="shared" si="205"/>
        <v>#DIV/0!</v>
      </c>
      <c r="Q546" s="29" t="str">
        <f t="shared" si="207"/>
        <v>NA</v>
      </c>
      <c r="R546" s="29" t="str">
        <f t="shared" si="208"/>
        <v>NA</v>
      </c>
      <c r="S546" s="29" t="str">
        <f t="shared" si="209"/>
        <v>NA</v>
      </c>
      <c r="T546" s="29" t="str">
        <f t="shared" si="210"/>
        <v>NA</v>
      </c>
      <c r="U546" s="29" t="str">
        <f t="shared" si="211"/>
        <v>NA</v>
      </c>
      <c r="V546" s="29" t="str">
        <f t="shared" si="212"/>
        <v>NA</v>
      </c>
      <c r="W546" s="29" t="str">
        <f t="shared" si="213"/>
        <v>NA</v>
      </c>
      <c r="X546" s="29" t="str">
        <f t="shared" si="214"/>
        <v>NA</v>
      </c>
      <c r="Y546" s="29" t="str">
        <f t="shared" si="215"/>
        <v>NA</v>
      </c>
      <c r="Z546" s="29" t="str">
        <f t="shared" si="216"/>
        <v>NA</v>
      </c>
      <c r="AA546" s="29" t="str">
        <f t="shared" si="217"/>
        <v>NA</v>
      </c>
      <c r="AB546" s="29" t="str">
        <f t="shared" si="218"/>
        <v>NA</v>
      </c>
      <c r="AC546" s="29" t="str">
        <f t="shared" si="219"/>
        <v>NA</v>
      </c>
      <c r="AD546" s="29" t="str">
        <f t="shared" si="220"/>
        <v>NA</v>
      </c>
      <c r="AE546" s="29" t="str">
        <f t="shared" si="221"/>
        <v>NA</v>
      </c>
      <c r="AF546" s="29" t="str">
        <f t="shared" si="222"/>
        <v>NA</v>
      </c>
      <c r="AG546" s="29" t="str">
        <f t="shared" si="223"/>
        <v>NA</v>
      </c>
      <c r="AH546" s="29" t="str">
        <f t="shared" si="224"/>
        <v>NA</v>
      </c>
    </row>
    <row r="547" customHeight="1" spans="1:34">
      <c r="A547" s="12" t="s">
        <v>1043</v>
      </c>
      <c r="F547" s="24">
        <f t="shared" si="206"/>
        <v>0</v>
      </c>
      <c r="G547" s="24" t="e">
        <f t="shared" si="205"/>
        <v>#DIV/0!</v>
      </c>
      <c r="Q547" s="29" t="str">
        <f t="shared" si="207"/>
        <v>NA</v>
      </c>
      <c r="R547" s="29" t="str">
        <f t="shared" si="208"/>
        <v>NA</v>
      </c>
      <c r="S547" s="29" t="str">
        <f t="shared" si="209"/>
        <v>NA</v>
      </c>
      <c r="T547" s="29" t="str">
        <f t="shared" si="210"/>
        <v>NA</v>
      </c>
      <c r="U547" s="29" t="str">
        <f t="shared" si="211"/>
        <v>NA</v>
      </c>
      <c r="V547" s="29" t="str">
        <f t="shared" si="212"/>
        <v>NA</v>
      </c>
      <c r="W547" s="29" t="str">
        <f t="shared" si="213"/>
        <v>NA</v>
      </c>
      <c r="X547" s="29" t="str">
        <f t="shared" si="214"/>
        <v>NA</v>
      </c>
      <c r="Y547" s="29" t="str">
        <f t="shared" si="215"/>
        <v>NA</v>
      </c>
      <c r="Z547" s="29" t="str">
        <f t="shared" si="216"/>
        <v>NA</v>
      </c>
      <c r="AA547" s="29" t="str">
        <f t="shared" si="217"/>
        <v>NA</v>
      </c>
      <c r="AB547" s="29" t="str">
        <f t="shared" si="218"/>
        <v>NA</v>
      </c>
      <c r="AC547" s="29" t="str">
        <f t="shared" si="219"/>
        <v>NA</v>
      </c>
      <c r="AD547" s="29" t="str">
        <f t="shared" si="220"/>
        <v>NA</v>
      </c>
      <c r="AE547" s="29" t="str">
        <f t="shared" si="221"/>
        <v>NA</v>
      </c>
      <c r="AF547" s="29" t="str">
        <f t="shared" si="222"/>
        <v>NA</v>
      </c>
      <c r="AG547" s="29" t="str">
        <f t="shared" si="223"/>
        <v>NA</v>
      </c>
      <c r="AH547" s="29" t="str">
        <f t="shared" si="224"/>
        <v>NA</v>
      </c>
    </row>
    <row r="548" customHeight="1" spans="1:34">
      <c r="A548" s="12" t="s">
        <v>1043</v>
      </c>
      <c r="F548" s="24">
        <f t="shared" si="206"/>
        <v>0</v>
      </c>
      <c r="G548" s="24" t="e">
        <f t="shared" si="205"/>
        <v>#DIV/0!</v>
      </c>
      <c r="Q548" s="29" t="str">
        <f t="shared" si="207"/>
        <v>NA</v>
      </c>
      <c r="R548" s="29" t="str">
        <f t="shared" si="208"/>
        <v>NA</v>
      </c>
      <c r="S548" s="29" t="str">
        <f t="shared" si="209"/>
        <v>NA</v>
      </c>
      <c r="T548" s="29" t="str">
        <f t="shared" si="210"/>
        <v>NA</v>
      </c>
      <c r="U548" s="29" t="str">
        <f t="shared" si="211"/>
        <v>NA</v>
      </c>
      <c r="V548" s="29" t="str">
        <f t="shared" si="212"/>
        <v>NA</v>
      </c>
      <c r="W548" s="29" t="str">
        <f t="shared" si="213"/>
        <v>NA</v>
      </c>
      <c r="X548" s="29" t="str">
        <f t="shared" si="214"/>
        <v>NA</v>
      </c>
      <c r="Y548" s="29" t="str">
        <f t="shared" si="215"/>
        <v>NA</v>
      </c>
      <c r="Z548" s="29" t="str">
        <f t="shared" si="216"/>
        <v>NA</v>
      </c>
      <c r="AA548" s="29" t="str">
        <f t="shared" si="217"/>
        <v>NA</v>
      </c>
      <c r="AB548" s="29" t="str">
        <f t="shared" si="218"/>
        <v>NA</v>
      </c>
      <c r="AC548" s="29" t="str">
        <f t="shared" si="219"/>
        <v>NA</v>
      </c>
      <c r="AD548" s="29" t="str">
        <f t="shared" si="220"/>
        <v>NA</v>
      </c>
      <c r="AE548" s="29" t="str">
        <f t="shared" si="221"/>
        <v>NA</v>
      </c>
      <c r="AF548" s="29" t="str">
        <f t="shared" si="222"/>
        <v>NA</v>
      </c>
      <c r="AG548" s="29" t="str">
        <f t="shared" si="223"/>
        <v>NA</v>
      </c>
      <c r="AH548" s="29" t="str">
        <f t="shared" si="224"/>
        <v>NA</v>
      </c>
    </row>
    <row r="549" customHeight="1" spans="1:34">
      <c r="A549" s="12" t="s">
        <v>1043</v>
      </c>
      <c r="F549" s="24">
        <f t="shared" si="206"/>
        <v>0</v>
      </c>
      <c r="G549" s="24" t="e">
        <f t="shared" si="205"/>
        <v>#DIV/0!</v>
      </c>
      <c r="Q549" s="29" t="str">
        <f t="shared" si="207"/>
        <v>NA</v>
      </c>
      <c r="R549" s="29" t="str">
        <f t="shared" si="208"/>
        <v>NA</v>
      </c>
      <c r="S549" s="29" t="str">
        <f t="shared" si="209"/>
        <v>NA</v>
      </c>
      <c r="T549" s="29" t="str">
        <f t="shared" si="210"/>
        <v>NA</v>
      </c>
      <c r="U549" s="29" t="str">
        <f t="shared" si="211"/>
        <v>NA</v>
      </c>
      <c r="V549" s="29" t="str">
        <f t="shared" si="212"/>
        <v>NA</v>
      </c>
      <c r="W549" s="29" t="str">
        <f t="shared" si="213"/>
        <v>NA</v>
      </c>
      <c r="X549" s="29" t="str">
        <f t="shared" si="214"/>
        <v>NA</v>
      </c>
      <c r="Y549" s="29" t="str">
        <f t="shared" si="215"/>
        <v>NA</v>
      </c>
      <c r="Z549" s="29" t="str">
        <f t="shared" si="216"/>
        <v>NA</v>
      </c>
      <c r="AA549" s="29" t="str">
        <f t="shared" si="217"/>
        <v>NA</v>
      </c>
      <c r="AB549" s="29" t="str">
        <f t="shared" si="218"/>
        <v>NA</v>
      </c>
      <c r="AC549" s="29" t="str">
        <f t="shared" si="219"/>
        <v>NA</v>
      </c>
      <c r="AD549" s="29" t="str">
        <f t="shared" si="220"/>
        <v>NA</v>
      </c>
      <c r="AE549" s="29" t="str">
        <f t="shared" si="221"/>
        <v>NA</v>
      </c>
      <c r="AF549" s="29" t="str">
        <f t="shared" si="222"/>
        <v>NA</v>
      </c>
      <c r="AG549" s="29" t="str">
        <f t="shared" si="223"/>
        <v>NA</v>
      </c>
      <c r="AH549" s="29" t="str">
        <f t="shared" si="224"/>
        <v>NA</v>
      </c>
    </row>
    <row r="550" customHeight="1" spans="1:34">
      <c r="A550" s="12" t="s">
        <v>1043</v>
      </c>
      <c r="F550" s="24">
        <f t="shared" si="206"/>
        <v>0</v>
      </c>
      <c r="G550" s="24" t="e">
        <f t="shared" si="205"/>
        <v>#DIV/0!</v>
      </c>
      <c r="Q550" s="29" t="str">
        <f t="shared" si="207"/>
        <v>NA</v>
      </c>
      <c r="R550" s="29" t="str">
        <f t="shared" si="208"/>
        <v>NA</v>
      </c>
      <c r="S550" s="29" t="str">
        <f t="shared" si="209"/>
        <v>NA</v>
      </c>
      <c r="T550" s="29" t="str">
        <f t="shared" si="210"/>
        <v>NA</v>
      </c>
      <c r="U550" s="29" t="str">
        <f t="shared" si="211"/>
        <v>NA</v>
      </c>
      <c r="V550" s="29" t="str">
        <f t="shared" si="212"/>
        <v>NA</v>
      </c>
      <c r="W550" s="29" t="str">
        <f t="shared" si="213"/>
        <v>NA</v>
      </c>
      <c r="X550" s="29" t="str">
        <f t="shared" si="214"/>
        <v>NA</v>
      </c>
      <c r="Y550" s="29" t="str">
        <f t="shared" si="215"/>
        <v>NA</v>
      </c>
      <c r="Z550" s="29" t="str">
        <f t="shared" si="216"/>
        <v>NA</v>
      </c>
      <c r="AA550" s="29" t="str">
        <f t="shared" si="217"/>
        <v>NA</v>
      </c>
      <c r="AB550" s="29" t="str">
        <f t="shared" si="218"/>
        <v>NA</v>
      </c>
      <c r="AC550" s="29" t="str">
        <f t="shared" si="219"/>
        <v>NA</v>
      </c>
      <c r="AD550" s="29" t="str">
        <f t="shared" si="220"/>
        <v>NA</v>
      </c>
      <c r="AE550" s="29" t="str">
        <f t="shared" si="221"/>
        <v>NA</v>
      </c>
      <c r="AF550" s="29" t="str">
        <f t="shared" si="222"/>
        <v>NA</v>
      </c>
      <c r="AG550" s="29" t="str">
        <f t="shared" si="223"/>
        <v>NA</v>
      </c>
      <c r="AH550" s="29" t="str">
        <f t="shared" si="224"/>
        <v>NA</v>
      </c>
    </row>
    <row r="551" customHeight="1" spans="1:34">
      <c r="A551" s="12" t="s">
        <v>1043</v>
      </c>
      <c r="F551" s="24">
        <f t="shared" si="206"/>
        <v>0</v>
      </c>
      <c r="G551" s="24" t="e">
        <f t="shared" si="205"/>
        <v>#DIV/0!</v>
      </c>
      <c r="Q551" s="29" t="str">
        <f t="shared" si="207"/>
        <v>NA</v>
      </c>
      <c r="R551" s="29" t="str">
        <f t="shared" si="208"/>
        <v>NA</v>
      </c>
      <c r="S551" s="29" t="str">
        <f t="shared" si="209"/>
        <v>NA</v>
      </c>
      <c r="T551" s="29" t="str">
        <f t="shared" si="210"/>
        <v>NA</v>
      </c>
      <c r="U551" s="29" t="str">
        <f t="shared" si="211"/>
        <v>NA</v>
      </c>
      <c r="V551" s="29" t="str">
        <f t="shared" si="212"/>
        <v>NA</v>
      </c>
      <c r="W551" s="29" t="str">
        <f t="shared" si="213"/>
        <v>NA</v>
      </c>
      <c r="X551" s="29" t="str">
        <f t="shared" si="214"/>
        <v>NA</v>
      </c>
      <c r="Y551" s="29" t="str">
        <f t="shared" si="215"/>
        <v>NA</v>
      </c>
      <c r="Z551" s="29" t="str">
        <f t="shared" si="216"/>
        <v>NA</v>
      </c>
      <c r="AA551" s="29" t="str">
        <f t="shared" si="217"/>
        <v>NA</v>
      </c>
      <c r="AB551" s="29" t="str">
        <f t="shared" si="218"/>
        <v>NA</v>
      </c>
      <c r="AC551" s="29" t="str">
        <f t="shared" si="219"/>
        <v>NA</v>
      </c>
      <c r="AD551" s="29" t="str">
        <f t="shared" si="220"/>
        <v>NA</v>
      </c>
      <c r="AE551" s="29" t="str">
        <f t="shared" si="221"/>
        <v>NA</v>
      </c>
      <c r="AF551" s="29" t="str">
        <f t="shared" si="222"/>
        <v>NA</v>
      </c>
      <c r="AG551" s="29" t="str">
        <f t="shared" si="223"/>
        <v>NA</v>
      </c>
      <c r="AH551" s="29" t="str">
        <f t="shared" si="224"/>
        <v>NA</v>
      </c>
    </row>
    <row r="552" customHeight="1" spans="1:34">
      <c r="A552" s="12" t="s">
        <v>1043</v>
      </c>
      <c r="F552" s="24">
        <f t="shared" si="206"/>
        <v>0</v>
      </c>
      <c r="G552" s="24" t="e">
        <f t="shared" si="205"/>
        <v>#DIV/0!</v>
      </c>
      <c r="Q552" s="29" t="str">
        <f t="shared" si="207"/>
        <v>NA</v>
      </c>
      <c r="R552" s="29" t="str">
        <f t="shared" si="208"/>
        <v>NA</v>
      </c>
      <c r="S552" s="29" t="str">
        <f t="shared" si="209"/>
        <v>NA</v>
      </c>
      <c r="T552" s="29" t="str">
        <f t="shared" si="210"/>
        <v>NA</v>
      </c>
      <c r="U552" s="29" t="str">
        <f t="shared" si="211"/>
        <v>NA</v>
      </c>
      <c r="V552" s="29" t="str">
        <f t="shared" si="212"/>
        <v>NA</v>
      </c>
      <c r="W552" s="29" t="str">
        <f t="shared" si="213"/>
        <v>NA</v>
      </c>
      <c r="X552" s="29" t="str">
        <f t="shared" si="214"/>
        <v>NA</v>
      </c>
      <c r="Y552" s="29" t="str">
        <f t="shared" si="215"/>
        <v>NA</v>
      </c>
      <c r="Z552" s="29" t="str">
        <f t="shared" si="216"/>
        <v>NA</v>
      </c>
      <c r="AA552" s="29" t="str">
        <f t="shared" si="217"/>
        <v>NA</v>
      </c>
      <c r="AB552" s="29" t="str">
        <f t="shared" si="218"/>
        <v>NA</v>
      </c>
      <c r="AC552" s="29" t="str">
        <f t="shared" si="219"/>
        <v>NA</v>
      </c>
      <c r="AD552" s="29" t="str">
        <f t="shared" si="220"/>
        <v>NA</v>
      </c>
      <c r="AE552" s="29" t="str">
        <f t="shared" si="221"/>
        <v>NA</v>
      </c>
      <c r="AF552" s="29" t="str">
        <f t="shared" si="222"/>
        <v>NA</v>
      </c>
      <c r="AG552" s="29" t="str">
        <f t="shared" si="223"/>
        <v>NA</v>
      </c>
      <c r="AH552" s="29" t="str">
        <f t="shared" si="224"/>
        <v>NA</v>
      </c>
    </row>
    <row r="553" customHeight="1" spans="1:34">
      <c r="A553" s="12" t="s">
        <v>1043</v>
      </c>
      <c r="F553" s="24">
        <f t="shared" si="206"/>
        <v>0</v>
      </c>
      <c r="G553" s="24" t="e">
        <f t="shared" si="205"/>
        <v>#DIV/0!</v>
      </c>
      <c r="Q553" s="29" t="str">
        <f t="shared" si="207"/>
        <v>NA</v>
      </c>
      <c r="R553" s="29" t="str">
        <f t="shared" si="208"/>
        <v>NA</v>
      </c>
      <c r="S553" s="29" t="str">
        <f t="shared" si="209"/>
        <v>NA</v>
      </c>
      <c r="T553" s="29" t="str">
        <f t="shared" si="210"/>
        <v>NA</v>
      </c>
      <c r="U553" s="29" t="str">
        <f t="shared" si="211"/>
        <v>NA</v>
      </c>
      <c r="V553" s="29" t="str">
        <f t="shared" si="212"/>
        <v>NA</v>
      </c>
      <c r="W553" s="29" t="str">
        <f t="shared" si="213"/>
        <v>NA</v>
      </c>
      <c r="X553" s="29" t="str">
        <f t="shared" si="214"/>
        <v>NA</v>
      </c>
      <c r="Y553" s="29" t="str">
        <f t="shared" si="215"/>
        <v>NA</v>
      </c>
      <c r="Z553" s="29" t="str">
        <f t="shared" si="216"/>
        <v>NA</v>
      </c>
      <c r="AA553" s="29" t="str">
        <f t="shared" si="217"/>
        <v>NA</v>
      </c>
      <c r="AB553" s="29" t="str">
        <f t="shared" si="218"/>
        <v>NA</v>
      </c>
      <c r="AC553" s="29" t="str">
        <f t="shared" si="219"/>
        <v>NA</v>
      </c>
      <c r="AD553" s="29" t="str">
        <f t="shared" si="220"/>
        <v>NA</v>
      </c>
      <c r="AE553" s="29" t="str">
        <f t="shared" si="221"/>
        <v>NA</v>
      </c>
      <c r="AF553" s="29" t="str">
        <f t="shared" si="222"/>
        <v>NA</v>
      </c>
      <c r="AG553" s="29" t="str">
        <f t="shared" si="223"/>
        <v>NA</v>
      </c>
      <c r="AH553" s="29" t="str">
        <f t="shared" si="224"/>
        <v>NA</v>
      </c>
    </row>
    <row r="554" customHeight="1" spans="1:34">
      <c r="A554" s="12" t="s">
        <v>1043</v>
      </c>
      <c r="F554" s="24">
        <f t="shared" si="206"/>
        <v>0</v>
      </c>
      <c r="G554" s="24" t="e">
        <f t="shared" si="205"/>
        <v>#DIV/0!</v>
      </c>
      <c r="Q554" s="29" t="str">
        <f t="shared" si="207"/>
        <v>NA</v>
      </c>
      <c r="R554" s="29" t="str">
        <f t="shared" si="208"/>
        <v>NA</v>
      </c>
      <c r="S554" s="29" t="str">
        <f t="shared" si="209"/>
        <v>NA</v>
      </c>
      <c r="T554" s="29" t="str">
        <f t="shared" si="210"/>
        <v>NA</v>
      </c>
      <c r="U554" s="29" t="str">
        <f t="shared" si="211"/>
        <v>NA</v>
      </c>
      <c r="V554" s="29" t="str">
        <f t="shared" si="212"/>
        <v>NA</v>
      </c>
      <c r="W554" s="29" t="str">
        <f t="shared" si="213"/>
        <v>NA</v>
      </c>
      <c r="X554" s="29" t="str">
        <f t="shared" si="214"/>
        <v>NA</v>
      </c>
      <c r="Y554" s="29" t="str">
        <f t="shared" si="215"/>
        <v>NA</v>
      </c>
      <c r="Z554" s="29" t="str">
        <f t="shared" si="216"/>
        <v>NA</v>
      </c>
      <c r="AA554" s="29" t="str">
        <f t="shared" si="217"/>
        <v>NA</v>
      </c>
      <c r="AB554" s="29" t="str">
        <f t="shared" si="218"/>
        <v>NA</v>
      </c>
      <c r="AC554" s="29" t="str">
        <f t="shared" si="219"/>
        <v>NA</v>
      </c>
      <c r="AD554" s="29" t="str">
        <f t="shared" si="220"/>
        <v>NA</v>
      </c>
      <c r="AE554" s="29" t="str">
        <f t="shared" si="221"/>
        <v>NA</v>
      </c>
      <c r="AF554" s="29" t="str">
        <f t="shared" si="222"/>
        <v>NA</v>
      </c>
      <c r="AG554" s="29" t="str">
        <f t="shared" si="223"/>
        <v>NA</v>
      </c>
      <c r="AH554" s="29" t="str">
        <f t="shared" si="224"/>
        <v>NA</v>
      </c>
    </row>
    <row r="555" customHeight="1" spans="1:34">
      <c r="A555" s="12" t="s">
        <v>1043</v>
      </c>
      <c r="F555" s="24">
        <f t="shared" si="206"/>
        <v>0</v>
      </c>
      <c r="G555" s="24" t="e">
        <f t="shared" si="205"/>
        <v>#DIV/0!</v>
      </c>
      <c r="Q555" s="29" t="str">
        <f t="shared" si="207"/>
        <v>NA</v>
      </c>
      <c r="R555" s="29" t="str">
        <f t="shared" si="208"/>
        <v>NA</v>
      </c>
      <c r="S555" s="29" t="str">
        <f t="shared" si="209"/>
        <v>NA</v>
      </c>
      <c r="T555" s="29" t="str">
        <f t="shared" si="210"/>
        <v>NA</v>
      </c>
      <c r="U555" s="29" t="str">
        <f t="shared" si="211"/>
        <v>NA</v>
      </c>
      <c r="V555" s="29" t="str">
        <f t="shared" si="212"/>
        <v>NA</v>
      </c>
      <c r="W555" s="29" t="str">
        <f t="shared" si="213"/>
        <v>NA</v>
      </c>
      <c r="X555" s="29" t="str">
        <f t="shared" si="214"/>
        <v>NA</v>
      </c>
      <c r="Y555" s="29" t="str">
        <f t="shared" si="215"/>
        <v>NA</v>
      </c>
      <c r="Z555" s="29" t="str">
        <f t="shared" si="216"/>
        <v>NA</v>
      </c>
      <c r="AA555" s="29" t="str">
        <f t="shared" si="217"/>
        <v>NA</v>
      </c>
      <c r="AB555" s="29" t="str">
        <f t="shared" si="218"/>
        <v>NA</v>
      </c>
      <c r="AC555" s="29" t="str">
        <f t="shared" si="219"/>
        <v>NA</v>
      </c>
      <c r="AD555" s="29" t="str">
        <f t="shared" si="220"/>
        <v>NA</v>
      </c>
      <c r="AE555" s="29" t="str">
        <f t="shared" si="221"/>
        <v>NA</v>
      </c>
      <c r="AF555" s="29" t="str">
        <f t="shared" si="222"/>
        <v>NA</v>
      </c>
      <c r="AG555" s="29" t="str">
        <f t="shared" si="223"/>
        <v>NA</v>
      </c>
      <c r="AH555" s="29" t="str">
        <f t="shared" si="224"/>
        <v>NA</v>
      </c>
    </row>
    <row r="556" customHeight="1" spans="1:34">
      <c r="A556" s="12" t="s">
        <v>1043</v>
      </c>
      <c r="F556" s="24">
        <f t="shared" si="206"/>
        <v>0</v>
      </c>
      <c r="G556" s="24" t="e">
        <f t="shared" si="205"/>
        <v>#DIV/0!</v>
      </c>
      <c r="Q556" s="29" t="str">
        <f t="shared" si="207"/>
        <v>NA</v>
      </c>
      <c r="R556" s="29" t="str">
        <f t="shared" si="208"/>
        <v>NA</v>
      </c>
      <c r="S556" s="29" t="str">
        <f t="shared" si="209"/>
        <v>NA</v>
      </c>
      <c r="T556" s="29" t="str">
        <f t="shared" si="210"/>
        <v>NA</v>
      </c>
      <c r="U556" s="29" t="str">
        <f t="shared" si="211"/>
        <v>NA</v>
      </c>
      <c r="V556" s="29" t="str">
        <f t="shared" si="212"/>
        <v>NA</v>
      </c>
      <c r="W556" s="29" t="str">
        <f t="shared" si="213"/>
        <v>NA</v>
      </c>
      <c r="X556" s="29" t="str">
        <f t="shared" si="214"/>
        <v>NA</v>
      </c>
      <c r="Y556" s="29" t="str">
        <f t="shared" si="215"/>
        <v>NA</v>
      </c>
      <c r="Z556" s="29" t="str">
        <f t="shared" si="216"/>
        <v>NA</v>
      </c>
      <c r="AA556" s="29" t="str">
        <f t="shared" si="217"/>
        <v>NA</v>
      </c>
      <c r="AB556" s="29" t="str">
        <f t="shared" si="218"/>
        <v>NA</v>
      </c>
      <c r="AC556" s="29" t="str">
        <f t="shared" si="219"/>
        <v>NA</v>
      </c>
      <c r="AD556" s="29" t="str">
        <f t="shared" si="220"/>
        <v>NA</v>
      </c>
      <c r="AE556" s="29" t="str">
        <f t="shared" si="221"/>
        <v>NA</v>
      </c>
      <c r="AF556" s="29" t="str">
        <f t="shared" si="222"/>
        <v>NA</v>
      </c>
      <c r="AG556" s="29" t="str">
        <f t="shared" si="223"/>
        <v>NA</v>
      </c>
      <c r="AH556" s="29" t="str">
        <f t="shared" si="224"/>
        <v>NA</v>
      </c>
    </row>
    <row r="557" customHeight="1" spans="1:34">
      <c r="A557" s="12" t="s">
        <v>1043</v>
      </c>
      <c r="F557" s="24">
        <f t="shared" si="206"/>
        <v>0</v>
      </c>
      <c r="G557" s="24" t="e">
        <f t="shared" si="205"/>
        <v>#DIV/0!</v>
      </c>
      <c r="Q557" s="29" t="str">
        <f t="shared" si="207"/>
        <v>NA</v>
      </c>
      <c r="R557" s="29" t="str">
        <f t="shared" si="208"/>
        <v>NA</v>
      </c>
      <c r="S557" s="29" t="str">
        <f t="shared" si="209"/>
        <v>NA</v>
      </c>
      <c r="T557" s="29" t="str">
        <f t="shared" si="210"/>
        <v>NA</v>
      </c>
      <c r="U557" s="29" t="str">
        <f t="shared" si="211"/>
        <v>NA</v>
      </c>
      <c r="V557" s="29" t="str">
        <f t="shared" si="212"/>
        <v>NA</v>
      </c>
      <c r="W557" s="29" t="str">
        <f t="shared" si="213"/>
        <v>NA</v>
      </c>
      <c r="X557" s="29" t="str">
        <f t="shared" si="214"/>
        <v>NA</v>
      </c>
      <c r="Y557" s="29" t="str">
        <f t="shared" si="215"/>
        <v>NA</v>
      </c>
      <c r="Z557" s="29" t="str">
        <f t="shared" si="216"/>
        <v>NA</v>
      </c>
      <c r="AA557" s="29" t="str">
        <f t="shared" si="217"/>
        <v>NA</v>
      </c>
      <c r="AB557" s="29" t="str">
        <f t="shared" si="218"/>
        <v>NA</v>
      </c>
      <c r="AC557" s="29" t="str">
        <f t="shared" si="219"/>
        <v>NA</v>
      </c>
      <c r="AD557" s="29" t="str">
        <f t="shared" si="220"/>
        <v>NA</v>
      </c>
      <c r="AE557" s="29" t="str">
        <f t="shared" si="221"/>
        <v>NA</v>
      </c>
      <c r="AF557" s="29" t="str">
        <f t="shared" si="222"/>
        <v>NA</v>
      </c>
      <c r="AG557" s="29" t="str">
        <f t="shared" si="223"/>
        <v>NA</v>
      </c>
      <c r="AH557" s="29" t="str">
        <f t="shared" si="224"/>
        <v>NA</v>
      </c>
    </row>
    <row r="558" customHeight="1" spans="1:34">
      <c r="A558" s="12" t="s">
        <v>1043</v>
      </c>
      <c r="F558" s="24">
        <f t="shared" si="206"/>
        <v>0</v>
      </c>
      <c r="G558" s="24" t="e">
        <f t="shared" si="205"/>
        <v>#DIV/0!</v>
      </c>
      <c r="Q558" s="29" t="str">
        <f t="shared" si="207"/>
        <v>NA</v>
      </c>
      <c r="R558" s="29" t="str">
        <f t="shared" si="208"/>
        <v>NA</v>
      </c>
      <c r="S558" s="29" t="str">
        <f t="shared" si="209"/>
        <v>NA</v>
      </c>
      <c r="T558" s="29" t="str">
        <f t="shared" si="210"/>
        <v>NA</v>
      </c>
      <c r="U558" s="29" t="str">
        <f t="shared" si="211"/>
        <v>NA</v>
      </c>
      <c r="V558" s="29" t="str">
        <f t="shared" si="212"/>
        <v>NA</v>
      </c>
      <c r="W558" s="29" t="str">
        <f t="shared" si="213"/>
        <v>NA</v>
      </c>
      <c r="X558" s="29" t="str">
        <f t="shared" si="214"/>
        <v>NA</v>
      </c>
      <c r="Y558" s="29" t="str">
        <f t="shared" si="215"/>
        <v>NA</v>
      </c>
      <c r="Z558" s="29" t="str">
        <f t="shared" si="216"/>
        <v>NA</v>
      </c>
      <c r="AA558" s="29" t="str">
        <f t="shared" si="217"/>
        <v>NA</v>
      </c>
      <c r="AB558" s="29" t="str">
        <f t="shared" si="218"/>
        <v>NA</v>
      </c>
      <c r="AC558" s="29" t="str">
        <f t="shared" si="219"/>
        <v>NA</v>
      </c>
      <c r="AD558" s="29" t="str">
        <f t="shared" si="220"/>
        <v>NA</v>
      </c>
      <c r="AE558" s="29" t="str">
        <f t="shared" si="221"/>
        <v>NA</v>
      </c>
      <c r="AF558" s="29" t="str">
        <f t="shared" si="222"/>
        <v>NA</v>
      </c>
      <c r="AG558" s="29" t="str">
        <f t="shared" si="223"/>
        <v>NA</v>
      </c>
      <c r="AH558" s="29" t="str">
        <f t="shared" si="224"/>
        <v>NA</v>
      </c>
    </row>
    <row r="559" customHeight="1" spans="1:34">
      <c r="A559" s="12" t="s">
        <v>1043</v>
      </c>
      <c r="F559" s="24">
        <f t="shared" si="206"/>
        <v>0</v>
      </c>
      <c r="G559" s="24" t="e">
        <f t="shared" si="205"/>
        <v>#DIV/0!</v>
      </c>
      <c r="Q559" s="29" t="str">
        <f t="shared" si="207"/>
        <v>NA</v>
      </c>
      <c r="R559" s="29" t="str">
        <f t="shared" si="208"/>
        <v>NA</v>
      </c>
      <c r="S559" s="29" t="str">
        <f t="shared" si="209"/>
        <v>NA</v>
      </c>
      <c r="T559" s="29" t="str">
        <f t="shared" si="210"/>
        <v>NA</v>
      </c>
      <c r="U559" s="29" t="str">
        <f t="shared" si="211"/>
        <v>NA</v>
      </c>
      <c r="V559" s="29" t="str">
        <f t="shared" si="212"/>
        <v>NA</v>
      </c>
      <c r="W559" s="29" t="str">
        <f t="shared" si="213"/>
        <v>NA</v>
      </c>
      <c r="X559" s="29" t="str">
        <f t="shared" si="214"/>
        <v>NA</v>
      </c>
      <c r="Y559" s="29" t="str">
        <f t="shared" si="215"/>
        <v>NA</v>
      </c>
      <c r="Z559" s="29" t="str">
        <f t="shared" si="216"/>
        <v>NA</v>
      </c>
      <c r="AA559" s="29" t="str">
        <f t="shared" si="217"/>
        <v>NA</v>
      </c>
      <c r="AB559" s="29" t="str">
        <f t="shared" si="218"/>
        <v>NA</v>
      </c>
      <c r="AC559" s="29" t="str">
        <f t="shared" si="219"/>
        <v>NA</v>
      </c>
      <c r="AD559" s="29" t="str">
        <f t="shared" si="220"/>
        <v>NA</v>
      </c>
      <c r="AE559" s="29" t="str">
        <f t="shared" si="221"/>
        <v>NA</v>
      </c>
      <c r="AF559" s="29" t="str">
        <f t="shared" si="222"/>
        <v>NA</v>
      </c>
      <c r="AG559" s="29" t="str">
        <f t="shared" si="223"/>
        <v>NA</v>
      </c>
      <c r="AH559" s="29" t="str">
        <f t="shared" si="224"/>
        <v>NA</v>
      </c>
    </row>
    <row r="560" customHeight="1" spans="1:34">
      <c r="A560" s="12" t="s">
        <v>1043</v>
      </c>
      <c r="F560" s="24">
        <f t="shared" si="206"/>
        <v>0</v>
      </c>
      <c r="G560" s="24" t="e">
        <f t="shared" si="205"/>
        <v>#DIV/0!</v>
      </c>
      <c r="Q560" s="29" t="str">
        <f t="shared" si="207"/>
        <v>NA</v>
      </c>
      <c r="R560" s="29" t="str">
        <f t="shared" si="208"/>
        <v>NA</v>
      </c>
      <c r="S560" s="29" t="str">
        <f t="shared" si="209"/>
        <v>NA</v>
      </c>
      <c r="T560" s="29" t="str">
        <f t="shared" si="210"/>
        <v>NA</v>
      </c>
      <c r="U560" s="29" t="str">
        <f t="shared" si="211"/>
        <v>NA</v>
      </c>
      <c r="V560" s="29" t="str">
        <f t="shared" si="212"/>
        <v>NA</v>
      </c>
      <c r="W560" s="29" t="str">
        <f t="shared" si="213"/>
        <v>NA</v>
      </c>
      <c r="X560" s="29" t="str">
        <f t="shared" si="214"/>
        <v>NA</v>
      </c>
      <c r="Y560" s="29" t="str">
        <f t="shared" si="215"/>
        <v>NA</v>
      </c>
      <c r="Z560" s="29" t="str">
        <f t="shared" si="216"/>
        <v>NA</v>
      </c>
      <c r="AA560" s="29" t="str">
        <f t="shared" si="217"/>
        <v>NA</v>
      </c>
      <c r="AB560" s="29" t="str">
        <f t="shared" si="218"/>
        <v>NA</v>
      </c>
      <c r="AC560" s="29" t="str">
        <f t="shared" si="219"/>
        <v>NA</v>
      </c>
      <c r="AD560" s="29" t="str">
        <f t="shared" si="220"/>
        <v>NA</v>
      </c>
      <c r="AE560" s="29" t="str">
        <f t="shared" si="221"/>
        <v>NA</v>
      </c>
      <c r="AF560" s="29" t="str">
        <f t="shared" si="222"/>
        <v>NA</v>
      </c>
      <c r="AG560" s="29" t="str">
        <f t="shared" si="223"/>
        <v>NA</v>
      </c>
      <c r="AH560" s="29" t="str">
        <f t="shared" si="224"/>
        <v>NA</v>
      </c>
    </row>
    <row r="561" customHeight="1" spans="1:34">
      <c r="A561" s="12" t="s">
        <v>1043</v>
      </c>
      <c r="F561" s="24">
        <f t="shared" si="206"/>
        <v>0</v>
      </c>
      <c r="G561" s="24" t="e">
        <f t="shared" si="205"/>
        <v>#DIV/0!</v>
      </c>
      <c r="Q561" s="29" t="str">
        <f t="shared" si="207"/>
        <v>NA</v>
      </c>
      <c r="R561" s="29" t="str">
        <f t="shared" si="208"/>
        <v>NA</v>
      </c>
      <c r="S561" s="29" t="str">
        <f t="shared" si="209"/>
        <v>NA</v>
      </c>
      <c r="T561" s="29" t="str">
        <f t="shared" si="210"/>
        <v>NA</v>
      </c>
      <c r="U561" s="29" t="str">
        <f t="shared" si="211"/>
        <v>NA</v>
      </c>
      <c r="V561" s="29" t="str">
        <f t="shared" si="212"/>
        <v>NA</v>
      </c>
      <c r="W561" s="29" t="str">
        <f t="shared" si="213"/>
        <v>NA</v>
      </c>
      <c r="X561" s="29" t="str">
        <f t="shared" si="214"/>
        <v>NA</v>
      </c>
      <c r="Y561" s="29" t="str">
        <f t="shared" si="215"/>
        <v>NA</v>
      </c>
      <c r="Z561" s="29" t="str">
        <f t="shared" si="216"/>
        <v>NA</v>
      </c>
      <c r="AA561" s="29" t="str">
        <f t="shared" si="217"/>
        <v>NA</v>
      </c>
      <c r="AB561" s="29" t="str">
        <f t="shared" si="218"/>
        <v>NA</v>
      </c>
      <c r="AC561" s="29" t="str">
        <f t="shared" si="219"/>
        <v>NA</v>
      </c>
      <c r="AD561" s="29" t="str">
        <f t="shared" si="220"/>
        <v>NA</v>
      </c>
      <c r="AE561" s="29" t="str">
        <f t="shared" si="221"/>
        <v>NA</v>
      </c>
      <c r="AF561" s="29" t="str">
        <f t="shared" si="222"/>
        <v>NA</v>
      </c>
      <c r="AG561" s="29" t="str">
        <f t="shared" si="223"/>
        <v>NA</v>
      </c>
      <c r="AH561" s="29" t="str">
        <f t="shared" si="224"/>
        <v>NA</v>
      </c>
    </row>
    <row r="562" customHeight="1" spans="1:34">
      <c r="A562" s="12" t="s">
        <v>1043</v>
      </c>
      <c r="F562" s="24">
        <f t="shared" si="206"/>
        <v>0</v>
      </c>
      <c r="G562" s="24" t="e">
        <f t="shared" si="205"/>
        <v>#DIV/0!</v>
      </c>
      <c r="Q562" s="29" t="str">
        <f t="shared" si="207"/>
        <v>NA</v>
      </c>
      <c r="R562" s="29" t="str">
        <f t="shared" si="208"/>
        <v>NA</v>
      </c>
      <c r="S562" s="29" t="str">
        <f t="shared" si="209"/>
        <v>NA</v>
      </c>
      <c r="T562" s="29" t="str">
        <f t="shared" si="210"/>
        <v>NA</v>
      </c>
      <c r="U562" s="29" t="str">
        <f t="shared" si="211"/>
        <v>NA</v>
      </c>
      <c r="V562" s="29" t="str">
        <f t="shared" si="212"/>
        <v>NA</v>
      </c>
      <c r="W562" s="29" t="str">
        <f t="shared" si="213"/>
        <v>NA</v>
      </c>
      <c r="X562" s="29" t="str">
        <f t="shared" si="214"/>
        <v>NA</v>
      </c>
      <c r="Y562" s="29" t="str">
        <f t="shared" si="215"/>
        <v>NA</v>
      </c>
      <c r="Z562" s="29" t="str">
        <f t="shared" si="216"/>
        <v>NA</v>
      </c>
      <c r="AA562" s="29" t="str">
        <f t="shared" si="217"/>
        <v>NA</v>
      </c>
      <c r="AB562" s="29" t="str">
        <f t="shared" si="218"/>
        <v>NA</v>
      </c>
      <c r="AC562" s="29" t="str">
        <f t="shared" si="219"/>
        <v>NA</v>
      </c>
      <c r="AD562" s="29" t="str">
        <f t="shared" si="220"/>
        <v>NA</v>
      </c>
      <c r="AE562" s="29" t="str">
        <f t="shared" si="221"/>
        <v>NA</v>
      </c>
      <c r="AF562" s="29" t="str">
        <f t="shared" si="222"/>
        <v>NA</v>
      </c>
      <c r="AG562" s="29" t="str">
        <f t="shared" si="223"/>
        <v>NA</v>
      </c>
      <c r="AH562" s="29" t="str">
        <f t="shared" si="224"/>
        <v>NA</v>
      </c>
    </row>
    <row r="563" customHeight="1" spans="1:34">
      <c r="A563" s="12" t="s">
        <v>1043</v>
      </c>
      <c r="F563" s="24">
        <f t="shared" si="206"/>
        <v>0</v>
      </c>
      <c r="G563" s="24" t="e">
        <f t="shared" si="205"/>
        <v>#DIV/0!</v>
      </c>
      <c r="Q563" s="29" t="str">
        <f t="shared" si="207"/>
        <v>NA</v>
      </c>
      <c r="R563" s="29" t="str">
        <f t="shared" si="208"/>
        <v>NA</v>
      </c>
      <c r="S563" s="29" t="str">
        <f t="shared" si="209"/>
        <v>NA</v>
      </c>
      <c r="T563" s="29" t="str">
        <f t="shared" si="210"/>
        <v>NA</v>
      </c>
      <c r="U563" s="29" t="str">
        <f t="shared" si="211"/>
        <v>NA</v>
      </c>
      <c r="V563" s="29" t="str">
        <f t="shared" si="212"/>
        <v>NA</v>
      </c>
      <c r="W563" s="29" t="str">
        <f t="shared" si="213"/>
        <v>NA</v>
      </c>
      <c r="X563" s="29" t="str">
        <f t="shared" si="214"/>
        <v>NA</v>
      </c>
      <c r="Y563" s="29" t="str">
        <f t="shared" si="215"/>
        <v>NA</v>
      </c>
      <c r="Z563" s="29" t="str">
        <f t="shared" si="216"/>
        <v>NA</v>
      </c>
      <c r="AA563" s="29" t="str">
        <f t="shared" si="217"/>
        <v>NA</v>
      </c>
      <c r="AB563" s="29" t="str">
        <f t="shared" si="218"/>
        <v>NA</v>
      </c>
      <c r="AC563" s="29" t="str">
        <f t="shared" si="219"/>
        <v>NA</v>
      </c>
      <c r="AD563" s="29" t="str">
        <f t="shared" si="220"/>
        <v>NA</v>
      </c>
      <c r="AE563" s="29" t="str">
        <f t="shared" si="221"/>
        <v>NA</v>
      </c>
      <c r="AF563" s="29" t="str">
        <f t="shared" si="222"/>
        <v>NA</v>
      </c>
      <c r="AG563" s="29" t="str">
        <f t="shared" si="223"/>
        <v>NA</v>
      </c>
      <c r="AH563" s="29" t="str">
        <f t="shared" si="224"/>
        <v>NA</v>
      </c>
    </row>
    <row r="564" customHeight="1" spans="1:34">
      <c r="A564" s="12" t="s">
        <v>1043</v>
      </c>
      <c r="F564" s="24">
        <f t="shared" si="206"/>
        <v>0</v>
      </c>
      <c r="G564" s="24" t="e">
        <f t="shared" si="205"/>
        <v>#DIV/0!</v>
      </c>
      <c r="Q564" s="29" t="str">
        <f t="shared" si="207"/>
        <v>NA</v>
      </c>
      <c r="R564" s="29" t="str">
        <f t="shared" si="208"/>
        <v>NA</v>
      </c>
      <c r="S564" s="29" t="str">
        <f t="shared" si="209"/>
        <v>NA</v>
      </c>
      <c r="T564" s="29" t="str">
        <f t="shared" si="210"/>
        <v>NA</v>
      </c>
      <c r="U564" s="29" t="str">
        <f t="shared" si="211"/>
        <v>NA</v>
      </c>
      <c r="V564" s="29" t="str">
        <f t="shared" si="212"/>
        <v>NA</v>
      </c>
      <c r="W564" s="29" t="str">
        <f t="shared" si="213"/>
        <v>NA</v>
      </c>
      <c r="X564" s="29" t="str">
        <f t="shared" si="214"/>
        <v>NA</v>
      </c>
      <c r="Y564" s="29" t="str">
        <f t="shared" si="215"/>
        <v>NA</v>
      </c>
      <c r="Z564" s="29" t="str">
        <f t="shared" si="216"/>
        <v>NA</v>
      </c>
      <c r="AA564" s="29" t="str">
        <f t="shared" si="217"/>
        <v>NA</v>
      </c>
      <c r="AB564" s="29" t="str">
        <f t="shared" si="218"/>
        <v>NA</v>
      </c>
      <c r="AC564" s="29" t="str">
        <f t="shared" si="219"/>
        <v>NA</v>
      </c>
      <c r="AD564" s="29" t="str">
        <f t="shared" si="220"/>
        <v>NA</v>
      </c>
      <c r="AE564" s="29" t="str">
        <f t="shared" si="221"/>
        <v>NA</v>
      </c>
      <c r="AF564" s="29" t="str">
        <f t="shared" si="222"/>
        <v>NA</v>
      </c>
      <c r="AG564" s="29" t="str">
        <f t="shared" si="223"/>
        <v>NA</v>
      </c>
      <c r="AH564" s="29" t="str">
        <f t="shared" si="224"/>
        <v>NA</v>
      </c>
    </row>
    <row r="565" customHeight="1" spans="1:34">
      <c r="A565" s="12" t="s">
        <v>1043</v>
      </c>
      <c r="F565" s="24">
        <f t="shared" si="206"/>
        <v>0</v>
      </c>
      <c r="G565" s="24" t="e">
        <f t="shared" si="205"/>
        <v>#DIV/0!</v>
      </c>
      <c r="Q565" s="29" t="str">
        <f t="shared" si="207"/>
        <v>NA</v>
      </c>
      <c r="R565" s="29" t="str">
        <f t="shared" si="208"/>
        <v>NA</v>
      </c>
      <c r="S565" s="29" t="str">
        <f t="shared" si="209"/>
        <v>NA</v>
      </c>
      <c r="T565" s="29" t="str">
        <f t="shared" si="210"/>
        <v>NA</v>
      </c>
      <c r="U565" s="29" t="str">
        <f t="shared" si="211"/>
        <v>NA</v>
      </c>
      <c r="V565" s="29" t="str">
        <f t="shared" si="212"/>
        <v>NA</v>
      </c>
      <c r="W565" s="29" t="str">
        <f t="shared" si="213"/>
        <v>NA</v>
      </c>
      <c r="X565" s="29" t="str">
        <f t="shared" si="214"/>
        <v>NA</v>
      </c>
      <c r="Y565" s="29" t="str">
        <f t="shared" si="215"/>
        <v>NA</v>
      </c>
      <c r="Z565" s="29" t="str">
        <f t="shared" si="216"/>
        <v>NA</v>
      </c>
      <c r="AA565" s="29" t="str">
        <f t="shared" si="217"/>
        <v>NA</v>
      </c>
      <c r="AB565" s="29" t="str">
        <f t="shared" si="218"/>
        <v>NA</v>
      </c>
      <c r="AC565" s="29" t="str">
        <f t="shared" si="219"/>
        <v>NA</v>
      </c>
      <c r="AD565" s="29" t="str">
        <f t="shared" si="220"/>
        <v>NA</v>
      </c>
      <c r="AE565" s="29" t="str">
        <f t="shared" si="221"/>
        <v>NA</v>
      </c>
      <c r="AF565" s="29" t="str">
        <f t="shared" si="222"/>
        <v>NA</v>
      </c>
      <c r="AG565" s="29" t="str">
        <f t="shared" si="223"/>
        <v>NA</v>
      </c>
      <c r="AH565" s="29" t="str">
        <f t="shared" si="224"/>
        <v>NA</v>
      </c>
    </row>
    <row r="566" customHeight="1" spans="1:34">
      <c r="A566" s="12" t="s">
        <v>1043</v>
      </c>
      <c r="F566" s="24">
        <f t="shared" si="206"/>
        <v>0</v>
      </c>
      <c r="G566" s="24" t="e">
        <f t="shared" si="205"/>
        <v>#DIV/0!</v>
      </c>
      <c r="Q566" s="29" t="str">
        <f t="shared" si="207"/>
        <v>NA</v>
      </c>
      <c r="R566" s="29" t="str">
        <f t="shared" si="208"/>
        <v>NA</v>
      </c>
      <c r="S566" s="29" t="str">
        <f t="shared" si="209"/>
        <v>NA</v>
      </c>
      <c r="T566" s="29" t="str">
        <f t="shared" si="210"/>
        <v>NA</v>
      </c>
      <c r="U566" s="29" t="str">
        <f t="shared" si="211"/>
        <v>NA</v>
      </c>
      <c r="V566" s="29" t="str">
        <f t="shared" si="212"/>
        <v>NA</v>
      </c>
      <c r="W566" s="29" t="str">
        <f t="shared" si="213"/>
        <v>NA</v>
      </c>
      <c r="X566" s="29" t="str">
        <f t="shared" si="214"/>
        <v>NA</v>
      </c>
      <c r="Y566" s="29" t="str">
        <f t="shared" si="215"/>
        <v>NA</v>
      </c>
      <c r="Z566" s="29" t="str">
        <f t="shared" si="216"/>
        <v>NA</v>
      </c>
      <c r="AA566" s="29" t="str">
        <f t="shared" si="217"/>
        <v>NA</v>
      </c>
      <c r="AB566" s="29" t="str">
        <f t="shared" si="218"/>
        <v>NA</v>
      </c>
      <c r="AC566" s="29" t="str">
        <f t="shared" si="219"/>
        <v>NA</v>
      </c>
      <c r="AD566" s="29" t="str">
        <f t="shared" si="220"/>
        <v>NA</v>
      </c>
      <c r="AE566" s="29" t="str">
        <f t="shared" si="221"/>
        <v>NA</v>
      </c>
      <c r="AF566" s="29" t="str">
        <f t="shared" si="222"/>
        <v>NA</v>
      </c>
      <c r="AG566" s="29" t="str">
        <f t="shared" si="223"/>
        <v>NA</v>
      </c>
      <c r="AH566" s="29" t="str">
        <f t="shared" si="224"/>
        <v>NA</v>
      </c>
    </row>
    <row r="567" customHeight="1" spans="1:34">
      <c r="A567" s="12" t="s">
        <v>1043</v>
      </c>
      <c r="F567" s="24">
        <f t="shared" si="206"/>
        <v>0</v>
      </c>
      <c r="G567" s="24" t="e">
        <f t="shared" si="205"/>
        <v>#DIV/0!</v>
      </c>
      <c r="Q567" s="29" t="str">
        <f t="shared" si="207"/>
        <v>NA</v>
      </c>
      <c r="R567" s="29" t="str">
        <f t="shared" si="208"/>
        <v>NA</v>
      </c>
      <c r="S567" s="29" t="str">
        <f t="shared" si="209"/>
        <v>NA</v>
      </c>
      <c r="T567" s="29" t="str">
        <f t="shared" si="210"/>
        <v>NA</v>
      </c>
      <c r="U567" s="29" t="str">
        <f t="shared" si="211"/>
        <v>NA</v>
      </c>
      <c r="V567" s="29" t="str">
        <f t="shared" si="212"/>
        <v>NA</v>
      </c>
      <c r="W567" s="29" t="str">
        <f t="shared" si="213"/>
        <v>NA</v>
      </c>
      <c r="X567" s="29" t="str">
        <f t="shared" si="214"/>
        <v>NA</v>
      </c>
      <c r="Y567" s="29" t="str">
        <f t="shared" si="215"/>
        <v>NA</v>
      </c>
      <c r="Z567" s="29" t="str">
        <f t="shared" si="216"/>
        <v>NA</v>
      </c>
      <c r="AA567" s="29" t="str">
        <f t="shared" si="217"/>
        <v>NA</v>
      </c>
      <c r="AB567" s="29" t="str">
        <f t="shared" si="218"/>
        <v>NA</v>
      </c>
      <c r="AC567" s="29" t="str">
        <f t="shared" si="219"/>
        <v>NA</v>
      </c>
      <c r="AD567" s="29" t="str">
        <f t="shared" si="220"/>
        <v>NA</v>
      </c>
      <c r="AE567" s="29" t="str">
        <f t="shared" si="221"/>
        <v>NA</v>
      </c>
      <c r="AF567" s="29" t="str">
        <f t="shared" si="222"/>
        <v>NA</v>
      </c>
      <c r="AG567" s="29" t="str">
        <f t="shared" si="223"/>
        <v>NA</v>
      </c>
      <c r="AH567" s="29" t="str">
        <f t="shared" si="224"/>
        <v>NA</v>
      </c>
    </row>
    <row r="568" customHeight="1" spans="1:34">
      <c r="A568" s="12" t="s">
        <v>1043</v>
      </c>
      <c r="F568" s="24">
        <f t="shared" si="206"/>
        <v>0</v>
      </c>
      <c r="G568" s="24" t="e">
        <f t="shared" si="205"/>
        <v>#DIV/0!</v>
      </c>
      <c r="Q568" s="29" t="str">
        <f t="shared" si="207"/>
        <v>NA</v>
      </c>
      <c r="R568" s="29" t="str">
        <f t="shared" si="208"/>
        <v>NA</v>
      </c>
      <c r="S568" s="29" t="str">
        <f t="shared" si="209"/>
        <v>NA</v>
      </c>
      <c r="T568" s="29" t="str">
        <f t="shared" si="210"/>
        <v>NA</v>
      </c>
      <c r="U568" s="29" t="str">
        <f t="shared" si="211"/>
        <v>NA</v>
      </c>
      <c r="V568" s="29" t="str">
        <f t="shared" si="212"/>
        <v>NA</v>
      </c>
      <c r="W568" s="29" t="str">
        <f t="shared" si="213"/>
        <v>NA</v>
      </c>
      <c r="X568" s="29" t="str">
        <f t="shared" si="214"/>
        <v>NA</v>
      </c>
      <c r="Y568" s="29" t="str">
        <f t="shared" si="215"/>
        <v>NA</v>
      </c>
      <c r="Z568" s="29" t="str">
        <f t="shared" si="216"/>
        <v>NA</v>
      </c>
      <c r="AA568" s="29" t="str">
        <f t="shared" si="217"/>
        <v>NA</v>
      </c>
      <c r="AB568" s="29" t="str">
        <f t="shared" si="218"/>
        <v>NA</v>
      </c>
      <c r="AC568" s="29" t="str">
        <f t="shared" si="219"/>
        <v>NA</v>
      </c>
      <c r="AD568" s="29" t="str">
        <f t="shared" si="220"/>
        <v>NA</v>
      </c>
      <c r="AE568" s="29" t="str">
        <f t="shared" si="221"/>
        <v>NA</v>
      </c>
      <c r="AF568" s="29" t="str">
        <f t="shared" si="222"/>
        <v>NA</v>
      </c>
      <c r="AG568" s="29" t="str">
        <f t="shared" si="223"/>
        <v>NA</v>
      </c>
      <c r="AH568" s="29" t="str">
        <f t="shared" si="224"/>
        <v>NA</v>
      </c>
    </row>
    <row r="569" customHeight="1" spans="1:34">
      <c r="A569" s="12" t="s">
        <v>1043</v>
      </c>
      <c r="F569" s="24">
        <f t="shared" si="206"/>
        <v>0</v>
      </c>
      <c r="G569" s="24" t="e">
        <f t="shared" si="205"/>
        <v>#DIV/0!</v>
      </c>
      <c r="Q569" s="29" t="str">
        <f t="shared" si="207"/>
        <v>NA</v>
      </c>
      <c r="R569" s="29" t="str">
        <f t="shared" si="208"/>
        <v>NA</v>
      </c>
      <c r="S569" s="29" t="str">
        <f t="shared" si="209"/>
        <v>NA</v>
      </c>
      <c r="T569" s="29" t="str">
        <f t="shared" si="210"/>
        <v>NA</v>
      </c>
      <c r="U569" s="29" t="str">
        <f t="shared" si="211"/>
        <v>NA</v>
      </c>
      <c r="V569" s="29" t="str">
        <f t="shared" si="212"/>
        <v>NA</v>
      </c>
      <c r="W569" s="29" t="str">
        <f t="shared" si="213"/>
        <v>NA</v>
      </c>
      <c r="X569" s="29" t="str">
        <f t="shared" si="214"/>
        <v>NA</v>
      </c>
      <c r="Y569" s="29" t="str">
        <f t="shared" si="215"/>
        <v>NA</v>
      </c>
      <c r="Z569" s="29" t="str">
        <f t="shared" si="216"/>
        <v>NA</v>
      </c>
      <c r="AA569" s="29" t="str">
        <f t="shared" si="217"/>
        <v>NA</v>
      </c>
      <c r="AB569" s="29" t="str">
        <f t="shared" si="218"/>
        <v>NA</v>
      </c>
      <c r="AC569" s="29" t="str">
        <f t="shared" si="219"/>
        <v>NA</v>
      </c>
      <c r="AD569" s="29" t="str">
        <f t="shared" si="220"/>
        <v>NA</v>
      </c>
      <c r="AE569" s="29" t="str">
        <f t="shared" si="221"/>
        <v>NA</v>
      </c>
      <c r="AF569" s="29" t="str">
        <f t="shared" si="222"/>
        <v>NA</v>
      </c>
      <c r="AG569" s="29" t="str">
        <f t="shared" si="223"/>
        <v>NA</v>
      </c>
      <c r="AH569" s="29" t="str">
        <f t="shared" si="224"/>
        <v>NA</v>
      </c>
    </row>
    <row r="570" customHeight="1" spans="1:34">
      <c r="A570" s="12" t="s">
        <v>1043</v>
      </c>
      <c r="F570" s="24">
        <f t="shared" si="206"/>
        <v>0</v>
      </c>
      <c r="G570" s="24" t="e">
        <f t="shared" si="205"/>
        <v>#DIV/0!</v>
      </c>
      <c r="Q570" s="29" t="str">
        <f t="shared" si="207"/>
        <v>NA</v>
      </c>
      <c r="R570" s="29" t="str">
        <f t="shared" si="208"/>
        <v>NA</v>
      </c>
      <c r="S570" s="29" t="str">
        <f t="shared" si="209"/>
        <v>NA</v>
      </c>
      <c r="T570" s="29" t="str">
        <f t="shared" si="210"/>
        <v>NA</v>
      </c>
      <c r="U570" s="29" t="str">
        <f t="shared" si="211"/>
        <v>NA</v>
      </c>
      <c r="V570" s="29" t="str">
        <f t="shared" si="212"/>
        <v>NA</v>
      </c>
      <c r="W570" s="29" t="str">
        <f t="shared" si="213"/>
        <v>NA</v>
      </c>
      <c r="X570" s="29" t="str">
        <f t="shared" si="214"/>
        <v>NA</v>
      </c>
      <c r="Y570" s="29" t="str">
        <f t="shared" si="215"/>
        <v>NA</v>
      </c>
      <c r="Z570" s="29" t="str">
        <f t="shared" si="216"/>
        <v>NA</v>
      </c>
      <c r="AA570" s="29" t="str">
        <f t="shared" si="217"/>
        <v>NA</v>
      </c>
      <c r="AB570" s="29" t="str">
        <f t="shared" si="218"/>
        <v>NA</v>
      </c>
      <c r="AC570" s="29" t="str">
        <f t="shared" si="219"/>
        <v>NA</v>
      </c>
      <c r="AD570" s="29" t="str">
        <f t="shared" si="220"/>
        <v>NA</v>
      </c>
      <c r="AE570" s="29" t="str">
        <f t="shared" si="221"/>
        <v>NA</v>
      </c>
      <c r="AF570" s="29" t="str">
        <f t="shared" si="222"/>
        <v>NA</v>
      </c>
      <c r="AG570" s="29" t="str">
        <f t="shared" si="223"/>
        <v>NA</v>
      </c>
      <c r="AH570" s="29" t="str">
        <f t="shared" si="224"/>
        <v>NA</v>
      </c>
    </row>
    <row r="571" customHeight="1" spans="1:34">
      <c r="A571" s="12" t="s">
        <v>1043</v>
      </c>
      <c r="F571" s="24">
        <f t="shared" si="206"/>
        <v>0</v>
      </c>
      <c r="G571" s="24" t="e">
        <f t="shared" si="205"/>
        <v>#DIV/0!</v>
      </c>
      <c r="Q571" s="29" t="str">
        <f t="shared" si="207"/>
        <v>NA</v>
      </c>
      <c r="R571" s="29" t="str">
        <f t="shared" si="208"/>
        <v>NA</v>
      </c>
      <c r="S571" s="29" t="str">
        <f t="shared" si="209"/>
        <v>NA</v>
      </c>
      <c r="T571" s="29" t="str">
        <f t="shared" si="210"/>
        <v>NA</v>
      </c>
      <c r="U571" s="29" t="str">
        <f t="shared" si="211"/>
        <v>NA</v>
      </c>
      <c r="V571" s="29" t="str">
        <f t="shared" si="212"/>
        <v>NA</v>
      </c>
      <c r="W571" s="29" t="str">
        <f t="shared" si="213"/>
        <v>NA</v>
      </c>
      <c r="X571" s="29" t="str">
        <f t="shared" si="214"/>
        <v>NA</v>
      </c>
      <c r="Y571" s="29" t="str">
        <f t="shared" si="215"/>
        <v>NA</v>
      </c>
      <c r="Z571" s="29" t="str">
        <f t="shared" si="216"/>
        <v>NA</v>
      </c>
      <c r="AA571" s="29" t="str">
        <f t="shared" si="217"/>
        <v>NA</v>
      </c>
      <c r="AB571" s="29" t="str">
        <f t="shared" si="218"/>
        <v>NA</v>
      </c>
      <c r="AC571" s="29" t="str">
        <f t="shared" si="219"/>
        <v>NA</v>
      </c>
      <c r="AD571" s="29" t="str">
        <f t="shared" si="220"/>
        <v>NA</v>
      </c>
      <c r="AE571" s="29" t="str">
        <f t="shared" si="221"/>
        <v>NA</v>
      </c>
      <c r="AF571" s="29" t="str">
        <f t="shared" si="222"/>
        <v>NA</v>
      </c>
      <c r="AG571" s="29" t="str">
        <f t="shared" si="223"/>
        <v>NA</v>
      </c>
      <c r="AH571" s="29" t="str">
        <f t="shared" si="224"/>
        <v>NA</v>
      </c>
    </row>
    <row r="572" customHeight="1" spans="1:34">
      <c r="A572" s="12" t="s">
        <v>1043</v>
      </c>
      <c r="F572" s="24">
        <f t="shared" si="206"/>
        <v>0</v>
      </c>
      <c r="G572" s="24" t="e">
        <f t="shared" si="205"/>
        <v>#DIV/0!</v>
      </c>
      <c r="Q572" s="29" t="str">
        <f t="shared" si="207"/>
        <v>NA</v>
      </c>
      <c r="R572" s="29" t="str">
        <f t="shared" si="208"/>
        <v>NA</v>
      </c>
      <c r="S572" s="29" t="str">
        <f t="shared" si="209"/>
        <v>NA</v>
      </c>
      <c r="T572" s="29" t="str">
        <f t="shared" si="210"/>
        <v>NA</v>
      </c>
      <c r="U572" s="29" t="str">
        <f t="shared" si="211"/>
        <v>NA</v>
      </c>
      <c r="V572" s="29" t="str">
        <f t="shared" si="212"/>
        <v>NA</v>
      </c>
      <c r="W572" s="29" t="str">
        <f t="shared" si="213"/>
        <v>NA</v>
      </c>
      <c r="X572" s="29" t="str">
        <f t="shared" si="214"/>
        <v>NA</v>
      </c>
      <c r="Y572" s="29" t="str">
        <f t="shared" si="215"/>
        <v>NA</v>
      </c>
      <c r="Z572" s="29" t="str">
        <f t="shared" si="216"/>
        <v>NA</v>
      </c>
      <c r="AA572" s="29" t="str">
        <f t="shared" si="217"/>
        <v>NA</v>
      </c>
      <c r="AB572" s="29" t="str">
        <f t="shared" si="218"/>
        <v>NA</v>
      </c>
      <c r="AC572" s="29" t="str">
        <f t="shared" si="219"/>
        <v>NA</v>
      </c>
      <c r="AD572" s="29" t="str">
        <f t="shared" si="220"/>
        <v>NA</v>
      </c>
      <c r="AE572" s="29" t="str">
        <f t="shared" si="221"/>
        <v>NA</v>
      </c>
      <c r="AF572" s="29" t="str">
        <f t="shared" si="222"/>
        <v>NA</v>
      </c>
      <c r="AG572" s="29" t="str">
        <f t="shared" si="223"/>
        <v>NA</v>
      </c>
      <c r="AH572" s="29" t="str">
        <f t="shared" si="224"/>
        <v>NA</v>
      </c>
    </row>
    <row r="573" customHeight="1" spans="1:34">
      <c r="A573" s="12" t="s">
        <v>1043</v>
      </c>
      <c r="F573" s="24">
        <f t="shared" si="206"/>
        <v>0</v>
      </c>
      <c r="G573" s="24" t="e">
        <f t="shared" si="205"/>
        <v>#DIV/0!</v>
      </c>
      <c r="Q573" s="29" t="str">
        <f t="shared" si="207"/>
        <v>NA</v>
      </c>
      <c r="R573" s="29" t="str">
        <f t="shared" si="208"/>
        <v>NA</v>
      </c>
      <c r="S573" s="29" t="str">
        <f t="shared" si="209"/>
        <v>NA</v>
      </c>
      <c r="T573" s="29" t="str">
        <f t="shared" si="210"/>
        <v>NA</v>
      </c>
      <c r="U573" s="29" t="str">
        <f t="shared" si="211"/>
        <v>NA</v>
      </c>
      <c r="V573" s="29" t="str">
        <f t="shared" si="212"/>
        <v>NA</v>
      </c>
      <c r="W573" s="29" t="str">
        <f t="shared" si="213"/>
        <v>NA</v>
      </c>
      <c r="X573" s="29" t="str">
        <f t="shared" si="214"/>
        <v>NA</v>
      </c>
      <c r="Y573" s="29" t="str">
        <f t="shared" si="215"/>
        <v>NA</v>
      </c>
      <c r="Z573" s="29" t="str">
        <f t="shared" si="216"/>
        <v>NA</v>
      </c>
      <c r="AA573" s="29" t="str">
        <f t="shared" si="217"/>
        <v>NA</v>
      </c>
      <c r="AB573" s="29" t="str">
        <f t="shared" si="218"/>
        <v>NA</v>
      </c>
      <c r="AC573" s="29" t="str">
        <f t="shared" si="219"/>
        <v>NA</v>
      </c>
      <c r="AD573" s="29" t="str">
        <f t="shared" si="220"/>
        <v>NA</v>
      </c>
      <c r="AE573" s="29" t="str">
        <f t="shared" si="221"/>
        <v>NA</v>
      </c>
      <c r="AF573" s="29" t="str">
        <f t="shared" si="222"/>
        <v>NA</v>
      </c>
      <c r="AG573" s="29" t="str">
        <f t="shared" si="223"/>
        <v>NA</v>
      </c>
      <c r="AH573" s="29" t="str">
        <f t="shared" si="224"/>
        <v>NA</v>
      </c>
    </row>
    <row r="574" customHeight="1" spans="1:34">
      <c r="A574" s="12" t="s">
        <v>1043</v>
      </c>
      <c r="F574" s="24">
        <f t="shared" si="206"/>
        <v>0</v>
      </c>
      <c r="G574" s="24" t="e">
        <f t="shared" si="205"/>
        <v>#DIV/0!</v>
      </c>
      <c r="Q574" s="29" t="str">
        <f t="shared" si="207"/>
        <v>NA</v>
      </c>
      <c r="R574" s="29" t="str">
        <f t="shared" si="208"/>
        <v>NA</v>
      </c>
      <c r="S574" s="29" t="str">
        <f t="shared" si="209"/>
        <v>NA</v>
      </c>
      <c r="T574" s="29" t="str">
        <f t="shared" si="210"/>
        <v>NA</v>
      </c>
      <c r="U574" s="29" t="str">
        <f t="shared" si="211"/>
        <v>NA</v>
      </c>
      <c r="V574" s="29" t="str">
        <f t="shared" si="212"/>
        <v>NA</v>
      </c>
      <c r="W574" s="29" t="str">
        <f t="shared" si="213"/>
        <v>NA</v>
      </c>
      <c r="X574" s="29" t="str">
        <f t="shared" si="214"/>
        <v>NA</v>
      </c>
      <c r="Y574" s="29" t="str">
        <f t="shared" si="215"/>
        <v>NA</v>
      </c>
      <c r="Z574" s="29" t="str">
        <f t="shared" si="216"/>
        <v>NA</v>
      </c>
      <c r="AA574" s="29" t="str">
        <f t="shared" si="217"/>
        <v>NA</v>
      </c>
      <c r="AB574" s="29" t="str">
        <f t="shared" si="218"/>
        <v>NA</v>
      </c>
      <c r="AC574" s="29" t="str">
        <f t="shared" si="219"/>
        <v>NA</v>
      </c>
      <c r="AD574" s="29" t="str">
        <f t="shared" si="220"/>
        <v>NA</v>
      </c>
      <c r="AE574" s="29" t="str">
        <f t="shared" si="221"/>
        <v>NA</v>
      </c>
      <c r="AF574" s="29" t="str">
        <f t="shared" si="222"/>
        <v>NA</v>
      </c>
      <c r="AG574" s="29" t="str">
        <f t="shared" si="223"/>
        <v>NA</v>
      </c>
      <c r="AH574" s="29" t="str">
        <f t="shared" si="224"/>
        <v>NA</v>
      </c>
    </row>
    <row r="575" customHeight="1" spans="1:34">
      <c r="A575" s="12" t="s">
        <v>1043</v>
      </c>
      <c r="F575" s="24">
        <f t="shared" si="206"/>
        <v>0</v>
      </c>
      <c r="G575" s="24" t="e">
        <f t="shared" si="205"/>
        <v>#DIV/0!</v>
      </c>
      <c r="Q575" s="29" t="str">
        <f t="shared" si="207"/>
        <v>NA</v>
      </c>
      <c r="R575" s="29" t="str">
        <f t="shared" si="208"/>
        <v>NA</v>
      </c>
      <c r="S575" s="29" t="str">
        <f t="shared" si="209"/>
        <v>NA</v>
      </c>
      <c r="T575" s="29" t="str">
        <f t="shared" si="210"/>
        <v>NA</v>
      </c>
      <c r="U575" s="29" t="str">
        <f t="shared" si="211"/>
        <v>NA</v>
      </c>
      <c r="V575" s="29" t="str">
        <f t="shared" si="212"/>
        <v>NA</v>
      </c>
      <c r="W575" s="29" t="str">
        <f t="shared" si="213"/>
        <v>NA</v>
      </c>
      <c r="X575" s="29" t="str">
        <f t="shared" si="214"/>
        <v>NA</v>
      </c>
      <c r="Y575" s="29" t="str">
        <f t="shared" si="215"/>
        <v>NA</v>
      </c>
      <c r="Z575" s="29" t="str">
        <f t="shared" si="216"/>
        <v>NA</v>
      </c>
      <c r="AA575" s="29" t="str">
        <f t="shared" si="217"/>
        <v>NA</v>
      </c>
      <c r="AB575" s="29" t="str">
        <f t="shared" si="218"/>
        <v>NA</v>
      </c>
      <c r="AC575" s="29" t="str">
        <f t="shared" si="219"/>
        <v>NA</v>
      </c>
      <c r="AD575" s="29" t="str">
        <f t="shared" si="220"/>
        <v>NA</v>
      </c>
      <c r="AE575" s="29" t="str">
        <f t="shared" si="221"/>
        <v>NA</v>
      </c>
      <c r="AF575" s="29" t="str">
        <f t="shared" si="222"/>
        <v>NA</v>
      </c>
      <c r="AG575" s="29" t="str">
        <f t="shared" si="223"/>
        <v>NA</v>
      </c>
      <c r="AH575" s="29" t="str">
        <f t="shared" si="224"/>
        <v>NA</v>
      </c>
    </row>
    <row r="576" customHeight="1" spans="1:34">
      <c r="A576" s="12" t="s">
        <v>1043</v>
      </c>
      <c r="F576" s="24">
        <f t="shared" si="206"/>
        <v>0</v>
      </c>
      <c r="G576" s="24" t="e">
        <f t="shared" si="205"/>
        <v>#DIV/0!</v>
      </c>
      <c r="Q576" s="29" t="str">
        <f t="shared" si="207"/>
        <v>NA</v>
      </c>
      <c r="R576" s="29" t="str">
        <f t="shared" si="208"/>
        <v>NA</v>
      </c>
      <c r="S576" s="29" t="str">
        <f t="shared" si="209"/>
        <v>NA</v>
      </c>
      <c r="T576" s="29" t="str">
        <f t="shared" si="210"/>
        <v>NA</v>
      </c>
      <c r="U576" s="29" t="str">
        <f t="shared" si="211"/>
        <v>NA</v>
      </c>
      <c r="V576" s="29" t="str">
        <f t="shared" si="212"/>
        <v>NA</v>
      </c>
      <c r="W576" s="29" t="str">
        <f t="shared" si="213"/>
        <v>NA</v>
      </c>
      <c r="X576" s="29" t="str">
        <f t="shared" si="214"/>
        <v>NA</v>
      </c>
      <c r="Y576" s="29" t="str">
        <f t="shared" si="215"/>
        <v>NA</v>
      </c>
      <c r="Z576" s="29" t="str">
        <f t="shared" si="216"/>
        <v>NA</v>
      </c>
      <c r="AA576" s="29" t="str">
        <f t="shared" si="217"/>
        <v>NA</v>
      </c>
      <c r="AB576" s="29" t="str">
        <f t="shared" si="218"/>
        <v>NA</v>
      </c>
      <c r="AC576" s="29" t="str">
        <f t="shared" si="219"/>
        <v>NA</v>
      </c>
      <c r="AD576" s="29" t="str">
        <f t="shared" si="220"/>
        <v>NA</v>
      </c>
      <c r="AE576" s="29" t="str">
        <f t="shared" si="221"/>
        <v>NA</v>
      </c>
      <c r="AF576" s="29" t="str">
        <f t="shared" si="222"/>
        <v>NA</v>
      </c>
      <c r="AG576" s="29" t="str">
        <f t="shared" si="223"/>
        <v>NA</v>
      </c>
      <c r="AH576" s="29" t="str">
        <f t="shared" si="224"/>
        <v>NA</v>
      </c>
    </row>
    <row r="577" customHeight="1" spans="1:34">
      <c r="A577" s="12" t="s">
        <v>1043</v>
      </c>
      <c r="F577" s="24">
        <f t="shared" si="206"/>
        <v>0</v>
      </c>
      <c r="G577" s="24" t="e">
        <f t="shared" si="205"/>
        <v>#DIV/0!</v>
      </c>
      <c r="Q577" s="29" t="str">
        <f t="shared" si="207"/>
        <v>NA</v>
      </c>
      <c r="R577" s="29" t="str">
        <f t="shared" si="208"/>
        <v>NA</v>
      </c>
      <c r="S577" s="29" t="str">
        <f t="shared" si="209"/>
        <v>NA</v>
      </c>
      <c r="T577" s="29" t="str">
        <f t="shared" si="210"/>
        <v>NA</v>
      </c>
      <c r="U577" s="29" t="str">
        <f t="shared" si="211"/>
        <v>NA</v>
      </c>
      <c r="V577" s="29" t="str">
        <f t="shared" si="212"/>
        <v>NA</v>
      </c>
      <c r="W577" s="29" t="str">
        <f t="shared" si="213"/>
        <v>NA</v>
      </c>
      <c r="X577" s="29" t="str">
        <f t="shared" si="214"/>
        <v>NA</v>
      </c>
      <c r="Y577" s="29" t="str">
        <f t="shared" si="215"/>
        <v>NA</v>
      </c>
      <c r="Z577" s="29" t="str">
        <f t="shared" si="216"/>
        <v>NA</v>
      </c>
      <c r="AA577" s="29" t="str">
        <f t="shared" si="217"/>
        <v>NA</v>
      </c>
      <c r="AB577" s="29" t="str">
        <f t="shared" si="218"/>
        <v>NA</v>
      </c>
      <c r="AC577" s="29" t="str">
        <f t="shared" si="219"/>
        <v>NA</v>
      </c>
      <c r="AD577" s="29" t="str">
        <f t="shared" si="220"/>
        <v>NA</v>
      </c>
      <c r="AE577" s="29" t="str">
        <f t="shared" si="221"/>
        <v>NA</v>
      </c>
      <c r="AF577" s="29" t="str">
        <f t="shared" si="222"/>
        <v>NA</v>
      </c>
      <c r="AG577" s="29" t="str">
        <f t="shared" si="223"/>
        <v>NA</v>
      </c>
      <c r="AH577" s="29" t="str">
        <f t="shared" si="224"/>
        <v>NA</v>
      </c>
    </row>
    <row r="578" customHeight="1" spans="1:34">
      <c r="A578" s="12" t="s">
        <v>1043</v>
      </c>
      <c r="F578" s="24">
        <f t="shared" si="206"/>
        <v>0</v>
      </c>
      <c r="G578" s="24" t="e">
        <f t="shared" si="205"/>
        <v>#DIV/0!</v>
      </c>
      <c r="Q578" s="29" t="str">
        <f t="shared" si="207"/>
        <v>NA</v>
      </c>
      <c r="R578" s="29" t="str">
        <f t="shared" si="208"/>
        <v>NA</v>
      </c>
      <c r="S578" s="29" t="str">
        <f t="shared" si="209"/>
        <v>NA</v>
      </c>
      <c r="T578" s="29" t="str">
        <f t="shared" si="210"/>
        <v>NA</v>
      </c>
      <c r="U578" s="29" t="str">
        <f t="shared" si="211"/>
        <v>NA</v>
      </c>
      <c r="V578" s="29" t="str">
        <f t="shared" si="212"/>
        <v>NA</v>
      </c>
      <c r="W578" s="29" t="str">
        <f t="shared" si="213"/>
        <v>NA</v>
      </c>
      <c r="X578" s="29" t="str">
        <f t="shared" si="214"/>
        <v>NA</v>
      </c>
      <c r="Y578" s="29" t="str">
        <f t="shared" si="215"/>
        <v>NA</v>
      </c>
      <c r="Z578" s="29" t="str">
        <f t="shared" si="216"/>
        <v>NA</v>
      </c>
      <c r="AA578" s="29" t="str">
        <f t="shared" si="217"/>
        <v>NA</v>
      </c>
      <c r="AB578" s="29" t="str">
        <f t="shared" si="218"/>
        <v>NA</v>
      </c>
      <c r="AC578" s="29" t="str">
        <f t="shared" si="219"/>
        <v>NA</v>
      </c>
      <c r="AD578" s="29" t="str">
        <f t="shared" si="220"/>
        <v>NA</v>
      </c>
      <c r="AE578" s="29" t="str">
        <f t="shared" si="221"/>
        <v>NA</v>
      </c>
      <c r="AF578" s="29" t="str">
        <f t="shared" si="222"/>
        <v>NA</v>
      </c>
      <c r="AG578" s="29" t="str">
        <f t="shared" si="223"/>
        <v>NA</v>
      </c>
      <c r="AH578" s="29" t="str">
        <f t="shared" si="224"/>
        <v>NA</v>
      </c>
    </row>
    <row r="579" customHeight="1" spans="1:34">
      <c r="A579" s="12" t="s">
        <v>1043</v>
      </c>
      <c r="F579" s="24">
        <f t="shared" si="206"/>
        <v>0</v>
      </c>
      <c r="G579" s="24" t="e">
        <f t="shared" si="205"/>
        <v>#DIV/0!</v>
      </c>
      <c r="Q579" s="29" t="str">
        <f t="shared" si="207"/>
        <v>NA</v>
      </c>
      <c r="R579" s="29" t="str">
        <f t="shared" si="208"/>
        <v>NA</v>
      </c>
      <c r="S579" s="29" t="str">
        <f t="shared" si="209"/>
        <v>NA</v>
      </c>
      <c r="T579" s="29" t="str">
        <f t="shared" si="210"/>
        <v>NA</v>
      </c>
      <c r="U579" s="29" t="str">
        <f t="shared" si="211"/>
        <v>NA</v>
      </c>
      <c r="V579" s="29" t="str">
        <f t="shared" si="212"/>
        <v>NA</v>
      </c>
      <c r="W579" s="29" t="str">
        <f t="shared" si="213"/>
        <v>NA</v>
      </c>
      <c r="X579" s="29" t="str">
        <f t="shared" si="214"/>
        <v>NA</v>
      </c>
      <c r="Y579" s="29" t="str">
        <f t="shared" si="215"/>
        <v>NA</v>
      </c>
      <c r="Z579" s="29" t="str">
        <f t="shared" si="216"/>
        <v>NA</v>
      </c>
      <c r="AA579" s="29" t="str">
        <f t="shared" si="217"/>
        <v>NA</v>
      </c>
      <c r="AB579" s="29" t="str">
        <f t="shared" si="218"/>
        <v>NA</v>
      </c>
      <c r="AC579" s="29" t="str">
        <f t="shared" si="219"/>
        <v>NA</v>
      </c>
      <c r="AD579" s="29" t="str">
        <f t="shared" si="220"/>
        <v>NA</v>
      </c>
      <c r="AE579" s="29" t="str">
        <f t="shared" si="221"/>
        <v>NA</v>
      </c>
      <c r="AF579" s="29" t="str">
        <f t="shared" si="222"/>
        <v>NA</v>
      </c>
      <c r="AG579" s="29" t="str">
        <f t="shared" si="223"/>
        <v>NA</v>
      </c>
      <c r="AH579" s="29" t="str">
        <f t="shared" si="224"/>
        <v>NA</v>
      </c>
    </row>
    <row r="580" customHeight="1" spans="1:34">
      <c r="A580" s="12" t="s">
        <v>1043</v>
      </c>
      <c r="F580" s="24">
        <f t="shared" si="206"/>
        <v>0</v>
      </c>
      <c r="G580" s="24" t="e">
        <f t="shared" si="205"/>
        <v>#DIV/0!</v>
      </c>
      <c r="Q580" s="29" t="str">
        <f t="shared" si="207"/>
        <v>NA</v>
      </c>
      <c r="R580" s="29" t="str">
        <f t="shared" si="208"/>
        <v>NA</v>
      </c>
      <c r="S580" s="29" t="str">
        <f t="shared" si="209"/>
        <v>NA</v>
      </c>
      <c r="T580" s="29" t="str">
        <f t="shared" si="210"/>
        <v>NA</v>
      </c>
      <c r="U580" s="29" t="str">
        <f t="shared" si="211"/>
        <v>NA</v>
      </c>
      <c r="V580" s="29" t="str">
        <f t="shared" si="212"/>
        <v>NA</v>
      </c>
      <c r="W580" s="29" t="str">
        <f t="shared" si="213"/>
        <v>NA</v>
      </c>
      <c r="X580" s="29" t="str">
        <f t="shared" si="214"/>
        <v>NA</v>
      </c>
      <c r="Y580" s="29" t="str">
        <f t="shared" si="215"/>
        <v>NA</v>
      </c>
      <c r="Z580" s="29" t="str">
        <f t="shared" si="216"/>
        <v>NA</v>
      </c>
      <c r="AA580" s="29" t="str">
        <f t="shared" si="217"/>
        <v>NA</v>
      </c>
      <c r="AB580" s="29" t="str">
        <f t="shared" si="218"/>
        <v>NA</v>
      </c>
      <c r="AC580" s="29" t="str">
        <f t="shared" si="219"/>
        <v>NA</v>
      </c>
      <c r="AD580" s="29" t="str">
        <f t="shared" si="220"/>
        <v>NA</v>
      </c>
      <c r="AE580" s="29" t="str">
        <f t="shared" si="221"/>
        <v>NA</v>
      </c>
      <c r="AF580" s="29" t="str">
        <f t="shared" si="222"/>
        <v>NA</v>
      </c>
      <c r="AG580" s="29" t="str">
        <f t="shared" si="223"/>
        <v>NA</v>
      </c>
      <c r="AH580" s="29" t="str">
        <f t="shared" si="224"/>
        <v>NA</v>
      </c>
    </row>
    <row r="581" customHeight="1" spans="1:34">
      <c r="A581" s="12" t="s">
        <v>1043</v>
      </c>
      <c r="F581" s="24">
        <f t="shared" si="206"/>
        <v>0</v>
      </c>
      <c r="G581" s="24" t="e">
        <f t="shared" ref="G581:G644" si="225">B581*D581/C581</f>
        <v>#DIV/0!</v>
      </c>
      <c r="Q581" s="29" t="str">
        <f t="shared" si="207"/>
        <v>NA</v>
      </c>
      <c r="R581" s="29" t="str">
        <f t="shared" si="208"/>
        <v>NA</v>
      </c>
      <c r="S581" s="29" t="str">
        <f t="shared" si="209"/>
        <v>NA</v>
      </c>
      <c r="T581" s="29" t="str">
        <f t="shared" si="210"/>
        <v>NA</v>
      </c>
      <c r="U581" s="29" t="str">
        <f t="shared" si="211"/>
        <v>NA</v>
      </c>
      <c r="V581" s="29" t="str">
        <f t="shared" si="212"/>
        <v>NA</v>
      </c>
      <c r="W581" s="29" t="str">
        <f t="shared" si="213"/>
        <v>NA</v>
      </c>
      <c r="X581" s="29" t="str">
        <f t="shared" si="214"/>
        <v>NA</v>
      </c>
      <c r="Y581" s="29" t="str">
        <f t="shared" si="215"/>
        <v>NA</v>
      </c>
      <c r="Z581" s="29" t="str">
        <f t="shared" si="216"/>
        <v>NA</v>
      </c>
      <c r="AA581" s="29" t="str">
        <f t="shared" si="217"/>
        <v>NA</v>
      </c>
      <c r="AB581" s="29" t="str">
        <f t="shared" si="218"/>
        <v>NA</v>
      </c>
      <c r="AC581" s="29" t="str">
        <f t="shared" si="219"/>
        <v>NA</v>
      </c>
      <c r="AD581" s="29" t="str">
        <f t="shared" si="220"/>
        <v>NA</v>
      </c>
      <c r="AE581" s="29" t="str">
        <f t="shared" si="221"/>
        <v>NA</v>
      </c>
      <c r="AF581" s="29" t="str">
        <f t="shared" si="222"/>
        <v>NA</v>
      </c>
      <c r="AG581" s="29" t="str">
        <f t="shared" si="223"/>
        <v>NA</v>
      </c>
      <c r="AH581" s="29" t="str">
        <f t="shared" si="224"/>
        <v>NA</v>
      </c>
    </row>
    <row r="582" customHeight="1" spans="1:34">
      <c r="A582" s="12" t="s">
        <v>1043</v>
      </c>
      <c r="F582" s="24">
        <f t="shared" ref="F582:F645" si="226">+D582+E582</f>
        <v>0</v>
      </c>
      <c r="G582" s="24" t="e">
        <f t="shared" si="225"/>
        <v>#DIV/0!</v>
      </c>
      <c r="Q582" s="29" t="str">
        <f t="shared" si="207"/>
        <v>NA</v>
      </c>
      <c r="R582" s="29" t="str">
        <f t="shared" si="208"/>
        <v>NA</v>
      </c>
      <c r="S582" s="29" t="str">
        <f t="shared" si="209"/>
        <v>NA</v>
      </c>
      <c r="T582" s="29" t="str">
        <f t="shared" si="210"/>
        <v>NA</v>
      </c>
      <c r="U582" s="29" t="str">
        <f t="shared" si="211"/>
        <v>NA</v>
      </c>
      <c r="V582" s="29" t="str">
        <f t="shared" si="212"/>
        <v>NA</v>
      </c>
      <c r="W582" s="29" t="str">
        <f t="shared" si="213"/>
        <v>NA</v>
      </c>
      <c r="X582" s="29" t="str">
        <f t="shared" si="214"/>
        <v>NA</v>
      </c>
      <c r="Y582" s="29" t="str">
        <f t="shared" si="215"/>
        <v>NA</v>
      </c>
      <c r="Z582" s="29" t="str">
        <f t="shared" si="216"/>
        <v>NA</v>
      </c>
      <c r="AA582" s="29" t="str">
        <f t="shared" si="217"/>
        <v>NA</v>
      </c>
      <c r="AB582" s="29" t="str">
        <f t="shared" si="218"/>
        <v>NA</v>
      </c>
      <c r="AC582" s="29" t="str">
        <f t="shared" si="219"/>
        <v>NA</v>
      </c>
      <c r="AD582" s="29" t="str">
        <f t="shared" si="220"/>
        <v>NA</v>
      </c>
      <c r="AE582" s="29" t="str">
        <f t="shared" si="221"/>
        <v>NA</v>
      </c>
      <c r="AF582" s="29" t="str">
        <f t="shared" si="222"/>
        <v>NA</v>
      </c>
      <c r="AG582" s="29" t="str">
        <f t="shared" si="223"/>
        <v>NA</v>
      </c>
      <c r="AH582" s="29" t="str">
        <f t="shared" si="224"/>
        <v>NA</v>
      </c>
    </row>
    <row r="583" customHeight="1" spans="1:34">
      <c r="A583" s="12" t="s">
        <v>1043</v>
      </c>
      <c r="F583" s="24">
        <f t="shared" si="226"/>
        <v>0</v>
      </c>
      <c r="G583" s="24" t="e">
        <f t="shared" si="225"/>
        <v>#DIV/0!</v>
      </c>
      <c r="Q583" s="29" t="str">
        <f t="shared" si="207"/>
        <v>NA</v>
      </c>
      <c r="R583" s="29" t="str">
        <f t="shared" si="208"/>
        <v>NA</v>
      </c>
      <c r="S583" s="29" t="str">
        <f t="shared" si="209"/>
        <v>NA</v>
      </c>
      <c r="T583" s="29" t="str">
        <f t="shared" si="210"/>
        <v>NA</v>
      </c>
      <c r="U583" s="29" t="str">
        <f t="shared" si="211"/>
        <v>NA</v>
      </c>
      <c r="V583" s="29" t="str">
        <f t="shared" si="212"/>
        <v>NA</v>
      </c>
      <c r="W583" s="29" t="str">
        <f t="shared" si="213"/>
        <v>NA</v>
      </c>
      <c r="X583" s="29" t="str">
        <f t="shared" si="214"/>
        <v>NA</v>
      </c>
      <c r="Y583" s="29" t="str">
        <f t="shared" si="215"/>
        <v>NA</v>
      </c>
      <c r="Z583" s="29" t="str">
        <f t="shared" si="216"/>
        <v>NA</v>
      </c>
      <c r="AA583" s="29" t="str">
        <f t="shared" si="217"/>
        <v>NA</v>
      </c>
      <c r="AB583" s="29" t="str">
        <f t="shared" si="218"/>
        <v>NA</v>
      </c>
      <c r="AC583" s="29" t="str">
        <f t="shared" si="219"/>
        <v>NA</v>
      </c>
      <c r="AD583" s="29" t="str">
        <f t="shared" si="220"/>
        <v>NA</v>
      </c>
      <c r="AE583" s="29" t="str">
        <f t="shared" si="221"/>
        <v>NA</v>
      </c>
      <c r="AF583" s="29" t="str">
        <f t="shared" si="222"/>
        <v>NA</v>
      </c>
      <c r="AG583" s="29" t="str">
        <f t="shared" si="223"/>
        <v>NA</v>
      </c>
      <c r="AH583" s="29" t="str">
        <f t="shared" si="224"/>
        <v>NA</v>
      </c>
    </row>
    <row r="584" customHeight="1" spans="1:34">
      <c r="A584" s="12" t="s">
        <v>1043</v>
      </c>
      <c r="F584" s="24">
        <f t="shared" si="226"/>
        <v>0</v>
      </c>
      <c r="G584" s="24" t="e">
        <f t="shared" si="225"/>
        <v>#DIV/0!</v>
      </c>
      <c r="Q584" s="29" t="str">
        <f t="shared" si="207"/>
        <v>NA</v>
      </c>
      <c r="R584" s="29" t="str">
        <f t="shared" si="208"/>
        <v>NA</v>
      </c>
      <c r="S584" s="29" t="str">
        <f t="shared" si="209"/>
        <v>NA</v>
      </c>
      <c r="T584" s="29" t="str">
        <f t="shared" si="210"/>
        <v>NA</v>
      </c>
      <c r="U584" s="29" t="str">
        <f t="shared" si="211"/>
        <v>NA</v>
      </c>
      <c r="V584" s="29" t="str">
        <f t="shared" si="212"/>
        <v>NA</v>
      </c>
      <c r="W584" s="29" t="str">
        <f t="shared" si="213"/>
        <v>NA</v>
      </c>
      <c r="X584" s="29" t="str">
        <f t="shared" si="214"/>
        <v>NA</v>
      </c>
      <c r="Y584" s="29" t="str">
        <f t="shared" si="215"/>
        <v>NA</v>
      </c>
      <c r="Z584" s="29" t="str">
        <f t="shared" si="216"/>
        <v>NA</v>
      </c>
      <c r="AA584" s="29" t="str">
        <f t="shared" si="217"/>
        <v>NA</v>
      </c>
      <c r="AB584" s="29" t="str">
        <f t="shared" si="218"/>
        <v>NA</v>
      </c>
      <c r="AC584" s="29" t="str">
        <f t="shared" si="219"/>
        <v>NA</v>
      </c>
      <c r="AD584" s="29" t="str">
        <f t="shared" si="220"/>
        <v>NA</v>
      </c>
      <c r="AE584" s="29" t="str">
        <f t="shared" si="221"/>
        <v>NA</v>
      </c>
      <c r="AF584" s="29" t="str">
        <f t="shared" si="222"/>
        <v>NA</v>
      </c>
      <c r="AG584" s="29" t="str">
        <f t="shared" si="223"/>
        <v>NA</v>
      </c>
      <c r="AH584" s="29" t="str">
        <f t="shared" si="224"/>
        <v>NA</v>
      </c>
    </row>
    <row r="585" customHeight="1" spans="1:34">
      <c r="A585" s="12" t="s">
        <v>1043</v>
      </c>
      <c r="F585" s="24">
        <f t="shared" si="226"/>
        <v>0</v>
      </c>
      <c r="G585" s="24" t="e">
        <f t="shared" si="225"/>
        <v>#DIV/0!</v>
      </c>
      <c r="Q585" s="29" t="str">
        <f t="shared" si="207"/>
        <v>NA</v>
      </c>
      <c r="R585" s="29" t="str">
        <f t="shared" si="208"/>
        <v>NA</v>
      </c>
      <c r="S585" s="29" t="str">
        <f t="shared" si="209"/>
        <v>NA</v>
      </c>
      <c r="T585" s="29" t="str">
        <f t="shared" si="210"/>
        <v>NA</v>
      </c>
      <c r="U585" s="29" t="str">
        <f t="shared" si="211"/>
        <v>NA</v>
      </c>
      <c r="V585" s="29" t="str">
        <f t="shared" si="212"/>
        <v>NA</v>
      </c>
      <c r="W585" s="29" t="str">
        <f t="shared" si="213"/>
        <v>NA</v>
      </c>
      <c r="X585" s="29" t="str">
        <f t="shared" si="214"/>
        <v>NA</v>
      </c>
      <c r="Y585" s="29" t="str">
        <f t="shared" si="215"/>
        <v>NA</v>
      </c>
      <c r="Z585" s="29" t="str">
        <f t="shared" si="216"/>
        <v>NA</v>
      </c>
      <c r="AA585" s="29" t="str">
        <f t="shared" si="217"/>
        <v>NA</v>
      </c>
      <c r="AB585" s="29" t="str">
        <f t="shared" si="218"/>
        <v>NA</v>
      </c>
      <c r="AC585" s="29" t="str">
        <f t="shared" si="219"/>
        <v>NA</v>
      </c>
      <c r="AD585" s="29" t="str">
        <f t="shared" si="220"/>
        <v>NA</v>
      </c>
      <c r="AE585" s="29" t="str">
        <f t="shared" si="221"/>
        <v>NA</v>
      </c>
      <c r="AF585" s="29" t="str">
        <f t="shared" si="222"/>
        <v>NA</v>
      </c>
      <c r="AG585" s="29" t="str">
        <f t="shared" si="223"/>
        <v>NA</v>
      </c>
      <c r="AH585" s="29" t="str">
        <f t="shared" si="224"/>
        <v>NA</v>
      </c>
    </row>
    <row r="586" customHeight="1" spans="1:34">
      <c r="A586" s="12" t="s">
        <v>1043</v>
      </c>
      <c r="F586" s="24">
        <f t="shared" si="226"/>
        <v>0</v>
      </c>
      <c r="G586" s="24" t="e">
        <f t="shared" si="225"/>
        <v>#DIV/0!</v>
      </c>
      <c r="Q586" s="29" t="str">
        <f t="shared" si="207"/>
        <v>NA</v>
      </c>
      <c r="R586" s="29" t="str">
        <f t="shared" si="208"/>
        <v>NA</v>
      </c>
      <c r="S586" s="29" t="str">
        <f t="shared" si="209"/>
        <v>NA</v>
      </c>
      <c r="T586" s="29" t="str">
        <f t="shared" si="210"/>
        <v>NA</v>
      </c>
      <c r="U586" s="29" t="str">
        <f t="shared" si="211"/>
        <v>NA</v>
      </c>
      <c r="V586" s="29" t="str">
        <f t="shared" si="212"/>
        <v>NA</v>
      </c>
      <c r="W586" s="29" t="str">
        <f t="shared" si="213"/>
        <v>NA</v>
      </c>
      <c r="X586" s="29" t="str">
        <f t="shared" si="214"/>
        <v>NA</v>
      </c>
      <c r="Y586" s="29" t="str">
        <f t="shared" si="215"/>
        <v>NA</v>
      </c>
      <c r="Z586" s="29" t="str">
        <f t="shared" si="216"/>
        <v>NA</v>
      </c>
      <c r="AA586" s="29" t="str">
        <f t="shared" si="217"/>
        <v>NA</v>
      </c>
      <c r="AB586" s="29" t="str">
        <f t="shared" si="218"/>
        <v>NA</v>
      </c>
      <c r="AC586" s="29" t="str">
        <f t="shared" si="219"/>
        <v>NA</v>
      </c>
      <c r="AD586" s="29" t="str">
        <f t="shared" si="220"/>
        <v>NA</v>
      </c>
      <c r="AE586" s="29" t="str">
        <f t="shared" si="221"/>
        <v>NA</v>
      </c>
      <c r="AF586" s="29" t="str">
        <f t="shared" si="222"/>
        <v>NA</v>
      </c>
      <c r="AG586" s="29" t="str">
        <f t="shared" si="223"/>
        <v>NA</v>
      </c>
      <c r="AH586" s="29" t="str">
        <f t="shared" si="224"/>
        <v>NA</v>
      </c>
    </row>
    <row r="587" customHeight="1" spans="1:34">
      <c r="A587" s="12" t="s">
        <v>1043</v>
      </c>
      <c r="F587" s="24">
        <f t="shared" si="226"/>
        <v>0</v>
      </c>
      <c r="G587" s="24" t="e">
        <f t="shared" si="225"/>
        <v>#DIV/0!</v>
      </c>
      <c r="Q587" s="29" t="str">
        <f t="shared" si="207"/>
        <v>NA</v>
      </c>
      <c r="R587" s="29" t="str">
        <f t="shared" si="208"/>
        <v>NA</v>
      </c>
      <c r="S587" s="29" t="str">
        <f t="shared" si="209"/>
        <v>NA</v>
      </c>
      <c r="T587" s="29" t="str">
        <f t="shared" si="210"/>
        <v>NA</v>
      </c>
      <c r="U587" s="29" t="str">
        <f t="shared" si="211"/>
        <v>NA</v>
      </c>
      <c r="V587" s="29" t="str">
        <f t="shared" si="212"/>
        <v>NA</v>
      </c>
      <c r="W587" s="29" t="str">
        <f t="shared" si="213"/>
        <v>NA</v>
      </c>
      <c r="X587" s="29" t="str">
        <f t="shared" si="214"/>
        <v>NA</v>
      </c>
      <c r="Y587" s="29" t="str">
        <f t="shared" si="215"/>
        <v>NA</v>
      </c>
      <c r="Z587" s="29" t="str">
        <f t="shared" si="216"/>
        <v>NA</v>
      </c>
      <c r="AA587" s="29" t="str">
        <f t="shared" si="217"/>
        <v>NA</v>
      </c>
      <c r="AB587" s="29" t="str">
        <f t="shared" si="218"/>
        <v>NA</v>
      </c>
      <c r="AC587" s="29" t="str">
        <f t="shared" si="219"/>
        <v>NA</v>
      </c>
      <c r="AD587" s="29" t="str">
        <f t="shared" si="220"/>
        <v>NA</v>
      </c>
      <c r="AE587" s="29" t="str">
        <f t="shared" si="221"/>
        <v>NA</v>
      </c>
      <c r="AF587" s="29" t="str">
        <f t="shared" si="222"/>
        <v>NA</v>
      </c>
      <c r="AG587" s="29" t="str">
        <f t="shared" si="223"/>
        <v>NA</v>
      </c>
      <c r="AH587" s="29" t="str">
        <f t="shared" si="224"/>
        <v>NA</v>
      </c>
    </row>
    <row r="588" customHeight="1" spans="1:34">
      <c r="A588" s="12" t="s">
        <v>1043</v>
      </c>
      <c r="F588" s="24">
        <f t="shared" si="226"/>
        <v>0</v>
      </c>
      <c r="G588" s="24" t="e">
        <f t="shared" si="225"/>
        <v>#DIV/0!</v>
      </c>
      <c r="Q588" s="29" t="str">
        <f t="shared" si="207"/>
        <v>NA</v>
      </c>
      <c r="R588" s="29" t="str">
        <f t="shared" si="208"/>
        <v>NA</v>
      </c>
      <c r="S588" s="29" t="str">
        <f t="shared" si="209"/>
        <v>NA</v>
      </c>
      <c r="T588" s="29" t="str">
        <f t="shared" si="210"/>
        <v>NA</v>
      </c>
      <c r="U588" s="29" t="str">
        <f t="shared" si="211"/>
        <v>NA</v>
      </c>
      <c r="V588" s="29" t="str">
        <f t="shared" si="212"/>
        <v>NA</v>
      </c>
      <c r="W588" s="29" t="str">
        <f t="shared" si="213"/>
        <v>NA</v>
      </c>
      <c r="X588" s="29" t="str">
        <f t="shared" si="214"/>
        <v>NA</v>
      </c>
      <c r="Y588" s="29" t="str">
        <f t="shared" si="215"/>
        <v>NA</v>
      </c>
      <c r="Z588" s="29" t="str">
        <f t="shared" si="216"/>
        <v>NA</v>
      </c>
      <c r="AA588" s="29" t="str">
        <f t="shared" si="217"/>
        <v>NA</v>
      </c>
      <c r="AB588" s="29" t="str">
        <f t="shared" si="218"/>
        <v>NA</v>
      </c>
      <c r="AC588" s="29" t="str">
        <f t="shared" si="219"/>
        <v>NA</v>
      </c>
      <c r="AD588" s="29" t="str">
        <f t="shared" si="220"/>
        <v>NA</v>
      </c>
      <c r="AE588" s="29" t="str">
        <f t="shared" si="221"/>
        <v>NA</v>
      </c>
      <c r="AF588" s="29" t="str">
        <f t="shared" si="222"/>
        <v>NA</v>
      </c>
      <c r="AG588" s="29" t="str">
        <f t="shared" si="223"/>
        <v>NA</v>
      </c>
      <c r="AH588" s="29" t="str">
        <f t="shared" si="224"/>
        <v>NA</v>
      </c>
    </row>
    <row r="589" customHeight="1" spans="1:34">
      <c r="A589" s="12" t="s">
        <v>1043</v>
      </c>
      <c r="F589" s="24">
        <f t="shared" si="226"/>
        <v>0</v>
      </c>
      <c r="G589" s="24" t="e">
        <f t="shared" si="225"/>
        <v>#DIV/0!</v>
      </c>
      <c r="Q589" s="29" t="str">
        <f t="shared" si="207"/>
        <v>NA</v>
      </c>
      <c r="R589" s="29" t="str">
        <f t="shared" si="208"/>
        <v>NA</v>
      </c>
      <c r="S589" s="29" t="str">
        <f t="shared" si="209"/>
        <v>NA</v>
      </c>
      <c r="T589" s="29" t="str">
        <f t="shared" si="210"/>
        <v>NA</v>
      </c>
      <c r="U589" s="29" t="str">
        <f t="shared" si="211"/>
        <v>NA</v>
      </c>
      <c r="V589" s="29" t="str">
        <f t="shared" si="212"/>
        <v>NA</v>
      </c>
      <c r="W589" s="29" t="str">
        <f t="shared" si="213"/>
        <v>NA</v>
      </c>
      <c r="X589" s="29" t="str">
        <f t="shared" si="214"/>
        <v>NA</v>
      </c>
      <c r="Y589" s="29" t="str">
        <f t="shared" si="215"/>
        <v>NA</v>
      </c>
      <c r="Z589" s="29" t="str">
        <f t="shared" si="216"/>
        <v>NA</v>
      </c>
      <c r="AA589" s="29" t="str">
        <f t="shared" si="217"/>
        <v>NA</v>
      </c>
      <c r="AB589" s="29" t="str">
        <f t="shared" si="218"/>
        <v>NA</v>
      </c>
      <c r="AC589" s="29" t="str">
        <f t="shared" si="219"/>
        <v>NA</v>
      </c>
      <c r="AD589" s="29" t="str">
        <f t="shared" si="220"/>
        <v>NA</v>
      </c>
      <c r="AE589" s="29" t="str">
        <f t="shared" si="221"/>
        <v>NA</v>
      </c>
      <c r="AF589" s="29" t="str">
        <f t="shared" si="222"/>
        <v>NA</v>
      </c>
      <c r="AG589" s="29" t="str">
        <f t="shared" si="223"/>
        <v>NA</v>
      </c>
      <c r="AH589" s="29" t="str">
        <f t="shared" si="224"/>
        <v>NA</v>
      </c>
    </row>
    <row r="590" customHeight="1" spans="1:34">
      <c r="A590" s="12" t="s">
        <v>1043</v>
      </c>
      <c r="F590" s="24">
        <f t="shared" si="226"/>
        <v>0</v>
      </c>
      <c r="G590" s="24" t="e">
        <f t="shared" si="225"/>
        <v>#DIV/0!</v>
      </c>
      <c r="Q590" s="29" t="str">
        <f t="shared" si="207"/>
        <v>NA</v>
      </c>
      <c r="R590" s="29" t="str">
        <f t="shared" si="208"/>
        <v>NA</v>
      </c>
      <c r="S590" s="29" t="str">
        <f t="shared" si="209"/>
        <v>NA</v>
      </c>
      <c r="T590" s="29" t="str">
        <f t="shared" si="210"/>
        <v>NA</v>
      </c>
      <c r="U590" s="29" t="str">
        <f t="shared" si="211"/>
        <v>NA</v>
      </c>
      <c r="V590" s="29" t="str">
        <f t="shared" si="212"/>
        <v>NA</v>
      </c>
      <c r="W590" s="29" t="str">
        <f t="shared" si="213"/>
        <v>NA</v>
      </c>
      <c r="X590" s="29" t="str">
        <f t="shared" si="214"/>
        <v>NA</v>
      </c>
      <c r="Y590" s="29" t="str">
        <f t="shared" si="215"/>
        <v>NA</v>
      </c>
      <c r="Z590" s="29" t="str">
        <f t="shared" si="216"/>
        <v>NA</v>
      </c>
      <c r="AA590" s="29" t="str">
        <f t="shared" si="217"/>
        <v>NA</v>
      </c>
      <c r="AB590" s="29" t="str">
        <f t="shared" si="218"/>
        <v>NA</v>
      </c>
      <c r="AC590" s="29" t="str">
        <f t="shared" si="219"/>
        <v>NA</v>
      </c>
      <c r="AD590" s="29" t="str">
        <f t="shared" si="220"/>
        <v>NA</v>
      </c>
      <c r="AE590" s="29" t="str">
        <f t="shared" si="221"/>
        <v>NA</v>
      </c>
      <c r="AF590" s="29" t="str">
        <f t="shared" si="222"/>
        <v>NA</v>
      </c>
      <c r="AG590" s="29" t="str">
        <f t="shared" si="223"/>
        <v>NA</v>
      </c>
      <c r="AH590" s="29" t="str">
        <f t="shared" si="224"/>
        <v>NA</v>
      </c>
    </row>
    <row r="591" customHeight="1" spans="1:34">
      <c r="A591" s="12" t="s">
        <v>1043</v>
      </c>
      <c r="F591" s="24">
        <f t="shared" si="226"/>
        <v>0</v>
      </c>
      <c r="G591" s="24" t="e">
        <f t="shared" si="225"/>
        <v>#DIV/0!</v>
      </c>
      <c r="Q591" s="29" t="str">
        <f t="shared" si="207"/>
        <v>NA</v>
      </c>
      <c r="R591" s="29" t="str">
        <f t="shared" si="208"/>
        <v>NA</v>
      </c>
      <c r="S591" s="29" t="str">
        <f t="shared" si="209"/>
        <v>NA</v>
      </c>
      <c r="T591" s="29" t="str">
        <f t="shared" si="210"/>
        <v>NA</v>
      </c>
      <c r="U591" s="29" t="str">
        <f t="shared" si="211"/>
        <v>NA</v>
      </c>
      <c r="V591" s="29" t="str">
        <f t="shared" si="212"/>
        <v>NA</v>
      </c>
      <c r="W591" s="29" t="str">
        <f t="shared" si="213"/>
        <v>NA</v>
      </c>
      <c r="X591" s="29" t="str">
        <f t="shared" si="214"/>
        <v>NA</v>
      </c>
      <c r="Y591" s="29" t="str">
        <f t="shared" si="215"/>
        <v>NA</v>
      </c>
      <c r="Z591" s="29" t="str">
        <f t="shared" si="216"/>
        <v>NA</v>
      </c>
      <c r="AA591" s="29" t="str">
        <f t="shared" si="217"/>
        <v>NA</v>
      </c>
      <c r="AB591" s="29" t="str">
        <f t="shared" si="218"/>
        <v>NA</v>
      </c>
      <c r="AC591" s="29" t="str">
        <f t="shared" si="219"/>
        <v>NA</v>
      </c>
      <c r="AD591" s="29" t="str">
        <f t="shared" si="220"/>
        <v>NA</v>
      </c>
      <c r="AE591" s="29" t="str">
        <f t="shared" si="221"/>
        <v>NA</v>
      </c>
      <c r="AF591" s="29" t="str">
        <f t="shared" si="222"/>
        <v>NA</v>
      </c>
      <c r="AG591" s="29" t="str">
        <f t="shared" si="223"/>
        <v>NA</v>
      </c>
      <c r="AH591" s="29" t="str">
        <f t="shared" si="224"/>
        <v>NA</v>
      </c>
    </row>
    <row r="592" customHeight="1" spans="1:34">
      <c r="A592" s="12" t="s">
        <v>1043</v>
      </c>
      <c r="F592" s="24">
        <f t="shared" si="226"/>
        <v>0</v>
      </c>
      <c r="G592" s="24" t="e">
        <f t="shared" si="225"/>
        <v>#DIV/0!</v>
      </c>
      <c r="Q592" s="29" t="str">
        <f t="shared" ref="Q592:Q655" si="227">IFERROR($B592*$E592/H592,"NA")</f>
        <v>NA</v>
      </c>
      <c r="R592" s="29" t="str">
        <f t="shared" ref="R592:R655" si="228">IFERROR($B592*$E592/I592,"NA")</f>
        <v>NA</v>
      </c>
      <c r="S592" s="29" t="str">
        <f t="shared" ref="S592:S655" si="229">IFERROR($B592*$E592/J592,"NA")</f>
        <v>NA</v>
      </c>
      <c r="T592" s="29" t="str">
        <f t="shared" ref="T592:T655" si="230">IFERROR($B592*$E592/K592,"NA")</f>
        <v>NA</v>
      </c>
      <c r="U592" s="29" t="str">
        <f t="shared" ref="U592:U655" si="231">IFERROR($B592*$E592/L592,"NA")</f>
        <v>NA</v>
      </c>
      <c r="V592" s="29" t="str">
        <f t="shared" ref="V592:V655" si="232">IFERROR($B592*$E592/M592,"NA")</f>
        <v>NA</v>
      </c>
      <c r="W592" s="29" t="str">
        <f t="shared" ref="W592:W655" si="233">IFERROR($B592*$E592/N592,"NA")</f>
        <v>NA</v>
      </c>
      <c r="X592" s="29" t="str">
        <f t="shared" ref="X592:X655" si="234">IFERROR($B592*$E592/O592,"NA")</f>
        <v>NA</v>
      </c>
      <c r="Y592" s="29" t="str">
        <f t="shared" ref="Y592:Y655" si="235">IFERROR($B592*$E592/P592,"NA")</f>
        <v>NA</v>
      </c>
      <c r="Z592" s="29" t="str">
        <f t="shared" ref="Z592:Z655" si="236">IFERROR((($G592*Z$2/1000)+Q592)/1,"NA")</f>
        <v>NA</v>
      </c>
      <c r="AA592" s="29" t="str">
        <f t="shared" ref="AA592:AA655" si="237">IFERROR((($G592*AA$2/1000)+R592)/1,"NA")</f>
        <v>NA</v>
      </c>
      <c r="AB592" s="29" t="str">
        <f t="shared" ref="AB592:AB655" si="238">IFERROR((($G592*AB$2/1000)+S592)/1,"NA")</f>
        <v>NA</v>
      </c>
      <c r="AC592" s="29" t="str">
        <f t="shared" ref="AC592:AC655" si="239">IFERROR((($G592*AC$2/1000)+T592)/1,"NA")</f>
        <v>NA</v>
      </c>
      <c r="AD592" s="29" t="str">
        <f t="shared" ref="AD592:AD655" si="240">IFERROR((($G592*AD$2/1000)+U592)/1,"NA")</f>
        <v>NA</v>
      </c>
      <c r="AE592" s="29" t="str">
        <f t="shared" ref="AE592:AE655" si="241">IFERROR((($G592*AE$2/1000)+V592)/1,"NA")</f>
        <v>NA</v>
      </c>
      <c r="AF592" s="29" t="str">
        <f t="shared" ref="AF592:AF655" si="242">IFERROR((($G592*AF$2/1000)+W592)/1,"NA")</f>
        <v>NA</v>
      </c>
      <c r="AG592" s="29" t="str">
        <f t="shared" ref="AG592:AG655" si="243">IFERROR((($G592*AG$2/1000)+X592)/1,"NA")</f>
        <v>NA</v>
      </c>
      <c r="AH592" s="29" t="str">
        <f t="shared" ref="AH592:AH655" si="244">IFERROR((($G592*AH$2/1000)+Y592)/1,"NA")</f>
        <v>NA</v>
      </c>
    </row>
    <row r="593" customHeight="1" spans="1:34">
      <c r="A593" s="12" t="s">
        <v>1043</v>
      </c>
      <c r="F593" s="24">
        <f t="shared" si="226"/>
        <v>0</v>
      </c>
      <c r="G593" s="24" t="e">
        <f t="shared" si="225"/>
        <v>#DIV/0!</v>
      </c>
      <c r="Q593" s="29" t="str">
        <f t="shared" si="227"/>
        <v>NA</v>
      </c>
      <c r="R593" s="29" t="str">
        <f t="shared" si="228"/>
        <v>NA</v>
      </c>
      <c r="S593" s="29" t="str">
        <f t="shared" si="229"/>
        <v>NA</v>
      </c>
      <c r="T593" s="29" t="str">
        <f t="shared" si="230"/>
        <v>NA</v>
      </c>
      <c r="U593" s="29" t="str">
        <f t="shared" si="231"/>
        <v>NA</v>
      </c>
      <c r="V593" s="29" t="str">
        <f t="shared" si="232"/>
        <v>NA</v>
      </c>
      <c r="W593" s="29" t="str">
        <f t="shared" si="233"/>
        <v>NA</v>
      </c>
      <c r="X593" s="29" t="str">
        <f t="shared" si="234"/>
        <v>NA</v>
      </c>
      <c r="Y593" s="29" t="str">
        <f t="shared" si="235"/>
        <v>NA</v>
      </c>
      <c r="Z593" s="29" t="str">
        <f t="shared" si="236"/>
        <v>NA</v>
      </c>
      <c r="AA593" s="29" t="str">
        <f t="shared" si="237"/>
        <v>NA</v>
      </c>
      <c r="AB593" s="29" t="str">
        <f t="shared" si="238"/>
        <v>NA</v>
      </c>
      <c r="AC593" s="29" t="str">
        <f t="shared" si="239"/>
        <v>NA</v>
      </c>
      <c r="AD593" s="29" t="str">
        <f t="shared" si="240"/>
        <v>NA</v>
      </c>
      <c r="AE593" s="29" t="str">
        <f t="shared" si="241"/>
        <v>NA</v>
      </c>
      <c r="AF593" s="29" t="str">
        <f t="shared" si="242"/>
        <v>NA</v>
      </c>
      <c r="AG593" s="29" t="str">
        <f t="shared" si="243"/>
        <v>NA</v>
      </c>
      <c r="AH593" s="29" t="str">
        <f t="shared" si="244"/>
        <v>NA</v>
      </c>
    </row>
    <row r="594" customHeight="1" spans="1:34">
      <c r="A594" s="12" t="s">
        <v>1043</v>
      </c>
      <c r="F594" s="24">
        <f t="shared" si="226"/>
        <v>0</v>
      </c>
      <c r="G594" s="24" t="e">
        <f t="shared" si="225"/>
        <v>#DIV/0!</v>
      </c>
      <c r="Q594" s="29" t="str">
        <f t="shared" si="227"/>
        <v>NA</v>
      </c>
      <c r="R594" s="29" t="str">
        <f t="shared" si="228"/>
        <v>NA</v>
      </c>
      <c r="S594" s="29" t="str">
        <f t="shared" si="229"/>
        <v>NA</v>
      </c>
      <c r="T594" s="29" t="str">
        <f t="shared" si="230"/>
        <v>NA</v>
      </c>
      <c r="U594" s="29" t="str">
        <f t="shared" si="231"/>
        <v>NA</v>
      </c>
      <c r="V594" s="29" t="str">
        <f t="shared" si="232"/>
        <v>NA</v>
      </c>
      <c r="W594" s="29" t="str">
        <f t="shared" si="233"/>
        <v>NA</v>
      </c>
      <c r="X594" s="29" t="str">
        <f t="shared" si="234"/>
        <v>NA</v>
      </c>
      <c r="Y594" s="29" t="str">
        <f t="shared" si="235"/>
        <v>NA</v>
      </c>
      <c r="Z594" s="29" t="str">
        <f t="shared" si="236"/>
        <v>NA</v>
      </c>
      <c r="AA594" s="29" t="str">
        <f t="shared" si="237"/>
        <v>NA</v>
      </c>
      <c r="AB594" s="29" t="str">
        <f t="shared" si="238"/>
        <v>NA</v>
      </c>
      <c r="AC594" s="29" t="str">
        <f t="shared" si="239"/>
        <v>NA</v>
      </c>
      <c r="AD594" s="29" t="str">
        <f t="shared" si="240"/>
        <v>NA</v>
      </c>
      <c r="AE594" s="29" t="str">
        <f t="shared" si="241"/>
        <v>NA</v>
      </c>
      <c r="AF594" s="29" t="str">
        <f t="shared" si="242"/>
        <v>NA</v>
      </c>
      <c r="AG594" s="29" t="str">
        <f t="shared" si="243"/>
        <v>NA</v>
      </c>
      <c r="AH594" s="29" t="str">
        <f t="shared" si="244"/>
        <v>NA</v>
      </c>
    </row>
    <row r="595" customHeight="1" spans="1:34">
      <c r="A595" s="12" t="s">
        <v>1043</v>
      </c>
      <c r="F595" s="24">
        <f t="shared" si="226"/>
        <v>0</v>
      </c>
      <c r="G595" s="24" t="e">
        <f t="shared" si="225"/>
        <v>#DIV/0!</v>
      </c>
      <c r="Q595" s="29" t="str">
        <f t="shared" si="227"/>
        <v>NA</v>
      </c>
      <c r="R595" s="29" t="str">
        <f t="shared" si="228"/>
        <v>NA</v>
      </c>
      <c r="S595" s="29" t="str">
        <f t="shared" si="229"/>
        <v>NA</v>
      </c>
      <c r="T595" s="29" t="str">
        <f t="shared" si="230"/>
        <v>NA</v>
      </c>
      <c r="U595" s="29" t="str">
        <f t="shared" si="231"/>
        <v>NA</v>
      </c>
      <c r="V595" s="29" t="str">
        <f t="shared" si="232"/>
        <v>NA</v>
      </c>
      <c r="W595" s="29" t="str">
        <f t="shared" si="233"/>
        <v>NA</v>
      </c>
      <c r="X595" s="29" t="str">
        <f t="shared" si="234"/>
        <v>NA</v>
      </c>
      <c r="Y595" s="29" t="str">
        <f t="shared" si="235"/>
        <v>NA</v>
      </c>
      <c r="Z595" s="29" t="str">
        <f t="shared" si="236"/>
        <v>NA</v>
      </c>
      <c r="AA595" s="29" t="str">
        <f t="shared" si="237"/>
        <v>NA</v>
      </c>
      <c r="AB595" s="29" t="str">
        <f t="shared" si="238"/>
        <v>NA</v>
      </c>
      <c r="AC595" s="29" t="str">
        <f t="shared" si="239"/>
        <v>NA</v>
      </c>
      <c r="AD595" s="29" t="str">
        <f t="shared" si="240"/>
        <v>NA</v>
      </c>
      <c r="AE595" s="29" t="str">
        <f t="shared" si="241"/>
        <v>NA</v>
      </c>
      <c r="AF595" s="29" t="str">
        <f t="shared" si="242"/>
        <v>NA</v>
      </c>
      <c r="AG595" s="29" t="str">
        <f t="shared" si="243"/>
        <v>NA</v>
      </c>
      <c r="AH595" s="29" t="str">
        <f t="shared" si="244"/>
        <v>NA</v>
      </c>
    </row>
    <row r="596" customHeight="1" spans="1:34">
      <c r="A596" s="12" t="s">
        <v>1043</v>
      </c>
      <c r="F596" s="24">
        <f t="shared" si="226"/>
        <v>0</v>
      </c>
      <c r="G596" s="24" t="e">
        <f t="shared" si="225"/>
        <v>#DIV/0!</v>
      </c>
      <c r="Q596" s="29" t="str">
        <f t="shared" si="227"/>
        <v>NA</v>
      </c>
      <c r="R596" s="29" t="str">
        <f t="shared" si="228"/>
        <v>NA</v>
      </c>
      <c r="S596" s="29" t="str">
        <f t="shared" si="229"/>
        <v>NA</v>
      </c>
      <c r="T596" s="29" t="str">
        <f t="shared" si="230"/>
        <v>NA</v>
      </c>
      <c r="U596" s="29" t="str">
        <f t="shared" si="231"/>
        <v>NA</v>
      </c>
      <c r="V596" s="29" t="str">
        <f t="shared" si="232"/>
        <v>NA</v>
      </c>
      <c r="W596" s="29" t="str">
        <f t="shared" si="233"/>
        <v>NA</v>
      </c>
      <c r="X596" s="29" t="str">
        <f t="shared" si="234"/>
        <v>NA</v>
      </c>
      <c r="Y596" s="29" t="str">
        <f t="shared" si="235"/>
        <v>NA</v>
      </c>
      <c r="Z596" s="29" t="str">
        <f t="shared" si="236"/>
        <v>NA</v>
      </c>
      <c r="AA596" s="29" t="str">
        <f t="shared" si="237"/>
        <v>NA</v>
      </c>
      <c r="AB596" s="29" t="str">
        <f t="shared" si="238"/>
        <v>NA</v>
      </c>
      <c r="AC596" s="29" t="str">
        <f t="shared" si="239"/>
        <v>NA</v>
      </c>
      <c r="AD596" s="29" t="str">
        <f t="shared" si="240"/>
        <v>NA</v>
      </c>
      <c r="AE596" s="29" t="str">
        <f t="shared" si="241"/>
        <v>NA</v>
      </c>
      <c r="AF596" s="29" t="str">
        <f t="shared" si="242"/>
        <v>NA</v>
      </c>
      <c r="AG596" s="29" t="str">
        <f t="shared" si="243"/>
        <v>NA</v>
      </c>
      <c r="AH596" s="29" t="str">
        <f t="shared" si="244"/>
        <v>NA</v>
      </c>
    </row>
    <row r="597" customHeight="1" spans="1:34">
      <c r="A597" s="12" t="s">
        <v>1043</v>
      </c>
      <c r="F597" s="24">
        <f t="shared" si="226"/>
        <v>0</v>
      </c>
      <c r="G597" s="24" t="e">
        <f t="shared" si="225"/>
        <v>#DIV/0!</v>
      </c>
      <c r="Q597" s="29" t="str">
        <f t="shared" si="227"/>
        <v>NA</v>
      </c>
      <c r="R597" s="29" t="str">
        <f t="shared" si="228"/>
        <v>NA</v>
      </c>
      <c r="S597" s="29" t="str">
        <f t="shared" si="229"/>
        <v>NA</v>
      </c>
      <c r="T597" s="29" t="str">
        <f t="shared" si="230"/>
        <v>NA</v>
      </c>
      <c r="U597" s="29" t="str">
        <f t="shared" si="231"/>
        <v>NA</v>
      </c>
      <c r="V597" s="29" t="str">
        <f t="shared" si="232"/>
        <v>NA</v>
      </c>
      <c r="W597" s="29" t="str">
        <f t="shared" si="233"/>
        <v>NA</v>
      </c>
      <c r="X597" s="29" t="str">
        <f t="shared" si="234"/>
        <v>NA</v>
      </c>
      <c r="Y597" s="29" t="str">
        <f t="shared" si="235"/>
        <v>NA</v>
      </c>
      <c r="Z597" s="29" t="str">
        <f t="shared" si="236"/>
        <v>NA</v>
      </c>
      <c r="AA597" s="29" t="str">
        <f t="shared" si="237"/>
        <v>NA</v>
      </c>
      <c r="AB597" s="29" t="str">
        <f t="shared" si="238"/>
        <v>NA</v>
      </c>
      <c r="AC597" s="29" t="str">
        <f t="shared" si="239"/>
        <v>NA</v>
      </c>
      <c r="AD597" s="29" t="str">
        <f t="shared" si="240"/>
        <v>NA</v>
      </c>
      <c r="AE597" s="29" t="str">
        <f t="shared" si="241"/>
        <v>NA</v>
      </c>
      <c r="AF597" s="29" t="str">
        <f t="shared" si="242"/>
        <v>NA</v>
      </c>
      <c r="AG597" s="29" t="str">
        <f t="shared" si="243"/>
        <v>NA</v>
      </c>
      <c r="AH597" s="29" t="str">
        <f t="shared" si="244"/>
        <v>NA</v>
      </c>
    </row>
    <row r="598" customHeight="1" spans="1:34">
      <c r="A598" s="12" t="s">
        <v>1043</v>
      </c>
      <c r="F598" s="24">
        <f t="shared" si="226"/>
        <v>0</v>
      </c>
      <c r="G598" s="24" t="e">
        <f t="shared" si="225"/>
        <v>#DIV/0!</v>
      </c>
      <c r="Q598" s="29" t="str">
        <f t="shared" si="227"/>
        <v>NA</v>
      </c>
      <c r="R598" s="29" t="str">
        <f t="shared" si="228"/>
        <v>NA</v>
      </c>
      <c r="S598" s="29" t="str">
        <f t="shared" si="229"/>
        <v>NA</v>
      </c>
      <c r="T598" s="29" t="str">
        <f t="shared" si="230"/>
        <v>NA</v>
      </c>
      <c r="U598" s="29" t="str">
        <f t="shared" si="231"/>
        <v>NA</v>
      </c>
      <c r="V598" s="29" t="str">
        <f t="shared" si="232"/>
        <v>NA</v>
      </c>
      <c r="W598" s="29" t="str">
        <f t="shared" si="233"/>
        <v>NA</v>
      </c>
      <c r="X598" s="29" t="str">
        <f t="shared" si="234"/>
        <v>NA</v>
      </c>
      <c r="Y598" s="29" t="str">
        <f t="shared" si="235"/>
        <v>NA</v>
      </c>
      <c r="Z598" s="29" t="str">
        <f t="shared" si="236"/>
        <v>NA</v>
      </c>
      <c r="AA598" s="29" t="str">
        <f t="shared" si="237"/>
        <v>NA</v>
      </c>
      <c r="AB598" s="29" t="str">
        <f t="shared" si="238"/>
        <v>NA</v>
      </c>
      <c r="AC598" s="29" t="str">
        <f t="shared" si="239"/>
        <v>NA</v>
      </c>
      <c r="AD598" s="29" t="str">
        <f t="shared" si="240"/>
        <v>NA</v>
      </c>
      <c r="AE598" s="29" t="str">
        <f t="shared" si="241"/>
        <v>NA</v>
      </c>
      <c r="AF598" s="29" t="str">
        <f t="shared" si="242"/>
        <v>NA</v>
      </c>
      <c r="AG598" s="29" t="str">
        <f t="shared" si="243"/>
        <v>NA</v>
      </c>
      <c r="AH598" s="29" t="str">
        <f t="shared" si="244"/>
        <v>NA</v>
      </c>
    </row>
    <row r="599" customHeight="1" spans="1:34">
      <c r="A599" s="12" t="s">
        <v>1043</v>
      </c>
      <c r="F599" s="24">
        <f t="shared" si="226"/>
        <v>0</v>
      </c>
      <c r="G599" s="24" t="e">
        <f t="shared" si="225"/>
        <v>#DIV/0!</v>
      </c>
      <c r="Q599" s="29" t="str">
        <f t="shared" si="227"/>
        <v>NA</v>
      </c>
      <c r="R599" s="29" t="str">
        <f t="shared" si="228"/>
        <v>NA</v>
      </c>
      <c r="S599" s="29" t="str">
        <f t="shared" si="229"/>
        <v>NA</v>
      </c>
      <c r="T599" s="29" t="str">
        <f t="shared" si="230"/>
        <v>NA</v>
      </c>
      <c r="U599" s="29" t="str">
        <f t="shared" si="231"/>
        <v>NA</v>
      </c>
      <c r="V599" s="29" t="str">
        <f t="shared" si="232"/>
        <v>NA</v>
      </c>
      <c r="W599" s="29" t="str">
        <f t="shared" si="233"/>
        <v>NA</v>
      </c>
      <c r="X599" s="29" t="str">
        <f t="shared" si="234"/>
        <v>NA</v>
      </c>
      <c r="Y599" s="29" t="str">
        <f t="shared" si="235"/>
        <v>NA</v>
      </c>
      <c r="Z599" s="29" t="str">
        <f t="shared" si="236"/>
        <v>NA</v>
      </c>
      <c r="AA599" s="29" t="str">
        <f t="shared" si="237"/>
        <v>NA</v>
      </c>
      <c r="AB599" s="29" t="str">
        <f t="shared" si="238"/>
        <v>NA</v>
      </c>
      <c r="AC599" s="29" t="str">
        <f t="shared" si="239"/>
        <v>NA</v>
      </c>
      <c r="AD599" s="29" t="str">
        <f t="shared" si="240"/>
        <v>NA</v>
      </c>
      <c r="AE599" s="29" t="str">
        <f t="shared" si="241"/>
        <v>NA</v>
      </c>
      <c r="AF599" s="29" t="str">
        <f t="shared" si="242"/>
        <v>NA</v>
      </c>
      <c r="AG599" s="29" t="str">
        <f t="shared" si="243"/>
        <v>NA</v>
      </c>
      <c r="AH599" s="29" t="str">
        <f t="shared" si="244"/>
        <v>NA</v>
      </c>
    </row>
    <row r="600" customHeight="1" spans="1:34">
      <c r="A600" s="12" t="s">
        <v>1043</v>
      </c>
      <c r="F600" s="24">
        <f t="shared" si="226"/>
        <v>0</v>
      </c>
      <c r="G600" s="24" t="e">
        <f t="shared" si="225"/>
        <v>#DIV/0!</v>
      </c>
      <c r="Q600" s="29" t="str">
        <f t="shared" si="227"/>
        <v>NA</v>
      </c>
      <c r="R600" s="29" t="str">
        <f t="shared" si="228"/>
        <v>NA</v>
      </c>
      <c r="S600" s="29" t="str">
        <f t="shared" si="229"/>
        <v>NA</v>
      </c>
      <c r="T600" s="29" t="str">
        <f t="shared" si="230"/>
        <v>NA</v>
      </c>
      <c r="U600" s="29" t="str">
        <f t="shared" si="231"/>
        <v>NA</v>
      </c>
      <c r="V600" s="29" t="str">
        <f t="shared" si="232"/>
        <v>NA</v>
      </c>
      <c r="W600" s="29" t="str">
        <f t="shared" si="233"/>
        <v>NA</v>
      </c>
      <c r="X600" s="29" t="str">
        <f t="shared" si="234"/>
        <v>NA</v>
      </c>
      <c r="Y600" s="29" t="str">
        <f t="shared" si="235"/>
        <v>NA</v>
      </c>
      <c r="Z600" s="29" t="str">
        <f t="shared" si="236"/>
        <v>NA</v>
      </c>
      <c r="AA600" s="29" t="str">
        <f t="shared" si="237"/>
        <v>NA</v>
      </c>
      <c r="AB600" s="29" t="str">
        <f t="shared" si="238"/>
        <v>NA</v>
      </c>
      <c r="AC600" s="29" t="str">
        <f t="shared" si="239"/>
        <v>NA</v>
      </c>
      <c r="AD600" s="29" t="str">
        <f t="shared" si="240"/>
        <v>NA</v>
      </c>
      <c r="AE600" s="29" t="str">
        <f t="shared" si="241"/>
        <v>NA</v>
      </c>
      <c r="AF600" s="29" t="str">
        <f t="shared" si="242"/>
        <v>NA</v>
      </c>
      <c r="AG600" s="29" t="str">
        <f t="shared" si="243"/>
        <v>NA</v>
      </c>
      <c r="AH600" s="29" t="str">
        <f t="shared" si="244"/>
        <v>NA</v>
      </c>
    </row>
    <row r="601" customHeight="1" spans="1:34">
      <c r="A601" s="12" t="s">
        <v>1043</v>
      </c>
      <c r="F601" s="24">
        <f t="shared" si="226"/>
        <v>0</v>
      </c>
      <c r="G601" s="24" t="e">
        <f t="shared" si="225"/>
        <v>#DIV/0!</v>
      </c>
      <c r="Q601" s="29" t="str">
        <f t="shared" si="227"/>
        <v>NA</v>
      </c>
      <c r="R601" s="29" t="str">
        <f t="shared" si="228"/>
        <v>NA</v>
      </c>
      <c r="S601" s="29" t="str">
        <f t="shared" si="229"/>
        <v>NA</v>
      </c>
      <c r="T601" s="29" t="str">
        <f t="shared" si="230"/>
        <v>NA</v>
      </c>
      <c r="U601" s="29" t="str">
        <f t="shared" si="231"/>
        <v>NA</v>
      </c>
      <c r="V601" s="29" t="str">
        <f t="shared" si="232"/>
        <v>NA</v>
      </c>
      <c r="W601" s="29" t="str">
        <f t="shared" si="233"/>
        <v>NA</v>
      </c>
      <c r="X601" s="29" t="str">
        <f t="shared" si="234"/>
        <v>NA</v>
      </c>
      <c r="Y601" s="29" t="str">
        <f t="shared" si="235"/>
        <v>NA</v>
      </c>
      <c r="Z601" s="29" t="str">
        <f t="shared" si="236"/>
        <v>NA</v>
      </c>
      <c r="AA601" s="29" t="str">
        <f t="shared" si="237"/>
        <v>NA</v>
      </c>
      <c r="AB601" s="29" t="str">
        <f t="shared" si="238"/>
        <v>NA</v>
      </c>
      <c r="AC601" s="29" t="str">
        <f t="shared" si="239"/>
        <v>NA</v>
      </c>
      <c r="AD601" s="29" t="str">
        <f t="shared" si="240"/>
        <v>NA</v>
      </c>
      <c r="AE601" s="29" t="str">
        <f t="shared" si="241"/>
        <v>NA</v>
      </c>
      <c r="AF601" s="29" t="str">
        <f t="shared" si="242"/>
        <v>NA</v>
      </c>
      <c r="AG601" s="29" t="str">
        <f t="shared" si="243"/>
        <v>NA</v>
      </c>
      <c r="AH601" s="29" t="str">
        <f t="shared" si="244"/>
        <v>NA</v>
      </c>
    </row>
    <row r="602" customHeight="1" spans="1:34">
      <c r="A602" s="12" t="s">
        <v>1043</v>
      </c>
      <c r="F602" s="24">
        <f t="shared" si="226"/>
        <v>0</v>
      </c>
      <c r="G602" s="24" t="e">
        <f t="shared" si="225"/>
        <v>#DIV/0!</v>
      </c>
      <c r="Q602" s="29" t="str">
        <f t="shared" si="227"/>
        <v>NA</v>
      </c>
      <c r="R602" s="29" t="str">
        <f t="shared" si="228"/>
        <v>NA</v>
      </c>
      <c r="S602" s="29" t="str">
        <f t="shared" si="229"/>
        <v>NA</v>
      </c>
      <c r="T602" s="29" t="str">
        <f t="shared" si="230"/>
        <v>NA</v>
      </c>
      <c r="U602" s="29" t="str">
        <f t="shared" si="231"/>
        <v>NA</v>
      </c>
      <c r="V602" s="29" t="str">
        <f t="shared" si="232"/>
        <v>NA</v>
      </c>
      <c r="W602" s="29" t="str">
        <f t="shared" si="233"/>
        <v>NA</v>
      </c>
      <c r="X602" s="29" t="str">
        <f t="shared" si="234"/>
        <v>NA</v>
      </c>
      <c r="Y602" s="29" t="str">
        <f t="shared" si="235"/>
        <v>NA</v>
      </c>
      <c r="Z602" s="29" t="str">
        <f t="shared" si="236"/>
        <v>NA</v>
      </c>
      <c r="AA602" s="29" t="str">
        <f t="shared" si="237"/>
        <v>NA</v>
      </c>
      <c r="AB602" s="29" t="str">
        <f t="shared" si="238"/>
        <v>NA</v>
      </c>
      <c r="AC602" s="29" t="str">
        <f t="shared" si="239"/>
        <v>NA</v>
      </c>
      <c r="AD602" s="29" t="str">
        <f t="shared" si="240"/>
        <v>NA</v>
      </c>
      <c r="AE602" s="29" t="str">
        <f t="shared" si="241"/>
        <v>NA</v>
      </c>
      <c r="AF602" s="29" t="str">
        <f t="shared" si="242"/>
        <v>NA</v>
      </c>
      <c r="AG602" s="29" t="str">
        <f t="shared" si="243"/>
        <v>NA</v>
      </c>
      <c r="AH602" s="29" t="str">
        <f t="shared" si="244"/>
        <v>NA</v>
      </c>
    </row>
    <row r="603" customHeight="1" spans="1:34">
      <c r="A603" s="12" t="s">
        <v>1043</v>
      </c>
      <c r="F603" s="24">
        <f t="shared" si="226"/>
        <v>0</v>
      </c>
      <c r="G603" s="24" t="e">
        <f t="shared" si="225"/>
        <v>#DIV/0!</v>
      </c>
      <c r="Q603" s="29" t="str">
        <f t="shared" si="227"/>
        <v>NA</v>
      </c>
      <c r="R603" s="29" t="str">
        <f t="shared" si="228"/>
        <v>NA</v>
      </c>
      <c r="S603" s="29" t="str">
        <f t="shared" si="229"/>
        <v>NA</v>
      </c>
      <c r="T603" s="29" t="str">
        <f t="shared" si="230"/>
        <v>NA</v>
      </c>
      <c r="U603" s="29" t="str">
        <f t="shared" si="231"/>
        <v>NA</v>
      </c>
      <c r="V603" s="29" t="str">
        <f t="shared" si="232"/>
        <v>NA</v>
      </c>
      <c r="W603" s="29" t="str">
        <f t="shared" si="233"/>
        <v>NA</v>
      </c>
      <c r="X603" s="29" t="str">
        <f t="shared" si="234"/>
        <v>NA</v>
      </c>
      <c r="Y603" s="29" t="str">
        <f t="shared" si="235"/>
        <v>NA</v>
      </c>
      <c r="Z603" s="29" t="str">
        <f t="shared" si="236"/>
        <v>NA</v>
      </c>
      <c r="AA603" s="29" t="str">
        <f t="shared" si="237"/>
        <v>NA</v>
      </c>
      <c r="AB603" s="29" t="str">
        <f t="shared" si="238"/>
        <v>NA</v>
      </c>
      <c r="AC603" s="29" t="str">
        <f t="shared" si="239"/>
        <v>NA</v>
      </c>
      <c r="AD603" s="29" t="str">
        <f t="shared" si="240"/>
        <v>NA</v>
      </c>
      <c r="AE603" s="29" t="str">
        <f t="shared" si="241"/>
        <v>NA</v>
      </c>
      <c r="AF603" s="29" t="str">
        <f t="shared" si="242"/>
        <v>NA</v>
      </c>
      <c r="AG603" s="29" t="str">
        <f t="shared" si="243"/>
        <v>NA</v>
      </c>
      <c r="AH603" s="29" t="str">
        <f t="shared" si="244"/>
        <v>NA</v>
      </c>
    </row>
    <row r="604" customHeight="1" spans="1:34">
      <c r="A604" s="12" t="s">
        <v>1043</v>
      </c>
      <c r="F604" s="24">
        <f t="shared" si="226"/>
        <v>0</v>
      </c>
      <c r="G604" s="24" t="e">
        <f t="shared" si="225"/>
        <v>#DIV/0!</v>
      </c>
      <c r="Q604" s="29" t="str">
        <f t="shared" si="227"/>
        <v>NA</v>
      </c>
      <c r="R604" s="29" t="str">
        <f t="shared" si="228"/>
        <v>NA</v>
      </c>
      <c r="S604" s="29" t="str">
        <f t="shared" si="229"/>
        <v>NA</v>
      </c>
      <c r="T604" s="29" t="str">
        <f t="shared" si="230"/>
        <v>NA</v>
      </c>
      <c r="U604" s="29" t="str">
        <f t="shared" si="231"/>
        <v>NA</v>
      </c>
      <c r="V604" s="29" t="str">
        <f t="shared" si="232"/>
        <v>NA</v>
      </c>
      <c r="W604" s="29" t="str">
        <f t="shared" si="233"/>
        <v>NA</v>
      </c>
      <c r="X604" s="29" t="str">
        <f t="shared" si="234"/>
        <v>NA</v>
      </c>
      <c r="Y604" s="29" t="str">
        <f t="shared" si="235"/>
        <v>NA</v>
      </c>
      <c r="Z604" s="29" t="str">
        <f t="shared" si="236"/>
        <v>NA</v>
      </c>
      <c r="AA604" s="29" t="str">
        <f t="shared" si="237"/>
        <v>NA</v>
      </c>
      <c r="AB604" s="29" t="str">
        <f t="shared" si="238"/>
        <v>NA</v>
      </c>
      <c r="AC604" s="29" t="str">
        <f t="shared" si="239"/>
        <v>NA</v>
      </c>
      <c r="AD604" s="29" t="str">
        <f t="shared" si="240"/>
        <v>NA</v>
      </c>
      <c r="AE604" s="29" t="str">
        <f t="shared" si="241"/>
        <v>NA</v>
      </c>
      <c r="AF604" s="29" t="str">
        <f t="shared" si="242"/>
        <v>NA</v>
      </c>
      <c r="AG604" s="29" t="str">
        <f t="shared" si="243"/>
        <v>NA</v>
      </c>
      <c r="AH604" s="29" t="str">
        <f t="shared" si="244"/>
        <v>NA</v>
      </c>
    </row>
    <row r="605" customHeight="1" spans="1:34">
      <c r="A605" s="12" t="s">
        <v>1043</v>
      </c>
      <c r="F605" s="24">
        <f t="shared" si="226"/>
        <v>0</v>
      </c>
      <c r="G605" s="24" t="e">
        <f t="shared" si="225"/>
        <v>#DIV/0!</v>
      </c>
      <c r="Q605" s="29" t="str">
        <f t="shared" si="227"/>
        <v>NA</v>
      </c>
      <c r="R605" s="29" t="str">
        <f t="shared" si="228"/>
        <v>NA</v>
      </c>
      <c r="S605" s="29" t="str">
        <f t="shared" si="229"/>
        <v>NA</v>
      </c>
      <c r="T605" s="29" t="str">
        <f t="shared" si="230"/>
        <v>NA</v>
      </c>
      <c r="U605" s="29" t="str">
        <f t="shared" si="231"/>
        <v>NA</v>
      </c>
      <c r="V605" s="29" t="str">
        <f t="shared" si="232"/>
        <v>NA</v>
      </c>
      <c r="W605" s="29" t="str">
        <f t="shared" si="233"/>
        <v>NA</v>
      </c>
      <c r="X605" s="29" t="str">
        <f t="shared" si="234"/>
        <v>NA</v>
      </c>
      <c r="Y605" s="29" t="str">
        <f t="shared" si="235"/>
        <v>NA</v>
      </c>
      <c r="Z605" s="29" t="str">
        <f t="shared" si="236"/>
        <v>NA</v>
      </c>
      <c r="AA605" s="29" t="str">
        <f t="shared" si="237"/>
        <v>NA</v>
      </c>
      <c r="AB605" s="29" t="str">
        <f t="shared" si="238"/>
        <v>NA</v>
      </c>
      <c r="AC605" s="29" t="str">
        <f t="shared" si="239"/>
        <v>NA</v>
      </c>
      <c r="AD605" s="29" t="str">
        <f t="shared" si="240"/>
        <v>NA</v>
      </c>
      <c r="AE605" s="29" t="str">
        <f t="shared" si="241"/>
        <v>NA</v>
      </c>
      <c r="AF605" s="29" t="str">
        <f t="shared" si="242"/>
        <v>NA</v>
      </c>
      <c r="AG605" s="29" t="str">
        <f t="shared" si="243"/>
        <v>NA</v>
      </c>
      <c r="AH605" s="29" t="str">
        <f t="shared" si="244"/>
        <v>NA</v>
      </c>
    </row>
    <row r="606" customHeight="1" spans="1:34">
      <c r="A606" s="12" t="s">
        <v>1043</v>
      </c>
      <c r="F606" s="24">
        <f t="shared" si="226"/>
        <v>0</v>
      </c>
      <c r="G606" s="24" t="e">
        <f t="shared" si="225"/>
        <v>#DIV/0!</v>
      </c>
      <c r="Q606" s="29" t="str">
        <f t="shared" si="227"/>
        <v>NA</v>
      </c>
      <c r="R606" s="29" t="str">
        <f t="shared" si="228"/>
        <v>NA</v>
      </c>
      <c r="S606" s="29" t="str">
        <f t="shared" si="229"/>
        <v>NA</v>
      </c>
      <c r="T606" s="29" t="str">
        <f t="shared" si="230"/>
        <v>NA</v>
      </c>
      <c r="U606" s="29" t="str">
        <f t="shared" si="231"/>
        <v>NA</v>
      </c>
      <c r="V606" s="29" t="str">
        <f t="shared" si="232"/>
        <v>NA</v>
      </c>
      <c r="W606" s="29" t="str">
        <f t="shared" si="233"/>
        <v>NA</v>
      </c>
      <c r="X606" s="29" t="str">
        <f t="shared" si="234"/>
        <v>NA</v>
      </c>
      <c r="Y606" s="29" t="str">
        <f t="shared" si="235"/>
        <v>NA</v>
      </c>
      <c r="Z606" s="29" t="str">
        <f t="shared" si="236"/>
        <v>NA</v>
      </c>
      <c r="AA606" s="29" t="str">
        <f t="shared" si="237"/>
        <v>NA</v>
      </c>
      <c r="AB606" s="29" t="str">
        <f t="shared" si="238"/>
        <v>NA</v>
      </c>
      <c r="AC606" s="29" t="str">
        <f t="shared" si="239"/>
        <v>NA</v>
      </c>
      <c r="AD606" s="29" t="str">
        <f t="shared" si="240"/>
        <v>NA</v>
      </c>
      <c r="AE606" s="29" t="str">
        <f t="shared" si="241"/>
        <v>NA</v>
      </c>
      <c r="AF606" s="29" t="str">
        <f t="shared" si="242"/>
        <v>NA</v>
      </c>
      <c r="AG606" s="29" t="str">
        <f t="shared" si="243"/>
        <v>NA</v>
      </c>
      <c r="AH606" s="29" t="str">
        <f t="shared" si="244"/>
        <v>NA</v>
      </c>
    </row>
    <row r="607" customHeight="1" spans="1:34">
      <c r="A607" s="12" t="s">
        <v>1043</v>
      </c>
      <c r="F607" s="24">
        <f t="shared" si="226"/>
        <v>0</v>
      </c>
      <c r="G607" s="24" t="e">
        <f t="shared" si="225"/>
        <v>#DIV/0!</v>
      </c>
      <c r="Q607" s="29" t="str">
        <f t="shared" si="227"/>
        <v>NA</v>
      </c>
      <c r="R607" s="29" t="str">
        <f t="shared" si="228"/>
        <v>NA</v>
      </c>
      <c r="S607" s="29" t="str">
        <f t="shared" si="229"/>
        <v>NA</v>
      </c>
      <c r="T607" s="29" t="str">
        <f t="shared" si="230"/>
        <v>NA</v>
      </c>
      <c r="U607" s="29" t="str">
        <f t="shared" si="231"/>
        <v>NA</v>
      </c>
      <c r="V607" s="29" t="str">
        <f t="shared" si="232"/>
        <v>NA</v>
      </c>
      <c r="W607" s="29" t="str">
        <f t="shared" si="233"/>
        <v>NA</v>
      </c>
      <c r="X607" s="29" t="str">
        <f t="shared" si="234"/>
        <v>NA</v>
      </c>
      <c r="Y607" s="29" t="str">
        <f t="shared" si="235"/>
        <v>NA</v>
      </c>
      <c r="Z607" s="29" t="str">
        <f t="shared" si="236"/>
        <v>NA</v>
      </c>
      <c r="AA607" s="29" t="str">
        <f t="shared" si="237"/>
        <v>NA</v>
      </c>
      <c r="AB607" s="29" t="str">
        <f t="shared" si="238"/>
        <v>NA</v>
      </c>
      <c r="AC607" s="29" t="str">
        <f t="shared" si="239"/>
        <v>NA</v>
      </c>
      <c r="AD607" s="29" t="str">
        <f t="shared" si="240"/>
        <v>NA</v>
      </c>
      <c r="AE607" s="29" t="str">
        <f t="shared" si="241"/>
        <v>NA</v>
      </c>
      <c r="AF607" s="29" t="str">
        <f t="shared" si="242"/>
        <v>NA</v>
      </c>
      <c r="AG607" s="29" t="str">
        <f t="shared" si="243"/>
        <v>NA</v>
      </c>
      <c r="AH607" s="29" t="str">
        <f t="shared" si="244"/>
        <v>NA</v>
      </c>
    </row>
    <row r="608" customHeight="1" spans="1:34">
      <c r="A608" s="12" t="s">
        <v>1043</v>
      </c>
      <c r="F608" s="24">
        <f t="shared" si="226"/>
        <v>0</v>
      </c>
      <c r="G608" s="24" t="e">
        <f t="shared" si="225"/>
        <v>#DIV/0!</v>
      </c>
      <c r="Q608" s="29" t="str">
        <f t="shared" si="227"/>
        <v>NA</v>
      </c>
      <c r="R608" s="29" t="str">
        <f t="shared" si="228"/>
        <v>NA</v>
      </c>
      <c r="S608" s="29" t="str">
        <f t="shared" si="229"/>
        <v>NA</v>
      </c>
      <c r="T608" s="29" t="str">
        <f t="shared" si="230"/>
        <v>NA</v>
      </c>
      <c r="U608" s="29" t="str">
        <f t="shared" si="231"/>
        <v>NA</v>
      </c>
      <c r="V608" s="29" t="str">
        <f t="shared" si="232"/>
        <v>NA</v>
      </c>
      <c r="W608" s="29" t="str">
        <f t="shared" si="233"/>
        <v>NA</v>
      </c>
      <c r="X608" s="29" t="str">
        <f t="shared" si="234"/>
        <v>NA</v>
      </c>
      <c r="Y608" s="29" t="str">
        <f t="shared" si="235"/>
        <v>NA</v>
      </c>
      <c r="Z608" s="29" t="str">
        <f t="shared" si="236"/>
        <v>NA</v>
      </c>
      <c r="AA608" s="29" t="str">
        <f t="shared" si="237"/>
        <v>NA</v>
      </c>
      <c r="AB608" s="29" t="str">
        <f t="shared" si="238"/>
        <v>NA</v>
      </c>
      <c r="AC608" s="29" t="str">
        <f t="shared" si="239"/>
        <v>NA</v>
      </c>
      <c r="AD608" s="29" t="str">
        <f t="shared" si="240"/>
        <v>NA</v>
      </c>
      <c r="AE608" s="29" t="str">
        <f t="shared" si="241"/>
        <v>NA</v>
      </c>
      <c r="AF608" s="29" t="str">
        <f t="shared" si="242"/>
        <v>NA</v>
      </c>
      <c r="AG608" s="29" t="str">
        <f t="shared" si="243"/>
        <v>NA</v>
      </c>
      <c r="AH608" s="29" t="str">
        <f t="shared" si="244"/>
        <v>NA</v>
      </c>
    </row>
    <row r="609" customHeight="1" spans="1:34">
      <c r="A609" s="12" t="s">
        <v>1043</v>
      </c>
      <c r="F609" s="24">
        <f t="shared" si="226"/>
        <v>0</v>
      </c>
      <c r="G609" s="24" t="e">
        <f t="shared" si="225"/>
        <v>#DIV/0!</v>
      </c>
      <c r="Q609" s="29" t="str">
        <f t="shared" si="227"/>
        <v>NA</v>
      </c>
      <c r="R609" s="29" t="str">
        <f t="shared" si="228"/>
        <v>NA</v>
      </c>
      <c r="S609" s="29" t="str">
        <f t="shared" si="229"/>
        <v>NA</v>
      </c>
      <c r="T609" s="29" t="str">
        <f t="shared" si="230"/>
        <v>NA</v>
      </c>
      <c r="U609" s="29" t="str">
        <f t="shared" si="231"/>
        <v>NA</v>
      </c>
      <c r="V609" s="29" t="str">
        <f t="shared" si="232"/>
        <v>NA</v>
      </c>
      <c r="W609" s="29" t="str">
        <f t="shared" si="233"/>
        <v>NA</v>
      </c>
      <c r="X609" s="29" t="str">
        <f t="shared" si="234"/>
        <v>NA</v>
      </c>
      <c r="Y609" s="29" t="str">
        <f t="shared" si="235"/>
        <v>NA</v>
      </c>
      <c r="Z609" s="29" t="str">
        <f t="shared" si="236"/>
        <v>NA</v>
      </c>
      <c r="AA609" s="29" t="str">
        <f t="shared" si="237"/>
        <v>NA</v>
      </c>
      <c r="AB609" s="29" t="str">
        <f t="shared" si="238"/>
        <v>NA</v>
      </c>
      <c r="AC609" s="29" t="str">
        <f t="shared" si="239"/>
        <v>NA</v>
      </c>
      <c r="AD609" s="29" t="str">
        <f t="shared" si="240"/>
        <v>NA</v>
      </c>
      <c r="AE609" s="29" t="str">
        <f t="shared" si="241"/>
        <v>NA</v>
      </c>
      <c r="AF609" s="29" t="str">
        <f t="shared" si="242"/>
        <v>NA</v>
      </c>
      <c r="AG609" s="29" t="str">
        <f t="shared" si="243"/>
        <v>NA</v>
      </c>
      <c r="AH609" s="29" t="str">
        <f t="shared" si="244"/>
        <v>NA</v>
      </c>
    </row>
    <row r="610" customHeight="1" spans="1:34">
      <c r="A610" s="12" t="s">
        <v>1043</v>
      </c>
      <c r="F610" s="24">
        <f t="shared" si="226"/>
        <v>0</v>
      </c>
      <c r="G610" s="24" t="e">
        <f t="shared" si="225"/>
        <v>#DIV/0!</v>
      </c>
      <c r="Q610" s="29" t="str">
        <f t="shared" si="227"/>
        <v>NA</v>
      </c>
      <c r="R610" s="29" t="str">
        <f t="shared" si="228"/>
        <v>NA</v>
      </c>
      <c r="S610" s="29" t="str">
        <f t="shared" si="229"/>
        <v>NA</v>
      </c>
      <c r="T610" s="29" t="str">
        <f t="shared" si="230"/>
        <v>NA</v>
      </c>
      <c r="U610" s="29" t="str">
        <f t="shared" si="231"/>
        <v>NA</v>
      </c>
      <c r="V610" s="29" t="str">
        <f t="shared" si="232"/>
        <v>NA</v>
      </c>
      <c r="W610" s="29" t="str">
        <f t="shared" si="233"/>
        <v>NA</v>
      </c>
      <c r="X610" s="29" t="str">
        <f t="shared" si="234"/>
        <v>NA</v>
      </c>
      <c r="Y610" s="29" t="str">
        <f t="shared" si="235"/>
        <v>NA</v>
      </c>
      <c r="Z610" s="29" t="str">
        <f t="shared" si="236"/>
        <v>NA</v>
      </c>
      <c r="AA610" s="29" t="str">
        <f t="shared" si="237"/>
        <v>NA</v>
      </c>
      <c r="AB610" s="29" t="str">
        <f t="shared" si="238"/>
        <v>NA</v>
      </c>
      <c r="AC610" s="29" t="str">
        <f t="shared" si="239"/>
        <v>NA</v>
      </c>
      <c r="AD610" s="29" t="str">
        <f t="shared" si="240"/>
        <v>NA</v>
      </c>
      <c r="AE610" s="29" t="str">
        <f t="shared" si="241"/>
        <v>NA</v>
      </c>
      <c r="AF610" s="29" t="str">
        <f t="shared" si="242"/>
        <v>NA</v>
      </c>
      <c r="AG610" s="29" t="str">
        <f t="shared" si="243"/>
        <v>NA</v>
      </c>
      <c r="AH610" s="29" t="str">
        <f t="shared" si="244"/>
        <v>NA</v>
      </c>
    </row>
    <row r="611" customHeight="1" spans="1:34">
      <c r="A611" s="12" t="s">
        <v>1043</v>
      </c>
      <c r="F611" s="24">
        <f t="shared" si="226"/>
        <v>0</v>
      </c>
      <c r="G611" s="24" t="e">
        <f t="shared" si="225"/>
        <v>#DIV/0!</v>
      </c>
      <c r="Q611" s="29" t="str">
        <f t="shared" si="227"/>
        <v>NA</v>
      </c>
      <c r="R611" s="29" t="str">
        <f t="shared" si="228"/>
        <v>NA</v>
      </c>
      <c r="S611" s="29" t="str">
        <f t="shared" si="229"/>
        <v>NA</v>
      </c>
      <c r="T611" s="29" t="str">
        <f t="shared" si="230"/>
        <v>NA</v>
      </c>
      <c r="U611" s="29" t="str">
        <f t="shared" si="231"/>
        <v>NA</v>
      </c>
      <c r="V611" s="29" t="str">
        <f t="shared" si="232"/>
        <v>NA</v>
      </c>
      <c r="W611" s="29" t="str">
        <f t="shared" si="233"/>
        <v>NA</v>
      </c>
      <c r="X611" s="29" t="str">
        <f t="shared" si="234"/>
        <v>NA</v>
      </c>
      <c r="Y611" s="29" t="str">
        <f t="shared" si="235"/>
        <v>NA</v>
      </c>
      <c r="Z611" s="29" t="str">
        <f t="shared" si="236"/>
        <v>NA</v>
      </c>
      <c r="AA611" s="29" t="str">
        <f t="shared" si="237"/>
        <v>NA</v>
      </c>
      <c r="AB611" s="29" t="str">
        <f t="shared" si="238"/>
        <v>NA</v>
      </c>
      <c r="AC611" s="29" t="str">
        <f t="shared" si="239"/>
        <v>NA</v>
      </c>
      <c r="AD611" s="29" t="str">
        <f t="shared" si="240"/>
        <v>NA</v>
      </c>
      <c r="AE611" s="29" t="str">
        <f t="shared" si="241"/>
        <v>NA</v>
      </c>
      <c r="AF611" s="29" t="str">
        <f t="shared" si="242"/>
        <v>NA</v>
      </c>
      <c r="AG611" s="29" t="str">
        <f t="shared" si="243"/>
        <v>NA</v>
      </c>
      <c r="AH611" s="29" t="str">
        <f t="shared" si="244"/>
        <v>NA</v>
      </c>
    </row>
    <row r="612" customHeight="1" spans="1:34">
      <c r="A612" s="12" t="s">
        <v>1043</v>
      </c>
      <c r="F612" s="24">
        <f t="shared" si="226"/>
        <v>0</v>
      </c>
      <c r="G612" s="24" t="e">
        <f t="shared" si="225"/>
        <v>#DIV/0!</v>
      </c>
      <c r="Q612" s="29" t="str">
        <f t="shared" si="227"/>
        <v>NA</v>
      </c>
      <c r="R612" s="29" t="str">
        <f t="shared" si="228"/>
        <v>NA</v>
      </c>
      <c r="S612" s="29" t="str">
        <f t="shared" si="229"/>
        <v>NA</v>
      </c>
      <c r="T612" s="29" t="str">
        <f t="shared" si="230"/>
        <v>NA</v>
      </c>
      <c r="U612" s="29" t="str">
        <f t="shared" si="231"/>
        <v>NA</v>
      </c>
      <c r="V612" s="29" t="str">
        <f t="shared" si="232"/>
        <v>NA</v>
      </c>
      <c r="W612" s="29" t="str">
        <f t="shared" si="233"/>
        <v>NA</v>
      </c>
      <c r="X612" s="29" t="str">
        <f t="shared" si="234"/>
        <v>NA</v>
      </c>
      <c r="Y612" s="29" t="str">
        <f t="shared" si="235"/>
        <v>NA</v>
      </c>
      <c r="Z612" s="29" t="str">
        <f t="shared" si="236"/>
        <v>NA</v>
      </c>
      <c r="AA612" s="29" t="str">
        <f t="shared" si="237"/>
        <v>NA</v>
      </c>
      <c r="AB612" s="29" t="str">
        <f t="shared" si="238"/>
        <v>NA</v>
      </c>
      <c r="AC612" s="29" t="str">
        <f t="shared" si="239"/>
        <v>NA</v>
      </c>
      <c r="AD612" s="29" t="str">
        <f t="shared" si="240"/>
        <v>NA</v>
      </c>
      <c r="AE612" s="29" t="str">
        <f t="shared" si="241"/>
        <v>NA</v>
      </c>
      <c r="AF612" s="29" t="str">
        <f t="shared" si="242"/>
        <v>NA</v>
      </c>
      <c r="AG612" s="29" t="str">
        <f t="shared" si="243"/>
        <v>NA</v>
      </c>
      <c r="AH612" s="29" t="str">
        <f t="shared" si="244"/>
        <v>NA</v>
      </c>
    </row>
    <row r="613" customHeight="1" spans="1:34">
      <c r="A613" s="12" t="s">
        <v>1043</v>
      </c>
      <c r="F613" s="24">
        <f t="shared" si="226"/>
        <v>0</v>
      </c>
      <c r="G613" s="24" t="e">
        <f t="shared" si="225"/>
        <v>#DIV/0!</v>
      </c>
      <c r="Q613" s="29" t="str">
        <f t="shared" si="227"/>
        <v>NA</v>
      </c>
      <c r="R613" s="29" t="str">
        <f t="shared" si="228"/>
        <v>NA</v>
      </c>
      <c r="S613" s="29" t="str">
        <f t="shared" si="229"/>
        <v>NA</v>
      </c>
      <c r="T613" s="29" t="str">
        <f t="shared" si="230"/>
        <v>NA</v>
      </c>
      <c r="U613" s="29" t="str">
        <f t="shared" si="231"/>
        <v>NA</v>
      </c>
      <c r="V613" s="29" t="str">
        <f t="shared" si="232"/>
        <v>NA</v>
      </c>
      <c r="W613" s="29" t="str">
        <f t="shared" si="233"/>
        <v>NA</v>
      </c>
      <c r="X613" s="29" t="str">
        <f t="shared" si="234"/>
        <v>NA</v>
      </c>
      <c r="Y613" s="29" t="str">
        <f t="shared" si="235"/>
        <v>NA</v>
      </c>
      <c r="Z613" s="29" t="str">
        <f t="shared" si="236"/>
        <v>NA</v>
      </c>
      <c r="AA613" s="29" t="str">
        <f t="shared" si="237"/>
        <v>NA</v>
      </c>
      <c r="AB613" s="29" t="str">
        <f t="shared" si="238"/>
        <v>NA</v>
      </c>
      <c r="AC613" s="29" t="str">
        <f t="shared" si="239"/>
        <v>NA</v>
      </c>
      <c r="AD613" s="29" t="str">
        <f t="shared" si="240"/>
        <v>NA</v>
      </c>
      <c r="AE613" s="29" t="str">
        <f t="shared" si="241"/>
        <v>NA</v>
      </c>
      <c r="AF613" s="29" t="str">
        <f t="shared" si="242"/>
        <v>NA</v>
      </c>
      <c r="AG613" s="29" t="str">
        <f t="shared" si="243"/>
        <v>NA</v>
      </c>
      <c r="AH613" s="29" t="str">
        <f t="shared" si="244"/>
        <v>NA</v>
      </c>
    </row>
    <row r="614" customHeight="1" spans="1:34">
      <c r="A614" s="12" t="s">
        <v>1043</v>
      </c>
      <c r="F614" s="24">
        <f t="shared" si="226"/>
        <v>0</v>
      </c>
      <c r="G614" s="24" t="e">
        <f t="shared" si="225"/>
        <v>#DIV/0!</v>
      </c>
      <c r="Q614" s="29" t="str">
        <f t="shared" si="227"/>
        <v>NA</v>
      </c>
      <c r="R614" s="29" t="str">
        <f t="shared" si="228"/>
        <v>NA</v>
      </c>
      <c r="S614" s="29" t="str">
        <f t="shared" si="229"/>
        <v>NA</v>
      </c>
      <c r="T614" s="29" t="str">
        <f t="shared" si="230"/>
        <v>NA</v>
      </c>
      <c r="U614" s="29" t="str">
        <f t="shared" si="231"/>
        <v>NA</v>
      </c>
      <c r="V614" s="29" t="str">
        <f t="shared" si="232"/>
        <v>NA</v>
      </c>
      <c r="W614" s="29" t="str">
        <f t="shared" si="233"/>
        <v>NA</v>
      </c>
      <c r="X614" s="29" t="str">
        <f t="shared" si="234"/>
        <v>NA</v>
      </c>
      <c r="Y614" s="29" t="str">
        <f t="shared" si="235"/>
        <v>NA</v>
      </c>
      <c r="Z614" s="29" t="str">
        <f t="shared" si="236"/>
        <v>NA</v>
      </c>
      <c r="AA614" s="29" t="str">
        <f t="shared" si="237"/>
        <v>NA</v>
      </c>
      <c r="AB614" s="29" t="str">
        <f t="shared" si="238"/>
        <v>NA</v>
      </c>
      <c r="AC614" s="29" t="str">
        <f t="shared" si="239"/>
        <v>NA</v>
      </c>
      <c r="AD614" s="29" t="str">
        <f t="shared" si="240"/>
        <v>NA</v>
      </c>
      <c r="AE614" s="29" t="str">
        <f t="shared" si="241"/>
        <v>NA</v>
      </c>
      <c r="AF614" s="29" t="str">
        <f t="shared" si="242"/>
        <v>NA</v>
      </c>
      <c r="AG614" s="29" t="str">
        <f t="shared" si="243"/>
        <v>NA</v>
      </c>
      <c r="AH614" s="29" t="str">
        <f t="shared" si="244"/>
        <v>NA</v>
      </c>
    </row>
    <row r="615" customHeight="1" spans="1:34">
      <c r="A615" s="12" t="s">
        <v>1043</v>
      </c>
      <c r="F615" s="24">
        <f t="shared" si="226"/>
        <v>0</v>
      </c>
      <c r="G615" s="24" t="e">
        <f t="shared" si="225"/>
        <v>#DIV/0!</v>
      </c>
      <c r="Q615" s="29" t="str">
        <f t="shared" si="227"/>
        <v>NA</v>
      </c>
      <c r="R615" s="29" t="str">
        <f t="shared" si="228"/>
        <v>NA</v>
      </c>
      <c r="S615" s="29" t="str">
        <f t="shared" si="229"/>
        <v>NA</v>
      </c>
      <c r="T615" s="29" t="str">
        <f t="shared" si="230"/>
        <v>NA</v>
      </c>
      <c r="U615" s="29" t="str">
        <f t="shared" si="231"/>
        <v>NA</v>
      </c>
      <c r="V615" s="29" t="str">
        <f t="shared" si="232"/>
        <v>NA</v>
      </c>
      <c r="W615" s="29" t="str">
        <f t="shared" si="233"/>
        <v>NA</v>
      </c>
      <c r="X615" s="29" t="str">
        <f t="shared" si="234"/>
        <v>NA</v>
      </c>
      <c r="Y615" s="29" t="str">
        <f t="shared" si="235"/>
        <v>NA</v>
      </c>
      <c r="Z615" s="29" t="str">
        <f t="shared" si="236"/>
        <v>NA</v>
      </c>
      <c r="AA615" s="29" t="str">
        <f t="shared" si="237"/>
        <v>NA</v>
      </c>
      <c r="AB615" s="29" t="str">
        <f t="shared" si="238"/>
        <v>NA</v>
      </c>
      <c r="AC615" s="29" t="str">
        <f t="shared" si="239"/>
        <v>NA</v>
      </c>
      <c r="AD615" s="29" t="str">
        <f t="shared" si="240"/>
        <v>NA</v>
      </c>
      <c r="AE615" s="29" t="str">
        <f t="shared" si="241"/>
        <v>NA</v>
      </c>
      <c r="AF615" s="29" t="str">
        <f t="shared" si="242"/>
        <v>NA</v>
      </c>
      <c r="AG615" s="29" t="str">
        <f t="shared" si="243"/>
        <v>NA</v>
      </c>
      <c r="AH615" s="29" t="str">
        <f t="shared" si="244"/>
        <v>NA</v>
      </c>
    </row>
    <row r="616" customHeight="1" spans="1:34">
      <c r="A616" s="12" t="s">
        <v>1043</v>
      </c>
      <c r="F616" s="24">
        <f t="shared" si="226"/>
        <v>0</v>
      </c>
      <c r="G616" s="24" t="e">
        <f t="shared" si="225"/>
        <v>#DIV/0!</v>
      </c>
      <c r="Q616" s="29" t="str">
        <f t="shared" si="227"/>
        <v>NA</v>
      </c>
      <c r="R616" s="29" t="str">
        <f t="shared" si="228"/>
        <v>NA</v>
      </c>
      <c r="S616" s="29" t="str">
        <f t="shared" si="229"/>
        <v>NA</v>
      </c>
      <c r="T616" s="29" t="str">
        <f t="shared" si="230"/>
        <v>NA</v>
      </c>
      <c r="U616" s="29" t="str">
        <f t="shared" si="231"/>
        <v>NA</v>
      </c>
      <c r="V616" s="29" t="str">
        <f t="shared" si="232"/>
        <v>NA</v>
      </c>
      <c r="W616" s="29" t="str">
        <f t="shared" si="233"/>
        <v>NA</v>
      </c>
      <c r="X616" s="29" t="str">
        <f t="shared" si="234"/>
        <v>NA</v>
      </c>
      <c r="Y616" s="29" t="str">
        <f t="shared" si="235"/>
        <v>NA</v>
      </c>
      <c r="Z616" s="29" t="str">
        <f t="shared" si="236"/>
        <v>NA</v>
      </c>
      <c r="AA616" s="29" t="str">
        <f t="shared" si="237"/>
        <v>NA</v>
      </c>
      <c r="AB616" s="29" t="str">
        <f t="shared" si="238"/>
        <v>NA</v>
      </c>
      <c r="AC616" s="29" t="str">
        <f t="shared" si="239"/>
        <v>NA</v>
      </c>
      <c r="AD616" s="29" t="str">
        <f t="shared" si="240"/>
        <v>NA</v>
      </c>
      <c r="AE616" s="29" t="str">
        <f t="shared" si="241"/>
        <v>NA</v>
      </c>
      <c r="AF616" s="29" t="str">
        <f t="shared" si="242"/>
        <v>NA</v>
      </c>
      <c r="AG616" s="29" t="str">
        <f t="shared" si="243"/>
        <v>NA</v>
      </c>
      <c r="AH616" s="29" t="str">
        <f t="shared" si="244"/>
        <v>NA</v>
      </c>
    </row>
    <row r="617" customHeight="1" spans="1:34">
      <c r="A617" s="12" t="s">
        <v>1043</v>
      </c>
      <c r="F617" s="24">
        <f t="shared" si="226"/>
        <v>0</v>
      </c>
      <c r="G617" s="24" t="e">
        <f t="shared" si="225"/>
        <v>#DIV/0!</v>
      </c>
      <c r="Q617" s="29" t="str">
        <f t="shared" si="227"/>
        <v>NA</v>
      </c>
      <c r="R617" s="29" t="str">
        <f t="shared" si="228"/>
        <v>NA</v>
      </c>
      <c r="S617" s="29" t="str">
        <f t="shared" si="229"/>
        <v>NA</v>
      </c>
      <c r="T617" s="29" t="str">
        <f t="shared" si="230"/>
        <v>NA</v>
      </c>
      <c r="U617" s="29" t="str">
        <f t="shared" si="231"/>
        <v>NA</v>
      </c>
      <c r="V617" s="29" t="str">
        <f t="shared" si="232"/>
        <v>NA</v>
      </c>
      <c r="W617" s="29" t="str">
        <f t="shared" si="233"/>
        <v>NA</v>
      </c>
      <c r="X617" s="29" t="str">
        <f t="shared" si="234"/>
        <v>NA</v>
      </c>
      <c r="Y617" s="29" t="str">
        <f t="shared" si="235"/>
        <v>NA</v>
      </c>
      <c r="Z617" s="29" t="str">
        <f t="shared" si="236"/>
        <v>NA</v>
      </c>
      <c r="AA617" s="29" t="str">
        <f t="shared" si="237"/>
        <v>NA</v>
      </c>
      <c r="AB617" s="29" t="str">
        <f t="shared" si="238"/>
        <v>NA</v>
      </c>
      <c r="AC617" s="29" t="str">
        <f t="shared" si="239"/>
        <v>NA</v>
      </c>
      <c r="AD617" s="29" t="str">
        <f t="shared" si="240"/>
        <v>NA</v>
      </c>
      <c r="AE617" s="29" t="str">
        <f t="shared" si="241"/>
        <v>NA</v>
      </c>
      <c r="AF617" s="29" t="str">
        <f t="shared" si="242"/>
        <v>NA</v>
      </c>
      <c r="AG617" s="29" t="str">
        <f t="shared" si="243"/>
        <v>NA</v>
      </c>
      <c r="AH617" s="29" t="str">
        <f t="shared" si="244"/>
        <v>NA</v>
      </c>
    </row>
    <row r="618" customHeight="1" spans="1:34">
      <c r="A618" s="12" t="s">
        <v>1043</v>
      </c>
      <c r="F618" s="24">
        <f t="shared" si="226"/>
        <v>0</v>
      </c>
      <c r="G618" s="24" t="e">
        <f t="shared" si="225"/>
        <v>#DIV/0!</v>
      </c>
      <c r="Q618" s="29" t="str">
        <f t="shared" si="227"/>
        <v>NA</v>
      </c>
      <c r="R618" s="29" t="str">
        <f t="shared" si="228"/>
        <v>NA</v>
      </c>
      <c r="S618" s="29" t="str">
        <f t="shared" si="229"/>
        <v>NA</v>
      </c>
      <c r="T618" s="29" t="str">
        <f t="shared" si="230"/>
        <v>NA</v>
      </c>
      <c r="U618" s="29" t="str">
        <f t="shared" si="231"/>
        <v>NA</v>
      </c>
      <c r="V618" s="29" t="str">
        <f t="shared" si="232"/>
        <v>NA</v>
      </c>
      <c r="W618" s="29" t="str">
        <f t="shared" si="233"/>
        <v>NA</v>
      </c>
      <c r="X618" s="29" t="str">
        <f t="shared" si="234"/>
        <v>NA</v>
      </c>
      <c r="Y618" s="29" t="str">
        <f t="shared" si="235"/>
        <v>NA</v>
      </c>
      <c r="Z618" s="29" t="str">
        <f t="shared" si="236"/>
        <v>NA</v>
      </c>
      <c r="AA618" s="29" t="str">
        <f t="shared" si="237"/>
        <v>NA</v>
      </c>
      <c r="AB618" s="29" t="str">
        <f t="shared" si="238"/>
        <v>NA</v>
      </c>
      <c r="AC618" s="29" t="str">
        <f t="shared" si="239"/>
        <v>NA</v>
      </c>
      <c r="AD618" s="29" t="str">
        <f t="shared" si="240"/>
        <v>NA</v>
      </c>
      <c r="AE618" s="29" t="str">
        <f t="shared" si="241"/>
        <v>NA</v>
      </c>
      <c r="AF618" s="29" t="str">
        <f t="shared" si="242"/>
        <v>NA</v>
      </c>
      <c r="AG618" s="29" t="str">
        <f t="shared" si="243"/>
        <v>NA</v>
      </c>
      <c r="AH618" s="29" t="str">
        <f t="shared" si="244"/>
        <v>NA</v>
      </c>
    </row>
    <row r="619" customHeight="1" spans="1:34">
      <c r="A619" s="12" t="s">
        <v>1043</v>
      </c>
      <c r="F619" s="24">
        <f t="shared" si="226"/>
        <v>0</v>
      </c>
      <c r="G619" s="24" t="e">
        <f t="shared" si="225"/>
        <v>#DIV/0!</v>
      </c>
      <c r="Q619" s="29" t="str">
        <f t="shared" si="227"/>
        <v>NA</v>
      </c>
      <c r="R619" s="29" t="str">
        <f t="shared" si="228"/>
        <v>NA</v>
      </c>
      <c r="S619" s="29" t="str">
        <f t="shared" si="229"/>
        <v>NA</v>
      </c>
      <c r="T619" s="29" t="str">
        <f t="shared" si="230"/>
        <v>NA</v>
      </c>
      <c r="U619" s="29" t="str">
        <f t="shared" si="231"/>
        <v>NA</v>
      </c>
      <c r="V619" s="29" t="str">
        <f t="shared" si="232"/>
        <v>NA</v>
      </c>
      <c r="W619" s="29" t="str">
        <f t="shared" si="233"/>
        <v>NA</v>
      </c>
      <c r="X619" s="29" t="str">
        <f t="shared" si="234"/>
        <v>NA</v>
      </c>
      <c r="Y619" s="29" t="str">
        <f t="shared" si="235"/>
        <v>NA</v>
      </c>
      <c r="Z619" s="29" t="str">
        <f t="shared" si="236"/>
        <v>NA</v>
      </c>
      <c r="AA619" s="29" t="str">
        <f t="shared" si="237"/>
        <v>NA</v>
      </c>
      <c r="AB619" s="29" t="str">
        <f t="shared" si="238"/>
        <v>NA</v>
      </c>
      <c r="AC619" s="29" t="str">
        <f t="shared" si="239"/>
        <v>NA</v>
      </c>
      <c r="AD619" s="29" t="str">
        <f t="shared" si="240"/>
        <v>NA</v>
      </c>
      <c r="AE619" s="29" t="str">
        <f t="shared" si="241"/>
        <v>NA</v>
      </c>
      <c r="AF619" s="29" t="str">
        <f t="shared" si="242"/>
        <v>NA</v>
      </c>
      <c r="AG619" s="29" t="str">
        <f t="shared" si="243"/>
        <v>NA</v>
      </c>
      <c r="AH619" s="29" t="str">
        <f t="shared" si="244"/>
        <v>NA</v>
      </c>
    </row>
    <row r="620" customHeight="1" spans="1:34">
      <c r="A620" s="12" t="s">
        <v>1043</v>
      </c>
      <c r="F620" s="24">
        <f t="shared" si="226"/>
        <v>0</v>
      </c>
      <c r="G620" s="24" t="e">
        <f t="shared" si="225"/>
        <v>#DIV/0!</v>
      </c>
      <c r="Q620" s="29" t="str">
        <f t="shared" si="227"/>
        <v>NA</v>
      </c>
      <c r="R620" s="29" t="str">
        <f t="shared" si="228"/>
        <v>NA</v>
      </c>
      <c r="S620" s="29" t="str">
        <f t="shared" si="229"/>
        <v>NA</v>
      </c>
      <c r="T620" s="29" t="str">
        <f t="shared" si="230"/>
        <v>NA</v>
      </c>
      <c r="U620" s="29" t="str">
        <f t="shared" si="231"/>
        <v>NA</v>
      </c>
      <c r="V620" s="29" t="str">
        <f t="shared" si="232"/>
        <v>NA</v>
      </c>
      <c r="W620" s="29" t="str">
        <f t="shared" si="233"/>
        <v>NA</v>
      </c>
      <c r="X620" s="29" t="str">
        <f t="shared" si="234"/>
        <v>NA</v>
      </c>
      <c r="Y620" s="29" t="str">
        <f t="shared" si="235"/>
        <v>NA</v>
      </c>
      <c r="Z620" s="29" t="str">
        <f t="shared" si="236"/>
        <v>NA</v>
      </c>
      <c r="AA620" s="29" t="str">
        <f t="shared" si="237"/>
        <v>NA</v>
      </c>
      <c r="AB620" s="29" t="str">
        <f t="shared" si="238"/>
        <v>NA</v>
      </c>
      <c r="AC620" s="29" t="str">
        <f t="shared" si="239"/>
        <v>NA</v>
      </c>
      <c r="AD620" s="29" t="str">
        <f t="shared" si="240"/>
        <v>NA</v>
      </c>
      <c r="AE620" s="29" t="str">
        <f t="shared" si="241"/>
        <v>NA</v>
      </c>
      <c r="AF620" s="29" t="str">
        <f t="shared" si="242"/>
        <v>NA</v>
      </c>
      <c r="AG620" s="29" t="str">
        <f t="shared" si="243"/>
        <v>NA</v>
      </c>
      <c r="AH620" s="29" t="str">
        <f t="shared" si="244"/>
        <v>NA</v>
      </c>
    </row>
    <row r="621" customHeight="1" spans="1:34">
      <c r="A621" s="12" t="s">
        <v>1043</v>
      </c>
      <c r="F621" s="24">
        <f t="shared" si="226"/>
        <v>0</v>
      </c>
      <c r="G621" s="24" t="e">
        <f t="shared" si="225"/>
        <v>#DIV/0!</v>
      </c>
      <c r="Q621" s="29" t="str">
        <f t="shared" si="227"/>
        <v>NA</v>
      </c>
      <c r="R621" s="29" t="str">
        <f t="shared" si="228"/>
        <v>NA</v>
      </c>
      <c r="S621" s="29" t="str">
        <f t="shared" si="229"/>
        <v>NA</v>
      </c>
      <c r="T621" s="29" t="str">
        <f t="shared" si="230"/>
        <v>NA</v>
      </c>
      <c r="U621" s="29" t="str">
        <f t="shared" si="231"/>
        <v>NA</v>
      </c>
      <c r="V621" s="29" t="str">
        <f t="shared" si="232"/>
        <v>NA</v>
      </c>
      <c r="W621" s="29" t="str">
        <f t="shared" si="233"/>
        <v>NA</v>
      </c>
      <c r="X621" s="29" t="str">
        <f t="shared" si="234"/>
        <v>NA</v>
      </c>
      <c r="Y621" s="29" t="str">
        <f t="shared" si="235"/>
        <v>NA</v>
      </c>
      <c r="Z621" s="29" t="str">
        <f t="shared" si="236"/>
        <v>NA</v>
      </c>
      <c r="AA621" s="29" t="str">
        <f t="shared" si="237"/>
        <v>NA</v>
      </c>
      <c r="AB621" s="29" t="str">
        <f t="shared" si="238"/>
        <v>NA</v>
      </c>
      <c r="AC621" s="29" t="str">
        <f t="shared" si="239"/>
        <v>NA</v>
      </c>
      <c r="AD621" s="29" t="str">
        <f t="shared" si="240"/>
        <v>NA</v>
      </c>
      <c r="AE621" s="29" t="str">
        <f t="shared" si="241"/>
        <v>NA</v>
      </c>
      <c r="AF621" s="29" t="str">
        <f t="shared" si="242"/>
        <v>NA</v>
      </c>
      <c r="AG621" s="29" t="str">
        <f t="shared" si="243"/>
        <v>NA</v>
      </c>
      <c r="AH621" s="29" t="str">
        <f t="shared" si="244"/>
        <v>NA</v>
      </c>
    </row>
    <row r="622" customHeight="1" spans="1:34">
      <c r="A622" s="12" t="s">
        <v>1043</v>
      </c>
      <c r="F622" s="24">
        <f t="shared" si="226"/>
        <v>0</v>
      </c>
      <c r="G622" s="24" t="e">
        <f t="shared" si="225"/>
        <v>#DIV/0!</v>
      </c>
      <c r="Q622" s="29" t="str">
        <f t="shared" si="227"/>
        <v>NA</v>
      </c>
      <c r="R622" s="29" t="str">
        <f t="shared" si="228"/>
        <v>NA</v>
      </c>
      <c r="S622" s="29" t="str">
        <f t="shared" si="229"/>
        <v>NA</v>
      </c>
      <c r="T622" s="29" t="str">
        <f t="shared" si="230"/>
        <v>NA</v>
      </c>
      <c r="U622" s="29" t="str">
        <f t="shared" si="231"/>
        <v>NA</v>
      </c>
      <c r="V622" s="29" t="str">
        <f t="shared" si="232"/>
        <v>NA</v>
      </c>
      <c r="W622" s="29" t="str">
        <f t="shared" si="233"/>
        <v>NA</v>
      </c>
      <c r="X622" s="29" t="str">
        <f t="shared" si="234"/>
        <v>NA</v>
      </c>
      <c r="Y622" s="29" t="str">
        <f t="shared" si="235"/>
        <v>NA</v>
      </c>
      <c r="Z622" s="29" t="str">
        <f t="shared" si="236"/>
        <v>NA</v>
      </c>
      <c r="AA622" s="29" t="str">
        <f t="shared" si="237"/>
        <v>NA</v>
      </c>
      <c r="AB622" s="29" t="str">
        <f t="shared" si="238"/>
        <v>NA</v>
      </c>
      <c r="AC622" s="29" t="str">
        <f t="shared" si="239"/>
        <v>NA</v>
      </c>
      <c r="AD622" s="29" t="str">
        <f t="shared" si="240"/>
        <v>NA</v>
      </c>
      <c r="AE622" s="29" t="str">
        <f t="shared" si="241"/>
        <v>NA</v>
      </c>
      <c r="AF622" s="29" t="str">
        <f t="shared" si="242"/>
        <v>NA</v>
      </c>
      <c r="AG622" s="29" t="str">
        <f t="shared" si="243"/>
        <v>NA</v>
      </c>
      <c r="AH622" s="29" t="str">
        <f t="shared" si="244"/>
        <v>NA</v>
      </c>
    </row>
    <row r="623" customHeight="1" spans="1:34">
      <c r="A623" s="12" t="s">
        <v>1043</v>
      </c>
      <c r="F623" s="24">
        <f t="shared" si="226"/>
        <v>0</v>
      </c>
      <c r="G623" s="24" t="e">
        <f t="shared" si="225"/>
        <v>#DIV/0!</v>
      </c>
      <c r="Q623" s="29" t="str">
        <f t="shared" si="227"/>
        <v>NA</v>
      </c>
      <c r="R623" s="29" t="str">
        <f t="shared" si="228"/>
        <v>NA</v>
      </c>
      <c r="S623" s="29" t="str">
        <f t="shared" si="229"/>
        <v>NA</v>
      </c>
      <c r="T623" s="29" t="str">
        <f t="shared" si="230"/>
        <v>NA</v>
      </c>
      <c r="U623" s="29" t="str">
        <f t="shared" si="231"/>
        <v>NA</v>
      </c>
      <c r="V623" s="29" t="str">
        <f t="shared" si="232"/>
        <v>NA</v>
      </c>
      <c r="W623" s="29" t="str">
        <f t="shared" si="233"/>
        <v>NA</v>
      </c>
      <c r="X623" s="29" t="str">
        <f t="shared" si="234"/>
        <v>NA</v>
      </c>
      <c r="Y623" s="29" t="str">
        <f t="shared" si="235"/>
        <v>NA</v>
      </c>
      <c r="Z623" s="29" t="str">
        <f t="shared" si="236"/>
        <v>NA</v>
      </c>
      <c r="AA623" s="29" t="str">
        <f t="shared" si="237"/>
        <v>NA</v>
      </c>
      <c r="AB623" s="29" t="str">
        <f t="shared" si="238"/>
        <v>NA</v>
      </c>
      <c r="AC623" s="29" t="str">
        <f t="shared" si="239"/>
        <v>NA</v>
      </c>
      <c r="AD623" s="29" t="str">
        <f t="shared" si="240"/>
        <v>NA</v>
      </c>
      <c r="AE623" s="29" t="str">
        <f t="shared" si="241"/>
        <v>NA</v>
      </c>
      <c r="AF623" s="29" t="str">
        <f t="shared" si="242"/>
        <v>NA</v>
      </c>
      <c r="AG623" s="29" t="str">
        <f t="shared" si="243"/>
        <v>NA</v>
      </c>
      <c r="AH623" s="29" t="str">
        <f t="shared" si="244"/>
        <v>NA</v>
      </c>
    </row>
    <row r="624" customHeight="1" spans="1:34">
      <c r="A624" s="12" t="s">
        <v>1043</v>
      </c>
      <c r="F624" s="24">
        <f t="shared" si="226"/>
        <v>0</v>
      </c>
      <c r="G624" s="24" t="e">
        <f t="shared" si="225"/>
        <v>#DIV/0!</v>
      </c>
      <c r="Q624" s="29" t="str">
        <f t="shared" si="227"/>
        <v>NA</v>
      </c>
      <c r="R624" s="29" t="str">
        <f t="shared" si="228"/>
        <v>NA</v>
      </c>
      <c r="S624" s="29" t="str">
        <f t="shared" si="229"/>
        <v>NA</v>
      </c>
      <c r="T624" s="29" t="str">
        <f t="shared" si="230"/>
        <v>NA</v>
      </c>
      <c r="U624" s="29" t="str">
        <f t="shared" si="231"/>
        <v>NA</v>
      </c>
      <c r="V624" s="29" t="str">
        <f t="shared" si="232"/>
        <v>NA</v>
      </c>
      <c r="W624" s="29" t="str">
        <f t="shared" si="233"/>
        <v>NA</v>
      </c>
      <c r="X624" s="29" t="str">
        <f t="shared" si="234"/>
        <v>NA</v>
      </c>
      <c r="Y624" s="29" t="str">
        <f t="shared" si="235"/>
        <v>NA</v>
      </c>
      <c r="Z624" s="29" t="str">
        <f t="shared" si="236"/>
        <v>NA</v>
      </c>
      <c r="AA624" s="29" t="str">
        <f t="shared" si="237"/>
        <v>NA</v>
      </c>
      <c r="AB624" s="29" t="str">
        <f t="shared" si="238"/>
        <v>NA</v>
      </c>
      <c r="AC624" s="29" t="str">
        <f t="shared" si="239"/>
        <v>NA</v>
      </c>
      <c r="AD624" s="29" t="str">
        <f t="shared" si="240"/>
        <v>NA</v>
      </c>
      <c r="AE624" s="29" t="str">
        <f t="shared" si="241"/>
        <v>NA</v>
      </c>
      <c r="AF624" s="29" t="str">
        <f t="shared" si="242"/>
        <v>NA</v>
      </c>
      <c r="AG624" s="29" t="str">
        <f t="shared" si="243"/>
        <v>NA</v>
      </c>
      <c r="AH624" s="29" t="str">
        <f t="shared" si="244"/>
        <v>NA</v>
      </c>
    </row>
    <row r="625" customHeight="1" spans="1:34">
      <c r="A625" s="12" t="s">
        <v>1043</v>
      </c>
      <c r="F625" s="24">
        <f t="shared" si="226"/>
        <v>0</v>
      </c>
      <c r="G625" s="24" t="e">
        <f t="shared" si="225"/>
        <v>#DIV/0!</v>
      </c>
      <c r="Q625" s="29" t="str">
        <f t="shared" si="227"/>
        <v>NA</v>
      </c>
      <c r="R625" s="29" t="str">
        <f t="shared" si="228"/>
        <v>NA</v>
      </c>
      <c r="S625" s="29" t="str">
        <f t="shared" si="229"/>
        <v>NA</v>
      </c>
      <c r="T625" s="29" t="str">
        <f t="shared" si="230"/>
        <v>NA</v>
      </c>
      <c r="U625" s="29" t="str">
        <f t="shared" si="231"/>
        <v>NA</v>
      </c>
      <c r="V625" s="29" t="str">
        <f t="shared" si="232"/>
        <v>NA</v>
      </c>
      <c r="W625" s="29" t="str">
        <f t="shared" si="233"/>
        <v>NA</v>
      </c>
      <c r="X625" s="29" t="str">
        <f t="shared" si="234"/>
        <v>NA</v>
      </c>
      <c r="Y625" s="29" t="str">
        <f t="shared" si="235"/>
        <v>NA</v>
      </c>
      <c r="Z625" s="29" t="str">
        <f t="shared" si="236"/>
        <v>NA</v>
      </c>
      <c r="AA625" s="29" t="str">
        <f t="shared" si="237"/>
        <v>NA</v>
      </c>
      <c r="AB625" s="29" t="str">
        <f t="shared" si="238"/>
        <v>NA</v>
      </c>
      <c r="AC625" s="29" t="str">
        <f t="shared" si="239"/>
        <v>NA</v>
      </c>
      <c r="AD625" s="29" t="str">
        <f t="shared" si="240"/>
        <v>NA</v>
      </c>
      <c r="AE625" s="29" t="str">
        <f t="shared" si="241"/>
        <v>NA</v>
      </c>
      <c r="AF625" s="29" t="str">
        <f t="shared" si="242"/>
        <v>NA</v>
      </c>
      <c r="AG625" s="29" t="str">
        <f t="shared" si="243"/>
        <v>NA</v>
      </c>
      <c r="AH625" s="29" t="str">
        <f t="shared" si="244"/>
        <v>NA</v>
      </c>
    </row>
    <row r="626" customHeight="1" spans="1:34">
      <c r="A626" s="12" t="s">
        <v>1043</v>
      </c>
      <c r="F626" s="24">
        <f t="shared" si="226"/>
        <v>0</v>
      </c>
      <c r="G626" s="24" t="e">
        <f t="shared" si="225"/>
        <v>#DIV/0!</v>
      </c>
      <c r="Q626" s="29" t="str">
        <f t="shared" si="227"/>
        <v>NA</v>
      </c>
      <c r="R626" s="29" t="str">
        <f t="shared" si="228"/>
        <v>NA</v>
      </c>
      <c r="S626" s="29" t="str">
        <f t="shared" si="229"/>
        <v>NA</v>
      </c>
      <c r="T626" s="29" t="str">
        <f t="shared" si="230"/>
        <v>NA</v>
      </c>
      <c r="U626" s="29" t="str">
        <f t="shared" si="231"/>
        <v>NA</v>
      </c>
      <c r="V626" s="29" t="str">
        <f t="shared" si="232"/>
        <v>NA</v>
      </c>
      <c r="W626" s="29" t="str">
        <f t="shared" si="233"/>
        <v>NA</v>
      </c>
      <c r="X626" s="29" t="str">
        <f t="shared" si="234"/>
        <v>NA</v>
      </c>
      <c r="Y626" s="29" t="str">
        <f t="shared" si="235"/>
        <v>NA</v>
      </c>
      <c r="Z626" s="29" t="str">
        <f t="shared" si="236"/>
        <v>NA</v>
      </c>
      <c r="AA626" s="29" t="str">
        <f t="shared" si="237"/>
        <v>NA</v>
      </c>
      <c r="AB626" s="29" t="str">
        <f t="shared" si="238"/>
        <v>NA</v>
      </c>
      <c r="AC626" s="29" t="str">
        <f t="shared" si="239"/>
        <v>NA</v>
      </c>
      <c r="AD626" s="29" t="str">
        <f t="shared" si="240"/>
        <v>NA</v>
      </c>
      <c r="AE626" s="29" t="str">
        <f t="shared" si="241"/>
        <v>NA</v>
      </c>
      <c r="AF626" s="29" t="str">
        <f t="shared" si="242"/>
        <v>NA</v>
      </c>
      <c r="AG626" s="29" t="str">
        <f t="shared" si="243"/>
        <v>NA</v>
      </c>
      <c r="AH626" s="29" t="str">
        <f t="shared" si="244"/>
        <v>NA</v>
      </c>
    </row>
    <row r="627" customHeight="1" spans="1:34">
      <c r="A627" s="12" t="s">
        <v>1043</v>
      </c>
      <c r="F627" s="24">
        <f t="shared" si="226"/>
        <v>0</v>
      </c>
      <c r="G627" s="24" t="e">
        <f t="shared" si="225"/>
        <v>#DIV/0!</v>
      </c>
      <c r="Q627" s="29" t="str">
        <f t="shared" si="227"/>
        <v>NA</v>
      </c>
      <c r="R627" s="29" t="str">
        <f t="shared" si="228"/>
        <v>NA</v>
      </c>
      <c r="S627" s="29" t="str">
        <f t="shared" si="229"/>
        <v>NA</v>
      </c>
      <c r="T627" s="29" t="str">
        <f t="shared" si="230"/>
        <v>NA</v>
      </c>
      <c r="U627" s="29" t="str">
        <f t="shared" si="231"/>
        <v>NA</v>
      </c>
      <c r="V627" s="29" t="str">
        <f t="shared" si="232"/>
        <v>NA</v>
      </c>
      <c r="W627" s="29" t="str">
        <f t="shared" si="233"/>
        <v>NA</v>
      </c>
      <c r="X627" s="29" t="str">
        <f t="shared" si="234"/>
        <v>NA</v>
      </c>
      <c r="Y627" s="29" t="str">
        <f t="shared" si="235"/>
        <v>NA</v>
      </c>
      <c r="Z627" s="29" t="str">
        <f t="shared" si="236"/>
        <v>NA</v>
      </c>
      <c r="AA627" s="29" t="str">
        <f t="shared" si="237"/>
        <v>NA</v>
      </c>
      <c r="AB627" s="29" t="str">
        <f t="shared" si="238"/>
        <v>NA</v>
      </c>
      <c r="AC627" s="29" t="str">
        <f t="shared" si="239"/>
        <v>NA</v>
      </c>
      <c r="AD627" s="29" t="str">
        <f t="shared" si="240"/>
        <v>NA</v>
      </c>
      <c r="AE627" s="29" t="str">
        <f t="shared" si="241"/>
        <v>NA</v>
      </c>
      <c r="AF627" s="29" t="str">
        <f t="shared" si="242"/>
        <v>NA</v>
      </c>
      <c r="AG627" s="29" t="str">
        <f t="shared" si="243"/>
        <v>NA</v>
      </c>
      <c r="AH627" s="29" t="str">
        <f t="shared" si="244"/>
        <v>NA</v>
      </c>
    </row>
    <row r="628" customHeight="1" spans="1:34">
      <c r="A628" s="12" t="s">
        <v>1043</v>
      </c>
      <c r="F628" s="24">
        <f t="shared" si="226"/>
        <v>0</v>
      </c>
      <c r="G628" s="24" t="e">
        <f t="shared" si="225"/>
        <v>#DIV/0!</v>
      </c>
      <c r="Q628" s="29" t="str">
        <f t="shared" si="227"/>
        <v>NA</v>
      </c>
      <c r="R628" s="29" t="str">
        <f t="shared" si="228"/>
        <v>NA</v>
      </c>
      <c r="S628" s="29" t="str">
        <f t="shared" si="229"/>
        <v>NA</v>
      </c>
      <c r="T628" s="29" t="str">
        <f t="shared" si="230"/>
        <v>NA</v>
      </c>
      <c r="U628" s="29" t="str">
        <f t="shared" si="231"/>
        <v>NA</v>
      </c>
      <c r="V628" s="29" t="str">
        <f t="shared" si="232"/>
        <v>NA</v>
      </c>
      <c r="W628" s="29" t="str">
        <f t="shared" si="233"/>
        <v>NA</v>
      </c>
      <c r="X628" s="29" t="str">
        <f t="shared" si="234"/>
        <v>NA</v>
      </c>
      <c r="Y628" s="29" t="str">
        <f t="shared" si="235"/>
        <v>NA</v>
      </c>
      <c r="Z628" s="29" t="str">
        <f t="shared" si="236"/>
        <v>NA</v>
      </c>
      <c r="AA628" s="29" t="str">
        <f t="shared" si="237"/>
        <v>NA</v>
      </c>
      <c r="AB628" s="29" t="str">
        <f t="shared" si="238"/>
        <v>NA</v>
      </c>
      <c r="AC628" s="29" t="str">
        <f t="shared" si="239"/>
        <v>NA</v>
      </c>
      <c r="AD628" s="29" t="str">
        <f t="shared" si="240"/>
        <v>NA</v>
      </c>
      <c r="AE628" s="29" t="str">
        <f t="shared" si="241"/>
        <v>NA</v>
      </c>
      <c r="AF628" s="29" t="str">
        <f t="shared" si="242"/>
        <v>NA</v>
      </c>
      <c r="AG628" s="29" t="str">
        <f t="shared" si="243"/>
        <v>NA</v>
      </c>
      <c r="AH628" s="29" t="str">
        <f t="shared" si="244"/>
        <v>NA</v>
      </c>
    </row>
    <row r="629" customHeight="1" spans="1:34">
      <c r="A629" s="12" t="s">
        <v>1043</v>
      </c>
      <c r="F629" s="24">
        <f t="shared" si="226"/>
        <v>0</v>
      </c>
      <c r="G629" s="24" t="e">
        <f t="shared" si="225"/>
        <v>#DIV/0!</v>
      </c>
      <c r="Q629" s="29" t="str">
        <f t="shared" si="227"/>
        <v>NA</v>
      </c>
      <c r="R629" s="29" t="str">
        <f t="shared" si="228"/>
        <v>NA</v>
      </c>
      <c r="S629" s="29" t="str">
        <f t="shared" si="229"/>
        <v>NA</v>
      </c>
      <c r="T629" s="29" t="str">
        <f t="shared" si="230"/>
        <v>NA</v>
      </c>
      <c r="U629" s="29" t="str">
        <f t="shared" si="231"/>
        <v>NA</v>
      </c>
      <c r="V629" s="29" t="str">
        <f t="shared" si="232"/>
        <v>NA</v>
      </c>
      <c r="W629" s="29" t="str">
        <f t="shared" si="233"/>
        <v>NA</v>
      </c>
      <c r="X629" s="29" t="str">
        <f t="shared" si="234"/>
        <v>NA</v>
      </c>
      <c r="Y629" s="29" t="str">
        <f t="shared" si="235"/>
        <v>NA</v>
      </c>
      <c r="Z629" s="29" t="str">
        <f t="shared" si="236"/>
        <v>NA</v>
      </c>
      <c r="AA629" s="29" t="str">
        <f t="shared" si="237"/>
        <v>NA</v>
      </c>
      <c r="AB629" s="29" t="str">
        <f t="shared" si="238"/>
        <v>NA</v>
      </c>
      <c r="AC629" s="29" t="str">
        <f t="shared" si="239"/>
        <v>NA</v>
      </c>
      <c r="AD629" s="29" t="str">
        <f t="shared" si="240"/>
        <v>NA</v>
      </c>
      <c r="AE629" s="29" t="str">
        <f t="shared" si="241"/>
        <v>NA</v>
      </c>
      <c r="AF629" s="29" t="str">
        <f t="shared" si="242"/>
        <v>NA</v>
      </c>
      <c r="AG629" s="29" t="str">
        <f t="shared" si="243"/>
        <v>NA</v>
      </c>
      <c r="AH629" s="29" t="str">
        <f t="shared" si="244"/>
        <v>NA</v>
      </c>
    </row>
    <row r="630" customHeight="1" spans="1:34">
      <c r="A630" s="12" t="s">
        <v>1043</v>
      </c>
      <c r="F630" s="24">
        <f t="shared" si="226"/>
        <v>0</v>
      </c>
      <c r="G630" s="24" t="e">
        <f t="shared" si="225"/>
        <v>#DIV/0!</v>
      </c>
      <c r="Q630" s="29" t="str">
        <f t="shared" si="227"/>
        <v>NA</v>
      </c>
      <c r="R630" s="29" t="str">
        <f t="shared" si="228"/>
        <v>NA</v>
      </c>
      <c r="S630" s="29" t="str">
        <f t="shared" si="229"/>
        <v>NA</v>
      </c>
      <c r="T630" s="29" t="str">
        <f t="shared" si="230"/>
        <v>NA</v>
      </c>
      <c r="U630" s="29" t="str">
        <f t="shared" si="231"/>
        <v>NA</v>
      </c>
      <c r="V630" s="29" t="str">
        <f t="shared" si="232"/>
        <v>NA</v>
      </c>
      <c r="W630" s="29" t="str">
        <f t="shared" si="233"/>
        <v>NA</v>
      </c>
      <c r="X630" s="29" t="str">
        <f t="shared" si="234"/>
        <v>NA</v>
      </c>
      <c r="Y630" s="29" t="str">
        <f t="shared" si="235"/>
        <v>NA</v>
      </c>
      <c r="Z630" s="29" t="str">
        <f t="shared" si="236"/>
        <v>NA</v>
      </c>
      <c r="AA630" s="29" t="str">
        <f t="shared" si="237"/>
        <v>NA</v>
      </c>
      <c r="AB630" s="29" t="str">
        <f t="shared" si="238"/>
        <v>NA</v>
      </c>
      <c r="AC630" s="29" t="str">
        <f t="shared" si="239"/>
        <v>NA</v>
      </c>
      <c r="AD630" s="29" t="str">
        <f t="shared" si="240"/>
        <v>NA</v>
      </c>
      <c r="AE630" s="29" t="str">
        <f t="shared" si="241"/>
        <v>NA</v>
      </c>
      <c r="AF630" s="29" t="str">
        <f t="shared" si="242"/>
        <v>NA</v>
      </c>
      <c r="AG630" s="29" t="str">
        <f t="shared" si="243"/>
        <v>NA</v>
      </c>
      <c r="AH630" s="29" t="str">
        <f t="shared" si="244"/>
        <v>NA</v>
      </c>
    </row>
    <row r="631" customHeight="1" spans="1:34">
      <c r="A631" s="12" t="s">
        <v>1043</v>
      </c>
      <c r="F631" s="24">
        <f t="shared" si="226"/>
        <v>0</v>
      </c>
      <c r="G631" s="24" t="e">
        <f t="shared" si="225"/>
        <v>#DIV/0!</v>
      </c>
      <c r="Q631" s="29" t="str">
        <f t="shared" si="227"/>
        <v>NA</v>
      </c>
      <c r="R631" s="29" t="str">
        <f t="shared" si="228"/>
        <v>NA</v>
      </c>
      <c r="S631" s="29" t="str">
        <f t="shared" si="229"/>
        <v>NA</v>
      </c>
      <c r="T631" s="29" t="str">
        <f t="shared" si="230"/>
        <v>NA</v>
      </c>
      <c r="U631" s="29" t="str">
        <f t="shared" si="231"/>
        <v>NA</v>
      </c>
      <c r="V631" s="29" t="str">
        <f t="shared" si="232"/>
        <v>NA</v>
      </c>
      <c r="W631" s="29" t="str">
        <f t="shared" si="233"/>
        <v>NA</v>
      </c>
      <c r="X631" s="29" t="str">
        <f t="shared" si="234"/>
        <v>NA</v>
      </c>
      <c r="Y631" s="29" t="str">
        <f t="shared" si="235"/>
        <v>NA</v>
      </c>
      <c r="Z631" s="29" t="str">
        <f t="shared" si="236"/>
        <v>NA</v>
      </c>
      <c r="AA631" s="29" t="str">
        <f t="shared" si="237"/>
        <v>NA</v>
      </c>
      <c r="AB631" s="29" t="str">
        <f t="shared" si="238"/>
        <v>NA</v>
      </c>
      <c r="AC631" s="29" t="str">
        <f t="shared" si="239"/>
        <v>NA</v>
      </c>
      <c r="AD631" s="29" t="str">
        <f t="shared" si="240"/>
        <v>NA</v>
      </c>
      <c r="AE631" s="29" t="str">
        <f t="shared" si="241"/>
        <v>NA</v>
      </c>
      <c r="AF631" s="29" t="str">
        <f t="shared" si="242"/>
        <v>NA</v>
      </c>
      <c r="AG631" s="29" t="str">
        <f t="shared" si="243"/>
        <v>NA</v>
      </c>
      <c r="AH631" s="29" t="str">
        <f t="shared" si="244"/>
        <v>NA</v>
      </c>
    </row>
    <row r="632" customHeight="1" spans="1:34">
      <c r="A632" s="12" t="s">
        <v>1043</v>
      </c>
      <c r="F632" s="24">
        <f t="shared" si="226"/>
        <v>0</v>
      </c>
      <c r="G632" s="24" t="e">
        <f t="shared" si="225"/>
        <v>#DIV/0!</v>
      </c>
      <c r="Q632" s="29" t="str">
        <f t="shared" si="227"/>
        <v>NA</v>
      </c>
      <c r="R632" s="29" t="str">
        <f t="shared" si="228"/>
        <v>NA</v>
      </c>
      <c r="S632" s="29" t="str">
        <f t="shared" si="229"/>
        <v>NA</v>
      </c>
      <c r="T632" s="29" t="str">
        <f t="shared" si="230"/>
        <v>NA</v>
      </c>
      <c r="U632" s="29" t="str">
        <f t="shared" si="231"/>
        <v>NA</v>
      </c>
      <c r="V632" s="29" t="str">
        <f t="shared" si="232"/>
        <v>NA</v>
      </c>
      <c r="W632" s="29" t="str">
        <f t="shared" si="233"/>
        <v>NA</v>
      </c>
      <c r="X632" s="29" t="str">
        <f t="shared" si="234"/>
        <v>NA</v>
      </c>
      <c r="Y632" s="29" t="str">
        <f t="shared" si="235"/>
        <v>NA</v>
      </c>
      <c r="Z632" s="29" t="str">
        <f t="shared" si="236"/>
        <v>NA</v>
      </c>
      <c r="AA632" s="29" t="str">
        <f t="shared" si="237"/>
        <v>NA</v>
      </c>
      <c r="AB632" s="29" t="str">
        <f t="shared" si="238"/>
        <v>NA</v>
      </c>
      <c r="AC632" s="29" t="str">
        <f t="shared" si="239"/>
        <v>NA</v>
      </c>
      <c r="AD632" s="29" t="str">
        <f t="shared" si="240"/>
        <v>NA</v>
      </c>
      <c r="AE632" s="29" t="str">
        <f t="shared" si="241"/>
        <v>NA</v>
      </c>
      <c r="AF632" s="29" t="str">
        <f t="shared" si="242"/>
        <v>NA</v>
      </c>
      <c r="AG632" s="29" t="str">
        <f t="shared" si="243"/>
        <v>NA</v>
      </c>
      <c r="AH632" s="29" t="str">
        <f t="shared" si="244"/>
        <v>NA</v>
      </c>
    </row>
    <row r="633" customHeight="1" spans="1:34">
      <c r="A633" s="12" t="s">
        <v>1043</v>
      </c>
      <c r="F633" s="24">
        <f t="shared" si="226"/>
        <v>0</v>
      </c>
      <c r="G633" s="24" t="e">
        <f t="shared" si="225"/>
        <v>#DIV/0!</v>
      </c>
      <c r="Q633" s="29" t="str">
        <f t="shared" si="227"/>
        <v>NA</v>
      </c>
      <c r="R633" s="29" t="str">
        <f t="shared" si="228"/>
        <v>NA</v>
      </c>
      <c r="S633" s="29" t="str">
        <f t="shared" si="229"/>
        <v>NA</v>
      </c>
      <c r="T633" s="29" t="str">
        <f t="shared" si="230"/>
        <v>NA</v>
      </c>
      <c r="U633" s="29" t="str">
        <f t="shared" si="231"/>
        <v>NA</v>
      </c>
      <c r="V633" s="29" t="str">
        <f t="shared" si="232"/>
        <v>NA</v>
      </c>
      <c r="W633" s="29" t="str">
        <f t="shared" si="233"/>
        <v>NA</v>
      </c>
      <c r="X633" s="29" t="str">
        <f t="shared" si="234"/>
        <v>NA</v>
      </c>
      <c r="Y633" s="29" t="str">
        <f t="shared" si="235"/>
        <v>NA</v>
      </c>
      <c r="Z633" s="29" t="str">
        <f t="shared" si="236"/>
        <v>NA</v>
      </c>
      <c r="AA633" s="29" t="str">
        <f t="shared" si="237"/>
        <v>NA</v>
      </c>
      <c r="AB633" s="29" t="str">
        <f t="shared" si="238"/>
        <v>NA</v>
      </c>
      <c r="AC633" s="29" t="str">
        <f t="shared" si="239"/>
        <v>NA</v>
      </c>
      <c r="AD633" s="29" t="str">
        <f t="shared" si="240"/>
        <v>NA</v>
      </c>
      <c r="AE633" s="29" t="str">
        <f t="shared" si="241"/>
        <v>NA</v>
      </c>
      <c r="AF633" s="29" t="str">
        <f t="shared" si="242"/>
        <v>NA</v>
      </c>
      <c r="AG633" s="29" t="str">
        <f t="shared" si="243"/>
        <v>NA</v>
      </c>
      <c r="AH633" s="29" t="str">
        <f t="shared" si="244"/>
        <v>NA</v>
      </c>
    </row>
    <row r="634" customHeight="1" spans="1:34">
      <c r="A634" s="12" t="s">
        <v>1043</v>
      </c>
      <c r="F634" s="24">
        <f t="shared" si="226"/>
        <v>0</v>
      </c>
      <c r="G634" s="24" t="e">
        <f t="shared" si="225"/>
        <v>#DIV/0!</v>
      </c>
      <c r="Q634" s="29" t="str">
        <f t="shared" si="227"/>
        <v>NA</v>
      </c>
      <c r="R634" s="29" t="str">
        <f t="shared" si="228"/>
        <v>NA</v>
      </c>
      <c r="S634" s="29" t="str">
        <f t="shared" si="229"/>
        <v>NA</v>
      </c>
      <c r="T634" s="29" t="str">
        <f t="shared" si="230"/>
        <v>NA</v>
      </c>
      <c r="U634" s="29" t="str">
        <f t="shared" si="231"/>
        <v>NA</v>
      </c>
      <c r="V634" s="29" t="str">
        <f t="shared" si="232"/>
        <v>NA</v>
      </c>
      <c r="W634" s="29" t="str">
        <f t="shared" si="233"/>
        <v>NA</v>
      </c>
      <c r="X634" s="29" t="str">
        <f t="shared" si="234"/>
        <v>NA</v>
      </c>
      <c r="Y634" s="29" t="str">
        <f t="shared" si="235"/>
        <v>NA</v>
      </c>
      <c r="Z634" s="29" t="str">
        <f t="shared" si="236"/>
        <v>NA</v>
      </c>
      <c r="AA634" s="29" t="str">
        <f t="shared" si="237"/>
        <v>NA</v>
      </c>
      <c r="AB634" s="29" t="str">
        <f t="shared" si="238"/>
        <v>NA</v>
      </c>
      <c r="AC634" s="29" t="str">
        <f t="shared" si="239"/>
        <v>NA</v>
      </c>
      <c r="AD634" s="29" t="str">
        <f t="shared" si="240"/>
        <v>NA</v>
      </c>
      <c r="AE634" s="29" t="str">
        <f t="shared" si="241"/>
        <v>NA</v>
      </c>
      <c r="AF634" s="29" t="str">
        <f t="shared" si="242"/>
        <v>NA</v>
      </c>
      <c r="AG634" s="29" t="str">
        <f t="shared" si="243"/>
        <v>NA</v>
      </c>
      <c r="AH634" s="29" t="str">
        <f t="shared" si="244"/>
        <v>NA</v>
      </c>
    </row>
    <row r="635" customHeight="1" spans="1:34">
      <c r="A635" s="12" t="s">
        <v>1043</v>
      </c>
      <c r="F635" s="24">
        <f t="shared" si="226"/>
        <v>0</v>
      </c>
      <c r="G635" s="24" t="e">
        <f t="shared" si="225"/>
        <v>#DIV/0!</v>
      </c>
      <c r="Q635" s="29" t="str">
        <f t="shared" si="227"/>
        <v>NA</v>
      </c>
      <c r="R635" s="29" t="str">
        <f t="shared" si="228"/>
        <v>NA</v>
      </c>
      <c r="S635" s="29" t="str">
        <f t="shared" si="229"/>
        <v>NA</v>
      </c>
      <c r="T635" s="29" t="str">
        <f t="shared" si="230"/>
        <v>NA</v>
      </c>
      <c r="U635" s="29" t="str">
        <f t="shared" si="231"/>
        <v>NA</v>
      </c>
      <c r="V635" s="29" t="str">
        <f t="shared" si="232"/>
        <v>NA</v>
      </c>
      <c r="W635" s="29" t="str">
        <f t="shared" si="233"/>
        <v>NA</v>
      </c>
      <c r="X635" s="29" t="str">
        <f t="shared" si="234"/>
        <v>NA</v>
      </c>
      <c r="Y635" s="29" t="str">
        <f t="shared" si="235"/>
        <v>NA</v>
      </c>
      <c r="Z635" s="29" t="str">
        <f t="shared" si="236"/>
        <v>NA</v>
      </c>
      <c r="AA635" s="29" t="str">
        <f t="shared" si="237"/>
        <v>NA</v>
      </c>
      <c r="AB635" s="29" t="str">
        <f t="shared" si="238"/>
        <v>NA</v>
      </c>
      <c r="AC635" s="29" t="str">
        <f t="shared" si="239"/>
        <v>NA</v>
      </c>
      <c r="AD635" s="29" t="str">
        <f t="shared" si="240"/>
        <v>NA</v>
      </c>
      <c r="AE635" s="29" t="str">
        <f t="shared" si="241"/>
        <v>NA</v>
      </c>
      <c r="AF635" s="29" t="str">
        <f t="shared" si="242"/>
        <v>NA</v>
      </c>
      <c r="AG635" s="29" t="str">
        <f t="shared" si="243"/>
        <v>NA</v>
      </c>
      <c r="AH635" s="29" t="str">
        <f t="shared" si="244"/>
        <v>NA</v>
      </c>
    </row>
    <row r="636" customHeight="1" spans="1:34">
      <c r="A636" s="12" t="s">
        <v>1043</v>
      </c>
      <c r="F636" s="24">
        <f t="shared" si="226"/>
        <v>0</v>
      </c>
      <c r="G636" s="24" t="e">
        <f t="shared" si="225"/>
        <v>#DIV/0!</v>
      </c>
      <c r="Q636" s="29" t="str">
        <f t="shared" si="227"/>
        <v>NA</v>
      </c>
      <c r="R636" s="29" t="str">
        <f t="shared" si="228"/>
        <v>NA</v>
      </c>
      <c r="S636" s="29" t="str">
        <f t="shared" si="229"/>
        <v>NA</v>
      </c>
      <c r="T636" s="29" t="str">
        <f t="shared" si="230"/>
        <v>NA</v>
      </c>
      <c r="U636" s="29" t="str">
        <f t="shared" si="231"/>
        <v>NA</v>
      </c>
      <c r="V636" s="29" t="str">
        <f t="shared" si="232"/>
        <v>NA</v>
      </c>
      <c r="W636" s="29" t="str">
        <f t="shared" si="233"/>
        <v>NA</v>
      </c>
      <c r="X636" s="29" t="str">
        <f t="shared" si="234"/>
        <v>NA</v>
      </c>
      <c r="Y636" s="29" t="str">
        <f t="shared" si="235"/>
        <v>NA</v>
      </c>
      <c r="Z636" s="29" t="str">
        <f t="shared" si="236"/>
        <v>NA</v>
      </c>
      <c r="AA636" s="29" t="str">
        <f t="shared" si="237"/>
        <v>NA</v>
      </c>
      <c r="AB636" s="29" t="str">
        <f t="shared" si="238"/>
        <v>NA</v>
      </c>
      <c r="AC636" s="29" t="str">
        <f t="shared" si="239"/>
        <v>NA</v>
      </c>
      <c r="AD636" s="29" t="str">
        <f t="shared" si="240"/>
        <v>NA</v>
      </c>
      <c r="AE636" s="29" t="str">
        <f t="shared" si="241"/>
        <v>NA</v>
      </c>
      <c r="AF636" s="29" t="str">
        <f t="shared" si="242"/>
        <v>NA</v>
      </c>
      <c r="AG636" s="29" t="str">
        <f t="shared" si="243"/>
        <v>NA</v>
      </c>
      <c r="AH636" s="29" t="str">
        <f t="shared" si="244"/>
        <v>NA</v>
      </c>
    </row>
    <row r="637" customHeight="1" spans="1:34">
      <c r="A637" s="12" t="s">
        <v>1043</v>
      </c>
      <c r="F637" s="24">
        <f t="shared" si="226"/>
        <v>0</v>
      </c>
      <c r="G637" s="24" t="e">
        <f t="shared" si="225"/>
        <v>#DIV/0!</v>
      </c>
      <c r="Q637" s="29" t="str">
        <f t="shared" si="227"/>
        <v>NA</v>
      </c>
      <c r="R637" s="29" t="str">
        <f t="shared" si="228"/>
        <v>NA</v>
      </c>
      <c r="S637" s="29" t="str">
        <f t="shared" si="229"/>
        <v>NA</v>
      </c>
      <c r="T637" s="29" t="str">
        <f t="shared" si="230"/>
        <v>NA</v>
      </c>
      <c r="U637" s="29" t="str">
        <f t="shared" si="231"/>
        <v>NA</v>
      </c>
      <c r="V637" s="29" t="str">
        <f t="shared" si="232"/>
        <v>NA</v>
      </c>
      <c r="W637" s="29" t="str">
        <f t="shared" si="233"/>
        <v>NA</v>
      </c>
      <c r="X637" s="29" t="str">
        <f t="shared" si="234"/>
        <v>NA</v>
      </c>
      <c r="Y637" s="29" t="str">
        <f t="shared" si="235"/>
        <v>NA</v>
      </c>
      <c r="Z637" s="29" t="str">
        <f t="shared" si="236"/>
        <v>NA</v>
      </c>
      <c r="AA637" s="29" t="str">
        <f t="shared" si="237"/>
        <v>NA</v>
      </c>
      <c r="AB637" s="29" t="str">
        <f t="shared" si="238"/>
        <v>NA</v>
      </c>
      <c r="AC637" s="29" t="str">
        <f t="shared" si="239"/>
        <v>NA</v>
      </c>
      <c r="AD637" s="29" t="str">
        <f t="shared" si="240"/>
        <v>NA</v>
      </c>
      <c r="AE637" s="29" t="str">
        <f t="shared" si="241"/>
        <v>NA</v>
      </c>
      <c r="AF637" s="29" t="str">
        <f t="shared" si="242"/>
        <v>NA</v>
      </c>
      <c r="AG637" s="29" t="str">
        <f t="shared" si="243"/>
        <v>NA</v>
      </c>
      <c r="AH637" s="29" t="str">
        <f t="shared" si="244"/>
        <v>NA</v>
      </c>
    </row>
    <row r="638" customHeight="1" spans="1:34">
      <c r="A638" s="12" t="s">
        <v>1043</v>
      </c>
      <c r="F638" s="24">
        <f t="shared" si="226"/>
        <v>0</v>
      </c>
      <c r="G638" s="24" t="e">
        <f t="shared" si="225"/>
        <v>#DIV/0!</v>
      </c>
      <c r="Q638" s="29" t="str">
        <f t="shared" si="227"/>
        <v>NA</v>
      </c>
      <c r="R638" s="29" t="str">
        <f t="shared" si="228"/>
        <v>NA</v>
      </c>
      <c r="S638" s="29" t="str">
        <f t="shared" si="229"/>
        <v>NA</v>
      </c>
      <c r="T638" s="29" t="str">
        <f t="shared" si="230"/>
        <v>NA</v>
      </c>
      <c r="U638" s="29" t="str">
        <f t="shared" si="231"/>
        <v>NA</v>
      </c>
      <c r="V638" s="29" t="str">
        <f t="shared" si="232"/>
        <v>NA</v>
      </c>
      <c r="W638" s="29" t="str">
        <f t="shared" si="233"/>
        <v>NA</v>
      </c>
      <c r="X638" s="29" t="str">
        <f t="shared" si="234"/>
        <v>NA</v>
      </c>
      <c r="Y638" s="29" t="str">
        <f t="shared" si="235"/>
        <v>NA</v>
      </c>
      <c r="Z638" s="29" t="str">
        <f t="shared" si="236"/>
        <v>NA</v>
      </c>
      <c r="AA638" s="29" t="str">
        <f t="shared" si="237"/>
        <v>NA</v>
      </c>
      <c r="AB638" s="29" t="str">
        <f t="shared" si="238"/>
        <v>NA</v>
      </c>
      <c r="AC638" s="29" t="str">
        <f t="shared" si="239"/>
        <v>NA</v>
      </c>
      <c r="AD638" s="29" t="str">
        <f t="shared" si="240"/>
        <v>NA</v>
      </c>
      <c r="AE638" s="29" t="str">
        <f t="shared" si="241"/>
        <v>NA</v>
      </c>
      <c r="AF638" s="29" t="str">
        <f t="shared" si="242"/>
        <v>NA</v>
      </c>
      <c r="AG638" s="29" t="str">
        <f t="shared" si="243"/>
        <v>NA</v>
      </c>
      <c r="AH638" s="29" t="str">
        <f t="shared" si="244"/>
        <v>NA</v>
      </c>
    </row>
    <row r="639" customHeight="1" spans="1:34">
      <c r="A639" s="12" t="s">
        <v>1043</v>
      </c>
      <c r="F639" s="24">
        <f t="shared" si="226"/>
        <v>0</v>
      </c>
      <c r="G639" s="24" t="e">
        <f t="shared" si="225"/>
        <v>#DIV/0!</v>
      </c>
      <c r="Q639" s="29" t="str">
        <f t="shared" si="227"/>
        <v>NA</v>
      </c>
      <c r="R639" s="29" t="str">
        <f t="shared" si="228"/>
        <v>NA</v>
      </c>
      <c r="S639" s="29" t="str">
        <f t="shared" si="229"/>
        <v>NA</v>
      </c>
      <c r="T639" s="29" t="str">
        <f t="shared" si="230"/>
        <v>NA</v>
      </c>
      <c r="U639" s="29" t="str">
        <f t="shared" si="231"/>
        <v>NA</v>
      </c>
      <c r="V639" s="29" t="str">
        <f t="shared" si="232"/>
        <v>NA</v>
      </c>
      <c r="W639" s="29" t="str">
        <f t="shared" si="233"/>
        <v>NA</v>
      </c>
      <c r="X639" s="29" t="str">
        <f t="shared" si="234"/>
        <v>NA</v>
      </c>
      <c r="Y639" s="29" t="str">
        <f t="shared" si="235"/>
        <v>NA</v>
      </c>
      <c r="Z639" s="29" t="str">
        <f t="shared" si="236"/>
        <v>NA</v>
      </c>
      <c r="AA639" s="29" t="str">
        <f t="shared" si="237"/>
        <v>NA</v>
      </c>
      <c r="AB639" s="29" t="str">
        <f t="shared" si="238"/>
        <v>NA</v>
      </c>
      <c r="AC639" s="29" t="str">
        <f t="shared" si="239"/>
        <v>NA</v>
      </c>
      <c r="AD639" s="29" t="str">
        <f t="shared" si="240"/>
        <v>NA</v>
      </c>
      <c r="AE639" s="29" t="str">
        <f t="shared" si="241"/>
        <v>NA</v>
      </c>
      <c r="AF639" s="29" t="str">
        <f t="shared" si="242"/>
        <v>NA</v>
      </c>
      <c r="AG639" s="29" t="str">
        <f t="shared" si="243"/>
        <v>NA</v>
      </c>
      <c r="AH639" s="29" t="str">
        <f t="shared" si="244"/>
        <v>NA</v>
      </c>
    </row>
    <row r="640" customHeight="1" spans="1:34">
      <c r="A640" s="12" t="s">
        <v>1043</v>
      </c>
      <c r="F640" s="24">
        <f t="shared" si="226"/>
        <v>0</v>
      </c>
      <c r="G640" s="24" t="e">
        <f t="shared" si="225"/>
        <v>#DIV/0!</v>
      </c>
      <c r="Q640" s="29" t="str">
        <f t="shared" si="227"/>
        <v>NA</v>
      </c>
      <c r="R640" s="29" t="str">
        <f t="shared" si="228"/>
        <v>NA</v>
      </c>
      <c r="S640" s="29" t="str">
        <f t="shared" si="229"/>
        <v>NA</v>
      </c>
      <c r="T640" s="29" t="str">
        <f t="shared" si="230"/>
        <v>NA</v>
      </c>
      <c r="U640" s="29" t="str">
        <f t="shared" si="231"/>
        <v>NA</v>
      </c>
      <c r="V640" s="29" t="str">
        <f t="shared" si="232"/>
        <v>NA</v>
      </c>
      <c r="W640" s="29" t="str">
        <f t="shared" si="233"/>
        <v>NA</v>
      </c>
      <c r="X640" s="29" t="str">
        <f t="shared" si="234"/>
        <v>NA</v>
      </c>
      <c r="Y640" s="29" t="str">
        <f t="shared" si="235"/>
        <v>NA</v>
      </c>
      <c r="Z640" s="29" t="str">
        <f t="shared" si="236"/>
        <v>NA</v>
      </c>
      <c r="AA640" s="29" t="str">
        <f t="shared" si="237"/>
        <v>NA</v>
      </c>
      <c r="AB640" s="29" t="str">
        <f t="shared" si="238"/>
        <v>NA</v>
      </c>
      <c r="AC640" s="29" t="str">
        <f t="shared" si="239"/>
        <v>NA</v>
      </c>
      <c r="AD640" s="29" t="str">
        <f t="shared" si="240"/>
        <v>NA</v>
      </c>
      <c r="AE640" s="29" t="str">
        <f t="shared" si="241"/>
        <v>NA</v>
      </c>
      <c r="AF640" s="29" t="str">
        <f t="shared" si="242"/>
        <v>NA</v>
      </c>
      <c r="AG640" s="29" t="str">
        <f t="shared" si="243"/>
        <v>NA</v>
      </c>
      <c r="AH640" s="29" t="str">
        <f t="shared" si="244"/>
        <v>NA</v>
      </c>
    </row>
    <row r="641" customHeight="1" spans="1:34">
      <c r="A641" s="12" t="s">
        <v>1043</v>
      </c>
      <c r="F641" s="24">
        <f t="shared" si="226"/>
        <v>0</v>
      </c>
      <c r="G641" s="24" t="e">
        <f t="shared" si="225"/>
        <v>#DIV/0!</v>
      </c>
      <c r="Q641" s="29" t="str">
        <f t="shared" si="227"/>
        <v>NA</v>
      </c>
      <c r="R641" s="29" t="str">
        <f t="shared" si="228"/>
        <v>NA</v>
      </c>
      <c r="S641" s="29" t="str">
        <f t="shared" si="229"/>
        <v>NA</v>
      </c>
      <c r="T641" s="29" t="str">
        <f t="shared" si="230"/>
        <v>NA</v>
      </c>
      <c r="U641" s="29" t="str">
        <f t="shared" si="231"/>
        <v>NA</v>
      </c>
      <c r="V641" s="29" t="str">
        <f t="shared" si="232"/>
        <v>NA</v>
      </c>
      <c r="W641" s="29" t="str">
        <f t="shared" si="233"/>
        <v>NA</v>
      </c>
      <c r="X641" s="29" t="str">
        <f t="shared" si="234"/>
        <v>NA</v>
      </c>
      <c r="Y641" s="29" t="str">
        <f t="shared" si="235"/>
        <v>NA</v>
      </c>
      <c r="Z641" s="29" t="str">
        <f t="shared" si="236"/>
        <v>NA</v>
      </c>
      <c r="AA641" s="29" t="str">
        <f t="shared" si="237"/>
        <v>NA</v>
      </c>
      <c r="AB641" s="29" t="str">
        <f t="shared" si="238"/>
        <v>NA</v>
      </c>
      <c r="AC641" s="29" t="str">
        <f t="shared" si="239"/>
        <v>NA</v>
      </c>
      <c r="AD641" s="29" t="str">
        <f t="shared" si="240"/>
        <v>NA</v>
      </c>
      <c r="AE641" s="29" t="str">
        <f t="shared" si="241"/>
        <v>NA</v>
      </c>
      <c r="AF641" s="29" t="str">
        <f t="shared" si="242"/>
        <v>NA</v>
      </c>
      <c r="AG641" s="29" t="str">
        <f t="shared" si="243"/>
        <v>NA</v>
      </c>
      <c r="AH641" s="29" t="str">
        <f t="shared" si="244"/>
        <v>NA</v>
      </c>
    </row>
    <row r="642" customHeight="1" spans="1:34">
      <c r="A642" s="12" t="s">
        <v>1043</v>
      </c>
      <c r="F642" s="24">
        <f t="shared" si="226"/>
        <v>0</v>
      </c>
      <c r="G642" s="24" t="e">
        <f t="shared" si="225"/>
        <v>#DIV/0!</v>
      </c>
      <c r="Q642" s="29" t="str">
        <f t="shared" si="227"/>
        <v>NA</v>
      </c>
      <c r="R642" s="29" t="str">
        <f t="shared" si="228"/>
        <v>NA</v>
      </c>
      <c r="S642" s="29" t="str">
        <f t="shared" si="229"/>
        <v>NA</v>
      </c>
      <c r="T642" s="29" t="str">
        <f t="shared" si="230"/>
        <v>NA</v>
      </c>
      <c r="U642" s="29" t="str">
        <f t="shared" si="231"/>
        <v>NA</v>
      </c>
      <c r="V642" s="29" t="str">
        <f t="shared" si="232"/>
        <v>NA</v>
      </c>
      <c r="W642" s="29" t="str">
        <f t="shared" si="233"/>
        <v>NA</v>
      </c>
      <c r="X642" s="29" t="str">
        <f t="shared" si="234"/>
        <v>NA</v>
      </c>
      <c r="Y642" s="29" t="str">
        <f t="shared" si="235"/>
        <v>NA</v>
      </c>
      <c r="Z642" s="29" t="str">
        <f t="shared" si="236"/>
        <v>NA</v>
      </c>
      <c r="AA642" s="29" t="str">
        <f t="shared" si="237"/>
        <v>NA</v>
      </c>
      <c r="AB642" s="29" t="str">
        <f t="shared" si="238"/>
        <v>NA</v>
      </c>
      <c r="AC642" s="29" t="str">
        <f t="shared" si="239"/>
        <v>NA</v>
      </c>
      <c r="AD642" s="29" t="str">
        <f t="shared" si="240"/>
        <v>NA</v>
      </c>
      <c r="AE642" s="29" t="str">
        <f t="shared" si="241"/>
        <v>NA</v>
      </c>
      <c r="AF642" s="29" t="str">
        <f t="shared" si="242"/>
        <v>NA</v>
      </c>
      <c r="AG642" s="29" t="str">
        <f t="shared" si="243"/>
        <v>NA</v>
      </c>
      <c r="AH642" s="29" t="str">
        <f t="shared" si="244"/>
        <v>NA</v>
      </c>
    </row>
    <row r="643" customHeight="1" spans="1:34">
      <c r="A643" s="12" t="s">
        <v>1043</v>
      </c>
      <c r="F643" s="24">
        <f t="shared" si="226"/>
        <v>0</v>
      </c>
      <c r="G643" s="24" t="e">
        <f t="shared" si="225"/>
        <v>#DIV/0!</v>
      </c>
      <c r="Q643" s="29" t="str">
        <f t="shared" si="227"/>
        <v>NA</v>
      </c>
      <c r="R643" s="29" t="str">
        <f t="shared" si="228"/>
        <v>NA</v>
      </c>
      <c r="S643" s="29" t="str">
        <f t="shared" si="229"/>
        <v>NA</v>
      </c>
      <c r="T643" s="29" t="str">
        <f t="shared" si="230"/>
        <v>NA</v>
      </c>
      <c r="U643" s="29" t="str">
        <f t="shared" si="231"/>
        <v>NA</v>
      </c>
      <c r="V643" s="29" t="str">
        <f t="shared" si="232"/>
        <v>NA</v>
      </c>
      <c r="W643" s="29" t="str">
        <f t="shared" si="233"/>
        <v>NA</v>
      </c>
      <c r="X643" s="29" t="str">
        <f t="shared" si="234"/>
        <v>NA</v>
      </c>
      <c r="Y643" s="29" t="str">
        <f t="shared" si="235"/>
        <v>NA</v>
      </c>
      <c r="Z643" s="29" t="str">
        <f t="shared" si="236"/>
        <v>NA</v>
      </c>
      <c r="AA643" s="29" t="str">
        <f t="shared" si="237"/>
        <v>NA</v>
      </c>
      <c r="AB643" s="29" t="str">
        <f t="shared" si="238"/>
        <v>NA</v>
      </c>
      <c r="AC643" s="29" t="str">
        <f t="shared" si="239"/>
        <v>NA</v>
      </c>
      <c r="AD643" s="29" t="str">
        <f t="shared" si="240"/>
        <v>NA</v>
      </c>
      <c r="AE643" s="29" t="str">
        <f t="shared" si="241"/>
        <v>NA</v>
      </c>
      <c r="AF643" s="29" t="str">
        <f t="shared" si="242"/>
        <v>NA</v>
      </c>
      <c r="AG643" s="29" t="str">
        <f t="shared" si="243"/>
        <v>NA</v>
      </c>
      <c r="AH643" s="29" t="str">
        <f t="shared" si="244"/>
        <v>NA</v>
      </c>
    </row>
    <row r="644" customHeight="1" spans="1:34">
      <c r="A644" s="12" t="s">
        <v>1043</v>
      </c>
      <c r="F644" s="24">
        <f t="shared" si="226"/>
        <v>0</v>
      </c>
      <c r="G644" s="24" t="e">
        <f t="shared" si="225"/>
        <v>#DIV/0!</v>
      </c>
      <c r="Q644" s="29" t="str">
        <f t="shared" si="227"/>
        <v>NA</v>
      </c>
      <c r="R644" s="29" t="str">
        <f t="shared" si="228"/>
        <v>NA</v>
      </c>
      <c r="S644" s="29" t="str">
        <f t="shared" si="229"/>
        <v>NA</v>
      </c>
      <c r="T644" s="29" t="str">
        <f t="shared" si="230"/>
        <v>NA</v>
      </c>
      <c r="U644" s="29" t="str">
        <f t="shared" si="231"/>
        <v>NA</v>
      </c>
      <c r="V644" s="29" t="str">
        <f t="shared" si="232"/>
        <v>NA</v>
      </c>
      <c r="W644" s="29" t="str">
        <f t="shared" si="233"/>
        <v>NA</v>
      </c>
      <c r="X644" s="29" t="str">
        <f t="shared" si="234"/>
        <v>NA</v>
      </c>
      <c r="Y644" s="29" t="str">
        <f t="shared" si="235"/>
        <v>NA</v>
      </c>
      <c r="Z644" s="29" t="str">
        <f t="shared" si="236"/>
        <v>NA</v>
      </c>
      <c r="AA644" s="29" t="str">
        <f t="shared" si="237"/>
        <v>NA</v>
      </c>
      <c r="AB644" s="29" t="str">
        <f t="shared" si="238"/>
        <v>NA</v>
      </c>
      <c r="AC644" s="29" t="str">
        <f t="shared" si="239"/>
        <v>NA</v>
      </c>
      <c r="AD644" s="29" t="str">
        <f t="shared" si="240"/>
        <v>NA</v>
      </c>
      <c r="AE644" s="29" t="str">
        <f t="shared" si="241"/>
        <v>NA</v>
      </c>
      <c r="AF644" s="29" t="str">
        <f t="shared" si="242"/>
        <v>NA</v>
      </c>
      <c r="AG644" s="29" t="str">
        <f t="shared" si="243"/>
        <v>NA</v>
      </c>
      <c r="AH644" s="29" t="str">
        <f t="shared" si="244"/>
        <v>NA</v>
      </c>
    </row>
    <row r="645" customHeight="1" spans="1:34">
      <c r="A645" s="12" t="s">
        <v>1043</v>
      </c>
      <c r="F645" s="24">
        <f t="shared" si="226"/>
        <v>0</v>
      </c>
      <c r="G645" s="24" t="e">
        <f t="shared" ref="G645:G708" si="245">B645*D645/C645</f>
        <v>#DIV/0!</v>
      </c>
      <c r="Q645" s="29" t="str">
        <f t="shared" si="227"/>
        <v>NA</v>
      </c>
      <c r="R645" s="29" t="str">
        <f t="shared" si="228"/>
        <v>NA</v>
      </c>
      <c r="S645" s="29" t="str">
        <f t="shared" si="229"/>
        <v>NA</v>
      </c>
      <c r="T645" s="29" t="str">
        <f t="shared" si="230"/>
        <v>NA</v>
      </c>
      <c r="U645" s="29" t="str">
        <f t="shared" si="231"/>
        <v>NA</v>
      </c>
      <c r="V645" s="29" t="str">
        <f t="shared" si="232"/>
        <v>NA</v>
      </c>
      <c r="W645" s="29" t="str">
        <f t="shared" si="233"/>
        <v>NA</v>
      </c>
      <c r="X645" s="29" t="str">
        <f t="shared" si="234"/>
        <v>NA</v>
      </c>
      <c r="Y645" s="29" t="str">
        <f t="shared" si="235"/>
        <v>NA</v>
      </c>
      <c r="Z645" s="29" t="str">
        <f t="shared" si="236"/>
        <v>NA</v>
      </c>
      <c r="AA645" s="29" t="str">
        <f t="shared" si="237"/>
        <v>NA</v>
      </c>
      <c r="AB645" s="29" t="str">
        <f t="shared" si="238"/>
        <v>NA</v>
      </c>
      <c r="AC645" s="29" t="str">
        <f t="shared" si="239"/>
        <v>NA</v>
      </c>
      <c r="AD645" s="29" t="str">
        <f t="shared" si="240"/>
        <v>NA</v>
      </c>
      <c r="AE645" s="29" t="str">
        <f t="shared" si="241"/>
        <v>NA</v>
      </c>
      <c r="AF645" s="29" t="str">
        <f t="shared" si="242"/>
        <v>NA</v>
      </c>
      <c r="AG645" s="29" t="str">
        <f t="shared" si="243"/>
        <v>NA</v>
      </c>
      <c r="AH645" s="29" t="str">
        <f t="shared" si="244"/>
        <v>NA</v>
      </c>
    </row>
    <row r="646" customHeight="1" spans="1:34">
      <c r="A646" s="12" t="s">
        <v>1043</v>
      </c>
      <c r="F646" s="24">
        <f t="shared" ref="F646:F709" si="246">+D646+E646</f>
        <v>0</v>
      </c>
      <c r="G646" s="24" t="e">
        <f t="shared" si="245"/>
        <v>#DIV/0!</v>
      </c>
      <c r="Q646" s="29" t="str">
        <f t="shared" si="227"/>
        <v>NA</v>
      </c>
      <c r="R646" s="29" t="str">
        <f t="shared" si="228"/>
        <v>NA</v>
      </c>
      <c r="S646" s="29" t="str">
        <f t="shared" si="229"/>
        <v>NA</v>
      </c>
      <c r="T646" s="29" t="str">
        <f t="shared" si="230"/>
        <v>NA</v>
      </c>
      <c r="U646" s="29" t="str">
        <f t="shared" si="231"/>
        <v>NA</v>
      </c>
      <c r="V646" s="29" t="str">
        <f t="shared" si="232"/>
        <v>NA</v>
      </c>
      <c r="W646" s="29" t="str">
        <f t="shared" si="233"/>
        <v>NA</v>
      </c>
      <c r="X646" s="29" t="str">
        <f t="shared" si="234"/>
        <v>NA</v>
      </c>
      <c r="Y646" s="29" t="str">
        <f t="shared" si="235"/>
        <v>NA</v>
      </c>
      <c r="Z646" s="29" t="str">
        <f t="shared" si="236"/>
        <v>NA</v>
      </c>
      <c r="AA646" s="29" t="str">
        <f t="shared" si="237"/>
        <v>NA</v>
      </c>
      <c r="AB646" s="29" t="str">
        <f t="shared" si="238"/>
        <v>NA</v>
      </c>
      <c r="AC646" s="29" t="str">
        <f t="shared" si="239"/>
        <v>NA</v>
      </c>
      <c r="AD646" s="29" t="str">
        <f t="shared" si="240"/>
        <v>NA</v>
      </c>
      <c r="AE646" s="29" t="str">
        <f t="shared" si="241"/>
        <v>NA</v>
      </c>
      <c r="AF646" s="29" t="str">
        <f t="shared" si="242"/>
        <v>NA</v>
      </c>
      <c r="AG646" s="29" t="str">
        <f t="shared" si="243"/>
        <v>NA</v>
      </c>
      <c r="AH646" s="29" t="str">
        <f t="shared" si="244"/>
        <v>NA</v>
      </c>
    </row>
    <row r="647" customHeight="1" spans="1:34">
      <c r="A647" s="12" t="s">
        <v>1043</v>
      </c>
      <c r="F647" s="24">
        <f t="shared" si="246"/>
        <v>0</v>
      </c>
      <c r="G647" s="24" t="e">
        <f t="shared" si="245"/>
        <v>#DIV/0!</v>
      </c>
      <c r="Q647" s="29" t="str">
        <f t="shared" si="227"/>
        <v>NA</v>
      </c>
      <c r="R647" s="29" t="str">
        <f t="shared" si="228"/>
        <v>NA</v>
      </c>
      <c r="S647" s="29" t="str">
        <f t="shared" si="229"/>
        <v>NA</v>
      </c>
      <c r="T647" s="29" t="str">
        <f t="shared" si="230"/>
        <v>NA</v>
      </c>
      <c r="U647" s="29" t="str">
        <f t="shared" si="231"/>
        <v>NA</v>
      </c>
      <c r="V647" s="29" t="str">
        <f t="shared" si="232"/>
        <v>NA</v>
      </c>
      <c r="W647" s="29" t="str">
        <f t="shared" si="233"/>
        <v>NA</v>
      </c>
      <c r="X647" s="29" t="str">
        <f t="shared" si="234"/>
        <v>NA</v>
      </c>
      <c r="Y647" s="29" t="str">
        <f t="shared" si="235"/>
        <v>NA</v>
      </c>
      <c r="Z647" s="29" t="str">
        <f t="shared" si="236"/>
        <v>NA</v>
      </c>
      <c r="AA647" s="29" t="str">
        <f t="shared" si="237"/>
        <v>NA</v>
      </c>
      <c r="AB647" s="29" t="str">
        <f t="shared" si="238"/>
        <v>NA</v>
      </c>
      <c r="AC647" s="29" t="str">
        <f t="shared" si="239"/>
        <v>NA</v>
      </c>
      <c r="AD647" s="29" t="str">
        <f t="shared" si="240"/>
        <v>NA</v>
      </c>
      <c r="AE647" s="29" t="str">
        <f t="shared" si="241"/>
        <v>NA</v>
      </c>
      <c r="AF647" s="29" t="str">
        <f t="shared" si="242"/>
        <v>NA</v>
      </c>
      <c r="AG647" s="29" t="str">
        <f t="shared" si="243"/>
        <v>NA</v>
      </c>
      <c r="AH647" s="29" t="str">
        <f t="shared" si="244"/>
        <v>NA</v>
      </c>
    </row>
    <row r="648" customHeight="1" spans="1:34">
      <c r="A648" s="12" t="s">
        <v>1043</v>
      </c>
      <c r="F648" s="24">
        <f t="shared" si="246"/>
        <v>0</v>
      </c>
      <c r="G648" s="24" t="e">
        <f t="shared" si="245"/>
        <v>#DIV/0!</v>
      </c>
      <c r="Q648" s="29" t="str">
        <f t="shared" si="227"/>
        <v>NA</v>
      </c>
      <c r="R648" s="29" t="str">
        <f t="shared" si="228"/>
        <v>NA</v>
      </c>
      <c r="S648" s="29" t="str">
        <f t="shared" si="229"/>
        <v>NA</v>
      </c>
      <c r="T648" s="29" t="str">
        <f t="shared" si="230"/>
        <v>NA</v>
      </c>
      <c r="U648" s="29" t="str">
        <f t="shared" si="231"/>
        <v>NA</v>
      </c>
      <c r="V648" s="29" t="str">
        <f t="shared" si="232"/>
        <v>NA</v>
      </c>
      <c r="W648" s="29" t="str">
        <f t="shared" si="233"/>
        <v>NA</v>
      </c>
      <c r="X648" s="29" t="str">
        <f t="shared" si="234"/>
        <v>NA</v>
      </c>
      <c r="Y648" s="29" t="str">
        <f t="shared" si="235"/>
        <v>NA</v>
      </c>
      <c r="Z648" s="29" t="str">
        <f t="shared" si="236"/>
        <v>NA</v>
      </c>
      <c r="AA648" s="29" t="str">
        <f t="shared" si="237"/>
        <v>NA</v>
      </c>
      <c r="AB648" s="29" t="str">
        <f t="shared" si="238"/>
        <v>NA</v>
      </c>
      <c r="AC648" s="29" t="str">
        <f t="shared" si="239"/>
        <v>NA</v>
      </c>
      <c r="AD648" s="29" t="str">
        <f t="shared" si="240"/>
        <v>NA</v>
      </c>
      <c r="AE648" s="29" t="str">
        <f t="shared" si="241"/>
        <v>NA</v>
      </c>
      <c r="AF648" s="29" t="str">
        <f t="shared" si="242"/>
        <v>NA</v>
      </c>
      <c r="AG648" s="29" t="str">
        <f t="shared" si="243"/>
        <v>NA</v>
      </c>
      <c r="AH648" s="29" t="str">
        <f t="shared" si="244"/>
        <v>NA</v>
      </c>
    </row>
    <row r="649" customHeight="1" spans="1:34">
      <c r="A649" s="12" t="s">
        <v>1043</v>
      </c>
      <c r="F649" s="24">
        <f t="shared" si="246"/>
        <v>0</v>
      </c>
      <c r="G649" s="24" t="e">
        <f t="shared" si="245"/>
        <v>#DIV/0!</v>
      </c>
      <c r="Q649" s="29" t="str">
        <f t="shared" si="227"/>
        <v>NA</v>
      </c>
      <c r="R649" s="29" t="str">
        <f t="shared" si="228"/>
        <v>NA</v>
      </c>
      <c r="S649" s="29" t="str">
        <f t="shared" si="229"/>
        <v>NA</v>
      </c>
      <c r="T649" s="29" t="str">
        <f t="shared" si="230"/>
        <v>NA</v>
      </c>
      <c r="U649" s="29" t="str">
        <f t="shared" si="231"/>
        <v>NA</v>
      </c>
      <c r="V649" s="29" t="str">
        <f t="shared" si="232"/>
        <v>NA</v>
      </c>
      <c r="W649" s="29" t="str">
        <f t="shared" si="233"/>
        <v>NA</v>
      </c>
      <c r="X649" s="29" t="str">
        <f t="shared" si="234"/>
        <v>NA</v>
      </c>
      <c r="Y649" s="29" t="str">
        <f t="shared" si="235"/>
        <v>NA</v>
      </c>
      <c r="Z649" s="29" t="str">
        <f t="shared" si="236"/>
        <v>NA</v>
      </c>
      <c r="AA649" s="29" t="str">
        <f t="shared" si="237"/>
        <v>NA</v>
      </c>
      <c r="AB649" s="29" t="str">
        <f t="shared" si="238"/>
        <v>NA</v>
      </c>
      <c r="AC649" s="29" t="str">
        <f t="shared" si="239"/>
        <v>NA</v>
      </c>
      <c r="AD649" s="29" t="str">
        <f t="shared" si="240"/>
        <v>NA</v>
      </c>
      <c r="AE649" s="29" t="str">
        <f t="shared" si="241"/>
        <v>NA</v>
      </c>
      <c r="AF649" s="29" t="str">
        <f t="shared" si="242"/>
        <v>NA</v>
      </c>
      <c r="AG649" s="29" t="str">
        <f t="shared" si="243"/>
        <v>NA</v>
      </c>
      <c r="AH649" s="29" t="str">
        <f t="shared" si="244"/>
        <v>NA</v>
      </c>
    </row>
    <row r="650" customHeight="1" spans="1:34">
      <c r="A650" s="12" t="s">
        <v>1043</v>
      </c>
      <c r="F650" s="24">
        <f t="shared" si="246"/>
        <v>0</v>
      </c>
      <c r="G650" s="24" t="e">
        <f t="shared" si="245"/>
        <v>#DIV/0!</v>
      </c>
      <c r="Q650" s="29" t="str">
        <f t="shared" si="227"/>
        <v>NA</v>
      </c>
      <c r="R650" s="29" t="str">
        <f t="shared" si="228"/>
        <v>NA</v>
      </c>
      <c r="S650" s="29" t="str">
        <f t="shared" si="229"/>
        <v>NA</v>
      </c>
      <c r="T650" s="29" t="str">
        <f t="shared" si="230"/>
        <v>NA</v>
      </c>
      <c r="U650" s="29" t="str">
        <f t="shared" si="231"/>
        <v>NA</v>
      </c>
      <c r="V650" s="29" t="str">
        <f t="shared" si="232"/>
        <v>NA</v>
      </c>
      <c r="W650" s="29" t="str">
        <f t="shared" si="233"/>
        <v>NA</v>
      </c>
      <c r="X650" s="29" t="str">
        <f t="shared" si="234"/>
        <v>NA</v>
      </c>
      <c r="Y650" s="29" t="str">
        <f t="shared" si="235"/>
        <v>NA</v>
      </c>
      <c r="Z650" s="29" t="str">
        <f t="shared" si="236"/>
        <v>NA</v>
      </c>
      <c r="AA650" s="29" t="str">
        <f t="shared" si="237"/>
        <v>NA</v>
      </c>
      <c r="AB650" s="29" t="str">
        <f t="shared" si="238"/>
        <v>NA</v>
      </c>
      <c r="AC650" s="29" t="str">
        <f t="shared" si="239"/>
        <v>NA</v>
      </c>
      <c r="AD650" s="29" t="str">
        <f t="shared" si="240"/>
        <v>NA</v>
      </c>
      <c r="AE650" s="29" t="str">
        <f t="shared" si="241"/>
        <v>NA</v>
      </c>
      <c r="AF650" s="29" t="str">
        <f t="shared" si="242"/>
        <v>NA</v>
      </c>
      <c r="AG650" s="29" t="str">
        <f t="shared" si="243"/>
        <v>NA</v>
      </c>
      <c r="AH650" s="29" t="str">
        <f t="shared" si="244"/>
        <v>NA</v>
      </c>
    </row>
    <row r="651" customHeight="1" spans="1:34">
      <c r="A651" s="12" t="s">
        <v>1043</v>
      </c>
      <c r="F651" s="24">
        <f t="shared" si="246"/>
        <v>0</v>
      </c>
      <c r="G651" s="24" t="e">
        <f t="shared" si="245"/>
        <v>#DIV/0!</v>
      </c>
      <c r="Q651" s="29" t="str">
        <f t="shared" si="227"/>
        <v>NA</v>
      </c>
      <c r="R651" s="29" t="str">
        <f t="shared" si="228"/>
        <v>NA</v>
      </c>
      <c r="S651" s="29" t="str">
        <f t="shared" si="229"/>
        <v>NA</v>
      </c>
      <c r="T651" s="29" t="str">
        <f t="shared" si="230"/>
        <v>NA</v>
      </c>
      <c r="U651" s="29" t="str">
        <f t="shared" si="231"/>
        <v>NA</v>
      </c>
      <c r="V651" s="29" t="str">
        <f t="shared" si="232"/>
        <v>NA</v>
      </c>
      <c r="W651" s="29" t="str">
        <f t="shared" si="233"/>
        <v>NA</v>
      </c>
      <c r="X651" s="29" t="str">
        <f t="shared" si="234"/>
        <v>NA</v>
      </c>
      <c r="Y651" s="29" t="str">
        <f t="shared" si="235"/>
        <v>NA</v>
      </c>
      <c r="Z651" s="29" t="str">
        <f t="shared" si="236"/>
        <v>NA</v>
      </c>
      <c r="AA651" s="29" t="str">
        <f t="shared" si="237"/>
        <v>NA</v>
      </c>
      <c r="AB651" s="29" t="str">
        <f t="shared" si="238"/>
        <v>NA</v>
      </c>
      <c r="AC651" s="29" t="str">
        <f t="shared" si="239"/>
        <v>NA</v>
      </c>
      <c r="AD651" s="29" t="str">
        <f t="shared" si="240"/>
        <v>NA</v>
      </c>
      <c r="AE651" s="29" t="str">
        <f t="shared" si="241"/>
        <v>NA</v>
      </c>
      <c r="AF651" s="29" t="str">
        <f t="shared" si="242"/>
        <v>NA</v>
      </c>
      <c r="AG651" s="29" t="str">
        <f t="shared" si="243"/>
        <v>NA</v>
      </c>
      <c r="AH651" s="29" t="str">
        <f t="shared" si="244"/>
        <v>NA</v>
      </c>
    </row>
    <row r="652" customHeight="1" spans="1:34">
      <c r="A652" s="12" t="s">
        <v>1043</v>
      </c>
      <c r="F652" s="24">
        <f t="shared" si="246"/>
        <v>0</v>
      </c>
      <c r="G652" s="24" t="e">
        <f t="shared" si="245"/>
        <v>#DIV/0!</v>
      </c>
      <c r="Q652" s="29" t="str">
        <f t="shared" si="227"/>
        <v>NA</v>
      </c>
      <c r="R652" s="29" t="str">
        <f t="shared" si="228"/>
        <v>NA</v>
      </c>
      <c r="S652" s="29" t="str">
        <f t="shared" si="229"/>
        <v>NA</v>
      </c>
      <c r="T652" s="29" t="str">
        <f t="shared" si="230"/>
        <v>NA</v>
      </c>
      <c r="U652" s="29" t="str">
        <f t="shared" si="231"/>
        <v>NA</v>
      </c>
      <c r="V652" s="29" t="str">
        <f t="shared" si="232"/>
        <v>NA</v>
      </c>
      <c r="W652" s="29" t="str">
        <f t="shared" si="233"/>
        <v>NA</v>
      </c>
      <c r="X652" s="29" t="str">
        <f t="shared" si="234"/>
        <v>NA</v>
      </c>
      <c r="Y652" s="29" t="str">
        <f t="shared" si="235"/>
        <v>NA</v>
      </c>
      <c r="Z652" s="29" t="str">
        <f t="shared" si="236"/>
        <v>NA</v>
      </c>
      <c r="AA652" s="29" t="str">
        <f t="shared" si="237"/>
        <v>NA</v>
      </c>
      <c r="AB652" s="29" t="str">
        <f t="shared" si="238"/>
        <v>NA</v>
      </c>
      <c r="AC652" s="29" t="str">
        <f t="shared" si="239"/>
        <v>NA</v>
      </c>
      <c r="AD652" s="29" t="str">
        <f t="shared" si="240"/>
        <v>NA</v>
      </c>
      <c r="AE652" s="29" t="str">
        <f t="shared" si="241"/>
        <v>NA</v>
      </c>
      <c r="AF652" s="29" t="str">
        <f t="shared" si="242"/>
        <v>NA</v>
      </c>
      <c r="AG652" s="29" t="str">
        <f t="shared" si="243"/>
        <v>NA</v>
      </c>
      <c r="AH652" s="29" t="str">
        <f t="shared" si="244"/>
        <v>NA</v>
      </c>
    </row>
    <row r="653" customHeight="1" spans="1:34">
      <c r="A653" s="12" t="s">
        <v>1043</v>
      </c>
      <c r="F653" s="24">
        <f t="shared" si="246"/>
        <v>0</v>
      </c>
      <c r="G653" s="24" t="e">
        <f t="shared" si="245"/>
        <v>#DIV/0!</v>
      </c>
      <c r="Q653" s="29" t="str">
        <f t="shared" si="227"/>
        <v>NA</v>
      </c>
      <c r="R653" s="29" t="str">
        <f t="shared" si="228"/>
        <v>NA</v>
      </c>
      <c r="S653" s="29" t="str">
        <f t="shared" si="229"/>
        <v>NA</v>
      </c>
      <c r="T653" s="29" t="str">
        <f t="shared" si="230"/>
        <v>NA</v>
      </c>
      <c r="U653" s="29" t="str">
        <f t="shared" si="231"/>
        <v>NA</v>
      </c>
      <c r="V653" s="29" t="str">
        <f t="shared" si="232"/>
        <v>NA</v>
      </c>
      <c r="W653" s="29" t="str">
        <f t="shared" si="233"/>
        <v>NA</v>
      </c>
      <c r="X653" s="29" t="str">
        <f t="shared" si="234"/>
        <v>NA</v>
      </c>
      <c r="Y653" s="29" t="str">
        <f t="shared" si="235"/>
        <v>NA</v>
      </c>
      <c r="Z653" s="29" t="str">
        <f t="shared" si="236"/>
        <v>NA</v>
      </c>
      <c r="AA653" s="29" t="str">
        <f t="shared" si="237"/>
        <v>NA</v>
      </c>
      <c r="AB653" s="29" t="str">
        <f t="shared" si="238"/>
        <v>NA</v>
      </c>
      <c r="AC653" s="29" t="str">
        <f t="shared" si="239"/>
        <v>NA</v>
      </c>
      <c r="AD653" s="29" t="str">
        <f t="shared" si="240"/>
        <v>NA</v>
      </c>
      <c r="AE653" s="29" t="str">
        <f t="shared" si="241"/>
        <v>NA</v>
      </c>
      <c r="AF653" s="29" t="str">
        <f t="shared" si="242"/>
        <v>NA</v>
      </c>
      <c r="AG653" s="29" t="str">
        <f t="shared" si="243"/>
        <v>NA</v>
      </c>
      <c r="AH653" s="29" t="str">
        <f t="shared" si="244"/>
        <v>NA</v>
      </c>
    </row>
    <row r="654" customHeight="1" spans="1:34">
      <c r="A654" s="12" t="s">
        <v>1043</v>
      </c>
      <c r="F654" s="24">
        <f t="shared" si="246"/>
        <v>0</v>
      </c>
      <c r="G654" s="24" t="e">
        <f t="shared" si="245"/>
        <v>#DIV/0!</v>
      </c>
      <c r="Q654" s="29" t="str">
        <f t="shared" si="227"/>
        <v>NA</v>
      </c>
      <c r="R654" s="29" t="str">
        <f t="shared" si="228"/>
        <v>NA</v>
      </c>
      <c r="S654" s="29" t="str">
        <f t="shared" si="229"/>
        <v>NA</v>
      </c>
      <c r="T654" s="29" t="str">
        <f t="shared" si="230"/>
        <v>NA</v>
      </c>
      <c r="U654" s="29" t="str">
        <f t="shared" si="231"/>
        <v>NA</v>
      </c>
      <c r="V654" s="29" t="str">
        <f t="shared" si="232"/>
        <v>NA</v>
      </c>
      <c r="W654" s="29" t="str">
        <f t="shared" si="233"/>
        <v>NA</v>
      </c>
      <c r="X654" s="29" t="str">
        <f t="shared" si="234"/>
        <v>NA</v>
      </c>
      <c r="Y654" s="29" t="str">
        <f t="shared" si="235"/>
        <v>NA</v>
      </c>
      <c r="Z654" s="29" t="str">
        <f t="shared" si="236"/>
        <v>NA</v>
      </c>
      <c r="AA654" s="29" t="str">
        <f t="shared" si="237"/>
        <v>NA</v>
      </c>
      <c r="AB654" s="29" t="str">
        <f t="shared" si="238"/>
        <v>NA</v>
      </c>
      <c r="AC654" s="29" t="str">
        <f t="shared" si="239"/>
        <v>NA</v>
      </c>
      <c r="AD654" s="29" t="str">
        <f t="shared" si="240"/>
        <v>NA</v>
      </c>
      <c r="AE654" s="29" t="str">
        <f t="shared" si="241"/>
        <v>NA</v>
      </c>
      <c r="AF654" s="29" t="str">
        <f t="shared" si="242"/>
        <v>NA</v>
      </c>
      <c r="AG654" s="29" t="str">
        <f t="shared" si="243"/>
        <v>NA</v>
      </c>
      <c r="AH654" s="29" t="str">
        <f t="shared" si="244"/>
        <v>NA</v>
      </c>
    </row>
    <row r="655" customHeight="1" spans="1:34">
      <c r="A655" s="12" t="s">
        <v>1043</v>
      </c>
      <c r="F655" s="24">
        <f t="shared" si="246"/>
        <v>0</v>
      </c>
      <c r="G655" s="24" t="e">
        <f t="shared" si="245"/>
        <v>#DIV/0!</v>
      </c>
      <c r="Q655" s="29" t="str">
        <f t="shared" si="227"/>
        <v>NA</v>
      </c>
      <c r="R655" s="29" t="str">
        <f t="shared" si="228"/>
        <v>NA</v>
      </c>
      <c r="S655" s="29" t="str">
        <f t="shared" si="229"/>
        <v>NA</v>
      </c>
      <c r="T655" s="29" t="str">
        <f t="shared" si="230"/>
        <v>NA</v>
      </c>
      <c r="U655" s="29" t="str">
        <f t="shared" si="231"/>
        <v>NA</v>
      </c>
      <c r="V655" s="29" t="str">
        <f t="shared" si="232"/>
        <v>NA</v>
      </c>
      <c r="W655" s="29" t="str">
        <f t="shared" si="233"/>
        <v>NA</v>
      </c>
      <c r="X655" s="29" t="str">
        <f t="shared" si="234"/>
        <v>NA</v>
      </c>
      <c r="Y655" s="29" t="str">
        <f t="shared" si="235"/>
        <v>NA</v>
      </c>
      <c r="Z655" s="29" t="str">
        <f t="shared" si="236"/>
        <v>NA</v>
      </c>
      <c r="AA655" s="29" t="str">
        <f t="shared" si="237"/>
        <v>NA</v>
      </c>
      <c r="AB655" s="29" t="str">
        <f t="shared" si="238"/>
        <v>NA</v>
      </c>
      <c r="AC655" s="29" t="str">
        <f t="shared" si="239"/>
        <v>NA</v>
      </c>
      <c r="AD655" s="29" t="str">
        <f t="shared" si="240"/>
        <v>NA</v>
      </c>
      <c r="AE655" s="29" t="str">
        <f t="shared" si="241"/>
        <v>NA</v>
      </c>
      <c r="AF655" s="29" t="str">
        <f t="shared" si="242"/>
        <v>NA</v>
      </c>
      <c r="AG655" s="29" t="str">
        <f t="shared" si="243"/>
        <v>NA</v>
      </c>
      <c r="AH655" s="29" t="str">
        <f t="shared" si="244"/>
        <v>NA</v>
      </c>
    </row>
    <row r="656" customHeight="1" spans="1:34">
      <c r="A656" s="12" t="s">
        <v>1043</v>
      </c>
      <c r="F656" s="24">
        <f t="shared" si="246"/>
        <v>0</v>
      </c>
      <c r="G656" s="24" t="e">
        <f t="shared" si="245"/>
        <v>#DIV/0!</v>
      </c>
      <c r="Q656" s="29" t="str">
        <f t="shared" ref="Q656:Q719" si="247">IFERROR($B656*$E656/H656,"NA")</f>
        <v>NA</v>
      </c>
      <c r="R656" s="29" t="str">
        <f t="shared" ref="R656:R719" si="248">IFERROR($B656*$E656/I656,"NA")</f>
        <v>NA</v>
      </c>
      <c r="S656" s="29" t="str">
        <f t="shared" ref="S656:S719" si="249">IFERROR($B656*$E656/J656,"NA")</f>
        <v>NA</v>
      </c>
      <c r="T656" s="29" t="str">
        <f t="shared" ref="T656:T719" si="250">IFERROR($B656*$E656/K656,"NA")</f>
        <v>NA</v>
      </c>
      <c r="U656" s="29" t="str">
        <f t="shared" ref="U656:U719" si="251">IFERROR($B656*$E656/L656,"NA")</f>
        <v>NA</v>
      </c>
      <c r="V656" s="29" t="str">
        <f t="shared" ref="V656:V719" si="252">IFERROR($B656*$E656/M656,"NA")</f>
        <v>NA</v>
      </c>
      <c r="W656" s="29" t="str">
        <f t="shared" ref="W656:W719" si="253">IFERROR($B656*$E656/N656,"NA")</f>
        <v>NA</v>
      </c>
      <c r="X656" s="29" t="str">
        <f t="shared" ref="X656:X719" si="254">IFERROR($B656*$E656/O656,"NA")</f>
        <v>NA</v>
      </c>
      <c r="Y656" s="29" t="str">
        <f t="shared" ref="Y656:Y719" si="255">IFERROR($B656*$E656/P656,"NA")</f>
        <v>NA</v>
      </c>
      <c r="Z656" s="29" t="str">
        <f t="shared" ref="Z656:Z719" si="256">IFERROR((($G656*Z$2/1000)+Q656)/1,"NA")</f>
        <v>NA</v>
      </c>
      <c r="AA656" s="29" t="str">
        <f t="shared" ref="AA656:AA719" si="257">IFERROR((($G656*AA$2/1000)+R656)/1,"NA")</f>
        <v>NA</v>
      </c>
      <c r="AB656" s="29" t="str">
        <f t="shared" ref="AB656:AB719" si="258">IFERROR((($G656*AB$2/1000)+S656)/1,"NA")</f>
        <v>NA</v>
      </c>
      <c r="AC656" s="29" t="str">
        <f t="shared" ref="AC656:AC719" si="259">IFERROR((($G656*AC$2/1000)+T656)/1,"NA")</f>
        <v>NA</v>
      </c>
      <c r="AD656" s="29" t="str">
        <f t="shared" ref="AD656:AD719" si="260">IFERROR((($G656*AD$2/1000)+U656)/1,"NA")</f>
        <v>NA</v>
      </c>
      <c r="AE656" s="29" t="str">
        <f t="shared" ref="AE656:AE719" si="261">IFERROR((($G656*AE$2/1000)+V656)/1,"NA")</f>
        <v>NA</v>
      </c>
      <c r="AF656" s="29" t="str">
        <f t="shared" ref="AF656:AF719" si="262">IFERROR((($G656*AF$2/1000)+W656)/1,"NA")</f>
        <v>NA</v>
      </c>
      <c r="AG656" s="29" t="str">
        <f t="shared" ref="AG656:AG719" si="263">IFERROR((($G656*AG$2/1000)+X656)/1,"NA")</f>
        <v>NA</v>
      </c>
      <c r="AH656" s="29" t="str">
        <f t="shared" ref="AH656:AH719" si="264">IFERROR((($G656*AH$2/1000)+Y656)/1,"NA")</f>
        <v>NA</v>
      </c>
    </row>
    <row r="657" customHeight="1" spans="1:34">
      <c r="A657" s="12" t="s">
        <v>1043</v>
      </c>
      <c r="F657" s="24">
        <f t="shared" si="246"/>
        <v>0</v>
      </c>
      <c r="G657" s="24" t="e">
        <f t="shared" si="245"/>
        <v>#DIV/0!</v>
      </c>
      <c r="Q657" s="29" t="str">
        <f t="shared" si="247"/>
        <v>NA</v>
      </c>
      <c r="R657" s="29" t="str">
        <f t="shared" si="248"/>
        <v>NA</v>
      </c>
      <c r="S657" s="29" t="str">
        <f t="shared" si="249"/>
        <v>NA</v>
      </c>
      <c r="T657" s="29" t="str">
        <f t="shared" si="250"/>
        <v>NA</v>
      </c>
      <c r="U657" s="29" t="str">
        <f t="shared" si="251"/>
        <v>NA</v>
      </c>
      <c r="V657" s="29" t="str">
        <f t="shared" si="252"/>
        <v>NA</v>
      </c>
      <c r="W657" s="29" t="str">
        <f t="shared" si="253"/>
        <v>NA</v>
      </c>
      <c r="X657" s="29" t="str">
        <f t="shared" si="254"/>
        <v>NA</v>
      </c>
      <c r="Y657" s="29" t="str">
        <f t="shared" si="255"/>
        <v>NA</v>
      </c>
      <c r="Z657" s="29" t="str">
        <f t="shared" si="256"/>
        <v>NA</v>
      </c>
      <c r="AA657" s="29" t="str">
        <f t="shared" si="257"/>
        <v>NA</v>
      </c>
      <c r="AB657" s="29" t="str">
        <f t="shared" si="258"/>
        <v>NA</v>
      </c>
      <c r="AC657" s="29" t="str">
        <f t="shared" si="259"/>
        <v>NA</v>
      </c>
      <c r="AD657" s="29" t="str">
        <f t="shared" si="260"/>
        <v>NA</v>
      </c>
      <c r="AE657" s="29" t="str">
        <f t="shared" si="261"/>
        <v>NA</v>
      </c>
      <c r="AF657" s="29" t="str">
        <f t="shared" si="262"/>
        <v>NA</v>
      </c>
      <c r="AG657" s="29" t="str">
        <f t="shared" si="263"/>
        <v>NA</v>
      </c>
      <c r="AH657" s="29" t="str">
        <f t="shared" si="264"/>
        <v>NA</v>
      </c>
    </row>
    <row r="658" customHeight="1" spans="1:34">
      <c r="A658" s="12" t="s">
        <v>1043</v>
      </c>
      <c r="F658" s="24">
        <f t="shared" si="246"/>
        <v>0</v>
      </c>
      <c r="G658" s="24" t="e">
        <f t="shared" si="245"/>
        <v>#DIV/0!</v>
      </c>
      <c r="Q658" s="29" t="str">
        <f t="shared" si="247"/>
        <v>NA</v>
      </c>
      <c r="R658" s="29" t="str">
        <f t="shared" si="248"/>
        <v>NA</v>
      </c>
      <c r="S658" s="29" t="str">
        <f t="shared" si="249"/>
        <v>NA</v>
      </c>
      <c r="T658" s="29" t="str">
        <f t="shared" si="250"/>
        <v>NA</v>
      </c>
      <c r="U658" s="29" t="str">
        <f t="shared" si="251"/>
        <v>NA</v>
      </c>
      <c r="V658" s="29" t="str">
        <f t="shared" si="252"/>
        <v>NA</v>
      </c>
      <c r="W658" s="29" t="str">
        <f t="shared" si="253"/>
        <v>NA</v>
      </c>
      <c r="X658" s="29" t="str">
        <f t="shared" si="254"/>
        <v>NA</v>
      </c>
      <c r="Y658" s="29" t="str">
        <f t="shared" si="255"/>
        <v>NA</v>
      </c>
      <c r="Z658" s="29" t="str">
        <f t="shared" si="256"/>
        <v>NA</v>
      </c>
      <c r="AA658" s="29" t="str">
        <f t="shared" si="257"/>
        <v>NA</v>
      </c>
      <c r="AB658" s="29" t="str">
        <f t="shared" si="258"/>
        <v>NA</v>
      </c>
      <c r="AC658" s="29" t="str">
        <f t="shared" si="259"/>
        <v>NA</v>
      </c>
      <c r="AD658" s="29" t="str">
        <f t="shared" si="260"/>
        <v>NA</v>
      </c>
      <c r="AE658" s="29" t="str">
        <f t="shared" si="261"/>
        <v>NA</v>
      </c>
      <c r="AF658" s="29" t="str">
        <f t="shared" si="262"/>
        <v>NA</v>
      </c>
      <c r="AG658" s="29" t="str">
        <f t="shared" si="263"/>
        <v>NA</v>
      </c>
      <c r="AH658" s="29" t="str">
        <f t="shared" si="264"/>
        <v>NA</v>
      </c>
    </row>
    <row r="659" customHeight="1" spans="1:34">
      <c r="A659" s="12" t="s">
        <v>1043</v>
      </c>
      <c r="F659" s="24">
        <f t="shared" si="246"/>
        <v>0</v>
      </c>
      <c r="G659" s="24" t="e">
        <f t="shared" si="245"/>
        <v>#DIV/0!</v>
      </c>
      <c r="Q659" s="29" t="str">
        <f t="shared" si="247"/>
        <v>NA</v>
      </c>
      <c r="R659" s="29" t="str">
        <f t="shared" si="248"/>
        <v>NA</v>
      </c>
      <c r="S659" s="29" t="str">
        <f t="shared" si="249"/>
        <v>NA</v>
      </c>
      <c r="T659" s="29" t="str">
        <f t="shared" si="250"/>
        <v>NA</v>
      </c>
      <c r="U659" s="29" t="str">
        <f t="shared" si="251"/>
        <v>NA</v>
      </c>
      <c r="V659" s="29" t="str">
        <f t="shared" si="252"/>
        <v>NA</v>
      </c>
      <c r="W659" s="29" t="str">
        <f t="shared" si="253"/>
        <v>NA</v>
      </c>
      <c r="X659" s="29" t="str">
        <f t="shared" si="254"/>
        <v>NA</v>
      </c>
      <c r="Y659" s="29" t="str">
        <f t="shared" si="255"/>
        <v>NA</v>
      </c>
      <c r="Z659" s="29" t="str">
        <f t="shared" si="256"/>
        <v>NA</v>
      </c>
      <c r="AA659" s="29" t="str">
        <f t="shared" si="257"/>
        <v>NA</v>
      </c>
      <c r="AB659" s="29" t="str">
        <f t="shared" si="258"/>
        <v>NA</v>
      </c>
      <c r="AC659" s="29" t="str">
        <f t="shared" si="259"/>
        <v>NA</v>
      </c>
      <c r="AD659" s="29" t="str">
        <f t="shared" si="260"/>
        <v>NA</v>
      </c>
      <c r="AE659" s="29" t="str">
        <f t="shared" si="261"/>
        <v>NA</v>
      </c>
      <c r="AF659" s="29" t="str">
        <f t="shared" si="262"/>
        <v>NA</v>
      </c>
      <c r="AG659" s="29" t="str">
        <f t="shared" si="263"/>
        <v>NA</v>
      </c>
      <c r="AH659" s="29" t="str">
        <f t="shared" si="264"/>
        <v>NA</v>
      </c>
    </row>
    <row r="660" customHeight="1" spans="1:34">
      <c r="A660" s="12" t="s">
        <v>1043</v>
      </c>
      <c r="F660" s="24">
        <f t="shared" si="246"/>
        <v>0</v>
      </c>
      <c r="G660" s="24" t="e">
        <f t="shared" si="245"/>
        <v>#DIV/0!</v>
      </c>
      <c r="Q660" s="29" t="str">
        <f t="shared" si="247"/>
        <v>NA</v>
      </c>
      <c r="R660" s="29" t="str">
        <f t="shared" si="248"/>
        <v>NA</v>
      </c>
      <c r="S660" s="29" t="str">
        <f t="shared" si="249"/>
        <v>NA</v>
      </c>
      <c r="T660" s="29" t="str">
        <f t="shared" si="250"/>
        <v>NA</v>
      </c>
      <c r="U660" s="29" t="str">
        <f t="shared" si="251"/>
        <v>NA</v>
      </c>
      <c r="V660" s="29" t="str">
        <f t="shared" si="252"/>
        <v>NA</v>
      </c>
      <c r="W660" s="29" t="str">
        <f t="shared" si="253"/>
        <v>NA</v>
      </c>
      <c r="X660" s="29" t="str">
        <f t="shared" si="254"/>
        <v>NA</v>
      </c>
      <c r="Y660" s="29" t="str">
        <f t="shared" si="255"/>
        <v>NA</v>
      </c>
      <c r="Z660" s="29" t="str">
        <f t="shared" si="256"/>
        <v>NA</v>
      </c>
      <c r="AA660" s="29" t="str">
        <f t="shared" si="257"/>
        <v>NA</v>
      </c>
      <c r="AB660" s="29" t="str">
        <f t="shared" si="258"/>
        <v>NA</v>
      </c>
      <c r="AC660" s="29" t="str">
        <f t="shared" si="259"/>
        <v>NA</v>
      </c>
      <c r="AD660" s="29" t="str">
        <f t="shared" si="260"/>
        <v>NA</v>
      </c>
      <c r="AE660" s="29" t="str">
        <f t="shared" si="261"/>
        <v>NA</v>
      </c>
      <c r="AF660" s="29" t="str">
        <f t="shared" si="262"/>
        <v>NA</v>
      </c>
      <c r="AG660" s="29" t="str">
        <f t="shared" si="263"/>
        <v>NA</v>
      </c>
      <c r="AH660" s="29" t="str">
        <f t="shared" si="264"/>
        <v>NA</v>
      </c>
    </row>
    <row r="661" customHeight="1" spans="1:34">
      <c r="A661" s="12" t="s">
        <v>1043</v>
      </c>
      <c r="F661" s="24">
        <f t="shared" si="246"/>
        <v>0</v>
      </c>
      <c r="G661" s="24" t="e">
        <f t="shared" si="245"/>
        <v>#DIV/0!</v>
      </c>
      <c r="Q661" s="29" t="str">
        <f t="shared" si="247"/>
        <v>NA</v>
      </c>
      <c r="R661" s="29" t="str">
        <f t="shared" si="248"/>
        <v>NA</v>
      </c>
      <c r="S661" s="29" t="str">
        <f t="shared" si="249"/>
        <v>NA</v>
      </c>
      <c r="T661" s="29" t="str">
        <f t="shared" si="250"/>
        <v>NA</v>
      </c>
      <c r="U661" s="29" t="str">
        <f t="shared" si="251"/>
        <v>NA</v>
      </c>
      <c r="V661" s="29" t="str">
        <f t="shared" si="252"/>
        <v>NA</v>
      </c>
      <c r="W661" s="29" t="str">
        <f t="shared" si="253"/>
        <v>NA</v>
      </c>
      <c r="X661" s="29" t="str">
        <f t="shared" si="254"/>
        <v>NA</v>
      </c>
      <c r="Y661" s="29" t="str">
        <f t="shared" si="255"/>
        <v>NA</v>
      </c>
      <c r="Z661" s="29" t="str">
        <f t="shared" si="256"/>
        <v>NA</v>
      </c>
      <c r="AA661" s="29" t="str">
        <f t="shared" si="257"/>
        <v>NA</v>
      </c>
      <c r="AB661" s="29" t="str">
        <f t="shared" si="258"/>
        <v>NA</v>
      </c>
      <c r="AC661" s="29" t="str">
        <f t="shared" si="259"/>
        <v>NA</v>
      </c>
      <c r="AD661" s="29" t="str">
        <f t="shared" si="260"/>
        <v>NA</v>
      </c>
      <c r="AE661" s="29" t="str">
        <f t="shared" si="261"/>
        <v>NA</v>
      </c>
      <c r="AF661" s="29" t="str">
        <f t="shared" si="262"/>
        <v>NA</v>
      </c>
      <c r="AG661" s="29" t="str">
        <f t="shared" si="263"/>
        <v>NA</v>
      </c>
      <c r="AH661" s="29" t="str">
        <f t="shared" si="264"/>
        <v>NA</v>
      </c>
    </row>
    <row r="662" customHeight="1" spans="1:34">
      <c r="A662" s="12" t="s">
        <v>1043</v>
      </c>
      <c r="F662" s="24">
        <f t="shared" si="246"/>
        <v>0</v>
      </c>
      <c r="G662" s="24" t="e">
        <f t="shared" si="245"/>
        <v>#DIV/0!</v>
      </c>
      <c r="Q662" s="29" t="str">
        <f t="shared" si="247"/>
        <v>NA</v>
      </c>
      <c r="R662" s="29" t="str">
        <f t="shared" si="248"/>
        <v>NA</v>
      </c>
      <c r="S662" s="29" t="str">
        <f t="shared" si="249"/>
        <v>NA</v>
      </c>
      <c r="T662" s="29" t="str">
        <f t="shared" si="250"/>
        <v>NA</v>
      </c>
      <c r="U662" s="29" t="str">
        <f t="shared" si="251"/>
        <v>NA</v>
      </c>
      <c r="V662" s="29" t="str">
        <f t="shared" si="252"/>
        <v>NA</v>
      </c>
      <c r="W662" s="29" t="str">
        <f t="shared" si="253"/>
        <v>NA</v>
      </c>
      <c r="X662" s="29" t="str">
        <f t="shared" si="254"/>
        <v>NA</v>
      </c>
      <c r="Y662" s="29" t="str">
        <f t="shared" si="255"/>
        <v>NA</v>
      </c>
      <c r="Z662" s="29" t="str">
        <f t="shared" si="256"/>
        <v>NA</v>
      </c>
      <c r="AA662" s="29" t="str">
        <f t="shared" si="257"/>
        <v>NA</v>
      </c>
      <c r="AB662" s="29" t="str">
        <f t="shared" si="258"/>
        <v>NA</v>
      </c>
      <c r="AC662" s="29" t="str">
        <f t="shared" si="259"/>
        <v>NA</v>
      </c>
      <c r="AD662" s="29" t="str">
        <f t="shared" si="260"/>
        <v>NA</v>
      </c>
      <c r="AE662" s="29" t="str">
        <f t="shared" si="261"/>
        <v>NA</v>
      </c>
      <c r="AF662" s="29" t="str">
        <f t="shared" si="262"/>
        <v>NA</v>
      </c>
      <c r="AG662" s="29" t="str">
        <f t="shared" si="263"/>
        <v>NA</v>
      </c>
      <c r="AH662" s="29" t="str">
        <f t="shared" si="264"/>
        <v>NA</v>
      </c>
    </row>
    <row r="663" customHeight="1" spans="1:34">
      <c r="A663" s="12" t="s">
        <v>1043</v>
      </c>
      <c r="F663" s="24">
        <f t="shared" si="246"/>
        <v>0</v>
      </c>
      <c r="G663" s="24" t="e">
        <f t="shared" si="245"/>
        <v>#DIV/0!</v>
      </c>
      <c r="Q663" s="29" t="str">
        <f t="shared" si="247"/>
        <v>NA</v>
      </c>
      <c r="R663" s="29" t="str">
        <f t="shared" si="248"/>
        <v>NA</v>
      </c>
      <c r="S663" s="29" t="str">
        <f t="shared" si="249"/>
        <v>NA</v>
      </c>
      <c r="T663" s="29" t="str">
        <f t="shared" si="250"/>
        <v>NA</v>
      </c>
      <c r="U663" s="29" t="str">
        <f t="shared" si="251"/>
        <v>NA</v>
      </c>
      <c r="V663" s="29" t="str">
        <f t="shared" si="252"/>
        <v>NA</v>
      </c>
      <c r="W663" s="29" t="str">
        <f t="shared" si="253"/>
        <v>NA</v>
      </c>
      <c r="X663" s="29" t="str">
        <f t="shared" si="254"/>
        <v>NA</v>
      </c>
      <c r="Y663" s="29" t="str">
        <f t="shared" si="255"/>
        <v>NA</v>
      </c>
      <c r="Z663" s="29" t="str">
        <f t="shared" si="256"/>
        <v>NA</v>
      </c>
      <c r="AA663" s="29" t="str">
        <f t="shared" si="257"/>
        <v>NA</v>
      </c>
      <c r="AB663" s="29" t="str">
        <f t="shared" si="258"/>
        <v>NA</v>
      </c>
      <c r="AC663" s="29" t="str">
        <f t="shared" si="259"/>
        <v>NA</v>
      </c>
      <c r="AD663" s="29" t="str">
        <f t="shared" si="260"/>
        <v>NA</v>
      </c>
      <c r="AE663" s="29" t="str">
        <f t="shared" si="261"/>
        <v>NA</v>
      </c>
      <c r="AF663" s="29" t="str">
        <f t="shared" si="262"/>
        <v>NA</v>
      </c>
      <c r="AG663" s="29" t="str">
        <f t="shared" si="263"/>
        <v>NA</v>
      </c>
      <c r="AH663" s="29" t="str">
        <f t="shared" si="264"/>
        <v>NA</v>
      </c>
    </row>
    <row r="664" customHeight="1" spans="1:34">
      <c r="A664" s="12" t="s">
        <v>1043</v>
      </c>
      <c r="F664" s="24">
        <f t="shared" si="246"/>
        <v>0</v>
      </c>
      <c r="G664" s="24" t="e">
        <f t="shared" si="245"/>
        <v>#DIV/0!</v>
      </c>
      <c r="Q664" s="29" t="str">
        <f t="shared" si="247"/>
        <v>NA</v>
      </c>
      <c r="R664" s="29" t="str">
        <f t="shared" si="248"/>
        <v>NA</v>
      </c>
      <c r="S664" s="29" t="str">
        <f t="shared" si="249"/>
        <v>NA</v>
      </c>
      <c r="T664" s="29" t="str">
        <f t="shared" si="250"/>
        <v>NA</v>
      </c>
      <c r="U664" s="29" t="str">
        <f t="shared" si="251"/>
        <v>NA</v>
      </c>
      <c r="V664" s="29" t="str">
        <f t="shared" si="252"/>
        <v>NA</v>
      </c>
      <c r="W664" s="29" t="str">
        <f t="shared" si="253"/>
        <v>NA</v>
      </c>
      <c r="X664" s="29" t="str">
        <f t="shared" si="254"/>
        <v>NA</v>
      </c>
      <c r="Y664" s="29" t="str">
        <f t="shared" si="255"/>
        <v>NA</v>
      </c>
      <c r="Z664" s="29" t="str">
        <f t="shared" si="256"/>
        <v>NA</v>
      </c>
      <c r="AA664" s="29" t="str">
        <f t="shared" si="257"/>
        <v>NA</v>
      </c>
      <c r="AB664" s="29" t="str">
        <f t="shared" si="258"/>
        <v>NA</v>
      </c>
      <c r="AC664" s="29" t="str">
        <f t="shared" si="259"/>
        <v>NA</v>
      </c>
      <c r="AD664" s="29" t="str">
        <f t="shared" si="260"/>
        <v>NA</v>
      </c>
      <c r="AE664" s="29" t="str">
        <f t="shared" si="261"/>
        <v>NA</v>
      </c>
      <c r="AF664" s="29" t="str">
        <f t="shared" si="262"/>
        <v>NA</v>
      </c>
      <c r="AG664" s="29" t="str">
        <f t="shared" si="263"/>
        <v>NA</v>
      </c>
      <c r="AH664" s="29" t="str">
        <f t="shared" si="264"/>
        <v>NA</v>
      </c>
    </row>
    <row r="665" customHeight="1" spans="1:34">
      <c r="A665" s="12" t="s">
        <v>1043</v>
      </c>
      <c r="F665" s="24">
        <f t="shared" si="246"/>
        <v>0</v>
      </c>
      <c r="G665" s="24" t="e">
        <f t="shared" si="245"/>
        <v>#DIV/0!</v>
      </c>
      <c r="Q665" s="29" t="str">
        <f t="shared" si="247"/>
        <v>NA</v>
      </c>
      <c r="R665" s="29" t="str">
        <f t="shared" si="248"/>
        <v>NA</v>
      </c>
      <c r="S665" s="29" t="str">
        <f t="shared" si="249"/>
        <v>NA</v>
      </c>
      <c r="T665" s="29" t="str">
        <f t="shared" si="250"/>
        <v>NA</v>
      </c>
      <c r="U665" s="29" t="str">
        <f t="shared" si="251"/>
        <v>NA</v>
      </c>
      <c r="V665" s="29" t="str">
        <f t="shared" si="252"/>
        <v>NA</v>
      </c>
      <c r="W665" s="29" t="str">
        <f t="shared" si="253"/>
        <v>NA</v>
      </c>
      <c r="X665" s="29" t="str">
        <f t="shared" si="254"/>
        <v>NA</v>
      </c>
      <c r="Y665" s="29" t="str">
        <f t="shared" si="255"/>
        <v>NA</v>
      </c>
      <c r="Z665" s="29" t="str">
        <f t="shared" si="256"/>
        <v>NA</v>
      </c>
      <c r="AA665" s="29" t="str">
        <f t="shared" si="257"/>
        <v>NA</v>
      </c>
      <c r="AB665" s="29" t="str">
        <f t="shared" si="258"/>
        <v>NA</v>
      </c>
      <c r="AC665" s="29" t="str">
        <f t="shared" si="259"/>
        <v>NA</v>
      </c>
      <c r="AD665" s="29" t="str">
        <f t="shared" si="260"/>
        <v>NA</v>
      </c>
      <c r="AE665" s="29" t="str">
        <f t="shared" si="261"/>
        <v>NA</v>
      </c>
      <c r="AF665" s="29" t="str">
        <f t="shared" si="262"/>
        <v>NA</v>
      </c>
      <c r="AG665" s="29" t="str">
        <f t="shared" si="263"/>
        <v>NA</v>
      </c>
      <c r="AH665" s="29" t="str">
        <f t="shared" si="264"/>
        <v>NA</v>
      </c>
    </row>
    <row r="666" customHeight="1" spans="1:34">
      <c r="A666" s="12" t="s">
        <v>1043</v>
      </c>
      <c r="F666" s="24">
        <f t="shared" si="246"/>
        <v>0</v>
      </c>
      <c r="G666" s="24" t="e">
        <f t="shared" si="245"/>
        <v>#DIV/0!</v>
      </c>
      <c r="Q666" s="29" t="str">
        <f t="shared" si="247"/>
        <v>NA</v>
      </c>
      <c r="R666" s="29" t="str">
        <f t="shared" si="248"/>
        <v>NA</v>
      </c>
      <c r="S666" s="29" t="str">
        <f t="shared" si="249"/>
        <v>NA</v>
      </c>
      <c r="T666" s="29" t="str">
        <f t="shared" si="250"/>
        <v>NA</v>
      </c>
      <c r="U666" s="29" t="str">
        <f t="shared" si="251"/>
        <v>NA</v>
      </c>
      <c r="V666" s="29" t="str">
        <f t="shared" si="252"/>
        <v>NA</v>
      </c>
      <c r="W666" s="29" t="str">
        <f t="shared" si="253"/>
        <v>NA</v>
      </c>
      <c r="X666" s="29" t="str">
        <f t="shared" si="254"/>
        <v>NA</v>
      </c>
      <c r="Y666" s="29" t="str">
        <f t="shared" si="255"/>
        <v>NA</v>
      </c>
      <c r="Z666" s="29" t="str">
        <f t="shared" si="256"/>
        <v>NA</v>
      </c>
      <c r="AA666" s="29" t="str">
        <f t="shared" si="257"/>
        <v>NA</v>
      </c>
      <c r="AB666" s="29" t="str">
        <f t="shared" si="258"/>
        <v>NA</v>
      </c>
      <c r="AC666" s="29" t="str">
        <f t="shared" si="259"/>
        <v>NA</v>
      </c>
      <c r="AD666" s="29" t="str">
        <f t="shared" si="260"/>
        <v>NA</v>
      </c>
      <c r="AE666" s="29" t="str">
        <f t="shared" si="261"/>
        <v>NA</v>
      </c>
      <c r="AF666" s="29" t="str">
        <f t="shared" si="262"/>
        <v>NA</v>
      </c>
      <c r="AG666" s="29" t="str">
        <f t="shared" si="263"/>
        <v>NA</v>
      </c>
      <c r="AH666" s="29" t="str">
        <f t="shared" si="264"/>
        <v>NA</v>
      </c>
    </row>
    <row r="667" customHeight="1" spans="1:34">
      <c r="A667" s="12" t="s">
        <v>1043</v>
      </c>
      <c r="F667" s="24">
        <f t="shared" si="246"/>
        <v>0</v>
      </c>
      <c r="G667" s="24" t="e">
        <f t="shared" si="245"/>
        <v>#DIV/0!</v>
      </c>
      <c r="Q667" s="29" t="str">
        <f t="shared" si="247"/>
        <v>NA</v>
      </c>
      <c r="R667" s="29" t="str">
        <f t="shared" si="248"/>
        <v>NA</v>
      </c>
      <c r="S667" s="29" t="str">
        <f t="shared" si="249"/>
        <v>NA</v>
      </c>
      <c r="T667" s="29" t="str">
        <f t="shared" si="250"/>
        <v>NA</v>
      </c>
      <c r="U667" s="29" t="str">
        <f t="shared" si="251"/>
        <v>NA</v>
      </c>
      <c r="V667" s="29" t="str">
        <f t="shared" si="252"/>
        <v>NA</v>
      </c>
      <c r="W667" s="29" t="str">
        <f t="shared" si="253"/>
        <v>NA</v>
      </c>
      <c r="X667" s="29" t="str">
        <f t="shared" si="254"/>
        <v>NA</v>
      </c>
      <c r="Y667" s="29" t="str">
        <f t="shared" si="255"/>
        <v>NA</v>
      </c>
      <c r="Z667" s="29" t="str">
        <f t="shared" si="256"/>
        <v>NA</v>
      </c>
      <c r="AA667" s="29" t="str">
        <f t="shared" si="257"/>
        <v>NA</v>
      </c>
      <c r="AB667" s="29" t="str">
        <f t="shared" si="258"/>
        <v>NA</v>
      </c>
      <c r="AC667" s="29" t="str">
        <f t="shared" si="259"/>
        <v>NA</v>
      </c>
      <c r="AD667" s="29" t="str">
        <f t="shared" si="260"/>
        <v>NA</v>
      </c>
      <c r="AE667" s="29" t="str">
        <f t="shared" si="261"/>
        <v>NA</v>
      </c>
      <c r="AF667" s="29" t="str">
        <f t="shared" si="262"/>
        <v>NA</v>
      </c>
      <c r="AG667" s="29" t="str">
        <f t="shared" si="263"/>
        <v>NA</v>
      </c>
      <c r="AH667" s="29" t="str">
        <f t="shared" si="264"/>
        <v>NA</v>
      </c>
    </row>
    <row r="668" customHeight="1" spans="1:34">
      <c r="A668" s="12" t="s">
        <v>1043</v>
      </c>
      <c r="F668" s="24">
        <f t="shared" si="246"/>
        <v>0</v>
      </c>
      <c r="G668" s="24" t="e">
        <f t="shared" si="245"/>
        <v>#DIV/0!</v>
      </c>
      <c r="Q668" s="29" t="str">
        <f t="shared" si="247"/>
        <v>NA</v>
      </c>
      <c r="R668" s="29" t="str">
        <f t="shared" si="248"/>
        <v>NA</v>
      </c>
      <c r="S668" s="29" t="str">
        <f t="shared" si="249"/>
        <v>NA</v>
      </c>
      <c r="T668" s="29" t="str">
        <f t="shared" si="250"/>
        <v>NA</v>
      </c>
      <c r="U668" s="29" t="str">
        <f t="shared" si="251"/>
        <v>NA</v>
      </c>
      <c r="V668" s="29" t="str">
        <f t="shared" si="252"/>
        <v>NA</v>
      </c>
      <c r="W668" s="29" t="str">
        <f t="shared" si="253"/>
        <v>NA</v>
      </c>
      <c r="X668" s="29" t="str">
        <f t="shared" si="254"/>
        <v>NA</v>
      </c>
      <c r="Y668" s="29" t="str">
        <f t="shared" si="255"/>
        <v>NA</v>
      </c>
      <c r="Z668" s="29" t="str">
        <f t="shared" si="256"/>
        <v>NA</v>
      </c>
      <c r="AA668" s="29" t="str">
        <f t="shared" si="257"/>
        <v>NA</v>
      </c>
      <c r="AB668" s="29" t="str">
        <f t="shared" si="258"/>
        <v>NA</v>
      </c>
      <c r="AC668" s="29" t="str">
        <f t="shared" si="259"/>
        <v>NA</v>
      </c>
      <c r="AD668" s="29" t="str">
        <f t="shared" si="260"/>
        <v>NA</v>
      </c>
      <c r="AE668" s="29" t="str">
        <f t="shared" si="261"/>
        <v>NA</v>
      </c>
      <c r="AF668" s="29" t="str">
        <f t="shared" si="262"/>
        <v>NA</v>
      </c>
      <c r="AG668" s="29" t="str">
        <f t="shared" si="263"/>
        <v>NA</v>
      </c>
      <c r="AH668" s="29" t="str">
        <f t="shared" si="264"/>
        <v>NA</v>
      </c>
    </row>
    <row r="669" customHeight="1" spans="1:34">
      <c r="A669" s="12" t="s">
        <v>1043</v>
      </c>
      <c r="F669" s="24">
        <f t="shared" si="246"/>
        <v>0</v>
      </c>
      <c r="G669" s="24" t="e">
        <f t="shared" si="245"/>
        <v>#DIV/0!</v>
      </c>
      <c r="Q669" s="29" t="str">
        <f t="shared" si="247"/>
        <v>NA</v>
      </c>
      <c r="R669" s="29" t="str">
        <f t="shared" si="248"/>
        <v>NA</v>
      </c>
      <c r="S669" s="29" t="str">
        <f t="shared" si="249"/>
        <v>NA</v>
      </c>
      <c r="T669" s="29" t="str">
        <f t="shared" si="250"/>
        <v>NA</v>
      </c>
      <c r="U669" s="29" t="str">
        <f t="shared" si="251"/>
        <v>NA</v>
      </c>
      <c r="V669" s="29" t="str">
        <f t="shared" si="252"/>
        <v>NA</v>
      </c>
      <c r="W669" s="29" t="str">
        <f t="shared" si="253"/>
        <v>NA</v>
      </c>
      <c r="X669" s="29" t="str">
        <f t="shared" si="254"/>
        <v>NA</v>
      </c>
      <c r="Y669" s="29" t="str">
        <f t="shared" si="255"/>
        <v>NA</v>
      </c>
      <c r="Z669" s="29" t="str">
        <f t="shared" si="256"/>
        <v>NA</v>
      </c>
      <c r="AA669" s="29" t="str">
        <f t="shared" si="257"/>
        <v>NA</v>
      </c>
      <c r="AB669" s="29" t="str">
        <f t="shared" si="258"/>
        <v>NA</v>
      </c>
      <c r="AC669" s="29" t="str">
        <f t="shared" si="259"/>
        <v>NA</v>
      </c>
      <c r="AD669" s="29" t="str">
        <f t="shared" si="260"/>
        <v>NA</v>
      </c>
      <c r="AE669" s="29" t="str">
        <f t="shared" si="261"/>
        <v>NA</v>
      </c>
      <c r="AF669" s="29" t="str">
        <f t="shared" si="262"/>
        <v>NA</v>
      </c>
      <c r="AG669" s="29" t="str">
        <f t="shared" si="263"/>
        <v>NA</v>
      </c>
      <c r="AH669" s="29" t="str">
        <f t="shared" si="264"/>
        <v>NA</v>
      </c>
    </row>
    <row r="670" customHeight="1" spans="1:34">
      <c r="A670" s="12" t="s">
        <v>1043</v>
      </c>
      <c r="F670" s="24">
        <f t="shared" si="246"/>
        <v>0</v>
      </c>
      <c r="G670" s="24" t="e">
        <f t="shared" si="245"/>
        <v>#DIV/0!</v>
      </c>
      <c r="Q670" s="29" t="str">
        <f t="shared" si="247"/>
        <v>NA</v>
      </c>
      <c r="R670" s="29" t="str">
        <f t="shared" si="248"/>
        <v>NA</v>
      </c>
      <c r="S670" s="29" t="str">
        <f t="shared" si="249"/>
        <v>NA</v>
      </c>
      <c r="T670" s="29" t="str">
        <f t="shared" si="250"/>
        <v>NA</v>
      </c>
      <c r="U670" s="29" t="str">
        <f t="shared" si="251"/>
        <v>NA</v>
      </c>
      <c r="V670" s="29" t="str">
        <f t="shared" si="252"/>
        <v>NA</v>
      </c>
      <c r="W670" s="29" t="str">
        <f t="shared" si="253"/>
        <v>NA</v>
      </c>
      <c r="X670" s="29" t="str">
        <f t="shared" si="254"/>
        <v>NA</v>
      </c>
      <c r="Y670" s="29" t="str">
        <f t="shared" si="255"/>
        <v>NA</v>
      </c>
      <c r="Z670" s="29" t="str">
        <f t="shared" si="256"/>
        <v>NA</v>
      </c>
      <c r="AA670" s="29" t="str">
        <f t="shared" si="257"/>
        <v>NA</v>
      </c>
      <c r="AB670" s="29" t="str">
        <f t="shared" si="258"/>
        <v>NA</v>
      </c>
      <c r="AC670" s="29" t="str">
        <f t="shared" si="259"/>
        <v>NA</v>
      </c>
      <c r="AD670" s="29" t="str">
        <f t="shared" si="260"/>
        <v>NA</v>
      </c>
      <c r="AE670" s="29" t="str">
        <f t="shared" si="261"/>
        <v>NA</v>
      </c>
      <c r="AF670" s="29" t="str">
        <f t="shared" si="262"/>
        <v>NA</v>
      </c>
      <c r="AG670" s="29" t="str">
        <f t="shared" si="263"/>
        <v>NA</v>
      </c>
      <c r="AH670" s="29" t="str">
        <f t="shared" si="264"/>
        <v>NA</v>
      </c>
    </row>
    <row r="671" customHeight="1" spans="1:34">
      <c r="A671" s="12" t="s">
        <v>1043</v>
      </c>
      <c r="F671" s="24">
        <f t="shared" si="246"/>
        <v>0</v>
      </c>
      <c r="G671" s="24" t="e">
        <f t="shared" si="245"/>
        <v>#DIV/0!</v>
      </c>
      <c r="Q671" s="29" t="str">
        <f t="shared" si="247"/>
        <v>NA</v>
      </c>
      <c r="R671" s="29" t="str">
        <f t="shared" si="248"/>
        <v>NA</v>
      </c>
      <c r="S671" s="29" t="str">
        <f t="shared" si="249"/>
        <v>NA</v>
      </c>
      <c r="T671" s="29" t="str">
        <f t="shared" si="250"/>
        <v>NA</v>
      </c>
      <c r="U671" s="29" t="str">
        <f t="shared" si="251"/>
        <v>NA</v>
      </c>
      <c r="V671" s="29" t="str">
        <f t="shared" si="252"/>
        <v>NA</v>
      </c>
      <c r="W671" s="29" t="str">
        <f t="shared" si="253"/>
        <v>NA</v>
      </c>
      <c r="X671" s="29" t="str">
        <f t="shared" si="254"/>
        <v>NA</v>
      </c>
      <c r="Y671" s="29" t="str">
        <f t="shared" si="255"/>
        <v>NA</v>
      </c>
      <c r="Z671" s="29" t="str">
        <f t="shared" si="256"/>
        <v>NA</v>
      </c>
      <c r="AA671" s="29" t="str">
        <f t="shared" si="257"/>
        <v>NA</v>
      </c>
      <c r="AB671" s="29" t="str">
        <f t="shared" si="258"/>
        <v>NA</v>
      </c>
      <c r="AC671" s="29" t="str">
        <f t="shared" si="259"/>
        <v>NA</v>
      </c>
      <c r="AD671" s="29" t="str">
        <f t="shared" si="260"/>
        <v>NA</v>
      </c>
      <c r="AE671" s="29" t="str">
        <f t="shared" si="261"/>
        <v>NA</v>
      </c>
      <c r="AF671" s="29" t="str">
        <f t="shared" si="262"/>
        <v>NA</v>
      </c>
      <c r="AG671" s="29" t="str">
        <f t="shared" si="263"/>
        <v>NA</v>
      </c>
      <c r="AH671" s="29" t="str">
        <f t="shared" si="264"/>
        <v>NA</v>
      </c>
    </row>
    <row r="672" customHeight="1" spans="1:34">
      <c r="A672" s="12" t="s">
        <v>1043</v>
      </c>
      <c r="F672" s="24">
        <f t="shared" si="246"/>
        <v>0</v>
      </c>
      <c r="G672" s="24" t="e">
        <f t="shared" si="245"/>
        <v>#DIV/0!</v>
      </c>
      <c r="Q672" s="29" t="str">
        <f t="shared" si="247"/>
        <v>NA</v>
      </c>
      <c r="R672" s="29" t="str">
        <f t="shared" si="248"/>
        <v>NA</v>
      </c>
      <c r="S672" s="29" t="str">
        <f t="shared" si="249"/>
        <v>NA</v>
      </c>
      <c r="T672" s="29" t="str">
        <f t="shared" si="250"/>
        <v>NA</v>
      </c>
      <c r="U672" s="29" t="str">
        <f t="shared" si="251"/>
        <v>NA</v>
      </c>
      <c r="V672" s="29" t="str">
        <f t="shared" si="252"/>
        <v>NA</v>
      </c>
      <c r="W672" s="29" t="str">
        <f t="shared" si="253"/>
        <v>NA</v>
      </c>
      <c r="X672" s="29" t="str">
        <f t="shared" si="254"/>
        <v>NA</v>
      </c>
      <c r="Y672" s="29" t="str">
        <f t="shared" si="255"/>
        <v>NA</v>
      </c>
      <c r="Z672" s="29" t="str">
        <f t="shared" si="256"/>
        <v>NA</v>
      </c>
      <c r="AA672" s="29" t="str">
        <f t="shared" si="257"/>
        <v>NA</v>
      </c>
      <c r="AB672" s="29" t="str">
        <f t="shared" si="258"/>
        <v>NA</v>
      </c>
      <c r="AC672" s="29" t="str">
        <f t="shared" si="259"/>
        <v>NA</v>
      </c>
      <c r="AD672" s="29" t="str">
        <f t="shared" si="260"/>
        <v>NA</v>
      </c>
      <c r="AE672" s="29" t="str">
        <f t="shared" si="261"/>
        <v>NA</v>
      </c>
      <c r="AF672" s="29" t="str">
        <f t="shared" si="262"/>
        <v>NA</v>
      </c>
      <c r="AG672" s="29" t="str">
        <f t="shared" si="263"/>
        <v>NA</v>
      </c>
      <c r="AH672" s="29" t="str">
        <f t="shared" si="264"/>
        <v>NA</v>
      </c>
    </row>
    <row r="673" customHeight="1" spans="1:34">
      <c r="A673" s="12" t="s">
        <v>1043</v>
      </c>
      <c r="F673" s="24">
        <f t="shared" si="246"/>
        <v>0</v>
      </c>
      <c r="G673" s="24" t="e">
        <f t="shared" si="245"/>
        <v>#DIV/0!</v>
      </c>
      <c r="Q673" s="29" t="str">
        <f t="shared" si="247"/>
        <v>NA</v>
      </c>
      <c r="R673" s="29" t="str">
        <f t="shared" si="248"/>
        <v>NA</v>
      </c>
      <c r="S673" s="29" t="str">
        <f t="shared" si="249"/>
        <v>NA</v>
      </c>
      <c r="T673" s="29" t="str">
        <f t="shared" si="250"/>
        <v>NA</v>
      </c>
      <c r="U673" s="29" t="str">
        <f t="shared" si="251"/>
        <v>NA</v>
      </c>
      <c r="V673" s="29" t="str">
        <f t="shared" si="252"/>
        <v>NA</v>
      </c>
      <c r="W673" s="29" t="str">
        <f t="shared" si="253"/>
        <v>NA</v>
      </c>
      <c r="X673" s="29" t="str">
        <f t="shared" si="254"/>
        <v>NA</v>
      </c>
      <c r="Y673" s="29" t="str">
        <f t="shared" si="255"/>
        <v>NA</v>
      </c>
      <c r="Z673" s="29" t="str">
        <f t="shared" si="256"/>
        <v>NA</v>
      </c>
      <c r="AA673" s="29" t="str">
        <f t="shared" si="257"/>
        <v>NA</v>
      </c>
      <c r="AB673" s="29" t="str">
        <f t="shared" si="258"/>
        <v>NA</v>
      </c>
      <c r="AC673" s="29" t="str">
        <f t="shared" si="259"/>
        <v>NA</v>
      </c>
      <c r="AD673" s="29" t="str">
        <f t="shared" si="260"/>
        <v>NA</v>
      </c>
      <c r="AE673" s="29" t="str">
        <f t="shared" si="261"/>
        <v>NA</v>
      </c>
      <c r="AF673" s="29" t="str">
        <f t="shared" si="262"/>
        <v>NA</v>
      </c>
      <c r="AG673" s="29" t="str">
        <f t="shared" si="263"/>
        <v>NA</v>
      </c>
      <c r="AH673" s="29" t="str">
        <f t="shared" si="264"/>
        <v>NA</v>
      </c>
    </row>
    <row r="674" customHeight="1" spans="1:34">
      <c r="A674" s="12" t="s">
        <v>1043</v>
      </c>
      <c r="F674" s="24">
        <f t="shared" si="246"/>
        <v>0</v>
      </c>
      <c r="G674" s="24" t="e">
        <f t="shared" si="245"/>
        <v>#DIV/0!</v>
      </c>
      <c r="Q674" s="29" t="str">
        <f t="shared" si="247"/>
        <v>NA</v>
      </c>
      <c r="R674" s="29" t="str">
        <f t="shared" si="248"/>
        <v>NA</v>
      </c>
      <c r="S674" s="29" t="str">
        <f t="shared" si="249"/>
        <v>NA</v>
      </c>
      <c r="T674" s="29" t="str">
        <f t="shared" si="250"/>
        <v>NA</v>
      </c>
      <c r="U674" s="29" t="str">
        <f t="shared" si="251"/>
        <v>NA</v>
      </c>
      <c r="V674" s="29" t="str">
        <f t="shared" si="252"/>
        <v>NA</v>
      </c>
      <c r="W674" s="29" t="str">
        <f t="shared" si="253"/>
        <v>NA</v>
      </c>
      <c r="X674" s="29" t="str">
        <f t="shared" si="254"/>
        <v>NA</v>
      </c>
      <c r="Y674" s="29" t="str">
        <f t="shared" si="255"/>
        <v>NA</v>
      </c>
      <c r="Z674" s="29" t="str">
        <f t="shared" si="256"/>
        <v>NA</v>
      </c>
      <c r="AA674" s="29" t="str">
        <f t="shared" si="257"/>
        <v>NA</v>
      </c>
      <c r="AB674" s="29" t="str">
        <f t="shared" si="258"/>
        <v>NA</v>
      </c>
      <c r="AC674" s="29" t="str">
        <f t="shared" si="259"/>
        <v>NA</v>
      </c>
      <c r="AD674" s="29" t="str">
        <f t="shared" si="260"/>
        <v>NA</v>
      </c>
      <c r="AE674" s="29" t="str">
        <f t="shared" si="261"/>
        <v>NA</v>
      </c>
      <c r="AF674" s="29" t="str">
        <f t="shared" si="262"/>
        <v>NA</v>
      </c>
      <c r="AG674" s="29" t="str">
        <f t="shared" si="263"/>
        <v>NA</v>
      </c>
      <c r="AH674" s="29" t="str">
        <f t="shared" si="264"/>
        <v>NA</v>
      </c>
    </row>
    <row r="675" customHeight="1" spans="1:34">
      <c r="A675" s="12" t="s">
        <v>1043</v>
      </c>
      <c r="F675" s="24">
        <f t="shared" si="246"/>
        <v>0</v>
      </c>
      <c r="G675" s="24" t="e">
        <f t="shared" si="245"/>
        <v>#DIV/0!</v>
      </c>
      <c r="Q675" s="29" t="str">
        <f t="shared" si="247"/>
        <v>NA</v>
      </c>
      <c r="R675" s="29" t="str">
        <f t="shared" si="248"/>
        <v>NA</v>
      </c>
      <c r="S675" s="29" t="str">
        <f t="shared" si="249"/>
        <v>NA</v>
      </c>
      <c r="T675" s="29" t="str">
        <f t="shared" si="250"/>
        <v>NA</v>
      </c>
      <c r="U675" s="29" t="str">
        <f t="shared" si="251"/>
        <v>NA</v>
      </c>
      <c r="V675" s="29" t="str">
        <f t="shared" si="252"/>
        <v>NA</v>
      </c>
      <c r="W675" s="29" t="str">
        <f t="shared" si="253"/>
        <v>NA</v>
      </c>
      <c r="X675" s="29" t="str">
        <f t="shared" si="254"/>
        <v>NA</v>
      </c>
      <c r="Y675" s="29" t="str">
        <f t="shared" si="255"/>
        <v>NA</v>
      </c>
      <c r="Z675" s="29" t="str">
        <f t="shared" si="256"/>
        <v>NA</v>
      </c>
      <c r="AA675" s="29" t="str">
        <f t="shared" si="257"/>
        <v>NA</v>
      </c>
      <c r="AB675" s="29" t="str">
        <f t="shared" si="258"/>
        <v>NA</v>
      </c>
      <c r="AC675" s="29" t="str">
        <f t="shared" si="259"/>
        <v>NA</v>
      </c>
      <c r="AD675" s="29" t="str">
        <f t="shared" si="260"/>
        <v>NA</v>
      </c>
      <c r="AE675" s="29" t="str">
        <f t="shared" si="261"/>
        <v>NA</v>
      </c>
      <c r="AF675" s="29" t="str">
        <f t="shared" si="262"/>
        <v>NA</v>
      </c>
      <c r="AG675" s="29" t="str">
        <f t="shared" si="263"/>
        <v>NA</v>
      </c>
      <c r="AH675" s="29" t="str">
        <f t="shared" si="264"/>
        <v>NA</v>
      </c>
    </row>
    <row r="676" customHeight="1" spans="1:34">
      <c r="A676" s="12" t="s">
        <v>1043</v>
      </c>
      <c r="F676" s="24">
        <f t="shared" si="246"/>
        <v>0</v>
      </c>
      <c r="G676" s="24" t="e">
        <f t="shared" si="245"/>
        <v>#DIV/0!</v>
      </c>
      <c r="Q676" s="29" t="str">
        <f t="shared" si="247"/>
        <v>NA</v>
      </c>
      <c r="R676" s="29" t="str">
        <f t="shared" si="248"/>
        <v>NA</v>
      </c>
      <c r="S676" s="29" t="str">
        <f t="shared" si="249"/>
        <v>NA</v>
      </c>
      <c r="T676" s="29" t="str">
        <f t="shared" si="250"/>
        <v>NA</v>
      </c>
      <c r="U676" s="29" t="str">
        <f t="shared" si="251"/>
        <v>NA</v>
      </c>
      <c r="V676" s="29" t="str">
        <f t="shared" si="252"/>
        <v>NA</v>
      </c>
      <c r="W676" s="29" t="str">
        <f t="shared" si="253"/>
        <v>NA</v>
      </c>
      <c r="X676" s="29" t="str">
        <f t="shared" si="254"/>
        <v>NA</v>
      </c>
      <c r="Y676" s="29" t="str">
        <f t="shared" si="255"/>
        <v>NA</v>
      </c>
      <c r="Z676" s="29" t="str">
        <f t="shared" si="256"/>
        <v>NA</v>
      </c>
      <c r="AA676" s="29" t="str">
        <f t="shared" si="257"/>
        <v>NA</v>
      </c>
      <c r="AB676" s="29" t="str">
        <f t="shared" si="258"/>
        <v>NA</v>
      </c>
      <c r="AC676" s="29" t="str">
        <f t="shared" si="259"/>
        <v>NA</v>
      </c>
      <c r="AD676" s="29" t="str">
        <f t="shared" si="260"/>
        <v>NA</v>
      </c>
      <c r="AE676" s="29" t="str">
        <f t="shared" si="261"/>
        <v>NA</v>
      </c>
      <c r="AF676" s="29" t="str">
        <f t="shared" si="262"/>
        <v>NA</v>
      </c>
      <c r="AG676" s="29" t="str">
        <f t="shared" si="263"/>
        <v>NA</v>
      </c>
      <c r="AH676" s="29" t="str">
        <f t="shared" si="264"/>
        <v>NA</v>
      </c>
    </row>
    <row r="677" customHeight="1" spans="1:34">
      <c r="A677" s="12" t="s">
        <v>1043</v>
      </c>
      <c r="F677" s="24">
        <f t="shared" si="246"/>
        <v>0</v>
      </c>
      <c r="G677" s="24" t="e">
        <f t="shared" si="245"/>
        <v>#DIV/0!</v>
      </c>
      <c r="Q677" s="29" t="str">
        <f t="shared" si="247"/>
        <v>NA</v>
      </c>
      <c r="R677" s="29" t="str">
        <f t="shared" si="248"/>
        <v>NA</v>
      </c>
      <c r="S677" s="29" t="str">
        <f t="shared" si="249"/>
        <v>NA</v>
      </c>
      <c r="T677" s="29" t="str">
        <f t="shared" si="250"/>
        <v>NA</v>
      </c>
      <c r="U677" s="29" t="str">
        <f t="shared" si="251"/>
        <v>NA</v>
      </c>
      <c r="V677" s="29" t="str">
        <f t="shared" si="252"/>
        <v>NA</v>
      </c>
      <c r="W677" s="29" t="str">
        <f t="shared" si="253"/>
        <v>NA</v>
      </c>
      <c r="X677" s="29" t="str">
        <f t="shared" si="254"/>
        <v>NA</v>
      </c>
      <c r="Y677" s="29" t="str">
        <f t="shared" si="255"/>
        <v>NA</v>
      </c>
      <c r="Z677" s="29" t="str">
        <f t="shared" si="256"/>
        <v>NA</v>
      </c>
      <c r="AA677" s="29" t="str">
        <f t="shared" si="257"/>
        <v>NA</v>
      </c>
      <c r="AB677" s="29" t="str">
        <f t="shared" si="258"/>
        <v>NA</v>
      </c>
      <c r="AC677" s="29" t="str">
        <f t="shared" si="259"/>
        <v>NA</v>
      </c>
      <c r="AD677" s="29" t="str">
        <f t="shared" si="260"/>
        <v>NA</v>
      </c>
      <c r="AE677" s="29" t="str">
        <f t="shared" si="261"/>
        <v>NA</v>
      </c>
      <c r="AF677" s="29" t="str">
        <f t="shared" si="262"/>
        <v>NA</v>
      </c>
      <c r="AG677" s="29" t="str">
        <f t="shared" si="263"/>
        <v>NA</v>
      </c>
      <c r="AH677" s="29" t="str">
        <f t="shared" si="264"/>
        <v>NA</v>
      </c>
    </row>
    <row r="678" customHeight="1" spans="1:34">
      <c r="A678" s="12" t="s">
        <v>1043</v>
      </c>
      <c r="F678" s="24">
        <f t="shared" si="246"/>
        <v>0</v>
      </c>
      <c r="G678" s="24" t="e">
        <f t="shared" si="245"/>
        <v>#DIV/0!</v>
      </c>
      <c r="Q678" s="29" t="str">
        <f t="shared" si="247"/>
        <v>NA</v>
      </c>
      <c r="R678" s="29" t="str">
        <f t="shared" si="248"/>
        <v>NA</v>
      </c>
      <c r="S678" s="29" t="str">
        <f t="shared" si="249"/>
        <v>NA</v>
      </c>
      <c r="T678" s="29" t="str">
        <f t="shared" si="250"/>
        <v>NA</v>
      </c>
      <c r="U678" s="29" t="str">
        <f t="shared" si="251"/>
        <v>NA</v>
      </c>
      <c r="V678" s="29" t="str">
        <f t="shared" si="252"/>
        <v>NA</v>
      </c>
      <c r="W678" s="29" t="str">
        <f t="shared" si="253"/>
        <v>NA</v>
      </c>
      <c r="X678" s="29" t="str">
        <f t="shared" si="254"/>
        <v>NA</v>
      </c>
      <c r="Y678" s="29" t="str">
        <f t="shared" si="255"/>
        <v>NA</v>
      </c>
      <c r="Z678" s="29" t="str">
        <f t="shared" si="256"/>
        <v>NA</v>
      </c>
      <c r="AA678" s="29" t="str">
        <f t="shared" si="257"/>
        <v>NA</v>
      </c>
      <c r="AB678" s="29" t="str">
        <f t="shared" si="258"/>
        <v>NA</v>
      </c>
      <c r="AC678" s="29" t="str">
        <f t="shared" si="259"/>
        <v>NA</v>
      </c>
      <c r="AD678" s="29" t="str">
        <f t="shared" si="260"/>
        <v>NA</v>
      </c>
      <c r="AE678" s="29" t="str">
        <f t="shared" si="261"/>
        <v>NA</v>
      </c>
      <c r="AF678" s="29" t="str">
        <f t="shared" si="262"/>
        <v>NA</v>
      </c>
      <c r="AG678" s="29" t="str">
        <f t="shared" si="263"/>
        <v>NA</v>
      </c>
      <c r="AH678" s="29" t="str">
        <f t="shared" si="264"/>
        <v>NA</v>
      </c>
    </row>
    <row r="679" customHeight="1" spans="1:34">
      <c r="A679" s="12" t="s">
        <v>1043</v>
      </c>
      <c r="F679" s="24">
        <f t="shared" si="246"/>
        <v>0</v>
      </c>
      <c r="G679" s="24" t="e">
        <f t="shared" si="245"/>
        <v>#DIV/0!</v>
      </c>
      <c r="Q679" s="29" t="str">
        <f t="shared" si="247"/>
        <v>NA</v>
      </c>
      <c r="R679" s="29" t="str">
        <f t="shared" si="248"/>
        <v>NA</v>
      </c>
      <c r="S679" s="29" t="str">
        <f t="shared" si="249"/>
        <v>NA</v>
      </c>
      <c r="T679" s="29" t="str">
        <f t="shared" si="250"/>
        <v>NA</v>
      </c>
      <c r="U679" s="29" t="str">
        <f t="shared" si="251"/>
        <v>NA</v>
      </c>
      <c r="V679" s="29" t="str">
        <f t="shared" si="252"/>
        <v>NA</v>
      </c>
      <c r="W679" s="29" t="str">
        <f t="shared" si="253"/>
        <v>NA</v>
      </c>
      <c r="X679" s="29" t="str">
        <f t="shared" si="254"/>
        <v>NA</v>
      </c>
      <c r="Y679" s="29" t="str">
        <f t="shared" si="255"/>
        <v>NA</v>
      </c>
      <c r="Z679" s="29" t="str">
        <f t="shared" si="256"/>
        <v>NA</v>
      </c>
      <c r="AA679" s="29" t="str">
        <f t="shared" si="257"/>
        <v>NA</v>
      </c>
      <c r="AB679" s="29" t="str">
        <f t="shared" si="258"/>
        <v>NA</v>
      </c>
      <c r="AC679" s="29" t="str">
        <f t="shared" si="259"/>
        <v>NA</v>
      </c>
      <c r="AD679" s="29" t="str">
        <f t="shared" si="260"/>
        <v>NA</v>
      </c>
      <c r="AE679" s="29" t="str">
        <f t="shared" si="261"/>
        <v>NA</v>
      </c>
      <c r="AF679" s="29" t="str">
        <f t="shared" si="262"/>
        <v>NA</v>
      </c>
      <c r="AG679" s="29" t="str">
        <f t="shared" si="263"/>
        <v>NA</v>
      </c>
      <c r="AH679" s="29" t="str">
        <f t="shared" si="264"/>
        <v>NA</v>
      </c>
    </row>
    <row r="680" customHeight="1" spans="1:34">
      <c r="A680" s="12" t="s">
        <v>1043</v>
      </c>
      <c r="F680" s="24">
        <f t="shared" si="246"/>
        <v>0</v>
      </c>
      <c r="G680" s="24" t="e">
        <f t="shared" si="245"/>
        <v>#DIV/0!</v>
      </c>
      <c r="Q680" s="29" t="str">
        <f t="shared" si="247"/>
        <v>NA</v>
      </c>
      <c r="R680" s="29" t="str">
        <f t="shared" si="248"/>
        <v>NA</v>
      </c>
      <c r="S680" s="29" t="str">
        <f t="shared" si="249"/>
        <v>NA</v>
      </c>
      <c r="T680" s="29" t="str">
        <f t="shared" si="250"/>
        <v>NA</v>
      </c>
      <c r="U680" s="29" t="str">
        <f t="shared" si="251"/>
        <v>NA</v>
      </c>
      <c r="V680" s="29" t="str">
        <f t="shared" si="252"/>
        <v>NA</v>
      </c>
      <c r="W680" s="29" t="str">
        <f t="shared" si="253"/>
        <v>NA</v>
      </c>
      <c r="X680" s="29" t="str">
        <f t="shared" si="254"/>
        <v>NA</v>
      </c>
      <c r="Y680" s="29" t="str">
        <f t="shared" si="255"/>
        <v>NA</v>
      </c>
      <c r="Z680" s="29" t="str">
        <f t="shared" si="256"/>
        <v>NA</v>
      </c>
      <c r="AA680" s="29" t="str">
        <f t="shared" si="257"/>
        <v>NA</v>
      </c>
      <c r="AB680" s="29" t="str">
        <f t="shared" si="258"/>
        <v>NA</v>
      </c>
      <c r="AC680" s="29" t="str">
        <f t="shared" si="259"/>
        <v>NA</v>
      </c>
      <c r="AD680" s="29" t="str">
        <f t="shared" si="260"/>
        <v>NA</v>
      </c>
      <c r="AE680" s="29" t="str">
        <f t="shared" si="261"/>
        <v>NA</v>
      </c>
      <c r="AF680" s="29" t="str">
        <f t="shared" si="262"/>
        <v>NA</v>
      </c>
      <c r="AG680" s="29" t="str">
        <f t="shared" si="263"/>
        <v>NA</v>
      </c>
      <c r="AH680" s="29" t="str">
        <f t="shared" si="264"/>
        <v>NA</v>
      </c>
    </row>
    <row r="681" customHeight="1" spans="1:34">
      <c r="A681" s="12" t="s">
        <v>1043</v>
      </c>
      <c r="F681" s="24">
        <f t="shared" si="246"/>
        <v>0</v>
      </c>
      <c r="G681" s="24" t="e">
        <f t="shared" si="245"/>
        <v>#DIV/0!</v>
      </c>
      <c r="Q681" s="29" t="str">
        <f t="shared" si="247"/>
        <v>NA</v>
      </c>
      <c r="R681" s="29" t="str">
        <f t="shared" si="248"/>
        <v>NA</v>
      </c>
      <c r="S681" s="29" t="str">
        <f t="shared" si="249"/>
        <v>NA</v>
      </c>
      <c r="T681" s="29" t="str">
        <f t="shared" si="250"/>
        <v>NA</v>
      </c>
      <c r="U681" s="29" t="str">
        <f t="shared" si="251"/>
        <v>NA</v>
      </c>
      <c r="V681" s="29" t="str">
        <f t="shared" si="252"/>
        <v>NA</v>
      </c>
      <c r="W681" s="29" t="str">
        <f t="shared" si="253"/>
        <v>NA</v>
      </c>
      <c r="X681" s="29" t="str">
        <f t="shared" si="254"/>
        <v>NA</v>
      </c>
      <c r="Y681" s="29" t="str">
        <f t="shared" si="255"/>
        <v>NA</v>
      </c>
      <c r="Z681" s="29" t="str">
        <f t="shared" si="256"/>
        <v>NA</v>
      </c>
      <c r="AA681" s="29" t="str">
        <f t="shared" si="257"/>
        <v>NA</v>
      </c>
      <c r="AB681" s="29" t="str">
        <f t="shared" si="258"/>
        <v>NA</v>
      </c>
      <c r="AC681" s="29" t="str">
        <f t="shared" si="259"/>
        <v>NA</v>
      </c>
      <c r="AD681" s="29" t="str">
        <f t="shared" si="260"/>
        <v>NA</v>
      </c>
      <c r="AE681" s="29" t="str">
        <f t="shared" si="261"/>
        <v>NA</v>
      </c>
      <c r="AF681" s="29" t="str">
        <f t="shared" si="262"/>
        <v>NA</v>
      </c>
      <c r="AG681" s="29" t="str">
        <f t="shared" si="263"/>
        <v>NA</v>
      </c>
      <c r="AH681" s="29" t="str">
        <f t="shared" si="264"/>
        <v>NA</v>
      </c>
    </row>
    <row r="682" customHeight="1" spans="1:34">
      <c r="A682" s="12" t="s">
        <v>1043</v>
      </c>
      <c r="F682" s="24">
        <f t="shared" si="246"/>
        <v>0</v>
      </c>
      <c r="G682" s="24" t="e">
        <f t="shared" si="245"/>
        <v>#DIV/0!</v>
      </c>
      <c r="Q682" s="29" t="str">
        <f t="shared" si="247"/>
        <v>NA</v>
      </c>
      <c r="R682" s="29" t="str">
        <f t="shared" si="248"/>
        <v>NA</v>
      </c>
      <c r="S682" s="29" t="str">
        <f t="shared" si="249"/>
        <v>NA</v>
      </c>
      <c r="T682" s="29" t="str">
        <f t="shared" si="250"/>
        <v>NA</v>
      </c>
      <c r="U682" s="29" t="str">
        <f t="shared" si="251"/>
        <v>NA</v>
      </c>
      <c r="V682" s="29" t="str">
        <f t="shared" si="252"/>
        <v>NA</v>
      </c>
      <c r="W682" s="29" t="str">
        <f t="shared" si="253"/>
        <v>NA</v>
      </c>
      <c r="X682" s="29" t="str">
        <f t="shared" si="254"/>
        <v>NA</v>
      </c>
      <c r="Y682" s="29" t="str">
        <f t="shared" si="255"/>
        <v>NA</v>
      </c>
      <c r="Z682" s="29" t="str">
        <f t="shared" si="256"/>
        <v>NA</v>
      </c>
      <c r="AA682" s="29" t="str">
        <f t="shared" si="257"/>
        <v>NA</v>
      </c>
      <c r="AB682" s="29" t="str">
        <f t="shared" si="258"/>
        <v>NA</v>
      </c>
      <c r="AC682" s="29" t="str">
        <f t="shared" si="259"/>
        <v>NA</v>
      </c>
      <c r="AD682" s="29" t="str">
        <f t="shared" si="260"/>
        <v>NA</v>
      </c>
      <c r="AE682" s="29" t="str">
        <f t="shared" si="261"/>
        <v>NA</v>
      </c>
      <c r="AF682" s="29" t="str">
        <f t="shared" si="262"/>
        <v>NA</v>
      </c>
      <c r="AG682" s="29" t="str">
        <f t="shared" si="263"/>
        <v>NA</v>
      </c>
      <c r="AH682" s="29" t="str">
        <f t="shared" si="264"/>
        <v>NA</v>
      </c>
    </row>
    <row r="683" customHeight="1" spans="1:34">
      <c r="A683" s="12" t="s">
        <v>1043</v>
      </c>
      <c r="F683" s="24">
        <f t="shared" si="246"/>
        <v>0</v>
      </c>
      <c r="G683" s="24" t="e">
        <f t="shared" si="245"/>
        <v>#DIV/0!</v>
      </c>
      <c r="Q683" s="29" t="str">
        <f t="shared" si="247"/>
        <v>NA</v>
      </c>
      <c r="R683" s="29" t="str">
        <f t="shared" si="248"/>
        <v>NA</v>
      </c>
      <c r="S683" s="29" t="str">
        <f t="shared" si="249"/>
        <v>NA</v>
      </c>
      <c r="T683" s="29" t="str">
        <f t="shared" si="250"/>
        <v>NA</v>
      </c>
      <c r="U683" s="29" t="str">
        <f t="shared" si="251"/>
        <v>NA</v>
      </c>
      <c r="V683" s="29" t="str">
        <f t="shared" si="252"/>
        <v>NA</v>
      </c>
      <c r="W683" s="29" t="str">
        <f t="shared" si="253"/>
        <v>NA</v>
      </c>
      <c r="X683" s="29" t="str">
        <f t="shared" si="254"/>
        <v>NA</v>
      </c>
      <c r="Y683" s="29" t="str">
        <f t="shared" si="255"/>
        <v>NA</v>
      </c>
      <c r="Z683" s="29" t="str">
        <f t="shared" si="256"/>
        <v>NA</v>
      </c>
      <c r="AA683" s="29" t="str">
        <f t="shared" si="257"/>
        <v>NA</v>
      </c>
      <c r="AB683" s="29" t="str">
        <f t="shared" si="258"/>
        <v>NA</v>
      </c>
      <c r="AC683" s="29" t="str">
        <f t="shared" si="259"/>
        <v>NA</v>
      </c>
      <c r="AD683" s="29" t="str">
        <f t="shared" si="260"/>
        <v>NA</v>
      </c>
      <c r="AE683" s="29" t="str">
        <f t="shared" si="261"/>
        <v>NA</v>
      </c>
      <c r="AF683" s="29" t="str">
        <f t="shared" si="262"/>
        <v>NA</v>
      </c>
      <c r="AG683" s="29" t="str">
        <f t="shared" si="263"/>
        <v>NA</v>
      </c>
      <c r="AH683" s="29" t="str">
        <f t="shared" si="264"/>
        <v>NA</v>
      </c>
    </row>
    <row r="684" customHeight="1" spans="1:34">
      <c r="A684" s="12" t="s">
        <v>1043</v>
      </c>
      <c r="F684" s="24">
        <f t="shared" si="246"/>
        <v>0</v>
      </c>
      <c r="G684" s="24" t="e">
        <f t="shared" si="245"/>
        <v>#DIV/0!</v>
      </c>
      <c r="Q684" s="29" t="str">
        <f t="shared" si="247"/>
        <v>NA</v>
      </c>
      <c r="R684" s="29" t="str">
        <f t="shared" si="248"/>
        <v>NA</v>
      </c>
      <c r="S684" s="29" t="str">
        <f t="shared" si="249"/>
        <v>NA</v>
      </c>
      <c r="T684" s="29" t="str">
        <f t="shared" si="250"/>
        <v>NA</v>
      </c>
      <c r="U684" s="29" t="str">
        <f t="shared" si="251"/>
        <v>NA</v>
      </c>
      <c r="V684" s="29" t="str">
        <f t="shared" si="252"/>
        <v>NA</v>
      </c>
      <c r="W684" s="29" t="str">
        <f t="shared" si="253"/>
        <v>NA</v>
      </c>
      <c r="X684" s="29" t="str">
        <f t="shared" si="254"/>
        <v>NA</v>
      </c>
      <c r="Y684" s="29" t="str">
        <f t="shared" si="255"/>
        <v>NA</v>
      </c>
      <c r="Z684" s="29" t="str">
        <f t="shared" si="256"/>
        <v>NA</v>
      </c>
      <c r="AA684" s="29" t="str">
        <f t="shared" si="257"/>
        <v>NA</v>
      </c>
      <c r="AB684" s="29" t="str">
        <f t="shared" si="258"/>
        <v>NA</v>
      </c>
      <c r="AC684" s="29" t="str">
        <f t="shared" si="259"/>
        <v>NA</v>
      </c>
      <c r="AD684" s="29" t="str">
        <f t="shared" si="260"/>
        <v>NA</v>
      </c>
      <c r="AE684" s="29" t="str">
        <f t="shared" si="261"/>
        <v>NA</v>
      </c>
      <c r="AF684" s="29" t="str">
        <f t="shared" si="262"/>
        <v>NA</v>
      </c>
      <c r="AG684" s="29" t="str">
        <f t="shared" si="263"/>
        <v>NA</v>
      </c>
      <c r="AH684" s="29" t="str">
        <f t="shared" si="264"/>
        <v>NA</v>
      </c>
    </row>
    <row r="685" customHeight="1" spans="1:34">
      <c r="A685" s="12" t="s">
        <v>1043</v>
      </c>
      <c r="F685" s="24">
        <f t="shared" si="246"/>
        <v>0</v>
      </c>
      <c r="G685" s="24" t="e">
        <f t="shared" si="245"/>
        <v>#DIV/0!</v>
      </c>
      <c r="Q685" s="29" t="str">
        <f t="shared" si="247"/>
        <v>NA</v>
      </c>
      <c r="R685" s="29" t="str">
        <f t="shared" si="248"/>
        <v>NA</v>
      </c>
      <c r="S685" s="29" t="str">
        <f t="shared" si="249"/>
        <v>NA</v>
      </c>
      <c r="T685" s="29" t="str">
        <f t="shared" si="250"/>
        <v>NA</v>
      </c>
      <c r="U685" s="29" t="str">
        <f t="shared" si="251"/>
        <v>NA</v>
      </c>
      <c r="V685" s="29" t="str">
        <f t="shared" si="252"/>
        <v>NA</v>
      </c>
      <c r="W685" s="29" t="str">
        <f t="shared" si="253"/>
        <v>NA</v>
      </c>
      <c r="X685" s="29" t="str">
        <f t="shared" si="254"/>
        <v>NA</v>
      </c>
      <c r="Y685" s="29" t="str">
        <f t="shared" si="255"/>
        <v>NA</v>
      </c>
      <c r="Z685" s="29" t="str">
        <f t="shared" si="256"/>
        <v>NA</v>
      </c>
      <c r="AA685" s="29" t="str">
        <f t="shared" si="257"/>
        <v>NA</v>
      </c>
      <c r="AB685" s="29" t="str">
        <f t="shared" si="258"/>
        <v>NA</v>
      </c>
      <c r="AC685" s="29" t="str">
        <f t="shared" si="259"/>
        <v>NA</v>
      </c>
      <c r="AD685" s="29" t="str">
        <f t="shared" si="260"/>
        <v>NA</v>
      </c>
      <c r="AE685" s="29" t="str">
        <f t="shared" si="261"/>
        <v>NA</v>
      </c>
      <c r="AF685" s="29" t="str">
        <f t="shared" si="262"/>
        <v>NA</v>
      </c>
      <c r="AG685" s="29" t="str">
        <f t="shared" si="263"/>
        <v>NA</v>
      </c>
      <c r="AH685" s="29" t="str">
        <f t="shared" si="264"/>
        <v>NA</v>
      </c>
    </row>
    <row r="686" customHeight="1" spans="1:34">
      <c r="A686" s="12" t="s">
        <v>1043</v>
      </c>
      <c r="F686" s="24">
        <f t="shared" si="246"/>
        <v>0</v>
      </c>
      <c r="G686" s="24" t="e">
        <f t="shared" si="245"/>
        <v>#DIV/0!</v>
      </c>
      <c r="Q686" s="29" t="str">
        <f t="shared" si="247"/>
        <v>NA</v>
      </c>
      <c r="R686" s="29" t="str">
        <f t="shared" si="248"/>
        <v>NA</v>
      </c>
      <c r="S686" s="29" t="str">
        <f t="shared" si="249"/>
        <v>NA</v>
      </c>
      <c r="T686" s="29" t="str">
        <f t="shared" si="250"/>
        <v>NA</v>
      </c>
      <c r="U686" s="29" t="str">
        <f t="shared" si="251"/>
        <v>NA</v>
      </c>
      <c r="V686" s="29" t="str">
        <f t="shared" si="252"/>
        <v>NA</v>
      </c>
      <c r="W686" s="29" t="str">
        <f t="shared" si="253"/>
        <v>NA</v>
      </c>
      <c r="X686" s="29" t="str">
        <f t="shared" si="254"/>
        <v>NA</v>
      </c>
      <c r="Y686" s="29" t="str">
        <f t="shared" si="255"/>
        <v>NA</v>
      </c>
      <c r="Z686" s="29" t="str">
        <f t="shared" si="256"/>
        <v>NA</v>
      </c>
      <c r="AA686" s="29" t="str">
        <f t="shared" si="257"/>
        <v>NA</v>
      </c>
      <c r="AB686" s="29" t="str">
        <f t="shared" si="258"/>
        <v>NA</v>
      </c>
      <c r="AC686" s="29" t="str">
        <f t="shared" si="259"/>
        <v>NA</v>
      </c>
      <c r="AD686" s="29" t="str">
        <f t="shared" si="260"/>
        <v>NA</v>
      </c>
      <c r="AE686" s="29" t="str">
        <f t="shared" si="261"/>
        <v>NA</v>
      </c>
      <c r="AF686" s="29" t="str">
        <f t="shared" si="262"/>
        <v>NA</v>
      </c>
      <c r="AG686" s="29" t="str">
        <f t="shared" si="263"/>
        <v>NA</v>
      </c>
      <c r="AH686" s="29" t="str">
        <f t="shared" si="264"/>
        <v>NA</v>
      </c>
    </row>
    <row r="687" customHeight="1" spans="1:34">
      <c r="A687" s="12" t="s">
        <v>1043</v>
      </c>
      <c r="F687" s="24">
        <f t="shared" si="246"/>
        <v>0</v>
      </c>
      <c r="G687" s="24" t="e">
        <f t="shared" si="245"/>
        <v>#DIV/0!</v>
      </c>
      <c r="Q687" s="29" t="str">
        <f t="shared" si="247"/>
        <v>NA</v>
      </c>
      <c r="R687" s="29" t="str">
        <f t="shared" si="248"/>
        <v>NA</v>
      </c>
      <c r="S687" s="29" t="str">
        <f t="shared" si="249"/>
        <v>NA</v>
      </c>
      <c r="T687" s="29" t="str">
        <f t="shared" si="250"/>
        <v>NA</v>
      </c>
      <c r="U687" s="29" t="str">
        <f t="shared" si="251"/>
        <v>NA</v>
      </c>
      <c r="V687" s="29" t="str">
        <f t="shared" si="252"/>
        <v>NA</v>
      </c>
      <c r="W687" s="29" t="str">
        <f t="shared" si="253"/>
        <v>NA</v>
      </c>
      <c r="X687" s="29" t="str">
        <f t="shared" si="254"/>
        <v>NA</v>
      </c>
      <c r="Y687" s="29" t="str">
        <f t="shared" si="255"/>
        <v>NA</v>
      </c>
      <c r="Z687" s="29" t="str">
        <f t="shared" si="256"/>
        <v>NA</v>
      </c>
      <c r="AA687" s="29" t="str">
        <f t="shared" si="257"/>
        <v>NA</v>
      </c>
      <c r="AB687" s="29" t="str">
        <f t="shared" si="258"/>
        <v>NA</v>
      </c>
      <c r="AC687" s="29" t="str">
        <f t="shared" si="259"/>
        <v>NA</v>
      </c>
      <c r="AD687" s="29" t="str">
        <f t="shared" si="260"/>
        <v>NA</v>
      </c>
      <c r="AE687" s="29" t="str">
        <f t="shared" si="261"/>
        <v>NA</v>
      </c>
      <c r="AF687" s="29" t="str">
        <f t="shared" si="262"/>
        <v>NA</v>
      </c>
      <c r="AG687" s="29" t="str">
        <f t="shared" si="263"/>
        <v>NA</v>
      </c>
      <c r="AH687" s="29" t="str">
        <f t="shared" si="264"/>
        <v>NA</v>
      </c>
    </row>
    <row r="688" customHeight="1" spans="1:34">
      <c r="A688" s="12" t="s">
        <v>1043</v>
      </c>
      <c r="F688" s="24">
        <f t="shared" si="246"/>
        <v>0</v>
      </c>
      <c r="G688" s="24" t="e">
        <f t="shared" si="245"/>
        <v>#DIV/0!</v>
      </c>
      <c r="Q688" s="29" t="str">
        <f t="shared" si="247"/>
        <v>NA</v>
      </c>
      <c r="R688" s="29" t="str">
        <f t="shared" si="248"/>
        <v>NA</v>
      </c>
      <c r="S688" s="29" t="str">
        <f t="shared" si="249"/>
        <v>NA</v>
      </c>
      <c r="T688" s="29" t="str">
        <f t="shared" si="250"/>
        <v>NA</v>
      </c>
      <c r="U688" s="29" t="str">
        <f t="shared" si="251"/>
        <v>NA</v>
      </c>
      <c r="V688" s="29" t="str">
        <f t="shared" si="252"/>
        <v>NA</v>
      </c>
      <c r="W688" s="29" t="str">
        <f t="shared" si="253"/>
        <v>NA</v>
      </c>
      <c r="X688" s="29" t="str">
        <f t="shared" si="254"/>
        <v>NA</v>
      </c>
      <c r="Y688" s="29" t="str">
        <f t="shared" si="255"/>
        <v>NA</v>
      </c>
      <c r="Z688" s="29" t="str">
        <f t="shared" si="256"/>
        <v>NA</v>
      </c>
      <c r="AA688" s="29" t="str">
        <f t="shared" si="257"/>
        <v>NA</v>
      </c>
      <c r="AB688" s="29" t="str">
        <f t="shared" si="258"/>
        <v>NA</v>
      </c>
      <c r="AC688" s="29" t="str">
        <f t="shared" si="259"/>
        <v>NA</v>
      </c>
      <c r="AD688" s="29" t="str">
        <f t="shared" si="260"/>
        <v>NA</v>
      </c>
      <c r="AE688" s="29" t="str">
        <f t="shared" si="261"/>
        <v>NA</v>
      </c>
      <c r="AF688" s="29" t="str">
        <f t="shared" si="262"/>
        <v>NA</v>
      </c>
      <c r="AG688" s="29" t="str">
        <f t="shared" si="263"/>
        <v>NA</v>
      </c>
      <c r="AH688" s="29" t="str">
        <f t="shared" si="264"/>
        <v>NA</v>
      </c>
    </row>
    <row r="689" customHeight="1" spans="1:34">
      <c r="A689" s="12" t="s">
        <v>1043</v>
      </c>
      <c r="F689" s="24">
        <f t="shared" si="246"/>
        <v>0</v>
      </c>
      <c r="G689" s="24" t="e">
        <f t="shared" si="245"/>
        <v>#DIV/0!</v>
      </c>
      <c r="Q689" s="29" t="str">
        <f t="shared" si="247"/>
        <v>NA</v>
      </c>
      <c r="R689" s="29" t="str">
        <f t="shared" si="248"/>
        <v>NA</v>
      </c>
      <c r="S689" s="29" t="str">
        <f t="shared" si="249"/>
        <v>NA</v>
      </c>
      <c r="T689" s="29" t="str">
        <f t="shared" si="250"/>
        <v>NA</v>
      </c>
      <c r="U689" s="29" t="str">
        <f t="shared" si="251"/>
        <v>NA</v>
      </c>
      <c r="V689" s="29" t="str">
        <f t="shared" si="252"/>
        <v>NA</v>
      </c>
      <c r="W689" s="29" t="str">
        <f t="shared" si="253"/>
        <v>NA</v>
      </c>
      <c r="X689" s="29" t="str">
        <f t="shared" si="254"/>
        <v>NA</v>
      </c>
      <c r="Y689" s="29" t="str">
        <f t="shared" si="255"/>
        <v>NA</v>
      </c>
      <c r="Z689" s="29" t="str">
        <f t="shared" si="256"/>
        <v>NA</v>
      </c>
      <c r="AA689" s="29" t="str">
        <f t="shared" si="257"/>
        <v>NA</v>
      </c>
      <c r="AB689" s="29" t="str">
        <f t="shared" si="258"/>
        <v>NA</v>
      </c>
      <c r="AC689" s="29" t="str">
        <f t="shared" si="259"/>
        <v>NA</v>
      </c>
      <c r="AD689" s="29" t="str">
        <f t="shared" si="260"/>
        <v>NA</v>
      </c>
      <c r="AE689" s="29" t="str">
        <f t="shared" si="261"/>
        <v>NA</v>
      </c>
      <c r="AF689" s="29" t="str">
        <f t="shared" si="262"/>
        <v>NA</v>
      </c>
      <c r="AG689" s="29" t="str">
        <f t="shared" si="263"/>
        <v>NA</v>
      </c>
      <c r="AH689" s="29" t="str">
        <f t="shared" si="264"/>
        <v>NA</v>
      </c>
    </row>
    <row r="690" customHeight="1" spans="1:34">
      <c r="A690" s="12" t="s">
        <v>1043</v>
      </c>
      <c r="F690" s="24">
        <f t="shared" si="246"/>
        <v>0</v>
      </c>
      <c r="G690" s="24" t="e">
        <f t="shared" si="245"/>
        <v>#DIV/0!</v>
      </c>
      <c r="Q690" s="29" t="str">
        <f t="shared" si="247"/>
        <v>NA</v>
      </c>
      <c r="R690" s="29" t="str">
        <f t="shared" si="248"/>
        <v>NA</v>
      </c>
      <c r="S690" s="29" t="str">
        <f t="shared" si="249"/>
        <v>NA</v>
      </c>
      <c r="T690" s="29" t="str">
        <f t="shared" si="250"/>
        <v>NA</v>
      </c>
      <c r="U690" s="29" t="str">
        <f t="shared" si="251"/>
        <v>NA</v>
      </c>
      <c r="V690" s="29" t="str">
        <f t="shared" si="252"/>
        <v>NA</v>
      </c>
      <c r="W690" s="29" t="str">
        <f t="shared" si="253"/>
        <v>NA</v>
      </c>
      <c r="X690" s="29" t="str">
        <f t="shared" si="254"/>
        <v>NA</v>
      </c>
      <c r="Y690" s="29" t="str">
        <f t="shared" si="255"/>
        <v>NA</v>
      </c>
      <c r="Z690" s="29" t="str">
        <f t="shared" si="256"/>
        <v>NA</v>
      </c>
      <c r="AA690" s="29" t="str">
        <f t="shared" si="257"/>
        <v>NA</v>
      </c>
      <c r="AB690" s="29" t="str">
        <f t="shared" si="258"/>
        <v>NA</v>
      </c>
      <c r="AC690" s="29" t="str">
        <f t="shared" si="259"/>
        <v>NA</v>
      </c>
      <c r="AD690" s="29" t="str">
        <f t="shared" si="260"/>
        <v>NA</v>
      </c>
      <c r="AE690" s="29" t="str">
        <f t="shared" si="261"/>
        <v>NA</v>
      </c>
      <c r="AF690" s="29" t="str">
        <f t="shared" si="262"/>
        <v>NA</v>
      </c>
      <c r="AG690" s="29" t="str">
        <f t="shared" si="263"/>
        <v>NA</v>
      </c>
      <c r="AH690" s="29" t="str">
        <f t="shared" si="264"/>
        <v>NA</v>
      </c>
    </row>
    <row r="691" customHeight="1" spans="1:34">
      <c r="A691" s="12" t="s">
        <v>1043</v>
      </c>
      <c r="F691" s="24">
        <f t="shared" si="246"/>
        <v>0</v>
      </c>
      <c r="G691" s="24" t="e">
        <f t="shared" si="245"/>
        <v>#DIV/0!</v>
      </c>
      <c r="Q691" s="29" t="str">
        <f t="shared" si="247"/>
        <v>NA</v>
      </c>
      <c r="R691" s="29" t="str">
        <f t="shared" si="248"/>
        <v>NA</v>
      </c>
      <c r="S691" s="29" t="str">
        <f t="shared" si="249"/>
        <v>NA</v>
      </c>
      <c r="T691" s="29" t="str">
        <f t="shared" si="250"/>
        <v>NA</v>
      </c>
      <c r="U691" s="29" t="str">
        <f t="shared" si="251"/>
        <v>NA</v>
      </c>
      <c r="V691" s="29" t="str">
        <f t="shared" si="252"/>
        <v>NA</v>
      </c>
      <c r="W691" s="29" t="str">
        <f t="shared" si="253"/>
        <v>NA</v>
      </c>
      <c r="X691" s="29" t="str">
        <f t="shared" si="254"/>
        <v>NA</v>
      </c>
      <c r="Y691" s="29" t="str">
        <f t="shared" si="255"/>
        <v>NA</v>
      </c>
      <c r="Z691" s="29" t="str">
        <f t="shared" si="256"/>
        <v>NA</v>
      </c>
      <c r="AA691" s="29" t="str">
        <f t="shared" si="257"/>
        <v>NA</v>
      </c>
      <c r="AB691" s="29" t="str">
        <f t="shared" si="258"/>
        <v>NA</v>
      </c>
      <c r="AC691" s="29" t="str">
        <f t="shared" si="259"/>
        <v>NA</v>
      </c>
      <c r="AD691" s="29" t="str">
        <f t="shared" si="260"/>
        <v>NA</v>
      </c>
      <c r="AE691" s="29" t="str">
        <f t="shared" si="261"/>
        <v>NA</v>
      </c>
      <c r="AF691" s="29" t="str">
        <f t="shared" si="262"/>
        <v>NA</v>
      </c>
      <c r="AG691" s="29" t="str">
        <f t="shared" si="263"/>
        <v>NA</v>
      </c>
      <c r="AH691" s="29" t="str">
        <f t="shared" si="264"/>
        <v>NA</v>
      </c>
    </row>
    <row r="692" customHeight="1" spans="1:34">
      <c r="A692" s="12" t="s">
        <v>1043</v>
      </c>
      <c r="F692" s="24">
        <f t="shared" si="246"/>
        <v>0</v>
      </c>
      <c r="G692" s="24" t="e">
        <f t="shared" si="245"/>
        <v>#DIV/0!</v>
      </c>
      <c r="Q692" s="29" t="str">
        <f t="shared" si="247"/>
        <v>NA</v>
      </c>
      <c r="R692" s="29" t="str">
        <f t="shared" si="248"/>
        <v>NA</v>
      </c>
      <c r="S692" s="29" t="str">
        <f t="shared" si="249"/>
        <v>NA</v>
      </c>
      <c r="T692" s="29" t="str">
        <f t="shared" si="250"/>
        <v>NA</v>
      </c>
      <c r="U692" s="29" t="str">
        <f t="shared" si="251"/>
        <v>NA</v>
      </c>
      <c r="V692" s="29" t="str">
        <f t="shared" si="252"/>
        <v>NA</v>
      </c>
      <c r="W692" s="29" t="str">
        <f t="shared" si="253"/>
        <v>NA</v>
      </c>
      <c r="X692" s="29" t="str">
        <f t="shared" si="254"/>
        <v>NA</v>
      </c>
      <c r="Y692" s="29" t="str">
        <f t="shared" si="255"/>
        <v>NA</v>
      </c>
      <c r="Z692" s="29" t="str">
        <f t="shared" si="256"/>
        <v>NA</v>
      </c>
      <c r="AA692" s="29" t="str">
        <f t="shared" si="257"/>
        <v>NA</v>
      </c>
      <c r="AB692" s="29" t="str">
        <f t="shared" si="258"/>
        <v>NA</v>
      </c>
      <c r="AC692" s="29" t="str">
        <f t="shared" si="259"/>
        <v>NA</v>
      </c>
      <c r="AD692" s="29" t="str">
        <f t="shared" si="260"/>
        <v>NA</v>
      </c>
      <c r="AE692" s="29" t="str">
        <f t="shared" si="261"/>
        <v>NA</v>
      </c>
      <c r="AF692" s="29" t="str">
        <f t="shared" si="262"/>
        <v>NA</v>
      </c>
      <c r="AG692" s="29" t="str">
        <f t="shared" si="263"/>
        <v>NA</v>
      </c>
      <c r="AH692" s="29" t="str">
        <f t="shared" si="264"/>
        <v>NA</v>
      </c>
    </row>
    <row r="693" customHeight="1" spans="1:34">
      <c r="A693" s="12" t="s">
        <v>1043</v>
      </c>
      <c r="F693" s="24">
        <f t="shared" si="246"/>
        <v>0</v>
      </c>
      <c r="G693" s="24" t="e">
        <f t="shared" si="245"/>
        <v>#DIV/0!</v>
      </c>
      <c r="Q693" s="29" t="str">
        <f t="shared" si="247"/>
        <v>NA</v>
      </c>
      <c r="R693" s="29" t="str">
        <f t="shared" si="248"/>
        <v>NA</v>
      </c>
      <c r="S693" s="29" t="str">
        <f t="shared" si="249"/>
        <v>NA</v>
      </c>
      <c r="T693" s="29" t="str">
        <f t="shared" si="250"/>
        <v>NA</v>
      </c>
      <c r="U693" s="29" t="str">
        <f t="shared" si="251"/>
        <v>NA</v>
      </c>
      <c r="V693" s="29" t="str">
        <f t="shared" si="252"/>
        <v>NA</v>
      </c>
      <c r="W693" s="29" t="str">
        <f t="shared" si="253"/>
        <v>NA</v>
      </c>
      <c r="X693" s="29" t="str">
        <f t="shared" si="254"/>
        <v>NA</v>
      </c>
      <c r="Y693" s="29" t="str">
        <f t="shared" si="255"/>
        <v>NA</v>
      </c>
      <c r="Z693" s="29" t="str">
        <f t="shared" si="256"/>
        <v>NA</v>
      </c>
      <c r="AA693" s="29" t="str">
        <f t="shared" si="257"/>
        <v>NA</v>
      </c>
      <c r="AB693" s="29" t="str">
        <f t="shared" si="258"/>
        <v>NA</v>
      </c>
      <c r="AC693" s="29" t="str">
        <f t="shared" si="259"/>
        <v>NA</v>
      </c>
      <c r="AD693" s="29" t="str">
        <f t="shared" si="260"/>
        <v>NA</v>
      </c>
      <c r="AE693" s="29" t="str">
        <f t="shared" si="261"/>
        <v>NA</v>
      </c>
      <c r="AF693" s="29" t="str">
        <f t="shared" si="262"/>
        <v>NA</v>
      </c>
      <c r="AG693" s="29" t="str">
        <f t="shared" si="263"/>
        <v>NA</v>
      </c>
      <c r="AH693" s="29" t="str">
        <f t="shared" si="264"/>
        <v>NA</v>
      </c>
    </row>
    <row r="694" customHeight="1" spans="1:34">
      <c r="A694" s="12" t="s">
        <v>1043</v>
      </c>
      <c r="F694" s="24">
        <f t="shared" si="246"/>
        <v>0</v>
      </c>
      <c r="G694" s="24" t="e">
        <f t="shared" si="245"/>
        <v>#DIV/0!</v>
      </c>
      <c r="Q694" s="29" t="str">
        <f t="shared" si="247"/>
        <v>NA</v>
      </c>
      <c r="R694" s="29" t="str">
        <f t="shared" si="248"/>
        <v>NA</v>
      </c>
      <c r="S694" s="29" t="str">
        <f t="shared" si="249"/>
        <v>NA</v>
      </c>
      <c r="T694" s="29" t="str">
        <f t="shared" si="250"/>
        <v>NA</v>
      </c>
      <c r="U694" s="29" t="str">
        <f t="shared" si="251"/>
        <v>NA</v>
      </c>
      <c r="V694" s="29" t="str">
        <f t="shared" si="252"/>
        <v>NA</v>
      </c>
      <c r="W694" s="29" t="str">
        <f t="shared" si="253"/>
        <v>NA</v>
      </c>
      <c r="X694" s="29" t="str">
        <f t="shared" si="254"/>
        <v>NA</v>
      </c>
      <c r="Y694" s="29" t="str">
        <f t="shared" si="255"/>
        <v>NA</v>
      </c>
      <c r="Z694" s="29" t="str">
        <f t="shared" si="256"/>
        <v>NA</v>
      </c>
      <c r="AA694" s="29" t="str">
        <f t="shared" si="257"/>
        <v>NA</v>
      </c>
      <c r="AB694" s="29" t="str">
        <f t="shared" si="258"/>
        <v>NA</v>
      </c>
      <c r="AC694" s="29" t="str">
        <f t="shared" si="259"/>
        <v>NA</v>
      </c>
      <c r="AD694" s="29" t="str">
        <f t="shared" si="260"/>
        <v>NA</v>
      </c>
      <c r="AE694" s="29" t="str">
        <f t="shared" si="261"/>
        <v>NA</v>
      </c>
      <c r="AF694" s="29" t="str">
        <f t="shared" si="262"/>
        <v>NA</v>
      </c>
      <c r="AG694" s="29" t="str">
        <f t="shared" si="263"/>
        <v>NA</v>
      </c>
      <c r="AH694" s="29" t="str">
        <f t="shared" si="264"/>
        <v>NA</v>
      </c>
    </row>
    <row r="695" customHeight="1" spans="1:34">
      <c r="A695" s="12" t="s">
        <v>1043</v>
      </c>
      <c r="F695" s="24">
        <f t="shared" si="246"/>
        <v>0</v>
      </c>
      <c r="G695" s="24" t="e">
        <f t="shared" si="245"/>
        <v>#DIV/0!</v>
      </c>
      <c r="Q695" s="29" t="str">
        <f t="shared" si="247"/>
        <v>NA</v>
      </c>
      <c r="R695" s="29" t="str">
        <f t="shared" si="248"/>
        <v>NA</v>
      </c>
      <c r="S695" s="29" t="str">
        <f t="shared" si="249"/>
        <v>NA</v>
      </c>
      <c r="T695" s="29" t="str">
        <f t="shared" si="250"/>
        <v>NA</v>
      </c>
      <c r="U695" s="29" t="str">
        <f t="shared" si="251"/>
        <v>NA</v>
      </c>
      <c r="V695" s="29" t="str">
        <f t="shared" si="252"/>
        <v>NA</v>
      </c>
      <c r="W695" s="29" t="str">
        <f t="shared" si="253"/>
        <v>NA</v>
      </c>
      <c r="X695" s="29" t="str">
        <f t="shared" si="254"/>
        <v>NA</v>
      </c>
      <c r="Y695" s="29" t="str">
        <f t="shared" si="255"/>
        <v>NA</v>
      </c>
      <c r="Z695" s="29" t="str">
        <f t="shared" si="256"/>
        <v>NA</v>
      </c>
      <c r="AA695" s="29" t="str">
        <f t="shared" si="257"/>
        <v>NA</v>
      </c>
      <c r="AB695" s="29" t="str">
        <f t="shared" si="258"/>
        <v>NA</v>
      </c>
      <c r="AC695" s="29" t="str">
        <f t="shared" si="259"/>
        <v>NA</v>
      </c>
      <c r="AD695" s="29" t="str">
        <f t="shared" si="260"/>
        <v>NA</v>
      </c>
      <c r="AE695" s="29" t="str">
        <f t="shared" si="261"/>
        <v>NA</v>
      </c>
      <c r="AF695" s="29" t="str">
        <f t="shared" si="262"/>
        <v>NA</v>
      </c>
      <c r="AG695" s="29" t="str">
        <f t="shared" si="263"/>
        <v>NA</v>
      </c>
      <c r="AH695" s="29" t="str">
        <f t="shared" si="264"/>
        <v>NA</v>
      </c>
    </row>
    <row r="696" customHeight="1" spans="1:34">
      <c r="A696" s="12" t="s">
        <v>1043</v>
      </c>
      <c r="F696" s="24">
        <f t="shared" si="246"/>
        <v>0</v>
      </c>
      <c r="G696" s="24" t="e">
        <f t="shared" si="245"/>
        <v>#DIV/0!</v>
      </c>
      <c r="Q696" s="29" t="str">
        <f t="shared" si="247"/>
        <v>NA</v>
      </c>
      <c r="R696" s="29" t="str">
        <f t="shared" si="248"/>
        <v>NA</v>
      </c>
      <c r="S696" s="29" t="str">
        <f t="shared" si="249"/>
        <v>NA</v>
      </c>
      <c r="T696" s="29" t="str">
        <f t="shared" si="250"/>
        <v>NA</v>
      </c>
      <c r="U696" s="29" t="str">
        <f t="shared" si="251"/>
        <v>NA</v>
      </c>
      <c r="V696" s="29" t="str">
        <f t="shared" si="252"/>
        <v>NA</v>
      </c>
      <c r="W696" s="29" t="str">
        <f t="shared" si="253"/>
        <v>NA</v>
      </c>
      <c r="X696" s="29" t="str">
        <f t="shared" si="254"/>
        <v>NA</v>
      </c>
      <c r="Y696" s="29" t="str">
        <f t="shared" si="255"/>
        <v>NA</v>
      </c>
      <c r="Z696" s="29" t="str">
        <f t="shared" si="256"/>
        <v>NA</v>
      </c>
      <c r="AA696" s="29" t="str">
        <f t="shared" si="257"/>
        <v>NA</v>
      </c>
      <c r="AB696" s="29" t="str">
        <f t="shared" si="258"/>
        <v>NA</v>
      </c>
      <c r="AC696" s="29" t="str">
        <f t="shared" si="259"/>
        <v>NA</v>
      </c>
      <c r="AD696" s="29" t="str">
        <f t="shared" si="260"/>
        <v>NA</v>
      </c>
      <c r="AE696" s="29" t="str">
        <f t="shared" si="261"/>
        <v>NA</v>
      </c>
      <c r="AF696" s="29" t="str">
        <f t="shared" si="262"/>
        <v>NA</v>
      </c>
      <c r="AG696" s="29" t="str">
        <f t="shared" si="263"/>
        <v>NA</v>
      </c>
      <c r="AH696" s="29" t="str">
        <f t="shared" si="264"/>
        <v>NA</v>
      </c>
    </row>
    <row r="697" customHeight="1" spans="1:34">
      <c r="A697" s="12" t="s">
        <v>1043</v>
      </c>
      <c r="F697" s="24">
        <f t="shared" si="246"/>
        <v>0</v>
      </c>
      <c r="G697" s="24" t="e">
        <f t="shared" si="245"/>
        <v>#DIV/0!</v>
      </c>
      <c r="Q697" s="29" t="str">
        <f t="shared" si="247"/>
        <v>NA</v>
      </c>
      <c r="R697" s="29" t="str">
        <f t="shared" si="248"/>
        <v>NA</v>
      </c>
      <c r="S697" s="29" t="str">
        <f t="shared" si="249"/>
        <v>NA</v>
      </c>
      <c r="T697" s="29" t="str">
        <f t="shared" si="250"/>
        <v>NA</v>
      </c>
      <c r="U697" s="29" t="str">
        <f t="shared" si="251"/>
        <v>NA</v>
      </c>
      <c r="V697" s="29" t="str">
        <f t="shared" si="252"/>
        <v>NA</v>
      </c>
      <c r="W697" s="29" t="str">
        <f t="shared" si="253"/>
        <v>NA</v>
      </c>
      <c r="X697" s="29" t="str">
        <f t="shared" si="254"/>
        <v>NA</v>
      </c>
      <c r="Y697" s="29" t="str">
        <f t="shared" si="255"/>
        <v>NA</v>
      </c>
      <c r="Z697" s="29" t="str">
        <f t="shared" si="256"/>
        <v>NA</v>
      </c>
      <c r="AA697" s="29" t="str">
        <f t="shared" si="257"/>
        <v>NA</v>
      </c>
      <c r="AB697" s="29" t="str">
        <f t="shared" si="258"/>
        <v>NA</v>
      </c>
      <c r="AC697" s="29" t="str">
        <f t="shared" si="259"/>
        <v>NA</v>
      </c>
      <c r="AD697" s="29" t="str">
        <f t="shared" si="260"/>
        <v>NA</v>
      </c>
      <c r="AE697" s="29" t="str">
        <f t="shared" si="261"/>
        <v>NA</v>
      </c>
      <c r="AF697" s="29" t="str">
        <f t="shared" si="262"/>
        <v>NA</v>
      </c>
      <c r="AG697" s="29" t="str">
        <f t="shared" si="263"/>
        <v>NA</v>
      </c>
      <c r="AH697" s="29" t="str">
        <f t="shared" si="264"/>
        <v>NA</v>
      </c>
    </row>
    <row r="698" customHeight="1" spans="1:34">
      <c r="A698" s="12" t="s">
        <v>1043</v>
      </c>
      <c r="F698" s="24">
        <f t="shared" si="246"/>
        <v>0</v>
      </c>
      <c r="G698" s="24" t="e">
        <f t="shared" si="245"/>
        <v>#DIV/0!</v>
      </c>
      <c r="Q698" s="29" t="str">
        <f t="shared" si="247"/>
        <v>NA</v>
      </c>
      <c r="R698" s="29" t="str">
        <f t="shared" si="248"/>
        <v>NA</v>
      </c>
      <c r="S698" s="29" t="str">
        <f t="shared" si="249"/>
        <v>NA</v>
      </c>
      <c r="T698" s="29" t="str">
        <f t="shared" si="250"/>
        <v>NA</v>
      </c>
      <c r="U698" s="29" t="str">
        <f t="shared" si="251"/>
        <v>NA</v>
      </c>
      <c r="V698" s="29" t="str">
        <f t="shared" si="252"/>
        <v>NA</v>
      </c>
      <c r="W698" s="29" t="str">
        <f t="shared" si="253"/>
        <v>NA</v>
      </c>
      <c r="X698" s="29" t="str">
        <f t="shared" si="254"/>
        <v>NA</v>
      </c>
      <c r="Y698" s="29" t="str">
        <f t="shared" si="255"/>
        <v>NA</v>
      </c>
      <c r="Z698" s="29" t="str">
        <f t="shared" si="256"/>
        <v>NA</v>
      </c>
      <c r="AA698" s="29" t="str">
        <f t="shared" si="257"/>
        <v>NA</v>
      </c>
      <c r="AB698" s="29" t="str">
        <f t="shared" si="258"/>
        <v>NA</v>
      </c>
      <c r="AC698" s="29" t="str">
        <f t="shared" si="259"/>
        <v>NA</v>
      </c>
      <c r="AD698" s="29" t="str">
        <f t="shared" si="260"/>
        <v>NA</v>
      </c>
      <c r="AE698" s="29" t="str">
        <f t="shared" si="261"/>
        <v>NA</v>
      </c>
      <c r="AF698" s="29" t="str">
        <f t="shared" si="262"/>
        <v>NA</v>
      </c>
      <c r="AG698" s="29" t="str">
        <f t="shared" si="263"/>
        <v>NA</v>
      </c>
      <c r="AH698" s="29" t="str">
        <f t="shared" si="264"/>
        <v>NA</v>
      </c>
    </row>
    <row r="699" customHeight="1" spans="1:34">
      <c r="A699" s="12" t="s">
        <v>1043</v>
      </c>
      <c r="F699" s="24">
        <f t="shared" si="246"/>
        <v>0</v>
      </c>
      <c r="G699" s="24" t="e">
        <f t="shared" si="245"/>
        <v>#DIV/0!</v>
      </c>
      <c r="Q699" s="29" t="str">
        <f t="shared" si="247"/>
        <v>NA</v>
      </c>
      <c r="R699" s="29" t="str">
        <f t="shared" si="248"/>
        <v>NA</v>
      </c>
      <c r="S699" s="29" t="str">
        <f t="shared" si="249"/>
        <v>NA</v>
      </c>
      <c r="T699" s="29" t="str">
        <f t="shared" si="250"/>
        <v>NA</v>
      </c>
      <c r="U699" s="29" t="str">
        <f t="shared" si="251"/>
        <v>NA</v>
      </c>
      <c r="V699" s="29" t="str">
        <f t="shared" si="252"/>
        <v>NA</v>
      </c>
      <c r="W699" s="29" t="str">
        <f t="shared" si="253"/>
        <v>NA</v>
      </c>
      <c r="X699" s="29" t="str">
        <f t="shared" si="254"/>
        <v>NA</v>
      </c>
      <c r="Y699" s="29" t="str">
        <f t="shared" si="255"/>
        <v>NA</v>
      </c>
      <c r="Z699" s="29" t="str">
        <f t="shared" si="256"/>
        <v>NA</v>
      </c>
      <c r="AA699" s="29" t="str">
        <f t="shared" si="257"/>
        <v>NA</v>
      </c>
      <c r="AB699" s="29" t="str">
        <f t="shared" si="258"/>
        <v>NA</v>
      </c>
      <c r="AC699" s="29" t="str">
        <f t="shared" si="259"/>
        <v>NA</v>
      </c>
      <c r="AD699" s="29" t="str">
        <f t="shared" si="260"/>
        <v>NA</v>
      </c>
      <c r="AE699" s="29" t="str">
        <f t="shared" si="261"/>
        <v>NA</v>
      </c>
      <c r="AF699" s="29" t="str">
        <f t="shared" si="262"/>
        <v>NA</v>
      </c>
      <c r="AG699" s="29" t="str">
        <f t="shared" si="263"/>
        <v>NA</v>
      </c>
      <c r="AH699" s="29" t="str">
        <f t="shared" si="264"/>
        <v>NA</v>
      </c>
    </row>
    <row r="700" customHeight="1" spans="1:34">
      <c r="A700" s="12" t="s">
        <v>1043</v>
      </c>
      <c r="F700" s="24">
        <f t="shared" si="246"/>
        <v>0</v>
      </c>
      <c r="G700" s="24" t="e">
        <f t="shared" si="245"/>
        <v>#DIV/0!</v>
      </c>
      <c r="Q700" s="29" t="str">
        <f t="shared" si="247"/>
        <v>NA</v>
      </c>
      <c r="R700" s="29" t="str">
        <f t="shared" si="248"/>
        <v>NA</v>
      </c>
      <c r="S700" s="29" t="str">
        <f t="shared" si="249"/>
        <v>NA</v>
      </c>
      <c r="T700" s="29" t="str">
        <f t="shared" si="250"/>
        <v>NA</v>
      </c>
      <c r="U700" s="29" t="str">
        <f t="shared" si="251"/>
        <v>NA</v>
      </c>
      <c r="V700" s="29" t="str">
        <f t="shared" si="252"/>
        <v>NA</v>
      </c>
      <c r="W700" s="29" t="str">
        <f t="shared" si="253"/>
        <v>NA</v>
      </c>
      <c r="X700" s="29" t="str">
        <f t="shared" si="254"/>
        <v>NA</v>
      </c>
      <c r="Y700" s="29" t="str">
        <f t="shared" si="255"/>
        <v>NA</v>
      </c>
      <c r="Z700" s="29" t="str">
        <f t="shared" si="256"/>
        <v>NA</v>
      </c>
      <c r="AA700" s="29" t="str">
        <f t="shared" si="257"/>
        <v>NA</v>
      </c>
      <c r="AB700" s="29" t="str">
        <f t="shared" si="258"/>
        <v>NA</v>
      </c>
      <c r="AC700" s="29" t="str">
        <f t="shared" si="259"/>
        <v>NA</v>
      </c>
      <c r="AD700" s="29" t="str">
        <f t="shared" si="260"/>
        <v>NA</v>
      </c>
      <c r="AE700" s="29" t="str">
        <f t="shared" si="261"/>
        <v>NA</v>
      </c>
      <c r="AF700" s="29" t="str">
        <f t="shared" si="262"/>
        <v>NA</v>
      </c>
      <c r="AG700" s="29" t="str">
        <f t="shared" si="263"/>
        <v>NA</v>
      </c>
      <c r="AH700" s="29" t="str">
        <f t="shared" si="264"/>
        <v>NA</v>
      </c>
    </row>
    <row r="701" customHeight="1" spans="1:34">
      <c r="A701" s="12" t="s">
        <v>1043</v>
      </c>
      <c r="F701" s="24">
        <f t="shared" si="246"/>
        <v>0</v>
      </c>
      <c r="G701" s="24" t="e">
        <f t="shared" si="245"/>
        <v>#DIV/0!</v>
      </c>
      <c r="Q701" s="29" t="str">
        <f t="shared" si="247"/>
        <v>NA</v>
      </c>
      <c r="R701" s="29" t="str">
        <f t="shared" si="248"/>
        <v>NA</v>
      </c>
      <c r="S701" s="29" t="str">
        <f t="shared" si="249"/>
        <v>NA</v>
      </c>
      <c r="T701" s="29" t="str">
        <f t="shared" si="250"/>
        <v>NA</v>
      </c>
      <c r="U701" s="29" t="str">
        <f t="shared" si="251"/>
        <v>NA</v>
      </c>
      <c r="V701" s="29" t="str">
        <f t="shared" si="252"/>
        <v>NA</v>
      </c>
      <c r="W701" s="29" t="str">
        <f t="shared" si="253"/>
        <v>NA</v>
      </c>
      <c r="X701" s="29" t="str">
        <f t="shared" si="254"/>
        <v>NA</v>
      </c>
      <c r="Y701" s="29" t="str">
        <f t="shared" si="255"/>
        <v>NA</v>
      </c>
      <c r="Z701" s="29" t="str">
        <f t="shared" si="256"/>
        <v>NA</v>
      </c>
      <c r="AA701" s="29" t="str">
        <f t="shared" si="257"/>
        <v>NA</v>
      </c>
      <c r="AB701" s="29" t="str">
        <f t="shared" si="258"/>
        <v>NA</v>
      </c>
      <c r="AC701" s="29" t="str">
        <f t="shared" si="259"/>
        <v>NA</v>
      </c>
      <c r="AD701" s="29" t="str">
        <f t="shared" si="260"/>
        <v>NA</v>
      </c>
      <c r="AE701" s="29" t="str">
        <f t="shared" si="261"/>
        <v>NA</v>
      </c>
      <c r="AF701" s="29" t="str">
        <f t="shared" si="262"/>
        <v>NA</v>
      </c>
      <c r="AG701" s="29" t="str">
        <f t="shared" si="263"/>
        <v>NA</v>
      </c>
      <c r="AH701" s="29" t="str">
        <f t="shared" si="264"/>
        <v>NA</v>
      </c>
    </row>
    <row r="702" customHeight="1" spans="1:34">
      <c r="A702" s="12" t="s">
        <v>1043</v>
      </c>
      <c r="F702" s="24">
        <f t="shared" si="246"/>
        <v>0</v>
      </c>
      <c r="G702" s="24" t="e">
        <f t="shared" si="245"/>
        <v>#DIV/0!</v>
      </c>
      <c r="Q702" s="29" t="str">
        <f t="shared" si="247"/>
        <v>NA</v>
      </c>
      <c r="R702" s="29" t="str">
        <f t="shared" si="248"/>
        <v>NA</v>
      </c>
      <c r="S702" s="29" t="str">
        <f t="shared" si="249"/>
        <v>NA</v>
      </c>
      <c r="T702" s="29" t="str">
        <f t="shared" si="250"/>
        <v>NA</v>
      </c>
      <c r="U702" s="29" t="str">
        <f t="shared" si="251"/>
        <v>NA</v>
      </c>
      <c r="V702" s="29" t="str">
        <f t="shared" si="252"/>
        <v>NA</v>
      </c>
      <c r="W702" s="29" t="str">
        <f t="shared" si="253"/>
        <v>NA</v>
      </c>
      <c r="X702" s="29" t="str">
        <f t="shared" si="254"/>
        <v>NA</v>
      </c>
      <c r="Y702" s="29" t="str">
        <f t="shared" si="255"/>
        <v>NA</v>
      </c>
      <c r="Z702" s="29" t="str">
        <f t="shared" si="256"/>
        <v>NA</v>
      </c>
      <c r="AA702" s="29" t="str">
        <f t="shared" si="257"/>
        <v>NA</v>
      </c>
      <c r="AB702" s="29" t="str">
        <f t="shared" si="258"/>
        <v>NA</v>
      </c>
      <c r="AC702" s="29" t="str">
        <f t="shared" si="259"/>
        <v>NA</v>
      </c>
      <c r="AD702" s="29" t="str">
        <f t="shared" si="260"/>
        <v>NA</v>
      </c>
      <c r="AE702" s="29" t="str">
        <f t="shared" si="261"/>
        <v>NA</v>
      </c>
      <c r="AF702" s="29" t="str">
        <f t="shared" si="262"/>
        <v>NA</v>
      </c>
      <c r="AG702" s="29" t="str">
        <f t="shared" si="263"/>
        <v>NA</v>
      </c>
      <c r="AH702" s="29" t="str">
        <f t="shared" si="264"/>
        <v>NA</v>
      </c>
    </row>
    <row r="703" customHeight="1" spans="1:34">
      <c r="A703" s="12" t="s">
        <v>1043</v>
      </c>
      <c r="F703" s="24">
        <f t="shared" si="246"/>
        <v>0</v>
      </c>
      <c r="G703" s="24" t="e">
        <f t="shared" si="245"/>
        <v>#DIV/0!</v>
      </c>
      <c r="Q703" s="29" t="str">
        <f t="shared" si="247"/>
        <v>NA</v>
      </c>
      <c r="R703" s="29" t="str">
        <f t="shared" si="248"/>
        <v>NA</v>
      </c>
      <c r="S703" s="29" t="str">
        <f t="shared" si="249"/>
        <v>NA</v>
      </c>
      <c r="T703" s="29" t="str">
        <f t="shared" si="250"/>
        <v>NA</v>
      </c>
      <c r="U703" s="29" t="str">
        <f t="shared" si="251"/>
        <v>NA</v>
      </c>
      <c r="V703" s="29" t="str">
        <f t="shared" si="252"/>
        <v>NA</v>
      </c>
      <c r="W703" s="29" t="str">
        <f t="shared" si="253"/>
        <v>NA</v>
      </c>
      <c r="X703" s="29" t="str">
        <f t="shared" si="254"/>
        <v>NA</v>
      </c>
      <c r="Y703" s="29" t="str">
        <f t="shared" si="255"/>
        <v>NA</v>
      </c>
      <c r="Z703" s="29" t="str">
        <f t="shared" si="256"/>
        <v>NA</v>
      </c>
      <c r="AA703" s="29" t="str">
        <f t="shared" si="257"/>
        <v>NA</v>
      </c>
      <c r="AB703" s="29" t="str">
        <f t="shared" si="258"/>
        <v>NA</v>
      </c>
      <c r="AC703" s="29" t="str">
        <f t="shared" si="259"/>
        <v>NA</v>
      </c>
      <c r="AD703" s="29" t="str">
        <f t="shared" si="260"/>
        <v>NA</v>
      </c>
      <c r="AE703" s="29" t="str">
        <f t="shared" si="261"/>
        <v>NA</v>
      </c>
      <c r="AF703" s="29" t="str">
        <f t="shared" si="262"/>
        <v>NA</v>
      </c>
      <c r="AG703" s="29" t="str">
        <f t="shared" si="263"/>
        <v>NA</v>
      </c>
      <c r="AH703" s="29" t="str">
        <f t="shared" si="264"/>
        <v>NA</v>
      </c>
    </row>
    <row r="704" customHeight="1" spans="1:34">
      <c r="A704" s="12" t="s">
        <v>1043</v>
      </c>
      <c r="F704" s="24">
        <f t="shared" si="246"/>
        <v>0</v>
      </c>
      <c r="G704" s="24" t="e">
        <f t="shared" si="245"/>
        <v>#DIV/0!</v>
      </c>
      <c r="Q704" s="29" t="str">
        <f t="shared" si="247"/>
        <v>NA</v>
      </c>
      <c r="R704" s="29" t="str">
        <f t="shared" si="248"/>
        <v>NA</v>
      </c>
      <c r="S704" s="29" t="str">
        <f t="shared" si="249"/>
        <v>NA</v>
      </c>
      <c r="T704" s="29" t="str">
        <f t="shared" si="250"/>
        <v>NA</v>
      </c>
      <c r="U704" s="29" t="str">
        <f t="shared" si="251"/>
        <v>NA</v>
      </c>
      <c r="V704" s="29" t="str">
        <f t="shared" si="252"/>
        <v>NA</v>
      </c>
      <c r="W704" s="29" t="str">
        <f t="shared" si="253"/>
        <v>NA</v>
      </c>
      <c r="X704" s="29" t="str">
        <f t="shared" si="254"/>
        <v>NA</v>
      </c>
      <c r="Y704" s="29" t="str">
        <f t="shared" si="255"/>
        <v>NA</v>
      </c>
      <c r="Z704" s="29" t="str">
        <f t="shared" si="256"/>
        <v>NA</v>
      </c>
      <c r="AA704" s="29" t="str">
        <f t="shared" si="257"/>
        <v>NA</v>
      </c>
      <c r="AB704" s="29" t="str">
        <f t="shared" si="258"/>
        <v>NA</v>
      </c>
      <c r="AC704" s="29" t="str">
        <f t="shared" si="259"/>
        <v>NA</v>
      </c>
      <c r="AD704" s="29" t="str">
        <f t="shared" si="260"/>
        <v>NA</v>
      </c>
      <c r="AE704" s="29" t="str">
        <f t="shared" si="261"/>
        <v>NA</v>
      </c>
      <c r="AF704" s="29" t="str">
        <f t="shared" si="262"/>
        <v>NA</v>
      </c>
      <c r="AG704" s="29" t="str">
        <f t="shared" si="263"/>
        <v>NA</v>
      </c>
      <c r="AH704" s="29" t="str">
        <f t="shared" si="264"/>
        <v>NA</v>
      </c>
    </row>
    <row r="705" customHeight="1" spans="1:34">
      <c r="A705" s="12" t="s">
        <v>1043</v>
      </c>
      <c r="F705" s="24">
        <f t="shared" si="246"/>
        <v>0</v>
      </c>
      <c r="G705" s="24" t="e">
        <f t="shared" si="245"/>
        <v>#DIV/0!</v>
      </c>
      <c r="Q705" s="29" t="str">
        <f t="shared" si="247"/>
        <v>NA</v>
      </c>
      <c r="R705" s="29" t="str">
        <f t="shared" si="248"/>
        <v>NA</v>
      </c>
      <c r="S705" s="29" t="str">
        <f t="shared" si="249"/>
        <v>NA</v>
      </c>
      <c r="T705" s="29" t="str">
        <f t="shared" si="250"/>
        <v>NA</v>
      </c>
      <c r="U705" s="29" t="str">
        <f t="shared" si="251"/>
        <v>NA</v>
      </c>
      <c r="V705" s="29" t="str">
        <f t="shared" si="252"/>
        <v>NA</v>
      </c>
      <c r="W705" s="29" t="str">
        <f t="shared" si="253"/>
        <v>NA</v>
      </c>
      <c r="X705" s="29" t="str">
        <f t="shared" si="254"/>
        <v>NA</v>
      </c>
      <c r="Y705" s="29" t="str">
        <f t="shared" si="255"/>
        <v>NA</v>
      </c>
      <c r="Z705" s="29" t="str">
        <f t="shared" si="256"/>
        <v>NA</v>
      </c>
      <c r="AA705" s="29" t="str">
        <f t="shared" si="257"/>
        <v>NA</v>
      </c>
      <c r="AB705" s="29" t="str">
        <f t="shared" si="258"/>
        <v>NA</v>
      </c>
      <c r="AC705" s="29" t="str">
        <f t="shared" si="259"/>
        <v>NA</v>
      </c>
      <c r="AD705" s="29" t="str">
        <f t="shared" si="260"/>
        <v>NA</v>
      </c>
      <c r="AE705" s="29" t="str">
        <f t="shared" si="261"/>
        <v>NA</v>
      </c>
      <c r="AF705" s="29" t="str">
        <f t="shared" si="262"/>
        <v>NA</v>
      </c>
      <c r="AG705" s="29" t="str">
        <f t="shared" si="263"/>
        <v>NA</v>
      </c>
      <c r="AH705" s="29" t="str">
        <f t="shared" si="264"/>
        <v>NA</v>
      </c>
    </row>
    <row r="706" customHeight="1" spans="1:34">
      <c r="A706" s="12" t="s">
        <v>1043</v>
      </c>
      <c r="F706" s="24">
        <f t="shared" si="246"/>
        <v>0</v>
      </c>
      <c r="G706" s="24" t="e">
        <f t="shared" si="245"/>
        <v>#DIV/0!</v>
      </c>
      <c r="Q706" s="29" t="str">
        <f t="shared" si="247"/>
        <v>NA</v>
      </c>
      <c r="R706" s="29" t="str">
        <f t="shared" si="248"/>
        <v>NA</v>
      </c>
      <c r="S706" s="29" t="str">
        <f t="shared" si="249"/>
        <v>NA</v>
      </c>
      <c r="T706" s="29" t="str">
        <f t="shared" si="250"/>
        <v>NA</v>
      </c>
      <c r="U706" s="29" t="str">
        <f t="shared" si="251"/>
        <v>NA</v>
      </c>
      <c r="V706" s="29" t="str">
        <f t="shared" si="252"/>
        <v>NA</v>
      </c>
      <c r="W706" s="29" t="str">
        <f t="shared" si="253"/>
        <v>NA</v>
      </c>
      <c r="X706" s="29" t="str">
        <f t="shared" si="254"/>
        <v>NA</v>
      </c>
      <c r="Y706" s="29" t="str">
        <f t="shared" si="255"/>
        <v>NA</v>
      </c>
      <c r="Z706" s="29" t="str">
        <f t="shared" si="256"/>
        <v>NA</v>
      </c>
      <c r="AA706" s="29" t="str">
        <f t="shared" si="257"/>
        <v>NA</v>
      </c>
      <c r="AB706" s="29" t="str">
        <f t="shared" si="258"/>
        <v>NA</v>
      </c>
      <c r="AC706" s="29" t="str">
        <f t="shared" si="259"/>
        <v>NA</v>
      </c>
      <c r="AD706" s="29" t="str">
        <f t="shared" si="260"/>
        <v>NA</v>
      </c>
      <c r="AE706" s="29" t="str">
        <f t="shared" si="261"/>
        <v>NA</v>
      </c>
      <c r="AF706" s="29" t="str">
        <f t="shared" si="262"/>
        <v>NA</v>
      </c>
      <c r="AG706" s="29" t="str">
        <f t="shared" si="263"/>
        <v>NA</v>
      </c>
      <c r="AH706" s="29" t="str">
        <f t="shared" si="264"/>
        <v>NA</v>
      </c>
    </row>
    <row r="707" customHeight="1" spans="1:34">
      <c r="A707" s="12" t="s">
        <v>1043</v>
      </c>
      <c r="F707" s="24">
        <f t="shared" si="246"/>
        <v>0</v>
      </c>
      <c r="G707" s="24" t="e">
        <f t="shared" si="245"/>
        <v>#DIV/0!</v>
      </c>
      <c r="Q707" s="29" t="str">
        <f t="shared" si="247"/>
        <v>NA</v>
      </c>
      <c r="R707" s="29" t="str">
        <f t="shared" si="248"/>
        <v>NA</v>
      </c>
      <c r="S707" s="29" t="str">
        <f t="shared" si="249"/>
        <v>NA</v>
      </c>
      <c r="T707" s="29" t="str">
        <f t="shared" si="250"/>
        <v>NA</v>
      </c>
      <c r="U707" s="29" t="str">
        <f t="shared" si="251"/>
        <v>NA</v>
      </c>
      <c r="V707" s="29" t="str">
        <f t="shared" si="252"/>
        <v>NA</v>
      </c>
      <c r="W707" s="29" t="str">
        <f t="shared" si="253"/>
        <v>NA</v>
      </c>
      <c r="X707" s="29" t="str">
        <f t="shared" si="254"/>
        <v>NA</v>
      </c>
      <c r="Y707" s="29" t="str">
        <f t="shared" si="255"/>
        <v>NA</v>
      </c>
      <c r="Z707" s="29" t="str">
        <f t="shared" si="256"/>
        <v>NA</v>
      </c>
      <c r="AA707" s="29" t="str">
        <f t="shared" si="257"/>
        <v>NA</v>
      </c>
      <c r="AB707" s="29" t="str">
        <f t="shared" si="258"/>
        <v>NA</v>
      </c>
      <c r="AC707" s="29" t="str">
        <f t="shared" si="259"/>
        <v>NA</v>
      </c>
      <c r="AD707" s="29" t="str">
        <f t="shared" si="260"/>
        <v>NA</v>
      </c>
      <c r="AE707" s="29" t="str">
        <f t="shared" si="261"/>
        <v>NA</v>
      </c>
      <c r="AF707" s="29" t="str">
        <f t="shared" si="262"/>
        <v>NA</v>
      </c>
      <c r="AG707" s="29" t="str">
        <f t="shared" si="263"/>
        <v>NA</v>
      </c>
      <c r="AH707" s="29" t="str">
        <f t="shared" si="264"/>
        <v>NA</v>
      </c>
    </row>
    <row r="708" customHeight="1" spans="1:34">
      <c r="A708" s="12" t="s">
        <v>1043</v>
      </c>
      <c r="F708" s="24">
        <f t="shared" si="246"/>
        <v>0</v>
      </c>
      <c r="G708" s="24" t="e">
        <f t="shared" si="245"/>
        <v>#DIV/0!</v>
      </c>
      <c r="Q708" s="29" t="str">
        <f t="shared" si="247"/>
        <v>NA</v>
      </c>
      <c r="R708" s="29" t="str">
        <f t="shared" si="248"/>
        <v>NA</v>
      </c>
      <c r="S708" s="29" t="str">
        <f t="shared" si="249"/>
        <v>NA</v>
      </c>
      <c r="T708" s="29" t="str">
        <f t="shared" si="250"/>
        <v>NA</v>
      </c>
      <c r="U708" s="29" t="str">
        <f t="shared" si="251"/>
        <v>NA</v>
      </c>
      <c r="V708" s="29" t="str">
        <f t="shared" si="252"/>
        <v>NA</v>
      </c>
      <c r="W708" s="29" t="str">
        <f t="shared" si="253"/>
        <v>NA</v>
      </c>
      <c r="X708" s="29" t="str">
        <f t="shared" si="254"/>
        <v>NA</v>
      </c>
      <c r="Y708" s="29" t="str">
        <f t="shared" si="255"/>
        <v>NA</v>
      </c>
      <c r="Z708" s="29" t="str">
        <f t="shared" si="256"/>
        <v>NA</v>
      </c>
      <c r="AA708" s="29" t="str">
        <f t="shared" si="257"/>
        <v>NA</v>
      </c>
      <c r="AB708" s="29" t="str">
        <f t="shared" si="258"/>
        <v>NA</v>
      </c>
      <c r="AC708" s="29" t="str">
        <f t="shared" si="259"/>
        <v>NA</v>
      </c>
      <c r="AD708" s="29" t="str">
        <f t="shared" si="260"/>
        <v>NA</v>
      </c>
      <c r="AE708" s="29" t="str">
        <f t="shared" si="261"/>
        <v>NA</v>
      </c>
      <c r="AF708" s="29" t="str">
        <f t="shared" si="262"/>
        <v>NA</v>
      </c>
      <c r="AG708" s="29" t="str">
        <f t="shared" si="263"/>
        <v>NA</v>
      </c>
      <c r="AH708" s="29" t="str">
        <f t="shared" si="264"/>
        <v>NA</v>
      </c>
    </row>
    <row r="709" customHeight="1" spans="1:34">
      <c r="A709" s="12" t="s">
        <v>1043</v>
      </c>
      <c r="F709" s="24">
        <f t="shared" si="246"/>
        <v>0</v>
      </c>
      <c r="G709" s="24" t="e">
        <f t="shared" ref="G709:G772" si="265">B709*D709/C709</f>
        <v>#DIV/0!</v>
      </c>
      <c r="Q709" s="29" t="str">
        <f t="shared" si="247"/>
        <v>NA</v>
      </c>
      <c r="R709" s="29" t="str">
        <f t="shared" si="248"/>
        <v>NA</v>
      </c>
      <c r="S709" s="29" t="str">
        <f t="shared" si="249"/>
        <v>NA</v>
      </c>
      <c r="T709" s="29" t="str">
        <f t="shared" si="250"/>
        <v>NA</v>
      </c>
      <c r="U709" s="29" t="str">
        <f t="shared" si="251"/>
        <v>NA</v>
      </c>
      <c r="V709" s="29" t="str">
        <f t="shared" si="252"/>
        <v>NA</v>
      </c>
      <c r="W709" s="29" t="str">
        <f t="shared" si="253"/>
        <v>NA</v>
      </c>
      <c r="X709" s="29" t="str">
        <f t="shared" si="254"/>
        <v>NA</v>
      </c>
      <c r="Y709" s="29" t="str">
        <f t="shared" si="255"/>
        <v>NA</v>
      </c>
      <c r="Z709" s="29" t="str">
        <f t="shared" si="256"/>
        <v>NA</v>
      </c>
      <c r="AA709" s="29" t="str">
        <f t="shared" si="257"/>
        <v>NA</v>
      </c>
      <c r="AB709" s="29" t="str">
        <f t="shared" si="258"/>
        <v>NA</v>
      </c>
      <c r="AC709" s="29" t="str">
        <f t="shared" si="259"/>
        <v>NA</v>
      </c>
      <c r="AD709" s="29" t="str">
        <f t="shared" si="260"/>
        <v>NA</v>
      </c>
      <c r="AE709" s="29" t="str">
        <f t="shared" si="261"/>
        <v>NA</v>
      </c>
      <c r="AF709" s="29" t="str">
        <f t="shared" si="262"/>
        <v>NA</v>
      </c>
      <c r="AG709" s="29" t="str">
        <f t="shared" si="263"/>
        <v>NA</v>
      </c>
      <c r="AH709" s="29" t="str">
        <f t="shared" si="264"/>
        <v>NA</v>
      </c>
    </row>
    <row r="710" customHeight="1" spans="1:34">
      <c r="A710" s="12" t="s">
        <v>1043</v>
      </c>
      <c r="F710" s="24">
        <f t="shared" ref="F710:F773" si="266">+D710+E710</f>
        <v>0</v>
      </c>
      <c r="G710" s="24" t="e">
        <f t="shared" si="265"/>
        <v>#DIV/0!</v>
      </c>
      <c r="Q710" s="29" t="str">
        <f t="shared" si="247"/>
        <v>NA</v>
      </c>
      <c r="R710" s="29" t="str">
        <f t="shared" si="248"/>
        <v>NA</v>
      </c>
      <c r="S710" s="29" t="str">
        <f t="shared" si="249"/>
        <v>NA</v>
      </c>
      <c r="T710" s="29" t="str">
        <f t="shared" si="250"/>
        <v>NA</v>
      </c>
      <c r="U710" s="29" t="str">
        <f t="shared" si="251"/>
        <v>NA</v>
      </c>
      <c r="V710" s="29" t="str">
        <f t="shared" si="252"/>
        <v>NA</v>
      </c>
      <c r="W710" s="29" t="str">
        <f t="shared" si="253"/>
        <v>NA</v>
      </c>
      <c r="X710" s="29" t="str">
        <f t="shared" si="254"/>
        <v>NA</v>
      </c>
      <c r="Y710" s="29" t="str">
        <f t="shared" si="255"/>
        <v>NA</v>
      </c>
      <c r="Z710" s="29" t="str">
        <f t="shared" si="256"/>
        <v>NA</v>
      </c>
      <c r="AA710" s="29" t="str">
        <f t="shared" si="257"/>
        <v>NA</v>
      </c>
      <c r="AB710" s="29" t="str">
        <f t="shared" si="258"/>
        <v>NA</v>
      </c>
      <c r="AC710" s="29" t="str">
        <f t="shared" si="259"/>
        <v>NA</v>
      </c>
      <c r="AD710" s="29" t="str">
        <f t="shared" si="260"/>
        <v>NA</v>
      </c>
      <c r="AE710" s="29" t="str">
        <f t="shared" si="261"/>
        <v>NA</v>
      </c>
      <c r="AF710" s="29" t="str">
        <f t="shared" si="262"/>
        <v>NA</v>
      </c>
      <c r="AG710" s="29" t="str">
        <f t="shared" si="263"/>
        <v>NA</v>
      </c>
      <c r="AH710" s="29" t="str">
        <f t="shared" si="264"/>
        <v>NA</v>
      </c>
    </row>
    <row r="711" customHeight="1" spans="1:34">
      <c r="A711" s="12" t="s">
        <v>1043</v>
      </c>
      <c r="F711" s="24">
        <f t="shared" si="266"/>
        <v>0</v>
      </c>
      <c r="G711" s="24" t="e">
        <f t="shared" si="265"/>
        <v>#DIV/0!</v>
      </c>
      <c r="Q711" s="29" t="str">
        <f t="shared" si="247"/>
        <v>NA</v>
      </c>
      <c r="R711" s="29" t="str">
        <f t="shared" si="248"/>
        <v>NA</v>
      </c>
      <c r="S711" s="29" t="str">
        <f t="shared" si="249"/>
        <v>NA</v>
      </c>
      <c r="T711" s="29" t="str">
        <f t="shared" si="250"/>
        <v>NA</v>
      </c>
      <c r="U711" s="29" t="str">
        <f t="shared" si="251"/>
        <v>NA</v>
      </c>
      <c r="V711" s="29" t="str">
        <f t="shared" si="252"/>
        <v>NA</v>
      </c>
      <c r="W711" s="29" t="str">
        <f t="shared" si="253"/>
        <v>NA</v>
      </c>
      <c r="X711" s="29" t="str">
        <f t="shared" si="254"/>
        <v>NA</v>
      </c>
      <c r="Y711" s="29" t="str">
        <f t="shared" si="255"/>
        <v>NA</v>
      </c>
      <c r="Z711" s="29" t="str">
        <f t="shared" si="256"/>
        <v>NA</v>
      </c>
      <c r="AA711" s="29" t="str">
        <f t="shared" si="257"/>
        <v>NA</v>
      </c>
      <c r="AB711" s="29" t="str">
        <f t="shared" si="258"/>
        <v>NA</v>
      </c>
      <c r="AC711" s="29" t="str">
        <f t="shared" si="259"/>
        <v>NA</v>
      </c>
      <c r="AD711" s="29" t="str">
        <f t="shared" si="260"/>
        <v>NA</v>
      </c>
      <c r="AE711" s="29" t="str">
        <f t="shared" si="261"/>
        <v>NA</v>
      </c>
      <c r="AF711" s="29" t="str">
        <f t="shared" si="262"/>
        <v>NA</v>
      </c>
      <c r="AG711" s="29" t="str">
        <f t="shared" si="263"/>
        <v>NA</v>
      </c>
      <c r="AH711" s="29" t="str">
        <f t="shared" si="264"/>
        <v>NA</v>
      </c>
    </row>
    <row r="712" customHeight="1" spans="1:34">
      <c r="A712" s="12" t="s">
        <v>1043</v>
      </c>
      <c r="F712" s="24">
        <f t="shared" si="266"/>
        <v>0</v>
      </c>
      <c r="G712" s="24" t="e">
        <f t="shared" si="265"/>
        <v>#DIV/0!</v>
      </c>
      <c r="Q712" s="29" t="str">
        <f t="shared" si="247"/>
        <v>NA</v>
      </c>
      <c r="R712" s="29" t="str">
        <f t="shared" si="248"/>
        <v>NA</v>
      </c>
      <c r="S712" s="29" t="str">
        <f t="shared" si="249"/>
        <v>NA</v>
      </c>
      <c r="T712" s="29" t="str">
        <f t="shared" si="250"/>
        <v>NA</v>
      </c>
      <c r="U712" s="29" t="str">
        <f t="shared" si="251"/>
        <v>NA</v>
      </c>
      <c r="V712" s="29" t="str">
        <f t="shared" si="252"/>
        <v>NA</v>
      </c>
      <c r="W712" s="29" t="str">
        <f t="shared" si="253"/>
        <v>NA</v>
      </c>
      <c r="X712" s="29" t="str">
        <f t="shared" si="254"/>
        <v>NA</v>
      </c>
      <c r="Y712" s="29" t="str">
        <f t="shared" si="255"/>
        <v>NA</v>
      </c>
      <c r="Z712" s="29" t="str">
        <f t="shared" si="256"/>
        <v>NA</v>
      </c>
      <c r="AA712" s="29" t="str">
        <f t="shared" si="257"/>
        <v>NA</v>
      </c>
      <c r="AB712" s="29" t="str">
        <f t="shared" si="258"/>
        <v>NA</v>
      </c>
      <c r="AC712" s="29" t="str">
        <f t="shared" si="259"/>
        <v>NA</v>
      </c>
      <c r="AD712" s="29" t="str">
        <f t="shared" si="260"/>
        <v>NA</v>
      </c>
      <c r="AE712" s="29" t="str">
        <f t="shared" si="261"/>
        <v>NA</v>
      </c>
      <c r="AF712" s="29" t="str">
        <f t="shared" si="262"/>
        <v>NA</v>
      </c>
      <c r="AG712" s="29" t="str">
        <f t="shared" si="263"/>
        <v>NA</v>
      </c>
      <c r="AH712" s="29" t="str">
        <f t="shared" si="264"/>
        <v>NA</v>
      </c>
    </row>
    <row r="713" customHeight="1" spans="1:34">
      <c r="A713" s="12" t="s">
        <v>1043</v>
      </c>
      <c r="F713" s="24">
        <f t="shared" si="266"/>
        <v>0</v>
      </c>
      <c r="G713" s="24" t="e">
        <f t="shared" si="265"/>
        <v>#DIV/0!</v>
      </c>
      <c r="Q713" s="29" t="str">
        <f t="shared" si="247"/>
        <v>NA</v>
      </c>
      <c r="R713" s="29" t="str">
        <f t="shared" si="248"/>
        <v>NA</v>
      </c>
      <c r="S713" s="29" t="str">
        <f t="shared" si="249"/>
        <v>NA</v>
      </c>
      <c r="T713" s="29" t="str">
        <f t="shared" si="250"/>
        <v>NA</v>
      </c>
      <c r="U713" s="29" t="str">
        <f t="shared" si="251"/>
        <v>NA</v>
      </c>
      <c r="V713" s="29" t="str">
        <f t="shared" si="252"/>
        <v>NA</v>
      </c>
      <c r="W713" s="29" t="str">
        <f t="shared" si="253"/>
        <v>NA</v>
      </c>
      <c r="X713" s="29" t="str">
        <f t="shared" si="254"/>
        <v>NA</v>
      </c>
      <c r="Y713" s="29" t="str">
        <f t="shared" si="255"/>
        <v>NA</v>
      </c>
      <c r="Z713" s="29" t="str">
        <f t="shared" si="256"/>
        <v>NA</v>
      </c>
      <c r="AA713" s="29" t="str">
        <f t="shared" si="257"/>
        <v>NA</v>
      </c>
      <c r="AB713" s="29" t="str">
        <f t="shared" si="258"/>
        <v>NA</v>
      </c>
      <c r="AC713" s="29" t="str">
        <f t="shared" si="259"/>
        <v>NA</v>
      </c>
      <c r="AD713" s="29" t="str">
        <f t="shared" si="260"/>
        <v>NA</v>
      </c>
      <c r="AE713" s="29" t="str">
        <f t="shared" si="261"/>
        <v>NA</v>
      </c>
      <c r="AF713" s="29" t="str">
        <f t="shared" si="262"/>
        <v>NA</v>
      </c>
      <c r="AG713" s="29" t="str">
        <f t="shared" si="263"/>
        <v>NA</v>
      </c>
      <c r="AH713" s="29" t="str">
        <f t="shared" si="264"/>
        <v>NA</v>
      </c>
    </row>
    <row r="714" customHeight="1" spans="1:34">
      <c r="A714" s="12" t="s">
        <v>1043</v>
      </c>
      <c r="F714" s="24">
        <f t="shared" si="266"/>
        <v>0</v>
      </c>
      <c r="G714" s="24" t="e">
        <f t="shared" si="265"/>
        <v>#DIV/0!</v>
      </c>
      <c r="Q714" s="29" t="str">
        <f t="shared" si="247"/>
        <v>NA</v>
      </c>
      <c r="R714" s="29" t="str">
        <f t="shared" si="248"/>
        <v>NA</v>
      </c>
      <c r="S714" s="29" t="str">
        <f t="shared" si="249"/>
        <v>NA</v>
      </c>
      <c r="T714" s="29" t="str">
        <f t="shared" si="250"/>
        <v>NA</v>
      </c>
      <c r="U714" s="29" t="str">
        <f t="shared" si="251"/>
        <v>NA</v>
      </c>
      <c r="V714" s="29" t="str">
        <f t="shared" si="252"/>
        <v>NA</v>
      </c>
      <c r="W714" s="29" t="str">
        <f t="shared" si="253"/>
        <v>NA</v>
      </c>
      <c r="X714" s="29" t="str">
        <f t="shared" si="254"/>
        <v>NA</v>
      </c>
      <c r="Y714" s="29" t="str">
        <f t="shared" si="255"/>
        <v>NA</v>
      </c>
      <c r="Z714" s="29" t="str">
        <f t="shared" si="256"/>
        <v>NA</v>
      </c>
      <c r="AA714" s="29" t="str">
        <f t="shared" si="257"/>
        <v>NA</v>
      </c>
      <c r="AB714" s="29" t="str">
        <f t="shared" si="258"/>
        <v>NA</v>
      </c>
      <c r="AC714" s="29" t="str">
        <f t="shared" si="259"/>
        <v>NA</v>
      </c>
      <c r="AD714" s="29" t="str">
        <f t="shared" si="260"/>
        <v>NA</v>
      </c>
      <c r="AE714" s="29" t="str">
        <f t="shared" si="261"/>
        <v>NA</v>
      </c>
      <c r="AF714" s="29" t="str">
        <f t="shared" si="262"/>
        <v>NA</v>
      </c>
      <c r="AG714" s="29" t="str">
        <f t="shared" si="263"/>
        <v>NA</v>
      </c>
      <c r="AH714" s="29" t="str">
        <f t="shared" si="264"/>
        <v>NA</v>
      </c>
    </row>
    <row r="715" customHeight="1" spans="1:34">
      <c r="A715" s="12" t="s">
        <v>1043</v>
      </c>
      <c r="F715" s="24">
        <f t="shared" si="266"/>
        <v>0</v>
      </c>
      <c r="G715" s="24" t="e">
        <f t="shared" si="265"/>
        <v>#DIV/0!</v>
      </c>
      <c r="Q715" s="29" t="str">
        <f t="shared" si="247"/>
        <v>NA</v>
      </c>
      <c r="R715" s="29" t="str">
        <f t="shared" si="248"/>
        <v>NA</v>
      </c>
      <c r="S715" s="29" t="str">
        <f t="shared" si="249"/>
        <v>NA</v>
      </c>
      <c r="T715" s="29" t="str">
        <f t="shared" si="250"/>
        <v>NA</v>
      </c>
      <c r="U715" s="29" t="str">
        <f t="shared" si="251"/>
        <v>NA</v>
      </c>
      <c r="V715" s="29" t="str">
        <f t="shared" si="252"/>
        <v>NA</v>
      </c>
      <c r="W715" s="29" t="str">
        <f t="shared" si="253"/>
        <v>NA</v>
      </c>
      <c r="X715" s="29" t="str">
        <f t="shared" si="254"/>
        <v>NA</v>
      </c>
      <c r="Y715" s="29" t="str">
        <f t="shared" si="255"/>
        <v>NA</v>
      </c>
      <c r="Z715" s="29" t="str">
        <f t="shared" si="256"/>
        <v>NA</v>
      </c>
      <c r="AA715" s="29" t="str">
        <f t="shared" si="257"/>
        <v>NA</v>
      </c>
      <c r="AB715" s="29" t="str">
        <f t="shared" si="258"/>
        <v>NA</v>
      </c>
      <c r="AC715" s="29" t="str">
        <f t="shared" si="259"/>
        <v>NA</v>
      </c>
      <c r="AD715" s="29" t="str">
        <f t="shared" si="260"/>
        <v>NA</v>
      </c>
      <c r="AE715" s="29" t="str">
        <f t="shared" si="261"/>
        <v>NA</v>
      </c>
      <c r="AF715" s="29" t="str">
        <f t="shared" si="262"/>
        <v>NA</v>
      </c>
      <c r="AG715" s="29" t="str">
        <f t="shared" si="263"/>
        <v>NA</v>
      </c>
      <c r="AH715" s="29" t="str">
        <f t="shared" si="264"/>
        <v>NA</v>
      </c>
    </row>
    <row r="716" customHeight="1" spans="1:34">
      <c r="A716" s="12" t="s">
        <v>1043</v>
      </c>
      <c r="F716" s="24">
        <f t="shared" si="266"/>
        <v>0</v>
      </c>
      <c r="G716" s="24" t="e">
        <f t="shared" si="265"/>
        <v>#DIV/0!</v>
      </c>
      <c r="Q716" s="29" t="str">
        <f t="shared" si="247"/>
        <v>NA</v>
      </c>
      <c r="R716" s="29" t="str">
        <f t="shared" si="248"/>
        <v>NA</v>
      </c>
      <c r="S716" s="29" t="str">
        <f t="shared" si="249"/>
        <v>NA</v>
      </c>
      <c r="T716" s="29" t="str">
        <f t="shared" si="250"/>
        <v>NA</v>
      </c>
      <c r="U716" s="29" t="str">
        <f t="shared" si="251"/>
        <v>NA</v>
      </c>
      <c r="V716" s="29" t="str">
        <f t="shared" si="252"/>
        <v>NA</v>
      </c>
      <c r="W716" s="29" t="str">
        <f t="shared" si="253"/>
        <v>NA</v>
      </c>
      <c r="X716" s="29" t="str">
        <f t="shared" si="254"/>
        <v>NA</v>
      </c>
      <c r="Y716" s="29" t="str">
        <f t="shared" si="255"/>
        <v>NA</v>
      </c>
      <c r="Z716" s="29" t="str">
        <f t="shared" si="256"/>
        <v>NA</v>
      </c>
      <c r="AA716" s="29" t="str">
        <f t="shared" si="257"/>
        <v>NA</v>
      </c>
      <c r="AB716" s="29" t="str">
        <f t="shared" si="258"/>
        <v>NA</v>
      </c>
      <c r="AC716" s="29" t="str">
        <f t="shared" si="259"/>
        <v>NA</v>
      </c>
      <c r="AD716" s="29" t="str">
        <f t="shared" si="260"/>
        <v>NA</v>
      </c>
      <c r="AE716" s="29" t="str">
        <f t="shared" si="261"/>
        <v>NA</v>
      </c>
      <c r="AF716" s="29" t="str">
        <f t="shared" si="262"/>
        <v>NA</v>
      </c>
      <c r="AG716" s="29" t="str">
        <f t="shared" si="263"/>
        <v>NA</v>
      </c>
      <c r="AH716" s="29" t="str">
        <f t="shared" si="264"/>
        <v>NA</v>
      </c>
    </row>
    <row r="717" customHeight="1" spans="1:34">
      <c r="A717" s="12" t="s">
        <v>1043</v>
      </c>
      <c r="F717" s="24">
        <f t="shared" si="266"/>
        <v>0</v>
      </c>
      <c r="G717" s="24" t="e">
        <f t="shared" si="265"/>
        <v>#DIV/0!</v>
      </c>
      <c r="Q717" s="29" t="str">
        <f t="shared" si="247"/>
        <v>NA</v>
      </c>
      <c r="R717" s="29" t="str">
        <f t="shared" si="248"/>
        <v>NA</v>
      </c>
      <c r="S717" s="29" t="str">
        <f t="shared" si="249"/>
        <v>NA</v>
      </c>
      <c r="T717" s="29" t="str">
        <f t="shared" si="250"/>
        <v>NA</v>
      </c>
      <c r="U717" s="29" t="str">
        <f t="shared" si="251"/>
        <v>NA</v>
      </c>
      <c r="V717" s="29" t="str">
        <f t="shared" si="252"/>
        <v>NA</v>
      </c>
      <c r="W717" s="29" t="str">
        <f t="shared" si="253"/>
        <v>NA</v>
      </c>
      <c r="X717" s="29" t="str">
        <f t="shared" si="254"/>
        <v>NA</v>
      </c>
      <c r="Y717" s="29" t="str">
        <f t="shared" si="255"/>
        <v>NA</v>
      </c>
      <c r="Z717" s="29" t="str">
        <f t="shared" si="256"/>
        <v>NA</v>
      </c>
      <c r="AA717" s="29" t="str">
        <f t="shared" si="257"/>
        <v>NA</v>
      </c>
      <c r="AB717" s="29" t="str">
        <f t="shared" si="258"/>
        <v>NA</v>
      </c>
      <c r="AC717" s="29" t="str">
        <f t="shared" si="259"/>
        <v>NA</v>
      </c>
      <c r="AD717" s="29" t="str">
        <f t="shared" si="260"/>
        <v>NA</v>
      </c>
      <c r="AE717" s="29" t="str">
        <f t="shared" si="261"/>
        <v>NA</v>
      </c>
      <c r="AF717" s="29" t="str">
        <f t="shared" si="262"/>
        <v>NA</v>
      </c>
      <c r="AG717" s="29" t="str">
        <f t="shared" si="263"/>
        <v>NA</v>
      </c>
      <c r="AH717" s="29" t="str">
        <f t="shared" si="264"/>
        <v>NA</v>
      </c>
    </row>
    <row r="718" customHeight="1" spans="1:34">
      <c r="A718" s="12" t="s">
        <v>1043</v>
      </c>
      <c r="F718" s="24">
        <f t="shared" si="266"/>
        <v>0</v>
      </c>
      <c r="G718" s="24" t="e">
        <f t="shared" si="265"/>
        <v>#DIV/0!</v>
      </c>
      <c r="Q718" s="29" t="str">
        <f t="shared" si="247"/>
        <v>NA</v>
      </c>
      <c r="R718" s="29" t="str">
        <f t="shared" si="248"/>
        <v>NA</v>
      </c>
      <c r="S718" s="29" t="str">
        <f t="shared" si="249"/>
        <v>NA</v>
      </c>
      <c r="T718" s="29" t="str">
        <f t="shared" si="250"/>
        <v>NA</v>
      </c>
      <c r="U718" s="29" t="str">
        <f t="shared" si="251"/>
        <v>NA</v>
      </c>
      <c r="V718" s="29" t="str">
        <f t="shared" si="252"/>
        <v>NA</v>
      </c>
      <c r="W718" s="29" t="str">
        <f t="shared" si="253"/>
        <v>NA</v>
      </c>
      <c r="X718" s="29" t="str">
        <f t="shared" si="254"/>
        <v>NA</v>
      </c>
      <c r="Y718" s="29" t="str">
        <f t="shared" si="255"/>
        <v>NA</v>
      </c>
      <c r="Z718" s="29" t="str">
        <f t="shared" si="256"/>
        <v>NA</v>
      </c>
      <c r="AA718" s="29" t="str">
        <f t="shared" si="257"/>
        <v>NA</v>
      </c>
      <c r="AB718" s="29" t="str">
        <f t="shared" si="258"/>
        <v>NA</v>
      </c>
      <c r="AC718" s="29" t="str">
        <f t="shared" si="259"/>
        <v>NA</v>
      </c>
      <c r="AD718" s="29" t="str">
        <f t="shared" si="260"/>
        <v>NA</v>
      </c>
      <c r="AE718" s="29" t="str">
        <f t="shared" si="261"/>
        <v>NA</v>
      </c>
      <c r="AF718" s="29" t="str">
        <f t="shared" si="262"/>
        <v>NA</v>
      </c>
      <c r="AG718" s="29" t="str">
        <f t="shared" si="263"/>
        <v>NA</v>
      </c>
      <c r="AH718" s="29" t="str">
        <f t="shared" si="264"/>
        <v>NA</v>
      </c>
    </row>
    <row r="719" customHeight="1" spans="1:34">
      <c r="A719" s="12" t="s">
        <v>1043</v>
      </c>
      <c r="F719" s="24">
        <f t="shared" si="266"/>
        <v>0</v>
      </c>
      <c r="G719" s="24" t="e">
        <f t="shared" si="265"/>
        <v>#DIV/0!</v>
      </c>
      <c r="Q719" s="29" t="str">
        <f t="shared" si="247"/>
        <v>NA</v>
      </c>
      <c r="R719" s="29" t="str">
        <f t="shared" si="248"/>
        <v>NA</v>
      </c>
      <c r="S719" s="29" t="str">
        <f t="shared" si="249"/>
        <v>NA</v>
      </c>
      <c r="T719" s="29" t="str">
        <f t="shared" si="250"/>
        <v>NA</v>
      </c>
      <c r="U719" s="29" t="str">
        <f t="shared" si="251"/>
        <v>NA</v>
      </c>
      <c r="V719" s="29" t="str">
        <f t="shared" si="252"/>
        <v>NA</v>
      </c>
      <c r="W719" s="29" t="str">
        <f t="shared" si="253"/>
        <v>NA</v>
      </c>
      <c r="X719" s="29" t="str">
        <f t="shared" si="254"/>
        <v>NA</v>
      </c>
      <c r="Y719" s="29" t="str">
        <f t="shared" si="255"/>
        <v>NA</v>
      </c>
      <c r="Z719" s="29" t="str">
        <f t="shared" si="256"/>
        <v>NA</v>
      </c>
      <c r="AA719" s="29" t="str">
        <f t="shared" si="257"/>
        <v>NA</v>
      </c>
      <c r="AB719" s="29" t="str">
        <f t="shared" si="258"/>
        <v>NA</v>
      </c>
      <c r="AC719" s="29" t="str">
        <f t="shared" si="259"/>
        <v>NA</v>
      </c>
      <c r="AD719" s="29" t="str">
        <f t="shared" si="260"/>
        <v>NA</v>
      </c>
      <c r="AE719" s="29" t="str">
        <f t="shared" si="261"/>
        <v>NA</v>
      </c>
      <c r="AF719" s="29" t="str">
        <f t="shared" si="262"/>
        <v>NA</v>
      </c>
      <c r="AG719" s="29" t="str">
        <f t="shared" si="263"/>
        <v>NA</v>
      </c>
      <c r="AH719" s="29" t="str">
        <f t="shared" si="264"/>
        <v>NA</v>
      </c>
    </row>
    <row r="720" customHeight="1" spans="1:34">
      <c r="A720" s="12" t="s">
        <v>1043</v>
      </c>
      <c r="F720" s="24">
        <f t="shared" si="266"/>
        <v>0</v>
      </c>
      <c r="G720" s="24" t="e">
        <f t="shared" si="265"/>
        <v>#DIV/0!</v>
      </c>
      <c r="Q720" s="29" t="str">
        <f t="shared" ref="Q720:Q783" si="267">IFERROR($B720*$E720/H720,"NA")</f>
        <v>NA</v>
      </c>
      <c r="R720" s="29" t="str">
        <f t="shared" ref="R720:R783" si="268">IFERROR($B720*$E720/I720,"NA")</f>
        <v>NA</v>
      </c>
      <c r="S720" s="29" t="str">
        <f t="shared" ref="S720:S783" si="269">IFERROR($B720*$E720/J720,"NA")</f>
        <v>NA</v>
      </c>
      <c r="T720" s="29" t="str">
        <f t="shared" ref="T720:T783" si="270">IFERROR($B720*$E720/K720,"NA")</f>
        <v>NA</v>
      </c>
      <c r="U720" s="29" t="str">
        <f t="shared" ref="U720:U783" si="271">IFERROR($B720*$E720/L720,"NA")</f>
        <v>NA</v>
      </c>
      <c r="V720" s="29" t="str">
        <f t="shared" ref="V720:V783" si="272">IFERROR($B720*$E720/M720,"NA")</f>
        <v>NA</v>
      </c>
      <c r="W720" s="29" t="str">
        <f t="shared" ref="W720:W783" si="273">IFERROR($B720*$E720/N720,"NA")</f>
        <v>NA</v>
      </c>
      <c r="X720" s="29" t="str">
        <f t="shared" ref="X720:X783" si="274">IFERROR($B720*$E720/O720,"NA")</f>
        <v>NA</v>
      </c>
      <c r="Y720" s="29" t="str">
        <f t="shared" ref="Y720:Y783" si="275">IFERROR($B720*$E720/P720,"NA")</f>
        <v>NA</v>
      </c>
      <c r="Z720" s="29" t="str">
        <f t="shared" ref="Z720:Z783" si="276">IFERROR((($G720*Z$2/1000)+Q720)/1,"NA")</f>
        <v>NA</v>
      </c>
      <c r="AA720" s="29" t="str">
        <f t="shared" ref="AA720:AA783" si="277">IFERROR((($G720*AA$2/1000)+R720)/1,"NA")</f>
        <v>NA</v>
      </c>
      <c r="AB720" s="29" t="str">
        <f t="shared" ref="AB720:AB783" si="278">IFERROR((($G720*AB$2/1000)+S720)/1,"NA")</f>
        <v>NA</v>
      </c>
      <c r="AC720" s="29" t="str">
        <f t="shared" ref="AC720:AC783" si="279">IFERROR((($G720*AC$2/1000)+T720)/1,"NA")</f>
        <v>NA</v>
      </c>
      <c r="AD720" s="29" t="str">
        <f t="shared" ref="AD720:AD783" si="280">IFERROR((($G720*AD$2/1000)+U720)/1,"NA")</f>
        <v>NA</v>
      </c>
      <c r="AE720" s="29" t="str">
        <f t="shared" ref="AE720:AE783" si="281">IFERROR((($G720*AE$2/1000)+V720)/1,"NA")</f>
        <v>NA</v>
      </c>
      <c r="AF720" s="29" t="str">
        <f t="shared" ref="AF720:AF783" si="282">IFERROR((($G720*AF$2/1000)+W720)/1,"NA")</f>
        <v>NA</v>
      </c>
      <c r="AG720" s="29" t="str">
        <f t="shared" ref="AG720:AG783" si="283">IFERROR((($G720*AG$2/1000)+X720)/1,"NA")</f>
        <v>NA</v>
      </c>
      <c r="AH720" s="29" t="str">
        <f t="shared" ref="AH720:AH783" si="284">IFERROR((($G720*AH$2/1000)+Y720)/1,"NA")</f>
        <v>NA</v>
      </c>
    </row>
    <row r="721" customHeight="1" spans="1:34">
      <c r="A721" s="12" t="s">
        <v>1043</v>
      </c>
      <c r="F721" s="24">
        <f t="shared" si="266"/>
        <v>0</v>
      </c>
      <c r="G721" s="24" t="e">
        <f t="shared" si="265"/>
        <v>#DIV/0!</v>
      </c>
      <c r="Q721" s="29" t="str">
        <f t="shared" si="267"/>
        <v>NA</v>
      </c>
      <c r="R721" s="29" t="str">
        <f t="shared" si="268"/>
        <v>NA</v>
      </c>
      <c r="S721" s="29" t="str">
        <f t="shared" si="269"/>
        <v>NA</v>
      </c>
      <c r="T721" s="29" t="str">
        <f t="shared" si="270"/>
        <v>NA</v>
      </c>
      <c r="U721" s="29" t="str">
        <f t="shared" si="271"/>
        <v>NA</v>
      </c>
      <c r="V721" s="29" t="str">
        <f t="shared" si="272"/>
        <v>NA</v>
      </c>
      <c r="W721" s="29" t="str">
        <f t="shared" si="273"/>
        <v>NA</v>
      </c>
      <c r="X721" s="29" t="str">
        <f t="shared" si="274"/>
        <v>NA</v>
      </c>
      <c r="Y721" s="29" t="str">
        <f t="shared" si="275"/>
        <v>NA</v>
      </c>
      <c r="Z721" s="29" t="str">
        <f t="shared" si="276"/>
        <v>NA</v>
      </c>
      <c r="AA721" s="29" t="str">
        <f t="shared" si="277"/>
        <v>NA</v>
      </c>
      <c r="AB721" s="29" t="str">
        <f t="shared" si="278"/>
        <v>NA</v>
      </c>
      <c r="AC721" s="29" t="str">
        <f t="shared" si="279"/>
        <v>NA</v>
      </c>
      <c r="AD721" s="29" t="str">
        <f t="shared" si="280"/>
        <v>NA</v>
      </c>
      <c r="AE721" s="29" t="str">
        <f t="shared" si="281"/>
        <v>NA</v>
      </c>
      <c r="AF721" s="29" t="str">
        <f t="shared" si="282"/>
        <v>NA</v>
      </c>
      <c r="AG721" s="29" t="str">
        <f t="shared" si="283"/>
        <v>NA</v>
      </c>
      <c r="AH721" s="29" t="str">
        <f t="shared" si="284"/>
        <v>NA</v>
      </c>
    </row>
    <row r="722" customHeight="1" spans="1:34">
      <c r="A722" s="12" t="s">
        <v>1043</v>
      </c>
      <c r="F722" s="24">
        <f t="shared" si="266"/>
        <v>0</v>
      </c>
      <c r="G722" s="24" t="e">
        <f t="shared" si="265"/>
        <v>#DIV/0!</v>
      </c>
      <c r="Q722" s="29" t="str">
        <f t="shared" si="267"/>
        <v>NA</v>
      </c>
      <c r="R722" s="29" t="str">
        <f t="shared" si="268"/>
        <v>NA</v>
      </c>
      <c r="S722" s="29" t="str">
        <f t="shared" si="269"/>
        <v>NA</v>
      </c>
      <c r="T722" s="29" t="str">
        <f t="shared" si="270"/>
        <v>NA</v>
      </c>
      <c r="U722" s="29" t="str">
        <f t="shared" si="271"/>
        <v>NA</v>
      </c>
      <c r="V722" s="29" t="str">
        <f t="shared" si="272"/>
        <v>NA</v>
      </c>
      <c r="W722" s="29" t="str">
        <f t="shared" si="273"/>
        <v>NA</v>
      </c>
      <c r="X722" s="29" t="str">
        <f t="shared" si="274"/>
        <v>NA</v>
      </c>
      <c r="Y722" s="29" t="str">
        <f t="shared" si="275"/>
        <v>NA</v>
      </c>
      <c r="Z722" s="29" t="str">
        <f t="shared" si="276"/>
        <v>NA</v>
      </c>
      <c r="AA722" s="29" t="str">
        <f t="shared" si="277"/>
        <v>NA</v>
      </c>
      <c r="AB722" s="29" t="str">
        <f t="shared" si="278"/>
        <v>NA</v>
      </c>
      <c r="AC722" s="29" t="str">
        <f t="shared" si="279"/>
        <v>NA</v>
      </c>
      <c r="AD722" s="29" t="str">
        <f t="shared" si="280"/>
        <v>NA</v>
      </c>
      <c r="AE722" s="29" t="str">
        <f t="shared" si="281"/>
        <v>NA</v>
      </c>
      <c r="AF722" s="29" t="str">
        <f t="shared" si="282"/>
        <v>NA</v>
      </c>
      <c r="AG722" s="29" t="str">
        <f t="shared" si="283"/>
        <v>NA</v>
      </c>
      <c r="AH722" s="29" t="str">
        <f t="shared" si="284"/>
        <v>NA</v>
      </c>
    </row>
    <row r="723" customHeight="1" spans="1:34">
      <c r="A723" s="12" t="s">
        <v>1043</v>
      </c>
      <c r="F723" s="24">
        <f t="shared" si="266"/>
        <v>0</v>
      </c>
      <c r="G723" s="24" t="e">
        <f t="shared" si="265"/>
        <v>#DIV/0!</v>
      </c>
      <c r="Q723" s="29" t="str">
        <f t="shared" si="267"/>
        <v>NA</v>
      </c>
      <c r="R723" s="29" t="str">
        <f t="shared" si="268"/>
        <v>NA</v>
      </c>
      <c r="S723" s="29" t="str">
        <f t="shared" si="269"/>
        <v>NA</v>
      </c>
      <c r="T723" s="29" t="str">
        <f t="shared" si="270"/>
        <v>NA</v>
      </c>
      <c r="U723" s="29" t="str">
        <f t="shared" si="271"/>
        <v>NA</v>
      </c>
      <c r="V723" s="29" t="str">
        <f t="shared" si="272"/>
        <v>NA</v>
      </c>
      <c r="W723" s="29" t="str">
        <f t="shared" si="273"/>
        <v>NA</v>
      </c>
      <c r="X723" s="29" t="str">
        <f t="shared" si="274"/>
        <v>NA</v>
      </c>
      <c r="Y723" s="29" t="str">
        <f t="shared" si="275"/>
        <v>NA</v>
      </c>
      <c r="Z723" s="29" t="str">
        <f t="shared" si="276"/>
        <v>NA</v>
      </c>
      <c r="AA723" s="29" t="str">
        <f t="shared" si="277"/>
        <v>NA</v>
      </c>
      <c r="AB723" s="29" t="str">
        <f t="shared" si="278"/>
        <v>NA</v>
      </c>
      <c r="AC723" s="29" t="str">
        <f t="shared" si="279"/>
        <v>NA</v>
      </c>
      <c r="AD723" s="29" t="str">
        <f t="shared" si="280"/>
        <v>NA</v>
      </c>
      <c r="AE723" s="29" t="str">
        <f t="shared" si="281"/>
        <v>NA</v>
      </c>
      <c r="AF723" s="29" t="str">
        <f t="shared" si="282"/>
        <v>NA</v>
      </c>
      <c r="AG723" s="29" t="str">
        <f t="shared" si="283"/>
        <v>NA</v>
      </c>
      <c r="AH723" s="29" t="str">
        <f t="shared" si="284"/>
        <v>NA</v>
      </c>
    </row>
    <row r="724" customHeight="1" spans="1:34">
      <c r="A724" s="12" t="s">
        <v>1043</v>
      </c>
      <c r="F724" s="24">
        <f t="shared" si="266"/>
        <v>0</v>
      </c>
      <c r="G724" s="24" t="e">
        <f t="shared" si="265"/>
        <v>#DIV/0!</v>
      </c>
      <c r="Q724" s="29" t="str">
        <f t="shared" si="267"/>
        <v>NA</v>
      </c>
      <c r="R724" s="29" t="str">
        <f t="shared" si="268"/>
        <v>NA</v>
      </c>
      <c r="S724" s="29" t="str">
        <f t="shared" si="269"/>
        <v>NA</v>
      </c>
      <c r="T724" s="29" t="str">
        <f t="shared" si="270"/>
        <v>NA</v>
      </c>
      <c r="U724" s="29" t="str">
        <f t="shared" si="271"/>
        <v>NA</v>
      </c>
      <c r="V724" s="29" t="str">
        <f t="shared" si="272"/>
        <v>NA</v>
      </c>
      <c r="W724" s="29" t="str">
        <f t="shared" si="273"/>
        <v>NA</v>
      </c>
      <c r="X724" s="29" t="str">
        <f t="shared" si="274"/>
        <v>NA</v>
      </c>
      <c r="Y724" s="29" t="str">
        <f t="shared" si="275"/>
        <v>NA</v>
      </c>
      <c r="Z724" s="29" t="str">
        <f t="shared" si="276"/>
        <v>NA</v>
      </c>
      <c r="AA724" s="29" t="str">
        <f t="shared" si="277"/>
        <v>NA</v>
      </c>
      <c r="AB724" s="29" t="str">
        <f t="shared" si="278"/>
        <v>NA</v>
      </c>
      <c r="AC724" s="29" t="str">
        <f t="shared" si="279"/>
        <v>NA</v>
      </c>
      <c r="AD724" s="29" t="str">
        <f t="shared" si="280"/>
        <v>NA</v>
      </c>
      <c r="AE724" s="29" t="str">
        <f t="shared" si="281"/>
        <v>NA</v>
      </c>
      <c r="AF724" s="29" t="str">
        <f t="shared" si="282"/>
        <v>NA</v>
      </c>
      <c r="AG724" s="29" t="str">
        <f t="shared" si="283"/>
        <v>NA</v>
      </c>
      <c r="AH724" s="29" t="str">
        <f t="shared" si="284"/>
        <v>NA</v>
      </c>
    </row>
    <row r="725" customHeight="1" spans="1:34">
      <c r="A725" s="12" t="s">
        <v>1043</v>
      </c>
      <c r="F725" s="24">
        <f t="shared" si="266"/>
        <v>0</v>
      </c>
      <c r="G725" s="24" t="e">
        <f t="shared" si="265"/>
        <v>#DIV/0!</v>
      </c>
      <c r="Q725" s="29" t="str">
        <f t="shared" si="267"/>
        <v>NA</v>
      </c>
      <c r="R725" s="29" t="str">
        <f t="shared" si="268"/>
        <v>NA</v>
      </c>
      <c r="S725" s="29" t="str">
        <f t="shared" si="269"/>
        <v>NA</v>
      </c>
      <c r="T725" s="29" t="str">
        <f t="shared" si="270"/>
        <v>NA</v>
      </c>
      <c r="U725" s="29" t="str">
        <f t="shared" si="271"/>
        <v>NA</v>
      </c>
      <c r="V725" s="29" t="str">
        <f t="shared" si="272"/>
        <v>NA</v>
      </c>
      <c r="W725" s="29" t="str">
        <f t="shared" si="273"/>
        <v>NA</v>
      </c>
      <c r="X725" s="29" t="str">
        <f t="shared" si="274"/>
        <v>NA</v>
      </c>
      <c r="Y725" s="29" t="str">
        <f t="shared" si="275"/>
        <v>NA</v>
      </c>
      <c r="Z725" s="29" t="str">
        <f t="shared" si="276"/>
        <v>NA</v>
      </c>
      <c r="AA725" s="29" t="str">
        <f t="shared" si="277"/>
        <v>NA</v>
      </c>
      <c r="AB725" s="29" t="str">
        <f t="shared" si="278"/>
        <v>NA</v>
      </c>
      <c r="AC725" s="29" t="str">
        <f t="shared" si="279"/>
        <v>NA</v>
      </c>
      <c r="AD725" s="29" t="str">
        <f t="shared" si="280"/>
        <v>NA</v>
      </c>
      <c r="AE725" s="29" t="str">
        <f t="shared" si="281"/>
        <v>NA</v>
      </c>
      <c r="AF725" s="29" t="str">
        <f t="shared" si="282"/>
        <v>NA</v>
      </c>
      <c r="AG725" s="29" t="str">
        <f t="shared" si="283"/>
        <v>NA</v>
      </c>
      <c r="AH725" s="29" t="str">
        <f t="shared" si="284"/>
        <v>NA</v>
      </c>
    </row>
    <row r="726" customHeight="1" spans="1:34">
      <c r="A726" s="12" t="s">
        <v>1043</v>
      </c>
      <c r="F726" s="24">
        <f t="shared" si="266"/>
        <v>0</v>
      </c>
      <c r="G726" s="24" t="e">
        <f t="shared" si="265"/>
        <v>#DIV/0!</v>
      </c>
      <c r="Q726" s="29" t="str">
        <f t="shared" si="267"/>
        <v>NA</v>
      </c>
      <c r="R726" s="29" t="str">
        <f t="shared" si="268"/>
        <v>NA</v>
      </c>
      <c r="S726" s="29" t="str">
        <f t="shared" si="269"/>
        <v>NA</v>
      </c>
      <c r="T726" s="29" t="str">
        <f t="shared" si="270"/>
        <v>NA</v>
      </c>
      <c r="U726" s="29" t="str">
        <f t="shared" si="271"/>
        <v>NA</v>
      </c>
      <c r="V726" s="29" t="str">
        <f t="shared" si="272"/>
        <v>NA</v>
      </c>
      <c r="W726" s="29" t="str">
        <f t="shared" si="273"/>
        <v>NA</v>
      </c>
      <c r="X726" s="29" t="str">
        <f t="shared" si="274"/>
        <v>NA</v>
      </c>
      <c r="Y726" s="29" t="str">
        <f t="shared" si="275"/>
        <v>NA</v>
      </c>
      <c r="Z726" s="29" t="str">
        <f t="shared" si="276"/>
        <v>NA</v>
      </c>
      <c r="AA726" s="29" t="str">
        <f t="shared" si="277"/>
        <v>NA</v>
      </c>
      <c r="AB726" s="29" t="str">
        <f t="shared" si="278"/>
        <v>NA</v>
      </c>
      <c r="AC726" s="29" t="str">
        <f t="shared" si="279"/>
        <v>NA</v>
      </c>
      <c r="AD726" s="29" t="str">
        <f t="shared" si="280"/>
        <v>NA</v>
      </c>
      <c r="AE726" s="29" t="str">
        <f t="shared" si="281"/>
        <v>NA</v>
      </c>
      <c r="AF726" s="29" t="str">
        <f t="shared" si="282"/>
        <v>NA</v>
      </c>
      <c r="AG726" s="29" t="str">
        <f t="shared" si="283"/>
        <v>NA</v>
      </c>
      <c r="AH726" s="29" t="str">
        <f t="shared" si="284"/>
        <v>NA</v>
      </c>
    </row>
    <row r="727" customHeight="1" spans="1:34">
      <c r="A727" s="12" t="s">
        <v>1043</v>
      </c>
      <c r="F727" s="24">
        <f t="shared" si="266"/>
        <v>0</v>
      </c>
      <c r="G727" s="24" t="e">
        <f t="shared" si="265"/>
        <v>#DIV/0!</v>
      </c>
      <c r="Q727" s="29" t="str">
        <f t="shared" si="267"/>
        <v>NA</v>
      </c>
      <c r="R727" s="29" t="str">
        <f t="shared" si="268"/>
        <v>NA</v>
      </c>
      <c r="S727" s="29" t="str">
        <f t="shared" si="269"/>
        <v>NA</v>
      </c>
      <c r="T727" s="29" t="str">
        <f t="shared" si="270"/>
        <v>NA</v>
      </c>
      <c r="U727" s="29" t="str">
        <f t="shared" si="271"/>
        <v>NA</v>
      </c>
      <c r="V727" s="29" t="str">
        <f t="shared" si="272"/>
        <v>NA</v>
      </c>
      <c r="W727" s="29" t="str">
        <f t="shared" si="273"/>
        <v>NA</v>
      </c>
      <c r="X727" s="29" t="str">
        <f t="shared" si="274"/>
        <v>NA</v>
      </c>
      <c r="Y727" s="29" t="str">
        <f t="shared" si="275"/>
        <v>NA</v>
      </c>
      <c r="Z727" s="29" t="str">
        <f t="shared" si="276"/>
        <v>NA</v>
      </c>
      <c r="AA727" s="29" t="str">
        <f t="shared" si="277"/>
        <v>NA</v>
      </c>
      <c r="AB727" s="29" t="str">
        <f t="shared" si="278"/>
        <v>NA</v>
      </c>
      <c r="AC727" s="29" t="str">
        <f t="shared" si="279"/>
        <v>NA</v>
      </c>
      <c r="AD727" s="29" t="str">
        <f t="shared" si="280"/>
        <v>NA</v>
      </c>
      <c r="AE727" s="29" t="str">
        <f t="shared" si="281"/>
        <v>NA</v>
      </c>
      <c r="AF727" s="29" t="str">
        <f t="shared" si="282"/>
        <v>NA</v>
      </c>
      <c r="AG727" s="29" t="str">
        <f t="shared" si="283"/>
        <v>NA</v>
      </c>
      <c r="AH727" s="29" t="str">
        <f t="shared" si="284"/>
        <v>NA</v>
      </c>
    </row>
    <row r="728" customHeight="1" spans="1:34">
      <c r="A728" s="12" t="s">
        <v>1043</v>
      </c>
      <c r="F728" s="24">
        <f t="shared" si="266"/>
        <v>0</v>
      </c>
      <c r="G728" s="24" t="e">
        <f t="shared" si="265"/>
        <v>#DIV/0!</v>
      </c>
      <c r="Q728" s="29" t="str">
        <f t="shared" si="267"/>
        <v>NA</v>
      </c>
      <c r="R728" s="29" t="str">
        <f t="shared" si="268"/>
        <v>NA</v>
      </c>
      <c r="S728" s="29" t="str">
        <f t="shared" si="269"/>
        <v>NA</v>
      </c>
      <c r="T728" s="29" t="str">
        <f t="shared" si="270"/>
        <v>NA</v>
      </c>
      <c r="U728" s="29" t="str">
        <f t="shared" si="271"/>
        <v>NA</v>
      </c>
      <c r="V728" s="29" t="str">
        <f t="shared" si="272"/>
        <v>NA</v>
      </c>
      <c r="W728" s="29" t="str">
        <f t="shared" si="273"/>
        <v>NA</v>
      </c>
      <c r="X728" s="29" t="str">
        <f t="shared" si="274"/>
        <v>NA</v>
      </c>
      <c r="Y728" s="29" t="str">
        <f t="shared" si="275"/>
        <v>NA</v>
      </c>
      <c r="Z728" s="29" t="str">
        <f t="shared" si="276"/>
        <v>NA</v>
      </c>
      <c r="AA728" s="29" t="str">
        <f t="shared" si="277"/>
        <v>NA</v>
      </c>
      <c r="AB728" s="29" t="str">
        <f t="shared" si="278"/>
        <v>NA</v>
      </c>
      <c r="AC728" s="29" t="str">
        <f t="shared" si="279"/>
        <v>NA</v>
      </c>
      <c r="AD728" s="29" t="str">
        <f t="shared" si="280"/>
        <v>NA</v>
      </c>
      <c r="AE728" s="29" t="str">
        <f t="shared" si="281"/>
        <v>NA</v>
      </c>
      <c r="AF728" s="29" t="str">
        <f t="shared" si="282"/>
        <v>NA</v>
      </c>
      <c r="AG728" s="29" t="str">
        <f t="shared" si="283"/>
        <v>NA</v>
      </c>
      <c r="AH728" s="29" t="str">
        <f t="shared" si="284"/>
        <v>NA</v>
      </c>
    </row>
    <row r="729" customHeight="1" spans="1:34">
      <c r="A729" s="12" t="s">
        <v>1043</v>
      </c>
      <c r="F729" s="24">
        <f t="shared" si="266"/>
        <v>0</v>
      </c>
      <c r="G729" s="24" t="e">
        <f t="shared" si="265"/>
        <v>#DIV/0!</v>
      </c>
      <c r="Q729" s="29" t="str">
        <f t="shared" si="267"/>
        <v>NA</v>
      </c>
      <c r="R729" s="29" t="str">
        <f t="shared" si="268"/>
        <v>NA</v>
      </c>
      <c r="S729" s="29" t="str">
        <f t="shared" si="269"/>
        <v>NA</v>
      </c>
      <c r="T729" s="29" t="str">
        <f t="shared" si="270"/>
        <v>NA</v>
      </c>
      <c r="U729" s="29" t="str">
        <f t="shared" si="271"/>
        <v>NA</v>
      </c>
      <c r="V729" s="29" t="str">
        <f t="shared" si="272"/>
        <v>NA</v>
      </c>
      <c r="W729" s="29" t="str">
        <f t="shared" si="273"/>
        <v>NA</v>
      </c>
      <c r="X729" s="29" t="str">
        <f t="shared" si="274"/>
        <v>NA</v>
      </c>
      <c r="Y729" s="29" t="str">
        <f t="shared" si="275"/>
        <v>NA</v>
      </c>
      <c r="Z729" s="29" t="str">
        <f t="shared" si="276"/>
        <v>NA</v>
      </c>
      <c r="AA729" s="29" t="str">
        <f t="shared" si="277"/>
        <v>NA</v>
      </c>
      <c r="AB729" s="29" t="str">
        <f t="shared" si="278"/>
        <v>NA</v>
      </c>
      <c r="AC729" s="29" t="str">
        <f t="shared" si="279"/>
        <v>NA</v>
      </c>
      <c r="AD729" s="29" t="str">
        <f t="shared" si="280"/>
        <v>NA</v>
      </c>
      <c r="AE729" s="29" t="str">
        <f t="shared" si="281"/>
        <v>NA</v>
      </c>
      <c r="AF729" s="29" t="str">
        <f t="shared" si="282"/>
        <v>NA</v>
      </c>
      <c r="AG729" s="29" t="str">
        <f t="shared" si="283"/>
        <v>NA</v>
      </c>
      <c r="AH729" s="29" t="str">
        <f t="shared" si="284"/>
        <v>NA</v>
      </c>
    </row>
    <row r="730" customHeight="1" spans="1:34">
      <c r="A730" s="12" t="s">
        <v>1043</v>
      </c>
      <c r="F730" s="24">
        <f t="shared" si="266"/>
        <v>0</v>
      </c>
      <c r="G730" s="24" t="e">
        <f t="shared" si="265"/>
        <v>#DIV/0!</v>
      </c>
      <c r="Q730" s="29" t="str">
        <f t="shared" si="267"/>
        <v>NA</v>
      </c>
      <c r="R730" s="29" t="str">
        <f t="shared" si="268"/>
        <v>NA</v>
      </c>
      <c r="S730" s="29" t="str">
        <f t="shared" si="269"/>
        <v>NA</v>
      </c>
      <c r="T730" s="29" t="str">
        <f t="shared" si="270"/>
        <v>NA</v>
      </c>
      <c r="U730" s="29" t="str">
        <f t="shared" si="271"/>
        <v>NA</v>
      </c>
      <c r="V730" s="29" t="str">
        <f t="shared" si="272"/>
        <v>NA</v>
      </c>
      <c r="W730" s="29" t="str">
        <f t="shared" si="273"/>
        <v>NA</v>
      </c>
      <c r="X730" s="29" t="str">
        <f t="shared" si="274"/>
        <v>NA</v>
      </c>
      <c r="Y730" s="29" t="str">
        <f t="shared" si="275"/>
        <v>NA</v>
      </c>
      <c r="Z730" s="29" t="str">
        <f t="shared" si="276"/>
        <v>NA</v>
      </c>
      <c r="AA730" s="29" t="str">
        <f t="shared" si="277"/>
        <v>NA</v>
      </c>
      <c r="AB730" s="29" t="str">
        <f t="shared" si="278"/>
        <v>NA</v>
      </c>
      <c r="AC730" s="29" t="str">
        <f t="shared" si="279"/>
        <v>NA</v>
      </c>
      <c r="AD730" s="29" t="str">
        <f t="shared" si="280"/>
        <v>NA</v>
      </c>
      <c r="AE730" s="29" t="str">
        <f t="shared" si="281"/>
        <v>NA</v>
      </c>
      <c r="AF730" s="29" t="str">
        <f t="shared" si="282"/>
        <v>NA</v>
      </c>
      <c r="AG730" s="29" t="str">
        <f t="shared" si="283"/>
        <v>NA</v>
      </c>
      <c r="AH730" s="29" t="str">
        <f t="shared" si="284"/>
        <v>NA</v>
      </c>
    </row>
    <row r="731" customHeight="1" spans="1:34">
      <c r="A731" s="12" t="s">
        <v>1043</v>
      </c>
      <c r="F731" s="24">
        <f t="shared" si="266"/>
        <v>0</v>
      </c>
      <c r="G731" s="24" t="e">
        <f t="shared" si="265"/>
        <v>#DIV/0!</v>
      </c>
      <c r="Q731" s="29" t="str">
        <f t="shared" si="267"/>
        <v>NA</v>
      </c>
      <c r="R731" s="29" t="str">
        <f t="shared" si="268"/>
        <v>NA</v>
      </c>
      <c r="S731" s="29" t="str">
        <f t="shared" si="269"/>
        <v>NA</v>
      </c>
      <c r="T731" s="29" t="str">
        <f t="shared" si="270"/>
        <v>NA</v>
      </c>
      <c r="U731" s="29" t="str">
        <f t="shared" si="271"/>
        <v>NA</v>
      </c>
      <c r="V731" s="29" t="str">
        <f t="shared" si="272"/>
        <v>NA</v>
      </c>
      <c r="W731" s="29" t="str">
        <f t="shared" si="273"/>
        <v>NA</v>
      </c>
      <c r="X731" s="29" t="str">
        <f t="shared" si="274"/>
        <v>NA</v>
      </c>
      <c r="Y731" s="29" t="str">
        <f t="shared" si="275"/>
        <v>NA</v>
      </c>
      <c r="Z731" s="29" t="str">
        <f t="shared" si="276"/>
        <v>NA</v>
      </c>
      <c r="AA731" s="29" t="str">
        <f t="shared" si="277"/>
        <v>NA</v>
      </c>
      <c r="AB731" s="29" t="str">
        <f t="shared" si="278"/>
        <v>NA</v>
      </c>
      <c r="AC731" s="29" t="str">
        <f t="shared" si="279"/>
        <v>NA</v>
      </c>
      <c r="AD731" s="29" t="str">
        <f t="shared" si="280"/>
        <v>NA</v>
      </c>
      <c r="AE731" s="29" t="str">
        <f t="shared" si="281"/>
        <v>NA</v>
      </c>
      <c r="AF731" s="29" t="str">
        <f t="shared" si="282"/>
        <v>NA</v>
      </c>
      <c r="AG731" s="29" t="str">
        <f t="shared" si="283"/>
        <v>NA</v>
      </c>
      <c r="AH731" s="29" t="str">
        <f t="shared" si="284"/>
        <v>NA</v>
      </c>
    </row>
    <row r="732" customHeight="1" spans="1:34">
      <c r="A732" s="12" t="s">
        <v>1043</v>
      </c>
      <c r="F732" s="24">
        <f t="shared" si="266"/>
        <v>0</v>
      </c>
      <c r="G732" s="24" t="e">
        <f t="shared" si="265"/>
        <v>#DIV/0!</v>
      </c>
      <c r="Q732" s="29" t="str">
        <f t="shared" si="267"/>
        <v>NA</v>
      </c>
      <c r="R732" s="29" t="str">
        <f t="shared" si="268"/>
        <v>NA</v>
      </c>
      <c r="S732" s="29" t="str">
        <f t="shared" si="269"/>
        <v>NA</v>
      </c>
      <c r="T732" s="29" t="str">
        <f t="shared" si="270"/>
        <v>NA</v>
      </c>
      <c r="U732" s="29" t="str">
        <f t="shared" si="271"/>
        <v>NA</v>
      </c>
      <c r="V732" s="29" t="str">
        <f t="shared" si="272"/>
        <v>NA</v>
      </c>
      <c r="W732" s="29" t="str">
        <f t="shared" si="273"/>
        <v>NA</v>
      </c>
      <c r="X732" s="29" t="str">
        <f t="shared" si="274"/>
        <v>NA</v>
      </c>
      <c r="Y732" s="29" t="str">
        <f t="shared" si="275"/>
        <v>NA</v>
      </c>
      <c r="Z732" s="29" t="str">
        <f t="shared" si="276"/>
        <v>NA</v>
      </c>
      <c r="AA732" s="29" t="str">
        <f t="shared" si="277"/>
        <v>NA</v>
      </c>
      <c r="AB732" s="29" t="str">
        <f t="shared" si="278"/>
        <v>NA</v>
      </c>
      <c r="AC732" s="29" t="str">
        <f t="shared" si="279"/>
        <v>NA</v>
      </c>
      <c r="AD732" s="29" t="str">
        <f t="shared" si="280"/>
        <v>NA</v>
      </c>
      <c r="AE732" s="29" t="str">
        <f t="shared" si="281"/>
        <v>NA</v>
      </c>
      <c r="AF732" s="29" t="str">
        <f t="shared" si="282"/>
        <v>NA</v>
      </c>
      <c r="AG732" s="29" t="str">
        <f t="shared" si="283"/>
        <v>NA</v>
      </c>
      <c r="AH732" s="29" t="str">
        <f t="shared" si="284"/>
        <v>NA</v>
      </c>
    </row>
    <row r="733" customHeight="1" spans="1:34">
      <c r="A733" s="12" t="s">
        <v>1043</v>
      </c>
      <c r="F733" s="24">
        <f t="shared" si="266"/>
        <v>0</v>
      </c>
      <c r="G733" s="24" t="e">
        <f t="shared" si="265"/>
        <v>#DIV/0!</v>
      </c>
      <c r="Q733" s="29" t="str">
        <f t="shared" si="267"/>
        <v>NA</v>
      </c>
      <c r="R733" s="29" t="str">
        <f t="shared" si="268"/>
        <v>NA</v>
      </c>
      <c r="S733" s="29" t="str">
        <f t="shared" si="269"/>
        <v>NA</v>
      </c>
      <c r="T733" s="29" t="str">
        <f t="shared" si="270"/>
        <v>NA</v>
      </c>
      <c r="U733" s="29" t="str">
        <f t="shared" si="271"/>
        <v>NA</v>
      </c>
      <c r="V733" s="29" t="str">
        <f t="shared" si="272"/>
        <v>NA</v>
      </c>
      <c r="W733" s="29" t="str">
        <f t="shared" si="273"/>
        <v>NA</v>
      </c>
      <c r="X733" s="29" t="str">
        <f t="shared" si="274"/>
        <v>NA</v>
      </c>
      <c r="Y733" s="29" t="str">
        <f t="shared" si="275"/>
        <v>NA</v>
      </c>
      <c r="Z733" s="29" t="str">
        <f t="shared" si="276"/>
        <v>NA</v>
      </c>
      <c r="AA733" s="29" t="str">
        <f t="shared" si="277"/>
        <v>NA</v>
      </c>
      <c r="AB733" s="29" t="str">
        <f t="shared" si="278"/>
        <v>NA</v>
      </c>
      <c r="AC733" s="29" t="str">
        <f t="shared" si="279"/>
        <v>NA</v>
      </c>
      <c r="AD733" s="29" t="str">
        <f t="shared" si="280"/>
        <v>NA</v>
      </c>
      <c r="AE733" s="29" t="str">
        <f t="shared" si="281"/>
        <v>NA</v>
      </c>
      <c r="AF733" s="29" t="str">
        <f t="shared" si="282"/>
        <v>NA</v>
      </c>
      <c r="AG733" s="29" t="str">
        <f t="shared" si="283"/>
        <v>NA</v>
      </c>
      <c r="AH733" s="29" t="str">
        <f t="shared" si="284"/>
        <v>NA</v>
      </c>
    </row>
    <row r="734" customHeight="1" spans="1:34">
      <c r="A734" s="12" t="s">
        <v>1043</v>
      </c>
      <c r="F734" s="24">
        <f t="shared" si="266"/>
        <v>0</v>
      </c>
      <c r="G734" s="24" t="e">
        <f t="shared" si="265"/>
        <v>#DIV/0!</v>
      </c>
      <c r="Q734" s="29" t="str">
        <f t="shared" si="267"/>
        <v>NA</v>
      </c>
      <c r="R734" s="29" t="str">
        <f t="shared" si="268"/>
        <v>NA</v>
      </c>
      <c r="S734" s="29" t="str">
        <f t="shared" si="269"/>
        <v>NA</v>
      </c>
      <c r="T734" s="29" t="str">
        <f t="shared" si="270"/>
        <v>NA</v>
      </c>
      <c r="U734" s="29" t="str">
        <f t="shared" si="271"/>
        <v>NA</v>
      </c>
      <c r="V734" s="29" t="str">
        <f t="shared" si="272"/>
        <v>NA</v>
      </c>
      <c r="W734" s="29" t="str">
        <f t="shared" si="273"/>
        <v>NA</v>
      </c>
      <c r="X734" s="29" t="str">
        <f t="shared" si="274"/>
        <v>NA</v>
      </c>
      <c r="Y734" s="29" t="str">
        <f t="shared" si="275"/>
        <v>NA</v>
      </c>
      <c r="Z734" s="29" t="str">
        <f t="shared" si="276"/>
        <v>NA</v>
      </c>
      <c r="AA734" s="29" t="str">
        <f t="shared" si="277"/>
        <v>NA</v>
      </c>
      <c r="AB734" s="29" t="str">
        <f t="shared" si="278"/>
        <v>NA</v>
      </c>
      <c r="AC734" s="29" t="str">
        <f t="shared" si="279"/>
        <v>NA</v>
      </c>
      <c r="AD734" s="29" t="str">
        <f t="shared" si="280"/>
        <v>NA</v>
      </c>
      <c r="AE734" s="29" t="str">
        <f t="shared" si="281"/>
        <v>NA</v>
      </c>
      <c r="AF734" s="29" t="str">
        <f t="shared" si="282"/>
        <v>NA</v>
      </c>
      <c r="AG734" s="29" t="str">
        <f t="shared" si="283"/>
        <v>NA</v>
      </c>
      <c r="AH734" s="29" t="str">
        <f t="shared" si="284"/>
        <v>NA</v>
      </c>
    </row>
    <row r="735" customHeight="1" spans="1:34">
      <c r="A735" s="12" t="s">
        <v>1043</v>
      </c>
      <c r="F735" s="24">
        <f t="shared" si="266"/>
        <v>0</v>
      </c>
      <c r="G735" s="24" t="e">
        <f t="shared" si="265"/>
        <v>#DIV/0!</v>
      </c>
      <c r="Q735" s="29" t="str">
        <f t="shared" si="267"/>
        <v>NA</v>
      </c>
      <c r="R735" s="29" t="str">
        <f t="shared" si="268"/>
        <v>NA</v>
      </c>
      <c r="S735" s="29" t="str">
        <f t="shared" si="269"/>
        <v>NA</v>
      </c>
      <c r="T735" s="29" t="str">
        <f t="shared" si="270"/>
        <v>NA</v>
      </c>
      <c r="U735" s="29" t="str">
        <f t="shared" si="271"/>
        <v>NA</v>
      </c>
      <c r="V735" s="29" t="str">
        <f t="shared" si="272"/>
        <v>NA</v>
      </c>
      <c r="W735" s="29" t="str">
        <f t="shared" si="273"/>
        <v>NA</v>
      </c>
      <c r="X735" s="29" t="str">
        <f t="shared" si="274"/>
        <v>NA</v>
      </c>
      <c r="Y735" s="29" t="str">
        <f t="shared" si="275"/>
        <v>NA</v>
      </c>
      <c r="Z735" s="29" t="str">
        <f t="shared" si="276"/>
        <v>NA</v>
      </c>
      <c r="AA735" s="29" t="str">
        <f t="shared" si="277"/>
        <v>NA</v>
      </c>
      <c r="AB735" s="29" t="str">
        <f t="shared" si="278"/>
        <v>NA</v>
      </c>
      <c r="AC735" s="29" t="str">
        <f t="shared" si="279"/>
        <v>NA</v>
      </c>
      <c r="AD735" s="29" t="str">
        <f t="shared" si="280"/>
        <v>NA</v>
      </c>
      <c r="AE735" s="29" t="str">
        <f t="shared" si="281"/>
        <v>NA</v>
      </c>
      <c r="AF735" s="29" t="str">
        <f t="shared" si="282"/>
        <v>NA</v>
      </c>
      <c r="AG735" s="29" t="str">
        <f t="shared" si="283"/>
        <v>NA</v>
      </c>
      <c r="AH735" s="29" t="str">
        <f t="shared" si="284"/>
        <v>NA</v>
      </c>
    </row>
    <row r="736" customHeight="1" spans="1:34">
      <c r="A736" s="12" t="s">
        <v>1043</v>
      </c>
      <c r="F736" s="24">
        <f t="shared" si="266"/>
        <v>0</v>
      </c>
      <c r="G736" s="24" t="e">
        <f t="shared" si="265"/>
        <v>#DIV/0!</v>
      </c>
      <c r="Q736" s="29" t="str">
        <f t="shared" si="267"/>
        <v>NA</v>
      </c>
      <c r="R736" s="29" t="str">
        <f t="shared" si="268"/>
        <v>NA</v>
      </c>
      <c r="S736" s="29" t="str">
        <f t="shared" si="269"/>
        <v>NA</v>
      </c>
      <c r="T736" s="29" t="str">
        <f t="shared" si="270"/>
        <v>NA</v>
      </c>
      <c r="U736" s="29" t="str">
        <f t="shared" si="271"/>
        <v>NA</v>
      </c>
      <c r="V736" s="29" t="str">
        <f t="shared" si="272"/>
        <v>NA</v>
      </c>
      <c r="W736" s="29" t="str">
        <f t="shared" si="273"/>
        <v>NA</v>
      </c>
      <c r="X736" s="29" t="str">
        <f t="shared" si="274"/>
        <v>NA</v>
      </c>
      <c r="Y736" s="29" t="str">
        <f t="shared" si="275"/>
        <v>NA</v>
      </c>
      <c r="Z736" s="29" t="str">
        <f t="shared" si="276"/>
        <v>NA</v>
      </c>
      <c r="AA736" s="29" t="str">
        <f t="shared" si="277"/>
        <v>NA</v>
      </c>
      <c r="AB736" s="29" t="str">
        <f t="shared" si="278"/>
        <v>NA</v>
      </c>
      <c r="AC736" s="29" t="str">
        <f t="shared" si="279"/>
        <v>NA</v>
      </c>
      <c r="AD736" s="29" t="str">
        <f t="shared" si="280"/>
        <v>NA</v>
      </c>
      <c r="AE736" s="29" t="str">
        <f t="shared" si="281"/>
        <v>NA</v>
      </c>
      <c r="AF736" s="29" t="str">
        <f t="shared" si="282"/>
        <v>NA</v>
      </c>
      <c r="AG736" s="29" t="str">
        <f t="shared" si="283"/>
        <v>NA</v>
      </c>
      <c r="AH736" s="29" t="str">
        <f t="shared" si="284"/>
        <v>NA</v>
      </c>
    </row>
    <row r="737" customHeight="1" spans="1:34">
      <c r="A737" s="12" t="s">
        <v>1043</v>
      </c>
      <c r="F737" s="24">
        <f t="shared" si="266"/>
        <v>0</v>
      </c>
      <c r="G737" s="24" t="e">
        <f t="shared" si="265"/>
        <v>#DIV/0!</v>
      </c>
      <c r="Q737" s="29" t="str">
        <f t="shared" si="267"/>
        <v>NA</v>
      </c>
      <c r="R737" s="29" t="str">
        <f t="shared" si="268"/>
        <v>NA</v>
      </c>
      <c r="S737" s="29" t="str">
        <f t="shared" si="269"/>
        <v>NA</v>
      </c>
      <c r="T737" s="29" t="str">
        <f t="shared" si="270"/>
        <v>NA</v>
      </c>
      <c r="U737" s="29" t="str">
        <f t="shared" si="271"/>
        <v>NA</v>
      </c>
      <c r="V737" s="29" t="str">
        <f t="shared" si="272"/>
        <v>NA</v>
      </c>
      <c r="W737" s="29" t="str">
        <f t="shared" si="273"/>
        <v>NA</v>
      </c>
      <c r="X737" s="29" t="str">
        <f t="shared" si="274"/>
        <v>NA</v>
      </c>
      <c r="Y737" s="29" t="str">
        <f t="shared" si="275"/>
        <v>NA</v>
      </c>
      <c r="Z737" s="29" t="str">
        <f t="shared" si="276"/>
        <v>NA</v>
      </c>
      <c r="AA737" s="29" t="str">
        <f t="shared" si="277"/>
        <v>NA</v>
      </c>
      <c r="AB737" s="29" t="str">
        <f t="shared" si="278"/>
        <v>NA</v>
      </c>
      <c r="AC737" s="29" t="str">
        <f t="shared" si="279"/>
        <v>NA</v>
      </c>
      <c r="AD737" s="29" t="str">
        <f t="shared" si="280"/>
        <v>NA</v>
      </c>
      <c r="AE737" s="29" t="str">
        <f t="shared" si="281"/>
        <v>NA</v>
      </c>
      <c r="AF737" s="29" t="str">
        <f t="shared" si="282"/>
        <v>NA</v>
      </c>
      <c r="AG737" s="29" t="str">
        <f t="shared" si="283"/>
        <v>NA</v>
      </c>
      <c r="AH737" s="29" t="str">
        <f t="shared" si="284"/>
        <v>NA</v>
      </c>
    </row>
    <row r="738" customHeight="1" spans="1:34">
      <c r="A738" s="12" t="s">
        <v>1043</v>
      </c>
      <c r="F738" s="24">
        <f t="shared" si="266"/>
        <v>0</v>
      </c>
      <c r="G738" s="24" t="e">
        <f t="shared" si="265"/>
        <v>#DIV/0!</v>
      </c>
      <c r="Q738" s="29" t="str">
        <f t="shared" si="267"/>
        <v>NA</v>
      </c>
      <c r="R738" s="29" t="str">
        <f t="shared" si="268"/>
        <v>NA</v>
      </c>
      <c r="S738" s="29" t="str">
        <f t="shared" si="269"/>
        <v>NA</v>
      </c>
      <c r="T738" s="29" t="str">
        <f t="shared" si="270"/>
        <v>NA</v>
      </c>
      <c r="U738" s="29" t="str">
        <f t="shared" si="271"/>
        <v>NA</v>
      </c>
      <c r="V738" s="29" t="str">
        <f t="shared" si="272"/>
        <v>NA</v>
      </c>
      <c r="W738" s="29" t="str">
        <f t="shared" si="273"/>
        <v>NA</v>
      </c>
      <c r="X738" s="29" t="str">
        <f t="shared" si="274"/>
        <v>NA</v>
      </c>
      <c r="Y738" s="29" t="str">
        <f t="shared" si="275"/>
        <v>NA</v>
      </c>
      <c r="Z738" s="29" t="str">
        <f t="shared" si="276"/>
        <v>NA</v>
      </c>
      <c r="AA738" s="29" t="str">
        <f t="shared" si="277"/>
        <v>NA</v>
      </c>
      <c r="AB738" s="29" t="str">
        <f t="shared" si="278"/>
        <v>NA</v>
      </c>
      <c r="AC738" s="29" t="str">
        <f t="shared" si="279"/>
        <v>NA</v>
      </c>
      <c r="AD738" s="29" t="str">
        <f t="shared" si="280"/>
        <v>NA</v>
      </c>
      <c r="AE738" s="29" t="str">
        <f t="shared" si="281"/>
        <v>NA</v>
      </c>
      <c r="AF738" s="29" t="str">
        <f t="shared" si="282"/>
        <v>NA</v>
      </c>
      <c r="AG738" s="29" t="str">
        <f t="shared" si="283"/>
        <v>NA</v>
      </c>
      <c r="AH738" s="29" t="str">
        <f t="shared" si="284"/>
        <v>NA</v>
      </c>
    </row>
    <row r="739" customHeight="1" spans="1:34">
      <c r="A739" s="12" t="s">
        <v>1043</v>
      </c>
      <c r="F739" s="24">
        <f t="shared" si="266"/>
        <v>0</v>
      </c>
      <c r="G739" s="24" t="e">
        <f t="shared" si="265"/>
        <v>#DIV/0!</v>
      </c>
      <c r="Q739" s="29" t="str">
        <f t="shared" si="267"/>
        <v>NA</v>
      </c>
      <c r="R739" s="29" t="str">
        <f t="shared" si="268"/>
        <v>NA</v>
      </c>
      <c r="S739" s="29" t="str">
        <f t="shared" si="269"/>
        <v>NA</v>
      </c>
      <c r="T739" s="29" t="str">
        <f t="shared" si="270"/>
        <v>NA</v>
      </c>
      <c r="U739" s="29" t="str">
        <f t="shared" si="271"/>
        <v>NA</v>
      </c>
      <c r="V739" s="29" t="str">
        <f t="shared" si="272"/>
        <v>NA</v>
      </c>
      <c r="W739" s="29" t="str">
        <f t="shared" si="273"/>
        <v>NA</v>
      </c>
      <c r="X739" s="29" t="str">
        <f t="shared" si="274"/>
        <v>NA</v>
      </c>
      <c r="Y739" s="29" t="str">
        <f t="shared" si="275"/>
        <v>NA</v>
      </c>
      <c r="Z739" s="29" t="str">
        <f t="shared" si="276"/>
        <v>NA</v>
      </c>
      <c r="AA739" s="29" t="str">
        <f t="shared" si="277"/>
        <v>NA</v>
      </c>
      <c r="AB739" s="29" t="str">
        <f t="shared" si="278"/>
        <v>NA</v>
      </c>
      <c r="AC739" s="29" t="str">
        <f t="shared" si="279"/>
        <v>NA</v>
      </c>
      <c r="AD739" s="29" t="str">
        <f t="shared" si="280"/>
        <v>NA</v>
      </c>
      <c r="AE739" s="29" t="str">
        <f t="shared" si="281"/>
        <v>NA</v>
      </c>
      <c r="AF739" s="29" t="str">
        <f t="shared" si="282"/>
        <v>NA</v>
      </c>
      <c r="AG739" s="29" t="str">
        <f t="shared" si="283"/>
        <v>NA</v>
      </c>
      <c r="AH739" s="29" t="str">
        <f t="shared" si="284"/>
        <v>NA</v>
      </c>
    </row>
    <row r="740" customHeight="1" spans="1:34">
      <c r="A740" s="12" t="s">
        <v>1043</v>
      </c>
      <c r="F740" s="24">
        <f t="shared" si="266"/>
        <v>0</v>
      </c>
      <c r="G740" s="24" t="e">
        <f t="shared" si="265"/>
        <v>#DIV/0!</v>
      </c>
      <c r="Q740" s="29" t="str">
        <f t="shared" si="267"/>
        <v>NA</v>
      </c>
      <c r="R740" s="29" t="str">
        <f t="shared" si="268"/>
        <v>NA</v>
      </c>
      <c r="S740" s="29" t="str">
        <f t="shared" si="269"/>
        <v>NA</v>
      </c>
      <c r="T740" s="29" t="str">
        <f t="shared" si="270"/>
        <v>NA</v>
      </c>
      <c r="U740" s="29" t="str">
        <f t="shared" si="271"/>
        <v>NA</v>
      </c>
      <c r="V740" s="29" t="str">
        <f t="shared" si="272"/>
        <v>NA</v>
      </c>
      <c r="W740" s="29" t="str">
        <f t="shared" si="273"/>
        <v>NA</v>
      </c>
      <c r="X740" s="29" t="str">
        <f t="shared" si="274"/>
        <v>NA</v>
      </c>
      <c r="Y740" s="29" t="str">
        <f t="shared" si="275"/>
        <v>NA</v>
      </c>
      <c r="Z740" s="29" t="str">
        <f t="shared" si="276"/>
        <v>NA</v>
      </c>
      <c r="AA740" s="29" t="str">
        <f t="shared" si="277"/>
        <v>NA</v>
      </c>
      <c r="AB740" s="29" t="str">
        <f t="shared" si="278"/>
        <v>NA</v>
      </c>
      <c r="AC740" s="29" t="str">
        <f t="shared" si="279"/>
        <v>NA</v>
      </c>
      <c r="AD740" s="29" t="str">
        <f t="shared" si="280"/>
        <v>NA</v>
      </c>
      <c r="AE740" s="29" t="str">
        <f t="shared" si="281"/>
        <v>NA</v>
      </c>
      <c r="AF740" s="29" t="str">
        <f t="shared" si="282"/>
        <v>NA</v>
      </c>
      <c r="AG740" s="29" t="str">
        <f t="shared" si="283"/>
        <v>NA</v>
      </c>
      <c r="AH740" s="29" t="str">
        <f t="shared" si="284"/>
        <v>NA</v>
      </c>
    </row>
    <row r="741" customHeight="1" spans="1:34">
      <c r="A741" s="12" t="s">
        <v>1043</v>
      </c>
      <c r="F741" s="24">
        <f t="shared" si="266"/>
        <v>0</v>
      </c>
      <c r="G741" s="24" t="e">
        <f t="shared" si="265"/>
        <v>#DIV/0!</v>
      </c>
      <c r="Q741" s="29" t="str">
        <f t="shared" si="267"/>
        <v>NA</v>
      </c>
      <c r="R741" s="29" t="str">
        <f t="shared" si="268"/>
        <v>NA</v>
      </c>
      <c r="S741" s="29" t="str">
        <f t="shared" si="269"/>
        <v>NA</v>
      </c>
      <c r="T741" s="29" t="str">
        <f t="shared" si="270"/>
        <v>NA</v>
      </c>
      <c r="U741" s="29" t="str">
        <f t="shared" si="271"/>
        <v>NA</v>
      </c>
      <c r="V741" s="29" t="str">
        <f t="shared" si="272"/>
        <v>NA</v>
      </c>
      <c r="W741" s="29" t="str">
        <f t="shared" si="273"/>
        <v>NA</v>
      </c>
      <c r="X741" s="29" t="str">
        <f t="shared" si="274"/>
        <v>NA</v>
      </c>
      <c r="Y741" s="29" t="str">
        <f t="shared" si="275"/>
        <v>NA</v>
      </c>
      <c r="Z741" s="29" t="str">
        <f t="shared" si="276"/>
        <v>NA</v>
      </c>
      <c r="AA741" s="29" t="str">
        <f t="shared" si="277"/>
        <v>NA</v>
      </c>
      <c r="AB741" s="29" t="str">
        <f t="shared" si="278"/>
        <v>NA</v>
      </c>
      <c r="AC741" s="29" t="str">
        <f t="shared" si="279"/>
        <v>NA</v>
      </c>
      <c r="AD741" s="29" t="str">
        <f t="shared" si="280"/>
        <v>NA</v>
      </c>
      <c r="AE741" s="29" t="str">
        <f t="shared" si="281"/>
        <v>NA</v>
      </c>
      <c r="AF741" s="29" t="str">
        <f t="shared" si="282"/>
        <v>NA</v>
      </c>
      <c r="AG741" s="29" t="str">
        <f t="shared" si="283"/>
        <v>NA</v>
      </c>
      <c r="AH741" s="29" t="str">
        <f t="shared" si="284"/>
        <v>NA</v>
      </c>
    </row>
    <row r="742" customHeight="1" spans="1:34">
      <c r="A742" s="12" t="s">
        <v>1043</v>
      </c>
      <c r="F742" s="24">
        <f t="shared" si="266"/>
        <v>0</v>
      </c>
      <c r="G742" s="24" t="e">
        <f t="shared" si="265"/>
        <v>#DIV/0!</v>
      </c>
      <c r="Q742" s="29" t="str">
        <f t="shared" si="267"/>
        <v>NA</v>
      </c>
      <c r="R742" s="29" t="str">
        <f t="shared" si="268"/>
        <v>NA</v>
      </c>
      <c r="S742" s="29" t="str">
        <f t="shared" si="269"/>
        <v>NA</v>
      </c>
      <c r="T742" s="29" t="str">
        <f t="shared" si="270"/>
        <v>NA</v>
      </c>
      <c r="U742" s="29" t="str">
        <f t="shared" si="271"/>
        <v>NA</v>
      </c>
      <c r="V742" s="29" t="str">
        <f t="shared" si="272"/>
        <v>NA</v>
      </c>
      <c r="W742" s="29" t="str">
        <f t="shared" si="273"/>
        <v>NA</v>
      </c>
      <c r="X742" s="29" t="str">
        <f t="shared" si="274"/>
        <v>NA</v>
      </c>
      <c r="Y742" s="29" t="str">
        <f t="shared" si="275"/>
        <v>NA</v>
      </c>
      <c r="Z742" s="29" t="str">
        <f t="shared" si="276"/>
        <v>NA</v>
      </c>
      <c r="AA742" s="29" t="str">
        <f t="shared" si="277"/>
        <v>NA</v>
      </c>
      <c r="AB742" s="29" t="str">
        <f t="shared" si="278"/>
        <v>NA</v>
      </c>
      <c r="AC742" s="29" t="str">
        <f t="shared" si="279"/>
        <v>NA</v>
      </c>
      <c r="AD742" s="29" t="str">
        <f t="shared" si="280"/>
        <v>NA</v>
      </c>
      <c r="AE742" s="29" t="str">
        <f t="shared" si="281"/>
        <v>NA</v>
      </c>
      <c r="AF742" s="29" t="str">
        <f t="shared" si="282"/>
        <v>NA</v>
      </c>
      <c r="AG742" s="29" t="str">
        <f t="shared" si="283"/>
        <v>NA</v>
      </c>
      <c r="AH742" s="29" t="str">
        <f t="shared" si="284"/>
        <v>NA</v>
      </c>
    </row>
    <row r="743" customHeight="1" spans="1:34">
      <c r="A743" s="12" t="s">
        <v>1043</v>
      </c>
      <c r="F743" s="24">
        <f t="shared" si="266"/>
        <v>0</v>
      </c>
      <c r="G743" s="24" t="e">
        <f t="shared" si="265"/>
        <v>#DIV/0!</v>
      </c>
      <c r="Q743" s="29" t="str">
        <f t="shared" si="267"/>
        <v>NA</v>
      </c>
      <c r="R743" s="29" t="str">
        <f t="shared" si="268"/>
        <v>NA</v>
      </c>
      <c r="S743" s="29" t="str">
        <f t="shared" si="269"/>
        <v>NA</v>
      </c>
      <c r="T743" s="29" t="str">
        <f t="shared" si="270"/>
        <v>NA</v>
      </c>
      <c r="U743" s="29" t="str">
        <f t="shared" si="271"/>
        <v>NA</v>
      </c>
      <c r="V743" s="29" t="str">
        <f t="shared" si="272"/>
        <v>NA</v>
      </c>
      <c r="W743" s="29" t="str">
        <f t="shared" si="273"/>
        <v>NA</v>
      </c>
      <c r="X743" s="29" t="str">
        <f t="shared" si="274"/>
        <v>NA</v>
      </c>
      <c r="Y743" s="29" t="str">
        <f t="shared" si="275"/>
        <v>NA</v>
      </c>
      <c r="Z743" s="29" t="str">
        <f t="shared" si="276"/>
        <v>NA</v>
      </c>
      <c r="AA743" s="29" t="str">
        <f t="shared" si="277"/>
        <v>NA</v>
      </c>
      <c r="AB743" s="29" t="str">
        <f t="shared" si="278"/>
        <v>NA</v>
      </c>
      <c r="AC743" s="29" t="str">
        <f t="shared" si="279"/>
        <v>NA</v>
      </c>
      <c r="AD743" s="29" t="str">
        <f t="shared" si="280"/>
        <v>NA</v>
      </c>
      <c r="AE743" s="29" t="str">
        <f t="shared" si="281"/>
        <v>NA</v>
      </c>
      <c r="AF743" s="29" t="str">
        <f t="shared" si="282"/>
        <v>NA</v>
      </c>
      <c r="AG743" s="29" t="str">
        <f t="shared" si="283"/>
        <v>NA</v>
      </c>
      <c r="AH743" s="29" t="str">
        <f t="shared" si="284"/>
        <v>NA</v>
      </c>
    </row>
    <row r="744" customHeight="1" spans="1:34">
      <c r="A744" s="12" t="s">
        <v>1043</v>
      </c>
      <c r="F744" s="24">
        <f t="shared" si="266"/>
        <v>0</v>
      </c>
      <c r="G744" s="24" t="e">
        <f t="shared" si="265"/>
        <v>#DIV/0!</v>
      </c>
      <c r="Q744" s="29" t="str">
        <f t="shared" si="267"/>
        <v>NA</v>
      </c>
      <c r="R744" s="29" t="str">
        <f t="shared" si="268"/>
        <v>NA</v>
      </c>
      <c r="S744" s="29" t="str">
        <f t="shared" si="269"/>
        <v>NA</v>
      </c>
      <c r="T744" s="29" t="str">
        <f t="shared" si="270"/>
        <v>NA</v>
      </c>
      <c r="U744" s="29" t="str">
        <f t="shared" si="271"/>
        <v>NA</v>
      </c>
      <c r="V744" s="29" t="str">
        <f t="shared" si="272"/>
        <v>NA</v>
      </c>
      <c r="W744" s="29" t="str">
        <f t="shared" si="273"/>
        <v>NA</v>
      </c>
      <c r="X744" s="29" t="str">
        <f t="shared" si="274"/>
        <v>NA</v>
      </c>
      <c r="Y744" s="29" t="str">
        <f t="shared" si="275"/>
        <v>NA</v>
      </c>
      <c r="Z744" s="29" t="str">
        <f t="shared" si="276"/>
        <v>NA</v>
      </c>
      <c r="AA744" s="29" t="str">
        <f t="shared" si="277"/>
        <v>NA</v>
      </c>
      <c r="AB744" s="29" t="str">
        <f t="shared" si="278"/>
        <v>NA</v>
      </c>
      <c r="AC744" s="29" t="str">
        <f t="shared" si="279"/>
        <v>NA</v>
      </c>
      <c r="AD744" s="29" t="str">
        <f t="shared" si="280"/>
        <v>NA</v>
      </c>
      <c r="AE744" s="29" t="str">
        <f t="shared" si="281"/>
        <v>NA</v>
      </c>
      <c r="AF744" s="29" t="str">
        <f t="shared" si="282"/>
        <v>NA</v>
      </c>
      <c r="AG744" s="29" t="str">
        <f t="shared" si="283"/>
        <v>NA</v>
      </c>
      <c r="AH744" s="29" t="str">
        <f t="shared" si="284"/>
        <v>NA</v>
      </c>
    </row>
    <row r="745" customHeight="1" spans="1:34">
      <c r="A745" s="12" t="s">
        <v>1043</v>
      </c>
      <c r="F745" s="24">
        <f t="shared" si="266"/>
        <v>0</v>
      </c>
      <c r="G745" s="24" t="e">
        <f t="shared" si="265"/>
        <v>#DIV/0!</v>
      </c>
      <c r="Q745" s="29" t="str">
        <f t="shared" si="267"/>
        <v>NA</v>
      </c>
      <c r="R745" s="29" t="str">
        <f t="shared" si="268"/>
        <v>NA</v>
      </c>
      <c r="S745" s="29" t="str">
        <f t="shared" si="269"/>
        <v>NA</v>
      </c>
      <c r="T745" s="29" t="str">
        <f t="shared" si="270"/>
        <v>NA</v>
      </c>
      <c r="U745" s="29" t="str">
        <f t="shared" si="271"/>
        <v>NA</v>
      </c>
      <c r="V745" s="29" t="str">
        <f t="shared" si="272"/>
        <v>NA</v>
      </c>
      <c r="W745" s="29" t="str">
        <f t="shared" si="273"/>
        <v>NA</v>
      </c>
      <c r="X745" s="29" t="str">
        <f t="shared" si="274"/>
        <v>NA</v>
      </c>
      <c r="Y745" s="29" t="str">
        <f t="shared" si="275"/>
        <v>NA</v>
      </c>
      <c r="Z745" s="29" t="str">
        <f t="shared" si="276"/>
        <v>NA</v>
      </c>
      <c r="AA745" s="29" t="str">
        <f t="shared" si="277"/>
        <v>NA</v>
      </c>
      <c r="AB745" s="29" t="str">
        <f t="shared" si="278"/>
        <v>NA</v>
      </c>
      <c r="AC745" s="29" t="str">
        <f t="shared" si="279"/>
        <v>NA</v>
      </c>
      <c r="AD745" s="29" t="str">
        <f t="shared" si="280"/>
        <v>NA</v>
      </c>
      <c r="AE745" s="29" t="str">
        <f t="shared" si="281"/>
        <v>NA</v>
      </c>
      <c r="AF745" s="29" t="str">
        <f t="shared" si="282"/>
        <v>NA</v>
      </c>
      <c r="AG745" s="29" t="str">
        <f t="shared" si="283"/>
        <v>NA</v>
      </c>
      <c r="AH745" s="29" t="str">
        <f t="shared" si="284"/>
        <v>NA</v>
      </c>
    </row>
    <row r="746" customHeight="1" spans="1:34">
      <c r="A746" s="12" t="s">
        <v>1043</v>
      </c>
      <c r="F746" s="24">
        <f t="shared" si="266"/>
        <v>0</v>
      </c>
      <c r="G746" s="24" t="e">
        <f t="shared" si="265"/>
        <v>#DIV/0!</v>
      </c>
      <c r="Q746" s="29" t="str">
        <f t="shared" si="267"/>
        <v>NA</v>
      </c>
      <c r="R746" s="29" t="str">
        <f t="shared" si="268"/>
        <v>NA</v>
      </c>
      <c r="S746" s="29" t="str">
        <f t="shared" si="269"/>
        <v>NA</v>
      </c>
      <c r="T746" s="29" t="str">
        <f t="shared" si="270"/>
        <v>NA</v>
      </c>
      <c r="U746" s="29" t="str">
        <f t="shared" si="271"/>
        <v>NA</v>
      </c>
      <c r="V746" s="29" t="str">
        <f t="shared" si="272"/>
        <v>NA</v>
      </c>
      <c r="W746" s="29" t="str">
        <f t="shared" si="273"/>
        <v>NA</v>
      </c>
      <c r="X746" s="29" t="str">
        <f t="shared" si="274"/>
        <v>NA</v>
      </c>
      <c r="Y746" s="29" t="str">
        <f t="shared" si="275"/>
        <v>NA</v>
      </c>
      <c r="Z746" s="29" t="str">
        <f t="shared" si="276"/>
        <v>NA</v>
      </c>
      <c r="AA746" s="29" t="str">
        <f t="shared" si="277"/>
        <v>NA</v>
      </c>
      <c r="AB746" s="29" t="str">
        <f t="shared" si="278"/>
        <v>NA</v>
      </c>
      <c r="AC746" s="29" t="str">
        <f t="shared" si="279"/>
        <v>NA</v>
      </c>
      <c r="AD746" s="29" t="str">
        <f t="shared" si="280"/>
        <v>NA</v>
      </c>
      <c r="AE746" s="29" t="str">
        <f t="shared" si="281"/>
        <v>NA</v>
      </c>
      <c r="AF746" s="29" t="str">
        <f t="shared" si="282"/>
        <v>NA</v>
      </c>
      <c r="AG746" s="29" t="str">
        <f t="shared" si="283"/>
        <v>NA</v>
      </c>
      <c r="AH746" s="29" t="str">
        <f t="shared" si="284"/>
        <v>NA</v>
      </c>
    </row>
    <row r="747" customHeight="1" spans="1:34">
      <c r="A747" s="12" t="s">
        <v>1043</v>
      </c>
      <c r="F747" s="24">
        <f t="shared" si="266"/>
        <v>0</v>
      </c>
      <c r="G747" s="24" t="e">
        <f t="shared" si="265"/>
        <v>#DIV/0!</v>
      </c>
      <c r="Q747" s="29" t="str">
        <f t="shared" si="267"/>
        <v>NA</v>
      </c>
      <c r="R747" s="29" t="str">
        <f t="shared" si="268"/>
        <v>NA</v>
      </c>
      <c r="S747" s="29" t="str">
        <f t="shared" si="269"/>
        <v>NA</v>
      </c>
      <c r="T747" s="29" t="str">
        <f t="shared" si="270"/>
        <v>NA</v>
      </c>
      <c r="U747" s="29" t="str">
        <f t="shared" si="271"/>
        <v>NA</v>
      </c>
      <c r="V747" s="29" t="str">
        <f t="shared" si="272"/>
        <v>NA</v>
      </c>
      <c r="W747" s="29" t="str">
        <f t="shared" si="273"/>
        <v>NA</v>
      </c>
      <c r="X747" s="29" t="str">
        <f t="shared" si="274"/>
        <v>NA</v>
      </c>
      <c r="Y747" s="29" t="str">
        <f t="shared" si="275"/>
        <v>NA</v>
      </c>
      <c r="Z747" s="29" t="str">
        <f t="shared" si="276"/>
        <v>NA</v>
      </c>
      <c r="AA747" s="29" t="str">
        <f t="shared" si="277"/>
        <v>NA</v>
      </c>
      <c r="AB747" s="29" t="str">
        <f t="shared" si="278"/>
        <v>NA</v>
      </c>
      <c r="AC747" s="29" t="str">
        <f t="shared" si="279"/>
        <v>NA</v>
      </c>
      <c r="AD747" s="29" t="str">
        <f t="shared" si="280"/>
        <v>NA</v>
      </c>
      <c r="AE747" s="29" t="str">
        <f t="shared" si="281"/>
        <v>NA</v>
      </c>
      <c r="AF747" s="29" t="str">
        <f t="shared" si="282"/>
        <v>NA</v>
      </c>
      <c r="AG747" s="29" t="str">
        <f t="shared" si="283"/>
        <v>NA</v>
      </c>
      <c r="AH747" s="29" t="str">
        <f t="shared" si="284"/>
        <v>NA</v>
      </c>
    </row>
    <row r="748" customHeight="1" spans="1:34">
      <c r="A748" s="12" t="s">
        <v>1043</v>
      </c>
      <c r="F748" s="24">
        <f t="shared" si="266"/>
        <v>0</v>
      </c>
      <c r="G748" s="24" t="e">
        <f t="shared" si="265"/>
        <v>#DIV/0!</v>
      </c>
      <c r="Q748" s="29" t="str">
        <f t="shared" si="267"/>
        <v>NA</v>
      </c>
      <c r="R748" s="29" t="str">
        <f t="shared" si="268"/>
        <v>NA</v>
      </c>
      <c r="S748" s="29" t="str">
        <f t="shared" si="269"/>
        <v>NA</v>
      </c>
      <c r="T748" s="29" t="str">
        <f t="shared" si="270"/>
        <v>NA</v>
      </c>
      <c r="U748" s="29" t="str">
        <f t="shared" si="271"/>
        <v>NA</v>
      </c>
      <c r="V748" s="29" t="str">
        <f t="shared" si="272"/>
        <v>NA</v>
      </c>
      <c r="W748" s="29" t="str">
        <f t="shared" si="273"/>
        <v>NA</v>
      </c>
      <c r="X748" s="29" t="str">
        <f t="shared" si="274"/>
        <v>NA</v>
      </c>
      <c r="Y748" s="29" t="str">
        <f t="shared" si="275"/>
        <v>NA</v>
      </c>
      <c r="Z748" s="29" t="str">
        <f t="shared" si="276"/>
        <v>NA</v>
      </c>
      <c r="AA748" s="29" t="str">
        <f t="shared" si="277"/>
        <v>NA</v>
      </c>
      <c r="AB748" s="29" t="str">
        <f t="shared" si="278"/>
        <v>NA</v>
      </c>
      <c r="AC748" s="29" t="str">
        <f t="shared" si="279"/>
        <v>NA</v>
      </c>
      <c r="AD748" s="29" t="str">
        <f t="shared" si="280"/>
        <v>NA</v>
      </c>
      <c r="AE748" s="29" t="str">
        <f t="shared" si="281"/>
        <v>NA</v>
      </c>
      <c r="AF748" s="29" t="str">
        <f t="shared" si="282"/>
        <v>NA</v>
      </c>
      <c r="AG748" s="29" t="str">
        <f t="shared" si="283"/>
        <v>NA</v>
      </c>
      <c r="AH748" s="29" t="str">
        <f t="shared" si="284"/>
        <v>NA</v>
      </c>
    </row>
    <row r="749" customHeight="1" spans="1:34">
      <c r="A749" s="12" t="s">
        <v>1043</v>
      </c>
      <c r="F749" s="24">
        <f t="shared" si="266"/>
        <v>0</v>
      </c>
      <c r="G749" s="24" t="e">
        <f t="shared" si="265"/>
        <v>#DIV/0!</v>
      </c>
      <c r="Q749" s="29" t="str">
        <f t="shared" si="267"/>
        <v>NA</v>
      </c>
      <c r="R749" s="29" t="str">
        <f t="shared" si="268"/>
        <v>NA</v>
      </c>
      <c r="S749" s="29" t="str">
        <f t="shared" si="269"/>
        <v>NA</v>
      </c>
      <c r="T749" s="29" t="str">
        <f t="shared" si="270"/>
        <v>NA</v>
      </c>
      <c r="U749" s="29" t="str">
        <f t="shared" si="271"/>
        <v>NA</v>
      </c>
      <c r="V749" s="29" t="str">
        <f t="shared" si="272"/>
        <v>NA</v>
      </c>
      <c r="W749" s="29" t="str">
        <f t="shared" si="273"/>
        <v>NA</v>
      </c>
      <c r="X749" s="29" t="str">
        <f t="shared" si="274"/>
        <v>NA</v>
      </c>
      <c r="Y749" s="29" t="str">
        <f t="shared" si="275"/>
        <v>NA</v>
      </c>
      <c r="Z749" s="29" t="str">
        <f t="shared" si="276"/>
        <v>NA</v>
      </c>
      <c r="AA749" s="29" t="str">
        <f t="shared" si="277"/>
        <v>NA</v>
      </c>
      <c r="AB749" s="29" t="str">
        <f t="shared" si="278"/>
        <v>NA</v>
      </c>
      <c r="AC749" s="29" t="str">
        <f t="shared" si="279"/>
        <v>NA</v>
      </c>
      <c r="AD749" s="29" t="str">
        <f t="shared" si="280"/>
        <v>NA</v>
      </c>
      <c r="AE749" s="29" t="str">
        <f t="shared" si="281"/>
        <v>NA</v>
      </c>
      <c r="AF749" s="29" t="str">
        <f t="shared" si="282"/>
        <v>NA</v>
      </c>
      <c r="AG749" s="29" t="str">
        <f t="shared" si="283"/>
        <v>NA</v>
      </c>
      <c r="AH749" s="29" t="str">
        <f t="shared" si="284"/>
        <v>NA</v>
      </c>
    </row>
    <row r="750" customHeight="1" spans="1:34">
      <c r="A750" s="12" t="s">
        <v>1043</v>
      </c>
      <c r="F750" s="24">
        <f t="shared" si="266"/>
        <v>0</v>
      </c>
      <c r="G750" s="24" t="e">
        <f t="shared" si="265"/>
        <v>#DIV/0!</v>
      </c>
      <c r="Q750" s="29" t="str">
        <f t="shared" si="267"/>
        <v>NA</v>
      </c>
      <c r="R750" s="29" t="str">
        <f t="shared" si="268"/>
        <v>NA</v>
      </c>
      <c r="S750" s="29" t="str">
        <f t="shared" si="269"/>
        <v>NA</v>
      </c>
      <c r="T750" s="29" t="str">
        <f t="shared" si="270"/>
        <v>NA</v>
      </c>
      <c r="U750" s="29" t="str">
        <f t="shared" si="271"/>
        <v>NA</v>
      </c>
      <c r="V750" s="29" t="str">
        <f t="shared" si="272"/>
        <v>NA</v>
      </c>
      <c r="W750" s="29" t="str">
        <f t="shared" si="273"/>
        <v>NA</v>
      </c>
      <c r="X750" s="29" t="str">
        <f t="shared" si="274"/>
        <v>NA</v>
      </c>
      <c r="Y750" s="29" t="str">
        <f t="shared" si="275"/>
        <v>NA</v>
      </c>
      <c r="Z750" s="29" t="str">
        <f t="shared" si="276"/>
        <v>NA</v>
      </c>
      <c r="AA750" s="29" t="str">
        <f t="shared" si="277"/>
        <v>NA</v>
      </c>
      <c r="AB750" s="29" t="str">
        <f t="shared" si="278"/>
        <v>NA</v>
      </c>
      <c r="AC750" s="29" t="str">
        <f t="shared" si="279"/>
        <v>NA</v>
      </c>
      <c r="AD750" s="29" t="str">
        <f t="shared" si="280"/>
        <v>NA</v>
      </c>
      <c r="AE750" s="29" t="str">
        <f t="shared" si="281"/>
        <v>NA</v>
      </c>
      <c r="AF750" s="29" t="str">
        <f t="shared" si="282"/>
        <v>NA</v>
      </c>
      <c r="AG750" s="29" t="str">
        <f t="shared" si="283"/>
        <v>NA</v>
      </c>
      <c r="AH750" s="29" t="str">
        <f t="shared" si="284"/>
        <v>NA</v>
      </c>
    </row>
    <row r="751" customHeight="1" spans="1:34">
      <c r="A751" s="12" t="s">
        <v>1043</v>
      </c>
      <c r="F751" s="24">
        <f t="shared" si="266"/>
        <v>0</v>
      </c>
      <c r="G751" s="24" t="e">
        <f t="shared" si="265"/>
        <v>#DIV/0!</v>
      </c>
      <c r="Q751" s="29" t="str">
        <f t="shared" si="267"/>
        <v>NA</v>
      </c>
      <c r="R751" s="29" t="str">
        <f t="shared" si="268"/>
        <v>NA</v>
      </c>
      <c r="S751" s="29" t="str">
        <f t="shared" si="269"/>
        <v>NA</v>
      </c>
      <c r="T751" s="29" t="str">
        <f t="shared" si="270"/>
        <v>NA</v>
      </c>
      <c r="U751" s="29" t="str">
        <f t="shared" si="271"/>
        <v>NA</v>
      </c>
      <c r="V751" s="29" t="str">
        <f t="shared" si="272"/>
        <v>NA</v>
      </c>
      <c r="W751" s="29" t="str">
        <f t="shared" si="273"/>
        <v>NA</v>
      </c>
      <c r="X751" s="29" t="str">
        <f t="shared" si="274"/>
        <v>NA</v>
      </c>
      <c r="Y751" s="29" t="str">
        <f t="shared" si="275"/>
        <v>NA</v>
      </c>
      <c r="Z751" s="29" t="str">
        <f t="shared" si="276"/>
        <v>NA</v>
      </c>
      <c r="AA751" s="29" t="str">
        <f t="shared" si="277"/>
        <v>NA</v>
      </c>
      <c r="AB751" s="29" t="str">
        <f t="shared" si="278"/>
        <v>NA</v>
      </c>
      <c r="AC751" s="29" t="str">
        <f t="shared" si="279"/>
        <v>NA</v>
      </c>
      <c r="AD751" s="29" t="str">
        <f t="shared" si="280"/>
        <v>NA</v>
      </c>
      <c r="AE751" s="29" t="str">
        <f t="shared" si="281"/>
        <v>NA</v>
      </c>
      <c r="AF751" s="29" t="str">
        <f t="shared" si="282"/>
        <v>NA</v>
      </c>
      <c r="AG751" s="29" t="str">
        <f t="shared" si="283"/>
        <v>NA</v>
      </c>
      <c r="AH751" s="29" t="str">
        <f t="shared" si="284"/>
        <v>NA</v>
      </c>
    </row>
    <row r="752" customHeight="1" spans="1:34">
      <c r="A752" s="12" t="s">
        <v>1043</v>
      </c>
      <c r="F752" s="24">
        <f t="shared" si="266"/>
        <v>0</v>
      </c>
      <c r="G752" s="24" t="e">
        <f t="shared" si="265"/>
        <v>#DIV/0!</v>
      </c>
      <c r="Q752" s="29" t="str">
        <f t="shared" si="267"/>
        <v>NA</v>
      </c>
      <c r="R752" s="29" t="str">
        <f t="shared" si="268"/>
        <v>NA</v>
      </c>
      <c r="S752" s="29" t="str">
        <f t="shared" si="269"/>
        <v>NA</v>
      </c>
      <c r="T752" s="29" t="str">
        <f t="shared" si="270"/>
        <v>NA</v>
      </c>
      <c r="U752" s="29" t="str">
        <f t="shared" si="271"/>
        <v>NA</v>
      </c>
      <c r="V752" s="29" t="str">
        <f t="shared" si="272"/>
        <v>NA</v>
      </c>
      <c r="W752" s="29" t="str">
        <f t="shared" si="273"/>
        <v>NA</v>
      </c>
      <c r="X752" s="29" t="str">
        <f t="shared" si="274"/>
        <v>NA</v>
      </c>
      <c r="Y752" s="29" t="str">
        <f t="shared" si="275"/>
        <v>NA</v>
      </c>
      <c r="Z752" s="29" t="str">
        <f t="shared" si="276"/>
        <v>NA</v>
      </c>
      <c r="AA752" s="29" t="str">
        <f t="shared" si="277"/>
        <v>NA</v>
      </c>
      <c r="AB752" s="29" t="str">
        <f t="shared" si="278"/>
        <v>NA</v>
      </c>
      <c r="AC752" s="29" t="str">
        <f t="shared" si="279"/>
        <v>NA</v>
      </c>
      <c r="AD752" s="29" t="str">
        <f t="shared" si="280"/>
        <v>NA</v>
      </c>
      <c r="AE752" s="29" t="str">
        <f t="shared" si="281"/>
        <v>NA</v>
      </c>
      <c r="AF752" s="29" t="str">
        <f t="shared" si="282"/>
        <v>NA</v>
      </c>
      <c r="AG752" s="29" t="str">
        <f t="shared" si="283"/>
        <v>NA</v>
      </c>
      <c r="AH752" s="29" t="str">
        <f t="shared" si="284"/>
        <v>NA</v>
      </c>
    </row>
    <row r="753" customHeight="1" spans="1:34">
      <c r="A753" s="12" t="s">
        <v>1043</v>
      </c>
      <c r="F753" s="24">
        <f t="shared" si="266"/>
        <v>0</v>
      </c>
      <c r="G753" s="24" t="e">
        <f t="shared" si="265"/>
        <v>#DIV/0!</v>
      </c>
      <c r="Q753" s="29" t="str">
        <f t="shared" si="267"/>
        <v>NA</v>
      </c>
      <c r="R753" s="29" t="str">
        <f t="shared" si="268"/>
        <v>NA</v>
      </c>
      <c r="S753" s="29" t="str">
        <f t="shared" si="269"/>
        <v>NA</v>
      </c>
      <c r="T753" s="29" t="str">
        <f t="shared" si="270"/>
        <v>NA</v>
      </c>
      <c r="U753" s="29" t="str">
        <f t="shared" si="271"/>
        <v>NA</v>
      </c>
      <c r="V753" s="29" t="str">
        <f t="shared" si="272"/>
        <v>NA</v>
      </c>
      <c r="W753" s="29" t="str">
        <f t="shared" si="273"/>
        <v>NA</v>
      </c>
      <c r="X753" s="29" t="str">
        <f t="shared" si="274"/>
        <v>NA</v>
      </c>
      <c r="Y753" s="29" t="str">
        <f t="shared" si="275"/>
        <v>NA</v>
      </c>
      <c r="Z753" s="29" t="str">
        <f t="shared" si="276"/>
        <v>NA</v>
      </c>
      <c r="AA753" s="29" t="str">
        <f t="shared" si="277"/>
        <v>NA</v>
      </c>
      <c r="AB753" s="29" t="str">
        <f t="shared" si="278"/>
        <v>NA</v>
      </c>
      <c r="AC753" s="29" t="str">
        <f t="shared" si="279"/>
        <v>NA</v>
      </c>
      <c r="AD753" s="29" t="str">
        <f t="shared" si="280"/>
        <v>NA</v>
      </c>
      <c r="AE753" s="29" t="str">
        <f t="shared" si="281"/>
        <v>NA</v>
      </c>
      <c r="AF753" s="29" t="str">
        <f t="shared" si="282"/>
        <v>NA</v>
      </c>
      <c r="AG753" s="29" t="str">
        <f t="shared" si="283"/>
        <v>NA</v>
      </c>
      <c r="AH753" s="29" t="str">
        <f t="shared" si="284"/>
        <v>NA</v>
      </c>
    </row>
    <row r="754" customHeight="1" spans="1:34">
      <c r="A754" s="12" t="s">
        <v>1043</v>
      </c>
      <c r="F754" s="24">
        <f t="shared" si="266"/>
        <v>0</v>
      </c>
      <c r="G754" s="24" t="e">
        <f t="shared" si="265"/>
        <v>#DIV/0!</v>
      </c>
      <c r="Q754" s="29" t="str">
        <f t="shared" si="267"/>
        <v>NA</v>
      </c>
      <c r="R754" s="29" t="str">
        <f t="shared" si="268"/>
        <v>NA</v>
      </c>
      <c r="S754" s="29" t="str">
        <f t="shared" si="269"/>
        <v>NA</v>
      </c>
      <c r="T754" s="29" t="str">
        <f t="shared" si="270"/>
        <v>NA</v>
      </c>
      <c r="U754" s="29" t="str">
        <f t="shared" si="271"/>
        <v>NA</v>
      </c>
      <c r="V754" s="29" t="str">
        <f t="shared" si="272"/>
        <v>NA</v>
      </c>
      <c r="W754" s="29" t="str">
        <f t="shared" si="273"/>
        <v>NA</v>
      </c>
      <c r="X754" s="29" t="str">
        <f t="shared" si="274"/>
        <v>NA</v>
      </c>
      <c r="Y754" s="29" t="str">
        <f t="shared" si="275"/>
        <v>NA</v>
      </c>
      <c r="Z754" s="29" t="str">
        <f t="shared" si="276"/>
        <v>NA</v>
      </c>
      <c r="AA754" s="29" t="str">
        <f t="shared" si="277"/>
        <v>NA</v>
      </c>
      <c r="AB754" s="29" t="str">
        <f t="shared" si="278"/>
        <v>NA</v>
      </c>
      <c r="AC754" s="29" t="str">
        <f t="shared" si="279"/>
        <v>NA</v>
      </c>
      <c r="AD754" s="29" t="str">
        <f t="shared" si="280"/>
        <v>NA</v>
      </c>
      <c r="AE754" s="29" t="str">
        <f t="shared" si="281"/>
        <v>NA</v>
      </c>
      <c r="AF754" s="29" t="str">
        <f t="shared" si="282"/>
        <v>NA</v>
      </c>
      <c r="AG754" s="29" t="str">
        <f t="shared" si="283"/>
        <v>NA</v>
      </c>
      <c r="AH754" s="29" t="str">
        <f t="shared" si="284"/>
        <v>NA</v>
      </c>
    </row>
    <row r="755" customHeight="1" spans="1:34">
      <c r="A755" s="12" t="s">
        <v>1043</v>
      </c>
      <c r="F755" s="24">
        <f t="shared" si="266"/>
        <v>0</v>
      </c>
      <c r="G755" s="24" t="e">
        <f t="shared" si="265"/>
        <v>#DIV/0!</v>
      </c>
      <c r="Q755" s="29" t="str">
        <f t="shared" si="267"/>
        <v>NA</v>
      </c>
      <c r="R755" s="29" t="str">
        <f t="shared" si="268"/>
        <v>NA</v>
      </c>
      <c r="S755" s="29" t="str">
        <f t="shared" si="269"/>
        <v>NA</v>
      </c>
      <c r="T755" s="29" t="str">
        <f t="shared" si="270"/>
        <v>NA</v>
      </c>
      <c r="U755" s="29" t="str">
        <f t="shared" si="271"/>
        <v>NA</v>
      </c>
      <c r="V755" s="29" t="str">
        <f t="shared" si="272"/>
        <v>NA</v>
      </c>
      <c r="W755" s="29" t="str">
        <f t="shared" si="273"/>
        <v>NA</v>
      </c>
      <c r="X755" s="29" t="str">
        <f t="shared" si="274"/>
        <v>NA</v>
      </c>
      <c r="Y755" s="29" t="str">
        <f t="shared" si="275"/>
        <v>NA</v>
      </c>
      <c r="Z755" s="29" t="str">
        <f t="shared" si="276"/>
        <v>NA</v>
      </c>
      <c r="AA755" s="29" t="str">
        <f t="shared" si="277"/>
        <v>NA</v>
      </c>
      <c r="AB755" s="29" t="str">
        <f t="shared" si="278"/>
        <v>NA</v>
      </c>
      <c r="AC755" s="29" t="str">
        <f t="shared" si="279"/>
        <v>NA</v>
      </c>
      <c r="AD755" s="29" t="str">
        <f t="shared" si="280"/>
        <v>NA</v>
      </c>
      <c r="AE755" s="29" t="str">
        <f t="shared" si="281"/>
        <v>NA</v>
      </c>
      <c r="AF755" s="29" t="str">
        <f t="shared" si="282"/>
        <v>NA</v>
      </c>
      <c r="AG755" s="29" t="str">
        <f t="shared" si="283"/>
        <v>NA</v>
      </c>
      <c r="AH755" s="29" t="str">
        <f t="shared" si="284"/>
        <v>NA</v>
      </c>
    </row>
    <row r="756" customHeight="1" spans="1:34">
      <c r="A756" s="12" t="s">
        <v>1043</v>
      </c>
      <c r="F756" s="24">
        <f t="shared" si="266"/>
        <v>0</v>
      </c>
      <c r="G756" s="24" t="e">
        <f t="shared" si="265"/>
        <v>#DIV/0!</v>
      </c>
      <c r="Q756" s="29" t="str">
        <f t="shared" si="267"/>
        <v>NA</v>
      </c>
      <c r="R756" s="29" t="str">
        <f t="shared" si="268"/>
        <v>NA</v>
      </c>
      <c r="S756" s="29" t="str">
        <f t="shared" si="269"/>
        <v>NA</v>
      </c>
      <c r="T756" s="29" t="str">
        <f t="shared" si="270"/>
        <v>NA</v>
      </c>
      <c r="U756" s="29" t="str">
        <f t="shared" si="271"/>
        <v>NA</v>
      </c>
      <c r="V756" s="29" t="str">
        <f t="shared" si="272"/>
        <v>NA</v>
      </c>
      <c r="W756" s="29" t="str">
        <f t="shared" si="273"/>
        <v>NA</v>
      </c>
      <c r="X756" s="29" t="str">
        <f t="shared" si="274"/>
        <v>NA</v>
      </c>
      <c r="Y756" s="29" t="str">
        <f t="shared" si="275"/>
        <v>NA</v>
      </c>
      <c r="Z756" s="29" t="str">
        <f t="shared" si="276"/>
        <v>NA</v>
      </c>
      <c r="AA756" s="29" t="str">
        <f t="shared" si="277"/>
        <v>NA</v>
      </c>
      <c r="AB756" s="29" t="str">
        <f t="shared" si="278"/>
        <v>NA</v>
      </c>
      <c r="AC756" s="29" t="str">
        <f t="shared" si="279"/>
        <v>NA</v>
      </c>
      <c r="AD756" s="29" t="str">
        <f t="shared" si="280"/>
        <v>NA</v>
      </c>
      <c r="AE756" s="29" t="str">
        <f t="shared" si="281"/>
        <v>NA</v>
      </c>
      <c r="AF756" s="29" t="str">
        <f t="shared" si="282"/>
        <v>NA</v>
      </c>
      <c r="AG756" s="29" t="str">
        <f t="shared" si="283"/>
        <v>NA</v>
      </c>
      <c r="AH756" s="29" t="str">
        <f t="shared" si="284"/>
        <v>NA</v>
      </c>
    </row>
    <row r="757" customHeight="1" spans="1:34">
      <c r="A757" s="12" t="s">
        <v>1043</v>
      </c>
      <c r="F757" s="24">
        <f t="shared" si="266"/>
        <v>0</v>
      </c>
      <c r="G757" s="24" t="e">
        <f t="shared" si="265"/>
        <v>#DIV/0!</v>
      </c>
      <c r="Q757" s="29" t="str">
        <f t="shared" si="267"/>
        <v>NA</v>
      </c>
      <c r="R757" s="29" t="str">
        <f t="shared" si="268"/>
        <v>NA</v>
      </c>
      <c r="S757" s="29" t="str">
        <f t="shared" si="269"/>
        <v>NA</v>
      </c>
      <c r="T757" s="29" t="str">
        <f t="shared" si="270"/>
        <v>NA</v>
      </c>
      <c r="U757" s="29" t="str">
        <f t="shared" si="271"/>
        <v>NA</v>
      </c>
      <c r="V757" s="29" t="str">
        <f t="shared" si="272"/>
        <v>NA</v>
      </c>
      <c r="W757" s="29" t="str">
        <f t="shared" si="273"/>
        <v>NA</v>
      </c>
      <c r="X757" s="29" t="str">
        <f t="shared" si="274"/>
        <v>NA</v>
      </c>
      <c r="Y757" s="29" t="str">
        <f t="shared" si="275"/>
        <v>NA</v>
      </c>
      <c r="Z757" s="29" t="str">
        <f t="shared" si="276"/>
        <v>NA</v>
      </c>
      <c r="AA757" s="29" t="str">
        <f t="shared" si="277"/>
        <v>NA</v>
      </c>
      <c r="AB757" s="29" t="str">
        <f t="shared" si="278"/>
        <v>NA</v>
      </c>
      <c r="AC757" s="29" t="str">
        <f t="shared" si="279"/>
        <v>NA</v>
      </c>
      <c r="AD757" s="29" t="str">
        <f t="shared" si="280"/>
        <v>NA</v>
      </c>
      <c r="AE757" s="29" t="str">
        <f t="shared" si="281"/>
        <v>NA</v>
      </c>
      <c r="AF757" s="29" t="str">
        <f t="shared" si="282"/>
        <v>NA</v>
      </c>
      <c r="AG757" s="29" t="str">
        <f t="shared" si="283"/>
        <v>NA</v>
      </c>
      <c r="AH757" s="29" t="str">
        <f t="shared" si="284"/>
        <v>NA</v>
      </c>
    </row>
    <row r="758" customHeight="1" spans="1:34">
      <c r="A758" s="12" t="s">
        <v>1043</v>
      </c>
      <c r="F758" s="24">
        <f t="shared" si="266"/>
        <v>0</v>
      </c>
      <c r="G758" s="24" t="e">
        <f t="shared" si="265"/>
        <v>#DIV/0!</v>
      </c>
      <c r="Q758" s="29" t="str">
        <f t="shared" si="267"/>
        <v>NA</v>
      </c>
      <c r="R758" s="29" t="str">
        <f t="shared" si="268"/>
        <v>NA</v>
      </c>
      <c r="S758" s="29" t="str">
        <f t="shared" si="269"/>
        <v>NA</v>
      </c>
      <c r="T758" s="29" t="str">
        <f t="shared" si="270"/>
        <v>NA</v>
      </c>
      <c r="U758" s="29" t="str">
        <f t="shared" si="271"/>
        <v>NA</v>
      </c>
      <c r="V758" s="29" t="str">
        <f t="shared" si="272"/>
        <v>NA</v>
      </c>
      <c r="W758" s="29" t="str">
        <f t="shared" si="273"/>
        <v>NA</v>
      </c>
      <c r="X758" s="29" t="str">
        <f t="shared" si="274"/>
        <v>NA</v>
      </c>
      <c r="Y758" s="29" t="str">
        <f t="shared" si="275"/>
        <v>NA</v>
      </c>
      <c r="Z758" s="29" t="str">
        <f t="shared" si="276"/>
        <v>NA</v>
      </c>
      <c r="AA758" s="29" t="str">
        <f t="shared" si="277"/>
        <v>NA</v>
      </c>
      <c r="AB758" s="29" t="str">
        <f t="shared" si="278"/>
        <v>NA</v>
      </c>
      <c r="AC758" s="29" t="str">
        <f t="shared" si="279"/>
        <v>NA</v>
      </c>
      <c r="AD758" s="29" t="str">
        <f t="shared" si="280"/>
        <v>NA</v>
      </c>
      <c r="AE758" s="29" t="str">
        <f t="shared" si="281"/>
        <v>NA</v>
      </c>
      <c r="AF758" s="29" t="str">
        <f t="shared" si="282"/>
        <v>NA</v>
      </c>
      <c r="AG758" s="29" t="str">
        <f t="shared" si="283"/>
        <v>NA</v>
      </c>
      <c r="AH758" s="29" t="str">
        <f t="shared" si="284"/>
        <v>NA</v>
      </c>
    </row>
    <row r="759" customHeight="1" spans="1:34">
      <c r="A759" s="12" t="s">
        <v>1043</v>
      </c>
      <c r="F759" s="24">
        <f t="shared" si="266"/>
        <v>0</v>
      </c>
      <c r="G759" s="24" t="e">
        <f t="shared" si="265"/>
        <v>#DIV/0!</v>
      </c>
      <c r="Q759" s="29" t="str">
        <f t="shared" si="267"/>
        <v>NA</v>
      </c>
      <c r="R759" s="29" t="str">
        <f t="shared" si="268"/>
        <v>NA</v>
      </c>
      <c r="S759" s="29" t="str">
        <f t="shared" si="269"/>
        <v>NA</v>
      </c>
      <c r="T759" s="29" t="str">
        <f t="shared" si="270"/>
        <v>NA</v>
      </c>
      <c r="U759" s="29" t="str">
        <f t="shared" si="271"/>
        <v>NA</v>
      </c>
      <c r="V759" s="29" t="str">
        <f t="shared" si="272"/>
        <v>NA</v>
      </c>
      <c r="W759" s="29" t="str">
        <f t="shared" si="273"/>
        <v>NA</v>
      </c>
      <c r="X759" s="29" t="str">
        <f t="shared" si="274"/>
        <v>NA</v>
      </c>
      <c r="Y759" s="29" t="str">
        <f t="shared" si="275"/>
        <v>NA</v>
      </c>
      <c r="Z759" s="29" t="str">
        <f t="shared" si="276"/>
        <v>NA</v>
      </c>
      <c r="AA759" s="29" t="str">
        <f t="shared" si="277"/>
        <v>NA</v>
      </c>
      <c r="AB759" s="29" t="str">
        <f t="shared" si="278"/>
        <v>NA</v>
      </c>
      <c r="AC759" s="29" t="str">
        <f t="shared" si="279"/>
        <v>NA</v>
      </c>
      <c r="AD759" s="29" t="str">
        <f t="shared" si="280"/>
        <v>NA</v>
      </c>
      <c r="AE759" s="29" t="str">
        <f t="shared" si="281"/>
        <v>NA</v>
      </c>
      <c r="AF759" s="29" t="str">
        <f t="shared" si="282"/>
        <v>NA</v>
      </c>
      <c r="AG759" s="29" t="str">
        <f t="shared" si="283"/>
        <v>NA</v>
      </c>
      <c r="AH759" s="29" t="str">
        <f t="shared" si="284"/>
        <v>NA</v>
      </c>
    </row>
    <row r="760" customHeight="1" spans="1:34">
      <c r="A760" s="12" t="s">
        <v>1043</v>
      </c>
      <c r="F760" s="24">
        <f t="shared" si="266"/>
        <v>0</v>
      </c>
      <c r="G760" s="24" t="e">
        <f t="shared" si="265"/>
        <v>#DIV/0!</v>
      </c>
      <c r="Q760" s="29" t="str">
        <f t="shared" si="267"/>
        <v>NA</v>
      </c>
      <c r="R760" s="29" t="str">
        <f t="shared" si="268"/>
        <v>NA</v>
      </c>
      <c r="S760" s="29" t="str">
        <f t="shared" si="269"/>
        <v>NA</v>
      </c>
      <c r="T760" s="29" t="str">
        <f t="shared" si="270"/>
        <v>NA</v>
      </c>
      <c r="U760" s="29" t="str">
        <f t="shared" si="271"/>
        <v>NA</v>
      </c>
      <c r="V760" s="29" t="str">
        <f t="shared" si="272"/>
        <v>NA</v>
      </c>
      <c r="W760" s="29" t="str">
        <f t="shared" si="273"/>
        <v>NA</v>
      </c>
      <c r="X760" s="29" t="str">
        <f t="shared" si="274"/>
        <v>NA</v>
      </c>
      <c r="Y760" s="29" t="str">
        <f t="shared" si="275"/>
        <v>NA</v>
      </c>
      <c r="Z760" s="29" t="str">
        <f t="shared" si="276"/>
        <v>NA</v>
      </c>
      <c r="AA760" s="29" t="str">
        <f t="shared" si="277"/>
        <v>NA</v>
      </c>
      <c r="AB760" s="29" t="str">
        <f t="shared" si="278"/>
        <v>NA</v>
      </c>
      <c r="AC760" s="29" t="str">
        <f t="shared" si="279"/>
        <v>NA</v>
      </c>
      <c r="AD760" s="29" t="str">
        <f t="shared" si="280"/>
        <v>NA</v>
      </c>
      <c r="AE760" s="29" t="str">
        <f t="shared" si="281"/>
        <v>NA</v>
      </c>
      <c r="AF760" s="29" t="str">
        <f t="shared" si="282"/>
        <v>NA</v>
      </c>
      <c r="AG760" s="29" t="str">
        <f t="shared" si="283"/>
        <v>NA</v>
      </c>
      <c r="AH760" s="29" t="str">
        <f t="shared" si="284"/>
        <v>NA</v>
      </c>
    </row>
    <row r="761" customHeight="1" spans="1:34">
      <c r="A761" s="12" t="s">
        <v>1043</v>
      </c>
      <c r="F761" s="24">
        <f t="shared" si="266"/>
        <v>0</v>
      </c>
      <c r="G761" s="24" t="e">
        <f t="shared" si="265"/>
        <v>#DIV/0!</v>
      </c>
      <c r="Q761" s="29" t="str">
        <f t="shared" si="267"/>
        <v>NA</v>
      </c>
      <c r="R761" s="29" t="str">
        <f t="shared" si="268"/>
        <v>NA</v>
      </c>
      <c r="S761" s="29" t="str">
        <f t="shared" si="269"/>
        <v>NA</v>
      </c>
      <c r="T761" s="29" t="str">
        <f t="shared" si="270"/>
        <v>NA</v>
      </c>
      <c r="U761" s="29" t="str">
        <f t="shared" si="271"/>
        <v>NA</v>
      </c>
      <c r="V761" s="29" t="str">
        <f t="shared" si="272"/>
        <v>NA</v>
      </c>
      <c r="W761" s="29" t="str">
        <f t="shared" si="273"/>
        <v>NA</v>
      </c>
      <c r="X761" s="29" t="str">
        <f t="shared" si="274"/>
        <v>NA</v>
      </c>
      <c r="Y761" s="29" t="str">
        <f t="shared" si="275"/>
        <v>NA</v>
      </c>
      <c r="Z761" s="29" t="str">
        <f t="shared" si="276"/>
        <v>NA</v>
      </c>
      <c r="AA761" s="29" t="str">
        <f t="shared" si="277"/>
        <v>NA</v>
      </c>
      <c r="AB761" s="29" t="str">
        <f t="shared" si="278"/>
        <v>NA</v>
      </c>
      <c r="AC761" s="29" t="str">
        <f t="shared" si="279"/>
        <v>NA</v>
      </c>
      <c r="AD761" s="29" t="str">
        <f t="shared" si="280"/>
        <v>NA</v>
      </c>
      <c r="AE761" s="29" t="str">
        <f t="shared" si="281"/>
        <v>NA</v>
      </c>
      <c r="AF761" s="29" t="str">
        <f t="shared" si="282"/>
        <v>NA</v>
      </c>
      <c r="AG761" s="29" t="str">
        <f t="shared" si="283"/>
        <v>NA</v>
      </c>
      <c r="AH761" s="29" t="str">
        <f t="shared" si="284"/>
        <v>NA</v>
      </c>
    </row>
    <row r="762" customHeight="1" spans="1:34">
      <c r="A762" s="12" t="s">
        <v>1043</v>
      </c>
      <c r="F762" s="24">
        <f t="shared" si="266"/>
        <v>0</v>
      </c>
      <c r="G762" s="24" t="e">
        <f t="shared" si="265"/>
        <v>#DIV/0!</v>
      </c>
      <c r="Q762" s="29" t="str">
        <f t="shared" si="267"/>
        <v>NA</v>
      </c>
      <c r="R762" s="29" t="str">
        <f t="shared" si="268"/>
        <v>NA</v>
      </c>
      <c r="S762" s="29" t="str">
        <f t="shared" si="269"/>
        <v>NA</v>
      </c>
      <c r="T762" s="29" t="str">
        <f t="shared" si="270"/>
        <v>NA</v>
      </c>
      <c r="U762" s="29" t="str">
        <f t="shared" si="271"/>
        <v>NA</v>
      </c>
      <c r="V762" s="29" t="str">
        <f t="shared" si="272"/>
        <v>NA</v>
      </c>
      <c r="W762" s="29" t="str">
        <f t="shared" si="273"/>
        <v>NA</v>
      </c>
      <c r="X762" s="29" t="str">
        <f t="shared" si="274"/>
        <v>NA</v>
      </c>
      <c r="Y762" s="29" t="str">
        <f t="shared" si="275"/>
        <v>NA</v>
      </c>
      <c r="Z762" s="29" t="str">
        <f t="shared" si="276"/>
        <v>NA</v>
      </c>
      <c r="AA762" s="29" t="str">
        <f t="shared" si="277"/>
        <v>NA</v>
      </c>
      <c r="AB762" s="29" t="str">
        <f t="shared" si="278"/>
        <v>NA</v>
      </c>
      <c r="AC762" s="29" t="str">
        <f t="shared" si="279"/>
        <v>NA</v>
      </c>
      <c r="AD762" s="29" t="str">
        <f t="shared" si="280"/>
        <v>NA</v>
      </c>
      <c r="AE762" s="29" t="str">
        <f t="shared" si="281"/>
        <v>NA</v>
      </c>
      <c r="AF762" s="29" t="str">
        <f t="shared" si="282"/>
        <v>NA</v>
      </c>
      <c r="AG762" s="29" t="str">
        <f t="shared" si="283"/>
        <v>NA</v>
      </c>
      <c r="AH762" s="29" t="str">
        <f t="shared" si="284"/>
        <v>NA</v>
      </c>
    </row>
    <row r="763" customHeight="1" spans="1:34">
      <c r="A763" s="12" t="s">
        <v>1043</v>
      </c>
      <c r="F763" s="24">
        <f t="shared" si="266"/>
        <v>0</v>
      </c>
      <c r="G763" s="24" t="e">
        <f t="shared" si="265"/>
        <v>#DIV/0!</v>
      </c>
      <c r="Q763" s="29" t="str">
        <f t="shared" si="267"/>
        <v>NA</v>
      </c>
      <c r="R763" s="29" t="str">
        <f t="shared" si="268"/>
        <v>NA</v>
      </c>
      <c r="S763" s="29" t="str">
        <f t="shared" si="269"/>
        <v>NA</v>
      </c>
      <c r="T763" s="29" t="str">
        <f t="shared" si="270"/>
        <v>NA</v>
      </c>
      <c r="U763" s="29" t="str">
        <f t="shared" si="271"/>
        <v>NA</v>
      </c>
      <c r="V763" s="29" t="str">
        <f t="shared" si="272"/>
        <v>NA</v>
      </c>
      <c r="W763" s="29" t="str">
        <f t="shared" si="273"/>
        <v>NA</v>
      </c>
      <c r="X763" s="29" t="str">
        <f t="shared" si="274"/>
        <v>NA</v>
      </c>
      <c r="Y763" s="29" t="str">
        <f t="shared" si="275"/>
        <v>NA</v>
      </c>
      <c r="Z763" s="29" t="str">
        <f t="shared" si="276"/>
        <v>NA</v>
      </c>
      <c r="AA763" s="29" t="str">
        <f t="shared" si="277"/>
        <v>NA</v>
      </c>
      <c r="AB763" s="29" t="str">
        <f t="shared" si="278"/>
        <v>NA</v>
      </c>
      <c r="AC763" s="29" t="str">
        <f t="shared" si="279"/>
        <v>NA</v>
      </c>
      <c r="AD763" s="29" t="str">
        <f t="shared" si="280"/>
        <v>NA</v>
      </c>
      <c r="AE763" s="29" t="str">
        <f t="shared" si="281"/>
        <v>NA</v>
      </c>
      <c r="AF763" s="29" t="str">
        <f t="shared" si="282"/>
        <v>NA</v>
      </c>
      <c r="AG763" s="29" t="str">
        <f t="shared" si="283"/>
        <v>NA</v>
      </c>
      <c r="AH763" s="29" t="str">
        <f t="shared" si="284"/>
        <v>NA</v>
      </c>
    </row>
    <row r="764" customHeight="1" spans="1:34">
      <c r="A764" s="12" t="s">
        <v>1043</v>
      </c>
      <c r="F764" s="24">
        <f t="shared" si="266"/>
        <v>0</v>
      </c>
      <c r="G764" s="24" t="e">
        <f t="shared" si="265"/>
        <v>#DIV/0!</v>
      </c>
      <c r="Q764" s="29" t="str">
        <f t="shared" si="267"/>
        <v>NA</v>
      </c>
      <c r="R764" s="29" t="str">
        <f t="shared" si="268"/>
        <v>NA</v>
      </c>
      <c r="S764" s="29" t="str">
        <f t="shared" si="269"/>
        <v>NA</v>
      </c>
      <c r="T764" s="29" t="str">
        <f t="shared" si="270"/>
        <v>NA</v>
      </c>
      <c r="U764" s="29" t="str">
        <f t="shared" si="271"/>
        <v>NA</v>
      </c>
      <c r="V764" s="29" t="str">
        <f t="shared" si="272"/>
        <v>NA</v>
      </c>
      <c r="W764" s="29" t="str">
        <f t="shared" si="273"/>
        <v>NA</v>
      </c>
      <c r="X764" s="29" t="str">
        <f t="shared" si="274"/>
        <v>NA</v>
      </c>
      <c r="Y764" s="29" t="str">
        <f t="shared" si="275"/>
        <v>NA</v>
      </c>
      <c r="Z764" s="29" t="str">
        <f t="shared" si="276"/>
        <v>NA</v>
      </c>
      <c r="AA764" s="29" t="str">
        <f t="shared" si="277"/>
        <v>NA</v>
      </c>
      <c r="AB764" s="29" t="str">
        <f t="shared" si="278"/>
        <v>NA</v>
      </c>
      <c r="AC764" s="29" t="str">
        <f t="shared" si="279"/>
        <v>NA</v>
      </c>
      <c r="AD764" s="29" t="str">
        <f t="shared" si="280"/>
        <v>NA</v>
      </c>
      <c r="AE764" s="29" t="str">
        <f t="shared" si="281"/>
        <v>NA</v>
      </c>
      <c r="AF764" s="29" t="str">
        <f t="shared" si="282"/>
        <v>NA</v>
      </c>
      <c r="AG764" s="29" t="str">
        <f t="shared" si="283"/>
        <v>NA</v>
      </c>
      <c r="AH764" s="29" t="str">
        <f t="shared" si="284"/>
        <v>NA</v>
      </c>
    </row>
    <row r="765" customHeight="1" spans="1:34">
      <c r="A765" s="12" t="s">
        <v>1043</v>
      </c>
      <c r="F765" s="24">
        <f t="shared" si="266"/>
        <v>0</v>
      </c>
      <c r="G765" s="24" t="e">
        <f t="shared" si="265"/>
        <v>#DIV/0!</v>
      </c>
      <c r="Q765" s="29" t="str">
        <f t="shared" si="267"/>
        <v>NA</v>
      </c>
      <c r="R765" s="29" t="str">
        <f t="shared" si="268"/>
        <v>NA</v>
      </c>
      <c r="S765" s="29" t="str">
        <f t="shared" si="269"/>
        <v>NA</v>
      </c>
      <c r="T765" s="29" t="str">
        <f t="shared" si="270"/>
        <v>NA</v>
      </c>
      <c r="U765" s="29" t="str">
        <f t="shared" si="271"/>
        <v>NA</v>
      </c>
      <c r="V765" s="29" t="str">
        <f t="shared" si="272"/>
        <v>NA</v>
      </c>
      <c r="W765" s="29" t="str">
        <f t="shared" si="273"/>
        <v>NA</v>
      </c>
      <c r="X765" s="29" t="str">
        <f t="shared" si="274"/>
        <v>NA</v>
      </c>
      <c r="Y765" s="29" t="str">
        <f t="shared" si="275"/>
        <v>NA</v>
      </c>
      <c r="Z765" s="29" t="str">
        <f t="shared" si="276"/>
        <v>NA</v>
      </c>
      <c r="AA765" s="29" t="str">
        <f t="shared" si="277"/>
        <v>NA</v>
      </c>
      <c r="AB765" s="29" t="str">
        <f t="shared" si="278"/>
        <v>NA</v>
      </c>
      <c r="AC765" s="29" t="str">
        <f t="shared" si="279"/>
        <v>NA</v>
      </c>
      <c r="AD765" s="29" t="str">
        <f t="shared" si="280"/>
        <v>NA</v>
      </c>
      <c r="AE765" s="29" t="str">
        <f t="shared" si="281"/>
        <v>NA</v>
      </c>
      <c r="AF765" s="29" t="str">
        <f t="shared" si="282"/>
        <v>NA</v>
      </c>
      <c r="AG765" s="29" t="str">
        <f t="shared" si="283"/>
        <v>NA</v>
      </c>
      <c r="AH765" s="29" t="str">
        <f t="shared" si="284"/>
        <v>NA</v>
      </c>
    </row>
    <row r="766" customHeight="1" spans="1:34">
      <c r="A766" s="12" t="s">
        <v>1043</v>
      </c>
      <c r="F766" s="24">
        <f t="shared" si="266"/>
        <v>0</v>
      </c>
      <c r="G766" s="24" t="e">
        <f t="shared" si="265"/>
        <v>#DIV/0!</v>
      </c>
      <c r="Q766" s="29" t="str">
        <f t="shared" si="267"/>
        <v>NA</v>
      </c>
      <c r="R766" s="29" t="str">
        <f t="shared" si="268"/>
        <v>NA</v>
      </c>
      <c r="S766" s="29" t="str">
        <f t="shared" si="269"/>
        <v>NA</v>
      </c>
      <c r="T766" s="29" t="str">
        <f t="shared" si="270"/>
        <v>NA</v>
      </c>
      <c r="U766" s="29" t="str">
        <f t="shared" si="271"/>
        <v>NA</v>
      </c>
      <c r="V766" s="29" t="str">
        <f t="shared" si="272"/>
        <v>NA</v>
      </c>
      <c r="W766" s="29" t="str">
        <f t="shared" si="273"/>
        <v>NA</v>
      </c>
      <c r="X766" s="29" t="str">
        <f t="shared" si="274"/>
        <v>NA</v>
      </c>
      <c r="Y766" s="29" t="str">
        <f t="shared" si="275"/>
        <v>NA</v>
      </c>
      <c r="Z766" s="29" t="str">
        <f t="shared" si="276"/>
        <v>NA</v>
      </c>
      <c r="AA766" s="29" t="str">
        <f t="shared" si="277"/>
        <v>NA</v>
      </c>
      <c r="AB766" s="29" t="str">
        <f t="shared" si="278"/>
        <v>NA</v>
      </c>
      <c r="AC766" s="29" t="str">
        <f t="shared" si="279"/>
        <v>NA</v>
      </c>
      <c r="AD766" s="29" t="str">
        <f t="shared" si="280"/>
        <v>NA</v>
      </c>
      <c r="AE766" s="29" t="str">
        <f t="shared" si="281"/>
        <v>NA</v>
      </c>
      <c r="AF766" s="29" t="str">
        <f t="shared" si="282"/>
        <v>NA</v>
      </c>
      <c r="AG766" s="29" t="str">
        <f t="shared" si="283"/>
        <v>NA</v>
      </c>
      <c r="AH766" s="29" t="str">
        <f t="shared" si="284"/>
        <v>NA</v>
      </c>
    </row>
    <row r="767" customHeight="1" spans="1:34">
      <c r="A767" s="12" t="s">
        <v>1043</v>
      </c>
      <c r="F767" s="24">
        <f t="shared" si="266"/>
        <v>0</v>
      </c>
      <c r="G767" s="24" t="e">
        <f t="shared" si="265"/>
        <v>#DIV/0!</v>
      </c>
      <c r="Q767" s="29" t="str">
        <f t="shared" si="267"/>
        <v>NA</v>
      </c>
      <c r="R767" s="29" t="str">
        <f t="shared" si="268"/>
        <v>NA</v>
      </c>
      <c r="S767" s="29" t="str">
        <f t="shared" si="269"/>
        <v>NA</v>
      </c>
      <c r="T767" s="29" t="str">
        <f t="shared" si="270"/>
        <v>NA</v>
      </c>
      <c r="U767" s="29" t="str">
        <f t="shared" si="271"/>
        <v>NA</v>
      </c>
      <c r="V767" s="29" t="str">
        <f t="shared" si="272"/>
        <v>NA</v>
      </c>
      <c r="W767" s="29" t="str">
        <f t="shared" si="273"/>
        <v>NA</v>
      </c>
      <c r="X767" s="29" t="str">
        <f t="shared" si="274"/>
        <v>NA</v>
      </c>
      <c r="Y767" s="29" t="str">
        <f t="shared" si="275"/>
        <v>NA</v>
      </c>
      <c r="Z767" s="29" t="str">
        <f t="shared" si="276"/>
        <v>NA</v>
      </c>
      <c r="AA767" s="29" t="str">
        <f t="shared" si="277"/>
        <v>NA</v>
      </c>
      <c r="AB767" s="29" t="str">
        <f t="shared" si="278"/>
        <v>NA</v>
      </c>
      <c r="AC767" s="29" t="str">
        <f t="shared" si="279"/>
        <v>NA</v>
      </c>
      <c r="AD767" s="29" t="str">
        <f t="shared" si="280"/>
        <v>NA</v>
      </c>
      <c r="AE767" s="29" t="str">
        <f t="shared" si="281"/>
        <v>NA</v>
      </c>
      <c r="AF767" s="29" t="str">
        <f t="shared" si="282"/>
        <v>NA</v>
      </c>
      <c r="AG767" s="29" t="str">
        <f t="shared" si="283"/>
        <v>NA</v>
      </c>
      <c r="AH767" s="29" t="str">
        <f t="shared" si="284"/>
        <v>NA</v>
      </c>
    </row>
    <row r="768" customHeight="1" spans="1:34">
      <c r="A768" s="12" t="s">
        <v>1043</v>
      </c>
      <c r="F768" s="24">
        <f t="shared" si="266"/>
        <v>0</v>
      </c>
      <c r="G768" s="24" t="e">
        <f t="shared" si="265"/>
        <v>#DIV/0!</v>
      </c>
      <c r="Q768" s="29" t="str">
        <f t="shared" si="267"/>
        <v>NA</v>
      </c>
      <c r="R768" s="29" t="str">
        <f t="shared" si="268"/>
        <v>NA</v>
      </c>
      <c r="S768" s="29" t="str">
        <f t="shared" si="269"/>
        <v>NA</v>
      </c>
      <c r="T768" s="29" t="str">
        <f t="shared" si="270"/>
        <v>NA</v>
      </c>
      <c r="U768" s="29" t="str">
        <f t="shared" si="271"/>
        <v>NA</v>
      </c>
      <c r="V768" s="29" t="str">
        <f t="shared" si="272"/>
        <v>NA</v>
      </c>
      <c r="W768" s="29" t="str">
        <f t="shared" si="273"/>
        <v>NA</v>
      </c>
      <c r="X768" s="29" t="str">
        <f t="shared" si="274"/>
        <v>NA</v>
      </c>
      <c r="Y768" s="29" t="str">
        <f t="shared" si="275"/>
        <v>NA</v>
      </c>
      <c r="Z768" s="29" t="str">
        <f t="shared" si="276"/>
        <v>NA</v>
      </c>
      <c r="AA768" s="29" t="str">
        <f t="shared" si="277"/>
        <v>NA</v>
      </c>
      <c r="AB768" s="29" t="str">
        <f t="shared" si="278"/>
        <v>NA</v>
      </c>
      <c r="AC768" s="29" t="str">
        <f t="shared" si="279"/>
        <v>NA</v>
      </c>
      <c r="AD768" s="29" t="str">
        <f t="shared" si="280"/>
        <v>NA</v>
      </c>
      <c r="AE768" s="29" t="str">
        <f t="shared" si="281"/>
        <v>NA</v>
      </c>
      <c r="AF768" s="29" t="str">
        <f t="shared" si="282"/>
        <v>NA</v>
      </c>
      <c r="AG768" s="29" t="str">
        <f t="shared" si="283"/>
        <v>NA</v>
      </c>
      <c r="AH768" s="29" t="str">
        <f t="shared" si="284"/>
        <v>NA</v>
      </c>
    </row>
    <row r="769" customHeight="1" spans="1:34">
      <c r="A769" s="12" t="s">
        <v>1043</v>
      </c>
      <c r="F769" s="24">
        <f t="shared" si="266"/>
        <v>0</v>
      </c>
      <c r="G769" s="24" t="e">
        <f t="shared" si="265"/>
        <v>#DIV/0!</v>
      </c>
      <c r="Q769" s="29" t="str">
        <f t="shared" si="267"/>
        <v>NA</v>
      </c>
      <c r="R769" s="29" t="str">
        <f t="shared" si="268"/>
        <v>NA</v>
      </c>
      <c r="S769" s="29" t="str">
        <f t="shared" si="269"/>
        <v>NA</v>
      </c>
      <c r="T769" s="29" t="str">
        <f t="shared" si="270"/>
        <v>NA</v>
      </c>
      <c r="U769" s="29" t="str">
        <f t="shared" si="271"/>
        <v>NA</v>
      </c>
      <c r="V769" s="29" t="str">
        <f t="shared" si="272"/>
        <v>NA</v>
      </c>
      <c r="W769" s="29" t="str">
        <f t="shared" si="273"/>
        <v>NA</v>
      </c>
      <c r="X769" s="29" t="str">
        <f t="shared" si="274"/>
        <v>NA</v>
      </c>
      <c r="Y769" s="29" t="str">
        <f t="shared" si="275"/>
        <v>NA</v>
      </c>
      <c r="Z769" s="29" t="str">
        <f t="shared" si="276"/>
        <v>NA</v>
      </c>
      <c r="AA769" s="29" t="str">
        <f t="shared" si="277"/>
        <v>NA</v>
      </c>
      <c r="AB769" s="29" t="str">
        <f t="shared" si="278"/>
        <v>NA</v>
      </c>
      <c r="AC769" s="29" t="str">
        <f t="shared" si="279"/>
        <v>NA</v>
      </c>
      <c r="AD769" s="29" t="str">
        <f t="shared" si="280"/>
        <v>NA</v>
      </c>
      <c r="AE769" s="29" t="str">
        <f t="shared" si="281"/>
        <v>NA</v>
      </c>
      <c r="AF769" s="29" t="str">
        <f t="shared" si="282"/>
        <v>NA</v>
      </c>
      <c r="AG769" s="29" t="str">
        <f t="shared" si="283"/>
        <v>NA</v>
      </c>
      <c r="AH769" s="29" t="str">
        <f t="shared" si="284"/>
        <v>NA</v>
      </c>
    </row>
    <row r="770" customHeight="1" spans="1:34">
      <c r="A770" s="12" t="s">
        <v>1043</v>
      </c>
      <c r="F770" s="24">
        <f t="shared" si="266"/>
        <v>0</v>
      </c>
      <c r="G770" s="24" t="e">
        <f t="shared" si="265"/>
        <v>#DIV/0!</v>
      </c>
      <c r="Q770" s="29" t="str">
        <f t="shared" si="267"/>
        <v>NA</v>
      </c>
      <c r="R770" s="29" t="str">
        <f t="shared" si="268"/>
        <v>NA</v>
      </c>
      <c r="S770" s="29" t="str">
        <f t="shared" si="269"/>
        <v>NA</v>
      </c>
      <c r="T770" s="29" t="str">
        <f t="shared" si="270"/>
        <v>NA</v>
      </c>
      <c r="U770" s="29" t="str">
        <f t="shared" si="271"/>
        <v>NA</v>
      </c>
      <c r="V770" s="29" t="str">
        <f t="shared" si="272"/>
        <v>NA</v>
      </c>
      <c r="W770" s="29" t="str">
        <f t="shared" si="273"/>
        <v>NA</v>
      </c>
      <c r="X770" s="29" t="str">
        <f t="shared" si="274"/>
        <v>NA</v>
      </c>
      <c r="Y770" s="29" t="str">
        <f t="shared" si="275"/>
        <v>NA</v>
      </c>
      <c r="Z770" s="29" t="str">
        <f t="shared" si="276"/>
        <v>NA</v>
      </c>
      <c r="AA770" s="29" t="str">
        <f t="shared" si="277"/>
        <v>NA</v>
      </c>
      <c r="AB770" s="29" t="str">
        <f t="shared" si="278"/>
        <v>NA</v>
      </c>
      <c r="AC770" s="29" t="str">
        <f t="shared" si="279"/>
        <v>NA</v>
      </c>
      <c r="AD770" s="29" t="str">
        <f t="shared" si="280"/>
        <v>NA</v>
      </c>
      <c r="AE770" s="29" t="str">
        <f t="shared" si="281"/>
        <v>NA</v>
      </c>
      <c r="AF770" s="29" t="str">
        <f t="shared" si="282"/>
        <v>NA</v>
      </c>
      <c r="AG770" s="29" t="str">
        <f t="shared" si="283"/>
        <v>NA</v>
      </c>
      <c r="AH770" s="29" t="str">
        <f t="shared" si="284"/>
        <v>NA</v>
      </c>
    </row>
    <row r="771" customHeight="1" spans="1:34">
      <c r="A771" s="12" t="s">
        <v>1043</v>
      </c>
      <c r="F771" s="24">
        <f t="shared" si="266"/>
        <v>0</v>
      </c>
      <c r="G771" s="24" t="e">
        <f t="shared" si="265"/>
        <v>#DIV/0!</v>
      </c>
      <c r="Q771" s="29" t="str">
        <f t="shared" si="267"/>
        <v>NA</v>
      </c>
      <c r="R771" s="29" t="str">
        <f t="shared" si="268"/>
        <v>NA</v>
      </c>
      <c r="S771" s="29" t="str">
        <f t="shared" si="269"/>
        <v>NA</v>
      </c>
      <c r="T771" s="29" t="str">
        <f t="shared" si="270"/>
        <v>NA</v>
      </c>
      <c r="U771" s="29" t="str">
        <f t="shared" si="271"/>
        <v>NA</v>
      </c>
      <c r="V771" s="29" t="str">
        <f t="shared" si="272"/>
        <v>NA</v>
      </c>
      <c r="W771" s="29" t="str">
        <f t="shared" si="273"/>
        <v>NA</v>
      </c>
      <c r="X771" s="29" t="str">
        <f t="shared" si="274"/>
        <v>NA</v>
      </c>
      <c r="Y771" s="29" t="str">
        <f t="shared" si="275"/>
        <v>NA</v>
      </c>
      <c r="Z771" s="29" t="str">
        <f t="shared" si="276"/>
        <v>NA</v>
      </c>
      <c r="AA771" s="29" t="str">
        <f t="shared" si="277"/>
        <v>NA</v>
      </c>
      <c r="AB771" s="29" t="str">
        <f t="shared" si="278"/>
        <v>NA</v>
      </c>
      <c r="AC771" s="29" t="str">
        <f t="shared" si="279"/>
        <v>NA</v>
      </c>
      <c r="AD771" s="29" t="str">
        <f t="shared" si="280"/>
        <v>NA</v>
      </c>
      <c r="AE771" s="29" t="str">
        <f t="shared" si="281"/>
        <v>NA</v>
      </c>
      <c r="AF771" s="29" t="str">
        <f t="shared" si="282"/>
        <v>NA</v>
      </c>
      <c r="AG771" s="29" t="str">
        <f t="shared" si="283"/>
        <v>NA</v>
      </c>
      <c r="AH771" s="29" t="str">
        <f t="shared" si="284"/>
        <v>NA</v>
      </c>
    </row>
    <row r="772" customHeight="1" spans="1:34">
      <c r="A772" s="12" t="s">
        <v>1043</v>
      </c>
      <c r="F772" s="24">
        <f t="shared" si="266"/>
        <v>0</v>
      </c>
      <c r="G772" s="24" t="e">
        <f t="shared" si="265"/>
        <v>#DIV/0!</v>
      </c>
      <c r="Q772" s="29" t="str">
        <f t="shared" si="267"/>
        <v>NA</v>
      </c>
      <c r="R772" s="29" t="str">
        <f t="shared" si="268"/>
        <v>NA</v>
      </c>
      <c r="S772" s="29" t="str">
        <f t="shared" si="269"/>
        <v>NA</v>
      </c>
      <c r="T772" s="29" t="str">
        <f t="shared" si="270"/>
        <v>NA</v>
      </c>
      <c r="U772" s="29" t="str">
        <f t="shared" si="271"/>
        <v>NA</v>
      </c>
      <c r="V772" s="29" t="str">
        <f t="shared" si="272"/>
        <v>NA</v>
      </c>
      <c r="W772" s="29" t="str">
        <f t="shared" si="273"/>
        <v>NA</v>
      </c>
      <c r="X772" s="29" t="str">
        <f t="shared" si="274"/>
        <v>NA</v>
      </c>
      <c r="Y772" s="29" t="str">
        <f t="shared" si="275"/>
        <v>NA</v>
      </c>
      <c r="Z772" s="29" t="str">
        <f t="shared" si="276"/>
        <v>NA</v>
      </c>
      <c r="AA772" s="29" t="str">
        <f t="shared" si="277"/>
        <v>NA</v>
      </c>
      <c r="AB772" s="29" t="str">
        <f t="shared" si="278"/>
        <v>NA</v>
      </c>
      <c r="AC772" s="29" t="str">
        <f t="shared" si="279"/>
        <v>NA</v>
      </c>
      <c r="AD772" s="29" t="str">
        <f t="shared" si="280"/>
        <v>NA</v>
      </c>
      <c r="AE772" s="29" t="str">
        <f t="shared" si="281"/>
        <v>NA</v>
      </c>
      <c r="AF772" s="29" t="str">
        <f t="shared" si="282"/>
        <v>NA</v>
      </c>
      <c r="AG772" s="29" t="str">
        <f t="shared" si="283"/>
        <v>NA</v>
      </c>
      <c r="AH772" s="29" t="str">
        <f t="shared" si="284"/>
        <v>NA</v>
      </c>
    </row>
    <row r="773" customHeight="1" spans="1:34">
      <c r="A773" s="12" t="s">
        <v>1043</v>
      </c>
      <c r="F773" s="24">
        <f t="shared" si="266"/>
        <v>0</v>
      </c>
      <c r="G773" s="24" t="e">
        <f t="shared" ref="G773:G836" si="285">B773*D773/C773</f>
        <v>#DIV/0!</v>
      </c>
      <c r="Q773" s="29" t="str">
        <f t="shared" si="267"/>
        <v>NA</v>
      </c>
      <c r="R773" s="29" t="str">
        <f t="shared" si="268"/>
        <v>NA</v>
      </c>
      <c r="S773" s="29" t="str">
        <f t="shared" si="269"/>
        <v>NA</v>
      </c>
      <c r="T773" s="29" t="str">
        <f t="shared" si="270"/>
        <v>NA</v>
      </c>
      <c r="U773" s="29" t="str">
        <f t="shared" si="271"/>
        <v>NA</v>
      </c>
      <c r="V773" s="29" t="str">
        <f t="shared" si="272"/>
        <v>NA</v>
      </c>
      <c r="W773" s="29" t="str">
        <f t="shared" si="273"/>
        <v>NA</v>
      </c>
      <c r="X773" s="29" t="str">
        <f t="shared" si="274"/>
        <v>NA</v>
      </c>
      <c r="Y773" s="29" t="str">
        <f t="shared" si="275"/>
        <v>NA</v>
      </c>
      <c r="Z773" s="29" t="str">
        <f t="shared" si="276"/>
        <v>NA</v>
      </c>
      <c r="AA773" s="29" t="str">
        <f t="shared" si="277"/>
        <v>NA</v>
      </c>
      <c r="AB773" s="29" t="str">
        <f t="shared" si="278"/>
        <v>NA</v>
      </c>
      <c r="AC773" s="29" t="str">
        <f t="shared" si="279"/>
        <v>NA</v>
      </c>
      <c r="AD773" s="29" t="str">
        <f t="shared" si="280"/>
        <v>NA</v>
      </c>
      <c r="AE773" s="29" t="str">
        <f t="shared" si="281"/>
        <v>NA</v>
      </c>
      <c r="AF773" s="29" t="str">
        <f t="shared" si="282"/>
        <v>NA</v>
      </c>
      <c r="AG773" s="29" t="str">
        <f t="shared" si="283"/>
        <v>NA</v>
      </c>
      <c r="AH773" s="29" t="str">
        <f t="shared" si="284"/>
        <v>NA</v>
      </c>
    </row>
    <row r="774" customHeight="1" spans="1:34">
      <c r="A774" s="12" t="s">
        <v>1043</v>
      </c>
      <c r="F774" s="24">
        <f t="shared" ref="F774:F837" si="286">+D774+E774</f>
        <v>0</v>
      </c>
      <c r="G774" s="24" t="e">
        <f t="shared" si="285"/>
        <v>#DIV/0!</v>
      </c>
      <c r="Q774" s="29" t="str">
        <f t="shared" si="267"/>
        <v>NA</v>
      </c>
      <c r="R774" s="29" t="str">
        <f t="shared" si="268"/>
        <v>NA</v>
      </c>
      <c r="S774" s="29" t="str">
        <f t="shared" si="269"/>
        <v>NA</v>
      </c>
      <c r="T774" s="29" t="str">
        <f t="shared" si="270"/>
        <v>NA</v>
      </c>
      <c r="U774" s="29" t="str">
        <f t="shared" si="271"/>
        <v>NA</v>
      </c>
      <c r="V774" s="29" t="str">
        <f t="shared" si="272"/>
        <v>NA</v>
      </c>
      <c r="W774" s="29" t="str">
        <f t="shared" si="273"/>
        <v>NA</v>
      </c>
      <c r="X774" s="29" t="str">
        <f t="shared" si="274"/>
        <v>NA</v>
      </c>
      <c r="Y774" s="29" t="str">
        <f t="shared" si="275"/>
        <v>NA</v>
      </c>
      <c r="Z774" s="29" t="str">
        <f t="shared" si="276"/>
        <v>NA</v>
      </c>
      <c r="AA774" s="29" t="str">
        <f t="shared" si="277"/>
        <v>NA</v>
      </c>
      <c r="AB774" s="29" t="str">
        <f t="shared" si="278"/>
        <v>NA</v>
      </c>
      <c r="AC774" s="29" t="str">
        <f t="shared" si="279"/>
        <v>NA</v>
      </c>
      <c r="AD774" s="29" t="str">
        <f t="shared" si="280"/>
        <v>NA</v>
      </c>
      <c r="AE774" s="29" t="str">
        <f t="shared" si="281"/>
        <v>NA</v>
      </c>
      <c r="AF774" s="29" t="str">
        <f t="shared" si="282"/>
        <v>NA</v>
      </c>
      <c r="AG774" s="29" t="str">
        <f t="shared" si="283"/>
        <v>NA</v>
      </c>
      <c r="AH774" s="29" t="str">
        <f t="shared" si="284"/>
        <v>NA</v>
      </c>
    </row>
    <row r="775" customHeight="1" spans="1:34">
      <c r="A775" s="12" t="s">
        <v>1043</v>
      </c>
      <c r="F775" s="24">
        <f t="shared" si="286"/>
        <v>0</v>
      </c>
      <c r="G775" s="24" t="e">
        <f t="shared" si="285"/>
        <v>#DIV/0!</v>
      </c>
      <c r="Q775" s="29" t="str">
        <f t="shared" si="267"/>
        <v>NA</v>
      </c>
      <c r="R775" s="29" t="str">
        <f t="shared" si="268"/>
        <v>NA</v>
      </c>
      <c r="S775" s="29" t="str">
        <f t="shared" si="269"/>
        <v>NA</v>
      </c>
      <c r="T775" s="29" t="str">
        <f t="shared" si="270"/>
        <v>NA</v>
      </c>
      <c r="U775" s="29" t="str">
        <f t="shared" si="271"/>
        <v>NA</v>
      </c>
      <c r="V775" s="29" t="str">
        <f t="shared" si="272"/>
        <v>NA</v>
      </c>
      <c r="W775" s="29" t="str">
        <f t="shared" si="273"/>
        <v>NA</v>
      </c>
      <c r="X775" s="29" t="str">
        <f t="shared" si="274"/>
        <v>NA</v>
      </c>
      <c r="Y775" s="29" t="str">
        <f t="shared" si="275"/>
        <v>NA</v>
      </c>
      <c r="Z775" s="29" t="str">
        <f t="shared" si="276"/>
        <v>NA</v>
      </c>
      <c r="AA775" s="29" t="str">
        <f t="shared" si="277"/>
        <v>NA</v>
      </c>
      <c r="AB775" s="29" t="str">
        <f t="shared" si="278"/>
        <v>NA</v>
      </c>
      <c r="AC775" s="29" t="str">
        <f t="shared" si="279"/>
        <v>NA</v>
      </c>
      <c r="AD775" s="29" t="str">
        <f t="shared" si="280"/>
        <v>NA</v>
      </c>
      <c r="AE775" s="29" t="str">
        <f t="shared" si="281"/>
        <v>NA</v>
      </c>
      <c r="AF775" s="29" t="str">
        <f t="shared" si="282"/>
        <v>NA</v>
      </c>
      <c r="AG775" s="29" t="str">
        <f t="shared" si="283"/>
        <v>NA</v>
      </c>
      <c r="AH775" s="29" t="str">
        <f t="shared" si="284"/>
        <v>NA</v>
      </c>
    </row>
    <row r="776" customHeight="1" spans="1:34">
      <c r="A776" s="12" t="s">
        <v>1043</v>
      </c>
      <c r="F776" s="24">
        <f t="shared" si="286"/>
        <v>0</v>
      </c>
      <c r="G776" s="24" t="e">
        <f t="shared" si="285"/>
        <v>#DIV/0!</v>
      </c>
      <c r="Q776" s="29" t="str">
        <f t="shared" si="267"/>
        <v>NA</v>
      </c>
      <c r="R776" s="29" t="str">
        <f t="shared" si="268"/>
        <v>NA</v>
      </c>
      <c r="S776" s="29" t="str">
        <f t="shared" si="269"/>
        <v>NA</v>
      </c>
      <c r="T776" s="29" t="str">
        <f t="shared" si="270"/>
        <v>NA</v>
      </c>
      <c r="U776" s="29" t="str">
        <f t="shared" si="271"/>
        <v>NA</v>
      </c>
      <c r="V776" s="29" t="str">
        <f t="shared" si="272"/>
        <v>NA</v>
      </c>
      <c r="W776" s="29" t="str">
        <f t="shared" si="273"/>
        <v>NA</v>
      </c>
      <c r="X776" s="29" t="str">
        <f t="shared" si="274"/>
        <v>NA</v>
      </c>
      <c r="Y776" s="29" t="str">
        <f t="shared" si="275"/>
        <v>NA</v>
      </c>
      <c r="Z776" s="29" t="str">
        <f t="shared" si="276"/>
        <v>NA</v>
      </c>
      <c r="AA776" s="29" t="str">
        <f t="shared" si="277"/>
        <v>NA</v>
      </c>
      <c r="AB776" s="29" t="str">
        <f t="shared" si="278"/>
        <v>NA</v>
      </c>
      <c r="AC776" s="29" t="str">
        <f t="shared" si="279"/>
        <v>NA</v>
      </c>
      <c r="AD776" s="29" t="str">
        <f t="shared" si="280"/>
        <v>NA</v>
      </c>
      <c r="AE776" s="29" t="str">
        <f t="shared" si="281"/>
        <v>NA</v>
      </c>
      <c r="AF776" s="29" t="str">
        <f t="shared" si="282"/>
        <v>NA</v>
      </c>
      <c r="AG776" s="29" t="str">
        <f t="shared" si="283"/>
        <v>NA</v>
      </c>
      <c r="AH776" s="29" t="str">
        <f t="shared" si="284"/>
        <v>NA</v>
      </c>
    </row>
    <row r="777" customHeight="1" spans="1:34">
      <c r="A777" s="12" t="s">
        <v>1043</v>
      </c>
      <c r="F777" s="24">
        <f t="shared" si="286"/>
        <v>0</v>
      </c>
      <c r="G777" s="24" t="e">
        <f t="shared" si="285"/>
        <v>#DIV/0!</v>
      </c>
      <c r="Q777" s="29" t="str">
        <f t="shared" si="267"/>
        <v>NA</v>
      </c>
      <c r="R777" s="29" t="str">
        <f t="shared" si="268"/>
        <v>NA</v>
      </c>
      <c r="S777" s="29" t="str">
        <f t="shared" si="269"/>
        <v>NA</v>
      </c>
      <c r="T777" s="29" t="str">
        <f t="shared" si="270"/>
        <v>NA</v>
      </c>
      <c r="U777" s="29" t="str">
        <f t="shared" si="271"/>
        <v>NA</v>
      </c>
      <c r="V777" s="29" t="str">
        <f t="shared" si="272"/>
        <v>NA</v>
      </c>
      <c r="W777" s="29" t="str">
        <f t="shared" si="273"/>
        <v>NA</v>
      </c>
      <c r="X777" s="29" t="str">
        <f t="shared" si="274"/>
        <v>NA</v>
      </c>
      <c r="Y777" s="29" t="str">
        <f t="shared" si="275"/>
        <v>NA</v>
      </c>
      <c r="Z777" s="29" t="str">
        <f t="shared" si="276"/>
        <v>NA</v>
      </c>
      <c r="AA777" s="29" t="str">
        <f t="shared" si="277"/>
        <v>NA</v>
      </c>
      <c r="AB777" s="29" t="str">
        <f t="shared" si="278"/>
        <v>NA</v>
      </c>
      <c r="AC777" s="29" t="str">
        <f t="shared" si="279"/>
        <v>NA</v>
      </c>
      <c r="AD777" s="29" t="str">
        <f t="shared" si="280"/>
        <v>NA</v>
      </c>
      <c r="AE777" s="29" t="str">
        <f t="shared" si="281"/>
        <v>NA</v>
      </c>
      <c r="AF777" s="29" t="str">
        <f t="shared" si="282"/>
        <v>NA</v>
      </c>
      <c r="AG777" s="29" t="str">
        <f t="shared" si="283"/>
        <v>NA</v>
      </c>
      <c r="AH777" s="29" t="str">
        <f t="shared" si="284"/>
        <v>NA</v>
      </c>
    </row>
    <row r="778" customHeight="1" spans="1:34">
      <c r="A778" s="12" t="s">
        <v>1043</v>
      </c>
      <c r="F778" s="24">
        <f t="shared" si="286"/>
        <v>0</v>
      </c>
      <c r="G778" s="24" t="e">
        <f t="shared" si="285"/>
        <v>#DIV/0!</v>
      </c>
      <c r="Q778" s="29" t="str">
        <f t="shared" si="267"/>
        <v>NA</v>
      </c>
      <c r="R778" s="29" t="str">
        <f t="shared" si="268"/>
        <v>NA</v>
      </c>
      <c r="S778" s="29" t="str">
        <f t="shared" si="269"/>
        <v>NA</v>
      </c>
      <c r="T778" s="29" t="str">
        <f t="shared" si="270"/>
        <v>NA</v>
      </c>
      <c r="U778" s="29" t="str">
        <f t="shared" si="271"/>
        <v>NA</v>
      </c>
      <c r="V778" s="29" t="str">
        <f t="shared" si="272"/>
        <v>NA</v>
      </c>
      <c r="W778" s="29" t="str">
        <f t="shared" si="273"/>
        <v>NA</v>
      </c>
      <c r="X778" s="29" t="str">
        <f t="shared" si="274"/>
        <v>NA</v>
      </c>
      <c r="Y778" s="29" t="str">
        <f t="shared" si="275"/>
        <v>NA</v>
      </c>
      <c r="Z778" s="29" t="str">
        <f t="shared" si="276"/>
        <v>NA</v>
      </c>
      <c r="AA778" s="29" t="str">
        <f t="shared" si="277"/>
        <v>NA</v>
      </c>
      <c r="AB778" s="29" t="str">
        <f t="shared" si="278"/>
        <v>NA</v>
      </c>
      <c r="AC778" s="29" t="str">
        <f t="shared" si="279"/>
        <v>NA</v>
      </c>
      <c r="AD778" s="29" t="str">
        <f t="shared" si="280"/>
        <v>NA</v>
      </c>
      <c r="AE778" s="29" t="str">
        <f t="shared" si="281"/>
        <v>NA</v>
      </c>
      <c r="AF778" s="29" t="str">
        <f t="shared" si="282"/>
        <v>NA</v>
      </c>
      <c r="AG778" s="29" t="str">
        <f t="shared" si="283"/>
        <v>NA</v>
      </c>
      <c r="AH778" s="29" t="str">
        <f t="shared" si="284"/>
        <v>NA</v>
      </c>
    </row>
    <row r="779" customHeight="1" spans="1:34">
      <c r="A779" s="12" t="s">
        <v>1043</v>
      </c>
      <c r="F779" s="24">
        <f t="shared" si="286"/>
        <v>0</v>
      </c>
      <c r="G779" s="24" t="e">
        <f t="shared" si="285"/>
        <v>#DIV/0!</v>
      </c>
      <c r="Q779" s="29" t="str">
        <f t="shared" si="267"/>
        <v>NA</v>
      </c>
      <c r="R779" s="29" t="str">
        <f t="shared" si="268"/>
        <v>NA</v>
      </c>
      <c r="S779" s="29" t="str">
        <f t="shared" si="269"/>
        <v>NA</v>
      </c>
      <c r="T779" s="29" t="str">
        <f t="shared" si="270"/>
        <v>NA</v>
      </c>
      <c r="U779" s="29" t="str">
        <f t="shared" si="271"/>
        <v>NA</v>
      </c>
      <c r="V779" s="29" t="str">
        <f t="shared" si="272"/>
        <v>NA</v>
      </c>
      <c r="W779" s="29" t="str">
        <f t="shared" si="273"/>
        <v>NA</v>
      </c>
      <c r="X779" s="29" t="str">
        <f t="shared" si="274"/>
        <v>NA</v>
      </c>
      <c r="Y779" s="29" t="str">
        <f t="shared" si="275"/>
        <v>NA</v>
      </c>
      <c r="Z779" s="29" t="str">
        <f t="shared" si="276"/>
        <v>NA</v>
      </c>
      <c r="AA779" s="29" t="str">
        <f t="shared" si="277"/>
        <v>NA</v>
      </c>
      <c r="AB779" s="29" t="str">
        <f t="shared" si="278"/>
        <v>NA</v>
      </c>
      <c r="AC779" s="29" t="str">
        <f t="shared" si="279"/>
        <v>NA</v>
      </c>
      <c r="AD779" s="29" t="str">
        <f t="shared" si="280"/>
        <v>NA</v>
      </c>
      <c r="AE779" s="29" t="str">
        <f t="shared" si="281"/>
        <v>NA</v>
      </c>
      <c r="AF779" s="29" t="str">
        <f t="shared" si="282"/>
        <v>NA</v>
      </c>
      <c r="AG779" s="29" t="str">
        <f t="shared" si="283"/>
        <v>NA</v>
      </c>
      <c r="AH779" s="29" t="str">
        <f t="shared" si="284"/>
        <v>NA</v>
      </c>
    </row>
    <row r="780" customHeight="1" spans="1:34">
      <c r="A780" s="12" t="s">
        <v>1043</v>
      </c>
      <c r="F780" s="24">
        <f t="shared" si="286"/>
        <v>0</v>
      </c>
      <c r="G780" s="24" t="e">
        <f t="shared" si="285"/>
        <v>#DIV/0!</v>
      </c>
      <c r="Q780" s="29" t="str">
        <f t="shared" si="267"/>
        <v>NA</v>
      </c>
      <c r="R780" s="29" t="str">
        <f t="shared" si="268"/>
        <v>NA</v>
      </c>
      <c r="S780" s="29" t="str">
        <f t="shared" si="269"/>
        <v>NA</v>
      </c>
      <c r="T780" s="29" t="str">
        <f t="shared" si="270"/>
        <v>NA</v>
      </c>
      <c r="U780" s="29" t="str">
        <f t="shared" si="271"/>
        <v>NA</v>
      </c>
      <c r="V780" s="29" t="str">
        <f t="shared" si="272"/>
        <v>NA</v>
      </c>
      <c r="W780" s="29" t="str">
        <f t="shared" si="273"/>
        <v>NA</v>
      </c>
      <c r="X780" s="29" t="str">
        <f t="shared" si="274"/>
        <v>NA</v>
      </c>
      <c r="Y780" s="29" t="str">
        <f t="shared" si="275"/>
        <v>NA</v>
      </c>
      <c r="Z780" s="29" t="str">
        <f t="shared" si="276"/>
        <v>NA</v>
      </c>
      <c r="AA780" s="29" t="str">
        <f t="shared" si="277"/>
        <v>NA</v>
      </c>
      <c r="AB780" s="29" t="str">
        <f t="shared" si="278"/>
        <v>NA</v>
      </c>
      <c r="AC780" s="29" t="str">
        <f t="shared" si="279"/>
        <v>NA</v>
      </c>
      <c r="AD780" s="29" t="str">
        <f t="shared" si="280"/>
        <v>NA</v>
      </c>
      <c r="AE780" s="29" t="str">
        <f t="shared" si="281"/>
        <v>NA</v>
      </c>
      <c r="AF780" s="29" t="str">
        <f t="shared" si="282"/>
        <v>NA</v>
      </c>
      <c r="AG780" s="29" t="str">
        <f t="shared" si="283"/>
        <v>NA</v>
      </c>
      <c r="AH780" s="29" t="str">
        <f t="shared" si="284"/>
        <v>NA</v>
      </c>
    </row>
    <row r="781" customHeight="1" spans="1:34">
      <c r="A781" s="12" t="s">
        <v>1043</v>
      </c>
      <c r="F781" s="24">
        <f t="shared" si="286"/>
        <v>0</v>
      </c>
      <c r="G781" s="24" t="e">
        <f t="shared" si="285"/>
        <v>#DIV/0!</v>
      </c>
      <c r="Q781" s="29" t="str">
        <f t="shared" si="267"/>
        <v>NA</v>
      </c>
      <c r="R781" s="29" t="str">
        <f t="shared" si="268"/>
        <v>NA</v>
      </c>
      <c r="S781" s="29" t="str">
        <f t="shared" si="269"/>
        <v>NA</v>
      </c>
      <c r="T781" s="29" t="str">
        <f t="shared" si="270"/>
        <v>NA</v>
      </c>
      <c r="U781" s="29" t="str">
        <f t="shared" si="271"/>
        <v>NA</v>
      </c>
      <c r="V781" s="29" t="str">
        <f t="shared" si="272"/>
        <v>NA</v>
      </c>
      <c r="W781" s="29" t="str">
        <f t="shared" si="273"/>
        <v>NA</v>
      </c>
      <c r="X781" s="29" t="str">
        <f t="shared" si="274"/>
        <v>NA</v>
      </c>
      <c r="Y781" s="29" t="str">
        <f t="shared" si="275"/>
        <v>NA</v>
      </c>
      <c r="Z781" s="29" t="str">
        <f t="shared" si="276"/>
        <v>NA</v>
      </c>
      <c r="AA781" s="29" t="str">
        <f t="shared" si="277"/>
        <v>NA</v>
      </c>
      <c r="AB781" s="29" t="str">
        <f t="shared" si="278"/>
        <v>NA</v>
      </c>
      <c r="AC781" s="29" t="str">
        <f t="shared" si="279"/>
        <v>NA</v>
      </c>
      <c r="AD781" s="29" t="str">
        <f t="shared" si="280"/>
        <v>NA</v>
      </c>
      <c r="AE781" s="29" t="str">
        <f t="shared" si="281"/>
        <v>NA</v>
      </c>
      <c r="AF781" s="29" t="str">
        <f t="shared" si="282"/>
        <v>NA</v>
      </c>
      <c r="AG781" s="29" t="str">
        <f t="shared" si="283"/>
        <v>NA</v>
      </c>
      <c r="AH781" s="29" t="str">
        <f t="shared" si="284"/>
        <v>NA</v>
      </c>
    </row>
    <row r="782" customHeight="1" spans="1:34">
      <c r="A782" s="12" t="s">
        <v>1043</v>
      </c>
      <c r="F782" s="24">
        <f t="shared" si="286"/>
        <v>0</v>
      </c>
      <c r="G782" s="24" t="e">
        <f t="shared" si="285"/>
        <v>#DIV/0!</v>
      </c>
      <c r="Q782" s="29" t="str">
        <f t="shared" si="267"/>
        <v>NA</v>
      </c>
      <c r="R782" s="29" t="str">
        <f t="shared" si="268"/>
        <v>NA</v>
      </c>
      <c r="S782" s="29" t="str">
        <f t="shared" si="269"/>
        <v>NA</v>
      </c>
      <c r="T782" s="29" t="str">
        <f t="shared" si="270"/>
        <v>NA</v>
      </c>
      <c r="U782" s="29" t="str">
        <f t="shared" si="271"/>
        <v>NA</v>
      </c>
      <c r="V782" s="29" t="str">
        <f t="shared" si="272"/>
        <v>NA</v>
      </c>
      <c r="W782" s="29" t="str">
        <f t="shared" si="273"/>
        <v>NA</v>
      </c>
      <c r="X782" s="29" t="str">
        <f t="shared" si="274"/>
        <v>NA</v>
      </c>
      <c r="Y782" s="29" t="str">
        <f t="shared" si="275"/>
        <v>NA</v>
      </c>
      <c r="Z782" s="29" t="str">
        <f t="shared" si="276"/>
        <v>NA</v>
      </c>
      <c r="AA782" s="29" t="str">
        <f t="shared" si="277"/>
        <v>NA</v>
      </c>
      <c r="AB782" s="29" t="str">
        <f t="shared" si="278"/>
        <v>NA</v>
      </c>
      <c r="AC782" s="29" t="str">
        <f t="shared" si="279"/>
        <v>NA</v>
      </c>
      <c r="AD782" s="29" t="str">
        <f t="shared" si="280"/>
        <v>NA</v>
      </c>
      <c r="AE782" s="29" t="str">
        <f t="shared" si="281"/>
        <v>NA</v>
      </c>
      <c r="AF782" s="29" t="str">
        <f t="shared" si="282"/>
        <v>NA</v>
      </c>
      <c r="AG782" s="29" t="str">
        <f t="shared" si="283"/>
        <v>NA</v>
      </c>
      <c r="AH782" s="29" t="str">
        <f t="shared" si="284"/>
        <v>NA</v>
      </c>
    </row>
    <row r="783" customHeight="1" spans="1:34">
      <c r="A783" s="12" t="s">
        <v>1043</v>
      </c>
      <c r="F783" s="24">
        <f t="shared" si="286"/>
        <v>0</v>
      </c>
      <c r="G783" s="24" t="e">
        <f t="shared" si="285"/>
        <v>#DIV/0!</v>
      </c>
      <c r="Q783" s="29" t="str">
        <f t="shared" si="267"/>
        <v>NA</v>
      </c>
      <c r="R783" s="29" t="str">
        <f t="shared" si="268"/>
        <v>NA</v>
      </c>
      <c r="S783" s="29" t="str">
        <f t="shared" si="269"/>
        <v>NA</v>
      </c>
      <c r="T783" s="29" t="str">
        <f t="shared" si="270"/>
        <v>NA</v>
      </c>
      <c r="U783" s="29" t="str">
        <f t="shared" si="271"/>
        <v>NA</v>
      </c>
      <c r="V783" s="29" t="str">
        <f t="shared" si="272"/>
        <v>NA</v>
      </c>
      <c r="W783" s="29" t="str">
        <f t="shared" si="273"/>
        <v>NA</v>
      </c>
      <c r="X783" s="29" t="str">
        <f t="shared" si="274"/>
        <v>NA</v>
      </c>
      <c r="Y783" s="29" t="str">
        <f t="shared" si="275"/>
        <v>NA</v>
      </c>
      <c r="Z783" s="29" t="str">
        <f t="shared" si="276"/>
        <v>NA</v>
      </c>
      <c r="AA783" s="29" t="str">
        <f t="shared" si="277"/>
        <v>NA</v>
      </c>
      <c r="AB783" s="29" t="str">
        <f t="shared" si="278"/>
        <v>NA</v>
      </c>
      <c r="AC783" s="29" t="str">
        <f t="shared" si="279"/>
        <v>NA</v>
      </c>
      <c r="AD783" s="29" t="str">
        <f t="shared" si="280"/>
        <v>NA</v>
      </c>
      <c r="AE783" s="29" t="str">
        <f t="shared" si="281"/>
        <v>NA</v>
      </c>
      <c r="AF783" s="29" t="str">
        <f t="shared" si="282"/>
        <v>NA</v>
      </c>
      <c r="AG783" s="29" t="str">
        <f t="shared" si="283"/>
        <v>NA</v>
      </c>
      <c r="AH783" s="29" t="str">
        <f t="shared" si="284"/>
        <v>NA</v>
      </c>
    </row>
    <row r="784" customHeight="1" spans="1:34">
      <c r="A784" s="12" t="s">
        <v>1043</v>
      </c>
      <c r="F784" s="24">
        <f t="shared" si="286"/>
        <v>0</v>
      </c>
      <c r="G784" s="24" t="e">
        <f t="shared" si="285"/>
        <v>#DIV/0!</v>
      </c>
      <c r="Q784" s="29" t="str">
        <f t="shared" ref="Q784:Q847" si="287">IFERROR($B784*$E784/H784,"NA")</f>
        <v>NA</v>
      </c>
      <c r="R784" s="29" t="str">
        <f t="shared" ref="R784:R847" si="288">IFERROR($B784*$E784/I784,"NA")</f>
        <v>NA</v>
      </c>
      <c r="S784" s="29" t="str">
        <f t="shared" ref="S784:S847" si="289">IFERROR($B784*$E784/J784,"NA")</f>
        <v>NA</v>
      </c>
      <c r="T784" s="29" t="str">
        <f t="shared" ref="T784:T847" si="290">IFERROR($B784*$E784/K784,"NA")</f>
        <v>NA</v>
      </c>
      <c r="U784" s="29" t="str">
        <f t="shared" ref="U784:U847" si="291">IFERROR($B784*$E784/L784,"NA")</f>
        <v>NA</v>
      </c>
      <c r="V784" s="29" t="str">
        <f t="shared" ref="V784:V847" si="292">IFERROR($B784*$E784/M784,"NA")</f>
        <v>NA</v>
      </c>
      <c r="W784" s="29" t="str">
        <f t="shared" ref="W784:W847" si="293">IFERROR($B784*$E784/N784,"NA")</f>
        <v>NA</v>
      </c>
      <c r="X784" s="29" t="str">
        <f t="shared" ref="X784:X847" si="294">IFERROR($B784*$E784/O784,"NA")</f>
        <v>NA</v>
      </c>
      <c r="Y784" s="29" t="str">
        <f t="shared" ref="Y784:Y847" si="295">IFERROR($B784*$E784/P784,"NA")</f>
        <v>NA</v>
      </c>
      <c r="Z784" s="29" t="str">
        <f t="shared" ref="Z784:Z847" si="296">IFERROR((($G784*Z$2/1000)+Q784)/1,"NA")</f>
        <v>NA</v>
      </c>
      <c r="AA784" s="29" t="str">
        <f t="shared" ref="AA784:AA847" si="297">IFERROR((($G784*AA$2/1000)+R784)/1,"NA")</f>
        <v>NA</v>
      </c>
      <c r="AB784" s="29" t="str">
        <f t="shared" ref="AB784:AB847" si="298">IFERROR((($G784*AB$2/1000)+S784)/1,"NA")</f>
        <v>NA</v>
      </c>
      <c r="AC784" s="29" t="str">
        <f t="shared" ref="AC784:AC847" si="299">IFERROR((($G784*AC$2/1000)+T784)/1,"NA")</f>
        <v>NA</v>
      </c>
      <c r="AD784" s="29" t="str">
        <f t="shared" ref="AD784:AD847" si="300">IFERROR((($G784*AD$2/1000)+U784)/1,"NA")</f>
        <v>NA</v>
      </c>
      <c r="AE784" s="29" t="str">
        <f t="shared" ref="AE784:AE847" si="301">IFERROR((($G784*AE$2/1000)+V784)/1,"NA")</f>
        <v>NA</v>
      </c>
      <c r="AF784" s="29" t="str">
        <f t="shared" ref="AF784:AF847" si="302">IFERROR((($G784*AF$2/1000)+W784)/1,"NA")</f>
        <v>NA</v>
      </c>
      <c r="AG784" s="29" t="str">
        <f t="shared" ref="AG784:AG847" si="303">IFERROR((($G784*AG$2/1000)+X784)/1,"NA")</f>
        <v>NA</v>
      </c>
      <c r="AH784" s="29" t="str">
        <f t="shared" ref="AH784:AH847" si="304">IFERROR((($G784*AH$2/1000)+Y784)/1,"NA")</f>
        <v>NA</v>
      </c>
    </row>
    <row r="785" customHeight="1" spans="1:34">
      <c r="A785" s="12" t="s">
        <v>1043</v>
      </c>
      <c r="F785" s="24">
        <f t="shared" si="286"/>
        <v>0</v>
      </c>
      <c r="G785" s="24" t="e">
        <f t="shared" si="285"/>
        <v>#DIV/0!</v>
      </c>
      <c r="Q785" s="29" t="str">
        <f t="shared" si="287"/>
        <v>NA</v>
      </c>
      <c r="R785" s="29" t="str">
        <f t="shared" si="288"/>
        <v>NA</v>
      </c>
      <c r="S785" s="29" t="str">
        <f t="shared" si="289"/>
        <v>NA</v>
      </c>
      <c r="T785" s="29" t="str">
        <f t="shared" si="290"/>
        <v>NA</v>
      </c>
      <c r="U785" s="29" t="str">
        <f t="shared" si="291"/>
        <v>NA</v>
      </c>
      <c r="V785" s="29" t="str">
        <f t="shared" si="292"/>
        <v>NA</v>
      </c>
      <c r="W785" s="29" t="str">
        <f t="shared" si="293"/>
        <v>NA</v>
      </c>
      <c r="X785" s="29" t="str">
        <f t="shared" si="294"/>
        <v>NA</v>
      </c>
      <c r="Y785" s="29" t="str">
        <f t="shared" si="295"/>
        <v>NA</v>
      </c>
      <c r="Z785" s="29" t="str">
        <f t="shared" si="296"/>
        <v>NA</v>
      </c>
      <c r="AA785" s="29" t="str">
        <f t="shared" si="297"/>
        <v>NA</v>
      </c>
      <c r="AB785" s="29" t="str">
        <f t="shared" si="298"/>
        <v>NA</v>
      </c>
      <c r="AC785" s="29" t="str">
        <f t="shared" si="299"/>
        <v>NA</v>
      </c>
      <c r="AD785" s="29" t="str">
        <f t="shared" si="300"/>
        <v>NA</v>
      </c>
      <c r="AE785" s="29" t="str">
        <f t="shared" si="301"/>
        <v>NA</v>
      </c>
      <c r="AF785" s="29" t="str">
        <f t="shared" si="302"/>
        <v>NA</v>
      </c>
      <c r="AG785" s="29" t="str">
        <f t="shared" si="303"/>
        <v>NA</v>
      </c>
      <c r="AH785" s="29" t="str">
        <f t="shared" si="304"/>
        <v>NA</v>
      </c>
    </row>
    <row r="786" customHeight="1" spans="1:34">
      <c r="A786" s="12" t="s">
        <v>1043</v>
      </c>
      <c r="F786" s="24">
        <f t="shared" si="286"/>
        <v>0</v>
      </c>
      <c r="G786" s="24" t="e">
        <f t="shared" si="285"/>
        <v>#DIV/0!</v>
      </c>
      <c r="Q786" s="29" t="str">
        <f t="shared" si="287"/>
        <v>NA</v>
      </c>
      <c r="R786" s="29" t="str">
        <f t="shared" si="288"/>
        <v>NA</v>
      </c>
      <c r="S786" s="29" t="str">
        <f t="shared" si="289"/>
        <v>NA</v>
      </c>
      <c r="T786" s="29" t="str">
        <f t="shared" si="290"/>
        <v>NA</v>
      </c>
      <c r="U786" s="29" t="str">
        <f t="shared" si="291"/>
        <v>NA</v>
      </c>
      <c r="V786" s="29" t="str">
        <f t="shared" si="292"/>
        <v>NA</v>
      </c>
      <c r="W786" s="29" t="str">
        <f t="shared" si="293"/>
        <v>NA</v>
      </c>
      <c r="X786" s="29" t="str">
        <f t="shared" si="294"/>
        <v>NA</v>
      </c>
      <c r="Y786" s="29" t="str">
        <f t="shared" si="295"/>
        <v>NA</v>
      </c>
      <c r="Z786" s="29" t="str">
        <f t="shared" si="296"/>
        <v>NA</v>
      </c>
      <c r="AA786" s="29" t="str">
        <f t="shared" si="297"/>
        <v>NA</v>
      </c>
      <c r="AB786" s="29" t="str">
        <f t="shared" si="298"/>
        <v>NA</v>
      </c>
      <c r="AC786" s="29" t="str">
        <f t="shared" si="299"/>
        <v>NA</v>
      </c>
      <c r="AD786" s="29" t="str">
        <f t="shared" si="300"/>
        <v>NA</v>
      </c>
      <c r="AE786" s="29" t="str">
        <f t="shared" si="301"/>
        <v>NA</v>
      </c>
      <c r="AF786" s="29" t="str">
        <f t="shared" si="302"/>
        <v>NA</v>
      </c>
      <c r="AG786" s="29" t="str">
        <f t="shared" si="303"/>
        <v>NA</v>
      </c>
      <c r="AH786" s="29" t="str">
        <f t="shared" si="304"/>
        <v>NA</v>
      </c>
    </row>
    <row r="787" customHeight="1" spans="1:34">
      <c r="A787" s="12" t="s">
        <v>1043</v>
      </c>
      <c r="F787" s="24">
        <f t="shared" si="286"/>
        <v>0</v>
      </c>
      <c r="G787" s="24" t="e">
        <f t="shared" si="285"/>
        <v>#DIV/0!</v>
      </c>
      <c r="Q787" s="29" t="str">
        <f t="shared" si="287"/>
        <v>NA</v>
      </c>
      <c r="R787" s="29" t="str">
        <f t="shared" si="288"/>
        <v>NA</v>
      </c>
      <c r="S787" s="29" t="str">
        <f t="shared" si="289"/>
        <v>NA</v>
      </c>
      <c r="T787" s="29" t="str">
        <f t="shared" si="290"/>
        <v>NA</v>
      </c>
      <c r="U787" s="29" t="str">
        <f t="shared" si="291"/>
        <v>NA</v>
      </c>
      <c r="V787" s="29" t="str">
        <f t="shared" si="292"/>
        <v>NA</v>
      </c>
      <c r="W787" s="29" t="str">
        <f t="shared" si="293"/>
        <v>NA</v>
      </c>
      <c r="X787" s="29" t="str">
        <f t="shared" si="294"/>
        <v>NA</v>
      </c>
      <c r="Y787" s="29" t="str">
        <f t="shared" si="295"/>
        <v>NA</v>
      </c>
      <c r="Z787" s="29" t="str">
        <f t="shared" si="296"/>
        <v>NA</v>
      </c>
      <c r="AA787" s="29" t="str">
        <f t="shared" si="297"/>
        <v>NA</v>
      </c>
      <c r="AB787" s="29" t="str">
        <f t="shared" si="298"/>
        <v>NA</v>
      </c>
      <c r="AC787" s="29" t="str">
        <f t="shared" si="299"/>
        <v>NA</v>
      </c>
      <c r="AD787" s="29" t="str">
        <f t="shared" si="300"/>
        <v>NA</v>
      </c>
      <c r="AE787" s="29" t="str">
        <f t="shared" si="301"/>
        <v>NA</v>
      </c>
      <c r="AF787" s="29" t="str">
        <f t="shared" si="302"/>
        <v>NA</v>
      </c>
      <c r="AG787" s="29" t="str">
        <f t="shared" si="303"/>
        <v>NA</v>
      </c>
      <c r="AH787" s="29" t="str">
        <f t="shared" si="304"/>
        <v>NA</v>
      </c>
    </row>
    <row r="788" customHeight="1" spans="1:34">
      <c r="A788" s="12" t="s">
        <v>1043</v>
      </c>
      <c r="F788" s="24">
        <f t="shared" si="286"/>
        <v>0</v>
      </c>
      <c r="G788" s="24" t="e">
        <f t="shared" si="285"/>
        <v>#DIV/0!</v>
      </c>
      <c r="Q788" s="29" t="str">
        <f t="shared" si="287"/>
        <v>NA</v>
      </c>
      <c r="R788" s="29" t="str">
        <f t="shared" si="288"/>
        <v>NA</v>
      </c>
      <c r="S788" s="29" t="str">
        <f t="shared" si="289"/>
        <v>NA</v>
      </c>
      <c r="T788" s="29" t="str">
        <f t="shared" si="290"/>
        <v>NA</v>
      </c>
      <c r="U788" s="29" t="str">
        <f t="shared" si="291"/>
        <v>NA</v>
      </c>
      <c r="V788" s="29" t="str">
        <f t="shared" si="292"/>
        <v>NA</v>
      </c>
      <c r="W788" s="29" t="str">
        <f t="shared" si="293"/>
        <v>NA</v>
      </c>
      <c r="X788" s="29" t="str">
        <f t="shared" si="294"/>
        <v>NA</v>
      </c>
      <c r="Y788" s="29" t="str">
        <f t="shared" si="295"/>
        <v>NA</v>
      </c>
      <c r="Z788" s="29" t="str">
        <f t="shared" si="296"/>
        <v>NA</v>
      </c>
      <c r="AA788" s="29" t="str">
        <f t="shared" si="297"/>
        <v>NA</v>
      </c>
      <c r="AB788" s="29" t="str">
        <f t="shared" si="298"/>
        <v>NA</v>
      </c>
      <c r="AC788" s="29" t="str">
        <f t="shared" si="299"/>
        <v>NA</v>
      </c>
      <c r="AD788" s="29" t="str">
        <f t="shared" si="300"/>
        <v>NA</v>
      </c>
      <c r="AE788" s="29" t="str">
        <f t="shared" si="301"/>
        <v>NA</v>
      </c>
      <c r="AF788" s="29" t="str">
        <f t="shared" si="302"/>
        <v>NA</v>
      </c>
      <c r="AG788" s="29" t="str">
        <f t="shared" si="303"/>
        <v>NA</v>
      </c>
      <c r="AH788" s="29" t="str">
        <f t="shared" si="304"/>
        <v>NA</v>
      </c>
    </row>
    <row r="789" customHeight="1" spans="1:34">
      <c r="A789" s="12" t="s">
        <v>1043</v>
      </c>
      <c r="F789" s="24">
        <f t="shared" si="286"/>
        <v>0</v>
      </c>
      <c r="G789" s="24" t="e">
        <f t="shared" si="285"/>
        <v>#DIV/0!</v>
      </c>
      <c r="Q789" s="29" t="str">
        <f t="shared" si="287"/>
        <v>NA</v>
      </c>
      <c r="R789" s="29" t="str">
        <f t="shared" si="288"/>
        <v>NA</v>
      </c>
      <c r="S789" s="29" t="str">
        <f t="shared" si="289"/>
        <v>NA</v>
      </c>
      <c r="T789" s="29" t="str">
        <f t="shared" si="290"/>
        <v>NA</v>
      </c>
      <c r="U789" s="29" t="str">
        <f t="shared" si="291"/>
        <v>NA</v>
      </c>
      <c r="V789" s="29" t="str">
        <f t="shared" si="292"/>
        <v>NA</v>
      </c>
      <c r="W789" s="29" t="str">
        <f t="shared" si="293"/>
        <v>NA</v>
      </c>
      <c r="X789" s="29" t="str">
        <f t="shared" si="294"/>
        <v>NA</v>
      </c>
      <c r="Y789" s="29" t="str">
        <f t="shared" si="295"/>
        <v>NA</v>
      </c>
      <c r="Z789" s="29" t="str">
        <f t="shared" si="296"/>
        <v>NA</v>
      </c>
      <c r="AA789" s="29" t="str">
        <f t="shared" si="297"/>
        <v>NA</v>
      </c>
      <c r="AB789" s="29" t="str">
        <f t="shared" si="298"/>
        <v>NA</v>
      </c>
      <c r="AC789" s="29" t="str">
        <f t="shared" si="299"/>
        <v>NA</v>
      </c>
      <c r="AD789" s="29" t="str">
        <f t="shared" si="300"/>
        <v>NA</v>
      </c>
      <c r="AE789" s="29" t="str">
        <f t="shared" si="301"/>
        <v>NA</v>
      </c>
      <c r="AF789" s="29" t="str">
        <f t="shared" si="302"/>
        <v>NA</v>
      </c>
      <c r="AG789" s="29" t="str">
        <f t="shared" si="303"/>
        <v>NA</v>
      </c>
      <c r="AH789" s="29" t="str">
        <f t="shared" si="304"/>
        <v>NA</v>
      </c>
    </row>
    <row r="790" customHeight="1" spans="1:34">
      <c r="A790" s="12" t="s">
        <v>1043</v>
      </c>
      <c r="F790" s="24">
        <f t="shared" si="286"/>
        <v>0</v>
      </c>
      <c r="G790" s="24" t="e">
        <f t="shared" si="285"/>
        <v>#DIV/0!</v>
      </c>
      <c r="Q790" s="29" t="str">
        <f t="shared" si="287"/>
        <v>NA</v>
      </c>
      <c r="R790" s="29" t="str">
        <f t="shared" si="288"/>
        <v>NA</v>
      </c>
      <c r="S790" s="29" t="str">
        <f t="shared" si="289"/>
        <v>NA</v>
      </c>
      <c r="T790" s="29" t="str">
        <f t="shared" si="290"/>
        <v>NA</v>
      </c>
      <c r="U790" s="29" t="str">
        <f t="shared" si="291"/>
        <v>NA</v>
      </c>
      <c r="V790" s="29" t="str">
        <f t="shared" si="292"/>
        <v>NA</v>
      </c>
      <c r="W790" s="29" t="str">
        <f t="shared" si="293"/>
        <v>NA</v>
      </c>
      <c r="X790" s="29" t="str">
        <f t="shared" si="294"/>
        <v>NA</v>
      </c>
      <c r="Y790" s="29" t="str">
        <f t="shared" si="295"/>
        <v>NA</v>
      </c>
      <c r="Z790" s="29" t="str">
        <f t="shared" si="296"/>
        <v>NA</v>
      </c>
      <c r="AA790" s="29" t="str">
        <f t="shared" si="297"/>
        <v>NA</v>
      </c>
      <c r="AB790" s="29" t="str">
        <f t="shared" si="298"/>
        <v>NA</v>
      </c>
      <c r="AC790" s="29" t="str">
        <f t="shared" si="299"/>
        <v>NA</v>
      </c>
      <c r="AD790" s="29" t="str">
        <f t="shared" si="300"/>
        <v>NA</v>
      </c>
      <c r="AE790" s="29" t="str">
        <f t="shared" si="301"/>
        <v>NA</v>
      </c>
      <c r="AF790" s="29" t="str">
        <f t="shared" si="302"/>
        <v>NA</v>
      </c>
      <c r="AG790" s="29" t="str">
        <f t="shared" si="303"/>
        <v>NA</v>
      </c>
      <c r="AH790" s="29" t="str">
        <f t="shared" si="304"/>
        <v>NA</v>
      </c>
    </row>
    <row r="791" customHeight="1" spans="1:34">
      <c r="A791" s="12" t="s">
        <v>1043</v>
      </c>
      <c r="F791" s="24">
        <f t="shared" si="286"/>
        <v>0</v>
      </c>
      <c r="G791" s="24" t="e">
        <f t="shared" si="285"/>
        <v>#DIV/0!</v>
      </c>
      <c r="Q791" s="29" t="str">
        <f t="shared" si="287"/>
        <v>NA</v>
      </c>
      <c r="R791" s="29" t="str">
        <f t="shared" si="288"/>
        <v>NA</v>
      </c>
      <c r="S791" s="29" t="str">
        <f t="shared" si="289"/>
        <v>NA</v>
      </c>
      <c r="T791" s="29" t="str">
        <f t="shared" si="290"/>
        <v>NA</v>
      </c>
      <c r="U791" s="29" t="str">
        <f t="shared" si="291"/>
        <v>NA</v>
      </c>
      <c r="V791" s="29" t="str">
        <f t="shared" si="292"/>
        <v>NA</v>
      </c>
      <c r="W791" s="29" t="str">
        <f t="shared" si="293"/>
        <v>NA</v>
      </c>
      <c r="X791" s="29" t="str">
        <f t="shared" si="294"/>
        <v>NA</v>
      </c>
      <c r="Y791" s="29" t="str">
        <f t="shared" si="295"/>
        <v>NA</v>
      </c>
      <c r="Z791" s="29" t="str">
        <f t="shared" si="296"/>
        <v>NA</v>
      </c>
      <c r="AA791" s="29" t="str">
        <f t="shared" si="297"/>
        <v>NA</v>
      </c>
      <c r="AB791" s="29" t="str">
        <f t="shared" si="298"/>
        <v>NA</v>
      </c>
      <c r="AC791" s="29" t="str">
        <f t="shared" si="299"/>
        <v>NA</v>
      </c>
      <c r="AD791" s="29" t="str">
        <f t="shared" si="300"/>
        <v>NA</v>
      </c>
      <c r="AE791" s="29" t="str">
        <f t="shared" si="301"/>
        <v>NA</v>
      </c>
      <c r="AF791" s="29" t="str">
        <f t="shared" si="302"/>
        <v>NA</v>
      </c>
      <c r="AG791" s="29" t="str">
        <f t="shared" si="303"/>
        <v>NA</v>
      </c>
      <c r="AH791" s="29" t="str">
        <f t="shared" si="304"/>
        <v>NA</v>
      </c>
    </row>
    <row r="792" customHeight="1" spans="1:34">
      <c r="A792" s="12" t="s">
        <v>1043</v>
      </c>
      <c r="F792" s="24">
        <f t="shared" si="286"/>
        <v>0</v>
      </c>
      <c r="G792" s="24" t="e">
        <f t="shared" si="285"/>
        <v>#DIV/0!</v>
      </c>
      <c r="Q792" s="29" t="str">
        <f t="shared" si="287"/>
        <v>NA</v>
      </c>
      <c r="R792" s="29" t="str">
        <f t="shared" si="288"/>
        <v>NA</v>
      </c>
      <c r="S792" s="29" t="str">
        <f t="shared" si="289"/>
        <v>NA</v>
      </c>
      <c r="T792" s="29" t="str">
        <f t="shared" si="290"/>
        <v>NA</v>
      </c>
      <c r="U792" s="29" t="str">
        <f t="shared" si="291"/>
        <v>NA</v>
      </c>
      <c r="V792" s="29" t="str">
        <f t="shared" si="292"/>
        <v>NA</v>
      </c>
      <c r="W792" s="29" t="str">
        <f t="shared" si="293"/>
        <v>NA</v>
      </c>
      <c r="X792" s="29" t="str">
        <f t="shared" si="294"/>
        <v>NA</v>
      </c>
      <c r="Y792" s="29" t="str">
        <f t="shared" si="295"/>
        <v>NA</v>
      </c>
      <c r="Z792" s="29" t="str">
        <f t="shared" si="296"/>
        <v>NA</v>
      </c>
      <c r="AA792" s="29" t="str">
        <f t="shared" si="297"/>
        <v>NA</v>
      </c>
      <c r="AB792" s="29" t="str">
        <f t="shared" si="298"/>
        <v>NA</v>
      </c>
      <c r="AC792" s="29" t="str">
        <f t="shared" si="299"/>
        <v>NA</v>
      </c>
      <c r="AD792" s="29" t="str">
        <f t="shared" si="300"/>
        <v>NA</v>
      </c>
      <c r="AE792" s="29" t="str">
        <f t="shared" si="301"/>
        <v>NA</v>
      </c>
      <c r="AF792" s="29" t="str">
        <f t="shared" si="302"/>
        <v>NA</v>
      </c>
      <c r="AG792" s="29" t="str">
        <f t="shared" si="303"/>
        <v>NA</v>
      </c>
      <c r="AH792" s="29" t="str">
        <f t="shared" si="304"/>
        <v>NA</v>
      </c>
    </row>
    <row r="793" customHeight="1" spans="1:34">
      <c r="A793" s="12" t="s">
        <v>1043</v>
      </c>
      <c r="F793" s="24">
        <f t="shared" si="286"/>
        <v>0</v>
      </c>
      <c r="G793" s="24" t="e">
        <f t="shared" si="285"/>
        <v>#DIV/0!</v>
      </c>
      <c r="Q793" s="29" t="str">
        <f t="shared" si="287"/>
        <v>NA</v>
      </c>
      <c r="R793" s="29" t="str">
        <f t="shared" si="288"/>
        <v>NA</v>
      </c>
      <c r="S793" s="29" t="str">
        <f t="shared" si="289"/>
        <v>NA</v>
      </c>
      <c r="T793" s="29" t="str">
        <f t="shared" si="290"/>
        <v>NA</v>
      </c>
      <c r="U793" s="29" t="str">
        <f t="shared" si="291"/>
        <v>NA</v>
      </c>
      <c r="V793" s="29" t="str">
        <f t="shared" si="292"/>
        <v>NA</v>
      </c>
      <c r="W793" s="29" t="str">
        <f t="shared" si="293"/>
        <v>NA</v>
      </c>
      <c r="X793" s="29" t="str">
        <f t="shared" si="294"/>
        <v>NA</v>
      </c>
      <c r="Y793" s="29" t="str">
        <f t="shared" si="295"/>
        <v>NA</v>
      </c>
      <c r="Z793" s="29" t="str">
        <f t="shared" si="296"/>
        <v>NA</v>
      </c>
      <c r="AA793" s="29" t="str">
        <f t="shared" si="297"/>
        <v>NA</v>
      </c>
      <c r="AB793" s="29" t="str">
        <f t="shared" si="298"/>
        <v>NA</v>
      </c>
      <c r="AC793" s="29" t="str">
        <f t="shared" si="299"/>
        <v>NA</v>
      </c>
      <c r="AD793" s="29" t="str">
        <f t="shared" si="300"/>
        <v>NA</v>
      </c>
      <c r="AE793" s="29" t="str">
        <f t="shared" si="301"/>
        <v>NA</v>
      </c>
      <c r="AF793" s="29" t="str">
        <f t="shared" si="302"/>
        <v>NA</v>
      </c>
      <c r="AG793" s="29" t="str">
        <f t="shared" si="303"/>
        <v>NA</v>
      </c>
      <c r="AH793" s="29" t="str">
        <f t="shared" si="304"/>
        <v>NA</v>
      </c>
    </row>
    <row r="794" customHeight="1" spans="1:34">
      <c r="A794" s="12" t="s">
        <v>1043</v>
      </c>
      <c r="F794" s="24">
        <f t="shared" si="286"/>
        <v>0</v>
      </c>
      <c r="G794" s="24" t="e">
        <f t="shared" si="285"/>
        <v>#DIV/0!</v>
      </c>
      <c r="Q794" s="29" t="str">
        <f t="shared" si="287"/>
        <v>NA</v>
      </c>
      <c r="R794" s="29" t="str">
        <f t="shared" si="288"/>
        <v>NA</v>
      </c>
      <c r="S794" s="29" t="str">
        <f t="shared" si="289"/>
        <v>NA</v>
      </c>
      <c r="T794" s="29" t="str">
        <f t="shared" si="290"/>
        <v>NA</v>
      </c>
      <c r="U794" s="29" t="str">
        <f t="shared" si="291"/>
        <v>NA</v>
      </c>
      <c r="V794" s="29" t="str">
        <f t="shared" si="292"/>
        <v>NA</v>
      </c>
      <c r="W794" s="29" t="str">
        <f t="shared" si="293"/>
        <v>NA</v>
      </c>
      <c r="X794" s="29" t="str">
        <f t="shared" si="294"/>
        <v>NA</v>
      </c>
      <c r="Y794" s="29" t="str">
        <f t="shared" si="295"/>
        <v>NA</v>
      </c>
      <c r="Z794" s="29" t="str">
        <f t="shared" si="296"/>
        <v>NA</v>
      </c>
      <c r="AA794" s="29" t="str">
        <f t="shared" si="297"/>
        <v>NA</v>
      </c>
      <c r="AB794" s="29" t="str">
        <f t="shared" si="298"/>
        <v>NA</v>
      </c>
      <c r="AC794" s="29" t="str">
        <f t="shared" si="299"/>
        <v>NA</v>
      </c>
      <c r="AD794" s="29" t="str">
        <f t="shared" si="300"/>
        <v>NA</v>
      </c>
      <c r="AE794" s="29" t="str">
        <f t="shared" si="301"/>
        <v>NA</v>
      </c>
      <c r="AF794" s="29" t="str">
        <f t="shared" si="302"/>
        <v>NA</v>
      </c>
      <c r="AG794" s="29" t="str">
        <f t="shared" si="303"/>
        <v>NA</v>
      </c>
      <c r="AH794" s="29" t="str">
        <f t="shared" si="304"/>
        <v>NA</v>
      </c>
    </row>
    <row r="795" customHeight="1" spans="1:34">
      <c r="A795" s="12" t="s">
        <v>1043</v>
      </c>
      <c r="F795" s="24">
        <f t="shared" si="286"/>
        <v>0</v>
      </c>
      <c r="G795" s="24" t="e">
        <f t="shared" si="285"/>
        <v>#DIV/0!</v>
      </c>
      <c r="Q795" s="29" t="str">
        <f t="shared" si="287"/>
        <v>NA</v>
      </c>
      <c r="R795" s="29" t="str">
        <f t="shared" si="288"/>
        <v>NA</v>
      </c>
      <c r="S795" s="29" t="str">
        <f t="shared" si="289"/>
        <v>NA</v>
      </c>
      <c r="T795" s="29" t="str">
        <f t="shared" si="290"/>
        <v>NA</v>
      </c>
      <c r="U795" s="29" t="str">
        <f t="shared" si="291"/>
        <v>NA</v>
      </c>
      <c r="V795" s="29" t="str">
        <f t="shared" si="292"/>
        <v>NA</v>
      </c>
      <c r="W795" s="29" t="str">
        <f t="shared" si="293"/>
        <v>NA</v>
      </c>
      <c r="X795" s="29" t="str">
        <f t="shared" si="294"/>
        <v>NA</v>
      </c>
      <c r="Y795" s="29" t="str">
        <f t="shared" si="295"/>
        <v>NA</v>
      </c>
      <c r="Z795" s="29" t="str">
        <f t="shared" si="296"/>
        <v>NA</v>
      </c>
      <c r="AA795" s="29" t="str">
        <f t="shared" si="297"/>
        <v>NA</v>
      </c>
      <c r="AB795" s="29" t="str">
        <f t="shared" si="298"/>
        <v>NA</v>
      </c>
      <c r="AC795" s="29" t="str">
        <f t="shared" si="299"/>
        <v>NA</v>
      </c>
      <c r="AD795" s="29" t="str">
        <f t="shared" si="300"/>
        <v>NA</v>
      </c>
      <c r="AE795" s="29" t="str">
        <f t="shared" si="301"/>
        <v>NA</v>
      </c>
      <c r="AF795" s="29" t="str">
        <f t="shared" si="302"/>
        <v>NA</v>
      </c>
      <c r="AG795" s="29" t="str">
        <f t="shared" si="303"/>
        <v>NA</v>
      </c>
      <c r="AH795" s="29" t="str">
        <f t="shared" si="304"/>
        <v>NA</v>
      </c>
    </row>
    <row r="796" customHeight="1" spans="1:34">
      <c r="A796" s="12" t="s">
        <v>1043</v>
      </c>
      <c r="F796" s="24">
        <f t="shared" si="286"/>
        <v>0</v>
      </c>
      <c r="G796" s="24" t="e">
        <f t="shared" si="285"/>
        <v>#DIV/0!</v>
      </c>
      <c r="Q796" s="29" t="str">
        <f t="shared" si="287"/>
        <v>NA</v>
      </c>
      <c r="R796" s="29" t="str">
        <f t="shared" si="288"/>
        <v>NA</v>
      </c>
      <c r="S796" s="29" t="str">
        <f t="shared" si="289"/>
        <v>NA</v>
      </c>
      <c r="T796" s="29" t="str">
        <f t="shared" si="290"/>
        <v>NA</v>
      </c>
      <c r="U796" s="29" t="str">
        <f t="shared" si="291"/>
        <v>NA</v>
      </c>
      <c r="V796" s="29" t="str">
        <f t="shared" si="292"/>
        <v>NA</v>
      </c>
      <c r="W796" s="29" t="str">
        <f t="shared" si="293"/>
        <v>NA</v>
      </c>
      <c r="X796" s="29" t="str">
        <f t="shared" si="294"/>
        <v>NA</v>
      </c>
      <c r="Y796" s="29" t="str">
        <f t="shared" si="295"/>
        <v>NA</v>
      </c>
      <c r="Z796" s="29" t="str">
        <f t="shared" si="296"/>
        <v>NA</v>
      </c>
      <c r="AA796" s="29" t="str">
        <f t="shared" si="297"/>
        <v>NA</v>
      </c>
      <c r="AB796" s="29" t="str">
        <f t="shared" si="298"/>
        <v>NA</v>
      </c>
      <c r="AC796" s="29" t="str">
        <f t="shared" si="299"/>
        <v>NA</v>
      </c>
      <c r="AD796" s="29" t="str">
        <f t="shared" si="300"/>
        <v>NA</v>
      </c>
      <c r="AE796" s="29" t="str">
        <f t="shared" si="301"/>
        <v>NA</v>
      </c>
      <c r="AF796" s="29" t="str">
        <f t="shared" si="302"/>
        <v>NA</v>
      </c>
      <c r="AG796" s="29" t="str">
        <f t="shared" si="303"/>
        <v>NA</v>
      </c>
      <c r="AH796" s="29" t="str">
        <f t="shared" si="304"/>
        <v>NA</v>
      </c>
    </row>
    <row r="797" customHeight="1" spans="1:34">
      <c r="A797" s="12" t="s">
        <v>1043</v>
      </c>
      <c r="F797" s="24">
        <f t="shared" si="286"/>
        <v>0</v>
      </c>
      <c r="G797" s="24" t="e">
        <f t="shared" si="285"/>
        <v>#DIV/0!</v>
      </c>
      <c r="Q797" s="29" t="str">
        <f t="shared" si="287"/>
        <v>NA</v>
      </c>
      <c r="R797" s="29" t="str">
        <f t="shared" si="288"/>
        <v>NA</v>
      </c>
      <c r="S797" s="29" t="str">
        <f t="shared" si="289"/>
        <v>NA</v>
      </c>
      <c r="T797" s="29" t="str">
        <f t="shared" si="290"/>
        <v>NA</v>
      </c>
      <c r="U797" s="29" t="str">
        <f t="shared" si="291"/>
        <v>NA</v>
      </c>
      <c r="V797" s="29" t="str">
        <f t="shared" si="292"/>
        <v>NA</v>
      </c>
      <c r="W797" s="29" t="str">
        <f t="shared" si="293"/>
        <v>NA</v>
      </c>
      <c r="X797" s="29" t="str">
        <f t="shared" si="294"/>
        <v>NA</v>
      </c>
      <c r="Y797" s="29" t="str">
        <f t="shared" si="295"/>
        <v>NA</v>
      </c>
      <c r="Z797" s="29" t="str">
        <f t="shared" si="296"/>
        <v>NA</v>
      </c>
      <c r="AA797" s="29" t="str">
        <f t="shared" si="297"/>
        <v>NA</v>
      </c>
      <c r="AB797" s="29" t="str">
        <f t="shared" si="298"/>
        <v>NA</v>
      </c>
      <c r="AC797" s="29" t="str">
        <f t="shared" si="299"/>
        <v>NA</v>
      </c>
      <c r="AD797" s="29" t="str">
        <f t="shared" si="300"/>
        <v>NA</v>
      </c>
      <c r="AE797" s="29" t="str">
        <f t="shared" si="301"/>
        <v>NA</v>
      </c>
      <c r="AF797" s="29" t="str">
        <f t="shared" si="302"/>
        <v>NA</v>
      </c>
      <c r="AG797" s="29" t="str">
        <f t="shared" si="303"/>
        <v>NA</v>
      </c>
      <c r="AH797" s="29" t="str">
        <f t="shared" si="304"/>
        <v>NA</v>
      </c>
    </row>
    <row r="798" customHeight="1" spans="1:34">
      <c r="A798" s="12" t="s">
        <v>1043</v>
      </c>
      <c r="F798" s="24">
        <f t="shared" si="286"/>
        <v>0</v>
      </c>
      <c r="G798" s="24" t="e">
        <f t="shared" si="285"/>
        <v>#DIV/0!</v>
      </c>
      <c r="Q798" s="29" t="str">
        <f t="shared" si="287"/>
        <v>NA</v>
      </c>
      <c r="R798" s="29" t="str">
        <f t="shared" si="288"/>
        <v>NA</v>
      </c>
      <c r="S798" s="29" t="str">
        <f t="shared" si="289"/>
        <v>NA</v>
      </c>
      <c r="T798" s="29" t="str">
        <f t="shared" si="290"/>
        <v>NA</v>
      </c>
      <c r="U798" s="29" t="str">
        <f t="shared" si="291"/>
        <v>NA</v>
      </c>
      <c r="V798" s="29" t="str">
        <f t="shared" si="292"/>
        <v>NA</v>
      </c>
      <c r="W798" s="29" t="str">
        <f t="shared" si="293"/>
        <v>NA</v>
      </c>
      <c r="X798" s="29" t="str">
        <f t="shared" si="294"/>
        <v>NA</v>
      </c>
      <c r="Y798" s="29" t="str">
        <f t="shared" si="295"/>
        <v>NA</v>
      </c>
      <c r="Z798" s="29" t="str">
        <f t="shared" si="296"/>
        <v>NA</v>
      </c>
      <c r="AA798" s="29" t="str">
        <f t="shared" si="297"/>
        <v>NA</v>
      </c>
      <c r="AB798" s="29" t="str">
        <f t="shared" si="298"/>
        <v>NA</v>
      </c>
      <c r="AC798" s="29" t="str">
        <f t="shared" si="299"/>
        <v>NA</v>
      </c>
      <c r="AD798" s="29" t="str">
        <f t="shared" si="300"/>
        <v>NA</v>
      </c>
      <c r="AE798" s="29" t="str">
        <f t="shared" si="301"/>
        <v>NA</v>
      </c>
      <c r="AF798" s="29" t="str">
        <f t="shared" si="302"/>
        <v>NA</v>
      </c>
      <c r="AG798" s="29" t="str">
        <f t="shared" si="303"/>
        <v>NA</v>
      </c>
      <c r="AH798" s="29" t="str">
        <f t="shared" si="304"/>
        <v>NA</v>
      </c>
    </row>
    <row r="799" customHeight="1" spans="1:34">
      <c r="A799" s="12" t="s">
        <v>1043</v>
      </c>
      <c r="F799" s="24">
        <f t="shared" si="286"/>
        <v>0</v>
      </c>
      <c r="G799" s="24" t="e">
        <f t="shared" si="285"/>
        <v>#DIV/0!</v>
      </c>
      <c r="Q799" s="29" t="str">
        <f t="shared" si="287"/>
        <v>NA</v>
      </c>
      <c r="R799" s="29" t="str">
        <f t="shared" si="288"/>
        <v>NA</v>
      </c>
      <c r="S799" s="29" t="str">
        <f t="shared" si="289"/>
        <v>NA</v>
      </c>
      <c r="T799" s="29" t="str">
        <f t="shared" si="290"/>
        <v>NA</v>
      </c>
      <c r="U799" s="29" t="str">
        <f t="shared" si="291"/>
        <v>NA</v>
      </c>
      <c r="V799" s="29" t="str">
        <f t="shared" si="292"/>
        <v>NA</v>
      </c>
      <c r="W799" s="29" t="str">
        <f t="shared" si="293"/>
        <v>NA</v>
      </c>
      <c r="X799" s="29" t="str">
        <f t="shared" si="294"/>
        <v>NA</v>
      </c>
      <c r="Y799" s="29" t="str">
        <f t="shared" si="295"/>
        <v>NA</v>
      </c>
      <c r="Z799" s="29" t="str">
        <f t="shared" si="296"/>
        <v>NA</v>
      </c>
      <c r="AA799" s="29" t="str">
        <f t="shared" si="297"/>
        <v>NA</v>
      </c>
      <c r="AB799" s="29" t="str">
        <f t="shared" si="298"/>
        <v>NA</v>
      </c>
      <c r="AC799" s="29" t="str">
        <f t="shared" si="299"/>
        <v>NA</v>
      </c>
      <c r="AD799" s="29" t="str">
        <f t="shared" si="300"/>
        <v>NA</v>
      </c>
      <c r="AE799" s="29" t="str">
        <f t="shared" si="301"/>
        <v>NA</v>
      </c>
      <c r="AF799" s="29" t="str">
        <f t="shared" si="302"/>
        <v>NA</v>
      </c>
      <c r="AG799" s="29" t="str">
        <f t="shared" si="303"/>
        <v>NA</v>
      </c>
      <c r="AH799" s="29" t="str">
        <f t="shared" si="304"/>
        <v>NA</v>
      </c>
    </row>
    <row r="800" customHeight="1" spans="1:34">
      <c r="A800" s="12" t="s">
        <v>1043</v>
      </c>
      <c r="F800" s="24">
        <f t="shared" si="286"/>
        <v>0</v>
      </c>
      <c r="G800" s="24" t="e">
        <f t="shared" si="285"/>
        <v>#DIV/0!</v>
      </c>
      <c r="Q800" s="29" t="str">
        <f t="shared" si="287"/>
        <v>NA</v>
      </c>
      <c r="R800" s="29" t="str">
        <f t="shared" si="288"/>
        <v>NA</v>
      </c>
      <c r="S800" s="29" t="str">
        <f t="shared" si="289"/>
        <v>NA</v>
      </c>
      <c r="T800" s="29" t="str">
        <f t="shared" si="290"/>
        <v>NA</v>
      </c>
      <c r="U800" s="29" t="str">
        <f t="shared" si="291"/>
        <v>NA</v>
      </c>
      <c r="V800" s="29" t="str">
        <f t="shared" si="292"/>
        <v>NA</v>
      </c>
      <c r="W800" s="29" t="str">
        <f t="shared" si="293"/>
        <v>NA</v>
      </c>
      <c r="X800" s="29" t="str">
        <f t="shared" si="294"/>
        <v>NA</v>
      </c>
      <c r="Y800" s="29" t="str">
        <f t="shared" si="295"/>
        <v>NA</v>
      </c>
      <c r="Z800" s="29" t="str">
        <f t="shared" si="296"/>
        <v>NA</v>
      </c>
      <c r="AA800" s="29" t="str">
        <f t="shared" si="297"/>
        <v>NA</v>
      </c>
      <c r="AB800" s="29" t="str">
        <f t="shared" si="298"/>
        <v>NA</v>
      </c>
      <c r="AC800" s="29" t="str">
        <f t="shared" si="299"/>
        <v>NA</v>
      </c>
      <c r="AD800" s="29" t="str">
        <f t="shared" si="300"/>
        <v>NA</v>
      </c>
      <c r="AE800" s="29" t="str">
        <f t="shared" si="301"/>
        <v>NA</v>
      </c>
      <c r="AF800" s="29" t="str">
        <f t="shared" si="302"/>
        <v>NA</v>
      </c>
      <c r="AG800" s="29" t="str">
        <f t="shared" si="303"/>
        <v>NA</v>
      </c>
      <c r="AH800" s="29" t="str">
        <f t="shared" si="304"/>
        <v>NA</v>
      </c>
    </row>
    <row r="801" customHeight="1" spans="1:34">
      <c r="A801" s="12" t="s">
        <v>1043</v>
      </c>
      <c r="F801" s="24">
        <f t="shared" si="286"/>
        <v>0</v>
      </c>
      <c r="G801" s="24" t="e">
        <f t="shared" si="285"/>
        <v>#DIV/0!</v>
      </c>
      <c r="Q801" s="29" t="str">
        <f t="shared" si="287"/>
        <v>NA</v>
      </c>
      <c r="R801" s="29" t="str">
        <f t="shared" si="288"/>
        <v>NA</v>
      </c>
      <c r="S801" s="29" t="str">
        <f t="shared" si="289"/>
        <v>NA</v>
      </c>
      <c r="T801" s="29" t="str">
        <f t="shared" si="290"/>
        <v>NA</v>
      </c>
      <c r="U801" s="29" t="str">
        <f t="shared" si="291"/>
        <v>NA</v>
      </c>
      <c r="V801" s="29" t="str">
        <f t="shared" si="292"/>
        <v>NA</v>
      </c>
      <c r="W801" s="29" t="str">
        <f t="shared" si="293"/>
        <v>NA</v>
      </c>
      <c r="X801" s="29" t="str">
        <f t="shared" si="294"/>
        <v>NA</v>
      </c>
      <c r="Y801" s="29" t="str">
        <f t="shared" si="295"/>
        <v>NA</v>
      </c>
      <c r="Z801" s="29" t="str">
        <f t="shared" si="296"/>
        <v>NA</v>
      </c>
      <c r="AA801" s="29" t="str">
        <f t="shared" si="297"/>
        <v>NA</v>
      </c>
      <c r="AB801" s="29" t="str">
        <f t="shared" si="298"/>
        <v>NA</v>
      </c>
      <c r="AC801" s="29" t="str">
        <f t="shared" si="299"/>
        <v>NA</v>
      </c>
      <c r="AD801" s="29" t="str">
        <f t="shared" si="300"/>
        <v>NA</v>
      </c>
      <c r="AE801" s="29" t="str">
        <f t="shared" si="301"/>
        <v>NA</v>
      </c>
      <c r="AF801" s="29" t="str">
        <f t="shared" si="302"/>
        <v>NA</v>
      </c>
      <c r="AG801" s="29" t="str">
        <f t="shared" si="303"/>
        <v>NA</v>
      </c>
      <c r="AH801" s="29" t="str">
        <f t="shared" si="304"/>
        <v>NA</v>
      </c>
    </row>
    <row r="802" customHeight="1" spans="1:34">
      <c r="A802" s="12" t="s">
        <v>1043</v>
      </c>
      <c r="F802" s="24">
        <f t="shared" si="286"/>
        <v>0</v>
      </c>
      <c r="G802" s="24" t="e">
        <f t="shared" si="285"/>
        <v>#DIV/0!</v>
      </c>
      <c r="Q802" s="29" t="str">
        <f t="shared" si="287"/>
        <v>NA</v>
      </c>
      <c r="R802" s="29" t="str">
        <f t="shared" si="288"/>
        <v>NA</v>
      </c>
      <c r="S802" s="29" t="str">
        <f t="shared" si="289"/>
        <v>NA</v>
      </c>
      <c r="T802" s="29" t="str">
        <f t="shared" si="290"/>
        <v>NA</v>
      </c>
      <c r="U802" s="29" t="str">
        <f t="shared" si="291"/>
        <v>NA</v>
      </c>
      <c r="V802" s="29" t="str">
        <f t="shared" si="292"/>
        <v>NA</v>
      </c>
      <c r="W802" s="29" t="str">
        <f t="shared" si="293"/>
        <v>NA</v>
      </c>
      <c r="X802" s="29" t="str">
        <f t="shared" si="294"/>
        <v>NA</v>
      </c>
      <c r="Y802" s="29" t="str">
        <f t="shared" si="295"/>
        <v>NA</v>
      </c>
      <c r="Z802" s="29" t="str">
        <f t="shared" si="296"/>
        <v>NA</v>
      </c>
      <c r="AA802" s="29" t="str">
        <f t="shared" si="297"/>
        <v>NA</v>
      </c>
      <c r="AB802" s="29" t="str">
        <f t="shared" si="298"/>
        <v>NA</v>
      </c>
      <c r="AC802" s="29" t="str">
        <f t="shared" si="299"/>
        <v>NA</v>
      </c>
      <c r="AD802" s="29" t="str">
        <f t="shared" si="300"/>
        <v>NA</v>
      </c>
      <c r="AE802" s="29" t="str">
        <f t="shared" si="301"/>
        <v>NA</v>
      </c>
      <c r="AF802" s="29" t="str">
        <f t="shared" si="302"/>
        <v>NA</v>
      </c>
      <c r="AG802" s="29" t="str">
        <f t="shared" si="303"/>
        <v>NA</v>
      </c>
      <c r="AH802" s="29" t="str">
        <f t="shared" si="304"/>
        <v>NA</v>
      </c>
    </row>
    <row r="803" customHeight="1" spans="1:34">
      <c r="A803" s="12" t="s">
        <v>1043</v>
      </c>
      <c r="F803" s="24">
        <f t="shared" si="286"/>
        <v>0</v>
      </c>
      <c r="G803" s="24" t="e">
        <f t="shared" si="285"/>
        <v>#DIV/0!</v>
      </c>
      <c r="Q803" s="29" t="str">
        <f t="shared" si="287"/>
        <v>NA</v>
      </c>
      <c r="R803" s="29" t="str">
        <f t="shared" si="288"/>
        <v>NA</v>
      </c>
      <c r="S803" s="29" t="str">
        <f t="shared" si="289"/>
        <v>NA</v>
      </c>
      <c r="T803" s="29" t="str">
        <f t="shared" si="290"/>
        <v>NA</v>
      </c>
      <c r="U803" s="29" t="str">
        <f t="shared" si="291"/>
        <v>NA</v>
      </c>
      <c r="V803" s="29" t="str">
        <f t="shared" si="292"/>
        <v>NA</v>
      </c>
      <c r="W803" s="29" t="str">
        <f t="shared" si="293"/>
        <v>NA</v>
      </c>
      <c r="X803" s="29" t="str">
        <f t="shared" si="294"/>
        <v>NA</v>
      </c>
      <c r="Y803" s="29" t="str">
        <f t="shared" si="295"/>
        <v>NA</v>
      </c>
      <c r="Z803" s="29" t="str">
        <f t="shared" si="296"/>
        <v>NA</v>
      </c>
      <c r="AA803" s="29" t="str">
        <f t="shared" si="297"/>
        <v>NA</v>
      </c>
      <c r="AB803" s="29" t="str">
        <f t="shared" si="298"/>
        <v>NA</v>
      </c>
      <c r="AC803" s="29" t="str">
        <f t="shared" si="299"/>
        <v>NA</v>
      </c>
      <c r="AD803" s="29" t="str">
        <f t="shared" si="300"/>
        <v>NA</v>
      </c>
      <c r="AE803" s="29" t="str">
        <f t="shared" si="301"/>
        <v>NA</v>
      </c>
      <c r="AF803" s="29" t="str">
        <f t="shared" si="302"/>
        <v>NA</v>
      </c>
      <c r="AG803" s="29" t="str">
        <f t="shared" si="303"/>
        <v>NA</v>
      </c>
      <c r="AH803" s="29" t="str">
        <f t="shared" si="304"/>
        <v>NA</v>
      </c>
    </row>
    <row r="804" customHeight="1" spans="1:34">
      <c r="A804" s="12" t="s">
        <v>1043</v>
      </c>
      <c r="F804" s="24">
        <f t="shared" si="286"/>
        <v>0</v>
      </c>
      <c r="G804" s="24" t="e">
        <f t="shared" si="285"/>
        <v>#DIV/0!</v>
      </c>
      <c r="Q804" s="29" t="str">
        <f t="shared" si="287"/>
        <v>NA</v>
      </c>
      <c r="R804" s="29" t="str">
        <f t="shared" si="288"/>
        <v>NA</v>
      </c>
      <c r="S804" s="29" t="str">
        <f t="shared" si="289"/>
        <v>NA</v>
      </c>
      <c r="T804" s="29" t="str">
        <f t="shared" si="290"/>
        <v>NA</v>
      </c>
      <c r="U804" s="29" t="str">
        <f t="shared" si="291"/>
        <v>NA</v>
      </c>
      <c r="V804" s="29" t="str">
        <f t="shared" si="292"/>
        <v>NA</v>
      </c>
      <c r="W804" s="29" t="str">
        <f t="shared" si="293"/>
        <v>NA</v>
      </c>
      <c r="X804" s="29" t="str">
        <f t="shared" si="294"/>
        <v>NA</v>
      </c>
      <c r="Y804" s="29" t="str">
        <f t="shared" si="295"/>
        <v>NA</v>
      </c>
      <c r="Z804" s="29" t="str">
        <f t="shared" si="296"/>
        <v>NA</v>
      </c>
      <c r="AA804" s="29" t="str">
        <f t="shared" si="297"/>
        <v>NA</v>
      </c>
      <c r="AB804" s="29" t="str">
        <f t="shared" si="298"/>
        <v>NA</v>
      </c>
      <c r="AC804" s="29" t="str">
        <f t="shared" si="299"/>
        <v>NA</v>
      </c>
      <c r="AD804" s="29" t="str">
        <f t="shared" si="300"/>
        <v>NA</v>
      </c>
      <c r="AE804" s="29" t="str">
        <f t="shared" si="301"/>
        <v>NA</v>
      </c>
      <c r="AF804" s="29" t="str">
        <f t="shared" si="302"/>
        <v>NA</v>
      </c>
      <c r="AG804" s="29" t="str">
        <f t="shared" si="303"/>
        <v>NA</v>
      </c>
      <c r="AH804" s="29" t="str">
        <f t="shared" si="304"/>
        <v>NA</v>
      </c>
    </row>
    <row r="805" customHeight="1" spans="1:34">
      <c r="A805" s="12" t="s">
        <v>1043</v>
      </c>
      <c r="F805" s="24">
        <f t="shared" si="286"/>
        <v>0</v>
      </c>
      <c r="G805" s="24" t="e">
        <f t="shared" si="285"/>
        <v>#DIV/0!</v>
      </c>
      <c r="Q805" s="29" t="str">
        <f t="shared" si="287"/>
        <v>NA</v>
      </c>
      <c r="R805" s="29" t="str">
        <f t="shared" si="288"/>
        <v>NA</v>
      </c>
      <c r="S805" s="29" t="str">
        <f t="shared" si="289"/>
        <v>NA</v>
      </c>
      <c r="T805" s="29" t="str">
        <f t="shared" si="290"/>
        <v>NA</v>
      </c>
      <c r="U805" s="29" t="str">
        <f t="shared" si="291"/>
        <v>NA</v>
      </c>
      <c r="V805" s="29" t="str">
        <f t="shared" si="292"/>
        <v>NA</v>
      </c>
      <c r="W805" s="29" t="str">
        <f t="shared" si="293"/>
        <v>NA</v>
      </c>
      <c r="X805" s="29" t="str">
        <f t="shared" si="294"/>
        <v>NA</v>
      </c>
      <c r="Y805" s="29" t="str">
        <f t="shared" si="295"/>
        <v>NA</v>
      </c>
      <c r="Z805" s="29" t="str">
        <f t="shared" si="296"/>
        <v>NA</v>
      </c>
      <c r="AA805" s="29" t="str">
        <f t="shared" si="297"/>
        <v>NA</v>
      </c>
      <c r="AB805" s="29" t="str">
        <f t="shared" si="298"/>
        <v>NA</v>
      </c>
      <c r="AC805" s="29" t="str">
        <f t="shared" si="299"/>
        <v>NA</v>
      </c>
      <c r="AD805" s="29" t="str">
        <f t="shared" si="300"/>
        <v>NA</v>
      </c>
      <c r="AE805" s="29" t="str">
        <f t="shared" si="301"/>
        <v>NA</v>
      </c>
      <c r="AF805" s="29" t="str">
        <f t="shared" si="302"/>
        <v>NA</v>
      </c>
      <c r="AG805" s="29" t="str">
        <f t="shared" si="303"/>
        <v>NA</v>
      </c>
      <c r="AH805" s="29" t="str">
        <f t="shared" si="304"/>
        <v>NA</v>
      </c>
    </row>
    <row r="806" customHeight="1" spans="1:34">
      <c r="A806" s="12" t="s">
        <v>1043</v>
      </c>
      <c r="F806" s="24">
        <f t="shared" si="286"/>
        <v>0</v>
      </c>
      <c r="G806" s="24" t="e">
        <f t="shared" si="285"/>
        <v>#DIV/0!</v>
      </c>
      <c r="Q806" s="29" t="str">
        <f t="shared" si="287"/>
        <v>NA</v>
      </c>
      <c r="R806" s="29" t="str">
        <f t="shared" si="288"/>
        <v>NA</v>
      </c>
      <c r="S806" s="29" t="str">
        <f t="shared" si="289"/>
        <v>NA</v>
      </c>
      <c r="T806" s="29" t="str">
        <f t="shared" si="290"/>
        <v>NA</v>
      </c>
      <c r="U806" s="29" t="str">
        <f t="shared" si="291"/>
        <v>NA</v>
      </c>
      <c r="V806" s="29" t="str">
        <f t="shared" si="292"/>
        <v>NA</v>
      </c>
      <c r="W806" s="29" t="str">
        <f t="shared" si="293"/>
        <v>NA</v>
      </c>
      <c r="X806" s="29" t="str">
        <f t="shared" si="294"/>
        <v>NA</v>
      </c>
      <c r="Y806" s="29" t="str">
        <f t="shared" si="295"/>
        <v>NA</v>
      </c>
      <c r="Z806" s="29" t="str">
        <f t="shared" si="296"/>
        <v>NA</v>
      </c>
      <c r="AA806" s="29" t="str">
        <f t="shared" si="297"/>
        <v>NA</v>
      </c>
      <c r="AB806" s="29" t="str">
        <f t="shared" si="298"/>
        <v>NA</v>
      </c>
      <c r="AC806" s="29" t="str">
        <f t="shared" si="299"/>
        <v>NA</v>
      </c>
      <c r="AD806" s="29" t="str">
        <f t="shared" si="300"/>
        <v>NA</v>
      </c>
      <c r="AE806" s="29" t="str">
        <f t="shared" si="301"/>
        <v>NA</v>
      </c>
      <c r="AF806" s="29" t="str">
        <f t="shared" si="302"/>
        <v>NA</v>
      </c>
      <c r="AG806" s="29" t="str">
        <f t="shared" si="303"/>
        <v>NA</v>
      </c>
      <c r="AH806" s="29" t="str">
        <f t="shared" si="304"/>
        <v>NA</v>
      </c>
    </row>
    <row r="807" customHeight="1" spans="1:34">
      <c r="A807" s="12" t="s">
        <v>1043</v>
      </c>
      <c r="F807" s="24">
        <f t="shared" si="286"/>
        <v>0</v>
      </c>
      <c r="G807" s="24" t="e">
        <f t="shared" si="285"/>
        <v>#DIV/0!</v>
      </c>
      <c r="Q807" s="29" t="str">
        <f t="shared" si="287"/>
        <v>NA</v>
      </c>
      <c r="R807" s="29" t="str">
        <f t="shared" si="288"/>
        <v>NA</v>
      </c>
      <c r="S807" s="29" t="str">
        <f t="shared" si="289"/>
        <v>NA</v>
      </c>
      <c r="T807" s="29" t="str">
        <f t="shared" si="290"/>
        <v>NA</v>
      </c>
      <c r="U807" s="29" t="str">
        <f t="shared" si="291"/>
        <v>NA</v>
      </c>
      <c r="V807" s="29" t="str">
        <f t="shared" si="292"/>
        <v>NA</v>
      </c>
      <c r="W807" s="29" t="str">
        <f t="shared" si="293"/>
        <v>NA</v>
      </c>
      <c r="X807" s="29" t="str">
        <f t="shared" si="294"/>
        <v>NA</v>
      </c>
      <c r="Y807" s="29" t="str">
        <f t="shared" si="295"/>
        <v>NA</v>
      </c>
      <c r="Z807" s="29" t="str">
        <f t="shared" si="296"/>
        <v>NA</v>
      </c>
      <c r="AA807" s="29" t="str">
        <f t="shared" si="297"/>
        <v>NA</v>
      </c>
      <c r="AB807" s="29" t="str">
        <f t="shared" si="298"/>
        <v>NA</v>
      </c>
      <c r="AC807" s="29" t="str">
        <f t="shared" si="299"/>
        <v>NA</v>
      </c>
      <c r="AD807" s="29" t="str">
        <f t="shared" si="300"/>
        <v>NA</v>
      </c>
      <c r="AE807" s="29" t="str">
        <f t="shared" si="301"/>
        <v>NA</v>
      </c>
      <c r="AF807" s="29" t="str">
        <f t="shared" si="302"/>
        <v>NA</v>
      </c>
      <c r="AG807" s="29" t="str">
        <f t="shared" si="303"/>
        <v>NA</v>
      </c>
      <c r="AH807" s="29" t="str">
        <f t="shared" si="304"/>
        <v>NA</v>
      </c>
    </row>
    <row r="808" customHeight="1" spans="1:34">
      <c r="A808" s="12" t="s">
        <v>1043</v>
      </c>
      <c r="F808" s="24">
        <f t="shared" si="286"/>
        <v>0</v>
      </c>
      <c r="G808" s="24" t="e">
        <f t="shared" si="285"/>
        <v>#DIV/0!</v>
      </c>
      <c r="Q808" s="29" t="str">
        <f t="shared" si="287"/>
        <v>NA</v>
      </c>
      <c r="R808" s="29" t="str">
        <f t="shared" si="288"/>
        <v>NA</v>
      </c>
      <c r="S808" s="29" t="str">
        <f t="shared" si="289"/>
        <v>NA</v>
      </c>
      <c r="T808" s="29" t="str">
        <f t="shared" si="290"/>
        <v>NA</v>
      </c>
      <c r="U808" s="29" t="str">
        <f t="shared" si="291"/>
        <v>NA</v>
      </c>
      <c r="V808" s="29" t="str">
        <f t="shared" si="292"/>
        <v>NA</v>
      </c>
      <c r="W808" s="29" t="str">
        <f t="shared" si="293"/>
        <v>NA</v>
      </c>
      <c r="X808" s="29" t="str">
        <f t="shared" si="294"/>
        <v>NA</v>
      </c>
      <c r="Y808" s="29" t="str">
        <f t="shared" si="295"/>
        <v>NA</v>
      </c>
      <c r="Z808" s="29" t="str">
        <f t="shared" si="296"/>
        <v>NA</v>
      </c>
      <c r="AA808" s="29" t="str">
        <f t="shared" si="297"/>
        <v>NA</v>
      </c>
      <c r="AB808" s="29" t="str">
        <f t="shared" si="298"/>
        <v>NA</v>
      </c>
      <c r="AC808" s="29" t="str">
        <f t="shared" si="299"/>
        <v>NA</v>
      </c>
      <c r="AD808" s="29" t="str">
        <f t="shared" si="300"/>
        <v>NA</v>
      </c>
      <c r="AE808" s="29" t="str">
        <f t="shared" si="301"/>
        <v>NA</v>
      </c>
      <c r="AF808" s="29" t="str">
        <f t="shared" si="302"/>
        <v>NA</v>
      </c>
      <c r="AG808" s="29" t="str">
        <f t="shared" si="303"/>
        <v>NA</v>
      </c>
      <c r="AH808" s="29" t="str">
        <f t="shared" si="304"/>
        <v>NA</v>
      </c>
    </row>
    <row r="809" customHeight="1" spans="1:34">
      <c r="A809" s="12" t="s">
        <v>1043</v>
      </c>
      <c r="F809" s="24">
        <f t="shared" si="286"/>
        <v>0</v>
      </c>
      <c r="G809" s="24" t="e">
        <f t="shared" si="285"/>
        <v>#DIV/0!</v>
      </c>
      <c r="Q809" s="29" t="str">
        <f t="shared" si="287"/>
        <v>NA</v>
      </c>
      <c r="R809" s="29" t="str">
        <f t="shared" si="288"/>
        <v>NA</v>
      </c>
      <c r="S809" s="29" t="str">
        <f t="shared" si="289"/>
        <v>NA</v>
      </c>
      <c r="T809" s="29" t="str">
        <f t="shared" si="290"/>
        <v>NA</v>
      </c>
      <c r="U809" s="29" t="str">
        <f t="shared" si="291"/>
        <v>NA</v>
      </c>
      <c r="V809" s="29" t="str">
        <f t="shared" si="292"/>
        <v>NA</v>
      </c>
      <c r="W809" s="29" t="str">
        <f t="shared" si="293"/>
        <v>NA</v>
      </c>
      <c r="X809" s="29" t="str">
        <f t="shared" si="294"/>
        <v>NA</v>
      </c>
      <c r="Y809" s="29" t="str">
        <f t="shared" si="295"/>
        <v>NA</v>
      </c>
      <c r="Z809" s="29" t="str">
        <f t="shared" si="296"/>
        <v>NA</v>
      </c>
      <c r="AA809" s="29" t="str">
        <f t="shared" si="297"/>
        <v>NA</v>
      </c>
      <c r="AB809" s="29" t="str">
        <f t="shared" si="298"/>
        <v>NA</v>
      </c>
      <c r="AC809" s="29" t="str">
        <f t="shared" si="299"/>
        <v>NA</v>
      </c>
      <c r="AD809" s="29" t="str">
        <f t="shared" si="300"/>
        <v>NA</v>
      </c>
      <c r="AE809" s="29" t="str">
        <f t="shared" si="301"/>
        <v>NA</v>
      </c>
      <c r="AF809" s="29" t="str">
        <f t="shared" si="302"/>
        <v>NA</v>
      </c>
      <c r="AG809" s="29" t="str">
        <f t="shared" si="303"/>
        <v>NA</v>
      </c>
      <c r="AH809" s="29" t="str">
        <f t="shared" si="304"/>
        <v>NA</v>
      </c>
    </row>
    <row r="810" customHeight="1" spans="1:34">
      <c r="A810" s="12" t="s">
        <v>1043</v>
      </c>
      <c r="F810" s="24">
        <f t="shared" si="286"/>
        <v>0</v>
      </c>
      <c r="G810" s="24" t="e">
        <f t="shared" si="285"/>
        <v>#DIV/0!</v>
      </c>
      <c r="Q810" s="29" t="str">
        <f t="shared" si="287"/>
        <v>NA</v>
      </c>
      <c r="R810" s="29" t="str">
        <f t="shared" si="288"/>
        <v>NA</v>
      </c>
      <c r="S810" s="29" t="str">
        <f t="shared" si="289"/>
        <v>NA</v>
      </c>
      <c r="T810" s="29" t="str">
        <f t="shared" si="290"/>
        <v>NA</v>
      </c>
      <c r="U810" s="29" t="str">
        <f t="shared" si="291"/>
        <v>NA</v>
      </c>
      <c r="V810" s="29" t="str">
        <f t="shared" si="292"/>
        <v>NA</v>
      </c>
      <c r="W810" s="29" t="str">
        <f t="shared" si="293"/>
        <v>NA</v>
      </c>
      <c r="X810" s="29" t="str">
        <f t="shared" si="294"/>
        <v>NA</v>
      </c>
      <c r="Y810" s="29" t="str">
        <f t="shared" si="295"/>
        <v>NA</v>
      </c>
      <c r="Z810" s="29" t="str">
        <f t="shared" si="296"/>
        <v>NA</v>
      </c>
      <c r="AA810" s="29" t="str">
        <f t="shared" si="297"/>
        <v>NA</v>
      </c>
      <c r="AB810" s="29" t="str">
        <f t="shared" si="298"/>
        <v>NA</v>
      </c>
      <c r="AC810" s="29" t="str">
        <f t="shared" si="299"/>
        <v>NA</v>
      </c>
      <c r="AD810" s="29" t="str">
        <f t="shared" si="300"/>
        <v>NA</v>
      </c>
      <c r="AE810" s="29" t="str">
        <f t="shared" si="301"/>
        <v>NA</v>
      </c>
      <c r="AF810" s="29" t="str">
        <f t="shared" si="302"/>
        <v>NA</v>
      </c>
      <c r="AG810" s="29" t="str">
        <f t="shared" si="303"/>
        <v>NA</v>
      </c>
      <c r="AH810" s="29" t="str">
        <f t="shared" si="304"/>
        <v>NA</v>
      </c>
    </row>
    <row r="811" customHeight="1" spans="1:34">
      <c r="A811" s="12" t="s">
        <v>1043</v>
      </c>
      <c r="F811" s="24">
        <f t="shared" si="286"/>
        <v>0</v>
      </c>
      <c r="G811" s="24" t="e">
        <f t="shared" si="285"/>
        <v>#DIV/0!</v>
      </c>
      <c r="Q811" s="29" t="str">
        <f t="shared" si="287"/>
        <v>NA</v>
      </c>
      <c r="R811" s="29" t="str">
        <f t="shared" si="288"/>
        <v>NA</v>
      </c>
      <c r="S811" s="29" t="str">
        <f t="shared" si="289"/>
        <v>NA</v>
      </c>
      <c r="T811" s="29" t="str">
        <f t="shared" si="290"/>
        <v>NA</v>
      </c>
      <c r="U811" s="29" t="str">
        <f t="shared" si="291"/>
        <v>NA</v>
      </c>
      <c r="V811" s="29" t="str">
        <f t="shared" si="292"/>
        <v>NA</v>
      </c>
      <c r="W811" s="29" t="str">
        <f t="shared" si="293"/>
        <v>NA</v>
      </c>
      <c r="X811" s="29" t="str">
        <f t="shared" si="294"/>
        <v>NA</v>
      </c>
      <c r="Y811" s="29" t="str">
        <f t="shared" si="295"/>
        <v>NA</v>
      </c>
      <c r="Z811" s="29" t="str">
        <f t="shared" si="296"/>
        <v>NA</v>
      </c>
      <c r="AA811" s="29" t="str">
        <f t="shared" si="297"/>
        <v>NA</v>
      </c>
      <c r="AB811" s="29" t="str">
        <f t="shared" si="298"/>
        <v>NA</v>
      </c>
      <c r="AC811" s="29" t="str">
        <f t="shared" si="299"/>
        <v>NA</v>
      </c>
      <c r="AD811" s="29" t="str">
        <f t="shared" si="300"/>
        <v>NA</v>
      </c>
      <c r="AE811" s="29" t="str">
        <f t="shared" si="301"/>
        <v>NA</v>
      </c>
      <c r="AF811" s="29" t="str">
        <f t="shared" si="302"/>
        <v>NA</v>
      </c>
      <c r="AG811" s="29" t="str">
        <f t="shared" si="303"/>
        <v>NA</v>
      </c>
      <c r="AH811" s="29" t="str">
        <f t="shared" si="304"/>
        <v>NA</v>
      </c>
    </row>
    <row r="812" customHeight="1" spans="1:34">
      <c r="A812" s="12" t="s">
        <v>1043</v>
      </c>
      <c r="F812" s="24">
        <f t="shared" si="286"/>
        <v>0</v>
      </c>
      <c r="G812" s="24" t="e">
        <f t="shared" si="285"/>
        <v>#DIV/0!</v>
      </c>
      <c r="Q812" s="29" t="str">
        <f t="shared" si="287"/>
        <v>NA</v>
      </c>
      <c r="R812" s="29" t="str">
        <f t="shared" si="288"/>
        <v>NA</v>
      </c>
      <c r="S812" s="29" t="str">
        <f t="shared" si="289"/>
        <v>NA</v>
      </c>
      <c r="T812" s="29" t="str">
        <f t="shared" si="290"/>
        <v>NA</v>
      </c>
      <c r="U812" s="29" t="str">
        <f t="shared" si="291"/>
        <v>NA</v>
      </c>
      <c r="V812" s="29" t="str">
        <f t="shared" si="292"/>
        <v>NA</v>
      </c>
      <c r="W812" s="29" t="str">
        <f t="shared" si="293"/>
        <v>NA</v>
      </c>
      <c r="X812" s="29" t="str">
        <f t="shared" si="294"/>
        <v>NA</v>
      </c>
      <c r="Y812" s="29" t="str">
        <f t="shared" si="295"/>
        <v>NA</v>
      </c>
      <c r="Z812" s="29" t="str">
        <f t="shared" si="296"/>
        <v>NA</v>
      </c>
      <c r="AA812" s="29" t="str">
        <f t="shared" si="297"/>
        <v>NA</v>
      </c>
      <c r="AB812" s="29" t="str">
        <f t="shared" si="298"/>
        <v>NA</v>
      </c>
      <c r="AC812" s="29" t="str">
        <f t="shared" si="299"/>
        <v>NA</v>
      </c>
      <c r="AD812" s="29" t="str">
        <f t="shared" si="300"/>
        <v>NA</v>
      </c>
      <c r="AE812" s="29" t="str">
        <f t="shared" si="301"/>
        <v>NA</v>
      </c>
      <c r="AF812" s="29" t="str">
        <f t="shared" si="302"/>
        <v>NA</v>
      </c>
      <c r="AG812" s="29" t="str">
        <f t="shared" si="303"/>
        <v>NA</v>
      </c>
      <c r="AH812" s="29" t="str">
        <f t="shared" si="304"/>
        <v>NA</v>
      </c>
    </row>
    <row r="813" customHeight="1" spans="1:34">
      <c r="A813" s="12" t="s">
        <v>1043</v>
      </c>
      <c r="F813" s="24">
        <f t="shared" si="286"/>
        <v>0</v>
      </c>
      <c r="G813" s="24" t="e">
        <f t="shared" si="285"/>
        <v>#DIV/0!</v>
      </c>
      <c r="Q813" s="29" t="str">
        <f t="shared" si="287"/>
        <v>NA</v>
      </c>
      <c r="R813" s="29" t="str">
        <f t="shared" si="288"/>
        <v>NA</v>
      </c>
      <c r="S813" s="29" t="str">
        <f t="shared" si="289"/>
        <v>NA</v>
      </c>
      <c r="T813" s="29" t="str">
        <f t="shared" si="290"/>
        <v>NA</v>
      </c>
      <c r="U813" s="29" t="str">
        <f t="shared" si="291"/>
        <v>NA</v>
      </c>
      <c r="V813" s="29" t="str">
        <f t="shared" si="292"/>
        <v>NA</v>
      </c>
      <c r="W813" s="29" t="str">
        <f t="shared" si="293"/>
        <v>NA</v>
      </c>
      <c r="X813" s="29" t="str">
        <f t="shared" si="294"/>
        <v>NA</v>
      </c>
      <c r="Y813" s="29" t="str">
        <f t="shared" si="295"/>
        <v>NA</v>
      </c>
      <c r="Z813" s="29" t="str">
        <f t="shared" si="296"/>
        <v>NA</v>
      </c>
      <c r="AA813" s="29" t="str">
        <f t="shared" si="297"/>
        <v>NA</v>
      </c>
      <c r="AB813" s="29" t="str">
        <f t="shared" si="298"/>
        <v>NA</v>
      </c>
      <c r="AC813" s="29" t="str">
        <f t="shared" si="299"/>
        <v>NA</v>
      </c>
      <c r="AD813" s="29" t="str">
        <f t="shared" si="300"/>
        <v>NA</v>
      </c>
      <c r="AE813" s="29" t="str">
        <f t="shared" si="301"/>
        <v>NA</v>
      </c>
      <c r="AF813" s="29" t="str">
        <f t="shared" si="302"/>
        <v>NA</v>
      </c>
      <c r="AG813" s="29" t="str">
        <f t="shared" si="303"/>
        <v>NA</v>
      </c>
      <c r="AH813" s="29" t="str">
        <f t="shared" si="304"/>
        <v>NA</v>
      </c>
    </row>
    <row r="814" customHeight="1" spans="1:34">
      <c r="A814" s="12" t="s">
        <v>1043</v>
      </c>
      <c r="F814" s="24">
        <f t="shared" si="286"/>
        <v>0</v>
      </c>
      <c r="G814" s="24" t="e">
        <f t="shared" si="285"/>
        <v>#DIV/0!</v>
      </c>
      <c r="Q814" s="29" t="str">
        <f t="shared" si="287"/>
        <v>NA</v>
      </c>
      <c r="R814" s="29" t="str">
        <f t="shared" si="288"/>
        <v>NA</v>
      </c>
      <c r="S814" s="29" t="str">
        <f t="shared" si="289"/>
        <v>NA</v>
      </c>
      <c r="T814" s="29" t="str">
        <f t="shared" si="290"/>
        <v>NA</v>
      </c>
      <c r="U814" s="29" t="str">
        <f t="shared" si="291"/>
        <v>NA</v>
      </c>
      <c r="V814" s="29" t="str">
        <f t="shared" si="292"/>
        <v>NA</v>
      </c>
      <c r="W814" s="29" t="str">
        <f t="shared" si="293"/>
        <v>NA</v>
      </c>
      <c r="X814" s="29" t="str">
        <f t="shared" si="294"/>
        <v>NA</v>
      </c>
      <c r="Y814" s="29" t="str">
        <f t="shared" si="295"/>
        <v>NA</v>
      </c>
      <c r="Z814" s="29" t="str">
        <f t="shared" si="296"/>
        <v>NA</v>
      </c>
      <c r="AA814" s="29" t="str">
        <f t="shared" si="297"/>
        <v>NA</v>
      </c>
      <c r="AB814" s="29" t="str">
        <f t="shared" si="298"/>
        <v>NA</v>
      </c>
      <c r="AC814" s="29" t="str">
        <f t="shared" si="299"/>
        <v>NA</v>
      </c>
      <c r="AD814" s="29" t="str">
        <f t="shared" si="300"/>
        <v>NA</v>
      </c>
      <c r="AE814" s="29" t="str">
        <f t="shared" si="301"/>
        <v>NA</v>
      </c>
      <c r="AF814" s="29" t="str">
        <f t="shared" si="302"/>
        <v>NA</v>
      </c>
      <c r="AG814" s="29" t="str">
        <f t="shared" si="303"/>
        <v>NA</v>
      </c>
      <c r="AH814" s="29" t="str">
        <f t="shared" si="304"/>
        <v>NA</v>
      </c>
    </row>
    <row r="815" customHeight="1" spans="1:34">
      <c r="A815" s="12" t="s">
        <v>1043</v>
      </c>
      <c r="F815" s="24">
        <f t="shared" si="286"/>
        <v>0</v>
      </c>
      <c r="G815" s="24" t="e">
        <f t="shared" si="285"/>
        <v>#DIV/0!</v>
      </c>
      <c r="Q815" s="29" t="str">
        <f t="shared" si="287"/>
        <v>NA</v>
      </c>
      <c r="R815" s="29" t="str">
        <f t="shared" si="288"/>
        <v>NA</v>
      </c>
      <c r="S815" s="29" t="str">
        <f t="shared" si="289"/>
        <v>NA</v>
      </c>
      <c r="T815" s="29" t="str">
        <f t="shared" si="290"/>
        <v>NA</v>
      </c>
      <c r="U815" s="29" t="str">
        <f t="shared" si="291"/>
        <v>NA</v>
      </c>
      <c r="V815" s="29" t="str">
        <f t="shared" si="292"/>
        <v>NA</v>
      </c>
      <c r="W815" s="29" t="str">
        <f t="shared" si="293"/>
        <v>NA</v>
      </c>
      <c r="X815" s="29" t="str">
        <f t="shared" si="294"/>
        <v>NA</v>
      </c>
      <c r="Y815" s="29" t="str">
        <f t="shared" si="295"/>
        <v>NA</v>
      </c>
      <c r="Z815" s="29" t="str">
        <f t="shared" si="296"/>
        <v>NA</v>
      </c>
      <c r="AA815" s="29" t="str">
        <f t="shared" si="297"/>
        <v>NA</v>
      </c>
      <c r="AB815" s="29" t="str">
        <f t="shared" si="298"/>
        <v>NA</v>
      </c>
      <c r="AC815" s="29" t="str">
        <f t="shared" si="299"/>
        <v>NA</v>
      </c>
      <c r="AD815" s="29" t="str">
        <f t="shared" si="300"/>
        <v>NA</v>
      </c>
      <c r="AE815" s="29" t="str">
        <f t="shared" si="301"/>
        <v>NA</v>
      </c>
      <c r="AF815" s="29" t="str">
        <f t="shared" si="302"/>
        <v>NA</v>
      </c>
      <c r="AG815" s="29" t="str">
        <f t="shared" si="303"/>
        <v>NA</v>
      </c>
      <c r="AH815" s="29" t="str">
        <f t="shared" si="304"/>
        <v>NA</v>
      </c>
    </row>
    <row r="816" customHeight="1" spans="1:34">
      <c r="A816" s="12" t="s">
        <v>1043</v>
      </c>
      <c r="F816" s="24">
        <f t="shared" si="286"/>
        <v>0</v>
      </c>
      <c r="G816" s="24" t="e">
        <f t="shared" si="285"/>
        <v>#DIV/0!</v>
      </c>
      <c r="Q816" s="29" t="str">
        <f t="shared" si="287"/>
        <v>NA</v>
      </c>
      <c r="R816" s="29" t="str">
        <f t="shared" si="288"/>
        <v>NA</v>
      </c>
      <c r="S816" s="29" t="str">
        <f t="shared" si="289"/>
        <v>NA</v>
      </c>
      <c r="T816" s="29" t="str">
        <f t="shared" si="290"/>
        <v>NA</v>
      </c>
      <c r="U816" s="29" t="str">
        <f t="shared" si="291"/>
        <v>NA</v>
      </c>
      <c r="V816" s="29" t="str">
        <f t="shared" si="292"/>
        <v>NA</v>
      </c>
      <c r="W816" s="29" t="str">
        <f t="shared" si="293"/>
        <v>NA</v>
      </c>
      <c r="X816" s="29" t="str">
        <f t="shared" si="294"/>
        <v>NA</v>
      </c>
      <c r="Y816" s="29" t="str">
        <f t="shared" si="295"/>
        <v>NA</v>
      </c>
      <c r="Z816" s="29" t="str">
        <f t="shared" si="296"/>
        <v>NA</v>
      </c>
      <c r="AA816" s="29" t="str">
        <f t="shared" si="297"/>
        <v>NA</v>
      </c>
      <c r="AB816" s="29" t="str">
        <f t="shared" si="298"/>
        <v>NA</v>
      </c>
      <c r="AC816" s="29" t="str">
        <f t="shared" si="299"/>
        <v>NA</v>
      </c>
      <c r="AD816" s="29" t="str">
        <f t="shared" si="300"/>
        <v>NA</v>
      </c>
      <c r="AE816" s="29" t="str">
        <f t="shared" si="301"/>
        <v>NA</v>
      </c>
      <c r="AF816" s="29" t="str">
        <f t="shared" si="302"/>
        <v>NA</v>
      </c>
      <c r="AG816" s="29" t="str">
        <f t="shared" si="303"/>
        <v>NA</v>
      </c>
      <c r="AH816" s="29" t="str">
        <f t="shared" si="304"/>
        <v>NA</v>
      </c>
    </row>
    <row r="817" customHeight="1" spans="1:34">
      <c r="A817" s="12" t="s">
        <v>1043</v>
      </c>
      <c r="F817" s="24">
        <f t="shared" si="286"/>
        <v>0</v>
      </c>
      <c r="G817" s="24" t="e">
        <f t="shared" si="285"/>
        <v>#DIV/0!</v>
      </c>
      <c r="Q817" s="29" t="str">
        <f t="shared" si="287"/>
        <v>NA</v>
      </c>
      <c r="R817" s="29" t="str">
        <f t="shared" si="288"/>
        <v>NA</v>
      </c>
      <c r="S817" s="29" t="str">
        <f t="shared" si="289"/>
        <v>NA</v>
      </c>
      <c r="T817" s="29" t="str">
        <f t="shared" si="290"/>
        <v>NA</v>
      </c>
      <c r="U817" s="29" t="str">
        <f t="shared" si="291"/>
        <v>NA</v>
      </c>
      <c r="V817" s="29" t="str">
        <f t="shared" si="292"/>
        <v>NA</v>
      </c>
      <c r="W817" s="29" t="str">
        <f t="shared" si="293"/>
        <v>NA</v>
      </c>
      <c r="X817" s="29" t="str">
        <f t="shared" si="294"/>
        <v>NA</v>
      </c>
      <c r="Y817" s="29" t="str">
        <f t="shared" si="295"/>
        <v>NA</v>
      </c>
      <c r="Z817" s="29" t="str">
        <f t="shared" si="296"/>
        <v>NA</v>
      </c>
      <c r="AA817" s="29" t="str">
        <f t="shared" si="297"/>
        <v>NA</v>
      </c>
      <c r="AB817" s="29" t="str">
        <f t="shared" si="298"/>
        <v>NA</v>
      </c>
      <c r="AC817" s="29" t="str">
        <f t="shared" si="299"/>
        <v>NA</v>
      </c>
      <c r="AD817" s="29" t="str">
        <f t="shared" si="300"/>
        <v>NA</v>
      </c>
      <c r="AE817" s="29" t="str">
        <f t="shared" si="301"/>
        <v>NA</v>
      </c>
      <c r="AF817" s="29" t="str">
        <f t="shared" si="302"/>
        <v>NA</v>
      </c>
      <c r="AG817" s="29" t="str">
        <f t="shared" si="303"/>
        <v>NA</v>
      </c>
      <c r="AH817" s="29" t="str">
        <f t="shared" si="304"/>
        <v>NA</v>
      </c>
    </row>
    <row r="818" customHeight="1" spans="1:34">
      <c r="A818" s="12" t="s">
        <v>1043</v>
      </c>
      <c r="F818" s="24">
        <f t="shared" si="286"/>
        <v>0</v>
      </c>
      <c r="G818" s="24" t="e">
        <f t="shared" si="285"/>
        <v>#DIV/0!</v>
      </c>
      <c r="Q818" s="29" t="str">
        <f t="shared" si="287"/>
        <v>NA</v>
      </c>
      <c r="R818" s="29" t="str">
        <f t="shared" si="288"/>
        <v>NA</v>
      </c>
      <c r="S818" s="29" t="str">
        <f t="shared" si="289"/>
        <v>NA</v>
      </c>
      <c r="T818" s="29" t="str">
        <f t="shared" si="290"/>
        <v>NA</v>
      </c>
      <c r="U818" s="29" t="str">
        <f t="shared" si="291"/>
        <v>NA</v>
      </c>
      <c r="V818" s="29" t="str">
        <f t="shared" si="292"/>
        <v>NA</v>
      </c>
      <c r="W818" s="29" t="str">
        <f t="shared" si="293"/>
        <v>NA</v>
      </c>
      <c r="X818" s="29" t="str">
        <f t="shared" si="294"/>
        <v>NA</v>
      </c>
      <c r="Y818" s="29" t="str">
        <f t="shared" si="295"/>
        <v>NA</v>
      </c>
      <c r="Z818" s="29" t="str">
        <f t="shared" si="296"/>
        <v>NA</v>
      </c>
      <c r="AA818" s="29" t="str">
        <f t="shared" si="297"/>
        <v>NA</v>
      </c>
      <c r="AB818" s="29" t="str">
        <f t="shared" si="298"/>
        <v>NA</v>
      </c>
      <c r="AC818" s="29" t="str">
        <f t="shared" si="299"/>
        <v>NA</v>
      </c>
      <c r="AD818" s="29" t="str">
        <f t="shared" si="300"/>
        <v>NA</v>
      </c>
      <c r="AE818" s="29" t="str">
        <f t="shared" si="301"/>
        <v>NA</v>
      </c>
      <c r="AF818" s="29" t="str">
        <f t="shared" si="302"/>
        <v>NA</v>
      </c>
      <c r="AG818" s="29" t="str">
        <f t="shared" si="303"/>
        <v>NA</v>
      </c>
      <c r="AH818" s="29" t="str">
        <f t="shared" si="304"/>
        <v>NA</v>
      </c>
    </row>
    <row r="819" customHeight="1" spans="1:34">
      <c r="A819" s="12" t="s">
        <v>1043</v>
      </c>
      <c r="F819" s="24">
        <f t="shared" si="286"/>
        <v>0</v>
      </c>
      <c r="G819" s="24" t="e">
        <f t="shared" si="285"/>
        <v>#DIV/0!</v>
      </c>
      <c r="Q819" s="29" t="str">
        <f t="shared" si="287"/>
        <v>NA</v>
      </c>
      <c r="R819" s="29" t="str">
        <f t="shared" si="288"/>
        <v>NA</v>
      </c>
      <c r="S819" s="29" t="str">
        <f t="shared" si="289"/>
        <v>NA</v>
      </c>
      <c r="T819" s="29" t="str">
        <f t="shared" si="290"/>
        <v>NA</v>
      </c>
      <c r="U819" s="29" t="str">
        <f t="shared" si="291"/>
        <v>NA</v>
      </c>
      <c r="V819" s="29" t="str">
        <f t="shared" si="292"/>
        <v>NA</v>
      </c>
      <c r="W819" s="29" t="str">
        <f t="shared" si="293"/>
        <v>NA</v>
      </c>
      <c r="X819" s="29" t="str">
        <f t="shared" si="294"/>
        <v>NA</v>
      </c>
      <c r="Y819" s="29" t="str">
        <f t="shared" si="295"/>
        <v>NA</v>
      </c>
      <c r="Z819" s="29" t="str">
        <f t="shared" si="296"/>
        <v>NA</v>
      </c>
      <c r="AA819" s="29" t="str">
        <f t="shared" si="297"/>
        <v>NA</v>
      </c>
      <c r="AB819" s="29" t="str">
        <f t="shared" si="298"/>
        <v>NA</v>
      </c>
      <c r="AC819" s="29" t="str">
        <f t="shared" si="299"/>
        <v>NA</v>
      </c>
      <c r="AD819" s="29" t="str">
        <f t="shared" si="300"/>
        <v>NA</v>
      </c>
      <c r="AE819" s="29" t="str">
        <f t="shared" si="301"/>
        <v>NA</v>
      </c>
      <c r="AF819" s="29" t="str">
        <f t="shared" si="302"/>
        <v>NA</v>
      </c>
      <c r="AG819" s="29" t="str">
        <f t="shared" si="303"/>
        <v>NA</v>
      </c>
      <c r="AH819" s="29" t="str">
        <f t="shared" si="304"/>
        <v>NA</v>
      </c>
    </row>
    <row r="820" customHeight="1" spans="1:34">
      <c r="A820" s="12" t="s">
        <v>1043</v>
      </c>
      <c r="F820" s="24">
        <f t="shared" si="286"/>
        <v>0</v>
      </c>
      <c r="G820" s="24" t="e">
        <f t="shared" si="285"/>
        <v>#DIV/0!</v>
      </c>
      <c r="Q820" s="29" t="str">
        <f t="shared" si="287"/>
        <v>NA</v>
      </c>
      <c r="R820" s="29" t="str">
        <f t="shared" si="288"/>
        <v>NA</v>
      </c>
      <c r="S820" s="29" t="str">
        <f t="shared" si="289"/>
        <v>NA</v>
      </c>
      <c r="T820" s="29" t="str">
        <f t="shared" si="290"/>
        <v>NA</v>
      </c>
      <c r="U820" s="29" t="str">
        <f t="shared" si="291"/>
        <v>NA</v>
      </c>
      <c r="V820" s="29" t="str">
        <f t="shared" si="292"/>
        <v>NA</v>
      </c>
      <c r="W820" s="29" t="str">
        <f t="shared" si="293"/>
        <v>NA</v>
      </c>
      <c r="X820" s="29" t="str">
        <f t="shared" si="294"/>
        <v>NA</v>
      </c>
      <c r="Y820" s="29" t="str">
        <f t="shared" si="295"/>
        <v>NA</v>
      </c>
      <c r="Z820" s="29" t="str">
        <f t="shared" si="296"/>
        <v>NA</v>
      </c>
      <c r="AA820" s="29" t="str">
        <f t="shared" si="297"/>
        <v>NA</v>
      </c>
      <c r="AB820" s="29" t="str">
        <f t="shared" si="298"/>
        <v>NA</v>
      </c>
      <c r="AC820" s="29" t="str">
        <f t="shared" si="299"/>
        <v>NA</v>
      </c>
      <c r="AD820" s="29" t="str">
        <f t="shared" si="300"/>
        <v>NA</v>
      </c>
      <c r="AE820" s="29" t="str">
        <f t="shared" si="301"/>
        <v>NA</v>
      </c>
      <c r="AF820" s="29" t="str">
        <f t="shared" si="302"/>
        <v>NA</v>
      </c>
      <c r="AG820" s="29" t="str">
        <f t="shared" si="303"/>
        <v>NA</v>
      </c>
      <c r="AH820" s="29" t="str">
        <f t="shared" si="304"/>
        <v>NA</v>
      </c>
    </row>
    <row r="821" customHeight="1" spans="1:34">
      <c r="A821" s="12" t="s">
        <v>1043</v>
      </c>
      <c r="F821" s="24">
        <f t="shared" si="286"/>
        <v>0</v>
      </c>
      <c r="G821" s="24" t="e">
        <f t="shared" si="285"/>
        <v>#DIV/0!</v>
      </c>
      <c r="Q821" s="29" t="str">
        <f t="shared" si="287"/>
        <v>NA</v>
      </c>
      <c r="R821" s="29" t="str">
        <f t="shared" si="288"/>
        <v>NA</v>
      </c>
      <c r="S821" s="29" t="str">
        <f t="shared" si="289"/>
        <v>NA</v>
      </c>
      <c r="T821" s="29" t="str">
        <f t="shared" si="290"/>
        <v>NA</v>
      </c>
      <c r="U821" s="29" t="str">
        <f t="shared" si="291"/>
        <v>NA</v>
      </c>
      <c r="V821" s="29" t="str">
        <f t="shared" si="292"/>
        <v>NA</v>
      </c>
      <c r="W821" s="29" t="str">
        <f t="shared" si="293"/>
        <v>NA</v>
      </c>
      <c r="X821" s="29" t="str">
        <f t="shared" si="294"/>
        <v>NA</v>
      </c>
      <c r="Y821" s="29" t="str">
        <f t="shared" si="295"/>
        <v>NA</v>
      </c>
      <c r="Z821" s="29" t="str">
        <f t="shared" si="296"/>
        <v>NA</v>
      </c>
      <c r="AA821" s="29" t="str">
        <f t="shared" si="297"/>
        <v>NA</v>
      </c>
      <c r="AB821" s="29" t="str">
        <f t="shared" si="298"/>
        <v>NA</v>
      </c>
      <c r="AC821" s="29" t="str">
        <f t="shared" si="299"/>
        <v>NA</v>
      </c>
      <c r="AD821" s="29" t="str">
        <f t="shared" si="300"/>
        <v>NA</v>
      </c>
      <c r="AE821" s="29" t="str">
        <f t="shared" si="301"/>
        <v>NA</v>
      </c>
      <c r="AF821" s="29" t="str">
        <f t="shared" si="302"/>
        <v>NA</v>
      </c>
      <c r="AG821" s="29" t="str">
        <f t="shared" si="303"/>
        <v>NA</v>
      </c>
      <c r="AH821" s="29" t="str">
        <f t="shared" si="304"/>
        <v>NA</v>
      </c>
    </row>
    <row r="822" customHeight="1" spans="1:34">
      <c r="A822" s="12" t="s">
        <v>1043</v>
      </c>
      <c r="F822" s="24">
        <f t="shared" si="286"/>
        <v>0</v>
      </c>
      <c r="G822" s="24" t="e">
        <f t="shared" si="285"/>
        <v>#DIV/0!</v>
      </c>
      <c r="Q822" s="29" t="str">
        <f t="shared" si="287"/>
        <v>NA</v>
      </c>
      <c r="R822" s="29" t="str">
        <f t="shared" si="288"/>
        <v>NA</v>
      </c>
      <c r="S822" s="29" t="str">
        <f t="shared" si="289"/>
        <v>NA</v>
      </c>
      <c r="T822" s="29" t="str">
        <f t="shared" si="290"/>
        <v>NA</v>
      </c>
      <c r="U822" s="29" t="str">
        <f t="shared" si="291"/>
        <v>NA</v>
      </c>
      <c r="V822" s="29" t="str">
        <f t="shared" si="292"/>
        <v>NA</v>
      </c>
      <c r="W822" s="29" t="str">
        <f t="shared" si="293"/>
        <v>NA</v>
      </c>
      <c r="X822" s="29" t="str">
        <f t="shared" si="294"/>
        <v>NA</v>
      </c>
      <c r="Y822" s="29" t="str">
        <f t="shared" si="295"/>
        <v>NA</v>
      </c>
      <c r="Z822" s="29" t="str">
        <f t="shared" si="296"/>
        <v>NA</v>
      </c>
      <c r="AA822" s="29" t="str">
        <f t="shared" si="297"/>
        <v>NA</v>
      </c>
      <c r="AB822" s="29" t="str">
        <f t="shared" si="298"/>
        <v>NA</v>
      </c>
      <c r="AC822" s="29" t="str">
        <f t="shared" si="299"/>
        <v>NA</v>
      </c>
      <c r="AD822" s="29" t="str">
        <f t="shared" si="300"/>
        <v>NA</v>
      </c>
      <c r="AE822" s="29" t="str">
        <f t="shared" si="301"/>
        <v>NA</v>
      </c>
      <c r="AF822" s="29" t="str">
        <f t="shared" si="302"/>
        <v>NA</v>
      </c>
      <c r="AG822" s="29" t="str">
        <f t="shared" si="303"/>
        <v>NA</v>
      </c>
      <c r="AH822" s="29" t="str">
        <f t="shared" si="304"/>
        <v>NA</v>
      </c>
    </row>
    <row r="823" customHeight="1" spans="1:34">
      <c r="A823" s="12" t="s">
        <v>1043</v>
      </c>
      <c r="F823" s="24">
        <f t="shared" si="286"/>
        <v>0</v>
      </c>
      <c r="G823" s="24" t="e">
        <f t="shared" si="285"/>
        <v>#DIV/0!</v>
      </c>
      <c r="Q823" s="29" t="str">
        <f t="shared" si="287"/>
        <v>NA</v>
      </c>
      <c r="R823" s="29" t="str">
        <f t="shared" si="288"/>
        <v>NA</v>
      </c>
      <c r="S823" s="29" t="str">
        <f t="shared" si="289"/>
        <v>NA</v>
      </c>
      <c r="T823" s="29" t="str">
        <f t="shared" si="290"/>
        <v>NA</v>
      </c>
      <c r="U823" s="29" t="str">
        <f t="shared" si="291"/>
        <v>NA</v>
      </c>
      <c r="V823" s="29" t="str">
        <f t="shared" si="292"/>
        <v>NA</v>
      </c>
      <c r="W823" s="29" t="str">
        <f t="shared" si="293"/>
        <v>NA</v>
      </c>
      <c r="X823" s="29" t="str">
        <f t="shared" si="294"/>
        <v>NA</v>
      </c>
      <c r="Y823" s="29" t="str">
        <f t="shared" si="295"/>
        <v>NA</v>
      </c>
      <c r="Z823" s="29" t="str">
        <f t="shared" si="296"/>
        <v>NA</v>
      </c>
      <c r="AA823" s="29" t="str">
        <f t="shared" si="297"/>
        <v>NA</v>
      </c>
      <c r="AB823" s="29" t="str">
        <f t="shared" si="298"/>
        <v>NA</v>
      </c>
      <c r="AC823" s="29" t="str">
        <f t="shared" si="299"/>
        <v>NA</v>
      </c>
      <c r="AD823" s="29" t="str">
        <f t="shared" si="300"/>
        <v>NA</v>
      </c>
      <c r="AE823" s="29" t="str">
        <f t="shared" si="301"/>
        <v>NA</v>
      </c>
      <c r="AF823" s="29" t="str">
        <f t="shared" si="302"/>
        <v>NA</v>
      </c>
      <c r="AG823" s="29" t="str">
        <f t="shared" si="303"/>
        <v>NA</v>
      </c>
      <c r="AH823" s="29" t="str">
        <f t="shared" si="304"/>
        <v>NA</v>
      </c>
    </row>
    <row r="824" customHeight="1" spans="1:34">
      <c r="A824" s="12" t="s">
        <v>1043</v>
      </c>
      <c r="F824" s="24">
        <f t="shared" si="286"/>
        <v>0</v>
      </c>
      <c r="G824" s="24" t="e">
        <f t="shared" si="285"/>
        <v>#DIV/0!</v>
      </c>
      <c r="Q824" s="29" t="str">
        <f t="shared" si="287"/>
        <v>NA</v>
      </c>
      <c r="R824" s="29" t="str">
        <f t="shared" si="288"/>
        <v>NA</v>
      </c>
      <c r="S824" s="29" t="str">
        <f t="shared" si="289"/>
        <v>NA</v>
      </c>
      <c r="T824" s="29" t="str">
        <f t="shared" si="290"/>
        <v>NA</v>
      </c>
      <c r="U824" s="29" t="str">
        <f t="shared" si="291"/>
        <v>NA</v>
      </c>
      <c r="V824" s="29" t="str">
        <f t="shared" si="292"/>
        <v>NA</v>
      </c>
      <c r="W824" s="29" t="str">
        <f t="shared" si="293"/>
        <v>NA</v>
      </c>
      <c r="X824" s="29" t="str">
        <f t="shared" si="294"/>
        <v>NA</v>
      </c>
      <c r="Y824" s="29" t="str">
        <f t="shared" si="295"/>
        <v>NA</v>
      </c>
      <c r="Z824" s="29" t="str">
        <f t="shared" si="296"/>
        <v>NA</v>
      </c>
      <c r="AA824" s="29" t="str">
        <f t="shared" si="297"/>
        <v>NA</v>
      </c>
      <c r="AB824" s="29" t="str">
        <f t="shared" si="298"/>
        <v>NA</v>
      </c>
      <c r="AC824" s="29" t="str">
        <f t="shared" si="299"/>
        <v>NA</v>
      </c>
      <c r="AD824" s="29" t="str">
        <f t="shared" si="300"/>
        <v>NA</v>
      </c>
      <c r="AE824" s="29" t="str">
        <f t="shared" si="301"/>
        <v>NA</v>
      </c>
      <c r="AF824" s="29" t="str">
        <f t="shared" si="302"/>
        <v>NA</v>
      </c>
      <c r="AG824" s="29" t="str">
        <f t="shared" si="303"/>
        <v>NA</v>
      </c>
      <c r="AH824" s="29" t="str">
        <f t="shared" si="304"/>
        <v>NA</v>
      </c>
    </row>
    <row r="825" customHeight="1" spans="1:34">
      <c r="A825" s="12" t="s">
        <v>1043</v>
      </c>
      <c r="F825" s="24">
        <f t="shared" si="286"/>
        <v>0</v>
      </c>
      <c r="G825" s="24" t="e">
        <f t="shared" si="285"/>
        <v>#DIV/0!</v>
      </c>
      <c r="Q825" s="29" t="str">
        <f t="shared" si="287"/>
        <v>NA</v>
      </c>
      <c r="R825" s="29" t="str">
        <f t="shared" si="288"/>
        <v>NA</v>
      </c>
      <c r="S825" s="29" t="str">
        <f t="shared" si="289"/>
        <v>NA</v>
      </c>
      <c r="T825" s="29" t="str">
        <f t="shared" si="290"/>
        <v>NA</v>
      </c>
      <c r="U825" s="29" t="str">
        <f t="shared" si="291"/>
        <v>NA</v>
      </c>
      <c r="V825" s="29" t="str">
        <f t="shared" si="292"/>
        <v>NA</v>
      </c>
      <c r="W825" s="29" t="str">
        <f t="shared" si="293"/>
        <v>NA</v>
      </c>
      <c r="X825" s="29" t="str">
        <f t="shared" si="294"/>
        <v>NA</v>
      </c>
      <c r="Y825" s="29" t="str">
        <f t="shared" si="295"/>
        <v>NA</v>
      </c>
      <c r="Z825" s="29" t="str">
        <f t="shared" si="296"/>
        <v>NA</v>
      </c>
      <c r="AA825" s="29" t="str">
        <f t="shared" si="297"/>
        <v>NA</v>
      </c>
      <c r="AB825" s="29" t="str">
        <f t="shared" si="298"/>
        <v>NA</v>
      </c>
      <c r="AC825" s="29" t="str">
        <f t="shared" si="299"/>
        <v>NA</v>
      </c>
      <c r="AD825" s="29" t="str">
        <f t="shared" si="300"/>
        <v>NA</v>
      </c>
      <c r="AE825" s="29" t="str">
        <f t="shared" si="301"/>
        <v>NA</v>
      </c>
      <c r="AF825" s="29" t="str">
        <f t="shared" si="302"/>
        <v>NA</v>
      </c>
      <c r="AG825" s="29" t="str">
        <f t="shared" si="303"/>
        <v>NA</v>
      </c>
      <c r="AH825" s="29" t="str">
        <f t="shared" si="304"/>
        <v>NA</v>
      </c>
    </row>
    <row r="826" customHeight="1" spans="1:34">
      <c r="A826" s="12" t="s">
        <v>1043</v>
      </c>
      <c r="F826" s="24">
        <f t="shared" si="286"/>
        <v>0</v>
      </c>
      <c r="G826" s="24" t="e">
        <f t="shared" si="285"/>
        <v>#DIV/0!</v>
      </c>
      <c r="Q826" s="29" t="str">
        <f t="shared" si="287"/>
        <v>NA</v>
      </c>
      <c r="R826" s="29" t="str">
        <f t="shared" si="288"/>
        <v>NA</v>
      </c>
      <c r="S826" s="29" t="str">
        <f t="shared" si="289"/>
        <v>NA</v>
      </c>
      <c r="T826" s="29" t="str">
        <f t="shared" si="290"/>
        <v>NA</v>
      </c>
      <c r="U826" s="29" t="str">
        <f t="shared" si="291"/>
        <v>NA</v>
      </c>
      <c r="V826" s="29" t="str">
        <f t="shared" si="292"/>
        <v>NA</v>
      </c>
      <c r="W826" s="29" t="str">
        <f t="shared" si="293"/>
        <v>NA</v>
      </c>
      <c r="X826" s="29" t="str">
        <f t="shared" si="294"/>
        <v>NA</v>
      </c>
      <c r="Y826" s="29" t="str">
        <f t="shared" si="295"/>
        <v>NA</v>
      </c>
      <c r="Z826" s="29" t="str">
        <f t="shared" si="296"/>
        <v>NA</v>
      </c>
      <c r="AA826" s="29" t="str">
        <f t="shared" si="297"/>
        <v>NA</v>
      </c>
      <c r="AB826" s="29" t="str">
        <f t="shared" si="298"/>
        <v>NA</v>
      </c>
      <c r="AC826" s="29" t="str">
        <f t="shared" si="299"/>
        <v>NA</v>
      </c>
      <c r="AD826" s="29" t="str">
        <f t="shared" si="300"/>
        <v>NA</v>
      </c>
      <c r="AE826" s="29" t="str">
        <f t="shared" si="301"/>
        <v>NA</v>
      </c>
      <c r="AF826" s="29" t="str">
        <f t="shared" si="302"/>
        <v>NA</v>
      </c>
      <c r="AG826" s="29" t="str">
        <f t="shared" si="303"/>
        <v>NA</v>
      </c>
      <c r="AH826" s="29" t="str">
        <f t="shared" si="304"/>
        <v>NA</v>
      </c>
    </row>
    <row r="827" customHeight="1" spans="1:34">
      <c r="A827" s="12" t="s">
        <v>1043</v>
      </c>
      <c r="F827" s="24">
        <f t="shared" si="286"/>
        <v>0</v>
      </c>
      <c r="G827" s="24" t="e">
        <f t="shared" si="285"/>
        <v>#DIV/0!</v>
      </c>
      <c r="Q827" s="29" t="str">
        <f t="shared" si="287"/>
        <v>NA</v>
      </c>
      <c r="R827" s="29" t="str">
        <f t="shared" si="288"/>
        <v>NA</v>
      </c>
      <c r="S827" s="29" t="str">
        <f t="shared" si="289"/>
        <v>NA</v>
      </c>
      <c r="T827" s="29" t="str">
        <f t="shared" si="290"/>
        <v>NA</v>
      </c>
      <c r="U827" s="29" t="str">
        <f t="shared" si="291"/>
        <v>NA</v>
      </c>
      <c r="V827" s="29" t="str">
        <f t="shared" si="292"/>
        <v>NA</v>
      </c>
      <c r="W827" s="29" t="str">
        <f t="shared" si="293"/>
        <v>NA</v>
      </c>
      <c r="X827" s="29" t="str">
        <f t="shared" si="294"/>
        <v>NA</v>
      </c>
      <c r="Y827" s="29" t="str">
        <f t="shared" si="295"/>
        <v>NA</v>
      </c>
      <c r="Z827" s="29" t="str">
        <f t="shared" si="296"/>
        <v>NA</v>
      </c>
      <c r="AA827" s="29" t="str">
        <f t="shared" si="297"/>
        <v>NA</v>
      </c>
      <c r="AB827" s="29" t="str">
        <f t="shared" si="298"/>
        <v>NA</v>
      </c>
      <c r="AC827" s="29" t="str">
        <f t="shared" si="299"/>
        <v>NA</v>
      </c>
      <c r="AD827" s="29" t="str">
        <f t="shared" si="300"/>
        <v>NA</v>
      </c>
      <c r="AE827" s="29" t="str">
        <f t="shared" si="301"/>
        <v>NA</v>
      </c>
      <c r="AF827" s="29" t="str">
        <f t="shared" si="302"/>
        <v>NA</v>
      </c>
      <c r="AG827" s="29" t="str">
        <f t="shared" si="303"/>
        <v>NA</v>
      </c>
      <c r="AH827" s="29" t="str">
        <f t="shared" si="304"/>
        <v>NA</v>
      </c>
    </row>
    <row r="828" customHeight="1" spans="1:34">
      <c r="A828" s="12" t="s">
        <v>1043</v>
      </c>
      <c r="F828" s="24">
        <f t="shared" si="286"/>
        <v>0</v>
      </c>
      <c r="G828" s="24" t="e">
        <f t="shared" si="285"/>
        <v>#DIV/0!</v>
      </c>
      <c r="Q828" s="29" t="str">
        <f t="shared" si="287"/>
        <v>NA</v>
      </c>
      <c r="R828" s="29" t="str">
        <f t="shared" si="288"/>
        <v>NA</v>
      </c>
      <c r="S828" s="29" t="str">
        <f t="shared" si="289"/>
        <v>NA</v>
      </c>
      <c r="T828" s="29" t="str">
        <f t="shared" si="290"/>
        <v>NA</v>
      </c>
      <c r="U828" s="29" t="str">
        <f t="shared" si="291"/>
        <v>NA</v>
      </c>
      <c r="V828" s="29" t="str">
        <f t="shared" si="292"/>
        <v>NA</v>
      </c>
      <c r="W828" s="29" t="str">
        <f t="shared" si="293"/>
        <v>NA</v>
      </c>
      <c r="X828" s="29" t="str">
        <f t="shared" si="294"/>
        <v>NA</v>
      </c>
      <c r="Y828" s="29" t="str">
        <f t="shared" si="295"/>
        <v>NA</v>
      </c>
      <c r="Z828" s="29" t="str">
        <f t="shared" si="296"/>
        <v>NA</v>
      </c>
      <c r="AA828" s="29" t="str">
        <f t="shared" si="297"/>
        <v>NA</v>
      </c>
      <c r="AB828" s="29" t="str">
        <f t="shared" si="298"/>
        <v>NA</v>
      </c>
      <c r="AC828" s="29" t="str">
        <f t="shared" si="299"/>
        <v>NA</v>
      </c>
      <c r="AD828" s="29" t="str">
        <f t="shared" si="300"/>
        <v>NA</v>
      </c>
      <c r="AE828" s="29" t="str">
        <f t="shared" si="301"/>
        <v>NA</v>
      </c>
      <c r="AF828" s="29" t="str">
        <f t="shared" si="302"/>
        <v>NA</v>
      </c>
      <c r="AG828" s="29" t="str">
        <f t="shared" si="303"/>
        <v>NA</v>
      </c>
      <c r="AH828" s="29" t="str">
        <f t="shared" si="304"/>
        <v>NA</v>
      </c>
    </row>
    <row r="829" customHeight="1" spans="1:34">
      <c r="A829" s="12" t="s">
        <v>1043</v>
      </c>
      <c r="F829" s="24">
        <f t="shared" si="286"/>
        <v>0</v>
      </c>
      <c r="G829" s="24" t="e">
        <f t="shared" si="285"/>
        <v>#DIV/0!</v>
      </c>
      <c r="Q829" s="29" t="str">
        <f t="shared" si="287"/>
        <v>NA</v>
      </c>
      <c r="R829" s="29" t="str">
        <f t="shared" si="288"/>
        <v>NA</v>
      </c>
      <c r="S829" s="29" t="str">
        <f t="shared" si="289"/>
        <v>NA</v>
      </c>
      <c r="T829" s="29" t="str">
        <f t="shared" si="290"/>
        <v>NA</v>
      </c>
      <c r="U829" s="29" t="str">
        <f t="shared" si="291"/>
        <v>NA</v>
      </c>
      <c r="V829" s="29" t="str">
        <f t="shared" si="292"/>
        <v>NA</v>
      </c>
      <c r="W829" s="29" t="str">
        <f t="shared" si="293"/>
        <v>NA</v>
      </c>
      <c r="X829" s="29" t="str">
        <f t="shared" si="294"/>
        <v>NA</v>
      </c>
      <c r="Y829" s="29" t="str">
        <f t="shared" si="295"/>
        <v>NA</v>
      </c>
      <c r="Z829" s="29" t="str">
        <f t="shared" si="296"/>
        <v>NA</v>
      </c>
      <c r="AA829" s="29" t="str">
        <f t="shared" si="297"/>
        <v>NA</v>
      </c>
      <c r="AB829" s="29" t="str">
        <f t="shared" si="298"/>
        <v>NA</v>
      </c>
      <c r="AC829" s="29" t="str">
        <f t="shared" si="299"/>
        <v>NA</v>
      </c>
      <c r="AD829" s="29" t="str">
        <f t="shared" si="300"/>
        <v>NA</v>
      </c>
      <c r="AE829" s="29" t="str">
        <f t="shared" si="301"/>
        <v>NA</v>
      </c>
      <c r="AF829" s="29" t="str">
        <f t="shared" si="302"/>
        <v>NA</v>
      </c>
      <c r="AG829" s="29" t="str">
        <f t="shared" si="303"/>
        <v>NA</v>
      </c>
      <c r="AH829" s="29" t="str">
        <f t="shared" si="304"/>
        <v>NA</v>
      </c>
    </row>
    <row r="830" customHeight="1" spans="1:34">
      <c r="A830" s="12" t="s">
        <v>1043</v>
      </c>
      <c r="F830" s="24">
        <f t="shared" si="286"/>
        <v>0</v>
      </c>
      <c r="G830" s="24" t="e">
        <f t="shared" si="285"/>
        <v>#DIV/0!</v>
      </c>
      <c r="Q830" s="29" t="str">
        <f t="shared" si="287"/>
        <v>NA</v>
      </c>
      <c r="R830" s="29" t="str">
        <f t="shared" si="288"/>
        <v>NA</v>
      </c>
      <c r="S830" s="29" t="str">
        <f t="shared" si="289"/>
        <v>NA</v>
      </c>
      <c r="T830" s="29" t="str">
        <f t="shared" si="290"/>
        <v>NA</v>
      </c>
      <c r="U830" s="29" t="str">
        <f t="shared" si="291"/>
        <v>NA</v>
      </c>
      <c r="V830" s="29" t="str">
        <f t="shared" si="292"/>
        <v>NA</v>
      </c>
      <c r="W830" s="29" t="str">
        <f t="shared" si="293"/>
        <v>NA</v>
      </c>
      <c r="X830" s="29" t="str">
        <f t="shared" si="294"/>
        <v>NA</v>
      </c>
      <c r="Y830" s="29" t="str">
        <f t="shared" si="295"/>
        <v>NA</v>
      </c>
      <c r="Z830" s="29" t="str">
        <f t="shared" si="296"/>
        <v>NA</v>
      </c>
      <c r="AA830" s="29" t="str">
        <f t="shared" si="297"/>
        <v>NA</v>
      </c>
      <c r="AB830" s="29" t="str">
        <f t="shared" si="298"/>
        <v>NA</v>
      </c>
      <c r="AC830" s="29" t="str">
        <f t="shared" si="299"/>
        <v>NA</v>
      </c>
      <c r="AD830" s="29" t="str">
        <f t="shared" si="300"/>
        <v>NA</v>
      </c>
      <c r="AE830" s="29" t="str">
        <f t="shared" si="301"/>
        <v>NA</v>
      </c>
      <c r="AF830" s="29" t="str">
        <f t="shared" si="302"/>
        <v>NA</v>
      </c>
      <c r="AG830" s="29" t="str">
        <f t="shared" si="303"/>
        <v>NA</v>
      </c>
      <c r="AH830" s="29" t="str">
        <f t="shared" si="304"/>
        <v>NA</v>
      </c>
    </row>
    <row r="831" customHeight="1" spans="1:34">
      <c r="A831" s="12" t="s">
        <v>1043</v>
      </c>
      <c r="F831" s="24">
        <f t="shared" si="286"/>
        <v>0</v>
      </c>
      <c r="G831" s="24" t="e">
        <f t="shared" si="285"/>
        <v>#DIV/0!</v>
      </c>
      <c r="Q831" s="29" t="str">
        <f t="shared" si="287"/>
        <v>NA</v>
      </c>
      <c r="R831" s="29" t="str">
        <f t="shared" si="288"/>
        <v>NA</v>
      </c>
      <c r="S831" s="29" t="str">
        <f t="shared" si="289"/>
        <v>NA</v>
      </c>
      <c r="T831" s="29" t="str">
        <f t="shared" si="290"/>
        <v>NA</v>
      </c>
      <c r="U831" s="29" t="str">
        <f t="shared" si="291"/>
        <v>NA</v>
      </c>
      <c r="V831" s="29" t="str">
        <f t="shared" si="292"/>
        <v>NA</v>
      </c>
      <c r="W831" s="29" t="str">
        <f t="shared" si="293"/>
        <v>NA</v>
      </c>
      <c r="X831" s="29" t="str">
        <f t="shared" si="294"/>
        <v>NA</v>
      </c>
      <c r="Y831" s="29" t="str">
        <f t="shared" si="295"/>
        <v>NA</v>
      </c>
      <c r="Z831" s="29" t="str">
        <f t="shared" si="296"/>
        <v>NA</v>
      </c>
      <c r="AA831" s="29" t="str">
        <f t="shared" si="297"/>
        <v>NA</v>
      </c>
      <c r="AB831" s="29" t="str">
        <f t="shared" si="298"/>
        <v>NA</v>
      </c>
      <c r="AC831" s="29" t="str">
        <f t="shared" si="299"/>
        <v>NA</v>
      </c>
      <c r="AD831" s="29" t="str">
        <f t="shared" si="300"/>
        <v>NA</v>
      </c>
      <c r="AE831" s="29" t="str">
        <f t="shared" si="301"/>
        <v>NA</v>
      </c>
      <c r="AF831" s="29" t="str">
        <f t="shared" si="302"/>
        <v>NA</v>
      </c>
      <c r="AG831" s="29" t="str">
        <f t="shared" si="303"/>
        <v>NA</v>
      </c>
      <c r="AH831" s="29" t="str">
        <f t="shared" si="304"/>
        <v>NA</v>
      </c>
    </row>
    <row r="832" customHeight="1" spans="1:34">
      <c r="A832" s="12" t="s">
        <v>1043</v>
      </c>
      <c r="F832" s="24">
        <f t="shared" si="286"/>
        <v>0</v>
      </c>
      <c r="G832" s="24" t="e">
        <f t="shared" si="285"/>
        <v>#DIV/0!</v>
      </c>
      <c r="Q832" s="29" t="str">
        <f t="shared" si="287"/>
        <v>NA</v>
      </c>
      <c r="R832" s="29" t="str">
        <f t="shared" si="288"/>
        <v>NA</v>
      </c>
      <c r="S832" s="29" t="str">
        <f t="shared" si="289"/>
        <v>NA</v>
      </c>
      <c r="T832" s="29" t="str">
        <f t="shared" si="290"/>
        <v>NA</v>
      </c>
      <c r="U832" s="29" t="str">
        <f t="shared" si="291"/>
        <v>NA</v>
      </c>
      <c r="V832" s="29" t="str">
        <f t="shared" si="292"/>
        <v>NA</v>
      </c>
      <c r="W832" s="29" t="str">
        <f t="shared" si="293"/>
        <v>NA</v>
      </c>
      <c r="X832" s="29" t="str">
        <f t="shared" si="294"/>
        <v>NA</v>
      </c>
      <c r="Y832" s="29" t="str">
        <f t="shared" si="295"/>
        <v>NA</v>
      </c>
      <c r="Z832" s="29" t="str">
        <f t="shared" si="296"/>
        <v>NA</v>
      </c>
      <c r="AA832" s="29" t="str">
        <f t="shared" si="297"/>
        <v>NA</v>
      </c>
      <c r="AB832" s="29" t="str">
        <f t="shared" si="298"/>
        <v>NA</v>
      </c>
      <c r="AC832" s="29" t="str">
        <f t="shared" si="299"/>
        <v>NA</v>
      </c>
      <c r="AD832" s="29" t="str">
        <f t="shared" si="300"/>
        <v>NA</v>
      </c>
      <c r="AE832" s="29" t="str">
        <f t="shared" si="301"/>
        <v>NA</v>
      </c>
      <c r="AF832" s="29" t="str">
        <f t="shared" si="302"/>
        <v>NA</v>
      </c>
      <c r="AG832" s="29" t="str">
        <f t="shared" si="303"/>
        <v>NA</v>
      </c>
      <c r="AH832" s="29" t="str">
        <f t="shared" si="304"/>
        <v>NA</v>
      </c>
    </row>
    <row r="833" customHeight="1" spans="1:34">
      <c r="A833" s="12" t="s">
        <v>1043</v>
      </c>
      <c r="F833" s="24">
        <f t="shared" si="286"/>
        <v>0</v>
      </c>
      <c r="G833" s="24" t="e">
        <f t="shared" si="285"/>
        <v>#DIV/0!</v>
      </c>
      <c r="Q833" s="29" t="str">
        <f t="shared" si="287"/>
        <v>NA</v>
      </c>
      <c r="R833" s="29" t="str">
        <f t="shared" si="288"/>
        <v>NA</v>
      </c>
      <c r="S833" s="29" t="str">
        <f t="shared" si="289"/>
        <v>NA</v>
      </c>
      <c r="T833" s="29" t="str">
        <f t="shared" si="290"/>
        <v>NA</v>
      </c>
      <c r="U833" s="29" t="str">
        <f t="shared" si="291"/>
        <v>NA</v>
      </c>
      <c r="V833" s="29" t="str">
        <f t="shared" si="292"/>
        <v>NA</v>
      </c>
      <c r="W833" s="29" t="str">
        <f t="shared" si="293"/>
        <v>NA</v>
      </c>
      <c r="X833" s="29" t="str">
        <f t="shared" si="294"/>
        <v>NA</v>
      </c>
      <c r="Y833" s="29" t="str">
        <f t="shared" si="295"/>
        <v>NA</v>
      </c>
      <c r="Z833" s="29" t="str">
        <f t="shared" si="296"/>
        <v>NA</v>
      </c>
      <c r="AA833" s="29" t="str">
        <f t="shared" si="297"/>
        <v>NA</v>
      </c>
      <c r="AB833" s="29" t="str">
        <f t="shared" si="298"/>
        <v>NA</v>
      </c>
      <c r="AC833" s="29" t="str">
        <f t="shared" si="299"/>
        <v>NA</v>
      </c>
      <c r="AD833" s="29" t="str">
        <f t="shared" si="300"/>
        <v>NA</v>
      </c>
      <c r="AE833" s="29" t="str">
        <f t="shared" si="301"/>
        <v>NA</v>
      </c>
      <c r="AF833" s="29" t="str">
        <f t="shared" si="302"/>
        <v>NA</v>
      </c>
      <c r="AG833" s="29" t="str">
        <f t="shared" si="303"/>
        <v>NA</v>
      </c>
      <c r="AH833" s="29" t="str">
        <f t="shared" si="304"/>
        <v>NA</v>
      </c>
    </row>
    <row r="834" customHeight="1" spans="1:34">
      <c r="A834" s="12" t="s">
        <v>1043</v>
      </c>
      <c r="F834" s="24">
        <f t="shared" si="286"/>
        <v>0</v>
      </c>
      <c r="G834" s="24" t="e">
        <f t="shared" si="285"/>
        <v>#DIV/0!</v>
      </c>
      <c r="Q834" s="29" t="str">
        <f t="shared" si="287"/>
        <v>NA</v>
      </c>
      <c r="R834" s="29" t="str">
        <f t="shared" si="288"/>
        <v>NA</v>
      </c>
      <c r="S834" s="29" t="str">
        <f t="shared" si="289"/>
        <v>NA</v>
      </c>
      <c r="T834" s="29" t="str">
        <f t="shared" si="290"/>
        <v>NA</v>
      </c>
      <c r="U834" s="29" t="str">
        <f t="shared" si="291"/>
        <v>NA</v>
      </c>
      <c r="V834" s="29" t="str">
        <f t="shared" si="292"/>
        <v>NA</v>
      </c>
      <c r="W834" s="29" t="str">
        <f t="shared" si="293"/>
        <v>NA</v>
      </c>
      <c r="X834" s="29" t="str">
        <f t="shared" si="294"/>
        <v>NA</v>
      </c>
      <c r="Y834" s="29" t="str">
        <f t="shared" si="295"/>
        <v>NA</v>
      </c>
      <c r="Z834" s="29" t="str">
        <f t="shared" si="296"/>
        <v>NA</v>
      </c>
      <c r="AA834" s="29" t="str">
        <f t="shared" si="297"/>
        <v>NA</v>
      </c>
      <c r="AB834" s="29" t="str">
        <f t="shared" si="298"/>
        <v>NA</v>
      </c>
      <c r="AC834" s="29" t="str">
        <f t="shared" si="299"/>
        <v>NA</v>
      </c>
      <c r="AD834" s="29" t="str">
        <f t="shared" si="300"/>
        <v>NA</v>
      </c>
      <c r="AE834" s="29" t="str">
        <f t="shared" si="301"/>
        <v>NA</v>
      </c>
      <c r="AF834" s="29" t="str">
        <f t="shared" si="302"/>
        <v>NA</v>
      </c>
      <c r="AG834" s="29" t="str">
        <f t="shared" si="303"/>
        <v>NA</v>
      </c>
      <c r="AH834" s="29" t="str">
        <f t="shared" si="304"/>
        <v>NA</v>
      </c>
    </row>
    <row r="835" customHeight="1" spans="1:34">
      <c r="A835" s="12" t="s">
        <v>1043</v>
      </c>
      <c r="F835" s="24">
        <f t="shared" si="286"/>
        <v>0</v>
      </c>
      <c r="G835" s="24" t="e">
        <f t="shared" si="285"/>
        <v>#DIV/0!</v>
      </c>
      <c r="Q835" s="29" t="str">
        <f t="shared" si="287"/>
        <v>NA</v>
      </c>
      <c r="R835" s="29" t="str">
        <f t="shared" si="288"/>
        <v>NA</v>
      </c>
      <c r="S835" s="29" t="str">
        <f t="shared" si="289"/>
        <v>NA</v>
      </c>
      <c r="T835" s="29" t="str">
        <f t="shared" si="290"/>
        <v>NA</v>
      </c>
      <c r="U835" s="29" t="str">
        <f t="shared" si="291"/>
        <v>NA</v>
      </c>
      <c r="V835" s="29" t="str">
        <f t="shared" si="292"/>
        <v>NA</v>
      </c>
      <c r="W835" s="29" t="str">
        <f t="shared" si="293"/>
        <v>NA</v>
      </c>
      <c r="X835" s="29" t="str">
        <f t="shared" si="294"/>
        <v>NA</v>
      </c>
      <c r="Y835" s="29" t="str">
        <f t="shared" si="295"/>
        <v>NA</v>
      </c>
      <c r="Z835" s="29" t="str">
        <f t="shared" si="296"/>
        <v>NA</v>
      </c>
      <c r="AA835" s="29" t="str">
        <f t="shared" si="297"/>
        <v>NA</v>
      </c>
      <c r="AB835" s="29" t="str">
        <f t="shared" si="298"/>
        <v>NA</v>
      </c>
      <c r="AC835" s="29" t="str">
        <f t="shared" si="299"/>
        <v>NA</v>
      </c>
      <c r="AD835" s="29" t="str">
        <f t="shared" si="300"/>
        <v>NA</v>
      </c>
      <c r="AE835" s="29" t="str">
        <f t="shared" si="301"/>
        <v>NA</v>
      </c>
      <c r="AF835" s="29" t="str">
        <f t="shared" si="302"/>
        <v>NA</v>
      </c>
      <c r="AG835" s="29" t="str">
        <f t="shared" si="303"/>
        <v>NA</v>
      </c>
      <c r="AH835" s="29" t="str">
        <f t="shared" si="304"/>
        <v>NA</v>
      </c>
    </row>
    <row r="836" customHeight="1" spans="1:34">
      <c r="A836" s="12" t="s">
        <v>1043</v>
      </c>
      <c r="F836" s="24">
        <f t="shared" si="286"/>
        <v>0</v>
      </c>
      <c r="G836" s="24" t="e">
        <f t="shared" si="285"/>
        <v>#DIV/0!</v>
      </c>
      <c r="Q836" s="29" t="str">
        <f t="shared" si="287"/>
        <v>NA</v>
      </c>
      <c r="R836" s="29" t="str">
        <f t="shared" si="288"/>
        <v>NA</v>
      </c>
      <c r="S836" s="29" t="str">
        <f t="shared" si="289"/>
        <v>NA</v>
      </c>
      <c r="T836" s="29" t="str">
        <f t="shared" si="290"/>
        <v>NA</v>
      </c>
      <c r="U836" s="29" t="str">
        <f t="shared" si="291"/>
        <v>NA</v>
      </c>
      <c r="V836" s="29" t="str">
        <f t="shared" si="292"/>
        <v>NA</v>
      </c>
      <c r="W836" s="29" t="str">
        <f t="shared" si="293"/>
        <v>NA</v>
      </c>
      <c r="X836" s="29" t="str">
        <f t="shared" si="294"/>
        <v>NA</v>
      </c>
      <c r="Y836" s="29" t="str">
        <f t="shared" si="295"/>
        <v>NA</v>
      </c>
      <c r="Z836" s="29" t="str">
        <f t="shared" si="296"/>
        <v>NA</v>
      </c>
      <c r="AA836" s="29" t="str">
        <f t="shared" si="297"/>
        <v>NA</v>
      </c>
      <c r="AB836" s="29" t="str">
        <f t="shared" si="298"/>
        <v>NA</v>
      </c>
      <c r="AC836" s="29" t="str">
        <f t="shared" si="299"/>
        <v>NA</v>
      </c>
      <c r="AD836" s="29" t="str">
        <f t="shared" si="300"/>
        <v>NA</v>
      </c>
      <c r="AE836" s="29" t="str">
        <f t="shared" si="301"/>
        <v>NA</v>
      </c>
      <c r="AF836" s="29" t="str">
        <f t="shared" si="302"/>
        <v>NA</v>
      </c>
      <c r="AG836" s="29" t="str">
        <f t="shared" si="303"/>
        <v>NA</v>
      </c>
      <c r="AH836" s="29" t="str">
        <f t="shared" si="304"/>
        <v>NA</v>
      </c>
    </row>
    <row r="837" customHeight="1" spans="1:34">
      <c r="A837" s="12" t="s">
        <v>1043</v>
      </c>
      <c r="F837" s="24">
        <f t="shared" si="286"/>
        <v>0</v>
      </c>
      <c r="G837" s="24" t="e">
        <f t="shared" ref="G837:G900" si="305">B837*D837/C837</f>
        <v>#DIV/0!</v>
      </c>
      <c r="Q837" s="29" t="str">
        <f t="shared" si="287"/>
        <v>NA</v>
      </c>
      <c r="R837" s="29" t="str">
        <f t="shared" si="288"/>
        <v>NA</v>
      </c>
      <c r="S837" s="29" t="str">
        <f t="shared" si="289"/>
        <v>NA</v>
      </c>
      <c r="T837" s="29" t="str">
        <f t="shared" si="290"/>
        <v>NA</v>
      </c>
      <c r="U837" s="29" t="str">
        <f t="shared" si="291"/>
        <v>NA</v>
      </c>
      <c r="V837" s="29" t="str">
        <f t="shared" si="292"/>
        <v>NA</v>
      </c>
      <c r="W837" s="29" t="str">
        <f t="shared" si="293"/>
        <v>NA</v>
      </c>
      <c r="X837" s="29" t="str">
        <f t="shared" si="294"/>
        <v>NA</v>
      </c>
      <c r="Y837" s="29" t="str">
        <f t="shared" si="295"/>
        <v>NA</v>
      </c>
      <c r="Z837" s="29" t="str">
        <f t="shared" si="296"/>
        <v>NA</v>
      </c>
      <c r="AA837" s="29" t="str">
        <f t="shared" si="297"/>
        <v>NA</v>
      </c>
      <c r="AB837" s="29" t="str">
        <f t="shared" si="298"/>
        <v>NA</v>
      </c>
      <c r="AC837" s="29" t="str">
        <f t="shared" si="299"/>
        <v>NA</v>
      </c>
      <c r="AD837" s="29" t="str">
        <f t="shared" si="300"/>
        <v>NA</v>
      </c>
      <c r="AE837" s="29" t="str">
        <f t="shared" si="301"/>
        <v>NA</v>
      </c>
      <c r="AF837" s="29" t="str">
        <f t="shared" si="302"/>
        <v>NA</v>
      </c>
      <c r="AG837" s="29" t="str">
        <f t="shared" si="303"/>
        <v>NA</v>
      </c>
      <c r="AH837" s="29" t="str">
        <f t="shared" si="304"/>
        <v>NA</v>
      </c>
    </row>
    <row r="838" customHeight="1" spans="1:34">
      <c r="A838" s="12" t="s">
        <v>1043</v>
      </c>
      <c r="F838" s="24">
        <f t="shared" ref="F838:F901" si="306">+D838+E838</f>
        <v>0</v>
      </c>
      <c r="G838" s="24" t="e">
        <f t="shared" si="305"/>
        <v>#DIV/0!</v>
      </c>
      <c r="Q838" s="29" t="str">
        <f t="shared" si="287"/>
        <v>NA</v>
      </c>
      <c r="R838" s="29" t="str">
        <f t="shared" si="288"/>
        <v>NA</v>
      </c>
      <c r="S838" s="29" t="str">
        <f t="shared" si="289"/>
        <v>NA</v>
      </c>
      <c r="T838" s="29" t="str">
        <f t="shared" si="290"/>
        <v>NA</v>
      </c>
      <c r="U838" s="29" t="str">
        <f t="shared" si="291"/>
        <v>NA</v>
      </c>
      <c r="V838" s="29" t="str">
        <f t="shared" si="292"/>
        <v>NA</v>
      </c>
      <c r="W838" s="29" t="str">
        <f t="shared" si="293"/>
        <v>NA</v>
      </c>
      <c r="X838" s="29" t="str">
        <f t="shared" si="294"/>
        <v>NA</v>
      </c>
      <c r="Y838" s="29" t="str">
        <f t="shared" si="295"/>
        <v>NA</v>
      </c>
      <c r="Z838" s="29" t="str">
        <f t="shared" si="296"/>
        <v>NA</v>
      </c>
      <c r="AA838" s="29" t="str">
        <f t="shared" si="297"/>
        <v>NA</v>
      </c>
      <c r="AB838" s="29" t="str">
        <f t="shared" si="298"/>
        <v>NA</v>
      </c>
      <c r="AC838" s="29" t="str">
        <f t="shared" si="299"/>
        <v>NA</v>
      </c>
      <c r="AD838" s="29" t="str">
        <f t="shared" si="300"/>
        <v>NA</v>
      </c>
      <c r="AE838" s="29" t="str">
        <f t="shared" si="301"/>
        <v>NA</v>
      </c>
      <c r="AF838" s="29" t="str">
        <f t="shared" si="302"/>
        <v>NA</v>
      </c>
      <c r="AG838" s="29" t="str">
        <f t="shared" si="303"/>
        <v>NA</v>
      </c>
      <c r="AH838" s="29" t="str">
        <f t="shared" si="304"/>
        <v>NA</v>
      </c>
    </row>
    <row r="839" customHeight="1" spans="1:34">
      <c r="A839" s="12" t="s">
        <v>1043</v>
      </c>
      <c r="F839" s="24">
        <f t="shared" si="306"/>
        <v>0</v>
      </c>
      <c r="G839" s="24" t="e">
        <f t="shared" si="305"/>
        <v>#DIV/0!</v>
      </c>
      <c r="Q839" s="29" t="str">
        <f t="shared" si="287"/>
        <v>NA</v>
      </c>
      <c r="R839" s="29" t="str">
        <f t="shared" si="288"/>
        <v>NA</v>
      </c>
      <c r="S839" s="29" t="str">
        <f t="shared" si="289"/>
        <v>NA</v>
      </c>
      <c r="T839" s="29" t="str">
        <f t="shared" si="290"/>
        <v>NA</v>
      </c>
      <c r="U839" s="29" t="str">
        <f t="shared" si="291"/>
        <v>NA</v>
      </c>
      <c r="V839" s="29" t="str">
        <f t="shared" si="292"/>
        <v>NA</v>
      </c>
      <c r="W839" s="29" t="str">
        <f t="shared" si="293"/>
        <v>NA</v>
      </c>
      <c r="X839" s="29" t="str">
        <f t="shared" si="294"/>
        <v>NA</v>
      </c>
      <c r="Y839" s="29" t="str">
        <f t="shared" si="295"/>
        <v>NA</v>
      </c>
      <c r="Z839" s="29" t="str">
        <f t="shared" si="296"/>
        <v>NA</v>
      </c>
      <c r="AA839" s="29" t="str">
        <f t="shared" si="297"/>
        <v>NA</v>
      </c>
      <c r="AB839" s="29" t="str">
        <f t="shared" si="298"/>
        <v>NA</v>
      </c>
      <c r="AC839" s="29" t="str">
        <f t="shared" si="299"/>
        <v>NA</v>
      </c>
      <c r="AD839" s="29" t="str">
        <f t="shared" si="300"/>
        <v>NA</v>
      </c>
      <c r="AE839" s="29" t="str">
        <f t="shared" si="301"/>
        <v>NA</v>
      </c>
      <c r="AF839" s="29" t="str">
        <f t="shared" si="302"/>
        <v>NA</v>
      </c>
      <c r="AG839" s="29" t="str">
        <f t="shared" si="303"/>
        <v>NA</v>
      </c>
      <c r="AH839" s="29" t="str">
        <f t="shared" si="304"/>
        <v>NA</v>
      </c>
    </row>
    <row r="840" customHeight="1" spans="1:34">
      <c r="A840" s="12" t="s">
        <v>1043</v>
      </c>
      <c r="F840" s="24">
        <f t="shared" si="306"/>
        <v>0</v>
      </c>
      <c r="G840" s="24" t="e">
        <f t="shared" si="305"/>
        <v>#DIV/0!</v>
      </c>
      <c r="Q840" s="29" t="str">
        <f t="shared" si="287"/>
        <v>NA</v>
      </c>
      <c r="R840" s="29" t="str">
        <f t="shared" si="288"/>
        <v>NA</v>
      </c>
      <c r="S840" s="29" t="str">
        <f t="shared" si="289"/>
        <v>NA</v>
      </c>
      <c r="T840" s="29" t="str">
        <f t="shared" si="290"/>
        <v>NA</v>
      </c>
      <c r="U840" s="29" t="str">
        <f t="shared" si="291"/>
        <v>NA</v>
      </c>
      <c r="V840" s="29" t="str">
        <f t="shared" si="292"/>
        <v>NA</v>
      </c>
      <c r="W840" s="29" t="str">
        <f t="shared" si="293"/>
        <v>NA</v>
      </c>
      <c r="X840" s="29" t="str">
        <f t="shared" si="294"/>
        <v>NA</v>
      </c>
      <c r="Y840" s="29" t="str">
        <f t="shared" si="295"/>
        <v>NA</v>
      </c>
      <c r="Z840" s="29" t="str">
        <f t="shared" si="296"/>
        <v>NA</v>
      </c>
      <c r="AA840" s="29" t="str">
        <f t="shared" si="297"/>
        <v>NA</v>
      </c>
      <c r="AB840" s="29" t="str">
        <f t="shared" si="298"/>
        <v>NA</v>
      </c>
      <c r="AC840" s="29" t="str">
        <f t="shared" si="299"/>
        <v>NA</v>
      </c>
      <c r="AD840" s="29" t="str">
        <f t="shared" si="300"/>
        <v>NA</v>
      </c>
      <c r="AE840" s="29" t="str">
        <f t="shared" si="301"/>
        <v>NA</v>
      </c>
      <c r="AF840" s="29" t="str">
        <f t="shared" si="302"/>
        <v>NA</v>
      </c>
      <c r="AG840" s="29" t="str">
        <f t="shared" si="303"/>
        <v>NA</v>
      </c>
      <c r="AH840" s="29" t="str">
        <f t="shared" si="304"/>
        <v>NA</v>
      </c>
    </row>
    <row r="841" customHeight="1" spans="1:34">
      <c r="A841" s="12" t="s">
        <v>1043</v>
      </c>
      <c r="F841" s="24">
        <f t="shared" si="306"/>
        <v>0</v>
      </c>
      <c r="G841" s="24" t="e">
        <f t="shared" si="305"/>
        <v>#DIV/0!</v>
      </c>
      <c r="Q841" s="29" t="str">
        <f t="shared" si="287"/>
        <v>NA</v>
      </c>
      <c r="R841" s="29" t="str">
        <f t="shared" si="288"/>
        <v>NA</v>
      </c>
      <c r="S841" s="29" t="str">
        <f t="shared" si="289"/>
        <v>NA</v>
      </c>
      <c r="T841" s="29" t="str">
        <f t="shared" si="290"/>
        <v>NA</v>
      </c>
      <c r="U841" s="29" t="str">
        <f t="shared" si="291"/>
        <v>NA</v>
      </c>
      <c r="V841" s="29" t="str">
        <f t="shared" si="292"/>
        <v>NA</v>
      </c>
      <c r="W841" s="29" t="str">
        <f t="shared" si="293"/>
        <v>NA</v>
      </c>
      <c r="X841" s="29" t="str">
        <f t="shared" si="294"/>
        <v>NA</v>
      </c>
      <c r="Y841" s="29" t="str">
        <f t="shared" si="295"/>
        <v>NA</v>
      </c>
      <c r="Z841" s="29" t="str">
        <f t="shared" si="296"/>
        <v>NA</v>
      </c>
      <c r="AA841" s="29" t="str">
        <f t="shared" si="297"/>
        <v>NA</v>
      </c>
      <c r="AB841" s="29" t="str">
        <f t="shared" si="298"/>
        <v>NA</v>
      </c>
      <c r="AC841" s="29" t="str">
        <f t="shared" si="299"/>
        <v>NA</v>
      </c>
      <c r="AD841" s="29" t="str">
        <f t="shared" si="300"/>
        <v>NA</v>
      </c>
      <c r="AE841" s="29" t="str">
        <f t="shared" si="301"/>
        <v>NA</v>
      </c>
      <c r="AF841" s="29" t="str">
        <f t="shared" si="302"/>
        <v>NA</v>
      </c>
      <c r="AG841" s="29" t="str">
        <f t="shared" si="303"/>
        <v>NA</v>
      </c>
      <c r="AH841" s="29" t="str">
        <f t="shared" si="304"/>
        <v>NA</v>
      </c>
    </row>
    <row r="842" customHeight="1" spans="1:34">
      <c r="A842" s="12" t="s">
        <v>1043</v>
      </c>
      <c r="F842" s="24">
        <f t="shared" si="306"/>
        <v>0</v>
      </c>
      <c r="G842" s="24" t="e">
        <f t="shared" si="305"/>
        <v>#DIV/0!</v>
      </c>
      <c r="Q842" s="29" t="str">
        <f t="shared" si="287"/>
        <v>NA</v>
      </c>
      <c r="R842" s="29" t="str">
        <f t="shared" si="288"/>
        <v>NA</v>
      </c>
      <c r="S842" s="29" t="str">
        <f t="shared" si="289"/>
        <v>NA</v>
      </c>
      <c r="T842" s="29" t="str">
        <f t="shared" si="290"/>
        <v>NA</v>
      </c>
      <c r="U842" s="29" t="str">
        <f t="shared" si="291"/>
        <v>NA</v>
      </c>
      <c r="V842" s="29" t="str">
        <f t="shared" si="292"/>
        <v>NA</v>
      </c>
      <c r="W842" s="29" t="str">
        <f t="shared" si="293"/>
        <v>NA</v>
      </c>
      <c r="X842" s="29" t="str">
        <f t="shared" si="294"/>
        <v>NA</v>
      </c>
      <c r="Y842" s="29" t="str">
        <f t="shared" si="295"/>
        <v>NA</v>
      </c>
      <c r="Z842" s="29" t="str">
        <f t="shared" si="296"/>
        <v>NA</v>
      </c>
      <c r="AA842" s="29" t="str">
        <f t="shared" si="297"/>
        <v>NA</v>
      </c>
      <c r="AB842" s="29" t="str">
        <f t="shared" si="298"/>
        <v>NA</v>
      </c>
      <c r="AC842" s="29" t="str">
        <f t="shared" si="299"/>
        <v>NA</v>
      </c>
      <c r="AD842" s="29" t="str">
        <f t="shared" si="300"/>
        <v>NA</v>
      </c>
      <c r="AE842" s="29" t="str">
        <f t="shared" si="301"/>
        <v>NA</v>
      </c>
      <c r="AF842" s="29" t="str">
        <f t="shared" si="302"/>
        <v>NA</v>
      </c>
      <c r="AG842" s="29" t="str">
        <f t="shared" si="303"/>
        <v>NA</v>
      </c>
      <c r="AH842" s="29" t="str">
        <f t="shared" si="304"/>
        <v>NA</v>
      </c>
    </row>
    <row r="843" customHeight="1" spans="1:34">
      <c r="A843" s="12" t="s">
        <v>1043</v>
      </c>
      <c r="F843" s="24">
        <f t="shared" si="306"/>
        <v>0</v>
      </c>
      <c r="G843" s="24" t="e">
        <f t="shared" si="305"/>
        <v>#DIV/0!</v>
      </c>
      <c r="Q843" s="29" t="str">
        <f t="shared" si="287"/>
        <v>NA</v>
      </c>
      <c r="R843" s="29" t="str">
        <f t="shared" si="288"/>
        <v>NA</v>
      </c>
      <c r="S843" s="29" t="str">
        <f t="shared" si="289"/>
        <v>NA</v>
      </c>
      <c r="T843" s="29" t="str">
        <f t="shared" si="290"/>
        <v>NA</v>
      </c>
      <c r="U843" s="29" t="str">
        <f t="shared" si="291"/>
        <v>NA</v>
      </c>
      <c r="V843" s="29" t="str">
        <f t="shared" si="292"/>
        <v>NA</v>
      </c>
      <c r="W843" s="29" t="str">
        <f t="shared" si="293"/>
        <v>NA</v>
      </c>
      <c r="X843" s="29" t="str">
        <f t="shared" si="294"/>
        <v>NA</v>
      </c>
      <c r="Y843" s="29" t="str">
        <f t="shared" si="295"/>
        <v>NA</v>
      </c>
      <c r="Z843" s="29" t="str">
        <f t="shared" si="296"/>
        <v>NA</v>
      </c>
      <c r="AA843" s="29" t="str">
        <f t="shared" si="297"/>
        <v>NA</v>
      </c>
      <c r="AB843" s="29" t="str">
        <f t="shared" si="298"/>
        <v>NA</v>
      </c>
      <c r="AC843" s="29" t="str">
        <f t="shared" si="299"/>
        <v>NA</v>
      </c>
      <c r="AD843" s="29" t="str">
        <f t="shared" si="300"/>
        <v>NA</v>
      </c>
      <c r="AE843" s="29" t="str">
        <f t="shared" si="301"/>
        <v>NA</v>
      </c>
      <c r="AF843" s="29" t="str">
        <f t="shared" si="302"/>
        <v>NA</v>
      </c>
      <c r="AG843" s="29" t="str">
        <f t="shared" si="303"/>
        <v>NA</v>
      </c>
      <c r="AH843" s="29" t="str">
        <f t="shared" si="304"/>
        <v>NA</v>
      </c>
    </row>
    <row r="844" customHeight="1" spans="1:34">
      <c r="A844" s="12" t="s">
        <v>1043</v>
      </c>
      <c r="F844" s="24">
        <f t="shared" si="306"/>
        <v>0</v>
      </c>
      <c r="G844" s="24" t="e">
        <f t="shared" si="305"/>
        <v>#DIV/0!</v>
      </c>
      <c r="Q844" s="29" t="str">
        <f t="shared" si="287"/>
        <v>NA</v>
      </c>
      <c r="R844" s="29" t="str">
        <f t="shared" si="288"/>
        <v>NA</v>
      </c>
      <c r="S844" s="29" t="str">
        <f t="shared" si="289"/>
        <v>NA</v>
      </c>
      <c r="T844" s="29" t="str">
        <f t="shared" si="290"/>
        <v>NA</v>
      </c>
      <c r="U844" s="29" t="str">
        <f t="shared" si="291"/>
        <v>NA</v>
      </c>
      <c r="V844" s="29" t="str">
        <f t="shared" si="292"/>
        <v>NA</v>
      </c>
      <c r="W844" s="29" t="str">
        <f t="shared" si="293"/>
        <v>NA</v>
      </c>
      <c r="X844" s="29" t="str">
        <f t="shared" si="294"/>
        <v>NA</v>
      </c>
      <c r="Y844" s="29" t="str">
        <f t="shared" si="295"/>
        <v>NA</v>
      </c>
      <c r="Z844" s="29" t="str">
        <f t="shared" si="296"/>
        <v>NA</v>
      </c>
      <c r="AA844" s="29" t="str">
        <f t="shared" si="297"/>
        <v>NA</v>
      </c>
      <c r="AB844" s="29" t="str">
        <f t="shared" si="298"/>
        <v>NA</v>
      </c>
      <c r="AC844" s="29" t="str">
        <f t="shared" si="299"/>
        <v>NA</v>
      </c>
      <c r="AD844" s="29" t="str">
        <f t="shared" si="300"/>
        <v>NA</v>
      </c>
      <c r="AE844" s="29" t="str">
        <f t="shared" si="301"/>
        <v>NA</v>
      </c>
      <c r="AF844" s="29" t="str">
        <f t="shared" si="302"/>
        <v>NA</v>
      </c>
      <c r="AG844" s="29" t="str">
        <f t="shared" si="303"/>
        <v>NA</v>
      </c>
      <c r="AH844" s="29" t="str">
        <f t="shared" si="304"/>
        <v>NA</v>
      </c>
    </row>
    <row r="845" customHeight="1" spans="1:34">
      <c r="A845" s="12" t="s">
        <v>1043</v>
      </c>
      <c r="F845" s="24">
        <f t="shared" si="306"/>
        <v>0</v>
      </c>
      <c r="G845" s="24" t="e">
        <f t="shared" si="305"/>
        <v>#DIV/0!</v>
      </c>
      <c r="Q845" s="29" t="str">
        <f t="shared" si="287"/>
        <v>NA</v>
      </c>
      <c r="R845" s="29" t="str">
        <f t="shared" si="288"/>
        <v>NA</v>
      </c>
      <c r="S845" s="29" t="str">
        <f t="shared" si="289"/>
        <v>NA</v>
      </c>
      <c r="T845" s="29" t="str">
        <f t="shared" si="290"/>
        <v>NA</v>
      </c>
      <c r="U845" s="29" t="str">
        <f t="shared" si="291"/>
        <v>NA</v>
      </c>
      <c r="V845" s="29" t="str">
        <f t="shared" si="292"/>
        <v>NA</v>
      </c>
      <c r="W845" s="29" t="str">
        <f t="shared" si="293"/>
        <v>NA</v>
      </c>
      <c r="X845" s="29" t="str">
        <f t="shared" si="294"/>
        <v>NA</v>
      </c>
      <c r="Y845" s="29" t="str">
        <f t="shared" si="295"/>
        <v>NA</v>
      </c>
      <c r="Z845" s="29" t="str">
        <f t="shared" si="296"/>
        <v>NA</v>
      </c>
      <c r="AA845" s="29" t="str">
        <f t="shared" si="297"/>
        <v>NA</v>
      </c>
      <c r="AB845" s="29" t="str">
        <f t="shared" si="298"/>
        <v>NA</v>
      </c>
      <c r="AC845" s="29" t="str">
        <f t="shared" si="299"/>
        <v>NA</v>
      </c>
      <c r="AD845" s="29" t="str">
        <f t="shared" si="300"/>
        <v>NA</v>
      </c>
      <c r="AE845" s="29" t="str">
        <f t="shared" si="301"/>
        <v>NA</v>
      </c>
      <c r="AF845" s="29" t="str">
        <f t="shared" si="302"/>
        <v>NA</v>
      </c>
      <c r="AG845" s="29" t="str">
        <f t="shared" si="303"/>
        <v>NA</v>
      </c>
      <c r="AH845" s="29" t="str">
        <f t="shared" si="304"/>
        <v>NA</v>
      </c>
    </row>
    <row r="846" customHeight="1" spans="1:34">
      <c r="A846" s="12" t="s">
        <v>1043</v>
      </c>
      <c r="F846" s="24">
        <f t="shared" si="306"/>
        <v>0</v>
      </c>
      <c r="G846" s="24" t="e">
        <f t="shared" si="305"/>
        <v>#DIV/0!</v>
      </c>
      <c r="Q846" s="29" t="str">
        <f t="shared" si="287"/>
        <v>NA</v>
      </c>
      <c r="R846" s="29" t="str">
        <f t="shared" si="288"/>
        <v>NA</v>
      </c>
      <c r="S846" s="29" t="str">
        <f t="shared" si="289"/>
        <v>NA</v>
      </c>
      <c r="T846" s="29" t="str">
        <f t="shared" si="290"/>
        <v>NA</v>
      </c>
      <c r="U846" s="29" t="str">
        <f t="shared" si="291"/>
        <v>NA</v>
      </c>
      <c r="V846" s="29" t="str">
        <f t="shared" si="292"/>
        <v>NA</v>
      </c>
      <c r="W846" s="29" t="str">
        <f t="shared" si="293"/>
        <v>NA</v>
      </c>
      <c r="X846" s="29" t="str">
        <f t="shared" si="294"/>
        <v>NA</v>
      </c>
      <c r="Y846" s="29" t="str">
        <f t="shared" si="295"/>
        <v>NA</v>
      </c>
      <c r="Z846" s="29" t="str">
        <f t="shared" si="296"/>
        <v>NA</v>
      </c>
      <c r="AA846" s="29" t="str">
        <f t="shared" si="297"/>
        <v>NA</v>
      </c>
      <c r="AB846" s="29" t="str">
        <f t="shared" si="298"/>
        <v>NA</v>
      </c>
      <c r="AC846" s="29" t="str">
        <f t="shared" si="299"/>
        <v>NA</v>
      </c>
      <c r="AD846" s="29" t="str">
        <f t="shared" si="300"/>
        <v>NA</v>
      </c>
      <c r="AE846" s="29" t="str">
        <f t="shared" si="301"/>
        <v>NA</v>
      </c>
      <c r="AF846" s="29" t="str">
        <f t="shared" si="302"/>
        <v>NA</v>
      </c>
      <c r="AG846" s="29" t="str">
        <f t="shared" si="303"/>
        <v>NA</v>
      </c>
      <c r="AH846" s="29" t="str">
        <f t="shared" si="304"/>
        <v>NA</v>
      </c>
    </row>
    <row r="847" customHeight="1" spans="1:34">
      <c r="A847" s="12" t="s">
        <v>1043</v>
      </c>
      <c r="F847" s="24">
        <f t="shared" si="306"/>
        <v>0</v>
      </c>
      <c r="G847" s="24" t="e">
        <f t="shared" si="305"/>
        <v>#DIV/0!</v>
      </c>
      <c r="Q847" s="29" t="str">
        <f t="shared" si="287"/>
        <v>NA</v>
      </c>
      <c r="R847" s="29" t="str">
        <f t="shared" si="288"/>
        <v>NA</v>
      </c>
      <c r="S847" s="29" t="str">
        <f t="shared" si="289"/>
        <v>NA</v>
      </c>
      <c r="T847" s="29" t="str">
        <f t="shared" si="290"/>
        <v>NA</v>
      </c>
      <c r="U847" s="29" t="str">
        <f t="shared" si="291"/>
        <v>NA</v>
      </c>
      <c r="V847" s="29" t="str">
        <f t="shared" si="292"/>
        <v>NA</v>
      </c>
      <c r="W847" s="29" t="str">
        <f t="shared" si="293"/>
        <v>NA</v>
      </c>
      <c r="X847" s="29" t="str">
        <f t="shared" si="294"/>
        <v>NA</v>
      </c>
      <c r="Y847" s="29" t="str">
        <f t="shared" si="295"/>
        <v>NA</v>
      </c>
      <c r="Z847" s="29" t="str">
        <f t="shared" si="296"/>
        <v>NA</v>
      </c>
      <c r="AA847" s="29" t="str">
        <f t="shared" si="297"/>
        <v>NA</v>
      </c>
      <c r="AB847" s="29" t="str">
        <f t="shared" si="298"/>
        <v>NA</v>
      </c>
      <c r="AC847" s="29" t="str">
        <f t="shared" si="299"/>
        <v>NA</v>
      </c>
      <c r="AD847" s="29" t="str">
        <f t="shared" si="300"/>
        <v>NA</v>
      </c>
      <c r="AE847" s="29" t="str">
        <f t="shared" si="301"/>
        <v>NA</v>
      </c>
      <c r="AF847" s="29" t="str">
        <f t="shared" si="302"/>
        <v>NA</v>
      </c>
      <c r="AG847" s="29" t="str">
        <f t="shared" si="303"/>
        <v>NA</v>
      </c>
      <c r="AH847" s="29" t="str">
        <f t="shared" si="304"/>
        <v>NA</v>
      </c>
    </row>
    <row r="848" customHeight="1" spans="1:34">
      <c r="A848" s="12" t="s">
        <v>1043</v>
      </c>
      <c r="F848" s="24">
        <f t="shared" si="306"/>
        <v>0</v>
      </c>
      <c r="G848" s="24" t="e">
        <f t="shared" si="305"/>
        <v>#DIV/0!</v>
      </c>
      <c r="Q848" s="29" t="str">
        <f t="shared" ref="Q848:Q911" si="307">IFERROR($B848*$E848/H848,"NA")</f>
        <v>NA</v>
      </c>
      <c r="R848" s="29" t="str">
        <f t="shared" ref="R848:R911" si="308">IFERROR($B848*$E848/I848,"NA")</f>
        <v>NA</v>
      </c>
      <c r="S848" s="29" t="str">
        <f t="shared" ref="S848:S911" si="309">IFERROR($B848*$E848/J848,"NA")</f>
        <v>NA</v>
      </c>
      <c r="T848" s="29" t="str">
        <f t="shared" ref="T848:T911" si="310">IFERROR($B848*$E848/K848,"NA")</f>
        <v>NA</v>
      </c>
      <c r="U848" s="29" t="str">
        <f t="shared" ref="U848:U911" si="311">IFERROR($B848*$E848/L848,"NA")</f>
        <v>NA</v>
      </c>
      <c r="V848" s="29" t="str">
        <f t="shared" ref="V848:V911" si="312">IFERROR($B848*$E848/M848,"NA")</f>
        <v>NA</v>
      </c>
      <c r="W848" s="29" t="str">
        <f t="shared" ref="W848:W911" si="313">IFERROR($B848*$E848/N848,"NA")</f>
        <v>NA</v>
      </c>
      <c r="X848" s="29" t="str">
        <f t="shared" ref="X848:X911" si="314">IFERROR($B848*$E848/O848,"NA")</f>
        <v>NA</v>
      </c>
      <c r="Y848" s="29" t="str">
        <f t="shared" ref="Y848:Y911" si="315">IFERROR($B848*$E848/P848,"NA")</f>
        <v>NA</v>
      </c>
      <c r="Z848" s="29" t="str">
        <f t="shared" ref="Z848:Z911" si="316">IFERROR((($G848*Z$2/1000)+Q848)/1,"NA")</f>
        <v>NA</v>
      </c>
      <c r="AA848" s="29" t="str">
        <f t="shared" ref="AA848:AA911" si="317">IFERROR((($G848*AA$2/1000)+R848)/1,"NA")</f>
        <v>NA</v>
      </c>
      <c r="AB848" s="29" t="str">
        <f t="shared" ref="AB848:AB911" si="318">IFERROR((($G848*AB$2/1000)+S848)/1,"NA")</f>
        <v>NA</v>
      </c>
      <c r="AC848" s="29" t="str">
        <f t="shared" ref="AC848:AC911" si="319">IFERROR((($G848*AC$2/1000)+T848)/1,"NA")</f>
        <v>NA</v>
      </c>
      <c r="AD848" s="29" t="str">
        <f t="shared" ref="AD848:AD911" si="320">IFERROR((($G848*AD$2/1000)+U848)/1,"NA")</f>
        <v>NA</v>
      </c>
      <c r="AE848" s="29" t="str">
        <f t="shared" ref="AE848:AE911" si="321">IFERROR((($G848*AE$2/1000)+V848)/1,"NA")</f>
        <v>NA</v>
      </c>
      <c r="AF848" s="29" t="str">
        <f t="shared" ref="AF848:AF911" si="322">IFERROR((($G848*AF$2/1000)+W848)/1,"NA")</f>
        <v>NA</v>
      </c>
      <c r="AG848" s="29" t="str">
        <f t="shared" ref="AG848:AG911" si="323">IFERROR((($G848*AG$2/1000)+X848)/1,"NA")</f>
        <v>NA</v>
      </c>
      <c r="AH848" s="29" t="str">
        <f t="shared" ref="AH848:AH911" si="324">IFERROR((($G848*AH$2/1000)+Y848)/1,"NA")</f>
        <v>NA</v>
      </c>
    </row>
    <row r="849" customHeight="1" spans="1:34">
      <c r="A849" s="12" t="s">
        <v>1043</v>
      </c>
      <c r="F849" s="24">
        <f t="shared" si="306"/>
        <v>0</v>
      </c>
      <c r="G849" s="24" t="e">
        <f t="shared" si="305"/>
        <v>#DIV/0!</v>
      </c>
      <c r="Q849" s="29" t="str">
        <f t="shared" si="307"/>
        <v>NA</v>
      </c>
      <c r="R849" s="29" t="str">
        <f t="shared" si="308"/>
        <v>NA</v>
      </c>
      <c r="S849" s="29" t="str">
        <f t="shared" si="309"/>
        <v>NA</v>
      </c>
      <c r="T849" s="29" t="str">
        <f t="shared" si="310"/>
        <v>NA</v>
      </c>
      <c r="U849" s="29" t="str">
        <f t="shared" si="311"/>
        <v>NA</v>
      </c>
      <c r="V849" s="29" t="str">
        <f t="shared" si="312"/>
        <v>NA</v>
      </c>
      <c r="W849" s="29" t="str">
        <f t="shared" si="313"/>
        <v>NA</v>
      </c>
      <c r="X849" s="29" t="str">
        <f t="shared" si="314"/>
        <v>NA</v>
      </c>
      <c r="Y849" s="29" t="str">
        <f t="shared" si="315"/>
        <v>NA</v>
      </c>
      <c r="Z849" s="29" t="str">
        <f t="shared" si="316"/>
        <v>NA</v>
      </c>
      <c r="AA849" s="29" t="str">
        <f t="shared" si="317"/>
        <v>NA</v>
      </c>
      <c r="AB849" s="29" t="str">
        <f t="shared" si="318"/>
        <v>NA</v>
      </c>
      <c r="AC849" s="29" t="str">
        <f t="shared" si="319"/>
        <v>NA</v>
      </c>
      <c r="AD849" s="29" t="str">
        <f t="shared" si="320"/>
        <v>NA</v>
      </c>
      <c r="AE849" s="29" t="str">
        <f t="shared" si="321"/>
        <v>NA</v>
      </c>
      <c r="AF849" s="29" t="str">
        <f t="shared" si="322"/>
        <v>NA</v>
      </c>
      <c r="AG849" s="29" t="str">
        <f t="shared" si="323"/>
        <v>NA</v>
      </c>
      <c r="AH849" s="29" t="str">
        <f t="shared" si="324"/>
        <v>NA</v>
      </c>
    </row>
    <row r="850" customHeight="1" spans="1:34">
      <c r="A850" s="12" t="s">
        <v>1043</v>
      </c>
      <c r="F850" s="24">
        <f t="shared" si="306"/>
        <v>0</v>
      </c>
      <c r="G850" s="24" t="e">
        <f t="shared" si="305"/>
        <v>#DIV/0!</v>
      </c>
      <c r="Q850" s="29" t="str">
        <f t="shared" si="307"/>
        <v>NA</v>
      </c>
      <c r="R850" s="29" t="str">
        <f t="shared" si="308"/>
        <v>NA</v>
      </c>
      <c r="S850" s="29" t="str">
        <f t="shared" si="309"/>
        <v>NA</v>
      </c>
      <c r="T850" s="29" t="str">
        <f t="shared" si="310"/>
        <v>NA</v>
      </c>
      <c r="U850" s="29" t="str">
        <f t="shared" si="311"/>
        <v>NA</v>
      </c>
      <c r="V850" s="29" t="str">
        <f t="shared" si="312"/>
        <v>NA</v>
      </c>
      <c r="W850" s="29" t="str">
        <f t="shared" si="313"/>
        <v>NA</v>
      </c>
      <c r="X850" s="29" t="str">
        <f t="shared" si="314"/>
        <v>NA</v>
      </c>
      <c r="Y850" s="29" t="str">
        <f t="shared" si="315"/>
        <v>NA</v>
      </c>
      <c r="Z850" s="29" t="str">
        <f t="shared" si="316"/>
        <v>NA</v>
      </c>
      <c r="AA850" s="29" t="str">
        <f t="shared" si="317"/>
        <v>NA</v>
      </c>
      <c r="AB850" s="29" t="str">
        <f t="shared" si="318"/>
        <v>NA</v>
      </c>
      <c r="AC850" s="29" t="str">
        <f t="shared" si="319"/>
        <v>NA</v>
      </c>
      <c r="AD850" s="29" t="str">
        <f t="shared" si="320"/>
        <v>NA</v>
      </c>
      <c r="AE850" s="29" t="str">
        <f t="shared" si="321"/>
        <v>NA</v>
      </c>
      <c r="AF850" s="29" t="str">
        <f t="shared" si="322"/>
        <v>NA</v>
      </c>
      <c r="AG850" s="29" t="str">
        <f t="shared" si="323"/>
        <v>NA</v>
      </c>
      <c r="AH850" s="29" t="str">
        <f t="shared" si="324"/>
        <v>NA</v>
      </c>
    </row>
    <row r="851" customHeight="1" spans="1:34">
      <c r="A851" s="12" t="s">
        <v>1043</v>
      </c>
      <c r="F851" s="24">
        <f t="shared" si="306"/>
        <v>0</v>
      </c>
      <c r="G851" s="24" t="e">
        <f t="shared" si="305"/>
        <v>#DIV/0!</v>
      </c>
      <c r="Q851" s="29" t="str">
        <f t="shared" si="307"/>
        <v>NA</v>
      </c>
      <c r="R851" s="29" t="str">
        <f t="shared" si="308"/>
        <v>NA</v>
      </c>
      <c r="S851" s="29" t="str">
        <f t="shared" si="309"/>
        <v>NA</v>
      </c>
      <c r="T851" s="29" t="str">
        <f t="shared" si="310"/>
        <v>NA</v>
      </c>
      <c r="U851" s="29" t="str">
        <f t="shared" si="311"/>
        <v>NA</v>
      </c>
      <c r="V851" s="29" t="str">
        <f t="shared" si="312"/>
        <v>NA</v>
      </c>
      <c r="W851" s="29" t="str">
        <f t="shared" si="313"/>
        <v>NA</v>
      </c>
      <c r="X851" s="29" t="str">
        <f t="shared" si="314"/>
        <v>NA</v>
      </c>
      <c r="Y851" s="29" t="str">
        <f t="shared" si="315"/>
        <v>NA</v>
      </c>
      <c r="Z851" s="29" t="str">
        <f t="shared" si="316"/>
        <v>NA</v>
      </c>
      <c r="AA851" s="29" t="str">
        <f t="shared" si="317"/>
        <v>NA</v>
      </c>
      <c r="AB851" s="29" t="str">
        <f t="shared" si="318"/>
        <v>NA</v>
      </c>
      <c r="AC851" s="29" t="str">
        <f t="shared" si="319"/>
        <v>NA</v>
      </c>
      <c r="AD851" s="29" t="str">
        <f t="shared" si="320"/>
        <v>NA</v>
      </c>
      <c r="AE851" s="29" t="str">
        <f t="shared" si="321"/>
        <v>NA</v>
      </c>
      <c r="AF851" s="29" t="str">
        <f t="shared" si="322"/>
        <v>NA</v>
      </c>
      <c r="AG851" s="29" t="str">
        <f t="shared" si="323"/>
        <v>NA</v>
      </c>
      <c r="AH851" s="29" t="str">
        <f t="shared" si="324"/>
        <v>NA</v>
      </c>
    </row>
    <row r="852" customHeight="1" spans="1:34">
      <c r="A852" s="12" t="s">
        <v>1043</v>
      </c>
      <c r="F852" s="24">
        <f t="shared" si="306"/>
        <v>0</v>
      </c>
      <c r="G852" s="24" t="e">
        <f t="shared" si="305"/>
        <v>#DIV/0!</v>
      </c>
      <c r="Q852" s="29" t="str">
        <f t="shared" si="307"/>
        <v>NA</v>
      </c>
      <c r="R852" s="29" t="str">
        <f t="shared" si="308"/>
        <v>NA</v>
      </c>
      <c r="S852" s="29" t="str">
        <f t="shared" si="309"/>
        <v>NA</v>
      </c>
      <c r="T852" s="29" t="str">
        <f t="shared" si="310"/>
        <v>NA</v>
      </c>
      <c r="U852" s="29" t="str">
        <f t="shared" si="311"/>
        <v>NA</v>
      </c>
      <c r="V852" s="29" t="str">
        <f t="shared" si="312"/>
        <v>NA</v>
      </c>
      <c r="W852" s="29" t="str">
        <f t="shared" si="313"/>
        <v>NA</v>
      </c>
      <c r="X852" s="29" t="str">
        <f t="shared" si="314"/>
        <v>NA</v>
      </c>
      <c r="Y852" s="29" t="str">
        <f t="shared" si="315"/>
        <v>NA</v>
      </c>
      <c r="Z852" s="29" t="str">
        <f t="shared" si="316"/>
        <v>NA</v>
      </c>
      <c r="AA852" s="29" t="str">
        <f t="shared" si="317"/>
        <v>NA</v>
      </c>
      <c r="AB852" s="29" t="str">
        <f t="shared" si="318"/>
        <v>NA</v>
      </c>
      <c r="AC852" s="29" t="str">
        <f t="shared" si="319"/>
        <v>NA</v>
      </c>
      <c r="AD852" s="29" t="str">
        <f t="shared" si="320"/>
        <v>NA</v>
      </c>
      <c r="AE852" s="29" t="str">
        <f t="shared" si="321"/>
        <v>NA</v>
      </c>
      <c r="AF852" s="29" t="str">
        <f t="shared" si="322"/>
        <v>NA</v>
      </c>
      <c r="AG852" s="29" t="str">
        <f t="shared" si="323"/>
        <v>NA</v>
      </c>
      <c r="AH852" s="29" t="str">
        <f t="shared" si="324"/>
        <v>NA</v>
      </c>
    </row>
    <row r="853" customHeight="1" spans="1:34">
      <c r="A853" s="12" t="s">
        <v>1043</v>
      </c>
      <c r="F853" s="24">
        <f t="shared" si="306"/>
        <v>0</v>
      </c>
      <c r="G853" s="24" t="e">
        <f t="shared" si="305"/>
        <v>#DIV/0!</v>
      </c>
      <c r="Q853" s="29" t="str">
        <f t="shared" si="307"/>
        <v>NA</v>
      </c>
      <c r="R853" s="29" t="str">
        <f t="shared" si="308"/>
        <v>NA</v>
      </c>
      <c r="S853" s="29" t="str">
        <f t="shared" si="309"/>
        <v>NA</v>
      </c>
      <c r="T853" s="29" t="str">
        <f t="shared" si="310"/>
        <v>NA</v>
      </c>
      <c r="U853" s="29" t="str">
        <f t="shared" si="311"/>
        <v>NA</v>
      </c>
      <c r="V853" s="29" t="str">
        <f t="shared" si="312"/>
        <v>NA</v>
      </c>
      <c r="W853" s="29" t="str">
        <f t="shared" si="313"/>
        <v>NA</v>
      </c>
      <c r="X853" s="29" t="str">
        <f t="shared" si="314"/>
        <v>NA</v>
      </c>
      <c r="Y853" s="29" t="str">
        <f t="shared" si="315"/>
        <v>NA</v>
      </c>
      <c r="Z853" s="29" t="str">
        <f t="shared" si="316"/>
        <v>NA</v>
      </c>
      <c r="AA853" s="29" t="str">
        <f t="shared" si="317"/>
        <v>NA</v>
      </c>
      <c r="AB853" s="29" t="str">
        <f t="shared" si="318"/>
        <v>NA</v>
      </c>
      <c r="AC853" s="29" t="str">
        <f t="shared" si="319"/>
        <v>NA</v>
      </c>
      <c r="AD853" s="29" t="str">
        <f t="shared" si="320"/>
        <v>NA</v>
      </c>
      <c r="AE853" s="29" t="str">
        <f t="shared" si="321"/>
        <v>NA</v>
      </c>
      <c r="AF853" s="29" t="str">
        <f t="shared" si="322"/>
        <v>NA</v>
      </c>
      <c r="AG853" s="29" t="str">
        <f t="shared" si="323"/>
        <v>NA</v>
      </c>
      <c r="AH853" s="29" t="str">
        <f t="shared" si="324"/>
        <v>NA</v>
      </c>
    </row>
    <row r="854" customHeight="1" spans="1:34">
      <c r="A854" s="12" t="s">
        <v>1043</v>
      </c>
      <c r="F854" s="24">
        <f t="shared" si="306"/>
        <v>0</v>
      </c>
      <c r="G854" s="24" t="e">
        <f t="shared" si="305"/>
        <v>#DIV/0!</v>
      </c>
      <c r="Q854" s="29" t="str">
        <f t="shared" si="307"/>
        <v>NA</v>
      </c>
      <c r="R854" s="29" t="str">
        <f t="shared" si="308"/>
        <v>NA</v>
      </c>
      <c r="S854" s="29" t="str">
        <f t="shared" si="309"/>
        <v>NA</v>
      </c>
      <c r="T854" s="29" t="str">
        <f t="shared" si="310"/>
        <v>NA</v>
      </c>
      <c r="U854" s="29" t="str">
        <f t="shared" si="311"/>
        <v>NA</v>
      </c>
      <c r="V854" s="29" t="str">
        <f t="shared" si="312"/>
        <v>NA</v>
      </c>
      <c r="W854" s="29" t="str">
        <f t="shared" si="313"/>
        <v>NA</v>
      </c>
      <c r="X854" s="29" t="str">
        <f t="shared" si="314"/>
        <v>NA</v>
      </c>
      <c r="Y854" s="29" t="str">
        <f t="shared" si="315"/>
        <v>NA</v>
      </c>
      <c r="Z854" s="29" t="str">
        <f t="shared" si="316"/>
        <v>NA</v>
      </c>
      <c r="AA854" s="29" t="str">
        <f t="shared" si="317"/>
        <v>NA</v>
      </c>
      <c r="AB854" s="29" t="str">
        <f t="shared" si="318"/>
        <v>NA</v>
      </c>
      <c r="AC854" s="29" t="str">
        <f t="shared" si="319"/>
        <v>NA</v>
      </c>
      <c r="AD854" s="29" t="str">
        <f t="shared" si="320"/>
        <v>NA</v>
      </c>
      <c r="AE854" s="29" t="str">
        <f t="shared" si="321"/>
        <v>NA</v>
      </c>
      <c r="AF854" s="29" t="str">
        <f t="shared" si="322"/>
        <v>NA</v>
      </c>
      <c r="AG854" s="29" t="str">
        <f t="shared" si="323"/>
        <v>NA</v>
      </c>
      <c r="AH854" s="29" t="str">
        <f t="shared" si="324"/>
        <v>NA</v>
      </c>
    </row>
    <row r="855" customHeight="1" spans="1:34">
      <c r="A855" s="12" t="s">
        <v>1043</v>
      </c>
      <c r="F855" s="24">
        <f t="shared" si="306"/>
        <v>0</v>
      </c>
      <c r="G855" s="24" t="e">
        <f t="shared" si="305"/>
        <v>#DIV/0!</v>
      </c>
      <c r="Q855" s="29" t="str">
        <f t="shared" si="307"/>
        <v>NA</v>
      </c>
      <c r="R855" s="29" t="str">
        <f t="shared" si="308"/>
        <v>NA</v>
      </c>
      <c r="S855" s="29" t="str">
        <f t="shared" si="309"/>
        <v>NA</v>
      </c>
      <c r="T855" s="29" t="str">
        <f t="shared" si="310"/>
        <v>NA</v>
      </c>
      <c r="U855" s="29" t="str">
        <f t="shared" si="311"/>
        <v>NA</v>
      </c>
      <c r="V855" s="29" t="str">
        <f t="shared" si="312"/>
        <v>NA</v>
      </c>
      <c r="W855" s="29" t="str">
        <f t="shared" si="313"/>
        <v>NA</v>
      </c>
      <c r="X855" s="29" t="str">
        <f t="shared" si="314"/>
        <v>NA</v>
      </c>
      <c r="Y855" s="29" t="str">
        <f t="shared" si="315"/>
        <v>NA</v>
      </c>
      <c r="Z855" s="29" t="str">
        <f t="shared" si="316"/>
        <v>NA</v>
      </c>
      <c r="AA855" s="29" t="str">
        <f t="shared" si="317"/>
        <v>NA</v>
      </c>
      <c r="AB855" s="29" t="str">
        <f t="shared" si="318"/>
        <v>NA</v>
      </c>
      <c r="AC855" s="29" t="str">
        <f t="shared" si="319"/>
        <v>NA</v>
      </c>
      <c r="AD855" s="29" t="str">
        <f t="shared" si="320"/>
        <v>NA</v>
      </c>
      <c r="AE855" s="29" t="str">
        <f t="shared" si="321"/>
        <v>NA</v>
      </c>
      <c r="AF855" s="29" t="str">
        <f t="shared" si="322"/>
        <v>NA</v>
      </c>
      <c r="AG855" s="29" t="str">
        <f t="shared" si="323"/>
        <v>NA</v>
      </c>
      <c r="AH855" s="29" t="str">
        <f t="shared" si="324"/>
        <v>NA</v>
      </c>
    </row>
    <row r="856" customHeight="1" spans="1:34">
      <c r="A856" s="12" t="s">
        <v>1043</v>
      </c>
      <c r="F856" s="24">
        <f t="shared" si="306"/>
        <v>0</v>
      </c>
      <c r="G856" s="24" t="e">
        <f t="shared" si="305"/>
        <v>#DIV/0!</v>
      </c>
      <c r="Q856" s="29" t="str">
        <f t="shared" si="307"/>
        <v>NA</v>
      </c>
      <c r="R856" s="29" t="str">
        <f t="shared" si="308"/>
        <v>NA</v>
      </c>
      <c r="S856" s="29" t="str">
        <f t="shared" si="309"/>
        <v>NA</v>
      </c>
      <c r="T856" s="29" t="str">
        <f t="shared" si="310"/>
        <v>NA</v>
      </c>
      <c r="U856" s="29" t="str">
        <f t="shared" si="311"/>
        <v>NA</v>
      </c>
      <c r="V856" s="29" t="str">
        <f t="shared" si="312"/>
        <v>NA</v>
      </c>
      <c r="W856" s="29" t="str">
        <f t="shared" si="313"/>
        <v>NA</v>
      </c>
      <c r="X856" s="29" t="str">
        <f t="shared" si="314"/>
        <v>NA</v>
      </c>
      <c r="Y856" s="29" t="str">
        <f t="shared" si="315"/>
        <v>NA</v>
      </c>
      <c r="Z856" s="29" t="str">
        <f t="shared" si="316"/>
        <v>NA</v>
      </c>
      <c r="AA856" s="29" t="str">
        <f t="shared" si="317"/>
        <v>NA</v>
      </c>
      <c r="AB856" s="29" t="str">
        <f t="shared" si="318"/>
        <v>NA</v>
      </c>
      <c r="AC856" s="29" t="str">
        <f t="shared" si="319"/>
        <v>NA</v>
      </c>
      <c r="AD856" s="29" t="str">
        <f t="shared" si="320"/>
        <v>NA</v>
      </c>
      <c r="AE856" s="29" t="str">
        <f t="shared" si="321"/>
        <v>NA</v>
      </c>
      <c r="AF856" s="29" t="str">
        <f t="shared" si="322"/>
        <v>NA</v>
      </c>
      <c r="AG856" s="29" t="str">
        <f t="shared" si="323"/>
        <v>NA</v>
      </c>
      <c r="AH856" s="29" t="str">
        <f t="shared" si="324"/>
        <v>NA</v>
      </c>
    </row>
    <row r="857" customHeight="1" spans="1:34">
      <c r="A857" s="12" t="s">
        <v>1043</v>
      </c>
      <c r="F857" s="24">
        <f t="shared" si="306"/>
        <v>0</v>
      </c>
      <c r="G857" s="24" t="e">
        <f t="shared" si="305"/>
        <v>#DIV/0!</v>
      </c>
      <c r="Q857" s="29" t="str">
        <f t="shared" si="307"/>
        <v>NA</v>
      </c>
      <c r="R857" s="29" t="str">
        <f t="shared" si="308"/>
        <v>NA</v>
      </c>
      <c r="S857" s="29" t="str">
        <f t="shared" si="309"/>
        <v>NA</v>
      </c>
      <c r="T857" s="29" t="str">
        <f t="shared" si="310"/>
        <v>NA</v>
      </c>
      <c r="U857" s="29" t="str">
        <f t="shared" si="311"/>
        <v>NA</v>
      </c>
      <c r="V857" s="29" t="str">
        <f t="shared" si="312"/>
        <v>NA</v>
      </c>
      <c r="W857" s="29" t="str">
        <f t="shared" si="313"/>
        <v>NA</v>
      </c>
      <c r="X857" s="29" t="str">
        <f t="shared" si="314"/>
        <v>NA</v>
      </c>
      <c r="Y857" s="29" t="str">
        <f t="shared" si="315"/>
        <v>NA</v>
      </c>
      <c r="Z857" s="29" t="str">
        <f t="shared" si="316"/>
        <v>NA</v>
      </c>
      <c r="AA857" s="29" t="str">
        <f t="shared" si="317"/>
        <v>NA</v>
      </c>
      <c r="AB857" s="29" t="str">
        <f t="shared" si="318"/>
        <v>NA</v>
      </c>
      <c r="AC857" s="29" t="str">
        <f t="shared" si="319"/>
        <v>NA</v>
      </c>
      <c r="AD857" s="29" t="str">
        <f t="shared" si="320"/>
        <v>NA</v>
      </c>
      <c r="AE857" s="29" t="str">
        <f t="shared" si="321"/>
        <v>NA</v>
      </c>
      <c r="AF857" s="29" t="str">
        <f t="shared" si="322"/>
        <v>NA</v>
      </c>
      <c r="AG857" s="29" t="str">
        <f t="shared" si="323"/>
        <v>NA</v>
      </c>
      <c r="AH857" s="29" t="str">
        <f t="shared" si="324"/>
        <v>NA</v>
      </c>
    </row>
    <row r="858" customHeight="1" spans="1:34">
      <c r="A858" s="12" t="s">
        <v>1043</v>
      </c>
      <c r="F858" s="24">
        <f t="shared" si="306"/>
        <v>0</v>
      </c>
      <c r="G858" s="24" t="e">
        <f t="shared" si="305"/>
        <v>#DIV/0!</v>
      </c>
      <c r="Q858" s="29" t="str">
        <f t="shared" si="307"/>
        <v>NA</v>
      </c>
      <c r="R858" s="29" t="str">
        <f t="shared" si="308"/>
        <v>NA</v>
      </c>
      <c r="S858" s="29" t="str">
        <f t="shared" si="309"/>
        <v>NA</v>
      </c>
      <c r="T858" s="29" t="str">
        <f t="shared" si="310"/>
        <v>NA</v>
      </c>
      <c r="U858" s="29" t="str">
        <f t="shared" si="311"/>
        <v>NA</v>
      </c>
      <c r="V858" s="29" t="str">
        <f t="shared" si="312"/>
        <v>NA</v>
      </c>
      <c r="W858" s="29" t="str">
        <f t="shared" si="313"/>
        <v>NA</v>
      </c>
      <c r="X858" s="29" t="str">
        <f t="shared" si="314"/>
        <v>NA</v>
      </c>
      <c r="Y858" s="29" t="str">
        <f t="shared" si="315"/>
        <v>NA</v>
      </c>
      <c r="Z858" s="29" t="str">
        <f t="shared" si="316"/>
        <v>NA</v>
      </c>
      <c r="AA858" s="29" t="str">
        <f t="shared" si="317"/>
        <v>NA</v>
      </c>
      <c r="AB858" s="29" t="str">
        <f t="shared" si="318"/>
        <v>NA</v>
      </c>
      <c r="AC858" s="29" t="str">
        <f t="shared" si="319"/>
        <v>NA</v>
      </c>
      <c r="AD858" s="29" t="str">
        <f t="shared" si="320"/>
        <v>NA</v>
      </c>
      <c r="AE858" s="29" t="str">
        <f t="shared" si="321"/>
        <v>NA</v>
      </c>
      <c r="AF858" s="29" t="str">
        <f t="shared" si="322"/>
        <v>NA</v>
      </c>
      <c r="AG858" s="29" t="str">
        <f t="shared" si="323"/>
        <v>NA</v>
      </c>
      <c r="AH858" s="29" t="str">
        <f t="shared" si="324"/>
        <v>NA</v>
      </c>
    </row>
    <row r="859" customHeight="1" spans="1:34">
      <c r="A859" s="12" t="s">
        <v>1043</v>
      </c>
      <c r="F859" s="24">
        <f t="shared" si="306"/>
        <v>0</v>
      </c>
      <c r="G859" s="24" t="e">
        <f t="shared" si="305"/>
        <v>#DIV/0!</v>
      </c>
      <c r="Q859" s="29" t="str">
        <f t="shared" si="307"/>
        <v>NA</v>
      </c>
      <c r="R859" s="29" t="str">
        <f t="shared" si="308"/>
        <v>NA</v>
      </c>
      <c r="S859" s="29" t="str">
        <f t="shared" si="309"/>
        <v>NA</v>
      </c>
      <c r="T859" s="29" t="str">
        <f t="shared" si="310"/>
        <v>NA</v>
      </c>
      <c r="U859" s="29" t="str">
        <f t="shared" si="311"/>
        <v>NA</v>
      </c>
      <c r="V859" s="29" t="str">
        <f t="shared" si="312"/>
        <v>NA</v>
      </c>
      <c r="W859" s="29" t="str">
        <f t="shared" si="313"/>
        <v>NA</v>
      </c>
      <c r="X859" s="29" t="str">
        <f t="shared" si="314"/>
        <v>NA</v>
      </c>
      <c r="Y859" s="29" t="str">
        <f t="shared" si="315"/>
        <v>NA</v>
      </c>
      <c r="Z859" s="29" t="str">
        <f t="shared" si="316"/>
        <v>NA</v>
      </c>
      <c r="AA859" s="29" t="str">
        <f t="shared" si="317"/>
        <v>NA</v>
      </c>
      <c r="AB859" s="29" t="str">
        <f t="shared" si="318"/>
        <v>NA</v>
      </c>
      <c r="AC859" s="29" t="str">
        <f t="shared" si="319"/>
        <v>NA</v>
      </c>
      <c r="AD859" s="29" t="str">
        <f t="shared" si="320"/>
        <v>NA</v>
      </c>
      <c r="AE859" s="29" t="str">
        <f t="shared" si="321"/>
        <v>NA</v>
      </c>
      <c r="AF859" s="29" t="str">
        <f t="shared" si="322"/>
        <v>NA</v>
      </c>
      <c r="AG859" s="29" t="str">
        <f t="shared" si="323"/>
        <v>NA</v>
      </c>
      <c r="AH859" s="29" t="str">
        <f t="shared" si="324"/>
        <v>NA</v>
      </c>
    </row>
    <row r="860" customHeight="1" spans="1:34">
      <c r="A860" s="12" t="s">
        <v>1043</v>
      </c>
      <c r="F860" s="24">
        <f t="shared" si="306"/>
        <v>0</v>
      </c>
      <c r="G860" s="24" t="e">
        <f t="shared" si="305"/>
        <v>#DIV/0!</v>
      </c>
      <c r="Q860" s="29" t="str">
        <f t="shared" si="307"/>
        <v>NA</v>
      </c>
      <c r="R860" s="29" t="str">
        <f t="shared" si="308"/>
        <v>NA</v>
      </c>
      <c r="S860" s="29" t="str">
        <f t="shared" si="309"/>
        <v>NA</v>
      </c>
      <c r="T860" s="29" t="str">
        <f t="shared" si="310"/>
        <v>NA</v>
      </c>
      <c r="U860" s="29" t="str">
        <f t="shared" si="311"/>
        <v>NA</v>
      </c>
      <c r="V860" s="29" t="str">
        <f t="shared" si="312"/>
        <v>NA</v>
      </c>
      <c r="W860" s="29" t="str">
        <f t="shared" si="313"/>
        <v>NA</v>
      </c>
      <c r="X860" s="29" t="str">
        <f t="shared" si="314"/>
        <v>NA</v>
      </c>
      <c r="Y860" s="29" t="str">
        <f t="shared" si="315"/>
        <v>NA</v>
      </c>
      <c r="Z860" s="29" t="str">
        <f t="shared" si="316"/>
        <v>NA</v>
      </c>
      <c r="AA860" s="29" t="str">
        <f t="shared" si="317"/>
        <v>NA</v>
      </c>
      <c r="AB860" s="29" t="str">
        <f t="shared" si="318"/>
        <v>NA</v>
      </c>
      <c r="AC860" s="29" t="str">
        <f t="shared" si="319"/>
        <v>NA</v>
      </c>
      <c r="AD860" s="29" t="str">
        <f t="shared" si="320"/>
        <v>NA</v>
      </c>
      <c r="AE860" s="29" t="str">
        <f t="shared" si="321"/>
        <v>NA</v>
      </c>
      <c r="AF860" s="29" t="str">
        <f t="shared" si="322"/>
        <v>NA</v>
      </c>
      <c r="AG860" s="29" t="str">
        <f t="shared" si="323"/>
        <v>NA</v>
      </c>
      <c r="AH860" s="29" t="str">
        <f t="shared" si="324"/>
        <v>NA</v>
      </c>
    </row>
    <row r="861" customHeight="1" spans="1:34">
      <c r="A861" s="12" t="s">
        <v>1043</v>
      </c>
      <c r="F861" s="24">
        <f t="shared" si="306"/>
        <v>0</v>
      </c>
      <c r="G861" s="24" t="e">
        <f t="shared" si="305"/>
        <v>#DIV/0!</v>
      </c>
      <c r="Q861" s="29" t="str">
        <f t="shared" si="307"/>
        <v>NA</v>
      </c>
      <c r="R861" s="29" t="str">
        <f t="shared" si="308"/>
        <v>NA</v>
      </c>
      <c r="S861" s="29" t="str">
        <f t="shared" si="309"/>
        <v>NA</v>
      </c>
      <c r="T861" s="29" t="str">
        <f t="shared" si="310"/>
        <v>NA</v>
      </c>
      <c r="U861" s="29" t="str">
        <f t="shared" si="311"/>
        <v>NA</v>
      </c>
      <c r="V861" s="29" t="str">
        <f t="shared" si="312"/>
        <v>NA</v>
      </c>
      <c r="W861" s="29" t="str">
        <f t="shared" si="313"/>
        <v>NA</v>
      </c>
      <c r="X861" s="29" t="str">
        <f t="shared" si="314"/>
        <v>NA</v>
      </c>
      <c r="Y861" s="29" t="str">
        <f t="shared" si="315"/>
        <v>NA</v>
      </c>
      <c r="Z861" s="29" t="str">
        <f t="shared" si="316"/>
        <v>NA</v>
      </c>
      <c r="AA861" s="29" t="str">
        <f t="shared" si="317"/>
        <v>NA</v>
      </c>
      <c r="AB861" s="29" t="str">
        <f t="shared" si="318"/>
        <v>NA</v>
      </c>
      <c r="AC861" s="29" t="str">
        <f t="shared" si="319"/>
        <v>NA</v>
      </c>
      <c r="AD861" s="29" t="str">
        <f t="shared" si="320"/>
        <v>NA</v>
      </c>
      <c r="AE861" s="29" t="str">
        <f t="shared" si="321"/>
        <v>NA</v>
      </c>
      <c r="AF861" s="29" t="str">
        <f t="shared" si="322"/>
        <v>NA</v>
      </c>
      <c r="AG861" s="29" t="str">
        <f t="shared" si="323"/>
        <v>NA</v>
      </c>
      <c r="AH861" s="29" t="str">
        <f t="shared" si="324"/>
        <v>NA</v>
      </c>
    </row>
    <row r="862" customHeight="1" spans="1:34">
      <c r="A862" s="12" t="s">
        <v>1043</v>
      </c>
      <c r="F862" s="24">
        <f t="shared" si="306"/>
        <v>0</v>
      </c>
      <c r="G862" s="24" t="e">
        <f t="shared" si="305"/>
        <v>#DIV/0!</v>
      </c>
      <c r="Q862" s="29" t="str">
        <f t="shared" si="307"/>
        <v>NA</v>
      </c>
      <c r="R862" s="29" t="str">
        <f t="shared" si="308"/>
        <v>NA</v>
      </c>
      <c r="S862" s="29" t="str">
        <f t="shared" si="309"/>
        <v>NA</v>
      </c>
      <c r="T862" s="29" t="str">
        <f t="shared" si="310"/>
        <v>NA</v>
      </c>
      <c r="U862" s="29" t="str">
        <f t="shared" si="311"/>
        <v>NA</v>
      </c>
      <c r="V862" s="29" t="str">
        <f t="shared" si="312"/>
        <v>NA</v>
      </c>
      <c r="W862" s="29" t="str">
        <f t="shared" si="313"/>
        <v>NA</v>
      </c>
      <c r="X862" s="29" t="str">
        <f t="shared" si="314"/>
        <v>NA</v>
      </c>
      <c r="Y862" s="29" t="str">
        <f t="shared" si="315"/>
        <v>NA</v>
      </c>
      <c r="Z862" s="29" t="str">
        <f t="shared" si="316"/>
        <v>NA</v>
      </c>
      <c r="AA862" s="29" t="str">
        <f t="shared" si="317"/>
        <v>NA</v>
      </c>
      <c r="AB862" s="29" t="str">
        <f t="shared" si="318"/>
        <v>NA</v>
      </c>
      <c r="AC862" s="29" t="str">
        <f t="shared" si="319"/>
        <v>NA</v>
      </c>
      <c r="AD862" s="29" t="str">
        <f t="shared" si="320"/>
        <v>NA</v>
      </c>
      <c r="AE862" s="29" t="str">
        <f t="shared" si="321"/>
        <v>NA</v>
      </c>
      <c r="AF862" s="29" t="str">
        <f t="shared" si="322"/>
        <v>NA</v>
      </c>
      <c r="AG862" s="29" t="str">
        <f t="shared" si="323"/>
        <v>NA</v>
      </c>
      <c r="AH862" s="29" t="str">
        <f t="shared" si="324"/>
        <v>NA</v>
      </c>
    </row>
    <row r="863" customHeight="1" spans="1:34">
      <c r="A863" s="12" t="s">
        <v>1043</v>
      </c>
      <c r="F863" s="24">
        <f t="shared" si="306"/>
        <v>0</v>
      </c>
      <c r="G863" s="24" t="e">
        <f t="shared" si="305"/>
        <v>#DIV/0!</v>
      </c>
      <c r="Q863" s="29" t="str">
        <f t="shared" si="307"/>
        <v>NA</v>
      </c>
      <c r="R863" s="29" t="str">
        <f t="shared" si="308"/>
        <v>NA</v>
      </c>
      <c r="S863" s="29" t="str">
        <f t="shared" si="309"/>
        <v>NA</v>
      </c>
      <c r="T863" s="29" t="str">
        <f t="shared" si="310"/>
        <v>NA</v>
      </c>
      <c r="U863" s="29" t="str">
        <f t="shared" si="311"/>
        <v>NA</v>
      </c>
      <c r="V863" s="29" t="str">
        <f t="shared" si="312"/>
        <v>NA</v>
      </c>
      <c r="W863" s="29" t="str">
        <f t="shared" si="313"/>
        <v>NA</v>
      </c>
      <c r="X863" s="29" t="str">
        <f t="shared" si="314"/>
        <v>NA</v>
      </c>
      <c r="Y863" s="29" t="str">
        <f t="shared" si="315"/>
        <v>NA</v>
      </c>
      <c r="Z863" s="29" t="str">
        <f t="shared" si="316"/>
        <v>NA</v>
      </c>
      <c r="AA863" s="29" t="str">
        <f t="shared" si="317"/>
        <v>NA</v>
      </c>
      <c r="AB863" s="29" t="str">
        <f t="shared" si="318"/>
        <v>NA</v>
      </c>
      <c r="AC863" s="29" t="str">
        <f t="shared" si="319"/>
        <v>NA</v>
      </c>
      <c r="AD863" s="29" t="str">
        <f t="shared" si="320"/>
        <v>NA</v>
      </c>
      <c r="AE863" s="29" t="str">
        <f t="shared" si="321"/>
        <v>NA</v>
      </c>
      <c r="AF863" s="29" t="str">
        <f t="shared" si="322"/>
        <v>NA</v>
      </c>
      <c r="AG863" s="29" t="str">
        <f t="shared" si="323"/>
        <v>NA</v>
      </c>
      <c r="AH863" s="29" t="str">
        <f t="shared" si="324"/>
        <v>NA</v>
      </c>
    </row>
    <row r="864" customHeight="1" spans="1:34">
      <c r="A864" s="12" t="s">
        <v>1043</v>
      </c>
      <c r="F864" s="24">
        <f t="shared" si="306"/>
        <v>0</v>
      </c>
      <c r="G864" s="24" t="e">
        <f t="shared" si="305"/>
        <v>#DIV/0!</v>
      </c>
      <c r="Q864" s="29" t="str">
        <f t="shared" si="307"/>
        <v>NA</v>
      </c>
      <c r="R864" s="29" t="str">
        <f t="shared" si="308"/>
        <v>NA</v>
      </c>
      <c r="S864" s="29" t="str">
        <f t="shared" si="309"/>
        <v>NA</v>
      </c>
      <c r="T864" s="29" t="str">
        <f t="shared" si="310"/>
        <v>NA</v>
      </c>
      <c r="U864" s="29" t="str">
        <f t="shared" si="311"/>
        <v>NA</v>
      </c>
      <c r="V864" s="29" t="str">
        <f t="shared" si="312"/>
        <v>NA</v>
      </c>
      <c r="W864" s="29" t="str">
        <f t="shared" si="313"/>
        <v>NA</v>
      </c>
      <c r="X864" s="29" t="str">
        <f t="shared" si="314"/>
        <v>NA</v>
      </c>
      <c r="Y864" s="29" t="str">
        <f t="shared" si="315"/>
        <v>NA</v>
      </c>
      <c r="Z864" s="29" t="str">
        <f t="shared" si="316"/>
        <v>NA</v>
      </c>
      <c r="AA864" s="29" t="str">
        <f t="shared" si="317"/>
        <v>NA</v>
      </c>
      <c r="AB864" s="29" t="str">
        <f t="shared" si="318"/>
        <v>NA</v>
      </c>
      <c r="AC864" s="29" t="str">
        <f t="shared" si="319"/>
        <v>NA</v>
      </c>
      <c r="AD864" s="29" t="str">
        <f t="shared" si="320"/>
        <v>NA</v>
      </c>
      <c r="AE864" s="29" t="str">
        <f t="shared" si="321"/>
        <v>NA</v>
      </c>
      <c r="AF864" s="29" t="str">
        <f t="shared" si="322"/>
        <v>NA</v>
      </c>
      <c r="AG864" s="29" t="str">
        <f t="shared" si="323"/>
        <v>NA</v>
      </c>
      <c r="AH864" s="29" t="str">
        <f t="shared" si="324"/>
        <v>NA</v>
      </c>
    </row>
    <row r="865" customHeight="1" spans="1:34">
      <c r="A865" s="12" t="s">
        <v>1043</v>
      </c>
      <c r="F865" s="24">
        <f t="shared" si="306"/>
        <v>0</v>
      </c>
      <c r="G865" s="24" t="e">
        <f t="shared" si="305"/>
        <v>#DIV/0!</v>
      </c>
      <c r="Q865" s="29" t="str">
        <f t="shared" si="307"/>
        <v>NA</v>
      </c>
      <c r="R865" s="29" t="str">
        <f t="shared" si="308"/>
        <v>NA</v>
      </c>
      <c r="S865" s="29" t="str">
        <f t="shared" si="309"/>
        <v>NA</v>
      </c>
      <c r="T865" s="29" t="str">
        <f t="shared" si="310"/>
        <v>NA</v>
      </c>
      <c r="U865" s="29" t="str">
        <f t="shared" si="311"/>
        <v>NA</v>
      </c>
      <c r="V865" s="29" t="str">
        <f t="shared" si="312"/>
        <v>NA</v>
      </c>
      <c r="W865" s="29" t="str">
        <f t="shared" si="313"/>
        <v>NA</v>
      </c>
      <c r="X865" s="29" t="str">
        <f t="shared" si="314"/>
        <v>NA</v>
      </c>
      <c r="Y865" s="29" t="str">
        <f t="shared" si="315"/>
        <v>NA</v>
      </c>
      <c r="Z865" s="29" t="str">
        <f t="shared" si="316"/>
        <v>NA</v>
      </c>
      <c r="AA865" s="29" t="str">
        <f t="shared" si="317"/>
        <v>NA</v>
      </c>
      <c r="AB865" s="29" t="str">
        <f t="shared" si="318"/>
        <v>NA</v>
      </c>
      <c r="AC865" s="29" t="str">
        <f t="shared" si="319"/>
        <v>NA</v>
      </c>
      <c r="AD865" s="29" t="str">
        <f t="shared" si="320"/>
        <v>NA</v>
      </c>
      <c r="AE865" s="29" t="str">
        <f t="shared" si="321"/>
        <v>NA</v>
      </c>
      <c r="AF865" s="29" t="str">
        <f t="shared" si="322"/>
        <v>NA</v>
      </c>
      <c r="AG865" s="29" t="str">
        <f t="shared" si="323"/>
        <v>NA</v>
      </c>
      <c r="AH865" s="29" t="str">
        <f t="shared" si="324"/>
        <v>NA</v>
      </c>
    </row>
    <row r="866" customHeight="1" spans="1:34">
      <c r="A866" s="12" t="s">
        <v>1043</v>
      </c>
      <c r="F866" s="24">
        <f t="shared" si="306"/>
        <v>0</v>
      </c>
      <c r="G866" s="24" t="e">
        <f t="shared" si="305"/>
        <v>#DIV/0!</v>
      </c>
      <c r="Q866" s="29" t="str">
        <f t="shared" si="307"/>
        <v>NA</v>
      </c>
      <c r="R866" s="29" t="str">
        <f t="shared" si="308"/>
        <v>NA</v>
      </c>
      <c r="S866" s="29" t="str">
        <f t="shared" si="309"/>
        <v>NA</v>
      </c>
      <c r="T866" s="29" t="str">
        <f t="shared" si="310"/>
        <v>NA</v>
      </c>
      <c r="U866" s="29" t="str">
        <f t="shared" si="311"/>
        <v>NA</v>
      </c>
      <c r="V866" s="29" t="str">
        <f t="shared" si="312"/>
        <v>NA</v>
      </c>
      <c r="W866" s="29" t="str">
        <f t="shared" si="313"/>
        <v>NA</v>
      </c>
      <c r="X866" s="29" t="str">
        <f t="shared" si="314"/>
        <v>NA</v>
      </c>
      <c r="Y866" s="29" t="str">
        <f t="shared" si="315"/>
        <v>NA</v>
      </c>
      <c r="Z866" s="29" t="str">
        <f t="shared" si="316"/>
        <v>NA</v>
      </c>
      <c r="AA866" s="29" t="str">
        <f t="shared" si="317"/>
        <v>NA</v>
      </c>
      <c r="AB866" s="29" t="str">
        <f t="shared" si="318"/>
        <v>NA</v>
      </c>
      <c r="AC866" s="29" t="str">
        <f t="shared" si="319"/>
        <v>NA</v>
      </c>
      <c r="AD866" s="29" t="str">
        <f t="shared" si="320"/>
        <v>NA</v>
      </c>
      <c r="AE866" s="29" t="str">
        <f t="shared" si="321"/>
        <v>NA</v>
      </c>
      <c r="AF866" s="29" t="str">
        <f t="shared" si="322"/>
        <v>NA</v>
      </c>
      <c r="AG866" s="29" t="str">
        <f t="shared" si="323"/>
        <v>NA</v>
      </c>
      <c r="AH866" s="29" t="str">
        <f t="shared" si="324"/>
        <v>NA</v>
      </c>
    </row>
    <row r="867" customHeight="1" spans="1:34">
      <c r="A867" s="12" t="s">
        <v>1043</v>
      </c>
      <c r="F867" s="24">
        <f t="shared" si="306"/>
        <v>0</v>
      </c>
      <c r="G867" s="24" t="e">
        <f t="shared" si="305"/>
        <v>#DIV/0!</v>
      </c>
      <c r="Q867" s="29" t="str">
        <f t="shared" si="307"/>
        <v>NA</v>
      </c>
      <c r="R867" s="29" t="str">
        <f t="shared" si="308"/>
        <v>NA</v>
      </c>
      <c r="S867" s="29" t="str">
        <f t="shared" si="309"/>
        <v>NA</v>
      </c>
      <c r="T867" s="29" t="str">
        <f t="shared" si="310"/>
        <v>NA</v>
      </c>
      <c r="U867" s="29" t="str">
        <f t="shared" si="311"/>
        <v>NA</v>
      </c>
      <c r="V867" s="29" t="str">
        <f t="shared" si="312"/>
        <v>NA</v>
      </c>
      <c r="W867" s="29" t="str">
        <f t="shared" si="313"/>
        <v>NA</v>
      </c>
      <c r="X867" s="29" t="str">
        <f t="shared" si="314"/>
        <v>NA</v>
      </c>
      <c r="Y867" s="29" t="str">
        <f t="shared" si="315"/>
        <v>NA</v>
      </c>
      <c r="Z867" s="29" t="str">
        <f t="shared" si="316"/>
        <v>NA</v>
      </c>
      <c r="AA867" s="29" t="str">
        <f t="shared" si="317"/>
        <v>NA</v>
      </c>
      <c r="AB867" s="29" t="str">
        <f t="shared" si="318"/>
        <v>NA</v>
      </c>
      <c r="AC867" s="29" t="str">
        <f t="shared" si="319"/>
        <v>NA</v>
      </c>
      <c r="AD867" s="29" t="str">
        <f t="shared" si="320"/>
        <v>NA</v>
      </c>
      <c r="AE867" s="29" t="str">
        <f t="shared" si="321"/>
        <v>NA</v>
      </c>
      <c r="AF867" s="29" t="str">
        <f t="shared" si="322"/>
        <v>NA</v>
      </c>
      <c r="AG867" s="29" t="str">
        <f t="shared" si="323"/>
        <v>NA</v>
      </c>
      <c r="AH867" s="29" t="str">
        <f t="shared" si="324"/>
        <v>NA</v>
      </c>
    </row>
    <row r="868" customHeight="1" spans="1:34">
      <c r="A868" s="12" t="s">
        <v>1043</v>
      </c>
      <c r="F868" s="24">
        <f t="shared" si="306"/>
        <v>0</v>
      </c>
      <c r="G868" s="24" t="e">
        <f t="shared" si="305"/>
        <v>#DIV/0!</v>
      </c>
      <c r="Q868" s="29" t="str">
        <f t="shared" si="307"/>
        <v>NA</v>
      </c>
      <c r="R868" s="29" t="str">
        <f t="shared" si="308"/>
        <v>NA</v>
      </c>
      <c r="S868" s="29" t="str">
        <f t="shared" si="309"/>
        <v>NA</v>
      </c>
      <c r="T868" s="29" t="str">
        <f t="shared" si="310"/>
        <v>NA</v>
      </c>
      <c r="U868" s="29" t="str">
        <f t="shared" si="311"/>
        <v>NA</v>
      </c>
      <c r="V868" s="29" t="str">
        <f t="shared" si="312"/>
        <v>NA</v>
      </c>
      <c r="W868" s="29" t="str">
        <f t="shared" si="313"/>
        <v>NA</v>
      </c>
      <c r="X868" s="29" t="str">
        <f t="shared" si="314"/>
        <v>NA</v>
      </c>
      <c r="Y868" s="29" t="str">
        <f t="shared" si="315"/>
        <v>NA</v>
      </c>
      <c r="Z868" s="29" t="str">
        <f t="shared" si="316"/>
        <v>NA</v>
      </c>
      <c r="AA868" s="29" t="str">
        <f t="shared" si="317"/>
        <v>NA</v>
      </c>
      <c r="AB868" s="29" t="str">
        <f t="shared" si="318"/>
        <v>NA</v>
      </c>
      <c r="AC868" s="29" t="str">
        <f t="shared" si="319"/>
        <v>NA</v>
      </c>
      <c r="AD868" s="29" t="str">
        <f t="shared" si="320"/>
        <v>NA</v>
      </c>
      <c r="AE868" s="29" t="str">
        <f t="shared" si="321"/>
        <v>NA</v>
      </c>
      <c r="AF868" s="29" t="str">
        <f t="shared" si="322"/>
        <v>NA</v>
      </c>
      <c r="AG868" s="29" t="str">
        <f t="shared" si="323"/>
        <v>NA</v>
      </c>
      <c r="AH868" s="29" t="str">
        <f t="shared" si="324"/>
        <v>NA</v>
      </c>
    </row>
    <row r="869" customHeight="1" spans="1:34">
      <c r="A869" s="12" t="s">
        <v>1043</v>
      </c>
      <c r="F869" s="24">
        <f t="shared" si="306"/>
        <v>0</v>
      </c>
      <c r="G869" s="24" t="e">
        <f t="shared" si="305"/>
        <v>#DIV/0!</v>
      </c>
      <c r="Q869" s="29" t="str">
        <f t="shared" si="307"/>
        <v>NA</v>
      </c>
      <c r="R869" s="29" t="str">
        <f t="shared" si="308"/>
        <v>NA</v>
      </c>
      <c r="S869" s="29" t="str">
        <f t="shared" si="309"/>
        <v>NA</v>
      </c>
      <c r="T869" s="29" t="str">
        <f t="shared" si="310"/>
        <v>NA</v>
      </c>
      <c r="U869" s="29" t="str">
        <f t="shared" si="311"/>
        <v>NA</v>
      </c>
      <c r="V869" s="29" t="str">
        <f t="shared" si="312"/>
        <v>NA</v>
      </c>
      <c r="W869" s="29" t="str">
        <f t="shared" si="313"/>
        <v>NA</v>
      </c>
      <c r="X869" s="29" t="str">
        <f t="shared" si="314"/>
        <v>NA</v>
      </c>
      <c r="Y869" s="29" t="str">
        <f t="shared" si="315"/>
        <v>NA</v>
      </c>
      <c r="Z869" s="29" t="str">
        <f t="shared" si="316"/>
        <v>NA</v>
      </c>
      <c r="AA869" s="29" t="str">
        <f t="shared" si="317"/>
        <v>NA</v>
      </c>
      <c r="AB869" s="29" t="str">
        <f t="shared" si="318"/>
        <v>NA</v>
      </c>
      <c r="AC869" s="29" t="str">
        <f t="shared" si="319"/>
        <v>NA</v>
      </c>
      <c r="AD869" s="29" t="str">
        <f t="shared" si="320"/>
        <v>NA</v>
      </c>
      <c r="AE869" s="29" t="str">
        <f t="shared" si="321"/>
        <v>NA</v>
      </c>
      <c r="AF869" s="29" t="str">
        <f t="shared" si="322"/>
        <v>NA</v>
      </c>
      <c r="AG869" s="29" t="str">
        <f t="shared" si="323"/>
        <v>NA</v>
      </c>
      <c r="AH869" s="29" t="str">
        <f t="shared" si="324"/>
        <v>NA</v>
      </c>
    </row>
    <row r="870" customHeight="1" spans="1:34">
      <c r="A870" s="12" t="s">
        <v>1043</v>
      </c>
      <c r="F870" s="24">
        <f t="shared" si="306"/>
        <v>0</v>
      </c>
      <c r="G870" s="24" t="e">
        <f t="shared" si="305"/>
        <v>#DIV/0!</v>
      </c>
      <c r="Q870" s="29" t="str">
        <f t="shared" si="307"/>
        <v>NA</v>
      </c>
      <c r="R870" s="29" t="str">
        <f t="shared" si="308"/>
        <v>NA</v>
      </c>
      <c r="S870" s="29" t="str">
        <f t="shared" si="309"/>
        <v>NA</v>
      </c>
      <c r="T870" s="29" t="str">
        <f t="shared" si="310"/>
        <v>NA</v>
      </c>
      <c r="U870" s="29" t="str">
        <f t="shared" si="311"/>
        <v>NA</v>
      </c>
      <c r="V870" s="29" t="str">
        <f t="shared" si="312"/>
        <v>NA</v>
      </c>
      <c r="W870" s="29" t="str">
        <f t="shared" si="313"/>
        <v>NA</v>
      </c>
      <c r="X870" s="29" t="str">
        <f t="shared" si="314"/>
        <v>NA</v>
      </c>
      <c r="Y870" s="29" t="str">
        <f t="shared" si="315"/>
        <v>NA</v>
      </c>
      <c r="Z870" s="29" t="str">
        <f t="shared" si="316"/>
        <v>NA</v>
      </c>
      <c r="AA870" s="29" t="str">
        <f t="shared" si="317"/>
        <v>NA</v>
      </c>
      <c r="AB870" s="29" t="str">
        <f t="shared" si="318"/>
        <v>NA</v>
      </c>
      <c r="AC870" s="29" t="str">
        <f t="shared" si="319"/>
        <v>NA</v>
      </c>
      <c r="AD870" s="29" t="str">
        <f t="shared" si="320"/>
        <v>NA</v>
      </c>
      <c r="AE870" s="29" t="str">
        <f t="shared" si="321"/>
        <v>NA</v>
      </c>
      <c r="AF870" s="29" t="str">
        <f t="shared" si="322"/>
        <v>NA</v>
      </c>
      <c r="AG870" s="29" t="str">
        <f t="shared" si="323"/>
        <v>NA</v>
      </c>
      <c r="AH870" s="29" t="str">
        <f t="shared" si="324"/>
        <v>NA</v>
      </c>
    </row>
    <row r="871" customHeight="1" spans="1:34">
      <c r="A871" s="12" t="s">
        <v>1043</v>
      </c>
      <c r="F871" s="24">
        <f t="shared" si="306"/>
        <v>0</v>
      </c>
      <c r="G871" s="24" t="e">
        <f t="shared" si="305"/>
        <v>#DIV/0!</v>
      </c>
      <c r="Q871" s="29" t="str">
        <f t="shared" si="307"/>
        <v>NA</v>
      </c>
      <c r="R871" s="29" t="str">
        <f t="shared" si="308"/>
        <v>NA</v>
      </c>
      <c r="S871" s="29" t="str">
        <f t="shared" si="309"/>
        <v>NA</v>
      </c>
      <c r="T871" s="29" t="str">
        <f t="shared" si="310"/>
        <v>NA</v>
      </c>
      <c r="U871" s="29" t="str">
        <f t="shared" si="311"/>
        <v>NA</v>
      </c>
      <c r="V871" s="29" t="str">
        <f t="shared" si="312"/>
        <v>NA</v>
      </c>
      <c r="W871" s="29" t="str">
        <f t="shared" si="313"/>
        <v>NA</v>
      </c>
      <c r="X871" s="29" t="str">
        <f t="shared" si="314"/>
        <v>NA</v>
      </c>
      <c r="Y871" s="29" t="str">
        <f t="shared" si="315"/>
        <v>NA</v>
      </c>
      <c r="Z871" s="29" t="str">
        <f t="shared" si="316"/>
        <v>NA</v>
      </c>
      <c r="AA871" s="29" t="str">
        <f t="shared" si="317"/>
        <v>NA</v>
      </c>
      <c r="AB871" s="29" t="str">
        <f t="shared" si="318"/>
        <v>NA</v>
      </c>
      <c r="AC871" s="29" t="str">
        <f t="shared" si="319"/>
        <v>NA</v>
      </c>
      <c r="AD871" s="29" t="str">
        <f t="shared" si="320"/>
        <v>NA</v>
      </c>
      <c r="AE871" s="29" t="str">
        <f t="shared" si="321"/>
        <v>NA</v>
      </c>
      <c r="AF871" s="29" t="str">
        <f t="shared" si="322"/>
        <v>NA</v>
      </c>
      <c r="AG871" s="29" t="str">
        <f t="shared" si="323"/>
        <v>NA</v>
      </c>
      <c r="AH871" s="29" t="str">
        <f t="shared" si="324"/>
        <v>NA</v>
      </c>
    </row>
    <row r="872" customHeight="1" spans="1:34">
      <c r="A872" s="12" t="s">
        <v>1043</v>
      </c>
      <c r="F872" s="24">
        <f t="shared" si="306"/>
        <v>0</v>
      </c>
      <c r="G872" s="24" t="e">
        <f t="shared" si="305"/>
        <v>#DIV/0!</v>
      </c>
      <c r="Q872" s="29" t="str">
        <f t="shared" si="307"/>
        <v>NA</v>
      </c>
      <c r="R872" s="29" t="str">
        <f t="shared" si="308"/>
        <v>NA</v>
      </c>
      <c r="S872" s="29" t="str">
        <f t="shared" si="309"/>
        <v>NA</v>
      </c>
      <c r="T872" s="29" t="str">
        <f t="shared" si="310"/>
        <v>NA</v>
      </c>
      <c r="U872" s="29" t="str">
        <f t="shared" si="311"/>
        <v>NA</v>
      </c>
      <c r="V872" s="29" t="str">
        <f t="shared" si="312"/>
        <v>NA</v>
      </c>
      <c r="W872" s="29" t="str">
        <f t="shared" si="313"/>
        <v>NA</v>
      </c>
      <c r="X872" s="29" t="str">
        <f t="shared" si="314"/>
        <v>NA</v>
      </c>
      <c r="Y872" s="29" t="str">
        <f t="shared" si="315"/>
        <v>NA</v>
      </c>
      <c r="Z872" s="29" t="str">
        <f t="shared" si="316"/>
        <v>NA</v>
      </c>
      <c r="AA872" s="29" t="str">
        <f t="shared" si="317"/>
        <v>NA</v>
      </c>
      <c r="AB872" s="29" t="str">
        <f t="shared" si="318"/>
        <v>NA</v>
      </c>
      <c r="AC872" s="29" t="str">
        <f t="shared" si="319"/>
        <v>NA</v>
      </c>
      <c r="AD872" s="29" t="str">
        <f t="shared" si="320"/>
        <v>NA</v>
      </c>
      <c r="AE872" s="29" t="str">
        <f t="shared" si="321"/>
        <v>NA</v>
      </c>
      <c r="AF872" s="29" t="str">
        <f t="shared" si="322"/>
        <v>NA</v>
      </c>
      <c r="AG872" s="29" t="str">
        <f t="shared" si="323"/>
        <v>NA</v>
      </c>
      <c r="AH872" s="29" t="str">
        <f t="shared" si="324"/>
        <v>NA</v>
      </c>
    </row>
    <row r="873" customHeight="1" spans="1:34">
      <c r="A873" s="12" t="s">
        <v>1043</v>
      </c>
      <c r="F873" s="24">
        <f t="shared" si="306"/>
        <v>0</v>
      </c>
      <c r="G873" s="24" t="e">
        <f t="shared" si="305"/>
        <v>#DIV/0!</v>
      </c>
      <c r="Q873" s="29" t="str">
        <f t="shared" si="307"/>
        <v>NA</v>
      </c>
      <c r="R873" s="29" t="str">
        <f t="shared" si="308"/>
        <v>NA</v>
      </c>
      <c r="S873" s="29" t="str">
        <f t="shared" si="309"/>
        <v>NA</v>
      </c>
      <c r="T873" s="29" t="str">
        <f t="shared" si="310"/>
        <v>NA</v>
      </c>
      <c r="U873" s="29" t="str">
        <f t="shared" si="311"/>
        <v>NA</v>
      </c>
      <c r="V873" s="29" t="str">
        <f t="shared" si="312"/>
        <v>NA</v>
      </c>
      <c r="W873" s="29" t="str">
        <f t="shared" si="313"/>
        <v>NA</v>
      </c>
      <c r="X873" s="29" t="str">
        <f t="shared" si="314"/>
        <v>NA</v>
      </c>
      <c r="Y873" s="29" t="str">
        <f t="shared" si="315"/>
        <v>NA</v>
      </c>
      <c r="Z873" s="29" t="str">
        <f t="shared" si="316"/>
        <v>NA</v>
      </c>
      <c r="AA873" s="29" t="str">
        <f t="shared" si="317"/>
        <v>NA</v>
      </c>
      <c r="AB873" s="29" t="str">
        <f t="shared" si="318"/>
        <v>NA</v>
      </c>
      <c r="AC873" s="29" t="str">
        <f t="shared" si="319"/>
        <v>NA</v>
      </c>
      <c r="AD873" s="29" t="str">
        <f t="shared" si="320"/>
        <v>NA</v>
      </c>
      <c r="AE873" s="29" t="str">
        <f t="shared" si="321"/>
        <v>NA</v>
      </c>
      <c r="AF873" s="29" t="str">
        <f t="shared" si="322"/>
        <v>NA</v>
      </c>
      <c r="AG873" s="29" t="str">
        <f t="shared" si="323"/>
        <v>NA</v>
      </c>
      <c r="AH873" s="29" t="str">
        <f t="shared" si="324"/>
        <v>NA</v>
      </c>
    </row>
    <row r="874" customHeight="1" spans="1:34">
      <c r="A874" s="12" t="s">
        <v>1043</v>
      </c>
      <c r="F874" s="24">
        <f t="shared" si="306"/>
        <v>0</v>
      </c>
      <c r="G874" s="24" t="e">
        <f t="shared" si="305"/>
        <v>#DIV/0!</v>
      </c>
      <c r="Q874" s="29" t="str">
        <f t="shared" si="307"/>
        <v>NA</v>
      </c>
      <c r="R874" s="29" t="str">
        <f t="shared" si="308"/>
        <v>NA</v>
      </c>
      <c r="S874" s="29" t="str">
        <f t="shared" si="309"/>
        <v>NA</v>
      </c>
      <c r="T874" s="29" t="str">
        <f t="shared" si="310"/>
        <v>NA</v>
      </c>
      <c r="U874" s="29" t="str">
        <f t="shared" si="311"/>
        <v>NA</v>
      </c>
      <c r="V874" s="29" t="str">
        <f t="shared" si="312"/>
        <v>NA</v>
      </c>
      <c r="W874" s="29" t="str">
        <f t="shared" si="313"/>
        <v>NA</v>
      </c>
      <c r="X874" s="29" t="str">
        <f t="shared" si="314"/>
        <v>NA</v>
      </c>
      <c r="Y874" s="29" t="str">
        <f t="shared" si="315"/>
        <v>NA</v>
      </c>
      <c r="Z874" s="29" t="str">
        <f t="shared" si="316"/>
        <v>NA</v>
      </c>
      <c r="AA874" s="29" t="str">
        <f t="shared" si="317"/>
        <v>NA</v>
      </c>
      <c r="AB874" s="29" t="str">
        <f t="shared" si="318"/>
        <v>NA</v>
      </c>
      <c r="AC874" s="29" t="str">
        <f t="shared" si="319"/>
        <v>NA</v>
      </c>
      <c r="AD874" s="29" t="str">
        <f t="shared" si="320"/>
        <v>NA</v>
      </c>
      <c r="AE874" s="29" t="str">
        <f t="shared" si="321"/>
        <v>NA</v>
      </c>
      <c r="AF874" s="29" t="str">
        <f t="shared" si="322"/>
        <v>NA</v>
      </c>
      <c r="AG874" s="29" t="str">
        <f t="shared" si="323"/>
        <v>NA</v>
      </c>
      <c r="AH874" s="29" t="str">
        <f t="shared" si="324"/>
        <v>NA</v>
      </c>
    </row>
    <row r="875" customHeight="1" spans="1:34">
      <c r="A875" s="12" t="s">
        <v>1043</v>
      </c>
      <c r="F875" s="24">
        <f t="shared" si="306"/>
        <v>0</v>
      </c>
      <c r="G875" s="24" t="e">
        <f t="shared" si="305"/>
        <v>#DIV/0!</v>
      </c>
      <c r="Q875" s="29" t="str">
        <f t="shared" si="307"/>
        <v>NA</v>
      </c>
      <c r="R875" s="29" t="str">
        <f t="shared" si="308"/>
        <v>NA</v>
      </c>
      <c r="S875" s="29" t="str">
        <f t="shared" si="309"/>
        <v>NA</v>
      </c>
      <c r="T875" s="29" t="str">
        <f t="shared" si="310"/>
        <v>NA</v>
      </c>
      <c r="U875" s="29" t="str">
        <f t="shared" si="311"/>
        <v>NA</v>
      </c>
      <c r="V875" s="29" t="str">
        <f t="shared" si="312"/>
        <v>NA</v>
      </c>
      <c r="W875" s="29" t="str">
        <f t="shared" si="313"/>
        <v>NA</v>
      </c>
      <c r="X875" s="29" t="str">
        <f t="shared" si="314"/>
        <v>NA</v>
      </c>
      <c r="Y875" s="29" t="str">
        <f t="shared" si="315"/>
        <v>NA</v>
      </c>
      <c r="Z875" s="29" t="str">
        <f t="shared" si="316"/>
        <v>NA</v>
      </c>
      <c r="AA875" s="29" t="str">
        <f t="shared" si="317"/>
        <v>NA</v>
      </c>
      <c r="AB875" s="29" t="str">
        <f t="shared" si="318"/>
        <v>NA</v>
      </c>
      <c r="AC875" s="29" t="str">
        <f t="shared" si="319"/>
        <v>NA</v>
      </c>
      <c r="AD875" s="29" t="str">
        <f t="shared" si="320"/>
        <v>NA</v>
      </c>
      <c r="AE875" s="29" t="str">
        <f t="shared" si="321"/>
        <v>NA</v>
      </c>
      <c r="AF875" s="29" t="str">
        <f t="shared" si="322"/>
        <v>NA</v>
      </c>
      <c r="AG875" s="29" t="str">
        <f t="shared" si="323"/>
        <v>NA</v>
      </c>
      <c r="AH875" s="29" t="str">
        <f t="shared" si="324"/>
        <v>NA</v>
      </c>
    </row>
    <row r="876" customHeight="1" spans="1:34">
      <c r="A876" s="12" t="s">
        <v>1043</v>
      </c>
      <c r="F876" s="24">
        <f t="shared" si="306"/>
        <v>0</v>
      </c>
      <c r="G876" s="24" t="e">
        <f t="shared" si="305"/>
        <v>#DIV/0!</v>
      </c>
      <c r="Q876" s="29" t="str">
        <f t="shared" si="307"/>
        <v>NA</v>
      </c>
      <c r="R876" s="29" t="str">
        <f t="shared" si="308"/>
        <v>NA</v>
      </c>
      <c r="S876" s="29" t="str">
        <f t="shared" si="309"/>
        <v>NA</v>
      </c>
      <c r="T876" s="29" t="str">
        <f t="shared" si="310"/>
        <v>NA</v>
      </c>
      <c r="U876" s="29" t="str">
        <f t="shared" si="311"/>
        <v>NA</v>
      </c>
      <c r="V876" s="29" t="str">
        <f t="shared" si="312"/>
        <v>NA</v>
      </c>
      <c r="W876" s="29" t="str">
        <f t="shared" si="313"/>
        <v>NA</v>
      </c>
      <c r="X876" s="29" t="str">
        <f t="shared" si="314"/>
        <v>NA</v>
      </c>
      <c r="Y876" s="29" t="str">
        <f t="shared" si="315"/>
        <v>NA</v>
      </c>
      <c r="Z876" s="29" t="str">
        <f t="shared" si="316"/>
        <v>NA</v>
      </c>
      <c r="AA876" s="29" t="str">
        <f t="shared" si="317"/>
        <v>NA</v>
      </c>
      <c r="AB876" s="29" t="str">
        <f t="shared" si="318"/>
        <v>NA</v>
      </c>
      <c r="AC876" s="29" t="str">
        <f t="shared" si="319"/>
        <v>NA</v>
      </c>
      <c r="AD876" s="29" t="str">
        <f t="shared" si="320"/>
        <v>NA</v>
      </c>
      <c r="AE876" s="29" t="str">
        <f t="shared" si="321"/>
        <v>NA</v>
      </c>
      <c r="AF876" s="29" t="str">
        <f t="shared" si="322"/>
        <v>NA</v>
      </c>
      <c r="AG876" s="29" t="str">
        <f t="shared" si="323"/>
        <v>NA</v>
      </c>
      <c r="AH876" s="29" t="str">
        <f t="shared" si="324"/>
        <v>NA</v>
      </c>
    </row>
    <row r="877" customHeight="1" spans="1:34">
      <c r="A877" s="12" t="s">
        <v>1043</v>
      </c>
      <c r="F877" s="24">
        <f t="shared" si="306"/>
        <v>0</v>
      </c>
      <c r="G877" s="24" t="e">
        <f t="shared" si="305"/>
        <v>#DIV/0!</v>
      </c>
      <c r="Q877" s="29" t="str">
        <f t="shared" si="307"/>
        <v>NA</v>
      </c>
      <c r="R877" s="29" t="str">
        <f t="shared" si="308"/>
        <v>NA</v>
      </c>
      <c r="S877" s="29" t="str">
        <f t="shared" si="309"/>
        <v>NA</v>
      </c>
      <c r="T877" s="29" t="str">
        <f t="shared" si="310"/>
        <v>NA</v>
      </c>
      <c r="U877" s="29" t="str">
        <f t="shared" si="311"/>
        <v>NA</v>
      </c>
      <c r="V877" s="29" t="str">
        <f t="shared" si="312"/>
        <v>NA</v>
      </c>
      <c r="W877" s="29" t="str">
        <f t="shared" si="313"/>
        <v>NA</v>
      </c>
      <c r="X877" s="29" t="str">
        <f t="shared" si="314"/>
        <v>NA</v>
      </c>
      <c r="Y877" s="29" t="str">
        <f t="shared" si="315"/>
        <v>NA</v>
      </c>
      <c r="Z877" s="29" t="str">
        <f t="shared" si="316"/>
        <v>NA</v>
      </c>
      <c r="AA877" s="29" t="str">
        <f t="shared" si="317"/>
        <v>NA</v>
      </c>
      <c r="AB877" s="29" t="str">
        <f t="shared" si="318"/>
        <v>NA</v>
      </c>
      <c r="AC877" s="29" t="str">
        <f t="shared" si="319"/>
        <v>NA</v>
      </c>
      <c r="AD877" s="29" t="str">
        <f t="shared" si="320"/>
        <v>NA</v>
      </c>
      <c r="AE877" s="29" t="str">
        <f t="shared" si="321"/>
        <v>NA</v>
      </c>
      <c r="AF877" s="29" t="str">
        <f t="shared" si="322"/>
        <v>NA</v>
      </c>
      <c r="AG877" s="29" t="str">
        <f t="shared" si="323"/>
        <v>NA</v>
      </c>
      <c r="AH877" s="29" t="str">
        <f t="shared" si="324"/>
        <v>NA</v>
      </c>
    </row>
    <row r="878" customHeight="1" spans="1:34">
      <c r="A878" s="12" t="s">
        <v>1043</v>
      </c>
      <c r="F878" s="24">
        <f t="shared" si="306"/>
        <v>0</v>
      </c>
      <c r="G878" s="24" t="e">
        <f t="shared" si="305"/>
        <v>#DIV/0!</v>
      </c>
      <c r="Q878" s="29" t="str">
        <f t="shared" si="307"/>
        <v>NA</v>
      </c>
      <c r="R878" s="29" t="str">
        <f t="shared" si="308"/>
        <v>NA</v>
      </c>
      <c r="S878" s="29" t="str">
        <f t="shared" si="309"/>
        <v>NA</v>
      </c>
      <c r="T878" s="29" t="str">
        <f t="shared" si="310"/>
        <v>NA</v>
      </c>
      <c r="U878" s="29" t="str">
        <f t="shared" si="311"/>
        <v>NA</v>
      </c>
      <c r="V878" s="29" t="str">
        <f t="shared" si="312"/>
        <v>NA</v>
      </c>
      <c r="W878" s="29" t="str">
        <f t="shared" si="313"/>
        <v>NA</v>
      </c>
      <c r="X878" s="29" t="str">
        <f t="shared" si="314"/>
        <v>NA</v>
      </c>
      <c r="Y878" s="29" t="str">
        <f t="shared" si="315"/>
        <v>NA</v>
      </c>
      <c r="Z878" s="29" t="str">
        <f t="shared" si="316"/>
        <v>NA</v>
      </c>
      <c r="AA878" s="29" t="str">
        <f t="shared" si="317"/>
        <v>NA</v>
      </c>
      <c r="AB878" s="29" t="str">
        <f t="shared" si="318"/>
        <v>NA</v>
      </c>
      <c r="AC878" s="29" t="str">
        <f t="shared" si="319"/>
        <v>NA</v>
      </c>
      <c r="AD878" s="29" t="str">
        <f t="shared" si="320"/>
        <v>NA</v>
      </c>
      <c r="AE878" s="29" t="str">
        <f t="shared" si="321"/>
        <v>NA</v>
      </c>
      <c r="AF878" s="29" t="str">
        <f t="shared" si="322"/>
        <v>NA</v>
      </c>
      <c r="AG878" s="29" t="str">
        <f t="shared" si="323"/>
        <v>NA</v>
      </c>
      <c r="AH878" s="29" t="str">
        <f t="shared" si="324"/>
        <v>NA</v>
      </c>
    </row>
    <row r="879" customHeight="1" spans="1:34">
      <c r="A879" s="12" t="s">
        <v>1043</v>
      </c>
      <c r="F879" s="24">
        <f t="shared" si="306"/>
        <v>0</v>
      </c>
      <c r="G879" s="24" t="e">
        <f t="shared" si="305"/>
        <v>#DIV/0!</v>
      </c>
      <c r="Q879" s="29" t="str">
        <f t="shared" si="307"/>
        <v>NA</v>
      </c>
      <c r="R879" s="29" t="str">
        <f t="shared" si="308"/>
        <v>NA</v>
      </c>
      <c r="S879" s="29" t="str">
        <f t="shared" si="309"/>
        <v>NA</v>
      </c>
      <c r="T879" s="29" t="str">
        <f t="shared" si="310"/>
        <v>NA</v>
      </c>
      <c r="U879" s="29" t="str">
        <f t="shared" si="311"/>
        <v>NA</v>
      </c>
      <c r="V879" s="29" t="str">
        <f t="shared" si="312"/>
        <v>NA</v>
      </c>
      <c r="W879" s="29" t="str">
        <f t="shared" si="313"/>
        <v>NA</v>
      </c>
      <c r="X879" s="29" t="str">
        <f t="shared" si="314"/>
        <v>NA</v>
      </c>
      <c r="Y879" s="29" t="str">
        <f t="shared" si="315"/>
        <v>NA</v>
      </c>
      <c r="Z879" s="29" t="str">
        <f t="shared" si="316"/>
        <v>NA</v>
      </c>
      <c r="AA879" s="29" t="str">
        <f t="shared" si="317"/>
        <v>NA</v>
      </c>
      <c r="AB879" s="29" t="str">
        <f t="shared" si="318"/>
        <v>NA</v>
      </c>
      <c r="AC879" s="29" t="str">
        <f t="shared" si="319"/>
        <v>NA</v>
      </c>
      <c r="AD879" s="29" t="str">
        <f t="shared" si="320"/>
        <v>NA</v>
      </c>
      <c r="AE879" s="29" t="str">
        <f t="shared" si="321"/>
        <v>NA</v>
      </c>
      <c r="AF879" s="29" t="str">
        <f t="shared" si="322"/>
        <v>NA</v>
      </c>
      <c r="AG879" s="29" t="str">
        <f t="shared" si="323"/>
        <v>NA</v>
      </c>
      <c r="AH879" s="29" t="str">
        <f t="shared" si="324"/>
        <v>NA</v>
      </c>
    </row>
    <row r="880" customHeight="1" spans="1:34">
      <c r="A880" s="12" t="s">
        <v>1043</v>
      </c>
      <c r="F880" s="24">
        <f t="shared" si="306"/>
        <v>0</v>
      </c>
      <c r="G880" s="24" t="e">
        <f t="shared" si="305"/>
        <v>#DIV/0!</v>
      </c>
      <c r="Q880" s="29" t="str">
        <f t="shared" si="307"/>
        <v>NA</v>
      </c>
      <c r="R880" s="29" t="str">
        <f t="shared" si="308"/>
        <v>NA</v>
      </c>
      <c r="S880" s="29" t="str">
        <f t="shared" si="309"/>
        <v>NA</v>
      </c>
      <c r="T880" s="29" t="str">
        <f t="shared" si="310"/>
        <v>NA</v>
      </c>
      <c r="U880" s="29" t="str">
        <f t="shared" si="311"/>
        <v>NA</v>
      </c>
      <c r="V880" s="29" t="str">
        <f t="shared" si="312"/>
        <v>NA</v>
      </c>
      <c r="W880" s="29" t="str">
        <f t="shared" si="313"/>
        <v>NA</v>
      </c>
      <c r="X880" s="29" t="str">
        <f t="shared" si="314"/>
        <v>NA</v>
      </c>
      <c r="Y880" s="29" t="str">
        <f t="shared" si="315"/>
        <v>NA</v>
      </c>
      <c r="Z880" s="29" t="str">
        <f t="shared" si="316"/>
        <v>NA</v>
      </c>
      <c r="AA880" s="29" t="str">
        <f t="shared" si="317"/>
        <v>NA</v>
      </c>
      <c r="AB880" s="29" t="str">
        <f t="shared" si="318"/>
        <v>NA</v>
      </c>
      <c r="AC880" s="29" t="str">
        <f t="shared" si="319"/>
        <v>NA</v>
      </c>
      <c r="AD880" s="29" t="str">
        <f t="shared" si="320"/>
        <v>NA</v>
      </c>
      <c r="AE880" s="29" t="str">
        <f t="shared" si="321"/>
        <v>NA</v>
      </c>
      <c r="AF880" s="29" t="str">
        <f t="shared" si="322"/>
        <v>NA</v>
      </c>
      <c r="AG880" s="29" t="str">
        <f t="shared" si="323"/>
        <v>NA</v>
      </c>
      <c r="AH880" s="29" t="str">
        <f t="shared" si="324"/>
        <v>NA</v>
      </c>
    </row>
    <row r="881" customHeight="1" spans="1:34">
      <c r="A881" s="12" t="s">
        <v>1043</v>
      </c>
      <c r="F881" s="24">
        <f t="shared" si="306"/>
        <v>0</v>
      </c>
      <c r="G881" s="24" t="e">
        <f t="shared" si="305"/>
        <v>#DIV/0!</v>
      </c>
      <c r="Q881" s="29" t="str">
        <f t="shared" si="307"/>
        <v>NA</v>
      </c>
      <c r="R881" s="29" t="str">
        <f t="shared" si="308"/>
        <v>NA</v>
      </c>
      <c r="S881" s="29" t="str">
        <f t="shared" si="309"/>
        <v>NA</v>
      </c>
      <c r="T881" s="29" t="str">
        <f t="shared" si="310"/>
        <v>NA</v>
      </c>
      <c r="U881" s="29" t="str">
        <f t="shared" si="311"/>
        <v>NA</v>
      </c>
      <c r="V881" s="29" t="str">
        <f t="shared" si="312"/>
        <v>NA</v>
      </c>
      <c r="W881" s="29" t="str">
        <f t="shared" si="313"/>
        <v>NA</v>
      </c>
      <c r="X881" s="29" t="str">
        <f t="shared" si="314"/>
        <v>NA</v>
      </c>
      <c r="Y881" s="29" t="str">
        <f t="shared" si="315"/>
        <v>NA</v>
      </c>
      <c r="Z881" s="29" t="str">
        <f t="shared" si="316"/>
        <v>NA</v>
      </c>
      <c r="AA881" s="29" t="str">
        <f t="shared" si="317"/>
        <v>NA</v>
      </c>
      <c r="AB881" s="29" t="str">
        <f t="shared" si="318"/>
        <v>NA</v>
      </c>
      <c r="AC881" s="29" t="str">
        <f t="shared" si="319"/>
        <v>NA</v>
      </c>
      <c r="AD881" s="29" t="str">
        <f t="shared" si="320"/>
        <v>NA</v>
      </c>
      <c r="AE881" s="29" t="str">
        <f t="shared" si="321"/>
        <v>NA</v>
      </c>
      <c r="AF881" s="29" t="str">
        <f t="shared" si="322"/>
        <v>NA</v>
      </c>
      <c r="AG881" s="29" t="str">
        <f t="shared" si="323"/>
        <v>NA</v>
      </c>
      <c r="AH881" s="29" t="str">
        <f t="shared" si="324"/>
        <v>NA</v>
      </c>
    </row>
    <row r="882" customHeight="1" spans="1:34">
      <c r="A882" s="12" t="s">
        <v>1043</v>
      </c>
      <c r="F882" s="24">
        <f t="shared" si="306"/>
        <v>0</v>
      </c>
      <c r="G882" s="24" t="e">
        <f t="shared" si="305"/>
        <v>#DIV/0!</v>
      </c>
      <c r="Q882" s="29" t="str">
        <f t="shared" si="307"/>
        <v>NA</v>
      </c>
      <c r="R882" s="29" t="str">
        <f t="shared" si="308"/>
        <v>NA</v>
      </c>
      <c r="S882" s="29" t="str">
        <f t="shared" si="309"/>
        <v>NA</v>
      </c>
      <c r="T882" s="29" t="str">
        <f t="shared" si="310"/>
        <v>NA</v>
      </c>
      <c r="U882" s="29" t="str">
        <f t="shared" si="311"/>
        <v>NA</v>
      </c>
      <c r="V882" s="29" t="str">
        <f t="shared" si="312"/>
        <v>NA</v>
      </c>
      <c r="W882" s="29" t="str">
        <f t="shared" si="313"/>
        <v>NA</v>
      </c>
      <c r="X882" s="29" t="str">
        <f t="shared" si="314"/>
        <v>NA</v>
      </c>
      <c r="Y882" s="29" t="str">
        <f t="shared" si="315"/>
        <v>NA</v>
      </c>
      <c r="Z882" s="29" t="str">
        <f t="shared" si="316"/>
        <v>NA</v>
      </c>
      <c r="AA882" s="29" t="str">
        <f t="shared" si="317"/>
        <v>NA</v>
      </c>
      <c r="AB882" s="29" t="str">
        <f t="shared" si="318"/>
        <v>NA</v>
      </c>
      <c r="AC882" s="29" t="str">
        <f t="shared" si="319"/>
        <v>NA</v>
      </c>
      <c r="AD882" s="29" t="str">
        <f t="shared" si="320"/>
        <v>NA</v>
      </c>
      <c r="AE882" s="29" t="str">
        <f t="shared" si="321"/>
        <v>NA</v>
      </c>
      <c r="AF882" s="29" t="str">
        <f t="shared" si="322"/>
        <v>NA</v>
      </c>
      <c r="AG882" s="29" t="str">
        <f t="shared" si="323"/>
        <v>NA</v>
      </c>
      <c r="AH882" s="29" t="str">
        <f t="shared" si="324"/>
        <v>NA</v>
      </c>
    </row>
    <row r="883" customHeight="1" spans="1:34">
      <c r="A883" s="12" t="s">
        <v>1043</v>
      </c>
      <c r="F883" s="24">
        <f t="shared" si="306"/>
        <v>0</v>
      </c>
      <c r="G883" s="24" t="e">
        <f t="shared" si="305"/>
        <v>#DIV/0!</v>
      </c>
      <c r="Q883" s="29" t="str">
        <f t="shared" si="307"/>
        <v>NA</v>
      </c>
      <c r="R883" s="29" t="str">
        <f t="shared" si="308"/>
        <v>NA</v>
      </c>
      <c r="S883" s="29" t="str">
        <f t="shared" si="309"/>
        <v>NA</v>
      </c>
      <c r="T883" s="29" t="str">
        <f t="shared" si="310"/>
        <v>NA</v>
      </c>
      <c r="U883" s="29" t="str">
        <f t="shared" si="311"/>
        <v>NA</v>
      </c>
      <c r="V883" s="29" t="str">
        <f t="shared" si="312"/>
        <v>NA</v>
      </c>
      <c r="W883" s="29" t="str">
        <f t="shared" si="313"/>
        <v>NA</v>
      </c>
      <c r="X883" s="29" t="str">
        <f t="shared" si="314"/>
        <v>NA</v>
      </c>
      <c r="Y883" s="29" t="str">
        <f t="shared" si="315"/>
        <v>NA</v>
      </c>
      <c r="Z883" s="29" t="str">
        <f t="shared" si="316"/>
        <v>NA</v>
      </c>
      <c r="AA883" s="29" t="str">
        <f t="shared" si="317"/>
        <v>NA</v>
      </c>
      <c r="AB883" s="29" t="str">
        <f t="shared" si="318"/>
        <v>NA</v>
      </c>
      <c r="AC883" s="29" t="str">
        <f t="shared" si="319"/>
        <v>NA</v>
      </c>
      <c r="AD883" s="29" t="str">
        <f t="shared" si="320"/>
        <v>NA</v>
      </c>
      <c r="AE883" s="29" t="str">
        <f t="shared" si="321"/>
        <v>NA</v>
      </c>
      <c r="AF883" s="29" t="str">
        <f t="shared" si="322"/>
        <v>NA</v>
      </c>
      <c r="AG883" s="29" t="str">
        <f t="shared" si="323"/>
        <v>NA</v>
      </c>
      <c r="AH883" s="29" t="str">
        <f t="shared" si="324"/>
        <v>NA</v>
      </c>
    </row>
    <row r="884" customHeight="1" spans="1:34">
      <c r="A884" s="12" t="s">
        <v>1043</v>
      </c>
      <c r="F884" s="24">
        <f t="shared" si="306"/>
        <v>0</v>
      </c>
      <c r="G884" s="24" t="e">
        <f t="shared" si="305"/>
        <v>#DIV/0!</v>
      </c>
      <c r="Q884" s="29" t="str">
        <f t="shared" si="307"/>
        <v>NA</v>
      </c>
      <c r="R884" s="29" t="str">
        <f t="shared" si="308"/>
        <v>NA</v>
      </c>
      <c r="S884" s="29" t="str">
        <f t="shared" si="309"/>
        <v>NA</v>
      </c>
      <c r="T884" s="29" t="str">
        <f t="shared" si="310"/>
        <v>NA</v>
      </c>
      <c r="U884" s="29" t="str">
        <f t="shared" si="311"/>
        <v>NA</v>
      </c>
      <c r="V884" s="29" t="str">
        <f t="shared" si="312"/>
        <v>NA</v>
      </c>
      <c r="W884" s="29" t="str">
        <f t="shared" si="313"/>
        <v>NA</v>
      </c>
      <c r="X884" s="29" t="str">
        <f t="shared" si="314"/>
        <v>NA</v>
      </c>
      <c r="Y884" s="29" t="str">
        <f t="shared" si="315"/>
        <v>NA</v>
      </c>
      <c r="Z884" s="29" t="str">
        <f t="shared" si="316"/>
        <v>NA</v>
      </c>
      <c r="AA884" s="29" t="str">
        <f t="shared" si="317"/>
        <v>NA</v>
      </c>
      <c r="AB884" s="29" t="str">
        <f t="shared" si="318"/>
        <v>NA</v>
      </c>
      <c r="AC884" s="29" t="str">
        <f t="shared" si="319"/>
        <v>NA</v>
      </c>
      <c r="AD884" s="29" t="str">
        <f t="shared" si="320"/>
        <v>NA</v>
      </c>
      <c r="AE884" s="29" t="str">
        <f t="shared" si="321"/>
        <v>NA</v>
      </c>
      <c r="AF884" s="29" t="str">
        <f t="shared" si="322"/>
        <v>NA</v>
      </c>
      <c r="AG884" s="29" t="str">
        <f t="shared" si="323"/>
        <v>NA</v>
      </c>
      <c r="AH884" s="29" t="str">
        <f t="shared" si="324"/>
        <v>NA</v>
      </c>
    </row>
    <row r="885" customHeight="1" spans="1:34">
      <c r="A885" s="12" t="s">
        <v>1043</v>
      </c>
      <c r="F885" s="24">
        <f t="shared" si="306"/>
        <v>0</v>
      </c>
      <c r="G885" s="24" t="e">
        <f t="shared" si="305"/>
        <v>#DIV/0!</v>
      </c>
      <c r="Q885" s="29" t="str">
        <f t="shared" si="307"/>
        <v>NA</v>
      </c>
      <c r="R885" s="29" t="str">
        <f t="shared" si="308"/>
        <v>NA</v>
      </c>
      <c r="S885" s="29" t="str">
        <f t="shared" si="309"/>
        <v>NA</v>
      </c>
      <c r="T885" s="29" t="str">
        <f t="shared" si="310"/>
        <v>NA</v>
      </c>
      <c r="U885" s="29" t="str">
        <f t="shared" si="311"/>
        <v>NA</v>
      </c>
      <c r="V885" s="29" t="str">
        <f t="shared" si="312"/>
        <v>NA</v>
      </c>
      <c r="W885" s="29" t="str">
        <f t="shared" si="313"/>
        <v>NA</v>
      </c>
      <c r="X885" s="29" t="str">
        <f t="shared" si="314"/>
        <v>NA</v>
      </c>
      <c r="Y885" s="29" t="str">
        <f t="shared" si="315"/>
        <v>NA</v>
      </c>
      <c r="Z885" s="29" t="str">
        <f t="shared" si="316"/>
        <v>NA</v>
      </c>
      <c r="AA885" s="29" t="str">
        <f t="shared" si="317"/>
        <v>NA</v>
      </c>
      <c r="AB885" s="29" t="str">
        <f t="shared" si="318"/>
        <v>NA</v>
      </c>
      <c r="AC885" s="29" t="str">
        <f t="shared" si="319"/>
        <v>NA</v>
      </c>
      <c r="AD885" s="29" t="str">
        <f t="shared" si="320"/>
        <v>NA</v>
      </c>
      <c r="AE885" s="29" t="str">
        <f t="shared" si="321"/>
        <v>NA</v>
      </c>
      <c r="AF885" s="29" t="str">
        <f t="shared" si="322"/>
        <v>NA</v>
      </c>
      <c r="AG885" s="29" t="str">
        <f t="shared" si="323"/>
        <v>NA</v>
      </c>
      <c r="AH885" s="29" t="str">
        <f t="shared" si="324"/>
        <v>NA</v>
      </c>
    </row>
    <row r="886" customHeight="1" spans="1:34">
      <c r="A886" s="12" t="s">
        <v>1043</v>
      </c>
      <c r="F886" s="24">
        <f t="shared" si="306"/>
        <v>0</v>
      </c>
      <c r="G886" s="24" t="e">
        <f t="shared" si="305"/>
        <v>#DIV/0!</v>
      </c>
      <c r="Q886" s="29" t="str">
        <f t="shared" si="307"/>
        <v>NA</v>
      </c>
      <c r="R886" s="29" t="str">
        <f t="shared" si="308"/>
        <v>NA</v>
      </c>
      <c r="S886" s="29" t="str">
        <f t="shared" si="309"/>
        <v>NA</v>
      </c>
      <c r="T886" s="29" t="str">
        <f t="shared" si="310"/>
        <v>NA</v>
      </c>
      <c r="U886" s="29" t="str">
        <f t="shared" si="311"/>
        <v>NA</v>
      </c>
      <c r="V886" s="29" t="str">
        <f t="shared" si="312"/>
        <v>NA</v>
      </c>
      <c r="W886" s="29" t="str">
        <f t="shared" si="313"/>
        <v>NA</v>
      </c>
      <c r="X886" s="29" t="str">
        <f t="shared" si="314"/>
        <v>NA</v>
      </c>
      <c r="Y886" s="29" t="str">
        <f t="shared" si="315"/>
        <v>NA</v>
      </c>
      <c r="Z886" s="29" t="str">
        <f t="shared" si="316"/>
        <v>NA</v>
      </c>
      <c r="AA886" s="29" t="str">
        <f t="shared" si="317"/>
        <v>NA</v>
      </c>
      <c r="AB886" s="29" t="str">
        <f t="shared" si="318"/>
        <v>NA</v>
      </c>
      <c r="AC886" s="29" t="str">
        <f t="shared" si="319"/>
        <v>NA</v>
      </c>
      <c r="AD886" s="29" t="str">
        <f t="shared" si="320"/>
        <v>NA</v>
      </c>
      <c r="AE886" s="29" t="str">
        <f t="shared" si="321"/>
        <v>NA</v>
      </c>
      <c r="AF886" s="29" t="str">
        <f t="shared" si="322"/>
        <v>NA</v>
      </c>
      <c r="AG886" s="29" t="str">
        <f t="shared" si="323"/>
        <v>NA</v>
      </c>
      <c r="AH886" s="29" t="str">
        <f t="shared" si="324"/>
        <v>NA</v>
      </c>
    </row>
    <row r="887" customHeight="1" spans="1:34">
      <c r="A887" s="12" t="s">
        <v>1043</v>
      </c>
      <c r="F887" s="24">
        <f t="shared" si="306"/>
        <v>0</v>
      </c>
      <c r="G887" s="24" t="e">
        <f t="shared" si="305"/>
        <v>#DIV/0!</v>
      </c>
      <c r="Q887" s="29" t="str">
        <f t="shared" si="307"/>
        <v>NA</v>
      </c>
      <c r="R887" s="29" t="str">
        <f t="shared" si="308"/>
        <v>NA</v>
      </c>
      <c r="S887" s="29" t="str">
        <f t="shared" si="309"/>
        <v>NA</v>
      </c>
      <c r="T887" s="29" t="str">
        <f t="shared" si="310"/>
        <v>NA</v>
      </c>
      <c r="U887" s="29" t="str">
        <f t="shared" si="311"/>
        <v>NA</v>
      </c>
      <c r="V887" s="29" t="str">
        <f t="shared" si="312"/>
        <v>NA</v>
      </c>
      <c r="W887" s="29" t="str">
        <f t="shared" si="313"/>
        <v>NA</v>
      </c>
      <c r="X887" s="29" t="str">
        <f t="shared" si="314"/>
        <v>NA</v>
      </c>
      <c r="Y887" s="29" t="str">
        <f t="shared" si="315"/>
        <v>NA</v>
      </c>
      <c r="Z887" s="29" t="str">
        <f t="shared" si="316"/>
        <v>NA</v>
      </c>
      <c r="AA887" s="29" t="str">
        <f t="shared" si="317"/>
        <v>NA</v>
      </c>
      <c r="AB887" s="29" t="str">
        <f t="shared" si="318"/>
        <v>NA</v>
      </c>
      <c r="AC887" s="29" t="str">
        <f t="shared" si="319"/>
        <v>NA</v>
      </c>
      <c r="AD887" s="29" t="str">
        <f t="shared" si="320"/>
        <v>NA</v>
      </c>
      <c r="AE887" s="29" t="str">
        <f t="shared" si="321"/>
        <v>NA</v>
      </c>
      <c r="AF887" s="29" t="str">
        <f t="shared" si="322"/>
        <v>NA</v>
      </c>
      <c r="AG887" s="29" t="str">
        <f t="shared" si="323"/>
        <v>NA</v>
      </c>
      <c r="AH887" s="29" t="str">
        <f t="shared" si="324"/>
        <v>NA</v>
      </c>
    </row>
    <row r="888" customHeight="1" spans="1:34">
      <c r="A888" s="12" t="s">
        <v>1043</v>
      </c>
      <c r="F888" s="24">
        <f t="shared" si="306"/>
        <v>0</v>
      </c>
      <c r="G888" s="24" t="e">
        <f t="shared" si="305"/>
        <v>#DIV/0!</v>
      </c>
      <c r="Q888" s="29" t="str">
        <f t="shared" si="307"/>
        <v>NA</v>
      </c>
      <c r="R888" s="29" t="str">
        <f t="shared" si="308"/>
        <v>NA</v>
      </c>
      <c r="S888" s="29" t="str">
        <f t="shared" si="309"/>
        <v>NA</v>
      </c>
      <c r="T888" s="29" t="str">
        <f t="shared" si="310"/>
        <v>NA</v>
      </c>
      <c r="U888" s="29" t="str">
        <f t="shared" si="311"/>
        <v>NA</v>
      </c>
      <c r="V888" s="29" t="str">
        <f t="shared" si="312"/>
        <v>NA</v>
      </c>
      <c r="W888" s="29" t="str">
        <f t="shared" si="313"/>
        <v>NA</v>
      </c>
      <c r="X888" s="29" t="str">
        <f t="shared" si="314"/>
        <v>NA</v>
      </c>
      <c r="Y888" s="29" t="str">
        <f t="shared" si="315"/>
        <v>NA</v>
      </c>
      <c r="Z888" s="29" t="str">
        <f t="shared" si="316"/>
        <v>NA</v>
      </c>
      <c r="AA888" s="29" t="str">
        <f t="shared" si="317"/>
        <v>NA</v>
      </c>
      <c r="AB888" s="29" t="str">
        <f t="shared" si="318"/>
        <v>NA</v>
      </c>
      <c r="AC888" s="29" t="str">
        <f t="shared" si="319"/>
        <v>NA</v>
      </c>
      <c r="AD888" s="29" t="str">
        <f t="shared" si="320"/>
        <v>NA</v>
      </c>
      <c r="AE888" s="29" t="str">
        <f t="shared" si="321"/>
        <v>NA</v>
      </c>
      <c r="AF888" s="29" t="str">
        <f t="shared" si="322"/>
        <v>NA</v>
      </c>
      <c r="AG888" s="29" t="str">
        <f t="shared" si="323"/>
        <v>NA</v>
      </c>
      <c r="AH888" s="29" t="str">
        <f t="shared" si="324"/>
        <v>NA</v>
      </c>
    </row>
    <row r="889" customHeight="1" spans="1:34">
      <c r="A889" s="12" t="s">
        <v>1043</v>
      </c>
      <c r="F889" s="24">
        <f t="shared" si="306"/>
        <v>0</v>
      </c>
      <c r="G889" s="24" t="e">
        <f t="shared" si="305"/>
        <v>#DIV/0!</v>
      </c>
      <c r="Q889" s="29" t="str">
        <f t="shared" si="307"/>
        <v>NA</v>
      </c>
      <c r="R889" s="29" t="str">
        <f t="shared" si="308"/>
        <v>NA</v>
      </c>
      <c r="S889" s="29" t="str">
        <f t="shared" si="309"/>
        <v>NA</v>
      </c>
      <c r="T889" s="29" t="str">
        <f t="shared" si="310"/>
        <v>NA</v>
      </c>
      <c r="U889" s="29" t="str">
        <f t="shared" si="311"/>
        <v>NA</v>
      </c>
      <c r="V889" s="29" t="str">
        <f t="shared" si="312"/>
        <v>NA</v>
      </c>
      <c r="W889" s="29" t="str">
        <f t="shared" si="313"/>
        <v>NA</v>
      </c>
      <c r="X889" s="29" t="str">
        <f t="shared" si="314"/>
        <v>NA</v>
      </c>
      <c r="Y889" s="29" t="str">
        <f t="shared" si="315"/>
        <v>NA</v>
      </c>
      <c r="Z889" s="29" t="str">
        <f t="shared" si="316"/>
        <v>NA</v>
      </c>
      <c r="AA889" s="29" t="str">
        <f t="shared" si="317"/>
        <v>NA</v>
      </c>
      <c r="AB889" s="29" t="str">
        <f t="shared" si="318"/>
        <v>NA</v>
      </c>
      <c r="AC889" s="29" t="str">
        <f t="shared" si="319"/>
        <v>NA</v>
      </c>
      <c r="AD889" s="29" t="str">
        <f t="shared" si="320"/>
        <v>NA</v>
      </c>
      <c r="AE889" s="29" t="str">
        <f t="shared" si="321"/>
        <v>NA</v>
      </c>
      <c r="AF889" s="29" t="str">
        <f t="shared" si="322"/>
        <v>NA</v>
      </c>
      <c r="AG889" s="29" t="str">
        <f t="shared" si="323"/>
        <v>NA</v>
      </c>
      <c r="AH889" s="29" t="str">
        <f t="shared" si="324"/>
        <v>NA</v>
      </c>
    </row>
    <row r="890" customHeight="1" spans="1:34">
      <c r="A890" s="12" t="s">
        <v>1043</v>
      </c>
      <c r="F890" s="24">
        <f t="shared" si="306"/>
        <v>0</v>
      </c>
      <c r="G890" s="24" t="e">
        <f t="shared" si="305"/>
        <v>#DIV/0!</v>
      </c>
      <c r="Q890" s="29" t="str">
        <f t="shared" si="307"/>
        <v>NA</v>
      </c>
      <c r="R890" s="29" t="str">
        <f t="shared" si="308"/>
        <v>NA</v>
      </c>
      <c r="S890" s="29" t="str">
        <f t="shared" si="309"/>
        <v>NA</v>
      </c>
      <c r="T890" s="29" t="str">
        <f t="shared" si="310"/>
        <v>NA</v>
      </c>
      <c r="U890" s="29" t="str">
        <f t="shared" si="311"/>
        <v>NA</v>
      </c>
      <c r="V890" s="29" t="str">
        <f t="shared" si="312"/>
        <v>NA</v>
      </c>
      <c r="W890" s="29" t="str">
        <f t="shared" si="313"/>
        <v>NA</v>
      </c>
      <c r="X890" s="29" t="str">
        <f t="shared" si="314"/>
        <v>NA</v>
      </c>
      <c r="Y890" s="29" t="str">
        <f t="shared" si="315"/>
        <v>NA</v>
      </c>
      <c r="Z890" s="29" t="str">
        <f t="shared" si="316"/>
        <v>NA</v>
      </c>
      <c r="AA890" s="29" t="str">
        <f t="shared" si="317"/>
        <v>NA</v>
      </c>
      <c r="AB890" s="29" t="str">
        <f t="shared" si="318"/>
        <v>NA</v>
      </c>
      <c r="AC890" s="29" t="str">
        <f t="shared" si="319"/>
        <v>NA</v>
      </c>
      <c r="AD890" s="29" t="str">
        <f t="shared" si="320"/>
        <v>NA</v>
      </c>
      <c r="AE890" s="29" t="str">
        <f t="shared" si="321"/>
        <v>NA</v>
      </c>
      <c r="AF890" s="29" t="str">
        <f t="shared" si="322"/>
        <v>NA</v>
      </c>
      <c r="AG890" s="29" t="str">
        <f t="shared" si="323"/>
        <v>NA</v>
      </c>
      <c r="AH890" s="29" t="str">
        <f t="shared" si="324"/>
        <v>NA</v>
      </c>
    </row>
    <row r="891" customHeight="1" spans="1:34">
      <c r="A891" s="12" t="s">
        <v>1043</v>
      </c>
      <c r="F891" s="24">
        <f t="shared" si="306"/>
        <v>0</v>
      </c>
      <c r="G891" s="24" t="e">
        <f t="shared" si="305"/>
        <v>#DIV/0!</v>
      </c>
      <c r="Q891" s="29" t="str">
        <f t="shared" si="307"/>
        <v>NA</v>
      </c>
      <c r="R891" s="29" t="str">
        <f t="shared" si="308"/>
        <v>NA</v>
      </c>
      <c r="S891" s="29" t="str">
        <f t="shared" si="309"/>
        <v>NA</v>
      </c>
      <c r="T891" s="29" t="str">
        <f t="shared" si="310"/>
        <v>NA</v>
      </c>
      <c r="U891" s="29" t="str">
        <f t="shared" si="311"/>
        <v>NA</v>
      </c>
      <c r="V891" s="29" t="str">
        <f t="shared" si="312"/>
        <v>NA</v>
      </c>
      <c r="W891" s="29" t="str">
        <f t="shared" si="313"/>
        <v>NA</v>
      </c>
      <c r="X891" s="29" t="str">
        <f t="shared" si="314"/>
        <v>NA</v>
      </c>
      <c r="Y891" s="29" t="str">
        <f t="shared" si="315"/>
        <v>NA</v>
      </c>
      <c r="Z891" s="29" t="str">
        <f t="shared" si="316"/>
        <v>NA</v>
      </c>
      <c r="AA891" s="29" t="str">
        <f t="shared" si="317"/>
        <v>NA</v>
      </c>
      <c r="AB891" s="29" t="str">
        <f t="shared" si="318"/>
        <v>NA</v>
      </c>
      <c r="AC891" s="29" t="str">
        <f t="shared" si="319"/>
        <v>NA</v>
      </c>
      <c r="AD891" s="29" t="str">
        <f t="shared" si="320"/>
        <v>NA</v>
      </c>
      <c r="AE891" s="29" t="str">
        <f t="shared" si="321"/>
        <v>NA</v>
      </c>
      <c r="AF891" s="29" t="str">
        <f t="shared" si="322"/>
        <v>NA</v>
      </c>
      <c r="AG891" s="29" t="str">
        <f t="shared" si="323"/>
        <v>NA</v>
      </c>
      <c r="AH891" s="29" t="str">
        <f t="shared" si="324"/>
        <v>NA</v>
      </c>
    </row>
    <row r="892" customHeight="1" spans="1:34">
      <c r="A892" s="12" t="s">
        <v>1043</v>
      </c>
      <c r="F892" s="24">
        <f t="shared" si="306"/>
        <v>0</v>
      </c>
      <c r="G892" s="24" t="e">
        <f t="shared" si="305"/>
        <v>#DIV/0!</v>
      </c>
      <c r="Q892" s="29" t="str">
        <f t="shared" si="307"/>
        <v>NA</v>
      </c>
      <c r="R892" s="29" t="str">
        <f t="shared" si="308"/>
        <v>NA</v>
      </c>
      <c r="S892" s="29" t="str">
        <f t="shared" si="309"/>
        <v>NA</v>
      </c>
      <c r="T892" s="29" t="str">
        <f t="shared" si="310"/>
        <v>NA</v>
      </c>
      <c r="U892" s="29" t="str">
        <f t="shared" si="311"/>
        <v>NA</v>
      </c>
      <c r="V892" s="29" t="str">
        <f t="shared" si="312"/>
        <v>NA</v>
      </c>
      <c r="W892" s="29" t="str">
        <f t="shared" si="313"/>
        <v>NA</v>
      </c>
      <c r="X892" s="29" t="str">
        <f t="shared" si="314"/>
        <v>NA</v>
      </c>
      <c r="Y892" s="29" t="str">
        <f t="shared" si="315"/>
        <v>NA</v>
      </c>
      <c r="Z892" s="29" t="str">
        <f t="shared" si="316"/>
        <v>NA</v>
      </c>
      <c r="AA892" s="29" t="str">
        <f t="shared" si="317"/>
        <v>NA</v>
      </c>
      <c r="AB892" s="29" t="str">
        <f t="shared" si="318"/>
        <v>NA</v>
      </c>
      <c r="AC892" s="29" t="str">
        <f t="shared" si="319"/>
        <v>NA</v>
      </c>
      <c r="AD892" s="29" t="str">
        <f t="shared" si="320"/>
        <v>NA</v>
      </c>
      <c r="AE892" s="29" t="str">
        <f t="shared" si="321"/>
        <v>NA</v>
      </c>
      <c r="AF892" s="29" t="str">
        <f t="shared" si="322"/>
        <v>NA</v>
      </c>
      <c r="AG892" s="29" t="str">
        <f t="shared" si="323"/>
        <v>NA</v>
      </c>
      <c r="AH892" s="29" t="str">
        <f t="shared" si="324"/>
        <v>NA</v>
      </c>
    </row>
    <row r="893" customHeight="1" spans="1:34">
      <c r="A893" s="12" t="s">
        <v>1043</v>
      </c>
      <c r="F893" s="24">
        <f t="shared" si="306"/>
        <v>0</v>
      </c>
      <c r="G893" s="24" t="e">
        <f t="shared" si="305"/>
        <v>#DIV/0!</v>
      </c>
      <c r="Q893" s="29" t="str">
        <f t="shared" si="307"/>
        <v>NA</v>
      </c>
      <c r="R893" s="29" t="str">
        <f t="shared" si="308"/>
        <v>NA</v>
      </c>
      <c r="S893" s="29" t="str">
        <f t="shared" si="309"/>
        <v>NA</v>
      </c>
      <c r="T893" s="29" t="str">
        <f t="shared" si="310"/>
        <v>NA</v>
      </c>
      <c r="U893" s="29" t="str">
        <f t="shared" si="311"/>
        <v>NA</v>
      </c>
      <c r="V893" s="29" t="str">
        <f t="shared" si="312"/>
        <v>NA</v>
      </c>
      <c r="W893" s="29" t="str">
        <f t="shared" si="313"/>
        <v>NA</v>
      </c>
      <c r="X893" s="29" t="str">
        <f t="shared" si="314"/>
        <v>NA</v>
      </c>
      <c r="Y893" s="29" t="str">
        <f t="shared" si="315"/>
        <v>NA</v>
      </c>
      <c r="Z893" s="29" t="str">
        <f t="shared" si="316"/>
        <v>NA</v>
      </c>
      <c r="AA893" s="29" t="str">
        <f t="shared" si="317"/>
        <v>NA</v>
      </c>
      <c r="AB893" s="29" t="str">
        <f t="shared" si="318"/>
        <v>NA</v>
      </c>
      <c r="AC893" s="29" t="str">
        <f t="shared" si="319"/>
        <v>NA</v>
      </c>
      <c r="AD893" s="29" t="str">
        <f t="shared" si="320"/>
        <v>NA</v>
      </c>
      <c r="AE893" s="29" t="str">
        <f t="shared" si="321"/>
        <v>NA</v>
      </c>
      <c r="AF893" s="29" t="str">
        <f t="shared" si="322"/>
        <v>NA</v>
      </c>
      <c r="AG893" s="29" t="str">
        <f t="shared" si="323"/>
        <v>NA</v>
      </c>
      <c r="AH893" s="29" t="str">
        <f t="shared" si="324"/>
        <v>NA</v>
      </c>
    </row>
    <row r="894" customHeight="1" spans="1:34">
      <c r="A894" s="12" t="s">
        <v>1043</v>
      </c>
      <c r="F894" s="24">
        <f t="shared" si="306"/>
        <v>0</v>
      </c>
      <c r="G894" s="24" t="e">
        <f t="shared" si="305"/>
        <v>#DIV/0!</v>
      </c>
      <c r="Q894" s="29" t="str">
        <f t="shared" si="307"/>
        <v>NA</v>
      </c>
      <c r="R894" s="29" t="str">
        <f t="shared" si="308"/>
        <v>NA</v>
      </c>
      <c r="S894" s="29" t="str">
        <f t="shared" si="309"/>
        <v>NA</v>
      </c>
      <c r="T894" s="29" t="str">
        <f t="shared" si="310"/>
        <v>NA</v>
      </c>
      <c r="U894" s="29" t="str">
        <f t="shared" si="311"/>
        <v>NA</v>
      </c>
      <c r="V894" s="29" t="str">
        <f t="shared" si="312"/>
        <v>NA</v>
      </c>
      <c r="W894" s="29" t="str">
        <f t="shared" si="313"/>
        <v>NA</v>
      </c>
      <c r="X894" s="29" t="str">
        <f t="shared" si="314"/>
        <v>NA</v>
      </c>
      <c r="Y894" s="29" t="str">
        <f t="shared" si="315"/>
        <v>NA</v>
      </c>
      <c r="Z894" s="29" t="str">
        <f t="shared" si="316"/>
        <v>NA</v>
      </c>
      <c r="AA894" s="29" t="str">
        <f t="shared" si="317"/>
        <v>NA</v>
      </c>
      <c r="AB894" s="29" t="str">
        <f t="shared" si="318"/>
        <v>NA</v>
      </c>
      <c r="AC894" s="29" t="str">
        <f t="shared" si="319"/>
        <v>NA</v>
      </c>
      <c r="AD894" s="29" t="str">
        <f t="shared" si="320"/>
        <v>NA</v>
      </c>
      <c r="AE894" s="29" t="str">
        <f t="shared" si="321"/>
        <v>NA</v>
      </c>
      <c r="AF894" s="29" t="str">
        <f t="shared" si="322"/>
        <v>NA</v>
      </c>
      <c r="AG894" s="29" t="str">
        <f t="shared" si="323"/>
        <v>NA</v>
      </c>
      <c r="AH894" s="29" t="str">
        <f t="shared" si="324"/>
        <v>NA</v>
      </c>
    </row>
    <row r="895" customHeight="1" spans="1:34">
      <c r="A895" s="12" t="s">
        <v>1043</v>
      </c>
      <c r="F895" s="24">
        <f t="shared" si="306"/>
        <v>0</v>
      </c>
      <c r="G895" s="24" t="e">
        <f t="shared" si="305"/>
        <v>#DIV/0!</v>
      </c>
      <c r="Q895" s="29" t="str">
        <f t="shared" si="307"/>
        <v>NA</v>
      </c>
      <c r="R895" s="29" t="str">
        <f t="shared" si="308"/>
        <v>NA</v>
      </c>
      <c r="S895" s="29" t="str">
        <f t="shared" si="309"/>
        <v>NA</v>
      </c>
      <c r="T895" s="29" t="str">
        <f t="shared" si="310"/>
        <v>NA</v>
      </c>
      <c r="U895" s="29" t="str">
        <f t="shared" si="311"/>
        <v>NA</v>
      </c>
      <c r="V895" s="29" t="str">
        <f t="shared" si="312"/>
        <v>NA</v>
      </c>
      <c r="W895" s="29" t="str">
        <f t="shared" si="313"/>
        <v>NA</v>
      </c>
      <c r="X895" s="29" t="str">
        <f t="shared" si="314"/>
        <v>NA</v>
      </c>
      <c r="Y895" s="29" t="str">
        <f t="shared" si="315"/>
        <v>NA</v>
      </c>
      <c r="Z895" s="29" t="str">
        <f t="shared" si="316"/>
        <v>NA</v>
      </c>
      <c r="AA895" s="29" t="str">
        <f t="shared" si="317"/>
        <v>NA</v>
      </c>
      <c r="AB895" s="29" t="str">
        <f t="shared" si="318"/>
        <v>NA</v>
      </c>
      <c r="AC895" s="29" t="str">
        <f t="shared" si="319"/>
        <v>NA</v>
      </c>
      <c r="AD895" s="29" t="str">
        <f t="shared" si="320"/>
        <v>NA</v>
      </c>
      <c r="AE895" s="29" t="str">
        <f t="shared" si="321"/>
        <v>NA</v>
      </c>
      <c r="AF895" s="29" t="str">
        <f t="shared" si="322"/>
        <v>NA</v>
      </c>
      <c r="AG895" s="29" t="str">
        <f t="shared" si="323"/>
        <v>NA</v>
      </c>
      <c r="AH895" s="29" t="str">
        <f t="shared" si="324"/>
        <v>NA</v>
      </c>
    </row>
    <row r="896" customHeight="1" spans="1:34">
      <c r="A896" s="12" t="s">
        <v>1043</v>
      </c>
      <c r="F896" s="24">
        <f t="shared" si="306"/>
        <v>0</v>
      </c>
      <c r="G896" s="24" t="e">
        <f t="shared" si="305"/>
        <v>#DIV/0!</v>
      </c>
      <c r="Q896" s="29" t="str">
        <f t="shared" si="307"/>
        <v>NA</v>
      </c>
      <c r="R896" s="29" t="str">
        <f t="shared" si="308"/>
        <v>NA</v>
      </c>
      <c r="S896" s="29" t="str">
        <f t="shared" si="309"/>
        <v>NA</v>
      </c>
      <c r="T896" s="29" t="str">
        <f t="shared" si="310"/>
        <v>NA</v>
      </c>
      <c r="U896" s="29" t="str">
        <f t="shared" si="311"/>
        <v>NA</v>
      </c>
      <c r="V896" s="29" t="str">
        <f t="shared" si="312"/>
        <v>NA</v>
      </c>
      <c r="W896" s="29" t="str">
        <f t="shared" si="313"/>
        <v>NA</v>
      </c>
      <c r="X896" s="29" t="str">
        <f t="shared" si="314"/>
        <v>NA</v>
      </c>
      <c r="Y896" s="29" t="str">
        <f t="shared" si="315"/>
        <v>NA</v>
      </c>
      <c r="Z896" s="29" t="str">
        <f t="shared" si="316"/>
        <v>NA</v>
      </c>
      <c r="AA896" s="29" t="str">
        <f t="shared" si="317"/>
        <v>NA</v>
      </c>
      <c r="AB896" s="29" t="str">
        <f t="shared" si="318"/>
        <v>NA</v>
      </c>
      <c r="AC896" s="29" t="str">
        <f t="shared" si="319"/>
        <v>NA</v>
      </c>
      <c r="AD896" s="29" t="str">
        <f t="shared" si="320"/>
        <v>NA</v>
      </c>
      <c r="AE896" s="29" t="str">
        <f t="shared" si="321"/>
        <v>NA</v>
      </c>
      <c r="AF896" s="29" t="str">
        <f t="shared" si="322"/>
        <v>NA</v>
      </c>
      <c r="AG896" s="29" t="str">
        <f t="shared" si="323"/>
        <v>NA</v>
      </c>
      <c r="AH896" s="29" t="str">
        <f t="shared" si="324"/>
        <v>NA</v>
      </c>
    </row>
    <row r="897" customHeight="1" spans="1:34">
      <c r="A897" s="12" t="s">
        <v>1043</v>
      </c>
      <c r="F897" s="24">
        <f t="shared" si="306"/>
        <v>0</v>
      </c>
      <c r="G897" s="24" t="e">
        <f t="shared" si="305"/>
        <v>#DIV/0!</v>
      </c>
      <c r="Q897" s="29" t="str">
        <f t="shared" si="307"/>
        <v>NA</v>
      </c>
      <c r="R897" s="29" t="str">
        <f t="shared" si="308"/>
        <v>NA</v>
      </c>
      <c r="S897" s="29" t="str">
        <f t="shared" si="309"/>
        <v>NA</v>
      </c>
      <c r="T897" s="29" t="str">
        <f t="shared" si="310"/>
        <v>NA</v>
      </c>
      <c r="U897" s="29" t="str">
        <f t="shared" si="311"/>
        <v>NA</v>
      </c>
      <c r="V897" s="29" t="str">
        <f t="shared" si="312"/>
        <v>NA</v>
      </c>
      <c r="W897" s="29" t="str">
        <f t="shared" si="313"/>
        <v>NA</v>
      </c>
      <c r="X897" s="29" t="str">
        <f t="shared" si="314"/>
        <v>NA</v>
      </c>
      <c r="Y897" s="29" t="str">
        <f t="shared" si="315"/>
        <v>NA</v>
      </c>
      <c r="Z897" s="29" t="str">
        <f t="shared" si="316"/>
        <v>NA</v>
      </c>
      <c r="AA897" s="29" t="str">
        <f t="shared" si="317"/>
        <v>NA</v>
      </c>
      <c r="AB897" s="29" t="str">
        <f t="shared" si="318"/>
        <v>NA</v>
      </c>
      <c r="AC897" s="29" t="str">
        <f t="shared" si="319"/>
        <v>NA</v>
      </c>
      <c r="AD897" s="29" t="str">
        <f t="shared" si="320"/>
        <v>NA</v>
      </c>
      <c r="AE897" s="29" t="str">
        <f t="shared" si="321"/>
        <v>NA</v>
      </c>
      <c r="AF897" s="29" t="str">
        <f t="shared" si="322"/>
        <v>NA</v>
      </c>
      <c r="AG897" s="29" t="str">
        <f t="shared" si="323"/>
        <v>NA</v>
      </c>
      <c r="AH897" s="29" t="str">
        <f t="shared" si="324"/>
        <v>NA</v>
      </c>
    </row>
    <row r="898" customHeight="1" spans="1:34">
      <c r="A898" s="12" t="s">
        <v>1043</v>
      </c>
      <c r="F898" s="24">
        <f t="shared" si="306"/>
        <v>0</v>
      </c>
      <c r="G898" s="24" t="e">
        <f t="shared" si="305"/>
        <v>#DIV/0!</v>
      </c>
      <c r="Q898" s="29" t="str">
        <f t="shared" si="307"/>
        <v>NA</v>
      </c>
      <c r="R898" s="29" t="str">
        <f t="shared" si="308"/>
        <v>NA</v>
      </c>
      <c r="S898" s="29" t="str">
        <f t="shared" si="309"/>
        <v>NA</v>
      </c>
      <c r="T898" s="29" t="str">
        <f t="shared" si="310"/>
        <v>NA</v>
      </c>
      <c r="U898" s="29" t="str">
        <f t="shared" si="311"/>
        <v>NA</v>
      </c>
      <c r="V898" s="29" t="str">
        <f t="shared" si="312"/>
        <v>NA</v>
      </c>
      <c r="W898" s="29" t="str">
        <f t="shared" si="313"/>
        <v>NA</v>
      </c>
      <c r="X898" s="29" t="str">
        <f t="shared" si="314"/>
        <v>NA</v>
      </c>
      <c r="Y898" s="29" t="str">
        <f t="shared" si="315"/>
        <v>NA</v>
      </c>
      <c r="Z898" s="29" t="str">
        <f t="shared" si="316"/>
        <v>NA</v>
      </c>
      <c r="AA898" s="29" t="str">
        <f t="shared" si="317"/>
        <v>NA</v>
      </c>
      <c r="AB898" s="29" t="str">
        <f t="shared" si="318"/>
        <v>NA</v>
      </c>
      <c r="AC898" s="29" t="str">
        <f t="shared" si="319"/>
        <v>NA</v>
      </c>
      <c r="AD898" s="29" t="str">
        <f t="shared" si="320"/>
        <v>NA</v>
      </c>
      <c r="AE898" s="29" t="str">
        <f t="shared" si="321"/>
        <v>NA</v>
      </c>
      <c r="AF898" s="29" t="str">
        <f t="shared" si="322"/>
        <v>NA</v>
      </c>
      <c r="AG898" s="29" t="str">
        <f t="shared" si="323"/>
        <v>NA</v>
      </c>
      <c r="AH898" s="29" t="str">
        <f t="shared" si="324"/>
        <v>NA</v>
      </c>
    </row>
    <row r="899" customHeight="1" spans="1:34">
      <c r="A899" s="12" t="s">
        <v>1043</v>
      </c>
      <c r="F899" s="24">
        <f t="shared" si="306"/>
        <v>0</v>
      </c>
      <c r="G899" s="24" t="e">
        <f t="shared" si="305"/>
        <v>#DIV/0!</v>
      </c>
      <c r="Q899" s="29" t="str">
        <f t="shared" si="307"/>
        <v>NA</v>
      </c>
      <c r="R899" s="29" t="str">
        <f t="shared" si="308"/>
        <v>NA</v>
      </c>
      <c r="S899" s="29" t="str">
        <f t="shared" si="309"/>
        <v>NA</v>
      </c>
      <c r="T899" s="29" t="str">
        <f t="shared" si="310"/>
        <v>NA</v>
      </c>
      <c r="U899" s="29" t="str">
        <f t="shared" si="311"/>
        <v>NA</v>
      </c>
      <c r="V899" s="29" t="str">
        <f t="shared" si="312"/>
        <v>NA</v>
      </c>
      <c r="W899" s="29" t="str">
        <f t="shared" si="313"/>
        <v>NA</v>
      </c>
      <c r="X899" s="29" t="str">
        <f t="shared" si="314"/>
        <v>NA</v>
      </c>
      <c r="Y899" s="29" t="str">
        <f t="shared" si="315"/>
        <v>NA</v>
      </c>
      <c r="Z899" s="29" t="str">
        <f t="shared" si="316"/>
        <v>NA</v>
      </c>
      <c r="AA899" s="29" t="str">
        <f t="shared" si="317"/>
        <v>NA</v>
      </c>
      <c r="AB899" s="29" t="str">
        <f t="shared" si="318"/>
        <v>NA</v>
      </c>
      <c r="AC899" s="29" t="str">
        <f t="shared" si="319"/>
        <v>NA</v>
      </c>
      <c r="AD899" s="29" t="str">
        <f t="shared" si="320"/>
        <v>NA</v>
      </c>
      <c r="AE899" s="29" t="str">
        <f t="shared" si="321"/>
        <v>NA</v>
      </c>
      <c r="AF899" s="29" t="str">
        <f t="shared" si="322"/>
        <v>NA</v>
      </c>
      <c r="AG899" s="29" t="str">
        <f t="shared" si="323"/>
        <v>NA</v>
      </c>
      <c r="AH899" s="29" t="str">
        <f t="shared" si="324"/>
        <v>NA</v>
      </c>
    </row>
    <row r="900" customHeight="1" spans="1:34">
      <c r="A900" s="12" t="s">
        <v>1043</v>
      </c>
      <c r="F900" s="24">
        <f t="shared" si="306"/>
        <v>0</v>
      </c>
      <c r="G900" s="24" t="e">
        <f t="shared" si="305"/>
        <v>#DIV/0!</v>
      </c>
      <c r="Q900" s="29" t="str">
        <f t="shared" si="307"/>
        <v>NA</v>
      </c>
      <c r="R900" s="29" t="str">
        <f t="shared" si="308"/>
        <v>NA</v>
      </c>
      <c r="S900" s="29" t="str">
        <f t="shared" si="309"/>
        <v>NA</v>
      </c>
      <c r="T900" s="29" t="str">
        <f t="shared" si="310"/>
        <v>NA</v>
      </c>
      <c r="U900" s="29" t="str">
        <f t="shared" si="311"/>
        <v>NA</v>
      </c>
      <c r="V900" s="29" t="str">
        <f t="shared" si="312"/>
        <v>NA</v>
      </c>
      <c r="W900" s="29" t="str">
        <f t="shared" si="313"/>
        <v>NA</v>
      </c>
      <c r="X900" s="29" t="str">
        <f t="shared" si="314"/>
        <v>NA</v>
      </c>
      <c r="Y900" s="29" t="str">
        <f t="shared" si="315"/>
        <v>NA</v>
      </c>
      <c r="Z900" s="29" t="str">
        <f t="shared" si="316"/>
        <v>NA</v>
      </c>
      <c r="AA900" s="29" t="str">
        <f t="shared" si="317"/>
        <v>NA</v>
      </c>
      <c r="AB900" s="29" t="str">
        <f t="shared" si="318"/>
        <v>NA</v>
      </c>
      <c r="AC900" s="29" t="str">
        <f t="shared" si="319"/>
        <v>NA</v>
      </c>
      <c r="AD900" s="29" t="str">
        <f t="shared" si="320"/>
        <v>NA</v>
      </c>
      <c r="AE900" s="29" t="str">
        <f t="shared" si="321"/>
        <v>NA</v>
      </c>
      <c r="AF900" s="29" t="str">
        <f t="shared" si="322"/>
        <v>NA</v>
      </c>
      <c r="AG900" s="29" t="str">
        <f t="shared" si="323"/>
        <v>NA</v>
      </c>
      <c r="AH900" s="29" t="str">
        <f t="shared" si="324"/>
        <v>NA</v>
      </c>
    </row>
    <row r="901" customHeight="1" spans="1:34">
      <c r="A901" s="12" t="s">
        <v>1043</v>
      </c>
      <c r="F901" s="24">
        <f t="shared" si="306"/>
        <v>0</v>
      </c>
      <c r="G901" s="24" t="e">
        <f t="shared" ref="G901:G964" si="325">B901*D901/C901</f>
        <v>#DIV/0!</v>
      </c>
      <c r="Q901" s="29" t="str">
        <f t="shared" si="307"/>
        <v>NA</v>
      </c>
      <c r="R901" s="29" t="str">
        <f t="shared" si="308"/>
        <v>NA</v>
      </c>
      <c r="S901" s="29" t="str">
        <f t="shared" si="309"/>
        <v>NA</v>
      </c>
      <c r="T901" s="29" t="str">
        <f t="shared" si="310"/>
        <v>NA</v>
      </c>
      <c r="U901" s="29" t="str">
        <f t="shared" si="311"/>
        <v>NA</v>
      </c>
      <c r="V901" s="29" t="str">
        <f t="shared" si="312"/>
        <v>NA</v>
      </c>
      <c r="W901" s="29" t="str">
        <f t="shared" si="313"/>
        <v>NA</v>
      </c>
      <c r="X901" s="29" t="str">
        <f t="shared" si="314"/>
        <v>NA</v>
      </c>
      <c r="Y901" s="29" t="str">
        <f t="shared" si="315"/>
        <v>NA</v>
      </c>
      <c r="Z901" s="29" t="str">
        <f t="shared" si="316"/>
        <v>NA</v>
      </c>
      <c r="AA901" s="29" t="str">
        <f t="shared" si="317"/>
        <v>NA</v>
      </c>
      <c r="AB901" s="29" t="str">
        <f t="shared" si="318"/>
        <v>NA</v>
      </c>
      <c r="AC901" s="29" t="str">
        <f t="shared" si="319"/>
        <v>NA</v>
      </c>
      <c r="AD901" s="29" t="str">
        <f t="shared" si="320"/>
        <v>NA</v>
      </c>
      <c r="AE901" s="29" t="str">
        <f t="shared" si="321"/>
        <v>NA</v>
      </c>
      <c r="AF901" s="29" t="str">
        <f t="shared" si="322"/>
        <v>NA</v>
      </c>
      <c r="AG901" s="29" t="str">
        <f t="shared" si="323"/>
        <v>NA</v>
      </c>
      <c r="AH901" s="29" t="str">
        <f t="shared" si="324"/>
        <v>NA</v>
      </c>
    </row>
    <row r="902" customHeight="1" spans="1:34">
      <c r="A902" s="12" t="s">
        <v>1043</v>
      </c>
      <c r="F902" s="24">
        <f t="shared" ref="F902:F965" si="326">+D902+E902</f>
        <v>0</v>
      </c>
      <c r="G902" s="24" t="e">
        <f t="shared" si="325"/>
        <v>#DIV/0!</v>
      </c>
      <c r="Q902" s="29" t="str">
        <f t="shared" si="307"/>
        <v>NA</v>
      </c>
      <c r="R902" s="29" t="str">
        <f t="shared" si="308"/>
        <v>NA</v>
      </c>
      <c r="S902" s="29" t="str">
        <f t="shared" si="309"/>
        <v>NA</v>
      </c>
      <c r="T902" s="29" t="str">
        <f t="shared" si="310"/>
        <v>NA</v>
      </c>
      <c r="U902" s="29" t="str">
        <f t="shared" si="311"/>
        <v>NA</v>
      </c>
      <c r="V902" s="29" t="str">
        <f t="shared" si="312"/>
        <v>NA</v>
      </c>
      <c r="W902" s="29" t="str">
        <f t="shared" si="313"/>
        <v>NA</v>
      </c>
      <c r="X902" s="29" t="str">
        <f t="shared" si="314"/>
        <v>NA</v>
      </c>
      <c r="Y902" s="29" t="str">
        <f t="shared" si="315"/>
        <v>NA</v>
      </c>
      <c r="Z902" s="29" t="str">
        <f t="shared" si="316"/>
        <v>NA</v>
      </c>
      <c r="AA902" s="29" t="str">
        <f t="shared" si="317"/>
        <v>NA</v>
      </c>
      <c r="AB902" s="29" t="str">
        <f t="shared" si="318"/>
        <v>NA</v>
      </c>
      <c r="AC902" s="29" t="str">
        <f t="shared" si="319"/>
        <v>NA</v>
      </c>
      <c r="AD902" s="29" t="str">
        <f t="shared" si="320"/>
        <v>NA</v>
      </c>
      <c r="AE902" s="29" t="str">
        <f t="shared" si="321"/>
        <v>NA</v>
      </c>
      <c r="AF902" s="29" t="str">
        <f t="shared" si="322"/>
        <v>NA</v>
      </c>
      <c r="AG902" s="29" t="str">
        <f t="shared" si="323"/>
        <v>NA</v>
      </c>
      <c r="AH902" s="29" t="str">
        <f t="shared" si="324"/>
        <v>NA</v>
      </c>
    </row>
    <row r="903" customHeight="1" spans="1:34">
      <c r="A903" s="12" t="s">
        <v>1043</v>
      </c>
      <c r="F903" s="24">
        <f t="shared" si="326"/>
        <v>0</v>
      </c>
      <c r="G903" s="24" t="e">
        <f t="shared" si="325"/>
        <v>#DIV/0!</v>
      </c>
      <c r="Q903" s="29" t="str">
        <f t="shared" si="307"/>
        <v>NA</v>
      </c>
      <c r="R903" s="29" t="str">
        <f t="shared" si="308"/>
        <v>NA</v>
      </c>
      <c r="S903" s="29" t="str">
        <f t="shared" si="309"/>
        <v>NA</v>
      </c>
      <c r="T903" s="29" t="str">
        <f t="shared" si="310"/>
        <v>NA</v>
      </c>
      <c r="U903" s="29" t="str">
        <f t="shared" si="311"/>
        <v>NA</v>
      </c>
      <c r="V903" s="29" t="str">
        <f t="shared" si="312"/>
        <v>NA</v>
      </c>
      <c r="W903" s="29" t="str">
        <f t="shared" si="313"/>
        <v>NA</v>
      </c>
      <c r="X903" s="29" t="str">
        <f t="shared" si="314"/>
        <v>NA</v>
      </c>
      <c r="Y903" s="29" t="str">
        <f t="shared" si="315"/>
        <v>NA</v>
      </c>
      <c r="Z903" s="29" t="str">
        <f t="shared" si="316"/>
        <v>NA</v>
      </c>
      <c r="AA903" s="29" t="str">
        <f t="shared" si="317"/>
        <v>NA</v>
      </c>
      <c r="AB903" s="29" t="str">
        <f t="shared" si="318"/>
        <v>NA</v>
      </c>
      <c r="AC903" s="29" t="str">
        <f t="shared" si="319"/>
        <v>NA</v>
      </c>
      <c r="AD903" s="29" t="str">
        <f t="shared" si="320"/>
        <v>NA</v>
      </c>
      <c r="AE903" s="29" t="str">
        <f t="shared" si="321"/>
        <v>NA</v>
      </c>
      <c r="AF903" s="29" t="str">
        <f t="shared" si="322"/>
        <v>NA</v>
      </c>
      <c r="AG903" s="29" t="str">
        <f t="shared" si="323"/>
        <v>NA</v>
      </c>
      <c r="AH903" s="29" t="str">
        <f t="shared" si="324"/>
        <v>NA</v>
      </c>
    </row>
    <row r="904" customHeight="1" spans="1:34">
      <c r="A904" s="12" t="s">
        <v>1043</v>
      </c>
      <c r="F904" s="24">
        <f t="shared" si="326"/>
        <v>0</v>
      </c>
      <c r="G904" s="24" t="e">
        <f t="shared" si="325"/>
        <v>#DIV/0!</v>
      </c>
      <c r="Q904" s="29" t="str">
        <f t="shared" si="307"/>
        <v>NA</v>
      </c>
      <c r="R904" s="29" t="str">
        <f t="shared" si="308"/>
        <v>NA</v>
      </c>
      <c r="S904" s="29" t="str">
        <f t="shared" si="309"/>
        <v>NA</v>
      </c>
      <c r="T904" s="29" t="str">
        <f t="shared" si="310"/>
        <v>NA</v>
      </c>
      <c r="U904" s="29" t="str">
        <f t="shared" si="311"/>
        <v>NA</v>
      </c>
      <c r="V904" s="29" t="str">
        <f t="shared" si="312"/>
        <v>NA</v>
      </c>
      <c r="W904" s="29" t="str">
        <f t="shared" si="313"/>
        <v>NA</v>
      </c>
      <c r="X904" s="29" t="str">
        <f t="shared" si="314"/>
        <v>NA</v>
      </c>
      <c r="Y904" s="29" t="str">
        <f t="shared" si="315"/>
        <v>NA</v>
      </c>
      <c r="Z904" s="29" t="str">
        <f t="shared" si="316"/>
        <v>NA</v>
      </c>
      <c r="AA904" s="29" t="str">
        <f t="shared" si="317"/>
        <v>NA</v>
      </c>
      <c r="AB904" s="29" t="str">
        <f t="shared" si="318"/>
        <v>NA</v>
      </c>
      <c r="AC904" s="29" t="str">
        <f t="shared" si="319"/>
        <v>NA</v>
      </c>
      <c r="AD904" s="29" t="str">
        <f t="shared" si="320"/>
        <v>NA</v>
      </c>
      <c r="AE904" s="29" t="str">
        <f t="shared" si="321"/>
        <v>NA</v>
      </c>
      <c r="AF904" s="29" t="str">
        <f t="shared" si="322"/>
        <v>NA</v>
      </c>
      <c r="AG904" s="29" t="str">
        <f t="shared" si="323"/>
        <v>NA</v>
      </c>
      <c r="AH904" s="29" t="str">
        <f t="shared" si="324"/>
        <v>NA</v>
      </c>
    </row>
    <row r="905" customHeight="1" spans="1:34">
      <c r="A905" s="12" t="s">
        <v>1043</v>
      </c>
      <c r="F905" s="24">
        <f t="shared" si="326"/>
        <v>0</v>
      </c>
      <c r="G905" s="24" t="e">
        <f t="shared" si="325"/>
        <v>#DIV/0!</v>
      </c>
      <c r="Q905" s="29" t="str">
        <f t="shared" si="307"/>
        <v>NA</v>
      </c>
      <c r="R905" s="29" t="str">
        <f t="shared" si="308"/>
        <v>NA</v>
      </c>
      <c r="S905" s="29" t="str">
        <f t="shared" si="309"/>
        <v>NA</v>
      </c>
      <c r="T905" s="29" t="str">
        <f t="shared" si="310"/>
        <v>NA</v>
      </c>
      <c r="U905" s="29" t="str">
        <f t="shared" si="311"/>
        <v>NA</v>
      </c>
      <c r="V905" s="29" t="str">
        <f t="shared" si="312"/>
        <v>NA</v>
      </c>
      <c r="W905" s="29" t="str">
        <f t="shared" si="313"/>
        <v>NA</v>
      </c>
      <c r="X905" s="29" t="str">
        <f t="shared" si="314"/>
        <v>NA</v>
      </c>
      <c r="Y905" s="29" t="str">
        <f t="shared" si="315"/>
        <v>NA</v>
      </c>
      <c r="Z905" s="29" t="str">
        <f t="shared" si="316"/>
        <v>NA</v>
      </c>
      <c r="AA905" s="29" t="str">
        <f t="shared" si="317"/>
        <v>NA</v>
      </c>
      <c r="AB905" s="29" t="str">
        <f t="shared" si="318"/>
        <v>NA</v>
      </c>
      <c r="AC905" s="29" t="str">
        <f t="shared" si="319"/>
        <v>NA</v>
      </c>
      <c r="AD905" s="29" t="str">
        <f t="shared" si="320"/>
        <v>NA</v>
      </c>
      <c r="AE905" s="29" t="str">
        <f t="shared" si="321"/>
        <v>NA</v>
      </c>
      <c r="AF905" s="29" t="str">
        <f t="shared" si="322"/>
        <v>NA</v>
      </c>
      <c r="AG905" s="29" t="str">
        <f t="shared" si="323"/>
        <v>NA</v>
      </c>
      <c r="AH905" s="29" t="str">
        <f t="shared" si="324"/>
        <v>NA</v>
      </c>
    </row>
    <row r="906" customHeight="1" spans="1:34">
      <c r="A906" s="12" t="s">
        <v>1043</v>
      </c>
      <c r="F906" s="24">
        <f t="shared" si="326"/>
        <v>0</v>
      </c>
      <c r="G906" s="24" t="e">
        <f t="shared" si="325"/>
        <v>#DIV/0!</v>
      </c>
      <c r="Q906" s="29" t="str">
        <f t="shared" si="307"/>
        <v>NA</v>
      </c>
      <c r="R906" s="29" t="str">
        <f t="shared" si="308"/>
        <v>NA</v>
      </c>
      <c r="S906" s="29" t="str">
        <f t="shared" si="309"/>
        <v>NA</v>
      </c>
      <c r="T906" s="29" t="str">
        <f t="shared" si="310"/>
        <v>NA</v>
      </c>
      <c r="U906" s="29" t="str">
        <f t="shared" si="311"/>
        <v>NA</v>
      </c>
      <c r="V906" s="29" t="str">
        <f t="shared" si="312"/>
        <v>NA</v>
      </c>
      <c r="W906" s="29" t="str">
        <f t="shared" si="313"/>
        <v>NA</v>
      </c>
      <c r="X906" s="29" t="str">
        <f t="shared" si="314"/>
        <v>NA</v>
      </c>
      <c r="Y906" s="29" t="str">
        <f t="shared" si="315"/>
        <v>NA</v>
      </c>
      <c r="Z906" s="29" t="str">
        <f t="shared" si="316"/>
        <v>NA</v>
      </c>
      <c r="AA906" s="29" t="str">
        <f t="shared" si="317"/>
        <v>NA</v>
      </c>
      <c r="AB906" s="29" t="str">
        <f t="shared" si="318"/>
        <v>NA</v>
      </c>
      <c r="AC906" s="29" t="str">
        <f t="shared" si="319"/>
        <v>NA</v>
      </c>
      <c r="AD906" s="29" t="str">
        <f t="shared" si="320"/>
        <v>NA</v>
      </c>
      <c r="AE906" s="29" t="str">
        <f t="shared" si="321"/>
        <v>NA</v>
      </c>
      <c r="AF906" s="29" t="str">
        <f t="shared" si="322"/>
        <v>NA</v>
      </c>
      <c r="AG906" s="29" t="str">
        <f t="shared" si="323"/>
        <v>NA</v>
      </c>
      <c r="AH906" s="29" t="str">
        <f t="shared" si="324"/>
        <v>NA</v>
      </c>
    </row>
    <row r="907" customHeight="1" spans="1:34">
      <c r="A907" s="12" t="s">
        <v>1043</v>
      </c>
      <c r="F907" s="24">
        <f t="shared" si="326"/>
        <v>0</v>
      </c>
      <c r="G907" s="24" t="e">
        <f t="shared" si="325"/>
        <v>#DIV/0!</v>
      </c>
      <c r="Q907" s="29" t="str">
        <f t="shared" si="307"/>
        <v>NA</v>
      </c>
      <c r="R907" s="29" t="str">
        <f t="shared" si="308"/>
        <v>NA</v>
      </c>
      <c r="S907" s="29" t="str">
        <f t="shared" si="309"/>
        <v>NA</v>
      </c>
      <c r="T907" s="29" t="str">
        <f t="shared" si="310"/>
        <v>NA</v>
      </c>
      <c r="U907" s="29" t="str">
        <f t="shared" si="311"/>
        <v>NA</v>
      </c>
      <c r="V907" s="29" t="str">
        <f t="shared" si="312"/>
        <v>NA</v>
      </c>
      <c r="W907" s="29" t="str">
        <f t="shared" si="313"/>
        <v>NA</v>
      </c>
      <c r="X907" s="29" t="str">
        <f t="shared" si="314"/>
        <v>NA</v>
      </c>
      <c r="Y907" s="29" t="str">
        <f t="shared" si="315"/>
        <v>NA</v>
      </c>
      <c r="Z907" s="29" t="str">
        <f t="shared" si="316"/>
        <v>NA</v>
      </c>
      <c r="AA907" s="29" t="str">
        <f t="shared" si="317"/>
        <v>NA</v>
      </c>
      <c r="AB907" s="29" t="str">
        <f t="shared" si="318"/>
        <v>NA</v>
      </c>
      <c r="AC907" s="29" t="str">
        <f t="shared" si="319"/>
        <v>NA</v>
      </c>
      <c r="AD907" s="29" t="str">
        <f t="shared" si="320"/>
        <v>NA</v>
      </c>
      <c r="AE907" s="29" t="str">
        <f t="shared" si="321"/>
        <v>NA</v>
      </c>
      <c r="AF907" s="29" t="str">
        <f t="shared" si="322"/>
        <v>NA</v>
      </c>
      <c r="AG907" s="29" t="str">
        <f t="shared" si="323"/>
        <v>NA</v>
      </c>
      <c r="AH907" s="29" t="str">
        <f t="shared" si="324"/>
        <v>NA</v>
      </c>
    </row>
    <row r="908" customHeight="1" spans="1:34">
      <c r="A908" s="12" t="s">
        <v>1043</v>
      </c>
      <c r="F908" s="24">
        <f t="shared" si="326"/>
        <v>0</v>
      </c>
      <c r="G908" s="24" t="e">
        <f t="shared" si="325"/>
        <v>#DIV/0!</v>
      </c>
      <c r="Q908" s="29" t="str">
        <f t="shared" si="307"/>
        <v>NA</v>
      </c>
      <c r="R908" s="29" t="str">
        <f t="shared" si="308"/>
        <v>NA</v>
      </c>
      <c r="S908" s="29" t="str">
        <f t="shared" si="309"/>
        <v>NA</v>
      </c>
      <c r="T908" s="29" t="str">
        <f t="shared" si="310"/>
        <v>NA</v>
      </c>
      <c r="U908" s="29" t="str">
        <f t="shared" si="311"/>
        <v>NA</v>
      </c>
      <c r="V908" s="29" t="str">
        <f t="shared" si="312"/>
        <v>NA</v>
      </c>
      <c r="W908" s="29" t="str">
        <f t="shared" si="313"/>
        <v>NA</v>
      </c>
      <c r="X908" s="29" t="str">
        <f t="shared" si="314"/>
        <v>NA</v>
      </c>
      <c r="Y908" s="29" t="str">
        <f t="shared" si="315"/>
        <v>NA</v>
      </c>
      <c r="Z908" s="29" t="str">
        <f t="shared" si="316"/>
        <v>NA</v>
      </c>
      <c r="AA908" s="29" t="str">
        <f t="shared" si="317"/>
        <v>NA</v>
      </c>
      <c r="AB908" s="29" t="str">
        <f t="shared" si="318"/>
        <v>NA</v>
      </c>
      <c r="AC908" s="29" t="str">
        <f t="shared" si="319"/>
        <v>NA</v>
      </c>
      <c r="AD908" s="29" t="str">
        <f t="shared" si="320"/>
        <v>NA</v>
      </c>
      <c r="AE908" s="29" t="str">
        <f t="shared" si="321"/>
        <v>NA</v>
      </c>
      <c r="AF908" s="29" t="str">
        <f t="shared" si="322"/>
        <v>NA</v>
      </c>
      <c r="AG908" s="29" t="str">
        <f t="shared" si="323"/>
        <v>NA</v>
      </c>
      <c r="AH908" s="29" t="str">
        <f t="shared" si="324"/>
        <v>NA</v>
      </c>
    </row>
    <row r="909" customHeight="1" spans="1:34">
      <c r="A909" s="12" t="s">
        <v>1043</v>
      </c>
      <c r="F909" s="24">
        <f t="shared" si="326"/>
        <v>0</v>
      </c>
      <c r="G909" s="24" t="e">
        <f t="shared" si="325"/>
        <v>#DIV/0!</v>
      </c>
      <c r="Q909" s="29" t="str">
        <f t="shared" si="307"/>
        <v>NA</v>
      </c>
      <c r="R909" s="29" t="str">
        <f t="shared" si="308"/>
        <v>NA</v>
      </c>
      <c r="S909" s="29" t="str">
        <f t="shared" si="309"/>
        <v>NA</v>
      </c>
      <c r="T909" s="29" t="str">
        <f t="shared" si="310"/>
        <v>NA</v>
      </c>
      <c r="U909" s="29" t="str">
        <f t="shared" si="311"/>
        <v>NA</v>
      </c>
      <c r="V909" s="29" t="str">
        <f t="shared" si="312"/>
        <v>NA</v>
      </c>
      <c r="W909" s="29" t="str">
        <f t="shared" si="313"/>
        <v>NA</v>
      </c>
      <c r="X909" s="29" t="str">
        <f t="shared" si="314"/>
        <v>NA</v>
      </c>
      <c r="Y909" s="29" t="str">
        <f t="shared" si="315"/>
        <v>NA</v>
      </c>
      <c r="Z909" s="29" t="str">
        <f t="shared" si="316"/>
        <v>NA</v>
      </c>
      <c r="AA909" s="29" t="str">
        <f t="shared" si="317"/>
        <v>NA</v>
      </c>
      <c r="AB909" s="29" t="str">
        <f t="shared" si="318"/>
        <v>NA</v>
      </c>
      <c r="AC909" s="29" t="str">
        <f t="shared" si="319"/>
        <v>NA</v>
      </c>
      <c r="AD909" s="29" t="str">
        <f t="shared" si="320"/>
        <v>NA</v>
      </c>
      <c r="AE909" s="29" t="str">
        <f t="shared" si="321"/>
        <v>NA</v>
      </c>
      <c r="AF909" s="29" t="str">
        <f t="shared" si="322"/>
        <v>NA</v>
      </c>
      <c r="AG909" s="29" t="str">
        <f t="shared" si="323"/>
        <v>NA</v>
      </c>
      <c r="AH909" s="29" t="str">
        <f t="shared" si="324"/>
        <v>NA</v>
      </c>
    </row>
    <row r="910" customHeight="1" spans="1:34">
      <c r="A910" s="12" t="s">
        <v>1043</v>
      </c>
      <c r="F910" s="24">
        <f t="shared" si="326"/>
        <v>0</v>
      </c>
      <c r="G910" s="24" t="e">
        <f t="shared" si="325"/>
        <v>#DIV/0!</v>
      </c>
      <c r="Q910" s="29" t="str">
        <f t="shared" si="307"/>
        <v>NA</v>
      </c>
      <c r="R910" s="29" t="str">
        <f t="shared" si="308"/>
        <v>NA</v>
      </c>
      <c r="S910" s="29" t="str">
        <f t="shared" si="309"/>
        <v>NA</v>
      </c>
      <c r="T910" s="29" t="str">
        <f t="shared" si="310"/>
        <v>NA</v>
      </c>
      <c r="U910" s="29" t="str">
        <f t="shared" si="311"/>
        <v>NA</v>
      </c>
      <c r="V910" s="29" t="str">
        <f t="shared" si="312"/>
        <v>NA</v>
      </c>
      <c r="W910" s="29" t="str">
        <f t="shared" si="313"/>
        <v>NA</v>
      </c>
      <c r="X910" s="29" t="str">
        <f t="shared" si="314"/>
        <v>NA</v>
      </c>
      <c r="Y910" s="29" t="str">
        <f t="shared" si="315"/>
        <v>NA</v>
      </c>
      <c r="Z910" s="29" t="str">
        <f t="shared" si="316"/>
        <v>NA</v>
      </c>
      <c r="AA910" s="29" t="str">
        <f t="shared" si="317"/>
        <v>NA</v>
      </c>
      <c r="AB910" s="29" t="str">
        <f t="shared" si="318"/>
        <v>NA</v>
      </c>
      <c r="AC910" s="29" t="str">
        <f t="shared" si="319"/>
        <v>NA</v>
      </c>
      <c r="AD910" s="29" t="str">
        <f t="shared" si="320"/>
        <v>NA</v>
      </c>
      <c r="AE910" s="29" t="str">
        <f t="shared" si="321"/>
        <v>NA</v>
      </c>
      <c r="AF910" s="29" t="str">
        <f t="shared" si="322"/>
        <v>NA</v>
      </c>
      <c r="AG910" s="29" t="str">
        <f t="shared" si="323"/>
        <v>NA</v>
      </c>
      <c r="AH910" s="29" t="str">
        <f t="shared" si="324"/>
        <v>NA</v>
      </c>
    </row>
    <row r="911" customHeight="1" spans="1:34">
      <c r="A911" s="12" t="s">
        <v>1043</v>
      </c>
      <c r="F911" s="24">
        <f t="shared" si="326"/>
        <v>0</v>
      </c>
      <c r="G911" s="24" t="e">
        <f t="shared" si="325"/>
        <v>#DIV/0!</v>
      </c>
      <c r="Q911" s="29" t="str">
        <f t="shared" si="307"/>
        <v>NA</v>
      </c>
      <c r="R911" s="29" t="str">
        <f t="shared" si="308"/>
        <v>NA</v>
      </c>
      <c r="S911" s="29" t="str">
        <f t="shared" si="309"/>
        <v>NA</v>
      </c>
      <c r="T911" s="29" t="str">
        <f t="shared" si="310"/>
        <v>NA</v>
      </c>
      <c r="U911" s="29" t="str">
        <f t="shared" si="311"/>
        <v>NA</v>
      </c>
      <c r="V911" s="29" t="str">
        <f t="shared" si="312"/>
        <v>NA</v>
      </c>
      <c r="W911" s="29" t="str">
        <f t="shared" si="313"/>
        <v>NA</v>
      </c>
      <c r="X911" s="29" t="str">
        <f t="shared" si="314"/>
        <v>NA</v>
      </c>
      <c r="Y911" s="29" t="str">
        <f t="shared" si="315"/>
        <v>NA</v>
      </c>
      <c r="Z911" s="29" t="str">
        <f t="shared" si="316"/>
        <v>NA</v>
      </c>
      <c r="AA911" s="29" t="str">
        <f t="shared" si="317"/>
        <v>NA</v>
      </c>
      <c r="AB911" s="29" t="str">
        <f t="shared" si="318"/>
        <v>NA</v>
      </c>
      <c r="AC911" s="29" t="str">
        <f t="shared" si="319"/>
        <v>NA</v>
      </c>
      <c r="AD911" s="29" t="str">
        <f t="shared" si="320"/>
        <v>NA</v>
      </c>
      <c r="AE911" s="29" t="str">
        <f t="shared" si="321"/>
        <v>NA</v>
      </c>
      <c r="AF911" s="29" t="str">
        <f t="shared" si="322"/>
        <v>NA</v>
      </c>
      <c r="AG911" s="29" t="str">
        <f t="shared" si="323"/>
        <v>NA</v>
      </c>
      <c r="AH911" s="29" t="str">
        <f t="shared" si="324"/>
        <v>NA</v>
      </c>
    </row>
    <row r="912" customHeight="1" spans="1:34">
      <c r="A912" s="12" t="s">
        <v>1043</v>
      </c>
      <c r="F912" s="24">
        <f t="shared" si="326"/>
        <v>0</v>
      </c>
      <c r="G912" s="24" t="e">
        <f t="shared" si="325"/>
        <v>#DIV/0!</v>
      </c>
      <c r="Q912" s="29" t="str">
        <f t="shared" ref="Q912:Q975" si="327">IFERROR($B912*$E912/H912,"NA")</f>
        <v>NA</v>
      </c>
      <c r="R912" s="29" t="str">
        <f t="shared" ref="R912:R975" si="328">IFERROR($B912*$E912/I912,"NA")</f>
        <v>NA</v>
      </c>
      <c r="S912" s="29" t="str">
        <f t="shared" ref="S912:S975" si="329">IFERROR($B912*$E912/J912,"NA")</f>
        <v>NA</v>
      </c>
      <c r="T912" s="29" t="str">
        <f t="shared" ref="T912:T975" si="330">IFERROR($B912*$E912/K912,"NA")</f>
        <v>NA</v>
      </c>
      <c r="U912" s="29" t="str">
        <f t="shared" ref="U912:U975" si="331">IFERROR($B912*$E912/L912,"NA")</f>
        <v>NA</v>
      </c>
      <c r="V912" s="29" t="str">
        <f t="shared" ref="V912:V975" si="332">IFERROR($B912*$E912/M912,"NA")</f>
        <v>NA</v>
      </c>
      <c r="W912" s="29" t="str">
        <f t="shared" ref="W912:W975" si="333">IFERROR($B912*$E912/N912,"NA")</f>
        <v>NA</v>
      </c>
      <c r="X912" s="29" t="str">
        <f t="shared" ref="X912:X975" si="334">IFERROR($B912*$E912/O912,"NA")</f>
        <v>NA</v>
      </c>
      <c r="Y912" s="29" t="str">
        <f t="shared" ref="Y912:Y975" si="335">IFERROR($B912*$E912/P912,"NA")</f>
        <v>NA</v>
      </c>
      <c r="Z912" s="29" t="str">
        <f t="shared" ref="Z912:Z975" si="336">IFERROR((($G912*Z$2/1000)+Q912)/1,"NA")</f>
        <v>NA</v>
      </c>
      <c r="AA912" s="29" t="str">
        <f t="shared" ref="AA912:AA975" si="337">IFERROR((($G912*AA$2/1000)+R912)/1,"NA")</f>
        <v>NA</v>
      </c>
      <c r="AB912" s="29" t="str">
        <f t="shared" ref="AB912:AB975" si="338">IFERROR((($G912*AB$2/1000)+S912)/1,"NA")</f>
        <v>NA</v>
      </c>
      <c r="AC912" s="29" t="str">
        <f t="shared" ref="AC912:AC975" si="339">IFERROR((($G912*AC$2/1000)+T912)/1,"NA")</f>
        <v>NA</v>
      </c>
      <c r="AD912" s="29" t="str">
        <f t="shared" ref="AD912:AD975" si="340">IFERROR((($G912*AD$2/1000)+U912)/1,"NA")</f>
        <v>NA</v>
      </c>
      <c r="AE912" s="29" t="str">
        <f t="shared" ref="AE912:AE975" si="341">IFERROR((($G912*AE$2/1000)+V912)/1,"NA")</f>
        <v>NA</v>
      </c>
      <c r="AF912" s="29" t="str">
        <f t="shared" ref="AF912:AF975" si="342">IFERROR((($G912*AF$2/1000)+W912)/1,"NA")</f>
        <v>NA</v>
      </c>
      <c r="AG912" s="29" t="str">
        <f t="shared" ref="AG912:AG975" si="343">IFERROR((($G912*AG$2/1000)+X912)/1,"NA")</f>
        <v>NA</v>
      </c>
      <c r="AH912" s="29" t="str">
        <f t="shared" ref="AH912:AH975" si="344">IFERROR((($G912*AH$2/1000)+Y912)/1,"NA")</f>
        <v>NA</v>
      </c>
    </row>
    <row r="913" customHeight="1" spans="1:34">
      <c r="A913" s="12" t="s">
        <v>1043</v>
      </c>
      <c r="F913" s="24">
        <f t="shared" si="326"/>
        <v>0</v>
      </c>
      <c r="G913" s="24" t="e">
        <f t="shared" si="325"/>
        <v>#DIV/0!</v>
      </c>
      <c r="Q913" s="29" t="str">
        <f t="shared" si="327"/>
        <v>NA</v>
      </c>
      <c r="R913" s="29" t="str">
        <f t="shared" si="328"/>
        <v>NA</v>
      </c>
      <c r="S913" s="29" t="str">
        <f t="shared" si="329"/>
        <v>NA</v>
      </c>
      <c r="T913" s="29" t="str">
        <f t="shared" si="330"/>
        <v>NA</v>
      </c>
      <c r="U913" s="29" t="str">
        <f t="shared" si="331"/>
        <v>NA</v>
      </c>
      <c r="V913" s="29" t="str">
        <f t="shared" si="332"/>
        <v>NA</v>
      </c>
      <c r="W913" s="29" t="str">
        <f t="shared" si="333"/>
        <v>NA</v>
      </c>
      <c r="X913" s="29" t="str">
        <f t="shared" si="334"/>
        <v>NA</v>
      </c>
      <c r="Y913" s="29" t="str">
        <f t="shared" si="335"/>
        <v>NA</v>
      </c>
      <c r="Z913" s="29" t="str">
        <f t="shared" si="336"/>
        <v>NA</v>
      </c>
      <c r="AA913" s="29" t="str">
        <f t="shared" si="337"/>
        <v>NA</v>
      </c>
      <c r="AB913" s="29" t="str">
        <f t="shared" si="338"/>
        <v>NA</v>
      </c>
      <c r="AC913" s="29" t="str">
        <f t="shared" si="339"/>
        <v>NA</v>
      </c>
      <c r="AD913" s="29" t="str">
        <f t="shared" si="340"/>
        <v>NA</v>
      </c>
      <c r="AE913" s="29" t="str">
        <f t="shared" si="341"/>
        <v>NA</v>
      </c>
      <c r="AF913" s="29" t="str">
        <f t="shared" si="342"/>
        <v>NA</v>
      </c>
      <c r="AG913" s="29" t="str">
        <f t="shared" si="343"/>
        <v>NA</v>
      </c>
      <c r="AH913" s="29" t="str">
        <f t="shared" si="344"/>
        <v>NA</v>
      </c>
    </row>
    <row r="914" customHeight="1" spans="1:34">
      <c r="A914" s="12" t="s">
        <v>1043</v>
      </c>
      <c r="F914" s="24">
        <f t="shared" si="326"/>
        <v>0</v>
      </c>
      <c r="G914" s="24" t="e">
        <f t="shared" si="325"/>
        <v>#DIV/0!</v>
      </c>
      <c r="Q914" s="29" t="str">
        <f t="shared" si="327"/>
        <v>NA</v>
      </c>
      <c r="R914" s="29" t="str">
        <f t="shared" si="328"/>
        <v>NA</v>
      </c>
      <c r="S914" s="29" t="str">
        <f t="shared" si="329"/>
        <v>NA</v>
      </c>
      <c r="T914" s="29" t="str">
        <f t="shared" si="330"/>
        <v>NA</v>
      </c>
      <c r="U914" s="29" t="str">
        <f t="shared" si="331"/>
        <v>NA</v>
      </c>
      <c r="V914" s="29" t="str">
        <f t="shared" si="332"/>
        <v>NA</v>
      </c>
      <c r="W914" s="29" t="str">
        <f t="shared" si="333"/>
        <v>NA</v>
      </c>
      <c r="X914" s="29" t="str">
        <f t="shared" si="334"/>
        <v>NA</v>
      </c>
      <c r="Y914" s="29" t="str">
        <f t="shared" si="335"/>
        <v>NA</v>
      </c>
      <c r="Z914" s="29" t="str">
        <f t="shared" si="336"/>
        <v>NA</v>
      </c>
      <c r="AA914" s="29" t="str">
        <f t="shared" si="337"/>
        <v>NA</v>
      </c>
      <c r="AB914" s="29" t="str">
        <f t="shared" si="338"/>
        <v>NA</v>
      </c>
      <c r="AC914" s="29" t="str">
        <f t="shared" si="339"/>
        <v>NA</v>
      </c>
      <c r="AD914" s="29" t="str">
        <f t="shared" si="340"/>
        <v>NA</v>
      </c>
      <c r="AE914" s="29" t="str">
        <f t="shared" si="341"/>
        <v>NA</v>
      </c>
      <c r="AF914" s="29" t="str">
        <f t="shared" si="342"/>
        <v>NA</v>
      </c>
      <c r="AG914" s="29" t="str">
        <f t="shared" si="343"/>
        <v>NA</v>
      </c>
      <c r="AH914" s="29" t="str">
        <f t="shared" si="344"/>
        <v>NA</v>
      </c>
    </row>
    <row r="915" customHeight="1" spans="1:34">
      <c r="A915" s="12" t="s">
        <v>1043</v>
      </c>
      <c r="F915" s="24">
        <f t="shared" si="326"/>
        <v>0</v>
      </c>
      <c r="G915" s="24" t="e">
        <f t="shared" si="325"/>
        <v>#DIV/0!</v>
      </c>
      <c r="Q915" s="29" t="str">
        <f t="shared" si="327"/>
        <v>NA</v>
      </c>
      <c r="R915" s="29" t="str">
        <f t="shared" si="328"/>
        <v>NA</v>
      </c>
      <c r="S915" s="29" t="str">
        <f t="shared" si="329"/>
        <v>NA</v>
      </c>
      <c r="T915" s="29" t="str">
        <f t="shared" si="330"/>
        <v>NA</v>
      </c>
      <c r="U915" s="29" t="str">
        <f t="shared" si="331"/>
        <v>NA</v>
      </c>
      <c r="V915" s="29" t="str">
        <f t="shared" si="332"/>
        <v>NA</v>
      </c>
      <c r="W915" s="29" t="str">
        <f t="shared" si="333"/>
        <v>NA</v>
      </c>
      <c r="X915" s="29" t="str">
        <f t="shared" si="334"/>
        <v>NA</v>
      </c>
      <c r="Y915" s="29" t="str">
        <f t="shared" si="335"/>
        <v>NA</v>
      </c>
      <c r="Z915" s="29" t="str">
        <f t="shared" si="336"/>
        <v>NA</v>
      </c>
      <c r="AA915" s="29" t="str">
        <f t="shared" si="337"/>
        <v>NA</v>
      </c>
      <c r="AB915" s="29" t="str">
        <f t="shared" si="338"/>
        <v>NA</v>
      </c>
      <c r="AC915" s="29" t="str">
        <f t="shared" si="339"/>
        <v>NA</v>
      </c>
      <c r="AD915" s="29" t="str">
        <f t="shared" si="340"/>
        <v>NA</v>
      </c>
      <c r="AE915" s="29" t="str">
        <f t="shared" si="341"/>
        <v>NA</v>
      </c>
      <c r="AF915" s="29" t="str">
        <f t="shared" si="342"/>
        <v>NA</v>
      </c>
      <c r="AG915" s="29" t="str">
        <f t="shared" si="343"/>
        <v>NA</v>
      </c>
      <c r="AH915" s="29" t="str">
        <f t="shared" si="344"/>
        <v>NA</v>
      </c>
    </row>
    <row r="916" customHeight="1" spans="1:34">
      <c r="A916" s="12" t="s">
        <v>1043</v>
      </c>
      <c r="F916" s="24">
        <f t="shared" si="326"/>
        <v>0</v>
      </c>
      <c r="G916" s="24" t="e">
        <f t="shared" si="325"/>
        <v>#DIV/0!</v>
      </c>
      <c r="Q916" s="29" t="str">
        <f t="shared" si="327"/>
        <v>NA</v>
      </c>
      <c r="R916" s="29" t="str">
        <f t="shared" si="328"/>
        <v>NA</v>
      </c>
      <c r="S916" s="29" t="str">
        <f t="shared" si="329"/>
        <v>NA</v>
      </c>
      <c r="T916" s="29" t="str">
        <f t="shared" si="330"/>
        <v>NA</v>
      </c>
      <c r="U916" s="29" t="str">
        <f t="shared" si="331"/>
        <v>NA</v>
      </c>
      <c r="V916" s="29" t="str">
        <f t="shared" si="332"/>
        <v>NA</v>
      </c>
      <c r="W916" s="29" t="str">
        <f t="shared" si="333"/>
        <v>NA</v>
      </c>
      <c r="X916" s="29" t="str">
        <f t="shared" si="334"/>
        <v>NA</v>
      </c>
      <c r="Y916" s="29" t="str">
        <f t="shared" si="335"/>
        <v>NA</v>
      </c>
      <c r="Z916" s="29" t="str">
        <f t="shared" si="336"/>
        <v>NA</v>
      </c>
      <c r="AA916" s="29" t="str">
        <f t="shared" si="337"/>
        <v>NA</v>
      </c>
      <c r="AB916" s="29" t="str">
        <f t="shared" si="338"/>
        <v>NA</v>
      </c>
      <c r="AC916" s="29" t="str">
        <f t="shared" si="339"/>
        <v>NA</v>
      </c>
      <c r="AD916" s="29" t="str">
        <f t="shared" si="340"/>
        <v>NA</v>
      </c>
      <c r="AE916" s="29" t="str">
        <f t="shared" si="341"/>
        <v>NA</v>
      </c>
      <c r="AF916" s="29" t="str">
        <f t="shared" si="342"/>
        <v>NA</v>
      </c>
      <c r="AG916" s="29" t="str">
        <f t="shared" si="343"/>
        <v>NA</v>
      </c>
      <c r="AH916" s="29" t="str">
        <f t="shared" si="344"/>
        <v>NA</v>
      </c>
    </row>
    <row r="917" customHeight="1" spans="1:34">
      <c r="A917" s="12" t="s">
        <v>1043</v>
      </c>
      <c r="F917" s="24">
        <f t="shared" si="326"/>
        <v>0</v>
      </c>
      <c r="G917" s="24" t="e">
        <f t="shared" si="325"/>
        <v>#DIV/0!</v>
      </c>
      <c r="Q917" s="29" t="str">
        <f t="shared" si="327"/>
        <v>NA</v>
      </c>
      <c r="R917" s="29" t="str">
        <f t="shared" si="328"/>
        <v>NA</v>
      </c>
      <c r="S917" s="29" t="str">
        <f t="shared" si="329"/>
        <v>NA</v>
      </c>
      <c r="T917" s="29" t="str">
        <f t="shared" si="330"/>
        <v>NA</v>
      </c>
      <c r="U917" s="29" t="str">
        <f t="shared" si="331"/>
        <v>NA</v>
      </c>
      <c r="V917" s="29" t="str">
        <f t="shared" si="332"/>
        <v>NA</v>
      </c>
      <c r="W917" s="29" t="str">
        <f t="shared" si="333"/>
        <v>NA</v>
      </c>
      <c r="X917" s="29" t="str">
        <f t="shared" si="334"/>
        <v>NA</v>
      </c>
      <c r="Y917" s="29" t="str">
        <f t="shared" si="335"/>
        <v>NA</v>
      </c>
      <c r="Z917" s="29" t="str">
        <f t="shared" si="336"/>
        <v>NA</v>
      </c>
      <c r="AA917" s="29" t="str">
        <f t="shared" si="337"/>
        <v>NA</v>
      </c>
      <c r="AB917" s="29" t="str">
        <f t="shared" si="338"/>
        <v>NA</v>
      </c>
      <c r="AC917" s="29" t="str">
        <f t="shared" si="339"/>
        <v>NA</v>
      </c>
      <c r="AD917" s="29" t="str">
        <f t="shared" si="340"/>
        <v>NA</v>
      </c>
      <c r="AE917" s="29" t="str">
        <f t="shared" si="341"/>
        <v>NA</v>
      </c>
      <c r="AF917" s="29" t="str">
        <f t="shared" si="342"/>
        <v>NA</v>
      </c>
      <c r="AG917" s="29" t="str">
        <f t="shared" si="343"/>
        <v>NA</v>
      </c>
      <c r="AH917" s="29" t="str">
        <f t="shared" si="344"/>
        <v>NA</v>
      </c>
    </row>
    <row r="918" customHeight="1" spans="1:34">
      <c r="A918" s="12" t="s">
        <v>1043</v>
      </c>
      <c r="F918" s="24">
        <f t="shared" si="326"/>
        <v>0</v>
      </c>
      <c r="G918" s="24" t="e">
        <f t="shared" si="325"/>
        <v>#DIV/0!</v>
      </c>
      <c r="Q918" s="29" t="str">
        <f t="shared" si="327"/>
        <v>NA</v>
      </c>
      <c r="R918" s="29" t="str">
        <f t="shared" si="328"/>
        <v>NA</v>
      </c>
      <c r="S918" s="29" t="str">
        <f t="shared" si="329"/>
        <v>NA</v>
      </c>
      <c r="T918" s="29" t="str">
        <f t="shared" si="330"/>
        <v>NA</v>
      </c>
      <c r="U918" s="29" t="str">
        <f t="shared" si="331"/>
        <v>NA</v>
      </c>
      <c r="V918" s="29" t="str">
        <f t="shared" si="332"/>
        <v>NA</v>
      </c>
      <c r="W918" s="29" t="str">
        <f t="shared" si="333"/>
        <v>NA</v>
      </c>
      <c r="X918" s="29" t="str">
        <f t="shared" si="334"/>
        <v>NA</v>
      </c>
      <c r="Y918" s="29" t="str">
        <f t="shared" si="335"/>
        <v>NA</v>
      </c>
      <c r="Z918" s="29" t="str">
        <f t="shared" si="336"/>
        <v>NA</v>
      </c>
      <c r="AA918" s="29" t="str">
        <f t="shared" si="337"/>
        <v>NA</v>
      </c>
      <c r="AB918" s="29" t="str">
        <f t="shared" si="338"/>
        <v>NA</v>
      </c>
      <c r="AC918" s="29" t="str">
        <f t="shared" si="339"/>
        <v>NA</v>
      </c>
      <c r="AD918" s="29" t="str">
        <f t="shared" si="340"/>
        <v>NA</v>
      </c>
      <c r="AE918" s="29" t="str">
        <f t="shared" si="341"/>
        <v>NA</v>
      </c>
      <c r="AF918" s="29" t="str">
        <f t="shared" si="342"/>
        <v>NA</v>
      </c>
      <c r="AG918" s="29" t="str">
        <f t="shared" si="343"/>
        <v>NA</v>
      </c>
      <c r="AH918" s="29" t="str">
        <f t="shared" si="344"/>
        <v>NA</v>
      </c>
    </row>
    <row r="919" customHeight="1" spans="1:34">
      <c r="A919" s="12" t="s">
        <v>1043</v>
      </c>
      <c r="F919" s="24">
        <f t="shared" si="326"/>
        <v>0</v>
      </c>
      <c r="G919" s="24" t="e">
        <f t="shared" si="325"/>
        <v>#DIV/0!</v>
      </c>
      <c r="Q919" s="29" t="str">
        <f t="shared" si="327"/>
        <v>NA</v>
      </c>
      <c r="R919" s="29" t="str">
        <f t="shared" si="328"/>
        <v>NA</v>
      </c>
      <c r="S919" s="29" t="str">
        <f t="shared" si="329"/>
        <v>NA</v>
      </c>
      <c r="T919" s="29" t="str">
        <f t="shared" si="330"/>
        <v>NA</v>
      </c>
      <c r="U919" s="29" t="str">
        <f t="shared" si="331"/>
        <v>NA</v>
      </c>
      <c r="V919" s="29" t="str">
        <f t="shared" si="332"/>
        <v>NA</v>
      </c>
      <c r="W919" s="29" t="str">
        <f t="shared" si="333"/>
        <v>NA</v>
      </c>
      <c r="X919" s="29" t="str">
        <f t="shared" si="334"/>
        <v>NA</v>
      </c>
      <c r="Y919" s="29" t="str">
        <f t="shared" si="335"/>
        <v>NA</v>
      </c>
      <c r="Z919" s="29" t="str">
        <f t="shared" si="336"/>
        <v>NA</v>
      </c>
      <c r="AA919" s="29" t="str">
        <f t="shared" si="337"/>
        <v>NA</v>
      </c>
      <c r="AB919" s="29" t="str">
        <f t="shared" si="338"/>
        <v>NA</v>
      </c>
      <c r="AC919" s="29" t="str">
        <f t="shared" si="339"/>
        <v>NA</v>
      </c>
      <c r="AD919" s="29" t="str">
        <f t="shared" si="340"/>
        <v>NA</v>
      </c>
      <c r="AE919" s="29" t="str">
        <f t="shared" si="341"/>
        <v>NA</v>
      </c>
      <c r="AF919" s="29" t="str">
        <f t="shared" si="342"/>
        <v>NA</v>
      </c>
      <c r="AG919" s="29" t="str">
        <f t="shared" si="343"/>
        <v>NA</v>
      </c>
      <c r="AH919" s="29" t="str">
        <f t="shared" si="344"/>
        <v>NA</v>
      </c>
    </row>
    <row r="920" customHeight="1" spans="1:34">
      <c r="A920" s="12" t="s">
        <v>1043</v>
      </c>
      <c r="F920" s="24">
        <f t="shared" si="326"/>
        <v>0</v>
      </c>
      <c r="G920" s="24" t="e">
        <f t="shared" si="325"/>
        <v>#DIV/0!</v>
      </c>
      <c r="Q920" s="29" t="str">
        <f t="shared" si="327"/>
        <v>NA</v>
      </c>
      <c r="R920" s="29" t="str">
        <f t="shared" si="328"/>
        <v>NA</v>
      </c>
      <c r="S920" s="29" t="str">
        <f t="shared" si="329"/>
        <v>NA</v>
      </c>
      <c r="T920" s="29" t="str">
        <f t="shared" si="330"/>
        <v>NA</v>
      </c>
      <c r="U920" s="29" t="str">
        <f t="shared" si="331"/>
        <v>NA</v>
      </c>
      <c r="V920" s="29" t="str">
        <f t="shared" si="332"/>
        <v>NA</v>
      </c>
      <c r="W920" s="29" t="str">
        <f t="shared" si="333"/>
        <v>NA</v>
      </c>
      <c r="X920" s="29" t="str">
        <f t="shared" si="334"/>
        <v>NA</v>
      </c>
      <c r="Y920" s="29" t="str">
        <f t="shared" si="335"/>
        <v>NA</v>
      </c>
      <c r="Z920" s="29" t="str">
        <f t="shared" si="336"/>
        <v>NA</v>
      </c>
      <c r="AA920" s="29" t="str">
        <f t="shared" si="337"/>
        <v>NA</v>
      </c>
      <c r="AB920" s="29" t="str">
        <f t="shared" si="338"/>
        <v>NA</v>
      </c>
      <c r="AC920" s="29" t="str">
        <f t="shared" si="339"/>
        <v>NA</v>
      </c>
      <c r="AD920" s="29" t="str">
        <f t="shared" si="340"/>
        <v>NA</v>
      </c>
      <c r="AE920" s="29" t="str">
        <f t="shared" si="341"/>
        <v>NA</v>
      </c>
      <c r="AF920" s="29" t="str">
        <f t="shared" si="342"/>
        <v>NA</v>
      </c>
      <c r="AG920" s="29" t="str">
        <f t="shared" si="343"/>
        <v>NA</v>
      </c>
      <c r="AH920" s="29" t="str">
        <f t="shared" si="344"/>
        <v>NA</v>
      </c>
    </row>
    <row r="921" customHeight="1" spans="1:34">
      <c r="A921" s="12" t="s">
        <v>1043</v>
      </c>
      <c r="F921" s="24">
        <f t="shared" si="326"/>
        <v>0</v>
      </c>
      <c r="G921" s="24" t="e">
        <f t="shared" si="325"/>
        <v>#DIV/0!</v>
      </c>
      <c r="Q921" s="29" t="str">
        <f t="shared" si="327"/>
        <v>NA</v>
      </c>
      <c r="R921" s="29" t="str">
        <f t="shared" si="328"/>
        <v>NA</v>
      </c>
      <c r="S921" s="29" t="str">
        <f t="shared" si="329"/>
        <v>NA</v>
      </c>
      <c r="T921" s="29" t="str">
        <f t="shared" si="330"/>
        <v>NA</v>
      </c>
      <c r="U921" s="29" t="str">
        <f t="shared" si="331"/>
        <v>NA</v>
      </c>
      <c r="V921" s="29" t="str">
        <f t="shared" si="332"/>
        <v>NA</v>
      </c>
      <c r="W921" s="29" t="str">
        <f t="shared" si="333"/>
        <v>NA</v>
      </c>
      <c r="X921" s="29" t="str">
        <f t="shared" si="334"/>
        <v>NA</v>
      </c>
      <c r="Y921" s="29" t="str">
        <f t="shared" si="335"/>
        <v>NA</v>
      </c>
      <c r="Z921" s="29" t="str">
        <f t="shared" si="336"/>
        <v>NA</v>
      </c>
      <c r="AA921" s="29" t="str">
        <f t="shared" si="337"/>
        <v>NA</v>
      </c>
      <c r="AB921" s="29" t="str">
        <f t="shared" si="338"/>
        <v>NA</v>
      </c>
      <c r="AC921" s="29" t="str">
        <f t="shared" si="339"/>
        <v>NA</v>
      </c>
      <c r="AD921" s="29" t="str">
        <f t="shared" si="340"/>
        <v>NA</v>
      </c>
      <c r="AE921" s="29" t="str">
        <f t="shared" si="341"/>
        <v>NA</v>
      </c>
      <c r="AF921" s="29" t="str">
        <f t="shared" si="342"/>
        <v>NA</v>
      </c>
      <c r="AG921" s="29" t="str">
        <f t="shared" si="343"/>
        <v>NA</v>
      </c>
      <c r="AH921" s="29" t="str">
        <f t="shared" si="344"/>
        <v>NA</v>
      </c>
    </row>
    <row r="922" customHeight="1" spans="1:34">
      <c r="A922" s="12" t="s">
        <v>1043</v>
      </c>
      <c r="F922" s="24">
        <f t="shared" si="326"/>
        <v>0</v>
      </c>
      <c r="G922" s="24" t="e">
        <f t="shared" si="325"/>
        <v>#DIV/0!</v>
      </c>
      <c r="Q922" s="29" t="str">
        <f t="shared" si="327"/>
        <v>NA</v>
      </c>
      <c r="R922" s="29" t="str">
        <f t="shared" si="328"/>
        <v>NA</v>
      </c>
      <c r="S922" s="29" t="str">
        <f t="shared" si="329"/>
        <v>NA</v>
      </c>
      <c r="T922" s="29" t="str">
        <f t="shared" si="330"/>
        <v>NA</v>
      </c>
      <c r="U922" s="29" t="str">
        <f t="shared" si="331"/>
        <v>NA</v>
      </c>
      <c r="V922" s="29" t="str">
        <f t="shared" si="332"/>
        <v>NA</v>
      </c>
      <c r="W922" s="29" t="str">
        <f t="shared" si="333"/>
        <v>NA</v>
      </c>
      <c r="X922" s="29" t="str">
        <f t="shared" si="334"/>
        <v>NA</v>
      </c>
      <c r="Y922" s="29" t="str">
        <f t="shared" si="335"/>
        <v>NA</v>
      </c>
      <c r="Z922" s="29" t="str">
        <f t="shared" si="336"/>
        <v>NA</v>
      </c>
      <c r="AA922" s="29" t="str">
        <f t="shared" si="337"/>
        <v>NA</v>
      </c>
      <c r="AB922" s="29" t="str">
        <f t="shared" si="338"/>
        <v>NA</v>
      </c>
      <c r="AC922" s="29" t="str">
        <f t="shared" si="339"/>
        <v>NA</v>
      </c>
      <c r="AD922" s="29" t="str">
        <f t="shared" si="340"/>
        <v>NA</v>
      </c>
      <c r="AE922" s="29" t="str">
        <f t="shared" si="341"/>
        <v>NA</v>
      </c>
      <c r="AF922" s="29" t="str">
        <f t="shared" si="342"/>
        <v>NA</v>
      </c>
      <c r="AG922" s="29" t="str">
        <f t="shared" si="343"/>
        <v>NA</v>
      </c>
      <c r="AH922" s="29" t="str">
        <f t="shared" si="344"/>
        <v>NA</v>
      </c>
    </row>
    <row r="923" customHeight="1" spans="1:34">
      <c r="A923" s="12" t="s">
        <v>1043</v>
      </c>
      <c r="F923" s="24">
        <f t="shared" si="326"/>
        <v>0</v>
      </c>
      <c r="G923" s="24" t="e">
        <f t="shared" si="325"/>
        <v>#DIV/0!</v>
      </c>
      <c r="Q923" s="29" t="str">
        <f t="shared" si="327"/>
        <v>NA</v>
      </c>
      <c r="R923" s="29" t="str">
        <f t="shared" si="328"/>
        <v>NA</v>
      </c>
      <c r="S923" s="29" t="str">
        <f t="shared" si="329"/>
        <v>NA</v>
      </c>
      <c r="T923" s="29" t="str">
        <f t="shared" si="330"/>
        <v>NA</v>
      </c>
      <c r="U923" s="29" t="str">
        <f t="shared" si="331"/>
        <v>NA</v>
      </c>
      <c r="V923" s="29" t="str">
        <f t="shared" si="332"/>
        <v>NA</v>
      </c>
      <c r="W923" s="29" t="str">
        <f t="shared" si="333"/>
        <v>NA</v>
      </c>
      <c r="X923" s="29" t="str">
        <f t="shared" si="334"/>
        <v>NA</v>
      </c>
      <c r="Y923" s="29" t="str">
        <f t="shared" si="335"/>
        <v>NA</v>
      </c>
      <c r="Z923" s="29" t="str">
        <f t="shared" si="336"/>
        <v>NA</v>
      </c>
      <c r="AA923" s="29" t="str">
        <f t="shared" si="337"/>
        <v>NA</v>
      </c>
      <c r="AB923" s="29" t="str">
        <f t="shared" si="338"/>
        <v>NA</v>
      </c>
      <c r="AC923" s="29" t="str">
        <f t="shared" si="339"/>
        <v>NA</v>
      </c>
      <c r="AD923" s="29" t="str">
        <f t="shared" si="340"/>
        <v>NA</v>
      </c>
      <c r="AE923" s="29" t="str">
        <f t="shared" si="341"/>
        <v>NA</v>
      </c>
      <c r="AF923" s="29" t="str">
        <f t="shared" si="342"/>
        <v>NA</v>
      </c>
      <c r="AG923" s="29" t="str">
        <f t="shared" si="343"/>
        <v>NA</v>
      </c>
      <c r="AH923" s="29" t="str">
        <f t="shared" si="344"/>
        <v>NA</v>
      </c>
    </row>
    <row r="924" customHeight="1" spans="1:34">
      <c r="A924" s="12" t="s">
        <v>1043</v>
      </c>
      <c r="F924" s="24">
        <f t="shared" si="326"/>
        <v>0</v>
      </c>
      <c r="G924" s="24" t="e">
        <f t="shared" si="325"/>
        <v>#DIV/0!</v>
      </c>
      <c r="Q924" s="29" t="str">
        <f t="shared" si="327"/>
        <v>NA</v>
      </c>
      <c r="R924" s="29" t="str">
        <f t="shared" si="328"/>
        <v>NA</v>
      </c>
      <c r="S924" s="29" t="str">
        <f t="shared" si="329"/>
        <v>NA</v>
      </c>
      <c r="T924" s="29" t="str">
        <f t="shared" si="330"/>
        <v>NA</v>
      </c>
      <c r="U924" s="29" t="str">
        <f t="shared" si="331"/>
        <v>NA</v>
      </c>
      <c r="V924" s="29" t="str">
        <f t="shared" si="332"/>
        <v>NA</v>
      </c>
      <c r="W924" s="29" t="str">
        <f t="shared" si="333"/>
        <v>NA</v>
      </c>
      <c r="X924" s="29" t="str">
        <f t="shared" si="334"/>
        <v>NA</v>
      </c>
      <c r="Y924" s="29" t="str">
        <f t="shared" si="335"/>
        <v>NA</v>
      </c>
      <c r="Z924" s="29" t="str">
        <f t="shared" si="336"/>
        <v>NA</v>
      </c>
      <c r="AA924" s="29" t="str">
        <f t="shared" si="337"/>
        <v>NA</v>
      </c>
      <c r="AB924" s="29" t="str">
        <f t="shared" si="338"/>
        <v>NA</v>
      </c>
      <c r="AC924" s="29" t="str">
        <f t="shared" si="339"/>
        <v>NA</v>
      </c>
      <c r="AD924" s="29" t="str">
        <f t="shared" si="340"/>
        <v>NA</v>
      </c>
      <c r="AE924" s="29" t="str">
        <f t="shared" si="341"/>
        <v>NA</v>
      </c>
      <c r="AF924" s="29" t="str">
        <f t="shared" si="342"/>
        <v>NA</v>
      </c>
      <c r="AG924" s="29" t="str">
        <f t="shared" si="343"/>
        <v>NA</v>
      </c>
      <c r="AH924" s="29" t="str">
        <f t="shared" si="344"/>
        <v>NA</v>
      </c>
    </row>
    <row r="925" customHeight="1" spans="1:34">
      <c r="A925" s="12" t="s">
        <v>1043</v>
      </c>
      <c r="F925" s="24">
        <f t="shared" si="326"/>
        <v>0</v>
      </c>
      <c r="G925" s="24" t="e">
        <f t="shared" si="325"/>
        <v>#DIV/0!</v>
      </c>
      <c r="Q925" s="29" t="str">
        <f t="shared" si="327"/>
        <v>NA</v>
      </c>
      <c r="R925" s="29" t="str">
        <f t="shared" si="328"/>
        <v>NA</v>
      </c>
      <c r="S925" s="29" t="str">
        <f t="shared" si="329"/>
        <v>NA</v>
      </c>
      <c r="T925" s="29" t="str">
        <f t="shared" si="330"/>
        <v>NA</v>
      </c>
      <c r="U925" s="29" t="str">
        <f t="shared" si="331"/>
        <v>NA</v>
      </c>
      <c r="V925" s="29" t="str">
        <f t="shared" si="332"/>
        <v>NA</v>
      </c>
      <c r="W925" s="29" t="str">
        <f t="shared" si="333"/>
        <v>NA</v>
      </c>
      <c r="X925" s="29" t="str">
        <f t="shared" si="334"/>
        <v>NA</v>
      </c>
      <c r="Y925" s="29" t="str">
        <f t="shared" si="335"/>
        <v>NA</v>
      </c>
      <c r="Z925" s="29" t="str">
        <f t="shared" si="336"/>
        <v>NA</v>
      </c>
      <c r="AA925" s="29" t="str">
        <f t="shared" si="337"/>
        <v>NA</v>
      </c>
      <c r="AB925" s="29" t="str">
        <f t="shared" si="338"/>
        <v>NA</v>
      </c>
      <c r="AC925" s="29" t="str">
        <f t="shared" si="339"/>
        <v>NA</v>
      </c>
      <c r="AD925" s="29" t="str">
        <f t="shared" si="340"/>
        <v>NA</v>
      </c>
      <c r="AE925" s="29" t="str">
        <f t="shared" si="341"/>
        <v>NA</v>
      </c>
      <c r="AF925" s="29" t="str">
        <f t="shared" si="342"/>
        <v>NA</v>
      </c>
      <c r="AG925" s="29" t="str">
        <f t="shared" si="343"/>
        <v>NA</v>
      </c>
      <c r="AH925" s="29" t="str">
        <f t="shared" si="344"/>
        <v>NA</v>
      </c>
    </row>
    <row r="926" customHeight="1" spans="1:34">
      <c r="A926" s="12" t="s">
        <v>1043</v>
      </c>
      <c r="F926" s="24">
        <f t="shared" si="326"/>
        <v>0</v>
      </c>
      <c r="G926" s="24" t="e">
        <f t="shared" si="325"/>
        <v>#DIV/0!</v>
      </c>
      <c r="Q926" s="29" t="str">
        <f t="shared" si="327"/>
        <v>NA</v>
      </c>
      <c r="R926" s="29" t="str">
        <f t="shared" si="328"/>
        <v>NA</v>
      </c>
      <c r="S926" s="29" t="str">
        <f t="shared" si="329"/>
        <v>NA</v>
      </c>
      <c r="T926" s="29" t="str">
        <f t="shared" si="330"/>
        <v>NA</v>
      </c>
      <c r="U926" s="29" t="str">
        <f t="shared" si="331"/>
        <v>NA</v>
      </c>
      <c r="V926" s="29" t="str">
        <f t="shared" si="332"/>
        <v>NA</v>
      </c>
      <c r="W926" s="29" t="str">
        <f t="shared" si="333"/>
        <v>NA</v>
      </c>
      <c r="X926" s="29" t="str">
        <f t="shared" si="334"/>
        <v>NA</v>
      </c>
      <c r="Y926" s="29" t="str">
        <f t="shared" si="335"/>
        <v>NA</v>
      </c>
      <c r="Z926" s="29" t="str">
        <f t="shared" si="336"/>
        <v>NA</v>
      </c>
      <c r="AA926" s="29" t="str">
        <f t="shared" si="337"/>
        <v>NA</v>
      </c>
      <c r="AB926" s="29" t="str">
        <f t="shared" si="338"/>
        <v>NA</v>
      </c>
      <c r="AC926" s="29" t="str">
        <f t="shared" si="339"/>
        <v>NA</v>
      </c>
      <c r="AD926" s="29" t="str">
        <f t="shared" si="340"/>
        <v>NA</v>
      </c>
      <c r="AE926" s="29" t="str">
        <f t="shared" si="341"/>
        <v>NA</v>
      </c>
      <c r="AF926" s="29" t="str">
        <f t="shared" si="342"/>
        <v>NA</v>
      </c>
      <c r="AG926" s="29" t="str">
        <f t="shared" si="343"/>
        <v>NA</v>
      </c>
      <c r="AH926" s="29" t="str">
        <f t="shared" si="344"/>
        <v>NA</v>
      </c>
    </row>
    <row r="927" customHeight="1" spans="1:34">
      <c r="A927" s="12" t="s">
        <v>1043</v>
      </c>
      <c r="F927" s="24">
        <f t="shared" si="326"/>
        <v>0</v>
      </c>
      <c r="G927" s="24" t="e">
        <f t="shared" si="325"/>
        <v>#DIV/0!</v>
      </c>
      <c r="Q927" s="29" t="str">
        <f t="shared" si="327"/>
        <v>NA</v>
      </c>
      <c r="R927" s="29" t="str">
        <f t="shared" si="328"/>
        <v>NA</v>
      </c>
      <c r="S927" s="29" t="str">
        <f t="shared" si="329"/>
        <v>NA</v>
      </c>
      <c r="T927" s="29" t="str">
        <f t="shared" si="330"/>
        <v>NA</v>
      </c>
      <c r="U927" s="29" t="str">
        <f t="shared" si="331"/>
        <v>NA</v>
      </c>
      <c r="V927" s="29" t="str">
        <f t="shared" si="332"/>
        <v>NA</v>
      </c>
      <c r="W927" s="29" t="str">
        <f t="shared" si="333"/>
        <v>NA</v>
      </c>
      <c r="X927" s="29" t="str">
        <f t="shared" si="334"/>
        <v>NA</v>
      </c>
      <c r="Y927" s="29" t="str">
        <f t="shared" si="335"/>
        <v>NA</v>
      </c>
      <c r="Z927" s="29" t="str">
        <f t="shared" si="336"/>
        <v>NA</v>
      </c>
      <c r="AA927" s="29" t="str">
        <f t="shared" si="337"/>
        <v>NA</v>
      </c>
      <c r="AB927" s="29" t="str">
        <f t="shared" si="338"/>
        <v>NA</v>
      </c>
      <c r="AC927" s="29" t="str">
        <f t="shared" si="339"/>
        <v>NA</v>
      </c>
      <c r="AD927" s="29" t="str">
        <f t="shared" si="340"/>
        <v>NA</v>
      </c>
      <c r="AE927" s="29" t="str">
        <f t="shared" si="341"/>
        <v>NA</v>
      </c>
      <c r="AF927" s="29" t="str">
        <f t="shared" si="342"/>
        <v>NA</v>
      </c>
      <c r="AG927" s="29" t="str">
        <f t="shared" si="343"/>
        <v>NA</v>
      </c>
      <c r="AH927" s="29" t="str">
        <f t="shared" si="344"/>
        <v>NA</v>
      </c>
    </row>
    <row r="928" customHeight="1" spans="1:34">
      <c r="A928" s="12" t="s">
        <v>1043</v>
      </c>
      <c r="F928" s="24">
        <f t="shared" si="326"/>
        <v>0</v>
      </c>
      <c r="G928" s="24" t="e">
        <f t="shared" si="325"/>
        <v>#DIV/0!</v>
      </c>
      <c r="Q928" s="29" t="str">
        <f t="shared" si="327"/>
        <v>NA</v>
      </c>
      <c r="R928" s="29" t="str">
        <f t="shared" si="328"/>
        <v>NA</v>
      </c>
      <c r="S928" s="29" t="str">
        <f t="shared" si="329"/>
        <v>NA</v>
      </c>
      <c r="T928" s="29" t="str">
        <f t="shared" si="330"/>
        <v>NA</v>
      </c>
      <c r="U928" s="29" t="str">
        <f t="shared" si="331"/>
        <v>NA</v>
      </c>
      <c r="V928" s="29" t="str">
        <f t="shared" si="332"/>
        <v>NA</v>
      </c>
      <c r="W928" s="29" t="str">
        <f t="shared" si="333"/>
        <v>NA</v>
      </c>
      <c r="X928" s="29" t="str">
        <f t="shared" si="334"/>
        <v>NA</v>
      </c>
      <c r="Y928" s="29" t="str">
        <f t="shared" si="335"/>
        <v>NA</v>
      </c>
      <c r="Z928" s="29" t="str">
        <f t="shared" si="336"/>
        <v>NA</v>
      </c>
      <c r="AA928" s="29" t="str">
        <f t="shared" si="337"/>
        <v>NA</v>
      </c>
      <c r="AB928" s="29" t="str">
        <f t="shared" si="338"/>
        <v>NA</v>
      </c>
      <c r="AC928" s="29" t="str">
        <f t="shared" si="339"/>
        <v>NA</v>
      </c>
      <c r="AD928" s="29" t="str">
        <f t="shared" si="340"/>
        <v>NA</v>
      </c>
      <c r="AE928" s="29" t="str">
        <f t="shared" si="341"/>
        <v>NA</v>
      </c>
      <c r="AF928" s="29" t="str">
        <f t="shared" si="342"/>
        <v>NA</v>
      </c>
      <c r="AG928" s="29" t="str">
        <f t="shared" si="343"/>
        <v>NA</v>
      </c>
      <c r="AH928" s="29" t="str">
        <f t="shared" si="344"/>
        <v>NA</v>
      </c>
    </row>
    <row r="929" customHeight="1" spans="1:34">
      <c r="A929" s="12" t="s">
        <v>1043</v>
      </c>
      <c r="F929" s="24">
        <f t="shared" si="326"/>
        <v>0</v>
      </c>
      <c r="G929" s="24" t="e">
        <f t="shared" si="325"/>
        <v>#DIV/0!</v>
      </c>
      <c r="Q929" s="29" t="str">
        <f t="shared" si="327"/>
        <v>NA</v>
      </c>
      <c r="R929" s="29" t="str">
        <f t="shared" si="328"/>
        <v>NA</v>
      </c>
      <c r="S929" s="29" t="str">
        <f t="shared" si="329"/>
        <v>NA</v>
      </c>
      <c r="T929" s="29" t="str">
        <f t="shared" si="330"/>
        <v>NA</v>
      </c>
      <c r="U929" s="29" t="str">
        <f t="shared" si="331"/>
        <v>NA</v>
      </c>
      <c r="V929" s="29" t="str">
        <f t="shared" si="332"/>
        <v>NA</v>
      </c>
      <c r="W929" s="29" t="str">
        <f t="shared" si="333"/>
        <v>NA</v>
      </c>
      <c r="X929" s="29" t="str">
        <f t="shared" si="334"/>
        <v>NA</v>
      </c>
      <c r="Y929" s="29" t="str">
        <f t="shared" si="335"/>
        <v>NA</v>
      </c>
      <c r="Z929" s="29" t="str">
        <f t="shared" si="336"/>
        <v>NA</v>
      </c>
      <c r="AA929" s="29" t="str">
        <f t="shared" si="337"/>
        <v>NA</v>
      </c>
      <c r="AB929" s="29" t="str">
        <f t="shared" si="338"/>
        <v>NA</v>
      </c>
      <c r="AC929" s="29" t="str">
        <f t="shared" si="339"/>
        <v>NA</v>
      </c>
      <c r="AD929" s="29" t="str">
        <f t="shared" si="340"/>
        <v>NA</v>
      </c>
      <c r="AE929" s="29" t="str">
        <f t="shared" si="341"/>
        <v>NA</v>
      </c>
      <c r="AF929" s="29" t="str">
        <f t="shared" si="342"/>
        <v>NA</v>
      </c>
      <c r="AG929" s="29" t="str">
        <f t="shared" si="343"/>
        <v>NA</v>
      </c>
      <c r="AH929" s="29" t="str">
        <f t="shared" si="344"/>
        <v>NA</v>
      </c>
    </row>
    <row r="930" customHeight="1" spans="1:34">
      <c r="A930" s="12" t="s">
        <v>1043</v>
      </c>
      <c r="F930" s="24">
        <f t="shared" si="326"/>
        <v>0</v>
      </c>
      <c r="G930" s="24" t="e">
        <f t="shared" si="325"/>
        <v>#DIV/0!</v>
      </c>
      <c r="Q930" s="29" t="str">
        <f t="shared" si="327"/>
        <v>NA</v>
      </c>
      <c r="R930" s="29" t="str">
        <f t="shared" si="328"/>
        <v>NA</v>
      </c>
      <c r="S930" s="29" t="str">
        <f t="shared" si="329"/>
        <v>NA</v>
      </c>
      <c r="T930" s="29" t="str">
        <f t="shared" si="330"/>
        <v>NA</v>
      </c>
      <c r="U930" s="29" t="str">
        <f t="shared" si="331"/>
        <v>NA</v>
      </c>
      <c r="V930" s="29" t="str">
        <f t="shared" si="332"/>
        <v>NA</v>
      </c>
      <c r="W930" s="29" t="str">
        <f t="shared" si="333"/>
        <v>NA</v>
      </c>
      <c r="X930" s="29" t="str">
        <f t="shared" si="334"/>
        <v>NA</v>
      </c>
      <c r="Y930" s="29" t="str">
        <f t="shared" si="335"/>
        <v>NA</v>
      </c>
      <c r="Z930" s="29" t="str">
        <f t="shared" si="336"/>
        <v>NA</v>
      </c>
      <c r="AA930" s="29" t="str">
        <f t="shared" si="337"/>
        <v>NA</v>
      </c>
      <c r="AB930" s="29" t="str">
        <f t="shared" si="338"/>
        <v>NA</v>
      </c>
      <c r="AC930" s="29" t="str">
        <f t="shared" si="339"/>
        <v>NA</v>
      </c>
      <c r="AD930" s="29" t="str">
        <f t="shared" si="340"/>
        <v>NA</v>
      </c>
      <c r="AE930" s="29" t="str">
        <f t="shared" si="341"/>
        <v>NA</v>
      </c>
      <c r="AF930" s="29" t="str">
        <f t="shared" si="342"/>
        <v>NA</v>
      </c>
      <c r="AG930" s="29" t="str">
        <f t="shared" si="343"/>
        <v>NA</v>
      </c>
      <c r="AH930" s="29" t="str">
        <f t="shared" si="344"/>
        <v>NA</v>
      </c>
    </row>
    <row r="931" customHeight="1" spans="1:34">
      <c r="A931" s="12" t="s">
        <v>1043</v>
      </c>
      <c r="F931" s="24">
        <f t="shared" si="326"/>
        <v>0</v>
      </c>
      <c r="G931" s="24" t="e">
        <f t="shared" si="325"/>
        <v>#DIV/0!</v>
      </c>
      <c r="Q931" s="29" t="str">
        <f t="shared" si="327"/>
        <v>NA</v>
      </c>
      <c r="R931" s="29" t="str">
        <f t="shared" si="328"/>
        <v>NA</v>
      </c>
      <c r="S931" s="29" t="str">
        <f t="shared" si="329"/>
        <v>NA</v>
      </c>
      <c r="T931" s="29" t="str">
        <f t="shared" si="330"/>
        <v>NA</v>
      </c>
      <c r="U931" s="29" t="str">
        <f t="shared" si="331"/>
        <v>NA</v>
      </c>
      <c r="V931" s="29" t="str">
        <f t="shared" si="332"/>
        <v>NA</v>
      </c>
      <c r="W931" s="29" t="str">
        <f t="shared" si="333"/>
        <v>NA</v>
      </c>
      <c r="X931" s="29" t="str">
        <f t="shared" si="334"/>
        <v>NA</v>
      </c>
      <c r="Y931" s="29" t="str">
        <f t="shared" si="335"/>
        <v>NA</v>
      </c>
      <c r="Z931" s="29" t="str">
        <f t="shared" si="336"/>
        <v>NA</v>
      </c>
      <c r="AA931" s="29" t="str">
        <f t="shared" si="337"/>
        <v>NA</v>
      </c>
      <c r="AB931" s="29" t="str">
        <f t="shared" si="338"/>
        <v>NA</v>
      </c>
      <c r="AC931" s="29" t="str">
        <f t="shared" si="339"/>
        <v>NA</v>
      </c>
      <c r="AD931" s="29" t="str">
        <f t="shared" si="340"/>
        <v>NA</v>
      </c>
      <c r="AE931" s="29" t="str">
        <f t="shared" si="341"/>
        <v>NA</v>
      </c>
      <c r="AF931" s="29" t="str">
        <f t="shared" si="342"/>
        <v>NA</v>
      </c>
      <c r="AG931" s="29" t="str">
        <f t="shared" si="343"/>
        <v>NA</v>
      </c>
      <c r="AH931" s="29" t="str">
        <f t="shared" si="344"/>
        <v>NA</v>
      </c>
    </row>
    <row r="932" customHeight="1" spans="1:34">
      <c r="A932" s="12" t="s">
        <v>1043</v>
      </c>
      <c r="F932" s="24">
        <f t="shared" si="326"/>
        <v>0</v>
      </c>
      <c r="G932" s="24" t="e">
        <f t="shared" si="325"/>
        <v>#DIV/0!</v>
      </c>
      <c r="Q932" s="29" t="str">
        <f t="shared" si="327"/>
        <v>NA</v>
      </c>
      <c r="R932" s="29" t="str">
        <f t="shared" si="328"/>
        <v>NA</v>
      </c>
      <c r="S932" s="29" t="str">
        <f t="shared" si="329"/>
        <v>NA</v>
      </c>
      <c r="T932" s="29" t="str">
        <f t="shared" si="330"/>
        <v>NA</v>
      </c>
      <c r="U932" s="29" t="str">
        <f t="shared" si="331"/>
        <v>NA</v>
      </c>
      <c r="V932" s="29" t="str">
        <f t="shared" si="332"/>
        <v>NA</v>
      </c>
      <c r="W932" s="29" t="str">
        <f t="shared" si="333"/>
        <v>NA</v>
      </c>
      <c r="X932" s="29" t="str">
        <f t="shared" si="334"/>
        <v>NA</v>
      </c>
      <c r="Y932" s="29" t="str">
        <f t="shared" si="335"/>
        <v>NA</v>
      </c>
      <c r="Z932" s="29" t="str">
        <f t="shared" si="336"/>
        <v>NA</v>
      </c>
      <c r="AA932" s="29" t="str">
        <f t="shared" si="337"/>
        <v>NA</v>
      </c>
      <c r="AB932" s="29" t="str">
        <f t="shared" si="338"/>
        <v>NA</v>
      </c>
      <c r="AC932" s="29" t="str">
        <f t="shared" si="339"/>
        <v>NA</v>
      </c>
      <c r="AD932" s="29" t="str">
        <f t="shared" si="340"/>
        <v>NA</v>
      </c>
      <c r="AE932" s="29" t="str">
        <f t="shared" si="341"/>
        <v>NA</v>
      </c>
      <c r="AF932" s="29" t="str">
        <f t="shared" si="342"/>
        <v>NA</v>
      </c>
      <c r="AG932" s="29" t="str">
        <f t="shared" si="343"/>
        <v>NA</v>
      </c>
      <c r="AH932" s="29" t="str">
        <f t="shared" si="344"/>
        <v>NA</v>
      </c>
    </row>
    <row r="933" customHeight="1" spans="1:34">
      <c r="A933" s="12" t="s">
        <v>1043</v>
      </c>
      <c r="F933" s="24">
        <f t="shared" si="326"/>
        <v>0</v>
      </c>
      <c r="G933" s="24" t="e">
        <f t="shared" si="325"/>
        <v>#DIV/0!</v>
      </c>
      <c r="Q933" s="29" t="str">
        <f t="shared" si="327"/>
        <v>NA</v>
      </c>
      <c r="R933" s="29" t="str">
        <f t="shared" si="328"/>
        <v>NA</v>
      </c>
      <c r="S933" s="29" t="str">
        <f t="shared" si="329"/>
        <v>NA</v>
      </c>
      <c r="T933" s="29" t="str">
        <f t="shared" si="330"/>
        <v>NA</v>
      </c>
      <c r="U933" s="29" t="str">
        <f t="shared" si="331"/>
        <v>NA</v>
      </c>
      <c r="V933" s="29" t="str">
        <f t="shared" si="332"/>
        <v>NA</v>
      </c>
      <c r="W933" s="29" t="str">
        <f t="shared" si="333"/>
        <v>NA</v>
      </c>
      <c r="X933" s="29" t="str">
        <f t="shared" si="334"/>
        <v>NA</v>
      </c>
      <c r="Y933" s="29" t="str">
        <f t="shared" si="335"/>
        <v>NA</v>
      </c>
      <c r="Z933" s="29" t="str">
        <f t="shared" si="336"/>
        <v>NA</v>
      </c>
      <c r="AA933" s="29" t="str">
        <f t="shared" si="337"/>
        <v>NA</v>
      </c>
      <c r="AB933" s="29" t="str">
        <f t="shared" si="338"/>
        <v>NA</v>
      </c>
      <c r="AC933" s="29" t="str">
        <f t="shared" si="339"/>
        <v>NA</v>
      </c>
      <c r="AD933" s="29" t="str">
        <f t="shared" si="340"/>
        <v>NA</v>
      </c>
      <c r="AE933" s="29" t="str">
        <f t="shared" si="341"/>
        <v>NA</v>
      </c>
      <c r="AF933" s="29" t="str">
        <f t="shared" si="342"/>
        <v>NA</v>
      </c>
      <c r="AG933" s="29" t="str">
        <f t="shared" si="343"/>
        <v>NA</v>
      </c>
      <c r="AH933" s="29" t="str">
        <f t="shared" si="344"/>
        <v>NA</v>
      </c>
    </row>
    <row r="934" customHeight="1" spans="1:34">
      <c r="A934" s="12" t="s">
        <v>1043</v>
      </c>
      <c r="F934" s="24">
        <f t="shared" si="326"/>
        <v>0</v>
      </c>
      <c r="G934" s="24" t="e">
        <f t="shared" si="325"/>
        <v>#DIV/0!</v>
      </c>
      <c r="Q934" s="29" t="str">
        <f t="shared" si="327"/>
        <v>NA</v>
      </c>
      <c r="R934" s="29" t="str">
        <f t="shared" si="328"/>
        <v>NA</v>
      </c>
      <c r="S934" s="29" t="str">
        <f t="shared" si="329"/>
        <v>NA</v>
      </c>
      <c r="T934" s="29" t="str">
        <f t="shared" si="330"/>
        <v>NA</v>
      </c>
      <c r="U934" s="29" t="str">
        <f t="shared" si="331"/>
        <v>NA</v>
      </c>
      <c r="V934" s="29" t="str">
        <f t="shared" si="332"/>
        <v>NA</v>
      </c>
      <c r="W934" s="29" t="str">
        <f t="shared" si="333"/>
        <v>NA</v>
      </c>
      <c r="X934" s="29" t="str">
        <f t="shared" si="334"/>
        <v>NA</v>
      </c>
      <c r="Y934" s="29" t="str">
        <f t="shared" si="335"/>
        <v>NA</v>
      </c>
      <c r="Z934" s="29" t="str">
        <f t="shared" si="336"/>
        <v>NA</v>
      </c>
      <c r="AA934" s="29" t="str">
        <f t="shared" si="337"/>
        <v>NA</v>
      </c>
      <c r="AB934" s="29" t="str">
        <f t="shared" si="338"/>
        <v>NA</v>
      </c>
      <c r="AC934" s="29" t="str">
        <f t="shared" si="339"/>
        <v>NA</v>
      </c>
      <c r="AD934" s="29" t="str">
        <f t="shared" si="340"/>
        <v>NA</v>
      </c>
      <c r="AE934" s="29" t="str">
        <f t="shared" si="341"/>
        <v>NA</v>
      </c>
      <c r="AF934" s="29" t="str">
        <f t="shared" si="342"/>
        <v>NA</v>
      </c>
      <c r="AG934" s="29" t="str">
        <f t="shared" si="343"/>
        <v>NA</v>
      </c>
      <c r="AH934" s="29" t="str">
        <f t="shared" si="344"/>
        <v>NA</v>
      </c>
    </row>
    <row r="935" customHeight="1" spans="1:34">
      <c r="A935" s="12" t="s">
        <v>1043</v>
      </c>
      <c r="F935" s="24">
        <f t="shared" si="326"/>
        <v>0</v>
      </c>
      <c r="G935" s="24" t="e">
        <f t="shared" si="325"/>
        <v>#DIV/0!</v>
      </c>
      <c r="Q935" s="29" t="str">
        <f t="shared" si="327"/>
        <v>NA</v>
      </c>
      <c r="R935" s="29" t="str">
        <f t="shared" si="328"/>
        <v>NA</v>
      </c>
      <c r="S935" s="29" t="str">
        <f t="shared" si="329"/>
        <v>NA</v>
      </c>
      <c r="T935" s="29" t="str">
        <f t="shared" si="330"/>
        <v>NA</v>
      </c>
      <c r="U935" s="29" t="str">
        <f t="shared" si="331"/>
        <v>NA</v>
      </c>
      <c r="V935" s="29" t="str">
        <f t="shared" si="332"/>
        <v>NA</v>
      </c>
      <c r="W935" s="29" t="str">
        <f t="shared" si="333"/>
        <v>NA</v>
      </c>
      <c r="X935" s="29" t="str">
        <f t="shared" si="334"/>
        <v>NA</v>
      </c>
      <c r="Y935" s="29" t="str">
        <f t="shared" si="335"/>
        <v>NA</v>
      </c>
      <c r="Z935" s="29" t="str">
        <f t="shared" si="336"/>
        <v>NA</v>
      </c>
      <c r="AA935" s="29" t="str">
        <f t="shared" si="337"/>
        <v>NA</v>
      </c>
      <c r="AB935" s="29" t="str">
        <f t="shared" si="338"/>
        <v>NA</v>
      </c>
      <c r="AC935" s="29" t="str">
        <f t="shared" si="339"/>
        <v>NA</v>
      </c>
      <c r="AD935" s="29" t="str">
        <f t="shared" si="340"/>
        <v>NA</v>
      </c>
      <c r="AE935" s="29" t="str">
        <f t="shared" si="341"/>
        <v>NA</v>
      </c>
      <c r="AF935" s="29" t="str">
        <f t="shared" si="342"/>
        <v>NA</v>
      </c>
      <c r="AG935" s="29" t="str">
        <f t="shared" si="343"/>
        <v>NA</v>
      </c>
      <c r="AH935" s="29" t="str">
        <f t="shared" si="344"/>
        <v>NA</v>
      </c>
    </row>
    <row r="936" customHeight="1" spans="1:34">
      <c r="A936" s="12" t="s">
        <v>1043</v>
      </c>
      <c r="F936" s="24">
        <f t="shared" si="326"/>
        <v>0</v>
      </c>
      <c r="G936" s="24" t="e">
        <f t="shared" si="325"/>
        <v>#DIV/0!</v>
      </c>
      <c r="Q936" s="29" t="str">
        <f t="shared" si="327"/>
        <v>NA</v>
      </c>
      <c r="R936" s="29" t="str">
        <f t="shared" si="328"/>
        <v>NA</v>
      </c>
      <c r="S936" s="29" t="str">
        <f t="shared" si="329"/>
        <v>NA</v>
      </c>
      <c r="T936" s="29" t="str">
        <f t="shared" si="330"/>
        <v>NA</v>
      </c>
      <c r="U936" s="29" t="str">
        <f t="shared" si="331"/>
        <v>NA</v>
      </c>
      <c r="V936" s="29" t="str">
        <f t="shared" si="332"/>
        <v>NA</v>
      </c>
      <c r="W936" s="29" t="str">
        <f t="shared" si="333"/>
        <v>NA</v>
      </c>
      <c r="X936" s="29" t="str">
        <f t="shared" si="334"/>
        <v>NA</v>
      </c>
      <c r="Y936" s="29" t="str">
        <f t="shared" si="335"/>
        <v>NA</v>
      </c>
      <c r="Z936" s="29" t="str">
        <f t="shared" si="336"/>
        <v>NA</v>
      </c>
      <c r="AA936" s="29" t="str">
        <f t="shared" si="337"/>
        <v>NA</v>
      </c>
      <c r="AB936" s="29" t="str">
        <f t="shared" si="338"/>
        <v>NA</v>
      </c>
      <c r="AC936" s="29" t="str">
        <f t="shared" si="339"/>
        <v>NA</v>
      </c>
      <c r="AD936" s="29" t="str">
        <f t="shared" si="340"/>
        <v>NA</v>
      </c>
      <c r="AE936" s="29" t="str">
        <f t="shared" si="341"/>
        <v>NA</v>
      </c>
      <c r="AF936" s="29" t="str">
        <f t="shared" si="342"/>
        <v>NA</v>
      </c>
      <c r="AG936" s="29" t="str">
        <f t="shared" si="343"/>
        <v>NA</v>
      </c>
      <c r="AH936" s="29" t="str">
        <f t="shared" si="344"/>
        <v>NA</v>
      </c>
    </row>
    <row r="937" customHeight="1" spans="1:34">
      <c r="A937" s="12" t="s">
        <v>1043</v>
      </c>
      <c r="F937" s="24">
        <f t="shared" si="326"/>
        <v>0</v>
      </c>
      <c r="G937" s="24" t="e">
        <f t="shared" si="325"/>
        <v>#DIV/0!</v>
      </c>
      <c r="Q937" s="29" t="str">
        <f t="shared" si="327"/>
        <v>NA</v>
      </c>
      <c r="R937" s="29" t="str">
        <f t="shared" si="328"/>
        <v>NA</v>
      </c>
      <c r="S937" s="29" t="str">
        <f t="shared" si="329"/>
        <v>NA</v>
      </c>
      <c r="T937" s="29" t="str">
        <f t="shared" si="330"/>
        <v>NA</v>
      </c>
      <c r="U937" s="29" t="str">
        <f t="shared" si="331"/>
        <v>NA</v>
      </c>
      <c r="V937" s="29" t="str">
        <f t="shared" si="332"/>
        <v>NA</v>
      </c>
      <c r="W937" s="29" t="str">
        <f t="shared" si="333"/>
        <v>NA</v>
      </c>
      <c r="X937" s="29" t="str">
        <f t="shared" si="334"/>
        <v>NA</v>
      </c>
      <c r="Y937" s="29" t="str">
        <f t="shared" si="335"/>
        <v>NA</v>
      </c>
      <c r="Z937" s="29" t="str">
        <f t="shared" si="336"/>
        <v>NA</v>
      </c>
      <c r="AA937" s="29" t="str">
        <f t="shared" si="337"/>
        <v>NA</v>
      </c>
      <c r="AB937" s="29" t="str">
        <f t="shared" si="338"/>
        <v>NA</v>
      </c>
      <c r="AC937" s="29" t="str">
        <f t="shared" si="339"/>
        <v>NA</v>
      </c>
      <c r="AD937" s="29" t="str">
        <f t="shared" si="340"/>
        <v>NA</v>
      </c>
      <c r="AE937" s="29" t="str">
        <f t="shared" si="341"/>
        <v>NA</v>
      </c>
      <c r="AF937" s="29" t="str">
        <f t="shared" si="342"/>
        <v>NA</v>
      </c>
      <c r="AG937" s="29" t="str">
        <f t="shared" si="343"/>
        <v>NA</v>
      </c>
      <c r="AH937" s="29" t="str">
        <f t="shared" si="344"/>
        <v>NA</v>
      </c>
    </row>
    <row r="938" customHeight="1" spans="1:34">
      <c r="A938" s="12" t="s">
        <v>1043</v>
      </c>
      <c r="F938" s="24">
        <f t="shared" si="326"/>
        <v>0</v>
      </c>
      <c r="G938" s="24" t="e">
        <f t="shared" si="325"/>
        <v>#DIV/0!</v>
      </c>
      <c r="Q938" s="29" t="str">
        <f t="shared" si="327"/>
        <v>NA</v>
      </c>
      <c r="R938" s="29" t="str">
        <f t="shared" si="328"/>
        <v>NA</v>
      </c>
      <c r="S938" s="29" t="str">
        <f t="shared" si="329"/>
        <v>NA</v>
      </c>
      <c r="T938" s="29" t="str">
        <f t="shared" si="330"/>
        <v>NA</v>
      </c>
      <c r="U938" s="29" t="str">
        <f t="shared" si="331"/>
        <v>NA</v>
      </c>
      <c r="V938" s="29" t="str">
        <f t="shared" si="332"/>
        <v>NA</v>
      </c>
      <c r="W938" s="29" t="str">
        <f t="shared" si="333"/>
        <v>NA</v>
      </c>
      <c r="X938" s="29" t="str">
        <f t="shared" si="334"/>
        <v>NA</v>
      </c>
      <c r="Y938" s="29" t="str">
        <f t="shared" si="335"/>
        <v>NA</v>
      </c>
      <c r="Z938" s="29" t="str">
        <f t="shared" si="336"/>
        <v>NA</v>
      </c>
      <c r="AA938" s="29" t="str">
        <f t="shared" si="337"/>
        <v>NA</v>
      </c>
      <c r="AB938" s="29" t="str">
        <f t="shared" si="338"/>
        <v>NA</v>
      </c>
      <c r="AC938" s="29" t="str">
        <f t="shared" si="339"/>
        <v>NA</v>
      </c>
      <c r="AD938" s="29" t="str">
        <f t="shared" si="340"/>
        <v>NA</v>
      </c>
      <c r="AE938" s="29" t="str">
        <f t="shared" si="341"/>
        <v>NA</v>
      </c>
      <c r="AF938" s="29" t="str">
        <f t="shared" si="342"/>
        <v>NA</v>
      </c>
      <c r="AG938" s="29" t="str">
        <f t="shared" si="343"/>
        <v>NA</v>
      </c>
      <c r="AH938" s="29" t="str">
        <f t="shared" si="344"/>
        <v>NA</v>
      </c>
    </row>
    <row r="939" customHeight="1" spans="1:34">
      <c r="A939" s="12" t="s">
        <v>1043</v>
      </c>
      <c r="F939" s="24">
        <f t="shared" si="326"/>
        <v>0</v>
      </c>
      <c r="G939" s="24" t="e">
        <f t="shared" si="325"/>
        <v>#DIV/0!</v>
      </c>
      <c r="Q939" s="29" t="str">
        <f t="shared" si="327"/>
        <v>NA</v>
      </c>
      <c r="R939" s="29" t="str">
        <f t="shared" si="328"/>
        <v>NA</v>
      </c>
      <c r="S939" s="29" t="str">
        <f t="shared" si="329"/>
        <v>NA</v>
      </c>
      <c r="T939" s="29" t="str">
        <f t="shared" si="330"/>
        <v>NA</v>
      </c>
      <c r="U939" s="29" t="str">
        <f t="shared" si="331"/>
        <v>NA</v>
      </c>
      <c r="V939" s="29" t="str">
        <f t="shared" si="332"/>
        <v>NA</v>
      </c>
      <c r="W939" s="29" t="str">
        <f t="shared" si="333"/>
        <v>NA</v>
      </c>
      <c r="X939" s="29" t="str">
        <f t="shared" si="334"/>
        <v>NA</v>
      </c>
      <c r="Y939" s="29" t="str">
        <f t="shared" si="335"/>
        <v>NA</v>
      </c>
      <c r="Z939" s="29" t="str">
        <f t="shared" si="336"/>
        <v>NA</v>
      </c>
      <c r="AA939" s="29" t="str">
        <f t="shared" si="337"/>
        <v>NA</v>
      </c>
      <c r="AB939" s="29" t="str">
        <f t="shared" si="338"/>
        <v>NA</v>
      </c>
      <c r="AC939" s="29" t="str">
        <f t="shared" si="339"/>
        <v>NA</v>
      </c>
      <c r="AD939" s="29" t="str">
        <f t="shared" si="340"/>
        <v>NA</v>
      </c>
      <c r="AE939" s="29" t="str">
        <f t="shared" si="341"/>
        <v>NA</v>
      </c>
      <c r="AF939" s="29" t="str">
        <f t="shared" si="342"/>
        <v>NA</v>
      </c>
      <c r="AG939" s="29" t="str">
        <f t="shared" si="343"/>
        <v>NA</v>
      </c>
      <c r="AH939" s="29" t="str">
        <f t="shared" si="344"/>
        <v>NA</v>
      </c>
    </row>
    <row r="940" customHeight="1" spans="1:34">
      <c r="A940" s="12" t="s">
        <v>1043</v>
      </c>
      <c r="F940" s="24">
        <f t="shared" si="326"/>
        <v>0</v>
      </c>
      <c r="G940" s="24" t="e">
        <f t="shared" si="325"/>
        <v>#DIV/0!</v>
      </c>
      <c r="Q940" s="29" t="str">
        <f t="shared" si="327"/>
        <v>NA</v>
      </c>
      <c r="R940" s="29" t="str">
        <f t="shared" si="328"/>
        <v>NA</v>
      </c>
      <c r="S940" s="29" t="str">
        <f t="shared" si="329"/>
        <v>NA</v>
      </c>
      <c r="T940" s="29" t="str">
        <f t="shared" si="330"/>
        <v>NA</v>
      </c>
      <c r="U940" s="29" t="str">
        <f t="shared" si="331"/>
        <v>NA</v>
      </c>
      <c r="V940" s="29" t="str">
        <f t="shared" si="332"/>
        <v>NA</v>
      </c>
      <c r="W940" s="29" t="str">
        <f t="shared" si="333"/>
        <v>NA</v>
      </c>
      <c r="X940" s="29" t="str">
        <f t="shared" si="334"/>
        <v>NA</v>
      </c>
      <c r="Y940" s="29" t="str">
        <f t="shared" si="335"/>
        <v>NA</v>
      </c>
      <c r="Z940" s="29" t="str">
        <f t="shared" si="336"/>
        <v>NA</v>
      </c>
      <c r="AA940" s="29" t="str">
        <f t="shared" si="337"/>
        <v>NA</v>
      </c>
      <c r="AB940" s="29" t="str">
        <f t="shared" si="338"/>
        <v>NA</v>
      </c>
      <c r="AC940" s="29" t="str">
        <f t="shared" si="339"/>
        <v>NA</v>
      </c>
      <c r="AD940" s="29" t="str">
        <f t="shared" si="340"/>
        <v>NA</v>
      </c>
      <c r="AE940" s="29" t="str">
        <f t="shared" si="341"/>
        <v>NA</v>
      </c>
      <c r="AF940" s="29" t="str">
        <f t="shared" si="342"/>
        <v>NA</v>
      </c>
      <c r="AG940" s="29" t="str">
        <f t="shared" si="343"/>
        <v>NA</v>
      </c>
      <c r="AH940" s="29" t="str">
        <f t="shared" si="344"/>
        <v>NA</v>
      </c>
    </row>
    <row r="941" customHeight="1" spans="1:34">
      <c r="A941" s="12" t="s">
        <v>1043</v>
      </c>
      <c r="F941" s="24">
        <f t="shared" si="326"/>
        <v>0</v>
      </c>
      <c r="G941" s="24" t="e">
        <f t="shared" si="325"/>
        <v>#DIV/0!</v>
      </c>
      <c r="Q941" s="29" t="str">
        <f t="shared" si="327"/>
        <v>NA</v>
      </c>
      <c r="R941" s="29" t="str">
        <f t="shared" si="328"/>
        <v>NA</v>
      </c>
      <c r="S941" s="29" t="str">
        <f t="shared" si="329"/>
        <v>NA</v>
      </c>
      <c r="T941" s="29" t="str">
        <f t="shared" si="330"/>
        <v>NA</v>
      </c>
      <c r="U941" s="29" t="str">
        <f t="shared" si="331"/>
        <v>NA</v>
      </c>
      <c r="V941" s="29" t="str">
        <f t="shared" si="332"/>
        <v>NA</v>
      </c>
      <c r="W941" s="29" t="str">
        <f t="shared" si="333"/>
        <v>NA</v>
      </c>
      <c r="X941" s="29" t="str">
        <f t="shared" si="334"/>
        <v>NA</v>
      </c>
      <c r="Y941" s="29" t="str">
        <f t="shared" si="335"/>
        <v>NA</v>
      </c>
      <c r="Z941" s="29" t="str">
        <f t="shared" si="336"/>
        <v>NA</v>
      </c>
      <c r="AA941" s="29" t="str">
        <f t="shared" si="337"/>
        <v>NA</v>
      </c>
      <c r="AB941" s="29" t="str">
        <f t="shared" si="338"/>
        <v>NA</v>
      </c>
      <c r="AC941" s="29" t="str">
        <f t="shared" si="339"/>
        <v>NA</v>
      </c>
      <c r="AD941" s="29" t="str">
        <f t="shared" si="340"/>
        <v>NA</v>
      </c>
      <c r="AE941" s="29" t="str">
        <f t="shared" si="341"/>
        <v>NA</v>
      </c>
      <c r="AF941" s="29" t="str">
        <f t="shared" si="342"/>
        <v>NA</v>
      </c>
      <c r="AG941" s="29" t="str">
        <f t="shared" si="343"/>
        <v>NA</v>
      </c>
      <c r="AH941" s="29" t="str">
        <f t="shared" si="344"/>
        <v>NA</v>
      </c>
    </row>
    <row r="942" customHeight="1" spans="1:34">
      <c r="A942" s="12" t="s">
        <v>1043</v>
      </c>
      <c r="F942" s="24">
        <f t="shared" si="326"/>
        <v>0</v>
      </c>
      <c r="G942" s="24" t="e">
        <f t="shared" si="325"/>
        <v>#DIV/0!</v>
      </c>
      <c r="Q942" s="29" t="str">
        <f t="shared" si="327"/>
        <v>NA</v>
      </c>
      <c r="R942" s="29" t="str">
        <f t="shared" si="328"/>
        <v>NA</v>
      </c>
      <c r="S942" s="29" t="str">
        <f t="shared" si="329"/>
        <v>NA</v>
      </c>
      <c r="T942" s="29" t="str">
        <f t="shared" si="330"/>
        <v>NA</v>
      </c>
      <c r="U942" s="29" t="str">
        <f t="shared" si="331"/>
        <v>NA</v>
      </c>
      <c r="V942" s="29" t="str">
        <f t="shared" si="332"/>
        <v>NA</v>
      </c>
      <c r="W942" s="29" t="str">
        <f t="shared" si="333"/>
        <v>NA</v>
      </c>
      <c r="X942" s="29" t="str">
        <f t="shared" si="334"/>
        <v>NA</v>
      </c>
      <c r="Y942" s="29" t="str">
        <f t="shared" si="335"/>
        <v>NA</v>
      </c>
      <c r="Z942" s="29" t="str">
        <f t="shared" si="336"/>
        <v>NA</v>
      </c>
      <c r="AA942" s="29" t="str">
        <f t="shared" si="337"/>
        <v>NA</v>
      </c>
      <c r="AB942" s="29" t="str">
        <f t="shared" si="338"/>
        <v>NA</v>
      </c>
      <c r="AC942" s="29" t="str">
        <f t="shared" si="339"/>
        <v>NA</v>
      </c>
      <c r="AD942" s="29" t="str">
        <f t="shared" si="340"/>
        <v>NA</v>
      </c>
      <c r="AE942" s="29" t="str">
        <f t="shared" si="341"/>
        <v>NA</v>
      </c>
      <c r="AF942" s="29" t="str">
        <f t="shared" si="342"/>
        <v>NA</v>
      </c>
      <c r="AG942" s="29" t="str">
        <f t="shared" si="343"/>
        <v>NA</v>
      </c>
      <c r="AH942" s="29" t="str">
        <f t="shared" si="344"/>
        <v>NA</v>
      </c>
    </row>
    <row r="943" customHeight="1" spans="1:34">
      <c r="A943" s="12" t="s">
        <v>1043</v>
      </c>
      <c r="F943" s="24">
        <f t="shared" si="326"/>
        <v>0</v>
      </c>
      <c r="G943" s="24" t="e">
        <f t="shared" si="325"/>
        <v>#DIV/0!</v>
      </c>
      <c r="Q943" s="29" t="str">
        <f t="shared" si="327"/>
        <v>NA</v>
      </c>
      <c r="R943" s="29" t="str">
        <f t="shared" si="328"/>
        <v>NA</v>
      </c>
      <c r="S943" s="29" t="str">
        <f t="shared" si="329"/>
        <v>NA</v>
      </c>
      <c r="T943" s="29" t="str">
        <f t="shared" si="330"/>
        <v>NA</v>
      </c>
      <c r="U943" s="29" t="str">
        <f t="shared" si="331"/>
        <v>NA</v>
      </c>
      <c r="V943" s="29" t="str">
        <f t="shared" si="332"/>
        <v>NA</v>
      </c>
      <c r="W943" s="29" t="str">
        <f t="shared" si="333"/>
        <v>NA</v>
      </c>
      <c r="X943" s="29" t="str">
        <f t="shared" si="334"/>
        <v>NA</v>
      </c>
      <c r="Y943" s="29" t="str">
        <f t="shared" si="335"/>
        <v>NA</v>
      </c>
      <c r="Z943" s="29" t="str">
        <f t="shared" si="336"/>
        <v>NA</v>
      </c>
      <c r="AA943" s="29" t="str">
        <f t="shared" si="337"/>
        <v>NA</v>
      </c>
      <c r="AB943" s="29" t="str">
        <f t="shared" si="338"/>
        <v>NA</v>
      </c>
      <c r="AC943" s="29" t="str">
        <f t="shared" si="339"/>
        <v>NA</v>
      </c>
      <c r="AD943" s="29" t="str">
        <f t="shared" si="340"/>
        <v>NA</v>
      </c>
      <c r="AE943" s="29" t="str">
        <f t="shared" si="341"/>
        <v>NA</v>
      </c>
      <c r="AF943" s="29" t="str">
        <f t="shared" si="342"/>
        <v>NA</v>
      </c>
      <c r="AG943" s="29" t="str">
        <f t="shared" si="343"/>
        <v>NA</v>
      </c>
      <c r="AH943" s="29" t="str">
        <f t="shared" si="344"/>
        <v>NA</v>
      </c>
    </row>
    <row r="944" customHeight="1" spans="1:34">
      <c r="A944" s="12" t="s">
        <v>1043</v>
      </c>
      <c r="F944" s="24">
        <f t="shared" si="326"/>
        <v>0</v>
      </c>
      <c r="G944" s="24" t="e">
        <f t="shared" si="325"/>
        <v>#DIV/0!</v>
      </c>
      <c r="Q944" s="29" t="str">
        <f t="shared" si="327"/>
        <v>NA</v>
      </c>
      <c r="R944" s="29" t="str">
        <f t="shared" si="328"/>
        <v>NA</v>
      </c>
      <c r="S944" s="29" t="str">
        <f t="shared" si="329"/>
        <v>NA</v>
      </c>
      <c r="T944" s="29" t="str">
        <f t="shared" si="330"/>
        <v>NA</v>
      </c>
      <c r="U944" s="29" t="str">
        <f t="shared" si="331"/>
        <v>NA</v>
      </c>
      <c r="V944" s="29" t="str">
        <f t="shared" si="332"/>
        <v>NA</v>
      </c>
      <c r="W944" s="29" t="str">
        <f t="shared" si="333"/>
        <v>NA</v>
      </c>
      <c r="X944" s="29" t="str">
        <f t="shared" si="334"/>
        <v>NA</v>
      </c>
      <c r="Y944" s="29" t="str">
        <f t="shared" si="335"/>
        <v>NA</v>
      </c>
      <c r="Z944" s="29" t="str">
        <f t="shared" si="336"/>
        <v>NA</v>
      </c>
      <c r="AA944" s="29" t="str">
        <f t="shared" si="337"/>
        <v>NA</v>
      </c>
      <c r="AB944" s="29" t="str">
        <f t="shared" si="338"/>
        <v>NA</v>
      </c>
      <c r="AC944" s="29" t="str">
        <f t="shared" si="339"/>
        <v>NA</v>
      </c>
      <c r="AD944" s="29" t="str">
        <f t="shared" si="340"/>
        <v>NA</v>
      </c>
      <c r="AE944" s="29" t="str">
        <f t="shared" si="341"/>
        <v>NA</v>
      </c>
      <c r="AF944" s="29" t="str">
        <f t="shared" si="342"/>
        <v>NA</v>
      </c>
      <c r="AG944" s="29" t="str">
        <f t="shared" si="343"/>
        <v>NA</v>
      </c>
      <c r="AH944" s="29" t="str">
        <f t="shared" si="344"/>
        <v>NA</v>
      </c>
    </row>
    <row r="945" customHeight="1" spans="1:34">
      <c r="A945" s="12" t="s">
        <v>1043</v>
      </c>
      <c r="F945" s="24">
        <f t="shared" si="326"/>
        <v>0</v>
      </c>
      <c r="G945" s="24" t="e">
        <f t="shared" si="325"/>
        <v>#DIV/0!</v>
      </c>
      <c r="Q945" s="29" t="str">
        <f t="shared" si="327"/>
        <v>NA</v>
      </c>
      <c r="R945" s="29" t="str">
        <f t="shared" si="328"/>
        <v>NA</v>
      </c>
      <c r="S945" s="29" t="str">
        <f t="shared" si="329"/>
        <v>NA</v>
      </c>
      <c r="T945" s="29" t="str">
        <f t="shared" si="330"/>
        <v>NA</v>
      </c>
      <c r="U945" s="29" t="str">
        <f t="shared" si="331"/>
        <v>NA</v>
      </c>
      <c r="V945" s="29" t="str">
        <f t="shared" si="332"/>
        <v>NA</v>
      </c>
      <c r="W945" s="29" t="str">
        <f t="shared" si="333"/>
        <v>NA</v>
      </c>
      <c r="X945" s="29" t="str">
        <f t="shared" si="334"/>
        <v>NA</v>
      </c>
      <c r="Y945" s="29" t="str">
        <f t="shared" si="335"/>
        <v>NA</v>
      </c>
      <c r="Z945" s="29" t="str">
        <f t="shared" si="336"/>
        <v>NA</v>
      </c>
      <c r="AA945" s="29" t="str">
        <f t="shared" si="337"/>
        <v>NA</v>
      </c>
      <c r="AB945" s="29" t="str">
        <f t="shared" si="338"/>
        <v>NA</v>
      </c>
      <c r="AC945" s="29" t="str">
        <f t="shared" si="339"/>
        <v>NA</v>
      </c>
      <c r="AD945" s="29" t="str">
        <f t="shared" si="340"/>
        <v>NA</v>
      </c>
      <c r="AE945" s="29" t="str">
        <f t="shared" si="341"/>
        <v>NA</v>
      </c>
      <c r="AF945" s="29" t="str">
        <f t="shared" si="342"/>
        <v>NA</v>
      </c>
      <c r="AG945" s="29" t="str">
        <f t="shared" si="343"/>
        <v>NA</v>
      </c>
      <c r="AH945" s="29" t="str">
        <f t="shared" si="344"/>
        <v>NA</v>
      </c>
    </row>
    <row r="946" customHeight="1" spans="1:34">
      <c r="A946" s="12" t="s">
        <v>1043</v>
      </c>
      <c r="F946" s="24">
        <f t="shared" si="326"/>
        <v>0</v>
      </c>
      <c r="G946" s="24" t="e">
        <f t="shared" si="325"/>
        <v>#DIV/0!</v>
      </c>
      <c r="Q946" s="29" t="str">
        <f t="shared" si="327"/>
        <v>NA</v>
      </c>
      <c r="R946" s="29" t="str">
        <f t="shared" si="328"/>
        <v>NA</v>
      </c>
      <c r="S946" s="29" t="str">
        <f t="shared" si="329"/>
        <v>NA</v>
      </c>
      <c r="T946" s="29" t="str">
        <f t="shared" si="330"/>
        <v>NA</v>
      </c>
      <c r="U946" s="29" t="str">
        <f t="shared" si="331"/>
        <v>NA</v>
      </c>
      <c r="V946" s="29" t="str">
        <f t="shared" si="332"/>
        <v>NA</v>
      </c>
      <c r="W946" s="29" t="str">
        <f t="shared" si="333"/>
        <v>NA</v>
      </c>
      <c r="X946" s="29" t="str">
        <f t="shared" si="334"/>
        <v>NA</v>
      </c>
      <c r="Y946" s="29" t="str">
        <f t="shared" si="335"/>
        <v>NA</v>
      </c>
      <c r="Z946" s="29" t="str">
        <f t="shared" si="336"/>
        <v>NA</v>
      </c>
      <c r="AA946" s="29" t="str">
        <f t="shared" si="337"/>
        <v>NA</v>
      </c>
      <c r="AB946" s="29" t="str">
        <f t="shared" si="338"/>
        <v>NA</v>
      </c>
      <c r="AC946" s="29" t="str">
        <f t="shared" si="339"/>
        <v>NA</v>
      </c>
      <c r="AD946" s="29" t="str">
        <f t="shared" si="340"/>
        <v>NA</v>
      </c>
      <c r="AE946" s="29" t="str">
        <f t="shared" si="341"/>
        <v>NA</v>
      </c>
      <c r="AF946" s="29" t="str">
        <f t="shared" si="342"/>
        <v>NA</v>
      </c>
      <c r="AG946" s="29" t="str">
        <f t="shared" si="343"/>
        <v>NA</v>
      </c>
      <c r="AH946" s="29" t="str">
        <f t="shared" si="344"/>
        <v>NA</v>
      </c>
    </row>
    <row r="947" customHeight="1" spans="1:34">
      <c r="A947" s="12" t="s">
        <v>1043</v>
      </c>
      <c r="F947" s="24">
        <f t="shared" si="326"/>
        <v>0</v>
      </c>
      <c r="G947" s="24" t="e">
        <f t="shared" si="325"/>
        <v>#DIV/0!</v>
      </c>
      <c r="Q947" s="29" t="str">
        <f t="shared" si="327"/>
        <v>NA</v>
      </c>
      <c r="R947" s="29" t="str">
        <f t="shared" si="328"/>
        <v>NA</v>
      </c>
      <c r="S947" s="29" t="str">
        <f t="shared" si="329"/>
        <v>NA</v>
      </c>
      <c r="T947" s="29" t="str">
        <f t="shared" si="330"/>
        <v>NA</v>
      </c>
      <c r="U947" s="29" t="str">
        <f t="shared" si="331"/>
        <v>NA</v>
      </c>
      <c r="V947" s="29" t="str">
        <f t="shared" si="332"/>
        <v>NA</v>
      </c>
      <c r="W947" s="29" t="str">
        <f t="shared" si="333"/>
        <v>NA</v>
      </c>
      <c r="X947" s="29" t="str">
        <f t="shared" si="334"/>
        <v>NA</v>
      </c>
      <c r="Y947" s="29" t="str">
        <f t="shared" si="335"/>
        <v>NA</v>
      </c>
      <c r="Z947" s="29" t="str">
        <f t="shared" si="336"/>
        <v>NA</v>
      </c>
      <c r="AA947" s="29" t="str">
        <f t="shared" si="337"/>
        <v>NA</v>
      </c>
      <c r="AB947" s="29" t="str">
        <f t="shared" si="338"/>
        <v>NA</v>
      </c>
      <c r="AC947" s="29" t="str">
        <f t="shared" si="339"/>
        <v>NA</v>
      </c>
      <c r="AD947" s="29" t="str">
        <f t="shared" si="340"/>
        <v>NA</v>
      </c>
      <c r="AE947" s="29" t="str">
        <f t="shared" si="341"/>
        <v>NA</v>
      </c>
      <c r="AF947" s="29" t="str">
        <f t="shared" si="342"/>
        <v>NA</v>
      </c>
      <c r="AG947" s="29" t="str">
        <f t="shared" si="343"/>
        <v>NA</v>
      </c>
      <c r="AH947" s="29" t="str">
        <f t="shared" si="344"/>
        <v>NA</v>
      </c>
    </row>
    <row r="948" customHeight="1" spans="1:34">
      <c r="A948" s="12" t="s">
        <v>1043</v>
      </c>
      <c r="F948" s="24">
        <f t="shared" si="326"/>
        <v>0</v>
      </c>
      <c r="G948" s="24" t="e">
        <f t="shared" si="325"/>
        <v>#DIV/0!</v>
      </c>
      <c r="Q948" s="29" t="str">
        <f t="shared" si="327"/>
        <v>NA</v>
      </c>
      <c r="R948" s="29" t="str">
        <f t="shared" si="328"/>
        <v>NA</v>
      </c>
      <c r="S948" s="29" t="str">
        <f t="shared" si="329"/>
        <v>NA</v>
      </c>
      <c r="T948" s="29" t="str">
        <f t="shared" si="330"/>
        <v>NA</v>
      </c>
      <c r="U948" s="29" t="str">
        <f t="shared" si="331"/>
        <v>NA</v>
      </c>
      <c r="V948" s="29" t="str">
        <f t="shared" si="332"/>
        <v>NA</v>
      </c>
      <c r="W948" s="29" t="str">
        <f t="shared" si="333"/>
        <v>NA</v>
      </c>
      <c r="X948" s="29" t="str">
        <f t="shared" si="334"/>
        <v>NA</v>
      </c>
      <c r="Y948" s="29" t="str">
        <f t="shared" si="335"/>
        <v>NA</v>
      </c>
      <c r="Z948" s="29" t="str">
        <f t="shared" si="336"/>
        <v>NA</v>
      </c>
      <c r="AA948" s="29" t="str">
        <f t="shared" si="337"/>
        <v>NA</v>
      </c>
      <c r="AB948" s="29" t="str">
        <f t="shared" si="338"/>
        <v>NA</v>
      </c>
      <c r="AC948" s="29" t="str">
        <f t="shared" si="339"/>
        <v>NA</v>
      </c>
      <c r="AD948" s="29" t="str">
        <f t="shared" si="340"/>
        <v>NA</v>
      </c>
      <c r="AE948" s="29" t="str">
        <f t="shared" si="341"/>
        <v>NA</v>
      </c>
      <c r="AF948" s="29" t="str">
        <f t="shared" si="342"/>
        <v>NA</v>
      </c>
      <c r="AG948" s="29" t="str">
        <f t="shared" si="343"/>
        <v>NA</v>
      </c>
      <c r="AH948" s="29" t="str">
        <f t="shared" si="344"/>
        <v>NA</v>
      </c>
    </row>
    <row r="949" customHeight="1" spans="1:34">
      <c r="A949" s="12" t="s">
        <v>1043</v>
      </c>
      <c r="F949" s="24">
        <f t="shared" si="326"/>
        <v>0</v>
      </c>
      <c r="G949" s="24" t="e">
        <f t="shared" si="325"/>
        <v>#DIV/0!</v>
      </c>
      <c r="Q949" s="29" t="str">
        <f t="shared" si="327"/>
        <v>NA</v>
      </c>
      <c r="R949" s="29" t="str">
        <f t="shared" si="328"/>
        <v>NA</v>
      </c>
      <c r="S949" s="29" t="str">
        <f t="shared" si="329"/>
        <v>NA</v>
      </c>
      <c r="T949" s="29" t="str">
        <f t="shared" si="330"/>
        <v>NA</v>
      </c>
      <c r="U949" s="29" t="str">
        <f t="shared" si="331"/>
        <v>NA</v>
      </c>
      <c r="V949" s="29" t="str">
        <f t="shared" si="332"/>
        <v>NA</v>
      </c>
      <c r="W949" s="29" t="str">
        <f t="shared" si="333"/>
        <v>NA</v>
      </c>
      <c r="X949" s="29" t="str">
        <f t="shared" si="334"/>
        <v>NA</v>
      </c>
      <c r="Y949" s="29" t="str">
        <f t="shared" si="335"/>
        <v>NA</v>
      </c>
      <c r="Z949" s="29" t="str">
        <f t="shared" si="336"/>
        <v>NA</v>
      </c>
      <c r="AA949" s="29" t="str">
        <f t="shared" si="337"/>
        <v>NA</v>
      </c>
      <c r="AB949" s="29" t="str">
        <f t="shared" si="338"/>
        <v>NA</v>
      </c>
      <c r="AC949" s="29" t="str">
        <f t="shared" si="339"/>
        <v>NA</v>
      </c>
      <c r="AD949" s="29" t="str">
        <f t="shared" si="340"/>
        <v>NA</v>
      </c>
      <c r="AE949" s="29" t="str">
        <f t="shared" si="341"/>
        <v>NA</v>
      </c>
      <c r="AF949" s="29" t="str">
        <f t="shared" si="342"/>
        <v>NA</v>
      </c>
      <c r="AG949" s="29" t="str">
        <f t="shared" si="343"/>
        <v>NA</v>
      </c>
      <c r="AH949" s="29" t="str">
        <f t="shared" si="344"/>
        <v>NA</v>
      </c>
    </row>
    <row r="950" customHeight="1" spans="1:34">
      <c r="A950" s="12" t="s">
        <v>1043</v>
      </c>
      <c r="F950" s="24">
        <f t="shared" si="326"/>
        <v>0</v>
      </c>
      <c r="G950" s="24" t="e">
        <f t="shared" si="325"/>
        <v>#DIV/0!</v>
      </c>
      <c r="Q950" s="29" t="str">
        <f t="shared" si="327"/>
        <v>NA</v>
      </c>
      <c r="R950" s="29" t="str">
        <f t="shared" si="328"/>
        <v>NA</v>
      </c>
      <c r="S950" s="29" t="str">
        <f t="shared" si="329"/>
        <v>NA</v>
      </c>
      <c r="T950" s="29" t="str">
        <f t="shared" si="330"/>
        <v>NA</v>
      </c>
      <c r="U950" s="29" t="str">
        <f t="shared" si="331"/>
        <v>NA</v>
      </c>
      <c r="V950" s="29" t="str">
        <f t="shared" si="332"/>
        <v>NA</v>
      </c>
      <c r="W950" s="29" t="str">
        <f t="shared" si="333"/>
        <v>NA</v>
      </c>
      <c r="X950" s="29" t="str">
        <f t="shared" si="334"/>
        <v>NA</v>
      </c>
      <c r="Y950" s="29" t="str">
        <f t="shared" si="335"/>
        <v>NA</v>
      </c>
      <c r="Z950" s="29" t="str">
        <f t="shared" si="336"/>
        <v>NA</v>
      </c>
      <c r="AA950" s="29" t="str">
        <f t="shared" si="337"/>
        <v>NA</v>
      </c>
      <c r="AB950" s="29" t="str">
        <f t="shared" si="338"/>
        <v>NA</v>
      </c>
      <c r="AC950" s="29" t="str">
        <f t="shared" si="339"/>
        <v>NA</v>
      </c>
      <c r="AD950" s="29" t="str">
        <f t="shared" si="340"/>
        <v>NA</v>
      </c>
      <c r="AE950" s="29" t="str">
        <f t="shared" si="341"/>
        <v>NA</v>
      </c>
      <c r="AF950" s="29" t="str">
        <f t="shared" si="342"/>
        <v>NA</v>
      </c>
      <c r="AG950" s="29" t="str">
        <f t="shared" si="343"/>
        <v>NA</v>
      </c>
      <c r="AH950" s="29" t="str">
        <f t="shared" si="344"/>
        <v>NA</v>
      </c>
    </row>
    <row r="951" customHeight="1" spans="1:34">
      <c r="A951" s="12" t="s">
        <v>1043</v>
      </c>
      <c r="F951" s="24">
        <f t="shared" si="326"/>
        <v>0</v>
      </c>
      <c r="G951" s="24" t="e">
        <f t="shared" si="325"/>
        <v>#DIV/0!</v>
      </c>
      <c r="Q951" s="29" t="str">
        <f t="shared" si="327"/>
        <v>NA</v>
      </c>
      <c r="R951" s="29" t="str">
        <f t="shared" si="328"/>
        <v>NA</v>
      </c>
      <c r="S951" s="29" t="str">
        <f t="shared" si="329"/>
        <v>NA</v>
      </c>
      <c r="T951" s="29" t="str">
        <f t="shared" si="330"/>
        <v>NA</v>
      </c>
      <c r="U951" s="29" t="str">
        <f t="shared" si="331"/>
        <v>NA</v>
      </c>
      <c r="V951" s="29" t="str">
        <f t="shared" si="332"/>
        <v>NA</v>
      </c>
      <c r="W951" s="29" t="str">
        <f t="shared" si="333"/>
        <v>NA</v>
      </c>
      <c r="X951" s="29" t="str">
        <f t="shared" si="334"/>
        <v>NA</v>
      </c>
      <c r="Y951" s="29" t="str">
        <f t="shared" si="335"/>
        <v>NA</v>
      </c>
      <c r="Z951" s="29" t="str">
        <f t="shared" si="336"/>
        <v>NA</v>
      </c>
      <c r="AA951" s="29" t="str">
        <f t="shared" si="337"/>
        <v>NA</v>
      </c>
      <c r="AB951" s="29" t="str">
        <f t="shared" si="338"/>
        <v>NA</v>
      </c>
      <c r="AC951" s="29" t="str">
        <f t="shared" si="339"/>
        <v>NA</v>
      </c>
      <c r="AD951" s="29" t="str">
        <f t="shared" si="340"/>
        <v>NA</v>
      </c>
      <c r="AE951" s="29" t="str">
        <f t="shared" si="341"/>
        <v>NA</v>
      </c>
      <c r="AF951" s="29" t="str">
        <f t="shared" si="342"/>
        <v>NA</v>
      </c>
      <c r="AG951" s="29" t="str">
        <f t="shared" si="343"/>
        <v>NA</v>
      </c>
      <c r="AH951" s="29" t="str">
        <f t="shared" si="344"/>
        <v>NA</v>
      </c>
    </row>
    <row r="952" customHeight="1" spans="1:34">
      <c r="A952" s="12" t="s">
        <v>1043</v>
      </c>
      <c r="F952" s="24">
        <f t="shared" si="326"/>
        <v>0</v>
      </c>
      <c r="G952" s="24" t="e">
        <f t="shared" si="325"/>
        <v>#DIV/0!</v>
      </c>
      <c r="Q952" s="29" t="str">
        <f t="shared" si="327"/>
        <v>NA</v>
      </c>
      <c r="R952" s="29" t="str">
        <f t="shared" si="328"/>
        <v>NA</v>
      </c>
      <c r="S952" s="29" t="str">
        <f t="shared" si="329"/>
        <v>NA</v>
      </c>
      <c r="T952" s="29" t="str">
        <f t="shared" si="330"/>
        <v>NA</v>
      </c>
      <c r="U952" s="29" t="str">
        <f t="shared" si="331"/>
        <v>NA</v>
      </c>
      <c r="V952" s="29" t="str">
        <f t="shared" si="332"/>
        <v>NA</v>
      </c>
      <c r="W952" s="29" t="str">
        <f t="shared" si="333"/>
        <v>NA</v>
      </c>
      <c r="X952" s="29" t="str">
        <f t="shared" si="334"/>
        <v>NA</v>
      </c>
      <c r="Y952" s="29" t="str">
        <f t="shared" si="335"/>
        <v>NA</v>
      </c>
      <c r="Z952" s="29" t="str">
        <f t="shared" si="336"/>
        <v>NA</v>
      </c>
      <c r="AA952" s="29" t="str">
        <f t="shared" si="337"/>
        <v>NA</v>
      </c>
      <c r="AB952" s="29" t="str">
        <f t="shared" si="338"/>
        <v>NA</v>
      </c>
      <c r="AC952" s="29" t="str">
        <f t="shared" si="339"/>
        <v>NA</v>
      </c>
      <c r="AD952" s="29" t="str">
        <f t="shared" si="340"/>
        <v>NA</v>
      </c>
      <c r="AE952" s="29" t="str">
        <f t="shared" si="341"/>
        <v>NA</v>
      </c>
      <c r="AF952" s="29" t="str">
        <f t="shared" si="342"/>
        <v>NA</v>
      </c>
      <c r="AG952" s="29" t="str">
        <f t="shared" si="343"/>
        <v>NA</v>
      </c>
      <c r="AH952" s="29" t="str">
        <f t="shared" si="344"/>
        <v>NA</v>
      </c>
    </row>
    <row r="953" customHeight="1" spans="1:34">
      <c r="A953" s="12" t="s">
        <v>1043</v>
      </c>
      <c r="F953" s="24">
        <f t="shared" si="326"/>
        <v>0</v>
      </c>
      <c r="G953" s="24" t="e">
        <f t="shared" si="325"/>
        <v>#DIV/0!</v>
      </c>
      <c r="Q953" s="29" t="str">
        <f t="shared" si="327"/>
        <v>NA</v>
      </c>
      <c r="R953" s="29" t="str">
        <f t="shared" si="328"/>
        <v>NA</v>
      </c>
      <c r="S953" s="29" t="str">
        <f t="shared" si="329"/>
        <v>NA</v>
      </c>
      <c r="T953" s="29" t="str">
        <f t="shared" si="330"/>
        <v>NA</v>
      </c>
      <c r="U953" s="29" t="str">
        <f t="shared" si="331"/>
        <v>NA</v>
      </c>
      <c r="V953" s="29" t="str">
        <f t="shared" si="332"/>
        <v>NA</v>
      </c>
      <c r="W953" s="29" t="str">
        <f t="shared" si="333"/>
        <v>NA</v>
      </c>
      <c r="X953" s="29" t="str">
        <f t="shared" si="334"/>
        <v>NA</v>
      </c>
      <c r="Y953" s="29" t="str">
        <f t="shared" si="335"/>
        <v>NA</v>
      </c>
      <c r="Z953" s="29" t="str">
        <f t="shared" si="336"/>
        <v>NA</v>
      </c>
      <c r="AA953" s="29" t="str">
        <f t="shared" si="337"/>
        <v>NA</v>
      </c>
      <c r="AB953" s="29" t="str">
        <f t="shared" si="338"/>
        <v>NA</v>
      </c>
      <c r="AC953" s="29" t="str">
        <f t="shared" si="339"/>
        <v>NA</v>
      </c>
      <c r="AD953" s="29" t="str">
        <f t="shared" si="340"/>
        <v>NA</v>
      </c>
      <c r="AE953" s="29" t="str">
        <f t="shared" si="341"/>
        <v>NA</v>
      </c>
      <c r="AF953" s="29" t="str">
        <f t="shared" si="342"/>
        <v>NA</v>
      </c>
      <c r="AG953" s="29" t="str">
        <f t="shared" si="343"/>
        <v>NA</v>
      </c>
      <c r="AH953" s="29" t="str">
        <f t="shared" si="344"/>
        <v>NA</v>
      </c>
    </row>
    <row r="954" customHeight="1" spans="1:34">
      <c r="A954" s="12" t="s">
        <v>1043</v>
      </c>
      <c r="F954" s="24">
        <f t="shared" si="326"/>
        <v>0</v>
      </c>
      <c r="G954" s="24" t="e">
        <f t="shared" si="325"/>
        <v>#DIV/0!</v>
      </c>
      <c r="Q954" s="29" t="str">
        <f t="shared" si="327"/>
        <v>NA</v>
      </c>
      <c r="R954" s="29" t="str">
        <f t="shared" si="328"/>
        <v>NA</v>
      </c>
      <c r="S954" s="29" t="str">
        <f t="shared" si="329"/>
        <v>NA</v>
      </c>
      <c r="T954" s="29" t="str">
        <f t="shared" si="330"/>
        <v>NA</v>
      </c>
      <c r="U954" s="29" t="str">
        <f t="shared" si="331"/>
        <v>NA</v>
      </c>
      <c r="V954" s="29" t="str">
        <f t="shared" si="332"/>
        <v>NA</v>
      </c>
      <c r="W954" s="29" t="str">
        <f t="shared" si="333"/>
        <v>NA</v>
      </c>
      <c r="X954" s="29" t="str">
        <f t="shared" si="334"/>
        <v>NA</v>
      </c>
      <c r="Y954" s="29" t="str">
        <f t="shared" si="335"/>
        <v>NA</v>
      </c>
      <c r="Z954" s="29" t="str">
        <f t="shared" si="336"/>
        <v>NA</v>
      </c>
      <c r="AA954" s="29" t="str">
        <f t="shared" si="337"/>
        <v>NA</v>
      </c>
      <c r="AB954" s="29" t="str">
        <f t="shared" si="338"/>
        <v>NA</v>
      </c>
      <c r="AC954" s="29" t="str">
        <f t="shared" si="339"/>
        <v>NA</v>
      </c>
      <c r="AD954" s="29" t="str">
        <f t="shared" si="340"/>
        <v>NA</v>
      </c>
      <c r="AE954" s="29" t="str">
        <f t="shared" si="341"/>
        <v>NA</v>
      </c>
      <c r="AF954" s="29" t="str">
        <f t="shared" si="342"/>
        <v>NA</v>
      </c>
      <c r="AG954" s="29" t="str">
        <f t="shared" si="343"/>
        <v>NA</v>
      </c>
      <c r="AH954" s="29" t="str">
        <f t="shared" si="344"/>
        <v>NA</v>
      </c>
    </row>
    <row r="955" customHeight="1" spans="1:34">
      <c r="A955" s="12" t="s">
        <v>1043</v>
      </c>
      <c r="F955" s="24">
        <f t="shared" si="326"/>
        <v>0</v>
      </c>
      <c r="G955" s="24" t="e">
        <f t="shared" si="325"/>
        <v>#DIV/0!</v>
      </c>
      <c r="Q955" s="29" t="str">
        <f t="shared" si="327"/>
        <v>NA</v>
      </c>
      <c r="R955" s="29" t="str">
        <f t="shared" si="328"/>
        <v>NA</v>
      </c>
      <c r="S955" s="29" t="str">
        <f t="shared" si="329"/>
        <v>NA</v>
      </c>
      <c r="T955" s="29" t="str">
        <f t="shared" si="330"/>
        <v>NA</v>
      </c>
      <c r="U955" s="29" t="str">
        <f t="shared" si="331"/>
        <v>NA</v>
      </c>
      <c r="V955" s="29" t="str">
        <f t="shared" si="332"/>
        <v>NA</v>
      </c>
      <c r="W955" s="29" t="str">
        <f t="shared" si="333"/>
        <v>NA</v>
      </c>
      <c r="X955" s="29" t="str">
        <f t="shared" si="334"/>
        <v>NA</v>
      </c>
      <c r="Y955" s="29" t="str">
        <f t="shared" si="335"/>
        <v>NA</v>
      </c>
      <c r="Z955" s="29" t="str">
        <f t="shared" si="336"/>
        <v>NA</v>
      </c>
      <c r="AA955" s="29" t="str">
        <f t="shared" si="337"/>
        <v>NA</v>
      </c>
      <c r="AB955" s="29" t="str">
        <f t="shared" si="338"/>
        <v>NA</v>
      </c>
      <c r="AC955" s="29" t="str">
        <f t="shared" si="339"/>
        <v>NA</v>
      </c>
      <c r="AD955" s="29" t="str">
        <f t="shared" si="340"/>
        <v>NA</v>
      </c>
      <c r="AE955" s="29" t="str">
        <f t="shared" si="341"/>
        <v>NA</v>
      </c>
      <c r="AF955" s="29" t="str">
        <f t="shared" si="342"/>
        <v>NA</v>
      </c>
      <c r="AG955" s="29" t="str">
        <f t="shared" si="343"/>
        <v>NA</v>
      </c>
      <c r="AH955" s="29" t="str">
        <f t="shared" si="344"/>
        <v>NA</v>
      </c>
    </row>
    <row r="956" customHeight="1" spans="1:34">
      <c r="A956" s="12" t="s">
        <v>1043</v>
      </c>
      <c r="F956" s="24">
        <f t="shared" si="326"/>
        <v>0</v>
      </c>
      <c r="G956" s="24" t="e">
        <f t="shared" si="325"/>
        <v>#DIV/0!</v>
      </c>
      <c r="Q956" s="29" t="str">
        <f t="shared" si="327"/>
        <v>NA</v>
      </c>
      <c r="R956" s="29" t="str">
        <f t="shared" si="328"/>
        <v>NA</v>
      </c>
      <c r="S956" s="29" t="str">
        <f t="shared" si="329"/>
        <v>NA</v>
      </c>
      <c r="T956" s="29" t="str">
        <f t="shared" si="330"/>
        <v>NA</v>
      </c>
      <c r="U956" s="29" t="str">
        <f t="shared" si="331"/>
        <v>NA</v>
      </c>
      <c r="V956" s="29" t="str">
        <f t="shared" si="332"/>
        <v>NA</v>
      </c>
      <c r="W956" s="29" t="str">
        <f t="shared" si="333"/>
        <v>NA</v>
      </c>
      <c r="X956" s="29" t="str">
        <f t="shared" si="334"/>
        <v>NA</v>
      </c>
      <c r="Y956" s="29" t="str">
        <f t="shared" si="335"/>
        <v>NA</v>
      </c>
      <c r="Z956" s="29" t="str">
        <f t="shared" si="336"/>
        <v>NA</v>
      </c>
      <c r="AA956" s="29" t="str">
        <f t="shared" si="337"/>
        <v>NA</v>
      </c>
      <c r="AB956" s="29" t="str">
        <f t="shared" si="338"/>
        <v>NA</v>
      </c>
      <c r="AC956" s="29" t="str">
        <f t="shared" si="339"/>
        <v>NA</v>
      </c>
      <c r="AD956" s="29" t="str">
        <f t="shared" si="340"/>
        <v>NA</v>
      </c>
      <c r="AE956" s="29" t="str">
        <f t="shared" si="341"/>
        <v>NA</v>
      </c>
      <c r="AF956" s="29" t="str">
        <f t="shared" si="342"/>
        <v>NA</v>
      </c>
      <c r="AG956" s="29" t="str">
        <f t="shared" si="343"/>
        <v>NA</v>
      </c>
      <c r="AH956" s="29" t="str">
        <f t="shared" si="344"/>
        <v>NA</v>
      </c>
    </row>
    <row r="957" customHeight="1" spans="1:34">
      <c r="A957" s="12" t="s">
        <v>1043</v>
      </c>
      <c r="F957" s="24">
        <f t="shared" si="326"/>
        <v>0</v>
      </c>
      <c r="G957" s="24" t="e">
        <f t="shared" si="325"/>
        <v>#DIV/0!</v>
      </c>
      <c r="Q957" s="29" t="str">
        <f t="shared" si="327"/>
        <v>NA</v>
      </c>
      <c r="R957" s="29" t="str">
        <f t="shared" si="328"/>
        <v>NA</v>
      </c>
      <c r="S957" s="29" t="str">
        <f t="shared" si="329"/>
        <v>NA</v>
      </c>
      <c r="T957" s="29" t="str">
        <f t="shared" si="330"/>
        <v>NA</v>
      </c>
      <c r="U957" s="29" t="str">
        <f t="shared" si="331"/>
        <v>NA</v>
      </c>
      <c r="V957" s="29" t="str">
        <f t="shared" si="332"/>
        <v>NA</v>
      </c>
      <c r="W957" s="29" t="str">
        <f t="shared" si="333"/>
        <v>NA</v>
      </c>
      <c r="X957" s="29" t="str">
        <f t="shared" si="334"/>
        <v>NA</v>
      </c>
      <c r="Y957" s="29" t="str">
        <f t="shared" si="335"/>
        <v>NA</v>
      </c>
      <c r="Z957" s="29" t="str">
        <f t="shared" si="336"/>
        <v>NA</v>
      </c>
      <c r="AA957" s="29" t="str">
        <f t="shared" si="337"/>
        <v>NA</v>
      </c>
      <c r="AB957" s="29" t="str">
        <f t="shared" si="338"/>
        <v>NA</v>
      </c>
      <c r="AC957" s="29" t="str">
        <f t="shared" si="339"/>
        <v>NA</v>
      </c>
      <c r="AD957" s="29" t="str">
        <f t="shared" si="340"/>
        <v>NA</v>
      </c>
      <c r="AE957" s="29" t="str">
        <f t="shared" si="341"/>
        <v>NA</v>
      </c>
      <c r="AF957" s="29" t="str">
        <f t="shared" si="342"/>
        <v>NA</v>
      </c>
      <c r="AG957" s="29" t="str">
        <f t="shared" si="343"/>
        <v>NA</v>
      </c>
      <c r="AH957" s="29" t="str">
        <f t="shared" si="344"/>
        <v>NA</v>
      </c>
    </row>
    <row r="958" customHeight="1" spans="1:34">
      <c r="A958" s="12" t="s">
        <v>1043</v>
      </c>
      <c r="F958" s="24">
        <f t="shared" si="326"/>
        <v>0</v>
      </c>
      <c r="G958" s="24" t="e">
        <f t="shared" si="325"/>
        <v>#DIV/0!</v>
      </c>
      <c r="Q958" s="29" t="str">
        <f t="shared" si="327"/>
        <v>NA</v>
      </c>
      <c r="R958" s="29" t="str">
        <f t="shared" si="328"/>
        <v>NA</v>
      </c>
      <c r="S958" s="29" t="str">
        <f t="shared" si="329"/>
        <v>NA</v>
      </c>
      <c r="T958" s="29" t="str">
        <f t="shared" si="330"/>
        <v>NA</v>
      </c>
      <c r="U958" s="29" t="str">
        <f t="shared" si="331"/>
        <v>NA</v>
      </c>
      <c r="V958" s="29" t="str">
        <f t="shared" si="332"/>
        <v>NA</v>
      </c>
      <c r="W958" s="29" t="str">
        <f t="shared" si="333"/>
        <v>NA</v>
      </c>
      <c r="X958" s="29" t="str">
        <f t="shared" si="334"/>
        <v>NA</v>
      </c>
      <c r="Y958" s="29" t="str">
        <f t="shared" si="335"/>
        <v>NA</v>
      </c>
      <c r="Z958" s="29" t="str">
        <f t="shared" si="336"/>
        <v>NA</v>
      </c>
      <c r="AA958" s="29" t="str">
        <f t="shared" si="337"/>
        <v>NA</v>
      </c>
      <c r="AB958" s="29" t="str">
        <f t="shared" si="338"/>
        <v>NA</v>
      </c>
      <c r="AC958" s="29" t="str">
        <f t="shared" si="339"/>
        <v>NA</v>
      </c>
      <c r="AD958" s="29" t="str">
        <f t="shared" si="340"/>
        <v>NA</v>
      </c>
      <c r="AE958" s="29" t="str">
        <f t="shared" si="341"/>
        <v>NA</v>
      </c>
      <c r="AF958" s="29" t="str">
        <f t="shared" si="342"/>
        <v>NA</v>
      </c>
      <c r="AG958" s="29" t="str">
        <f t="shared" si="343"/>
        <v>NA</v>
      </c>
      <c r="AH958" s="29" t="str">
        <f t="shared" si="344"/>
        <v>NA</v>
      </c>
    </row>
    <row r="959" customHeight="1" spans="1:34">
      <c r="A959" s="12" t="s">
        <v>1043</v>
      </c>
      <c r="F959" s="24">
        <f t="shared" si="326"/>
        <v>0</v>
      </c>
      <c r="G959" s="24" t="e">
        <f t="shared" si="325"/>
        <v>#DIV/0!</v>
      </c>
      <c r="Q959" s="29" t="str">
        <f t="shared" si="327"/>
        <v>NA</v>
      </c>
      <c r="R959" s="29" t="str">
        <f t="shared" si="328"/>
        <v>NA</v>
      </c>
      <c r="S959" s="29" t="str">
        <f t="shared" si="329"/>
        <v>NA</v>
      </c>
      <c r="T959" s="29" t="str">
        <f t="shared" si="330"/>
        <v>NA</v>
      </c>
      <c r="U959" s="29" t="str">
        <f t="shared" si="331"/>
        <v>NA</v>
      </c>
      <c r="V959" s="29" t="str">
        <f t="shared" si="332"/>
        <v>NA</v>
      </c>
      <c r="W959" s="29" t="str">
        <f t="shared" si="333"/>
        <v>NA</v>
      </c>
      <c r="X959" s="29" t="str">
        <f t="shared" si="334"/>
        <v>NA</v>
      </c>
      <c r="Y959" s="29" t="str">
        <f t="shared" si="335"/>
        <v>NA</v>
      </c>
      <c r="Z959" s="29" t="str">
        <f t="shared" si="336"/>
        <v>NA</v>
      </c>
      <c r="AA959" s="29" t="str">
        <f t="shared" si="337"/>
        <v>NA</v>
      </c>
      <c r="AB959" s="29" t="str">
        <f t="shared" si="338"/>
        <v>NA</v>
      </c>
      <c r="AC959" s="29" t="str">
        <f t="shared" si="339"/>
        <v>NA</v>
      </c>
      <c r="AD959" s="29" t="str">
        <f t="shared" si="340"/>
        <v>NA</v>
      </c>
      <c r="AE959" s="29" t="str">
        <f t="shared" si="341"/>
        <v>NA</v>
      </c>
      <c r="AF959" s="29" t="str">
        <f t="shared" si="342"/>
        <v>NA</v>
      </c>
      <c r="AG959" s="29" t="str">
        <f t="shared" si="343"/>
        <v>NA</v>
      </c>
      <c r="AH959" s="29" t="str">
        <f t="shared" si="344"/>
        <v>NA</v>
      </c>
    </row>
    <row r="960" customHeight="1" spans="1:34">
      <c r="A960" s="12" t="s">
        <v>1043</v>
      </c>
      <c r="F960" s="24">
        <f t="shared" si="326"/>
        <v>0</v>
      </c>
      <c r="G960" s="24" t="e">
        <f t="shared" si="325"/>
        <v>#DIV/0!</v>
      </c>
      <c r="Q960" s="29" t="str">
        <f t="shared" si="327"/>
        <v>NA</v>
      </c>
      <c r="R960" s="29" t="str">
        <f t="shared" si="328"/>
        <v>NA</v>
      </c>
      <c r="S960" s="29" t="str">
        <f t="shared" si="329"/>
        <v>NA</v>
      </c>
      <c r="T960" s="29" t="str">
        <f t="shared" si="330"/>
        <v>NA</v>
      </c>
      <c r="U960" s="29" t="str">
        <f t="shared" si="331"/>
        <v>NA</v>
      </c>
      <c r="V960" s="29" t="str">
        <f t="shared" si="332"/>
        <v>NA</v>
      </c>
      <c r="W960" s="29" t="str">
        <f t="shared" si="333"/>
        <v>NA</v>
      </c>
      <c r="X960" s="29" t="str">
        <f t="shared" si="334"/>
        <v>NA</v>
      </c>
      <c r="Y960" s="29" t="str">
        <f t="shared" si="335"/>
        <v>NA</v>
      </c>
      <c r="Z960" s="29" t="str">
        <f t="shared" si="336"/>
        <v>NA</v>
      </c>
      <c r="AA960" s="29" t="str">
        <f t="shared" si="337"/>
        <v>NA</v>
      </c>
      <c r="AB960" s="29" t="str">
        <f t="shared" si="338"/>
        <v>NA</v>
      </c>
      <c r="AC960" s="29" t="str">
        <f t="shared" si="339"/>
        <v>NA</v>
      </c>
      <c r="AD960" s="29" t="str">
        <f t="shared" si="340"/>
        <v>NA</v>
      </c>
      <c r="AE960" s="29" t="str">
        <f t="shared" si="341"/>
        <v>NA</v>
      </c>
      <c r="AF960" s="29" t="str">
        <f t="shared" si="342"/>
        <v>NA</v>
      </c>
      <c r="AG960" s="29" t="str">
        <f t="shared" si="343"/>
        <v>NA</v>
      </c>
      <c r="AH960" s="29" t="str">
        <f t="shared" si="344"/>
        <v>NA</v>
      </c>
    </row>
    <row r="961" customHeight="1" spans="1:34">
      <c r="A961" s="12" t="s">
        <v>1043</v>
      </c>
      <c r="F961" s="24">
        <f t="shared" si="326"/>
        <v>0</v>
      </c>
      <c r="G961" s="24" t="e">
        <f t="shared" si="325"/>
        <v>#DIV/0!</v>
      </c>
      <c r="Q961" s="29" t="str">
        <f t="shared" si="327"/>
        <v>NA</v>
      </c>
      <c r="R961" s="29" t="str">
        <f t="shared" si="328"/>
        <v>NA</v>
      </c>
      <c r="S961" s="29" t="str">
        <f t="shared" si="329"/>
        <v>NA</v>
      </c>
      <c r="T961" s="29" t="str">
        <f t="shared" si="330"/>
        <v>NA</v>
      </c>
      <c r="U961" s="29" t="str">
        <f t="shared" si="331"/>
        <v>NA</v>
      </c>
      <c r="V961" s="29" t="str">
        <f t="shared" si="332"/>
        <v>NA</v>
      </c>
      <c r="W961" s="29" t="str">
        <f t="shared" si="333"/>
        <v>NA</v>
      </c>
      <c r="X961" s="29" t="str">
        <f t="shared" si="334"/>
        <v>NA</v>
      </c>
      <c r="Y961" s="29" t="str">
        <f t="shared" si="335"/>
        <v>NA</v>
      </c>
      <c r="Z961" s="29" t="str">
        <f t="shared" si="336"/>
        <v>NA</v>
      </c>
      <c r="AA961" s="29" t="str">
        <f t="shared" si="337"/>
        <v>NA</v>
      </c>
      <c r="AB961" s="29" t="str">
        <f t="shared" si="338"/>
        <v>NA</v>
      </c>
      <c r="AC961" s="29" t="str">
        <f t="shared" si="339"/>
        <v>NA</v>
      </c>
      <c r="AD961" s="29" t="str">
        <f t="shared" si="340"/>
        <v>NA</v>
      </c>
      <c r="AE961" s="29" t="str">
        <f t="shared" si="341"/>
        <v>NA</v>
      </c>
      <c r="AF961" s="29" t="str">
        <f t="shared" si="342"/>
        <v>NA</v>
      </c>
      <c r="AG961" s="29" t="str">
        <f t="shared" si="343"/>
        <v>NA</v>
      </c>
      <c r="AH961" s="29" t="str">
        <f t="shared" si="344"/>
        <v>NA</v>
      </c>
    </row>
    <row r="962" customHeight="1" spans="1:34">
      <c r="A962" s="12" t="s">
        <v>1043</v>
      </c>
      <c r="F962" s="24">
        <f t="shared" si="326"/>
        <v>0</v>
      </c>
      <c r="G962" s="24" t="e">
        <f t="shared" si="325"/>
        <v>#DIV/0!</v>
      </c>
      <c r="Q962" s="29" t="str">
        <f t="shared" si="327"/>
        <v>NA</v>
      </c>
      <c r="R962" s="29" t="str">
        <f t="shared" si="328"/>
        <v>NA</v>
      </c>
      <c r="S962" s="29" t="str">
        <f t="shared" si="329"/>
        <v>NA</v>
      </c>
      <c r="T962" s="29" t="str">
        <f t="shared" si="330"/>
        <v>NA</v>
      </c>
      <c r="U962" s="29" t="str">
        <f t="shared" si="331"/>
        <v>NA</v>
      </c>
      <c r="V962" s="29" t="str">
        <f t="shared" si="332"/>
        <v>NA</v>
      </c>
      <c r="W962" s="29" t="str">
        <f t="shared" si="333"/>
        <v>NA</v>
      </c>
      <c r="X962" s="29" t="str">
        <f t="shared" si="334"/>
        <v>NA</v>
      </c>
      <c r="Y962" s="29" t="str">
        <f t="shared" si="335"/>
        <v>NA</v>
      </c>
      <c r="Z962" s="29" t="str">
        <f t="shared" si="336"/>
        <v>NA</v>
      </c>
      <c r="AA962" s="29" t="str">
        <f t="shared" si="337"/>
        <v>NA</v>
      </c>
      <c r="AB962" s="29" t="str">
        <f t="shared" si="338"/>
        <v>NA</v>
      </c>
      <c r="AC962" s="29" t="str">
        <f t="shared" si="339"/>
        <v>NA</v>
      </c>
      <c r="AD962" s="29" t="str">
        <f t="shared" si="340"/>
        <v>NA</v>
      </c>
      <c r="AE962" s="29" t="str">
        <f t="shared" si="341"/>
        <v>NA</v>
      </c>
      <c r="AF962" s="29" t="str">
        <f t="shared" si="342"/>
        <v>NA</v>
      </c>
      <c r="AG962" s="29" t="str">
        <f t="shared" si="343"/>
        <v>NA</v>
      </c>
      <c r="AH962" s="29" t="str">
        <f t="shared" si="344"/>
        <v>NA</v>
      </c>
    </row>
    <row r="963" customHeight="1" spans="1:34">
      <c r="A963" s="12" t="s">
        <v>1043</v>
      </c>
      <c r="F963" s="24">
        <f t="shared" si="326"/>
        <v>0</v>
      </c>
      <c r="G963" s="24" t="e">
        <f t="shared" si="325"/>
        <v>#DIV/0!</v>
      </c>
      <c r="Q963" s="29" t="str">
        <f t="shared" si="327"/>
        <v>NA</v>
      </c>
      <c r="R963" s="29" t="str">
        <f t="shared" si="328"/>
        <v>NA</v>
      </c>
      <c r="S963" s="29" t="str">
        <f t="shared" si="329"/>
        <v>NA</v>
      </c>
      <c r="T963" s="29" t="str">
        <f t="shared" si="330"/>
        <v>NA</v>
      </c>
      <c r="U963" s="29" t="str">
        <f t="shared" si="331"/>
        <v>NA</v>
      </c>
      <c r="V963" s="29" t="str">
        <f t="shared" si="332"/>
        <v>NA</v>
      </c>
      <c r="W963" s="29" t="str">
        <f t="shared" si="333"/>
        <v>NA</v>
      </c>
      <c r="X963" s="29" t="str">
        <f t="shared" si="334"/>
        <v>NA</v>
      </c>
      <c r="Y963" s="29" t="str">
        <f t="shared" si="335"/>
        <v>NA</v>
      </c>
      <c r="Z963" s="29" t="str">
        <f t="shared" si="336"/>
        <v>NA</v>
      </c>
      <c r="AA963" s="29" t="str">
        <f t="shared" si="337"/>
        <v>NA</v>
      </c>
      <c r="AB963" s="29" t="str">
        <f t="shared" si="338"/>
        <v>NA</v>
      </c>
      <c r="AC963" s="29" t="str">
        <f t="shared" si="339"/>
        <v>NA</v>
      </c>
      <c r="AD963" s="29" t="str">
        <f t="shared" si="340"/>
        <v>NA</v>
      </c>
      <c r="AE963" s="29" t="str">
        <f t="shared" si="341"/>
        <v>NA</v>
      </c>
      <c r="AF963" s="29" t="str">
        <f t="shared" si="342"/>
        <v>NA</v>
      </c>
      <c r="AG963" s="29" t="str">
        <f t="shared" si="343"/>
        <v>NA</v>
      </c>
      <c r="AH963" s="29" t="str">
        <f t="shared" si="344"/>
        <v>NA</v>
      </c>
    </row>
    <row r="964" customHeight="1" spans="1:34">
      <c r="A964" s="12" t="s">
        <v>1043</v>
      </c>
      <c r="F964" s="24">
        <f t="shared" si="326"/>
        <v>0</v>
      </c>
      <c r="G964" s="24" t="e">
        <f t="shared" si="325"/>
        <v>#DIV/0!</v>
      </c>
      <c r="Q964" s="29" t="str">
        <f t="shared" si="327"/>
        <v>NA</v>
      </c>
      <c r="R964" s="29" t="str">
        <f t="shared" si="328"/>
        <v>NA</v>
      </c>
      <c r="S964" s="29" t="str">
        <f t="shared" si="329"/>
        <v>NA</v>
      </c>
      <c r="T964" s="29" t="str">
        <f t="shared" si="330"/>
        <v>NA</v>
      </c>
      <c r="U964" s="29" t="str">
        <f t="shared" si="331"/>
        <v>NA</v>
      </c>
      <c r="V964" s="29" t="str">
        <f t="shared" si="332"/>
        <v>NA</v>
      </c>
      <c r="W964" s="29" t="str">
        <f t="shared" si="333"/>
        <v>NA</v>
      </c>
      <c r="X964" s="29" t="str">
        <f t="shared" si="334"/>
        <v>NA</v>
      </c>
      <c r="Y964" s="29" t="str">
        <f t="shared" si="335"/>
        <v>NA</v>
      </c>
      <c r="Z964" s="29" t="str">
        <f t="shared" si="336"/>
        <v>NA</v>
      </c>
      <c r="AA964" s="29" t="str">
        <f t="shared" si="337"/>
        <v>NA</v>
      </c>
      <c r="AB964" s="29" t="str">
        <f t="shared" si="338"/>
        <v>NA</v>
      </c>
      <c r="AC964" s="29" t="str">
        <f t="shared" si="339"/>
        <v>NA</v>
      </c>
      <c r="AD964" s="29" t="str">
        <f t="shared" si="340"/>
        <v>NA</v>
      </c>
      <c r="AE964" s="29" t="str">
        <f t="shared" si="341"/>
        <v>NA</v>
      </c>
      <c r="AF964" s="29" t="str">
        <f t="shared" si="342"/>
        <v>NA</v>
      </c>
      <c r="AG964" s="29" t="str">
        <f t="shared" si="343"/>
        <v>NA</v>
      </c>
      <c r="AH964" s="29" t="str">
        <f t="shared" si="344"/>
        <v>NA</v>
      </c>
    </row>
    <row r="965" customHeight="1" spans="1:34">
      <c r="A965" s="12" t="s">
        <v>1043</v>
      </c>
      <c r="F965" s="24">
        <f t="shared" si="326"/>
        <v>0</v>
      </c>
      <c r="G965" s="24" t="e">
        <f t="shared" ref="G965:G1028" si="345">B965*D965/C965</f>
        <v>#DIV/0!</v>
      </c>
      <c r="Q965" s="29" t="str">
        <f t="shared" si="327"/>
        <v>NA</v>
      </c>
      <c r="R965" s="29" t="str">
        <f t="shared" si="328"/>
        <v>NA</v>
      </c>
      <c r="S965" s="29" t="str">
        <f t="shared" si="329"/>
        <v>NA</v>
      </c>
      <c r="T965" s="29" t="str">
        <f t="shared" si="330"/>
        <v>NA</v>
      </c>
      <c r="U965" s="29" t="str">
        <f t="shared" si="331"/>
        <v>NA</v>
      </c>
      <c r="V965" s="29" t="str">
        <f t="shared" si="332"/>
        <v>NA</v>
      </c>
      <c r="W965" s="29" t="str">
        <f t="shared" si="333"/>
        <v>NA</v>
      </c>
      <c r="X965" s="29" t="str">
        <f t="shared" si="334"/>
        <v>NA</v>
      </c>
      <c r="Y965" s="29" t="str">
        <f t="shared" si="335"/>
        <v>NA</v>
      </c>
      <c r="Z965" s="29" t="str">
        <f t="shared" si="336"/>
        <v>NA</v>
      </c>
      <c r="AA965" s="29" t="str">
        <f t="shared" si="337"/>
        <v>NA</v>
      </c>
      <c r="AB965" s="29" t="str">
        <f t="shared" si="338"/>
        <v>NA</v>
      </c>
      <c r="AC965" s="29" t="str">
        <f t="shared" si="339"/>
        <v>NA</v>
      </c>
      <c r="AD965" s="29" t="str">
        <f t="shared" si="340"/>
        <v>NA</v>
      </c>
      <c r="AE965" s="29" t="str">
        <f t="shared" si="341"/>
        <v>NA</v>
      </c>
      <c r="AF965" s="29" t="str">
        <f t="shared" si="342"/>
        <v>NA</v>
      </c>
      <c r="AG965" s="29" t="str">
        <f t="shared" si="343"/>
        <v>NA</v>
      </c>
      <c r="AH965" s="29" t="str">
        <f t="shared" si="344"/>
        <v>NA</v>
      </c>
    </row>
    <row r="966" customHeight="1" spans="1:34">
      <c r="A966" s="12" t="s">
        <v>1043</v>
      </c>
      <c r="F966" s="24">
        <f t="shared" ref="F966:F1029" si="346">+D966+E966</f>
        <v>0</v>
      </c>
      <c r="G966" s="24" t="e">
        <f t="shared" si="345"/>
        <v>#DIV/0!</v>
      </c>
      <c r="Q966" s="29" t="str">
        <f t="shared" si="327"/>
        <v>NA</v>
      </c>
      <c r="R966" s="29" t="str">
        <f t="shared" si="328"/>
        <v>NA</v>
      </c>
      <c r="S966" s="29" t="str">
        <f t="shared" si="329"/>
        <v>NA</v>
      </c>
      <c r="T966" s="29" t="str">
        <f t="shared" si="330"/>
        <v>NA</v>
      </c>
      <c r="U966" s="29" t="str">
        <f t="shared" si="331"/>
        <v>NA</v>
      </c>
      <c r="V966" s="29" t="str">
        <f t="shared" si="332"/>
        <v>NA</v>
      </c>
      <c r="W966" s="29" t="str">
        <f t="shared" si="333"/>
        <v>NA</v>
      </c>
      <c r="X966" s="29" t="str">
        <f t="shared" si="334"/>
        <v>NA</v>
      </c>
      <c r="Y966" s="29" t="str">
        <f t="shared" si="335"/>
        <v>NA</v>
      </c>
      <c r="Z966" s="29" t="str">
        <f t="shared" si="336"/>
        <v>NA</v>
      </c>
      <c r="AA966" s="29" t="str">
        <f t="shared" si="337"/>
        <v>NA</v>
      </c>
      <c r="AB966" s="29" t="str">
        <f t="shared" si="338"/>
        <v>NA</v>
      </c>
      <c r="AC966" s="29" t="str">
        <f t="shared" si="339"/>
        <v>NA</v>
      </c>
      <c r="AD966" s="29" t="str">
        <f t="shared" si="340"/>
        <v>NA</v>
      </c>
      <c r="AE966" s="29" t="str">
        <f t="shared" si="341"/>
        <v>NA</v>
      </c>
      <c r="AF966" s="29" t="str">
        <f t="shared" si="342"/>
        <v>NA</v>
      </c>
      <c r="AG966" s="29" t="str">
        <f t="shared" si="343"/>
        <v>NA</v>
      </c>
      <c r="AH966" s="29" t="str">
        <f t="shared" si="344"/>
        <v>NA</v>
      </c>
    </row>
    <row r="967" customHeight="1" spans="1:34">
      <c r="A967" s="12" t="s">
        <v>1043</v>
      </c>
      <c r="F967" s="24">
        <f t="shared" si="346"/>
        <v>0</v>
      </c>
      <c r="G967" s="24" t="e">
        <f t="shared" si="345"/>
        <v>#DIV/0!</v>
      </c>
      <c r="Q967" s="29" t="str">
        <f t="shared" si="327"/>
        <v>NA</v>
      </c>
      <c r="R967" s="29" t="str">
        <f t="shared" si="328"/>
        <v>NA</v>
      </c>
      <c r="S967" s="29" t="str">
        <f t="shared" si="329"/>
        <v>NA</v>
      </c>
      <c r="T967" s="29" t="str">
        <f t="shared" si="330"/>
        <v>NA</v>
      </c>
      <c r="U967" s="29" t="str">
        <f t="shared" si="331"/>
        <v>NA</v>
      </c>
      <c r="V967" s="29" t="str">
        <f t="shared" si="332"/>
        <v>NA</v>
      </c>
      <c r="W967" s="29" t="str">
        <f t="shared" si="333"/>
        <v>NA</v>
      </c>
      <c r="X967" s="29" t="str">
        <f t="shared" si="334"/>
        <v>NA</v>
      </c>
      <c r="Y967" s="29" t="str">
        <f t="shared" si="335"/>
        <v>NA</v>
      </c>
      <c r="Z967" s="29" t="str">
        <f t="shared" si="336"/>
        <v>NA</v>
      </c>
      <c r="AA967" s="29" t="str">
        <f t="shared" si="337"/>
        <v>NA</v>
      </c>
      <c r="AB967" s="29" t="str">
        <f t="shared" si="338"/>
        <v>NA</v>
      </c>
      <c r="AC967" s="29" t="str">
        <f t="shared" si="339"/>
        <v>NA</v>
      </c>
      <c r="AD967" s="29" t="str">
        <f t="shared" si="340"/>
        <v>NA</v>
      </c>
      <c r="AE967" s="29" t="str">
        <f t="shared" si="341"/>
        <v>NA</v>
      </c>
      <c r="AF967" s="29" t="str">
        <f t="shared" si="342"/>
        <v>NA</v>
      </c>
      <c r="AG967" s="29" t="str">
        <f t="shared" si="343"/>
        <v>NA</v>
      </c>
      <c r="AH967" s="29" t="str">
        <f t="shared" si="344"/>
        <v>NA</v>
      </c>
    </row>
    <row r="968" customHeight="1" spans="1:34">
      <c r="A968" s="12" t="s">
        <v>1043</v>
      </c>
      <c r="F968" s="24">
        <f t="shared" si="346"/>
        <v>0</v>
      </c>
      <c r="G968" s="24" t="e">
        <f t="shared" si="345"/>
        <v>#DIV/0!</v>
      </c>
      <c r="Q968" s="29" t="str">
        <f t="shared" si="327"/>
        <v>NA</v>
      </c>
      <c r="R968" s="29" t="str">
        <f t="shared" si="328"/>
        <v>NA</v>
      </c>
      <c r="S968" s="29" t="str">
        <f t="shared" si="329"/>
        <v>NA</v>
      </c>
      <c r="T968" s="29" t="str">
        <f t="shared" si="330"/>
        <v>NA</v>
      </c>
      <c r="U968" s="29" t="str">
        <f t="shared" si="331"/>
        <v>NA</v>
      </c>
      <c r="V968" s="29" t="str">
        <f t="shared" si="332"/>
        <v>NA</v>
      </c>
      <c r="W968" s="29" t="str">
        <f t="shared" si="333"/>
        <v>NA</v>
      </c>
      <c r="X968" s="29" t="str">
        <f t="shared" si="334"/>
        <v>NA</v>
      </c>
      <c r="Y968" s="29" t="str">
        <f t="shared" si="335"/>
        <v>NA</v>
      </c>
      <c r="Z968" s="29" t="str">
        <f t="shared" si="336"/>
        <v>NA</v>
      </c>
      <c r="AA968" s="29" t="str">
        <f t="shared" si="337"/>
        <v>NA</v>
      </c>
      <c r="AB968" s="29" t="str">
        <f t="shared" si="338"/>
        <v>NA</v>
      </c>
      <c r="AC968" s="29" t="str">
        <f t="shared" si="339"/>
        <v>NA</v>
      </c>
      <c r="AD968" s="29" t="str">
        <f t="shared" si="340"/>
        <v>NA</v>
      </c>
      <c r="AE968" s="29" t="str">
        <f t="shared" si="341"/>
        <v>NA</v>
      </c>
      <c r="AF968" s="29" t="str">
        <f t="shared" si="342"/>
        <v>NA</v>
      </c>
      <c r="AG968" s="29" t="str">
        <f t="shared" si="343"/>
        <v>NA</v>
      </c>
      <c r="AH968" s="29" t="str">
        <f t="shared" si="344"/>
        <v>NA</v>
      </c>
    </row>
    <row r="969" customHeight="1" spans="1:34">
      <c r="A969" s="12" t="s">
        <v>1043</v>
      </c>
      <c r="F969" s="24">
        <f t="shared" si="346"/>
        <v>0</v>
      </c>
      <c r="G969" s="24" t="e">
        <f t="shared" si="345"/>
        <v>#DIV/0!</v>
      </c>
      <c r="Q969" s="29" t="str">
        <f t="shared" si="327"/>
        <v>NA</v>
      </c>
      <c r="R969" s="29" t="str">
        <f t="shared" si="328"/>
        <v>NA</v>
      </c>
      <c r="S969" s="29" t="str">
        <f t="shared" si="329"/>
        <v>NA</v>
      </c>
      <c r="T969" s="29" t="str">
        <f t="shared" si="330"/>
        <v>NA</v>
      </c>
      <c r="U969" s="29" t="str">
        <f t="shared" si="331"/>
        <v>NA</v>
      </c>
      <c r="V969" s="29" t="str">
        <f t="shared" si="332"/>
        <v>NA</v>
      </c>
      <c r="W969" s="29" t="str">
        <f t="shared" si="333"/>
        <v>NA</v>
      </c>
      <c r="X969" s="29" t="str">
        <f t="shared" si="334"/>
        <v>NA</v>
      </c>
      <c r="Y969" s="29" t="str">
        <f t="shared" si="335"/>
        <v>NA</v>
      </c>
      <c r="Z969" s="29" t="str">
        <f t="shared" si="336"/>
        <v>NA</v>
      </c>
      <c r="AA969" s="29" t="str">
        <f t="shared" si="337"/>
        <v>NA</v>
      </c>
      <c r="AB969" s="29" t="str">
        <f t="shared" si="338"/>
        <v>NA</v>
      </c>
      <c r="AC969" s="29" t="str">
        <f t="shared" si="339"/>
        <v>NA</v>
      </c>
      <c r="AD969" s="29" t="str">
        <f t="shared" si="340"/>
        <v>NA</v>
      </c>
      <c r="AE969" s="29" t="str">
        <f t="shared" si="341"/>
        <v>NA</v>
      </c>
      <c r="AF969" s="29" t="str">
        <f t="shared" si="342"/>
        <v>NA</v>
      </c>
      <c r="AG969" s="29" t="str">
        <f t="shared" si="343"/>
        <v>NA</v>
      </c>
      <c r="AH969" s="29" t="str">
        <f t="shared" si="344"/>
        <v>NA</v>
      </c>
    </row>
    <row r="970" customHeight="1" spans="1:34">
      <c r="A970" s="12" t="s">
        <v>1043</v>
      </c>
      <c r="F970" s="24">
        <f t="shared" si="346"/>
        <v>0</v>
      </c>
      <c r="G970" s="24" t="e">
        <f t="shared" si="345"/>
        <v>#DIV/0!</v>
      </c>
      <c r="Q970" s="29" t="str">
        <f t="shared" si="327"/>
        <v>NA</v>
      </c>
      <c r="R970" s="29" t="str">
        <f t="shared" si="328"/>
        <v>NA</v>
      </c>
      <c r="S970" s="29" t="str">
        <f t="shared" si="329"/>
        <v>NA</v>
      </c>
      <c r="T970" s="29" t="str">
        <f t="shared" si="330"/>
        <v>NA</v>
      </c>
      <c r="U970" s="29" t="str">
        <f t="shared" si="331"/>
        <v>NA</v>
      </c>
      <c r="V970" s="29" t="str">
        <f t="shared" si="332"/>
        <v>NA</v>
      </c>
      <c r="W970" s="29" t="str">
        <f t="shared" si="333"/>
        <v>NA</v>
      </c>
      <c r="X970" s="29" t="str">
        <f t="shared" si="334"/>
        <v>NA</v>
      </c>
      <c r="Y970" s="29" t="str">
        <f t="shared" si="335"/>
        <v>NA</v>
      </c>
      <c r="Z970" s="29" t="str">
        <f t="shared" si="336"/>
        <v>NA</v>
      </c>
      <c r="AA970" s="29" t="str">
        <f t="shared" si="337"/>
        <v>NA</v>
      </c>
      <c r="AB970" s="29" t="str">
        <f t="shared" si="338"/>
        <v>NA</v>
      </c>
      <c r="AC970" s="29" t="str">
        <f t="shared" si="339"/>
        <v>NA</v>
      </c>
      <c r="AD970" s="29" t="str">
        <f t="shared" si="340"/>
        <v>NA</v>
      </c>
      <c r="AE970" s="29" t="str">
        <f t="shared" si="341"/>
        <v>NA</v>
      </c>
      <c r="AF970" s="29" t="str">
        <f t="shared" si="342"/>
        <v>NA</v>
      </c>
      <c r="AG970" s="29" t="str">
        <f t="shared" si="343"/>
        <v>NA</v>
      </c>
      <c r="AH970" s="29" t="str">
        <f t="shared" si="344"/>
        <v>NA</v>
      </c>
    </row>
    <row r="971" customHeight="1" spans="1:34">
      <c r="A971" s="12" t="s">
        <v>1043</v>
      </c>
      <c r="F971" s="24">
        <f t="shared" si="346"/>
        <v>0</v>
      </c>
      <c r="G971" s="24" t="e">
        <f t="shared" si="345"/>
        <v>#DIV/0!</v>
      </c>
      <c r="Q971" s="29" t="str">
        <f t="shared" si="327"/>
        <v>NA</v>
      </c>
      <c r="R971" s="29" t="str">
        <f t="shared" si="328"/>
        <v>NA</v>
      </c>
      <c r="S971" s="29" t="str">
        <f t="shared" si="329"/>
        <v>NA</v>
      </c>
      <c r="T971" s="29" t="str">
        <f t="shared" si="330"/>
        <v>NA</v>
      </c>
      <c r="U971" s="29" t="str">
        <f t="shared" si="331"/>
        <v>NA</v>
      </c>
      <c r="V971" s="29" t="str">
        <f t="shared" si="332"/>
        <v>NA</v>
      </c>
      <c r="W971" s="29" t="str">
        <f t="shared" si="333"/>
        <v>NA</v>
      </c>
      <c r="X971" s="29" t="str">
        <f t="shared" si="334"/>
        <v>NA</v>
      </c>
      <c r="Y971" s="29" t="str">
        <f t="shared" si="335"/>
        <v>NA</v>
      </c>
      <c r="Z971" s="29" t="str">
        <f t="shared" si="336"/>
        <v>NA</v>
      </c>
      <c r="AA971" s="29" t="str">
        <f t="shared" si="337"/>
        <v>NA</v>
      </c>
      <c r="AB971" s="29" t="str">
        <f t="shared" si="338"/>
        <v>NA</v>
      </c>
      <c r="AC971" s="29" t="str">
        <f t="shared" si="339"/>
        <v>NA</v>
      </c>
      <c r="AD971" s="29" t="str">
        <f t="shared" si="340"/>
        <v>NA</v>
      </c>
      <c r="AE971" s="29" t="str">
        <f t="shared" si="341"/>
        <v>NA</v>
      </c>
      <c r="AF971" s="29" t="str">
        <f t="shared" si="342"/>
        <v>NA</v>
      </c>
      <c r="AG971" s="29" t="str">
        <f t="shared" si="343"/>
        <v>NA</v>
      </c>
      <c r="AH971" s="29" t="str">
        <f t="shared" si="344"/>
        <v>NA</v>
      </c>
    </row>
    <row r="972" customHeight="1" spans="1:34">
      <c r="A972" s="12" t="s">
        <v>1043</v>
      </c>
      <c r="F972" s="24">
        <f t="shared" si="346"/>
        <v>0</v>
      </c>
      <c r="G972" s="24" t="e">
        <f t="shared" si="345"/>
        <v>#DIV/0!</v>
      </c>
      <c r="Q972" s="29" t="str">
        <f t="shared" si="327"/>
        <v>NA</v>
      </c>
      <c r="R972" s="29" t="str">
        <f t="shared" si="328"/>
        <v>NA</v>
      </c>
      <c r="S972" s="29" t="str">
        <f t="shared" si="329"/>
        <v>NA</v>
      </c>
      <c r="T972" s="29" t="str">
        <f t="shared" si="330"/>
        <v>NA</v>
      </c>
      <c r="U972" s="29" t="str">
        <f t="shared" si="331"/>
        <v>NA</v>
      </c>
      <c r="V972" s="29" t="str">
        <f t="shared" si="332"/>
        <v>NA</v>
      </c>
      <c r="W972" s="29" t="str">
        <f t="shared" si="333"/>
        <v>NA</v>
      </c>
      <c r="X972" s="29" t="str">
        <f t="shared" si="334"/>
        <v>NA</v>
      </c>
      <c r="Y972" s="29" t="str">
        <f t="shared" si="335"/>
        <v>NA</v>
      </c>
      <c r="Z972" s="29" t="str">
        <f t="shared" si="336"/>
        <v>NA</v>
      </c>
      <c r="AA972" s="29" t="str">
        <f t="shared" si="337"/>
        <v>NA</v>
      </c>
      <c r="AB972" s="29" t="str">
        <f t="shared" si="338"/>
        <v>NA</v>
      </c>
      <c r="AC972" s="29" t="str">
        <f t="shared" si="339"/>
        <v>NA</v>
      </c>
      <c r="AD972" s="29" t="str">
        <f t="shared" si="340"/>
        <v>NA</v>
      </c>
      <c r="AE972" s="29" t="str">
        <f t="shared" si="341"/>
        <v>NA</v>
      </c>
      <c r="AF972" s="29" t="str">
        <f t="shared" si="342"/>
        <v>NA</v>
      </c>
      <c r="AG972" s="29" t="str">
        <f t="shared" si="343"/>
        <v>NA</v>
      </c>
      <c r="AH972" s="29" t="str">
        <f t="shared" si="344"/>
        <v>NA</v>
      </c>
    </row>
    <row r="973" customHeight="1" spans="1:34">
      <c r="A973" s="12" t="s">
        <v>1043</v>
      </c>
      <c r="F973" s="24">
        <f t="shared" si="346"/>
        <v>0</v>
      </c>
      <c r="G973" s="24" t="e">
        <f t="shared" si="345"/>
        <v>#DIV/0!</v>
      </c>
      <c r="Q973" s="29" t="str">
        <f t="shared" si="327"/>
        <v>NA</v>
      </c>
      <c r="R973" s="29" t="str">
        <f t="shared" si="328"/>
        <v>NA</v>
      </c>
      <c r="S973" s="29" t="str">
        <f t="shared" si="329"/>
        <v>NA</v>
      </c>
      <c r="T973" s="29" t="str">
        <f t="shared" si="330"/>
        <v>NA</v>
      </c>
      <c r="U973" s="29" t="str">
        <f t="shared" si="331"/>
        <v>NA</v>
      </c>
      <c r="V973" s="29" t="str">
        <f t="shared" si="332"/>
        <v>NA</v>
      </c>
      <c r="W973" s="29" t="str">
        <f t="shared" si="333"/>
        <v>NA</v>
      </c>
      <c r="X973" s="29" t="str">
        <f t="shared" si="334"/>
        <v>NA</v>
      </c>
      <c r="Y973" s="29" t="str">
        <f t="shared" si="335"/>
        <v>NA</v>
      </c>
      <c r="Z973" s="29" t="str">
        <f t="shared" si="336"/>
        <v>NA</v>
      </c>
      <c r="AA973" s="29" t="str">
        <f t="shared" si="337"/>
        <v>NA</v>
      </c>
      <c r="AB973" s="29" t="str">
        <f t="shared" si="338"/>
        <v>NA</v>
      </c>
      <c r="AC973" s="29" t="str">
        <f t="shared" si="339"/>
        <v>NA</v>
      </c>
      <c r="AD973" s="29" t="str">
        <f t="shared" si="340"/>
        <v>NA</v>
      </c>
      <c r="AE973" s="29" t="str">
        <f t="shared" si="341"/>
        <v>NA</v>
      </c>
      <c r="AF973" s="29" t="str">
        <f t="shared" si="342"/>
        <v>NA</v>
      </c>
      <c r="AG973" s="29" t="str">
        <f t="shared" si="343"/>
        <v>NA</v>
      </c>
      <c r="AH973" s="29" t="str">
        <f t="shared" si="344"/>
        <v>NA</v>
      </c>
    </row>
    <row r="974" customHeight="1" spans="1:34">
      <c r="A974" s="12" t="s">
        <v>1043</v>
      </c>
      <c r="F974" s="24">
        <f t="shared" si="346"/>
        <v>0</v>
      </c>
      <c r="G974" s="24" t="e">
        <f t="shared" si="345"/>
        <v>#DIV/0!</v>
      </c>
      <c r="Q974" s="29" t="str">
        <f t="shared" si="327"/>
        <v>NA</v>
      </c>
      <c r="R974" s="29" t="str">
        <f t="shared" si="328"/>
        <v>NA</v>
      </c>
      <c r="S974" s="29" t="str">
        <f t="shared" si="329"/>
        <v>NA</v>
      </c>
      <c r="T974" s="29" t="str">
        <f t="shared" si="330"/>
        <v>NA</v>
      </c>
      <c r="U974" s="29" t="str">
        <f t="shared" si="331"/>
        <v>NA</v>
      </c>
      <c r="V974" s="29" t="str">
        <f t="shared" si="332"/>
        <v>NA</v>
      </c>
      <c r="W974" s="29" t="str">
        <f t="shared" si="333"/>
        <v>NA</v>
      </c>
      <c r="X974" s="29" t="str">
        <f t="shared" si="334"/>
        <v>NA</v>
      </c>
      <c r="Y974" s="29" t="str">
        <f t="shared" si="335"/>
        <v>NA</v>
      </c>
      <c r="Z974" s="29" t="str">
        <f t="shared" si="336"/>
        <v>NA</v>
      </c>
      <c r="AA974" s="29" t="str">
        <f t="shared" si="337"/>
        <v>NA</v>
      </c>
      <c r="AB974" s="29" t="str">
        <f t="shared" si="338"/>
        <v>NA</v>
      </c>
      <c r="AC974" s="29" t="str">
        <f t="shared" si="339"/>
        <v>NA</v>
      </c>
      <c r="AD974" s="29" t="str">
        <f t="shared" si="340"/>
        <v>NA</v>
      </c>
      <c r="AE974" s="29" t="str">
        <f t="shared" si="341"/>
        <v>NA</v>
      </c>
      <c r="AF974" s="29" t="str">
        <f t="shared" si="342"/>
        <v>NA</v>
      </c>
      <c r="AG974" s="29" t="str">
        <f t="shared" si="343"/>
        <v>NA</v>
      </c>
      <c r="AH974" s="29" t="str">
        <f t="shared" si="344"/>
        <v>NA</v>
      </c>
    </row>
    <row r="975" customHeight="1" spans="1:34">
      <c r="A975" s="12" t="s">
        <v>1043</v>
      </c>
      <c r="F975" s="24">
        <f t="shared" si="346"/>
        <v>0</v>
      </c>
      <c r="G975" s="24" t="e">
        <f t="shared" si="345"/>
        <v>#DIV/0!</v>
      </c>
      <c r="Q975" s="29" t="str">
        <f t="shared" si="327"/>
        <v>NA</v>
      </c>
      <c r="R975" s="29" t="str">
        <f t="shared" si="328"/>
        <v>NA</v>
      </c>
      <c r="S975" s="29" t="str">
        <f t="shared" si="329"/>
        <v>NA</v>
      </c>
      <c r="T975" s="29" t="str">
        <f t="shared" si="330"/>
        <v>NA</v>
      </c>
      <c r="U975" s="29" t="str">
        <f t="shared" si="331"/>
        <v>NA</v>
      </c>
      <c r="V975" s="29" t="str">
        <f t="shared" si="332"/>
        <v>NA</v>
      </c>
      <c r="W975" s="29" t="str">
        <f t="shared" si="333"/>
        <v>NA</v>
      </c>
      <c r="X975" s="29" t="str">
        <f t="shared" si="334"/>
        <v>NA</v>
      </c>
      <c r="Y975" s="29" t="str">
        <f t="shared" si="335"/>
        <v>NA</v>
      </c>
      <c r="Z975" s="29" t="str">
        <f t="shared" si="336"/>
        <v>NA</v>
      </c>
      <c r="AA975" s="29" t="str">
        <f t="shared" si="337"/>
        <v>NA</v>
      </c>
      <c r="AB975" s="29" t="str">
        <f t="shared" si="338"/>
        <v>NA</v>
      </c>
      <c r="AC975" s="29" t="str">
        <f t="shared" si="339"/>
        <v>NA</v>
      </c>
      <c r="AD975" s="29" t="str">
        <f t="shared" si="340"/>
        <v>NA</v>
      </c>
      <c r="AE975" s="29" t="str">
        <f t="shared" si="341"/>
        <v>NA</v>
      </c>
      <c r="AF975" s="29" t="str">
        <f t="shared" si="342"/>
        <v>NA</v>
      </c>
      <c r="AG975" s="29" t="str">
        <f t="shared" si="343"/>
        <v>NA</v>
      </c>
      <c r="AH975" s="29" t="str">
        <f t="shared" si="344"/>
        <v>NA</v>
      </c>
    </row>
    <row r="976" customHeight="1" spans="1:34">
      <c r="A976" s="12" t="s">
        <v>1043</v>
      </c>
      <c r="F976" s="24">
        <f t="shared" si="346"/>
        <v>0</v>
      </c>
      <c r="G976" s="24" t="e">
        <f t="shared" si="345"/>
        <v>#DIV/0!</v>
      </c>
      <c r="Q976" s="29" t="str">
        <f t="shared" ref="Q976:Q1039" si="347">IFERROR($B976*$E976/H976,"NA")</f>
        <v>NA</v>
      </c>
      <c r="R976" s="29" t="str">
        <f t="shared" ref="R976:R1039" si="348">IFERROR($B976*$E976/I976,"NA")</f>
        <v>NA</v>
      </c>
      <c r="S976" s="29" t="str">
        <f t="shared" ref="S976:S1039" si="349">IFERROR($B976*$E976/J976,"NA")</f>
        <v>NA</v>
      </c>
      <c r="T976" s="29" t="str">
        <f t="shared" ref="T976:T1039" si="350">IFERROR($B976*$E976/K976,"NA")</f>
        <v>NA</v>
      </c>
      <c r="U976" s="29" t="str">
        <f t="shared" ref="U976:U1039" si="351">IFERROR($B976*$E976/L976,"NA")</f>
        <v>NA</v>
      </c>
      <c r="V976" s="29" t="str">
        <f t="shared" ref="V976:V1039" si="352">IFERROR($B976*$E976/M976,"NA")</f>
        <v>NA</v>
      </c>
      <c r="W976" s="29" t="str">
        <f t="shared" ref="W976:W1039" si="353">IFERROR($B976*$E976/N976,"NA")</f>
        <v>NA</v>
      </c>
      <c r="X976" s="29" t="str">
        <f t="shared" ref="X976:X1039" si="354">IFERROR($B976*$E976/O976,"NA")</f>
        <v>NA</v>
      </c>
      <c r="Y976" s="29" t="str">
        <f t="shared" ref="Y976:Y1039" si="355">IFERROR($B976*$E976/P976,"NA")</f>
        <v>NA</v>
      </c>
      <c r="Z976" s="29" t="str">
        <f t="shared" ref="Z976:Z1039" si="356">IFERROR((($G976*Z$2/1000)+Q976)/1,"NA")</f>
        <v>NA</v>
      </c>
      <c r="AA976" s="29" t="str">
        <f t="shared" ref="AA976:AA1039" si="357">IFERROR((($G976*AA$2/1000)+R976)/1,"NA")</f>
        <v>NA</v>
      </c>
      <c r="AB976" s="29" t="str">
        <f t="shared" ref="AB976:AB1039" si="358">IFERROR((($G976*AB$2/1000)+S976)/1,"NA")</f>
        <v>NA</v>
      </c>
      <c r="AC976" s="29" t="str">
        <f t="shared" ref="AC976:AC1039" si="359">IFERROR((($G976*AC$2/1000)+T976)/1,"NA")</f>
        <v>NA</v>
      </c>
      <c r="AD976" s="29" t="str">
        <f t="shared" ref="AD976:AD1039" si="360">IFERROR((($G976*AD$2/1000)+U976)/1,"NA")</f>
        <v>NA</v>
      </c>
      <c r="AE976" s="29" t="str">
        <f t="shared" ref="AE976:AE1039" si="361">IFERROR((($G976*AE$2/1000)+V976)/1,"NA")</f>
        <v>NA</v>
      </c>
      <c r="AF976" s="29" t="str">
        <f t="shared" ref="AF976:AF1039" si="362">IFERROR((($G976*AF$2/1000)+W976)/1,"NA")</f>
        <v>NA</v>
      </c>
      <c r="AG976" s="29" t="str">
        <f t="shared" ref="AG976:AG1039" si="363">IFERROR((($G976*AG$2/1000)+X976)/1,"NA")</f>
        <v>NA</v>
      </c>
      <c r="AH976" s="29" t="str">
        <f t="shared" ref="AH976:AH1039" si="364">IFERROR((($G976*AH$2/1000)+Y976)/1,"NA")</f>
        <v>NA</v>
      </c>
    </row>
    <row r="977" customHeight="1" spans="1:34">
      <c r="A977" s="12" t="s">
        <v>1043</v>
      </c>
      <c r="F977" s="24">
        <f t="shared" si="346"/>
        <v>0</v>
      </c>
      <c r="G977" s="24" t="e">
        <f t="shared" si="345"/>
        <v>#DIV/0!</v>
      </c>
      <c r="Q977" s="29" t="str">
        <f t="shared" si="347"/>
        <v>NA</v>
      </c>
      <c r="R977" s="29" t="str">
        <f t="shared" si="348"/>
        <v>NA</v>
      </c>
      <c r="S977" s="29" t="str">
        <f t="shared" si="349"/>
        <v>NA</v>
      </c>
      <c r="T977" s="29" t="str">
        <f t="shared" si="350"/>
        <v>NA</v>
      </c>
      <c r="U977" s="29" t="str">
        <f t="shared" si="351"/>
        <v>NA</v>
      </c>
      <c r="V977" s="29" t="str">
        <f t="shared" si="352"/>
        <v>NA</v>
      </c>
      <c r="W977" s="29" t="str">
        <f t="shared" si="353"/>
        <v>NA</v>
      </c>
      <c r="X977" s="29" t="str">
        <f t="shared" si="354"/>
        <v>NA</v>
      </c>
      <c r="Y977" s="29" t="str">
        <f t="shared" si="355"/>
        <v>NA</v>
      </c>
      <c r="Z977" s="29" t="str">
        <f t="shared" si="356"/>
        <v>NA</v>
      </c>
      <c r="AA977" s="29" t="str">
        <f t="shared" si="357"/>
        <v>NA</v>
      </c>
      <c r="AB977" s="29" t="str">
        <f t="shared" si="358"/>
        <v>NA</v>
      </c>
      <c r="AC977" s="29" t="str">
        <f t="shared" si="359"/>
        <v>NA</v>
      </c>
      <c r="AD977" s="29" t="str">
        <f t="shared" si="360"/>
        <v>NA</v>
      </c>
      <c r="AE977" s="29" t="str">
        <f t="shared" si="361"/>
        <v>NA</v>
      </c>
      <c r="AF977" s="29" t="str">
        <f t="shared" si="362"/>
        <v>NA</v>
      </c>
      <c r="AG977" s="29" t="str">
        <f t="shared" si="363"/>
        <v>NA</v>
      </c>
      <c r="AH977" s="29" t="str">
        <f t="shared" si="364"/>
        <v>NA</v>
      </c>
    </row>
    <row r="978" customHeight="1" spans="1:34">
      <c r="A978" s="12" t="s">
        <v>1043</v>
      </c>
      <c r="F978" s="24">
        <f t="shared" si="346"/>
        <v>0</v>
      </c>
      <c r="G978" s="24" t="e">
        <f t="shared" si="345"/>
        <v>#DIV/0!</v>
      </c>
      <c r="Q978" s="29" t="str">
        <f t="shared" si="347"/>
        <v>NA</v>
      </c>
      <c r="R978" s="29" t="str">
        <f t="shared" si="348"/>
        <v>NA</v>
      </c>
      <c r="S978" s="29" t="str">
        <f t="shared" si="349"/>
        <v>NA</v>
      </c>
      <c r="T978" s="29" t="str">
        <f t="shared" si="350"/>
        <v>NA</v>
      </c>
      <c r="U978" s="29" t="str">
        <f t="shared" si="351"/>
        <v>NA</v>
      </c>
      <c r="V978" s="29" t="str">
        <f t="shared" si="352"/>
        <v>NA</v>
      </c>
      <c r="W978" s="29" t="str">
        <f t="shared" si="353"/>
        <v>NA</v>
      </c>
      <c r="X978" s="29" t="str">
        <f t="shared" si="354"/>
        <v>NA</v>
      </c>
      <c r="Y978" s="29" t="str">
        <f t="shared" si="355"/>
        <v>NA</v>
      </c>
      <c r="Z978" s="29" t="str">
        <f t="shared" si="356"/>
        <v>NA</v>
      </c>
      <c r="AA978" s="29" t="str">
        <f t="shared" si="357"/>
        <v>NA</v>
      </c>
      <c r="AB978" s="29" t="str">
        <f t="shared" si="358"/>
        <v>NA</v>
      </c>
      <c r="AC978" s="29" t="str">
        <f t="shared" si="359"/>
        <v>NA</v>
      </c>
      <c r="AD978" s="29" t="str">
        <f t="shared" si="360"/>
        <v>NA</v>
      </c>
      <c r="AE978" s="29" t="str">
        <f t="shared" si="361"/>
        <v>NA</v>
      </c>
      <c r="AF978" s="29" t="str">
        <f t="shared" si="362"/>
        <v>NA</v>
      </c>
      <c r="AG978" s="29" t="str">
        <f t="shared" si="363"/>
        <v>NA</v>
      </c>
      <c r="AH978" s="29" t="str">
        <f t="shared" si="364"/>
        <v>NA</v>
      </c>
    </row>
    <row r="979" customHeight="1" spans="1:34">
      <c r="A979" s="12" t="s">
        <v>1043</v>
      </c>
      <c r="F979" s="24">
        <f t="shared" si="346"/>
        <v>0</v>
      </c>
      <c r="G979" s="24" t="e">
        <f t="shared" si="345"/>
        <v>#DIV/0!</v>
      </c>
      <c r="Q979" s="29" t="str">
        <f t="shared" si="347"/>
        <v>NA</v>
      </c>
      <c r="R979" s="29" t="str">
        <f t="shared" si="348"/>
        <v>NA</v>
      </c>
      <c r="S979" s="29" t="str">
        <f t="shared" si="349"/>
        <v>NA</v>
      </c>
      <c r="T979" s="29" t="str">
        <f t="shared" si="350"/>
        <v>NA</v>
      </c>
      <c r="U979" s="29" t="str">
        <f t="shared" si="351"/>
        <v>NA</v>
      </c>
      <c r="V979" s="29" t="str">
        <f t="shared" si="352"/>
        <v>NA</v>
      </c>
      <c r="W979" s="29" t="str">
        <f t="shared" si="353"/>
        <v>NA</v>
      </c>
      <c r="X979" s="29" t="str">
        <f t="shared" si="354"/>
        <v>NA</v>
      </c>
      <c r="Y979" s="29" t="str">
        <f t="shared" si="355"/>
        <v>NA</v>
      </c>
      <c r="Z979" s="29" t="str">
        <f t="shared" si="356"/>
        <v>NA</v>
      </c>
      <c r="AA979" s="29" t="str">
        <f t="shared" si="357"/>
        <v>NA</v>
      </c>
      <c r="AB979" s="29" t="str">
        <f t="shared" si="358"/>
        <v>NA</v>
      </c>
      <c r="AC979" s="29" t="str">
        <f t="shared" si="359"/>
        <v>NA</v>
      </c>
      <c r="AD979" s="29" t="str">
        <f t="shared" si="360"/>
        <v>NA</v>
      </c>
      <c r="AE979" s="29" t="str">
        <f t="shared" si="361"/>
        <v>NA</v>
      </c>
      <c r="AF979" s="29" t="str">
        <f t="shared" si="362"/>
        <v>NA</v>
      </c>
      <c r="AG979" s="29" t="str">
        <f t="shared" si="363"/>
        <v>NA</v>
      </c>
      <c r="AH979" s="29" t="str">
        <f t="shared" si="364"/>
        <v>NA</v>
      </c>
    </row>
    <row r="980" customHeight="1" spans="1:34">
      <c r="A980" s="12" t="s">
        <v>1043</v>
      </c>
      <c r="F980" s="24">
        <f t="shared" si="346"/>
        <v>0</v>
      </c>
      <c r="G980" s="24" t="e">
        <f t="shared" si="345"/>
        <v>#DIV/0!</v>
      </c>
      <c r="Q980" s="29" t="str">
        <f t="shared" si="347"/>
        <v>NA</v>
      </c>
      <c r="R980" s="29" t="str">
        <f t="shared" si="348"/>
        <v>NA</v>
      </c>
      <c r="S980" s="29" t="str">
        <f t="shared" si="349"/>
        <v>NA</v>
      </c>
      <c r="T980" s="29" t="str">
        <f t="shared" si="350"/>
        <v>NA</v>
      </c>
      <c r="U980" s="29" t="str">
        <f t="shared" si="351"/>
        <v>NA</v>
      </c>
      <c r="V980" s="29" t="str">
        <f t="shared" si="352"/>
        <v>NA</v>
      </c>
      <c r="W980" s="29" t="str">
        <f t="shared" si="353"/>
        <v>NA</v>
      </c>
      <c r="X980" s="29" t="str">
        <f t="shared" si="354"/>
        <v>NA</v>
      </c>
      <c r="Y980" s="29" t="str">
        <f t="shared" si="355"/>
        <v>NA</v>
      </c>
      <c r="Z980" s="29" t="str">
        <f t="shared" si="356"/>
        <v>NA</v>
      </c>
      <c r="AA980" s="29" t="str">
        <f t="shared" si="357"/>
        <v>NA</v>
      </c>
      <c r="AB980" s="29" t="str">
        <f t="shared" si="358"/>
        <v>NA</v>
      </c>
      <c r="AC980" s="29" t="str">
        <f t="shared" si="359"/>
        <v>NA</v>
      </c>
      <c r="AD980" s="29" t="str">
        <f t="shared" si="360"/>
        <v>NA</v>
      </c>
      <c r="AE980" s="29" t="str">
        <f t="shared" si="361"/>
        <v>NA</v>
      </c>
      <c r="AF980" s="29" t="str">
        <f t="shared" si="362"/>
        <v>NA</v>
      </c>
      <c r="AG980" s="29" t="str">
        <f t="shared" si="363"/>
        <v>NA</v>
      </c>
      <c r="AH980" s="29" t="str">
        <f t="shared" si="364"/>
        <v>NA</v>
      </c>
    </row>
    <row r="981" customHeight="1" spans="1:34">
      <c r="A981" s="12" t="s">
        <v>1043</v>
      </c>
      <c r="F981" s="24">
        <f t="shared" si="346"/>
        <v>0</v>
      </c>
      <c r="G981" s="24" t="e">
        <f t="shared" si="345"/>
        <v>#DIV/0!</v>
      </c>
      <c r="Q981" s="29" t="str">
        <f t="shared" si="347"/>
        <v>NA</v>
      </c>
      <c r="R981" s="29" t="str">
        <f t="shared" si="348"/>
        <v>NA</v>
      </c>
      <c r="S981" s="29" t="str">
        <f t="shared" si="349"/>
        <v>NA</v>
      </c>
      <c r="T981" s="29" t="str">
        <f t="shared" si="350"/>
        <v>NA</v>
      </c>
      <c r="U981" s="29" t="str">
        <f t="shared" si="351"/>
        <v>NA</v>
      </c>
      <c r="V981" s="29" t="str">
        <f t="shared" si="352"/>
        <v>NA</v>
      </c>
      <c r="W981" s="29" t="str">
        <f t="shared" si="353"/>
        <v>NA</v>
      </c>
      <c r="X981" s="29" t="str">
        <f t="shared" si="354"/>
        <v>NA</v>
      </c>
      <c r="Y981" s="29" t="str">
        <f t="shared" si="355"/>
        <v>NA</v>
      </c>
      <c r="Z981" s="29" t="str">
        <f t="shared" si="356"/>
        <v>NA</v>
      </c>
      <c r="AA981" s="29" t="str">
        <f t="shared" si="357"/>
        <v>NA</v>
      </c>
      <c r="AB981" s="29" t="str">
        <f t="shared" si="358"/>
        <v>NA</v>
      </c>
      <c r="AC981" s="29" t="str">
        <f t="shared" si="359"/>
        <v>NA</v>
      </c>
      <c r="AD981" s="29" t="str">
        <f t="shared" si="360"/>
        <v>NA</v>
      </c>
      <c r="AE981" s="29" t="str">
        <f t="shared" si="361"/>
        <v>NA</v>
      </c>
      <c r="AF981" s="29" t="str">
        <f t="shared" si="362"/>
        <v>NA</v>
      </c>
      <c r="AG981" s="29" t="str">
        <f t="shared" si="363"/>
        <v>NA</v>
      </c>
      <c r="AH981" s="29" t="str">
        <f t="shared" si="364"/>
        <v>NA</v>
      </c>
    </row>
    <row r="982" customHeight="1" spans="1:34">
      <c r="A982" s="12" t="s">
        <v>1043</v>
      </c>
      <c r="F982" s="24">
        <f t="shared" si="346"/>
        <v>0</v>
      </c>
      <c r="G982" s="24" t="e">
        <f t="shared" si="345"/>
        <v>#DIV/0!</v>
      </c>
      <c r="Q982" s="29" t="str">
        <f t="shared" si="347"/>
        <v>NA</v>
      </c>
      <c r="R982" s="29" t="str">
        <f t="shared" si="348"/>
        <v>NA</v>
      </c>
      <c r="S982" s="29" t="str">
        <f t="shared" si="349"/>
        <v>NA</v>
      </c>
      <c r="T982" s="29" t="str">
        <f t="shared" si="350"/>
        <v>NA</v>
      </c>
      <c r="U982" s="29" t="str">
        <f t="shared" si="351"/>
        <v>NA</v>
      </c>
      <c r="V982" s="29" t="str">
        <f t="shared" si="352"/>
        <v>NA</v>
      </c>
      <c r="W982" s="29" t="str">
        <f t="shared" si="353"/>
        <v>NA</v>
      </c>
      <c r="X982" s="29" t="str">
        <f t="shared" si="354"/>
        <v>NA</v>
      </c>
      <c r="Y982" s="29" t="str">
        <f t="shared" si="355"/>
        <v>NA</v>
      </c>
      <c r="Z982" s="29" t="str">
        <f t="shared" si="356"/>
        <v>NA</v>
      </c>
      <c r="AA982" s="29" t="str">
        <f t="shared" si="357"/>
        <v>NA</v>
      </c>
      <c r="AB982" s="29" t="str">
        <f t="shared" si="358"/>
        <v>NA</v>
      </c>
      <c r="AC982" s="29" t="str">
        <f t="shared" si="359"/>
        <v>NA</v>
      </c>
      <c r="AD982" s="29" t="str">
        <f t="shared" si="360"/>
        <v>NA</v>
      </c>
      <c r="AE982" s="29" t="str">
        <f t="shared" si="361"/>
        <v>NA</v>
      </c>
      <c r="AF982" s="29" t="str">
        <f t="shared" si="362"/>
        <v>NA</v>
      </c>
      <c r="AG982" s="29" t="str">
        <f t="shared" si="363"/>
        <v>NA</v>
      </c>
      <c r="AH982" s="29" t="str">
        <f t="shared" si="364"/>
        <v>NA</v>
      </c>
    </row>
    <row r="983" customHeight="1" spans="1:34">
      <c r="A983" s="12" t="s">
        <v>1043</v>
      </c>
      <c r="F983" s="24">
        <f t="shared" si="346"/>
        <v>0</v>
      </c>
      <c r="G983" s="24" t="e">
        <f t="shared" si="345"/>
        <v>#DIV/0!</v>
      </c>
      <c r="Q983" s="29" t="str">
        <f t="shared" si="347"/>
        <v>NA</v>
      </c>
      <c r="R983" s="29" t="str">
        <f t="shared" si="348"/>
        <v>NA</v>
      </c>
      <c r="S983" s="29" t="str">
        <f t="shared" si="349"/>
        <v>NA</v>
      </c>
      <c r="T983" s="29" t="str">
        <f t="shared" si="350"/>
        <v>NA</v>
      </c>
      <c r="U983" s="29" t="str">
        <f t="shared" si="351"/>
        <v>NA</v>
      </c>
      <c r="V983" s="29" t="str">
        <f t="shared" si="352"/>
        <v>NA</v>
      </c>
      <c r="W983" s="29" t="str">
        <f t="shared" si="353"/>
        <v>NA</v>
      </c>
      <c r="X983" s="29" t="str">
        <f t="shared" si="354"/>
        <v>NA</v>
      </c>
      <c r="Y983" s="29" t="str">
        <f t="shared" si="355"/>
        <v>NA</v>
      </c>
      <c r="Z983" s="29" t="str">
        <f t="shared" si="356"/>
        <v>NA</v>
      </c>
      <c r="AA983" s="29" t="str">
        <f t="shared" si="357"/>
        <v>NA</v>
      </c>
      <c r="AB983" s="29" t="str">
        <f t="shared" si="358"/>
        <v>NA</v>
      </c>
      <c r="AC983" s="29" t="str">
        <f t="shared" si="359"/>
        <v>NA</v>
      </c>
      <c r="AD983" s="29" t="str">
        <f t="shared" si="360"/>
        <v>NA</v>
      </c>
      <c r="AE983" s="29" t="str">
        <f t="shared" si="361"/>
        <v>NA</v>
      </c>
      <c r="AF983" s="29" t="str">
        <f t="shared" si="362"/>
        <v>NA</v>
      </c>
      <c r="AG983" s="29" t="str">
        <f t="shared" si="363"/>
        <v>NA</v>
      </c>
      <c r="AH983" s="29" t="str">
        <f t="shared" si="364"/>
        <v>NA</v>
      </c>
    </row>
    <row r="984" customHeight="1" spans="1:34">
      <c r="A984" s="12" t="s">
        <v>1043</v>
      </c>
      <c r="F984" s="24">
        <f t="shared" si="346"/>
        <v>0</v>
      </c>
      <c r="G984" s="24" t="e">
        <f t="shared" si="345"/>
        <v>#DIV/0!</v>
      </c>
      <c r="Q984" s="29" t="str">
        <f t="shared" si="347"/>
        <v>NA</v>
      </c>
      <c r="R984" s="29" t="str">
        <f t="shared" si="348"/>
        <v>NA</v>
      </c>
      <c r="S984" s="29" t="str">
        <f t="shared" si="349"/>
        <v>NA</v>
      </c>
      <c r="T984" s="29" t="str">
        <f t="shared" si="350"/>
        <v>NA</v>
      </c>
      <c r="U984" s="29" t="str">
        <f t="shared" si="351"/>
        <v>NA</v>
      </c>
      <c r="V984" s="29" t="str">
        <f t="shared" si="352"/>
        <v>NA</v>
      </c>
      <c r="W984" s="29" t="str">
        <f t="shared" si="353"/>
        <v>NA</v>
      </c>
      <c r="X984" s="29" t="str">
        <f t="shared" si="354"/>
        <v>NA</v>
      </c>
      <c r="Y984" s="29" t="str">
        <f t="shared" si="355"/>
        <v>NA</v>
      </c>
      <c r="Z984" s="29" t="str">
        <f t="shared" si="356"/>
        <v>NA</v>
      </c>
      <c r="AA984" s="29" t="str">
        <f t="shared" si="357"/>
        <v>NA</v>
      </c>
      <c r="AB984" s="29" t="str">
        <f t="shared" si="358"/>
        <v>NA</v>
      </c>
      <c r="AC984" s="29" t="str">
        <f t="shared" si="359"/>
        <v>NA</v>
      </c>
      <c r="AD984" s="29" t="str">
        <f t="shared" si="360"/>
        <v>NA</v>
      </c>
      <c r="AE984" s="29" t="str">
        <f t="shared" si="361"/>
        <v>NA</v>
      </c>
      <c r="AF984" s="29" t="str">
        <f t="shared" si="362"/>
        <v>NA</v>
      </c>
      <c r="AG984" s="29" t="str">
        <f t="shared" si="363"/>
        <v>NA</v>
      </c>
      <c r="AH984" s="29" t="str">
        <f t="shared" si="364"/>
        <v>NA</v>
      </c>
    </row>
    <row r="985" customHeight="1" spans="1:34">
      <c r="A985" s="12" t="s">
        <v>1043</v>
      </c>
      <c r="F985" s="24">
        <f t="shared" si="346"/>
        <v>0</v>
      </c>
      <c r="G985" s="24" t="e">
        <f t="shared" si="345"/>
        <v>#DIV/0!</v>
      </c>
      <c r="Q985" s="29" t="str">
        <f t="shared" si="347"/>
        <v>NA</v>
      </c>
      <c r="R985" s="29" t="str">
        <f t="shared" si="348"/>
        <v>NA</v>
      </c>
      <c r="S985" s="29" t="str">
        <f t="shared" si="349"/>
        <v>NA</v>
      </c>
      <c r="T985" s="29" t="str">
        <f t="shared" si="350"/>
        <v>NA</v>
      </c>
      <c r="U985" s="29" t="str">
        <f t="shared" si="351"/>
        <v>NA</v>
      </c>
      <c r="V985" s="29" t="str">
        <f t="shared" si="352"/>
        <v>NA</v>
      </c>
      <c r="W985" s="29" t="str">
        <f t="shared" si="353"/>
        <v>NA</v>
      </c>
      <c r="X985" s="29" t="str">
        <f t="shared" si="354"/>
        <v>NA</v>
      </c>
      <c r="Y985" s="29" t="str">
        <f t="shared" si="355"/>
        <v>NA</v>
      </c>
      <c r="Z985" s="29" t="str">
        <f t="shared" si="356"/>
        <v>NA</v>
      </c>
      <c r="AA985" s="29" t="str">
        <f t="shared" si="357"/>
        <v>NA</v>
      </c>
      <c r="AB985" s="29" t="str">
        <f t="shared" si="358"/>
        <v>NA</v>
      </c>
      <c r="AC985" s="29" t="str">
        <f t="shared" si="359"/>
        <v>NA</v>
      </c>
      <c r="AD985" s="29" t="str">
        <f t="shared" si="360"/>
        <v>NA</v>
      </c>
      <c r="AE985" s="29" t="str">
        <f t="shared" si="361"/>
        <v>NA</v>
      </c>
      <c r="AF985" s="29" t="str">
        <f t="shared" si="362"/>
        <v>NA</v>
      </c>
      <c r="AG985" s="29" t="str">
        <f t="shared" si="363"/>
        <v>NA</v>
      </c>
      <c r="AH985" s="29" t="str">
        <f t="shared" si="364"/>
        <v>NA</v>
      </c>
    </row>
    <row r="986" customHeight="1" spans="1:34">
      <c r="A986" s="12" t="s">
        <v>1043</v>
      </c>
      <c r="F986" s="24">
        <f t="shared" si="346"/>
        <v>0</v>
      </c>
      <c r="G986" s="24" t="e">
        <f t="shared" si="345"/>
        <v>#DIV/0!</v>
      </c>
      <c r="Q986" s="29" t="str">
        <f t="shared" si="347"/>
        <v>NA</v>
      </c>
      <c r="R986" s="29" t="str">
        <f t="shared" si="348"/>
        <v>NA</v>
      </c>
      <c r="S986" s="29" t="str">
        <f t="shared" si="349"/>
        <v>NA</v>
      </c>
      <c r="T986" s="29" t="str">
        <f t="shared" si="350"/>
        <v>NA</v>
      </c>
      <c r="U986" s="29" t="str">
        <f t="shared" si="351"/>
        <v>NA</v>
      </c>
      <c r="V986" s="29" t="str">
        <f t="shared" si="352"/>
        <v>NA</v>
      </c>
      <c r="W986" s="29" t="str">
        <f t="shared" si="353"/>
        <v>NA</v>
      </c>
      <c r="X986" s="29" t="str">
        <f t="shared" si="354"/>
        <v>NA</v>
      </c>
      <c r="Y986" s="29" t="str">
        <f t="shared" si="355"/>
        <v>NA</v>
      </c>
      <c r="Z986" s="29" t="str">
        <f t="shared" si="356"/>
        <v>NA</v>
      </c>
      <c r="AA986" s="29" t="str">
        <f t="shared" si="357"/>
        <v>NA</v>
      </c>
      <c r="AB986" s="29" t="str">
        <f t="shared" si="358"/>
        <v>NA</v>
      </c>
      <c r="AC986" s="29" t="str">
        <f t="shared" si="359"/>
        <v>NA</v>
      </c>
      <c r="AD986" s="29" t="str">
        <f t="shared" si="360"/>
        <v>NA</v>
      </c>
      <c r="AE986" s="29" t="str">
        <f t="shared" si="361"/>
        <v>NA</v>
      </c>
      <c r="AF986" s="29" t="str">
        <f t="shared" si="362"/>
        <v>NA</v>
      </c>
      <c r="AG986" s="29" t="str">
        <f t="shared" si="363"/>
        <v>NA</v>
      </c>
      <c r="AH986" s="29" t="str">
        <f t="shared" si="364"/>
        <v>NA</v>
      </c>
    </row>
    <row r="987" customHeight="1" spans="1:34">
      <c r="A987" s="12" t="s">
        <v>1043</v>
      </c>
      <c r="F987" s="24">
        <f t="shared" si="346"/>
        <v>0</v>
      </c>
      <c r="G987" s="24" t="e">
        <f t="shared" si="345"/>
        <v>#DIV/0!</v>
      </c>
      <c r="Q987" s="29" t="str">
        <f t="shared" si="347"/>
        <v>NA</v>
      </c>
      <c r="R987" s="29" t="str">
        <f t="shared" si="348"/>
        <v>NA</v>
      </c>
      <c r="S987" s="29" t="str">
        <f t="shared" si="349"/>
        <v>NA</v>
      </c>
      <c r="T987" s="29" t="str">
        <f t="shared" si="350"/>
        <v>NA</v>
      </c>
      <c r="U987" s="29" t="str">
        <f t="shared" si="351"/>
        <v>NA</v>
      </c>
      <c r="V987" s="29" t="str">
        <f t="shared" si="352"/>
        <v>NA</v>
      </c>
      <c r="W987" s="29" t="str">
        <f t="shared" si="353"/>
        <v>NA</v>
      </c>
      <c r="X987" s="29" t="str">
        <f t="shared" si="354"/>
        <v>NA</v>
      </c>
      <c r="Y987" s="29" t="str">
        <f t="shared" si="355"/>
        <v>NA</v>
      </c>
      <c r="Z987" s="29" t="str">
        <f t="shared" si="356"/>
        <v>NA</v>
      </c>
      <c r="AA987" s="29" t="str">
        <f t="shared" si="357"/>
        <v>NA</v>
      </c>
      <c r="AB987" s="29" t="str">
        <f t="shared" si="358"/>
        <v>NA</v>
      </c>
      <c r="AC987" s="29" t="str">
        <f t="shared" si="359"/>
        <v>NA</v>
      </c>
      <c r="AD987" s="29" t="str">
        <f t="shared" si="360"/>
        <v>NA</v>
      </c>
      <c r="AE987" s="29" t="str">
        <f t="shared" si="361"/>
        <v>NA</v>
      </c>
      <c r="AF987" s="29" t="str">
        <f t="shared" si="362"/>
        <v>NA</v>
      </c>
      <c r="AG987" s="29" t="str">
        <f t="shared" si="363"/>
        <v>NA</v>
      </c>
      <c r="AH987" s="29" t="str">
        <f t="shared" si="364"/>
        <v>NA</v>
      </c>
    </row>
    <row r="988" customHeight="1" spans="1:34">
      <c r="A988" s="12" t="s">
        <v>1043</v>
      </c>
      <c r="F988" s="24">
        <f t="shared" si="346"/>
        <v>0</v>
      </c>
      <c r="G988" s="24" t="e">
        <f t="shared" si="345"/>
        <v>#DIV/0!</v>
      </c>
      <c r="Q988" s="29" t="str">
        <f t="shared" si="347"/>
        <v>NA</v>
      </c>
      <c r="R988" s="29" t="str">
        <f t="shared" si="348"/>
        <v>NA</v>
      </c>
      <c r="S988" s="29" t="str">
        <f t="shared" si="349"/>
        <v>NA</v>
      </c>
      <c r="T988" s="29" t="str">
        <f t="shared" si="350"/>
        <v>NA</v>
      </c>
      <c r="U988" s="29" t="str">
        <f t="shared" si="351"/>
        <v>NA</v>
      </c>
      <c r="V988" s="29" t="str">
        <f t="shared" si="352"/>
        <v>NA</v>
      </c>
      <c r="W988" s="29" t="str">
        <f t="shared" si="353"/>
        <v>NA</v>
      </c>
      <c r="X988" s="29" t="str">
        <f t="shared" si="354"/>
        <v>NA</v>
      </c>
      <c r="Y988" s="29" t="str">
        <f t="shared" si="355"/>
        <v>NA</v>
      </c>
      <c r="Z988" s="29" t="str">
        <f t="shared" si="356"/>
        <v>NA</v>
      </c>
      <c r="AA988" s="29" t="str">
        <f t="shared" si="357"/>
        <v>NA</v>
      </c>
      <c r="AB988" s="29" t="str">
        <f t="shared" si="358"/>
        <v>NA</v>
      </c>
      <c r="AC988" s="29" t="str">
        <f t="shared" si="359"/>
        <v>NA</v>
      </c>
      <c r="AD988" s="29" t="str">
        <f t="shared" si="360"/>
        <v>NA</v>
      </c>
      <c r="AE988" s="29" t="str">
        <f t="shared" si="361"/>
        <v>NA</v>
      </c>
      <c r="AF988" s="29" t="str">
        <f t="shared" si="362"/>
        <v>NA</v>
      </c>
      <c r="AG988" s="29" t="str">
        <f t="shared" si="363"/>
        <v>NA</v>
      </c>
      <c r="AH988" s="29" t="str">
        <f t="shared" si="364"/>
        <v>NA</v>
      </c>
    </row>
    <row r="989" customHeight="1" spans="1:34">
      <c r="A989" s="12" t="s">
        <v>1043</v>
      </c>
      <c r="F989" s="24">
        <f t="shared" si="346"/>
        <v>0</v>
      </c>
      <c r="G989" s="24" t="e">
        <f t="shared" si="345"/>
        <v>#DIV/0!</v>
      </c>
      <c r="Q989" s="29" t="str">
        <f t="shared" si="347"/>
        <v>NA</v>
      </c>
      <c r="R989" s="29" t="str">
        <f t="shared" si="348"/>
        <v>NA</v>
      </c>
      <c r="S989" s="29" t="str">
        <f t="shared" si="349"/>
        <v>NA</v>
      </c>
      <c r="T989" s="29" t="str">
        <f t="shared" si="350"/>
        <v>NA</v>
      </c>
      <c r="U989" s="29" t="str">
        <f t="shared" si="351"/>
        <v>NA</v>
      </c>
      <c r="V989" s="29" t="str">
        <f t="shared" si="352"/>
        <v>NA</v>
      </c>
      <c r="W989" s="29" t="str">
        <f t="shared" si="353"/>
        <v>NA</v>
      </c>
      <c r="X989" s="29" t="str">
        <f t="shared" si="354"/>
        <v>NA</v>
      </c>
      <c r="Y989" s="29" t="str">
        <f t="shared" si="355"/>
        <v>NA</v>
      </c>
      <c r="Z989" s="29" t="str">
        <f t="shared" si="356"/>
        <v>NA</v>
      </c>
      <c r="AA989" s="29" t="str">
        <f t="shared" si="357"/>
        <v>NA</v>
      </c>
      <c r="AB989" s="29" t="str">
        <f t="shared" si="358"/>
        <v>NA</v>
      </c>
      <c r="AC989" s="29" t="str">
        <f t="shared" si="359"/>
        <v>NA</v>
      </c>
      <c r="AD989" s="29" t="str">
        <f t="shared" si="360"/>
        <v>NA</v>
      </c>
      <c r="AE989" s="29" t="str">
        <f t="shared" si="361"/>
        <v>NA</v>
      </c>
      <c r="AF989" s="29" t="str">
        <f t="shared" si="362"/>
        <v>NA</v>
      </c>
      <c r="AG989" s="29" t="str">
        <f t="shared" si="363"/>
        <v>NA</v>
      </c>
      <c r="AH989" s="29" t="str">
        <f t="shared" si="364"/>
        <v>NA</v>
      </c>
    </row>
    <row r="990" customHeight="1" spans="1:34">
      <c r="A990" s="12" t="s">
        <v>1043</v>
      </c>
      <c r="F990" s="24">
        <f t="shared" si="346"/>
        <v>0</v>
      </c>
      <c r="G990" s="24" t="e">
        <f t="shared" si="345"/>
        <v>#DIV/0!</v>
      </c>
      <c r="Q990" s="29" t="str">
        <f t="shared" si="347"/>
        <v>NA</v>
      </c>
      <c r="R990" s="29" t="str">
        <f t="shared" si="348"/>
        <v>NA</v>
      </c>
      <c r="S990" s="29" t="str">
        <f t="shared" si="349"/>
        <v>NA</v>
      </c>
      <c r="T990" s="29" t="str">
        <f t="shared" si="350"/>
        <v>NA</v>
      </c>
      <c r="U990" s="29" t="str">
        <f t="shared" si="351"/>
        <v>NA</v>
      </c>
      <c r="V990" s="29" t="str">
        <f t="shared" si="352"/>
        <v>NA</v>
      </c>
      <c r="W990" s="29" t="str">
        <f t="shared" si="353"/>
        <v>NA</v>
      </c>
      <c r="X990" s="29" t="str">
        <f t="shared" si="354"/>
        <v>NA</v>
      </c>
      <c r="Y990" s="29" t="str">
        <f t="shared" si="355"/>
        <v>NA</v>
      </c>
      <c r="Z990" s="29" t="str">
        <f t="shared" si="356"/>
        <v>NA</v>
      </c>
      <c r="AA990" s="29" t="str">
        <f t="shared" si="357"/>
        <v>NA</v>
      </c>
      <c r="AB990" s="29" t="str">
        <f t="shared" si="358"/>
        <v>NA</v>
      </c>
      <c r="AC990" s="29" t="str">
        <f t="shared" si="359"/>
        <v>NA</v>
      </c>
      <c r="AD990" s="29" t="str">
        <f t="shared" si="360"/>
        <v>NA</v>
      </c>
      <c r="AE990" s="29" t="str">
        <f t="shared" si="361"/>
        <v>NA</v>
      </c>
      <c r="AF990" s="29" t="str">
        <f t="shared" si="362"/>
        <v>NA</v>
      </c>
      <c r="AG990" s="29" t="str">
        <f t="shared" si="363"/>
        <v>NA</v>
      </c>
      <c r="AH990" s="29" t="str">
        <f t="shared" si="364"/>
        <v>NA</v>
      </c>
    </row>
    <row r="991" customHeight="1" spans="1:34">
      <c r="A991" s="12" t="s">
        <v>1043</v>
      </c>
      <c r="F991" s="24">
        <f t="shared" si="346"/>
        <v>0</v>
      </c>
      <c r="G991" s="24" t="e">
        <f t="shared" si="345"/>
        <v>#DIV/0!</v>
      </c>
      <c r="Q991" s="29" t="str">
        <f t="shared" si="347"/>
        <v>NA</v>
      </c>
      <c r="R991" s="29" t="str">
        <f t="shared" si="348"/>
        <v>NA</v>
      </c>
      <c r="S991" s="29" t="str">
        <f t="shared" si="349"/>
        <v>NA</v>
      </c>
      <c r="T991" s="29" t="str">
        <f t="shared" si="350"/>
        <v>NA</v>
      </c>
      <c r="U991" s="29" t="str">
        <f t="shared" si="351"/>
        <v>NA</v>
      </c>
      <c r="V991" s="29" t="str">
        <f t="shared" si="352"/>
        <v>NA</v>
      </c>
      <c r="W991" s="29" t="str">
        <f t="shared" si="353"/>
        <v>NA</v>
      </c>
      <c r="X991" s="29" t="str">
        <f t="shared" si="354"/>
        <v>NA</v>
      </c>
      <c r="Y991" s="29" t="str">
        <f t="shared" si="355"/>
        <v>NA</v>
      </c>
      <c r="Z991" s="29" t="str">
        <f t="shared" si="356"/>
        <v>NA</v>
      </c>
      <c r="AA991" s="29" t="str">
        <f t="shared" si="357"/>
        <v>NA</v>
      </c>
      <c r="AB991" s="29" t="str">
        <f t="shared" si="358"/>
        <v>NA</v>
      </c>
      <c r="AC991" s="29" t="str">
        <f t="shared" si="359"/>
        <v>NA</v>
      </c>
      <c r="AD991" s="29" t="str">
        <f t="shared" si="360"/>
        <v>NA</v>
      </c>
      <c r="AE991" s="29" t="str">
        <f t="shared" si="361"/>
        <v>NA</v>
      </c>
      <c r="AF991" s="29" t="str">
        <f t="shared" si="362"/>
        <v>NA</v>
      </c>
      <c r="AG991" s="29" t="str">
        <f t="shared" si="363"/>
        <v>NA</v>
      </c>
      <c r="AH991" s="29" t="str">
        <f t="shared" si="364"/>
        <v>NA</v>
      </c>
    </row>
    <row r="992" customHeight="1" spans="1:34">
      <c r="A992" s="12" t="s">
        <v>1043</v>
      </c>
      <c r="F992" s="24">
        <f t="shared" si="346"/>
        <v>0</v>
      </c>
      <c r="G992" s="24" t="e">
        <f t="shared" si="345"/>
        <v>#DIV/0!</v>
      </c>
      <c r="Q992" s="29" t="str">
        <f t="shared" si="347"/>
        <v>NA</v>
      </c>
      <c r="R992" s="29" t="str">
        <f t="shared" si="348"/>
        <v>NA</v>
      </c>
      <c r="S992" s="29" t="str">
        <f t="shared" si="349"/>
        <v>NA</v>
      </c>
      <c r="T992" s="29" t="str">
        <f t="shared" si="350"/>
        <v>NA</v>
      </c>
      <c r="U992" s="29" t="str">
        <f t="shared" si="351"/>
        <v>NA</v>
      </c>
      <c r="V992" s="29" t="str">
        <f t="shared" si="352"/>
        <v>NA</v>
      </c>
      <c r="W992" s="29" t="str">
        <f t="shared" si="353"/>
        <v>NA</v>
      </c>
      <c r="X992" s="29" t="str">
        <f t="shared" si="354"/>
        <v>NA</v>
      </c>
      <c r="Y992" s="29" t="str">
        <f t="shared" si="355"/>
        <v>NA</v>
      </c>
      <c r="Z992" s="29" t="str">
        <f t="shared" si="356"/>
        <v>NA</v>
      </c>
      <c r="AA992" s="29" t="str">
        <f t="shared" si="357"/>
        <v>NA</v>
      </c>
      <c r="AB992" s="29" t="str">
        <f t="shared" si="358"/>
        <v>NA</v>
      </c>
      <c r="AC992" s="29" t="str">
        <f t="shared" si="359"/>
        <v>NA</v>
      </c>
      <c r="AD992" s="29" t="str">
        <f t="shared" si="360"/>
        <v>NA</v>
      </c>
      <c r="AE992" s="29" t="str">
        <f t="shared" si="361"/>
        <v>NA</v>
      </c>
      <c r="AF992" s="29" t="str">
        <f t="shared" si="362"/>
        <v>NA</v>
      </c>
      <c r="AG992" s="29" t="str">
        <f t="shared" si="363"/>
        <v>NA</v>
      </c>
      <c r="AH992" s="29" t="str">
        <f t="shared" si="364"/>
        <v>NA</v>
      </c>
    </row>
    <row r="993" customHeight="1" spans="1:34">
      <c r="A993" s="12" t="s">
        <v>1043</v>
      </c>
      <c r="F993" s="24">
        <f t="shared" si="346"/>
        <v>0</v>
      </c>
      <c r="G993" s="24" t="e">
        <f t="shared" si="345"/>
        <v>#DIV/0!</v>
      </c>
      <c r="Q993" s="29" t="str">
        <f t="shared" si="347"/>
        <v>NA</v>
      </c>
      <c r="R993" s="29" t="str">
        <f t="shared" si="348"/>
        <v>NA</v>
      </c>
      <c r="S993" s="29" t="str">
        <f t="shared" si="349"/>
        <v>NA</v>
      </c>
      <c r="T993" s="29" t="str">
        <f t="shared" si="350"/>
        <v>NA</v>
      </c>
      <c r="U993" s="29" t="str">
        <f t="shared" si="351"/>
        <v>NA</v>
      </c>
      <c r="V993" s="29" t="str">
        <f t="shared" si="352"/>
        <v>NA</v>
      </c>
      <c r="W993" s="29" t="str">
        <f t="shared" si="353"/>
        <v>NA</v>
      </c>
      <c r="X993" s="29" t="str">
        <f t="shared" si="354"/>
        <v>NA</v>
      </c>
      <c r="Y993" s="29" t="str">
        <f t="shared" si="355"/>
        <v>NA</v>
      </c>
      <c r="Z993" s="29" t="str">
        <f t="shared" si="356"/>
        <v>NA</v>
      </c>
      <c r="AA993" s="29" t="str">
        <f t="shared" si="357"/>
        <v>NA</v>
      </c>
      <c r="AB993" s="29" t="str">
        <f t="shared" si="358"/>
        <v>NA</v>
      </c>
      <c r="AC993" s="29" t="str">
        <f t="shared" si="359"/>
        <v>NA</v>
      </c>
      <c r="AD993" s="29" t="str">
        <f t="shared" si="360"/>
        <v>NA</v>
      </c>
      <c r="AE993" s="29" t="str">
        <f t="shared" si="361"/>
        <v>NA</v>
      </c>
      <c r="AF993" s="29" t="str">
        <f t="shared" si="362"/>
        <v>NA</v>
      </c>
      <c r="AG993" s="29" t="str">
        <f t="shared" si="363"/>
        <v>NA</v>
      </c>
      <c r="AH993" s="29" t="str">
        <f t="shared" si="364"/>
        <v>NA</v>
      </c>
    </row>
    <row r="994" customHeight="1" spans="1:34">
      <c r="A994" s="12" t="s">
        <v>1043</v>
      </c>
      <c r="F994" s="24">
        <f t="shared" si="346"/>
        <v>0</v>
      </c>
      <c r="G994" s="24" t="e">
        <f t="shared" si="345"/>
        <v>#DIV/0!</v>
      </c>
      <c r="Q994" s="29" t="str">
        <f t="shared" si="347"/>
        <v>NA</v>
      </c>
      <c r="R994" s="29" t="str">
        <f t="shared" si="348"/>
        <v>NA</v>
      </c>
      <c r="S994" s="29" t="str">
        <f t="shared" si="349"/>
        <v>NA</v>
      </c>
      <c r="T994" s="29" t="str">
        <f t="shared" si="350"/>
        <v>NA</v>
      </c>
      <c r="U994" s="29" t="str">
        <f t="shared" si="351"/>
        <v>NA</v>
      </c>
      <c r="V994" s="29" t="str">
        <f t="shared" si="352"/>
        <v>NA</v>
      </c>
      <c r="W994" s="29" t="str">
        <f t="shared" si="353"/>
        <v>NA</v>
      </c>
      <c r="X994" s="29" t="str">
        <f t="shared" si="354"/>
        <v>NA</v>
      </c>
      <c r="Y994" s="29" t="str">
        <f t="shared" si="355"/>
        <v>NA</v>
      </c>
      <c r="Z994" s="29" t="str">
        <f t="shared" si="356"/>
        <v>NA</v>
      </c>
      <c r="AA994" s="29" t="str">
        <f t="shared" si="357"/>
        <v>NA</v>
      </c>
      <c r="AB994" s="29" t="str">
        <f t="shared" si="358"/>
        <v>NA</v>
      </c>
      <c r="AC994" s="29" t="str">
        <f t="shared" si="359"/>
        <v>NA</v>
      </c>
      <c r="AD994" s="29" t="str">
        <f t="shared" si="360"/>
        <v>NA</v>
      </c>
      <c r="AE994" s="29" t="str">
        <f t="shared" si="361"/>
        <v>NA</v>
      </c>
      <c r="AF994" s="29" t="str">
        <f t="shared" si="362"/>
        <v>NA</v>
      </c>
      <c r="AG994" s="29" t="str">
        <f t="shared" si="363"/>
        <v>NA</v>
      </c>
      <c r="AH994" s="29" t="str">
        <f t="shared" si="364"/>
        <v>NA</v>
      </c>
    </row>
    <row r="995" customHeight="1" spans="1:34">
      <c r="A995" s="12" t="s">
        <v>1043</v>
      </c>
      <c r="F995" s="24">
        <f t="shared" si="346"/>
        <v>0</v>
      </c>
      <c r="G995" s="24" t="e">
        <f t="shared" si="345"/>
        <v>#DIV/0!</v>
      </c>
      <c r="Q995" s="29" t="str">
        <f t="shared" si="347"/>
        <v>NA</v>
      </c>
      <c r="R995" s="29" t="str">
        <f t="shared" si="348"/>
        <v>NA</v>
      </c>
      <c r="S995" s="29" t="str">
        <f t="shared" si="349"/>
        <v>NA</v>
      </c>
      <c r="T995" s="29" t="str">
        <f t="shared" si="350"/>
        <v>NA</v>
      </c>
      <c r="U995" s="29" t="str">
        <f t="shared" si="351"/>
        <v>NA</v>
      </c>
      <c r="V995" s="29" t="str">
        <f t="shared" si="352"/>
        <v>NA</v>
      </c>
      <c r="W995" s="29" t="str">
        <f t="shared" si="353"/>
        <v>NA</v>
      </c>
      <c r="X995" s="29" t="str">
        <f t="shared" si="354"/>
        <v>NA</v>
      </c>
      <c r="Y995" s="29" t="str">
        <f t="shared" si="355"/>
        <v>NA</v>
      </c>
      <c r="Z995" s="29" t="str">
        <f t="shared" si="356"/>
        <v>NA</v>
      </c>
      <c r="AA995" s="29" t="str">
        <f t="shared" si="357"/>
        <v>NA</v>
      </c>
      <c r="AB995" s="29" t="str">
        <f t="shared" si="358"/>
        <v>NA</v>
      </c>
      <c r="AC995" s="29" t="str">
        <f t="shared" si="359"/>
        <v>NA</v>
      </c>
      <c r="AD995" s="29" t="str">
        <f t="shared" si="360"/>
        <v>NA</v>
      </c>
      <c r="AE995" s="29" t="str">
        <f t="shared" si="361"/>
        <v>NA</v>
      </c>
      <c r="AF995" s="29" t="str">
        <f t="shared" si="362"/>
        <v>NA</v>
      </c>
      <c r="AG995" s="29" t="str">
        <f t="shared" si="363"/>
        <v>NA</v>
      </c>
      <c r="AH995" s="29" t="str">
        <f t="shared" si="364"/>
        <v>NA</v>
      </c>
    </row>
    <row r="996" customHeight="1" spans="1:34">
      <c r="A996" s="12" t="s">
        <v>1043</v>
      </c>
      <c r="F996" s="24">
        <f t="shared" si="346"/>
        <v>0</v>
      </c>
      <c r="G996" s="24" t="e">
        <f t="shared" si="345"/>
        <v>#DIV/0!</v>
      </c>
      <c r="Q996" s="29" t="str">
        <f t="shared" si="347"/>
        <v>NA</v>
      </c>
      <c r="R996" s="29" t="str">
        <f t="shared" si="348"/>
        <v>NA</v>
      </c>
      <c r="S996" s="29" t="str">
        <f t="shared" si="349"/>
        <v>NA</v>
      </c>
      <c r="T996" s="29" t="str">
        <f t="shared" si="350"/>
        <v>NA</v>
      </c>
      <c r="U996" s="29" t="str">
        <f t="shared" si="351"/>
        <v>NA</v>
      </c>
      <c r="V996" s="29" t="str">
        <f t="shared" si="352"/>
        <v>NA</v>
      </c>
      <c r="W996" s="29" t="str">
        <f t="shared" si="353"/>
        <v>NA</v>
      </c>
      <c r="X996" s="29" t="str">
        <f t="shared" si="354"/>
        <v>NA</v>
      </c>
      <c r="Y996" s="29" t="str">
        <f t="shared" si="355"/>
        <v>NA</v>
      </c>
      <c r="Z996" s="29" t="str">
        <f t="shared" si="356"/>
        <v>NA</v>
      </c>
      <c r="AA996" s="29" t="str">
        <f t="shared" si="357"/>
        <v>NA</v>
      </c>
      <c r="AB996" s="29" t="str">
        <f t="shared" si="358"/>
        <v>NA</v>
      </c>
      <c r="AC996" s="29" t="str">
        <f t="shared" si="359"/>
        <v>NA</v>
      </c>
      <c r="AD996" s="29" t="str">
        <f t="shared" si="360"/>
        <v>NA</v>
      </c>
      <c r="AE996" s="29" t="str">
        <f t="shared" si="361"/>
        <v>NA</v>
      </c>
      <c r="AF996" s="29" t="str">
        <f t="shared" si="362"/>
        <v>NA</v>
      </c>
      <c r="AG996" s="29" t="str">
        <f t="shared" si="363"/>
        <v>NA</v>
      </c>
      <c r="AH996" s="29" t="str">
        <f t="shared" si="364"/>
        <v>NA</v>
      </c>
    </row>
    <row r="997" customHeight="1" spans="1:34">
      <c r="A997" s="12" t="s">
        <v>1043</v>
      </c>
      <c r="F997" s="24">
        <f t="shared" si="346"/>
        <v>0</v>
      </c>
      <c r="G997" s="24" t="e">
        <f t="shared" si="345"/>
        <v>#DIV/0!</v>
      </c>
      <c r="Q997" s="29" t="str">
        <f t="shared" si="347"/>
        <v>NA</v>
      </c>
      <c r="R997" s="29" t="str">
        <f t="shared" si="348"/>
        <v>NA</v>
      </c>
      <c r="S997" s="29" t="str">
        <f t="shared" si="349"/>
        <v>NA</v>
      </c>
      <c r="T997" s="29" t="str">
        <f t="shared" si="350"/>
        <v>NA</v>
      </c>
      <c r="U997" s="29" t="str">
        <f t="shared" si="351"/>
        <v>NA</v>
      </c>
      <c r="V997" s="29" t="str">
        <f t="shared" si="352"/>
        <v>NA</v>
      </c>
      <c r="W997" s="29" t="str">
        <f t="shared" si="353"/>
        <v>NA</v>
      </c>
      <c r="X997" s="29" t="str">
        <f t="shared" si="354"/>
        <v>NA</v>
      </c>
      <c r="Y997" s="29" t="str">
        <f t="shared" si="355"/>
        <v>NA</v>
      </c>
      <c r="Z997" s="29" t="str">
        <f t="shared" si="356"/>
        <v>NA</v>
      </c>
      <c r="AA997" s="29" t="str">
        <f t="shared" si="357"/>
        <v>NA</v>
      </c>
      <c r="AB997" s="29" t="str">
        <f t="shared" si="358"/>
        <v>NA</v>
      </c>
      <c r="AC997" s="29" t="str">
        <f t="shared" si="359"/>
        <v>NA</v>
      </c>
      <c r="AD997" s="29" t="str">
        <f t="shared" si="360"/>
        <v>NA</v>
      </c>
      <c r="AE997" s="29" t="str">
        <f t="shared" si="361"/>
        <v>NA</v>
      </c>
      <c r="AF997" s="29" t="str">
        <f t="shared" si="362"/>
        <v>NA</v>
      </c>
      <c r="AG997" s="29" t="str">
        <f t="shared" si="363"/>
        <v>NA</v>
      </c>
      <c r="AH997" s="29" t="str">
        <f t="shared" si="364"/>
        <v>NA</v>
      </c>
    </row>
    <row r="998" customHeight="1" spans="1:34">
      <c r="A998" s="12" t="s">
        <v>1043</v>
      </c>
      <c r="F998" s="24">
        <f t="shared" si="346"/>
        <v>0</v>
      </c>
      <c r="G998" s="24" t="e">
        <f t="shared" si="345"/>
        <v>#DIV/0!</v>
      </c>
      <c r="Q998" s="29" t="str">
        <f t="shared" si="347"/>
        <v>NA</v>
      </c>
      <c r="R998" s="29" t="str">
        <f t="shared" si="348"/>
        <v>NA</v>
      </c>
      <c r="S998" s="29" t="str">
        <f t="shared" si="349"/>
        <v>NA</v>
      </c>
      <c r="T998" s="29" t="str">
        <f t="shared" si="350"/>
        <v>NA</v>
      </c>
      <c r="U998" s="29" t="str">
        <f t="shared" si="351"/>
        <v>NA</v>
      </c>
      <c r="V998" s="29" t="str">
        <f t="shared" si="352"/>
        <v>NA</v>
      </c>
      <c r="W998" s="29" t="str">
        <f t="shared" si="353"/>
        <v>NA</v>
      </c>
      <c r="X998" s="29" t="str">
        <f t="shared" si="354"/>
        <v>NA</v>
      </c>
      <c r="Y998" s="29" t="str">
        <f t="shared" si="355"/>
        <v>NA</v>
      </c>
      <c r="Z998" s="29" t="str">
        <f t="shared" si="356"/>
        <v>NA</v>
      </c>
      <c r="AA998" s="29" t="str">
        <f t="shared" si="357"/>
        <v>NA</v>
      </c>
      <c r="AB998" s="29" t="str">
        <f t="shared" si="358"/>
        <v>NA</v>
      </c>
      <c r="AC998" s="29" t="str">
        <f t="shared" si="359"/>
        <v>NA</v>
      </c>
      <c r="AD998" s="29" t="str">
        <f t="shared" si="360"/>
        <v>NA</v>
      </c>
      <c r="AE998" s="29" t="str">
        <f t="shared" si="361"/>
        <v>NA</v>
      </c>
      <c r="AF998" s="29" t="str">
        <f t="shared" si="362"/>
        <v>NA</v>
      </c>
      <c r="AG998" s="29" t="str">
        <f t="shared" si="363"/>
        <v>NA</v>
      </c>
      <c r="AH998" s="29" t="str">
        <f t="shared" si="364"/>
        <v>NA</v>
      </c>
    </row>
    <row r="999" customHeight="1" spans="1:34">
      <c r="A999" s="12" t="s">
        <v>1043</v>
      </c>
      <c r="F999" s="24">
        <f t="shared" si="346"/>
        <v>0</v>
      </c>
      <c r="G999" s="24" t="e">
        <f t="shared" si="345"/>
        <v>#DIV/0!</v>
      </c>
      <c r="Q999" s="29" t="str">
        <f t="shared" si="347"/>
        <v>NA</v>
      </c>
      <c r="R999" s="29" t="str">
        <f t="shared" si="348"/>
        <v>NA</v>
      </c>
      <c r="S999" s="29" t="str">
        <f t="shared" si="349"/>
        <v>NA</v>
      </c>
      <c r="T999" s="29" t="str">
        <f t="shared" si="350"/>
        <v>NA</v>
      </c>
      <c r="U999" s="29" t="str">
        <f t="shared" si="351"/>
        <v>NA</v>
      </c>
      <c r="V999" s="29" t="str">
        <f t="shared" si="352"/>
        <v>NA</v>
      </c>
      <c r="W999" s="29" t="str">
        <f t="shared" si="353"/>
        <v>NA</v>
      </c>
      <c r="X999" s="29" t="str">
        <f t="shared" si="354"/>
        <v>NA</v>
      </c>
      <c r="Y999" s="29" t="str">
        <f t="shared" si="355"/>
        <v>NA</v>
      </c>
      <c r="Z999" s="29" t="str">
        <f t="shared" si="356"/>
        <v>NA</v>
      </c>
      <c r="AA999" s="29" t="str">
        <f t="shared" si="357"/>
        <v>NA</v>
      </c>
      <c r="AB999" s="29" t="str">
        <f t="shared" si="358"/>
        <v>NA</v>
      </c>
      <c r="AC999" s="29" t="str">
        <f t="shared" si="359"/>
        <v>NA</v>
      </c>
      <c r="AD999" s="29" t="str">
        <f t="shared" si="360"/>
        <v>NA</v>
      </c>
      <c r="AE999" s="29" t="str">
        <f t="shared" si="361"/>
        <v>NA</v>
      </c>
      <c r="AF999" s="29" t="str">
        <f t="shared" si="362"/>
        <v>NA</v>
      </c>
      <c r="AG999" s="29" t="str">
        <f t="shared" si="363"/>
        <v>NA</v>
      </c>
      <c r="AH999" s="29" t="str">
        <f t="shared" si="364"/>
        <v>NA</v>
      </c>
    </row>
    <row r="1000" customHeight="1" spans="1:34">
      <c r="A1000" s="12" t="s">
        <v>1043</v>
      </c>
      <c r="F1000" s="24">
        <f t="shared" si="346"/>
        <v>0</v>
      </c>
      <c r="G1000" s="24" t="e">
        <f t="shared" si="345"/>
        <v>#DIV/0!</v>
      </c>
      <c r="Q1000" s="29" t="str">
        <f t="shared" si="347"/>
        <v>NA</v>
      </c>
      <c r="R1000" s="29" t="str">
        <f t="shared" si="348"/>
        <v>NA</v>
      </c>
      <c r="S1000" s="29" t="str">
        <f t="shared" si="349"/>
        <v>NA</v>
      </c>
      <c r="T1000" s="29" t="str">
        <f t="shared" si="350"/>
        <v>NA</v>
      </c>
      <c r="U1000" s="29" t="str">
        <f t="shared" si="351"/>
        <v>NA</v>
      </c>
      <c r="V1000" s="29" t="str">
        <f t="shared" si="352"/>
        <v>NA</v>
      </c>
      <c r="W1000" s="29" t="str">
        <f t="shared" si="353"/>
        <v>NA</v>
      </c>
      <c r="X1000" s="29" t="str">
        <f t="shared" si="354"/>
        <v>NA</v>
      </c>
      <c r="Y1000" s="29" t="str">
        <f t="shared" si="355"/>
        <v>NA</v>
      </c>
      <c r="Z1000" s="29" t="str">
        <f t="shared" si="356"/>
        <v>NA</v>
      </c>
      <c r="AA1000" s="29" t="str">
        <f t="shared" si="357"/>
        <v>NA</v>
      </c>
      <c r="AB1000" s="29" t="str">
        <f t="shared" si="358"/>
        <v>NA</v>
      </c>
      <c r="AC1000" s="29" t="str">
        <f t="shared" si="359"/>
        <v>NA</v>
      </c>
      <c r="AD1000" s="29" t="str">
        <f t="shared" si="360"/>
        <v>NA</v>
      </c>
      <c r="AE1000" s="29" t="str">
        <f t="shared" si="361"/>
        <v>NA</v>
      </c>
      <c r="AF1000" s="29" t="str">
        <f t="shared" si="362"/>
        <v>NA</v>
      </c>
      <c r="AG1000" s="29" t="str">
        <f t="shared" si="363"/>
        <v>NA</v>
      </c>
      <c r="AH1000" s="29" t="str">
        <f t="shared" si="364"/>
        <v>NA</v>
      </c>
    </row>
    <row r="1001" customHeight="1" spans="1:34">
      <c r="A1001" s="12" t="s">
        <v>1043</v>
      </c>
      <c r="F1001" s="24">
        <f t="shared" si="346"/>
        <v>0</v>
      </c>
      <c r="G1001" s="24" t="e">
        <f t="shared" si="345"/>
        <v>#DIV/0!</v>
      </c>
      <c r="Q1001" s="29" t="str">
        <f t="shared" si="347"/>
        <v>NA</v>
      </c>
      <c r="R1001" s="29" t="str">
        <f t="shared" si="348"/>
        <v>NA</v>
      </c>
      <c r="S1001" s="29" t="str">
        <f t="shared" si="349"/>
        <v>NA</v>
      </c>
      <c r="T1001" s="29" t="str">
        <f t="shared" si="350"/>
        <v>NA</v>
      </c>
      <c r="U1001" s="29" t="str">
        <f t="shared" si="351"/>
        <v>NA</v>
      </c>
      <c r="V1001" s="29" t="str">
        <f t="shared" si="352"/>
        <v>NA</v>
      </c>
      <c r="W1001" s="29" t="str">
        <f t="shared" si="353"/>
        <v>NA</v>
      </c>
      <c r="X1001" s="29" t="str">
        <f t="shared" si="354"/>
        <v>NA</v>
      </c>
      <c r="Y1001" s="29" t="str">
        <f t="shared" si="355"/>
        <v>NA</v>
      </c>
      <c r="Z1001" s="29" t="str">
        <f t="shared" si="356"/>
        <v>NA</v>
      </c>
      <c r="AA1001" s="29" t="str">
        <f t="shared" si="357"/>
        <v>NA</v>
      </c>
      <c r="AB1001" s="29" t="str">
        <f t="shared" si="358"/>
        <v>NA</v>
      </c>
      <c r="AC1001" s="29" t="str">
        <f t="shared" si="359"/>
        <v>NA</v>
      </c>
      <c r="AD1001" s="29" t="str">
        <f t="shared" si="360"/>
        <v>NA</v>
      </c>
      <c r="AE1001" s="29" t="str">
        <f t="shared" si="361"/>
        <v>NA</v>
      </c>
      <c r="AF1001" s="29" t="str">
        <f t="shared" si="362"/>
        <v>NA</v>
      </c>
      <c r="AG1001" s="29" t="str">
        <f t="shared" si="363"/>
        <v>NA</v>
      </c>
      <c r="AH1001" s="29" t="str">
        <f t="shared" si="364"/>
        <v>NA</v>
      </c>
    </row>
    <row r="1002" customHeight="1" spans="1:34">
      <c r="A1002" s="12" t="s">
        <v>1043</v>
      </c>
      <c r="F1002" s="24">
        <f t="shared" si="346"/>
        <v>0</v>
      </c>
      <c r="G1002" s="24" t="e">
        <f t="shared" si="345"/>
        <v>#DIV/0!</v>
      </c>
      <c r="Q1002" s="29" t="str">
        <f t="shared" si="347"/>
        <v>NA</v>
      </c>
      <c r="R1002" s="29" t="str">
        <f t="shared" si="348"/>
        <v>NA</v>
      </c>
      <c r="S1002" s="29" t="str">
        <f t="shared" si="349"/>
        <v>NA</v>
      </c>
      <c r="T1002" s="29" t="str">
        <f t="shared" si="350"/>
        <v>NA</v>
      </c>
      <c r="U1002" s="29" t="str">
        <f t="shared" si="351"/>
        <v>NA</v>
      </c>
      <c r="V1002" s="29" t="str">
        <f t="shared" si="352"/>
        <v>NA</v>
      </c>
      <c r="W1002" s="29" t="str">
        <f t="shared" si="353"/>
        <v>NA</v>
      </c>
      <c r="X1002" s="29" t="str">
        <f t="shared" si="354"/>
        <v>NA</v>
      </c>
      <c r="Y1002" s="29" t="str">
        <f t="shared" si="355"/>
        <v>NA</v>
      </c>
      <c r="Z1002" s="29" t="str">
        <f t="shared" si="356"/>
        <v>NA</v>
      </c>
      <c r="AA1002" s="29" t="str">
        <f t="shared" si="357"/>
        <v>NA</v>
      </c>
      <c r="AB1002" s="29" t="str">
        <f t="shared" si="358"/>
        <v>NA</v>
      </c>
      <c r="AC1002" s="29" t="str">
        <f t="shared" si="359"/>
        <v>NA</v>
      </c>
      <c r="AD1002" s="29" t="str">
        <f t="shared" si="360"/>
        <v>NA</v>
      </c>
      <c r="AE1002" s="29" t="str">
        <f t="shared" si="361"/>
        <v>NA</v>
      </c>
      <c r="AF1002" s="29" t="str">
        <f t="shared" si="362"/>
        <v>NA</v>
      </c>
      <c r="AG1002" s="29" t="str">
        <f t="shared" si="363"/>
        <v>NA</v>
      </c>
      <c r="AH1002" s="29" t="str">
        <f t="shared" si="364"/>
        <v>NA</v>
      </c>
    </row>
    <row r="1003" customHeight="1" spans="1:34">
      <c r="A1003" s="12" t="s">
        <v>1043</v>
      </c>
      <c r="F1003" s="24">
        <f t="shared" si="346"/>
        <v>0</v>
      </c>
      <c r="G1003" s="24" t="e">
        <f t="shared" si="345"/>
        <v>#DIV/0!</v>
      </c>
      <c r="Q1003" s="29" t="str">
        <f t="shared" si="347"/>
        <v>NA</v>
      </c>
      <c r="R1003" s="29" t="str">
        <f t="shared" si="348"/>
        <v>NA</v>
      </c>
      <c r="S1003" s="29" t="str">
        <f t="shared" si="349"/>
        <v>NA</v>
      </c>
      <c r="T1003" s="29" t="str">
        <f t="shared" si="350"/>
        <v>NA</v>
      </c>
      <c r="U1003" s="29" t="str">
        <f t="shared" si="351"/>
        <v>NA</v>
      </c>
      <c r="V1003" s="29" t="str">
        <f t="shared" si="352"/>
        <v>NA</v>
      </c>
      <c r="W1003" s="29" t="str">
        <f t="shared" si="353"/>
        <v>NA</v>
      </c>
      <c r="X1003" s="29" t="str">
        <f t="shared" si="354"/>
        <v>NA</v>
      </c>
      <c r="Y1003" s="29" t="str">
        <f t="shared" si="355"/>
        <v>NA</v>
      </c>
      <c r="Z1003" s="29" t="str">
        <f t="shared" si="356"/>
        <v>NA</v>
      </c>
      <c r="AA1003" s="29" t="str">
        <f t="shared" si="357"/>
        <v>NA</v>
      </c>
      <c r="AB1003" s="29" t="str">
        <f t="shared" si="358"/>
        <v>NA</v>
      </c>
      <c r="AC1003" s="29" t="str">
        <f t="shared" si="359"/>
        <v>NA</v>
      </c>
      <c r="AD1003" s="29" t="str">
        <f t="shared" si="360"/>
        <v>NA</v>
      </c>
      <c r="AE1003" s="29" t="str">
        <f t="shared" si="361"/>
        <v>NA</v>
      </c>
      <c r="AF1003" s="29" t="str">
        <f t="shared" si="362"/>
        <v>NA</v>
      </c>
      <c r="AG1003" s="29" t="str">
        <f t="shared" si="363"/>
        <v>NA</v>
      </c>
      <c r="AH1003" s="29" t="str">
        <f t="shared" si="364"/>
        <v>NA</v>
      </c>
    </row>
    <row r="1004" customHeight="1" spans="1:34">
      <c r="A1004" s="12" t="s">
        <v>1043</v>
      </c>
      <c r="F1004" s="24">
        <f t="shared" si="346"/>
        <v>0</v>
      </c>
      <c r="G1004" s="24" t="e">
        <f t="shared" si="345"/>
        <v>#DIV/0!</v>
      </c>
      <c r="Q1004" s="29" t="str">
        <f t="shared" si="347"/>
        <v>NA</v>
      </c>
      <c r="R1004" s="29" t="str">
        <f t="shared" si="348"/>
        <v>NA</v>
      </c>
      <c r="S1004" s="29" t="str">
        <f t="shared" si="349"/>
        <v>NA</v>
      </c>
      <c r="T1004" s="29" t="str">
        <f t="shared" si="350"/>
        <v>NA</v>
      </c>
      <c r="U1004" s="29" t="str">
        <f t="shared" si="351"/>
        <v>NA</v>
      </c>
      <c r="V1004" s="29" t="str">
        <f t="shared" si="352"/>
        <v>NA</v>
      </c>
      <c r="W1004" s="29" t="str">
        <f t="shared" si="353"/>
        <v>NA</v>
      </c>
      <c r="X1004" s="29" t="str">
        <f t="shared" si="354"/>
        <v>NA</v>
      </c>
      <c r="Y1004" s="29" t="str">
        <f t="shared" si="355"/>
        <v>NA</v>
      </c>
      <c r="Z1004" s="29" t="str">
        <f t="shared" si="356"/>
        <v>NA</v>
      </c>
      <c r="AA1004" s="29" t="str">
        <f t="shared" si="357"/>
        <v>NA</v>
      </c>
      <c r="AB1004" s="29" t="str">
        <f t="shared" si="358"/>
        <v>NA</v>
      </c>
      <c r="AC1004" s="29" t="str">
        <f t="shared" si="359"/>
        <v>NA</v>
      </c>
      <c r="AD1004" s="29" t="str">
        <f t="shared" si="360"/>
        <v>NA</v>
      </c>
      <c r="AE1004" s="29" t="str">
        <f t="shared" si="361"/>
        <v>NA</v>
      </c>
      <c r="AF1004" s="29" t="str">
        <f t="shared" si="362"/>
        <v>NA</v>
      </c>
      <c r="AG1004" s="29" t="str">
        <f t="shared" si="363"/>
        <v>NA</v>
      </c>
      <c r="AH1004" s="29" t="str">
        <f t="shared" si="364"/>
        <v>NA</v>
      </c>
    </row>
    <row r="1005" customHeight="1" spans="1:34">
      <c r="A1005" s="12" t="s">
        <v>1043</v>
      </c>
      <c r="F1005" s="24">
        <f t="shared" si="346"/>
        <v>0</v>
      </c>
      <c r="G1005" s="24" t="e">
        <f t="shared" si="345"/>
        <v>#DIV/0!</v>
      </c>
      <c r="Q1005" s="29" t="str">
        <f t="shared" si="347"/>
        <v>NA</v>
      </c>
      <c r="R1005" s="29" t="str">
        <f t="shared" si="348"/>
        <v>NA</v>
      </c>
      <c r="S1005" s="29" t="str">
        <f t="shared" si="349"/>
        <v>NA</v>
      </c>
      <c r="T1005" s="29" t="str">
        <f t="shared" si="350"/>
        <v>NA</v>
      </c>
      <c r="U1005" s="29" t="str">
        <f t="shared" si="351"/>
        <v>NA</v>
      </c>
      <c r="V1005" s="29" t="str">
        <f t="shared" si="352"/>
        <v>NA</v>
      </c>
      <c r="W1005" s="29" t="str">
        <f t="shared" si="353"/>
        <v>NA</v>
      </c>
      <c r="X1005" s="29" t="str">
        <f t="shared" si="354"/>
        <v>NA</v>
      </c>
      <c r="Y1005" s="29" t="str">
        <f t="shared" si="355"/>
        <v>NA</v>
      </c>
      <c r="Z1005" s="29" t="str">
        <f t="shared" si="356"/>
        <v>NA</v>
      </c>
      <c r="AA1005" s="29" t="str">
        <f t="shared" si="357"/>
        <v>NA</v>
      </c>
      <c r="AB1005" s="29" t="str">
        <f t="shared" si="358"/>
        <v>NA</v>
      </c>
      <c r="AC1005" s="29" t="str">
        <f t="shared" si="359"/>
        <v>NA</v>
      </c>
      <c r="AD1005" s="29" t="str">
        <f t="shared" si="360"/>
        <v>NA</v>
      </c>
      <c r="AE1005" s="29" t="str">
        <f t="shared" si="361"/>
        <v>NA</v>
      </c>
      <c r="AF1005" s="29" t="str">
        <f t="shared" si="362"/>
        <v>NA</v>
      </c>
      <c r="AG1005" s="29" t="str">
        <f t="shared" si="363"/>
        <v>NA</v>
      </c>
      <c r="AH1005" s="29" t="str">
        <f t="shared" si="364"/>
        <v>NA</v>
      </c>
    </row>
    <row r="1006" customHeight="1" spans="1:34">
      <c r="A1006" s="12" t="s">
        <v>1043</v>
      </c>
      <c r="F1006" s="24">
        <f t="shared" si="346"/>
        <v>0</v>
      </c>
      <c r="G1006" s="24" t="e">
        <f t="shared" si="345"/>
        <v>#DIV/0!</v>
      </c>
      <c r="Q1006" s="29" t="str">
        <f t="shared" si="347"/>
        <v>NA</v>
      </c>
      <c r="R1006" s="29" t="str">
        <f t="shared" si="348"/>
        <v>NA</v>
      </c>
      <c r="S1006" s="29" t="str">
        <f t="shared" si="349"/>
        <v>NA</v>
      </c>
      <c r="T1006" s="29" t="str">
        <f t="shared" si="350"/>
        <v>NA</v>
      </c>
      <c r="U1006" s="29" t="str">
        <f t="shared" si="351"/>
        <v>NA</v>
      </c>
      <c r="V1006" s="29" t="str">
        <f t="shared" si="352"/>
        <v>NA</v>
      </c>
      <c r="W1006" s="29" t="str">
        <f t="shared" si="353"/>
        <v>NA</v>
      </c>
      <c r="X1006" s="29" t="str">
        <f t="shared" si="354"/>
        <v>NA</v>
      </c>
      <c r="Y1006" s="29" t="str">
        <f t="shared" si="355"/>
        <v>NA</v>
      </c>
      <c r="Z1006" s="29" t="str">
        <f t="shared" si="356"/>
        <v>NA</v>
      </c>
      <c r="AA1006" s="29" t="str">
        <f t="shared" si="357"/>
        <v>NA</v>
      </c>
      <c r="AB1006" s="29" t="str">
        <f t="shared" si="358"/>
        <v>NA</v>
      </c>
      <c r="AC1006" s="29" t="str">
        <f t="shared" si="359"/>
        <v>NA</v>
      </c>
      <c r="AD1006" s="29" t="str">
        <f t="shared" si="360"/>
        <v>NA</v>
      </c>
      <c r="AE1006" s="29" t="str">
        <f t="shared" si="361"/>
        <v>NA</v>
      </c>
      <c r="AF1006" s="29" t="str">
        <f t="shared" si="362"/>
        <v>NA</v>
      </c>
      <c r="AG1006" s="29" t="str">
        <f t="shared" si="363"/>
        <v>NA</v>
      </c>
      <c r="AH1006" s="29" t="str">
        <f t="shared" si="364"/>
        <v>NA</v>
      </c>
    </row>
    <row r="1007" customHeight="1" spans="1:34">
      <c r="A1007" s="12" t="s">
        <v>1043</v>
      </c>
      <c r="F1007" s="24">
        <f t="shared" si="346"/>
        <v>0</v>
      </c>
      <c r="G1007" s="24" t="e">
        <f t="shared" si="345"/>
        <v>#DIV/0!</v>
      </c>
      <c r="Q1007" s="29" t="str">
        <f t="shared" si="347"/>
        <v>NA</v>
      </c>
      <c r="R1007" s="29" t="str">
        <f t="shared" si="348"/>
        <v>NA</v>
      </c>
      <c r="S1007" s="29" t="str">
        <f t="shared" si="349"/>
        <v>NA</v>
      </c>
      <c r="T1007" s="29" t="str">
        <f t="shared" si="350"/>
        <v>NA</v>
      </c>
      <c r="U1007" s="29" t="str">
        <f t="shared" si="351"/>
        <v>NA</v>
      </c>
      <c r="V1007" s="29" t="str">
        <f t="shared" si="352"/>
        <v>NA</v>
      </c>
      <c r="W1007" s="29" t="str">
        <f t="shared" si="353"/>
        <v>NA</v>
      </c>
      <c r="X1007" s="29" t="str">
        <f t="shared" si="354"/>
        <v>NA</v>
      </c>
      <c r="Y1007" s="29" t="str">
        <f t="shared" si="355"/>
        <v>NA</v>
      </c>
      <c r="Z1007" s="29" t="str">
        <f t="shared" si="356"/>
        <v>NA</v>
      </c>
      <c r="AA1007" s="29" t="str">
        <f t="shared" si="357"/>
        <v>NA</v>
      </c>
      <c r="AB1007" s="29" t="str">
        <f t="shared" si="358"/>
        <v>NA</v>
      </c>
      <c r="AC1007" s="29" t="str">
        <f t="shared" si="359"/>
        <v>NA</v>
      </c>
      <c r="AD1007" s="29" t="str">
        <f t="shared" si="360"/>
        <v>NA</v>
      </c>
      <c r="AE1007" s="29" t="str">
        <f t="shared" si="361"/>
        <v>NA</v>
      </c>
      <c r="AF1007" s="29" t="str">
        <f t="shared" si="362"/>
        <v>NA</v>
      </c>
      <c r="AG1007" s="29" t="str">
        <f t="shared" si="363"/>
        <v>NA</v>
      </c>
      <c r="AH1007" s="29" t="str">
        <f t="shared" si="364"/>
        <v>NA</v>
      </c>
    </row>
    <row r="1008" customHeight="1" spans="1:34">
      <c r="A1008" s="12" t="s">
        <v>1043</v>
      </c>
      <c r="F1008" s="24">
        <f t="shared" si="346"/>
        <v>0</v>
      </c>
      <c r="G1008" s="24" t="e">
        <f t="shared" si="345"/>
        <v>#DIV/0!</v>
      </c>
      <c r="Q1008" s="29" t="str">
        <f t="shared" si="347"/>
        <v>NA</v>
      </c>
      <c r="R1008" s="29" t="str">
        <f t="shared" si="348"/>
        <v>NA</v>
      </c>
      <c r="S1008" s="29" t="str">
        <f t="shared" si="349"/>
        <v>NA</v>
      </c>
      <c r="T1008" s="29" t="str">
        <f t="shared" si="350"/>
        <v>NA</v>
      </c>
      <c r="U1008" s="29" t="str">
        <f t="shared" si="351"/>
        <v>NA</v>
      </c>
      <c r="V1008" s="29" t="str">
        <f t="shared" si="352"/>
        <v>NA</v>
      </c>
      <c r="W1008" s="29" t="str">
        <f t="shared" si="353"/>
        <v>NA</v>
      </c>
      <c r="X1008" s="29" t="str">
        <f t="shared" si="354"/>
        <v>NA</v>
      </c>
      <c r="Y1008" s="29" t="str">
        <f t="shared" si="355"/>
        <v>NA</v>
      </c>
      <c r="Z1008" s="29" t="str">
        <f t="shared" si="356"/>
        <v>NA</v>
      </c>
      <c r="AA1008" s="29" t="str">
        <f t="shared" si="357"/>
        <v>NA</v>
      </c>
      <c r="AB1008" s="29" t="str">
        <f t="shared" si="358"/>
        <v>NA</v>
      </c>
      <c r="AC1008" s="29" t="str">
        <f t="shared" si="359"/>
        <v>NA</v>
      </c>
      <c r="AD1008" s="29" t="str">
        <f t="shared" si="360"/>
        <v>NA</v>
      </c>
      <c r="AE1008" s="29" t="str">
        <f t="shared" si="361"/>
        <v>NA</v>
      </c>
      <c r="AF1008" s="29" t="str">
        <f t="shared" si="362"/>
        <v>NA</v>
      </c>
      <c r="AG1008" s="29" t="str">
        <f t="shared" si="363"/>
        <v>NA</v>
      </c>
      <c r="AH1008" s="29" t="str">
        <f t="shared" si="364"/>
        <v>NA</v>
      </c>
    </row>
    <row r="1009" customHeight="1" spans="1:34">
      <c r="A1009" s="12" t="s">
        <v>1043</v>
      </c>
      <c r="F1009" s="24">
        <f t="shared" si="346"/>
        <v>0</v>
      </c>
      <c r="G1009" s="24" t="e">
        <f t="shared" si="345"/>
        <v>#DIV/0!</v>
      </c>
      <c r="Q1009" s="29" t="str">
        <f t="shared" si="347"/>
        <v>NA</v>
      </c>
      <c r="R1009" s="29" t="str">
        <f t="shared" si="348"/>
        <v>NA</v>
      </c>
      <c r="S1009" s="29" t="str">
        <f t="shared" si="349"/>
        <v>NA</v>
      </c>
      <c r="T1009" s="29" t="str">
        <f t="shared" si="350"/>
        <v>NA</v>
      </c>
      <c r="U1009" s="29" t="str">
        <f t="shared" si="351"/>
        <v>NA</v>
      </c>
      <c r="V1009" s="29" t="str">
        <f t="shared" si="352"/>
        <v>NA</v>
      </c>
      <c r="W1009" s="29" t="str">
        <f t="shared" si="353"/>
        <v>NA</v>
      </c>
      <c r="X1009" s="29" t="str">
        <f t="shared" si="354"/>
        <v>NA</v>
      </c>
      <c r="Y1009" s="29" t="str">
        <f t="shared" si="355"/>
        <v>NA</v>
      </c>
      <c r="Z1009" s="29" t="str">
        <f t="shared" si="356"/>
        <v>NA</v>
      </c>
      <c r="AA1009" s="29" t="str">
        <f t="shared" si="357"/>
        <v>NA</v>
      </c>
      <c r="AB1009" s="29" t="str">
        <f t="shared" si="358"/>
        <v>NA</v>
      </c>
      <c r="AC1009" s="29" t="str">
        <f t="shared" si="359"/>
        <v>NA</v>
      </c>
      <c r="AD1009" s="29" t="str">
        <f t="shared" si="360"/>
        <v>NA</v>
      </c>
      <c r="AE1009" s="29" t="str">
        <f t="shared" si="361"/>
        <v>NA</v>
      </c>
      <c r="AF1009" s="29" t="str">
        <f t="shared" si="362"/>
        <v>NA</v>
      </c>
      <c r="AG1009" s="29" t="str">
        <f t="shared" si="363"/>
        <v>NA</v>
      </c>
      <c r="AH1009" s="29" t="str">
        <f t="shared" si="364"/>
        <v>NA</v>
      </c>
    </row>
    <row r="1010" customHeight="1" spans="1:34">
      <c r="A1010" s="12" t="s">
        <v>1043</v>
      </c>
      <c r="F1010" s="24">
        <f t="shared" si="346"/>
        <v>0</v>
      </c>
      <c r="G1010" s="24" t="e">
        <f t="shared" si="345"/>
        <v>#DIV/0!</v>
      </c>
      <c r="Q1010" s="29" t="str">
        <f t="shared" si="347"/>
        <v>NA</v>
      </c>
      <c r="R1010" s="29" t="str">
        <f t="shared" si="348"/>
        <v>NA</v>
      </c>
      <c r="S1010" s="29" t="str">
        <f t="shared" si="349"/>
        <v>NA</v>
      </c>
      <c r="T1010" s="29" t="str">
        <f t="shared" si="350"/>
        <v>NA</v>
      </c>
      <c r="U1010" s="29" t="str">
        <f t="shared" si="351"/>
        <v>NA</v>
      </c>
      <c r="V1010" s="29" t="str">
        <f t="shared" si="352"/>
        <v>NA</v>
      </c>
      <c r="W1010" s="29" t="str">
        <f t="shared" si="353"/>
        <v>NA</v>
      </c>
      <c r="X1010" s="29" t="str">
        <f t="shared" si="354"/>
        <v>NA</v>
      </c>
      <c r="Y1010" s="29" t="str">
        <f t="shared" si="355"/>
        <v>NA</v>
      </c>
      <c r="Z1010" s="29" t="str">
        <f t="shared" si="356"/>
        <v>NA</v>
      </c>
      <c r="AA1010" s="29" t="str">
        <f t="shared" si="357"/>
        <v>NA</v>
      </c>
      <c r="AB1010" s="29" t="str">
        <f t="shared" si="358"/>
        <v>NA</v>
      </c>
      <c r="AC1010" s="29" t="str">
        <f t="shared" si="359"/>
        <v>NA</v>
      </c>
      <c r="AD1010" s="29" t="str">
        <f t="shared" si="360"/>
        <v>NA</v>
      </c>
      <c r="AE1010" s="29" t="str">
        <f t="shared" si="361"/>
        <v>NA</v>
      </c>
      <c r="AF1010" s="29" t="str">
        <f t="shared" si="362"/>
        <v>NA</v>
      </c>
      <c r="AG1010" s="29" t="str">
        <f t="shared" si="363"/>
        <v>NA</v>
      </c>
      <c r="AH1010" s="29" t="str">
        <f t="shared" si="364"/>
        <v>NA</v>
      </c>
    </row>
    <row r="1011" customHeight="1" spans="1:34">
      <c r="A1011" s="12" t="s">
        <v>1043</v>
      </c>
      <c r="F1011" s="24">
        <f t="shared" si="346"/>
        <v>0</v>
      </c>
      <c r="G1011" s="24" t="e">
        <f t="shared" si="345"/>
        <v>#DIV/0!</v>
      </c>
      <c r="Q1011" s="29" t="str">
        <f t="shared" si="347"/>
        <v>NA</v>
      </c>
      <c r="R1011" s="29" t="str">
        <f t="shared" si="348"/>
        <v>NA</v>
      </c>
      <c r="S1011" s="29" t="str">
        <f t="shared" si="349"/>
        <v>NA</v>
      </c>
      <c r="T1011" s="29" t="str">
        <f t="shared" si="350"/>
        <v>NA</v>
      </c>
      <c r="U1011" s="29" t="str">
        <f t="shared" si="351"/>
        <v>NA</v>
      </c>
      <c r="V1011" s="29" t="str">
        <f t="shared" si="352"/>
        <v>NA</v>
      </c>
      <c r="W1011" s="29" t="str">
        <f t="shared" si="353"/>
        <v>NA</v>
      </c>
      <c r="X1011" s="29" t="str">
        <f t="shared" si="354"/>
        <v>NA</v>
      </c>
      <c r="Y1011" s="29" t="str">
        <f t="shared" si="355"/>
        <v>NA</v>
      </c>
      <c r="Z1011" s="29" t="str">
        <f t="shared" si="356"/>
        <v>NA</v>
      </c>
      <c r="AA1011" s="29" t="str">
        <f t="shared" si="357"/>
        <v>NA</v>
      </c>
      <c r="AB1011" s="29" t="str">
        <f t="shared" si="358"/>
        <v>NA</v>
      </c>
      <c r="AC1011" s="29" t="str">
        <f t="shared" si="359"/>
        <v>NA</v>
      </c>
      <c r="AD1011" s="29" t="str">
        <f t="shared" si="360"/>
        <v>NA</v>
      </c>
      <c r="AE1011" s="29" t="str">
        <f t="shared" si="361"/>
        <v>NA</v>
      </c>
      <c r="AF1011" s="29" t="str">
        <f t="shared" si="362"/>
        <v>NA</v>
      </c>
      <c r="AG1011" s="29" t="str">
        <f t="shared" si="363"/>
        <v>NA</v>
      </c>
      <c r="AH1011" s="29" t="str">
        <f t="shared" si="364"/>
        <v>NA</v>
      </c>
    </row>
    <row r="1012" customHeight="1" spans="1:34">
      <c r="A1012" s="12" t="s">
        <v>1043</v>
      </c>
      <c r="F1012" s="24">
        <f t="shared" si="346"/>
        <v>0</v>
      </c>
      <c r="G1012" s="24" t="e">
        <f t="shared" si="345"/>
        <v>#DIV/0!</v>
      </c>
      <c r="Q1012" s="29" t="str">
        <f t="shared" si="347"/>
        <v>NA</v>
      </c>
      <c r="R1012" s="29" t="str">
        <f t="shared" si="348"/>
        <v>NA</v>
      </c>
      <c r="S1012" s="29" t="str">
        <f t="shared" si="349"/>
        <v>NA</v>
      </c>
      <c r="T1012" s="29" t="str">
        <f t="shared" si="350"/>
        <v>NA</v>
      </c>
      <c r="U1012" s="29" t="str">
        <f t="shared" si="351"/>
        <v>NA</v>
      </c>
      <c r="V1012" s="29" t="str">
        <f t="shared" si="352"/>
        <v>NA</v>
      </c>
      <c r="W1012" s="29" t="str">
        <f t="shared" si="353"/>
        <v>NA</v>
      </c>
      <c r="X1012" s="29" t="str">
        <f t="shared" si="354"/>
        <v>NA</v>
      </c>
      <c r="Y1012" s="29" t="str">
        <f t="shared" si="355"/>
        <v>NA</v>
      </c>
      <c r="Z1012" s="29" t="str">
        <f t="shared" si="356"/>
        <v>NA</v>
      </c>
      <c r="AA1012" s="29" t="str">
        <f t="shared" si="357"/>
        <v>NA</v>
      </c>
      <c r="AB1012" s="29" t="str">
        <f t="shared" si="358"/>
        <v>NA</v>
      </c>
      <c r="AC1012" s="29" t="str">
        <f t="shared" si="359"/>
        <v>NA</v>
      </c>
      <c r="AD1012" s="29" t="str">
        <f t="shared" si="360"/>
        <v>NA</v>
      </c>
      <c r="AE1012" s="29" t="str">
        <f t="shared" si="361"/>
        <v>NA</v>
      </c>
      <c r="AF1012" s="29" t="str">
        <f t="shared" si="362"/>
        <v>NA</v>
      </c>
      <c r="AG1012" s="29" t="str">
        <f t="shared" si="363"/>
        <v>NA</v>
      </c>
      <c r="AH1012" s="29" t="str">
        <f t="shared" si="364"/>
        <v>NA</v>
      </c>
    </row>
    <row r="1013" customHeight="1" spans="1:34">
      <c r="A1013" s="12" t="s">
        <v>1043</v>
      </c>
      <c r="F1013" s="24">
        <f t="shared" si="346"/>
        <v>0</v>
      </c>
      <c r="G1013" s="24" t="e">
        <f t="shared" si="345"/>
        <v>#DIV/0!</v>
      </c>
      <c r="Q1013" s="29" t="str">
        <f t="shared" si="347"/>
        <v>NA</v>
      </c>
      <c r="R1013" s="29" t="str">
        <f t="shared" si="348"/>
        <v>NA</v>
      </c>
      <c r="S1013" s="29" t="str">
        <f t="shared" si="349"/>
        <v>NA</v>
      </c>
      <c r="T1013" s="29" t="str">
        <f t="shared" si="350"/>
        <v>NA</v>
      </c>
      <c r="U1013" s="29" t="str">
        <f t="shared" si="351"/>
        <v>NA</v>
      </c>
      <c r="V1013" s="29" t="str">
        <f t="shared" si="352"/>
        <v>NA</v>
      </c>
      <c r="W1013" s="29" t="str">
        <f t="shared" si="353"/>
        <v>NA</v>
      </c>
      <c r="X1013" s="29" t="str">
        <f t="shared" si="354"/>
        <v>NA</v>
      </c>
      <c r="Y1013" s="29" t="str">
        <f t="shared" si="355"/>
        <v>NA</v>
      </c>
      <c r="Z1013" s="29" t="str">
        <f t="shared" si="356"/>
        <v>NA</v>
      </c>
      <c r="AA1013" s="29" t="str">
        <f t="shared" si="357"/>
        <v>NA</v>
      </c>
      <c r="AB1013" s="29" t="str">
        <f t="shared" si="358"/>
        <v>NA</v>
      </c>
      <c r="AC1013" s="29" t="str">
        <f t="shared" si="359"/>
        <v>NA</v>
      </c>
      <c r="AD1013" s="29" t="str">
        <f t="shared" si="360"/>
        <v>NA</v>
      </c>
      <c r="AE1013" s="29" t="str">
        <f t="shared" si="361"/>
        <v>NA</v>
      </c>
      <c r="AF1013" s="29" t="str">
        <f t="shared" si="362"/>
        <v>NA</v>
      </c>
      <c r="AG1013" s="29" t="str">
        <f t="shared" si="363"/>
        <v>NA</v>
      </c>
      <c r="AH1013" s="29" t="str">
        <f t="shared" si="364"/>
        <v>NA</v>
      </c>
    </row>
    <row r="1014" customHeight="1" spans="1:34">
      <c r="A1014" s="12" t="s">
        <v>1043</v>
      </c>
      <c r="F1014" s="24">
        <f t="shared" si="346"/>
        <v>0</v>
      </c>
      <c r="G1014" s="24" t="e">
        <f t="shared" si="345"/>
        <v>#DIV/0!</v>
      </c>
      <c r="Q1014" s="29" t="str">
        <f t="shared" si="347"/>
        <v>NA</v>
      </c>
      <c r="R1014" s="29" t="str">
        <f t="shared" si="348"/>
        <v>NA</v>
      </c>
      <c r="S1014" s="29" t="str">
        <f t="shared" si="349"/>
        <v>NA</v>
      </c>
      <c r="T1014" s="29" t="str">
        <f t="shared" si="350"/>
        <v>NA</v>
      </c>
      <c r="U1014" s="29" t="str">
        <f t="shared" si="351"/>
        <v>NA</v>
      </c>
      <c r="V1014" s="29" t="str">
        <f t="shared" si="352"/>
        <v>NA</v>
      </c>
      <c r="W1014" s="29" t="str">
        <f t="shared" si="353"/>
        <v>NA</v>
      </c>
      <c r="X1014" s="29" t="str">
        <f t="shared" si="354"/>
        <v>NA</v>
      </c>
      <c r="Y1014" s="29" t="str">
        <f t="shared" si="355"/>
        <v>NA</v>
      </c>
      <c r="Z1014" s="29" t="str">
        <f t="shared" si="356"/>
        <v>NA</v>
      </c>
      <c r="AA1014" s="29" t="str">
        <f t="shared" si="357"/>
        <v>NA</v>
      </c>
      <c r="AB1014" s="29" t="str">
        <f t="shared" si="358"/>
        <v>NA</v>
      </c>
      <c r="AC1014" s="29" t="str">
        <f t="shared" si="359"/>
        <v>NA</v>
      </c>
      <c r="AD1014" s="29" t="str">
        <f t="shared" si="360"/>
        <v>NA</v>
      </c>
      <c r="AE1014" s="29" t="str">
        <f t="shared" si="361"/>
        <v>NA</v>
      </c>
      <c r="AF1014" s="29" t="str">
        <f t="shared" si="362"/>
        <v>NA</v>
      </c>
      <c r="AG1014" s="29" t="str">
        <f t="shared" si="363"/>
        <v>NA</v>
      </c>
      <c r="AH1014" s="29" t="str">
        <f t="shared" si="364"/>
        <v>NA</v>
      </c>
    </row>
    <row r="1015" customHeight="1" spans="1:34">
      <c r="A1015" s="12" t="s">
        <v>1043</v>
      </c>
      <c r="F1015" s="24">
        <f t="shared" si="346"/>
        <v>0</v>
      </c>
      <c r="G1015" s="24" t="e">
        <f t="shared" si="345"/>
        <v>#DIV/0!</v>
      </c>
      <c r="Q1015" s="29" t="str">
        <f t="shared" si="347"/>
        <v>NA</v>
      </c>
      <c r="R1015" s="29" t="str">
        <f t="shared" si="348"/>
        <v>NA</v>
      </c>
      <c r="S1015" s="29" t="str">
        <f t="shared" si="349"/>
        <v>NA</v>
      </c>
      <c r="T1015" s="29" t="str">
        <f t="shared" si="350"/>
        <v>NA</v>
      </c>
      <c r="U1015" s="29" t="str">
        <f t="shared" si="351"/>
        <v>NA</v>
      </c>
      <c r="V1015" s="29" t="str">
        <f t="shared" si="352"/>
        <v>NA</v>
      </c>
      <c r="W1015" s="29" t="str">
        <f t="shared" si="353"/>
        <v>NA</v>
      </c>
      <c r="X1015" s="29" t="str">
        <f t="shared" si="354"/>
        <v>NA</v>
      </c>
      <c r="Y1015" s="29" t="str">
        <f t="shared" si="355"/>
        <v>NA</v>
      </c>
      <c r="Z1015" s="29" t="str">
        <f t="shared" si="356"/>
        <v>NA</v>
      </c>
      <c r="AA1015" s="29" t="str">
        <f t="shared" si="357"/>
        <v>NA</v>
      </c>
      <c r="AB1015" s="29" t="str">
        <f t="shared" si="358"/>
        <v>NA</v>
      </c>
      <c r="AC1015" s="29" t="str">
        <f t="shared" si="359"/>
        <v>NA</v>
      </c>
      <c r="AD1015" s="29" t="str">
        <f t="shared" si="360"/>
        <v>NA</v>
      </c>
      <c r="AE1015" s="29" t="str">
        <f t="shared" si="361"/>
        <v>NA</v>
      </c>
      <c r="AF1015" s="29" t="str">
        <f t="shared" si="362"/>
        <v>NA</v>
      </c>
      <c r="AG1015" s="29" t="str">
        <f t="shared" si="363"/>
        <v>NA</v>
      </c>
      <c r="AH1015" s="29" t="str">
        <f t="shared" si="364"/>
        <v>NA</v>
      </c>
    </row>
    <row r="1016" customHeight="1" spans="1:34">
      <c r="A1016" s="12" t="s">
        <v>1043</v>
      </c>
      <c r="F1016" s="24">
        <f t="shared" si="346"/>
        <v>0</v>
      </c>
      <c r="G1016" s="24" t="e">
        <f t="shared" si="345"/>
        <v>#DIV/0!</v>
      </c>
      <c r="Q1016" s="29" t="str">
        <f t="shared" si="347"/>
        <v>NA</v>
      </c>
      <c r="R1016" s="29" t="str">
        <f t="shared" si="348"/>
        <v>NA</v>
      </c>
      <c r="S1016" s="29" t="str">
        <f t="shared" si="349"/>
        <v>NA</v>
      </c>
      <c r="T1016" s="29" t="str">
        <f t="shared" si="350"/>
        <v>NA</v>
      </c>
      <c r="U1016" s="29" t="str">
        <f t="shared" si="351"/>
        <v>NA</v>
      </c>
      <c r="V1016" s="29" t="str">
        <f t="shared" si="352"/>
        <v>NA</v>
      </c>
      <c r="W1016" s="29" t="str">
        <f t="shared" si="353"/>
        <v>NA</v>
      </c>
      <c r="X1016" s="29" t="str">
        <f t="shared" si="354"/>
        <v>NA</v>
      </c>
      <c r="Y1016" s="29" t="str">
        <f t="shared" si="355"/>
        <v>NA</v>
      </c>
      <c r="Z1016" s="29" t="str">
        <f t="shared" si="356"/>
        <v>NA</v>
      </c>
      <c r="AA1016" s="29" t="str">
        <f t="shared" si="357"/>
        <v>NA</v>
      </c>
      <c r="AB1016" s="29" t="str">
        <f t="shared" si="358"/>
        <v>NA</v>
      </c>
      <c r="AC1016" s="29" t="str">
        <f t="shared" si="359"/>
        <v>NA</v>
      </c>
      <c r="AD1016" s="29" t="str">
        <f t="shared" si="360"/>
        <v>NA</v>
      </c>
      <c r="AE1016" s="29" t="str">
        <f t="shared" si="361"/>
        <v>NA</v>
      </c>
      <c r="AF1016" s="29" t="str">
        <f t="shared" si="362"/>
        <v>NA</v>
      </c>
      <c r="AG1016" s="29" t="str">
        <f t="shared" si="363"/>
        <v>NA</v>
      </c>
      <c r="AH1016" s="29" t="str">
        <f t="shared" si="364"/>
        <v>NA</v>
      </c>
    </row>
    <row r="1017" customHeight="1" spans="1:34">
      <c r="A1017" s="12" t="s">
        <v>1043</v>
      </c>
      <c r="F1017" s="24">
        <f t="shared" si="346"/>
        <v>0</v>
      </c>
      <c r="G1017" s="24" t="e">
        <f t="shared" si="345"/>
        <v>#DIV/0!</v>
      </c>
      <c r="Q1017" s="29" t="str">
        <f t="shared" si="347"/>
        <v>NA</v>
      </c>
      <c r="R1017" s="29" t="str">
        <f t="shared" si="348"/>
        <v>NA</v>
      </c>
      <c r="S1017" s="29" t="str">
        <f t="shared" si="349"/>
        <v>NA</v>
      </c>
      <c r="T1017" s="29" t="str">
        <f t="shared" si="350"/>
        <v>NA</v>
      </c>
      <c r="U1017" s="29" t="str">
        <f t="shared" si="351"/>
        <v>NA</v>
      </c>
      <c r="V1017" s="29" t="str">
        <f t="shared" si="352"/>
        <v>NA</v>
      </c>
      <c r="W1017" s="29" t="str">
        <f t="shared" si="353"/>
        <v>NA</v>
      </c>
      <c r="X1017" s="29" t="str">
        <f t="shared" si="354"/>
        <v>NA</v>
      </c>
      <c r="Y1017" s="29" t="str">
        <f t="shared" si="355"/>
        <v>NA</v>
      </c>
      <c r="Z1017" s="29" t="str">
        <f t="shared" si="356"/>
        <v>NA</v>
      </c>
      <c r="AA1017" s="29" t="str">
        <f t="shared" si="357"/>
        <v>NA</v>
      </c>
      <c r="AB1017" s="29" t="str">
        <f t="shared" si="358"/>
        <v>NA</v>
      </c>
      <c r="AC1017" s="29" t="str">
        <f t="shared" si="359"/>
        <v>NA</v>
      </c>
      <c r="AD1017" s="29" t="str">
        <f t="shared" si="360"/>
        <v>NA</v>
      </c>
      <c r="AE1017" s="29" t="str">
        <f t="shared" si="361"/>
        <v>NA</v>
      </c>
      <c r="AF1017" s="29" t="str">
        <f t="shared" si="362"/>
        <v>NA</v>
      </c>
      <c r="AG1017" s="29" t="str">
        <f t="shared" si="363"/>
        <v>NA</v>
      </c>
      <c r="AH1017" s="29" t="str">
        <f t="shared" si="364"/>
        <v>NA</v>
      </c>
    </row>
    <row r="1018" customHeight="1" spans="1:34">
      <c r="A1018" s="12" t="s">
        <v>1043</v>
      </c>
      <c r="F1018" s="24">
        <f t="shared" si="346"/>
        <v>0</v>
      </c>
      <c r="G1018" s="24" t="e">
        <f t="shared" si="345"/>
        <v>#DIV/0!</v>
      </c>
      <c r="Q1018" s="29" t="str">
        <f t="shared" si="347"/>
        <v>NA</v>
      </c>
      <c r="R1018" s="29" t="str">
        <f t="shared" si="348"/>
        <v>NA</v>
      </c>
      <c r="S1018" s="29" t="str">
        <f t="shared" si="349"/>
        <v>NA</v>
      </c>
      <c r="T1018" s="29" t="str">
        <f t="shared" si="350"/>
        <v>NA</v>
      </c>
      <c r="U1018" s="29" t="str">
        <f t="shared" si="351"/>
        <v>NA</v>
      </c>
      <c r="V1018" s="29" t="str">
        <f t="shared" si="352"/>
        <v>NA</v>
      </c>
      <c r="W1018" s="29" t="str">
        <f t="shared" si="353"/>
        <v>NA</v>
      </c>
      <c r="X1018" s="29" t="str">
        <f t="shared" si="354"/>
        <v>NA</v>
      </c>
      <c r="Y1018" s="29" t="str">
        <f t="shared" si="355"/>
        <v>NA</v>
      </c>
      <c r="Z1018" s="29" t="str">
        <f t="shared" si="356"/>
        <v>NA</v>
      </c>
      <c r="AA1018" s="29" t="str">
        <f t="shared" si="357"/>
        <v>NA</v>
      </c>
      <c r="AB1018" s="29" t="str">
        <f t="shared" si="358"/>
        <v>NA</v>
      </c>
      <c r="AC1018" s="29" t="str">
        <f t="shared" si="359"/>
        <v>NA</v>
      </c>
      <c r="AD1018" s="29" t="str">
        <f t="shared" si="360"/>
        <v>NA</v>
      </c>
      <c r="AE1018" s="29" t="str">
        <f t="shared" si="361"/>
        <v>NA</v>
      </c>
      <c r="AF1018" s="29" t="str">
        <f t="shared" si="362"/>
        <v>NA</v>
      </c>
      <c r="AG1018" s="29" t="str">
        <f t="shared" si="363"/>
        <v>NA</v>
      </c>
      <c r="AH1018" s="29" t="str">
        <f t="shared" si="364"/>
        <v>NA</v>
      </c>
    </row>
    <row r="1019" customHeight="1" spans="1:34">
      <c r="A1019" s="12" t="s">
        <v>1043</v>
      </c>
      <c r="F1019" s="24">
        <f t="shared" si="346"/>
        <v>0</v>
      </c>
      <c r="G1019" s="24" t="e">
        <f t="shared" si="345"/>
        <v>#DIV/0!</v>
      </c>
      <c r="Q1019" s="29" t="str">
        <f t="shared" si="347"/>
        <v>NA</v>
      </c>
      <c r="R1019" s="29" t="str">
        <f t="shared" si="348"/>
        <v>NA</v>
      </c>
      <c r="S1019" s="29" t="str">
        <f t="shared" si="349"/>
        <v>NA</v>
      </c>
      <c r="T1019" s="29" t="str">
        <f t="shared" si="350"/>
        <v>NA</v>
      </c>
      <c r="U1019" s="29" t="str">
        <f t="shared" si="351"/>
        <v>NA</v>
      </c>
      <c r="V1019" s="29" t="str">
        <f t="shared" si="352"/>
        <v>NA</v>
      </c>
      <c r="W1019" s="29" t="str">
        <f t="shared" si="353"/>
        <v>NA</v>
      </c>
      <c r="X1019" s="29" t="str">
        <f t="shared" si="354"/>
        <v>NA</v>
      </c>
      <c r="Y1019" s="29" t="str">
        <f t="shared" si="355"/>
        <v>NA</v>
      </c>
      <c r="Z1019" s="29" t="str">
        <f t="shared" si="356"/>
        <v>NA</v>
      </c>
      <c r="AA1019" s="29" t="str">
        <f t="shared" si="357"/>
        <v>NA</v>
      </c>
      <c r="AB1019" s="29" t="str">
        <f t="shared" si="358"/>
        <v>NA</v>
      </c>
      <c r="AC1019" s="29" t="str">
        <f t="shared" si="359"/>
        <v>NA</v>
      </c>
      <c r="AD1019" s="29" t="str">
        <f t="shared" si="360"/>
        <v>NA</v>
      </c>
      <c r="AE1019" s="29" t="str">
        <f t="shared" si="361"/>
        <v>NA</v>
      </c>
      <c r="AF1019" s="29" t="str">
        <f t="shared" si="362"/>
        <v>NA</v>
      </c>
      <c r="AG1019" s="29" t="str">
        <f t="shared" si="363"/>
        <v>NA</v>
      </c>
      <c r="AH1019" s="29" t="str">
        <f t="shared" si="364"/>
        <v>NA</v>
      </c>
    </row>
    <row r="1020" customHeight="1" spans="1:34">
      <c r="A1020" s="12" t="s">
        <v>1043</v>
      </c>
      <c r="F1020" s="24">
        <f t="shared" si="346"/>
        <v>0</v>
      </c>
      <c r="G1020" s="24" t="e">
        <f t="shared" si="345"/>
        <v>#DIV/0!</v>
      </c>
      <c r="Q1020" s="29" t="str">
        <f t="shared" si="347"/>
        <v>NA</v>
      </c>
      <c r="R1020" s="29" t="str">
        <f t="shared" si="348"/>
        <v>NA</v>
      </c>
      <c r="S1020" s="29" t="str">
        <f t="shared" si="349"/>
        <v>NA</v>
      </c>
      <c r="T1020" s="29" t="str">
        <f t="shared" si="350"/>
        <v>NA</v>
      </c>
      <c r="U1020" s="29" t="str">
        <f t="shared" si="351"/>
        <v>NA</v>
      </c>
      <c r="V1020" s="29" t="str">
        <f t="shared" si="352"/>
        <v>NA</v>
      </c>
      <c r="W1020" s="29" t="str">
        <f t="shared" si="353"/>
        <v>NA</v>
      </c>
      <c r="X1020" s="29" t="str">
        <f t="shared" si="354"/>
        <v>NA</v>
      </c>
      <c r="Y1020" s="29" t="str">
        <f t="shared" si="355"/>
        <v>NA</v>
      </c>
      <c r="Z1020" s="29" t="str">
        <f t="shared" si="356"/>
        <v>NA</v>
      </c>
      <c r="AA1020" s="29" t="str">
        <f t="shared" si="357"/>
        <v>NA</v>
      </c>
      <c r="AB1020" s="29" t="str">
        <f t="shared" si="358"/>
        <v>NA</v>
      </c>
      <c r="AC1020" s="29" t="str">
        <f t="shared" si="359"/>
        <v>NA</v>
      </c>
      <c r="AD1020" s="29" t="str">
        <f t="shared" si="360"/>
        <v>NA</v>
      </c>
      <c r="AE1020" s="29" t="str">
        <f t="shared" si="361"/>
        <v>NA</v>
      </c>
      <c r="AF1020" s="29" t="str">
        <f t="shared" si="362"/>
        <v>NA</v>
      </c>
      <c r="AG1020" s="29" t="str">
        <f t="shared" si="363"/>
        <v>NA</v>
      </c>
      <c r="AH1020" s="29" t="str">
        <f t="shared" si="364"/>
        <v>NA</v>
      </c>
    </row>
    <row r="1021" customHeight="1" spans="1:34">
      <c r="A1021" s="12" t="s">
        <v>1043</v>
      </c>
      <c r="F1021" s="24">
        <f t="shared" si="346"/>
        <v>0</v>
      </c>
      <c r="G1021" s="24" t="e">
        <f t="shared" si="345"/>
        <v>#DIV/0!</v>
      </c>
      <c r="Q1021" s="29" t="str">
        <f t="shared" si="347"/>
        <v>NA</v>
      </c>
      <c r="R1021" s="29" t="str">
        <f t="shared" si="348"/>
        <v>NA</v>
      </c>
      <c r="S1021" s="29" t="str">
        <f t="shared" si="349"/>
        <v>NA</v>
      </c>
      <c r="T1021" s="29" t="str">
        <f t="shared" si="350"/>
        <v>NA</v>
      </c>
      <c r="U1021" s="29" t="str">
        <f t="shared" si="351"/>
        <v>NA</v>
      </c>
      <c r="V1021" s="29" t="str">
        <f t="shared" si="352"/>
        <v>NA</v>
      </c>
      <c r="W1021" s="29" t="str">
        <f t="shared" si="353"/>
        <v>NA</v>
      </c>
      <c r="X1021" s="29" t="str">
        <f t="shared" si="354"/>
        <v>NA</v>
      </c>
      <c r="Y1021" s="29" t="str">
        <f t="shared" si="355"/>
        <v>NA</v>
      </c>
      <c r="Z1021" s="29" t="str">
        <f t="shared" si="356"/>
        <v>NA</v>
      </c>
      <c r="AA1021" s="29" t="str">
        <f t="shared" si="357"/>
        <v>NA</v>
      </c>
      <c r="AB1021" s="29" t="str">
        <f t="shared" si="358"/>
        <v>NA</v>
      </c>
      <c r="AC1021" s="29" t="str">
        <f t="shared" si="359"/>
        <v>NA</v>
      </c>
      <c r="AD1021" s="29" t="str">
        <f t="shared" si="360"/>
        <v>NA</v>
      </c>
      <c r="AE1021" s="29" t="str">
        <f t="shared" si="361"/>
        <v>NA</v>
      </c>
      <c r="AF1021" s="29" t="str">
        <f t="shared" si="362"/>
        <v>NA</v>
      </c>
      <c r="AG1021" s="29" t="str">
        <f t="shared" si="363"/>
        <v>NA</v>
      </c>
      <c r="AH1021" s="29" t="str">
        <f t="shared" si="364"/>
        <v>NA</v>
      </c>
    </row>
    <row r="1022" customHeight="1" spans="1:34">
      <c r="A1022" s="12" t="s">
        <v>1043</v>
      </c>
      <c r="F1022" s="24">
        <f t="shared" si="346"/>
        <v>0</v>
      </c>
      <c r="G1022" s="24" t="e">
        <f t="shared" si="345"/>
        <v>#DIV/0!</v>
      </c>
      <c r="Q1022" s="29" t="str">
        <f t="shared" si="347"/>
        <v>NA</v>
      </c>
      <c r="R1022" s="29" t="str">
        <f t="shared" si="348"/>
        <v>NA</v>
      </c>
      <c r="S1022" s="29" t="str">
        <f t="shared" si="349"/>
        <v>NA</v>
      </c>
      <c r="T1022" s="29" t="str">
        <f t="shared" si="350"/>
        <v>NA</v>
      </c>
      <c r="U1022" s="29" t="str">
        <f t="shared" si="351"/>
        <v>NA</v>
      </c>
      <c r="V1022" s="29" t="str">
        <f t="shared" si="352"/>
        <v>NA</v>
      </c>
      <c r="W1022" s="29" t="str">
        <f t="shared" si="353"/>
        <v>NA</v>
      </c>
      <c r="X1022" s="29" t="str">
        <f t="shared" si="354"/>
        <v>NA</v>
      </c>
      <c r="Y1022" s="29" t="str">
        <f t="shared" si="355"/>
        <v>NA</v>
      </c>
      <c r="Z1022" s="29" t="str">
        <f t="shared" si="356"/>
        <v>NA</v>
      </c>
      <c r="AA1022" s="29" t="str">
        <f t="shared" si="357"/>
        <v>NA</v>
      </c>
      <c r="AB1022" s="29" t="str">
        <f t="shared" si="358"/>
        <v>NA</v>
      </c>
      <c r="AC1022" s="29" t="str">
        <f t="shared" si="359"/>
        <v>NA</v>
      </c>
      <c r="AD1022" s="29" t="str">
        <f t="shared" si="360"/>
        <v>NA</v>
      </c>
      <c r="AE1022" s="29" t="str">
        <f t="shared" si="361"/>
        <v>NA</v>
      </c>
      <c r="AF1022" s="29" t="str">
        <f t="shared" si="362"/>
        <v>NA</v>
      </c>
      <c r="AG1022" s="29" t="str">
        <f t="shared" si="363"/>
        <v>NA</v>
      </c>
      <c r="AH1022" s="29" t="str">
        <f t="shared" si="364"/>
        <v>NA</v>
      </c>
    </row>
    <row r="1023" customHeight="1" spans="1:34">
      <c r="A1023" s="12" t="s">
        <v>1043</v>
      </c>
      <c r="F1023" s="24">
        <f t="shared" si="346"/>
        <v>0</v>
      </c>
      <c r="G1023" s="24" t="e">
        <f t="shared" si="345"/>
        <v>#DIV/0!</v>
      </c>
      <c r="Q1023" s="29" t="str">
        <f t="shared" si="347"/>
        <v>NA</v>
      </c>
      <c r="R1023" s="29" t="str">
        <f t="shared" si="348"/>
        <v>NA</v>
      </c>
      <c r="S1023" s="29" t="str">
        <f t="shared" si="349"/>
        <v>NA</v>
      </c>
      <c r="T1023" s="29" t="str">
        <f t="shared" si="350"/>
        <v>NA</v>
      </c>
      <c r="U1023" s="29" t="str">
        <f t="shared" si="351"/>
        <v>NA</v>
      </c>
      <c r="V1023" s="29" t="str">
        <f t="shared" si="352"/>
        <v>NA</v>
      </c>
      <c r="W1023" s="29" t="str">
        <f t="shared" si="353"/>
        <v>NA</v>
      </c>
      <c r="X1023" s="29" t="str">
        <f t="shared" si="354"/>
        <v>NA</v>
      </c>
      <c r="Y1023" s="29" t="str">
        <f t="shared" si="355"/>
        <v>NA</v>
      </c>
      <c r="Z1023" s="29" t="str">
        <f t="shared" si="356"/>
        <v>NA</v>
      </c>
      <c r="AA1023" s="29" t="str">
        <f t="shared" si="357"/>
        <v>NA</v>
      </c>
      <c r="AB1023" s="29" t="str">
        <f t="shared" si="358"/>
        <v>NA</v>
      </c>
      <c r="AC1023" s="29" t="str">
        <f t="shared" si="359"/>
        <v>NA</v>
      </c>
      <c r="AD1023" s="29" t="str">
        <f t="shared" si="360"/>
        <v>NA</v>
      </c>
      <c r="AE1023" s="29" t="str">
        <f t="shared" si="361"/>
        <v>NA</v>
      </c>
      <c r="AF1023" s="29" t="str">
        <f t="shared" si="362"/>
        <v>NA</v>
      </c>
      <c r="AG1023" s="29" t="str">
        <f t="shared" si="363"/>
        <v>NA</v>
      </c>
      <c r="AH1023" s="29" t="str">
        <f t="shared" si="364"/>
        <v>NA</v>
      </c>
    </row>
    <row r="1024" customHeight="1" spans="1:34">
      <c r="A1024" s="12" t="s">
        <v>1043</v>
      </c>
      <c r="F1024" s="24">
        <f t="shared" si="346"/>
        <v>0</v>
      </c>
      <c r="G1024" s="24" t="e">
        <f t="shared" si="345"/>
        <v>#DIV/0!</v>
      </c>
      <c r="Q1024" s="29" t="str">
        <f t="shared" si="347"/>
        <v>NA</v>
      </c>
      <c r="R1024" s="29" t="str">
        <f t="shared" si="348"/>
        <v>NA</v>
      </c>
      <c r="S1024" s="29" t="str">
        <f t="shared" si="349"/>
        <v>NA</v>
      </c>
      <c r="T1024" s="29" t="str">
        <f t="shared" si="350"/>
        <v>NA</v>
      </c>
      <c r="U1024" s="29" t="str">
        <f t="shared" si="351"/>
        <v>NA</v>
      </c>
      <c r="V1024" s="29" t="str">
        <f t="shared" si="352"/>
        <v>NA</v>
      </c>
      <c r="W1024" s="29" t="str">
        <f t="shared" si="353"/>
        <v>NA</v>
      </c>
      <c r="X1024" s="29" t="str">
        <f t="shared" si="354"/>
        <v>NA</v>
      </c>
      <c r="Y1024" s="29" t="str">
        <f t="shared" si="355"/>
        <v>NA</v>
      </c>
      <c r="Z1024" s="29" t="str">
        <f t="shared" si="356"/>
        <v>NA</v>
      </c>
      <c r="AA1024" s="29" t="str">
        <f t="shared" si="357"/>
        <v>NA</v>
      </c>
      <c r="AB1024" s="29" t="str">
        <f t="shared" si="358"/>
        <v>NA</v>
      </c>
      <c r="AC1024" s="29" t="str">
        <f t="shared" si="359"/>
        <v>NA</v>
      </c>
      <c r="AD1024" s="29" t="str">
        <f t="shared" si="360"/>
        <v>NA</v>
      </c>
      <c r="AE1024" s="29" t="str">
        <f t="shared" si="361"/>
        <v>NA</v>
      </c>
      <c r="AF1024" s="29" t="str">
        <f t="shared" si="362"/>
        <v>NA</v>
      </c>
      <c r="AG1024" s="29" t="str">
        <f t="shared" si="363"/>
        <v>NA</v>
      </c>
      <c r="AH1024" s="29" t="str">
        <f t="shared" si="364"/>
        <v>NA</v>
      </c>
    </row>
    <row r="1025" customHeight="1" spans="1:34">
      <c r="A1025" s="12" t="s">
        <v>1043</v>
      </c>
      <c r="F1025" s="24">
        <f t="shared" si="346"/>
        <v>0</v>
      </c>
      <c r="G1025" s="24" t="e">
        <f t="shared" si="345"/>
        <v>#DIV/0!</v>
      </c>
      <c r="Q1025" s="29" t="str">
        <f t="shared" si="347"/>
        <v>NA</v>
      </c>
      <c r="R1025" s="29" t="str">
        <f t="shared" si="348"/>
        <v>NA</v>
      </c>
      <c r="S1025" s="29" t="str">
        <f t="shared" si="349"/>
        <v>NA</v>
      </c>
      <c r="T1025" s="29" t="str">
        <f t="shared" si="350"/>
        <v>NA</v>
      </c>
      <c r="U1025" s="29" t="str">
        <f t="shared" si="351"/>
        <v>NA</v>
      </c>
      <c r="V1025" s="29" t="str">
        <f t="shared" si="352"/>
        <v>NA</v>
      </c>
      <c r="W1025" s="29" t="str">
        <f t="shared" si="353"/>
        <v>NA</v>
      </c>
      <c r="X1025" s="29" t="str">
        <f t="shared" si="354"/>
        <v>NA</v>
      </c>
      <c r="Y1025" s="29" t="str">
        <f t="shared" si="355"/>
        <v>NA</v>
      </c>
      <c r="Z1025" s="29" t="str">
        <f t="shared" si="356"/>
        <v>NA</v>
      </c>
      <c r="AA1025" s="29" t="str">
        <f t="shared" si="357"/>
        <v>NA</v>
      </c>
      <c r="AB1025" s="29" t="str">
        <f t="shared" si="358"/>
        <v>NA</v>
      </c>
      <c r="AC1025" s="29" t="str">
        <f t="shared" si="359"/>
        <v>NA</v>
      </c>
      <c r="AD1025" s="29" t="str">
        <f t="shared" si="360"/>
        <v>NA</v>
      </c>
      <c r="AE1025" s="29" t="str">
        <f t="shared" si="361"/>
        <v>NA</v>
      </c>
      <c r="AF1025" s="29" t="str">
        <f t="shared" si="362"/>
        <v>NA</v>
      </c>
      <c r="AG1025" s="29" t="str">
        <f t="shared" si="363"/>
        <v>NA</v>
      </c>
      <c r="AH1025" s="29" t="str">
        <f t="shared" si="364"/>
        <v>NA</v>
      </c>
    </row>
    <row r="1026" customHeight="1" spans="1:34">
      <c r="A1026" s="12" t="s">
        <v>1043</v>
      </c>
      <c r="F1026" s="24">
        <f t="shared" si="346"/>
        <v>0</v>
      </c>
      <c r="G1026" s="24" t="e">
        <f t="shared" si="345"/>
        <v>#DIV/0!</v>
      </c>
      <c r="Q1026" s="29" t="str">
        <f t="shared" si="347"/>
        <v>NA</v>
      </c>
      <c r="R1026" s="29" t="str">
        <f t="shared" si="348"/>
        <v>NA</v>
      </c>
      <c r="S1026" s="29" t="str">
        <f t="shared" si="349"/>
        <v>NA</v>
      </c>
      <c r="T1026" s="29" t="str">
        <f t="shared" si="350"/>
        <v>NA</v>
      </c>
      <c r="U1026" s="29" t="str">
        <f t="shared" si="351"/>
        <v>NA</v>
      </c>
      <c r="V1026" s="29" t="str">
        <f t="shared" si="352"/>
        <v>NA</v>
      </c>
      <c r="W1026" s="29" t="str">
        <f t="shared" si="353"/>
        <v>NA</v>
      </c>
      <c r="X1026" s="29" t="str">
        <f t="shared" si="354"/>
        <v>NA</v>
      </c>
      <c r="Y1026" s="29" t="str">
        <f t="shared" si="355"/>
        <v>NA</v>
      </c>
      <c r="Z1026" s="29" t="str">
        <f t="shared" si="356"/>
        <v>NA</v>
      </c>
      <c r="AA1026" s="29" t="str">
        <f t="shared" si="357"/>
        <v>NA</v>
      </c>
      <c r="AB1026" s="29" t="str">
        <f t="shared" si="358"/>
        <v>NA</v>
      </c>
      <c r="AC1026" s="29" t="str">
        <f t="shared" si="359"/>
        <v>NA</v>
      </c>
      <c r="AD1026" s="29" t="str">
        <f t="shared" si="360"/>
        <v>NA</v>
      </c>
      <c r="AE1026" s="29" t="str">
        <f t="shared" si="361"/>
        <v>NA</v>
      </c>
      <c r="AF1026" s="29" t="str">
        <f t="shared" si="362"/>
        <v>NA</v>
      </c>
      <c r="AG1026" s="29" t="str">
        <f t="shared" si="363"/>
        <v>NA</v>
      </c>
      <c r="AH1026" s="29" t="str">
        <f t="shared" si="364"/>
        <v>NA</v>
      </c>
    </row>
    <row r="1027" customHeight="1" spans="1:34">
      <c r="A1027" s="12" t="s">
        <v>1043</v>
      </c>
      <c r="F1027" s="24">
        <f t="shared" si="346"/>
        <v>0</v>
      </c>
      <c r="G1027" s="24" t="e">
        <f t="shared" si="345"/>
        <v>#DIV/0!</v>
      </c>
      <c r="Q1027" s="29" t="str">
        <f t="shared" si="347"/>
        <v>NA</v>
      </c>
      <c r="R1027" s="29" t="str">
        <f t="shared" si="348"/>
        <v>NA</v>
      </c>
      <c r="S1027" s="29" t="str">
        <f t="shared" si="349"/>
        <v>NA</v>
      </c>
      <c r="T1027" s="29" t="str">
        <f t="shared" si="350"/>
        <v>NA</v>
      </c>
      <c r="U1027" s="29" t="str">
        <f t="shared" si="351"/>
        <v>NA</v>
      </c>
      <c r="V1027" s="29" t="str">
        <f t="shared" si="352"/>
        <v>NA</v>
      </c>
      <c r="W1027" s="29" t="str">
        <f t="shared" si="353"/>
        <v>NA</v>
      </c>
      <c r="X1027" s="29" t="str">
        <f t="shared" si="354"/>
        <v>NA</v>
      </c>
      <c r="Y1027" s="29" t="str">
        <f t="shared" si="355"/>
        <v>NA</v>
      </c>
      <c r="Z1027" s="29" t="str">
        <f t="shared" si="356"/>
        <v>NA</v>
      </c>
      <c r="AA1027" s="29" t="str">
        <f t="shared" si="357"/>
        <v>NA</v>
      </c>
      <c r="AB1027" s="29" t="str">
        <f t="shared" si="358"/>
        <v>NA</v>
      </c>
      <c r="AC1027" s="29" t="str">
        <f t="shared" si="359"/>
        <v>NA</v>
      </c>
      <c r="AD1027" s="29" t="str">
        <f t="shared" si="360"/>
        <v>NA</v>
      </c>
      <c r="AE1027" s="29" t="str">
        <f t="shared" si="361"/>
        <v>NA</v>
      </c>
      <c r="AF1027" s="29" t="str">
        <f t="shared" si="362"/>
        <v>NA</v>
      </c>
      <c r="AG1027" s="29" t="str">
        <f t="shared" si="363"/>
        <v>NA</v>
      </c>
      <c r="AH1027" s="29" t="str">
        <f t="shared" si="364"/>
        <v>NA</v>
      </c>
    </row>
    <row r="1028" customHeight="1" spans="1:34">
      <c r="A1028" s="12" t="s">
        <v>1043</v>
      </c>
      <c r="F1028" s="24">
        <f t="shared" si="346"/>
        <v>0</v>
      </c>
      <c r="G1028" s="24" t="e">
        <f t="shared" si="345"/>
        <v>#DIV/0!</v>
      </c>
      <c r="Q1028" s="29" t="str">
        <f t="shared" si="347"/>
        <v>NA</v>
      </c>
      <c r="R1028" s="29" t="str">
        <f t="shared" si="348"/>
        <v>NA</v>
      </c>
      <c r="S1028" s="29" t="str">
        <f t="shared" si="349"/>
        <v>NA</v>
      </c>
      <c r="T1028" s="29" t="str">
        <f t="shared" si="350"/>
        <v>NA</v>
      </c>
      <c r="U1028" s="29" t="str">
        <f t="shared" si="351"/>
        <v>NA</v>
      </c>
      <c r="V1028" s="29" t="str">
        <f t="shared" si="352"/>
        <v>NA</v>
      </c>
      <c r="W1028" s="29" t="str">
        <f t="shared" si="353"/>
        <v>NA</v>
      </c>
      <c r="X1028" s="29" t="str">
        <f t="shared" si="354"/>
        <v>NA</v>
      </c>
      <c r="Y1028" s="29" t="str">
        <f t="shared" si="355"/>
        <v>NA</v>
      </c>
      <c r="Z1028" s="29" t="str">
        <f t="shared" si="356"/>
        <v>NA</v>
      </c>
      <c r="AA1028" s="29" t="str">
        <f t="shared" si="357"/>
        <v>NA</v>
      </c>
      <c r="AB1028" s="29" t="str">
        <f t="shared" si="358"/>
        <v>NA</v>
      </c>
      <c r="AC1028" s="29" t="str">
        <f t="shared" si="359"/>
        <v>NA</v>
      </c>
      <c r="AD1028" s="29" t="str">
        <f t="shared" si="360"/>
        <v>NA</v>
      </c>
      <c r="AE1028" s="29" t="str">
        <f t="shared" si="361"/>
        <v>NA</v>
      </c>
      <c r="AF1028" s="29" t="str">
        <f t="shared" si="362"/>
        <v>NA</v>
      </c>
      <c r="AG1028" s="29" t="str">
        <f t="shared" si="363"/>
        <v>NA</v>
      </c>
      <c r="AH1028" s="29" t="str">
        <f t="shared" si="364"/>
        <v>NA</v>
      </c>
    </row>
    <row r="1029" customHeight="1" spans="1:34">
      <c r="A1029" s="12" t="s">
        <v>1043</v>
      </c>
      <c r="F1029" s="24">
        <f t="shared" si="346"/>
        <v>0</v>
      </c>
      <c r="G1029" s="24" t="e">
        <f t="shared" ref="G1029:G1092" si="365">B1029*D1029/C1029</f>
        <v>#DIV/0!</v>
      </c>
      <c r="Q1029" s="29" t="str">
        <f t="shared" si="347"/>
        <v>NA</v>
      </c>
      <c r="R1029" s="29" t="str">
        <f t="shared" si="348"/>
        <v>NA</v>
      </c>
      <c r="S1029" s="29" t="str">
        <f t="shared" si="349"/>
        <v>NA</v>
      </c>
      <c r="T1029" s="29" t="str">
        <f t="shared" si="350"/>
        <v>NA</v>
      </c>
      <c r="U1029" s="29" t="str">
        <f t="shared" si="351"/>
        <v>NA</v>
      </c>
      <c r="V1029" s="29" t="str">
        <f t="shared" si="352"/>
        <v>NA</v>
      </c>
      <c r="W1029" s="29" t="str">
        <f t="shared" si="353"/>
        <v>NA</v>
      </c>
      <c r="X1029" s="29" t="str">
        <f t="shared" si="354"/>
        <v>NA</v>
      </c>
      <c r="Y1029" s="29" t="str">
        <f t="shared" si="355"/>
        <v>NA</v>
      </c>
      <c r="Z1029" s="29" t="str">
        <f t="shared" si="356"/>
        <v>NA</v>
      </c>
      <c r="AA1029" s="29" t="str">
        <f t="shared" si="357"/>
        <v>NA</v>
      </c>
      <c r="AB1029" s="29" t="str">
        <f t="shared" si="358"/>
        <v>NA</v>
      </c>
      <c r="AC1029" s="29" t="str">
        <f t="shared" si="359"/>
        <v>NA</v>
      </c>
      <c r="AD1029" s="29" t="str">
        <f t="shared" si="360"/>
        <v>NA</v>
      </c>
      <c r="AE1029" s="29" t="str">
        <f t="shared" si="361"/>
        <v>NA</v>
      </c>
      <c r="AF1029" s="29" t="str">
        <f t="shared" si="362"/>
        <v>NA</v>
      </c>
      <c r="AG1029" s="29" t="str">
        <f t="shared" si="363"/>
        <v>NA</v>
      </c>
      <c r="AH1029" s="29" t="str">
        <f t="shared" si="364"/>
        <v>NA</v>
      </c>
    </row>
    <row r="1030" customHeight="1" spans="1:34">
      <c r="A1030" s="12" t="s">
        <v>1043</v>
      </c>
      <c r="F1030" s="24">
        <f t="shared" ref="F1030:F1093" si="366">+D1030+E1030</f>
        <v>0</v>
      </c>
      <c r="G1030" s="24" t="e">
        <f t="shared" si="365"/>
        <v>#DIV/0!</v>
      </c>
      <c r="Q1030" s="29" t="str">
        <f t="shared" si="347"/>
        <v>NA</v>
      </c>
      <c r="R1030" s="29" t="str">
        <f t="shared" si="348"/>
        <v>NA</v>
      </c>
      <c r="S1030" s="29" t="str">
        <f t="shared" si="349"/>
        <v>NA</v>
      </c>
      <c r="T1030" s="29" t="str">
        <f t="shared" si="350"/>
        <v>NA</v>
      </c>
      <c r="U1030" s="29" t="str">
        <f t="shared" si="351"/>
        <v>NA</v>
      </c>
      <c r="V1030" s="29" t="str">
        <f t="shared" si="352"/>
        <v>NA</v>
      </c>
      <c r="W1030" s="29" t="str">
        <f t="shared" si="353"/>
        <v>NA</v>
      </c>
      <c r="X1030" s="29" t="str">
        <f t="shared" si="354"/>
        <v>NA</v>
      </c>
      <c r="Y1030" s="29" t="str">
        <f t="shared" si="355"/>
        <v>NA</v>
      </c>
      <c r="Z1030" s="29" t="str">
        <f t="shared" si="356"/>
        <v>NA</v>
      </c>
      <c r="AA1030" s="29" t="str">
        <f t="shared" si="357"/>
        <v>NA</v>
      </c>
      <c r="AB1030" s="29" t="str">
        <f t="shared" si="358"/>
        <v>NA</v>
      </c>
      <c r="AC1030" s="29" t="str">
        <f t="shared" si="359"/>
        <v>NA</v>
      </c>
      <c r="AD1030" s="29" t="str">
        <f t="shared" si="360"/>
        <v>NA</v>
      </c>
      <c r="AE1030" s="29" t="str">
        <f t="shared" si="361"/>
        <v>NA</v>
      </c>
      <c r="AF1030" s="29" t="str">
        <f t="shared" si="362"/>
        <v>NA</v>
      </c>
      <c r="AG1030" s="29" t="str">
        <f t="shared" si="363"/>
        <v>NA</v>
      </c>
      <c r="AH1030" s="29" t="str">
        <f t="shared" si="364"/>
        <v>NA</v>
      </c>
    </row>
    <row r="1031" customHeight="1" spans="1:34">
      <c r="A1031" s="12" t="s">
        <v>1043</v>
      </c>
      <c r="F1031" s="24">
        <f t="shared" si="366"/>
        <v>0</v>
      </c>
      <c r="G1031" s="24" t="e">
        <f t="shared" si="365"/>
        <v>#DIV/0!</v>
      </c>
      <c r="Q1031" s="29" t="str">
        <f t="shared" si="347"/>
        <v>NA</v>
      </c>
      <c r="R1031" s="29" t="str">
        <f t="shared" si="348"/>
        <v>NA</v>
      </c>
      <c r="S1031" s="29" t="str">
        <f t="shared" si="349"/>
        <v>NA</v>
      </c>
      <c r="T1031" s="29" t="str">
        <f t="shared" si="350"/>
        <v>NA</v>
      </c>
      <c r="U1031" s="29" t="str">
        <f t="shared" si="351"/>
        <v>NA</v>
      </c>
      <c r="V1031" s="29" t="str">
        <f t="shared" si="352"/>
        <v>NA</v>
      </c>
      <c r="W1031" s="29" t="str">
        <f t="shared" si="353"/>
        <v>NA</v>
      </c>
      <c r="X1031" s="29" t="str">
        <f t="shared" si="354"/>
        <v>NA</v>
      </c>
      <c r="Y1031" s="29" t="str">
        <f t="shared" si="355"/>
        <v>NA</v>
      </c>
      <c r="Z1031" s="29" t="str">
        <f t="shared" si="356"/>
        <v>NA</v>
      </c>
      <c r="AA1031" s="29" t="str">
        <f t="shared" si="357"/>
        <v>NA</v>
      </c>
      <c r="AB1031" s="29" t="str">
        <f t="shared" si="358"/>
        <v>NA</v>
      </c>
      <c r="AC1031" s="29" t="str">
        <f t="shared" si="359"/>
        <v>NA</v>
      </c>
      <c r="AD1031" s="29" t="str">
        <f t="shared" si="360"/>
        <v>NA</v>
      </c>
      <c r="AE1031" s="29" t="str">
        <f t="shared" si="361"/>
        <v>NA</v>
      </c>
      <c r="AF1031" s="29" t="str">
        <f t="shared" si="362"/>
        <v>NA</v>
      </c>
      <c r="AG1031" s="29" t="str">
        <f t="shared" si="363"/>
        <v>NA</v>
      </c>
      <c r="AH1031" s="29" t="str">
        <f t="shared" si="364"/>
        <v>NA</v>
      </c>
    </row>
    <row r="1032" customHeight="1" spans="1:34">
      <c r="A1032" s="12" t="s">
        <v>1043</v>
      </c>
      <c r="F1032" s="24">
        <f t="shared" si="366"/>
        <v>0</v>
      </c>
      <c r="G1032" s="24" t="e">
        <f t="shared" si="365"/>
        <v>#DIV/0!</v>
      </c>
      <c r="Q1032" s="29" t="str">
        <f t="shared" si="347"/>
        <v>NA</v>
      </c>
      <c r="R1032" s="29" t="str">
        <f t="shared" si="348"/>
        <v>NA</v>
      </c>
      <c r="S1032" s="29" t="str">
        <f t="shared" si="349"/>
        <v>NA</v>
      </c>
      <c r="T1032" s="29" t="str">
        <f t="shared" si="350"/>
        <v>NA</v>
      </c>
      <c r="U1032" s="29" t="str">
        <f t="shared" si="351"/>
        <v>NA</v>
      </c>
      <c r="V1032" s="29" t="str">
        <f t="shared" si="352"/>
        <v>NA</v>
      </c>
      <c r="W1032" s="29" t="str">
        <f t="shared" si="353"/>
        <v>NA</v>
      </c>
      <c r="X1032" s="29" t="str">
        <f t="shared" si="354"/>
        <v>NA</v>
      </c>
      <c r="Y1032" s="29" t="str">
        <f t="shared" si="355"/>
        <v>NA</v>
      </c>
      <c r="Z1032" s="29" t="str">
        <f t="shared" si="356"/>
        <v>NA</v>
      </c>
      <c r="AA1032" s="29" t="str">
        <f t="shared" si="357"/>
        <v>NA</v>
      </c>
      <c r="AB1032" s="29" t="str">
        <f t="shared" si="358"/>
        <v>NA</v>
      </c>
      <c r="AC1032" s="29" t="str">
        <f t="shared" si="359"/>
        <v>NA</v>
      </c>
      <c r="AD1032" s="29" t="str">
        <f t="shared" si="360"/>
        <v>NA</v>
      </c>
      <c r="AE1032" s="29" t="str">
        <f t="shared" si="361"/>
        <v>NA</v>
      </c>
      <c r="AF1032" s="29" t="str">
        <f t="shared" si="362"/>
        <v>NA</v>
      </c>
      <c r="AG1032" s="29" t="str">
        <f t="shared" si="363"/>
        <v>NA</v>
      </c>
      <c r="AH1032" s="29" t="str">
        <f t="shared" si="364"/>
        <v>NA</v>
      </c>
    </row>
    <row r="1033" customHeight="1" spans="1:34">
      <c r="A1033" s="12" t="s">
        <v>1043</v>
      </c>
      <c r="F1033" s="24">
        <f t="shared" si="366"/>
        <v>0</v>
      </c>
      <c r="G1033" s="24" t="e">
        <f t="shared" si="365"/>
        <v>#DIV/0!</v>
      </c>
      <c r="Q1033" s="29" t="str">
        <f t="shared" si="347"/>
        <v>NA</v>
      </c>
      <c r="R1033" s="29" t="str">
        <f t="shared" si="348"/>
        <v>NA</v>
      </c>
      <c r="S1033" s="29" t="str">
        <f t="shared" si="349"/>
        <v>NA</v>
      </c>
      <c r="T1033" s="29" t="str">
        <f t="shared" si="350"/>
        <v>NA</v>
      </c>
      <c r="U1033" s="29" t="str">
        <f t="shared" si="351"/>
        <v>NA</v>
      </c>
      <c r="V1033" s="29" t="str">
        <f t="shared" si="352"/>
        <v>NA</v>
      </c>
      <c r="W1033" s="29" t="str">
        <f t="shared" si="353"/>
        <v>NA</v>
      </c>
      <c r="X1033" s="29" t="str">
        <f t="shared" si="354"/>
        <v>NA</v>
      </c>
      <c r="Y1033" s="29" t="str">
        <f t="shared" si="355"/>
        <v>NA</v>
      </c>
      <c r="Z1033" s="29" t="str">
        <f t="shared" si="356"/>
        <v>NA</v>
      </c>
      <c r="AA1033" s="29" t="str">
        <f t="shared" si="357"/>
        <v>NA</v>
      </c>
      <c r="AB1033" s="29" t="str">
        <f t="shared" si="358"/>
        <v>NA</v>
      </c>
      <c r="AC1033" s="29" t="str">
        <f t="shared" si="359"/>
        <v>NA</v>
      </c>
      <c r="AD1033" s="29" t="str">
        <f t="shared" si="360"/>
        <v>NA</v>
      </c>
      <c r="AE1033" s="29" t="str">
        <f t="shared" si="361"/>
        <v>NA</v>
      </c>
      <c r="AF1033" s="29" t="str">
        <f t="shared" si="362"/>
        <v>NA</v>
      </c>
      <c r="AG1033" s="29" t="str">
        <f t="shared" si="363"/>
        <v>NA</v>
      </c>
      <c r="AH1033" s="29" t="str">
        <f t="shared" si="364"/>
        <v>NA</v>
      </c>
    </row>
    <row r="1034" customHeight="1" spans="1:34">
      <c r="A1034" s="12" t="s">
        <v>1043</v>
      </c>
      <c r="F1034" s="24">
        <f t="shared" si="366"/>
        <v>0</v>
      </c>
      <c r="G1034" s="24" t="e">
        <f t="shared" si="365"/>
        <v>#DIV/0!</v>
      </c>
      <c r="Q1034" s="29" t="str">
        <f t="shared" si="347"/>
        <v>NA</v>
      </c>
      <c r="R1034" s="29" t="str">
        <f t="shared" si="348"/>
        <v>NA</v>
      </c>
      <c r="S1034" s="29" t="str">
        <f t="shared" si="349"/>
        <v>NA</v>
      </c>
      <c r="T1034" s="29" t="str">
        <f t="shared" si="350"/>
        <v>NA</v>
      </c>
      <c r="U1034" s="29" t="str">
        <f t="shared" si="351"/>
        <v>NA</v>
      </c>
      <c r="V1034" s="29" t="str">
        <f t="shared" si="352"/>
        <v>NA</v>
      </c>
      <c r="W1034" s="29" t="str">
        <f t="shared" si="353"/>
        <v>NA</v>
      </c>
      <c r="X1034" s="29" t="str">
        <f t="shared" si="354"/>
        <v>NA</v>
      </c>
      <c r="Y1034" s="29" t="str">
        <f t="shared" si="355"/>
        <v>NA</v>
      </c>
      <c r="Z1034" s="29" t="str">
        <f t="shared" si="356"/>
        <v>NA</v>
      </c>
      <c r="AA1034" s="29" t="str">
        <f t="shared" si="357"/>
        <v>NA</v>
      </c>
      <c r="AB1034" s="29" t="str">
        <f t="shared" si="358"/>
        <v>NA</v>
      </c>
      <c r="AC1034" s="29" t="str">
        <f t="shared" si="359"/>
        <v>NA</v>
      </c>
      <c r="AD1034" s="29" t="str">
        <f t="shared" si="360"/>
        <v>NA</v>
      </c>
      <c r="AE1034" s="29" t="str">
        <f t="shared" si="361"/>
        <v>NA</v>
      </c>
      <c r="AF1034" s="29" t="str">
        <f t="shared" si="362"/>
        <v>NA</v>
      </c>
      <c r="AG1034" s="29" t="str">
        <f t="shared" si="363"/>
        <v>NA</v>
      </c>
      <c r="AH1034" s="29" t="str">
        <f t="shared" si="364"/>
        <v>NA</v>
      </c>
    </row>
    <row r="1035" customHeight="1" spans="1:34">
      <c r="A1035" s="12" t="s">
        <v>1043</v>
      </c>
      <c r="F1035" s="24">
        <f t="shared" si="366"/>
        <v>0</v>
      </c>
      <c r="G1035" s="24" t="e">
        <f t="shared" si="365"/>
        <v>#DIV/0!</v>
      </c>
      <c r="Q1035" s="29" t="str">
        <f t="shared" si="347"/>
        <v>NA</v>
      </c>
      <c r="R1035" s="29" t="str">
        <f t="shared" si="348"/>
        <v>NA</v>
      </c>
      <c r="S1035" s="29" t="str">
        <f t="shared" si="349"/>
        <v>NA</v>
      </c>
      <c r="T1035" s="29" t="str">
        <f t="shared" si="350"/>
        <v>NA</v>
      </c>
      <c r="U1035" s="29" t="str">
        <f t="shared" si="351"/>
        <v>NA</v>
      </c>
      <c r="V1035" s="29" t="str">
        <f t="shared" si="352"/>
        <v>NA</v>
      </c>
      <c r="W1035" s="29" t="str">
        <f t="shared" si="353"/>
        <v>NA</v>
      </c>
      <c r="X1035" s="29" t="str">
        <f t="shared" si="354"/>
        <v>NA</v>
      </c>
      <c r="Y1035" s="29" t="str">
        <f t="shared" si="355"/>
        <v>NA</v>
      </c>
      <c r="Z1035" s="29" t="str">
        <f t="shared" si="356"/>
        <v>NA</v>
      </c>
      <c r="AA1035" s="29" t="str">
        <f t="shared" si="357"/>
        <v>NA</v>
      </c>
      <c r="AB1035" s="29" t="str">
        <f t="shared" si="358"/>
        <v>NA</v>
      </c>
      <c r="AC1035" s="29" t="str">
        <f t="shared" si="359"/>
        <v>NA</v>
      </c>
      <c r="AD1035" s="29" t="str">
        <f t="shared" si="360"/>
        <v>NA</v>
      </c>
      <c r="AE1035" s="29" t="str">
        <f t="shared" si="361"/>
        <v>NA</v>
      </c>
      <c r="AF1035" s="29" t="str">
        <f t="shared" si="362"/>
        <v>NA</v>
      </c>
      <c r="AG1035" s="29" t="str">
        <f t="shared" si="363"/>
        <v>NA</v>
      </c>
      <c r="AH1035" s="29" t="str">
        <f t="shared" si="364"/>
        <v>NA</v>
      </c>
    </row>
    <row r="1036" customHeight="1" spans="1:34">
      <c r="A1036" s="12" t="s">
        <v>1043</v>
      </c>
      <c r="F1036" s="24">
        <f t="shared" si="366"/>
        <v>0</v>
      </c>
      <c r="G1036" s="24" t="e">
        <f t="shared" si="365"/>
        <v>#DIV/0!</v>
      </c>
      <c r="Q1036" s="29" t="str">
        <f t="shared" si="347"/>
        <v>NA</v>
      </c>
      <c r="R1036" s="29" t="str">
        <f t="shared" si="348"/>
        <v>NA</v>
      </c>
      <c r="S1036" s="29" t="str">
        <f t="shared" si="349"/>
        <v>NA</v>
      </c>
      <c r="T1036" s="29" t="str">
        <f t="shared" si="350"/>
        <v>NA</v>
      </c>
      <c r="U1036" s="29" t="str">
        <f t="shared" si="351"/>
        <v>NA</v>
      </c>
      <c r="V1036" s="29" t="str">
        <f t="shared" si="352"/>
        <v>NA</v>
      </c>
      <c r="W1036" s="29" t="str">
        <f t="shared" si="353"/>
        <v>NA</v>
      </c>
      <c r="X1036" s="29" t="str">
        <f t="shared" si="354"/>
        <v>NA</v>
      </c>
      <c r="Y1036" s="29" t="str">
        <f t="shared" si="355"/>
        <v>NA</v>
      </c>
      <c r="Z1036" s="29" t="str">
        <f t="shared" si="356"/>
        <v>NA</v>
      </c>
      <c r="AA1036" s="29" t="str">
        <f t="shared" si="357"/>
        <v>NA</v>
      </c>
      <c r="AB1036" s="29" t="str">
        <f t="shared" si="358"/>
        <v>NA</v>
      </c>
      <c r="AC1036" s="29" t="str">
        <f t="shared" si="359"/>
        <v>NA</v>
      </c>
      <c r="AD1036" s="29" t="str">
        <f t="shared" si="360"/>
        <v>NA</v>
      </c>
      <c r="AE1036" s="29" t="str">
        <f t="shared" si="361"/>
        <v>NA</v>
      </c>
      <c r="AF1036" s="29" t="str">
        <f t="shared" si="362"/>
        <v>NA</v>
      </c>
      <c r="AG1036" s="29" t="str">
        <f t="shared" si="363"/>
        <v>NA</v>
      </c>
      <c r="AH1036" s="29" t="str">
        <f t="shared" si="364"/>
        <v>NA</v>
      </c>
    </row>
    <row r="1037" customHeight="1" spans="1:34">
      <c r="A1037" s="12" t="s">
        <v>1043</v>
      </c>
      <c r="F1037" s="24">
        <f t="shared" si="366"/>
        <v>0</v>
      </c>
      <c r="G1037" s="24" t="e">
        <f t="shared" si="365"/>
        <v>#DIV/0!</v>
      </c>
      <c r="Q1037" s="29" t="str">
        <f t="shared" si="347"/>
        <v>NA</v>
      </c>
      <c r="R1037" s="29" t="str">
        <f t="shared" si="348"/>
        <v>NA</v>
      </c>
      <c r="S1037" s="29" t="str">
        <f t="shared" si="349"/>
        <v>NA</v>
      </c>
      <c r="T1037" s="29" t="str">
        <f t="shared" si="350"/>
        <v>NA</v>
      </c>
      <c r="U1037" s="29" t="str">
        <f t="shared" si="351"/>
        <v>NA</v>
      </c>
      <c r="V1037" s="29" t="str">
        <f t="shared" si="352"/>
        <v>NA</v>
      </c>
      <c r="W1037" s="29" t="str">
        <f t="shared" si="353"/>
        <v>NA</v>
      </c>
      <c r="X1037" s="29" t="str">
        <f t="shared" si="354"/>
        <v>NA</v>
      </c>
      <c r="Y1037" s="29" t="str">
        <f t="shared" si="355"/>
        <v>NA</v>
      </c>
      <c r="Z1037" s="29" t="str">
        <f t="shared" si="356"/>
        <v>NA</v>
      </c>
      <c r="AA1037" s="29" t="str">
        <f t="shared" si="357"/>
        <v>NA</v>
      </c>
      <c r="AB1037" s="29" t="str">
        <f t="shared" si="358"/>
        <v>NA</v>
      </c>
      <c r="AC1037" s="29" t="str">
        <f t="shared" si="359"/>
        <v>NA</v>
      </c>
      <c r="AD1037" s="29" t="str">
        <f t="shared" si="360"/>
        <v>NA</v>
      </c>
      <c r="AE1037" s="29" t="str">
        <f t="shared" si="361"/>
        <v>NA</v>
      </c>
      <c r="AF1037" s="29" t="str">
        <f t="shared" si="362"/>
        <v>NA</v>
      </c>
      <c r="AG1037" s="29" t="str">
        <f t="shared" si="363"/>
        <v>NA</v>
      </c>
      <c r="AH1037" s="29" t="str">
        <f t="shared" si="364"/>
        <v>NA</v>
      </c>
    </row>
    <row r="1038" customHeight="1" spans="1:34">
      <c r="A1038" s="12" t="s">
        <v>1043</v>
      </c>
      <c r="F1038" s="24">
        <f t="shared" si="366"/>
        <v>0</v>
      </c>
      <c r="G1038" s="24" t="e">
        <f t="shared" si="365"/>
        <v>#DIV/0!</v>
      </c>
      <c r="Q1038" s="29" t="str">
        <f t="shared" si="347"/>
        <v>NA</v>
      </c>
      <c r="R1038" s="29" t="str">
        <f t="shared" si="348"/>
        <v>NA</v>
      </c>
      <c r="S1038" s="29" t="str">
        <f t="shared" si="349"/>
        <v>NA</v>
      </c>
      <c r="T1038" s="29" t="str">
        <f t="shared" si="350"/>
        <v>NA</v>
      </c>
      <c r="U1038" s="29" t="str">
        <f t="shared" si="351"/>
        <v>NA</v>
      </c>
      <c r="V1038" s="29" t="str">
        <f t="shared" si="352"/>
        <v>NA</v>
      </c>
      <c r="W1038" s="29" t="str">
        <f t="shared" si="353"/>
        <v>NA</v>
      </c>
      <c r="X1038" s="29" t="str">
        <f t="shared" si="354"/>
        <v>NA</v>
      </c>
      <c r="Y1038" s="29" t="str">
        <f t="shared" si="355"/>
        <v>NA</v>
      </c>
      <c r="Z1038" s="29" t="str">
        <f t="shared" si="356"/>
        <v>NA</v>
      </c>
      <c r="AA1038" s="29" t="str">
        <f t="shared" si="357"/>
        <v>NA</v>
      </c>
      <c r="AB1038" s="29" t="str">
        <f t="shared" si="358"/>
        <v>NA</v>
      </c>
      <c r="AC1038" s="29" t="str">
        <f t="shared" si="359"/>
        <v>NA</v>
      </c>
      <c r="AD1038" s="29" t="str">
        <f t="shared" si="360"/>
        <v>NA</v>
      </c>
      <c r="AE1038" s="29" t="str">
        <f t="shared" si="361"/>
        <v>NA</v>
      </c>
      <c r="AF1038" s="29" t="str">
        <f t="shared" si="362"/>
        <v>NA</v>
      </c>
      <c r="AG1038" s="29" t="str">
        <f t="shared" si="363"/>
        <v>NA</v>
      </c>
      <c r="AH1038" s="29" t="str">
        <f t="shared" si="364"/>
        <v>NA</v>
      </c>
    </row>
    <row r="1039" customHeight="1" spans="1:34">
      <c r="A1039" s="12" t="s">
        <v>1043</v>
      </c>
      <c r="F1039" s="24">
        <f t="shared" si="366"/>
        <v>0</v>
      </c>
      <c r="G1039" s="24" t="e">
        <f t="shared" si="365"/>
        <v>#DIV/0!</v>
      </c>
      <c r="Q1039" s="29" t="str">
        <f t="shared" si="347"/>
        <v>NA</v>
      </c>
      <c r="R1039" s="29" t="str">
        <f t="shared" si="348"/>
        <v>NA</v>
      </c>
      <c r="S1039" s="29" t="str">
        <f t="shared" si="349"/>
        <v>NA</v>
      </c>
      <c r="T1039" s="29" t="str">
        <f t="shared" si="350"/>
        <v>NA</v>
      </c>
      <c r="U1039" s="29" t="str">
        <f t="shared" si="351"/>
        <v>NA</v>
      </c>
      <c r="V1039" s="29" t="str">
        <f t="shared" si="352"/>
        <v>NA</v>
      </c>
      <c r="W1039" s="29" t="str">
        <f t="shared" si="353"/>
        <v>NA</v>
      </c>
      <c r="X1039" s="29" t="str">
        <f t="shared" si="354"/>
        <v>NA</v>
      </c>
      <c r="Y1039" s="29" t="str">
        <f t="shared" si="355"/>
        <v>NA</v>
      </c>
      <c r="Z1039" s="29" t="str">
        <f t="shared" si="356"/>
        <v>NA</v>
      </c>
      <c r="AA1039" s="29" t="str">
        <f t="shared" si="357"/>
        <v>NA</v>
      </c>
      <c r="AB1039" s="29" t="str">
        <f t="shared" si="358"/>
        <v>NA</v>
      </c>
      <c r="AC1039" s="29" t="str">
        <f t="shared" si="359"/>
        <v>NA</v>
      </c>
      <c r="AD1039" s="29" t="str">
        <f t="shared" si="360"/>
        <v>NA</v>
      </c>
      <c r="AE1039" s="29" t="str">
        <f t="shared" si="361"/>
        <v>NA</v>
      </c>
      <c r="AF1039" s="29" t="str">
        <f t="shared" si="362"/>
        <v>NA</v>
      </c>
      <c r="AG1039" s="29" t="str">
        <f t="shared" si="363"/>
        <v>NA</v>
      </c>
      <c r="AH1039" s="29" t="str">
        <f t="shared" si="364"/>
        <v>NA</v>
      </c>
    </row>
    <row r="1040" customHeight="1" spans="1:34">
      <c r="A1040" s="12" t="s">
        <v>1043</v>
      </c>
      <c r="F1040" s="24">
        <f t="shared" si="366"/>
        <v>0</v>
      </c>
      <c r="G1040" s="24" t="e">
        <f t="shared" si="365"/>
        <v>#DIV/0!</v>
      </c>
      <c r="Q1040" s="29" t="str">
        <f t="shared" ref="Q1040:Q1103" si="367">IFERROR($B1040*$E1040/H1040,"NA")</f>
        <v>NA</v>
      </c>
      <c r="R1040" s="29" t="str">
        <f t="shared" ref="R1040:R1103" si="368">IFERROR($B1040*$E1040/I1040,"NA")</f>
        <v>NA</v>
      </c>
      <c r="S1040" s="29" t="str">
        <f t="shared" ref="S1040:S1103" si="369">IFERROR($B1040*$E1040/J1040,"NA")</f>
        <v>NA</v>
      </c>
      <c r="T1040" s="29" t="str">
        <f t="shared" ref="T1040:T1103" si="370">IFERROR($B1040*$E1040/K1040,"NA")</f>
        <v>NA</v>
      </c>
      <c r="U1040" s="29" t="str">
        <f t="shared" ref="U1040:U1103" si="371">IFERROR($B1040*$E1040/L1040,"NA")</f>
        <v>NA</v>
      </c>
      <c r="V1040" s="29" t="str">
        <f t="shared" ref="V1040:V1103" si="372">IFERROR($B1040*$E1040/M1040,"NA")</f>
        <v>NA</v>
      </c>
      <c r="W1040" s="29" t="str">
        <f t="shared" ref="W1040:W1103" si="373">IFERROR($B1040*$E1040/N1040,"NA")</f>
        <v>NA</v>
      </c>
      <c r="X1040" s="29" t="str">
        <f t="shared" ref="X1040:X1103" si="374">IFERROR($B1040*$E1040/O1040,"NA")</f>
        <v>NA</v>
      </c>
      <c r="Y1040" s="29" t="str">
        <f t="shared" ref="Y1040:Y1103" si="375">IFERROR($B1040*$E1040/P1040,"NA")</f>
        <v>NA</v>
      </c>
      <c r="Z1040" s="29" t="str">
        <f t="shared" ref="Z1040:Z1103" si="376">IFERROR((($G1040*Z$2/1000)+Q1040)/1,"NA")</f>
        <v>NA</v>
      </c>
      <c r="AA1040" s="29" t="str">
        <f t="shared" ref="AA1040:AA1103" si="377">IFERROR((($G1040*AA$2/1000)+R1040)/1,"NA")</f>
        <v>NA</v>
      </c>
      <c r="AB1040" s="29" t="str">
        <f t="shared" ref="AB1040:AB1103" si="378">IFERROR((($G1040*AB$2/1000)+S1040)/1,"NA")</f>
        <v>NA</v>
      </c>
      <c r="AC1040" s="29" t="str">
        <f t="shared" ref="AC1040:AC1103" si="379">IFERROR((($G1040*AC$2/1000)+T1040)/1,"NA")</f>
        <v>NA</v>
      </c>
      <c r="AD1040" s="29" t="str">
        <f t="shared" ref="AD1040:AD1103" si="380">IFERROR((($G1040*AD$2/1000)+U1040)/1,"NA")</f>
        <v>NA</v>
      </c>
      <c r="AE1040" s="29" t="str">
        <f t="shared" ref="AE1040:AE1103" si="381">IFERROR((($G1040*AE$2/1000)+V1040)/1,"NA")</f>
        <v>NA</v>
      </c>
      <c r="AF1040" s="29" t="str">
        <f t="shared" ref="AF1040:AF1103" si="382">IFERROR((($G1040*AF$2/1000)+W1040)/1,"NA")</f>
        <v>NA</v>
      </c>
      <c r="AG1040" s="29" t="str">
        <f t="shared" ref="AG1040:AG1103" si="383">IFERROR((($G1040*AG$2/1000)+X1040)/1,"NA")</f>
        <v>NA</v>
      </c>
      <c r="AH1040" s="29" t="str">
        <f t="shared" ref="AH1040:AH1103" si="384">IFERROR((($G1040*AH$2/1000)+Y1040)/1,"NA")</f>
        <v>NA</v>
      </c>
    </row>
    <row r="1041" customHeight="1" spans="1:34">
      <c r="A1041" s="12" t="s">
        <v>1043</v>
      </c>
      <c r="F1041" s="24">
        <f t="shared" si="366"/>
        <v>0</v>
      </c>
      <c r="G1041" s="24" t="e">
        <f t="shared" si="365"/>
        <v>#DIV/0!</v>
      </c>
      <c r="Q1041" s="29" t="str">
        <f t="shared" si="367"/>
        <v>NA</v>
      </c>
      <c r="R1041" s="29" t="str">
        <f t="shared" si="368"/>
        <v>NA</v>
      </c>
      <c r="S1041" s="29" t="str">
        <f t="shared" si="369"/>
        <v>NA</v>
      </c>
      <c r="T1041" s="29" t="str">
        <f t="shared" si="370"/>
        <v>NA</v>
      </c>
      <c r="U1041" s="29" t="str">
        <f t="shared" si="371"/>
        <v>NA</v>
      </c>
      <c r="V1041" s="29" t="str">
        <f t="shared" si="372"/>
        <v>NA</v>
      </c>
      <c r="W1041" s="29" t="str">
        <f t="shared" si="373"/>
        <v>NA</v>
      </c>
      <c r="X1041" s="29" t="str">
        <f t="shared" si="374"/>
        <v>NA</v>
      </c>
      <c r="Y1041" s="29" t="str">
        <f t="shared" si="375"/>
        <v>NA</v>
      </c>
      <c r="Z1041" s="29" t="str">
        <f t="shared" si="376"/>
        <v>NA</v>
      </c>
      <c r="AA1041" s="29" t="str">
        <f t="shared" si="377"/>
        <v>NA</v>
      </c>
      <c r="AB1041" s="29" t="str">
        <f t="shared" si="378"/>
        <v>NA</v>
      </c>
      <c r="AC1041" s="29" t="str">
        <f t="shared" si="379"/>
        <v>NA</v>
      </c>
      <c r="AD1041" s="29" t="str">
        <f t="shared" si="380"/>
        <v>NA</v>
      </c>
      <c r="AE1041" s="29" t="str">
        <f t="shared" si="381"/>
        <v>NA</v>
      </c>
      <c r="AF1041" s="29" t="str">
        <f t="shared" si="382"/>
        <v>NA</v>
      </c>
      <c r="AG1041" s="29" t="str">
        <f t="shared" si="383"/>
        <v>NA</v>
      </c>
      <c r="AH1041" s="29" t="str">
        <f t="shared" si="384"/>
        <v>NA</v>
      </c>
    </row>
    <row r="1042" customHeight="1" spans="1:34">
      <c r="A1042" s="12" t="s">
        <v>1043</v>
      </c>
      <c r="F1042" s="24">
        <f t="shared" si="366"/>
        <v>0</v>
      </c>
      <c r="G1042" s="24" t="e">
        <f t="shared" si="365"/>
        <v>#DIV/0!</v>
      </c>
      <c r="Q1042" s="29" t="str">
        <f t="shared" si="367"/>
        <v>NA</v>
      </c>
      <c r="R1042" s="29" t="str">
        <f t="shared" si="368"/>
        <v>NA</v>
      </c>
      <c r="S1042" s="29" t="str">
        <f t="shared" si="369"/>
        <v>NA</v>
      </c>
      <c r="T1042" s="29" t="str">
        <f t="shared" si="370"/>
        <v>NA</v>
      </c>
      <c r="U1042" s="29" t="str">
        <f t="shared" si="371"/>
        <v>NA</v>
      </c>
      <c r="V1042" s="29" t="str">
        <f t="shared" si="372"/>
        <v>NA</v>
      </c>
      <c r="W1042" s="29" t="str">
        <f t="shared" si="373"/>
        <v>NA</v>
      </c>
      <c r="X1042" s="29" t="str">
        <f t="shared" si="374"/>
        <v>NA</v>
      </c>
      <c r="Y1042" s="29" t="str">
        <f t="shared" si="375"/>
        <v>NA</v>
      </c>
      <c r="Z1042" s="29" t="str">
        <f t="shared" si="376"/>
        <v>NA</v>
      </c>
      <c r="AA1042" s="29" t="str">
        <f t="shared" si="377"/>
        <v>NA</v>
      </c>
      <c r="AB1042" s="29" t="str">
        <f t="shared" si="378"/>
        <v>NA</v>
      </c>
      <c r="AC1042" s="29" t="str">
        <f t="shared" si="379"/>
        <v>NA</v>
      </c>
      <c r="AD1042" s="29" t="str">
        <f t="shared" si="380"/>
        <v>NA</v>
      </c>
      <c r="AE1042" s="29" t="str">
        <f t="shared" si="381"/>
        <v>NA</v>
      </c>
      <c r="AF1042" s="29" t="str">
        <f t="shared" si="382"/>
        <v>NA</v>
      </c>
      <c r="AG1042" s="29" t="str">
        <f t="shared" si="383"/>
        <v>NA</v>
      </c>
      <c r="AH1042" s="29" t="str">
        <f t="shared" si="384"/>
        <v>NA</v>
      </c>
    </row>
    <row r="1043" customHeight="1" spans="1:34">
      <c r="A1043" s="12" t="s">
        <v>1043</v>
      </c>
      <c r="F1043" s="24">
        <f t="shared" si="366"/>
        <v>0</v>
      </c>
      <c r="G1043" s="24" t="e">
        <f t="shared" si="365"/>
        <v>#DIV/0!</v>
      </c>
      <c r="Q1043" s="29" t="str">
        <f t="shared" si="367"/>
        <v>NA</v>
      </c>
      <c r="R1043" s="29" t="str">
        <f t="shared" si="368"/>
        <v>NA</v>
      </c>
      <c r="S1043" s="29" t="str">
        <f t="shared" si="369"/>
        <v>NA</v>
      </c>
      <c r="T1043" s="29" t="str">
        <f t="shared" si="370"/>
        <v>NA</v>
      </c>
      <c r="U1043" s="29" t="str">
        <f t="shared" si="371"/>
        <v>NA</v>
      </c>
      <c r="V1043" s="29" t="str">
        <f t="shared" si="372"/>
        <v>NA</v>
      </c>
      <c r="W1043" s="29" t="str">
        <f t="shared" si="373"/>
        <v>NA</v>
      </c>
      <c r="X1043" s="29" t="str">
        <f t="shared" si="374"/>
        <v>NA</v>
      </c>
      <c r="Y1043" s="29" t="str">
        <f t="shared" si="375"/>
        <v>NA</v>
      </c>
      <c r="Z1043" s="29" t="str">
        <f t="shared" si="376"/>
        <v>NA</v>
      </c>
      <c r="AA1043" s="29" t="str">
        <f t="shared" si="377"/>
        <v>NA</v>
      </c>
      <c r="AB1043" s="29" t="str">
        <f t="shared" si="378"/>
        <v>NA</v>
      </c>
      <c r="AC1043" s="29" t="str">
        <f t="shared" si="379"/>
        <v>NA</v>
      </c>
      <c r="AD1043" s="29" t="str">
        <f t="shared" si="380"/>
        <v>NA</v>
      </c>
      <c r="AE1043" s="29" t="str">
        <f t="shared" si="381"/>
        <v>NA</v>
      </c>
      <c r="AF1043" s="29" t="str">
        <f t="shared" si="382"/>
        <v>NA</v>
      </c>
      <c r="AG1043" s="29" t="str">
        <f t="shared" si="383"/>
        <v>NA</v>
      </c>
      <c r="AH1043" s="29" t="str">
        <f t="shared" si="384"/>
        <v>NA</v>
      </c>
    </row>
    <row r="1044" customHeight="1" spans="1:34">
      <c r="A1044" s="12" t="s">
        <v>1043</v>
      </c>
      <c r="F1044" s="24">
        <f t="shared" si="366"/>
        <v>0</v>
      </c>
      <c r="G1044" s="24" t="e">
        <f t="shared" si="365"/>
        <v>#DIV/0!</v>
      </c>
      <c r="Q1044" s="29" t="str">
        <f t="shared" si="367"/>
        <v>NA</v>
      </c>
      <c r="R1044" s="29" t="str">
        <f t="shared" si="368"/>
        <v>NA</v>
      </c>
      <c r="S1044" s="29" t="str">
        <f t="shared" si="369"/>
        <v>NA</v>
      </c>
      <c r="T1044" s="29" t="str">
        <f t="shared" si="370"/>
        <v>NA</v>
      </c>
      <c r="U1044" s="29" t="str">
        <f t="shared" si="371"/>
        <v>NA</v>
      </c>
      <c r="V1044" s="29" t="str">
        <f t="shared" si="372"/>
        <v>NA</v>
      </c>
      <c r="W1044" s="29" t="str">
        <f t="shared" si="373"/>
        <v>NA</v>
      </c>
      <c r="X1044" s="29" t="str">
        <f t="shared" si="374"/>
        <v>NA</v>
      </c>
      <c r="Y1044" s="29" t="str">
        <f t="shared" si="375"/>
        <v>NA</v>
      </c>
      <c r="Z1044" s="29" t="str">
        <f t="shared" si="376"/>
        <v>NA</v>
      </c>
      <c r="AA1044" s="29" t="str">
        <f t="shared" si="377"/>
        <v>NA</v>
      </c>
      <c r="AB1044" s="29" t="str">
        <f t="shared" si="378"/>
        <v>NA</v>
      </c>
      <c r="AC1044" s="29" t="str">
        <f t="shared" si="379"/>
        <v>NA</v>
      </c>
      <c r="AD1044" s="29" t="str">
        <f t="shared" si="380"/>
        <v>NA</v>
      </c>
      <c r="AE1044" s="29" t="str">
        <f t="shared" si="381"/>
        <v>NA</v>
      </c>
      <c r="AF1044" s="29" t="str">
        <f t="shared" si="382"/>
        <v>NA</v>
      </c>
      <c r="AG1044" s="29" t="str">
        <f t="shared" si="383"/>
        <v>NA</v>
      </c>
      <c r="AH1044" s="29" t="str">
        <f t="shared" si="384"/>
        <v>NA</v>
      </c>
    </row>
    <row r="1045" customHeight="1" spans="1:34">
      <c r="A1045" s="12" t="s">
        <v>1043</v>
      </c>
      <c r="F1045" s="24">
        <f t="shared" si="366"/>
        <v>0</v>
      </c>
      <c r="G1045" s="24" t="e">
        <f t="shared" si="365"/>
        <v>#DIV/0!</v>
      </c>
      <c r="Q1045" s="29" t="str">
        <f t="shared" si="367"/>
        <v>NA</v>
      </c>
      <c r="R1045" s="29" t="str">
        <f t="shared" si="368"/>
        <v>NA</v>
      </c>
      <c r="S1045" s="29" t="str">
        <f t="shared" si="369"/>
        <v>NA</v>
      </c>
      <c r="T1045" s="29" t="str">
        <f t="shared" si="370"/>
        <v>NA</v>
      </c>
      <c r="U1045" s="29" t="str">
        <f t="shared" si="371"/>
        <v>NA</v>
      </c>
      <c r="V1045" s="29" t="str">
        <f t="shared" si="372"/>
        <v>NA</v>
      </c>
      <c r="W1045" s="29" t="str">
        <f t="shared" si="373"/>
        <v>NA</v>
      </c>
      <c r="X1045" s="29" t="str">
        <f t="shared" si="374"/>
        <v>NA</v>
      </c>
      <c r="Y1045" s="29" t="str">
        <f t="shared" si="375"/>
        <v>NA</v>
      </c>
      <c r="Z1045" s="29" t="str">
        <f t="shared" si="376"/>
        <v>NA</v>
      </c>
      <c r="AA1045" s="29" t="str">
        <f t="shared" si="377"/>
        <v>NA</v>
      </c>
      <c r="AB1045" s="29" t="str">
        <f t="shared" si="378"/>
        <v>NA</v>
      </c>
      <c r="AC1045" s="29" t="str">
        <f t="shared" si="379"/>
        <v>NA</v>
      </c>
      <c r="AD1045" s="29" t="str">
        <f t="shared" si="380"/>
        <v>NA</v>
      </c>
      <c r="AE1045" s="29" t="str">
        <f t="shared" si="381"/>
        <v>NA</v>
      </c>
      <c r="AF1045" s="29" t="str">
        <f t="shared" si="382"/>
        <v>NA</v>
      </c>
      <c r="AG1045" s="29" t="str">
        <f t="shared" si="383"/>
        <v>NA</v>
      </c>
      <c r="AH1045" s="29" t="str">
        <f t="shared" si="384"/>
        <v>NA</v>
      </c>
    </row>
    <row r="1046" customHeight="1" spans="1:34">
      <c r="A1046" s="12" t="s">
        <v>1043</v>
      </c>
      <c r="F1046" s="24">
        <f t="shared" si="366"/>
        <v>0</v>
      </c>
      <c r="G1046" s="24" t="e">
        <f t="shared" si="365"/>
        <v>#DIV/0!</v>
      </c>
      <c r="Q1046" s="29" t="str">
        <f t="shared" si="367"/>
        <v>NA</v>
      </c>
      <c r="R1046" s="29" t="str">
        <f t="shared" si="368"/>
        <v>NA</v>
      </c>
      <c r="S1046" s="29" t="str">
        <f t="shared" si="369"/>
        <v>NA</v>
      </c>
      <c r="T1046" s="29" t="str">
        <f t="shared" si="370"/>
        <v>NA</v>
      </c>
      <c r="U1046" s="29" t="str">
        <f t="shared" si="371"/>
        <v>NA</v>
      </c>
      <c r="V1046" s="29" t="str">
        <f t="shared" si="372"/>
        <v>NA</v>
      </c>
      <c r="W1046" s="29" t="str">
        <f t="shared" si="373"/>
        <v>NA</v>
      </c>
      <c r="X1046" s="29" t="str">
        <f t="shared" si="374"/>
        <v>NA</v>
      </c>
      <c r="Y1046" s="29" t="str">
        <f t="shared" si="375"/>
        <v>NA</v>
      </c>
      <c r="Z1046" s="29" t="str">
        <f t="shared" si="376"/>
        <v>NA</v>
      </c>
      <c r="AA1046" s="29" t="str">
        <f t="shared" si="377"/>
        <v>NA</v>
      </c>
      <c r="AB1046" s="29" t="str">
        <f t="shared" si="378"/>
        <v>NA</v>
      </c>
      <c r="AC1046" s="29" t="str">
        <f t="shared" si="379"/>
        <v>NA</v>
      </c>
      <c r="AD1046" s="29" t="str">
        <f t="shared" si="380"/>
        <v>NA</v>
      </c>
      <c r="AE1046" s="29" t="str">
        <f t="shared" si="381"/>
        <v>NA</v>
      </c>
      <c r="AF1046" s="29" t="str">
        <f t="shared" si="382"/>
        <v>NA</v>
      </c>
      <c r="AG1046" s="29" t="str">
        <f t="shared" si="383"/>
        <v>NA</v>
      </c>
      <c r="AH1046" s="29" t="str">
        <f t="shared" si="384"/>
        <v>NA</v>
      </c>
    </row>
    <row r="1047" customHeight="1" spans="1:34">
      <c r="A1047" s="12" t="s">
        <v>1043</v>
      </c>
      <c r="F1047" s="24">
        <f t="shared" si="366"/>
        <v>0</v>
      </c>
      <c r="G1047" s="24" t="e">
        <f t="shared" si="365"/>
        <v>#DIV/0!</v>
      </c>
      <c r="Q1047" s="29" t="str">
        <f t="shared" si="367"/>
        <v>NA</v>
      </c>
      <c r="R1047" s="29" t="str">
        <f t="shared" si="368"/>
        <v>NA</v>
      </c>
      <c r="S1047" s="29" t="str">
        <f t="shared" si="369"/>
        <v>NA</v>
      </c>
      <c r="T1047" s="29" t="str">
        <f t="shared" si="370"/>
        <v>NA</v>
      </c>
      <c r="U1047" s="29" t="str">
        <f t="shared" si="371"/>
        <v>NA</v>
      </c>
      <c r="V1047" s="29" t="str">
        <f t="shared" si="372"/>
        <v>NA</v>
      </c>
      <c r="W1047" s="29" t="str">
        <f t="shared" si="373"/>
        <v>NA</v>
      </c>
      <c r="X1047" s="29" t="str">
        <f t="shared" si="374"/>
        <v>NA</v>
      </c>
      <c r="Y1047" s="29" t="str">
        <f t="shared" si="375"/>
        <v>NA</v>
      </c>
      <c r="Z1047" s="29" t="str">
        <f t="shared" si="376"/>
        <v>NA</v>
      </c>
      <c r="AA1047" s="29" t="str">
        <f t="shared" si="377"/>
        <v>NA</v>
      </c>
      <c r="AB1047" s="29" t="str">
        <f t="shared" si="378"/>
        <v>NA</v>
      </c>
      <c r="AC1047" s="29" t="str">
        <f t="shared" si="379"/>
        <v>NA</v>
      </c>
      <c r="AD1047" s="29" t="str">
        <f t="shared" si="380"/>
        <v>NA</v>
      </c>
      <c r="AE1047" s="29" t="str">
        <f t="shared" si="381"/>
        <v>NA</v>
      </c>
      <c r="AF1047" s="29" t="str">
        <f t="shared" si="382"/>
        <v>NA</v>
      </c>
      <c r="AG1047" s="29" t="str">
        <f t="shared" si="383"/>
        <v>NA</v>
      </c>
      <c r="AH1047" s="29" t="str">
        <f t="shared" si="384"/>
        <v>NA</v>
      </c>
    </row>
    <row r="1048" customHeight="1" spans="1:34">
      <c r="A1048" s="12" t="s">
        <v>1043</v>
      </c>
      <c r="F1048" s="24">
        <f t="shared" si="366"/>
        <v>0</v>
      </c>
      <c r="G1048" s="24" t="e">
        <f t="shared" si="365"/>
        <v>#DIV/0!</v>
      </c>
      <c r="Q1048" s="29" t="str">
        <f t="shared" si="367"/>
        <v>NA</v>
      </c>
      <c r="R1048" s="29" t="str">
        <f t="shared" si="368"/>
        <v>NA</v>
      </c>
      <c r="S1048" s="29" t="str">
        <f t="shared" si="369"/>
        <v>NA</v>
      </c>
      <c r="T1048" s="29" t="str">
        <f t="shared" si="370"/>
        <v>NA</v>
      </c>
      <c r="U1048" s="29" t="str">
        <f t="shared" si="371"/>
        <v>NA</v>
      </c>
      <c r="V1048" s="29" t="str">
        <f t="shared" si="372"/>
        <v>NA</v>
      </c>
      <c r="W1048" s="29" t="str">
        <f t="shared" si="373"/>
        <v>NA</v>
      </c>
      <c r="X1048" s="29" t="str">
        <f t="shared" si="374"/>
        <v>NA</v>
      </c>
      <c r="Y1048" s="29" t="str">
        <f t="shared" si="375"/>
        <v>NA</v>
      </c>
      <c r="Z1048" s="29" t="str">
        <f t="shared" si="376"/>
        <v>NA</v>
      </c>
      <c r="AA1048" s="29" t="str">
        <f t="shared" si="377"/>
        <v>NA</v>
      </c>
      <c r="AB1048" s="29" t="str">
        <f t="shared" si="378"/>
        <v>NA</v>
      </c>
      <c r="AC1048" s="29" t="str">
        <f t="shared" si="379"/>
        <v>NA</v>
      </c>
      <c r="AD1048" s="29" t="str">
        <f t="shared" si="380"/>
        <v>NA</v>
      </c>
      <c r="AE1048" s="29" t="str">
        <f t="shared" si="381"/>
        <v>NA</v>
      </c>
      <c r="AF1048" s="29" t="str">
        <f t="shared" si="382"/>
        <v>NA</v>
      </c>
      <c r="AG1048" s="29" t="str">
        <f t="shared" si="383"/>
        <v>NA</v>
      </c>
      <c r="AH1048" s="29" t="str">
        <f t="shared" si="384"/>
        <v>NA</v>
      </c>
    </row>
    <row r="1049" customHeight="1" spans="1:34">
      <c r="A1049" s="12" t="s">
        <v>1043</v>
      </c>
      <c r="F1049" s="24">
        <f t="shared" si="366"/>
        <v>0</v>
      </c>
      <c r="G1049" s="24" t="e">
        <f t="shared" si="365"/>
        <v>#DIV/0!</v>
      </c>
      <c r="Q1049" s="29" t="str">
        <f t="shared" si="367"/>
        <v>NA</v>
      </c>
      <c r="R1049" s="29" t="str">
        <f t="shared" si="368"/>
        <v>NA</v>
      </c>
      <c r="S1049" s="29" t="str">
        <f t="shared" si="369"/>
        <v>NA</v>
      </c>
      <c r="T1049" s="29" t="str">
        <f t="shared" si="370"/>
        <v>NA</v>
      </c>
      <c r="U1049" s="29" t="str">
        <f t="shared" si="371"/>
        <v>NA</v>
      </c>
      <c r="V1049" s="29" t="str">
        <f t="shared" si="372"/>
        <v>NA</v>
      </c>
      <c r="W1049" s="29" t="str">
        <f t="shared" si="373"/>
        <v>NA</v>
      </c>
      <c r="X1049" s="29" t="str">
        <f t="shared" si="374"/>
        <v>NA</v>
      </c>
      <c r="Y1049" s="29" t="str">
        <f t="shared" si="375"/>
        <v>NA</v>
      </c>
      <c r="Z1049" s="29" t="str">
        <f t="shared" si="376"/>
        <v>NA</v>
      </c>
      <c r="AA1049" s="29" t="str">
        <f t="shared" si="377"/>
        <v>NA</v>
      </c>
      <c r="AB1049" s="29" t="str">
        <f t="shared" si="378"/>
        <v>NA</v>
      </c>
      <c r="AC1049" s="29" t="str">
        <f t="shared" si="379"/>
        <v>NA</v>
      </c>
      <c r="AD1049" s="29" t="str">
        <f t="shared" si="380"/>
        <v>NA</v>
      </c>
      <c r="AE1049" s="29" t="str">
        <f t="shared" si="381"/>
        <v>NA</v>
      </c>
      <c r="AF1049" s="29" t="str">
        <f t="shared" si="382"/>
        <v>NA</v>
      </c>
      <c r="AG1049" s="29" t="str">
        <f t="shared" si="383"/>
        <v>NA</v>
      </c>
      <c r="AH1049" s="29" t="str">
        <f t="shared" si="384"/>
        <v>NA</v>
      </c>
    </row>
    <row r="1050" customHeight="1" spans="1:34">
      <c r="A1050" s="12" t="s">
        <v>1043</v>
      </c>
      <c r="F1050" s="24">
        <f t="shared" si="366"/>
        <v>0</v>
      </c>
      <c r="G1050" s="24" t="e">
        <f t="shared" si="365"/>
        <v>#DIV/0!</v>
      </c>
      <c r="Q1050" s="29" t="str">
        <f t="shared" si="367"/>
        <v>NA</v>
      </c>
      <c r="R1050" s="29" t="str">
        <f t="shared" si="368"/>
        <v>NA</v>
      </c>
      <c r="S1050" s="29" t="str">
        <f t="shared" si="369"/>
        <v>NA</v>
      </c>
      <c r="T1050" s="29" t="str">
        <f t="shared" si="370"/>
        <v>NA</v>
      </c>
      <c r="U1050" s="29" t="str">
        <f t="shared" si="371"/>
        <v>NA</v>
      </c>
      <c r="V1050" s="29" t="str">
        <f t="shared" si="372"/>
        <v>NA</v>
      </c>
      <c r="W1050" s="29" t="str">
        <f t="shared" si="373"/>
        <v>NA</v>
      </c>
      <c r="X1050" s="29" t="str">
        <f t="shared" si="374"/>
        <v>NA</v>
      </c>
      <c r="Y1050" s="29" t="str">
        <f t="shared" si="375"/>
        <v>NA</v>
      </c>
      <c r="Z1050" s="29" t="str">
        <f t="shared" si="376"/>
        <v>NA</v>
      </c>
      <c r="AA1050" s="29" t="str">
        <f t="shared" si="377"/>
        <v>NA</v>
      </c>
      <c r="AB1050" s="29" t="str">
        <f t="shared" si="378"/>
        <v>NA</v>
      </c>
      <c r="AC1050" s="29" t="str">
        <f t="shared" si="379"/>
        <v>NA</v>
      </c>
      <c r="AD1050" s="29" t="str">
        <f t="shared" si="380"/>
        <v>NA</v>
      </c>
      <c r="AE1050" s="29" t="str">
        <f t="shared" si="381"/>
        <v>NA</v>
      </c>
      <c r="AF1050" s="29" t="str">
        <f t="shared" si="382"/>
        <v>NA</v>
      </c>
      <c r="AG1050" s="29" t="str">
        <f t="shared" si="383"/>
        <v>NA</v>
      </c>
      <c r="AH1050" s="29" t="str">
        <f t="shared" si="384"/>
        <v>NA</v>
      </c>
    </row>
    <row r="1051" customHeight="1" spans="1:34">
      <c r="A1051" s="12" t="s">
        <v>1043</v>
      </c>
      <c r="F1051" s="24">
        <f t="shared" si="366"/>
        <v>0</v>
      </c>
      <c r="G1051" s="24" t="e">
        <f t="shared" si="365"/>
        <v>#DIV/0!</v>
      </c>
      <c r="Q1051" s="29" t="str">
        <f t="shared" si="367"/>
        <v>NA</v>
      </c>
      <c r="R1051" s="29" t="str">
        <f t="shared" si="368"/>
        <v>NA</v>
      </c>
      <c r="S1051" s="29" t="str">
        <f t="shared" si="369"/>
        <v>NA</v>
      </c>
      <c r="T1051" s="29" t="str">
        <f t="shared" si="370"/>
        <v>NA</v>
      </c>
      <c r="U1051" s="29" t="str">
        <f t="shared" si="371"/>
        <v>NA</v>
      </c>
      <c r="V1051" s="29" t="str">
        <f t="shared" si="372"/>
        <v>NA</v>
      </c>
      <c r="W1051" s="29" t="str">
        <f t="shared" si="373"/>
        <v>NA</v>
      </c>
      <c r="X1051" s="29" t="str">
        <f t="shared" si="374"/>
        <v>NA</v>
      </c>
      <c r="Y1051" s="29" t="str">
        <f t="shared" si="375"/>
        <v>NA</v>
      </c>
      <c r="Z1051" s="29" t="str">
        <f t="shared" si="376"/>
        <v>NA</v>
      </c>
      <c r="AA1051" s="29" t="str">
        <f t="shared" si="377"/>
        <v>NA</v>
      </c>
      <c r="AB1051" s="29" t="str">
        <f t="shared" si="378"/>
        <v>NA</v>
      </c>
      <c r="AC1051" s="29" t="str">
        <f t="shared" si="379"/>
        <v>NA</v>
      </c>
      <c r="AD1051" s="29" t="str">
        <f t="shared" si="380"/>
        <v>NA</v>
      </c>
      <c r="AE1051" s="29" t="str">
        <f t="shared" si="381"/>
        <v>NA</v>
      </c>
      <c r="AF1051" s="29" t="str">
        <f t="shared" si="382"/>
        <v>NA</v>
      </c>
      <c r="AG1051" s="29" t="str">
        <f t="shared" si="383"/>
        <v>NA</v>
      </c>
      <c r="AH1051" s="29" t="str">
        <f t="shared" si="384"/>
        <v>NA</v>
      </c>
    </row>
    <row r="1052" customHeight="1" spans="1:34">
      <c r="A1052" s="12" t="s">
        <v>1043</v>
      </c>
      <c r="F1052" s="24">
        <f t="shared" si="366"/>
        <v>0</v>
      </c>
      <c r="G1052" s="24" t="e">
        <f t="shared" si="365"/>
        <v>#DIV/0!</v>
      </c>
      <c r="Q1052" s="29" t="str">
        <f t="shared" si="367"/>
        <v>NA</v>
      </c>
      <c r="R1052" s="29" t="str">
        <f t="shared" si="368"/>
        <v>NA</v>
      </c>
      <c r="S1052" s="29" t="str">
        <f t="shared" si="369"/>
        <v>NA</v>
      </c>
      <c r="T1052" s="29" t="str">
        <f t="shared" si="370"/>
        <v>NA</v>
      </c>
      <c r="U1052" s="29" t="str">
        <f t="shared" si="371"/>
        <v>NA</v>
      </c>
      <c r="V1052" s="29" t="str">
        <f t="shared" si="372"/>
        <v>NA</v>
      </c>
      <c r="W1052" s="29" t="str">
        <f t="shared" si="373"/>
        <v>NA</v>
      </c>
      <c r="X1052" s="29" t="str">
        <f t="shared" si="374"/>
        <v>NA</v>
      </c>
      <c r="Y1052" s="29" t="str">
        <f t="shared" si="375"/>
        <v>NA</v>
      </c>
      <c r="Z1052" s="29" t="str">
        <f t="shared" si="376"/>
        <v>NA</v>
      </c>
      <c r="AA1052" s="29" t="str">
        <f t="shared" si="377"/>
        <v>NA</v>
      </c>
      <c r="AB1052" s="29" t="str">
        <f t="shared" si="378"/>
        <v>NA</v>
      </c>
      <c r="AC1052" s="29" t="str">
        <f t="shared" si="379"/>
        <v>NA</v>
      </c>
      <c r="AD1052" s="29" t="str">
        <f t="shared" si="380"/>
        <v>NA</v>
      </c>
      <c r="AE1052" s="29" t="str">
        <f t="shared" si="381"/>
        <v>NA</v>
      </c>
      <c r="AF1052" s="29" t="str">
        <f t="shared" si="382"/>
        <v>NA</v>
      </c>
      <c r="AG1052" s="29" t="str">
        <f t="shared" si="383"/>
        <v>NA</v>
      </c>
      <c r="AH1052" s="29" t="str">
        <f t="shared" si="384"/>
        <v>NA</v>
      </c>
    </row>
    <row r="1053" customHeight="1" spans="1:34">
      <c r="A1053" s="12" t="s">
        <v>1043</v>
      </c>
      <c r="F1053" s="24">
        <f t="shared" si="366"/>
        <v>0</v>
      </c>
      <c r="G1053" s="24" t="e">
        <f t="shared" si="365"/>
        <v>#DIV/0!</v>
      </c>
      <c r="Q1053" s="29" t="str">
        <f t="shared" si="367"/>
        <v>NA</v>
      </c>
      <c r="R1053" s="29" t="str">
        <f t="shared" si="368"/>
        <v>NA</v>
      </c>
      <c r="S1053" s="29" t="str">
        <f t="shared" si="369"/>
        <v>NA</v>
      </c>
      <c r="T1053" s="29" t="str">
        <f t="shared" si="370"/>
        <v>NA</v>
      </c>
      <c r="U1053" s="29" t="str">
        <f t="shared" si="371"/>
        <v>NA</v>
      </c>
      <c r="V1053" s="29" t="str">
        <f t="shared" si="372"/>
        <v>NA</v>
      </c>
      <c r="W1053" s="29" t="str">
        <f t="shared" si="373"/>
        <v>NA</v>
      </c>
      <c r="X1053" s="29" t="str">
        <f t="shared" si="374"/>
        <v>NA</v>
      </c>
      <c r="Y1053" s="29" t="str">
        <f t="shared" si="375"/>
        <v>NA</v>
      </c>
      <c r="Z1053" s="29" t="str">
        <f t="shared" si="376"/>
        <v>NA</v>
      </c>
      <c r="AA1053" s="29" t="str">
        <f t="shared" si="377"/>
        <v>NA</v>
      </c>
      <c r="AB1053" s="29" t="str">
        <f t="shared" si="378"/>
        <v>NA</v>
      </c>
      <c r="AC1053" s="29" t="str">
        <f t="shared" si="379"/>
        <v>NA</v>
      </c>
      <c r="AD1053" s="29" t="str">
        <f t="shared" si="380"/>
        <v>NA</v>
      </c>
      <c r="AE1053" s="29" t="str">
        <f t="shared" si="381"/>
        <v>NA</v>
      </c>
      <c r="AF1053" s="29" t="str">
        <f t="shared" si="382"/>
        <v>NA</v>
      </c>
      <c r="AG1053" s="29" t="str">
        <f t="shared" si="383"/>
        <v>NA</v>
      </c>
      <c r="AH1053" s="29" t="str">
        <f t="shared" si="384"/>
        <v>NA</v>
      </c>
    </row>
    <row r="1054" customHeight="1" spans="1:34">
      <c r="A1054" s="12" t="s">
        <v>1043</v>
      </c>
      <c r="F1054" s="24">
        <f t="shared" si="366"/>
        <v>0</v>
      </c>
      <c r="G1054" s="24" t="e">
        <f t="shared" si="365"/>
        <v>#DIV/0!</v>
      </c>
      <c r="Q1054" s="29" t="str">
        <f t="shared" si="367"/>
        <v>NA</v>
      </c>
      <c r="R1054" s="29" t="str">
        <f t="shared" si="368"/>
        <v>NA</v>
      </c>
      <c r="S1054" s="29" t="str">
        <f t="shared" si="369"/>
        <v>NA</v>
      </c>
      <c r="T1054" s="29" t="str">
        <f t="shared" si="370"/>
        <v>NA</v>
      </c>
      <c r="U1054" s="29" t="str">
        <f t="shared" si="371"/>
        <v>NA</v>
      </c>
      <c r="V1054" s="29" t="str">
        <f t="shared" si="372"/>
        <v>NA</v>
      </c>
      <c r="W1054" s="29" t="str">
        <f t="shared" si="373"/>
        <v>NA</v>
      </c>
      <c r="X1054" s="29" t="str">
        <f t="shared" si="374"/>
        <v>NA</v>
      </c>
      <c r="Y1054" s="29" t="str">
        <f t="shared" si="375"/>
        <v>NA</v>
      </c>
      <c r="Z1054" s="29" t="str">
        <f t="shared" si="376"/>
        <v>NA</v>
      </c>
      <c r="AA1054" s="29" t="str">
        <f t="shared" si="377"/>
        <v>NA</v>
      </c>
      <c r="AB1054" s="29" t="str">
        <f t="shared" si="378"/>
        <v>NA</v>
      </c>
      <c r="AC1054" s="29" t="str">
        <f t="shared" si="379"/>
        <v>NA</v>
      </c>
      <c r="AD1054" s="29" t="str">
        <f t="shared" si="380"/>
        <v>NA</v>
      </c>
      <c r="AE1054" s="29" t="str">
        <f t="shared" si="381"/>
        <v>NA</v>
      </c>
      <c r="AF1054" s="29" t="str">
        <f t="shared" si="382"/>
        <v>NA</v>
      </c>
      <c r="AG1054" s="29" t="str">
        <f t="shared" si="383"/>
        <v>NA</v>
      </c>
      <c r="AH1054" s="29" t="str">
        <f t="shared" si="384"/>
        <v>NA</v>
      </c>
    </row>
    <row r="1055" customHeight="1" spans="1:34">
      <c r="A1055" s="12" t="s">
        <v>1043</v>
      </c>
      <c r="F1055" s="24">
        <f t="shared" si="366"/>
        <v>0</v>
      </c>
      <c r="G1055" s="24" t="e">
        <f t="shared" si="365"/>
        <v>#DIV/0!</v>
      </c>
      <c r="Q1055" s="29" t="str">
        <f t="shared" si="367"/>
        <v>NA</v>
      </c>
      <c r="R1055" s="29" t="str">
        <f t="shared" si="368"/>
        <v>NA</v>
      </c>
      <c r="S1055" s="29" t="str">
        <f t="shared" si="369"/>
        <v>NA</v>
      </c>
      <c r="T1055" s="29" t="str">
        <f t="shared" si="370"/>
        <v>NA</v>
      </c>
      <c r="U1055" s="29" t="str">
        <f t="shared" si="371"/>
        <v>NA</v>
      </c>
      <c r="V1055" s="29" t="str">
        <f t="shared" si="372"/>
        <v>NA</v>
      </c>
      <c r="W1055" s="29" t="str">
        <f t="shared" si="373"/>
        <v>NA</v>
      </c>
      <c r="X1055" s="29" t="str">
        <f t="shared" si="374"/>
        <v>NA</v>
      </c>
      <c r="Y1055" s="29" t="str">
        <f t="shared" si="375"/>
        <v>NA</v>
      </c>
      <c r="Z1055" s="29" t="str">
        <f t="shared" si="376"/>
        <v>NA</v>
      </c>
      <c r="AA1055" s="29" t="str">
        <f t="shared" si="377"/>
        <v>NA</v>
      </c>
      <c r="AB1055" s="29" t="str">
        <f t="shared" si="378"/>
        <v>NA</v>
      </c>
      <c r="AC1055" s="29" t="str">
        <f t="shared" si="379"/>
        <v>NA</v>
      </c>
      <c r="AD1055" s="29" t="str">
        <f t="shared" si="380"/>
        <v>NA</v>
      </c>
      <c r="AE1055" s="29" t="str">
        <f t="shared" si="381"/>
        <v>NA</v>
      </c>
      <c r="AF1055" s="29" t="str">
        <f t="shared" si="382"/>
        <v>NA</v>
      </c>
      <c r="AG1055" s="29" t="str">
        <f t="shared" si="383"/>
        <v>NA</v>
      </c>
      <c r="AH1055" s="29" t="str">
        <f t="shared" si="384"/>
        <v>NA</v>
      </c>
    </row>
    <row r="1056" customHeight="1" spans="1:34">
      <c r="A1056" s="12" t="s">
        <v>1043</v>
      </c>
      <c r="F1056" s="24">
        <f t="shared" si="366"/>
        <v>0</v>
      </c>
      <c r="G1056" s="24" t="e">
        <f t="shared" si="365"/>
        <v>#DIV/0!</v>
      </c>
      <c r="Q1056" s="29" t="str">
        <f t="shared" si="367"/>
        <v>NA</v>
      </c>
      <c r="R1056" s="29" t="str">
        <f t="shared" si="368"/>
        <v>NA</v>
      </c>
      <c r="S1056" s="29" t="str">
        <f t="shared" si="369"/>
        <v>NA</v>
      </c>
      <c r="T1056" s="29" t="str">
        <f t="shared" si="370"/>
        <v>NA</v>
      </c>
      <c r="U1056" s="29" t="str">
        <f t="shared" si="371"/>
        <v>NA</v>
      </c>
      <c r="V1056" s="29" t="str">
        <f t="shared" si="372"/>
        <v>NA</v>
      </c>
      <c r="W1056" s="29" t="str">
        <f t="shared" si="373"/>
        <v>NA</v>
      </c>
      <c r="X1056" s="29" t="str">
        <f t="shared" si="374"/>
        <v>NA</v>
      </c>
      <c r="Y1056" s="29" t="str">
        <f t="shared" si="375"/>
        <v>NA</v>
      </c>
      <c r="Z1056" s="29" t="str">
        <f t="shared" si="376"/>
        <v>NA</v>
      </c>
      <c r="AA1056" s="29" t="str">
        <f t="shared" si="377"/>
        <v>NA</v>
      </c>
      <c r="AB1056" s="29" t="str">
        <f t="shared" si="378"/>
        <v>NA</v>
      </c>
      <c r="AC1056" s="29" t="str">
        <f t="shared" si="379"/>
        <v>NA</v>
      </c>
      <c r="AD1056" s="29" t="str">
        <f t="shared" si="380"/>
        <v>NA</v>
      </c>
      <c r="AE1056" s="29" t="str">
        <f t="shared" si="381"/>
        <v>NA</v>
      </c>
      <c r="AF1056" s="29" t="str">
        <f t="shared" si="382"/>
        <v>NA</v>
      </c>
      <c r="AG1056" s="29" t="str">
        <f t="shared" si="383"/>
        <v>NA</v>
      </c>
      <c r="AH1056" s="29" t="str">
        <f t="shared" si="384"/>
        <v>NA</v>
      </c>
    </row>
    <row r="1057" customHeight="1" spans="1:34">
      <c r="A1057" s="12" t="s">
        <v>1043</v>
      </c>
      <c r="F1057" s="24">
        <f t="shared" si="366"/>
        <v>0</v>
      </c>
      <c r="G1057" s="24" t="e">
        <f t="shared" si="365"/>
        <v>#DIV/0!</v>
      </c>
      <c r="Q1057" s="29" t="str">
        <f t="shared" si="367"/>
        <v>NA</v>
      </c>
      <c r="R1057" s="29" t="str">
        <f t="shared" si="368"/>
        <v>NA</v>
      </c>
      <c r="S1057" s="29" t="str">
        <f t="shared" si="369"/>
        <v>NA</v>
      </c>
      <c r="T1057" s="29" t="str">
        <f t="shared" si="370"/>
        <v>NA</v>
      </c>
      <c r="U1057" s="29" t="str">
        <f t="shared" si="371"/>
        <v>NA</v>
      </c>
      <c r="V1057" s="29" t="str">
        <f t="shared" si="372"/>
        <v>NA</v>
      </c>
      <c r="W1057" s="29" t="str">
        <f t="shared" si="373"/>
        <v>NA</v>
      </c>
      <c r="X1057" s="29" t="str">
        <f t="shared" si="374"/>
        <v>NA</v>
      </c>
      <c r="Y1057" s="29" t="str">
        <f t="shared" si="375"/>
        <v>NA</v>
      </c>
      <c r="Z1057" s="29" t="str">
        <f t="shared" si="376"/>
        <v>NA</v>
      </c>
      <c r="AA1057" s="29" t="str">
        <f t="shared" si="377"/>
        <v>NA</v>
      </c>
      <c r="AB1057" s="29" t="str">
        <f t="shared" si="378"/>
        <v>NA</v>
      </c>
      <c r="AC1057" s="29" t="str">
        <f t="shared" si="379"/>
        <v>NA</v>
      </c>
      <c r="AD1057" s="29" t="str">
        <f t="shared" si="380"/>
        <v>NA</v>
      </c>
      <c r="AE1057" s="29" t="str">
        <f t="shared" si="381"/>
        <v>NA</v>
      </c>
      <c r="AF1057" s="29" t="str">
        <f t="shared" si="382"/>
        <v>NA</v>
      </c>
      <c r="AG1057" s="29" t="str">
        <f t="shared" si="383"/>
        <v>NA</v>
      </c>
      <c r="AH1057" s="29" t="str">
        <f t="shared" si="384"/>
        <v>NA</v>
      </c>
    </row>
    <row r="1058" customHeight="1" spans="1:34">
      <c r="A1058" s="12" t="s">
        <v>1043</v>
      </c>
      <c r="F1058" s="24">
        <f t="shared" si="366"/>
        <v>0</v>
      </c>
      <c r="G1058" s="24" t="e">
        <f t="shared" si="365"/>
        <v>#DIV/0!</v>
      </c>
      <c r="Q1058" s="29" t="str">
        <f t="shared" si="367"/>
        <v>NA</v>
      </c>
      <c r="R1058" s="29" t="str">
        <f t="shared" si="368"/>
        <v>NA</v>
      </c>
      <c r="S1058" s="29" t="str">
        <f t="shared" si="369"/>
        <v>NA</v>
      </c>
      <c r="T1058" s="29" t="str">
        <f t="shared" si="370"/>
        <v>NA</v>
      </c>
      <c r="U1058" s="29" t="str">
        <f t="shared" si="371"/>
        <v>NA</v>
      </c>
      <c r="V1058" s="29" t="str">
        <f t="shared" si="372"/>
        <v>NA</v>
      </c>
      <c r="W1058" s="29" t="str">
        <f t="shared" si="373"/>
        <v>NA</v>
      </c>
      <c r="X1058" s="29" t="str">
        <f t="shared" si="374"/>
        <v>NA</v>
      </c>
      <c r="Y1058" s="29" t="str">
        <f t="shared" si="375"/>
        <v>NA</v>
      </c>
      <c r="Z1058" s="29" t="str">
        <f t="shared" si="376"/>
        <v>NA</v>
      </c>
      <c r="AA1058" s="29" t="str">
        <f t="shared" si="377"/>
        <v>NA</v>
      </c>
      <c r="AB1058" s="29" t="str">
        <f t="shared" si="378"/>
        <v>NA</v>
      </c>
      <c r="AC1058" s="29" t="str">
        <f t="shared" si="379"/>
        <v>NA</v>
      </c>
      <c r="AD1058" s="29" t="str">
        <f t="shared" si="380"/>
        <v>NA</v>
      </c>
      <c r="AE1058" s="29" t="str">
        <f t="shared" si="381"/>
        <v>NA</v>
      </c>
      <c r="AF1058" s="29" t="str">
        <f t="shared" si="382"/>
        <v>NA</v>
      </c>
      <c r="AG1058" s="29" t="str">
        <f t="shared" si="383"/>
        <v>NA</v>
      </c>
      <c r="AH1058" s="29" t="str">
        <f t="shared" si="384"/>
        <v>NA</v>
      </c>
    </row>
    <row r="1059" customHeight="1" spans="1:34">
      <c r="A1059" s="12" t="s">
        <v>1043</v>
      </c>
      <c r="F1059" s="24">
        <f t="shared" si="366"/>
        <v>0</v>
      </c>
      <c r="G1059" s="24" t="e">
        <f t="shared" si="365"/>
        <v>#DIV/0!</v>
      </c>
      <c r="Q1059" s="29" t="str">
        <f t="shared" si="367"/>
        <v>NA</v>
      </c>
      <c r="R1059" s="29" t="str">
        <f t="shared" si="368"/>
        <v>NA</v>
      </c>
      <c r="S1059" s="29" t="str">
        <f t="shared" si="369"/>
        <v>NA</v>
      </c>
      <c r="T1059" s="29" t="str">
        <f t="shared" si="370"/>
        <v>NA</v>
      </c>
      <c r="U1059" s="29" t="str">
        <f t="shared" si="371"/>
        <v>NA</v>
      </c>
      <c r="V1059" s="29" t="str">
        <f t="shared" si="372"/>
        <v>NA</v>
      </c>
      <c r="W1059" s="29" t="str">
        <f t="shared" si="373"/>
        <v>NA</v>
      </c>
      <c r="X1059" s="29" t="str">
        <f t="shared" si="374"/>
        <v>NA</v>
      </c>
      <c r="Y1059" s="29" t="str">
        <f t="shared" si="375"/>
        <v>NA</v>
      </c>
      <c r="Z1059" s="29" t="str">
        <f t="shared" si="376"/>
        <v>NA</v>
      </c>
      <c r="AA1059" s="29" t="str">
        <f t="shared" si="377"/>
        <v>NA</v>
      </c>
      <c r="AB1059" s="29" t="str">
        <f t="shared" si="378"/>
        <v>NA</v>
      </c>
      <c r="AC1059" s="29" t="str">
        <f t="shared" si="379"/>
        <v>NA</v>
      </c>
      <c r="AD1059" s="29" t="str">
        <f t="shared" si="380"/>
        <v>NA</v>
      </c>
      <c r="AE1059" s="29" t="str">
        <f t="shared" si="381"/>
        <v>NA</v>
      </c>
      <c r="AF1059" s="29" t="str">
        <f t="shared" si="382"/>
        <v>NA</v>
      </c>
      <c r="AG1059" s="29" t="str">
        <f t="shared" si="383"/>
        <v>NA</v>
      </c>
      <c r="AH1059" s="29" t="str">
        <f t="shared" si="384"/>
        <v>NA</v>
      </c>
    </row>
    <row r="1060" customHeight="1" spans="1:34">
      <c r="A1060" s="12" t="s">
        <v>1043</v>
      </c>
      <c r="F1060" s="24">
        <f t="shared" si="366"/>
        <v>0</v>
      </c>
      <c r="G1060" s="24" t="e">
        <f t="shared" si="365"/>
        <v>#DIV/0!</v>
      </c>
      <c r="Q1060" s="29" t="str">
        <f t="shared" si="367"/>
        <v>NA</v>
      </c>
      <c r="R1060" s="29" t="str">
        <f t="shared" si="368"/>
        <v>NA</v>
      </c>
      <c r="S1060" s="29" t="str">
        <f t="shared" si="369"/>
        <v>NA</v>
      </c>
      <c r="T1060" s="29" t="str">
        <f t="shared" si="370"/>
        <v>NA</v>
      </c>
      <c r="U1060" s="29" t="str">
        <f t="shared" si="371"/>
        <v>NA</v>
      </c>
      <c r="V1060" s="29" t="str">
        <f t="shared" si="372"/>
        <v>NA</v>
      </c>
      <c r="W1060" s="29" t="str">
        <f t="shared" si="373"/>
        <v>NA</v>
      </c>
      <c r="X1060" s="29" t="str">
        <f t="shared" si="374"/>
        <v>NA</v>
      </c>
      <c r="Y1060" s="29" t="str">
        <f t="shared" si="375"/>
        <v>NA</v>
      </c>
      <c r="Z1060" s="29" t="str">
        <f t="shared" si="376"/>
        <v>NA</v>
      </c>
      <c r="AA1060" s="29" t="str">
        <f t="shared" si="377"/>
        <v>NA</v>
      </c>
      <c r="AB1060" s="29" t="str">
        <f t="shared" si="378"/>
        <v>NA</v>
      </c>
      <c r="AC1060" s="29" t="str">
        <f t="shared" si="379"/>
        <v>NA</v>
      </c>
      <c r="AD1060" s="29" t="str">
        <f t="shared" si="380"/>
        <v>NA</v>
      </c>
      <c r="AE1060" s="29" t="str">
        <f t="shared" si="381"/>
        <v>NA</v>
      </c>
      <c r="AF1060" s="29" t="str">
        <f t="shared" si="382"/>
        <v>NA</v>
      </c>
      <c r="AG1060" s="29" t="str">
        <f t="shared" si="383"/>
        <v>NA</v>
      </c>
      <c r="AH1060" s="29" t="str">
        <f t="shared" si="384"/>
        <v>NA</v>
      </c>
    </row>
    <row r="1061" customHeight="1" spans="1:34">
      <c r="A1061" s="12" t="s">
        <v>1043</v>
      </c>
      <c r="F1061" s="24">
        <f t="shared" si="366"/>
        <v>0</v>
      </c>
      <c r="G1061" s="24" t="e">
        <f t="shared" si="365"/>
        <v>#DIV/0!</v>
      </c>
      <c r="Q1061" s="29" t="str">
        <f t="shared" si="367"/>
        <v>NA</v>
      </c>
      <c r="R1061" s="29" t="str">
        <f t="shared" si="368"/>
        <v>NA</v>
      </c>
      <c r="S1061" s="29" t="str">
        <f t="shared" si="369"/>
        <v>NA</v>
      </c>
      <c r="T1061" s="29" t="str">
        <f t="shared" si="370"/>
        <v>NA</v>
      </c>
      <c r="U1061" s="29" t="str">
        <f t="shared" si="371"/>
        <v>NA</v>
      </c>
      <c r="V1061" s="29" t="str">
        <f t="shared" si="372"/>
        <v>NA</v>
      </c>
      <c r="W1061" s="29" t="str">
        <f t="shared" si="373"/>
        <v>NA</v>
      </c>
      <c r="X1061" s="29" t="str">
        <f t="shared" si="374"/>
        <v>NA</v>
      </c>
      <c r="Y1061" s="29" t="str">
        <f t="shared" si="375"/>
        <v>NA</v>
      </c>
      <c r="Z1061" s="29" t="str">
        <f t="shared" si="376"/>
        <v>NA</v>
      </c>
      <c r="AA1061" s="29" t="str">
        <f t="shared" si="377"/>
        <v>NA</v>
      </c>
      <c r="AB1061" s="29" t="str">
        <f t="shared" si="378"/>
        <v>NA</v>
      </c>
      <c r="AC1061" s="29" t="str">
        <f t="shared" si="379"/>
        <v>NA</v>
      </c>
      <c r="AD1061" s="29" t="str">
        <f t="shared" si="380"/>
        <v>NA</v>
      </c>
      <c r="AE1061" s="29" t="str">
        <f t="shared" si="381"/>
        <v>NA</v>
      </c>
      <c r="AF1061" s="29" t="str">
        <f t="shared" si="382"/>
        <v>NA</v>
      </c>
      <c r="AG1061" s="29" t="str">
        <f t="shared" si="383"/>
        <v>NA</v>
      </c>
      <c r="AH1061" s="29" t="str">
        <f t="shared" si="384"/>
        <v>NA</v>
      </c>
    </row>
    <row r="1062" customHeight="1" spans="1:34">
      <c r="A1062" s="12" t="s">
        <v>1043</v>
      </c>
      <c r="F1062" s="24">
        <f t="shared" si="366"/>
        <v>0</v>
      </c>
      <c r="G1062" s="24" t="e">
        <f t="shared" si="365"/>
        <v>#DIV/0!</v>
      </c>
      <c r="Q1062" s="29" t="str">
        <f t="shared" si="367"/>
        <v>NA</v>
      </c>
      <c r="R1062" s="29" t="str">
        <f t="shared" si="368"/>
        <v>NA</v>
      </c>
      <c r="S1062" s="29" t="str">
        <f t="shared" si="369"/>
        <v>NA</v>
      </c>
      <c r="T1062" s="29" t="str">
        <f t="shared" si="370"/>
        <v>NA</v>
      </c>
      <c r="U1062" s="29" t="str">
        <f t="shared" si="371"/>
        <v>NA</v>
      </c>
      <c r="V1062" s="29" t="str">
        <f t="shared" si="372"/>
        <v>NA</v>
      </c>
      <c r="W1062" s="29" t="str">
        <f t="shared" si="373"/>
        <v>NA</v>
      </c>
      <c r="X1062" s="29" t="str">
        <f t="shared" si="374"/>
        <v>NA</v>
      </c>
      <c r="Y1062" s="29" t="str">
        <f t="shared" si="375"/>
        <v>NA</v>
      </c>
      <c r="Z1062" s="29" t="str">
        <f t="shared" si="376"/>
        <v>NA</v>
      </c>
      <c r="AA1062" s="29" t="str">
        <f t="shared" si="377"/>
        <v>NA</v>
      </c>
      <c r="AB1062" s="29" t="str">
        <f t="shared" si="378"/>
        <v>NA</v>
      </c>
      <c r="AC1062" s="29" t="str">
        <f t="shared" si="379"/>
        <v>NA</v>
      </c>
      <c r="AD1062" s="29" t="str">
        <f t="shared" si="380"/>
        <v>NA</v>
      </c>
      <c r="AE1062" s="29" t="str">
        <f t="shared" si="381"/>
        <v>NA</v>
      </c>
      <c r="AF1062" s="29" t="str">
        <f t="shared" si="382"/>
        <v>NA</v>
      </c>
      <c r="AG1062" s="29" t="str">
        <f t="shared" si="383"/>
        <v>NA</v>
      </c>
      <c r="AH1062" s="29" t="str">
        <f t="shared" si="384"/>
        <v>NA</v>
      </c>
    </row>
    <row r="1063" customHeight="1" spans="1:34">
      <c r="A1063" s="12" t="s">
        <v>1043</v>
      </c>
      <c r="F1063" s="24">
        <f t="shared" si="366"/>
        <v>0</v>
      </c>
      <c r="G1063" s="24" t="e">
        <f t="shared" si="365"/>
        <v>#DIV/0!</v>
      </c>
      <c r="Q1063" s="29" t="str">
        <f t="shared" si="367"/>
        <v>NA</v>
      </c>
      <c r="R1063" s="29" t="str">
        <f t="shared" si="368"/>
        <v>NA</v>
      </c>
      <c r="S1063" s="29" t="str">
        <f t="shared" si="369"/>
        <v>NA</v>
      </c>
      <c r="T1063" s="29" t="str">
        <f t="shared" si="370"/>
        <v>NA</v>
      </c>
      <c r="U1063" s="29" t="str">
        <f t="shared" si="371"/>
        <v>NA</v>
      </c>
      <c r="V1063" s="29" t="str">
        <f t="shared" si="372"/>
        <v>NA</v>
      </c>
      <c r="W1063" s="29" t="str">
        <f t="shared" si="373"/>
        <v>NA</v>
      </c>
      <c r="X1063" s="29" t="str">
        <f t="shared" si="374"/>
        <v>NA</v>
      </c>
      <c r="Y1063" s="29" t="str">
        <f t="shared" si="375"/>
        <v>NA</v>
      </c>
      <c r="Z1063" s="29" t="str">
        <f t="shared" si="376"/>
        <v>NA</v>
      </c>
      <c r="AA1063" s="29" t="str">
        <f t="shared" si="377"/>
        <v>NA</v>
      </c>
      <c r="AB1063" s="29" t="str">
        <f t="shared" si="378"/>
        <v>NA</v>
      </c>
      <c r="AC1063" s="29" t="str">
        <f t="shared" si="379"/>
        <v>NA</v>
      </c>
      <c r="AD1063" s="29" t="str">
        <f t="shared" si="380"/>
        <v>NA</v>
      </c>
      <c r="AE1063" s="29" t="str">
        <f t="shared" si="381"/>
        <v>NA</v>
      </c>
      <c r="AF1063" s="29" t="str">
        <f t="shared" si="382"/>
        <v>NA</v>
      </c>
      <c r="AG1063" s="29" t="str">
        <f t="shared" si="383"/>
        <v>NA</v>
      </c>
      <c r="AH1063" s="29" t="str">
        <f t="shared" si="384"/>
        <v>NA</v>
      </c>
    </row>
    <row r="1064" customHeight="1" spans="1:34">
      <c r="A1064" s="12" t="s">
        <v>1043</v>
      </c>
      <c r="F1064" s="24">
        <f t="shared" si="366"/>
        <v>0</v>
      </c>
      <c r="G1064" s="24" t="e">
        <f t="shared" si="365"/>
        <v>#DIV/0!</v>
      </c>
      <c r="Q1064" s="29" t="str">
        <f t="shared" si="367"/>
        <v>NA</v>
      </c>
      <c r="R1064" s="29" t="str">
        <f t="shared" si="368"/>
        <v>NA</v>
      </c>
      <c r="S1064" s="29" t="str">
        <f t="shared" si="369"/>
        <v>NA</v>
      </c>
      <c r="T1064" s="29" t="str">
        <f t="shared" si="370"/>
        <v>NA</v>
      </c>
      <c r="U1064" s="29" t="str">
        <f t="shared" si="371"/>
        <v>NA</v>
      </c>
      <c r="V1064" s="29" t="str">
        <f t="shared" si="372"/>
        <v>NA</v>
      </c>
      <c r="W1064" s="29" t="str">
        <f t="shared" si="373"/>
        <v>NA</v>
      </c>
      <c r="X1064" s="29" t="str">
        <f t="shared" si="374"/>
        <v>NA</v>
      </c>
      <c r="Y1064" s="29" t="str">
        <f t="shared" si="375"/>
        <v>NA</v>
      </c>
      <c r="Z1064" s="29" t="str">
        <f t="shared" si="376"/>
        <v>NA</v>
      </c>
      <c r="AA1064" s="29" t="str">
        <f t="shared" si="377"/>
        <v>NA</v>
      </c>
      <c r="AB1064" s="29" t="str">
        <f t="shared" si="378"/>
        <v>NA</v>
      </c>
      <c r="AC1064" s="29" t="str">
        <f t="shared" si="379"/>
        <v>NA</v>
      </c>
      <c r="AD1064" s="29" t="str">
        <f t="shared" si="380"/>
        <v>NA</v>
      </c>
      <c r="AE1064" s="29" t="str">
        <f t="shared" si="381"/>
        <v>NA</v>
      </c>
      <c r="AF1064" s="29" t="str">
        <f t="shared" si="382"/>
        <v>NA</v>
      </c>
      <c r="AG1064" s="29" t="str">
        <f t="shared" si="383"/>
        <v>NA</v>
      </c>
      <c r="AH1064" s="29" t="str">
        <f t="shared" si="384"/>
        <v>NA</v>
      </c>
    </row>
    <row r="1065" customHeight="1" spans="1:34">
      <c r="A1065" s="12" t="s">
        <v>1043</v>
      </c>
      <c r="F1065" s="24">
        <f t="shared" si="366"/>
        <v>0</v>
      </c>
      <c r="G1065" s="24" t="e">
        <f t="shared" si="365"/>
        <v>#DIV/0!</v>
      </c>
      <c r="Q1065" s="29" t="str">
        <f t="shared" si="367"/>
        <v>NA</v>
      </c>
      <c r="R1065" s="29" t="str">
        <f t="shared" si="368"/>
        <v>NA</v>
      </c>
      <c r="S1065" s="29" t="str">
        <f t="shared" si="369"/>
        <v>NA</v>
      </c>
      <c r="T1065" s="29" t="str">
        <f t="shared" si="370"/>
        <v>NA</v>
      </c>
      <c r="U1065" s="29" t="str">
        <f t="shared" si="371"/>
        <v>NA</v>
      </c>
      <c r="V1065" s="29" t="str">
        <f t="shared" si="372"/>
        <v>NA</v>
      </c>
      <c r="W1065" s="29" t="str">
        <f t="shared" si="373"/>
        <v>NA</v>
      </c>
      <c r="X1065" s="29" t="str">
        <f t="shared" si="374"/>
        <v>NA</v>
      </c>
      <c r="Y1065" s="29" t="str">
        <f t="shared" si="375"/>
        <v>NA</v>
      </c>
      <c r="Z1065" s="29" t="str">
        <f t="shared" si="376"/>
        <v>NA</v>
      </c>
      <c r="AA1065" s="29" t="str">
        <f t="shared" si="377"/>
        <v>NA</v>
      </c>
      <c r="AB1065" s="29" t="str">
        <f t="shared" si="378"/>
        <v>NA</v>
      </c>
      <c r="AC1065" s="29" t="str">
        <f t="shared" si="379"/>
        <v>NA</v>
      </c>
      <c r="AD1065" s="29" t="str">
        <f t="shared" si="380"/>
        <v>NA</v>
      </c>
      <c r="AE1065" s="29" t="str">
        <f t="shared" si="381"/>
        <v>NA</v>
      </c>
      <c r="AF1065" s="29" t="str">
        <f t="shared" si="382"/>
        <v>NA</v>
      </c>
      <c r="AG1065" s="29" t="str">
        <f t="shared" si="383"/>
        <v>NA</v>
      </c>
      <c r="AH1065" s="29" t="str">
        <f t="shared" si="384"/>
        <v>NA</v>
      </c>
    </row>
    <row r="1066" customHeight="1" spans="1:34">
      <c r="A1066" s="12" t="s">
        <v>1043</v>
      </c>
      <c r="F1066" s="24">
        <f t="shared" si="366"/>
        <v>0</v>
      </c>
      <c r="G1066" s="24" t="e">
        <f t="shared" si="365"/>
        <v>#DIV/0!</v>
      </c>
      <c r="Q1066" s="29" t="str">
        <f t="shared" si="367"/>
        <v>NA</v>
      </c>
      <c r="R1066" s="29" t="str">
        <f t="shared" si="368"/>
        <v>NA</v>
      </c>
      <c r="S1066" s="29" t="str">
        <f t="shared" si="369"/>
        <v>NA</v>
      </c>
      <c r="T1066" s="29" t="str">
        <f t="shared" si="370"/>
        <v>NA</v>
      </c>
      <c r="U1066" s="29" t="str">
        <f t="shared" si="371"/>
        <v>NA</v>
      </c>
      <c r="V1066" s="29" t="str">
        <f t="shared" si="372"/>
        <v>NA</v>
      </c>
      <c r="W1066" s="29" t="str">
        <f t="shared" si="373"/>
        <v>NA</v>
      </c>
      <c r="X1066" s="29" t="str">
        <f t="shared" si="374"/>
        <v>NA</v>
      </c>
      <c r="Y1066" s="29" t="str">
        <f t="shared" si="375"/>
        <v>NA</v>
      </c>
      <c r="Z1066" s="29" t="str">
        <f t="shared" si="376"/>
        <v>NA</v>
      </c>
      <c r="AA1066" s="29" t="str">
        <f t="shared" si="377"/>
        <v>NA</v>
      </c>
      <c r="AB1066" s="29" t="str">
        <f t="shared" si="378"/>
        <v>NA</v>
      </c>
      <c r="AC1066" s="29" t="str">
        <f t="shared" si="379"/>
        <v>NA</v>
      </c>
      <c r="AD1066" s="29" t="str">
        <f t="shared" si="380"/>
        <v>NA</v>
      </c>
      <c r="AE1066" s="29" t="str">
        <f t="shared" si="381"/>
        <v>NA</v>
      </c>
      <c r="AF1066" s="29" t="str">
        <f t="shared" si="382"/>
        <v>NA</v>
      </c>
      <c r="AG1066" s="29" t="str">
        <f t="shared" si="383"/>
        <v>NA</v>
      </c>
      <c r="AH1066" s="29" t="str">
        <f t="shared" si="384"/>
        <v>NA</v>
      </c>
    </row>
    <row r="1067" customHeight="1" spans="1:34">
      <c r="A1067" s="12" t="s">
        <v>1043</v>
      </c>
      <c r="F1067" s="24">
        <f t="shared" si="366"/>
        <v>0</v>
      </c>
      <c r="G1067" s="24" t="e">
        <f t="shared" si="365"/>
        <v>#DIV/0!</v>
      </c>
      <c r="Q1067" s="29" t="str">
        <f t="shared" si="367"/>
        <v>NA</v>
      </c>
      <c r="R1067" s="29" t="str">
        <f t="shared" si="368"/>
        <v>NA</v>
      </c>
      <c r="S1067" s="29" t="str">
        <f t="shared" si="369"/>
        <v>NA</v>
      </c>
      <c r="T1067" s="29" t="str">
        <f t="shared" si="370"/>
        <v>NA</v>
      </c>
      <c r="U1067" s="29" t="str">
        <f t="shared" si="371"/>
        <v>NA</v>
      </c>
      <c r="V1067" s="29" t="str">
        <f t="shared" si="372"/>
        <v>NA</v>
      </c>
      <c r="W1067" s="29" t="str">
        <f t="shared" si="373"/>
        <v>NA</v>
      </c>
      <c r="X1067" s="29" t="str">
        <f t="shared" si="374"/>
        <v>NA</v>
      </c>
      <c r="Y1067" s="29" t="str">
        <f t="shared" si="375"/>
        <v>NA</v>
      </c>
      <c r="Z1067" s="29" t="str">
        <f t="shared" si="376"/>
        <v>NA</v>
      </c>
      <c r="AA1067" s="29" t="str">
        <f t="shared" si="377"/>
        <v>NA</v>
      </c>
      <c r="AB1067" s="29" t="str">
        <f t="shared" si="378"/>
        <v>NA</v>
      </c>
      <c r="AC1067" s="29" t="str">
        <f t="shared" si="379"/>
        <v>NA</v>
      </c>
      <c r="AD1067" s="29" t="str">
        <f t="shared" si="380"/>
        <v>NA</v>
      </c>
      <c r="AE1067" s="29" t="str">
        <f t="shared" si="381"/>
        <v>NA</v>
      </c>
      <c r="AF1067" s="29" t="str">
        <f t="shared" si="382"/>
        <v>NA</v>
      </c>
      <c r="AG1067" s="29" t="str">
        <f t="shared" si="383"/>
        <v>NA</v>
      </c>
      <c r="AH1067" s="29" t="str">
        <f t="shared" si="384"/>
        <v>NA</v>
      </c>
    </row>
    <row r="1068" customHeight="1" spans="1:34">
      <c r="A1068" s="12" t="s">
        <v>1043</v>
      </c>
      <c r="F1068" s="24">
        <f t="shared" si="366"/>
        <v>0</v>
      </c>
      <c r="G1068" s="24" t="e">
        <f t="shared" si="365"/>
        <v>#DIV/0!</v>
      </c>
      <c r="Q1068" s="29" t="str">
        <f t="shared" si="367"/>
        <v>NA</v>
      </c>
      <c r="R1068" s="29" t="str">
        <f t="shared" si="368"/>
        <v>NA</v>
      </c>
      <c r="S1068" s="29" t="str">
        <f t="shared" si="369"/>
        <v>NA</v>
      </c>
      <c r="T1068" s="29" t="str">
        <f t="shared" si="370"/>
        <v>NA</v>
      </c>
      <c r="U1068" s="29" t="str">
        <f t="shared" si="371"/>
        <v>NA</v>
      </c>
      <c r="V1068" s="29" t="str">
        <f t="shared" si="372"/>
        <v>NA</v>
      </c>
      <c r="W1068" s="29" t="str">
        <f t="shared" si="373"/>
        <v>NA</v>
      </c>
      <c r="X1068" s="29" t="str">
        <f t="shared" si="374"/>
        <v>NA</v>
      </c>
      <c r="Y1068" s="29" t="str">
        <f t="shared" si="375"/>
        <v>NA</v>
      </c>
      <c r="Z1068" s="29" t="str">
        <f t="shared" si="376"/>
        <v>NA</v>
      </c>
      <c r="AA1068" s="29" t="str">
        <f t="shared" si="377"/>
        <v>NA</v>
      </c>
      <c r="AB1068" s="29" t="str">
        <f t="shared" si="378"/>
        <v>NA</v>
      </c>
      <c r="AC1068" s="29" t="str">
        <f t="shared" si="379"/>
        <v>NA</v>
      </c>
      <c r="AD1068" s="29" t="str">
        <f t="shared" si="380"/>
        <v>NA</v>
      </c>
      <c r="AE1068" s="29" t="str">
        <f t="shared" si="381"/>
        <v>NA</v>
      </c>
      <c r="AF1068" s="29" t="str">
        <f t="shared" si="382"/>
        <v>NA</v>
      </c>
      <c r="AG1068" s="29" t="str">
        <f t="shared" si="383"/>
        <v>NA</v>
      </c>
      <c r="AH1068" s="29" t="str">
        <f t="shared" si="384"/>
        <v>NA</v>
      </c>
    </row>
    <row r="1069" customHeight="1" spans="1:34">
      <c r="A1069" s="12" t="s">
        <v>1043</v>
      </c>
      <c r="F1069" s="24">
        <f t="shared" si="366"/>
        <v>0</v>
      </c>
      <c r="G1069" s="24" t="e">
        <f t="shared" si="365"/>
        <v>#DIV/0!</v>
      </c>
      <c r="Q1069" s="29" t="str">
        <f t="shared" si="367"/>
        <v>NA</v>
      </c>
      <c r="R1069" s="29" t="str">
        <f t="shared" si="368"/>
        <v>NA</v>
      </c>
      <c r="S1069" s="29" t="str">
        <f t="shared" si="369"/>
        <v>NA</v>
      </c>
      <c r="T1069" s="29" t="str">
        <f t="shared" si="370"/>
        <v>NA</v>
      </c>
      <c r="U1069" s="29" t="str">
        <f t="shared" si="371"/>
        <v>NA</v>
      </c>
      <c r="V1069" s="29" t="str">
        <f t="shared" si="372"/>
        <v>NA</v>
      </c>
      <c r="W1069" s="29" t="str">
        <f t="shared" si="373"/>
        <v>NA</v>
      </c>
      <c r="X1069" s="29" t="str">
        <f t="shared" si="374"/>
        <v>NA</v>
      </c>
      <c r="Y1069" s="29" t="str">
        <f t="shared" si="375"/>
        <v>NA</v>
      </c>
      <c r="Z1069" s="29" t="str">
        <f t="shared" si="376"/>
        <v>NA</v>
      </c>
      <c r="AA1069" s="29" t="str">
        <f t="shared" si="377"/>
        <v>NA</v>
      </c>
      <c r="AB1069" s="29" t="str">
        <f t="shared" si="378"/>
        <v>NA</v>
      </c>
      <c r="AC1069" s="29" t="str">
        <f t="shared" si="379"/>
        <v>NA</v>
      </c>
      <c r="AD1069" s="29" t="str">
        <f t="shared" si="380"/>
        <v>NA</v>
      </c>
      <c r="AE1069" s="29" t="str">
        <f t="shared" si="381"/>
        <v>NA</v>
      </c>
      <c r="AF1069" s="29" t="str">
        <f t="shared" si="382"/>
        <v>NA</v>
      </c>
      <c r="AG1069" s="29" t="str">
        <f t="shared" si="383"/>
        <v>NA</v>
      </c>
      <c r="AH1069" s="29" t="str">
        <f t="shared" si="384"/>
        <v>NA</v>
      </c>
    </row>
    <row r="1070" customHeight="1" spans="1:34">
      <c r="A1070" s="12" t="s">
        <v>1043</v>
      </c>
      <c r="F1070" s="24">
        <f t="shared" si="366"/>
        <v>0</v>
      </c>
      <c r="G1070" s="24" t="e">
        <f t="shared" si="365"/>
        <v>#DIV/0!</v>
      </c>
      <c r="Q1070" s="29" t="str">
        <f t="shared" si="367"/>
        <v>NA</v>
      </c>
      <c r="R1070" s="29" t="str">
        <f t="shared" si="368"/>
        <v>NA</v>
      </c>
      <c r="S1070" s="29" t="str">
        <f t="shared" si="369"/>
        <v>NA</v>
      </c>
      <c r="T1070" s="29" t="str">
        <f t="shared" si="370"/>
        <v>NA</v>
      </c>
      <c r="U1070" s="29" t="str">
        <f t="shared" si="371"/>
        <v>NA</v>
      </c>
      <c r="V1070" s="29" t="str">
        <f t="shared" si="372"/>
        <v>NA</v>
      </c>
      <c r="W1070" s="29" t="str">
        <f t="shared" si="373"/>
        <v>NA</v>
      </c>
      <c r="X1070" s="29" t="str">
        <f t="shared" si="374"/>
        <v>NA</v>
      </c>
      <c r="Y1070" s="29" t="str">
        <f t="shared" si="375"/>
        <v>NA</v>
      </c>
      <c r="Z1070" s="29" t="str">
        <f t="shared" si="376"/>
        <v>NA</v>
      </c>
      <c r="AA1070" s="29" t="str">
        <f t="shared" si="377"/>
        <v>NA</v>
      </c>
      <c r="AB1070" s="29" t="str">
        <f t="shared" si="378"/>
        <v>NA</v>
      </c>
      <c r="AC1070" s="29" t="str">
        <f t="shared" si="379"/>
        <v>NA</v>
      </c>
      <c r="AD1070" s="29" t="str">
        <f t="shared" si="380"/>
        <v>NA</v>
      </c>
      <c r="AE1070" s="29" t="str">
        <f t="shared" si="381"/>
        <v>NA</v>
      </c>
      <c r="AF1070" s="29" t="str">
        <f t="shared" si="382"/>
        <v>NA</v>
      </c>
      <c r="AG1070" s="29" t="str">
        <f t="shared" si="383"/>
        <v>NA</v>
      </c>
      <c r="AH1070" s="29" t="str">
        <f t="shared" si="384"/>
        <v>NA</v>
      </c>
    </row>
    <row r="1071" customHeight="1" spans="1:34">
      <c r="A1071" s="12" t="s">
        <v>1043</v>
      </c>
      <c r="F1071" s="24">
        <f t="shared" si="366"/>
        <v>0</v>
      </c>
      <c r="G1071" s="24" t="e">
        <f t="shared" si="365"/>
        <v>#DIV/0!</v>
      </c>
      <c r="Q1071" s="29" t="str">
        <f t="shared" si="367"/>
        <v>NA</v>
      </c>
      <c r="R1071" s="29" t="str">
        <f t="shared" si="368"/>
        <v>NA</v>
      </c>
      <c r="S1071" s="29" t="str">
        <f t="shared" si="369"/>
        <v>NA</v>
      </c>
      <c r="T1071" s="29" t="str">
        <f t="shared" si="370"/>
        <v>NA</v>
      </c>
      <c r="U1071" s="29" t="str">
        <f t="shared" si="371"/>
        <v>NA</v>
      </c>
      <c r="V1071" s="29" t="str">
        <f t="shared" si="372"/>
        <v>NA</v>
      </c>
      <c r="W1071" s="29" t="str">
        <f t="shared" si="373"/>
        <v>NA</v>
      </c>
      <c r="X1071" s="29" t="str">
        <f t="shared" si="374"/>
        <v>NA</v>
      </c>
      <c r="Y1071" s="29" t="str">
        <f t="shared" si="375"/>
        <v>NA</v>
      </c>
      <c r="Z1071" s="29" t="str">
        <f t="shared" si="376"/>
        <v>NA</v>
      </c>
      <c r="AA1071" s="29" t="str">
        <f t="shared" si="377"/>
        <v>NA</v>
      </c>
      <c r="AB1071" s="29" t="str">
        <f t="shared" si="378"/>
        <v>NA</v>
      </c>
      <c r="AC1071" s="29" t="str">
        <f t="shared" si="379"/>
        <v>NA</v>
      </c>
      <c r="AD1071" s="29" t="str">
        <f t="shared" si="380"/>
        <v>NA</v>
      </c>
      <c r="AE1071" s="29" t="str">
        <f t="shared" si="381"/>
        <v>NA</v>
      </c>
      <c r="AF1071" s="29" t="str">
        <f t="shared" si="382"/>
        <v>NA</v>
      </c>
      <c r="AG1071" s="29" t="str">
        <f t="shared" si="383"/>
        <v>NA</v>
      </c>
      <c r="AH1071" s="29" t="str">
        <f t="shared" si="384"/>
        <v>NA</v>
      </c>
    </row>
    <row r="1072" customHeight="1" spans="1:34">
      <c r="A1072" s="12" t="s">
        <v>1043</v>
      </c>
      <c r="F1072" s="24">
        <f t="shared" si="366"/>
        <v>0</v>
      </c>
      <c r="G1072" s="24" t="e">
        <f t="shared" si="365"/>
        <v>#DIV/0!</v>
      </c>
      <c r="Q1072" s="29" t="str">
        <f t="shared" si="367"/>
        <v>NA</v>
      </c>
      <c r="R1072" s="29" t="str">
        <f t="shared" si="368"/>
        <v>NA</v>
      </c>
      <c r="S1072" s="29" t="str">
        <f t="shared" si="369"/>
        <v>NA</v>
      </c>
      <c r="T1072" s="29" t="str">
        <f t="shared" si="370"/>
        <v>NA</v>
      </c>
      <c r="U1072" s="29" t="str">
        <f t="shared" si="371"/>
        <v>NA</v>
      </c>
      <c r="V1072" s="29" t="str">
        <f t="shared" si="372"/>
        <v>NA</v>
      </c>
      <c r="W1072" s="29" t="str">
        <f t="shared" si="373"/>
        <v>NA</v>
      </c>
      <c r="X1072" s="29" t="str">
        <f t="shared" si="374"/>
        <v>NA</v>
      </c>
      <c r="Y1072" s="29" t="str">
        <f t="shared" si="375"/>
        <v>NA</v>
      </c>
      <c r="Z1072" s="29" t="str">
        <f t="shared" si="376"/>
        <v>NA</v>
      </c>
      <c r="AA1072" s="29" t="str">
        <f t="shared" si="377"/>
        <v>NA</v>
      </c>
      <c r="AB1072" s="29" t="str">
        <f t="shared" si="378"/>
        <v>NA</v>
      </c>
      <c r="AC1072" s="29" t="str">
        <f t="shared" si="379"/>
        <v>NA</v>
      </c>
      <c r="AD1072" s="29" t="str">
        <f t="shared" si="380"/>
        <v>NA</v>
      </c>
      <c r="AE1072" s="29" t="str">
        <f t="shared" si="381"/>
        <v>NA</v>
      </c>
      <c r="AF1072" s="29" t="str">
        <f t="shared" si="382"/>
        <v>NA</v>
      </c>
      <c r="AG1072" s="29" t="str">
        <f t="shared" si="383"/>
        <v>NA</v>
      </c>
      <c r="AH1072" s="29" t="str">
        <f t="shared" si="384"/>
        <v>NA</v>
      </c>
    </row>
    <row r="1073" customHeight="1" spans="1:34">
      <c r="A1073" s="12" t="s">
        <v>1043</v>
      </c>
      <c r="F1073" s="24">
        <f t="shared" si="366"/>
        <v>0</v>
      </c>
      <c r="G1073" s="24" t="e">
        <f t="shared" si="365"/>
        <v>#DIV/0!</v>
      </c>
      <c r="Q1073" s="29" t="str">
        <f t="shared" si="367"/>
        <v>NA</v>
      </c>
      <c r="R1073" s="29" t="str">
        <f t="shared" si="368"/>
        <v>NA</v>
      </c>
      <c r="S1073" s="29" t="str">
        <f t="shared" si="369"/>
        <v>NA</v>
      </c>
      <c r="T1073" s="29" t="str">
        <f t="shared" si="370"/>
        <v>NA</v>
      </c>
      <c r="U1073" s="29" t="str">
        <f t="shared" si="371"/>
        <v>NA</v>
      </c>
      <c r="V1073" s="29" t="str">
        <f t="shared" si="372"/>
        <v>NA</v>
      </c>
      <c r="W1073" s="29" t="str">
        <f t="shared" si="373"/>
        <v>NA</v>
      </c>
      <c r="X1073" s="29" t="str">
        <f t="shared" si="374"/>
        <v>NA</v>
      </c>
      <c r="Y1073" s="29" t="str">
        <f t="shared" si="375"/>
        <v>NA</v>
      </c>
      <c r="Z1073" s="29" t="str">
        <f t="shared" si="376"/>
        <v>NA</v>
      </c>
      <c r="AA1073" s="29" t="str">
        <f t="shared" si="377"/>
        <v>NA</v>
      </c>
      <c r="AB1073" s="29" t="str">
        <f t="shared" si="378"/>
        <v>NA</v>
      </c>
      <c r="AC1073" s="29" t="str">
        <f t="shared" si="379"/>
        <v>NA</v>
      </c>
      <c r="AD1073" s="29" t="str">
        <f t="shared" si="380"/>
        <v>NA</v>
      </c>
      <c r="AE1073" s="29" t="str">
        <f t="shared" si="381"/>
        <v>NA</v>
      </c>
      <c r="AF1073" s="29" t="str">
        <f t="shared" si="382"/>
        <v>NA</v>
      </c>
      <c r="AG1073" s="29" t="str">
        <f t="shared" si="383"/>
        <v>NA</v>
      </c>
      <c r="AH1073" s="29" t="str">
        <f t="shared" si="384"/>
        <v>NA</v>
      </c>
    </row>
    <row r="1074" customHeight="1" spans="1:34">
      <c r="A1074" s="12" t="s">
        <v>1043</v>
      </c>
      <c r="F1074" s="24">
        <f t="shared" si="366"/>
        <v>0</v>
      </c>
      <c r="G1074" s="24" t="e">
        <f t="shared" si="365"/>
        <v>#DIV/0!</v>
      </c>
      <c r="Q1074" s="29" t="str">
        <f t="shared" si="367"/>
        <v>NA</v>
      </c>
      <c r="R1074" s="29" t="str">
        <f t="shared" si="368"/>
        <v>NA</v>
      </c>
      <c r="S1074" s="29" t="str">
        <f t="shared" si="369"/>
        <v>NA</v>
      </c>
      <c r="T1074" s="29" t="str">
        <f t="shared" si="370"/>
        <v>NA</v>
      </c>
      <c r="U1074" s="29" t="str">
        <f t="shared" si="371"/>
        <v>NA</v>
      </c>
      <c r="V1074" s="29" t="str">
        <f t="shared" si="372"/>
        <v>NA</v>
      </c>
      <c r="W1074" s="29" t="str">
        <f t="shared" si="373"/>
        <v>NA</v>
      </c>
      <c r="X1074" s="29" t="str">
        <f t="shared" si="374"/>
        <v>NA</v>
      </c>
      <c r="Y1074" s="29" t="str">
        <f t="shared" si="375"/>
        <v>NA</v>
      </c>
      <c r="Z1074" s="29" t="str">
        <f t="shared" si="376"/>
        <v>NA</v>
      </c>
      <c r="AA1074" s="29" t="str">
        <f t="shared" si="377"/>
        <v>NA</v>
      </c>
      <c r="AB1074" s="29" t="str">
        <f t="shared" si="378"/>
        <v>NA</v>
      </c>
      <c r="AC1074" s="29" t="str">
        <f t="shared" si="379"/>
        <v>NA</v>
      </c>
      <c r="AD1074" s="29" t="str">
        <f t="shared" si="380"/>
        <v>NA</v>
      </c>
      <c r="AE1074" s="29" t="str">
        <f t="shared" si="381"/>
        <v>NA</v>
      </c>
      <c r="AF1074" s="29" t="str">
        <f t="shared" si="382"/>
        <v>NA</v>
      </c>
      <c r="AG1074" s="29" t="str">
        <f t="shared" si="383"/>
        <v>NA</v>
      </c>
      <c r="AH1074" s="29" t="str">
        <f t="shared" si="384"/>
        <v>NA</v>
      </c>
    </row>
    <row r="1075" customHeight="1" spans="1:34">
      <c r="A1075" s="12" t="s">
        <v>1043</v>
      </c>
      <c r="F1075" s="24">
        <f t="shared" si="366"/>
        <v>0</v>
      </c>
      <c r="G1075" s="24" t="e">
        <f t="shared" si="365"/>
        <v>#DIV/0!</v>
      </c>
      <c r="Q1075" s="29" t="str">
        <f t="shared" si="367"/>
        <v>NA</v>
      </c>
      <c r="R1075" s="29" t="str">
        <f t="shared" si="368"/>
        <v>NA</v>
      </c>
      <c r="S1075" s="29" t="str">
        <f t="shared" si="369"/>
        <v>NA</v>
      </c>
      <c r="T1075" s="29" t="str">
        <f t="shared" si="370"/>
        <v>NA</v>
      </c>
      <c r="U1075" s="29" t="str">
        <f t="shared" si="371"/>
        <v>NA</v>
      </c>
      <c r="V1075" s="29" t="str">
        <f t="shared" si="372"/>
        <v>NA</v>
      </c>
      <c r="W1075" s="29" t="str">
        <f t="shared" si="373"/>
        <v>NA</v>
      </c>
      <c r="X1075" s="29" t="str">
        <f t="shared" si="374"/>
        <v>NA</v>
      </c>
      <c r="Y1075" s="29" t="str">
        <f t="shared" si="375"/>
        <v>NA</v>
      </c>
      <c r="Z1075" s="29" t="str">
        <f t="shared" si="376"/>
        <v>NA</v>
      </c>
      <c r="AA1075" s="29" t="str">
        <f t="shared" si="377"/>
        <v>NA</v>
      </c>
      <c r="AB1075" s="29" t="str">
        <f t="shared" si="378"/>
        <v>NA</v>
      </c>
      <c r="AC1075" s="29" t="str">
        <f t="shared" si="379"/>
        <v>NA</v>
      </c>
      <c r="AD1075" s="29" t="str">
        <f t="shared" si="380"/>
        <v>NA</v>
      </c>
      <c r="AE1075" s="29" t="str">
        <f t="shared" si="381"/>
        <v>NA</v>
      </c>
      <c r="AF1075" s="29" t="str">
        <f t="shared" si="382"/>
        <v>NA</v>
      </c>
      <c r="AG1075" s="29" t="str">
        <f t="shared" si="383"/>
        <v>NA</v>
      </c>
      <c r="AH1075" s="29" t="str">
        <f t="shared" si="384"/>
        <v>NA</v>
      </c>
    </row>
    <row r="1076" customHeight="1" spans="1:34">
      <c r="A1076" s="12" t="s">
        <v>1043</v>
      </c>
      <c r="F1076" s="24">
        <f t="shared" si="366"/>
        <v>0</v>
      </c>
      <c r="G1076" s="24" t="e">
        <f t="shared" si="365"/>
        <v>#DIV/0!</v>
      </c>
      <c r="Q1076" s="29" t="str">
        <f t="shared" si="367"/>
        <v>NA</v>
      </c>
      <c r="R1076" s="29" t="str">
        <f t="shared" si="368"/>
        <v>NA</v>
      </c>
      <c r="S1076" s="29" t="str">
        <f t="shared" si="369"/>
        <v>NA</v>
      </c>
      <c r="T1076" s="29" t="str">
        <f t="shared" si="370"/>
        <v>NA</v>
      </c>
      <c r="U1076" s="29" t="str">
        <f t="shared" si="371"/>
        <v>NA</v>
      </c>
      <c r="V1076" s="29" t="str">
        <f t="shared" si="372"/>
        <v>NA</v>
      </c>
      <c r="W1076" s="29" t="str">
        <f t="shared" si="373"/>
        <v>NA</v>
      </c>
      <c r="X1076" s="29" t="str">
        <f t="shared" si="374"/>
        <v>NA</v>
      </c>
      <c r="Y1076" s="29" t="str">
        <f t="shared" si="375"/>
        <v>NA</v>
      </c>
      <c r="Z1076" s="29" t="str">
        <f t="shared" si="376"/>
        <v>NA</v>
      </c>
      <c r="AA1076" s="29" t="str">
        <f t="shared" si="377"/>
        <v>NA</v>
      </c>
      <c r="AB1076" s="29" t="str">
        <f t="shared" si="378"/>
        <v>NA</v>
      </c>
      <c r="AC1076" s="29" t="str">
        <f t="shared" si="379"/>
        <v>NA</v>
      </c>
      <c r="AD1076" s="29" t="str">
        <f t="shared" si="380"/>
        <v>NA</v>
      </c>
      <c r="AE1076" s="29" t="str">
        <f t="shared" si="381"/>
        <v>NA</v>
      </c>
      <c r="AF1076" s="29" t="str">
        <f t="shared" si="382"/>
        <v>NA</v>
      </c>
      <c r="AG1076" s="29" t="str">
        <f t="shared" si="383"/>
        <v>NA</v>
      </c>
      <c r="AH1076" s="29" t="str">
        <f t="shared" si="384"/>
        <v>NA</v>
      </c>
    </row>
    <row r="1077" customHeight="1" spans="1:34">
      <c r="A1077" s="12" t="s">
        <v>1043</v>
      </c>
      <c r="F1077" s="24">
        <f t="shared" si="366"/>
        <v>0</v>
      </c>
      <c r="G1077" s="24" t="e">
        <f t="shared" si="365"/>
        <v>#DIV/0!</v>
      </c>
      <c r="Q1077" s="29" t="str">
        <f t="shared" si="367"/>
        <v>NA</v>
      </c>
      <c r="R1077" s="29" t="str">
        <f t="shared" si="368"/>
        <v>NA</v>
      </c>
      <c r="S1077" s="29" t="str">
        <f t="shared" si="369"/>
        <v>NA</v>
      </c>
      <c r="T1077" s="29" t="str">
        <f t="shared" si="370"/>
        <v>NA</v>
      </c>
      <c r="U1077" s="29" t="str">
        <f t="shared" si="371"/>
        <v>NA</v>
      </c>
      <c r="V1077" s="29" t="str">
        <f t="shared" si="372"/>
        <v>NA</v>
      </c>
      <c r="W1077" s="29" t="str">
        <f t="shared" si="373"/>
        <v>NA</v>
      </c>
      <c r="X1077" s="29" t="str">
        <f t="shared" si="374"/>
        <v>NA</v>
      </c>
      <c r="Y1077" s="29" t="str">
        <f t="shared" si="375"/>
        <v>NA</v>
      </c>
      <c r="Z1077" s="29" t="str">
        <f t="shared" si="376"/>
        <v>NA</v>
      </c>
      <c r="AA1077" s="29" t="str">
        <f t="shared" si="377"/>
        <v>NA</v>
      </c>
      <c r="AB1077" s="29" t="str">
        <f t="shared" si="378"/>
        <v>NA</v>
      </c>
      <c r="AC1077" s="29" t="str">
        <f t="shared" si="379"/>
        <v>NA</v>
      </c>
      <c r="AD1077" s="29" t="str">
        <f t="shared" si="380"/>
        <v>NA</v>
      </c>
      <c r="AE1077" s="29" t="str">
        <f t="shared" si="381"/>
        <v>NA</v>
      </c>
      <c r="AF1077" s="29" t="str">
        <f t="shared" si="382"/>
        <v>NA</v>
      </c>
      <c r="AG1077" s="29" t="str">
        <f t="shared" si="383"/>
        <v>NA</v>
      </c>
      <c r="AH1077" s="29" t="str">
        <f t="shared" si="384"/>
        <v>NA</v>
      </c>
    </row>
    <row r="1078" customHeight="1" spans="1:34">
      <c r="A1078" s="12" t="s">
        <v>1043</v>
      </c>
      <c r="F1078" s="24">
        <f t="shared" si="366"/>
        <v>0</v>
      </c>
      <c r="G1078" s="24" t="e">
        <f t="shared" si="365"/>
        <v>#DIV/0!</v>
      </c>
      <c r="Q1078" s="29" t="str">
        <f t="shared" si="367"/>
        <v>NA</v>
      </c>
      <c r="R1078" s="29" t="str">
        <f t="shared" si="368"/>
        <v>NA</v>
      </c>
      <c r="S1078" s="29" t="str">
        <f t="shared" si="369"/>
        <v>NA</v>
      </c>
      <c r="T1078" s="29" t="str">
        <f t="shared" si="370"/>
        <v>NA</v>
      </c>
      <c r="U1078" s="29" t="str">
        <f t="shared" si="371"/>
        <v>NA</v>
      </c>
      <c r="V1078" s="29" t="str">
        <f t="shared" si="372"/>
        <v>NA</v>
      </c>
      <c r="W1078" s="29" t="str">
        <f t="shared" si="373"/>
        <v>NA</v>
      </c>
      <c r="X1078" s="29" t="str">
        <f t="shared" si="374"/>
        <v>NA</v>
      </c>
      <c r="Y1078" s="29" t="str">
        <f t="shared" si="375"/>
        <v>NA</v>
      </c>
      <c r="Z1078" s="29" t="str">
        <f t="shared" si="376"/>
        <v>NA</v>
      </c>
      <c r="AA1078" s="29" t="str">
        <f t="shared" si="377"/>
        <v>NA</v>
      </c>
      <c r="AB1078" s="29" t="str">
        <f t="shared" si="378"/>
        <v>NA</v>
      </c>
      <c r="AC1078" s="29" t="str">
        <f t="shared" si="379"/>
        <v>NA</v>
      </c>
      <c r="AD1078" s="29" t="str">
        <f t="shared" si="380"/>
        <v>NA</v>
      </c>
      <c r="AE1078" s="29" t="str">
        <f t="shared" si="381"/>
        <v>NA</v>
      </c>
      <c r="AF1078" s="29" t="str">
        <f t="shared" si="382"/>
        <v>NA</v>
      </c>
      <c r="AG1078" s="29" t="str">
        <f t="shared" si="383"/>
        <v>NA</v>
      </c>
      <c r="AH1078" s="29" t="str">
        <f t="shared" si="384"/>
        <v>NA</v>
      </c>
    </row>
    <row r="1079" customHeight="1" spans="1:34">
      <c r="A1079" s="12" t="s">
        <v>1043</v>
      </c>
      <c r="F1079" s="24">
        <f t="shared" si="366"/>
        <v>0</v>
      </c>
      <c r="G1079" s="24" t="e">
        <f t="shared" si="365"/>
        <v>#DIV/0!</v>
      </c>
      <c r="Q1079" s="29" t="str">
        <f t="shared" si="367"/>
        <v>NA</v>
      </c>
      <c r="R1079" s="29" t="str">
        <f t="shared" si="368"/>
        <v>NA</v>
      </c>
      <c r="S1079" s="29" t="str">
        <f t="shared" si="369"/>
        <v>NA</v>
      </c>
      <c r="T1079" s="29" t="str">
        <f t="shared" si="370"/>
        <v>NA</v>
      </c>
      <c r="U1079" s="29" t="str">
        <f t="shared" si="371"/>
        <v>NA</v>
      </c>
      <c r="V1079" s="29" t="str">
        <f t="shared" si="372"/>
        <v>NA</v>
      </c>
      <c r="W1079" s="29" t="str">
        <f t="shared" si="373"/>
        <v>NA</v>
      </c>
      <c r="X1079" s="29" t="str">
        <f t="shared" si="374"/>
        <v>NA</v>
      </c>
      <c r="Y1079" s="29" t="str">
        <f t="shared" si="375"/>
        <v>NA</v>
      </c>
      <c r="Z1079" s="29" t="str">
        <f t="shared" si="376"/>
        <v>NA</v>
      </c>
      <c r="AA1079" s="29" t="str">
        <f t="shared" si="377"/>
        <v>NA</v>
      </c>
      <c r="AB1079" s="29" t="str">
        <f t="shared" si="378"/>
        <v>NA</v>
      </c>
      <c r="AC1079" s="29" t="str">
        <f t="shared" si="379"/>
        <v>NA</v>
      </c>
      <c r="AD1079" s="29" t="str">
        <f t="shared" si="380"/>
        <v>NA</v>
      </c>
      <c r="AE1079" s="29" t="str">
        <f t="shared" si="381"/>
        <v>NA</v>
      </c>
      <c r="AF1079" s="29" t="str">
        <f t="shared" si="382"/>
        <v>NA</v>
      </c>
      <c r="AG1079" s="29" t="str">
        <f t="shared" si="383"/>
        <v>NA</v>
      </c>
      <c r="AH1079" s="29" t="str">
        <f t="shared" si="384"/>
        <v>NA</v>
      </c>
    </row>
    <row r="1080" customHeight="1" spans="1:34">
      <c r="A1080" s="12" t="s">
        <v>1043</v>
      </c>
      <c r="F1080" s="24">
        <f t="shared" si="366"/>
        <v>0</v>
      </c>
      <c r="G1080" s="24" t="e">
        <f t="shared" si="365"/>
        <v>#DIV/0!</v>
      </c>
      <c r="Q1080" s="29" t="str">
        <f t="shared" si="367"/>
        <v>NA</v>
      </c>
      <c r="R1080" s="29" t="str">
        <f t="shared" si="368"/>
        <v>NA</v>
      </c>
      <c r="S1080" s="29" t="str">
        <f t="shared" si="369"/>
        <v>NA</v>
      </c>
      <c r="T1080" s="29" t="str">
        <f t="shared" si="370"/>
        <v>NA</v>
      </c>
      <c r="U1080" s="29" t="str">
        <f t="shared" si="371"/>
        <v>NA</v>
      </c>
      <c r="V1080" s="29" t="str">
        <f t="shared" si="372"/>
        <v>NA</v>
      </c>
      <c r="W1080" s="29" t="str">
        <f t="shared" si="373"/>
        <v>NA</v>
      </c>
      <c r="X1080" s="29" t="str">
        <f t="shared" si="374"/>
        <v>NA</v>
      </c>
      <c r="Y1080" s="29" t="str">
        <f t="shared" si="375"/>
        <v>NA</v>
      </c>
      <c r="Z1080" s="29" t="str">
        <f t="shared" si="376"/>
        <v>NA</v>
      </c>
      <c r="AA1080" s="29" t="str">
        <f t="shared" si="377"/>
        <v>NA</v>
      </c>
      <c r="AB1080" s="29" t="str">
        <f t="shared" si="378"/>
        <v>NA</v>
      </c>
      <c r="AC1080" s="29" t="str">
        <f t="shared" si="379"/>
        <v>NA</v>
      </c>
      <c r="AD1080" s="29" t="str">
        <f t="shared" si="380"/>
        <v>NA</v>
      </c>
      <c r="AE1080" s="29" t="str">
        <f t="shared" si="381"/>
        <v>NA</v>
      </c>
      <c r="AF1080" s="29" t="str">
        <f t="shared" si="382"/>
        <v>NA</v>
      </c>
      <c r="AG1080" s="29" t="str">
        <f t="shared" si="383"/>
        <v>NA</v>
      </c>
      <c r="AH1080" s="29" t="str">
        <f t="shared" si="384"/>
        <v>NA</v>
      </c>
    </row>
    <row r="1081" customHeight="1" spans="1:34">
      <c r="A1081" s="12" t="s">
        <v>1043</v>
      </c>
      <c r="F1081" s="24">
        <f t="shared" si="366"/>
        <v>0</v>
      </c>
      <c r="G1081" s="24" t="e">
        <f t="shared" si="365"/>
        <v>#DIV/0!</v>
      </c>
      <c r="Q1081" s="29" t="str">
        <f t="shared" si="367"/>
        <v>NA</v>
      </c>
      <c r="R1081" s="29" t="str">
        <f t="shared" si="368"/>
        <v>NA</v>
      </c>
      <c r="S1081" s="29" t="str">
        <f t="shared" si="369"/>
        <v>NA</v>
      </c>
      <c r="T1081" s="29" t="str">
        <f t="shared" si="370"/>
        <v>NA</v>
      </c>
      <c r="U1081" s="29" t="str">
        <f t="shared" si="371"/>
        <v>NA</v>
      </c>
      <c r="V1081" s="29" t="str">
        <f t="shared" si="372"/>
        <v>NA</v>
      </c>
      <c r="W1081" s="29" t="str">
        <f t="shared" si="373"/>
        <v>NA</v>
      </c>
      <c r="X1081" s="29" t="str">
        <f t="shared" si="374"/>
        <v>NA</v>
      </c>
      <c r="Y1081" s="29" t="str">
        <f t="shared" si="375"/>
        <v>NA</v>
      </c>
      <c r="Z1081" s="29" t="str">
        <f t="shared" si="376"/>
        <v>NA</v>
      </c>
      <c r="AA1081" s="29" t="str">
        <f t="shared" si="377"/>
        <v>NA</v>
      </c>
      <c r="AB1081" s="29" t="str">
        <f t="shared" si="378"/>
        <v>NA</v>
      </c>
      <c r="AC1081" s="29" t="str">
        <f t="shared" si="379"/>
        <v>NA</v>
      </c>
      <c r="AD1081" s="29" t="str">
        <f t="shared" si="380"/>
        <v>NA</v>
      </c>
      <c r="AE1081" s="29" t="str">
        <f t="shared" si="381"/>
        <v>NA</v>
      </c>
      <c r="AF1081" s="29" t="str">
        <f t="shared" si="382"/>
        <v>NA</v>
      </c>
      <c r="AG1081" s="29" t="str">
        <f t="shared" si="383"/>
        <v>NA</v>
      </c>
      <c r="AH1081" s="29" t="str">
        <f t="shared" si="384"/>
        <v>NA</v>
      </c>
    </row>
    <row r="1082" customHeight="1" spans="1:34">
      <c r="A1082" s="12" t="s">
        <v>1043</v>
      </c>
      <c r="F1082" s="24">
        <f t="shared" si="366"/>
        <v>0</v>
      </c>
      <c r="G1082" s="24" t="e">
        <f t="shared" si="365"/>
        <v>#DIV/0!</v>
      </c>
      <c r="Q1082" s="29" t="str">
        <f t="shared" si="367"/>
        <v>NA</v>
      </c>
      <c r="R1082" s="29" t="str">
        <f t="shared" si="368"/>
        <v>NA</v>
      </c>
      <c r="S1082" s="29" t="str">
        <f t="shared" si="369"/>
        <v>NA</v>
      </c>
      <c r="T1082" s="29" t="str">
        <f t="shared" si="370"/>
        <v>NA</v>
      </c>
      <c r="U1082" s="29" t="str">
        <f t="shared" si="371"/>
        <v>NA</v>
      </c>
      <c r="V1082" s="29" t="str">
        <f t="shared" si="372"/>
        <v>NA</v>
      </c>
      <c r="W1082" s="29" t="str">
        <f t="shared" si="373"/>
        <v>NA</v>
      </c>
      <c r="X1082" s="29" t="str">
        <f t="shared" si="374"/>
        <v>NA</v>
      </c>
      <c r="Y1082" s="29" t="str">
        <f t="shared" si="375"/>
        <v>NA</v>
      </c>
      <c r="Z1082" s="29" t="str">
        <f t="shared" si="376"/>
        <v>NA</v>
      </c>
      <c r="AA1082" s="29" t="str">
        <f t="shared" si="377"/>
        <v>NA</v>
      </c>
      <c r="AB1082" s="29" t="str">
        <f t="shared" si="378"/>
        <v>NA</v>
      </c>
      <c r="AC1082" s="29" t="str">
        <f t="shared" si="379"/>
        <v>NA</v>
      </c>
      <c r="AD1082" s="29" t="str">
        <f t="shared" si="380"/>
        <v>NA</v>
      </c>
      <c r="AE1082" s="29" t="str">
        <f t="shared" si="381"/>
        <v>NA</v>
      </c>
      <c r="AF1082" s="29" t="str">
        <f t="shared" si="382"/>
        <v>NA</v>
      </c>
      <c r="AG1082" s="29" t="str">
        <f t="shared" si="383"/>
        <v>NA</v>
      </c>
      <c r="AH1082" s="29" t="str">
        <f t="shared" si="384"/>
        <v>NA</v>
      </c>
    </row>
    <row r="1083" customHeight="1" spans="1:34">
      <c r="A1083" s="12" t="s">
        <v>1043</v>
      </c>
      <c r="F1083" s="24">
        <f t="shared" si="366"/>
        <v>0</v>
      </c>
      <c r="G1083" s="24" t="e">
        <f t="shared" si="365"/>
        <v>#DIV/0!</v>
      </c>
      <c r="Q1083" s="29" t="str">
        <f t="shared" si="367"/>
        <v>NA</v>
      </c>
      <c r="R1083" s="29" t="str">
        <f t="shared" si="368"/>
        <v>NA</v>
      </c>
      <c r="S1083" s="29" t="str">
        <f t="shared" si="369"/>
        <v>NA</v>
      </c>
      <c r="T1083" s="29" t="str">
        <f t="shared" si="370"/>
        <v>NA</v>
      </c>
      <c r="U1083" s="29" t="str">
        <f t="shared" si="371"/>
        <v>NA</v>
      </c>
      <c r="V1083" s="29" t="str">
        <f t="shared" si="372"/>
        <v>NA</v>
      </c>
      <c r="W1083" s="29" t="str">
        <f t="shared" si="373"/>
        <v>NA</v>
      </c>
      <c r="X1083" s="29" t="str">
        <f t="shared" si="374"/>
        <v>NA</v>
      </c>
      <c r="Y1083" s="29" t="str">
        <f t="shared" si="375"/>
        <v>NA</v>
      </c>
      <c r="Z1083" s="29" t="str">
        <f t="shared" si="376"/>
        <v>NA</v>
      </c>
      <c r="AA1083" s="29" t="str">
        <f t="shared" si="377"/>
        <v>NA</v>
      </c>
      <c r="AB1083" s="29" t="str">
        <f t="shared" si="378"/>
        <v>NA</v>
      </c>
      <c r="AC1083" s="29" t="str">
        <f t="shared" si="379"/>
        <v>NA</v>
      </c>
      <c r="AD1083" s="29" t="str">
        <f t="shared" si="380"/>
        <v>NA</v>
      </c>
      <c r="AE1083" s="29" t="str">
        <f t="shared" si="381"/>
        <v>NA</v>
      </c>
      <c r="AF1083" s="29" t="str">
        <f t="shared" si="382"/>
        <v>NA</v>
      </c>
      <c r="AG1083" s="29" t="str">
        <f t="shared" si="383"/>
        <v>NA</v>
      </c>
      <c r="AH1083" s="29" t="str">
        <f t="shared" si="384"/>
        <v>NA</v>
      </c>
    </row>
    <row r="1084" customHeight="1" spans="1:34">
      <c r="A1084" s="12" t="s">
        <v>1043</v>
      </c>
      <c r="F1084" s="24">
        <f t="shared" si="366"/>
        <v>0</v>
      </c>
      <c r="G1084" s="24" t="e">
        <f t="shared" si="365"/>
        <v>#DIV/0!</v>
      </c>
      <c r="Q1084" s="29" t="str">
        <f t="shared" si="367"/>
        <v>NA</v>
      </c>
      <c r="R1084" s="29" t="str">
        <f t="shared" si="368"/>
        <v>NA</v>
      </c>
      <c r="S1084" s="29" t="str">
        <f t="shared" si="369"/>
        <v>NA</v>
      </c>
      <c r="T1084" s="29" t="str">
        <f t="shared" si="370"/>
        <v>NA</v>
      </c>
      <c r="U1084" s="29" t="str">
        <f t="shared" si="371"/>
        <v>NA</v>
      </c>
      <c r="V1084" s="29" t="str">
        <f t="shared" si="372"/>
        <v>NA</v>
      </c>
      <c r="W1084" s="29" t="str">
        <f t="shared" si="373"/>
        <v>NA</v>
      </c>
      <c r="X1084" s="29" t="str">
        <f t="shared" si="374"/>
        <v>NA</v>
      </c>
      <c r="Y1084" s="29" t="str">
        <f t="shared" si="375"/>
        <v>NA</v>
      </c>
      <c r="Z1084" s="29" t="str">
        <f t="shared" si="376"/>
        <v>NA</v>
      </c>
      <c r="AA1084" s="29" t="str">
        <f t="shared" si="377"/>
        <v>NA</v>
      </c>
      <c r="AB1084" s="29" t="str">
        <f t="shared" si="378"/>
        <v>NA</v>
      </c>
      <c r="AC1084" s="29" t="str">
        <f t="shared" si="379"/>
        <v>NA</v>
      </c>
      <c r="AD1084" s="29" t="str">
        <f t="shared" si="380"/>
        <v>NA</v>
      </c>
      <c r="AE1084" s="29" t="str">
        <f t="shared" si="381"/>
        <v>NA</v>
      </c>
      <c r="AF1084" s="29" t="str">
        <f t="shared" si="382"/>
        <v>NA</v>
      </c>
      <c r="AG1084" s="29" t="str">
        <f t="shared" si="383"/>
        <v>NA</v>
      </c>
      <c r="AH1084" s="29" t="str">
        <f t="shared" si="384"/>
        <v>NA</v>
      </c>
    </row>
    <row r="1085" customHeight="1" spans="1:34">
      <c r="A1085" s="12" t="s">
        <v>1043</v>
      </c>
      <c r="F1085" s="24">
        <f t="shared" si="366"/>
        <v>0</v>
      </c>
      <c r="G1085" s="24" t="e">
        <f t="shared" si="365"/>
        <v>#DIV/0!</v>
      </c>
      <c r="Q1085" s="29" t="str">
        <f t="shared" si="367"/>
        <v>NA</v>
      </c>
      <c r="R1085" s="29" t="str">
        <f t="shared" si="368"/>
        <v>NA</v>
      </c>
      <c r="S1085" s="29" t="str">
        <f t="shared" si="369"/>
        <v>NA</v>
      </c>
      <c r="T1085" s="29" t="str">
        <f t="shared" si="370"/>
        <v>NA</v>
      </c>
      <c r="U1085" s="29" t="str">
        <f t="shared" si="371"/>
        <v>NA</v>
      </c>
      <c r="V1085" s="29" t="str">
        <f t="shared" si="372"/>
        <v>NA</v>
      </c>
      <c r="W1085" s="29" t="str">
        <f t="shared" si="373"/>
        <v>NA</v>
      </c>
      <c r="X1085" s="29" t="str">
        <f t="shared" si="374"/>
        <v>NA</v>
      </c>
      <c r="Y1085" s="29" t="str">
        <f t="shared" si="375"/>
        <v>NA</v>
      </c>
      <c r="Z1085" s="29" t="str">
        <f t="shared" si="376"/>
        <v>NA</v>
      </c>
      <c r="AA1085" s="29" t="str">
        <f t="shared" si="377"/>
        <v>NA</v>
      </c>
      <c r="AB1085" s="29" t="str">
        <f t="shared" si="378"/>
        <v>NA</v>
      </c>
      <c r="AC1085" s="29" t="str">
        <f t="shared" si="379"/>
        <v>NA</v>
      </c>
      <c r="AD1085" s="29" t="str">
        <f t="shared" si="380"/>
        <v>NA</v>
      </c>
      <c r="AE1085" s="29" t="str">
        <f t="shared" si="381"/>
        <v>NA</v>
      </c>
      <c r="AF1085" s="29" t="str">
        <f t="shared" si="382"/>
        <v>NA</v>
      </c>
      <c r="AG1085" s="29" t="str">
        <f t="shared" si="383"/>
        <v>NA</v>
      </c>
      <c r="AH1085" s="29" t="str">
        <f t="shared" si="384"/>
        <v>NA</v>
      </c>
    </row>
    <row r="1086" customHeight="1" spans="1:34">
      <c r="A1086" s="12" t="s">
        <v>1043</v>
      </c>
      <c r="F1086" s="24">
        <f t="shared" si="366"/>
        <v>0</v>
      </c>
      <c r="G1086" s="24" t="e">
        <f t="shared" si="365"/>
        <v>#DIV/0!</v>
      </c>
      <c r="Q1086" s="29" t="str">
        <f t="shared" si="367"/>
        <v>NA</v>
      </c>
      <c r="R1086" s="29" t="str">
        <f t="shared" si="368"/>
        <v>NA</v>
      </c>
      <c r="S1086" s="29" t="str">
        <f t="shared" si="369"/>
        <v>NA</v>
      </c>
      <c r="T1086" s="29" t="str">
        <f t="shared" si="370"/>
        <v>NA</v>
      </c>
      <c r="U1086" s="29" t="str">
        <f t="shared" si="371"/>
        <v>NA</v>
      </c>
      <c r="V1086" s="29" t="str">
        <f t="shared" si="372"/>
        <v>NA</v>
      </c>
      <c r="W1086" s="29" t="str">
        <f t="shared" si="373"/>
        <v>NA</v>
      </c>
      <c r="X1086" s="29" t="str">
        <f t="shared" si="374"/>
        <v>NA</v>
      </c>
      <c r="Y1086" s="29" t="str">
        <f t="shared" si="375"/>
        <v>NA</v>
      </c>
      <c r="Z1086" s="29" t="str">
        <f t="shared" si="376"/>
        <v>NA</v>
      </c>
      <c r="AA1086" s="29" t="str">
        <f t="shared" si="377"/>
        <v>NA</v>
      </c>
      <c r="AB1086" s="29" t="str">
        <f t="shared" si="378"/>
        <v>NA</v>
      </c>
      <c r="AC1086" s="29" t="str">
        <f t="shared" si="379"/>
        <v>NA</v>
      </c>
      <c r="AD1086" s="29" t="str">
        <f t="shared" si="380"/>
        <v>NA</v>
      </c>
      <c r="AE1086" s="29" t="str">
        <f t="shared" si="381"/>
        <v>NA</v>
      </c>
      <c r="AF1086" s="29" t="str">
        <f t="shared" si="382"/>
        <v>NA</v>
      </c>
      <c r="AG1086" s="29" t="str">
        <f t="shared" si="383"/>
        <v>NA</v>
      </c>
      <c r="AH1086" s="29" t="str">
        <f t="shared" si="384"/>
        <v>NA</v>
      </c>
    </row>
    <row r="1087" customHeight="1" spans="1:34">
      <c r="A1087" s="12" t="s">
        <v>1043</v>
      </c>
      <c r="F1087" s="24">
        <f t="shared" si="366"/>
        <v>0</v>
      </c>
      <c r="G1087" s="24" t="e">
        <f t="shared" si="365"/>
        <v>#DIV/0!</v>
      </c>
      <c r="Q1087" s="29" t="str">
        <f t="shared" si="367"/>
        <v>NA</v>
      </c>
      <c r="R1087" s="29" t="str">
        <f t="shared" si="368"/>
        <v>NA</v>
      </c>
      <c r="S1087" s="29" t="str">
        <f t="shared" si="369"/>
        <v>NA</v>
      </c>
      <c r="T1087" s="29" t="str">
        <f t="shared" si="370"/>
        <v>NA</v>
      </c>
      <c r="U1087" s="29" t="str">
        <f t="shared" si="371"/>
        <v>NA</v>
      </c>
      <c r="V1087" s="29" t="str">
        <f t="shared" si="372"/>
        <v>NA</v>
      </c>
      <c r="W1087" s="29" t="str">
        <f t="shared" si="373"/>
        <v>NA</v>
      </c>
      <c r="X1087" s="29" t="str">
        <f t="shared" si="374"/>
        <v>NA</v>
      </c>
      <c r="Y1087" s="29" t="str">
        <f t="shared" si="375"/>
        <v>NA</v>
      </c>
      <c r="Z1087" s="29" t="str">
        <f t="shared" si="376"/>
        <v>NA</v>
      </c>
      <c r="AA1087" s="29" t="str">
        <f t="shared" si="377"/>
        <v>NA</v>
      </c>
      <c r="AB1087" s="29" t="str">
        <f t="shared" si="378"/>
        <v>NA</v>
      </c>
      <c r="AC1087" s="29" t="str">
        <f t="shared" si="379"/>
        <v>NA</v>
      </c>
      <c r="AD1087" s="29" t="str">
        <f t="shared" si="380"/>
        <v>NA</v>
      </c>
      <c r="AE1087" s="29" t="str">
        <f t="shared" si="381"/>
        <v>NA</v>
      </c>
      <c r="AF1087" s="29" t="str">
        <f t="shared" si="382"/>
        <v>NA</v>
      </c>
      <c r="AG1087" s="29" t="str">
        <f t="shared" si="383"/>
        <v>NA</v>
      </c>
      <c r="AH1087" s="29" t="str">
        <f t="shared" si="384"/>
        <v>NA</v>
      </c>
    </row>
    <row r="1088" customHeight="1" spans="1:34">
      <c r="A1088" s="12" t="s">
        <v>1043</v>
      </c>
      <c r="F1088" s="24">
        <f t="shared" si="366"/>
        <v>0</v>
      </c>
      <c r="G1088" s="24" t="e">
        <f t="shared" si="365"/>
        <v>#DIV/0!</v>
      </c>
      <c r="Q1088" s="29" t="str">
        <f t="shared" si="367"/>
        <v>NA</v>
      </c>
      <c r="R1088" s="29" t="str">
        <f t="shared" si="368"/>
        <v>NA</v>
      </c>
      <c r="S1088" s="29" t="str">
        <f t="shared" si="369"/>
        <v>NA</v>
      </c>
      <c r="T1088" s="29" t="str">
        <f t="shared" si="370"/>
        <v>NA</v>
      </c>
      <c r="U1088" s="29" t="str">
        <f t="shared" si="371"/>
        <v>NA</v>
      </c>
      <c r="V1088" s="29" t="str">
        <f t="shared" si="372"/>
        <v>NA</v>
      </c>
      <c r="W1088" s="29" t="str">
        <f t="shared" si="373"/>
        <v>NA</v>
      </c>
      <c r="X1088" s="29" t="str">
        <f t="shared" si="374"/>
        <v>NA</v>
      </c>
      <c r="Y1088" s="29" t="str">
        <f t="shared" si="375"/>
        <v>NA</v>
      </c>
      <c r="Z1088" s="29" t="str">
        <f t="shared" si="376"/>
        <v>NA</v>
      </c>
      <c r="AA1088" s="29" t="str">
        <f t="shared" si="377"/>
        <v>NA</v>
      </c>
      <c r="AB1088" s="29" t="str">
        <f t="shared" si="378"/>
        <v>NA</v>
      </c>
      <c r="AC1088" s="29" t="str">
        <f t="shared" si="379"/>
        <v>NA</v>
      </c>
      <c r="AD1088" s="29" t="str">
        <f t="shared" si="380"/>
        <v>NA</v>
      </c>
      <c r="AE1088" s="29" t="str">
        <f t="shared" si="381"/>
        <v>NA</v>
      </c>
      <c r="AF1088" s="29" t="str">
        <f t="shared" si="382"/>
        <v>NA</v>
      </c>
      <c r="AG1088" s="29" t="str">
        <f t="shared" si="383"/>
        <v>NA</v>
      </c>
      <c r="AH1088" s="29" t="str">
        <f t="shared" si="384"/>
        <v>NA</v>
      </c>
    </row>
    <row r="1089" customHeight="1" spans="1:34">
      <c r="A1089" s="12" t="s">
        <v>1043</v>
      </c>
      <c r="F1089" s="24">
        <f t="shared" si="366"/>
        <v>0</v>
      </c>
      <c r="G1089" s="24" t="e">
        <f t="shared" si="365"/>
        <v>#DIV/0!</v>
      </c>
      <c r="Q1089" s="29" t="str">
        <f t="shared" si="367"/>
        <v>NA</v>
      </c>
      <c r="R1089" s="29" t="str">
        <f t="shared" si="368"/>
        <v>NA</v>
      </c>
      <c r="S1089" s="29" t="str">
        <f t="shared" si="369"/>
        <v>NA</v>
      </c>
      <c r="T1089" s="29" t="str">
        <f t="shared" si="370"/>
        <v>NA</v>
      </c>
      <c r="U1089" s="29" t="str">
        <f t="shared" si="371"/>
        <v>NA</v>
      </c>
      <c r="V1089" s="29" t="str">
        <f t="shared" si="372"/>
        <v>NA</v>
      </c>
      <c r="W1089" s="29" t="str">
        <f t="shared" si="373"/>
        <v>NA</v>
      </c>
      <c r="X1089" s="29" t="str">
        <f t="shared" si="374"/>
        <v>NA</v>
      </c>
      <c r="Y1089" s="29" t="str">
        <f t="shared" si="375"/>
        <v>NA</v>
      </c>
      <c r="Z1089" s="29" t="str">
        <f t="shared" si="376"/>
        <v>NA</v>
      </c>
      <c r="AA1089" s="29" t="str">
        <f t="shared" si="377"/>
        <v>NA</v>
      </c>
      <c r="AB1089" s="29" t="str">
        <f t="shared" si="378"/>
        <v>NA</v>
      </c>
      <c r="AC1089" s="29" t="str">
        <f t="shared" si="379"/>
        <v>NA</v>
      </c>
      <c r="AD1089" s="29" t="str">
        <f t="shared" si="380"/>
        <v>NA</v>
      </c>
      <c r="AE1089" s="29" t="str">
        <f t="shared" si="381"/>
        <v>NA</v>
      </c>
      <c r="AF1089" s="29" t="str">
        <f t="shared" si="382"/>
        <v>NA</v>
      </c>
      <c r="AG1089" s="29" t="str">
        <f t="shared" si="383"/>
        <v>NA</v>
      </c>
      <c r="AH1089" s="29" t="str">
        <f t="shared" si="384"/>
        <v>NA</v>
      </c>
    </row>
    <row r="1090" customHeight="1" spans="1:34">
      <c r="A1090" s="12" t="s">
        <v>1043</v>
      </c>
      <c r="F1090" s="24">
        <f t="shared" si="366"/>
        <v>0</v>
      </c>
      <c r="G1090" s="24" t="e">
        <f t="shared" si="365"/>
        <v>#DIV/0!</v>
      </c>
      <c r="Q1090" s="29" t="str">
        <f t="shared" si="367"/>
        <v>NA</v>
      </c>
      <c r="R1090" s="29" t="str">
        <f t="shared" si="368"/>
        <v>NA</v>
      </c>
      <c r="S1090" s="29" t="str">
        <f t="shared" si="369"/>
        <v>NA</v>
      </c>
      <c r="T1090" s="29" t="str">
        <f t="shared" si="370"/>
        <v>NA</v>
      </c>
      <c r="U1090" s="29" t="str">
        <f t="shared" si="371"/>
        <v>NA</v>
      </c>
      <c r="V1090" s="29" t="str">
        <f t="shared" si="372"/>
        <v>NA</v>
      </c>
      <c r="W1090" s="29" t="str">
        <f t="shared" si="373"/>
        <v>NA</v>
      </c>
      <c r="X1090" s="29" t="str">
        <f t="shared" si="374"/>
        <v>NA</v>
      </c>
      <c r="Y1090" s="29" t="str">
        <f t="shared" si="375"/>
        <v>NA</v>
      </c>
      <c r="Z1090" s="29" t="str">
        <f t="shared" si="376"/>
        <v>NA</v>
      </c>
      <c r="AA1090" s="29" t="str">
        <f t="shared" si="377"/>
        <v>NA</v>
      </c>
      <c r="AB1090" s="29" t="str">
        <f t="shared" si="378"/>
        <v>NA</v>
      </c>
      <c r="AC1090" s="29" t="str">
        <f t="shared" si="379"/>
        <v>NA</v>
      </c>
      <c r="AD1090" s="29" t="str">
        <f t="shared" si="380"/>
        <v>NA</v>
      </c>
      <c r="AE1090" s="29" t="str">
        <f t="shared" si="381"/>
        <v>NA</v>
      </c>
      <c r="AF1090" s="29" t="str">
        <f t="shared" si="382"/>
        <v>NA</v>
      </c>
      <c r="AG1090" s="29" t="str">
        <f t="shared" si="383"/>
        <v>NA</v>
      </c>
      <c r="AH1090" s="29" t="str">
        <f t="shared" si="384"/>
        <v>NA</v>
      </c>
    </row>
    <row r="1091" customHeight="1" spans="1:34">
      <c r="A1091" s="12" t="s">
        <v>1043</v>
      </c>
      <c r="F1091" s="24">
        <f t="shared" si="366"/>
        <v>0</v>
      </c>
      <c r="G1091" s="24" t="e">
        <f t="shared" si="365"/>
        <v>#DIV/0!</v>
      </c>
      <c r="Q1091" s="29" t="str">
        <f t="shared" si="367"/>
        <v>NA</v>
      </c>
      <c r="R1091" s="29" t="str">
        <f t="shared" si="368"/>
        <v>NA</v>
      </c>
      <c r="S1091" s="29" t="str">
        <f t="shared" si="369"/>
        <v>NA</v>
      </c>
      <c r="T1091" s="29" t="str">
        <f t="shared" si="370"/>
        <v>NA</v>
      </c>
      <c r="U1091" s="29" t="str">
        <f t="shared" si="371"/>
        <v>NA</v>
      </c>
      <c r="V1091" s="29" t="str">
        <f t="shared" si="372"/>
        <v>NA</v>
      </c>
      <c r="W1091" s="29" t="str">
        <f t="shared" si="373"/>
        <v>NA</v>
      </c>
      <c r="X1091" s="29" t="str">
        <f t="shared" si="374"/>
        <v>NA</v>
      </c>
      <c r="Y1091" s="29" t="str">
        <f t="shared" si="375"/>
        <v>NA</v>
      </c>
      <c r="Z1091" s="29" t="str">
        <f t="shared" si="376"/>
        <v>NA</v>
      </c>
      <c r="AA1091" s="29" t="str">
        <f t="shared" si="377"/>
        <v>NA</v>
      </c>
      <c r="AB1091" s="29" t="str">
        <f t="shared" si="378"/>
        <v>NA</v>
      </c>
      <c r="AC1091" s="29" t="str">
        <f t="shared" si="379"/>
        <v>NA</v>
      </c>
      <c r="AD1091" s="29" t="str">
        <f t="shared" si="380"/>
        <v>NA</v>
      </c>
      <c r="AE1091" s="29" t="str">
        <f t="shared" si="381"/>
        <v>NA</v>
      </c>
      <c r="AF1091" s="29" t="str">
        <f t="shared" si="382"/>
        <v>NA</v>
      </c>
      <c r="AG1091" s="29" t="str">
        <f t="shared" si="383"/>
        <v>NA</v>
      </c>
      <c r="AH1091" s="29" t="str">
        <f t="shared" si="384"/>
        <v>NA</v>
      </c>
    </row>
    <row r="1092" customHeight="1" spans="1:34">
      <c r="A1092" s="12" t="s">
        <v>1043</v>
      </c>
      <c r="F1092" s="24">
        <f t="shared" si="366"/>
        <v>0</v>
      </c>
      <c r="G1092" s="24" t="e">
        <f t="shared" si="365"/>
        <v>#DIV/0!</v>
      </c>
      <c r="Q1092" s="29" t="str">
        <f t="shared" si="367"/>
        <v>NA</v>
      </c>
      <c r="R1092" s="29" t="str">
        <f t="shared" si="368"/>
        <v>NA</v>
      </c>
      <c r="S1092" s="29" t="str">
        <f t="shared" si="369"/>
        <v>NA</v>
      </c>
      <c r="T1092" s="29" t="str">
        <f t="shared" si="370"/>
        <v>NA</v>
      </c>
      <c r="U1092" s="29" t="str">
        <f t="shared" si="371"/>
        <v>NA</v>
      </c>
      <c r="V1092" s="29" t="str">
        <f t="shared" si="372"/>
        <v>NA</v>
      </c>
      <c r="W1092" s="29" t="str">
        <f t="shared" si="373"/>
        <v>NA</v>
      </c>
      <c r="X1092" s="29" t="str">
        <f t="shared" si="374"/>
        <v>NA</v>
      </c>
      <c r="Y1092" s="29" t="str">
        <f t="shared" si="375"/>
        <v>NA</v>
      </c>
      <c r="Z1092" s="29" t="str">
        <f t="shared" si="376"/>
        <v>NA</v>
      </c>
      <c r="AA1092" s="29" t="str">
        <f t="shared" si="377"/>
        <v>NA</v>
      </c>
      <c r="AB1092" s="29" t="str">
        <f t="shared" si="378"/>
        <v>NA</v>
      </c>
      <c r="AC1092" s="29" t="str">
        <f t="shared" si="379"/>
        <v>NA</v>
      </c>
      <c r="AD1092" s="29" t="str">
        <f t="shared" si="380"/>
        <v>NA</v>
      </c>
      <c r="AE1092" s="29" t="str">
        <f t="shared" si="381"/>
        <v>NA</v>
      </c>
      <c r="AF1092" s="29" t="str">
        <f t="shared" si="382"/>
        <v>NA</v>
      </c>
      <c r="AG1092" s="29" t="str">
        <f t="shared" si="383"/>
        <v>NA</v>
      </c>
      <c r="AH1092" s="29" t="str">
        <f t="shared" si="384"/>
        <v>NA</v>
      </c>
    </row>
    <row r="1093" customHeight="1" spans="1:34">
      <c r="A1093" s="12" t="s">
        <v>1043</v>
      </c>
      <c r="F1093" s="24">
        <f t="shared" si="366"/>
        <v>0</v>
      </c>
      <c r="G1093" s="24" t="e">
        <f t="shared" ref="G1093:G1156" si="385">B1093*D1093/C1093</f>
        <v>#DIV/0!</v>
      </c>
      <c r="Q1093" s="29" t="str">
        <f t="shared" si="367"/>
        <v>NA</v>
      </c>
      <c r="R1093" s="29" t="str">
        <f t="shared" si="368"/>
        <v>NA</v>
      </c>
      <c r="S1093" s="29" t="str">
        <f t="shared" si="369"/>
        <v>NA</v>
      </c>
      <c r="T1093" s="29" t="str">
        <f t="shared" si="370"/>
        <v>NA</v>
      </c>
      <c r="U1093" s="29" t="str">
        <f t="shared" si="371"/>
        <v>NA</v>
      </c>
      <c r="V1093" s="29" t="str">
        <f t="shared" si="372"/>
        <v>NA</v>
      </c>
      <c r="W1093" s="29" t="str">
        <f t="shared" si="373"/>
        <v>NA</v>
      </c>
      <c r="X1093" s="29" t="str">
        <f t="shared" si="374"/>
        <v>NA</v>
      </c>
      <c r="Y1093" s="29" t="str">
        <f t="shared" si="375"/>
        <v>NA</v>
      </c>
      <c r="Z1093" s="29" t="str">
        <f t="shared" si="376"/>
        <v>NA</v>
      </c>
      <c r="AA1093" s="29" t="str">
        <f t="shared" si="377"/>
        <v>NA</v>
      </c>
      <c r="AB1093" s="29" t="str">
        <f t="shared" si="378"/>
        <v>NA</v>
      </c>
      <c r="AC1093" s="29" t="str">
        <f t="shared" si="379"/>
        <v>NA</v>
      </c>
      <c r="AD1093" s="29" t="str">
        <f t="shared" si="380"/>
        <v>NA</v>
      </c>
      <c r="AE1093" s="29" t="str">
        <f t="shared" si="381"/>
        <v>NA</v>
      </c>
      <c r="AF1093" s="29" t="str">
        <f t="shared" si="382"/>
        <v>NA</v>
      </c>
      <c r="AG1093" s="29" t="str">
        <f t="shared" si="383"/>
        <v>NA</v>
      </c>
      <c r="AH1093" s="29" t="str">
        <f t="shared" si="384"/>
        <v>NA</v>
      </c>
    </row>
    <row r="1094" customHeight="1" spans="1:34">
      <c r="A1094" s="12" t="s">
        <v>1043</v>
      </c>
      <c r="F1094" s="24">
        <f t="shared" ref="F1094:F1157" si="386">+D1094+E1094</f>
        <v>0</v>
      </c>
      <c r="G1094" s="24" t="e">
        <f t="shared" si="385"/>
        <v>#DIV/0!</v>
      </c>
      <c r="Q1094" s="29" t="str">
        <f t="shared" si="367"/>
        <v>NA</v>
      </c>
      <c r="R1094" s="29" t="str">
        <f t="shared" si="368"/>
        <v>NA</v>
      </c>
      <c r="S1094" s="29" t="str">
        <f t="shared" si="369"/>
        <v>NA</v>
      </c>
      <c r="T1094" s="29" t="str">
        <f t="shared" si="370"/>
        <v>NA</v>
      </c>
      <c r="U1094" s="29" t="str">
        <f t="shared" si="371"/>
        <v>NA</v>
      </c>
      <c r="V1094" s="29" t="str">
        <f t="shared" si="372"/>
        <v>NA</v>
      </c>
      <c r="W1094" s="29" t="str">
        <f t="shared" si="373"/>
        <v>NA</v>
      </c>
      <c r="X1094" s="29" t="str">
        <f t="shared" si="374"/>
        <v>NA</v>
      </c>
      <c r="Y1094" s="29" t="str">
        <f t="shared" si="375"/>
        <v>NA</v>
      </c>
      <c r="Z1094" s="29" t="str">
        <f t="shared" si="376"/>
        <v>NA</v>
      </c>
      <c r="AA1094" s="29" t="str">
        <f t="shared" si="377"/>
        <v>NA</v>
      </c>
      <c r="AB1094" s="29" t="str">
        <f t="shared" si="378"/>
        <v>NA</v>
      </c>
      <c r="AC1094" s="29" t="str">
        <f t="shared" si="379"/>
        <v>NA</v>
      </c>
      <c r="AD1094" s="29" t="str">
        <f t="shared" si="380"/>
        <v>NA</v>
      </c>
      <c r="AE1094" s="29" t="str">
        <f t="shared" si="381"/>
        <v>NA</v>
      </c>
      <c r="AF1094" s="29" t="str">
        <f t="shared" si="382"/>
        <v>NA</v>
      </c>
      <c r="AG1094" s="29" t="str">
        <f t="shared" si="383"/>
        <v>NA</v>
      </c>
      <c r="AH1094" s="29" t="str">
        <f t="shared" si="384"/>
        <v>NA</v>
      </c>
    </row>
    <row r="1095" customHeight="1" spans="1:34">
      <c r="A1095" s="12" t="s">
        <v>1043</v>
      </c>
      <c r="F1095" s="24">
        <f t="shared" si="386"/>
        <v>0</v>
      </c>
      <c r="G1095" s="24" t="e">
        <f t="shared" si="385"/>
        <v>#DIV/0!</v>
      </c>
      <c r="Q1095" s="29" t="str">
        <f t="shared" si="367"/>
        <v>NA</v>
      </c>
      <c r="R1095" s="29" t="str">
        <f t="shared" si="368"/>
        <v>NA</v>
      </c>
      <c r="S1095" s="29" t="str">
        <f t="shared" si="369"/>
        <v>NA</v>
      </c>
      <c r="T1095" s="29" t="str">
        <f t="shared" si="370"/>
        <v>NA</v>
      </c>
      <c r="U1095" s="29" t="str">
        <f t="shared" si="371"/>
        <v>NA</v>
      </c>
      <c r="V1095" s="29" t="str">
        <f t="shared" si="372"/>
        <v>NA</v>
      </c>
      <c r="W1095" s="29" t="str">
        <f t="shared" si="373"/>
        <v>NA</v>
      </c>
      <c r="X1095" s="29" t="str">
        <f t="shared" si="374"/>
        <v>NA</v>
      </c>
      <c r="Y1095" s="29" t="str">
        <f t="shared" si="375"/>
        <v>NA</v>
      </c>
      <c r="Z1095" s="29" t="str">
        <f t="shared" si="376"/>
        <v>NA</v>
      </c>
      <c r="AA1095" s="29" t="str">
        <f t="shared" si="377"/>
        <v>NA</v>
      </c>
      <c r="AB1095" s="29" t="str">
        <f t="shared" si="378"/>
        <v>NA</v>
      </c>
      <c r="AC1095" s="29" t="str">
        <f t="shared" si="379"/>
        <v>NA</v>
      </c>
      <c r="AD1095" s="29" t="str">
        <f t="shared" si="380"/>
        <v>NA</v>
      </c>
      <c r="AE1095" s="29" t="str">
        <f t="shared" si="381"/>
        <v>NA</v>
      </c>
      <c r="AF1095" s="29" t="str">
        <f t="shared" si="382"/>
        <v>NA</v>
      </c>
      <c r="AG1095" s="29" t="str">
        <f t="shared" si="383"/>
        <v>NA</v>
      </c>
      <c r="AH1095" s="29" t="str">
        <f t="shared" si="384"/>
        <v>NA</v>
      </c>
    </row>
    <row r="1096" customHeight="1" spans="1:34">
      <c r="A1096" s="12" t="s">
        <v>1043</v>
      </c>
      <c r="F1096" s="24">
        <f t="shared" si="386"/>
        <v>0</v>
      </c>
      <c r="G1096" s="24" t="e">
        <f t="shared" si="385"/>
        <v>#DIV/0!</v>
      </c>
      <c r="Q1096" s="29" t="str">
        <f t="shared" si="367"/>
        <v>NA</v>
      </c>
      <c r="R1096" s="29" t="str">
        <f t="shared" si="368"/>
        <v>NA</v>
      </c>
      <c r="S1096" s="29" t="str">
        <f t="shared" si="369"/>
        <v>NA</v>
      </c>
      <c r="T1096" s="29" t="str">
        <f t="shared" si="370"/>
        <v>NA</v>
      </c>
      <c r="U1096" s="29" t="str">
        <f t="shared" si="371"/>
        <v>NA</v>
      </c>
      <c r="V1096" s="29" t="str">
        <f t="shared" si="372"/>
        <v>NA</v>
      </c>
      <c r="W1096" s="29" t="str">
        <f t="shared" si="373"/>
        <v>NA</v>
      </c>
      <c r="X1096" s="29" t="str">
        <f t="shared" si="374"/>
        <v>NA</v>
      </c>
      <c r="Y1096" s="29" t="str">
        <f t="shared" si="375"/>
        <v>NA</v>
      </c>
      <c r="Z1096" s="29" t="str">
        <f t="shared" si="376"/>
        <v>NA</v>
      </c>
      <c r="AA1096" s="29" t="str">
        <f t="shared" si="377"/>
        <v>NA</v>
      </c>
      <c r="AB1096" s="29" t="str">
        <f t="shared" si="378"/>
        <v>NA</v>
      </c>
      <c r="AC1096" s="29" t="str">
        <f t="shared" si="379"/>
        <v>NA</v>
      </c>
      <c r="AD1096" s="29" t="str">
        <f t="shared" si="380"/>
        <v>NA</v>
      </c>
      <c r="AE1096" s="29" t="str">
        <f t="shared" si="381"/>
        <v>NA</v>
      </c>
      <c r="AF1096" s="29" t="str">
        <f t="shared" si="382"/>
        <v>NA</v>
      </c>
      <c r="AG1096" s="29" t="str">
        <f t="shared" si="383"/>
        <v>NA</v>
      </c>
      <c r="AH1096" s="29" t="str">
        <f t="shared" si="384"/>
        <v>NA</v>
      </c>
    </row>
    <row r="1097" customHeight="1" spans="1:34">
      <c r="A1097" s="12" t="s">
        <v>1043</v>
      </c>
      <c r="F1097" s="24">
        <f t="shared" si="386"/>
        <v>0</v>
      </c>
      <c r="G1097" s="24" t="e">
        <f t="shared" si="385"/>
        <v>#DIV/0!</v>
      </c>
      <c r="Q1097" s="29" t="str">
        <f t="shared" si="367"/>
        <v>NA</v>
      </c>
      <c r="R1097" s="29" t="str">
        <f t="shared" si="368"/>
        <v>NA</v>
      </c>
      <c r="S1097" s="29" t="str">
        <f t="shared" si="369"/>
        <v>NA</v>
      </c>
      <c r="T1097" s="29" t="str">
        <f t="shared" si="370"/>
        <v>NA</v>
      </c>
      <c r="U1097" s="29" t="str">
        <f t="shared" si="371"/>
        <v>NA</v>
      </c>
      <c r="V1097" s="29" t="str">
        <f t="shared" si="372"/>
        <v>NA</v>
      </c>
      <c r="W1097" s="29" t="str">
        <f t="shared" si="373"/>
        <v>NA</v>
      </c>
      <c r="X1097" s="29" t="str">
        <f t="shared" si="374"/>
        <v>NA</v>
      </c>
      <c r="Y1097" s="29" t="str">
        <f t="shared" si="375"/>
        <v>NA</v>
      </c>
      <c r="Z1097" s="29" t="str">
        <f t="shared" si="376"/>
        <v>NA</v>
      </c>
      <c r="AA1097" s="29" t="str">
        <f t="shared" si="377"/>
        <v>NA</v>
      </c>
      <c r="AB1097" s="29" t="str">
        <f t="shared" si="378"/>
        <v>NA</v>
      </c>
      <c r="AC1097" s="29" t="str">
        <f t="shared" si="379"/>
        <v>NA</v>
      </c>
      <c r="AD1097" s="29" t="str">
        <f t="shared" si="380"/>
        <v>NA</v>
      </c>
      <c r="AE1097" s="29" t="str">
        <f t="shared" si="381"/>
        <v>NA</v>
      </c>
      <c r="AF1097" s="29" t="str">
        <f t="shared" si="382"/>
        <v>NA</v>
      </c>
      <c r="AG1097" s="29" t="str">
        <f t="shared" si="383"/>
        <v>NA</v>
      </c>
      <c r="AH1097" s="29" t="str">
        <f t="shared" si="384"/>
        <v>NA</v>
      </c>
    </row>
    <row r="1098" customHeight="1" spans="1:34">
      <c r="A1098" s="12" t="s">
        <v>1043</v>
      </c>
      <c r="F1098" s="24">
        <f t="shared" si="386"/>
        <v>0</v>
      </c>
      <c r="G1098" s="24" t="e">
        <f t="shared" si="385"/>
        <v>#DIV/0!</v>
      </c>
      <c r="Q1098" s="29" t="str">
        <f t="shared" si="367"/>
        <v>NA</v>
      </c>
      <c r="R1098" s="29" t="str">
        <f t="shared" si="368"/>
        <v>NA</v>
      </c>
      <c r="S1098" s="29" t="str">
        <f t="shared" si="369"/>
        <v>NA</v>
      </c>
      <c r="T1098" s="29" t="str">
        <f t="shared" si="370"/>
        <v>NA</v>
      </c>
      <c r="U1098" s="29" t="str">
        <f t="shared" si="371"/>
        <v>NA</v>
      </c>
      <c r="V1098" s="29" t="str">
        <f t="shared" si="372"/>
        <v>NA</v>
      </c>
      <c r="W1098" s="29" t="str">
        <f t="shared" si="373"/>
        <v>NA</v>
      </c>
      <c r="X1098" s="29" t="str">
        <f t="shared" si="374"/>
        <v>NA</v>
      </c>
      <c r="Y1098" s="29" t="str">
        <f t="shared" si="375"/>
        <v>NA</v>
      </c>
      <c r="Z1098" s="29" t="str">
        <f t="shared" si="376"/>
        <v>NA</v>
      </c>
      <c r="AA1098" s="29" t="str">
        <f t="shared" si="377"/>
        <v>NA</v>
      </c>
      <c r="AB1098" s="29" t="str">
        <f t="shared" si="378"/>
        <v>NA</v>
      </c>
      <c r="AC1098" s="29" t="str">
        <f t="shared" si="379"/>
        <v>NA</v>
      </c>
      <c r="AD1098" s="29" t="str">
        <f t="shared" si="380"/>
        <v>NA</v>
      </c>
      <c r="AE1098" s="29" t="str">
        <f t="shared" si="381"/>
        <v>NA</v>
      </c>
      <c r="AF1098" s="29" t="str">
        <f t="shared" si="382"/>
        <v>NA</v>
      </c>
      <c r="AG1098" s="29" t="str">
        <f t="shared" si="383"/>
        <v>NA</v>
      </c>
      <c r="AH1098" s="29" t="str">
        <f t="shared" si="384"/>
        <v>NA</v>
      </c>
    </row>
    <row r="1099" customHeight="1" spans="1:34">
      <c r="A1099" s="12" t="s">
        <v>1043</v>
      </c>
      <c r="F1099" s="24">
        <f t="shared" si="386"/>
        <v>0</v>
      </c>
      <c r="G1099" s="24" t="e">
        <f t="shared" si="385"/>
        <v>#DIV/0!</v>
      </c>
      <c r="Q1099" s="29" t="str">
        <f t="shared" si="367"/>
        <v>NA</v>
      </c>
      <c r="R1099" s="29" t="str">
        <f t="shared" si="368"/>
        <v>NA</v>
      </c>
      <c r="S1099" s="29" t="str">
        <f t="shared" si="369"/>
        <v>NA</v>
      </c>
      <c r="T1099" s="29" t="str">
        <f t="shared" si="370"/>
        <v>NA</v>
      </c>
      <c r="U1099" s="29" t="str">
        <f t="shared" si="371"/>
        <v>NA</v>
      </c>
      <c r="V1099" s="29" t="str">
        <f t="shared" si="372"/>
        <v>NA</v>
      </c>
      <c r="W1099" s="29" t="str">
        <f t="shared" si="373"/>
        <v>NA</v>
      </c>
      <c r="X1099" s="29" t="str">
        <f t="shared" si="374"/>
        <v>NA</v>
      </c>
      <c r="Y1099" s="29" t="str">
        <f t="shared" si="375"/>
        <v>NA</v>
      </c>
      <c r="Z1099" s="29" t="str">
        <f t="shared" si="376"/>
        <v>NA</v>
      </c>
      <c r="AA1099" s="29" t="str">
        <f t="shared" si="377"/>
        <v>NA</v>
      </c>
      <c r="AB1099" s="29" t="str">
        <f t="shared" si="378"/>
        <v>NA</v>
      </c>
      <c r="AC1099" s="29" t="str">
        <f t="shared" si="379"/>
        <v>NA</v>
      </c>
      <c r="AD1099" s="29" t="str">
        <f t="shared" si="380"/>
        <v>NA</v>
      </c>
      <c r="AE1099" s="29" t="str">
        <f t="shared" si="381"/>
        <v>NA</v>
      </c>
      <c r="AF1099" s="29" t="str">
        <f t="shared" si="382"/>
        <v>NA</v>
      </c>
      <c r="AG1099" s="29" t="str">
        <f t="shared" si="383"/>
        <v>NA</v>
      </c>
      <c r="AH1099" s="29" t="str">
        <f t="shared" si="384"/>
        <v>NA</v>
      </c>
    </row>
    <row r="1100" customHeight="1" spans="1:34">
      <c r="A1100" s="12" t="s">
        <v>1043</v>
      </c>
      <c r="F1100" s="24">
        <f t="shared" si="386"/>
        <v>0</v>
      </c>
      <c r="G1100" s="24" t="e">
        <f t="shared" si="385"/>
        <v>#DIV/0!</v>
      </c>
      <c r="Q1100" s="29" t="str">
        <f t="shared" si="367"/>
        <v>NA</v>
      </c>
      <c r="R1100" s="29" t="str">
        <f t="shared" si="368"/>
        <v>NA</v>
      </c>
      <c r="S1100" s="29" t="str">
        <f t="shared" si="369"/>
        <v>NA</v>
      </c>
      <c r="T1100" s="29" t="str">
        <f t="shared" si="370"/>
        <v>NA</v>
      </c>
      <c r="U1100" s="29" t="str">
        <f t="shared" si="371"/>
        <v>NA</v>
      </c>
      <c r="V1100" s="29" t="str">
        <f t="shared" si="372"/>
        <v>NA</v>
      </c>
      <c r="W1100" s="29" t="str">
        <f t="shared" si="373"/>
        <v>NA</v>
      </c>
      <c r="X1100" s="29" t="str">
        <f t="shared" si="374"/>
        <v>NA</v>
      </c>
      <c r="Y1100" s="29" t="str">
        <f t="shared" si="375"/>
        <v>NA</v>
      </c>
      <c r="Z1100" s="29" t="str">
        <f t="shared" si="376"/>
        <v>NA</v>
      </c>
      <c r="AA1100" s="29" t="str">
        <f t="shared" si="377"/>
        <v>NA</v>
      </c>
      <c r="AB1100" s="29" t="str">
        <f t="shared" si="378"/>
        <v>NA</v>
      </c>
      <c r="AC1100" s="29" t="str">
        <f t="shared" si="379"/>
        <v>NA</v>
      </c>
      <c r="AD1100" s="29" t="str">
        <f t="shared" si="380"/>
        <v>NA</v>
      </c>
      <c r="AE1100" s="29" t="str">
        <f t="shared" si="381"/>
        <v>NA</v>
      </c>
      <c r="AF1100" s="29" t="str">
        <f t="shared" si="382"/>
        <v>NA</v>
      </c>
      <c r="AG1100" s="29" t="str">
        <f t="shared" si="383"/>
        <v>NA</v>
      </c>
      <c r="AH1100" s="29" t="str">
        <f t="shared" si="384"/>
        <v>NA</v>
      </c>
    </row>
    <row r="1101" customHeight="1" spans="1:34">
      <c r="A1101" s="12" t="s">
        <v>1043</v>
      </c>
      <c r="F1101" s="24">
        <f t="shared" si="386"/>
        <v>0</v>
      </c>
      <c r="G1101" s="24" t="e">
        <f t="shared" si="385"/>
        <v>#DIV/0!</v>
      </c>
      <c r="Q1101" s="29" t="str">
        <f t="shared" si="367"/>
        <v>NA</v>
      </c>
      <c r="R1101" s="29" t="str">
        <f t="shared" si="368"/>
        <v>NA</v>
      </c>
      <c r="S1101" s="29" t="str">
        <f t="shared" si="369"/>
        <v>NA</v>
      </c>
      <c r="T1101" s="29" t="str">
        <f t="shared" si="370"/>
        <v>NA</v>
      </c>
      <c r="U1101" s="29" t="str">
        <f t="shared" si="371"/>
        <v>NA</v>
      </c>
      <c r="V1101" s="29" t="str">
        <f t="shared" si="372"/>
        <v>NA</v>
      </c>
      <c r="W1101" s="29" t="str">
        <f t="shared" si="373"/>
        <v>NA</v>
      </c>
      <c r="X1101" s="29" t="str">
        <f t="shared" si="374"/>
        <v>NA</v>
      </c>
      <c r="Y1101" s="29" t="str">
        <f t="shared" si="375"/>
        <v>NA</v>
      </c>
      <c r="Z1101" s="29" t="str">
        <f t="shared" si="376"/>
        <v>NA</v>
      </c>
      <c r="AA1101" s="29" t="str">
        <f t="shared" si="377"/>
        <v>NA</v>
      </c>
      <c r="AB1101" s="29" t="str">
        <f t="shared" si="378"/>
        <v>NA</v>
      </c>
      <c r="AC1101" s="29" t="str">
        <f t="shared" si="379"/>
        <v>NA</v>
      </c>
      <c r="AD1101" s="29" t="str">
        <f t="shared" si="380"/>
        <v>NA</v>
      </c>
      <c r="AE1101" s="29" t="str">
        <f t="shared" si="381"/>
        <v>NA</v>
      </c>
      <c r="AF1101" s="29" t="str">
        <f t="shared" si="382"/>
        <v>NA</v>
      </c>
      <c r="AG1101" s="29" t="str">
        <f t="shared" si="383"/>
        <v>NA</v>
      </c>
      <c r="AH1101" s="29" t="str">
        <f t="shared" si="384"/>
        <v>NA</v>
      </c>
    </row>
    <row r="1102" customHeight="1" spans="1:34">
      <c r="A1102" s="12" t="s">
        <v>1043</v>
      </c>
      <c r="F1102" s="24">
        <f t="shared" si="386"/>
        <v>0</v>
      </c>
      <c r="G1102" s="24" t="e">
        <f t="shared" si="385"/>
        <v>#DIV/0!</v>
      </c>
      <c r="Q1102" s="29" t="str">
        <f t="shared" si="367"/>
        <v>NA</v>
      </c>
      <c r="R1102" s="29" t="str">
        <f t="shared" si="368"/>
        <v>NA</v>
      </c>
      <c r="S1102" s="29" t="str">
        <f t="shared" si="369"/>
        <v>NA</v>
      </c>
      <c r="T1102" s="29" t="str">
        <f t="shared" si="370"/>
        <v>NA</v>
      </c>
      <c r="U1102" s="29" t="str">
        <f t="shared" si="371"/>
        <v>NA</v>
      </c>
      <c r="V1102" s="29" t="str">
        <f t="shared" si="372"/>
        <v>NA</v>
      </c>
      <c r="W1102" s="29" t="str">
        <f t="shared" si="373"/>
        <v>NA</v>
      </c>
      <c r="X1102" s="29" t="str">
        <f t="shared" si="374"/>
        <v>NA</v>
      </c>
      <c r="Y1102" s="29" t="str">
        <f t="shared" si="375"/>
        <v>NA</v>
      </c>
      <c r="Z1102" s="29" t="str">
        <f t="shared" si="376"/>
        <v>NA</v>
      </c>
      <c r="AA1102" s="29" t="str">
        <f t="shared" si="377"/>
        <v>NA</v>
      </c>
      <c r="AB1102" s="29" t="str">
        <f t="shared" si="378"/>
        <v>NA</v>
      </c>
      <c r="AC1102" s="29" t="str">
        <f t="shared" si="379"/>
        <v>NA</v>
      </c>
      <c r="AD1102" s="29" t="str">
        <f t="shared" si="380"/>
        <v>NA</v>
      </c>
      <c r="AE1102" s="29" t="str">
        <f t="shared" si="381"/>
        <v>NA</v>
      </c>
      <c r="AF1102" s="29" t="str">
        <f t="shared" si="382"/>
        <v>NA</v>
      </c>
      <c r="AG1102" s="29" t="str">
        <f t="shared" si="383"/>
        <v>NA</v>
      </c>
      <c r="AH1102" s="29" t="str">
        <f t="shared" si="384"/>
        <v>NA</v>
      </c>
    </row>
    <row r="1103" customHeight="1" spans="1:34">
      <c r="A1103" s="12" t="s">
        <v>1043</v>
      </c>
      <c r="F1103" s="24">
        <f t="shared" si="386"/>
        <v>0</v>
      </c>
      <c r="G1103" s="24" t="e">
        <f t="shared" si="385"/>
        <v>#DIV/0!</v>
      </c>
      <c r="Q1103" s="29" t="str">
        <f t="shared" si="367"/>
        <v>NA</v>
      </c>
      <c r="R1103" s="29" t="str">
        <f t="shared" si="368"/>
        <v>NA</v>
      </c>
      <c r="S1103" s="29" t="str">
        <f t="shared" si="369"/>
        <v>NA</v>
      </c>
      <c r="T1103" s="29" t="str">
        <f t="shared" si="370"/>
        <v>NA</v>
      </c>
      <c r="U1103" s="29" t="str">
        <f t="shared" si="371"/>
        <v>NA</v>
      </c>
      <c r="V1103" s="29" t="str">
        <f t="shared" si="372"/>
        <v>NA</v>
      </c>
      <c r="W1103" s="29" t="str">
        <f t="shared" si="373"/>
        <v>NA</v>
      </c>
      <c r="X1103" s="29" t="str">
        <f t="shared" si="374"/>
        <v>NA</v>
      </c>
      <c r="Y1103" s="29" t="str">
        <f t="shared" si="375"/>
        <v>NA</v>
      </c>
      <c r="Z1103" s="29" t="str">
        <f t="shared" si="376"/>
        <v>NA</v>
      </c>
      <c r="AA1103" s="29" t="str">
        <f t="shared" si="377"/>
        <v>NA</v>
      </c>
      <c r="AB1103" s="29" t="str">
        <f t="shared" si="378"/>
        <v>NA</v>
      </c>
      <c r="AC1103" s="29" t="str">
        <f t="shared" si="379"/>
        <v>NA</v>
      </c>
      <c r="AD1103" s="29" t="str">
        <f t="shared" si="380"/>
        <v>NA</v>
      </c>
      <c r="AE1103" s="29" t="str">
        <f t="shared" si="381"/>
        <v>NA</v>
      </c>
      <c r="AF1103" s="29" t="str">
        <f t="shared" si="382"/>
        <v>NA</v>
      </c>
      <c r="AG1103" s="29" t="str">
        <f t="shared" si="383"/>
        <v>NA</v>
      </c>
      <c r="AH1103" s="29" t="str">
        <f t="shared" si="384"/>
        <v>NA</v>
      </c>
    </row>
    <row r="1104" customHeight="1" spans="1:34">
      <c r="A1104" s="12" t="s">
        <v>1043</v>
      </c>
      <c r="F1104" s="24">
        <f t="shared" si="386"/>
        <v>0</v>
      </c>
      <c r="G1104" s="24" t="e">
        <f t="shared" si="385"/>
        <v>#DIV/0!</v>
      </c>
      <c r="Q1104" s="29" t="str">
        <f t="shared" ref="Q1104:Q1167" si="387">IFERROR($B1104*$E1104/H1104,"NA")</f>
        <v>NA</v>
      </c>
      <c r="R1104" s="29" t="str">
        <f t="shared" ref="R1104:R1167" si="388">IFERROR($B1104*$E1104/I1104,"NA")</f>
        <v>NA</v>
      </c>
      <c r="S1104" s="29" t="str">
        <f t="shared" ref="S1104:S1167" si="389">IFERROR($B1104*$E1104/J1104,"NA")</f>
        <v>NA</v>
      </c>
      <c r="T1104" s="29" t="str">
        <f t="shared" ref="T1104:T1167" si="390">IFERROR($B1104*$E1104/K1104,"NA")</f>
        <v>NA</v>
      </c>
      <c r="U1104" s="29" t="str">
        <f t="shared" ref="U1104:U1167" si="391">IFERROR($B1104*$E1104/L1104,"NA")</f>
        <v>NA</v>
      </c>
      <c r="V1104" s="29" t="str">
        <f t="shared" ref="V1104:V1167" si="392">IFERROR($B1104*$E1104/M1104,"NA")</f>
        <v>NA</v>
      </c>
      <c r="W1104" s="29" t="str">
        <f t="shared" ref="W1104:W1167" si="393">IFERROR($B1104*$E1104/N1104,"NA")</f>
        <v>NA</v>
      </c>
      <c r="X1104" s="29" t="str">
        <f t="shared" ref="X1104:X1167" si="394">IFERROR($B1104*$E1104/O1104,"NA")</f>
        <v>NA</v>
      </c>
      <c r="Y1104" s="29" t="str">
        <f t="shared" ref="Y1104:Y1167" si="395">IFERROR($B1104*$E1104/P1104,"NA")</f>
        <v>NA</v>
      </c>
      <c r="Z1104" s="29" t="str">
        <f t="shared" ref="Z1104:Z1167" si="396">IFERROR((($G1104*Z$2/1000)+Q1104)/1,"NA")</f>
        <v>NA</v>
      </c>
      <c r="AA1104" s="29" t="str">
        <f t="shared" ref="AA1104:AA1167" si="397">IFERROR((($G1104*AA$2/1000)+R1104)/1,"NA")</f>
        <v>NA</v>
      </c>
      <c r="AB1104" s="29" t="str">
        <f t="shared" ref="AB1104:AB1167" si="398">IFERROR((($G1104*AB$2/1000)+S1104)/1,"NA")</f>
        <v>NA</v>
      </c>
      <c r="AC1104" s="29" t="str">
        <f t="shared" ref="AC1104:AC1167" si="399">IFERROR((($G1104*AC$2/1000)+T1104)/1,"NA")</f>
        <v>NA</v>
      </c>
      <c r="AD1104" s="29" t="str">
        <f t="shared" ref="AD1104:AD1167" si="400">IFERROR((($G1104*AD$2/1000)+U1104)/1,"NA")</f>
        <v>NA</v>
      </c>
      <c r="AE1104" s="29" t="str">
        <f t="shared" ref="AE1104:AE1167" si="401">IFERROR((($G1104*AE$2/1000)+V1104)/1,"NA")</f>
        <v>NA</v>
      </c>
      <c r="AF1104" s="29" t="str">
        <f t="shared" ref="AF1104:AF1167" si="402">IFERROR((($G1104*AF$2/1000)+W1104)/1,"NA")</f>
        <v>NA</v>
      </c>
      <c r="AG1104" s="29" t="str">
        <f t="shared" ref="AG1104:AG1167" si="403">IFERROR((($G1104*AG$2/1000)+X1104)/1,"NA")</f>
        <v>NA</v>
      </c>
      <c r="AH1104" s="29" t="str">
        <f t="shared" ref="AH1104:AH1167" si="404">IFERROR((($G1104*AH$2/1000)+Y1104)/1,"NA")</f>
        <v>NA</v>
      </c>
    </row>
    <row r="1105" customHeight="1" spans="1:34">
      <c r="A1105" s="12" t="s">
        <v>1043</v>
      </c>
      <c r="F1105" s="24">
        <f t="shared" si="386"/>
        <v>0</v>
      </c>
      <c r="G1105" s="24" t="e">
        <f t="shared" si="385"/>
        <v>#DIV/0!</v>
      </c>
      <c r="Q1105" s="29" t="str">
        <f t="shared" si="387"/>
        <v>NA</v>
      </c>
      <c r="R1105" s="29" t="str">
        <f t="shared" si="388"/>
        <v>NA</v>
      </c>
      <c r="S1105" s="29" t="str">
        <f t="shared" si="389"/>
        <v>NA</v>
      </c>
      <c r="T1105" s="29" t="str">
        <f t="shared" si="390"/>
        <v>NA</v>
      </c>
      <c r="U1105" s="29" t="str">
        <f t="shared" si="391"/>
        <v>NA</v>
      </c>
      <c r="V1105" s="29" t="str">
        <f t="shared" si="392"/>
        <v>NA</v>
      </c>
      <c r="W1105" s="29" t="str">
        <f t="shared" si="393"/>
        <v>NA</v>
      </c>
      <c r="X1105" s="29" t="str">
        <f t="shared" si="394"/>
        <v>NA</v>
      </c>
      <c r="Y1105" s="29" t="str">
        <f t="shared" si="395"/>
        <v>NA</v>
      </c>
      <c r="Z1105" s="29" t="str">
        <f t="shared" si="396"/>
        <v>NA</v>
      </c>
      <c r="AA1105" s="29" t="str">
        <f t="shared" si="397"/>
        <v>NA</v>
      </c>
      <c r="AB1105" s="29" t="str">
        <f t="shared" si="398"/>
        <v>NA</v>
      </c>
      <c r="AC1105" s="29" t="str">
        <f t="shared" si="399"/>
        <v>NA</v>
      </c>
      <c r="AD1105" s="29" t="str">
        <f t="shared" si="400"/>
        <v>NA</v>
      </c>
      <c r="AE1105" s="29" t="str">
        <f t="shared" si="401"/>
        <v>NA</v>
      </c>
      <c r="AF1105" s="29" t="str">
        <f t="shared" si="402"/>
        <v>NA</v>
      </c>
      <c r="AG1105" s="29" t="str">
        <f t="shared" si="403"/>
        <v>NA</v>
      </c>
      <c r="AH1105" s="29" t="str">
        <f t="shared" si="404"/>
        <v>NA</v>
      </c>
    </row>
    <row r="1106" customHeight="1" spans="1:34">
      <c r="A1106" s="12" t="s">
        <v>1043</v>
      </c>
      <c r="F1106" s="24">
        <f t="shared" si="386"/>
        <v>0</v>
      </c>
      <c r="G1106" s="24" t="e">
        <f t="shared" si="385"/>
        <v>#DIV/0!</v>
      </c>
      <c r="Q1106" s="29" t="str">
        <f t="shared" si="387"/>
        <v>NA</v>
      </c>
      <c r="R1106" s="29" t="str">
        <f t="shared" si="388"/>
        <v>NA</v>
      </c>
      <c r="S1106" s="29" t="str">
        <f t="shared" si="389"/>
        <v>NA</v>
      </c>
      <c r="T1106" s="29" t="str">
        <f t="shared" si="390"/>
        <v>NA</v>
      </c>
      <c r="U1106" s="29" t="str">
        <f t="shared" si="391"/>
        <v>NA</v>
      </c>
      <c r="V1106" s="29" t="str">
        <f t="shared" si="392"/>
        <v>NA</v>
      </c>
      <c r="W1106" s="29" t="str">
        <f t="shared" si="393"/>
        <v>NA</v>
      </c>
      <c r="X1106" s="29" t="str">
        <f t="shared" si="394"/>
        <v>NA</v>
      </c>
      <c r="Y1106" s="29" t="str">
        <f t="shared" si="395"/>
        <v>NA</v>
      </c>
      <c r="Z1106" s="29" t="str">
        <f t="shared" si="396"/>
        <v>NA</v>
      </c>
      <c r="AA1106" s="29" t="str">
        <f t="shared" si="397"/>
        <v>NA</v>
      </c>
      <c r="AB1106" s="29" t="str">
        <f t="shared" si="398"/>
        <v>NA</v>
      </c>
      <c r="AC1106" s="29" t="str">
        <f t="shared" si="399"/>
        <v>NA</v>
      </c>
      <c r="AD1106" s="29" t="str">
        <f t="shared" si="400"/>
        <v>NA</v>
      </c>
      <c r="AE1106" s="29" t="str">
        <f t="shared" si="401"/>
        <v>NA</v>
      </c>
      <c r="AF1106" s="29" t="str">
        <f t="shared" si="402"/>
        <v>NA</v>
      </c>
      <c r="AG1106" s="29" t="str">
        <f t="shared" si="403"/>
        <v>NA</v>
      </c>
      <c r="AH1106" s="29" t="str">
        <f t="shared" si="404"/>
        <v>NA</v>
      </c>
    </row>
    <row r="1107" customHeight="1" spans="1:34">
      <c r="A1107" s="12" t="s">
        <v>1043</v>
      </c>
      <c r="F1107" s="24">
        <f t="shared" si="386"/>
        <v>0</v>
      </c>
      <c r="G1107" s="24" t="e">
        <f t="shared" si="385"/>
        <v>#DIV/0!</v>
      </c>
      <c r="Q1107" s="29" t="str">
        <f t="shared" si="387"/>
        <v>NA</v>
      </c>
      <c r="R1107" s="29" t="str">
        <f t="shared" si="388"/>
        <v>NA</v>
      </c>
      <c r="S1107" s="29" t="str">
        <f t="shared" si="389"/>
        <v>NA</v>
      </c>
      <c r="T1107" s="29" t="str">
        <f t="shared" si="390"/>
        <v>NA</v>
      </c>
      <c r="U1107" s="29" t="str">
        <f t="shared" si="391"/>
        <v>NA</v>
      </c>
      <c r="V1107" s="29" t="str">
        <f t="shared" si="392"/>
        <v>NA</v>
      </c>
      <c r="W1107" s="29" t="str">
        <f t="shared" si="393"/>
        <v>NA</v>
      </c>
      <c r="X1107" s="29" t="str">
        <f t="shared" si="394"/>
        <v>NA</v>
      </c>
      <c r="Y1107" s="29" t="str">
        <f t="shared" si="395"/>
        <v>NA</v>
      </c>
      <c r="Z1107" s="29" t="str">
        <f t="shared" si="396"/>
        <v>NA</v>
      </c>
      <c r="AA1107" s="29" t="str">
        <f t="shared" si="397"/>
        <v>NA</v>
      </c>
      <c r="AB1107" s="29" t="str">
        <f t="shared" si="398"/>
        <v>NA</v>
      </c>
      <c r="AC1107" s="29" t="str">
        <f t="shared" si="399"/>
        <v>NA</v>
      </c>
      <c r="AD1107" s="29" t="str">
        <f t="shared" si="400"/>
        <v>NA</v>
      </c>
      <c r="AE1107" s="29" t="str">
        <f t="shared" si="401"/>
        <v>NA</v>
      </c>
      <c r="AF1107" s="29" t="str">
        <f t="shared" si="402"/>
        <v>NA</v>
      </c>
      <c r="AG1107" s="29" t="str">
        <f t="shared" si="403"/>
        <v>NA</v>
      </c>
      <c r="AH1107" s="29" t="str">
        <f t="shared" si="404"/>
        <v>NA</v>
      </c>
    </row>
    <row r="1108" customHeight="1" spans="1:34">
      <c r="A1108" s="12" t="s">
        <v>1043</v>
      </c>
      <c r="F1108" s="24">
        <f t="shared" si="386"/>
        <v>0</v>
      </c>
      <c r="G1108" s="24" t="e">
        <f t="shared" si="385"/>
        <v>#DIV/0!</v>
      </c>
      <c r="Q1108" s="29" t="str">
        <f t="shared" si="387"/>
        <v>NA</v>
      </c>
      <c r="R1108" s="29" t="str">
        <f t="shared" si="388"/>
        <v>NA</v>
      </c>
      <c r="S1108" s="29" t="str">
        <f t="shared" si="389"/>
        <v>NA</v>
      </c>
      <c r="T1108" s="29" t="str">
        <f t="shared" si="390"/>
        <v>NA</v>
      </c>
      <c r="U1108" s="29" t="str">
        <f t="shared" si="391"/>
        <v>NA</v>
      </c>
      <c r="V1108" s="29" t="str">
        <f t="shared" si="392"/>
        <v>NA</v>
      </c>
      <c r="W1108" s="29" t="str">
        <f t="shared" si="393"/>
        <v>NA</v>
      </c>
      <c r="X1108" s="29" t="str">
        <f t="shared" si="394"/>
        <v>NA</v>
      </c>
      <c r="Y1108" s="29" t="str">
        <f t="shared" si="395"/>
        <v>NA</v>
      </c>
      <c r="Z1108" s="29" t="str">
        <f t="shared" si="396"/>
        <v>NA</v>
      </c>
      <c r="AA1108" s="29" t="str">
        <f t="shared" si="397"/>
        <v>NA</v>
      </c>
      <c r="AB1108" s="29" t="str">
        <f t="shared" si="398"/>
        <v>NA</v>
      </c>
      <c r="AC1108" s="29" t="str">
        <f t="shared" si="399"/>
        <v>NA</v>
      </c>
      <c r="AD1108" s="29" t="str">
        <f t="shared" si="400"/>
        <v>NA</v>
      </c>
      <c r="AE1108" s="29" t="str">
        <f t="shared" si="401"/>
        <v>NA</v>
      </c>
      <c r="AF1108" s="29" t="str">
        <f t="shared" si="402"/>
        <v>NA</v>
      </c>
      <c r="AG1108" s="29" t="str">
        <f t="shared" si="403"/>
        <v>NA</v>
      </c>
      <c r="AH1108" s="29" t="str">
        <f t="shared" si="404"/>
        <v>NA</v>
      </c>
    </row>
    <row r="1109" customHeight="1" spans="1:34">
      <c r="A1109" s="12" t="s">
        <v>1043</v>
      </c>
      <c r="F1109" s="24">
        <f t="shared" si="386"/>
        <v>0</v>
      </c>
      <c r="G1109" s="24" t="e">
        <f t="shared" si="385"/>
        <v>#DIV/0!</v>
      </c>
      <c r="Q1109" s="29" t="str">
        <f t="shared" si="387"/>
        <v>NA</v>
      </c>
      <c r="R1109" s="29" t="str">
        <f t="shared" si="388"/>
        <v>NA</v>
      </c>
      <c r="S1109" s="29" t="str">
        <f t="shared" si="389"/>
        <v>NA</v>
      </c>
      <c r="T1109" s="29" t="str">
        <f t="shared" si="390"/>
        <v>NA</v>
      </c>
      <c r="U1109" s="29" t="str">
        <f t="shared" si="391"/>
        <v>NA</v>
      </c>
      <c r="V1109" s="29" t="str">
        <f t="shared" si="392"/>
        <v>NA</v>
      </c>
      <c r="W1109" s="29" t="str">
        <f t="shared" si="393"/>
        <v>NA</v>
      </c>
      <c r="X1109" s="29" t="str">
        <f t="shared" si="394"/>
        <v>NA</v>
      </c>
      <c r="Y1109" s="29" t="str">
        <f t="shared" si="395"/>
        <v>NA</v>
      </c>
      <c r="Z1109" s="29" t="str">
        <f t="shared" si="396"/>
        <v>NA</v>
      </c>
      <c r="AA1109" s="29" t="str">
        <f t="shared" si="397"/>
        <v>NA</v>
      </c>
      <c r="AB1109" s="29" t="str">
        <f t="shared" si="398"/>
        <v>NA</v>
      </c>
      <c r="AC1109" s="29" t="str">
        <f t="shared" si="399"/>
        <v>NA</v>
      </c>
      <c r="AD1109" s="29" t="str">
        <f t="shared" si="400"/>
        <v>NA</v>
      </c>
      <c r="AE1109" s="29" t="str">
        <f t="shared" si="401"/>
        <v>NA</v>
      </c>
      <c r="AF1109" s="29" t="str">
        <f t="shared" si="402"/>
        <v>NA</v>
      </c>
      <c r="AG1109" s="29" t="str">
        <f t="shared" si="403"/>
        <v>NA</v>
      </c>
      <c r="AH1109" s="29" t="str">
        <f t="shared" si="404"/>
        <v>NA</v>
      </c>
    </row>
    <row r="1110" customHeight="1" spans="1:34">
      <c r="A1110" s="12" t="s">
        <v>1043</v>
      </c>
      <c r="F1110" s="24">
        <f t="shared" si="386"/>
        <v>0</v>
      </c>
      <c r="G1110" s="24" t="e">
        <f t="shared" si="385"/>
        <v>#DIV/0!</v>
      </c>
      <c r="Q1110" s="29" t="str">
        <f t="shared" si="387"/>
        <v>NA</v>
      </c>
      <c r="R1110" s="29" t="str">
        <f t="shared" si="388"/>
        <v>NA</v>
      </c>
      <c r="S1110" s="29" t="str">
        <f t="shared" si="389"/>
        <v>NA</v>
      </c>
      <c r="T1110" s="29" t="str">
        <f t="shared" si="390"/>
        <v>NA</v>
      </c>
      <c r="U1110" s="29" t="str">
        <f t="shared" si="391"/>
        <v>NA</v>
      </c>
      <c r="V1110" s="29" t="str">
        <f t="shared" si="392"/>
        <v>NA</v>
      </c>
      <c r="W1110" s="29" t="str">
        <f t="shared" si="393"/>
        <v>NA</v>
      </c>
      <c r="X1110" s="29" t="str">
        <f t="shared" si="394"/>
        <v>NA</v>
      </c>
      <c r="Y1110" s="29" t="str">
        <f t="shared" si="395"/>
        <v>NA</v>
      </c>
      <c r="Z1110" s="29" t="str">
        <f t="shared" si="396"/>
        <v>NA</v>
      </c>
      <c r="AA1110" s="29" t="str">
        <f t="shared" si="397"/>
        <v>NA</v>
      </c>
      <c r="AB1110" s="29" t="str">
        <f t="shared" si="398"/>
        <v>NA</v>
      </c>
      <c r="AC1110" s="29" t="str">
        <f t="shared" si="399"/>
        <v>NA</v>
      </c>
      <c r="AD1110" s="29" t="str">
        <f t="shared" si="400"/>
        <v>NA</v>
      </c>
      <c r="AE1110" s="29" t="str">
        <f t="shared" si="401"/>
        <v>NA</v>
      </c>
      <c r="AF1110" s="29" t="str">
        <f t="shared" si="402"/>
        <v>NA</v>
      </c>
      <c r="AG1110" s="29" t="str">
        <f t="shared" si="403"/>
        <v>NA</v>
      </c>
      <c r="AH1110" s="29" t="str">
        <f t="shared" si="404"/>
        <v>NA</v>
      </c>
    </row>
    <row r="1111" customHeight="1" spans="1:34">
      <c r="A1111" s="12" t="s">
        <v>1043</v>
      </c>
      <c r="F1111" s="24">
        <f t="shared" si="386"/>
        <v>0</v>
      </c>
      <c r="G1111" s="24" t="e">
        <f t="shared" si="385"/>
        <v>#DIV/0!</v>
      </c>
      <c r="Q1111" s="29" t="str">
        <f t="shared" si="387"/>
        <v>NA</v>
      </c>
      <c r="R1111" s="29" t="str">
        <f t="shared" si="388"/>
        <v>NA</v>
      </c>
      <c r="S1111" s="29" t="str">
        <f t="shared" si="389"/>
        <v>NA</v>
      </c>
      <c r="T1111" s="29" t="str">
        <f t="shared" si="390"/>
        <v>NA</v>
      </c>
      <c r="U1111" s="29" t="str">
        <f t="shared" si="391"/>
        <v>NA</v>
      </c>
      <c r="V1111" s="29" t="str">
        <f t="shared" si="392"/>
        <v>NA</v>
      </c>
      <c r="W1111" s="29" t="str">
        <f t="shared" si="393"/>
        <v>NA</v>
      </c>
      <c r="X1111" s="29" t="str">
        <f t="shared" si="394"/>
        <v>NA</v>
      </c>
      <c r="Y1111" s="29" t="str">
        <f t="shared" si="395"/>
        <v>NA</v>
      </c>
      <c r="Z1111" s="29" t="str">
        <f t="shared" si="396"/>
        <v>NA</v>
      </c>
      <c r="AA1111" s="29" t="str">
        <f t="shared" si="397"/>
        <v>NA</v>
      </c>
      <c r="AB1111" s="29" t="str">
        <f t="shared" si="398"/>
        <v>NA</v>
      </c>
      <c r="AC1111" s="29" t="str">
        <f t="shared" si="399"/>
        <v>NA</v>
      </c>
      <c r="AD1111" s="29" t="str">
        <f t="shared" si="400"/>
        <v>NA</v>
      </c>
      <c r="AE1111" s="29" t="str">
        <f t="shared" si="401"/>
        <v>NA</v>
      </c>
      <c r="AF1111" s="29" t="str">
        <f t="shared" si="402"/>
        <v>NA</v>
      </c>
      <c r="AG1111" s="29" t="str">
        <f t="shared" si="403"/>
        <v>NA</v>
      </c>
      <c r="AH1111" s="29" t="str">
        <f t="shared" si="404"/>
        <v>NA</v>
      </c>
    </row>
    <row r="1112" customHeight="1" spans="1:34">
      <c r="A1112" s="12" t="s">
        <v>1043</v>
      </c>
      <c r="F1112" s="24">
        <f t="shared" si="386"/>
        <v>0</v>
      </c>
      <c r="G1112" s="24" t="e">
        <f t="shared" si="385"/>
        <v>#DIV/0!</v>
      </c>
      <c r="Q1112" s="29" t="str">
        <f t="shared" si="387"/>
        <v>NA</v>
      </c>
      <c r="R1112" s="29" t="str">
        <f t="shared" si="388"/>
        <v>NA</v>
      </c>
      <c r="S1112" s="29" t="str">
        <f t="shared" si="389"/>
        <v>NA</v>
      </c>
      <c r="T1112" s="29" t="str">
        <f t="shared" si="390"/>
        <v>NA</v>
      </c>
      <c r="U1112" s="29" t="str">
        <f t="shared" si="391"/>
        <v>NA</v>
      </c>
      <c r="V1112" s="29" t="str">
        <f t="shared" si="392"/>
        <v>NA</v>
      </c>
      <c r="W1112" s="29" t="str">
        <f t="shared" si="393"/>
        <v>NA</v>
      </c>
      <c r="X1112" s="29" t="str">
        <f t="shared" si="394"/>
        <v>NA</v>
      </c>
      <c r="Y1112" s="29" t="str">
        <f t="shared" si="395"/>
        <v>NA</v>
      </c>
      <c r="Z1112" s="29" t="str">
        <f t="shared" si="396"/>
        <v>NA</v>
      </c>
      <c r="AA1112" s="29" t="str">
        <f t="shared" si="397"/>
        <v>NA</v>
      </c>
      <c r="AB1112" s="29" t="str">
        <f t="shared" si="398"/>
        <v>NA</v>
      </c>
      <c r="AC1112" s="29" t="str">
        <f t="shared" si="399"/>
        <v>NA</v>
      </c>
      <c r="AD1112" s="29" t="str">
        <f t="shared" si="400"/>
        <v>NA</v>
      </c>
      <c r="AE1112" s="29" t="str">
        <f t="shared" si="401"/>
        <v>NA</v>
      </c>
      <c r="AF1112" s="29" t="str">
        <f t="shared" si="402"/>
        <v>NA</v>
      </c>
      <c r="AG1112" s="29" t="str">
        <f t="shared" si="403"/>
        <v>NA</v>
      </c>
      <c r="AH1112" s="29" t="str">
        <f t="shared" si="404"/>
        <v>NA</v>
      </c>
    </row>
    <row r="1113" customHeight="1" spans="1:34">
      <c r="A1113" s="12" t="s">
        <v>1043</v>
      </c>
      <c r="F1113" s="24">
        <f t="shared" si="386"/>
        <v>0</v>
      </c>
      <c r="G1113" s="24" t="e">
        <f t="shared" si="385"/>
        <v>#DIV/0!</v>
      </c>
      <c r="Q1113" s="29" t="str">
        <f t="shared" si="387"/>
        <v>NA</v>
      </c>
      <c r="R1113" s="29" t="str">
        <f t="shared" si="388"/>
        <v>NA</v>
      </c>
      <c r="S1113" s="29" t="str">
        <f t="shared" si="389"/>
        <v>NA</v>
      </c>
      <c r="T1113" s="29" t="str">
        <f t="shared" si="390"/>
        <v>NA</v>
      </c>
      <c r="U1113" s="29" t="str">
        <f t="shared" si="391"/>
        <v>NA</v>
      </c>
      <c r="V1113" s="29" t="str">
        <f t="shared" si="392"/>
        <v>NA</v>
      </c>
      <c r="W1113" s="29" t="str">
        <f t="shared" si="393"/>
        <v>NA</v>
      </c>
      <c r="X1113" s="29" t="str">
        <f t="shared" si="394"/>
        <v>NA</v>
      </c>
      <c r="Y1113" s="29" t="str">
        <f t="shared" si="395"/>
        <v>NA</v>
      </c>
      <c r="Z1113" s="29" t="str">
        <f t="shared" si="396"/>
        <v>NA</v>
      </c>
      <c r="AA1113" s="29" t="str">
        <f t="shared" si="397"/>
        <v>NA</v>
      </c>
      <c r="AB1113" s="29" t="str">
        <f t="shared" si="398"/>
        <v>NA</v>
      </c>
      <c r="AC1113" s="29" t="str">
        <f t="shared" si="399"/>
        <v>NA</v>
      </c>
      <c r="AD1113" s="29" t="str">
        <f t="shared" si="400"/>
        <v>NA</v>
      </c>
      <c r="AE1113" s="29" t="str">
        <f t="shared" si="401"/>
        <v>NA</v>
      </c>
      <c r="AF1113" s="29" t="str">
        <f t="shared" si="402"/>
        <v>NA</v>
      </c>
      <c r="AG1113" s="29" t="str">
        <f t="shared" si="403"/>
        <v>NA</v>
      </c>
      <c r="AH1113" s="29" t="str">
        <f t="shared" si="404"/>
        <v>NA</v>
      </c>
    </row>
    <row r="1114" customHeight="1" spans="1:34">
      <c r="A1114" s="12" t="s">
        <v>1043</v>
      </c>
      <c r="F1114" s="24">
        <f t="shared" si="386"/>
        <v>0</v>
      </c>
      <c r="G1114" s="24" t="e">
        <f t="shared" si="385"/>
        <v>#DIV/0!</v>
      </c>
      <c r="Q1114" s="29" t="str">
        <f t="shared" si="387"/>
        <v>NA</v>
      </c>
      <c r="R1114" s="29" t="str">
        <f t="shared" si="388"/>
        <v>NA</v>
      </c>
      <c r="S1114" s="29" t="str">
        <f t="shared" si="389"/>
        <v>NA</v>
      </c>
      <c r="T1114" s="29" t="str">
        <f t="shared" si="390"/>
        <v>NA</v>
      </c>
      <c r="U1114" s="29" t="str">
        <f t="shared" si="391"/>
        <v>NA</v>
      </c>
      <c r="V1114" s="29" t="str">
        <f t="shared" si="392"/>
        <v>NA</v>
      </c>
      <c r="W1114" s="29" t="str">
        <f t="shared" si="393"/>
        <v>NA</v>
      </c>
      <c r="X1114" s="29" t="str">
        <f t="shared" si="394"/>
        <v>NA</v>
      </c>
      <c r="Y1114" s="29" t="str">
        <f t="shared" si="395"/>
        <v>NA</v>
      </c>
      <c r="Z1114" s="29" t="str">
        <f t="shared" si="396"/>
        <v>NA</v>
      </c>
      <c r="AA1114" s="29" t="str">
        <f t="shared" si="397"/>
        <v>NA</v>
      </c>
      <c r="AB1114" s="29" t="str">
        <f t="shared" si="398"/>
        <v>NA</v>
      </c>
      <c r="AC1114" s="29" t="str">
        <f t="shared" si="399"/>
        <v>NA</v>
      </c>
      <c r="AD1114" s="29" t="str">
        <f t="shared" si="400"/>
        <v>NA</v>
      </c>
      <c r="AE1114" s="29" t="str">
        <f t="shared" si="401"/>
        <v>NA</v>
      </c>
      <c r="AF1114" s="29" t="str">
        <f t="shared" si="402"/>
        <v>NA</v>
      </c>
      <c r="AG1114" s="29" t="str">
        <f t="shared" si="403"/>
        <v>NA</v>
      </c>
      <c r="AH1114" s="29" t="str">
        <f t="shared" si="404"/>
        <v>NA</v>
      </c>
    </row>
    <row r="1115" customHeight="1" spans="1:34">
      <c r="A1115" s="12" t="s">
        <v>1043</v>
      </c>
      <c r="F1115" s="24">
        <f t="shared" si="386"/>
        <v>0</v>
      </c>
      <c r="G1115" s="24" t="e">
        <f t="shared" si="385"/>
        <v>#DIV/0!</v>
      </c>
      <c r="Q1115" s="29" t="str">
        <f t="shared" si="387"/>
        <v>NA</v>
      </c>
      <c r="R1115" s="29" t="str">
        <f t="shared" si="388"/>
        <v>NA</v>
      </c>
      <c r="S1115" s="29" t="str">
        <f t="shared" si="389"/>
        <v>NA</v>
      </c>
      <c r="T1115" s="29" t="str">
        <f t="shared" si="390"/>
        <v>NA</v>
      </c>
      <c r="U1115" s="29" t="str">
        <f t="shared" si="391"/>
        <v>NA</v>
      </c>
      <c r="V1115" s="29" t="str">
        <f t="shared" si="392"/>
        <v>NA</v>
      </c>
      <c r="W1115" s="29" t="str">
        <f t="shared" si="393"/>
        <v>NA</v>
      </c>
      <c r="X1115" s="29" t="str">
        <f t="shared" si="394"/>
        <v>NA</v>
      </c>
      <c r="Y1115" s="29" t="str">
        <f t="shared" si="395"/>
        <v>NA</v>
      </c>
      <c r="Z1115" s="29" t="str">
        <f t="shared" si="396"/>
        <v>NA</v>
      </c>
      <c r="AA1115" s="29" t="str">
        <f t="shared" si="397"/>
        <v>NA</v>
      </c>
      <c r="AB1115" s="29" t="str">
        <f t="shared" si="398"/>
        <v>NA</v>
      </c>
      <c r="AC1115" s="29" t="str">
        <f t="shared" si="399"/>
        <v>NA</v>
      </c>
      <c r="AD1115" s="29" t="str">
        <f t="shared" si="400"/>
        <v>NA</v>
      </c>
      <c r="AE1115" s="29" t="str">
        <f t="shared" si="401"/>
        <v>NA</v>
      </c>
      <c r="AF1115" s="29" t="str">
        <f t="shared" si="402"/>
        <v>NA</v>
      </c>
      <c r="AG1115" s="29" t="str">
        <f t="shared" si="403"/>
        <v>NA</v>
      </c>
      <c r="AH1115" s="29" t="str">
        <f t="shared" si="404"/>
        <v>NA</v>
      </c>
    </row>
    <row r="1116" customHeight="1" spans="1:34">
      <c r="A1116" s="12" t="s">
        <v>1043</v>
      </c>
      <c r="F1116" s="24">
        <f t="shared" si="386"/>
        <v>0</v>
      </c>
      <c r="G1116" s="24" t="e">
        <f t="shared" si="385"/>
        <v>#DIV/0!</v>
      </c>
      <c r="Q1116" s="29" t="str">
        <f t="shared" si="387"/>
        <v>NA</v>
      </c>
      <c r="R1116" s="29" t="str">
        <f t="shared" si="388"/>
        <v>NA</v>
      </c>
      <c r="S1116" s="29" t="str">
        <f t="shared" si="389"/>
        <v>NA</v>
      </c>
      <c r="T1116" s="29" t="str">
        <f t="shared" si="390"/>
        <v>NA</v>
      </c>
      <c r="U1116" s="29" t="str">
        <f t="shared" si="391"/>
        <v>NA</v>
      </c>
      <c r="V1116" s="29" t="str">
        <f t="shared" si="392"/>
        <v>NA</v>
      </c>
      <c r="W1116" s="29" t="str">
        <f t="shared" si="393"/>
        <v>NA</v>
      </c>
      <c r="X1116" s="29" t="str">
        <f t="shared" si="394"/>
        <v>NA</v>
      </c>
      <c r="Y1116" s="29" t="str">
        <f t="shared" si="395"/>
        <v>NA</v>
      </c>
      <c r="Z1116" s="29" t="str">
        <f t="shared" si="396"/>
        <v>NA</v>
      </c>
      <c r="AA1116" s="29" t="str">
        <f t="shared" si="397"/>
        <v>NA</v>
      </c>
      <c r="AB1116" s="29" t="str">
        <f t="shared" si="398"/>
        <v>NA</v>
      </c>
      <c r="AC1116" s="29" t="str">
        <f t="shared" si="399"/>
        <v>NA</v>
      </c>
      <c r="AD1116" s="29" t="str">
        <f t="shared" si="400"/>
        <v>NA</v>
      </c>
      <c r="AE1116" s="29" t="str">
        <f t="shared" si="401"/>
        <v>NA</v>
      </c>
      <c r="AF1116" s="29" t="str">
        <f t="shared" si="402"/>
        <v>NA</v>
      </c>
      <c r="AG1116" s="29" t="str">
        <f t="shared" si="403"/>
        <v>NA</v>
      </c>
      <c r="AH1116" s="29" t="str">
        <f t="shared" si="404"/>
        <v>NA</v>
      </c>
    </row>
    <row r="1117" customHeight="1" spans="1:34">
      <c r="A1117" s="12" t="s">
        <v>1043</v>
      </c>
      <c r="F1117" s="24">
        <f t="shared" si="386"/>
        <v>0</v>
      </c>
      <c r="G1117" s="24" t="e">
        <f t="shared" si="385"/>
        <v>#DIV/0!</v>
      </c>
      <c r="Q1117" s="29" t="str">
        <f t="shared" si="387"/>
        <v>NA</v>
      </c>
      <c r="R1117" s="29" t="str">
        <f t="shared" si="388"/>
        <v>NA</v>
      </c>
      <c r="S1117" s="29" t="str">
        <f t="shared" si="389"/>
        <v>NA</v>
      </c>
      <c r="T1117" s="29" t="str">
        <f t="shared" si="390"/>
        <v>NA</v>
      </c>
      <c r="U1117" s="29" t="str">
        <f t="shared" si="391"/>
        <v>NA</v>
      </c>
      <c r="V1117" s="29" t="str">
        <f t="shared" si="392"/>
        <v>NA</v>
      </c>
      <c r="W1117" s="29" t="str">
        <f t="shared" si="393"/>
        <v>NA</v>
      </c>
      <c r="X1117" s="29" t="str">
        <f t="shared" si="394"/>
        <v>NA</v>
      </c>
      <c r="Y1117" s="29" t="str">
        <f t="shared" si="395"/>
        <v>NA</v>
      </c>
      <c r="Z1117" s="29" t="str">
        <f t="shared" si="396"/>
        <v>NA</v>
      </c>
      <c r="AA1117" s="29" t="str">
        <f t="shared" si="397"/>
        <v>NA</v>
      </c>
      <c r="AB1117" s="29" t="str">
        <f t="shared" si="398"/>
        <v>NA</v>
      </c>
      <c r="AC1117" s="29" t="str">
        <f t="shared" si="399"/>
        <v>NA</v>
      </c>
      <c r="AD1117" s="29" t="str">
        <f t="shared" si="400"/>
        <v>NA</v>
      </c>
      <c r="AE1117" s="29" t="str">
        <f t="shared" si="401"/>
        <v>NA</v>
      </c>
      <c r="AF1117" s="29" t="str">
        <f t="shared" si="402"/>
        <v>NA</v>
      </c>
      <c r="AG1117" s="29" t="str">
        <f t="shared" si="403"/>
        <v>NA</v>
      </c>
      <c r="AH1117" s="29" t="str">
        <f t="shared" si="404"/>
        <v>NA</v>
      </c>
    </row>
    <row r="1118" customHeight="1" spans="1:34">
      <c r="A1118" s="12" t="s">
        <v>1043</v>
      </c>
      <c r="F1118" s="24">
        <f t="shared" si="386"/>
        <v>0</v>
      </c>
      <c r="G1118" s="24" t="e">
        <f t="shared" si="385"/>
        <v>#DIV/0!</v>
      </c>
      <c r="Q1118" s="29" t="str">
        <f t="shared" si="387"/>
        <v>NA</v>
      </c>
      <c r="R1118" s="29" t="str">
        <f t="shared" si="388"/>
        <v>NA</v>
      </c>
      <c r="S1118" s="29" t="str">
        <f t="shared" si="389"/>
        <v>NA</v>
      </c>
      <c r="T1118" s="29" t="str">
        <f t="shared" si="390"/>
        <v>NA</v>
      </c>
      <c r="U1118" s="29" t="str">
        <f t="shared" si="391"/>
        <v>NA</v>
      </c>
      <c r="V1118" s="29" t="str">
        <f t="shared" si="392"/>
        <v>NA</v>
      </c>
      <c r="W1118" s="29" t="str">
        <f t="shared" si="393"/>
        <v>NA</v>
      </c>
      <c r="X1118" s="29" t="str">
        <f t="shared" si="394"/>
        <v>NA</v>
      </c>
      <c r="Y1118" s="29" t="str">
        <f t="shared" si="395"/>
        <v>NA</v>
      </c>
      <c r="Z1118" s="29" t="str">
        <f t="shared" si="396"/>
        <v>NA</v>
      </c>
      <c r="AA1118" s="29" t="str">
        <f t="shared" si="397"/>
        <v>NA</v>
      </c>
      <c r="AB1118" s="29" t="str">
        <f t="shared" si="398"/>
        <v>NA</v>
      </c>
      <c r="AC1118" s="29" t="str">
        <f t="shared" si="399"/>
        <v>NA</v>
      </c>
      <c r="AD1118" s="29" t="str">
        <f t="shared" si="400"/>
        <v>NA</v>
      </c>
      <c r="AE1118" s="29" t="str">
        <f t="shared" si="401"/>
        <v>NA</v>
      </c>
      <c r="AF1118" s="29" t="str">
        <f t="shared" si="402"/>
        <v>NA</v>
      </c>
      <c r="AG1118" s="29" t="str">
        <f t="shared" si="403"/>
        <v>NA</v>
      </c>
      <c r="AH1118" s="29" t="str">
        <f t="shared" si="404"/>
        <v>NA</v>
      </c>
    </row>
    <row r="1119" customHeight="1" spans="1:34">
      <c r="A1119" s="12" t="s">
        <v>1043</v>
      </c>
      <c r="F1119" s="24">
        <f t="shared" si="386"/>
        <v>0</v>
      </c>
      <c r="G1119" s="24" t="e">
        <f t="shared" si="385"/>
        <v>#DIV/0!</v>
      </c>
      <c r="Q1119" s="29" t="str">
        <f t="shared" si="387"/>
        <v>NA</v>
      </c>
      <c r="R1119" s="29" t="str">
        <f t="shared" si="388"/>
        <v>NA</v>
      </c>
      <c r="S1119" s="29" t="str">
        <f t="shared" si="389"/>
        <v>NA</v>
      </c>
      <c r="T1119" s="29" t="str">
        <f t="shared" si="390"/>
        <v>NA</v>
      </c>
      <c r="U1119" s="29" t="str">
        <f t="shared" si="391"/>
        <v>NA</v>
      </c>
      <c r="V1119" s="29" t="str">
        <f t="shared" si="392"/>
        <v>NA</v>
      </c>
      <c r="W1119" s="29" t="str">
        <f t="shared" si="393"/>
        <v>NA</v>
      </c>
      <c r="X1119" s="29" t="str">
        <f t="shared" si="394"/>
        <v>NA</v>
      </c>
      <c r="Y1119" s="29" t="str">
        <f t="shared" si="395"/>
        <v>NA</v>
      </c>
      <c r="Z1119" s="29" t="str">
        <f t="shared" si="396"/>
        <v>NA</v>
      </c>
      <c r="AA1119" s="29" t="str">
        <f t="shared" si="397"/>
        <v>NA</v>
      </c>
      <c r="AB1119" s="29" t="str">
        <f t="shared" si="398"/>
        <v>NA</v>
      </c>
      <c r="AC1119" s="29" t="str">
        <f t="shared" si="399"/>
        <v>NA</v>
      </c>
      <c r="AD1119" s="29" t="str">
        <f t="shared" si="400"/>
        <v>NA</v>
      </c>
      <c r="AE1119" s="29" t="str">
        <f t="shared" si="401"/>
        <v>NA</v>
      </c>
      <c r="AF1119" s="29" t="str">
        <f t="shared" si="402"/>
        <v>NA</v>
      </c>
      <c r="AG1119" s="29" t="str">
        <f t="shared" si="403"/>
        <v>NA</v>
      </c>
      <c r="AH1119" s="29" t="str">
        <f t="shared" si="404"/>
        <v>NA</v>
      </c>
    </row>
    <row r="1120" customHeight="1" spans="1:34">
      <c r="A1120" s="12" t="s">
        <v>1043</v>
      </c>
      <c r="F1120" s="24">
        <f t="shared" si="386"/>
        <v>0</v>
      </c>
      <c r="G1120" s="24" t="e">
        <f t="shared" si="385"/>
        <v>#DIV/0!</v>
      </c>
      <c r="Q1120" s="29" t="str">
        <f t="shared" si="387"/>
        <v>NA</v>
      </c>
      <c r="R1120" s="29" t="str">
        <f t="shared" si="388"/>
        <v>NA</v>
      </c>
      <c r="S1120" s="29" t="str">
        <f t="shared" si="389"/>
        <v>NA</v>
      </c>
      <c r="T1120" s="29" t="str">
        <f t="shared" si="390"/>
        <v>NA</v>
      </c>
      <c r="U1120" s="29" t="str">
        <f t="shared" si="391"/>
        <v>NA</v>
      </c>
      <c r="V1120" s="29" t="str">
        <f t="shared" si="392"/>
        <v>NA</v>
      </c>
      <c r="W1120" s="29" t="str">
        <f t="shared" si="393"/>
        <v>NA</v>
      </c>
      <c r="X1120" s="29" t="str">
        <f t="shared" si="394"/>
        <v>NA</v>
      </c>
      <c r="Y1120" s="29" t="str">
        <f t="shared" si="395"/>
        <v>NA</v>
      </c>
      <c r="Z1120" s="29" t="str">
        <f t="shared" si="396"/>
        <v>NA</v>
      </c>
      <c r="AA1120" s="29" t="str">
        <f t="shared" si="397"/>
        <v>NA</v>
      </c>
      <c r="AB1120" s="29" t="str">
        <f t="shared" si="398"/>
        <v>NA</v>
      </c>
      <c r="AC1120" s="29" t="str">
        <f t="shared" si="399"/>
        <v>NA</v>
      </c>
      <c r="AD1120" s="29" t="str">
        <f t="shared" si="400"/>
        <v>NA</v>
      </c>
      <c r="AE1120" s="29" t="str">
        <f t="shared" si="401"/>
        <v>NA</v>
      </c>
      <c r="AF1120" s="29" t="str">
        <f t="shared" si="402"/>
        <v>NA</v>
      </c>
      <c r="AG1120" s="29" t="str">
        <f t="shared" si="403"/>
        <v>NA</v>
      </c>
      <c r="AH1120" s="29" t="str">
        <f t="shared" si="404"/>
        <v>NA</v>
      </c>
    </row>
    <row r="1121" customHeight="1" spans="1:34">
      <c r="A1121" s="12" t="s">
        <v>1043</v>
      </c>
      <c r="F1121" s="24">
        <f t="shared" si="386"/>
        <v>0</v>
      </c>
      <c r="G1121" s="24" t="e">
        <f t="shared" si="385"/>
        <v>#DIV/0!</v>
      </c>
      <c r="Q1121" s="29" t="str">
        <f t="shared" si="387"/>
        <v>NA</v>
      </c>
      <c r="R1121" s="29" t="str">
        <f t="shared" si="388"/>
        <v>NA</v>
      </c>
      <c r="S1121" s="29" t="str">
        <f t="shared" si="389"/>
        <v>NA</v>
      </c>
      <c r="T1121" s="29" t="str">
        <f t="shared" si="390"/>
        <v>NA</v>
      </c>
      <c r="U1121" s="29" t="str">
        <f t="shared" si="391"/>
        <v>NA</v>
      </c>
      <c r="V1121" s="29" t="str">
        <f t="shared" si="392"/>
        <v>NA</v>
      </c>
      <c r="W1121" s="29" t="str">
        <f t="shared" si="393"/>
        <v>NA</v>
      </c>
      <c r="X1121" s="29" t="str">
        <f t="shared" si="394"/>
        <v>NA</v>
      </c>
      <c r="Y1121" s="29" t="str">
        <f t="shared" si="395"/>
        <v>NA</v>
      </c>
      <c r="Z1121" s="29" t="str">
        <f t="shared" si="396"/>
        <v>NA</v>
      </c>
      <c r="AA1121" s="29" t="str">
        <f t="shared" si="397"/>
        <v>NA</v>
      </c>
      <c r="AB1121" s="29" t="str">
        <f t="shared" si="398"/>
        <v>NA</v>
      </c>
      <c r="AC1121" s="29" t="str">
        <f t="shared" si="399"/>
        <v>NA</v>
      </c>
      <c r="AD1121" s="29" t="str">
        <f t="shared" si="400"/>
        <v>NA</v>
      </c>
      <c r="AE1121" s="29" t="str">
        <f t="shared" si="401"/>
        <v>NA</v>
      </c>
      <c r="AF1121" s="29" t="str">
        <f t="shared" si="402"/>
        <v>NA</v>
      </c>
      <c r="AG1121" s="29" t="str">
        <f t="shared" si="403"/>
        <v>NA</v>
      </c>
      <c r="AH1121" s="29" t="str">
        <f t="shared" si="404"/>
        <v>NA</v>
      </c>
    </row>
    <row r="1122" customHeight="1" spans="1:34">
      <c r="A1122" s="12" t="s">
        <v>1043</v>
      </c>
      <c r="F1122" s="24">
        <f t="shared" si="386"/>
        <v>0</v>
      </c>
      <c r="G1122" s="24" t="e">
        <f t="shared" si="385"/>
        <v>#DIV/0!</v>
      </c>
      <c r="Q1122" s="29" t="str">
        <f t="shared" si="387"/>
        <v>NA</v>
      </c>
      <c r="R1122" s="29" t="str">
        <f t="shared" si="388"/>
        <v>NA</v>
      </c>
      <c r="S1122" s="29" t="str">
        <f t="shared" si="389"/>
        <v>NA</v>
      </c>
      <c r="T1122" s="29" t="str">
        <f t="shared" si="390"/>
        <v>NA</v>
      </c>
      <c r="U1122" s="29" t="str">
        <f t="shared" si="391"/>
        <v>NA</v>
      </c>
      <c r="V1122" s="29" t="str">
        <f t="shared" si="392"/>
        <v>NA</v>
      </c>
      <c r="W1122" s="29" t="str">
        <f t="shared" si="393"/>
        <v>NA</v>
      </c>
      <c r="X1122" s="29" t="str">
        <f t="shared" si="394"/>
        <v>NA</v>
      </c>
      <c r="Y1122" s="29" t="str">
        <f t="shared" si="395"/>
        <v>NA</v>
      </c>
      <c r="Z1122" s="29" t="str">
        <f t="shared" si="396"/>
        <v>NA</v>
      </c>
      <c r="AA1122" s="29" t="str">
        <f t="shared" si="397"/>
        <v>NA</v>
      </c>
      <c r="AB1122" s="29" t="str">
        <f t="shared" si="398"/>
        <v>NA</v>
      </c>
      <c r="AC1122" s="29" t="str">
        <f t="shared" si="399"/>
        <v>NA</v>
      </c>
      <c r="AD1122" s="29" t="str">
        <f t="shared" si="400"/>
        <v>NA</v>
      </c>
      <c r="AE1122" s="29" t="str">
        <f t="shared" si="401"/>
        <v>NA</v>
      </c>
      <c r="AF1122" s="29" t="str">
        <f t="shared" si="402"/>
        <v>NA</v>
      </c>
      <c r="AG1122" s="29" t="str">
        <f t="shared" si="403"/>
        <v>NA</v>
      </c>
      <c r="AH1122" s="29" t="str">
        <f t="shared" si="404"/>
        <v>NA</v>
      </c>
    </row>
    <row r="1123" customHeight="1" spans="1:34">
      <c r="A1123" s="12" t="s">
        <v>1043</v>
      </c>
      <c r="F1123" s="24">
        <f t="shared" si="386"/>
        <v>0</v>
      </c>
      <c r="G1123" s="24" t="e">
        <f t="shared" si="385"/>
        <v>#DIV/0!</v>
      </c>
      <c r="Q1123" s="29" t="str">
        <f t="shared" si="387"/>
        <v>NA</v>
      </c>
      <c r="R1123" s="29" t="str">
        <f t="shared" si="388"/>
        <v>NA</v>
      </c>
      <c r="S1123" s="29" t="str">
        <f t="shared" si="389"/>
        <v>NA</v>
      </c>
      <c r="T1123" s="29" t="str">
        <f t="shared" si="390"/>
        <v>NA</v>
      </c>
      <c r="U1123" s="29" t="str">
        <f t="shared" si="391"/>
        <v>NA</v>
      </c>
      <c r="V1123" s="29" t="str">
        <f t="shared" si="392"/>
        <v>NA</v>
      </c>
      <c r="W1123" s="29" t="str">
        <f t="shared" si="393"/>
        <v>NA</v>
      </c>
      <c r="X1123" s="29" t="str">
        <f t="shared" si="394"/>
        <v>NA</v>
      </c>
      <c r="Y1123" s="29" t="str">
        <f t="shared" si="395"/>
        <v>NA</v>
      </c>
      <c r="Z1123" s="29" t="str">
        <f t="shared" si="396"/>
        <v>NA</v>
      </c>
      <c r="AA1123" s="29" t="str">
        <f t="shared" si="397"/>
        <v>NA</v>
      </c>
      <c r="AB1123" s="29" t="str">
        <f t="shared" si="398"/>
        <v>NA</v>
      </c>
      <c r="AC1123" s="29" t="str">
        <f t="shared" si="399"/>
        <v>NA</v>
      </c>
      <c r="AD1123" s="29" t="str">
        <f t="shared" si="400"/>
        <v>NA</v>
      </c>
      <c r="AE1123" s="29" t="str">
        <f t="shared" si="401"/>
        <v>NA</v>
      </c>
      <c r="AF1123" s="29" t="str">
        <f t="shared" si="402"/>
        <v>NA</v>
      </c>
      <c r="AG1123" s="29" t="str">
        <f t="shared" si="403"/>
        <v>NA</v>
      </c>
      <c r="AH1123" s="29" t="str">
        <f t="shared" si="404"/>
        <v>NA</v>
      </c>
    </row>
    <row r="1124" customHeight="1" spans="1:34">
      <c r="A1124" s="12" t="s">
        <v>1043</v>
      </c>
      <c r="F1124" s="24">
        <f t="shared" si="386"/>
        <v>0</v>
      </c>
      <c r="G1124" s="24" t="e">
        <f t="shared" si="385"/>
        <v>#DIV/0!</v>
      </c>
      <c r="Q1124" s="29" t="str">
        <f t="shared" si="387"/>
        <v>NA</v>
      </c>
      <c r="R1124" s="29" t="str">
        <f t="shared" si="388"/>
        <v>NA</v>
      </c>
      <c r="S1124" s="29" t="str">
        <f t="shared" si="389"/>
        <v>NA</v>
      </c>
      <c r="T1124" s="29" t="str">
        <f t="shared" si="390"/>
        <v>NA</v>
      </c>
      <c r="U1124" s="29" t="str">
        <f t="shared" si="391"/>
        <v>NA</v>
      </c>
      <c r="V1124" s="29" t="str">
        <f t="shared" si="392"/>
        <v>NA</v>
      </c>
      <c r="W1124" s="29" t="str">
        <f t="shared" si="393"/>
        <v>NA</v>
      </c>
      <c r="X1124" s="29" t="str">
        <f t="shared" si="394"/>
        <v>NA</v>
      </c>
      <c r="Y1124" s="29" t="str">
        <f t="shared" si="395"/>
        <v>NA</v>
      </c>
      <c r="Z1124" s="29" t="str">
        <f t="shared" si="396"/>
        <v>NA</v>
      </c>
      <c r="AA1124" s="29" t="str">
        <f t="shared" si="397"/>
        <v>NA</v>
      </c>
      <c r="AB1124" s="29" t="str">
        <f t="shared" si="398"/>
        <v>NA</v>
      </c>
      <c r="AC1124" s="29" t="str">
        <f t="shared" si="399"/>
        <v>NA</v>
      </c>
      <c r="AD1124" s="29" t="str">
        <f t="shared" si="400"/>
        <v>NA</v>
      </c>
      <c r="AE1124" s="29" t="str">
        <f t="shared" si="401"/>
        <v>NA</v>
      </c>
      <c r="AF1124" s="29" t="str">
        <f t="shared" si="402"/>
        <v>NA</v>
      </c>
      <c r="AG1124" s="29" t="str">
        <f t="shared" si="403"/>
        <v>NA</v>
      </c>
      <c r="AH1124" s="29" t="str">
        <f t="shared" si="404"/>
        <v>NA</v>
      </c>
    </row>
    <row r="1125" customHeight="1" spans="1:34">
      <c r="A1125" s="12" t="s">
        <v>1043</v>
      </c>
      <c r="F1125" s="24">
        <f t="shared" si="386"/>
        <v>0</v>
      </c>
      <c r="G1125" s="24" t="e">
        <f t="shared" si="385"/>
        <v>#DIV/0!</v>
      </c>
      <c r="Q1125" s="29" t="str">
        <f t="shared" si="387"/>
        <v>NA</v>
      </c>
      <c r="R1125" s="29" t="str">
        <f t="shared" si="388"/>
        <v>NA</v>
      </c>
      <c r="S1125" s="29" t="str">
        <f t="shared" si="389"/>
        <v>NA</v>
      </c>
      <c r="T1125" s="29" t="str">
        <f t="shared" si="390"/>
        <v>NA</v>
      </c>
      <c r="U1125" s="29" t="str">
        <f t="shared" si="391"/>
        <v>NA</v>
      </c>
      <c r="V1125" s="29" t="str">
        <f t="shared" si="392"/>
        <v>NA</v>
      </c>
      <c r="W1125" s="29" t="str">
        <f t="shared" si="393"/>
        <v>NA</v>
      </c>
      <c r="X1125" s="29" t="str">
        <f t="shared" si="394"/>
        <v>NA</v>
      </c>
      <c r="Y1125" s="29" t="str">
        <f t="shared" si="395"/>
        <v>NA</v>
      </c>
      <c r="Z1125" s="29" t="str">
        <f t="shared" si="396"/>
        <v>NA</v>
      </c>
      <c r="AA1125" s="29" t="str">
        <f t="shared" si="397"/>
        <v>NA</v>
      </c>
      <c r="AB1125" s="29" t="str">
        <f t="shared" si="398"/>
        <v>NA</v>
      </c>
      <c r="AC1125" s="29" t="str">
        <f t="shared" si="399"/>
        <v>NA</v>
      </c>
      <c r="AD1125" s="29" t="str">
        <f t="shared" si="400"/>
        <v>NA</v>
      </c>
      <c r="AE1125" s="29" t="str">
        <f t="shared" si="401"/>
        <v>NA</v>
      </c>
      <c r="AF1125" s="29" t="str">
        <f t="shared" si="402"/>
        <v>NA</v>
      </c>
      <c r="AG1125" s="29" t="str">
        <f t="shared" si="403"/>
        <v>NA</v>
      </c>
      <c r="AH1125" s="29" t="str">
        <f t="shared" si="404"/>
        <v>NA</v>
      </c>
    </row>
    <row r="1126" customHeight="1" spans="1:34">
      <c r="A1126" s="12" t="s">
        <v>1043</v>
      </c>
      <c r="F1126" s="24">
        <f t="shared" si="386"/>
        <v>0</v>
      </c>
      <c r="G1126" s="24" t="e">
        <f t="shared" si="385"/>
        <v>#DIV/0!</v>
      </c>
      <c r="Q1126" s="29" t="str">
        <f t="shared" si="387"/>
        <v>NA</v>
      </c>
      <c r="R1126" s="29" t="str">
        <f t="shared" si="388"/>
        <v>NA</v>
      </c>
      <c r="S1126" s="29" t="str">
        <f t="shared" si="389"/>
        <v>NA</v>
      </c>
      <c r="T1126" s="29" t="str">
        <f t="shared" si="390"/>
        <v>NA</v>
      </c>
      <c r="U1126" s="29" t="str">
        <f t="shared" si="391"/>
        <v>NA</v>
      </c>
      <c r="V1126" s="29" t="str">
        <f t="shared" si="392"/>
        <v>NA</v>
      </c>
      <c r="W1126" s="29" t="str">
        <f t="shared" si="393"/>
        <v>NA</v>
      </c>
      <c r="X1126" s="29" t="str">
        <f t="shared" si="394"/>
        <v>NA</v>
      </c>
      <c r="Y1126" s="29" t="str">
        <f t="shared" si="395"/>
        <v>NA</v>
      </c>
      <c r="Z1126" s="29" t="str">
        <f t="shared" si="396"/>
        <v>NA</v>
      </c>
      <c r="AA1126" s="29" t="str">
        <f t="shared" si="397"/>
        <v>NA</v>
      </c>
      <c r="AB1126" s="29" t="str">
        <f t="shared" si="398"/>
        <v>NA</v>
      </c>
      <c r="AC1126" s="29" t="str">
        <f t="shared" si="399"/>
        <v>NA</v>
      </c>
      <c r="AD1126" s="29" t="str">
        <f t="shared" si="400"/>
        <v>NA</v>
      </c>
      <c r="AE1126" s="29" t="str">
        <f t="shared" si="401"/>
        <v>NA</v>
      </c>
      <c r="AF1126" s="29" t="str">
        <f t="shared" si="402"/>
        <v>NA</v>
      </c>
      <c r="AG1126" s="29" t="str">
        <f t="shared" si="403"/>
        <v>NA</v>
      </c>
      <c r="AH1126" s="29" t="str">
        <f t="shared" si="404"/>
        <v>NA</v>
      </c>
    </row>
    <row r="1127" customHeight="1" spans="1:34">
      <c r="A1127" s="12" t="s">
        <v>1043</v>
      </c>
      <c r="F1127" s="24">
        <f t="shared" si="386"/>
        <v>0</v>
      </c>
      <c r="G1127" s="24" t="e">
        <f t="shared" si="385"/>
        <v>#DIV/0!</v>
      </c>
      <c r="Q1127" s="29" t="str">
        <f t="shared" si="387"/>
        <v>NA</v>
      </c>
      <c r="R1127" s="29" t="str">
        <f t="shared" si="388"/>
        <v>NA</v>
      </c>
      <c r="S1127" s="29" t="str">
        <f t="shared" si="389"/>
        <v>NA</v>
      </c>
      <c r="T1127" s="29" t="str">
        <f t="shared" si="390"/>
        <v>NA</v>
      </c>
      <c r="U1127" s="29" t="str">
        <f t="shared" si="391"/>
        <v>NA</v>
      </c>
      <c r="V1127" s="29" t="str">
        <f t="shared" si="392"/>
        <v>NA</v>
      </c>
      <c r="W1127" s="29" t="str">
        <f t="shared" si="393"/>
        <v>NA</v>
      </c>
      <c r="X1127" s="29" t="str">
        <f t="shared" si="394"/>
        <v>NA</v>
      </c>
      <c r="Y1127" s="29" t="str">
        <f t="shared" si="395"/>
        <v>NA</v>
      </c>
      <c r="Z1127" s="29" t="str">
        <f t="shared" si="396"/>
        <v>NA</v>
      </c>
      <c r="AA1127" s="29" t="str">
        <f t="shared" si="397"/>
        <v>NA</v>
      </c>
      <c r="AB1127" s="29" t="str">
        <f t="shared" si="398"/>
        <v>NA</v>
      </c>
      <c r="AC1127" s="29" t="str">
        <f t="shared" si="399"/>
        <v>NA</v>
      </c>
      <c r="AD1127" s="29" t="str">
        <f t="shared" si="400"/>
        <v>NA</v>
      </c>
      <c r="AE1127" s="29" t="str">
        <f t="shared" si="401"/>
        <v>NA</v>
      </c>
      <c r="AF1127" s="29" t="str">
        <f t="shared" si="402"/>
        <v>NA</v>
      </c>
      <c r="AG1127" s="29" t="str">
        <f t="shared" si="403"/>
        <v>NA</v>
      </c>
      <c r="AH1127" s="29" t="str">
        <f t="shared" si="404"/>
        <v>NA</v>
      </c>
    </row>
    <row r="1128" customHeight="1" spans="1:34">
      <c r="A1128" s="12" t="s">
        <v>1043</v>
      </c>
      <c r="F1128" s="24">
        <f t="shared" si="386"/>
        <v>0</v>
      </c>
      <c r="G1128" s="24" t="e">
        <f t="shared" si="385"/>
        <v>#DIV/0!</v>
      </c>
      <c r="Q1128" s="29" t="str">
        <f t="shared" si="387"/>
        <v>NA</v>
      </c>
      <c r="R1128" s="29" t="str">
        <f t="shared" si="388"/>
        <v>NA</v>
      </c>
      <c r="S1128" s="29" t="str">
        <f t="shared" si="389"/>
        <v>NA</v>
      </c>
      <c r="T1128" s="29" t="str">
        <f t="shared" si="390"/>
        <v>NA</v>
      </c>
      <c r="U1128" s="29" t="str">
        <f t="shared" si="391"/>
        <v>NA</v>
      </c>
      <c r="V1128" s="29" t="str">
        <f t="shared" si="392"/>
        <v>NA</v>
      </c>
      <c r="W1128" s="29" t="str">
        <f t="shared" si="393"/>
        <v>NA</v>
      </c>
      <c r="X1128" s="29" t="str">
        <f t="shared" si="394"/>
        <v>NA</v>
      </c>
      <c r="Y1128" s="29" t="str">
        <f t="shared" si="395"/>
        <v>NA</v>
      </c>
      <c r="Z1128" s="29" t="str">
        <f t="shared" si="396"/>
        <v>NA</v>
      </c>
      <c r="AA1128" s="29" t="str">
        <f t="shared" si="397"/>
        <v>NA</v>
      </c>
      <c r="AB1128" s="29" t="str">
        <f t="shared" si="398"/>
        <v>NA</v>
      </c>
      <c r="AC1128" s="29" t="str">
        <f t="shared" si="399"/>
        <v>NA</v>
      </c>
      <c r="AD1128" s="29" t="str">
        <f t="shared" si="400"/>
        <v>NA</v>
      </c>
      <c r="AE1128" s="29" t="str">
        <f t="shared" si="401"/>
        <v>NA</v>
      </c>
      <c r="AF1128" s="29" t="str">
        <f t="shared" si="402"/>
        <v>NA</v>
      </c>
      <c r="AG1128" s="29" t="str">
        <f t="shared" si="403"/>
        <v>NA</v>
      </c>
      <c r="AH1128" s="29" t="str">
        <f t="shared" si="404"/>
        <v>NA</v>
      </c>
    </row>
    <row r="1129" customHeight="1" spans="1:34">
      <c r="A1129" s="12" t="s">
        <v>1043</v>
      </c>
      <c r="F1129" s="24">
        <f t="shared" si="386"/>
        <v>0</v>
      </c>
      <c r="G1129" s="24" t="e">
        <f t="shared" si="385"/>
        <v>#DIV/0!</v>
      </c>
      <c r="Q1129" s="29" t="str">
        <f t="shared" si="387"/>
        <v>NA</v>
      </c>
      <c r="R1129" s="29" t="str">
        <f t="shared" si="388"/>
        <v>NA</v>
      </c>
      <c r="S1129" s="29" t="str">
        <f t="shared" si="389"/>
        <v>NA</v>
      </c>
      <c r="T1129" s="29" t="str">
        <f t="shared" si="390"/>
        <v>NA</v>
      </c>
      <c r="U1129" s="29" t="str">
        <f t="shared" si="391"/>
        <v>NA</v>
      </c>
      <c r="V1129" s="29" t="str">
        <f t="shared" si="392"/>
        <v>NA</v>
      </c>
      <c r="W1129" s="29" t="str">
        <f t="shared" si="393"/>
        <v>NA</v>
      </c>
      <c r="X1129" s="29" t="str">
        <f t="shared" si="394"/>
        <v>NA</v>
      </c>
      <c r="Y1129" s="29" t="str">
        <f t="shared" si="395"/>
        <v>NA</v>
      </c>
      <c r="Z1129" s="29" t="str">
        <f t="shared" si="396"/>
        <v>NA</v>
      </c>
      <c r="AA1129" s="29" t="str">
        <f t="shared" si="397"/>
        <v>NA</v>
      </c>
      <c r="AB1129" s="29" t="str">
        <f t="shared" si="398"/>
        <v>NA</v>
      </c>
      <c r="AC1129" s="29" t="str">
        <f t="shared" si="399"/>
        <v>NA</v>
      </c>
      <c r="AD1129" s="29" t="str">
        <f t="shared" si="400"/>
        <v>NA</v>
      </c>
      <c r="AE1129" s="29" t="str">
        <f t="shared" si="401"/>
        <v>NA</v>
      </c>
      <c r="AF1129" s="29" t="str">
        <f t="shared" si="402"/>
        <v>NA</v>
      </c>
      <c r="AG1129" s="29" t="str">
        <f t="shared" si="403"/>
        <v>NA</v>
      </c>
      <c r="AH1129" s="29" t="str">
        <f t="shared" si="404"/>
        <v>NA</v>
      </c>
    </row>
    <row r="1130" customHeight="1" spans="1:34">
      <c r="A1130" s="12" t="s">
        <v>1043</v>
      </c>
      <c r="F1130" s="24">
        <f t="shared" si="386"/>
        <v>0</v>
      </c>
      <c r="G1130" s="24" t="e">
        <f t="shared" si="385"/>
        <v>#DIV/0!</v>
      </c>
      <c r="Q1130" s="29" t="str">
        <f t="shared" si="387"/>
        <v>NA</v>
      </c>
      <c r="R1130" s="29" t="str">
        <f t="shared" si="388"/>
        <v>NA</v>
      </c>
      <c r="S1130" s="29" t="str">
        <f t="shared" si="389"/>
        <v>NA</v>
      </c>
      <c r="T1130" s="29" t="str">
        <f t="shared" si="390"/>
        <v>NA</v>
      </c>
      <c r="U1130" s="29" t="str">
        <f t="shared" si="391"/>
        <v>NA</v>
      </c>
      <c r="V1130" s="29" t="str">
        <f t="shared" si="392"/>
        <v>NA</v>
      </c>
      <c r="W1130" s="29" t="str">
        <f t="shared" si="393"/>
        <v>NA</v>
      </c>
      <c r="X1130" s="29" t="str">
        <f t="shared" si="394"/>
        <v>NA</v>
      </c>
      <c r="Y1130" s="29" t="str">
        <f t="shared" si="395"/>
        <v>NA</v>
      </c>
      <c r="Z1130" s="29" t="str">
        <f t="shared" si="396"/>
        <v>NA</v>
      </c>
      <c r="AA1130" s="29" t="str">
        <f t="shared" si="397"/>
        <v>NA</v>
      </c>
      <c r="AB1130" s="29" t="str">
        <f t="shared" si="398"/>
        <v>NA</v>
      </c>
      <c r="AC1130" s="29" t="str">
        <f t="shared" si="399"/>
        <v>NA</v>
      </c>
      <c r="AD1130" s="29" t="str">
        <f t="shared" si="400"/>
        <v>NA</v>
      </c>
      <c r="AE1130" s="29" t="str">
        <f t="shared" si="401"/>
        <v>NA</v>
      </c>
      <c r="AF1130" s="29" t="str">
        <f t="shared" si="402"/>
        <v>NA</v>
      </c>
      <c r="AG1130" s="29" t="str">
        <f t="shared" si="403"/>
        <v>NA</v>
      </c>
      <c r="AH1130" s="29" t="str">
        <f t="shared" si="404"/>
        <v>NA</v>
      </c>
    </row>
    <row r="1131" customHeight="1" spans="1:34">
      <c r="A1131" s="12" t="s">
        <v>1043</v>
      </c>
      <c r="F1131" s="24">
        <f t="shared" si="386"/>
        <v>0</v>
      </c>
      <c r="G1131" s="24" t="e">
        <f t="shared" si="385"/>
        <v>#DIV/0!</v>
      </c>
      <c r="Q1131" s="29" t="str">
        <f t="shared" si="387"/>
        <v>NA</v>
      </c>
      <c r="R1131" s="29" t="str">
        <f t="shared" si="388"/>
        <v>NA</v>
      </c>
      <c r="S1131" s="29" t="str">
        <f t="shared" si="389"/>
        <v>NA</v>
      </c>
      <c r="T1131" s="29" t="str">
        <f t="shared" si="390"/>
        <v>NA</v>
      </c>
      <c r="U1131" s="29" t="str">
        <f t="shared" si="391"/>
        <v>NA</v>
      </c>
      <c r="V1131" s="29" t="str">
        <f t="shared" si="392"/>
        <v>NA</v>
      </c>
      <c r="W1131" s="29" t="str">
        <f t="shared" si="393"/>
        <v>NA</v>
      </c>
      <c r="X1131" s="29" t="str">
        <f t="shared" si="394"/>
        <v>NA</v>
      </c>
      <c r="Y1131" s="29" t="str">
        <f t="shared" si="395"/>
        <v>NA</v>
      </c>
      <c r="Z1131" s="29" t="str">
        <f t="shared" si="396"/>
        <v>NA</v>
      </c>
      <c r="AA1131" s="29" t="str">
        <f t="shared" si="397"/>
        <v>NA</v>
      </c>
      <c r="AB1131" s="29" t="str">
        <f t="shared" si="398"/>
        <v>NA</v>
      </c>
      <c r="AC1131" s="29" t="str">
        <f t="shared" si="399"/>
        <v>NA</v>
      </c>
      <c r="AD1131" s="29" t="str">
        <f t="shared" si="400"/>
        <v>NA</v>
      </c>
      <c r="AE1131" s="29" t="str">
        <f t="shared" si="401"/>
        <v>NA</v>
      </c>
      <c r="AF1131" s="29" t="str">
        <f t="shared" si="402"/>
        <v>NA</v>
      </c>
      <c r="AG1131" s="29" t="str">
        <f t="shared" si="403"/>
        <v>NA</v>
      </c>
      <c r="AH1131" s="29" t="str">
        <f t="shared" si="404"/>
        <v>NA</v>
      </c>
    </row>
    <row r="1132" customHeight="1" spans="1:34">
      <c r="A1132" s="12" t="s">
        <v>1043</v>
      </c>
      <c r="F1132" s="24">
        <f t="shared" si="386"/>
        <v>0</v>
      </c>
      <c r="G1132" s="24" t="e">
        <f t="shared" si="385"/>
        <v>#DIV/0!</v>
      </c>
      <c r="Q1132" s="29" t="str">
        <f t="shared" si="387"/>
        <v>NA</v>
      </c>
      <c r="R1132" s="29" t="str">
        <f t="shared" si="388"/>
        <v>NA</v>
      </c>
      <c r="S1132" s="29" t="str">
        <f t="shared" si="389"/>
        <v>NA</v>
      </c>
      <c r="T1132" s="29" t="str">
        <f t="shared" si="390"/>
        <v>NA</v>
      </c>
      <c r="U1132" s="29" t="str">
        <f t="shared" si="391"/>
        <v>NA</v>
      </c>
      <c r="V1132" s="29" t="str">
        <f t="shared" si="392"/>
        <v>NA</v>
      </c>
      <c r="W1132" s="29" t="str">
        <f t="shared" si="393"/>
        <v>NA</v>
      </c>
      <c r="X1132" s="29" t="str">
        <f t="shared" si="394"/>
        <v>NA</v>
      </c>
      <c r="Y1132" s="29" t="str">
        <f t="shared" si="395"/>
        <v>NA</v>
      </c>
      <c r="Z1132" s="29" t="str">
        <f t="shared" si="396"/>
        <v>NA</v>
      </c>
      <c r="AA1132" s="29" t="str">
        <f t="shared" si="397"/>
        <v>NA</v>
      </c>
      <c r="AB1132" s="29" t="str">
        <f t="shared" si="398"/>
        <v>NA</v>
      </c>
      <c r="AC1132" s="29" t="str">
        <f t="shared" si="399"/>
        <v>NA</v>
      </c>
      <c r="AD1132" s="29" t="str">
        <f t="shared" si="400"/>
        <v>NA</v>
      </c>
      <c r="AE1132" s="29" t="str">
        <f t="shared" si="401"/>
        <v>NA</v>
      </c>
      <c r="AF1132" s="29" t="str">
        <f t="shared" si="402"/>
        <v>NA</v>
      </c>
      <c r="AG1132" s="29" t="str">
        <f t="shared" si="403"/>
        <v>NA</v>
      </c>
      <c r="AH1132" s="29" t="str">
        <f t="shared" si="404"/>
        <v>NA</v>
      </c>
    </row>
    <row r="1133" customHeight="1" spans="1:34">
      <c r="A1133" s="12" t="s">
        <v>1043</v>
      </c>
      <c r="F1133" s="24">
        <f t="shared" si="386"/>
        <v>0</v>
      </c>
      <c r="G1133" s="24" t="e">
        <f t="shared" si="385"/>
        <v>#DIV/0!</v>
      </c>
      <c r="Q1133" s="29" t="str">
        <f t="shared" si="387"/>
        <v>NA</v>
      </c>
      <c r="R1133" s="29" t="str">
        <f t="shared" si="388"/>
        <v>NA</v>
      </c>
      <c r="S1133" s="29" t="str">
        <f t="shared" si="389"/>
        <v>NA</v>
      </c>
      <c r="T1133" s="29" t="str">
        <f t="shared" si="390"/>
        <v>NA</v>
      </c>
      <c r="U1133" s="29" t="str">
        <f t="shared" si="391"/>
        <v>NA</v>
      </c>
      <c r="V1133" s="29" t="str">
        <f t="shared" si="392"/>
        <v>NA</v>
      </c>
      <c r="W1133" s="29" t="str">
        <f t="shared" si="393"/>
        <v>NA</v>
      </c>
      <c r="X1133" s="29" t="str">
        <f t="shared" si="394"/>
        <v>NA</v>
      </c>
      <c r="Y1133" s="29" t="str">
        <f t="shared" si="395"/>
        <v>NA</v>
      </c>
      <c r="Z1133" s="29" t="str">
        <f t="shared" si="396"/>
        <v>NA</v>
      </c>
      <c r="AA1133" s="29" t="str">
        <f t="shared" si="397"/>
        <v>NA</v>
      </c>
      <c r="AB1133" s="29" t="str">
        <f t="shared" si="398"/>
        <v>NA</v>
      </c>
      <c r="AC1133" s="29" t="str">
        <f t="shared" si="399"/>
        <v>NA</v>
      </c>
      <c r="AD1133" s="29" t="str">
        <f t="shared" si="400"/>
        <v>NA</v>
      </c>
      <c r="AE1133" s="29" t="str">
        <f t="shared" si="401"/>
        <v>NA</v>
      </c>
      <c r="AF1133" s="29" t="str">
        <f t="shared" si="402"/>
        <v>NA</v>
      </c>
      <c r="AG1133" s="29" t="str">
        <f t="shared" si="403"/>
        <v>NA</v>
      </c>
      <c r="AH1133" s="29" t="str">
        <f t="shared" si="404"/>
        <v>NA</v>
      </c>
    </row>
    <row r="1134" customHeight="1" spans="1:34">
      <c r="A1134" s="12" t="s">
        <v>1043</v>
      </c>
      <c r="F1134" s="24">
        <f t="shared" si="386"/>
        <v>0</v>
      </c>
      <c r="G1134" s="24" t="e">
        <f t="shared" si="385"/>
        <v>#DIV/0!</v>
      </c>
      <c r="Q1134" s="29" t="str">
        <f t="shared" si="387"/>
        <v>NA</v>
      </c>
      <c r="R1134" s="29" t="str">
        <f t="shared" si="388"/>
        <v>NA</v>
      </c>
      <c r="S1134" s="29" t="str">
        <f t="shared" si="389"/>
        <v>NA</v>
      </c>
      <c r="T1134" s="29" t="str">
        <f t="shared" si="390"/>
        <v>NA</v>
      </c>
      <c r="U1134" s="29" t="str">
        <f t="shared" si="391"/>
        <v>NA</v>
      </c>
      <c r="V1134" s="29" t="str">
        <f t="shared" si="392"/>
        <v>NA</v>
      </c>
      <c r="W1134" s="29" t="str">
        <f t="shared" si="393"/>
        <v>NA</v>
      </c>
      <c r="X1134" s="29" t="str">
        <f t="shared" si="394"/>
        <v>NA</v>
      </c>
      <c r="Y1134" s="29" t="str">
        <f t="shared" si="395"/>
        <v>NA</v>
      </c>
      <c r="Z1134" s="29" t="str">
        <f t="shared" si="396"/>
        <v>NA</v>
      </c>
      <c r="AA1134" s="29" t="str">
        <f t="shared" si="397"/>
        <v>NA</v>
      </c>
      <c r="AB1134" s="29" t="str">
        <f t="shared" si="398"/>
        <v>NA</v>
      </c>
      <c r="AC1134" s="29" t="str">
        <f t="shared" si="399"/>
        <v>NA</v>
      </c>
      <c r="AD1134" s="29" t="str">
        <f t="shared" si="400"/>
        <v>NA</v>
      </c>
      <c r="AE1134" s="29" t="str">
        <f t="shared" si="401"/>
        <v>NA</v>
      </c>
      <c r="AF1134" s="29" t="str">
        <f t="shared" si="402"/>
        <v>NA</v>
      </c>
      <c r="AG1134" s="29" t="str">
        <f t="shared" si="403"/>
        <v>NA</v>
      </c>
      <c r="AH1134" s="29" t="str">
        <f t="shared" si="404"/>
        <v>NA</v>
      </c>
    </row>
    <row r="1135" customHeight="1" spans="1:34">
      <c r="A1135" s="12" t="s">
        <v>1043</v>
      </c>
      <c r="F1135" s="24">
        <f t="shared" si="386"/>
        <v>0</v>
      </c>
      <c r="G1135" s="24" t="e">
        <f t="shared" si="385"/>
        <v>#DIV/0!</v>
      </c>
      <c r="Q1135" s="29" t="str">
        <f t="shared" si="387"/>
        <v>NA</v>
      </c>
      <c r="R1135" s="29" t="str">
        <f t="shared" si="388"/>
        <v>NA</v>
      </c>
      <c r="S1135" s="29" t="str">
        <f t="shared" si="389"/>
        <v>NA</v>
      </c>
      <c r="T1135" s="29" t="str">
        <f t="shared" si="390"/>
        <v>NA</v>
      </c>
      <c r="U1135" s="29" t="str">
        <f t="shared" si="391"/>
        <v>NA</v>
      </c>
      <c r="V1135" s="29" t="str">
        <f t="shared" si="392"/>
        <v>NA</v>
      </c>
      <c r="W1135" s="29" t="str">
        <f t="shared" si="393"/>
        <v>NA</v>
      </c>
      <c r="X1135" s="29" t="str">
        <f t="shared" si="394"/>
        <v>NA</v>
      </c>
      <c r="Y1135" s="29" t="str">
        <f t="shared" si="395"/>
        <v>NA</v>
      </c>
      <c r="Z1135" s="29" t="str">
        <f t="shared" si="396"/>
        <v>NA</v>
      </c>
      <c r="AA1135" s="29" t="str">
        <f t="shared" si="397"/>
        <v>NA</v>
      </c>
      <c r="AB1135" s="29" t="str">
        <f t="shared" si="398"/>
        <v>NA</v>
      </c>
      <c r="AC1135" s="29" t="str">
        <f t="shared" si="399"/>
        <v>NA</v>
      </c>
      <c r="AD1135" s="29" t="str">
        <f t="shared" si="400"/>
        <v>NA</v>
      </c>
      <c r="AE1135" s="29" t="str">
        <f t="shared" si="401"/>
        <v>NA</v>
      </c>
      <c r="AF1135" s="29" t="str">
        <f t="shared" si="402"/>
        <v>NA</v>
      </c>
      <c r="AG1135" s="29" t="str">
        <f t="shared" si="403"/>
        <v>NA</v>
      </c>
      <c r="AH1135" s="29" t="str">
        <f t="shared" si="404"/>
        <v>NA</v>
      </c>
    </row>
    <row r="1136" customHeight="1" spans="1:34">
      <c r="A1136" s="12" t="s">
        <v>1043</v>
      </c>
      <c r="F1136" s="24">
        <f t="shared" si="386"/>
        <v>0</v>
      </c>
      <c r="G1136" s="24" t="e">
        <f t="shared" si="385"/>
        <v>#DIV/0!</v>
      </c>
      <c r="Q1136" s="29" t="str">
        <f t="shared" si="387"/>
        <v>NA</v>
      </c>
      <c r="R1136" s="29" t="str">
        <f t="shared" si="388"/>
        <v>NA</v>
      </c>
      <c r="S1136" s="29" t="str">
        <f t="shared" si="389"/>
        <v>NA</v>
      </c>
      <c r="T1136" s="29" t="str">
        <f t="shared" si="390"/>
        <v>NA</v>
      </c>
      <c r="U1136" s="29" t="str">
        <f t="shared" si="391"/>
        <v>NA</v>
      </c>
      <c r="V1136" s="29" t="str">
        <f t="shared" si="392"/>
        <v>NA</v>
      </c>
      <c r="W1136" s="29" t="str">
        <f t="shared" si="393"/>
        <v>NA</v>
      </c>
      <c r="X1136" s="29" t="str">
        <f t="shared" si="394"/>
        <v>NA</v>
      </c>
      <c r="Y1136" s="29" t="str">
        <f t="shared" si="395"/>
        <v>NA</v>
      </c>
      <c r="Z1136" s="29" t="str">
        <f t="shared" si="396"/>
        <v>NA</v>
      </c>
      <c r="AA1136" s="29" t="str">
        <f t="shared" si="397"/>
        <v>NA</v>
      </c>
      <c r="AB1136" s="29" t="str">
        <f t="shared" si="398"/>
        <v>NA</v>
      </c>
      <c r="AC1136" s="29" t="str">
        <f t="shared" si="399"/>
        <v>NA</v>
      </c>
      <c r="AD1136" s="29" t="str">
        <f t="shared" si="400"/>
        <v>NA</v>
      </c>
      <c r="AE1136" s="29" t="str">
        <f t="shared" si="401"/>
        <v>NA</v>
      </c>
      <c r="AF1136" s="29" t="str">
        <f t="shared" si="402"/>
        <v>NA</v>
      </c>
      <c r="AG1136" s="29" t="str">
        <f t="shared" si="403"/>
        <v>NA</v>
      </c>
      <c r="AH1136" s="29" t="str">
        <f t="shared" si="404"/>
        <v>NA</v>
      </c>
    </row>
    <row r="1137" customHeight="1" spans="1:34">
      <c r="A1137" s="12" t="s">
        <v>1043</v>
      </c>
      <c r="F1137" s="24">
        <f t="shared" si="386"/>
        <v>0</v>
      </c>
      <c r="G1137" s="24" t="e">
        <f t="shared" si="385"/>
        <v>#DIV/0!</v>
      </c>
      <c r="Q1137" s="29" t="str">
        <f t="shared" si="387"/>
        <v>NA</v>
      </c>
      <c r="R1137" s="29" t="str">
        <f t="shared" si="388"/>
        <v>NA</v>
      </c>
      <c r="S1137" s="29" t="str">
        <f t="shared" si="389"/>
        <v>NA</v>
      </c>
      <c r="T1137" s="29" t="str">
        <f t="shared" si="390"/>
        <v>NA</v>
      </c>
      <c r="U1137" s="29" t="str">
        <f t="shared" si="391"/>
        <v>NA</v>
      </c>
      <c r="V1137" s="29" t="str">
        <f t="shared" si="392"/>
        <v>NA</v>
      </c>
      <c r="W1137" s="29" t="str">
        <f t="shared" si="393"/>
        <v>NA</v>
      </c>
      <c r="X1137" s="29" t="str">
        <f t="shared" si="394"/>
        <v>NA</v>
      </c>
      <c r="Y1137" s="29" t="str">
        <f t="shared" si="395"/>
        <v>NA</v>
      </c>
      <c r="Z1137" s="29" t="str">
        <f t="shared" si="396"/>
        <v>NA</v>
      </c>
      <c r="AA1137" s="29" t="str">
        <f t="shared" si="397"/>
        <v>NA</v>
      </c>
      <c r="AB1137" s="29" t="str">
        <f t="shared" si="398"/>
        <v>NA</v>
      </c>
      <c r="AC1137" s="29" t="str">
        <f t="shared" si="399"/>
        <v>NA</v>
      </c>
      <c r="AD1137" s="29" t="str">
        <f t="shared" si="400"/>
        <v>NA</v>
      </c>
      <c r="AE1137" s="29" t="str">
        <f t="shared" si="401"/>
        <v>NA</v>
      </c>
      <c r="AF1137" s="29" t="str">
        <f t="shared" si="402"/>
        <v>NA</v>
      </c>
      <c r="AG1137" s="29" t="str">
        <f t="shared" si="403"/>
        <v>NA</v>
      </c>
      <c r="AH1137" s="29" t="str">
        <f t="shared" si="404"/>
        <v>NA</v>
      </c>
    </row>
    <row r="1138" customHeight="1" spans="1:34">
      <c r="A1138" s="12" t="s">
        <v>1043</v>
      </c>
      <c r="F1138" s="24">
        <f t="shared" si="386"/>
        <v>0</v>
      </c>
      <c r="G1138" s="24" t="e">
        <f t="shared" si="385"/>
        <v>#DIV/0!</v>
      </c>
      <c r="Q1138" s="29" t="str">
        <f t="shared" si="387"/>
        <v>NA</v>
      </c>
      <c r="R1138" s="29" t="str">
        <f t="shared" si="388"/>
        <v>NA</v>
      </c>
      <c r="S1138" s="29" t="str">
        <f t="shared" si="389"/>
        <v>NA</v>
      </c>
      <c r="T1138" s="29" t="str">
        <f t="shared" si="390"/>
        <v>NA</v>
      </c>
      <c r="U1138" s="29" t="str">
        <f t="shared" si="391"/>
        <v>NA</v>
      </c>
      <c r="V1138" s="29" t="str">
        <f t="shared" si="392"/>
        <v>NA</v>
      </c>
      <c r="W1138" s="29" t="str">
        <f t="shared" si="393"/>
        <v>NA</v>
      </c>
      <c r="X1138" s="29" t="str">
        <f t="shared" si="394"/>
        <v>NA</v>
      </c>
      <c r="Y1138" s="29" t="str">
        <f t="shared" si="395"/>
        <v>NA</v>
      </c>
      <c r="Z1138" s="29" t="str">
        <f t="shared" si="396"/>
        <v>NA</v>
      </c>
      <c r="AA1138" s="29" t="str">
        <f t="shared" si="397"/>
        <v>NA</v>
      </c>
      <c r="AB1138" s="29" t="str">
        <f t="shared" si="398"/>
        <v>NA</v>
      </c>
      <c r="AC1138" s="29" t="str">
        <f t="shared" si="399"/>
        <v>NA</v>
      </c>
      <c r="AD1138" s="29" t="str">
        <f t="shared" si="400"/>
        <v>NA</v>
      </c>
      <c r="AE1138" s="29" t="str">
        <f t="shared" si="401"/>
        <v>NA</v>
      </c>
      <c r="AF1138" s="29" t="str">
        <f t="shared" si="402"/>
        <v>NA</v>
      </c>
      <c r="AG1138" s="29" t="str">
        <f t="shared" si="403"/>
        <v>NA</v>
      </c>
      <c r="AH1138" s="29" t="str">
        <f t="shared" si="404"/>
        <v>NA</v>
      </c>
    </row>
    <row r="1139" customHeight="1" spans="1:34">
      <c r="A1139" s="12" t="s">
        <v>1043</v>
      </c>
      <c r="F1139" s="24">
        <f t="shared" si="386"/>
        <v>0</v>
      </c>
      <c r="G1139" s="24" t="e">
        <f t="shared" si="385"/>
        <v>#DIV/0!</v>
      </c>
      <c r="Q1139" s="29" t="str">
        <f t="shared" si="387"/>
        <v>NA</v>
      </c>
      <c r="R1139" s="29" t="str">
        <f t="shared" si="388"/>
        <v>NA</v>
      </c>
      <c r="S1139" s="29" t="str">
        <f t="shared" si="389"/>
        <v>NA</v>
      </c>
      <c r="T1139" s="29" t="str">
        <f t="shared" si="390"/>
        <v>NA</v>
      </c>
      <c r="U1139" s="29" t="str">
        <f t="shared" si="391"/>
        <v>NA</v>
      </c>
      <c r="V1139" s="29" t="str">
        <f t="shared" si="392"/>
        <v>NA</v>
      </c>
      <c r="W1139" s="29" t="str">
        <f t="shared" si="393"/>
        <v>NA</v>
      </c>
      <c r="X1139" s="29" t="str">
        <f t="shared" si="394"/>
        <v>NA</v>
      </c>
      <c r="Y1139" s="29" t="str">
        <f t="shared" si="395"/>
        <v>NA</v>
      </c>
      <c r="Z1139" s="29" t="str">
        <f t="shared" si="396"/>
        <v>NA</v>
      </c>
      <c r="AA1139" s="29" t="str">
        <f t="shared" si="397"/>
        <v>NA</v>
      </c>
      <c r="AB1139" s="29" t="str">
        <f t="shared" si="398"/>
        <v>NA</v>
      </c>
      <c r="AC1139" s="29" t="str">
        <f t="shared" si="399"/>
        <v>NA</v>
      </c>
      <c r="AD1139" s="29" t="str">
        <f t="shared" si="400"/>
        <v>NA</v>
      </c>
      <c r="AE1139" s="29" t="str">
        <f t="shared" si="401"/>
        <v>NA</v>
      </c>
      <c r="AF1139" s="29" t="str">
        <f t="shared" si="402"/>
        <v>NA</v>
      </c>
      <c r="AG1139" s="29" t="str">
        <f t="shared" si="403"/>
        <v>NA</v>
      </c>
      <c r="AH1139" s="29" t="str">
        <f t="shared" si="404"/>
        <v>NA</v>
      </c>
    </row>
    <row r="1140" customHeight="1" spans="1:34">
      <c r="A1140" s="12" t="s">
        <v>1043</v>
      </c>
      <c r="F1140" s="24">
        <f t="shared" si="386"/>
        <v>0</v>
      </c>
      <c r="G1140" s="24" t="e">
        <f t="shared" si="385"/>
        <v>#DIV/0!</v>
      </c>
      <c r="Q1140" s="29" t="str">
        <f t="shared" si="387"/>
        <v>NA</v>
      </c>
      <c r="R1140" s="29" t="str">
        <f t="shared" si="388"/>
        <v>NA</v>
      </c>
      <c r="S1140" s="29" t="str">
        <f t="shared" si="389"/>
        <v>NA</v>
      </c>
      <c r="T1140" s="29" t="str">
        <f t="shared" si="390"/>
        <v>NA</v>
      </c>
      <c r="U1140" s="29" t="str">
        <f t="shared" si="391"/>
        <v>NA</v>
      </c>
      <c r="V1140" s="29" t="str">
        <f t="shared" si="392"/>
        <v>NA</v>
      </c>
      <c r="W1140" s="29" t="str">
        <f t="shared" si="393"/>
        <v>NA</v>
      </c>
      <c r="X1140" s="29" t="str">
        <f t="shared" si="394"/>
        <v>NA</v>
      </c>
      <c r="Y1140" s="29" t="str">
        <f t="shared" si="395"/>
        <v>NA</v>
      </c>
      <c r="Z1140" s="29" t="str">
        <f t="shared" si="396"/>
        <v>NA</v>
      </c>
      <c r="AA1140" s="29" t="str">
        <f t="shared" si="397"/>
        <v>NA</v>
      </c>
      <c r="AB1140" s="29" t="str">
        <f t="shared" si="398"/>
        <v>NA</v>
      </c>
      <c r="AC1140" s="29" t="str">
        <f t="shared" si="399"/>
        <v>NA</v>
      </c>
      <c r="AD1140" s="29" t="str">
        <f t="shared" si="400"/>
        <v>NA</v>
      </c>
      <c r="AE1140" s="29" t="str">
        <f t="shared" si="401"/>
        <v>NA</v>
      </c>
      <c r="AF1140" s="29" t="str">
        <f t="shared" si="402"/>
        <v>NA</v>
      </c>
      <c r="AG1140" s="29" t="str">
        <f t="shared" si="403"/>
        <v>NA</v>
      </c>
      <c r="AH1140" s="29" t="str">
        <f t="shared" si="404"/>
        <v>NA</v>
      </c>
    </row>
    <row r="1141" customHeight="1" spans="1:34">
      <c r="A1141" s="12" t="s">
        <v>1043</v>
      </c>
      <c r="F1141" s="24">
        <f t="shared" si="386"/>
        <v>0</v>
      </c>
      <c r="G1141" s="24" t="e">
        <f t="shared" si="385"/>
        <v>#DIV/0!</v>
      </c>
      <c r="Q1141" s="29" t="str">
        <f t="shared" si="387"/>
        <v>NA</v>
      </c>
      <c r="R1141" s="29" t="str">
        <f t="shared" si="388"/>
        <v>NA</v>
      </c>
      <c r="S1141" s="29" t="str">
        <f t="shared" si="389"/>
        <v>NA</v>
      </c>
      <c r="T1141" s="29" t="str">
        <f t="shared" si="390"/>
        <v>NA</v>
      </c>
      <c r="U1141" s="29" t="str">
        <f t="shared" si="391"/>
        <v>NA</v>
      </c>
      <c r="V1141" s="29" t="str">
        <f t="shared" si="392"/>
        <v>NA</v>
      </c>
      <c r="W1141" s="29" t="str">
        <f t="shared" si="393"/>
        <v>NA</v>
      </c>
      <c r="X1141" s="29" t="str">
        <f t="shared" si="394"/>
        <v>NA</v>
      </c>
      <c r="Y1141" s="29" t="str">
        <f t="shared" si="395"/>
        <v>NA</v>
      </c>
      <c r="Z1141" s="29" t="str">
        <f t="shared" si="396"/>
        <v>NA</v>
      </c>
      <c r="AA1141" s="29" t="str">
        <f t="shared" si="397"/>
        <v>NA</v>
      </c>
      <c r="AB1141" s="29" t="str">
        <f t="shared" si="398"/>
        <v>NA</v>
      </c>
      <c r="AC1141" s="29" t="str">
        <f t="shared" si="399"/>
        <v>NA</v>
      </c>
      <c r="AD1141" s="29" t="str">
        <f t="shared" si="400"/>
        <v>NA</v>
      </c>
      <c r="AE1141" s="29" t="str">
        <f t="shared" si="401"/>
        <v>NA</v>
      </c>
      <c r="AF1141" s="29" t="str">
        <f t="shared" si="402"/>
        <v>NA</v>
      </c>
      <c r="AG1141" s="29" t="str">
        <f t="shared" si="403"/>
        <v>NA</v>
      </c>
      <c r="AH1141" s="29" t="str">
        <f t="shared" si="404"/>
        <v>NA</v>
      </c>
    </row>
    <row r="1142" customHeight="1" spans="1:34">
      <c r="A1142" s="12" t="s">
        <v>1043</v>
      </c>
      <c r="F1142" s="24">
        <f t="shared" si="386"/>
        <v>0</v>
      </c>
      <c r="G1142" s="24" t="e">
        <f t="shared" si="385"/>
        <v>#DIV/0!</v>
      </c>
      <c r="Q1142" s="29" t="str">
        <f t="shared" si="387"/>
        <v>NA</v>
      </c>
      <c r="R1142" s="29" t="str">
        <f t="shared" si="388"/>
        <v>NA</v>
      </c>
      <c r="S1142" s="29" t="str">
        <f t="shared" si="389"/>
        <v>NA</v>
      </c>
      <c r="T1142" s="29" t="str">
        <f t="shared" si="390"/>
        <v>NA</v>
      </c>
      <c r="U1142" s="29" t="str">
        <f t="shared" si="391"/>
        <v>NA</v>
      </c>
      <c r="V1142" s="29" t="str">
        <f t="shared" si="392"/>
        <v>NA</v>
      </c>
      <c r="W1142" s="29" t="str">
        <f t="shared" si="393"/>
        <v>NA</v>
      </c>
      <c r="X1142" s="29" t="str">
        <f t="shared" si="394"/>
        <v>NA</v>
      </c>
      <c r="Y1142" s="29" t="str">
        <f t="shared" si="395"/>
        <v>NA</v>
      </c>
      <c r="Z1142" s="29" t="str">
        <f t="shared" si="396"/>
        <v>NA</v>
      </c>
      <c r="AA1142" s="29" t="str">
        <f t="shared" si="397"/>
        <v>NA</v>
      </c>
      <c r="AB1142" s="29" t="str">
        <f t="shared" si="398"/>
        <v>NA</v>
      </c>
      <c r="AC1142" s="29" t="str">
        <f t="shared" si="399"/>
        <v>NA</v>
      </c>
      <c r="AD1142" s="29" t="str">
        <f t="shared" si="400"/>
        <v>NA</v>
      </c>
      <c r="AE1142" s="29" t="str">
        <f t="shared" si="401"/>
        <v>NA</v>
      </c>
      <c r="AF1142" s="29" t="str">
        <f t="shared" si="402"/>
        <v>NA</v>
      </c>
      <c r="AG1142" s="29" t="str">
        <f t="shared" si="403"/>
        <v>NA</v>
      </c>
      <c r="AH1142" s="29" t="str">
        <f t="shared" si="404"/>
        <v>NA</v>
      </c>
    </row>
    <row r="1143" customHeight="1" spans="1:34">
      <c r="A1143" s="12" t="s">
        <v>1043</v>
      </c>
      <c r="F1143" s="24">
        <f t="shared" si="386"/>
        <v>0</v>
      </c>
      <c r="G1143" s="24" t="e">
        <f t="shared" si="385"/>
        <v>#DIV/0!</v>
      </c>
      <c r="Q1143" s="29" t="str">
        <f t="shared" si="387"/>
        <v>NA</v>
      </c>
      <c r="R1143" s="29" t="str">
        <f t="shared" si="388"/>
        <v>NA</v>
      </c>
      <c r="S1143" s="29" t="str">
        <f t="shared" si="389"/>
        <v>NA</v>
      </c>
      <c r="T1143" s="29" t="str">
        <f t="shared" si="390"/>
        <v>NA</v>
      </c>
      <c r="U1143" s="29" t="str">
        <f t="shared" si="391"/>
        <v>NA</v>
      </c>
      <c r="V1143" s="29" t="str">
        <f t="shared" si="392"/>
        <v>NA</v>
      </c>
      <c r="W1143" s="29" t="str">
        <f t="shared" si="393"/>
        <v>NA</v>
      </c>
      <c r="X1143" s="29" t="str">
        <f t="shared" si="394"/>
        <v>NA</v>
      </c>
      <c r="Y1143" s="29" t="str">
        <f t="shared" si="395"/>
        <v>NA</v>
      </c>
      <c r="Z1143" s="29" t="str">
        <f t="shared" si="396"/>
        <v>NA</v>
      </c>
      <c r="AA1143" s="29" t="str">
        <f t="shared" si="397"/>
        <v>NA</v>
      </c>
      <c r="AB1143" s="29" t="str">
        <f t="shared" si="398"/>
        <v>NA</v>
      </c>
      <c r="AC1143" s="29" t="str">
        <f t="shared" si="399"/>
        <v>NA</v>
      </c>
      <c r="AD1143" s="29" t="str">
        <f t="shared" si="400"/>
        <v>NA</v>
      </c>
      <c r="AE1143" s="29" t="str">
        <f t="shared" si="401"/>
        <v>NA</v>
      </c>
      <c r="AF1143" s="29" t="str">
        <f t="shared" si="402"/>
        <v>NA</v>
      </c>
      <c r="AG1143" s="29" t="str">
        <f t="shared" si="403"/>
        <v>NA</v>
      </c>
      <c r="AH1143" s="29" t="str">
        <f t="shared" si="404"/>
        <v>NA</v>
      </c>
    </row>
    <row r="1144" customHeight="1" spans="1:34">
      <c r="A1144" s="12" t="s">
        <v>1043</v>
      </c>
      <c r="F1144" s="24">
        <f t="shared" si="386"/>
        <v>0</v>
      </c>
      <c r="G1144" s="24" t="e">
        <f t="shared" si="385"/>
        <v>#DIV/0!</v>
      </c>
      <c r="Q1144" s="29" t="str">
        <f t="shared" si="387"/>
        <v>NA</v>
      </c>
      <c r="R1144" s="29" t="str">
        <f t="shared" si="388"/>
        <v>NA</v>
      </c>
      <c r="S1144" s="29" t="str">
        <f t="shared" si="389"/>
        <v>NA</v>
      </c>
      <c r="T1144" s="29" t="str">
        <f t="shared" si="390"/>
        <v>NA</v>
      </c>
      <c r="U1144" s="29" t="str">
        <f t="shared" si="391"/>
        <v>NA</v>
      </c>
      <c r="V1144" s="29" t="str">
        <f t="shared" si="392"/>
        <v>NA</v>
      </c>
      <c r="W1144" s="29" t="str">
        <f t="shared" si="393"/>
        <v>NA</v>
      </c>
      <c r="X1144" s="29" t="str">
        <f t="shared" si="394"/>
        <v>NA</v>
      </c>
      <c r="Y1144" s="29" t="str">
        <f t="shared" si="395"/>
        <v>NA</v>
      </c>
      <c r="Z1144" s="29" t="str">
        <f t="shared" si="396"/>
        <v>NA</v>
      </c>
      <c r="AA1144" s="29" t="str">
        <f t="shared" si="397"/>
        <v>NA</v>
      </c>
      <c r="AB1144" s="29" t="str">
        <f t="shared" si="398"/>
        <v>NA</v>
      </c>
      <c r="AC1144" s="29" t="str">
        <f t="shared" si="399"/>
        <v>NA</v>
      </c>
      <c r="AD1144" s="29" t="str">
        <f t="shared" si="400"/>
        <v>NA</v>
      </c>
      <c r="AE1144" s="29" t="str">
        <f t="shared" si="401"/>
        <v>NA</v>
      </c>
      <c r="AF1144" s="29" t="str">
        <f t="shared" si="402"/>
        <v>NA</v>
      </c>
      <c r="AG1144" s="29" t="str">
        <f t="shared" si="403"/>
        <v>NA</v>
      </c>
      <c r="AH1144" s="29" t="str">
        <f t="shared" si="404"/>
        <v>NA</v>
      </c>
    </row>
    <row r="1145" customHeight="1" spans="1:34">
      <c r="A1145" s="12" t="s">
        <v>1043</v>
      </c>
      <c r="F1145" s="24">
        <f t="shared" si="386"/>
        <v>0</v>
      </c>
      <c r="G1145" s="24" t="e">
        <f t="shared" si="385"/>
        <v>#DIV/0!</v>
      </c>
      <c r="Q1145" s="29" t="str">
        <f t="shared" si="387"/>
        <v>NA</v>
      </c>
      <c r="R1145" s="29" t="str">
        <f t="shared" si="388"/>
        <v>NA</v>
      </c>
      <c r="S1145" s="29" t="str">
        <f t="shared" si="389"/>
        <v>NA</v>
      </c>
      <c r="T1145" s="29" t="str">
        <f t="shared" si="390"/>
        <v>NA</v>
      </c>
      <c r="U1145" s="29" t="str">
        <f t="shared" si="391"/>
        <v>NA</v>
      </c>
      <c r="V1145" s="29" t="str">
        <f t="shared" si="392"/>
        <v>NA</v>
      </c>
      <c r="W1145" s="29" t="str">
        <f t="shared" si="393"/>
        <v>NA</v>
      </c>
      <c r="X1145" s="29" t="str">
        <f t="shared" si="394"/>
        <v>NA</v>
      </c>
      <c r="Y1145" s="29" t="str">
        <f t="shared" si="395"/>
        <v>NA</v>
      </c>
      <c r="Z1145" s="29" t="str">
        <f t="shared" si="396"/>
        <v>NA</v>
      </c>
      <c r="AA1145" s="29" t="str">
        <f t="shared" si="397"/>
        <v>NA</v>
      </c>
      <c r="AB1145" s="29" t="str">
        <f t="shared" si="398"/>
        <v>NA</v>
      </c>
      <c r="AC1145" s="29" t="str">
        <f t="shared" si="399"/>
        <v>NA</v>
      </c>
      <c r="AD1145" s="29" t="str">
        <f t="shared" si="400"/>
        <v>NA</v>
      </c>
      <c r="AE1145" s="29" t="str">
        <f t="shared" si="401"/>
        <v>NA</v>
      </c>
      <c r="AF1145" s="29" t="str">
        <f t="shared" si="402"/>
        <v>NA</v>
      </c>
      <c r="AG1145" s="29" t="str">
        <f t="shared" si="403"/>
        <v>NA</v>
      </c>
      <c r="AH1145" s="29" t="str">
        <f t="shared" si="404"/>
        <v>NA</v>
      </c>
    </row>
    <row r="1146" customHeight="1" spans="1:34">
      <c r="A1146" s="12" t="s">
        <v>1043</v>
      </c>
      <c r="F1146" s="24">
        <f t="shared" si="386"/>
        <v>0</v>
      </c>
      <c r="G1146" s="24" t="e">
        <f t="shared" si="385"/>
        <v>#DIV/0!</v>
      </c>
      <c r="Q1146" s="29" t="str">
        <f t="shared" si="387"/>
        <v>NA</v>
      </c>
      <c r="R1146" s="29" t="str">
        <f t="shared" si="388"/>
        <v>NA</v>
      </c>
      <c r="S1146" s="29" t="str">
        <f t="shared" si="389"/>
        <v>NA</v>
      </c>
      <c r="T1146" s="29" t="str">
        <f t="shared" si="390"/>
        <v>NA</v>
      </c>
      <c r="U1146" s="29" t="str">
        <f t="shared" si="391"/>
        <v>NA</v>
      </c>
      <c r="V1146" s="29" t="str">
        <f t="shared" si="392"/>
        <v>NA</v>
      </c>
      <c r="W1146" s="29" t="str">
        <f t="shared" si="393"/>
        <v>NA</v>
      </c>
      <c r="X1146" s="29" t="str">
        <f t="shared" si="394"/>
        <v>NA</v>
      </c>
      <c r="Y1146" s="29" t="str">
        <f t="shared" si="395"/>
        <v>NA</v>
      </c>
      <c r="Z1146" s="29" t="str">
        <f t="shared" si="396"/>
        <v>NA</v>
      </c>
      <c r="AA1146" s="29" t="str">
        <f t="shared" si="397"/>
        <v>NA</v>
      </c>
      <c r="AB1146" s="29" t="str">
        <f t="shared" si="398"/>
        <v>NA</v>
      </c>
      <c r="AC1146" s="29" t="str">
        <f t="shared" si="399"/>
        <v>NA</v>
      </c>
      <c r="AD1146" s="29" t="str">
        <f t="shared" si="400"/>
        <v>NA</v>
      </c>
      <c r="AE1146" s="29" t="str">
        <f t="shared" si="401"/>
        <v>NA</v>
      </c>
      <c r="AF1146" s="29" t="str">
        <f t="shared" si="402"/>
        <v>NA</v>
      </c>
      <c r="AG1146" s="29" t="str">
        <f t="shared" si="403"/>
        <v>NA</v>
      </c>
      <c r="AH1146" s="29" t="str">
        <f t="shared" si="404"/>
        <v>NA</v>
      </c>
    </row>
    <row r="1147" customHeight="1" spans="1:34">
      <c r="A1147" s="12" t="s">
        <v>1043</v>
      </c>
      <c r="F1147" s="24">
        <f t="shared" si="386"/>
        <v>0</v>
      </c>
      <c r="G1147" s="24" t="e">
        <f t="shared" si="385"/>
        <v>#DIV/0!</v>
      </c>
      <c r="Q1147" s="29" t="str">
        <f t="shared" si="387"/>
        <v>NA</v>
      </c>
      <c r="R1147" s="29" t="str">
        <f t="shared" si="388"/>
        <v>NA</v>
      </c>
      <c r="S1147" s="29" t="str">
        <f t="shared" si="389"/>
        <v>NA</v>
      </c>
      <c r="T1147" s="29" t="str">
        <f t="shared" si="390"/>
        <v>NA</v>
      </c>
      <c r="U1147" s="29" t="str">
        <f t="shared" si="391"/>
        <v>NA</v>
      </c>
      <c r="V1147" s="29" t="str">
        <f t="shared" si="392"/>
        <v>NA</v>
      </c>
      <c r="W1147" s="29" t="str">
        <f t="shared" si="393"/>
        <v>NA</v>
      </c>
      <c r="X1147" s="29" t="str">
        <f t="shared" si="394"/>
        <v>NA</v>
      </c>
      <c r="Y1147" s="29" t="str">
        <f t="shared" si="395"/>
        <v>NA</v>
      </c>
      <c r="Z1147" s="29" t="str">
        <f t="shared" si="396"/>
        <v>NA</v>
      </c>
      <c r="AA1147" s="29" t="str">
        <f t="shared" si="397"/>
        <v>NA</v>
      </c>
      <c r="AB1147" s="29" t="str">
        <f t="shared" si="398"/>
        <v>NA</v>
      </c>
      <c r="AC1147" s="29" t="str">
        <f t="shared" si="399"/>
        <v>NA</v>
      </c>
      <c r="AD1147" s="29" t="str">
        <f t="shared" si="400"/>
        <v>NA</v>
      </c>
      <c r="AE1147" s="29" t="str">
        <f t="shared" si="401"/>
        <v>NA</v>
      </c>
      <c r="AF1147" s="29" t="str">
        <f t="shared" si="402"/>
        <v>NA</v>
      </c>
      <c r="AG1147" s="29" t="str">
        <f t="shared" si="403"/>
        <v>NA</v>
      </c>
      <c r="AH1147" s="29" t="str">
        <f t="shared" si="404"/>
        <v>NA</v>
      </c>
    </row>
    <row r="1148" customHeight="1" spans="1:34">
      <c r="A1148" s="12" t="s">
        <v>1043</v>
      </c>
      <c r="F1148" s="24">
        <f t="shared" si="386"/>
        <v>0</v>
      </c>
      <c r="G1148" s="24" t="e">
        <f t="shared" si="385"/>
        <v>#DIV/0!</v>
      </c>
      <c r="Q1148" s="29" t="str">
        <f t="shared" si="387"/>
        <v>NA</v>
      </c>
      <c r="R1148" s="29" t="str">
        <f t="shared" si="388"/>
        <v>NA</v>
      </c>
      <c r="S1148" s="29" t="str">
        <f t="shared" si="389"/>
        <v>NA</v>
      </c>
      <c r="T1148" s="29" t="str">
        <f t="shared" si="390"/>
        <v>NA</v>
      </c>
      <c r="U1148" s="29" t="str">
        <f t="shared" si="391"/>
        <v>NA</v>
      </c>
      <c r="V1148" s="29" t="str">
        <f t="shared" si="392"/>
        <v>NA</v>
      </c>
      <c r="W1148" s="29" t="str">
        <f t="shared" si="393"/>
        <v>NA</v>
      </c>
      <c r="X1148" s="29" t="str">
        <f t="shared" si="394"/>
        <v>NA</v>
      </c>
      <c r="Y1148" s="29" t="str">
        <f t="shared" si="395"/>
        <v>NA</v>
      </c>
      <c r="Z1148" s="29" t="str">
        <f t="shared" si="396"/>
        <v>NA</v>
      </c>
      <c r="AA1148" s="29" t="str">
        <f t="shared" si="397"/>
        <v>NA</v>
      </c>
      <c r="AB1148" s="29" t="str">
        <f t="shared" si="398"/>
        <v>NA</v>
      </c>
      <c r="AC1148" s="29" t="str">
        <f t="shared" si="399"/>
        <v>NA</v>
      </c>
      <c r="AD1148" s="29" t="str">
        <f t="shared" si="400"/>
        <v>NA</v>
      </c>
      <c r="AE1148" s="29" t="str">
        <f t="shared" si="401"/>
        <v>NA</v>
      </c>
      <c r="AF1148" s="29" t="str">
        <f t="shared" si="402"/>
        <v>NA</v>
      </c>
      <c r="AG1148" s="29" t="str">
        <f t="shared" si="403"/>
        <v>NA</v>
      </c>
      <c r="AH1148" s="29" t="str">
        <f t="shared" si="404"/>
        <v>NA</v>
      </c>
    </row>
    <row r="1149" customHeight="1" spans="1:34">
      <c r="A1149" s="12" t="s">
        <v>1043</v>
      </c>
      <c r="F1149" s="24">
        <f t="shared" si="386"/>
        <v>0</v>
      </c>
      <c r="G1149" s="24" t="e">
        <f t="shared" si="385"/>
        <v>#DIV/0!</v>
      </c>
      <c r="Q1149" s="29" t="str">
        <f t="shared" si="387"/>
        <v>NA</v>
      </c>
      <c r="R1149" s="29" t="str">
        <f t="shared" si="388"/>
        <v>NA</v>
      </c>
      <c r="S1149" s="29" t="str">
        <f t="shared" si="389"/>
        <v>NA</v>
      </c>
      <c r="T1149" s="29" t="str">
        <f t="shared" si="390"/>
        <v>NA</v>
      </c>
      <c r="U1149" s="29" t="str">
        <f t="shared" si="391"/>
        <v>NA</v>
      </c>
      <c r="V1149" s="29" t="str">
        <f t="shared" si="392"/>
        <v>NA</v>
      </c>
      <c r="W1149" s="29" t="str">
        <f t="shared" si="393"/>
        <v>NA</v>
      </c>
      <c r="X1149" s="29" t="str">
        <f t="shared" si="394"/>
        <v>NA</v>
      </c>
      <c r="Y1149" s="29" t="str">
        <f t="shared" si="395"/>
        <v>NA</v>
      </c>
      <c r="Z1149" s="29" t="str">
        <f t="shared" si="396"/>
        <v>NA</v>
      </c>
      <c r="AA1149" s="29" t="str">
        <f t="shared" si="397"/>
        <v>NA</v>
      </c>
      <c r="AB1149" s="29" t="str">
        <f t="shared" si="398"/>
        <v>NA</v>
      </c>
      <c r="AC1149" s="29" t="str">
        <f t="shared" si="399"/>
        <v>NA</v>
      </c>
      <c r="AD1149" s="29" t="str">
        <f t="shared" si="400"/>
        <v>NA</v>
      </c>
      <c r="AE1149" s="29" t="str">
        <f t="shared" si="401"/>
        <v>NA</v>
      </c>
      <c r="AF1149" s="29" t="str">
        <f t="shared" si="402"/>
        <v>NA</v>
      </c>
      <c r="AG1149" s="29" t="str">
        <f t="shared" si="403"/>
        <v>NA</v>
      </c>
      <c r="AH1149" s="29" t="str">
        <f t="shared" si="404"/>
        <v>NA</v>
      </c>
    </row>
    <row r="1150" customHeight="1" spans="1:34">
      <c r="A1150" s="12" t="s">
        <v>1043</v>
      </c>
      <c r="F1150" s="24">
        <f t="shared" si="386"/>
        <v>0</v>
      </c>
      <c r="G1150" s="24" t="e">
        <f t="shared" si="385"/>
        <v>#DIV/0!</v>
      </c>
      <c r="Q1150" s="29" t="str">
        <f t="shared" si="387"/>
        <v>NA</v>
      </c>
      <c r="R1150" s="29" t="str">
        <f t="shared" si="388"/>
        <v>NA</v>
      </c>
      <c r="S1150" s="29" t="str">
        <f t="shared" si="389"/>
        <v>NA</v>
      </c>
      <c r="T1150" s="29" t="str">
        <f t="shared" si="390"/>
        <v>NA</v>
      </c>
      <c r="U1150" s="29" t="str">
        <f t="shared" si="391"/>
        <v>NA</v>
      </c>
      <c r="V1150" s="29" t="str">
        <f t="shared" si="392"/>
        <v>NA</v>
      </c>
      <c r="W1150" s="29" t="str">
        <f t="shared" si="393"/>
        <v>NA</v>
      </c>
      <c r="X1150" s="29" t="str">
        <f t="shared" si="394"/>
        <v>NA</v>
      </c>
      <c r="Y1150" s="29" t="str">
        <f t="shared" si="395"/>
        <v>NA</v>
      </c>
      <c r="Z1150" s="29" t="str">
        <f t="shared" si="396"/>
        <v>NA</v>
      </c>
      <c r="AA1150" s="29" t="str">
        <f t="shared" si="397"/>
        <v>NA</v>
      </c>
      <c r="AB1150" s="29" t="str">
        <f t="shared" si="398"/>
        <v>NA</v>
      </c>
      <c r="AC1150" s="29" t="str">
        <f t="shared" si="399"/>
        <v>NA</v>
      </c>
      <c r="AD1150" s="29" t="str">
        <f t="shared" si="400"/>
        <v>NA</v>
      </c>
      <c r="AE1150" s="29" t="str">
        <f t="shared" si="401"/>
        <v>NA</v>
      </c>
      <c r="AF1150" s="29" t="str">
        <f t="shared" si="402"/>
        <v>NA</v>
      </c>
      <c r="AG1150" s="29" t="str">
        <f t="shared" si="403"/>
        <v>NA</v>
      </c>
      <c r="AH1150" s="29" t="str">
        <f t="shared" si="404"/>
        <v>NA</v>
      </c>
    </row>
    <row r="1151" customHeight="1" spans="1:34">
      <c r="A1151" s="12" t="s">
        <v>1043</v>
      </c>
      <c r="F1151" s="24">
        <f t="shared" si="386"/>
        <v>0</v>
      </c>
      <c r="G1151" s="24" t="e">
        <f t="shared" si="385"/>
        <v>#DIV/0!</v>
      </c>
      <c r="Q1151" s="29" t="str">
        <f t="shared" si="387"/>
        <v>NA</v>
      </c>
      <c r="R1151" s="29" t="str">
        <f t="shared" si="388"/>
        <v>NA</v>
      </c>
      <c r="S1151" s="29" t="str">
        <f t="shared" si="389"/>
        <v>NA</v>
      </c>
      <c r="T1151" s="29" t="str">
        <f t="shared" si="390"/>
        <v>NA</v>
      </c>
      <c r="U1151" s="29" t="str">
        <f t="shared" si="391"/>
        <v>NA</v>
      </c>
      <c r="V1151" s="29" t="str">
        <f t="shared" si="392"/>
        <v>NA</v>
      </c>
      <c r="W1151" s="29" t="str">
        <f t="shared" si="393"/>
        <v>NA</v>
      </c>
      <c r="X1151" s="29" t="str">
        <f t="shared" si="394"/>
        <v>NA</v>
      </c>
      <c r="Y1151" s="29" t="str">
        <f t="shared" si="395"/>
        <v>NA</v>
      </c>
      <c r="Z1151" s="29" t="str">
        <f t="shared" si="396"/>
        <v>NA</v>
      </c>
      <c r="AA1151" s="29" t="str">
        <f t="shared" si="397"/>
        <v>NA</v>
      </c>
      <c r="AB1151" s="29" t="str">
        <f t="shared" si="398"/>
        <v>NA</v>
      </c>
      <c r="AC1151" s="29" t="str">
        <f t="shared" si="399"/>
        <v>NA</v>
      </c>
      <c r="AD1151" s="29" t="str">
        <f t="shared" si="400"/>
        <v>NA</v>
      </c>
      <c r="AE1151" s="29" t="str">
        <f t="shared" si="401"/>
        <v>NA</v>
      </c>
      <c r="AF1151" s="29" t="str">
        <f t="shared" si="402"/>
        <v>NA</v>
      </c>
      <c r="AG1151" s="29" t="str">
        <f t="shared" si="403"/>
        <v>NA</v>
      </c>
      <c r="AH1151" s="29" t="str">
        <f t="shared" si="404"/>
        <v>NA</v>
      </c>
    </row>
    <row r="1152" customHeight="1" spans="1:34">
      <c r="A1152" s="12" t="s">
        <v>1043</v>
      </c>
      <c r="F1152" s="24">
        <f t="shared" si="386"/>
        <v>0</v>
      </c>
      <c r="G1152" s="24" t="e">
        <f t="shared" si="385"/>
        <v>#DIV/0!</v>
      </c>
      <c r="Q1152" s="29" t="str">
        <f t="shared" si="387"/>
        <v>NA</v>
      </c>
      <c r="R1152" s="29" t="str">
        <f t="shared" si="388"/>
        <v>NA</v>
      </c>
      <c r="S1152" s="29" t="str">
        <f t="shared" si="389"/>
        <v>NA</v>
      </c>
      <c r="T1152" s="29" t="str">
        <f t="shared" si="390"/>
        <v>NA</v>
      </c>
      <c r="U1152" s="29" t="str">
        <f t="shared" si="391"/>
        <v>NA</v>
      </c>
      <c r="V1152" s="29" t="str">
        <f t="shared" si="392"/>
        <v>NA</v>
      </c>
      <c r="W1152" s="29" t="str">
        <f t="shared" si="393"/>
        <v>NA</v>
      </c>
      <c r="X1152" s="29" t="str">
        <f t="shared" si="394"/>
        <v>NA</v>
      </c>
      <c r="Y1152" s="29" t="str">
        <f t="shared" si="395"/>
        <v>NA</v>
      </c>
      <c r="Z1152" s="29" t="str">
        <f t="shared" si="396"/>
        <v>NA</v>
      </c>
      <c r="AA1152" s="29" t="str">
        <f t="shared" si="397"/>
        <v>NA</v>
      </c>
      <c r="AB1152" s="29" t="str">
        <f t="shared" si="398"/>
        <v>NA</v>
      </c>
      <c r="AC1152" s="29" t="str">
        <f t="shared" si="399"/>
        <v>NA</v>
      </c>
      <c r="AD1152" s="29" t="str">
        <f t="shared" si="400"/>
        <v>NA</v>
      </c>
      <c r="AE1152" s="29" t="str">
        <f t="shared" si="401"/>
        <v>NA</v>
      </c>
      <c r="AF1152" s="29" t="str">
        <f t="shared" si="402"/>
        <v>NA</v>
      </c>
      <c r="AG1152" s="29" t="str">
        <f t="shared" si="403"/>
        <v>NA</v>
      </c>
      <c r="AH1152" s="29" t="str">
        <f t="shared" si="404"/>
        <v>NA</v>
      </c>
    </row>
    <row r="1153" customHeight="1" spans="1:34">
      <c r="A1153" s="12" t="s">
        <v>1043</v>
      </c>
      <c r="F1153" s="24">
        <f t="shared" si="386"/>
        <v>0</v>
      </c>
      <c r="G1153" s="24" t="e">
        <f t="shared" si="385"/>
        <v>#DIV/0!</v>
      </c>
      <c r="Q1153" s="29" t="str">
        <f t="shared" si="387"/>
        <v>NA</v>
      </c>
      <c r="R1153" s="29" t="str">
        <f t="shared" si="388"/>
        <v>NA</v>
      </c>
      <c r="S1153" s="29" t="str">
        <f t="shared" si="389"/>
        <v>NA</v>
      </c>
      <c r="T1153" s="29" t="str">
        <f t="shared" si="390"/>
        <v>NA</v>
      </c>
      <c r="U1153" s="29" t="str">
        <f t="shared" si="391"/>
        <v>NA</v>
      </c>
      <c r="V1153" s="29" t="str">
        <f t="shared" si="392"/>
        <v>NA</v>
      </c>
      <c r="W1153" s="29" t="str">
        <f t="shared" si="393"/>
        <v>NA</v>
      </c>
      <c r="X1153" s="29" t="str">
        <f t="shared" si="394"/>
        <v>NA</v>
      </c>
      <c r="Y1153" s="29" t="str">
        <f t="shared" si="395"/>
        <v>NA</v>
      </c>
      <c r="Z1153" s="29" t="str">
        <f t="shared" si="396"/>
        <v>NA</v>
      </c>
      <c r="AA1153" s="29" t="str">
        <f t="shared" si="397"/>
        <v>NA</v>
      </c>
      <c r="AB1153" s="29" t="str">
        <f t="shared" si="398"/>
        <v>NA</v>
      </c>
      <c r="AC1153" s="29" t="str">
        <f t="shared" si="399"/>
        <v>NA</v>
      </c>
      <c r="AD1153" s="29" t="str">
        <f t="shared" si="400"/>
        <v>NA</v>
      </c>
      <c r="AE1153" s="29" t="str">
        <f t="shared" si="401"/>
        <v>NA</v>
      </c>
      <c r="AF1153" s="29" t="str">
        <f t="shared" si="402"/>
        <v>NA</v>
      </c>
      <c r="AG1153" s="29" t="str">
        <f t="shared" si="403"/>
        <v>NA</v>
      </c>
      <c r="AH1153" s="29" t="str">
        <f t="shared" si="404"/>
        <v>NA</v>
      </c>
    </row>
    <row r="1154" customHeight="1" spans="1:34">
      <c r="A1154" s="12" t="s">
        <v>1043</v>
      </c>
      <c r="F1154" s="24">
        <f t="shared" si="386"/>
        <v>0</v>
      </c>
      <c r="G1154" s="24" t="e">
        <f t="shared" si="385"/>
        <v>#DIV/0!</v>
      </c>
      <c r="Q1154" s="29" t="str">
        <f t="shared" si="387"/>
        <v>NA</v>
      </c>
      <c r="R1154" s="29" t="str">
        <f t="shared" si="388"/>
        <v>NA</v>
      </c>
      <c r="S1154" s="29" t="str">
        <f t="shared" si="389"/>
        <v>NA</v>
      </c>
      <c r="T1154" s="29" t="str">
        <f t="shared" si="390"/>
        <v>NA</v>
      </c>
      <c r="U1154" s="29" t="str">
        <f t="shared" si="391"/>
        <v>NA</v>
      </c>
      <c r="V1154" s="29" t="str">
        <f t="shared" si="392"/>
        <v>NA</v>
      </c>
      <c r="W1154" s="29" t="str">
        <f t="shared" si="393"/>
        <v>NA</v>
      </c>
      <c r="X1154" s="29" t="str">
        <f t="shared" si="394"/>
        <v>NA</v>
      </c>
      <c r="Y1154" s="29" t="str">
        <f t="shared" si="395"/>
        <v>NA</v>
      </c>
      <c r="Z1154" s="29" t="str">
        <f t="shared" si="396"/>
        <v>NA</v>
      </c>
      <c r="AA1154" s="29" t="str">
        <f t="shared" si="397"/>
        <v>NA</v>
      </c>
      <c r="AB1154" s="29" t="str">
        <f t="shared" si="398"/>
        <v>NA</v>
      </c>
      <c r="AC1154" s="29" t="str">
        <f t="shared" si="399"/>
        <v>NA</v>
      </c>
      <c r="AD1154" s="29" t="str">
        <f t="shared" si="400"/>
        <v>NA</v>
      </c>
      <c r="AE1154" s="29" t="str">
        <f t="shared" si="401"/>
        <v>NA</v>
      </c>
      <c r="AF1154" s="29" t="str">
        <f t="shared" si="402"/>
        <v>NA</v>
      </c>
      <c r="AG1154" s="29" t="str">
        <f t="shared" si="403"/>
        <v>NA</v>
      </c>
      <c r="AH1154" s="29" t="str">
        <f t="shared" si="404"/>
        <v>NA</v>
      </c>
    </row>
    <row r="1155" customHeight="1" spans="1:34">
      <c r="A1155" s="12" t="s">
        <v>1043</v>
      </c>
      <c r="F1155" s="24">
        <f t="shared" si="386"/>
        <v>0</v>
      </c>
      <c r="G1155" s="24" t="e">
        <f t="shared" si="385"/>
        <v>#DIV/0!</v>
      </c>
      <c r="Q1155" s="29" t="str">
        <f t="shared" si="387"/>
        <v>NA</v>
      </c>
      <c r="R1155" s="29" t="str">
        <f t="shared" si="388"/>
        <v>NA</v>
      </c>
      <c r="S1155" s="29" t="str">
        <f t="shared" si="389"/>
        <v>NA</v>
      </c>
      <c r="T1155" s="29" t="str">
        <f t="shared" si="390"/>
        <v>NA</v>
      </c>
      <c r="U1155" s="29" t="str">
        <f t="shared" si="391"/>
        <v>NA</v>
      </c>
      <c r="V1155" s="29" t="str">
        <f t="shared" si="392"/>
        <v>NA</v>
      </c>
      <c r="W1155" s="29" t="str">
        <f t="shared" si="393"/>
        <v>NA</v>
      </c>
      <c r="X1155" s="29" t="str">
        <f t="shared" si="394"/>
        <v>NA</v>
      </c>
      <c r="Y1155" s="29" t="str">
        <f t="shared" si="395"/>
        <v>NA</v>
      </c>
      <c r="Z1155" s="29" t="str">
        <f t="shared" si="396"/>
        <v>NA</v>
      </c>
      <c r="AA1155" s="29" t="str">
        <f t="shared" si="397"/>
        <v>NA</v>
      </c>
      <c r="AB1155" s="29" t="str">
        <f t="shared" si="398"/>
        <v>NA</v>
      </c>
      <c r="AC1155" s="29" t="str">
        <f t="shared" si="399"/>
        <v>NA</v>
      </c>
      <c r="AD1155" s="29" t="str">
        <f t="shared" si="400"/>
        <v>NA</v>
      </c>
      <c r="AE1155" s="29" t="str">
        <f t="shared" si="401"/>
        <v>NA</v>
      </c>
      <c r="AF1155" s="29" t="str">
        <f t="shared" si="402"/>
        <v>NA</v>
      </c>
      <c r="AG1155" s="29" t="str">
        <f t="shared" si="403"/>
        <v>NA</v>
      </c>
      <c r="AH1155" s="29" t="str">
        <f t="shared" si="404"/>
        <v>NA</v>
      </c>
    </row>
    <row r="1156" customHeight="1" spans="1:34">
      <c r="A1156" s="12" t="s">
        <v>1043</v>
      </c>
      <c r="F1156" s="24">
        <f t="shared" si="386"/>
        <v>0</v>
      </c>
      <c r="G1156" s="24" t="e">
        <f t="shared" si="385"/>
        <v>#DIV/0!</v>
      </c>
      <c r="Q1156" s="29" t="str">
        <f t="shared" si="387"/>
        <v>NA</v>
      </c>
      <c r="R1156" s="29" t="str">
        <f t="shared" si="388"/>
        <v>NA</v>
      </c>
      <c r="S1156" s="29" t="str">
        <f t="shared" si="389"/>
        <v>NA</v>
      </c>
      <c r="T1156" s="29" t="str">
        <f t="shared" si="390"/>
        <v>NA</v>
      </c>
      <c r="U1156" s="29" t="str">
        <f t="shared" si="391"/>
        <v>NA</v>
      </c>
      <c r="V1156" s="29" t="str">
        <f t="shared" si="392"/>
        <v>NA</v>
      </c>
      <c r="W1156" s="29" t="str">
        <f t="shared" si="393"/>
        <v>NA</v>
      </c>
      <c r="X1156" s="29" t="str">
        <f t="shared" si="394"/>
        <v>NA</v>
      </c>
      <c r="Y1156" s="29" t="str">
        <f t="shared" si="395"/>
        <v>NA</v>
      </c>
      <c r="Z1156" s="29" t="str">
        <f t="shared" si="396"/>
        <v>NA</v>
      </c>
      <c r="AA1156" s="29" t="str">
        <f t="shared" si="397"/>
        <v>NA</v>
      </c>
      <c r="AB1156" s="29" t="str">
        <f t="shared" si="398"/>
        <v>NA</v>
      </c>
      <c r="AC1156" s="29" t="str">
        <f t="shared" si="399"/>
        <v>NA</v>
      </c>
      <c r="AD1156" s="29" t="str">
        <f t="shared" si="400"/>
        <v>NA</v>
      </c>
      <c r="AE1156" s="29" t="str">
        <f t="shared" si="401"/>
        <v>NA</v>
      </c>
      <c r="AF1156" s="29" t="str">
        <f t="shared" si="402"/>
        <v>NA</v>
      </c>
      <c r="AG1156" s="29" t="str">
        <f t="shared" si="403"/>
        <v>NA</v>
      </c>
      <c r="AH1156" s="29" t="str">
        <f t="shared" si="404"/>
        <v>NA</v>
      </c>
    </row>
    <row r="1157" customHeight="1" spans="1:34">
      <c r="A1157" s="12" t="s">
        <v>1043</v>
      </c>
      <c r="F1157" s="24">
        <f t="shared" si="386"/>
        <v>0</v>
      </c>
      <c r="G1157" s="24" t="e">
        <f t="shared" ref="G1157:G1220" si="405">B1157*D1157/C1157</f>
        <v>#DIV/0!</v>
      </c>
      <c r="Q1157" s="29" t="str">
        <f t="shared" si="387"/>
        <v>NA</v>
      </c>
      <c r="R1157" s="29" t="str">
        <f t="shared" si="388"/>
        <v>NA</v>
      </c>
      <c r="S1157" s="29" t="str">
        <f t="shared" si="389"/>
        <v>NA</v>
      </c>
      <c r="T1157" s="29" t="str">
        <f t="shared" si="390"/>
        <v>NA</v>
      </c>
      <c r="U1157" s="29" t="str">
        <f t="shared" si="391"/>
        <v>NA</v>
      </c>
      <c r="V1157" s="29" t="str">
        <f t="shared" si="392"/>
        <v>NA</v>
      </c>
      <c r="W1157" s="29" t="str">
        <f t="shared" si="393"/>
        <v>NA</v>
      </c>
      <c r="X1157" s="29" t="str">
        <f t="shared" si="394"/>
        <v>NA</v>
      </c>
      <c r="Y1157" s="29" t="str">
        <f t="shared" si="395"/>
        <v>NA</v>
      </c>
      <c r="Z1157" s="29" t="str">
        <f t="shared" si="396"/>
        <v>NA</v>
      </c>
      <c r="AA1157" s="29" t="str">
        <f t="shared" si="397"/>
        <v>NA</v>
      </c>
      <c r="AB1157" s="29" t="str">
        <f t="shared" si="398"/>
        <v>NA</v>
      </c>
      <c r="AC1157" s="29" t="str">
        <f t="shared" si="399"/>
        <v>NA</v>
      </c>
      <c r="AD1157" s="29" t="str">
        <f t="shared" si="400"/>
        <v>NA</v>
      </c>
      <c r="AE1157" s="29" t="str">
        <f t="shared" si="401"/>
        <v>NA</v>
      </c>
      <c r="AF1157" s="29" t="str">
        <f t="shared" si="402"/>
        <v>NA</v>
      </c>
      <c r="AG1157" s="29" t="str">
        <f t="shared" si="403"/>
        <v>NA</v>
      </c>
      <c r="AH1157" s="29" t="str">
        <f t="shared" si="404"/>
        <v>NA</v>
      </c>
    </row>
    <row r="1158" customHeight="1" spans="1:34">
      <c r="A1158" s="12" t="s">
        <v>1043</v>
      </c>
      <c r="F1158" s="24">
        <f t="shared" ref="F1158:F1221" si="406">+D1158+E1158</f>
        <v>0</v>
      </c>
      <c r="G1158" s="24" t="e">
        <f t="shared" si="405"/>
        <v>#DIV/0!</v>
      </c>
      <c r="Q1158" s="29" t="str">
        <f t="shared" si="387"/>
        <v>NA</v>
      </c>
      <c r="R1158" s="29" t="str">
        <f t="shared" si="388"/>
        <v>NA</v>
      </c>
      <c r="S1158" s="29" t="str">
        <f t="shared" si="389"/>
        <v>NA</v>
      </c>
      <c r="T1158" s="29" t="str">
        <f t="shared" si="390"/>
        <v>NA</v>
      </c>
      <c r="U1158" s="29" t="str">
        <f t="shared" si="391"/>
        <v>NA</v>
      </c>
      <c r="V1158" s="29" t="str">
        <f t="shared" si="392"/>
        <v>NA</v>
      </c>
      <c r="W1158" s="29" t="str">
        <f t="shared" si="393"/>
        <v>NA</v>
      </c>
      <c r="X1158" s="29" t="str">
        <f t="shared" si="394"/>
        <v>NA</v>
      </c>
      <c r="Y1158" s="29" t="str">
        <f t="shared" si="395"/>
        <v>NA</v>
      </c>
      <c r="Z1158" s="29" t="str">
        <f t="shared" si="396"/>
        <v>NA</v>
      </c>
      <c r="AA1158" s="29" t="str">
        <f t="shared" si="397"/>
        <v>NA</v>
      </c>
      <c r="AB1158" s="29" t="str">
        <f t="shared" si="398"/>
        <v>NA</v>
      </c>
      <c r="AC1158" s="29" t="str">
        <f t="shared" si="399"/>
        <v>NA</v>
      </c>
      <c r="AD1158" s="29" t="str">
        <f t="shared" si="400"/>
        <v>NA</v>
      </c>
      <c r="AE1158" s="29" t="str">
        <f t="shared" si="401"/>
        <v>NA</v>
      </c>
      <c r="AF1158" s="29" t="str">
        <f t="shared" si="402"/>
        <v>NA</v>
      </c>
      <c r="AG1158" s="29" t="str">
        <f t="shared" si="403"/>
        <v>NA</v>
      </c>
      <c r="AH1158" s="29" t="str">
        <f t="shared" si="404"/>
        <v>NA</v>
      </c>
    </row>
    <row r="1159" customHeight="1" spans="1:34">
      <c r="A1159" s="12" t="s">
        <v>1043</v>
      </c>
      <c r="F1159" s="24">
        <f t="shared" si="406"/>
        <v>0</v>
      </c>
      <c r="G1159" s="24" t="e">
        <f t="shared" si="405"/>
        <v>#DIV/0!</v>
      </c>
      <c r="Q1159" s="29" t="str">
        <f t="shared" si="387"/>
        <v>NA</v>
      </c>
      <c r="R1159" s="29" t="str">
        <f t="shared" si="388"/>
        <v>NA</v>
      </c>
      <c r="S1159" s="29" t="str">
        <f t="shared" si="389"/>
        <v>NA</v>
      </c>
      <c r="T1159" s="29" t="str">
        <f t="shared" si="390"/>
        <v>NA</v>
      </c>
      <c r="U1159" s="29" t="str">
        <f t="shared" si="391"/>
        <v>NA</v>
      </c>
      <c r="V1159" s="29" t="str">
        <f t="shared" si="392"/>
        <v>NA</v>
      </c>
      <c r="W1159" s="29" t="str">
        <f t="shared" si="393"/>
        <v>NA</v>
      </c>
      <c r="X1159" s="29" t="str">
        <f t="shared" si="394"/>
        <v>NA</v>
      </c>
      <c r="Y1159" s="29" t="str">
        <f t="shared" si="395"/>
        <v>NA</v>
      </c>
      <c r="Z1159" s="29" t="str">
        <f t="shared" si="396"/>
        <v>NA</v>
      </c>
      <c r="AA1159" s="29" t="str">
        <f t="shared" si="397"/>
        <v>NA</v>
      </c>
      <c r="AB1159" s="29" t="str">
        <f t="shared" si="398"/>
        <v>NA</v>
      </c>
      <c r="AC1159" s="29" t="str">
        <f t="shared" si="399"/>
        <v>NA</v>
      </c>
      <c r="AD1159" s="29" t="str">
        <f t="shared" si="400"/>
        <v>NA</v>
      </c>
      <c r="AE1159" s="29" t="str">
        <f t="shared" si="401"/>
        <v>NA</v>
      </c>
      <c r="AF1159" s="29" t="str">
        <f t="shared" si="402"/>
        <v>NA</v>
      </c>
      <c r="AG1159" s="29" t="str">
        <f t="shared" si="403"/>
        <v>NA</v>
      </c>
      <c r="AH1159" s="29" t="str">
        <f t="shared" si="404"/>
        <v>NA</v>
      </c>
    </row>
    <row r="1160" customHeight="1" spans="1:34">
      <c r="A1160" s="12" t="s">
        <v>1043</v>
      </c>
      <c r="F1160" s="24">
        <f t="shared" si="406"/>
        <v>0</v>
      </c>
      <c r="G1160" s="24" t="e">
        <f t="shared" si="405"/>
        <v>#DIV/0!</v>
      </c>
      <c r="Q1160" s="29" t="str">
        <f t="shared" si="387"/>
        <v>NA</v>
      </c>
      <c r="R1160" s="29" t="str">
        <f t="shared" si="388"/>
        <v>NA</v>
      </c>
      <c r="S1160" s="29" t="str">
        <f t="shared" si="389"/>
        <v>NA</v>
      </c>
      <c r="T1160" s="29" t="str">
        <f t="shared" si="390"/>
        <v>NA</v>
      </c>
      <c r="U1160" s="29" t="str">
        <f t="shared" si="391"/>
        <v>NA</v>
      </c>
      <c r="V1160" s="29" t="str">
        <f t="shared" si="392"/>
        <v>NA</v>
      </c>
      <c r="W1160" s="29" t="str">
        <f t="shared" si="393"/>
        <v>NA</v>
      </c>
      <c r="X1160" s="29" t="str">
        <f t="shared" si="394"/>
        <v>NA</v>
      </c>
      <c r="Y1160" s="29" t="str">
        <f t="shared" si="395"/>
        <v>NA</v>
      </c>
      <c r="Z1160" s="29" t="str">
        <f t="shared" si="396"/>
        <v>NA</v>
      </c>
      <c r="AA1160" s="29" t="str">
        <f t="shared" si="397"/>
        <v>NA</v>
      </c>
      <c r="AB1160" s="29" t="str">
        <f t="shared" si="398"/>
        <v>NA</v>
      </c>
      <c r="AC1160" s="29" t="str">
        <f t="shared" si="399"/>
        <v>NA</v>
      </c>
      <c r="AD1160" s="29" t="str">
        <f t="shared" si="400"/>
        <v>NA</v>
      </c>
      <c r="AE1160" s="29" t="str">
        <f t="shared" si="401"/>
        <v>NA</v>
      </c>
      <c r="AF1160" s="29" t="str">
        <f t="shared" si="402"/>
        <v>NA</v>
      </c>
      <c r="AG1160" s="29" t="str">
        <f t="shared" si="403"/>
        <v>NA</v>
      </c>
      <c r="AH1160" s="29" t="str">
        <f t="shared" si="404"/>
        <v>NA</v>
      </c>
    </row>
    <row r="1161" customHeight="1" spans="1:34">
      <c r="A1161" s="12" t="s">
        <v>1043</v>
      </c>
      <c r="F1161" s="24">
        <f t="shared" si="406"/>
        <v>0</v>
      </c>
      <c r="G1161" s="24" t="e">
        <f t="shared" si="405"/>
        <v>#DIV/0!</v>
      </c>
      <c r="Q1161" s="29" t="str">
        <f t="shared" si="387"/>
        <v>NA</v>
      </c>
      <c r="R1161" s="29" t="str">
        <f t="shared" si="388"/>
        <v>NA</v>
      </c>
      <c r="S1161" s="29" t="str">
        <f t="shared" si="389"/>
        <v>NA</v>
      </c>
      <c r="T1161" s="29" t="str">
        <f t="shared" si="390"/>
        <v>NA</v>
      </c>
      <c r="U1161" s="29" t="str">
        <f t="shared" si="391"/>
        <v>NA</v>
      </c>
      <c r="V1161" s="29" t="str">
        <f t="shared" si="392"/>
        <v>NA</v>
      </c>
      <c r="W1161" s="29" t="str">
        <f t="shared" si="393"/>
        <v>NA</v>
      </c>
      <c r="X1161" s="29" t="str">
        <f t="shared" si="394"/>
        <v>NA</v>
      </c>
      <c r="Y1161" s="29" t="str">
        <f t="shared" si="395"/>
        <v>NA</v>
      </c>
      <c r="Z1161" s="29" t="str">
        <f t="shared" si="396"/>
        <v>NA</v>
      </c>
      <c r="AA1161" s="29" t="str">
        <f t="shared" si="397"/>
        <v>NA</v>
      </c>
      <c r="AB1161" s="29" t="str">
        <f t="shared" si="398"/>
        <v>NA</v>
      </c>
      <c r="AC1161" s="29" t="str">
        <f t="shared" si="399"/>
        <v>NA</v>
      </c>
      <c r="AD1161" s="29" t="str">
        <f t="shared" si="400"/>
        <v>NA</v>
      </c>
      <c r="AE1161" s="29" t="str">
        <f t="shared" si="401"/>
        <v>NA</v>
      </c>
      <c r="AF1161" s="29" t="str">
        <f t="shared" si="402"/>
        <v>NA</v>
      </c>
      <c r="AG1161" s="29" t="str">
        <f t="shared" si="403"/>
        <v>NA</v>
      </c>
      <c r="AH1161" s="29" t="str">
        <f t="shared" si="404"/>
        <v>NA</v>
      </c>
    </row>
    <row r="1162" customHeight="1" spans="1:34">
      <c r="A1162" s="12" t="s">
        <v>1043</v>
      </c>
      <c r="F1162" s="24">
        <f t="shared" si="406"/>
        <v>0</v>
      </c>
      <c r="G1162" s="24" t="e">
        <f t="shared" si="405"/>
        <v>#DIV/0!</v>
      </c>
      <c r="Q1162" s="29" t="str">
        <f t="shared" si="387"/>
        <v>NA</v>
      </c>
      <c r="R1162" s="29" t="str">
        <f t="shared" si="388"/>
        <v>NA</v>
      </c>
      <c r="S1162" s="29" t="str">
        <f t="shared" si="389"/>
        <v>NA</v>
      </c>
      <c r="T1162" s="29" t="str">
        <f t="shared" si="390"/>
        <v>NA</v>
      </c>
      <c r="U1162" s="29" t="str">
        <f t="shared" si="391"/>
        <v>NA</v>
      </c>
      <c r="V1162" s="29" t="str">
        <f t="shared" si="392"/>
        <v>NA</v>
      </c>
      <c r="W1162" s="29" t="str">
        <f t="shared" si="393"/>
        <v>NA</v>
      </c>
      <c r="X1162" s="29" t="str">
        <f t="shared" si="394"/>
        <v>NA</v>
      </c>
      <c r="Y1162" s="29" t="str">
        <f t="shared" si="395"/>
        <v>NA</v>
      </c>
      <c r="Z1162" s="29" t="str">
        <f t="shared" si="396"/>
        <v>NA</v>
      </c>
      <c r="AA1162" s="29" t="str">
        <f t="shared" si="397"/>
        <v>NA</v>
      </c>
      <c r="AB1162" s="29" t="str">
        <f t="shared" si="398"/>
        <v>NA</v>
      </c>
      <c r="AC1162" s="29" t="str">
        <f t="shared" si="399"/>
        <v>NA</v>
      </c>
      <c r="AD1162" s="29" t="str">
        <f t="shared" si="400"/>
        <v>NA</v>
      </c>
      <c r="AE1162" s="29" t="str">
        <f t="shared" si="401"/>
        <v>NA</v>
      </c>
      <c r="AF1162" s="29" t="str">
        <f t="shared" si="402"/>
        <v>NA</v>
      </c>
      <c r="AG1162" s="29" t="str">
        <f t="shared" si="403"/>
        <v>NA</v>
      </c>
      <c r="AH1162" s="29" t="str">
        <f t="shared" si="404"/>
        <v>NA</v>
      </c>
    </row>
    <row r="1163" customHeight="1" spans="1:34">
      <c r="A1163" s="12" t="s">
        <v>1043</v>
      </c>
      <c r="F1163" s="24">
        <f t="shared" si="406"/>
        <v>0</v>
      </c>
      <c r="G1163" s="24" t="e">
        <f t="shared" si="405"/>
        <v>#DIV/0!</v>
      </c>
      <c r="Q1163" s="29" t="str">
        <f t="shared" si="387"/>
        <v>NA</v>
      </c>
      <c r="R1163" s="29" t="str">
        <f t="shared" si="388"/>
        <v>NA</v>
      </c>
      <c r="S1163" s="29" t="str">
        <f t="shared" si="389"/>
        <v>NA</v>
      </c>
      <c r="T1163" s="29" t="str">
        <f t="shared" si="390"/>
        <v>NA</v>
      </c>
      <c r="U1163" s="29" t="str">
        <f t="shared" si="391"/>
        <v>NA</v>
      </c>
      <c r="V1163" s="29" t="str">
        <f t="shared" si="392"/>
        <v>NA</v>
      </c>
      <c r="W1163" s="29" t="str">
        <f t="shared" si="393"/>
        <v>NA</v>
      </c>
      <c r="X1163" s="29" t="str">
        <f t="shared" si="394"/>
        <v>NA</v>
      </c>
      <c r="Y1163" s="29" t="str">
        <f t="shared" si="395"/>
        <v>NA</v>
      </c>
      <c r="Z1163" s="29" t="str">
        <f t="shared" si="396"/>
        <v>NA</v>
      </c>
      <c r="AA1163" s="29" t="str">
        <f t="shared" si="397"/>
        <v>NA</v>
      </c>
      <c r="AB1163" s="29" t="str">
        <f t="shared" si="398"/>
        <v>NA</v>
      </c>
      <c r="AC1163" s="29" t="str">
        <f t="shared" si="399"/>
        <v>NA</v>
      </c>
      <c r="AD1163" s="29" t="str">
        <f t="shared" si="400"/>
        <v>NA</v>
      </c>
      <c r="AE1163" s="29" t="str">
        <f t="shared" si="401"/>
        <v>NA</v>
      </c>
      <c r="AF1163" s="29" t="str">
        <f t="shared" si="402"/>
        <v>NA</v>
      </c>
      <c r="AG1163" s="29" t="str">
        <f t="shared" si="403"/>
        <v>NA</v>
      </c>
      <c r="AH1163" s="29" t="str">
        <f t="shared" si="404"/>
        <v>NA</v>
      </c>
    </row>
    <row r="1164" customHeight="1" spans="1:34">
      <c r="A1164" s="12" t="s">
        <v>1043</v>
      </c>
      <c r="F1164" s="24">
        <f t="shared" si="406"/>
        <v>0</v>
      </c>
      <c r="G1164" s="24" t="e">
        <f t="shared" si="405"/>
        <v>#DIV/0!</v>
      </c>
      <c r="Q1164" s="29" t="str">
        <f t="shared" si="387"/>
        <v>NA</v>
      </c>
      <c r="R1164" s="29" t="str">
        <f t="shared" si="388"/>
        <v>NA</v>
      </c>
      <c r="S1164" s="29" t="str">
        <f t="shared" si="389"/>
        <v>NA</v>
      </c>
      <c r="T1164" s="29" t="str">
        <f t="shared" si="390"/>
        <v>NA</v>
      </c>
      <c r="U1164" s="29" t="str">
        <f t="shared" si="391"/>
        <v>NA</v>
      </c>
      <c r="V1164" s="29" t="str">
        <f t="shared" si="392"/>
        <v>NA</v>
      </c>
      <c r="W1164" s="29" t="str">
        <f t="shared" si="393"/>
        <v>NA</v>
      </c>
      <c r="X1164" s="29" t="str">
        <f t="shared" si="394"/>
        <v>NA</v>
      </c>
      <c r="Y1164" s="29" t="str">
        <f t="shared" si="395"/>
        <v>NA</v>
      </c>
      <c r="Z1164" s="29" t="str">
        <f t="shared" si="396"/>
        <v>NA</v>
      </c>
      <c r="AA1164" s="29" t="str">
        <f t="shared" si="397"/>
        <v>NA</v>
      </c>
      <c r="AB1164" s="29" t="str">
        <f t="shared" si="398"/>
        <v>NA</v>
      </c>
      <c r="AC1164" s="29" t="str">
        <f t="shared" si="399"/>
        <v>NA</v>
      </c>
      <c r="AD1164" s="29" t="str">
        <f t="shared" si="400"/>
        <v>NA</v>
      </c>
      <c r="AE1164" s="29" t="str">
        <f t="shared" si="401"/>
        <v>NA</v>
      </c>
      <c r="AF1164" s="29" t="str">
        <f t="shared" si="402"/>
        <v>NA</v>
      </c>
      <c r="AG1164" s="29" t="str">
        <f t="shared" si="403"/>
        <v>NA</v>
      </c>
      <c r="AH1164" s="29" t="str">
        <f t="shared" si="404"/>
        <v>NA</v>
      </c>
    </row>
    <row r="1165" customHeight="1" spans="1:34">
      <c r="A1165" s="12" t="s">
        <v>1043</v>
      </c>
      <c r="F1165" s="24">
        <f t="shared" si="406"/>
        <v>0</v>
      </c>
      <c r="G1165" s="24" t="e">
        <f t="shared" si="405"/>
        <v>#DIV/0!</v>
      </c>
      <c r="Q1165" s="29" t="str">
        <f t="shared" si="387"/>
        <v>NA</v>
      </c>
      <c r="R1165" s="29" t="str">
        <f t="shared" si="388"/>
        <v>NA</v>
      </c>
      <c r="S1165" s="29" t="str">
        <f t="shared" si="389"/>
        <v>NA</v>
      </c>
      <c r="T1165" s="29" t="str">
        <f t="shared" si="390"/>
        <v>NA</v>
      </c>
      <c r="U1165" s="29" t="str">
        <f t="shared" si="391"/>
        <v>NA</v>
      </c>
      <c r="V1165" s="29" t="str">
        <f t="shared" si="392"/>
        <v>NA</v>
      </c>
      <c r="W1165" s="29" t="str">
        <f t="shared" si="393"/>
        <v>NA</v>
      </c>
      <c r="X1165" s="29" t="str">
        <f t="shared" si="394"/>
        <v>NA</v>
      </c>
      <c r="Y1165" s="29" t="str">
        <f t="shared" si="395"/>
        <v>NA</v>
      </c>
      <c r="Z1165" s="29" t="str">
        <f t="shared" si="396"/>
        <v>NA</v>
      </c>
      <c r="AA1165" s="29" t="str">
        <f t="shared" si="397"/>
        <v>NA</v>
      </c>
      <c r="AB1165" s="29" t="str">
        <f t="shared" si="398"/>
        <v>NA</v>
      </c>
      <c r="AC1165" s="29" t="str">
        <f t="shared" si="399"/>
        <v>NA</v>
      </c>
      <c r="AD1165" s="29" t="str">
        <f t="shared" si="400"/>
        <v>NA</v>
      </c>
      <c r="AE1165" s="29" t="str">
        <f t="shared" si="401"/>
        <v>NA</v>
      </c>
      <c r="AF1165" s="29" t="str">
        <f t="shared" si="402"/>
        <v>NA</v>
      </c>
      <c r="AG1165" s="29" t="str">
        <f t="shared" si="403"/>
        <v>NA</v>
      </c>
      <c r="AH1165" s="29" t="str">
        <f t="shared" si="404"/>
        <v>NA</v>
      </c>
    </row>
    <row r="1166" customHeight="1" spans="1:34">
      <c r="A1166" s="12" t="s">
        <v>1043</v>
      </c>
      <c r="F1166" s="24">
        <f t="shared" si="406"/>
        <v>0</v>
      </c>
      <c r="G1166" s="24" t="e">
        <f t="shared" si="405"/>
        <v>#DIV/0!</v>
      </c>
      <c r="Q1166" s="29" t="str">
        <f t="shared" si="387"/>
        <v>NA</v>
      </c>
      <c r="R1166" s="29" t="str">
        <f t="shared" si="388"/>
        <v>NA</v>
      </c>
      <c r="S1166" s="29" t="str">
        <f t="shared" si="389"/>
        <v>NA</v>
      </c>
      <c r="T1166" s="29" t="str">
        <f t="shared" si="390"/>
        <v>NA</v>
      </c>
      <c r="U1166" s="29" t="str">
        <f t="shared" si="391"/>
        <v>NA</v>
      </c>
      <c r="V1166" s="29" t="str">
        <f t="shared" si="392"/>
        <v>NA</v>
      </c>
      <c r="W1166" s="29" t="str">
        <f t="shared" si="393"/>
        <v>NA</v>
      </c>
      <c r="X1166" s="29" t="str">
        <f t="shared" si="394"/>
        <v>NA</v>
      </c>
      <c r="Y1166" s="29" t="str">
        <f t="shared" si="395"/>
        <v>NA</v>
      </c>
      <c r="Z1166" s="29" t="str">
        <f t="shared" si="396"/>
        <v>NA</v>
      </c>
      <c r="AA1166" s="29" t="str">
        <f t="shared" si="397"/>
        <v>NA</v>
      </c>
      <c r="AB1166" s="29" t="str">
        <f t="shared" si="398"/>
        <v>NA</v>
      </c>
      <c r="AC1166" s="29" t="str">
        <f t="shared" si="399"/>
        <v>NA</v>
      </c>
      <c r="AD1166" s="29" t="str">
        <f t="shared" si="400"/>
        <v>NA</v>
      </c>
      <c r="AE1166" s="29" t="str">
        <f t="shared" si="401"/>
        <v>NA</v>
      </c>
      <c r="AF1166" s="29" t="str">
        <f t="shared" si="402"/>
        <v>NA</v>
      </c>
      <c r="AG1166" s="29" t="str">
        <f t="shared" si="403"/>
        <v>NA</v>
      </c>
      <c r="AH1166" s="29" t="str">
        <f t="shared" si="404"/>
        <v>NA</v>
      </c>
    </row>
    <row r="1167" customHeight="1" spans="1:34">
      <c r="A1167" s="12" t="s">
        <v>1043</v>
      </c>
      <c r="F1167" s="24">
        <f t="shared" si="406"/>
        <v>0</v>
      </c>
      <c r="G1167" s="24" t="e">
        <f t="shared" si="405"/>
        <v>#DIV/0!</v>
      </c>
      <c r="Q1167" s="29" t="str">
        <f t="shared" si="387"/>
        <v>NA</v>
      </c>
      <c r="R1167" s="29" t="str">
        <f t="shared" si="388"/>
        <v>NA</v>
      </c>
      <c r="S1167" s="29" t="str">
        <f t="shared" si="389"/>
        <v>NA</v>
      </c>
      <c r="T1167" s="29" t="str">
        <f t="shared" si="390"/>
        <v>NA</v>
      </c>
      <c r="U1167" s="29" t="str">
        <f t="shared" si="391"/>
        <v>NA</v>
      </c>
      <c r="V1167" s="29" t="str">
        <f t="shared" si="392"/>
        <v>NA</v>
      </c>
      <c r="W1167" s="29" t="str">
        <f t="shared" si="393"/>
        <v>NA</v>
      </c>
      <c r="X1167" s="29" t="str">
        <f t="shared" si="394"/>
        <v>NA</v>
      </c>
      <c r="Y1167" s="29" t="str">
        <f t="shared" si="395"/>
        <v>NA</v>
      </c>
      <c r="Z1167" s="29" t="str">
        <f t="shared" si="396"/>
        <v>NA</v>
      </c>
      <c r="AA1167" s="29" t="str">
        <f t="shared" si="397"/>
        <v>NA</v>
      </c>
      <c r="AB1167" s="29" t="str">
        <f t="shared" si="398"/>
        <v>NA</v>
      </c>
      <c r="AC1167" s="29" t="str">
        <f t="shared" si="399"/>
        <v>NA</v>
      </c>
      <c r="AD1167" s="29" t="str">
        <f t="shared" si="400"/>
        <v>NA</v>
      </c>
      <c r="AE1167" s="29" t="str">
        <f t="shared" si="401"/>
        <v>NA</v>
      </c>
      <c r="AF1167" s="29" t="str">
        <f t="shared" si="402"/>
        <v>NA</v>
      </c>
      <c r="AG1167" s="29" t="str">
        <f t="shared" si="403"/>
        <v>NA</v>
      </c>
      <c r="AH1167" s="29" t="str">
        <f t="shared" si="404"/>
        <v>NA</v>
      </c>
    </row>
    <row r="1168" customHeight="1" spans="1:34">
      <c r="A1168" s="12" t="s">
        <v>1043</v>
      </c>
      <c r="F1168" s="24">
        <f t="shared" si="406"/>
        <v>0</v>
      </c>
      <c r="G1168" s="24" t="e">
        <f t="shared" si="405"/>
        <v>#DIV/0!</v>
      </c>
      <c r="Q1168" s="29" t="str">
        <f t="shared" ref="Q1168:Q1231" si="407">IFERROR($B1168*$E1168/H1168,"NA")</f>
        <v>NA</v>
      </c>
      <c r="R1168" s="29" t="str">
        <f t="shared" ref="R1168:R1231" si="408">IFERROR($B1168*$E1168/I1168,"NA")</f>
        <v>NA</v>
      </c>
      <c r="S1168" s="29" t="str">
        <f t="shared" ref="S1168:S1231" si="409">IFERROR($B1168*$E1168/J1168,"NA")</f>
        <v>NA</v>
      </c>
      <c r="T1168" s="29" t="str">
        <f t="shared" ref="T1168:T1231" si="410">IFERROR($B1168*$E1168/K1168,"NA")</f>
        <v>NA</v>
      </c>
      <c r="U1168" s="29" t="str">
        <f t="shared" ref="U1168:U1231" si="411">IFERROR($B1168*$E1168/L1168,"NA")</f>
        <v>NA</v>
      </c>
      <c r="V1168" s="29" t="str">
        <f t="shared" ref="V1168:V1231" si="412">IFERROR($B1168*$E1168/M1168,"NA")</f>
        <v>NA</v>
      </c>
      <c r="W1168" s="29" t="str">
        <f t="shared" ref="W1168:W1231" si="413">IFERROR($B1168*$E1168/N1168,"NA")</f>
        <v>NA</v>
      </c>
      <c r="X1168" s="29" t="str">
        <f t="shared" ref="X1168:X1231" si="414">IFERROR($B1168*$E1168/O1168,"NA")</f>
        <v>NA</v>
      </c>
      <c r="Y1168" s="29" t="str">
        <f t="shared" ref="Y1168:Y1231" si="415">IFERROR($B1168*$E1168/P1168,"NA")</f>
        <v>NA</v>
      </c>
      <c r="Z1168" s="29" t="str">
        <f t="shared" ref="Z1168:Z1231" si="416">IFERROR((($G1168*Z$2/1000)+Q1168)/1,"NA")</f>
        <v>NA</v>
      </c>
      <c r="AA1168" s="29" t="str">
        <f t="shared" ref="AA1168:AA1231" si="417">IFERROR((($G1168*AA$2/1000)+R1168)/1,"NA")</f>
        <v>NA</v>
      </c>
      <c r="AB1168" s="29" t="str">
        <f t="shared" ref="AB1168:AB1231" si="418">IFERROR((($G1168*AB$2/1000)+S1168)/1,"NA")</f>
        <v>NA</v>
      </c>
      <c r="AC1168" s="29" t="str">
        <f t="shared" ref="AC1168:AC1231" si="419">IFERROR((($G1168*AC$2/1000)+T1168)/1,"NA")</f>
        <v>NA</v>
      </c>
      <c r="AD1168" s="29" t="str">
        <f t="shared" ref="AD1168:AD1231" si="420">IFERROR((($G1168*AD$2/1000)+U1168)/1,"NA")</f>
        <v>NA</v>
      </c>
      <c r="AE1168" s="29" t="str">
        <f t="shared" ref="AE1168:AE1231" si="421">IFERROR((($G1168*AE$2/1000)+V1168)/1,"NA")</f>
        <v>NA</v>
      </c>
      <c r="AF1168" s="29" t="str">
        <f t="shared" ref="AF1168:AF1231" si="422">IFERROR((($G1168*AF$2/1000)+W1168)/1,"NA")</f>
        <v>NA</v>
      </c>
      <c r="AG1168" s="29" t="str">
        <f t="shared" ref="AG1168:AG1231" si="423">IFERROR((($G1168*AG$2/1000)+X1168)/1,"NA")</f>
        <v>NA</v>
      </c>
      <c r="AH1168" s="29" t="str">
        <f t="shared" ref="AH1168:AH1231" si="424">IFERROR((($G1168*AH$2/1000)+Y1168)/1,"NA")</f>
        <v>NA</v>
      </c>
    </row>
    <row r="1169" customHeight="1" spans="1:34">
      <c r="A1169" s="12" t="s">
        <v>1043</v>
      </c>
      <c r="F1169" s="24">
        <f t="shared" si="406"/>
        <v>0</v>
      </c>
      <c r="G1169" s="24" t="e">
        <f t="shared" si="405"/>
        <v>#DIV/0!</v>
      </c>
      <c r="Q1169" s="29" t="str">
        <f t="shared" si="407"/>
        <v>NA</v>
      </c>
      <c r="R1169" s="29" t="str">
        <f t="shared" si="408"/>
        <v>NA</v>
      </c>
      <c r="S1169" s="29" t="str">
        <f t="shared" si="409"/>
        <v>NA</v>
      </c>
      <c r="T1169" s="29" t="str">
        <f t="shared" si="410"/>
        <v>NA</v>
      </c>
      <c r="U1169" s="29" t="str">
        <f t="shared" si="411"/>
        <v>NA</v>
      </c>
      <c r="V1169" s="29" t="str">
        <f t="shared" si="412"/>
        <v>NA</v>
      </c>
      <c r="W1169" s="29" t="str">
        <f t="shared" si="413"/>
        <v>NA</v>
      </c>
      <c r="X1169" s="29" t="str">
        <f t="shared" si="414"/>
        <v>NA</v>
      </c>
      <c r="Y1169" s="29" t="str">
        <f t="shared" si="415"/>
        <v>NA</v>
      </c>
      <c r="Z1169" s="29" t="str">
        <f t="shared" si="416"/>
        <v>NA</v>
      </c>
      <c r="AA1169" s="29" t="str">
        <f t="shared" si="417"/>
        <v>NA</v>
      </c>
      <c r="AB1169" s="29" t="str">
        <f t="shared" si="418"/>
        <v>NA</v>
      </c>
      <c r="AC1169" s="29" t="str">
        <f t="shared" si="419"/>
        <v>NA</v>
      </c>
      <c r="AD1169" s="29" t="str">
        <f t="shared" si="420"/>
        <v>NA</v>
      </c>
      <c r="AE1169" s="29" t="str">
        <f t="shared" si="421"/>
        <v>NA</v>
      </c>
      <c r="AF1169" s="29" t="str">
        <f t="shared" si="422"/>
        <v>NA</v>
      </c>
      <c r="AG1169" s="29" t="str">
        <f t="shared" si="423"/>
        <v>NA</v>
      </c>
      <c r="AH1169" s="29" t="str">
        <f t="shared" si="424"/>
        <v>NA</v>
      </c>
    </row>
    <row r="1170" customHeight="1" spans="1:34">
      <c r="A1170" s="12" t="s">
        <v>1043</v>
      </c>
      <c r="F1170" s="24">
        <f t="shared" si="406"/>
        <v>0</v>
      </c>
      <c r="G1170" s="24" t="e">
        <f t="shared" si="405"/>
        <v>#DIV/0!</v>
      </c>
      <c r="Q1170" s="29" t="str">
        <f t="shared" si="407"/>
        <v>NA</v>
      </c>
      <c r="R1170" s="29" t="str">
        <f t="shared" si="408"/>
        <v>NA</v>
      </c>
      <c r="S1170" s="29" t="str">
        <f t="shared" si="409"/>
        <v>NA</v>
      </c>
      <c r="T1170" s="29" t="str">
        <f t="shared" si="410"/>
        <v>NA</v>
      </c>
      <c r="U1170" s="29" t="str">
        <f t="shared" si="411"/>
        <v>NA</v>
      </c>
      <c r="V1170" s="29" t="str">
        <f t="shared" si="412"/>
        <v>NA</v>
      </c>
      <c r="W1170" s="29" t="str">
        <f t="shared" si="413"/>
        <v>NA</v>
      </c>
      <c r="X1170" s="29" t="str">
        <f t="shared" si="414"/>
        <v>NA</v>
      </c>
      <c r="Y1170" s="29" t="str">
        <f t="shared" si="415"/>
        <v>NA</v>
      </c>
      <c r="Z1170" s="29" t="str">
        <f t="shared" si="416"/>
        <v>NA</v>
      </c>
      <c r="AA1170" s="29" t="str">
        <f t="shared" si="417"/>
        <v>NA</v>
      </c>
      <c r="AB1170" s="29" t="str">
        <f t="shared" si="418"/>
        <v>NA</v>
      </c>
      <c r="AC1170" s="29" t="str">
        <f t="shared" si="419"/>
        <v>NA</v>
      </c>
      <c r="AD1170" s="29" t="str">
        <f t="shared" si="420"/>
        <v>NA</v>
      </c>
      <c r="AE1170" s="29" t="str">
        <f t="shared" si="421"/>
        <v>NA</v>
      </c>
      <c r="AF1170" s="29" t="str">
        <f t="shared" si="422"/>
        <v>NA</v>
      </c>
      <c r="AG1170" s="29" t="str">
        <f t="shared" si="423"/>
        <v>NA</v>
      </c>
      <c r="AH1170" s="29" t="str">
        <f t="shared" si="424"/>
        <v>NA</v>
      </c>
    </row>
    <row r="1171" customHeight="1" spans="1:34">
      <c r="A1171" s="12" t="s">
        <v>1043</v>
      </c>
      <c r="F1171" s="24">
        <f t="shared" si="406"/>
        <v>0</v>
      </c>
      <c r="G1171" s="24" t="e">
        <f t="shared" si="405"/>
        <v>#DIV/0!</v>
      </c>
      <c r="Q1171" s="29" t="str">
        <f t="shared" si="407"/>
        <v>NA</v>
      </c>
      <c r="R1171" s="29" t="str">
        <f t="shared" si="408"/>
        <v>NA</v>
      </c>
      <c r="S1171" s="29" t="str">
        <f t="shared" si="409"/>
        <v>NA</v>
      </c>
      <c r="T1171" s="29" t="str">
        <f t="shared" si="410"/>
        <v>NA</v>
      </c>
      <c r="U1171" s="29" t="str">
        <f t="shared" si="411"/>
        <v>NA</v>
      </c>
      <c r="V1171" s="29" t="str">
        <f t="shared" si="412"/>
        <v>NA</v>
      </c>
      <c r="W1171" s="29" t="str">
        <f t="shared" si="413"/>
        <v>NA</v>
      </c>
      <c r="X1171" s="29" t="str">
        <f t="shared" si="414"/>
        <v>NA</v>
      </c>
      <c r="Y1171" s="29" t="str">
        <f t="shared" si="415"/>
        <v>NA</v>
      </c>
      <c r="Z1171" s="29" t="str">
        <f t="shared" si="416"/>
        <v>NA</v>
      </c>
      <c r="AA1171" s="29" t="str">
        <f t="shared" si="417"/>
        <v>NA</v>
      </c>
      <c r="AB1171" s="29" t="str">
        <f t="shared" si="418"/>
        <v>NA</v>
      </c>
      <c r="AC1171" s="29" t="str">
        <f t="shared" si="419"/>
        <v>NA</v>
      </c>
      <c r="AD1171" s="29" t="str">
        <f t="shared" si="420"/>
        <v>NA</v>
      </c>
      <c r="AE1171" s="29" t="str">
        <f t="shared" si="421"/>
        <v>NA</v>
      </c>
      <c r="AF1171" s="29" t="str">
        <f t="shared" si="422"/>
        <v>NA</v>
      </c>
      <c r="AG1171" s="29" t="str">
        <f t="shared" si="423"/>
        <v>NA</v>
      </c>
      <c r="AH1171" s="29" t="str">
        <f t="shared" si="424"/>
        <v>NA</v>
      </c>
    </row>
    <row r="1172" customHeight="1" spans="1:34">
      <c r="A1172" s="12" t="s">
        <v>1043</v>
      </c>
      <c r="F1172" s="24">
        <f t="shared" si="406"/>
        <v>0</v>
      </c>
      <c r="G1172" s="24" t="e">
        <f t="shared" si="405"/>
        <v>#DIV/0!</v>
      </c>
      <c r="Q1172" s="29" t="str">
        <f t="shared" si="407"/>
        <v>NA</v>
      </c>
      <c r="R1172" s="29" t="str">
        <f t="shared" si="408"/>
        <v>NA</v>
      </c>
      <c r="S1172" s="29" t="str">
        <f t="shared" si="409"/>
        <v>NA</v>
      </c>
      <c r="T1172" s="29" t="str">
        <f t="shared" si="410"/>
        <v>NA</v>
      </c>
      <c r="U1172" s="29" t="str">
        <f t="shared" si="411"/>
        <v>NA</v>
      </c>
      <c r="V1172" s="29" t="str">
        <f t="shared" si="412"/>
        <v>NA</v>
      </c>
      <c r="W1172" s="29" t="str">
        <f t="shared" si="413"/>
        <v>NA</v>
      </c>
      <c r="X1172" s="29" t="str">
        <f t="shared" si="414"/>
        <v>NA</v>
      </c>
      <c r="Y1172" s="29" t="str">
        <f t="shared" si="415"/>
        <v>NA</v>
      </c>
      <c r="Z1172" s="29" t="str">
        <f t="shared" si="416"/>
        <v>NA</v>
      </c>
      <c r="AA1172" s="29" t="str">
        <f t="shared" si="417"/>
        <v>NA</v>
      </c>
      <c r="AB1172" s="29" t="str">
        <f t="shared" si="418"/>
        <v>NA</v>
      </c>
      <c r="AC1172" s="29" t="str">
        <f t="shared" si="419"/>
        <v>NA</v>
      </c>
      <c r="AD1172" s="29" t="str">
        <f t="shared" si="420"/>
        <v>NA</v>
      </c>
      <c r="AE1172" s="29" t="str">
        <f t="shared" si="421"/>
        <v>NA</v>
      </c>
      <c r="AF1172" s="29" t="str">
        <f t="shared" si="422"/>
        <v>NA</v>
      </c>
      <c r="AG1172" s="29" t="str">
        <f t="shared" si="423"/>
        <v>NA</v>
      </c>
      <c r="AH1172" s="29" t="str">
        <f t="shared" si="424"/>
        <v>NA</v>
      </c>
    </row>
    <row r="1173" customHeight="1" spans="1:34">
      <c r="A1173" s="12" t="s">
        <v>1043</v>
      </c>
      <c r="F1173" s="24">
        <f t="shared" si="406"/>
        <v>0</v>
      </c>
      <c r="G1173" s="24" t="e">
        <f t="shared" si="405"/>
        <v>#DIV/0!</v>
      </c>
      <c r="Q1173" s="29" t="str">
        <f t="shared" si="407"/>
        <v>NA</v>
      </c>
      <c r="R1173" s="29" t="str">
        <f t="shared" si="408"/>
        <v>NA</v>
      </c>
      <c r="S1173" s="29" t="str">
        <f t="shared" si="409"/>
        <v>NA</v>
      </c>
      <c r="T1173" s="29" t="str">
        <f t="shared" si="410"/>
        <v>NA</v>
      </c>
      <c r="U1173" s="29" t="str">
        <f t="shared" si="411"/>
        <v>NA</v>
      </c>
      <c r="V1173" s="29" t="str">
        <f t="shared" si="412"/>
        <v>NA</v>
      </c>
      <c r="W1173" s="29" t="str">
        <f t="shared" si="413"/>
        <v>NA</v>
      </c>
      <c r="X1173" s="29" t="str">
        <f t="shared" si="414"/>
        <v>NA</v>
      </c>
      <c r="Y1173" s="29" t="str">
        <f t="shared" si="415"/>
        <v>NA</v>
      </c>
      <c r="Z1173" s="29" t="str">
        <f t="shared" si="416"/>
        <v>NA</v>
      </c>
      <c r="AA1173" s="29" t="str">
        <f t="shared" si="417"/>
        <v>NA</v>
      </c>
      <c r="AB1173" s="29" t="str">
        <f t="shared" si="418"/>
        <v>NA</v>
      </c>
      <c r="AC1173" s="29" t="str">
        <f t="shared" si="419"/>
        <v>NA</v>
      </c>
      <c r="AD1173" s="29" t="str">
        <f t="shared" si="420"/>
        <v>NA</v>
      </c>
      <c r="AE1173" s="29" t="str">
        <f t="shared" si="421"/>
        <v>NA</v>
      </c>
      <c r="AF1173" s="29" t="str">
        <f t="shared" si="422"/>
        <v>NA</v>
      </c>
      <c r="AG1173" s="29" t="str">
        <f t="shared" si="423"/>
        <v>NA</v>
      </c>
      <c r="AH1173" s="29" t="str">
        <f t="shared" si="424"/>
        <v>NA</v>
      </c>
    </row>
    <row r="1174" customHeight="1" spans="1:34">
      <c r="A1174" s="12" t="s">
        <v>1043</v>
      </c>
      <c r="F1174" s="24">
        <f t="shared" si="406"/>
        <v>0</v>
      </c>
      <c r="G1174" s="24" t="e">
        <f t="shared" si="405"/>
        <v>#DIV/0!</v>
      </c>
      <c r="Q1174" s="29" t="str">
        <f t="shared" si="407"/>
        <v>NA</v>
      </c>
      <c r="R1174" s="29" t="str">
        <f t="shared" si="408"/>
        <v>NA</v>
      </c>
      <c r="S1174" s="29" t="str">
        <f t="shared" si="409"/>
        <v>NA</v>
      </c>
      <c r="T1174" s="29" t="str">
        <f t="shared" si="410"/>
        <v>NA</v>
      </c>
      <c r="U1174" s="29" t="str">
        <f t="shared" si="411"/>
        <v>NA</v>
      </c>
      <c r="V1174" s="29" t="str">
        <f t="shared" si="412"/>
        <v>NA</v>
      </c>
      <c r="W1174" s="29" t="str">
        <f t="shared" si="413"/>
        <v>NA</v>
      </c>
      <c r="X1174" s="29" t="str">
        <f t="shared" si="414"/>
        <v>NA</v>
      </c>
      <c r="Y1174" s="29" t="str">
        <f t="shared" si="415"/>
        <v>NA</v>
      </c>
      <c r="Z1174" s="29" t="str">
        <f t="shared" si="416"/>
        <v>NA</v>
      </c>
      <c r="AA1174" s="29" t="str">
        <f t="shared" si="417"/>
        <v>NA</v>
      </c>
      <c r="AB1174" s="29" t="str">
        <f t="shared" si="418"/>
        <v>NA</v>
      </c>
      <c r="AC1174" s="29" t="str">
        <f t="shared" si="419"/>
        <v>NA</v>
      </c>
      <c r="AD1174" s="29" t="str">
        <f t="shared" si="420"/>
        <v>NA</v>
      </c>
      <c r="AE1174" s="29" t="str">
        <f t="shared" si="421"/>
        <v>NA</v>
      </c>
      <c r="AF1174" s="29" t="str">
        <f t="shared" si="422"/>
        <v>NA</v>
      </c>
      <c r="AG1174" s="29" t="str">
        <f t="shared" si="423"/>
        <v>NA</v>
      </c>
      <c r="AH1174" s="29" t="str">
        <f t="shared" si="424"/>
        <v>NA</v>
      </c>
    </row>
    <row r="1175" customHeight="1" spans="1:34">
      <c r="A1175" s="12" t="s">
        <v>1043</v>
      </c>
      <c r="F1175" s="24">
        <f t="shared" si="406"/>
        <v>0</v>
      </c>
      <c r="G1175" s="24" t="e">
        <f t="shared" si="405"/>
        <v>#DIV/0!</v>
      </c>
      <c r="Q1175" s="29" t="str">
        <f t="shared" si="407"/>
        <v>NA</v>
      </c>
      <c r="R1175" s="29" t="str">
        <f t="shared" si="408"/>
        <v>NA</v>
      </c>
      <c r="S1175" s="29" t="str">
        <f t="shared" si="409"/>
        <v>NA</v>
      </c>
      <c r="T1175" s="29" t="str">
        <f t="shared" si="410"/>
        <v>NA</v>
      </c>
      <c r="U1175" s="29" t="str">
        <f t="shared" si="411"/>
        <v>NA</v>
      </c>
      <c r="V1175" s="29" t="str">
        <f t="shared" si="412"/>
        <v>NA</v>
      </c>
      <c r="W1175" s="29" t="str">
        <f t="shared" si="413"/>
        <v>NA</v>
      </c>
      <c r="X1175" s="29" t="str">
        <f t="shared" si="414"/>
        <v>NA</v>
      </c>
      <c r="Y1175" s="29" t="str">
        <f t="shared" si="415"/>
        <v>NA</v>
      </c>
      <c r="Z1175" s="29" t="str">
        <f t="shared" si="416"/>
        <v>NA</v>
      </c>
      <c r="AA1175" s="29" t="str">
        <f t="shared" si="417"/>
        <v>NA</v>
      </c>
      <c r="AB1175" s="29" t="str">
        <f t="shared" si="418"/>
        <v>NA</v>
      </c>
      <c r="AC1175" s="29" t="str">
        <f t="shared" si="419"/>
        <v>NA</v>
      </c>
      <c r="AD1175" s="29" t="str">
        <f t="shared" si="420"/>
        <v>NA</v>
      </c>
      <c r="AE1175" s="29" t="str">
        <f t="shared" si="421"/>
        <v>NA</v>
      </c>
      <c r="AF1175" s="29" t="str">
        <f t="shared" si="422"/>
        <v>NA</v>
      </c>
      <c r="AG1175" s="29" t="str">
        <f t="shared" si="423"/>
        <v>NA</v>
      </c>
      <c r="AH1175" s="29" t="str">
        <f t="shared" si="424"/>
        <v>NA</v>
      </c>
    </row>
    <row r="1176" customHeight="1" spans="1:34">
      <c r="A1176" s="12" t="s">
        <v>1043</v>
      </c>
      <c r="F1176" s="24">
        <f t="shared" si="406"/>
        <v>0</v>
      </c>
      <c r="G1176" s="24" t="e">
        <f t="shared" si="405"/>
        <v>#DIV/0!</v>
      </c>
      <c r="Q1176" s="29" t="str">
        <f t="shared" si="407"/>
        <v>NA</v>
      </c>
      <c r="R1176" s="29" t="str">
        <f t="shared" si="408"/>
        <v>NA</v>
      </c>
      <c r="S1176" s="29" t="str">
        <f t="shared" si="409"/>
        <v>NA</v>
      </c>
      <c r="T1176" s="29" t="str">
        <f t="shared" si="410"/>
        <v>NA</v>
      </c>
      <c r="U1176" s="29" t="str">
        <f t="shared" si="411"/>
        <v>NA</v>
      </c>
      <c r="V1176" s="29" t="str">
        <f t="shared" si="412"/>
        <v>NA</v>
      </c>
      <c r="W1176" s="29" t="str">
        <f t="shared" si="413"/>
        <v>NA</v>
      </c>
      <c r="X1176" s="29" t="str">
        <f t="shared" si="414"/>
        <v>NA</v>
      </c>
      <c r="Y1176" s="29" t="str">
        <f t="shared" si="415"/>
        <v>NA</v>
      </c>
      <c r="Z1176" s="29" t="str">
        <f t="shared" si="416"/>
        <v>NA</v>
      </c>
      <c r="AA1176" s="29" t="str">
        <f t="shared" si="417"/>
        <v>NA</v>
      </c>
      <c r="AB1176" s="29" t="str">
        <f t="shared" si="418"/>
        <v>NA</v>
      </c>
      <c r="AC1176" s="29" t="str">
        <f t="shared" si="419"/>
        <v>NA</v>
      </c>
      <c r="AD1176" s="29" t="str">
        <f t="shared" si="420"/>
        <v>NA</v>
      </c>
      <c r="AE1176" s="29" t="str">
        <f t="shared" si="421"/>
        <v>NA</v>
      </c>
      <c r="AF1176" s="29" t="str">
        <f t="shared" si="422"/>
        <v>NA</v>
      </c>
      <c r="AG1176" s="29" t="str">
        <f t="shared" si="423"/>
        <v>NA</v>
      </c>
      <c r="AH1176" s="29" t="str">
        <f t="shared" si="424"/>
        <v>NA</v>
      </c>
    </row>
    <row r="1177" customHeight="1" spans="1:34">
      <c r="A1177" s="12" t="s">
        <v>1043</v>
      </c>
      <c r="F1177" s="24">
        <f t="shared" si="406"/>
        <v>0</v>
      </c>
      <c r="G1177" s="24" t="e">
        <f t="shared" si="405"/>
        <v>#DIV/0!</v>
      </c>
      <c r="Q1177" s="29" t="str">
        <f t="shared" si="407"/>
        <v>NA</v>
      </c>
      <c r="R1177" s="29" t="str">
        <f t="shared" si="408"/>
        <v>NA</v>
      </c>
      <c r="S1177" s="29" t="str">
        <f t="shared" si="409"/>
        <v>NA</v>
      </c>
      <c r="T1177" s="29" t="str">
        <f t="shared" si="410"/>
        <v>NA</v>
      </c>
      <c r="U1177" s="29" t="str">
        <f t="shared" si="411"/>
        <v>NA</v>
      </c>
      <c r="V1177" s="29" t="str">
        <f t="shared" si="412"/>
        <v>NA</v>
      </c>
      <c r="W1177" s="29" t="str">
        <f t="shared" si="413"/>
        <v>NA</v>
      </c>
      <c r="X1177" s="29" t="str">
        <f t="shared" si="414"/>
        <v>NA</v>
      </c>
      <c r="Y1177" s="29" t="str">
        <f t="shared" si="415"/>
        <v>NA</v>
      </c>
      <c r="Z1177" s="29" t="str">
        <f t="shared" si="416"/>
        <v>NA</v>
      </c>
      <c r="AA1177" s="29" t="str">
        <f t="shared" si="417"/>
        <v>NA</v>
      </c>
      <c r="AB1177" s="29" t="str">
        <f t="shared" si="418"/>
        <v>NA</v>
      </c>
      <c r="AC1177" s="29" t="str">
        <f t="shared" si="419"/>
        <v>NA</v>
      </c>
      <c r="AD1177" s="29" t="str">
        <f t="shared" si="420"/>
        <v>NA</v>
      </c>
      <c r="AE1177" s="29" t="str">
        <f t="shared" si="421"/>
        <v>NA</v>
      </c>
      <c r="AF1177" s="29" t="str">
        <f t="shared" si="422"/>
        <v>NA</v>
      </c>
      <c r="AG1177" s="29" t="str">
        <f t="shared" si="423"/>
        <v>NA</v>
      </c>
      <c r="AH1177" s="29" t="str">
        <f t="shared" si="424"/>
        <v>NA</v>
      </c>
    </row>
    <row r="1178" customHeight="1" spans="1:34">
      <c r="A1178" s="12" t="s">
        <v>1043</v>
      </c>
      <c r="F1178" s="24">
        <f t="shared" si="406"/>
        <v>0</v>
      </c>
      <c r="G1178" s="24" t="e">
        <f t="shared" si="405"/>
        <v>#DIV/0!</v>
      </c>
      <c r="Q1178" s="29" t="str">
        <f t="shared" si="407"/>
        <v>NA</v>
      </c>
      <c r="R1178" s="29" t="str">
        <f t="shared" si="408"/>
        <v>NA</v>
      </c>
      <c r="S1178" s="29" t="str">
        <f t="shared" si="409"/>
        <v>NA</v>
      </c>
      <c r="T1178" s="29" t="str">
        <f t="shared" si="410"/>
        <v>NA</v>
      </c>
      <c r="U1178" s="29" t="str">
        <f t="shared" si="411"/>
        <v>NA</v>
      </c>
      <c r="V1178" s="29" t="str">
        <f t="shared" si="412"/>
        <v>NA</v>
      </c>
      <c r="W1178" s="29" t="str">
        <f t="shared" si="413"/>
        <v>NA</v>
      </c>
      <c r="X1178" s="29" t="str">
        <f t="shared" si="414"/>
        <v>NA</v>
      </c>
      <c r="Y1178" s="29" t="str">
        <f t="shared" si="415"/>
        <v>NA</v>
      </c>
      <c r="Z1178" s="29" t="str">
        <f t="shared" si="416"/>
        <v>NA</v>
      </c>
      <c r="AA1178" s="29" t="str">
        <f t="shared" si="417"/>
        <v>NA</v>
      </c>
      <c r="AB1178" s="29" t="str">
        <f t="shared" si="418"/>
        <v>NA</v>
      </c>
      <c r="AC1178" s="29" t="str">
        <f t="shared" si="419"/>
        <v>NA</v>
      </c>
      <c r="AD1178" s="29" t="str">
        <f t="shared" si="420"/>
        <v>NA</v>
      </c>
      <c r="AE1178" s="29" t="str">
        <f t="shared" si="421"/>
        <v>NA</v>
      </c>
      <c r="AF1178" s="29" t="str">
        <f t="shared" si="422"/>
        <v>NA</v>
      </c>
      <c r="AG1178" s="29" t="str">
        <f t="shared" si="423"/>
        <v>NA</v>
      </c>
      <c r="AH1178" s="29" t="str">
        <f t="shared" si="424"/>
        <v>NA</v>
      </c>
    </row>
    <row r="1179" customHeight="1" spans="1:34">
      <c r="A1179" s="12" t="s">
        <v>1043</v>
      </c>
      <c r="F1179" s="24">
        <f t="shared" si="406"/>
        <v>0</v>
      </c>
      <c r="G1179" s="24" t="e">
        <f t="shared" si="405"/>
        <v>#DIV/0!</v>
      </c>
      <c r="Q1179" s="29" t="str">
        <f t="shared" si="407"/>
        <v>NA</v>
      </c>
      <c r="R1179" s="29" t="str">
        <f t="shared" si="408"/>
        <v>NA</v>
      </c>
      <c r="S1179" s="29" t="str">
        <f t="shared" si="409"/>
        <v>NA</v>
      </c>
      <c r="T1179" s="29" t="str">
        <f t="shared" si="410"/>
        <v>NA</v>
      </c>
      <c r="U1179" s="29" t="str">
        <f t="shared" si="411"/>
        <v>NA</v>
      </c>
      <c r="V1179" s="29" t="str">
        <f t="shared" si="412"/>
        <v>NA</v>
      </c>
      <c r="W1179" s="29" t="str">
        <f t="shared" si="413"/>
        <v>NA</v>
      </c>
      <c r="X1179" s="29" t="str">
        <f t="shared" si="414"/>
        <v>NA</v>
      </c>
      <c r="Y1179" s="29" t="str">
        <f t="shared" si="415"/>
        <v>NA</v>
      </c>
      <c r="Z1179" s="29" t="str">
        <f t="shared" si="416"/>
        <v>NA</v>
      </c>
      <c r="AA1179" s="29" t="str">
        <f t="shared" si="417"/>
        <v>NA</v>
      </c>
      <c r="AB1179" s="29" t="str">
        <f t="shared" si="418"/>
        <v>NA</v>
      </c>
      <c r="AC1179" s="29" t="str">
        <f t="shared" si="419"/>
        <v>NA</v>
      </c>
      <c r="AD1179" s="29" t="str">
        <f t="shared" si="420"/>
        <v>NA</v>
      </c>
      <c r="AE1179" s="29" t="str">
        <f t="shared" si="421"/>
        <v>NA</v>
      </c>
      <c r="AF1179" s="29" t="str">
        <f t="shared" si="422"/>
        <v>NA</v>
      </c>
      <c r="AG1179" s="29" t="str">
        <f t="shared" si="423"/>
        <v>NA</v>
      </c>
      <c r="AH1179" s="29" t="str">
        <f t="shared" si="424"/>
        <v>NA</v>
      </c>
    </row>
    <row r="1180" customHeight="1" spans="1:34">
      <c r="A1180" s="12" t="s">
        <v>1043</v>
      </c>
      <c r="F1180" s="24">
        <f t="shared" si="406"/>
        <v>0</v>
      </c>
      <c r="G1180" s="24" t="e">
        <f t="shared" si="405"/>
        <v>#DIV/0!</v>
      </c>
      <c r="Q1180" s="29" t="str">
        <f t="shared" si="407"/>
        <v>NA</v>
      </c>
      <c r="R1180" s="29" t="str">
        <f t="shared" si="408"/>
        <v>NA</v>
      </c>
      <c r="S1180" s="29" t="str">
        <f t="shared" si="409"/>
        <v>NA</v>
      </c>
      <c r="T1180" s="29" t="str">
        <f t="shared" si="410"/>
        <v>NA</v>
      </c>
      <c r="U1180" s="29" t="str">
        <f t="shared" si="411"/>
        <v>NA</v>
      </c>
      <c r="V1180" s="29" t="str">
        <f t="shared" si="412"/>
        <v>NA</v>
      </c>
      <c r="W1180" s="29" t="str">
        <f t="shared" si="413"/>
        <v>NA</v>
      </c>
      <c r="X1180" s="29" t="str">
        <f t="shared" si="414"/>
        <v>NA</v>
      </c>
      <c r="Y1180" s="29" t="str">
        <f t="shared" si="415"/>
        <v>NA</v>
      </c>
      <c r="Z1180" s="29" t="str">
        <f t="shared" si="416"/>
        <v>NA</v>
      </c>
      <c r="AA1180" s="29" t="str">
        <f t="shared" si="417"/>
        <v>NA</v>
      </c>
      <c r="AB1180" s="29" t="str">
        <f t="shared" si="418"/>
        <v>NA</v>
      </c>
      <c r="AC1180" s="29" t="str">
        <f t="shared" si="419"/>
        <v>NA</v>
      </c>
      <c r="AD1180" s="29" t="str">
        <f t="shared" si="420"/>
        <v>NA</v>
      </c>
      <c r="AE1180" s="29" t="str">
        <f t="shared" si="421"/>
        <v>NA</v>
      </c>
      <c r="AF1180" s="29" t="str">
        <f t="shared" si="422"/>
        <v>NA</v>
      </c>
      <c r="AG1180" s="29" t="str">
        <f t="shared" si="423"/>
        <v>NA</v>
      </c>
      <c r="AH1180" s="29" t="str">
        <f t="shared" si="424"/>
        <v>NA</v>
      </c>
    </row>
    <row r="1181" customHeight="1" spans="1:34">
      <c r="A1181" s="12" t="s">
        <v>1043</v>
      </c>
      <c r="F1181" s="24">
        <f t="shared" si="406"/>
        <v>0</v>
      </c>
      <c r="G1181" s="24" t="e">
        <f t="shared" si="405"/>
        <v>#DIV/0!</v>
      </c>
      <c r="Q1181" s="29" t="str">
        <f t="shared" si="407"/>
        <v>NA</v>
      </c>
      <c r="R1181" s="29" t="str">
        <f t="shared" si="408"/>
        <v>NA</v>
      </c>
      <c r="S1181" s="29" t="str">
        <f t="shared" si="409"/>
        <v>NA</v>
      </c>
      <c r="T1181" s="29" t="str">
        <f t="shared" si="410"/>
        <v>NA</v>
      </c>
      <c r="U1181" s="29" t="str">
        <f t="shared" si="411"/>
        <v>NA</v>
      </c>
      <c r="V1181" s="29" t="str">
        <f t="shared" si="412"/>
        <v>NA</v>
      </c>
      <c r="W1181" s="29" t="str">
        <f t="shared" si="413"/>
        <v>NA</v>
      </c>
      <c r="X1181" s="29" t="str">
        <f t="shared" si="414"/>
        <v>NA</v>
      </c>
      <c r="Y1181" s="29" t="str">
        <f t="shared" si="415"/>
        <v>NA</v>
      </c>
      <c r="Z1181" s="29" t="str">
        <f t="shared" si="416"/>
        <v>NA</v>
      </c>
      <c r="AA1181" s="29" t="str">
        <f t="shared" si="417"/>
        <v>NA</v>
      </c>
      <c r="AB1181" s="29" t="str">
        <f t="shared" si="418"/>
        <v>NA</v>
      </c>
      <c r="AC1181" s="29" t="str">
        <f t="shared" si="419"/>
        <v>NA</v>
      </c>
      <c r="AD1181" s="29" t="str">
        <f t="shared" si="420"/>
        <v>NA</v>
      </c>
      <c r="AE1181" s="29" t="str">
        <f t="shared" si="421"/>
        <v>NA</v>
      </c>
      <c r="AF1181" s="29" t="str">
        <f t="shared" si="422"/>
        <v>NA</v>
      </c>
      <c r="AG1181" s="29" t="str">
        <f t="shared" si="423"/>
        <v>NA</v>
      </c>
      <c r="AH1181" s="29" t="str">
        <f t="shared" si="424"/>
        <v>NA</v>
      </c>
    </row>
    <row r="1182" customHeight="1" spans="1:34">
      <c r="A1182" s="12" t="s">
        <v>1043</v>
      </c>
      <c r="F1182" s="24">
        <f t="shared" si="406"/>
        <v>0</v>
      </c>
      <c r="G1182" s="24" t="e">
        <f t="shared" si="405"/>
        <v>#DIV/0!</v>
      </c>
      <c r="Q1182" s="29" t="str">
        <f t="shared" si="407"/>
        <v>NA</v>
      </c>
      <c r="R1182" s="29" t="str">
        <f t="shared" si="408"/>
        <v>NA</v>
      </c>
      <c r="S1182" s="29" t="str">
        <f t="shared" si="409"/>
        <v>NA</v>
      </c>
      <c r="T1182" s="29" t="str">
        <f t="shared" si="410"/>
        <v>NA</v>
      </c>
      <c r="U1182" s="29" t="str">
        <f t="shared" si="411"/>
        <v>NA</v>
      </c>
      <c r="V1182" s="29" t="str">
        <f t="shared" si="412"/>
        <v>NA</v>
      </c>
      <c r="W1182" s="29" t="str">
        <f t="shared" si="413"/>
        <v>NA</v>
      </c>
      <c r="X1182" s="29" t="str">
        <f t="shared" si="414"/>
        <v>NA</v>
      </c>
      <c r="Y1182" s="29" t="str">
        <f t="shared" si="415"/>
        <v>NA</v>
      </c>
      <c r="Z1182" s="29" t="str">
        <f t="shared" si="416"/>
        <v>NA</v>
      </c>
      <c r="AA1182" s="29" t="str">
        <f t="shared" si="417"/>
        <v>NA</v>
      </c>
      <c r="AB1182" s="29" t="str">
        <f t="shared" si="418"/>
        <v>NA</v>
      </c>
      <c r="AC1182" s="29" t="str">
        <f t="shared" si="419"/>
        <v>NA</v>
      </c>
      <c r="AD1182" s="29" t="str">
        <f t="shared" si="420"/>
        <v>NA</v>
      </c>
      <c r="AE1182" s="29" t="str">
        <f t="shared" si="421"/>
        <v>NA</v>
      </c>
      <c r="AF1182" s="29" t="str">
        <f t="shared" si="422"/>
        <v>NA</v>
      </c>
      <c r="AG1182" s="29" t="str">
        <f t="shared" si="423"/>
        <v>NA</v>
      </c>
      <c r="AH1182" s="29" t="str">
        <f t="shared" si="424"/>
        <v>NA</v>
      </c>
    </row>
    <row r="1183" customHeight="1" spans="1:34">
      <c r="A1183" s="12" t="s">
        <v>1043</v>
      </c>
      <c r="F1183" s="24">
        <f t="shared" si="406"/>
        <v>0</v>
      </c>
      <c r="G1183" s="24" t="e">
        <f t="shared" si="405"/>
        <v>#DIV/0!</v>
      </c>
      <c r="Q1183" s="29" t="str">
        <f t="shared" si="407"/>
        <v>NA</v>
      </c>
      <c r="R1183" s="29" t="str">
        <f t="shared" si="408"/>
        <v>NA</v>
      </c>
      <c r="S1183" s="29" t="str">
        <f t="shared" si="409"/>
        <v>NA</v>
      </c>
      <c r="T1183" s="29" t="str">
        <f t="shared" si="410"/>
        <v>NA</v>
      </c>
      <c r="U1183" s="29" t="str">
        <f t="shared" si="411"/>
        <v>NA</v>
      </c>
      <c r="V1183" s="29" t="str">
        <f t="shared" si="412"/>
        <v>NA</v>
      </c>
      <c r="W1183" s="29" t="str">
        <f t="shared" si="413"/>
        <v>NA</v>
      </c>
      <c r="X1183" s="29" t="str">
        <f t="shared" si="414"/>
        <v>NA</v>
      </c>
      <c r="Y1183" s="29" t="str">
        <f t="shared" si="415"/>
        <v>NA</v>
      </c>
      <c r="Z1183" s="29" t="str">
        <f t="shared" si="416"/>
        <v>NA</v>
      </c>
      <c r="AA1183" s="29" t="str">
        <f t="shared" si="417"/>
        <v>NA</v>
      </c>
      <c r="AB1183" s="29" t="str">
        <f t="shared" si="418"/>
        <v>NA</v>
      </c>
      <c r="AC1183" s="29" t="str">
        <f t="shared" si="419"/>
        <v>NA</v>
      </c>
      <c r="AD1183" s="29" t="str">
        <f t="shared" si="420"/>
        <v>NA</v>
      </c>
      <c r="AE1183" s="29" t="str">
        <f t="shared" si="421"/>
        <v>NA</v>
      </c>
      <c r="AF1183" s="29" t="str">
        <f t="shared" si="422"/>
        <v>NA</v>
      </c>
      <c r="AG1183" s="29" t="str">
        <f t="shared" si="423"/>
        <v>NA</v>
      </c>
      <c r="AH1183" s="29" t="str">
        <f t="shared" si="424"/>
        <v>NA</v>
      </c>
    </row>
    <row r="1184" customHeight="1" spans="1:34">
      <c r="A1184" s="12" t="s">
        <v>1043</v>
      </c>
      <c r="F1184" s="24">
        <f t="shared" si="406"/>
        <v>0</v>
      </c>
      <c r="G1184" s="24" t="e">
        <f t="shared" si="405"/>
        <v>#DIV/0!</v>
      </c>
      <c r="Q1184" s="29" t="str">
        <f t="shared" si="407"/>
        <v>NA</v>
      </c>
      <c r="R1184" s="29" t="str">
        <f t="shared" si="408"/>
        <v>NA</v>
      </c>
      <c r="S1184" s="29" t="str">
        <f t="shared" si="409"/>
        <v>NA</v>
      </c>
      <c r="T1184" s="29" t="str">
        <f t="shared" si="410"/>
        <v>NA</v>
      </c>
      <c r="U1184" s="29" t="str">
        <f t="shared" si="411"/>
        <v>NA</v>
      </c>
      <c r="V1184" s="29" t="str">
        <f t="shared" si="412"/>
        <v>NA</v>
      </c>
      <c r="W1184" s="29" t="str">
        <f t="shared" si="413"/>
        <v>NA</v>
      </c>
      <c r="X1184" s="29" t="str">
        <f t="shared" si="414"/>
        <v>NA</v>
      </c>
      <c r="Y1184" s="29" t="str">
        <f t="shared" si="415"/>
        <v>NA</v>
      </c>
      <c r="Z1184" s="29" t="str">
        <f t="shared" si="416"/>
        <v>NA</v>
      </c>
      <c r="AA1184" s="29" t="str">
        <f t="shared" si="417"/>
        <v>NA</v>
      </c>
      <c r="AB1184" s="29" t="str">
        <f t="shared" si="418"/>
        <v>NA</v>
      </c>
      <c r="AC1184" s="29" t="str">
        <f t="shared" si="419"/>
        <v>NA</v>
      </c>
      <c r="AD1184" s="29" t="str">
        <f t="shared" si="420"/>
        <v>NA</v>
      </c>
      <c r="AE1184" s="29" t="str">
        <f t="shared" si="421"/>
        <v>NA</v>
      </c>
      <c r="AF1184" s="29" t="str">
        <f t="shared" si="422"/>
        <v>NA</v>
      </c>
      <c r="AG1184" s="29" t="str">
        <f t="shared" si="423"/>
        <v>NA</v>
      </c>
      <c r="AH1184" s="29" t="str">
        <f t="shared" si="424"/>
        <v>NA</v>
      </c>
    </row>
    <row r="1185" customHeight="1" spans="1:34">
      <c r="A1185" s="12" t="s">
        <v>1043</v>
      </c>
      <c r="F1185" s="24">
        <f t="shared" si="406"/>
        <v>0</v>
      </c>
      <c r="G1185" s="24" t="e">
        <f t="shared" si="405"/>
        <v>#DIV/0!</v>
      </c>
      <c r="Q1185" s="29" t="str">
        <f t="shared" si="407"/>
        <v>NA</v>
      </c>
      <c r="R1185" s="29" t="str">
        <f t="shared" si="408"/>
        <v>NA</v>
      </c>
      <c r="S1185" s="29" t="str">
        <f t="shared" si="409"/>
        <v>NA</v>
      </c>
      <c r="T1185" s="29" t="str">
        <f t="shared" si="410"/>
        <v>NA</v>
      </c>
      <c r="U1185" s="29" t="str">
        <f t="shared" si="411"/>
        <v>NA</v>
      </c>
      <c r="V1185" s="29" t="str">
        <f t="shared" si="412"/>
        <v>NA</v>
      </c>
      <c r="W1185" s="29" t="str">
        <f t="shared" si="413"/>
        <v>NA</v>
      </c>
      <c r="X1185" s="29" t="str">
        <f t="shared" si="414"/>
        <v>NA</v>
      </c>
      <c r="Y1185" s="29" t="str">
        <f t="shared" si="415"/>
        <v>NA</v>
      </c>
      <c r="Z1185" s="29" t="str">
        <f t="shared" si="416"/>
        <v>NA</v>
      </c>
      <c r="AA1185" s="29" t="str">
        <f t="shared" si="417"/>
        <v>NA</v>
      </c>
      <c r="AB1185" s="29" t="str">
        <f t="shared" si="418"/>
        <v>NA</v>
      </c>
      <c r="AC1185" s="29" t="str">
        <f t="shared" si="419"/>
        <v>NA</v>
      </c>
      <c r="AD1185" s="29" t="str">
        <f t="shared" si="420"/>
        <v>NA</v>
      </c>
      <c r="AE1185" s="29" t="str">
        <f t="shared" si="421"/>
        <v>NA</v>
      </c>
      <c r="AF1185" s="29" t="str">
        <f t="shared" si="422"/>
        <v>NA</v>
      </c>
      <c r="AG1185" s="29" t="str">
        <f t="shared" si="423"/>
        <v>NA</v>
      </c>
      <c r="AH1185" s="29" t="str">
        <f t="shared" si="424"/>
        <v>NA</v>
      </c>
    </row>
    <row r="1186" customHeight="1" spans="1:34">
      <c r="A1186" s="12" t="s">
        <v>1043</v>
      </c>
      <c r="F1186" s="24">
        <f t="shared" si="406"/>
        <v>0</v>
      </c>
      <c r="G1186" s="24" t="e">
        <f t="shared" si="405"/>
        <v>#DIV/0!</v>
      </c>
      <c r="Q1186" s="29" t="str">
        <f t="shared" si="407"/>
        <v>NA</v>
      </c>
      <c r="R1186" s="29" t="str">
        <f t="shared" si="408"/>
        <v>NA</v>
      </c>
      <c r="S1186" s="29" t="str">
        <f t="shared" si="409"/>
        <v>NA</v>
      </c>
      <c r="T1186" s="29" t="str">
        <f t="shared" si="410"/>
        <v>NA</v>
      </c>
      <c r="U1186" s="29" t="str">
        <f t="shared" si="411"/>
        <v>NA</v>
      </c>
      <c r="V1186" s="29" t="str">
        <f t="shared" si="412"/>
        <v>NA</v>
      </c>
      <c r="W1186" s="29" t="str">
        <f t="shared" si="413"/>
        <v>NA</v>
      </c>
      <c r="X1186" s="29" t="str">
        <f t="shared" si="414"/>
        <v>NA</v>
      </c>
      <c r="Y1186" s="29" t="str">
        <f t="shared" si="415"/>
        <v>NA</v>
      </c>
      <c r="Z1186" s="29" t="str">
        <f t="shared" si="416"/>
        <v>NA</v>
      </c>
      <c r="AA1186" s="29" t="str">
        <f t="shared" si="417"/>
        <v>NA</v>
      </c>
      <c r="AB1186" s="29" t="str">
        <f t="shared" si="418"/>
        <v>NA</v>
      </c>
      <c r="AC1186" s="29" t="str">
        <f t="shared" si="419"/>
        <v>NA</v>
      </c>
      <c r="AD1186" s="29" t="str">
        <f t="shared" si="420"/>
        <v>NA</v>
      </c>
      <c r="AE1186" s="29" t="str">
        <f t="shared" si="421"/>
        <v>NA</v>
      </c>
      <c r="AF1186" s="29" t="str">
        <f t="shared" si="422"/>
        <v>NA</v>
      </c>
      <c r="AG1186" s="29" t="str">
        <f t="shared" si="423"/>
        <v>NA</v>
      </c>
      <c r="AH1186" s="29" t="str">
        <f t="shared" si="424"/>
        <v>NA</v>
      </c>
    </row>
    <row r="1187" customHeight="1" spans="1:34">
      <c r="A1187" s="12" t="s">
        <v>1043</v>
      </c>
      <c r="F1187" s="24">
        <f t="shared" si="406"/>
        <v>0</v>
      </c>
      <c r="G1187" s="24" t="e">
        <f t="shared" si="405"/>
        <v>#DIV/0!</v>
      </c>
      <c r="Q1187" s="29" t="str">
        <f t="shared" si="407"/>
        <v>NA</v>
      </c>
      <c r="R1187" s="29" t="str">
        <f t="shared" si="408"/>
        <v>NA</v>
      </c>
      <c r="S1187" s="29" t="str">
        <f t="shared" si="409"/>
        <v>NA</v>
      </c>
      <c r="T1187" s="29" t="str">
        <f t="shared" si="410"/>
        <v>NA</v>
      </c>
      <c r="U1187" s="29" t="str">
        <f t="shared" si="411"/>
        <v>NA</v>
      </c>
      <c r="V1187" s="29" t="str">
        <f t="shared" si="412"/>
        <v>NA</v>
      </c>
      <c r="W1187" s="29" t="str">
        <f t="shared" si="413"/>
        <v>NA</v>
      </c>
      <c r="X1187" s="29" t="str">
        <f t="shared" si="414"/>
        <v>NA</v>
      </c>
      <c r="Y1187" s="29" t="str">
        <f t="shared" si="415"/>
        <v>NA</v>
      </c>
      <c r="Z1187" s="29" t="str">
        <f t="shared" si="416"/>
        <v>NA</v>
      </c>
      <c r="AA1187" s="29" t="str">
        <f t="shared" si="417"/>
        <v>NA</v>
      </c>
      <c r="AB1187" s="29" t="str">
        <f t="shared" si="418"/>
        <v>NA</v>
      </c>
      <c r="AC1187" s="29" t="str">
        <f t="shared" si="419"/>
        <v>NA</v>
      </c>
      <c r="AD1187" s="29" t="str">
        <f t="shared" si="420"/>
        <v>NA</v>
      </c>
      <c r="AE1187" s="29" t="str">
        <f t="shared" si="421"/>
        <v>NA</v>
      </c>
      <c r="AF1187" s="29" t="str">
        <f t="shared" si="422"/>
        <v>NA</v>
      </c>
      <c r="AG1187" s="29" t="str">
        <f t="shared" si="423"/>
        <v>NA</v>
      </c>
      <c r="AH1187" s="29" t="str">
        <f t="shared" si="424"/>
        <v>NA</v>
      </c>
    </row>
    <row r="1188" customHeight="1" spans="1:34">
      <c r="A1188" s="12" t="s">
        <v>1043</v>
      </c>
      <c r="F1188" s="24">
        <f t="shared" si="406"/>
        <v>0</v>
      </c>
      <c r="G1188" s="24" t="e">
        <f t="shared" si="405"/>
        <v>#DIV/0!</v>
      </c>
      <c r="Q1188" s="29" t="str">
        <f t="shared" si="407"/>
        <v>NA</v>
      </c>
      <c r="R1188" s="29" t="str">
        <f t="shared" si="408"/>
        <v>NA</v>
      </c>
      <c r="S1188" s="29" t="str">
        <f t="shared" si="409"/>
        <v>NA</v>
      </c>
      <c r="T1188" s="29" t="str">
        <f t="shared" si="410"/>
        <v>NA</v>
      </c>
      <c r="U1188" s="29" t="str">
        <f t="shared" si="411"/>
        <v>NA</v>
      </c>
      <c r="V1188" s="29" t="str">
        <f t="shared" si="412"/>
        <v>NA</v>
      </c>
      <c r="W1188" s="29" t="str">
        <f t="shared" si="413"/>
        <v>NA</v>
      </c>
      <c r="X1188" s="29" t="str">
        <f t="shared" si="414"/>
        <v>NA</v>
      </c>
      <c r="Y1188" s="29" t="str">
        <f t="shared" si="415"/>
        <v>NA</v>
      </c>
      <c r="Z1188" s="29" t="str">
        <f t="shared" si="416"/>
        <v>NA</v>
      </c>
      <c r="AA1188" s="29" t="str">
        <f t="shared" si="417"/>
        <v>NA</v>
      </c>
      <c r="AB1188" s="29" t="str">
        <f t="shared" si="418"/>
        <v>NA</v>
      </c>
      <c r="AC1188" s="29" t="str">
        <f t="shared" si="419"/>
        <v>NA</v>
      </c>
      <c r="AD1188" s="29" t="str">
        <f t="shared" si="420"/>
        <v>NA</v>
      </c>
      <c r="AE1188" s="29" t="str">
        <f t="shared" si="421"/>
        <v>NA</v>
      </c>
      <c r="AF1188" s="29" t="str">
        <f t="shared" si="422"/>
        <v>NA</v>
      </c>
      <c r="AG1188" s="29" t="str">
        <f t="shared" si="423"/>
        <v>NA</v>
      </c>
      <c r="AH1188" s="29" t="str">
        <f t="shared" si="424"/>
        <v>NA</v>
      </c>
    </row>
    <row r="1189" customHeight="1" spans="1:34">
      <c r="A1189" s="12" t="s">
        <v>1043</v>
      </c>
      <c r="F1189" s="24">
        <f t="shared" si="406"/>
        <v>0</v>
      </c>
      <c r="G1189" s="24" t="e">
        <f t="shared" si="405"/>
        <v>#DIV/0!</v>
      </c>
      <c r="Q1189" s="29" t="str">
        <f t="shared" si="407"/>
        <v>NA</v>
      </c>
      <c r="R1189" s="29" t="str">
        <f t="shared" si="408"/>
        <v>NA</v>
      </c>
      <c r="S1189" s="29" t="str">
        <f t="shared" si="409"/>
        <v>NA</v>
      </c>
      <c r="T1189" s="29" t="str">
        <f t="shared" si="410"/>
        <v>NA</v>
      </c>
      <c r="U1189" s="29" t="str">
        <f t="shared" si="411"/>
        <v>NA</v>
      </c>
      <c r="V1189" s="29" t="str">
        <f t="shared" si="412"/>
        <v>NA</v>
      </c>
      <c r="W1189" s="29" t="str">
        <f t="shared" si="413"/>
        <v>NA</v>
      </c>
      <c r="X1189" s="29" t="str">
        <f t="shared" si="414"/>
        <v>NA</v>
      </c>
      <c r="Y1189" s="29" t="str">
        <f t="shared" si="415"/>
        <v>NA</v>
      </c>
      <c r="Z1189" s="29" t="str">
        <f t="shared" si="416"/>
        <v>NA</v>
      </c>
      <c r="AA1189" s="29" t="str">
        <f t="shared" si="417"/>
        <v>NA</v>
      </c>
      <c r="AB1189" s="29" t="str">
        <f t="shared" si="418"/>
        <v>NA</v>
      </c>
      <c r="AC1189" s="29" t="str">
        <f t="shared" si="419"/>
        <v>NA</v>
      </c>
      <c r="AD1189" s="29" t="str">
        <f t="shared" si="420"/>
        <v>NA</v>
      </c>
      <c r="AE1189" s="29" t="str">
        <f t="shared" si="421"/>
        <v>NA</v>
      </c>
      <c r="AF1189" s="29" t="str">
        <f t="shared" si="422"/>
        <v>NA</v>
      </c>
      <c r="AG1189" s="29" t="str">
        <f t="shared" si="423"/>
        <v>NA</v>
      </c>
      <c r="AH1189" s="29" t="str">
        <f t="shared" si="424"/>
        <v>NA</v>
      </c>
    </row>
    <row r="1190" customHeight="1" spans="1:34">
      <c r="A1190" s="12" t="s">
        <v>1043</v>
      </c>
      <c r="F1190" s="24">
        <f t="shared" si="406"/>
        <v>0</v>
      </c>
      <c r="G1190" s="24" t="e">
        <f t="shared" si="405"/>
        <v>#DIV/0!</v>
      </c>
      <c r="Q1190" s="29" t="str">
        <f t="shared" si="407"/>
        <v>NA</v>
      </c>
      <c r="R1190" s="29" t="str">
        <f t="shared" si="408"/>
        <v>NA</v>
      </c>
      <c r="S1190" s="29" t="str">
        <f t="shared" si="409"/>
        <v>NA</v>
      </c>
      <c r="T1190" s="29" t="str">
        <f t="shared" si="410"/>
        <v>NA</v>
      </c>
      <c r="U1190" s="29" t="str">
        <f t="shared" si="411"/>
        <v>NA</v>
      </c>
      <c r="V1190" s="29" t="str">
        <f t="shared" si="412"/>
        <v>NA</v>
      </c>
      <c r="W1190" s="29" t="str">
        <f t="shared" si="413"/>
        <v>NA</v>
      </c>
      <c r="X1190" s="29" t="str">
        <f t="shared" si="414"/>
        <v>NA</v>
      </c>
      <c r="Y1190" s="29" t="str">
        <f t="shared" si="415"/>
        <v>NA</v>
      </c>
      <c r="Z1190" s="29" t="str">
        <f t="shared" si="416"/>
        <v>NA</v>
      </c>
      <c r="AA1190" s="29" t="str">
        <f t="shared" si="417"/>
        <v>NA</v>
      </c>
      <c r="AB1190" s="29" t="str">
        <f t="shared" si="418"/>
        <v>NA</v>
      </c>
      <c r="AC1190" s="29" t="str">
        <f t="shared" si="419"/>
        <v>NA</v>
      </c>
      <c r="AD1190" s="29" t="str">
        <f t="shared" si="420"/>
        <v>NA</v>
      </c>
      <c r="AE1190" s="29" t="str">
        <f t="shared" si="421"/>
        <v>NA</v>
      </c>
      <c r="AF1190" s="29" t="str">
        <f t="shared" si="422"/>
        <v>NA</v>
      </c>
      <c r="AG1190" s="29" t="str">
        <f t="shared" si="423"/>
        <v>NA</v>
      </c>
      <c r="AH1190" s="29" t="str">
        <f t="shared" si="424"/>
        <v>NA</v>
      </c>
    </row>
    <row r="1191" customHeight="1" spans="1:34">
      <c r="A1191" s="12" t="s">
        <v>1043</v>
      </c>
      <c r="F1191" s="24">
        <f t="shared" si="406"/>
        <v>0</v>
      </c>
      <c r="G1191" s="24" t="e">
        <f t="shared" si="405"/>
        <v>#DIV/0!</v>
      </c>
      <c r="Q1191" s="29" t="str">
        <f t="shared" si="407"/>
        <v>NA</v>
      </c>
      <c r="R1191" s="29" t="str">
        <f t="shared" si="408"/>
        <v>NA</v>
      </c>
      <c r="S1191" s="29" t="str">
        <f t="shared" si="409"/>
        <v>NA</v>
      </c>
      <c r="T1191" s="29" t="str">
        <f t="shared" si="410"/>
        <v>NA</v>
      </c>
      <c r="U1191" s="29" t="str">
        <f t="shared" si="411"/>
        <v>NA</v>
      </c>
      <c r="V1191" s="29" t="str">
        <f t="shared" si="412"/>
        <v>NA</v>
      </c>
      <c r="W1191" s="29" t="str">
        <f t="shared" si="413"/>
        <v>NA</v>
      </c>
      <c r="X1191" s="29" t="str">
        <f t="shared" si="414"/>
        <v>NA</v>
      </c>
      <c r="Y1191" s="29" t="str">
        <f t="shared" si="415"/>
        <v>NA</v>
      </c>
      <c r="Z1191" s="29" t="str">
        <f t="shared" si="416"/>
        <v>NA</v>
      </c>
      <c r="AA1191" s="29" t="str">
        <f t="shared" si="417"/>
        <v>NA</v>
      </c>
      <c r="AB1191" s="29" t="str">
        <f t="shared" si="418"/>
        <v>NA</v>
      </c>
      <c r="AC1191" s="29" t="str">
        <f t="shared" si="419"/>
        <v>NA</v>
      </c>
      <c r="AD1191" s="29" t="str">
        <f t="shared" si="420"/>
        <v>NA</v>
      </c>
      <c r="AE1191" s="29" t="str">
        <f t="shared" si="421"/>
        <v>NA</v>
      </c>
      <c r="AF1191" s="29" t="str">
        <f t="shared" si="422"/>
        <v>NA</v>
      </c>
      <c r="AG1191" s="29" t="str">
        <f t="shared" si="423"/>
        <v>NA</v>
      </c>
      <c r="AH1191" s="29" t="str">
        <f t="shared" si="424"/>
        <v>NA</v>
      </c>
    </row>
    <row r="1192" customHeight="1" spans="1:34">
      <c r="A1192" s="12" t="s">
        <v>1043</v>
      </c>
      <c r="F1192" s="24">
        <f t="shared" si="406"/>
        <v>0</v>
      </c>
      <c r="G1192" s="24" t="e">
        <f t="shared" si="405"/>
        <v>#DIV/0!</v>
      </c>
      <c r="Q1192" s="29" t="str">
        <f t="shared" si="407"/>
        <v>NA</v>
      </c>
      <c r="R1192" s="29" t="str">
        <f t="shared" si="408"/>
        <v>NA</v>
      </c>
      <c r="S1192" s="29" t="str">
        <f t="shared" si="409"/>
        <v>NA</v>
      </c>
      <c r="T1192" s="29" t="str">
        <f t="shared" si="410"/>
        <v>NA</v>
      </c>
      <c r="U1192" s="29" t="str">
        <f t="shared" si="411"/>
        <v>NA</v>
      </c>
      <c r="V1192" s="29" t="str">
        <f t="shared" si="412"/>
        <v>NA</v>
      </c>
      <c r="W1192" s="29" t="str">
        <f t="shared" si="413"/>
        <v>NA</v>
      </c>
      <c r="X1192" s="29" t="str">
        <f t="shared" si="414"/>
        <v>NA</v>
      </c>
      <c r="Y1192" s="29" t="str">
        <f t="shared" si="415"/>
        <v>NA</v>
      </c>
      <c r="Z1192" s="29" t="str">
        <f t="shared" si="416"/>
        <v>NA</v>
      </c>
      <c r="AA1192" s="29" t="str">
        <f t="shared" si="417"/>
        <v>NA</v>
      </c>
      <c r="AB1192" s="29" t="str">
        <f t="shared" si="418"/>
        <v>NA</v>
      </c>
      <c r="AC1192" s="29" t="str">
        <f t="shared" si="419"/>
        <v>NA</v>
      </c>
      <c r="AD1192" s="29" t="str">
        <f t="shared" si="420"/>
        <v>NA</v>
      </c>
      <c r="AE1192" s="29" t="str">
        <f t="shared" si="421"/>
        <v>NA</v>
      </c>
      <c r="AF1192" s="29" t="str">
        <f t="shared" si="422"/>
        <v>NA</v>
      </c>
      <c r="AG1192" s="29" t="str">
        <f t="shared" si="423"/>
        <v>NA</v>
      </c>
      <c r="AH1192" s="29" t="str">
        <f t="shared" si="424"/>
        <v>NA</v>
      </c>
    </row>
    <row r="1193" customHeight="1" spans="1:34">
      <c r="A1193" s="12" t="s">
        <v>1043</v>
      </c>
      <c r="F1193" s="24">
        <f t="shared" si="406"/>
        <v>0</v>
      </c>
      <c r="G1193" s="24" t="e">
        <f t="shared" si="405"/>
        <v>#DIV/0!</v>
      </c>
      <c r="Q1193" s="29" t="str">
        <f t="shared" si="407"/>
        <v>NA</v>
      </c>
      <c r="R1193" s="29" t="str">
        <f t="shared" si="408"/>
        <v>NA</v>
      </c>
      <c r="S1193" s="29" t="str">
        <f t="shared" si="409"/>
        <v>NA</v>
      </c>
      <c r="T1193" s="29" t="str">
        <f t="shared" si="410"/>
        <v>NA</v>
      </c>
      <c r="U1193" s="29" t="str">
        <f t="shared" si="411"/>
        <v>NA</v>
      </c>
      <c r="V1193" s="29" t="str">
        <f t="shared" si="412"/>
        <v>NA</v>
      </c>
      <c r="W1193" s="29" t="str">
        <f t="shared" si="413"/>
        <v>NA</v>
      </c>
      <c r="X1193" s="29" t="str">
        <f t="shared" si="414"/>
        <v>NA</v>
      </c>
      <c r="Y1193" s="29" t="str">
        <f t="shared" si="415"/>
        <v>NA</v>
      </c>
      <c r="Z1193" s="29" t="str">
        <f t="shared" si="416"/>
        <v>NA</v>
      </c>
      <c r="AA1193" s="29" t="str">
        <f t="shared" si="417"/>
        <v>NA</v>
      </c>
      <c r="AB1193" s="29" t="str">
        <f t="shared" si="418"/>
        <v>NA</v>
      </c>
      <c r="AC1193" s="29" t="str">
        <f t="shared" si="419"/>
        <v>NA</v>
      </c>
      <c r="AD1193" s="29" t="str">
        <f t="shared" si="420"/>
        <v>NA</v>
      </c>
      <c r="AE1193" s="29" t="str">
        <f t="shared" si="421"/>
        <v>NA</v>
      </c>
      <c r="AF1193" s="29" t="str">
        <f t="shared" si="422"/>
        <v>NA</v>
      </c>
      <c r="AG1193" s="29" t="str">
        <f t="shared" si="423"/>
        <v>NA</v>
      </c>
      <c r="AH1193" s="29" t="str">
        <f t="shared" si="424"/>
        <v>NA</v>
      </c>
    </row>
    <row r="1194" customHeight="1" spans="1:34">
      <c r="A1194" s="12" t="s">
        <v>1043</v>
      </c>
      <c r="F1194" s="24">
        <f t="shared" si="406"/>
        <v>0</v>
      </c>
      <c r="G1194" s="24" t="e">
        <f t="shared" si="405"/>
        <v>#DIV/0!</v>
      </c>
      <c r="Q1194" s="29" t="str">
        <f t="shared" si="407"/>
        <v>NA</v>
      </c>
      <c r="R1194" s="29" t="str">
        <f t="shared" si="408"/>
        <v>NA</v>
      </c>
      <c r="S1194" s="29" t="str">
        <f t="shared" si="409"/>
        <v>NA</v>
      </c>
      <c r="T1194" s="29" t="str">
        <f t="shared" si="410"/>
        <v>NA</v>
      </c>
      <c r="U1194" s="29" t="str">
        <f t="shared" si="411"/>
        <v>NA</v>
      </c>
      <c r="V1194" s="29" t="str">
        <f t="shared" si="412"/>
        <v>NA</v>
      </c>
      <c r="W1194" s="29" t="str">
        <f t="shared" si="413"/>
        <v>NA</v>
      </c>
      <c r="X1194" s="29" t="str">
        <f t="shared" si="414"/>
        <v>NA</v>
      </c>
      <c r="Y1194" s="29" t="str">
        <f t="shared" si="415"/>
        <v>NA</v>
      </c>
      <c r="Z1194" s="29" t="str">
        <f t="shared" si="416"/>
        <v>NA</v>
      </c>
      <c r="AA1194" s="29" t="str">
        <f t="shared" si="417"/>
        <v>NA</v>
      </c>
      <c r="AB1194" s="29" t="str">
        <f t="shared" si="418"/>
        <v>NA</v>
      </c>
      <c r="AC1194" s="29" t="str">
        <f t="shared" si="419"/>
        <v>NA</v>
      </c>
      <c r="AD1194" s="29" t="str">
        <f t="shared" si="420"/>
        <v>NA</v>
      </c>
      <c r="AE1194" s="29" t="str">
        <f t="shared" si="421"/>
        <v>NA</v>
      </c>
      <c r="AF1194" s="29" t="str">
        <f t="shared" si="422"/>
        <v>NA</v>
      </c>
      <c r="AG1194" s="29" t="str">
        <f t="shared" si="423"/>
        <v>NA</v>
      </c>
      <c r="AH1194" s="29" t="str">
        <f t="shared" si="424"/>
        <v>NA</v>
      </c>
    </row>
    <row r="1195" customHeight="1" spans="1:34">
      <c r="A1195" s="12" t="s">
        <v>1043</v>
      </c>
      <c r="F1195" s="24">
        <f t="shared" si="406"/>
        <v>0</v>
      </c>
      <c r="G1195" s="24" t="e">
        <f t="shared" si="405"/>
        <v>#DIV/0!</v>
      </c>
      <c r="Q1195" s="29" t="str">
        <f t="shared" si="407"/>
        <v>NA</v>
      </c>
      <c r="R1195" s="29" t="str">
        <f t="shared" si="408"/>
        <v>NA</v>
      </c>
      <c r="S1195" s="29" t="str">
        <f t="shared" si="409"/>
        <v>NA</v>
      </c>
      <c r="T1195" s="29" t="str">
        <f t="shared" si="410"/>
        <v>NA</v>
      </c>
      <c r="U1195" s="29" t="str">
        <f t="shared" si="411"/>
        <v>NA</v>
      </c>
      <c r="V1195" s="29" t="str">
        <f t="shared" si="412"/>
        <v>NA</v>
      </c>
      <c r="W1195" s="29" t="str">
        <f t="shared" si="413"/>
        <v>NA</v>
      </c>
      <c r="X1195" s="29" t="str">
        <f t="shared" si="414"/>
        <v>NA</v>
      </c>
      <c r="Y1195" s="29" t="str">
        <f t="shared" si="415"/>
        <v>NA</v>
      </c>
      <c r="Z1195" s="29" t="str">
        <f t="shared" si="416"/>
        <v>NA</v>
      </c>
      <c r="AA1195" s="29" t="str">
        <f t="shared" si="417"/>
        <v>NA</v>
      </c>
      <c r="AB1195" s="29" t="str">
        <f t="shared" si="418"/>
        <v>NA</v>
      </c>
      <c r="AC1195" s="29" t="str">
        <f t="shared" si="419"/>
        <v>NA</v>
      </c>
      <c r="AD1195" s="29" t="str">
        <f t="shared" si="420"/>
        <v>NA</v>
      </c>
      <c r="AE1195" s="29" t="str">
        <f t="shared" si="421"/>
        <v>NA</v>
      </c>
      <c r="AF1195" s="29" t="str">
        <f t="shared" si="422"/>
        <v>NA</v>
      </c>
      <c r="AG1195" s="29" t="str">
        <f t="shared" si="423"/>
        <v>NA</v>
      </c>
      <c r="AH1195" s="29" t="str">
        <f t="shared" si="424"/>
        <v>NA</v>
      </c>
    </row>
    <row r="1196" customHeight="1" spans="1:34">
      <c r="A1196" s="12" t="s">
        <v>1043</v>
      </c>
      <c r="F1196" s="24">
        <f t="shared" si="406"/>
        <v>0</v>
      </c>
      <c r="G1196" s="24" t="e">
        <f t="shared" si="405"/>
        <v>#DIV/0!</v>
      </c>
      <c r="Q1196" s="29" t="str">
        <f t="shared" si="407"/>
        <v>NA</v>
      </c>
      <c r="R1196" s="29" t="str">
        <f t="shared" si="408"/>
        <v>NA</v>
      </c>
      <c r="S1196" s="29" t="str">
        <f t="shared" si="409"/>
        <v>NA</v>
      </c>
      <c r="T1196" s="29" t="str">
        <f t="shared" si="410"/>
        <v>NA</v>
      </c>
      <c r="U1196" s="29" t="str">
        <f t="shared" si="411"/>
        <v>NA</v>
      </c>
      <c r="V1196" s="29" t="str">
        <f t="shared" si="412"/>
        <v>NA</v>
      </c>
      <c r="W1196" s="29" t="str">
        <f t="shared" si="413"/>
        <v>NA</v>
      </c>
      <c r="X1196" s="29" t="str">
        <f t="shared" si="414"/>
        <v>NA</v>
      </c>
      <c r="Y1196" s="29" t="str">
        <f t="shared" si="415"/>
        <v>NA</v>
      </c>
      <c r="Z1196" s="29" t="str">
        <f t="shared" si="416"/>
        <v>NA</v>
      </c>
      <c r="AA1196" s="29" t="str">
        <f t="shared" si="417"/>
        <v>NA</v>
      </c>
      <c r="AB1196" s="29" t="str">
        <f t="shared" si="418"/>
        <v>NA</v>
      </c>
      <c r="AC1196" s="29" t="str">
        <f t="shared" si="419"/>
        <v>NA</v>
      </c>
      <c r="AD1196" s="29" t="str">
        <f t="shared" si="420"/>
        <v>NA</v>
      </c>
      <c r="AE1196" s="29" t="str">
        <f t="shared" si="421"/>
        <v>NA</v>
      </c>
      <c r="AF1196" s="29" t="str">
        <f t="shared" si="422"/>
        <v>NA</v>
      </c>
      <c r="AG1196" s="29" t="str">
        <f t="shared" si="423"/>
        <v>NA</v>
      </c>
      <c r="AH1196" s="29" t="str">
        <f t="shared" si="424"/>
        <v>NA</v>
      </c>
    </row>
    <row r="1197" customHeight="1" spans="1:34">
      <c r="A1197" s="12" t="s">
        <v>1043</v>
      </c>
      <c r="F1197" s="24">
        <f t="shared" si="406"/>
        <v>0</v>
      </c>
      <c r="G1197" s="24" t="e">
        <f t="shared" si="405"/>
        <v>#DIV/0!</v>
      </c>
      <c r="Q1197" s="29" t="str">
        <f t="shared" si="407"/>
        <v>NA</v>
      </c>
      <c r="R1197" s="29" t="str">
        <f t="shared" si="408"/>
        <v>NA</v>
      </c>
      <c r="S1197" s="29" t="str">
        <f t="shared" si="409"/>
        <v>NA</v>
      </c>
      <c r="T1197" s="29" t="str">
        <f t="shared" si="410"/>
        <v>NA</v>
      </c>
      <c r="U1197" s="29" t="str">
        <f t="shared" si="411"/>
        <v>NA</v>
      </c>
      <c r="V1197" s="29" t="str">
        <f t="shared" si="412"/>
        <v>NA</v>
      </c>
      <c r="W1197" s="29" t="str">
        <f t="shared" si="413"/>
        <v>NA</v>
      </c>
      <c r="X1197" s="29" t="str">
        <f t="shared" si="414"/>
        <v>NA</v>
      </c>
      <c r="Y1197" s="29" t="str">
        <f t="shared" si="415"/>
        <v>NA</v>
      </c>
      <c r="Z1197" s="29" t="str">
        <f t="shared" si="416"/>
        <v>NA</v>
      </c>
      <c r="AA1197" s="29" t="str">
        <f t="shared" si="417"/>
        <v>NA</v>
      </c>
      <c r="AB1197" s="29" t="str">
        <f t="shared" si="418"/>
        <v>NA</v>
      </c>
      <c r="AC1197" s="29" t="str">
        <f t="shared" si="419"/>
        <v>NA</v>
      </c>
      <c r="AD1197" s="29" t="str">
        <f t="shared" si="420"/>
        <v>NA</v>
      </c>
      <c r="AE1197" s="29" t="str">
        <f t="shared" si="421"/>
        <v>NA</v>
      </c>
      <c r="AF1197" s="29" t="str">
        <f t="shared" si="422"/>
        <v>NA</v>
      </c>
      <c r="AG1197" s="29" t="str">
        <f t="shared" si="423"/>
        <v>NA</v>
      </c>
      <c r="AH1197" s="29" t="str">
        <f t="shared" si="424"/>
        <v>NA</v>
      </c>
    </row>
    <row r="1198" customHeight="1" spans="1:34">
      <c r="A1198" s="12" t="s">
        <v>1043</v>
      </c>
      <c r="F1198" s="24">
        <f t="shared" si="406"/>
        <v>0</v>
      </c>
      <c r="G1198" s="24" t="e">
        <f t="shared" si="405"/>
        <v>#DIV/0!</v>
      </c>
      <c r="Q1198" s="29" t="str">
        <f t="shared" si="407"/>
        <v>NA</v>
      </c>
      <c r="R1198" s="29" t="str">
        <f t="shared" si="408"/>
        <v>NA</v>
      </c>
      <c r="S1198" s="29" t="str">
        <f t="shared" si="409"/>
        <v>NA</v>
      </c>
      <c r="T1198" s="29" t="str">
        <f t="shared" si="410"/>
        <v>NA</v>
      </c>
      <c r="U1198" s="29" t="str">
        <f t="shared" si="411"/>
        <v>NA</v>
      </c>
      <c r="V1198" s="29" t="str">
        <f t="shared" si="412"/>
        <v>NA</v>
      </c>
      <c r="W1198" s="29" t="str">
        <f t="shared" si="413"/>
        <v>NA</v>
      </c>
      <c r="X1198" s="29" t="str">
        <f t="shared" si="414"/>
        <v>NA</v>
      </c>
      <c r="Y1198" s="29" t="str">
        <f t="shared" si="415"/>
        <v>NA</v>
      </c>
      <c r="Z1198" s="29" t="str">
        <f t="shared" si="416"/>
        <v>NA</v>
      </c>
      <c r="AA1198" s="29" t="str">
        <f t="shared" si="417"/>
        <v>NA</v>
      </c>
      <c r="AB1198" s="29" t="str">
        <f t="shared" si="418"/>
        <v>NA</v>
      </c>
      <c r="AC1198" s="29" t="str">
        <f t="shared" si="419"/>
        <v>NA</v>
      </c>
      <c r="AD1198" s="29" t="str">
        <f t="shared" si="420"/>
        <v>NA</v>
      </c>
      <c r="AE1198" s="29" t="str">
        <f t="shared" si="421"/>
        <v>NA</v>
      </c>
      <c r="AF1198" s="29" t="str">
        <f t="shared" si="422"/>
        <v>NA</v>
      </c>
      <c r="AG1198" s="29" t="str">
        <f t="shared" si="423"/>
        <v>NA</v>
      </c>
      <c r="AH1198" s="29" t="str">
        <f t="shared" si="424"/>
        <v>NA</v>
      </c>
    </row>
    <row r="1199" customHeight="1" spans="1:34">
      <c r="A1199" s="12" t="s">
        <v>1043</v>
      </c>
      <c r="F1199" s="24">
        <f t="shared" si="406"/>
        <v>0</v>
      </c>
      <c r="G1199" s="24" t="e">
        <f t="shared" si="405"/>
        <v>#DIV/0!</v>
      </c>
      <c r="Q1199" s="29" t="str">
        <f t="shared" si="407"/>
        <v>NA</v>
      </c>
      <c r="R1199" s="29" t="str">
        <f t="shared" si="408"/>
        <v>NA</v>
      </c>
      <c r="S1199" s="29" t="str">
        <f t="shared" si="409"/>
        <v>NA</v>
      </c>
      <c r="T1199" s="29" t="str">
        <f t="shared" si="410"/>
        <v>NA</v>
      </c>
      <c r="U1199" s="29" t="str">
        <f t="shared" si="411"/>
        <v>NA</v>
      </c>
      <c r="V1199" s="29" t="str">
        <f t="shared" si="412"/>
        <v>NA</v>
      </c>
      <c r="W1199" s="29" t="str">
        <f t="shared" si="413"/>
        <v>NA</v>
      </c>
      <c r="X1199" s="29" t="str">
        <f t="shared" si="414"/>
        <v>NA</v>
      </c>
      <c r="Y1199" s="29" t="str">
        <f t="shared" si="415"/>
        <v>NA</v>
      </c>
      <c r="Z1199" s="29" t="str">
        <f t="shared" si="416"/>
        <v>NA</v>
      </c>
      <c r="AA1199" s="29" t="str">
        <f t="shared" si="417"/>
        <v>NA</v>
      </c>
      <c r="AB1199" s="29" t="str">
        <f t="shared" si="418"/>
        <v>NA</v>
      </c>
      <c r="AC1199" s="29" t="str">
        <f t="shared" si="419"/>
        <v>NA</v>
      </c>
      <c r="AD1199" s="29" t="str">
        <f t="shared" si="420"/>
        <v>NA</v>
      </c>
      <c r="AE1199" s="29" t="str">
        <f t="shared" si="421"/>
        <v>NA</v>
      </c>
      <c r="AF1199" s="29" t="str">
        <f t="shared" si="422"/>
        <v>NA</v>
      </c>
      <c r="AG1199" s="29" t="str">
        <f t="shared" si="423"/>
        <v>NA</v>
      </c>
      <c r="AH1199" s="29" t="str">
        <f t="shared" si="424"/>
        <v>NA</v>
      </c>
    </row>
    <row r="1200" customHeight="1" spans="1:34">
      <c r="A1200" s="12" t="s">
        <v>1043</v>
      </c>
      <c r="F1200" s="24">
        <f t="shared" si="406"/>
        <v>0</v>
      </c>
      <c r="G1200" s="24" t="e">
        <f t="shared" si="405"/>
        <v>#DIV/0!</v>
      </c>
      <c r="Q1200" s="29" t="str">
        <f t="shared" si="407"/>
        <v>NA</v>
      </c>
      <c r="R1200" s="29" t="str">
        <f t="shared" si="408"/>
        <v>NA</v>
      </c>
      <c r="S1200" s="29" t="str">
        <f t="shared" si="409"/>
        <v>NA</v>
      </c>
      <c r="T1200" s="29" t="str">
        <f t="shared" si="410"/>
        <v>NA</v>
      </c>
      <c r="U1200" s="29" t="str">
        <f t="shared" si="411"/>
        <v>NA</v>
      </c>
      <c r="V1200" s="29" t="str">
        <f t="shared" si="412"/>
        <v>NA</v>
      </c>
      <c r="W1200" s="29" t="str">
        <f t="shared" si="413"/>
        <v>NA</v>
      </c>
      <c r="X1200" s="29" t="str">
        <f t="shared" si="414"/>
        <v>NA</v>
      </c>
      <c r="Y1200" s="29" t="str">
        <f t="shared" si="415"/>
        <v>NA</v>
      </c>
      <c r="Z1200" s="29" t="str">
        <f t="shared" si="416"/>
        <v>NA</v>
      </c>
      <c r="AA1200" s="29" t="str">
        <f t="shared" si="417"/>
        <v>NA</v>
      </c>
      <c r="AB1200" s="29" t="str">
        <f t="shared" si="418"/>
        <v>NA</v>
      </c>
      <c r="AC1200" s="29" t="str">
        <f t="shared" si="419"/>
        <v>NA</v>
      </c>
      <c r="AD1200" s="29" t="str">
        <f t="shared" si="420"/>
        <v>NA</v>
      </c>
      <c r="AE1200" s="29" t="str">
        <f t="shared" si="421"/>
        <v>NA</v>
      </c>
      <c r="AF1200" s="29" t="str">
        <f t="shared" si="422"/>
        <v>NA</v>
      </c>
      <c r="AG1200" s="29" t="str">
        <f t="shared" si="423"/>
        <v>NA</v>
      </c>
      <c r="AH1200" s="29" t="str">
        <f t="shared" si="424"/>
        <v>NA</v>
      </c>
    </row>
    <row r="1201" customHeight="1" spans="1:34">
      <c r="A1201" s="12" t="s">
        <v>1043</v>
      </c>
      <c r="F1201" s="24">
        <f t="shared" si="406"/>
        <v>0</v>
      </c>
      <c r="G1201" s="24" t="e">
        <f t="shared" si="405"/>
        <v>#DIV/0!</v>
      </c>
      <c r="Q1201" s="29" t="str">
        <f t="shared" si="407"/>
        <v>NA</v>
      </c>
      <c r="R1201" s="29" t="str">
        <f t="shared" si="408"/>
        <v>NA</v>
      </c>
      <c r="S1201" s="29" t="str">
        <f t="shared" si="409"/>
        <v>NA</v>
      </c>
      <c r="T1201" s="29" t="str">
        <f t="shared" si="410"/>
        <v>NA</v>
      </c>
      <c r="U1201" s="29" t="str">
        <f t="shared" si="411"/>
        <v>NA</v>
      </c>
      <c r="V1201" s="29" t="str">
        <f t="shared" si="412"/>
        <v>NA</v>
      </c>
      <c r="W1201" s="29" t="str">
        <f t="shared" si="413"/>
        <v>NA</v>
      </c>
      <c r="X1201" s="29" t="str">
        <f t="shared" si="414"/>
        <v>NA</v>
      </c>
      <c r="Y1201" s="29" t="str">
        <f t="shared" si="415"/>
        <v>NA</v>
      </c>
      <c r="Z1201" s="29" t="str">
        <f t="shared" si="416"/>
        <v>NA</v>
      </c>
      <c r="AA1201" s="29" t="str">
        <f t="shared" si="417"/>
        <v>NA</v>
      </c>
      <c r="AB1201" s="29" t="str">
        <f t="shared" si="418"/>
        <v>NA</v>
      </c>
      <c r="AC1201" s="29" t="str">
        <f t="shared" si="419"/>
        <v>NA</v>
      </c>
      <c r="AD1201" s="29" t="str">
        <f t="shared" si="420"/>
        <v>NA</v>
      </c>
      <c r="AE1201" s="29" t="str">
        <f t="shared" si="421"/>
        <v>NA</v>
      </c>
      <c r="AF1201" s="29" t="str">
        <f t="shared" si="422"/>
        <v>NA</v>
      </c>
      <c r="AG1201" s="29" t="str">
        <f t="shared" si="423"/>
        <v>NA</v>
      </c>
      <c r="AH1201" s="29" t="str">
        <f t="shared" si="424"/>
        <v>NA</v>
      </c>
    </row>
    <row r="1202" customHeight="1" spans="1:34">
      <c r="A1202" s="12" t="s">
        <v>1043</v>
      </c>
      <c r="F1202" s="24">
        <f t="shared" si="406"/>
        <v>0</v>
      </c>
      <c r="G1202" s="24" t="e">
        <f t="shared" si="405"/>
        <v>#DIV/0!</v>
      </c>
      <c r="Q1202" s="29" t="str">
        <f t="shared" si="407"/>
        <v>NA</v>
      </c>
      <c r="R1202" s="29" t="str">
        <f t="shared" si="408"/>
        <v>NA</v>
      </c>
      <c r="S1202" s="29" t="str">
        <f t="shared" si="409"/>
        <v>NA</v>
      </c>
      <c r="T1202" s="29" t="str">
        <f t="shared" si="410"/>
        <v>NA</v>
      </c>
      <c r="U1202" s="29" t="str">
        <f t="shared" si="411"/>
        <v>NA</v>
      </c>
      <c r="V1202" s="29" t="str">
        <f t="shared" si="412"/>
        <v>NA</v>
      </c>
      <c r="W1202" s="29" t="str">
        <f t="shared" si="413"/>
        <v>NA</v>
      </c>
      <c r="X1202" s="29" t="str">
        <f t="shared" si="414"/>
        <v>NA</v>
      </c>
      <c r="Y1202" s="29" t="str">
        <f t="shared" si="415"/>
        <v>NA</v>
      </c>
      <c r="Z1202" s="29" t="str">
        <f t="shared" si="416"/>
        <v>NA</v>
      </c>
      <c r="AA1202" s="29" t="str">
        <f t="shared" si="417"/>
        <v>NA</v>
      </c>
      <c r="AB1202" s="29" t="str">
        <f t="shared" si="418"/>
        <v>NA</v>
      </c>
      <c r="AC1202" s="29" t="str">
        <f t="shared" si="419"/>
        <v>NA</v>
      </c>
      <c r="AD1202" s="29" t="str">
        <f t="shared" si="420"/>
        <v>NA</v>
      </c>
      <c r="AE1202" s="29" t="str">
        <f t="shared" si="421"/>
        <v>NA</v>
      </c>
      <c r="AF1202" s="29" t="str">
        <f t="shared" si="422"/>
        <v>NA</v>
      </c>
      <c r="AG1202" s="29" t="str">
        <f t="shared" si="423"/>
        <v>NA</v>
      </c>
      <c r="AH1202" s="29" t="str">
        <f t="shared" si="424"/>
        <v>NA</v>
      </c>
    </row>
    <row r="1203" customHeight="1" spans="1:34">
      <c r="A1203" s="12" t="s">
        <v>1043</v>
      </c>
      <c r="F1203" s="24">
        <f t="shared" si="406"/>
        <v>0</v>
      </c>
      <c r="G1203" s="24" t="e">
        <f t="shared" si="405"/>
        <v>#DIV/0!</v>
      </c>
      <c r="Q1203" s="29" t="str">
        <f t="shared" si="407"/>
        <v>NA</v>
      </c>
      <c r="R1203" s="29" t="str">
        <f t="shared" si="408"/>
        <v>NA</v>
      </c>
      <c r="S1203" s="29" t="str">
        <f t="shared" si="409"/>
        <v>NA</v>
      </c>
      <c r="T1203" s="29" t="str">
        <f t="shared" si="410"/>
        <v>NA</v>
      </c>
      <c r="U1203" s="29" t="str">
        <f t="shared" si="411"/>
        <v>NA</v>
      </c>
      <c r="V1203" s="29" t="str">
        <f t="shared" si="412"/>
        <v>NA</v>
      </c>
      <c r="W1203" s="29" t="str">
        <f t="shared" si="413"/>
        <v>NA</v>
      </c>
      <c r="X1203" s="29" t="str">
        <f t="shared" si="414"/>
        <v>NA</v>
      </c>
      <c r="Y1203" s="29" t="str">
        <f t="shared" si="415"/>
        <v>NA</v>
      </c>
      <c r="Z1203" s="29" t="str">
        <f t="shared" si="416"/>
        <v>NA</v>
      </c>
      <c r="AA1203" s="29" t="str">
        <f t="shared" si="417"/>
        <v>NA</v>
      </c>
      <c r="AB1203" s="29" t="str">
        <f t="shared" si="418"/>
        <v>NA</v>
      </c>
      <c r="AC1203" s="29" t="str">
        <f t="shared" si="419"/>
        <v>NA</v>
      </c>
      <c r="AD1203" s="29" t="str">
        <f t="shared" si="420"/>
        <v>NA</v>
      </c>
      <c r="AE1203" s="29" t="str">
        <f t="shared" si="421"/>
        <v>NA</v>
      </c>
      <c r="AF1203" s="29" t="str">
        <f t="shared" si="422"/>
        <v>NA</v>
      </c>
      <c r="AG1203" s="29" t="str">
        <f t="shared" si="423"/>
        <v>NA</v>
      </c>
      <c r="AH1203" s="29" t="str">
        <f t="shared" si="424"/>
        <v>NA</v>
      </c>
    </row>
    <row r="1204" customHeight="1" spans="1:34">
      <c r="A1204" s="12" t="s">
        <v>1043</v>
      </c>
      <c r="F1204" s="24">
        <f t="shared" si="406"/>
        <v>0</v>
      </c>
      <c r="G1204" s="24" t="e">
        <f t="shared" si="405"/>
        <v>#DIV/0!</v>
      </c>
      <c r="Q1204" s="29" t="str">
        <f t="shared" si="407"/>
        <v>NA</v>
      </c>
      <c r="R1204" s="29" t="str">
        <f t="shared" si="408"/>
        <v>NA</v>
      </c>
      <c r="S1204" s="29" t="str">
        <f t="shared" si="409"/>
        <v>NA</v>
      </c>
      <c r="T1204" s="29" t="str">
        <f t="shared" si="410"/>
        <v>NA</v>
      </c>
      <c r="U1204" s="29" t="str">
        <f t="shared" si="411"/>
        <v>NA</v>
      </c>
      <c r="V1204" s="29" t="str">
        <f t="shared" si="412"/>
        <v>NA</v>
      </c>
      <c r="W1204" s="29" t="str">
        <f t="shared" si="413"/>
        <v>NA</v>
      </c>
      <c r="X1204" s="29" t="str">
        <f t="shared" si="414"/>
        <v>NA</v>
      </c>
      <c r="Y1204" s="29" t="str">
        <f t="shared" si="415"/>
        <v>NA</v>
      </c>
      <c r="Z1204" s="29" t="str">
        <f t="shared" si="416"/>
        <v>NA</v>
      </c>
      <c r="AA1204" s="29" t="str">
        <f t="shared" si="417"/>
        <v>NA</v>
      </c>
      <c r="AB1204" s="29" t="str">
        <f t="shared" si="418"/>
        <v>NA</v>
      </c>
      <c r="AC1204" s="29" t="str">
        <f t="shared" si="419"/>
        <v>NA</v>
      </c>
      <c r="AD1204" s="29" t="str">
        <f t="shared" si="420"/>
        <v>NA</v>
      </c>
      <c r="AE1204" s="29" t="str">
        <f t="shared" si="421"/>
        <v>NA</v>
      </c>
      <c r="AF1204" s="29" t="str">
        <f t="shared" si="422"/>
        <v>NA</v>
      </c>
      <c r="AG1204" s="29" t="str">
        <f t="shared" si="423"/>
        <v>NA</v>
      </c>
      <c r="AH1204" s="29" t="str">
        <f t="shared" si="424"/>
        <v>NA</v>
      </c>
    </row>
    <row r="1205" customHeight="1" spans="1:34">
      <c r="A1205" s="12" t="s">
        <v>1043</v>
      </c>
      <c r="F1205" s="24">
        <f t="shared" si="406"/>
        <v>0</v>
      </c>
      <c r="G1205" s="24" t="e">
        <f t="shared" si="405"/>
        <v>#DIV/0!</v>
      </c>
      <c r="Q1205" s="29" t="str">
        <f t="shared" si="407"/>
        <v>NA</v>
      </c>
      <c r="R1205" s="29" t="str">
        <f t="shared" si="408"/>
        <v>NA</v>
      </c>
      <c r="S1205" s="29" t="str">
        <f t="shared" si="409"/>
        <v>NA</v>
      </c>
      <c r="T1205" s="29" t="str">
        <f t="shared" si="410"/>
        <v>NA</v>
      </c>
      <c r="U1205" s="29" t="str">
        <f t="shared" si="411"/>
        <v>NA</v>
      </c>
      <c r="V1205" s="29" t="str">
        <f t="shared" si="412"/>
        <v>NA</v>
      </c>
      <c r="W1205" s="29" t="str">
        <f t="shared" si="413"/>
        <v>NA</v>
      </c>
      <c r="X1205" s="29" t="str">
        <f t="shared" si="414"/>
        <v>NA</v>
      </c>
      <c r="Y1205" s="29" t="str">
        <f t="shared" si="415"/>
        <v>NA</v>
      </c>
      <c r="Z1205" s="29" t="str">
        <f t="shared" si="416"/>
        <v>NA</v>
      </c>
      <c r="AA1205" s="29" t="str">
        <f t="shared" si="417"/>
        <v>NA</v>
      </c>
      <c r="AB1205" s="29" t="str">
        <f t="shared" si="418"/>
        <v>NA</v>
      </c>
      <c r="AC1205" s="29" t="str">
        <f t="shared" si="419"/>
        <v>NA</v>
      </c>
      <c r="AD1205" s="29" t="str">
        <f t="shared" si="420"/>
        <v>NA</v>
      </c>
      <c r="AE1205" s="29" t="str">
        <f t="shared" si="421"/>
        <v>NA</v>
      </c>
      <c r="AF1205" s="29" t="str">
        <f t="shared" si="422"/>
        <v>NA</v>
      </c>
      <c r="AG1205" s="29" t="str">
        <f t="shared" si="423"/>
        <v>NA</v>
      </c>
      <c r="AH1205" s="29" t="str">
        <f t="shared" si="424"/>
        <v>NA</v>
      </c>
    </row>
    <row r="1206" customHeight="1" spans="1:34">
      <c r="A1206" s="12" t="s">
        <v>1043</v>
      </c>
      <c r="F1206" s="24">
        <f t="shared" si="406"/>
        <v>0</v>
      </c>
      <c r="G1206" s="24" t="e">
        <f t="shared" si="405"/>
        <v>#DIV/0!</v>
      </c>
      <c r="Q1206" s="29" t="str">
        <f t="shared" si="407"/>
        <v>NA</v>
      </c>
      <c r="R1206" s="29" t="str">
        <f t="shared" si="408"/>
        <v>NA</v>
      </c>
      <c r="S1206" s="29" t="str">
        <f t="shared" si="409"/>
        <v>NA</v>
      </c>
      <c r="T1206" s="29" t="str">
        <f t="shared" si="410"/>
        <v>NA</v>
      </c>
      <c r="U1206" s="29" t="str">
        <f t="shared" si="411"/>
        <v>NA</v>
      </c>
      <c r="V1206" s="29" t="str">
        <f t="shared" si="412"/>
        <v>NA</v>
      </c>
      <c r="W1206" s="29" t="str">
        <f t="shared" si="413"/>
        <v>NA</v>
      </c>
      <c r="X1206" s="29" t="str">
        <f t="shared" si="414"/>
        <v>NA</v>
      </c>
      <c r="Y1206" s="29" t="str">
        <f t="shared" si="415"/>
        <v>NA</v>
      </c>
      <c r="Z1206" s="29" t="str">
        <f t="shared" si="416"/>
        <v>NA</v>
      </c>
      <c r="AA1206" s="29" t="str">
        <f t="shared" si="417"/>
        <v>NA</v>
      </c>
      <c r="AB1206" s="29" t="str">
        <f t="shared" si="418"/>
        <v>NA</v>
      </c>
      <c r="AC1206" s="29" t="str">
        <f t="shared" si="419"/>
        <v>NA</v>
      </c>
      <c r="AD1206" s="29" t="str">
        <f t="shared" si="420"/>
        <v>NA</v>
      </c>
      <c r="AE1206" s="29" t="str">
        <f t="shared" si="421"/>
        <v>NA</v>
      </c>
      <c r="AF1206" s="29" t="str">
        <f t="shared" si="422"/>
        <v>NA</v>
      </c>
      <c r="AG1206" s="29" t="str">
        <f t="shared" si="423"/>
        <v>NA</v>
      </c>
      <c r="AH1206" s="29" t="str">
        <f t="shared" si="424"/>
        <v>NA</v>
      </c>
    </row>
    <row r="1207" customHeight="1" spans="1:34">
      <c r="A1207" s="12" t="s">
        <v>1043</v>
      </c>
      <c r="F1207" s="24">
        <f t="shared" si="406"/>
        <v>0</v>
      </c>
      <c r="G1207" s="24" t="e">
        <f t="shared" si="405"/>
        <v>#DIV/0!</v>
      </c>
      <c r="Q1207" s="29" t="str">
        <f t="shared" si="407"/>
        <v>NA</v>
      </c>
      <c r="R1207" s="29" t="str">
        <f t="shared" si="408"/>
        <v>NA</v>
      </c>
      <c r="S1207" s="29" t="str">
        <f t="shared" si="409"/>
        <v>NA</v>
      </c>
      <c r="T1207" s="29" t="str">
        <f t="shared" si="410"/>
        <v>NA</v>
      </c>
      <c r="U1207" s="29" t="str">
        <f t="shared" si="411"/>
        <v>NA</v>
      </c>
      <c r="V1207" s="29" t="str">
        <f t="shared" si="412"/>
        <v>NA</v>
      </c>
      <c r="W1207" s="29" t="str">
        <f t="shared" si="413"/>
        <v>NA</v>
      </c>
      <c r="X1207" s="29" t="str">
        <f t="shared" si="414"/>
        <v>NA</v>
      </c>
      <c r="Y1207" s="29" t="str">
        <f t="shared" si="415"/>
        <v>NA</v>
      </c>
      <c r="Z1207" s="29" t="str">
        <f t="shared" si="416"/>
        <v>NA</v>
      </c>
      <c r="AA1207" s="29" t="str">
        <f t="shared" si="417"/>
        <v>NA</v>
      </c>
      <c r="AB1207" s="29" t="str">
        <f t="shared" si="418"/>
        <v>NA</v>
      </c>
      <c r="AC1207" s="29" t="str">
        <f t="shared" si="419"/>
        <v>NA</v>
      </c>
      <c r="AD1207" s="29" t="str">
        <f t="shared" si="420"/>
        <v>NA</v>
      </c>
      <c r="AE1207" s="29" t="str">
        <f t="shared" si="421"/>
        <v>NA</v>
      </c>
      <c r="AF1207" s="29" t="str">
        <f t="shared" si="422"/>
        <v>NA</v>
      </c>
      <c r="AG1207" s="29" t="str">
        <f t="shared" si="423"/>
        <v>NA</v>
      </c>
      <c r="AH1207" s="29" t="str">
        <f t="shared" si="424"/>
        <v>NA</v>
      </c>
    </row>
    <row r="1208" customHeight="1" spans="1:34">
      <c r="A1208" s="12" t="s">
        <v>1043</v>
      </c>
      <c r="F1208" s="24">
        <f t="shared" si="406"/>
        <v>0</v>
      </c>
      <c r="G1208" s="24" t="e">
        <f t="shared" si="405"/>
        <v>#DIV/0!</v>
      </c>
      <c r="Q1208" s="29" t="str">
        <f t="shared" si="407"/>
        <v>NA</v>
      </c>
      <c r="R1208" s="29" t="str">
        <f t="shared" si="408"/>
        <v>NA</v>
      </c>
      <c r="S1208" s="29" t="str">
        <f t="shared" si="409"/>
        <v>NA</v>
      </c>
      <c r="T1208" s="29" t="str">
        <f t="shared" si="410"/>
        <v>NA</v>
      </c>
      <c r="U1208" s="29" t="str">
        <f t="shared" si="411"/>
        <v>NA</v>
      </c>
      <c r="V1208" s="29" t="str">
        <f t="shared" si="412"/>
        <v>NA</v>
      </c>
      <c r="W1208" s="29" t="str">
        <f t="shared" si="413"/>
        <v>NA</v>
      </c>
      <c r="X1208" s="29" t="str">
        <f t="shared" si="414"/>
        <v>NA</v>
      </c>
      <c r="Y1208" s="29" t="str">
        <f t="shared" si="415"/>
        <v>NA</v>
      </c>
      <c r="Z1208" s="29" t="str">
        <f t="shared" si="416"/>
        <v>NA</v>
      </c>
      <c r="AA1208" s="29" t="str">
        <f t="shared" si="417"/>
        <v>NA</v>
      </c>
      <c r="AB1208" s="29" t="str">
        <f t="shared" si="418"/>
        <v>NA</v>
      </c>
      <c r="AC1208" s="29" t="str">
        <f t="shared" si="419"/>
        <v>NA</v>
      </c>
      <c r="AD1208" s="29" t="str">
        <f t="shared" si="420"/>
        <v>NA</v>
      </c>
      <c r="AE1208" s="29" t="str">
        <f t="shared" si="421"/>
        <v>NA</v>
      </c>
      <c r="AF1208" s="29" t="str">
        <f t="shared" si="422"/>
        <v>NA</v>
      </c>
      <c r="AG1208" s="29" t="str">
        <f t="shared" si="423"/>
        <v>NA</v>
      </c>
      <c r="AH1208" s="29" t="str">
        <f t="shared" si="424"/>
        <v>NA</v>
      </c>
    </row>
    <row r="1209" customHeight="1" spans="1:34">
      <c r="A1209" s="12" t="s">
        <v>1043</v>
      </c>
      <c r="F1209" s="24">
        <f t="shared" si="406"/>
        <v>0</v>
      </c>
      <c r="G1209" s="24" t="e">
        <f t="shared" si="405"/>
        <v>#DIV/0!</v>
      </c>
      <c r="Q1209" s="29" t="str">
        <f t="shared" si="407"/>
        <v>NA</v>
      </c>
      <c r="R1209" s="29" t="str">
        <f t="shared" si="408"/>
        <v>NA</v>
      </c>
      <c r="S1209" s="29" t="str">
        <f t="shared" si="409"/>
        <v>NA</v>
      </c>
      <c r="T1209" s="29" t="str">
        <f t="shared" si="410"/>
        <v>NA</v>
      </c>
      <c r="U1209" s="29" t="str">
        <f t="shared" si="411"/>
        <v>NA</v>
      </c>
      <c r="V1209" s="29" t="str">
        <f t="shared" si="412"/>
        <v>NA</v>
      </c>
      <c r="W1209" s="29" t="str">
        <f t="shared" si="413"/>
        <v>NA</v>
      </c>
      <c r="X1209" s="29" t="str">
        <f t="shared" si="414"/>
        <v>NA</v>
      </c>
      <c r="Y1209" s="29" t="str">
        <f t="shared" si="415"/>
        <v>NA</v>
      </c>
      <c r="Z1209" s="29" t="str">
        <f t="shared" si="416"/>
        <v>NA</v>
      </c>
      <c r="AA1209" s="29" t="str">
        <f t="shared" si="417"/>
        <v>NA</v>
      </c>
      <c r="AB1209" s="29" t="str">
        <f t="shared" si="418"/>
        <v>NA</v>
      </c>
      <c r="AC1209" s="29" t="str">
        <f t="shared" si="419"/>
        <v>NA</v>
      </c>
      <c r="AD1209" s="29" t="str">
        <f t="shared" si="420"/>
        <v>NA</v>
      </c>
      <c r="AE1209" s="29" t="str">
        <f t="shared" si="421"/>
        <v>NA</v>
      </c>
      <c r="AF1209" s="29" t="str">
        <f t="shared" si="422"/>
        <v>NA</v>
      </c>
      <c r="AG1209" s="29" t="str">
        <f t="shared" si="423"/>
        <v>NA</v>
      </c>
      <c r="AH1209" s="29" t="str">
        <f t="shared" si="424"/>
        <v>NA</v>
      </c>
    </row>
    <row r="1210" customHeight="1" spans="1:34">
      <c r="A1210" s="12" t="s">
        <v>1043</v>
      </c>
      <c r="F1210" s="24">
        <f t="shared" si="406"/>
        <v>0</v>
      </c>
      <c r="G1210" s="24" t="e">
        <f t="shared" si="405"/>
        <v>#DIV/0!</v>
      </c>
      <c r="Q1210" s="29" t="str">
        <f t="shared" si="407"/>
        <v>NA</v>
      </c>
      <c r="R1210" s="29" t="str">
        <f t="shared" si="408"/>
        <v>NA</v>
      </c>
      <c r="S1210" s="29" t="str">
        <f t="shared" si="409"/>
        <v>NA</v>
      </c>
      <c r="T1210" s="29" t="str">
        <f t="shared" si="410"/>
        <v>NA</v>
      </c>
      <c r="U1210" s="29" t="str">
        <f t="shared" si="411"/>
        <v>NA</v>
      </c>
      <c r="V1210" s="29" t="str">
        <f t="shared" si="412"/>
        <v>NA</v>
      </c>
      <c r="W1210" s="29" t="str">
        <f t="shared" si="413"/>
        <v>NA</v>
      </c>
      <c r="X1210" s="29" t="str">
        <f t="shared" si="414"/>
        <v>NA</v>
      </c>
      <c r="Y1210" s="29" t="str">
        <f t="shared" si="415"/>
        <v>NA</v>
      </c>
      <c r="Z1210" s="29" t="str">
        <f t="shared" si="416"/>
        <v>NA</v>
      </c>
      <c r="AA1210" s="29" t="str">
        <f t="shared" si="417"/>
        <v>NA</v>
      </c>
      <c r="AB1210" s="29" t="str">
        <f t="shared" si="418"/>
        <v>NA</v>
      </c>
      <c r="AC1210" s="29" t="str">
        <f t="shared" si="419"/>
        <v>NA</v>
      </c>
      <c r="AD1210" s="29" t="str">
        <f t="shared" si="420"/>
        <v>NA</v>
      </c>
      <c r="AE1210" s="29" t="str">
        <f t="shared" si="421"/>
        <v>NA</v>
      </c>
      <c r="AF1210" s="29" t="str">
        <f t="shared" si="422"/>
        <v>NA</v>
      </c>
      <c r="AG1210" s="29" t="str">
        <f t="shared" si="423"/>
        <v>NA</v>
      </c>
      <c r="AH1210" s="29" t="str">
        <f t="shared" si="424"/>
        <v>NA</v>
      </c>
    </row>
    <row r="1211" customHeight="1" spans="1:34">
      <c r="A1211" s="12" t="s">
        <v>1043</v>
      </c>
      <c r="F1211" s="24">
        <f t="shared" si="406"/>
        <v>0</v>
      </c>
      <c r="G1211" s="24" t="e">
        <f t="shared" si="405"/>
        <v>#DIV/0!</v>
      </c>
      <c r="Q1211" s="29" t="str">
        <f t="shared" si="407"/>
        <v>NA</v>
      </c>
      <c r="R1211" s="29" t="str">
        <f t="shared" si="408"/>
        <v>NA</v>
      </c>
      <c r="S1211" s="29" t="str">
        <f t="shared" si="409"/>
        <v>NA</v>
      </c>
      <c r="T1211" s="29" t="str">
        <f t="shared" si="410"/>
        <v>NA</v>
      </c>
      <c r="U1211" s="29" t="str">
        <f t="shared" si="411"/>
        <v>NA</v>
      </c>
      <c r="V1211" s="29" t="str">
        <f t="shared" si="412"/>
        <v>NA</v>
      </c>
      <c r="W1211" s="29" t="str">
        <f t="shared" si="413"/>
        <v>NA</v>
      </c>
      <c r="X1211" s="29" t="str">
        <f t="shared" si="414"/>
        <v>NA</v>
      </c>
      <c r="Y1211" s="29" t="str">
        <f t="shared" si="415"/>
        <v>NA</v>
      </c>
      <c r="Z1211" s="29" t="str">
        <f t="shared" si="416"/>
        <v>NA</v>
      </c>
      <c r="AA1211" s="29" t="str">
        <f t="shared" si="417"/>
        <v>NA</v>
      </c>
      <c r="AB1211" s="29" t="str">
        <f t="shared" si="418"/>
        <v>NA</v>
      </c>
      <c r="AC1211" s="29" t="str">
        <f t="shared" si="419"/>
        <v>NA</v>
      </c>
      <c r="AD1211" s="29" t="str">
        <f t="shared" si="420"/>
        <v>NA</v>
      </c>
      <c r="AE1211" s="29" t="str">
        <f t="shared" si="421"/>
        <v>NA</v>
      </c>
      <c r="AF1211" s="29" t="str">
        <f t="shared" si="422"/>
        <v>NA</v>
      </c>
      <c r="AG1211" s="29" t="str">
        <f t="shared" si="423"/>
        <v>NA</v>
      </c>
      <c r="AH1211" s="29" t="str">
        <f t="shared" si="424"/>
        <v>NA</v>
      </c>
    </row>
    <row r="1212" customHeight="1" spans="1:34">
      <c r="A1212" s="12" t="s">
        <v>1043</v>
      </c>
      <c r="F1212" s="24">
        <f t="shared" si="406"/>
        <v>0</v>
      </c>
      <c r="G1212" s="24" t="e">
        <f t="shared" si="405"/>
        <v>#DIV/0!</v>
      </c>
      <c r="Q1212" s="29" t="str">
        <f t="shared" si="407"/>
        <v>NA</v>
      </c>
      <c r="R1212" s="29" t="str">
        <f t="shared" si="408"/>
        <v>NA</v>
      </c>
      <c r="S1212" s="29" t="str">
        <f t="shared" si="409"/>
        <v>NA</v>
      </c>
      <c r="T1212" s="29" t="str">
        <f t="shared" si="410"/>
        <v>NA</v>
      </c>
      <c r="U1212" s="29" t="str">
        <f t="shared" si="411"/>
        <v>NA</v>
      </c>
      <c r="V1212" s="29" t="str">
        <f t="shared" si="412"/>
        <v>NA</v>
      </c>
      <c r="W1212" s="29" t="str">
        <f t="shared" si="413"/>
        <v>NA</v>
      </c>
      <c r="X1212" s="29" t="str">
        <f t="shared" si="414"/>
        <v>NA</v>
      </c>
      <c r="Y1212" s="29" t="str">
        <f t="shared" si="415"/>
        <v>NA</v>
      </c>
      <c r="Z1212" s="29" t="str">
        <f t="shared" si="416"/>
        <v>NA</v>
      </c>
      <c r="AA1212" s="29" t="str">
        <f t="shared" si="417"/>
        <v>NA</v>
      </c>
      <c r="AB1212" s="29" t="str">
        <f t="shared" si="418"/>
        <v>NA</v>
      </c>
      <c r="AC1212" s="29" t="str">
        <f t="shared" si="419"/>
        <v>NA</v>
      </c>
      <c r="AD1212" s="29" t="str">
        <f t="shared" si="420"/>
        <v>NA</v>
      </c>
      <c r="AE1212" s="29" t="str">
        <f t="shared" si="421"/>
        <v>NA</v>
      </c>
      <c r="AF1212" s="29" t="str">
        <f t="shared" si="422"/>
        <v>NA</v>
      </c>
      <c r="AG1212" s="29" t="str">
        <f t="shared" si="423"/>
        <v>NA</v>
      </c>
      <c r="AH1212" s="29" t="str">
        <f t="shared" si="424"/>
        <v>NA</v>
      </c>
    </row>
    <row r="1213" customHeight="1" spans="1:34">
      <c r="A1213" s="12" t="s">
        <v>1043</v>
      </c>
      <c r="F1213" s="24">
        <f t="shared" si="406"/>
        <v>0</v>
      </c>
      <c r="G1213" s="24" t="e">
        <f t="shared" si="405"/>
        <v>#DIV/0!</v>
      </c>
      <c r="Q1213" s="29" t="str">
        <f t="shared" si="407"/>
        <v>NA</v>
      </c>
      <c r="R1213" s="29" t="str">
        <f t="shared" si="408"/>
        <v>NA</v>
      </c>
      <c r="S1213" s="29" t="str">
        <f t="shared" si="409"/>
        <v>NA</v>
      </c>
      <c r="T1213" s="29" t="str">
        <f t="shared" si="410"/>
        <v>NA</v>
      </c>
      <c r="U1213" s="29" t="str">
        <f t="shared" si="411"/>
        <v>NA</v>
      </c>
      <c r="V1213" s="29" t="str">
        <f t="shared" si="412"/>
        <v>NA</v>
      </c>
      <c r="W1213" s="29" t="str">
        <f t="shared" si="413"/>
        <v>NA</v>
      </c>
      <c r="X1213" s="29" t="str">
        <f t="shared" si="414"/>
        <v>NA</v>
      </c>
      <c r="Y1213" s="29" t="str">
        <f t="shared" si="415"/>
        <v>NA</v>
      </c>
      <c r="Z1213" s="29" t="str">
        <f t="shared" si="416"/>
        <v>NA</v>
      </c>
      <c r="AA1213" s="29" t="str">
        <f t="shared" si="417"/>
        <v>NA</v>
      </c>
      <c r="AB1213" s="29" t="str">
        <f t="shared" si="418"/>
        <v>NA</v>
      </c>
      <c r="AC1213" s="29" t="str">
        <f t="shared" si="419"/>
        <v>NA</v>
      </c>
      <c r="AD1213" s="29" t="str">
        <f t="shared" si="420"/>
        <v>NA</v>
      </c>
      <c r="AE1213" s="29" t="str">
        <f t="shared" si="421"/>
        <v>NA</v>
      </c>
      <c r="AF1213" s="29" t="str">
        <f t="shared" si="422"/>
        <v>NA</v>
      </c>
      <c r="AG1213" s="29" t="str">
        <f t="shared" si="423"/>
        <v>NA</v>
      </c>
      <c r="AH1213" s="29" t="str">
        <f t="shared" si="424"/>
        <v>NA</v>
      </c>
    </row>
    <row r="1214" customHeight="1" spans="1:34">
      <c r="A1214" s="12" t="s">
        <v>1043</v>
      </c>
      <c r="F1214" s="24">
        <f t="shared" si="406"/>
        <v>0</v>
      </c>
      <c r="G1214" s="24" t="e">
        <f t="shared" si="405"/>
        <v>#DIV/0!</v>
      </c>
      <c r="Q1214" s="29" t="str">
        <f t="shared" si="407"/>
        <v>NA</v>
      </c>
      <c r="R1214" s="29" t="str">
        <f t="shared" si="408"/>
        <v>NA</v>
      </c>
      <c r="S1214" s="29" t="str">
        <f t="shared" si="409"/>
        <v>NA</v>
      </c>
      <c r="T1214" s="29" t="str">
        <f t="shared" si="410"/>
        <v>NA</v>
      </c>
      <c r="U1214" s="29" t="str">
        <f t="shared" si="411"/>
        <v>NA</v>
      </c>
      <c r="V1214" s="29" t="str">
        <f t="shared" si="412"/>
        <v>NA</v>
      </c>
      <c r="W1214" s="29" t="str">
        <f t="shared" si="413"/>
        <v>NA</v>
      </c>
      <c r="X1214" s="29" t="str">
        <f t="shared" si="414"/>
        <v>NA</v>
      </c>
      <c r="Y1214" s="29" t="str">
        <f t="shared" si="415"/>
        <v>NA</v>
      </c>
      <c r="Z1214" s="29" t="str">
        <f t="shared" si="416"/>
        <v>NA</v>
      </c>
      <c r="AA1214" s="29" t="str">
        <f t="shared" si="417"/>
        <v>NA</v>
      </c>
      <c r="AB1214" s="29" t="str">
        <f t="shared" si="418"/>
        <v>NA</v>
      </c>
      <c r="AC1214" s="29" t="str">
        <f t="shared" si="419"/>
        <v>NA</v>
      </c>
      <c r="AD1214" s="29" t="str">
        <f t="shared" si="420"/>
        <v>NA</v>
      </c>
      <c r="AE1214" s="29" t="str">
        <f t="shared" si="421"/>
        <v>NA</v>
      </c>
      <c r="AF1214" s="29" t="str">
        <f t="shared" si="422"/>
        <v>NA</v>
      </c>
      <c r="AG1214" s="29" t="str">
        <f t="shared" si="423"/>
        <v>NA</v>
      </c>
      <c r="AH1214" s="29" t="str">
        <f t="shared" si="424"/>
        <v>NA</v>
      </c>
    </row>
    <row r="1215" customHeight="1" spans="1:34">
      <c r="A1215" s="12" t="s">
        <v>1043</v>
      </c>
      <c r="F1215" s="24">
        <f t="shared" si="406"/>
        <v>0</v>
      </c>
      <c r="G1215" s="24" t="e">
        <f t="shared" si="405"/>
        <v>#DIV/0!</v>
      </c>
      <c r="Q1215" s="29" t="str">
        <f t="shared" si="407"/>
        <v>NA</v>
      </c>
      <c r="R1215" s="29" t="str">
        <f t="shared" si="408"/>
        <v>NA</v>
      </c>
      <c r="S1215" s="29" t="str">
        <f t="shared" si="409"/>
        <v>NA</v>
      </c>
      <c r="T1215" s="29" t="str">
        <f t="shared" si="410"/>
        <v>NA</v>
      </c>
      <c r="U1215" s="29" t="str">
        <f t="shared" si="411"/>
        <v>NA</v>
      </c>
      <c r="V1215" s="29" t="str">
        <f t="shared" si="412"/>
        <v>NA</v>
      </c>
      <c r="W1215" s="29" t="str">
        <f t="shared" si="413"/>
        <v>NA</v>
      </c>
      <c r="X1215" s="29" t="str">
        <f t="shared" si="414"/>
        <v>NA</v>
      </c>
      <c r="Y1215" s="29" t="str">
        <f t="shared" si="415"/>
        <v>NA</v>
      </c>
      <c r="Z1215" s="29" t="str">
        <f t="shared" si="416"/>
        <v>NA</v>
      </c>
      <c r="AA1215" s="29" t="str">
        <f t="shared" si="417"/>
        <v>NA</v>
      </c>
      <c r="AB1215" s="29" t="str">
        <f t="shared" si="418"/>
        <v>NA</v>
      </c>
      <c r="AC1215" s="29" t="str">
        <f t="shared" si="419"/>
        <v>NA</v>
      </c>
      <c r="AD1215" s="29" t="str">
        <f t="shared" si="420"/>
        <v>NA</v>
      </c>
      <c r="AE1215" s="29" t="str">
        <f t="shared" si="421"/>
        <v>NA</v>
      </c>
      <c r="AF1215" s="29" t="str">
        <f t="shared" si="422"/>
        <v>NA</v>
      </c>
      <c r="AG1215" s="29" t="str">
        <f t="shared" si="423"/>
        <v>NA</v>
      </c>
      <c r="AH1215" s="29" t="str">
        <f t="shared" si="424"/>
        <v>NA</v>
      </c>
    </row>
    <row r="1216" customHeight="1" spans="1:34">
      <c r="A1216" s="12" t="s">
        <v>1043</v>
      </c>
      <c r="F1216" s="24">
        <f t="shared" si="406"/>
        <v>0</v>
      </c>
      <c r="G1216" s="24" t="e">
        <f t="shared" si="405"/>
        <v>#DIV/0!</v>
      </c>
      <c r="Q1216" s="29" t="str">
        <f t="shared" si="407"/>
        <v>NA</v>
      </c>
      <c r="R1216" s="29" t="str">
        <f t="shared" si="408"/>
        <v>NA</v>
      </c>
      <c r="S1216" s="29" t="str">
        <f t="shared" si="409"/>
        <v>NA</v>
      </c>
      <c r="T1216" s="29" t="str">
        <f t="shared" si="410"/>
        <v>NA</v>
      </c>
      <c r="U1216" s="29" t="str">
        <f t="shared" si="411"/>
        <v>NA</v>
      </c>
      <c r="V1216" s="29" t="str">
        <f t="shared" si="412"/>
        <v>NA</v>
      </c>
      <c r="W1216" s="29" t="str">
        <f t="shared" si="413"/>
        <v>NA</v>
      </c>
      <c r="X1216" s="29" t="str">
        <f t="shared" si="414"/>
        <v>NA</v>
      </c>
      <c r="Y1216" s="29" t="str">
        <f t="shared" si="415"/>
        <v>NA</v>
      </c>
      <c r="Z1216" s="29" t="str">
        <f t="shared" si="416"/>
        <v>NA</v>
      </c>
      <c r="AA1216" s="29" t="str">
        <f t="shared" si="417"/>
        <v>NA</v>
      </c>
      <c r="AB1216" s="29" t="str">
        <f t="shared" si="418"/>
        <v>NA</v>
      </c>
      <c r="AC1216" s="29" t="str">
        <f t="shared" si="419"/>
        <v>NA</v>
      </c>
      <c r="AD1216" s="29" t="str">
        <f t="shared" si="420"/>
        <v>NA</v>
      </c>
      <c r="AE1216" s="29" t="str">
        <f t="shared" si="421"/>
        <v>NA</v>
      </c>
      <c r="AF1216" s="29" t="str">
        <f t="shared" si="422"/>
        <v>NA</v>
      </c>
      <c r="AG1216" s="29" t="str">
        <f t="shared" si="423"/>
        <v>NA</v>
      </c>
      <c r="AH1216" s="29" t="str">
        <f t="shared" si="424"/>
        <v>NA</v>
      </c>
    </row>
    <row r="1217" customHeight="1" spans="1:34">
      <c r="A1217" s="12" t="s">
        <v>1043</v>
      </c>
      <c r="F1217" s="24">
        <f t="shared" si="406"/>
        <v>0</v>
      </c>
      <c r="G1217" s="24" t="e">
        <f t="shared" si="405"/>
        <v>#DIV/0!</v>
      </c>
      <c r="Q1217" s="29" t="str">
        <f t="shared" si="407"/>
        <v>NA</v>
      </c>
      <c r="R1217" s="29" t="str">
        <f t="shared" si="408"/>
        <v>NA</v>
      </c>
      <c r="S1217" s="29" t="str">
        <f t="shared" si="409"/>
        <v>NA</v>
      </c>
      <c r="T1217" s="29" t="str">
        <f t="shared" si="410"/>
        <v>NA</v>
      </c>
      <c r="U1217" s="29" t="str">
        <f t="shared" si="411"/>
        <v>NA</v>
      </c>
      <c r="V1217" s="29" t="str">
        <f t="shared" si="412"/>
        <v>NA</v>
      </c>
      <c r="W1217" s="29" t="str">
        <f t="shared" si="413"/>
        <v>NA</v>
      </c>
      <c r="X1217" s="29" t="str">
        <f t="shared" si="414"/>
        <v>NA</v>
      </c>
      <c r="Y1217" s="29" t="str">
        <f t="shared" si="415"/>
        <v>NA</v>
      </c>
      <c r="Z1217" s="29" t="str">
        <f t="shared" si="416"/>
        <v>NA</v>
      </c>
      <c r="AA1217" s="29" t="str">
        <f t="shared" si="417"/>
        <v>NA</v>
      </c>
      <c r="AB1217" s="29" t="str">
        <f t="shared" si="418"/>
        <v>NA</v>
      </c>
      <c r="AC1217" s="29" t="str">
        <f t="shared" si="419"/>
        <v>NA</v>
      </c>
      <c r="AD1217" s="29" t="str">
        <f t="shared" si="420"/>
        <v>NA</v>
      </c>
      <c r="AE1217" s="29" t="str">
        <f t="shared" si="421"/>
        <v>NA</v>
      </c>
      <c r="AF1217" s="29" t="str">
        <f t="shared" si="422"/>
        <v>NA</v>
      </c>
      <c r="AG1217" s="29" t="str">
        <f t="shared" si="423"/>
        <v>NA</v>
      </c>
      <c r="AH1217" s="29" t="str">
        <f t="shared" si="424"/>
        <v>NA</v>
      </c>
    </row>
    <row r="1218" customHeight="1" spans="1:34">
      <c r="A1218" s="12" t="s">
        <v>1043</v>
      </c>
      <c r="F1218" s="24">
        <f t="shared" si="406"/>
        <v>0</v>
      </c>
      <c r="G1218" s="24" t="e">
        <f t="shared" si="405"/>
        <v>#DIV/0!</v>
      </c>
      <c r="Q1218" s="29" t="str">
        <f t="shared" si="407"/>
        <v>NA</v>
      </c>
      <c r="R1218" s="29" t="str">
        <f t="shared" si="408"/>
        <v>NA</v>
      </c>
      <c r="S1218" s="29" t="str">
        <f t="shared" si="409"/>
        <v>NA</v>
      </c>
      <c r="T1218" s="29" t="str">
        <f t="shared" si="410"/>
        <v>NA</v>
      </c>
      <c r="U1218" s="29" t="str">
        <f t="shared" si="411"/>
        <v>NA</v>
      </c>
      <c r="V1218" s="29" t="str">
        <f t="shared" si="412"/>
        <v>NA</v>
      </c>
      <c r="W1218" s="29" t="str">
        <f t="shared" si="413"/>
        <v>NA</v>
      </c>
      <c r="X1218" s="29" t="str">
        <f t="shared" si="414"/>
        <v>NA</v>
      </c>
      <c r="Y1218" s="29" t="str">
        <f t="shared" si="415"/>
        <v>NA</v>
      </c>
      <c r="Z1218" s="29" t="str">
        <f t="shared" si="416"/>
        <v>NA</v>
      </c>
      <c r="AA1218" s="29" t="str">
        <f t="shared" si="417"/>
        <v>NA</v>
      </c>
      <c r="AB1218" s="29" t="str">
        <f t="shared" si="418"/>
        <v>NA</v>
      </c>
      <c r="AC1218" s="29" t="str">
        <f t="shared" si="419"/>
        <v>NA</v>
      </c>
      <c r="AD1218" s="29" t="str">
        <f t="shared" si="420"/>
        <v>NA</v>
      </c>
      <c r="AE1218" s="29" t="str">
        <f t="shared" si="421"/>
        <v>NA</v>
      </c>
      <c r="AF1218" s="29" t="str">
        <f t="shared" si="422"/>
        <v>NA</v>
      </c>
      <c r="AG1218" s="29" t="str">
        <f t="shared" si="423"/>
        <v>NA</v>
      </c>
      <c r="AH1218" s="29" t="str">
        <f t="shared" si="424"/>
        <v>NA</v>
      </c>
    </row>
    <row r="1219" customHeight="1" spans="1:34">
      <c r="A1219" s="12" t="s">
        <v>1043</v>
      </c>
      <c r="F1219" s="24">
        <f t="shared" si="406"/>
        <v>0</v>
      </c>
      <c r="G1219" s="24" t="e">
        <f t="shared" si="405"/>
        <v>#DIV/0!</v>
      </c>
      <c r="Q1219" s="29" t="str">
        <f t="shared" si="407"/>
        <v>NA</v>
      </c>
      <c r="R1219" s="29" t="str">
        <f t="shared" si="408"/>
        <v>NA</v>
      </c>
      <c r="S1219" s="29" t="str">
        <f t="shared" si="409"/>
        <v>NA</v>
      </c>
      <c r="T1219" s="29" t="str">
        <f t="shared" si="410"/>
        <v>NA</v>
      </c>
      <c r="U1219" s="29" t="str">
        <f t="shared" si="411"/>
        <v>NA</v>
      </c>
      <c r="V1219" s="29" t="str">
        <f t="shared" si="412"/>
        <v>NA</v>
      </c>
      <c r="W1219" s="29" t="str">
        <f t="shared" si="413"/>
        <v>NA</v>
      </c>
      <c r="X1219" s="29" t="str">
        <f t="shared" si="414"/>
        <v>NA</v>
      </c>
      <c r="Y1219" s="29" t="str">
        <f t="shared" si="415"/>
        <v>NA</v>
      </c>
      <c r="Z1219" s="29" t="str">
        <f t="shared" si="416"/>
        <v>NA</v>
      </c>
      <c r="AA1219" s="29" t="str">
        <f t="shared" si="417"/>
        <v>NA</v>
      </c>
      <c r="AB1219" s="29" t="str">
        <f t="shared" si="418"/>
        <v>NA</v>
      </c>
      <c r="AC1219" s="29" t="str">
        <f t="shared" si="419"/>
        <v>NA</v>
      </c>
      <c r="AD1219" s="29" t="str">
        <f t="shared" si="420"/>
        <v>NA</v>
      </c>
      <c r="AE1219" s="29" t="str">
        <f t="shared" si="421"/>
        <v>NA</v>
      </c>
      <c r="AF1219" s="29" t="str">
        <f t="shared" si="422"/>
        <v>NA</v>
      </c>
      <c r="AG1219" s="29" t="str">
        <f t="shared" si="423"/>
        <v>NA</v>
      </c>
      <c r="AH1219" s="29" t="str">
        <f t="shared" si="424"/>
        <v>NA</v>
      </c>
    </row>
    <row r="1220" customHeight="1" spans="1:34">
      <c r="A1220" s="12" t="s">
        <v>1043</v>
      </c>
      <c r="F1220" s="24">
        <f t="shared" si="406"/>
        <v>0</v>
      </c>
      <c r="G1220" s="24" t="e">
        <f t="shared" si="405"/>
        <v>#DIV/0!</v>
      </c>
      <c r="Q1220" s="29" t="str">
        <f t="shared" si="407"/>
        <v>NA</v>
      </c>
      <c r="R1220" s="29" t="str">
        <f t="shared" si="408"/>
        <v>NA</v>
      </c>
      <c r="S1220" s="29" t="str">
        <f t="shared" si="409"/>
        <v>NA</v>
      </c>
      <c r="T1220" s="29" t="str">
        <f t="shared" si="410"/>
        <v>NA</v>
      </c>
      <c r="U1220" s="29" t="str">
        <f t="shared" si="411"/>
        <v>NA</v>
      </c>
      <c r="V1220" s="29" t="str">
        <f t="shared" si="412"/>
        <v>NA</v>
      </c>
      <c r="W1220" s="29" t="str">
        <f t="shared" si="413"/>
        <v>NA</v>
      </c>
      <c r="X1220" s="29" t="str">
        <f t="shared" si="414"/>
        <v>NA</v>
      </c>
      <c r="Y1220" s="29" t="str">
        <f t="shared" si="415"/>
        <v>NA</v>
      </c>
      <c r="Z1220" s="29" t="str">
        <f t="shared" si="416"/>
        <v>NA</v>
      </c>
      <c r="AA1220" s="29" t="str">
        <f t="shared" si="417"/>
        <v>NA</v>
      </c>
      <c r="AB1220" s="29" t="str">
        <f t="shared" si="418"/>
        <v>NA</v>
      </c>
      <c r="AC1220" s="29" t="str">
        <f t="shared" si="419"/>
        <v>NA</v>
      </c>
      <c r="AD1220" s="29" t="str">
        <f t="shared" si="420"/>
        <v>NA</v>
      </c>
      <c r="AE1220" s="29" t="str">
        <f t="shared" si="421"/>
        <v>NA</v>
      </c>
      <c r="AF1220" s="29" t="str">
        <f t="shared" si="422"/>
        <v>NA</v>
      </c>
      <c r="AG1220" s="29" t="str">
        <f t="shared" si="423"/>
        <v>NA</v>
      </c>
      <c r="AH1220" s="29" t="str">
        <f t="shared" si="424"/>
        <v>NA</v>
      </c>
    </row>
    <row r="1221" customHeight="1" spans="1:34">
      <c r="A1221" s="12" t="s">
        <v>1043</v>
      </c>
      <c r="F1221" s="24">
        <f t="shared" si="406"/>
        <v>0</v>
      </c>
      <c r="G1221" s="24" t="e">
        <f t="shared" ref="G1221:G1284" si="425">B1221*D1221/C1221</f>
        <v>#DIV/0!</v>
      </c>
      <c r="Q1221" s="29" t="str">
        <f t="shared" si="407"/>
        <v>NA</v>
      </c>
      <c r="R1221" s="29" t="str">
        <f t="shared" si="408"/>
        <v>NA</v>
      </c>
      <c r="S1221" s="29" t="str">
        <f t="shared" si="409"/>
        <v>NA</v>
      </c>
      <c r="T1221" s="29" t="str">
        <f t="shared" si="410"/>
        <v>NA</v>
      </c>
      <c r="U1221" s="29" t="str">
        <f t="shared" si="411"/>
        <v>NA</v>
      </c>
      <c r="V1221" s="29" t="str">
        <f t="shared" si="412"/>
        <v>NA</v>
      </c>
      <c r="W1221" s="29" t="str">
        <f t="shared" si="413"/>
        <v>NA</v>
      </c>
      <c r="X1221" s="29" t="str">
        <f t="shared" si="414"/>
        <v>NA</v>
      </c>
      <c r="Y1221" s="29" t="str">
        <f t="shared" si="415"/>
        <v>NA</v>
      </c>
      <c r="Z1221" s="29" t="str">
        <f t="shared" si="416"/>
        <v>NA</v>
      </c>
      <c r="AA1221" s="29" t="str">
        <f t="shared" si="417"/>
        <v>NA</v>
      </c>
      <c r="AB1221" s="29" t="str">
        <f t="shared" si="418"/>
        <v>NA</v>
      </c>
      <c r="AC1221" s="29" t="str">
        <f t="shared" si="419"/>
        <v>NA</v>
      </c>
      <c r="AD1221" s="29" t="str">
        <f t="shared" si="420"/>
        <v>NA</v>
      </c>
      <c r="AE1221" s="29" t="str">
        <f t="shared" si="421"/>
        <v>NA</v>
      </c>
      <c r="AF1221" s="29" t="str">
        <f t="shared" si="422"/>
        <v>NA</v>
      </c>
      <c r="AG1221" s="29" t="str">
        <f t="shared" si="423"/>
        <v>NA</v>
      </c>
      <c r="AH1221" s="29" t="str">
        <f t="shared" si="424"/>
        <v>NA</v>
      </c>
    </row>
    <row r="1222" customHeight="1" spans="1:34">
      <c r="A1222" s="12" t="s">
        <v>1043</v>
      </c>
      <c r="F1222" s="24">
        <f t="shared" ref="F1222:F1285" si="426">+D1222+E1222</f>
        <v>0</v>
      </c>
      <c r="G1222" s="24" t="e">
        <f t="shared" si="425"/>
        <v>#DIV/0!</v>
      </c>
      <c r="Q1222" s="29" t="str">
        <f t="shared" si="407"/>
        <v>NA</v>
      </c>
      <c r="R1222" s="29" t="str">
        <f t="shared" si="408"/>
        <v>NA</v>
      </c>
      <c r="S1222" s="29" t="str">
        <f t="shared" si="409"/>
        <v>NA</v>
      </c>
      <c r="T1222" s="29" t="str">
        <f t="shared" si="410"/>
        <v>NA</v>
      </c>
      <c r="U1222" s="29" t="str">
        <f t="shared" si="411"/>
        <v>NA</v>
      </c>
      <c r="V1222" s="29" t="str">
        <f t="shared" si="412"/>
        <v>NA</v>
      </c>
      <c r="W1222" s="29" t="str">
        <f t="shared" si="413"/>
        <v>NA</v>
      </c>
      <c r="X1222" s="29" t="str">
        <f t="shared" si="414"/>
        <v>NA</v>
      </c>
      <c r="Y1222" s="29" t="str">
        <f t="shared" si="415"/>
        <v>NA</v>
      </c>
      <c r="Z1222" s="29" t="str">
        <f t="shared" si="416"/>
        <v>NA</v>
      </c>
      <c r="AA1222" s="29" t="str">
        <f t="shared" si="417"/>
        <v>NA</v>
      </c>
      <c r="AB1222" s="29" t="str">
        <f t="shared" si="418"/>
        <v>NA</v>
      </c>
      <c r="AC1222" s="29" t="str">
        <f t="shared" si="419"/>
        <v>NA</v>
      </c>
      <c r="AD1222" s="29" t="str">
        <f t="shared" si="420"/>
        <v>NA</v>
      </c>
      <c r="AE1222" s="29" t="str">
        <f t="shared" si="421"/>
        <v>NA</v>
      </c>
      <c r="AF1222" s="29" t="str">
        <f t="shared" si="422"/>
        <v>NA</v>
      </c>
      <c r="AG1222" s="29" t="str">
        <f t="shared" si="423"/>
        <v>NA</v>
      </c>
      <c r="AH1222" s="29" t="str">
        <f t="shared" si="424"/>
        <v>NA</v>
      </c>
    </row>
    <row r="1223" customHeight="1" spans="1:34">
      <c r="A1223" s="12" t="s">
        <v>1043</v>
      </c>
      <c r="F1223" s="24">
        <f t="shared" si="426"/>
        <v>0</v>
      </c>
      <c r="G1223" s="24" t="e">
        <f t="shared" si="425"/>
        <v>#DIV/0!</v>
      </c>
      <c r="Q1223" s="29" t="str">
        <f t="shared" si="407"/>
        <v>NA</v>
      </c>
      <c r="R1223" s="29" t="str">
        <f t="shared" si="408"/>
        <v>NA</v>
      </c>
      <c r="S1223" s="29" t="str">
        <f t="shared" si="409"/>
        <v>NA</v>
      </c>
      <c r="T1223" s="29" t="str">
        <f t="shared" si="410"/>
        <v>NA</v>
      </c>
      <c r="U1223" s="29" t="str">
        <f t="shared" si="411"/>
        <v>NA</v>
      </c>
      <c r="V1223" s="29" t="str">
        <f t="shared" si="412"/>
        <v>NA</v>
      </c>
      <c r="W1223" s="29" t="str">
        <f t="shared" si="413"/>
        <v>NA</v>
      </c>
      <c r="X1223" s="29" t="str">
        <f t="shared" si="414"/>
        <v>NA</v>
      </c>
      <c r="Y1223" s="29" t="str">
        <f t="shared" si="415"/>
        <v>NA</v>
      </c>
      <c r="Z1223" s="29" t="str">
        <f t="shared" si="416"/>
        <v>NA</v>
      </c>
      <c r="AA1223" s="29" t="str">
        <f t="shared" si="417"/>
        <v>NA</v>
      </c>
      <c r="AB1223" s="29" t="str">
        <f t="shared" si="418"/>
        <v>NA</v>
      </c>
      <c r="AC1223" s="29" t="str">
        <f t="shared" si="419"/>
        <v>NA</v>
      </c>
      <c r="AD1223" s="29" t="str">
        <f t="shared" si="420"/>
        <v>NA</v>
      </c>
      <c r="AE1223" s="29" t="str">
        <f t="shared" si="421"/>
        <v>NA</v>
      </c>
      <c r="AF1223" s="29" t="str">
        <f t="shared" si="422"/>
        <v>NA</v>
      </c>
      <c r="AG1223" s="29" t="str">
        <f t="shared" si="423"/>
        <v>NA</v>
      </c>
      <c r="AH1223" s="29" t="str">
        <f t="shared" si="424"/>
        <v>NA</v>
      </c>
    </row>
    <row r="1224" customHeight="1" spans="1:34">
      <c r="A1224" s="12" t="s">
        <v>1043</v>
      </c>
      <c r="F1224" s="24">
        <f t="shared" si="426"/>
        <v>0</v>
      </c>
      <c r="G1224" s="24" t="e">
        <f t="shared" si="425"/>
        <v>#DIV/0!</v>
      </c>
      <c r="Q1224" s="29" t="str">
        <f t="shared" si="407"/>
        <v>NA</v>
      </c>
      <c r="R1224" s="29" t="str">
        <f t="shared" si="408"/>
        <v>NA</v>
      </c>
      <c r="S1224" s="29" t="str">
        <f t="shared" si="409"/>
        <v>NA</v>
      </c>
      <c r="T1224" s="29" t="str">
        <f t="shared" si="410"/>
        <v>NA</v>
      </c>
      <c r="U1224" s="29" t="str">
        <f t="shared" si="411"/>
        <v>NA</v>
      </c>
      <c r="V1224" s="29" t="str">
        <f t="shared" si="412"/>
        <v>NA</v>
      </c>
      <c r="W1224" s="29" t="str">
        <f t="shared" si="413"/>
        <v>NA</v>
      </c>
      <c r="X1224" s="29" t="str">
        <f t="shared" si="414"/>
        <v>NA</v>
      </c>
      <c r="Y1224" s="29" t="str">
        <f t="shared" si="415"/>
        <v>NA</v>
      </c>
      <c r="Z1224" s="29" t="str">
        <f t="shared" si="416"/>
        <v>NA</v>
      </c>
      <c r="AA1224" s="29" t="str">
        <f t="shared" si="417"/>
        <v>NA</v>
      </c>
      <c r="AB1224" s="29" t="str">
        <f t="shared" si="418"/>
        <v>NA</v>
      </c>
      <c r="AC1224" s="29" t="str">
        <f t="shared" si="419"/>
        <v>NA</v>
      </c>
      <c r="AD1224" s="29" t="str">
        <f t="shared" si="420"/>
        <v>NA</v>
      </c>
      <c r="AE1224" s="29" t="str">
        <f t="shared" si="421"/>
        <v>NA</v>
      </c>
      <c r="AF1224" s="29" t="str">
        <f t="shared" si="422"/>
        <v>NA</v>
      </c>
      <c r="AG1224" s="29" t="str">
        <f t="shared" si="423"/>
        <v>NA</v>
      </c>
      <c r="AH1224" s="29" t="str">
        <f t="shared" si="424"/>
        <v>NA</v>
      </c>
    </row>
    <row r="1225" customHeight="1" spans="1:34">
      <c r="A1225" s="12" t="s">
        <v>1043</v>
      </c>
      <c r="F1225" s="24">
        <f t="shared" si="426"/>
        <v>0</v>
      </c>
      <c r="G1225" s="24" t="e">
        <f t="shared" si="425"/>
        <v>#DIV/0!</v>
      </c>
      <c r="Q1225" s="29" t="str">
        <f t="shared" si="407"/>
        <v>NA</v>
      </c>
      <c r="R1225" s="29" t="str">
        <f t="shared" si="408"/>
        <v>NA</v>
      </c>
      <c r="S1225" s="29" t="str">
        <f t="shared" si="409"/>
        <v>NA</v>
      </c>
      <c r="T1225" s="29" t="str">
        <f t="shared" si="410"/>
        <v>NA</v>
      </c>
      <c r="U1225" s="29" t="str">
        <f t="shared" si="411"/>
        <v>NA</v>
      </c>
      <c r="V1225" s="29" t="str">
        <f t="shared" si="412"/>
        <v>NA</v>
      </c>
      <c r="W1225" s="29" t="str">
        <f t="shared" si="413"/>
        <v>NA</v>
      </c>
      <c r="X1225" s="29" t="str">
        <f t="shared" si="414"/>
        <v>NA</v>
      </c>
      <c r="Y1225" s="29" t="str">
        <f t="shared" si="415"/>
        <v>NA</v>
      </c>
      <c r="Z1225" s="29" t="str">
        <f t="shared" si="416"/>
        <v>NA</v>
      </c>
      <c r="AA1225" s="29" t="str">
        <f t="shared" si="417"/>
        <v>NA</v>
      </c>
      <c r="AB1225" s="29" t="str">
        <f t="shared" si="418"/>
        <v>NA</v>
      </c>
      <c r="AC1225" s="29" t="str">
        <f t="shared" si="419"/>
        <v>NA</v>
      </c>
      <c r="AD1225" s="29" t="str">
        <f t="shared" si="420"/>
        <v>NA</v>
      </c>
      <c r="AE1225" s="29" t="str">
        <f t="shared" si="421"/>
        <v>NA</v>
      </c>
      <c r="AF1225" s="29" t="str">
        <f t="shared" si="422"/>
        <v>NA</v>
      </c>
      <c r="AG1225" s="29" t="str">
        <f t="shared" si="423"/>
        <v>NA</v>
      </c>
      <c r="AH1225" s="29" t="str">
        <f t="shared" si="424"/>
        <v>NA</v>
      </c>
    </row>
    <row r="1226" customHeight="1" spans="1:34">
      <c r="A1226" s="12" t="s">
        <v>1043</v>
      </c>
      <c r="F1226" s="24">
        <f t="shared" si="426"/>
        <v>0</v>
      </c>
      <c r="G1226" s="24" t="e">
        <f t="shared" si="425"/>
        <v>#DIV/0!</v>
      </c>
      <c r="Q1226" s="29" t="str">
        <f t="shared" si="407"/>
        <v>NA</v>
      </c>
      <c r="R1226" s="29" t="str">
        <f t="shared" si="408"/>
        <v>NA</v>
      </c>
      <c r="S1226" s="29" t="str">
        <f t="shared" si="409"/>
        <v>NA</v>
      </c>
      <c r="T1226" s="29" t="str">
        <f t="shared" si="410"/>
        <v>NA</v>
      </c>
      <c r="U1226" s="29" t="str">
        <f t="shared" si="411"/>
        <v>NA</v>
      </c>
      <c r="V1226" s="29" t="str">
        <f t="shared" si="412"/>
        <v>NA</v>
      </c>
      <c r="W1226" s="29" t="str">
        <f t="shared" si="413"/>
        <v>NA</v>
      </c>
      <c r="X1226" s="29" t="str">
        <f t="shared" si="414"/>
        <v>NA</v>
      </c>
      <c r="Y1226" s="29" t="str">
        <f t="shared" si="415"/>
        <v>NA</v>
      </c>
      <c r="Z1226" s="29" t="str">
        <f t="shared" si="416"/>
        <v>NA</v>
      </c>
      <c r="AA1226" s="29" t="str">
        <f t="shared" si="417"/>
        <v>NA</v>
      </c>
      <c r="AB1226" s="29" t="str">
        <f t="shared" si="418"/>
        <v>NA</v>
      </c>
      <c r="AC1226" s="29" t="str">
        <f t="shared" si="419"/>
        <v>NA</v>
      </c>
      <c r="AD1226" s="29" t="str">
        <f t="shared" si="420"/>
        <v>NA</v>
      </c>
      <c r="AE1226" s="29" t="str">
        <f t="shared" si="421"/>
        <v>NA</v>
      </c>
      <c r="AF1226" s="29" t="str">
        <f t="shared" si="422"/>
        <v>NA</v>
      </c>
      <c r="AG1226" s="29" t="str">
        <f t="shared" si="423"/>
        <v>NA</v>
      </c>
      <c r="AH1226" s="29" t="str">
        <f t="shared" si="424"/>
        <v>NA</v>
      </c>
    </row>
    <row r="1227" customHeight="1" spans="1:34">
      <c r="A1227" s="12" t="s">
        <v>1043</v>
      </c>
      <c r="F1227" s="24">
        <f t="shared" si="426"/>
        <v>0</v>
      </c>
      <c r="G1227" s="24" t="e">
        <f t="shared" si="425"/>
        <v>#DIV/0!</v>
      </c>
      <c r="Q1227" s="29" t="str">
        <f t="shared" si="407"/>
        <v>NA</v>
      </c>
      <c r="R1227" s="29" t="str">
        <f t="shared" si="408"/>
        <v>NA</v>
      </c>
      <c r="S1227" s="29" t="str">
        <f t="shared" si="409"/>
        <v>NA</v>
      </c>
      <c r="T1227" s="29" t="str">
        <f t="shared" si="410"/>
        <v>NA</v>
      </c>
      <c r="U1227" s="29" t="str">
        <f t="shared" si="411"/>
        <v>NA</v>
      </c>
      <c r="V1227" s="29" t="str">
        <f t="shared" si="412"/>
        <v>NA</v>
      </c>
      <c r="W1227" s="29" t="str">
        <f t="shared" si="413"/>
        <v>NA</v>
      </c>
      <c r="X1227" s="29" t="str">
        <f t="shared" si="414"/>
        <v>NA</v>
      </c>
      <c r="Y1227" s="29" t="str">
        <f t="shared" si="415"/>
        <v>NA</v>
      </c>
      <c r="Z1227" s="29" t="str">
        <f t="shared" si="416"/>
        <v>NA</v>
      </c>
      <c r="AA1227" s="29" t="str">
        <f t="shared" si="417"/>
        <v>NA</v>
      </c>
      <c r="AB1227" s="29" t="str">
        <f t="shared" si="418"/>
        <v>NA</v>
      </c>
      <c r="AC1227" s="29" t="str">
        <f t="shared" si="419"/>
        <v>NA</v>
      </c>
      <c r="AD1227" s="29" t="str">
        <f t="shared" si="420"/>
        <v>NA</v>
      </c>
      <c r="AE1227" s="29" t="str">
        <f t="shared" si="421"/>
        <v>NA</v>
      </c>
      <c r="AF1227" s="29" t="str">
        <f t="shared" si="422"/>
        <v>NA</v>
      </c>
      <c r="AG1227" s="29" t="str">
        <f t="shared" si="423"/>
        <v>NA</v>
      </c>
      <c r="AH1227" s="29" t="str">
        <f t="shared" si="424"/>
        <v>NA</v>
      </c>
    </row>
    <row r="1228" customHeight="1" spans="1:34">
      <c r="A1228" s="12" t="s">
        <v>1043</v>
      </c>
      <c r="F1228" s="24">
        <f t="shared" si="426"/>
        <v>0</v>
      </c>
      <c r="G1228" s="24" t="e">
        <f t="shared" si="425"/>
        <v>#DIV/0!</v>
      </c>
      <c r="Q1228" s="29" t="str">
        <f t="shared" si="407"/>
        <v>NA</v>
      </c>
      <c r="R1228" s="29" t="str">
        <f t="shared" si="408"/>
        <v>NA</v>
      </c>
      <c r="S1228" s="29" t="str">
        <f t="shared" si="409"/>
        <v>NA</v>
      </c>
      <c r="T1228" s="29" t="str">
        <f t="shared" si="410"/>
        <v>NA</v>
      </c>
      <c r="U1228" s="29" t="str">
        <f t="shared" si="411"/>
        <v>NA</v>
      </c>
      <c r="V1228" s="29" t="str">
        <f t="shared" si="412"/>
        <v>NA</v>
      </c>
      <c r="W1228" s="29" t="str">
        <f t="shared" si="413"/>
        <v>NA</v>
      </c>
      <c r="X1228" s="29" t="str">
        <f t="shared" si="414"/>
        <v>NA</v>
      </c>
      <c r="Y1228" s="29" t="str">
        <f t="shared" si="415"/>
        <v>NA</v>
      </c>
      <c r="Z1228" s="29" t="str">
        <f t="shared" si="416"/>
        <v>NA</v>
      </c>
      <c r="AA1228" s="29" t="str">
        <f t="shared" si="417"/>
        <v>NA</v>
      </c>
      <c r="AB1228" s="29" t="str">
        <f t="shared" si="418"/>
        <v>NA</v>
      </c>
      <c r="AC1228" s="29" t="str">
        <f t="shared" si="419"/>
        <v>NA</v>
      </c>
      <c r="AD1228" s="29" t="str">
        <f t="shared" si="420"/>
        <v>NA</v>
      </c>
      <c r="AE1228" s="29" t="str">
        <f t="shared" si="421"/>
        <v>NA</v>
      </c>
      <c r="AF1228" s="29" t="str">
        <f t="shared" si="422"/>
        <v>NA</v>
      </c>
      <c r="AG1228" s="29" t="str">
        <f t="shared" si="423"/>
        <v>NA</v>
      </c>
      <c r="AH1228" s="29" t="str">
        <f t="shared" si="424"/>
        <v>NA</v>
      </c>
    </row>
    <row r="1229" customHeight="1" spans="1:34">
      <c r="A1229" s="12" t="s">
        <v>1043</v>
      </c>
      <c r="F1229" s="24">
        <f t="shared" si="426"/>
        <v>0</v>
      </c>
      <c r="G1229" s="24" t="e">
        <f t="shared" si="425"/>
        <v>#DIV/0!</v>
      </c>
      <c r="Q1229" s="29" t="str">
        <f t="shared" si="407"/>
        <v>NA</v>
      </c>
      <c r="R1229" s="29" t="str">
        <f t="shared" si="408"/>
        <v>NA</v>
      </c>
      <c r="S1229" s="29" t="str">
        <f t="shared" si="409"/>
        <v>NA</v>
      </c>
      <c r="T1229" s="29" t="str">
        <f t="shared" si="410"/>
        <v>NA</v>
      </c>
      <c r="U1229" s="29" t="str">
        <f t="shared" si="411"/>
        <v>NA</v>
      </c>
      <c r="V1229" s="29" t="str">
        <f t="shared" si="412"/>
        <v>NA</v>
      </c>
      <c r="W1229" s="29" t="str">
        <f t="shared" si="413"/>
        <v>NA</v>
      </c>
      <c r="X1229" s="29" t="str">
        <f t="shared" si="414"/>
        <v>NA</v>
      </c>
      <c r="Y1229" s="29" t="str">
        <f t="shared" si="415"/>
        <v>NA</v>
      </c>
      <c r="Z1229" s="29" t="str">
        <f t="shared" si="416"/>
        <v>NA</v>
      </c>
      <c r="AA1229" s="29" t="str">
        <f t="shared" si="417"/>
        <v>NA</v>
      </c>
      <c r="AB1229" s="29" t="str">
        <f t="shared" si="418"/>
        <v>NA</v>
      </c>
      <c r="AC1229" s="29" t="str">
        <f t="shared" si="419"/>
        <v>NA</v>
      </c>
      <c r="AD1229" s="29" t="str">
        <f t="shared" si="420"/>
        <v>NA</v>
      </c>
      <c r="AE1229" s="29" t="str">
        <f t="shared" si="421"/>
        <v>NA</v>
      </c>
      <c r="AF1229" s="29" t="str">
        <f t="shared" si="422"/>
        <v>NA</v>
      </c>
      <c r="AG1229" s="29" t="str">
        <f t="shared" si="423"/>
        <v>NA</v>
      </c>
      <c r="AH1229" s="29" t="str">
        <f t="shared" si="424"/>
        <v>NA</v>
      </c>
    </row>
    <row r="1230" customHeight="1" spans="1:34">
      <c r="A1230" s="12" t="s">
        <v>1043</v>
      </c>
      <c r="F1230" s="24">
        <f t="shared" si="426"/>
        <v>0</v>
      </c>
      <c r="G1230" s="24" t="e">
        <f t="shared" si="425"/>
        <v>#DIV/0!</v>
      </c>
      <c r="Q1230" s="29" t="str">
        <f t="shared" si="407"/>
        <v>NA</v>
      </c>
      <c r="R1230" s="29" t="str">
        <f t="shared" si="408"/>
        <v>NA</v>
      </c>
      <c r="S1230" s="29" t="str">
        <f t="shared" si="409"/>
        <v>NA</v>
      </c>
      <c r="T1230" s="29" t="str">
        <f t="shared" si="410"/>
        <v>NA</v>
      </c>
      <c r="U1230" s="29" t="str">
        <f t="shared" si="411"/>
        <v>NA</v>
      </c>
      <c r="V1230" s="29" t="str">
        <f t="shared" si="412"/>
        <v>NA</v>
      </c>
      <c r="W1230" s="29" t="str">
        <f t="shared" si="413"/>
        <v>NA</v>
      </c>
      <c r="X1230" s="29" t="str">
        <f t="shared" si="414"/>
        <v>NA</v>
      </c>
      <c r="Y1230" s="29" t="str">
        <f t="shared" si="415"/>
        <v>NA</v>
      </c>
      <c r="Z1230" s="29" t="str">
        <f t="shared" si="416"/>
        <v>NA</v>
      </c>
      <c r="AA1230" s="29" t="str">
        <f t="shared" si="417"/>
        <v>NA</v>
      </c>
      <c r="AB1230" s="29" t="str">
        <f t="shared" si="418"/>
        <v>NA</v>
      </c>
      <c r="AC1230" s="29" t="str">
        <f t="shared" si="419"/>
        <v>NA</v>
      </c>
      <c r="AD1230" s="29" t="str">
        <f t="shared" si="420"/>
        <v>NA</v>
      </c>
      <c r="AE1230" s="29" t="str">
        <f t="shared" si="421"/>
        <v>NA</v>
      </c>
      <c r="AF1230" s="29" t="str">
        <f t="shared" si="422"/>
        <v>NA</v>
      </c>
      <c r="AG1230" s="29" t="str">
        <f t="shared" si="423"/>
        <v>NA</v>
      </c>
      <c r="AH1230" s="29" t="str">
        <f t="shared" si="424"/>
        <v>NA</v>
      </c>
    </row>
    <row r="1231" customHeight="1" spans="1:34">
      <c r="A1231" s="12" t="s">
        <v>1043</v>
      </c>
      <c r="F1231" s="24">
        <f t="shared" si="426"/>
        <v>0</v>
      </c>
      <c r="G1231" s="24" t="e">
        <f t="shared" si="425"/>
        <v>#DIV/0!</v>
      </c>
      <c r="Q1231" s="29" t="str">
        <f t="shared" si="407"/>
        <v>NA</v>
      </c>
      <c r="R1231" s="29" t="str">
        <f t="shared" si="408"/>
        <v>NA</v>
      </c>
      <c r="S1231" s="29" t="str">
        <f t="shared" si="409"/>
        <v>NA</v>
      </c>
      <c r="T1231" s="29" t="str">
        <f t="shared" si="410"/>
        <v>NA</v>
      </c>
      <c r="U1231" s="29" t="str">
        <f t="shared" si="411"/>
        <v>NA</v>
      </c>
      <c r="V1231" s="29" t="str">
        <f t="shared" si="412"/>
        <v>NA</v>
      </c>
      <c r="W1231" s="29" t="str">
        <f t="shared" si="413"/>
        <v>NA</v>
      </c>
      <c r="X1231" s="29" t="str">
        <f t="shared" si="414"/>
        <v>NA</v>
      </c>
      <c r="Y1231" s="29" t="str">
        <f t="shared" si="415"/>
        <v>NA</v>
      </c>
      <c r="Z1231" s="29" t="str">
        <f t="shared" si="416"/>
        <v>NA</v>
      </c>
      <c r="AA1231" s="29" t="str">
        <f t="shared" si="417"/>
        <v>NA</v>
      </c>
      <c r="AB1231" s="29" t="str">
        <f t="shared" si="418"/>
        <v>NA</v>
      </c>
      <c r="AC1231" s="29" t="str">
        <f t="shared" si="419"/>
        <v>NA</v>
      </c>
      <c r="AD1231" s="29" t="str">
        <f t="shared" si="420"/>
        <v>NA</v>
      </c>
      <c r="AE1231" s="29" t="str">
        <f t="shared" si="421"/>
        <v>NA</v>
      </c>
      <c r="AF1231" s="29" t="str">
        <f t="shared" si="422"/>
        <v>NA</v>
      </c>
      <c r="AG1231" s="29" t="str">
        <f t="shared" si="423"/>
        <v>NA</v>
      </c>
      <c r="AH1231" s="29" t="str">
        <f t="shared" si="424"/>
        <v>NA</v>
      </c>
    </row>
    <row r="1232" customHeight="1" spans="1:34">
      <c r="A1232" s="12" t="s">
        <v>1043</v>
      </c>
      <c r="F1232" s="24">
        <f t="shared" si="426"/>
        <v>0</v>
      </c>
      <c r="G1232" s="24" t="e">
        <f t="shared" si="425"/>
        <v>#DIV/0!</v>
      </c>
      <c r="Q1232" s="29" t="str">
        <f t="shared" ref="Q1232:Q1295" si="427">IFERROR($B1232*$E1232/H1232,"NA")</f>
        <v>NA</v>
      </c>
      <c r="R1232" s="29" t="str">
        <f t="shared" ref="R1232:R1295" si="428">IFERROR($B1232*$E1232/I1232,"NA")</f>
        <v>NA</v>
      </c>
      <c r="S1232" s="29" t="str">
        <f t="shared" ref="S1232:S1295" si="429">IFERROR($B1232*$E1232/J1232,"NA")</f>
        <v>NA</v>
      </c>
      <c r="T1232" s="29" t="str">
        <f t="shared" ref="T1232:T1295" si="430">IFERROR($B1232*$E1232/K1232,"NA")</f>
        <v>NA</v>
      </c>
      <c r="U1232" s="29" t="str">
        <f t="shared" ref="U1232:U1295" si="431">IFERROR($B1232*$E1232/L1232,"NA")</f>
        <v>NA</v>
      </c>
      <c r="V1232" s="29" t="str">
        <f t="shared" ref="V1232:V1295" si="432">IFERROR($B1232*$E1232/M1232,"NA")</f>
        <v>NA</v>
      </c>
      <c r="W1232" s="29" t="str">
        <f t="shared" ref="W1232:W1295" si="433">IFERROR($B1232*$E1232/N1232,"NA")</f>
        <v>NA</v>
      </c>
      <c r="X1232" s="29" t="str">
        <f t="shared" ref="X1232:X1295" si="434">IFERROR($B1232*$E1232/O1232,"NA")</f>
        <v>NA</v>
      </c>
      <c r="Y1232" s="29" t="str">
        <f t="shared" ref="Y1232:Y1295" si="435">IFERROR($B1232*$E1232/P1232,"NA")</f>
        <v>NA</v>
      </c>
      <c r="Z1232" s="29" t="str">
        <f t="shared" ref="Z1232:Z1295" si="436">IFERROR((($G1232*Z$2/1000)+Q1232)/1,"NA")</f>
        <v>NA</v>
      </c>
      <c r="AA1232" s="29" t="str">
        <f t="shared" ref="AA1232:AA1295" si="437">IFERROR((($G1232*AA$2/1000)+R1232)/1,"NA")</f>
        <v>NA</v>
      </c>
      <c r="AB1232" s="29" t="str">
        <f t="shared" ref="AB1232:AB1295" si="438">IFERROR((($G1232*AB$2/1000)+S1232)/1,"NA")</f>
        <v>NA</v>
      </c>
      <c r="AC1232" s="29" t="str">
        <f t="shared" ref="AC1232:AC1295" si="439">IFERROR((($G1232*AC$2/1000)+T1232)/1,"NA")</f>
        <v>NA</v>
      </c>
      <c r="AD1232" s="29" t="str">
        <f t="shared" ref="AD1232:AD1295" si="440">IFERROR((($G1232*AD$2/1000)+U1232)/1,"NA")</f>
        <v>NA</v>
      </c>
      <c r="AE1232" s="29" t="str">
        <f t="shared" ref="AE1232:AE1295" si="441">IFERROR((($G1232*AE$2/1000)+V1232)/1,"NA")</f>
        <v>NA</v>
      </c>
      <c r="AF1232" s="29" t="str">
        <f t="shared" ref="AF1232:AF1295" si="442">IFERROR((($G1232*AF$2/1000)+W1232)/1,"NA")</f>
        <v>NA</v>
      </c>
      <c r="AG1232" s="29" t="str">
        <f t="shared" ref="AG1232:AG1295" si="443">IFERROR((($G1232*AG$2/1000)+X1232)/1,"NA")</f>
        <v>NA</v>
      </c>
      <c r="AH1232" s="29" t="str">
        <f t="shared" ref="AH1232:AH1295" si="444">IFERROR((($G1232*AH$2/1000)+Y1232)/1,"NA")</f>
        <v>NA</v>
      </c>
    </row>
    <row r="1233" customHeight="1" spans="1:34">
      <c r="A1233" s="12" t="s">
        <v>1043</v>
      </c>
      <c r="F1233" s="24">
        <f t="shared" si="426"/>
        <v>0</v>
      </c>
      <c r="G1233" s="24" t="e">
        <f t="shared" si="425"/>
        <v>#DIV/0!</v>
      </c>
      <c r="Q1233" s="29" t="str">
        <f t="shared" si="427"/>
        <v>NA</v>
      </c>
      <c r="R1233" s="29" t="str">
        <f t="shared" si="428"/>
        <v>NA</v>
      </c>
      <c r="S1233" s="29" t="str">
        <f t="shared" si="429"/>
        <v>NA</v>
      </c>
      <c r="T1233" s="29" t="str">
        <f t="shared" si="430"/>
        <v>NA</v>
      </c>
      <c r="U1233" s="29" t="str">
        <f t="shared" si="431"/>
        <v>NA</v>
      </c>
      <c r="V1233" s="29" t="str">
        <f t="shared" si="432"/>
        <v>NA</v>
      </c>
      <c r="W1233" s="29" t="str">
        <f t="shared" si="433"/>
        <v>NA</v>
      </c>
      <c r="X1233" s="29" t="str">
        <f t="shared" si="434"/>
        <v>NA</v>
      </c>
      <c r="Y1233" s="29" t="str">
        <f t="shared" si="435"/>
        <v>NA</v>
      </c>
      <c r="Z1233" s="29" t="str">
        <f t="shared" si="436"/>
        <v>NA</v>
      </c>
      <c r="AA1233" s="29" t="str">
        <f t="shared" si="437"/>
        <v>NA</v>
      </c>
      <c r="AB1233" s="29" t="str">
        <f t="shared" si="438"/>
        <v>NA</v>
      </c>
      <c r="AC1233" s="29" t="str">
        <f t="shared" si="439"/>
        <v>NA</v>
      </c>
      <c r="AD1233" s="29" t="str">
        <f t="shared" si="440"/>
        <v>NA</v>
      </c>
      <c r="AE1233" s="29" t="str">
        <f t="shared" si="441"/>
        <v>NA</v>
      </c>
      <c r="AF1233" s="29" t="str">
        <f t="shared" si="442"/>
        <v>NA</v>
      </c>
      <c r="AG1233" s="29" t="str">
        <f t="shared" si="443"/>
        <v>NA</v>
      </c>
      <c r="AH1233" s="29" t="str">
        <f t="shared" si="444"/>
        <v>NA</v>
      </c>
    </row>
    <row r="1234" customHeight="1" spans="1:34">
      <c r="A1234" s="12" t="s">
        <v>1043</v>
      </c>
      <c r="F1234" s="24">
        <f t="shared" si="426"/>
        <v>0</v>
      </c>
      <c r="G1234" s="24" t="e">
        <f t="shared" si="425"/>
        <v>#DIV/0!</v>
      </c>
      <c r="Q1234" s="29" t="str">
        <f t="shared" si="427"/>
        <v>NA</v>
      </c>
      <c r="R1234" s="29" t="str">
        <f t="shared" si="428"/>
        <v>NA</v>
      </c>
      <c r="S1234" s="29" t="str">
        <f t="shared" si="429"/>
        <v>NA</v>
      </c>
      <c r="T1234" s="29" t="str">
        <f t="shared" si="430"/>
        <v>NA</v>
      </c>
      <c r="U1234" s="29" t="str">
        <f t="shared" si="431"/>
        <v>NA</v>
      </c>
      <c r="V1234" s="29" t="str">
        <f t="shared" si="432"/>
        <v>NA</v>
      </c>
      <c r="W1234" s="29" t="str">
        <f t="shared" si="433"/>
        <v>NA</v>
      </c>
      <c r="X1234" s="29" t="str">
        <f t="shared" si="434"/>
        <v>NA</v>
      </c>
      <c r="Y1234" s="29" t="str">
        <f t="shared" si="435"/>
        <v>NA</v>
      </c>
      <c r="Z1234" s="29" t="str">
        <f t="shared" si="436"/>
        <v>NA</v>
      </c>
      <c r="AA1234" s="29" t="str">
        <f t="shared" si="437"/>
        <v>NA</v>
      </c>
      <c r="AB1234" s="29" t="str">
        <f t="shared" si="438"/>
        <v>NA</v>
      </c>
      <c r="AC1234" s="29" t="str">
        <f t="shared" si="439"/>
        <v>NA</v>
      </c>
      <c r="AD1234" s="29" t="str">
        <f t="shared" si="440"/>
        <v>NA</v>
      </c>
      <c r="AE1234" s="29" t="str">
        <f t="shared" si="441"/>
        <v>NA</v>
      </c>
      <c r="AF1234" s="29" t="str">
        <f t="shared" si="442"/>
        <v>NA</v>
      </c>
      <c r="AG1234" s="29" t="str">
        <f t="shared" si="443"/>
        <v>NA</v>
      </c>
      <c r="AH1234" s="29" t="str">
        <f t="shared" si="444"/>
        <v>NA</v>
      </c>
    </row>
    <row r="1235" customHeight="1" spans="1:34">
      <c r="A1235" s="12" t="s">
        <v>1043</v>
      </c>
      <c r="F1235" s="24">
        <f t="shared" si="426"/>
        <v>0</v>
      </c>
      <c r="G1235" s="24" t="e">
        <f t="shared" si="425"/>
        <v>#DIV/0!</v>
      </c>
      <c r="Q1235" s="29" t="str">
        <f t="shared" si="427"/>
        <v>NA</v>
      </c>
      <c r="R1235" s="29" t="str">
        <f t="shared" si="428"/>
        <v>NA</v>
      </c>
      <c r="S1235" s="29" t="str">
        <f t="shared" si="429"/>
        <v>NA</v>
      </c>
      <c r="T1235" s="29" t="str">
        <f t="shared" si="430"/>
        <v>NA</v>
      </c>
      <c r="U1235" s="29" t="str">
        <f t="shared" si="431"/>
        <v>NA</v>
      </c>
      <c r="V1235" s="29" t="str">
        <f t="shared" si="432"/>
        <v>NA</v>
      </c>
      <c r="W1235" s="29" t="str">
        <f t="shared" si="433"/>
        <v>NA</v>
      </c>
      <c r="X1235" s="29" t="str">
        <f t="shared" si="434"/>
        <v>NA</v>
      </c>
      <c r="Y1235" s="29" t="str">
        <f t="shared" si="435"/>
        <v>NA</v>
      </c>
      <c r="Z1235" s="29" t="str">
        <f t="shared" si="436"/>
        <v>NA</v>
      </c>
      <c r="AA1235" s="29" t="str">
        <f t="shared" si="437"/>
        <v>NA</v>
      </c>
      <c r="AB1235" s="29" t="str">
        <f t="shared" si="438"/>
        <v>NA</v>
      </c>
      <c r="AC1235" s="29" t="str">
        <f t="shared" si="439"/>
        <v>NA</v>
      </c>
      <c r="AD1235" s="29" t="str">
        <f t="shared" si="440"/>
        <v>NA</v>
      </c>
      <c r="AE1235" s="29" t="str">
        <f t="shared" si="441"/>
        <v>NA</v>
      </c>
      <c r="AF1235" s="29" t="str">
        <f t="shared" si="442"/>
        <v>NA</v>
      </c>
      <c r="AG1235" s="29" t="str">
        <f t="shared" si="443"/>
        <v>NA</v>
      </c>
      <c r="AH1235" s="29" t="str">
        <f t="shared" si="444"/>
        <v>NA</v>
      </c>
    </row>
    <row r="1236" customHeight="1" spans="1:34">
      <c r="A1236" s="12" t="s">
        <v>1043</v>
      </c>
      <c r="F1236" s="24">
        <f t="shared" si="426"/>
        <v>0</v>
      </c>
      <c r="G1236" s="24" t="e">
        <f t="shared" si="425"/>
        <v>#DIV/0!</v>
      </c>
      <c r="Q1236" s="29" t="str">
        <f t="shared" si="427"/>
        <v>NA</v>
      </c>
      <c r="R1236" s="29" t="str">
        <f t="shared" si="428"/>
        <v>NA</v>
      </c>
      <c r="S1236" s="29" t="str">
        <f t="shared" si="429"/>
        <v>NA</v>
      </c>
      <c r="T1236" s="29" t="str">
        <f t="shared" si="430"/>
        <v>NA</v>
      </c>
      <c r="U1236" s="29" t="str">
        <f t="shared" si="431"/>
        <v>NA</v>
      </c>
      <c r="V1236" s="29" t="str">
        <f t="shared" si="432"/>
        <v>NA</v>
      </c>
      <c r="W1236" s="29" t="str">
        <f t="shared" si="433"/>
        <v>NA</v>
      </c>
      <c r="X1236" s="29" t="str">
        <f t="shared" si="434"/>
        <v>NA</v>
      </c>
      <c r="Y1236" s="29" t="str">
        <f t="shared" si="435"/>
        <v>NA</v>
      </c>
      <c r="Z1236" s="29" t="str">
        <f t="shared" si="436"/>
        <v>NA</v>
      </c>
      <c r="AA1236" s="29" t="str">
        <f t="shared" si="437"/>
        <v>NA</v>
      </c>
      <c r="AB1236" s="29" t="str">
        <f t="shared" si="438"/>
        <v>NA</v>
      </c>
      <c r="AC1236" s="29" t="str">
        <f t="shared" si="439"/>
        <v>NA</v>
      </c>
      <c r="AD1236" s="29" t="str">
        <f t="shared" si="440"/>
        <v>NA</v>
      </c>
      <c r="AE1236" s="29" t="str">
        <f t="shared" si="441"/>
        <v>NA</v>
      </c>
      <c r="AF1236" s="29" t="str">
        <f t="shared" si="442"/>
        <v>NA</v>
      </c>
      <c r="AG1236" s="29" t="str">
        <f t="shared" si="443"/>
        <v>NA</v>
      </c>
      <c r="AH1236" s="29" t="str">
        <f t="shared" si="444"/>
        <v>NA</v>
      </c>
    </row>
    <row r="1237" customHeight="1" spans="1:34">
      <c r="A1237" s="12" t="s">
        <v>1043</v>
      </c>
      <c r="F1237" s="24">
        <f t="shared" si="426"/>
        <v>0</v>
      </c>
      <c r="G1237" s="24" t="e">
        <f t="shared" si="425"/>
        <v>#DIV/0!</v>
      </c>
      <c r="Q1237" s="29" t="str">
        <f t="shared" si="427"/>
        <v>NA</v>
      </c>
      <c r="R1237" s="29" t="str">
        <f t="shared" si="428"/>
        <v>NA</v>
      </c>
      <c r="S1237" s="29" t="str">
        <f t="shared" si="429"/>
        <v>NA</v>
      </c>
      <c r="T1237" s="29" t="str">
        <f t="shared" si="430"/>
        <v>NA</v>
      </c>
      <c r="U1237" s="29" t="str">
        <f t="shared" si="431"/>
        <v>NA</v>
      </c>
      <c r="V1237" s="29" t="str">
        <f t="shared" si="432"/>
        <v>NA</v>
      </c>
      <c r="W1237" s="29" t="str">
        <f t="shared" si="433"/>
        <v>NA</v>
      </c>
      <c r="X1237" s="29" t="str">
        <f t="shared" si="434"/>
        <v>NA</v>
      </c>
      <c r="Y1237" s="29" t="str">
        <f t="shared" si="435"/>
        <v>NA</v>
      </c>
      <c r="Z1237" s="29" t="str">
        <f t="shared" si="436"/>
        <v>NA</v>
      </c>
      <c r="AA1237" s="29" t="str">
        <f t="shared" si="437"/>
        <v>NA</v>
      </c>
      <c r="AB1237" s="29" t="str">
        <f t="shared" si="438"/>
        <v>NA</v>
      </c>
      <c r="AC1237" s="29" t="str">
        <f t="shared" si="439"/>
        <v>NA</v>
      </c>
      <c r="AD1237" s="29" t="str">
        <f t="shared" si="440"/>
        <v>NA</v>
      </c>
      <c r="AE1237" s="29" t="str">
        <f t="shared" si="441"/>
        <v>NA</v>
      </c>
      <c r="AF1237" s="29" t="str">
        <f t="shared" si="442"/>
        <v>NA</v>
      </c>
      <c r="AG1237" s="29" t="str">
        <f t="shared" si="443"/>
        <v>NA</v>
      </c>
      <c r="AH1237" s="29" t="str">
        <f t="shared" si="444"/>
        <v>NA</v>
      </c>
    </row>
    <row r="1238" customHeight="1" spans="1:34">
      <c r="A1238" s="12" t="s">
        <v>1043</v>
      </c>
      <c r="F1238" s="24">
        <f t="shared" si="426"/>
        <v>0</v>
      </c>
      <c r="G1238" s="24" t="e">
        <f t="shared" si="425"/>
        <v>#DIV/0!</v>
      </c>
      <c r="Q1238" s="29" t="str">
        <f t="shared" si="427"/>
        <v>NA</v>
      </c>
      <c r="R1238" s="29" t="str">
        <f t="shared" si="428"/>
        <v>NA</v>
      </c>
      <c r="S1238" s="29" t="str">
        <f t="shared" si="429"/>
        <v>NA</v>
      </c>
      <c r="T1238" s="29" t="str">
        <f t="shared" si="430"/>
        <v>NA</v>
      </c>
      <c r="U1238" s="29" t="str">
        <f t="shared" si="431"/>
        <v>NA</v>
      </c>
      <c r="V1238" s="29" t="str">
        <f t="shared" si="432"/>
        <v>NA</v>
      </c>
      <c r="W1238" s="29" t="str">
        <f t="shared" si="433"/>
        <v>NA</v>
      </c>
      <c r="X1238" s="29" t="str">
        <f t="shared" si="434"/>
        <v>NA</v>
      </c>
      <c r="Y1238" s="29" t="str">
        <f t="shared" si="435"/>
        <v>NA</v>
      </c>
      <c r="Z1238" s="29" t="str">
        <f t="shared" si="436"/>
        <v>NA</v>
      </c>
      <c r="AA1238" s="29" t="str">
        <f t="shared" si="437"/>
        <v>NA</v>
      </c>
      <c r="AB1238" s="29" t="str">
        <f t="shared" si="438"/>
        <v>NA</v>
      </c>
      <c r="AC1238" s="29" t="str">
        <f t="shared" si="439"/>
        <v>NA</v>
      </c>
      <c r="AD1238" s="29" t="str">
        <f t="shared" si="440"/>
        <v>NA</v>
      </c>
      <c r="AE1238" s="29" t="str">
        <f t="shared" si="441"/>
        <v>NA</v>
      </c>
      <c r="AF1238" s="29" t="str">
        <f t="shared" si="442"/>
        <v>NA</v>
      </c>
      <c r="AG1238" s="29" t="str">
        <f t="shared" si="443"/>
        <v>NA</v>
      </c>
      <c r="AH1238" s="29" t="str">
        <f t="shared" si="444"/>
        <v>NA</v>
      </c>
    </row>
    <row r="1239" customHeight="1" spans="1:34">
      <c r="A1239" s="12" t="s">
        <v>1043</v>
      </c>
      <c r="F1239" s="24">
        <f t="shared" si="426"/>
        <v>0</v>
      </c>
      <c r="G1239" s="24" t="e">
        <f t="shared" si="425"/>
        <v>#DIV/0!</v>
      </c>
      <c r="Q1239" s="29" t="str">
        <f t="shared" si="427"/>
        <v>NA</v>
      </c>
      <c r="R1239" s="29" t="str">
        <f t="shared" si="428"/>
        <v>NA</v>
      </c>
      <c r="S1239" s="29" t="str">
        <f t="shared" si="429"/>
        <v>NA</v>
      </c>
      <c r="T1239" s="29" t="str">
        <f t="shared" si="430"/>
        <v>NA</v>
      </c>
      <c r="U1239" s="29" t="str">
        <f t="shared" si="431"/>
        <v>NA</v>
      </c>
      <c r="V1239" s="29" t="str">
        <f t="shared" si="432"/>
        <v>NA</v>
      </c>
      <c r="W1239" s="29" t="str">
        <f t="shared" si="433"/>
        <v>NA</v>
      </c>
      <c r="X1239" s="29" t="str">
        <f t="shared" si="434"/>
        <v>NA</v>
      </c>
      <c r="Y1239" s="29" t="str">
        <f t="shared" si="435"/>
        <v>NA</v>
      </c>
      <c r="Z1239" s="29" t="str">
        <f t="shared" si="436"/>
        <v>NA</v>
      </c>
      <c r="AA1239" s="29" t="str">
        <f t="shared" si="437"/>
        <v>NA</v>
      </c>
      <c r="AB1239" s="29" t="str">
        <f t="shared" si="438"/>
        <v>NA</v>
      </c>
      <c r="AC1239" s="29" t="str">
        <f t="shared" si="439"/>
        <v>NA</v>
      </c>
      <c r="AD1239" s="29" t="str">
        <f t="shared" si="440"/>
        <v>NA</v>
      </c>
      <c r="AE1239" s="29" t="str">
        <f t="shared" si="441"/>
        <v>NA</v>
      </c>
      <c r="AF1239" s="29" t="str">
        <f t="shared" si="442"/>
        <v>NA</v>
      </c>
      <c r="AG1239" s="29" t="str">
        <f t="shared" si="443"/>
        <v>NA</v>
      </c>
      <c r="AH1239" s="29" t="str">
        <f t="shared" si="444"/>
        <v>NA</v>
      </c>
    </row>
    <row r="1240" customHeight="1" spans="1:34">
      <c r="A1240" s="12" t="s">
        <v>1043</v>
      </c>
      <c r="F1240" s="24">
        <f t="shared" si="426"/>
        <v>0</v>
      </c>
      <c r="G1240" s="24" t="e">
        <f t="shared" si="425"/>
        <v>#DIV/0!</v>
      </c>
      <c r="Q1240" s="29" t="str">
        <f t="shared" si="427"/>
        <v>NA</v>
      </c>
      <c r="R1240" s="29" t="str">
        <f t="shared" si="428"/>
        <v>NA</v>
      </c>
      <c r="S1240" s="29" t="str">
        <f t="shared" si="429"/>
        <v>NA</v>
      </c>
      <c r="T1240" s="29" t="str">
        <f t="shared" si="430"/>
        <v>NA</v>
      </c>
      <c r="U1240" s="29" t="str">
        <f t="shared" si="431"/>
        <v>NA</v>
      </c>
      <c r="V1240" s="29" t="str">
        <f t="shared" si="432"/>
        <v>NA</v>
      </c>
      <c r="W1240" s="29" t="str">
        <f t="shared" si="433"/>
        <v>NA</v>
      </c>
      <c r="X1240" s="29" t="str">
        <f t="shared" si="434"/>
        <v>NA</v>
      </c>
      <c r="Y1240" s="29" t="str">
        <f t="shared" si="435"/>
        <v>NA</v>
      </c>
      <c r="Z1240" s="29" t="str">
        <f t="shared" si="436"/>
        <v>NA</v>
      </c>
      <c r="AA1240" s="29" t="str">
        <f t="shared" si="437"/>
        <v>NA</v>
      </c>
      <c r="AB1240" s="29" t="str">
        <f t="shared" si="438"/>
        <v>NA</v>
      </c>
      <c r="AC1240" s="29" t="str">
        <f t="shared" si="439"/>
        <v>NA</v>
      </c>
      <c r="AD1240" s="29" t="str">
        <f t="shared" si="440"/>
        <v>NA</v>
      </c>
      <c r="AE1240" s="29" t="str">
        <f t="shared" si="441"/>
        <v>NA</v>
      </c>
      <c r="AF1240" s="29" t="str">
        <f t="shared" si="442"/>
        <v>NA</v>
      </c>
      <c r="AG1240" s="29" t="str">
        <f t="shared" si="443"/>
        <v>NA</v>
      </c>
      <c r="AH1240" s="29" t="str">
        <f t="shared" si="444"/>
        <v>NA</v>
      </c>
    </row>
    <row r="1241" customHeight="1" spans="1:34">
      <c r="A1241" s="12" t="s">
        <v>1043</v>
      </c>
      <c r="F1241" s="24">
        <f t="shared" si="426"/>
        <v>0</v>
      </c>
      <c r="G1241" s="24" t="e">
        <f t="shared" si="425"/>
        <v>#DIV/0!</v>
      </c>
      <c r="Q1241" s="29" t="str">
        <f t="shared" si="427"/>
        <v>NA</v>
      </c>
      <c r="R1241" s="29" t="str">
        <f t="shared" si="428"/>
        <v>NA</v>
      </c>
      <c r="S1241" s="29" t="str">
        <f t="shared" si="429"/>
        <v>NA</v>
      </c>
      <c r="T1241" s="29" t="str">
        <f t="shared" si="430"/>
        <v>NA</v>
      </c>
      <c r="U1241" s="29" t="str">
        <f t="shared" si="431"/>
        <v>NA</v>
      </c>
      <c r="V1241" s="29" t="str">
        <f t="shared" si="432"/>
        <v>NA</v>
      </c>
      <c r="W1241" s="29" t="str">
        <f t="shared" si="433"/>
        <v>NA</v>
      </c>
      <c r="X1241" s="29" t="str">
        <f t="shared" si="434"/>
        <v>NA</v>
      </c>
      <c r="Y1241" s="29" t="str">
        <f t="shared" si="435"/>
        <v>NA</v>
      </c>
      <c r="Z1241" s="29" t="str">
        <f t="shared" si="436"/>
        <v>NA</v>
      </c>
      <c r="AA1241" s="29" t="str">
        <f t="shared" si="437"/>
        <v>NA</v>
      </c>
      <c r="AB1241" s="29" t="str">
        <f t="shared" si="438"/>
        <v>NA</v>
      </c>
      <c r="AC1241" s="29" t="str">
        <f t="shared" si="439"/>
        <v>NA</v>
      </c>
      <c r="AD1241" s="29" t="str">
        <f t="shared" si="440"/>
        <v>NA</v>
      </c>
      <c r="AE1241" s="29" t="str">
        <f t="shared" si="441"/>
        <v>NA</v>
      </c>
      <c r="AF1241" s="29" t="str">
        <f t="shared" si="442"/>
        <v>NA</v>
      </c>
      <c r="AG1241" s="29" t="str">
        <f t="shared" si="443"/>
        <v>NA</v>
      </c>
      <c r="AH1241" s="29" t="str">
        <f t="shared" si="444"/>
        <v>NA</v>
      </c>
    </row>
    <row r="1242" customHeight="1" spans="1:34">
      <c r="A1242" s="12" t="s">
        <v>1043</v>
      </c>
      <c r="F1242" s="24">
        <f t="shared" si="426"/>
        <v>0</v>
      </c>
      <c r="G1242" s="24" t="e">
        <f t="shared" si="425"/>
        <v>#DIV/0!</v>
      </c>
      <c r="Q1242" s="29" t="str">
        <f t="shared" si="427"/>
        <v>NA</v>
      </c>
      <c r="R1242" s="29" t="str">
        <f t="shared" si="428"/>
        <v>NA</v>
      </c>
      <c r="S1242" s="29" t="str">
        <f t="shared" si="429"/>
        <v>NA</v>
      </c>
      <c r="T1242" s="29" t="str">
        <f t="shared" si="430"/>
        <v>NA</v>
      </c>
      <c r="U1242" s="29" t="str">
        <f t="shared" si="431"/>
        <v>NA</v>
      </c>
      <c r="V1242" s="29" t="str">
        <f t="shared" si="432"/>
        <v>NA</v>
      </c>
      <c r="W1242" s="29" t="str">
        <f t="shared" si="433"/>
        <v>NA</v>
      </c>
      <c r="X1242" s="29" t="str">
        <f t="shared" si="434"/>
        <v>NA</v>
      </c>
      <c r="Y1242" s="29" t="str">
        <f t="shared" si="435"/>
        <v>NA</v>
      </c>
      <c r="Z1242" s="29" t="str">
        <f t="shared" si="436"/>
        <v>NA</v>
      </c>
      <c r="AA1242" s="29" t="str">
        <f t="shared" si="437"/>
        <v>NA</v>
      </c>
      <c r="AB1242" s="29" t="str">
        <f t="shared" si="438"/>
        <v>NA</v>
      </c>
      <c r="AC1242" s="29" t="str">
        <f t="shared" si="439"/>
        <v>NA</v>
      </c>
      <c r="AD1242" s="29" t="str">
        <f t="shared" si="440"/>
        <v>NA</v>
      </c>
      <c r="AE1242" s="29" t="str">
        <f t="shared" si="441"/>
        <v>NA</v>
      </c>
      <c r="AF1242" s="29" t="str">
        <f t="shared" si="442"/>
        <v>NA</v>
      </c>
      <c r="AG1242" s="29" t="str">
        <f t="shared" si="443"/>
        <v>NA</v>
      </c>
      <c r="AH1242" s="29" t="str">
        <f t="shared" si="444"/>
        <v>NA</v>
      </c>
    </row>
    <row r="1243" customHeight="1" spans="1:34">
      <c r="A1243" s="12" t="s">
        <v>1043</v>
      </c>
      <c r="F1243" s="24">
        <f t="shared" si="426"/>
        <v>0</v>
      </c>
      <c r="G1243" s="24" t="e">
        <f t="shared" si="425"/>
        <v>#DIV/0!</v>
      </c>
      <c r="Q1243" s="29" t="str">
        <f t="shared" si="427"/>
        <v>NA</v>
      </c>
      <c r="R1243" s="29" t="str">
        <f t="shared" si="428"/>
        <v>NA</v>
      </c>
      <c r="S1243" s="29" t="str">
        <f t="shared" si="429"/>
        <v>NA</v>
      </c>
      <c r="T1243" s="29" t="str">
        <f t="shared" si="430"/>
        <v>NA</v>
      </c>
      <c r="U1243" s="29" t="str">
        <f t="shared" si="431"/>
        <v>NA</v>
      </c>
      <c r="V1243" s="29" t="str">
        <f t="shared" si="432"/>
        <v>NA</v>
      </c>
      <c r="W1243" s="29" t="str">
        <f t="shared" si="433"/>
        <v>NA</v>
      </c>
      <c r="X1243" s="29" t="str">
        <f t="shared" si="434"/>
        <v>NA</v>
      </c>
      <c r="Y1243" s="29" t="str">
        <f t="shared" si="435"/>
        <v>NA</v>
      </c>
      <c r="Z1243" s="29" t="str">
        <f t="shared" si="436"/>
        <v>NA</v>
      </c>
      <c r="AA1243" s="29" t="str">
        <f t="shared" si="437"/>
        <v>NA</v>
      </c>
      <c r="AB1243" s="29" t="str">
        <f t="shared" si="438"/>
        <v>NA</v>
      </c>
      <c r="AC1243" s="29" t="str">
        <f t="shared" si="439"/>
        <v>NA</v>
      </c>
      <c r="AD1243" s="29" t="str">
        <f t="shared" si="440"/>
        <v>NA</v>
      </c>
      <c r="AE1243" s="29" t="str">
        <f t="shared" si="441"/>
        <v>NA</v>
      </c>
      <c r="AF1243" s="29" t="str">
        <f t="shared" si="442"/>
        <v>NA</v>
      </c>
      <c r="AG1243" s="29" t="str">
        <f t="shared" si="443"/>
        <v>NA</v>
      </c>
      <c r="AH1243" s="29" t="str">
        <f t="shared" si="444"/>
        <v>NA</v>
      </c>
    </row>
    <row r="1244" customHeight="1" spans="1:34">
      <c r="A1244" s="12" t="s">
        <v>1043</v>
      </c>
      <c r="F1244" s="24">
        <f t="shared" si="426"/>
        <v>0</v>
      </c>
      <c r="G1244" s="24" t="e">
        <f t="shared" si="425"/>
        <v>#DIV/0!</v>
      </c>
      <c r="Q1244" s="29" t="str">
        <f t="shared" si="427"/>
        <v>NA</v>
      </c>
      <c r="R1244" s="29" t="str">
        <f t="shared" si="428"/>
        <v>NA</v>
      </c>
      <c r="S1244" s="29" t="str">
        <f t="shared" si="429"/>
        <v>NA</v>
      </c>
      <c r="T1244" s="29" t="str">
        <f t="shared" si="430"/>
        <v>NA</v>
      </c>
      <c r="U1244" s="29" t="str">
        <f t="shared" si="431"/>
        <v>NA</v>
      </c>
      <c r="V1244" s="29" t="str">
        <f t="shared" si="432"/>
        <v>NA</v>
      </c>
      <c r="W1244" s="29" t="str">
        <f t="shared" si="433"/>
        <v>NA</v>
      </c>
      <c r="X1244" s="29" t="str">
        <f t="shared" si="434"/>
        <v>NA</v>
      </c>
      <c r="Y1244" s="29" t="str">
        <f t="shared" si="435"/>
        <v>NA</v>
      </c>
      <c r="Z1244" s="29" t="str">
        <f t="shared" si="436"/>
        <v>NA</v>
      </c>
      <c r="AA1244" s="29" t="str">
        <f t="shared" si="437"/>
        <v>NA</v>
      </c>
      <c r="AB1244" s="29" t="str">
        <f t="shared" si="438"/>
        <v>NA</v>
      </c>
      <c r="AC1244" s="29" t="str">
        <f t="shared" si="439"/>
        <v>NA</v>
      </c>
      <c r="AD1244" s="29" t="str">
        <f t="shared" si="440"/>
        <v>NA</v>
      </c>
      <c r="AE1244" s="29" t="str">
        <f t="shared" si="441"/>
        <v>NA</v>
      </c>
      <c r="AF1244" s="29" t="str">
        <f t="shared" si="442"/>
        <v>NA</v>
      </c>
      <c r="AG1244" s="29" t="str">
        <f t="shared" si="443"/>
        <v>NA</v>
      </c>
      <c r="AH1244" s="29" t="str">
        <f t="shared" si="444"/>
        <v>NA</v>
      </c>
    </row>
    <row r="1245" customHeight="1" spans="1:34">
      <c r="A1245" s="12" t="s">
        <v>1043</v>
      </c>
      <c r="F1245" s="24">
        <f t="shared" si="426"/>
        <v>0</v>
      </c>
      <c r="G1245" s="24" t="e">
        <f t="shared" si="425"/>
        <v>#DIV/0!</v>
      </c>
      <c r="Q1245" s="29" t="str">
        <f t="shared" si="427"/>
        <v>NA</v>
      </c>
      <c r="R1245" s="29" t="str">
        <f t="shared" si="428"/>
        <v>NA</v>
      </c>
      <c r="S1245" s="29" t="str">
        <f t="shared" si="429"/>
        <v>NA</v>
      </c>
      <c r="T1245" s="29" t="str">
        <f t="shared" si="430"/>
        <v>NA</v>
      </c>
      <c r="U1245" s="29" t="str">
        <f t="shared" si="431"/>
        <v>NA</v>
      </c>
      <c r="V1245" s="29" t="str">
        <f t="shared" si="432"/>
        <v>NA</v>
      </c>
      <c r="W1245" s="29" t="str">
        <f t="shared" si="433"/>
        <v>NA</v>
      </c>
      <c r="X1245" s="29" t="str">
        <f t="shared" si="434"/>
        <v>NA</v>
      </c>
      <c r="Y1245" s="29" t="str">
        <f t="shared" si="435"/>
        <v>NA</v>
      </c>
      <c r="Z1245" s="29" t="str">
        <f t="shared" si="436"/>
        <v>NA</v>
      </c>
      <c r="AA1245" s="29" t="str">
        <f t="shared" si="437"/>
        <v>NA</v>
      </c>
      <c r="AB1245" s="29" t="str">
        <f t="shared" si="438"/>
        <v>NA</v>
      </c>
      <c r="AC1245" s="29" t="str">
        <f t="shared" si="439"/>
        <v>NA</v>
      </c>
      <c r="AD1245" s="29" t="str">
        <f t="shared" si="440"/>
        <v>NA</v>
      </c>
      <c r="AE1245" s="29" t="str">
        <f t="shared" si="441"/>
        <v>NA</v>
      </c>
      <c r="AF1245" s="29" t="str">
        <f t="shared" si="442"/>
        <v>NA</v>
      </c>
      <c r="AG1245" s="29" t="str">
        <f t="shared" si="443"/>
        <v>NA</v>
      </c>
      <c r="AH1245" s="29" t="str">
        <f t="shared" si="444"/>
        <v>NA</v>
      </c>
    </row>
    <row r="1246" customHeight="1" spans="1:34">
      <c r="A1246" s="12" t="s">
        <v>1043</v>
      </c>
      <c r="F1246" s="24">
        <f t="shared" si="426"/>
        <v>0</v>
      </c>
      <c r="G1246" s="24" t="e">
        <f t="shared" si="425"/>
        <v>#DIV/0!</v>
      </c>
      <c r="Q1246" s="29" t="str">
        <f t="shared" si="427"/>
        <v>NA</v>
      </c>
      <c r="R1246" s="29" t="str">
        <f t="shared" si="428"/>
        <v>NA</v>
      </c>
      <c r="S1246" s="29" t="str">
        <f t="shared" si="429"/>
        <v>NA</v>
      </c>
      <c r="T1246" s="29" t="str">
        <f t="shared" si="430"/>
        <v>NA</v>
      </c>
      <c r="U1246" s="29" t="str">
        <f t="shared" si="431"/>
        <v>NA</v>
      </c>
      <c r="V1246" s="29" t="str">
        <f t="shared" si="432"/>
        <v>NA</v>
      </c>
      <c r="W1246" s="29" t="str">
        <f t="shared" si="433"/>
        <v>NA</v>
      </c>
      <c r="X1246" s="29" t="str">
        <f t="shared" si="434"/>
        <v>NA</v>
      </c>
      <c r="Y1246" s="29" t="str">
        <f t="shared" si="435"/>
        <v>NA</v>
      </c>
      <c r="Z1246" s="29" t="str">
        <f t="shared" si="436"/>
        <v>NA</v>
      </c>
      <c r="AA1246" s="29" t="str">
        <f t="shared" si="437"/>
        <v>NA</v>
      </c>
      <c r="AB1246" s="29" t="str">
        <f t="shared" si="438"/>
        <v>NA</v>
      </c>
      <c r="AC1246" s="29" t="str">
        <f t="shared" si="439"/>
        <v>NA</v>
      </c>
      <c r="AD1246" s="29" t="str">
        <f t="shared" si="440"/>
        <v>NA</v>
      </c>
      <c r="AE1246" s="29" t="str">
        <f t="shared" si="441"/>
        <v>NA</v>
      </c>
      <c r="AF1246" s="29" t="str">
        <f t="shared" si="442"/>
        <v>NA</v>
      </c>
      <c r="AG1246" s="29" t="str">
        <f t="shared" si="443"/>
        <v>NA</v>
      </c>
      <c r="AH1246" s="29" t="str">
        <f t="shared" si="444"/>
        <v>NA</v>
      </c>
    </row>
    <row r="1247" customHeight="1" spans="1:34">
      <c r="A1247" s="12" t="s">
        <v>1043</v>
      </c>
      <c r="F1247" s="24">
        <f t="shared" si="426"/>
        <v>0</v>
      </c>
      <c r="G1247" s="24" t="e">
        <f t="shared" si="425"/>
        <v>#DIV/0!</v>
      </c>
      <c r="Q1247" s="29" t="str">
        <f t="shared" si="427"/>
        <v>NA</v>
      </c>
      <c r="R1247" s="29" t="str">
        <f t="shared" si="428"/>
        <v>NA</v>
      </c>
      <c r="S1247" s="29" t="str">
        <f t="shared" si="429"/>
        <v>NA</v>
      </c>
      <c r="T1247" s="29" t="str">
        <f t="shared" si="430"/>
        <v>NA</v>
      </c>
      <c r="U1247" s="29" t="str">
        <f t="shared" si="431"/>
        <v>NA</v>
      </c>
      <c r="V1247" s="29" t="str">
        <f t="shared" si="432"/>
        <v>NA</v>
      </c>
      <c r="W1247" s="29" t="str">
        <f t="shared" si="433"/>
        <v>NA</v>
      </c>
      <c r="X1247" s="29" t="str">
        <f t="shared" si="434"/>
        <v>NA</v>
      </c>
      <c r="Y1247" s="29" t="str">
        <f t="shared" si="435"/>
        <v>NA</v>
      </c>
      <c r="Z1247" s="29" t="str">
        <f t="shared" si="436"/>
        <v>NA</v>
      </c>
      <c r="AA1247" s="29" t="str">
        <f t="shared" si="437"/>
        <v>NA</v>
      </c>
      <c r="AB1247" s="29" t="str">
        <f t="shared" si="438"/>
        <v>NA</v>
      </c>
      <c r="AC1247" s="29" t="str">
        <f t="shared" si="439"/>
        <v>NA</v>
      </c>
      <c r="AD1247" s="29" t="str">
        <f t="shared" si="440"/>
        <v>NA</v>
      </c>
      <c r="AE1247" s="29" t="str">
        <f t="shared" si="441"/>
        <v>NA</v>
      </c>
      <c r="AF1247" s="29" t="str">
        <f t="shared" si="442"/>
        <v>NA</v>
      </c>
      <c r="AG1247" s="29" t="str">
        <f t="shared" si="443"/>
        <v>NA</v>
      </c>
      <c r="AH1247" s="29" t="str">
        <f t="shared" si="444"/>
        <v>NA</v>
      </c>
    </row>
    <row r="1248" customHeight="1" spans="1:34">
      <c r="A1248" s="12" t="s">
        <v>1043</v>
      </c>
      <c r="F1248" s="24">
        <f t="shared" si="426"/>
        <v>0</v>
      </c>
      <c r="G1248" s="24" t="e">
        <f t="shared" si="425"/>
        <v>#DIV/0!</v>
      </c>
      <c r="Q1248" s="29" t="str">
        <f t="shared" si="427"/>
        <v>NA</v>
      </c>
      <c r="R1248" s="29" t="str">
        <f t="shared" si="428"/>
        <v>NA</v>
      </c>
      <c r="S1248" s="29" t="str">
        <f t="shared" si="429"/>
        <v>NA</v>
      </c>
      <c r="T1248" s="29" t="str">
        <f t="shared" si="430"/>
        <v>NA</v>
      </c>
      <c r="U1248" s="29" t="str">
        <f t="shared" si="431"/>
        <v>NA</v>
      </c>
      <c r="V1248" s="29" t="str">
        <f t="shared" si="432"/>
        <v>NA</v>
      </c>
      <c r="W1248" s="29" t="str">
        <f t="shared" si="433"/>
        <v>NA</v>
      </c>
      <c r="X1248" s="29" t="str">
        <f t="shared" si="434"/>
        <v>NA</v>
      </c>
      <c r="Y1248" s="29" t="str">
        <f t="shared" si="435"/>
        <v>NA</v>
      </c>
      <c r="Z1248" s="29" t="str">
        <f t="shared" si="436"/>
        <v>NA</v>
      </c>
      <c r="AA1248" s="29" t="str">
        <f t="shared" si="437"/>
        <v>NA</v>
      </c>
      <c r="AB1248" s="29" t="str">
        <f t="shared" si="438"/>
        <v>NA</v>
      </c>
      <c r="AC1248" s="29" t="str">
        <f t="shared" si="439"/>
        <v>NA</v>
      </c>
      <c r="AD1248" s="29" t="str">
        <f t="shared" si="440"/>
        <v>NA</v>
      </c>
      <c r="AE1248" s="29" t="str">
        <f t="shared" si="441"/>
        <v>NA</v>
      </c>
      <c r="AF1248" s="29" t="str">
        <f t="shared" si="442"/>
        <v>NA</v>
      </c>
      <c r="AG1248" s="29" t="str">
        <f t="shared" si="443"/>
        <v>NA</v>
      </c>
      <c r="AH1248" s="29" t="str">
        <f t="shared" si="444"/>
        <v>NA</v>
      </c>
    </row>
    <row r="1249" customHeight="1" spans="1:34">
      <c r="A1249" s="12" t="s">
        <v>1043</v>
      </c>
      <c r="F1249" s="24">
        <f t="shared" si="426"/>
        <v>0</v>
      </c>
      <c r="G1249" s="24" t="e">
        <f t="shared" si="425"/>
        <v>#DIV/0!</v>
      </c>
      <c r="Q1249" s="29" t="str">
        <f t="shared" si="427"/>
        <v>NA</v>
      </c>
      <c r="R1249" s="29" t="str">
        <f t="shared" si="428"/>
        <v>NA</v>
      </c>
      <c r="S1249" s="29" t="str">
        <f t="shared" si="429"/>
        <v>NA</v>
      </c>
      <c r="T1249" s="29" t="str">
        <f t="shared" si="430"/>
        <v>NA</v>
      </c>
      <c r="U1249" s="29" t="str">
        <f t="shared" si="431"/>
        <v>NA</v>
      </c>
      <c r="V1249" s="29" t="str">
        <f t="shared" si="432"/>
        <v>NA</v>
      </c>
      <c r="W1249" s="29" t="str">
        <f t="shared" si="433"/>
        <v>NA</v>
      </c>
      <c r="X1249" s="29" t="str">
        <f t="shared" si="434"/>
        <v>NA</v>
      </c>
      <c r="Y1249" s="29" t="str">
        <f t="shared" si="435"/>
        <v>NA</v>
      </c>
      <c r="Z1249" s="29" t="str">
        <f t="shared" si="436"/>
        <v>NA</v>
      </c>
      <c r="AA1249" s="29" t="str">
        <f t="shared" si="437"/>
        <v>NA</v>
      </c>
      <c r="AB1249" s="29" t="str">
        <f t="shared" si="438"/>
        <v>NA</v>
      </c>
      <c r="AC1249" s="29" t="str">
        <f t="shared" si="439"/>
        <v>NA</v>
      </c>
      <c r="AD1249" s="29" t="str">
        <f t="shared" si="440"/>
        <v>NA</v>
      </c>
      <c r="AE1249" s="29" t="str">
        <f t="shared" si="441"/>
        <v>NA</v>
      </c>
      <c r="AF1249" s="29" t="str">
        <f t="shared" si="442"/>
        <v>NA</v>
      </c>
      <c r="AG1249" s="29" t="str">
        <f t="shared" si="443"/>
        <v>NA</v>
      </c>
      <c r="AH1249" s="29" t="str">
        <f t="shared" si="444"/>
        <v>NA</v>
      </c>
    </row>
    <row r="1250" customHeight="1" spans="1:34">
      <c r="A1250" s="12" t="s">
        <v>1043</v>
      </c>
      <c r="F1250" s="24">
        <f t="shared" si="426"/>
        <v>0</v>
      </c>
      <c r="G1250" s="24" t="e">
        <f t="shared" si="425"/>
        <v>#DIV/0!</v>
      </c>
      <c r="Q1250" s="29" t="str">
        <f t="shared" si="427"/>
        <v>NA</v>
      </c>
      <c r="R1250" s="29" t="str">
        <f t="shared" si="428"/>
        <v>NA</v>
      </c>
      <c r="S1250" s="29" t="str">
        <f t="shared" si="429"/>
        <v>NA</v>
      </c>
      <c r="T1250" s="29" t="str">
        <f t="shared" si="430"/>
        <v>NA</v>
      </c>
      <c r="U1250" s="29" t="str">
        <f t="shared" si="431"/>
        <v>NA</v>
      </c>
      <c r="V1250" s="29" t="str">
        <f t="shared" si="432"/>
        <v>NA</v>
      </c>
      <c r="W1250" s="29" t="str">
        <f t="shared" si="433"/>
        <v>NA</v>
      </c>
      <c r="X1250" s="29" t="str">
        <f t="shared" si="434"/>
        <v>NA</v>
      </c>
      <c r="Y1250" s="29" t="str">
        <f t="shared" si="435"/>
        <v>NA</v>
      </c>
      <c r="Z1250" s="29" t="str">
        <f t="shared" si="436"/>
        <v>NA</v>
      </c>
      <c r="AA1250" s="29" t="str">
        <f t="shared" si="437"/>
        <v>NA</v>
      </c>
      <c r="AB1250" s="29" t="str">
        <f t="shared" si="438"/>
        <v>NA</v>
      </c>
      <c r="AC1250" s="29" t="str">
        <f t="shared" si="439"/>
        <v>NA</v>
      </c>
      <c r="AD1250" s="29" t="str">
        <f t="shared" si="440"/>
        <v>NA</v>
      </c>
      <c r="AE1250" s="29" t="str">
        <f t="shared" si="441"/>
        <v>NA</v>
      </c>
      <c r="AF1250" s="29" t="str">
        <f t="shared" si="442"/>
        <v>NA</v>
      </c>
      <c r="AG1250" s="29" t="str">
        <f t="shared" si="443"/>
        <v>NA</v>
      </c>
      <c r="AH1250" s="29" t="str">
        <f t="shared" si="444"/>
        <v>NA</v>
      </c>
    </row>
    <row r="1251" customHeight="1" spans="1:34">
      <c r="A1251" s="12" t="s">
        <v>1043</v>
      </c>
      <c r="F1251" s="24">
        <f t="shared" si="426"/>
        <v>0</v>
      </c>
      <c r="G1251" s="24" t="e">
        <f t="shared" si="425"/>
        <v>#DIV/0!</v>
      </c>
      <c r="Q1251" s="29" t="str">
        <f t="shared" si="427"/>
        <v>NA</v>
      </c>
      <c r="R1251" s="29" t="str">
        <f t="shared" si="428"/>
        <v>NA</v>
      </c>
      <c r="S1251" s="29" t="str">
        <f t="shared" si="429"/>
        <v>NA</v>
      </c>
      <c r="T1251" s="29" t="str">
        <f t="shared" si="430"/>
        <v>NA</v>
      </c>
      <c r="U1251" s="29" t="str">
        <f t="shared" si="431"/>
        <v>NA</v>
      </c>
      <c r="V1251" s="29" t="str">
        <f t="shared" si="432"/>
        <v>NA</v>
      </c>
      <c r="W1251" s="29" t="str">
        <f t="shared" si="433"/>
        <v>NA</v>
      </c>
      <c r="X1251" s="29" t="str">
        <f t="shared" si="434"/>
        <v>NA</v>
      </c>
      <c r="Y1251" s="29" t="str">
        <f t="shared" si="435"/>
        <v>NA</v>
      </c>
      <c r="Z1251" s="29" t="str">
        <f t="shared" si="436"/>
        <v>NA</v>
      </c>
      <c r="AA1251" s="29" t="str">
        <f t="shared" si="437"/>
        <v>NA</v>
      </c>
      <c r="AB1251" s="29" t="str">
        <f t="shared" si="438"/>
        <v>NA</v>
      </c>
      <c r="AC1251" s="29" t="str">
        <f t="shared" si="439"/>
        <v>NA</v>
      </c>
      <c r="AD1251" s="29" t="str">
        <f t="shared" si="440"/>
        <v>NA</v>
      </c>
      <c r="AE1251" s="29" t="str">
        <f t="shared" si="441"/>
        <v>NA</v>
      </c>
      <c r="AF1251" s="29" t="str">
        <f t="shared" si="442"/>
        <v>NA</v>
      </c>
      <c r="AG1251" s="29" t="str">
        <f t="shared" si="443"/>
        <v>NA</v>
      </c>
      <c r="AH1251" s="29" t="str">
        <f t="shared" si="444"/>
        <v>NA</v>
      </c>
    </row>
    <row r="1252" customHeight="1" spans="1:34">
      <c r="A1252" s="12" t="s">
        <v>1043</v>
      </c>
      <c r="F1252" s="24">
        <f t="shared" si="426"/>
        <v>0</v>
      </c>
      <c r="G1252" s="24" t="e">
        <f t="shared" si="425"/>
        <v>#DIV/0!</v>
      </c>
      <c r="Q1252" s="29" t="str">
        <f t="shared" si="427"/>
        <v>NA</v>
      </c>
      <c r="R1252" s="29" t="str">
        <f t="shared" si="428"/>
        <v>NA</v>
      </c>
      <c r="S1252" s="29" t="str">
        <f t="shared" si="429"/>
        <v>NA</v>
      </c>
      <c r="T1252" s="29" t="str">
        <f t="shared" si="430"/>
        <v>NA</v>
      </c>
      <c r="U1252" s="29" t="str">
        <f t="shared" si="431"/>
        <v>NA</v>
      </c>
      <c r="V1252" s="29" t="str">
        <f t="shared" si="432"/>
        <v>NA</v>
      </c>
      <c r="W1252" s="29" t="str">
        <f t="shared" si="433"/>
        <v>NA</v>
      </c>
      <c r="X1252" s="29" t="str">
        <f t="shared" si="434"/>
        <v>NA</v>
      </c>
      <c r="Y1252" s="29" t="str">
        <f t="shared" si="435"/>
        <v>NA</v>
      </c>
      <c r="Z1252" s="29" t="str">
        <f t="shared" si="436"/>
        <v>NA</v>
      </c>
      <c r="AA1252" s="29" t="str">
        <f t="shared" si="437"/>
        <v>NA</v>
      </c>
      <c r="AB1252" s="29" t="str">
        <f t="shared" si="438"/>
        <v>NA</v>
      </c>
      <c r="AC1252" s="29" t="str">
        <f t="shared" si="439"/>
        <v>NA</v>
      </c>
      <c r="AD1252" s="29" t="str">
        <f t="shared" si="440"/>
        <v>NA</v>
      </c>
      <c r="AE1252" s="29" t="str">
        <f t="shared" si="441"/>
        <v>NA</v>
      </c>
      <c r="AF1252" s="29" t="str">
        <f t="shared" si="442"/>
        <v>NA</v>
      </c>
      <c r="AG1252" s="29" t="str">
        <f t="shared" si="443"/>
        <v>NA</v>
      </c>
      <c r="AH1252" s="29" t="str">
        <f t="shared" si="444"/>
        <v>NA</v>
      </c>
    </row>
    <row r="1253" customHeight="1" spans="1:34">
      <c r="A1253" s="12" t="s">
        <v>1043</v>
      </c>
      <c r="F1253" s="24">
        <f t="shared" si="426"/>
        <v>0</v>
      </c>
      <c r="G1253" s="24" t="e">
        <f t="shared" si="425"/>
        <v>#DIV/0!</v>
      </c>
      <c r="Q1253" s="29" t="str">
        <f t="shared" si="427"/>
        <v>NA</v>
      </c>
      <c r="R1253" s="29" t="str">
        <f t="shared" si="428"/>
        <v>NA</v>
      </c>
      <c r="S1253" s="29" t="str">
        <f t="shared" si="429"/>
        <v>NA</v>
      </c>
      <c r="T1253" s="29" t="str">
        <f t="shared" si="430"/>
        <v>NA</v>
      </c>
      <c r="U1253" s="29" t="str">
        <f t="shared" si="431"/>
        <v>NA</v>
      </c>
      <c r="V1253" s="29" t="str">
        <f t="shared" si="432"/>
        <v>NA</v>
      </c>
      <c r="W1253" s="29" t="str">
        <f t="shared" si="433"/>
        <v>NA</v>
      </c>
      <c r="X1253" s="29" t="str">
        <f t="shared" si="434"/>
        <v>NA</v>
      </c>
      <c r="Y1253" s="29" t="str">
        <f t="shared" si="435"/>
        <v>NA</v>
      </c>
      <c r="Z1253" s="29" t="str">
        <f t="shared" si="436"/>
        <v>NA</v>
      </c>
      <c r="AA1253" s="29" t="str">
        <f t="shared" si="437"/>
        <v>NA</v>
      </c>
      <c r="AB1253" s="29" t="str">
        <f t="shared" si="438"/>
        <v>NA</v>
      </c>
      <c r="AC1253" s="29" t="str">
        <f t="shared" si="439"/>
        <v>NA</v>
      </c>
      <c r="AD1253" s="29" t="str">
        <f t="shared" si="440"/>
        <v>NA</v>
      </c>
      <c r="AE1253" s="29" t="str">
        <f t="shared" si="441"/>
        <v>NA</v>
      </c>
      <c r="AF1253" s="29" t="str">
        <f t="shared" si="442"/>
        <v>NA</v>
      </c>
      <c r="AG1253" s="29" t="str">
        <f t="shared" si="443"/>
        <v>NA</v>
      </c>
      <c r="AH1253" s="29" t="str">
        <f t="shared" si="444"/>
        <v>NA</v>
      </c>
    </row>
    <row r="1254" customHeight="1" spans="1:34">
      <c r="A1254" s="12" t="s">
        <v>1043</v>
      </c>
      <c r="F1254" s="24">
        <f t="shared" si="426"/>
        <v>0</v>
      </c>
      <c r="G1254" s="24" t="e">
        <f t="shared" si="425"/>
        <v>#DIV/0!</v>
      </c>
      <c r="Q1254" s="29" t="str">
        <f t="shared" si="427"/>
        <v>NA</v>
      </c>
      <c r="R1254" s="29" t="str">
        <f t="shared" si="428"/>
        <v>NA</v>
      </c>
      <c r="S1254" s="29" t="str">
        <f t="shared" si="429"/>
        <v>NA</v>
      </c>
      <c r="T1254" s="29" t="str">
        <f t="shared" si="430"/>
        <v>NA</v>
      </c>
      <c r="U1254" s="29" t="str">
        <f t="shared" si="431"/>
        <v>NA</v>
      </c>
      <c r="V1254" s="29" t="str">
        <f t="shared" si="432"/>
        <v>NA</v>
      </c>
      <c r="W1254" s="29" t="str">
        <f t="shared" si="433"/>
        <v>NA</v>
      </c>
      <c r="X1254" s="29" t="str">
        <f t="shared" si="434"/>
        <v>NA</v>
      </c>
      <c r="Y1254" s="29" t="str">
        <f t="shared" si="435"/>
        <v>NA</v>
      </c>
      <c r="Z1254" s="29" t="str">
        <f t="shared" si="436"/>
        <v>NA</v>
      </c>
      <c r="AA1254" s="29" t="str">
        <f t="shared" si="437"/>
        <v>NA</v>
      </c>
      <c r="AB1254" s="29" t="str">
        <f t="shared" si="438"/>
        <v>NA</v>
      </c>
      <c r="AC1254" s="29" t="str">
        <f t="shared" si="439"/>
        <v>NA</v>
      </c>
      <c r="AD1254" s="29" t="str">
        <f t="shared" si="440"/>
        <v>NA</v>
      </c>
      <c r="AE1254" s="29" t="str">
        <f t="shared" si="441"/>
        <v>NA</v>
      </c>
      <c r="AF1254" s="29" t="str">
        <f t="shared" si="442"/>
        <v>NA</v>
      </c>
      <c r="AG1254" s="29" t="str">
        <f t="shared" si="443"/>
        <v>NA</v>
      </c>
      <c r="AH1254" s="29" t="str">
        <f t="shared" si="444"/>
        <v>NA</v>
      </c>
    </row>
    <row r="1255" customHeight="1" spans="1:34">
      <c r="A1255" s="12" t="s">
        <v>1043</v>
      </c>
      <c r="F1255" s="24">
        <f t="shared" si="426"/>
        <v>0</v>
      </c>
      <c r="G1255" s="24" t="e">
        <f t="shared" si="425"/>
        <v>#DIV/0!</v>
      </c>
      <c r="Q1255" s="29" t="str">
        <f t="shared" si="427"/>
        <v>NA</v>
      </c>
      <c r="R1255" s="29" t="str">
        <f t="shared" si="428"/>
        <v>NA</v>
      </c>
      <c r="S1255" s="29" t="str">
        <f t="shared" si="429"/>
        <v>NA</v>
      </c>
      <c r="T1255" s="29" t="str">
        <f t="shared" si="430"/>
        <v>NA</v>
      </c>
      <c r="U1255" s="29" t="str">
        <f t="shared" si="431"/>
        <v>NA</v>
      </c>
      <c r="V1255" s="29" t="str">
        <f t="shared" si="432"/>
        <v>NA</v>
      </c>
      <c r="W1255" s="29" t="str">
        <f t="shared" si="433"/>
        <v>NA</v>
      </c>
      <c r="X1255" s="29" t="str">
        <f t="shared" si="434"/>
        <v>NA</v>
      </c>
      <c r="Y1255" s="29" t="str">
        <f t="shared" si="435"/>
        <v>NA</v>
      </c>
      <c r="Z1255" s="29" t="str">
        <f t="shared" si="436"/>
        <v>NA</v>
      </c>
      <c r="AA1255" s="29" t="str">
        <f t="shared" si="437"/>
        <v>NA</v>
      </c>
      <c r="AB1255" s="29" t="str">
        <f t="shared" si="438"/>
        <v>NA</v>
      </c>
      <c r="AC1255" s="29" t="str">
        <f t="shared" si="439"/>
        <v>NA</v>
      </c>
      <c r="AD1255" s="29" t="str">
        <f t="shared" si="440"/>
        <v>NA</v>
      </c>
      <c r="AE1255" s="29" t="str">
        <f t="shared" si="441"/>
        <v>NA</v>
      </c>
      <c r="AF1255" s="29" t="str">
        <f t="shared" si="442"/>
        <v>NA</v>
      </c>
      <c r="AG1255" s="29" t="str">
        <f t="shared" si="443"/>
        <v>NA</v>
      </c>
      <c r="AH1255" s="29" t="str">
        <f t="shared" si="444"/>
        <v>NA</v>
      </c>
    </row>
    <row r="1256" customHeight="1" spans="1:34">
      <c r="A1256" s="12" t="s">
        <v>1043</v>
      </c>
      <c r="F1256" s="24">
        <f t="shared" si="426"/>
        <v>0</v>
      </c>
      <c r="G1256" s="24" t="e">
        <f t="shared" si="425"/>
        <v>#DIV/0!</v>
      </c>
      <c r="Q1256" s="29" t="str">
        <f t="shared" si="427"/>
        <v>NA</v>
      </c>
      <c r="R1256" s="29" t="str">
        <f t="shared" si="428"/>
        <v>NA</v>
      </c>
      <c r="S1256" s="29" t="str">
        <f t="shared" si="429"/>
        <v>NA</v>
      </c>
      <c r="T1256" s="29" t="str">
        <f t="shared" si="430"/>
        <v>NA</v>
      </c>
      <c r="U1256" s="29" t="str">
        <f t="shared" si="431"/>
        <v>NA</v>
      </c>
      <c r="V1256" s="29" t="str">
        <f t="shared" si="432"/>
        <v>NA</v>
      </c>
      <c r="W1256" s="29" t="str">
        <f t="shared" si="433"/>
        <v>NA</v>
      </c>
      <c r="X1256" s="29" t="str">
        <f t="shared" si="434"/>
        <v>NA</v>
      </c>
      <c r="Y1256" s="29" t="str">
        <f t="shared" si="435"/>
        <v>NA</v>
      </c>
      <c r="Z1256" s="29" t="str">
        <f t="shared" si="436"/>
        <v>NA</v>
      </c>
      <c r="AA1256" s="29" t="str">
        <f t="shared" si="437"/>
        <v>NA</v>
      </c>
      <c r="AB1256" s="29" t="str">
        <f t="shared" si="438"/>
        <v>NA</v>
      </c>
      <c r="AC1256" s="29" t="str">
        <f t="shared" si="439"/>
        <v>NA</v>
      </c>
      <c r="AD1256" s="29" t="str">
        <f t="shared" si="440"/>
        <v>NA</v>
      </c>
      <c r="AE1256" s="29" t="str">
        <f t="shared" si="441"/>
        <v>NA</v>
      </c>
      <c r="AF1256" s="29" t="str">
        <f t="shared" si="442"/>
        <v>NA</v>
      </c>
      <c r="AG1256" s="29" t="str">
        <f t="shared" si="443"/>
        <v>NA</v>
      </c>
      <c r="AH1256" s="29" t="str">
        <f t="shared" si="444"/>
        <v>NA</v>
      </c>
    </row>
    <row r="1257" customHeight="1" spans="1:34">
      <c r="A1257" s="12" t="s">
        <v>1043</v>
      </c>
      <c r="F1257" s="24">
        <f t="shared" si="426"/>
        <v>0</v>
      </c>
      <c r="G1257" s="24" t="e">
        <f t="shared" si="425"/>
        <v>#DIV/0!</v>
      </c>
      <c r="Q1257" s="29" t="str">
        <f t="shared" si="427"/>
        <v>NA</v>
      </c>
      <c r="R1257" s="29" t="str">
        <f t="shared" si="428"/>
        <v>NA</v>
      </c>
      <c r="S1257" s="29" t="str">
        <f t="shared" si="429"/>
        <v>NA</v>
      </c>
      <c r="T1257" s="29" t="str">
        <f t="shared" si="430"/>
        <v>NA</v>
      </c>
      <c r="U1257" s="29" t="str">
        <f t="shared" si="431"/>
        <v>NA</v>
      </c>
      <c r="V1257" s="29" t="str">
        <f t="shared" si="432"/>
        <v>NA</v>
      </c>
      <c r="W1257" s="29" t="str">
        <f t="shared" si="433"/>
        <v>NA</v>
      </c>
      <c r="X1257" s="29" t="str">
        <f t="shared" si="434"/>
        <v>NA</v>
      </c>
      <c r="Y1257" s="29" t="str">
        <f t="shared" si="435"/>
        <v>NA</v>
      </c>
      <c r="Z1257" s="29" t="str">
        <f t="shared" si="436"/>
        <v>NA</v>
      </c>
      <c r="AA1257" s="29" t="str">
        <f t="shared" si="437"/>
        <v>NA</v>
      </c>
      <c r="AB1257" s="29" t="str">
        <f t="shared" si="438"/>
        <v>NA</v>
      </c>
      <c r="AC1257" s="29" t="str">
        <f t="shared" si="439"/>
        <v>NA</v>
      </c>
      <c r="AD1257" s="29" t="str">
        <f t="shared" si="440"/>
        <v>NA</v>
      </c>
      <c r="AE1257" s="29" t="str">
        <f t="shared" si="441"/>
        <v>NA</v>
      </c>
      <c r="AF1257" s="29" t="str">
        <f t="shared" si="442"/>
        <v>NA</v>
      </c>
      <c r="AG1257" s="29" t="str">
        <f t="shared" si="443"/>
        <v>NA</v>
      </c>
      <c r="AH1257" s="29" t="str">
        <f t="shared" si="444"/>
        <v>NA</v>
      </c>
    </row>
    <row r="1258" customHeight="1" spans="1:34">
      <c r="A1258" s="12" t="s">
        <v>1043</v>
      </c>
      <c r="F1258" s="24">
        <f t="shared" si="426"/>
        <v>0</v>
      </c>
      <c r="G1258" s="24" t="e">
        <f t="shared" si="425"/>
        <v>#DIV/0!</v>
      </c>
      <c r="Q1258" s="29" t="str">
        <f t="shared" si="427"/>
        <v>NA</v>
      </c>
      <c r="R1258" s="29" t="str">
        <f t="shared" si="428"/>
        <v>NA</v>
      </c>
      <c r="S1258" s="29" t="str">
        <f t="shared" si="429"/>
        <v>NA</v>
      </c>
      <c r="T1258" s="29" t="str">
        <f t="shared" si="430"/>
        <v>NA</v>
      </c>
      <c r="U1258" s="29" t="str">
        <f t="shared" si="431"/>
        <v>NA</v>
      </c>
      <c r="V1258" s="29" t="str">
        <f t="shared" si="432"/>
        <v>NA</v>
      </c>
      <c r="W1258" s="29" t="str">
        <f t="shared" si="433"/>
        <v>NA</v>
      </c>
      <c r="X1258" s="29" t="str">
        <f t="shared" si="434"/>
        <v>NA</v>
      </c>
      <c r="Y1258" s="29" t="str">
        <f t="shared" si="435"/>
        <v>NA</v>
      </c>
      <c r="Z1258" s="29" t="str">
        <f t="shared" si="436"/>
        <v>NA</v>
      </c>
      <c r="AA1258" s="29" t="str">
        <f t="shared" si="437"/>
        <v>NA</v>
      </c>
      <c r="AB1258" s="29" t="str">
        <f t="shared" si="438"/>
        <v>NA</v>
      </c>
      <c r="AC1258" s="29" t="str">
        <f t="shared" si="439"/>
        <v>NA</v>
      </c>
      <c r="AD1258" s="29" t="str">
        <f t="shared" si="440"/>
        <v>NA</v>
      </c>
      <c r="AE1258" s="29" t="str">
        <f t="shared" si="441"/>
        <v>NA</v>
      </c>
      <c r="AF1258" s="29" t="str">
        <f t="shared" si="442"/>
        <v>NA</v>
      </c>
      <c r="AG1258" s="29" t="str">
        <f t="shared" si="443"/>
        <v>NA</v>
      </c>
      <c r="AH1258" s="29" t="str">
        <f t="shared" si="444"/>
        <v>NA</v>
      </c>
    </row>
    <row r="1259" customHeight="1" spans="1:34">
      <c r="A1259" s="12" t="s">
        <v>1043</v>
      </c>
      <c r="F1259" s="24">
        <f t="shared" si="426"/>
        <v>0</v>
      </c>
      <c r="G1259" s="24" t="e">
        <f t="shared" si="425"/>
        <v>#DIV/0!</v>
      </c>
      <c r="Q1259" s="29" t="str">
        <f t="shared" si="427"/>
        <v>NA</v>
      </c>
      <c r="R1259" s="29" t="str">
        <f t="shared" si="428"/>
        <v>NA</v>
      </c>
      <c r="S1259" s="29" t="str">
        <f t="shared" si="429"/>
        <v>NA</v>
      </c>
      <c r="T1259" s="29" t="str">
        <f t="shared" si="430"/>
        <v>NA</v>
      </c>
      <c r="U1259" s="29" t="str">
        <f t="shared" si="431"/>
        <v>NA</v>
      </c>
      <c r="V1259" s="29" t="str">
        <f t="shared" si="432"/>
        <v>NA</v>
      </c>
      <c r="W1259" s="29" t="str">
        <f t="shared" si="433"/>
        <v>NA</v>
      </c>
      <c r="X1259" s="29" t="str">
        <f t="shared" si="434"/>
        <v>NA</v>
      </c>
      <c r="Y1259" s="29" t="str">
        <f t="shared" si="435"/>
        <v>NA</v>
      </c>
      <c r="Z1259" s="29" t="str">
        <f t="shared" si="436"/>
        <v>NA</v>
      </c>
      <c r="AA1259" s="29" t="str">
        <f t="shared" si="437"/>
        <v>NA</v>
      </c>
      <c r="AB1259" s="29" t="str">
        <f t="shared" si="438"/>
        <v>NA</v>
      </c>
      <c r="AC1259" s="29" t="str">
        <f t="shared" si="439"/>
        <v>NA</v>
      </c>
      <c r="AD1259" s="29" t="str">
        <f t="shared" si="440"/>
        <v>NA</v>
      </c>
      <c r="AE1259" s="29" t="str">
        <f t="shared" si="441"/>
        <v>NA</v>
      </c>
      <c r="AF1259" s="29" t="str">
        <f t="shared" si="442"/>
        <v>NA</v>
      </c>
      <c r="AG1259" s="29" t="str">
        <f t="shared" si="443"/>
        <v>NA</v>
      </c>
      <c r="AH1259" s="29" t="str">
        <f t="shared" si="444"/>
        <v>NA</v>
      </c>
    </row>
    <row r="1260" customHeight="1" spans="1:34">
      <c r="A1260" s="12" t="s">
        <v>1043</v>
      </c>
      <c r="F1260" s="24">
        <f t="shared" si="426"/>
        <v>0</v>
      </c>
      <c r="G1260" s="24" t="e">
        <f t="shared" si="425"/>
        <v>#DIV/0!</v>
      </c>
      <c r="Q1260" s="29" t="str">
        <f t="shared" si="427"/>
        <v>NA</v>
      </c>
      <c r="R1260" s="29" t="str">
        <f t="shared" si="428"/>
        <v>NA</v>
      </c>
      <c r="S1260" s="29" t="str">
        <f t="shared" si="429"/>
        <v>NA</v>
      </c>
      <c r="T1260" s="29" t="str">
        <f t="shared" si="430"/>
        <v>NA</v>
      </c>
      <c r="U1260" s="29" t="str">
        <f t="shared" si="431"/>
        <v>NA</v>
      </c>
      <c r="V1260" s="29" t="str">
        <f t="shared" si="432"/>
        <v>NA</v>
      </c>
      <c r="W1260" s="29" t="str">
        <f t="shared" si="433"/>
        <v>NA</v>
      </c>
      <c r="X1260" s="29" t="str">
        <f t="shared" si="434"/>
        <v>NA</v>
      </c>
      <c r="Y1260" s="29" t="str">
        <f t="shared" si="435"/>
        <v>NA</v>
      </c>
      <c r="Z1260" s="29" t="str">
        <f t="shared" si="436"/>
        <v>NA</v>
      </c>
      <c r="AA1260" s="29" t="str">
        <f t="shared" si="437"/>
        <v>NA</v>
      </c>
      <c r="AB1260" s="29" t="str">
        <f t="shared" si="438"/>
        <v>NA</v>
      </c>
      <c r="AC1260" s="29" t="str">
        <f t="shared" si="439"/>
        <v>NA</v>
      </c>
      <c r="AD1260" s="29" t="str">
        <f t="shared" si="440"/>
        <v>NA</v>
      </c>
      <c r="AE1260" s="29" t="str">
        <f t="shared" si="441"/>
        <v>NA</v>
      </c>
      <c r="AF1260" s="29" t="str">
        <f t="shared" si="442"/>
        <v>NA</v>
      </c>
      <c r="AG1260" s="29" t="str">
        <f t="shared" si="443"/>
        <v>NA</v>
      </c>
      <c r="AH1260" s="29" t="str">
        <f t="shared" si="444"/>
        <v>NA</v>
      </c>
    </row>
    <row r="1261" customHeight="1" spans="1:34">
      <c r="A1261" s="12" t="s">
        <v>1043</v>
      </c>
      <c r="F1261" s="24">
        <f t="shared" si="426"/>
        <v>0</v>
      </c>
      <c r="G1261" s="24" t="e">
        <f t="shared" si="425"/>
        <v>#DIV/0!</v>
      </c>
      <c r="Q1261" s="29" t="str">
        <f t="shared" si="427"/>
        <v>NA</v>
      </c>
      <c r="R1261" s="29" t="str">
        <f t="shared" si="428"/>
        <v>NA</v>
      </c>
      <c r="S1261" s="29" t="str">
        <f t="shared" si="429"/>
        <v>NA</v>
      </c>
      <c r="T1261" s="29" t="str">
        <f t="shared" si="430"/>
        <v>NA</v>
      </c>
      <c r="U1261" s="29" t="str">
        <f t="shared" si="431"/>
        <v>NA</v>
      </c>
      <c r="V1261" s="29" t="str">
        <f t="shared" si="432"/>
        <v>NA</v>
      </c>
      <c r="W1261" s="29" t="str">
        <f t="shared" si="433"/>
        <v>NA</v>
      </c>
      <c r="X1261" s="29" t="str">
        <f t="shared" si="434"/>
        <v>NA</v>
      </c>
      <c r="Y1261" s="29" t="str">
        <f t="shared" si="435"/>
        <v>NA</v>
      </c>
      <c r="Z1261" s="29" t="str">
        <f t="shared" si="436"/>
        <v>NA</v>
      </c>
      <c r="AA1261" s="29" t="str">
        <f t="shared" si="437"/>
        <v>NA</v>
      </c>
      <c r="AB1261" s="29" t="str">
        <f t="shared" si="438"/>
        <v>NA</v>
      </c>
      <c r="AC1261" s="29" t="str">
        <f t="shared" si="439"/>
        <v>NA</v>
      </c>
      <c r="AD1261" s="29" t="str">
        <f t="shared" si="440"/>
        <v>NA</v>
      </c>
      <c r="AE1261" s="29" t="str">
        <f t="shared" si="441"/>
        <v>NA</v>
      </c>
      <c r="AF1261" s="29" t="str">
        <f t="shared" si="442"/>
        <v>NA</v>
      </c>
      <c r="AG1261" s="29" t="str">
        <f t="shared" si="443"/>
        <v>NA</v>
      </c>
      <c r="AH1261" s="29" t="str">
        <f t="shared" si="444"/>
        <v>NA</v>
      </c>
    </row>
    <row r="1262" customHeight="1" spans="1:34">
      <c r="A1262" s="12" t="s">
        <v>1043</v>
      </c>
      <c r="F1262" s="24">
        <f t="shared" si="426"/>
        <v>0</v>
      </c>
      <c r="G1262" s="24" t="e">
        <f t="shared" si="425"/>
        <v>#DIV/0!</v>
      </c>
      <c r="Q1262" s="29" t="str">
        <f t="shared" si="427"/>
        <v>NA</v>
      </c>
      <c r="R1262" s="29" t="str">
        <f t="shared" si="428"/>
        <v>NA</v>
      </c>
      <c r="S1262" s="29" t="str">
        <f t="shared" si="429"/>
        <v>NA</v>
      </c>
      <c r="T1262" s="29" t="str">
        <f t="shared" si="430"/>
        <v>NA</v>
      </c>
      <c r="U1262" s="29" t="str">
        <f t="shared" si="431"/>
        <v>NA</v>
      </c>
      <c r="V1262" s="29" t="str">
        <f t="shared" si="432"/>
        <v>NA</v>
      </c>
      <c r="W1262" s="29" t="str">
        <f t="shared" si="433"/>
        <v>NA</v>
      </c>
      <c r="X1262" s="29" t="str">
        <f t="shared" si="434"/>
        <v>NA</v>
      </c>
      <c r="Y1262" s="29" t="str">
        <f t="shared" si="435"/>
        <v>NA</v>
      </c>
      <c r="Z1262" s="29" t="str">
        <f t="shared" si="436"/>
        <v>NA</v>
      </c>
      <c r="AA1262" s="29" t="str">
        <f t="shared" si="437"/>
        <v>NA</v>
      </c>
      <c r="AB1262" s="29" t="str">
        <f t="shared" si="438"/>
        <v>NA</v>
      </c>
      <c r="AC1262" s="29" t="str">
        <f t="shared" si="439"/>
        <v>NA</v>
      </c>
      <c r="AD1262" s="29" t="str">
        <f t="shared" si="440"/>
        <v>NA</v>
      </c>
      <c r="AE1262" s="29" t="str">
        <f t="shared" si="441"/>
        <v>NA</v>
      </c>
      <c r="AF1262" s="29" t="str">
        <f t="shared" si="442"/>
        <v>NA</v>
      </c>
      <c r="AG1262" s="29" t="str">
        <f t="shared" si="443"/>
        <v>NA</v>
      </c>
      <c r="AH1262" s="29" t="str">
        <f t="shared" si="444"/>
        <v>NA</v>
      </c>
    </row>
    <row r="1263" customHeight="1" spans="1:34">
      <c r="A1263" s="12" t="s">
        <v>1043</v>
      </c>
      <c r="F1263" s="24">
        <f t="shared" si="426"/>
        <v>0</v>
      </c>
      <c r="G1263" s="24" t="e">
        <f t="shared" si="425"/>
        <v>#DIV/0!</v>
      </c>
      <c r="Q1263" s="29" t="str">
        <f t="shared" si="427"/>
        <v>NA</v>
      </c>
      <c r="R1263" s="29" t="str">
        <f t="shared" si="428"/>
        <v>NA</v>
      </c>
      <c r="S1263" s="29" t="str">
        <f t="shared" si="429"/>
        <v>NA</v>
      </c>
      <c r="T1263" s="29" t="str">
        <f t="shared" si="430"/>
        <v>NA</v>
      </c>
      <c r="U1263" s="29" t="str">
        <f t="shared" si="431"/>
        <v>NA</v>
      </c>
      <c r="V1263" s="29" t="str">
        <f t="shared" si="432"/>
        <v>NA</v>
      </c>
      <c r="W1263" s="29" t="str">
        <f t="shared" si="433"/>
        <v>NA</v>
      </c>
      <c r="X1263" s="29" t="str">
        <f t="shared" si="434"/>
        <v>NA</v>
      </c>
      <c r="Y1263" s="29" t="str">
        <f t="shared" si="435"/>
        <v>NA</v>
      </c>
      <c r="Z1263" s="29" t="str">
        <f t="shared" si="436"/>
        <v>NA</v>
      </c>
      <c r="AA1263" s="29" t="str">
        <f t="shared" si="437"/>
        <v>NA</v>
      </c>
      <c r="AB1263" s="29" t="str">
        <f t="shared" si="438"/>
        <v>NA</v>
      </c>
      <c r="AC1263" s="29" t="str">
        <f t="shared" si="439"/>
        <v>NA</v>
      </c>
      <c r="AD1263" s="29" t="str">
        <f t="shared" si="440"/>
        <v>NA</v>
      </c>
      <c r="AE1263" s="29" t="str">
        <f t="shared" si="441"/>
        <v>NA</v>
      </c>
      <c r="AF1263" s="29" t="str">
        <f t="shared" si="442"/>
        <v>NA</v>
      </c>
      <c r="AG1263" s="29" t="str">
        <f t="shared" si="443"/>
        <v>NA</v>
      </c>
      <c r="AH1263" s="29" t="str">
        <f t="shared" si="444"/>
        <v>NA</v>
      </c>
    </row>
    <row r="1264" customHeight="1" spans="1:34">
      <c r="A1264" s="12" t="s">
        <v>1043</v>
      </c>
      <c r="F1264" s="24">
        <f t="shared" si="426"/>
        <v>0</v>
      </c>
      <c r="G1264" s="24" t="e">
        <f t="shared" si="425"/>
        <v>#DIV/0!</v>
      </c>
      <c r="Q1264" s="29" t="str">
        <f t="shared" si="427"/>
        <v>NA</v>
      </c>
      <c r="R1264" s="29" t="str">
        <f t="shared" si="428"/>
        <v>NA</v>
      </c>
      <c r="S1264" s="29" t="str">
        <f t="shared" si="429"/>
        <v>NA</v>
      </c>
      <c r="T1264" s="29" t="str">
        <f t="shared" si="430"/>
        <v>NA</v>
      </c>
      <c r="U1264" s="29" t="str">
        <f t="shared" si="431"/>
        <v>NA</v>
      </c>
      <c r="V1264" s="29" t="str">
        <f t="shared" si="432"/>
        <v>NA</v>
      </c>
      <c r="W1264" s="29" t="str">
        <f t="shared" si="433"/>
        <v>NA</v>
      </c>
      <c r="X1264" s="29" t="str">
        <f t="shared" si="434"/>
        <v>NA</v>
      </c>
      <c r="Y1264" s="29" t="str">
        <f t="shared" si="435"/>
        <v>NA</v>
      </c>
      <c r="Z1264" s="29" t="str">
        <f t="shared" si="436"/>
        <v>NA</v>
      </c>
      <c r="AA1264" s="29" t="str">
        <f t="shared" si="437"/>
        <v>NA</v>
      </c>
      <c r="AB1264" s="29" t="str">
        <f t="shared" si="438"/>
        <v>NA</v>
      </c>
      <c r="AC1264" s="29" t="str">
        <f t="shared" si="439"/>
        <v>NA</v>
      </c>
      <c r="AD1264" s="29" t="str">
        <f t="shared" si="440"/>
        <v>NA</v>
      </c>
      <c r="AE1264" s="29" t="str">
        <f t="shared" si="441"/>
        <v>NA</v>
      </c>
      <c r="AF1264" s="29" t="str">
        <f t="shared" si="442"/>
        <v>NA</v>
      </c>
      <c r="AG1264" s="29" t="str">
        <f t="shared" si="443"/>
        <v>NA</v>
      </c>
      <c r="AH1264" s="29" t="str">
        <f t="shared" si="444"/>
        <v>NA</v>
      </c>
    </row>
    <row r="1265" customHeight="1" spans="1:34">
      <c r="A1265" s="12" t="s">
        <v>1043</v>
      </c>
      <c r="F1265" s="24">
        <f t="shared" si="426"/>
        <v>0</v>
      </c>
      <c r="G1265" s="24" t="e">
        <f t="shared" si="425"/>
        <v>#DIV/0!</v>
      </c>
      <c r="Q1265" s="29" t="str">
        <f t="shared" si="427"/>
        <v>NA</v>
      </c>
      <c r="R1265" s="29" t="str">
        <f t="shared" si="428"/>
        <v>NA</v>
      </c>
      <c r="S1265" s="29" t="str">
        <f t="shared" si="429"/>
        <v>NA</v>
      </c>
      <c r="T1265" s="29" t="str">
        <f t="shared" si="430"/>
        <v>NA</v>
      </c>
      <c r="U1265" s="29" t="str">
        <f t="shared" si="431"/>
        <v>NA</v>
      </c>
      <c r="V1265" s="29" t="str">
        <f t="shared" si="432"/>
        <v>NA</v>
      </c>
      <c r="W1265" s="29" t="str">
        <f t="shared" si="433"/>
        <v>NA</v>
      </c>
      <c r="X1265" s="29" t="str">
        <f t="shared" si="434"/>
        <v>NA</v>
      </c>
      <c r="Y1265" s="29" t="str">
        <f t="shared" si="435"/>
        <v>NA</v>
      </c>
      <c r="Z1265" s="29" t="str">
        <f t="shared" si="436"/>
        <v>NA</v>
      </c>
      <c r="AA1265" s="29" t="str">
        <f t="shared" si="437"/>
        <v>NA</v>
      </c>
      <c r="AB1265" s="29" t="str">
        <f t="shared" si="438"/>
        <v>NA</v>
      </c>
      <c r="AC1265" s="29" t="str">
        <f t="shared" si="439"/>
        <v>NA</v>
      </c>
      <c r="AD1265" s="29" t="str">
        <f t="shared" si="440"/>
        <v>NA</v>
      </c>
      <c r="AE1265" s="29" t="str">
        <f t="shared" si="441"/>
        <v>NA</v>
      </c>
      <c r="AF1265" s="29" t="str">
        <f t="shared" si="442"/>
        <v>NA</v>
      </c>
      <c r="AG1265" s="29" t="str">
        <f t="shared" si="443"/>
        <v>NA</v>
      </c>
      <c r="AH1265" s="29" t="str">
        <f t="shared" si="444"/>
        <v>NA</v>
      </c>
    </row>
    <row r="1266" customHeight="1" spans="1:34">
      <c r="A1266" s="12" t="s">
        <v>1043</v>
      </c>
      <c r="F1266" s="24">
        <f t="shared" si="426"/>
        <v>0</v>
      </c>
      <c r="G1266" s="24" t="e">
        <f t="shared" si="425"/>
        <v>#DIV/0!</v>
      </c>
      <c r="Q1266" s="29" t="str">
        <f t="shared" si="427"/>
        <v>NA</v>
      </c>
      <c r="R1266" s="29" t="str">
        <f t="shared" si="428"/>
        <v>NA</v>
      </c>
      <c r="S1266" s="29" t="str">
        <f t="shared" si="429"/>
        <v>NA</v>
      </c>
      <c r="T1266" s="29" t="str">
        <f t="shared" si="430"/>
        <v>NA</v>
      </c>
      <c r="U1266" s="29" t="str">
        <f t="shared" si="431"/>
        <v>NA</v>
      </c>
      <c r="V1266" s="29" t="str">
        <f t="shared" si="432"/>
        <v>NA</v>
      </c>
      <c r="W1266" s="29" t="str">
        <f t="shared" si="433"/>
        <v>NA</v>
      </c>
      <c r="X1266" s="29" t="str">
        <f t="shared" si="434"/>
        <v>NA</v>
      </c>
      <c r="Y1266" s="29" t="str">
        <f t="shared" si="435"/>
        <v>NA</v>
      </c>
      <c r="Z1266" s="29" t="str">
        <f t="shared" si="436"/>
        <v>NA</v>
      </c>
      <c r="AA1266" s="29" t="str">
        <f t="shared" si="437"/>
        <v>NA</v>
      </c>
      <c r="AB1266" s="29" t="str">
        <f t="shared" si="438"/>
        <v>NA</v>
      </c>
      <c r="AC1266" s="29" t="str">
        <f t="shared" si="439"/>
        <v>NA</v>
      </c>
      <c r="AD1266" s="29" t="str">
        <f t="shared" si="440"/>
        <v>NA</v>
      </c>
      <c r="AE1266" s="29" t="str">
        <f t="shared" si="441"/>
        <v>NA</v>
      </c>
      <c r="AF1266" s="29" t="str">
        <f t="shared" si="442"/>
        <v>NA</v>
      </c>
      <c r="AG1266" s="29" t="str">
        <f t="shared" si="443"/>
        <v>NA</v>
      </c>
      <c r="AH1266" s="29" t="str">
        <f t="shared" si="444"/>
        <v>NA</v>
      </c>
    </row>
    <row r="1267" customHeight="1" spans="1:34">
      <c r="A1267" s="12" t="s">
        <v>1043</v>
      </c>
      <c r="F1267" s="24">
        <f t="shared" si="426"/>
        <v>0</v>
      </c>
      <c r="G1267" s="24" t="e">
        <f t="shared" si="425"/>
        <v>#DIV/0!</v>
      </c>
      <c r="Q1267" s="29" t="str">
        <f t="shared" si="427"/>
        <v>NA</v>
      </c>
      <c r="R1267" s="29" t="str">
        <f t="shared" si="428"/>
        <v>NA</v>
      </c>
      <c r="S1267" s="29" t="str">
        <f t="shared" si="429"/>
        <v>NA</v>
      </c>
      <c r="T1267" s="29" t="str">
        <f t="shared" si="430"/>
        <v>NA</v>
      </c>
      <c r="U1267" s="29" t="str">
        <f t="shared" si="431"/>
        <v>NA</v>
      </c>
      <c r="V1267" s="29" t="str">
        <f t="shared" si="432"/>
        <v>NA</v>
      </c>
      <c r="W1267" s="29" t="str">
        <f t="shared" si="433"/>
        <v>NA</v>
      </c>
      <c r="X1267" s="29" t="str">
        <f t="shared" si="434"/>
        <v>NA</v>
      </c>
      <c r="Y1267" s="29" t="str">
        <f t="shared" si="435"/>
        <v>NA</v>
      </c>
      <c r="Z1267" s="29" t="str">
        <f t="shared" si="436"/>
        <v>NA</v>
      </c>
      <c r="AA1267" s="29" t="str">
        <f t="shared" si="437"/>
        <v>NA</v>
      </c>
      <c r="AB1267" s="29" t="str">
        <f t="shared" si="438"/>
        <v>NA</v>
      </c>
      <c r="AC1267" s="29" t="str">
        <f t="shared" si="439"/>
        <v>NA</v>
      </c>
      <c r="AD1267" s="29" t="str">
        <f t="shared" si="440"/>
        <v>NA</v>
      </c>
      <c r="AE1267" s="29" t="str">
        <f t="shared" si="441"/>
        <v>NA</v>
      </c>
      <c r="AF1267" s="29" t="str">
        <f t="shared" si="442"/>
        <v>NA</v>
      </c>
      <c r="AG1267" s="29" t="str">
        <f t="shared" si="443"/>
        <v>NA</v>
      </c>
      <c r="AH1267" s="29" t="str">
        <f t="shared" si="444"/>
        <v>NA</v>
      </c>
    </row>
    <row r="1268" customHeight="1" spans="1:34">
      <c r="A1268" s="12" t="s">
        <v>1043</v>
      </c>
      <c r="F1268" s="24">
        <f t="shared" si="426"/>
        <v>0</v>
      </c>
      <c r="G1268" s="24" t="e">
        <f t="shared" si="425"/>
        <v>#DIV/0!</v>
      </c>
      <c r="Q1268" s="29" t="str">
        <f t="shared" si="427"/>
        <v>NA</v>
      </c>
      <c r="R1268" s="29" t="str">
        <f t="shared" si="428"/>
        <v>NA</v>
      </c>
      <c r="S1268" s="29" t="str">
        <f t="shared" si="429"/>
        <v>NA</v>
      </c>
      <c r="T1268" s="29" t="str">
        <f t="shared" si="430"/>
        <v>NA</v>
      </c>
      <c r="U1268" s="29" t="str">
        <f t="shared" si="431"/>
        <v>NA</v>
      </c>
      <c r="V1268" s="29" t="str">
        <f t="shared" si="432"/>
        <v>NA</v>
      </c>
      <c r="W1268" s="29" t="str">
        <f t="shared" si="433"/>
        <v>NA</v>
      </c>
      <c r="X1268" s="29" t="str">
        <f t="shared" si="434"/>
        <v>NA</v>
      </c>
      <c r="Y1268" s="29" t="str">
        <f t="shared" si="435"/>
        <v>NA</v>
      </c>
      <c r="Z1268" s="29" t="str">
        <f t="shared" si="436"/>
        <v>NA</v>
      </c>
      <c r="AA1268" s="29" t="str">
        <f t="shared" si="437"/>
        <v>NA</v>
      </c>
      <c r="AB1268" s="29" t="str">
        <f t="shared" si="438"/>
        <v>NA</v>
      </c>
      <c r="AC1268" s="29" t="str">
        <f t="shared" si="439"/>
        <v>NA</v>
      </c>
      <c r="AD1268" s="29" t="str">
        <f t="shared" si="440"/>
        <v>NA</v>
      </c>
      <c r="AE1268" s="29" t="str">
        <f t="shared" si="441"/>
        <v>NA</v>
      </c>
      <c r="AF1268" s="29" t="str">
        <f t="shared" si="442"/>
        <v>NA</v>
      </c>
      <c r="AG1268" s="29" t="str">
        <f t="shared" si="443"/>
        <v>NA</v>
      </c>
      <c r="AH1268" s="29" t="str">
        <f t="shared" si="444"/>
        <v>NA</v>
      </c>
    </row>
    <row r="1269" customHeight="1" spans="1:34">
      <c r="A1269" s="12" t="s">
        <v>1043</v>
      </c>
      <c r="F1269" s="24">
        <f t="shared" si="426"/>
        <v>0</v>
      </c>
      <c r="G1269" s="24" t="e">
        <f t="shared" si="425"/>
        <v>#DIV/0!</v>
      </c>
      <c r="Q1269" s="29" t="str">
        <f t="shared" si="427"/>
        <v>NA</v>
      </c>
      <c r="R1269" s="29" t="str">
        <f t="shared" si="428"/>
        <v>NA</v>
      </c>
      <c r="S1269" s="29" t="str">
        <f t="shared" si="429"/>
        <v>NA</v>
      </c>
      <c r="T1269" s="29" t="str">
        <f t="shared" si="430"/>
        <v>NA</v>
      </c>
      <c r="U1269" s="29" t="str">
        <f t="shared" si="431"/>
        <v>NA</v>
      </c>
      <c r="V1269" s="29" t="str">
        <f t="shared" si="432"/>
        <v>NA</v>
      </c>
      <c r="W1269" s="29" t="str">
        <f t="shared" si="433"/>
        <v>NA</v>
      </c>
      <c r="X1269" s="29" t="str">
        <f t="shared" si="434"/>
        <v>NA</v>
      </c>
      <c r="Y1269" s="29" t="str">
        <f t="shared" si="435"/>
        <v>NA</v>
      </c>
      <c r="Z1269" s="29" t="str">
        <f t="shared" si="436"/>
        <v>NA</v>
      </c>
      <c r="AA1269" s="29" t="str">
        <f t="shared" si="437"/>
        <v>NA</v>
      </c>
      <c r="AB1269" s="29" t="str">
        <f t="shared" si="438"/>
        <v>NA</v>
      </c>
      <c r="AC1269" s="29" t="str">
        <f t="shared" si="439"/>
        <v>NA</v>
      </c>
      <c r="AD1269" s="29" t="str">
        <f t="shared" si="440"/>
        <v>NA</v>
      </c>
      <c r="AE1269" s="29" t="str">
        <f t="shared" si="441"/>
        <v>NA</v>
      </c>
      <c r="AF1269" s="29" t="str">
        <f t="shared" si="442"/>
        <v>NA</v>
      </c>
      <c r="AG1269" s="29" t="str">
        <f t="shared" si="443"/>
        <v>NA</v>
      </c>
      <c r="AH1269" s="29" t="str">
        <f t="shared" si="444"/>
        <v>NA</v>
      </c>
    </row>
    <row r="1270" customHeight="1" spans="1:34">
      <c r="A1270" s="12" t="s">
        <v>1043</v>
      </c>
      <c r="F1270" s="24">
        <f t="shared" si="426"/>
        <v>0</v>
      </c>
      <c r="G1270" s="24" t="e">
        <f t="shared" si="425"/>
        <v>#DIV/0!</v>
      </c>
      <c r="Q1270" s="29" t="str">
        <f t="shared" si="427"/>
        <v>NA</v>
      </c>
      <c r="R1270" s="29" t="str">
        <f t="shared" si="428"/>
        <v>NA</v>
      </c>
      <c r="S1270" s="29" t="str">
        <f t="shared" si="429"/>
        <v>NA</v>
      </c>
      <c r="T1270" s="29" t="str">
        <f t="shared" si="430"/>
        <v>NA</v>
      </c>
      <c r="U1270" s="29" t="str">
        <f t="shared" si="431"/>
        <v>NA</v>
      </c>
      <c r="V1270" s="29" t="str">
        <f t="shared" si="432"/>
        <v>NA</v>
      </c>
      <c r="W1270" s="29" t="str">
        <f t="shared" si="433"/>
        <v>NA</v>
      </c>
      <c r="X1270" s="29" t="str">
        <f t="shared" si="434"/>
        <v>NA</v>
      </c>
      <c r="Y1270" s="29" t="str">
        <f t="shared" si="435"/>
        <v>NA</v>
      </c>
      <c r="Z1270" s="29" t="str">
        <f t="shared" si="436"/>
        <v>NA</v>
      </c>
      <c r="AA1270" s="29" t="str">
        <f t="shared" si="437"/>
        <v>NA</v>
      </c>
      <c r="AB1270" s="29" t="str">
        <f t="shared" si="438"/>
        <v>NA</v>
      </c>
      <c r="AC1270" s="29" t="str">
        <f t="shared" si="439"/>
        <v>NA</v>
      </c>
      <c r="AD1270" s="29" t="str">
        <f t="shared" si="440"/>
        <v>NA</v>
      </c>
      <c r="AE1270" s="29" t="str">
        <f t="shared" si="441"/>
        <v>NA</v>
      </c>
      <c r="AF1270" s="29" t="str">
        <f t="shared" si="442"/>
        <v>NA</v>
      </c>
      <c r="AG1270" s="29" t="str">
        <f t="shared" si="443"/>
        <v>NA</v>
      </c>
      <c r="AH1270" s="29" t="str">
        <f t="shared" si="444"/>
        <v>NA</v>
      </c>
    </row>
    <row r="1271" customHeight="1" spans="1:34">
      <c r="A1271" s="12" t="s">
        <v>1043</v>
      </c>
      <c r="F1271" s="24">
        <f t="shared" si="426"/>
        <v>0</v>
      </c>
      <c r="G1271" s="24" t="e">
        <f t="shared" si="425"/>
        <v>#DIV/0!</v>
      </c>
      <c r="Q1271" s="29" t="str">
        <f t="shared" si="427"/>
        <v>NA</v>
      </c>
      <c r="R1271" s="29" t="str">
        <f t="shared" si="428"/>
        <v>NA</v>
      </c>
      <c r="S1271" s="29" t="str">
        <f t="shared" si="429"/>
        <v>NA</v>
      </c>
      <c r="T1271" s="29" t="str">
        <f t="shared" si="430"/>
        <v>NA</v>
      </c>
      <c r="U1271" s="29" t="str">
        <f t="shared" si="431"/>
        <v>NA</v>
      </c>
      <c r="V1271" s="29" t="str">
        <f t="shared" si="432"/>
        <v>NA</v>
      </c>
      <c r="W1271" s="29" t="str">
        <f t="shared" si="433"/>
        <v>NA</v>
      </c>
      <c r="X1271" s="29" t="str">
        <f t="shared" si="434"/>
        <v>NA</v>
      </c>
      <c r="Y1271" s="29" t="str">
        <f t="shared" si="435"/>
        <v>NA</v>
      </c>
      <c r="Z1271" s="29" t="str">
        <f t="shared" si="436"/>
        <v>NA</v>
      </c>
      <c r="AA1271" s="29" t="str">
        <f t="shared" si="437"/>
        <v>NA</v>
      </c>
      <c r="AB1271" s="29" t="str">
        <f t="shared" si="438"/>
        <v>NA</v>
      </c>
      <c r="AC1271" s="29" t="str">
        <f t="shared" si="439"/>
        <v>NA</v>
      </c>
      <c r="AD1271" s="29" t="str">
        <f t="shared" si="440"/>
        <v>NA</v>
      </c>
      <c r="AE1271" s="29" t="str">
        <f t="shared" si="441"/>
        <v>NA</v>
      </c>
      <c r="AF1271" s="29" t="str">
        <f t="shared" si="442"/>
        <v>NA</v>
      </c>
      <c r="AG1271" s="29" t="str">
        <f t="shared" si="443"/>
        <v>NA</v>
      </c>
      <c r="AH1271" s="29" t="str">
        <f t="shared" si="444"/>
        <v>NA</v>
      </c>
    </row>
    <row r="1272" customHeight="1" spans="1:34">
      <c r="A1272" s="12" t="s">
        <v>1043</v>
      </c>
      <c r="F1272" s="24">
        <f t="shared" si="426"/>
        <v>0</v>
      </c>
      <c r="G1272" s="24" t="e">
        <f t="shared" si="425"/>
        <v>#DIV/0!</v>
      </c>
      <c r="Q1272" s="29" t="str">
        <f t="shared" si="427"/>
        <v>NA</v>
      </c>
      <c r="R1272" s="29" t="str">
        <f t="shared" si="428"/>
        <v>NA</v>
      </c>
      <c r="S1272" s="29" t="str">
        <f t="shared" si="429"/>
        <v>NA</v>
      </c>
      <c r="T1272" s="29" t="str">
        <f t="shared" si="430"/>
        <v>NA</v>
      </c>
      <c r="U1272" s="29" t="str">
        <f t="shared" si="431"/>
        <v>NA</v>
      </c>
      <c r="V1272" s="29" t="str">
        <f t="shared" si="432"/>
        <v>NA</v>
      </c>
      <c r="W1272" s="29" t="str">
        <f t="shared" si="433"/>
        <v>NA</v>
      </c>
      <c r="X1272" s="29" t="str">
        <f t="shared" si="434"/>
        <v>NA</v>
      </c>
      <c r="Y1272" s="29" t="str">
        <f t="shared" si="435"/>
        <v>NA</v>
      </c>
      <c r="Z1272" s="29" t="str">
        <f t="shared" si="436"/>
        <v>NA</v>
      </c>
      <c r="AA1272" s="29" t="str">
        <f t="shared" si="437"/>
        <v>NA</v>
      </c>
      <c r="AB1272" s="29" t="str">
        <f t="shared" si="438"/>
        <v>NA</v>
      </c>
      <c r="AC1272" s="29" t="str">
        <f t="shared" si="439"/>
        <v>NA</v>
      </c>
      <c r="AD1272" s="29" t="str">
        <f t="shared" si="440"/>
        <v>NA</v>
      </c>
      <c r="AE1272" s="29" t="str">
        <f t="shared" si="441"/>
        <v>NA</v>
      </c>
      <c r="AF1272" s="29" t="str">
        <f t="shared" si="442"/>
        <v>NA</v>
      </c>
      <c r="AG1272" s="29" t="str">
        <f t="shared" si="443"/>
        <v>NA</v>
      </c>
      <c r="AH1272" s="29" t="str">
        <f t="shared" si="444"/>
        <v>NA</v>
      </c>
    </row>
    <row r="1273" customHeight="1" spans="1:34">
      <c r="A1273" s="12" t="s">
        <v>1043</v>
      </c>
      <c r="F1273" s="24">
        <f t="shared" si="426"/>
        <v>0</v>
      </c>
      <c r="G1273" s="24" t="e">
        <f t="shared" si="425"/>
        <v>#DIV/0!</v>
      </c>
      <c r="Q1273" s="29" t="str">
        <f t="shared" si="427"/>
        <v>NA</v>
      </c>
      <c r="R1273" s="29" t="str">
        <f t="shared" si="428"/>
        <v>NA</v>
      </c>
      <c r="S1273" s="29" t="str">
        <f t="shared" si="429"/>
        <v>NA</v>
      </c>
      <c r="T1273" s="29" t="str">
        <f t="shared" si="430"/>
        <v>NA</v>
      </c>
      <c r="U1273" s="29" t="str">
        <f t="shared" si="431"/>
        <v>NA</v>
      </c>
      <c r="V1273" s="29" t="str">
        <f t="shared" si="432"/>
        <v>NA</v>
      </c>
      <c r="W1273" s="29" t="str">
        <f t="shared" si="433"/>
        <v>NA</v>
      </c>
      <c r="X1273" s="29" t="str">
        <f t="shared" si="434"/>
        <v>NA</v>
      </c>
      <c r="Y1273" s="29" t="str">
        <f t="shared" si="435"/>
        <v>NA</v>
      </c>
      <c r="Z1273" s="29" t="str">
        <f t="shared" si="436"/>
        <v>NA</v>
      </c>
      <c r="AA1273" s="29" t="str">
        <f t="shared" si="437"/>
        <v>NA</v>
      </c>
      <c r="AB1273" s="29" t="str">
        <f t="shared" si="438"/>
        <v>NA</v>
      </c>
      <c r="AC1273" s="29" t="str">
        <f t="shared" si="439"/>
        <v>NA</v>
      </c>
      <c r="AD1273" s="29" t="str">
        <f t="shared" si="440"/>
        <v>NA</v>
      </c>
      <c r="AE1273" s="29" t="str">
        <f t="shared" si="441"/>
        <v>NA</v>
      </c>
      <c r="AF1273" s="29" t="str">
        <f t="shared" si="442"/>
        <v>NA</v>
      </c>
      <c r="AG1273" s="29" t="str">
        <f t="shared" si="443"/>
        <v>NA</v>
      </c>
      <c r="AH1273" s="29" t="str">
        <f t="shared" si="444"/>
        <v>NA</v>
      </c>
    </row>
    <row r="1274" customHeight="1" spans="1:34">
      <c r="A1274" s="12" t="s">
        <v>1043</v>
      </c>
      <c r="F1274" s="24">
        <f t="shared" si="426"/>
        <v>0</v>
      </c>
      <c r="G1274" s="24" t="e">
        <f t="shared" si="425"/>
        <v>#DIV/0!</v>
      </c>
      <c r="Q1274" s="29" t="str">
        <f t="shared" si="427"/>
        <v>NA</v>
      </c>
      <c r="R1274" s="29" t="str">
        <f t="shared" si="428"/>
        <v>NA</v>
      </c>
      <c r="S1274" s="29" t="str">
        <f t="shared" si="429"/>
        <v>NA</v>
      </c>
      <c r="T1274" s="29" t="str">
        <f t="shared" si="430"/>
        <v>NA</v>
      </c>
      <c r="U1274" s="29" t="str">
        <f t="shared" si="431"/>
        <v>NA</v>
      </c>
      <c r="V1274" s="29" t="str">
        <f t="shared" si="432"/>
        <v>NA</v>
      </c>
      <c r="W1274" s="29" t="str">
        <f t="shared" si="433"/>
        <v>NA</v>
      </c>
      <c r="X1274" s="29" t="str">
        <f t="shared" si="434"/>
        <v>NA</v>
      </c>
      <c r="Y1274" s="29" t="str">
        <f t="shared" si="435"/>
        <v>NA</v>
      </c>
      <c r="Z1274" s="29" t="str">
        <f t="shared" si="436"/>
        <v>NA</v>
      </c>
      <c r="AA1274" s="29" t="str">
        <f t="shared" si="437"/>
        <v>NA</v>
      </c>
      <c r="AB1274" s="29" t="str">
        <f t="shared" si="438"/>
        <v>NA</v>
      </c>
      <c r="AC1274" s="29" t="str">
        <f t="shared" si="439"/>
        <v>NA</v>
      </c>
      <c r="AD1274" s="29" t="str">
        <f t="shared" si="440"/>
        <v>NA</v>
      </c>
      <c r="AE1274" s="29" t="str">
        <f t="shared" si="441"/>
        <v>NA</v>
      </c>
      <c r="AF1274" s="29" t="str">
        <f t="shared" si="442"/>
        <v>NA</v>
      </c>
      <c r="AG1274" s="29" t="str">
        <f t="shared" si="443"/>
        <v>NA</v>
      </c>
      <c r="AH1274" s="29" t="str">
        <f t="shared" si="444"/>
        <v>NA</v>
      </c>
    </row>
    <row r="1275" customHeight="1" spans="1:34">
      <c r="A1275" s="12" t="s">
        <v>1043</v>
      </c>
      <c r="F1275" s="24">
        <f t="shared" si="426"/>
        <v>0</v>
      </c>
      <c r="G1275" s="24" t="e">
        <f t="shared" si="425"/>
        <v>#DIV/0!</v>
      </c>
      <c r="Q1275" s="29" t="str">
        <f t="shared" si="427"/>
        <v>NA</v>
      </c>
      <c r="R1275" s="29" t="str">
        <f t="shared" si="428"/>
        <v>NA</v>
      </c>
      <c r="S1275" s="29" t="str">
        <f t="shared" si="429"/>
        <v>NA</v>
      </c>
      <c r="T1275" s="29" t="str">
        <f t="shared" si="430"/>
        <v>NA</v>
      </c>
      <c r="U1275" s="29" t="str">
        <f t="shared" si="431"/>
        <v>NA</v>
      </c>
      <c r="V1275" s="29" t="str">
        <f t="shared" si="432"/>
        <v>NA</v>
      </c>
      <c r="W1275" s="29" t="str">
        <f t="shared" si="433"/>
        <v>NA</v>
      </c>
      <c r="X1275" s="29" t="str">
        <f t="shared" si="434"/>
        <v>NA</v>
      </c>
      <c r="Y1275" s="29" t="str">
        <f t="shared" si="435"/>
        <v>NA</v>
      </c>
      <c r="Z1275" s="29" t="str">
        <f t="shared" si="436"/>
        <v>NA</v>
      </c>
      <c r="AA1275" s="29" t="str">
        <f t="shared" si="437"/>
        <v>NA</v>
      </c>
      <c r="AB1275" s="29" t="str">
        <f t="shared" si="438"/>
        <v>NA</v>
      </c>
      <c r="AC1275" s="29" t="str">
        <f t="shared" si="439"/>
        <v>NA</v>
      </c>
      <c r="AD1275" s="29" t="str">
        <f t="shared" si="440"/>
        <v>NA</v>
      </c>
      <c r="AE1275" s="29" t="str">
        <f t="shared" si="441"/>
        <v>NA</v>
      </c>
      <c r="AF1275" s="29" t="str">
        <f t="shared" si="442"/>
        <v>NA</v>
      </c>
      <c r="AG1275" s="29" t="str">
        <f t="shared" si="443"/>
        <v>NA</v>
      </c>
      <c r="AH1275" s="29" t="str">
        <f t="shared" si="444"/>
        <v>NA</v>
      </c>
    </row>
    <row r="1276" customHeight="1" spans="1:34">
      <c r="A1276" s="12" t="s">
        <v>1043</v>
      </c>
      <c r="F1276" s="24">
        <f t="shared" si="426"/>
        <v>0</v>
      </c>
      <c r="G1276" s="24" t="e">
        <f t="shared" si="425"/>
        <v>#DIV/0!</v>
      </c>
      <c r="Q1276" s="29" t="str">
        <f t="shared" si="427"/>
        <v>NA</v>
      </c>
      <c r="R1276" s="29" t="str">
        <f t="shared" si="428"/>
        <v>NA</v>
      </c>
      <c r="S1276" s="29" t="str">
        <f t="shared" si="429"/>
        <v>NA</v>
      </c>
      <c r="T1276" s="29" t="str">
        <f t="shared" si="430"/>
        <v>NA</v>
      </c>
      <c r="U1276" s="29" t="str">
        <f t="shared" si="431"/>
        <v>NA</v>
      </c>
      <c r="V1276" s="29" t="str">
        <f t="shared" si="432"/>
        <v>NA</v>
      </c>
      <c r="W1276" s="29" t="str">
        <f t="shared" si="433"/>
        <v>NA</v>
      </c>
      <c r="X1276" s="29" t="str">
        <f t="shared" si="434"/>
        <v>NA</v>
      </c>
      <c r="Y1276" s="29" t="str">
        <f t="shared" si="435"/>
        <v>NA</v>
      </c>
      <c r="Z1276" s="29" t="str">
        <f t="shared" si="436"/>
        <v>NA</v>
      </c>
      <c r="AA1276" s="29" t="str">
        <f t="shared" si="437"/>
        <v>NA</v>
      </c>
      <c r="AB1276" s="29" t="str">
        <f t="shared" si="438"/>
        <v>NA</v>
      </c>
      <c r="AC1276" s="29" t="str">
        <f t="shared" si="439"/>
        <v>NA</v>
      </c>
      <c r="AD1276" s="29" t="str">
        <f t="shared" si="440"/>
        <v>NA</v>
      </c>
      <c r="AE1276" s="29" t="str">
        <f t="shared" si="441"/>
        <v>NA</v>
      </c>
      <c r="AF1276" s="29" t="str">
        <f t="shared" si="442"/>
        <v>NA</v>
      </c>
      <c r="AG1276" s="29" t="str">
        <f t="shared" si="443"/>
        <v>NA</v>
      </c>
      <c r="AH1276" s="29" t="str">
        <f t="shared" si="444"/>
        <v>NA</v>
      </c>
    </row>
    <row r="1277" customHeight="1" spans="1:34">
      <c r="A1277" s="12" t="s">
        <v>1043</v>
      </c>
      <c r="F1277" s="24">
        <f t="shared" si="426"/>
        <v>0</v>
      </c>
      <c r="G1277" s="24" t="e">
        <f t="shared" si="425"/>
        <v>#DIV/0!</v>
      </c>
      <c r="Q1277" s="29" t="str">
        <f t="shared" si="427"/>
        <v>NA</v>
      </c>
      <c r="R1277" s="29" t="str">
        <f t="shared" si="428"/>
        <v>NA</v>
      </c>
      <c r="S1277" s="29" t="str">
        <f t="shared" si="429"/>
        <v>NA</v>
      </c>
      <c r="T1277" s="29" t="str">
        <f t="shared" si="430"/>
        <v>NA</v>
      </c>
      <c r="U1277" s="29" t="str">
        <f t="shared" si="431"/>
        <v>NA</v>
      </c>
      <c r="V1277" s="29" t="str">
        <f t="shared" si="432"/>
        <v>NA</v>
      </c>
      <c r="W1277" s="29" t="str">
        <f t="shared" si="433"/>
        <v>NA</v>
      </c>
      <c r="X1277" s="29" t="str">
        <f t="shared" si="434"/>
        <v>NA</v>
      </c>
      <c r="Y1277" s="29" t="str">
        <f t="shared" si="435"/>
        <v>NA</v>
      </c>
      <c r="Z1277" s="29" t="str">
        <f t="shared" si="436"/>
        <v>NA</v>
      </c>
      <c r="AA1277" s="29" t="str">
        <f t="shared" si="437"/>
        <v>NA</v>
      </c>
      <c r="AB1277" s="29" t="str">
        <f t="shared" si="438"/>
        <v>NA</v>
      </c>
      <c r="AC1277" s="29" t="str">
        <f t="shared" si="439"/>
        <v>NA</v>
      </c>
      <c r="AD1277" s="29" t="str">
        <f t="shared" si="440"/>
        <v>NA</v>
      </c>
      <c r="AE1277" s="29" t="str">
        <f t="shared" si="441"/>
        <v>NA</v>
      </c>
      <c r="AF1277" s="29" t="str">
        <f t="shared" si="442"/>
        <v>NA</v>
      </c>
      <c r="AG1277" s="29" t="str">
        <f t="shared" si="443"/>
        <v>NA</v>
      </c>
      <c r="AH1277" s="29" t="str">
        <f t="shared" si="444"/>
        <v>NA</v>
      </c>
    </row>
    <row r="1278" customHeight="1" spans="1:34">
      <c r="A1278" s="12" t="s">
        <v>1043</v>
      </c>
      <c r="F1278" s="24">
        <f t="shared" si="426"/>
        <v>0</v>
      </c>
      <c r="G1278" s="24" t="e">
        <f t="shared" si="425"/>
        <v>#DIV/0!</v>
      </c>
      <c r="Q1278" s="29" t="str">
        <f t="shared" si="427"/>
        <v>NA</v>
      </c>
      <c r="R1278" s="29" t="str">
        <f t="shared" si="428"/>
        <v>NA</v>
      </c>
      <c r="S1278" s="29" t="str">
        <f t="shared" si="429"/>
        <v>NA</v>
      </c>
      <c r="T1278" s="29" t="str">
        <f t="shared" si="430"/>
        <v>NA</v>
      </c>
      <c r="U1278" s="29" t="str">
        <f t="shared" si="431"/>
        <v>NA</v>
      </c>
      <c r="V1278" s="29" t="str">
        <f t="shared" si="432"/>
        <v>NA</v>
      </c>
      <c r="W1278" s="29" t="str">
        <f t="shared" si="433"/>
        <v>NA</v>
      </c>
      <c r="X1278" s="29" t="str">
        <f t="shared" si="434"/>
        <v>NA</v>
      </c>
      <c r="Y1278" s="29" t="str">
        <f t="shared" si="435"/>
        <v>NA</v>
      </c>
      <c r="Z1278" s="29" t="str">
        <f t="shared" si="436"/>
        <v>NA</v>
      </c>
      <c r="AA1278" s="29" t="str">
        <f t="shared" si="437"/>
        <v>NA</v>
      </c>
      <c r="AB1278" s="29" t="str">
        <f t="shared" si="438"/>
        <v>NA</v>
      </c>
      <c r="AC1278" s="29" t="str">
        <f t="shared" si="439"/>
        <v>NA</v>
      </c>
      <c r="AD1278" s="29" t="str">
        <f t="shared" si="440"/>
        <v>NA</v>
      </c>
      <c r="AE1278" s="29" t="str">
        <f t="shared" si="441"/>
        <v>NA</v>
      </c>
      <c r="AF1278" s="29" t="str">
        <f t="shared" si="442"/>
        <v>NA</v>
      </c>
      <c r="AG1278" s="29" t="str">
        <f t="shared" si="443"/>
        <v>NA</v>
      </c>
      <c r="AH1278" s="29" t="str">
        <f t="shared" si="444"/>
        <v>NA</v>
      </c>
    </row>
    <row r="1279" customHeight="1" spans="1:34">
      <c r="A1279" s="12" t="s">
        <v>1043</v>
      </c>
      <c r="F1279" s="24">
        <f t="shared" si="426"/>
        <v>0</v>
      </c>
      <c r="G1279" s="24" t="e">
        <f t="shared" si="425"/>
        <v>#DIV/0!</v>
      </c>
      <c r="Q1279" s="29" t="str">
        <f t="shared" si="427"/>
        <v>NA</v>
      </c>
      <c r="R1279" s="29" t="str">
        <f t="shared" si="428"/>
        <v>NA</v>
      </c>
      <c r="S1279" s="29" t="str">
        <f t="shared" si="429"/>
        <v>NA</v>
      </c>
      <c r="T1279" s="29" t="str">
        <f t="shared" si="430"/>
        <v>NA</v>
      </c>
      <c r="U1279" s="29" t="str">
        <f t="shared" si="431"/>
        <v>NA</v>
      </c>
      <c r="V1279" s="29" t="str">
        <f t="shared" si="432"/>
        <v>NA</v>
      </c>
      <c r="W1279" s="29" t="str">
        <f t="shared" si="433"/>
        <v>NA</v>
      </c>
      <c r="X1279" s="29" t="str">
        <f t="shared" si="434"/>
        <v>NA</v>
      </c>
      <c r="Y1279" s="29" t="str">
        <f t="shared" si="435"/>
        <v>NA</v>
      </c>
      <c r="Z1279" s="29" t="str">
        <f t="shared" si="436"/>
        <v>NA</v>
      </c>
      <c r="AA1279" s="29" t="str">
        <f t="shared" si="437"/>
        <v>NA</v>
      </c>
      <c r="AB1279" s="29" t="str">
        <f t="shared" si="438"/>
        <v>NA</v>
      </c>
      <c r="AC1279" s="29" t="str">
        <f t="shared" si="439"/>
        <v>NA</v>
      </c>
      <c r="AD1279" s="29" t="str">
        <f t="shared" si="440"/>
        <v>NA</v>
      </c>
      <c r="AE1279" s="29" t="str">
        <f t="shared" si="441"/>
        <v>NA</v>
      </c>
      <c r="AF1279" s="29" t="str">
        <f t="shared" si="442"/>
        <v>NA</v>
      </c>
      <c r="AG1279" s="29" t="str">
        <f t="shared" si="443"/>
        <v>NA</v>
      </c>
      <c r="AH1279" s="29" t="str">
        <f t="shared" si="444"/>
        <v>NA</v>
      </c>
    </row>
    <row r="1280" customHeight="1" spans="1:34">
      <c r="A1280" s="12" t="s">
        <v>1043</v>
      </c>
      <c r="F1280" s="24">
        <f t="shared" si="426"/>
        <v>0</v>
      </c>
      <c r="G1280" s="24" t="e">
        <f t="shared" si="425"/>
        <v>#DIV/0!</v>
      </c>
      <c r="Q1280" s="29" t="str">
        <f t="shared" si="427"/>
        <v>NA</v>
      </c>
      <c r="R1280" s="29" t="str">
        <f t="shared" si="428"/>
        <v>NA</v>
      </c>
      <c r="S1280" s="29" t="str">
        <f t="shared" si="429"/>
        <v>NA</v>
      </c>
      <c r="T1280" s="29" t="str">
        <f t="shared" si="430"/>
        <v>NA</v>
      </c>
      <c r="U1280" s="29" t="str">
        <f t="shared" si="431"/>
        <v>NA</v>
      </c>
      <c r="V1280" s="29" t="str">
        <f t="shared" si="432"/>
        <v>NA</v>
      </c>
      <c r="W1280" s="29" t="str">
        <f t="shared" si="433"/>
        <v>NA</v>
      </c>
      <c r="X1280" s="29" t="str">
        <f t="shared" si="434"/>
        <v>NA</v>
      </c>
      <c r="Y1280" s="29" t="str">
        <f t="shared" si="435"/>
        <v>NA</v>
      </c>
      <c r="Z1280" s="29" t="str">
        <f t="shared" si="436"/>
        <v>NA</v>
      </c>
      <c r="AA1280" s="29" t="str">
        <f t="shared" si="437"/>
        <v>NA</v>
      </c>
      <c r="AB1280" s="29" t="str">
        <f t="shared" si="438"/>
        <v>NA</v>
      </c>
      <c r="AC1280" s="29" t="str">
        <f t="shared" si="439"/>
        <v>NA</v>
      </c>
      <c r="AD1280" s="29" t="str">
        <f t="shared" si="440"/>
        <v>NA</v>
      </c>
      <c r="AE1280" s="29" t="str">
        <f t="shared" si="441"/>
        <v>NA</v>
      </c>
      <c r="AF1280" s="29" t="str">
        <f t="shared" si="442"/>
        <v>NA</v>
      </c>
      <c r="AG1280" s="29" t="str">
        <f t="shared" si="443"/>
        <v>NA</v>
      </c>
      <c r="AH1280" s="29" t="str">
        <f t="shared" si="444"/>
        <v>NA</v>
      </c>
    </row>
    <row r="1281" customHeight="1" spans="1:34">
      <c r="A1281" s="12" t="s">
        <v>1043</v>
      </c>
      <c r="F1281" s="24">
        <f t="shared" si="426"/>
        <v>0</v>
      </c>
      <c r="G1281" s="24" t="e">
        <f t="shared" si="425"/>
        <v>#DIV/0!</v>
      </c>
      <c r="Q1281" s="29" t="str">
        <f t="shared" si="427"/>
        <v>NA</v>
      </c>
      <c r="R1281" s="29" t="str">
        <f t="shared" si="428"/>
        <v>NA</v>
      </c>
      <c r="S1281" s="29" t="str">
        <f t="shared" si="429"/>
        <v>NA</v>
      </c>
      <c r="T1281" s="29" t="str">
        <f t="shared" si="430"/>
        <v>NA</v>
      </c>
      <c r="U1281" s="29" t="str">
        <f t="shared" si="431"/>
        <v>NA</v>
      </c>
      <c r="V1281" s="29" t="str">
        <f t="shared" si="432"/>
        <v>NA</v>
      </c>
      <c r="W1281" s="29" t="str">
        <f t="shared" si="433"/>
        <v>NA</v>
      </c>
      <c r="X1281" s="29" t="str">
        <f t="shared" si="434"/>
        <v>NA</v>
      </c>
      <c r="Y1281" s="29" t="str">
        <f t="shared" si="435"/>
        <v>NA</v>
      </c>
      <c r="Z1281" s="29" t="str">
        <f t="shared" si="436"/>
        <v>NA</v>
      </c>
      <c r="AA1281" s="29" t="str">
        <f t="shared" si="437"/>
        <v>NA</v>
      </c>
      <c r="AB1281" s="29" t="str">
        <f t="shared" si="438"/>
        <v>NA</v>
      </c>
      <c r="AC1281" s="29" t="str">
        <f t="shared" si="439"/>
        <v>NA</v>
      </c>
      <c r="AD1281" s="29" t="str">
        <f t="shared" si="440"/>
        <v>NA</v>
      </c>
      <c r="AE1281" s="29" t="str">
        <f t="shared" si="441"/>
        <v>NA</v>
      </c>
      <c r="AF1281" s="29" t="str">
        <f t="shared" si="442"/>
        <v>NA</v>
      </c>
      <c r="AG1281" s="29" t="str">
        <f t="shared" si="443"/>
        <v>NA</v>
      </c>
      <c r="AH1281" s="29" t="str">
        <f t="shared" si="444"/>
        <v>NA</v>
      </c>
    </row>
    <row r="1282" customHeight="1" spans="1:34">
      <c r="A1282" s="12" t="s">
        <v>1043</v>
      </c>
      <c r="F1282" s="24">
        <f t="shared" si="426"/>
        <v>0</v>
      </c>
      <c r="G1282" s="24" t="e">
        <f t="shared" si="425"/>
        <v>#DIV/0!</v>
      </c>
      <c r="Q1282" s="29" t="str">
        <f t="shared" si="427"/>
        <v>NA</v>
      </c>
      <c r="R1282" s="29" t="str">
        <f t="shared" si="428"/>
        <v>NA</v>
      </c>
      <c r="S1282" s="29" t="str">
        <f t="shared" si="429"/>
        <v>NA</v>
      </c>
      <c r="T1282" s="29" t="str">
        <f t="shared" si="430"/>
        <v>NA</v>
      </c>
      <c r="U1282" s="29" t="str">
        <f t="shared" si="431"/>
        <v>NA</v>
      </c>
      <c r="V1282" s="29" t="str">
        <f t="shared" si="432"/>
        <v>NA</v>
      </c>
      <c r="W1282" s="29" t="str">
        <f t="shared" si="433"/>
        <v>NA</v>
      </c>
      <c r="X1282" s="29" t="str">
        <f t="shared" si="434"/>
        <v>NA</v>
      </c>
      <c r="Y1282" s="29" t="str">
        <f t="shared" si="435"/>
        <v>NA</v>
      </c>
      <c r="Z1282" s="29" t="str">
        <f t="shared" si="436"/>
        <v>NA</v>
      </c>
      <c r="AA1282" s="29" t="str">
        <f t="shared" si="437"/>
        <v>NA</v>
      </c>
      <c r="AB1282" s="29" t="str">
        <f t="shared" si="438"/>
        <v>NA</v>
      </c>
      <c r="AC1282" s="29" t="str">
        <f t="shared" si="439"/>
        <v>NA</v>
      </c>
      <c r="AD1282" s="29" t="str">
        <f t="shared" si="440"/>
        <v>NA</v>
      </c>
      <c r="AE1282" s="29" t="str">
        <f t="shared" si="441"/>
        <v>NA</v>
      </c>
      <c r="AF1282" s="29" t="str">
        <f t="shared" si="442"/>
        <v>NA</v>
      </c>
      <c r="AG1282" s="29" t="str">
        <f t="shared" si="443"/>
        <v>NA</v>
      </c>
      <c r="AH1282" s="29" t="str">
        <f t="shared" si="444"/>
        <v>NA</v>
      </c>
    </row>
    <row r="1283" customHeight="1" spans="1:34">
      <c r="A1283" s="12" t="s">
        <v>1043</v>
      </c>
      <c r="F1283" s="24">
        <f t="shared" si="426"/>
        <v>0</v>
      </c>
      <c r="G1283" s="24" t="e">
        <f t="shared" si="425"/>
        <v>#DIV/0!</v>
      </c>
      <c r="Q1283" s="29" t="str">
        <f t="shared" si="427"/>
        <v>NA</v>
      </c>
      <c r="R1283" s="29" t="str">
        <f t="shared" si="428"/>
        <v>NA</v>
      </c>
      <c r="S1283" s="29" t="str">
        <f t="shared" si="429"/>
        <v>NA</v>
      </c>
      <c r="T1283" s="29" t="str">
        <f t="shared" si="430"/>
        <v>NA</v>
      </c>
      <c r="U1283" s="29" t="str">
        <f t="shared" si="431"/>
        <v>NA</v>
      </c>
      <c r="V1283" s="29" t="str">
        <f t="shared" si="432"/>
        <v>NA</v>
      </c>
      <c r="W1283" s="29" t="str">
        <f t="shared" si="433"/>
        <v>NA</v>
      </c>
      <c r="X1283" s="29" t="str">
        <f t="shared" si="434"/>
        <v>NA</v>
      </c>
      <c r="Y1283" s="29" t="str">
        <f t="shared" si="435"/>
        <v>NA</v>
      </c>
      <c r="Z1283" s="29" t="str">
        <f t="shared" si="436"/>
        <v>NA</v>
      </c>
      <c r="AA1283" s="29" t="str">
        <f t="shared" si="437"/>
        <v>NA</v>
      </c>
      <c r="AB1283" s="29" t="str">
        <f t="shared" si="438"/>
        <v>NA</v>
      </c>
      <c r="AC1283" s="29" t="str">
        <f t="shared" si="439"/>
        <v>NA</v>
      </c>
      <c r="AD1283" s="29" t="str">
        <f t="shared" si="440"/>
        <v>NA</v>
      </c>
      <c r="AE1283" s="29" t="str">
        <f t="shared" si="441"/>
        <v>NA</v>
      </c>
      <c r="AF1283" s="29" t="str">
        <f t="shared" si="442"/>
        <v>NA</v>
      </c>
      <c r="AG1283" s="29" t="str">
        <f t="shared" si="443"/>
        <v>NA</v>
      </c>
      <c r="AH1283" s="29" t="str">
        <f t="shared" si="444"/>
        <v>NA</v>
      </c>
    </row>
    <row r="1284" customHeight="1" spans="1:34">
      <c r="A1284" s="12" t="s">
        <v>1043</v>
      </c>
      <c r="F1284" s="24">
        <f t="shared" si="426"/>
        <v>0</v>
      </c>
      <c r="G1284" s="24" t="e">
        <f t="shared" si="425"/>
        <v>#DIV/0!</v>
      </c>
      <c r="Q1284" s="29" t="str">
        <f t="shared" si="427"/>
        <v>NA</v>
      </c>
      <c r="R1284" s="29" t="str">
        <f t="shared" si="428"/>
        <v>NA</v>
      </c>
      <c r="S1284" s="29" t="str">
        <f t="shared" si="429"/>
        <v>NA</v>
      </c>
      <c r="T1284" s="29" t="str">
        <f t="shared" si="430"/>
        <v>NA</v>
      </c>
      <c r="U1284" s="29" t="str">
        <f t="shared" si="431"/>
        <v>NA</v>
      </c>
      <c r="V1284" s="29" t="str">
        <f t="shared" si="432"/>
        <v>NA</v>
      </c>
      <c r="W1284" s="29" t="str">
        <f t="shared" si="433"/>
        <v>NA</v>
      </c>
      <c r="X1284" s="29" t="str">
        <f t="shared" si="434"/>
        <v>NA</v>
      </c>
      <c r="Y1284" s="29" t="str">
        <f t="shared" si="435"/>
        <v>NA</v>
      </c>
      <c r="Z1284" s="29" t="str">
        <f t="shared" si="436"/>
        <v>NA</v>
      </c>
      <c r="AA1284" s="29" t="str">
        <f t="shared" si="437"/>
        <v>NA</v>
      </c>
      <c r="AB1284" s="29" t="str">
        <f t="shared" si="438"/>
        <v>NA</v>
      </c>
      <c r="AC1284" s="29" t="str">
        <f t="shared" si="439"/>
        <v>NA</v>
      </c>
      <c r="AD1284" s="29" t="str">
        <f t="shared" si="440"/>
        <v>NA</v>
      </c>
      <c r="AE1284" s="29" t="str">
        <f t="shared" si="441"/>
        <v>NA</v>
      </c>
      <c r="AF1284" s="29" t="str">
        <f t="shared" si="442"/>
        <v>NA</v>
      </c>
      <c r="AG1284" s="29" t="str">
        <f t="shared" si="443"/>
        <v>NA</v>
      </c>
      <c r="AH1284" s="29" t="str">
        <f t="shared" si="444"/>
        <v>NA</v>
      </c>
    </row>
    <row r="1285" customHeight="1" spans="1:34">
      <c r="A1285" s="12" t="s">
        <v>1043</v>
      </c>
      <c r="F1285" s="24">
        <f t="shared" si="426"/>
        <v>0</v>
      </c>
      <c r="G1285" s="24" t="e">
        <f t="shared" ref="G1285:G1348" si="445">B1285*D1285/C1285</f>
        <v>#DIV/0!</v>
      </c>
      <c r="Q1285" s="29" t="str">
        <f t="shared" si="427"/>
        <v>NA</v>
      </c>
      <c r="R1285" s="29" t="str">
        <f t="shared" si="428"/>
        <v>NA</v>
      </c>
      <c r="S1285" s="29" t="str">
        <f t="shared" si="429"/>
        <v>NA</v>
      </c>
      <c r="T1285" s="29" t="str">
        <f t="shared" si="430"/>
        <v>NA</v>
      </c>
      <c r="U1285" s="29" t="str">
        <f t="shared" si="431"/>
        <v>NA</v>
      </c>
      <c r="V1285" s="29" t="str">
        <f t="shared" si="432"/>
        <v>NA</v>
      </c>
      <c r="W1285" s="29" t="str">
        <f t="shared" si="433"/>
        <v>NA</v>
      </c>
      <c r="X1285" s="29" t="str">
        <f t="shared" si="434"/>
        <v>NA</v>
      </c>
      <c r="Y1285" s="29" t="str">
        <f t="shared" si="435"/>
        <v>NA</v>
      </c>
      <c r="Z1285" s="29" t="str">
        <f t="shared" si="436"/>
        <v>NA</v>
      </c>
      <c r="AA1285" s="29" t="str">
        <f t="shared" si="437"/>
        <v>NA</v>
      </c>
      <c r="AB1285" s="29" t="str">
        <f t="shared" si="438"/>
        <v>NA</v>
      </c>
      <c r="AC1285" s="29" t="str">
        <f t="shared" si="439"/>
        <v>NA</v>
      </c>
      <c r="AD1285" s="29" t="str">
        <f t="shared" si="440"/>
        <v>NA</v>
      </c>
      <c r="AE1285" s="29" t="str">
        <f t="shared" si="441"/>
        <v>NA</v>
      </c>
      <c r="AF1285" s="29" t="str">
        <f t="shared" si="442"/>
        <v>NA</v>
      </c>
      <c r="AG1285" s="29" t="str">
        <f t="shared" si="443"/>
        <v>NA</v>
      </c>
      <c r="AH1285" s="29" t="str">
        <f t="shared" si="444"/>
        <v>NA</v>
      </c>
    </row>
    <row r="1286" customHeight="1" spans="1:34">
      <c r="A1286" s="12" t="s">
        <v>1043</v>
      </c>
      <c r="F1286" s="24">
        <f t="shared" ref="F1286:F1349" si="446">+D1286+E1286</f>
        <v>0</v>
      </c>
      <c r="G1286" s="24" t="e">
        <f t="shared" si="445"/>
        <v>#DIV/0!</v>
      </c>
      <c r="Q1286" s="29" t="str">
        <f t="shared" si="427"/>
        <v>NA</v>
      </c>
      <c r="R1286" s="29" t="str">
        <f t="shared" si="428"/>
        <v>NA</v>
      </c>
      <c r="S1286" s="29" t="str">
        <f t="shared" si="429"/>
        <v>NA</v>
      </c>
      <c r="T1286" s="29" t="str">
        <f t="shared" si="430"/>
        <v>NA</v>
      </c>
      <c r="U1286" s="29" t="str">
        <f t="shared" si="431"/>
        <v>NA</v>
      </c>
      <c r="V1286" s="29" t="str">
        <f t="shared" si="432"/>
        <v>NA</v>
      </c>
      <c r="W1286" s="29" t="str">
        <f t="shared" si="433"/>
        <v>NA</v>
      </c>
      <c r="X1286" s="29" t="str">
        <f t="shared" si="434"/>
        <v>NA</v>
      </c>
      <c r="Y1286" s="29" t="str">
        <f t="shared" si="435"/>
        <v>NA</v>
      </c>
      <c r="Z1286" s="29" t="str">
        <f t="shared" si="436"/>
        <v>NA</v>
      </c>
      <c r="AA1286" s="29" t="str">
        <f t="shared" si="437"/>
        <v>NA</v>
      </c>
      <c r="AB1286" s="29" t="str">
        <f t="shared" si="438"/>
        <v>NA</v>
      </c>
      <c r="AC1286" s="29" t="str">
        <f t="shared" si="439"/>
        <v>NA</v>
      </c>
      <c r="AD1286" s="29" t="str">
        <f t="shared" si="440"/>
        <v>NA</v>
      </c>
      <c r="AE1286" s="29" t="str">
        <f t="shared" si="441"/>
        <v>NA</v>
      </c>
      <c r="AF1286" s="29" t="str">
        <f t="shared" si="442"/>
        <v>NA</v>
      </c>
      <c r="AG1286" s="29" t="str">
        <f t="shared" si="443"/>
        <v>NA</v>
      </c>
      <c r="AH1286" s="29" t="str">
        <f t="shared" si="444"/>
        <v>NA</v>
      </c>
    </row>
    <row r="1287" customHeight="1" spans="1:34">
      <c r="A1287" s="12" t="s">
        <v>1043</v>
      </c>
      <c r="F1287" s="24">
        <f t="shared" si="446"/>
        <v>0</v>
      </c>
      <c r="G1287" s="24" t="e">
        <f t="shared" si="445"/>
        <v>#DIV/0!</v>
      </c>
      <c r="Q1287" s="29" t="str">
        <f t="shared" si="427"/>
        <v>NA</v>
      </c>
      <c r="R1287" s="29" t="str">
        <f t="shared" si="428"/>
        <v>NA</v>
      </c>
      <c r="S1287" s="29" t="str">
        <f t="shared" si="429"/>
        <v>NA</v>
      </c>
      <c r="T1287" s="29" t="str">
        <f t="shared" si="430"/>
        <v>NA</v>
      </c>
      <c r="U1287" s="29" t="str">
        <f t="shared" si="431"/>
        <v>NA</v>
      </c>
      <c r="V1287" s="29" t="str">
        <f t="shared" si="432"/>
        <v>NA</v>
      </c>
      <c r="W1287" s="29" t="str">
        <f t="shared" si="433"/>
        <v>NA</v>
      </c>
      <c r="X1287" s="29" t="str">
        <f t="shared" si="434"/>
        <v>NA</v>
      </c>
      <c r="Y1287" s="29" t="str">
        <f t="shared" si="435"/>
        <v>NA</v>
      </c>
      <c r="Z1287" s="29" t="str">
        <f t="shared" si="436"/>
        <v>NA</v>
      </c>
      <c r="AA1287" s="29" t="str">
        <f t="shared" si="437"/>
        <v>NA</v>
      </c>
      <c r="AB1287" s="29" t="str">
        <f t="shared" si="438"/>
        <v>NA</v>
      </c>
      <c r="AC1287" s="29" t="str">
        <f t="shared" si="439"/>
        <v>NA</v>
      </c>
      <c r="AD1287" s="29" t="str">
        <f t="shared" si="440"/>
        <v>NA</v>
      </c>
      <c r="AE1287" s="29" t="str">
        <f t="shared" si="441"/>
        <v>NA</v>
      </c>
      <c r="AF1287" s="29" t="str">
        <f t="shared" si="442"/>
        <v>NA</v>
      </c>
      <c r="AG1287" s="29" t="str">
        <f t="shared" si="443"/>
        <v>NA</v>
      </c>
      <c r="AH1287" s="29" t="str">
        <f t="shared" si="444"/>
        <v>NA</v>
      </c>
    </row>
    <row r="1288" customHeight="1" spans="1:34">
      <c r="A1288" s="12" t="s">
        <v>1043</v>
      </c>
      <c r="F1288" s="24">
        <f t="shared" si="446"/>
        <v>0</v>
      </c>
      <c r="G1288" s="24" t="e">
        <f t="shared" si="445"/>
        <v>#DIV/0!</v>
      </c>
      <c r="Q1288" s="29" t="str">
        <f t="shared" si="427"/>
        <v>NA</v>
      </c>
      <c r="R1288" s="29" t="str">
        <f t="shared" si="428"/>
        <v>NA</v>
      </c>
      <c r="S1288" s="29" t="str">
        <f t="shared" si="429"/>
        <v>NA</v>
      </c>
      <c r="T1288" s="29" t="str">
        <f t="shared" si="430"/>
        <v>NA</v>
      </c>
      <c r="U1288" s="29" t="str">
        <f t="shared" si="431"/>
        <v>NA</v>
      </c>
      <c r="V1288" s="29" t="str">
        <f t="shared" si="432"/>
        <v>NA</v>
      </c>
      <c r="W1288" s="29" t="str">
        <f t="shared" si="433"/>
        <v>NA</v>
      </c>
      <c r="X1288" s="29" t="str">
        <f t="shared" si="434"/>
        <v>NA</v>
      </c>
      <c r="Y1288" s="29" t="str">
        <f t="shared" si="435"/>
        <v>NA</v>
      </c>
      <c r="Z1288" s="29" t="str">
        <f t="shared" si="436"/>
        <v>NA</v>
      </c>
      <c r="AA1288" s="29" t="str">
        <f t="shared" si="437"/>
        <v>NA</v>
      </c>
      <c r="AB1288" s="29" t="str">
        <f t="shared" si="438"/>
        <v>NA</v>
      </c>
      <c r="AC1288" s="29" t="str">
        <f t="shared" si="439"/>
        <v>NA</v>
      </c>
      <c r="AD1288" s="29" t="str">
        <f t="shared" si="440"/>
        <v>NA</v>
      </c>
      <c r="AE1288" s="29" t="str">
        <f t="shared" si="441"/>
        <v>NA</v>
      </c>
      <c r="AF1288" s="29" t="str">
        <f t="shared" si="442"/>
        <v>NA</v>
      </c>
      <c r="AG1288" s="29" t="str">
        <f t="shared" si="443"/>
        <v>NA</v>
      </c>
      <c r="AH1288" s="29" t="str">
        <f t="shared" si="444"/>
        <v>NA</v>
      </c>
    </row>
    <row r="1289" customHeight="1" spans="1:34">
      <c r="A1289" s="12" t="s">
        <v>1043</v>
      </c>
      <c r="F1289" s="24">
        <f t="shared" si="446"/>
        <v>0</v>
      </c>
      <c r="G1289" s="24" t="e">
        <f t="shared" si="445"/>
        <v>#DIV/0!</v>
      </c>
      <c r="Q1289" s="29" t="str">
        <f t="shared" si="427"/>
        <v>NA</v>
      </c>
      <c r="R1289" s="29" t="str">
        <f t="shared" si="428"/>
        <v>NA</v>
      </c>
      <c r="S1289" s="29" t="str">
        <f t="shared" si="429"/>
        <v>NA</v>
      </c>
      <c r="T1289" s="29" t="str">
        <f t="shared" si="430"/>
        <v>NA</v>
      </c>
      <c r="U1289" s="29" t="str">
        <f t="shared" si="431"/>
        <v>NA</v>
      </c>
      <c r="V1289" s="29" t="str">
        <f t="shared" si="432"/>
        <v>NA</v>
      </c>
      <c r="W1289" s="29" t="str">
        <f t="shared" si="433"/>
        <v>NA</v>
      </c>
      <c r="X1289" s="29" t="str">
        <f t="shared" si="434"/>
        <v>NA</v>
      </c>
      <c r="Y1289" s="29" t="str">
        <f t="shared" si="435"/>
        <v>NA</v>
      </c>
      <c r="Z1289" s="29" t="str">
        <f t="shared" si="436"/>
        <v>NA</v>
      </c>
      <c r="AA1289" s="29" t="str">
        <f t="shared" si="437"/>
        <v>NA</v>
      </c>
      <c r="AB1289" s="29" t="str">
        <f t="shared" si="438"/>
        <v>NA</v>
      </c>
      <c r="AC1289" s="29" t="str">
        <f t="shared" si="439"/>
        <v>NA</v>
      </c>
      <c r="AD1289" s="29" t="str">
        <f t="shared" si="440"/>
        <v>NA</v>
      </c>
      <c r="AE1289" s="29" t="str">
        <f t="shared" si="441"/>
        <v>NA</v>
      </c>
      <c r="AF1289" s="29" t="str">
        <f t="shared" si="442"/>
        <v>NA</v>
      </c>
      <c r="AG1289" s="29" t="str">
        <f t="shared" si="443"/>
        <v>NA</v>
      </c>
      <c r="AH1289" s="29" t="str">
        <f t="shared" si="444"/>
        <v>NA</v>
      </c>
    </row>
    <row r="1290" customHeight="1" spans="1:34">
      <c r="A1290" s="12" t="s">
        <v>1043</v>
      </c>
      <c r="F1290" s="24">
        <f t="shared" si="446"/>
        <v>0</v>
      </c>
      <c r="G1290" s="24" t="e">
        <f t="shared" si="445"/>
        <v>#DIV/0!</v>
      </c>
      <c r="Q1290" s="29" t="str">
        <f t="shared" si="427"/>
        <v>NA</v>
      </c>
      <c r="R1290" s="29" t="str">
        <f t="shared" si="428"/>
        <v>NA</v>
      </c>
      <c r="S1290" s="29" t="str">
        <f t="shared" si="429"/>
        <v>NA</v>
      </c>
      <c r="T1290" s="29" t="str">
        <f t="shared" si="430"/>
        <v>NA</v>
      </c>
      <c r="U1290" s="29" t="str">
        <f t="shared" si="431"/>
        <v>NA</v>
      </c>
      <c r="V1290" s="29" t="str">
        <f t="shared" si="432"/>
        <v>NA</v>
      </c>
      <c r="W1290" s="29" t="str">
        <f t="shared" si="433"/>
        <v>NA</v>
      </c>
      <c r="X1290" s="29" t="str">
        <f t="shared" si="434"/>
        <v>NA</v>
      </c>
      <c r="Y1290" s="29" t="str">
        <f t="shared" si="435"/>
        <v>NA</v>
      </c>
      <c r="Z1290" s="29" t="str">
        <f t="shared" si="436"/>
        <v>NA</v>
      </c>
      <c r="AA1290" s="29" t="str">
        <f t="shared" si="437"/>
        <v>NA</v>
      </c>
      <c r="AB1290" s="29" t="str">
        <f t="shared" si="438"/>
        <v>NA</v>
      </c>
      <c r="AC1290" s="29" t="str">
        <f t="shared" si="439"/>
        <v>NA</v>
      </c>
      <c r="AD1290" s="29" t="str">
        <f t="shared" si="440"/>
        <v>NA</v>
      </c>
      <c r="AE1290" s="29" t="str">
        <f t="shared" si="441"/>
        <v>NA</v>
      </c>
      <c r="AF1290" s="29" t="str">
        <f t="shared" si="442"/>
        <v>NA</v>
      </c>
      <c r="AG1290" s="29" t="str">
        <f t="shared" si="443"/>
        <v>NA</v>
      </c>
      <c r="AH1290" s="29" t="str">
        <f t="shared" si="444"/>
        <v>NA</v>
      </c>
    </row>
    <row r="1291" customHeight="1" spans="1:34">
      <c r="A1291" s="12" t="s">
        <v>1043</v>
      </c>
      <c r="F1291" s="24">
        <f t="shared" si="446"/>
        <v>0</v>
      </c>
      <c r="G1291" s="24" t="e">
        <f t="shared" si="445"/>
        <v>#DIV/0!</v>
      </c>
      <c r="Q1291" s="29" t="str">
        <f t="shared" si="427"/>
        <v>NA</v>
      </c>
      <c r="R1291" s="29" t="str">
        <f t="shared" si="428"/>
        <v>NA</v>
      </c>
      <c r="S1291" s="29" t="str">
        <f t="shared" si="429"/>
        <v>NA</v>
      </c>
      <c r="T1291" s="29" t="str">
        <f t="shared" si="430"/>
        <v>NA</v>
      </c>
      <c r="U1291" s="29" t="str">
        <f t="shared" si="431"/>
        <v>NA</v>
      </c>
      <c r="V1291" s="29" t="str">
        <f t="shared" si="432"/>
        <v>NA</v>
      </c>
      <c r="W1291" s="29" t="str">
        <f t="shared" si="433"/>
        <v>NA</v>
      </c>
      <c r="X1291" s="29" t="str">
        <f t="shared" si="434"/>
        <v>NA</v>
      </c>
      <c r="Y1291" s="29" t="str">
        <f t="shared" si="435"/>
        <v>NA</v>
      </c>
      <c r="Z1291" s="29" t="str">
        <f t="shared" si="436"/>
        <v>NA</v>
      </c>
      <c r="AA1291" s="29" t="str">
        <f t="shared" si="437"/>
        <v>NA</v>
      </c>
      <c r="AB1291" s="29" t="str">
        <f t="shared" si="438"/>
        <v>NA</v>
      </c>
      <c r="AC1291" s="29" t="str">
        <f t="shared" si="439"/>
        <v>NA</v>
      </c>
      <c r="AD1291" s="29" t="str">
        <f t="shared" si="440"/>
        <v>NA</v>
      </c>
      <c r="AE1291" s="29" t="str">
        <f t="shared" si="441"/>
        <v>NA</v>
      </c>
      <c r="AF1291" s="29" t="str">
        <f t="shared" si="442"/>
        <v>NA</v>
      </c>
      <c r="AG1291" s="29" t="str">
        <f t="shared" si="443"/>
        <v>NA</v>
      </c>
      <c r="AH1291" s="29" t="str">
        <f t="shared" si="444"/>
        <v>NA</v>
      </c>
    </row>
    <row r="1292" customHeight="1" spans="1:34">
      <c r="A1292" s="12" t="s">
        <v>1043</v>
      </c>
      <c r="F1292" s="24">
        <f t="shared" si="446"/>
        <v>0</v>
      </c>
      <c r="G1292" s="24" t="e">
        <f t="shared" si="445"/>
        <v>#DIV/0!</v>
      </c>
      <c r="Q1292" s="29" t="str">
        <f t="shared" si="427"/>
        <v>NA</v>
      </c>
      <c r="R1292" s="29" t="str">
        <f t="shared" si="428"/>
        <v>NA</v>
      </c>
      <c r="S1292" s="29" t="str">
        <f t="shared" si="429"/>
        <v>NA</v>
      </c>
      <c r="T1292" s="29" t="str">
        <f t="shared" si="430"/>
        <v>NA</v>
      </c>
      <c r="U1292" s="29" t="str">
        <f t="shared" si="431"/>
        <v>NA</v>
      </c>
      <c r="V1292" s="29" t="str">
        <f t="shared" si="432"/>
        <v>NA</v>
      </c>
      <c r="W1292" s="29" t="str">
        <f t="shared" si="433"/>
        <v>NA</v>
      </c>
      <c r="X1292" s="29" t="str">
        <f t="shared" si="434"/>
        <v>NA</v>
      </c>
      <c r="Y1292" s="29" t="str">
        <f t="shared" si="435"/>
        <v>NA</v>
      </c>
      <c r="Z1292" s="29" t="str">
        <f t="shared" si="436"/>
        <v>NA</v>
      </c>
      <c r="AA1292" s="29" t="str">
        <f t="shared" si="437"/>
        <v>NA</v>
      </c>
      <c r="AB1292" s="29" t="str">
        <f t="shared" si="438"/>
        <v>NA</v>
      </c>
      <c r="AC1292" s="29" t="str">
        <f t="shared" si="439"/>
        <v>NA</v>
      </c>
      <c r="AD1292" s="29" t="str">
        <f t="shared" si="440"/>
        <v>NA</v>
      </c>
      <c r="AE1292" s="29" t="str">
        <f t="shared" si="441"/>
        <v>NA</v>
      </c>
      <c r="AF1292" s="29" t="str">
        <f t="shared" si="442"/>
        <v>NA</v>
      </c>
      <c r="AG1292" s="29" t="str">
        <f t="shared" si="443"/>
        <v>NA</v>
      </c>
      <c r="AH1292" s="29" t="str">
        <f t="shared" si="444"/>
        <v>NA</v>
      </c>
    </row>
    <row r="1293" customHeight="1" spans="1:34">
      <c r="A1293" s="12" t="s">
        <v>1043</v>
      </c>
      <c r="F1293" s="24">
        <f t="shared" si="446"/>
        <v>0</v>
      </c>
      <c r="G1293" s="24" t="e">
        <f t="shared" si="445"/>
        <v>#DIV/0!</v>
      </c>
      <c r="Q1293" s="29" t="str">
        <f t="shared" si="427"/>
        <v>NA</v>
      </c>
      <c r="R1293" s="29" t="str">
        <f t="shared" si="428"/>
        <v>NA</v>
      </c>
      <c r="S1293" s="29" t="str">
        <f t="shared" si="429"/>
        <v>NA</v>
      </c>
      <c r="T1293" s="29" t="str">
        <f t="shared" si="430"/>
        <v>NA</v>
      </c>
      <c r="U1293" s="29" t="str">
        <f t="shared" si="431"/>
        <v>NA</v>
      </c>
      <c r="V1293" s="29" t="str">
        <f t="shared" si="432"/>
        <v>NA</v>
      </c>
      <c r="W1293" s="29" t="str">
        <f t="shared" si="433"/>
        <v>NA</v>
      </c>
      <c r="X1293" s="29" t="str">
        <f t="shared" si="434"/>
        <v>NA</v>
      </c>
      <c r="Y1293" s="29" t="str">
        <f t="shared" si="435"/>
        <v>NA</v>
      </c>
      <c r="Z1293" s="29" t="str">
        <f t="shared" si="436"/>
        <v>NA</v>
      </c>
      <c r="AA1293" s="29" t="str">
        <f t="shared" si="437"/>
        <v>NA</v>
      </c>
      <c r="AB1293" s="29" t="str">
        <f t="shared" si="438"/>
        <v>NA</v>
      </c>
      <c r="AC1293" s="29" t="str">
        <f t="shared" si="439"/>
        <v>NA</v>
      </c>
      <c r="AD1293" s="29" t="str">
        <f t="shared" si="440"/>
        <v>NA</v>
      </c>
      <c r="AE1293" s="29" t="str">
        <f t="shared" si="441"/>
        <v>NA</v>
      </c>
      <c r="AF1293" s="29" t="str">
        <f t="shared" si="442"/>
        <v>NA</v>
      </c>
      <c r="AG1293" s="29" t="str">
        <f t="shared" si="443"/>
        <v>NA</v>
      </c>
      <c r="AH1293" s="29" t="str">
        <f t="shared" si="444"/>
        <v>NA</v>
      </c>
    </row>
    <row r="1294" customHeight="1" spans="1:34">
      <c r="A1294" s="12" t="s">
        <v>1043</v>
      </c>
      <c r="F1294" s="24">
        <f t="shared" si="446"/>
        <v>0</v>
      </c>
      <c r="G1294" s="24" t="e">
        <f t="shared" si="445"/>
        <v>#DIV/0!</v>
      </c>
      <c r="Q1294" s="29" t="str">
        <f t="shared" si="427"/>
        <v>NA</v>
      </c>
      <c r="R1294" s="29" t="str">
        <f t="shared" si="428"/>
        <v>NA</v>
      </c>
      <c r="S1294" s="29" t="str">
        <f t="shared" si="429"/>
        <v>NA</v>
      </c>
      <c r="T1294" s="29" t="str">
        <f t="shared" si="430"/>
        <v>NA</v>
      </c>
      <c r="U1294" s="29" t="str">
        <f t="shared" si="431"/>
        <v>NA</v>
      </c>
      <c r="V1294" s="29" t="str">
        <f t="shared" si="432"/>
        <v>NA</v>
      </c>
      <c r="W1294" s="29" t="str">
        <f t="shared" si="433"/>
        <v>NA</v>
      </c>
      <c r="X1294" s="29" t="str">
        <f t="shared" si="434"/>
        <v>NA</v>
      </c>
      <c r="Y1294" s="29" t="str">
        <f t="shared" si="435"/>
        <v>NA</v>
      </c>
      <c r="Z1294" s="29" t="str">
        <f t="shared" si="436"/>
        <v>NA</v>
      </c>
      <c r="AA1294" s="29" t="str">
        <f t="shared" si="437"/>
        <v>NA</v>
      </c>
      <c r="AB1294" s="29" t="str">
        <f t="shared" si="438"/>
        <v>NA</v>
      </c>
      <c r="AC1294" s="29" t="str">
        <f t="shared" si="439"/>
        <v>NA</v>
      </c>
      <c r="AD1294" s="29" t="str">
        <f t="shared" si="440"/>
        <v>NA</v>
      </c>
      <c r="AE1294" s="29" t="str">
        <f t="shared" si="441"/>
        <v>NA</v>
      </c>
      <c r="AF1294" s="29" t="str">
        <f t="shared" si="442"/>
        <v>NA</v>
      </c>
      <c r="AG1294" s="29" t="str">
        <f t="shared" si="443"/>
        <v>NA</v>
      </c>
      <c r="AH1294" s="29" t="str">
        <f t="shared" si="444"/>
        <v>NA</v>
      </c>
    </row>
    <row r="1295" customHeight="1" spans="1:34">
      <c r="A1295" s="12" t="s">
        <v>1043</v>
      </c>
      <c r="F1295" s="24">
        <f t="shared" si="446"/>
        <v>0</v>
      </c>
      <c r="G1295" s="24" t="e">
        <f t="shared" si="445"/>
        <v>#DIV/0!</v>
      </c>
      <c r="Q1295" s="29" t="str">
        <f t="shared" si="427"/>
        <v>NA</v>
      </c>
      <c r="R1295" s="29" t="str">
        <f t="shared" si="428"/>
        <v>NA</v>
      </c>
      <c r="S1295" s="29" t="str">
        <f t="shared" si="429"/>
        <v>NA</v>
      </c>
      <c r="T1295" s="29" t="str">
        <f t="shared" si="430"/>
        <v>NA</v>
      </c>
      <c r="U1295" s="29" t="str">
        <f t="shared" si="431"/>
        <v>NA</v>
      </c>
      <c r="V1295" s="29" t="str">
        <f t="shared" si="432"/>
        <v>NA</v>
      </c>
      <c r="W1295" s="29" t="str">
        <f t="shared" si="433"/>
        <v>NA</v>
      </c>
      <c r="X1295" s="29" t="str">
        <f t="shared" si="434"/>
        <v>NA</v>
      </c>
      <c r="Y1295" s="29" t="str">
        <f t="shared" si="435"/>
        <v>NA</v>
      </c>
      <c r="Z1295" s="29" t="str">
        <f t="shared" si="436"/>
        <v>NA</v>
      </c>
      <c r="AA1295" s="29" t="str">
        <f t="shared" si="437"/>
        <v>NA</v>
      </c>
      <c r="AB1295" s="29" t="str">
        <f t="shared" si="438"/>
        <v>NA</v>
      </c>
      <c r="AC1295" s="29" t="str">
        <f t="shared" si="439"/>
        <v>NA</v>
      </c>
      <c r="AD1295" s="29" t="str">
        <f t="shared" si="440"/>
        <v>NA</v>
      </c>
      <c r="AE1295" s="29" t="str">
        <f t="shared" si="441"/>
        <v>NA</v>
      </c>
      <c r="AF1295" s="29" t="str">
        <f t="shared" si="442"/>
        <v>NA</v>
      </c>
      <c r="AG1295" s="29" t="str">
        <f t="shared" si="443"/>
        <v>NA</v>
      </c>
      <c r="AH1295" s="29" t="str">
        <f t="shared" si="444"/>
        <v>NA</v>
      </c>
    </row>
    <row r="1296" customHeight="1" spans="1:34">
      <c r="A1296" s="12" t="s">
        <v>1043</v>
      </c>
      <c r="F1296" s="24">
        <f t="shared" si="446"/>
        <v>0</v>
      </c>
      <c r="G1296" s="24" t="e">
        <f t="shared" si="445"/>
        <v>#DIV/0!</v>
      </c>
      <c r="Q1296" s="29" t="str">
        <f t="shared" ref="Q1296:Q1359" si="447">IFERROR($B1296*$E1296/H1296,"NA")</f>
        <v>NA</v>
      </c>
      <c r="R1296" s="29" t="str">
        <f t="shared" ref="R1296:R1359" si="448">IFERROR($B1296*$E1296/I1296,"NA")</f>
        <v>NA</v>
      </c>
      <c r="S1296" s="29" t="str">
        <f t="shared" ref="S1296:S1359" si="449">IFERROR($B1296*$E1296/J1296,"NA")</f>
        <v>NA</v>
      </c>
      <c r="T1296" s="29" t="str">
        <f t="shared" ref="T1296:T1359" si="450">IFERROR($B1296*$E1296/K1296,"NA")</f>
        <v>NA</v>
      </c>
      <c r="U1296" s="29" t="str">
        <f t="shared" ref="U1296:U1359" si="451">IFERROR($B1296*$E1296/L1296,"NA")</f>
        <v>NA</v>
      </c>
      <c r="V1296" s="29" t="str">
        <f t="shared" ref="V1296:V1359" si="452">IFERROR($B1296*$E1296/M1296,"NA")</f>
        <v>NA</v>
      </c>
      <c r="W1296" s="29" t="str">
        <f t="shared" ref="W1296:W1359" si="453">IFERROR($B1296*$E1296/N1296,"NA")</f>
        <v>NA</v>
      </c>
      <c r="X1296" s="29" t="str">
        <f t="shared" ref="X1296:X1359" si="454">IFERROR($B1296*$E1296/O1296,"NA")</f>
        <v>NA</v>
      </c>
      <c r="Y1296" s="29" t="str">
        <f t="shared" ref="Y1296:Y1359" si="455">IFERROR($B1296*$E1296/P1296,"NA")</f>
        <v>NA</v>
      </c>
      <c r="Z1296" s="29" t="str">
        <f t="shared" ref="Z1296:Z1359" si="456">IFERROR((($G1296*Z$2/1000)+Q1296)/1,"NA")</f>
        <v>NA</v>
      </c>
      <c r="AA1296" s="29" t="str">
        <f t="shared" ref="AA1296:AA1359" si="457">IFERROR((($G1296*AA$2/1000)+R1296)/1,"NA")</f>
        <v>NA</v>
      </c>
      <c r="AB1296" s="29" t="str">
        <f t="shared" ref="AB1296:AB1359" si="458">IFERROR((($G1296*AB$2/1000)+S1296)/1,"NA")</f>
        <v>NA</v>
      </c>
      <c r="AC1296" s="29" t="str">
        <f t="shared" ref="AC1296:AC1359" si="459">IFERROR((($G1296*AC$2/1000)+T1296)/1,"NA")</f>
        <v>NA</v>
      </c>
      <c r="AD1296" s="29" t="str">
        <f t="shared" ref="AD1296:AD1359" si="460">IFERROR((($G1296*AD$2/1000)+U1296)/1,"NA")</f>
        <v>NA</v>
      </c>
      <c r="AE1296" s="29" t="str">
        <f t="shared" ref="AE1296:AE1359" si="461">IFERROR((($G1296*AE$2/1000)+V1296)/1,"NA")</f>
        <v>NA</v>
      </c>
      <c r="AF1296" s="29" t="str">
        <f t="shared" ref="AF1296:AF1359" si="462">IFERROR((($G1296*AF$2/1000)+W1296)/1,"NA")</f>
        <v>NA</v>
      </c>
      <c r="AG1296" s="29" t="str">
        <f t="shared" ref="AG1296:AG1359" si="463">IFERROR((($G1296*AG$2/1000)+X1296)/1,"NA")</f>
        <v>NA</v>
      </c>
      <c r="AH1296" s="29" t="str">
        <f t="shared" ref="AH1296:AH1359" si="464">IFERROR((($G1296*AH$2/1000)+Y1296)/1,"NA")</f>
        <v>NA</v>
      </c>
    </row>
    <row r="1297" customHeight="1" spans="1:34">
      <c r="A1297" s="12" t="s">
        <v>1043</v>
      </c>
      <c r="F1297" s="24">
        <f t="shared" si="446"/>
        <v>0</v>
      </c>
      <c r="G1297" s="24" t="e">
        <f t="shared" si="445"/>
        <v>#DIV/0!</v>
      </c>
      <c r="Q1297" s="29" t="str">
        <f t="shared" si="447"/>
        <v>NA</v>
      </c>
      <c r="R1297" s="29" t="str">
        <f t="shared" si="448"/>
        <v>NA</v>
      </c>
      <c r="S1297" s="29" t="str">
        <f t="shared" si="449"/>
        <v>NA</v>
      </c>
      <c r="T1297" s="29" t="str">
        <f t="shared" si="450"/>
        <v>NA</v>
      </c>
      <c r="U1297" s="29" t="str">
        <f t="shared" si="451"/>
        <v>NA</v>
      </c>
      <c r="V1297" s="29" t="str">
        <f t="shared" si="452"/>
        <v>NA</v>
      </c>
      <c r="W1297" s="29" t="str">
        <f t="shared" si="453"/>
        <v>NA</v>
      </c>
      <c r="X1297" s="29" t="str">
        <f t="shared" si="454"/>
        <v>NA</v>
      </c>
      <c r="Y1297" s="29" t="str">
        <f t="shared" si="455"/>
        <v>NA</v>
      </c>
      <c r="Z1297" s="29" t="str">
        <f t="shared" si="456"/>
        <v>NA</v>
      </c>
      <c r="AA1297" s="29" t="str">
        <f t="shared" si="457"/>
        <v>NA</v>
      </c>
      <c r="AB1297" s="29" t="str">
        <f t="shared" si="458"/>
        <v>NA</v>
      </c>
      <c r="AC1297" s="29" t="str">
        <f t="shared" si="459"/>
        <v>NA</v>
      </c>
      <c r="AD1297" s="29" t="str">
        <f t="shared" si="460"/>
        <v>NA</v>
      </c>
      <c r="AE1297" s="29" t="str">
        <f t="shared" si="461"/>
        <v>NA</v>
      </c>
      <c r="AF1297" s="29" t="str">
        <f t="shared" si="462"/>
        <v>NA</v>
      </c>
      <c r="AG1297" s="29" t="str">
        <f t="shared" si="463"/>
        <v>NA</v>
      </c>
      <c r="AH1297" s="29" t="str">
        <f t="shared" si="464"/>
        <v>NA</v>
      </c>
    </row>
    <row r="1298" customHeight="1" spans="1:34">
      <c r="A1298" s="12" t="s">
        <v>1043</v>
      </c>
      <c r="F1298" s="24">
        <f t="shared" si="446"/>
        <v>0</v>
      </c>
      <c r="G1298" s="24" t="e">
        <f t="shared" si="445"/>
        <v>#DIV/0!</v>
      </c>
      <c r="Q1298" s="29" t="str">
        <f t="shared" si="447"/>
        <v>NA</v>
      </c>
      <c r="R1298" s="29" t="str">
        <f t="shared" si="448"/>
        <v>NA</v>
      </c>
      <c r="S1298" s="29" t="str">
        <f t="shared" si="449"/>
        <v>NA</v>
      </c>
      <c r="T1298" s="29" t="str">
        <f t="shared" si="450"/>
        <v>NA</v>
      </c>
      <c r="U1298" s="29" t="str">
        <f t="shared" si="451"/>
        <v>NA</v>
      </c>
      <c r="V1298" s="29" t="str">
        <f t="shared" si="452"/>
        <v>NA</v>
      </c>
      <c r="W1298" s="29" t="str">
        <f t="shared" si="453"/>
        <v>NA</v>
      </c>
      <c r="X1298" s="29" t="str">
        <f t="shared" si="454"/>
        <v>NA</v>
      </c>
      <c r="Y1298" s="29" t="str">
        <f t="shared" si="455"/>
        <v>NA</v>
      </c>
      <c r="Z1298" s="29" t="str">
        <f t="shared" si="456"/>
        <v>NA</v>
      </c>
      <c r="AA1298" s="29" t="str">
        <f t="shared" si="457"/>
        <v>NA</v>
      </c>
      <c r="AB1298" s="29" t="str">
        <f t="shared" si="458"/>
        <v>NA</v>
      </c>
      <c r="AC1298" s="29" t="str">
        <f t="shared" si="459"/>
        <v>NA</v>
      </c>
      <c r="AD1298" s="29" t="str">
        <f t="shared" si="460"/>
        <v>NA</v>
      </c>
      <c r="AE1298" s="29" t="str">
        <f t="shared" si="461"/>
        <v>NA</v>
      </c>
      <c r="AF1298" s="29" t="str">
        <f t="shared" si="462"/>
        <v>NA</v>
      </c>
      <c r="AG1298" s="29" t="str">
        <f t="shared" si="463"/>
        <v>NA</v>
      </c>
      <c r="AH1298" s="29" t="str">
        <f t="shared" si="464"/>
        <v>NA</v>
      </c>
    </row>
    <row r="1299" customHeight="1" spans="1:34">
      <c r="A1299" s="12" t="s">
        <v>1043</v>
      </c>
      <c r="F1299" s="24">
        <f t="shared" si="446"/>
        <v>0</v>
      </c>
      <c r="G1299" s="24" t="e">
        <f t="shared" si="445"/>
        <v>#DIV/0!</v>
      </c>
      <c r="Q1299" s="29" t="str">
        <f t="shared" si="447"/>
        <v>NA</v>
      </c>
      <c r="R1299" s="29" t="str">
        <f t="shared" si="448"/>
        <v>NA</v>
      </c>
      <c r="S1299" s="29" t="str">
        <f t="shared" si="449"/>
        <v>NA</v>
      </c>
      <c r="T1299" s="29" t="str">
        <f t="shared" si="450"/>
        <v>NA</v>
      </c>
      <c r="U1299" s="29" t="str">
        <f t="shared" si="451"/>
        <v>NA</v>
      </c>
      <c r="V1299" s="29" t="str">
        <f t="shared" si="452"/>
        <v>NA</v>
      </c>
      <c r="W1299" s="29" t="str">
        <f t="shared" si="453"/>
        <v>NA</v>
      </c>
      <c r="X1299" s="29" t="str">
        <f t="shared" si="454"/>
        <v>NA</v>
      </c>
      <c r="Y1299" s="29" t="str">
        <f t="shared" si="455"/>
        <v>NA</v>
      </c>
      <c r="Z1299" s="29" t="str">
        <f t="shared" si="456"/>
        <v>NA</v>
      </c>
      <c r="AA1299" s="29" t="str">
        <f t="shared" si="457"/>
        <v>NA</v>
      </c>
      <c r="AB1299" s="29" t="str">
        <f t="shared" si="458"/>
        <v>NA</v>
      </c>
      <c r="AC1299" s="29" t="str">
        <f t="shared" si="459"/>
        <v>NA</v>
      </c>
      <c r="AD1299" s="29" t="str">
        <f t="shared" si="460"/>
        <v>NA</v>
      </c>
      <c r="AE1299" s="29" t="str">
        <f t="shared" si="461"/>
        <v>NA</v>
      </c>
      <c r="AF1299" s="29" t="str">
        <f t="shared" si="462"/>
        <v>NA</v>
      </c>
      <c r="AG1299" s="29" t="str">
        <f t="shared" si="463"/>
        <v>NA</v>
      </c>
      <c r="AH1299" s="29" t="str">
        <f t="shared" si="464"/>
        <v>NA</v>
      </c>
    </row>
    <row r="1300" customHeight="1" spans="1:34">
      <c r="A1300" s="12" t="s">
        <v>1043</v>
      </c>
      <c r="F1300" s="24">
        <f t="shared" si="446"/>
        <v>0</v>
      </c>
      <c r="G1300" s="24" t="e">
        <f t="shared" si="445"/>
        <v>#DIV/0!</v>
      </c>
      <c r="Q1300" s="29" t="str">
        <f t="shared" si="447"/>
        <v>NA</v>
      </c>
      <c r="R1300" s="29" t="str">
        <f t="shared" si="448"/>
        <v>NA</v>
      </c>
      <c r="S1300" s="29" t="str">
        <f t="shared" si="449"/>
        <v>NA</v>
      </c>
      <c r="T1300" s="29" t="str">
        <f t="shared" si="450"/>
        <v>NA</v>
      </c>
      <c r="U1300" s="29" t="str">
        <f t="shared" si="451"/>
        <v>NA</v>
      </c>
      <c r="V1300" s="29" t="str">
        <f t="shared" si="452"/>
        <v>NA</v>
      </c>
      <c r="W1300" s="29" t="str">
        <f t="shared" si="453"/>
        <v>NA</v>
      </c>
      <c r="X1300" s="29" t="str">
        <f t="shared" si="454"/>
        <v>NA</v>
      </c>
      <c r="Y1300" s="29" t="str">
        <f t="shared" si="455"/>
        <v>NA</v>
      </c>
      <c r="Z1300" s="29" t="str">
        <f t="shared" si="456"/>
        <v>NA</v>
      </c>
      <c r="AA1300" s="29" t="str">
        <f t="shared" si="457"/>
        <v>NA</v>
      </c>
      <c r="AB1300" s="29" t="str">
        <f t="shared" si="458"/>
        <v>NA</v>
      </c>
      <c r="AC1300" s="29" t="str">
        <f t="shared" si="459"/>
        <v>NA</v>
      </c>
      <c r="AD1300" s="29" t="str">
        <f t="shared" si="460"/>
        <v>NA</v>
      </c>
      <c r="AE1300" s="29" t="str">
        <f t="shared" si="461"/>
        <v>NA</v>
      </c>
      <c r="AF1300" s="29" t="str">
        <f t="shared" si="462"/>
        <v>NA</v>
      </c>
      <c r="AG1300" s="29" t="str">
        <f t="shared" si="463"/>
        <v>NA</v>
      </c>
      <c r="AH1300" s="29" t="str">
        <f t="shared" si="464"/>
        <v>NA</v>
      </c>
    </row>
    <row r="1301" customHeight="1" spans="1:34">
      <c r="A1301" s="12" t="s">
        <v>1043</v>
      </c>
      <c r="F1301" s="24">
        <f t="shared" si="446"/>
        <v>0</v>
      </c>
      <c r="G1301" s="24" t="e">
        <f t="shared" si="445"/>
        <v>#DIV/0!</v>
      </c>
      <c r="Q1301" s="29" t="str">
        <f t="shared" si="447"/>
        <v>NA</v>
      </c>
      <c r="R1301" s="29" t="str">
        <f t="shared" si="448"/>
        <v>NA</v>
      </c>
      <c r="S1301" s="29" t="str">
        <f t="shared" si="449"/>
        <v>NA</v>
      </c>
      <c r="T1301" s="29" t="str">
        <f t="shared" si="450"/>
        <v>NA</v>
      </c>
      <c r="U1301" s="29" t="str">
        <f t="shared" si="451"/>
        <v>NA</v>
      </c>
      <c r="V1301" s="29" t="str">
        <f t="shared" si="452"/>
        <v>NA</v>
      </c>
      <c r="W1301" s="29" t="str">
        <f t="shared" si="453"/>
        <v>NA</v>
      </c>
      <c r="X1301" s="29" t="str">
        <f t="shared" si="454"/>
        <v>NA</v>
      </c>
      <c r="Y1301" s="29" t="str">
        <f t="shared" si="455"/>
        <v>NA</v>
      </c>
      <c r="Z1301" s="29" t="str">
        <f t="shared" si="456"/>
        <v>NA</v>
      </c>
      <c r="AA1301" s="29" t="str">
        <f t="shared" si="457"/>
        <v>NA</v>
      </c>
      <c r="AB1301" s="29" t="str">
        <f t="shared" si="458"/>
        <v>NA</v>
      </c>
      <c r="AC1301" s="29" t="str">
        <f t="shared" si="459"/>
        <v>NA</v>
      </c>
      <c r="AD1301" s="29" t="str">
        <f t="shared" si="460"/>
        <v>NA</v>
      </c>
      <c r="AE1301" s="29" t="str">
        <f t="shared" si="461"/>
        <v>NA</v>
      </c>
      <c r="AF1301" s="29" t="str">
        <f t="shared" si="462"/>
        <v>NA</v>
      </c>
      <c r="AG1301" s="29" t="str">
        <f t="shared" si="463"/>
        <v>NA</v>
      </c>
      <c r="AH1301" s="29" t="str">
        <f t="shared" si="464"/>
        <v>NA</v>
      </c>
    </row>
    <row r="1302" customHeight="1" spans="1:34">
      <c r="A1302" s="12" t="s">
        <v>1043</v>
      </c>
      <c r="F1302" s="24">
        <f t="shared" si="446"/>
        <v>0</v>
      </c>
      <c r="G1302" s="24" t="e">
        <f t="shared" si="445"/>
        <v>#DIV/0!</v>
      </c>
      <c r="Q1302" s="29" t="str">
        <f t="shared" si="447"/>
        <v>NA</v>
      </c>
      <c r="R1302" s="29" t="str">
        <f t="shared" si="448"/>
        <v>NA</v>
      </c>
      <c r="S1302" s="29" t="str">
        <f t="shared" si="449"/>
        <v>NA</v>
      </c>
      <c r="T1302" s="29" t="str">
        <f t="shared" si="450"/>
        <v>NA</v>
      </c>
      <c r="U1302" s="29" t="str">
        <f t="shared" si="451"/>
        <v>NA</v>
      </c>
      <c r="V1302" s="29" t="str">
        <f t="shared" si="452"/>
        <v>NA</v>
      </c>
      <c r="W1302" s="29" t="str">
        <f t="shared" si="453"/>
        <v>NA</v>
      </c>
      <c r="X1302" s="29" t="str">
        <f t="shared" si="454"/>
        <v>NA</v>
      </c>
      <c r="Y1302" s="29" t="str">
        <f t="shared" si="455"/>
        <v>NA</v>
      </c>
      <c r="Z1302" s="29" t="str">
        <f t="shared" si="456"/>
        <v>NA</v>
      </c>
      <c r="AA1302" s="29" t="str">
        <f t="shared" si="457"/>
        <v>NA</v>
      </c>
      <c r="AB1302" s="29" t="str">
        <f t="shared" si="458"/>
        <v>NA</v>
      </c>
      <c r="AC1302" s="29" t="str">
        <f t="shared" si="459"/>
        <v>NA</v>
      </c>
      <c r="AD1302" s="29" t="str">
        <f t="shared" si="460"/>
        <v>NA</v>
      </c>
      <c r="AE1302" s="29" t="str">
        <f t="shared" si="461"/>
        <v>NA</v>
      </c>
      <c r="AF1302" s="29" t="str">
        <f t="shared" si="462"/>
        <v>NA</v>
      </c>
      <c r="AG1302" s="29" t="str">
        <f t="shared" si="463"/>
        <v>NA</v>
      </c>
      <c r="AH1302" s="29" t="str">
        <f t="shared" si="464"/>
        <v>NA</v>
      </c>
    </row>
    <row r="1303" customHeight="1" spans="1:34">
      <c r="A1303" s="12" t="s">
        <v>1043</v>
      </c>
      <c r="F1303" s="24">
        <f t="shared" si="446"/>
        <v>0</v>
      </c>
      <c r="G1303" s="24" t="e">
        <f t="shared" si="445"/>
        <v>#DIV/0!</v>
      </c>
      <c r="Q1303" s="29" t="str">
        <f t="shared" si="447"/>
        <v>NA</v>
      </c>
      <c r="R1303" s="29" t="str">
        <f t="shared" si="448"/>
        <v>NA</v>
      </c>
      <c r="S1303" s="29" t="str">
        <f t="shared" si="449"/>
        <v>NA</v>
      </c>
      <c r="T1303" s="29" t="str">
        <f t="shared" si="450"/>
        <v>NA</v>
      </c>
      <c r="U1303" s="29" t="str">
        <f t="shared" si="451"/>
        <v>NA</v>
      </c>
      <c r="V1303" s="29" t="str">
        <f t="shared" si="452"/>
        <v>NA</v>
      </c>
      <c r="W1303" s="29" t="str">
        <f t="shared" si="453"/>
        <v>NA</v>
      </c>
      <c r="X1303" s="29" t="str">
        <f t="shared" si="454"/>
        <v>NA</v>
      </c>
      <c r="Y1303" s="29" t="str">
        <f t="shared" si="455"/>
        <v>NA</v>
      </c>
      <c r="Z1303" s="29" t="str">
        <f t="shared" si="456"/>
        <v>NA</v>
      </c>
      <c r="AA1303" s="29" t="str">
        <f t="shared" si="457"/>
        <v>NA</v>
      </c>
      <c r="AB1303" s="29" t="str">
        <f t="shared" si="458"/>
        <v>NA</v>
      </c>
      <c r="AC1303" s="29" t="str">
        <f t="shared" si="459"/>
        <v>NA</v>
      </c>
      <c r="AD1303" s="29" t="str">
        <f t="shared" si="460"/>
        <v>NA</v>
      </c>
      <c r="AE1303" s="29" t="str">
        <f t="shared" si="461"/>
        <v>NA</v>
      </c>
      <c r="AF1303" s="29" t="str">
        <f t="shared" si="462"/>
        <v>NA</v>
      </c>
      <c r="AG1303" s="29" t="str">
        <f t="shared" si="463"/>
        <v>NA</v>
      </c>
      <c r="AH1303" s="29" t="str">
        <f t="shared" si="464"/>
        <v>NA</v>
      </c>
    </row>
    <row r="1304" customHeight="1" spans="1:34">
      <c r="A1304" s="12" t="s">
        <v>1043</v>
      </c>
      <c r="F1304" s="24">
        <f t="shared" si="446"/>
        <v>0</v>
      </c>
      <c r="G1304" s="24" t="e">
        <f t="shared" si="445"/>
        <v>#DIV/0!</v>
      </c>
      <c r="Q1304" s="29" t="str">
        <f t="shared" si="447"/>
        <v>NA</v>
      </c>
      <c r="R1304" s="29" t="str">
        <f t="shared" si="448"/>
        <v>NA</v>
      </c>
      <c r="S1304" s="29" t="str">
        <f t="shared" si="449"/>
        <v>NA</v>
      </c>
      <c r="T1304" s="29" t="str">
        <f t="shared" si="450"/>
        <v>NA</v>
      </c>
      <c r="U1304" s="29" t="str">
        <f t="shared" si="451"/>
        <v>NA</v>
      </c>
      <c r="V1304" s="29" t="str">
        <f t="shared" si="452"/>
        <v>NA</v>
      </c>
      <c r="W1304" s="29" t="str">
        <f t="shared" si="453"/>
        <v>NA</v>
      </c>
      <c r="X1304" s="29" t="str">
        <f t="shared" si="454"/>
        <v>NA</v>
      </c>
      <c r="Y1304" s="29" t="str">
        <f t="shared" si="455"/>
        <v>NA</v>
      </c>
      <c r="Z1304" s="29" t="str">
        <f t="shared" si="456"/>
        <v>NA</v>
      </c>
      <c r="AA1304" s="29" t="str">
        <f t="shared" si="457"/>
        <v>NA</v>
      </c>
      <c r="AB1304" s="29" t="str">
        <f t="shared" si="458"/>
        <v>NA</v>
      </c>
      <c r="AC1304" s="29" t="str">
        <f t="shared" si="459"/>
        <v>NA</v>
      </c>
      <c r="AD1304" s="29" t="str">
        <f t="shared" si="460"/>
        <v>NA</v>
      </c>
      <c r="AE1304" s="29" t="str">
        <f t="shared" si="461"/>
        <v>NA</v>
      </c>
      <c r="AF1304" s="29" t="str">
        <f t="shared" si="462"/>
        <v>NA</v>
      </c>
      <c r="AG1304" s="29" t="str">
        <f t="shared" si="463"/>
        <v>NA</v>
      </c>
      <c r="AH1304" s="29" t="str">
        <f t="shared" si="464"/>
        <v>NA</v>
      </c>
    </row>
    <row r="1305" customHeight="1" spans="1:34">
      <c r="A1305" s="12" t="s">
        <v>1043</v>
      </c>
      <c r="F1305" s="24">
        <f t="shared" si="446"/>
        <v>0</v>
      </c>
      <c r="G1305" s="24" t="e">
        <f t="shared" si="445"/>
        <v>#DIV/0!</v>
      </c>
      <c r="Q1305" s="29" t="str">
        <f t="shared" si="447"/>
        <v>NA</v>
      </c>
      <c r="R1305" s="29" t="str">
        <f t="shared" si="448"/>
        <v>NA</v>
      </c>
      <c r="S1305" s="29" t="str">
        <f t="shared" si="449"/>
        <v>NA</v>
      </c>
      <c r="T1305" s="29" t="str">
        <f t="shared" si="450"/>
        <v>NA</v>
      </c>
      <c r="U1305" s="29" t="str">
        <f t="shared" si="451"/>
        <v>NA</v>
      </c>
      <c r="V1305" s="29" t="str">
        <f t="shared" si="452"/>
        <v>NA</v>
      </c>
      <c r="W1305" s="29" t="str">
        <f t="shared" si="453"/>
        <v>NA</v>
      </c>
      <c r="X1305" s="29" t="str">
        <f t="shared" si="454"/>
        <v>NA</v>
      </c>
      <c r="Y1305" s="29" t="str">
        <f t="shared" si="455"/>
        <v>NA</v>
      </c>
      <c r="Z1305" s="29" t="str">
        <f t="shared" si="456"/>
        <v>NA</v>
      </c>
      <c r="AA1305" s="29" t="str">
        <f t="shared" si="457"/>
        <v>NA</v>
      </c>
      <c r="AB1305" s="29" t="str">
        <f t="shared" si="458"/>
        <v>NA</v>
      </c>
      <c r="AC1305" s="29" t="str">
        <f t="shared" si="459"/>
        <v>NA</v>
      </c>
      <c r="AD1305" s="29" t="str">
        <f t="shared" si="460"/>
        <v>NA</v>
      </c>
      <c r="AE1305" s="29" t="str">
        <f t="shared" si="461"/>
        <v>NA</v>
      </c>
      <c r="AF1305" s="29" t="str">
        <f t="shared" si="462"/>
        <v>NA</v>
      </c>
      <c r="AG1305" s="29" t="str">
        <f t="shared" si="463"/>
        <v>NA</v>
      </c>
      <c r="AH1305" s="29" t="str">
        <f t="shared" si="464"/>
        <v>NA</v>
      </c>
    </row>
    <row r="1306" customHeight="1" spans="1:34">
      <c r="A1306" s="12" t="s">
        <v>1043</v>
      </c>
      <c r="F1306" s="24">
        <f t="shared" si="446"/>
        <v>0</v>
      </c>
      <c r="G1306" s="24" t="e">
        <f t="shared" si="445"/>
        <v>#DIV/0!</v>
      </c>
      <c r="Q1306" s="29" t="str">
        <f t="shared" si="447"/>
        <v>NA</v>
      </c>
      <c r="R1306" s="29" t="str">
        <f t="shared" si="448"/>
        <v>NA</v>
      </c>
      <c r="S1306" s="29" t="str">
        <f t="shared" si="449"/>
        <v>NA</v>
      </c>
      <c r="T1306" s="29" t="str">
        <f t="shared" si="450"/>
        <v>NA</v>
      </c>
      <c r="U1306" s="29" t="str">
        <f t="shared" si="451"/>
        <v>NA</v>
      </c>
      <c r="V1306" s="29" t="str">
        <f t="shared" si="452"/>
        <v>NA</v>
      </c>
      <c r="W1306" s="29" t="str">
        <f t="shared" si="453"/>
        <v>NA</v>
      </c>
      <c r="X1306" s="29" t="str">
        <f t="shared" si="454"/>
        <v>NA</v>
      </c>
      <c r="Y1306" s="29" t="str">
        <f t="shared" si="455"/>
        <v>NA</v>
      </c>
      <c r="Z1306" s="29" t="str">
        <f t="shared" si="456"/>
        <v>NA</v>
      </c>
      <c r="AA1306" s="29" t="str">
        <f t="shared" si="457"/>
        <v>NA</v>
      </c>
      <c r="AB1306" s="29" t="str">
        <f t="shared" si="458"/>
        <v>NA</v>
      </c>
      <c r="AC1306" s="29" t="str">
        <f t="shared" si="459"/>
        <v>NA</v>
      </c>
      <c r="AD1306" s="29" t="str">
        <f t="shared" si="460"/>
        <v>NA</v>
      </c>
      <c r="AE1306" s="29" t="str">
        <f t="shared" si="461"/>
        <v>NA</v>
      </c>
      <c r="AF1306" s="29" t="str">
        <f t="shared" si="462"/>
        <v>NA</v>
      </c>
      <c r="AG1306" s="29" t="str">
        <f t="shared" si="463"/>
        <v>NA</v>
      </c>
      <c r="AH1306" s="29" t="str">
        <f t="shared" si="464"/>
        <v>NA</v>
      </c>
    </row>
    <row r="1307" customHeight="1" spans="1:34">
      <c r="A1307" s="12" t="s">
        <v>1043</v>
      </c>
      <c r="F1307" s="24">
        <f t="shared" si="446"/>
        <v>0</v>
      </c>
      <c r="G1307" s="24" t="e">
        <f t="shared" si="445"/>
        <v>#DIV/0!</v>
      </c>
      <c r="Q1307" s="29" t="str">
        <f t="shared" si="447"/>
        <v>NA</v>
      </c>
      <c r="R1307" s="29" t="str">
        <f t="shared" si="448"/>
        <v>NA</v>
      </c>
      <c r="S1307" s="29" t="str">
        <f t="shared" si="449"/>
        <v>NA</v>
      </c>
      <c r="T1307" s="29" t="str">
        <f t="shared" si="450"/>
        <v>NA</v>
      </c>
      <c r="U1307" s="29" t="str">
        <f t="shared" si="451"/>
        <v>NA</v>
      </c>
      <c r="V1307" s="29" t="str">
        <f t="shared" si="452"/>
        <v>NA</v>
      </c>
      <c r="W1307" s="29" t="str">
        <f t="shared" si="453"/>
        <v>NA</v>
      </c>
      <c r="X1307" s="29" t="str">
        <f t="shared" si="454"/>
        <v>NA</v>
      </c>
      <c r="Y1307" s="29" t="str">
        <f t="shared" si="455"/>
        <v>NA</v>
      </c>
      <c r="Z1307" s="29" t="str">
        <f t="shared" si="456"/>
        <v>NA</v>
      </c>
      <c r="AA1307" s="29" t="str">
        <f t="shared" si="457"/>
        <v>NA</v>
      </c>
      <c r="AB1307" s="29" t="str">
        <f t="shared" si="458"/>
        <v>NA</v>
      </c>
      <c r="AC1307" s="29" t="str">
        <f t="shared" si="459"/>
        <v>NA</v>
      </c>
      <c r="AD1307" s="29" t="str">
        <f t="shared" si="460"/>
        <v>NA</v>
      </c>
      <c r="AE1307" s="29" t="str">
        <f t="shared" si="461"/>
        <v>NA</v>
      </c>
      <c r="AF1307" s="29" t="str">
        <f t="shared" si="462"/>
        <v>NA</v>
      </c>
      <c r="AG1307" s="29" t="str">
        <f t="shared" si="463"/>
        <v>NA</v>
      </c>
      <c r="AH1307" s="29" t="str">
        <f t="shared" si="464"/>
        <v>NA</v>
      </c>
    </row>
    <row r="1308" customHeight="1" spans="1:34">
      <c r="A1308" s="12" t="s">
        <v>1043</v>
      </c>
      <c r="F1308" s="24">
        <f t="shared" si="446"/>
        <v>0</v>
      </c>
      <c r="G1308" s="24" t="e">
        <f t="shared" si="445"/>
        <v>#DIV/0!</v>
      </c>
      <c r="Q1308" s="29" t="str">
        <f t="shared" si="447"/>
        <v>NA</v>
      </c>
      <c r="R1308" s="29" t="str">
        <f t="shared" si="448"/>
        <v>NA</v>
      </c>
      <c r="S1308" s="29" t="str">
        <f t="shared" si="449"/>
        <v>NA</v>
      </c>
      <c r="T1308" s="29" t="str">
        <f t="shared" si="450"/>
        <v>NA</v>
      </c>
      <c r="U1308" s="29" t="str">
        <f t="shared" si="451"/>
        <v>NA</v>
      </c>
      <c r="V1308" s="29" t="str">
        <f t="shared" si="452"/>
        <v>NA</v>
      </c>
      <c r="W1308" s="29" t="str">
        <f t="shared" si="453"/>
        <v>NA</v>
      </c>
      <c r="X1308" s="29" t="str">
        <f t="shared" si="454"/>
        <v>NA</v>
      </c>
      <c r="Y1308" s="29" t="str">
        <f t="shared" si="455"/>
        <v>NA</v>
      </c>
      <c r="Z1308" s="29" t="str">
        <f t="shared" si="456"/>
        <v>NA</v>
      </c>
      <c r="AA1308" s="29" t="str">
        <f t="shared" si="457"/>
        <v>NA</v>
      </c>
      <c r="AB1308" s="29" t="str">
        <f t="shared" si="458"/>
        <v>NA</v>
      </c>
      <c r="AC1308" s="29" t="str">
        <f t="shared" si="459"/>
        <v>NA</v>
      </c>
      <c r="AD1308" s="29" t="str">
        <f t="shared" si="460"/>
        <v>NA</v>
      </c>
      <c r="AE1308" s="29" t="str">
        <f t="shared" si="461"/>
        <v>NA</v>
      </c>
      <c r="AF1308" s="29" t="str">
        <f t="shared" si="462"/>
        <v>NA</v>
      </c>
      <c r="AG1308" s="29" t="str">
        <f t="shared" si="463"/>
        <v>NA</v>
      </c>
      <c r="AH1308" s="29" t="str">
        <f t="shared" si="464"/>
        <v>NA</v>
      </c>
    </row>
    <row r="1309" customHeight="1" spans="1:34">
      <c r="A1309" s="12" t="s">
        <v>1043</v>
      </c>
      <c r="F1309" s="24">
        <f t="shared" si="446"/>
        <v>0</v>
      </c>
      <c r="G1309" s="24" t="e">
        <f t="shared" si="445"/>
        <v>#DIV/0!</v>
      </c>
      <c r="Q1309" s="29" t="str">
        <f t="shared" si="447"/>
        <v>NA</v>
      </c>
      <c r="R1309" s="29" t="str">
        <f t="shared" si="448"/>
        <v>NA</v>
      </c>
      <c r="S1309" s="29" t="str">
        <f t="shared" si="449"/>
        <v>NA</v>
      </c>
      <c r="T1309" s="29" t="str">
        <f t="shared" si="450"/>
        <v>NA</v>
      </c>
      <c r="U1309" s="29" t="str">
        <f t="shared" si="451"/>
        <v>NA</v>
      </c>
      <c r="V1309" s="29" t="str">
        <f t="shared" si="452"/>
        <v>NA</v>
      </c>
      <c r="W1309" s="29" t="str">
        <f t="shared" si="453"/>
        <v>NA</v>
      </c>
      <c r="X1309" s="29" t="str">
        <f t="shared" si="454"/>
        <v>NA</v>
      </c>
      <c r="Y1309" s="29" t="str">
        <f t="shared" si="455"/>
        <v>NA</v>
      </c>
      <c r="Z1309" s="29" t="str">
        <f t="shared" si="456"/>
        <v>NA</v>
      </c>
      <c r="AA1309" s="29" t="str">
        <f t="shared" si="457"/>
        <v>NA</v>
      </c>
      <c r="AB1309" s="29" t="str">
        <f t="shared" si="458"/>
        <v>NA</v>
      </c>
      <c r="AC1309" s="29" t="str">
        <f t="shared" si="459"/>
        <v>NA</v>
      </c>
      <c r="AD1309" s="29" t="str">
        <f t="shared" si="460"/>
        <v>NA</v>
      </c>
      <c r="AE1309" s="29" t="str">
        <f t="shared" si="461"/>
        <v>NA</v>
      </c>
      <c r="AF1309" s="29" t="str">
        <f t="shared" si="462"/>
        <v>NA</v>
      </c>
      <c r="AG1309" s="29" t="str">
        <f t="shared" si="463"/>
        <v>NA</v>
      </c>
      <c r="AH1309" s="29" t="str">
        <f t="shared" si="464"/>
        <v>NA</v>
      </c>
    </row>
    <row r="1310" customHeight="1" spans="1:34">
      <c r="A1310" s="12" t="s">
        <v>1043</v>
      </c>
      <c r="F1310" s="24">
        <f t="shared" si="446"/>
        <v>0</v>
      </c>
      <c r="G1310" s="24" t="e">
        <f t="shared" si="445"/>
        <v>#DIV/0!</v>
      </c>
      <c r="Q1310" s="29" t="str">
        <f t="shared" si="447"/>
        <v>NA</v>
      </c>
      <c r="R1310" s="29" t="str">
        <f t="shared" si="448"/>
        <v>NA</v>
      </c>
      <c r="S1310" s="29" t="str">
        <f t="shared" si="449"/>
        <v>NA</v>
      </c>
      <c r="T1310" s="29" t="str">
        <f t="shared" si="450"/>
        <v>NA</v>
      </c>
      <c r="U1310" s="29" t="str">
        <f t="shared" si="451"/>
        <v>NA</v>
      </c>
      <c r="V1310" s="29" t="str">
        <f t="shared" si="452"/>
        <v>NA</v>
      </c>
      <c r="W1310" s="29" t="str">
        <f t="shared" si="453"/>
        <v>NA</v>
      </c>
      <c r="X1310" s="29" t="str">
        <f t="shared" si="454"/>
        <v>NA</v>
      </c>
      <c r="Y1310" s="29" t="str">
        <f t="shared" si="455"/>
        <v>NA</v>
      </c>
      <c r="Z1310" s="29" t="str">
        <f t="shared" si="456"/>
        <v>NA</v>
      </c>
      <c r="AA1310" s="29" t="str">
        <f t="shared" si="457"/>
        <v>NA</v>
      </c>
      <c r="AB1310" s="29" t="str">
        <f t="shared" si="458"/>
        <v>NA</v>
      </c>
      <c r="AC1310" s="29" t="str">
        <f t="shared" si="459"/>
        <v>NA</v>
      </c>
      <c r="AD1310" s="29" t="str">
        <f t="shared" si="460"/>
        <v>NA</v>
      </c>
      <c r="AE1310" s="29" t="str">
        <f t="shared" si="461"/>
        <v>NA</v>
      </c>
      <c r="AF1310" s="29" t="str">
        <f t="shared" si="462"/>
        <v>NA</v>
      </c>
      <c r="AG1310" s="29" t="str">
        <f t="shared" si="463"/>
        <v>NA</v>
      </c>
      <c r="AH1310" s="29" t="str">
        <f t="shared" si="464"/>
        <v>NA</v>
      </c>
    </row>
    <row r="1311" customHeight="1" spans="1:34">
      <c r="A1311" s="12" t="s">
        <v>1043</v>
      </c>
      <c r="F1311" s="24">
        <f t="shared" si="446"/>
        <v>0</v>
      </c>
      <c r="G1311" s="24" t="e">
        <f t="shared" si="445"/>
        <v>#DIV/0!</v>
      </c>
      <c r="Q1311" s="29" t="str">
        <f t="shared" si="447"/>
        <v>NA</v>
      </c>
      <c r="R1311" s="29" t="str">
        <f t="shared" si="448"/>
        <v>NA</v>
      </c>
      <c r="S1311" s="29" t="str">
        <f t="shared" si="449"/>
        <v>NA</v>
      </c>
      <c r="T1311" s="29" t="str">
        <f t="shared" si="450"/>
        <v>NA</v>
      </c>
      <c r="U1311" s="29" t="str">
        <f t="shared" si="451"/>
        <v>NA</v>
      </c>
      <c r="V1311" s="29" t="str">
        <f t="shared" si="452"/>
        <v>NA</v>
      </c>
      <c r="W1311" s="29" t="str">
        <f t="shared" si="453"/>
        <v>NA</v>
      </c>
      <c r="X1311" s="29" t="str">
        <f t="shared" si="454"/>
        <v>NA</v>
      </c>
      <c r="Y1311" s="29" t="str">
        <f t="shared" si="455"/>
        <v>NA</v>
      </c>
      <c r="Z1311" s="29" t="str">
        <f t="shared" si="456"/>
        <v>NA</v>
      </c>
      <c r="AA1311" s="29" t="str">
        <f t="shared" si="457"/>
        <v>NA</v>
      </c>
      <c r="AB1311" s="29" t="str">
        <f t="shared" si="458"/>
        <v>NA</v>
      </c>
      <c r="AC1311" s="29" t="str">
        <f t="shared" si="459"/>
        <v>NA</v>
      </c>
      <c r="AD1311" s="29" t="str">
        <f t="shared" si="460"/>
        <v>NA</v>
      </c>
      <c r="AE1311" s="29" t="str">
        <f t="shared" si="461"/>
        <v>NA</v>
      </c>
      <c r="AF1311" s="29" t="str">
        <f t="shared" si="462"/>
        <v>NA</v>
      </c>
      <c r="AG1311" s="29" t="str">
        <f t="shared" si="463"/>
        <v>NA</v>
      </c>
      <c r="AH1311" s="29" t="str">
        <f t="shared" si="464"/>
        <v>NA</v>
      </c>
    </row>
    <row r="1312" customHeight="1" spans="1:34">
      <c r="A1312" s="12" t="s">
        <v>1043</v>
      </c>
      <c r="F1312" s="24">
        <f t="shared" si="446"/>
        <v>0</v>
      </c>
      <c r="G1312" s="24" t="e">
        <f t="shared" si="445"/>
        <v>#DIV/0!</v>
      </c>
      <c r="Q1312" s="29" t="str">
        <f t="shared" si="447"/>
        <v>NA</v>
      </c>
      <c r="R1312" s="29" t="str">
        <f t="shared" si="448"/>
        <v>NA</v>
      </c>
      <c r="S1312" s="29" t="str">
        <f t="shared" si="449"/>
        <v>NA</v>
      </c>
      <c r="T1312" s="29" t="str">
        <f t="shared" si="450"/>
        <v>NA</v>
      </c>
      <c r="U1312" s="29" t="str">
        <f t="shared" si="451"/>
        <v>NA</v>
      </c>
      <c r="V1312" s="29" t="str">
        <f t="shared" si="452"/>
        <v>NA</v>
      </c>
      <c r="W1312" s="29" t="str">
        <f t="shared" si="453"/>
        <v>NA</v>
      </c>
      <c r="X1312" s="29" t="str">
        <f t="shared" si="454"/>
        <v>NA</v>
      </c>
      <c r="Y1312" s="29" t="str">
        <f t="shared" si="455"/>
        <v>NA</v>
      </c>
      <c r="Z1312" s="29" t="str">
        <f t="shared" si="456"/>
        <v>NA</v>
      </c>
      <c r="AA1312" s="29" t="str">
        <f t="shared" si="457"/>
        <v>NA</v>
      </c>
      <c r="AB1312" s="29" t="str">
        <f t="shared" si="458"/>
        <v>NA</v>
      </c>
      <c r="AC1312" s="29" t="str">
        <f t="shared" si="459"/>
        <v>NA</v>
      </c>
      <c r="AD1312" s="29" t="str">
        <f t="shared" si="460"/>
        <v>NA</v>
      </c>
      <c r="AE1312" s="29" t="str">
        <f t="shared" si="461"/>
        <v>NA</v>
      </c>
      <c r="AF1312" s="29" t="str">
        <f t="shared" si="462"/>
        <v>NA</v>
      </c>
      <c r="AG1312" s="29" t="str">
        <f t="shared" si="463"/>
        <v>NA</v>
      </c>
      <c r="AH1312" s="29" t="str">
        <f t="shared" si="464"/>
        <v>NA</v>
      </c>
    </row>
    <row r="1313" customHeight="1" spans="1:34">
      <c r="A1313" s="12" t="s">
        <v>1043</v>
      </c>
      <c r="F1313" s="24">
        <f t="shared" si="446"/>
        <v>0</v>
      </c>
      <c r="G1313" s="24" t="e">
        <f t="shared" si="445"/>
        <v>#DIV/0!</v>
      </c>
      <c r="Q1313" s="29" t="str">
        <f t="shared" si="447"/>
        <v>NA</v>
      </c>
      <c r="R1313" s="29" t="str">
        <f t="shared" si="448"/>
        <v>NA</v>
      </c>
      <c r="S1313" s="29" t="str">
        <f t="shared" si="449"/>
        <v>NA</v>
      </c>
      <c r="T1313" s="29" t="str">
        <f t="shared" si="450"/>
        <v>NA</v>
      </c>
      <c r="U1313" s="29" t="str">
        <f t="shared" si="451"/>
        <v>NA</v>
      </c>
      <c r="V1313" s="29" t="str">
        <f t="shared" si="452"/>
        <v>NA</v>
      </c>
      <c r="W1313" s="29" t="str">
        <f t="shared" si="453"/>
        <v>NA</v>
      </c>
      <c r="X1313" s="29" t="str">
        <f t="shared" si="454"/>
        <v>NA</v>
      </c>
      <c r="Y1313" s="29" t="str">
        <f t="shared" si="455"/>
        <v>NA</v>
      </c>
      <c r="Z1313" s="29" t="str">
        <f t="shared" si="456"/>
        <v>NA</v>
      </c>
      <c r="AA1313" s="29" t="str">
        <f t="shared" si="457"/>
        <v>NA</v>
      </c>
      <c r="AB1313" s="29" t="str">
        <f t="shared" si="458"/>
        <v>NA</v>
      </c>
      <c r="AC1313" s="29" t="str">
        <f t="shared" si="459"/>
        <v>NA</v>
      </c>
      <c r="AD1313" s="29" t="str">
        <f t="shared" si="460"/>
        <v>NA</v>
      </c>
      <c r="AE1313" s="29" t="str">
        <f t="shared" si="461"/>
        <v>NA</v>
      </c>
      <c r="AF1313" s="29" t="str">
        <f t="shared" si="462"/>
        <v>NA</v>
      </c>
      <c r="AG1313" s="29" t="str">
        <f t="shared" si="463"/>
        <v>NA</v>
      </c>
      <c r="AH1313" s="29" t="str">
        <f t="shared" si="464"/>
        <v>NA</v>
      </c>
    </row>
    <row r="1314" customHeight="1" spans="1:34">
      <c r="A1314" s="12" t="s">
        <v>1043</v>
      </c>
      <c r="F1314" s="24">
        <f t="shared" si="446"/>
        <v>0</v>
      </c>
      <c r="G1314" s="24" t="e">
        <f t="shared" si="445"/>
        <v>#DIV/0!</v>
      </c>
      <c r="Q1314" s="29" t="str">
        <f t="shared" si="447"/>
        <v>NA</v>
      </c>
      <c r="R1314" s="29" t="str">
        <f t="shared" si="448"/>
        <v>NA</v>
      </c>
      <c r="S1314" s="29" t="str">
        <f t="shared" si="449"/>
        <v>NA</v>
      </c>
      <c r="T1314" s="29" t="str">
        <f t="shared" si="450"/>
        <v>NA</v>
      </c>
      <c r="U1314" s="29" t="str">
        <f t="shared" si="451"/>
        <v>NA</v>
      </c>
      <c r="V1314" s="29" t="str">
        <f t="shared" si="452"/>
        <v>NA</v>
      </c>
      <c r="W1314" s="29" t="str">
        <f t="shared" si="453"/>
        <v>NA</v>
      </c>
      <c r="X1314" s="29" t="str">
        <f t="shared" si="454"/>
        <v>NA</v>
      </c>
      <c r="Y1314" s="29" t="str">
        <f t="shared" si="455"/>
        <v>NA</v>
      </c>
      <c r="Z1314" s="29" t="str">
        <f t="shared" si="456"/>
        <v>NA</v>
      </c>
      <c r="AA1314" s="29" t="str">
        <f t="shared" si="457"/>
        <v>NA</v>
      </c>
      <c r="AB1314" s="29" t="str">
        <f t="shared" si="458"/>
        <v>NA</v>
      </c>
      <c r="AC1314" s="29" t="str">
        <f t="shared" si="459"/>
        <v>NA</v>
      </c>
      <c r="AD1314" s="29" t="str">
        <f t="shared" si="460"/>
        <v>NA</v>
      </c>
      <c r="AE1314" s="29" t="str">
        <f t="shared" si="461"/>
        <v>NA</v>
      </c>
      <c r="AF1314" s="29" t="str">
        <f t="shared" si="462"/>
        <v>NA</v>
      </c>
      <c r="AG1314" s="29" t="str">
        <f t="shared" si="463"/>
        <v>NA</v>
      </c>
      <c r="AH1314" s="29" t="str">
        <f t="shared" si="464"/>
        <v>NA</v>
      </c>
    </row>
    <row r="1315" customHeight="1" spans="1:34">
      <c r="A1315" s="12" t="s">
        <v>1043</v>
      </c>
      <c r="F1315" s="24">
        <f t="shared" si="446"/>
        <v>0</v>
      </c>
      <c r="G1315" s="24" t="e">
        <f t="shared" si="445"/>
        <v>#DIV/0!</v>
      </c>
      <c r="Q1315" s="29" t="str">
        <f t="shared" si="447"/>
        <v>NA</v>
      </c>
      <c r="R1315" s="29" t="str">
        <f t="shared" si="448"/>
        <v>NA</v>
      </c>
      <c r="S1315" s="29" t="str">
        <f t="shared" si="449"/>
        <v>NA</v>
      </c>
      <c r="T1315" s="29" t="str">
        <f t="shared" si="450"/>
        <v>NA</v>
      </c>
      <c r="U1315" s="29" t="str">
        <f t="shared" si="451"/>
        <v>NA</v>
      </c>
      <c r="V1315" s="29" t="str">
        <f t="shared" si="452"/>
        <v>NA</v>
      </c>
      <c r="W1315" s="29" t="str">
        <f t="shared" si="453"/>
        <v>NA</v>
      </c>
      <c r="X1315" s="29" t="str">
        <f t="shared" si="454"/>
        <v>NA</v>
      </c>
      <c r="Y1315" s="29" t="str">
        <f t="shared" si="455"/>
        <v>NA</v>
      </c>
      <c r="Z1315" s="29" t="str">
        <f t="shared" si="456"/>
        <v>NA</v>
      </c>
      <c r="AA1315" s="29" t="str">
        <f t="shared" si="457"/>
        <v>NA</v>
      </c>
      <c r="AB1315" s="29" t="str">
        <f t="shared" si="458"/>
        <v>NA</v>
      </c>
      <c r="AC1315" s="29" t="str">
        <f t="shared" si="459"/>
        <v>NA</v>
      </c>
      <c r="AD1315" s="29" t="str">
        <f t="shared" si="460"/>
        <v>NA</v>
      </c>
      <c r="AE1315" s="29" t="str">
        <f t="shared" si="461"/>
        <v>NA</v>
      </c>
      <c r="AF1315" s="29" t="str">
        <f t="shared" si="462"/>
        <v>NA</v>
      </c>
      <c r="AG1315" s="29" t="str">
        <f t="shared" si="463"/>
        <v>NA</v>
      </c>
      <c r="AH1315" s="29" t="str">
        <f t="shared" si="464"/>
        <v>NA</v>
      </c>
    </row>
    <row r="1316" customHeight="1" spans="1:34">
      <c r="A1316" s="12" t="s">
        <v>1043</v>
      </c>
      <c r="F1316" s="24">
        <f t="shared" si="446"/>
        <v>0</v>
      </c>
      <c r="G1316" s="24" t="e">
        <f t="shared" si="445"/>
        <v>#DIV/0!</v>
      </c>
      <c r="Q1316" s="29" t="str">
        <f t="shared" si="447"/>
        <v>NA</v>
      </c>
      <c r="R1316" s="29" t="str">
        <f t="shared" si="448"/>
        <v>NA</v>
      </c>
      <c r="S1316" s="29" t="str">
        <f t="shared" si="449"/>
        <v>NA</v>
      </c>
      <c r="T1316" s="29" t="str">
        <f t="shared" si="450"/>
        <v>NA</v>
      </c>
      <c r="U1316" s="29" t="str">
        <f t="shared" si="451"/>
        <v>NA</v>
      </c>
      <c r="V1316" s="29" t="str">
        <f t="shared" si="452"/>
        <v>NA</v>
      </c>
      <c r="W1316" s="29" t="str">
        <f t="shared" si="453"/>
        <v>NA</v>
      </c>
      <c r="X1316" s="29" t="str">
        <f t="shared" si="454"/>
        <v>NA</v>
      </c>
      <c r="Y1316" s="29" t="str">
        <f t="shared" si="455"/>
        <v>NA</v>
      </c>
      <c r="Z1316" s="29" t="str">
        <f t="shared" si="456"/>
        <v>NA</v>
      </c>
      <c r="AA1316" s="29" t="str">
        <f t="shared" si="457"/>
        <v>NA</v>
      </c>
      <c r="AB1316" s="29" t="str">
        <f t="shared" si="458"/>
        <v>NA</v>
      </c>
      <c r="AC1316" s="29" t="str">
        <f t="shared" si="459"/>
        <v>NA</v>
      </c>
      <c r="AD1316" s="29" t="str">
        <f t="shared" si="460"/>
        <v>NA</v>
      </c>
      <c r="AE1316" s="29" t="str">
        <f t="shared" si="461"/>
        <v>NA</v>
      </c>
      <c r="AF1316" s="29" t="str">
        <f t="shared" si="462"/>
        <v>NA</v>
      </c>
      <c r="AG1316" s="29" t="str">
        <f t="shared" si="463"/>
        <v>NA</v>
      </c>
      <c r="AH1316" s="29" t="str">
        <f t="shared" si="464"/>
        <v>NA</v>
      </c>
    </row>
    <row r="1317" customHeight="1" spans="1:34">
      <c r="A1317" s="12" t="s">
        <v>1043</v>
      </c>
      <c r="F1317" s="24">
        <f t="shared" si="446"/>
        <v>0</v>
      </c>
      <c r="G1317" s="24" t="e">
        <f t="shared" si="445"/>
        <v>#DIV/0!</v>
      </c>
      <c r="Q1317" s="29" t="str">
        <f t="shared" si="447"/>
        <v>NA</v>
      </c>
      <c r="R1317" s="29" t="str">
        <f t="shared" si="448"/>
        <v>NA</v>
      </c>
      <c r="S1317" s="29" t="str">
        <f t="shared" si="449"/>
        <v>NA</v>
      </c>
      <c r="T1317" s="29" t="str">
        <f t="shared" si="450"/>
        <v>NA</v>
      </c>
      <c r="U1317" s="29" t="str">
        <f t="shared" si="451"/>
        <v>NA</v>
      </c>
      <c r="V1317" s="29" t="str">
        <f t="shared" si="452"/>
        <v>NA</v>
      </c>
      <c r="W1317" s="29" t="str">
        <f t="shared" si="453"/>
        <v>NA</v>
      </c>
      <c r="X1317" s="29" t="str">
        <f t="shared" si="454"/>
        <v>NA</v>
      </c>
      <c r="Y1317" s="29" t="str">
        <f t="shared" si="455"/>
        <v>NA</v>
      </c>
      <c r="Z1317" s="29" t="str">
        <f t="shared" si="456"/>
        <v>NA</v>
      </c>
      <c r="AA1317" s="29" t="str">
        <f t="shared" si="457"/>
        <v>NA</v>
      </c>
      <c r="AB1317" s="29" t="str">
        <f t="shared" si="458"/>
        <v>NA</v>
      </c>
      <c r="AC1317" s="29" t="str">
        <f t="shared" si="459"/>
        <v>NA</v>
      </c>
      <c r="AD1317" s="29" t="str">
        <f t="shared" si="460"/>
        <v>NA</v>
      </c>
      <c r="AE1317" s="29" t="str">
        <f t="shared" si="461"/>
        <v>NA</v>
      </c>
      <c r="AF1317" s="29" t="str">
        <f t="shared" si="462"/>
        <v>NA</v>
      </c>
      <c r="AG1317" s="29" t="str">
        <f t="shared" si="463"/>
        <v>NA</v>
      </c>
      <c r="AH1317" s="29" t="str">
        <f t="shared" si="464"/>
        <v>NA</v>
      </c>
    </row>
    <row r="1318" customHeight="1" spans="1:34">
      <c r="A1318" s="12" t="s">
        <v>1043</v>
      </c>
      <c r="F1318" s="24">
        <f t="shared" si="446"/>
        <v>0</v>
      </c>
      <c r="G1318" s="24" t="e">
        <f t="shared" si="445"/>
        <v>#DIV/0!</v>
      </c>
      <c r="Q1318" s="29" t="str">
        <f t="shared" si="447"/>
        <v>NA</v>
      </c>
      <c r="R1318" s="29" t="str">
        <f t="shared" si="448"/>
        <v>NA</v>
      </c>
      <c r="S1318" s="29" t="str">
        <f t="shared" si="449"/>
        <v>NA</v>
      </c>
      <c r="T1318" s="29" t="str">
        <f t="shared" si="450"/>
        <v>NA</v>
      </c>
      <c r="U1318" s="29" t="str">
        <f t="shared" si="451"/>
        <v>NA</v>
      </c>
      <c r="V1318" s="29" t="str">
        <f t="shared" si="452"/>
        <v>NA</v>
      </c>
      <c r="W1318" s="29" t="str">
        <f t="shared" si="453"/>
        <v>NA</v>
      </c>
      <c r="X1318" s="29" t="str">
        <f t="shared" si="454"/>
        <v>NA</v>
      </c>
      <c r="Y1318" s="29" t="str">
        <f t="shared" si="455"/>
        <v>NA</v>
      </c>
      <c r="Z1318" s="29" t="str">
        <f t="shared" si="456"/>
        <v>NA</v>
      </c>
      <c r="AA1318" s="29" t="str">
        <f t="shared" si="457"/>
        <v>NA</v>
      </c>
      <c r="AB1318" s="29" t="str">
        <f t="shared" si="458"/>
        <v>NA</v>
      </c>
      <c r="AC1318" s="29" t="str">
        <f t="shared" si="459"/>
        <v>NA</v>
      </c>
      <c r="AD1318" s="29" t="str">
        <f t="shared" si="460"/>
        <v>NA</v>
      </c>
      <c r="AE1318" s="29" t="str">
        <f t="shared" si="461"/>
        <v>NA</v>
      </c>
      <c r="AF1318" s="29" t="str">
        <f t="shared" si="462"/>
        <v>NA</v>
      </c>
      <c r="AG1318" s="29" t="str">
        <f t="shared" si="463"/>
        <v>NA</v>
      </c>
      <c r="AH1318" s="29" t="str">
        <f t="shared" si="464"/>
        <v>NA</v>
      </c>
    </row>
    <row r="1319" customHeight="1" spans="1:34">
      <c r="A1319" s="12" t="s">
        <v>1043</v>
      </c>
      <c r="F1319" s="24">
        <f t="shared" si="446"/>
        <v>0</v>
      </c>
      <c r="G1319" s="24" t="e">
        <f t="shared" si="445"/>
        <v>#DIV/0!</v>
      </c>
      <c r="Q1319" s="29" t="str">
        <f t="shared" si="447"/>
        <v>NA</v>
      </c>
      <c r="R1319" s="29" t="str">
        <f t="shared" si="448"/>
        <v>NA</v>
      </c>
      <c r="S1319" s="29" t="str">
        <f t="shared" si="449"/>
        <v>NA</v>
      </c>
      <c r="T1319" s="29" t="str">
        <f t="shared" si="450"/>
        <v>NA</v>
      </c>
      <c r="U1319" s="29" t="str">
        <f t="shared" si="451"/>
        <v>NA</v>
      </c>
      <c r="V1319" s="29" t="str">
        <f t="shared" si="452"/>
        <v>NA</v>
      </c>
      <c r="W1319" s="29" t="str">
        <f t="shared" si="453"/>
        <v>NA</v>
      </c>
      <c r="X1319" s="29" t="str">
        <f t="shared" si="454"/>
        <v>NA</v>
      </c>
      <c r="Y1319" s="29" t="str">
        <f t="shared" si="455"/>
        <v>NA</v>
      </c>
      <c r="Z1319" s="29" t="str">
        <f t="shared" si="456"/>
        <v>NA</v>
      </c>
      <c r="AA1319" s="29" t="str">
        <f t="shared" si="457"/>
        <v>NA</v>
      </c>
      <c r="AB1319" s="29" t="str">
        <f t="shared" si="458"/>
        <v>NA</v>
      </c>
      <c r="AC1319" s="29" t="str">
        <f t="shared" si="459"/>
        <v>NA</v>
      </c>
      <c r="AD1319" s="29" t="str">
        <f t="shared" si="460"/>
        <v>NA</v>
      </c>
      <c r="AE1319" s="29" t="str">
        <f t="shared" si="461"/>
        <v>NA</v>
      </c>
      <c r="AF1319" s="29" t="str">
        <f t="shared" si="462"/>
        <v>NA</v>
      </c>
      <c r="AG1319" s="29" t="str">
        <f t="shared" si="463"/>
        <v>NA</v>
      </c>
      <c r="AH1319" s="29" t="str">
        <f t="shared" si="464"/>
        <v>NA</v>
      </c>
    </row>
    <row r="1320" customHeight="1" spans="1:34">
      <c r="A1320" s="12" t="s">
        <v>1043</v>
      </c>
      <c r="F1320" s="24">
        <f t="shared" si="446"/>
        <v>0</v>
      </c>
      <c r="G1320" s="24" t="e">
        <f t="shared" si="445"/>
        <v>#DIV/0!</v>
      </c>
      <c r="Q1320" s="29" t="str">
        <f t="shared" si="447"/>
        <v>NA</v>
      </c>
      <c r="R1320" s="29" t="str">
        <f t="shared" si="448"/>
        <v>NA</v>
      </c>
      <c r="S1320" s="29" t="str">
        <f t="shared" si="449"/>
        <v>NA</v>
      </c>
      <c r="T1320" s="29" t="str">
        <f t="shared" si="450"/>
        <v>NA</v>
      </c>
      <c r="U1320" s="29" t="str">
        <f t="shared" si="451"/>
        <v>NA</v>
      </c>
      <c r="V1320" s="29" t="str">
        <f t="shared" si="452"/>
        <v>NA</v>
      </c>
      <c r="W1320" s="29" t="str">
        <f t="shared" si="453"/>
        <v>NA</v>
      </c>
      <c r="X1320" s="29" t="str">
        <f t="shared" si="454"/>
        <v>NA</v>
      </c>
      <c r="Y1320" s="29" t="str">
        <f t="shared" si="455"/>
        <v>NA</v>
      </c>
      <c r="Z1320" s="29" t="str">
        <f t="shared" si="456"/>
        <v>NA</v>
      </c>
      <c r="AA1320" s="29" t="str">
        <f t="shared" si="457"/>
        <v>NA</v>
      </c>
      <c r="AB1320" s="29" t="str">
        <f t="shared" si="458"/>
        <v>NA</v>
      </c>
      <c r="AC1320" s="29" t="str">
        <f t="shared" si="459"/>
        <v>NA</v>
      </c>
      <c r="AD1320" s="29" t="str">
        <f t="shared" si="460"/>
        <v>NA</v>
      </c>
      <c r="AE1320" s="29" t="str">
        <f t="shared" si="461"/>
        <v>NA</v>
      </c>
      <c r="AF1320" s="29" t="str">
        <f t="shared" si="462"/>
        <v>NA</v>
      </c>
      <c r="AG1320" s="29" t="str">
        <f t="shared" si="463"/>
        <v>NA</v>
      </c>
      <c r="AH1320" s="29" t="str">
        <f t="shared" si="464"/>
        <v>NA</v>
      </c>
    </row>
    <row r="1321" customHeight="1" spans="1:34">
      <c r="A1321" s="12" t="s">
        <v>1043</v>
      </c>
      <c r="F1321" s="24">
        <f t="shared" si="446"/>
        <v>0</v>
      </c>
      <c r="G1321" s="24" t="e">
        <f t="shared" si="445"/>
        <v>#DIV/0!</v>
      </c>
      <c r="Q1321" s="29" t="str">
        <f t="shared" si="447"/>
        <v>NA</v>
      </c>
      <c r="R1321" s="29" t="str">
        <f t="shared" si="448"/>
        <v>NA</v>
      </c>
      <c r="S1321" s="29" t="str">
        <f t="shared" si="449"/>
        <v>NA</v>
      </c>
      <c r="T1321" s="29" t="str">
        <f t="shared" si="450"/>
        <v>NA</v>
      </c>
      <c r="U1321" s="29" t="str">
        <f t="shared" si="451"/>
        <v>NA</v>
      </c>
      <c r="V1321" s="29" t="str">
        <f t="shared" si="452"/>
        <v>NA</v>
      </c>
      <c r="W1321" s="29" t="str">
        <f t="shared" si="453"/>
        <v>NA</v>
      </c>
      <c r="X1321" s="29" t="str">
        <f t="shared" si="454"/>
        <v>NA</v>
      </c>
      <c r="Y1321" s="29" t="str">
        <f t="shared" si="455"/>
        <v>NA</v>
      </c>
      <c r="Z1321" s="29" t="str">
        <f t="shared" si="456"/>
        <v>NA</v>
      </c>
      <c r="AA1321" s="29" t="str">
        <f t="shared" si="457"/>
        <v>NA</v>
      </c>
      <c r="AB1321" s="29" t="str">
        <f t="shared" si="458"/>
        <v>NA</v>
      </c>
      <c r="AC1321" s="29" t="str">
        <f t="shared" si="459"/>
        <v>NA</v>
      </c>
      <c r="AD1321" s="29" t="str">
        <f t="shared" si="460"/>
        <v>NA</v>
      </c>
      <c r="AE1321" s="29" t="str">
        <f t="shared" si="461"/>
        <v>NA</v>
      </c>
      <c r="AF1321" s="29" t="str">
        <f t="shared" si="462"/>
        <v>NA</v>
      </c>
      <c r="AG1321" s="29" t="str">
        <f t="shared" si="463"/>
        <v>NA</v>
      </c>
      <c r="AH1321" s="29" t="str">
        <f t="shared" si="464"/>
        <v>NA</v>
      </c>
    </row>
    <row r="1322" customHeight="1" spans="1:34">
      <c r="A1322" s="12" t="s">
        <v>1043</v>
      </c>
      <c r="F1322" s="24">
        <f t="shared" si="446"/>
        <v>0</v>
      </c>
      <c r="G1322" s="24" t="e">
        <f t="shared" si="445"/>
        <v>#DIV/0!</v>
      </c>
      <c r="Q1322" s="29" t="str">
        <f t="shared" si="447"/>
        <v>NA</v>
      </c>
      <c r="R1322" s="29" t="str">
        <f t="shared" si="448"/>
        <v>NA</v>
      </c>
      <c r="S1322" s="29" t="str">
        <f t="shared" si="449"/>
        <v>NA</v>
      </c>
      <c r="T1322" s="29" t="str">
        <f t="shared" si="450"/>
        <v>NA</v>
      </c>
      <c r="U1322" s="29" t="str">
        <f t="shared" si="451"/>
        <v>NA</v>
      </c>
      <c r="V1322" s="29" t="str">
        <f t="shared" si="452"/>
        <v>NA</v>
      </c>
      <c r="W1322" s="29" t="str">
        <f t="shared" si="453"/>
        <v>NA</v>
      </c>
      <c r="X1322" s="29" t="str">
        <f t="shared" si="454"/>
        <v>NA</v>
      </c>
      <c r="Y1322" s="29" t="str">
        <f t="shared" si="455"/>
        <v>NA</v>
      </c>
      <c r="Z1322" s="29" t="str">
        <f t="shared" si="456"/>
        <v>NA</v>
      </c>
      <c r="AA1322" s="29" t="str">
        <f t="shared" si="457"/>
        <v>NA</v>
      </c>
      <c r="AB1322" s="29" t="str">
        <f t="shared" si="458"/>
        <v>NA</v>
      </c>
      <c r="AC1322" s="29" t="str">
        <f t="shared" si="459"/>
        <v>NA</v>
      </c>
      <c r="AD1322" s="29" t="str">
        <f t="shared" si="460"/>
        <v>NA</v>
      </c>
      <c r="AE1322" s="29" t="str">
        <f t="shared" si="461"/>
        <v>NA</v>
      </c>
      <c r="AF1322" s="29" t="str">
        <f t="shared" si="462"/>
        <v>NA</v>
      </c>
      <c r="AG1322" s="29" t="str">
        <f t="shared" si="463"/>
        <v>NA</v>
      </c>
      <c r="AH1322" s="29" t="str">
        <f t="shared" si="464"/>
        <v>NA</v>
      </c>
    </row>
    <row r="1323" customHeight="1" spans="1:34">
      <c r="A1323" s="12" t="s">
        <v>1043</v>
      </c>
      <c r="F1323" s="24">
        <f t="shared" si="446"/>
        <v>0</v>
      </c>
      <c r="G1323" s="24" t="e">
        <f t="shared" si="445"/>
        <v>#DIV/0!</v>
      </c>
      <c r="Q1323" s="29" t="str">
        <f t="shared" si="447"/>
        <v>NA</v>
      </c>
      <c r="R1323" s="29" t="str">
        <f t="shared" si="448"/>
        <v>NA</v>
      </c>
      <c r="S1323" s="29" t="str">
        <f t="shared" si="449"/>
        <v>NA</v>
      </c>
      <c r="T1323" s="29" t="str">
        <f t="shared" si="450"/>
        <v>NA</v>
      </c>
      <c r="U1323" s="29" t="str">
        <f t="shared" si="451"/>
        <v>NA</v>
      </c>
      <c r="V1323" s="29" t="str">
        <f t="shared" si="452"/>
        <v>NA</v>
      </c>
      <c r="W1323" s="29" t="str">
        <f t="shared" si="453"/>
        <v>NA</v>
      </c>
      <c r="X1323" s="29" t="str">
        <f t="shared" si="454"/>
        <v>NA</v>
      </c>
      <c r="Y1323" s="29" t="str">
        <f t="shared" si="455"/>
        <v>NA</v>
      </c>
      <c r="Z1323" s="29" t="str">
        <f t="shared" si="456"/>
        <v>NA</v>
      </c>
      <c r="AA1323" s="29" t="str">
        <f t="shared" si="457"/>
        <v>NA</v>
      </c>
      <c r="AB1323" s="29" t="str">
        <f t="shared" si="458"/>
        <v>NA</v>
      </c>
      <c r="AC1323" s="29" t="str">
        <f t="shared" si="459"/>
        <v>NA</v>
      </c>
      <c r="AD1323" s="29" t="str">
        <f t="shared" si="460"/>
        <v>NA</v>
      </c>
      <c r="AE1323" s="29" t="str">
        <f t="shared" si="461"/>
        <v>NA</v>
      </c>
      <c r="AF1323" s="29" t="str">
        <f t="shared" si="462"/>
        <v>NA</v>
      </c>
      <c r="AG1323" s="29" t="str">
        <f t="shared" si="463"/>
        <v>NA</v>
      </c>
      <c r="AH1323" s="29" t="str">
        <f t="shared" si="464"/>
        <v>NA</v>
      </c>
    </row>
    <row r="1324" customHeight="1" spans="1:34">
      <c r="A1324" s="12" t="s">
        <v>1043</v>
      </c>
      <c r="F1324" s="24">
        <f t="shared" si="446"/>
        <v>0</v>
      </c>
      <c r="G1324" s="24" t="e">
        <f t="shared" si="445"/>
        <v>#DIV/0!</v>
      </c>
      <c r="Q1324" s="29" t="str">
        <f t="shared" si="447"/>
        <v>NA</v>
      </c>
      <c r="R1324" s="29" t="str">
        <f t="shared" si="448"/>
        <v>NA</v>
      </c>
      <c r="S1324" s="29" t="str">
        <f t="shared" si="449"/>
        <v>NA</v>
      </c>
      <c r="T1324" s="29" t="str">
        <f t="shared" si="450"/>
        <v>NA</v>
      </c>
      <c r="U1324" s="29" t="str">
        <f t="shared" si="451"/>
        <v>NA</v>
      </c>
      <c r="V1324" s="29" t="str">
        <f t="shared" si="452"/>
        <v>NA</v>
      </c>
      <c r="W1324" s="29" t="str">
        <f t="shared" si="453"/>
        <v>NA</v>
      </c>
      <c r="X1324" s="29" t="str">
        <f t="shared" si="454"/>
        <v>NA</v>
      </c>
      <c r="Y1324" s="29" t="str">
        <f t="shared" si="455"/>
        <v>NA</v>
      </c>
      <c r="Z1324" s="29" t="str">
        <f t="shared" si="456"/>
        <v>NA</v>
      </c>
      <c r="AA1324" s="29" t="str">
        <f t="shared" si="457"/>
        <v>NA</v>
      </c>
      <c r="AB1324" s="29" t="str">
        <f t="shared" si="458"/>
        <v>NA</v>
      </c>
      <c r="AC1324" s="29" t="str">
        <f t="shared" si="459"/>
        <v>NA</v>
      </c>
      <c r="AD1324" s="29" t="str">
        <f t="shared" si="460"/>
        <v>NA</v>
      </c>
      <c r="AE1324" s="29" t="str">
        <f t="shared" si="461"/>
        <v>NA</v>
      </c>
      <c r="AF1324" s="29" t="str">
        <f t="shared" si="462"/>
        <v>NA</v>
      </c>
      <c r="AG1324" s="29" t="str">
        <f t="shared" si="463"/>
        <v>NA</v>
      </c>
      <c r="AH1324" s="29" t="str">
        <f t="shared" si="464"/>
        <v>NA</v>
      </c>
    </row>
    <row r="1325" customHeight="1" spans="1:34">
      <c r="A1325" s="12" t="s">
        <v>1043</v>
      </c>
      <c r="F1325" s="24">
        <f t="shared" si="446"/>
        <v>0</v>
      </c>
      <c r="G1325" s="24" t="e">
        <f t="shared" si="445"/>
        <v>#DIV/0!</v>
      </c>
      <c r="Q1325" s="29" t="str">
        <f t="shared" si="447"/>
        <v>NA</v>
      </c>
      <c r="R1325" s="29" t="str">
        <f t="shared" si="448"/>
        <v>NA</v>
      </c>
      <c r="S1325" s="29" t="str">
        <f t="shared" si="449"/>
        <v>NA</v>
      </c>
      <c r="T1325" s="29" t="str">
        <f t="shared" si="450"/>
        <v>NA</v>
      </c>
      <c r="U1325" s="29" t="str">
        <f t="shared" si="451"/>
        <v>NA</v>
      </c>
      <c r="V1325" s="29" t="str">
        <f t="shared" si="452"/>
        <v>NA</v>
      </c>
      <c r="W1325" s="29" t="str">
        <f t="shared" si="453"/>
        <v>NA</v>
      </c>
      <c r="X1325" s="29" t="str">
        <f t="shared" si="454"/>
        <v>NA</v>
      </c>
      <c r="Y1325" s="29" t="str">
        <f t="shared" si="455"/>
        <v>NA</v>
      </c>
      <c r="Z1325" s="29" t="str">
        <f t="shared" si="456"/>
        <v>NA</v>
      </c>
      <c r="AA1325" s="29" t="str">
        <f t="shared" si="457"/>
        <v>NA</v>
      </c>
      <c r="AB1325" s="29" t="str">
        <f t="shared" si="458"/>
        <v>NA</v>
      </c>
      <c r="AC1325" s="29" t="str">
        <f t="shared" si="459"/>
        <v>NA</v>
      </c>
      <c r="AD1325" s="29" t="str">
        <f t="shared" si="460"/>
        <v>NA</v>
      </c>
      <c r="AE1325" s="29" t="str">
        <f t="shared" si="461"/>
        <v>NA</v>
      </c>
      <c r="AF1325" s="29" t="str">
        <f t="shared" si="462"/>
        <v>NA</v>
      </c>
      <c r="AG1325" s="29" t="str">
        <f t="shared" si="463"/>
        <v>NA</v>
      </c>
      <c r="AH1325" s="29" t="str">
        <f t="shared" si="464"/>
        <v>NA</v>
      </c>
    </row>
    <row r="1326" customHeight="1" spans="1:34">
      <c r="A1326" s="12" t="s">
        <v>1043</v>
      </c>
      <c r="F1326" s="24">
        <f t="shared" si="446"/>
        <v>0</v>
      </c>
      <c r="G1326" s="24" t="e">
        <f t="shared" si="445"/>
        <v>#DIV/0!</v>
      </c>
      <c r="Q1326" s="29" t="str">
        <f t="shared" si="447"/>
        <v>NA</v>
      </c>
      <c r="R1326" s="29" t="str">
        <f t="shared" si="448"/>
        <v>NA</v>
      </c>
      <c r="S1326" s="29" t="str">
        <f t="shared" si="449"/>
        <v>NA</v>
      </c>
      <c r="T1326" s="29" t="str">
        <f t="shared" si="450"/>
        <v>NA</v>
      </c>
      <c r="U1326" s="29" t="str">
        <f t="shared" si="451"/>
        <v>NA</v>
      </c>
      <c r="V1326" s="29" t="str">
        <f t="shared" si="452"/>
        <v>NA</v>
      </c>
      <c r="W1326" s="29" t="str">
        <f t="shared" si="453"/>
        <v>NA</v>
      </c>
      <c r="X1326" s="29" t="str">
        <f t="shared" si="454"/>
        <v>NA</v>
      </c>
      <c r="Y1326" s="29" t="str">
        <f t="shared" si="455"/>
        <v>NA</v>
      </c>
      <c r="Z1326" s="29" t="str">
        <f t="shared" si="456"/>
        <v>NA</v>
      </c>
      <c r="AA1326" s="29" t="str">
        <f t="shared" si="457"/>
        <v>NA</v>
      </c>
      <c r="AB1326" s="29" t="str">
        <f t="shared" si="458"/>
        <v>NA</v>
      </c>
      <c r="AC1326" s="29" t="str">
        <f t="shared" si="459"/>
        <v>NA</v>
      </c>
      <c r="AD1326" s="29" t="str">
        <f t="shared" si="460"/>
        <v>NA</v>
      </c>
      <c r="AE1326" s="29" t="str">
        <f t="shared" si="461"/>
        <v>NA</v>
      </c>
      <c r="AF1326" s="29" t="str">
        <f t="shared" si="462"/>
        <v>NA</v>
      </c>
      <c r="AG1326" s="29" t="str">
        <f t="shared" si="463"/>
        <v>NA</v>
      </c>
      <c r="AH1326" s="29" t="str">
        <f t="shared" si="464"/>
        <v>NA</v>
      </c>
    </row>
    <row r="1327" customHeight="1" spans="1:34">
      <c r="A1327" s="12" t="s">
        <v>1043</v>
      </c>
      <c r="F1327" s="24">
        <f t="shared" si="446"/>
        <v>0</v>
      </c>
      <c r="G1327" s="24" t="e">
        <f t="shared" si="445"/>
        <v>#DIV/0!</v>
      </c>
      <c r="Q1327" s="29" t="str">
        <f t="shared" si="447"/>
        <v>NA</v>
      </c>
      <c r="R1327" s="29" t="str">
        <f t="shared" si="448"/>
        <v>NA</v>
      </c>
      <c r="S1327" s="29" t="str">
        <f t="shared" si="449"/>
        <v>NA</v>
      </c>
      <c r="T1327" s="29" t="str">
        <f t="shared" si="450"/>
        <v>NA</v>
      </c>
      <c r="U1327" s="29" t="str">
        <f t="shared" si="451"/>
        <v>NA</v>
      </c>
      <c r="V1327" s="29" t="str">
        <f t="shared" si="452"/>
        <v>NA</v>
      </c>
      <c r="W1327" s="29" t="str">
        <f t="shared" si="453"/>
        <v>NA</v>
      </c>
      <c r="X1327" s="29" t="str">
        <f t="shared" si="454"/>
        <v>NA</v>
      </c>
      <c r="Y1327" s="29" t="str">
        <f t="shared" si="455"/>
        <v>NA</v>
      </c>
      <c r="Z1327" s="29" t="str">
        <f t="shared" si="456"/>
        <v>NA</v>
      </c>
      <c r="AA1327" s="29" t="str">
        <f t="shared" si="457"/>
        <v>NA</v>
      </c>
      <c r="AB1327" s="29" t="str">
        <f t="shared" si="458"/>
        <v>NA</v>
      </c>
      <c r="AC1327" s="29" t="str">
        <f t="shared" si="459"/>
        <v>NA</v>
      </c>
      <c r="AD1327" s="29" t="str">
        <f t="shared" si="460"/>
        <v>NA</v>
      </c>
      <c r="AE1327" s="29" t="str">
        <f t="shared" si="461"/>
        <v>NA</v>
      </c>
      <c r="AF1327" s="29" t="str">
        <f t="shared" si="462"/>
        <v>NA</v>
      </c>
      <c r="AG1327" s="29" t="str">
        <f t="shared" si="463"/>
        <v>NA</v>
      </c>
      <c r="AH1327" s="29" t="str">
        <f t="shared" si="464"/>
        <v>NA</v>
      </c>
    </row>
    <row r="1328" customHeight="1" spans="1:34">
      <c r="A1328" s="12" t="s">
        <v>1043</v>
      </c>
      <c r="F1328" s="24">
        <f t="shared" si="446"/>
        <v>0</v>
      </c>
      <c r="G1328" s="24" t="e">
        <f t="shared" si="445"/>
        <v>#DIV/0!</v>
      </c>
      <c r="Q1328" s="29" t="str">
        <f t="shared" si="447"/>
        <v>NA</v>
      </c>
      <c r="R1328" s="29" t="str">
        <f t="shared" si="448"/>
        <v>NA</v>
      </c>
      <c r="S1328" s="29" t="str">
        <f t="shared" si="449"/>
        <v>NA</v>
      </c>
      <c r="T1328" s="29" t="str">
        <f t="shared" si="450"/>
        <v>NA</v>
      </c>
      <c r="U1328" s="29" t="str">
        <f t="shared" si="451"/>
        <v>NA</v>
      </c>
      <c r="V1328" s="29" t="str">
        <f t="shared" si="452"/>
        <v>NA</v>
      </c>
      <c r="W1328" s="29" t="str">
        <f t="shared" si="453"/>
        <v>NA</v>
      </c>
      <c r="X1328" s="29" t="str">
        <f t="shared" si="454"/>
        <v>NA</v>
      </c>
      <c r="Y1328" s="29" t="str">
        <f t="shared" si="455"/>
        <v>NA</v>
      </c>
      <c r="Z1328" s="29" t="str">
        <f t="shared" si="456"/>
        <v>NA</v>
      </c>
      <c r="AA1328" s="29" t="str">
        <f t="shared" si="457"/>
        <v>NA</v>
      </c>
      <c r="AB1328" s="29" t="str">
        <f t="shared" si="458"/>
        <v>NA</v>
      </c>
      <c r="AC1328" s="29" t="str">
        <f t="shared" si="459"/>
        <v>NA</v>
      </c>
      <c r="AD1328" s="29" t="str">
        <f t="shared" si="460"/>
        <v>NA</v>
      </c>
      <c r="AE1328" s="29" t="str">
        <f t="shared" si="461"/>
        <v>NA</v>
      </c>
      <c r="AF1328" s="29" t="str">
        <f t="shared" si="462"/>
        <v>NA</v>
      </c>
      <c r="AG1328" s="29" t="str">
        <f t="shared" si="463"/>
        <v>NA</v>
      </c>
      <c r="AH1328" s="29" t="str">
        <f t="shared" si="464"/>
        <v>NA</v>
      </c>
    </row>
    <row r="1329" customHeight="1" spans="1:34">
      <c r="A1329" s="12" t="s">
        <v>1043</v>
      </c>
      <c r="F1329" s="24">
        <f t="shared" si="446"/>
        <v>0</v>
      </c>
      <c r="G1329" s="24" t="e">
        <f t="shared" si="445"/>
        <v>#DIV/0!</v>
      </c>
      <c r="Q1329" s="29" t="str">
        <f t="shared" si="447"/>
        <v>NA</v>
      </c>
      <c r="R1329" s="29" t="str">
        <f t="shared" si="448"/>
        <v>NA</v>
      </c>
      <c r="S1329" s="29" t="str">
        <f t="shared" si="449"/>
        <v>NA</v>
      </c>
      <c r="T1329" s="29" t="str">
        <f t="shared" si="450"/>
        <v>NA</v>
      </c>
      <c r="U1329" s="29" t="str">
        <f t="shared" si="451"/>
        <v>NA</v>
      </c>
      <c r="V1329" s="29" t="str">
        <f t="shared" si="452"/>
        <v>NA</v>
      </c>
      <c r="W1329" s="29" t="str">
        <f t="shared" si="453"/>
        <v>NA</v>
      </c>
      <c r="X1329" s="29" t="str">
        <f t="shared" si="454"/>
        <v>NA</v>
      </c>
      <c r="Y1329" s="29" t="str">
        <f t="shared" si="455"/>
        <v>NA</v>
      </c>
      <c r="Z1329" s="29" t="str">
        <f t="shared" si="456"/>
        <v>NA</v>
      </c>
      <c r="AA1329" s="29" t="str">
        <f t="shared" si="457"/>
        <v>NA</v>
      </c>
      <c r="AB1329" s="29" t="str">
        <f t="shared" si="458"/>
        <v>NA</v>
      </c>
      <c r="AC1329" s="29" t="str">
        <f t="shared" si="459"/>
        <v>NA</v>
      </c>
      <c r="AD1329" s="29" t="str">
        <f t="shared" si="460"/>
        <v>NA</v>
      </c>
      <c r="AE1329" s="29" t="str">
        <f t="shared" si="461"/>
        <v>NA</v>
      </c>
      <c r="AF1329" s="29" t="str">
        <f t="shared" si="462"/>
        <v>NA</v>
      </c>
      <c r="AG1329" s="29" t="str">
        <f t="shared" si="463"/>
        <v>NA</v>
      </c>
      <c r="AH1329" s="29" t="str">
        <f t="shared" si="464"/>
        <v>NA</v>
      </c>
    </row>
    <row r="1330" customHeight="1" spans="1:34">
      <c r="A1330" s="12" t="s">
        <v>1043</v>
      </c>
      <c r="F1330" s="24">
        <f t="shared" si="446"/>
        <v>0</v>
      </c>
      <c r="G1330" s="24" t="e">
        <f t="shared" si="445"/>
        <v>#DIV/0!</v>
      </c>
      <c r="Q1330" s="29" t="str">
        <f t="shared" si="447"/>
        <v>NA</v>
      </c>
      <c r="R1330" s="29" t="str">
        <f t="shared" si="448"/>
        <v>NA</v>
      </c>
      <c r="S1330" s="29" t="str">
        <f t="shared" si="449"/>
        <v>NA</v>
      </c>
      <c r="T1330" s="29" t="str">
        <f t="shared" si="450"/>
        <v>NA</v>
      </c>
      <c r="U1330" s="29" t="str">
        <f t="shared" si="451"/>
        <v>NA</v>
      </c>
      <c r="V1330" s="29" t="str">
        <f t="shared" si="452"/>
        <v>NA</v>
      </c>
      <c r="W1330" s="29" t="str">
        <f t="shared" si="453"/>
        <v>NA</v>
      </c>
      <c r="X1330" s="29" t="str">
        <f t="shared" si="454"/>
        <v>NA</v>
      </c>
      <c r="Y1330" s="29" t="str">
        <f t="shared" si="455"/>
        <v>NA</v>
      </c>
      <c r="Z1330" s="29" t="str">
        <f t="shared" si="456"/>
        <v>NA</v>
      </c>
      <c r="AA1330" s="29" t="str">
        <f t="shared" si="457"/>
        <v>NA</v>
      </c>
      <c r="AB1330" s="29" t="str">
        <f t="shared" si="458"/>
        <v>NA</v>
      </c>
      <c r="AC1330" s="29" t="str">
        <f t="shared" si="459"/>
        <v>NA</v>
      </c>
      <c r="AD1330" s="29" t="str">
        <f t="shared" si="460"/>
        <v>NA</v>
      </c>
      <c r="AE1330" s="29" t="str">
        <f t="shared" si="461"/>
        <v>NA</v>
      </c>
      <c r="AF1330" s="29" t="str">
        <f t="shared" si="462"/>
        <v>NA</v>
      </c>
      <c r="AG1330" s="29" t="str">
        <f t="shared" si="463"/>
        <v>NA</v>
      </c>
      <c r="AH1330" s="29" t="str">
        <f t="shared" si="464"/>
        <v>NA</v>
      </c>
    </row>
    <row r="1331" customHeight="1" spans="1:34">
      <c r="A1331" s="12" t="s">
        <v>1043</v>
      </c>
      <c r="F1331" s="24">
        <f t="shared" si="446"/>
        <v>0</v>
      </c>
      <c r="G1331" s="24" t="e">
        <f t="shared" si="445"/>
        <v>#DIV/0!</v>
      </c>
      <c r="Q1331" s="29" t="str">
        <f t="shared" si="447"/>
        <v>NA</v>
      </c>
      <c r="R1331" s="29" t="str">
        <f t="shared" si="448"/>
        <v>NA</v>
      </c>
      <c r="S1331" s="29" t="str">
        <f t="shared" si="449"/>
        <v>NA</v>
      </c>
      <c r="T1331" s="29" t="str">
        <f t="shared" si="450"/>
        <v>NA</v>
      </c>
      <c r="U1331" s="29" t="str">
        <f t="shared" si="451"/>
        <v>NA</v>
      </c>
      <c r="V1331" s="29" t="str">
        <f t="shared" si="452"/>
        <v>NA</v>
      </c>
      <c r="W1331" s="29" t="str">
        <f t="shared" si="453"/>
        <v>NA</v>
      </c>
      <c r="X1331" s="29" t="str">
        <f t="shared" si="454"/>
        <v>NA</v>
      </c>
      <c r="Y1331" s="29" t="str">
        <f t="shared" si="455"/>
        <v>NA</v>
      </c>
      <c r="Z1331" s="29" t="str">
        <f t="shared" si="456"/>
        <v>NA</v>
      </c>
      <c r="AA1331" s="29" t="str">
        <f t="shared" si="457"/>
        <v>NA</v>
      </c>
      <c r="AB1331" s="29" t="str">
        <f t="shared" si="458"/>
        <v>NA</v>
      </c>
      <c r="AC1331" s="29" t="str">
        <f t="shared" si="459"/>
        <v>NA</v>
      </c>
      <c r="AD1331" s="29" t="str">
        <f t="shared" si="460"/>
        <v>NA</v>
      </c>
      <c r="AE1331" s="29" t="str">
        <f t="shared" si="461"/>
        <v>NA</v>
      </c>
      <c r="AF1331" s="29" t="str">
        <f t="shared" si="462"/>
        <v>NA</v>
      </c>
      <c r="AG1331" s="29" t="str">
        <f t="shared" si="463"/>
        <v>NA</v>
      </c>
      <c r="AH1331" s="29" t="str">
        <f t="shared" si="464"/>
        <v>NA</v>
      </c>
    </row>
    <row r="1332" customHeight="1" spans="1:34">
      <c r="A1332" s="12" t="s">
        <v>1043</v>
      </c>
      <c r="F1332" s="24">
        <f t="shared" si="446"/>
        <v>0</v>
      </c>
      <c r="G1332" s="24" t="e">
        <f t="shared" si="445"/>
        <v>#DIV/0!</v>
      </c>
      <c r="Q1332" s="29" t="str">
        <f t="shared" si="447"/>
        <v>NA</v>
      </c>
      <c r="R1332" s="29" t="str">
        <f t="shared" si="448"/>
        <v>NA</v>
      </c>
      <c r="S1332" s="29" t="str">
        <f t="shared" si="449"/>
        <v>NA</v>
      </c>
      <c r="T1332" s="29" t="str">
        <f t="shared" si="450"/>
        <v>NA</v>
      </c>
      <c r="U1332" s="29" t="str">
        <f t="shared" si="451"/>
        <v>NA</v>
      </c>
      <c r="V1332" s="29" t="str">
        <f t="shared" si="452"/>
        <v>NA</v>
      </c>
      <c r="W1332" s="29" t="str">
        <f t="shared" si="453"/>
        <v>NA</v>
      </c>
      <c r="X1332" s="29" t="str">
        <f t="shared" si="454"/>
        <v>NA</v>
      </c>
      <c r="Y1332" s="29" t="str">
        <f t="shared" si="455"/>
        <v>NA</v>
      </c>
      <c r="Z1332" s="29" t="str">
        <f t="shared" si="456"/>
        <v>NA</v>
      </c>
      <c r="AA1332" s="29" t="str">
        <f t="shared" si="457"/>
        <v>NA</v>
      </c>
      <c r="AB1332" s="29" t="str">
        <f t="shared" si="458"/>
        <v>NA</v>
      </c>
      <c r="AC1332" s="29" t="str">
        <f t="shared" si="459"/>
        <v>NA</v>
      </c>
      <c r="AD1332" s="29" t="str">
        <f t="shared" si="460"/>
        <v>NA</v>
      </c>
      <c r="AE1332" s="29" t="str">
        <f t="shared" si="461"/>
        <v>NA</v>
      </c>
      <c r="AF1332" s="29" t="str">
        <f t="shared" si="462"/>
        <v>NA</v>
      </c>
      <c r="AG1332" s="29" t="str">
        <f t="shared" si="463"/>
        <v>NA</v>
      </c>
      <c r="AH1332" s="29" t="str">
        <f t="shared" si="464"/>
        <v>NA</v>
      </c>
    </row>
    <row r="1333" customHeight="1" spans="1:34">
      <c r="A1333" s="12" t="s">
        <v>1043</v>
      </c>
      <c r="F1333" s="24">
        <f t="shared" si="446"/>
        <v>0</v>
      </c>
      <c r="G1333" s="24" t="e">
        <f t="shared" si="445"/>
        <v>#DIV/0!</v>
      </c>
      <c r="Q1333" s="29" t="str">
        <f t="shared" si="447"/>
        <v>NA</v>
      </c>
      <c r="R1333" s="29" t="str">
        <f t="shared" si="448"/>
        <v>NA</v>
      </c>
      <c r="S1333" s="29" t="str">
        <f t="shared" si="449"/>
        <v>NA</v>
      </c>
      <c r="T1333" s="29" t="str">
        <f t="shared" si="450"/>
        <v>NA</v>
      </c>
      <c r="U1333" s="29" t="str">
        <f t="shared" si="451"/>
        <v>NA</v>
      </c>
      <c r="V1333" s="29" t="str">
        <f t="shared" si="452"/>
        <v>NA</v>
      </c>
      <c r="W1333" s="29" t="str">
        <f t="shared" si="453"/>
        <v>NA</v>
      </c>
      <c r="X1333" s="29" t="str">
        <f t="shared" si="454"/>
        <v>NA</v>
      </c>
      <c r="Y1333" s="29" t="str">
        <f t="shared" si="455"/>
        <v>NA</v>
      </c>
      <c r="Z1333" s="29" t="str">
        <f t="shared" si="456"/>
        <v>NA</v>
      </c>
      <c r="AA1333" s="29" t="str">
        <f t="shared" si="457"/>
        <v>NA</v>
      </c>
      <c r="AB1333" s="29" t="str">
        <f t="shared" si="458"/>
        <v>NA</v>
      </c>
      <c r="AC1333" s="29" t="str">
        <f t="shared" si="459"/>
        <v>NA</v>
      </c>
      <c r="AD1333" s="29" t="str">
        <f t="shared" si="460"/>
        <v>NA</v>
      </c>
      <c r="AE1333" s="29" t="str">
        <f t="shared" si="461"/>
        <v>NA</v>
      </c>
      <c r="AF1333" s="29" t="str">
        <f t="shared" si="462"/>
        <v>NA</v>
      </c>
      <c r="AG1333" s="29" t="str">
        <f t="shared" si="463"/>
        <v>NA</v>
      </c>
      <c r="AH1333" s="29" t="str">
        <f t="shared" si="464"/>
        <v>NA</v>
      </c>
    </row>
    <row r="1334" customHeight="1" spans="1:34">
      <c r="A1334" s="12" t="s">
        <v>1043</v>
      </c>
      <c r="F1334" s="24">
        <f t="shared" si="446"/>
        <v>0</v>
      </c>
      <c r="G1334" s="24" t="e">
        <f t="shared" si="445"/>
        <v>#DIV/0!</v>
      </c>
      <c r="Q1334" s="29" t="str">
        <f t="shared" si="447"/>
        <v>NA</v>
      </c>
      <c r="R1334" s="29" t="str">
        <f t="shared" si="448"/>
        <v>NA</v>
      </c>
      <c r="S1334" s="29" t="str">
        <f t="shared" si="449"/>
        <v>NA</v>
      </c>
      <c r="T1334" s="29" t="str">
        <f t="shared" si="450"/>
        <v>NA</v>
      </c>
      <c r="U1334" s="29" t="str">
        <f t="shared" si="451"/>
        <v>NA</v>
      </c>
      <c r="V1334" s="29" t="str">
        <f t="shared" si="452"/>
        <v>NA</v>
      </c>
      <c r="W1334" s="29" t="str">
        <f t="shared" si="453"/>
        <v>NA</v>
      </c>
      <c r="X1334" s="29" t="str">
        <f t="shared" si="454"/>
        <v>NA</v>
      </c>
      <c r="Y1334" s="29" t="str">
        <f t="shared" si="455"/>
        <v>NA</v>
      </c>
      <c r="Z1334" s="29" t="str">
        <f t="shared" si="456"/>
        <v>NA</v>
      </c>
      <c r="AA1334" s="29" t="str">
        <f t="shared" si="457"/>
        <v>NA</v>
      </c>
      <c r="AB1334" s="29" t="str">
        <f t="shared" si="458"/>
        <v>NA</v>
      </c>
      <c r="AC1334" s="29" t="str">
        <f t="shared" si="459"/>
        <v>NA</v>
      </c>
      <c r="AD1334" s="29" t="str">
        <f t="shared" si="460"/>
        <v>NA</v>
      </c>
      <c r="AE1334" s="29" t="str">
        <f t="shared" si="461"/>
        <v>NA</v>
      </c>
      <c r="AF1334" s="29" t="str">
        <f t="shared" si="462"/>
        <v>NA</v>
      </c>
      <c r="AG1334" s="29" t="str">
        <f t="shared" si="463"/>
        <v>NA</v>
      </c>
      <c r="AH1334" s="29" t="str">
        <f t="shared" si="464"/>
        <v>NA</v>
      </c>
    </row>
    <row r="1335" customHeight="1" spans="1:34">
      <c r="A1335" s="12" t="s">
        <v>1043</v>
      </c>
      <c r="F1335" s="24">
        <f t="shared" si="446"/>
        <v>0</v>
      </c>
      <c r="G1335" s="24" t="e">
        <f t="shared" si="445"/>
        <v>#DIV/0!</v>
      </c>
      <c r="Q1335" s="29" t="str">
        <f t="shared" si="447"/>
        <v>NA</v>
      </c>
      <c r="R1335" s="29" t="str">
        <f t="shared" si="448"/>
        <v>NA</v>
      </c>
      <c r="S1335" s="29" t="str">
        <f t="shared" si="449"/>
        <v>NA</v>
      </c>
      <c r="T1335" s="29" t="str">
        <f t="shared" si="450"/>
        <v>NA</v>
      </c>
      <c r="U1335" s="29" t="str">
        <f t="shared" si="451"/>
        <v>NA</v>
      </c>
      <c r="V1335" s="29" t="str">
        <f t="shared" si="452"/>
        <v>NA</v>
      </c>
      <c r="W1335" s="29" t="str">
        <f t="shared" si="453"/>
        <v>NA</v>
      </c>
      <c r="X1335" s="29" t="str">
        <f t="shared" si="454"/>
        <v>NA</v>
      </c>
      <c r="Y1335" s="29" t="str">
        <f t="shared" si="455"/>
        <v>NA</v>
      </c>
      <c r="Z1335" s="29" t="str">
        <f t="shared" si="456"/>
        <v>NA</v>
      </c>
      <c r="AA1335" s="29" t="str">
        <f t="shared" si="457"/>
        <v>NA</v>
      </c>
      <c r="AB1335" s="29" t="str">
        <f t="shared" si="458"/>
        <v>NA</v>
      </c>
      <c r="AC1335" s="29" t="str">
        <f t="shared" si="459"/>
        <v>NA</v>
      </c>
      <c r="AD1335" s="29" t="str">
        <f t="shared" si="460"/>
        <v>NA</v>
      </c>
      <c r="AE1335" s="29" t="str">
        <f t="shared" si="461"/>
        <v>NA</v>
      </c>
      <c r="AF1335" s="29" t="str">
        <f t="shared" si="462"/>
        <v>NA</v>
      </c>
      <c r="AG1335" s="29" t="str">
        <f t="shared" si="463"/>
        <v>NA</v>
      </c>
      <c r="AH1335" s="29" t="str">
        <f t="shared" si="464"/>
        <v>NA</v>
      </c>
    </row>
    <row r="1336" customHeight="1" spans="1:34">
      <c r="A1336" s="12" t="s">
        <v>1043</v>
      </c>
      <c r="F1336" s="24">
        <f t="shared" si="446"/>
        <v>0</v>
      </c>
      <c r="G1336" s="24" t="e">
        <f t="shared" si="445"/>
        <v>#DIV/0!</v>
      </c>
      <c r="Q1336" s="29" t="str">
        <f t="shared" si="447"/>
        <v>NA</v>
      </c>
      <c r="R1336" s="29" t="str">
        <f t="shared" si="448"/>
        <v>NA</v>
      </c>
      <c r="S1336" s="29" t="str">
        <f t="shared" si="449"/>
        <v>NA</v>
      </c>
      <c r="T1336" s="29" t="str">
        <f t="shared" si="450"/>
        <v>NA</v>
      </c>
      <c r="U1336" s="29" t="str">
        <f t="shared" si="451"/>
        <v>NA</v>
      </c>
      <c r="V1336" s="29" t="str">
        <f t="shared" si="452"/>
        <v>NA</v>
      </c>
      <c r="W1336" s="29" t="str">
        <f t="shared" si="453"/>
        <v>NA</v>
      </c>
      <c r="X1336" s="29" t="str">
        <f t="shared" si="454"/>
        <v>NA</v>
      </c>
      <c r="Y1336" s="29" t="str">
        <f t="shared" si="455"/>
        <v>NA</v>
      </c>
      <c r="Z1336" s="29" t="str">
        <f t="shared" si="456"/>
        <v>NA</v>
      </c>
      <c r="AA1336" s="29" t="str">
        <f t="shared" si="457"/>
        <v>NA</v>
      </c>
      <c r="AB1336" s="29" t="str">
        <f t="shared" si="458"/>
        <v>NA</v>
      </c>
      <c r="AC1336" s="29" t="str">
        <f t="shared" si="459"/>
        <v>NA</v>
      </c>
      <c r="AD1336" s="29" t="str">
        <f t="shared" si="460"/>
        <v>NA</v>
      </c>
      <c r="AE1336" s="29" t="str">
        <f t="shared" si="461"/>
        <v>NA</v>
      </c>
      <c r="AF1336" s="29" t="str">
        <f t="shared" si="462"/>
        <v>NA</v>
      </c>
      <c r="AG1336" s="29" t="str">
        <f t="shared" si="463"/>
        <v>NA</v>
      </c>
      <c r="AH1336" s="29" t="str">
        <f t="shared" si="464"/>
        <v>NA</v>
      </c>
    </row>
    <row r="1337" customHeight="1" spans="1:34">
      <c r="A1337" s="12" t="s">
        <v>1043</v>
      </c>
      <c r="F1337" s="24">
        <f t="shared" si="446"/>
        <v>0</v>
      </c>
      <c r="G1337" s="24" t="e">
        <f t="shared" si="445"/>
        <v>#DIV/0!</v>
      </c>
      <c r="Q1337" s="29" t="str">
        <f t="shared" si="447"/>
        <v>NA</v>
      </c>
      <c r="R1337" s="29" t="str">
        <f t="shared" si="448"/>
        <v>NA</v>
      </c>
      <c r="S1337" s="29" t="str">
        <f t="shared" si="449"/>
        <v>NA</v>
      </c>
      <c r="T1337" s="29" t="str">
        <f t="shared" si="450"/>
        <v>NA</v>
      </c>
      <c r="U1337" s="29" t="str">
        <f t="shared" si="451"/>
        <v>NA</v>
      </c>
      <c r="V1337" s="29" t="str">
        <f t="shared" si="452"/>
        <v>NA</v>
      </c>
      <c r="W1337" s="29" t="str">
        <f t="shared" si="453"/>
        <v>NA</v>
      </c>
      <c r="X1337" s="29" t="str">
        <f t="shared" si="454"/>
        <v>NA</v>
      </c>
      <c r="Y1337" s="29" t="str">
        <f t="shared" si="455"/>
        <v>NA</v>
      </c>
      <c r="Z1337" s="29" t="str">
        <f t="shared" si="456"/>
        <v>NA</v>
      </c>
      <c r="AA1337" s="29" t="str">
        <f t="shared" si="457"/>
        <v>NA</v>
      </c>
      <c r="AB1337" s="29" t="str">
        <f t="shared" si="458"/>
        <v>NA</v>
      </c>
      <c r="AC1337" s="29" t="str">
        <f t="shared" si="459"/>
        <v>NA</v>
      </c>
      <c r="AD1337" s="29" t="str">
        <f t="shared" si="460"/>
        <v>NA</v>
      </c>
      <c r="AE1337" s="29" t="str">
        <f t="shared" si="461"/>
        <v>NA</v>
      </c>
      <c r="AF1337" s="29" t="str">
        <f t="shared" si="462"/>
        <v>NA</v>
      </c>
      <c r="AG1337" s="29" t="str">
        <f t="shared" si="463"/>
        <v>NA</v>
      </c>
      <c r="AH1337" s="29" t="str">
        <f t="shared" si="464"/>
        <v>NA</v>
      </c>
    </row>
    <row r="1338" customHeight="1" spans="1:34">
      <c r="A1338" s="12" t="s">
        <v>1043</v>
      </c>
      <c r="F1338" s="24">
        <f t="shared" si="446"/>
        <v>0</v>
      </c>
      <c r="G1338" s="24" t="e">
        <f t="shared" si="445"/>
        <v>#DIV/0!</v>
      </c>
      <c r="Q1338" s="29" t="str">
        <f t="shared" si="447"/>
        <v>NA</v>
      </c>
      <c r="R1338" s="29" t="str">
        <f t="shared" si="448"/>
        <v>NA</v>
      </c>
      <c r="S1338" s="29" t="str">
        <f t="shared" si="449"/>
        <v>NA</v>
      </c>
      <c r="T1338" s="29" t="str">
        <f t="shared" si="450"/>
        <v>NA</v>
      </c>
      <c r="U1338" s="29" t="str">
        <f t="shared" si="451"/>
        <v>NA</v>
      </c>
      <c r="V1338" s="29" t="str">
        <f t="shared" si="452"/>
        <v>NA</v>
      </c>
      <c r="W1338" s="29" t="str">
        <f t="shared" si="453"/>
        <v>NA</v>
      </c>
      <c r="X1338" s="29" t="str">
        <f t="shared" si="454"/>
        <v>NA</v>
      </c>
      <c r="Y1338" s="29" t="str">
        <f t="shared" si="455"/>
        <v>NA</v>
      </c>
      <c r="Z1338" s="29" t="str">
        <f t="shared" si="456"/>
        <v>NA</v>
      </c>
      <c r="AA1338" s="29" t="str">
        <f t="shared" si="457"/>
        <v>NA</v>
      </c>
      <c r="AB1338" s="29" t="str">
        <f t="shared" si="458"/>
        <v>NA</v>
      </c>
      <c r="AC1338" s="29" t="str">
        <f t="shared" si="459"/>
        <v>NA</v>
      </c>
      <c r="AD1338" s="29" t="str">
        <f t="shared" si="460"/>
        <v>NA</v>
      </c>
      <c r="AE1338" s="29" t="str">
        <f t="shared" si="461"/>
        <v>NA</v>
      </c>
      <c r="AF1338" s="29" t="str">
        <f t="shared" si="462"/>
        <v>NA</v>
      </c>
      <c r="AG1338" s="29" t="str">
        <f t="shared" si="463"/>
        <v>NA</v>
      </c>
      <c r="AH1338" s="29" t="str">
        <f t="shared" si="464"/>
        <v>NA</v>
      </c>
    </row>
    <row r="1339" customHeight="1" spans="1:34">
      <c r="A1339" s="12" t="s">
        <v>1043</v>
      </c>
      <c r="F1339" s="24">
        <f t="shared" si="446"/>
        <v>0</v>
      </c>
      <c r="G1339" s="24" t="e">
        <f t="shared" si="445"/>
        <v>#DIV/0!</v>
      </c>
      <c r="Q1339" s="29" t="str">
        <f t="shared" si="447"/>
        <v>NA</v>
      </c>
      <c r="R1339" s="29" t="str">
        <f t="shared" si="448"/>
        <v>NA</v>
      </c>
      <c r="S1339" s="29" t="str">
        <f t="shared" si="449"/>
        <v>NA</v>
      </c>
      <c r="T1339" s="29" t="str">
        <f t="shared" si="450"/>
        <v>NA</v>
      </c>
      <c r="U1339" s="29" t="str">
        <f t="shared" si="451"/>
        <v>NA</v>
      </c>
      <c r="V1339" s="29" t="str">
        <f t="shared" si="452"/>
        <v>NA</v>
      </c>
      <c r="W1339" s="29" t="str">
        <f t="shared" si="453"/>
        <v>NA</v>
      </c>
      <c r="X1339" s="29" t="str">
        <f t="shared" si="454"/>
        <v>NA</v>
      </c>
      <c r="Y1339" s="29" t="str">
        <f t="shared" si="455"/>
        <v>NA</v>
      </c>
      <c r="Z1339" s="29" t="str">
        <f t="shared" si="456"/>
        <v>NA</v>
      </c>
      <c r="AA1339" s="29" t="str">
        <f t="shared" si="457"/>
        <v>NA</v>
      </c>
      <c r="AB1339" s="29" t="str">
        <f t="shared" si="458"/>
        <v>NA</v>
      </c>
      <c r="AC1339" s="29" t="str">
        <f t="shared" si="459"/>
        <v>NA</v>
      </c>
      <c r="AD1339" s="29" t="str">
        <f t="shared" si="460"/>
        <v>NA</v>
      </c>
      <c r="AE1339" s="29" t="str">
        <f t="shared" si="461"/>
        <v>NA</v>
      </c>
      <c r="AF1339" s="29" t="str">
        <f t="shared" si="462"/>
        <v>NA</v>
      </c>
      <c r="AG1339" s="29" t="str">
        <f t="shared" si="463"/>
        <v>NA</v>
      </c>
      <c r="AH1339" s="29" t="str">
        <f t="shared" si="464"/>
        <v>NA</v>
      </c>
    </row>
    <row r="1340" customHeight="1" spans="1:34">
      <c r="A1340" s="12" t="s">
        <v>1043</v>
      </c>
      <c r="F1340" s="24">
        <f t="shared" si="446"/>
        <v>0</v>
      </c>
      <c r="G1340" s="24" t="e">
        <f t="shared" si="445"/>
        <v>#DIV/0!</v>
      </c>
      <c r="Q1340" s="29" t="str">
        <f t="shared" si="447"/>
        <v>NA</v>
      </c>
      <c r="R1340" s="29" t="str">
        <f t="shared" si="448"/>
        <v>NA</v>
      </c>
      <c r="S1340" s="29" t="str">
        <f t="shared" si="449"/>
        <v>NA</v>
      </c>
      <c r="T1340" s="29" t="str">
        <f t="shared" si="450"/>
        <v>NA</v>
      </c>
      <c r="U1340" s="29" t="str">
        <f t="shared" si="451"/>
        <v>NA</v>
      </c>
      <c r="V1340" s="29" t="str">
        <f t="shared" si="452"/>
        <v>NA</v>
      </c>
      <c r="W1340" s="29" t="str">
        <f t="shared" si="453"/>
        <v>NA</v>
      </c>
      <c r="X1340" s="29" t="str">
        <f t="shared" si="454"/>
        <v>NA</v>
      </c>
      <c r="Y1340" s="29" t="str">
        <f t="shared" si="455"/>
        <v>NA</v>
      </c>
      <c r="Z1340" s="29" t="str">
        <f t="shared" si="456"/>
        <v>NA</v>
      </c>
      <c r="AA1340" s="29" t="str">
        <f t="shared" si="457"/>
        <v>NA</v>
      </c>
      <c r="AB1340" s="29" t="str">
        <f t="shared" si="458"/>
        <v>NA</v>
      </c>
      <c r="AC1340" s="29" t="str">
        <f t="shared" si="459"/>
        <v>NA</v>
      </c>
      <c r="AD1340" s="29" t="str">
        <f t="shared" si="460"/>
        <v>NA</v>
      </c>
      <c r="AE1340" s="29" t="str">
        <f t="shared" si="461"/>
        <v>NA</v>
      </c>
      <c r="AF1340" s="29" t="str">
        <f t="shared" si="462"/>
        <v>NA</v>
      </c>
      <c r="AG1340" s="29" t="str">
        <f t="shared" si="463"/>
        <v>NA</v>
      </c>
      <c r="AH1340" s="29" t="str">
        <f t="shared" si="464"/>
        <v>NA</v>
      </c>
    </row>
    <row r="1341" customHeight="1" spans="1:34">
      <c r="A1341" s="12" t="s">
        <v>1043</v>
      </c>
      <c r="F1341" s="24">
        <f t="shared" si="446"/>
        <v>0</v>
      </c>
      <c r="G1341" s="24" t="e">
        <f t="shared" si="445"/>
        <v>#DIV/0!</v>
      </c>
      <c r="Q1341" s="29" t="str">
        <f t="shared" si="447"/>
        <v>NA</v>
      </c>
      <c r="R1341" s="29" t="str">
        <f t="shared" si="448"/>
        <v>NA</v>
      </c>
      <c r="S1341" s="29" t="str">
        <f t="shared" si="449"/>
        <v>NA</v>
      </c>
      <c r="T1341" s="29" t="str">
        <f t="shared" si="450"/>
        <v>NA</v>
      </c>
      <c r="U1341" s="29" t="str">
        <f t="shared" si="451"/>
        <v>NA</v>
      </c>
      <c r="V1341" s="29" t="str">
        <f t="shared" si="452"/>
        <v>NA</v>
      </c>
      <c r="W1341" s="29" t="str">
        <f t="shared" si="453"/>
        <v>NA</v>
      </c>
      <c r="X1341" s="29" t="str">
        <f t="shared" si="454"/>
        <v>NA</v>
      </c>
      <c r="Y1341" s="29" t="str">
        <f t="shared" si="455"/>
        <v>NA</v>
      </c>
      <c r="Z1341" s="29" t="str">
        <f t="shared" si="456"/>
        <v>NA</v>
      </c>
      <c r="AA1341" s="29" t="str">
        <f t="shared" si="457"/>
        <v>NA</v>
      </c>
      <c r="AB1341" s="29" t="str">
        <f t="shared" si="458"/>
        <v>NA</v>
      </c>
      <c r="AC1341" s="29" t="str">
        <f t="shared" si="459"/>
        <v>NA</v>
      </c>
      <c r="AD1341" s="29" t="str">
        <f t="shared" si="460"/>
        <v>NA</v>
      </c>
      <c r="AE1341" s="29" t="str">
        <f t="shared" si="461"/>
        <v>NA</v>
      </c>
      <c r="AF1341" s="29" t="str">
        <f t="shared" si="462"/>
        <v>NA</v>
      </c>
      <c r="AG1341" s="29" t="str">
        <f t="shared" si="463"/>
        <v>NA</v>
      </c>
      <c r="AH1341" s="29" t="str">
        <f t="shared" si="464"/>
        <v>NA</v>
      </c>
    </row>
    <row r="1342" customHeight="1" spans="1:34">
      <c r="A1342" s="12" t="s">
        <v>1043</v>
      </c>
      <c r="F1342" s="24">
        <f t="shared" si="446"/>
        <v>0</v>
      </c>
      <c r="G1342" s="24" t="e">
        <f t="shared" si="445"/>
        <v>#DIV/0!</v>
      </c>
      <c r="Q1342" s="29" t="str">
        <f t="shared" si="447"/>
        <v>NA</v>
      </c>
      <c r="R1342" s="29" t="str">
        <f t="shared" si="448"/>
        <v>NA</v>
      </c>
      <c r="S1342" s="29" t="str">
        <f t="shared" si="449"/>
        <v>NA</v>
      </c>
      <c r="T1342" s="29" t="str">
        <f t="shared" si="450"/>
        <v>NA</v>
      </c>
      <c r="U1342" s="29" t="str">
        <f t="shared" si="451"/>
        <v>NA</v>
      </c>
      <c r="V1342" s="29" t="str">
        <f t="shared" si="452"/>
        <v>NA</v>
      </c>
      <c r="W1342" s="29" t="str">
        <f t="shared" si="453"/>
        <v>NA</v>
      </c>
      <c r="X1342" s="29" t="str">
        <f t="shared" si="454"/>
        <v>NA</v>
      </c>
      <c r="Y1342" s="29" t="str">
        <f t="shared" si="455"/>
        <v>NA</v>
      </c>
      <c r="Z1342" s="29" t="str">
        <f t="shared" si="456"/>
        <v>NA</v>
      </c>
      <c r="AA1342" s="29" t="str">
        <f t="shared" si="457"/>
        <v>NA</v>
      </c>
      <c r="AB1342" s="29" t="str">
        <f t="shared" si="458"/>
        <v>NA</v>
      </c>
      <c r="AC1342" s="29" t="str">
        <f t="shared" si="459"/>
        <v>NA</v>
      </c>
      <c r="AD1342" s="29" t="str">
        <f t="shared" si="460"/>
        <v>NA</v>
      </c>
      <c r="AE1342" s="29" t="str">
        <f t="shared" si="461"/>
        <v>NA</v>
      </c>
      <c r="AF1342" s="29" t="str">
        <f t="shared" si="462"/>
        <v>NA</v>
      </c>
      <c r="AG1342" s="29" t="str">
        <f t="shared" si="463"/>
        <v>NA</v>
      </c>
      <c r="AH1342" s="29" t="str">
        <f t="shared" si="464"/>
        <v>NA</v>
      </c>
    </row>
    <row r="1343" customHeight="1" spans="1:34">
      <c r="A1343" s="12" t="s">
        <v>1043</v>
      </c>
      <c r="F1343" s="24">
        <f t="shared" si="446"/>
        <v>0</v>
      </c>
      <c r="G1343" s="24" t="e">
        <f t="shared" si="445"/>
        <v>#DIV/0!</v>
      </c>
      <c r="Q1343" s="29" t="str">
        <f t="shared" si="447"/>
        <v>NA</v>
      </c>
      <c r="R1343" s="29" t="str">
        <f t="shared" si="448"/>
        <v>NA</v>
      </c>
      <c r="S1343" s="29" t="str">
        <f t="shared" si="449"/>
        <v>NA</v>
      </c>
      <c r="T1343" s="29" t="str">
        <f t="shared" si="450"/>
        <v>NA</v>
      </c>
      <c r="U1343" s="29" t="str">
        <f t="shared" si="451"/>
        <v>NA</v>
      </c>
      <c r="V1343" s="29" t="str">
        <f t="shared" si="452"/>
        <v>NA</v>
      </c>
      <c r="W1343" s="29" t="str">
        <f t="shared" si="453"/>
        <v>NA</v>
      </c>
      <c r="X1343" s="29" t="str">
        <f t="shared" si="454"/>
        <v>NA</v>
      </c>
      <c r="Y1343" s="29" t="str">
        <f t="shared" si="455"/>
        <v>NA</v>
      </c>
      <c r="Z1343" s="29" t="str">
        <f t="shared" si="456"/>
        <v>NA</v>
      </c>
      <c r="AA1343" s="29" t="str">
        <f t="shared" si="457"/>
        <v>NA</v>
      </c>
      <c r="AB1343" s="29" t="str">
        <f t="shared" si="458"/>
        <v>NA</v>
      </c>
      <c r="AC1343" s="29" t="str">
        <f t="shared" si="459"/>
        <v>NA</v>
      </c>
      <c r="AD1343" s="29" t="str">
        <f t="shared" si="460"/>
        <v>NA</v>
      </c>
      <c r="AE1343" s="29" t="str">
        <f t="shared" si="461"/>
        <v>NA</v>
      </c>
      <c r="AF1343" s="29" t="str">
        <f t="shared" si="462"/>
        <v>NA</v>
      </c>
      <c r="AG1343" s="29" t="str">
        <f t="shared" si="463"/>
        <v>NA</v>
      </c>
      <c r="AH1343" s="29" t="str">
        <f t="shared" si="464"/>
        <v>NA</v>
      </c>
    </row>
    <row r="1344" customHeight="1" spans="1:34">
      <c r="A1344" s="12" t="s">
        <v>1043</v>
      </c>
      <c r="F1344" s="24">
        <f t="shared" si="446"/>
        <v>0</v>
      </c>
      <c r="G1344" s="24" t="e">
        <f t="shared" si="445"/>
        <v>#DIV/0!</v>
      </c>
      <c r="Q1344" s="29" t="str">
        <f t="shared" si="447"/>
        <v>NA</v>
      </c>
      <c r="R1344" s="29" t="str">
        <f t="shared" si="448"/>
        <v>NA</v>
      </c>
      <c r="S1344" s="29" t="str">
        <f t="shared" si="449"/>
        <v>NA</v>
      </c>
      <c r="T1344" s="29" t="str">
        <f t="shared" si="450"/>
        <v>NA</v>
      </c>
      <c r="U1344" s="29" t="str">
        <f t="shared" si="451"/>
        <v>NA</v>
      </c>
      <c r="V1344" s="29" t="str">
        <f t="shared" si="452"/>
        <v>NA</v>
      </c>
      <c r="W1344" s="29" t="str">
        <f t="shared" si="453"/>
        <v>NA</v>
      </c>
      <c r="X1344" s="29" t="str">
        <f t="shared" si="454"/>
        <v>NA</v>
      </c>
      <c r="Y1344" s="29" t="str">
        <f t="shared" si="455"/>
        <v>NA</v>
      </c>
      <c r="Z1344" s="29" t="str">
        <f t="shared" si="456"/>
        <v>NA</v>
      </c>
      <c r="AA1344" s="29" t="str">
        <f t="shared" si="457"/>
        <v>NA</v>
      </c>
      <c r="AB1344" s="29" t="str">
        <f t="shared" si="458"/>
        <v>NA</v>
      </c>
      <c r="AC1344" s="29" t="str">
        <f t="shared" si="459"/>
        <v>NA</v>
      </c>
      <c r="AD1344" s="29" t="str">
        <f t="shared" si="460"/>
        <v>NA</v>
      </c>
      <c r="AE1344" s="29" t="str">
        <f t="shared" si="461"/>
        <v>NA</v>
      </c>
      <c r="AF1344" s="29" t="str">
        <f t="shared" si="462"/>
        <v>NA</v>
      </c>
      <c r="AG1344" s="29" t="str">
        <f t="shared" si="463"/>
        <v>NA</v>
      </c>
      <c r="AH1344" s="29" t="str">
        <f t="shared" si="464"/>
        <v>NA</v>
      </c>
    </row>
    <row r="1345" customHeight="1" spans="1:34">
      <c r="A1345" s="12" t="s">
        <v>1043</v>
      </c>
      <c r="F1345" s="24">
        <f t="shared" si="446"/>
        <v>0</v>
      </c>
      <c r="G1345" s="24" t="e">
        <f t="shared" si="445"/>
        <v>#DIV/0!</v>
      </c>
      <c r="Q1345" s="29" t="str">
        <f t="shared" si="447"/>
        <v>NA</v>
      </c>
      <c r="R1345" s="29" t="str">
        <f t="shared" si="448"/>
        <v>NA</v>
      </c>
      <c r="S1345" s="29" t="str">
        <f t="shared" si="449"/>
        <v>NA</v>
      </c>
      <c r="T1345" s="29" t="str">
        <f t="shared" si="450"/>
        <v>NA</v>
      </c>
      <c r="U1345" s="29" t="str">
        <f t="shared" si="451"/>
        <v>NA</v>
      </c>
      <c r="V1345" s="29" t="str">
        <f t="shared" si="452"/>
        <v>NA</v>
      </c>
      <c r="W1345" s="29" t="str">
        <f t="shared" si="453"/>
        <v>NA</v>
      </c>
      <c r="X1345" s="29" t="str">
        <f t="shared" si="454"/>
        <v>NA</v>
      </c>
      <c r="Y1345" s="29" t="str">
        <f t="shared" si="455"/>
        <v>NA</v>
      </c>
      <c r="Z1345" s="29" t="str">
        <f t="shared" si="456"/>
        <v>NA</v>
      </c>
      <c r="AA1345" s="29" t="str">
        <f t="shared" si="457"/>
        <v>NA</v>
      </c>
      <c r="AB1345" s="29" t="str">
        <f t="shared" si="458"/>
        <v>NA</v>
      </c>
      <c r="AC1345" s="29" t="str">
        <f t="shared" si="459"/>
        <v>NA</v>
      </c>
      <c r="AD1345" s="29" t="str">
        <f t="shared" si="460"/>
        <v>NA</v>
      </c>
      <c r="AE1345" s="29" t="str">
        <f t="shared" si="461"/>
        <v>NA</v>
      </c>
      <c r="AF1345" s="29" t="str">
        <f t="shared" si="462"/>
        <v>NA</v>
      </c>
      <c r="AG1345" s="29" t="str">
        <f t="shared" si="463"/>
        <v>NA</v>
      </c>
      <c r="AH1345" s="29" t="str">
        <f t="shared" si="464"/>
        <v>NA</v>
      </c>
    </row>
    <row r="1346" customHeight="1" spans="1:34">
      <c r="A1346" s="12" t="s">
        <v>1043</v>
      </c>
      <c r="F1346" s="24">
        <f t="shared" si="446"/>
        <v>0</v>
      </c>
      <c r="G1346" s="24" t="e">
        <f t="shared" si="445"/>
        <v>#DIV/0!</v>
      </c>
      <c r="Q1346" s="29" t="str">
        <f t="shared" si="447"/>
        <v>NA</v>
      </c>
      <c r="R1346" s="29" t="str">
        <f t="shared" si="448"/>
        <v>NA</v>
      </c>
      <c r="S1346" s="29" t="str">
        <f t="shared" si="449"/>
        <v>NA</v>
      </c>
      <c r="T1346" s="29" t="str">
        <f t="shared" si="450"/>
        <v>NA</v>
      </c>
      <c r="U1346" s="29" t="str">
        <f t="shared" si="451"/>
        <v>NA</v>
      </c>
      <c r="V1346" s="29" t="str">
        <f t="shared" si="452"/>
        <v>NA</v>
      </c>
      <c r="W1346" s="29" t="str">
        <f t="shared" si="453"/>
        <v>NA</v>
      </c>
      <c r="X1346" s="29" t="str">
        <f t="shared" si="454"/>
        <v>NA</v>
      </c>
      <c r="Y1346" s="29" t="str">
        <f t="shared" si="455"/>
        <v>NA</v>
      </c>
      <c r="Z1346" s="29" t="str">
        <f t="shared" si="456"/>
        <v>NA</v>
      </c>
      <c r="AA1346" s="29" t="str">
        <f t="shared" si="457"/>
        <v>NA</v>
      </c>
      <c r="AB1346" s="29" t="str">
        <f t="shared" si="458"/>
        <v>NA</v>
      </c>
      <c r="AC1346" s="29" t="str">
        <f t="shared" si="459"/>
        <v>NA</v>
      </c>
      <c r="AD1346" s="29" t="str">
        <f t="shared" si="460"/>
        <v>NA</v>
      </c>
      <c r="AE1346" s="29" t="str">
        <f t="shared" si="461"/>
        <v>NA</v>
      </c>
      <c r="AF1346" s="29" t="str">
        <f t="shared" si="462"/>
        <v>NA</v>
      </c>
      <c r="AG1346" s="29" t="str">
        <f t="shared" si="463"/>
        <v>NA</v>
      </c>
      <c r="AH1346" s="29" t="str">
        <f t="shared" si="464"/>
        <v>NA</v>
      </c>
    </row>
    <row r="1347" customHeight="1" spans="1:34">
      <c r="A1347" s="12" t="s">
        <v>1043</v>
      </c>
      <c r="F1347" s="24">
        <f t="shared" si="446"/>
        <v>0</v>
      </c>
      <c r="G1347" s="24" t="e">
        <f t="shared" si="445"/>
        <v>#DIV/0!</v>
      </c>
      <c r="Q1347" s="29" t="str">
        <f t="shared" si="447"/>
        <v>NA</v>
      </c>
      <c r="R1347" s="29" t="str">
        <f t="shared" si="448"/>
        <v>NA</v>
      </c>
      <c r="S1347" s="29" t="str">
        <f t="shared" si="449"/>
        <v>NA</v>
      </c>
      <c r="T1347" s="29" t="str">
        <f t="shared" si="450"/>
        <v>NA</v>
      </c>
      <c r="U1347" s="29" t="str">
        <f t="shared" si="451"/>
        <v>NA</v>
      </c>
      <c r="V1347" s="29" t="str">
        <f t="shared" si="452"/>
        <v>NA</v>
      </c>
      <c r="W1347" s="29" t="str">
        <f t="shared" si="453"/>
        <v>NA</v>
      </c>
      <c r="X1347" s="29" t="str">
        <f t="shared" si="454"/>
        <v>NA</v>
      </c>
      <c r="Y1347" s="29" t="str">
        <f t="shared" si="455"/>
        <v>NA</v>
      </c>
      <c r="Z1347" s="29" t="str">
        <f t="shared" si="456"/>
        <v>NA</v>
      </c>
      <c r="AA1347" s="29" t="str">
        <f t="shared" si="457"/>
        <v>NA</v>
      </c>
      <c r="AB1347" s="29" t="str">
        <f t="shared" si="458"/>
        <v>NA</v>
      </c>
      <c r="AC1347" s="29" t="str">
        <f t="shared" si="459"/>
        <v>NA</v>
      </c>
      <c r="AD1347" s="29" t="str">
        <f t="shared" si="460"/>
        <v>NA</v>
      </c>
      <c r="AE1347" s="29" t="str">
        <f t="shared" si="461"/>
        <v>NA</v>
      </c>
      <c r="AF1347" s="29" t="str">
        <f t="shared" si="462"/>
        <v>NA</v>
      </c>
      <c r="AG1347" s="29" t="str">
        <f t="shared" si="463"/>
        <v>NA</v>
      </c>
      <c r="AH1347" s="29" t="str">
        <f t="shared" si="464"/>
        <v>NA</v>
      </c>
    </row>
    <row r="1348" customHeight="1" spans="1:34">
      <c r="A1348" s="12" t="s">
        <v>1043</v>
      </c>
      <c r="F1348" s="24">
        <f t="shared" si="446"/>
        <v>0</v>
      </c>
      <c r="G1348" s="24" t="e">
        <f t="shared" si="445"/>
        <v>#DIV/0!</v>
      </c>
      <c r="Q1348" s="29" t="str">
        <f t="shared" si="447"/>
        <v>NA</v>
      </c>
      <c r="R1348" s="29" t="str">
        <f t="shared" si="448"/>
        <v>NA</v>
      </c>
      <c r="S1348" s="29" t="str">
        <f t="shared" si="449"/>
        <v>NA</v>
      </c>
      <c r="T1348" s="29" t="str">
        <f t="shared" si="450"/>
        <v>NA</v>
      </c>
      <c r="U1348" s="29" t="str">
        <f t="shared" si="451"/>
        <v>NA</v>
      </c>
      <c r="V1348" s="29" t="str">
        <f t="shared" si="452"/>
        <v>NA</v>
      </c>
      <c r="W1348" s="29" t="str">
        <f t="shared" si="453"/>
        <v>NA</v>
      </c>
      <c r="X1348" s="29" t="str">
        <f t="shared" si="454"/>
        <v>NA</v>
      </c>
      <c r="Y1348" s="29" t="str">
        <f t="shared" si="455"/>
        <v>NA</v>
      </c>
      <c r="Z1348" s="29" t="str">
        <f t="shared" si="456"/>
        <v>NA</v>
      </c>
      <c r="AA1348" s="29" t="str">
        <f t="shared" si="457"/>
        <v>NA</v>
      </c>
      <c r="AB1348" s="29" t="str">
        <f t="shared" si="458"/>
        <v>NA</v>
      </c>
      <c r="AC1348" s="29" t="str">
        <f t="shared" si="459"/>
        <v>NA</v>
      </c>
      <c r="AD1348" s="29" t="str">
        <f t="shared" si="460"/>
        <v>NA</v>
      </c>
      <c r="AE1348" s="29" t="str">
        <f t="shared" si="461"/>
        <v>NA</v>
      </c>
      <c r="AF1348" s="29" t="str">
        <f t="shared" si="462"/>
        <v>NA</v>
      </c>
      <c r="AG1348" s="29" t="str">
        <f t="shared" si="463"/>
        <v>NA</v>
      </c>
      <c r="AH1348" s="29" t="str">
        <f t="shared" si="464"/>
        <v>NA</v>
      </c>
    </row>
    <row r="1349" customHeight="1" spans="1:34">
      <c r="A1349" s="12" t="s">
        <v>1043</v>
      </c>
      <c r="F1349" s="24">
        <f t="shared" si="446"/>
        <v>0</v>
      </c>
      <c r="G1349" s="24" t="e">
        <f t="shared" ref="G1349:G1412" si="465">B1349*D1349/C1349</f>
        <v>#DIV/0!</v>
      </c>
      <c r="Q1349" s="29" t="str">
        <f t="shared" si="447"/>
        <v>NA</v>
      </c>
      <c r="R1349" s="29" t="str">
        <f t="shared" si="448"/>
        <v>NA</v>
      </c>
      <c r="S1349" s="29" t="str">
        <f t="shared" si="449"/>
        <v>NA</v>
      </c>
      <c r="T1349" s="29" t="str">
        <f t="shared" si="450"/>
        <v>NA</v>
      </c>
      <c r="U1349" s="29" t="str">
        <f t="shared" si="451"/>
        <v>NA</v>
      </c>
      <c r="V1349" s="29" t="str">
        <f t="shared" si="452"/>
        <v>NA</v>
      </c>
      <c r="W1349" s="29" t="str">
        <f t="shared" si="453"/>
        <v>NA</v>
      </c>
      <c r="X1349" s="29" t="str">
        <f t="shared" si="454"/>
        <v>NA</v>
      </c>
      <c r="Y1349" s="29" t="str">
        <f t="shared" si="455"/>
        <v>NA</v>
      </c>
      <c r="Z1349" s="29" t="str">
        <f t="shared" si="456"/>
        <v>NA</v>
      </c>
      <c r="AA1349" s="29" t="str">
        <f t="shared" si="457"/>
        <v>NA</v>
      </c>
      <c r="AB1349" s="29" t="str">
        <f t="shared" si="458"/>
        <v>NA</v>
      </c>
      <c r="AC1349" s="29" t="str">
        <f t="shared" si="459"/>
        <v>NA</v>
      </c>
      <c r="AD1349" s="29" t="str">
        <f t="shared" si="460"/>
        <v>NA</v>
      </c>
      <c r="AE1349" s="29" t="str">
        <f t="shared" si="461"/>
        <v>NA</v>
      </c>
      <c r="AF1349" s="29" t="str">
        <f t="shared" si="462"/>
        <v>NA</v>
      </c>
      <c r="AG1349" s="29" t="str">
        <f t="shared" si="463"/>
        <v>NA</v>
      </c>
      <c r="AH1349" s="29" t="str">
        <f t="shared" si="464"/>
        <v>NA</v>
      </c>
    </row>
    <row r="1350" customHeight="1" spans="1:34">
      <c r="A1350" s="12" t="s">
        <v>1043</v>
      </c>
      <c r="F1350" s="24">
        <f t="shared" ref="F1350:F1413" si="466">+D1350+E1350</f>
        <v>0</v>
      </c>
      <c r="G1350" s="24" t="e">
        <f t="shared" si="465"/>
        <v>#DIV/0!</v>
      </c>
      <c r="Q1350" s="29" t="str">
        <f t="shared" si="447"/>
        <v>NA</v>
      </c>
      <c r="R1350" s="29" t="str">
        <f t="shared" si="448"/>
        <v>NA</v>
      </c>
      <c r="S1350" s="29" t="str">
        <f t="shared" si="449"/>
        <v>NA</v>
      </c>
      <c r="T1350" s="29" t="str">
        <f t="shared" si="450"/>
        <v>NA</v>
      </c>
      <c r="U1350" s="29" t="str">
        <f t="shared" si="451"/>
        <v>NA</v>
      </c>
      <c r="V1350" s="29" t="str">
        <f t="shared" si="452"/>
        <v>NA</v>
      </c>
      <c r="W1350" s="29" t="str">
        <f t="shared" si="453"/>
        <v>NA</v>
      </c>
      <c r="X1350" s="29" t="str">
        <f t="shared" si="454"/>
        <v>NA</v>
      </c>
      <c r="Y1350" s="29" t="str">
        <f t="shared" si="455"/>
        <v>NA</v>
      </c>
      <c r="Z1350" s="29" t="str">
        <f t="shared" si="456"/>
        <v>NA</v>
      </c>
      <c r="AA1350" s="29" t="str">
        <f t="shared" si="457"/>
        <v>NA</v>
      </c>
      <c r="AB1350" s="29" t="str">
        <f t="shared" si="458"/>
        <v>NA</v>
      </c>
      <c r="AC1350" s="29" t="str">
        <f t="shared" si="459"/>
        <v>NA</v>
      </c>
      <c r="AD1350" s="29" t="str">
        <f t="shared" si="460"/>
        <v>NA</v>
      </c>
      <c r="AE1350" s="29" t="str">
        <f t="shared" si="461"/>
        <v>NA</v>
      </c>
      <c r="AF1350" s="29" t="str">
        <f t="shared" si="462"/>
        <v>NA</v>
      </c>
      <c r="AG1350" s="29" t="str">
        <f t="shared" si="463"/>
        <v>NA</v>
      </c>
      <c r="AH1350" s="29" t="str">
        <f t="shared" si="464"/>
        <v>NA</v>
      </c>
    </row>
    <row r="1351" customHeight="1" spans="1:34">
      <c r="A1351" s="12" t="s">
        <v>1043</v>
      </c>
      <c r="F1351" s="24">
        <f t="shared" si="466"/>
        <v>0</v>
      </c>
      <c r="G1351" s="24" t="e">
        <f t="shared" si="465"/>
        <v>#DIV/0!</v>
      </c>
      <c r="Q1351" s="29" t="str">
        <f t="shared" si="447"/>
        <v>NA</v>
      </c>
      <c r="R1351" s="29" t="str">
        <f t="shared" si="448"/>
        <v>NA</v>
      </c>
      <c r="S1351" s="29" t="str">
        <f t="shared" si="449"/>
        <v>NA</v>
      </c>
      <c r="T1351" s="29" t="str">
        <f t="shared" si="450"/>
        <v>NA</v>
      </c>
      <c r="U1351" s="29" t="str">
        <f t="shared" si="451"/>
        <v>NA</v>
      </c>
      <c r="V1351" s="29" t="str">
        <f t="shared" si="452"/>
        <v>NA</v>
      </c>
      <c r="W1351" s="29" t="str">
        <f t="shared" si="453"/>
        <v>NA</v>
      </c>
      <c r="X1351" s="29" t="str">
        <f t="shared" si="454"/>
        <v>NA</v>
      </c>
      <c r="Y1351" s="29" t="str">
        <f t="shared" si="455"/>
        <v>NA</v>
      </c>
      <c r="Z1351" s="29" t="str">
        <f t="shared" si="456"/>
        <v>NA</v>
      </c>
      <c r="AA1351" s="29" t="str">
        <f t="shared" si="457"/>
        <v>NA</v>
      </c>
      <c r="AB1351" s="29" t="str">
        <f t="shared" si="458"/>
        <v>NA</v>
      </c>
      <c r="AC1351" s="29" t="str">
        <f t="shared" si="459"/>
        <v>NA</v>
      </c>
      <c r="AD1351" s="29" t="str">
        <f t="shared" si="460"/>
        <v>NA</v>
      </c>
      <c r="AE1351" s="29" t="str">
        <f t="shared" si="461"/>
        <v>NA</v>
      </c>
      <c r="AF1351" s="29" t="str">
        <f t="shared" si="462"/>
        <v>NA</v>
      </c>
      <c r="AG1351" s="29" t="str">
        <f t="shared" si="463"/>
        <v>NA</v>
      </c>
      <c r="AH1351" s="29" t="str">
        <f t="shared" si="464"/>
        <v>NA</v>
      </c>
    </row>
    <row r="1352" customHeight="1" spans="1:34">
      <c r="A1352" s="12" t="s">
        <v>1043</v>
      </c>
      <c r="F1352" s="24">
        <f t="shared" si="466"/>
        <v>0</v>
      </c>
      <c r="G1352" s="24" t="e">
        <f t="shared" si="465"/>
        <v>#DIV/0!</v>
      </c>
      <c r="Q1352" s="29" t="str">
        <f t="shared" si="447"/>
        <v>NA</v>
      </c>
      <c r="R1352" s="29" t="str">
        <f t="shared" si="448"/>
        <v>NA</v>
      </c>
      <c r="S1352" s="29" t="str">
        <f t="shared" si="449"/>
        <v>NA</v>
      </c>
      <c r="T1352" s="29" t="str">
        <f t="shared" si="450"/>
        <v>NA</v>
      </c>
      <c r="U1352" s="29" t="str">
        <f t="shared" si="451"/>
        <v>NA</v>
      </c>
      <c r="V1352" s="29" t="str">
        <f t="shared" si="452"/>
        <v>NA</v>
      </c>
      <c r="W1352" s="29" t="str">
        <f t="shared" si="453"/>
        <v>NA</v>
      </c>
      <c r="X1352" s="29" t="str">
        <f t="shared" si="454"/>
        <v>NA</v>
      </c>
      <c r="Y1352" s="29" t="str">
        <f t="shared" si="455"/>
        <v>NA</v>
      </c>
      <c r="Z1352" s="29" t="str">
        <f t="shared" si="456"/>
        <v>NA</v>
      </c>
      <c r="AA1352" s="29" t="str">
        <f t="shared" si="457"/>
        <v>NA</v>
      </c>
      <c r="AB1352" s="29" t="str">
        <f t="shared" si="458"/>
        <v>NA</v>
      </c>
      <c r="AC1352" s="29" t="str">
        <f t="shared" si="459"/>
        <v>NA</v>
      </c>
      <c r="AD1352" s="29" t="str">
        <f t="shared" si="460"/>
        <v>NA</v>
      </c>
      <c r="AE1352" s="29" t="str">
        <f t="shared" si="461"/>
        <v>NA</v>
      </c>
      <c r="AF1352" s="29" t="str">
        <f t="shared" si="462"/>
        <v>NA</v>
      </c>
      <c r="AG1352" s="29" t="str">
        <f t="shared" si="463"/>
        <v>NA</v>
      </c>
      <c r="AH1352" s="29" t="str">
        <f t="shared" si="464"/>
        <v>NA</v>
      </c>
    </row>
    <row r="1353" customHeight="1" spans="1:34">
      <c r="A1353" s="12" t="s">
        <v>1043</v>
      </c>
      <c r="F1353" s="24">
        <f t="shared" si="466"/>
        <v>0</v>
      </c>
      <c r="G1353" s="24" t="e">
        <f t="shared" si="465"/>
        <v>#DIV/0!</v>
      </c>
      <c r="Q1353" s="29" t="str">
        <f t="shared" si="447"/>
        <v>NA</v>
      </c>
      <c r="R1353" s="29" t="str">
        <f t="shared" si="448"/>
        <v>NA</v>
      </c>
      <c r="S1353" s="29" t="str">
        <f t="shared" si="449"/>
        <v>NA</v>
      </c>
      <c r="T1353" s="29" t="str">
        <f t="shared" si="450"/>
        <v>NA</v>
      </c>
      <c r="U1353" s="29" t="str">
        <f t="shared" si="451"/>
        <v>NA</v>
      </c>
      <c r="V1353" s="29" t="str">
        <f t="shared" si="452"/>
        <v>NA</v>
      </c>
      <c r="W1353" s="29" t="str">
        <f t="shared" si="453"/>
        <v>NA</v>
      </c>
      <c r="X1353" s="29" t="str">
        <f t="shared" si="454"/>
        <v>NA</v>
      </c>
      <c r="Y1353" s="29" t="str">
        <f t="shared" si="455"/>
        <v>NA</v>
      </c>
      <c r="Z1353" s="29" t="str">
        <f t="shared" si="456"/>
        <v>NA</v>
      </c>
      <c r="AA1353" s="29" t="str">
        <f t="shared" si="457"/>
        <v>NA</v>
      </c>
      <c r="AB1353" s="29" t="str">
        <f t="shared" si="458"/>
        <v>NA</v>
      </c>
      <c r="AC1353" s="29" t="str">
        <f t="shared" si="459"/>
        <v>NA</v>
      </c>
      <c r="AD1353" s="29" t="str">
        <f t="shared" si="460"/>
        <v>NA</v>
      </c>
      <c r="AE1353" s="29" t="str">
        <f t="shared" si="461"/>
        <v>NA</v>
      </c>
      <c r="AF1353" s="29" t="str">
        <f t="shared" si="462"/>
        <v>NA</v>
      </c>
      <c r="AG1353" s="29" t="str">
        <f t="shared" si="463"/>
        <v>NA</v>
      </c>
      <c r="AH1353" s="29" t="str">
        <f t="shared" si="464"/>
        <v>NA</v>
      </c>
    </row>
    <row r="1354" customHeight="1" spans="1:34">
      <c r="A1354" s="12" t="s">
        <v>1043</v>
      </c>
      <c r="F1354" s="24">
        <f t="shared" si="466"/>
        <v>0</v>
      </c>
      <c r="G1354" s="24" t="e">
        <f t="shared" si="465"/>
        <v>#DIV/0!</v>
      </c>
      <c r="Q1354" s="29" t="str">
        <f t="shared" si="447"/>
        <v>NA</v>
      </c>
      <c r="R1354" s="29" t="str">
        <f t="shared" si="448"/>
        <v>NA</v>
      </c>
      <c r="S1354" s="29" t="str">
        <f t="shared" si="449"/>
        <v>NA</v>
      </c>
      <c r="T1354" s="29" t="str">
        <f t="shared" si="450"/>
        <v>NA</v>
      </c>
      <c r="U1354" s="29" t="str">
        <f t="shared" si="451"/>
        <v>NA</v>
      </c>
      <c r="V1354" s="29" t="str">
        <f t="shared" si="452"/>
        <v>NA</v>
      </c>
      <c r="W1354" s="29" t="str">
        <f t="shared" si="453"/>
        <v>NA</v>
      </c>
      <c r="X1354" s="29" t="str">
        <f t="shared" si="454"/>
        <v>NA</v>
      </c>
      <c r="Y1354" s="29" t="str">
        <f t="shared" si="455"/>
        <v>NA</v>
      </c>
      <c r="Z1354" s="29" t="str">
        <f t="shared" si="456"/>
        <v>NA</v>
      </c>
      <c r="AA1354" s="29" t="str">
        <f t="shared" si="457"/>
        <v>NA</v>
      </c>
      <c r="AB1354" s="29" t="str">
        <f t="shared" si="458"/>
        <v>NA</v>
      </c>
      <c r="AC1354" s="29" t="str">
        <f t="shared" si="459"/>
        <v>NA</v>
      </c>
      <c r="AD1354" s="29" t="str">
        <f t="shared" si="460"/>
        <v>NA</v>
      </c>
      <c r="AE1354" s="29" t="str">
        <f t="shared" si="461"/>
        <v>NA</v>
      </c>
      <c r="AF1354" s="29" t="str">
        <f t="shared" si="462"/>
        <v>NA</v>
      </c>
      <c r="AG1354" s="29" t="str">
        <f t="shared" si="463"/>
        <v>NA</v>
      </c>
      <c r="AH1354" s="29" t="str">
        <f t="shared" si="464"/>
        <v>NA</v>
      </c>
    </row>
    <row r="1355" customHeight="1" spans="1:34">
      <c r="A1355" s="12" t="s">
        <v>1043</v>
      </c>
      <c r="F1355" s="24">
        <f t="shared" si="466"/>
        <v>0</v>
      </c>
      <c r="G1355" s="24" t="e">
        <f t="shared" si="465"/>
        <v>#DIV/0!</v>
      </c>
      <c r="Q1355" s="29" t="str">
        <f t="shared" si="447"/>
        <v>NA</v>
      </c>
      <c r="R1355" s="29" t="str">
        <f t="shared" si="448"/>
        <v>NA</v>
      </c>
      <c r="S1355" s="29" t="str">
        <f t="shared" si="449"/>
        <v>NA</v>
      </c>
      <c r="T1355" s="29" t="str">
        <f t="shared" si="450"/>
        <v>NA</v>
      </c>
      <c r="U1355" s="29" t="str">
        <f t="shared" si="451"/>
        <v>NA</v>
      </c>
      <c r="V1355" s="29" t="str">
        <f t="shared" si="452"/>
        <v>NA</v>
      </c>
      <c r="W1355" s="29" t="str">
        <f t="shared" si="453"/>
        <v>NA</v>
      </c>
      <c r="X1355" s="29" t="str">
        <f t="shared" si="454"/>
        <v>NA</v>
      </c>
      <c r="Y1355" s="29" t="str">
        <f t="shared" si="455"/>
        <v>NA</v>
      </c>
      <c r="Z1355" s="29" t="str">
        <f t="shared" si="456"/>
        <v>NA</v>
      </c>
      <c r="AA1355" s="29" t="str">
        <f t="shared" si="457"/>
        <v>NA</v>
      </c>
      <c r="AB1355" s="29" t="str">
        <f t="shared" si="458"/>
        <v>NA</v>
      </c>
      <c r="AC1355" s="29" t="str">
        <f t="shared" si="459"/>
        <v>NA</v>
      </c>
      <c r="AD1355" s="29" t="str">
        <f t="shared" si="460"/>
        <v>NA</v>
      </c>
      <c r="AE1355" s="29" t="str">
        <f t="shared" si="461"/>
        <v>NA</v>
      </c>
      <c r="AF1355" s="29" t="str">
        <f t="shared" si="462"/>
        <v>NA</v>
      </c>
      <c r="AG1355" s="29" t="str">
        <f t="shared" si="463"/>
        <v>NA</v>
      </c>
      <c r="AH1355" s="29" t="str">
        <f t="shared" si="464"/>
        <v>NA</v>
      </c>
    </row>
    <row r="1356" customHeight="1" spans="1:34">
      <c r="A1356" s="12" t="s">
        <v>1043</v>
      </c>
      <c r="F1356" s="24">
        <f t="shared" si="466"/>
        <v>0</v>
      </c>
      <c r="G1356" s="24" t="e">
        <f t="shared" si="465"/>
        <v>#DIV/0!</v>
      </c>
      <c r="Q1356" s="29" t="str">
        <f t="shared" si="447"/>
        <v>NA</v>
      </c>
      <c r="R1356" s="29" t="str">
        <f t="shared" si="448"/>
        <v>NA</v>
      </c>
      <c r="S1356" s="29" t="str">
        <f t="shared" si="449"/>
        <v>NA</v>
      </c>
      <c r="T1356" s="29" t="str">
        <f t="shared" si="450"/>
        <v>NA</v>
      </c>
      <c r="U1356" s="29" t="str">
        <f t="shared" si="451"/>
        <v>NA</v>
      </c>
      <c r="V1356" s="29" t="str">
        <f t="shared" si="452"/>
        <v>NA</v>
      </c>
      <c r="W1356" s="29" t="str">
        <f t="shared" si="453"/>
        <v>NA</v>
      </c>
      <c r="X1356" s="29" t="str">
        <f t="shared" si="454"/>
        <v>NA</v>
      </c>
      <c r="Y1356" s="29" t="str">
        <f t="shared" si="455"/>
        <v>NA</v>
      </c>
      <c r="Z1356" s="29" t="str">
        <f t="shared" si="456"/>
        <v>NA</v>
      </c>
      <c r="AA1356" s="29" t="str">
        <f t="shared" si="457"/>
        <v>NA</v>
      </c>
      <c r="AB1356" s="29" t="str">
        <f t="shared" si="458"/>
        <v>NA</v>
      </c>
      <c r="AC1356" s="29" t="str">
        <f t="shared" si="459"/>
        <v>NA</v>
      </c>
      <c r="AD1356" s="29" t="str">
        <f t="shared" si="460"/>
        <v>NA</v>
      </c>
      <c r="AE1356" s="29" t="str">
        <f t="shared" si="461"/>
        <v>NA</v>
      </c>
      <c r="AF1356" s="29" t="str">
        <f t="shared" si="462"/>
        <v>NA</v>
      </c>
      <c r="AG1356" s="29" t="str">
        <f t="shared" si="463"/>
        <v>NA</v>
      </c>
      <c r="AH1356" s="29" t="str">
        <f t="shared" si="464"/>
        <v>NA</v>
      </c>
    </row>
    <row r="1357" customHeight="1" spans="1:34">
      <c r="A1357" s="12" t="s">
        <v>1043</v>
      </c>
      <c r="F1357" s="24">
        <f t="shared" si="466"/>
        <v>0</v>
      </c>
      <c r="G1357" s="24" t="e">
        <f t="shared" si="465"/>
        <v>#DIV/0!</v>
      </c>
      <c r="Q1357" s="29" t="str">
        <f t="shared" si="447"/>
        <v>NA</v>
      </c>
      <c r="R1357" s="29" t="str">
        <f t="shared" si="448"/>
        <v>NA</v>
      </c>
      <c r="S1357" s="29" t="str">
        <f t="shared" si="449"/>
        <v>NA</v>
      </c>
      <c r="T1357" s="29" t="str">
        <f t="shared" si="450"/>
        <v>NA</v>
      </c>
      <c r="U1357" s="29" t="str">
        <f t="shared" si="451"/>
        <v>NA</v>
      </c>
      <c r="V1357" s="29" t="str">
        <f t="shared" si="452"/>
        <v>NA</v>
      </c>
      <c r="W1357" s="29" t="str">
        <f t="shared" si="453"/>
        <v>NA</v>
      </c>
      <c r="X1357" s="29" t="str">
        <f t="shared" si="454"/>
        <v>NA</v>
      </c>
      <c r="Y1357" s="29" t="str">
        <f t="shared" si="455"/>
        <v>NA</v>
      </c>
      <c r="Z1357" s="29" t="str">
        <f t="shared" si="456"/>
        <v>NA</v>
      </c>
      <c r="AA1357" s="29" t="str">
        <f t="shared" si="457"/>
        <v>NA</v>
      </c>
      <c r="AB1357" s="29" t="str">
        <f t="shared" si="458"/>
        <v>NA</v>
      </c>
      <c r="AC1357" s="29" t="str">
        <f t="shared" si="459"/>
        <v>NA</v>
      </c>
      <c r="AD1357" s="29" t="str">
        <f t="shared" si="460"/>
        <v>NA</v>
      </c>
      <c r="AE1357" s="29" t="str">
        <f t="shared" si="461"/>
        <v>NA</v>
      </c>
      <c r="AF1357" s="29" t="str">
        <f t="shared" si="462"/>
        <v>NA</v>
      </c>
      <c r="AG1357" s="29" t="str">
        <f t="shared" si="463"/>
        <v>NA</v>
      </c>
      <c r="AH1357" s="29" t="str">
        <f t="shared" si="464"/>
        <v>NA</v>
      </c>
    </row>
    <row r="1358" customHeight="1" spans="1:34">
      <c r="A1358" s="12" t="s">
        <v>1043</v>
      </c>
      <c r="F1358" s="24">
        <f t="shared" si="466"/>
        <v>0</v>
      </c>
      <c r="G1358" s="24" t="e">
        <f t="shared" si="465"/>
        <v>#DIV/0!</v>
      </c>
      <c r="Q1358" s="29" t="str">
        <f t="shared" si="447"/>
        <v>NA</v>
      </c>
      <c r="R1358" s="29" t="str">
        <f t="shared" si="448"/>
        <v>NA</v>
      </c>
      <c r="S1358" s="29" t="str">
        <f t="shared" si="449"/>
        <v>NA</v>
      </c>
      <c r="T1358" s="29" t="str">
        <f t="shared" si="450"/>
        <v>NA</v>
      </c>
      <c r="U1358" s="29" t="str">
        <f t="shared" si="451"/>
        <v>NA</v>
      </c>
      <c r="V1358" s="29" t="str">
        <f t="shared" si="452"/>
        <v>NA</v>
      </c>
      <c r="W1358" s="29" t="str">
        <f t="shared" si="453"/>
        <v>NA</v>
      </c>
      <c r="X1358" s="29" t="str">
        <f t="shared" si="454"/>
        <v>NA</v>
      </c>
      <c r="Y1358" s="29" t="str">
        <f t="shared" si="455"/>
        <v>NA</v>
      </c>
      <c r="Z1358" s="29" t="str">
        <f t="shared" si="456"/>
        <v>NA</v>
      </c>
      <c r="AA1358" s="29" t="str">
        <f t="shared" si="457"/>
        <v>NA</v>
      </c>
      <c r="AB1358" s="29" t="str">
        <f t="shared" si="458"/>
        <v>NA</v>
      </c>
      <c r="AC1358" s="29" t="str">
        <f t="shared" si="459"/>
        <v>NA</v>
      </c>
      <c r="AD1358" s="29" t="str">
        <f t="shared" si="460"/>
        <v>NA</v>
      </c>
      <c r="AE1358" s="29" t="str">
        <f t="shared" si="461"/>
        <v>NA</v>
      </c>
      <c r="AF1358" s="29" t="str">
        <f t="shared" si="462"/>
        <v>NA</v>
      </c>
      <c r="AG1358" s="29" t="str">
        <f t="shared" si="463"/>
        <v>NA</v>
      </c>
      <c r="AH1358" s="29" t="str">
        <f t="shared" si="464"/>
        <v>NA</v>
      </c>
    </row>
    <row r="1359" customHeight="1" spans="1:34">
      <c r="A1359" s="12" t="s">
        <v>1043</v>
      </c>
      <c r="F1359" s="24">
        <f t="shared" si="466"/>
        <v>0</v>
      </c>
      <c r="G1359" s="24" t="e">
        <f t="shared" si="465"/>
        <v>#DIV/0!</v>
      </c>
      <c r="Q1359" s="29" t="str">
        <f t="shared" si="447"/>
        <v>NA</v>
      </c>
      <c r="R1359" s="29" t="str">
        <f t="shared" si="448"/>
        <v>NA</v>
      </c>
      <c r="S1359" s="29" t="str">
        <f t="shared" si="449"/>
        <v>NA</v>
      </c>
      <c r="T1359" s="29" t="str">
        <f t="shared" si="450"/>
        <v>NA</v>
      </c>
      <c r="U1359" s="29" t="str">
        <f t="shared" si="451"/>
        <v>NA</v>
      </c>
      <c r="V1359" s="29" t="str">
        <f t="shared" si="452"/>
        <v>NA</v>
      </c>
      <c r="W1359" s="29" t="str">
        <f t="shared" si="453"/>
        <v>NA</v>
      </c>
      <c r="X1359" s="29" t="str">
        <f t="shared" si="454"/>
        <v>NA</v>
      </c>
      <c r="Y1359" s="29" t="str">
        <f t="shared" si="455"/>
        <v>NA</v>
      </c>
      <c r="Z1359" s="29" t="str">
        <f t="shared" si="456"/>
        <v>NA</v>
      </c>
      <c r="AA1359" s="29" t="str">
        <f t="shared" si="457"/>
        <v>NA</v>
      </c>
      <c r="AB1359" s="29" t="str">
        <f t="shared" si="458"/>
        <v>NA</v>
      </c>
      <c r="AC1359" s="29" t="str">
        <f t="shared" si="459"/>
        <v>NA</v>
      </c>
      <c r="AD1359" s="29" t="str">
        <f t="shared" si="460"/>
        <v>NA</v>
      </c>
      <c r="AE1359" s="29" t="str">
        <f t="shared" si="461"/>
        <v>NA</v>
      </c>
      <c r="AF1359" s="29" t="str">
        <f t="shared" si="462"/>
        <v>NA</v>
      </c>
      <c r="AG1359" s="29" t="str">
        <f t="shared" si="463"/>
        <v>NA</v>
      </c>
      <c r="AH1359" s="29" t="str">
        <f t="shared" si="464"/>
        <v>NA</v>
      </c>
    </row>
    <row r="1360" customHeight="1" spans="1:34">
      <c r="A1360" s="12" t="s">
        <v>1043</v>
      </c>
      <c r="F1360" s="24">
        <f t="shared" si="466"/>
        <v>0</v>
      </c>
      <c r="G1360" s="24" t="e">
        <f t="shared" si="465"/>
        <v>#DIV/0!</v>
      </c>
      <c r="Q1360" s="29" t="str">
        <f t="shared" ref="Q1360:Q1423" si="467">IFERROR($B1360*$E1360/H1360,"NA")</f>
        <v>NA</v>
      </c>
      <c r="R1360" s="29" t="str">
        <f t="shared" ref="R1360:R1423" si="468">IFERROR($B1360*$E1360/I1360,"NA")</f>
        <v>NA</v>
      </c>
      <c r="S1360" s="29" t="str">
        <f t="shared" ref="S1360:S1423" si="469">IFERROR($B1360*$E1360/J1360,"NA")</f>
        <v>NA</v>
      </c>
      <c r="T1360" s="29" t="str">
        <f t="shared" ref="T1360:T1423" si="470">IFERROR($B1360*$E1360/K1360,"NA")</f>
        <v>NA</v>
      </c>
      <c r="U1360" s="29" t="str">
        <f t="shared" ref="U1360:U1423" si="471">IFERROR($B1360*$E1360/L1360,"NA")</f>
        <v>NA</v>
      </c>
      <c r="V1360" s="29" t="str">
        <f t="shared" ref="V1360:V1423" si="472">IFERROR($B1360*$E1360/M1360,"NA")</f>
        <v>NA</v>
      </c>
      <c r="W1360" s="29" t="str">
        <f t="shared" ref="W1360:W1423" si="473">IFERROR($B1360*$E1360/N1360,"NA")</f>
        <v>NA</v>
      </c>
      <c r="X1360" s="29" t="str">
        <f t="shared" ref="X1360:X1423" si="474">IFERROR($B1360*$E1360/O1360,"NA")</f>
        <v>NA</v>
      </c>
      <c r="Y1360" s="29" t="str">
        <f t="shared" ref="Y1360:Y1423" si="475">IFERROR($B1360*$E1360/P1360,"NA")</f>
        <v>NA</v>
      </c>
      <c r="Z1360" s="29" t="str">
        <f t="shared" ref="Z1360:Z1423" si="476">IFERROR((($G1360*Z$2/1000)+Q1360)/1,"NA")</f>
        <v>NA</v>
      </c>
      <c r="AA1360" s="29" t="str">
        <f t="shared" ref="AA1360:AA1423" si="477">IFERROR((($G1360*AA$2/1000)+R1360)/1,"NA")</f>
        <v>NA</v>
      </c>
      <c r="AB1360" s="29" t="str">
        <f t="shared" ref="AB1360:AB1423" si="478">IFERROR((($G1360*AB$2/1000)+S1360)/1,"NA")</f>
        <v>NA</v>
      </c>
      <c r="AC1360" s="29" t="str">
        <f t="shared" ref="AC1360:AC1423" si="479">IFERROR((($G1360*AC$2/1000)+T1360)/1,"NA")</f>
        <v>NA</v>
      </c>
      <c r="AD1360" s="29" t="str">
        <f t="shared" ref="AD1360:AD1423" si="480">IFERROR((($G1360*AD$2/1000)+U1360)/1,"NA")</f>
        <v>NA</v>
      </c>
      <c r="AE1360" s="29" t="str">
        <f t="shared" ref="AE1360:AE1423" si="481">IFERROR((($G1360*AE$2/1000)+V1360)/1,"NA")</f>
        <v>NA</v>
      </c>
      <c r="AF1360" s="29" t="str">
        <f t="shared" ref="AF1360:AF1423" si="482">IFERROR((($G1360*AF$2/1000)+W1360)/1,"NA")</f>
        <v>NA</v>
      </c>
      <c r="AG1360" s="29" t="str">
        <f t="shared" ref="AG1360:AG1423" si="483">IFERROR((($G1360*AG$2/1000)+X1360)/1,"NA")</f>
        <v>NA</v>
      </c>
      <c r="AH1360" s="29" t="str">
        <f t="shared" ref="AH1360:AH1423" si="484">IFERROR((($G1360*AH$2/1000)+Y1360)/1,"NA")</f>
        <v>NA</v>
      </c>
    </row>
    <row r="1361" customHeight="1" spans="1:34">
      <c r="A1361" s="12" t="s">
        <v>1043</v>
      </c>
      <c r="F1361" s="24">
        <f t="shared" si="466"/>
        <v>0</v>
      </c>
      <c r="G1361" s="24" t="e">
        <f t="shared" si="465"/>
        <v>#DIV/0!</v>
      </c>
      <c r="Q1361" s="29" t="str">
        <f t="shared" si="467"/>
        <v>NA</v>
      </c>
      <c r="R1361" s="29" t="str">
        <f t="shared" si="468"/>
        <v>NA</v>
      </c>
      <c r="S1361" s="29" t="str">
        <f t="shared" si="469"/>
        <v>NA</v>
      </c>
      <c r="T1361" s="29" t="str">
        <f t="shared" si="470"/>
        <v>NA</v>
      </c>
      <c r="U1361" s="29" t="str">
        <f t="shared" si="471"/>
        <v>NA</v>
      </c>
      <c r="V1361" s="29" t="str">
        <f t="shared" si="472"/>
        <v>NA</v>
      </c>
      <c r="W1361" s="29" t="str">
        <f t="shared" si="473"/>
        <v>NA</v>
      </c>
      <c r="X1361" s="29" t="str">
        <f t="shared" si="474"/>
        <v>NA</v>
      </c>
      <c r="Y1361" s="29" t="str">
        <f t="shared" si="475"/>
        <v>NA</v>
      </c>
      <c r="Z1361" s="29" t="str">
        <f t="shared" si="476"/>
        <v>NA</v>
      </c>
      <c r="AA1361" s="29" t="str">
        <f t="shared" si="477"/>
        <v>NA</v>
      </c>
      <c r="AB1361" s="29" t="str">
        <f t="shared" si="478"/>
        <v>NA</v>
      </c>
      <c r="AC1361" s="29" t="str">
        <f t="shared" si="479"/>
        <v>NA</v>
      </c>
      <c r="AD1361" s="29" t="str">
        <f t="shared" si="480"/>
        <v>NA</v>
      </c>
      <c r="AE1361" s="29" t="str">
        <f t="shared" si="481"/>
        <v>NA</v>
      </c>
      <c r="AF1361" s="29" t="str">
        <f t="shared" si="482"/>
        <v>NA</v>
      </c>
      <c r="AG1361" s="29" t="str">
        <f t="shared" si="483"/>
        <v>NA</v>
      </c>
      <c r="AH1361" s="29" t="str">
        <f t="shared" si="484"/>
        <v>NA</v>
      </c>
    </row>
    <row r="1362" customHeight="1" spans="1:34">
      <c r="A1362" s="12" t="s">
        <v>1043</v>
      </c>
      <c r="F1362" s="24">
        <f t="shared" si="466"/>
        <v>0</v>
      </c>
      <c r="G1362" s="24" t="e">
        <f t="shared" si="465"/>
        <v>#DIV/0!</v>
      </c>
      <c r="Q1362" s="29" t="str">
        <f t="shared" si="467"/>
        <v>NA</v>
      </c>
      <c r="R1362" s="29" t="str">
        <f t="shared" si="468"/>
        <v>NA</v>
      </c>
      <c r="S1362" s="29" t="str">
        <f t="shared" si="469"/>
        <v>NA</v>
      </c>
      <c r="T1362" s="29" t="str">
        <f t="shared" si="470"/>
        <v>NA</v>
      </c>
      <c r="U1362" s="29" t="str">
        <f t="shared" si="471"/>
        <v>NA</v>
      </c>
      <c r="V1362" s="29" t="str">
        <f t="shared" si="472"/>
        <v>NA</v>
      </c>
      <c r="W1362" s="29" t="str">
        <f t="shared" si="473"/>
        <v>NA</v>
      </c>
      <c r="X1362" s="29" t="str">
        <f t="shared" si="474"/>
        <v>NA</v>
      </c>
      <c r="Y1362" s="29" t="str">
        <f t="shared" si="475"/>
        <v>NA</v>
      </c>
      <c r="Z1362" s="29" t="str">
        <f t="shared" si="476"/>
        <v>NA</v>
      </c>
      <c r="AA1362" s="29" t="str">
        <f t="shared" si="477"/>
        <v>NA</v>
      </c>
      <c r="AB1362" s="29" t="str">
        <f t="shared" si="478"/>
        <v>NA</v>
      </c>
      <c r="AC1362" s="29" t="str">
        <f t="shared" si="479"/>
        <v>NA</v>
      </c>
      <c r="AD1362" s="29" t="str">
        <f t="shared" si="480"/>
        <v>NA</v>
      </c>
      <c r="AE1362" s="29" t="str">
        <f t="shared" si="481"/>
        <v>NA</v>
      </c>
      <c r="AF1362" s="29" t="str">
        <f t="shared" si="482"/>
        <v>NA</v>
      </c>
      <c r="AG1362" s="29" t="str">
        <f t="shared" si="483"/>
        <v>NA</v>
      </c>
      <c r="AH1362" s="29" t="str">
        <f t="shared" si="484"/>
        <v>NA</v>
      </c>
    </row>
    <row r="1363" customHeight="1" spans="1:34">
      <c r="A1363" s="12" t="s">
        <v>1043</v>
      </c>
      <c r="F1363" s="24">
        <f t="shared" si="466"/>
        <v>0</v>
      </c>
      <c r="G1363" s="24" t="e">
        <f t="shared" si="465"/>
        <v>#DIV/0!</v>
      </c>
      <c r="Q1363" s="29" t="str">
        <f t="shared" si="467"/>
        <v>NA</v>
      </c>
      <c r="R1363" s="29" t="str">
        <f t="shared" si="468"/>
        <v>NA</v>
      </c>
      <c r="S1363" s="29" t="str">
        <f t="shared" si="469"/>
        <v>NA</v>
      </c>
      <c r="T1363" s="29" t="str">
        <f t="shared" si="470"/>
        <v>NA</v>
      </c>
      <c r="U1363" s="29" t="str">
        <f t="shared" si="471"/>
        <v>NA</v>
      </c>
      <c r="V1363" s="29" t="str">
        <f t="shared" si="472"/>
        <v>NA</v>
      </c>
      <c r="W1363" s="29" t="str">
        <f t="shared" si="473"/>
        <v>NA</v>
      </c>
      <c r="X1363" s="29" t="str">
        <f t="shared" si="474"/>
        <v>NA</v>
      </c>
      <c r="Y1363" s="29" t="str">
        <f t="shared" si="475"/>
        <v>NA</v>
      </c>
      <c r="Z1363" s="29" t="str">
        <f t="shared" si="476"/>
        <v>NA</v>
      </c>
      <c r="AA1363" s="29" t="str">
        <f t="shared" si="477"/>
        <v>NA</v>
      </c>
      <c r="AB1363" s="29" t="str">
        <f t="shared" si="478"/>
        <v>NA</v>
      </c>
      <c r="AC1363" s="29" t="str">
        <f t="shared" si="479"/>
        <v>NA</v>
      </c>
      <c r="AD1363" s="29" t="str">
        <f t="shared" si="480"/>
        <v>NA</v>
      </c>
      <c r="AE1363" s="29" t="str">
        <f t="shared" si="481"/>
        <v>NA</v>
      </c>
      <c r="AF1363" s="29" t="str">
        <f t="shared" si="482"/>
        <v>NA</v>
      </c>
      <c r="AG1363" s="29" t="str">
        <f t="shared" si="483"/>
        <v>NA</v>
      </c>
      <c r="AH1363" s="29" t="str">
        <f t="shared" si="484"/>
        <v>NA</v>
      </c>
    </row>
    <row r="1364" customHeight="1" spans="1:34">
      <c r="A1364" s="12" t="s">
        <v>1043</v>
      </c>
      <c r="F1364" s="24">
        <f t="shared" si="466"/>
        <v>0</v>
      </c>
      <c r="G1364" s="24" t="e">
        <f t="shared" si="465"/>
        <v>#DIV/0!</v>
      </c>
      <c r="Q1364" s="29" t="str">
        <f t="shared" si="467"/>
        <v>NA</v>
      </c>
      <c r="R1364" s="29" t="str">
        <f t="shared" si="468"/>
        <v>NA</v>
      </c>
      <c r="S1364" s="29" t="str">
        <f t="shared" si="469"/>
        <v>NA</v>
      </c>
      <c r="T1364" s="29" t="str">
        <f t="shared" si="470"/>
        <v>NA</v>
      </c>
      <c r="U1364" s="29" t="str">
        <f t="shared" si="471"/>
        <v>NA</v>
      </c>
      <c r="V1364" s="29" t="str">
        <f t="shared" si="472"/>
        <v>NA</v>
      </c>
      <c r="W1364" s="29" t="str">
        <f t="shared" si="473"/>
        <v>NA</v>
      </c>
      <c r="X1364" s="29" t="str">
        <f t="shared" si="474"/>
        <v>NA</v>
      </c>
      <c r="Y1364" s="29" t="str">
        <f t="shared" si="475"/>
        <v>NA</v>
      </c>
      <c r="Z1364" s="29" t="str">
        <f t="shared" si="476"/>
        <v>NA</v>
      </c>
      <c r="AA1364" s="29" t="str">
        <f t="shared" si="477"/>
        <v>NA</v>
      </c>
      <c r="AB1364" s="29" t="str">
        <f t="shared" si="478"/>
        <v>NA</v>
      </c>
      <c r="AC1364" s="29" t="str">
        <f t="shared" si="479"/>
        <v>NA</v>
      </c>
      <c r="AD1364" s="29" t="str">
        <f t="shared" si="480"/>
        <v>NA</v>
      </c>
      <c r="AE1364" s="29" t="str">
        <f t="shared" si="481"/>
        <v>NA</v>
      </c>
      <c r="AF1364" s="29" t="str">
        <f t="shared" si="482"/>
        <v>NA</v>
      </c>
      <c r="AG1364" s="29" t="str">
        <f t="shared" si="483"/>
        <v>NA</v>
      </c>
      <c r="AH1364" s="29" t="str">
        <f t="shared" si="484"/>
        <v>NA</v>
      </c>
    </row>
    <row r="1365" customHeight="1" spans="1:34">
      <c r="A1365" s="12" t="s">
        <v>1043</v>
      </c>
      <c r="F1365" s="24">
        <f t="shared" si="466"/>
        <v>0</v>
      </c>
      <c r="G1365" s="24" t="e">
        <f t="shared" si="465"/>
        <v>#DIV/0!</v>
      </c>
      <c r="Q1365" s="29" t="str">
        <f t="shared" si="467"/>
        <v>NA</v>
      </c>
      <c r="R1365" s="29" t="str">
        <f t="shared" si="468"/>
        <v>NA</v>
      </c>
      <c r="S1365" s="29" t="str">
        <f t="shared" si="469"/>
        <v>NA</v>
      </c>
      <c r="T1365" s="29" t="str">
        <f t="shared" si="470"/>
        <v>NA</v>
      </c>
      <c r="U1365" s="29" t="str">
        <f t="shared" si="471"/>
        <v>NA</v>
      </c>
      <c r="V1365" s="29" t="str">
        <f t="shared" si="472"/>
        <v>NA</v>
      </c>
      <c r="W1365" s="29" t="str">
        <f t="shared" si="473"/>
        <v>NA</v>
      </c>
      <c r="X1365" s="29" t="str">
        <f t="shared" si="474"/>
        <v>NA</v>
      </c>
      <c r="Y1365" s="29" t="str">
        <f t="shared" si="475"/>
        <v>NA</v>
      </c>
      <c r="Z1365" s="29" t="str">
        <f t="shared" si="476"/>
        <v>NA</v>
      </c>
      <c r="AA1365" s="29" t="str">
        <f t="shared" si="477"/>
        <v>NA</v>
      </c>
      <c r="AB1365" s="29" t="str">
        <f t="shared" si="478"/>
        <v>NA</v>
      </c>
      <c r="AC1365" s="29" t="str">
        <f t="shared" si="479"/>
        <v>NA</v>
      </c>
      <c r="AD1365" s="29" t="str">
        <f t="shared" si="480"/>
        <v>NA</v>
      </c>
      <c r="AE1365" s="29" t="str">
        <f t="shared" si="481"/>
        <v>NA</v>
      </c>
      <c r="AF1365" s="29" t="str">
        <f t="shared" si="482"/>
        <v>NA</v>
      </c>
      <c r="AG1365" s="29" t="str">
        <f t="shared" si="483"/>
        <v>NA</v>
      </c>
      <c r="AH1365" s="29" t="str">
        <f t="shared" si="484"/>
        <v>NA</v>
      </c>
    </row>
    <row r="1366" customHeight="1" spans="1:34">
      <c r="A1366" s="12" t="s">
        <v>1043</v>
      </c>
      <c r="F1366" s="24">
        <f t="shared" si="466"/>
        <v>0</v>
      </c>
      <c r="G1366" s="24" t="e">
        <f t="shared" si="465"/>
        <v>#DIV/0!</v>
      </c>
      <c r="Q1366" s="29" t="str">
        <f t="shared" si="467"/>
        <v>NA</v>
      </c>
      <c r="R1366" s="29" t="str">
        <f t="shared" si="468"/>
        <v>NA</v>
      </c>
      <c r="S1366" s="29" t="str">
        <f t="shared" si="469"/>
        <v>NA</v>
      </c>
      <c r="T1366" s="29" t="str">
        <f t="shared" si="470"/>
        <v>NA</v>
      </c>
      <c r="U1366" s="29" t="str">
        <f t="shared" si="471"/>
        <v>NA</v>
      </c>
      <c r="V1366" s="29" t="str">
        <f t="shared" si="472"/>
        <v>NA</v>
      </c>
      <c r="W1366" s="29" t="str">
        <f t="shared" si="473"/>
        <v>NA</v>
      </c>
      <c r="X1366" s="29" t="str">
        <f t="shared" si="474"/>
        <v>NA</v>
      </c>
      <c r="Y1366" s="29" t="str">
        <f t="shared" si="475"/>
        <v>NA</v>
      </c>
      <c r="Z1366" s="29" t="str">
        <f t="shared" si="476"/>
        <v>NA</v>
      </c>
      <c r="AA1366" s="29" t="str">
        <f t="shared" si="477"/>
        <v>NA</v>
      </c>
      <c r="AB1366" s="29" t="str">
        <f t="shared" si="478"/>
        <v>NA</v>
      </c>
      <c r="AC1366" s="29" t="str">
        <f t="shared" si="479"/>
        <v>NA</v>
      </c>
      <c r="AD1366" s="29" t="str">
        <f t="shared" si="480"/>
        <v>NA</v>
      </c>
      <c r="AE1366" s="29" t="str">
        <f t="shared" si="481"/>
        <v>NA</v>
      </c>
      <c r="AF1366" s="29" t="str">
        <f t="shared" si="482"/>
        <v>NA</v>
      </c>
      <c r="AG1366" s="29" t="str">
        <f t="shared" si="483"/>
        <v>NA</v>
      </c>
      <c r="AH1366" s="29" t="str">
        <f t="shared" si="484"/>
        <v>NA</v>
      </c>
    </row>
    <row r="1367" customHeight="1" spans="1:34">
      <c r="A1367" s="12" t="s">
        <v>1043</v>
      </c>
      <c r="F1367" s="24">
        <f t="shared" si="466"/>
        <v>0</v>
      </c>
      <c r="G1367" s="24" t="e">
        <f t="shared" si="465"/>
        <v>#DIV/0!</v>
      </c>
      <c r="Q1367" s="29" t="str">
        <f t="shared" si="467"/>
        <v>NA</v>
      </c>
      <c r="R1367" s="29" t="str">
        <f t="shared" si="468"/>
        <v>NA</v>
      </c>
      <c r="S1367" s="29" t="str">
        <f t="shared" si="469"/>
        <v>NA</v>
      </c>
      <c r="T1367" s="29" t="str">
        <f t="shared" si="470"/>
        <v>NA</v>
      </c>
      <c r="U1367" s="29" t="str">
        <f t="shared" si="471"/>
        <v>NA</v>
      </c>
      <c r="V1367" s="29" t="str">
        <f t="shared" si="472"/>
        <v>NA</v>
      </c>
      <c r="W1367" s="29" t="str">
        <f t="shared" si="473"/>
        <v>NA</v>
      </c>
      <c r="X1367" s="29" t="str">
        <f t="shared" si="474"/>
        <v>NA</v>
      </c>
      <c r="Y1367" s="29" t="str">
        <f t="shared" si="475"/>
        <v>NA</v>
      </c>
      <c r="Z1367" s="29" t="str">
        <f t="shared" si="476"/>
        <v>NA</v>
      </c>
      <c r="AA1367" s="29" t="str">
        <f t="shared" si="477"/>
        <v>NA</v>
      </c>
      <c r="AB1367" s="29" t="str">
        <f t="shared" si="478"/>
        <v>NA</v>
      </c>
      <c r="AC1367" s="29" t="str">
        <f t="shared" si="479"/>
        <v>NA</v>
      </c>
      <c r="AD1367" s="29" t="str">
        <f t="shared" si="480"/>
        <v>NA</v>
      </c>
      <c r="AE1367" s="29" t="str">
        <f t="shared" si="481"/>
        <v>NA</v>
      </c>
      <c r="AF1367" s="29" t="str">
        <f t="shared" si="482"/>
        <v>NA</v>
      </c>
      <c r="AG1367" s="29" t="str">
        <f t="shared" si="483"/>
        <v>NA</v>
      </c>
      <c r="AH1367" s="29" t="str">
        <f t="shared" si="484"/>
        <v>NA</v>
      </c>
    </row>
    <row r="1368" customHeight="1" spans="1:34">
      <c r="A1368" s="12" t="s">
        <v>1043</v>
      </c>
      <c r="F1368" s="24">
        <f t="shared" si="466"/>
        <v>0</v>
      </c>
      <c r="G1368" s="24" t="e">
        <f t="shared" si="465"/>
        <v>#DIV/0!</v>
      </c>
      <c r="Q1368" s="29" t="str">
        <f t="shared" si="467"/>
        <v>NA</v>
      </c>
      <c r="R1368" s="29" t="str">
        <f t="shared" si="468"/>
        <v>NA</v>
      </c>
      <c r="S1368" s="29" t="str">
        <f t="shared" si="469"/>
        <v>NA</v>
      </c>
      <c r="T1368" s="29" t="str">
        <f t="shared" si="470"/>
        <v>NA</v>
      </c>
      <c r="U1368" s="29" t="str">
        <f t="shared" si="471"/>
        <v>NA</v>
      </c>
      <c r="V1368" s="29" t="str">
        <f t="shared" si="472"/>
        <v>NA</v>
      </c>
      <c r="W1368" s="29" t="str">
        <f t="shared" si="473"/>
        <v>NA</v>
      </c>
      <c r="X1368" s="29" t="str">
        <f t="shared" si="474"/>
        <v>NA</v>
      </c>
      <c r="Y1368" s="29" t="str">
        <f t="shared" si="475"/>
        <v>NA</v>
      </c>
      <c r="Z1368" s="29" t="str">
        <f t="shared" si="476"/>
        <v>NA</v>
      </c>
      <c r="AA1368" s="29" t="str">
        <f t="shared" si="477"/>
        <v>NA</v>
      </c>
      <c r="AB1368" s="29" t="str">
        <f t="shared" si="478"/>
        <v>NA</v>
      </c>
      <c r="AC1368" s="29" t="str">
        <f t="shared" si="479"/>
        <v>NA</v>
      </c>
      <c r="AD1368" s="29" t="str">
        <f t="shared" si="480"/>
        <v>NA</v>
      </c>
      <c r="AE1368" s="29" t="str">
        <f t="shared" si="481"/>
        <v>NA</v>
      </c>
      <c r="AF1368" s="29" t="str">
        <f t="shared" si="482"/>
        <v>NA</v>
      </c>
      <c r="AG1368" s="29" t="str">
        <f t="shared" si="483"/>
        <v>NA</v>
      </c>
      <c r="AH1368" s="29" t="str">
        <f t="shared" si="484"/>
        <v>NA</v>
      </c>
    </row>
    <row r="1369" customHeight="1" spans="1:34">
      <c r="A1369" s="12" t="s">
        <v>1043</v>
      </c>
      <c r="F1369" s="24">
        <f t="shared" si="466"/>
        <v>0</v>
      </c>
      <c r="G1369" s="24" t="e">
        <f t="shared" si="465"/>
        <v>#DIV/0!</v>
      </c>
      <c r="Q1369" s="29" t="str">
        <f t="shared" si="467"/>
        <v>NA</v>
      </c>
      <c r="R1369" s="29" t="str">
        <f t="shared" si="468"/>
        <v>NA</v>
      </c>
      <c r="S1369" s="29" t="str">
        <f t="shared" si="469"/>
        <v>NA</v>
      </c>
      <c r="T1369" s="29" t="str">
        <f t="shared" si="470"/>
        <v>NA</v>
      </c>
      <c r="U1369" s="29" t="str">
        <f t="shared" si="471"/>
        <v>NA</v>
      </c>
      <c r="V1369" s="29" t="str">
        <f t="shared" si="472"/>
        <v>NA</v>
      </c>
      <c r="W1369" s="29" t="str">
        <f t="shared" si="473"/>
        <v>NA</v>
      </c>
      <c r="X1369" s="29" t="str">
        <f t="shared" si="474"/>
        <v>NA</v>
      </c>
      <c r="Y1369" s="29" t="str">
        <f t="shared" si="475"/>
        <v>NA</v>
      </c>
      <c r="Z1369" s="29" t="str">
        <f t="shared" si="476"/>
        <v>NA</v>
      </c>
      <c r="AA1369" s="29" t="str">
        <f t="shared" si="477"/>
        <v>NA</v>
      </c>
      <c r="AB1369" s="29" t="str">
        <f t="shared" si="478"/>
        <v>NA</v>
      </c>
      <c r="AC1369" s="29" t="str">
        <f t="shared" si="479"/>
        <v>NA</v>
      </c>
      <c r="AD1369" s="29" t="str">
        <f t="shared" si="480"/>
        <v>NA</v>
      </c>
      <c r="AE1369" s="29" t="str">
        <f t="shared" si="481"/>
        <v>NA</v>
      </c>
      <c r="AF1369" s="29" t="str">
        <f t="shared" si="482"/>
        <v>NA</v>
      </c>
      <c r="AG1369" s="29" t="str">
        <f t="shared" si="483"/>
        <v>NA</v>
      </c>
      <c r="AH1369" s="29" t="str">
        <f t="shared" si="484"/>
        <v>NA</v>
      </c>
    </row>
    <row r="1370" customHeight="1" spans="1:34">
      <c r="A1370" s="12" t="s">
        <v>1043</v>
      </c>
      <c r="F1370" s="24">
        <f t="shared" si="466"/>
        <v>0</v>
      </c>
      <c r="G1370" s="24" t="e">
        <f t="shared" si="465"/>
        <v>#DIV/0!</v>
      </c>
      <c r="Q1370" s="29" t="str">
        <f t="shared" si="467"/>
        <v>NA</v>
      </c>
      <c r="R1370" s="29" t="str">
        <f t="shared" si="468"/>
        <v>NA</v>
      </c>
      <c r="S1370" s="29" t="str">
        <f t="shared" si="469"/>
        <v>NA</v>
      </c>
      <c r="T1370" s="29" t="str">
        <f t="shared" si="470"/>
        <v>NA</v>
      </c>
      <c r="U1370" s="29" t="str">
        <f t="shared" si="471"/>
        <v>NA</v>
      </c>
      <c r="V1370" s="29" t="str">
        <f t="shared" si="472"/>
        <v>NA</v>
      </c>
      <c r="W1370" s="29" t="str">
        <f t="shared" si="473"/>
        <v>NA</v>
      </c>
      <c r="X1370" s="29" t="str">
        <f t="shared" si="474"/>
        <v>NA</v>
      </c>
      <c r="Y1370" s="29" t="str">
        <f t="shared" si="475"/>
        <v>NA</v>
      </c>
      <c r="Z1370" s="29" t="str">
        <f t="shared" si="476"/>
        <v>NA</v>
      </c>
      <c r="AA1370" s="29" t="str">
        <f t="shared" si="477"/>
        <v>NA</v>
      </c>
      <c r="AB1370" s="29" t="str">
        <f t="shared" si="478"/>
        <v>NA</v>
      </c>
      <c r="AC1370" s="29" t="str">
        <f t="shared" si="479"/>
        <v>NA</v>
      </c>
      <c r="AD1370" s="29" t="str">
        <f t="shared" si="480"/>
        <v>NA</v>
      </c>
      <c r="AE1370" s="29" t="str">
        <f t="shared" si="481"/>
        <v>NA</v>
      </c>
      <c r="AF1370" s="29" t="str">
        <f t="shared" si="482"/>
        <v>NA</v>
      </c>
      <c r="AG1370" s="29" t="str">
        <f t="shared" si="483"/>
        <v>NA</v>
      </c>
      <c r="AH1370" s="29" t="str">
        <f t="shared" si="484"/>
        <v>NA</v>
      </c>
    </row>
    <row r="1371" customHeight="1" spans="1:34">
      <c r="A1371" s="12" t="s">
        <v>1043</v>
      </c>
      <c r="F1371" s="24">
        <f t="shared" si="466"/>
        <v>0</v>
      </c>
      <c r="G1371" s="24" t="e">
        <f t="shared" si="465"/>
        <v>#DIV/0!</v>
      </c>
      <c r="Q1371" s="29" t="str">
        <f t="shared" si="467"/>
        <v>NA</v>
      </c>
      <c r="R1371" s="29" t="str">
        <f t="shared" si="468"/>
        <v>NA</v>
      </c>
      <c r="S1371" s="29" t="str">
        <f t="shared" si="469"/>
        <v>NA</v>
      </c>
      <c r="T1371" s="29" t="str">
        <f t="shared" si="470"/>
        <v>NA</v>
      </c>
      <c r="U1371" s="29" t="str">
        <f t="shared" si="471"/>
        <v>NA</v>
      </c>
      <c r="V1371" s="29" t="str">
        <f t="shared" si="472"/>
        <v>NA</v>
      </c>
      <c r="W1371" s="29" t="str">
        <f t="shared" si="473"/>
        <v>NA</v>
      </c>
      <c r="X1371" s="29" t="str">
        <f t="shared" si="474"/>
        <v>NA</v>
      </c>
      <c r="Y1371" s="29" t="str">
        <f t="shared" si="475"/>
        <v>NA</v>
      </c>
      <c r="Z1371" s="29" t="str">
        <f t="shared" si="476"/>
        <v>NA</v>
      </c>
      <c r="AA1371" s="29" t="str">
        <f t="shared" si="477"/>
        <v>NA</v>
      </c>
      <c r="AB1371" s="29" t="str">
        <f t="shared" si="478"/>
        <v>NA</v>
      </c>
      <c r="AC1371" s="29" t="str">
        <f t="shared" si="479"/>
        <v>NA</v>
      </c>
      <c r="AD1371" s="29" t="str">
        <f t="shared" si="480"/>
        <v>NA</v>
      </c>
      <c r="AE1371" s="29" t="str">
        <f t="shared" si="481"/>
        <v>NA</v>
      </c>
      <c r="AF1371" s="29" t="str">
        <f t="shared" si="482"/>
        <v>NA</v>
      </c>
      <c r="AG1371" s="29" t="str">
        <f t="shared" si="483"/>
        <v>NA</v>
      </c>
      <c r="AH1371" s="29" t="str">
        <f t="shared" si="484"/>
        <v>NA</v>
      </c>
    </row>
    <row r="1372" customHeight="1" spans="1:34">
      <c r="A1372" s="12" t="s">
        <v>1043</v>
      </c>
      <c r="F1372" s="24">
        <f t="shared" si="466"/>
        <v>0</v>
      </c>
      <c r="G1372" s="24" t="e">
        <f t="shared" si="465"/>
        <v>#DIV/0!</v>
      </c>
      <c r="Q1372" s="29" t="str">
        <f t="shared" si="467"/>
        <v>NA</v>
      </c>
      <c r="R1372" s="29" t="str">
        <f t="shared" si="468"/>
        <v>NA</v>
      </c>
      <c r="S1372" s="29" t="str">
        <f t="shared" si="469"/>
        <v>NA</v>
      </c>
      <c r="T1372" s="29" t="str">
        <f t="shared" si="470"/>
        <v>NA</v>
      </c>
      <c r="U1372" s="29" t="str">
        <f t="shared" si="471"/>
        <v>NA</v>
      </c>
      <c r="V1372" s="29" t="str">
        <f t="shared" si="472"/>
        <v>NA</v>
      </c>
      <c r="W1372" s="29" t="str">
        <f t="shared" si="473"/>
        <v>NA</v>
      </c>
      <c r="X1372" s="29" t="str">
        <f t="shared" si="474"/>
        <v>NA</v>
      </c>
      <c r="Y1372" s="29" t="str">
        <f t="shared" si="475"/>
        <v>NA</v>
      </c>
      <c r="Z1372" s="29" t="str">
        <f t="shared" si="476"/>
        <v>NA</v>
      </c>
      <c r="AA1372" s="29" t="str">
        <f t="shared" si="477"/>
        <v>NA</v>
      </c>
      <c r="AB1372" s="29" t="str">
        <f t="shared" si="478"/>
        <v>NA</v>
      </c>
      <c r="AC1372" s="29" t="str">
        <f t="shared" si="479"/>
        <v>NA</v>
      </c>
      <c r="AD1372" s="29" t="str">
        <f t="shared" si="480"/>
        <v>NA</v>
      </c>
      <c r="AE1372" s="29" t="str">
        <f t="shared" si="481"/>
        <v>NA</v>
      </c>
      <c r="AF1372" s="29" t="str">
        <f t="shared" si="482"/>
        <v>NA</v>
      </c>
      <c r="AG1372" s="29" t="str">
        <f t="shared" si="483"/>
        <v>NA</v>
      </c>
      <c r="AH1372" s="29" t="str">
        <f t="shared" si="484"/>
        <v>NA</v>
      </c>
    </row>
    <row r="1373" customHeight="1" spans="1:34">
      <c r="A1373" s="12" t="s">
        <v>1043</v>
      </c>
      <c r="F1373" s="24">
        <f t="shared" si="466"/>
        <v>0</v>
      </c>
      <c r="G1373" s="24" t="e">
        <f t="shared" si="465"/>
        <v>#DIV/0!</v>
      </c>
      <c r="Q1373" s="29" t="str">
        <f t="shared" si="467"/>
        <v>NA</v>
      </c>
      <c r="R1373" s="29" t="str">
        <f t="shared" si="468"/>
        <v>NA</v>
      </c>
      <c r="S1373" s="29" t="str">
        <f t="shared" si="469"/>
        <v>NA</v>
      </c>
      <c r="T1373" s="29" t="str">
        <f t="shared" si="470"/>
        <v>NA</v>
      </c>
      <c r="U1373" s="29" t="str">
        <f t="shared" si="471"/>
        <v>NA</v>
      </c>
      <c r="V1373" s="29" t="str">
        <f t="shared" si="472"/>
        <v>NA</v>
      </c>
      <c r="W1373" s="29" t="str">
        <f t="shared" si="473"/>
        <v>NA</v>
      </c>
      <c r="X1373" s="29" t="str">
        <f t="shared" si="474"/>
        <v>NA</v>
      </c>
      <c r="Y1373" s="29" t="str">
        <f t="shared" si="475"/>
        <v>NA</v>
      </c>
      <c r="Z1373" s="29" t="str">
        <f t="shared" si="476"/>
        <v>NA</v>
      </c>
      <c r="AA1373" s="29" t="str">
        <f t="shared" si="477"/>
        <v>NA</v>
      </c>
      <c r="AB1373" s="29" t="str">
        <f t="shared" si="478"/>
        <v>NA</v>
      </c>
      <c r="AC1373" s="29" t="str">
        <f t="shared" si="479"/>
        <v>NA</v>
      </c>
      <c r="AD1373" s="29" t="str">
        <f t="shared" si="480"/>
        <v>NA</v>
      </c>
      <c r="AE1373" s="29" t="str">
        <f t="shared" si="481"/>
        <v>NA</v>
      </c>
      <c r="AF1373" s="29" t="str">
        <f t="shared" si="482"/>
        <v>NA</v>
      </c>
      <c r="AG1373" s="29" t="str">
        <f t="shared" si="483"/>
        <v>NA</v>
      </c>
      <c r="AH1373" s="29" t="str">
        <f t="shared" si="484"/>
        <v>NA</v>
      </c>
    </row>
    <row r="1374" customHeight="1" spans="1:34">
      <c r="A1374" s="12" t="s">
        <v>1043</v>
      </c>
      <c r="F1374" s="24">
        <f t="shared" si="466"/>
        <v>0</v>
      </c>
      <c r="G1374" s="24" t="e">
        <f t="shared" si="465"/>
        <v>#DIV/0!</v>
      </c>
      <c r="Q1374" s="29" t="str">
        <f t="shared" si="467"/>
        <v>NA</v>
      </c>
      <c r="R1374" s="29" t="str">
        <f t="shared" si="468"/>
        <v>NA</v>
      </c>
      <c r="S1374" s="29" t="str">
        <f t="shared" si="469"/>
        <v>NA</v>
      </c>
      <c r="T1374" s="29" t="str">
        <f t="shared" si="470"/>
        <v>NA</v>
      </c>
      <c r="U1374" s="29" t="str">
        <f t="shared" si="471"/>
        <v>NA</v>
      </c>
      <c r="V1374" s="29" t="str">
        <f t="shared" si="472"/>
        <v>NA</v>
      </c>
      <c r="W1374" s="29" t="str">
        <f t="shared" si="473"/>
        <v>NA</v>
      </c>
      <c r="X1374" s="29" t="str">
        <f t="shared" si="474"/>
        <v>NA</v>
      </c>
      <c r="Y1374" s="29" t="str">
        <f t="shared" si="475"/>
        <v>NA</v>
      </c>
      <c r="Z1374" s="29" t="str">
        <f t="shared" si="476"/>
        <v>NA</v>
      </c>
      <c r="AA1374" s="29" t="str">
        <f t="shared" si="477"/>
        <v>NA</v>
      </c>
      <c r="AB1374" s="29" t="str">
        <f t="shared" si="478"/>
        <v>NA</v>
      </c>
      <c r="AC1374" s="29" t="str">
        <f t="shared" si="479"/>
        <v>NA</v>
      </c>
      <c r="AD1374" s="29" t="str">
        <f t="shared" si="480"/>
        <v>NA</v>
      </c>
      <c r="AE1374" s="29" t="str">
        <f t="shared" si="481"/>
        <v>NA</v>
      </c>
      <c r="AF1374" s="29" t="str">
        <f t="shared" si="482"/>
        <v>NA</v>
      </c>
      <c r="AG1374" s="29" t="str">
        <f t="shared" si="483"/>
        <v>NA</v>
      </c>
      <c r="AH1374" s="29" t="str">
        <f t="shared" si="484"/>
        <v>NA</v>
      </c>
    </row>
    <row r="1375" customHeight="1" spans="1:34">
      <c r="A1375" s="12" t="s">
        <v>1043</v>
      </c>
      <c r="F1375" s="24">
        <f t="shared" si="466"/>
        <v>0</v>
      </c>
      <c r="G1375" s="24" t="e">
        <f t="shared" si="465"/>
        <v>#DIV/0!</v>
      </c>
      <c r="Q1375" s="29" t="str">
        <f t="shared" si="467"/>
        <v>NA</v>
      </c>
      <c r="R1375" s="29" t="str">
        <f t="shared" si="468"/>
        <v>NA</v>
      </c>
      <c r="S1375" s="29" t="str">
        <f t="shared" si="469"/>
        <v>NA</v>
      </c>
      <c r="T1375" s="29" t="str">
        <f t="shared" si="470"/>
        <v>NA</v>
      </c>
      <c r="U1375" s="29" t="str">
        <f t="shared" si="471"/>
        <v>NA</v>
      </c>
      <c r="V1375" s="29" t="str">
        <f t="shared" si="472"/>
        <v>NA</v>
      </c>
      <c r="W1375" s="29" t="str">
        <f t="shared" si="473"/>
        <v>NA</v>
      </c>
      <c r="X1375" s="29" t="str">
        <f t="shared" si="474"/>
        <v>NA</v>
      </c>
      <c r="Y1375" s="29" t="str">
        <f t="shared" si="475"/>
        <v>NA</v>
      </c>
      <c r="Z1375" s="29" t="str">
        <f t="shared" si="476"/>
        <v>NA</v>
      </c>
      <c r="AA1375" s="29" t="str">
        <f t="shared" si="477"/>
        <v>NA</v>
      </c>
      <c r="AB1375" s="29" t="str">
        <f t="shared" si="478"/>
        <v>NA</v>
      </c>
      <c r="AC1375" s="29" t="str">
        <f t="shared" si="479"/>
        <v>NA</v>
      </c>
      <c r="AD1375" s="29" t="str">
        <f t="shared" si="480"/>
        <v>NA</v>
      </c>
      <c r="AE1375" s="29" t="str">
        <f t="shared" si="481"/>
        <v>NA</v>
      </c>
      <c r="AF1375" s="29" t="str">
        <f t="shared" si="482"/>
        <v>NA</v>
      </c>
      <c r="AG1375" s="29" t="str">
        <f t="shared" si="483"/>
        <v>NA</v>
      </c>
      <c r="AH1375" s="29" t="str">
        <f t="shared" si="484"/>
        <v>NA</v>
      </c>
    </row>
    <row r="1376" customHeight="1" spans="1:34">
      <c r="A1376" s="12" t="s">
        <v>1043</v>
      </c>
      <c r="F1376" s="24">
        <f t="shared" si="466"/>
        <v>0</v>
      </c>
      <c r="G1376" s="24" t="e">
        <f t="shared" si="465"/>
        <v>#DIV/0!</v>
      </c>
      <c r="Q1376" s="29" t="str">
        <f t="shared" si="467"/>
        <v>NA</v>
      </c>
      <c r="R1376" s="29" t="str">
        <f t="shared" si="468"/>
        <v>NA</v>
      </c>
      <c r="S1376" s="29" t="str">
        <f t="shared" si="469"/>
        <v>NA</v>
      </c>
      <c r="T1376" s="29" t="str">
        <f t="shared" si="470"/>
        <v>NA</v>
      </c>
      <c r="U1376" s="29" t="str">
        <f t="shared" si="471"/>
        <v>NA</v>
      </c>
      <c r="V1376" s="29" t="str">
        <f t="shared" si="472"/>
        <v>NA</v>
      </c>
      <c r="W1376" s="29" t="str">
        <f t="shared" si="473"/>
        <v>NA</v>
      </c>
      <c r="X1376" s="29" t="str">
        <f t="shared" si="474"/>
        <v>NA</v>
      </c>
      <c r="Y1376" s="29" t="str">
        <f t="shared" si="475"/>
        <v>NA</v>
      </c>
      <c r="Z1376" s="29" t="str">
        <f t="shared" si="476"/>
        <v>NA</v>
      </c>
      <c r="AA1376" s="29" t="str">
        <f t="shared" si="477"/>
        <v>NA</v>
      </c>
      <c r="AB1376" s="29" t="str">
        <f t="shared" si="478"/>
        <v>NA</v>
      </c>
      <c r="AC1376" s="29" t="str">
        <f t="shared" si="479"/>
        <v>NA</v>
      </c>
      <c r="AD1376" s="29" t="str">
        <f t="shared" si="480"/>
        <v>NA</v>
      </c>
      <c r="AE1376" s="29" t="str">
        <f t="shared" si="481"/>
        <v>NA</v>
      </c>
      <c r="AF1376" s="29" t="str">
        <f t="shared" si="482"/>
        <v>NA</v>
      </c>
      <c r="AG1376" s="29" t="str">
        <f t="shared" si="483"/>
        <v>NA</v>
      </c>
      <c r="AH1376" s="29" t="str">
        <f t="shared" si="484"/>
        <v>NA</v>
      </c>
    </row>
    <row r="1377" customHeight="1" spans="1:34">
      <c r="A1377" s="12" t="s">
        <v>1043</v>
      </c>
      <c r="F1377" s="24">
        <f t="shared" si="466"/>
        <v>0</v>
      </c>
      <c r="G1377" s="24" t="e">
        <f t="shared" si="465"/>
        <v>#DIV/0!</v>
      </c>
      <c r="Q1377" s="29" t="str">
        <f t="shared" si="467"/>
        <v>NA</v>
      </c>
      <c r="R1377" s="29" t="str">
        <f t="shared" si="468"/>
        <v>NA</v>
      </c>
      <c r="S1377" s="29" t="str">
        <f t="shared" si="469"/>
        <v>NA</v>
      </c>
      <c r="T1377" s="29" t="str">
        <f t="shared" si="470"/>
        <v>NA</v>
      </c>
      <c r="U1377" s="29" t="str">
        <f t="shared" si="471"/>
        <v>NA</v>
      </c>
      <c r="V1377" s="29" t="str">
        <f t="shared" si="472"/>
        <v>NA</v>
      </c>
      <c r="W1377" s="29" t="str">
        <f t="shared" si="473"/>
        <v>NA</v>
      </c>
      <c r="X1377" s="29" t="str">
        <f t="shared" si="474"/>
        <v>NA</v>
      </c>
      <c r="Y1377" s="29" t="str">
        <f t="shared" si="475"/>
        <v>NA</v>
      </c>
      <c r="Z1377" s="29" t="str">
        <f t="shared" si="476"/>
        <v>NA</v>
      </c>
      <c r="AA1377" s="29" t="str">
        <f t="shared" si="477"/>
        <v>NA</v>
      </c>
      <c r="AB1377" s="29" t="str">
        <f t="shared" si="478"/>
        <v>NA</v>
      </c>
      <c r="AC1377" s="29" t="str">
        <f t="shared" si="479"/>
        <v>NA</v>
      </c>
      <c r="AD1377" s="29" t="str">
        <f t="shared" si="480"/>
        <v>NA</v>
      </c>
      <c r="AE1377" s="29" t="str">
        <f t="shared" si="481"/>
        <v>NA</v>
      </c>
      <c r="AF1377" s="29" t="str">
        <f t="shared" si="482"/>
        <v>NA</v>
      </c>
      <c r="AG1377" s="29" t="str">
        <f t="shared" si="483"/>
        <v>NA</v>
      </c>
      <c r="AH1377" s="29" t="str">
        <f t="shared" si="484"/>
        <v>NA</v>
      </c>
    </row>
    <row r="1378" customHeight="1" spans="1:34">
      <c r="A1378" s="12" t="s">
        <v>1043</v>
      </c>
      <c r="F1378" s="24">
        <f t="shared" si="466"/>
        <v>0</v>
      </c>
      <c r="G1378" s="24" t="e">
        <f t="shared" si="465"/>
        <v>#DIV/0!</v>
      </c>
      <c r="Q1378" s="29" t="str">
        <f t="shared" si="467"/>
        <v>NA</v>
      </c>
      <c r="R1378" s="29" t="str">
        <f t="shared" si="468"/>
        <v>NA</v>
      </c>
      <c r="S1378" s="29" t="str">
        <f t="shared" si="469"/>
        <v>NA</v>
      </c>
      <c r="T1378" s="29" t="str">
        <f t="shared" si="470"/>
        <v>NA</v>
      </c>
      <c r="U1378" s="29" t="str">
        <f t="shared" si="471"/>
        <v>NA</v>
      </c>
      <c r="V1378" s="29" t="str">
        <f t="shared" si="472"/>
        <v>NA</v>
      </c>
      <c r="W1378" s="29" t="str">
        <f t="shared" si="473"/>
        <v>NA</v>
      </c>
      <c r="X1378" s="29" t="str">
        <f t="shared" si="474"/>
        <v>NA</v>
      </c>
      <c r="Y1378" s="29" t="str">
        <f t="shared" si="475"/>
        <v>NA</v>
      </c>
      <c r="Z1378" s="29" t="str">
        <f t="shared" si="476"/>
        <v>NA</v>
      </c>
      <c r="AA1378" s="29" t="str">
        <f t="shared" si="477"/>
        <v>NA</v>
      </c>
      <c r="AB1378" s="29" t="str">
        <f t="shared" si="478"/>
        <v>NA</v>
      </c>
      <c r="AC1378" s="29" t="str">
        <f t="shared" si="479"/>
        <v>NA</v>
      </c>
      <c r="AD1378" s="29" t="str">
        <f t="shared" si="480"/>
        <v>NA</v>
      </c>
      <c r="AE1378" s="29" t="str">
        <f t="shared" si="481"/>
        <v>NA</v>
      </c>
      <c r="AF1378" s="29" t="str">
        <f t="shared" si="482"/>
        <v>NA</v>
      </c>
      <c r="AG1378" s="29" t="str">
        <f t="shared" si="483"/>
        <v>NA</v>
      </c>
      <c r="AH1378" s="29" t="str">
        <f t="shared" si="484"/>
        <v>NA</v>
      </c>
    </row>
    <row r="1379" customHeight="1" spans="1:34">
      <c r="A1379" s="12" t="s">
        <v>1043</v>
      </c>
      <c r="F1379" s="24">
        <f t="shared" si="466"/>
        <v>0</v>
      </c>
      <c r="G1379" s="24" t="e">
        <f t="shared" si="465"/>
        <v>#DIV/0!</v>
      </c>
      <c r="Q1379" s="29" t="str">
        <f t="shared" si="467"/>
        <v>NA</v>
      </c>
      <c r="R1379" s="29" t="str">
        <f t="shared" si="468"/>
        <v>NA</v>
      </c>
      <c r="S1379" s="29" t="str">
        <f t="shared" si="469"/>
        <v>NA</v>
      </c>
      <c r="T1379" s="29" t="str">
        <f t="shared" si="470"/>
        <v>NA</v>
      </c>
      <c r="U1379" s="29" t="str">
        <f t="shared" si="471"/>
        <v>NA</v>
      </c>
      <c r="V1379" s="29" t="str">
        <f t="shared" si="472"/>
        <v>NA</v>
      </c>
      <c r="W1379" s="29" t="str">
        <f t="shared" si="473"/>
        <v>NA</v>
      </c>
      <c r="X1379" s="29" t="str">
        <f t="shared" si="474"/>
        <v>NA</v>
      </c>
      <c r="Y1379" s="29" t="str">
        <f t="shared" si="475"/>
        <v>NA</v>
      </c>
      <c r="Z1379" s="29" t="str">
        <f t="shared" si="476"/>
        <v>NA</v>
      </c>
      <c r="AA1379" s="29" t="str">
        <f t="shared" si="477"/>
        <v>NA</v>
      </c>
      <c r="AB1379" s="29" t="str">
        <f t="shared" si="478"/>
        <v>NA</v>
      </c>
      <c r="AC1379" s="29" t="str">
        <f t="shared" si="479"/>
        <v>NA</v>
      </c>
      <c r="AD1379" s="29" t="str">
        <f t="shared" si="480"/>
        <v>NA</v>
      </c>
      <c r="AE1379" s="29" t="str">
        <f t="shared" si="481"/>
        <v>NA</v>
      </c>
      <c r="AF1379" s="29" t="str">
        <f t="shared" si="482"/>
        <v>NA</v>
      </c>
      <c r="AG1379" s="29" t="str">
        <f t="shared" si="483"/>
        <v>NA</v>
      </c>
      <c r="AH1379" s="29" t="str">
        <f t="shared" si="484"/>
        <v>NA</v>
      </c>
    </row>
    <row r="1380" customHeight="1" spans="1:34">
      <c r="A1380" s="12" t="s">
        <v>1043</v>
      </c>
      <c r="F1380" s="24">
        <f t="shared" si="466"/>
        <v>0</v>
      </c>
      <c r="G1380" s="24" t="e">
        <f t="shared" si="465"/>
        <v>#DIV/0!</v>
      </c>
      <c r="Q1380" s="29" t="str">
        <f t="shared" si="467"/>
        <v>NA</v>
      </c>
      <c r="R1380" s="29" t="str">
        <f t="shared" si="468"/>
        <v>NA</v>
      </c>
      <c r="S1380" s="29" t="str">
        <f t="shared" si="469"/>
        <v>NA</v>
      </c>
      <c r="T1380" s="29" t="str">
        <f t="shared" si="470"/>
        <v>NA</v>
      </c>
      <c r="U1380" s="29" t="str">
        <f t="shared" si="471"/>
        <v>NA</v>
      </c>
      <c r="V1380" s="29" t="str">
        <f t="shared" si="472"/>
        <v>NA</v>
      </c>
      <c r="W1380" s="29" t="str">
        <f t="shared" si="473"/>
        <v>NA</v>
      </c>
      <c r="X1380" s="29" t="str">
        <f t="shared" si="474"/>
        <v>NA</v>
      </c>
      <c r="Y1380" s="29" t="str">
        <f t="shared" si="475"/>
        <v>NA</v>
      </c>
      <c r="Z1380" s="29" t="str">
        <f t="shared" si="476"/>
        <v>NA</v>
      </c>
      <c r="AA1380" s="29" t="str">
        <f t="shared" si="477"/>
        <v>NA</v>
      </c>
      <c r="AB1380" s="29" t="str">
        <f t="shared" si="478"/>
        <v>NA</v>
      </c>
      <c r="AC1380" s="29" t="str">
        <f t="shared" si="479"/>
        <v>NA</v>
      </c>
      <c r="AD1380" s="29" t="str">
        <f t="shared" si="480"/>
        <v>NA</v>
      </c>
      <c r="AE1380" s="29" t="str">
        <f t="shared" si="481"/>
        <v>NA</v>
      </c>
      <c r="AF1380" s="29" t="str">
        <f t="shared" si="482"/>
        <v>NA</v>
      </c>
      <c r="AG1380" s="29" t="str">
        <f t="shared" si="483"/>
        <v>NA</v>
      </c>
      <c r="AH1380" s="29" t="str">
        <f t="shared" si="484"/>
        <v>NA</v>
      </c>
    </row>
    <row r="1381" customHeight="1" spans="1:34">
      <c r="A1381" s="12" t="s">
        <v>1043</v>
      </c>
      <c r="F1381" s="24">
        <f t="shared" si="466"/>
        <v>0</v>
      </c>
      <c r="G1381" s="24" t="e">
        <f t="shared" si="465"/>
        <v>#DIV/0!</v>
      </c>
      <c r="Q1381" s="29" t="str">
        <f t="shared" si="467"/>
        <v>NA</v>
      </c>
      <c r="R1381" s="29" t="str">
        <f t="shared" si="468"/>
        <v>NA</v>
      </c>
      <c r="S1381" s="29" t="str">
        <f t="shared" si="469"/>
        <v>NA</v>
      </c>
      <c r="T1381" s="29" t="str">
        <f t="shared" si="470"/>
        <v>NA</v>
      </c>
      <c r="U1381" s="29" t="str">
        <f t="shared" si="471"/>
        <v>NA</v>
      </c>
      <c r="V1381" s="29" t="str">
        <f t="shared" si="472"/>
        <v>NA</v>
      </c>
      <c r="W1381" s="29" t="str">
        <f t="shared" si="473"/>
        <v>NA</v>
      </c>
      <c r="X1381" s="29" t="str">
        <f t="shared" si="474"/>
        <v>NA</v>
      </c>
      <c r="Y1381" s="29" t="str">
        <f t="shared" si="475"/>
        <v>NA</v>
      </c>
      <c r="Z1381" s="29" t="str">
        <f t="shared" si="476"/>
        <v>NA</v>
      </c>
      <c r="AA1381" s="29" t="str">
        <f t="shared" si="477"/>
        <v>NA</v>
      </c>
      <c r="AB1381" s="29" t="str">
        <f t="shared" si="478"/>
        <v>NA</v>
      </c>
      <c r="AC1381" s="29" t="str">
        <f t="shared" si="479"/>
        <v>NA</v>
      </c>
      <c r="AD1381" s="29" t="str">
        <f t="shared" si="480"/>
        <v>NA</v>
      </c>
      <c r="AE1381" s="29" t="str">
        <f t="shared" si="481"/>
        <v>NA</v>
      </c>
      <c r="AF1381" s="29" t="str">
        <f t="shared" si="482"/>
        <v>NA</v>
      </c>
      <c r="AG1381" s="29" t="str">
        <f t="shared" si="483"/>
        <v>NA</v>
      </c>
      <c r="AH1381" s="29" t="str">
        <f t="shared" si="484"/>
        <v>NA</v>
      </c>
    </row>
    <row r="1382" customHeight="1" spans="1:34">
      <c r="A1382" s="12" t="s">
        <v>1043</v>
      </c>
      <c r="F1382" s="24">
        <f t="shared" si="466"/>
        <v>0</v>
      </c>
      <c r="G1382" s="24" t="e">
        <f t="shared" si="465"/>
        <v>#DIV/0!</v>
      </c>
      <c r="Q1382" s="29" t="str">
        <f t="shared" si="467"/>
        <v>NA</v>
      </c>
      <c r="R1382" s="29" t="str">
        <f t="shared" si="468"/>
        <v>NA</v>
      </c>
      <c r="S1382" s="29" t="str">
        <f t="shared" si="469"/>
        <v>NA</v>
      </c>
      <c r="T1382" s="29" t="str">
        <f t="shared" si="470"/>
        <v>NA</v>
      </c>
      <c r="U1382" s="29" t="str">
        <f t="shared" si="471"/>
        <v>NA</v>
      </c>
      <c r="V1382" s="29" t="str">
        <f t="shared" si="472"/>
        <v>NA</v>
      </c>
      <c r="W1382" s="29" t="str">
        <f t="shared" si="473"/>
        <v>NA</v>
      </c>
      <c r="X1382" s="29" t="str">
        <f t="shared" si="474"/>
        <v>NA</v>
      </c>
      <c r="Y1382" s="29" t="str">
        <f t="shared" si="475"/>
        <v>NA</v>
      </c>
      <c r="Z1382" s="29" t="str">
        <f t="shared" si="476"/>
        <v>NA</v>
      </c>
      <c r="AA1382" s="29" t="str">
        <f t="shared" si="477"/>
        <v>NA</v>
      </c>
      <c r="AB1382" s="29" t="str">
        <f t="shared" si="478"/>
        <v>NA</v>
      </c>
      <c r="AC1382" s="29" t="str">
        <f t="shared" si="479"/>
        <v>NA</v>
      </c>
      <c r="AD1382" s="29" t="str">
        <f t="shared" si="480"/>
        <v>NA</v>
      </c>
      <c r="AE1382" s="29" t="str">
        <f t="shared" si="481"/>
        <v>NA</v>
      </c>
      <c r="AF1382" s="29" t="str">
        <f t="shared" si="482"/>
        <v>NA</v>
      </c>
      <c r="AG1382" s="29" t="str">
        <f t="shared" si="483"/>
        <v>NA</v>
      </c>
      <c r="AH1382" s="29" t="str">
        <f t="shared" si="484"/>
        <v>NA</v>
      </c>
    </row>
    <row r="1383" customHeight="1" spans="1:34">
      <c r="A1383" s="12" t="s">
        <v>1043</v>
      </c>
      <c r="F1383" s="24">
        <f t="shared" si="466"/>
        <v>0</v>
      </c>
      <c r="G1383" s="24" t="e">
        <f t="shared" si="465"/>
        <v>#DIV/0!</v>
      </c>
      <c r="Q1383" s="29" t="str">
        <f t="shared" si="467"/>
        <v>NA</v>
      </c>
      <c r="R1383" s="29" t="str">
        <f t="shared" si="468"/>
        <v>NA</v>
      </c>
      <c r="S1383" s="29" t="str">
        <f t="shared" si="469"/>
        <v>NA</v>
      </c>
      <c r="T1383" s="29" t="str">
        <f t="shared" si="470"/>
        <v>NA</v>
      </c>
      <c r="U1383" s="29" t="str">
        <f t="shared" si="471"/>
        <v>NA</v>
      </c>
      <c r="V1383" s="29" t="str">
        <f t="shared" si="472"/>
        <v>NA</v>
      </c>
      <c r="W1383" s="29" t="str">
        <f t="shared" si="473"/>
        <v>NA</v>
      </c>
      <c r="X1383" s="29" t="str">
        <f t="shared" si="474"/>
        <v>NA</v>
      </c>
      <c r="Y1383" s="29" t="str">
        <f t="shared" si="475"/>
        <v>NA</v>
      </c>
      <c r="Z1383" s="29" t="str">
        <f t="shared" si="476"/>
        <v>NA</v>
      </c>
      <c r="AA1383" s="29" t="str">
        <f t="shared" si="477"/>
        <v>NA</v>
      </c>
      <c r="AB1383" s="29" t="str">
        <f t="shared" si="478"/>
        <v>NA</v>
      </c>
      <c r="AC1383" s="29" t="str">
        <f t="shared" si="479"/>
        <v>NA</v>
      </c>
      <c r="AD1383" s="29" t="str">
        <f t="shared" si="480"/>
        <v>NA</v>
      </c>
      <c r="AE1383" s="29" t="str">
        <f t="shared" si="481"/>
        <v>NA</v>
      </c>
      <c r="AF1383" s="29" t="str">
        <f t="shared" si="482"/>
        <v>NA</v>
      </c>
      <c r="AG1383" s="29" t="str">
        <f t="shared" si="483"/>
        <v>NA</v>
      </c>
      <c r="AH1383" s="29" t="str">
        <f t="shared" si="484"/>
        <v>NA</v>
      </c>
    </row>
    <row r="1384" customHeight="1" spans="1:34">
      <c r="A1384" s="12" t="s">
        <v>1043</v>
      </c>
      <c r="F1384" s="24">
        <f t="shared" si="466"/>
        <v>0</v>
      </c>
      <c r="G1384" s="24" t="e">
        <f t="shared" si="465"/>
        <v>#DIV/0!</v>
      </c>
      <c r="Q1384" s="29" t="str">
        <f t="shared" si="467"/>
        <v>NA</v>
      </c>
      <c r="R1384" s="29" t="str">
        <f t="shared" si="468"/>
        <v>NA</v>
      </c>
      <c r="S1384" s="29" t="str">
        <f t="shared" si="469"/>
        <v>NA</v>
      </c>
      <c r="T1384" s="29" t="str">
        <f t="shared" si="470"/>
        <v>NA</v>
      </c>
      <c r="U1384" s="29" t="str">
        <f t="shared" si="471"/>
        <v>NA</v>
      </c>
      <c r="V1384" s="29" t="str">
        <f t="shared" si="472"/>
        <v>NA</v>
      </c>
      <c r="W1384" s="29" t="str">
        <f t="shared" si="473"/>
        <v>NA</v>
      </c>
      <c r="X1384" s="29" t="str">
        <f t="shared" si="474"/>
        <v>NA</v>
      </c>
      <c r="Y1384" s="29" t="str">
        <f t="shared" si="475"/>
        <v>NA</v>
      </c>
      <c r="Z1384" s="29" t="str">
        <f t="shared" si="476"/>
        <v>NA</v>
      </c>
      <c r="AA1384" s="29" t="str">
        <f t="shared" si="477"/>
        <v>NA</v>
      </c>
      <c r="AB1384" s="29" t="str">
        <f t="shared" si="478"/>
        <v>NA</v>
      </c>
      <c r="AC1384" s="29" t="str">
        <f t="shared" si="479"/>
        <v>NA</v>
      </c>
      <c r="AD1384" s="29" t="str">
        <f t="shared" si="480"/>
        <v>NA</v>
      </c>
      <c r="AE1384" s="29" t="str">
        <f t="shared" si="481"/>
        <v>NA</v>
      </c>
      <c r="AF1384" s="29" t="str">
        <f t="shared" si="482"/>
        <v>NA</v>
      </c>
      <c r="AG1384" s="29" t="str">
        <f t="shared" si="483"/>
        <v>NA</v>
      </c>
      <c r="AH1384" s="29" t="str">
        <f t="shared" si="484"/>
        <v>NA</v>
      </c>
    </row>
    <row r="1385" customHeight="1" spans="1:34">
      <c r="A1385" s="12" t="s">
        <v>1043</v>
      </c>
      <c r="F1385" s="24">
        <f t="shared" si="466"/>
        <v>0</v>
      </c>
      <c r="G1385" s="24" t="e">
        <f t="shared" si="465"/>
        <v>#DIV/0!</v>
      </c>
      <c r="Q1385" s="29" t="str">
        <f t="shared" si="467"/>
        <v>NA</v>
      </c>
      <c r="R1385" s="29" t="str">
        <f t="shared" si="468"/>
        <v>NA</v>
      </c>
      <c r="S1385" s="29" t="str">
        <f t="shared" si="469"/>
        <v>NA</v>
      </c>
      <c r="T1385" s="29" t="str">
        <f t="shared" si="470"/>
        <v>NA</v>
      </c>
      <c r="U1385" s="29" t="str">
        <f t="shared" si="471"/>
        <v>NA</v>
      </c>
      <c r="V1385" s="29" t="str">
        <f t="shared" si="472"/>
        <v>NA</v>
      </c>
      <c r="W1385" s="29" t="str">
        <f t="shared" si="473"/>
        <v>NA</v>
      </c>
      <c r="X1385" s="29" t="str">
        <f t="shared" si="474"/>
        <v>NA</v>
      </c>
      <c r="Y1385" s="29" t="str">
        <f t="shared" si="475"/>
        <v>NA</v>
      </c>
      <c r="Z1385" s="29" t="str">
        <f t="shared" si="476"/>
        <v>NA</v>
      </c>
      <c r="AA1385" s="29" t="str">
        <f t="shared" si="477"/>
        <v>NA</v>
      </c>
      <c r="AB1385" s="29" t="str">
        <f t="shared" si="478"/>
        <v>NA</v>
      </c>
      <c r="AC1385" s="29" t="str">
        <f t="shared" si="479"/>
        <v>NA</v>
      </c>
      <c r="AD1385" s="29" t="str">
        <f t="shared" si="480"/>
        <v>NA</v>
      </c>
      <c r="AE1385" s="29" t="str">
        <f t="shared" si="481"/>
        <v>NA</v>
      </c>
      <c r="AF1385" s="29" t="str">
        <f t="shared" si="482"/>
        <v>NA</v>
      </c>
      <c r="AG1385" s="29" t="str">
        <f t="shared" si="483"/>
        <v>NA</v>
      </c>
      <c r="AH1385" s="29" t="str">
        <f t="shared" si="484"/>
        <v>NA</v>
      </c>
    </row>
    <row r="1386" customHeight="1" spans="1:34">
      <c r="A1386" s="12" t="s">
        <v>1043</v>
      </c>
      <c r="F1386" s="24">
        <f t="shared" si="466"/>
        <v>0</v>
      </c>
      <c r="G1386" s="24" t="e">
        <f t="shared" si="465"/>
        <v>#DIV/0!</v>
      </c>
      <c r="Q1386" s="29" t="str">
        <f t="shared" si="467"/>
        <v>NA</v>
      </c>
      <c r="R1386" s="29" t="str">
        <f t="shared" si="468"/>
        <v>NA</v>
      </c>
      <c r="S1386" s="29" t="str">
        <f t="shared" si="469"/>
        <v>NA</v>
      </c>
      <c r="T1386" s="29" t="str">
        <f t="shared" si="470"/>
        <v>NA</v>
      </c>
      <c r="U1386" s="29" t="str">
        <f t="shared" si="471"/>
        <v>NA</v>
      </c>
      <c r="V1386" s="29" t="str">
        <f t="shared" si="472"/>
        <v>NA</v>
      </c>
      <c r="W1386" s="29" t="str">
        <f t="shared" si="473"/>
        <v>NA</v>
      </c>
      <c r="X1386" s="29" t="str">
        <f t="shared" si="474"/>
        <v>NA</v>
      </c>
      <c r="Y1386" s="29" t="str">
        <f t="shared" si="475"/>
        <v>NA</v>
      </c>
      <c r="Z1386" s="29" t="str">
        <f t="shared" si="476"/>
        <v>NA</v>
      </c>
      <c r="AA1386" s="29" t="str">
        <f t="shared" si="477"/>
        <v>NA</v>
      </c>
      <c r="AB1386" s="29" t="str">
        <f t="shared" si="478"/>
        <v>NA</v>
      </c>
      <c r="AC1386" s="29" t="str">
        <f t="shared" si="479"/>
        <v>NA</v>
      </c>
      <c r="AD1386" s="29" t="str">
        <f t="shared" si="480"/>
        <v>NA</v>
      </c>
      <c r="AE1386" s="29" t="str">
        <f t="shared" si="481"/>
        <v>NA</v>
      </c>
      <c r="AF1386" s="29" t="str">
        <f t="shared" si="482"/>
        <v>NA</v>
      </c>
      <c r="AG1386" s="29" t="str">
        <f t="shared" si="483"/>
        <v>NA</v>
      </c>
      <c r="AH1386" s="29" t="str">
        <f t="shared" si="484"/>
        <v>NA</v>
      </c>
    </row>
    <row r="1387" customHeight="1" spans="1:34">
      <c r="A1387" s="12" t="s">
        <v>1043</v>
      </c>
      <c r="F1387" s="24">
        <f t="shared" si="466"/>
        <v>0</v>
      </c>
      <c r="G1387" s="24" t="e">
        <f t="shared" si="465"/>
        <v>#DIV/0!</v>
      </c>
      <c r="Q1387" s="29" t="str">
        <f t="shared" si="467"/>
        <v>NA</v>
      </c>
      <c r="R1387" s="29" t="str">
        <f t="shared" si="468"/>
        <v>NA</v>
      </c>
      <c r="S1387" s="29" t="str">
        <f t="shared" si="469"/>
        <v>NA</v>
      </c>
      <c r="T1387" s="29" t="str">
        <f t="shared" si="470"/>
        <v>NA</v>
      </c>
      <c r="U1387" s="29" t="str">
        <f t="shared" si="471"/>
        <v>NA</v>
      </c>
      <c r="V1387" s="29" t="str">
        <f t="shared" si="472"/>
        <v>NA</v>
      </c>
      <c r="W1387" s="29" t="str">
        <f t="shared" si="473"/>
        <v>NA</v>
      </c>
      <c r="X1387" s="29" t="str">
        <f t="shared" si="474"/>
        <v>NA</v>
      </c>
      <c r="Y1387" s="29" t="str">
        <f t="shared" si="475"/>
        <v>NA</v>
      </c>
      <c r="Z1387" s="29" t="str">
        <f t="shared" si="476"/>
        <v>NA</v>
      </c>
      <c r="AA1387" s="29" t="str">
        <f t="shared" si="477"/>
        <v>NA</v>
      </c>
      <c r="AB1387" s="29" t="str">
        <f t="shared" si="478"/>
        <v>NA</v>
      </c>
      <c r="AC1387" s="29" t="str">
        <f t="shared" si="479"/>
        <v>NA</v>
      </c>
      <c r="AD1387" s="29" t="str">
        <f t="shared" si="480"/>
        <v>NA</v>
      </c>
      <c r="AE1387" s="29" t="str">
        <f t="shared" si="481"/>
        <v>NA</v>
      </c>
      <c r="AF1387" s="29" t="str">
        <f t="shared" si="482"/>
        <v>NA</v>
      </c>
      <c r="AG1387" s="29" t="str">
        <f t="shared" si="483"/>
        <v>NA</v>
      </c>
      <c r="AH1387" s="29" t="str">
        <f t="shared" si="484"/>
        <v>NA</v>
      </c>
    </row>
    <row r="1388" customHeight="1" spans="1:34">
      <c r="A1388" s="12" t="s">
        <v>1043</v>
      </c>
      <c r="F1388" s="24">
        <f t="shared" si="466"/>
        <v>0</v>
      </c>
      <c r="G1388" s="24" t="e">
        <f t="shared" si="465"/>
        <v>#DIV/0!</v>
      </c>
      <c r="Q1388" s="29" t="str">
        <f t="shared" si="467"/>
        <v>NA</v>
      </c>
      <c r="R1388" s="29" t="str">
        <f t="shared" si="468"/>
        <v>NA</v>
      </c>
      <c r="S1388" s="29" t="str">
        <f t="shared" si="469"/>
        <v>NA</v>
      </c>
      <c r="T1388" s="29" t="str">
        <f t="shared" si="470"/>
        <v>NA</v>
      </c>
      <c r="U1388" s="29" t="str">
        <f t="shared" si="471"/>
        <v>NA</v>
      </c>
      <c r="V1388" s="29" t="str">
        <f t="shared" si="472"/>
        <v>NA</v>
      </c>
      <c r="W1388" s="29" t="str">
        <f t="shared" si="473"/>
        <v>NA</v>
      </c>
      <c r="X1388" s="29" t="str">
        <f t="shared" si="474"/>
        <v>NA</v>
      </c>
      <c r="Y1388" s="29" t="str">
        <f t="shared" si="475"/>
        <v>NA</v>
      </c>
      <c r="Z1388" s="29" t="str">
        <f t="shared" si="476"/>
        <v>NA</v>
      </c>
      <c r="AA1388" s="29" t="str">
        <f t="shared" si="477"/>
        <v>NA</v>
      </c>
      <c r="AB1388" s="29" t="str">
        <f t="shared" si="478"/>
        <v>NA</v>
      </c>
      <c r="AC1388" s="29" t="str">
        <f t="shared" si="479"/>
        <v>NA</v>
      </c>
      <c r="AD1388" s="29" t="str">
        <f t="shared" si="480"/>
        <v>NA</v>
      </c>
      <c r="AE1388" s="29" t="str">
        <f t="shared" si="481"/>
        <v>NA</v>
      </c>
      <c r="AF1388" s="29" t="str">
        <f t="shared" si="482"/>
        <v>NA</v>
      </c>
      <c r="AG1388" s="29" t="str">
        <f t="shared" si="483"/>
        <v>NA</v>
      </c>
      <c r="AH1388" s="29" t="str">
        <f t="shared" si="484"/>
        <v>NA</v>
      </c>
    </row>
    <row r="1389" customHeight="1" spans="1:34">
      <c r="A1389" s="12" t="s">
        <v>1043</v>
      </c>
      <c r="F1389" s="24">
        <f t="shared" si="466"/>
        <v>0</v>
      </c>
      <c r="G1389" s="24" t="e">
        <f t="shared" si="465"/>
        <v>#DIV/0!</v>
      </c>
      <c r="Q1389" s="29" t="str">
        <f t="shared" si="467"/>
        <v>NA</v>
      </c>
      <c r="R1389" s="29" t="str">
        <f t="shared" si="468"/>
        <v>NA</v>
      </c>
      <c r="S1389" s="29" t="str">
        <f t="shared" si="469"/>
        <v>NA</v>
      </c>
      <c r="T1389" s="29" t="str">
        <f t="shared" si="470"/>
        <v>NA</v>
      </c>
      <c r="U1389" s="29" t="str">
        <f t="shared" si="471"/>
        <v>NA</v>
      </c>
      <c r="V1389" s="29" t="str">
        <f t="shared" si="472"/>
        <v>NA</v>
      </c>
      <c r="W1389" s="29" t="str">
        <f t="shared" si="473"/>
        <v>NA</v>
      </c>
      <c r="X1389" s="29" t="str">
        <f t="shared" si="474"/>
        <v>NA</v>
      </c>
      <c r="Y1389" s="29" t="str">
        <f t="shared" si="475"/>
        <v>NA</v>
      </c>
      <c r="Z1389" s="29" t="str">
        <f t="shared" si="476"/>
        <v>NA</v>
      </c>
      <c r="AA1389" s="29" t="str">
        <f t="shared" si="477"/>
        <v>NA</v>
      </c>
      <c r="AB1389" s="29" t="str">
        <f t="shared" si="478"/>
        <v>NA</v>
      </c>
      <c r="AC1389" s="29" t="str">
        <f t="shared" si="479"/>
        <v>NA</v>
      </c>
      <c r="AD1389" s="29" t="str">
        <f t="shared" si="480"/>
        <v>NA</v>
      </c>
      <c r="AE1389" s="29" t="str">
        <f t="shared" si="481"/>
        <v>NA</v>
      </c>
      <c r="AF1389" s="29" t="str">
        <f t="shared" si="482"/>
        <v>NA</v>
      </c>
      <c r="AG1389" s="29" t="str">
        <f t="shared" si="483"/>
        <v>NA</v>
      </c>
      <c r="AH1389" s="29" t="str">
        <f t="shared" si="484"/>
        <v>NA</v>
      </c>
    </row>
    <row r="1390" customHeight="1" spans="1:34">
      <c r="A1390" s="12" t="s">
        <v>1043</v>
      </c>
      <c r="F1390" s="24">
        <f t="shared" si="466"/>
        <v>0</v>
      </c>
      <c r="G1390" s="24" t="e">
        <f t="shared" si="465"/>
        <v>#DIV/0!</v>
      </c>
      <c r="Q1390" s="29" t="str">
        <f t="shared" si="467"/>
        <v>NA</v>
      </c>
      <c r="R1390" s="29" t="str">
        <f t="shared" si="468"/>
        <v>NA</v>
      </c>
      <c r="S1390" s="29" t="str">
        <f t="shared" si="469"/>
        <v>NA</v>
      </c>
      <c r="T1390" s="29" t="str">
        <f t="shared" si="470"/>
        <v>NA</v>
      </c>
      <c r="U1390" s="29" t="str">
        <f t="shared" si="471"/>
        <v>NA</v>
      </c>
      <c r="V1390" s="29" t="str">
        <f t="shared" si="472"/>
        <v>NA</v>
      </c>
      <c r="W1390" s="29" t="str">
        <f t="shared" si="473"/>
        <v>NA</v>
      </c>
      <c r="X1390" s="29" t="str">
        <f t="shared" si="474"/>
        <v>NA</v>
      </c>
      <c r="Y1390" s="29" t="str">
        <f t="shared" si="475"/>
        <v>NA</v>
      </c>
      <c r="Z1390" s="29" t="str">
        <f t="shared" si="476"/>
        <v>NA</v>
      </c>
      <c r="AA1390" s="29" t="str">
        <f t="shared" si="477"/>
        <v>NA</v>
      </c>
      <c r="AB1390" s="29" t="str">
        <f t="shared" si="478"/>
        <v>NA</v>
      </c>
      <c r="AC1390" s="29" t="str">
        <f t="shared" si="479"/>
        <v>NA</v>
      </c>
      <c r="AD1390" s="29" t="str">
        <f t="shared" si="480"/>
        <v>NA</v>
      </c>
      <c r="AE1390" s="29" t="str">
        <f t="shared" si="481"/>
        <v>NA</v>
      </c>
      <c r="AF1390" s="29" t="str">
        <f t="shared" si="482"/>
        <v>NA</v>
      </c>
      <c r="AG1390" s="29" t="str">
        <f t="shared" si="483"/>
        <v>NA</v>
      </c>
      <c r="AH1390" s="29" t="str">
        <f t="shared" si="484"/>
        <v>NA</v>
      </c>
    </row>
    <row r="1391" customHeight="1" spans="1:34">
      <c r="A1391" s="12" t="s">
        <v>1043</v>
      </c>
      <c r="F1391" s="24">
        <f t="shared" si="466"/>
        <v>0</v>
      </c>
      <c r="G1391" s="24" t="e">
        <f t="shared" si="465"/>
        <v>#DIV/0!</v>
      </c>
      <c r="Q1391" s="29" t="str">
        <f t="shared" si="467"/>
        <v>NA</v>
      </c>
      <c r="R1391" s="29" t="str">
        <f t="shared" si="468"/>
        <v>NA</v>
      </c>
      <c r="S1391" s="29" t="str">
        <f t="shared" si="469"/>
        <v>NA</v>
      </c>
      <c r="T1391" s="29" t="str">
        <f t="shared" si="470"/>
        <v>NA</v>
      </c>
      <c r="U1391" s="29" t="str">
        <f t="shared" si="471"/>
        <v>NA</v>
      </c>
      <c r="V1391" s="29" t="str">
        <f t="shared" si="472"/>
        <v>NA</v>
      </c>
      <c r="W1391" s="29" t="str">
        <f t="shared" si="473"/>
        <v>NA</v>
      </c>
      <c r="X1391" s="29" t="str">
        <f t="shared" si="474"/>
        <v>NA</v>
      </c>
      <c r="Y1391" s="29" t="str">
        <f t="shared" si="475"/>
        <v>NA</v>
      </c>
      <c r="Z1391" s="29" t="str">
        <f t="shared" si="476"/>
        <v>NA</v>
      </c>
      <c r="AA1391" s="29" t="str">
        <f t="shared" si="477"/>
        <v>NA</v>
      </c>
      <c r="AB1391" s="29" t="str">
        <f t="shared" si="478"/>
        <v>NA</v>
      </c>
      <c r="AC1391" s="29" t="str">
        <f t="shared" si="479"/>
        <v>NA</v>
      </c>
      <c r="AD1391" s="29" t="str">
        <f t="shared" si="480"/>
        <v>NA</v>
      </c>
      <c r="AE1391" s="29" t="str">
        <f t="shared" si="481"/>
        <v>NA</v>
      </c>
      <c r="AF1391" s="29" t="str">
        <f t="shared" si="482"/>
        <v>NA</v>
      </c>
      <c r="AG1391" s="29" t="str">
        <f t="shared" si="483"/>
        <v>NA</v>
      </c>
      <c r="AH1391" s="29" t="str">
        <f t="shared" si="484"/>
        <v>NA</v>
      </c>
    </row>
    <row r="1392" customHeight="1" spans="1:34">
      <c r="A1392" s="12" t="s">
        <v>1043</v>
      </c>
      <c r="F1392" s="24">
        <f t="shared" si="466"/>
        <v>0</v>
      </c>
      <c r="G1392" s="24" t="e">
        <f t="shared" si="465"/>
        <v>#DIV/0!</v>
      </c>
      <c r="Q1392" s="29" t="str">
        <f t="shared" si="467"/>
        <v>NA</v>
      </c>
      <c r="R1392" s="29" t="str">
        <f t="shared" si="468"/>
        <v>NA</v>
      </c>
      <c r="S1392" s="29" t="str">
        <f t="shared" si="469"/>
        <v>NA</v>
      </c>
      <c r="T1392" s="29" t="str">
        <f t="shared" si="470"/>
        <v>NA</v>
      </c>
      <c r="U1392" s="29" t="str">
        <f t="shared" si="471"/>
        <v>NA</v>
      </c>
      <c r="V1392" s="29" t="str">
        <f t="shared" si="472"/>
        <v>NA</v>
      </c>
      <c r="W1392" s="29" t="str">
        <f t="shared" si="473"/>
        <v>NA</v>
      </c>
      <c r="X1392" s="29" t="str">
        <f t="shared" si="474"/>
        <v>NA</v>
      </c>
      <c r="Y1392" s="29" t="str">
        <f t="shared" si="475"/>
        <v>NA</v>
      </c>
      <c r="Z1392" s="29" t="str">
        <f t="shared" si="476"/>
        <v>NA</v>
      </c>
      <c r="AA1392" s="29" t="str">
        <f t="shared" si="477"/>
        <v>NA</v>
      </c>
      <c r="AB1392" s="29" t="str">
        <f t="shared" si="478"/>
        <v>NA</v>
      </c>
      <c r="AC1392" s="29" t="str">
        <f t="shared" si="479"/>
        <v>NA</v>
      </c>
      <c r="AD1392" s="29" t="str">
        <f t="shared" si="480"/>
        <v>NA</v>
      </c>
      <c r="AE1392" s="29" t="str">
        <f t="shared" si="481"/>
        <v>NA</v>
      </c>
      <c r="AF1392" s="29" t="str">
        <f t="shared" si="482"/>
        <v>NA</v>
      </c>
      <c r="AG1392" s="29" t="str">
        <f t="shared" si="483"/>
        <v>NA</v>
      </c>
      <c r="AH1392" s="29" t="str">
        <f t="shared" si="484"/>
        <v>NA</v>
      </c>
    </row>
    <row r="1393" customHeight="1" spans="1:34">
      <c r="A1393" s="12" t="s">
        <v>1043</v>
      </c>
      <c r="F1393" s="24">
        <f t="shared" si="466"/>
        <v>0</v>
      </c>
      <c r="G1393" s="24" t="e">
        <f t="shared" si="465"/>
        <v>#DIV/0!</v>
      </c>
      <c r="Q1393" s="29" t="str">
        <f t="shared" si="467"/>
        <v>NA</v>
      </c>
      <c r="R1393" s="29" t="str">
        <f t="shared" si="468"/>
        <v>NA</v>
      </c>
      <c r="S1393" s="29" t="str">
        <f t="shared" si="469"/>
        <v>NA</v>
      </c>
      <c r="T1393" s="29" t="str">
        <f t="shared" si="470"/>
        <v>NA</v>
      </c>
      <c r="U1393" s="29" t="str">
        <f t="shared" si="471"/>
        <v>NA</v>
      </c>
      <c r="V1393" s="29" t="str">
        <f t="shared" si="472"/>
        <v>NA</v>
      </c>
      <c r="W1393" s="29" t="str">
        <f t="shared" si="473"/>
        <v>NA</v>
      </c>
      <c r="X1393" s="29" t="str">
        <f t="shared" si="474"/>
        <v>NA</v>
      </c>
      <c r="Y1393" s="29" t="str">
        <f t="shared" si="475"/>
        <v>NA</v>
      </c>
      <c r="Z1393" s="29" t="str">
        <f t="shared" si="476"/>
        <v>NA</v>
      </c>
      <c r="AA1393" s="29" t="str">
        <f t="shared" si="477"/>
        <v>NA</v>
      </c>
      <c r="AB1393" s="29" t="str">
        <f t="shared" si="478"/>
        <v>NA</v>
      </c>
      <c r="AC1393" s="29" t="str">
        <f t="shared" si="479"/>
        <v>NA</v>
      </c>
      <c r="AD1393" s="29" t="str">
        <f t="shared" si="480"/>
        <v>NA</v>
      </c>
      <c r="AE1393" s="29" t="str">
        <f t="shared" si="481"/>
        <v>NA</v>
      </c>
      <c r="AF1393" s="29" t="str">
        <f t="shared" si="482"/>
        <v>NA</v>
      </c>
      <c r="AG1393" s="29" t="str">
        <f t="shared" si="483"/>
        <v>NA</v>
      </c>
      <c r="AH1393" s="29" t="str">
        <f t="shared" si="484"/>
        <v>NA</v>
      </c>
    </row>
    <row r="1394" customHeight="1" spans="1:34">
      <c r="A1394" s="12" t="s">
        <v>1043</v>
      </c>
      <c r="F1394" s="24">
        <f t="shared" si="466"/>
        <v>0</v>
      </c>
      <c r="G1394" s="24" t="e">
        <f t="shared" si="465"/>
        <v>#DIV/0!</v>
      </c>
      <c r="Q1394" s="29" t="str">
        <f t="shared" si="467"/>
        <v>NA</v>
      </c>
      <c r="R1394" s="29" t="str">
        <f t="shared" si="468"/>
        <v>NA</v>
      </c>
      <c r="S1394" s="29" t="str">
        <f t="shared" si="469"/>
        <v>NA</v>
      </c>
      <c r="T1394" s="29" t="str">
        <f t="shared" si="470"/>
        <v>NA</v>
      </c>
      <c r="U1394" s="29" t="str">
        <f t="shared" si="471"/>
        <v>NA</v>
      </c>
      <c r="V1394" s="29" t="str">
        <f t="shared" si="472"/>
        <v>NA</v>
      </c>
      <c r="W1394" s="29" t="str">
        <f t="shared" si="473"/>
        <v>NA</v>
      </c>
      <c r="X1394" s="29" t="str">
        <f t="shared" si="474"/>
        <v>NA</v>
      </c>
      <c r="Y1394" s="29" t="str">
        <f t="shared" si="475"/>
        <v>NA</v>
      </c>
      <c r="Z1394" s="29" t="str">
        <f t="shared" si="476"/>
        <v>NA</v>
      </c>
      <c r="AA1394" s="29" t="str">
        <f t="shared" si="477"/>
        <v>NA</v>
      </c>
      <c r="AB1394" s="29" t="str">
        <f t="shared" si="478"/>
        <v>NA</v>
      </c>
      <c r="AC1394" s="29" t="str">
        <f t="shared" si="479"/>
        <v>NA</v>
      </c>
      <c r="AD1394" s="29" t="str">
        <f t="shared" si="480"/>
        <v>NA</v>
      </c>
      <c r="AE1394" s="29" t="str">
        <f t="shared" si="481"/>
        <v>NA</v>
      </c>
      <c r="AF1394" s="29" t="str">
        <f t="shared" si="482"/>
        <v>NA</v>
      </c>
      <c r="AG1394" s="29" t="str">
        <f t="shared" si="483"/>
        <v>NA</v>
      </c>
      <c r="AH1394" s="29" t="str">
        <f t="shared" si="484"/>
        <v>NA</v>
      </c>
    </row>
    <row r="1395" customHeight="1" spans="1:34">
      <c r="A1395" s="12" t="s">
        <v>1043</v>
      </c>
      <c r="F1395" s="24">
        <f t="shared" si="466"/>
        <v>0</v>
      </c>
      <c r="G1395" s="24" t="e">
        <f t="shared" si="465"/>
        <v>#DIV/0!</v>
      </c>
      <c r="Q1395" s="29" t="str">
        <f t="shared" si="467"/>
        <v>NA</v>
      </c>
      <c r="R1395" s="29" t="str">
        <f t="shared" si="468"/>
        <v>NA</v>
      </c>
      <c r="S1395" s="29" t="str">
        <f t="shared" si="469"/>
        <v>NA</v>
      </c>
      <c r="T1395" s="29" t="str">
        <f t="shared" si="470"/>
        <v>NA</v>
      </c>
      <c r="U1395" s="29" t="str">
        <f t="shared" si="471"/>
        <v>NA</v>
      </c>
      <c r="V1395" s="29" t="str">
        <f t="shared" si="472"/>
        <v>NA</v>
      </c>
      <c r="W1395" s="29" t="str">
        <f t="shared" si="473"/>
        <v>NA</v>
      </c>
      <c r="X1395" s="29" t="str">
        <f t="shared" si="474"/>
        <v>NA</v>
      </c>
      <c r="Y1395" s="29" t="str">
        <f t="shared" si="475"/>
        <v>NA</v>
      </c>
      <c r="Z1395" s="29" t="str">
        <f t="shared" si="476"/>
        <v>NA</v>
      </c>
      <c r="AA1395" s="29" t="str">
        <f t="shared" si="477"/>
        <v>NA</v>
      </c>
      <c r="AB1395" s="29" t="str">
        <f t="shared" si="478"/>
        <v>NA</v>
      </c>
      <c r="AC1395" s="29" t="str">
        <f t="shared" si="479"/>
        <v>NA</v>
      </c>
      <c r="AD1395" s="29" t="str">
        <f t="shared" si="480"/>
        <v>NA</v>
      </c>
      <c r="AE1395" s="29" t="str">
        <f t="shared" si="481"/>
        <v>NA</v>
      </c>
      <c r="AF1395" s="29" t="str">
        <f t="shared" si="482"/>
        <v>NA</v>
      </c>
      <c r="AG1395" s="29" t="str">
        <f t="shared" si="483"/>
        <v>NA</v>
      </c>
      <c r="AH1395" s="29" t="str">
        <f t="shared" si="484"/>
        <v>NA</v>
      </c>
    </row>
    <row r="1396" customHeight="1" spans="1:34">
      <c r="A1396" s="12" t="s">
        <v>1043</v>
      </c>
      <c r="F1396" s="24">
        <f t="shared" si="466"/>
        <v>0</v>
      </c>
      <c r="G1396" s="24" t="e">
        <f t="shared" si="465"/>
        <v>#DIV/0!</v>
      </c>
      <c r="Q1396" s="29" t="str">
        <f t="shared" si="467"/>
        <v>NA</v>
      </c>
      <c r="R1396" s="29" t="str">
        <f t="shared" si="468"/>
        <v>NA</v>
      </c>
      <c r="S1396" s="29" t="str">
        <f t="shared" si="469"/>
        <v>NA</v>
      </c>
      <c r="T1396" s="29" t="str">
        <f t="shared" si="470"/>
        <v>NA</v>
      </c>
      <c r="U1396" s="29" t="str">
        <f t="shared" si="471"/>
        <v>NA</v>
      </c>
      <c r="V1396" s="29" t="str">
        <f t="shared" si="472"/>
        <v>NA</v>
      </c>
      <c r="W1396" s="29" t="str">
        <f t="shared" si="473"/>
        <v>NA</v>
      </c>
      <c r="X1396" s="29" t="str">
        <f t="shared" si="474"/>
        <v>NA</v>
      </c>
      <c r="Y1396" s="29" t="str">
        <f t="shared" si="475"/>
        <v>NA</v>
      </c>
      <c r="Z1396" s="29" t="str">
        <f t="shared" si="476"/>
        <v>NA</v>
      </c>
      <c r="AA1396" s="29" t="str">
        <f t="shared" si="477"/>
        <v>NA</v>
      </c>
      <c r="AB1396" s="29" t="str">
        <f t="shared" si="478"/>
        <v>NA</v>
      </c>
      <c r="AC1396" s="29" t="str">
        <f t="shared" si="479"/>
        <v>NA</v>
      </c>
      <c r="AD1396" s="29" t="str">
        <f t="shared" si="480"/>
        <v>NA</v>
      </c>
      <c r="AE1396" s="29" t="str">
        <f t="shared" si="481"/>
        <v>NA</v>
      </c>
      <c r="AF1396" s="29" t="str">
        <f t="shared" si="482"/>
        <v>NA</v>
      </c>
      <c r="AG1396" s="29" t="str">
        <f t="shared" si="483"/>
        <v>NA</v>
      </c>
      <c r="AH1396" s="29" t="str">
        <f t="shared" si="484"/>
        <v>NA</v>
      </c>
    </row>
    <row r="1397" customHeight="1" spans="1:34">
      <c r="A1397" s="12" t="s">
        <v>1043</v>
      </c>
      <c r="F1397" s="24">
        <f t="shared" si="466"/>
        <v>0</v>
      </c>
      <c r="G1397" s="24" t="e">
        <f t="shared" si="465"/>
        <v>#DIV/0!</v>
      </c>
      <c r="Q1397" s="29" t="str">
        <f t="shared" si="467"/>
        <v>NA</v>
      </c>
      <c r="R1397" s="29" t="str">
        <f t="shared" si="468"/>
        <v>NA</v>
      </c>
      <c r="S1397" s="29" t="str">
        <f t="shared" si="469"/>
        <v>NA</v>
      </c>
      <c r="T1397" s="29" t="str">
        <f t="shared" si="470"/>
        <v>NA</v>
      </c>
      <c r="U1397" s="29" t="str">
        <f t="shared" si="471"/>
        <v>NA</v>
      </c>
      <c r="V1397" s="29" t="str">
        <f t="shared" si="472"/>
        <v>NA</v>
      </c>
      <c r="W1397" s="29" t="str">
        <f t="shared" si="473"/>
        <v>NA</v>
      </c>
      <c r="X1397" s="29" t="str">
        <f t="shared" si="474"/>
        <v>NA</v>
      </c>
      <c r="Y1397" s="29" t="str">
        <f t="shared" si="475"/>
        <v>NA</v>
      </c>
      <c r="Z1397" s="29" t="str">
        <f t="shared" si="476"/>
        <v>NA</v>
      </c>
      <c r="AA1397" s="29" t="str">
        <f t="shared" si="477"/>
        <v>NA</v>
      </c>
      <c r="AB1397" s="29" t="str">
        <f t="shared" si="478"/>
        <v>NA</v>
      </c>
      <c r="AC1397" s="29" t="str">
        <f t="shared" si="479"/>
        <v>NA</v>
      </c>
      <c r="AD1397" s="29" t="str">
        <f t="shared" si="480"/>
        <v>NA</v>
      </c>
      <c r="AE1397" s="29" t="str">
        <f t="shared" si="481"/>
        <v>NA</v>
      </c>
      <c r="AF1397" s="29" t="str">
        <f t="shared" si="482"/>
        <v>NA</v>
      </c>
      <c r="AG1397" s="29" t="str">
        <f t="shared" si="483"/>
        <v>NA</v>
      </c>
      <c r="AH1397" s="29" t="str">
        <f t="shared" si="484"/>
        <v>NA</v>
      </c>
    </row>
    <row r="1398" customHeight="1" spans="1:34">
      <c r="A1398" s="12" t="s">
        <v>1043</v>
      </c>
      <c r="F1398" s="24">
        <f t="shared" si="466"/>
        <v>0</v>
      </c>
      <c r="G1398" s="24" t="e">
        <f t="shared" si="465"/>
        <v>#DIV/0!</v>
      </c>
      <c r="Q1398" s="29" t="str">
        <f t="shared" si="467"/>
        <v>NA</v>
      </c>
      <c r="R1398" s="29" t="str">
        <f t="shared" si="468"/>
        <v>NA</v>
      </c>
      <c r="S1398" s="29" t="str">
        <f t="shared" si="469"/>
        <v>NA</v>
      </c>
      <c r="T1398" s="29" t="str">
        <f t="shared" si="470"/>
        <v>NA</v>
      </c>
      <c r="U1398" s="29" t="str">
        <f t="shared" si="471"/>
        <v>NA</v>
      </c>
      <c r="V1398" s="29" t="str">
        <f t="shared" si="472"/>
        <v>NA</v>
      </c>
      <c r="W1398" s="29" t="str">
        <f t="shared" si="473"/>
        <v>NA</v>
      </c>
      <c r="X1398" s="29" t="str">
        <f t="shared" si="474"/>
        <v>NA</v>
      </c>
      <c r="Y1398" s="29" t="str">
        <f t="shared" si="475"/>
        <v>NA</v>
      </c>
      <c r="Z1398" s="29" t="str">
        <f t="shared" si="476"/>
        <v>NA</v>
      </c>
      <c r="AA1398" s="29" t="str">
        <f t="shared" si="477"/>
        <v>NA</v>
      </c>
      <c r="AB1398" s="29" t="str">
        <f t="shared" si="478"/>
        <v>NA</v>
      </c>
      <c r="AC1398" s="29" t="str">
        <f t="shared" si="479"/>
        <v>NA</v>
      </c>
      <c r="AD1398" s="29" t="str">
        <f t="shared" si="480"/>
        <v>NA</v>
      </c>
      <c r="AE1398" s="29" t="str">
        <f t="shared" si="481"/>
        <v>NA</v>
      </c>
      <c r="AF1398" s="29" t="str">
        <f t="shared" si="482"/>
        <v>NA</v>
      </c>
      <c r="AG1398" s="29" t="str">
        <f t="shared" si="483"/>
        <v>NA</v>
      </c>
      <c r="AH1398" s="29" t="str">
        <f t="shared" si="484"/>
        <v>NA</v>
      </c>
    </row>
    <row r="1399" customHeight="1" spans="1:34">
      <c r="A1399" s="12" t="s">
        <v>1043</v>
      </c>
      <c r="F1399" s="24">
        <f t="shared" si="466"/>
        <v>0</v>
      </c>
      <c r="G1399" s="24" t="e">
        <f t="shared" si="465"/>
        <v>#DIV/0!</v>
      </c>
      <c r="Q1399" s="29" t="str">
        <f t="shared" si="467"/>
        <v>NA</v>
      </c>
      <c r="R1399" s="29" t="str">
        <f t="shared" si="468"/>
        <v>NA</v>
      </c>
      <c r="S1399" s="29" t="str">
        <f t="shared" si="469"/>
        <v>NA</v>
      </c>
      <c r="T1399" s="29" t="str">
        <f t="shared" si="470"/>
        <v>NA</v>
      </c>
      <c r="U1399" s="29" t="str">
        <f t="shared" si="471"/>
        <v>NA</v>
      </c>
      <c r="V1399" s="29" t="str">
        <f t="shared" si="472"/>
        <v>NA</v>
      </c>
      <c r="W1399" s="29" t="str">
        <f t="shared" si="473"/>
        <v>NA</v>
      </c>
      <c r="X1399" s="29" t="str">
        <f t="shared" si="474"/>
        <v>NA</v>
      </c>
      <c r="Y1399" s="29" t="str">
        <f t="shared" si="475"/>
        <v>NA</v>
      </c>
      <c r="Z1399" s="29" t="str">
        <f t="shared" si="476"/>
        <v>NA</v>
      </c>
      <c r="AA1399" s="29" t="str">
        <f t="shared" si="477"/>
        <v>NA</v>
      </c>
      <c r="AB1399" s="29" t="str">
        <f t="shared" si="478"/>
        <v>NA</v>
      </c>
      <c r="AC1399" s="29" t="str">
        <f t="shared" si="479"/>
        <v>NA</v>
      </c>
      <c r="AD1399" s="29" t="str">
        <f t="shared" si="480"/>
        <v>NA</v>
      </c>
      <c r="AE1399" s="29" t="str">
        <f t="shared" si="481"/>
        <v>NA</v>
      </c>
      <c r="AF1399" s="29" t="str">
        <f t="shared" si="482"/>
        <v>NA</v>
      </c>
      <c r="AG1399" s="29" t="str">
        <f t="shared" si="483"/>
        <v>NA</v>
      </c>
      <c r="AH1399" s="29" t="str">
        <f t="shared" si="484"/>
        <v>NA</v>
      </c>
    </row>
    <row r="1400" customHeight="1" spans="1:34">
      <c r="A1400" s="12" t="s">
        <v>1043</v>
      </c>
      <c r="F1400" s="24">
        <f t="shared" si="466"/>
        <v>0</v>
      </c>
      <c r="G1400" s="24" t="e">
        <f t="shared" si="465"/>
        <v>#DIV/0!</v>
      </c>
      <c r="Q1400" s="29" t="str">
        <f t="shared" si="467"/>
        <v>NA</v>
      </c>
      <c r="R1400" s="29" t="str">
        <f t="shared" si="468"/>
        <v>NA</v>
      </c>
      <c r="S1400" s="29" t="str">
        <f t="shared" si="469"/>
        <v>NA</v>
      </c>
      <c r="T1400" s="29" t="str">
        <f t="shared" si="470"/>
        <v>NA</v>
      </c>
      <c r="U1400" s="29" t="str">
        <f t="shared" si="471"/>
        <v>NA</v>
      </c>
      <c r="V1400" s="29" t="str">
        <f t="shared" si="472"/>
        <v>NA</v>
      </c>
      <c r="W1400" s="29" t="str">
        <f t="shared" si="473"/>
        <v>NA</v>
      </c>
      <c r="X1400" s="29" t="str">
        <f t="shared" si="474"/>
        <v>NA</v>
      </c>
      <c r="Y1400" s="29" t="str">
        <f t="shared" si="475"/>
        <v>NA</v>
      </c>
      <c r="Z1400" s="29" t="str">
        <f t="shared" si="476"/>
        <v>NA</v>
      </c>
      <c r="AA1400" s="29" t="str">
        <f t="shared" si="477"/>
        <v>NA</v>
      </c>
      <c r="AB1400" s="29" t="str">
        <f t="shared" si="478"/>
        <v>NA</v>
      </c>
      <c r="AC1400" s="29" t="str">
        <f t="shared" si="479"/>
        <v>NA</v>
      </c>
      <c r="AD1400" s="29" t="str">
        <f t="shared" si="480"/>
        <v>NA</v>
      </c>
      <c r="AE1400" s="29" t="str">
        <f t="shared" si="481"/>
        <v>NA</v>
      </c>
      <c r="AF1400" s="29" t="str">
        <f t="shared" si="482"/>
        <v>NA</v>
      </c>
      <c r="AG1400" s="29" t="str">
        <f t="shared" si="483"/>
        <v>NA</v>
      </c>
      <c r="AH1400" s="29" t="str">
        <f t="shared" si="484"/>
        <v>NA</v>
      </c>
    </row>
    <row r="1401" customHeight="1" spans="1:34">
      <c r="A1401" s="12" t="s">
        <v>1043</v>
      </c>
      <c r="F1401" s="24">
        <f t="shared" si="466"/>
        <v>0</v>
      </c>
      <c r="G1401" s="24" t="e">
        <f t="shared" si="465"/>
        <v>#DIV/0!</v>
      </c>
      <c r="Q1401" s="29" t="str">
        <f t="shared" si="467"/>
        <v>NA</v>
      </c>
      <c r="R1401" s="29" t="str">
        <f t="shared" si="468"/>
        <v>NA</v>
      </c>
      <c r="S1401" s="29" t="str">
        <f t="shared" si="469"/>
        <v>NA</v>
      </c>
      <c r="T1401" s="29" t="str">
        <f t="shared" si="470"/>
        <v>NA</v>
      </c>
      <c r="U1401" s="29" t="str">
        <f t="shared" si="471"/>
        <v>NA</v>
      </c>
      <c r="V1401" s="29" t="str">
        <f t="shared" si="472"/>
        <v>NA</v>
      </c>
      <c r="W1401" s="29" t="str">
        <f t="shared" si="473"/>
        <v>NA</v>
      </c>
      <c r="X1401" s="29" t="str">
        <f t="shared" si="474"/>
        <v>NA</v>
      </c>
      <c r="Y1401" s="29" t="str">
        <f t="shared" si="475"/>
        <v>NA</v>
      </c>
      <c r="Z1401" s="29" t="str">
        <f t="shared" si="476"/>
        <v>NA</v>
      </c>
      <c r="AA1401" s="29" t="str">
        <f t="shared" si="477"/>
        <v>NA</v>
      </c>
      <c r="AB1401" s="29" t="str">
        <f t="shared" si="478"/>
        <v>NA</v>
      </c>
      <c r="AC1401" s="29" t="str">
        <f t="shared" si="479"/>
        <v>NA</v>
      </c>
      <c r="AD1401" s="29" t="str">
        <f t="shared" si="480"/>
        <v>NA</v>
      </c>
      <c r="AE1401" s="29" t="str">
        <f t="shared" si="481"/>
        <v>NA</v>
      </c>
      <c r="AF1401" s="29" t="str">
        <f t="shared" si="482"/>
        <v>NA</v>
      </c>
      <c r="AG1401" s="29" t="str">
        <f t="shared" si="483"/>
        <v>NA</v>
      </c>
      <c r="AH1401" s="29" t="str">
        <f t="shared" si="484"/>
        <v>NA</v>
      </c>
    </row>
    <row r="1402" customHeight="1" spans="1:34">
      <c r="A1402" s="12" t="s">
        <v>1043</v>
      </c>
      <c r="F1402" s="24">
        <f t="shared" si="466"/>
        <v>0</v>
      </c>
      <c r="G1402" s="24" t="e">
        <f t="shared" si="465"/>
        <v>#DIV/0!</v>
      </c>
      <c r="Q1402" s="29" t="str">
        <f t="shared" si="467"/>
        <v>NA</v>
      </c>
      <c r="R1402" s="29" t="str">
        <f t="shared" si="468"/>
        <v>NA</v>
      </c>
      <c r="S1402" s="29" t="str">
        <f t="shared" si="469"/>
        <v>NA</v>
      </c>
      <c r="T1402" s="29" t="str">
        <f t="shared" si="470"/>
        <v>NA</v>
      </c>
      <c r="U1402" s="29" t="str">
        <f t="shared" si="471"/>
        <v>NA</v>
      </c>
      <c r="V1402" s="29" t="str">
        <f t="shared" si="472"/>
        <v>NA</v>
      </c>
      <c r="W1402" s="29" t="str">
        <f t="shared" si="473"/>
        <v>NA</v>
      </c>
      <c r="X1402" s="29" t="str">
        <f t="shared" si="474"/>
        <v>NA</v>
      </c>
      <c r="Y1402" s="29" t="str">
        <f t="shared" si="475"/>
        <v>NA</v>
      </c>
      <c r="Z1402" s="29" t="str">
        <f t="shared" si="476"/>
        <v>NA</v>
      </c>
      <c r="AA1402" s="29" t="str">
        <f t="shared" si="477"/>
        <v>NA</v>
      </c>
      <c r="AB1402" s="29" t="str">
        <f t="shared" si="478"/>
        <v>NA</v>
      </c>
      <c r="AC1402" s="29" t="str">
        <f t="shared" si="479"/>
        <v>NA</v>
      </c>
      <c r="AD1402" s="29" t="str">
        <f t="shared" si="480"/>
        <v>NA</v>
      </c>
      <c r="AE1402" s="29" t="str">
        <f t="shared" si="481"/>
        <v>NA</v>
      </c>
      <c r="AF1402" s="29" t="str">
        <f t="shared" si="482"/>
        <v>NA</v>
      </c>
      <c r="AG1402" s="29" t="str">
        <f t="shared" si="483"/>
        <v>NA</v>
      </c>
      <c r="AH1402" s="29" t="str">
        <f t="shared" si="484"/>
        <v>NA</v>
      </c>
    </row>
    <row r="1403" customHeight="1" spans="1:34">
      <c r="A1403" s="12" t="s">
        <v>1043</v>
      </c>
      <c r="F1403" s="24">
        <f t="shared" si="466"/>
        <v>0</v>
      </c>
      <c r="G1403" s="24" t="e">
        <f t="shared" si="465"/>
        <v>#DIV/0!</v>
      </c>
      <c r="Q1403" s="29" t="str">
        <f t="shared" si="467"/>
        <v>NA</v>
      </c>
      <c r="R1403" s="29" t="str">
        <f t="shared" si="468"/>
        <v>NA</v>
      </c>
      <c r="S1403" s="29" t="str">
        <f t="shared" si="469"/>
        <v>NA</v>
      </c>
      <c r="T1403" s="29" t="str">
        <f t="shared" si="470"/>
        <v>NA</v>
      </c>
      <c r="U1403" s="29" t="str">
        <f t="shared" si="471"/>
        <v>NA</v>
      </c>
      <c r="V1403" s="29" t="str">
        <f t="shared" si="472"/>
        <v>NA</v>
      </c>
      <c r="W1403" s="29" t="str">
        <f t="shared" si="473"/>
        <v>NA</v>
      </c>
      <c r="X1403" s="29" t="str">
        <f t="shared" si="474"/>
        <v>NA</v>
      </c>
      <c r="Y1403" s="29" t="str">
        <f t="shared" si="475"/>
        <v>NA</v>
      </c>
      <c r="Z1403" s="29" t="str">
        <f t="shared" si="476"/>
        <v>NA</v>
      </c>
      <c r="AA1403" s="29" t="str">
        <f t="shared" si="477"/>
        <v>NA</v>
      </c>
      <c r="AB1403" s="29" t="str">
        <f t="shared" si="478"/>
        <v>NA</v>
      </c>
      <c r="AC1403" s="29" t="str">
        <f t="shared" si="479"/>
        <v>NA</v>
      </c>
      <c r="AD1403" s="29" t="str">
        <f t="shared" si="480"/>
        <v>NA</v>
      </c>
      <c r="AE1403" s="29" t="str">
        <f t="shared" si="481"/>
        <v>NA</v>
      </c>
      <c r="AF1403" s="29" t="str">
        <f t="shared" si="482"/>
        <v>NA</v>
      </c>
      <c r="AG1403" s="29" t="str">
        <f t="shared" si="483"/>
        <v>NA</v>
      </c>
      <c r="AH1403" s="29" t="str">
        <f t="shared" si="484"/>
        <v>NA</v>
      </c>
    </row>
    <row r="1404" customHeight="1" spans="1:34">
      <c r="A1404" s="12" t="s">
        <v>1043</v>
      </c>
      <c r="F1404" s="24">
        <f t="shared" si="466"/>
        <v>0</v>
      </c>
      <c r="G1404" s="24" t="e">
        <f t="shared" si="465"/>
        <v>#DIV/0!</v>
      </c>
      <c r="Q1404" s="29" t="str">
        <f t="shared" si="467"/>
        <v>NA</v>
      </c>
      <c r="R1404" s="29" t="str">
        <f t="shared" si="468"/>
        <v>NA</v>
      </c>
      <c r="S1404" s="29" t="str">
        <f t="shared" si="469"/>
        <v>NA</v>
      </c>
      <c r="T1404" s="29" t="str">
        <f t="shared" si="470"/>
        <v>NA</v>
      </c>
      <c r="U1404" s="29" t="str">
        <f t="shared" si="471"/>
        <v>NA</v>
      </c>
      <c r="V1404" s="29" t="str">
        <f t="shared" si="472"/>
        <v>NA</v>
      </c>
      <c r="W1404" s="29" t="str">
        <f t="shared" si="473"/>
        <v>NA</v>
      </c>
      <c r="X1404" s="29" t="str">
        <f t="shared" si="474"/>
        <v>NA</v>
      </c>
      <c r="Y1404" s="29" t="str">
        <f t="shared" si="475"/>
        <v>NA</v>
      </c>
      <c r="Z1404" s="29" t="str">
        <f t="shared" si="476"/>
        <v>NA</v>
      </c>
      <c r="AA1404" s="29" t="str">
        <f t="shared" si="477"/>
        <v>NA</v>
      </c>
      <c r="AB1404" s="29" t="str">
        <f t="shared" si="478"/>
        <v>NA</v>
      </c>
      <c r="AC1404" s="29" t="str">
        <f t="shared" si="479"/>
        <v>NA</v>
      </c>
      <c r="AD1404" s="29" t="str">
        <f t="shared" si="480"/>
        <v>NA</v>
      </c>
      <c r="AE1404" s="29" t="str">
        <f t="shared" si="481"/>
        <v>NA</v>
      </c>
      <c r="AF1404" s="29" t="str">
        <f t="shared" si="482"/>
        <v>NA</v>
      </c>
      <c r="AG1404" s="29" t="str">
        <f t="shared" si="483"/>
        <v>NA</v>
      </c>
      <c r="AH1404" s="29" t="str">
        <f t="shared" si="484"/>
        <v>NA</v>
      </c>
    </row>
    <row r="1405" customHeight="1" spans="1:34">
      <c r="A1405" s="12" t="s">
        <v>1043</v>
      </c>
      <c r="F1405" s="24">
        <f t="shared" si="466"/>
        <v>0</v>
      </c>
      <c r="G1405" s="24" t="e">
        <f t="shared" si="465"/>
        <v>#DIV/0!</v>
      </c>
      <c r="Q1405" s="29" t="str">
        <f t="shared" si="467"/>
        <v>NA</v>
      </c>
      <c r="R1405" s="29" t="str">
        <f t="shared" si="468"/>
        <v>NA</v>
      </c>
      <c r="S1405" s="29" t="str">
        <f t="shared" si="469"/>
        <v>NA</v>
      </c>
      <c r="T1405" s="29" t="str">
        <f t="shared" si="470"/>
        <v>NA</v>
      </c>
      <c r="U1405" s="29" t="str">
        <f t="shared" si="471"/>
        <v>NA</v>
      </c>
      <c r="V1405" s="29" t="str">
        <f t="shared" si="472"/>
        <v>NA</v>
      </c>
      <c r="W1405" s="29" t="str">
        <f t="shared" si="473"/>
        <v>NA</v>
      </c>
      <c r="X1405" s="29" t="str">
        <f t="shared" si="474"/>
        <v>NA</v>
      </c>
      <c r="Y1405" s="29" t="str">
        <f t="shared" si="475"/>
        <v>NA</v>
      </c>
      <c r="Z1405" s="29" t="str">
        <f t="shared" si="476"/>
        <v>NA</v>
      </c>
      <c r="AA1405" s="29" t="str">
        <f t="shared" si="477"/>
        <v>NA</v>
      </c>
      <c r="AB1405" s="29" t="str">
        <f t="shared" si="478"/>
        <v>NA</v>
      </c>
      <c r="AC1405" s="29" t="str">
        <f t="shared" si="479"/>
        <v>NA</v>
      </c>
      <c r="AD1405" s="29" t="str">
        <f t="shared" si="480"/>
        <v>NA</v>
      </c>
      <c r="AE1405" s="29" t="str">
        <f t="shared" si="481"/>
        <v>NA</v>
      </c>
      <c r="AF1405" s="29" t="str">
        <f t="shared" si="482"/>
        <v>NA</v>
      </c>
      <c r="AG1405" s="29" t="str">
        <f t="shared" si="483"/>
        <v>NA</v>
      </c>
      <c r="AH1405" s="29" t="str">
        <f t="shared" si="484"/>
        <v>NA</v>
      </c>
    </row>
    <row r="1406" customHeight="1" spans="1:34">
      <c r="A1406" s="12" t="s">
        <v>1043</v>
      </c>
      <c r="F1406" s="24">
        <f t="shared" si="466"/>
        <v>0</v>
      </c>
      <c r="G1406" s="24" t="e">
        <f t="shared" si="465"/>
        <v>#DIV/0!</v>
      </c>
      <c r="Q1406" s="29" t="str">
        <f t="shared" si="467"/>
        <v>NA</v>
      </c>
      <c r="R1406" s="29" t="str">
        <f t="shared" si="468"/>
        <v>NA</v>
      </c>
      <c r="S1406" s="29" t="str">
        <f t="shared" si="469"/>
        <v>NA</v>
      </c>
      <c r="T1406" s="29" t="str">
        <f t="shared" si="470"/>
        <v>NA</v>
      </c>
      <c r="U1406" s="29" t="str">
        <f t="shared" si="471"/>
        <v>NA</v>
      </c>
      <c r="V1406" s="29" t="str">
        <f t="shared" si="472"/>
        <v>NA</v>
      </c>
      <c r="W1406" s="29" t="str">
        <f t="shared" si="473"/>
        <v>NA</v>
      </c>
      <c r="X1406" s="29" t="str">
        <f t="shared" si="474"/>
        <v>NA</v>
      </c>
      <c r="Y1406" s="29" t="str">
        <f t="shared" si="475"/>
        <v>NA</v>
      </c>
      <c r="Z1406" s="29" t="str">
        <f t="shared" si="476"/>
        <v>NA</v>
      </c>
      <c r="AA1406" s="29" t="str">
        <f t="shared" si="477"/>
        <v>NA</v>
      </c>
      <c r="AB1406" s="29" t="str">
        <f t="shared" si="478"/>
        <v>NA</v>
      </c>
      <c r="AC1406" s="29" t="str">
        <f t="shared" si="479"/>
        <v>NA</v>
      </c>
      <c r="AD1406" s="29" t="str">
        <f t="shared" si="480"/>
        <v>NA</v>
      </c>
      <c r="AE1406" s="29" t="str">
        <f t="shared" si="481"/>
        <v>NA</v>
      </c>
      <c r="AF1406" s="29" t="str">
        <f t="shared" si="482"/>
        <v>NA</v>
      </c>
      <c r="AG1406" s="29" t="str">
        <f t="shared" si="483"/>
        <v>NA</v>
      </c>
      <c r="AH1406" s="29" t="str">
        <f t="shared" si="484"/>
        <v>NA</v>
      </c>
    </row>
    <row r="1407" customHeight="1" spans="1:34">
      <c r="A1407" s="12" t="s">
        <v>1043</v>
      </c>
      <c r="F1407" s="24">
        <f t="shared" si="466"/>
        <v>0</v>
      </c>
      <c r="G1407" s="24" t="e">
        <f t="shared" si="465"/>
        <v>#DIV/0!</v>
      </c>
      <c r="Q1407" s="29" t="str">
        <f t="shared" si="467"/>
        <v>NA</v>
      </c>
      <c r="R1407" s="29" t="str">
        <f t="shared" si="468"/>
        <v>NA</v>
      </c>
      <c r="S1407" s="29" t="str">
        <f t="shared" si="469"/>
        <v>NA</v>
      </c>
      <c r="T1407" s="29" t="str">
        <f t="shared" si="470"/>
        <v>NA</v>
      </c>
      <c r="U1407" s="29" t="str">
        <f t="shared" si="471"/>
        <v>NA</v>
      </c>
      <c r="V1407" s="29" t="str">
        <f t="shared" si="472"/>
        <v>NA</v>
      </c>
      <c r="W1407" s="29" t="str">
        <f t="shared" si="473"/>
        <v>NA</v>
      </c>
      <c r="X1407" s="29" t="str">
        <f t="shared" si="474"/>
        <v>NA</v>
      </c>
      <c r="Y1407" s="29" t="str">
        <f t="shared" si="475"/>
        <v>NA</v>
      </c>
      <c r="Z1407" s="29" t="str">
        <f t="shared" si="476"/>
        <v>NA</v>
      </c>
      <c r="AA1407" s="29" t="str">
        <f t="shared" si="477"/>
        <v>NA</v>
      </c>
      <c r="AB1407" s="29" t="str">
        <f t="shared" si="478"/>
        <v>NA</v>
      </c>
      <c r="AC1407" s="29" t="str">
        <f t="shared" si="479"/>
        <v>NA</v>
      </c>
      <c r="AD1407" s="29" t="str">
        <f t="shared" si="480"/>
        <v>NA</v>
      </c>
      <c r="AE1407" s="29" t="str">
        <f t="shared" si="481"/>
        <v>NA</v>
      </c>
      <c r="AF1407" s="29" t="str">
        <f t="shared" si="482"/>
        <v>NA</v>
      </c>
      <c r="AG1407" s="29" t="str">
        <f t="shared" si="483"/>
        <v>NA</v>
      </c>
      <c r="AH1407" s="29" t="str">
        <f t="shared" si="484"/>
        <v>NA</v>
      </c>
    </row>
    <row r="1408" customHeight="1" spans="1:34">
      <c r="A1408" s="12" t="s">
        <v>1043</v>
      </c>
      <c r="F1408" s="24">
        <f t="shared" si="466"/>
        <v>0</v>
      </c>
      <c r="G1408" s="24" t="e">
        <f t="shared" si="465"/>
        <v>#DIV/0!</v>
      </c>
      <c r="Q1408" s="29" t="str">
        <f t="shared" si="467"/>
        <v>NA</v>
      </c>
      <c r="R1408" s="29" t="str">
        <f t="shared" si="468"/>
        <v>NA</v>
      </c>
      <c r="S1408" s="29" t="str">
        <f t="shared" si="469"/>
        <v>NA</v>
      </c>
      <c r="T1408" s="29" t="str">
        <f t="shared" si="470"/>
        <v>NA</v>
      </c>
      <c r="U1408" s="29" t="str">
        <f t="shared" si="471"/>
        <v>NA</v>
      </c>
      <c r="V1408" s="29" t="str">
        <f t="shared" si="472"/>
        <v>NA</v>
      </c>
      <c r="W1408" s="29" t="str">
        <f t="shared" si="473"/>
        <v>NA</v>
      </c>
      <c r="X1408" s="29" t="str">
        <f t="shared" si="474"/>
        <v>NA</v>
      </c>
      <c r="Y1408" s="29" t="str">
        <f t="shared" si="475"/>
        <v>NA</v>
      </c>
      <c r="Z1408" s="29" t="str">
        <f t="shared" si="476"/>
        <v>NA</v>
      </c>
      <c r="AA1408" s="29" t="str">
        <f t="shared" si="477"/>
        <v>NA</v>
      </c>
      <c r="AB1408" s="29" t="str">
        <f t="shared" si="478"/>
        <v>NA</v>
      </c>
      <c r="AC1408" s="29" t="str">
        <f t="shared" si="479"/>
        <v>NA</v>
      </c>
      <c r="AD1408" s="29" t="str">
        <f t="shared" si="480"/>
        <v>NA</v>
      </c>
      <c r="AE1408" s="29" t="str">
        <f t="shared" si="481"/>
        <v>NA</v>
      </c>
      <c r="AF1408" s="29" t="str">
        <f t="shared" si="482"/>
        <v>NA</v>
      </c>
      <c r="AG1408" s="29" t="str">
        <f t="shared" si="483"/>
        <v>NA</v>
      </c>
      <c r="AH1408" s="29" t="str">
        <f t="shared" si="484"/>
        <v>NA</v>
      </c>
    </row>
    <row r="1409" customHeight="1" spans="1:34">
      <c r="A1409" s="12" t="s">
        <v>1043</v>
      </c>
      <c r="F1409" s="24">
        <f t="shared" si="466"/>
        <v>0</v>
      </c>
      <c r="G1409" s="24" t="e">
        <f t="shared" si="465"/>
        <v>#DIV/0!</v>
      </c>
      <c r="Q1409" s="29" t="str">
        <f t="shared" si="467"/>
        <v>NA</v>
      </c>
      <c r="R1409" s="29" t="str">
        <f t="shared" si="468"/>
        <v>NA</v>
      </c>
      <c r="S1409" s="29" t="str">
        <f t="shared" si="469"/>
        <v>NA</v>
      </c>
      <c r="T1409" s="29" t="str">
        <f t="shared" si="470"/>
        <v>NA</v>
      </c>
      <c r="U1409" s="29" t="str">
        <f t="shared" si="471"/>
        <v>NA</v>
      </c>
      <c r="V1409" s="29" t="str">
        <f t="shared" si="472"/>
        <v>NA</v>
      </c>
      <c r="W1409" s="29" t="str">
        <f t="shared" si="473"/>
        <v>NA</v>
      </c>
      <c r="X1409" s="29" t="str">
        <f t="shared" si="474"/>
        <v>NA</v>
      </c>
      <c r="Y1409" s="29" t="str">
        <f t="shared" si="475"/>
        <v>NA</v>
      </c>
      <c r="Z1409" s="29" t="str">
        <f t="shared" si="476"/>
        <v>NA</v>
      </c>
      <c r="AA1409" s="29" t="str">
        <f t="shared" si="477"/>
        <v>NA</v>
      </c>
      <c r="AB1409" s="29" t="str">
        <f t="shared" si="478"/>
        <v>NA</v>
      </c>
      <c r="AC1409" s="29" t="str">
        <f t="shared" si="479"/>
        <v>NA</v>
      </c>
      <c r="AD1409" s="29" t="str">
        <f t="shared" si="480"/>
        <v>NA</v>
      </c>
      <c r="AE1409" s="29" t="str">
        <f t="shared" si="481"/>
        <v>NA</v>
      </c>
      <c r="AF1409" s="29" t="str">
        <f t="shared" si="482"/>
        <v>NA</v>
      </c>
      <c r="AG1409" s="29" t="str">
        <f t="shared" si="483"/>
        <v>NA</v>
      </c>
      <c r="AH1409" s="29" t="str">
        <f t="shared" si="484"/>
        <v>NA</v>
      </c>
    </row>
    <row r="1410" customHeight="1" spans="1:34">
      <c r="A1410" s="12" t="s">
        <v>1043</v>
      </c>
      <c r="F1410" s="24">
        <f t="shared" si="466"/>
        <v>0</v>
      </c>
      <c r="G1410" s="24" t="e">
        <f t="shared" si="465"/>
        <v>#DIV/0!</v>
      </c>
      <c r="Q1410" s="29" t="str">
        <f t="shared" si="467"/>
        <v>NA</v>
      </c>
      <c r="R1410" s="29" t="str">
        <f t="shared" si="468"/>
        <v>NA</v>
      </c>
      <c r="S1410" s="29" t="str">
        <f t="shared" si="469"/>
        <v>NA</v>
      </c>
      <c r="T1410" s="29" t="str">
        <f t="shared" si="470"/>
        <v>NA</v>
      </c>
      <c r="U1410" s="29" t="str">
        <f t="shared" si="471"/>
        <v>NA</v>
      </c>
      <c r="V1410" s="29" t="str">
        <f t="shared" si="472"/>
        <v>NA</v>
      </c>
      <c r="W1410" s="29" t="str">
        <f t="shared" si="473"/>
        <v>NA</v>
      </c>
      <c r="X1410" s="29" t="str">
        <f t="shared" si="474"/>
        <v>NA</v>
      </c>
      <c r="Y1410" s="29" t="str">
        <f t="shared" si="475"/>
        <v>NA</v>
      </c>
      <c r="Z1410" s="29" t="str">
        <f t="shared" si="476"/>
        <v>NA</v>
      </c>
      <c r="AA1410" s="29" t="str">
        <f t="shared" si="477"/>
        <v>NA</v>
      </c>
      <c r="AB1410" s="29" t="str">
        <f t="shared" si="478"/>
        <v>NA</v>
      </c>
      <c r="AC1410" s="29" t="str">
        <f t="shared" si="479"/>
        <v>NA</v>
      </c>
      <c r="AD1410" s="29" t="str">
        <f t="shared" si="480"/>
        <v>NA</v>
      </c>
      <c r="AE1410" s="29" t="str">
        <f t="shared" si="481"/>
        <v>NA</v>
      </c>
      <c r="AF1410" s="29" t="str">
        <f t="shared" si="482"/>
        <v>NA</v>
      </c>
      <c r="AG1410" s="29" t="str">
        <f t="shared" si="483"/>
        <v>NA</v>
      </c>
      <c r="AH1410" s="29" t="str">
        <f t="shared" si="484"/>
        <v>NA</v>
      </c>
    </row>
    <row r="1411" customHeight="1" spans="1:34">
      <c r="A1411" s="12" t="s">
        <v>1043</v>
      </c>
      <c r="F1411" s="24">
        <f t="shared" si="466"/>
        <v>0</v>
      </c>
      <c r="G1411" s="24" t="e">
        <f t="shared" si="465"/>
        <v>#DIV/0!</v>
      </c>
      <c r="Q1411" s="29" t="str">
        <f t="shared" si="467"/>
        <v>NA</v>
      </c>
      <c r="R1411" s="29" t="str">
        <f t="shared" si="468"/>
        <v>NA</v>
      </c>
      <c r="S1411" s="29" t="str">
        <f t="shared" si="469"/>
        <v>NA</v>
      </c>
      <c r="T1411" s="29" t="str">
        <f t="shared" si="470"/>
        <v>NA</v>
      </c>
      <c r="U1411" s="29" t="str">
        <f t="shared" si="471"/>
        <v>NA</v>
      </c>
      <c r="V1411" s="29" t="str">
        <f t="shared" si="472"/>
        <v>NA</v>
      </c>
      <c r="W1411" s="29" t="str">
        <f t="shared" si="473"/>
        <v>NA</v>
      </c>
      <c r="X1411" s="29" t="str">
        <f t="shared" si="474"/>
        <v>NA</v>
      </c>
      <c r="Y1411" s="29" t="str">
        <f t="shared" si="475"/>
        <v>NA</v>
      </c>
      <c r="Z1411" s="29" t="str">
        <f t="shared" si="476"/>
        <v>NA</v>
      </c>
      <c r="AA1411" s="29" t="str">
        <f t="shared" si="477"/>
        <v>NA</v>
      </c>
      <c r="AB1411" s="29" t="str">
        <f t="shared" si="478"/>
        <v>NA</v>
      </c>
      <c r="AC1411" s="29" t="str">
        <f t="shared" si="479"/>
        <v>NA</v>
      </c>
      <c r="AD1411" s="29" t="str">
        <f t="shared" si="480"/>
        <v>NA</v>
      </c>
      <c r="AE1411" s="29" t="str">
        <f t="shared" si="481"/>
        <v>NA</v>
      </c>
      <c r="AF1411" s="29" t="str">
        <f t="shared" si="482"/>
        <v>NA</v>
      </c>
      <c r="AG1411" s="29" t="str">
        <f t="shared" si="483"/>
        <v>NA</v>
      </c>
      <c r="AH1411" s="29" t="str">
        <f t="shared" si="484"/>
        <v>NA</v>
      </c>
    </row>
    <row r="1412" customHeight="1" spans="1:34">
      <c r="A1412" s="12" t="s">
        <v>1043</v>
      </c>
      <c r="F1412" s="24">
        <f t="shared" si="466"/>
        <v>0</v>
      </c>
      <c r="G1412" s="24" t="e">
        <f t="shared" si="465"/>
        <v>#DIV/0!</v>
      </c>
      <c r="Q1412" s="29" t="str">
        <f t="shared" si="467"/>
        <v>NA</v>
      </c>
      <c r="R1412" s="29" t="str">
        <f t="shared" si="468"/>
        <v>NA</v>
      </c>
      <c r="S1412" s="29" t="str">
        <f t="shared" si="469"/>
        <v>NA</v>
      </c>
      <c r="T1412" s="29" t="str">
        <f t="shared" si="470"/>
        <v>NA</v>
      </c>
      <c r="U1412" s="29" t="str">
        <f t="shared" si="471"/>
        <v>NA</v>
      </c>
      <c r="V1412" s="29" t="str">
        <f t="shared" si="472"/>
        <v>NA</v>
      </c>
      <c r="W1412" s="29" t="str">
        <f t="shared" si="473"/>
        <v>NA</v>
      </c>
      <c r="X1412" s="29" t="str">
        <f t="shared" si="474"/>
        <v>NA</v>
      </c>
      <c r="Y1412" s="29" t="str">
        <f t="shared" si="475"/>
        <v>NA</v>
      </c>
      <c r="Z1412" s="29" t="str">
        <f t="shared" si="476"/>
        <v>NA</v>
      </c>
      <c r="AA1412" s="29" t="str">
        <f t="shared" si="477"/>
        <v>NA</v>
      </c>
      <c r="AB1412" s="29" t="str">
        <f t="shared" si="478"/>
        <v>NA</v>
      </c>
      <c r="AC1412" s="29" t="str">
        <f t="shared" si="479"/>
        <v>NA</v>
      </c>
      <c r="AD1412" s="29" t="str">
        <f t="shared" si="480"/>
        <v>NA</v>
      </c>
      <c r="AE1412" s="29" t="str">
        <f t="shared" si="481"/>
        <v>NA</v>
      </c>
      <c r="AF1412" s="29" t="str">
        <f t="shared" si="482"/>
        <v>NA</v>
      </c>
      <c r="AG1412" s="29" t="str">
        <f t="shared" si="483"/>
        <v>NA</v>
      </c>
      <c r="AH1412" s="29" t="str">
        <f t="shared" si="484"/>
        <v>NA</v>
      </c>
    </row>
    <row r="1413" customHeight="1" spans="1:34">
      <c r="A1413" s="12" t="s">
        <v>1043</v>
      </c>
      <c r="F1413" s="24">
        <f t="shared" si="466"/>
        <v>0</v>
      </c>
      <c r="G1413" s="24" t="e">
        <f t="shared" ref="G1413:G1476" si="485">B1413*D1413/C1413</f>
        <v>#DIV/0!</v>
      </c>
      <c r="Q1413" s="29" t="str">
        <f t="shared" si="467"/>
        <v>NA</v>
      </c>
      <c r="R1413" s="29" t="str">
        <f t="shared" si="468"/>
        <v>NA</v>
      </c>
      <c r="S1413" s="29" t="str">
        <f t="shared" si="469"/>
        <v>NA</v>
      </c>
      <c r="T1413" s="29" t="str">
        <f t="shared" si="470"/>
        <v>NA</v>
      </c>
      <c r="U1413" s="29" t="str">
        <f t="shared" si="471"/>
        <v>NA</v>
      </c>
      <c r="V1413" s="29" t="str">
        <f t="shared" si="472"/>
        <v>NA</v>
      </c>
      <c r="W1413" s="29" t="str">
        <f t="shared" si="473"/>
        <v>NA</v>
      </c>
      <c r="X1413" s="29" t="str">
        <f t="shared" si="474"/>
        <v>NA</v>
      </c>
      <c r="Y1413" s="29" t="str">
        <f t="shared" si="475"/>
        <v>NA</v>
      </c>
      <c r="Z1413" s="29" t="str">
        <f t="shared" si="476"/>
        <v>NA</v>
      </c>
      <c r="AA1413" s="29" t="str">
        <f t="shared" si="477"/>
        <v>NA</v>
      </c>
      <c r="AB1413" s="29" t="str">
        <f t="shared" si="478"/>
        <v>NA</v>
      </c>
      <c r="AC1413" s="29" t="str">
        <f t="shared" si="479"/>
        <v>NA</v>
      </c>
      <c r="AD1413" s="29" t="str">
        <f t="shared" si="480"/>
        <v>NA</v>
      </c>
      <c r="AE1413" s="29" t="str">
        <f t="shared" si="481"/>
        <v>NA</v>
      </c>
      <c r="AF1413" s="29" t="str">
        <f t="shared" si="482"/>
        <v>NA</v>
      </c>
      <c r="AG1413" s="29" t="str">
        <f t="shared" si="483"/>
        <v>NA</v>
      </c>
      <c r="AH1413" s="29" t="str">
        <f t="shared" si="484"/>
        <v>NA</v>
      </c>
    </row>
    <row r="1414" customHeight="1" spans="1:34">
      <c r="A1414" s="12" t="s">
        <v>1043</v>
      </c>
      <c r="F1414" s="24">
        <f t="shared" ref="F1414:F1477" si="486">+D1414+E1414</f>
        <v>0</v>
      </c>
      <c r="G1414" s="24" t="e">
        <f t="shared" si="485"/>
        <v>#DIV/0!</v>
      </c>
      <c r="Q1414" s="29" t="str">
        <f t="shared" si="467"/>
        <v>NA</v>
      </c>
      <c r="R1414" s="29" t="str">
        <f t="shared" si="468"/>
        <v>NA</v>
      </c>
      <c r="S1414" s="29" t="str">
        <f t="shared" si="469"/>
        <v>NA</v>
      </c>
      <c r="T1414" s="29" t="str">
        <f t="shared" si="470"/>
        <v>NA</v>
      </c>
      <c r="U1414" s="29" t="str">
        <f t="shared" si="471"/>
        <v>NA</v>
      </c>
      <c r="V1414" s="29" t="str">
        <f t="shared" si="472"/>
        <v>NA</v>
      </c>
      <c r="W1414" s="29" t="str">
        <f t="shared" si="473"/>
        <v>NA</v>
      </c>
      <c r="X1414" s="29" t="str">
        <f t="shared" si="474"/>
        <v>NA</v>
      </c>
      <c r="Y1414" s="29" t="str">
        <f t="shared" si="475"/>
        <v>NA</v>
      </c>
      <c r="Z1414" s="29" t="str">
        <f t="shared" si="476"/>
        <v>NA</v>
      </c>
      <c r="AA1414" s="29" t="str">
        <f t="shared" si="477"/>
        <v>NA</v>
      </c>
      <c r="AB1414" s="29" t="str">
        <f t="shared" si="478"/>
        <v>NA</v>
      </c>
      <c r="AC1414" s="29" t="str">
        <f t="shared" si="479"/>
        <v>NA</v>
      </c>
      <c r="AD1414" s="29" t="str">
        <f t="shared" si="480"/>
        <v>NA</v>
      </c>
      <c r="AE1414" s="29" t="str">
        <f t="shared" si="481"/>
        <v>NA</v>
      </c>
      <c r="AF1414" s="29" t="str">
        <f t="shared" si="482"/>
        <v>NA</v>
      </c>
      <c r="AG1414" s="29" t="str">
        <f t="shared" si="483"/>
        <v>NA</v>
      </c>
      <c r="AH1414" s="29" t="str">
        <f t="shared" si="484"/>
        <v>NA</v>
      </c>
    </row>
    <row r="1415" customHeight="1" spans="1:34">
      <c r="A1415" s="12" t="s">
        <v>1043</v>
      </c>
      <c r="F1415" s="24">
        <f t="shared" si="486"/>
        <v>0</v>
      </c>
      <c r="G1415" s="24" t="e">
        <f t="shared" si="485"/>
        <v>#DIV/0!</v>
      </c>
      <c r="Q1415" s="29" t="str">
        <f t="shared" si="467"/>
        <v>NA</v>
      </c>
      <c r="R1415" s="29" t="str">
        <f t="shared" si="468"/>
        <v>NA</v>
      </c>
      <c r="S1415" s="29" t="str">
        <f t="shared" si="469"/>
        <v>NA</v>
      </c>
      <c r="T1415" s="29" t="str">
        <f t="shared" si="470"/>
        <v>NA</v>
      </c>
      <c r="U1415" s="29" t="str">
        <f t="shared" si="471"/>
        <v>NA</v>
      </c>
      <c r="V1415" s="29" t="str">
        <f t="shared" si="472"/>
        <v>NA</v>
      </c>
      <c r="W1415" s="29" t="str">
        <f t="shared" si="473"/>
        <v>NA</v>
      </c>
      <c r="X1415" s="29" t="str">
        <f t="shared" si="474"/>
        <v>NA</v>
      </c>
      <c r="Y1415" s="29" t="str">
        <f t="shared" si="475"/>
        <v>NA</v>
      </c>
      <c r="Z1415" s="29" t="str">
        <f t="shared" si="476"/>
        <v>NA</v>
      </c>
      <c r="AA1415" s="29" t="str">
        <f t="shared" si="477"/>
        <v>NA</v>
      </c>
      <c r="AB1415" s="29" t="str">
        <f t="shared" si="478"/>
        <v>NA</v>
      </c>
      <c r="AC1415" s="29" t="str">
        <f t="shared" si="479"/>
        <v>NA</v>
      </c>
      <c r="AD1415" s="29" t="str">
        <f t="shared" si="480"/>
        <v>NA</v>
      </c>
      <c r="AE1415" s="29" t="str">
        <f t="shared" si="481"/>
        <v>NA</v>
      </c>
      <c r="AF1415" s="29" t="str">
        <f t="shared" si="482"/>
        <v>NA</v>
      </c>
      <c r="AG1415" s="29" t="str">
        <f t="shared" si="483"/>
        <v>NA</v>
      </c>
      <c r="AH1415" s="29" t="str">
        <f t="shared" si="484"/>
        <v>NA</v>
      </c>
    </row>
    <row r="1416" customHeight="1" spans="1:34">
      <c r="A1416" s="12" t="s">
        <v>1043</v>
      </c>
      <c r="F1416" s="24">
        <f t="shared" si="486"/>
        <v>0</v>
      </c>
      <c r="G1416" s="24" t="e">
        <f t="shared" si="485"/>
        <v>#DIV/0!</v>
      </c>
      <c r="Q1416" s="29" t="str">
        <f t="shared" si="467"/>
        <v>NA</v>
      </c>
      <c r="R1416" s="29" t="str">
        <f t="shared" si="468"/>
        <v>NA</v>
      </c>
      <c r="S1416" s="29" t="str">
        <f t="shared" si="469"/>
        <v>NA</v>
      </c>
      <c r="T1416" s="29" t="str">
        <f t="shared" si="470"/>
        <v>NA</v>
      </c>
      <c r="U1416" s="29" t="str">
        <f t="shared" si="471"/>
        <v>NA</v>
      </c>
      <c r="V1416" s="29" t="str">
        <f t="shared" si="472"/>
        <v>NA</v>
      </c>
      <c r="W1416" s="29" t="str">
        <f t="shared" si="473"/>
        <v>NA</v>
      </c>
      <c r="X1416" s="29" t="str">
        <f t="shared" si="474"/>
        <v>NA</v>
      </c>
      <c r="Y1416" s="29" t="str">
        <f t="shared" si="475"/>
        <v>NA</v>
      </c>
      <c r="Z1416" s="29" t="str">
        <f t="shared" si="476"/>
        <v>NA</v>
      </c>
      <c r="AA1416" s="29" t="str">
        <f t="shared" si="477"/>
        <v>NA</v>
      </c>
      <c r="AB1416" s="29" t="str">
        <f t="shared" si="478"/>
        <v>NA</v>
      </c>
      <c r="AC1416" s="29" t="str">
        <f t="shared" si="479"/>
        <v>NA</v>
      </c>
      <c r="AD1416" s="29" t="str">
        <f t="shared" si="480"/>
        <v>NA</v>
      </c>
      <c r="AE1416" s="29" t="str">
        <f t="shared" si="481"/>
        <v>NA</v>
      </c>
      <c r="AF1416" s="29" t="str">
        <f t="shared" si="482"/>
        <v>NA</v>
      </c>
      <c r="AG1416" s="29" t="str">
        <f t="shared" si="483"/>
        <v>NA</v>
      </c>
      <c r="AH1416" s="29" t="str">
        <f t="shared" si="484"/>
        <v>NA</v>
      </c>
    </row>
    <row r="1417" customHeight="1" spans="1:34">
      <c r="A1417" s="12" t="s">
        <v>1043</v>
      </c>
      <c r="F1417" s="24">
        <f t="shared" si="486"/>
        <v>0</v>
      </c>
      <c r="G1417" s="24" t="e">
        <f t="shared" si="485"/>
        <v>#DIV/0!</v>
      </c>
      <c r="Q1417" s="29" t="str">
        <f t="shared" si="467"/>
        <v>NA</v>
      </c>
      <c r="R1417" s="29" t="str">
        <f t="shared" si="468"/>
        <v>NA</v>
      </c>
      <c r="S1417" s="29" t="str">
        <f t="shared" si="469"/>
        <v>NA</v>
      </c>
      <c r="T1417" s="29" t="str">
        <f t="shared" si="470"/>
        <v>NA</v>
      </c>
      <c r="U1417" s="29" t="str">
        <f t="shared" si="471"/>
        <v>NA</v>
      </c>
      <c r="V1417" s="29" t="str">
        <f t="shared" si="472"/>
        <v>NA</v>
      </c>
      <c r="W1417" s="29" t="str">
        <f t="shared" si="473"/>
        <v>NA</v>
      </c>
      <c r="X1417" s="29" t="str">
        <f t="shared" si="474"/>
        <v>NA</v>
      </c>
      <c r="Y1417" s="29" t="str">
        <f t="shared" si="475"/>
        <v>NA</v>
      </c>
      <c r="Z1417" s="29" t="str">
        <f t="shared" si="476"/>
        <v>NA</v>
      </c>
      <c r="AA1417" s="29" t="str">
        <f t="shared" si="477"/>
        <v>NA</v>
      </c>
      <c r="AB1417" s="29" t="str">
        <f t="shared" si="478"/>
        <v>NA</v>
      </c>
      <c r="AC1417" s="29" t="str">
        <f t="shared" si="479"/>
        <v>NA</v>
      </c>
      <c r="AD1417" s="29" t="str">
        <f t="shared" si="480"/>
        <v>NA</v>
      </c>
      <c r="AE1417" s="29" t="str">
        <f t="shared" si="481"/>
        <v>NA</v>
      </c>
      <c r="AF1417" s="29" t="str">
        <f t="shared" si="482"/>
        <v>NA</v>
      </c>
      <c r="AG1417" s="29" t="str">
        <f t="shared" si="483"/>
        <v>NA</v>
      </c>
      <c r="AH1417" s="29" t="str">
        <f t="shared" si="484"/>
        <v>NA</v>
      </c>
    </row>
    <row r="1418" customHeight="1" spans="1:34">
      <c r="A1418" s="12" t="s">
        <v>1043</v>
      </c>
      <c r="F1418" s="24">
        <f t="shared" si="486"/>
        <v>0</v>
      </c>
      <c r="G1418" s="24" t="e">
        <f t="shared" si="485"/>
        <v>#DIV/0!</v>
      </c>
      <c r="Q1418" s="29" t="str">
        <f t="shared" si="467"/>
        <v>NA</v>
      </c>
      <c r="R1418" s="29" t="str">
        <f t="shared" si="468"/>
        <v>NA</v>
      </c>
      <c r="S1418" s="29" t="str">
        <f t="shared" si="469"/>
        <v>NA</v>
      </c>
      <c r="T1418" s="29" t="str">
        <f t="shared" si="470"/>
        <v>NA</v>
      </c>
      <c r="U1418" s="29" t="str">
        <f t="shared" si="471"/>
        <v>NA</v>
      </c>
      <c r="V1418" s="29" t="str">
        <f t="shared" si="472"/>
        <v>NA</v>
      </c>
      <c r="W1418" s="29" t="str">
        <f t="shared" si="473"/>
        <v>NA</v>
      </c>
      <c r="X1418" s="29" t="str">
        <f t="shared" si="474"/>
        <v>NA</v>
      </c>
      <c r="Y1418" s="29" t="str">
        <f t="shared" si="475"/>
        <v>NA</v>
      </c>
      <c r="Z1418" s="29" t="str">
        <f t="shared" si="476"/>
        <v>NA</v>
      </c>
      <c r="AA1418" s="29" t="str">
        <f t="shared" si="477"/>
        <v>NA</v>
      </c>
      <c r="AB1418" s="29" t="str">
        <f t="shared" si="478"/>
        <v>NA</v>
      </c>
      <c r="AC1418" s="29" t="str">
        <f t="shared" si="479"/>
        <v>NA</v>
      </c>
      <c r="AD1418" s="29" t="str">
        <f t="shared" si="480"/>
        <v>NA</v>
      </c>
      <c r="AE1418" s="29" t="str">
        <f t="shared" si="481"/>
        <v>NA</v>
      </c>
      <c r="AF1418" s="29" t="str">
        <f t="shared" si="482"/>
        <v>NA</v>
      </c>
      <c r="AG1418" s="29" t="str">
        <f t="shared" si="483"/>
        <v>NA</v>
      </c>
      <c r="AH1418" s="29" t="str">
        <f t="shared" si="484"/>
        <v>NA</v>
      </c>
    </row>
    <row r="1419" customHeight="1" spans="1:34">
      <c r="A1419" s="12" t="s">
        <v>1043</v>
      </c>
      <c r="F1419" s="24">
        <f t="shared" si="486"/>
        <v>0</v>
      </c>
      <c r="G1419" s="24" t="e">
        <f t="shared" si="485"/>
        <v>#DIV/0!</v>
      </c>
      <c r="Q1419" s="29" t="str">
        <f t="shared" si="467"/>
        <v>NA</v>
      </c>
      <c r="R1419" s="29" t="str">
        <f t="shared" si="468"/>
        <v>NA</v>
      </c>
      <c r="S1419" s="29" t="str">
        <f t="shared" si="469"/>
        <v>NA</v>
      </c>
      <c r="T1419" s="29" t="str">
        <f t="shared" si="470"/>
        <v>NA</v>
      </c>
      <c r="U1419" s="29" t="str">
        <f t="shared" si="471"/>
        <v>NA</v>
      </c>
      <c r="V1419" s="29" t="str">
        <f t="shared" si="472"/>
        <v>NA</v>
      </c>
      <c r="W1419" s="29" t="str">
        <f t="shared" si="473"/>
        <v>NA</v>
      </c>
      <c r="X1419" s="29" t="str">
        <f t="shared" si="474"/>
        <v>NA</v>
      </c>
      <c r="Y1419" s="29" t="str">
        <f t="shared" si="475"/>
        <v>NA</v>
      </c>
      <c r="Z1419" s="29" t="str">
        <f t="shared" si="476"/>
        <v>NA</v>
      </c>
      <c r="AA1419" s="29" t="str">
        <f t="shared" si="477"/>
        <v>NA</v>
      </c>
      <c r="AB1419" s="29" t="str">
        <f t="shared" si="478"/>
        <v>NA</v>
      </c>
      <c r="AC1419" s="29" t="str">
        <f t="shared" si="479"/>
        <v>NA</v>
      </c>
      <c r="AD1419" s="29" t="str">
        <f t="shared" si="480"/>
        <v>NA</v>
      </c>
      <c r="AE1419" s="29" t="str">
        <f t="shared" si="481"/>
        <v>NA</v>
      </c>
      <c r="AF1419" s="29" t="str">
        <f t="shared" si="482"/>
        <v>NA</v>
      </c>
      <c r="AG1419" s="29" t="str">
        <f t="shared" si="483"/>
        <v>NA</v>
      </c>
      <c r="AH1419" s="29" t="str">
        <f t="shared" si="484"/>
        <v>NA</v>
      </c>
    </row>
    <row r="1420" customHeight="1" spans="1:34">
      <c r="A1420" s="12" t="s">
        <v>1043</v>
      </c>
      <c r="F1420" s="24">
        <f t="shared" si="486"/>
        <v>0</v>
      </c>
      <c r="G1420" s="24" t="e">
        <f t="shared" si="485"/>
        <v>#DIV/0!</v>
      </c>
      <c r="Q1420" s="29" t="str">
        <f t="shared" si="467"/>
        <v>NA</v>
      </c>
      <c r="R1420" s="29" t="str">
        <f t="shared" si="468"/>
        <v>NA</v>
      </c>
      <c r="S1420" s="29" t="str">
        <f t="shared" si="469"/>
        <v>NA</v>
      </c>
      <c r="T1420" s="29" t="str">
        <f t="shared" si="470"/>
        <v>NA</v>
      </c>
      <c r="U1420" s="29" t="str">
        <f t="shared" si="471"/>
        <v>NA</v>
      </c>
      <c r="V1420" s="29" t="str">
        <f t="shared" si="472"/>
        <v>NA</v>
      </c>
      <c r="W1420" s="29" t="str">
        <f t="shared" si="473"/>
        <v>NA</v>
      </c>
      <c r="X1420" s="29" t="str">
        <f t="shared" si="474"/>
        <v>NA</v>
      </c>
      <c r="Y1420" s="29" t="str">
        <f t="shared" si="475"/>
        <v>NA</v>
      </c>
      <c r="Z1420" s="29" t="str">
        <f t="shared" si="476"/>
        <v>NA</v>
      </c>
      <c r="AA1420" s="29" t="str">
        <f t="shared" si="477"/>
        <v>NA</v>
      </c>
      <c r="AB1420" s="29" t="str">
        <f t="shared" si="478"/>
        <v>NA</v>
      </c>
      <c r="AC1420" s="29" t="str">
        <f t="shared" si="479"/>
        <v>NA</v>
      </c>
      <c r="AD1420" s="29" t="str">
        <f t="shared" si="480"/>
        <v>NA</v>
      </c>
      <c r="AE1420" s="29" t="str">
        <f t="shared" si="481"/>
        <v>NA</v>
      </c>
      <c r="AF1420" s="29" t="str">
        <f t="shared" si="482"/>
        <v>NA</v>
      </c>
      <c r="AG1420" s="29" t="str">
        <f t="shared" si="483"/>
        <v>NA</v>
      </c>
      <c r="AH1420" s="29" t="str">
        <f t="shared" si="484"/>
        <v>NA</v>
      </c>
    </row>
    <row r="1421" customHeight="1" spans="1:34">
      <c r="A1421" s="12" t="s">
        <v>1043</v>
      </c>
      <c r="F1421" s="24">
        <f t="shared" si="486"/>
        <v>0</v>
      </c>
      <c r="G1421" s="24" t="e">
        <f t="shared" si="485"/>
        <v>#DIV/0!</v>
      </c>
      <c r="Q1421" s="29" t="str">
        <f t="shared" si="467"/>
        <v>NA</v>
      </c>
      <c r="R1421" s="29" t="str">
        <f t="shared" si="468"/>
        <v>NA</v>
      </c>
      <c r="S1421" s="29" t="str">
        <f t="shared" si="469"/>
        <v>NA</v>
      </c>
      <c r="T1421" s="29" t="str">
        <f t="shared" si="470"/>
        <v>NA</v>
      </c>
      <c r="U1421" s="29" t="str">
        <f t="shared" si="471"/>
        <v>NA</v>
      </c>
      <c r="V1421" s="29" t="str">
        <f t="shared" si="472"/>
        <v>NA</v>
      </c>
      <c r="W1421" s="29" t="str">
        <f t="shared" si="473"/>
        <v>NA</v>
      </c>
      <c r="X1421" s="29" t="str">
        <f t="shared" si="474"/>
        <v>NA</v>
      </c>
      <c r="Y1421" s="29" t="str">
        <f t="shared" si="475"/>
        <v>NA</v>
      </c>
      <c r="Z1421" s="29" t="str">
        <f t="shared" si="476"/>
        <v>NA</v>
      </c>
      <c r="AA1421" s="29" t="str">
        <f t="shared" si="477"/>
        <v>NA</v>
      </c>
      <c r="AB1421" s="29" t="str">
        <f t="shared" si="478"/>
        <v>NA</v>
      </c>
      <c r="AC1421" s="29" t="str">
        <f t="shared" si="479"/>
        <v>NA</v>
      </c>
      <c r="AD1421" s="29" t="str">
        <f t="shared" si="480"/>
        <v>NA</v>
      </c>
      <c r="AE1421" s="29" t="str">
        <f t="shared" si="481"/>
        <v>NA</v>
      </c>
      <c r="AF1421" s="29" t="str">
        <f t="shared" si="482"/>
        <v>NA</v>
      </c>
      <c r="AG1421" s="29" t="str">
        <f t="shared" si="483"/>
        <v>NA</v>
      </c>
      <c r="AH1421" s="29" t="str">
        <f t="shared" si="484"/>
        <v>NA</v>
      </c>
    </row>
    <row r="1422" customHeight="1" spans="1:34">
      <c r="A1422" s="12" t="s">
        <v>1043</v>
      </c>
      <c r="F1422" s="24">
        <f t="shared" si="486"/>
        <v>0</v>
      </c>
      <c r="G1422" s="24" t="e">
        <f t="shared" si="485"/>
        <v>#DIV/0!</v>
      </c>
      <c r="Q1422" s="29" t="str">
        <f t="shared" si="467"/>
        <v>NA</v>
      </c>
      <c r="R1422" s="29" t="str">
        <f t="shared" si="468"/>
        <v>NA</v>
      </c>
      <c r="S1422" s="29" t="str">
        <f t="shared" si="469"/>
        <v>NA</v>
      </c>
      <c r="T1422" s="29" t="str">
        <f t="shared" si="470"/>
        <v>NA</v>
      </c>
      <c r="U1422" s="29" t="str">
        <f t="shared" si="471"/>
        <v>NA</v>
      </c>
      <c r="V1422" s="29" t="str">
        <f t="shared" si="472"/>
        <v>NA</v>
      </c>
      <c r="W1422" s="29" t="str">
        <f t="shared" si="473"/>
        <v>NA</v>
      </c>
      <c r="X1422" s="29" t="str">
        <f t="shared" si="474"/>
        <v>NA</v>
      </c>
      <c r="Y1422" s="29" t="str">
        <f t="shared" si="475"/>
        <v>NA</v>
      </c>
      <c r="Z1422" s="29" t="str">
        <f t="shared" si="476"/>
        <v>NA</v>
      </c>
      <c r="AA1422" s="29" t="str">
        <f t="shared" si="477"/>
        <v>NA</v>
      </c>
      <c r="AB1422" s="29" t="str">
        <f t="shared" si="478"/>
        <v>NA</v>
      </c>
      <c r="AC1422" s="29" t="str">
        <f t="shared" si="479"/>
        <v>NA</v>
      </c>
      <c r="AD1422" s="29" t="str">
        <f t="shared" si="480"/>
        <v>NA</v>
      </c>
      <c r="AE1422" s="29" t="str">
        <f t="shared" si="481"/>
        <v>NA</v>
      </c>
      <c r="AF1422" s="29" t="str">
        <f t="shared" si="482"/>
        <v>NA</v>
      </c>
      <c r="AG1422" s="29" t="str">
        <f t="shared" si="483"/>
        <v>NA</v>
      </c>
      <c r="AH1422" s="29" t="str">
        <f t="shared" si="484"/>
        <v>NA</v>
      </c>
    </row>
    <row r="1423" customHeight="1" spans="1:34">
      <c r="A1423" s="12" t="s">
        <v>1043</v>
      </c>
      <c r="F1423" s="24">
        <f t="shared" si="486"/>
        <v>0</v>
      </c>
      <c r="G1423" s="24" t="e">
        <f t="shared" si="485"/>
        <v>#DIV/0!</v>
      </c>
      <c r="Q1423" s="29" t="str">
        <f t="shared" si="467"/>
        <v>NA</v>
      </c>
      <c r="R1423" s="29" t="str">
        <f t="shared" si="468"/>
        <v>NA</v>
      </c>
      <c r="S1423" s="29" t="str">
        <f t="shared" si="469"/>
        <v>NA</v>
      </c>
      <c r="T1423" s="29" t="str">
        <f t="shared" si="470"/>
        <v>NA</v>
      </c>
      <c r="U1423" s="29" t="str">
        <f t="shared" si="471"/>
        <v>NA</v>
      </c>
      <c r="V1423" s="29" t="str">
        <f t="shared" si="472"/>
        <v>NA</v>
      </c>
      <c r="W1423" s="29" t="str">
        <f t="shared" si="473"/>
        <v>NA</v>
      </c>
      <c r="X1423" s="29" t="str">
        <f t="shared" si="474"/>
        <v>NA</v>
      </c>
      <c r="Y1423" s="29" t="str">
        <f t="shared" si="475"/>
        <v>NA</v>
      </c>
      <c r="Z1423" s="29" t="str">
        <f t="shared" si="476"/>
        <v>NA</v>
      </c>
      <c r="AA1423" s="29" t="str">
        <f t="shared" si="477"/>
        <v>NA</v>
      </c>
      <c r="AB1423" s="29" t="str">
        <f t="shared" si="478"/>
        <v>NA</v>
      </c>
      <c r="AC1423" s="29" t="str">
        <f t="shared" si="479"/>
        <v>NA</v>
      </c>
      <c r="AD1423" s="29" t="str">
        <f t="shared" si="480"/>
        <v>NA</v>
      </c>
      <c r="AE1423" s="29" t="str">
        <f t="shared" si="481"/>
        <v>NA</v>
      </c>
      <c r="AF1423" s="29" t="str">
        <f t="shared" si="482"/>
        <v>NA</v>
      </c>
      <c r="AG1423" s="29" t="str">
        <f t="shared" si="483"/>
        <v>NA</v>
      </c>
      <c r="AH1423" s="29" t="str">
        <f t="shared" si="484"/>
        <v>NA</v>
      </c>
    </row>
    <row r="1424" customHeight="1" spans="1:34">
      <c r="A1424" s="12" t="s">
        <v>1043</v>
      </c>
      <c r="F1424" s="24">
        <f t="shared" si="486"/>
        <v>0</v>
      </c>
      <c r="G1424" s="24" t="e">
        <f t="shared" si="485"/>
        <v>#DIV/0!</v>
      </c>
      <c r="Q1424" s="29" t="str">
        <f t="shared" ref="Q1424:Q1487" si="487">IFERROR($B1424*$E1424/H1424,"NA")</f>
        <v>NA</v>
      </c>
      <c r="R1424" s="29" t="str">
        <f t="shared" ref="R1424:R1487" si="488">IFERROR($B1424*$E1424/I1424,"NA")</f>
        <v>NA</v>
      </c>
      <c r="S1424" s="29" t="str">
        <f t="shared" ref="S1424:S1487" si="489">IFERROR($B1424*$E1424/J1424,"NA")</f>
        <v>NA</v>
      </c>
      <c r="T1424" s="29" t="str">
        <f t="shared" ref="T1424:T1487" si="490">IFERROR($B1424*$E1424/K1424,"NA")</f>
        <v>NA</v>
      </c>
      <c r="U1424" s="29" t="str">
        <f t="shared" ref="U1424:U1487" si="491">IFERROR($B1424*$E1424/L1424,"NA")</f>
        <v>NA</v>
      </c>
      <c r="V1424" s="29" t="str">
        <f t="shared" ref="V1424:V1487" si="492">IFERROR($B1424*$E1424/M1424,"NA")</f>
        <v>NA</v>
      </c>
      <c r="W1424" s="29" t="str">
        <f t="shared" ref="W1424:W1487" si="493">IFERROR($B1424*$E1424/N1424,"NA")</f>
        <v>NA</v>
      </c>
      <c r="X1424" s="29" t="str">
        <f t="shared" ref="X1424:X1487" si="494">IFERROR($B1424*$E1424/O1424,"NA")</f>
        <v>NA</v>
      </c>
      <c r="Y1424" s="29" t="str">
        <f t="shared" ref="Y1424:Y1487" si="495">IFERROR($B1424*$E1424/P1424,"NA")</f>
        <v>NA</v>
      </c>
      <c r="Z1424" s="29" t="str">
        <f t="shared" ref="Z1424:Z1487" si="496">IFERROR((($G1424*Z$2/1000)+Q1424)/1,"NA")</f>
        <v>NA</v>
      </c>
      <c r="AA1424" s="29" t="str">
        <f t="shared" ref="AA1424:AA1487" si="497">IFERROR((($G1424*AA$2/1000)+R1424)/1,"NA")</f>
        <v>NA</v>
      </c>
      <c r="AB1424" s="29" t="str">
        <f t="shared" ref="AB1424:AB1487" si="498">IFERROR((($G1424*AB$2/1000)+S1424)/1,"NA")</f>
        <v>NA</v>
      </c>
      <c r="AC1424" s="29" t="str">
        <f t="shared" ref="AC1424:AC1487" si="499">IFERROR((($G1424*AC$2/1000)+T1424)/1,"NA")</f>
        <v>NA</v>
      </c>
      <c r="AD1424" s="29" t="str">
        <f t="shared" ref="AD1424:AD1487" si="500">IFERROR((($G1424*AD$2/1000)+U1424)/1,"NA")</f>
        <v>NA</v>
      </c>
      <c r="AE1424" s="29" t="str">
        <f t="shared" ref="AE1424:AE1487" si="501">IFERROR((($G1424*AE$2/1000)+V1424)/1,"NA")</f>
        <v>NA</v>
      </c>
      <c r="AF1424" s="29" t="str">
        <f t="shared" ref="AF1424:AF1487" si="502">IFERROR((($G1424*AF$2/1000)+W1424)/1,"NA")</f>
        <v>NA</v>
      </c>
      <c r="AG1424" s="29" t="str">
        <f t="shared" ref="AG1424:AG1487" si="503">IFERROR((($G1424*AG$2/1000)+X1424)/1,"NA")</f>
        <v>NA</v>
      </c>
      <c r="AH1424" s="29" t="str">
        <f t="shared" ref="AH1424:AH1487" si="504">IFERROR((($G1424*AH$2/1000)+Y1424)/1,"NA")</f>
        <v>NA</v>
      </c>
    </row>
    <row r="1425" customHeight="1" spans="1:34">
      <c r="A1425" s="12" t="s">
        <v>1043</v>
      </c>
      <c r="F1425" s="24">
        <f t="shared" si="486"/>
        <v>0</v>
      </c>
      <c r="G1425" s="24" t="e">
        <f t="shared" si="485"/>
        <v>#DIV/0!</v>
      </c>
      <c r="Q1425" s="29" t="str">
        <f t="shared" si="487"/>
        <v>NA</v>
      </c>
      <c r="R1425" s="29" t="str">
        <f t="shared" si="488"/>
        <v>NA</v>
      </c>
      <c r="S1425" s="29" t="str">
        <f t="shared" si="489"/>
        <v>NA</v>
      </c>
      <c r="T1425" s="29" t="str">
        <f t="shared" si="490"/>
        <v>NA</v>
      </c>
      <c r="U1425" s="29" t="str">
        <f t="shared" si="491"/>
        <v>NA</v>
      </c>
      <c r="V1425" s="29" t="str">
        <f t="shared" si="492"/>
        <v>NA</v>
      </c>
      <c r="W1425" s="29" t="str">
        <f t="shared" si="493"/>
        <v>NA</v>
      </c>
      <c r="X1425" s="29" t="str">
        <f t="shared" si="494"/>
        <v>NA</v>
      </c>
      <c r="Y1425" s="29" t="str">
        <f t="shared" si="495"/>
        <v>NA</v>
      </c>
      <c r="Z1425" s="29" t="str">
        <f t="shared" si="496"/>
        <v>NA</v>
      </c>
      <c r="AA1425" s="29" t="str">
        <f t="shared" si="497"/>
        <v>NA</v>
      </c>
      <c r="AB1425" s="29" t="str">
        <f t="shared" si="498"/>
        <v>NA</v>
      </c>
      <c r="AC1425" s="29" t="str">
        <f t="shared" si="499"/>
        <v>NA</v>
      </c>
      <c r="AD1425" s="29" t="str">
        <f t="shared" si="500"/>
        <v>NA</v>
      </c>
      <c r="AE1425" s="29" t="str">
        <f t="shared" si="501"/>
        <v>NA</v>
      </c>
      <c r="AF1425" s="29" t="str">
        <f t="shared" si="502"/>
        <v>NA</v>
      </c>
      <c r="AG1425" s="29" t="str">
        <f t="shared" si="503"/>
        <v>NA</v>
      </c>
      <c r="AH1425" s="29" t="str">
        <f t="shared" si="504"/>
        <v>NA</v>
      </c>
    </row>
    <row r="1426" customHeight="1" spans="1:34">
      <c r="A1426" s="12" t="s">
        <v>1043</v>
      </c>
      <c r="F1426" s="24">
        <f t="shared" si="486"/>
        <v>0</v>
      </c>
      <c r="G1426" s="24" t="e">
        <f t="shared" si="485"/>
        <v>#DIV/0!</v>
      </c>
      <c r="Q1426" s="29" t="str">
        <f t="shared" si="487"/>
        <v>NA</v>
      </c>
      <c r="R1426" s="29" t="str">
        <f t="shared" si="488"/>
        <v>NA</v>
      </c>
      <c r="S1426" s="29" t="str">
        <f t="shared" si="489"/>
        <v>NA</v>
      </c>
      <c r="T1426" s="29" t="str">
        <f t="shared" si="490"/>
        <v>NA</v>
      </c>
      <c r="U1426" s="29" t="str">
        <f t="shared" si="491"/>
        <v>NA</v>
      </c>
      <c r="V1426" s="29" t="str">
        <f t="shared" si="492"/>
        <v>NA</v>
      </c>
      <c r="W1426" s="29" t="str">
        <f t="shared" si="493"/>
        <v>NA</v>
      </c>
      <c r="X1426" s="29" t="str">
        <f t="shared" si="494"/>
        <v>NA</v>
      </c>
      <c r="Y1426" s="29" t="str">
        <f t="shared" si="495"/>
        <v>NA</v>
      </c>
      <c r="Z1426" s="29" t="str">
        <f t="shared" si="496"/>
        <v>NA</v>
      </c>
      <c r="AA1426" s="29" t="str">
        <f t="shared" si="497"/>
        <v>NA</v>
      </c>
      <c r="AB1426" s="29" t="str">
        <f t="shared" si="498"/>
        <v>NA</v>
      </c>
      <c r="AC1426" s="29" t="str">
        <f t="shared" si="499"/>
        <v>NA</v>
      </c>
      <c r="AD1426" s="29" t="str">
        <f t="shared" si="500"/>
        <v>NA</v>
      </c>
      <c r="AE1426" s="29" t="str">
        <f t="shared" si="501"/>
        <v>NA</v>
      </c>
      <c r="AF1426" s="29" t="str">
        <f t="shared" si="502"/>
        <v>NA</v>
      </c>
      <c r="AG1426" s="29" t="str">
        <f t="shared" si="503"/>
        <v>NA</v>
      </c>
      <c r="AH1426" s="29" t="str">
        <f t="shared" si="504"/>
        <v>NA</v>
      </c>
    </row>
    <row r="1427" customHeight="1" spans="1:34">
      <c r="A1427" s="12" t="s">
        <v>1043</v>
      </c>
      <c r="F1427" s="24">
        <f t="shared" si="486"/>
        <v>0</v>
      </c>
      <c r="G1427" s="24" t="e">
        <f t="shared" si="485"/>
        <v>#DIV/0!</v>
      </c>
      <c r="Q1427" s="29" t="str">
        <f t="shared" si="487"/>
        <v>NA</v>
      </c>
      <c r="R1427" s="29" t="str">
        <f t="shared" si="488"/>
        <v>NA</v>
      </c>
      <c r="S1427" s="29" t="str">
        <f t="shared" si="489"/>
        <v>NA</v>
      </c>
      <c r="T1427" s="29" t="str">
        <f t="shared" si="490"/>
        <v>NA</v>
      </c>
      <c r="U1427" s="29" t="str">
        <f t="shared" si="491"/>
        <v>NA</v>
      </c>
      <c r="V1427" s="29" t="str">
        <f t="shared" si="492"/>
        <v>NA</v>
      </c>
      <c r="W1427" s="29" t="str">
        <f t="shared" si="493"/>
        <v>NA</v>
      </c>
      <c r="X1427" s="29" t="str">
        <f t="shared" si="494"/>
        <v>NA</v>
      </c>
      <c r="Y1427" s="29" t="str">
        <f t="shared" si="495"/>
        <v>NA</v>
      </c>
      <c r="Z1427" s="29" t="str">
        <f t="shared" si="496"/>
        <v>NA</v>
      </c>
      <c r="AA1427" s="29" t="str">
        <f t="shared" si="497"/>
        <v>NA</v>
      </c>
      <c r="AB1427" s="29" t="str">
        <f t="shared" si="498"/>
        <v>NA</v>
      </c>
      <c r="AC1427" s="29" t="str">
        <f t="shared" si="499"/>
        <v>NA</v>
      </c>
      <c r="AD1427" s="29" t="str">
        <f t="shared" si="500"/>
        <v>NA</v>
      </c>
      <c r="AE1427" s="29" t="str">
        <f t="shared" si="501"/>
        <v>NA</v>
      </c>
      <c r="AF1427" s="29" t="str">
        <f t="shared" si="502"/>
        <v>NA</v>
      </c>
      <c r="AG1427" s="29" t="str">
        <f t="shared" si="503"/>
        <v>NA</v>
      </c>
      <c r="AH1427" s="29" t="str">
        <f t="shared" si="504"/>
        <v>NA</v>
      </c>
    </row>
    <row r="1428" customHeight="1" spans="1:34">
      <c r="A1428" s="12" t="s">
        <v>1043</v>
      </c>
      <c r="F1428" s="24">
        <f t="shared" si="486"/>
        <v>0</v>
      </c>
      <c r="G1428" s="24" t="e">
        <f t="shared" si="485"/>
        <v>#DIV/0!</v>
      </c>
      <c r="Q1428" s="29" t="str">
        <f t="shared" si="487"/>
        <v>NA</v>
      </c>
      <c r="R1428" s="29" t="str">
        <f t="shared" si="488"/>
        <v>NA</v>
      </c>
      <c r="S1428" s="29" t="str">
        <f t="shared" si="489"/>
        <v>NA</v>
      </c>
      <c r="T1428" s="29" t="str">
        <f t="shared" si="490"/>
        <v>NA</v>
      </c>
      <c r="U1428" s="29" t="str">
        <f t="shared" si="491"/>
        <v>NA</v>
      </c>
      <c r="V1428" s="29" t="str">
        <f t="shared" si="492"/>
        <v>NA</v>
      </c>
      <c r="W1428" s="29" t="str">
        <f t="shared" si="493"/>
        <v>NA</v>
      </c>
      <c r="X1428" s="29" t="str">
        <f t="shared" si="494"/>
        <v>NA</v>
      </c>
      <c r="Y1428" s="29" t="str">
        <f t="shared" si="495"/>
        <v>NA</v>
      </c>
      <c r="Z1428" s="29" t="str">
        <f t="shared" si="496"/>
        <v>NA</v>
      </c>
      <c r="AA1428" s="29" t="str">
        <f t="shared" si="497"/>
        <v>NA</v>
      </c>
      <c r="AB1428" s="29" t="str">
        <f t="shared" si="498"/>
        <v>NA</v>
      </c>
      <c r="AC1428" s="29" t="str">
        <f t="shared" si="499"/>
        <v>NA</v>
      </c>
      <c r="AD1428" s="29" t="str">
        <f t="shared" si="500"/>
        <v>NA</v>
      </c>
      <c r="AE1428" s="29" t="str">
        <f t="shared" si="501"/>
        <v>NA</v>
      </c>
      <c r="AF1428" s="29" t="str">
        <f t="shared" si="502"/>
        <v>NA</v>
      </c>
      <c r="AG1428" s="29" t="str">
        <f t="shared" si="503"/>
        <v>NA</v>
      </c>
      <c r="AH1428" s="29" t="str">
        <f t="shared" si="504"/>
        <v>NA</v>
      </c>
    </row>
    <row r="1429" customHeight="1" spans="1:34">
      <c r="A1429" s="12" t="s">
        <v>1043</v>
      </c>
      <c r="F1429" s="24">
        <f t="shared" si="486"/>
        <v>0</v>
      </c>
      <c r="G1429" s="24" t="e">
        <f t="shared" si="485"/>
        <v>#DIV/0!</v>
      </c>
      <c r="Q1429" s="29" t="str">
        <f t="shared" si="487"/>
        <v>NA</v>
      </c>
      <c r="R1429" s="29" t="str">
        <f t="shared" si="488"/>
        <v>NA</v>
      </c>
      <c r="S1429" s="29" t="str">
        <f t="shared" si="489"/>
        <v>NA</v>
      </c>
      <c r="T1429" s="29" t="str">
        <f t="shared" si="490"/>
        <v>NA</v>
      </c>
      <c r="U1429" s="29" t="str">
        <f t="shared" si="491"/>
        <v>NA</v>
      </c>
      <c r="V1429" s="29" t="str">
        <f t="shared" si="492"/>
        <v>NA</v>
      </c>
      <c r="W1429" s="29" t="str">
        <f t="shared" si="493"/>
        <v>NA</v>
      </c>
      <c r="X1429" s="29" t="str">
        <f t="shared" si="494"/>
        <v>NA</v>
      </c>
      <c r="Y1429" s="29" t="str">
        <f t="shared" si="495"/>
        <v>NA</v>
      </c>
      <c r="Z1429" s="29" t="str">
        <f t="shared" si="496"/>
        <v>NA</v>
      </c>
      <c r="AA1429" s="29" t="str">
        <f t="shared" si="497"/>
        <v>NA</v>
      </c>
      <c r="AB1429" s="29" t="str">
        <f t="shared" si="498"/>
        <v>NA</v>
      </c>
      <c r="AC1429" s="29" t="str">
        <f t="shared" si="499"/>
        <v>NA</v>
      </c>
      <c r="AD1429" s="29" t="str">
        <f t="shared" si="500"/>
        <v>NA</v>
      </c>
      <c r="AE1429" s="29" t="str">
        <f t="shared" si="501"/>
        <v>NA</v>
      </c>
      <c r="AF1429" s="29" t="str">
        <f t="shared" si="502"/>
        <v>NA</v>
      </c>
      <c r="AG1429" s="29" t="str">
        <f t="shared" si="503"/>
        <v>NA</v>
      </c>
      <c r="AH1429" s="29" t="str">
        <f t="shared" si="504"/>
        <v>NA</v>
      </c>
    </row>
    <row r="1430" customHeight="1" spans="1:34">
      <c r="A1430" s="12" t="s">
        <v>1043</v>
      </c>
      <c r="F1430" s="24">
        <f t="shared" si="486"/>
        <v>0</v>
      </c>
      <c r="G1430" s="24" t="e">
        <f t="shared" si="485"/>
        <v>#DIV/0!</v>
      </c>
      <c r="Q1430" s="29" t="str">
        <f t="shared" si="487"/>
        <v>NA</v>
      </c>
      <c r="R1430" s="29" t="str">
        <f t="shared" si="488"/>
        <v>NA</v>
      </c>
      <c r="S1430" s="29" t="str">
        <f t="shared" si="489"/>
        <v>NA</v>
      </c>
      <c r="T1430" s="29" t="str">
        <f t="shared" si="490"/>
        <v>NA</v>
      </c>
      <c r="U1430" s="29" t="str">
        <f t="shared" si="491"/>
        <v>NA</v>
      </c>
      <c r="V1430" s="29" t="str">
        <f t="shared" si="492"/>
        <v>NA</v>
      </c>
      <c r="W1430" s="29" t="str">
        <f t="shared" si="493"/>
        <v>NA</v>
      </c>
      <c r="X1430" s="29" t="str">
        <f t="shared" si="494"/>
        <v>NA</v>
      </c>
      <c r="Y1430" s="29" t="str">
        <f t="shared" si="495"/>
        <v>NA</v>
      </c>
      <c r="Z1430" s="29" t="str">
        <f t="shared" si="496"/>
        <v>NA</v>
      </c>
      <c r="AA1430" s="29" t="str">
        <f t="shared" si="497"/>
        <v>NA</v>
      </c>
      <c r="AB1430" s="29" t="str">
        <f t="shared" si="498"/>
        <v>NA</v>
      </c>
      <c r="AC1430" s="29" t="str">
        <f t="shared" si="499"/>
        <v>NA</v>
      </c>
      <c r="AD1430" s="29" t="str">
        <f t="shared" si="500"/>
        <v>NA</v>
      </c>
      <c r="AE1430" s="29" t="str">
        <f t="shared" si="501"/>
        <v>NA</v>
      </c>
      <c r="AF1430" s="29" t="str">
        <f t="shared" si="502"/>
        <v>NA</v>
      </c>
      <c r="AG1430" s="29" t="str">
        <f t="shared" si="503"/>
        <v>NA</v>
      </c>
      <c r="AH1430" s="29" t="str">
        <f t="shared" si="504"/>
        <v>NA</v>
      </c>
    </row>
    <row r="1431" customHeight="1" spans="1:34">
      <c r="A1431" s="12" t="s">
        <v>1043</v>
      </c>
      <c r="F1431" s="24">
        <f t="shared" si="486"/>
        <v>0</v>
      </c>
      <c r="G1431" s="24" t="e">
        <f t="shared" si="485"/>
        <v>#DIV/0!</v>
      </c>
      <c r="Q1431" s="29" t="str">
        <f t="shared" si="487"/>
        <v>NA</v>
      </c>
      <c r="R1431" s="29" t="str">
        <f t="shared" si="488"/>
        <v>NA</v>
      </c>
      <c r="S1431" s="29" t="str">
        <f t="shared" si="489"/>
        <v>NA</v>
      </c>
      <c r="T1431" s="29" t="str">
        <f t="shared" si="490"/>
        <v>NA</v>
      </c>
      <c r="U1431" s="29" t="str">
        <f t="shared" si="491"/>
        <v>NA</v>
      </c>
      <c r="V1431" s="29" t="str">
        <f t="shared" si="492"/>
        <v>NA</v>
      </c>
      <c r="W1431" s="29" t="str">
        <f t="shared" si="493"/>
        <v>NA</v>
      </c>
      <c r="X1431" s="29" t="str">
        <f t="shared" si="494"/>
        <v>NA</v>
      </c>
      <c r="Y1431" s="29" t="str">
        <f t="shared" si="495"/>
        <v>NA</v>
      </c>
      <c r="Z1431" s="29" t="str">
        <f t="shared" si="496"/>
        <v>NA</v>
      </c>
      <c r="AA1431" s="29" t="str">
        <f t="shared" si="497"/>
        <v>NA</v>
      </c>
      <c r="AB1431" s="29" t="str">
        <f t="shared" si="498"/>
        <v>NA</v>
      </c>
      <c r="AC1431" s="29" t="str">
        <f t="shared" si="499"/>
        <v>NA</v>
      </c>
      <c r="AD1431" s="29" t="str">
        <f t="shared" si="500"/>
        <v>NA</v>
      </c>
      <c r="AE1431" s="29" t="str">
        <f t="shared" si="501"/>
        <v>NA</v>
      </c>
      <c r="AF1431" s="29" t="str">
        <f t="shared" si="502"/>
        <v>NA</v>
      </c>
      <c r="AG1431" s="29" t="str">
        <f t="shared" si="503"/>
        <v>NA</v>
      </c>
      <c r="AH1431" s="29" t="str">
        <f t="shared" si="504"/>
        <v>NA</v>
      </c>
    </row>
    <row r="1432" customHeight="1" spans="1:34">
      <c r="A1432" s="12" t="s">
        <v>1043</v>
      </c>
      <c r="F1432" s="24">
        <f t="shared" si="486"/>
        <v>0</v>
      </c>
      <c r="G1432" s="24" t="e">
        <f t="shared" si="485"/>
        <v>#DIV/0!</v>
      </c>
      <c r="Q1432" s="29" t="str">
        <f t="shared" si="487"/>
        <v>NA</v>
      </c>
      <c r="R1432" s="29" t="str">
        <f t="shared" si="488"/>
        <v>NA</v>
      </c>
      <c r="S1432" s="29" t="str">
        <f t="shared" si="489"/>
        <v>NA</v>
      </c>
      <c r="T1432" s="29" t="str">
        <f t="shared" si="490"/>
        <v>NA</v>
      </c>
      <c r="U1432" s="29" t="str">
        <f t="shared" si="491"/>
        <v>NA</v>
      </c>
      <c r="V1432" s="29" t="str">
        <f t="shared" si="492"/>
        <v>NA</v>
      </c>
      <c r="W1432" s="29" t="str">
        <f t="shared" si="493"/>
        <v>NA</v>
      </c>
      <c r="X1432" s="29" t="str">
        <f t="shared" si="494"/>
        <v>NA</v>
      </c>
      <c r="Y1432" s="29" t="str">
        <f t="shared" si="495"/>
        <v>NA</v>
      </c>
      <c r="Z1432" s="29" t="str">
        <f t="shared" si="496"/>
        <v>NA</v>
      </c>
      <c r="AA1432" s="29" t="str">
        <f t="shared" si="497"/>
        <v>NA</v>
      </c>
      <c r="AB1432" s="29" t="str">
        <f t="shared" si="498"/>
        <v>NA</v>
      </c>
      <c r="AC1432" s="29" t="str">
        <f t="shared" si="499"/>
        <v>NA</v>
      </c>
      <c r="AD1432" s="29" t="str">
        <f t="shared" si="500"/>
        <v>NA</v>
      </c>
      <c r="AE1432" s="29" t="str">
        <f t="shared" si="501"/>
        <v>NA</v>
      </c>
      <c r="AF1432" s="29" t="str">
        <f t="shared" si="502"/>
        <v>NA</v>
      </c>
      <c r="AG1432" s="29" t="str">
        <f t="shared" si="503"/>
        <v>NA</v>
      </c>
      <c r="AH1432" s="29" t="str">
        <f t="shared" si="504"/>
        <v>NA</v>
      </c>
    </row>
    <row r="1433" customHeight="1" spans="1:34">
      <c r="A1433" s="12" t="s">
        <v>1043</v>
      </c>
      <c r="F1433" s="24">
        <f t="shared" si="486"/>
        <v>0</v>
      </c>
      <c r="G1433" s="24" t="e">
        <f t="shared" si="485"/>
        <v>#DIV/0!</v>
      </c>
      <c r="Q1433" s="29" t="str">
        <f t="shared" si="487"/>
        <v>NA</v>
      </c>
      <c r="R1433" s="29" t="str">
        <f t="shared" si="488"/>
        <v>NA</v>
      </c>
      <c r="S1433" s="29" t="str">
        <f t="shared" si="489"/>
        <v>NA</v>
      </c>
      <c r="T1433" s="29" t="str">
        <f t="shared" si="490"/>
        <v>NA</v>
      </c>
      <c r="U1433" s="29" t="str">
        <f t="shared" si="491"/>
        <v>NA</v>
      </c>
      <c r="V1433" s="29" t="str">
        <f t="shared" si="492"/>
        <v>NA</v>
      </c>
      <c r="W1433" s="29" t="str">
        <f t="shared" si="493"/>
        <v>NA</v>
      </c>
      <c r="X1433" s="29" t="str">
        <f t="shared" si="494"/>
        <v>NA</v>
      </c>
      <c r="Y1433" s="29" t="str">
        <f t="shared" si="495"/>
        <v>NA</v>
      </c>
      <c r="Z1433" s="29" t="str">
        <f t="shared" si="496"/>
        <v>NA</v>
      </c>
      <c r="AA1433" s="29" t="str">
        <f t="shared" si="497"/>
        <v>NA</v>
      </c>
      <c r="AB1433" s="29" t="str">
        <f t="shared" si="498"/>
        <v>NA</v>
      </c>
      <c r="AC1433" s="29" t="str">
        <f t="shared" si="499"/>
        <v>NA</v>
      </c>
      <c r="AD1433" s="29" t="str">
        <f t="shared" si="500"/>
        <v>NA</v>
      </c>
      <c r="AE1433" s="29" t="str">
        <f t="shared" si="501"/>
        <v>NA</v>
      </c>
      <c r="AF1433" s="29" t="str">
        <f t="shared" si="502"/>
        <v>NA</v>
      </c>
      <c r="AG1433" s="29" t="str">
        <f t="shared" si="503"/>
        <v>NA</v>
      </c>
      <c r="AH1433" s="29" t="str">
        <f t="shared" si="504"/>
        <v>NA</v>
      </c>
    </row>
    <row r="1434" customHeight="1" spans="1:34">
      <c r="A1434" s="12" t="s">
        <v>1043</v>
      </c>
      <c r="F1434" s="24">
        <f t="shared" si="486"/>
        <v>0</v>
      </c>
      <c r="G1434" s="24" t="e">
        <f t="shared" si="485"/>
        <v>#DIV/0!</v>
      </c>
      <c r="Q1434" s="29" t="str">
        <f t="shared" si="487"/>
        <v>NA</v>
      </c>
      <c r="R1434" s="29" t="str">
        <f t="shared" si="488"/>
        <v>NA</v>
      </c>
      <c r="S1434" s="29" t="str">
        <f t="shared" si="489"/>
        <v>NA</v>
      </c>
      <c r="T1434" s="29" t="str">
        <f t="shared" si="490"/>
        <v>NA</v>
      </c>
      <c r="U1434" s="29" t="str">
        <f t="shared" si="491"/>
        <v>NA</v>
      </c>
      <c r="V1434" s="29" t="str">
        <f t="shared" si="492"/>
        <v>NA</v>
      </c>
      <c r="W1434" s="29" t="str">
        <f t="shared" si="493"/>
        <v>NA</v>
      </c>
      <c r="X1434" s="29" t="str">
        <f t="shared" si="494"/>
        <v>NA</v>
      </c>
      <c r="Y1434" s="29" t="str">
        <f t="shared" si="495"/>
        <v>NA</v>
      </c>
      <c r="Z1434" s="29" t="str">
        <f t="shared" si="496"/>
        <v>NA</v>
      </c>
      <c r="AA1434" s="29" t="str">
        <f t="shared" si="497"/>
        <v>NA</v>
      </c>
      <c r="AB1434" s="29" t="str">
        <f t="shared" si="498"/>
        <v>NA</v>
      </c>
      <c r="AC1434" s="29" t="str">
        <f t="shared" si="499"/>
        <v>NA</v>
      </c>
      <c r="AD1434" s="29" t="str">
        <f t="shared" si="500"/>
        <v>NA</v>
      </c>
      <c r="AE1434" s="29" t="str">
        <f t="shared" si="501"/>
        <v>NA</v>
      </c>
      <c r="AF1434" s="29" t="str">
        <f t="shared" si="502"/>
        <v>NA</v>
      </c>
      <c r="AG1434" s="29" t="str">
        <f t="shared" si="503"/>
        <v>NA</v>
      </c>
      <c r="AH1434" s="29" t="str">
        <f t="shared" si="504"/>
        <v>NA</v>
      </c>
    </row>
    <row r="1435" customHeight="1" spans="1:34">
      <c r="A1435" s="12" t="s">
        <v>1043</v>
      </c>
      <c r="F1435" s="24">
        <f t="shared" si="486"/>
        <v>0</v>
      </c>
      <c r="G1435" s="24" t="e">
        <f t="shared" si="485"/>
        <v>#DIV/0!</v>
      </c>
      <c r="Q1435" s="29" t="str">
        <f t="shared" si="487"/>
        <v>NA</v>
      </c>
      <c r="R1435" s="29" t="str">
        <f t="shared" si="488"/>
        <v>NA</v>
      </c>
      <c r="S1435" s="29" t="str">
        <f t="shared" si="489"/>
        <v>NA</v>
      </c>
      <c r="T1435" s="29" t="str">
        <f t="shared" si="490"/>
        <v>NA</v>
      </c>
      <c r="U1435" s="29" t="str">
        <f t="shared" si="491"/>
        <v>NA</v>
      </c>
      <c r="V1435" s="29" t="str">
        <f t="shared" si="492"/>
        <v>NA</v>
      </c>
      <c r="W1435" s="29" t="str">
        <f t="shared" si="493"/>
        <v>NA</v>
      </c>
      <c r="X1435" s="29" t="str">
        <f t="shared" si="494"/>
        <v>NA</v>
      </c>
      <c r="Y1435" s="29" t="str">
        <f t="shared" si="495"/>
        <v>NA</v>
      </c>
      <c r="Z1435" s="29" t="str">
        <f t="shared" si="496"/>
        <v>NA</v>
      </c>
      <c r="AA1435" s="29" t="str">
        <f t="shared" si="497"/>
        <v>NA</v>
      </c>
      <c r="AB1435" s="29" t="str">
        <f t="shared" si="498"/>
        <v>NA</v>
      </c>
      <c r="AC1435" s="29" t="str">
        <f t="shared" si="499"/>
        <v>NA</v>
      </c>
      <c r="AD1435" s="29" t="str">
        <f t="shared" si="500"/>
        <v>NA</v>
      </c>
      <c r="AE1435" s="29" t="str">
        <f t="shared" si="501"/>
        <v>NA</v>
      </c>
      <c r="AF1435" s="29" t="str">
        <f t="shared" si="502"/>
        <v>NA</v>
      </c>
      <c r="AG1435" s="29" t="str">
        <f t="shared" si="503"/>
        <v>NA</v>
      </c>
      <c r="AH1435" s="29" t="str">
        <f t="shared" si="504"/>
        <v>NA</v>
      </c>
    </row>
    <row r="1436" customHeight="1" spans="1:34">
      <c r="A1436" s="12" t="s">
        <v>1043</v>
      </c>
      <c r="F1436" s="24">
        <f t="shared" si="486"/>
        <v>0</v>
      </c>
      <c r="G1436" s="24" t="e">
        <f t="shared" si="485"/>
        <v>#DIV/0!</v>
      </c>
      <c r="Q1436" s="29" t="str">
        <f t="shared" si="487"/>
        <v>NA</v>
      </c>
      <c r="R1436" s="29" t="str">
        <f t="shared" si="488"/>
        <v>NA</v>
      </c>
      <c r="S1436" s="29" t="str">
        <f t="shared" si="489"/>
        <v>NA</v>
      </c>
      <c r="T1436" s="29" t="str">
        <f t="shared" si="490"/>
        <v>NA</v>
      </c>
      <c r="U1436" s="29" t="str">
        <f t="shared" si="491"/>
        <v>NA</v>
      </c>
      <c r="V1436" s="29" t="str">
        <f t="shared" si="492"/>
        <v>NA</v>
      </c>
      <c r="W1436" s="29" t="str">
        <f t="shared" si="493"/>
        <v>NA</v>
      </c>
      <c r="X1436" s="29" t="str">
        <f t="shared" si="494"/>
        <v>NA</v>
      </c>
      <c r="Y1436" s="29" t="str">
        <f t="shared" si="495"/>
        <v>NA</v>
      </c>
      <c r="Z1436" s="29" t="str">
        <f t="shared" si="496"/>
        <v>NA</v>
      </c>
      <c r="AA1436" s="29" t="str">
        <f t="shared" si="497"/>
        <v>NA</v>
      </c>
      <c r="AB1436" s="29" t="str">
        <f t="shared" si="498"/>
        <v>NA</v>
      </c>
      <c r="AC1436" s="29" t="str">
        <f t="shared" si="499"/>
        <v>NA</v>
      </c>
      <c r="AD1436" s="29" t="str">
        <f t="shared" si="500"/>
        <v>NA</v>
      </c>
      <c r="AE1436" s="29" t="str">
        <f t="shared" si="501"/>
        <v>NA</v>
      </c>
      <c r="AF1436" s="29" t="str">
        <f t="shared" si="502"/>
        <v>NA</v>
      </c>
      <c r="AG1436" s="29" t="str">
        <f t="shared" si="503"/>
        <v>NA</v>
      </c>
      <c r="AH1436" s="29" t="str">
        <f t="shared" si="504"/>
        <v>NA</v>
      </c>
    </row>
    <row r="1437" customHeight="1" spans="1:34">
      <c r="A1437" s="12" t="s">
        <v>1043</v>
      </c>
      <c r="F1437" s="24">
        <f t="shared" si="486"/>
        <v>0</v>
      </c>
      <c r="G1437" s="24" t="e">
        <f t="shared" si="485"/>
        <v>#DIV/0!</v>
      </c>
      <c r="Q1437" s="29" t="str">
        <f t="shared" si="487"/>
        <v>NA</v>
      </c>
      <c r="R1437" s="29" t="str">
        <f t="shared" si="488"/>
        <v>NA</v>
      </c>
      <c r="S1437" s="29" t="str">
        <f t="shared" si="489"/>
        <v>NA</v>
      </c>
      <c r="T1437" s="29" t="str">
        <f t="shared" si="490"/>
        <v>NA</v>
      </c>
      <c r="U1437" s="29" t="str">
        <f t="shared" si="491"/>
        <v>NA</v>
      </c>
      <c r="V1437" s="29" t="str">
        <f t="shared" si="492"/>
        <v>NA</v>
      </c>
      <c r="W1437" s="29" t="str">
        <f t="shared" si="493"/>
        <v>NA</v>
      </c>
      <c r="X1437" s="29" t="str">
        <f t="shared" si="494"/>
        <v>NA</v>
      </c>
      <c r="Y1437" s="29" t="str">
        <f t="shared" si="495"/>
        <v>NA</v>
      </c>
      <c r="Z1437" s="29" t="str">
        <f t="shared" si="496"/>
        <v>NA</v>
      </c>
      <c r="AA1437" s="29" t="str">
        <f t="shared" si="497"/>
        <v>NA</v>
      </c>
      <c r="AB1437" s="29" t="str">
        <f t="shared" si="498"/>
        <v>NA</v>
      </c>
      <c r="AC1437" s="29" t="str">
        <f t="shared" si="499"/>
        <v>NA</v>
      </c>
      <c r="AD1437" s="29" t="str">
        <f t="shared" si="500"/>
        <v>NA</v>
      </c>
      <c r="AE1437" s="29" t="str">
        <f t="shared" si="501"/>
        <v>NA</v>
      </c>
      <c r="AF1437" s="29" t="str">
        <f t="shared" si="502"/>
        <v>NA</v>
      </c>
      <c r="AG1437" s="29" t="str">
        <f t="shared" si="503"/>
        <v>NA</v>
      </c>
      <c r="AH1437" s="29" t="str">
        <f t="shared" si="504"/>
        <v>NA</v>
      </c>
    </row>
    <row r="1438" customHeight="1" spans="1:34">
      <c r="A1438" s="12" t="s">
        <v>1043</v>
      </c>
      <c r="F1438" s="24">
        <f t="shared" si="486"/>
        <v>0</v>
      </c>
      <c r="G1438" s="24" t="e">
        <f t="shared" si="485"/>
        <v>#DIV/0!</v>
      </c>
      <c r="Q1438" s="29" t="str">
        <f t="shared" si="487"/>
        <v>NA</v>
      </c>
      <c r="R1438" s="29" t="str">
        <f t="shared" si="488"/>
        <v>NA</v>
      </c>
      <c r="S1438" s="29" t="str">
        <f t="shared" si="489"/>
        <v>NA</v>
      </c>
      <c r="T1438" s="29" t="str">
        <f t="shared" si="490"/>
        <v>NA</v>
      </c>
      <c r="U1438" s="29" t="str">
        <f t="shared" si="491"/>
        <v>NA</v>
      </c>
      <c r="V1438" s="29" t="str">
        <f t="shared" si="492"/>
        <v>NA</v>
      </c>
      <c r="W1438" s="29" t="str">
        <f t="shared" si="493"/>
        <v>NA</v>
      </c>
      <c r="X1438" s="29" t="str">
        <f t="shared" si="494"/>
        <v>NA</v>
      </c>
      <c r="Y1438" s="29" t="str">
        <f t="shared" si="495"/>
        <v>NA</v>
      </c>
      <c r="Z1438" s="29" t="str">
        <f t="shared" si="496"/>
        <v>NA</v>
      </c>
      <c r="AA1438" s="29" t="str">
        <f t="shared" si="497"/>
        <v>NA</v>
      </c>
      <c r="AB1438" s="29" t="str">
        <f t="shared" si="498"/>
        <v>NA</v>
      </c>
      <c r="AC1438" s="29" t="str">
        <f t="shared" si="499"/>
        <v>NA</v>
      </c>
      <c r="AD1438" s="29" t="str">
        <f t="shared" si="500"/>
        <v>NA</v>
      </c>
      <c r="AE1438" s="29" t="str">
        <f t="shared" si="501"/>
        <v>NA</v>
      </c>
      <c r="AF1438" s="29" t="str">
        <f t="shared" si="502"/>
        <v>NA</v>
      </c>
      <c r="AG1438" s="29" t="str">
        <f t="shared" si="503"/>
        <v>NA</v>
      </c>
      <c r="AH1438" s="29" t="str">
        <f t="shared" si="504"/>
        <v>NA</v>
      </c>
    </row>
    <row r="1439" customHeight="1" spans="1:34">
      <c r="A1439" s="12" t="s">
        <v>1043</v>
      </c>
      <c r="F1439" s="24">
        <f t="shared" si="486"/>
        <v>0</v>
      </c>
      <c r="G1439" s="24" t="e">
        <f t="shared" si="485"/>
        <v>#DIV/0!</v>
      </c>
      <c r="Q1439" s="29" t="str">
        <f t="shared" si="487"/>
        <v>NA</v>
      </c>
      <c r="R1439" s="29" t="str">
        <f t="shared" si="488"/>
        <v>NA</v>
      </c>
      <c r="S1439" s="29" t="str">
        <f t="shared" si="489"/>
        <v>NA</v>
      </c>
      <c r="T1439" s="29" t="str">
        <f t="shared" si="490"/>
        <v>NA</v>
      </c>
      <c r="U1439" s="29" t="str">
        <f t="shared" si="491"/>
        <v>NA</v>
      </c>
      <c r="V1439" s="29" t="str">
        <f t="shared" si="492"/>
        <v>NA</v>
      </c>
      <c r="W1439" s="29" t="str">
        <f t="shared" si="493"/>
        <v>NA</v>
      </c>
      <c r="X1439" s="29" t="str">
        <f t="shared" si="494"/>
        <v>NA</v>
      </c>
      <c r="Y1439" s="29" t="str">
        <f t="shared" si="495"/>
        <v>NA</v>
      </c>
      <c r="Z1439" s="29" t="str">
        <f t="shared" si="496"/>
        <v>NA</v>
      </c>
      <c r="AA1439" s="29" t="str">
        <f t="shared" si="497"/>
        <v>NA</v>
      </c>
      <c r="AB1439" s="29" t="str">
        <f t="shared" si="498"/>
        <v>NA</v>
      </c>
      <c r="AC1439" s="29" t="str">
        <f t="shared" si="499"/>
        <v>NA</v>
      </c>
      <c r="AD1439" s="29" t="str">
        <f t="shared" si="500"/>
        <v>NA</v>
      </c>
      <c r="AE1439" s="29" t="str">
        <f t="shared" si="501"/>
        <v>NA</v>
      </c>
      <c r="AF1439" s="29" t="str">
        <f t="shared" si="502"/>
        <v>NA</v>
      </c>
      <c r="AG1439" s="29" t="str">
        <f t="shared" si="503"/>
        <v>NA</v>
      </c>
      <c r="AH1439" s="29" t="str">
        <f t="shared" si="504"/>
        <v>NA</v>
      </c>
    </row>
    <row r="1440" customHeight="1" spans="1:34">
      <c r="A1440" s="12" t="s">
        <v>1043</v>
      </c>
      <c r="F1440" s="24">
        <f t="shared" si="486"/>
        <v>0</v>
      </c>
      <c r="G1440" s="24" t="e">
        <f t="shared" si="485"/>
        <v>#DIV/0!</v>
      </c>
      <c r="Q1440" s="29" t="str">
        <f t="shared" si="487"/>
        <v>NA</v>
      </c>
      <c r="R1440" s="29" t="str">
        <f t="shared" si="488"/>
        <v>NA</v>
      </c>
      <c r="S1440" s="29" t="str">
        <f t="shared" si="489"/>
        <v>NA</v>
      </c>
      <c r="T1440" s="29" t="str">
        <f t="shared" si="490"/>
        <v>NA</v>
      </c>
      <c r="U1440" s="29" t="str">
        <f t="shared" si="491"/>
        <v>NA</v>
      </c>
      <c r="V1440" s="29" t="str">
        <f t="shared" si="492"/>
        <v>NA</v>
      </c>
      <c r="W1440" s="29" t="str">
        <f t="shared" si="493"/>
        <v>NA</v>
      </c>
      <c r="X1440" s="29" t="str">
        <f t="shared" si="494"/>
        <v>NA</v>
      </c>
      <c r="Y1440" s="29" t="str">
        <f t="shared" si="495"/>
        <v>NA</v>
      </c>
      <c r="Z1440" s="29" t="str">
        <f t="shared" si="496"/>
        <v>NA</v>
      </c>
      <c r="AA1440" s="29" t="str">
        <f t="shared" si="497"/>
        <v>NA</v>
      </c>
      <c r="AB1440" s="29" t="str">
        <f t="shared" si="498"/>
        <v>NA</v>
      </c>
      <c r="AC1440" s="29" t="str">
        <f t="shared" si="499"/>
        <v>NA</v>
      </c>
      <c r="AD1440" s="29" t="str">
        <f t="shared" si="500"/>
        <v>NA</v>
      </c>
      <c r="AE1440" s="29" t="str">
        <f t="shared" si="501"/>
        <v>NA</v>
      </c>
      <c r="AF1440" s="29" t="str">
        <f t="shared" si="502"/>
        <v>NA</v>
      </c>
      <c r="AG1440" s="29" t="str">
        <f t="shared" si="503"/>
        <v>NA</v>
      </c>
      <c r="AH1440" s="29" t="str">
        <f t="shared" si="504"/>
        <v>NA</v>
      </c>
    </row>
    <row r="1441" customHeight="1" spans="1:34">
      <c r="A1441" s="12" t="s">
        <v>1043</v>
      </c>
      <c r="F1441" s="24">
        <f t="shared" si="486"/>
        <v>0</v>
      </c>
      <c r="G1441" s="24" t="e">
        <f t="shared" si="485"/>
        <v>#DIV/0!</v>
      </c>
      <c r="Q1441" s="29" t="str">
        <f t="shared" si="487"/>
        <v>NA</v>
      </c>
      <c r="R1441" s="29" t="str">
        <f t="shared" si="488"/>
        <v>NA</v>
      </c>
      <c r="S1441" s="29" t="str">
        <f t="shared" si="489"/>
        <v>NA</v>
      </c>
      <c r="T1441" s="29" t="str">
        <f t="shared" si="490"/>
        <v>NA</v>
      </c>
      <c r="U1441" s="29" t="str">
        <f t="shared" si="491"/>
        <v>NA</v>
      </c>
      <c r="V1441" s="29" t="str">
        <f t="shared" si="492"/>
        <v>NA</v>
      </c>
      <c r="W1441" s="29" t="str">
        <f t="shared" si="493"/>
        <v>NA</v>
      </c>
      <c r="X1441" s="29" t="str">
        <f t="shared" si="494"/>
        <v>NA</v>
      </c>
      <c r="Y1441" s="29" t="str">
        <f t="shared" si="495"/>
        <v>NA</v>
      </c>
      <c r="Z1441" s="29" t="str">
        <f t="shared" si="496"/>
        <v>NA</v>
      </c>
      <c r="AA1441" s="29" t="str">
        <f t="shared" si="497"/>
        <v>NA</v>
      </c>
      <c r="AB1441" s="29" t="str">
        <f t="shared" si="498"/>
        <v>NA</v>
      </c>
      <c r="AC1441" s="29" t="str">
        <f t="shared" si="499"/>
        <v>NA</v>
      </c>
      <c r="AD1441" s="29" t="str">
        <f t="shared" si="500"/>
        <v>NA</v>
      </c>
      <c r="AE1441" s="29" t="str">
        <f t="shared" si="501"/>
        <v>NA</v>
      </c>
      <c r="AF1441" s="29" t="str">
        <f t="shared" si="502"/>
        <v>NA</v>
      </c>
      <c r="AG1441" s="29" t="str">
        <f t="shared" si="503"/>
        <v>NA</v>
      </c>
      <c r="AH1441" s="29" t="str">
        <f t="shared" si="504"/>
        <v>NA</v>
      </c>
    </row>
    <row r="1442" customHeight="1" spans="1:34">
      <c r="A1442" s="12" t="s">
        <v>1043</v>
      </c>
      <c r="F1442" s="24">
        <f t="shared" si="486"/>
        <v>0</v>
      </c>
      <c r="G1442" s="24" t="e">
        <f t="shared" si="485"/>
        <v>#DIV/0!</v>
      </c>
      <c r="Q1442" s="29" t="str">
        <f t="shared" si="487"/>
        <v>NA</v>
      </c>
      <c r="R1442" s="29" t="str">
        <f t="shared" si="488"/>
        <v>NA</v>
      </c>
      <c r="S1442" s="29" t="str">
        <f t="shared" si="489"/>
        <v>NA</v>
      </c>
      <c r="T1442" s="29" t="str">
        <f t="shared" si="490"/>
        <v>NA</v>
      </c>
      <c r="U1442" s="29" t="str">
        <f t="shared" si="491"/>
        <v>NA</v>
      </c>
      <c r="V1442" s="29" t="str">
        <f t="shared" si="492"/>
        <v>NA</v>
      </c>
      <c r="W1442" s="29" t="str">
        <f t="shared" si="493"/>
        <v>NA</v>
      </c>
      <c r="X1442" s="29" t="str">
        <f t="shared" si="494"/>
        <v>NA</v>
      </c>
      <c r="Y1442" s="29" t="str">
        <f t="shared" si="495"/>
        <v>NA</v>
      </c>
      <c r="Z1442" s="29" t="str">
        <f t="shared" si="496"/>
        <v>NA</v>
      </c>
      <c r="AA1442" s="29" t="str">
        <f t="shared" si="497"/>
        <v>NA</v>
      </c>
      <c r="AB1442" s="29" t="str">
        <f t="shared" si="498"/>
        <v>NA</v>
      </c>
      <c r="AC1442" s="29" t="str">
        <f t="shared" si="499"/>
        <v>NA</v>
      </c>
      <c r="AD1442" s="29" t="str">
        <f t="shared" si="500"/>
        <v>NA</v>
      </c>
      <c r="AE1442" s="29" t="str">
        <f t="shared" si="501"/>
        <v>NA</v>
      </c>
      <c r="AF1442" s="29" t="str">
        <f t="shared" si="502"/>
        <v>NA</v>
      </c>
      <c r="AG1442" s="29" t="str">
        <f t="shared" si="503"/>
        <v>NA</v>
      </c>
      <c r="AH1442" s="29" t="str">
        <f t="shared" si="504"/>
        <v>NA</v>
      </c>
    </row>
    <row r="1443" customHeight="1" spans="1:34">
      <c r="A1443" s="12" t="s">
        <v>1043</v>
      </c>
      <c r="F1443" s="24">
        <f t="shared" si="486"/>
        <v>0</v>
      </c>
      <c r="G1443" s="24" t="e">
        <f t="shared" si="485"/>
        <v>#DIV/0!</v>
      </c>
      <c r="Q1443" s="29" t="str">
        <f t="shared" si="487"/>
        <v>NA</v>
      </c>
      <c r="R1443" s="29" t="str">
        <f t="shared" si="488"/>
        <v>NA</v>
      </c>
      <c r="S1443" s="29" t="str">
        <f t="shared" si="489"/>
        <v>NA</v>
      </c>
      <c r="T1443" s="29" t="str">
        <f t="shared" si="490"/>
        <v>NA</v>
      </c>
      <c r="U1443" s="29" t="str">
        <f t="shared" si="491"/>
        <v>NA</v>
      </c>
      <c r="V1443" s="29" t="str">
        <f t="shared" si="492"/>
        <v>NA</v>
      </c>
      <c r="W1443" s="29" t="str">
        <f t="shared" si="493"/>
        <v>NA</v>
      </c>
      <c r="X1443" s="29" t="str">
        <f t="shared" si="494"/>
        <v>NA</v>
      </c>
      <c r="Y1443" s="29" t="str">
        <f t="shared" si="495"/>
        <v>NA</v>
      </c>
      <c r="Z1443" s="29" t="str">
        <f t="shared" si="496"/>
        <v>NA</v>
      </c>
      <c r="AA1443" s="29" t="str">
        <f t="shared" si="497"/>
        <v>NA</v>
      </c>
      <c r="AB1443" s="29" t="str">
        <f t="shared" si="498"/>
        <v>NA</v>
      </c>
      <c r="AC1443" s="29" t="str">
        <f t="shared" si="499"/>
        <v>NA</v>
      </c>
      <c r="AD1443" s="29" t="str">
        <f t="shared" si="500"/>
        <v>NA</v>
      </c>
      <c r="AE1443" s="29" t="str">
        <f t="shared" si="501"/>
        <v>NA</v>
      </c>
      <c r="AF1443" s="29" t="str">
        <f t="shared" si="502"/>
        <v>NA</v>
      </c>
      <c r="AG1443" s="29" t="str">
        <f t="shared" si="503"/>
        <v>NA</v>
      </c>
      <c r="AH1443" s="29" t="str">
        <f t="shared" si="504"/>
        <v>NA</v>
      </c>
    </row>
    <row r="1444" customHeight="1" spans="1:34">
      <c r="A1444" s="12" t="s">
        <v>1043</v>
      </c>
      <c r="F1444" s="24">
        <f t="shared" si="486"/>
        <v>0</v>
      </c>
      <c r="G1444" s="24" t="e">
        <f t="shared" si="485"/>
        <v>#DIV/0!</v>
      </c>
      <c r="Q1444" s="29" t="str">
        <f t="shared" si="487"/>
        <v>NA</v>
      </c>
      <c r="R1444" s="29" t="str">
        <f t="shared" si="488"/>
        <v>NA</v>
      </c>
      <c r="S1444" s="29" t="str">
        <f t="shared" si="489"/>
        <v>NA</v>
      </c>
      <c r="T1444" s="29" t="str">
        <f t="shared" si="490"/>
        <v>NA</v>
      </c>
      <c r="U1444" s="29" t="str">
        <f t="shared" si="491"/>
        <v>NA</v>
      </c>
      <c r="V1444" s="29" t="str">
        <f t="shared" si="492"/>
        <v>NA</v>
      </c>
      <c r="W1444" s="29" t="str">
        <f t="shared" si="493"/>
        <v>NA</v>
      </c>
      <c r="X1444" s="29" t="str">
        <f t="shared" si="494"/>
        <v>NA</v>
      </c>
      <c r="Y1444" s="29" t="str">
        <f t="shared" si="495"/>
        <v>NA</v>
      </c>
      <c r="Z1444" s="29" t="str">
        <f t="shared" si="496"/>
        <v>NA</v>
      </c>
      <c r="AA1444" s="29" t="str">
        <f t="shared" si="497"/>
        <v>NA</v>
      </c>
      <c r="AB1444" s="29" t="str">
        <f t="shared" si="498"/>
        <v>NA</v>
      </c>
      <c r="AC1444" s="29" t="str">
        <f t="shared" si="499"/>
        <v>NA</v>
      </c>
      <c r="AD1444" s="29" t="str">
        <f t="shared" si="500"/>
        <v>NA</v>
      </c>
      <c r="AE1444" s="29" t="str">
        <f t="shared" si="501"/>
        <v>NA</v>
      </c>
      <c r="AF1444" s="29" t="str">
        <f t="shared" si="502"/>
        <v>NA</v>
      </c>
      <c r="AG1444" s="29" t="str">
        <f t="shared" si="503"/>
        <v>NA</v>
      </c>
      <c r="AH1444" s="29" t="str">
        <f t="shared" si="504"/>
        <v>NA</v>
      </c>
    </row>
    <row r="1445" customHeight="1" spans="1:34">
      <c r="A1445" s="12" t="s">
        <v>1043</v>
      </c>
      <c r="F1445" s="24">
        <f t="shared" si="486"/>
        <v>0</v>
      </c>
      <c r="G1445" s="24" t="e">
        <f t="shared" si="485"/>
        <v>#DIV/0!</v>
      </c>
      <c r="Q1445" s="29" t="str">
        <f t="shared" si="487"/>
        <v>NA</v>
      </c>
      <c r="R1445" s="29" t="str">
        <f t="shared" si="488"/>
        <v>NA</v>
      </c>
      <c r="S1445" s="29" t="str">
        <f t="shared" si="489"/>
        <v>NA</v>
      </c>
      <c r="T1445" s="29" t="str">
        <f t="shared" si="490"/>
        <v>NA</v>
      </c>
      <c r="U1445" s="29" t="str">
        <f t="shared" si="491"/>
        <v>NA</v>
      </c>
      <c r="V1445" s="29" t="str">
        <f t="shared" si="492"/>
        <v>NA</v>
      </c>
      <c r="W1445" s="29" t="str">
        <f t="shared" si="493"/>
        <v>NA</v>
      </c>
      <c r="X1445" s="29" t="str">
        <f t="shared" si="494"/>
        <v>NA</v>
      </c>
      <c r="Y1445" s="29" t="str">
        <f t="shared" si="495"/>
        <v>NA</v>
      </c>
      <c r="Z1445" s="29" t="str">
        <f t="shared" si="496"/>
        <v>NA</v>
      </c>
      <c r="AA1445" s="29" t="str">
        <f t="shared" si="497"/>
        <v>NA</v>
      </c>
      <c r="AB1445" s="29" t="str">
        <f t="shared" si="498"/>
        <v>NA</v>
      </c>
      <c r="AC1445" s="29" t="str">
        <f t="shared" si="499"/>
        <v>NA</v>
      </c>
      <c r="AD1445" s="29" t="str">
        <f t="shared" si="500"/>
        <v>NA</v>
      </c>
      <c r="AE1445" s="29" t="str">
        <f t="shared" si="501"/>
        <v>NA</v>
      </c>
      <c r="AF1445" s="29" t="str">
        <f t="shared" si="502"/>
        <v>NA</v>
      </c>
      <c r="AG1445" s="29" t="str">
        <f t="shared" si="503"/>
        <v>NA</v>
      </c>
      <c r="AH1445" s="29" t="str">
        <f t="shared" si="504"/>
        <v>NA</v>
      </c>
    </row>
    <row r="1446" customHeight="1" spans="1:34">
      <c r="A1446" s="12" t="s">
        <v>1043</v>
      </c>
      <c r="F1446" s="24">
        <f t="shared" si="486"/>
        <v>0</v>
      </c>
      <c r="G1446" s="24" t="e">
        <f t="shared" si="485"/>
        <v>#DIV/0!</v>
      </c>
      <c r="Q1446" s="29" t="str">
        <f t="shared" si="487"/>
        <v>NA</v>
      </c>
      <c r="R1446" s="29" t="str">
        <f t="shared" si="488"/>
        <v>NA</v>
      </c>
      <c r="S1446" s="29" t="str">
        <f t="shared" si="489"/>
        <v>NA</v>
      </c>
      <c r="T1446" s="29" t="str">
        <f t="shared" si="490"/>
        <v>NA</v>
      </c>
      <c r="U1446" s="29" t="str">
        <f t="shared" si="491"/>
        <v>NA</v>
      </c>
      <c r="V1446" s="29" t="str">
        <f t="shared" si="492"/>
        <v>NA</v>
      </c>
      <c r="W1446" s="29" t="str">
        <f t="shared" si="493"/>
        <v>NA</v>
      </c>
      <c r="X1446" s="29" t="str">
        <f t="shared" si="494"/>
        <v>NA</v>
      </c>
      <c r="Y1446" s="29" t="str">
        <f t="shared" si="495"/>
        <v>NA</v>
      </c>
      <c r="Z1446" s="29" t="str">
        <f t="shared" si="496"/>
        <v>NA</v>
      </c>
      <c r="AA1446" s="29" t="str">
        <f t="shared" si="497"/>
        <v>NA</v>
      </c>
      <c r="AB1446" s="29" t="str">
        <f t="shared" si="498"/>
        <v>NA</v>
      </c>
      <c r="AC1446" s="29" t="str">
        <f t="shared" si="499"/>
        <v>NA</v>
      </c>
      <c r="AD1446" s="29" t="str">
        <f t="shared" si="500"/>
        <v>NA</v>
      </c>
      <c r="AE1446" s="29" t="str">
        <f t="shared" si="501"/>
        <v>NA</v>
      </c>
      <c r="AF1446" s="29" t="str">
        <f t="shared" si="502"/>
        <v>NA</v>
      </c>
      <c r="AG1446" s="29" t="str">
        <f t="shared" si="503"/>
        <v>NA</v>
      </c>
      <c r="AH1446" s="29" t="str">
        <f t="shared" si="504"/>
        <v>NA</v>
      </c>
    </row>
    <row r="1447" customHeight="1" spans="1:34">
      <c r="A1447" s="12" t="s">
        <v>1043</v>
      </c>
      <c r="F1447" s="24">
        <f t="shared" si="486"/>
        <v>0</v>
      </c>
      <c r="G1447" s="24" t="e">
        <f t="shared" si="485"/>
        <v>#DIV/0!</v>
      </c>
      <c r="Q1447" s="29" t="str">
        <f t="shared" si="487"/>
        <v>NA</v>
      </c>
      <c r="R1447" s="29" t="str">
        <f t="shared" si="488"/>
        <v>NA</v>
      </c>
      <c r="S1447" s="29" t="str">
        <f t="shared" si="489"/>
        <v>NA</v>
      </c>
      <c r="T1447" s="29" t="str">
        <f t="shared" si="490"/>
        <v>NA</v>
      </c>
      <c r="U1447" s="29" t="str">
        <f t="shared" si="491"/>
        <v>NA</v>
      </c>
      <c r="V1447" s="29" t="str">
        <f t="shared" si="492"/>
        <v>NA</v>
      </c>
      <c r="W1447" s="29" t="str">
        <f t="shared" si="493"/>
        <v>NA</v>
      </c>
      <c r="X1447" s="29" t="str">
        <f t="shared" si="494"/>
        <v>NA</v>
      </c>
      <c r="Y1447" s="29" t="str">
        <f t="shared" si="495"/>
        <v>NA</v>
      </c>
      <c r="Z1447" s="29" t="str">
        <f t="shared" si="496"/>
        <v>NA</v>
      </c>
      <c r="AA1447" s="29" t="str">
        <f t="shared" si="497"/>
        <v>NA</v>
      </c>
      <c r="AB1447" s="29" t="str">
        <f t="shared" si="498"/>
        <v>NA</v>
      </c>
      <c r="AC1447" s="29" t="str">
        <f t="shared" si="499"/>
        <v>NA</v>
      </c>
      <c r="AD1447" s="29" t="str">
        <f t="shared" si="500"/>
        <v>NA</v>
      </c>
      <c r="AE1447" s="29" t="str">
        <f t="shared" si="501"/>
        <v>NA</v>
      </c>
      <c r="AF1447" s="29" t="str">
        <f t="shared" si="502"/>
        <v>NA</v>
      </c>
      <c r="AG1447" s="29" t="str">
        <f t="shared" si="503"/>
        <v>NA</v>
      </c>
      <c r="AH1447" s="29" t="str">
        <f t="shared" si="504"/>
        <v>NA</v>
      </c>
    </row>
    <row r="1448" customHeight="1" spans="1:34">
      <c r="A1448" s="12" t="s">
        <v>1043</v>
      </c>
      <c r="F1448" s="24">
        <f t="shared" si="486"/>
        <v>0</v>
      </c>
      <c r="G1448" s="24" t="e">
        <f t="shared" si="485"/>
        <v>#DIV/0!</v>
      </c>
      <c r="Q1448" s="29" t="str">
        <f t="shared" si="487"/>
        <v>NA</v>
      </c>
      <c r="R1448" s="29" t="str">
        <f t="shared" si="488"/>
        <v>NA</v>
      </c>
      <c r="S1448" s="29" t="str">
        <f t="shared" si="489"/>
        <v>NA</v>
      </c>
      <c r="T1448" s="29" t="str">
        <f t="shared" si="490"/>
        <v>NA</v>
      </c>
      <c r="U1448" s="29" t="str">
        <f t="shared" si="491"/>
        <v>NA</v>
      </c>
      <c r="V1448" s="29" t="str">
        <f t="shared" si="492"/>
        <v>NA</v>
      </c>
      <c r="W1448" s="29" t="str">
        <f t="shared" si="493"/>
        <v>NA</v>
      </c>
      <c r="X1448" s="29" t="str">
        <f t="shared" si="494"/>
        <v>NA</v>
      </c>
      <c r="Y1448" s="29" t="str">
        <f t="shared" si="495"/>
        <v>NA</v>
      </c>
      <c r="Z1448" s="29" t="str">
        <f t="shared" si="496"/>
        <v>NA</v>
      </c>
      <c r="AA1448" s="29" t="str">
        <f t="shared" si="497"/>
        <v>NA</v>
      </c>
      <c r="AB1448" s="29" t="str">
        <f t="shared" si="498"/>
        <v>NA</v>
      </c>
      <c r="AC1448" s="29" t="str">
        <f t="shared" si="499"/>
        <v>NA</v>
      </c>
      <c r="AD1448" s="29" t="str">
        <f t="shared" si="500"/>
        <v>NA</v>
      </c>
      <c r="AE1448" s="29" t="str">
        <f t="shared" si="501"/>
        <v>NA</v>
      </c>
      <c r="AF1448" s="29" t="str">
        <f t="shared" si="502"/>
        <v>NA</v>
      </c>
      <c r="AG1448" s="29" t="str">
        <f t="shared" si="503"/>
        <v>NA</v>
      </c>
      <c r="AH1448" s="29" t="str">
        <f t="shared" si="504"/>
        <v>NA</v>
      </c>
    </row>
    <row r="1449" customHeight="1" spans="1:34">
      <c r="A1449" s="12" t="s">
        <v>1043</v>
      </c>
      <c r="F1449" s="24">
        <f t="shared" si="486"/>
        <v>0</v>
      </c>
      <c r="G1449" s="24" t="e">
        <f t="shared" si="485"/>
        <v>#DIV/0!</v>
      </c>
      <c r="Q1449" s="29" t="str">
        <f t="shared" si="487"/>
        <v>NA</v>
      </c>
      <c r="R1449" s="29" t="str">
        <f t="shared" si="488"/>
        <v>NA</v>
      </c>
      <c r="S1449" s="29" t="str">
        <f t="shared" si="489"/>
        <v>NA</v>
      </c>
      <c r="T1449" s="29" t="str">
        <f t="shared" si="490"/>
        <v>NA</v>
      </c>
      <c r="U1449" s="29" t="str">
        <f t="shared" si="491"/>
        <v>NA</v>
      </c>
      <c r="V1449" s="29" t="str">
        <f t="shared" si="492"/>
        <v>NA</v>
      </c>
      <c r="W1449" s="29" t="str">
        <f t="shared" si="493"/>
        <v>NA</v>
      </c>
      <c r="X1449" s="29" t="str">
        <f t="shared" si="494"/>
        <v>NA</v>
      </c>
      <c r="Y1449" s="29" t="str">
        <f t="shared" si="495"/>
        <v>NA</v>
      </c>
      <c r="Z1449" s="29" t="str">
        <f t="shared" si="496"/>
        <v>NA</v>
      </c>
      <c r="AA1449" s="29" t="str">
        <f t="shared" si="497"/>
        <v>NA</v>
      </c>
      <c r="AB1449" s="29" t="str">
        <f t="shared" si="498"/>
        <v>NA</v>
      </c>
      <c r="AC1449" s="29" t="str">
        <f t="shared" si="499"/>
        <v>NA</v>
      </c>
      <c r="AD1449" s="29" t="str">
        <f t="shared" si="500"/>
        <v>NA</v>
      </c>
      <c r="AE1449" s="29" t="str">
        <f t="shared" si="501"/>
        <v>NA</v>
      </c>
      <c r="AF1449" s="29" t="str">
        <f t="shared" si="502"/>
        <v>NA</v>
      </c>
      <c r="AG1449" s="29" t="str">
        <f t="shared" si="503"/>
        <v>NA</v>
      </c>
      <c r="AH1449" s="29" t="str">
        <f t="shared" si="504"/>
        <v>NA</v>
      </c>
    </row>
    <row r="1450" customHeight="1" spans="1:34">
      <c r="A1450" s="12" t="s">
        <v>1043</v>
      </c>
      <c r="F1450" s="24">
        <f t="shared" si="486"/>
        <v>0</v>
      </c>
      <c r="G1450" s="24" t="e">
        <f t="shared" si="485"/>
        <v>#DIV/0!</v>
      </c>
      <c r="Q1450" s="29" t="str">
        <f t="shared" si="487"/>
        <v>NA</v>
      </c>
      <c r="R1450" s="29" t="str">
        <f t="shared" si="488"/>
        <v>NA</v>
      </c>
      <c r="S1450" s="29" t="str">
        <f t="shared" si="489"/>
        <v>NA</v>
      </c>
      <c r="T1450" s="29" t="str">
        <f t="shared" si="490"/>
        <v>NA</v>
      </c>
      <c r="U1450" s="29" t="str">
        <f t="shared" si="491"/>
        <v>NA</v>
      </c>
      <c r="V1450" s="29" t="str">
        <f t="shared" si="492"/>
        <v>NA</v>
      </c>
      <c r="W1450" s="29" t="str">
        <f t="shared" si="493"/>
        <v>NA</v>
      </c>
      <c r="X1450" s="29" t="str">
        <f t="shared" si="494"/>
        <v>NA</v>
      </c>
      <c r="Y1450" s="29" t="str">
        <f t="shared" si="495"/>
        <v>NA</v>
      </c>
      <c r="Z1450" s="29" t="str">
        <f t="shared" si="496"/>
        <v>NA</v>
      </c>
      <c r="AA1450" s="29" t="str">
        <f t="shared" si="497"/>
        <v>NA</v>
      </c>
      <c r="AB1450" s="29" t="str">
        <f t="shared" si="498"/>
        <v>NA</v>
      </c>
      <c r="AC1450" s="29" t="str">
        <f t="shared" si="499"/>
        <v>NA</v>
      </c>
      <c r="AD1450" s="29" t="str">
        <f t="shared" si="500"/>
        <v>NA</v>
      </c>
      <c r="AE1450" s="29" t="str">
        <f t="shared" si="501"/>
        <v>NA</v>
      </c>
      <c r="AF1450" s="29" t="str">
        <f t="shared" si="502"/>
        <v>NA</v>
      </c>
      <c r="AG1450" s="29" t="str">
        <f t="shared" si="503"/>
        <v>NA</v>
      </c>
      <c r="AH1450" s="29" t="str">
        <f t="shared" si="504"/>
        <v>NA</v>
      </c>
    </row>
    <row r="1451" customHeight="1" spans="1:34">
      <c r="A1451" s="12" t="s">
        <v>1043</v>
      </c>
      <c r="F1451" s="24">
        <f t="shared" si="486"/>
        <v>0</v>
      </c>
      <c r="G1451" s="24" t="e">
        <f t="shared" si="485"/>
        <v>#DIV/0!</v>
      </c>
      <c r="Q1451" s="29" t="str">
        <f t="shared" si="487"/>
        <v>NA</v>
      </c>
      <c r="R1451" s="29" t="str">
        <f t="shared" si="488"/>
        <v>NA</v>
      </c>
      <c r="S1451" s="29" t="str">
        <f t="shared" si="489"/>
        <v>NA</v>
      </c>
      <c r="T1451" s="29" t="str">
        <f t="shared" si="490"/>
        <v>NA</v>
      </c>
      <c r="U1451" s="29" t="str">
        <f t="shared" si="491"/>
        <v>NA</v>
      </c>
      <c r="V1451" s="29" t="str">
        <f t="shared" si="492"/>
        <v>NA</v>
      </c>
      <c r="W1451" s="29" t="str">
        <f t="shared" si="493"/>
        <v>NA</v>
      </c>
      <c r="X1451" s="29" t="str">
        <f t="shared" si="494"/>
        <v>NA</v>
      </c>
      <c r="Y1451" s="29" t="str">
        <f t="shared" si="495"/>
        <v>NA</v>
      </c>
      <c r="Z1451" s="29" t="str">
        <f t="shared" si="496"/>
        <v>NA</v>
      </c>
      <c r="AA1451" s="29" t="str">
        <f t="shared" si="497"/>
        <v>NA</v>
      </c>
      <c r="AB1451" s="29" t="str">
        <f t="shared" si="498"/>
        <v>NA</v>
      </c>
      <c r="AC1451" s="29" t="str">
        <f t="shared" si="499"/>
        <v>NA</v>
      </c>
      <c r="AD1451" s="29" t="str">
        <f t="shared" si="500"/>
        <v>NA</v>
      </c>
      <c r="AE1451" s="29" t="str">
        <f t="shared" si="501"/>
        <v>NA</v>
      </c>
      <c r="AF1451" s="29" t="str">
        <f t="shared" si="502"/>
        <v>NA</v>
      </c>
      <c r="AG1451" s="29" t="str">
        <f t="shared" si="503"/>
        <v>NA</v>
      </c>
      <c r="AH1451" s="29" t="str">
        <f t="shared" si="504"/>
        <v>NA</v>
      </c>
    </row>
    <row r="1452" customHeight="1" spans="1:34">
      <c r="A1452" s="12" t="s">
        <v>1043</v>
      </c>
      <c r="F1452" s="24">
        <f t="shared" si="486"/>
        <v>0</v>
      </c>
      <c r="G1452" s="24" t="e">
        <f t="shared" si="485"/>
        <v>#DIV/0!</v>
      </c>
      <c r="Q1452" s="29" t="str">
        <f t="shared" si="487"/>
        <v>NA</v>
      </c>
      <c r="R1452" s="29" t="str">
        <f t="shared" si="488"/>
        <v>NA</v>
      </c>
      <c r="S1452" s="29" t="str">
        <f t="shared" si="489"/>
        <v>NA</v>
      </c>
      <c r="T1452" s="29" t="str">
        <f t="shared" si="490"/>
        <v>NA</v>
      </c>
      <c r="U1452" s="29" t="str">
        <f t="shared" si="491"/>
        <v>NA</v>
      </c>
      <c r="V1452" s="29" t="str">
        <f t="shared" si="492"/>
        <v>NA</v>
      </c>
      <c r="W1452" s="29" t="str">
        <f t="shared" si="493"/>
        <v>NA</v>
      </c>
      <c r="X1452" s="29" t="str">
        <f t="shared" si="494"/>
        <v>NA</v>
      </c>
      <c r="Y1452" s="29" t="str">
        <f t="shared" si="495"/>
        <v>NA</v>
      </c>
      <c r="Z1452" s="29" t="str">
        <f t="shared" si="496"/>
        <v>NA</v>
      </c>
      <c r="AA1452" s="29" t="str">
        <f t="shared" si="497"/>
        <v>NA</v>
      </c>
      <c r="AB1452" s="29" t="str">
        <f t="shared" si="498"/>
        <v>NA</v>
      </c>
      <c r="AC1452" s="29" t="str">
        <f t="shared" si="499"/>
        <v>NA</v>
      </c>
      <c r="AD1452" s="29" t="str">
        <f t="shared" si="500"/>
        <v>NA</v>
      </c>
      <c r="AE1452" s="29" t="str">
        <f t="shared" si="501"/>
        <v>NA</v>
      </c>
      <c r="AF1452" s="29" t="str">
        <f t="shared" si="502"/>
        <v>NA</v>
      </c>
      <c r="AG1452" s="29" t="str">
        <f t="shared" si="503"/>
        <v>NA</v>
      </c>
      <c r="AH1452" s="29" t="str">
        <f t="shared" si="504"/>
        <v>NA</v>
      </c>
    </row>
    <row r="1453" customHeight="1" spans="1:34">
      <c r="A1453" s="12" t="s">
        <v>1043</v>
      </c>
      <c r="F1453" s="24">
        <f t="shared" si="486"/>
        <v>0</v>
      </c>
      <c r="G1453" s="24" t="e">
        <f t="shared" si="485"/>
        <v>#DIV/0!</v>
      </c>
      <c r="Q1453" s="29" t="str">
        <f t="shared" si="487"/>
        <v>NA</v>
      </c>
      <c r="R1453" s="29" t="str">
        <f t="shared" si="488"/>
        <v>NA</v>
      </c>
      <c r="S1453" s="29" t="str">
        <f t="shared" si="489"/>
        <v>NA</v>
      </c>
      <c r="T1453" s="29" t="str">
        <f t="shared" si="490"/>
        <v>NA</v>
      </c>
      <c r="U1453" s="29" t="str">
        <f t="shared" si="491"/>
        <v>NA</v>
      </c>
      <c r="V1453" s="29" t="str">
        <f t="shared" si="492"/>
        <v>NA</v>
      </c>
      <c r="W1453" s="29" t="str">
        <f t="shared" si="493"/>
        <v>NA</v>
      </c>
      <c r="X1453" s="29" t="str">
        <f t="shared" si="494"/>
        <v>NA</v>
      </c>
      <c r="Y1453" s="29" t="str">
        <f t="shared" si="495"/>
        <v>NA</v>
      </c>
      <c r="Z1453" s="29" t="str">
        <f t="shared" si="496"/>
        <v>NA</v>
      </c>
      <c r="AA1453" s="29" t="str">
        <f t="shared" si="497"/>
        <v>NA</v>
      </c>
      <c r="AB1453" s="29" t="str">
        <f t="shared" si="498"/>
        <v>NA</v>
      </c>
      <c r="AC1453" s="29" t="str">
        <f t="shared" si="499"/>
        <v>NA</v>
      </c>
      <c r="AD1453" s="29" t="str">
        <f t="shared" si="500"/>
        <v>NA</v>
      </c>
      <c r="AE1453" s="29" t="str">
        <f t="shared" si="501"/>
        <v>NA</v>
      </c>
      <c r="AF1453" s="29" t="str">
        <f t="shared" si="502"/>
        <v>NA</v>
      </c>
      <c r="AG1453" s="29" t="str">
        <f t="shared" si="503"/>
        <v>NA</v>
      </c>
      <c r="AH1453" s="29" t="str">
        <f t="shared" si="504"/>
        <v>NA</v>
      </c>
    </row>
    <row r="1454" customHeight="1" spans="1:34">
      <c r="A1454" s="12" t="s">
        <v>1043</v>
      </c>
      <c r="F1454" s="24">
        <f t="shared" si="486"/>
        <v>0</v>
      </c>
      <c r="G1454" s="24" t="e">
        <f t="shared" si="485"/>
        <v>#DIV/0!</v>
      </c>
      <c r="Q1454" s="29" t="str">
        <f t="shared" si="487"/>
        <v>NA</v>
      </c>
      <c r="R1454" s="29" t="str">
        <f t="shared" si="488"/>
        <v>NA</v>
      </c>
      <c r="S1454" s="29" t="str">
        <f t="shared" si="489"/>
        <v>NA</v>
      </c>
      <c r="T1454" s="29" t="str">
        <f t="shared" si="490"/>
        <v>NA</v>
      </c>
      <c r="U1454" s="29" t="str">
        <f t="shared" si="491"/>
        <v>NA</v>
      </c>
      <c r="V1454" s="29" t="str">
        <f t="shared" si="492"/>
        <v>NA</v>
      </c>
      <c r="W1454" s="29" t="str">
        <f t="shared" si="493"/>
        <v>NA</v>
      </c>
      <c r="X1454" s="29" t="str">
        <f t="shared" si="494"/>
        <v>NA</v>
      </c>
      <c r="Y1454" s="29" t="str">
        <f t="shared" si="495"/>
        <v>NA</v>
      </c>
      <c r="Z1454" s="29" t="str">
        <f t="shared" si="496"/>
        <v>NA</v>
      </c>
      <c r="AA1454" s="29" t="str">
        <f t="shared" si="497"/>
        <v>NA</v>
      </c>
      <c r="AB1454" s="29" t="str">
        <f t="shared" si="498"/>
        <v>NA</v>
      </c>
      <c r="AC1454" s="29" t="str">
        <f t="shared" si="499"/>
        <v>NA</v>
      </c>
      <c r="AD1454" s="29" t="str">
        <f t="shared" si="500"/>
        <v>NA</v>
      </c>
      <c r="AE1454" s="29" t="str">
        <f t="shared" si="501"/>
        <v>NA</v>
      </c>
      <c r="AF1454" s="29" t="str">
        <f t="shared" si="502"/>
        <v>NA</v>
      </c>
      <c r="AG1454" s="29" t="str">
        <f t="shared" si="503"/>
        <v>NA</v>
      </c>
      <c r="AH1454" s="29" t="str">
        <f t="shared" si="504"/>
        <v>NA</v>
      </c>
    </row>
    <row r="1455" customHeight="1" spans="1:34">
      <c r="A1455" s="12" t="s">
        <v>1043</v>
      </c>
      <c r="F1455" s="24">
        <f t="shared" si="486"/>
        <v>0</v>
      </c>
      <c r="G1455" s="24" t="e">
        <f t="shared" si="485"/>
        <v>#DIV/0!</v>
      </c>
      <c r="Q1455" s="29" t="str">
        <f t="shared" si="487"/>
        <v>NA</v>
      </c>
      <c r="R1455" s="29" t="str">
        <f t="shared" si="488"/>
        <v>NA</v>
      </c>
      <c r="S1455" s="29" t="str">
        <f t="shared" si="489"/>
        <v>NA</v>
      </c>
      <c r="T1455" s="29" t="str">
        <f t="shared" si="490"/>
        <v>NA</v>
      </c>
      <c r="U1455" s="29" t="str">
        <f t="shared" si="491"/>
        <v>NA</v>
      </c>
      <c r="V1455" s="29" t="str">
        <f t="shared" si="492"/>
        <v>NA</v>
      </c>
      <c r="W1455" s="29" t="str">
        <f t="shared" si="493"/>
        <v>NA</v>
      </c>
      <c r="X1455" s="29" t="str">
        <f t="shared" si="494"/>
        <v>NA</v>
      </c>
      <c r="Y1455" s="29" t="str">
        <f t="shared" si="495"/>
        <v>NA</v>
      </c>
      <c r="Z1455" s="29" t="str">
        <f t="shared" si="496"/>
        <v>NA</v>
      </c>
      <c r="AA1455" s="29" t="str">
        <f t="shared" si="497"/>
        <v>NA</v>
      </c>
      <c r="AB1455" s="29" t="str">
        <f t="shared" si="498"/>
        <v>NA</v>
      </c>
      <c r="AC1455" s="29" t="str">
        <f t="shared" si="499"/>
        <v>NA</v>
      </c>
      <c r="AD1455" s="29" t="str">
        <f t="shared" si="500"/>
        <v>NA</v>
      </c>
      <c r="AE1455" s="29" t="str">
        <f t="shared" si="501"/>
        <v>NA</v>
      </c>
      <c r="AF1455" s="29" t="str">
        <f t="shared" si="502"/>
        <v>NA</v>
      </c>
      <c r="AG1455" s="29" t="str">
        <f t="shared" si="503"/>
        <v>NA</v>
      </c>
      <c r="AH1455" s="29" t="str">
        <f t="shared" si="504"/>
        <v>NA</v>
      </c>
    </row>
    <row r="1456" customHeight="1" spans="1:34">
      <c r="A1456" s="12" t="s">
        <v>1043</v>
      </c>
      <c r="F1456" s="24">
        <f t="shared" si="486"/>
        <v>0</v>
      </c>
      <c r="G1456" s="24" t="e">
        <f t="shared" si="485"/>
        <v>#DIV/0!</v>
      </c>
      <c r="Q1456" s="29" t="str">
        <f t="shared" si="487"/>
        <v>NA</v>
      </c>
      <c r="R1456" s="29" t="str">
        <f t="shared" si="488"/>
        <v>NA</v>
      </c>
      <c r="S1456" s="29" t="str">
        <f t="shared" si="489"/>
        <v>NA</v>
      </c>
      <c r="T1456" s="29" t="str">
        <f t="shared" si="490"/>
        <v>NA</v>
      </c>
      <c r="U1456" s="29" t="str">
        <f t="shared" si="491"/>
        <v>NA</v>
      </c>
      <c r="V1456" s="29" t="str">
        <f t="shared" si="492"/>
        <v>NA</v>
      </c>
      <c r="W1456" s="29" t="str">
        <f t="shared" si="493"/>
        <v>NA</v>
      </c>
      <c r="X1456" s="29" t="str">
        <f t="shared" si="494"/>
        <v>NA</v>
      </c>
      <c r="Y1456" s="29" t="str">
        <f t="shared" si="495"/>
        <v>NA</v>
      </c>
      <c r="Z1456" s="29" t="str">
        <f t="shared" si="496"/>
        <v>NA</v>
      </c>
      <c r="AA1456" s="29" t="str">
        <f t="shared" si="497"/>
        <v>NA</v>
      </c>
      <c r="AB1456" s="29" t="str">
        <f t="shared" si="498"/>
        <v>NA</v>
      </c>
      <c r="AC1456" s="29" t="str">
        <f t="shared" si="499"/>
        <v>NA</v>
      </c>
      <c r="AD1456" s="29" t="str">
        <f t="shared" si="500"/>
        <v>NA</v>
      </c>
      <c r="AE1456" s="29" t="str">
        <f t="shared" si="501"/>
        <v>NA</v>
      </c>
      <c r="AF1456" s="29" t="str">
        <f t="shared" si="502"/>
        <v>NA</v>
      </c>
      <c r="AG1456" s="29" t="str">
        <f t="shared" si="503"/>
        <v>NA</v>
      </c>
      <c r="AH1456" s="29" t="str">
        <f t="shared" si="504"/>
        <v>NA</v>
      </c>
    </row>
    <row r="1457" customHeight="1" spans="1:34">
      <c r="A1457" s="12" t="s">
        <v>1043</v>
      </c>
      <c r="F1457" s="24">
        <f t="shared" si="486"/>
        <v>0</v>
      </c>
      <c r="G1457" s="24" t="e">
        <f t="shared" si="485"/>
        <v>#DIV/0!</v>
      </c>
      <c r="Q1457" s="29" t="str">
        <f t="shared" si="487"/>
        <v>NA</v>
      </c>
      <c r="R1457" s="29" t="str">
        <f t="shared" si="488"/>
        <v>NA</v>
      </c>
      <c r="S1457" s="29" t="str">
        <f t="shared" si="489"/>
        <v>NA</v>
      </c>
      <c r="T1457" s="29" t="str">
        <f t="shared" si="490"/>
        <v>NA</v>
      </c>
      <c r="U1457" s="29" t="str">
        <f t="shared" si="491"/>
        <v>NA</v>
      </c>
      <c r="V1457" s="29" t="str">
        <f t="shared" si="492"/>
        <v>NA</v>
      </c>
      <c r="W1457" s="29" t="str">
        <f t="shared" si="493"/>
        <v>NA</v>
      </c>
      <c r="X1457" s="29" t="str">
        <f t="shared" si="494"/>
        <v>NA</v>
      </c>
      <c r="Y1457" s="29" t="str">
        <f t="shared" si="495"/>
        <v>NA</v>
      </c>
      <c r="Z1457" s="29" t="str">
        <f t="shared" si="496"/>
        <v>NA</v>
      </c>
      <c r="AA1457" s="29" t="str">
        <f t="shared" si="497"/>
        <v>NA</v>
      </c>
      <c r="AB1457" s="29" t="str">
        <f t="shared" si="498"/>
        <v>NA</v>
      </c>
      <c r="AC1457" s="29" t="str">
        <f t="shared" si="499"/>
        <v>NA</v>
      </c>
      <c r="AD1457" s="29" t="str">
        <f t="shared" si="500"/>
        <v>NA</v>
      </c>
      <c r="AE1457" s="29" t="str">
        <f t="shared" si="501"/>
        <v>NA</v>
      </c>
      <c r="AF1457" s="29" t="str">
        <f t="shared" si="502"/>
        <v>NA</v>
      </c>
      <c r="AG1457" s="29" t="str">
        <f t="shared" si="503"/>
        <v>NA</v>
      </c>
      <c r="AH1457" s="29" t="str">
        <f t="shared" si="504"/>
        <v>NA</v>
      </c>
    </row>
    <row r="1458" customHeight="1" spans="1:34">
      <c r="A1458" s="12" t="s">
        <v>1043</v>
      </c>
      <c r="F1458" s="24">
        <f t="shared" si="486"/>
        <v>0</v>
      </c>
      <c r="G1458" s="24" t="e">
        <f t="shared" si="485"/>
        <v>#DIV/0!</v>
      </c>
      <c r="Q1458" s="29" t="str">
        <f t="shared" si="487"/>
        <v>NA</v>
      </c>
      <c r="R1458" s="29" t="str">
        <f t="shared" si="488"/>
        <v>NA</v>
      </c>
      <c r="S1458" s="29" t="str">
        <f t="shared" si="489"/>
        <v>NA</v>
      </c>
      <c r="T1458" s="29" t="str">
        <f t="shared" si="490"/>
        <v>NA</v>
      </c>
      <c r="U1458" s="29" t="str">
        <f t="shared" si="491"/>
        <v>NA</v>
      </c>
      <c r="V1458" s="29" t="str">
        <f t="shared" si="492"/>
        <v>NA</v>
      </c>
      <c r="W1458" s="29" t="str">
        <f t="shared" si="493"/>
        <v>NA</v>
      </c>
      <c r="X1458" s="29" t="str">
        <f t="shared" si="494"/>
        <v>NA</v>
      </c>
      <c r="Y1458" s="29" t="str">
        <f t="shared" si="495"/>
        <v>NA</v>
      </c>
      <c r="Z1458" s="29" t="str">
        <f t="shared" si="496"/>
        <v>NA</v>
      </c>
      <c r="AA1458" s="29" t="str">
        <f t="shared" si="497"/>
        <v>NA</v>
      </c>
      <c r="AB1458" s="29" t="str">
        <f t="shared" si="498"/>
        <v>NA</v>
      </c>
      <c r="AC1458" s="29" t="str">
        <f t="shared" si="499"/>
        <v>NA</v>
      </c>
      <c r="AD1458" s="29" t="str">
        <f t="shared" si="500"/>
        <v>NA</v>
      </c>
      <c r="AE1458" s="29" t="str">
        <f t="shared" si="501"/>
        <v>NA</v>
      </c>
      <c r="AF1458" s="29" t="str">
        <f t="shared" si="502"/>
        <v>NA</v>
      </c>
      <c r="AG1458" s="29" t="str">
        <f t="shared" si="503"/>
        <v>NA</v>
      </c>
      <c r="AH1458" s="29" t="str">
        <f t="shared" si="504"/>
        <v>NA</v>
      </c>
    </row>
    <row r="1459" customHeight="1" spans="1:34">
      <c r="A1459" s="12" t="s">
        <v>1043</v>
      </c>
      <c r="F1459" s="24">
        <f t="shared" si="486"/>
        <v>0</v>
      </c>
      <c r="G1459" s="24" t="e">
        <f t="shared" si="485"/>
        <v>#DIV/0!</v>
      </c>
      <c r="Q1459" s="29" t="str">
        <f t="shared" si="487"/>
        <v>NA</v>
      </c>
      <c r="R1459" s="29" t="str">
        <f t="shared" si="488"/>
        <v>NA</v>
      </c>
      <c r="S1459" s="29" t="str">
        <f t="shared" si="489"/>
        <v>NA</v>
      </c>
      <c r="T1459" s="29" t="str">
        <f t="shared" si="490"/>
        <v>NA</v>
      </c>
      <c r="U1459" s="29" t="str">
        <f t="shared" si="491"/>
        <v>NA</v>
      </c>
      <c r="V1459" s="29" t="str">
        <f t="shared" si="492"/>
        <v>NA</v>
      </c>
      <c r="W1459" s="29" t="str">
        <f t="shared" si="493"/>
        <v>NA</v>
      </c>
      <c r="X1459" s="29" t="str">
        <f t="shared" si="494"/>
        <v>NA</v>
      </c>
      <c r="Y1459" s="29" t="str">
        <f t="shared" si="495"/>
        <v>NA</v>
      </c>
      <c r="Z1459" s="29" t="str">
        <f t="shared" si="496"/>
        <v>NA</v>
      </c>
      <c r="AA1459" s="29" t="str">
        <f t="shared" si="497"/>
        <v>NA</v>
      </c>
      <c r="AB1459" s="29" t="str">
        <f t="shared" si="498"/>
        <v>NA</v>
      </c>
      <c r="AC1459" s="29" t="str">
        <f t="shared" si="499"/>
        <v>NA</v>
      </c>
      <c r="AD1459" s="29" t="str">
        <f t="shared" si="500"/>
        <v>NA</v>
      </c>
      <c r="AE1459" s="29" t="str">
        <f t="shared" si="501"/>
        <v>NA</v>
      </c>
      <c r="AF1459" s="29" t="str">
        <f t="shared" si="502"/>
        <v>NA</v>
      </c>
      <c r="AG1459" s="29" t="str">
        <f t="shared" si="503"/>
        <v>NA</v>
      </c>
      <c r="AH1459" s="29" t="str">
        <f t="shared" si="504"/>
        <v>NA</v>
      </c>
    </row>
    <row r="1460" customHeight="1" spans="1:34">
      <c r="A1460" s="12" t="s">
        <v>1043</v>
      </c>
      <c r="F1460" s="24">
        <f t="shared" si="486"/>
        <v>0</v>
      </c>
      <c r="G1460" s="24" t="e">
        <f t="shared" si="485"/>
        <v>#DIV/0!</v>
      </c>
      <c r="Q1460" s="29" t="str">
        <f t="shared" si="487"/>
        <v>NA</v>
      </c>
      <c r="R1460" s="29" t="str">
        <f t="shared" si="488"/>
        <v>NA</v>
      </c>
      <c r="S1460" s="29" t="str">
        <f t="shared" si="489"/>
        <v>NA</v>
      </c>
      <c r="T1460" s="29" t="str">
        <f t="shared" si="490"/>
        <v>NA</v>
      </c>
      <c r="U1460" s="29" t="str">
        <f t="shared" si="491"/>
        <v>NA</v>
      </c>
      <c r="V1460" s="29" t="str">
        <f t="shared" si="492"/>
        <v>NA</v>
      </c>
      <c r="W1460" s="29" t="str">
        <f t="shared" si="493"/>
        <v>NA</v>
      </c>
      <c r="X1460" s="29" t="str">
        <f t="shared" si="494"/>
        <v>NA</v>
      </c>
      <c r="Y1460" s="29" t="str">
        <f t="shared" si="495"/>
        <v>NA</v>
      </c>
      <c r="Z1460" s="29" t="str">
        <f t="shared" si="496"/>
        <v>NA</v>
      </c>
      <c r="AA1460" s="29" t="str">
        <f t="shared" si="497"/>
        <v>NA</v>
      </c>
      <c r="AB1460" s="29" t="str">
        <f t="shared" si="498"/>
        <v>NA</v>
      </c>
      <c r="AC1460" s="29" t="str">
        <f t="shared" si="499"/>
        <v>NA</v>
      </c>
      <c r="AD1460" s="29" t="str">
        <f t="shared" si="500"/>
        <v>NA</v>
      </c>
      <c r="AE1460" s="29" t="str">
        <f t="shared" si="501"/>
        <v>NA</v>
      </c>
      <c r="AF1460" s="29" t="str">
        <f t="shared" si="502"/>
        <v>NA</v>
      </c>
      <c r="AG1460" s="29" t="str">
        <f t="shared" si="503"/>
        <v>NA</v>
      </c>
      <c r="AH1460" s="29" t="str">
        <f t="shared" si="504"/>
        <v>NA</v>
      </c>
    </row>
    <row r="1461" customHeight="1" spans="1:34">
      <c r="A1461" s="12" t="s">
        <v>1043</v>
      </c>
      <c r="F1461" s="24">
        <f t="shared" si="486"/>
        <v>0</v>
      </c>
      <c r="G1461" s="24" t="e">
        <f t="shared" si="485"/>
        <v>#DIV/0!</v>
      </c>
      <c r="Q1461" s="29" t="str">
        <f t="shared" si="487"/>
        <v>NA</v>
      </c>
      <c r="R1461" s="29" t="str">
        <f t="shared" si="488"/>
        <v>NA</v>
      </c>
      <c r="S1461" s="29" t="str">
        <f t="shared" si="489"/>
        <v>NA</v>
      </c>
      <c r="T1461" s="29" t="str">
        <f t="shared" si="490"/>
        <v>NA</v>
      </c>
      <c r="U1461" s="29" t="str">
        <f t="shared" si="491"/>
        <v>NA</v>
      </c>
      <c r="V1461" s="29" t="str">
        <f t="shared" si="492"/>
        <v>NA</v>
      </c>
      <c r="W1461" s="29" t="str">
        <f t="shared" si="493"/>
        <v>NA</v>
      </c>
      <c r="X1461" s="29" t="str">
        <f t="shared" si="494"/>
        <v>NA</v>
      </c>
      <c r="Y1461" s="29" t="str">
        <f t="shared" si="495"/>
        <v>NA</v>
      </c>
      <c r="Z1461" s="29" t="str">
        <f t="shared" si="496"/>
        <v>NA</v>
      </c>
      <c r="AA1461" s="29" t="str">
        <f t="shared" si="497"/>
        <v>NA</v>
      </c>
      <c r="AB1461" s="29" t="str">
        <f t="shared" si="498"/>
        <v>NA</v>
      </c>
      <c r="AC1461" s="29" t="str">
        <f t="shared" si="499"/>
        <v>NA</v>
      </c>
      <c r="AD1461" s="29" t="str">
        <f t="shared" si="500"/>
        <v>NA</v>
      </c>
      <c r="AE1461" s="29" t="str">
        <f t="shared" si="501"/>
        <v>NA</v>
      </c>
      <c r="AF1461" s="29" t="str">
        <f t="shared" si="502"/>
        <v>NA</v>
      </c>
      <c r="AG1461" s="29" t="str">
        <f t="shared" si="503"/>
        <v>NA</v>
      </c>
      <c r="AH1461" s="29" t="str">
        <f t="shared" si="504"/>
        <v>NA</v>
      </c>
    </row>
    <row r="1462" customHeight="1" spans="1:34">
      <c r="A1462" s="12" t="s">
        <v>1043</v>
      </c>
      <c r="F1462" s="24">
        <f t="shared" si="486"/>
        <v>0</v>
      </c>
      <c r="G1462" s="24" t="e">
        <f t="shared" si="485"/>
        <v>#DIV/0!</v>
      </c>
      <c r="Q1462" s="29" t="str">
        <f t="shared" si="487"/>
        <v>NA</v>
      </c>
      <c r="R1462" s="29" t="str">
        <f t="shared" si="488"/>
        <v>NA</v>
      </c>
      <c r="S1462" s="29" t="str">
        <f t="shared" si="489"/>
        <v>NA</v>
      </c>
      <c r="T1462" s="29" t="str">
        <f t="shared" si="490"/>
        <v>NA</v>
      </c>
      <c r="U1462" s="29" t="str">
        <f t="shared" si="491"/>
        <v>NA</v>
      </c>
      <c r="V1462" s="29" t="str">
        <f t="shared" si="492"/>
        <v>NA</v>
      </c>
      <c r="W1462" s="29" t="str">
        <f t="shared" si="493"/>
        <v>NA</v>
      </c>
      <c r="X1462" s="29" t="str">
        <f t="shared" si="494"/>
        <v>NA</v>
      </c>
      <c r="Y1462" s="29" t="str">
        <f t="shared" si="495"/>
        <v>NA</v>
      </c>
      <c r="Z1462" s="29" t="str">
        <f t="shared" si="496"/>
        <v>NA</v>
      </c>
      <c r="AA1462" s="29" t="str">
        <f t="shared" si="497"/>
        <v>NA</v>
      </c>
      <c r="AB1462" s="29" t="str">
        <f t="shared" si="498"/>
        <v>NA</v>
      </c>
      <c r="AC1462" s="29" t="str">
        <f t="shared" si="499"/>
        <v>NA</v>
      </c>
      <c r="AD1462" s="29" t="str">
        <f t="shared" si="500"/>
        <v>NA</v>
      </c>
      <c r="AE1462" s="29" t="str">
        <f t="shared" si="501"/>
        <v>NA</v>
      </c>
      <c r="AF1462" s="29" t="str">
        <f t="shared" si="502"/>
        <v>NA</v>
      </c>
      <c r="AG1462" s="29" t="str">
        <f t="shared" si="503"/>
        <v>NA</v>
      </c>
      <c r="AH1462" s="29" t="str">
        <f t="shared" si="504"/>
        <v>NA</v>
      </c>
    </row>
    <row r="1463" customHeight="1" spans="1:34">
      <c r="A1463" s="12" t="s">
        <v>1043</v>
      </c>
      <c r="F1463" s="24">
        <f t="shared" si="486"/>
        <v>0</v>
      </c>
      <c r="G1463" s="24" t="e">
        <f t="shared" si="485"/>
        <v>#DIV/0!</v>
      </c>
      <c r="Q1463" s="29" t="str">
        <f t="shared" si="487"/>
        <v>NA</v>
      </c>
      <c r="R1463" s="29" t="str">
        <f t="shared" si="488"/>
        <v>NA</v>
      </c>
      <c r="S1463" s="29" t="str">
        <f t="shared" si="489"/>
        <v>NA</v>
      </c>
      <c r="T1463" s="29" t="str">
        <f t="shared" si="490"/>
        <v>NA</v>
      </c>
      <c r="U1463" s="29" t="str">
        <f t="shared" si="491"/>
        <v>NA</v>
      </c>
      <c r="V1463" s="29" t="str">
        <f t="shared" si="492"/>
        <v>NA</v>
      </c>
      <c r="W1463" s="29" t="str">
        <f t="shared" si="493"/>
        <v>NA</v>
      </c>
      <c r="X1463" s="29" t="str">
        <f t="shared" si="494"/>
        <v>NA</v>
      </c>
      <c r="Y1463" s="29" t="str">
        <f t="shared" si="495"/>
        <v>NA</v>
      </c>
      <c r="Z1463" s="29" t="str">
        <f t="shared" si="496"/>
        <v>NA</v>
      </c>
      <c r="AA1463" s="29" t="str">
        <f t="shared" si="497"/>
        <v>NA</v>
      </c>
      <c r="AB1463" s="29" t="str">
        <f t="shared" si="498"/>
        <v>NA</v>
      </c>
      <c r="AC1463" s="29" t="str">
        <f t="shared" si="499"/>
        <v>NA</v>
      </c>
      <c r="AD1463" s="29" t="str">
        <f t="shared" si="500"/>
        <v>NA</v>
      </c>
      <c r="AE1463" s="29" t="str">
        <f t="shared" si="501"/>
        <v>NA</v>
      </c>
      <c r="AF1463" s="29" t="str">
        <f t="shared" si="502"/>
        <v>NA</v>
      </c>
      <c r="AG1463" s="29" t="str">
        <f t="shared" si="503"/>
        <v>NA</v>
      </c>
      <c r="AH1463" s="29" t="str">
        <f t="shared" si="504"/>
        <v>NA</v>
      </c>
    </row>
    <row r="1464" customHeight="1" spans="1:34">
      <c r="A1464" s="12" t="s">
        <v>1043</v>
      </c>
      <c r="F1464" s="24">
        <f t="shared" si="486"/>
        <v>0</v>
      </c>
      <c r="G1464" s="24" t="e">
        <f t="shared" si="485"/>
        <v>#DIV/0!</v>
      </c>
      <c r="Q1464" s="29" t="str">
        <f t="shared" si="487"/>
        <v>NA</v>
      </c>
      <c r="R1464" s="29" t="str">
        <f t="shared" si="488"/>
        <v>NA</v>
      </c>
      <c r="S1464" s="29" t="str">
        <f t="shared" si="489"/>
        <v>NA</v>
      </c>
      <c r="T1464" s="29" t="str">
        <f t="shared" si="490"/>
        <v>NA</v>
      </c>
      <c r="U1464" s="29" t="str">
        <f t="shared" si="491"/>
        <v>NA</v>
      </c>
      <c r="V1464" s="29" t="str">
        <f t="shared" si="492"/>
        <v>NA</v>
      </c>
      <c r="W1464" s="29" t="str">
        <f t="shared" si="493"/>
        <v>NA</v>
      </c>
      <c r="X1464" s="29" t="str">
        <f t="shared" si="494"/>
        <v>NA</v>
      </c>
      <c r="Y1464" s="29" t="str">
        <f t="shared" si="495"/>
        <v>NA</v>
      </c>
      <c r="Z1464" s="29" t="str">
        <f t="shared" si="496"/>
        <v>NA</v>
      </c>
      <c r="AA1464" s="29" t="str">
        <f t="shared" si="497"/>
        <v>NA</v>
      </c>
      <c r="AB1464" s="29" t="str">
        <f t="shared" si="498"/>
        <v>NA</v>
      </c>
      <c r="AC1464" s="29" t="str">
        <f t="shared" si="499"/>
        <v>NA</v>
      </c>
      <c r="AD1464" s="29" t="str">
        <f t="shared" si="500"/>
        <v>NA</v>
      </c>
      <c r="AE1464" s="29" t="str">
        <f t="shared" si="501"/>
        <v>NA</v>
      </c>
      <c r="AF1464" s="29" t="str">
        <f t="shared" si="502"/>
        <v>NA</v>
      </c>
      <c r="AG1464" s="29" t="str">
        <f t="shared" si="503"/>
        <v>NA</v>
      </c>
      <c r="AH1464" s="29" t="str">
        <f t="shared" si="504"/>
        <v>NA</v>
      </c>
    </row>
    <row r="1465" customHeight="1" spans="1:34">
      <c r="A1465" s="12" t="s">
        <v>1043</v>
      </c>
      <c r="F1465" s="24">
        <f t="shared" si="486"/>
        <v>0</v>
      </c>
      <c r="G1465" s="24" t="e">
        <f t="shared" si="485"/>
        <v>#DIV/0!</v>
      </c>
      <c r="Q1465" s="29" t="str">
        <f t="shared" si="487"/>
        <v>NA</v>
      </c>
      <c r="R1465" s="29" t="str">
        <f t="shared" si="488"/>
        <v>NA</v>
      </c>
      <c r="S1465" s="29" t="str">
        <f t="shared" si="489"/>
        <v>NA</v>
      </c>
      <c r="T1465" s="29" t="str">
        <f t="shared" si="490"/>
        <v>NA</v>
      </c>
      <c r="U1465" s="29" t="str">
        <f t="shared" si="491"/>
        <v>NA</v>
      </c>
      <c r="V1465" s="29" t="str">
        <f t="shared" si="492"/>
        <v>NA</v>
      </c>
      <c r="W1465" s="29" t="str">
        <f t="shared" si="493"/>
        <v>NA</v>
      </c>
      <c r="X1465" s="29" t="str">
        <f t="shared" si="494"/>
        <v>NA</v>
      </c>
      <c r="Y1465" s="29" t="str">
        <f t="shared" si="495"/>
        <v>NA</v>
      </c>
      <c r="Z1465" s="29" t="str">
        <f t="shared" si="496"/>
        <v>NA</v>
      </c>
      <c r="AA1465" s="29" t="str">
        <f t="shared" si="497"/>
        <v>NA</v>
      </c>
      <c r="AB1465" s="29" t="str">
        <f t="shared" si="498"/>
        <v>NA</v>
      </c>
      <c r="AC1465" s="29" t="str">
        <f t="shared" si="499"/>
        <v>NA</v>
      </c>
      <c r="AD1465" s="29" t="str">
        <f t="shared" si="500"/>
        <v>NA</v>
      </c>
      <c r="AE1465" s="29" t="str">
        <f t="shared" si="501"/>
        <v>NA</v>
      </c>
      <c r="AF1465" s="29" t="str">
        <f t="shared" si="502"/>
        <v>NA</v>
      </c>
      <c r="AG1465" s="29" t="str">
        <f t="shared" si="503"/>
        <v>NA</v>
      </c>
      <c r="AH1465" s="29" t="str">
        <f t="shared" si="504"/>
        <v>NA</v>
      </c>
    </row>
    <row r="1466" customHeight="1" spans="1:34">
      <c r="A1466" s="12" t="s">
        <v>1043</v>
      </c>
      <c r="F1466" s="24">
        <f t="shared" si="486"/>
        <v>0</v>
      </c>
      <c r="G1466" s="24" t="e">
        <f t="shared" si="485"/>
        <v>#DIV/0!</v>
      </c>
      <c r="Q1466" s="29" t="str">
        <f t="shared" si="487"/>
        <v>NA</v>
      </c>
      <c r="R1466" s="29" t="str">
        <f t="shared" si="488"/>
        <v>NA</v>
      </c>
      <c r="S1466" s="29" t="str">
        <f t="shared" si="489"/>
        <v>NA</v>
      </c>
      <c r="T1466" s="29" t="str">
        <f t="shared" si="490"/>
        <v>NA</v>
      </c>
      <c r="U1466" s="29" t="str">
        <f t="shared" si="491"/>
        <v>NA</v>
      </c>
      <c r="V1466" s="29" t="str">
        <f t="shared" si="492"/>
        <v>NA</v>
      </c>
      <c r="W1466" s="29" t="str">
        <f t="shared" si="493"/>
        <v>NA</v>
      </c>
      <c r="X1466" s="29" t="str">
        <f t="shared" si="494"/>
        <v>NA</v>
      </c>
      <c r="Y1466" s="29" t="str">
        <f t="shared" si="495"/>
        <v>NA</v>
      </c>
      <c r="Z1466" s="29" t="str">
        <f t="shared" si="496"/>
        <v>NA</v>
      </c>
      <c r="AA1466" s="29" t="str">
        <f t="shared" si="497"/>
        <v>NA</v>
      </c>
      <c r="AB1466" s="29" t="str">
        <f t="shared" si="498"/>
        <v>NA</v>
      </c>
      <c r="AC1466" s="29" t="str">
        <f t="shared" si="499"/>
        <v>NA</v>
      </c>
      <c r="AD1466" s="29" t="str">
        <f t="shared" si="500"/>
        <v>NA</v>
      </c>
      <c r="AE1466" s="29" t="str">
        <f t="shared" si="501"/>
        <v>NA</v>
      </c>
      <c r="AF1466" s="29" t="str">
        <f t="shared" si="502"/>
        <v>NA</v>
      </c>
      <c r="AG1466" s="29" t="str">
        <f t="shared" si="503"/>
        <v>NA</v>
      </c>
      <c r="AH1466" s="29" t="str">
        <f t="shared" si="504"/>
        <v>NA</v>
      </c>
    </row>
    <row r="1467" customHeight="1" spans="1:34">
      <c r="A1467" s="12" t="s">
        <v>1043</v>
      </c>
      <c r="F1467" s="24">
        <f t="shared" si="486"/>
        <v>0</v>
      </c>
      <c r="G1467" s="24" t="e">
        <f t="shared" si="485"/>
        <v>#DIV/0!</v>
      </c>
      <c r="Q1467" s="29" t="str">
        <f t="shared" si="487"/>
        <v>NA</v>
      </c>
      <c r="R1467" s="29" t="str">
        <f t="shared" si="488"/>
        <v>NA</v>
      </c>
      <c r="S1467" s="29" t="str">
        <f t="shared" si="489"/>
        <v>NA</v>
      </c>
      <c r="T1467" s="29" t="str">
        <f t="shared" si="490"/>
        <v>NA</v>
      </c>
      <c r="U1467" s="29" t="str">
        <f t="shared" si="491"/>
        <v>NA</v>
      </c>
      <c r="V1467" s="29" t="str">
        <f t="shared" si="492"/>
        <v>NA</v>
      </c>
      <c r="W1467" s="29" t="str">
        <f t="shared" si="493"/>
        <v>NA</v>
      </c>
      <c r="X1467" s="29" t="str">
        <f t="shared" si="494"/>
        <v>NA</v>
      </c>
      <c r="Y1467" s="29" t="str">
        <f t="shared" si="495"/>
        <v>NA</v>
      </c>
      <c r="Z1467" s="29" t="str">
        <f t="shared" si="496"/>
        <v>NA</v>
      </c>
      <c r="AA1467" s="29" t="str">
        <f t="shared" si="497"/>
        <v>NA</v>
      </c>
      <c r="AB1467" s="29" t="str">
        <f t="shared" si="498"/>
        <v>NA</v>
      </c>
      <c r="AC1467" s="29" t="str">
        <f t="shared" si="499"/>
        <v>NA</v>
      </c>
      <c r="AD1467" s="29" t="str">
        <f t="shared" si="500"/>
        <v>NA</v>
      </c>
      <c r="AE1467" s="29" t="str">
        <f t="shared" si="501"/>
        <v>NA</v>
      </c>
      <c r="AF1467" s="29" t="str">
        <f t="shared" si="502"/>
        <v>NA</v>
      </c>
      <c r="AG1467" s="29" t="str">
        <f t="shared" si="503"/>
        <v>NA</v>
      </c>
      <c r="AH1467" s="29" t="str">
        <f t="shared" si="504"/>
        <v>NA</v>
      </c>
    </row>
    <row r="1468" customHeight="1" spans="1:34">
      <c r="A1468" s="12" t="s">
        <v>1043</v>
      </c>
      <c r="F1468" s="24">
        <f t="shared" si="486"/>
        <v>0</v>
      </c>
      <c r="G1468" s="24" t="e">
        <f t="shared" si="485"/>
        <v>#DIV/0!</v>
      </c>
      <c r="Q1468" s="29" t="str">
        <f t="shared" si="487"/>
        <v>NA</v>
      </c>
      <c r="R1468" s="29" t="str">
        <f t="shared" si="488"/>
        <v>NA</v>
      </c>
      <c r="S1468" s="29" t="str">
        <f t="shared" si="489"/>
        <v>NA</v>
      </c>
      <c r="T1468" s="29" t="str">
        <f t="shared" si="490"/>
        <v>NA</v>
      </c>
      <c r="U1468" s="29" t="str">
        <f t="shared" si="491"/>
        <v>NA</v>
      </c>
      <c r="V1468" s="29" t="str">
        <f t="shared" si="492"/>
        <v>NA</v>
      </c>
      <c r="W1468" s="29" t="str">
        <f t="shared" si="493"/>
        <v>NA</v>
      </c>
      <c r="X1468" s="29" t="str">
        <f t="shared" si="494"/>
        <v>NA</v>
      </c>
      <c r="Y1468" s="29" t="str">
        <f t="shared" si="495"/>
        <v>NA</v>
      </c>
      <c r="Z1468" s="29" t="str">
        <f t="shared" si="496"/>
        <v>NA</v>
      </c>
      <c r="AA1468" s="29" t="str">
        <f t="shared" si="497"/>
        <v>NA</v>
      </c>
      <c r="AB1468" s="29" t="str">
        <f t="shared" si="498"/>
        <v>NA</v>
      </c>
      <c r="AC1468" s="29" t="str">
        <f t="shared" si="499"/>
        <v>NA</v>
      </c>
      <c r="AD1468" s="29" t="str">
        <f t="shared" si="500"/>
        <v>NA</v>
      </c>
      <c r="AE1468" s="29" t="str">
        <f t="shared" si="501"/>
        <v>NA</v>
      </c>
      <c r="AF1468" s="29" t="str">
        <f t="shared" si="502"/>
        <v>NA</v>
      </c>
      <c r="AG1468" s="29" t="str">
        <f t="shared" si="503"/>
        <v>NA</v>
      </c>
      <c r="AH1468" s="29" t="str">
        <f t="shared" si="504"/>
        <v>NA</v>
      </c>
    </row>
    <row r="1469" customHeight="1" spans="1:34">
      <c r="A1469" s="12" t="s">
        <v>1043</v>
      </c>
      <c r="F1469" s="24">
        <f t="shared" si="486"/>
        <v>0</v>
      </c>
      <c r="G1469" s="24" t="e">
        <f t="shared" si="485"/>
        <v>#DIV/0!</v>
      </c>
      <c r="Q1469" s="29" t="str">
        <f t="shared" si="487"/>
        <v>NA</v>
      </c>
      <c r="R1469" s="29" t="str">
        <f t="shared" si="488"/>
        <v>NA</v>
      </c>
      <c r="S1469" s="29" t="str">
        <f t="shared" si="489"/>
        <v>NA</v>
      </c>
      <c r="T1469" s="29" t="str">
        <f t="shared" si="490"/>
        <v>NA</v>
      </c>
      <c r="U1469" s="29" t="str">
        <f t="shared" si="491"/>
        <v>NA</v>
      </c>
      <c r="V1469" s="29" t="str">
        <f t="shared" si="492"/>
        <v>NA</v>
      </c>
      <c r="W1469" s="29" t="str">
        <f t="shared" si="493"/>
        <v>NA</v>
      </c>
      <c r="X1469" s="29" t="str">
        <f t="shared" si="494"/>
        <v>NA</v>
      </c>
      <c r="Y1469" s="29" t="str">
        <f t="shared" si="495"/>
        <v>NA</v>
      </c>
      <c r="Z1469" s="29" t="str">
        <f t="shared" si="496"/>
        <v>NA</v>
      </c>
      <c r="AA1469" s="29" t="str">
        <f t="shared" si="497"/>
        <v>NA</v>
      </c>
      <c r="AB1469" s="29" t="str">
        <f t="shared" si="498"/>
        <v>NA</v>
      </c>
      <c r="AC1469" s="29" t="str">
        <f t="shared" si="499"/>
        <v>NA</v>
      </c>
      <c r="AD1469" s="29" t="str">
        <f t="shared" si="500"/>
        <v>NA</v>
      </c>
      <c r="AE1469" s="29" t="str">
        <f t="shared" si="501"/>
        <v>NA</v>
      </c>
      <c r="AF1469" s="29" t="str">
        <f t="shared" si="502"/>
        <v>NA</v>
      </c>
      <c r="AG1469" s="29" t="str">
        <f t="shared" si="503"/>
        <v>NA</v>
      </c>
      <c r="AH1469" s="29" t="str">
        <f t="shared" si="504"/>
        <v>NA</v>
      </c>
    </row>
    <row r="1470" customHeight="1" spans="1:34">
      <c r="A1470" s="12" t="s">
        <v>1043</v>
      </c>
      <c r="F1470" s="24">
        <f t="shared" si="486"/>
        <v>0</v>
      </c>
      <c r="G1470" s="24" t="e">
        <f t="shared" si="485"/>
        <v>#DIV/0!</v>
      </c>
      <c r="Q1470" s="29" t="str">
        <f t="shared" si="487"/>
        <v>NA</v>
      </c>
      <c r="R1470" s="29" t="str">
        <f t="shared" si="488"/>
        <v>NA</v>
      </c>
      <c r="S1470" s="29" t="str">
        <f t="shared" si="489"/>
        <v>NA</v>
      </c>
      <c r="T1470" s="29" t="str">
        <f t="shared" si="490"/>
        <v>NA</v>
      </c>
      <c r="U1470" s="29" t="str">
        <f t="shared" si="491"/>
        <v>NA</v>
      </c>
      <c r="V1470" s="29" t="str">
        <f t="shared" si="492"/>
        <v>NA</v>
      </c>
      <c r="W1470" s="29" t="str">
        <f t="shared" si="493"/>
        <v>NA</v>
      </c>
      <c r="X1470" s="29" t="str">
        <f t="shared" si="494"/>
        <v>NA</v>
      </c>
      <c r="Y1470" s="29" t="str">
        <f t="shared" si="495"/>
        <v>NA</v>
      </c>
      <c r="Z1470" s="29" t="str">
        <f t="shared" si="496"/>
        <v>NA</v>
      </c>
      <c r="AA1470" s="29" t="str">
        <f t="shared" si="497"/>
        <v>NA</v>
      </c>
      <c r="AB1470" s="29" t="str">
        <f t="shared" si="498"/>
        <v>NA</v>
      </c>
      <c r="AC1470" s="29" t="str">
        <f t="shared" si="499"/>
        <v>NA</v>
      </c>
      <c r="AD1470" s="29" t="str">
        <f t="shared" si="500"/>
        <v>NA</v>
      </c>
      <c r="AE1470" s="29" t="str">
        <f t="shared" si="501"/>
        <v>NA</v>
      </c>
      <c r="AF1470" s="29" t="str">
        <f t="shared" si="502"/>
        <v>NA</v>
      </c>
      <c r="AG1470" s="29" t="str">
        <f t="shared" si="503"/>
        <v>NA</v>
      </c>
      <c r="AH1470" s="29" t="str">
        <f t="shared" si="504"/>
        <v>NA</v>
      </c>
    </row>
    <row r="1471" customHeight="1" spans="1:34">
      <c r="A1471" s="12" t="s">
        <v>1043</v>
      </c>
      <c r="F1471" s="24">
        <f t="shared" si="486"/>
        <v>0</v>
      </c>
      <c r="G1471" s="24" t="e">
        <f t="shared" si="485"/>
        <v>#DIV/0!</v>
      </c>
      <c r="Q1471" s="29" t="str">
        <f t="shared" si="487"/>
        <v>NA</v>
      </c>
      <c r="R1471" s="29" t="str">
        <f t="shared" si="488"/>
        <v>NA</v>
      </c>
      <c r="S1471" s="29" t="str">
        <f t="shared" si="489"/>
        <v>NA</v>
      </c>
      <c r="T1471" s="29" t="str">
        <f t="shared" si="490"/>
        <v>NA</v>
      </c>
      <c r="U1471" s="29" t="str">
        <f t="shared" si="491"/>
        <v>NA</v>
      </c>
      <c r="V1471" s="29" t="str">
        <f t="shared" si="492"/>
        <v>NA</v>
      </c>
      <c r="W1471" s="29" t="str">
        <f t="shared" si="493"/>
        <v>NA</v>
      </c>
      <c r="X1471" s="29" t="str">
        <f t="shared" si="494"/>
        <v>NA</v>
      </c>
      <c r="Y1471" s="29" t="str">
        <f t="shared" si="495"/>
        <v>NA</v>
      </c>
      <c r="Z1471" s="29" t="str">
        <f t="shared" si="496"/>
        <v>NA</v>
      </c>
      <c r="AA1471" s="29" t="str">
        <f t="shared" si="497"/>
        <v>NA</v>
      </c>
      <c r="AB1471" s="29" t="str">
        <f t="shared" si="498"/>
        <v>NA</v>
      </c>
      <c r="AC1471" s="29" t="str">
        <f t="shared" si="499"/>
        <v>NA</v>
      </c>
      <c r="AD1471" s="29" t="str">
        <f t="shared" si="500"/>
        <v>NA</v>
      </c>
      <c r="AE1471" s="29" t="str">
        <f t="shared" si="501"/>
        <v>NA</v>
      </c>
      <c r="AF1471" s="29" t="str">
        <f t="shared" si="502"/>
        <v>NA</v>
      </c>
      <c r="AG1471" s="29" t="str">
        <f t="shared" si="503"/>
        <v>NA</v>
      </c>
      <c r="AH1471" s="29" t="str">
        <f t="shared" si="504"/>
        <v>NA</v>
      </c>
    </row>
    <row r="1472" customHeight="1" spans="1:34">
      <c r="A1472" s="12" t="s">
        <v>1043</v>
      </c>
      <c r="F1472" s="24">
        <f t="shared" si="486"/>
        <v>0</v>
      </c>
      <c r="G1472" s="24" t="e">
        <f t="shared" si="485"/>
        <v>#DIV/0!</v>
      </c>
      <c r="Q1472" s="29" t="str">
        <f t="shared" si="487"/>
        <v>NA</v>
      </c>
      <c r="R1472" s="29" t="str">
        <f t="shared" si="488"/>
        <v>NA</v>
      </c>
      <c r="S1472" s="29" t="str">
        <f t="shared" si="489"/>
        <v>NA</v>
      </c>
      <c r="T1472" s="29" t="str">
        <f t="shared" si="490"/>
        <v>NA</v>
      </c>
      <c r="U1472" s="29" t="str">
        <f t="shared" si="491"/>
        <v>NA</v>
      </c>
      <c r="V1472" s="29" t="str">
        <f t="shared" si="492"/>
        <v>NA</v>
      </c>
      <c r="W1472" s="29" t="str">
        <f t="shared" si="493"/>
        <v>NA</v>
      </c>
      <c r="X1472" s="29" t="str">
        <f t="shared" si="494"/>
        <v>NA</v>
      </c>
      <c r="Y1472" s="29" t="str">
        <f t="shared" si="495"/>
        <v>NA</v>
      </c>
      <c r="Z1472" s="29" t="str">
        <f t="shared" si="496"/>
        <v>NA</v>
      </c>
      <c r="AA1472" s="29" t="str">
        <f t="shared" si="497"/>
        <v>NA</v>
      </c>
      <c r="AB1472" s="29" t="str">
        <f t="shared" si="498"/>
        <v>NA</v>
      </c>
      <c r="AC1472" s="29" t="str">
        <f t="shared" si="499"/>
        <v>NA</v>
      </c>
      <c r="AD1472" s="29" t="str">
        <f t="shared" si="500"/>
        <v>NA</v>
      </c>
      <c r="AE1472" s="29" t="str">
        <f t="shared" si="501"/>
        <v>NA</v>
      </c>
      <c r="AF1472" s="29" t="str">
        <f t="shared" si="502"/>
        <v>NA</v>
      </c>
      <c r="AG1472" s="29" t="str">
        <f t="shared" si="503"/>
        <v>NA</v>
      </c>
      <c r="AH1472" s="29" t="str">
        <f t="shared" si="504"/>
        <v>NA</v>
      </c>
    </row>
    <row r="1473" customHeight="1" spans="1:34">
      <c r="A1473" s="12" t="s">
        <v>1043</v>
      </c>
      <c r="F1473" s="24">
        <f t="shared" si="486"/>
        <v>0</v>
      </c>
      <c r="G1473" s="24" t="e">
        <f t="shared" si="485"/>
        <v>#DIV/0!</v>
      </c>
      <c r="Q1473" s="29" t="str">
        <f t="shared" si="487"/>
        <v>NA</v>
      </c>
      <c r="R1473" s="29" t="str">
        <f t="shared" si="488"/>
        <v>NA</v>
      </c>
      <c r="S1473" s="29" t="str">
        <f t="shared" si="489"/>
        <v>NA</v>
      </c>
      <c r="T1473" s="29" t="str">
        <f t="shared" si="490"/>
        <v>NA</v>
      </c>
      <c r="U1473" s="29" t="str">
        <f t="shared" si="491"/>
        <v>NA</v>
      </c>
      <c r="V1473" s="29" t="str">
        <f t="shared" si="492"/>
        <v>NA</v>
      </c>
      <c r="W1473" s="29" t="str">
        <f t="shared" si="493"/>
        <v>NA</v>
      </c>
      <c r="X1473" s="29" t="str">
        <f t="shared" si="494"/>
        <v>NA</v>
      </c>
      <c r="Y1473" s="29" t="str">
        <f t="shared" si="495"/>
        <v>NA</v>
      </c>
      <c r="Z1473" s="29" t="str">
        <f t="shared" si="496"/>
        <v>NA</v>
      </c>
      <c r="AA1473" s="29" t="str">
        <f t="shared" si="497"/>
        <v>NA</v>
      </c>
      <c r="AB1473" s="29" t="str">
        <f t="shared" si="498"/>
        <v>NA</v>
      </c>
      <c r="AC1473" s="29" t="str">
        <f t="shared" si="499"/>
        <v>NA</v>
      </c>
      <c r="AD1473" s="29" t="str">
        <f t="shared" si="500"/>
        <v>NA</v>
      </c>
      <c r="AE1473" s="29" t="str">
        <f t="shared" si="501"/>
        <v>NA</v>
      </c>
      <c r="AF1473" s="29" t="str">
        <f t="shared" si="502"/>
        <v>NA</v>
      </c>
      <c r="AG1473" s="29" t="str">
        <f t="shared" si="503"/>
        <v>NA</v>
      </c>
      <c r="AH1473" s="29" t="str">
        <f t="shared" si="504"/>
        <v>NA</v>
      </c>
    </row>
    <row r="1474" customHeight="1" spans="1:34">
      <c r="A1474" s="12" t="s">
        <v>1043</v>
      </c>
      <c r="F1474" s="24">
        <f t="shared" si="486"/>
        <v>0</v>
      </c>
      <c r="G1474" s="24" t="e">
        <f t="shared" si="485"/>
        <v>#DIV/0!</v>
      </c>
      <c r="Q1474" s="29" t="str">
        <f t="shared" si="487"/>
        <v>NA</v>
      </c>
      <c r="R1474" s="29" t="str">
        <f t="shared" si="488"/>
        <v>NA</v>
      </c>
      <c r="S1474" s="29" t="str">
        <f t="shared" si="489"/>
        <v>NA</v>
      </c>
      <c r="T1474" s="29" t="str">
        <f t="shared" si="490"/>
        <v>NA</v>
      </c>
      <c r="U1474" s="29" t="str">
        <f t="shared" si="491"/>
        <v>NA</v>
      </c>
      <c r="V1474" s="29" t="str">
        <f t="shared" si="492"/>
        <v>NA</v>
      </c>
      <c r="W1474" s="29" t="str">
        <f t="shared" si="493"/>
        <v>NA</v>
      </c>
      <c r="X1474" s="29" t="str">
        <f t="shared" si="494"/>
        <v>NA</v>
      </c>
      <c r="Y1474" s="29" t="str">
        <f t="shared" si="495"/>
        <v>NA</v>
      </c>
      <c r="Z1474" s="29" t="str">
        <f t="shared" si="496"/>
        <v>NA</v>
      </c>
      <c r="AA1474" s="29" t="str">
        <f t="shared" si="497"/>
        <v>NA</v>
      </c>
      <c r="AB1474" s="29" t="str">
        <f t="shared" si="498"/>
        <v>NA</v>
      </c>
      <c r="AC1474" s="29" t="str">
        <f t="shared" si="499"/>
        <v>NA</v>
      </c>
      <c r="AD1474" s="29" t="str">
        <f t="shared" si="500"/>
        <v>NA</v>
      </c>
      <c r="AE1474" s="29" t="str">
        <f t="shared" si="501"/>
        <v>NA</v>
      </c>
      <c r="AF1474" s="29" t="str">
        <f t="shared" si="502"/>
        <v>NA</v>
      </c>
      <c r="AG1474" s="29" t="str">
        <f t="shared" si="503"/>
        <v>NA</v>
      </c>
      <c r="AH1474" s="29" t="str">
        <f t="shared" si="504"/>
        <v>NA</v>
      </c>
    </row>
    <row r="1475" customHeight="1" spans="1:34">
      <c r="A1475" s="12" t="s">
        <v>1043</v>
      </c>
      <c r="F1475" s="24">
        <f t="shared" si="486"/>
        <v>0</v>
      </c>
      <c r="G1475" s="24" t="e">
        <f t="shared" si="485"/>
        <v>#DIV/0!</v>
      </c>
      <c r="Q1475" s="29" t="str">
        <f t="shared" si="487"/>
        <v>NA</v>
      </c>
      <c r="R1475" s="29" t="str">
        <f t="shared" si="488"/>
        <v>NA</v>
      </c>
      <c r="S1475" s="29" t="str">
        <f t="shared" si="489"/>
        <v>NA</v>
      </c>
      <c r="T1475" s="29" t="str">
        <f t="shared" si="490"/>
        <v>NA</v>
      </c>
      <c r="U1475" s="29" t="str">
        <f t="shared" si="491"/>
        <v>NA</v>
      </c>
      <c r="V1475" s="29" t="str">
        <f t="shared" si="492"/>
        <v>NA</v>
      </c>
      <c r="W1475" s="29" t="str">
        <f t="shared" si="493"/>
        <v>NA</v>
      </c>
      <c r="X1475" s="29" t="str">
        <f t="shared" si="494"/>
        <v>NA</v>
      </c>
      <c r="Y1475" s="29" t="str">
        <f t="shared" si="495"/>
        <v>NA</v>
      </c>
      <c r="Z1475" s="29" t="str">
        <f t="shared" si="496"/>
        <v>NA</v>
      </c>
      <c r="AA1475" s="29" t="str">
        <f t="shared" si="497"/>
        <v>NA</v>
      </c>
      <c r="AB1475" s="29" t="str">
        <f t="shared" si="498"/>
        <v>NA</v>
      </c>
      <c r="AC1475" s="29" t="str">
        <f t="shared" si="499"/>
        <v>NA</v>
      </c>
      <c r="AD1475" s="29" t="str">
        <f t="shared" si="500"/>
        <v>NA</v>
      </c>
      <c r="AE1475" s="29" t="str">
        <f t="shared" si="501"/>
        <v>NA</v>
      </c>
      <c r="AF1475" s="29" t="str">
        <f t="shared" si="502"/>
        <v>NA</v>
      </c>
      <c r="AG1475" s="29" t="str">
        <f t="shared" si="503"/>
        <v>NA</v>
      </c>
      <c r="AH1475" s="29" t="str">
        <f t="shared" si="504"/>
        <v>NA</v>
      </c>
    </row>
    <row r="1476" customHeight="1" spans="1:34">
      <c r="A1476" s="12" t="s">
        <v>1043</v>
      </c>
      <c r="F1476" s="24">
        <f t="shared" si="486"/>
        <v>0</v>
      </c>
      <c r="G1476" s="24" t="e">
        <f t="shared" si="485"/>
        <v>#DIV/0!</v>
      </c>
      <c r="Q1476" s="29" t="str">
        <f t="shared" si="487"/>
        <v>NA</v>
      </c>
      <c r="R1476" s="29" t="str">
        <f t="shared" si="488"/>
        <v>NA</v>
      </c>
      <c r="S1476" s="29" t="str">
        <f t="shared" si="489"/>
        <v>NA</v>
      </c>
      <c r="T1476" s="29" t="str">
        <f t="shared" si="490"/>
        <v>NA</v>
      </c>
      <c r="U1476" s="29" t="str">
        <f t="shared" si="491"/>
        <v>NA</v>
      </c>
      <c r="V1476" s="29" t="str">
        <f t="shared" si="492"/>
        <v>NA</v>
      </c>
      <c r="W1476" s="29" t="str">
        <f t="shared" si="493"/>
        <v>NA</v>
      </c>
      <c r="X1476" s="29" t="str">
        <f t="shared" si="494"/>
        <v>NA</v>
      </c>
      <c r="Y1476" s="29" t="str">
        <f t="shared" si="495"/>
        <v>NA</v>
      </c>
      <c r="Z1476" s="29" t="str">
        <f t="shared" si="496"/>
        <v>NA</v>
      </c>
      <c r="AA1476" s="29" t="str">
        <f t="shared" si="497"/>
        <v>NA</v>
      </c>
      <c r="AB1476" s="29" t="str">
        <f t="shared" si="498"/>
        <v>NA</v>
      </c>
      <c r="AC1476" s="29" t="str">
        <f t="shared" si="499"/>
        <v>NA</v>
      </c>
      <c r="AD1476" s="29" t="str">
        <f t="shared" si="500"/>
        <v>NA</v>
      </c>
      <c r="AE1476" s="29" t="str">
        <f t="shared" si="501"/>
        <v>NA</v>
      </c>
      <c r="AF1476" s="29" t="str">
        <f t="shared" si="502"/>
        <v>NA</v>
      </c>
      <c r="AG1476" s="29" t="str">
        <f t="shared" si="503"/>
        <v>NA</v>
      </c>
      <c r="AH1476" s="29" t="str">
        <f t="shared" si="504"/>
        <v>NA</v>
      </c>
    </row>
    <row r="1477" customHeight="1" spans="1:34">
      <c r="A1477" s="12" t="s">
        <v>1043</v>
      </c>
      <c r="F1477" s="24">
        <f t="shared" si="486"/>
        <v>0</v>
      </c>
      <c r="G1477" s="24" t="e">
        <f t="shared" ref="G1477:G1540" si="505">B1477*D1477/C1477</f>
        <v>#DIV/0!</v>
      </c>
      <c r="Q1477" s="29" t="str">
        <f t="shared" si="487"/>
        <v>NA</v>
      </c>
      <c r="R1477" s="29" t="str">
        <f t="shared" si="488"/>
        <v>NA</v>
      </c>
      <c r="S1477" s="29" t="str">
        <f t="shared" si="489"/>
        <v>NA</v>
      </c>
      <c r="T1477" s="29" t="str">
        <f t="shared" si="490"/>
        <v>NA</v>
      </c>
      <c r="U1477" s="29" t="str">
        <f t="shared" si="491"/>
        <v>NA</v>
      </c>
      <c r="V1477" s="29" t="str">
        <f t="shared" si="492"/>
        <v>NA</v>
      </c>
      <c r="W1477" s="29" t="str">
        <f t="shared" si="493"/>
        <v>NA</v>
      </c>
      <c r="X1477" s="29" t="str">
        <f t="shared" si="494"/>
        <v>NA</v>
      </c>
      <c r="Y1477" s="29" t="str">
        <f t="shared" si="495"/>
        <v>NA</v>
      </c>
      <c r="Z1477" s="29" t="str">
        <f t="shared" si="496"/>
        <v>NA</v>
      </c>
      <c r="AA1477" s="29" t="str">
        <f t="shared" si="497"/>
        <v>NA</v>
      </c>
      <c r="AB1477" s="29" t="str">
        <f t="shared" si="498"/>
        <v>NA</v>
      </c>
      <c r="AC1477" s="29" t="str">
        <f t="shared" si="499"/>
        <v>NA</v>
      </c>
      <c r="AD1477" s="29" t="str">
        <f t="shared" si="500"/>
        <v>NA</v>
      </c>
      <c r="AE1477" s="29" t="str">
        <f t="shared" si="501"/>
        <v>NA</v>
      </c>
      <c r="AF1477" s="29" t="str">
        <f t="shared" si="502"/>
        <v>NA</v>
      </c>
      <c r="AG1477" s="29" t="str">
        <f t="shared" si="503"/>
        <v>NA</v>
      </c>
      <c r="AH1477" s="29" t="str">
        <f t="shared" si="504"/>
        <v>NA</v>
      </c>
    </row>
    <row r="1478" customHeight="1" spans="1:34">
      <c r="A1478" s="12" t="s">
        <v>1043</v>
      </c>
      <c r="F1478" s="24">
        <f t="shared" ref="F1478:F1541" si="506">+D1478+E1478</f>
        <v>0</v>
      </c>
      <c r="G1478" s="24" t="e">
        <f t="shared" si="505"/>
        <v>#DIV/0!</v>
      </c>
      <c r="Q1478" s="29" t="str">
        <f t="shared" si="487"/>
        <v>NA</v>
      </c>
      <c r="R1478" s="29" t="str">
        <f t="shared" si="488"/>
        <v>NA</v>
      </c>
      <c r="S1478" s="29" t="str">
        <f t="shared" si="489"/>
        <v>NA</v>
      </c>
      <c r="T1478" s="29" t="str">
        <f t="shared" si="490"/>
        <v>NA</v>
      </c>
      <c r="U1478" s="29" t="str">
        <f t="shared" si="491"/>
        <v>NA</v>
      </c>
      <c r="V1478" s="29" t="str">
        <f t="shared" si="492"/>
        <v>NA</v>
      </c>
      <c r="W1478" s="29" t="str">
        <f t="shared" si="493"/>
        <v>NA</v>
      </c>
      <c r="X1478" s="29" t="str">
        <f t="shared" si="494"/>
        <v>NA</v>
      </c>
      <c r="Y1478" s="29" t="str">
        <f t="shared" si="495"/>
        <v>NA</v>
      </c>
      <c r="Z1478" s="29" t="str">
        <f t="shared" si="496"/>
        <v>NA</v>
      </c>
      <c r="AA1478" s="29" t="str">
        <f t="shared" si="497"/>
        <v>NA</v>
      </c>
      <c r="AB1478" s="29" t="str">
        <f t="shared" si="498"/>
        <v>NA</v>
      </c>
      <c r="AC1478" s="29" t="str">
        <f t="shared" si="499"/>
        <v>NA</v>
      </c>
      <c r="AD1478" s="29" t="str">
        <f t="shared" si="500"/>
        <v>NA</v>
      </c>
      <c r="AE1478" s="29" t="str">
        <f t="shared" si="501"/>
        <v>NA</v>
      </c>
      <c r="AF1478" s="29" t="str">
        <f t="shared" si="502"/>
        <v>NA</v>
      </c>
      <c r="AG1478" s="29" t="str">
        <f t="shared" si="503"/>
        <v>NA</v>
      </c>
      <c r="AH1478" s="29" t="str">
        <f t="shared" si="504"/>
        <v>NA</v>
      </c>
    </row>
    <row r="1479" customHeight="1" spans="1:34">
      <c r="A1479" s="12" t="s">
        <v>1043</v>
      </c>
      <c r="F1479" s="24">
        <f t="shared" si="506"/>
        <v>0</v>
      </c>
      <c r="G1479" s="24" t="e">
        <f t="shared" si="505"/>
        <v>#DIV/0!</v>
      </c>
      <c r="Q1479" s="29" t="str">
        <f t="shared" si="487"/>
        <v>NA</v>
      </c>
      <c r="R1479" s="29" t="str">
        <f t="shared" si="488"/>
        <v>NA</v>
      </c>
      <c r="S1479" s="29" t="str">
        <f t="shared" si="489"/>
        <v>NA</v>
      </c>
      <c r="T1479" s="29" t="str">
        <f t="shared" si="490"/>
        <v>NA</v>
      </c>
      <c r="U1479" s="29" t="str">
        <f t="shared" si="491"/>
        <v>NA</v>
      </c>
      <c r="V1479" s="29" t="str">
        <f t="shared" si="492"/>
        <v>NA</v>
      </c>
      <c r="W1479" s="29" t="str">
        <f t="shared" si="493"/>
        <v>NA</v>
      </c>
      <c r="X1479" s="29" t="str">
        <f t="shared" si="494"/>
        <v>NA</v>
      </c>
      <c r="Y1479" s="29" t="str">
        <f t="shared" si="495"/>
        <v>NA</v>
      </c>
      <c r="Z1479" s="29" t="str">
        <f t="shared" si="496"/>
        <v>NA</v>
      </c>
      <c r="AA1479" s="29" t="str">
        <f t="shared" si="497"/>
        <v>NA</v>
      </c>
      <c r="AB1479" s="29" t="str">
        <f t="shared" si="498"/>
        <v>NA</v>
      </c>
      <c r="AC1479" s="29" t="str">
        <f t="shared" si="499"/>
        <v>NA</v>
      </c>
      <c r="AD1479" s="29" t="str">
        <f t="shared" si="500"/>
        <v>NA</v>
      </c>
      <c r="AE1479" s="29" t="str">
        <f t="shared" si="501"/>
        <v>NA</v>
      </c>
      <c r="AF1479" s="29" t="str">
        <f t="shared" si="502"/>
        <v>NA</v>
      </c>
      <c r="AG1479" s="29" t="str">
        <f t="shared" si="503"/>
        <v>NA</v>
      </c>
      <c r="AH1479" s="29" t="str">
        <f t="shared" si="504"/>
        <v>NA</v>
      </c>
    </row>
    <row r="1480" customHeight="1" spans="1:34">
      <c r="A1480" s="12" t="s">
        <v>1043</v>
      </c>
      <c r="F1480" s="24">
        <f t="shared" si="506"/>
        <v>0</v>
      </c>
      <c r="G1480" s="24" t="e">
        <f t="shared" si="505"/>
        <v>#DIV/0!</v>
      </c>
      <c r="Q1480" s="29" t="str">
        <f t="shared" si="487"/>
        <v>NA</v>
      </c>
      <c r="R1480" s="29" t="str">
        <f t="shared" si="488"/>
        <v>NA</v>
      </c>
      <c r="S1480" s="29" t="str">
        <f t="shared" si="489"/>
        <v>NA</v>
      </c>
      <c r="T1480" s="29" t="str">
        <f t="shared" si="490"/>
        <v>NA</v>
      </c>
      <c r="U1480" s="29" t="str">
        <f t="shared" si="491"/>
        <v>NA</v>
      </c>
      <c r="V1480" s="29" t="str">
        <f t="shared" si="492"/>
        <v>NA</v>
      </c>
      <c r="W1480" s="29" t="str">
        <f t="shared" si="493"/>
        <v>NA</v>
      </c>
      <c r="X1480" s="29" t="str">
        <f t="shared" si="494"/>
        <v>NA</v>
      </c>
      <c r="Y1480" s="29" t="str">
        <f t="shared" si="495"/>
        <v>NA</v>
      </c>
      <c r="Z1480" s="29" t="str">
        <f t="shared" si="496"/>
        <v>NA</v>
      </c>
      <c r="AA1480" s="29" t="str">
        <f t="shared" si="497"/>
        <v>NA</v>
      </c>
      <c r="AB1480" s="29" t="str">
        <f t="shared" si="498"/>
        <v>NA</v>
      </c>
      <c r="AC1480" s="29" t="str">
        <f t="shared" si="499"/>
        <v>NA</v>
      </c>
      <c r="AD1480" s="29" t="str">
        <f t="shared" si="500"/>
        <v>NA</v>
      </c>
      <c r="AE1480" s="29" t="str">
        <f t="shared" si="501"/>
        <v>NA</v>
      </c>
      <c r="AF1480" s="29" t="str">
        <f t="shared" si="502"/>
        <v>NA</v>
      </c>
      <c r="AG1480" s="29" t="str">
        <f t="shared" si="503"/>
        <v>NA</v>
      </c>
      <c r="AH1480" s="29" t="str">
        <f t="shared" si="504"/>
        <v>NA</v>
      </c>
    </row>
    <row r="1481" customHeight="1" spans="1:34">
      <c r="A1481" s="12" t="s">
        <v>1043</v>
      </c>
      <c r="F1481" s="24">
        <f t="shared" si="506"/>
        <v>0</v>
      </c>
      <c r="G1481" s="24" t="e">
        <f t="shared" si="505"/>
        <v>#DIV/0!</v>
      </c>
      <c r="Q1481" s="29" t="str">
        <f t="shared" si="487"/>
        <v>NA</v>
      </c>
      <c r="R1481" s="29" t="str">
        <f t="shared" si="488"/>
        <v>NA</v>
      </c>
      <c r="S1481" s="29" t="str">
        <f t="shared" si="489"/>
        <v>NA</v>
      </c>
      <c r="T1481" s="29" t="str">
        <f t="shared" si="490"/>
        <v>NA</v>
      </c>
      <c r="U1481" s="29" t="str">
        <f t="shared" si="491"/>
        <v>NA</v>
      </c>
      <c r="V1481" s="29" t="str">
        <f t="shared" si="492"/>
        <v>NA</v>
      </c>
      <c r="W1481" s="29" t="str">
        <f t="shared" si="493"/>
        <v>NA</v>
      </c>
      <c r="X1481" s="29" t="str">
        <f t="shared" si="494"/>
        <v>NA</v>
      </c>
      <c r="Y1481" s="29" t="str">
        <f t="shared" si="495"/>
        <v>NA</v>
      </c>
      <c r="Z1481" s="29" t="str">
        <f t="shared" si="496"/>
        <v>NA</v>
      </c>
      <c r="AA1481" s="29" t="str">
        <f t="shared" si="497"/>
        <v>NA</v>
      </c>
      <c r="AB1481" s="29" t="str">
        <f t="shared" si="498"/>
        <v>NA</v>
      </c>
      <c r="AC1481" s="29" t="str">
        <f t="shared" si="499"/>
        <v>NA</v>
      </c>
      <c r="AD1481" s="29" t="str">
        <f t="shared" si="500"/>
        <v>NA</v>
      </c>
      <c r="AE1481" s="29" t="str">
        <f t="shared" si="501"/>
        <v>NA</v>
      </c>
      <c r="AF1481" s="29" t="str">
        <f t="shared" si="502"/>
        <v>NA</v>
      </c>
      <c r="AG1481" s="29" t="str">
        <f t="shared" si="503"/>
        <v>NA</v>
      </c>
      <c r="AH1481" s="29" t="str">
        <f t="shared" si="504"/>
        <v>NA</v>
      </c>
    </row>
    <row r="1482" customHeight="1" spans="1:34">
      <c r="A1482" s="12" t="s">
        <v>1043</v>
      </c>
      <c r="F1482" s="24">
        <f t="shared" si="506"/>
        <v>0</v>
      </c>
      <c r="G1482" s="24" t="e">
        <f t="shared" si="505"/>
        <v>#DIV/0!</v>
      </c>
      <c r="Q1482" s="29" t="str">
        <f t="shared" si="487"/>
        <v>NA</v>
      </c>
      <c r="R1482" s="29" t="str">
        <f t="shared" si="488"/>
        <v>NA</v>
      </c>
      <c r="S1482" s="29" t="str">
        <f t="shared" si="489"/>
        <v>NA</v>
      </c>
      <c r="T1482" s="29" t="str">
        <f t="shared" si="490"/>
        <v>NA</v>
      </c>
      <c r="U1482" s="29" t="str">
        <f t="shared" si="491"/>
        <v>NA</v>
      </c>
      <c r="V1482" s="29" t="str">
        <f t="shared" si="492"/>
        <v>NA</v>
      </c>
      <c r="W1482" s="29" t="str">
        <f t="shared" si="493"/>
        <v>NA</v>
      </c>
      <c r="X1482" s="29" t="str">
        <f t="shared" si="494"/>
        <v>NA</v>
      </c>
      <c r="Y1482" s="29" t="str">
        <f t="shared" si="495"/>
        <v>NA</v>
      </c>
      <c r="Z1482" s="29" t="str">
        <f t="shared" si="496"/>
        <v>NA</v>
      </c>
      <c r="AA1482" s="29" t="str">
        <f t="shared" si="497"/>
        <v>NA</v>
      </c>
      <c r="AB1482" s="29" t="str">
        <f t="shared" si="498"/>
        <v>NA</v>
      </c>
      <c r="AC1482" s="29" t="str">
        <f t="shared" si="499"/>
        <v>NA</v>
      </c>
      <c r="AD1482" s="29" t="str">
        <f t="shared" si="500"/>
        <v>NA</v>
      </c>
      <c r="AE1482" s="29" t="str">
        <f t="shared" si="501"/>
        <v>NA</v>
      </c>
      <c r="AF1482" s="29" t="str">
        <f t="shared" si="502"/>
        <v>NA</v>
      </c>
      <c r="AG1482" s="29" t="str">
        <f t="shared" si="503"/>
        <v>NA</v>
      </c>
      <c r="AH1482" s="29" t="str">
        <f t="shared" si="504"/>
        <v>NA</v>
      </c>
    </row>
    <row r="1483" customHeight="1" spans="1:34">
      <c r="A1483" s="12" t="s">
        <v>1043</v>
      </c>
      <c r="F1483" s="24">
        <f t="shared" si="506"/>
        <v>0</v>
      </c>
      <c r="G1483" s="24" t="e">
        <f t="shared" si="505"/>
        <v>#DIV/0!</v>
      </c>
      <c r="Q1483" s="29" t="str">
        <f t="shared" si="487"/>
        <v>NA</v>
      </c>
      <c r="R1483" s="29" t="str">
        <f t="shared" si="488"/>
        <v>NA</v>
      </c>
      <c r="S1483" s="29" t="str">
        <f t="shared" si="489"/>
        <v>NA</v>
      </c>
      <c r="T1483" s="29" t="str">
        <f t="shared" si="490"/>
        <v>NA</v>
      </c>
      <c r="U1483" s="29" t="str">
        <f t="shared" si="491"/>
        <v>NA</v>
      </c>
      <c r="V1483" s="29" t="str">
        <f t="shared" si="492"/>
        <v>NA</v>
      </c>
      <c r="W1483" s="29" t="str">
        <f t="shared" si="493"/>
        <v>NA</v>
      </c>
      <c r="X1483" s="29" t="str">
        <f t="shared" si="494"/>
        <v>NA</v>
      </c>
      <c r="Y1483" s="29" t="str">
        <f t="shared" si="495"/>
        <v>NA</v>
      </c>
      <c r="Z1483" s="29" t="str">
        <f t="shared" si="496"/>
        <v>NA</v>
      </c>
      <c r="AA1483" s="29" t="str">
        <f t="shared" si="497"/>
        <v>NA</v>
      </c>
      <c r="AB1483" s="29" t="str">
        <f t="shared" si="498"/>
        <v>NA</v>
      </c>
      <c r="AC1483" s="29" t="str">
        <f t="shared" si="499"/>
        <v>NA</v>
      </c>
      <c r="AD1483" s="29" t="str">
        <f t="shared" si="500"/>
        <v>NA</v>
      </c>
      <c r="AE1483" s="29" t="str">
        <f t="shared" si="501"/>
        <v>NA</v>
      </c>
      <c r="AF1483" s="29" t="str">
        <f t="shared" si="502"/>
        <v>NA</v>
      </c>
      <c r="AG1483" s="29" t="str">
        <f t="shared" si="503"/>
        <v>NA</v>
      </c>
      <c r="AH1483" s="29" t="str">
        <f t="shared" si="504"/>
        <v>NA</v>
      </c>
    </row>
    <row r="1484" customHeight="1" spans="1:34">
      <c r="A1484" s="12" t="s">
        <v>1043</v>
      </c>
      <c r="F1484" s="24">
        <f t="shared" si="506"/>
        <v>0</v>
      </c>
      <c r="G1484" s="24" t="e">
        <f t="shared" si="505"/>
        <v>#DIV/0!</v>
      </c>
      <c r="Q1484" s="29" t="str">
        <f t="shared" si="487"/>
        <v>NA</v>
      </c>
      <c r="R1484" s="29" t="str">
        <f t="shared" si="488"/>
        <v>NA</v>
      </c>
      <c r="S1484" s="29" t="str">
        <f t="shared" si="489"/>
        <v>NA</v>
      </c>
      <c r="T1484" s="29" t="str">
        <f t="shared" si="490"/>
        <v>NA</v>
      </c>
      <c r="U1484" s="29" t="str">
        <f t="shared" si="491"/>
        <v>NA</v>
      </c>
      <c r="V1484" s="29" t="str">
        <f t="shared" si="492"/>
        <v>NA</v>
      </c>
      <c r="W1484" s="29" t="str">
        <f t="shared" si="493"/>
        <v>NA</v>
      </c>
      <c r="X1484" s="29" t="str">
        <f t="shared" si="494"/>
        <v>NA</v>
      </c>
      <c r="Y1484" s="29" t="str">
        <f t="shared" si="495"/>
        <v>NA</v>
      </c>
      <c r="Z1484" s="29" t="str">
        <f t="shared" si="496"/>
        <v>NA</v>
      </c>
      <c r="AA1484" s="29" t="str">
        <f t="shared" si="497"/>
        <v>NA</v>
      </c>
      <c r="AB1484" s="29" t="str">
        <f t="shared" si="498"/>
        <v>NA</v>
      </c>
      <c r="AC1484" s="29" t="str">
        <f t="shared" si="499"/>
        <v>NA</v>
      </c>
      <c r="AD1484" s="29" t="str">
        <f t="shared" si="500"/>
        <v>NA</v>
      </c>
      <c r="AE1484" s="29" t="str">
        <f t="shared" si="501"/>
        <v>NA</v>
      </c>
      <c r="AF1484" s="29" t="str">
        <f t="shared" si="502"/>
        <v>NA</v>
      </c>
      <c r="AG1484" s="29" t="str">
        <f t="shared" si="503"/>
        <v>NA</v>
      </c>
      <c r="AH1484" s="29" t="str">
        <f t="shared" si="504"/>
        <v>NA</v>
      </c>
    </row>
    <row r="1485" customHeight="1" spans="1:34">
      <c r="A1485" s="12" t="s">
        <v>1043</v>
      </c>
      <c r="F1485" s="24">
        <f t="shared" si="506"/>
        <v>0</v>
      </c>
      <c r="G1485" s="24" t="e">
        <f t="shared" si="505"/>
        <v>#DIV/0!</v>
      </c>
      <c r="Q1485" s="29" t="str">
        <f t="shared" si="487"/>
        <v>NA</v>
      </c>
      <c r="R1485" s="29" t="str">
        <f t="shared" si="488"/>
        <v>NA</v>
      </c>
      <c r="S1485" s="29" t="str">
        <f t="shared" si="489"/>
        <v>NA</v>
      </c>
      <c r="T1485" s="29" t="str">
        <f t="shared" si="490"/>
        <v>NA</v>
      </c>
      <c r="U1485" s="29" t="str">
        <f t="shared" si="491"/>
        <v>NA</v>
      </c>
      <c r="V1485" s="29" t="str">
        <f t="shared" si="492"/>
        <v>NA</v>
      </c>
      <c r="W1485" s="29" t="str">
        <f t="shared" si="493"/>
        <v>NA</v>
      </c>
      <c r="X1485" s="29" t="str">
        <f t="shared" si="494"/>
        <v>NA</v>
      </c>
      <c r="Y1485" s="29" t="str">
        <f t="shared" si="495"/>
        <v>NA</v>
      </c>
      <c r="Z1485" s="29" t="str">
        <f t="shared" si="496"/>
        <v>NA</v>
      </c>
      <c r="AA1485" s="29" t="str">
        <f t="shared" si="497"/>
        <v>NA</v>
      </c>
      <c r="AB1485" s="29" t="str">
        <f t="shared" si="498"/>
        <v>NA</v>
      </c>
      <c r="AC1485" s="29" t="str">
        <f t="shared" si="499"/>
        <v>NA</v>
      </c>
      <c r="AD1485" s="29" t="str">
        <f t="shared" si="500"/>
        <v>NA</v>
      </c>
      <c r="AE1485" s="29" t="str">
        <f t="shared" si="501"/>
        <v>NA</v>
      </c>
      <c r="AF1485" s="29" t="str">
        <f t="shared" si="502"/>
        <v>NA</v>
      </c>
      <c r="AG1485" s="29" t="str">
        <f t="shared" si="503"/>
        <v>NA</v>
      </c>
      <c r="AH1485" s="29" t="str">
        <f t="shared" si="504"/>
        <v>NA</v>
      </c>
    </row>
    <row r="1486" customHeight="1" spans="1:34">
      <c r="A1486" s="12" t="s">
        <v>1043</v>
      </c>
      <c r="F1486" s="24">
        <f t="shared" si="506"/>
        <v>0</v>
      </c>
      <c r="G1486" s="24" t="e">
        <f t="shared" si="505"/>
        <v>#DIV/0!</v>
      </c>
      <c r="Q1486" s="29" t="str">
        <f t="shared" si="487"/>
        <v>NA</v>
      </c>
      <c r="R1486" s="29" t="str">
        <f t="shared" si="488"/>
        <v>NA</v>
      </c>
      <c r="S1486" s="29" t="str">
        <f t="shared" si="489"/>
        <v>NA</v>
      </c>
      <c r="T1486" s="29" t="str">
        <f t="shared" si="490"/>
        <v>NA</v>
      </c>
      <c r="U1486" s="29" t="str">
        <f t="shared" si="491"/>
        <v>NA</v>
      </c>
      <c r="V1486" s="29" t="str">
        <f t="shared" si="492"/>
        <v>NA</v>
      </c>
      <c r="W1486" s="29" t="str">
        <f t="shared" si="493"/>
        <v>NA</v>
      </c>
      <c r="X1486" s="29" t="str">
        <f t="shared" si="494"/>
        <v>NA</v>
      </c>
      <c r="Y1486" s="29" t="str">
        <f t="shared" si="495"/>
        <v>NA</v>
      </c>
      <c r="Z1486" s="29" t="str">
        <f t="shared" si="496"/>
        <v>NA</v>
      </c>
      <c r="AA1486" s="29" t="str">
        <f t="shared" si="497"/>
        <v>NA</v>
      </c>
      <c r="AB1486" s="29" t="str">
        <f t="shared" si="498"/>
        <v>NA</v>
      </c>
      <c r="AC1486" s="29" t="str">
        <f t="shared" si="499"/>
        <v>NA</v>
      </c>
      <c r="AD1486" s="29" t="str">
        <f t="shared" si="500"/>
        <v>NA</v>
      </c>
      <c r="AE1486" s="29" t="str">
        <f t="shared" si="501"/>
        <v>NA</v>
      </c>
      <c r="AF1486" s="29" t="str">
        <f t="shared" si="502"/>
        <v>NA</v>
      </c>
      <c r="AG1486" s="29" t="str">
        <f t="shared" si="503"/>
        <v>NA</v>
      </c>
      <c r="AH1486" s="29" t="str">
        <f t="shared" si="504"/>
        <v>NA</v>
      </c>
    </row>
    <row r="1487" customHeight="1" spans="1:34">
      <c r="A1487" s="12" t="s">
        <v>1043</v>
      </c>
      <c r="F1487" s="24">
        <f t="shared" si="506"/>
        <v>0</v>
      </c>
      <c r="G1487" s="24" t="e">
        <f t="shared" si="505"/>
        <v>#DIV/0!</v>
      </c>
      <c r="Q1487" s="29" t="str">
        <f t="shared" si="487"/>
        <v>NA</v>
      </c>
      <c r="R1487" s="29" t="str">
        <f t="shared" si="488"/>
        <v>NA</v>
      </c>
      <c r="S1487" s="29" t="str">
        <f t="shared" si="489"/>
        <v>NA</v>
      </c>
      <c r="T1487" s="29" t="str">
        <f t="shared" si="490"/>
        <v>NA</v>
      </c>
      <c r="U1487" s="29" t="str">
        <f t="shared" si="491"/>
        <v>NA</v>
      </c>
      <c r="V1487" s="29" t="str">
        <f t="shared" si="492"/>
        <v>NA</v>
      </c>
      <c r="W1487" s="29" t="str">
        <f t="shared" si="493"/>
        <v>NA</v>
      </c>
      <c r="X1487" s="29" t="str">
        <f t="shared" si="494"/>
        <v>NA</v>
      </c>
      <c r="Y1487" s="29" t="str">
        <f t="shared" si="495"/>
        <v>NA</v>
      </c>
      <c r="Z1487" s="29" t="str">
        <f t="shared" si="496"/>
        <v>NA</v>
      </c>
      <c r="AA1487" s="29" t="str">
        <f t="shared" si="497"/>
        <v>NA</v>
      </c>
      <c r="AB1487" s="29" t="str">
        <f t="shared" si="498"/>
        <v>NA</v>
      </c>
      <c r="AC1487" s="29" t="str">
        <f t="shared" si="499"/>
        <v>NA</v>
      </c>
      <c r="AD1487" s="29" t="str">
        <f t="shared" si="500"/>
        <v>NA</v>
      </c>
      <c r="AE1487" s="29" t="str">
        <f t="shared" si="501"/>
        <v>NA</v>
      </c>
      <c r="AF1487" s="29" t="str">
        <f t="shared" si="502"/>
        <v>NA</v>
      </c>
      <c r="AG1487" s="29" t="str">
        <f t="shared" si="503"/>
        <v>NA</v>
      </c>
      <c r="AH1487" s="29" t="str">
        <f t="shared" si="504"/>
        <v>NA</v>
      </c>
    </row>
    <row r="1488" customHeight="1" spans="1:34">
      <c r="A1488" s="12" t="s">
        <v>1043</v>
      </c>
      <c r="F1488" s="24">
        <f t="shared" si="506"/>
        <v>0</v>
      </c>
      <c r="G1488" s="24" t="e">
        <f t="shared" si="505"/>
        <v>#DIV/0!</v>
      </c>
      <c r="Q1488" s="29" t="str">
        <f t="shared" ref="Q1488:Q1551" si="507">IFERROR($B1488*$E1488/H1488,"NA")</f>
        <v>NA</v>
      </c>
      <c r="R1488" s="29" t="str">
        <f t="shared" ref="R1488:R1551" si="508">IFERROR($B1488*$E1488/I1488,"NA")</f>
        <v>NA</v>
      </c>
      <c r="S1488" s="29" t="str">
        <f t="shared" ref="S1488:S1551" si="509">IFERROR($B1488*$E1488/J1488,"NA")</f>
        <v>NA</v>
      </c>
      <c r="T1488" s="29" t="str">
        <f t="shared" ref="T1488:T1551" si="510">IFERROR($B1488*$E1488/K1488,"NA")</f>
        <v>NA</v>
      </c>
      <c r="U1488" s="29" t="str">
        <f t="shared" ref="U1488:U1551" si="511">IFERROR($B1488*$E1488/L1488,"NA")</f>
        <v>NA</v>
      </c>
      <c r="V1488" s="29" t="str">
        <f t="shared" ref="V1488:V1551" si="512">IFERROR($B1488*$E1488/M1488,"NA")</f>
        <v>NA</v>
      </c>
      <c r="W1488" s="29" t="str">
        <f t="shared" ref="W1488:W1551" si="513">IFERROR($B1488*$E1488/N1488,"NA")</f>
        <v>NA</v>
      </c>
      <c r="X1488" s="29" t="str">
        <f t="shared" ref="X1488:X1551" si="514">IFERROR($B1488*$E1488/O1488,"NA")</f>
        <v>NA</v>
      </c>
      <c r="Y1488" s="29" t="str">
        <f t="shared" ref="Y1488:Y1551" si="515">IFERROR($B1488*$E1488/P1488,"NA")</f>
        <v>NA</v>
      </c>
      <c r="Z1488" s="29" t="str">
        <f t="shared" ref="Z1488:Z1551" si="516">IFERROR((($G1488*Z$2/1000)+Q1488)/1,"NA")</f>
        <v>NA</v>
      </c>
      <c r="AA1488" s="29" t="str">
        <f t="shared" ref="AA1488:AA1551" si="517">IFERROR((($G1488*AA$2/1000)+R1488)/1,"NA")</f>
        <v>NA</v>
      </c>
      <c r="AB1488" s="29" t="str">
        <f t="shared" ref="AB1488:AB1551" si="518">IFERROR((($G1488*AB$2/1000)+S1488)/1,"NA")</f>
        <v>NA</v>
      </c>
      <c r="AC1488" s="29" t="str">
        <f t="shared" ref="AC1488:AC1551" si="519">IFERROR((($G1488*AC$2/1000)+T1488)/1,"NA")</f>
        <v>NA</v>
      </c>
      <c r="AD1488" s="29" t="str">
        <f t="shared" ref="AD1488:AD1551" si="520">IFERROR((($G1488*AD$2/1000)+U1488)/1,"NA")</f>
        <v>NA</v>
      </c>
      <c r="AE1488" s="29" t="str">
        <f t="shared" ref="AE1488:AE1551" si="521">IFERROR((($G1488*AE$2/1000)+V1488)/1,"NA")</f>
        <v>NA</v>
      </c>
      <c r="AF1488" s="29" t="str">
        <f t="shared" ref="AF1488:AF1551" si="522">IFERROR((($G1488*AF$2/1000)+W1488)/1,"NA")</f>
        <v>NA</v>
      </c>
      <c r="AG1488" s="29" t="str">
        <f t="shared" ref="AG1488:AG1551" si="523">IFERROR((($G1488*AG$2/1000)+X1488)/1,"NA")</f>
        <v>NA</v>
      </c>
      <c r="AH1488" s="29" t="str">
        <f t="shared" ref="AH1488:AH1551" si="524">IFERROR((($G1488*AH$2/1000)+Y1488)/1,"NA")</f>
        <v>NA</v>
      </c>
    </row>
    <row r="1489" customHeight="1" spans="1:34">
      <c r="A1489" s="12" t="s">
        <v>1043</v>
      </c>
      <c r="F1489" s="24">
        <f t="shared" si="506"/>
        <v>0</v>
      </c>
      <c r="G1489" s="24" t="e">
        <f t="shared" si="505"/>
        <v>#DIV/0!</v>
      </c>
      <c r="Q1489" s="29" t="str">
        <f t="shared" si="507"/>
        <v>NA</v>
      </c>
      <c r="R1489" s="29" t="str">
        <f t="shared" si="508"/>
        <v>NA</v>
      </c>
      <c r="S1489" s="29" t="str">
        <f t="shared" si="509"/>
        <v>NA</v>
      </c>
      <c r="T1489" s="29" t="str">
        <f t="shared" si="510"/>
        <v>NA</v>
      </c>
      <c r="U1489" s="29" t="str">
        <f t="shared" si="511"/>
        <v>NA</v>
      </c>
      <c r="V1489" s="29" t="str">
        <f t="shared" si="512"/>
        <v>NA</v>
      </c>
      <c r="W1489" s="29" t="str">
        <f t="shared" si="513"/>
        <v>NA</v>
      </c>
      <c r="X1489" s="29" t="str">
        <f t="shared" si="514"/>
        <v>NA</v>
      </c>
      <c r="Y1489" s="29" t="str">
        <f t="shared" si="515"/>
        <v>NA</v>
      </c>
      <c r="Z1489" s="29" t="str">
        <f t="shared" si="516"/>
        <v>NA</v>
      </c>
      <c r="AA1489" s="29" t="str">
        <f t="shared" si="517"/>
        <v>NA</v>
      </c>
      <c r="AB1489" s="29" t="str">
        <f t="shared" si="518"/>
        <v>NA</v>
      </c>
      <c r="AC1489" s="29" t="str">
        <f t="shared" si="519"/>
        <v>NA</v>
      </c>
      <c r="AD1489" s="29" t="str">
        <f t="shared" si="520"/>
        <v>NA</v>
      </c>
      <c r="AE1489" s="29" t="str">
        <f t="shared" si="521"/>
        <v>NA</v>
      </c>
      <c r="AF1489" s="29" t="str">
        <f t="shared" si="522"/>
        <v>NA</v>
      </c>
      <c r="AG1489" s="29" t="str">
        <f t="shared" si="523"/>
        <v>NA</v>
      </c>
      <c r="AH1489" s="29" t="str">
        <f t="shared" si="524"/>
        <v>NA</v>
      </c>
    </row>
    <row r="1490" customHeight="1" spans="1:34">
      <c r="A1490" s="12" t="s">
        <v>1043</v>
      </c>
      <c r="F1490" s="24">
        <f t="shared" si="506"/>
        <v>0</v>
      </c>
      <c r="G1490" s="24" t="e">
        <f t="shared" si="505"/>
        <v>#DIV/0!</v>
      </c>
      <c r="Q1490" s="29" t="str">
        <f t="shared" si="507"/>
        <v>NA</v>
      </c>
      <c r="R1490" s="29" t="str">
        <f t="shared" si="508"/>
        <v>NA</v>
      </c>
      <c r="S1490" s="29" t="str">
        <f t="shared" si="509"/>
        <v>NA</v>
      </c>
      <c r="T1490" s="29" t="str">
        <f t="shared" si="510"/>
        <v>NA</v>
      </c>
      <c r="U1490" s="29" t="str">
        <f t="shared" si="511"/>
        <v>NA</v>
      </c>
      <c r="V1490" s="29" t="str">
        <f t="shared" si="512"/>
        <v>NA</v>
      </c>
      <c r="W1490" s="29" t="str">
        <f t="shared" si="513"/>
        <v>NA</v>
      </c>
      <c r="X1490" s="29" t="str">
        <f t="shared" si="514"/>
        <v>NA</v>
      </c>
      <c r="Y1490" s="29" t="str">
        <f t="shared" si="515"/>
        <v>NA</v>
      </c>
      <c r="Z1490" s="29" t="str">
        <f t="shared" si="516"/>
        <v>NA</v>
      </c>
      <c r="AA1490" s="29" t="str">
        <f t="shared" si="517"/>
        <v>NA</v>
      </c>
      <c r="AB1490" s="29" t="str">
        <f t="shared" si="518"/>
        <v>NA</v>
      </c>
      <c r="AC1490" s="29" t="str">
        <f t="shared" si="519"/>
        <v>NA</v>
      </c>
      <c r="AD1490" s="29" t="str">
        <f t="shared" si="520"/>
        <v>NA</v>
      </c>
      <c r="AE1490" s="29" t="str">
        <f t="shared" si="521"/>
        <v>NA</v>
      </c>
      <c r="AF1490" s="29" t="str">
        <f t="shared" si="522"/>
        <v>NA</v>
      </c>
      <c r="AG1490" s="29" t="str">
        <f t="shared" si="523"/>
        <v>NA</v>
      </c>
      <c r="AH1490" s="29" t="str">
        <f t="shared" si="524"/>
        <v>NA</v>
      </c>
    </row>
    <row r="1491" customHeight="1" spans="1:34">
      <c r="A1491" s="12" t="s">
        <v>1043</v>
      </c>
      <c r="F1491" s="24">
        <f t="shared" si="506"/>
        <v>0</v>
      </c>
      <c r="G1491" s="24" t="e">
        <f t="shared" si="505"/>
        <v>#DIV/0!</v>
      </c>
      <c r="Q1491" s="29" t="str">
        <f t="shared" si="507"/>
        <v>NA</v>
      </c>
      <c r="R1491" s="29" t="str">
        <f t="shared" si="508"/>
        <v>NA</v>
      </c>
      <c r="S1491" s="29" t="str">
        <f t="shared" si="509"/>
        <v>NA</v>
      </c>
      <c r="T1491" s="29" t="str">
        <f t="shared" si="510"/>
        <v>NA</v>
      </c>
      <c r="U1491" s="29" t="str">
        <f t="shared" si="511"/>
        <v>NA</v>
      </c>
      <c r="V1491" s="29" t="str">
        <f t="shared" si="512"/>
        <v>NA</v>
      </c>
      <c r="W1491" s="29" t="str">
        <f t="shared" si="513"/>
        <v>NA</v>
      </c>
      <c r="X1491" s="29" t="str">
        <f t="shared" si="514"/>
        <v>NA</v>
      </c>
      <c r="Y1491" s="29" t="str">
        <f t="shared" si="515"/>
        <v>NA</v>
      </c>
      <c r="Z1491" s="29" t="str">
        <f t="shared" si="516"/>
        <v>NA</v>
      </c>
      <c r="AA1491" s="29" t="str">
        <f t="shared" si="517"/>
        <v>NA</v>
      </c>
      <c r="AB1491" s="29" t="str">
        <f t="shared" si="518"/>
        <v>NA</v>
      </c>
      <c r="AC1491" s="29" t="str">
        <f t="shared" si="519"/>
        <v>NA</v>
      </c>
      <c r="AD1491" s="29" t="str">
        <f t="shared" si="520"/>
        <v>NA</v>
      </c>
      <c r="AE1491" s="29" t="str">
        <f t="shared" si="521"/>
        <v>NA</v>
      </c>
      <c r="AF1491" s="29" t="str">
        <f t="shared" si="522"/>
        <v>NA</v>
      </c>
      <c r="AG1491" s="29" t="str">
        <f t="shared" si="523"/>
        <v>NA</v>
      </c>
      <c r="AH1491" s="29" t="str">
        <f t="shared" si="524"/>
        <v>NA</v>
      </c>
    </row>
    <row r="1492" customHeight="1" spans="1:34">
      <c r="A1492" s="12" t="s">
        <v>1043</v>
      </c>
      <c r="F1492" s="24">
        <f t="shared" si="506"/>
        <v>0</v>
      </c>
      <c r="G1492" s="24" t="e">
        <f t="shared" si="505"/>
        <v>#DIV/0!</v>
      </c>
      <c r="Q1492" s="29" t="str">
        <f t="shared" si="507"/>
        <v>NA</v>
      </c>
      <c r="R1492" s="29" t="str">
        <f t="shared" si="508"/>
        <v>NA</v>
      </c>
      <c r="S1492" s="29" t="str">
        <f t="shared" si="509"/>
        <v>NA</v>
      </c>
      <c r="T1492" s="29" t="str">
        <f t="shared" si="510"/>
        <v>NA</v>
      </c>
      <c r="U1492" s="29" t="str">
        <f t="shared" si="511"/>
        <v>NA</v>
      </c>
      <c r="V1492" s="29" t="str">
        <f t="shared" si="512"/>
        <v>NA</v>
      </c>
      <c r="W1492" s="29" t="str">
        <f t="shared" si="513"/>
        <v>NA</v>
      </c>
      <c r="X1492" s="29" t="str">
        <f t="shared" si="514"/>
        <v>NA</v>
      </c>
      <c r="Y1492" s="29" t="str">
        <f t="shared" si="515"/>
        <v>NA</v>
      </c>
      <c r="Z1492" s="29" t="str">
        <f t="shared" si="516"/>
        <v>NA</v>
      </c>
      <c r="AA1492" s="29" t="str">
        <f t="shared" si="517"/>
        <v>NA</v>
      </c>
      <c r="AB1492" s="29" t="str">
        <f t="shared" si="518"/>
        <v>NA</v>
      </c>
      <c r="AC1492" s="29" t="str">
        <f t="shared" si="519"/>
        <v>NA</v>
      </c>
      <c r="AD1492" s="29" t="str">
        <f t="shared" si="520"/>
        <v>NA</v>
      </c>
      <c r="AE1492" s="29" t="str">
        <f t="shared" si="521"/>
        <v>NA</v>
      </c>
      <c r="AF1492" s="29" t="str">
        <f t="shared" si="522"/>
        <v>NA</v>
      </c>
      <c r="AG1492" s="29" t="str">
        <f t="shared" si="523"/>
        <v>NA</v>
      </c>
      <c r="AH1492" s="29" t="str">
        <f t="shared" si="524"/>
        <v>NA</v>
      </c>
    </row>
    <row r="1493" customHeight="1" spans="1:34">
      <c r="A1493" s="12" t="s">
        <v>1043</v>
      </c>
      <c r="F1493" s="24">
        <f t="shared" si="506"/>
        <v>0</v>
      </c>
      <c r="G1493" s="24" t="e">
        <f t="shared" si="505"/>
        <v>#DIV/0!</v>
      </c>
      <c r="Q1493" s="29" t="str">
        <f t="shared" si="507"/>
        <v>NA</v>
      </c>
      <c r="R1493" s="29" t="str">
        <f t="shared" si="508"/>
        <v>NA</v>
      </c>
      <c r="S1493" s="29" t="str">
        <f t="shared" si="509"/>
        <v>NA</v>
      </c>
      <c r="T1493" s="29" t="str">
        <f t="shared" si="510"/>
        <v>NA</v>
      </c>
      <c r="U1493" s="29" t="str">
        <f t="shared" si="511"/>
        <v>NA</v>
      </c>
      <c r="V1493" s="29" t="str">
        <f t="shared" si="512"/>
        <v>NA</v>
      </c>
      <c r="W1493" s="29" t="str">
        <f t="shared" si="513"/>
        <v>NA</v>
      </c>
      <c r="X1493" s="29" t="str">
        <f t="shared" si="514"/>
        <v>NA</v>
      </c>
      <c r="Y1493" s="29" t="str">
        <f t="shared" si="515"/>
        <v>NA</v>
      </c>
      <c r="Z1493" s="29" t="str">
        <f t="shared" si="516"/>
        <v>NA</v>
      </c>
      <c r="AA1493" s="29" t="str">
        <f t="shared" si="517"/>
        <v>NA</v>
      </c>
      <c r="AB1493" s="29" t="str">
        <f t="shared" si="518"/>
        <v>NA</v>
      </c>
      <c r="AC1493" s="29" t="str">
        <f t="shared" si="519"/>
        <v>NA</v>
      </c>
      <c r="AD1493" s="29" t="str">
        <f t="shared" si="520"/>
        <v>NA</v>
      </c>
      <c r="AE1493" s="29" t="str">
        <f t="shared" si="521"/>
        <v>NA</v>
      </c>
      <c r="AF1493" s="29" t="str">
        <f t="shared" si="522"/>
        <v>NA</v>
      </c>
      <c r="AG1493" s="29" t="str">
        <f t="shared" si="523"/>
        <v>NA</v>
      </c>
      <c r="AH1493" s="29" t="str">
        <f t="shared" si="524"/>
        <v>NA</v>
      </c>
    </row>
    <row r="1494" customHeight="1" spans="1:34">
      <c r="A1494" s="12" t="s">
        <v>1043</v>
      </c>
      <c r="F1494" s="24">
        <f t="shared" si="506"/>
        <v>0</v>
      </c>
      <c r="G1494" s="24" t="e">
        <f t="shared" si="505"/>
        <v>#DIV/0!</v>
      </c>
      <c r="Q1494" s="29" t="str">
        <f t="shared" si="507"/>
        <v>NA</v>
      </c>
      <c r="R1494" s="29" t="str">
        <f t="shared" si="508"/>
        <v>NA</v>
      </c>
      <c r="S1494" s="29" t="str">
        <f t="shared" si="509"/>
        <v>NA</v>
      </c>
      <c r="T1494" s="29" t="str">
        <f t="shared" si="510"/>
        <v>NA</v>
      </c>
      <c r="U1494" s="29" t="str">
        <f t="shared" si="511"/>
        <v>NA</v>
      </c>
      <c r="V1494" s="29" t="str">
        <f t="shared" si="512"/>
        <v>NA</v>
      </c>
      <c r="W1494" s="29" t="str">
        <f t="shared" si="513"/>
        <v>NA</v>
      </c>
      <c r="X1494" s="29" t="str">
        <f t="shared" si="514"/>
        <v>NA</v>
      </c>
      <c r="Y1494" s="29" t="str">
        <f t="shared" si="515"/>
        <v>NA</v>
      </c>
      <c r="Z1494" s="29" t="str">
        <f t="shared" si="516"/>
        <v>NA</v>
      </c>
      <c r="AA1494" s="29" t="str">
        <f t="shared" si="517"/>
        <v>NA</v>
      </c>
      <c r="AB1494" s="29" t="str">
        <f t="shared" si="518"/>
        <v>NA</v>
      </c>
      <c r="AC1494" s="29" t="str">
        <f t="shared" si="519"/>
        <v>NA</v>
      </c>
      <c r="AD1494" s="29" t="str">
        <f t="shared" si="520"/>
        <v>NA</v>
      </c>
      <c r="AE1494" s="29" t="str">
        <f t="shared" si="521"/>
        <v>NA</v>
      </c>
      <c r="AF1494" s="29" t="str">
        <f t="shared" si="522"/>
        <v>NA</v>
      </c>
      <c r="AG1494" s="29" t="str">
        <f t="shared" si="523"/>
        <v>NA</v>
      </c>
      <c r="AH1494" s="29" t="str">
        <f t="shared" si="524"/>
        <v>NA</v>
      </c>
    </row>
    <row r="1495" customHeight="1" spans="1:34">
      <c r="A1495" s="12" t="s">
        <v>1043</v>
      </c>
      <c r="F1495" s="24">
        <f t="shared" si="506"/>
        <v>0</v>
      </c>
      <c r="G1495" s="24" t="e">
        <f t="shared" si="505"/>
        <v>#DIV/0!</v>
      </c>
      <c r="Q1495" s="29" t="str">
        <f t="shared" si="507"/>
        <v>NA</v>
      </c>
      <c r="R1495" s="29" t="str">
        <f t="shared" si="508"/>
        <v>NA</v>
      </c>
      <c r="S1495" s="29" t="str">
        <f t="shared" si="509"/>
        <v>NA</v>
      </c>
      <c r="T1495" s="29" t="str">
        <f t="shared" si="510"/>
        <v>NA</v>
      </c>
      <c r="U1495" s="29" t="str">
        <f t="shared" si="511"/>
        <v>NA</v>
      </c>
      <c r="V1495" s="29" t="str">
        <f t="shared" si="512"/>
        <v>NA</v>
      </c>
      <c r="W1495" s="29" t="str">
        <f t="shared" si="513"/>
        <v>NA</v>
      </c>
      <c r="X1495" s="29" t="str">
        <f t="shared" si="514"/>
        <v>NA</v>
      </c>
      <c r="Y1495" s="29" t="str">
        <f t="shared" si="515"/>
        <v>NA</v>
      </c>
      <c r="Z1495" s="29" t="str">
        <f t="shared" si="516"/>
        <v>NA</v>
      </c>
      <c r="AA1495" s="29" t="str">
        <f t="shared" si="517"/>
        <v>NA</v>
      </c>
      <c r="AB1495" s="29" t="str">
        <f t="shared" si="518"/>
        <v>NA</v>
      </c>
      <c r="AC1495" s="29" t="str">
        <f t="shared" si="519"/>
        <v>NA</v>
      </c>
      <c r="AD1495" s="29" t="str">
        <f t="shared" si="520"/>
        <v>NA</v>
      </c>
      <c r="AE1495" s="29" t="str">
        <f t="shared" si="521"/>
        <v>NA</v>
      </c>
      <c r="AF1495" s="29" t="str">
        <f t="shared" si="522"/>
        <v>NA</v>
      </c>
      <c r="AG1495" s="29" t="str">
        <f t="shared" si="523"/>
        <v>NA</v>
      </c>
      <c r="AH1495" s="29" t="str">
        <f t="shared" si="524"/>
        <v>NA</v>
      </c>
    </row>
    <row r="1496" customHeight="1" spans="1:34">
      <c r="A1496" s="12" t="s">
        <v>1043</v>
      </c>
      <c r="F1496" s="24">
        <f t="shared" si="506"/>
        <v>0</v>
      </c>
      <c r="G1496" s="24" t="e">
        <f t="shared" si="505"/>
        <v>#DIV/0!</v>
      </c>
      <c r="Q1496" s="29" t="str">
        <f t="shared" si="507"/>
        <v>NA</v>
      </c>
      <c r="R1496" s="29" t="str">
        <f t="shared" si="508"/>
        <v>NA</v>
      </c>
      <c r="S1496" s="29" t="str">
        <f t="shared" si="509"/>
        <v>NA</v>
      </c>
      <c r="T1496" s="29" t="str">
        <f t="shared" si="510"/>
        <v>NA</v>
      </c>
      <c r="U1496" s="29" t="str">
        <f t="shared" si="511"/>
        <v>NA</v>
      </c>
      <c r="V1496" s="29" t="str">
        <f t="shared" si="512"/>
        <v>NA</v>
      </c>
      <c r="W1496" s="29" t="str">
        <f t="shared" si="513"/>
        <v>NA</v>
      </c>
      <c r="X1496" s="29" t="str">
        <f t="shared" si="514"/>
        <v>NA</v>
      </c>
      <c r="Y1496" s="29" t="str">
        <f t="shared" si="515"/>
        <v>NA</v>
      </c>
      <c r="Z1496" s="29" t="str">
        <f t="shared" si="516"/>
        <v>NA</v>
      </c>
      <c r="AA1496" s="29" t="str">
        <f t="shared" si="517"/>
        <v>NA</v>
      </c>
      <c r="AB1496" s="29" t="str">
        <f t="shared" si="518"/>
        <v>NA</v>
      </c>
      <c r="AC1496" s="29" t="str">
        <f t="shared" si="519"/>
        <v>NA</v>
      </c>
      <c r="AD1496" s="29" t="str">
        <f t="shared" si="520"/>
        <v>NA</v>
      </c>
      <c r="AE1496" s="29" t="str">
        <f t="shared" si="521"/>
        <v>NA</v>
      </c>
      <c r="AF1496" s="29" t="str">
        <f t="shared" si="522"/>
        <v>NA</v>
      </c>
      <c r="AG1496" s="29" t="str">
        <f t="shared" si="523"/>
        <v>NA</v>
      </c>
      <c r="AH1496" s="29" t="str">
        <f t="shared" si="524"/>
        <v>NA</v>
      </c>
    </row>
    <row r="1497" customHeight="1" spans="1:34">
      <c r="A1497" s="12" t="s">
        <v>1043</v>
      </c>
      <c r="F1497" s="24">
        <f t="shared" si="506"/>
        <v>0</v>
      </c>
      <c r="G1497" s="24" t="e">
        <f t="shared" si="505"/>
        <v>#DIV/0!</v>
      </c>
      <c r="Q1497" s="29" t="str">
        <f t="shared" si="507"/>
        <v>NA</v>
      </c>
      <c r="R1497" s="29" t="str">
        <f t="shared" si="508"/>
        <v>NA</v>
      </c>
      <c r="S1497" s="29" t="str">
        <f t="shared" si="509"/>
        <v>NA</v>
      </c>
      <c r="T1497" s="29" t="str">
        <f t="shared" si="510"/>
        <v>NA</v>
      </c>
      <c r="U1497" s="29" t="str">
        <f t="shared" si="511"/>
        <v>NA</v>
      </c>
      <c r="V1497" s="29" t="str">
        <f t="shared" si="512"/>
        <v>NA</v>
      </c>
      <c r="W1497" s="29" t="str">
        <f t="shared" si="513"/>
        <v>NA</v>
      </c>
      <c r="X1497" s="29" t="str">
        <f t="shared" si="514"/>
        <v>NA</v>
      </c>
      <c r="Y1497" s="29" t="str">
        <f t="shared" si="515"/>
        <v>NA</v>
      </c>
      <c r="Z1497" s="29" t="str">
        <f t="shared" si="516"/>
        <v>NA</v>
      </c>
      <c r="AA1497" s="29" t="str">
        <f t="shared" si="517"/>
        <v>NA</v>
      </c>
      <c r="AB1497" s="29" t="str">
        <f t="shared" si="518"/>
        <v>NA</v>
      </c>
      <c r="AC1497" s="29" t="str">
        <f t="shared" si="519"/>
        <v>NA</v>
      </c>
      <c r="AD1497" s="29" t="str">
        <f t="shared" si="520"/>
        <v>NA</v>
      </c>
      <c r="AE1497" s="29" t="str">
        <f t="shared" si="521"/>
        <v>NA</v>
      </c>
      <c r="AF1497" s="29" t="str">
        <f t="shared" si="522"/>
        <v>NA</v>
      </c>
      <c r="AG1497" s="29" t="str">
        <f t="shared" si="523"/>
        <v>NA</v>
      </c>
      <c r="AH1497" s="29" t="str">
        <f t="shared" si="524"/>
        <v>NA</v>
      </c>
    </row>
    <row r="1498" customHeight="1" spans="1:34">
      <c r="A1498" s="12" t="s">
        <v>1043</v>
      </c>
      <c r="F1498" s="24">
        <f t="shared" si="506"/>
        <v>0</v>
      </c>
      <c r="G1498" s="24" t="e">
        <f t="shared" si="505"/>
        <v>#DIV/0!</v>
      </c>
      <c r="Q1498" s="29" t="str">
        <f t="shared" si="507"/>
        <v>NA</v>
      </c>
      <c r="R1498" s="29" t="str">
        <f t="shared" si="508"/>
        <v>NA</v>
      </c>
      <c r="S1498" s="29" t="str">
        <f t="shared" si="509"/>
        <v>NA</v>
      </c>
      <c r="T1498" s="29" t="str">
        <f t="shared" si="510"/>
        <v>NA</v>
      </c>
      <c r="U1498" s="29" t="str">
        <f t="shared" si="511"/>
        <v>NA</v>
      </c>
      <c r="V1498" s="29" t="str">
        <f t="shared" si="512"/>
        <v>NA</v>
      </c>
      <c r="W1498" s="29" t="str">
        <f t="shared" si="513"/>
        <v>NA</v>
      </c>
      <c r="X1498" s="29" t="str">
        <f t="shared" si="514"/>
        <v>NA</v>
      </c>
      <c r="Y1498" s="29" t="str">
        <f t="shared" si="515"/>
        <v>NA</v>
      </c>
      <c r="Z1498" s="29" t="str">
        <f t="shared" si="516"/>
        <v>NA</v>
      </c>
      <c r="AA1498" s="29" t="str">
        <f t="shared" si="517"/>
        <v>NA</v>
      </c>
      <c r="AB1498" s="29" t="str">
        <f t="shared" si="518"/>
        <v>NA</v>
      </c>
      <c r="AC1498" s="29" t="str">
        <f t="shared" si="519"/>
        <v>NA</v>
      </c>
      <c r="AD1498" s="29" t="str">
        <f t="shared" si="520"/>
        <v>NA</v>
      </c>
      <c r="AE1498" s="29" t="str">
        <f t="shared" si="521"/>
        <v>NA</v>
      </c>
      <c r="AF1498" s="29" t="str">
        <f t="shared" si="522"/>
        <v>NA</v>
      </c>
      <c r="AG1498" s="29" t="str">
        <f t="shared" si="523"/>
        <v>NA</v>
      </c>
      <c r="AH1498" s="29" t="str">
        <f t="shared" si="524"/>
        <v>NA</v>
      </c>
    </row>
    <row r="1499" customHeight="1" spans="1:34">
      <c r="A1499" s="12" t="s">
        <v>1043</v>
      </c>
      <c r="F1499" s="24">
        <f t="shared" si="506"/>
        <v>0</v>
      </c>
      <c r="G1499" s="24" t="e">
        <f t="shared" si="505"/>
        <v>#DIV/0!</v>
      </c>
      <c r="Q1499" s="29" t="str">
        <f t="shared" si="507"/>
        <v>NA</v>
      </c>
      <c r="R1499" s="29" t="str">
        <f t="shared" si="508"/>
        <v>NA</v>
      </c>
      <c r="S1499" s="29" t="str">
        <f t="shared" si="509"/>
        <v>NA</v>
      </c>
      <c r="T1499" s="29" t="str">
        <f t="shared" si="510"/>
        <v>NA</v>
      </c>
      <c r="U1499" s="29" t="str">
        <f t="shared" si="511"/>
        <v>NA</v>
      </c>
      <c r="V1499" s="29" t="str">
        <f t="shared" si="512"/>
        <v>NA</v>
      </c>
      <c r="W1499" s="29" t="str">
        <f t="shared" si="513"/>
        <v>NA</v>
      </c>
      <c r="X1499" s="29" t="str">
        <f t="shared" si="514"/>
        <v>NA</v>
      </c>
      <c r="Y1499" s="29" t="str">
        <f t="shared" si="515"/>
        <v>NA</v>
      </c>
      <c r="Z1499" s="29" t="str">
        <f t="shared" si="516"/>
        <v>NA</v>
      </c>
      <c r="AA1499" s="29" t="str">
        <f t="shared" si="517"/>
        <v>NA</v>
      </c>
      <c r="AB1499" s="29" t="str">
        <f t="shared" si="518"/>
        <v>NA</v>
      </c>
      <c r="AC1499" s="29" t="str">
        <f t="shared" si="519"/>
        <v>NA</v>
      </c>
      <c r="AD1499" s="29" t="str">
        <f t="shared" si="520"/>
        <v>NA</v>
      </c>
      <c r="AE1499" s="29" t="str">
        <f t="shared" si="521"/>
        <v>NA</v>
      </c>
      <c r="AF1499" s="29" t="str">
        <f t="shared" si="522"/>
        <v>NA</v>
      </c>
      <c r="AG1499" s="29" t="str">
        <f t="shared" si="523"/>
        <v>NA</v>
      </c>
      <c r="AH1499" s="29" t="str">
        <f t="shared" si="524"/>
        <v>NA</v>
      </c>
    </row>
    <row r="1500" customHeight="1" spans="1:34">
      <c r="A1500" s="12" t="s">
        <v>1043</v>
      </c>
      <c r="F1500" s="24">
        <f t="shared" si="506"/>
        <v>0</v>
      </c>
      <c r="G1500" s="24" t="e">
        <f t="shared" si="505"/>
        <v>#DIV/0!</v>
      </c>
      <c r="Q1500" s="29" t="str">
        <f t="shared" si="507"/>
        <v>NA</v>
      </c>
      <c r="R1500" s="29" t="str">
        <f t="shared" si="508"/>
        <v>NA</v>
      </c>
      <c r="S1500" s="29" t="str">
        <f t="shared" si="509"/>
        <v>NA</v>
      </c>
      <c r="T1500" s="29" t="str">
        <f t="shared" si="510"/>
        <v>NA</v>
      </c>
      <c r="U1500" s="29" t="str">
        <f t="shared" si="511"/>
        <v>NA</v>
      </c>
      <c r="V1500" s="29" t="str">
        <f t="shared" si="512"/>
        <v>NA</v>
      </c>
      <c r="W1500" s="29" t="str">
        <f t="shared" si="513"/>
        <v>NA</v>
      </c>
      <c r="X1500" s="29" t="str">
        <f t="shared" si="514"/>
        <v>NA</v>
      </c>
      <c r="Y1500" s="29" t="str">
        <f t="shared" si="515"/>
        <v>NA</v>
      </c>
      <c r="Z1500" s="29" t="str">
        <f t="shared" si="516"/>
        <v>NA</v>
      </c>
      <c r="AA1500" s="29" t="str">
        <f t="shared" si="517"/>
        <v>NA</v>
      </c>
      <c r="AB1500" s="29" t="str">
        <f t="shared" si="518"/>
        <v>NA</v>
      </c>
      <c r="AC1500" s="29" t="str">
        <f t="shared" si="519"/>
        <v>NA</v>
      </c>
      <c r="AD1500" s="29" t="str">
        <f t="shared" si="520"/>
        <v>NA</v>
      </c>
      <c r="AE1500" s="29" t="str">
        <f t="shared" si="521"/>
        <v>NA</v>
      </c>
      <c r="AF1500" s="29" t="str">
        <f t="shared" si="522"/>
        <v>NA</v>
      </c>
      <c r="AG1500" s="29" t="str">
        <f t="shared" si="523"/>
        <v>NA</v>
      </c>
      <c r="AH1500" s="29" t="str">
        <f t="shared" si="524"/>
        <v>NA</v>
      </c>
    </row>
    <row r="1501" customHeight="1" spans="1:34">
      <c r="A1501" s="12" t="s">
        <v>1043</v>
      </c>
      <c r="F1501" s="24">
        <f t="shared" si="506"/>
        <v>0</v>
      </c>
      <c r="G1501" s="24" t="e">
        <f t="shared" si="505"/>
        <v>#DIV/0!</v>
      </c>
      <c r="Q1501" s="29" t="str">
        <f t="shared" si="507"/>
        <v>NA</v>
      </c>
      <c r="R1501" s="29" t="str">
        <f t="shared" si="508"/>
        <v>NA</v>
      </c>
      <c r="S1501" s="29" t="str">
        <f t="shared" si="509"/>
        <v>NA</v>
      </c>
      <c r="T1501" s="29" t="str">
        <f t="shared" si="510"/>
        <v>NA</v>
      </c>
      <c r="U1501" s="29" t="str">
        <f t="shared" si="511"/>
        <v>NA</v>
      </c>
      <c r="V1501" s="29" t="str">
        <f t="shared" si="512"/>
        <v>NA</v>
      </c>
      <c r="W1501" s="29" t="str">
        <f t="shared" si="513"/>
        <v>NA</v>
      </c>
      <c r="X1501" s="29" t="str">
        <f t="shared" si="514"/>
        <v>NA</v>
      </c>
      <c r="Y1501" s="29" t="str">
        <f t="shared" si="515"/>
        <v>NA</v>
      </c>
      <c r="Z1501" s="29" t="str">
        <f t="shared" si="516"/>
        <v>NA</v>
      </c>
      <c r="AA1501" s="29" t="str">
        <f t="shared" si="517"/>
        <v>NA</v>
      </c>
      <c r="AB1501" s="29" t="str">
        <f t="shared" si="518"/>
        <v>NA</v>
      </c>
      <c r="AC1501" s="29" t="str">
        <f t="shared" si="519"/>
        <v>NA</v>
      </c>
      <c r="AD1501" s="29" t="str">
        <f t="shared" si="520"/>
        <v>NA</v>
      </c>
      <c r="AE1501" s="29" t="str">
        <f t="shared" si="521"/>
        <v>NA</v>
      </c>
      <c r="AF1501" s="29" t="str">
        <f t="shared" si="522"/>
        <v>NA</v>
      </c>
      <c r="AG1501" s="29" t="str">
        <f t="shared" si="523"/>
        <v>NA</v>
      </c>
      <c r="AH1501" s="29" t="str">
        <f t="shared" si="524"/>
        <v>NA</v>
      </c>
    </row>
    <row r="1502" customHeight="1" spans="1:34">
      <c r="A1502" s="12" t="s">
        <v>1043</v>
      </c>
      <c r="F1502" s="24">
        <f t="shared" si="506"/>
        <v>0</v>
      </c>
      <c r="G1502" s="24" t="e">
        <f t="shared" si="505"/>
        <v>#DIV/0!</v>
      </c>
      <c r="Q1502" s="29" t="str">
        <f t="shared" si="507"/>
        <v>NA</v>
      </c>
      <c r="R1502" s="29" t="str">
        <f t="shared" si="508"/>
        <v>NA</v>
      </c>
      <c r="S1502" s="29" t="str">
        <f t="shared" si="509"/>
        <v>NA</v>
      </c>
      <c r="T1502" s="29" t="str">
        <f t="shared" si="510"/>
        <v>NA</v>
      </c>
      <c r="U1502" s="29" t="str">
        <f t="shared" si="511"/>
        <v>NA</v>
      </c>
      <c r="V1502" s="29" t="str">
        <f t="shared" si="512"/>
        <v>NA</v>
      </c>
      <c r="W1502" s="29" t="str">
        <f t="shared" si="513"/>
        <v>NA</v>
      </c>
      <c r="X1502" s="29" t="str">
        <f t="shared" si="514"/>
        <v>NA</v>
      </c>
      <c r="Y1502" s="29" t="str">
        <f t="shared" si="515"/>
        <v>NA</v>
      </c>
      <c r="Z1502" s="29" t="str">
        <f t="shared" si="516"/>
        <v>NA</v>
      </c>
      <c r="AA1502" s="29" t="str">
        <f t="shared" si="517"/>
        <v>NA</v>
      </c>
      <c r="AB1502" s="29" t="str">
        <f t="shared" si="518"/>
        <v>NA</v>
      </c>
      <c r="AC1502" s="29" t="str">
        <f t="shared" si="519"/>
        <v>NA</v>
      </c>
      <c r="AD1502" s="29" t="str">
        <f t="shared" si="520"/>
        <v>NA</v>
      </c>
      <c r="AE1502" s="29" t="str">
        <f t="shared" si="521"/>
        <v>NA</v>
      </c>
      <c r="AF1502" s="29" t="str">
        <f t="shared" si="522"/>
        <v>NA</v>
      </c>
      <c r="AG1502" s="29" t="str">
        <f t="shared" si="523"/>
        <v>NA</v>
      </c>
      <c r="AH1502" s="29" t="str">
        <f t="shared" si="524"/>
        <v>NA</v>
      </c>
    </row>
    <row r="1503" customHeight="1" spans="1:34">
      <c r="A1503" s="12" t="s">
        <v>1043</v>
      </c>
      <c r="F1503" s="24">
        <f t="shared" si="506"/>
        <v>0</v>
      </c>
      <c r="G1503" s="24" t="e">
        <f t="shared" si="505"/>
        <v>#DIV/0!</v>
      </c>
      <c r="Q1503" s="29" t="str">
        <f t="shared" si="507"/>
        <v>NA</v>
      </c>
      <c r="R1503" s="29" t="str">
        <f t="shared" si="508"/>
        <v>NA</v>
      </c>
      <c r="S1503" s="29" t="str">
        <f t="shared" si="509"/>
        <v>NA</v>
      </c>
      <c r="T1503" s="29" t="str">
        <f t="shared" si="510"/>
        <v>NA</v>
      </c>
      <c r="U1503" s="29" t="str">
        <f t="shared" si="511"/>
        <v>NA</v>
      </c>
      <c r="V1503" s="29" t="str">
        <f t="shared" si="512"/>
        <v>NA</v>
      </c>
      <c r="W1503" s="29" t="str">
        <f t="shared" si="513"/>
        <v>NA</v>
      </c>
      <c r="X1503" s="29" t="str">
        <f t="shared" si="514"/>
        <v>NA</v>
      </c>
      <c r="Y1503" s="29" t="str">
        <f t="shared" si="515"/>
        <v>NA</v>
      </c>
      <c r="Z1503" s="29" t="str">
        <f t="shared" si="516"/>
        <v>NA</v>
      </c>
      <c r="AA1503" s="29" t="str">
        <f t="shared" si="517"/>
        <v>NA</v>
      </c>
      <c r="AB1503" s="29" t="str">
        <f t="shared" si="518"/>
        <v>NA</v>
      </c>
      <c r="AC1503" s="29" t="str">
        <f t="shared" si="519"/>
        <v>NA</v>
      </c>
      <c r="AD1503" s="29" t="str">
        <f t="shared" si="520"/>
        <v>NA</v>
      </c>
      <c r="AE1503" s="29" t="str">
        <f t="shared" si="521"/>
        <v>NA</v>
      </c>
      <c r="AF1503" s="29" t="str">
        <f t="shared" si="522"/>
        <v>NA</v>
      </c>
      <c r="AG1503" s="29" t="str">
        <f t="shared" si="523"/>
        <v>NA</v>
      </c>
      <c r="AH1503" s="29" t="str">
        <f t="shared" si="524"/>
        <v>NA</v>
      </c>
    </row>
    <row r="1504" customHeight="1" spans="1:34">
      <c r="A1504" s="12" t="s">
        <v>1043</v>
      </c>
      <c r="F1504" s="24">
        <f t="shared" si="506"/>
        <v>0</v>
      </c>
      <c r="G1504" s="24" t="e">
        <f t="shared" si="505"/>
        <v>#DIV/0!</v>
      </c>
      <c r="Q1504" s="29" t="str">
        <f t="shared" si="507"/>
        <v>NA</v>
      </c>
      <c r="R1504" s="29" t="str">
        <f t="shared" si="508"/>
        <v>NA</v>
      </c>
      <c r="S1504" s="29" t="str">
        <f t="shared" si="509"/>
        <v>NA</v>
      </c>
      <c r="T1504" s="29" t="str">
        <f t="shared" si="510"/>
        <v>NA</v>
      </c>
      <c r="U1504" s="29" t="str">
        <f t="shared" si="511"/>
        <v>NA</v>
      </c>
      <c r="V1504" s="29" t="str">
        <f t="shared" si="512"/>
        <v>NA</v>
      </c>
      <c r="W1504" s="29" t="str">
        <f t="shared" si="513"/>
        <v>NA</v>
      </c>
      <c r="X1504" s="29" t="str">
        <f t="shared" si="514"/>
        <v>NA</v>
      </c>
      <c r="Y1504" s="29" t="str">
        <f t="shared" si="515"/>
        <v>NA</v>
      </c>
      <c r="Z1504" s="29" t="str">
        <f t="shared" si="516"/>
        <v>NA</v>
      </c>
      <c r="AA1504" s="29" t="str">
        <f t="shared" si="517"/>
        <v>NA</v>
      </c>
      <c r="AB1504" s="29" t="str">
        <f t="shared" si="518"/>
        <v>NA</v>
      </c>
      <c r="AC1504" s="29" t="str">
        <f t="shared" si="519"/>
        <v>NA</v>
      </c>
      <c r="AD1504" s="29" t="str">
        <f t="shared" si="520"/>
        <v>NA</v>
      </c>
      <c r="AE1504" s="29" t="str">
        <f t="shared" si="521"/>
        <v>NA</v>
      </c>
      <c r="AF1504" s="29" t="str">
        <f t="shared" si="522"/>
        <v>NA</v>
      </c>
      <c r="AG1504" s="29" t="str">
        <f t="shared" si="523"/>
        <v>NA</v>
      </c>
      <c r="AH1504" s="29" t="str">
        <f t="shared" si="524"/>
        <v>NA</v>
      </c>
    </row>
    <row r="1505" customHeight="1" spans="1:34">
      <c r="A1505" s="12" t="s">
        <v>1043</v>
      </c>
      <c r="F1505" s="24">
        <f t="shared" si="506"/>
        <v>0</v>
      </c>
      <c r="G1505" s="24" t="e">
        <f t="shared" si="505"/>
        <v>#DIV/0!</v>
      </c>
      <c r="Q1505" s="29" t="str">
        <f t="shared" si="507"/>
        <v>NA</v>
      </c>
      <c r="R1505" s="29" t="str">
        <f t="shared" si="508"/>
        <v>NA</v>
      </c>
      <c r="S1505" s="29" t="str">
        <f t="shared" si="509"/>
        <v>NA</v>
      </c>
      <c r="T1505" s="29" t="str">
        <f t="shared" si="510"/>
        <v>NA</v>
      </c>
      <c r="U1505" s="29" t="str">
        <f t="shared" si="511"/>
        <v>NA</v>
      </c>
      <c r="V1505" s="29" t="str">
        <f t="shared" si="512"/>
        <v>NA</v>
      </c>
      <c r="W1505" s="29" t="str">
        <f t="shared" si="513"/>
        <v>NA</v>
      </c>
      <c r="X1505" s="29" t="str">
        <f t="shared" si="514"/>
        <v>NA</v>
      </c>
      <c r="Y1505" s="29" t="str">
        <f t="shared" si="515"/>
        <v>NA</v>
      </c>
      <c r="Z1505" s="29" t="str">
        <f t="shared" si="516"/>
        <v>NA</v>
      </c>
      <c r="AA1505" s="29" t="str">
        <f t="shared" si="517"/>
        <v>NA</v>
      </c>
      <c r="AB1505" s="29" t="str">
        <f t="shared" si="518"/>
        <v>NA</v>
      </c>
      <c r="AC1505" s="29" t="str">
        <f t="shared" si="519"/>
        <v>NA</v>
      </c>
      <c r="AD1505" s="29" t="str">
        <f t="shared" si="520"/>
        <v>NA</v>
      </c>
      <c r="AE1505" s="29" t="str">
        <f t="shared" si="521"/>
        <v>NA</v>
      </c>
      <c r="AF1505" s="29" t="str">
        <f t="shared" si="522"/>
        <v>NA</v>
      </c>
      <c r="AG1505" s="29" t="str">
        <f t="shared" si="523"/>
        <v>NA</v>
      </c>
      <c r="AH1505" s="29" t="str">
        <f t="shared" si="524"/>
        <v>NA</v>
      </c>
    </row>
    <row r="1506" customHeight="1" spans="1:34">
      <c r="A1506" s="12" t="s">
        <v>1043</v>
      </c>
      <c r="F1506" s="24">
        <f t="shared" si="506"/>
        <v>0</v>
      </c>
      <c r="G1506" s="24" t="e">
        <f t="shared" si="505"/>
        <v>#DIV/0!</v>
      </c>
      <c r="Q1506" s="29" t="str">
        <f t="shared" si="507"/>
        <v>NA</v>
      </c>
      <c r="R1506" s="29" t="str">
        <f t="shared" si="508"/>
        <v>NA</v>
      </c>
      <c r="S1506" s="29" t="str">
        <f t="shared" si="509"/>
        <v>NA</v>
      </c>
      <c r="T1506" s="29" t="str">
        <f t="shared" si="510"/>
        <v>NA</v>
      </c>
      <c r="U1506" s="29" t="str">
        <f t="shared" si="511"/>
        <v>NA</v>
      </c>
      <c r="V1506" s="29" t="str">
        <f t="shared" si="512"/>
        <v>NA</v>
      </c>
      <c r="W1506" s="29" t="str">
        <f t="shared" si="513"/>
        <v>NA</v>
      </c>
      <c r="X1506" s="29" t="str">
        <f t="shared" si="514"/>
        <v>NA</v>
      </c>
      <c r="Y1506" s="29" t="str">
        <f t="shared" si="515"/>
        <v>NA</v>
      </c>
      <c r="Z1506" s="29" t="str">
        <f t="shared" si="516"/>
        <v>NA</v>
      </c>
      <c r="AA1506" s="29" t="str">
        <f t="shared" si="517"/>
        <v>NA</v>
      </c>
      <c r="AB1506" s="29" t="str">
        <f t="shared" si="518"/>
        <v>NA</v>
      </c>
      <c r="AC1506" s="29" t="str">
        <f t="shared" si="519"/>
        <v>NA</v>
      </c>
      <c r="AD1506" s="29" t="str">
        <f t="shared" si="520"/>
        <v>NA</v>
      </c>
      <c r="AE1506" s="29" t="str">
        <f t="shared" si="521"/>
        <v>NA</v>
      </c>
      <c r="AF1506" s="29" t="str">
        <f t="shared" si="522"/>
        <v>NA</v>
      </c>
      <c r="AG1506" s="29" t="str">
        <f t="shared" si="523"/>
        <v>NA</v>
      </c>
      <c r="AH1506" s="29" t="str">
        <f t="shared" si="524"/>
        <v>NA</v>
      </c>
    </row>
    <row r="1507" customHeight="1" spans="1:34">
      <c r="A1507" s="12" t="s">
        <v>1043</v>
      </c>
      <c r="F1507" s="24">
        <f t="shared" si="506"/>
        <v>0</v>
      </c>
      <c r="G1507" s="24" t="e">
        <f t="shared" si="505"/>
        <v>#DIV/0!</v>
      </c>
      <c r="Q1507" s="29" t="str">
        <f t="shared" si="507"/>
        <v>NA</v>
      </c>
      <c r="R1507" s="29" t="str">
        <f t="shared" si="508"/>
        <v>NA</v>
      </c>
      <c r="S1507" s="29" t="str">
        <f t="shared" si="509"/>
        <v>NA</v>
      </c>
      <c r="T1507" s="29" t="str">
        <f t="shared" si="510"/>
        <v>NA</v>
      </c>
      <c r="U1507" s="29" t="str">
        <f t="shared" si="511"/>
        <v>NA</v>
      </c>
      <c r="V1507" s="29" t="str">
        <f t="shared" si="512"/>
        <v>NA</v>
      </c>
      <c r="W1507" s="29" t="str">
        <f t="shared" si="513"/>
        <v>NA</v>
      </c>
      <c r="X1507" s="29" t="str">
        <f t="shared" si="514"/>
        <v>NA</v>
      </c>
      <c r="Y1507" s="29" t="str">
        <f t="shared" si="515"/>
        <v>NA</v>
      </c>
      <c r="Z1507" s="29" t="str">
        <f t="shared" si="516"/>
        <v>NA</v>
      </c>
      <c r="AA1507" s="29" t="str">
        <f t="shared" si="517"/>
        <v>NA</v>
      </c>
      <c r="AB1507" s="29" t="str">
        <f t="shared" si="518"/>
        <v>NA</v>
      </c>
      <c r="AC1507" s="29" t="str">
        <f t="shared" si="519"/>
        <v>NA</v>
      </c>
      <c r="AD1507" s="29" t="str">
        <f t="shared" si="520"/>
        <v>NA</v>
      </c>
      <c r="AE1507" s="29" t="str">
        <f t="shared" si="521"/>
        <v>NA</v>
      </c>
      <c r="AF1507" s="29" t="str">
        <f t="shared" si="522"/>
        <v>NA</v>
      </c>
      <c r="AG1507" s="29" t="str">
        <f t="shared" si="523"/>
        <v>NA</v>
      </c>
      <c r="AH1507" s="29" t="str">
        <f t="shared" si="524"/>
        <v>NA</v>
      </c>
    </row>
    <row r="1508" customHeight="1" spans="1:34">
      <c r="A1508" s="12" t="s">
        <v>1043</v>
      </c>
      <c r="F1508" s="24">
        <f t="shared" si="506"/>
        <v>0</v>
      </c>
      <c r="G1508" s="24" t="e">
        <f t="shared" si="505"/>
        <v>#DIV/0!</v>
      </c>
      <c r="Q1508" s="29" t="str">
        <f t="shared" si="507"/>
        <v>NA</v>
      </c>
      <c r="R1508" s="29" t="str">
        <f t="shared" si="508"/>
        <v>NA</v>
      </c>
      <c r="S1508" s="29" t="str">
        <f t="shared" si="509"/>
        <v>NA</v>
      </c>
      <c r="T1508" s="29" t="str">
        <f t="shared" si="510"/>
        <v>NA</v>
      </c>
      <c r="U1508" s="29" t="str">
        <f t="shared" si="511"/>
        <v>NA</v>
      </c>
      <c r="V1508" s="29" t="str">
        <f t="shared" si="512"/>
        <v>NA</v>
      </c>
      <c r="W1508" s="29" t="str">
        <f t="shared" si="513"/>
        <v>NA</v>
      </c>
      <c r="X1508" s="29" t="str">
        <f t="shared" si="514"/>
        <v>NA</v>
      </c>
      <c r="Y1508" s="29" t="str">
        <f t="shared" si="515"/>
        <v>NA</v>
      </c>
      <c r="Z1508" s="29" t="str">
        <f t="shared" si="516"/>
        <v>NA</v>
      </c>
      <c r="AA1508" s="29" t="str">
        <f t="shared" si="517"/>
        <v>NA</v>
      </c>
      <c r="AB1508" s="29" t="str">
        <f t="shared" si="518"/>
        <v>NA</v>
      </c>
      <c r="AC1508" s="29" t="str">
        <f t="shared" si="519"/>
        <v>NA</v>
      </c>
      <c r="AD1508" s="29" t="str">
        <f t="shared" si="520"/>
        <v>NA</v>
      </c>
      <c r="AE1508" s="29" t="str">
        <f t="shared" si="521"/>
        <v>NA</v>
      </c>
      <c r="AF1508" s="29" t="str">
        <f t="shared" si="522"/>
        <v>NA</v>
      </c>
      <c r="AG1508" s="29" t="str">
        <f t="shared" si="523"/>
        <v>NA</v>
      </c>
      <c r="AH1508" s="29" t="str">
        <f t="shared" si="524"/>
        <v>NA</v>
      </c>
    </row>
    <row r="1509" customHeight="1" spans="1:34">
      <c r="A1509" s="12" t="s">
        <v>1043</v>
      </c>
      <c r="F1509" s="24">
        <f t="shared" si="506"/>
        <v>0</v>
      </c>
      <c r="G1509" s="24" t="e">
        <f t="shared" si="505"/>
        <v>#DIV/0!</v>
      </c>
      <c r="Q1509" s="29" t="str">
        <f t="shared" si="507"/>
        <v>NA</v>
      </c>
      <c r="R1509" s="29" t="str">
        <f t="shared" si="508"/>
        <v>NA</v>
      </c>
      <c r="S1509" s="29" t="str">
        <f t="shared" si="509"/>
        <v>NA</v>
      </c>
      <c r="T1509" s="29" t="str">
        <f t="shared" si="510"/>
        <v>NA</v>
      </c>
      <c r="U1509" s="29" t="str">
        <f t="shared" si="511"/>
        <v>NA</v>
      </c>
      <c r="V1509" s="29" t="str">
        <f t="shared" si="512"/>
        <v>NA</v>
      </c>
      <c r="W1509" s="29" t="str">
        <f t="shared" si="513"/>
        <v>NA</v>
      </c>
      <c r="X1509" s="29" t="str">
        <f t="shared" si="514"/>
        <v>NA</v>
      </c>
      <c r="Y1509" s="29" t="str">
        <f t="shared" si="515"/>
        <v>NA</v>
      </c>
      <c r="Z1509" s="29" t="str">
        <f t="shared" si="516"/>
        <v>NA</v>
      </c>
      <c r="AA1509" s="29" t="str">
        <f t="shared" si="517"/>
        <v>NA</v>
      </c>
      <c r="AB1509" s="29" t="str">
        <f t="shared" si="518"/>
        <v>NA</v>
      </c>
      <c r="AC1509" s="29" t="str">
        <f t="shared" si="519"/>
        <v>NA</v>
      </c>
      <c r="AD1509" s="29" t="str">
        <f t="shared" si="520"/>
        <v>NA</v>
      </c>
      <c r="AE1509" s="29" t="str">
        <f t="shared" si="521"/>
        <v>NA</v>
      </c>
      <c r="AF1509" s="29" t="str">
        <f t="shared" si="522"/>
        <v>NA</v>
      </c>
      <c r="AG1509" s="29" t="str">
        <f t="shared" si="523"/>
        <v>NA</v>
      </c>
      <c r="AH1509" s="29" t="str">
        <f t="shared" si="524"/>
        <v>NA</v>
      </c>
    </row>
    <row r="1510" customHeight="1" spans="1:34">
      <c r="A1510" s="12" t="s">
        <v>1043</v>
      </c>
      <c r="F1510" s="24">
        <f t="shared" si="506"/>
        <v>0</v>
      </c>
      <c r="G1510" s="24" t="e">
        <f t="shared" si="505"/>
        <v>#DIV/0!</v>
      </c>
      <c r="Q1510" s="29" t="str">
        <f t="shared" si="507"/>
        <v>NA</v>
      </c>
      <c r="R1510" s="29" t="str">
        <f t="shared" si="508"/>
        <v>NA</v>
      </c>
      <c r="S1510" s="29" t="str">
        <f t="shared" si="509"/>
        <v>NA</v>
      </c>
      <c r="T1510" s="29" t="str">
        <f t="shared" si="510"/>
        <v>NA</v>
      </c>
      <c r="U1510" s="29" t="str">
        <f t="shared" si="511"/>
        <v>NA</v>
      </c>
      <c r="V1510" s="29" t="str">
        <f t="shared" si="512"/>
        <v>NA</v>
      </c>
      <c r="W1510" s="29" t="str">
        <f t="shared" si="513"/>
        <v>NA</v>
      </c>
      <c r="X1510" s="29" t="str">
        <f t="shared" si="514"/>
        <v>NA</v>
      </c>
      <c r="Y1510" s="29" t="str">
        <f t="shared" si="515"/>
        <v>NA</v>
      </c>
      <c r="Z1510" s="29" t="str">
        <f t="shared" si="516"/>
        <v>NA</v>
      </c>
      <c r="AA1510" s="29" t="str">
        <f t="shared" si="517"/>
        <v>NA</v>
      </c>
      <c r="AB1510" s="29" t="str">
        <f t="shared" si="518"/>
        <v>NA</v>
      </c>
      <c r="AC1510" s="29" t="str">
        <f t="shared" si="519"/>
        <v>NA</v>
      </c>
      <c r="AD1510" s="29" t="str">
        <f t="shared" si="520"/>
        <v>NA</v>
      </c>
      <c r="AE1510" s="29" t="str">
        <f t="shared" si="521"/>
        <v>NA</v>
      </c>
      <c r="AF1510" s="29" t="str">
        <f t="shared" si="522"/>
        <v>NA</v>
      </c>
      <c r="AG1510" s="29" t="str">
        <f t="shared" si="523"/>
        <v>NA</v>
      </c>
      <c r="AH1510" s="29" t="str">
        <f t="shared" si="524"/>
        <v>NA</v>
      </c>
    </row>
    <row r="1511" customHeight="1" spans="1:34">
      <c r="A1511" s="12" t="s">
        <v>1043</v>
      </c>
      <c r="F1511" s="24">
        <f t="shared" si="506"/>
        <v>0</v>
      </c>
      <c r="G1511" s="24" t="e">
        <f t="shared" si="505"/>
        <v>#DIV/0!</v>
      </c>
      <c r="Q1511" s="29" t="str">
        <f t="shared" si="507"/>
        <v>NA</v>
      </c>
      <c r="R1511" s="29" t="str">
        <f t="shared" si="508"/>
        <v>NA</v>
      </c>
      <c r="S1511" s="29" t="str">
        <f t="shared" si="509"/>
        <v>NA</v>
      </c>
      <c r="T1511" s="29" t="str">
        <f t="shared" si="510"/>
        <v>NA</v>
      </c>
      <c r="U1511" s="29" t="str">
        <f t="shared" si="511"/>
        <v>NA</v>
      </c>
      <c r="V1511" s="29" t="str">
        <f t="shared" si="512"/>
        <v>NA</v>
      </c>
      <c r="W1511" s="29" t="str">
        <f t="shared" si="513"/>
        <v>NA</v>
      </c>
      <c r="X1511" s="29" t="str">
        <f t="shared" si="514"/>
        <v>NA</v>
      </c>
      <c r="Y1511" s="29" t="str">
        <f t="shared" si="515"/>
        <v>NA</v>
      </c>
      <c r="Z1511" s="29" t="str">
        <f t="shared" si="516"/>
        <v>NA</v>
      </c>
      <c r="AA1511" s="29" t="str">
        <f t="shared" si="517"/>
        <v>NA</v>
      </c>
      <c r="AB1511" s="29" t="str">
        <f t="shared" si="518"/>
        <v>NA</v>
      </c>
      <c r="AC1511" s="29" t="str">
        <f t="shared" si="519"/>
        <v>NA</v>
      </c>
      <c r="AD1511" s="29" t="str">
        <f t="shared" si="520"/>
        <v>NA</v>
      </c>
      <c r="AE1511" s="29" t="str">
        <f t="shared" si="521"/>
        <v>NA</v>
      </c>
      <c r="AF1511" s="29" t="str">
        <f t="shared" si="522"/>
        <v>NA</v>
      </c>
      <c r="AG1511" s="29" t="str">
        <f t="shared" si="523"/>
        <v>NA</v>
      </c>
      <c r="AH1511" s="29" t="str">
        <f t="shared" si="524"/>
        <v>NA</v>
      </c>
    </row>
    <row r="1512" customHeight="1" spans="1:34">
      <c r="A1512" s="12" t="s">
        <v>1043</v>
      </c>
      <c r="F1512" s="24">
        <f t="shared" si="506"/>
        <v>0</v>
      </c>
      <c r="G1512" s="24" t="e">
        <f t="shared" si="505"/>
        <v>#DIV/0!</v>
      </c>
      <c r="Q1512" s="29" t="str">
        <f t="shared" si="507"/>
        <v>NA</v>
      </c>
      <c r="R1512" s="29" t="str">
        <f t="shared" si="508"/>
        <v>NA</v>
      </c>
      <c r="S1512" s="29" t="str">
        <f t="shared" si="509"/>
        <v>NA</v>
      </c>
      <c r="T1512" s="29" t="str">
        <f t="shared" si="510"/>
        <v>NA</v>
      </c>
      <c r="U1512" s="29" t="str">
        <f t="shared" si="511"/>
        <v>NA</v>
      </c>
      <c r="V1512" s="29" t="str">
        <f t="shared" si="512"/>
        <v>NA</v>
      </c>
      <c r="W1512" s="29" t="str">
        <f t="shared" si="513"/>
        <v>NA</v>
      </c>
      <c r="X1512" s="29" t="str">
        <f t="shared" si="514"/>
        <v>NA</v>
      </c>
      <c r="Y1512" s="29" t="str">
        <f t="shared" si="515"/>
        <v>NA</v>
      </c>
      <c r="Z1512" s="29" t="str">
        <f t="shared" si="516"/>
        <v>NA</v>
      </c>
      <c r="AA1512" s="29" t="str">
        <f t="shared" si="517"/>
        <v>NA</v>
      </c>
      <c r="AB1512" s="29" t="str">
        <f t="shared" si="518"/>
        <v>NA</v>
      </c>
      <c r="AC1512" s="29" t="str">
        <f t="shared" si="519"/>
        <v>NA</v>
      </c>
      <c r="AD1512" s="29" t="str">
        <f t="shared" si="520"/>
        <v>NA</v>
      </c>
      <c r="AE1512" s="29" t="str">
        <f t="shared" si="521"/>
        <v>NA</v>
      </c>
      <c r="AF1512" s="29" t="str">
        <f t="shared" si="522"/>
        <v>NA</v>
      </c>
      <c r="AG1512" s="29" t="str">
        <f t="shared" si="523"/>
        <v>NA</v>
      </c>
      <c r="AH1512" s="29" t="str">
        <f t="shared" si="524"/>
        <v>NA</v>
      </c>
    </row>
    <row r="1513" customHeight="1" spans="1:34">
      <c r="A1513" s="12" t="s">
        <v>1043</v>
      </c>
      <c r="F1513" s="24">
        <f t="shared" si="506"/>
        <v>0</v>
      </c>
      <c r="G1513" s="24" t="e">
        <f t="shared" si="505"/>
        <v>#DIV/0!</v>
      </c>
      <c r="Q1513" s="29" t="str">
        <f t="shared" si="507"/>
        <v>NA</v>
      </c>
      <c r="R1513" s="29" t="str">
        <f t="shared" si="508"/>
        <v>NA</v>
      </c>
      <c r="S1513" s="29" t="str">
        <f t="shared" si="509"/>
        <v>NA</v>
      </c>
      <c r="T1513" s="29" t="str">
        <f t="shared" si="510"/>
        <v>NA</v>
      </c>
      <c r="U1513" s="29" t="str">
        <f t="shared" si="511"/>
        <v>NA</v>
      </c>
      <c r="V1513" s="29" t="str">
        <f t="shared" si="512"/>
        <v>NA</v>
      </c>
      <c r="W1513" s="29" t="str">
        <f t="shared" si="513"/>
        <v>NA</v>
      </c>
      <c r="X1513" s="29" t="str">
        <f t="shared" si="514"/>
        <v>NA</v>
      </c>
      <c r="Y1513" s="29" t="str">
        <f t="shared" si="515"/>
        <v>NA</v>
      </c>
      <c r="Z1513" s="29" t="str">
        <f t="shared" si="516"/>
        <v>NA</v>
      </c>
      <c r="AA1513" s="29" t="str">
        <f t="shared" si="517"/>
        <v>NA</v>
      </c>
      <c r="AB1513" s="29" t="str">
        <f t="shared" si="518"/>
        <v>NA</v>
      </c>
      <c r="AC1513" s="29" t="str">
        <f t="shared" si="519"/>
        <v>NA</v>
      </c>
      <c r="AD1513" s="29" t="str">
        <f t="shared" si="520"/>
        <v>NA</v>
      </c>
      <c r="AE1513" s="29" t="str">
        <f t="shared" si="521"/>
        <v>NA</v>
      </c>
      <c r="AF1513" s="29" t="str">
        <f t="shared" si="522"/>
        <v>NA</v>
      </c>
      <c r="AG1513" s="29" t="str">
        <f t="shared" si="523"/>
        <v>NA</v>
      </c>
      <c r="AH1513" s="29" t="str">
        <f t="shared" si="524"/>
        <v>NA</v>
      </c>
    </row>
    <row r="1514" customHeight="1" spans="1:34">
      <c r="A1514" s="12" t="s">
        <v>1043</v>
      </c>
      <c r="F1514" s="24">
        <f t="shared" si="506"/>
        <v>0</v>
      </c>
      <c r="G1514" s="24" t="e">
        <f t="shared" si="505"/>
        <v>#DIV/0!</v>
      </c>
      <c r="Q1514" s="29" t="str">
        <f t="shared" si="507"/>
        <v>NA</v>
      </c>
      <c r="R1514" s="29" t="str">
        <f t="shared" si="508"/>
        <v>NA</v>
      </c>
      <c r="S1514" s="29" t="str">
        <f t="shared" si="509"/>
        <v>NA</v>
      </c>
      <c r="T1514" s="29" t="str">
        <f t="shared" si="510"/>
        <v>NA</v>
      </c>
      <c r="U1514" s="29" t="str">
        <f t="shared" si="511"/>
        <v>NA</v>
      </c>
      <c r="V1514" s="29" t="str">
        <f t="shared" si="512"/>
        <v>NA</v>
      </c>
      <c r="W1514" s="29" t="str">
        <f t="shared" si="513"/>
        <v>NA</v>
      </c>
      <c r="X1514" s="29" t="str">
        <f t="shared" si="514"/>
        <v>NA</v>
      </c>
      <c r="Y1514" s="29" t="str">
        <f t="shared" si="515"/>
        <v>NA</v>
      </c>
      <c r="Z1514" s="29" t="str">
        <f t="shared" si="516"/>
        <v>NA</v>
      </c>
      <c r="AA1514" s="29" t="str">
        <f t="shared" si="517"/>
        <v>NA</v>
      </c>
      <c r="AB1514" s="29" t="str">
        <f t="shared" si="518"/>
        <v>NA</v>
      </c>
      <c r="AC1514" s="29" t="str">
        <f t="shared" si="519"/>
        <v>NA</v>
      </c>
      <c r="AD1514" s="29" t="str">
        <f t="shared" si="520"/>
        <v>NA</v>
      </c>
      <c r="AE1514" s="29" t="str">
        <f t="shared" si="521"/>
        <v>NA</v>
      </c>
      <c r="AF1514" s="29" t="str">
        <f t="shared" si="522"/>
        <v>NA</v>
      </c>
      <c r="AG1514" s="29" t="str">
        <f t="shared" si="523"/>
        <v>NA</v>
      </c>
      <c r="AH1514" s="29" t="str">
        <f t="shared" si="524"/>
        <v>NA</v>
      </c>
    </row>
    <row r="1515" customHeight="1" spans="1:34">
      <c r="A1515" s="12" t="s">
        <v>1043</v>
      </c>
      <c r="F1515" s="24">
        <f t="shared" si="506"/>
        <v>0</v>
      </c>
      <c r="G1515" s="24" t="e">
        <f t="shared" si="505"/>
        <v>#DIV/0!</v>
      </c>
      <c r="Q1515" s="29" t="str">
        <f t="shared" si="507"/>
        <v>NA</v>
      </c>
      <c r="R1515" s="29" t="str">
        <f t="shared" si="508"/>
        <v>NA</v>
      </c>
      <c r="S1515" s="29" t="str">
        <f t="shared" si="509"/>
        <v>NA</v>
      </c>
      <c r="T1515" s="29" t="str">
        <f t="shared" si="510"/>
        <v>NA</v>
      </c>
      <c r="U1515" s="29" t="str">
        <f t="shared" si="511"/>
        <v>NA</v>
      </c>
      <c r="V1515" s="29" t="str">
        <f t="shared" si="512"/>
        <v>NA</v>
      </c>
      <c r="W1515" s="29" t="str">
        <f t="shared" si="513"/>
        <v>NA</v>
      </c>
      <c r="X1515" s="29" t="str">
        <f t="shared" si="514"/>
        <v>NA</v>
      </c>
      <c r="Y1515" s="29" t="str">
        <f t="shared" si="515"/>
        <v>NA</v>
      </c>
      <c r="Z1515" s="29" t="str">
        <f t="shared" si="516"/>
        <v>NA</v>
      </c>
      <c r="AA1515" s="29" t="str">
        <f t="shared" si="517"/>
        <v>NA</v>
      </c>
      <c r="AB1515" s="29" t="str">
        <f t="shared" si="518"/>
        <v>NA</v>
      </c>
      <c r="AC1515" s="29" t="str">
        <f t="shared" si="519"/>
        <v>NA</v>
      </c>
      <c r="AD1515" s="29" t="str">
        <f t="shared" si="520"/>
        <v>NA</v>
      </c>
      <c r="AE1515" s="29" t="str">
        <f t="shared" si="521"/>
        <v>NA</v>
      </c>
      <c r="AF1515" s="29" t="str">
        <f t="shared" si="522"/>
        <v>NA</v>
      </c>
      <c r="AG1515" s="29" t="str">
        <f t="shared" si="523"/>
        <v>NA</v>
      </c>
      <c r="AH1515" s="29" t="str">
        <f t="shared" si="524"/>
        <v>NA</v>
      </c>
    </row>
    <row r="1516" customHeight="1" spans="1:34">
      <c r="A1516" s="12" t="s">
        <v>1043</v>
      </c>
      <c r="F1516" s="24">
        <f t="shared" si="506"/>
        <v>0</v>
      </c>
      <c r="G1516" s="24" t="e">
        <f t="shared" si="505"/>
        <v>#DIV/0!</v>
      </c>
      <c r="Q1516" s="29" t="str">
        <f t="shared" si="507"/>
        <v>NA</v>
      </c>
      <c r="R1516" s="29" t="str">
        <f t="shared" si="508"/>
        <v>NA</v>
      </c>
      <c r="S1516" s="29" t="str">
        <f t="shared" si="509"/>
        <v>NA</v>
      </c>
      <c r="T1516" s="29" t="str">
        <f t="shared" si="510"/>
        <v>NA</v>
      </c>
      <c r="U1516" s="29" t="str">
        <f t="shared" si="511"/>
        <v>NA</v>
      </c>
      <c r="V1516" s="29" t="str">
        <f t="shared" si="512"/>
        <v>NA</v>
      </c>
      <c r="W1516" s="29" t="str">
        <f t="shared" si="513"/>
        <v>NA</v>
      </c>
      <c r="X1516" s="29" t="str">
        <f t="shared" si="514"/>
        <v>NA</v>
      </c>
      <c r="Y1516" s="29" t="str">
        <f t="shared" si="515"/>
        <v>NA</v>
      </c>
      <c r="Z1516" s="29" t="str">
        <f t="shared" si="516"/>
        <v>NA</v>
      </c>
      <c r="AA1516" s="29" t="str">
        <f t="shared" si="517"/>
        <v>NA</v>
      </c>
      <c r="AB1516" s="29" t="str">
        <f t="shared" si="518"/>
        <v>NA</v>
      </c>
      <c r="AC1516" s="29" t="str">
        <f t="shared" si="519"/>
        <v>NA</v>
      </c>
      <c r="AD1516" s="29" t="str">
        <f t="shared" si="520"/>
        <v>NA</v>
      </c>
      <c r="AE1516" s="29" t="str">
        <f t="shared" si="521"/>
        <v>NA</v>
      </c>
      <c r="AF1516" s="29" t="str">
        <f t="shared" si="522"/>
        <v>NA</v>
      </c>
      <c r="AG1516" s="29" t="str">
        <f t="shared" si="523"/>
        <v>NA</v>
      </c>
      <c r="AH1516" s="29" t="str">
        <f t="shared" si="524"/>
        <v>NA</v>
      </c>
    </row>
    <row r="1517" customHeight="1" spans="1:34">
      <c r="A1517" s="12" t="s">
        <v>1043</v>
      </c>
      <c r="F1517" s="24">
        <f t="shared" si="506"/>
        <v>0</v>
      </c>
      <c r="G1517" s="24" t="e">
        <f t="shared" si="505"/>
        <v>#DIV/0!</v>
      </c>
      <c r="Q1517" s="29" t="str">
        <f t="shared" si="507"/>
        <v>NA</v>
      </c>
      <c r="R1517" s="29" t="str">
        <f t="shared" si="508"/>
        <v>NA</v>
      </c>
      <c r="S1517" s="29" t="str">
        <f t="shared" si="509"/>
        <v>NA</v>
      </c>
      <c r="T1517" s="29" t="str">
        <f t="shared" si="510"/>
        <v>NA</v>
      </c>
      <c r="U1517" s="29" t="str">
        <f t="shared" si="511"/>
        <v>NA</v>
      </c>
      <c r="V1517" s="29" t="str">
        <f t="shared" si="512"/>
        <v>NA</v>
      </c>
      <c r="W1517" s="29" t="str">
        <f t="shared" si="513"/>
        <v>NA</v>
      </c>
      <c r="X1517" s="29" t="str">
        <f t="shared" si="514"/>
        <v>NA</v>
      </c>
      <c r="Y1517" s="29" t="str">
        <f t="shared" si="515"/>
        <v>NA</v>
      </c>
      <c r="Z1517" s="29" t="str">
        <f t="shared" si="516"/>
        <v>NA</v>
      </c>
      <c r="AA1517" s="29" t="str">
        <f t="shared" si="517"/>
        <v>NA</v>
      </c>
      <c r="AB1517" s="29" t="str">
        <f t="shared" si="518"/>
        <v>NA</v>
      </c>
      <c r="AC1517" s="29" t="str">
        <f t="shared" si="519"/>
        <v>NA</v>
      </c>
      <c r="AD1517" s="29" t="str">
        <f t="shared" si="520"/>
        <v>NA</v>
      </c>
      <c r="AE1517" s="29" t="str">
        <f t="shared" si="521"/>
        <v>NA</v>
      </c>
      <c r="AF1517" s="29" t="str">
        <f t="shared" si="522"/>
        <v>NA</v>
      </c>
      <c r="AG1517" s="29" t="str">
        <f t="shared" si="523"/>
        <v>NA</v>
      </c>
      <c r="AH1517" s="29" t="str">
        <f t="shared" si="524"/>
        <v>NA</v>
      </c>
    </row>
    <row r="1518" customHeight="1" spans="1:34">
      <c r="A1518" s="12" t="s">
        <v>1043</v>
      </c>
      <c r="F1518" s="24">
        <f t="shared" si="506"/>
        <v>0</v>
      </c>
      <c r="G1518" s="24" t="e">
        <f t="shared" si="505"/>
        <v>#DIV/0!</v>
      </c>
      <c r="Q1518" s="29" t="str">
        <f t="shared" si="507"/>
        <v>NA</v>
      </c>
      <c r="R1518" s="29" t="str">
        <f t="shared" si="508"/>
        <v>NA</v>
      </c>
      <c r="S1518" s="29" t="str">
        <f t="shared" si="509"/>
        <v>NA</v>
      </c>
      <c r="T1518" s="29" t="str">
        <f t="shared" si="510"/>
        <v>NA</v>
      </c>
      <c r="U1518" s="29" t="str">
        <f t="shared" si="511"/>
        <v>NA</v>
      </c>
      <c r="V1518" s="29" t="str">
        <f t="shared" si="512"/>
        <v>NA</v>
      </c>
      <c r="W1518" s="29" t="str">
        <f t="shared" si="513"/>
        <v>NA</v>
      </c>
      <c r="X1518" s="29" t="str">
        <f t="shared" si="514"/>
        <v>NA</v>
      </c>
      <c r="Y1518" s="29" t="str">
        <f t="shared" si="515"/>
        <v>NA</v>
      </c>
      <c r="Z1518" s="29" t="str">
        <f t="shared" si="516"/>
        <v>NA</v>
      </c>
      <c r="AA1518" s="29" t="str">
        <f t="shared" si="517"/>
        <v>NA</v>
      </c>
      <c r="AB1518" s="29" t="str">
        <f t="shared" si="518"/>
        <v>NA</v>
      </c>
      <c r="AC1518" s="29" t="str">
        <f t="shared" si="519"/>
        <v>NA</v>
      </c>
      <c r="AD1518" s="29" t="str">
        <f t="shared" si="520"/>
        <v>NA</v>
      </c>
      <c r="AE1518" s="29" t="str">
        <f t="shared" si="521"/>
        <v>NA</v>
      </c>
      <c r="AF1518" s="29" t="str">
        <f t="shared" si="522"/>
        <v>NA</v>
      </c>
      <c r="AG1518" s="29" t="str">
        <f t="shared" si="523"/>
        <v>NA</v>
      </c>
      <c r="AH1518" s="29" t="str">
        <f t="shared" si="524"/>
        <v>NA</v>
      </c>
    </row>
    <row r="1519" customHeight="1" spans="1:34">
      <c r="A1519" s="12" t="s">
        <v>1043</v>
      </c>
      <c r="F1519" s="24">
        <f t="shared" si="506"/>
        <v>0</v>
      </c>
      <c r="G1519" s="24" t="e">
        <f t="shared" si="505"/>
        <v>#DIV/0!</v>
      </c>
      <c r="Q1519" s="29" t="str">
        <f t="shared" si="507"/>
        <v>NA</v>
      </c>
      <c r="R1519" s="29" t="str">
        <f t="shared" si="508"/>
        <v>NA</v>
      </c>
      <c r="S1519" s="29" t="str">
        <f t="shared" si="509"/>
        <v>NA</v>
      </c>
      <c r="T1519" s="29" t="str">
        <f t="shared" si="510"/>
        <v>NA</v>
      </c>
      <c r="U1519" s="29" t="str">
        <f t="shared" si="511"/>
        <v>NA</v>
      </c>
      <c r="V1519" s="29" t="str">
        <f t="shared" si="512"/>
        <v>NA</v>
      </c>
      <c r="W1519" s="29" t="str">
        <f t="shared" si="513"/>
        <v>NA</v>
      </c>
      <c r="X1519" s="29" t="str">
        <f t="shared" si="514"/>
        <v>NA</v>
      </c>
      <c r="Y1519" s="29" t="str">
        <f t="shared" si="515"/>
        <v>NA</v>
      </c>
      <c r="Z1519" s="29" t="str">
        <f t="shared" si="516"/>
        <v>NA</v>
      </c>
      <c r="AA1519" s="29" t="str">
        <f t="shared" si="517"/>
        <v>NA</v>
      </c>
      <c r="AB1519" s="29" t="str">
        <f t="shared" si="518"/>
        <v>NA</v>
      </c>
      <c r="AC1519" s="29" t="str">
        <f t="shared" si="519"/>
        <v>NA</v>
      </c>
      <c r="AD1519" s="29" t="str">
        <f t="shared" si="520"/>
        <v>NA</v>
      </c>
      <c r="AE1519" s="29" t="str">
        <f t="shared" si="521"/>
        <v>NA</v>
      </c>
      <c r="AF1519" s="29" t="str">
        <f t="shared" si="522"/>
        <v>NA</v>
      </c>
      <c r="AG1519" s="29" t="str">
        <f t="shared" si="523"/>
        <v>NA</v>
      </c>
      <c r="AH1519" s="29" t="str">
        <f t="shared" si="524"/>
        <v>NA</v>
      </c>
    </row>
    <row r="1520" customHeight="1" spans="1:34">
      <c r="A1520" s="12" t="s">
        <v>1043</v>
      </c>
      <c r="F1520" s="24">
        <f t="shared" si="506"/>
        <v>0</v>
      </c>
      <c r="G1520" s="24" t="e">
        <f t="shared" si="505"/>
        <v>#DIV/0!</v>
      </c>
      <c r="Q1520" s="29" t="str">
        <f t="shared" si="507"/>
        <v>NA</v>
      </c>
      <c r="R1520" s="29" t="str">
        <f t="shared" si="508"/>
        <v>NA</v>
      </c>
      <c r="S1520" s="29" t="str">
        <f t="shared" si="509"/>
        <v>NA</v>
      </c>
      <c r="T1520" s="29" t="str">
        <f t="shared" si="510"/>
        <v>NA</v>
      </c>
      <c r="U1520" s="29" t="str">
        <f t="shared" si="511"/>
        <v>NA</v>
      </c>
      <c r="V1520" s="29" t="str">
        <f t="shared" si="512"/>
        <v>NA</v>
      </c>
      <c r="W1520" s="29" t="str">
        <f t="shared" si="513"/>
        <v>NA</v>
      </c>
      <c r="X1520" s="29" t="str">
        <f t="shared" si="514"/>
        <v>NA</v>
      </c>
      <c r="Y1520" s="29" t="str">
        <f t="shared" si="515"/>
        <v>NA</v>
      </c>
      <c r="Z1520" s="29" t="str">
        <f t="shared" si="516"/>
        <v>NA</v>
      </c>
      <c r="AA1520" s="29" t="str">
        <f t="shared" si="517"/>
        <v>NA</v>
      </c>
      <c r="AB1520" s="29" t="str">
        <f t="shared" si="518"/>
        <v>NA</v>
      </c>
      <c r="AC1520" s="29" t="str">
        <f t="shared" si="519"/>
        <v>NA</v>
      </c>
      <c r="AD1520" s="29" t="str">
        <f t="shared" si="520"/>
        <v>NA</v>
      </c>
      <c r="AE1520" s="29" t="str">
        <f t="shared" si="521"/>
        <v>NA</v>
      </c>
      <c r="AF1520" s="29" t="str">
        <f t="shared" si="522"/>
        <v>NA</v>
      </c>
      <c r="AG1520" s="29" t="str">
        <f t="shared" si="523"/>
        <v>NA</v>
      </c>
      <c r="AH1520" s="29" t="str">
        <f t="shared" si="524"/>
        <v>NA</v>
      </c>
    </row>
    <row r="1521" customHeight="1" spans="1:34">
      <c r="A1521" s="12" t="s">
        <v>1043</v>
      </c>
      <c r="F1521" s="24">
        <f t="shared" si="506"/>
        <v>0</v>
      </c>
      <c r="G1521" s="24" t="e">
        <f t="shared" si="505"/>
        <v>#DIV/0!</v>
      </c>
      <c r="Q1521" s="29" t="str">
        <f t="shared" si="507"/>
        <v>NA</v>
      </c>
      <c r="R1521" s="29" t="str">
        <f t="shared" si="508"/>
        <v>NA</v>
      </c>
      <c r="S1521" s="29" t="str">
        <f t="shared" si="509"/>
        <v>NA</v>
      </c>
      <c r="T1521" s="29" t="str">
        <f t="shared" si="510"/>
        <v>NA</v>
      </c>
      <c r="U1521" s="29" t="str">
        <f t="shared" si="511"/>
        <v>NA</v>
      </c>
      <c r="V1521" s="29" t="str">
        <f t="shared" si="512"/>
        <v>NA</v>
      </c>
      <c r="W1521" s="29" t="str">
        <f t="shared" si="513"/>
        <v>NA</v>
      </c>
      <c r="X1521" s="29" t="str">
        <f t="shared" si="514"/>
        <v>NA</v>
      </c>
      <c r="Y1521" s="29" t="str">
        <f t="shared" si="515"/>
        <v>NA</v>
      </c>
      <c r="Z1521" s="29" t="str">
        <f t="shared" si="516"/>
        <v>NA</v>
      </c>
      <c r="AA1521" s="29" t="str">
        <f t="shared" si="517"/>
        <v>NA</v>
      </c>
      <c r="AB1521" s="29" t="str">
        <f t="shared" si="518"/>
        <v>NA</v>
      </c>
      <c r="AC1521" s="29" t="str">
        <f t="shared" si="519"/>
        <v>NA</v>
      </c>
      <c r="AD1521" s="29" t="str">
        <f t="shared" si="520"/>
        <v>NA</v>
      </c>
      <c r="AE1521" s="29" t="str">
        <f t="shared" si="521"/>
        <v>NA</v>
      </c>
      <c r="AF1521" s="29" t="str">
        <f t="shared" si="522"/>
        <v>NA</v>
      </c>
      <c r="AG1521" s="29" t="str">
        <f t="shared" si="523"/>
        <v>NA</v>
      </c>
      <c r="AH1521" s="29" t="str">
        <f t="shared" si="524"/>
        <v>NA</v>
      </c>
    </row>
    <row r="1522" customHeight="1" spans="1:34">
      <c r="A1522" s="12" t="s">
        <v>1043</v>
      </c>
      <c r="F1522" s="24">
        <f t="shared" si="506"/>
        <v>0</v>
      </c>
      <c r="G1522" s="24" t="e">
        <f t="shared" si="505"/>
        <v>#DIV/0!</v>
      </c>
      <c r="Q1522" s="29" t="str">
        <f t="shared" si="507"/>
        <v>NA</v>
      </c>
      <c r="R1522" s="29" t="str">
        <f t="shared" si="508"/>
        <v>NA</v>
      </c>
      <c r="S1522" s="29" t="str">
        <f t="shared" si="509"/>
        <v>NA</v>
      </c>
      <c r="T1522" s="29" t="str">
        <f t="shared" si="510"/>
        <v>NA</v>
      </c>
      <c r="U1522" s="29" t="str">
        <f t="shared" si="511"/>
        <v>NA</v>
      </c>
      <c r="V1522" s="29" t="str">
        <f t="shared" si="512"/>
        <v>NA</v>
      </c>
      <c r="W1522" s="29" t="str">
        <f t="shared" si="513"/>
        <v>NA</v>
      </c>
      <c r="X1522" s="29" t="str">
        <f t="shared" si="514"/>
        <v>NA</v>
      </c>
      <c r="Y1522" s="29" t="str">
        <f t="shared" si="515"/>
        <v>NA</v>
      </c>
      <c r="Z1522" s="29" t="str">
        <f t="shared" si="516"/>
        <v>NA</v>
      </c>
      <c r="AA1522" s="29" t="str">
        <f t="shared" si="517"/>
        <v>NA</v>
      </c>
      <c r="AB1522" s="29" t="str">
        <f t="shared" si="518"/>
        <v>NA</v>
      </c>
      <c r="AC1522" s="29" t="str">
        <f t="shared" si="519"/>
        <v>NA</v>
      </c>
      <c r="AD1522" s="29" t="str">
        <f t="shared" si="520"/>
        <v>NA</v>
      </c>
      <c r="AE1522" s="29" t="str">
        <f t="shared" si="521"/>
        <v>NA</v>
      </c>
      <c r="AF1522" s="29" t="str">
        <f t="shared" si="522"/>
        <v>NA</v>
      </c>
      <c r="AG1522" s="29" t="str">
        <f t="shared" si="523"/>
        <v>NA</v>
      </c>
      <c r="AH1522" s="29" t="str">
        <f t="shared" si="524"/>
        <v>NA</v>
      </c>
    </row>
    <row r="1523" customHeight="1" spans="1:34">
      <c r="A1523" s="12" t="s">
        <v>1043</v>
      </c>
      <c r="F1523" s="24">
        <f t="shared" si="506"/>
        <v>0</v>
      </c>
      <c r="G1523" s="24" t="e">
        <f t="shared" si="505"/>
        <v>#DIV/0!</v>
      </c>
      <c r="Q1523" s="29" t="str">
        <f t="shared" si="507"/>
        <v>NA</v>
      </c>
      <c r="R1523" s="29" t="str">
        <f t="shared" si="508"/>
        <v>NA</v>
      </c>
      <c r="S1523" s="29" t="str">
        <f t="shared" si="509"/>
        <v>NA</v>
      </c>
      <c r="T1523" s="29" t="str">
        <f t="shared" si="510"/>
        <v>NA</v>
      </c>
      <c r="U1523" s="29" t="str">
        <f t="shared" si="511"/>
        <v>NA</v>
      </c>
      <c r="V1523" s="29" t="str">
        <f t="shared" si="512"/>
        <v>NA</v>
      </c>
      <c r="W1523" s="29" t="str">
        <f t="shared" si="513"/>
        <v>NA</v>
      </c>
      <c r="X1523" s="29" t="str">
        <f t="shared" si="514"/>
        <v>NA</v>
      </c>
      <c r="Y1523" s="29" t="str">
        <f t="shared" si="515"/>
        <v>NA</v>
      </c>
      <c r="Z1523" s="29" t="str">
        <f t="shared" si="516"/>
        <v>NA</v>
      </c>
      <c r="AA1523" s="29" t="str">
        <f t="shared" si="517"/>
        <v>NA</v>
      </c>
      <c r="AB1523" s="29" t="str">
        <f t="shared" si="518"/>
        <v>NA</v>
      </c>
      <c r="AC1523" s="29" t="str">
        <f t="shared" si="519"/>
        <v>NA</v>
      </c>
      <c r="AD1523" s="29" t="str">
        <f t="shared" si="520"/>
        <v>NA</v>
      </c>
      <c r="AE1523" s="29" t="str">
        <f t="shared" si="521"/>
        <v>NA</v>
      </c>
      <c r="AF1523" s="29" t="str">
        <f t="shared" si="522"/>
        <v>NA</v>
      </c>
      <c r="AG1523" s="29" t="str">
        <f t="shared" si="523"/>
        <v>NA</v>
      </c>
      <c r="AH1523" s="29" t="str">
        <f t="shared" si="524"/>
        <v>NA</v>
      </c>
    </row>
    <row r="1524" customHeight="1" spans="1:34">
      <c r="A1524" s="12" t="s">
        <v>1043</v>
      </c>
      <c r="F1524" s="24">
        <f t="shared" si="506"/>
        <v>0</v>
      </c>
      <c r="G1524" s="24" t="e">
        <f t="shared" si="505"/>
        <v>#DIV/0!</v>
      </c>
      <c r="Q1524" s="29" t="str">
        <f t="shared" si="507"/>
        <v>NA</v>
      </c>
      <c r="R1524" s="29" t="str">
        <f t="shared" si="508"/>
        <v>NA</v>
      </c>
      <c r="S1524" s="29" t="str">
        <f t="shared" si="509"/>
        <v>NA</v>
      </c>
      <c r="T1524" s="29" t="str">
        <f t="shared" si="510"/>
        <v>NA</v>
      </c>
      <c r="U1524" s="29" t="str">
        <f t="shared" si="511"/>
        <v>NA</v>
      </c>
      <c r="V1524" s="29" t="str">
        <f t="shared" si="512"/>
        <v>NA</v>
      </c>
      <c r="W1524" s="29" t="str">
        <f t="shared" si="513"/>
        <v>NA</v>
      </c>
      <c r="X1524" s="29" t="str">
        <f t="shared" si="514"/>
        <v>NA</v>
      </c>
      <c r="Y1524" s="29" t="str">
        <f t="shared" si="515"/>
        <v>NA</v>
      </c>
      <c r="Z1524" s="29" t="str">
        <f t="shared" si="516"/>
        <v>NA</v>
      </c>
      <c r="AA1524" s="29" t="str">
        <f t="shared" si="517"/>
        <v>NA</v>
      </c>
      <c r="AB1524" s="29" t="str">
        <f t="shared" si="518"/>
        <v>NA</v>
      </c>
      <c r="AC1524" s="29" t="str">
        <f t="shared" si="519"/>
        <v>NA</v>
      </c>
      <c r="AD1524" s="29" t="str">
        <f t="shared" si="520"/>
        <v>NA</v>
      </c>
      <c r="AE1524" s="29" t="str">
        <f t="shared" si="521"/>
        <v>NA</v>
      </c>
      <c r="AF1524" s="29" t="str">
        <f t="shared" si="522"/>
        <v>NA</v>
      </c>
      <c r="AG1524" s="29" t="str">
        <f t="shared" si="523"/>
        <v>NA</v>
      </c>
      <c r="AH1524" s="29" t="str">
        <f t="shared" si="524"/>
        <v>NA</v>
      </c>
    </row>
    <row r="1525" customHeight="1" spans="1:34">
      <c r="A1525" s="12" t="s">
        <v>1043</v>
      </c>
      <c r="F1525" s="24">
        <f t="shared" si="506"/>
        <v>0</v>
      </c>
      <c r="G1525" s="24" t="e">
        <f t="shared" si="505"/>
        <v>#DIV/0!</v>
      </c>
      <c r="Q1525" s="29" t="str">
        <f t="shared" si="507"/>
        <v>NA</v>
      </c>
      <c r="R1525" s="29" t="str">
        <f t="shared" si="508"/>
        <v>NA</v>
      </c>
      <c r="S1525" s="29" t="str">
        <f t="shared" si="509"/>
        <v>NA</v>
      </c>
      <c r="T1525" s="29" t="str">
        <f t="shared" si="510"/>
        <v>NA</v>
      </c>
      <c r="U1525" s="29" t="str">
        <f t="shared" si="511"/>
        <v>NA</v>
      </c>
      <c r="V1525" s="29" t="str">
        <f t="shared" si="512"/>
        <v>NA</v>
      </c>
      <c r="W1525" s="29" t="str">
        <f t="shared" si="513"/>
        <v>NA</v>
      </c>
      <c r="X1525" s="29" t="str">
        <f t="shared" si="514"/>
        <v>NA</v>
      </c>
      <c r="Y1525" s="29" t="str">
        <f t="shared" si="515"/>
        <v>NA</v>
      </c>
      <c r="Z1525" s="29" t="str">
        <f t="shared" si="516"/>
        <v>NA</v>
      </c>
      <c r="AA1525" s="29" t="str">
        <f t="shared" si="517"/>
        <v>NA</v>
      </c>
      <c r="AB1525" s="29" t="str">
        <f t="shared" si="518"/>
        <v>NA</v>
      </c>
      <c r="AC1525" s="29" t="str">
        <f t="shared" si="519"/>
        <v>NA</v>
      </c>
      <c r="AD1525" s="29" t="str">
        <f t="shared" si="520"/>
        <v>NA</v>
      </c>
      <c r="AE1525" s="29" t="str">
        <f t="shared" si="521"/>
        <v>NA</v>
      </c>
      <c r="AF1525" s="29" t="str">
        <f t="shared" si="522"/>
        <v>NA</v>
      </c>
      <c r="AG1525" s="29" t="str">
        <f t="shared" si="523"/>
        <v>NA</v>
      </c>
      <c r="AH1525" s="29" t="str">
        <f t="shared" si="524"/>
        <v>NA</v>
      </c>
    </row>
    <row r="1526" customHeight="1" spans="1:34">
      <c r="A1526" s="12" t="s">
        <v>1043</v>
      </c>
      <c r="F1526" s="24">
        <f t="shared" si="506"/>
        <v>0</v>
      </c>
      <c r="G1526" s="24" t="e">
        <f t="shared" si="505"/>
        <v>#DIV/0!</v>
      </c>
      <c r="Q1526" s="29" t="str">
        <f t="shared" si="507"/>
        <v>NA</v>
      </c>
      <c r="R1526" s="29" t="str">
        <f t="shared" si="508"/>
        <v>NA</v>
      </c>
      <c r="S1526" s="29" t="str">
        <f t="shared" si="509"/>
        <v>NA</v>
      </c>
      <c r="T1526" s="29" t="str">
        <f t="shared" si="510"/>
        <v>NA</v>
      </c>
      <c r="U1526" s="29" t="str">
        <f t="shared" si="511"/>
        <v>NA</v>
      </c>
      <c r="V1526" s="29" t="str">
        <f t="shared" si="512"/>
        <v>NA</v>
      </c>
      <c r="W1526" s="29" t="str">
        <f t="shared" si="513"/>
        <v>NA</v>
      </c>
      <c r="X1526" s="29" t="str">
        <f t="shared" si="514"/>
        <v>NA</v>
      </c>
      <c r="Y1526" s="29" t="str">
        <f t="shared" si="515"/>
        <v>NA</v>
      </c>
      <c r="Z1526" s="29" t="str">
        <f t="shared" si="516"/>
        <v>NA</v>
      </c>
      <c r="AA1526" s="29" t="str">
        <f t="shared" si="517"/>
        <v>NA</v>
      </c>
      <c r="AB1526" s="29" t="str">
        <f t="shared" si="518"/>
        <v>NA</v>
      </c>
      <c r="AC1526" s="29" t="str">
        <f t="shared" si="519"/>
        <v>NA</v>
      </c>
      <c r="AD1526" s="29" t="str">
        <f t="shared" si="520"/>
        <v>NA</v>
      </c>
      <c r="AE1526" s="29" t="str">
        <f t="shared" si="521"/>
        <v>NA</v>
      </c>
      <c r="AF1526" s="29" t="str">
        <f t="shared" si="522"/>
        <v>NA</v>
      </c>
      <c r="AG1526" s="29" t="str">
        <f t="shared" si="523"/>
        <v>NA</v>
      </c>
      <c r="AH1526" s="29" t="str">
        <f t="shared" si="524"/>
        <v>NA</v>
      </c>
    </row>
    <row r="1527" customHeight="1" spans="1:34">
      <c r="A1527" s="12" t="s">
        <v>1043</v>
      </c>
      <c r="F1527" s="24">
        <f t="shared" si="506"/>
        <v>0</v>
      </c>
      <c r="G1527" s="24" t="e">
        <f t="shared" si="505"/>
        <v>#DIV/0!</v>
      </c>
      <c r="Q1527" s="29" t="str">
        <f t="shared" si="507"/>
        <v>NA</v>
      </c>
      <c r="R1527" s="29" t="str">
        <f t="shared" si="508"/>
        <v>NA</v>
      </c>
      <c r="S1527" s="29" t="str">
        <f t="shared" si="509"/>
        <v>NA</v>
      </c>
      <c r="T1527" s="29" t="str">
        <f t="shared" si="510"/>
        <v>NA</v>
      </c>
      <c r="U1527" s="29" t="str">
        <f t="shared" si="511"/>
        <v>NA</v>
      </c>
      <c r="V1527" s="29" t="str">
        <f t="shared" si="512"/>
        <v>NA</v>
      </c>
      <c r="W1527" s="29" t="str">
        <f t="shared" si="513"/>
        <v>NA</v>
      </c>
      <c r="X1527" s="29" t="str">
        <f t="shared" si="514"/>
        <v>NA</v>
      </c>
      <c r="Y1527" s="29" t="str">
        <f t="shared" si="515"/>
        <v>NA</v>
      </c>
      <c r="Z1527" s="29" t="str">
        <f t="shared" si="516"/>
        <v>NA</v>
      </c>
      <c r="AA1527" s="29" t="str">
        <f t="shared" si="517"/>
        <v>NA</v>
      </c>
      <c r="AB1527" s="29" t="str">
        <f t="shared" si="518"/>
        <v>NA</v>
      </c>
      <c r="AC1527" s="29" t="str">
        <f t="shared" si="519"/>
        <v>NA</v>
      </c>
      <c r="AD1527" s="29" t="str">
        <f t="shared" si="520"/>
        <v>NA</v>
      </c>
      <c r="AE1527" s="29" t="str">
        <f t="shared" si="521"/>
        <v>NA</v>
      </c>
      <c r="AF1527" s="29" t="str">
        <f t="shared" si="522"/>
        <v>NA</v>
      </c>
      <c r="AG1527" s="29" t="str">
        <f t="shared" si="523"/>
        <v>NA</v>
      </c>
      <c r="AH1527" s="29" t="str">
        <f t="shared" si="524"/>
        <v>NA</v>
      </c>
    </row>
    <row r="1528" customHeight="1" spans="1:34">
      <c r="A1528" s="12" t="s">
        <v>1043</v>
      </c>
      <c r="F1528" s="24">
        <f t="shared" si="506"/>
        <v>0</v>
      </c>
      <c r="G1528" s="24" t="e">
        <f t="shared" si="505"/>
        <v>#DIV/0!</v>
      </c>
      <c r="Q1528" s="29" t="str">
        <f t="shared" si="507"/>
        <v>NA</v>
      </c>
      <c r="R1528" s="29" t="str">
        <f t="shared" si="508"/>
        <v>NA</v>
      </c>
      <c r="S1528" s="29" t="str">
        <f t="shared" si="509"/>
        <v>NA</v>
      </c>
      <c r="T1528" s="29" t="str">
        <f t="shared" si="510"/>
        <v>NA</v>
      </c>
      <c r="U1528" s="29" t="str">
        <f t="shared" si="511"/>
        <v>NA</v>
      </c>
      <c r="V1528" s="29" t="str">
        <f t="shared" si="512"/>
        <v>NA</v>
      </c>
      <c r="W1528" s="29" t="str">
        <f t="shared" si="513"/>
        <v>NA</v>
      </c>
      <c r="X1528" s="29" t="str">
        <f t="shared" si="514"/>
        <v>NA</v>
      </c>
      <c r="Y1528" s="29" t="str">
        <f t="shared" si="515"/>
        <v>NA</v>
      </c>
      <c r="Z1528" s="29" t="str">
        <f t="shared" si="516"/>
        <v>NA</v>
      </c>
      <c r="AA1528" s="29" t="str">
        <f t="shared" si="517"/>
        <v>NA</v>
      </c>
      <c r="AB1528" s="29" t="str">
        <f t="shared" si="518"/>
        <v>NA</v>
      </c>
      <c r="AC1528" s="29" t="str">
        <f t="shared" si="519"/>
        <v>NA</v>
      </c>
      <c r="AD1528" s="29" t="str">
        <f t="shared" si="520"/>
        <v>NA</v>
      </c>
      <c r="AE1528" s="29" t="str">
        <f t="shared" si="521"/>
        <v>NA</v>
      </c>
      <c r="AF1528" s="29" t="str">
        <f t="shared" si="522"/>
        <v>NA</v>
      </c>
      <c r="AG1528" s="29" t="str">
        <f t="shared" si="523"/>
        <v>NA</v>
      </c>
      <c r="AH1528" s="29" t="str">
        <f t="shared" si="524"/>
        <v>NA</v>
      </c>
    </row>
    <row r="1529" customHeight="1" spans="1:34">
      <c r="A1529" s="12" t="s">
        <v>1043</v>
      </c>
      <c r="F1529" s="24">
        <f t="shared" si="506"/>
        <v>0</v>
      </c>
      <c r="G1529" s="24" t="e">
        <f t="shared" si="505"/>
        <v>#DIV/0!</v>
      </c>
      <c r="Q1529" s="29" t="str">
        <f t="shared" si="507"/>
        <v>NA</v>
      </c>
      <c r="R1529" s="29" t="str">
        <f t="shared" si="508"/>
        <v>NA</v>
      </c>
      <c r="S1529" s="29" t="str">
        <f t="shared" si="509"/>
        <v>NA</v>
      </c>
      <c r="T1529" s="29" t="str">
        <f t="shared" si="510"/>
        <v>NA</v>
      </c>
      <c r="U1529" s="29" t="str">
        <f t="shared" si="511"/>
        <v>NA</v>
      </c>
      <c r="V1529" s="29" t="str">
        <f t="shared" si="512"/>
        <v>NA</v>
      </c>
      <c r="W1529" s="29" t="str">
        <f t="shared" si="513"/>
        <v>NA</v>
      </c>
      <c r="X1529" s="29" t="str">
        <f t="shared" si="514"/>
        <v>NA</v>
      </c>
      <c r="Y1529" s="29" t="str">
        <f t="shared" si="515"/>
        <v>NA</v>
      </c>
      <c r="Z1529" s="29" t="str">
        <f t="shared" si="516"/>
        <v>NA</v>
      </c>
      <c r="AA1529" s="29" t="str">
        <f t="shared" si="517"/>
        <v>NA</v>
      </c>
      <c r="AB1529" s="29" t="str">
        <f t="shared" si="518"/>
        <v>NA</v>
      </c>
      <c r="AC1529" s="29" t="str">
        <f t="shared" si="519"/>
        <v>NA</v>
      </c>
      <c r="AD1529" s="29" t="str">
        <f t="shared" si="520"/>
        <v>NA</v>
      </c>
      <c r="AE1529" s="29" t="str">
        <f t="shared" si="521"/>
        <v>NA</v>
      </c>
      <c r="AF1529" s="29" t="str">
        <f t="shared" si="522"/>
        <v>NA</v>
      </c>
      <c r="AG1529" s="29" t="str">
        <f t="shared" si="523"/>
        <v>NA</v>
      </c>
      <c r="AH1529" s="29" t="str">
        <f t="shared" si="524"/>
        <v>NA</v>
      </c>
    </row>
    <row r="1530" customHeight="1" spans="1:34">
      <c r="A1530" s="12" t="s">
        <v>1043</v>
      </c>
      <c r="F1530" s="24">
        <f t="shared" si="506"/>
        <v>0</v>
      </c>
      <c r="G1530" s="24" t="e">
        <f t="shared" si="505"/>
        <v>#DIV/0!</v>
      </c>
      <c r="Q1530" s="29" t="str">
        <f t="shared" si="507"/>
        <v>NA</v>
      </c>
      <c r="R1530" s="29" t="str">
        <f t="shared" si="508"/>
        <v>NA</v>
      </c>
      <c r="S1530" s="29" t="str">
        <f t="shared" si="509"/>
        <v>NA</v>
      </c>
      <c r="T1530" s="29" t="str">
        <f t="shared" si="510"/>
        <v>NA</v>
      </c>
      <c r="U1530" s="29" t="str">
        <f t="shared" si="511"/>
        <v>NA</v>
      </c>
      <c r="V1530" s="29" t="str">
        <f t="shared" si="512"/>
        <v>NA</v>
      </c>
      <c r="W1530" s="29" t="str">
        <f t="shared" si="513"/>
        <v>NA</v>
      </c>
      <c r="X1530" s="29" t="str">
        <f t="shared" si="514"/>
        <v>NA</v>
      </c>
      <c r="Y1530" s="29" t="str">
        <f t="shared" si="515"/>
        <v>NA</v>
      </c>
      <c r="Z1530" s="29" t="str">
        <f t="shared" si="516"/>
        <v>NA</v>
      </c>
      <c r="AA1530" s="29" t="str">
        <f t="shared" si="517"/>
        <v>NA</v>
      </c>
      <c r="AB1530" s="29" t="str">
        <f t="shared" si="518"/>
        <v>NA</v>
      </c>
      <c r="AC1530" s="29" t="str">
        <f t="shared" si="519"/>
        <v>NA</v>
      </c>
      <c r="AD1530" s="29" t="str">
        <f t="shared" si="520"/>
        <v>NA</v>
      </c>
      <c r="AE1530" s="29" t="str">
        <f t="shared" si="521"/>
        <v>NA</v>
      </c>
      <c r="AF1530" s="29" t="str">
        <f t="shared" si="522"/>
        <v>NA</v>
      </c>
      <c r="AG1530" s="29" t="str">
        <f t="shared" si="523"/>
        <v>NA</v>
      </c>
      <c r="AH1530" s="29" t="str">
        <f t="shared" si="524"/>
        <v>NA</v>
      </c>
    </row>
    <row r="1531" customHeight="1" spans="1:34">
      <c r="A1531" s="12" t="s">
        <v>1043</v>
      </c>
      <c r="F1531" s="24">
        <f t="shared" si="506"/>
        <v>0</v>
      </c>
      <c r="G1531" s="24" t="e">
        <f t="shared" si="505"/>
        <v>#DIV/0!</v>
      </c>
      <c r="Q1531" s="29" t="str">
        <f t="shared" si="507"/>
        <v>NA</v>
      </c>
      <c r="R1531" s="29" t="str">
        <f t="shared" si="508"/>
        <v>NA</v>
      </c>
      <c r="S1531" s="29" t="str">
        <f t="shared" si="509"/>
        <v>NA</v>
      </c>
      <c r="T1531" s="29" t="str">
        <f t="shared" si="510"/>
        <v>NA</v>
      </c>
      <c r="U1531" s="29" t="str">
        <f t="shared" si="511"/>
        <v>NA</v>
      </c>
      <c r="V1531" s="29" t="str">
        <f t="shared" si="512"/>
        <v>NA</v>
      </c>
      <c r="W1531" s="29" t="str">
        <f t="shared" si="513"/>
        <v>NA</v>
      </c>
      <c r="X1531" s="29" t="str">
        <f t="shared" si="514"/>
        <v>NA</v>
      </c>
      <c r="Y1531" s="29" t="str">
        <f t="shared" si="515"/>
        <v>NA</v>
      </c>
      <c r="Z1531" s="29" t="str">
        <f t="shared" si="516"/>
        <v>NA</v>
      </c>
      <c r="AA1531" s="29" t="str">
        <f t="shared" si="517"/>
        <v>NA</v>
      </c>
      <c r="AB1531" s="29" t="str">
        <f t="shared" si="518"/>
        <v>NA</v>
      </c>
      <c r="AC1531" s="29" t="str">
        <f t="shared" si="519"/>
        <v>NA</v>
      </c>
      <c r="AD1531" s="29" t="str">
        <f t="shared" si="520"/>
        <v>NA</v>
      </c>
      <c r="AE1531" s="29" t="str">
        <f t="shared" si="521"/>
        <v>NA</v>
      </c>
      <c r="AF1531" s="29" t="str">
        <f t="shared" si="522"/>
        <v>NA</v>
      </c>
      <c r="AG1531" s="29" t="str">
        <f t="shared" si="523"/>
        <v>NA</v>
      </c>
      <c r="AH1531" s="29" t="str">
        <f t="shared" si="524"/>
        <v>NA</v>
      </c>
    </row>
    <row r="1532" customHeight="1" spans="1:34">
      <c r="A1532" s="12" t="s">
        <v>1043</v>
      </c>
      <c r="F1532" s="24">
        <f t="shared" si="506"/>
        <v>0</v>
      </c>
      <c r="G1532" s="24" t="e">
        <f t="shared" si="505"/>
        <v>#DIV/0!</v>
      </c>
      <c r="Q1532" s="29" t="str">
        <f t="shared" si="507"/>
        <v>NA</v>
      </c>
      <c r="R1532" s="29" t="str">
        <f t="shared" si="508"/>
        <v>NA</v>
      </c>
      <c r="S1532" s="29" t="str">
        <f t="shared" si="509"/>
        <v>NA</v>
      </c>
      <c r="T1532" s="29" t="str">
        <f t="shared" si="510"/>
        <v>NA</v>
      </c>
      <c r="U1532" s="29" t="str">
        <f t="shared" si="511"/>
        <v>NA</v>
      </c>
      <c r="V1532" s="29" t="str">
        <f t="shared" si="512"/>
        <v>NA</v>
      </c>
      <c r="W1532" s="29" t="str">
        <f t="shared" si="513"/>
        <v>NA</v>
      </c>
      <c r="X1532" s="29" t="str">
        <f t="shared" si="514"/>
        <v>NA</v>
      </c>
      <c r="Y1532" s="29" t="str">
        <f t="shared" si="515"/>
        <v>NA</v>
      </c>
      <c r="Z1532" s="29" t="str">
        <f t="shared" si="516"/>
        <v>NA</v>
      </c>
      <c r="AA1532" s="29" t="str">
        <f t="shared" si="517"/>
        <v>NA</v>
      </c>
      <c r="AB1532" s="29" t="str">
        <f t="shared" si="518"/>
        <v>NA</v>
      </c>
      <c r="AC1532" s="29" t="str">
        <f t="shared" si="519"/>
        <v>NA</v>
      </c>
      <c r="AD1532" s="29" t="str">
        <f t="shared" si="520"/>
        <v>NA</v>
      </c>
      <c r="AE1532" s="29" t="str">
        <f t="shared" si="521"/>
        <v>NA</v>
      </c>
      <c r="AF1532" s="29" t="str">
        <f t="shared" si="522"/>
        <v>NA</v>
      </c>
      <c r="AG1532" s="29" t="str">
        <f t="shared" si="523"/>
        <v>NA</v>
      </c>
      <c r="AH1532" s="29" t="str">
        <f t="shared" si="524"/>
        <v>NA</v>
      </c>
    </row>
    <row r="1533" customHeight="1" spans="1:34">
      <c r="A1533" s="12" t="s">
        <v>1043</v>
      </c>
      <c r="F1533" s="24">
        <f t="shared" si="506"/>
        <v>0</v>
      </c>
      <c r="G1533" s="24" t="e">
        <f t="shared" si="505"/>
        <v>#DIV/0!</v>
      </c>
      <c r="Q1533" s="29" t="str">
        <f t="shared" si="507"/>
        <v>NA</v>
      </c>
      <c r="R1533" s="29" t="str">
        <f t="shared" si="508"/>
        <v>NA</v>
      </c>
      <c r="S1533" s="29" t="str">
        <f t="shared" si="509"/>
        <v>NA</v>
      </c>
      <c r="T1533" s="29" t="str">
        <f t="shared" si="510"/>
        <v>NA</v>
      </c>
      <c r="U1533" s="29" t="str">
        <f t="shared" si="511"/>
        <v>NA</v>
      </c>
      <c r="V1533" s="29" t="str">
        <f t="shared" si="512"/>
        <v>NA</v>
      </c>
      <c r="W1533" s="29" t="str">
        <f t="shared" si="513"/>
        <v>NA</v>
      </c>
      <c r="X1533" s="29" t="str">
        <f t="shared" si="514"/>
        <v>NA</v>
      </c>
      <c r="Y1533" s="29" t="str">
        <f t="shared" si="515"/>
        <v>NA</v>
      </c>
      <c r="Z1533" s="29" t="str">
        <f t="shared" si="516"/>
        <v>NA</v>
      </c>
      <c r="AA1533" s="29" t="str">
        <f t="shared" si="517"/>
        <v>NA</v>
      </c>
      <c r="AB1533" s="29" t="str">
        <f t="shared" si="518"/>
        <v>NA</v>
      </c>
      <c r="AC1533" s="29" t="str">
        <f t="shared" si="519"/>
        <v>NA</v>
      </c>
      <c r="AD1533" s="29" t="str">
        <f t="shared" si="520"/>
        <v>NA</v>
      </c>
      <c r="AE1533" s="29" t="str">
        <f t="shared" si="521"/>
        <v>NA</v>
      </c>
      <c r="AF1533" s="29" t="str">
        <f t="shared" si="522"/>
        <v>NA</v>
      </c>
      <c r="AG1533" s="29" t="str">
        <f t="shared" si="523"/>
        <v>NA</v>
      </c>
      <c r="AH1533" s="29" t="str">
        <f t="shared" si="524"/>
        <v>NA</v>
      </c>
    </row>
    <row r="1534" customHeight="1" spans="1:34">
      <c r="A1534" s="12" t="s">
        <v>1043</v>
      </c>
      <c r="F1534" s="24">
        <f t="shared" si="506"/>
        <v>0</v>
      </c>
      <c r="G1534" s="24" t="e">
        <f t="shared" si="505"/>
        <v>#DIV/0!</v>
      </c>
      <c r="Q1534" s="29" t="str">
        <f t="shared" si="507"/>
        <v>NA</v>
      </c>
      <c r="R1534" s="29" t="str">
        <f t="shared" si="508"/>
        <v>NA</v>
      </c>
      <c r="S1534" s="29" t="str">
        <f t="shared" si="509"/>
        <v>NA</v>
      </c>
      <c r="T1534" s="29" t="str">
        <f t="shared" si="510"/>
        <v>NA</v>
      </c>
      <c r="U1534" s="29" t="str">
        <f t="shared" si="511"/>
        <v>NA</v>
      </c>
      <c r="V1534" s="29" t="str">
        <f t="shared" si="512"/>
        <v>NA</v>
      </c>
      <c r="W1534" s="29" t="str">
        <f t="shared" si="513"/>
        <v>NA</v>
      </c>
      <c r="X1534" s="29" t="str">
        <f t="shared" si="514"/>
        <v>NA</v>
      </c>
      <c r="Y1534" s="29" t="str">
        <f t="shared" si="515"/>
        <v>NA</v>
      </c>
      <c r="Z1534" s="29" t="str">
        <f t="shared" si="516"/>
        <v>NA</v>
      </c>
      <c r="AA1534" s="29" t="str">
        <f t="shared" si="517"/>
        <v>NA</v>
      </c>
      <c r="AB1534" s="29" t="str">
        <f t="shared" si="518"/>
        <v>NA</v>
      </c>
      <c r="AC1534" s="29" t="str">
        <f t="shared" si="519"/>
        <v>NA</v>
      </c>
      <c r="AD1534" s="29" t="str">
        <f t="shared" si="520"/>
        <v>NA</v>
      </c>
      <c r="AE1534" s="29" t="str">
        <f t="shared" si="521"/>
        <v>NA</v>
      </c>
      <c r="AF1534" s="29" t="str">
        <f t="shared" si="522"/>
        <v>NA</v>
      </c>
      <c r="AG1534" s="29" t="str">
        <f t="shared" si="523"/>
        <v>NA</v>
      </c>
      <c r="AH1534" s="29" t="str">
        <f t="shared" si="524"/>
        <v>NA</v>
      </c>
    </row>
    <row r="1535" customHeight="1" spans="1:34">
      <c r="A1535" s="12" t="s">
        <v>1043</v>
      </c>
      <c r="F1535" s="24">
        <f t="shared" si="506"/>
        <v>0</v>
      </c>
      <c r="G1535" s="24" t="e">
        <f t="shared" si="505"/>
        <v>#DIV/0!</v>
      </c>
      <c r="Q1535" s="29" t="str">
        <f t="shared" si="507"/>
        <v>NA</v>
      </c>
      <c r="R1535" s="29" t="str">
        <f t="shared" si="508"/>
        <v>NA</v>
      </c>
      <c r="S1535" s="29" t="str">
        <f t="shared" si="509"/>
        <v>NA</v>
      </c>
      <c r="T1535" s="29" t="str">
        <f t="shared" si="510"/>
        <v>NA</v>
      </c>
      <c r="U1535" s="29" t="str">
        <f t="shared" si="511"/>
        <v>NA</v>
      </c>
      <c r="V1535" s="29" t="str">
        <f t="shared" si="512"/>
        <v>NA</v>
      </c>
      <c r="W1535" s="29" t="str">
        <f t="shared" si="513"/>
        <v>NA</v>
      </c>
      <c r="X1535" s="29" t="str">
        <f t="shared" si="514"/>
        <v>NA</v>
      </c>
      <c r="Y1535" s="29" t="str">
        <f t="shared" si="515"/>
        <v>NA</v>
      </c>
      <c r="Z1535" s="29" t="str">
        <f t="shared" si="516"/>
        <v>NA</v>
      </c>
      <c r="AA1535" s="29" t="str">
        <f t="shared" si="517"/>
        <v>NA</v>
      </c>
      <c r="AB1535" s="29" t="str">
        <f t="shared" si="518"/>
        <v>NA</v>
      </c>
      <c r="AC1535" s="29" t="str">
        <f t="shared" si="519"/>
        <v>NA</v>
      </c>
      <c r="AD1535" s="29" t="str">
        <f t="shared" si="520"/>
        <v>NA</v>
      </c>
      <c r="AE1535" s="29" t="str">
        <f t="shared" si="521"/>
        <v>NA</v>
      </c>
      <c r="AF1535" s="29" t="str">
        <f t="shared" si="522"/>
        <v>NA</v>
      </c>
      <c r="AG1535" s="29" t="str">
        <f t="shared" si="523"/>
        <v>NA</v>
      </c>
      <c r="AH1535" s="29" t="str">
        <f t="shared" si="524"/>
        <v>NA</v>
      </c>
    </row>
    <row r="1536" customHeight="1" spans="1:34">
      <c r="A1536" s="12" t="s">
        <v>1043</v>
      </c>
      <c r="F1536" s="24">
        <f t="shared" si="506"/>
        <v>0</v>
      </c>
      <c r="G1536" s="24" t="e">
        <f t="shared" si="505"/>
        <v>#DIV/0!</v>
      </c>
      <c r="Q1536" s="29" t="str">
        <f t="shared" si="507"/>
        <v>NA</v>
      </c>
      <c r="R1536" s="29" t="str">
        <f t="shared" si="508"/>
        <v>NA</v>
      </c>
      <c r="S1536" s="29" t="str">
        <f t="shared" si="509"/>
        <v>NA</v>
      </c>
      <c r="T1536" s="29" t="str">
        <f t="shared" si="510"/>
        <v>NA</v>
      </c>
      <c r="U1536" s="29" t="str">
        <f t="shared" si="511"/>
        <v>NA</v>
      </c>
      <c r="V1536" s="29" t="str">
        <f t="shared" si="512"/>
        <v>NA</v>
      </c>
      <c r="W1536" s="29" t="str">
        <f t="shared" si="513"/>
        <v>NA</v>
      </c>
      <c r="X1536" s="29" t="str">
        <f t="shared" si="514"/>
        <v>NA</v>
      </c>
      <c r="Y1536" s="29" t="str">
        <f t="shared" si="515"/>
        <v>NA</v>
      </c>
      <c r="Z1536" s="29" t="str">
        <f t="shared" si="516"/>
        <v>NA</v>
      </c>
      <c r="AA1536" s="29" t="str">
        <f t="shared" si="517"/>
        <v>NA</v>
      </c>
      <c r="AB1536" s="29" t="str">
        <f t="shared" si="518"/>
        <v>NA</v>
      </c>
      <c r="AC1536" s="29" t="str">
        <f t="shared" si="519"/>
        <v>NA</v>
      </c>
      <c r="AD1536" s="29" t="str">
        <f t="shared" si="520"/>
        <v>NA</v>
      </c>
      <c r="AE1536" s="29" t="str">
        <f t="shared" si="521"/>
        <v>NA</v>
      </c>
      <c r="AF1536" s="29" t="str">
        <f t="shared" si="522"/>
        <v>NA</v>
      </c>
      <c r="AG1536" s="29" t="str">
        <f t="shared" si="523"/>
        <v>NA</v>
      </c>
      <c r="AH1536" s="29" t="str">
        <f t="shared" si="524"/>
        <v>NA</v>
      </c>
    </row>
    <row r="1537" customHeight="1" spans="1:34">
      <c r="A1537" s="12" t="s">
        <v>1043</v>
      </c>
      <c r="F1537" s="24">
        <f t="shared" si="506"/>
        <v>0</v>
      </c>
      <c r="G1537" s="24" t="e">
        <f t="shared" si="505"/>
        <v>#DIV/0!</v>
      </c>
      <c r="Q1537" s="29" t="str">
        <f t="shared" si="507"/>
        <v>NA</v>
      </c>
      <c r="R1537" s="29" t="str">
        <f t="shared" si="508"/>
        <v>NA</v>
      </c>
      <c r="S1537" s="29" t="str">
        <f t="shared" si="509"/>
        <v>NA</v>
      </c>
      <c r="T1537" s="29" t="str">
        <f t="shared" si="510"/>
        <v>NA</v>
      </c>
      <c r="U1537" s="29" t="str">
        <f t="shared" si="511"/>
        <v>NA</v>
      </c>
      <c r="V1537" s="29" t="str">
        <f t="shared" si="512"/>
        <v>NA</v>
      </c>
      <c r="W1537" s="29" t="str">
        <f t="shared" si="513"/>
        <v>NA</v>
      </c>
      <c r="X1537" s="29" t="str">
        <f t="shared" si="514"/>
        <v>NA</v>
      </c>
      <c r="Y1537" s="29" t="str">
        <f t="shared" si="515"/>
        <v>NA</v>
      </c>
      <c r="Z1537" s="29" t="str">
        <f t="shared" si="516"/>
        <v>NA</v>
      </c>
      <c r="AA1537" s="29" t="str">
        <f t="shared" si="517"/>
        <v>NA</v>
      </c>
      <c r="AB1537" s="29" t="str">
        <f t="shared" si="518"/>
        <v>NA</v>
      </c>
      <c r="AC1537" s="29" t="str">
        <f t="shared" si="519"/>
        <v>NA</v>
      </c>
      <c r="AD1537" s="29" t="str">
        <f t="shared" si="520"/>
        <v>NA</v>
      </c>
      <c r="AE1537" s="29" t="str">
        <f t="shared" si="521"/>
        <v>NA</v>
      </c>
      <c r="AF1537" s="29" t="str">
        <f t="shared" si="522"/>
        <v>NA</v>
      </c>
      <c r="AG1537" s="29" t="str">
        <f t="shared" si="523"/>
        <v>NA</v>
      </c>
      <c r="AH1537" s="29" t="str">
        <f t="shared" si="524"/>
        <v>NA</v>
      </c>
    </row>
    <row r="1538" customHeight="1" spans="1:34">
      <c r="A1538" s="12" t="s">
        <v>1043</v>
      </c>
      <c r="F1538" s="24">
        <f t="shared" si="506"/>
        <v>0</v>
      </c>
      <c r="G1538" s="24" t="e">
        <f t="shared" si="505"/>
        <v>#DIV/0!</v>
      </c>
      <c r="Q1538" s="29" t="str">
        <f t="shared" si="507"/>
        <v>NA</v>
      </c>
      <c r="R1538" s="29" t="str">
        <f t="shared" si="508"/>
        <v>NA</v>
      </c>
      <c r="S1538" s="29" t="str">
        <f t="shared" si="509"/>
        <v>NA</v>
      </c>
      <c r="T1538" s="29" t="str">
        <f t="shared" si="510"/>
        <v>NA</v>
      </c>
      <c r="U1538" s="29" t="str">
        <f t="shared" si="511"/>
        <v>NA</v>
      </c>
      <c r="V1538" s="29" t="str">
        <f t="shared" si="512"/>
        <v>NA</v>
      </c>
      <c r="W1538" s="29" t="str">
        <f t="shared" si="513"/>
        <v>NA</v>
      </c>
      <c r="X1538" s="29" t="str">
        <f t="shared" si="514"/>
        <v>NA</v>
      </c>
      <c r="Y1538" s="29" t="str">
        <f t="shared" si="515"/>
        <v>NA</v>
      </c>
      <c r="Z1538" s="29" t="str">
        <f t="shared" si="516"/>
        <v>NA</v>
      </c>
      <c r="AA1538" s="29" t="str">
        <f t="shared" si="517"/>
        <v>NA</v>
      </c>
      <c r="AB1538" s="29" t="str">
        <f t="shared" si="518"/>
        <v>NA</v>
      </c>
      <c r="AC1538" s="29" t="str">
        <f t="shared" si="519"/>
        <v>NA</v>
      </c>
      <c r="AD1538" s="29" t="str">
        <f t="shared" si="520"/>
        <v>NA</v>
      </c>
      <c r="AE1538" s="29" t="str">
        <f t="shared" si="521"/>
        <v>NA</v>
      </c>
      <c r="AF1538" s="29" t="str">
        <f t="shared" si="522"/>
        <v>NA</v>
      </c>
      <c r="AG1538" s="29" t="str">
        <f t="shared" si="523"/>
        <v>NA</v>
      </c>
      <c r="AH1538" s="29" t="str">
        <f t="shared" si="524"/>
        <v>NA</v>
      </c>
    </row>
    <row r="1539" customHeight="1" spans="1:34">
      <c r="A1539" s="12" t="s">
        <v>1043</v>
      </c>
      <c r="F1539" s="24">
        <f t="shared" si="506"/>
        <v>0</v>
      </c>
      <c r="G1539" s="24" t="e">
        <f t="shared" si="505"/>
        <v>#DIV/0!</v>
      </c>
      <c r="Q1539" s="29" t="str">
        <f t="shared" si="507"/>
        <v>NA</v>
      </c>
      <c r="R1539" s="29" t="str">
        <f t="shared" si="508"/>
        <v>NA</v>
      </c>
      <c r="S1539" s="29" t="str">
        <f t="shared" si="509"/>
        <v>NA</v>
      </c>
      <c r="T1539" s="29" t="str">
        <f t="shared" si="510"/>
        <v>NA</v>
      </c>
      <c r="U1539" s="29" t="str">
        <f t="shared" si="511"/>
        <v>NA</v>
      </c>
      <c r="V1539" s="29" t="str">
        <f t="shared" si="512"/>
        <v>NA</v>
      </c>
      <c r="W1539" s="29" t="str">
        <f t="shared" si="513"/>
        <v>NA</v>
      </c>
      <c r="X1539" s="29" t="str">
        <f t="shared" si="514"/>
        <v>NA</v>
      </c>
      <c r="Y1539" s="29" t="str">
        <f t="shared" si="515"/>
        <v>NA</v>
      </c>
      <c r="Z1539" s="29" t="str">
        <f t="shared" si="516"/>
        <v>NA</v>
      </c>
      <c r="AA1539" s="29" t="str">
        <f t="shared" si="517"/>
        <v>NA</v>
      </c>
      <c r="AB1539" s="29" t="str">
        <f t="shared" si="518"/>
        <v>NA</v>
      </c>
      <c r="AC1539" s="29" t="str">
        <f t="shared" si="519"/>
        <v>NA</v>
      </c>
      <c r="AD1539" s="29" t="str">
        <f t="shared" si="520"/>
        <v>NA</v>
      </c>
      <c r="AE1539" s="29" t="str">
        <f t="shared" si="521"/>
        <v>NA</v>
      </c>
      <c r="AF1539" s="29" t="str">
        <f t="shared" si="522"/>
        <v>NA</v>
      </c>
      <c r="AG1539" s="29" t="str">
        <f t="shared" si="523"/>
        <v>NA</v>
      </c>
      <c r="AH1539" s="29" t="str">
        <f t="shared" si="524"/>
        <v>NA</v>
      </c>
    </row>
    <row r="1540" customHeight="1" spans="1:34">
      <c r="A1540" s="12" t="s">
        <v>1043</v>
      </c>
      <c r="F1540" s="24">
        <f t="shared" si="506"/>
        <v>0</v>
      </c>
      <c r="G1540" s="24" t="e">
        <f t="shared" si="505"/>
        <v>#DIV/0!</v>
      </c>
      <c r="Q1540" s="29" t="str">
        <f t="shared" si="507"/>
        <v>NA</v>
      </c>
      <c r="R1540" s="29" t="str">
        <f t="shared" si="508"/>
        <v>NA</v>
      </c>
      <c r="S1540" s="29" t="str">
        <f t="shared" si="509"/>
        <v>NA</v>
      </c>
      <c r="T1540" s="29" t="str">
        <f t="shared" si="510"/>
        <v>NA</v>
      </c>
      <c r="U1540" s="29" t="str">
        <f t="shared" si="511"/>
        <v>NA</v>
      </c>
      <c r="V1540" s="29" t="str">
        <f t="shared" si="512"/>
        <v>NA</v>
      </c>
      <c r="W1540" s="29" t="str">
        <f t="shared" si="513"/>
        <v>NA</v>
      </c>
      <c r="X1540" s="29" t="str">
        <f t="shared" si="514"/>
        <v>NA</v>
      </c>
      <c r="Y1540" s="29" t="str">
        <f t="shared" si="515"/>
        <v>NA</v>
      </c>
      <c r="Z1540" s="29" t="str">
        <f t="shared" si="516"/>
        <v>NA</v>
      </c>
      <c r="AA1540" s="29" t="str">
        <f t="shared" si="517"/>
        <v>NA</v>
      </c>
      <c r="AB1540" s="29" t="str">
        <f t="shared" si="518"/>
        <v>NA</v>
      </c>
      <c r="AC1540" s="29" t="str">
        <f t="shared" si="519"/>
        <v>NA</v>
      </c>
      <c r="AD1540" s="29" t="str">
        <f t="shared" si="520"/>
        <v>NA</v>
      </c>
      <c r="AE1540" s="29" t="str">
        <f t="shared" si="521"/>
        <v>NA</v>
      </c>
      <c r="AF1540" s="29" t="str">
        <f t="shared" si="522"/>
        <v>NA</v>
      </c>
      <c r="AG1540" s="29" t="str">
        <f t="shared" si="523"/>
        <v>NA</v>
      </c>
      <c r="AH1540" s="29" t="str">
        <f t="shared" si="524"/>
        <v>NA</v>
      </c>
    </row>
    <row r="1541" customHeight="1" spans="1:34">
      <c r="A1541" s="12" t="s">
        <v>1043</v>
      </c>
      <c r="F1541" s="24">
        <f t="shared" si="506"/>
        <v>0</v>
      </c>
      <c r="G1541" s="24" t="e">
        <f t="shared" ref="G1541:G1604" si="525">B1541*D1541/C1541</f>
        <v>#DIV/0!</v>
      </c>
      <c r="Q1541" s="29" t="str">
        <f t="shared" si="507"/>
        <v>NA</v>
      </c>
      <c r="R1541" s="29" t="str">
        <f t="shared" si="508"/>
        <v>NA</v>
      </c>
      <c r="S1541" s="29" t="str">
        <f t="shared" si="509"/>
        <v>NA</v>
      </c>
      <c r="T1541" s="29" t="str">
        <f t="shared" si="510"/>
        <v>NA</v>
      </c>
      <c r="U1541" s="29" t="str">
        <f t="shared" si="511"/>
        <v>NA</v>
      </c>
      <c r="V1541" s="29" t="str">
        <f t="shared" si="512"/>
        <v>NA</v>
      </c>
      <c r="W1541" s="29" t="str">
        <f t="shared" si="513"/>
        <v>NA</v>
      </c>
      <c r="X1541" s="29" t="str">
        <f t="shared" si="514"/>
        <v>NA</v>
      </c>
      <c r="Y1541" s="29" t="str">
        <f t="shared" si="515"/>
        <v>NA</v>
      </c>
      <c r="Z1541" s="29" t="str">
        <f t="shared" si="516"/>
        <v>NA</v>
      </c>
      <c r="AA1541" s="29" t="str">
        <f t="shared" si="517"/>
        <v>NA</v>
      </c>
      <c r="AB1541" s="29" t="str">
        <f t="shared" si="518"/>
        <v>NA</v>
      </c>
      <c r="AC1541" s="29" t="str">
        <f t="shared" si="519"/>
        <v>NA</v>
      </c>
      <c r="AD1541" s="29" t="str">
        <f t="shared" si="520"/>
        <v>NA</v>
      </c>
      <c r="AE1541" s="29" t="str">
        <f t="shared" si="521"/>
        <v>NA</v>
      </c>
      <c r="AF1541" s="29" t="str">
        <f t="shared" si="522"/>
        <v>NA</v>
      </c>
      <c r="AG1541" s="29" t="str">
        <f t="shared" si="523"/>
        <v>NA</v>
      </c>
      <c r="AH1541" s="29" t="str">
        <f t="shared" si="524"/>
        <v>NA</v>
      </c>
    </row>
    <row r="1542" customHeight="1" spans="1:34">
      <c r="A1542" s="12" t="s">
        <v>1043</v>
      </c>
      <c r="F1542" s="24">
        <f t="shared" ref="F1542:F1605" si="526">+D1542+E1542</f>
        <v>0</v>
      </c>
      <c r="G1542" s="24" t="e">
        <f t="shared" si="525"/>
        <v>#DIV/0!</v>
      </c>
      <c r="Q1542" s="29" t="str">
        <f t="shared" si="507"/>
        <v>NA</v>
      </c>
      <c r="R1542" s="29" t="str">
        <f t="shared" si="508"/>
        <v>NA</v>
      </c>
      <c r="S1542" s="29" t="str">
        <f t="shared" si="509"/>
        <v>NA</v>
      </c>
      <c r="T1542" s="29" t="str">
        <f t="shared" si="510"/>
        <v>NA</v>
      </c>
      <c r="U1542" s="29" t="str">
        <f t="shared" si="511"/>
        <v>NA</v>
      </c>
      <c r="V1542" s="29" t="str">
        <f t="shared" si="512"/>
        <v>NA</v>
      </c>
      <c r="W1542" s="29" t="str">
        <f t="shared" si="513"/>
        <v>NA</v>
      </c>
      <c r="X1542" s="29" t="str">
        <f t="shared" si="514"/>
        <v>NA</v>
      </c>
      <c r="Y1542" s="29" t="str">
        <f t="shared" si="515"/>
        <v>NA</v>
      </c>
      <c r="Z1542" s="29" t="str">
        <f t="shared" si="516"/>
        <v>NA</v>
      </c>
      <c r="AA1542" s="29" t="str">
        <f t="shared" si="517"/>
        <v>NA</v>
      </c>
      <c r="AB1542" s="29" t="str">
        <f t="shared" si="518"/>
        <v>NA</v>
      </c>
      <c r="AC1542" s="29" t="str">
        <f t="shared" si="519"/>
        <v>NA</v>
      </c>
      <c r="AD1542" s="29" t="str">
        <f t="shared" si="520"/>
        <v>NA</v>
      </c>
      <c r="AE1542" s="29" t="str">
        <f t="shared" si="521"/>
        <v>NA</v>
      </c>
      <c r="AF1542" s="29" t="str">
        <f t="shared" si="522"/>
        <v>NA</v>
      </c>
      <c r="AG1542" s="29" t="str">
        <f t="shared" si="523"/>
        <v>NA</v>
      </c>
      <c r="AH1542" s="29" t="str">
        <f t="shared" si="524"/>
        <v>NA</v>
      </c>
    </row>
    <row r="1543" customHeight="1" spans="1:34">
      <c r="A1543" s="12" t="s">
        <v>1043</v>
      </c>
      <c r="F1543" s="24">
        <f t="shared" si="526"/>
        <v>0</v>
      </c>
      <c r="G1543" s="24" t="e">
        <f t="shared" si="525"/>
        <v>#DIV/0!</v>
      </c>
      <c r="Q1543" s="29" t="str">
        <f t="shared" si="507"/>
        <v>NA</v>
      </c>
      <c r="R1543" s="29" t="str">
        <f t="shared" si="508"/>
        <v>NA</v>
      </c>
      <c r="S1543" s="29" t="str">
        <f t="shared" si="509"/>
        <v>NA</v>
      </c>
      <c r="T1543" s="29" t="str">
        <f t="shared" si="510"/>
        <v>NA</v>
      </c>
      <c r="U1543" s="29" t="str">
        <f t="shared" si="511"/>
        <v>NA</v>
      </c>
      <c r="V1543" s="29" t="str">
        <f t="shared" si="512"/>
        <v>NA</v>
      </c>
      <c r="W1543" s="29" t="str">
        <f t="shared" si="513"/>
        <v>NA</v>
      </c>
      <c r="X1543" s="29" t="str">
        <f t="shared" si="514"/>
        <v>NA</v>
      </c>
      <c r="Y1543" s="29" t="str">
        <f t="shared" si="515"/>
        <v>NA</v>
      </c>
      <c r="Z1543" s="29" t="str">
        <f t="shared" si="516"/>
        <v>NA</v>
      </c>
      <c r="AA1543" s="29" t="str">
        <f t="shared" si="517"/>
        <v>NA</v>
      </c>
      <c r="AB1543" s="29" t="str">
        <f t="shared" si="518"/>
        <v>NA</v>
      </c>
      <c r="AC1543" s="29" t="str">
        <f t="shared" si="519"/>
        <v>NA</v>
      </c>
      <c r="AD1543" s="29" t="str">
        <f t="shared" si="520"/>
        <v>NA</v>
      </c>
      <c r="AE1543" s="29" t="str">
        <f t="shared" si="521"/>
        <v>NA</v>
      </c>
      <c r="AF1543" s="29" t="str">
        <f t="shared" si="522"/>
        <v>NA</v>
      </c>
      <c r="AG1543" s="29" t="str">
        <f t="shared" si="523"/>
        <v>NA</v>
      </c>
      <c r="AH1543" s="29" t="str">
        <f t="shared" si="524"/>
        <v>NA</v>
      </c>
    </row>
    <row r="1544" customHeight="1" spans="1:34">
      <c r="A1544" s="12" t="s">
        <v>1043</v>
      </c>
      <c r="F1544" s="24">
        <f t="shared" si="526"/>
        <v>0</v>
      </c>
      <c r="G1544" s="24" t="e">
        <f t="shared" si="525"/>
        <v>#DIV/0!</v>
      </c>
      <c r="Q1544" s="29" t="str">
        <f t="shared" si="507"/>
        <v>NA</v>
      </c>
      <c r="R1544" s="29" t="str">
        <f t="shared" si="508"/>
        <v>NA</v>
      </c>
      <c r="S1544" s="29" t="str">
        <f t="shared" si="509"/>
        <v>NA</v>
      </c>
      <c r="T1544" s="29" t="str">
        <f t="shared" si="510"/>
        <v>NA</v>
      </c>
      <c r="U1544" s="29" t="str">
        <f t="shared" si="511"/>
        <v>NA</v>
      </c>
      <c r="V1544" s="29" t="str">
        <f t="shared" si="512"/>
        <v>NA</v>
      </c>
      <c r="W1544" s="29" t="str">
        <f t="shared" si="513"/>
        <v>NA</v>
      </c>
      <c r="X1544" s="29" t="str">
        <f t="shared" si="514"/>
        <v>NA</v>
      </c>
      <c r="Y1544" s="29" t="str">
        <f t="shared" si="515"/>
        <v>NA</v>
      </c>
      <c r="Z1544" s="29" t="str">
        <f t="shared" si="516"/>
        <v>NA</v>
      </c>
      <c r="AA1544" s="29" t="str">
        <f t="shared" si="517"/>
        <v>NA</v>
      </c>
      <c r="AB1544" s="29" t="str">
        <f t="shared" si="518"/>
        <v>NA</v>
      </c>
      <c r="AC1544" s="29" t="str">
        <f t="shared" si="519"/>
        <v>NA</v>
      </c>
      <c r="AD1544" s="29" t="str">
        <f t="shared" si="520"/>
        <v>NA</v>
      </c>
      <c r="AE1544" s="29" t="str">
        <f t="shared" si="521"/>
        <v>NA</v>
      </c>
      <c r="AF1544" s="29" t="str">
        <f t="shared" si="522"/>
        <v>NA</v>
      </c>
      <c r="AG1544" s="29" t="str">
        <f t="shared" si="523"/>
        <v>NA</v>
      </c>
      <c r="AH1544" s="29" t="str">
        <f t="shared" si="524"/>
        <v>NA</v>
      </c>
    </row>
    <row r="1545" customHeight="1" spans="1:34">
      <c r="A1545" s="12" t="s">
        <v>1043</v>
      </c>
      <c r="F1545" s="24">
        <f t="shared" si="526"/>
        <v>0</v>
      </c>
      <c r="G1545" s="24" t="e">
        <f t="shared" si="525"/>
        <v>#DIV/0!</v>
      </c>
      <c r="Q1545" s="29" t="str">
        <f t="shared" si="507"/>
        <v>NA</v>
      </c>
      <c r="R1545" s="29" t="str">
        <f t="shared" si="508"/>
        <v>NA</v>
      </c>
      <c r="S1545" s="29" t="str">
        <f t="shared" si="509"/>
        <v>NA</v>
      </c>
      <c r="T1545" s="29" t="str">
        <f t="shared" si="510"/>
        <v>NA</v>
      </c>
      <c r="U1545" s="29" t="str">
        <f t="shared" si="511"/>
        <v>NA</v>
      </c>
      <c r="V1545" s="29" t="str">
        <f t="shared" si="512"/>
        <v>NA</v>
      </c>
      <c r="W1545" s="29" t="str">
        <f t="shared" si="513"/>
        <v>NA</v>
      </c>
      <c r="X1545" s="29" t="str">
        <f t="shared" si="514"/>
        <v>NA</v>
      </c>
      <c r="Y1545" s="29" t="str">
        <f t="shared" si="515"/>
        <v>NA</v>
      </c>
      <c r="Z1545" s="29" t="str">
        <f t="shared" si="516"/>
        <v>NA</v>
      </c>
      <c r="AA1545" s="29" t="str">
        <f t="shared" si="517"/>
        <v>NA</v>
      </c>
      <c r="AB1545" s="29" t="str">
        <f t="shared" si="518"/>
        <v>NA</v>
      </c>
      <c r="AC1545" s="29" t="str">
        <f t="shared" si="519"/>
        <v>NA</v>
      </c>
      <c r="AD1545" s="29" t="str">
        <f t="shared" si="520"/>
        <v>NA</v>
      </c>
      <c r="AE1545" s="29" t="str">
        <f t="shared" si="521"/>
        <v>NA</v>
      </c>
      <c r="AF1545" s="29" t="str">
        <f t="shared" si="522"/>
        <v>NA</v>
      </c>
      <c r="AG1545" s="29" t="str">
        <f t="shared" si="523"/>
        <v>NA</v>
      </c>
      <c r="AH1545" s="29" t="str">
        <f t="shared" si="524"/>
        <v>NA</v>
      </c>
    </row>
    <row r="1546" customHeight="1" spans="1:34">
      <c r="A1546" s="12" t="s">
        <v>1043</v>
      </c>
      <c r="F1546" s="24">
        <f t="shared" si="526"/>
        <v>0</v>
      </c>
      <c r="G1546" s="24" t="e">
        <f t="shared" si="525"/>
        <v>#DIV/0!</v>
      </c>
      <c r="Q1546" s="29" t="str">
        <f t="shared" si="507"/>
        <v>NA</v>
      </c>
      <c r="R1546" s="29" t="str">
        <f t="shared" si="508"/>
        <v>NA</v>
      </c>
      <c r="S1546" s="29" t="str">
        <f t="shared" si="509"/>
        <v>NA</v>
      </c>
      <c r="T1546" s="29" t="str">
        <f t="shared" si="510"/>
        <v>NA</v>
      </c>
      <c r="U1546" s="29" t="str">
        <f t="shared" si="511"/>
        <v>NA</v>
      </c>
      <c r="V1546" s="29" t="str">
        <f t="shared" si="512"/>
        <v>NA</v>
      </c>
      <c r="W1546" s="29" t="str">
        <f t="shared" si="513"/>
        <v>NA</v>
      </c>
      <c r="X1546" s="29" t="str">
        <f t="shared" si="514"/>
        <v>NA</v>
      </c>
      <c r="Y1546" s="29" t="str">
        <f t="shared" si="515"/>
        <v>NA</v>
      </c>
      <c r="Z1546" s="29" t="str">
        <f t="shared" si="516"/>
        <v>NA</v>
      </c>
      <c r="AA1546" s="29" t="str">
        <f t="shared" si="517"/>
        <v>NA</v>
      </c>
      <c r="AB1546" s="29" t="str">
        <f t="shared" si="518"/>
        <v>NA</v>
      </c>
      <c r="AC1546" s="29" t="str">
        <f t="shared" si="519"/>
        <v>NA</v>
      </c>
      <c r="AD1546" s="29" t="str">
        <f t="shared" si="520"/>
        <v>NA</v>
      </c>
      <c r="AE1546" s="29" t="str">
        <f t="shared" si="521"/>
        <v>NA</v>
      </c>
      <c r="AF1546" s="29" t="str">
        <f t="shared" si="522"/>
        <v>NA</v>
      </c>
      <c r="AG1546" s="29" t="str">
        <f t="shared" si="523"/>
        <v>NA</v>
      </c>
      <c r="AH1546" s="29" t="str">
        <f t="shared" si="524"/>
        <v>NA</v>
      </c>
    </row>
    <row r="1547" customHeight="1" spans="1:34">
      <c r="A1547" s="12" t="s">
        <v>1043</v>
      </c>
      <c r="F1547" s="24">
        <f t="shared" si="526"/>
        <v>0</v>
      </c>
      <c r="G1547" s="24" t="e">
        <f t="shared" si="525"/>
        <v>#DIV/0!</v>
      </c>
      <c r="Q1547" s="29" t="str">
        <f t="shared" si="507"/>
        <v>NA</v>
      </c>
      <c r="R1547" s="29" t="str">
        <f t="shared" si="508"/>
        <v>NA</v>
      </c>
      <c r="S1547" s="29" t="str">
        <f t="shared" si="509"/>
        <v>NA</v>
      </c>
      <c r="T1547" s="29" t="str">
        <f t="shared" si="510"/>
        <v>NA</v>
      </c>
      <c r="U1547" s="29" t="str">
        <f t="shared" si="511"/>
        <v>NA</v>
      </c>
      <c r="V1547" s="29" t="str">
        <f t="shared" si="512"/>
        <v>NA</v>
      </c>
      <c r="W1547" s="29" t="str">
        <f t="shared" si="513"/>
        <v>NA</v>
      </c>
      <c r="X1547" s="29" t="str">
        <f t="shared" si="514"/>
        <v>NA</v>
      </c>
      <c r="Y1547" s="29" t="str">
        <f t="shared" si="515"/>
        <v>NA</v>
      </c>
      <c r="Z1547" s="29" t="str">
        <f t="shared" si="516"/>
        <v>NA</v>
      </c>
      <c r="AA1547" s="29" t="str">
        <f t="shared" si="517"/>
        <v>NA</v>
      </c>
      <c r="AB1547" s="29" t="str">
        <f t="shared" si="518"/>
        <v>NA</v>
      </c>
      <c r="AC1547" s="29" t="str">
        <f t="shared" si="519"/>
        <v>NA</v>
      </c>
      <c r="AD1547" s="29" t="str">
        <f t="shared" si="520"/>
        <v>NA</v>
      </c>
      <c r="AE1547" s="29" t="str">
        <f t="shared" si="521"/>
        <v>NA</v>
      </c>
      <c r="AF1547" s="29" t="str">
        <f t="shared" si="522"/>
        <v>NA</v>
      </c>
      <c r="AG1547" s="29" t="str">
        <f t="shared" si="523"/>
        <v>NA</v>
      </c>
      <c r="AH1547" s="29" t="str">
        <f t="shared" si="524"/>
        <v>NA</v>
      </c>
    </row>
    <row r="1548" customHeight="1" spans="1:34">
      <c r="A1548" s="12" t="s">
        <v>1043</v>
      </c>
      <c r="F1548" s="24">
        <f t="shared" si="526"/>
        <v>0</v>
      </c>
      <c r="G1548" s="24" t="e">
        <f t="shared" si="525"/>
        <v>#DIV/0!</v>
      </c>
      <c r="Q1548" s="29" t="str">
        <f t="shared" si="507"/>
        <v>NA</v>
      </c>
      <c r="R1548" s="29" t="str">
        <f t="shared" si="508"/>
        <v>NA</v>
      </c>
      <c r="S1548" s="29" t="str">
        <f t="shared" si="509"/>
        <v>NA</v>
      </c>
      <c r="T1548" s="29" t="str">
        <f t="shared" si="510"/>
        <v>NA</v>
      </c>
      <c r="U1548" s="29" t="str">
        <f t="shared" si="511"/>
        <v>NA</v>
      </c>
      <c r="V1548" s="29" t="str">
        <f t="shared" si="512"/>
        <v>NA</v>
      </c>
      <c r="W1548" s="29" t="str">
        <f t="shared" si="513"/>
        <v>NA</v>
      </c>
      <c r="X1548" s="29" t="str">
        <f t="shared" si="514"/>
        <v>NA</v>
      </c>
      <c r="Y1548" s="29" t="str">
        <f t="shared" si="515"/>
        <v>NA</v>
      </c>
      <c r="Z1548" s="29" t="str">
        <f t="shared" si="516"/>
        <v>NA</v>
      </c>
      <c r="AA1548" s="29" t="str">
        <f t="shared" si="517"/>
        <v>NA</v>
      </c>
      <c r="AB1548" s="29" t="str">
        <f t="shared" si="518"/>
        <v>NA</v>
      </c>
      <c r="AC1548" s="29" t="str">
        <f t="shared" si="519"/>
        <v>NA</v>
      </c>
      <c r="AD1548" s="29" t="str">
        <f t="shared" si="520"/>
        <v>NA</v>
      </c>
      <c r="AE1548" s="29" t="str">
        <f t="shared" si="521"/>
        <v>NA</v>
      </c>
      <c r="AF1548" s="29" t="str">
        <f t="shared" si="522"/>
        <v>NA</v>
      </c>
      <c r="AG1548" s="29" t="str">
        <f t="shared" si="523"/>
        <v>NA</v>
      </c>
      <c r="AH1548" s="29" t="str">
        <f t="shared" si="524"/>
        <v>NA</v>
      </c>
    </row>
    <row r="1549" customHeight="1" spans="1:34">
      <c r="A1549" s="12" t="s">
        <v>1043</v>
      </c>
      <c r="F1549" s="24">
        <f t="shared" si="526"/>
        <v>0</v>
      </c>
      <c r="G1549" s="24" t="e">
        <f t="shared" si="525"/>
        <v>#DIV/0!</v>
      </c>
      <c r="Q1549" s="29" t="str">
        <f t="shared" si="507"/>
        <v>NA</v>
      </c>
      <c r="R1549" s="29" t="str">
        <f t="shared" si="508"/>
        <v>NA</v>
      </c>
      <c r="S1549" s="29" t="str">
        <f t="shared" si="509"/>
        <v>NA</v>
      </c>
      <c r="T1549" s="29" t="str">
        <f t="shared" si="510"/>
        <v>NA</v>
      </c>
      <c r="U1549" s="29" t="str">
        <f t="shared" si="511"/>
        <v>NA</v>
      </c>
      <c r="V1549" s="29" t="str">
        <f t="shared" si="512"/>
        <v>NA</v>
      </c>
      <c r="W1549" s="29" t="str">
        <f t="shared" si="513"/>
        <v>NA</v>
      </c>
      <c r="X1549" s="29" t="str">
        <f t="shared" si="514"/>
        <v>NA</v>
      </c>
      <c r="Y1549" s="29" t="str">
        <f t="shared" si="515"/>
        <v>NA</v>
      </c>
      <c r="Z1549" s="29" t="str">
        <f t="shared" si="516"/>
        <v>NA</v>
      </c>
      <c r="AA1549" s="29" t="str">
        <f t="shared" si="517"/>
        <v>NA</v>
      </c>
      <c r="AB1549" s="29" t="str">
        <f t="shared" si="518"/>
        <v>NA</v>
      </c>
      <c r="AC1549" s="29" t="str">
        <f t="shared" si="519"/>
        <v>NA</v>
      </c>
      <c r="AD1549" s="29" t="str">
        <f t="shared" si="520"/>
        <v>NA</v>
      </c>
      <c r="AE1549" s="29" t="str">
        <f t="shared" si="521"/>
        <v>NA</v>
      </c>
      <c r="AF1549" s="29" t="str">
        <f t="shared" si="522"/>
        <v>NA</v>
      </c>
      <c r="AG1549" s="29" t="str">
        <f t="shared" si="523"/>
        <v>NA</v>
      </c>
      <c r="AH1549" s="29" t="str">
        <f t="shared" si="524"/>
        <v>NA</v>
      </c>
    </row>
    <row r="1550" customHeight="1" spans="1:34">
      <c r="A1550" s="12" t="s">
        <v>1043</v>
      </c>
      <c r="F1550" s="24">
        <f t="shared" si="526"/>
        <v>0</v>
      </c>
      <c r="G1550" s="24" t="e">
        <f t="shared" si="525"/>
        <v>#DIV/0!</v>
      </c>
      <c r="Q1550" s="29" t="str">
        <f t="shared" si="507"/>
        <v>NA</v>
      </c>
      <c r="R1550" s="29" t="str">
        <f t="shared" si="508"/>
        <v>NA</v>
      </c>
      <c r="S1550" s="29" t="str">
        <f t="shared" si="509"/>
        <v>NA</v>
      </c>
      <c r="T1550" s="29" t="str">
        <f t="shared" si="510"/>
        <v>NA</v>
      </c>
      <c r="U1550" s="29" t="str">
        <f t="shared" si="511"/>
        <v>NA</v>
      </c>
      <c r="V1550" s="29" t="str">
        <f t="shared" si="512"/>
        <v>NA</v>
      </c>
      <c r="W1550" s="29" t="str">
        <f t="shared" si="513"/>
        <v>NA</v>
      </c>
      <c r="X1550" s="29" t="str">
        <f t="shared" si="514"/>
        <v>NA</v>
      </c>
      <c r="Y1550" s="29" t="str">
        <f t="shared" si="515"/>
        <v>NA</v>
      </c>
      <c r="Z1550" s="29" t="str">
        <f t="shared" si="516"/>
        <v>NA</v>
      </c>
      <c r="AA1550" s="29" t="str">
        <f t="shared" si="517"/>
        <v>NA</v>
      </c>
      <c r="AB1550" s="29" t="str">
        <f t="shared" si="518"/>
        <v>NA</v>
      </c>
      <c r="AC1550" s="29" t="str">
        <f t="shared" si="519"/>
        <v>NA</v>
      </c>
      <c r="AD1550" s="29" t="str">
        <f t="shared" si="520"/>
        <v>NA</v>
      </c>
      <c r="AE1550" s="29" t="str">
        <f t="shared" si="521"/>
        <v>NA</v>
      </c>
      <c r="AF1550" s="29" t="str">
        <f t="shared" si="522"/>
        <v>NA</v>
      </c>
      <c r="AG1550" s="29" t="str">
        <f t="shared" si="523"/>
        <v>NA</v>
      </c>
      <c r="AH1550" s="29" t="str">
        <f t="shared" si="524"/>
        <v>NA</v>
      </c>
    </row>
    <row r="1551" customHeight="1" spans="1:34">
      <c r="A1551" s="12" t="s">
        <v>1043</v>
      </c>
      <c r="F1551" s="24">
        <f t="shared" si="526"/>
        <v>0</v>
      </c>
      <c r="G1551" s="24" t="e">
        <f t="shared" si="525"/>
        <v>#DIV/0!</v>
      </c>
      <c r="Q1551" s="29" t="str">
        <f t="shared" si="507"/>
        <v>NA</v>
      </c>
      <c r="R1551" s="29" t="str">
        <f t="shared" si="508"/>
        <v>NA</v>
      </c>
      <c r="S1551" s="29" t="str">
        <f t="shared" si="509"/>
        <v>NA</v>
      </c>
      <c r="T1551" s="29" t="str">
        <f t="shared" si="510"/>
        <v>NA</v>
      </c>
      <c r="U1551" s="29" t="str">
        <f t="shared" si="511"/>
        <v>NA</v>
      </c>
      <c r="V1551" s="29" t="str">
        <f t="shared" si="512"/>
        <v>NA</v>
      </c>
      <c r="W1551" s="29" t="str">
        <f t="shared" si="513"/>
        <v>NA</v>
      </c>
      <c r="X1551" s="29" t="str">
        <f t="shared" si="514"/>
        <v>NA</v>
      </c>
      <c r="Y1551" s="29" t="str">
        <f t="shared" si="515"/>
        <v>NA</v>
      </c>
      <c r="Z1551" s="29" t="str">
        <f t="shared" si="516"/>
        <v>NA</v>
      </c>
      <c r="AA1551" s="29" t="str">
        <f t="shared" si="517"/>
        <v>NA</v>
      </c>
      <c r="AB1551" s="29" t="str">
        <f t="shared" si="518"/>
        <v>NA</v>
      </c>
      <c r="AC1551" s="29" t="str">
        <f t="shared" si="519"/>
        <v>NA</v>
      </c>
      <c r="AD1551" s="29" t="str">
        <f t="shared" si="520"/>
        <v>NA</v>
      </c>
      <c r="AE1551" s="29" t="str">
        <f t="shared" si="521"/>
        <v>NA</v>
      </c>
      <c r="AF1551" s="29" t="str">
        <f t="shared" si="522"/>
        <v>NA</v>
      </c>
      <c r="AG1551" s="29" t="str">
        <f t="shared" si="523"/>
        <v>NA</v>
      </c>
      <c r="AH1551" s="29" t="str">
        <f t="shared" si="524"/>
        <v>NA</v>
      </c>
    </row>
    <row r="1552" customHeight="1" spans="1:34">
      <c r="A1552" s="12" t="s">
        <v>1043</v>
      </c>
      <c r="F1552" s="24">
        <f t="shared" si="526"/>
        <v>0</v>
      </c>
      <c r="G1552" s="24" t="e">
        <f t="shared" si="525"/>
        <v>#DIV/0!</v>
      </c>
      <c r="Q1552" s="29" t="str">
        <f t="shared" ref="Q1552:Q1615" si="527">IFERROR($B1552*$E1552/H1552,"NA")</f>
        <v>NA</v>
      </c>
      <c r="R1552" s="29" t="str">
        <f t="shared" ref="R1552:R1615" si="528">IFERROR($B1552*$E1552/I1552,"NA")</f>
        <v>NA</v>
      </c>
      <c r="S1552" s="29" t="str">
        <f t="shared" ref="S1552:S1615" si="529">IFERROR($B1552*$E1552/J1552,"NA")</f>
        <v>NA</v>
      </c>
      <c r="T1552" s="29" t="str">
        <f t="shared" ref="T1552:T1615" si="530">IFERROR($B1552*$E1552/K1552,"NA")</f>
        <v>NA</v>
      </c>
      <c r="U1552" s="29" t="str">
        <f t="shared" ref="U1552:U1615" si="531">IFERROR($B1552*$E1552/L1552,"NA")</f>
        <v>NA</v>
      </c>
      <c r="V1552" s="29" t="str">
        <f t="shared" ref="V1552:V1615" si="532">IFERROR($B1552*$E1552/M1552,"NA")</f>
        <v>NA</v>
      </c>
      <c r="W1552" s="29" t="str">
        <f t="shared" ref="W1552:W1615" si="533">IFERROR($B1552*$E1552/N1552,"NA")</f>
        <v>NA</v>
      </c>
      <c r="X1552" s="29" t="str">
        <f t="shared" ref="X1552:X1615" si="534">IFERROR($B1552*$E1552/O1552,"NA")</f>
        <v>NA</v>
      </c>
      <c r="Y1552" s="29" t="str">
        <f t="shared" ref="Y1552:Y1615" si="535">IFERROR($B1552*$E1552/P1552,"NA")</f>
        <v>NA</v>
      </c>
      <c r="Z1552" s="29" t="str">
        <f t="shared" ref="Z1552:Z1615" si="536">IFERROR((($G1552*Z$2/1000)+Q1552)/1,"NA")</f>
        <v>NA</v>
      </c>
      <c r="AA1552" s="29" t="str">
        <f t="shared" ref="AA1552:AA1615" si="537">IFERROR((($G1552*AA$2/1000)+R1552)/1,"NA")</f>
        <v>NA</v>
      </c>
      <c r="AB1552" s="29" t="str">
        <f t="shared" ref="AB1552:AB1615" si="538">IFERROR((($G1552*AB$2/1000)+S1552)/1,"NA")</f>
        <v>NA</v>
      </c>
      <c r="AC1552" s="29" t="str">
        <f t="shared" ref="AC1552:AC1615" si="539">IFERROR((($G1552*AC$2/1000)+T1552)/1,"NA")</f>
        <v>NA</v>
      </c>
      <c r="AD1552" s="29" t="str">
        <f t="shared" ref="AD1552:AD1615" si="540">IFERROR((($G1552*AD$2/1000)+U1552)/1,"NA")</f>
        <v>NA</v>
      </c>
      <c r="AE1552" s="29" t="str">
        <f t="shared" ref="AE1552:AE1615" si="541">IFERROR((($G1552*AE$2/1000)+V1552)/1,"NA")</f>
        <v>NA</v>
      </c>
      <c r="AF1552" s="29" t="str">
        <f t="shared" ref="AF1552:AF1615" si="542">IFERROR((($G1552*AF$2/1000)+W1552)/1,"NA")</f>
        <v>NA</v>
      </c>
      <c r="AG1552" s="29" t="str">
        <f t="shared" ref="AG1552:AG1615" si="543">IFERROR((($G1552*AG$2/1000)+X1552)/1,"NA")</f>
        <v>NA</v>
      </c>
      <c r="AH1552" s="29" t="str">
        <f t="shared" ref="AH1552:AH1615" si="544">IFERROR((($G1552*AH$2/1000)+Y1552)/1,"NA")</f>
        <v>NA</v>
      </c>
    </row>
    <row r="1553" customHeight="1" spans="1:34">
      <c r="A1553" s="12" t="s">
        <v>1043</v>
      </c>
      <c r="F1553" s="24">
        <f t="shared" si="526"/>
        <v>0</v>
      </c>
      <c r="G1553" s="24" t="e">
        <f t="shared" si="525"/>
        <v>#DIV/0!</v>
      </c>
      <c r="Q1553" s="29" t="str">
        <f t="shared" si="527"/>
        <v>NA</v>
      </c>
      <c r="R1553" s="29" t="str">
        <f t="shared" si="528"/>
        <v>NA</v>
      </c>
      <c r="S1553" s="29" t="str">
        <f t="shared" si="529"/>
        <v>NA</v>
      </c>
      <c r="T1553" s="29" t="str">
        <f t="shared" si="530"/>
        <v>NA</v>
      </c>
      <c r="U1553" s="29" t="str">
        <f t="shared" si="531"/>
        <v>NA</v>
      </c>
      <c r="V1553" s="29" t="str">
        <f t="shared" si="532"/>
        <v>NA</v>
      </c>
      <c r="W1553" s="29" t="str">
        <f t="shared" si="533"/>
        <v>NA</v>
      </c>
      <c r="X1553" s="29" t="str">
        <f t="shared" si="534"/>
        <v>NA</v>
      </c>
      <c r="Y1553" s="29" t="str">
        <f t="shared" si="535"/>
        <v>NA</v>
      </c>
      <c r="Z1553" s="29" t="str">
        <f t="shared" si="536"/>
        <v>NA</v>
      </c>
      <c r="AA1553" s="29" t="str">
        <f t="shared" si="537"/>
        <v>NA</v>
      </c>
      <c r="AB1553" s="29" t="str">
        <f t="shared" si="538"/>
        <v>NA</v>
      </c>
      <c r="AC1553" s="29" t="str">
        <f t="shared" si="539"/>
        <v>NA</v>
      </c>
      <c r="AD1553" s="29" t="str">
        <f t="shared" si="540"/>
        <v>NA</v>
      </c>
      <c r="AE1553" s="29" t="str">
        <f t="shared" si="541"/>
        <v>NA</v>
      </c>
      <c r="AF1553" s="29" t="str">
        <f t="shared" si="542"/>
        <v>NA</v>
      </c>
      <c r="AG1553" s="29" t="str">
        <f t="shared" si="543"/>
        <v>NA</v>
      </c>
      <c r="AH1553" s="29" t="str">
        <f t="shared" si="544"/>
        <v>NA</v>
      </c>
    </row>
    <row r="1554" customHeight="1" spans="1:34">
      <c r="A1554" s="12" t="s">
        <v>1043</v>
      </c>
      <c r="F1554" s="24">
        <f t="shared" si="526"/>
        <v>0</v>
      </c>
      <c r="G1554" s="24" t="e">
        <f t="shared" si="525"/>
        <v>#DIV/0!</v>
      </c>
      <c r="Q1554" s="29" t="str">
        <f t="shared" si="527"/>
        <v>NA</v>
      </c>
      <c r="R1554" s="29" t="str">
        <f t="shared" si="528"/>
        <v>NA</v>
      </c>
      <c r="S1554" s="29" t="str">
        <f t="shared" si="529"/>
        <v>NA</v>
      </c>
      <c r="T1554" s="29" t="str">
        <f t="shared" si="530"/>
        <v>NA</v>
      </c>
      <c r="U1554" s="29" t="str">
        <f t="shared" si="531"/>
        <v>NA</v>
      </c>
      <c r="V1554" s="29" t="str">
        <f t="shared" si="532"/>
        <v>NA</v>
      </c>
      <c r="W1554" s="29" t="str">
        <f t="shared" si="533"/>
        <v>NA</v>
      </c>
      <c r="X1554" s="29" t="str">
        <f t="shared" si="534"/>
        <v>NA</v>
      </c>
      <c r="Y1554" s="29" t="str">
        <f t="shared" si="535"/>
        <v>NA</v>
      </c>
      <c r="Z1554" s="29" t="str">
        <f t="shared" si="536"/>
        <v>NA</v>
      </c>
      <c r="AA1554" s="29" t="str">
        <f t="shared" si="537"/>
        <v>NA</v>
      </c>
      <c r="AB1554" s="29" t="str">
        <f t="shared" si="538"/>
        <v>NA</v>
      </c>
      <c r="AC1554" s="29" t="str">
        <f t="shared" si="539"/>
        <v>NA</v>
      </c>
      <c r="AD1554" s="29" t="str">
        <f t="shared" si="540"/>
        <v>NA</v>
      </c>
      <c r="AE1554" s="29" t="str">
        <f t="shared" si="541"/>
        <v>NA</v>
      </c>
      <c r="AF1554" s="29" t="str">
        <f t="shared" si="542"/>
        <v>NA</v>
      </c>
      <c r="AG1554" s="29" t="str">
        <f t="shared" si="543"/>
        <v>NA</v>
      </c>
      <c r="AH1554" s="29" t="str">
        <f t="shared" si="544"/>
        <v>NA</v>
      </c>
    </row>
    <row r="1555" customHeight="1" spans="1:34">
      <c r="A1555" s="12" t="s">
        <v>1043</v>
      </c>
      <c r="F1555" s="24">
        <f t="shared" si="526"/>
        <v>0</v>
      </c>
      <c r="G1555" s="24" t="e">
        <f t="shared" si="525"/>
        <v>#DIV/0!</v>
      </c>
      <c r="Q1555" s="29" t="str">
        <f t="shared" si="527"/>
        <v>NA</v>
      </c>
      <c r="R1555" s="29" t="str">
        <f t="shared" si="528"/>
        <v>NA</v>
      </c>
      <c r="S1555" s="29" t="str">
        <f t="shared" si="529"/>
        <v>NA</v>
      </c>
      <c r="T1555" s="29" t="str">
        <f t="shared" si="530"/>
        <v>NA</v>
      </c>
      <c r="U1555" s="29" t="str">
        <f t="shared" si="531"/>
        <v>NA</v>
      </c>
      <c r="V1555" s="29" t="str">
        <f t="shared" si="532"/>
        <v>NA</v>
      </c>
      <c r="W1555" s="29" t="str">
        <f t="shared" si="533"/>
        <v>NA</v>
      </c>
      <c r="X1555" s="29" t="str">
        <f t="shared" si="534"/>
        <v>NA</v>
      </c>
      <c r="Y1555" s="29" t="str">
        <f t="shared" si="535"/>
        <v>NA</v>
      </c>
      <c r="Z1555" s="29" t="str">
        <f t="shared" si="536"/>
        <v>NA</v>
      </c>
      <c r="AA1555" s="29" t="str">
        <f t="shared" si="537"/>
        <v>NA</v>
      </c>
      <c r="AB1555" s="29" t="str">
        <f t="shared" si="538"/>
        <v>NA</v>
      </c>
      <c r="AC1555" s="29" t="str">
        <f t="shared" si="539"/>
        <v>NA</v>
      </c>
      <c r="AD1555" s="29" t="str">
        <f t="shared" si="540"/>
        <v>NA</v>
      </c>
      <c r="AE1555" s="29" t="str">
        <f t="shared" si="541"/>
        <v>NA</v>
      </c>
      <c r="AF1555" s="29" t="str">
        <f t="shared" si="542"/>
        <v>NA</v>
      </c>
      <c r="AG1555" s="29" t="str">
        <f t="shared" si="543"/>
        <v>NA</v>
      </c>
      <c r="AH1555" s="29" t="str">
        <f t="shared" si="544"/>
        <v>NA</v>
      </c>
    </row>
    <row r="1556" customHeight="1" spans="1:34">
      <c r="A1556" s="12" t="s">
        <v>1043</v>
      </c>
      <c r="F1556" s="24">
        <f t="shared" si="526"/>
        <v>0</v>
      </c>
      <c r="G1556" s="24" t="e">
        <f t="shared" si="525"/>
        <v>#DIV/0!</v>
      </c>
      <c r="Q1556" s="29" t="str">
        <f t="shared" si="527"/>
        <v>NA</v>
      </c>
      <c r="R1556" s="29" t="str">
        <f t="shared" si="528"/>
        <v>NA</v>
      </c>
      <c r="S1556" s="29" t="str">
        <f t="shared" si="529"/>
        <v>NA</v>
      </c>
      <c r="T1556" s="29" t="str">
        <f t="shared" si="530"/>
        <v>NA</v>
      </c>
      <c r="U1556" s="29" t="str">
        <f t="shared" si="531"/>
        <v>NA</v>
      </c>
      <c r="V1556" s="29" t="str">
        <f t="shared" si="532"/>
        <v>NA</v>
      </c>
      <c r="W1556" s="29" t="str">
        <f t="shared" si="533"/>
        <v>NA</v>
      </c>
      <c r="X1556" s="29" t="str">
        <f t="shared" si="534"/>
        <v>NA</v>
      </c>
      <c r="Y1556" s="29" t="str">
        <f t="shared" si="535"/>
        <v>NA</v>
      </c>
      <c r="Z1556" s="29" t="str">
        <f t="shared" si="536"/>
        <v>NA</v>
      </c>
      <c r="AA1556" s="29" t="str">
        <f t="shared" si="537"/>
        <v>NA</v>
      </c>
      <c r="AB1556" s="29" t="str">
        <f t="shared" si="538"/>
        <v>NA</v>
      </c>
      <c r="AC1556" s="29" t="str">
        <f t="shared" si="539"/>
        <v>NA</v>
      </c>
      <c r="AD1556" s="29" t="str">
        <f t="shared" si="540"/>
        <v>NA</v>
      </c>
      <c r="AE1556" s="29" t="str">
        <f t="shared" si="541"/>
        <v>NA</v>
      </c>
      <c r="AF1556" s="29" t="str">
        <f t="shared" si="542"/>
        <v>NA</v>
      </c>
      <c r="AG1556" s="29" t="str">
        <f t="shared" si="543"/>
        <v>NA</v>
      </c>
      <c r="AH1556" s="29" t="str">
        <f t="shared" si="544"/>
        <v>NA</v>
      </c>
    </row>
    <row r="1557" customHeight="1" spans="1:34">
      <c r="A1557" s="12" t="s">
        <v>1043</v>
      </c>
      <c r="F1557" s="24">
        <f t="shared" si="526"/>
        <v>0</v>
      </c>
      <c r="G1557" s="24" t="e">
        <f t="shared" si="525"/>
        <v>#DIV/0!</v>
      </c>
      <c r="Q1557" s="29" t="str">
        <f t="shared" si="527"/>
        <v>NA</v>
      </c>
      <c r="R1557" s="29" t="str">
        <f t="shared" si="528"/>
        <v>NA</v>
      </c>
      <c r="S1557" s="29" t="str">
        <f t="shared" si="529"/>
        <v>NA</v>
      </c>
      <c r="T1557" s="29" t="str">
        <f t="shared" si="530"/>
        <v>NA</v>
      </c>
      <c r="U1557" s="29" t="str">
        <f t="shared" si="531"/>
        <v>NA</v>
      </c>
      <c r="V1557" s="29" t="str">
        <f t="shared" si="532"/>
        <v>NA</v>
      </c>
      <c r="W1557" s="29" t="str">
        <f t="shared" si="533"/>
        <v>NA</v>
      </c>
      <c r="X1557" s="29" t="str">
        <f t="shared" si="534"/>
        <v>NA</v>
      </c>
      <c r="Y1557" s="29" t="str">
        <f t="shared" si="535"/>
        <v>NA</v>
      </c>
      <c r="Z1557" s="29" t="str">
        <f t="shared" si="536"/>
        <v>NA</v>
      </c>
      <c r="AA1557" s="29" t="str">
        <f t="shared" si="537"/>
        <v>NA</v>
      </c>
      <c r="AB1557" s="29" t="str">
        <f t="shared" si="538"/>
        <v>NA</v>
      </c>
      <c r="AC1557" s="29" t="str">
        <f t="shared" si="539"/>
        <v>NA</v>
      </c>
      <c r="AD1557" s="29" t="str">
        <f t="shared" si="540"/>
        <v>NA</v>
      </c>
      <c r="AE1557" s="29" t="str">
        <f t="shared" si="541"/>
        <v>NA</v>
      </c>
      <c r="AF1557" s="29" t="str">
        <f t="shared" si="542"/>
        <v>NA</v>
      </c>
      <c r="AG1557" s="29" t="str">
        <f t="shared" si="543"/>
        <v>NA</v>
      </c>
      <c r="AH1557" s="29" t="str">
        <f t="shared" si="544"/>
        <v>NA</v>
      </c>
    </row>
    <row r="1558" customHeight="1" spans="1:34">
      <c r="A1558" s="12" t="s">
        <v>1043</v>
      </c>
      <c r="F1558" s="24">
        <f t="shared" si="526"/>
        <v>0</v>
      </c>
      <c r="G1558" s="24" t="e">
        <f t="shared" si="525"/>
        <v>#DIV/0!</v>
      </c>
      <c r="Q1558" s="29" t="str">
        <f t="shared" si="527"/>
        <v>NA</v>
      </c>
      <c r="R1558" s="29" t="str">
        <f t="shared" si="528"/>
        <v>NA</v>
      </c>
      <c r="S1558" s="29" t="str">
        <f t="shared" si="529"/>
        <v>NA</v>
      </c>
      <c r="T1558" s="29" t="str">
        <f t="shared" si="530"/>
        <v>NA</v>
      </c>
      <c r="U1558" s="29" t="str">
        <f t="shared" si="531"/>
        <v>NA</v>
      </c>
      <c r="V1558" s="29" t="str">
        <f t="shared" si="532"/>
        <v>NA</v>
      </c>
      <c r="W1558" s="29" t="str">
        <f t="shared" si="533"/>
        <v>NA</v>
      </c>
      <c r="X1558" s="29" t="str">
        <f t="shared" si="534"/>
        <v>NA</v>
      </c>
      <c r="Y1558" s="29" t="str">
        <f t="shared" si="535"/>
        <v>NA</v>
      </c>
      <c r="Z1558" s="29" t="str">
        <f t="shared" si="536"/>
        <v>NA</v>
      </c>
      <c r="AA1558" s="29" t="str">
        <f t="shared" si="537"/>
        <v>NA</v>
      </c>
      <c r="AB1558" s="29" t="str">
        <f t="shared" si="538"/>
        <v>NA</v>
      </c>
      <c r="AC1558" s="29" t="str">
        <f t="shared" si="539"/>
        <v>NA</v>
      </c>
      <c r="AD1558" s="29" t="str">
        <f t="shared" si="540"/>
        <v>NA</v>
      </c>
      <c r="AE1558" s="29" t="str">
        <f t="shared" si="541"/>
        <v>NA</v>
      </c>
      <c r="AF1558" s="29" t="str">
        <f t="shared" si="542"/>
        <v>NA</v>
      </c>
      <c r="AG1558" s="29" t="str">
        <f t="shared" si="543"/>
        <v>NA</v>
      </c>
      <c r="AH1558" s="29" t="str">
        <f t="shared" si="544"/>
        <v>NA</v>
      </c>
    </row>
    <row r="1559" customHeight="1" spans="1:34">
      <c r="A1559" s="12" t="s">
        <v>1043</v>
      </c>
      <c r="F1559" s="24">
        <f t="shared" si="526"/>
        <v>0</v>
      </c>
      <c r="G1559" s="24" t="e">
        <f t="shared" si="525"/>
        <v>#DIV/0!</v>
      </c>
      <c r="Q1559" s="29" t="str">
        <f t="shared" si="527"/>
        <v>NA</v>
      </c>
      <c r="R1559" s="29" t="str">
        <f t="shared" si="528"/>
        <v>NA</v>
      </c>
      <c r="S1559" s="29" t="str">
        <f t="shared" si="529"/>
        <v>NA</v>
      </c>
      <c r="T1559" s="29" t="str">
        <f t="shared" si="530"/>
        <v>NA</v>
      </c>
      <c r="U1559" s="29" t="str">
        <f t="shared" si="531"/>
        <v>NA</v>
      </c>
      <c r="V1559" s="29" t="str">
        <f t="shared" si="532"/>
        <v>NA</v>
      </c>
      <c r="W1559" s="29" t="str">
        <f t="shared" si="533"/>
        <v>NA</v>
      </c>
      <c r="X1559" s="29" t="str">
        <f t="shared" si="534"/>
        <v>NA</v>
      </c>
      <c r="Y1559" s="29" t="str">
        <f t="shared" si="535"/>
        <v>NA</v>
      </c>
      <c r="Z1559" s="29" t="str">
        <f t="shared" si="536"/>
        <v>NA</v>
      </c>
      <c r="AA1559" s="29" t="str">
        <f t="shared" si="537"/>
        <v>NA</v>
      </c>
      <c r="AB1559" s="29" t="str">
        <f t="shared" si="538"/>
        <v>NA</v>
      </c>
      <c r="AC1559" s="29" t="str">
        <f t="shared" si="539"/>
        <v>NA</v>
      </c>
      <c r="AD1559" s="29" t="str">
        <f t="shared" si="540"/>
        <v>NA</v>
      </c>
      <c r="AE1559" s="29" t="str">
        <f t="shared" si="541"/>
        <v>NA</v>
      </c>
      <c r="AF1559" s="29" t="str">
        <f t="shared" si="542"/>
        <v>NA</v>
      </c>
      <c r="AG1559" s="29" t="str">
        <f t="shared" si="543"/>
        <v>NA</v>
      </c>
      <c r="AH1559" s="29" t="str">
        <f t="shared" si="544"/>
        <v>NA</v>
      </c>
    </row>
    <row r="1560" customHeight="1" spans="1:34">
      <c r="A1560" s="12" t="s">
        <v>1043</v>
      </c>
      <c r="F1560" s="24">
        <f t="shared" si="526"/>
        <v>0</v>
      </c>
      <c r="G1560" s="24" t="e">
        <f t="shared" si="525"/>
        <v>#DIV/0!</v>
      </c>
      <c r="Q1560" s="29" t="str">
        <f t="shared" si="527"/>
        <v>NA</v>
      </c>
      <c r="R1560" s="29" t="str">
        <f t="shared" si="528"/>
        <v>NA</v>
      </c>
      <c r="S1560" s="29" t="str">
        <f t="shared" si="529"/>
        <v>NA</v>
      </c>
      <c r="T1560" s="29" t="str">
        <f t="shared" si="530"/>
        <v>NA</v>
      </c>
      <c r="U1560" s="29" t="str">
        <f t="shared" si="531"/>
        <v>NA</v>
      </c>
      <c r="V1560" s="29" t="str">
        <f t="shared" si="532"/>
        <v>NA</v>
      </c>
      <c r="W1560" s="29" t="str">
        <f t="shared" si="533"/>
        <v>NA</v>
      </c>
      <c r="X1560" s="29" t="str">
        <f t="shared" si="534"/>
        <v>NA</v>
      </c>
      <c r="Y1560" s="29" t="str">
        <f t="shared" si="535"/>
        <v>NA</v>
      </c>
      <c r="Z1560" s="29" t="str">
        <f t="shared" si="536"/>
        <v>NA</v>
      </c>
      <c r="AA1560" s="29" t="str">
        <f t="shared" si="537"/>
        <v>NA</v>
      </c>
      <c r="AB1560" s="29" t="str">
        <f t="shared" si="538"/>
        <v>NA</v>
      </c>
      <c r="AC1560" s="29" t="str">
        <f t="shared" si="539"/>
        <v>NA</v>
      </c>
      <c r="AD1560" s="29" t="str">
        <f t="shared" si="540"/>
        <v>NA</v>
      </c>
      <c r="AE1560" s="29" t="str">
        <f t="shared" si="541"/>
        <v>NA</v>
      </c>
      <c r="AF1560" s="29" t="str">
        <f t="shared" si="542"/>
        <v>NA</v>
      </c>
      <c r="AG1560" s="29" t="str">
        <f t="shared" si="543"/>
        <v>NA</v>
      </c>
      <c r="AH1560" s="29" t="str">
        <f t="shared" si="544"/>
        <v>NA</v>
      </c>
    </row>
    <row r="1561" customHeight="1" spans="1:34">
      <c r="A1561" s="12" t="s">
        <v>1043</v>
      </c>
      <c r="F1561" s="24">
        <f t="shared" si="526"/>
        <v>0</v>
      </c>
      <c r="G1561" s="24" t="e">
        <f t="shared" si="525"/>
        <v>#DIV/0!</v>
      </c>
      <c r="Q1561" s="29" t="str">
        <f t="shared" si="527"/>
        <v>NA</v>
      </c>
      <c r="R1561" s="29" t="str">
        <f t="shared" si="528"/>
        <v>NA</v>
      </c>
      <c r="S1561" s="29" t="str">
        <f t="shared" si="529"/>
        <v>NA</v>
      </c>
      <c r="T1561" s="29" t="str">
        <f t="shared" si="530"/>
        <v>NA</v>
      </c>
      <c r="U1561" s="29" t="str">
        <f t="shared" si="531"/>
        <v>NA</v>
      </c>
      <c r="V1561" s="29" t="str">
        <f t="shared" si="532"/>
        <v>NA</v>
      </c>
      <c r="W1561" s="29" t="str">
        <f t="shared" si="533"/>
        <v>NA</v>
      </c>
      <c r="X1561" s="29" t="str">
        <f t="shared" si="534"/>
        <v>NA</v>
      </c>
      <c r="Y1561" s="29" t="str">
        <f t="shared" si="535"/>
        <v>NA</v>
      </c>
      <c r="Z1561" s="29" t="str">
        <f t="shared" si="536"/>
        <v>NA</v>
      </c>
      <c r="AA1561" s="29" t="str">
        <f t="shared" si="537"/>
        <v>NA</v>
      </c>
      <c r="AB1561" s="29" t="str">
        <f t="shared" si="538"/>
        <v>NA</v>
      </c>
      <c r="AC1561" s="29" t="str">
        <f t="shared" si="539"/>
        <v>NA</v>
      </c>
      <c r="AD1561" s="29" t="str">
        <f t="shared" si="540"/>
        <v>NA</v>
      </c>
      <c r="AE1561" s="29" t="str">
        <f t="shared" si="541"/>
        <v>NA</v>
      </c>
      <c r="AF1561" s="29" t="str">
        <f t="shared" si="542"/>
        <v>NA</v>
      </c>
      <c r="AG1561" s="29" t="str">
        <f t="shared" si="543"/>
        <v>NA</v>
      </c>
      <c r="AH1561" s="29" t="str">
        <f t="shared" si="544"/>
        <v>NA</v>
      </c>
    </row>
    <row r="1562" customHeight="1" spans="1:34">
      <c r="A1562" s="12" t="s">
        <v>1043</v>
      </c>
      <c r="F1562" s="24">
        <f t="shared" si="526"/>
        <v>0</v>
      </c>
      <c r="G1562" s="24" t="e">
        <f t="shared" si="525"/>
        <v>#DIV/0!</v>
      </c>
      <c r="Q1562" s="29" t="str">
        <f t="shared" si="527"/>
        <v>NA</v>
      </c>
      <c r="R1562" s="29" t="str">
        <f t="shared" si="528"/>
        <v>NA</v>
      </c>
      <c r="S1562" s="29" t="str">
        <f t="shared" si="529"/>
        <v>NA</v>
      </c>
      <c r="T1562" s="29" t="str">
        <f t="shared" si="530"/>
        <v>NA</v>
      </c>
      <c r="U1562" s="29" t="str">
        <f t="shared" si="531"/>
        <v>NA</v>
      </c>
      <c r="V1562" s="29" t="str">
        <f t="shared" si="532"/>
        <v>NA</v>
      </c>
      <c r="W1562" s="29" t="str">
        <f t="shared" si="533"/>
        <v>NA</v>
      </c>
      <c r="X1562" s="29" t="str">
        <f t="shared" si="534"/>
        <v>NA</v>
      </c>
      <c r="Y1562" s="29" t="str">
        <f t="shared" si="535"/>
        <v>NA</v>
      </c>
      <c r="Z1562" s="29" t="str">
        <f t="shared" si="536"/>
        <v>NA</v>
      </c>
      <c r="AA1562" s="29" t="str">
        <f t="shared" si="537"/>
        <v>NA</v>
      </c>
      <c r="AB1562" s="29" t="str">
        <f t="shared" si="538"/>
        <v>NA</v>
      </c>
      <c r="AC1562" s="29" t="str">
        <f t="shared" si="539"/>
        <v>NA</v>
      </c>
      <c r="AD1562" s="29" t="str">
        <f t="shared" si="540"/>
        <v>NA</v>
      </c>
      <c r="AE1562" s="29" t="str">
        <f t="shared" si="541"/>
        <v>NA</v>
      </c>
      <c r="AF1562" s="29" t="str">
        <f t="shared" si="542"/>
        <v>NA</v>
      </c>
      <c r="AG1562" s="29" t="str">
        <f t="shared" si="543"/>
        <v>NA</v>
      </c>
      <c r="AH1562" s="29" t="str">
        <f t="shared" si="544"/>
        <v>NA</v>
      </c>
    </row>
    <row r="1563" customHeight="1" spans="1:34">
      <c r="A1563" s="12" t="s">
        <v>1043</v>
      </c>
      <c r="F1563" s="24">
        <f t="shared" si="526"/>
        <v>0</v>
      </c>
      <c r="G1563" s="24" t="e">
        <f t="shared" si="525"/>
        <v>#DIV/0!</v>
      </c>
      <c r="Q1563" s="29" t="str">
        <f t="shared" si="527"/>
        <v>NA</v>
      </c>
      <c r="R1563" s="29" t="str">
        <f t="shared" si="528"/>
        <v>NA</v>
      </c>
      <c r="S1563" s="29" t="str">
        <f t="shared" si="529"/>
        <v>NA</v>
      </c>
      <c r="T1563" s="29" t="str">
        <f t="shared" si="530"/>
        <v>NA</v>
      </c>
      <c r="U1563" s="29" t="str">
        <f t="shared" si="531"/>
        <v>NA</v>
      </c>
      <c r="V1563" s="29" t="str">
        <f t="shared" si="532"/>
        <v>NA</v>
      </c>
      <c r="W1563" s="29" t="str">
        <f t="shared" si="533"/>
        <v>NA</v>
      </c>
      <c r="X1563" s="29" t="str">
        <f t="shared" si="534"/>
        <v>NA</v>
      </c>
      <c r="Y1563" s="29" t="str">
        <f t="shared" si="535"/>
        <v>NA</v>
      </c>
      <c r="Z1563" s="29" t="str">
        <f t="shared" si="536"/>
        <v>NA</v>
      </c>
      <c r="AA1563" s="29" t="str">
        <f t="shared" si="537"/>
        <v>NA</v>
      </c>
      <c r="AB1563" s="29" t="str">
        <f t="shared" si="538"/>
        <v>NA</v>
      </c>
      <c r="AC1563" s="29" t="str">
        <f t="shared" si="539"/>
        <v>NA</v>
      </c>
      <c r="AD1563" s="29" t="str">
        <f t="shared" si="540"/>
        <v>NA</v>
      </c>
      <c r="AE1563" s="29" t="str">
        <f t="shared" si="541"/>
        <v>NA</v>
      </c>
      <c r="AF1563" s="29" t="str">
        <f t="shared" si="542"/>
        <v>NA</v>
      </c>
      <c r="AG1563" s="29" t="str">
        <f t="shared" si="543"/>
        <v>NA</v>
      </c>
      <c r="AH1563" s="29" t="str">
        <f t="shared" si="544"/>
        <v>NA</v>
      </c>
    </row>
    <row r="1564" customHeight="1" spans="1:34">
      <c r="A1564" s="12" t="s">
        <v>1043</v>
      </c>
      <c r="F1564" s="24">
        <f t="shared" si="526"/>
        <v>0</v>
      </c>
      <c r="G1564" s="24" t="e">
        <f t="shared" si="525"/>
        <v>#DIV/0!</v>
      </c>
      <c r="Q1564" s="29" t="str">
        <f t="shared" si="527"/>
        <v>NA</v>
      </c>
      <c r="R1564" s="29" t="str">
        <f t="shared" si="528"/>
        <v>NA</v>
      </c>
      <c r="S1564" s="29" t="str">
        <f t="shared" si="529"/>
        <v>NA</v>
      </c>
      <c r="T1564" s="29" t="str">
        <f t="shared" si="530"/>
        <v>NA</v>
      </c>
      <c r="U1564" s="29" t="str">
        <f t="shared" si="531"/>
        <v>NA</v>
      </c>
      <c r="V1564" s="29" t="str">
        <f t="shared" si="532"/>
        <v>NA</v>
      </c>
      <c r="W1564" s="29" t="str">
        <f t="shared" si="533"/>
        <v>NA</v>
      </c>
      <c r="X1564" s="29" t="str">
        <f t="shared" si="534"/>
        <v>NA</v>
      </c>
      <c r="Y1564" s="29" t="str">
        <f t="shared" si="535"/>
        <v>NA</v>
      </c>
      <c r="Z1564" s="29" t="str">
        <f t="shared" si="536"/>
        <v>NA</v>
      </c>
      <c r="AA1564" s="29" t="str">
        <f t="shared" si="537"/>
        <v>NA</v>
      </c>
      <c r="AB1564" s="29" t="str">
        <f t="shared" si="538"/>
        <v>NA</v>
      </c>
      <c r="AC1564" s="29" t="str">
        <f t="shared" si="539"/>
        <v>NA</v>
      </c>
      <c r="AD1564" s="29" t="str">
        <f t="shared" si="540"/>
        <v>NA</v>
      </c>
      <c r="AE1564" s="29" t="str">
        <f t="shared" si="541"/>
        <v>NA</v>
      </c>
      <c r="AF1564" s="29" t="str">
        <f t="shared" si="542"/>
        <v>NA</v>
      </c>
      <c r="AG1564" s="29" t="str">
        <f t="shared" si="543"/>
        <v>NA</v>
      </c>
      <c r="AH1564" s="29" t="str">
        <f t="shared" si="544"/>
        <v>NA</v>
      </c>
    </row>
    <row r="1565" customHeight="1" spans="1:34">
      <c r="A1565" s="12" t="s">
        <v>1043</v>
      </c>
      <c r="F1565" s="24">
        <f t="shared" si="526"/>
        <v>0</v>
      </c>
      <c r="G1565" s="24" t="e">
        <f t="shared" si="525"/>
        <v>#DIV/0!</v>
      </c>
      <c r="Q1565" s="29" t="str">
        <f t="shared" si="527"/>
        <v>NA</v>
      </c>
      <c r="R1565" s="29" t="str">
        <f t="shared" si="528"/>
        <v>NA</v>
      </c>
      <c r="S1565" s="29" t="str">
        <f t="shared" si="529"/>
        <v>NA</v>
      </c>
      <c r="T1565" s="29" t="str">
        <f t="shared" si="530"/>
        <v>NA</v>
      </c>
      <c r="U1565" s="29" t="str">
        <f t="shared" si="531"/>
        <v>NA</v>
      </c>
      <c r="V1565" s="29" t="str">
        <f t="shared" si="532"/>
        <v>NA</v>
      </c>
      <c r="W1565" s="29" t="str">
        <f t="shared" si="533"/>
        <v>NA</v>
      </c>
      <c r="X1565" s="29" t="str">
        <f t="shared" si="534"/>
        <v>NA</v>
      </c>
      <c r="Y1565" s="29" t="str">
        <f t="shared" si="535"/>
        <v>NA</v>
      </c>
      <c r="Z1565" s="29" t="str">
        <f t="shared" si="536"/>
        <v>NA</v>
      </c>
      <c r="AA1565" s="29" t="str">
        <f t="shared" si="537"/>
        <v>NA</v>
      </c>
      <c r="AB1565" s="29" t="str">
        <f t="shared" si="538"/>
        <v>NA</v>
      </c>
      <c r="AC1565" s="29" t="str">
        <f t="shared" si="539"/>
        <v>NA</v>
      </c>
      <c r="AD1565" s="29" t="str">
        <f t="shared" si="540"/>
        <v>NA</v>
      </c>
      <c r="AE1565" s="29" t="str">
        <f t="shared" si="541"/>
        <v>NA</v>
      </c>
      <c r="AF1565" s="29" t="str">
        <f t="shared" si="542"/>
        <v>NA</v>
      </c>
      <c r="AG1565" s="29" t="str">
        <f t="shared" si="543"/>
        <v>NA</v>
      </c>
      <c r="AH1565" s="29" t="str">
        <f t="shared" si="544"/>
        <v>NA</v>
      </c>
    </row>
    <row r="1566" customHeight="1" spans="1:34">
      <c r="A1566" s="12" t="s">
        <v>1043</v>
      </c>
      <c r="F1566" s="24">
        <f t="shared" si="526"/>
        <v>0</v>
      </c>
      <c r="G1566" s="24" t="e">
        <f t="shared" si="525"/>
        <v>#DIV/0!</v>
      </c>
      <c r="Q1566" s="29" t="str">
        <f t="shared" si="527"/>
        <v>NA</v>
      </c>
      <c r="R1566" s="29" t="str">
        <f t="shared" si="528"/>
        <v>NA</v>
      </c>
      <c r="S1566" s="29" t="str">
        <f t="shared" si="529"/>
        <v>NA</v>
      </c>
      <c r="T1566" s="29" t="str">
        <f t="shared" si="530"/>
        <v>NA</v>
      </c>
      <c r="U1566" s="29" t="str">
        <f t="shared" si="531"/>
        <v>NA</v>
      </c>
      <c r="V1566" s="29" t="str">
        <f t="shared" si="532"/>
        <v>NA</v>
      </c>
      <c r="W1566" s="29" t="str">
        <f t="shared" si="533"/>
        <v>NA</v>
      </c>
      <c r="X1566" s="29" t="str">
        <f t="shared" si="534"/>
        <v>NA</v>
      </c>
      <c r="Y1566" s="29" t="str">
        <f t="shared" si="535"/>
        <v>NA</v>
      </c>
      <c r="Z1566" s="29" t="str">
        <f t="shared" si="536"/>
        <v>NA</v>
      </c>
      <c r="AA1566" s="29" t="str">
        <f t="shared" si="537"/>
        <v>NA</v>
      </c>
      <c r="AB1566" s="29" t="str">
        <f t="shared" si="538"/>
        <v>NA</v>
      </c>
      <c r="AC1566" s="29" t="str">
        <f t="shared" si="539"/>
        <v>NA</v>
      </c>
      <c r="AD1566" s="29" t="str">
        <f t="shared" si="540"/>
        <v>NA</v>
      </c>
      <c r="AE1566" s="29" t="str">
        <f t="shared" si="541"/>
        <v>NA</v>
      </c>
      <c r="AF1566" s="29" t="str">
        <f t="shared" si="542"/>
        <v>NA</v>
      </c>
      <c r="AG1566" s="29" t="str">
        <f t="shared" si="543"/>
        <v>NA</v>
      </c>
      <c r="AH1566" s="29" t="str">
        <f t="shared" si="544"/>
        <v>NA</v>
      </c>
    </row>
    <row r="1567" customHeight="1" spans="1:34">
      <c r="A1567" s="12" t="s">
        <v>1043</v>
      </c>
      <c r="F1567" s="24">
        <f t="shared" si="526"/>
        <v>0</v>
      </c>
      <c r="G1567" s="24" t="e">
        <f t="shared" si="525"/>
        <v>#DIV/0!</v>
      </c>
      <c r="Q1567" s="29" t="str">
        <f t="shared" si="527"/>
        <v>NA</v>
      </c>
      <c r="R1567" s="29" t="str">
        <f t="shared" si="528"/>
        <v>NA</v>
      </c>
      <c r="S1567" s="29" t="str">
        <f t="shared" si="529"/>
        <v>NA</v>
      </c>
      <c r="T1567" s="29" t="str">
        <f t="shared" si="530"/>
        <v>NA</v>
      </c>
      <c r="U1567" s="29" t="str">
        <f t="shared" si="531"/>
        <v>NA</v>
      </c>
      <c r="V1567" s="29" t="str">
        <f t="shared" si="532"/>
        <v>NA</v>
      </c>
      <c r="W1567" s="29" t="str">
        <f t="shared" si="533"/>
        <v>NA</v>
      </c>
      <c r="X1567" s="29" t="str">
        <f t="shared" si="534"/>
        <v>NA</v>
      </c>
      <c r="Y1567" s="29" t="str">
        <f t="shared" si="535"/>
        <v>NA</v>
      </c>
      <c r="Z1567" s="29" t="str">
        <f t="shared" si="536"/>
        <v>NA</v>
      </c>
      <c r="AA1567" s="29" t="str">
        <f t="shared" si="537"/>
        <v>NA</v>
      </c>
      <c r="AB1567" s="29" t="str">
        <f t="shared" si="538"/>
        <v>NA</v>
      </c>
      <c r="AC1567" s="29" t="str">
        <f t="shared" si="539"/>
        <v>NA</v>
      </c>
      <c r="AD1567" s="29" t="str">
        <f t="shared" si="540"/>
        <v>NA</v>
      </c>
      <c r="AE1567" s="29" t="str">
        <f t="shared" si="541"/>
        <v>NA</v>
      </c>
      <c r="AF1567" s="29" t="str">
        <f t="shared" si="542"/>
        <v>NA</v>
      </c>
      <c r="AG1567" s="29" t="str">
        <f t="shared" si="543"/>
        <v>NA</v>
      </c>
      <c r="AH1567" s="29" t="str">
        <f t="shared" si="544"/>
        <v>NA</v>
      </c>
    </row>
    <row r="1568" customHeight="1" spans="1:34">
      <c r="A1568" s="12" t="s">
        <v>1043</v>
      </c>
      <c r="F1568" s="24">
        <f t="shared" si="526"/>
        <v>0</v>
      </c>
      <c r="G1568" s="24" t="e">
        <f t="shared" si="525"/>
        <v>#DIV/0!</v>
      </c>
      <c r="Q1568" s="29" t="str">
        <f t="shared" si="527"/>
        <v>NA</v>
      </c>
      <c r="R1568" s="29" t="str">
        <f t="shared" si="528"/>
        <v>NA</v>
      </c>
      <c r="S1568" s="29" t="str">
        <f t="shared" si="529"/>
        <v>NA</v>
      </c>
      <c r="T1568" s="29" t="str">
        <f t="shared" si="530"/>
        <v>NA</v>
      </c>
      <c r="U1568" s="29" t="str">
        <f t="shared" si="531"/>
        <v>NA</v>
      </c>
      <c r="V1568" s="29" t="str">
        <f t="shared" si="532"/>
        <v>NA</v>
      </c>
      <c r="W1568" s="29" t="str">
        <f t="shared" si="533"/>
        <v>NA</v>
      </c>
      <c r="X1568" s="29" t="str">
        <f t="shared" si="534"/>
        <v>NA</v>
      </c>
      <c r="Y1568" s="29" t="str">
        <f t="shared" si="535"/>
        <v>NA</v>
      </c>
      <c r="Z1568" s="29" t="str">
        <f t="shared" si="536"/>
        <v>NA</v>
      </c>
      <c r="AA1568" s="29" t="str">
        <f t="shared" si="537"/>
        <v>NA</v>
      </c>
      <c r="AB1568" s="29" t="str">
        <f t="shared" si="538"/>
        <v>NA</v>
      </c>
      <c r="AC1568" s="29" t="str">
        <f t="shared" si="539"/>
        <v>NA</v>
      </c>
      <c r="AD1568" s="29" t="str">
        <f t="shared" si="540"/>
        <v>NA</v>
      </c>
      <c r="AE1568" s="29" t="str">
        <f t="shared" si="541"/>
        <v>NA</v>
      </c>
      <c r="AF1568" s="29" t="str">
        <f t="shared" si="542"/>
        <v>NA</v>
      </c>
      <c r="AG1568" s="29" t="str">
        <f t="shared" si="543"/>
        <v>NA</v>
      </c>
      <c r="AH1568" s="29" t="str">
        <f t="shared" si="544"/>
        <v>NA</v>
      </c>
    </row>
    <row r="1569" customHeight="1" spans="1:34">
      <c r="A1569" s="12" t="s">
        <v>1043</v>
      </c>
      <c r="F1569" s="24">
        <f t="shared" si="526"/>
        <v>0</v>
      </c>
      <c r="G1569" s="24" t="e">
        <f t="shared" si="525"/>
        <v>#DIV/0!</v>
      </c>
      <c r="Q1569" s="29" t="str">
        <f t="shared" si="527"/>
        <v>NA</v>
      </c>
      <c r="R1569" s="29" t="str">
        <f t="shared" si="528"/>
        <v>NA</v>
      </c>
      <c r="S1569" s="29" t="str">
        <f t="shared" si="529"/>
        <v>NA</v>
      </c>
      <c r="T1569" s="29" t="str">
        <f t="shared" si="530"/>
        <v>NA</v>
      </c>
      <c r="U1569" s="29" t="str">
        <f t="shared" si="531"/>
        <v>NA</v>
      </c>
      <c r="V1569" s="29" t="str">
        <f t="shared" si="532"/>
        <v>NA</v>
      </c>
      <c r="W1569" s="29" t="str">
        <f t="shared" si="533"/>
        <v>NA</v>
      </c>
      <c r="X1569" s="29" t="str">
        <f t="shared" si="534"/>
        <v>NA</v>
      </c>
      <c r="Y1569" s="29" t="str">
        <f t="shared" si="535"/>
        <v>NA</v>
      </c>
      <c r="Z1569" s="29" t="str">
        <f t="shared" si="536"/>
        <v>NA</v>
      </c>
      <c r="AA1569" s="29" t="str">
        <f t="shared" si="537"/>
        <v>NA</v>
      </c>
      <c r="AB1569" s="29" t="str">
        <f t="shared" si="538"/>
        <v>NA</v>
      </c>
      <c r="AC1569" s="29" t="str">
        <f t="shared" si="539"/>
        <v>NA</v>
      </c>
      <c r="AD1569" s="29" t="str">
        <f t="shared" si="540"/>
        <v>NA</v>
      </c>
      <c r="AE1569" s="29" t="str">
        <f t="shared" si="541"/>
        <v>NA</v>
      </c>
      <c r="AF1569" s="29" t="str">
        <f t="shared" si="542"/>
        <v>NA</v>
      </c>
      <c r="AG1569" s="29" t="str">
        <f t="shared" si="543"/>
        <v>NA</v>
      </c>
      <c r="AH1569" s="29" t="str">
        <f t="shared" si="544"/>
        <v>NA</v>
      </c>
    </row>
    <row r="1570" customHeight="1" spans="1:34">
      <c r="A1570" s="12" t="s">
        <v>1043</v>
      </c>
      <c r="F1570" s="24">
        <f t="shared" si="526"/>
        <v>0</v>
      </c>
      <c r="G1570" s="24" t="e">
        <f t="shared" si="525"/>
        <v>#DIV/0!</v>
      </c>
      <c r="Q1570" s="29" t="str">
        <f t="shared" si="527"/>
        <v>NA</v>
      </c>
      <c r="R1570" s="29" t="str">
        <f t="shared" si="528"/>
        <v>NA</v>
      </c>
      <c r="S1570" s="29" t="str">
        <f t="shared" si="529"/>
        <v>NA</v>
      </c>
      <c r="T1570" s="29" t="str">
        <f t="shared" si="530"/>
        <v>NA</v>
      </c>
      <c r="U1570" s="29" t="str">
        <f t="shared" si="531"/>
        <v>NA</v>
      </c>
      <c r="V1570" s="29" t="str">
        <f t="shared" si="532"/>
        <v>NA</v>
      </c>
      <c r="W1570" s="29" t="str">
        <f t="shared" si="533"/>
        <v>NA</v>
      </c>
      <c r="X1570" s="29" t="str">
        <f t="shared" si="534"/>
        <v>NA</v>
      </c>
      <c r="Y1570" s="29" t="str">
        <f t="shared" si="535"/>
        <v>NA</v>
      </c>
      <c r="Z1570" s="29" t="str">
        <f t="shared" si="536"/>
        <v>NA</v>
      </c>
      <c r="AA1570" s="29" t="str">
        <f t="shared" si="537"/>
        <v>NA</v>
      </c>
      <c r="AB1570" s="29" t="str">
        <f t="shared" si="538"/>
        <v>NA</v>
      </c>
      <c r="AC1570" s="29" t="str">
        <f t="shared" si="539"/>
        <v>NA</v>
      </c>
      <c r="AD1570" s="29" t="str">
        <f t="shared" si="540"/>
        <v>NA</v>
      </c>
      <c r="AE1570" s="29" t="str">
        <f t="shared" si="541"/>
        <v>NA</v>
      </c>
      <c r="AF1570" s="29" t="str">
        <f t="shared" si="542"/>
        <v>NA</v>
      </c>
      <c r="AG1570" s="29" t="str">
        <f t="shared" si="543"/>
        <v>NA</v>
      </c>
      <c r="AH1570" s="29" t="str">
        <f t="shared" si="544"/>
        <v>NA</v>
      </c>
    </row>
    <row r="1571" customHeight="1" spans="1:34">
      <c r="A1571" s="12" t="s">
        <v>1043</v>
      </c>
      <c r="F1571" s="24">
        <f t="shared" si="526"/>
        <v>0</v>
      </c>
      <c r="G1571" s="24" t="e">
        <f t="shared" si="525"/>
        <v>#DIV/0!</v>
      </c>
      <c r="Q1571" s="29" t="str">
        <f t="shared" si="527"/>
        <v>NA</v>
      </c>
      <c r="R1571" s="29" t="str">
        <f t="shared" si="528"/>
        <v>NA</v>
      </c>
      <c r="S1571" s="29" t="str">
        <f t="shared" si="529"/>
        <v>NA</v>
      </c>
      <c r="T1571" s="29" t="str">
        <f t="shared" si="530"/>
        <v>NA</v>
      </c>
      <c r="U1571" s="29" t="str">
        <f t="shared" si="531"/>
        <v>NA</v>
      </c>
      <c r="V1571" s="29" t="str">
        <f t="shared" si="532"/>
        <v>NA</v>
      </c>
      <c r="W1571" s="29" t="str">
        <f t="shared" si="533"/>
        <v>NA</v>
      </c>
      <c r="X1571" s="29" t="str">
        <f t="shared" si="534"/>
        <v>NA</v>
      </c>
      <c r="Y1571" s="29" t="str">
        <f t="shared" si="535"/>
        <v>NA</v>
      </c>
      <c r="Z1571" s="29" t="str">
        <f t="shared" si="536"/>
        <v>NA</v>
      </c>
      <c r="AA1571" s="29" t="str">
        <f t="shared" si="537"/>
        <v>NA</v>
      </c>
      <c r="AB1571" s="29" t="str">
        <f t="shared" si="538"/>
        <v>NA</v>
      </c>
      <c r="AC1571" s="29" t="str">
        <f t="shared" si="539"/>
        <v>NA</v>
      </c>
      <c r="AD1571" s="29" t="str">
        <f t="shared" si="540"/>
        <v>NA</v>
      </c>
      <c r="AE1571" s="29" t="str">
        <f t="shared" si="541"/>
        <v>NA</v>
      </c>
      <c r="AF1571" s="29" t="str">
        <f t="shared" si="542"/>
        <v>NA</v>
      </c>
      <c r="AG1571" s="29" t="str">
        <f t="shared" si="543"/>
        <v>NA</v>
      </c>
      <c r="AH1571" s="29" t="str">
        <f t="shared" si="544"/>
        <v>NA</v>
      </c>
    </row>
    <row r="1572" customHeight="1" spans="1:34">
      <c r="A1572" s="12" t="s">
        <v>1043</v>
      </c>
      <c r="F1572" s="24">
        <f t="shared" si="526"/>
        <v>0</v>
      </c>
      <c r="G1572" s="24" t="e">
        <f t="shared" si="525"/>
        <v>#DIV/0!</v>
      </c>
      <c r="Q1572" s="29" t="str">
        <f t="shared" si="527"/>
        <v>NA</v>
      </c>
      <c r="R1572" s="29" t="str">
        <f t="shared" si="528"/>
        <v>NA</v>
      </c>
      <c r="S1572" s="29" t="str">
        <f t="shared" si="529"/>
        <v>NA</v>
      </c>
      <c r="T1572" s="29" t="str">
        <f t="shared" si="530"/>
        <v>NA</v>
      </c>
      <c r="U1572" s="29" t="str">
        <f t="shared" si="531"/>
        <v>NA</v>
      </c>
      <c r="V1572" s="29" t="str">
        <f t="shared" si="532"/>
        <v>NA</v>
      </c>
      <c r="W1572" s="29" t="str">
        <f t="shared" si="533"/>
        <v>NA</v>
      </c>
      <c r="X1572" s="29" t="str">
        <f t="shared" si="534"/>
        <v>NA</v>
      </c>
      <c r="Y1572" s="29" t="str">
        <f t="shared" si="535"/>
        <v>NA</v>
      </c>
      <c r="Z1572" s="29" t="str">
        <f t="shared" si="536"/>
        <v>NA</v>
      </c>
      <c r="AA1572" s="29" t="str">
        <f t="shared" si="537"/>
        <v>NA</v>
      </c>
      <c r="AB1572" s="29" t="str">
        <f t="shared" si="538"/>
        <v>NA</v>
      </c>
      <c r="AC1572" s="29" t="str">
        <f t="shared" si="539"/>
        <v>NA</v>
      </c>
      <c r="AD1572" s="29" t="str">
        <f t="shared" si="540"/>
        <v>NA</v>
      </c>
      <c r="AE1572" s="29" t="str">
        <f t="shared" si="541"/>
        <v>NA</v>
      </c>
      <c r="AF1572" s="29" t="str">
        <f t="shared" si="542"/>
        <v>NA</v>
      </c>
      <c r="AG1572" s="29" t="str">
        <f t="shared" si="543"/>
        <v>NA</v>
      </c>
      <c r="AH1572" s="29" t="str">
        <f t="shared" si="544"/>
        <v>NA</v>
      </c>
    </row>
    <row r="1573" customHeight="1" spans="1:34">
      <c r="A1573" s="12" t="s">
        <v>1043</v>
      </c>
      <c r="F1573" s="24">
        <f t="shared" si="526"/>
        <v>0</v>
      </c>
      <c r="G1573" s="24" t="e">
        <f t="shared" si="525"/>
        <v>#DIV/0!</v>
      </c>
      <c r="Q1573" s="29" t="str">
        <f t="shared" si="527"/>
        <v>NA</v>
      </c>
      <c r="R1573" s="29" t="str">
        <f t="shared" si="528"/>
        <v>NA</v>
      </c>
      <c r="S1573" s="29" t="str">
        <f t="shared" si="529"/>
        <v>NA</v>
      </c>
      <c r="T1573" s="29" t="str">
        <f t="shared" si="530"/>
        <v>NA</v>
      </c>
      <c r="U1573" s="29" t="str">
        <f t="shared" si="531"/>
        <v>NA</v>
      </c>
      <c r="V1573" s="29" t="str">
        <f t="shared" si="532"/>
        <v>NA</v>
      </c>
      <c r="W1573" s="29" t="str">
        <f t="shared" si="533"/>
        <v>NA</v>
      </c>
      <c r="X1573" s="29" t="str">
        <f t="shared" si="534"/>
        <v>NA</v>
      </c>
      <c r="Y1573" s="29" t="str">
        <f t="shared" si="535"/>
        <v>NA</v>
      </c>
      <c r="Z1573" s="29" t="str">
        <f t="shared" si="536"/>
        <v>NA</v>
      </c>
      <c r="AA1573" s="29" t="str">
        <f t="shared" si="537"/>
        <v>NA</v>
      </c>
      <c r="AB1573" s="29" t="str">
        <f t="shared" si="538"/>
        <v>NA</v>
      </c>
      <c r="AC1573" s="29" t="str">
        <f t="shared" si="539"/>
        <v>NA</v>
      </c>
      <c r="AD1573" s="29" t="str">
        <f t="shared" si="540"/>
        <v>NA</v>
      </c>
      <c r="AE1573" s="29" t="str">
        <f t="shared" si="541"/>
        <v>NA</v>
      </c>
      <c r="AF1573" s="29" t="str">
        <f t="shared" si="542"/>
        <v>NA</v>
      </c>
      <c r="AG1573" s="29" t="str">
        <f t="shared" si="543"/>
        <v>NA</v>
      </c>
      <c r="AH1573" s="29" t="str">
        <f t="shared" si="544"/>
        <v>NA</v>
      </c>
    </row>
    <row r="1574" customHeight="1" spans="1:34">
      <c r="A1574" s="12" t="s">
        <v>1043</v>
      </c>
      <c r="F1574" s="24">
        <f t="shared" si="526"/>
        <v>0</v>
      </c>
      <c r="G1574" s="24" t="e">
        <f t="shared" si="525"/>
        <v>#DIV/0!</v>
      </c>
      <c r="Q1574" s="29" t="str">
        <f t="shared" si="527"/>
        <v>NA</v>
      </c>
      <c r="R1574" s="29" t="str">
        <f t="shared" si="528"/>
        <v>NA</v>
      </c>
      <c r="S1574" s="29" t="str">
        <f t="shared" si="529"/>
        <v>NA</v>
      </c>
      <c r="T1574" s="29" t="str">
        <f t="shared" si="530"/>
        <v>NA</v>
      </c>
      <c r="U1574" s="29" t="str">
        <f t="shared" si="531"/>
        <v>NA</v>
      </c>
      <c r="V1574" s="29" t="str">
        <f t="shared" si="532"/>
        <v>NA</v>
      </c>
      <c r="W1574" s="29" t="str">
        <f t="shared" si="533"/>
        <v>NA</v>
      </c>
      <c r="X1574" s="29" t="str">
        <f t="shared" si="534"/>
        <v>NA</v>
      </c>
      <c r="Y1574" s="29" t="str">
        <f t="shared" si="535"/>
        <v>NA</v>
      </c>
      <c r="Z1574" s="29" t="str">
        <f t="shared" si="536"/>
        <v>NA</v>
      </c>
      <c r="AA1574" s="29" t="str">
        <f t="shared" si="537"/>
        <v>NA</v>
      </c>
      <c r="AB1574" s="29" t="str">
        <f t="shared" si="538"/>
        <v>NA</v>
      </c>
      <c r="AC1574" s="29" t="str">
        <f t="shared" si="539"/>
        <v>NA</v>
      </c>
      <c r="AD1574" s="29" t="str">
        <f t="shared" si="540"/>
        <v>NA</v>
      </c>
      <c r="AE1574" s="29" t="str">
        <f t="shared" si="541"/>
        <v>NA</v>
      </c>
      <c r="AF1574" s="29" t="str">
        <f t="shared" si="542"/>
        <v>NA</v>
      </c>
      <c r="AG1574" s="29" t="str">
        <f t="shared" si="543"/>
        <v>NA</v>
      </c>
      <c r="AH1574" s="29" t="str">
        <f t="shared" si="544"/>
        <v>NA</v>
      </c>
    </row>
    <row r="1575" customHeight="1" spans="1:34">
      <c r="A1575" s="12" t="s">
        <v>1043</v>
      </c>
      <c r="F1575" s="24">
        <f t="shared" si="526"/>
        <v>0</v>
      </c>
      <c r="G1575" s="24" t="e">
        <f t="shared" si="525"/>
        <v>#DIV/0!</v>
      </c>
      <c r="Q1575" s="29" t="str">
        <f t="shared" si="527"/>
        <v>NA</v>
      </c>
      <c r="R1575" s="29" t="str">
        <f t="shared" si="528"/>
        <v>NA</v>
      </c>
      <c r="S1575" s="29" t="str">
        <f t="shared" si="529"/>
        <v>NA</v>
      </c>
      <c r="T1575" s="29" t="str">
        <f t="shared" si="530"/>
        <v>NA</v>
      </c>
      <c r="U1575" s="29" t="str">
        <f t="shared" si="531"/>
        <v>NA</v>
      </c>
      <c r="V1575" s="29" t="str">
        <f t="shared" si="532"/>
        <v>NA</v>
      </c>
      <c r="W1575" s="29" t="str">
        <f t="shared" si="533"/>
        <v>NA</v>
      </c>
      <c r="X1575" s="29" t="str">
        <f t="shared" si="534"/>
        <v>NA</v>
      </c>
      <c r="Y1575" s="29" t="str">
        <f t="shared" si="535"/>
        <v>NA</v>
      </c>
      <c r="Z1575" s="29" t="str">
        <f t="shared" si="536"/>
        <v>NA</v>
      </c>
      <c r="AA1575" s="29" t="str">
        <f t="shared" si="537"/>
        <v>NA</v>
      </c>
      <c r="AB1575" s="29" t="str">
        <f t="shared" si="538"/>
        <v>NA</v>
      </c>
      <c r="AC1575" s="29" t="str">
        <f t="shared" si="539"/>
        <v>NA</v>
      </c>
      <c r="AD1575" s="29" t="str">
        <f t="shared" si="540"/>
        <v>NA</v>
      </c>
      <c r="AE1575" s="29" t="str">
        <f t="shared" si="541"/>
        <v>NA</v>
      </c>
      <c r="AF1575" s="29" t="str">
        <f t="shared" si="542"/>
        <v>NA</v>
      </c>
      <c r="AG1575" s="29" t="str">
        <f t="shared" si="543"/>
        <v>NA</v>
      </c>
      <c r="AH1575" s="29" t="str">
        <f t="shared" si="544"/>
        <v>NA</v>
      </c>
    </row>
    <row r="1576" customHeight="1" spans="1:34">
      <c r="A1576" s="12" t="s">
        <v>1043</v>
      </c>
      <c r="F1576" s="24">
        <f t="shared" si="526"/>
        <v>0</v>
      </c>
      <c r="G1576" s="24" t="e">
        <f t="shared" si="525"/>
        <v>#DIV/0!</v>
      </c>
      <c r="Q1576" s="29" t="str">
        <f t="shared" si="527"/>
        <v>NA</v>
      </c>
      <c r="R1576" s="29" t="str">
        <f t="shared" si="528"/>
        <v>NA</v>
      </c>
      <c r="S1576" s="29" t="str">
        <f t="shared" si="529"/>
        <v>NA</v>
      </c>
      <c r="T1576" s="29" t="str">
        <f t="shared" si="530"/>
        <v>NA</v>
      </c>
      <c r="U1576" s="29" t="str">
        <f t="shared" si="531"/>
        <v>NA</v>
      </c>
      <c r="V1576" s="29" t="str">
        <f t="shared" si="532"/>
        <v>NA</v>
      </c>
      <c r="W1576" s="29" t="str">
        <f t="shared" si="533"/>
        <v>NA</v>
      </c>
      <c r="X1576" s="29" t="str">
        <f t="shared" si="534"/>
        <v>NA</v>
      </c>
      <c r="Y1576" s="29" t="str">
        <f t="shared" si="535"/>
        <v>NA</v>
      </c>
      <c r="Z1576" s="29" t="str">
        <f t="shared" si="536"/>
        <v>NA</v>
      </c>
      <c r="AA1576" s="29" t="str">
        <f t="shared" si="537"/>
        <v>NA</v>
      </c>
      <c r="AB1576" s="29" t="str">
        <f t="shared" si="538"/>
        <v>NA</v>
      </c>
      <c r="AC1576" s="29" t="str">
        <f t="shared" si="539"/>
        <v>NA</v>
      </c>
      <c r="AD1576" s="29" t="str">
        <f t="shared" si="540"/>
        <v>NA</v>
      </c>
      <c r="AE1576" s="29" t="str">
        <f t="shared" si="541"/>
        <v>NA</v>
      </c>
      <c r="AF1576" s="29" t="str">
        <f t="shared" si="542"/>
        <v>NA</v>
      </c>
      <c r="AG1576" s="29" t="str">
        <f t="shared" si="543"/>
        <v>NA</v>
      </c>
      <c r="AH1576" s="29" t="str">
        <f t="shared" si="544"/>
        <v>NA</v>
      </c>
    </row>
    <row r="1577" customHeight="1" spans="1:34">
      <c r="A1577" s="12" t="s">
        <v>1043</v>
      </c>
      <c r="F1577" s="24">
        <f t="shared" si="526"/>
        <v>0</v>
      </c>
      <c r="G1577" s="24" t="e">
        <f t="shared" si="525"/>
        <v>#DIV/0!</v>
      </c>
      <c r="Q1577" s="29" t="str">
        <f t="shared" si="527"/>
        <v>NA</v>
      </c>
      <c r="R1577" s="29" t="str">
        <f t="shared" si="528"/>
        <v>NA</v>
      </c>
      <c r="S1577" s="29" t="str">
        <f t="shared" si="529"/>
        <v>NA</v>
      </c>
      <c r="T1577" s="29" t="str">
        <f t="shared" si="530"/>
        <v>NA</v>
      </c>
      <c r="U1577" s="29" t="str">
        <f t="shared" si="531"/>
        <v>NA</v>
      </c>
      <c r="V1577" s="29" t="str">
        <f t="shared" si="532"/>
        <v>NA</v>
      </c>
      <c r="W1577" s="29" t="str">
        <f t="shared" si="533"/>
        <v>NA</v>
      </c>
      <c r="X1577" s="29" t="str">
        <f t="shared" si="534"/>
        <v>NA</v>
      </c>
      <c r="Y1577" s="29" t="str">
        <f t="shared" si="535"/>
        <v>NA</v>
      </c>
      <c r="Z1577" s="29" t="str">
        <f t="shared" si="536"/>
        <v>NA</v>
      </c>
      <c r="AA1577" s="29" t="str">
        <f t="shared" si="537"/>
        <v>NA</v>
      </c>
      <c r="AB1577" s="29" t="str">
        <f t="shared" si="538"/>
        <v>NA</v>
      </c>
      <c r="AC1577" s="29" t="str">
        <f t="shared" si="539"/>
        <v>NA</v>
      </c>
      <c r="AD1577" s="29" t="str">
        <f t="shared" si="540"/>
        <v>NA</v>
      </c>
      <c r="AE1577" s="29" t="str">
        <f t="shared" si="541"/>
        <v>NA</v>
      </c>
      <c r="AF1577" s="29" t="str">
        <f t="shared" si="542"/>
        <v>NA</v>
      </c>
      <c r="AG1577" s="29" t="str">
        <f t="shared" si="543"/>
        <v>NA</v>
      </c>
      <c r="AH1577" s="29" t="str">
        <f t="shared" si="544"/>
        <v>NA</v>
      </c>
    </row>
    <row r="1578" customHeight="1" spans="1:34">
      <c r="A1578" s="12" t="s">
        <v>1043</v>
      </c>
      <c r="F1578" s="24">
        <f t="shared" si="526"/>
        <v>0</v>
      </c>
      <c r="G1578" s="24" t="e">
        <f t="shared" si="525"/>
        <v>#DIV/0!</v>
      </c>
      <c r="Q1578" s="29" t="str">
        <f t="shared" si="527"/>
        <v>NA</v>
      </c>
      <c r="R1578" s="29" t="str">
        <f t="shared" si="528"/>
        <v>NA</v>
      </c>
      <c r="S1578" s="29" t="str">
        <f t="shared" si="529"/>
        <v>NA</v>
      </c>
      <c r="T1578" s="29" t="str">
        <f t="shared" si="530"/>
        <v>NA</v>
      </c>
      <c r="U1578" s="29" t="str">
        <f t="shared" si="531"/>
        <v>NA</v>
      </c>
      <c r="V1578" s="29" t="str">
        <f t="shared" si="532"/>
        <v>NA</v>
      </c>
      <c r="W1578" s="29" t="str">
        <f t="shared" si="533"/>
        <v>NA</v>
      </c>
      <c r="X1578" s="29" t="str">
        <f t="shared" si="534"/>
        <v>NA</v>
      </c>
      <c r="Y1578" s="29" t="str">
        <f t="shared" si="535"/>
        <v>NA</v>
      </c>
      <c r="Z1578" s="29" t="str">
        <f t="shared" si="536"/>
        <v>NA</v>
      </c>
      <c r="AA1578" s="29" t="str">
        <f t="shared" si="537"/>
        <v>NA</v>
      </c>
      <c r="AB1578" s="29" t="str">
        <f t="shared" si="538"/>
        <v>NA</v>
      </c>
      <c r="AC1578" s="29" t="str">
        <f t="shared" si="539"/>
        <v>NA</v>
      </c>
      <c r="AD1578" s="29" t="str">
        <f t="shared" si="540"/>
        <v>NA</v>
      </c>
      <c r="AE1578" s="29" t="str">
        <f t="shared" si="541"/>
        <v>NA</v>
      </c>
      <c r="AF1578" s="29" t="str">
        <f t="shared" si="542"/>
        <v>NA</v>
      </c>
      <c r="AG1578" s="29" t="str">
        <f t="shared" si="543"/>
        <v>NA</v>
      </c>
      <c r="AH1578" s="29" t="str">
        <f t="shared" si="544"/>
        <v>NA</v>
      </c>
    </row>
    <row r="1579" customHeight="1" spans="1:34">
      <c r="A1579" s="12" t="s">
        <v>1043</v>
      </c>
      <c r="F1579" s="24">
        <f t="shared" si="526"/>
        <v>0</v>
      </c>
      <c r="G1579" s="24" t="e">
        <f t="shared" si="525"/>
        <v>#DIV/0!</v>
      </c>
      <c r="Q1579" s="29" t="str">
        <f t="shared" si="527"/>
        <v>NA</v>
      </c>
      <c r="R1579" s="29" t="str">
        <f t="shared" si="528"/>
        <v>NA</v>
      </c>
      <c r="S1579" s="29" t="str">
        <f t="shared" si="529"/>
        <v>NA</v>
      </c>
      <c r="T1579" s="29" t="str">
        <f t="shared" si="530"/>
        <v>NA</v>
      </c>
      <c r="U1579" s="29" t="str">
        <f t="shared" si="531"/>
        <v>NA</v>
      </c>
      <c r="V1579" s="29" t="str">
        <f t="shared" si="532"/>
        <v>NA</v>
      </c>
      <c r="W1579" s="29" t="str">
        <f t="shared" si="533"/>
        <v>NA</v>
      </c>
      <c r="X1579" s="29" t="str">
        <f t="shared" si="534"/>
        <v>NA</v>
      </c>
      <c r="Y1579" s="29" t="str">
        <f t="shared" si="535"/>
        <v>NA</v>
      </c>
      <c r="Z1579" s="29" t="str">
        <f t="shared" si="536"/>
        <v>NA</v>
      </c>
      <c r="AA1579" s="29" t="str">
        <f t="shared" si="537"/>
        <v>NA</v>
      </c>
      <c r="AB1579" s="29" t="str">
        <f t="shared" si="538"/>
        <v>NA</v>
      </c>
      <c r="AC1579" s="29" t="str">
        <f t="shared" si="539"/>
        <v>NA</v>
      </c>
      <c r="AD1579" s="29" t="str">
        <f t="shared" si="540"/>
        <v>NA</v>
      </c>
      <c r="AE1579" s="29" t="str">
        <f t="shared" si="541"/>
        <v>NA</v>
      </c>
      <c r="AF1579" s="29" t="str">
        <f t="shared" si="542"/>
        <v>NA</v>
      </c>
      <c r="AG1579" s="29" t="str">
        <f t="shared" si="543"/>
        <v>NA</v>
      </c>
      <c r="AH1579" s="29" t="str">
        <f t="shared" si="544"/>
        <v>NA</v>
      </c>
    </row>
    <row r="1580" customHeight="1" spans="1:34">
      <c r="A1580" s="12" t="s">
        <v>1043</v>
      </c>
      <c r="F1580" s="24">
        <f t="shared" si="526"/>
        <v>0</v>
      </c>
      <c r="G1580" s="24" t="e">
        <f t="shared" si="525"/>
        <v>#DIV/0!</v>
      </c>
      <c r="Q1580" s="29" t="str">
        <f t="shared" si="527"/>
        <v>NA</v>
      </c>
      <c r="R1580" s="29" t="str">
        <f t="shared" si="528"/>
        <v>NA</v>
      </c>
      <c r="S1580" s="29" t="str">
        <f t="shared" si="529"/>
        <v>NA</v>
      </c>
      <c r="T1580" s="29" t="str">
        <f t="shared" si="530"/>
        <v>NA</v>
      </c>
      <c r="U1580" s="29" t="str">
        <f t="shared" si="531"/>
        <v>NA</v>
      </c>
      <c r="V1580" s="29" t="str">
        <f t="shared" si="532"/>
        <v>NA</v>
      </c>
      <c r="W1580" s="29" t="str">
        <f t="shared" si="533"/>
        <v>NA</v>
      </c>
      <c r="X1580" s="29" t="str">
        <f t="shared" si="534"/>
        <v>NA</v>
      </c>
      <c r="Y1580" s="29" t="str">
        <f t="shared" si="535"/>
        <v>NA</v>
      </c>
      <c r="Z1580" s="29" t="str">
        <f t="shared" si="536"/>
        <v>NA</v>
      </c>
      <c r="AA1580" s="29" t="str">
        <f t="shared" si="537"/>
        <v>NA</v>
      </c>
      <c r="AB1580" s="29" t="str">
        <f t="shared" si="538"/>
        <v>NA</v>
      </c>
      <c r="AC1580" s="29" t="str">
        <f t="shared" si="539"/>
        <v>NA</v>
      </c>
      <c r="AD1580" s="29" t="str">
        <f t="shared" si="540"/>
        <v>NA</v>
      </c>
      <c r="AE1580" s="29" t="str">
        <f t="shared" si="541"/>
        <v>NA</v>
      </c>
      <c r="AF1580" s="29" t="str">
        <f t="shared" si="542"/>
        <v>NA</v>
      </c>
      <c r="AG1580" s="29" t="str">
        <f t="shared" si="543"/>
        <v>NA</v>
      </c>
      <c r="AH1580" s="29" t="str">
        <f t="shared" si="544"/>
        <v>NA</v>
      </c>
    </row>
    <row r="1581" customHeight="1" spans="1:34">
      <c r="A1581" s="12" t="s">
        <v>1043</v>
      </c>
      <c r="F1581" s="24">
        <f t="shared" si="526"/>
        <v>0</v>
      </c>
      <c r="G1581" s="24" t="e">
        <f t="shared" si="525"/>
        <v>#DIV/0!</v>
      </c>
      <c r="Q1581" s="29" t="str">
        <f t="shared" si="527"/>
        <v>NA</v>
      </c>
      <c r="R1581" s="29" t="str">
        <f t="shared" si="528"/>
        <v>NA</v>
      </c>
      <c r="S1581" s="29" t="str">
        <f t="shared" si="529"/>
        <v>NA</v>
      </c>
      <c r="T1581" s="29" t="str">
        <f t="shared" si="530"/>
        <v>NA</v>
      </c>
      <c r="U1581" s="29" t="str">
        <f t="shared" si="531"/>
        <v>NA</v>
      </c>
      <c r="V1581" s="29" t="str">
        <f t="shared" si="532"/>
        <v>NA</v>
      </c>
      <c r="W1581" s="29" t="str">
        <f t="shared" si="533"/>
        <v>NA</v>
      </c>
      <c r="X1581" s="29" t="str">
        <f t="shared" si="534"/>
        <v>NA</v>
      </c>
      <c r="Y1581" s="29" t="str">
        <f t="shared" si="535"/>
        <v>NA</v>
      </c>
      <c r="Z1581" s="29" t="str">
        <f t="shared" si="536"/>
        <v>NA</v>
      </c>
      <c r="AA1581" s="29" t="str">
        <f t="shared" si="537"/>
        <v>NA</v>
      </c>
      <c r="AB1581" s="29" t="str">
        <f t="shared" si="538"/>
        <v>NA</v>
      </c>
      <c r="AC1581" s="29" t="str">
        <f t="shared" si="539"/>
        <v>NA</v>
      </c>
      <c r="AD1581" s="29" t="str">
        <f t="shared" si="540"/>
        <v>NA</v>
      </c>
      <c r="AE1581" s="29" t="str">
        <f t="shared" si="541"/>
        <v>NA</v>
      </c>
      <c r="AF1581" s="29" t="str">
        <f t="shared" si="542"/>
        <v>NA</v>
      </c>
      <c r="AG1581" s="29" t="str">
        <f t="shared" si="543"/>
        <v>NA</v>
      </c>
      <c r="AH1581" s="29" t="str">
        <f t="shared" si="544"/>
        <v>NA</v>
      </c>
    </row>
    <row r="1582" customHeight="1" spans="1:34">
      <c r="A1582" s="12" t="s">
        <v>1043</v>
      </c>
      <c r="F1582" s="24">
        <f t="shared" si="526"/>
        <v>0</v>
      </c>
      <c r="G1582" s="24" t="e">
        <f t="shared" si="525"/>
        <v>#DIV/0!</v>
      </c>
      <c r="Q1582" s="29" t="str">
        <f t="shared" si="527"/>
        <v>NA</v>
      </c>
      <c r="R1582" s="29" t="str">
        <f t="shared" si="528"/>
        <v>NA</v>
      </c>
      <c r="S1582" s="29" t="str">
        <f t="shared" si="529"/>
        <v>NA</v>
      </c>
      <c r="T1582" s="29" t="str">
        <f t="shared" si="530"/>
        <v>NA</v>
      </c>
      <c r="U1582" s="29" t="str">
        <f t="shared" si="531"/>
        <v>NA</v>
      </c>
      <c r="V1582" s="29" t="str">
        <f t="shared" si="532"/>
        <v>NA</v>
      </c>
      <c r="W1582" s="29" t="str">
        <f t="shared" si="533"/>
        <v>NA</v>
      </c>
      <c r="X1582" s="29" t="str">
        <f t="shared" si="534"/>
        <v>NA</v>
      </c>
      <c r="Y1582" s="29" t="str">
        <f t="shared" si="535"/>
        <v>NA</v>
      </c>
      <c r="Z1582" s="29" t="str">
        <f t="shared" si="536"/>
        <v>NA</v>
      </c>
      <c r="AA1582" s="29" t="str">
        <f t="shared" si="537"/>
        <v>NA</v>
      </c>
      <c r="AB1582" s="29" t="str">
        <f t="shared" si="538"/>
        <v>NA</v>
      </c>
      <c r="AC1582" s="29" t="str">
        <f t="shared" si="539"/>
        <v>NA</v>
      </c>
      <c r="AD1582" s="29" t="str">
        <f t="shared" si="540"/>
        <v>NA</v>
      </c>
      <c r="AE1582" s="29" t="str">
        <f t="shared" si="541"/>
        <v>NA</v>
      </c>
      <c r="AF1582" s="29" t="str">
        <f t="shared" si="542"/>
        <v>NA</v>
      </c>
      <c r="AG1582" s="29" t="str">
        <f t="shared" si="543"/>
        <v>NA</v>
      </c>
      <c r="AH1582" s="29" t="str">
        <f t="shared" si="544"/>
        <v>NA</v>
      </c>
    </row>
    <row r="1583" customHeight="1" spans="1:34">
      <c r="A1583" s="12" t="s">
        <v>1043</v>
      </c>
      <c r="F1583" s="24">
        <f t="shared" si="526"/>
        <v>0</v>
      </c>
      <c r="G1583" s="24" t="e">
        <f t="shared" si="525"/>
        <v>#DIV/0!</v>
      </c>
      <c r="Q1583" s="29" t="str">
        <f t="shared" si="527"/>
        <v>NA</v>
      </c>
      <c r="R1583" s="29" t="str">
        <f t="shared" si="528"/>
        <v>NA</v>
      </c>
      <c r="S1583" s="29" t="str">
        <f t="shared" si="529"/>
        <v>NA</v>
      </c>
      <c r="T1583" s="29" t="str">
        <f t="shared" si="530"/>
        <v>NA</v>
      </c>
      <c r="U1583" s="29" t="str">
        <f t="shared" si="531"/>
        <v>NA</v>
      </c>
      <c r="V1583" s="29" t="str">
        <f t="shared" si="532"/>
        <v>NA</v>
      </c>
      <c r="W1583" s="29" t="str">
        <f t="shared" si="533"/>
        <v>NA</v>
      </c>
      <c r="X1583" s="29" t="str">
        <f t="shared" si="534"/>
        <v>NA</v>
      </c>
      <c r="Y1583" s="29" t="str">
        <f t="shared" si="535"/>
        <v>NA</v>
      </c>
      <c r="Z1583" s="29" t="str">
        <f t="shared" si="536"/>
        <v>NA</v>
      </c>
      <c r="AA1583" s="29" t="str">
        <f t="shared" si="537"/>
        <v>NA</v>
      </c>
      <c r="AB1583" s="29" t="str">
        <f t="shared" si="538"/>
        <v>NA</v>
      </c>
      <c r="AC1583" s="29" t="str">
        <f t="shared" si="539"/>
        <v>NA</v>
      </c>
      <c r="AD1583" s="29" t="str">
        <f t="shared" si="540"/>
        <v>NA</v>
      </c>
      <c r="AE1583" s="29" t="str">
        <f t="shared" si="541"/>
        <v>NA</v>
      </c>
      <c r="AF1583" s="29" t="str">
        <f t="shared" si="542"/>
        <v>NA</v>
      </c>
      <c r="AG1583" s="29" t="str">
        <f t="shared" si="543"/>
        <v>NA</v>
      </c>
      <c r="AH1583" s="29" t="str">
        <f t="shared" si="544"/>
        <v>NA</v>
      </c>
    </row>
    <row r="1584" customHeight="1" spans="1:34">
      <c r="A1584" s="12" t="s">
        <v>1043</v>
      </c>
      <c r="F1584" s="24">
        <f t="shared" si="526"/>
        <v>0</v>
      </c>
      <c r="G1584" s="24" t="e">
        <f t="shared" si="525"/>
        <v>#DIV/0!</v>
      </c>
      <c r="Q1584" s="29" t="str">
        <f t="shared" si="527"/>
        <v>NA</v>
      </c>
      <c r="R1584" s="29" t="str">
        <f t="shared" si="528"/>
        <v>NA</v>
      </c>
      <c r="S1584" s="29" t="str">
        <f t="shared" si="529"/>
        <v>NA</v>
      </c>
      <c r="T1584" s="29" t="str">
        <f t="shared" si="530"/>
        <v>NA</v>
      </c>
      <c r="U1584" s="29" t="str">
        <f t="shared" si="531"/>
        <v>NA</v>
      </c>
      <c r="V1584" s="29" t="str">
        <f t="shared" si="532"/>
        <v>NA</v>
      </c>
      <c r="W1584" s="29" t="str">
        <f t="shared" si="533"/>
        <v>NA</v>
      </c>
      <c r="X1584" s="29" t="str">
        <f t="shared" si="534"/>
        <v>NA</v>
      </c>
      <c r="Y1584" s="29" t="str">
        <f t="shared" si="535"/>
        <v>NA</v>
      </c>
      <c r="Z1584" s="29" t="str">
        <f t="shared" si="536"/>
        <v>NA</v>
      </c>
      <c r="AA1584" s="29" t="str">
        <f t="shared" si="537"/>
        <v>NA</v>
      </c>
      <c r="AB1584" s="29" t="str">
        <f t="shared" si="538"/>
        <v>NA</v>
      </c>
      <c r="AC1584" s="29" t="str">
        <f t="shared" si="539"/>
        <v>NA</v>
      </c>
      <c r="AD1584" s="29" t="str">
        <f t="shared" si="540"/>
        <v>NA</v>
      </c>
      <c r="AE1584" s="29" t="str">
        <f t="shared" si="541"/>
        <v>NA</v>
      </c>
      <c r="AF1584" s="29" t="str">
        <f t="shared" si="542"/>
        <v>NA</v>
      </c>
      <c r="AG1584" s="29" t="str">
        <f t="shared" si="543"/>
        <v>NA</v>
      </c>
      <c r="AH1584" s="29" t="str">
        <f t="shared" si="544"/>
        <v>NA</v>
      </c>
    </row>
    <row r="1585" customHeight="1" spans="1:34">
      <c r="A1585" s="12" t="s">
        <v>1043</v>
      </c>
      <c r="F1585" s="24">
        <f t="shared" si="526"/>
        <v>0</v>
      </c>
      <c r="G1585" s="24" t="e">
        <f t="shared" si="525"/>
        <v>#DIV/0!</v>
      </c>
      <c r="Q1585" s="29" t="str">
        <f t="shared" si="527"/>
        <v>NA</v>
      </c>
      <c r="R1585" s="29" t="str">
        <f t="shared" si="528"/>
        <v>NA</v>
      </c>
      <c r="S1585" s="29" t="str">
        <f t="shared" si="529"/>
        <v>NA</v>
      </c>
      <c r="T1585" s="29" t="str">
        <f t="shared" si="530"/>
        <v>NA</v>
      </c>
      <c r="U1585" s="29" t="str">
        <f t="shared" si="531"/>
        <v>NA</v>
      </c>
      <c r="V1585" s="29" t="str">
        <f t="shared" si="532"/>
        <v>NA</v>
      </c>
      <c r="W1585" s="29" t="str">
        <f t="shared" si="533"/>
        <v>NA</v>
      </c>
      <c r="X1585" s="29" t="str">
        <f t="shared" si="534"/>
        <v>NA</v>
      </c>
      <c r="Y1585" s="29" t="str">
        <f t="shared" si="535"/>
        <v>NA</v>
      </c>
      <c r="Z1585" s="29" t="str">
        <f t="shared" si="536"/>
        <v>NA</v>
      </c>
      <c r="AA1585" s="29" t="str">
        <f t="shared" si="537"/>
        <v>NA</v>
      </c>
      <c r="AB1585" s="29" t="str">
        <f t="shared" si="538"/>
        <v>NA</v>
      </c>
      <c r="AC1585" s="29" t="str">
        <f t="shared" si="539"/>
        <v>NA</v>
      </c>
      <c r="AD1585" s="29" t="str">
        <f t="shared" si="540"/>
        <v>NA</v>
      </c>
      <c r="AE1585" s="29" t="str">
        <f t="shared" si="541"/>
        <v>NA</v>
      </c>
      <c r="AF1585" s="29" t="str">
        <f t="shared" si="542"/>
        <v>NA</v>
      </c>
      <c r="AG1585" s="29" t="str">
        <f t="shared" si="543"/>
        <v>NA</v>
      </c>
      <c r="AH1585" s="29" t="str">
        <f t="shared" si="544"/>
        <v>NA</v>
      </c>
    </row>
    <row r="1586" customHeight="1" spans="1:34">
      <c r="A1586" s="12" t="s">
        <v>1043</v>
      </c>
      <c r="F1586" s="24">
        <f t="shared" si="526"/>
        <v>0</v>
      </c>
      <c r="G1586" s="24" t="e">
        <f t="shared" si="525"/>
        <v>#DIV/0!</v>
      </c>
      <c r="Q1586" s="29" t="str">
        <f t="shared" si="527"/>
        <v>NA</v>
      </c>
      <c r="R1586" s="29" t="str">
        <f t="shared" si="528"/>
        <v>NA</v>
      </c>
      <c r="S1586" s="29" t="str">
        <f t="shared" si="529"/>
        <v>NA</v>
      </c>
      <c r="T1586" s="29" t="str">
        <f t="shared" si="530"/>
        <v>NA</v>
      </c>
      <c r="U1586" s="29" t="str">
        <f t="shared" si="531"/>
        <v>NA</v>
      </c>
      <c r="V1586" s="29" t="str">
        <f t="shared" si="532"/>
        <v>NA</v>
      </c>
      <c r="W1586" s="29" t="str">
        <f t="shared" si="533"/>
        <v>NA</v>
      </c>
      <c r="X1586" s="29" t="str">
        <f t="shared" si="534"/>
        <v>NA</v>
      </c>
      <c r="Y1586" s="29" t="str">
        <f t="shared" si="535"/>
        <v>NA</v>
      </c>
      <c r="Z1586" s="29" t="str">
        <f t="shared" si="536"/>
        <v>NA</v>
      </c>
      <c r="AA1586" s="29" t="str">
        <f t="shared" si="537"/>
        <v>NA</v>
      </c>
      <c r="AB1586" s="29" t="str">
        <f t="shared" si="538"/>
        <v>NA</v>
      </c>
      <c r="AC1586" s="29" t="str">
        <f t="shared" si="539"/>
        <v>NA</v>
      </c>
      <c r="AD1586" s="29" t="str">
        <f t="shared" si="540"/>
        <v>NA</v>
      </c>
      <c r="AE1586" s="29" t="str">
        <f t="shared" si="541"/>
        <v>NA</v>
      </c>
      <c r="AF1586" s="29" t="str">
        <f t="shared" si="542"/>
        <v>NA</v>
      </c>
      <c r="AG1586" s="29" t="str">
        <f t="shared" si="543"/>
        <v>NA</v>
      </c>
      <c r="AH1586" s="29" t="str">
        <f t="shared" si="544"/>
        <v>NA</v>
      </c>
    </row>
    <row r="1587" customHeight="1" spans="1:34">
      <c r="A1587" s="12" t="s">
        <v>1043</v>
      </c>
      <c r="F1587" s="24">
        <f t="shared" si="526"/>
        <v>0</v>
      </c>
      <c r="G1587" s="24" t="e">
        <f t="shared" si="525"/>
        <v>#DIV/0!</v>
      </c>
      <c r="Q1587" s="29" t="str">
        <f t="shared" si="527"/>
        <v>NA</v>
      </c>
      <c r="R1587" s="29" t="str">
        <f t="shared" si="528"/>
        <v>NA</v>
      </c>
      <c r="S1587" s="29" t="str">
        <f t="shared" si="529"/>
        <v>NA</v>
      </c>
      <c r="T1587" s="29" t="str">
        <f t="shared" si="530"/>
        <v>NA</v>
      </c>
      <c r="U1587" s="29" t="str">
        <f t="shared" si="531"/>
        <v>NA</v>
      </c>
      <c r="V1587" s="29" t="str">
        <f t="shared" si="532"/>
        <v>NA</v>
      </c>
      <c r="W1587" s="29" t="str">
        <f t="shared" si="533"/>
        <v>NA</v>
      </c>
      <c r="X1587" s="29" t="str">
        <f t="shared" si="534"/>
        <v>NA</v>
      </c>
      <c r="Y1587" s="29" t="str">
        <f t="shared" si="535"/>
        <v>NA</v>
      </c>
      <c r="Z1587" s="29" t="str">
        <f t="shared" si="536"/>
        <v>NA</v>
      </c>
      <c r="AA1587" s="29" t="str">
        <f t="shared" si="537"/>
        <v>NA</v>
      </c>
      <c r="AB1587" s="29" t="str">
        <f t="shared" si="538"/>
        <v>NA</v>
      </c>
      <c r="AC1587" s="29" t="str">
        <f t="shared" si="539"/>
        <v>NA</v>
      </c>
      <c r="AD1587" s="29" t="str">
        <f t="shared" si="540"/>
        <v>NA</v>
      </c>
      <c r="AE1587" s="29" t="str">
        <f t="shared" si="541"/>
        <v>NA</v>
      </c>
      <c r="AF1587" s="29" t="str">
        <f t="shared" si="542"/>
        <v>NA</v>
      </c>
      <c r="AG1587" s="29" t="str">
        <f t="shared" si="543"/>
        <v>NA</v>
      </c>
      <c r="AH1587" s="29" t="str">
        <f t="shared" si="544"/>
        <v>NA</v>
      </c>
    </row>
    <row r="1588" customHeight="1" spans="1:34">
      <c r="A1588" s="12" t="s">
        <v>1043</v>
      </c>
      <c r="F1588" s="24">
        <f t="shared" si="526"/>
        <v>0</v>
      </c>
      <c r="G1588" s="24" t="e">
        <f t="shared" si="525"/>
        <v>#DIV/0!</v>
      </c>
      <c r="Q1588" s="29" t="str">
        <f t="shared" si="527"/>
        <v>NA</v>
      </c>
      <c r="R1588" s="29" t="str">
        <f t="shared" si="528"/>
        <v>NA</v>
      </c>
      <c r="S1588" s="29" t="str">
        <f t="shared" si="529"/>
        <v>NA</v>
      </c>
      <c r="T1588" s="29" t="str">
        <f t="shared" si="530"/>
        <v>NA</v>
      </c>
      <c r="U1588" s="29" t="str">
        <f t="shared" si="531"/>
        <v>NA</v>
      </c>
      <c r="V1588" s="29" t="str">
        <f t="shared" si="532"/>
        <v>NA</v>
      </c>
      <c r="W1588" s="29" t="str">
        <f t="shared" si="533"/>
        <v>NA</v>
      </c>
      <c r="X1588" s="29" t="str">
        <f t="shared" si="534"/>
        <v>NA</v>
      </c>
      <c r="Y1588" s="29" t="str">
        <f t="shared" si="535"/>
        <v>NA</v>
      </c>
      <c r="Z1588" s="29" t="str">
        <f t="shared" si="536"/>
        <v>NA</v>
      </c>
      <c r="AA1588" s="29" t="str">
        <f t="shared" si="537"/>
        <v>NA</v>
      </c>
      <c r="AB1588" s="29" t="str">
        <f t="shared" si="538"/>
        <v>NA</v>
      </c>
      <c r="AC1588" s="29" t="str">
        <f t="shared" si="539"/>
        <v>NA</v>
      </c>
      <c r="AD1588" s="29" t="str">
        <f t="shared" si="540"/>
        <v>NA</v>
      </c>
      <c r="AE1588" s="29" t="str">
        <f t="shared" si="541"/>
        <v>NA</v>
      </c>
      <c r="AF1588" s="29" t="str">
        <f t="shared" si="542"/>
        <v>NA</v>
      </c>
      <c r="AG1588" s="29" t="str">
        <f t="shared" si="543"/>
        <v>NA</v>
      </c>
      <c r="AH1588" s="29" t="str">
        <f t="shared" si="544"/>
        <v>NA</v>
      </c>
    </row>
    <row r="1589" customHeight="1" spans="1:34">
      <c r="A1589" s="12" t="s">
        <v>1043</v>
      </c>
      <c r="F1589" s="24">
        <f t="shared" si="526"/>
        <v>0</v>
      </c>
      <c r="G1589" s="24" t="e">
        <f t="shared" si="525"/>
        <v>#DIV/0!</v>
      </c>
      <c r="Q1589" s="29" t="str">
        <f t="shared" si="527"/>
        <v>NA</v>
      </c>
      <c r="R1589" s="29" t="str">
        <f t="shared" si="528"/>
        <v>NA</v>
      </c>
      <c r="S1589" s="29" t="str">
        <f t="shared" si="529"/>
        <v>NA</v>
      </c>
      <c r="T1589" s="29" t="str">
        <f t="shared" si="530"/>
        <v>NA</v>
      </c>
      <c r="U1589" s="29" t="str">
        <f t="shared" si="531"/>
        <v>NA</v>
      </c>
      <c r="V1589" s="29" t="str">
        <f t="shared" si="532"/>
        <v>NA</v>
      </c>
      <c r="W1589" s="29" t="str">
        <f t="shared" si="533"/>
        <v>NA</v>
      </c>
      <c r="X1589" s="29" t="str">
        <f t="shared" si="534"/>
        <v>NA</v>
      </c>
      <c r="Y1589" s="29" t="str">
        <f t="shared" si="535"/>
        <v>NA</v>
      </c>
      <c r="Z1589" s="29" t="str">
        <f t="shared" si="536"/>
        <v>NA</v>
      </c>
      <c r="AA1589" s="29" t="str">
        <f t="shared" si="537"/>
        <v>NA</v>
      </c>
      <c r="AB1589" s="29" t="str">
        <f t="shared" si="538"/>
        <v>NA</v>
      </c>
      <c r="AC1589" s="29" t="str">
        <f t="shared" si="539"/>
        <v>NA</v>
      </c>
      <c r="AD1589" s="29" t="str">
        <f t="shared" si="540"/>
        <v>NA</v>
      </c>
      <c r="AE1589" s="29" t="str">
        <f t="shared" si="541"/>
        <v>NA</v>
      </c>
      <c r="AF1589" s="29" t="str">
        <f t="shared" si="542"/>
        <v>NA</v>
      </c>
      <c r="AG1589" s="29" t="str">
        <f t="shared" si="543"/>
        <v>NA</v>
      </c>
      <c r="AH1589" s="29" t="str">
        <f t="shared" si="544"/>
        <v>NA</v>
      </c>
    </row>
    <row r="1590" customHeight="1" spans="1:34">
      <c r="A1590" s="12" t="s">
        <v>1043</v>
      </c>
      <c r="F1590" s="24">
        <f t="shared" si="526"/>
        <v>0</v>
      </c>
      <c r="G1590" s="24" t="e">
        <f t="shared" si="525"/>
        <v>#DIV/0!</v>
      </c>
      <c r="Q1590" s="29" t="str">
        <f t="shared" si="527"/>
        <v>NA</v>
      </c>
      <c r="R1590" s="29" t="str">
        <f t="shared" si="528"/>
        <v>NA</v>
      </c>
      <c r="S1590" s="29" t="str">
        <f t="shared" si="529"/>
        <v>NA</v>
      </c>
      <c r="T1590" s="29" t="str">
        <f t="shared" si="530"/>
        <v>NA</v>
      </c>
      <c r="U1590" s="29" t="str">
        <f t="shared" si="531"/>
        <v>NA</v>
      </c>
      <c r="V1590" s="29" t="str">
        <f t="shared" si="532"/>
        <v>NA</v>
      </c>
      <c r="W1590" s="29" t="str">
        <f t="shared" si="533"/>
        <v>NA</v>
      </c>
      <c r="X1590" s="29" t="str">
        <f t="shared" si="534"/>
        <v>NA</v>
      </c>
      <c r="Y1590" s="29" t="str">
        <f t="shared" si="535"/>
        <v>NA</v>
      </c>
      <c r="Z1590" s="29" t="str">
        <f t="shared" si="536"/>
        <v>NA</v>
      </c>
      <c r="AA1590" s="29" t="str">
        <f t="shared" si="537"/>
        <v>NA</v>
      </c>
      <c r="AB1590" s="29" t="str">
        <f t="shared" si="538"/>
        <v>NA</v>
      </c>
      <c r="AC1590" s="29" t="str">
        <f t="shared" si="539"/>
        <v>NA</v>
      </c>
      <c r="AD1590" s="29" t="str">
        <f t="shared" si="540"/>
        <v>NA</v>
      </c>
      <c r="AE1590" s="29" t="str">
        <f t="shared" si="541"/>
        <v>NA</v>
      </c>
      <c r="AF1590" s="29" t="str">
        <f t="shared" si="542"/>
        <v>NA</v>
      </c>
      <c r="AG1590" s="29" t="str">
        <f t="shared" si="543"/>
        <v>NA</v>
      </c>
      <c r="AH1590" s="29" t="str">
        <f t="shared" si="544"/>
        <v>NA</v>
      </c>
    </row>
    <row r="1591" customHeight="1" spans="1:34">
      <c r="A1591" s="12" t="s">
        <v>1043</v>
      </c>
      <c r="F1591" s="24">
        <f t="shared" si="526"/>
        <v>0</v>
      </c>
      <c r="G1591" s="24" t="e">
        <f t="shared" si="525"/>
        <v>#DIV/0!</v>
      </c>
      <c r="Q1591" s="29" t="str">
        <f t="shared" si="527"/>
        <v>NA</v>
      </c>
      <c r="R1591" s="29" t="str">
        <f t="shared" si="528"/>
        <v>NA</v>
      </c>
      <c r="S1591" s="29" t="str">
        <f t="shared" si="529"/>
        <v>NA</v>
      </c>
      <c r="T1591" s="29" t="str">
        <f t="shared" si="530"/>
        <v>NA</v>
      </c>
      <c r="U1591" s="29" t="str">
        <f t="shared" si="531"/>
        <v>NA</v>
      </c>
      <c r="V1591" s="29" t="str">
        <f t="shared" si="532"/>
        <v>NA</v>
      </c>
      <c r="W1591" s="29" t="str">
        <f t="shared" si="533"/>
        <v>NA</v>
      </c>
      <c r="X1591" s="29" t="str">
        <f t="shared" si="534"/>
        <v>NA</v>
      </c>
      <c r="Y1591" s="29" t="str">
        <f t="shared" si="535"/>
        <v>NA</v>
      </c>
      <c r="Z1591" s="29" t="str">
        <f t="shared" si="536"/>
        <v>NA</v>
      </c>
      <c r="AA1591" s="29" t="str">
        <f t="shared" si="537"/>
        <v>NA</v>
      </c>
      <c r="AB1591" s="29" t="str">
        <f t="shared" si="538"/>
        <v>NA</v>
      </c>
      <c r="AC1591" s="29" t="str">
        <f t="shared" si="539"/>
        <v>NA</v>
      </c>
      <c r="AD1591" s="29" t="str">
        <f t="shared" si="540"/>
        <v>NA</v>
      </c>
      <c r="AE1591" s="29" t="str">
        <f t="shared" si="541"/>
        <v>NA</v>
      </c>
      <c r="AF1591" s="29" t="str">
        <f t="shared" si="542"/>
        <v>NA</v>
      </c>
      <c r="AG1591" s="29" t="str">
        <f t="shared" si="543"/>
        <v>NA</v>
      </c>
      <c r="AH1591" s="29" t="str">
        <f t="shared" si="544"/>
        <v>NA</v>
      </c>
    </row>
    <row r="1592" customHeight="1" spans="1:34">
      <c r="A1592" s="12" t="s">
        <v>1043</v>
      </c>
      <c r="F1592" s="24">
        <f t="shared" si="526"/>
        <v>0</v>
      </c>
      <c r="G1592" s="24" t="e">
        <f t="shared" si="525"/>
        <v>#DIV/0!</v>
      </c>
      <c r="Q1592" s="29" t="str">
        <f t="shared" si="527"/>
        <v>NA</v>
      </c>
      <c r="R1592" s="29" t="str">
        <f t="shared" si="528"/>
        <v>NA</v>
      </c>
      <c r="S1592" s="29" t="str">
        <f t="shared" si="529"/>
        <v>NA</v>
      </c>
      <c r="T1592" s="29" t="str">
        <f t="shared" si="530"/>
        <v>NA</v>
      </c>
      <c r="U1592" s="29" t="str">
        <f t="shared" si="531"/>
        <v>NA</v>
      </c>
      <c r="V1592" s="29" t="str">
        <f t="shared" si="532"/>
        <v>NA</v>
      </c>
      <c r="W1592" s="29" t="str">
        <f t="shared" si="533"/>
        <v>NA</v>
      </c>
      <c r="X1592" s="29" t="str">
        <f t="shared" si="534"/>
        <v>NA</v>
      </c>
      <c r="Y1592" s="29" t="str">
        <f t="shared" si="535"/>
        <v>NA</v>
      </c>
      <c r="Z1592" s="29" t="str">
        <f t="shared" si="536"/>
        <v>NA</v>
      </c>
      <c r="AA1592" s="29" t="str">
        <f t="shared" si="537"/>
        <v>NA</v>
      </c>
      <c r="AB1592" s="29" t="str">
        <f t="shared" si="538"/>
        <v>NA</v>
      </c>
      <c r="AC1592" s="29" t="str">
        <f t="shared" si="539"/>
        <v>NA</v>
      </c>
      <c r="AD1592" s="29" t="str">
        <f t="shared" si="540"/>
        <v>NA</v>
      </c>
      <c r="AE1592" s="29" t="str">
        <f t="shared" si="541"/>
        <v>NA</v>
      </c>
      <c r="AF1592" s="29" t="str">
        <f t="shared" si="542"/>
        <v>NA</v>
      </c>
      <c r="AG1592" s="29" t="str">
        <f t="shared" si="543"/>
        <v>NA</v>
      </c>
      <c r="AH1592" s="29" t="str">
        <f t="shared" si="544"/>
        <v>NA</v>
      </c>
    </row>
    <row r="1593" customHeight="1" spans="1:34">
      <c r="A1593" s="12" t="s">
        <v>1043</v>
      </c>
      <c r="F1593" s="24">
        <f t="shared" si="526"/>
        <v>0</v>
      </c>
      <c r="G1593" s="24" t="e">
        <f t="shared" si="525"/>
        <v>#DIV/0!</v>
      </c>
      <c r="Q1593" s="29" t="str">
        <f t="shared" si="527"/>
        <v>NA</v>
      </c>
      <c r="R1593" s="29" t="str">
        <f t="shared" si="528"/>
        <v>NA</v>
      </c>
      <c r="S1593" s="29" t="str">
        <f t="shared" si="529"/>
        <v>NA</v>
      </c>
      <c r="T1593" s="29" t="str">
        <f t="shared" si="530"/>
        <v>NA</v>
      </c>
      <c r="U1593" s="29" t="str">
        <f t="shared" si="531"/>
        <v>NA</v>
      </c>
      <c r="V1593" s="29" t="str">
        <f t="shared" si="532"/>
        <v>NA</v>
      </c>
      <c r="W1593" s="29" t="str">
        <f t="shared" si="533"/>
        <v>NA</v>
      </c>
      <c r="X1593" s="29" t="str">
        <f t="shared" si="534"/>
        <v>NA</v>
      </c>
      <c r="Y1593" s="29" t="str">
        <f t="shared" si="535"/>
        <v>NA</v>
      </c>
      <c r="Z1593" s="29" t="str">
        <f t="shared" si="536"/>
        <v>NA</v>
      </c>
      <c r="AA1593" s="29" t="str">
        <f t="shared" si="537"/>
        <v>NA</v>
      </c>
      <c r="AB1593" s="29" t="str">
        <f t="shared" si="538"/>
        <v>NA</v>
      </c>
      <c r="AC1593" s="29" t="str">
        <f t="shared" si="539"/>
        <v>NA</v>
      </c>
      <c r="AD1593" s="29" t="str">
        <f t="shared" si="540"/>
        <v>NA</v>
      </c>
      <c r="AE1593" s="29" t="str">
        <f t="shared" si="541"/>
        <v>NA</v>
      </c>
      <c r="AF1593" s="29" t="str">
        <f t="shared" si="542"/>
        <v>NA</v>
      </c>
      <c r="AG1593" s="29" t="str">
        <f t="shared" si="543"/>
        <v>NA</v>
      </c>
      <c r="AH1593" s="29" t="str">
        <f t="shared" si="544"/>
        <v>NA</v>
      </c>
    </row>
    <row r="1594" customHeight="1" spans="1:34">
      <c r="A1594" s="12" t="s">
        <v>1043</v>
      </c>
      <c r="F1594" s="24">
        <f t="shared" si="526"/>
        <v>0</v>
      </c>
      <c r="G1594" s="24" t="e">
        <f t="shared" si="525"/>
        <v>#DIV/0!</v>
      </c>
      <c r="Q1594" s="29" t="str">
        <f t="shared" si="527"/>
        <v>NA</v>
      </c>
      <c r="R1594" s="29" t="str">
        <f t="shared" si="528"/>
        <v>NA</v>
      </c>
      <c r="S1594" s="29" t="str">
        <f t="shared" si="529"/>
        <v>NA</v>
      </c>
      <c r="T1594" s="29" t="str">
        <f t="shared" si="530"/>
        <v>NA</v>
      </c>
      <c r="U1594" s="29" t="str">
        <f t="shared" si="531"/>
        <v>NA</v>
      </c>
      <c r="V1594" s="29" t="str">
        <f t="shared" si="532"/>
        <v>NA</v>
      </c>
      <c r="W1594" s="29" t="str">
        <f t="shared" si="533"/>
        <v>NA</v>
      </c>
      <c r="X1594" s="29" t="str">
        <f t="shared" si="534"/>
        <v>NA</v>
      </c>
      <c r="Y1594" s="29" t="str">
        <f t="shared" si="535"/>
        <v>NA</v>
      </c>
      <c r="Z1594" s="29" t="str">
        <f t="shared" si="536"/>
        <v>NA</v>
      </c>
      <c r="AA1594" s="29" t="str">
        <f t="shared" si="537"/>
        <v>NA</v>
      </c>
      <c r="AB1594" s="29" t="str">
        <f t="shared" si="538"/>
        <v>NA</v>
      </c>
      <c r="AC1594" s="29" t="str">
        <f t="shared" si="539"/>
        <v>NA</v>
      </c>
      <c r="AD1594" s="29" t="str">
        <f t="shared" si="540"/>
        <v>NA</v>
      </c>
      <c r="AE1594" s="29" t="str">
        <f t="shared" si="541"/>
        <v>NA</v>
      </c>
      <c r="AF1594" s="29" t="str">
        <f t="shared" si="542"/>
        <v>NA</v>
      </c>
      <c r="AG1594" s="29" t="str">
        <f t="shared" si="543"/>
        <v>NA</v>
      </c>
      <c r="AH1594" s="29" t="str">
        <f t="shared" si="544"/>
        <v>NA</v>
      </c>
    </row>
    <row r="1595" customHeight="1" spans="1:34">
      <c r="A1595" s="12" t="s">
        <v>1043</v>
      </c>
      <c r="F1595" s="24">
        <f t="shared" si="526"/>
        <v>0</v>
      </c>
      <c r="G1595" s="24" t="e">
        <f t="shared" si="525"/>
        <v>#DIV/0!</v>
      </c>
      <c r="Q1595" s="29" t="str">
        <f t="shared" si="527"/>
        <v>NA</v>
      </c>
      <c r="R1595" s="29" t="str">
        <f t="shared" si="528"/>
        <v>NA</v>
      </c>
      <c r="S1595" s="29" t="str">
        <f t="shared" si="529"/>
        <v>NA</v>
      </c>
      <c r="T1595" s="29" t="str">
        <f t="shared" si="530"/>
        <v>NA</v>
      </c>
      <c r="U1595" s="29" t="str">
        <f t="shared" si="531"/>
        <v>NA</v>
      </c>
      <c r="V1595" s="29" t="str">
        <f t="shared" si="532"/>
        <v>NA</v>
      </c>
      <c r="W1595" s="29" t="str">
        <f t="shared" si="533"/>
        <v>NA</v>
      </c>
      <c r="X1595" s="29" t="str">
        <f t="shared" si="534"/>
        <v>NA</v>
      </c>
      <c r="Y1595" s="29" t="str">
        <f t="shared" si="535"/>
        <v>NA</v>
      </c>
      <c r="Z1595" s="29" t="str">
        <f t="shared" si="536"/>
        <v>NA</v>
      </c>
      <c r="AA1595" s="29" t="str">
        <f t="shared" si="537"/>
        <v>NA</v>
      </c>
      <c r="AB1595" s="29" t="str">
        <f t="shared" si="538"/>
        <v>NA</v>
      </c>
      <c r="AC1595" s="29" t="str">
        <f t="shared" si="539"/>
        <v>NA</v>
      </c>
      <c r="AD1595" s="29" t="str">
        <f t="shared" si="540"/>
        <v>NA</v>
      </c>
      <c r="AE1595" s="29" t="str">
        <f t="shared" si="541"/>
        <v>NA</v>
      </c>
      <c r="AF1595" s="29" t="str">
        <f t="shared" si="542"/>
        <v>NA</v>
      </c>
      <c r="AG1595" s="29" t="str">
        <f t="shared" si="543"/>
        <v>NA</v>
      </c>
      <c r="AH1595" s="29" t="str">
        <f t="shared" si="544"/>
        <v>NA</v>
      </c>
    </row>
    <row r="1596" customHeight="1" spans="1:34">
      <c r="A1596" s="12" t="s">
        <v>1043</v>
      </c>
      <c r="F1596" s="24">
        <f t="shared" si="526"/>
        <v>0</v>
      </c>
      <c r="G1596" s="24" t="e">
        <f t="shared" si="525"/>
        <v>#DIV/0!</v>
      </c>
      <c r="Q1596" s="29" t="str">
        <f t="shared" si="527"/>
        <v>NA</v>
      </c>
      <c r="R1596" s="29" t="str">
        <f t="shared" si="528"/>
        <v>NA</v>
      </c>
      <c r="S1596" s="29" t="str">
        <f t="shared" si="529"/>
        <v>NA</v>
      </c>
      <c r="T1596" s="29" t="str">
        <f t="shared" si="530"/>
        <v>NA</v>
      </c>
      <c r="U1596" s="29" t="str">
        <f t="shared" si="531"/>
        <v>NA</v>
      </c>
      <c r="V1596" s="29" t="str">
        <f t="shared" si="532"/>
        <v>NA</v>
      </c>
      <c r="W1596" s="29" t="str">
        <f t="shared" si="533"/>
        <v>NA</v>
      </c>
      <c r="X1596" s="29" t="str">
        <f t="shared" si="534"/>
        <v>NA</v>
      </c>
      <c r="Y1596" s="29" t="str">
        <f t="shared" si="535"/>
        <v>NA</v>
      </c>
      <c r="Z1596" s="29" t="str">
        <f t="shared" si="536"/>
        <v>NA</v>
      </c>
      <c r="AA1596" s="29" t="str">
        <f t="shared" si="537"/>
        <v>NA</v>
      </c>
      <c r="AB1596" s="29" t="str">
        <f t="shared" si="538"/>
        <v>NA</v>
      </c>
      <c r="AC1596" s="29" t="str">
        <f t="shared" si="539"/>
        <v>NA</v>
      </c>
      <c r="AD1596" s="29" t="str">
        <f t="shared" si="540"/>
        <v>NA</v>
      </c>
      <c r="AE1596" s="29" t="str">
        <f t="shared" si="541"/>
        <v>NA</v>
      </c>
      <c r="AF1596" s="29" t="str">
        <f t="shared" si="542"/>
        <v>NA</v>
      </c>
      <c r="AG1596" s="29" t="str">
        <f t="shared" si="543"/>
        <v>NA</v>
      </c>
      <c r="AH1596" s="29" t="str">
        <f t="shared" si="544"/>
        <v>NA</v>
      </c>
    </row>
    <row r="1597" customHeight="1" spans="1:34">
      <c r="A1597" s="12" t="s">
        <v>1043</v>
      </c>
      <c r="F1597" s="24">
        <f t="shared" si="526"/>
        <v>0</v>
      </c>
      <c r="G1597" s="24" t="e">
        <f t="shared" si="525"/>
        <v>#DIV/0!</v>
      </c>
      <c r="Q1597" s="29" t="str">
        <f t="shared" si="527"/>
        <v>NA</v>
      </c>
      <c r="R1597" s="29" t="str">
        <f t="shared" si="528"/>
        <v>NA</v>
      </c>
      <c r="S1597" s="29" t="str">
        <f t="shared" si="529"/>
        <v>NA</v>
      </c>
      <c r="T1597" s="29" t="str">
        <f t="shared" si="530"/>
        <v>NA</v>
      </c>
      <c r="U1597" s="29" t="str">
        <f t="shared" si="531"/>
        <v>NA</v>
      </c>
      <c r="V1597" s="29" t="str">
        <f t="shared" si="532"/>
        <v>NA</v>
      </c>
      <c r="W1597" s="29" t="str">
        <f t="shared" si="533"/>
        <v>NA</v>
      </c>
      <c r="X1597" s="29" t="str">
        <f t="shared" si="534"/>
        <v>NA</v>
      </c>
      <c r="Y1597" s="29" t="str">
        <f t="shared" si="535"/>
        <v>NA</v>
      </c>
      <c r="Z1597" s="29" t="str">
        <f t="shared" si="536"/>
        <v>NA</v>
      </c>
      <c r="AA1597" s="29" t="str">
        <f t="shared" si="537"/>
        <v>NA</v>
      </c>
      <c r="AB1597" s="29" t="str">
        <f t="shared" si="538"/>
        <v>NA</v>
      </c>
      <c r="AC1597" s="29" t="str">
        <f t="shared" si="539"/>
        <v>NA</v>
      </c>
      <c r="AD1597" s="29" t="str">
        <f t="shared" si="540"/>
        <v>NA</v>
      </c>
      <c r="AE1597" s="29" t="str">
        <f t="shared" si="541"/>
        <v>NA</v>
      </c>
      <c r="AF1597" s="29" t="str">
        <f t="shared" si="542"/>
        <v>NA</v>
      </c>
      <c r="AG1597" s="29" t="str">
        <f t="shared" si="543"/>
        <v>NA</v>
      </c>
      <c r="AH1597" s="29" t="str">
        <f t="shared" si="544"/>
        <v>NA</v>
      </c>
    </row>
    <row r="1598" customHeight="1" spans="1:34">
      <c r="A1598" s="12" t="s">
        <v>1043</v>
      </c>
      <c r="F1598" s="24">
        <f t="shared" si="526"/>
        <v>0</v>
      </c>
      <c r="G1598" s="24" t="e">
        <f t="shared" si="525"/>
        <v>#DIV/0!</v>
      </c>
      <c r="Q1598" s="29" t="str">
        <f t="shared" si="527"/>
        <v>NA</v>
      </c>
      <c r="R1598" s="29" t="str">
        <f t="shared" si="528"/>
        <v>NA</v>
      </c>
      <c r="S1598" s="29" t="str">
        <f t="shared" si="529"/>
        <v>NA</v>
      </c>
      <c r="T1598" s="29" t="str">
        <f t="shared" si="530"/>
        <v>NA</v>
      </c>
      <c r="U1598" s="29" t="str">
        <f t="shared" si="531"/>
        <v>NA</v>
      </c>
      <c r="V1598" s="29" t="str">
        <f t="shared" si="532"/>
        <v>NA</v>
      </c>
      <c r="W1598" s="29" t="str">
        <f t="shared" si="533"/>
        <v>NA</v>
      </c>
      <c r="X1598" s="29" t="str">
        <f t="shared" si="534"/>
        <v>NA</v>
      </c>
      <c r="Y1598" s="29" t="str">
        <f t="shared" si="535"/>
        <v>NA</v>
      </c>
      <c r="Z1598" s="29" t="str">
        <f t="shared" si="536"/>
        <v>NA</v>
      </c>
      <c r="AA1598" s="29" t="str">
        <f t="shared" si="537"/>
        <v>NA</v>
      </c>
      <c r="AB1598" s="29" t="str">
        <f t="shared" si="538"/>
        <v>NA</v>
      </c>
      <c r="AC1598" s="29" t="str">
        <f t="shared" si="539"/>
        <v>NA</v>
      </c>
      <c r="AD1598" s="29" t="str">
        <f t="shared" si="540"/>
        <v>NA</v>
      </c>
      <c r="AE1598" s="29" t="str">
        <f t="shared" si="541"/>
        <v>NA</v>
      </c>
      <c r="AF1598" s="29" t="str">
        <f t="shared" si="542"/>
        <v>NA</v>
      </c>
      <c r="AG1598" s="29" t="str">
        <f t="shared" si="543"/>
        <v>NA</v>
      </c>
      <c r="AH1598" s="29" t="str">
        <f t="shared" si="544"/>
        <v>NA</v>
      </c>
    </row>
    <row r="1599" customHeight="1" spans="1:34">
      <c r="A1599" s="12" t="s">
        <v>1043</v>
      </c>
      <c r="F1599" s="24">
        <f t="shared" si="526"/>
        <v>0</v>
      </c>
      <c r="G1599" s="24" t="e">
        <f t="shared" si="525"/>
        <v>#DIV/0!</v>
      </c>
      <c r="Q1599" s="29" t="str">
        <f t="shared" si="527"/>
        <v>NA</v>
      </c>
      <c r="R1599" s="29" t="str">
        <f t="shared" si="528"/>
        <v>NA</v>
      </c>
      <c r="S1599" s="29" t="str">
        <f t="shared" si="529"/>
        <v>NA</v>
      </c>
      <c r="T1599" s="29" t="str">
        <f t="shared" si="530"/>
        <v>NA</v>
      </c>
      <c r="U1599" s="29" t="str">
        <f t="shared" si="531"/>
        <v>NA</v>
      </c>
      <c r="V1599" s="29" t="str">
        <f t="shared" si="532"/>
        <v>NA</v>
      </c>
      <c r="W1599" s="29" t="str">
        <f t="shared" si="533"/>
        <v>NA</v>
      </c>
      <c r="X1599" s="29" t="str">
        <f t="shared" si="534"/>
        <v>NA</v>
      </c>
      <c r="Y1599" s="29" t="str">
        <f t="shared" si="535"/>
        <v>NA</v>
      </c>
      <c r="Z1599" s="29" t="str">
        <f t="shared" si="536"/>
        <v>NA</v>
      </c>
      <c r="AA1599" s="29" t="str">
        <f t="shared" si="537"/>
        <v>NA</v>
      </c>
      <c r="AB1599" s="29" t="str">
        <f t="shared" si="538"/>
        <v>NA</v>
      </c>
      <c r="AC1599" s="29" t="str">
        <f t="shared" si="539"/>
        <v>NA</v>
      </c>
      <c r="AD1599" s="29" t="str">
        <f t="shared" si="540"/>
        <v>NA</v>
      </c>
      <c r="AE1599" s="29" t="str">
        <f t="shared" si="541"/>
        <v>NA</v>
      </c>
      <c r="AF1599" s="29" t="str">
        <f t="shared" si="542"/>
        <v>NA</v>
      </c>
      <c r="AG1599" s="29" t="str">
        <f t="shared" si="543"/>
        <v>NA</v>
      </c>
      <c r="AH1599" s="29" t="str">
        <f t="shared" si="544"/>
        <v>NA</v>
      </c>
    </row>
    <row r="1600" customHeight="1" spans="1:34">
      <c r="A1600" s="12" t="s">
        <v>1043</v>
      </c>
      <c r="F1600" s="24">
        <f t="shared" si="526"/>
        <v>0</v>
      </c>
      <c r="G1600" s="24" t="e">
        <f t="shared" si="525"/>
        <v>#DIV/0!</v>
      </c>
      <c r="Q1600" s="29" t="str">
        <f t="shared" si="527"/>
        <v>NA</v>
      </c>
      <c r="R1600" s="29" t="str">
        <f t="shared" si="528"/>
        <v>NA</v>
      </c>
      <c r="S1600" s="29" t="str">
        <f t="shared" si="529"/>
        <v>NA</v>
      </c>
      <c r="T1600" s="29" t="str">
        <f t="shared" si="530"/>
        <v>NA</v>
      </c>
      <c r="U1600" s="29" t="str">
        <f t="shared" si="531"/>
        <v>NA</v>
      </c>
      <c r="V1600" s="29" t="str">
        <f t="shared" si="532"/>
        <v>NA</v>
      </c>
      <c r="W1600" s="29" t="str">
        <f t="shared" si="533"/>
        <v>NA</v>
      </c>
      <c r="X1600" s="29" t="str">
        <f t="shared" si="534"/>
        <v>NA</v>
      </c>
      <c r="Y1600" s="29" t="str">
        <f t="shared" si="535"/>
        <v>NA</v>
      </c>
      <c r="Z1600" s="29" t="str">
        <f t="shared" si="536"/>
        <v>NA</v>
      </c>
      <c r="AA1600" s="29" t="str">
        <f t="shared" si="537"/>
        <v>NA</v>
      </c>
      <c r="AB1600" s="29" t="str">
        <f t="shared" si="538"/>
        <v>NA</v>
      </c>
      <c r="AC1600" s="29" t="str">
        <f t="shared" si="539"/>
        <v>NA</v>
      </c>
      <c r="AD1600" s="29" t="str">
        <f t="shared" si="540"/>
        <v>NA</v>
      </c>
      <c r="AE1600" s="29" t="str">
        <f t="shared" si="541"/>
        <v>NA</v>
      </c>
      <c r="AF1600" s="29" t="str">
        <f t="shared" si="542"/>
        <v>NA</v>
      </c>
      <c r="AG1600" s="29" t="str">
        <f t="shared" si="543"/>
        <v>NA</v>
      </c>
      <c r="AH1600" s="29" t="str">
        <f t="shared" si="544"/>
        <v>NA</v>
      </c>
    </row>
    <row r="1601" customHeight="1" spans="1:34">
      <c r="A1601" s="12" t="s">
        <v>1043</v>
      </c>
      <c r="F1601" s="24">
        <f t="shared" si="526"/>
        <v>0</v>
      </c>
      <c r="G1601" s="24" t="e">
        <f t="shared" si="525"/>
        <v>#DIV/0!</v>
      </c>
      <c r="Q1601" s="29" t="str">
        <f t="shared" si="527"/>
        <v>NA</v>
      </c>
      <c r="R1601" s="29" t="str">
        <f t="shared" si="528"/>
        <v>NA</v>
      </c>
      <c r="S1601" s="29" t="str">
        <f t="shared" si="529"/>
        <v>NA</v>
      </c>
      <c r="T1601" s="29" t="str">
        <f t="shared" si="530"/>
        <v>NA</v>
      </c>
      <c r="U1601" s="29" t="str">
        <f t="shared" si="531"/>
        <v>NA</v>
      </c>
      <c r="V1601" s="29" t="str">
        <f t="shared" si="532"/>
        <v>NA</v>
      </c>
      <c r="W1601" s="29" t="str">
        <f t="shared" si="533"/>
        <v>NA</v>
      </c>
      <c r="X1601" s="29" t="str">
        <f t="shared" si="534"/>
        <v>NA</v>
      </c>
      <c r="Y1601" s="29" t="str">
        <f t="shared" si="535"/>
        <v>NA</v>
      </c>
      <c r="Z1601" s="29" t="str">
        <f t="shared" si="536"/>
        <v>NA</v>
      </c>
      <c r="AA1601" s="29" t="str">
        <f t="shared" si="537"/>
        <v>NA</v>
      </c>
      <c r="AB1601" s="29" t="str">
        <f t="shared" si="538"/>
        <v>NA</v>
      </c>
      <c r="AC1601" s="29" t="str">
        <f t="shared" si="539"/>
        <v>NA</v>
      </c>
      <c r="AD1601" s="29" t="str">
        <f t="shared" si="540"/>
        <v>NA</v>
      </c>
      <c r="AE1601" s="29" t="str">
        <f t="shared" si="541"/>
        <v>NA</v>
      </c>
      <c r="AF1601" s="29" t="str">
        <f t="shared" si="542"/>
        <v>NA</v>
      </c>
      <c r="AG1601" s="29" t="str">
        <f t="shared" si="543"/>
        <v>NA</v>
      </c>
      <c r="AH1601" s="29" t="str">
        <f t="shared" si="544"/>
        <v>NA</v>
      </c>
    </row>
    <row r="1602" customHeight="1" spans="1:34">
      <c r="A1602" s="12" t="s">
        <v>1043</v>
      </c>
      <c r="F1602" s="24">
        <f t="shared" si="526"/>
        <v>0</v>
      </c>
      <c r="G1602" s="24" t="e">
        <f t="shared" si="525"/>
        <v>#DIV/0!</v>
      </c>
      <c r="Q1602" s="29" t="str">
        <f t="shared" si="527"/>
        <v>NA</v>
      </c>
      <c r="R1602" s="29" t="str">
        <f t="shared" si="528"/>
        <v>NA</v>
      </c>
      <c r="S1602" s="29" t="str">
        <f t="shared" si="529"/>
        <v>NA</v>
      </c>
      <c r="T1602" s="29" t="str">
        <f t="shared" si="530"/>
        <v>NA</v>
      </c>
      <c r="U1602" s="29" t="str">
        <f t="shared" si="531"/>
        <v>NA</v>
      </c>
      <c r="V1602" s="29" t="str">
        <f t="shared" si="532"/>
        <v>NA</v>
      </c>
      <c r="W1602" s="29" t="str">
        <f t="shared" si="533"/>
        <v>NA</v>
      </c>
      <c r="X1602" s="29" t="str">
        <f t="shared" si="534"/>
        <v>NA</v>
      </c>
      <c r="Y1602" s="29" t="str">
        <f t="shared" si="535"/>
        <v>NA</v>
      </c>
      <c r="Z1602" s="29" t="str">
        <f t="shared" si="536"/>
        <v>NA</v>
      </c>
      <c r="AA1602" s="29" t="str">
        <f t="shared" si="537"/>
        <v>NA</v>
      </c>
      <c r="AB1602" s="29" t="str">
        <f t="shared" si="538"/>
        <v>NA</v>
      </c>
      <c r="AC1602" s="29" t="str">
        <f t="shared" si="539"/>
        <v>NA</v>
      </c>
      <c r="AD1602" s="29" t="str">
        <f t="shared" si="540"/>
        <v>NA</v>
      </c>
      <c r="AE1602" s="29" t="str">
        <f t="shared" si="541"/>
        <v>NA</v>
      </c>
      <c r="AF1602" s="29" t="str">
        <f t="shared" si="542"/>
        <v>NA</v>
      </c>
      <c r="AG1602" s="29" t="str">
        <f t="shared" si="543"/>
        <v>NA</v>
      </c>
      <c r="AH1602" s="29" t="str">
        <f t="shared" si="544"/>
        <v>NA</v>
      </c>
    </row>
    <row r="1603" customHeight="1" spans="1:34">
      <c r="A1603" s="12" t="s">
        <v>1043</v>
      </c>
      <c r="F1603" s="24">
        <f t="shared" si="526"/>
        <v>0</v>
      </c>
      <c r="G1603" s="24" t="e">
        <f t="shared" si="525"/>
        <v>#DIV/0!</v>
      </c>
      <c r="Q1603" s="29" t="str">
        <f t="shared" si="527"/>
        <v>NA</v>
      </c>
      <c r="R1603" s="29" t="str">
        <f t="shared" si="528"/>
        <v>NA</v>
      </c>
      <c r="S1603" s="29" t="str">
        <f t="shared" si="529"/>
        <v>NA</v>
      </c>
      <c r="T1603" s="29" t="str">
        <f t="shared" si="530"/>
        <v>NA</v>
      </c>
      <c r="U1603" s="29" t="str">
        <f t="shared" si="531"/>
        <v>NA</v>
      </c>
      <c r="V1603" s="29" t="str">
        <f t="shared" si="532"/>
        <v>NA</v>
      </c>
      <c r="W1603" s="29" t="str">
        <f t="shared" si="533"/>
        <v>NA</v>
      </c>
      <c r="X1603" s="29" t="str">
        <f t="shared" si="534"/>
        <v>NA</v>
      </c>
      <c r="Y1603" s="29" t="str">
        <f t="shared" si="535"/>
        <v>NA</v>
      </c>
      <c r="Z1603" s="29" t="str">
        <f t="shared" si="536"/>
        <v>NA</v>
      </c>
      <c r="AA1603" s="29" t="str">
        <f t="shared" si="537"/>
        <v>NA</v>
      </c>
      <c r="AB1603" s="29" t="str">
        <f t="shared" si="538"/>
        <v>NA</v>
      </c>
      <c r="AC1603" s="29" t="str">
        <f t="shared" si="539"/>
        <v>NA</v>
      </c>
      <c r="AD1603" s="29" t="str">
        <f t="shared" si="540"/>
        <v>NA</v>
      </c>
      <c r="AE1603" s="29" t="str">
        <f t="shared" si="541"/>
        <v>NA</v>
      </c>
      <c r="AF1603" s="29" t="str">
        <f t="shared" si="542"/>
        <v>NA</v>
      </c>
      <c r="AG1603" s="29" t="str">
        <f t="shared" si="543"/>
        <v>NA</v>
      </c>
      <c r="AH1603" s="29" t="str">
        <f t="shared" si="544"/>
        <v>NA</v>
      </c>
    </row>
    <row r="1604" customHeight="1" spans="1:34">
      <c r="A1604" s="12" t="s">
        <v>1043</v>
      </c>
      <c r="F1604" s="24">
        <f t="shared" si="526"/>
        <v>0</v>
      </c>
      <c r="G1604" s="24" t="e">
        <f t="shared" si="525"/>
        <v>#DIV/0!</v>
      </c>
      <c r="Q1604" s="29" t="str">
        <f t="shared" si="527"/>
        <v>NA</v>
      </c>
      <c r="R1604" s="29" t="str">
        <f t="shared" si="528"/>
        <v>NA</v>
      </c>
      <c r="S1604" s="29" t="str">
        <f t="shared" si="529"/>
        <v>NA</v>
      </c>
      <c r="T1604" s="29" t="str">
        <f t="shared" si="530"/>
        <v>NA</v>
      </c>
      <c r="U1604" s="29" t="str">
        <f t="shared" si="531"/>
        <v>NA</v>
      </c>
      <c r="V1604" s="29" t="str">
        <f t="shared" si="532"/>
        <v>NA</v>
      </c>
      <c r="W1604" s="29" t="str">
        <f t="shared" si="533"/>
        <v>NA</v>
      </c>
      <c r="X1604" s="29" t="str">
        <f t="shared" si="534"/>
        <v>NA</v>
      </c>
      <c r="Y1604" s="29" t="str">
        <f t="shared" si="535"/>
        <v>NA</v>
      </c>
      <c r="Z1604" s="29" t="str">
        <f t="shared" si="536"/>
        <v>NA</v>
      </c>
      <c r="AA1604" s="29" t="str">
        <f t="shared" si="537"/>
        <v>NA</v>
      </c>
      <c r="AB1604" s="29" t="str">
        <f t="shared" si="538"/>
        <v>NA</v>
      </c>
      <c r="AC1604" s="29" t="str">
        <f t="shared" si="539"/>
        <v>NA</v>
      </c>
      <c r="AD1604" s="29" t="str">
        <f t="shared" si="540"/>
        <v>NA</v>
      </c>
      <c r="AE1604" s="29" t="str">
        <f t="shared" si="541"/>
        <v>NA</v>
      </c>
      <c r="AF1604" s="29" t="str">
        <f t="shared" si="542"/>
        <v>NA</v>
      </c>
      <c r="AG1604" s="29" t="str">
        <f t="shared" si="543"/>
        <v>NA</v>
      </c>
      <c r="AH1604" s="29" t="str">
        <f t="shared" si="544"/>
        <v>NA</v>
      </c>
    </row>
    <row r="1605" customHeight="1" spans="1:34">
      <c r="A1605" s="12" t="s">
        <v>1043</v>
      </c>
      <c r="F1605" s="24">
        <f t="shared" si="526"/>
        <v>0</v>
      </c>
      <c r="G1605" s="24" t="e">
        <f t="shared" ref="G1605:G1668" si="545">B1605*D1605/C1605</f>
        <v>#DIV/0!</v>
      </c>
      <c r="Q1605" s="29" t="str">
        <f t="shared" si="527"/>
        <v>NA</v>
      </c>
      <c r="R1605" s="29" t="str">
        <f t="shared" si="528"/>
        <v>NA</v>
      </c>
      <c r="S1605" s="29" t="str">
        <f t="shared" si="529"/>
        <v>NA</v>
      </c>
      <c r="T1605" s="29" t="str">
        <f t="shared" si="530"/>
        <v>NA</v>
      </c>
      <c r="U1605" s="29" t="str">
        <f t="shared" si="531"/>
        <v>NA</v>
      </c>
      <c r="V1605" s="29" t="str">
        <f t="shared" si="532"/>
        <v>NA</v>
      </c>
      <c r="W1605" s="29" t="str">
        <f t="shared" si="533"/>
        <v>NA</v>
      </c>
      <c r="X1605" s="29" t="str">
        <f t="shared" si="534"/>
        <v>NA</v>
      </c>
      <c r="Y1605" s="29" t="str">
        <f t="shared" si="535"/>
        <v>NA</v>
      </c>
      <c r="Z1605" s="29" t="str">
        <f t="shared" si="536"/>
        <v>NA</v>
      </c>
      <c r="AA1605" s="29" t="str">
        <f t="shared" si="537"/>
        <v>NA</v>
      </c>
      <c r="AB1605" s="29" t="str">
        <f t="shared" si="538"/>
        <v>NA</v>
      </c>
      <c r="AC1605" s="29" t="str">
        <f t="shared" si="539"/>
        <v>NA</v>
      </c>
      <c r="AD1605" s="29" t="str">
        <f t="shared" si="540"/>
        <v>NA</v>
      </c>
      <c r="AE1605" s="29" t="str">
        <f t="shared" si="541"/>
        <v>NA</v>
      </c>
      <c r="AF1605" s="29" t="str">
        <f t="shared" si="542"/>
        <v>NA</v>
      </c>
      <c r="AG1605" s="29" t="str">
        <f t="shared" si="543"/>
        <v>NA</v>
      </c>
      <c r="AH1605" s="29" t="str">
        <f t="shared" si="544"/>
        <v>NA</v>
      </c>
    </row>
    <row r="1606" customHeight="1" spans="1:34">
      <c r="A1606" s="12" t="s">
        <v>1043</v>
      </c>
      <c r="F1606" s="24">
        <f t="shared" ref="F1606:F1669" si="546">+D1606+E1606</f>
        <v>0</v>
      </c>
      <c r="G1606" s="24" t="e">
        <f t="shared" si="545"/>
        <v>#DIV/0!</v>
      </c>
      <c r="Q1606" s="29" t="str">
        <f t="shared" si="527"/>
        <v>NA</v>
      </c>
      <c r="R1606" s="29" t="str">
        <f t="shared" si="528"/>
        <v>NA</v>
      </c>
      <c r="S1606" s="29" t="str">
        <f t="shared" si="529"/>
        <v>NA</v>
      </c>
      <c r="T1606" s="29" t="str">
        <f t="shared" si="530"/>
        <v>NA</v>
      </c>
      <c r="U1606" s="29" t="str">
        <f t="shared" si="531"/>
        <v>NA</v>
      </c>
      <c r="V1606" s="29" t="str">
        <f t="shared" si="532"/>
        <v>NA</v>
      </c>
      <c r="W1606" s="29" t="str">
        <f t="shared" si="533"/>
        <v>NA</v>
      </c>
      <c r="X1606" s="29" t="str">
        <f t="shared" si="534"/>
        <v>NA</v>
      </c>
      <c r="Y1606" s="29" t="str">
        <f t="shared" si="535"/>
        <v>NA</v>
      </c>
      <c r="Z1606" s="29" t="str">
        <f t="shared" si="536"/>
        <v>NA</v>
      </c>
      <c r="AA1606" s="29" t="str">
        <f t="shared" si="537"/>
        <v>NA</v>
      </c>
      <c r="AB1606" s="29" t="str">
        <f t="shared" si="538"/>
        <v>NA</v>
      </c>
      <c r="AC1606" s="29" t="str">
        <f t="shared" si="539"/>
        <v>NA</v>
      </c>
      <c r="AD1606" s="29" t="str">
        <f t="shared" si="540"/>
        <v>NA</v>
      </c>
      <c r="AE1606" s="29" t="str">
        <f t="shared" si="541"/>
        <v>NA</v>
      </c>
      <c r="AF1606" s="29" t="str">
        <f t="shared" si="542"/>
        <v>NA</v>
      </c>
      <c r="AG1606" s="29" t="str">
        <f t="shared" si="543"/>
        <v>NA</v>
      </c>
      <c r="AH1606" s="29" t="str">
        <f t="shared" si="544"/>
        <v>NA</v>
      </c>
    </row>
    <row r="1607" customHeight="1" spans="1:34">
      <c r="A1607" s="12" t="s">
        <v>1043</v>
      </c>
      <c r="F1607" s="24">
        <f t="shared" si="546"/>
        <v>0</v>
      </c>
      <c r="G1607" s="24" t="e">
        <f t="shared" si="545"/>
        <v>#DIV/0!</v>
      </c>
      <c r="Q1607" s="29" t="str">
        <f t="shared" si="527"/>
        <v>NA</v>
      </c>
      <c r="R1607" s="29" t="str">
        <f t="shared" si="528"/>
        <v>NA</v>
      </c>
      <c r="S1607" s="29" t="str">
        <f t="shared" si="529"/>
        <v>NA</v>
      </c>
      <c r="T1607" s="29" t="str">
        <f t="shared" si="530"/>
        <v>NA</v>
      </c>
      <c r="U1607" s="29" t="str">
        <f t="shared" si="531"/>
        <v>NA</v>
      </c>
      <c r="V1607" s="29" t="str">
        <f t="shared" si="532"/>
        <v>NA</v>
      </c>
      <c r="W1607" s="29" t="str">
        <f t="shared" si="533"/>
        <v>NA</v>
      </c>
      <c r="X1607" s="29" t="str">
        <f t="shared" si="534"/>
        <v>NA</v>
      </c>
      <c r="Y1607" s="29" t="str">
        <f t="shared" si="535"/>
        <v>NA</v>
      </c>
      <c r="Z1607" s="29" t="str">
        <f t="shared" si="536"/>
        <v>NA</v>
      </c>
      <c r="AA1607" s="29" t="str">
        <f t="shared" si="537"/>
        <v>NA</v>
      </c>
      <c r="AB1607" s="29" t="str">
        <f t="shared" si="538"/>
        <v>NA</v>
      </c>
      <c r="AC1607" s="29" t="str">
        <f t="shared" si="539"/>
        <v>NA</v>
      </c>
      <c r="AD1607" s="29" t="str">
        <f t="shared" si="540"/>
        <v>NA</v>
      </c>
      <c r="AE1607" s="29" t="str">
        <f t="shared" si="541"/>
        <v>NA</v>
      </c>
      <c r="AF1607" s="29" t="str">
        <f t="shared" si="542"/>
        <v>NA</v>
      </c>
      <c r="AG1607" s="29" t="str">
        <f t="shared" si="543"/>
        <v>NA</v>
      </c>
      <c r="AH1607" s="29" t="str">
        <f t="shared" si="544"/>
        <v>NA</v>
      </c>
    </row>
    <row r="1608" customHeight="1" spans="1:34">
      <c r="A1608" s="12" t="s">
        <v>1043</v>
      </c>
      <c r="F1608" s="24">
        <f t="shared" si="546"/>
        <v>0</v>
      </c>
      <c r="G1608" s="24" t="e">
        <f t="shared" si="545"/>
        <v>#DIV/0!</v>
      </c>
      <c r="Q1608" s="29" t="str">
        <f t="shared" si="527"/>
        <v>NA</v>
      </c>
      <c r="R1608" s="29" t="str">
        <f t="shared" si="528"/>
        <v>NA</v>
      </c>
      <c r="S1608" s="29" t="str">
        <f t="shared" si="529"/>
        <v>NA</v>
      </c>
      <c r="T1608" s="29" t="str">
        <f t="shared" si="530"/>
        <v>NA</v>
      </c>
      <c r="U1608" s="29" t="str">
        <f t="shared" si="531"/>
        <v>NA</v>
      </c>
      <c r="V1608" s="29" t="str">
        <f t="shared" si="532"/>
        <v>NA</v>
      </c>
      <c r="W1608" s="29" t="str">
        <f t="shared" si="533"/>
        <v>NA</v>
      </c>
      <c r="X1608" s="29" t="str">
        <f t="shared" si="534"/>
        <v>NA</v>
      </c>
      <c r="Y1608" s="29" t="str">
        <f t="shared" si="535"/>
        <v>NA</v>
      </c>
      <c r="Z1608" s="29" t="str">
        <f t="shared" si="536"/>
        <v>NA</v>
      </c>
      <c r="AA1608" s="29" t="str">
        <f t="shared" si="537"/>
        <v>NA</v>
      </c>
      <c r="AB1608" s="29" t="str">
        <f t="shared" si="538"/>
        <v>NA</v>
      </c>
      <c r="AC1608" s="29" t="str">
        <f t="shared" si="539"/>
        <v>NA</v>
      </c>
      <c r="AD1608" s="29" t="str">
        <f t="shared" si="540"/>
        <v>NA</v>
      </c>
      <c r="AE1608" s="29" t="str">
        <f t="shared" si="541"/>
        <v>NA</v>
      </c>
      <c r="AF1608" s="29" t="str">
        <f t="shared" si="542"/>
        <v>NA</v>
      </c>
      <c r="AG1608" s="29" t="str">
        <f t="shared" si="543"/>
        <v>NA</v>
      </c>
      <c r="AH1608" s="29" t="str">
        <f t="shared" si="544"/>
        <v>NA</v>
      </c>
    </row>
    <row r="1609" customHeight="1" spans="1:34">
      <c r="A1609" s="12" t="s">
        <v>1043</v>
      </c>
      <c r="F1609" s="24">
        <f t="shared" si="546"/>
        <v>0</v>
      </c>
      <c r="G1609" s="24" t="e">
        <f t="shared" si="545"/>
        <v>#DIV/0!</v>
      </c>
      <c r="Q1609" s="29" t="str">
        <f t="shared" si="527"/>
        <v>NA</v>
      </c>
      <c r="R1609" s="29" t="str">
        <f t="shared" si="528"/>
        <v>NA</v>
      </c>
      <c r="S1609" s="29" t="str">
        <f t="shared" si="529"/>
        <v>NA</v>
      </c>
      <c r="T1609" s="29" t="str">
        <f t="shared" si="530"/>
        <v>NA</v>
      </c>
      <c r="U1609" s="29" t="str">
        <f t="shared" si="531"/>
        <v>NA</v>
      </c>
      <c r="V1609" s="29" t="str">
        <f t="shared" si="532"/>
        <v>NA</v>
      </c>
      <c r="W1609" s="29" t="str">
        <f t="shared" si="533"/>
        <v>NA</v>
      </c>
      <c r="X1609" s="29" t="str">
        <f t="shared" si="534"/>
        <v>NA</v>
      </c>
      <c r="Y1609" s="29" t="str">
        <f t="shared" si="535"/>
        <v>NA</v>
      </c>
      <c r="Z1609" s="29" t="str">
        <f t="shared" si="536"/>
        <v>NA</v>
      </c>
      <c r="AA1609" s="29" t="str">
        <f t="shared" si="537"/>
        <v>NA</v>
      </c>
      <c r="AB1609" s="29" t="str">
        <f t="shared" si="538"/>
        <v>NA</v>
      </c>
      <c r="AC1609" s="29" t="str">
        <f t="shared" si="539"/>
        <v>NA</v>
      </c>
      <c r="AD1609" s="29" t="str">
        <f t="shared" si="540"/>
        <v>NA</v>
      </c>
      <c r="AE1609" s="29" t="str">
        <f t="shared" si="541"/>
        <v>NA</v>
      </c>
      <c r="AF1609" s="29" t="str">
        <f t="shared" si="542"/>
        <v>NA</v>
      </c>
      <c r="AG1609" s="29" t="str">
        <f t="shared" si="543"/>
        <v>NA</v>
      </c>
      <c r="AH1609" s="29" t="str">
        <f t="shared" si="544"/>
        <v>NA</v>
      </c>
    </row>
    <row r="1610" customHeight="1" spans="1:34">
      <c r="A1610" s="12" t="s">
        <v>1043</v>
      </c>
      <c r="F1610" s="24">
        <f t="shared" si="546"/>
        <v>0</v>
      </c>
      <c r="G1610" s="24" t="e">
        <f t="shared" si="545"/>
        <v>#DIV/0!</v>
      </c>
      <c r="Q1610" s="29" t="str">
        <f t="shared" si="527"/>
        <v>NA</v>
      </c>
      <c r="R1610" s="29" t="str">
        <f t="shared" si="528"/>
        <v>NA</v>
      </c>
      <c r="S1610" s="29" t="str">
        <f t="shared" si="529"/>
        <v>NA</v>
      </c>
      <c r="T1610" s="29" t="str">
        <f t="shared" si="530"/>
        <v>NA</v>
      </c>
      <c r="U1610" s="29" t="str">
        <f t="shared" si="531"/>
        <v>NA</v>
      </c>
      <c r="V1610" s="29" t="str">
        <f t="shared" si="532"/>
        <v>NA</v>
      </c>
      <c r="W1610" s="29" t="str">
        <f t="shared" si="533"/>
        <v>NA</v>
      </c>
      <c r="X1610" s="29" t="str">
        <f t="shared" si="534"/>
        <v>NA</v>
      </c>
      <c r="Y1610" s="29" t="str">
        <f t="shared" si="535"/>
        <v>NA</v>
      </c>
      <c r="Z1610" s="29" t="str">
        <f t="shared" si="536"/>
        <v>NA</v>
      </c>
      <c r="AA1610" s="29" t="str">
        <f t="shared" si="537"/>
        <v>NA</v>
      </c>
      <c r="AB1610" s="29" t="str">
        <f t="shared" si="538"/>
        <v>NA</v>
      </c>
      <c r="AC1610" s="29" t="str">
        <f t="shared" si="539"/>
        <v>NA</v>
      </c>
      <c r="AD1610" s="29" t="str">
        <f t="shared" si="540"/>
        <v>NA</v>
      </c>
      <c r="AE1610" s="29" t="str">
        <f t="shared" si="541"/>
        <v>NA</v>
      </c>
      <c r="AF1610" s="29" t="str">
        <f t="shared" si="542"/>
        <v>NA</v>
      </c>
      <c r="AG1610" s="29" t="str">
        <f t="shared" si="543"/>
        <v>NA</v>
      </c>
      <c r="AH1610" s="29" t="str">
        <f t="shared" si="544"/>
        <v>NA</v>
      </c>
    </row>
    <row r="1611" customHeight="1" spans="1:34">
      <c r="A1611" s="12" t="s">
        <v>1043</v>
      </c>
      <c r="F1611" s="24">
        <f t="shared" si="546"/>
        <v>0</v>
      </c>
      <c r="G1611" s="24" t="e">
        <f t="shared" si="545"/>
        <v>#DIV/0!</v>
      </c>
      <c r="Q1611" s="29" t="str">
        <f t="shared" si="527"/>
        <v>NA</v>
      </c>
      <c r="R1611" s="29" t="str">
        <f t="shared" si="528"/>
        <v>NA</v>
      </c>
      <c r="S1611" s="29" t="str">
        <f t="shared" si="529"/>
        <v>NA</v>
      </c>
      <c r="T1611" s="29" t="str">
        <f t="shared" si="530"/>
        <v>NA</v>
      </c>
      <c r="U1611" s="29" t="str">
        <f t="shared" si="531"/>
        <v>NA</v>
      </c>
      <c r="V1611" s="29" t="str">
        <f t="shared" si="532"/>
        <v>NA</v>
      </c>
      <c r="W1611" s="29" t="str">
        <f t="shared" si="533"/>
        <v>NA</v>
      </c>
      <c r="X1611" s="29" t="str">
        <f t="shared" si="534"/>
        <v>NA</v>
      </c>
      <c r="Y1611" s="29" t="str">
        <f t="shared" si="535"/>
        <v>NA</v>
      </c>
      <c r="Z1611" s="29" t="str">
        <f t="shared" si="536"/>
        <v>NA</v>
      </c>
      <c r="AA1611" s="29" t="str">
        <f t="shared" si="537"/>
        <v>NA</v>
      </c>
      <c r="AB1611" s="29" t="str">
        <f t="shared" si="538"/>
        <v>NA</v>
      </c>
      <c r="AC1611" s="29" t="str">
        <f t="shared" si="539"/>
        <v>NA</v>
      </c>
      <c r="AD1611" s="29" t="str">
        <f t="shared" si="540"/>
        <v>NA</v>
      </c>
      <c r="AE1611" s="29" t="str">
        <f t="shared" si="541"/>
        <v>NA</v>
      </c>
      <c r="AF1611" s="29" t="str">
        <f t="shared" si="542"/>
        <v>NA</v>
      </c>
      <c r="AG1611" s="29" t="str">
        <f t="shared" si="543"/>
        <v>NA</v>
      </c>
      <c r="AH1611" s="29" t="str">
        <f t="shared" si="544"/>
        <v>NA</v>
      </c>
    </row>
    <row r="1612" customHeight="1" spans="1:34">
      <c r="A1612" s="12" t="s">
        <v>1043</v>
      </c>
      <c r="F1612" s="24">
        <f t="shared" si="546"/>
        <v>0</v>
      </c>
      <c r="G1612" s="24" t="e">
        <f t="shared" si="545"/>
        <v>#DIV/0!</v>
      </c>
      <c r="Q1612" s="29" t="str">
        <f t="shared" si="527"/>
        <v>NA</v>
      </c>
      <c r="R1612" s="29" t="str">
        <f t="shared" si="528"/>
        <v>NA</v>
      </c>
      <c r="S1612" s="29" t="str">
        <f t="shared" si="529"/>
        <v>NA</v>
      </c>
      <c r="T1612" s="29" t="str">
        <f t="shared" si="530"/>
        <v>NA</v>
      </c>
      <c r="U1612" s="29" t="str">
        <f t="shared" si="531"/>
        <v>NA</v>
      </c>
      <c r="V1612" s="29" t="str">
        <f t="shared" si="532"/>
        <v>NA</v>
      </c>
      <c r="W1612" s="29" t="str">
        <f t="shared" si="533"/>
        <v>NA</v>
      </c>
      <c r="X1612" s="29" t="str">
        <f t="shared" si="534"/>
        <v>NA</v>
      </c>
      <c r="Y1612" s="29" t="str">
        <f t="shared" si="535"/>
        <v>NA</v>
      </c>
      <c r="Z1612" s="29" t="str">
        <f t="shared" si="536"/>
        <v>NA</v>
      </c>
      <c r="AA1612" s="29" t="str">
        <f t="shared" si="537"/>
        <v>NA</v>
      </c>
      <c r="AB1612" s="29" t="str">
        <f t="shared" si="538"/>
        <v>NA</v>
      </c>
      <c r="AC1612" s="29" t="str">
        <f t="shared" si="539"/>
        <v>NA</v>
      </c>
      <c r="AD1612" s="29" t="str">
        <f t="shared" si="540"/>
        <v>NA</v>
      </c>
      <c r="AE1612" s="29" t="str">
        <f t="shared" si="541"/>
        <v>NA</v>
      </c>
      <c r="AF1612" s="29" t="str">
        <f t="shared" si="542"/>
        <v>NA</v>
      </c>
      <c r="AG1612" s="29" t="str">
        <f t="shared" si="543"/>
        <v>NA</v>
      </c>
      <c r="AH1612" s="29" t="str">
        <f t="shared" si="544"/>
        <v>NA</v>
      </c>
    </row>
    <row r="1613" customHeight="1" spans="1:34">
      <c r="A1613" s="12" t="s">
        <v>1043</v>
      </c>
      <c r="F1613" s="24">
        <f t="shared" si="546"/>
        <v>0</v>
      </c>
      <c r="G1613" s="24" t="e">
        <f t="shared" si="545"/>
        <v>#DIV/0!</v>
      </c>
      <c r="Q1613" s="29" t="str">
        <f t="shared" si="527"/>
        <v>NA</v>
      </c>
      <c r="R1613" s="29" t="str">
        <f t="shared" si="528"/>
        <v>NA</v>
      </c>
      <c r="S1613" s="29" t="str">
        <f t="shared" si="529"/>
        <v>NA</v>
      </c>
      <c r="T1613" s="29" t="str">
        <f t="shared" si="530"/>
        <v>NA</v>
      </c>
      <c r="U1613" s="29" t="str">
        <f t="shared" si="531"/>
        <v>NA</v>
      </c>
      <c r="V1613" s="29" t="str">
        <f t="shared" si="532"/>
        <v>NA</v>
      </c>
      <c r="W1613" s="29" t="str">
        <f t="shared" si="533"/>
        <v>NA</v>
      </c>
      <c r="X1613" s="29" t="str">
        <f t="shared" si="534"/>
        <v>NA</v>
      </c>
      <c r="Y1613" s="29" t="str">
        <f t="shared" si="535"/>
        <v>NA</v>
      </c>
      <c r="Z1613" s="29" t="str">
        <f t="shared" si="536"/>
        <v>NA</v>
      </c>
      <c r="AA1613" s="29" t="str">
        <f t="shared" si="537"/>
        <v>NA</v>
      </c>
      <c r="AB1613" s="29" t="str">
        <f t="shared" si="538"/>
        <v>NA</v>
      </c>
      <c r="AC1613" s="29" t="str">
        <f t="shared" si="539"/>
        <v>NA</v>
      </c>
      <c r="AD1613" s="29" t="str">
        <f t="shared" si="540"/>
        <v>NA</v>
      </c>
      <c r="AE1613" s="29" t="str">
        <f t="shared" si="541"/>
        <v>NA</v>
      </c>
      <c r="AF1613" s="29" t="str">
        <f t="shared" si="542"/>
        <v>NA</v>
      </c>
      <c r="AG1613" s="29" t="str">
        <f t="shared" si="543"/>
        <v>NA</v>
      </c>
      <c r="AH1613" s="29" t="str">
        <f t="shared" si="544"/>
        <v>NA</v>
      </c>
    </row>
    <row r="1614" customHeight="1" spans="1:34">
      <c r="A1614" s="12" t="s">
        <v>1043</v>
      </c>
      <c r="F1614" s="24">
        <f t="shared" si="546"/>
        <v>0</v>
      </c>
      <c r="G1614" s="24" t="e">
        <f t="shared" si="545"/>
        <v>#DIV/0!</v>
      </c>
      <c r="Q1614" s="29" t="str">
        <f t="shared" si="527"/>
        <v>NA</v>
      </c>
      <c r="R1614" s="29" t="str">
        <f t="shared" si="528"/>
        <v>NA</v>
      </c>
      <c r="S1614" s="29" t="str">
        <f t="shared" si="529"/>
        <v>NA</v>
      </c>
      <c r="T1614" s="29" t="str">
        <f t="shared" si="530"/>
        <v>NA</v>
      </c>
      <c r="U1614" s="29" t="str">
        <f t="shared" si="531"/>
        <v>NA</v>
      </c>
      <c r="V1614" s="29" t="str">
        <f t="shared" si="532"/>
        <v>NA</v>
      </c>
      <c r="W1614" s="29" t="str">
        <f t="shared" si="533"/>
        <v>NA</v>
      </c>
      <c r="X1614" s="29" t="str">
        <f t="shared" si="534"/>
        <v>NA</v>
      </c>
      <c r="Y1614" s="29" t="str">
        <f t="shared" si="535"/>
        <v>NA</v>
      </c>
      <c r="Z1614" s="29" t="str">
        <f t="shared" si="536"/>
        <v>NA</v>
      </c>
      <c r="AA1614" s="29" t="str">
        <f t="shared" si="537"/>
        <v>NA</v>
      </c>
      <c r="AB1614" s="29" t="str">
        <f t="shared" si="538"/>
        <v>NA</v>
      </c>
      <c r="AC1614" s="29" t="str">
        <f t="shared" si="539"/>
        <v>NA</v>
      </c>
      <c r="AD1614" s="29" t="str">
        <f t="shared" si="540"/>
        <v>NA</v>
      </c>
      <c r="AE1614" s="29" t="str">
        <f t="shared" si="541"/>
        <v>NA</v>
      </c>
      <c r="AF1614" s="29" t="str">
        <f t="shared" si="542"/>
        <v>NA</v>
      </c>
      <c r="AG1614" s="29" t="str">
        <f t="shared" si="543"/>
        <v>NA</v>
      </c>
      <c r="AH1614" s="29" t="str">
        <f t="shared" si="544"/>
        <v>NA</v>
      </c>
    </row>
    <row r="1615" customHeight="1" spans="1:34">
      <c r="A1615" s="12" t="s">
        <v>1043</v>
      </c>
      <c r="F1615" s="24">
        <f t="shared" si="546"/>
        <v>0</v>
      </c>
      <c r="G1615" s="24" t="e">
        <f t="shared" si="545"/>
        <v>#DIV/0!</v>
      </c>
      <c r="Q1615" s="29" t="str">
        <f t="shared" si="527"/>
        <v>NA</v>
      </c>
      <c r="R1615" s="29" t="str">
        <f t="shared" si="528"/>
        <v>NA</v>
      </c>
      <c r="S1615" s="29" t="str">
        <f t="shared" si="529"/>
        <v>NA</v>
      </c>
      <c r="T1615" s="29" t="str">
        <f t="shared" si="530"/>
        <v>NA</v>
      </c>
      <c r="U1615" s="29" t="str">
        <f t="shared" si="531"/>
        <v>NA</v>
      </c>
      <c r="V1615" s="29" t="str">
        <f t="shared" si="532"/>
        <v>NA</v>
      </c>
      <c r="W1615" s="29" t="str">
        <f t="shared" si="533"/>
        <v>NA</v>
      </c>
      <c r="X1615" s="29" t="str">
        <f t="shared" si="534"/>
        <v>NA</v>
      </c>
      <c r="Y1615" s="29" t="str">
        <f t="shared" si="535"/>
        <v>NA</v>
      </c>
      <c r="Z1615" s="29" t="str">
        <f t="shared" si="536"/>
        <v>NA</v>
      </c>
      <c r="AA1615" s="29" t="str">
        <f t="shared" si="537"/>
        <v>NA</v>
      </c>
      <c r="AB1615" s="29" t="str">
        <f t="shared" si="538"/>
        <v>NA</v>
      </c>
      <c r="AC1615" s="29" t="str">
        <f t="shared" si="539"/>
        <v>NA</v>
      </c>
      <c r="AD1615" s="29" t="str">
        <f t="shared" si="540"/>
        <v>NA</v>
      </c>
      <c r="AE1615" s="29" t="str">
        <f t="shared" si="541"/>
        <v>NA</v>
      </c>
      <c r="AF1615" s="29" t="str">
        <f t="shared" si="542"/>
        <v>NA</v>
      </c>
      <c r="AG1615" s="29" t="str">
        <f t="shared" si="543"/>
        <v>NA</v>
      </c>
      <c r="AH1615" s="29" t="str">
        <f t="shared" si="544"/>
        <v>NA</v>
      </c>
    </row>
    <row r="1616" customHeight="1" spans="1:34">
      <c r="A1616" s="12" t="s">
        <v>1043</v>
      </c>
      <c r="F1616" s="24">
        <f t="shared" si="546"/>
        <v>0</v>
      </c>
      <c r="G1616" s="24" t="e">
        <f t="shared" si="545"/>
        <v>#DIV/0!</v>
      </c>
      <c r="Q1616" s="29" t="str">
        <f t="shared" ref="Q1616:Q1679" si="547">IFERROR($B1616*$E1616/H1616,"NA")</f>
        <v>NA</v>
      </c>
      <c r="R1616" s="29" t="str">
        <f t="shared" ref="R1616:R1679" si="548">IFERROR($B1616*$E1616/I1616,"NA")</f>
        <v>NA</v>
      </c>
      <c r="S1616" s="29" t="str">
        <f t="shared" ref="S1616:S1679" si="549">IFERROR($B1616*$E1616/J1616,"NA")</f>
        <v>NA</v>
      </c>
      <c r="T1616" s="29" t="str">
        <f t="shared" ref="T1616:T1679" si="550">IFERROR($B1616*$E1616/K1616,"NA")</f>
        <v>NA</v>
      </c>
      <c r="U1616" s="29" t="str">
        <f t="shared" ref="U1616:U1679" si="551">IFERROR($B1616*$E1616/L1616,"NA")</f>
        <v>NA</v>
      </c>
      <c r="V1616" s="29" t="str">
        <f t="shared" ref="V1616:V1679" si="552">IFERROR($B1616*$E1616/M1616,"NA")</f>
        <v>NA</v>
      </c>
      <c r="W1616" s="29" t="str">
        <f t="shared" ref="W1616:W1679" si="553">IFERROR($B1616*$E1616/N1616,"NA")</f>
        <v>NA</v>
      </c>
      <c r="X1616" s="29" t="str">
        <f t="shared" ref="X1616:X1679" si="554">IFERROR($B1616*$E1616/O1616,"NA")</f>
        <v>NA</v>
      </c>
      <c r="Y1616" s="29" t="str">
        <f t="shared" ref="Y1616:Y1679" si="555">IFERROR($B1616*$E1616/P1616,"NA")</f>
        <v>NA</v>
      </c>
      <c r="Z1616" s="29" t="str">
        <f t="shared" ref="Z1616:Z1679" si="556">IFERROR((($G1616*Z$2/1000)+Q1616)/1,"NA")</f>
        <v>NA</v>
      </c>
      <c r="AA1616" s="29" t="str">
        <f t="shared" ref="AA1616:AA1679" si="557">IFERROR((($G1616*AA$2/1000)+R1616)/1,"NA")</f>
        <v>NA</v>
      </c>
      <c r="AB1616" s="29" t="str">
        <f t="shared" ref="AB1616:AB1679" si="558">IFERROR((($G1616*AB$2/1000)+S1616)/1,"NA")</f>
        <v>NA</v>
      </c>
      <c r="AC1616" s="29" t="str">
        <f t="shared" ref="AC1616:AC1679" si="559">IFERROR((($G1616*AC$2/1000)+T1616)/1,"NA")</f>
        <v>NA</v>
      </c>
      <c r="AD1616" s="29" t="str">
        <f t="shared" ref="AD1616:AD1679" si="560">IFERROR((($G1616*AD$2/1000)+U1616)/1,"NA")</f>
        <v>NA</v>
      </c>
      <c r="AE1616" s="29" t="str">
        <f t="shared" ref="AE1616:AE1679" si="561">IFERROR((($G1616*AE$2/1000)+V1616)/1,"NA")</f>
        <v>NA</v>
      </c>
      <c r="AF1616" s="29" t="str">
        <f t="shared" ref="AF1616:AF1679" si="562">IFERROR((($G1616*AF$2/1000)+W1616)/1,"NA")</f>
        <v>NA</v>
      </c>
      <c r="AG1616" s="29" t="str">
        <f t="shared" ref="AG1616:AG1679" si="563">IFERROR((($G1616*AG$2/1000)+X1616)/1,"NA")</f>
        <v>NA</v>
      </c>
      <c r="AH1616" s="29" t="str">
        <f t="shared" ref="AH1616:AH1679" si="564">IFERROR((($G1616*AH$2/1000)+Y1616)/1,"NA")</f>
        <v>NA</v>
      </c>
    </row>
    <row r="1617" customHeight="1" spans="1:34">
      <c r="A1617" s="12" t="s">
        <v>1043</v>
      </c>
      <c r="F1617" s="24">
        <f t="shared" si="546"/>
        <v>0</v>
      </c>
      <c r="G1617" s="24" t="e">
        <f t="shared" si="545"/>
        <v>#DIV/0!</v>
      </c>
      <c r="Q1617" s="29" t="str">
        <f t="shared" si="547"/>
        <v>NA</v>
      </c>
      <c r="R1617" s="29" t="str">
        <f t="shared" si="548"/>
        <v>NA</v>
      </c>
      <c r="S1617" s="29" t="str">
        <f t="shared" si="549"/>
        <v>NA</v>
      </c>
      <c r="T1617" s="29" t="str">
        <f t="shared" si="550"/>
        <v>NA</v>
      </c>
      <c r="U1617" s="29" t="str">
        <f t="shared" si="551"/>
        <v>NA</v>
      </c>
      <c r="V1617" s="29" t="str">
        <f t="shared" si="552"/>
        <v>NA</v>
      </c>
      <c r="W1617" s="29" t="str">
        <f t="shared" si="553"/>
        <v>NA</v>
      </c>
      <c r="X1617" s="29" t="str">
        <f t="shared" si="554"/>
        <v>NA</v>
      </c>
      <c r="Y1617" s="29" t="str">
        <f t="shared" si="555"/>
        <v>NA</v>
      </c>
      <c r="Z1617" s="29" t="str">
        <f t="shared" si="556"/>
        <v>NA</v>
      </c>
      <c r="AA1617" s="29" t="str">
        <f t="shared" si="557"/>
        <v>NA</v>
      </c>
      <c r="AB1617" s="29" t="str">
        <f t="shared" si="558"/>
        <v>NA</v>
      </c>
      <c r="AC1617" s="29" t="str">
        <f t="shared" si="559"/>
        <v>NA</v>
      </c>
      <c r="AD1617" s="29" t="str">
        <f t="shared" si="560"/>
        <v>NA</v>
      </c>
      <c r="AE1617" s="29" t="str">
        <f t="shared" si="561"/>
        <v>NA</v>
      </c>
      <c r="AF1617" s="29" t="str">
        <f t="shared" si="562"/>
        <v>NA</v>
      </c>
      <c r="AG1617" s="29" t="str">
        <f t="shared" si="563"/>
        <v>NA</v>
      </c>
      <c r="AH1617" s="29" t="str">
        <f t="shared" si="564"/>
        <v>NA</v>
      </c>
    </row>
    <row r="1618" customHeight="1" spans="1:34">
      <c r="A1618" s="12" t="s">
        <v>1043</v>
      </c>
      <c r="F1618" s="24">
        <f t="shared" si="546"/>
        <v>0</v>
      </c>
      <c r="G1618" s="24" t="e">
        <f t="shared" si="545"/>
        <v>#DIV/0!</v>
      </c>
      <c r="Q1618" s="29" t="str">
        <f t="shared" si="547"/>
        <v>NA</v>
      </c>
      <c r="R1618" s="29" t="str">
        <f t="shared" si="548"/>
        <v>NA</v>
      </c>
      <c r="S1618" s="29" t="str">
        <f t="shared" si="549"/>
        <v>NA</v>
      </c>
      <c r="T1618" s="29" t="str">
        <f t="shared" si="550"/>
        <v>NA</v>
      </c>
      <c r="U1618" s="29" t="str">
        <f t="shared" si="551"/>
        <v>NA</v>
      </c>
      <c r="V1618" s="29" t="str">
        <f t="shared" si="552"/>
        <v>NA</v>
      </c>
      <c r="W1618" s="29" t="str">
        <f t="shared" si="553"/>
        <v>NA</v>
      </c>
      <c r="X1618" s="29" t="str">
        <f t="shared" si="554"/>
        <v>NA</v>
      </c>
      <c r="Y1618" s="29" t="str">
        <f t="shared" si="555"/>
        <v>NA</v>
      </c>
      <c r="Z1618" s="29" t="str">
        <f t="shared" si="556"/>
        <v>NA</v>
      </c>
      <c r="AA1618" s="29" t="str">
        <f t="shared" si="557"/>
        <v>NA</v>
      </c>
      <c r="AB1618" s="29" t="str">
        <f t="shared" si="558"/>
        <v>NA</v>
      </c>
      <c r="AC1618" s="29" t="str">
        <f t="shared" si="559"/>
        <v>NA</v>
      </c>
      <c r="AD1618" s="29" t="str">
        <f t="shared" si="560"/>
        <v>NA</v>
      </c>
      <c r="AE1618" s="29" t="str">
        <f t="shared" si="561"/>
        <v>NA</v>
      </c>
      <c r="AF1618" s="29" t="str">
        <f t="shared" si="562"/>
        <v>NA</v>
      </c>
      <c r="AG1618" s="29" t="str">
        <f t="shared" si="563"/>
        <v>NA</v>
      </c>
      <c r="AH1618" s="29" t="str">
        <f t="shared" si="564"/>
        <v>NA</v>
      </c>
    </row>
    <row r="1619" customHeight="1" spans="1:34">
      <c r="A1619" s="12" t="s">
        <v>1043</v>
      </c>
      <c r="F1619" s="24">
        <f t="shared" si="546"/>
        <v>0</v>
      </c>
      <c r="G1619" s="24" t="e">
        <f t="shared" si="545"/>
        <v>#DIV/0!</v>
      </c>
      <c r="Q1619" s="29" t="str">
        <f t="shared" si="547"/>
        <v>NA</v>
      </c>
      <c r="R1619" s="29" t="str">
        <f t="shared" si="548"/>
        <v>NA</v>
      </c>
      <c r="S1619" s="29" t="str">
        <f t="shared" si="549"/>
        <v>NA</v>
      </c>
      <c r="T1619" s="29" t="str">
        <f t="shared" si="550"/>
        <v>NA</v>
      </c>
      <c r="U1619" s="29" t="str">
        <f t="shared" si="551"/>
        <v>NA</v>
      </c>
      <c r="V1619" s="29" t="str">
        <f t="shared" si="552"/>
        <v>NA</v>
      </c>
      <c r="W1619" s="29" t="str">
        <f t="shared" si="553"/>
        <v>NA</v>
      </c>
      <c r="X1619" s="29" t="str">
        <f t="shared" si="554"/>
        <v>NA</v>
      </c>
      <c r="Y1619" s="29" t="str">
        <f t="shared" si="555"/>
        <v>NA</v>
      </c>
      <c r="Z1619" s="29" t="str">
        <f t="shared" si="556"/>
        <v>NA</v>
      </c>
      <c r="AA1619" s="29" t="str">
        <f t="shared" si="557"/>
        <v>NA</v>
      </c>
      <c r="AB1619" s="29" t="str">
        <f t="shared" si="558"/>
        <v>NA</v>
      </c>
      <c r="AC1619" s="29" t="str">
        <f t="shared" si="559"/>
        <v>NA</v>
      </c>
      <c r="AD1619" s="29" t="str">
        <f t="shared" si="560"/>
        <v>NA</v>
      </c>
      <c r="AE1619" s="29" t="str">
        <f t="shared" si="561"/>
        <v>NA</v>
      </c>
      <c r="AF1619" s="29" t="str">
        <f t="shared" si="562"/>
        <v>NA</v>
      </c>
      <c r="AG1619" s="29" t="str">
        <f t="shared" si="563"/>
        <v>NA</v>
      </c>
      <c r="AH1619" s="29" t="str">
        <f t="shared" si="564"/>
        <v>NA</v>
      </c>
    </row>
    <row r="1620" customHeight="1" spans="1:34">
      <c r="A1620" s="12" t="s">
        <v>1043</v>
      </c>
      <c r="F1620" s="24">
        <f t="shared" si="546"/>
        <v>0</v>
      </c>
      <c r="G1620" s="24" t="e">
        <f t="shared" si="545"/>
        <v>#DIV/0!</v>
      </c>
      <c r="Q1620" s="29" t="str">
        <f t="shared" si="547"/>
        <v>NA</v>
      </c>
      <c r="R1620" s="29" t="str">
        <f t="shared" si="548"/>
        <v>NA</v>
      </c>
      <c r="S1620" s="29" t="str">
        <f t="shared" si="549"/>
        <v>NA</v>
      </c>
      <c r="T1620" s="29" t="str">
        <f t="shared" si="550"/>
        <v>NA</v>
      </c>
      <c r="U1620" s="29" t="str">
        <f t="shared" si="551"/>
        <v>NA</v>
      </c>
      <c r="V1620" s="29" t="str">
        <f t="shared" si="552"/>
        <v>NA</v>
      </c>
      <c r="W1620" s="29" t="str">
        <f t="shared" si="553"/>
        <v>NA</v>
      </c>
      <c r="X1620" s="29" t="str">
        <f t="shared" si="554"/>
        <v>NA</v>
      </c>
      <c r="Y1620" s="29" t="str">
        <f t="shared" si="555"/>
        <v>NA</v>
      </c>
      <c r="Z1620" s="29" t="str">
        <f t="shared" si="556"/>
        <v>NA</v>
      </c>
      <c r="AA1620" s="29" t="str">
        <f t="shared" si="557"/>
        <v>NA</v>
      </c>
      <c r="AB1620" s="29" t="str">
        <f t="shared" si="558"/>
        <v>NA</v>
      </c>
      <c r="AC1620" s="29" t="str">
        <f t="shared" si="559"/>
        <v>NA</v>
      </c>
      <c r="AD1620" s="29" t="str">
        <f t="shared" si="560"/>
        <v>NA</v>
      </c>
      <c r="AE1620" s="29" t="str">
        <f t="shared" si="561"/>
        <v>NA</v>
      </c>
      <c r="AF1620" s="29" t="str">
        <f t="shared" si="562"/>
        <v>NA</v>
      </c>
      <c r="AG1620" s="29" t="str">
        <f t="shared" si="563"/>
        <v>NA</v>
      </c>
      <c r="AH1620" s="29" t="str">
        <f t="shared" si="564"/>
        <v>NA</v>
      </c>
    </row>
    <row r="1621" customHeight="1" spans="1:34">
      <c r="A1621" s="12" t="s">
        <v>1043</v>
      </c>
      <c r="F1621" s="24">
        <f t="shared" si="546"/>
        <v>0</v>
      </c>
      <c r="G1621" s="24" t="e">
        <f t="shared" si="545"/>
        <v>#DIV/0!</v>
      </c>
      <c r="Q1621" s="29" t="str">
        <f t="shared" si="547"/>
        <v>NA</v>
      </c>
      <c r="R1621" s="29" t="str">
        <f t="shared" si="548"/>
        <v>NA</v>
      </c>
      <c r="S1621" s="29" t="str">
        <f t="shared" si="549"/>
        <v>NA</v>
      </c>
      <c r="T1621" s="29" t="str">
        <f t="shared" si="550"/>
        <v>NA</v>
      </c>
      <c r="U1621" s="29" t="str">
        <f t="shared" si="551"/>
        <v>NA</v>
      </c>
      <c r="V1621" s="29" t="str">
        <f t="shared" si="552"/>
        <v>NA</v>
      </c>
      <c r="W1621" s="29" t="str">
        <f t="shared" si="553"/>
        <v>NA</v>
      </c>
      <c r="X1621" s="29" t="str">
        <f t="shared" si="554"/>
        <v>NA</v>
      </c>
      <c r="Y1621" s="29" t="str">
        <f t="shared" si="555"/>
        <v>NA</v>
      </c>
      <c r="Z1621" s="29" t="str">
        <f t="shared" si="556"/>
        <v>NA</v>
      </c>
      <c r="AA1621" s="29" t="str">
        <f t="shared" si="557"/>
        <v>NA</v>
      </c>
      <c r="AB1621" s="29" t="str">
        <f t="shared" si="558"/>
        <v>NA</v>
      </c>
      <c r="AC1621" s="29" t="str">
        <f t="shared" si="559"/>
        <v>NA</v>
      </c>
      <c r="AD1621" s="29" t="str">
        <f t="shared" si="560"/>
        <v>NA</v>
      </c>
      <c r="AE1621" s="29" t="str">
        <f t="shared" si="561"/>
        <v>NA</v>
      </c>
      <c r="AF1621" s="29" t="str">
        <f t="shared" si="562"/>
        <v>NA</v>
      </c>
      <c r="AG1621" s="29" t="str">
        <f t="shared" si="563"/>
        <v>NA</v>
      </c>
      <c r="AH1621" s="29" t="str">
        <f t="shared" si="564"/>
        <v>NA</v>
      </c>
    </row>
    <row r="1622" customHeight="1" spans="1:34">
      <c r="A1622" s="12" t="s">
        <v>1043</v>
      </c>
      <c r="F1622" s="24">
        <f t="shared" si="546"/>
        <v>0</v>
      </c>
      <c r="G1622" s="24" t="e">
        <f t="shared" si="545"/>
        <v>#DIV/0!</v>
      </c>
      <c r="Q1622" s="29" t="str">
        <f t="shared" si="547"/>
        <v>NA</v>
      </c>
      <c r="R1622" s="29" t="str">
        <f t="shared" si="548"/>
        <v>NA</v>
      </c>
      <c r="S1622" s="29" t="str">
        <f t="shared" si="549"/>
        <v>NA</v>
      </c>
      <c r="T1622" s="29" t="str">
        <f t="shared" si="550"/>
        <v>NA</v>
      </c>
      <c r="U1622" s="29" t="str">
        <f t="shared" si="551"/>
        <v>NA</v>
      </c>
      <c r="V1622" s="29" t="str">
        <f t="shared" si="552"/>
        <v>NA</v>
      </c>
      <c r="W1622" s="29" t="str">
        <f t="shared" si="553"/>
        <v>NA</v>
      </c>
      <c r="X1622" s="29" t="str">
        <f t="shared" si="554"/>
        <v>NA</v>
      </c>
      <c r="Y1622" s="29" t="str">
        <f t="shared" si="555"/>
        <v>NA</v>
      </c>
      <c r="Z1622" s="29" t="str">
        <f t="shared" si="556"/>
        <v>NA</v>
      </c>
      <c r="AA1622" s="29" t="str">
        <f t="shared" si="557"/>
        <v>NA</v>
      </c>
      <c r="AB1622" s="29" t="str">
        <f t="shared" si="558"/>
        <v>NA</v>
      </c>
      <c r="AC1622" s="29" t="str">
        <f t="shared" si="559"/>
        <v>NA</v>
      </c>
      <c r="AD1622" s="29" t="str">
        <f t="shared" si="560"/>
        <v>NA</v>
      </c>
      <c r="AE1622" s="29" t="str">
        <f t="shared" si="561"/>
        <v>NA</v>
      </c>
      <c r="AF1622" s="29" t="str">
        <f t="shared" si="562"/>
        <v>NA</v>
      </c>
      <c r="AG1622" s="29" t="str">
        <f t="shared" si="563"/>
        <v>NA</v>
      </c>
      <c r="AH1622" s="29" t="str">
        <f t="shared" si="564"/>
        <v>NA</v>
      </c>
    </row>
    <row r="1623" customHeight="1" spans="1:34">
      <c r="A1623" s="12" t="s">
        <v>1043</v>
      </c>
      <c r="F1623" s="24">
        <f t="shared" si="546"/>
        <v>0</v>
      </c>
      <c r="G1623" s="24" t="e">
        <f t="shared" si="545"/>
        <v>#DIV/0!</v>
      </c>
      <c r="Q1623" s="29" t="str">
        <f t="shared" si="547"/>
        <v>NA</v>
      </c>
      <c r="R1623" s="29" t="str">
        <f t="shared" si="548"/>
        <v>NA</v>
      </c>
      <c r="S1623" s="29" t="str">
        <f t="shared" si="549"/>
        <v>NA</v>
      </c>
      <c r="T1623" s="29" t="str">
        <f t="shared" si="550"/>
        <v>NA</v>
      </c>
      <c r="U1623" s="29" t="str">
        <f t="shared" si="551"/>
        <v>NA</v>
      </c>
      <c r="V1623" s="29" t="str">
        <f t="shared" si="552"/>
        <v>NA</v>
      </c>
      <c r="W1623" s="29" t="str">
        <f t="shared" si="553"/>
        <v>NA</v>
      </c>
      <c r="X1623" s="29" t="str">
        <f t="shared" si="554"/>
        <v>NA</v>
      </c>
      <c r="Y1623" s="29" t="str">
        <f t="shared" si="555"/>
        <v>NA</v>
      </c>
      <c r="Z1623" s="29" t="str">
        <f t="shared" si="556"/>
        <v>NA</v>
      </c>
      <c r="AA1623" s="29" t="str">
        <f t="shared" si="557"/>
        <v>NA</v>
      </c>
      <c r="AB1623" s="29" t="str">
        <f t="shared" si="558"/>
        <v>NA</v>
      </c>
      <c r="AC1623" s="29" t="str">
        <f t="shared" si="559"/>
        <v>NA</v>
      </c>
      <c r="AD1623" s="29" t="str">
        <f t="shared" si="560"/>
        <v>NA</v>
      </c>
      <c r="AE1623" s="29" t="str">
        <f t="shared" si="561"/>
        <v>NA</v>
      </c>
      <c r="AF1623" s="29" t="str">
        <f t="shared" si="562"/>
        <v>NA</v>
      </c>
      <c r="AG1623" s="29" t="str">
        <f t="shared" si="563"/>
        <v>NA</v>
      </c>
      <c r="AH1623" s="29" t="str">
        <f t="shared" si="564"/>
        <v>NA</v>
      </c>
    </row>
    <row r="1624" customHeight="1" spans="1:34">
      <c r="A1624" s="12" t="s">
        <v>1043</v>
      </c>
      <c r="F1624" s="24">
        <f t="shared" si="546"/>
        <v>0</v>
      </c>
      <c r="G1624" s="24" t="e">
        <f t="shared" si="545"/>
        <v>#DIV/0!</v>
      </c>
      <c r="Q1624" s="29" t="str">
        <f t="shared" si="547"/>
        <v>NA</v>
      </c>
      <c r="R1624" s="29" t="str">
        <f t="shared" si="548"/>
        <v>NA</v>
      </c>
      <c r="S1624" s="29" t="str">
        <f t="shared" si="549"/>
        <v>NA</v>
      </c>
      <c r="T1624" s="29" t="str">
        <f t="shared" si="550"/>
        <v>NA</v>
      </c>
      <c r="U1624" s="29" t="str">
        <f t="shared" si="551"/>
        <v>NA</v>
      </c>
      <c r="V1624" s="29" t="str">
        <f t="shared" si="552"/>
        <v>NA</v>
      </c>
      <c r="W1624" s="29" t="str">
        <f t="shared" si="553"/>
        <v>NA</v>
      </c>
      <c r="X1624" s="29" t="str">
        <f t="shared" si="554"/>
        <v>NA</v>
      </c>
      <c r="Y1624" s="29" t="str">
        <f t="shared" si="555"/>
        <v>NA</v>
      </c>
      <c r="Z1624" s="29" t="str">
        <f t="shared" si="556"/>
        <v>NA</v>
      </c>
      <c r="AA1624" s="29" t="str">
        <f t="shared" si="557"/>
        <v>NA</v>
      </c>
      <c r="AB1624" s="29" t="str">
        <f t="shared" si="558"/>
        <v>NA</v>
      </c>
      <c r="AC1624" s="29" t="str">
        <f t="shared" si="559"/>
        <v>NA</v>
      </c>
      <c r="AD1624" s="29" t="str">
        <f t="shared" si="560"/>
        <v>NA</v>
      </c>
      <c r="AE1624" s="29" t="str">
        <f t="shared" si="561"/>
        <v>NA</v>
      </c>
      <c r="AF1624" s="29" t="str">
        <f t="shared" si="562"/>
        <v>NA</v>
      </c>
      <c r="AG1624" s="29" t="str">
        <f t="shared" si="563"/>
        <v>NA</v>
      </c>
      <c r="AH1624" s="29" t="str">
        <f t="shared" si="564"/>
        <v>NA</v>
      </c>
    </row>
    <row r="1625" customHeight="1" spans="1:34">
      <c r="A1625" s="12" t="s">
        <v>1043</v>
      </c>
      <c r="F1625" s="24">
        <f t="shared" si="546"/>
        <v>0</v>
      </c>
      <c r="G1625" s="24" t="e">
        <f t="shared" si="545"/>
        <v>#DIV/0!</v>
      </c>
      <c r="Q1625" s="29" t="str">
        <f t="shared" si="547"/>
        <v>NA</v>
      </c>
      <c r="R1625" s="29" t="str">
        <f t="shared" si="548"/>
        <v>NA</v>
      </c>
      <c r="S1625" s="29" t="str">
        <f t="shared" si="549"/>
        <v>NA</v>
      </c>
      <c r="T1625" s="29" t="str">
        <f t="shared" si="550"/>
        <v>NA</v>
      </c>
      <c r="U1625" s="29" t="str">
        <f t="shared" si="551"/>
        <v>NA</v>
      </c>
      <c r="V1625" s="29" t="str">
        <f t="shared" si="552"/>
        <v>NA</v>
      </c>
      <c r="W1625" s="29" t="str">
        <f t="shared" si="553"/>
        <v>NA</v>
      </c>
      <c r="X1625" s="29" t="str">
        <f t="shared" si="554"/>
        <v>NA</v>
      </c>
      <c r="Y1625" s="29" t="str">
        <f t="shared" si="555"/>
        <v>NA</v>
      </c>
      <c r="Z1625" s="29" t="str">
        <f t="shared" si="556"/>
        <v>NA</v>
      </c>
      <c r="AA1625" s="29" t="str">
        <f t="shared" si="557"/>
        <v>NA</v>
      </c>
      <c r="AB1625" s="29" t="str">
        <f t="shared" si="558"/>
        <v>NA</v>
      </c>
      <c r="AC1625" s="29" t="str">
        <f t="shared" si="559"/>
        <v>NA</v>
      </c>
      <c r="AD1625" s="29" t="str">
        <f t="shared" si="560"/>
        <v>NA</v>
      </c>
      <c r="AE1625" s="29" t="str">
        <f t="shared" si="561"/>
        <v>NA</v>
      </c>
      <c r="AF1625" s="29" t="str">
        <f t="shared" si="562"/>
        <v>NA</v>
      </c>
      <c r="AG1625" s="29" t="str">
        <f t="shared" si="563"/>
        <v>NA</v>
      </c>
      <c r="AH1625" s="29" t="str">
        <f t="shared" si="564"/>
        <v>NA</v>
      </c>
    </row>
    <row r="1626" customHeight="1" spans="1:34">
      <c r="A1626" s="12" t="s">
        <v>1043</v>
      </c>
      <c r="F1626" s="24">
        <f t="shared" si="546"/>
        <v>0</v>
      </c>
      <c r="G1626" s="24" t="e">
        <f t="shared" si="545"/>
        <v>#DIV/0!</v>
      </c>
      <c r="Q1626" s="29" t="str">
        <f t="shared" si="547"/>
        <v>NA</v>
      </c>
      <c r="R1626" s="29" t="str">
        <f t="shared" si="548"/>
        <v>NA</v>
      </c>
      <c r="S1626" s="29" t="str">
        <f t="shared" si="549"/>
        <v>NA</v>
      </c>
      <c r="T1626" s="29" t="str">
        <f t="shared" si="550"/>
        <v>NA</v>
      </c>
      <c r="U1626" s="29" t="str">
        <f t="shared" si="551"/>
        <v>NA</v>
      </c>
      <c r="V1626" s="29" t="str">
        <f t="shared" si="552"/>
        <v>NA</v>
      </c>
      <c r="W1626" s="29" t="str">
        <f t="shared" si="553"/>
        <v>NA</v>
      </c>
      <c r="X1626" s="29" t="str">
        <f t="shared" si="554"/>
        <v>NA</v>
      </c>
      <c r="Y1626" s="29" t="str">
        <f t="shared" si="555"/>
        <v>NA</v>
      </c>
      <c r="Z1626" s="29" t="str">
        <f t="shared" si="556"/>
        <v>NA</v>
      </c>
      <c r="AA1626" s="29" t="str">
        <f t="shared" si="557"/>
        <v>NA</v>
      </c>
      <c r="AB1626" s="29" t="str">
        <f t="shared" si="558"/>
        <v>NA</v>
      </c>
      <c r="AC1626" s="29" t="str">
        <f t="shared" si="559"/>
        <v>NA</v>
      </c>
      <c r="AD1626" s="29" t="str">
        <f t="shared" si="560"/>
        <v>NA</v>
      </c>
      <c r="AE1626" s="29" t="str">
        <f t="shared" si="561"/>
        <v>NA</v>
      </c>
      <c r="AF1626" s="29" t="str">
        <f t="shared" si="562"/>
        <v>NA</v>
      </c>
      <c r="AG1626" s="29" t="str">
        <f t="shared" si="563"/>
        <v>NA</v>
      </c>
      <c r="AH1626" s="29" t="str">
        <f t="shared" si="564"/>
        <v>NA</v>
      </c>
    </row>
    <row r="1627" customHeight="1" spans="1:34">
      <c r="A1627" s="12" t="s">
        <v>1043</v>
      </c>
      <c r="F1627" s="24">
        <f t="shared" si="546"/>
        <v>0</v>
      </c>
      <c r="G1627" s="24" t="e">
        <f t="shared" si="545"/>
        <v>#DIV/0!</v>
      </c>
      <c r="Q1627" s="29" t="str">
        <f t="shared" si="547"/>
        <v>NA</v>
      </c>
      <c r="R1627" s="29" t="str">
        <f t="shared" si="548"/>
        <v>NA</v>
      </c>
      <c r="S1627" s="29" t="str">
        <f t="shared" si="549"/>
        <v>NA</v>
      </c>
      <c r="T1627" s="29" t="str">
        <f t="shared" si="550"/>
        <v>NA</v>
      </c>
      <c r="U1627" s="29" t="str">
        <f t="shared" si="551"/>
        <v>NA</v>
      </c>
      <c r="V1627" s="29" t="str">
        <f t="shared" si="552"/>
        <v>NA</v>
      </c>
      <c r="W1627" s="29" t="str">
        <f t="shared" si="553"/>
        <v>NA</v>
      </c>
      <c r="X1627" s="29" t="str">
        <f t="shared" si="554"/>
        <v>NA</v>
      </c>
      <c r="Y1627" s="29" t="str">
        <f t="shared" si="555"/>
        <v>NA</v>
      </c>
      <c r="Z1627" s="29" t="str">
        <f t="shared" si="556"/>
        <v>NA</v>
      </c>
      <c r="AA1627" s="29" t="str">
        <f t="shared" si="557"/>
        <v>NA</v>
      </c>
      <c r="AB1627" s="29" t="str">
        <f t="shared" si="558"/>
        <v>NA</v>
      </c>
      <c r="AC1627" s="29" t="str">
        <f t="shared" si="559"/>
        <v>NA</v>
      </c>
      <c r="AD1627" s="29" t="str">
        <f t="shared" si="560"/>
        <v>NA</v>
      </c>
      <c r="AE1627" s="29" t="str">
        <f t="shared" si="561"/>
        <v>NA</v>
      </c>
      <c r="AF1627" s="29" t="str">
        <f t="shared" si="562"/>
        <v>NA</v>
      </c>
      <c r="AG1627" s="29" t="str">
        <f t="shared" si="563"/>
        <v>NA</v>
      </c>
      <c r="AH1627" s="29" t="str">
        <f t="shared" si="564"/>
        <v>NA</v>
      </c>
    </row>
    <row r="1628" customHeight="1" spans="1:34">
      <c r="A1628" s="12" t="s">
        <v>1043</v>
      </c>
      <c r="F1628" s="24">
        <f t="shared" si="546"/>
        <v>0</v>
      </c>
      <c r="G1628" s="24" t="e">
        <f t="shared" si="545"/>
        <v>#DIV/0!</v>
      </c>
      <c r="Q1628" s="29" t="str">
        <f t="shared" si="547"/>
        <v>NA</v>
      </c>
      <c r="R1628" s="29" t="str">
        <f t="shared" si="548"/>
        <v>NA</v>
      </c>
      <c r="S1628" s="29" t="str">
        <f t="shared" si="549"/>
        <v>NA</v>
      </c>
      <c r="T1628" s="29" t="str">
        <f t="shared" si="550"/>
        <v>NA</v>
      </c>
      <c r="U1628" s="29" t="str">
        <f t="shared" si="551"/>
        <v>NA</v>
      </c>
      <c r="V1628" s="29" t="str">
        <f t="shared" si="552"/>
        <v>NA</v>
      </c>
      <c r="W1628" s="29" t="str">
        <f t="shared" si="553"/>
        <v>NA</v>
      </c>
      <c r="X1628" s="29" t="str">
        <f t="shared" si="554"/>
        <v>NA</v>
      </c>
      <c r="Y1628" s="29" t="str">
        <f t="shared" si="555"/>
        <v>NA</v>
      </c>
      <c r="Z1628" s="29" t="str">
        <f t="shared" si="556"/>
        <v>NA</v>
      </c>
      <c r="AA1628" s="29" t="str">
        <f t="shared" si="557"/>
        <v>NA</v>
      </c>
      <c r="AB1628" s="29" t="str">
        <f t="shared" si="558"/>
        <v>NA</v>
      </c>
      <c r="AC1628" s="29" t="str">
        <f t="shared" si="559"/>
        <v>NA</v>
      </c>
      <c r="AD1628" s="29" t="str">
        <f t="shared" si="560"/>
        <v>NA</v>
      </c>
      <c r="AE1628" s="29" t="str">
        <f t="shared" si="561"/>
        <v>NA</v>
      </c>
      <c r="AF1628" s="29" t="str">
        <f t="shared" si="562"/>
        <v>NA</v>
      </c>
      <c r="AG1628" s="29" t="str">
        <f t="shared" si="563"/>
        <v>NA</v>
      </c>
      <c r="AH1628" s="29" t="str">
        <f t="shared" si="564"/>
        <v>NA</v>
      </c>
    </row>
    <row r="1629" customHeight="1" spans="1:34">
      <c r="A1629" s="12" t="s">
        <v>1043</v>
      </c>
      <c r="F1629" s="24">
        <f t="shared" si="546"/>
        <v>0</v>
      </c>
      <c r="G1629" s="24" t="e">
        <f t="shared" si="545"/>
        <v>#DIV/0!</v>
      </c>
      <c r="Q1629" s="29" t="str">
        <f t="shared" si="547"/>
        <v>NA</v>
      </c>
      <c r="R1629" s="29" t="str">
        <f t="shared" si="548"/>
        <v>NA</v>
      </c>
      <c r="S1629" s="29" t="str">
        <f t="shared" si="549"/>
        <v>NA</v>
      </c>
      <c r="T1629" s="29" t="str">
        <f t="shared" si="550"/>
        <v>NA</v>
      </c>
      <c r="U1629" s="29" t="str">
        <f t="shared" si="551"/>
        <v>NA</v>
      </c>
      <c r="V1629" s="29" t="str">
        <f t="shared" si="552"/>
        <v>NA</v>
      </c>
      <c r="W1629" s="29" t="str">
        <f t="shared" si="553"/>
        <v>NA</v>
      </c>
      <c r="X1629" s="29" t="str">
        <f t="shared" si="554"/>
        <v>NA</v>
      </c>
      <c r="Y1629" s="29" t="str">
        <f t="shared" si="555"/>
        <v>NA</v>
      </c>
      <c r="Z1629" s="29" t="str">
        <f t="shared" si="556"/>
        <v>NA</v>
      </c>
      <c r="AA1629" s="29" t="str">
        <f t="shared" si="557"/>
        <v>NA</v>
      </c>
      <c r="AB1629" s="29" t="str">
        <f t="shared" si="558"/>
        <v>NA</v>
      </c>
      <c r="AC1629" s="29" t="str">
        <f t="shared" si="559"/>
        <v>NA</v>
      </c>
      <c r="AD1629" s="29" t="str">
        <f t="shared" si="560"/>
        <v>NA</v>
      </c>
      <c r="AE1629" s="29" t="str">
        <f t="shared" si="561"/>
        <v>NA</v>
      </c>
      <c r="AF1629" s="29" t="str">
        <f t="shared" si="562"/>
        <v>NA</v>
      </c>
      <c r="AG1629" s="29" t="str">
        <f t="shared" si="563"/>
        <v>NA</v>
      </c>
      <c r="AH1629" s="29" t="str">
        <f t="shared" si="564"/>
        <v>NA</v>
      </c>
    </row>
    <row r="1630" customHeight="1" spans="1:34">
      <c r="A1630" s="12" t="s">
        <v>1043</v>
      </c>
      <c r="F1630" s="24">
        <f t="shared" si="546"/>
        <v>0</v>
      </c>
      <c r="G1630" s="24" t="e">
        <f t="shared" si="545"/>
        <v>#DIV/0!</v>
      </c>
      <c r="Q1630" s="29" t="str">
        <f t="shared" si="547"/>
        <v>NA</v>
      </c>
      <c r="R1630" s="29" t="str">
        <f t="shared" si="548"/>
        <v>NA</v>
      </c>
      <c r="S1630" s="29" t="str">
        <f t="shared" si="549"/>
        <v>NA</v>
      </c>
      <c r="T1630" s="29" t="str">
        <f t="shared" si="550"/>
        <v>NA</v>
      </c>
      <c r="U1630" s="29" t="str">
        <f t="shared" si="551"/>
        <v>NA</v>
      </c>
      <c r="V1630" s="29" t="str">
        <f t="shared" si="552"/>
        <v>NA</v>
      </c>
      <c r="W1630" s="29" t="str">
        <f t="shared" si="553"/>
        <v>NA</v>
      </c>
      <c r="X1630" s="29" t="str">
        <f t="shared" si="554"/>
        <v>NA</v>
      </c>
      <c r="Y1630" s="29" t="str">
        <f t="shared" si="555"/>
        <v>NA</v>
      </c>
      <c r="Z1630" s="29" t="str">
        <f t="shared" si="556"/>
        <v>NA</v>
      </c>
      <c r="AA1630" s="29" t="str">
        <f t="shared" si="557"/>
        <v>NA</v>
      </c>
      <c r="AB1630" s="29" t="str">
        <f t="shared" si="558"/>
        <v>NA</v>
      </c>
      <c r="AC1630" s="29" t="str">
        <f t="shared" si="559"/>
        <v>NA</v>
      </c>
      <c r="AD1630" s="29" t="str">
        <f t="shared" si="560"/>
        <v>NA</v>
      </c>
      <c r="AE1630" s="29" t="str">
        <f t="shared" si="561"/>
        <v>NA</v>
      </c>
      <c r="AF1630" s="29" t="str">
        <f t="shared" si="562"/>
        <v>NA</v>
      </c>
      <c r="AG1630" s="29" t="str">
        <f t="shared" si="563"/>
        <v>NA</v>
      </c>
      <c r="AH1630" s="29" t="str">
        <f t="shared" si="564"/>
        <v>NA</v>
      </c>
    </row>
    <row r="1631" customHeight="1" spans="1:34">
      <c r="A1631" s="12" t="s">
        <v>1043</v>
      </c>
      <c r="F1631" s="24">
        <f t="shared" si="546"/>
        <v>0</v>
      </c>
      <c r="G1631" s="24" t="e">
        <f t="shared" si="545"/>
        <v>#DIV/0!</v>
      </c>
      <c r="Q1631" s="29" t="str">
        <f t="shared" si="547"/>
        <v>NA</v>
      </c>
      <c r="R1631" s="29" t="str">
        <f t="shared" si="548"/>
        <v>NA</v>
      </c>
      <c r="S1631" s="29" t="str">
        <f t="shared" si="549"/>
        <v>NA</v>
      </c>
      <c r="T1631" s="29" t="str">
        <f t="shared" si="550"/>
        <v>NA</v>
      </c>
      <c r="U1631" s="29" t="str">
        <f t="shared" si="551"/>
        <v>NA</v>
      </c>
      <c r="V1631" s="29" t="str">
        <f t="shared" si="552"/>
        <v>NA</v>
      </c>
      <c r="W1631" s="29" t="str">
        <f t="shared" si="553"/>
        <v>NA</v>
      </c>
      <c r="X1631" s="29" t="str">
        <f t="shared" si="554"/>
        <v>NA</v>
      </c>
      <c r="Y1631" s="29" t="str">
        <f t="shared" si="555"/>
        <v>NA</v>
      </c>
      <c r="Z1631" s="29" t="str">
        <f t="shared" si="556"/>
        <v>NA</v>
      </c>
      <c r="AA1631" s="29" t="str">
        <f t="shared" si="557"/>
        <v>NA</v>
      </c>
      <c r="AB1631" s="29" t="str">
        <f t="shared" si="558"/>
        <v>NA</v>
      </c>
      <c r="AC1631" s="29" t="str">
        <f t="shared" si="559"/>
        <v>NA</v>
      </c>
      <c r="AD1631" s="29" t="str">
        <f t="shared" si="560"/>
        <v>NA</v>
      </c>
      <c r="AE1631" s="29" t="str">
        <f t="shared" si="561"/>
        <v>NA</v>
      </c>
      <c r="AF1631" s="29" t="str">
        <f t="shared" si="562"/>
        <v>NA</v>
      </c>
      <c r="AG1631" s="29" t="str">
        <f t="shared" si="563"/>
        <v>NA</v>
      </c>
      <c r="AH1631" s="29" t="str">
        <f t="shared" si="564"/>
        <v>NA</v>
      </c>
    </row>
    <row r="1632" customHeight="1" spans="1:34">
      <c r="A1632" s="12" t="s">
        <v>1043</v>
      </c>
      <c r="F1632" s="24">
        <f t="shared" si="546"/>
        <v>0</v>
      </c>
      <c r="G1632" s="24" t="e">
        <f t="shared" si="545"/>
        <v>#DIV/0!</v>
      </c>
      <c r="Q1632" s="29" t="str">
        <f t="shared" si="547"/>
        <v>NA</v>
      </c>
      <c r="R1632" s="29" t="str">
        <f t="shared" si="548"/>
        <v>NA</v>
      </c>
      <c r="S1632" s="29" t="str">
        <f t="shared" si="549"/>
        <v>NA</v>
      </c>
      <c r="T1632" s="29" t="str">
        <f t="shared" si="550"/>
        <v>NA</v>
      </c>
      <c r="U1632" s="29" t="str">
        <f t="shared" si="551"/>
        <v>NA</v>
      </c>
      <c r="V1632" s="29" t="str">
        <f t="shared" si="552"/>
        <v>NA</v>
      </c>
      <c r="W1632" s="29" t="str">
        <f t="shared" si="553"/>
        <v>NA</v>
      </c>
      <c r="X1632" s="29" t="str">
        <f t="shared" si="554"/>
        <v>NA</v>
      </c>
      <c r="Y1632" s="29" t="str">
        <f t="shared" si="555"/>
        <v>NA</v>
      </c>
      <c r="Z1632" s="29" t="str">
        <f t="shared" si="556"/>
        <v>NA</v>
      </c>
      <c r="AA1632" s="29" t="str">
        <f t="shared" si="557"/>
        <v>NA</v>
      </c>
      <c r="AB1632" s="29" t="str">
        <f t="shared" si="558"/>
        <v>NA</v>
      </c>
      <c r="AC1632" s="29" t="str">
        <f t="shared" si="559"/>
        <v>NA</v>
      </c>
      <c r="AD1632" s="29" t="str">
        <f t="shared" si="560"/>
        <v>NA</v>
      </c>
      <c r="AE1632" s="29" t="str">
        <f t="shared" si="561"/>
        <v>NA</v>
      </c>
      <c r="AF1632" s="29" t="str">
        <f t="shared" si="562"/>
        <v>NA</v>
      </c>
      <c r="AG1632" s="29" t="str">
        <f t="shared" si="563"/>
        <v>NA</v>
      </c>
      <c r="AH1632" s="29" t="str">
        <f t="shared" si="564"/>
        <v>NA</v>
      </c>
    </row>
    <row r="1633" customHeight="1" spans="1:34">
      <c r="A1633" s="12" t="s">
        <v>1043</v>
      </c>
      <c r="F1633" s="24">
        <f t="shared" si="546"/>
        <v>0</v>
      </c>
      <c r="G1633" s="24" t="e">
        <f t="shared" si="545"/>
        <v>#DIV/0!</v>
      </c>
      <c r="Q1633" s="29" t="str">
        <f t="shared" si="547"/>
        <v>NA</v>
      </c>
      <c r="R1633" s="29" t="str">
        <f t="shared" si="548"/>
        <v>NA</v>
      </c>
      <c r="S1633" s="29" t="str">
        <f t="shared" si="549"/>
        <v>NA</v>
      </c>
      <c r="T1633" s="29" t="str">
        <f t="shared" si="550"/>
        <v>NA</v>
      </c>
      <c r="U1633" s="29" t="str">
        <f t="shared" si="551"/>
        <v>NA</v>
      </c>
      <c r="V1633" s="29" t="str">
        <f t="shared" si="552"/>
        <v>NA</v>
      </c>
      <c r="W1633" s="29" t="str">
        <f t="shared" si="553"/>
        <v>NA</v>
      </c>
      <c r="X1633" s="29" t="str">
        <f t="shared" si="554"/>
        <v>NA</v>
      </c>
      <c r="Y1633" s="29" t="str">
        <f t="shared" si="555"/>
        <v>NA</v>
      </c>
      <c r="Z1633" s="29" t="str">
        <f t="shared" si="556"/>
        <v>NA</v>
      </c>
      <c r="AA1633" s="29" t="str">
        <f t="shared" si="557"/>
        <v>NA</v>
      </c>
      <c r="AB1633" s="29" t="str">
        <f t="shared" si="558"/>
        <v>NA</v>
      </c>
      <c r="AC1633" s="29" t="str">
        <f t="shared" si="559"/>
        <v>NA</v>
      </c>
      <c r="AD1633" s="29" t="str">
        <f t="shared" si="560"/>
        <v>NA</v>
      </c>
      <c r="AE1633" s="29" t="str">
        <f t="shared" si="561"/>
        <v>NA</v>
      </c>
      <c r="AF1633" s="29" t="str">
        <f t="shared" si="562"/>
        <v>NA</v>
      </c>
      <c r="AG1633" s="29" t="str">
        <f t="shared" si="563"/>
        <v>NA</v>
      </c>
      <c r="AH1633" s="29" t="str">
        <f t="shared" si="564"/>
        <v>NA</v>
      </c>
    </row>
    <row r="1634" customHeight="1" spans="1:34">
      <c r="A1634" s="12" t="s">
        <v>1043</v>
      </c>
      <c r="F1634" s="24">
        <f t="shared" si="546"/>
        <v>0</v>
      </c>
      <c r="G1634" s="24" t="e">
        <f t="shared" si="545"/>
        <v>#DIV/0!</v>
      </c>
      <c r="Q1634" s="29" t="str">
        <f t="shared" si="547"/>
        <v>NA</v>
      </c>
      <c r="R1634" s="29" t="str">
        <f t="shared" si="548"/>
        <v>NA</v>
      </c>
      <c r="S1634" s="29" t="str">
        <f t="shared" si="549"/>
        <v>NA</v>
      </c>
      <c r="T1634" s="29" t="str">
        <f t="shared" si="550"/>
        <v>NA</v>
      </c>
      <c r="U1634" s="29" t="str">
        <f t="shared" si="551"/>
        <v>NA</v>
      </c>
      <c r="V1634" s="29" t="str">
        <f t="shared" si="552"/>
        <v>NA</v>
      </c>
      <c r="W1634" s="29" t="str">
        <f t="shared" si="553"/>
        <v>NA</v>
      </c>
      <c r="X1634" s="29" t="str">
        <f t="shared" si="554"/>
        <v>NA</v>
      </c>
      <c r="Y1634" s="29" t="str">
        <f t="shared" si="555"/>
        <v>NA</v>
      </c>
      <c r="Z1634" s="29" t="str">
        <f t="shared" si="556"/>
        <v>NA</v>
      </c>
      <c r="AA1634" s="29" t="str">
        <f t="shared" si="557"/>
        <v>NA</v>
      </c>
      <c r="AB1634" s="29" t="str">
        <f t="shared" si="558"/>
        <v>NA</v>
      </c>
      <c r="AC1634" s="29" t="str">
        <f t="shared" si="559"/>
        <v>NA</v>
      </c>
      <c r="AD1634" s="29" t="str">
        <f t="shared" si="560"/>
        <v>NA</v>
      </c>
      <c r="AE1634" s="29" t="str">
        <f t="shared" si="561"/>
        <v>NA</v>
      </c>
      <c r="AF1634" s="29" t="str">
        <f t="shared" si="562"/>
        <v>NA</v>
      </c>
      <c r="AG1634" s="29" t="str">
        <f t="shared" si="563"/>
        <v>NA</v>
      </c>
      <c r="AH1634" s="29" t="str">
        <f t="shared" si="564"/>
        <v>NA</v>
      </c>
    </row>
    <row r="1635" customHeight="1" spans="1:34">
      <c r="A1635" s="12" t="s">
        <v>1043</v>
      </c>
      <c r="F1635" s="24">
        <f t="shared" si="546"/>
        <v>0</v>
      </c>
      <c r="G1635" s="24" t="e">
        <f t="shared" si="545"/>
        <v>#DIV/0!</v>
      </c>
      <c r="Q1635" s="29" t="str">
        <f t="shared" si="547"/>
        <v>NA</v>
      </c>
      <c r="R1635" s="29" t="str">
        <f t="shared" si="548"/>
        <v>NA</v>
      </c>
      <c r="S1635" s="29" t="str">
        <f t="shared" si="549"/>
        <v>NA</v>
      </c>
      <c r="T1635" s="29" t="str">
        <f t="shared" si="550"/>
        <v>NA</v>
      </c>
      <c r="U1635" s="29" t="str">
        <f t="shared" si="551"/>
        <v>NA</v>
      </c>
      <c r="V1635" s="29" t="str">
        <f t="shared" si="552"/>
        <v>NA</v>
      </c>
      <c r="W1635" s="29" t="str">
        <f t="shared" si="553"/>
        <v>NA</v>
      </c>
      <c r="X1635" s="29" t="str">
        <f t="shared" si="554"/>
        <v>NA</v>
      </c>
      <c r="Y1635" s="29" t="str">
        <f t="shared" si="555"/>
        <v>NA</v>
      </c>
      <c r="Z1635" s="29" t="str">
        <f t="shared" si="556"/>
        <v>NA</v>
      </c>
      <c r="AA1635" s="29" t="str">
        <f t="shared" si="557"/>
        <v>NA</v>
      </c>
      <c r="AB1635" s="29" t="str">
        <f t="shared" si="558"/>
        <v>NA</v>
      </c>
      <c r="AC1635" s="29" t="str">
        <f t="shared" si="559"/>
        <v>NA</v>
      </c>
      <c r="AD1635" s="29" t="str">
        <f t="shared" si="560"/>
        <v>NA</v>
      </c>
      <c r="AE1635" s="29" t="str">
        <f t="shared" si="561"/>
        <v>NA</v>
      </c>
      <c r="AF1635" s="29" t="str">
        <f t="shared" si="562"/>
        <v>NA</v>
      </c>
      <c r="AG1635" s="29" t="str">
        <f t="shared" si="563"/>
        <v>NA</v>
      </c>
      <c r="AH1635" s="29" t="str">
        <f t="shared" si="564"/>
        <v>NA</v>
      </c>
    </row>
    <row r="1636" customHeight="1" spans="1:34">
      <c r="A1636" s="12" t="s">
        <v>1043</v>
      </c>
      <c r="F1636" s="24">
        <f t="shared" si="546"/>
        <v>0</v>
      </c>
      <c r="G1636" s="24" t="e">
        <f t="shared" si="545"/>
        <v>#DIV/0!</v>
      </c>
      <c r="Q1636" s="29" t="str">
        <f t="shared" si="547"/>
        <v>NA</v>
      </c>
      <c r="R1636" s="29" t="str">
        <f t="shared" si="548"/>
        <v>NA</v>
      </c>
      <c r="S1636" s="29" t="str">
        <f t="shared" si="549"/>
        <v>NA</v>
      </c>
      <c r="T1636" s="29" t="str">
        <f t="shared" si="550"/>
        <v>NA</v>
      </c>
      <c r="U1636" s="29" t="str">
        <f t="shared" si="551"/>
        <v>NA</v>
      </c>
      <c r="V1636" s="29" t="str">
        <f t="shared" si="552"/>
        <v>NA</v>
      </c>
      <c r="W1636" s="29" t="str">
        <f t="shared" si="553"/>
        <v>NA</v>
      </c>
      <c r="X1636" s="29" t="str">
        <f t="shared" si="554"/>
        <v>NA</v>
      </c>
      <c r="Y1636" s="29" t="str">
        <f t="shared" si="555"/>
        <v>NA</v>
      </c>
      <c r="Z1636" s="29" t="str">
        <f t="shared" si="556"/>
        <v>NA</v>
      </c>
      <c r="AA1636" s="29" t="str">
        <f t="shared" si="557"/>
        <v>NA</v>
      </c>
      <c r="AB1636" s="29" t="str">
        <f t="shared" si="558"/>
        <v>NA</v>
      </c>
      <c r="AC1636" s="29" t="str">
        <f t="shared" si="559"/>
        <v>NA</v>
      </c>
      <c r="AD1636" s="29" t="str">
        <f t="shared" si="560"/>
        <v>NA</v>
      </c>
      <c r="AE1636" s="29" t="str">
        <f t="shared" si="561"/>
        <v>NA</v>
      </c>
      <c r="AF1636" s="29" t="str">
        <f t="shared" si="562"/>
        <v>NA</v>
      </c>
      <c r="AG1636" s="29" t="str">
        <f t="shared" si="563"/>
        <v>NA</v>
      </c>
      <c r="AH1636" s="29" t="str">
        <f t="shared" si="564"/>
        <v>NA</v>
      </c>
    </row>
    <row r="1637" customHeight="1" spans="1:34">
      <c r="A1637" s="12" t="s">
        <v>1043</v>
      </c>
      <c r="F1637" s="24">
        <f t="shared" si="546"/>
        <v>0</v>
      </c>
      <c r="G1637" s="24" t="e">
        <f t="shared" si="545"/>
        <v>#DIV/0!</v>
      </c>
      <c r="Q1637" s="29" t="str">
        <f t="shared" si="547"/>
        <v>NA</v>
      </c>
      <c r="R1637" s="29" t="str">
        <f t="shared" si="548"/>
        <v>NA</v>
      </c>
      <c r="S1637" s="29" t="str">
        <f t="shared" si="549"/>
        <v>NA</v>
      </c>
      <c r="T1637" s="29" t="str">
        <f t="shared" si="550"/>
        <v>NA</v>
      </c>
      <c r="U1637" s="29" t="str">
        <f t="shared" si="551"/>
        <v>NA</v>
      </c>
      <c r="V1637" s="29" t="str">
        <f t="shared" si="552"/>
        <v>NA</v>
      </c>
      <c r="W1637" s="29" t="str">
        <f t="shared" si="553"/>
        <v>NA</v>
      </c>
      <c r="X1637" s="29" t="str">
        <f t="shared" si="554"/>
        <v>NA</v>
      </c>
      <c r="Y1637" s="29" t="str">
        <f t="shared" si="555"/>
        <v>NA</v>
      </c>
      <c r="Z1637" s="29" t="str">
        <f t="shared" si="556"/>
        <v>NA</v>
      </c>
      <c r="AA1637" s="29" t="str">
        <f t="shared" si="557"/>
        <v>NA</v>
      </c>
      <c r="AB1637" s="29" t="str">
        <f t="shared" si="558"/>
        <v>NA</v>
      </c>
      <c r="AC1637" s="29" t="str">
        <f t="shared" si="559"/>
        <v>NA</v>
      </c>
      <c r="AD1637" s="29" t="str">
        <f t="shared" si="560"/>
        <v>NA</v>
      </c>
      <c r="AE1637" s="29" t="str">
        <f t="shared" si="561"/>
        <v>NA</v>
      </c>
      <c r="AF1637" s="29" t="str">
        <f t="shared" si="562"/>
        <v>NA</v>
      </c>
      <c r="AG1637" s="29" t="str">
        <f t="shared" si="563"/>
        <v>NA</v>
      </c>
      <c r="AH1637" s="29" t="str">
        <f t="shared" si="564"/>
        <v>NA</v>
      </c>
    </row>
    <row r="1638" customHeight="1" spans="1:34">
      <c r="A1638" s="12" t="s">
        <v>1043</v>
      </c>
      <c r="F1638" s="24">
        <f t="shared" si="546"/>
        <v>0</v>
      </c>
      <c r="G1638" s="24" t="e">
        <f t="shared" si="545"/>
        <v>#DIV/0!</v>
      </c>
      <c r="Q1638" s="29" t="str">
        <f t="shared" si="547"/>
        <v>NA</v>
      </c>
      <c r="R1638" s="29" t="str">
        <f t="shared" si="548"/>
        <v>NA</v>
      </c>
      <c r="S1638" s="29" t="str">
        <f t="shared" si="549"/>
        <v>NA</v>
      </c>
      <c r="T1638" s="29" t="str">
        <f t="shared" si="550"/>
        <v>NA</v>
      </c>
      <c r="U1638" s="29" t="str">
        <f t="shared" si="551"/>
        <v>NA</v>
      </c>
      <c r="V1638" s="29" t="str">
        <f t="shared" si="552"/>
        <v>NA</v>
      </c>
      <c r="W1638" s="29" t="str">
        <f t="shared" si="553"/>
        <v>NA</v>
      </c>
      <c r="X1638" s="29" t="str">
        <f t="shared" si="554"/>
        <v>NA</v>
      </c>
      <c r="Y1638" s="29" t="str">
        <f t="shared" si="555"/>
        <v>NA</v>
      </c>
      <c r="Z1638" s="29" t="str">
        <f t="shared" si="556"/>
        <v>NA</v>
      </c>
      <c r="AA1638" s="29" t="str">
        <f t="shared" si="557"/>
        <v>NA</v>
      </c>
      <c r="AB1638" s="29" t="str">
        <f t="shared" si="558"/>
        <v>NA</v>
      </c>
      <c r="AC1638" s="29" t="str">
        <f t="shared" si="559"/>
        <v>NA</v>
      </c>
      <c r="AD1638" s="29" t="str">
        <f t="shared" si="560"/>
        <v>NA</v>
      </c>
      <c r="AE1638" s="29" t="str">
        <f t="shared" si="561"/>
        <v>NA</v>
      </c>
      <c r="AF1638" s="29" t="str">
        <f t="shared" si="562"/>
        <v>NA</v>
      </c>
      <c r="AG1638" s="29" t="str">
        <f t="shared" si="563"/>
        <v>NA</v>
      </c>
      <c r="AH1638" s="29" t="str">
        <f t="shared" si="564"/>
        <v>NA</v>
      </c>
    </row>
    <row r="1639" customHeight="1" spans="1:34">
      <c r="A1639" s="12" t="s">
        <v>1043</v>
      </c>
      <c r="F1639" s="24">
        <f t="shared" si="546"/>
        <v>0</v>
      </c>
      <c r="G1639" s="24" t="e">
        <f t="shared" si="545"/>
        <v>#DIV/0!</v>
      </c>
      <c r="Q1639" s="29" t="str">
        <f t="shared" si="547"/>
        <v>NA</v>
      </c>
      <c r="R1639" s="29" t="str">
        <f t="shared" si="548"/>
        <v>NA</v>
      </c>
      <c r="S1639" s="29" t="str">
        <f t="shared" si="549"/>
        <v>NA</v>
      </c>
      <c r="T1639" s="29" t="str">
        <f t="shared" si="550"/>
        <v>NA</v>
      </c>
      <c r="U1639" s="29" t="str">
        <f t="shared" si="551"/>
        <v>NA</v>
      </c>
      <c r="V1639" s="29" t="str">
        <f t="shared" si="552"/>
        <v>NA</v>
      </c>
      <c r="W1639" s="29" t="str">
        <f t="shared" si="553"/>
        <v>NA</v>
      </c>
      <c r="X1639" s="29" t="str">
        <f t="shared" si="554"/>
        <v>NA</v>
      </c>
      <c r="Y1639" s="29" t="str">
        <f t="shared" si="555"/>
        <v>NA</v>
      </c>
      <c r="Z1639" s="29" t="str">
        <f t="shared" si="556"/>
        <v>NA</v>
      </c>
      <c r="AA1639" s="29" t="str">
        <f t="shared" si="557"/>
        <v>NA</v>
      </c>
      <c r="AB1639" s="29" t="str">
        <f t="shared" si="558"/>
        <v>NA</v>
      </c>
      <c r="AC1639" s="29" t="str">
        <f t="shared" si="559"/>
        <v>NA</v>
      </c>
      <c r="AD1639" s="29" t="str">
        <f t="shared" si="560"/>
        <v>NA</v>
      </c>
      <c r="AE1639" s="29" t="str">
        <f t="shared" si="561"/>
        <v>NA</v>
      </c>
      <c r="AF1639" s="29" t="str">
        <f t="shared" si="562"/>
        <v>NA</v>
      </c>
      <c r="AG1639" s="29" t="str">
        <f t="shared" si="563"/>
        <v>NA</v>
      </c>
      <c r="AH1639" s="29" t="str">
        <f t="shared" si="564"/>
        <v>NA</v>
      </c>
    </row>
    <row r="1640" customHeight="1" spans="1:34">
      <c r="A1640" s="12" t="s">
        <v>1043</v>
      </c>
      <c r="F1640" s="24">
        <f t="shared" si="546"/>
        <v>0</v>
      </c>
      <c r="G1640" s="24" t="e">
        <f t="shared" si="545"/>
        <v>#DIV/0!</v>
      </c>
      <c r="Q1640" s="29" t="str">
        <f t="shared" si="547"/>
        <v>NA</v>
      </c>
      <c r="R1640" s="29" t="str">
        <f t="shared" si="548"/>
        <v>NA</v>
      </c>
      <c r="S1640" s="29" t="str">
        <f t="shared" si="549"/>
        <v>NA</v>
      </c>
      <c r="T1640" s="29" t="str">
        <f t="shared" si="550"/>
        <v>NA</v>
      </c>
      <c r="U1640" s="29" t="str">
        <f t="shared" si="551"/>
        <v>NA</v>
      </c>
      <c r="V1640" s="29" t="str">
        <f t="shared" si="552"/>
        <v>NA</v>
      </c>
      <c r="W1640" s="29" t="str">
        <f t="shared" si="553"/>
        <v>NA</v>
      </c>
      <c r="X1640" s="29" t="str">
        <f t="shared" si="554"/>
        <v>NA</v>
      </c>
      <c r="Y1640" s="29" t="str">
        <f t="shared" si="555"/>
        <v>NA</v>
      </c>
      <c r="Z1640" s="29" t="str">
        <f t="shared" si="556"/>
        <v>NA</v>
      </c>
      <c r="AA1640" s="29" t="str">
        <f t="shared" si="557"/>
        <v>NA</v>
      </c>
      <c r="AB1640" s="29" t="str">
        <f t="shared" si="558"/>
        <v>NA</v>
      </c>
      <c r="AC1640" s="29" t="str">
        <f t="shared" si="559"/>
        <v>NA</v>
      </c>
      <c r="AD1640" s="29" t="str">
        <f t="shared" si="560"/>
        <v>NA</v>
      </c>
      <c r="AE1640" s="29" t="str">
        <f t="shared" si="561"/>
        <v>NA</v>
      </c>
      <c r="AF1640" s="29" t="str">
        <f t="shared" si="562"/>
        <v>NA</v>
      </c>
      <c r="AG1640" s="29" t="str">
        <f t="shared" si="563"/>
        <v>NA</v>
      </c>
      <c r="AH1640" s="29" t="str">
        <f t="shared" si="564"/>
        <v>NA</v>
      </c>
    </row>
    <row r="1641" customHeight="1" spans="1:34">
      <c r="A1641" s="12" t="s">
        <v>1043</v>
      </c>
      <c r="F1641" s="24">
        <f t="shared" si="546"/>
        <v>0</v>
      </c>
      <c r="G1641" s="24" t="e">
        <f t="shared" si="545"/>
        <v>#DIV/0!</v>
      </c>
      <c r="Q1641" s="29" t="str">
        <f t="shared" si="547"/>
        <v>NA</v>
      </c>
      <c r="R1641" s="29" t="str">
        <f t="shared" si="548"/>
        <v>NA</v>
      </c>
      <c r="S1641" s="29" t="str">
        <f t="shared" si="549"/>
        <v>NA</v>
      </c>
      <c r="T1641" s="29" t="str">
        <f t="shared" si="550"/>
        <v>NA</v>
      </c>
      <c r="U1641" s="29" t="str">
        <f t="shared" si="551"/>
        <v>NA</v>
      </c>
      <c r="V1641" s="29" t="str">
        <f t="shared" si="552"/>
        <v>NA</v>
      </c>
      <c r="W1641" s="29" t="str">
        <f t="shared" si="553"/>
        <v>NA</v>
      </c>
      <c r="X1641" s="29" t="str">
        <f t="shared" si="554"/>
        <v>NA</v>
      </c>
      <c r="Y1641" s="29" t="str">
        <f t="shared" si="555"/>
        <v>NA</v>
      </c>
      <c r="Z1641" s="29" t="str">
        <f t="shared" si="556"/>
        <v>NA</v>
      </c>
      <c r="AA1641" s="29" t="str">
        <f t="shared" si="557"/>
        <v>NA</v>
      </c>
      <c r="AB1641" s="29" t="str">
        <f t="shared" si="558"/>
        <v>NA</v>
      </c>
      <c r="AC1641" s="29" t="str">
        <f t="shared" si="559"/>
        <v>NA</v>
      </c>
      <c r="AD1641" s="29" t="str">
        <f t="shared" si="560"/>
        <v>NA</v>
      </c>
      <c r="AE1641" s="29" t="str">
        <f t="shared" si="561"/>
        <v>NA</v>
      </c>
      <c r="AF1641" s="29" t="str">
        <f t="shared" si="562"/>
        <v>NA</v>
      </c>
      <c r="AG1641" s="29" t="str">
        <f t="shared" si="563"/>
        <v>NA</v>
      </c>
      <c r="AH1641" s="29" t="str">
        <f t="shared" si="564"/>
        <v>NA</v>
      </c>
    </row>
    <row r="1642" customHeight="1" spans="1:34">
      <c r="A1642" s="12" t="s">
        <v>1043</v>
      </c>
      <c r="F1642" s="24">
        <f t="shared" si="546"/>
        <v>0</v>
      </c>
      <c r="G1642" s="24" t="e">
        <f t="shared" si="545"/>
        <v>#DIV/0!</v>
      </c>
      <c r="Q1642" s="29" t="str">
        <f t="shared" si="547"/>
        <v>NA</v>
      </c>
      <c r="R1642" s="29" t="str">
        <f t="shared" si="548"/>
        <v>NA</v>
      </c>
      <c r="S1642" s="29" t="str">
        <f t="shared" si="549"/>
        <v>NA</v>
      </c>
      <c r="T1642" s="29" t="str">
        <f t="shared" si="550"/>
        <v>NA</v>
      </c>
      <c r="U1642" s="29" t="str">
        <f t="shared" si="551"/>
        <v>NA</v>
      </c>
      <c r="V1642" s="29" t="str">
        <f t="shared" si="552"/>
        <v>NA</v>
      </c>
      <c r="W1642" s="29" t="str">
        <f t="shared" si="553"/>
        <v>NA</v>
      </c>
      <c r="X1642" s="29" t="str">
        <f t="shared" si="554"/>
        <v>NA</v>
      </c>
      <c r="Y1642" s="29" t="str">
        <f t="shared" si="555"/>
        <v>NA</v>
      </c>
      <c r="Z1642" s="29" t="str">
        <f t="shared" si="556"/>
        <v>NA</v>
      </c>
      <c r="AA1642" s="29" t="str">
        <f t="shared" si="557"/>
        <v>NA</v>
      </c>
      <c r="AB1642" s="29" t="str">
        <f t="shared" si="558"/>
        <v>NA</v>
      </c>
      <c r="AC1642" s="29" t="str">
        <f t="shared" si="559"/>
        <v>NA</v>
      </c>
      <c r="AD1642" s="29" t="str">
        <f t="shared" si="560"/>
        <v>NA</v>
      </c>
      <c r="AE1642" s="29" t="str">
        <f t="shared" si="561"/>
        <v>NA</v>
      </c>
      <c r="AF1642" s="29" t="str">
        <f t="shared" si="562"/>
        <v>NA</v>
      </c>
      <c r="AG1642" s="29" t="str">
        <f t="shared" si="563"/>
        <v>NA</v>
      </c>
      <c r="AH1642" s="29" t="str">
        <f t="shared" si="564"/>
        <v>NA</v>
      </c>
    </row>
    <row r="1643" customHeight="1" spans="1:34">
      <c r="A1643" s="12" t="s">
        <v>1043</v>
      </c>
      <c r="F1643" s="24">
        <f t="shared" si="546"/>
        <v>0</v>
      </c>
      <c r="G1643" s="24" t="e">
        <f t="shared" si="545"/>
        <v>#DIV/0!</v>
      </c>
      <c r="Q1643" s="29" t="str">
        <f t="shared" si="547"/>
        <v>NA</v>
      </c>
      <c r="R1643" s="29" t="str">
        <f t="shared" si="548"/>
        <v>NA</v>
      </c>
      <c r="S1643" s="29" t="str">
        <f t="shared" si="549"/>
        <v>NA</v>
      </c>
      <c r="T1643" s="29" t="str">
        <f t="shared" si="550"/>
        <v>NA</v>
      </c>
      <c r="U1643" s="29" t="str">
        <f t="shared" si="551"/>
        <v>NA</v>
      </c>
      <c r="V1643" s="29" t="str">
        <f t="shared" si="552"/>
        <v>NA</v>
      </c>
      <c r="W1643" s="29" t="str">
        <f t="shared" si="553"/>
        <v>NA</v>
      </c>
      <c r="X1643" s="29" t="str">
        <f t="shared" si="554"/>
        <v>NA</v>
      </c>
      <c r="Y1643" s="29" t="str">
        <f t="shared" si="555"/>
        <v>NA</v>
      </c>
      <c r="Z1643" s="29" t="str">
        <f t="shared" si="556"/>
        <v>NA</v>
      </c>
      <c r="AA1643" s="29" t="str">
        <f t="shared" si="557"/>
        <v>NA</v>
      </c>
      <c r="AB1643" s="29" t="str">
        <f t="shared" si="558"/>
        <v>NA</v>
      </c>
      <c r="AC1643" s="29" t="str">
        <f t="shared" si="559"/>
        <v>NA</v>
      </c>
      <c r="AD1643" s="29" t="str">
        <f t="shared" si="560"/>
        <v>NA</v>
      </c>
      <c r="AE1643" s="29" t="str">
        <f t="shared" si="561"/>
        <v>NA</v>
      </c>
      <c r="AF1643" s="29" t="str">
        <f t="shared" si="562"/>
        <v>NA</v>
      </c>
      <c r="AG1643" s="29" t="str">
        <f t="shared" si="563"/>
        <v>NA</v>
      </c>
      <c r="AH1643" s="29" t="str">
        <f t="shared" si="564"/>
        <v>NA</v>
      </c>
    </row>
    <row r="1644" customHeight="1" spans="1:34">
      <c r="A1644" s="12" t="s">
        <v>1043</v>
      </c>
      <c r="F1644" s="24">
        <f t="shared" si="546"/>
        <v>0</v>
      </c>
      <c r="G1644" s="24" t="e">
        <f t="shared" si="545"/>
        <v>#DIV/0!</v>
      </c>
      <c r="Q1644" s="29" t="str">
        <f t="shared" si="547"/>
        <v>NA</v>
      </c>
      <c r="R1644" s="29" t="str">
        <f t="shared" si="548"/>
        <v>NA</v>
      </c>
      <c r="S1644" s="29" t="str">
        <f t="shared" si="549"/>
        <v>NA</v>
      </c>
      <c r="T1644" s="29" t="str">
        <f t="shared" si="550"/>
        <v>NA</v>
      </c>
      <c r="U1644" s="29" t="str">
        <f t="shared" si="551"/>
        <v>NA</v>
      </c>
      <c r="V1644" s="29" t="str">
        <f t="shared" si="552"/>
        <v>NA</v>
      </c>
      <c r="W1644" s="29" t="str">
        <f t="shared" si="553"/>
        <v>NA</v>
      </c>
      <c r="X1644" s="29" t="str">
        <f t="shared" si="554"/>
        <v>NA</v>
      </c>
      <c r="Y1644" s="29" t="str">
        <f t="shared" si="555"/>
        <v>NA</v>
      </c>
      <c r="Z1644" s="29" t="str">
        <f t="shared" si="556"/>
        <v>NA</v>
      </c>
      <c r="AA1644" s="29" t="str">
        <f t="shared" si="557"/>
        <v>NA</v>
      </c>
      <c r="AB1644" s="29" t="str">
        <f t="shared" si="558"/>
        <v>NA</v>
      </c>
      <c r="AC1644" s="29" t="str">
        <f t="shared" si="559"/>
        <v>NA</v>
      </c>
      <c r="AD1644" s="29" t="str">
        <f t="shared" si="560"/>
        <v>NA</v>
      </c>
      <c r="AE1644" s="29" t="str">
        <f t="shared" si="561"/>
        <v>NA</v>
      </c>
      <c r="AF1644" s="29" t="str">
        <f t="shared" si="562"/>
        <v>NA</v>
      </c>
      <c r="AG1644" s="29" t="str">
        <f t="shared" si="563"/>
        <v>NA</v>
      </c>
      <c r="AH1644" s="29" t="str">
        <f t="shared" si="564"/>
        <v>NA</v>
      </c>
    </row>
    <row r="1645" customHeight="1" spans="1:34">
      <c r="A1645" s="12" t="s">
        <v>1043</v>
      </c>
      <c r="F1645" s="24">
        <f t="shared" si="546"/>
        <v>0</v>
      </c>
      <c r="G1645" s="24" t="e">
        <f t="shared" si="545"/>
        <v>#DIV/0!</v>
      </c>
      <c r="Q1645" s="29" t="str">
        <f t="shared" si="547"/>
        <v>NA</v>
      </c>
      <c r="R1645" s="29" t="str">
        <f t="shared" si="548"/>
        <v>NA</v>
      </c>
      <c r="S1645" s="29" t="str">
        <f t="shared" si="549"/>
        <v>NA</v>
      </c>
      <c r="T1645" s="29" t="str">
        <f t="shared" si="550"/>
        <v>NA</v>
      </c>
      <c r="U1645" s="29" t="str">
        <f t="shared" si="551"/>
        <v>NA</v>
      </c>
      <c r="V1645" s="29" t="str">
        <f t="shared" si="552"/>
        <v>NA</v>
      </c>
      <c r="W1645" s="29" t="str">
        <f t="shared" si="553"/>
        <v>NA</v>
      </c>
      <c r="X1645" s="29" t="str">
        <f t="shared" si="554"/>
        <v>NA</v>
      </c>
      <c r="Y1645" s="29" t="str">
        <f t="shared" si="555"/>
        <v>NA</v>
      </c>
      <c r="Z1645" s="29" t="str">
        <f t="shared" si="556"/>
        <v>NA</v>
      </c>
      <c r="AA1645" s="29" t="str">
        <f t="shared" si="557"/>
        <v>NA</v>
      </c>
      <c r="AB1645" s="29" t="str">
        <f t="shared" si="558"/>
        <v>NA</v>
      </c>
      <c r="AC1645" s="29" t="str">
        <f t="shared" si="559"/>
        <v>NA</v>
      </c>
      <c r="AD1645" s="29" t="str">
        <f t="shared" si="560"/>
        <v>NA</v>
      </c>
      <c r="AE1645" s="29" t="str">
        <f t="shared" si="561"/>
        <v>NA</v>
      </c>
      <c r="AF1645" s="29" t="str">
        <f t="shared" si="562"/>
        <v>NA</v>
      </c>
      <c r="AG1645" s="29" t="str">
        <f t="shared" si="563"/>
        <v>NA</v>
      </c>
      <c r="AH1645" s="29" t="str">
        <f t="shared" si="564"/>
        <v>NA</v>
      </c>
    </row>
    <row r="1646" customHeight="1" spans="1:34">
      <c r="A1646" s="12" t="s">
        <v>1043</v>
      </c>
      <c r="F1646" s="24">
        <f t="shared" si="546"/>
        <v>0</v>
      </c>
      <c r="G1646" s="24" t="e">
        <f t="shared" si="545"/>
        <v>#DIV/0!</v>
      </c>
      <c r="Q1646" s="29" t="str">
        <f t="shared" si="547"/>
        <v>NA</v>
      </c>
      <c r="R1646" s="29" t="str">
        <f t="shared" si="548"/>
        <v>NA</v>
      </c>
      <c r="S1646" s="29" t="str">
        <f t="shared" si="549"/>
        <v>NA</v>
      </c>
      <c r="T1646" s="29" t="str">
        <f t="shared" si="550"/>
        <v>NA</v>
      </c>
      <c r="U1646" s="29" t="str">
        <f t="shared" si="551"/>
        <v>NA</v>
      </c>
      <c r="V1646" s="29" t="str">
        <f t="shared" si="552"/>
        <v>NA</v>
      </c>
      <c r="W1646" s="29" t="str">
        <f t="shared" si="553"/>
        <v>NA</v>
      </c>
      <c r="X1646" s="29" t="str">
        <f t="shared" si="554"/>
        <v>NA</v>
      </c>
      <c r="Y1646" s="29" t="str">
        <f t="shared" si="555"/>
        <v>NA</v>
      </c>
      <c r="Z1646" s="29" t="str">
        <f t="shared" si="556"/>
        <v>NA</v>
      </c>
      <c r="AA1646" s="29" t="str">
        <f t="shared" si="557"/>
        <v>NA</v>
      </c>
      <c r="AB1646" s="29" t="str">
        <f t="shared" si="558"/>
        <v>NA</v>
      </c>
      <c r="AC1646" s="29" t="str">
        <f t="shared" si="559"/>
        <v>NA</v>
      </c>
      <c r="AD1646" s="29" t="str">
        <f t="shared" si="560"/>
        <v>NA</v>
      </c>
      <c r="AE1646" s="29" t="str">
        <f t="shared" si="561"/>
        <v>NA</v>
      </c>
      <c r="AF1646" s="29" t="str">
        <f t="shared" si="562"/>
        <v>NA</v>
      </c>
      <c r="AG1646" s="29" t="str">
        <f t="shared" si="563"/>
        <v>NA</v>
      </c>
      <c r="AH1646" s="29" t="str">
        <f t="shared" si="564"/>
        <v>NA</v>
      </c>
    </row>
    <row r="1647" customHeight="1" spans="1:34">
      <c r="A1647" s="12" t="s">
        <v>1043</v>
      </c>
      <c r="F1647" s="24">
        <f t="shared" si="546"/>
        <v>0</v>
      </c>
      <c r="G1647" s="24" t="e">
        <f t="shared" si="545"/>
        <v>#DIV/0!</v>
      </c>
      <c r="Q1647" s="29" t="str">
        <f t="shared" si="547"/>
        <v>NA</v>
      </c>
      <c r="R1647" s="29" t="str">
        <f t="shared" si="548"/>
        <v>NA</v>
      </c>
      <c r="S1647" s="29" t="str">
        <f t="shared" si="549"/>
        <v>NA</v>
      </c>
      <c r="T1647" s="29" t="str">
        <f t="shared" si="550"/>
        <v>NA</v>
      </c>
      <c r="U1647" s="29" t="str">
        <f t="shared" si="551"/>
        <v>NA</v>
      </c>
      <c r="V1647" s="29" t="str">
        <f t="shared" si="552"/>
        <v>NA</v>
      </c>
      <c r="W1647" s="29" t="str">
        <f t="shared" si="553"/>
        <v>NA</v>
      </c>
      <c r="X1647" s="29" t="str">
        <f t="shared" si="554"/>
        <v>NA</v>
      </c>
      <c r="Y1647" s="29" t="str">
        <f t="shared" si="555"/>
        <v>NA</v>
      </c>
      <c r="Z1647" s="29" t="str">
        <f t="shared" si="556"/>
        <v>NA</v>
      </c>
      <c r="AA1647" s="29" t="str">
        <f t="shared" si="557"/>
        <v>NA</v>
      </c>
      <c r="AB1647" s="29" t="str">
        <f t="shared" si="558"/>
        <v>NA</v>
      </c>
      <c r="AC1647" s="29" t="str">
        <f t="shared" si="559"/>
        <v>NA</v>
      </c>
      <c r="AD1647" s="29" t="str">
        <f t="shared" si="560"/>
        <v>NA</v>
      </c>
      <c r="AE1647" s="29" t="str">
        <f t="shared" si="561"/>
        <v>NA</v>
      </c>
      <c r="AF1647" s="29" t="str">
        <f t="shared" si="562"/>
        <v>NA</v>
      </c>
      <c r="AG1647" s="29" t="str">
        <f t="shared" si="563"/>
        <v>NA</v>
      </c>
      <c r="AH1647" s="29" t="str">
        <f t="shared" si="564"/>
        <v>NA</v>
      </c>
    </row>
    <row r="1648" customHeight="1" spans="1:34">
      <c r="A1648" s="12" t="s">
        <v>1043</v>
      </c>
      <c r="F1648" s="24">
        <f t="shared" si="546"/>
        <v>0</v>
      </c>
      <c r="G1648" s="24" t="e">
        <f t="shared" si="545"/>
        <v>#DIV/0!</v>
      </c>
      <c r="Q1648" s="29" t="str">
        <f t="shared" si="547"/>
        <v>NA</v>
      </c>
      <c r="R1648" s="29" t="str">
        <f t="shared" si="548"/>
        <v>NA</v>
      </c>
      <c r="S1648" s="29" t="str">
        <f t="shared" si="549"/>
        <v>NA</v>
      </c>
      <c r="T1648" s="29" t="str">
        <f t="shared" si="550"/>
        <v>NA</v>
      </c>
      <c r="U1648" s="29" t="str">
        <f t="shared" si="551"/>
        <v>NA</v>
      </c>
      <c r="V1648" s="29" t="str">
        <f t="shared" si="552"/>
        <v>NA</v>
      </c>
      <c r="W1648" s="29" t="str">
        <f t="shared" si="553"/>
        <v>NA</v>
      </c>
      <c r="X1648" s="29" t="str">
        <f t="shared" si="554"/>
        <v>NA</v>
      </c>
      <c r="Y1648" s="29" t="str">
        <f t="shared" si="555"/>
        <v>NA</v>
      </c>
      <c r="Z1648" s="29" t="str">
        <f t="shared" si="556"/>
        <v>NA</v>
      </c>
      <c r="AA1648" s="29" t="str">
        <f t="shared" si="557"/>
        <v>NA</v>
      </c>
      <c r="AB1648" s="29" t="str">
        <f t="shared" si="558"/>
        <v>NA</v>
      </c>
      <c r="AC1648" s="29" t="str">
        <f t="shared" si="559"/>
        <v>NA</v>
      </c>
      <c r="AD1648" s="29" t="str">
        <f t="shared" si="560"/>
        <v>NA</v>
      </c>
      <c r="AE1648" s="29" t="str">
        <f t="shared" si="561"/>
        <v>NA</v>
      </c>
      <c r="AF1648" s="29" t="str">
        <f t="shared" si="562"/>
        <v>NA</v>
      </c>
      <c r="AG1648" s="29" t="str">
        <f t="shared" si="563"/>
        <v>NA</v>
      </c>
      <c r="AH1648" s="29" t="str">
        <f t="shared" si="564"/>
        <v>NA</v>
      </c>
    </row>
    <row r="1649" customHeight="1" spans="1:34">
      <c r="A1649" s="12" t="s">
        <v>1043</v>
      </c>
      <c r="F1649" s="24">
        <f t="shared" si="546"/>
        <v>0</v>
      </c>
      <c r="G1649" s="24" t="e">
        <f t="shared" si="545"/>
        <v>#DIV/0!</v>
      </c>
      <c r="Q1649" s="29" t="str">
        <f t="shared" si="547"/>
        <v>NA</v>
      </c>
      <c r="R1649" s="29" t="str">
        <f t="shared" si="548"/>
        <v>NA</v>
      </c>
      <c r="S1649" s="29" t="str">
        <f t="shared" si="549"/>
        <v>NA</v>
      </c>
      <c r="T1649" s="29" t="str">
        <f t="shared" si="550"/>
        <v>NA</v>
      </c>
      <c r="U1649" s="29" t="str">
        <f t="shared" si="551"/>
        <v>NA</v>
      </c>
      <c r="V1649" s="29" t="str">
        <f t="shared" si="552"/>
        <v>NA</v>
      </c>
      <c r="W1649" s="29" t="str">
        <f t="shared" si="553"/>
        <v>NA</v>
      </c>
      <c r="X1649" s="29" t="str">
        <f t="shared" si="554"/>
        <v>NA</v>
      </c>
      <c r="Y1649" s="29" t="str">
        <f t="shared" si="555"/>
        <v>NA</v>
      </c>
      <c r="Z1649" s="29" t="str">
        <f t="shared" si="556"/>
        <v>NA</v>
      </c>
      <c r="AA1649" s="29" t="str">
        <f t="shared" si="557"/>
        <v>NA</v>
      </c>
      <c r="AB1649" s="29" t="str">
        <f t="shared" si="558"/>
        <v>NA</v>
      </c>
      <c r="AC1649" s="29" t="str">
        <f t="shared" si="559"/>
        <v>NA</v>
      </c>
      <c r="AD1649" s="29" t="str">
        <f t="shared" si="560"/>
        <v>NA</v>
      </c>
      <c r="AE1649" s="29" t="str">
        <f t="shared" si="561"/>
        <v>NA</v>
      </c>
      <c r="AF1649" s="29" t="str">
        <f t="shared" si="562"/>
        <v>NA</v>
      </c>
      <c r="AG1649" s="29" t="str">
        <f t="shared" si="563"/>
        <v>NA</v>
      </c>
      <c r="AH1649" s="29" t="str">
        <f t="shared" si="564"/>
        <v>NA</v>
      </c>
    </row>
    <row r="1650" customHeight="1" spans="1:34">
      <c r="A1650" s="12" t="s">
        <v>1043</v>
      </c>
      <c r="F1650" s="24">
        <f t="shared" si="546"/>
        <v>0</v>
      </c>
      <c r="G1650" s="24" t="e">
        <f t="shared" si="545"/>
        <v>#DIV/0!</v>
      </c>
      <c r="Q1650" s="29" t="str">
        <f t="shared" si="547"/>
        <v>NA</v>
      </c>
      <c r="R1650" s="29" t="str">
        <f t="shared" si="548"/>
        <v>NA</v>
      </c>
      <c r="S1650" s="29" t="str">
        <f t="shared" si="549"/>
        <v>NA</v>
      </c>
      <c r="T1650" s="29" t="str">
        <f t="shared" si="550"/>
        <v>NA</v>
      </c>
      <c r="U1650" s="29" t="str">
        <f t="shared" si="551"/>
        <v>NA</v>
      </c>
      <c r="V1650" s="29" t="str">
        <f t="shared" si="552"/>
        <v>NA</v>
      </c>
      <c r="W1650" s="29" t="str">
        <f t="shared" si="553"/>
        <v>NA</v>
      </c>
      <c r="X1650" s="29" t="str">
        <f t="shared" si="554"/>
        <v>NA</v>
      </c>
      <c r="Y1650" s="29" t="str">
        <f t="shared" si="555"/>
        <v>NA</v>
      </c>
      <c r="Z1650" s="29" t="str">
        <f t="shared" si="556"/>
        <v>NA</v>
      </c>
      <c r="AA1650" s="29" t="str">
        <f t="shared" si="557"/>
        <v>NA</v>
      </c>
      <c r="AB1650" s="29" t="str">
        <f t="shared" si="558"/>
        <v>NA</v>
      </c>
      <c r="AC1650" s="29" t="str">
        <f t="shared" si="559"/>
        <v>NA</v>
      </c>
      <c r="AD1650" s="29" t="str">
        <f t="shared" si="560"/>
        <v>NA</v>
      </c>
      <c r="AE1650" s="29" t="str">
        <f t="shared" si="561"/>
        <v>NA</v>
      </c>
      <c r="AF1650" s="29" t="str">
        <f t="shared" si="562"/>
        <v>NA</v>
      </c>
      <c r="AG1650" s="29" t="str">
        <f t="shared" si="563"/>
        <v>NA</v>
      </c>
      <c r="AH1650" s="29" t="str">
        <f t="shared" si="564"/>
        <v>NA</v>
      </c>
    </row>
    <row r="1651" customHeight="1" spans="1:34">
      <c r="A1651" s="12" t="s">
        <v>1043</v>
      </c>
      <c r="F1651" s="24">
        <f t="shared" si="546"/>
        <v>0</v>
      </c>
      <c r="G1651" s="24" t="e">
        <f t="shared" si="545"/>
        <v>#DIV/0!</v>
      </c>
      <c r="Q1651" s="29" t="str">
        <f t="shared" si="547"/>
        <v>NA</v>
      </c>
      <c r="R1651" s="29" t="str">
        <f t="shared" si="548"/>
        <v>NA</v>
      </c>
      <c r="S1651" s="29" t="str">
        <f t="shared" si="549"/>
        <v>NA</v>
      </c>
      <c r="T1651" s="29" t="str">
        <f t="shared" si="550"/>
        <v>NA</v>
      </c>
      <c r="U1651" s="29" t="str">
        <f t="shared" si="551"/>
        <v>NA</v>
      </c>
      <c r="V1651" s="29" t="str">
        <f t="shared" si="552"/>
        <v>NA</v>
      </c>
      <c r="W1651" s="29" t="str">
        <f t="shared" si="553"/>
        <v>NA</v>
      </c>
      <c r="X1651" s="29" t="str">
        <f t="shared" si="554"/>
        <v>NA</v>
      </c>
      <c r="Y1651" s="29" t="str">
        <f t="shared" si="555"/>
        <v>NA</v>
      </c>
      <c r="Z1651" s="29" t="str">
        <f t="shared" si="556"/>
        <v>NA</v>
      </c>
      <c r="AA1651" s="29" t="str">
        <f t="shared" si="557"/>
        <v>NA</v>
      </c>
      <c r="AB1651" s="29" t="str">
        <f t="shared" si="558"/>
        <v>NA</v>
      </c>
      <c r="AC1651" s="29" t="str">
        <f t="shared" si="559"/>
        <v>NA</v>
      </c>
      <c r="AD1651" s="29" t="str">
        <f t="shared" si="560"/>
        <v>NA</v>
      </c>
      <c r="AE1651" s="29" t="str">
        <f t="shared" si="561"/>
        <v>NA</v>
      </c>
      <c r="AF1651" s="29" t="str">
        <f t="shared" si="562"/>
        <v>NA</v>
      </c>
      <c r="AG1651" s="29" t="str">
        <f t="shared" si="563"/>
        <v>NA</v>
      </c>
      <c r="AH1651" s="29" t="str">
        <f t="shared" si="564"/>
        <v>NA</v>
      </c>
    </row>
    <row r="1652" customHeight="1" spans="1:34">
      <c r="A1652" s="12" t="s">
        <v>1043</v>
      </c>
      <c r="F1652" s="24">
        <f t="shared" si="546"/>
        <v>0</v>
      </c>
      <c r="G1652" s="24" t="e">
        <f t="shared" si="545"/>
        <v>#DIV/0!</v>
      </c>
      <c r="Q1652" s="29" t="str">
        <f t="shared" si="547"/>
        <v>NA</v>
      </c>
      <c r="R1652" s="29" t="str">
        <f t="shared" si="548"/>
        <v>NA</v>
      </c>
      <c r="S1652" s="29" t="str">
        <f t="shared" si="549"/>
        <v>NA</v>
      </c>
      <c r="T1652" s="29" t="str">
        <f t="shared" si="550"/>
        <v>NA</v>
      </c>
      <c r="U1652" s="29" t="str">
        <f t="shared" si="551"/>
        <v>NA</v>
      </c>
      <c r="V1652" s="29" t="str">
        <f t="shared" si="552"/>
        <v>NA</v>
      </c>
      <c r="W1652" s="29" t="str">
        <f t="shared" si="553"/>
        <v>NA</v>
      </c>
      <c r="X1652" s="29" t="str">
        <f t="shared" si="554"/>
        <v>NA</v>
      </c>
      <c r="Y1652" s="29" t="str">
        <f t="shared" si="555"/>
        <v>NA</v>
      </c>
      <c r="Z1652" s="29" t="str">
        <f t="shared" si="556"/>
        <v>NA</v>
      </c>
      <c r="AA1652" s="29" t="str">
        <f t="shared" si="557"/>
        <v>NA</v>
      </c>
      <c r="AB1652" s="29" t="str">
        <f t="shared" si="558"/>
        <v>NA</v>
      </c>
      <c r="AC1652" s="29" t="str">
        <f t="shared" si="559"/>
        <v>NA</v>
      </c>
      <c r="AD1652" s="29" t="str">
        <f t="shared" si="560"/>
        <v>NA</v>
      </c>
      <c r="AE1652" s="29" t="str">
        <f t="shared" si="561"/>
        <v>NA</v>
      </c>
      <c r="AF1652" s="29" t="str">
        <f t="shared" si="562"/>
        <v>NA</v>
      </c>
      <c r="AG1652" s="29" t="str">
        <f t="shared" si="563"/>
        <v>NA</v>
      </c>
      <c r="AH1652" s="29" t="str">
        <f t="shared" si="564"/>
        <v>NA</v>
      </c>
    </row>
    <row r="1653" customHeight="1" spans="1:34">
      <c r="A1653" s="12" t="s">
        <v>1043</v>
      </c>
      <c r="F1653" s="24">
        <f t="shared" si="546"/>
        <v>0</v>
      </c>
      <c r="G1653" s="24" t="e">
        <f t="shared" si="545"/>
        <v>#DIV/0!</v>
      </c>
      <c r="Q1653" s="29" t="str">
        <f t="shared" si="547"/>
        <v>NA</v>
      </c>
      <c r="R1653" s="29" t="str">
        <f t="shared" si="548"/>
        <v>NA</v>
      </c>
      <c r="S1653" s="29" t="str">
        <f t="shared" si="549"/>
        <v>NA</v>
      </c>
      <c r="T1653" s="29" t="str">
        <f t="shared" si="550"/>
        <v>NA</v>
      </c>
      <c r="U1653" s="29" t="str">
        <f t="shared" si="551"/>
        <v>NA</v>
      </c>
      <c r="V1653" s="29" t="str">
        <f t="shared" si="552"/>
        <v>NA</v>
      </c>
      <c r="W1653" s="29" t="str">
        <f t="shared" si="553"/>
        <v>NA</v>
      </c>
      <c r="X1653" s="29" t="str">
        <f t="shared" si="554"/>
        <v>NA</v>
      </c>
      <c r="Y1653" s="29" t="str">
        <f t="shared" si="555"/>
        <v>NA</v>
      </c>
      <c r="Z1653" s="29" t="str">
        <f t="shared" si="556"/>
        <v>NA</v>
      </c>
      <c r="AA1653" s="29" t="str">
        <f t="shared" si="557"/>
        <v>NA</v>
      </c>
      <c r="AB1653" s="29" t="str">
        <f t="shared" si="558"/>
        <v>NA</v>
      </c>
      <c r="AC1653" s="29" t="str">
        <f t="shared" si="559"/>
        <v>NA</v>
      </c>
      <c r="AD1653" s="29" t="str">
        <f t="shared" si="560"/>
        <v>NA</v>
      </c>
      <c r="AE1653" s="29" t="str">
        <f t="shared" si="561"/>
        <v>NA</v>
      </c>
      <c r="AF1653" s="29" t="str">
        <f t="shared" si="562"/>
        <v>NA</v>
      </c>
      <c r="AG1653" s="29" t="str">
        <f t="shared" si="563"/>
        <v>NA</v>
      </c>
      <c r="AH1653" s="29" t="str">
        <f t="shared" si="564"/>
        <v>NA</v>
      </c>
    </row>
    <row r="1654" customHeight="1" spans="1:34">
      <c r="A1654" s="12" t="s">
        <v>1043</v>
      </c>
      <c r="F1654" s="24">
        <f t="shared" si="546"/>
        <v>0</v>
      </c>
      <c r="G1654" s="24" t="e">
        <f t="shared" si="545"/>
        <v>#DIV/0!</v>
      </c>
      <c r="Q1654" s="29" t="str">
        <f t="shared" si="547"/>
        <v>NA</v>
      </c>
      <c r="R1654" s="29" t="str">
        <f t="shared" si="548"/>
        <v>NA</v>
      </c>
      <c r="S1654" s="29" t="str">
        <f t="shared" si="549"/>
        <v>NA</v>
      </c>
      <c r="T1654" s="29" t="str">
        <f t="shared" si="550"/>
        <v>NA</v>
      </c>
      <c r="U1654" s="29" t="str">
        <f t="shared" si="551"/>
        <v>NA</v>
      </c>
      <c r="V1654" s="29" t="str">
        <f t="shared" si="552"/>
        <v>NA</v>
      </c>
      <c r="W1654" s="29" t="str">
        <f t="shared" si="553"/>
        <v>NA</v>
      </c>
      <c r="X1654" s="29" t="str">
        <f t="shared" si="554"/>
        <v>NA</v>
      </c>
      <c r="Y1654" s="29" t="str">
        <f t="shared" si="555"/>
        <v>NA</v>
      </c>
      <c r="Z1654" s="29" t="str">
        <f t="shared" si="556"/>
        <v>NA</v>
      </c>
      <c r="AA1654" s="29" t="str">
        <f t="shared" si="557"/>
        <v>NA</v>
      </c>
      <c r="AB1654" s="29" t="str">
        <f t="shared" si="558"/>
        <v>NA</v>
      </c>
      <c r="AC1654" s="29" t="str">
        <f t="shared" si="559"/>
        <v>NA</v>
      </c>
      <c r="AD1654" s="29" t="str">
        <f t="shared" si="560"/>
        <v>NA</v>
      </c>
      <c r="AE1654" s="29" t="str">
        <f t="shared" si="561"/>
        <v>NA</v>
      </c>
      <c r="AF1654" s="29" t="str">
        <f t="shared" si="562"/>
        <v>NA</v>
      </c>
      <c r="AG1654" s="29" t="str">
        <f t="shared" si="563"/>
        <v>NA</v>
      </c>
      <c r="AH1654" s="29" t="str">
        <f t="shared" si="564"/>
        <v>NA</v>
      </c>
    </row>
    <row r="1655" customHeight="1" spans="1:34">
      <c r="A1655" s="12" t="s">
        <v>1043</v>
      </c>
      <c r="F1655" s="24">
        <f t="shared" si="546"/>
        <v>0</v>
      </c>
      <c r="G1655" s="24" t="e">
        <f t="shared" si="545"/>
        <v>#DIV/0!</v>
      </c>
      <c r="Q1655" s="29" t="str">
        <f t="shared" si="547"/>
        <v>NA</v>
      </c>
      <c r="R1655" s="29" t="str">
        <f t="shared" si="548"/>
        <v>NA</v>
      </c>
      <c r="S1655" s="29" t="str">
        <f t="shared" si="549"/>
        <v>NA</v>
      </c>
      <c r="T1655" s="29" t="str">
        <f t="shared" si="550"/>
        <v>NA</v>
      </c>
      <c r="U1655" s="29" t="str">
        <f t="shared" si="551"/>
        <v>NA</v>
      </c>
      <c r="V1655" s="29" t="str">
        <f t="shared" si="552"/>
        <v>NA</v>
      </c>
      <c r="W1655" s="29" t="str">
        <f t="shared" si="553"/>
        <v>NA</v>
      </c>
      <c r="X1655" s="29" t="str">
        <f t="shared" si="554"/>
        <v>NA</v>
      </c>
      <c r="Y1655" s="29" t="str">
        <f t="shared" si="555"/>
        <v>NA</v>
      </c>
      <c r="Z1655" s="29" t="str">
        <f t="shared" si="556"/>
        <v>NA</v>
      </c>
      <c r="AA1655" s="29" t="str">
        <f t="shared" si="557"/>
        <v>NA</v>
      </c>
      <c r="AB1655" s="29" t="str">
        <f t="shared" si="558"/>
        <v>NA</v>
      </c>
      <c r="AC1655" s="29" t="str">
        <f t="shared" si="559"/>
        <v>NA</v>
      </c>
      <c r="AD1655" s="29" t="str">
        <f t="shared" si="560"/>
        <v>NA</v>
      </c>
      <c r="AE1655" s="29" t="str">
        <f t="shared" si="561"/>
        <v>NA</v>
      </c>
      <c r="AF1655" s="29" t="str">
        <f t="shared" si="562"/>
        <v>NA</v>
      </c>
      <c r="AG1655" s="29" t="str">
        <f t="shared" si="563"/>
        <v>NA</v>
      </c>
      <c r="AH1655" s="29" t="str">
        <f t="shared" si="564"/>
        <v>NA</v>
      </c>
    </row>
    <row r="1656" customHeight="1" spans="1:34">
      <c r="A1656" s="12" t="s">
        <v>1043</v>
      </c>
      <c r="F1656" s="24">
        <f t="shared" si="546"/>
        <v>0</v>
      </c>
      <c r="G1656" s="24" t="e">
        <f t="shared" si="545"/>
        <v>#DIV/0!</v>
      </c>
      <c r="Q1656" s="29" t="str">
        <f t="shared" si="547"/>
        <v>NA</v>
      </c>
      <c r="R1656" s="29" t="str">
        <f t="shared" si="548"/>
        <v>NA</v>
      </c>
      <c r="S1656" s="29" t="str">
        <f t="shared" si="549"/>
        <v>NA</v>
      </c>
      <c r="T1656" s="29" t="str">
        <f t="shared" si="550"/>
        <v>NA</v>
      </c>
      <c r="U1656" s="29" t="str">
        <f t="shared" si="551"/>
        <v>NA</v>
      </c>
      <c r="V1656" s="29" t="str">
        <f t="shared" si="552"/>
        <v>NA</v>
      </c>
      <c r="W1656" s="29" t="str">
        <f t="shared" si="553"/>
        <v>NA</v>
      </c>
      <c r="X1656" s="29" t="str">
        <f t="shared" si="554"/>
        <v>NA</v>
      </c>
      <c r="Y1656" s="29" t="str">
        <f t="shared" si="555"/>
        <v>NA</v>
      </c>
      <c r="Z1656" s="29" t="str">
        <f t="shared" si="556"/>
        <v>NA</v>
      </c>
      <c r="AA1656" s="29" t="str">
        <f t="shared" si="557"/>
        <v>NA</v>
      </c>
      <c r="AB1656" s="29" t="str">
        <f t="shared" si="558"/>
        <v>NA</v>
      </c>
      <c r="AC1656" s="29" t="str">
        <f t="shared" si="559"/>
        <v>NA</v>
      </c>
      <c r="AD1656" s="29" t="str">
        <f t="shared" si="560"/>
        <v>NA</v>
      </c>
      <c r="AE1656" s="29" t="str">
        <f t="shared" si="561"/>
        <v>NA</v>
      </c>
      <c r="AF1656" s="29" t="str">
        <f t="shared" si="562"/>
        <v>NA</v>
      </c>
      <c r="AG1656" s="29" t="str">
        <f t="shared" si="563"/>
        <v>NA</v>
      </c>
      <c r="AH1656" s="29" t="str">
        <f t="shared" si="564"/>
        <v>NA</v>
      </c>
    </row>
    <row r="1657" customHeight="1" spans="1:34">
      <c r="A1657" s="12" t="s">
        <v>1043</v>
      </c>
      <c r="F1657" s="24">
        <f t="shared" si="546"/>
        <v>0</v>
      </c>
      <c r="G1657" s="24" t="e">
        <f t="shared" si="545"/>
        <v>#DIV/0!</v>
      </c>
      <c r="Q1657" s="29" t="str">
        <f t="shared" si="547"/>
        <v>NA</v>
      </c>
      <c r="R1657" s="29" t="str">
        <f t="shared" si="548"/>
        <v>NA</v>
      </c>
      <c r="S1657" s="29" t="str">
        <f t="shared" si="549"/>
        <v>NA</v>
      </c>
      <c r="T1657" s="29" t="str">
        <f t="shared" si="550"/>
        <v>NA</v>
      </c>
      <c r="U1657" s="29" t="str">
        <f t="shared" si="551"/>
        <v>NA</v>
      </c>
      <c r="V1657" s="29" t="str">
        <f t="shared" si="552"/>
        <v>NA</v>
      </c>
      <c r="W1657" s="29" t="str">
        <f t="shared" si="553"/>
        <v>NA</v>
      </c>
      <c r="X1657" s="29" t="str">
        <f t="shared" si="554"/>
        <v>NA</v>
      </c>
      <c r="Y1657" s="29" t="str">
        <f t="shared" si="555"/>
        <v>NA</v>
      </c>
      <c r="Z1657" s="29" t="str">
        <f t="shared" si="556"/>
        <v>NA</v>
      </c>
      <c r="AA1657" s="29" t="str">
        <f t="shared" si="557"/>
        <v>NA</v>
      </c>
      <c r="AB1657" s="29" t="str">
        <f t="shared" si="558"/>
        <v>NA</v>
      </c>
      <c r="AC1657" s="29" t="str">
        <f t="shared" si="559"/>
        <v>NA</v>
      </c>
      <c r="AD1657" s="29" t="str">
        <f t="shared" si="560"/>
        <v>NA</v>
      </c>
      <c r="AE1657" s="29" t="str">
        <f t="shared" si="561"/>
        <v>NA</v>
      </c>
      <c r="AF1657" s="29" t="str">
        <f t="shared" si="562"/>
        <v>NA</v>
      </c>
      <c r="AG1657" s="29" t="str">
        <f t="shared" si="563"/>
        <v>NA</v>
      </c>
      <c r="AH1657" s="29" t="str">
        <f t="shared" si="564"/>
        <v>NA</v>
      </c>
    </row>
    <row r="1658" customHeight="1" spans="1:34">
      <c r="A1658" s="12" t="s">
        <v>1043</v>
      </c>
      <c r="F1658" s="24">
        <f t="shared" si="546"/>
        <v>0</v>
      </c>
      <c r="G1658" s="24" t="e">
        <f t="shared" si="545"/>
        <v>#DIV/0!</v>
      </c>
      <c r="Q1658" s="29" t="str">
        <f t="shared" si="547"/>
        <v>NA</v>
      </c>
      <c r="R1658" s="29" t="str">
        <f t="shared" si="548"/>
        <v>NA</v>
      </c>
      <c r="S1658" s="29" t="str">
        <f t="shared" si="549"/>
        <v>NA</v>
      </c>
      <c r="T1658" s="29" t="str">
        <f t="shared" si="550"/>
        <v>NA</v>
      </c>
      <c r="U1658" s="29" t="str">
        <f t="shared" si="551"/>
        <v>NA</v>
      </c>
      <c r="V1658" s="29" t="str">
        <f t="shared" si="552"/>
        <v>NA</v>
      </c>
      <c r="W1658" s="29" t="str">
        <f t="shared" si="553"/>
        <v>NA</v>
      </c>
      <c r="X1658" s="29" t="str">
        <f t="shared" si="554"/>
        <v>NA</v>
      </c>
      <c r="Y1658" s="29" t="str">
        <f t="shared" si="555"/>
        <v>NA</v>
      </c>
      <c r="Z1658" s="29" t="str">
        <f t="shared" si="556"/>
        <v>NA</v>
      </c>
      <c r="AA1658" s="29" t="str">
        <f t="shared" si="557"/>
        <v>NA</v>
      </c>
      <c r="AB1658" s="29" t="str">
        <f t="shared" si="558"/>
        <v>NA</v>
      </c>
      <c r="AC1658" s="29" t="str">
        <f t="shared" si="559"/>
        <v>NA</v>
      </c>
      <c r="AD1658" s="29" t="str">
        <f t="shared" si="560"/>
        <v>NA</v>
      </c>
      <c r="AE1658" s="29" t="str">
        <f t="shared" si="561"/>
        <v>NA</v>
      </c>
      <c r="AF1658" s="29" t="str">
        <f t="shared" si="562"/>
        <v>NA</v>
      </c>
      <c r="AG1658" s="29" t="str">
        <f t="shared" si="563"/>
        <v>NA</v>
      </c>
      <c r="AH1658" s="29" t="str">
        <f t="shared" si="564"/>
        <v>NA</v>
      </c>
    </row>
    <row r="1659" customHeight="1" spans="1:34">
      <c r="A1659" s="12" t="s">
        <v>1043</v>
      </c>
      <c r="F1659" s="24">
        <f t="shared" si="546"/>
        <v>0</v>
      </c>
      <c r="G1659" s="24" t="e">
        <f t="shared" si="545"/>
        <v>#DIV/0!</v>
      </c>
      <c r="Q1659" s="29" t="str">
        <f t="shared" si="547"/>
        <v>NA</v>
      </c>
      <c r="R1659" s="29" t="str">
        <f t="shared" si="548"/>
        <v>NA</v>
      </c>
      <c r="S1659" s="29" t="str">
        <f t="shared" si="549"/>
        <v>NA</v>
      </c>
      <c r="T1659" s="29" t="str">
        <f t="shared" si="550"/>
        <v>NA</v>
      </c>
      <c r="U1659" s="29" t="str">
        <f t="shared" si="551"/>
        <v>NA</v>
      </c>
      <c r="V1659" s="29" t="str">
        <f t="shared" si="552"/>
        <v>NA</v>
      </c>
      <c r="W1659" s="29" t="str">
        <f t="shared" si="553"/>
        <v>NA</v>
      </c>
      <c r="X1659" s="29" t="str">
        <f t="shared" si="554"/>
        <v>NA</v>
      </c>
      <c r="Y1659" s="29" t="str">
        <f t="shared" si="555"/>
        <v>NA</v>
      </c>
      <c r="Z1659" s="29" t="str">
        <f t="shared" si="556"/>
        <v>NA</v>
      </c>
      <c r="AA1659" s="29" t="str">
        <f t="shared" si="557"/>
        <v>NA</v>
      </c>
      <c r="AB1659" s="29" t="str">
        <f t="shared" si="558"/>
        <v>NA</v>
      </c>
      <c r="AC1659" s="29" t="str">
        <f t="shared" si="559"/>
        <v>NA</v>
      </c>
      <c r="AD1659" s="29" t="str">
        <f t="shared" si="560"/>
        <v>NA</v>
      </c>
      <c r="AE1659" s="29" t="str">
        <f t="shared" si="561"/>
        <v>NA</v>
      </c>
      <c r="AF1659" s="29" t="str">
        <f t="shared" si="562"/>
        <v>NA</v>
      </c>
      <c r="AG1659" s="29" t="str">
        <f t="shared" si="563"/>
        <v>NA</v>
      </c>
      <c r="AH1659" s="29" t="str">
        <f t="shared" si="564"/>
        <v>NA</v>
      </c>
    </row>
    <row r="1660" customHeight="1" spans="1:34">
      <c r="A1660" s="12" t="s">
        <v>1043</v>
      </c>
      <c r="F1660" s="24">
        <f t="shared" si="546"/>
        <v>0</v>
      </c>
      <c r="G1660" s="24" t="e">
        <f t="shared" si="545"/>
        <v>#DIV/0!</v>
      </c>
      <c r="Q1660" s="29" t="str">
        <f t="shared" si="547"/>
        <v>NA</v>
      </c>
      <c r="R1660" s="29" t="str">
        <f t="shared" si="548"/>
        <v>NA</v>
      </c>
      <c r="S1660" s="29" t="str">
        <f t="shared" si="549"/>
        <v>NA</v>
      </c>
      <c r="T1660" s="29" t="str">
        <f t="shared" si="550"/>
        <v>NA</v>
      </c>
      <c r="U1660" s="29" t="str">
        <f t="shared" si="551"/>
        <v>NA</v>
      </c>
      <c r="V1660" s="29" t="str">
        <f t="shared" si="552"/>
        <v>NA</v>
      </c>
      <c r="W1660" s="29" t="str">
        <f t="shared" si="553"/>
        <v>NA</v>
      </c>
      <c r="X1660" s="29" t="str">
        <f t="shared" si="554"/>
        <v>NA</v>
      </c>
      <c r="Y1660" s="29" t="str">
        <f t="shared" si="555"/>
        <v>NA</v>
      </c>
      <c r="Z1660" s="29" t="str">
        <f t="shared" si="556"/>
        <v>NA</v>
      </c>
      <c r="AA1660" s="29" t="str">
        <f t="shared" si="557"/>
        <v>NA</v>
      </c>
      <c r="AB1660" s="29" t="str">
        <f t="shared" si="558"/>
        <v>NA</v>
      </c>
      <c r="AC1660" s="29" t="str">
        <f t="shared" si="559"/>
        <v>NA</v>
      </c>
      <c r="AD1660" s="29" t="str">
        <f t="shared" si="560"/>
        <v>NA</v>
      </c>
      <c r="AE1660" s="29" t="str">
        <f t="shared" si="561"/>
        <v>NA</v>
      </c>
      <c r="AF1660" s="29" t="str">
        <f t="shared" si="562"/>
        <v>NA</v>
      </c>
      <c r="AG1660" s="29" t="str">
        <f t="shared" si="563"/>
        <v>NA</v>
      </c>
      <c r="AH1660" s="29" t="str">
        <f t="shared" si="564"/>
        <v>NA</v>
      </c>
    </row>
    <row r="1661" customHeight="1" spans="1:34">
      <c r="A1661" s="12" t="s">
        <v>1043</v>
      </c>
      <c r="F1661" s="24">
        <f t="shared" si="546"/>
        <v>0</v>
      </c>
      <c r="G1661" s="24" t="e">
        <f t="shared" si="545"/>
        <v>#DIV/0!</v>
      </c>
      <c r="Q1661" s="29" t="str">
        <f t="shared" si="547"/>
        <v>NA</v>
      </c>
      <c r="R1661" s="29" t="str">
        <f t="shared" si="548"/>
        <v>NA</v>
      </c>
      <c r="S1661" s="29" t="str">
        <f t="shared" si="549"/>
        <v>NA</v>
      </c>
      <c r="T1661" s="29" t="str">
        <f t="shared" si="550"/>
        <v>NA</v>
      </c>
      <c r="U1661" s="29" t="str">
        <f t="shared" si="551"/>
        <v>NA</v>
      </c>
      <c r="V1661" s="29" t="str">
        <f t="shared" si="552"/>
        <v>NA</v>
      </c>
      <c r="W1661" s="29" t="str">
        <f t="shared" si="553"/>
        <v>NA</v>
      </c>
      <c r="X1661" s="29" t="str">
        <f t="shared" si="554"/>
        <v>NA</v>
      </c>
      <c r="Y1661" s="29" t="str">
        <f t="shared" si="555"/>
        <v>NA</v>
      </c>
      <c r="Z1661" s="29" t="str">
        <f t="shared" si="556"/>
        <v>NA</v>
      </c>
      <c r="AA1661" s="29" t="str">
        <f t="shared" si="557"/>
        <v>NA</v>
      </c>
      <c r="AB1661" s="29" t="str">
        <f t="shared" si="558"/>
        <v>NA</v>
      </c>
      <c r="AC1661" s="29" t="str">
        <f t="shared" si="559"/>
        <v>NA</v>
      </c>
      <c r="AD1661" s="29" t="str">
        <f t="shared" si="560"/>
        <v>NA</v>
      </c>
      <c r="AE1661" s="29" t="str">
        <f t="shared" si="561"/>
        <v>NA</v>
      </c>
      <c r="AF1661" s="29" t="str">
        <f t="shared" si="562"/>
        <v>NA</v>
      </c>
      <c r="AG1661" s="29" t="str">
        <f t="shared" si="563"/>
        <v>NA</v>
      </c>
      <c r="AH1661" s="29" t="str">
        <f t="shared" si="564"/>
        <v>NA</v>
      </c>
    </row>
    <row r="1662" customHeight="1" spans="1:34">
      <c r="A1662" s="12" t="s">
        <v>1043</v>
      </c>
      <c r="F1662" s="24">
        <f t="shared" si="546"/>
        <v>0</v>
      </c>
      <c r="G1662" s="24" t="e">
        <f t="shared" si="545"/>
        <v>#DIV/0!</v>
      </c>
      <c r="Q1662" s="29" t="str">
        <f t="shared" si="547"/>
        <v>NA</v>
      </c>
      <c r="R1662" s="29" t="str">
        <f t="shared" si="548"/>
        <v>NA</v>
      </c>
      <c r="S1662" s="29" t="str">
        <f t="shared" si="549"/>
        <v>NA</v>
      </c>
      <c r="T1662" s="29" t="str">
        <f t="shared" si="550"/>
        <v>NA</v>
      </c>
      <c r="U1662" s="29" t="str">
        <f t="shared" si="551"/>
        <v>NA</v>
      </c>
      <c r="V1662" s="29" t="str">
        <f t="shared" si="552"/>
        <v>NA</v>
      </c>
      <c r="W1662" s="29" t="str">
        <f t="shared" si="553"/>
        <v>NA</v>
      </c>
      <c r="X1662" s="29" t="str">
        <f t="shared" si="554"/>
        <v>NA</v>
      </c>
      <c r="Y1662" s="29" t="str">
        <f t="shared" si="555"/>
        <v>NA</v>
      </c>
      <c r="Z1662" s="29" t="str">
        <f t="shared" si="556"/>
        <v>NA</v>
      </c>
      <c r="AA1662" s="29" t="str">
        <f t="shared" si="557"/>
        <v>NA</v>
      </c>
      <c r="AB1662" s="29" t="str">
        <f t="shared" si="558"/>
        <v>NA</v>
      </c>
      <c r="AC1662" s="29" t="str">
        <f t="shared" si="559"/>
        <v>NA</v>
      </c>
      <c r="AD1662" s="29" t="str">
        <f t="shared" si="560"/>
        <v>NA</v>
      </c>
      <c r="AE1662" s="29" t="str">
        <f t="shared" si="561"/>
        <v>NA</v>
      </c>
      <c r="AF1662" s="29" t="str">
        <f t="shared" si="562"/>
        <v>NA</v>
      </c>
      <c r="AG1662" s="29" t="str">
        <f t="shared" si="563"/>
        <v>NA</v>
      </c>
      <c r="AH1662" s="29" t="str">
        <f t="shared" si="564"/>
        <v>NA</v>
      </c>
    </row>
    <row r="1663" customHeight="1" spans="1:34">
      <c r="A1663" s="12" t="s">
        <v>1043</v>
      </c>
      <c r="F1663" s="24">
        <f t="shared" si="546"/>
        <v>0</v>
      </c>
      <c r="G1663" s="24" t="e">
        <f t="shared" si="545"/>
        <v>#DIV/0!</v>
      </c>
      <c r="Q1663" s="29" t="str">
        <f t="shared" si="547"/>
        <v>NA</v>
      </c>
      <c r="R1663" s="29" t="str">
        <f t="shared" si="548"/>
        <v>NA</v>
      </c>
      <c r="S1663" s="29" t="str">
        <f t="shared" si="549"/>
        <v>NA</v>
      </c>
      <c r="T1663" s="29" t="str">
        <f t="shared" si="550"/>
        <v>NA</v>
      </c>
      <c r="U1663" s="29" t="str">
        <f t="shared" si="551"/>
        <v>NA</v>
      </c>
      <c r="V1663" s="29" t="str">
        <f t="shared" si="552"/>
        <v>NA</v>
      </c>
      <c r="W1663" s="29" t="str">
        <f t="shared" si="553"/>
        <v>NA</v>
      </c>
      <c r="X1663" s="29" t="str">
        <f t="shared" si="554"/>
        <v>NA</v>
      </c>
      <c r="Y1663" s="29" t="str">
        <f t="shared" si="555"/>
        <v>NA</v>
      </c>
      <c r="Z1663" s="29" t="str">
        <f t="shared" si="556"/>
        <v>NA</v>
      </c>
      <c r="AA1663" s="29" t="str">
        <f t="shared" si="557"/>
        <v>NA</v>
      </c>
      <c r="AB1663" s="29" t="str">
        <f t="shared" si="558"/>
        <v>NA</v>
      </c>
      <c r="AC1663" s="29" t="str">
        <f t="shared" si="559"/>
        <v>NA</v>
      </c>
      <c r="AD1663" s="29" t="str">
        <f t="shared" si="560"/>
        <v>NA</v>
      </c>
      <c r="AE1663" s="29" t="str">
        <f t="shared" si="561"/>
        <v>NA</v>
      </c>
      <c r="AF1663" s="29" t="str">
        <f t="shared" si="562"/>
        <v>NA</v>
      </c>
      <c r="AG1663" s="29" t="str">
        <f t="shared" si="563"/>
        <v>NA</v>
      </c>
      <c r="AH1663" s="29" t="str">
        <f t="shared" si="564"/>
        <v>NA</v>
      </c>
    </row>
    <row r="1664" customHeight="1" spans="1:34">
      <c r="A1664" s="12" t="s">
        <v>1043</v>
      </c>
      <c r="F1664" s="24">
        <f t="shared" si="546"/>
        <v>0</v>
      </c>
      <c r="G1664" s="24" t="e">
        <f t="shared" si="545"/>
        <v>#DIV/0!</v>
      </c>
      <c r="Q1664" s="29" t="str">
        <f t="shared" si="547"/>
        <v>NA</v>
      </c>
      <c r="R1664" s="29" t="str">
        <f t="shared" si="548"/>
        <v>NA</v>
      </c>
      <c r="S1664" s="29" t="str">
        <f t="shared" si="549"/>
        <v>NA</v>
      </c>
      <c r="T1664" s="29" t="str">
        <f t="shared" si="550"/>
        <v>NA</v>
      </c>
      <c r="U1664" s="29" t="str">
        <f t="shared" si="551"/>
        <v>NA</v>
      </c>
      <c r="V1664" s="29" t="str">
        <f t="shared" si="552"/>
        <v>NA</v>
      </c>
      <c r="W1664" s="29" t="str">
        <f t="shared" si="553"/>
        <v>NA</v>
      </c>
      <c r="X1664" s="29" t="str">
        <f t="shared" si="554"/>
        <v>NA</v>
      </c>
      <c r="Y1664" s="29" t="str">
        <f t="shared" si="555"/>
        <v>NA</v>
      </c>
      <c r="Z1664" s="29" t="str">
        <f t="shared" si="556"/>
        <v>NA</v>
      </c>
      <c r="AA1664" s="29" t="str">
        <f t="shared" si="557"/>
        <v>NA</v>
      </c>
      <c r="AB1664" s="29" t="str">
        <f t="shared" si="558"/>
        <v>NA</v>
      </c>
      <c r="AC1664" s="29" t="str">
        <f t="shared" si="559"/>
        <v>NA</v>
      </c>
      <c r="AD1664" s="29" t="str">
        <f t="shared" si="560"/>
        <v>NA</v>
      </c>
      <c r="AE1664" s="29" t="str">
        <f t="shared" si="561"/>
        <v>NA</v>
      </c>
      <c r="AF1664" s="29" t="str">
        <f t="shared" si="562"/>
        <v>NA</v>
      </c>
      <c r="AG1664" s="29" t="str">
        <f t="shared" si="563"/>
        <v>NA</v>
      </c>
      <c r="AH1664" s="29" t="str">
        <f t="shared" si="564"/>
        <v>NA</v>
      </c>
    </row>
    <row r="1665" customHeight="1" spans="1:34">
      <c r="A1665" s="12" t="s">
        <v>1043</v>
      </c>
      <c r="F1665" s="24">
        <f t="shared" si="546"/>
        <v>0</v>
      </c>
      <c r="G1665" s="24" t="e">
        <f t="shared" si="545"/>
        <v>#DIV/0!</v>
      </c>
      <c r="Q1665" s="29" t="str">
        <f t="shared" si="547"/>
        <v>NA</v>
      </c>
      <c r="R1665" s="29" t="str">
        <f t="shared" si="548"/>
        <v>NA</v>
      </c>
      <c r="S1665" s="29" t="str">
        <f t="shared" si="549"/>
        <v>NA</v>
      </c>
      <c r="T1665" s="29" t="str">
        <f t="shared" si="550"/>
        <v>NA</v>
      </c>
      <c r="U1665" s="29" t="str">
        <f t="shared" si="551"/>
        <v>NA</v>
      </c>
      <c r="V1665" s="29" t="str">
        <f t="shared" si="552"/>
        <v>NA</v>
      </c>
      <c r="W1665" s="29" t="str">
        <f t="shared" si="553"/>
        <v>NA</v>
      </c>
      <c r="X1665" s="29" t="str">
        <f t="shared" si="554"/>
        <v>NA</v>
      </c>
      <c r="Y1665" s="29" t="str">
        <f t="shared" si="555"/>
        <v>NA</v>
      </c>
      <c r="Z1665" s="29" t="str">
        <f t="shared" si="556"/>
        <v>NA</v>
      </c>
      <c r="AA1665" s="29" t="str">
        <f t="shared" si="557"/>
        <v>NA</v>
      </c>
      <c r="AB1665" s="29" t="str">
        <f t="shared" si="558"/>
        <v>NA</v>
      </c>
      <c r="AC1665" s="29" t="str">
        <f t="shared" si="559"/>
        <v>NA</v>
      </c>
      <c r="AD1665" s="29" t="str">
        <f t="shared" si="560"/>
        <v>NA</v>
      </c>
      <c r="AE1665" s="29" t="str">
        <f t="shared" si="561"/>
        <v>NA</v>
      </c>
      <c r="AF1665" s="29" t="str">
        <f t="shared" si="562"/>
        <v>NA</v>
      </c>
      <c r="AG1665" s="29" t="str">
        <f t="shared" si="563"/>
        <v>NA</v>
      </c>
      <c r="AH1665" s="29" t="str">
        <f t="shared" si="564"/>
        <v>NA</v>
      </c>
    </row>
    <row r="1666" customHeight="1" spans="1:34">
      <c r="A1666" s="12" t="s">
        <v>1043</v>
      </c>
      <c r="F1666" s="24">
        <f t="shared" si="546"/>
        <v>0</v>
      </c>
      <c r="G1666" s="24" t="e">
        <f t="shared" si="545"/>
        <v>#DIV/0!</v>
      </c>
      <c r="Q1666" s="29" t="str">
        <f t="shared" si="547"/>
        <v>NA</v>
      </c>
      <c r="R1666" s="29" t="str">
        <f t="shared" si="548"/>
        <v>NA</v>
      </c>
      <c r="S1666" s="29" t="str">
        <f t="shared" si="549"/>
        <v>NA</v>
      </c>
      <c r="T1666" s="29" t="str">
        <f t="shared" si="550"/>
        <v>NA</v>
      </c>
      <c r="U1666" s="29" t="str">
        <f t="shared" si="551"/>
        <v>NA</v>
      </c>
      <c r="V1666" s="29" t="str">
        <f t="shared" si="552"/>
        <v>NA</v>
      </c>
      <c r="W1666" s="29" t="str">
        <f t="shared" si="553"/>
        <v>NA</v>
      </c>
      <c r="X1666" s="29" t="str">
        <f t="shared" si="554"/>
        <v>NA</v>
      </c>
      <c r="Y1666" s="29" t="str">
        <f t="shared" si="555"/>
        <v>NA</v>
      </c>
      <c r="Z1666" s="29" t="str">
        <f t="shared" si="556"/>
        <v>NA</v>
      </c>
      <c r="AA1666" s="29" t="str">
        <f t="shared" si="557"/>
        <v>NA</v>
      </c>
      <c r="AB1666" s="29" t="str">
        <f t="shared" si="558"/>
        <v>NA</v>
      </c>
      <c r="AC1666" s="29" t="str">
        <f t="shared" si="559"/>
        <v>NA</v>
      </c>
      <c r="AD1666" s="29" t="str">
        <f t="shared" si="560"/>
        <v>NA</v>
      </c>
      <c r="AE1666" s="29" t="str">
        <f t="shared" si="561"/>
        <v>NA</v>
      </c>
      <c r="AF1666" s="29" t="str">
        <f t="shared" si="562"/>
        <v>NA</v>
      </c>
      <c r="AG1666" s="29" t="str">
        <f t="shared" si="563"/>
        <v>NA</v>
      </c>
      <c r="AH1666" s="29" t="str">
        <f t="shared" si="564"/>
        <v>NA</v>
      </c>
    </row>
    <row r="1667" customHeight="1" spans="1:34">
      <c r="A1667" s="12" t="s">
        <v>1043</v>
      </c>
      <c r="F1667" s="24">
        <f t="shared" si="546"/>
        <v>0</v>
      </c>
      <c r="G1667" s="24" t="e">
        <f t="shared" si="545"/>
        <v>#DIV/0!</v>
      </c>
      <c r="Q1667" s="29" t="str">
        <f t="shared" si="547"/>
        <v>NA</v>
      </c>
      <c r="R1667" s="29" t="str">
        <f t="shared" si="548"/>
        <v>NA</v>
      </c>
      <c r="S1667" s="29" t="str">
        <f t="shared" si="549"/>
        <v>NA</v>
      </c>
      <c r="T1667" s="29" t="str">
        <f t="shared" si="550"/>
        <v>NA</v>
      </c>
      <c r="U1667" s="29" t="str">
        <f t="shared" si="551"/>
        <v>NA</v>
      </c>
      <c r="V1667" s="29" t="str">
        <f t="shared" si="552"/>
        <v>NA</v>
      </c>
      <c r="W1667" s="29" t="str">
        <f t="shared" si="553"/>
        <v>NA</v>
      </c>
      <c r="X1667" s="29" t="str">
        <f t="shared" si="554"/>
        <v>NA</v>
      </c>
      <c r="Y1667" s="29" t="str">
        <f t="shared" si="555"/>
        <v>NA</v>
      </c>
      <c r="Z1667" s="29" t="str">
        <f t="shared" si="556"/>
        <v>NA</v>
      </c>
      <c r="AA1667" s="29" t="str">
        <f t="shared" si="557"/>
        <v>NA</v>
      </c>
      <c r="AB1667" s="29" t="str">
        <f t="shared" si="558"/>
        <v>NA</v>
      </c>
      <c r="AC1667" s="29" t="str">
        <f t="shared" si="559"/>
        <v>NA</v>
      </c>
      <c r="AD1667" s="29" t="str">
        <f t="shared" si="560"/>
        <v>NA</v>
      </c>
      <c r="AE1667" s="29" t="str">
        <f t="shared" si="561"/>
        <v>NA</v>
      </c>
      <c r="AF1667" s="29" t="str">
        <f t="shared" si="562"/>
        <v>NA</v>
      </c>
      <c r="AG1667" s="29" t="str">
        <f t="shared" si="563"/>
        <v>NA</v>
      </c>
      <c r="AH1667" s="29" t="str">
        <f t="shared" si="564"/>
        <v>NA</v>
      </c>
    </row>
    <row r="1668" customHeight="1" spans="1:34">
      <c r="A1668" s="12" t="s">
        <v>1043</v>
      </c>
      <c r="F1668" s="24">
        <f t="shared" si="546"/>
        <v>0</v>
      </c>
      <c r="G1668" s="24" t="e">
        <f t="shared" si="545"/>
        <v>#DIV/0!</v>
      </c>
      <c r="Q1668" s="29" t="str">
        <f t="shared" si="547"/>
        <v>NA</v>
      </c>
      <c r="R1668" s="29" t="str">
        <f t="shared" si="548"/>
        <v>NA</v>
      </c>
      <c r="S1668" s="29" t="str">
        <f t="shared" si="549"/>
        <v>NA</v>
      </c>
      <c r="T1668" s="29" t="str">
        <f t="shared" si="550"/>
        <v>NA</v>
      </c>
      <c r="U1668" s="29" t="str">
        <f t="shared" si="551"/>
        <v>NA</v>
      </c>
      <c r="V1668" s="29" t="str">
        <f t="shared" si="552"/>
        <v>NA</v>
      </c>
      <c r="W1668" s="29" t="str">
        <f t="shared" si="553"/>
        <v>NA</v>
      </c>
      <c r="X1668" s="29" t="str">
        <f t="shared" si="554"/>
        <v>NA</v>
      </c>
      <c r="Y1668" s="29" t="str">
        <f t="shared" si="555"/>
        <v>NA</v>
      </c>
      <c r="Z1668" s="29" t="str">
        <f t="shared" si="556"/>
        <v>NA</v>
      </c>
      <c r="AA1668" s="29" t="str">
        <f t="shared" si="557"/>
        <v>NA</v>
      </c>
      <c r="AB1668" s="29" t="str">
        <f t="shared" si="558"/>
        <v>NA</v>
      </c>
      <c r="AC1668" s="29" t="str">
        <f t="shared" si="559"/>
        <v>NA</v>
      </c>
      <c r="AD1668" s="29" t="str">
        <f t="shared" si="560"/>
        <v>NA</v>
      </c>
      <c r="AE1668" s="29" t="str">
        <f t="shared" si="561"/>
        <v>NA</v>
      </c>
      <c r="AF1668" s="29" t="str">
        <f t="shared" si="562"/>
        <v>NA</v>
      </c>
      <c r="AG1668" s="29" t="str">
        <f t="shared" si="563"/>
        <v>NA</v>
      </c>
      <c r="AH1668" s="29" t="str">
        <f t="shared" si="564"/>
        <v>NA</v>
      </c>
    </row>
    <row r="1669" customHeight="1" spans="1:34">
      <c r="A1669" s="12" t="s">
        <v>1043</v>
      </c>
      <c r="F1669" s="24">
        <f t="shared" si="546"/>
        <v>0</v>
      </c>
      <c r="G1669" s="24" t="e">
        <f t="shared" ref="G1669:G1732" si="565">B1669*D1669/C1669</f>
        <v>#DIV/0!</v>
      </c>
      <c r="Q1669" s="29" t="str">
        <f t="shared" si="547"/>
        <v>NA</v>
      </c>
      <c r="R1669" s="29" t="str">
        <f t="shared" si="548"/>
        <v>NA</v>
      </c>
      <c r="S1669" s="29" t="str">
        <f t="shared" si="549"/>
        <v>NA</v>
      </c>
      <c r="T1669" s="29" t="str">
        <f t="shared" si="550"/>
        <v>NA</v>
      </c>
      <c r="U1669" s="29" t="str">
        <f t="shared" si="551"/>
        <v>NA</v>
      </c>
      <c r="V1669" s="29" t="str">
        <f t="shared" si="552"/>
        <v>NA</v>
      </c>
      <c r="W1669" s="29" t="str">
        <f t="shared" si="553"/>
        <v>NA</v>
      </c>
      <c r="X1669" s="29" t="str">
        <f t="shared" si="554"/>
        <v>NA</v>
      </c>
      <c r="Y1669" s="29" t="str">
        <f t="shared" si="555"/>
        <v>NA</v>
      </c>
      <c r="Z1669" s="29" t="str">
        <f t="shared" si="556"/>
        <v>NA</v>
      </c>
      <c r="AA1669" s="29" t="str">
        <f t="shared" si="557"/>
        <v>NA</v>
      </c>
      <c r="AB1669" s="29" t="str">
        <f t="shared" si="558"/>
        <v>NA</v>
      </c>
      <c r="AC1669" s="29" t="str">
        <f t="shared" si="559"/>
        <v>NA</v>
      </c>
      <c r="AD1669" s="29" t="str">
        <f t="shared" si="560"/>
        <v>NA</v>
      </c>
      <c r="AE1669" s="29" t="str">
        <f t="shared" si="561"/>
        <v>NA</v>
      </c>
      <c r="AF1669" s="29" t="str">
        <f t="shared" si="562"/>
        <v>NA</v>
      </c>
      <c r="AG1669" s="29" t="str">
        <f t="shared" si="563"/>
        <v>NA</v>
      </c>
      <c r="AH1669" s="29" t="str">
        <f t="shared" si="564"/>
        <v>NA</v>
      </c>
    </row>
    <row r="1670" customHeight="1" spans="1:34">
      <c r="A1670" s="12" t="s">
        <v>1043</v>
      </c>
      <c r="F1670" s="24">
        <f t="shared" ref="F1670:F1733" si="566">+D1670+E1670</f>
        <v>0</v>
      </c>
      <c r="G1670" s="24" t="e">
        <f t="shared" si="565"/>
        <v>#DIV/0!</v>
      </c>
      <c r="Q1670" s="29" t="str">
        <f t="shared" si="547"/>
        <v>NA</v>
      </c>
      <c r="R1670" s="29" t="str">
        <f t="shared" si="548"/>
        <v>NA</v>
      </c>
      <c r="S1670" s="29" t="str">
        <f t="shared" si="549"/>
        <v>NA</v>
      </c>
      <c r="T1670" s="29" t="str">
        <f t="shared" si="550"/>
        <v>NA</v>
      </c>
      <c r="U1670" s="29" t="str">
        <f t="shared" si="551"/>
        <v>NA</v>
      </c>
      <c r="V1670" s="29" t="str">
        <f t="shared" si="552"/>
        <v>NA</v>
      </c>
      <c r="W1670" s="29" t="str">
        <f t="shared" si="553"/>
        <v>NA</v>
      </c>
      <c r="X1670" s="29" t="str">
        <f t="shared" si="554"/>
        <v>NA</v>
      </c>
      <c r="Y1670" s="29" t="str">
        <f t="shared" si="555"/>
        <v>NA</v>
      </c>
      <c r="Z1670" s="29" t="str">
        <f t="shared" si="556"/>
        <v>NA</v>
      </c>
      <c r="AA1670" s="29" t="str">
        <f t="shared" si="557"/>
        <v>NA</v>
      </c>
      <c r="AB1670" s="29" t="str">
        <f t="shared" si="558"/>
        <v>NA</v>
      </c>
      <c r="AC1670" s="29" t="str">
        <f t="shared" si="559"/>
        <v>NA</v>
      </c>
      <c r="AD1670" s="29" t="str">
        <f t="shared" si="560"/>
        <v>NA</v>
      </c>
      <c r="AE1670" s="29" t="str">
        <f t="shared" si="561"/>
        <v>NA</v>
      </c>
      <c r="AF1670" s="29" t="str">
        <f t="shared" si="562"/>
        <v>NA</v>
      </c>
      <c r="AG1670" s="29" t="str">
        <f t="shared" si="563"/>
        <v>NA</v>
      </c>
      <c r="AH1670" s="29" t="str">
        <f t="shared" si="564"/>
        <v>NA</v>
      </c>
    </row>
    <row r="1671" customHeight="1" spans="1:34">
      <c r="A1671" s="12" t="s">
        <v>1043</v>
      </c>
      <c r="F1671" s="24">
        <f t="shared" si="566"/>
        <v>0</v>
      </c>
      <c r="G1671" s="24" t="e">
        <f t="shared" si="565"/>
        <v>#DIV/0!</v>
      </c>
      <c r="Q1671" s="29" t="str">
        <f t="shared" si="547"/>
        <v>NA</v>
      </c>
      <c r="R1671" s="29" t="str">
        <f t="shared" si="548"/>
        <v>NA</v>
      </c>
      <c r="S1671" s="29" t="str">
        <f t="shared" si="549"/>
        <v>NA</v>
      </c>
      <c r="T1671" s="29" t="str">
        <f t="shared" si="550"/>
        <v>NA</v>
      </c>
      <c r="U1671" s="29" t="str">
        <f t="shared" si="551"/>
        <v>NA</v>
      </c>
      <c r="V1671" s="29" t="str">
        <f t="shared" si="552"/>
        <v>NA</v>
      </c>
      <c r="W1671" s="29" t="str">
        <f t="shared" si="553"/>
        <v>NA</v>
      </c>
      <c r="X1671" s="29" t="str">
        <f t="shared" si="554"/>
        <v>NA</v>
      </c>
      <c r="Y1671" s="29" t="str">
        <f t="shared" si="555"/>
        <v>NA</v>
      </c>
      <c r="Z1671" s="29" t="str">
        <f t="shared" si="556"/>
        <v>NA</v>
      </c>
      <c r="AA1671" s="29" t="str">
        <f t="shared" si="557"/>
        <v>NA</v>
      </c>
      <c r="AB1671" s="29" t="str">
        <f t="shared" si="558"/>
        <v>NA</v>
      </c>
      <c r="AC1671" s="29" t="str">
        <f t="shared" si="559"/>
        <v>NA</v>
      </c>
      <c r="AD1671" s="29" t="str">
        <f t="shared" si="560"/>
        <v>NA</v>
      </c>
      <c r="AE1671" s="29" t="str">
        <f t="shared" si="561"/>
        <v>NA</v>
      </c>
      <c r="AF1671" s="29" t="str">
        <f t="shared" si="562"/>
        <v>NA</v>
      </c>
      <c r="AG1671" s="29" t="str">
        <f t="shared" si="563"/>
        <v>NA</v>
      </c>
      <c r="AH1671" s="29" t="str">
        <f t="shared" si="564"/>
        <v>NA</v>
      </c>
    </row>
    <row r="1672" customHeight="1" spans="1:34">
      <c r="A1672" s="12" t="s">
        <v>1043</v>
      </c>
      <c r="F1672" s="24">
        <f t="shared" si="566"/>
        <v>0</v>
      </c>
      <c r="G1672" s="24" t="e">
        <f t="shared" si="565"/>
        <v>#DIV/0!</v>
      </c>
      <c r="Q1672" s="29" t="str">
        <f t="shared" si="547"/>
        <v>NA</v>
      </c>
      <c r="R1672" s="29" t="str">
        <f t="shared" si="548"/>
        <v>NA</v>
      </c>
      <c r="S1672" s="29" t="str">
        <f t="shared" si="549"/>
        <v>NA</v>
      </c>
      <c r="T1672" s="29" t="str">
        <f t="shared" si="550"/>
        <v>NA</v>
      </c>
      <c r="U1672" s="29" t="str">
        <f t="shared" si="551"/>
        <v>NA</v>
      </c>
      <c r="V1672" s="29" t="str">
        <f t="shared" si="552"/>
        <v>NA</v>
      </c>
      <c r="W1672" s="29" t="str">
        <f t="shared" si="553"/>
        <v>NA</v>
      </c>
      <c r="X1672" s="29" t="str">
        <f t="shared" si="554"/>
        <v>NA</v>
      </c>
      <c r="Y1672" s="29" t="str">
        <f t="shared" si="555"/>
        <v>NA</v>
      </c>
      <c r="Z1672" s="29" t="str">
        <f t="shared" si="556"/>
        <v>NA</v>
      </c>
      <c r="AA1672" s="29" t="str">
        <f t="shared" si="557"/>
        <v>NA</v>
      </c>
      <c r="AB1672" s="29" t="str">
        <f t="shared" si="558"/>
        <v>NA</v>
      </c>
      <c r="AC1672" s="29" t="str">
        <f t="shared" si="559"/>
        <v>NA</v>
      </c>
      <c r="AD1672" s="29" t="str">
        <f t="shared" si="560"/>
        <v>NA</v>
      </c>
      <c r="AE1672" s="29" t="str">
        <f t="shared" si="561"/>
        <v>NA</v>
      </c>
      <c r="AF1672" s="29" t="str">
        <f t="shared" si="562"/>
        <v>NA</v>
      </c>
      <c r="AG1672" s="29" t="str">
        <f t="shared" si="563"/>
        <v>NA</v>
      </c>
      <c r="AH1672" s="29" t="str">
        <f t="shared" si="564"/>
        <v>NA</v>
      </c>
    </row>
    <row r="1673" customHeight="1" spans="1:34">
      <c r="A1673" s="12" t="s">
        <v>1043</v>
      </c>
      <c r="F1673" s="24">
        <f t="shared" si="566"/>
        <v>0</v>
      </c>
      <c r="G1673" s="24" t="e">
        <f t="shared" si="565"/>
        <v>#DIV/0!</v>
      </c>
      <c r="Q1673" s="29" t="str">
        <f t="shared" si="547"/>
        <v>NA</v>
      </c>
      <c r="R1673" s="29" t="str">
        <f t="shared" si="548"/>
        <v>NA</v>
      </c>
      <c r="S1673" s="29" t="str">
        <f t="shared" si="549"/>
        <v>NA</v>
      </c>
      <c r="T1673" s="29" t="str">
        <f t="shared" si="550"/>
        <v>NA</v>
      </c>
      <c r="U1673" s="29" t="str">
        <f t="shared" si="551"/>
        <v>NA</v>
      </c>
      <c r="V1673" s="29" t="str">
        <f t="shared" si="552"/>
        <v>NA</v>
      </c>
      <c r="W1673" s="29" t="str">
        <f t="shared" si="553"/>
        <v>NA</v>
      </c>
      <c r="X1673" s="29" t="str">
        <f t="shared" si="554"/>
        <v>NA</v>
      </c>
      <c r="Y1673" s="29" t="str">
        <f t="shared" si="555"/>
        <v>NA</v>
      </c>
      <c r="Z1673" s="29" t="str">
        <f t="shared" si="556"/>
        <v>NA</v>
      </c>
      <c r="AA1673" s="29" t="str">
        <f t="shared" si="557"/>
        <v>NA</v>
      </c>
      <c r="AB1673" s="29" t="str">
        <f t="shared" si="558"/>
        <v>NA</v>
      </c>
      <c r="AC1673" s="29" t="str">
        <f t="shared" si="559"/>
        <v>NA</v>
      </c>
      <c r="AD1673" s="29" t="str">
        <f t="shared" si="560"/>
        <v>NA</v>
      </c>
      <c r="AE1673" s="29" t="str">
        <f t="shared" si="561"/>
        <v>NA</v>
      </c>
      <c r="AF1673" s="29" t="str">
        <f t="shared" si="562"/>
        <v>NA</v>
      </c>
      <c r="AG1673" s="29" t="str">
        <f t="shared" si="563"/>
        <v>NA</v>
      </c>
      <c r="AH1673" s="29" t="str">
        <f t="shared" si="564"/>
        <v>NA</v>
      </c>
    </row>
    <row r="1674" customHeight="1" spans="1:34">
      <c r="A1674" s="12" t="s">
        <v>1043</v>
      </c>
      <c r="F1674" s="24">
        <f t="shared" si="566"/>
        <v>0</v>
      </c>
      <c r="G1674" s="24" t="e">
        <f t="shared" si="565"/>
        <v>#DIV/0!</v>
      </c>
      <c r="Q1674" s="29" t="str">
        <f t="shared" si="547"/>
        <v>NA</v>
      </c>
      <c r="R1674" s="29" t="str">
        <f t="shared" si="548"/>
        <v>NA</v>
      </c>
      <c r="S1674" s="29" t="str">
        <f t="shared" si="549"/>
        <v>NA</v>
      </c>
      <c r="T1674" s="29" t="str">
        <f t="shared" si="550"/>
        <v>NA</v>
      </c>
      <c r="U1674" s="29" t="str">
        <f t="shared" si="551"/>
        <v>NA</v>
      </c>
      <c r="V1674" s="29" t="str">
        <f t="shared" si="552"/>
        <v>NA</v>
      </c>
      <c r="W1674" s="29" t="str">
        <f t="shared" si="553"/>
        <v>NA</v>
      </c>
      <c r="X1674" s="29" t="str">
        <f t="shared" si="554"/>
        <v>NA</v>
      </c>
      <c r="Y1674" s="29" t="str">
        <f t="shared" si="555"/>
        <v>NA</v>
      </c>
      <c r="Z1674" s="29" t="str">
        <f t="shared" si="556"/>
        <v>NA</v>
      </c>
      <c r="AA1674" s="29" t="str">
        <f t="shared" si="557"/>
        <v>NA</v>
      </c>
      <c r="AB1674" s="29" t="str">
        <f t="shared" si="558"/>
        <v>NA</v>
      </c>
      <c r="AC1674" s="29" t="str">
        <f t="shared" si="559"/>
        <v>NA</v>
      </c>
      <c r="AD1674" s="29" t="str">
        <f t="shared" si="560"/>
        <v>NA</v>
      </c>
      <c r="AE1674" s="29" t="str">
        <f t="shared" si="561"/>
        <v>NA</v>
      </c>
      <c r="AF1674" s="29" t="str">
        <f t="shared" si="562"/>
        <v>NA</v>
      </c>
      <c r="AG1674" s="29" t="str">
        <f t="shared" si="563"/>
        <v>NA</v>
      </c>
      <c r="AH1674" s="29" t="str">
        <f t="shared" si="564"/>
        <v>NA</v>
      </c>
    </row>
    <row r="1675" customHeight="1" spans="1:34">
      <c r="A1675" s="12" t="s">
        <v>1043</v>
      </c>
      <c r="F1675" s="24">
        <f t="shared" si="566"/>
        <v>0</v>
      </c>
      <c r="G1675" s="24" t="e">
        <f t="shared" si="565"/>
        <v>#DIV/0!</v>
      </c>
      <c r="Q1675" s="29" t="str">
        <f t="shared" si="547"/>
        <v>NA</v>
      </c>
      <c r="R1675" s="29" t="str">
        <f t="shared" si="548"/>
        <v>NA</v>
      </c>
      <c r="S1675" s="29" t="str">
        <f t="shared" si="549"/>
        <v>NA</v>
      </c>
      <c r="T1675" s="29" t="str">
        <f t="shared" si="550"/>
        <v>NA</v>
      </c>
      <c r="U1675" s="29" t="str">
        <f t="shared" si="551"/>
        <v>NA</v>
      </c>
      <c r="V1675" s="29" t="str">
        <f t="shared" si="552"/>
        <v>NA</v>
      </c>
      <c r="W1675" s="29" t="str">
        <f t="shared" si="553"/>
        <v>NA</v>
      </c>
      <c r="X1675" s="29" t="str">
        <f t="shared" si="554"/>
        <v>NA</v>
      </c>
      <c r="Y1675" s="29" t="str">
        <f t="shared" si="555"/>
        <v>NA</v>
      </c>
      <c r="Z1675" s="29" t="str">
        <f t="shared" si="556"/>
        <v>NA</v>
      </c>
      <c r="AA1675" s="29" t="str">
        <f t="shared" si="557"/>
        <v>NA</v>
      </c>
      <c r="AB1675" s="29" t="str">
        <f t="shared" si="558"/>
        <v>NA</v>
      </c>
      <c r="AC1675" s="29" t="str">
        <f t="shared" si="559"/>
        <v>NA</v>
      </c>
      <c r="AD1675" s="29" t="str">
        <f t="shared" si="560"/>
        <v>NA</v>
      </c>
      <c r="AE1675" s="29" t="str">
        <f t="shared" si="561"/>
        <v>NA</v>
      </c>
      <c r="AF1675" s="29" t="str">
        <f t="shared" si="562"/>
        <v>NA</v>
      </c>
      <c r="AG1675" s="29" t="str">
        <f t="shared" si="563"/>
        <v>NA</v>
      </c>
      <c r="AH1675" s="29" t="str">
        <f t="shared" si="564"/>
        <v>NA</v>
      </c>
    </row>
    <row r="1676" customHeight="1" spans="1:34">
      <c r="A1676" s="12" t="s">
        <v>1043</v>
      </c>
      <c r="F1676" s="24">
        <f t="shared" si="566"/>
        <v>0</v>
      </c>
      <c r="G1676" s="24" t="e">
        <f t="shared" si="565"/>
        <v>#DIV/0!</v>
      </c>
      <c r="Q1676" s="29" t="str">
        <f t="shared" si="547"/>
        <v>NA</v>
      </c>
      <c r="R1676" s="29" t="str">
        <f t="shared" si="548"/>
        <v>NA</v>
      </c>
      <c r="S1676" s="29" t="str">
        <f t="shared" si="549"/>
        <v>NA</v>
      </c>
      <c r="T1676" s="29" t="str">
        <f t="shared" si="550"/>
        <v>NA</v>
      </c>
      <c r="U1676" s="29" t="str">
        <f t="shared" si="551"/>
        <v>NA</v>
      </c>
      <c r="V1676" s="29" t="str">
        <f t="shared" si="552"/>
        <v>NA</v>
      </c>
      <c r="W1676" s="29" t="str">
        <f t="shared" si="553"/>
        <v>NA</v>
      </c>
      <c r="X1676" s="29" t="str">
        <f t="shared" si="554"/>
        <v>NA</v>
      </c>
      <c r="Y1676" s="29" t="str">
        <f t="shared" si="555"/>
        <v>NA</v>
      </c>
      <c r="Z1676" s="29" t="str">
        <f t="shared" si="556"/>
        <v>NA</v>
      </c>
      <c r="AA1676" s="29" t="str">
        <f t="shared" si="557"/>
        <v>NA</v>
      </c>
      <c r="AB1676" s="29" t="str">
        <f t="shared" si="558"/>
        <v>NA</v>
      </c>
      <c r="AC1676" s="29" t="str">
        <f t="shared" si="559"/>
        <v>NA</v>
      </c>
      <c r="AD1676" s="29" t="str">
        <f t="shared" si="560"/>
        <v>NA</v>
      </c>
      <c r="AE1676" s="29" t="str">
        <f t="shared" si="561"/>
        <v>NA</v>
      </c>
      <c r="AF1676" s="29" t="str">
        <f t="shared" si="562"/>
        <v>NA</v>
      </c>
      <c r="AG1676" s="29" t="str">
        <f t="shared" si="563"/>
        <v>NA</v>
      </c>
      <c r="AH1676" s="29" t="str">
        <f t="shared" si="564"/>
        <v>NA</v>
      </c>
    </row>
    <row r="1677" customHeight="1" spans="1:34">
      <c r="A1677" s="12" t="s">
        <v>1043</v>
      </c>
      <c r="F1677" s="24">
        <f t="shared" si="566"/>
        <v>0</v>
      </c>
      <c r="G1677" s="24" t="e">
        <f t="shared" si="565"/>
        <v>#DIV/0!</v>
      </c>
      <c r="Q1677" s="29" t="str">
        <f t="shared" si="547"/>
        <v>NA</v>
      </c>
      <c r="R1677" s="29" t="str">
        <f t="shared" si="548"/>
        <v>NA</v>
      </c>
      <c r="S1677" s="29" t="str">
        <f t="shared" si="549"/>
        <v>NA</v>
      </c>
      <c r="T1677" s="29" t="str">
        <f t="shared" si="550"/>
        <v>NA</v>
      </c>
      <c r="U1677" s="29" t="str">
        <f t="shared" si="551"/>
        <v>NA</v>
      </c>
      <c r="V1677" s="29" t="str">
        <f t="shared" si="552"/>
        <v>NA</v>
      </c>
      <c r="W1677" s="29" t="str">
        <f t="shared" si="553"/>
        <v>NA</v>
      </c>
      <c r="X1677" s="29" t="str">
        <f t="shared" si="554"/>
        <v>NA</v>
      </c>
      <c r="Y1677" s="29" t="str">
        <f t="shared" si="555"/>
        <v>NA</v>
      </c>
      <c r="Z1677" s="29" t="str">
        <f t="shared" si="556"/>
        <v>NA</v>
      </c>
      <c r="AA1677" s="29" t="str">
        <f t="shared" si="557"/>
        <v>NA</v>
      </c>
      <c r="AB1677" s="29" t="str">
        <f t="shared" si="558"/>
        <v>NA</v>
      </c>
      <c r="AC1677" s="29" t="str">
        <f t="shared" si="559"/>
        <v>NA</v>
      </c>
      <c r="AD1677" s="29" t="str">
        <f t="shared" si="560"/>
        <v>NA</v>
      </c>
      <c r="AE1677" s="29" t="str">
        <f t="shared" si="561"/>
        <v>NA</v>
      </c>
      <c r="AF1677" s="29" t="str">
        <f t="shared" si="562"/>
        <v>NA</v>
      </c>
      <c r="AG1677" s="29" t="str">
        <f t="shared" si="563"/>
        <v>NA</v>
      </c>
      <c r="AH1677" s="29" t="str">
        <f t="shared" si="564"/>
        <v>NA</v>
      </c>
    </row>
    <row r="1678" customHeight="1" spans="1:34">
      <c r="A1678" s="12" t="s">
        <v>1043</v>
      </c>
      <c r="F1678" s="24">
        <f t="shared" si="566"/>
        <v>0</v>
      </c>
      <c r="G1678" s="24" t="e">
        <f t="shared" si="565"/>
        <v>#DIV/0!</v>
      </c>
      <c r="Q1678" s="29" t="str">
        <f t="shared" si="547"/>
        <v>NA</v>
      </c>
      <c r="R1678" s="29" t="str">
        <f t="shared" si="548"/>
        <v>NA</v>
      </c>
      <c r="S1678" s="29" t="str">
        <f t="shared" si="549"/>
        <v>NA</v>
      </c>
      <c r="T1678" s="29" t="str">
        <f t="shared" si="550"/>
        <v>NA</v>
      </c>
      <c r="U1678" s="29" t="str">
        <f t="shared" si="551"/>
        <v>NA</v>
      </c>
      <c r="V1678" s="29" t="str">
        <f t="shared" si="552"/>
        <v>NA</v>
      </c>
      <c r="W1678" s="29" t="str">
        <f t="shared" si="553"/>
        <v>NA</v>
      </c>
      <c r="X1678" s="29" t="str">
        <f t="shared" si="554"/>
        <v>NA</v>
      </c>
      <c r="Y1678" s="29" t="str">
        <f t="shared" si="555"/>
        <v>NA</v>
      </c>
      <c r="Z1678" s="29" t="str">
        <f t="shared" si="556"/>
        <v>NA</v>
      </c>
      <c r="AA1678" s="29" t="str">
        <f t="shared" si="557"/>
        <v>NA</v>
      </c>
      <c r="AB1678" s="29" t="str">
        <f t="shared" si="558"/>
        <v>NA</v>
      </c>
      <c r="AC1678" s="29" t="str">
        <f t="shared" si="559"/>
        <v>NA</v>
      </c>
      <c r="AD1678" s="29" t="str">
        <f t="shared" si="560"/>
        <v>NA</v>
      </c>
      <c r="AE1678" s="29" t="str">
        <f t="shared" si="561"/>
        <v>NA</v>
      </c>
      <c r="AF1678" s="29" t="str">
        <f t="shared" si="562"/>
        <v>NA</v>
      </c>
      <c r="AG1678" s="29" t="str">
        <f t="shared" si="563"/>
        <v>NA</v>
      </c>
      <c r="AH1678" s="29" t="str">
        <f t="shared" si="564"/>
        <v>NA</v>
      </c>
    </row>
    <row r="1679" customHeight="1" spans="1:34">
      <c r="A1679" s="12" t="s">
        <v>1043</v>
      </c>
      <c r="F1679" s="24">
        <f t="shared" si="566"/>
        <v>0</v>
      </c>
      <c r="G1679" s="24" t="e">
        <f t="shared" si="565"/>
        <v>#DIV/0!</v>
      </c>
      <c r="Q1679" s="29" t="str">
        <f t="shared" si="547"/>
        <v>NA</v>
      </c>
      <c r="R1679" s="29" t="str">
        <f t="shared" si="548"/>
        <v>NA</v>
      </c>
      <c r="S1679" s="29" t="str">
        <f t="shared" si="549"/>
        <v>NA</v>
      </c>
      <c r="T1679" s="29" t="str">
        <f t="shared" si="550"/>
        <v>NA</v>
      </c>
      <c r="U1679" s="29" t="str">
        <f t="shared" si="551"/>
        <v>NA</v>
      </c>
      <c r="V1679" s="29" t="str">
        <f t="shared" si="552"/>
        <v>NA</v>
      </c>
      <c r="W1679" s="29" t="str">
        <f t="shared" si="553"/>
        <v>NA</v>
      </c>
      <c r="X1679" s="29" t="str">
        <f t="shared" si="554"/>
        <v>NA</v>
      </c>
      <c r="Y1679" s="29" t="str">
        <f t="shared" si="555"/>
        <v>NA</v>
      </c>
      <c r="Z1679" s="29" t="str">
        <f t="shared" si="556"/>
        <v>NA</v>
      </c>
      <c r="AA1679" s="29" t="str">
        <f t="shared" si="557"/>
        <v>NA</v>
      </c>
      <c r="AB1679" s="29" t="str">
        <f t="shared" si="558"/>
        <v>NA</v>
      </c>
      <c r="AC1679" s="29" t="str">
        <f t="shared" si="559"/>
        <v>NA</v>
      </c>
      <c r="AD1679" s="29" t="str">
        <f t="shared" si="560"/>
        <v>NA</v>
      </c>
      <c r="AE1679" s="29" t="str">
        <f t="shared" si="561"/>
        <v>NA</v>
      </c>
      <c r="AF1679" s="29" t="str">
        <f t="shared" si="562"/>
        <v>NA</v>
      </c>
      <c r="AG1679" s="29" t="str">
        <f t="shared" si="563"/>
        <v>NA</v>
      </c>
      <c r="AH1679" s="29" t="str">
        <f t="shared" si="564"/>
        <v>NA</v>
      </c>
    </row>
    <row r="1680" customHeight="1" spans="1:34">
      <c r="A1680" s="12" t="s">
        <v>1043</v>
      </c>
      <c r="F1680" s="24">
        <f t="shared" si="566"/>
        <v>0</v>
      </c>
      <c r="G1680" s="24" t="e">
        <f t="shared" si="565"/>
        <v>#DIV/0!</v>
      </c>
      <c r="Q1680" s="29" t="str">
        <f t="shared" ref="Q1680:Q1743" si="567">IFERROR($B1680*$E1680/H1680,"NA")</f>
        <v>NA</v>
      </c>
      <c r="R1680" s="29" t="str">
        <f t="shared" ref="R1680:R1743" si="568">IFERROR($B1680*$E1680/I1680,"NA")</f>
        <v>NA</v>
      </c>
      <c r="S1680" s="29" t="str">
        <f t="shared" ref="S1680:S1743" si="569">IFERROR($B1680*$E1680/J1680,"NA")</f>
        <v>NA</v>
      </c>
      <c r="T1680" s="29" t="str">
        <f t="shared" ref="T1680:T1743" si="570">IFERROR($B1680*$E1680/K1680,"NA")</f>
        <v>NA</v>
      </c>
      <c r="U1680" s="29" t="str">
        <f t="shared" ref="U1680:U1743" si="571">IFERROR($B1680*$E1680/L1680,"NA")</f>
        <v>NA</v>
      </c>
      <c r="V1680" s="29" t="str">
        <f t="shared" ref="V1680:V1743" si="572">IFERROR($B1680*$E1680/M1680,"NA")</f>
        <v>NA</v>
      </c>
      <c r="W1680" s="29" t="str">
        <f t="shared" ref="W1680:W1743" si="573">IFERROR($B1680*$E1680/N1680,"NA")</f>
        <v>NA</v>
      </c>
      <c r="X1680" s="29" t="str">
        <f t="shared" ref="X1680:X1743" si="574">IFERROR($B1680*$E1680/O1680,"NA")</f>
        <v>NA</v>
      </c>
      <c r="Y1680" s="29" t="str">
        <f t="shared" ref="Y1680:Y1743" si="575">IFERROR($B1680*$E1680/P1680,"NA")</f>
        <v>NA</v>
      </c>
      <c r="Z1680" s="29" t="str">
        <f t="shared" ref="Z1680:Z1743" si="576">IFERROR((($G1680*Z$2/1000)+Q1680)/1,"NA")</f>
        <v>NA</v>
      </c>
      <c r="AA1680" s="29" t="str">
        <f t="shared" ref="AA1680:AA1743" si="577">IFERROR((($G1680*AA$2/1000)+R1680)/1,"NA")</f>
        <v>NA</v>
      </c>
      <c r="AB1680" s="29" t="str">
        <f t="shared" ref="AB1680:AB1743" si="578">IFERROR((($G1680*AB$2/1000)+S1680)/1,"NA")</f>
        <v>NA</v>
      </c>
      <c r="AC1680" s="29" t="str">
        <f t="shared" ref="AC1680:AC1743" si="579">IFERROR((($G1680*AC$2/1000)+T1680)/1,"NA")</f>
        <v>NA</v>
      </c>
      <c r="AD1680" s="29" t="str">
        <f t="shared" ref="AD1680:AD1743" si="580">IFERROR((($G1680*AD$2/1000)+U1680)/1,"NA")</f>
        <v>NA</v>
      </c>
      <c r="AE1680" s="29" t="str">
        <f t="shared" ref="AE1680:AE1743" si="581">IFERROR((($G1680*AE$2/1000)+V1680)/1,"NA")</f>
        <v>NA</v>
      </c>
      <c r="AF1680" s="29" t="str">
        <f t="shared" ref="AF1680:AF1743" si="582">IFERROR((($G1680*AF$2/1000)+W1680)/1,"NA")</f>
        <v>NA</v>
      </c>
      <c r="AG1680" s="29" t="str">
        <f t="shared" ref="AG1680:AG1743" si="583">IFERROR((($G1680*AG$2/1000)+X1680)/1,"NA")</f>
        <v>NA</v>
      </c>
      <c r="AH1680" s="29" t="str">
        <f t="shared" ref="AH1680:AH1743" si="584">IFERROR((($G1680*AH$2/1000)+Y1680)/1,"NA")</f>
        <v>NA</v>
      </c>
    </row>
    <row r="1681" customHeight="1" spans="1:34">
      <c r="A1681" s="12" t="s">
        <v>1043</v>
      </c>
      <c r="F1681" s="24">
        <f t="shared" si="566"/>
        <v>0</v>
      </c>
      <c r="G1681" s="24" t="e">
        <f t="shared" si="565"/>
        <v>#DIV/0!</v>
      </c>
      <c r="Q1681" s="29" t="str">
        <f t="shared" si="567"/>
        <v>NA</v>
      </c>
      <c r="R1681" s="29" t="str">
        <f t="shared" si="568"/>
        <v>NA</v>
      </c>
      <c r="S1681" s="29" t="str">
        <f t="shared" si="569"/>
        <v>NA</v>
      </c>
      <c r="T1681" s="29" t="str">
        <f t="shared" si="570"/>
        <v>NA</v>
      </c>
      <c r="U1681" s="29" t="str">
        <f t="shared" si="571"/>
        <v>NA</v>
      </c>
      <c r="V1681" s="29" t="str">
        <f t="shared" si="572"/>
        <v>NA</v>
      </c>
      <c r="W1681" s="29" t="str">
        <f t="shared" si="573"/>
        <v>NA</v>
      </c>
      <c r="X1681" s="29" t="str">
        <f t="shared" si="574"/>
        <v>NA</v>
      </c>
      <c r="Y1681" s="29" t="str">
        <f t="shared" si="575"/>
        <v>NA</v>
      </c>
      <c r="Z1681" s="29" t="str">
        <f t="shared" si="576"/>
        <v>NA</v>
      </c>
      <c r="AA1681" s="29" t="str">
        <f t="shared" si="577"/>
        <v>NA</v>
      </c>
      <c r="AB1681" s="29" t="str">
        <f t="shared" si="578"/>
        <v>NA</v>
      </c>
      <c r="AC1681" s="29" t="str">
        <f t="shared" si="579"/>
        <v>NA</v>
      </c>
      <c r="AD1681" s="29" t="str">
        <f t="shared" si="580"/>
        <v>NA</v>
      </c>
      <c r="AE1681" s="29" t="str">
        <f t="shared" si="581"/>
        <v>NA</v>
      </c>
      <c r="AF1681" s="29" t="str">
        <f t="shared" si="582"/>
        <v>NA</v>
      </c>
      <c r="AG1681" s="29" t="str">
        <f t="shared" si="583"/>
        <v>NA</v>
      </c>
      <c r="AH1681" s="29" t="str">
        <f t="shared" si="584"/>
        <v>NA</v>
      </c>
    </row>
    <row r="1682" customHeight="1" spans="1:34">
      <c r="A1682" s="12" t="s">
        <v>1043</v>
      </c>
      <c r="F1682" s="24">
        <f t="shared" si="566"/>
        <v>0</v>
      </c>
      <c r="G1682" s="24" t="e">
        <f t="shared" si="565"/>
        <v>#DIV/0!</v>
      </c>
      <c r="Q1682" s="29" t="str">
        <f t="shared" si="567"/>
        <v>NA</v>
      </c>
      <c r="R1682" s="29" t="str">
        <f t="shared" si="568"/>
        <v>NA</v>
      </c>
      <c r="S1682" s="29" t="str">
        <f t="shared" si="569"/>
        <v>NA</v>
      </c>
      <c r="T1682" s="29" t="str">
        <f t="shared" si="570"/>
        <v>NA</v>
      </c>
      <c r="U1682" s="29" t="str">
        <f t="shared" si="571"/>
        <v>NA</v>
      </c>
      <c r="V1682" s="29" t="str">
        <f t="shared" si="572"/>
        <v>NA</v>
      </c>
      <c r="W1682" s="29" t="str">
        <f t="shared" si="573"/>
        <v>NA</v>
      </c>
      <c r="X1682" s="29" t="str">
        <f t="shared" si="574"/>
        <v>NA</v>
      </c>
      <c r="Y1682" s="29" t="str">
        <f t="shared" si="575"/>
        <v>NA</v>
      </c>
      <c r="Z1682" s="29" t="str">
        <f t="shared" si="576"/>
        <v>NA</v>
      </c>
      <c r="AA1682" s="29" t="str">
        <f t="shared" si="577"/>
        <v>NA</v>
      </c>
      <c r="AB1682" s="29" t="str">
        <f t="shared" si="578"/>
        <v>NA</v>
      </c>
      <c r="AC1682" s="29" t="str">
        <f t="shared" si="579"/>
        <v>NA</v>
      </c>
      <c r="AD1682" s="29" t="str">
        <f t="shared" si="580"/>
        <v>NA</v>
      </c>
      <c r="AE1682" s="29" t="str">
        <f t="shared" si="581"/>
        <v>NA</v>
      </c>
      <c r="AF1682" s="29" t="str">
        <f t="shared" si="582"/>
        <v>NA</v>
      </c>
      <c r="AG1682" s="29" t="str">
        <f t="shared" si="583"/>
        <v>NA</v>
      </c>
      <c r="AH1682" s="29" t="str">
        <f t="shared" si="584"/>
        <v>NA</v>
      </c>
    </row>
    <row r="1683" customHeight="1" spans="1:34">
      <c r="A1683" s="12" t="s">
        <v>1043</v>
      </c>
      <c r="F1683" s="24">
        <f t="shared" si="566"/>
        <v>0</v>
      </c>
      <c r="G1683" s="24" t="e">
        <f t="shared" si="565"/>
        <v>#DIV/0!</v>
      </c>
      <c r="Q1683" s="29" t="str">
        <f t="shared" si="567"/>
        <v>NA</v>
      </c>
      <c r="R1683" s="29" t="str">
        <f t="shared" si="568"/>
        <v>NA</v>
      </c>
      <c r="S1683" s="29" t="str">
        <f t="shared" si="569"/>
        <v>NA</v>
      </c>
      <c r="T1683" s="29" t="str">
        <f t="shared" si="570"/>
        <v>NA</v>
      </c>
      <c r="U1683" s="29" t="str">
        <f t="shared" si="571"/>
        <v>NA</v>
      </c>
      <c r="V1683" s="29" t="str">
        <f t="shared" si="572"/>
        <v>NA</v>
      </c>
      <c r="W1683" s="29" t="str">
        <f t="shared" si="573"/>
        <v>NA</v>
      </c>
      <c r="X1683" s="29" t="str">
        <f t="shared" si="574"/>
        <v>NA</v>
      </c>
      <c r="Y1683" s="29" t="str">
        <f t="shared" si="575"/>
        <v>NA</v>
      </c>
      <c r="Z1683" s="29" t="str">
        <f t="shared" si="576"/>
        <v>NA</v>
      </c>
      <c r="AA1683" s="29" t="str">
        <f t="shared" si="577"/>
        <v>NA</v>
      </c>
      <c r="AB1683" s="29" t="str">
        <f t="shared" si="578"/>
        <v>NA</v>
      </c>
      <c r="AC1683" s="29" t="str">
        <f t="shared" si="579"/>
        <v>NA</v>
      </c>
      <c r="AD1683" s="29" t="str">
        <f t="shared" si="580"/>
        <v>NA</v>
      </c>
      <c r="AE1683" s="29" t="str">
        <f t="shared" si="581"/>
        <v>NA</v>
      </c>
      <c r="AF1683" s="29" t="str">
        <f t="shared" si="582"/>
        <v>NA</v>
      </c>
      <c r="AG1683" s="29" t="str">
        <f t="shared" si="583"/>
        <v>NA</v>
      </c>
      <c r="AH1683" s="29" t="str">
        <f t="shared" si="584"/>
        <v>NA</v>
      </c>
    </row>
    <row r="1684" customHeight="1" spans="1:34">
      <c r="A1684" s="12" t="s">
        <v>1043</v>
      </c>
      <c r="F1684" s="24">
        <f t="shared" si="566"/>
        <v>0</v>
      </c>
      <c r="G1684" s="24" t="e">
        <f t="shared" si="565"/>
        <v>#DIV/0!</v>
      </c>
      <c r="Q1684" s="29" t="str">
        <f t="shared" si="567"/>
        <v>NA</v>
      </c>
      <c r="R1684" s="29" t="str">
        <f t="shared" si="568"/>
        <v>NA</v>
      </c>
      <c r="S1684" s="29" t="str">
        <f t="shared" si="569"/>
        <v>NA</v>
      </c>
      <c r="T1684" s="29" t="str">
        <f t="shared" si="570"/>
        <v>NA</v>
      </c>
      <c r="U1684" s="29" t="str">
        <f t="shared" si="571"/>
        <v>NA</v>
      </c>
      <c r="V1684" s="29" t="str">
        <f t="shared" si="572"/>
        <v>NA</v>
      </c>
      <c r="W1684" s="29" t="str">
        <f t="shared" si="573"/>
        <v>NA</v>
      </c>
      <c r="X1684" s="29" t="str">
        <f t="shared" si="574"/>
        <v>NA</v>
      </c>
      <c r="Y1684" s="29" t="str">
        <f t="shared" si="575"/>
        <v>NA</v>
      </c>
      <c r="Z1684" s="29" t="str">
        <f t="shared" si="576"/>
        <v>NA</v>
      </c>
      <c r="AA1684" s="29" t="str">
        <f t="shared" si="577"/>
        <v>NA</v>
      </c>
      <c r="AB1684" s="29" t="str">
        <f t="shared" si="578"/>
        <v>NA</v>
      </c>
      <c r="AC1684" s="29" t="str">
        <f t="shared" si="579"/>
        <v>NA</v>
      </c>
      <c r="AD1684" s="29" t="str">
        <f t="shared" si="580"/>
        <v>NA</v>
      </c>
      <c r="AE1684" s="29" t="str">
        <f t="shared" si="581"/>
        <v>NA</v>
      </c>
      <c r="AF1684" s="29" t="str">
        <f t="shared" si="582"/>
        <v>NA</v>
      </c>
      <c r="AG1684" s="29" t="str">
        <f t="shared" si="583"/>
        <v>NA</v>
      </c>
      <c r="AH1684" s="29" t="str">
        <f t="shared" si="584"/>
        <v>NA</v>
      </c>
    </row>
    <row r="1685" customHeight="1" spans="1:34">
      <c r="A1685" s="12" t="s">
        <v>1043</v>
      </c>
      <c r="F1685" s="24">
        <f t="shared" si="566"/>
        <v>0</v>
      </c>
      <c r="G1685" s="24" t="e">
        <f t="shared" si="565"/>
        <v>#DIV/0!</v>
      </c>
      <c r="Q1685" s="29" t="str">
        <f t="shared" si="567"/>
        <v>NA</v>
      </c>
      <c r="R1685" s="29" t="str">
        <f t="shared" si="568"/>
        <v>NA</v>
      </c>
      <c r="S1685" s="29" t="str">
        <f t="shared" si="569"/>
        <v>NA</v>
      </c>
      <c r="T1685" s="29" t="str">
        <f t="shared" si="570"/>
        <v>NA</v>
      </c>
      <c r="U1685" s="29" t="str">
        <f t="shared" si="571"/>
        <v>NA</v>
      </c>
      <c r="V1685" s="29" t="str">
        <f t="shared" si="572"/>
        <v>NA</v>
      </c>
      <c r="W1685" s="29" t="str">
        <f t="shared" si="573"/>
        <v>NA</v>
      </c>
      <c r="X1685" s="29" t="str">
        <f t="shared" si="574"/>
        <v>NA</v>
      </c>
      <c r="Y1685" s="29" t="str">
        <f t="shared" si="575"/>
        <v>NA</v>
      </c>
      <c r="Z1685" s="29" t="str">
        <f t="shared" si="576"/>
        <v>NA</v>
      </c>
      <c r="AA1685" s="29" t="str">
        <f t="shared" si="577"/>
        <v>NA</v>
      </c>
      <c r="AB1685" s="29" t="str">
        <f t="shared" si="578"/>
        <v>NA</v>
      </c>
      <c r="AC1685" s="29" t="str">
        <f t="shared" si="579"/>
        <v>NA</v>
      </c>
      <c r="AD1685" s="29" t="str">
        <f t="shared" si="580"/>
        <v>NA</v>
      </c>
      <c r="AE1685" s="29" t="str">
        <f t="shared" si="581"/>
        <v>NA</v>
      </c>
      <c r="AF1685" s="29" t="str">
        <f t="shared" si="582"/>
        <v>NA</v>
      </c>
      <c r="AG1685" s="29" t="str">
        <f t="shared" si="583"/>
        <v>NA</v>
      </c>
      <c r="AH1685" s="29" t="str">
        <f t="shared" si="584"/>
        <v>NA</v>
      </c>
    </row>
    <row r="1686" customHeight="1" spans="1:34">
      <c r="A1686" s="12" t="s">
        <v>1043</v>
      </c>
      <c r="F1686" s="24">
        <f t="shared" si="566"/>
        <v>0</v>
      </c>
      <c r="G1686" s="24" t="e">
        <f t="shared" si="565"/>
        <v>#DIV/0!</v>
      </c>
      <c r="Q1686" s="29" t="str">
        <f t="shared" si="567"/>
        <v>NA</v>
      </c>
      <c r="R1686" s="29" t="str">
        <f t="shared" si="568"/>
        <v>NA</v>
      </c>
      <c r="S1686" s="29" t="str">
        <f t="shared" si="569"/>
        <v>NA</v>
      </c>
      <c r="T1686" s="29" t="str">
        <f t="shared" si="570"/>
        <v>NA</v>
      </c>
      <c r="U1686" s="29" t="str">
        <f t="shared" si="571"/>
        <v>NA</v>
      </c>
      <c r="V1686" s="29" t="str">
        <f t="shared" si="572"/>
        <v>NA</v>
      </c>
      <c r="W1686" s="29" t="str">
        <f t="shared" si="573"/>
        <v>NA</v>
      </c>
      <c r="X1686" s="29" t="str">
        <f t="shared" si="574"/>
        <v>NA</v>
      </c>
      <c r="Y1686" s="29" t="str">
        <f t="shared" si="575"/>
        <v>NA</v>
      </c>
      <c r="Z1686" s="29" t="str">
        <f t="shared" si="576"/>
        <v>NA</v>
      </c>
      <c r="AA1686" s="29" t="str">
        <f t="shared" si="577"/>
        <v>NA</v>
      </c>
      <c r="AB1686" s="29" t="str">
        <f t="shared" si="578"/>
        <v>NA</v>
      </c>
      <c r="AC1686" s="29" t="str">
        <f t="shared" si="579"/>
        <v>NA</v>
      </c>
      <c r="AD1686" s="29" t="str">
        <f t="shared" si="580"/>
        <v>NA</v>
      </c>
      <c r="AE1686" s="29" t="str">
        <f t="shared" si="581"/>
        <v>NA</v>
      </c>
      <c r="AF1686" s="29" t="str">
        <f t="shared" si="582"/>
        <v>NA</v>
      </c>
      <c r="AG1686" s="29" t="str">
        <f t="shared" si="583"/>
        <v>NA</v>
      </c>
      <c r="AH1686" s="29" t="str">
        <f t="shared" si="584"/>
        <v>NA</v>
      </c>
    </row>
    <row r="1687" customHeight="1" spans="1:34">
      <c r="A1687" s="12" t="s">
        <v>1043</v>
      </c>
      <c r="F1687" s="24">
        <f t="shared" si="566"/>
        <v>0</v>
      </c>
      <c r="G1687" s="24" t="e">
        <f t="shared" si="565"/>
        <v>#DIV/0!</v>
      </c>
      <c r="Q1687" s="29" t="str">
        <f t="shared" si="567"/>
        <v>NA</v>
      </c>
      <c r="R1687" s="29" t="str">
        <f t="shared" si="568"/>
        <v>NA</v>
      </c>
      <c r="S1687" s="29" t="str">
        <f t="shared" si="569"/>
        <v>NA</v>
      </c>
      <c r="T1687" s="29" t="str">
        <f t="shared" si="570"/>
        <v>NA</v>
      </c>
      <c r="U1687" s="29" t="str">
        <f t="shared" si="571"/>
        <v>NA</v>
      </c>
      <c r="V1687" s="29" t="str">
        <f t="shared" si="572"/>
        <v>NA</v>
      </c>
      <c r="W1687" s="29" t="str">
        <f t="shared" si="573"/>
        <v>NA</v>
      </c>
      <c r="X1687" s="29" t="str">
        <f t="shared" si="574"/>
        <v>NA</v>
      </c>
      <c r="Y1687" s="29" t="str">
        <f t="shared" si="575"/>
        <v>NA</v>
      </c>
      <c r="Z1687" s="29" t="str">
        <f t="shared" si="576"/>
        <v>NA</v>
      </c>
      <c r="AA1687" s="29" t="str">
        <f t="shared" si="577"/>
        <v>NA</v>
      </c>
      <c r="AB1687" s="29" t="str">
        <f t="shared" si="578"/>
        <v>NA</v>
      </c>
      <c r="AC1687" s="29" t="str">
        <f t="shared" si="579"/>
        <v>NA</v>
      </c>
      <c r="AD1687" s="29" t="str">
        <f t="shared" si="580"/>
        <v>NA</v>
      </c>
      <c r="AE1687" s="29" t="str">
        <f t="shared" si="581"/>
        <v>NA</v>
      </c>
      <c r="AF1687" s="29" t="str">
        <f t="shared" si="582"/>
        <v>NA</v>
      </c>
      <c r="AG1687" s="29" t="str">
        <f t="shared" si="583"/>
        <v>NA</v>
      </c>
      <c r="AH1687" s="29" t="str">
        <f t="shared" si="584"/>
        <v>NA</v>
      </c>
    </row>
    <row r="1688" customHeight="1" spans="1:34">
      <c r="A1688" s="12" t="s">
        <v>1043</v>
      </c>
      <c r="F1688" s="24">
        <f t="shared" si="566"/>
        <v>0</v>
      </c>
      <c r="G1688" s="24" t="e">
        <f t="shared" si="565"/>
        <v>#DIV/0!</v>
      </c>
      <c r="Q1688" s="29" t="str">
        <f t="shared" si="567"/>
        <v>NA</v>
      </c>
      <c r="R1688" s="29" t="str">
        <f t="shared" si="568"/>
        <v>NA</v>
      </c>
      <c r="S1688" s="29" t="str">
        <f t="shared" si="569"/>
        <v>NA</v>
      </c>
      <c r="T1688" s="29" t="str">
        <f t="shared" si="570"/>
        <v>NA</v>
      </c>
      <c r="U1688" s="29" t="str">
        <f t="shared" si="571"/>
        <v>NA</v>
      </c>
      <c r="V1688" s="29" t="str">
        <f t="shared" si="572"/>
        <v>NA</v>
      </c>
      <c r="W1688" s="29" t="str">
        <f t="shared" si="573"/>
        <v>NA</v>
      </c>
      <c r="X1688" s="29" t="str">
        <f t="shared" si="574"/>
        <v>NA</v>
      </c>
      <c r="Y1688" s="29" t="str">
        <f t="shared" si="575"/>
        <v>NA</v>
      </c>
      <c r="Z1688" s="29" t="str">
        <f t="shared" si="576"/>
        <v>NA</v>
      </c>
      <c r="AA1688" s="29" t="str">
        <f t="shared" si="577"/>
        <v>NA</v>
      </c>
      <c r="AB1688" s="29" t="str">
        <f t="shared" si="578"/>
        <v>NA</v>
      </c>
      <c r="AC1688" s="29" t="str">
        <f t="shared" si="579"/>
        <v>NA</v>
      </c>
      <c r="AD1688" s="29" t="str">
        <f t="shared" si="580"/>
        <v>NA</v>
      </c>
      <c r="AE1688" s="29" t="str">
        <f t="shared" si="581"/>
        <v>NA</v>
      </c>
      <c r="AF1688" s="29" t="str">
        <f t="shared" si="582"/>
        <v>NA</v>
      </c>
      <c r="AG1688" s="29" t="str">
        <f t="shared" si="583"/>
        <v>NA</v>
      </c>
      <c r="AH1688" s="29" t="str">
        <f t="shared" si="584"/>
        <v>NA</v>
      </c>
    </row>
    <row r="1689" customHeight="1" spans="1:34">
      <c r="A1689" s="12" t="s">
        <v>1043</v>
      </c>
      <c r="F1689" s="24">
        <f t="shared" si="566"/>
        <v>0</v>
      </c>
      <c r="G1689" s="24" t="e">
        <f t="shared" si="565"/>
        <v>#DIV/0!</v>
      </c>
      <c r="Q1689" s="29" t="str">
        <f t="shared" si="567"/>
        <v>NA</v>
      </c>
      <c r="R1689" s="29" t="str">
        <f t="shared" si="568"/>
        <v>NA</v>
      </c>
      <c r="S1689" s="29" t="str">
        <f t="shared" si="569"/>
        <v>NA</v>
      </c>
      <c r="T1689" s="29" t="str">
        <f t="shared" si="570"/>
        <v>NA</v>
      </c>
      <c r="U1689" s="29" t="str">
        <f t="shared" si="571"/>
        <v>NA</v>
      </c>
      <c r="V1689" s="29" t="str">
        <f t="shared" si="572"/>
        <v>NA</v>
      </c>
      <c r="W1689" s="29" t="str">
        <f t="shared" si="573"/>
        <v>NA</v>
      </c>
      <c r="X1689" s="29" t="str">
        <f t="shared" si="574"/>
        <v>NA</v>
      </c>
      <c r="Y1689" s="29" t="str">
        <f t="shared" si="575"/>
        <v>NA</v>
      </c>
      <c r="Z1689" s="29" t="str">
        <f t="shared" si="576"/>
        <v>NA</v>
      </c>
      <c r="AA1689" s="29" t="str">
        <f t="shared" si="577"/>
        <v>NA</v>
      </c>
      <c r="AB1689" s="29" t="str">
        <f t="shared" si="578"/>
        <v>NA</v>
      </c>
      <c r="AC1689" s="29" t="str">
        <f t="shared" si="579"/>
        <v>NA</v>
      </c>
      <c r="AD1689" s="29" t="str">
        <f t="shared" si="580"/>
        <v>NA</v>
      </c>
      <c r="AE1689" s="29" t="str">
        <f t="shared" si="581"/>
        <v>NA</v>
      </c>
      <c r="AF1689" s="29" t="str">
        <f t="shared" si="582"/>
        <v>NA</v>
      </c>
      <c r="AG1689" s="29" t="str">
        <f t="shared" si="583"/>
        <v>NA</v>
      </c>
      <c r="AH1689" s="29" t="str">
        <f t="shared" si="584"/>
        <v>NA</v>
      </c>
    </row>
    <row r="1690" customHeight="1" spans="1:34">
      <c r="A1690" s="12" t="s">
        <v>1043</v>
      </c>
      <c r="F1690" s="24">
        <f t="shared" si="566"/>
        <v>0</v>
      </c>
      <c r="G1690" s="24" t="e">
        <f t="shared" si="565"/>
        <v>#DIV/0!</v>
      </c>
      <c r="Q1690" s="29" t="str">
        <f t="shared" si="567"/>
        <v>NA</v>
      </c>
      <c r="R1690" s="29" t="str">
        <f t="shared" si="568"/>
        <v>NA</v>
      </c>
      <c r="S1690" s="29" t="str">
        <f t="shared" si="569"/>
        <v>NA</v>
      </c>
      <c r="T1690" s="29" t="str">
        <f t="shared" si="570"/>
        <v>NA</v>
      </c>
      <c r="U1690" s="29" t="str">
        <f t="shared" si="571"/>
        <v>NA</v>
      </c>
      <c r="V1690" s="29" t="str">
        <f t="shared" si="572"/>
        <v>NA</v>
      </c>
      <c r="W1690" s="29" t="str">
        <f t="shared" si="573"/>
        <v>NA</v>
      </c>
      <c r="X1690" s="29" t="str">
        <f t="shared" si="574"/>
        <v>NA</v>
      </c>
      <c r="Y1690" s="29" t="str">
        <f t="shared" si="575"/>
        <v>NA</v>
      </c>
      <c r="Z1690" s="29" t="str">
        <f t="shared" si="576"/>
        <v>NA</v>
      </c>
      <c r="AA1690" s="29" t="str">
        <f t="shared" si="577"/>
        <v>NA</v>
      </c>
      <c r="AB1690" s="29" t="str">
        <f t="shared" si="578"/>
        <v>NA</v>
      </c>
      <c r="AC1690" s="29" t="str">
        <f t="shared" si="579"/>
        <v>NA</v>
      </c>
      <c r="AD1690" s="29" t="str">
        <f t="shared" si="580"/>
        <v>NA</v>
      </c>
      <c r="AE1690" s="29" t="str">
        <f t="shared" si="581"/>
        <v>NA</v>
      </c>
      <c r="AF1690" s="29" t="str">
        <f t="shared" si="582"/>
        <v>NA</v>
      </c>
      <c r="AG1690" s="29" t="str">
        <f t="shared" si="583"/>
        <v>NA</v>
      </c>
      <c r="AH1690" s="29" t="str">
        <f t="shared" si="584"/>
        <v>NA</v>
      </c>
    </row>
    <row r="1691" customHeight="1" spans="1:34">
      <c r="A1691" s="12" t="s">
        <v>1043</v>
      </c>
      <c r="F1691" s="24">
        <f t="shared" si="566"/>
        <v>0</v>
      </c>
      <c r="G1691" s="24" t="e">
        <f t="shared" si="565"/>
        <v>#DIV/0!</v>
      </c>
      <c r="Q1691" s="29" t="str">
        <f t="shared" si="567"/>
        <v>NA</v>
      </c>
      <c r="R1691" s="29" t="str">
        <f t="shared" si="568"/>
        <v>NA</v>
      </c>
      <c r="S1691" s="29" t="str">
        <f t="shared" si="569"/>
        <v>NA</v>
      </c>
      <c r="T1691" s="29" t="str">
        <f t="shared" si="570"/>
        <v>NA</v>
      </c>
      <c r="U1691" s="29" t="str">
        <f t="shared" si="571"/>
        <v>NA</v>
      </c>
      <c r="V1691" s="29" t="str">
        <f t="shared" si="572"/>
        <v>NA</v>
      </c>
      <c r="W1691" s="29" t="str">
        <f t="shared" si="573"/>
        <v>NA</v>
      </c>
      <c r="X1691" s="29" t="str">
        <f t="shared" si="574"/>
        <v>NA</v>
      </c>
      <c r="Y1691" s="29" t="str">
        <f t="shared" si="575"/>
        <v>NA</v>
      </c>
      <c r="Z1691" s="29" t="str">
        <f t="shared" si="576"/>
        <v>NA</v>
      </c>
      <c r="AA1691" s="29" t="str">
        <f t="shared" si="577"/>
        <v>NA</v>
      </c>
      <c r="AB1691" s="29" t="str">
        <f t="shared" si="578"/>
        <v>NA</v>
      </c>
      <c r="AC1691" s="29" t="str">
        <f t="shared" si="579"/>
        <v>NA</v>
      </c>
      <c r="AD1691" s="29" t="str">
        <f t="shared" si="580"/>
        <v>NA</v>
      </c>
      <c r="AE1691" s="29" t="str">
        <f t="shared" si="581"/>
        <v>NA</v>
      </c>
      <c r="AF1691" s="29" t="str">
        <f t="shared" si="582"/>
        <v>NA</v>
      </c>
      <c r="AG1691" s="29" t="str">
        <f t="shared" si="583"/>
        <v>NA</v>
      </c>
      <c r="AH1691" s="29" t="str">
        <f t="shared" si="584"/>
        <v>NA</v>
      </c>
    </row>
    <row r="1692" customHeight="1" spans="1:34">
      <c r="A1692" s="12" t="s">
        <v>1043</v>
      </c>
      <c r="F1692" s="24">
        <f t="shared" si="566"/>
        <v>0</v>
      </c>
      <c r="G1692" s="24" t="e">
        <f t="shared" si="565"/>
        <v>#DIV/0!</v>
      </c>
      <c r="Q1692" s="29" t="str">
        <f t="shared" si="567"/>
        <v>NA</v>
      </c>
      <c r="R1692" s="29" t="str">
        <f t="shared" si="568"/>
        <v>NA</v>
      </c>
      <c r="S1692" s="29" t="str">
        <f t="shared" si="569"/>
        <v>NA</v>
      </c>
      <c r="T1692" s="29" t="str">
        <f t="shared" si="570"/>
        <v>NA</v>
      </c>
      <c r="U1692" s="29" t="str">
        <f t="shared" si="571"/>
        <v>NA</v>
      </c>
      <c r="V1692" s="29" t="str">
        <f t="shared" si="572"/>
        <v>NA</v>
      </c>
      <c r="W1692" s="29" t="str">
        <f t="shared" si="573"/>
        <v>NA</v>
      </c>
      <c r="X1692" s="29" t="str">
        <f t="shared" si="574"/>
        <v>NA</v>
      </c>
      <c r="Y1692" s="29" t="str">
        <f t="shared" si="575"/>
        <v>NA</v>
      </c>
      <c r="Z1692" s="29" t="str">
        <f t="shared" si="576"/>
        <v>NA</v>
      </c>
      <c r="AA1692" s="29" t="str">
        <f t="shared" si="577"/>
        <v>NA</v>
      </c>
      <c r="AB1692" s="29" t="str">
        <f t="shared" si="578"/>
        <v>NA</v>
      </c>
      <c r="AC1692" s="29" t="str">
        <f t="shared" si="579"/>
        <v>NA</v>
      </c>
      <c r="AD1692" s="29" t="str">
        <f t="shared" si="580"/>
        <v>NA</v>
      </c>
      <c r="AE1692" s="29" t="str">
        <f t="shared" si="581"/>
        <v>NA</v>
      </c>
      <c r="AF1692" s="29" t="str">
        <f t="shared" si="582"/>
        <v>NA</v>
      </c>
      <c r="AG1692" s="29" t="str">
        <f t="shared" si="583"/>
        <v>NA</v>
      </c>
      <c r="AH1692" s="29" t="str">
        <f t="shared" si="584"/>
        <v>NA</v>
      </c>
    </row>
    <row r="1693" customHeight="1" spans="1:34">
      <c r="A1693" s="12" t="s">
        <v>1043</v>
      </c>
      <c r="F1693" s="24">
        <f t="shared" si="566"/>
        <v>0</v>
      </c>
      <c r="G1693" s="24" t="e">
        <f t="shared" si="565"/>
        <v>#DIV/0!</v>
      </c>
      <c r="Q1693" s="29" t="str">
        <f t="shared" si="567"/>
        <v>NA</v>
      </c>
      <c r="R1693" s="29" t="str">
        <f t="shared" si="568"/>
        <v>NA</v>
      </c>
      <c r="S1693" s="29" t="str">
        <f t="shared" si="569"/>
        <v>NA</v>
      </c>
      <c r="T1693" s="29" t="str">
        <f t="shared" si="570"/>
        <v>NA</v>
      </c>
      <c r="U1693" s="29" t="str">
        <f t="shared" si="571"/>
        <v>NA</v>
      </c>
      <c r="V1693" s="29" t="str">
        <f t="shared" si="572"/>
        <v>NA</v>
      </c>
      <c r="W1693" s="29" t="str">
        <f t="shared" si="573"/>
        <v>NA</v>
      </c>
      <c r="X1693" s="29" t="str">
        <f t="shared" si="574"/>
        <v>NA</v>
      </c>
      <c r="Y1693" s="29" t="str">
        <f t="shared" si="575"/>
        <v>NA</v>
      </c>
      <c r="Z1693" s="29" t="str">
        <f t="shared" si="576"/>
        <v>NA</v>
      </c>
      <c r="AA1693" s="29" t="str">
        <f t="shared" si="577"/>
        <v>NA</v>
      </c>
      <c r="AB1693" s="29" t="str">
        <f t="shared" si="578"/>
        <v>NA</v>
      </c>
      <c r="AC1693" s="29" t="str">
        <f t="shared" si="579"/>
        <v>NA</v>
      </c>
      <c r="AD1693" s="29" t="str">
        <f t="shared" si="580"/>
        <v>NA</v>
      </c>
      <c r="AE1693" s="29" t="str">
        <f t="shared" si="581"/>
        <v>NA</v>
      </c>
      <c r="AF1693" s="29" t="str">
        <f t="shared" si="582"/>
        <v>NA</v>
      </c>
      <c r="AG1693" s="29" t="str">
        <f t="shared" si="583"/>
        <v>NA</v>
      </c>
      <c r="AH1693" s="29" t="str">
        <f t="shared" si="584"/>
        <v>NA</v>
      </c>
    </row>
    <row r="1694" customHeight="1" spans="1:34">
      <c r="A1694" s="12" t="s">
        <v>1043</v>
      </c>
      <c r="F1694" s="24">
        <f t="shared" si="566"/>
        <v>0</v>
      </c>
      <c r="G1694" s="24" t="e">
        <f t="shared" si="565"/>
        <v>#DIV/0!</v>
      </c>
      <c r="Q1694" s="29" t="str">
        <f t="shared" si="567"/>
        <v>NA</v>
      </c>
      <c r="R1694" s="29" t="str">
        <f t="shared" si="568"/>
        <v>NA</v>
      </c>
      <c r="S1694" s="29" t="str">
        <f t="shared" si="569"/>
        <v>NA</v>
      </c>
      <c r="T1694" s="29" t="str">
        <f t="shared" si="570"/>
        <v>NA</v>
      </c>
      <c r="U1694" s="29" t="str">
        <f t="shared" si="571"/>
        <v>NA</v>
      </c>
      <c r="V1694" s="29" t="str">
        <f t="shared" si="572"/>
        <v>NA</v>
      </c>
      <c r="W1694" s="29" t="str">
        <f t="shared" si="573"/>
        <v>NA</v>
      </c>
      <c r="X1694" s="29" t="str">
        <f t="shared" si="574"/>
        <v>NA</v>
      </c>
      <c r="Y1694" s="29" t="str">
        <f t="shared" si="575"/>
        <v>NA</v>
      </c>
      <c r="Z1694" s="29" t="str">
        <f t="shared" si="576"/>
        <v>NA</v>
      </c>
      <c r="AA1694" s="29" t="str">
        <f t="shared" si="577"/>
        <v>NA</v>
      </c>
      <c r="AB1694" s="29" t="str">
        <f t="shared" si="578"/>
        <v>NA</v>
      </c>
      <c r="AC1694" s="29" t="str">
        <f t="shared" si="579"/>
        <v>NA</v>
      </c>
      <c r="AD1694" s="29" t="str">
        <f t="shared" si="580"/>
        <v>NA</v>
      </c>
      <c r="AE1694" s="29" t="str">
        <f t="shared" si="581"/>
        <v>NA</v>
      </c>
      <c r="AF1694" s="29" t="str">
        <f t="shared" si="582"/>
        <v>NA</v>
      </c>
      <c r="AG1694" s="29" t="str">
        <f t="shared" si="583"/>
        <v>NA</v>
      </c>
      <c r="AH1694" s="29" t="str">
        <f t="shared" si="584"/>
        <v>NA</v>
      </c>
    </row>
    <row r="1695" customHeight="1" spans="1:34">
      <c r="A1695" s="12" t="s">
        <v>1043</v>
      </c>
      <c r="F1695" s="24">
        <f t="shared" si="566"/>
        <v>0</v>
      </c>
      <c r="G1695" s="24" t="e">
        <f t="shared" si="565"/>
        <v>#DIV/0!</v>
      </c>
      <c r="Q1695" s="29" t="str">
        <f t="shared" si="567"/>
        <v>NA</v>
      </c>
      <c r="R1695" s="29" t="str">
        <f t="shared" si="568"/>
        <v>NA</v>
      </c>
      <c r="S1695" s="29" t="str">
        <f t="shared" si="569"/>
        <v>NA</v>
      </c>
      <c r="T1695" s="29" t="str">
        <f t="shared" si="570"/>
        <v>NA</v>
      </c>
      <c r="U1695" s="29" t="str">
        <f t="shared" si="571"/>
        <v>NA</v>
      </c>
      <c r="V1695" s="29" t="str">
        <f t="shared" si="572"/>
        <v>NA</v>
      </c>
      <c r="W1695" s="29" t="str">
        <f t="shared" si="573"/>
        <v>NA</v>
      </c>
      <c r="X1695" s="29" t="str">
        <f t="shared" si="574"/>
        <v>NA</v>
      </c>
      <c r="Y1695" s="29" t="str">
        <f t="shared" si="575"/>
        <v>NA</v>
      </c>
      <c r="Z1695" s="29" t="str">
        <f t="shared" si="576"/>
        <v>NA</v>
      </c>
      <c r="AA1695" s="29" t="str">
        <f t="shared" si="577"/>
        <v>NA</v>
      </c>
      <c r="AB1695" s="29" t="str">
        <f t="shared" si="578"/>
        <v>NA</v>
      </c>
      <c r="AC1695" s="29" t="str">
        <f t="shared" si="579"/>
        <v>NA</v>
      </c>
      <c r="AD1695" s="29" t="str">
        <f t="shared" si="580"/>
        <v>NA</v>
      </c>
      <c r="AE1695" s="29" t="str">
        <f t="shared" si="581"/>
        <v>NA</v>
      </c>
      <c r="AF1695" s="29" t="str">
        <f t="shared" si="582"/>
        <v>NA</v>
      </c>
      <c r="AG1695" s="29" t="str">
        <f t="shared" si="583"/>
        <v>NA</v>
      </c>
      <c r="AH1695" s="29" t="str">
        <f t="shared" si="584"/>
        <v>NA</v>
      </c>
    </row>
    <row r="1696" customHeight="1" spans="1:34">
      <c r="A1696" s="12" t="s">
        <v>1043</v>
      </c>
      <c r="F1696" s="24">
        <f t="shared" si="566"/>
        <v>0</v>
      </c>
      <c r="G1696" s="24" t="e">
        <f t="shared" si="565"/>
        <v>#DIV/0!</v>
      </c>
      <c r="Q1696" s="29" t="str">
        <f t="shared" si="567"/>
        <v>NA</v>
      </c>
      <c r="R1696" s="29" t="str">
        <f t="shared" si="568"/>
        <v>NA</v>
      </c>
      <c r="S1696" s="29" t="str">
        <f t="shared" si="569"/>
        <v>NA</v>
      </c>
      <c r="T1696" s="29" t="str">
        <f t="shared" si="570"/>
        <v>NA</v>
      </c>
      <c r="U1696" s="29" t="str">
        <f t="shared" si="571"/>
        <v>NA</v>
      </c>
      <c r="V1696" s="29" t="str">
        <f t="shared" si="572"/>
        <v>NA</v>
      </c>
      <c r="W1696" s="29" t="str">
        <f t="shared" si="573"/>
        <v>NA</v>
      </c>
      <c r="X1696" s="29" t="str">
        <f t="shared" si="574"/>
        <v>NA</v>
      </c>
      <c r="Y1696" s="29" t="str">
        <f t="shared" si="575"/>
        <v>NA</v>
      </c>
      <c r="Z1696" s="29" t="str">
        <f t="shared" si="576"/>
        <v>NA</v>
      </c>
      <c r="AA1696" s="29" t="str">
        <f t="shared" si="577"/>
        <v>NA</v>
      </c>
      <c r="AB1696" s="29" t="str">
        <f t="shared" si="578"/>
        <v>NA</v>
      </c>
      <c r="AC1696" s="29" t="str">
        <f t="shared" si="579"/>
        <v>NA</v>
      </c>
      <c r="AD1696" s="29" t="str">
        <f t="shared" si="580"/>
        <v>NA</v>
      </c>
      <c r="AE1696" s="29" t="str">
        <f t="shared" si="581"/>
        <v>NA</v>
      </c>
      <c r="AF1696" s="29" t="str">
        <f t="shared" si="582"/>
        <v>NA</v>
      </c>
      <c r="AG1696" s="29" t="str">
        <f t="shared" si="583"/>
        <v>NA</v>
      </c>
      <c r="AH1696" s="29" t="str">
        <f t="shared" si="584"/>
        <v>NA</v>
      </c>
    </row>
    <row r="1697" customHeight="1" spans="1:34">
      <c r="A1697" s="12" t="s">
        <v>1043</v>
      </c>
      <c r="F1697" s="24">
        <f t="shared" si="566"/>
        <v>0</v>
      </c>
      <c r="G1697" s="24" t="e">
        <f t="shared" si="565"/>
        <v>#DIV/0!</v>
      </c>
      <c r="Q1697" s="29" t="str">
        <f t="shared" si="567"/>
        <v>NA</v>
      </c>
      <c r="R1697" s="29" t="str">
        <f t="shared" si="568"/>
        <v>NA</v>
      </c>
      <c r="S1697" s="29" t="str">
        <f t="shared" si="569"/>
        <v>NA</v>
      </c>
      <c r="T1697" s="29" t="str">
        <f t="shared" si="570"/>
        <v>NA</v>
      </c>
      <c r="U1697" s="29" t="str">
        <f t="shared" si="571"/>
        <v>NA</v>
      </c>
      <c r="V1697" s="29" t="str">
        <f t="shared" si="572"/>
        <v>NA</v>
      </c>
      <c r="W1697" s="29" t="str">
        <f t="shared" si="573"/>
        <v>NA</v>
      </c>
      <c r="X1697" s="29" t="str">
        <f t="shared" si="574"/>
        <v>NA</v>
      </c>
      <c r="Y1697" s="29" t="str">
        <f t="shared" si="575"/>
        <v>NA</v>
      </c>
      <c r="Z1697" s="29" t="str">
        <f t="shared" si="576"/>
        <v>NA</v>
      </c>
      <c r="AA1697" s="29" t="str">
        <f t="shared" si="577"/>
        <v>NA</v>
      </c>
      <c r="AB1697" s="29" t="str">
        <f t="shared" si="578"/>
        <v>NA</v>
      </c>
      <c r="AC1697" s="29" t="str">
        <f t="shared" si="579"/>
        <v>NA</v>
      </c>
      <c r="AD1697" s="29" t="str">
        <f t="shared" si="580"/>
        <v>NA</v>
      </c>
      <c r="AE1697" s="29" t="str">
        <f t="shared" si="581"/>
        <v>NA</v>
      </c>
      <c r="AF1697" s="29" t="str">
        <f t="shared" si="582"/>
        <v>NA</v>
      </c>
      <c r="AG1697" s="29" t="str">
        <f t="shared" si="583"/>
        <v>NA</v>
      </c>
      <c r="AH1697" s="29" t="str">
        <f t="shared" si="584"/>
        <v>NA</v>
      </c>
    </row>
    <row r="1698" customHeight="1" spans="1:34">
      <c r="A1698" s="12" t="s">
        <v>1043</v>
      </c>
      <c r="F1698" s="24">
        <f t="shared" si="566"/>
        <v>0</v>
      </c>
      <c r="G1698" s="24" t="e">
        <f t="shared" si="565"/>
        <v>#DIV/0!</v>
      </c>
      <c r="Q1698" s="29" t="str">
        <f t="shared" si="567"/>
        <v>NA</v>
      </c>
      <c r="R1698" s="29" t="str">
        <f t="shared" si="568"/>
        <v>NA</v>
      </c>
      <c r="S1698" s="29" t="str">
        <f t="shared" si="569"/>
        <v>NA</v>
      </c>
      <c r="T1698" s="29" t="str">
        <f t="shared" si="570"/>
        <v>NA</v>
      </c>
      <c r="U1698" s="29" t="str">
        <f t="shared" si="571"/>
        <v>NA</v>
      </c>
      <c r="V1698" s="29" t="str">
        <f t="shared" si="572"/>
        <v>NA</v>
      </c>
      <c r="W1698" s="29" t="str">
        <f t="shared" si="573"/>
        <v>NA</v>
      </c>
      <c r="X1698" s="29" t="str">
        <f t="shared" si="574"/>
        <v>NA</v>
      </c>
      <c r="Y1698" s="29" t="str">
        <f t="shared" si="575"/>
        <v>NA</v>
      </c>
      <c r="Z1698" s="29" t="str">
        <f t="shared" si="576"/>
        <v>NA</v>
      </c>
      <c r="AA1698" s="29" t="str">
        <f t="shared" si="577"/>
        <v>NA</v>
      </c>
      <c r="AB1698" s="29" t="str">
        <f t="shared" si="578"/>
        <v>NA</v>
      </c>
      <c r="AC1698" s="29" t="str">
        <f t="shared" si="579"/>
        <v>NA</v>
      </c>
      <c r="AD1698" s="29" t="str">
        <f t="shared" si="580"/>
        <v>NA</v>
      </c>
      <c r="AE1698" s="29" t="str">
        <f t="shared" si="581"/>
        <v>NA</v>
      </c>
      <c r="AF1698" s="29" t="str">
        <f t="shared" si="582"/>
        <v>NA</v>
      </c>
      <c r="AG1698" s="29" t="str">
        <f t="shared" si="583"/>
        <v>NA</v>
      </c>
      <c r="AH1698" s="29" t="str">
        <f t="shared" si="584"/>
        <v>NA</v>
      </c>
    </row>
    <row r="1699" customHeight="1" spans="1:34">
      <c r="A1699" s="12" t="s">
        <v>1043</v>
      </c>
      <c r="F1699" s="24">
        <f t="shared" si="566"/>
        <v>0</v>
      </c>
      <c r="G1699" s="24" t="e">
        <f t="shared" si="565"/>
        <v>#DIV/0!</v>
      </c>
      <c r="Q1699" s="29" t="str">
        <f t="shared" si="567"/>
        <v>NA</v>
      </c>
      <c r="R1699" s="29" t="str">
        <f t="shared" si="568"/>
        <v>NA</v>
      </c>
      <c r="S1699" s="29" t="str">
        <f t="shared" si="569"/>
        <v>NA</v>
      </c>
      <c r="T1699" s="29" t="str">
        <f t="shared" si="570"/>
        <v>NA</v>
      </c>
      <c r="U1699" s="29" t="str">
        <f t="shared" si="571"/>
        <v>NA</v>
      </c>
      <c r="V1699" s="29" t="str">
        <f t="shared" si="572"/>
        <v>NA</v>
      </c>
      <c r="W1699" s="29" t="str">
        <f t="shared" si="573"/>
        <v>NA</v>
      </c>
      <c r="X1699" s="29" t="str">
        <f t="shared" si="574"/>
        <v>NA</v>
      </c>
      <c r="Y1699" s="29" t="str">
        <f t="shared" si="575"/>
        <v>NA</v>
      </c>
      <c r="Z1699" s="29" t="str">
        <f t="shared" si="576"/>
        <v>NA</v>
      </c>
      <c r="AA1699" s="29" t="str">
        <f t="shared" si="577"/>
        <v>NA</v>
      </c>
      <c r="AB1699" s="29" t="str">
        <f t="shared" si="578"/>
        <v>NA</v>
      </c>
      <c r="AC1699" s="29" t="str">
        <f t="shared" si="579"/>
        <v>NA</v>
      </c>
      <c r="AD1699" s="29" t="str">
        <f t="shared" si="580"/>
        <v>NA</v>
      </c>
      <c r="AE1699" s="29" t="str">
        <f t="shared" si="581"/>
        <v>NA</v>
      </c>
      <c r="AF1699" s="29" t="str">
        <f t="shared" si="582"/>
        <v>NA</v>
      </c>
      <c r="AG1699" s="29" t="str">
        <f t="shared" si="583"/>
        <v>NA</v>
      </c>
      <c r="AH1699" s="29" t="str">
        <f t="shared" si="584"/>
        <v>NA</v>
      </c>
    </row>
    <row r="1700" customHeight="1" spans="1:34">
      <c r="A1700" s="12" t="s">
        <v>1043</v>
      </c>
      <c r="F1700" s="24">
        <f t="shared" si="566"/>
        <v>0</v>
      </c>
      <c r="G1700" s="24" t="e">
        <f t="shared" si="565"/>
        <v>#DIV/0!</v>
      </c>
      <c r="Q1700" s="29" t="str">
        <f t="shared" si="567"/>
        <v>NA</v>
      </c>
      <c r="R1700" s="29" t="str">
        <f t="shared" si="568"/>
        <v>NA</v>
      </c>
      <c r="S1700" s="29" t="str">
        <f t="shared" si="569"/>
        <v>NA</v>
      </c>
      <c r="T1700" s="29" t="str">
        <f t="shared" si="570"/>
        <v>NA</v>
      </c>
      <c r="U1700" s="29" t="str">
        <f t="shared" si="571"/>
        <v>NA</v>
      </c>
      <c r="V1700" s="29" t="str">
        <f t="shared" si="572"/>
        <v>NA</v>
      </c>
      <c r="W1700" s="29" t="str">
        <f t="shared" si="573"/>
        <v>NA</v>
      </c>
      <c r="X1700" s="29" t="str">
        <f t="shared" si="574"/>
        <v>NA</v>
      </c>
      <c r="Y1700" s="29" t="str">
        <f t="shared" si="575"/>
        <v>NA</v>
      </c>
      <c r="Z1700" s="29" t="str">
        <f t="shared" si="576"/>
        <v>NA</v>
      </c>
      <c r="AA1700" s="29" t="str">
        <f t="shared" si="577"/>
        <v>NA</v>
      </c>
      <c r="AB1700" s="29" t="str">
        <f t="shared" si="578"/>
        <v>NA</v>
      </c>
      <c r="AC1700" s="29" t="str">
        <f t="shared" si="579"/>
        <v>NA</v>
      </c>
      <c r="AD1700" s="29" t="str">
        <f t="shared" si="580"/>
        <v>NA</v>
      </c>
      <c r="AE1700" s="29" t="str">
        <f t="shared" si="581"/>
        <v>NA</v>
      </c>
      <c r="AF1700" s="29" t="str">
        <f t="shared" si="582"/>
        <v>NA</v>
      </c>
      <c r="AG1700" s="29" t="str">
        <f t="shared" si="583"/>
        <v>NA</v>
      </c>
      <c r="AH1700" s="29" t="str">
        <f t="shared" si="584"/>
        <v>NA</v>
      </c>
    </row>
    <row r="1701" customHeight="1" spans="1:34">
      <c r="A1701" s="12" t="s">
        <v>1043</v>
      </c>
      <c r="F1701" s="24">
        <f t="shared" si="566"/>
        <v>0</v>
      </c>
      <c r="G1701" s="24" t="e">
        <f t="shared" si="565"/>
        <v>#DIV/0!</v>
      </c>
      <c r="Q1701" s="29" t="str">
        <f t="shared" si="567"/>
        <v>NA</v>
      </c>
      <c r="R1701" s="29" t="str">
        <f t="shared" si="568"/>
        <v>NA</v>
      </c>
      <c r="S1701" s="29" t="str">
        <f t="shared" si="569"/>
        <v>NA</v>
      </c>
      <c r="T1701" s="29" t="str">
        <f t="shared" si="570"/>
        <v>NA</v>
      </c>
      <c r="U1701" s="29" t="str">
        <f t="shared" si="571"/>
        <v>NA</v>
      </c>
      <c r="V1701" s="29" t="str">
        <f t="shared" si="572"/>
        <v>NA</v>
      </c>
      <c r="W1701" s="29" t="str">
        <f t="shared" si="573"/>
        <v>NA</v>
      </c>
      <c r="X1701" s="29" t="str">
        <f t="shared" si="574"/>
        <v>NA</v>
      </c>
      <c r="Y1701" s="29" t="str">
        <f t="shared" si="575"/>
        <v>NA</v>
      </c>
      <c r="Z1701" s="29" t="str">
        <f t="shared" si="576"/>
        <v>NA</v>
      </c>
      <c r="AA1701" s="29" t="str">
        <f t="shared" si="577"/>
        <v>NA</v>
      </c>
      <c r="AB1701" s="29" t="str">
        <f t="shared" si="578"/>
        <v>NA</v>
      </c>
      <c r="AC1701" s="29" t="str">
        <f t="shared" si="579"/>
        <v>NA</v>
      </c>
      <c r="AD1701" s="29" t="str">
        <f t="shared" si="580"/>
        <v>NA</v>
      </c>
      <c r="AE1701" s="29" t="str">
        <f t="shared" si="581"/>
        <v>NA</v>
      </c>
      <c r="AF1701" s="29" t="str">
        <f t="shared" si="582"/>
        <v>NA</v>
      </c>
      <c r="AG1701" s="29" t="str">
        <f t="shared" si="583"/>
        <v>NA</v>
      </c>
      <c r="AH1701" s="29" t="str">
        <f t="shared" si="584"/>
        <v>NA</v>
      </c>
    </row>
    <row r="1702" customHeight="1" spans="1:34">
      <c r="A1702" s="12" t="s">
        <v>1043</v>
      </c>
      <c r="F1702" s="24">
        <f t="shared" si="566"/>
        <v>0</v>
      </c>
      <c r="G1702" s="24" t="e">
        <f t="shared" si="565"/>
        <v>#DIV/0!</v>
      </c>
      <c r="Q1702" s="29" t="str">
        <f t="shared" si="567"/>
        <v>NA</v>
      </c>
      <c r="R1702" s="29" t="str">
        <f t="shared" si="568"/>
        <v>NA</v>
      </c>
      <c r="S1702" s="29" t="str">
        <f t="shared" si="569"/>
        <v>NA</v>
      </c>
      <c r="T1702" s="29" t="str">
        <f t="shared" si="570"/>
        <v>NA</v>
      </c>
      <c r="U1702" s="29" t="str">
        <f t="shared" si="571"/>
        <v>NA</v>
      </c>
      <c r="V1702" s="29" t="str">
        <f t="shared" si="572"/>
        <v>NA</v>
      </c>
      <c r="W1702" s="29" t="str">
        <f t="shared" si="573"/>
        <v>NA</v>
      </c>
      <c r="X1702" s="29" t="str">
        <f t="shared" si="574"/>
        <v>NA</v>
      </c>
      <c r="Y1702" s="29" t="str">
        <f t="shared" si="575"/>
        <v>NA</v>
      </c>
      <c r="Z1702" s="29" t="str">
        <f t="shared" si="576"/>
        <v>NA</v>
      </c>
      <c r="AA1702" s="29" t="str">
        <f t="shared" si="577"/>
        <v>NA</v>
      </c>
      <c r="AB1702" s="29" t="str">
        <f t="shared" si="578"/>
        <v>NA</v>
      </c>
      <c r="AC1702" s="29" t="str">
        <f t="shared" si="579"/>
        <v>NA</v>
      </c>
      <c r="AD1702" s="29" t="str">
        <f t="shared" si="580"/>
        <v>NA</v>
      </c>
      <c r="AE1702" s="29" t="str">
        <f t="shared" si="581"/>
        <v>NA</v>
      </c>
      <c r="AF1702" s="29" t="str">
        <f t="shared" si="582"/>
        <v>NA</v>
      </c>
      <c r="AG1702" s="29" t="str">
        <f t="shared" si="583"/>
        <v>NA</v>
      </c>
      <c r="AH1702" s="29" t="str">
        <f t="shared" si="584"/>
        <v>NA</v>
      </c>
    </row>
    <row r="1703" customHeight="1" spans="1:34">
      <c r="A1703" s="12" t="s">
        <v>1043</v>
      </c>
      <c r="F1703" s="24">
        <f t="shared" si="566"/>
        <v>0</v>
      </c>
      <c r="G1703" s="24" t="e">
        <f t="shared" si="565"/>
        <v>#DIV/0!</v>
      </c>
      <c r="Q1703" s="29" t="str">
        <f t="shared" si="567"/>
        <v>NA</v>
      </c>
      <c r="R1703" s="29" t="str">
        <f t="shared" si="568"/>
        <v>NA</v>
      </c>
      <c r="S1703" s="29" t="str">
        <f t="shared" si="569"/>
        <v>NA</v>
      </c>
      <c r="T1703" s="29" t="str">
        <f t="shared" si="570"/>
        <v>NA</v>
      </c>
      <c r="U1703" s="29" t="str">
        <f t="shared" si="571"/>
        <v>NA</v>
      </c>
      <c r="V1703" s="29" t="str">
        <f t="shared" si="572"/>
        <v>NA</v>
      </c>
      <c r="W1703" s="29" t="str">
        <f t="shared" si="573"/>
        <v>NA</v>
      </c>
      <c r="X1703" s="29" t="str">
        <f t="shared" si="574"/>
        <v>NA</v>
      </c>
      <c r="Y1703" s="29" t="str">
        <f t="shared" si="575"/>
        <v>NA</v>
      </c>
      <c r="Z1703" s="29" t="str">
        <f t="shared" si="576"/>
        <v>NA</v>
      </c>
      <c r="AA1703" s="29" t="str">
        <f t="shared" si="577"/>
        <v>NA</v>
      </c>
      <c r="AB1703" s="29" t="str">
        <f t="shared" si="578"/>
        <v>NA</v>
      </c>
      <c r="AC1703" s="29" t="str">
        <f t="shared" si="579"/>
        <v>NA</v>
      </c>
      <c r="AD1703" s="29" t="str">
        <f t="shared" si="580"/>
        <v>NA</v>
      </c>
      <c r="AE1703" s="29" t="str">
        <f t="shared" si="581"/>
        <v>NA</v>
      </c>
      <c r="AF1703" s="29" t="str">
        <f t="shared" si="582"/>
        <v>NA</v>
      </c>
      <c r="AG1703" s="29" t="str">
        <f t="shared" si="583"/>
        <v>NA</v>
      </c>
      <c r="AH1703" s="29" t="str">
        <f t="shared" si="584"/>
        <v>NA</v>
      </c>
    </row>
    <row r="1704" customHeight="1" spans="1:34">
      <c r="A1704" s="12" t="s">
        <v>1043</v>
      </c>
      <c r="F1704" s="24">
        <f t="shared" si="566"/>
        <v>0</v>
      </c>
      <c r="G1704" s="24" t="e">
        <f t="shared" si="565"/>
        <v>#DIV/0!</v>
      </c>
      <c r="Q1704" s="29" t="str">
        <f t="shared" si="567"/>
        <v>NA</v>
      </c>
      <c r="R1704" s="29" t="str">
        <f t="shared" si="568"/>
        <v>NA</v>
      </c>
      <c r="S1704" s="29" t="str">
        <f t="shared" si="569"/>
        <v>NA</v>
      </c>
      <c r="T1704" s="29" t="str">
        <f t="shared" si="570"/>
        <v>NA</v>
      </c>
      <c r="U1704" s="29" t="str">
        <f t="shared" si="571"/>
        <v>NA</v>
      </c>
      <c r="V1704" s="29" t="str">
        <f t="shared" si="572"/>
        <v>NA</v>
      </c>
      <c r="W1704" s="29" t="str">
        <f t="shared" si="573"/>
        <v>NA</v>
      </c>
      <c r="X1704" s="29" t="str">
        <f t="shared" si="574"/>
        <v>NA</v>
      </c>
      <c r="Y1704" s="29" t="str">
        <f t="shared" si="575"/>
        <v>NA</v>
      </c>
      <c r="Z1704" s="29" t="str">
        <f t="shared" si="576"/>
        <v>NA</v>
      </c>
      <c r="AA1704" s="29" t="str">
        <f t="shared" si="577"/>
        <v>NA</v>
      </c>
      <c r="AB1704" s="29" t="str">
        <f t="shared" si="578"/>
        <v>NA</v>
      </c>
      <c r="AC1704" s="29" t="str">
        <f t="shared" si="579"/>
        <v>NA</v>
      </c>
      <c r="AD1704" s="29" t="str">
        <f t="shared" si="580"/>
        <v>NA</v>
      </c>
      <c r="AE1704" s="29" t="str">
        <f t="shared" si="581"/>
        <v>NA</v>
      </c>
      <c r="AF1704" s="29" t="str">
        <f t="shared" si="582"/>
        <v>NA</v>
      </c>
      <c r="AG1704" s="29" t="str">
        <f t="shared" si="583"/>
        <v>NA</v>
      </c>
      <c r="AH1704" s="29" t="str">
        <f t="shared" si="584"/>
        <v>NA</v>
      </c>
    </row>
    <row r="1705" customHeight="1" spans="1:34">
      <c r="A1705" s="12" t="s">
        <v>1043</v>
      </c>
      <c r="F1705" s="24">
        <f t="shared" si="566"/>
        <v>0</v>
      </c>
      <c r="G1705" s="24" t="e">
        <f t="shared" si="565"/>
        <v>#DIV/0!</v>
      </c>
      <c r="Q1705" s="29" t="str">
        <f t="shared" si="567"/>
        <v>NA</v>
      </c>
      <c r="R1705" s="29" t="str">
        <f t="shared" si="568"/>
        <v>NA</v>
      </c>
      <c r="S1705" s="29" t="str">
        <f t="shared" si="569"/>
        <v>NA</v>
      </c>
      <c r="T1705" s="29" t="str">
        <f t="shared" si="570"/>
        <v>NA</v>
      </c>
      <c r="U1705" s="29" t="str">
        <f t="shared" si="571"/>
        <v>NA</v>
      </c>
      <c r="V1705" s="29" t="str">
        <f t="shared" si="572"/>
        <v>NA</v>
      </c>
      <c r="W1705" s="29" t="str">
        <f t="shared" si="573"/>
        <v>NA</v>
      </c>
      <c r="X1705" s="29" t="str">
        <f t="shared" si="574"/>
        <v>NA</v>
      </c>
      <c r="Y1705" s="29" t="str">
        <f t="shared" si="575"/>
        <v>NA</v>
      </c>
      <c r="Z1705" s="29" t="str">
        <f t="shared" si="576"/>
        <v>NA</v>
      </c>
      <c r="AA1705" s="29" t="str">
        <f t="shared" si="577"/>
        <v>NA</v>
      </c>
      <c r="AB1705" s="29" t="str">
        <f t="shared" si="578"/>
        <v>NA</v>
      </c>
      <c r="AC1705" s="29" t="str">
        <f t="shared" si="579"/>
        <v>NA</v>
      </c>
      <c r="AD1705" s="29" t="str">
        <f t="shared" si="580"/>
        <v>NA</v>
      </c>
      <c r="AE1705" s="29" t="str">
        <f t="shared" si="581"/>
        <v>NA</v>
      </c>
      <c r="AF1705" s="29" t="str">
        <f t="shared" si="582"/>
        <v>NA</v>
      </c>
      <c r="AG1705" s="29" t="str">
        <f t="shared" si="583"/>
        <v>NA</v>
      </c>
      <c r="AH1705" s="29" t="str">
        <f t="shared" si="584"/>
        <v>NA</v>
      </c>
    </row>
    <row r="1706" customHeight="1" spans="1:34">
      <c r="A1706" s="12" t="s">
        <v>1043</v>
      </c>
      <c r="F1706" s="24">
        <f t="shared" si="566"/>
        <v>0</v>
      </c>
      <c r="G1706" s="24" t="e">
        <f t="shared" si="565"/>
        <v>#DIV/0!</v>
      </c>
      <c r="Q1706" s="29" t="str">
        <f t="shared" si="567"/>
        <v>NA</v>
      </c>
      <c r="R1706" s="29" t="str">
        <f t="shared" si="568"/>
        <v>NA</v>
      </c>
      <c r="S1706" s="29" t="str">
        <f t="shared" si="569"/>
        <v>NA</v>
      </c>
      <c r="T1706" s="29" t="str">
        <f t="shared" si="570"/>
        <v>NA</v>
      </c>
      <c r="U1706" s="29" t="str">
        <f t="shared" si="571"/>
        <v>NA</v>
      </c>
      <c r="V1706" s="29" t="str">
        <f t="shared" si="572"/>
        <v>NA</v>
      </c>
      <c r="W1706" s="29" t="str">
        <f t="shared" si="573"/>
        <v>NA</v>
      </c>
      <c r="X1706" s="29" t="str">
        <f t="shared" si="574"/>
        <v>NA</v>
      </c>
      <c r="Y1706" s="29" t="str">
        <f t="shared" si="575"/>
        <v>NA</v>
      </c>
      <c r="Z1706" s="29" t="str">
        <f t="shared" si="576"/>
        <v>NA</v>
      </c>
      <c r="AA1706" s="29" t="str">
        <f t="shared" si="577"/>
        <v>NA</v>
      </c>
      <c r="AB1706" s="29" t="str">
        <f t="shared" si="578"/>
        <v>NA</v>
      </c>
      <c r="AC1706" s="29" t="str">
        <f t="shared" si="579"/>
        <v>NA</v>
      </c>
      <c r="AD1706" s="29" t="str">
        <f t="shared" si="580"/>
        <v>NA</v>
      </c>
      <c r="AE1706" s="29" t="str">
        <f t="shared" si="581"/>
        <v>NA</v>
      </c>
      <c r="AF1706" s="29" t="str">
        <f t="shared" si="582"/>
        <v>NA</v>
      </c>
      <c r="AG1706" s="29" t="str">
        <f t="shared" si="583"/>
        <v>NA</v>
      </c>
      <c r="AH1706" s="29" t="str">
        <f t="shared" si="584"/>
        <v>NA</v>
      </c>
    </row>
    <row r="1707" customHeight="1" spans="1:34">
      <c r="A1707" s="12" t="s">
        <v>1043</v>
      </c>
      <c r="F1707" s="24">
        <f t="shared" si="566"/>
        <v>0</v>
      </c>
      <c r="G1707" s="24" t="e">
        <f t="shared" si="565"/>
        <v>#DIV/0!</v>
      </c>
      <c r="Q1707" s="29" t="str">
        <f t="shared" si="567"/>
        <v>NA</v>
      </c>
      <c r="R1707" s="29" t="str">
        <f t="shared" si="568"/>
        <v>NA</v>
      </c>
      <c r="S1707" s="29" t="str">
        <f t="shared" si="569"/>
        <v>NA</v>
      </c>
      <c r="T1707" s="29" t="str">
        <f t="shared" si="570"/>
        <v>NA</v>
      </c>
      <c r="U1707" s="29" t="str">
        <f t="shared" si="571"/>
        <v>NA</v>
      </c>
      <c r="V1707" s="29" t="str">
        <f t="shared" si="572"/>
        <v>NA</v>
      </c>
      <c r="W1707" s="29" t="str">
        <f t="shared" si="573"/>
        <v>NA</v>
      </c>
      <c r="X1707" s="29" t="str">
        <f t="shared" si="574"/>
        <v>NA</v>
      </c>
      <c r="Y1707" s="29" t="str">
        <f t="shared" si="575"/>
        <v>NA</v>
      </c>
      <c r="Z1707" s="29" t="str">
        <f t="shared" si="576"/>
        <v>NA</v>
      </c>
      <c r="AA1707" s="29" t="str">
        <f t="shared" si="577"/>
        <v>NA</v>
      </c>
      <c r="AB1707" s="29" t="str">
        <f t="shared" si="578"/>
        <v>NA</v>
      </c>
      <c r="AC1707" s="29" t="str">
        <f t="shared" si="579"/>
        <v>NA</v>
      </c>
      <c r="AD1707" s="29" t="str">
        <f t="shared" si="580"/>
        <v>NA</v>
      </c>
      <c r="AE1707" s="29" t="str">
        <f t="shared" si="581"/>
        <v>NA</v>
      </c>
      <c r="AF1707" s="29" t="str">
        <f t="shared" si="582"/>
        <v>NA</v>
      </c>
      <c r="AG1707" s="29" t="str">
        <f t="shared" si="583"/>
        <v>NA</v>
      </c>
      <c r="AH1707" s="29" t="str">
        <f t="shared" si="584"/>
        <v>NA</v>
      </c>
    </row>
    <row r="1708" customHeight="1" spans="1:34">
      <c r="A1708" s="12" t="s">
        <v>1043</v>
      </c>
      <c r="F1708" s="24">
        <f t="shared" si="566"/>
        <v>0</v>
      </c>
      <c r="G1708" s="24" t="e">
        <f t="shared" si="565"/>
        <v>#DIV/0!</v>
      </c>
      <c r="Q1708" s="29" t="str">
        <f t="shared" si="567"/>
        <v>NA</v>
      </c>
      <c r="R1708" s="29" t="str">
        <f t="shared" si="568"/>
        <v>NA</v>
      </c>
      <c r="S1708" s="29" t="str">
        <f t="shared" si="569"/>
        <v>NA</v>
      </c>
      <c r="T1708" s="29" t="str">
        <f t="shared" si="570"/>
        <v>NA</v>
      </c>
      <c r="U1708" s="29" t="str">
        <f t="shared" si="571"/>
        <v>NA</v>
      </c>
      <c r="V1708" s="29" t="str">
        <f t="shared" si="572"/>
        <v>NA</v>
      </c>
      <c r="W1708" s="29" t="str">
        <f t="shared" si="573"/>
        <v>NA</v>
      </c>
      <c r="X1708" s="29" t="str">
        <f t="shared" si="574"/>
        <v>NA</v>
      </c>
      <c r="Y1708" s="29" t="str">
        <f t="shared" si="575"/>
        <v>NA</v>
      </c>
      <c r="Z1708" s="29" t="str">
        <f t="shared" si="576"/>
        <v>NA</v>
      </c>
      <c r="AA1708" s="29" t="str">
        <f t="shared" si="577"/>
        <v>NA</v>
      </c>
      <c r="AB1708" s="29" t="str">
        <f t="shared" si="578"/>
        <v>NA</v>
      </c>
      <c r="AC1708" s="29" t="str">
        <f t="shared" si="579"/>
        <v>NA</v>
      </c>
      <c r="AD1708" s="29" t="str">
        <f t="shared" si="580"/>
        <v>NA</v>
      </c>
      <c r="AE1708" s="29" t="str">
        <f t="shared" si="581"/>
        <v>NA</v>
      </c>
      <c r="AF1708" s="29" t="str">
        <f t="shared" si="582"/>
        <v>NA</v>
      </c>
      <c r="AG1708" s="29" t="str">
        <f t="shared" si="583"/>
        <v>NA</v>
      </c>
      <c r="AH1708" s="29" t="str">
        <f t="shared" si="584"/>
        <v>NA</v>
      </c>
    </row>
    <row r="1709" customHeight="1" spans="1:34">
      <c r="A1709" s="12" t="s">
        <v>1043</v>
      </c>
      <c r="F1709" s="24">
        <f t="shared" si="566"/>
        <v>0</v>
      </c>
      <c r="G1709" s="24" t="e">
        <f t="shared" si="565"/>
        <v>#DIV/0!</v>
      </c>
      <c r="Q1709" s="29" t="str">
        <f t="shared" si="567"/>
        <v>NA</v>
      </c>
      <c r="R1709" s="29" t="str">
        <f t="shared" si="568"/>
        <v>NA</v>
      </c>
      <c r="S1709" s="29" t="str">
        <f t="shared" si="569"/>
        <v>NA</v>
      </c>
      <c r="T1709" s="29" t="str">
        <f t="shared" si="570"/>
        <v>NA</v>
      </c>
      <c r="U1709" s="29" t="str">
        <f t="shared" si="571"/>
        <v>NA</v>
      </c>
      <c r="V1709" s="29" t="str">
        <f t="shared" si="572"/>
        <v>NA</v>
      </c>
      <c r="W1709" s="29" t="str">
        <f t="shared" si="573"/>
        <v>NA</v>
      </c>
      <c r="X1709" s="29" t="str">
        <f t="shared" si="574"/>
        <v>NA</v>
      </c>
      <c r="Y1709" s="29" t="str">
        <f t="shared" si="575"/>
        <v>NA</v>
      </c>
      <c r="Z1709" s="29" t="str">
        <f t="shared" si="576"/>
        <v>NA</v>
      </c>
      <c r="AA1709" s="29" t="str">
        <f t="shared" si="577"/>
        <v>NA</v>
      </c>
      <c r="AB1709" s="29" t="str">
        <f t="shared" si="578"/>
        <v>NA</v>
      </c>
      <c r="AC1709" s="29" t="str">
        <f t="shared" si="579"/>
        <v>NA</v>
      </c>
      <c r="AD1709" s="29" t="str">
        <f t="shared" si="580"/>
        <v>NA</v>
      </c>
      <c r="AE1709" s="29" t="str">
        <f t="shared" si="581"/>
        <v>NA</v>
      </c>
      <c r="AF1709" s="29" t="str">
        <f t="shared" si="582"/>
        <v>NA</v>
      </c>
      <c r="AG1709" s="29" t="str">
        <f t="shared" si="583"/>
        <v>NA</v>
      </c>
      <c r="AH1709" s="29" t="str">
        <f t="shared" si="584"/>
        <v>NA</v>
      </c>
    </row>
    <row r="1710" customHeight="1" spans="1:34">
      <c r="A1710" s="12" t="s">
        <v>1043</v>
      </c>
      <c r="F1710" s="24">
        <f t="shared" si="566"/>
        <v>0</v>
      </c>
      <c r="G1710" s="24" t="e">
        <f t="shared" si="565"/>
        <v>#DIV/0!</v>
      </c>
      <c r="Q1710" s="29" t="str">
        <f t="shared" si="567"/>
        <v>NA</v>
      </c>
      <c r="R1710" s="29" t="str">
        <f t="shared" si="568"/>
        <v>NA</v>
      </c>
      <c r="S1710" s="29" t="str">
        <f t="shared" si="569"/>
        <v>NA</v>
      </c>
      <c r="T1710" s="29" t="str">
        <f t="shared" si="570"/>
        <v>NA</v>
      </c>
      <c r="U1710" s="29" t="str">
        <f t="shared" si="571"/>
        <v>NA</v>
      </c>
      <c r="V1710" s="29" t="str">
        <f t="shared" si="572"/>
        <v>NA</v>
      </c>
      <c r="W1710" s="29" t="str">
        <f t="shared" si="573"/>
        <v>NA</v>
      </c>
      <c r="X1710" s="29" t="str">
        <f t="shared" si="574"/>
        <v>NA</v>
      </c>
      <c r="Y1710" s="29" t="str">
        <f t="shared" si="575"/>
        <v>NA</v>
      </c>
      <c r="Z1710" s="29" t="str">
        <f t="shared" si="576"/>
        <v>NA</v>
      </c>
      <c r="AA1710" s="29" t="str">
        <f t="shared" si="577"/>
        <v>NA</v>
      </c>
      <c r="AB1710" s="29" t="str">
        <f t="shared" si="578"/>
        <v>NA</v>
      </c>
      <c r="AC1710" s="29" t="str">
        <f t="shared" si="579"/>
        <v>NA</v>
      </c>
      <c r="AD1710" s="29" t="str">
        <f t="shared" si="580"/>
        <v>NA</v>
      </c>
      <c r="AE1710" s="29" t="str">
        <f t="shared" si="581"/>
        <v>NA</v>
      </c>
      <c r="AF1710" s="29" t="str">
        <f t="shared" si="582"/>
        <v>NA</v>
      </c>
      <c r="AG1710" s="29" t="str">
        <f t="shared" si="583"/>
        <v>NA</v>
      </c>
      <c r="AH1710" s="29" t="str">
        <f t="shared" si="584"/>
        <v>NA</v>
      </c>
    </row>
    <row r="1711" customHeight="1" spans="1:34">
      <c r="A1711" s="12" t="s">
        <v>1043</v>
      </c>
      <c r="F1711" s="24">
        <f t="shared" si="566"/>
        <v>0</v>
      </c>
      <c r="G1711" s="24" t="e">
        <f t="shared" si="565"/>
        <v>#DIV/0!</v>
      </c>
      <c r="Q1711" s="29" t="str">
        <f t="shared" si="567"/>
        <v>NA</v>
      </c>
      <c r="R1711" s="29" t="str">
        <f t="shared" si="568"/>
        <v>NA</v>
      </c>
      <c r="S1711" s="29" t="str">
        <f t="shared" si="569"/>
        <v>NA</v>
      </c>
      <c r="T1711" s="29" t="str">
        <f t="shared" si="570"/>
        <v>NA</v>
      </c>
      <c r="U1711" s="29" t="str">
        <f t="shared" si="571"/>
        <v>NA</v>
      </c>
      <c r="V1711" s="29" t="str">
        <f t="shared" si="572"/>
        <v>NA</v>
      </c>
      <c r="W1711" s="29" t="str">
        <f t="shared" si="573"/>
        <v>NA</v>
      </c>
      <c r="X1711" s="29" t="str">
        <f t="shared" si="574"/>
        <v>NA</v>
      </c>
      <c r="Y1711" s="29" t="str">
        <f t="shared" si="575"/>
        <v>NA</v>
      </c>
      <c r="Z1711" s="29" t="str">
        <f t="shared" si="576"/>
        <v>NA</v>
      </c>
      <c r="AA1711" s="29" t="str">
        <f t="shared" si="577"/>
        <v>NA</v>
      </c>
      <c r="AB1711" s="29" t="str">
        <f t="shared" si="578"/>
        <v>NA</v>
      </c>
      <c r="AC1711" s="29" t="str">
        <f t="shared" si="579"/>
        <v>NA</v>
      </c>
      <c r="AD1711" s="29" t="str">
        <f t="shared" si="580"/>
        <v>NA</v>
      </c>
      <c r="AE1711" s="29" t="str">
        <f t="shared" si="581"/>
        <v>NA</v>
      </c>
      <c r="AF1711" s="29" t="str">
        <f t="shared" si="582"/>
        <v>NA</v>
      </c>
      <c r="AG1711" s="29" t="str">
        <f t="shared" si="583"/>
        <v>NA</v>
      </c>
      <c r="AH1711" s="29" t="str">
        <f t="shared" si="584"/>
        <v>NA</v>
      </c>
    </row>
    <row r="1712" customHeight="1" spans="1:34">
      <c r="A1712" s="12" t="s">
        <v>1043</v>
      </c>
      <c r="F1712" s="24">
        <f t="shared" si="566"/>
        <v>0</v>
      </c>
      <c r="G1712" s="24" t="e">
        <f t="shared" si="565"/>
        <v>#DIV/0!</v>
      </c>
      <c r="Q1712" s="29" t="str">
        <f t="shared" si="567"/>
        <v>NA</v>
      </c>
      <c r="R1712" s="29" t="str">
        <f t="shared" si="568"/>
        <v>NA</v>
      </c>
      <c r="S1712" s="29" t="str">
        <f t="shared" si="569"/>
        <v>NA</v>
      </c>
      <c r="T1712" s="29" t="str">
        <f t="shared" si="570"/>
        <v>NA</v>
      </c>
      <c r="U1712" s="29" t="str">
        <f t="shared" si="571"/>
        <v>NA</v>
      </c>
      <c r="V1712" s="29" t="str">
        <f t="shared" si="572"/>
        <v>NA</v>
      </c>
      <c r="W1712" s="29" t="str">
        <f t="shared" si="573"/>
        <v>NA</v>
      </c>
      <c r="X1712" s="29" t="str">
        <f t="shared" si="574"/>
        <v>NA</v>
      </c>
      <c r="Y1712" s="29" t="str">
        <f t="shared" si="575"/>
        <v>NA</v>
      </c>
      <c r="Z1712" s="29" t="str">
        <f t="shared" si="576"/>
        <v>NA</v>
      </c>
      <c r="AA1712" s="29" t="str">
        <f t="shared" si="577"/>
        <v>NA</v>
      </c>
      <c r="AB1712" s="29" t="str">
        <f t="shared" si="578"/>
        <v>NA</v>
      </c>
      <c r="AC1712" s="29" t="str">
        <f t="shared" si="579"/>
        <v>NA</v>
      </c>
      <c r="AD1712" s="29" t="str">
        <f t="shared" si="580"/>
        <v>NA</v>
      </c>
      <c r="AE1712" s="29" t="str">
        <f t="shared" si="581"/>
        <v>NA</v>
      </c>
      <c r="AF1712" s="29" t="str">
        <f t="shared" si="582"/>
        <v>NA</v>
      </c>
      <c r="AG1712" s="29" t="str">
        <f t="shared" si="583"/>
        <v>NA</v>
      </c>
      <c r="AH1712" s="29" t="str">
        <f t="shared" si="584"/>
        <v>NA</v>
      </c>
    </row>
    <row r="1713" customHeight="1" spans="1:34">
      <c r="A1713" s="12" t="s">
        <v>1043</v>
      </c>
      <c r="F1713" s="24">
        <f t="shared" si="566"/>
        <v>0</v>
      </c>
      <c r="G1713" s="24" t="e">
        <f t="shared" si="565"/>
        <v>#DIV/0!</v>
      </c>
      <c r="Q1713" s="29" t="str">
        <f t="shared" si="567"/>
        <v>NA</v>
      </c>
      <c r="R1713" s="29" t="str">
        <f t="shared" si="568"/>
        <v>NA</v>
      </c>
      <c r="S1713" s="29" t="str">
        <f t="shared" si="569"/>
        <v>NA</v>
      </c>
      <c r="T1713" s="29" t="str">
        <f t="shared" si="570"/>
        <v>NA</v>
      </c>
      <c r="U1713" s="29" t="str">
        <f t="shared" si="571"/>
        <v>NA</v>
      </c>
      <c r="V1713" s="29" t="str">
        <f t="shared" si="572"/>
        <v>NA</v>
      </c>
      <c r="W1713" s="29" t="str">
        <f t="shared" si="573"/>
        <v>NA</v>
      </c>
      <c r="X1713" s="29" t="str">
        <f t="shared" si="574"/>
        <v>NA</v>
      </c>
      <c r="Y1713" s="29" t="str">
        <f t="shared" si="575"/>
        <v>NA</v>
      </c>
      <c r="Z1713" s="29" t="str">
        <f t="shared" si="576"/>
        <v>NA</v>
      </c>
      <c r="AA1713" s="29" t="str">
        <f t="shared" si="577"/>
        <v>NA</v>
      </c>
      <c r="AB1713" s="29" t="str">
        <f t="shared" si="578"/>
        <v>NA</v>
      </c>
      <c r="AC1713" s="29" t="str">
        <f t="shared" si="579"/>
        <v>NA</v>
      </c>
      <c r="AD1713" s="29" t="str">
        <f t="shared" si="580"/>
        <v>NA</v>
      </c>
      <c r="AE1713" s="29" t="str">
        <f t="shared" si="581"/>
        <v>NA</v>
      </c>
      <c r="AF1713" s="29" t="str">
        <f t="shared" si="582"/>
        <v>NA</v>
      </c>
      <c r="AG1713" s="29" t="str">
        <f t="shared" si="583"/>
        <v>NA</v>
      </c>
      <c r="AH1713" s="29" t="str">
        <f t="shared" si="584"/>
        <v>NA</v>
      </c>
    </row>
    <row r="1714" customHeight="1" spans="1:34">
      <c r="A1714" s="12" t="s">
        <v>1043</v>
      </c>
      <c r="F1714" s="24">
        <f t="shared" si="566"/>
        <v>0</v>
      </c>
      <c r="G1714" s="24" t="e">
        <f t="shared" si="565"/>
        <v>#DIV/0!</v>
      </c>
      <c r="Q1714" s="29" t="str">
        <f t="shared" si="567"/>
        <v>NA</v>
      </c>
      <c r="R1714" s="29" t="str">
        <f t="shared" si="568"/>
        <v>NA</v>
      </c>
      <c r="S1714" s="29" t="str">
        <f t="shared" si="569"/>
        <v>NA</v>
      </c>
      <c r="T1714" s="29" t="str">
        <f t="shared" si="570"/>
        <v>NA</v>
      </c>
      <c r="U1714" s="29" t="str">
        <f t="shared" si="571"/>
        <v>NA</v>
      </c>
      <c r="V1714" s="29" t="str">
        <f t="shared" si="572"/>
        <v>NA</v>
      </c>
      <c r="W1714" s="29" t="str">
        <f t="shared" si="573"/>
        <v>NA</v>
      </c>
      <c r="X1714" s="29" t="str">
        <f t="shared" si="574"/>
        <v>NA</v>
      </c>
      <c r="Y1714" s="29" t="str">
        <f t="shared" si="575"/>
        <v>NA</v>
      </c>
      <c r="Z1714" s="29" t="str">
        <f t="shared" si="576"/>
        <v>NA</v>
      </c>
      <c r="AA1714" s="29" t="str">
        <f t="shared" si="577"/>
        <v>NA</v>
      </c>
      <c r="AB1714" s="29" t="str">
        <f t="shared" si="578"/>
        <v>NA</v>
      </c>
      <c r="AC1714" s="29" t="str">
        <f t="shared" si="579"/>
        <v>NA</v>
      </c>
      <c r="AD1714" s="29" t="str">
        <f t="shared" si="580"/>
        <v>NA</v>
      </c>
      <c r="AE1714" s="29" t="str">
        <f t="shared" si="581"/>
        <v>NA</v>
      </c>
      <c r="AF1714" s="29" t="str">
        <f t="shared" si="582"/>
        <v>NA</v>
      </c>
      <c r="AG1714" s="29" t="str">
        <f t="shared" si="583"/>
        <v>NA</v>
      </c>
      <c r="AH1714" s="29" t="str">
        <f t="shared" si="584"/>
        <v>NA</v>
      </c>
    </row>
    <row r="1715" customHeight="1" spans="1:34">
      <c r="A1715" s="12" t="s">
        <v>1043</v>
      </c>
      <c r="F1715" s="24">
        <f t="shared" si="566"/>
        <v>0</v>
      </c>
      <c r="G1715" s="24" t="e">
        <f t="shared" si="565"/>
        <v>#DIV/0!</v>
      </c>
      <c r="Q1715" s="29" t="str">
        <f t="shared" si="567"/>
        <v>NA</v>
      </c>
      <c r="R1715" s="29" t="str">
        <f t="shared" si="568"/>
        <v>NA</v>
      </c>
      <c r="S1715" s="29" t="str">
        <f t="shared" si="569"/>
        <v>NA</v>
      </c>
      <c r="T1715" s="29" t="str">
        <f t="shared" si="570"/>
        <v>NA</v>
      </c>
      <c r="U1715" s="29" t="str">
        <f t="shared" si="571"/>
        <v>NA</v>
      </c>
      <c r="V1715" s="29" t="str">
        <f t="shared" si="572"/>
        <v>NA</v>
      </c>
      <c r="W1715" s="29" t="str">
        <f t="shared" si="573"/>
        <v>NA</v>
      </c>
      <c r="X1715" s="29" t="str">
        <f t="shared" si="574"/>
        <v>NA</v>
      </c>
      <c r="Y1715" s="29" t="str">
        <f t="shared" si="575"/>
        <v>NA</v>
      </c>
      <c r="Z1715" s="29" t="str">
        <f t="shared" si="576"/>
        <v>NA</v>
      </c>
      <c r="AA1715" s="29" t="str">
        <f t="shared" si="577"/>
        <v>NA</v>
      </c>
      <c r="AB1715" s="29" t="str">
        <f t="shared" si="578"/>
        <v>NA</v>
      </c>
      <c r="AC1715" s="29" t="str">
        <f t="shared" si="579"/>
        <v>NA</v>
      </c>
      <c r="AD1715" s="29" t="str">
        <f t="shared" si="580"/>
        <v>NA</v>
      </c>
      <c r="AE1715" s="29" t="str">
        <f t="shared" si="581"/>
        <v>NA</v>
      </c>
      <c r="AF1715" s="29" t="str">
        <f t="shared" si="582"/>
        <v>NA</v>
      </c>
      <c r="AG1715" s="29" t="str">
        <f t="shared" si="583"/>
        <v>NA</v>
      </c>
      <c r="AH1715" s="29" t="str">
        <f t="shared" si="584"/>
        <v>NA</v>
      </c>
    </row>
    <row r="1716" customHeight="1" spans="1:34">
      <c r="A1716" s="12" t="s">
        <v>1043</v>
      </c>
      <c r="F1716" s="24">
        <f t="shared" si="566"/>
        <v>0</v>
      </c>
      <c r="G1716" s="24" t="e">
        <f t="shared" si="565"/>
        <v>#DIV/0!</v>
      </c>
      <c r="Q1716" s="29" t="str">
        <f t="shared" si="567"/>
        <v>NA</v>
      </c>
      <c r="R1716" s="29" t="str">
        <f t="shared" si="568"/>
        <v>NA</v>
      </c>
      <c r="S1716" s="29" t="str">
        <f t="shared" si="569"/>
        <v>NA</v>
      </c>
      <c r="T1716" s="29" t="str">
        <f t="shared" si="570"/>
        <v>NA</v>
      </c>
      <c r="U1716" s="29" t="str">
        <f t="shared" si="571"/>
        <v>NA</v>
      </c>
      <c r="V1716" s="29" t="str">
        <f t="shared" si="572"/>
        <v>NA</v>
      </c>
      <c r="W1716" s="29" t="str">
        <f t="shared" si="573"/>
        <v>NA</v>
      </c>
      <c r="X1716" s="29" t="str">
        <f t="shared" si="574"/>
        <v>NA</v>
      </c>
      <c r="Y1716" s="29" t="str">
        <f t="shared" si="575"/>
        <v>NA</v>
      </c>
      <c r="Z1716" s="29" t="str">
        <f t="shared" si="576"/>
        <v>NA</v>
      </c>
      <c r="AA1716" s="29" t="str">
        <f t="shared" si="577"/>
        <v>NA</v>
      </c>
      <c r="AB1716" s="29" t="str">
        <f t="shared" si="578"/>
        <v>NA</v>
      </c>
      <c r="AC1716" s="29" t="str">
        <f t="shared" si="579"/>
        <v>NA</v>
      </c>
      <c r="AD1716" s="29" t="str">
        <f t="shared" si="580"/>
        <v>NA</v>
      </c>
      <c r="AE1716" s="29" t="str">
        <f t="shared" si="581"/>
        <v>NA</v>
      </c>
      <c r="AF1716" s="29" t="str">
        <f t="shared" si="582"/>
        <v>NA</v>
      </c>
      <c r="AG1716" s="29" t="str">
        <f t="shared" si="583"/>
        <v>NA</v>
      </c>
      <c r="AH1716" s="29" t="str">
        <f t="shared" si="584"/>
        <v>NA</v>
      </c>
    </row>
    <row r="1717" customHeight="1" spans="1:34">
      <c r="A1717" s="12" t="s">
        <v>1043</v>
      </c>
      <c r="F1717" s="24">
        <f t="shared" si="566"/>
        <v>0</v>
      </c>
      <c r="G1717" s="24" t="e">
        <f t="shared" si="565"/>
        <v>#DIV/0!</v>
      </c>
      <c r="Q1717" s="29" t="str">
        <f t="shared" si="567"/>
        <v>NA</v>
      </c>
      <c r="R1717" s="29" t="str">
        <f t="shared" si="568"/>
        <v>NA</v>
      </c>
      <c r="S1717" s="29" t="str">
        <f t="shared" si="569"/>
        <v>NA</v>
      </c>
      <c r="T1717" s="29" t="str">
        <f t="shared" si="570"/>
        <v>NA</v>
      </c>
      <c r="U1717" s="29" t="str">
        <f t="shared" si="571"/>
        <v>NA</v>
      </c>
      <c r="V1717" s="29" t="str">
        <f t="shared" si="572"/>
        <v>NA</v>
      </c>
      <c r="W1717" s="29" t="str">
        <f t="shared" si="573"/>
        <v>NA</v>
      </c>
      <c r="X1717" s="29" t="str">
        <f t="shared" si="574"/>
        <v>NA</v>
      </c>
      <c r="Y1717" s="29" t="str">
        <f t="shared" si="575"/>
        <v>NA</v>
      </c>
      <c r="Z1717" s="29" t="str">
        <f t="shared" si="576"/>
        <v>NA</v>
      </c>
      <c r="AA1717" s="29" t="str">
        <f t="shared" si="577"/>
        <v>NA</v>
      </c>
      <c r="AB1717" s="29" t="str">
        <f t="shared" si="578"/>
        <v>NA</v>
      </c>
      <c r="AC1717" s="29" t="str">
        <f t="shared" si="579"/>
        <v>NA</v>
      </c>
      <c r="AD1717" s="29" t="str">
        <f t="shared" si="580"/>
        <v>NA</v>
      </c>
      <c r="AE1717" s="29" t="str">
        <f t="shared" si="581"/>
        <v>NA</v>
      </c>
      <c r="AF1717" s="29" t="str">
        <f t="shared" si="582"/>
        <v>NA</v>
      </c>
      <c r="AG1717" s="29" t="str">
        <f t="shared" si="583"/>
        <v>NA</v>
      </c>
      <c r="AH1717" s="29" t="str">
        <f t="shared" si="584"/>
        <v>NA</v>
      </c>
    </row>
    <row r="1718" customHeight="1" spans="1:34">
      <c r="A1718" s="12" t="s">
        <v>1043</v>
      </c>
      <c r="F1718" s="24">
        <f t="shared" si="566"/>
        <v>0</v>
      </c>
      <c r="G1718" s="24" t="e">
        <f t="shared" si="565"/>
        <v>#DIV/0!</v>
      </c>
      <c r="Q1718" s="29" t="str">
        <f t="shared" si="567"/>
        <v>NA</v>
      </c>
      <c r="R1718" s="29" t="str">
        <f t="shared" si="568"/>
        <v>NA</v>
      </c>
      <c r="S1718" s="29" t="str">
        <f t="shared" si="569"/>
        <v>NA</v>
      </c>
      <c r="T1718" s="29" t="str">
        <f t="shared" si="570"/>
        <v>NA</v>
      </c>
      <c r="U1718" s="29" t="str">
        <f t="shared" si="571"/>
        <v>NA</v>
      </c>
      <c r="V1718" s="29" t="str">
        <f t="shared" si="572"/>
        <v>NA</v>
      </c>
      <c r="W1718" s="29" t="str">
        <f t="shared" si="573"/>
        <v>NA</v>
      </c>
      <c r="X1718" s="29" t="str">
        <f t="shared" si="574"/>
        <v>NA</v>
      </c>
      <c r="Y1718" s="29" t="str">
        <f t="shared" si="575"/>
        <v>NA</v>
      </c>
      <c r="Z1718" s="29" t="str">
        <f t="shared" si="576"/>
        <v>NA</v>
      </c>
      <c r="AA1718" s="29" t="str">
        <f t="shared" si="577"/>
        <v>NA</v>
      </c>
      <c r="AB1718" s="29" t="str">
        <f t="shared" si="578"/>
        <v>NA</v>
      </c>
      <c r="AC1718" s="29" t="str">
        <f t="shared" si="579"/>
        <v>NA</v>
      </c>
      <c r="AD1718" s="29" t="str">
        <f t="shared" si="580"/>
        <v>NA</v>
      </c>
      <c r="AE1718" s="29" t="str">
        <f t="shared" si="581"/>
        <v>NA</v>
      </c>
      <c r="AF1718" s="29" t="str">
        <f t="shared" si="582"/>
        <v>NA</v>
      </c>
      <c r="AG1718" s="29" t="str">
        <f t="shared" si="583"/>
        <v>NA</v>
      </c>
      <c r="AH1718" s="29" t="str">
        <f t="shared" si="584"/>
        <v>NA</v>
      </c>
    </row>
    <row r="1719" customHeight="1" spans="1:34">
      <c r="A1719" s="12" t="s">
        <v>1043</v>
      </c>
      <c r="F1719" s="24">
        <f t="shared" si="566"/>
        <v>0</v>
      </c>
      <c r="G1719" s="24" t="e">
        <f t="shared" si="565"/>
        <v>#DIV/0!</v>
      </c>
      <c r="Q1719" s="29" t="str">
        <f t="shared" si="567"/>
        <v>NA</v>
      </c>
      <c r="R1719" s="29" t="str">
        <f t="shared" si="568"/>
        <v>NA</v>
      </c>
      <c r="S1719" s="29" t="str">
        <f t="shared" si="569"/>
        <v>NA</v>
      </c>
      <c r="T1719" s="29" t="str">
        <f t="shared" si="570"/>
        <v>NA</v>
      </c>
      <c r="U1719" s="29" t="str">
        <f t="shared" si="571"/>
        <v>NA</v>
      </c>
      <c r="V1719" s="29" t="str">
        <f t="shared" si="572"/>
        <v>NA</v>
      </c>
      <c r="W1719" s="29" t="str">
        <f t="shared" si="573"/>
        <v>NA</v>
      </c>
      <c r="X1719" s="29" t="str">
        <f t="shared" si="574"/>
        <v>NA</v>
      </c>
      <c r="Y1719" s="29" t="str">
        <f t="shared" si="575"/>
        <v>NA</v>
      </c>
      <c r="Z1719" s="29" t="str">
        <f t="shared" si="576"/>
        <v>NA</v>
      </c>
      <c r="AA1719" s="29" t="str">
        <f t="shared" si="577"/>
        <v>NA</v>
      </c>
      <c r="AB1719" s="29" t="str">
        <f t="shared" si="578"/>
        <v>NA</v>
      </c>
      <c r="AC1719" s="29" t="str">
        <f t="shared" si="579"/>
        <v>NA</v>
      </c>
      <c r="AD1719" s="29" t="str">
        <f t="shared" si="580"/>
        <v>NA</v>
      </c>
      <c r="AE1719" s="29" t="str">
        <f t="shared" si="581"/>
        <v>NA</v>
      </c>
      <c r="AF1719" s="29" t="str">
        <f t="shared" si="582"/>
        <v>NA</v>
      </c>
      <c r="AG1719" s="29" t="str">
        <f t="shared" si="583"/>
        <v>NA</v>
      </c>
      <c r="AH1719" s="29" t="str">
        <f t="shared" si="584"/>
        <v>NA</v>
      </c>
    </row>
    <row r="1720" customHeight="1" spans="1:34">
      <c r="A1720" s="12" t="s">
        <v>1043</v>
      </c>
      <c r="F1720" s="24">
        <f t="shared" si="566"/>
        <v>0</v>
      </c>
      <c r="G1720" s="24" t="e">
        <f t="shared" si="565"/>
        <v>#DIV/0!</v>
      </c>
      <c r="Q1720" s="29" t="str">
        <f t="shared" si="567"/>
        <v>NA</v>
      </c>
      <c r="R1720" s="29" t="str">
        <f t="shared" si="568"/>
        <v>NA</v>
      </c>
      <c r="S1720" s="29" t="str">
        <f t="shared" si="569"/>
        <v>NA</v>
      </c>
      <c r="T1720" s="29" t="str">
        <f t="shared" si="570"/>
        <v>NA</v>
      </c>
      <c r="U1720" s="29" t="str">
        <f t="shared" si="571"/>
        <v>NA</v>
      </c>
      <c r="V1720" s="29" t="str">
        <f t="shared" si="572"/>
        <v>NA</v>
      </c>
      <c r="W1720" s="29" t="str">
        <f t="shared" si="573"/>
        <v>NA</v>
      </c>
      <c r="X1720" s="29" t="str">
        <f t="shared" si="574"/>
        <v>NA</v>
      </c>
      <c r="Y1720" s="29" t="str">
        <f t="shared" si="575"/>
        <v>NA</v>
      </c>
      <c r="Z1720" s="29" t="str">
        <f t="shared" si="576"/>
        <v>NA</v>
      </c>
      <c r="AA1720" s="29" t="str">
        <f t="shared" si="577"/>
        <v>NA</v>
      </c>
      <c r="AB1720" s="29" t="str">
        <f t="shared" si="578"/>
        <v>NA</v>
      </c>
      <c r="AC1720" s="29" t="str">
        <f t="shared" si="579"/>
        <v>NA</v>
      </c>
      <c r="AD1720" s="29" t="str">
        <f t="shared" si="580"/>
        <v>NA</v>
      </c>
      <c r="AE1720" s="29" t="str">
        <f t="shared" si="581"/>
        <v>NA</v>
      </c>
      <c r="AF1720" s="29" t="str">
        <f t="shared" si="582"/>
        <v>NA</v>
      </c>
      <c r="AG1720" s="29" t="str">
        <f t="shared" si="583"/>
        <v>NA</v>
      </c>
      <c r="AH1720" s="29" t="str">
        <f t="shared" si="584"/>
        <v>NA</v>
      </c>
    </row>
    <row r="1721" customHeight="1" spans="1:34">
      <c r="A1721" s="12" t="s">
        <v>1043</v>
      </c>
      <c r="F1721" s="24">
        <f t="shared" si="566"/>
        <v>0</v>
      </c>
      <c r="G1721" s="24" t="e">
        <f t="shared" si="565"/>
        <v>#DIV/0!</v>
      </c>
      <c r="Q1721" s="29" t="str">
        <f t="shared" si="567"/>
        <v>NA</v>
      </c>
      <c r="R1721" s="29" t="str">
        <f t="shared" si="568"/>
        <v>NA</v>
      </c>
      <c r="S1721" s="29" t="str">
        <f t="shared" si="569"/>
        <v>NA</v>
      </c>
      <c r="T1721" s="29" t="str">
        <f t="shared" si="570"/>
        <v>NA</v>
      </c>
      <c r="U1721" s="29" t="str">
        <f t="shared" si="571"/>
        <v>NA</v>
      </c>
      <c r="V1721" s="29" t="str">
        <f t="shared" si="572"/>
        <v>NA</v>
      </c>
      <c r="W1721" s="29" t="str">
        <f t="shared" si="573"/>
        <v>NA</v>
      </c>
      <c r="X1721" s="29" t="str">
        <f t="shared" si="574"/>
        <v>NA</v>
      </c>
      <c r="Y1721" s="29" t="str">
        <f t="shared" si="575"/>
        <v>NA</v>
      </c>
      <c r="Z1721" s="29" t="str">
        <f t="shared" si="576"/>
        <v>NA</v>
      </c>
      <c r="AA1721" s="29" t="str">
        <f t="shared" si="577"/>
        <v>NA</v>
      </c>
      <c r="AB1721" s="29" t="str">
        <f t="shared" si="578"/>
        <v>NA</v>
      </c>
      <c r="AC1721" s="29" t="str">
        <f t="shared" si="579"/>
        <v>NA</v>
      </c>
      <c r="AD1721" s="29" t="str">
        <f t="shared" si="580"/>
        <v>NA</v>
      </c>
      <c r="AE1721" s="29" t="str">
        <f t="shared" si="581"/>
        <v>NA</v>
      </c>
      <c r="AF1721" s="29" t="str">
        <f t="shared" si="582"/>
        <v>NA</v>
      </c>
      <c r="AG1721" s="29" t="str">
        <f t="shared" si="583"/>
        <v>NA</v>
      </c>
      <c r="AH1721" s="29" t="str">
        <f t="shared" si="584"/>
        <v>NA</v>
      </c>
    </row>
    <row r="1722" customHeight="1" spans="1:34">
      <c r="A1722" s="12" t="s">
        <v>1043</v>
      </c>
      <c r="F1722" s="24">
        <f t="shared" si="566"/>
        <v>0</v>
      </c>
      <c r="G1722" s="24" t="e">
        <f t="shared" si="565"/>
        <v>#DIV/0!</v>
      </c>
      <c r="Q1722" s="29" t="str">
        <f t="shared" si="567"/>
        <v>NA</v>
      </c>
      <c r="R1722" s="29" t="str">
        <f t="shared" si="568"/>
        <v>NA</v>
      </c>
      <c r="S1722" s="29" t="str">
        <f t="shared" si="569"/>
        <v>NA</v>
      </c>
      <c r="T1722" s="29" t="str">
        <f t="shared" si="570"/>
        <v>NA</v>
      </c>
      <c r="U1722" s="29" t="str">
        <f t="shared" si="571"/>
        <v>NA</v>
      </c>
      <c r="V1722" s="29" t="str">
        <f t="shared" si="572"/>
        <v>NA</v>
      </c>
      <c r="W1722" s="29" t="str">
        <f t="shared" si="573"/>
        <v>NA</v>
      </c>
      <c r="X1722" s="29" t="str">
        <f t="shared" si="574"/>
        <v>NA</v>
      </c>
      <c r="Y1722" s="29" t="str">
        <f t="shared" si="575"/>
        <v>NA</v>
      </c>
      <c r="Z1722" s="29" t="str">
        <f t="shared" si="576"/>
        <v>NA</v>
      </c>
      <c r="AA1722" s="29" t="str">
        <f t="shared" si="577"/>
        <v>NA</v>
      </c>
      <c r="AB1722" s="29" t="str">
        <f t="shared" si="578"/>
        <v>NA</v>
      </c>
      <c r="AC1722" s="29" t="str">
        <f t="shared" si="579"/>
        <v>NA</v>
      </c>
      <c r="AD1722" s="29" t="str">
        <f t="shared" si="580"/>
        <v>NA</v>
      </c>
      <c r="AE1722" s="29" t="str">
        <f t="shared" si="581"/>
        <v>NA</v>
      </c>
      <c r="AF1722" s="29" t="str">
        <f t="shared" si="582"/>
        <v>NA</v>
      </c>
      <c r="AG1722" s="29" t="str">
        <f t="shared" si="583"/>
        <v>NA</v>
      </c>
      <c r="AH1722" s="29" t="str">
        <f t="shared" si="584"/>
        <v>NA</v>
      </c>
    </row>
    <row r="1723" customHeight="1" spans="1:34">
      <c r="A1723" s="12" t="s">
        <v>1043</v>
      </c>
      <c r="F1723" s="24">
        <f t="shared" si="566"/>
        <v>0</v>
      </c>
      <c r="G1723" s="24" t="e">
        <f t="shared" si="565"/>
        <v>#DIV/0!</v>
      </c>
      <c r="Q1723" s="29" t="str">
        <f t="shared" si="567"/>
        <v>NA</v>
      </c>
      <c r="R1723" s="29" t="str">
        <f t="shared" si="568"/>
        <v>NA</v>
      </c>
      <c r="S1723" s="29" t="str">
        <f t="shared" si="569"/>
        <v>NA</v>
      </c>
      <c r="T1723" s="29" t="str">
        <f t="shared" si="570"/>
        <v>NA</v>
      </c>
      <c r="U1723" s="29" t="str">
        <f t="shared" si="571"/>
        <v>NA</v>
      </c>
      <c r="V1723" s="29" t="str">
        <f t="shared" si="572"/>
        <v>NA</v>
      </c>
      <c r="W1723" s="29" t="str">
        <f t="shared" si="573"/>
        <v>NA</v>
      </c>
      <c r="X1723" s="29" t="str">
        <f t="shared" si="574"/>
        <v>NA</v>
      </c>
      <c r="Y1723" s="29" t="str">
        <f t="shared" si="575"/>
        <v>NA</v>
      </c>
      <c r="Z1723" s="29" t="str">
        <f t="shared" si="576"/>
        <v>NA</v>
      </c>
      <c r="AA1723" s="29" t="str">
        <f t="shared" si="577"/>
        <v>NA</v>
      </c>
      <c r="AB1723" s="29" t="str">
        <f t="shared" si="578"/>
        <v>NA</v>
      </c>
      <c r="AC1723" s="29" t="str">
        <f t="shared" si="579"/>
        <v>NA</v>
      </c>
      <c r="AD1723" s="29" t="str">
        <f t="shared" si="580"/>
        <v>NA</v>
      </c>
      <c r="AE1723" s="29" t="str">
        <f t="shared" si="581"/>
        <v>NA</v>
      </c>
      <c r="AF1723" s="29" t="str">
        <f t="shared" si="582"/>
        <v>NA</v>
      </c>
      <c r="AG1723" s="29" t="str">
        <f t="shared" si="583"/>
        <v>NA</v>
      </c>
      <c r="AH1723" s="29" t="str">
        <f t="shared" si="584"/>
        <v>NA</v>
      </c>
    </row>
    <row r="1724" customHeight="1" spans="1:34">
      <c r="A1724" s="12" t="s">
        <v>1043</v>
      </c>
      <c r="F1724" s="24">
        <f t="shared" si="566"/>
        <v>0</v>
      </c>
      <c r="G1724" s="24" t="e">
        <f t="shared" si="565"/>
        <v>#DIV/0!</v>
      </c>
      <c r="Q1724" s="29" t="str">
        <f t="shared" si="567"/>
        <v>NA</v>
      </c>
      <c r="R1724" s="29" t="str">
        <f t="shared" si="568"/>
        <v>NA</v>
      </c>
      <c r="S1724" s="29" t="str">
        <f t="shared" si="569"/>
        <v>NA</v>
      </c>
      <c r="T1724" s="29" t="str">
        <f t="shared" si="570"/>
        <v>NA</v>
      </c>
      <c r="U1724" s="29" t="str">
        <f t="shared" si="571"/>
        <v>NA</v>
      </c>
      <c r="V1724" s="29" t="str">
        <f t="shared" si="572"/>
        <v>NA</v>
      </c>
      <c r="W1724" s="29" t="str">
        <f t="shared" si="573"/>
        <v>NA</v>
      </c>
      <c r="X1724" s="29" t="str">
        <f t="shared" si="574"/>
        <v>NA</v>
      </c>
      <c r="Y1724" s="29" t="str">
        <f t="shared" si="575"/>
        <v>NA</v>
      </c>
      <c r="Z1724" s="29" t="str">
        <f t="shared" si="576"/>
        <v>NA</v>
      </c>
      <c r="AA1724" s="29" t="str">
        <f t="shared" si="577"/>
        <v>NA</v>
      </c>
      <c r="AB1724" s="29" t="str">
        <f t="shared" si="578"/>
        <v>NA</v>
      </c>
      <c r="AC1724" s="29" t="str">
        <f t="shared" si="579"/>
        <v>NA</v>
      </c>
      <c r="AD1724" s="29" t="str">
        <f t="shared" si="580"/>
        <v>NA</v>
      </c>
      <c r="AE1724" s="29" t="str">
        <f t="shared" si="581"/>
        <v>NA</v>
      </c>
      <c r="AF1724" s="29" t="str">
        <f t="shared" si="582"/>
        <v>NA</v>
      </c>
      <c r="AG1724" s="29" t="str">
        <f t="shared" si="583"/>
        <v>NA</v>
      </c>
      <c r="AH1724" s="29" t="str">
        <f t="shared" si="584"/>
        <v>NA</v>
      </c>
    </row>
    <row r="1725" customHeight="1" spans="1:34">
      <c r="A1725" s="12" t="s">
        <v>1043</v>
      </c>
      <c r="F1725" s="24">
        <f t="shared" si="566"/>
        <v>0</v>
      </c>
      <c r="G1725" s="24" t="e">
        <f t="shared" si="565"/>
        <v>#DIV/0!</v>
      </c>
      <c r="Q1725" s="29" t="str">
        <f t="shared" si="567"/>
        <v>NA</v>
      </c>
      <c r="R1725" s="29" t="str">
        <f t="shared" si="568"/>
        <v>NA</v>
      </c>
      <c r="S1725" s="29" t="str">
        <f t="shared" si="569"/>
        <v>NA</v>
      </c>
      <c r="T1725" s="29" t="str">
        <f t="shared" si="570"/>
        <v>NA</v>
      </c>
      <c r="U1725" s="29" t="str">
        <f t="shared" si="571"/>
        <v>NA</v>
      </c>
      <c r="V1725" s="29" t="str">
        <f t="shared" si="572"/>
        <v>NA</v>
      </c>
      <c r="W1725" s="29" t="str">
        <f t="shared" si="573"/>
        <v>NA</v>
      </c>
      <c r="X1725" s="29" t="str">
        <f t="shared" si="574"/>
        <v>NA</v>
      </c>
      <c r="Y1725" s="29" t="str">
        <f t="shared" si="575"/>
        <v>NA</v>
      </c>
      <c r="Z1725" s="29" t="str">
        <f t="shared" si="576"/>
        <v>NA</v>
      </c>
      <c r="AA1725" s="29" t="str">
        <f t="shared" si="577"/>
        <v>NA</v>
      </c>
      <c r="AB1725" s="29" t="str">
        <f t="shared" si="578"/>
        <v>NA</v>
      </c>
      <c r="AC1725" s="29" t="str">
        <f t="shared" si="579"/>
        <v>NA</v>
      </c>
      <c r="AD1725" s="29" t="str">
        <f t="shared" si="580"/>
        <v>NA</v>
      </c>
      <c r="AE1725" s="29" t="str">
        <f t="shared" si="581"/>
        <v>NA</v>
      </c>
      <c r="AF1725" s="29" t="str">
        <f t="shared" si="582"/>
        <v>NA</v>
      </c>
      <c r="AG1725" s="29" t="str">
        <f t="shared" si="583"/>
        <v>NA</v>
      </c>
      <c r="AH1725" s="29" t="str">
        <f t="shared" si="584"/>
        <v>NA</v>
      </c>
    </row>
    <row r="1726" customHeight="1" spans="1:34">
      <c r="A1726" s="12" t="s">
        <v>1043</v>
      </c>
      <c r="F1726" s="24">
        <f t="shared" si="566"/>
        <v>0</v>
      </c>
      <c r="G1726" s="24" t="e">
        <f t="shared" si="565"/>
        <v>#DIV/0!</v>
      </c>
      <c r="Q1726" s="29" t="str">
        <f t="shared" si="567"/>
        <v>NA</v>
      </c>
      <c r="R1726" s="29" t="str">
        <f t="shared" si="568"/>
        <v>NA</v>
      </c>
      <c r="S1726" s="29" t="str">
        <f t="shared" si="569"/>
        <v>NA</v>
      </c>
      <c r="T1726" s="29" t="str">
        <f t="shared" si="570"/>
        <v>NA</v>
      </c>
      <c r="U1726" s="29" t="str">
        <f t="shared" si="571"/>
        <v>NA</v>
      </c>
      <c r="V1726" s="29" t="str">
        <f t="shared" si="572"/>
        <v>NA</v>
      </c>
      <c r="W1726" s="29" t="str">
        <f t="shared" si="573"/>
        <v>NA</v>
      </c>
      <c r="X1726" s="29" t="str">
        <f t="shared" si="574"/>
        <v>NA</v>
      </c>
      <c r="Y1726" s="29" t="str">
        <f t="shared" si="575"/>
        <v>NA</v>
      </c>
      <c r="Z1726" s="29" t="str">
        <f t="shared" si="576"/>
        <v>NA</v>
      </c>
      <c r="AA1726" s="29" t="str">
        <f t="shared" si="577"/>
        <v>NA</v>
      </c>
      <c r="AB1726" s="29" t="str">
        <f t="shared" si="578"/>
        <v>NA</v>
      </c>
      <c r="AC1726" s="29" t="str">
        <f t="shared" si="579"/>
        <v>NA</v>
      </c>
      <c r="AD1726" s="29" t="str">
        <f t="shared" si="580"/>
        <v>NA</v>
      </c>
      <c r="AE1726" s="29" t="str">
        <f t="shared" si="581"/>
        <v>NA</v>
      </c>
      <c r="AF1726" s="29" t="str">
        <f t="shared" si="582"/>
        <v>NA</v>
      </c>
      <c r="AG1726" s="29" t="str">
        <f t="shared" si="583"/>
        <v>NA</v>
      </c>
      <c r="AH1726" s="29" t="str">
        <f t="shared" si="584"/>
        <v>NA</v>
      </c>
    </row>
    <row r="1727" customHeight="1" spans="1:34">
      <c r="A1727" s="12" t="s">
        <v>1043</v>
      </c>
      <c r="F1727" s="24">
        <f t="shared" si="566"/>
        <v>0</v>
      </c>
      <c r="G1727" s="24" t="e">
        <f t="shared" si="565"/>
        <v>#DIV/0!</v>
      </c>
      <c r="Q1727" s="29" t="str">
        <f t="shared" si="567"/>
        <v>NA</v>
      </c>
      <c r="R1727" s="29" t="str">
        <f t="shared" si="568"/>
        <v>NA</v>
      </c>
      <c r="S1727" s="29" t="str">
        <f t="shared" si="569"/>
        <v>NA</v>
      </c>
      <c r="T1727" s="29" t="str">
        <f t="shared" si="570"/>
        <v>NA</v>
      </c>
      <c r="U1727" s="29" t="str">
        <f t="shared" si="571"/>
        <v>NA</v>
      </c>
      <c r="V1727" s="29" t="str">
        <f t="shared" si="572"/>
        <v>NA</v>
      </c>
      <c r="W1727" s="29" t="str">
        <f t="shared" si="573"/>
        <v>NA</v>
      </c>
      <c r="X1727" s="29" t="str">
        <f t="shared" si="574"/>
        <v>NA</v>
      </c>
      <c r="Y1727" s="29" t="str">
        <f t="shared" si="575"/>
        <v>NA</v>
      </c>
      <c r="Z1727" s="29" t="str">
        <f t="shared" si="576"/>
        <v>NA</v>
      </c>
      <c r="AA1727" s="29" t="str">
        <f t="shared" si="577"/>
        <v>NA</v>
      </c>
      <c r="AB1727" s="29" t="str">
        <f t="shared" si="578"/>
        <v>NA</v>
      </c>
      <c r="AC1727" s="29" t="str">
        <f t="shared" si="579"/>
        <v>NA</v>
      </c>
      <c r="AD1727" s="29" t="str">
        <f t="shared" si="580"/>
        <v>NA</v>
      </c>
      <c r="AE1727" s="29" t="str">
        <f t="shared" si="581"/>
        <v>NA</v>
      </c>
      <c r="AF1727" s="29" t="str">
        <f t="shared" si="582"/>
        <v>NA</v>
      </c>
      <c r="AG1727" s="29" t="str">
        <f t="shared" si="583"/>
        <v>NA</v>
      </c>
      <c r="AH1727" s="29" t="str">
        <f t="shared" si="584"/>
        <v>NA</v>
      </c>
    </row>
    <row r="1728" customHeight="1" spans="1:34">
      <c r="A1728" s="12" t="s">
        <v>1043</v>
      </c>
      <c r="F1728" s="24">
        <f t="shared" si="566"/>
        <v>0</v>
      </c>
      <c r="G1728" s="24" t="e">
        <f t="shared" si="565"/>
        <v>#DIV/0!</v>
      </c>
      <c r="Q1728" s="29" t="str">
        <f t="shared" si="567"/>
        <v>NA</v>
      </c>
      <c r="R1728" s="29" t="str">
        <f t="shared" si="568"/>
        <v>NA</v>
      </c>
      <c r="S1728" s="29" t="str">
        <f t="shared" si="569"/>
        <v>NA</v>
      </c>
      <c r="T1728" s="29" t="str">
        <f t="shared" si="570"/>
        <v>NA</v>
      </c>
      <c r="U1728" s="29" t="str">
        <f t="shared" si="571"/>
        <v>NA</v>
      </c>
      <c r="V1728" s="29" t="str">
        <f t="shared" si="572"/>
        <v>NA</v>
      </c>
      <c r="W1728" s="29" t="str">
        <f t="shared" si="573"/>
        <v>NA</v>
      </c>
      <c r="X1728" s="29" t="str">
        <f t="shared" si="574"/>
        <v>NA</v>
      </c>
      <c r="Y1728" s="29" t="str">
        <f t="shared" si="575"/>
        <v>NA</v>
      </c>
      <c r="Z1728" s="29" t="str">
        <f t="shared" si="576"/>
        <v>NA</v>
      </c>
      <c r="AA1728" s="29" t="str">
        <f t="shared" si="577"/>
        <v>NA</v>
      </c>
      <c r="AB1728" s="29" t="str">
        <f t="shared" si="578"/>
        <v>NA</v>
      </c>
      <c r="AC1728" s="29" t="str">
        <f t="shared" si="579"/>
        <v>NA</v>
      </c>
      <c r="AD1728" s="29" t="str">
        <f t="shared" si="580"/>
        <v>NA</v>
      </c>
      <c r="AE1728" s="29" t="str">
        <f t="shared" si="581"/>
        <v>NA</v>
      </c>
      <c r="AF1728" s="29" t="str">
        <f t="shared" si="582"/>
        <v>NA</v>
      </c>
      <c r="AG1728" s="29" t="str">
        <f t="shared" si="583"/>
        <v>NA</v>
      </c>
      <c r="AH1728" s="29" t="str">
        <f t="shared" si="584"/>
        <v>NA</v>
      </c>
    </row>
    <row r="1729" customHeight="1" spans="1:34">
      <c r="A1729" s="12" t="s">
        <v>1043</v>
      </c>
      <c r="F1729" s="24">
        <f t="shared" si="566"/>
        <v>0</v>
      </c>
      <c r="G1729" s="24" t="e">
        <f t="shared" si="565"/>
        <v>#DIV/0!</v>
      </c>
      <c r="Q1729" s="29" t="str">
        <f t="shared" si="567"/>
        <v>NA</v>
      </c>
      <c r="R1729" s="29" t="str">
        <f t="shared" si="568"/>
        <v>NA</v>
      </c>
      <c r="S1729" s="29" t="str">
        <f t="shared" si="569"/>
        <v>NA</v>
      </c>
      <c r="T1729" s="29" t="str">
        <f t="shared" si="570"/>
        <v>NA</v>
      </c>
      <c r="U1729" s="29" t="str">
        <f t="shared" si="571"/>
        <v>NA</v>
      </c>
      <c r="V1729" s="29" t="str">
        <f t="shared" si="572"/>
        <v>NA</v>
      </c>
      <c r="W1729" s="29" t="str">
        <f t="shared" si="573"/>
        <v>NA</v>
      </c>
      <c r="X1729" s="29" t="str">
        <f t="shared" si="574"/>
        <v>NA</v>
      </c>
      <c r="Y1729" s="29" t="str">
        <f t="shared" si="575"/>
        <v>NA</v>
      </c>
      <c r="Z1729" s="29" t="str">
        <f t="shared" si="576"/>
        <v>NA</v>
      </c>
      <c r="AA1729" s="29" t="str">
        <f t="shared" si="577"/>
        <v>NA</v>
      </c>
      <c r="AB1729" s="29" t="str">
        <f t="shared" si="578"/>
        <v>NA</v>
      </c>
      <c r="AC1729" s="29" t="str">
        <f t="shared" si="579"/>
        <v>NA</v>
      </c>
      <c r="AD1729" s="29" t="str">
        <f t="shared" si="580"/>
        <v>NA</v>
      </c>
      <c r="AE1729" s="29" t="str">
        <f t="shared" si="581"/>
        <v>NA</v>
      </c>
      <c r="AF1729" s="29" t="str">
        <f t="shared" si="582"/>
        <v>NA</v>
      </c>
      <c r="AG1729" s="29" t="str">
        <f t="shared" si="583"/>
        <v>NA</v>
      </c>
      <c r="AH1729" s="29" t="str">
        <f t="shared" si="584"/>
        <v>NA</v>
      </c>
    </row>
    <row r="1730" customHeight="1" spans="1:34">
      <c r="A1730" s="12" t="s">
        <v>1043</v>
      </c>
      <c r="F1730" s="24">
        <f t="shared" si="566"/>
        <v>0</v>
      </c>
      <c r="G1730" s="24" t="e">
        <f t="shared" si="565"/>
        <v>#DIV/0!</v>
      </c>
      <c r="Q1730" s="29" t="str">
        <f t="shared" si="567"/>
        <v>NA</v>
      </c>
      <c r="R1730" s="29" t="str">
        <f t="shared" si="568"/>
        <v>NA</v>
      </c>
      <c r="S1730" s="29" t="str">
        <f t="shared" si="569"/>
        <v>NA</v>
      </c>
      <c r="T1730" s="29" t="str">
        <f t="shared" si="570"/>
        <v>NA</v>
      </c>
      <c r="U1730" s="29" t="str">
        <f t="shared" si="571"/>
        <v>NA</v>
      </c>
      <c r="V1730" s="29" t="str">
        <f t="shared" si="572"/>
        <v>NA</v>
      </c>
      <c r="W1730" s="29" t="str">
        <f t="shared" si="573"/>
        <v>NA</v>
      </c>
      <c r="X1730" s="29" t="str">
        <f t="shared" si="574"/>
        <v>NA</v>
      </c>
      <c r="Y1730" s="29" t="str">
        <f t="shared" si="575"/>
        <v>NA</v>
      </c>
      <c r="Z1730" s="29" t="str">
        <f t="shared" si="576"/>
        <v>NA</v>
      </c>
      <c r="AA1730" s="29" t="str">
        <f t="shared" si="577"/>
        <v>NA</v>
      </c>
      <c r="AB1730" s="29" t="str">
        <f t="shared" si="578"/>
        <v>NA</v>
      </c>
      <c r="AC1730" s="29" t="str">
        <f t="shared" si="579"/>
        <v>NA</v>
      </c>
      <c r="AD1730" s="29" t="str">
        <f t="shared" si="580"/>
        <v>NA</v>
      </c>
      <c r="AE1730" s="29" t="str">
        <f t="shared" si="581"/>
        <v>NA</v>
      </c>
      <c r="AF1730" s="29" t="str">
        <f t="shared" si="582"/>
        <v>NA</v>
      </c>
      <c r="AG1730" s="29" t="str">
        <f t="shared" si="583"/>
        <v>NA</v>
      </c>
      <c r="AH1730" s="29" t="str">
        <f t="shared" si="584"/>
        <v>NA</v>
      </c>
    </row>
    <row r="1731" customHeight="1" spans="1:34">
      <c r="A1731" s="12" t="s">
        <v>1043</v>
      </c>
      <c r="F1731" s="24">
        <f t="shared" si="566"/>
        <v>0</v>
      </c>
      <c r="G1731" s="24" t="e">
        <f t="shared" si="565"/>
        <v>#DIV/0!</v>
      </c>
      <c r="Q1731" s="29" t="str">
        <f t="shared" si="567"/>
        <v>NA</v>
      </c>
      <c r="R1731" s="29" t="str">
        <f t="shared" si="568"/>
        <v>NA</v>
      </c>
      <c r="S1731" s="29" t="str">
        <f t="shared" si="569"/>
        <v>NA</v>
      </c>
      <c r="T1731" s="29" t="str">
        <f t="shared" si="570"/>
        <v>NA</v>
      </c>
      <c r="U1731" s="29" t="str">
        <f t="shared" si="571"/>
        <v>NA</v>
      </c>
      <c r="V1731" s="29" t="str">
        <f t="shared" si="572"/>
        <v>NA</v>
      </c>
      <c r="W1731" s="29" t="str">
        <f t="shared" si="573"/>
        <v>NA</v>
      </c>
      <c r="X1731" s="29" t="str">
        <f t="shared" si="574"/>
        <v>NA</v>
      </c>
      <c r="Y1731" s="29" t="str">
        <f t="shared" si="575"/>
        <v>NA</v>
      </c>
      <c r="Z1731" s="29" t="str">
        <f t="shared" si="576"/>
        <v>NA</v>
      </c>
      <c r="AA1731" s="29" t="str">
        <f t="shared" si="577"/>
        <v>NA</v>
      </c>
      <c r="AB1731" s="29" t="str">
        <f t="shared" si="578"/>
        <v>NA</v>
      </c>
      <c r="AC1731" s="29" t="str">
        <f t="shared" si="579"/>
        <v>NA</v>
      </c>
      <c r="AD1731" s="29" t="str">
        <f t="shared" si="580"/>
        <v>NA</v>
      </c>
      <c r="AE1731" s="29" t="str">
        <f t="shared" si="581"/>
        <v>NA</v>
      </c>
      <c r="AF1731" s="29" t="str">
        <f t="shared" si="582"/>
        <v>NA</v>
      </c>
      <c r="AG1731" s="29" t="str">
        <f t="shared" si="583"/>
        <v>NA</v>
      </c>
      <c r="AH1731" s="29" t="str">
        <f t="shared" si="584"/>
        <v>NA</v>
      </c>
    </row>
    <row r="1732" customHeight="1" spans="1:34">
      <c r="A1732" s="12" t="s">
        <v>1043</v>
      </c>
      <c r="F1732" s="24">
        <f t="shared" si="566"/>
        <v>0</v>
      </c>
      <c r="G1732" s="24" t="e">
        <f t="shared" si="565"/>
        <v>#DIV/0!</v>
      </c>
      <c r="Q1732" s="29" t="str">
        <f t="shared" si="567"/>
        <v>NA</v>
      </c>
      <c r="R1732" s="29" t="str">
        <f t="shared" si="568"/>
        <v>NA</v>
      </c>
      <c r="S1732" s="29" t="str">
        <f t="shared" si="569"/>
        <v>NA</v>
      </c>
      <c r="T1732" s="29" t="str">
        <f t="shared" si="570"/>
        <v>NA</v>
      </c>
      <c r="U1732" s="29" t="str">
        <f t="shared" si="571"/>
        <v>NA</v>
      </c>
      <c r="V1732" s="29" t="str">
        <f t="shared" si="572"/>
        <v>NA</v>
      </c>
      <c r="W1732" s="29" t="str">
        <f t="shared" si="573"/>
        <v>NA</v>
      </c>
      <c r="X1732" s="29" t="str">
        <f t="shared" si="574"/>
        <v>NA</v>
      </c>
      <c r="Y1732" s="29" t="str">
        <f t="shared" si="575"/>
        <v>NA</v>
      </c>
      <c r="Z1732" s="29" t="str">
        <f t="shared" si="576"/>
        <v>NA</v>
      </c>
      <c r="AA1732" s="29" t="str">
        <f t="shared" si="577"/>
        <v>NA</v>
      </c>
      <c r="AB1732" s="29" t="str">
        <f t="shared" si="578"/>
        <v>NA</v>
      </c>
      <c r="AC1732" s="29" t="str">
        <f t="shared" si="579"/>
        <v>NA</v>
      </c>
      <c r="AD1732" s="29" t="str">
        <f t="shared" si="580"/>
        <v>NA</v>
      </c>
      <c r="AE1732" s="29" t="str">
        <f t="shared" si="581"/>
        <v>NA</v>
      </c>
      <c r="AF1732" s="29" t="str">
        <f t="shared" si="582"/>
        <v>NA</v>
      </c>
      <c r="AG1732" s="29" t="str">
        <f t="shared" si="583"/>
        <v>NA</v>
      </c>
      <c r="AH1732" s="29" t="str">
        <f t="shared" si="584"/>
        <v>NA</v>
      </c>
    </row>
    <row r="1733" customHeight="1" spans="1:34">
      <c r="A1733" s="12" t="s">
        <v>1043</v>
      </c>
      <c r="F1733" s="24">
        <f t="shared" si="566"/>
        <v>0</v>
      </c>
      <c r="G1733" s="24" t="e">
        <f t="shared" ref="G1733:G1796" si="585">B1733*D1733/C1733</f>
        <v>#DIV/0!</v>
      </c>
      <c r="Q1733" s="29" t="str">
        <f t="shared" si="567"/>
        <v>NA</v>
      </c>
      <c r="R1733" s="29" t="str">
        <f t="shared" si="568"/>
        <v>NA</v>
      </c>
      <c r="S1733" s="29" t="str">
        <f t="shared" si="569"/>
        <v>NA</v>
      </c>
      <c r="T1733" s="29" t="str">
        <f t="shared" si="570"/>
        <v>NA</v>
      </c>
      <c r="U1733" s="29" t="str">
        <f t="shared" si="571"/>
        <v>NA</v>
      </c>
      <c r="V1733" s="29" t="str">
        <f t="shared" si="572"/>
        <v>NA</v>
      </c>
      <c r="W1733" s="29" t="str">
        <f t="shared" si="573"/>
        <v>NA</v>
      </c>
      <c r="X1733" s="29" t="str">
        <f t="shared" si="574"/>
        <v>NA</v>
      </c>
      <c r="Y1733" s="29" t="str">
        <f t="shared" si="575"/>
        <v>NA</v>
      </c>
      <c r="Z1733" s="29" t="str">
        <f t="shared" si="576"/>
        <v>NA</v>
      </c>
      <c r="AA1733" s="29" t="str">
        <f t="shared" si="577"/>
        <v>NA</v>
      </c>
      <c r="AB1733" s="29" t="str">
        <f t="shared" si="578"/>
        <v>NA</v>
      </c>
      <c r="AC1733" s="29" t="str">
        <f t="shared" si="579"/>
        <v>NA</v>
      </c>
      <c r="AD1733" s="29" t="str">
        <f t="shared" si="580"/>
        <v>NA</v>
      </c>
      <c r="AE1733" s="29" t="str">
        <f t="shared" si="581"/>
        <v>NA</v>
      </c>
      <c r="AF1733" s="29" t="str">
        <f t="shared" si="582"/>
        <v>NA</v>
      </c>
      <c r="AG1733" s="29" t="str">
        <f t="shared" si="583"/>
        <v>NA</v>
      </c>
      <c r="AH1733" s="29" t="str">
        <f t="shared" si="584"/>
        <v>NA</v>
      </c>
    </row>
    <row r="1734" customHeight="1" spans="1:34">
      <c r="A1734" s="12" t="s">
        <v>1043</v>
      </c>
      <c r="F1734" s="24">
        <f t="shared" ref="F1734:F1797" si="586">+D1734+E1734</f>
        <v>0</v>
      </c>
      <c r="G1734" s="24" t="e">
        <f t="shared" si="585"/>
        <v>#DIV/0!</v>
      </c>
      <c r="Q1734" s="29" t="str">
        <f t="shared" si="567"/>
        <v>NA</v>
      </c>
      <c r="R1734" s="29" t="str">
        <f t="shared" si="568"/>
        <v>NA</v>
      </c>
      <c r="S1734" s="29" t="str">
        <f t="shared" si="569"/>
        <v>NA</v>
      </c>
      <c r="T1734" s="29" t="str">
        <f t="shared" si="570"/>
        <v>NA</v>
      </c>
      <c r="U1734" s="29" t="str">
        <f t="shared" si="571"/>
        <v>NA</v>
      </c>
      <c r="V1734" s="29" t="str">
        <f t="shared" si="572"/>
        <v>NA</v>
      </c>
      <c r="W1734" s="29" t="str">
        <f t="shared" si="573"/>
        <v>NA</v>
      </c>
      <c r="X1734" s="29" t="str">
        <f t="shared" si="574"/>
        <v>NA</v>
      </c>
      <c r="Y1734" s="29" t="str">
        <f t="shared" si="575"/>
        <v>NA</v>
      </c>
      <c r="Z1734" s="29" t="str">
        <f t="shared" si="576"/>
        <v>NA</v>
      </c>
      <c r="AA1734" s="29" t="str">
        <f t="shared" si="577"/>
        <v>NA</v>
      </c>
      <c r="AB1734" s="29" t="str">
        <f t="shared" si="578"/>
        <v>NA</v>
      </c>
      <c r="AC1734" s="29" t="str">
        <f t="shared" si="579"/>
        <v>NA</v>
      </c>
      <c r="AD1734" s="29" t="str">
        <f t="shared" si="580"/>
        <v>NA</v>
      </c>
      <c r="AE1734" s="29" t="str">
        <f t="shared" si="581"/>
        <v>NA</v>
      </c>
      <c r="AF1734" s="29" t="str">
        <f t="shared" si="582"/>
        <v>NA</v>
      </c>
      <c r="AG1734" s="29" t="str">
        <f t="shared" si="583"/>
        <v>NA</v>
      </c>
      <c r="AH1734" s="29" t="str">
        <f t="shared" si="584"/>
        <v>NA</v>
      </c>
    </row>
    <row r="1735" customHeight="1" spans="1:34">
      <c r="A1735" s="12" t="s">
        <v>1043</v>
      </c>
      <c r="F1735" s="24">
        <f t="shared" si="586"/>
        <v>0</v>
      </c>
      <c r="G1735" s="24" t="e">
        <f t="shared" si="585"/>
        <v>#DIV/0!</v>
      </c>
      <c r="Q1735" s="29" t="str">
        <f t="shared" si="567"/>
        <v>NA</v>
      </c>
      <c r="R1735" s="29" t="str">
        <f t="shared" si="568"/>
        <v>NA</v>
      </c>
      <c r="S1735" s="29" t="str">
        <f t="shared" si="569"/>
        <v>NA</v>
      </c>
      <c r="T1735" s="29" t="str">
        <f t="shared" si="570"/>
        <v>NA</v>
      </c>
      <c r="U1735" s="29" t="str">
        <f t="shared" si="571"/>
        <v>NA</v>
      </c>
      <c r="V1735" s="29" t="str">
        <f t="shared" si="572"/>
        <v>NA</v>
      </c>
      <c r="W1735" s="29" t="str">
        <f t="shared" si="573"/>
        <v>NA</v>
      </c>
      <c r="X1735" s="29" t="str">
        <f t="shared" si="574"/>
        <v>NA</v>
      </c>
      <c r="Y1735" s="29" t="str">
        <f t="shared" si="575"/>
        <v>NA</v>
      </c>
      <c r="Z1735" s="29" t="str">
        <f t="shared" si="576"/>
        <v>NA</v>
      </c>
      <c r="AA1735" s="29" t="str">
        <f t="shared" si="577"/>
        <v>NA</v>
      </c>
      <c r="AB1735" s="29" t="str">
        <f t="shared" si="578"/>
        <v>NA</v>
      </c>
      <c r="AC1735" s="29" t="str">
        <f t="shared" si="579"/>
        <v>NA</v>
      </c>
      <c r="AD1735" s="29" t="str">
        <f t="shared" si="580"/>
        <v>NA</v>
      </c>
      <c r="AE1735" s="29" t="str">
        <f t="shared" si="581"/>
        <v>NA</v>
      </c>
      <c r="AF1735" s="29" t="str">
        <f t="shared" si="582"/>
        <v>NA</v>
      </c>
      <c r="AG1735" s="29" t="str">
        <f t="shared" si="583"/>
        <v>NA</v>
      </c>
      <c r="AH1735" s="29" t="str">
        <f t="shared" si="584"/>
        <v>NA</v>
      </c>
    </row>
    <row r="1736" customHeight="1" spans="1:34">
      <c r="A1736" s="12" t="s">
        <v>1043</v>
      </c>
      <c r="F1736" s="24">
        <f t="shared" si="586"/>
        <v>0</v>
      </c>
      <c r="G1736" s="24" t="e">
        <f t="shared" si="585"/>
        <v>#DIV/0!</v>
      </c>
      <c r="Q1736" s="29" t="str">
        <f t="shared" si="567"/>
        <v>NA</v>
      </c>
      <c r="R1736" s="29" t="str">
        <f t="shared" si="568"/>
        <v>NA</v>
      </c>
      <c r="S1736" s="29" t="str">
        <f t="shared" si="569"/>
        <v>NA</v>
      </c>
      <c r="T1736" s="29" t="str">
        <f t="shared" si="570"/>
        <v>NA</v>
      </c>
      <c r="U1736" s="29" t="str">
        <f t="shared" si="571"/>
        <v>NA</v>
      </c>
      <c r="V1736" s="29" t="str">
        <f t="shared" si="572"/>
        <v>NA</v>
      </c>
      <c r="W1736" s="29" t="str">
        <f t="shared" si="573"/>
        <v>NA</v>
      </c>
      <c r="X1736" s="29" t="str">
        <f t="shared" si="574"/>
        <v>NA</v>
      </c>
      <c r="Y1736" s="29" t="str">
        <f t="shared" si="575"/>
        <v>NA</v>
      </c>
      <c r="Z1736" s="29" t="str">
        <f t="shared" si="576"/>
        <v>NA</v>
      </c>
      <c r="AA1736" s="29" t="str">
        <f t="shared" si="577"/>
        <v>NA</v>
      </c>
      <c r="AB1736" s="29" t="str">
        <f t="shared" si="578"/>
        <v>NA</v>
      </c>
      <c r="AC1736" s="29" t="str">
        <f t="shared" si="579"/>
        <v>NA</v>
      </c>
      <c r="AD1736" s="29" t="str">
        <f t="shared" si="580"/>
        <v>NA</v>
      </c>
      <c r="AE1736" s="29" t="str">
        <f t="shared" si="581"/>
        <v>NA</v>
      </c>
      <c r="AF1736" s="29" t="str">
        <f t="shared" si="582"/>
        <v>NA</v>
      </c>
      <c r="AG1736" s="29" t="str">
        <f t="shared" si="583"/>
        <v>NA</v>
      </c>
      <c r="AH1736" s="29" t="str">
        <f t="shared" si="584"/>
        <v>NA</v>
      </c>
    </row>
    <row r="1737" customHeight="1" spans="1:34">
      <c r="A1737" s="12" t="s">
        <v>1043</v>
      </c>
      <c r="F1737" s="24">
        <f t="shared" si="586"/>
        <v>0</v>
      </c>
      <c r="G1737" s="24" t="e">
        <f t="shared" si="585"/>
        <v>#DIV/0!</v>
      </c>
      <c r="Q1737" s="29" t="str">
        <f t="shared" si="567"/>
        <v>NA</v>
      </c>
      <c r="R1737" s="29" t="str">
        <f t="shared" si="568"/>
        <v>NA</v>
      </c>
      <c r="S1737" s="29" t="str">
        <f t="shared" si="569"/>
        <v>NA</v>
      </c>
      <c r="T1737" s="29" t="str">
        <f t="shared" si="570"/>
        <v>NA</v>
      </c>
      <c r="U1737" s="29" t="str">
        <f t="shared" si="571"/>
        <v>NA</v>
      </c>
      <c r="V1737" s="29" t="str">
        <f t="shared" si="572"/>
        <v>NA</v>
      </c>
      <c r="W1737" s="29" t="str">
        <f t="shared" si="573"/>
        <v>NA</v>
      </c>
      <c r="X1737" s="29" t="str">
        <f t="shared" si="574"/>
        <v>NA</v>
      </c>
      <c r="Y1737" s="29" t="str">
        <f t="shared" si="575"/>
        <v>NA</v>
      </c>
      <c r="Z1737" s="29" t="str">
        <f t="shared" si="576"/>
        <v>NA</v>
      </c>
      <c r="AA1737" s="29" t="str">
        <f t="shared" si="577"/>
        <v>NA</v>
      </c>
      <c r="AB1737" s="29" t="str">
        <f t="shared" si="578"/>
        <v>NA</v>
      </c>
      <c r="AC1737" s="29" t="str">
        <f t="shared" si="579"/>
        <v>NA</v>
      </c>
      <c r="AD1737" s="29" t="str">
        <f t="shared" si="580"/>
        <v>NA</v>
      </c>
      <c r="AE1737" s="29" t="str">
        <f t="shared" si="581"/>
        <v>NA</v>
      </c>
      <c r="AF1737" s="29" t="str">
        <f t="shared" si="582"/>
        <v>NA</v>
      </c>
      <c r="AG1737" s="29" t="str">
        <f t="shared" si="583"/>
        <v>NA</v>
      </c>
      <c r="AH1737" s="29" t="str">
        <f t="shared" si="584"/>
        <v>NA</v>
      </c>
    </row>
    <row r="1738" customHeight="1" spans="1:34">
      <c r="A1738" s="12" t="s">
        <v>1043</v>
      </c>
      <c r="F1738" s="24">
        <f t="shared" si="586"/>
        <v>0</v>
      </c>
      <c r="G1738" s="24" t="e">
        <f t="shared" si="585"/>
        <v>#DIV/0!</v>
      </c>
      <c r="Q1738" s="29" t="str">
        <f t="shared" si="567"/>
        <v>NA</v>
      </c>
      <c r="R1738" s="29" t="str">
        <f t="shared" si="568"/>
        <v>NA</v>
      </c>
      <c r="S1738" s="29" t="str">
        <f t="shared" si="569"/>
        <v>NA</v>
      </c>
      <c r="T1738" s="29" t="str">
        <f t="shared" si="570"/>
        <v>NA</v>
      </c>
      <c r="U1738" s="29" t="str">
        <f t="shared" si="571"/>
        <v>NA</v>
      </c>
      <c r="V1738" s="29" t="str">
        <f t="shared" si="572"/>
        <v>NA</v>
      </c>
      <c r="W1738" s="29" t="str">
        <f t="shared" si="573"/>
        <v>NA</v>
      </c>
      <c r="X1738" s="29" t="str">
        <f t="shared" si="574"/>
        <v>NA</v>
      </c>
      <c r="Y1738" s="29" t="str">
        <f t="shared" si="575"/>
        <v>NA</v>
      </c>
      <c r="Z1738" s="29" t="str">
        <f t="shared" si="576"/>
        <v>NA</v>
      </c>
      <c r="AA1738" s="29" t="str">
        <f t="shared" si="577"/>
        <v>NA</v>
      </c>
      <c r="AB1738" s="29" t="str">
        <f t="shared" si="578"/>
        <v>NA</v>
      </c>
      <c r="AC1738" s="29" t="str">
        <f t="shared" si="579"/>
        <v>NA</v>
      </c>
      <c r="AD1738" s="29" t="str">
        <f t="shared" si="580"/>
        <v>NA</v>
      </c>
      <c r="AE1738" s="29" t="str">
        <f t="shared" si="581"/>
        <v>NA</v>
      </c>
      <c r="AF1738" s="29" t="str">
        <f t="shared" si="582"/>
        <v>NA</v>
      </c>
      <c r="AG1738" s="29" t="str">
        <f t="shared" si="583"/>
        <v>NA</v>
      </c>
      <c r="AH1738" s="29" t="str">
        <f t="shared" si="584"/>
        <v>NA</v>
      </c>
    </row>
    <row r="1739" customHeight="1" spans="1:34">
      <c r="A1739" s="12" t="s">
        <v>1043</v>
      </c>
      <c r="F1739" s="24">
        <f t="shared" si="586"/>
        <v>0</v>
      </c>
      <c r="G1739" s="24" t="e">
        <f t="shared" si="585"/>
        <v>#DIV/0!</v>
      </c>
      <c r="Q1739" s="29" t="str">
        <f t="shared" si="567"/>
        <v>NA</v>
      </c>
      <c r="R1739" s="29" t="str">
        <f t="shared" si="568"/>
        <v>NA</v>
      </c>
      <c r="S1739" s="29" t="str">
        <f t="shared" si="569"/>
        <v>NA</v>
      </c>
      <c r="T1739" s="29" t="str">
        <f t="shared" si="570"/>
        <v>NA</v>
      </c>
      <c r="U1739" s="29" t="str">
        <f t="shared" si="571"/>
        <v>NA</v>
      </c>
      <c r="V1739" s="29" t="str">
        <f t="shared" si="572"/>
        <v>NA</v>
      </c>
      <c r="W1739" s="29" t="str">
        <f t="shared" si="573"/>
        <v>NA</v>
      </c>
      <c r="X1739" s="29" t="str">
        <f t="shared" si="574"/>
        <v>NA</v>
      </c>
      <c r="Y1739" s="29" t="str">
        <f t="shared" si="575"/>
        <v>NA</v>
      </c>
      <c r="Z1739" s="29" t="str">
        <f t="shared" si="576"/>
        <v>NA</v>
      </c>
      <c r="AA1739" s="29" t="str">
        <f t="shared" si="577"/>
        <v>NA</v>
      </c>
      <c r="AB1739" s="29" t="str">
        <f t="shared" si="578"/>
        <v>NA</v>
      </c>
      <c r="AC1739" s="29" t="str">
        <f t="shared" si="579"/>
        <v>NA</v>
      </c>
      <c r="AD1739" s="29" t="str">
        <f t="shared" si="580"/>
        <v>NA</v>
      </c>
      <c r="AE1739" s="29" t="str">
        <f t="shared" si="581"/>
        <v>NA</v>
      </c>
      <c r="AF1739" s="29" t="str">
        <f t="shared" si="582"/>
        <v>NA</v>
      </c>
      <c r="AG1739" s="29" t="str">
        <f t="shared" si="583"/>
        <v>NA</v>
      </c>
      <c r="AH1739" s="29" t="str">
        <f t="shared" si="584"/>
        <v>NA</v>
      </c>
    </row>
    <row r="1740" customHeight="1" spans="1:34">
      <c r="A1740" s="12" t="s">
        <v>1043</v>
      </c>
      <c r="F1740" s="24">
        <f t="shared" si="586"/>
        <v>0</v>
      </c>
      <c r="G1740" s="24" t="e">
        <f t="shared" si="585"/>
        <v>#DIV/0!</v>
      </c>
      <c r="Q1740" s="29" t="str">
        <f t="shared" si="567"/>
        <v>NA</v>
      </c>
      <c r="R1740" s="29" t="str">
        <f t="shared" si="568"/>
        <v>NA</v>
      </c>
      <c r="S1740" s="29" t="str">
        <f t="shared" si="569"/>
        <v>NA</v>
      </c>
      <c r="T1740" s="29" t="str">
        <f t="shared" si="570"/>
        <v>NA</v>
      </c>
      <c r="U1740" s="29" t="str">
        <f t="shared" si="571"/>
        <v>NA</v>
      </c>
      <c r="V1740" s="29" t="str">
        <f t="shared" si="572"/>
        <v>NA</v>
      </c>
      <c r="W1740" s="29" t="str">
        <f t="shared" si="573"/>
        <v>NA</v>
      </c>
      <c r="X1740" s="29" t="str">
        <f t="shared" si="574"/>
        <v>NA</v>
      </c>
      <c r="Y1740" s="29" t="str">
        <f t="shared" si="575"/>
        <v>NA</v>
      </c>
      <c r="Z1740" s="29" t="str">
        <f t="shared" si="576"/>
        <v>NA</v>
      </c>
      <c r="AA1740" s="29" t="str">
        <f t="shared" si="577"/>
        <v>NA</v>
      </c>
      <c r="AB1740" s="29" t="str">
        <f t="shared" si="578"/>
        <v>NA</v>
      </c>
      <c r="AC1740" s="29" t="str">
        <f t="shared" si="579"/>
        <v>NA</v>
      </c>
      <c r="AD1740" s="29" t="str">
        <f t="shared" si="580"/>
        <v>NA</v>
      </c>
      <c r="AE1740" s="29" t="str">
        <f t="shared" si="581"/>
        <v>NA</v>
      </c>
      <c r="AF1740" s="29" t="str">
        <f t="shared" si="582"/>
        <v>NA</v>
      </c>
      <c r="AG1740" s="29" t="str">
        <f t="shared" si="583"/>
        <v>NA</v>
      </c>
      <c r="AH1740" s="29" t="str">
        <f t="shared" si="584"/>
        <v>NA</v>
      </c>
    </row>
    <row r="1741" customHeight="1" spans="1:34">
      <c r="A1741" s="12" t="s">
        <v>1043</v>
      </c>
      <c r="F1741" s="24">
        <f t="shared" si="586"/>
        <v>0</v>
      </c>
      <c r="G1741" s="24" t="e">
        <f t="shared" si="585"/>
        <v>#DIV/0!</v>
      </c>
      <c r="Q1741" s="29" t="str">
        <f t="shared" si="567"/>
        <v>NA</v>
      </c>
      <c r="R1741" s="29" t="str">
        <f t="shared" si="568"/>
        <v>NA</v>
      </c>
      <c r="S1741" s="29" t="str">
        <f t="shared" si="569"/>
        <v>NA</v>
      </c>
      <c r="T1741" s="29" t="str">
        <f t="shared" si="570"/>
        <v>NA</v>
      </c>
      <c r="U1741" s="29" t="str">
        <f t="shared" si="571"/>
        <v>NA</v>
      </c>
      <c r="V1741" s="29" t="str">
        <f t="shared" si="572"/>
        <v>NA</v>
      </c>
      <c r="W1741" s="29" t="str">
        <f t="shared" si="573"/>
        <v>NA</v>
      </c>
      <c r="X1741" s="29" t="str">
        <f t="shared" si="574"/>
        <v>NA</v>
      </c>
      <c r="Y1741" s="29" t="str">
        <f t="shared" si="575"/>
        <v>NA</v>
      </c>
      <c r="Z1741" s="29" t="str">
        <f t="shared" si="576"/>
        <v>NA</v>
      </c>
      <c r="AA1741" s="29" t="str">
        <f t="shared" si="577"/>
        <v>NA</v>
      </c>
      <c r="AB1741" s="29" t="str">
        <f t="shared" si="578"/>
        <v>NA</v>
      </c>
      <c r="AC1741" s="29" t="str">
        <f t="shared" si="579"/>
        <v>NA</v>
      </c>
      <c r="AD1741" s="29" t="str">
        <f t="shared" si="580"/>
        <v>NA</v>
      </c>
      <c r="AE1741" s="29" t="str">
        <f t="shared" si="581"/>
        <v>NA</v>
      </c>
      <c r="AF1741" s="29" t="str">
        <f t="shared" si="582"/>
        <v>NA</v>
      </c>
      <c r="AG1741" s="29" t="str">
        <f t="shared" si="583"/>
        <v>NA</v>
      </c>
      <c r="AH1741" s="29" t="str">
        <f t="shared" si="584"/>
        <v>NA</v>
      </c>
    </row>
    <row r="1742" customHeight="1" spans="1:34">
      <c r="A1742" s="12" t="s">
        <v>1043</v>
      </c>
      <c r="F1742" s="24">
        <f t="shared" si="586"/>
        <v>0</v>
      </c>
      <c r="G1742" s="24" t="e">
        <f t="shared" si="585"/>
        <v>#DIV/0!</v>
      </c>
      <c r="Q1742" s="29" t="str">
        <f t="shared" si="567"/>
        <v>NA</v>
      </c>
      <c r="R1742" s="29" t="str">
        <f t="shared" si="568"/>
        <v>NA</v>
      </c>
      <c r="S1742" s="29" t="str">
        <f t="shared" si="569"/>
        <v>NA</v>
      </c>
      <c r="T1742" s="29" t="str">
        <f t="shared" si="570"/>
        <v>NA</v>
      </c>
      <c r="U1742" s="29" t="str">
        <f t="shared" si="571"/>
        <v>NA</v>
      </c>
      <c r="V1742" s="29" t="str">
        <f t="shared" si="572"/>
        <v>NA</v>
      </c>
      <c r="W1742" s="29" t="str">
        <f t="shared" si="573"/>
        <v>NA</v>
      </c>
      <c r="X1742" s="29" t="str">
        <f t="shared" si="574"/>
        <v>NA</v>
      </c>
      <c r="Y1742" s="29" t="str">
        <f t="shared" si="575"/>
        <v>NA</v>
      </c>
      <c r="Z1742" s="29" t="str">
        <f t="shared" si="576"/>
        <v>NA</v>
      </c>
      <c r="AA1742" s="29" t="str">
        <f t="shared" si="577"/>
        <v>NA</v>
      </c>
      <c r="AB1742" s="29" t="str">
        <f t="shared" si="578"/>
        <v>NA</v>
      </c>
      <c r="AC1742" s="29" t="str">
        <f t="shared" si="579"/>
        <v>NA</v>
      </c>
      <c r="AD1742" s="29" t="str">
        <f t="shared" si="580"/>
        <v>NA</v>
      </c>
      <c r="AE1742" s="29" t="str">
        <f t="shared" si="581"/>
        <v>NA</v>
      </c>
      <c r="AF1742" s="29" t="str">
        <f t="shared" si="582"/>
        <v>NA</v>
      </c>
      <c r="AG1742" s="29" t="str">
        <f t="shared" si="583"/>
        <v>NA</v>
      </c>
      <c r="AH1742" s="29" t="str">
        <f t="shared" si="584"/>
        <v>NA</v>
      </c>
    </row>
    <row r="1743" customHeight="1" spans="1:34">
      <c r="A1743" s="12" t="s">
        <v>1043</v>
      </c>
      <c r="F1743" s="24">
        <f t="shared" si="586"/>
        <v>0</v>
      </c>
      <c r="G1743" s="24" t="e">
        <f t="shared" si="585"/>
        <v>#DIV/0!</v>
      </c>
      <c r="Q1743" s="29" t="str">
        <f t="shared" si="567"/>
        <v>NA</v>
      </c>
      <c r="R1743" s="29" t="str">
        <f t="shared" si="568"/>
        <v>NA</v>
      </c>
      <c r="S1743" s="29" t="str">
        <f t="shared" si="569"/>
        <v>NA</v>
      </c>
      <c r="T1743" s="29" t="str">
        <f t="shared" si="570"/>
        <v>NA</v>
      </c>
      <c r="U1743" s="29" t="str">
        <f t="shared" si="571"/>
        <v>NA</v>
      </c>
      <c r="V1743" s="29" t="str">
        <f t="shared" si="572"/>
        <v>NA</v>
      </c>
      <c r="W1743" s="29" t="str">
        <f t="shared" si="573"/>
        <v>NA</v>
      </c>
      <c r="X1743" s="29" t="str">
        <f t="shared" si="574"/>
        <v>NA</v>
      </c>
      <c r="Y1743" s="29" t="str">
        <f t="shared" si="575"/>
        <v>NA</v>
      </c>
      <c r="Z1743" s="29" t="str">
        <f t="shared" si="576"/>
        <v>NA</v>
      </c>
      <c r="AA1743" s="29" t="str">
        <f t="shared" si="577"/>
        <v>NA</v>
      </c>
      <c r="AB1743" s="29" t="str">
        <f t="shared" si="578"/>
        <v>NA</v>
      </c>
      <c r="AC1743" s="29" t="str">
        <f t="shared" si="579"/>
        <v>NA</v>
      </c>
      <c r="AD1743" s="29" t="str">
        <f t="shared" si="580"/>
        <v>NA</v>
      </c>
      <c r="AE1743" s="29" t="str">
        <f t="shared" si="581"/>
        <v>NA</v>
      </c>
      <c r="AF1743" s="29" t="str">
        <f t="shared" si="582"/>
        <v>NA</v>
      </c>
      <c r="AG1743" s="29" t="str">
        <f t="shared" si="583"/>
        <v>NA</v>
      </c>
      <c r="AH1743" s="29" t="str">
        <f t="shared" si="584"/>
        <v>NA</v>
      </c>
    </row>
    <row r="1744" customHeight="1" spans="1:34">
      <c r="A1744" s="12" t="s">
        <v>1043</v>
      </c>
      <c r="F1744" s="24">
        <f t="shared" si="586"/>
        <v>0</v>
      </c>
      <c r="G1744" s="24" t="e">
        <f t="shared" si="585"/>
        <v>#DIV/0!</v>
      </c>
      <c r="Q1744" s="29" t="str">
        <f t="shared" ref="Q1744:Q1807" si="587">IFERROR($B1744*$E1744/H1744,"NA")</f>
        <v>NA</v>
      </c>
      <c r="R1744" s="29" t="str">
        <f t="shared" ref="R1744:R1807" si="588">IFERROR($B1744*$E1744/I1744,"NA")</f>
        <v>NA</v>
      </c>
      <c r="S1744" s="29" t="str">
        <f t="shared" ref="S1744:S1807" si="589">IFERROR($B1744*$E1744/J1744,"NA")</f>
        <v>NA</v>
      </c>
      <c r="T1744" s="29" t="str">
        <f t="shared" ref="T1744:T1807" si="590">IFERROR($B1744*$E1744/K1744,"NA")</f>
        <v>NA</v>
      </c>
      <c r="U1744" s="29" t="str">
        <f t="shared" ref="U1744:U1807" si="591">IFERROR($B1744*$E1744/L1744,"NA")</f>
        <v>NA</v>
      </c>
      <c r="V1744" s="29" t="str">
        <f t="shared" ref="V1744:V1807" si="592">IFERROR($B1744*$E1744/M1744,"NA")</f>
        <v>NA</v>
      </c>
      <c r="W1744" s="29" t="str">
        <f t="shared" ref="W1744:W1807" si="593">IFERROR($B1744*$E1744/N1744,"NA")</f>
        <v>NA</v>
      </c>
      <c r="X1744" s="29" t="str">
        <f t="shared" ref="X1744:X1807" si="594">IFERROR($B1744*$E1744/O1744,"NA")</f>
        <v>NA</v>
      </c>
      <c r="Y1744" s="29" t="str">
        <f t="shared" ref="Y1744:Y1807" si="595">IFERROR($B1744*$E1744/P1744,"NA")</f>
        <v>NA</v>
      </c>
      <c r="Z1744" s="29" t="str">
        <f t="shared" ref="Z1744:Z1807" si="596">IFERROR((($G1744*Z$2/1000)+Q1744)/1,"NA")</f>
        <v>NA</v>
      </c>
      <c r="AA1744" s="29" t="str">
        <f t="shared" ref="AA1744:AA1807" si="597">IFERROR((($G1744*AA$2/1000)+R1744)/1,"NA")</f>
        <v>NA</v>
      </c>
      <c r="AB1744" s="29" t="str">
        <f t="shared" ref="AB1744:AB1807" si="598">IFERROR((($G1744*AB$2/1000)+S1744)/1,"NA")</f>
        <v>NA</v>
      </c>
      <c r="AC1744" s="29" t="str">
        <f t="shared" ref="AC1744:AC1807" si="599">IFERROR((($G1744*AC$2/1000)+T1744)/1,"NA")</f>
        <v>NA</v>
      </c>
      <c r="AD1744" s="29" t="str">
        <f t="shared" ref="AD1744:AD1807" si="600">IFERROR((($G1744*AD$2/1000)+U1744)/1,"NA")</f>
        <v>NA</v>
      </c>
      <c r="AE1744" s="29" t="str">
        <f t="shared" ref="AE1744:AE1807" si="601">IFERROR((($G1744*AE$2/1000)+V1744)/1,"NA")</f>
        <v>NA</v>
      </c>
      <c r="AF1744" s="29" t="str">
        <f t="shared" ref="AF1744:AF1807" si="602">IFERROR((($G1744*AF$2/1000)+W1744)/1,"NA")</f>
        <v>NA</v>
      </c>
      <c r="AG1744" s="29" t="str">
        <f t="shared" ref="AG1744:AG1807" si="603">IFERROR((($G1744*AG$2/1000)+X1744)/1,"NA")</f>
        <v>NA</v>
      </c>
      <c r="AH1744" s="29" t="str">
        <f t="shared" ref="AH1744:AH1807" si="604">IFERROR((($G1744*AH$2/1000)+Y1744)/1,"NA")</f>
        <v>NA</v>
      </c>
    </row>
    <row r="1745" customHeight="1" spans="1:34">
      <c r="A1745" s="12" t="s">
        <v>1043</v>
      </c>
      <c r="F1745" s="24">
        <f t="shared" si="586"/>
        <v>0</v>
      </c>
      <c r="G1745" s="24" t="e">
        <f t="shared" si="585"/>
        <v>#DIV/0!</v>
      </c>
      <c r="Q1745" s="29" t="str">
        <f t="shared" si="587"/>
        <v>NA</v>
      </c>
      <c r="R1745" s="29" t="str">
        <f t="shared" si="588"/>
        <v>NA</v>
      </c>
      <c r="S1745" s="29" t="str">
        <f t="shared" si="589"/>
        <v>NA</v>
      </c>
      <c r="T1745" s="29" t="str">
        <f t="shared" si="590"/>
        <v>NA</v>
      </c>
      <c r="U1745" s="29" t="str">
        <f t="shared" si="591"/>
        <v>NA</v>
      </c>
      <c r="V1745" s="29" t="str">
        <f t="shared" si="592"/>
        <v>NA</v>
      </c>
      <c r="W1745" s="29" t="str">
        <f t="shared" si="593"/>
        <v>NA</v>
      </c>
      <c r="X1745" s="29" t="str">
        <f t="shared" si="594"/>
        <v>NA</v>
      </c>
      <c r="Y1745" s="29" t="str">
        <f t="shared" si="595"/>
        <v>NA</v>
      </c>
      <c r="Z1745" s="29" t="str">
        <f t="shared" si="596"/>
        <v>NA</v>
      </c>
      <c r="AA1745" s="29" t="str">
        <f t="shared" si="597"/>
        <v>NA</v>
      </c>
      <c r="AB1745" s="29" t="str">
        <f t="shared" si="598"/>
        <v>NA</v>
      </c>
      <c r="AC1745" s="29" t="str">
        <f t="shared" si="599"/>
        <v>NA</v>
      </c>
      <c r="AD1745" s="29" t="str">
        <f t="shared" si="600"/>
        <v>NA</v>
      </c>
      <c r="AE1745" s="29" t="str">
        <f t="shared" si="601"/>
        <v>NA</v>
      </c>
      <c r="AF1745" s="29" t="str">
        <f t="shared" si="602"/>
        <v>NA</v>
      </c>
      <c r="AG1745" s="29" t="str">
        <f t="shared" si="603"/>
        <v>NA</v>
      </c>
      <c r="AH1745" s="29" t="str">
        <f t="shared" si="604"/>
        <v>NA</v>
      </c>
    </row>
    <row r="1746" customHeight="1" spans="1:34">
      <c r="A1746" s="12" t="s">
        <v>1043</v>
      </c>
      <c r="F1746" s="24">
        <f t="shared" si="586"/>
        <v>0</v>
      </c>
      <c r="G1746" s="24" t="e">
        <f t="shared" si="585"/>
        <v>#DIV/0!</v>
      </c>
      <c r="Q1746" s="29" t="str">
        <f t="shared" si="587"/>
        <v>NA</v>
      </c>
      <c r="R1746" s="29" t="str">
        <f t="shared" si="588"/>
        <v>NA</v>
      </c>
      <c r="S1746" s="29" t="str">
        <f t="shared" si="589"/>
        <v>NA</v>
      </c>
      <c r="T1746" s="29" t="str">
        <f t="shared" si="590"/>
        <v>NA</v>
      </c>
      <c r="U1746" s="29" t="str">
        <f t="shared" si="591"/>
        <v>NA</v>
      </c>
      <c r="V1746" s="29" t="str">
        <f t="shared" si="592"/>
        <v>NA</v>
      </c>
      <c r="W1746" s="29" t="str">
        <f t="shared" si="593"/>
        <v>NA</v>
      </c>
      <c r="X1746" s="29" t="str">
        <f t="shared" si="594"/>
        <v>NA</v>
      </c>
      <c r="Y1746" s="29" t="str">
        <f t="shared" si="595"/>
        <v>NA</v>
      </c>
      <c r="Z1746" s="29" t="str">
        <f t="shared" si="596"/>
        <v>NA</v>
      </c>
      <c r="AA1746" s="29" t="str">
        <f t="shared" si="597"/>
        <v>NA</v>
      </c>
      <c r="AB1746" s="29" t="str">
        <f t="shared" si="598"/>
        <v>NA</v>
      </c>
      <c r="AC1746" s="29" t="str">
        <f t="shared" si="599"/>
        <v>NA</v>
      </c>
      <c r="AD1746" s="29" t="str">
        <f t="shared" si="600"/>
        <v>NA</v>
      </c>
      <c r="AE1746" s="29" t="str">
        <f t="shared" si="601"/>
        <v>NA</v>
      </c>
      <c r="AF1746" s="29" t="str">
        <f t="shared" si="602"/>
        <v>NA</v>
      </c>
      <c r="AG1746" s="29" t="str">
        <f t="shared" si="603"/>
        <v>NA</v>
      </c>
      <c r="AH1746" s="29" t="str">
        <f t="shared" si="604"/>
        <v>NA</v>
      </c>
    </row>
    <row r="1747" customHeight="1" spans="1:34">
      <c r="A1747" s="12" t="s">
        <v>1043</v>
      </c>
      <c r="F1747" s="24">
        <f t="shared" si="586"/>
        <v>0</v>
      </c>
      <c r="G1747" s="24" t="e">
        <f t="shared" si="585"/>
        <v>#DIV/0!</v>
      </c>
      <c r="Q1747" s="29" t="str">
        <f t="shared" si="587"/>
        <v>NA</v>
      </c>
      <c r="R1747" s="29" t="str">
        <f t="shared" si="588"/>
        <v>NA</v>
      </c>
      <c r="S1747" s="29" t="str">
        <f t="shared" si="589"/>
        <v>NA</v>
      </c>
      <c r="T1747" s="29" t="str">
        <f t="shared" si="590"/>
        <v>NA</v>
      </c>
      <c r="U1747" s="29" t="str">
        <f t="shared" si="591"/>
        <v>NA</v>
      </c>
      <c r="V1747" s="29" t="str">
        <f t="shared" si="592"/>
        <v>NA</v>
      </c>
      <c r="W1747" s="29" t="str">
        <f t="shared" si="593"/>
        <v>NA</v>
      </c>
      <c r="X1747" s="29" t="str">
        <f t="shared" si="594"/>
        <v>NA</v>
      </c>
      <c r="Y1747" s="29" t="str">
        <f t="shared" si="595"/>
        <v>NA</v>
      </c>
      <c r="Z1747" s="29" t="str">
        <f t="shared" si="596"/>
        <v>NA</v>
      </c>
      <c r="AA1747" s="29" t="str">
        <f t="shared" si="597"/>
        <v>NA</v>
      </c>
      <c r="AB1747" s="29" t="str">
        <f t="shared" si="598"/>
        <v>NA</v>
      </c>
      <c r="AC1747" s="29" t="str">
        <f t="shared" si="599"/>
        <v>NA</v>
      </c>
      <c r="AD1747" s="29" t="str">
        <f t="shared" si="600"/>
        <v>NA</v>
      </c>
      <c r="AE1747" s="29" t="str">
        <f t="shared" si="601"/>
        <v>NA</v>
      </c>
      <c r="AF1747" s="29" t="str">
        <f t="shared" si="602"/>
        <v>NA</v>
      </c>
      <c r="AG1747" s="29" t="str">
        <f t="shared" si="603"/>
        <v>NA</v>
      </c>
      <c r="AH1747" s="29" t="str">
        <f t="shared" si="604"/>
        <v>NA</v>
      </c>
    </row>
    <row r="1748" customHeight="1" spans="1:34">
      <c r="A1748" s="12" t="s">
        <v>1043</v>
      </c>
      <c r="F1748" s="24">
        <f t="shared" si="586"/>
        <v>0</v>
      </c>
      <c r="G1748" s="24" t="e">
        <f t="shared" si="585"/>
        <v>#DIV/0!</v>
      </c>
      <c r="Q1748" s="29" t="str">
        <f t="shared" si="587"/>
        <v>NA</v>
      </c>
      <c r="R1748" s="29" t="str">
        <f t="shared" si="588"/>
        <v>NA</v>
      </c>
      <c r="S1748" s="29" t="str">
        <f t="shared" si="589"/>
        <v>NA</v>
      </c>
      <c r="T1748" s="29" t="str">
        <f t="shared" si="590"/>
        <v>NA</v>
      </c>
      <c r="U1748" s="29" t="str">
        <f t="shared" si="591"/>
        <v>NA</v>
      </c>
      <c r="V1748" s="29" t="str">
        <f t="shared" si="592"/>
        <v>NA</v>
      </c>
      <c r="W1748" s="29" t="str">
        <f t="shared" si="593"/>
        <v>NA</v>
      </c>
      <c r="X1748" s="29" t="str">
        <f t="shared" si="594"/>
        <v>NA</v>
      </c>
      <c r="Y1748" s="29" t="str">
        <f t="shared" si="595"/>
        <v>NA</v>
      </c>
      <c r="Z1748" s="29" t="str">
        <f t="shared" si="596"/>
        <v>NA</v>
      </c>
      <c r="AA1748" s="29" t="str">
        <f t="shared" si="597"/>
        <v>NA</v>
      </c>
      <c r="AB1748" s="29" t="str">
        <f t="shared" si="598"/>
        <v>NA</v>
      </c>
      <c r="AC1748" s="29" t="str">
        <f t="shared" si="599"/>
        <v>NA</v>
      </c>
      <c r="AD1748" s="29" t="str">
        <f t="shared" si="600"/>
        <v>NA</v>
      </c>
      <c r="AE1748" s="29" t="str">
        <f t="shared" si="601"/>
        <v>NA</v>
      </c>
      <c r="AF1748" s="29" t="str">
        <f t="shared" si="602"/>
        <v>NA</v>
      </c>
      <c r="AG1748" s="29" t="str">
        <f t="shared" si="603"/>
        <v>NA</v>
      </c>
      <c r="AH1748" s="29" t="str">
        <f t="shared" si="604"/>
        <v>NA</v>
      </c>
    </row>
    <row r="1749" customHeight="1" spans="1:34">
      <c r="A1749" s="12" t="s">
        <v>1043</v>
      </c>
      <c r="F1749" s="24">
        <f t="shared" si="586"/>
        <v>0</v>
      </c>
      <c r="G1749" s="24" t="e">
        <f t="shared" si="585"/>
        <v>#DIV/0!</v>
      </c>
      <c r="Q1749" s="29" t="str">
        <f t="shared" si="587"/>
        <v>NA</v>
      </c>
      <c r="R1749" s="29" t="str">
        <f t="shared" si="588"/>
        <v>NA</v>
      </c>
      <c r="S1749" s="29" t="str">
        <f t="shared" si="589"/>
        <v>NA</v>
      </c>
      <c r="T1749" s="29" t="str">
        <f t="shared" si="590"/>
        <v>NA</v>
      </c>
      <c r="U1749" s="29" t="str">
        <f t="shared" si="591"/>
        <v>NA</v>
      </c>
      <c r="V1749" s="29" t="str">
        <f t="shared" si="592"/>
        <v>NA</v>
      </c>
      <c r="W1749" s="29" t="str">
        <f t="shared" si="593"/>
        <v>NA</v>
      </c>
      <c r="X1749" s="29" t="str">
        <f t="shared" si="594"/>
        <v>NA</v>
      </c>
      <c r="Y1749" s="29" t="str">
        <f t="shared" si="595"/>
        <v>NA</v>
      </c>
      <c r="Z1749" s="29" t="str">
        <f t="shared" si="596"/>
        <v>NA</v>
      </c>
      <c r="AA1749" s="29" t="str">
        <f t="shared" si="597"/>
        <v>NA</v>
      </c>
      <c r="AB1749" s="29" t="str">
        <f t="shared" si="598"/>
        <v>NA</v>
      </c>
      <c r="AC1749" s="29" t="str">
        <f t="shared" si="599"/>
        <v>NA</v>
      </c>
      <c r="AD1749" s="29" t="str">
        <f t="shared" si="600"/>
        <v>NA</v>
      </c>
      <c r="AE1749" s="29" t="str">
        <f t="shared" si="601"/>
        <v>NA</v>
      </c>
      <c r="AF1749" s="29" t="str">
        <f t="shared" si="602"/>
        <v>NA</v>
      </c>
      <c r="AG1749" s="29" t="str">
        <f t="shared" si="603"/>
        <v>NA</v>
      </c>
      <c r="AH1749" s="29" t="str">
        <f t="shared" si="604"/>
        <v>NA</v>
      </c>
    </row>
    <row r="1750" customHeight="1" spans="1:34">
      <c r="A1750" s="12" t="s">
        <v>1043</v>
      </c>
      <c r="F1750" s="24">
        <f t="shared" si="586"/>
        <v>0</v>
      </c>
      <c r="G1750" s="24" t="e">
        <f t="shared" si="585"/>
        <v>#DIV/0!</v>
      </c>
      <c r="Q1750" s="29" t="str">
        <f t="shared" si="587"/>
        <v>NA</v>
      </c>
      <c r="R1750" s="29" t="str">
        <f t="shared" si="588"/>
        <v>NA</v>
      </c>
      <c r="S1750" s="29" t="str">
        <f t="shared" si="589"/>
        <v>NA</v>
      </c>
      <c r="T1750" s="29" t="str">
        <f t="shared" si="590"/>
        <v>NA</v>
      </c>
      <c r="U1750" s="29" t="str">
        <f t="shared" si="591"/>
        <v>NA</v>
      </c>
      <c r="V1750" s="29" t="str">
        <f t="shared" si="592"/>
        <v>NA</v>
      </c>
      <c r="W1750" s="29" t="str">
        <f t="shared" si="593"/>
        <v>NA</v>
      </c>
      <c r="X1750" s="29" t="str">
        <f t="shared" si="594"/>
        <v>NA</v>
      </c>
      <c r="Y1750" s="29" t="str">
        <f t="shared" si="595"/>
        <v>NA</v>
      </c>
      <c r="Z1750" s="29" t="str">
        <f t="shared" si="596"/>
        <v>NA</v>
      </c>
      <c r="AA1750" s="29" t="str">
        <f t="shared" si="597"/>
        <v>NA</v>
      </c>
      <c r="AB1750" s="29" t="str">
        <f t="shared" si="598"/>
        <v>NA</v>
      </c>
      <c r="AC1750" s="29" t="str">
        <f t="shared" si="599"/>
        <v>NA</v>
      </c>
      <c r="AD1750" s="29" t="str">
        <f t="shared" si="600"/>
        <v>NA</v>
      </c>
      <c r="AE1750" s="29" t="str">
        <f t="shared" si="601"/>
        <v>NA</v>
      </c>
      <c r="AF1750" s="29" t="str">
        <f t="shared" si="602"/>
        <v>NA</v>
      </c>
      <c r="AG1750" s="29" t="str">
        <f t="shared" si="603"/>
        <v>NA</v>
      </c>
      <c r="AH1750" s="29" t="str">
        <f t="shared" si="604"/>
        <v>NA</v>
      </c>
    </row>
    <row r="1751" customHeight="1" spans="1:34">
      <c r="A1751" s="12" t="s">
        <v>1043</v>
      </c>
      <c r="F1751" s="24">
        <f t="shared" si="586"/>
        <v>0</v>
      </c>
      <c r="G1751" s="24" t="e">
        <f t="shared" si="585"/>
        <v>#DIV/0!</v>
      </c>
      <c r="Q1751" s="29" t="str">
        <f t="shared" si="587"/>
        <v>NA</v>
      </c>
      <c r="R1751" s="29" t="str">
        <f t="shared" si="588"/>
        <v>NA</v>
      </c>
      <c r="S1751" s="29" t="str">
        <f t="shared" si="589"/>
        <v>NA</v>
      </c>
      <c r="T1751" s="29" t="str">
        <f t="shared" si="590"/>
        <v>NA</v>
      </c>
      <c r="U1751" s="29" t="str">
        <f t="shared" si="591"/>
        <v>NA</v>
      </c>
      <c r="V1751" s="29" t="str">
        <f t="shared" si="592"/>
        <v>NA</v>
      </c>
      <c r="W1751" s="29" t="str">
        <f t="shared" si="593"/>
        <v>NA</v>
      </c>
      <c r="X1751" s="29" t="str">
        <f t="shared" si="594"/>
        <v>NA</v>
      </c>
      <c r="Y1751" s="29" t="str">
        <f t="shared" si="595"/>
        <v>NA</v>
      </c>
      <c r="Z1751" s="29" t="str">
        <f t="shared" si="596"/>
        <v>NA</v>
      </c>
      <c r="AA1751" s="29" t="str">
        <f t="shared" si="597"/>
        <v>NA</v>
      </c>
      <c r="AB1751" s="29" t="str">
        <f t="shared" si="598"/>
        <v>NA</v>
      </c>
      <c r="AC1751" s="29" t="str">
        <f t="shared" si="599"/>
        <v>NA</v>
      </c>
      <c r="AD1751" s="29" t="str">
        <f t="shared" si="600"/>
        <v>NA</v>
      </c>
      <c r="AE1751" s="29" t="str">
        <f t="shared" si="601"/>
        <v>NA</v>
      </c>
      <c r="AF1751" s="29" t="str">
        <f t="shared" si="602"/>
        <v>NA</v>
      </c>
      <c r="AG1751" s="29" t="str">
        <f t="shared" si="603"/>
        <v>NA</v>
      </c>
      <c r="AH1751" s="29" t="str">
        <f t="shared" si="604"/>
        <v>NA</v>
      </c>
    </row>
    <row r="1752" customHeight="1" spans="1:34">
      <c r="A1752" s="12" t="s">
        <v>1043</v>
      </c>
      <c r="F1752" s="24">
        <f t="shared" si="586"/>
        <v>0</v>
      </c>
      <c r="G1752" s="24" t="e">
        <f t="shared" si="585"/>
        <v>#DIV/0!</v>
      </c>
      <c r="Q1752" s="29" t="str">
        <f t="shared" si="587"/>
        <v>NA</v>
      </c>
      <c r="R1752" s="29" t="str">
        <f t="shared" si="588"/>
        <v>NA</v>
      </c>
      <c r="S1752" s="29" t="str">
        <f t="shared" si="589"/>
        <v>NA</v>
      </c>
      <c r="T1752" s="29" t="str">
        <f t="shared" si="590"/>
        <v>NA</v>
      </c>
      <c r="U1752" s="29" t="str">
        <f t="shared" si="591"/>
        <v>NA</v>
      </c>
      <c r="V1752" s="29" t="str">
        <f t="shared" si="592"/>
        <v>NA</v>
      </c>
      <c r="W1752" s="29" t="str">
        <f t="shared" si="593"/>
        <v>NA</v>
      </c>
      <c r="X1752" s="29" t="str">
        <f t="shared" si="594"/>
        <v>NA</v>
      </c>
      <c r="Y1752" s="29" t="str">
        <f t="shared" si="595"/>
        <v>NA</v>
      </c>
      <c r="Z1752" s="29" t="str">
        <f t="shared" si="596"/>
        <v>NA</v>
      </c>
      <c r="AA1752" s="29" t="str">
        <f t="shared" si="597"/>
        <v>NA</v>
      </c>
      <c r="AB1752" s="29" t="str">
        <f t="shared" si="598"/>
        <v>NA</v>
      </c>
      <c r="AC1752" s="29" t="str">
        <f t="shared" si="599"/>
        <v>NA</v>
      </c>
      <c r="AD1752" s="29" t="str">
        <f t="shared" si="600"/>
        <v>NA</v>
      </c>
      <c r="AE1752" s="29" t="str">
        <f t="shared" si="601"/>
        <v>NA</v>
      </c>
      <c r="AF1752" s="29" t="str">
        <f t="shared" si="602"/>
        <v>NA</v>
      </c>
      <c r="AG1752" s="29" t="str">
        <f t="shared" si="603"/>
        <v>NA</v>
      </c>
      <c r="AH1752" s="29" t="str">
        <f t="shared" si="604"/>
        <v>NA</v>
      </c>
    </row>
    <row r="1753" customHeight="1" spans="1:34">
      <c r="A1753" s="12" t="s">
        <v>1043</v>
      </c>
      <c r="F1753" s="24">
        <f t="shared" si="586"/>
        <v>0</v>
      </c>
      <c r="G1753" s="24" t="e">
        <f t="shared" si="585"/>
        <v>#DIV/0!</v>
      </c>
      <c r="Q1753" s="29" t="str">
        <f t="shared" si="587"/>
        <v>NA</v>
      </c>
      <c r="R1753" s="29" t="str">
        <f t="shared" si="588"/>
        <v>NA</v>
      </c>
      <c r="S1753" s="29" t="str">
        <f t="shared" si="589"/>
        <v>NA</v>
      </c>
      <c r="T1753" s="29" t="str">
        <f t="shared" si="590"/>
        <v>NA</v>
      </c>
      <c r="U1753" s="29" t="str">
        <f t="shared" si="591"/>
        <v>NA</v>
      </c>
      <c r="V1753" s="29" t="str">
        <f t="shared" si="592"/>
        <v>NA</v>
      </c>
      <c r="W1753" s="29" t="str">
        <f t="shared" si="593"/>
        <v>NA</v>
      </c>
      <c r="X1753" s="29" t="str">
        <f t="shared" si="594"/>
        <v>NA</v>
      </c>
      <c r="Y1753" s="29" t="str">
        <f t="shared" si="595"/>
        <v>NA</v>
      </c>
      <c r="Z1753" s="29" t="str">
        <f t="shared" si="596"/>
        <v>NA</v>
      </c>
      <c r="AA1753" s="29" t="str">
        <f t="shared" si="597"/>
        <v>NA</v>
      </c>
      <c r="AB1753" s="29" t="str">
        <f t="shared" si="598"/>
        <v>NA</v>
      </c>
      <c r="AC1753" s="29" t="str">
        <f t="shared" si="599"/>
        <v>NA</v>
      </c>
      <c r="AD1753" s="29" t="str">
        <f t="shared" si="600"/>
        <v>NA</v>
      </c>
      <c r="AE1753" s="29" t="str">
        <f t="shared" si="601"/>
        <v>NA</v>
      </c>
      <c r="AF1753" s="29" t="str">
        <f t="shared" si="602"/>
        <v>NA</v>
      </c>
      <c r="AG1753" s="29" t="str">
        <f t="shared" si="603"/>
        <v>NA</v>
      </c>
      <c r="AH1753" s="29" t="str">
        <f t="shared" si="604"/>
        <v>NA</v>
      </c>
    </row>
    <row r="1754" customHeight="1" spans="1:34">
      <c r="A1754" s="12" t="s">
        <v>1043</v>
      </c>
      <c r="F1754" s="24">
        <f t="shared" si="586"/>
        <v>0</v>
      </c>
      <c r="G1754" s="24" t="e">
        <f t="shared" si="585"/>
        <v>#DIV/0!</v>
      </c>
      <c r="Q1754" s="29" t="str">
        <f t="shared" si="587"/>
        <v>NA</v>
      </c>
      <c r="R1754" s="29" t="str">
        <f t="shared" si="588"/>
        <v>NA</v>
      </c>
      <c r="S1754" s="29" t="str">
        <f t="shared" si="589"/>
        <v>NA</v>
      </c>
      <c r="T1754" s="29" t="str">
        <f t="shared" si="590"/>
        <v>NA</v>
      </c>
      <c r="U1754" s="29" t="str">
        <f t="shared" si="591"/>
        <v>NA</v>
      </c>
      <c r="V1754" s="29" t="str">
        <f t="shared" si="592"/>
        <v>NA</v>
      </c>
      <c r="W1754" s="29" t="str">
        <f t="shared" si="593"/>
        <v>NA</v>
      </c>
      <c r="X1754" s="29" t="str">
        <f t="shared" si="594"/>
        <v>NA</v>
      </c>
      <c r="Y1754" s="29" t="str">
        <f t="shared" si="595"/>
        <v>NA</v>
      </c>
      <c r="Z1754" s="29" t="str">
        <f t="shared" si="596"/>
        <v>NA</v>
      </c>
      <c r="AA1754" s="29" t="str">
        <f t="shared" si="597"/>
        <v>NA</v>
      </c>
      <c r="AB1754" s="29" t="str">
        <f t="shared" si="598"/>
        <v>NA</v>
      </c>
      <c r="AC1754" s="29" t="str">
        <f t="shared" si="599"/>
        <v>NA</v>
      </c>
      <c r="AD1754" s="29" t="str">
        <f t="shared" si="600"/>
        <v>NA</v>
      </c>
      <c r="AE1754" s="29" t="str">
        <f t="shared" si="601"/>
        <v>NA</v>
      </c>
      <c r="AF1754" s="29" t="str">
        <f t="shared" si="602"/>
        <v>NA</v>
      </c>
      <c r="AG1754" s="29" t="str">
        <f t="shared" si="603"/>
        <v>NA</v>
      </c>
      <c r="AH1754" s="29" t="str">
        <f t="shared" si="604"/>
        <v>NA</v>
      </c>
    </row>
    <row r="1755" customHeight="1" spans="1:34">
      <c r="A1755" s="12" t="s">
        <v>1043</v>
      </c>
      <c r="F1755" s="24">
        <f t="shared" si="586"/>
        <v>0</v>
      </c>
      <c r="G1755" s="24" t="e">
        <f t="shared" si="585"/>
        <v>#DIV/0!</v>
      </c>
      <c r="Q1755" s="29" t="str">
        <f t="shared" si="587"/>
        <v>NA</v>
      </c>
      <c r="R1755" s="29" t="str">
        <f t="shared" si="588"/>
        <v>NA</v>
      </c>
      <c r="S1755" s="29" t="str">
        <f t="shared" si="589"/>
        <v>NA</v>
      </c>
      <c r="T1755" s="29" t="str">
        <f t="shared" si="590"/>
        <v>NA</v>
      </c>
      <c r="U1755" s="29" t="str">
        <f t="shared" si="591"/>
        <v>NA</v>
      </c>
      <c r="V1755" s="29" t="str">
        <f t="shared" si="592"/>
        <v>NA</v>
      </c>
      <c r="W1755" s="29" t="str">
        <f t="shared" si="593"/>
        <v>NA</v>
      </c>
      <c r="X1755" s="29" t="str">
        <f t="shared" si="594"/>
        <v>NA</v>
      </c>
      <c r="Y1755" s="29" t="str">
        <f t="shared" si="595"/>
        <v>NA</v>
      </c>
      <c r="Z1755" s="29" t="str">
        <f t="shared" si="596"/>
        <v>NA</v>
      </c>
      <c r="AA1755" s="29" t="str">
        <f t="shared" si="597"/>
        <v>NA</v>
      </c>
      <c r="AB1755" s="29" t="str">
        <f t="shared" si="598"/>
        <v>NA</v>
      </c>
      <c r="AC1755" s="29" t="str">
        <f t="shared" si="599"/>
        <v>NA</v>
      </c>
      <c r="AD1755" s="29" t="str">
        <f t="shared" si="600"/>
        <v>NA</v>
      </c>
      <c r="AE1755" s="29" t="str">
        <f t="shared" si="601"/>
        <v>NA</v>
      </c>
      <c r="AF1755" s="29" t="str">
        <f t="shared" si="602"/>
        <v>NA</v>
      </c>
      <c r="AG1755" s="29" t="str">
        <f t="shared" si="603"/>
        <v>NA</v>
      </c>
      <c r="AH1755" s="29" t="str">
        <f t="shared" si="604"/>
        <v>NA</v>
      </c>
    </row>
    <row r="1756" customHeight="1" spans="1:34">
      <c r="A1756" s="12" t="s">
        <v>1043</v>
      </c>
      <c r="F1756" s="24">
        <f t="shared" si="586"/>
        <v>0</v>
      </c>
      <c r="G1756" s="24" t="e">
        <f t="shared" si="585"/>
        <v>#DIV/0!</v>
      </c>
      <c r="Q1756" s="29" t="str">
        <f t="shared" si="587"/>
        <v>NA</v>
      </c>
      <c r="R1756" s="29" t="str">
        <f t="shared" si="588"/>
        <v>NA</v>
      </c>
      <c r="S1756" s="29" t="str">
        <f t="shared" si="589"/>
        <v>NA</v>
      </c>
      <c r="T1756" s="29" t="str">
        <f t="shared" si="590"/>
        <v>NA</v>
      </c>
      <c r="U1756" s="29" t="str">
        <f t="shared" si="591"/>
        <v>NA</v>
      </c>
      <c r="V1756" s="29" t="str">
        <f t="shared" si="592"/>
        <v>NA</v>
      </c>
      <c r="W1756" s="29" t="str">
        <f t="shared" si="593"/>
        <v>NA</v>
      </c>
      <c r="X1756" s="29" t="str">
        <f t="shared" si="594"/>
        <v>NA</v>
      </c>
      <c r="Y1756" s="29" t="str">
        <f t="shared" si="595"/>
        <v>NA</v>
      </c>
      <c r="Z1756" s="29" t="str">
        <f t="shared" si="596"/>
        <v>NA</v>
      </c>
      <c r="AA1756" s="29" t="str">
        <f t="shared" si="597"/>
        <v>NA</v>
      </c>
      <c r="AB1756" s="29" t="str">
        <f t="shared" si="598"/>
        <v>NA</v>
      </c>
      <c r="AC1756" s="29" t="str">
        <f t="shared" si="599"/>
        <v>NA</v>
      </c>
      <c r="AD1756" s="29" t="str">
        <f t="shared" si="600"/>
        <v>NA</v>
      </c>
      <c r="AE1756" s="29" t="str">
        <f t="shared" si="601"/>
        <v>NA</v>
      </c>
      <c r="AF1756" s="29" t="str">
        <f t="shared" si="602"/>
        <v>NA</v>
      </c>
      <c r="AG1756" s="29" t="str">
        <f t="shared" si="603"/>
        <v>NA</v>
      </c>
      <c r="AH1756" s="29" t="str">
        <f t="shared" si="604"/>
        <v>NA</v>
      </c>
    </row>
    <row r="1757" customHeight="1" spans="1:34">
      <c r="A1757" s="12" t="s">
        <v>1043</v>
      </c>
      <c r="F1757" s="24">
        <f t="shared" si="586"/>
        <v>0</v>
      </c>
      <c r="G1757" s="24" t="e">
        <f t="shared" si="585"/>
        <v>#DIV/0!</v>
      </c>
      <c r="Q1757" s="29" t="str">
        <f t="shared" si="587"/>
        <v>NA</v>
      </c>
      <c r="R1757" s="29" t="str">
        <f t="shared" si="588"/>
        <v>NA</v>
      </c>
      <c r="S1757" s="29" t="str">
        <f t="shared" si="589"/>
        <v>NA</v>
      </c>
      <c r="T1757" s="29" t="str">
        <f t="shared" si="590"/>
        <v>NA</v>
      </c>
      <c r="U1757" s="29" t="str">
        <f t="shared" si="591"/>
        <v>NA</v>
      </c>
      <c r="V1757" s="29" t="str">
        <f t="shared" si="592"/>
        <v>NA</v>
      </c>
      <c r="W1757" s="29" t="str">
        <f t="shared" si="593"/>
        <v>NA</v>
      </c>
      <c r="X1757" s="29" t="str">
        <f t="shared" si="594"/>
        <v>NA</v>
      </c>
      <c r="Y1757" s="29" t="str">
        <f t="shared" si="595"/>
        <v>NA</v>
      </c>
      <c r="Z1757" s="29" t="str">
        <f t="shared" si="596"/>
        <v>NA</v>
      </c>
      <c r="AA1757" s="29" t="str">
        <f t="shared" si="597"/>
        <v>NA</v>
      </c>
      <c r="AB1757" s="29" t="str">
        <f t="shared" si="598"/>
        <v>NA</v>
      </c>
      <c r="AC1757" s="29" t="str">
        <f t="shared" si="599"/>
        <v>NA</v>
      </c>
      <c r="AD1757" s="29" t="str">
        <f t="shared" si="600"/>
        <v>NA</v>
      </c>
      <c r="AE1757" s="29" t="str">
        <f t="shared" si="601"/>
        <v>NA</v>
      </c>
      <c r="AF1757" s="29" t="str">
        <f t="shared" si="602"/>
        <v>NA</v>
      </c>
      <c r="AG1757" s="29" t="str">
        <f t="shared" si="603"/>
        <v>NA</v>
      </c>
      <c r="AH1757" s="29" t="str">
        <f t="shared" si="604"/>
        <v>NA</v>
      </c>
    </row>
    <row r="1758" customHeight="1" spans="1:34">
      <c r="A1758" s="12" t="s">
        <v>1043</v>
      </c>
      <c r="F1758" s="24">
        <f t="shared" si="586"/>
        <v>0</v>
      </c>
      <c r="G1758" s="24" t="e">
        <f t="shared" si="585"/>
        <v>#DIV/0!</v>
      </c>
      <c r="Q1758" s="29" t="str">
        <f t="shared" si="587"/>
        <v>NA</v>
      </c>
      <c r="R1758" s="29" t="str">
        <f t="shared" si="588"/>
        <v>NA</v>
      </c>
      <c r="S1758" s="29" t="str">
        <f t="shared" si="589"/>
        <v>NA</v>
      </c>
      <c r="T1758" s="29" t="str">
        <f t="shared" si="590"/>
        <v>NA</v>
      </c>
      <c r="U1758" s="29" t="str">
        <f t="shared" si="591"/>
        <v>NA</v>
      </c>
      <c r="V1758" s="29" t="str">
        <f t="shared" si="592"/>
        <v>NA</v>
      </c>
      <c r="W1758" s="29" t="str">
        <f t="shared" si="593"/>
        <v>NA</v>
      </c>
      <c r="X1758" s="29" t="str">
        <f t="shared" si="594"/>
        <v>NA</v>
      </c>
      <c r="Y1758" s="29" t="str">
        <f t="shared" si="595"/>
        <v>NA</v>
      </c>
      <c r="Z1758" s="29" t="str">
        <f t="shared" si="596"/>
        <v>NA</v>
      </c>
      <c r="AA1758" s="29" t="str">
        <f t="shared" si="597"/>
        <v>NA</v>
      </c>
      <c r="AB1758" s="29" t="str">
        <f t="shared" si="598"/>
        <v>NA</v>
      </c>
      <c r="AC1758" s="29" t="str">
        <f t="shared" si="599"/>
        <v>NA</v>
      </c>
      <c r="AD1758" s="29" t="str">
        <f t="shared" si="600"/>
        <v>NA</v>
      </c>
      <c r="AE1758" s="29" t="str">
        <f t="shared" si="601"/>
        <v>NA</v>
      </c>
      <c r="AF1758" s="29" t="str">
        <f t="shared" si="602"/>
        <v>NA</v>
      </c>
      <c r="AG1758" s="29" t="str">
        <f t="shared" si="603"/>
        <v>NA</v>
      </c>
      <c r="AH1758" s="29" t="str">
        <f t="shared" si="604"/>
        <v>NA</v>
      </c>
    </row>
    <row r="1759" customHeight="1" spans="1:34">
      <c r="A1759" s="12" t="s">
        <v>1043</v>
      </c>
      <c r="F1759" s="24">
        <f t="shared" si="586"/>
        <v>0</v>
      </c>
      <c r="G1759" s="24" t="e">
        <f t="shared" si="585"/>
        <v>#DIV/0!</v>
      </c>
      <c r="Q1759" s="29" t="str">
        <f t="shared" si="587"/>
        <v>NA</v>
      </c>
      <c r="R1759" s="29" t="str">
        <f t="shared" si="588"/>
        <v>NA</v>
      </c>
      <c r="S1759" s="29" t="str">
        <f t="shared" si="589"/>
        <v>NA</v>
      </c>
      <c r="T1759" s="29" t="str">
        <f t="shared" si="590"/>
        <v>NA</v>
      </c>
      <c r="U1759" s="29" t="str">
        <f t="shared" si="591"/>
        <v>NA</v>
      </c>
      <c r="V1759" s="29" t="str">
        <f t="shared" si="592"/>
        <v>NA</v>
      </c>
      <c r="W1759" s="29" t="str">
        <f t="shared" si="593"/>
        <v>NA</v>
      </c>
      <c r="X1759" s="29" t="str">
        <f t="shared" si="594"/>
        <v>NA</v>
      </c>
      <c r="Y1759" s="29" t="str">
        <f t="shared" si="595"/>
        <v>NA</v>
      </c>
      <c r="Z1759" s="29" t="str">
        <f t="shared" si="596"/>
        <v>NA</v>
      </c>
      <c r="AA1759" s="29" t="str">
        <f t="shared" si="597"/>
        <v>NA</v>
      </c>
      <c r="AB1759" s="29" t="str">
        <f t="shared" si="598"/>
        <v>NA</v>
      </c>
      <c r="AC1759" s="29" t="str">
        <f t="shared" si="599"/>
        <v>NA</v>
      </c>
      <c r="AD1759" s="29" t="str">
        <f t="shared" si="600"/>
        <v>NA</v>
      </c>
      <c r="AE1759" s="29" t="str">
        <f t="shared" si="601"/>
        <v>NA</v>
      </c>
      <c r="AF1759" s="29" t="str">
        <f t="shared" si="602"/>
        <v>NA</v>
      </c>
      <c r="AG1759" s="29" t="str">
        <f t="shared" si="603"/>
        <v>NA</v>
      </c>
      <c r="AH1759" s="29" t="str">
        <f t="shared" si="604"/>
        <v>NA</v>
      </c>
    </row>
    <row r="1760" customHeight="1" spans="1:34">
      <c r="A1760" s="12" t="s">
        <v>1043</v>
      </c>
      <c r="F1760" s="24">
        <f t="shared" si="586"/>
        <v>0</v>
      </c>
      <c r="G1760" s="24" t="e">
        <f t="shared" si="585"/>
        <v>#DIV/0!</v>
      </c>
      <c r="Q1760" s="29" t="str">
        <f t="shared" si="587"/>
        <v>NA</v>
      </c>
      <c r="R1760" s="29" t="str">
        <f t="shared" si="588"/>
        <v>NA</v>
      </c>
      <c r="S1760" s="29" t="str">
        <f t="shared" si="589"/>
        <v>NA</v>
      </c>
      <c r="T1760" s="29" t="str">
        <f t="shared" si="590"/>
        <v>NA</v>
      </c>
      <c r="U1760" s="29" t="str">
        <f t="shared" si="591"/>
        <v>NA</v>
      </c>
      <c r="V1760" s="29" t="str">
        <f t="shared" si="592"/>
        <v>NA</v>
      </c>
      <c r="W1760" s="29" t="str">
        <f t="shared" si="593"/>
        <v>NA</v>
      </c>
      <c r="X1760" s="29" t="str">
        <f t="shared" si="594"/>
        <v>NA</v>
      </c>
      <c r="Y1760" s="29" t="str">
        <f t="shared" si="595"/>
        <v>NA</v>
      </c>
      <c r="Z1760" s="29" t="str">
        <f t="shared" si="596"/>
        <v>NA</v>
      </c>
      <c r="AA1760" s="29" t="str">
        <f t="shared" si="597"/>
        <v>NA</v>
      </c>
      <c r="AB1760" s="29" t="str">
        <f t="shared" si="598"/>
        <v>NA</v>
      </c>
      <c r="AC1760" s="29" t="str">
        <f t="shared" si="599"/>
        <v>NA</v>
      </c>
      <c r="AD1760" s="29" t="str">
        <f t="shared" si="600"/>
        <v>NA</v>
      </c>
      <c r="AE1760" s="29" t="str">
        <f t="shared" si="601"/>
        <v>NA</v>
      </c>
      <c r="AF1760" s="29" t="str">
        <f t="shared" si="602"/>
        <v>NA</v>
      </c>
      <c r="AG1760" s="29" t="str">
        <f t="shared" si="603"/>
        <v>NA</v>
      </c>
      <c r="AH1760" s="29" t="str">
        <f t="shared" si="604"/>
        <v>NA</v>
      </c>
    </row>
    <row r="1761" customHeight="1" spans="1:34">
      <c r="A1761" s="12" t="s">
        <v>1043</v>
      </c>
      <c r="F1761" s="24">
        <f t="shared" si="586"/>
        <v>0</v>
      </c>
      <c r="G1761" s="24" t="e">
        <f t="shared" si="585"/>
        <v>#DIV/0!</v>
      </c>
      <c r="Q1761" s="29" t="str">
        <f t="shared" si="587"/>
        <v>NA</v>
      </c>
      <c r="R1761" s="29" t="str">
        <f t="shared" si="588"/>
        <v>NA</v>
      </c>
      <c r="S1761" s="29" t="str">
        <f t="shared" si="589"/>
        <v>NA</v>
      </c>
      <c r="T1761" s="29" t="str">
        <f t="shared" si="590"/>
        <v>NA</v>
      </c>
      <c r="U1761" s="29" t="str">
        <f t="shared" si="591"/>
        <v>NA</v>
      </c>
      <c r="V1761" s="29" t="str">
        <f t="shared" si="592"/>
        <v>NA</v>
      </c>
      <c r="W1761" s="29" t="str">
        <f t="shared" si="593"/>
        <v>NA</v>
      </c>
      <c r="X1761" s="29" t="str">
        <f t="shared" si="594"/>
        <v>NA</v>
      </c>
      <c r="Y1761" s="29" t="str">
        <f t="shared" si="595"/>
        <v>NA</v>
      </c>
      <c r="Z1761" s="29" t="str">
        <f t="shared" si="596"/>
        <v>NA</v>
      </c>
      <c r="AA1761" s="29" t="str">
        <f t="shared" si="597"/>
        <v>NA</v>
      </c>
      <c r="AB1761" s="29" t="str">
        <f t="shared" si="598"/>
        <v>NA</v>
      </c>
      <c r="AC1761" s="29" t="str">
        <f t="shared" si="599"/>
        <v>NA</v>
      </c>
      <c r="AD1761" s="29" t="str">
        <f t="shared" si="600"/>
        <v>NA</v>
      </c>
      <c r="AE1761" s="29" t="str">
        <f t="shared" si="601"/>
        <v>NA</v>
      </c>
      <c r="AF1761" s="29" t="str">
        <f t="shared" si="602"/>
        <v>NA</v>
      </c>
      <c r="AG1761" s="29" t="str">
        <f t="shared" si="603"/>
        <v>NA</v>
      </c>
      <c r="AH1761" s="29" t="str">
        <f t="shared" si="604"/>
        <v>NA</v>
      </c>
    </row>
    <row r="1762" customHeight="1" spans="1:34">
      <c r="A1762" s="12" t="s">
        <v>1043</v>
      </c>
      <c r="F1762" s="24">
        <f t="shared" si="586"/>
        <v>0</v>
      </c>
      <c r="G1762" s="24" t="e">
        <f t="shared" si="585"/>
        <v>#DIV/0!</v>
      </c>
      <c r="Q1762" s="29" t="str">
        <f t="shared" si="587"/>
        <v>NA</v>
      </c>
      <c r="R1762" s="29" t="str">
        <f t="shared" si="588"/>
        <v>NA</v>
      </c>
      <c r="S1762" s="29" t="str">
        <f t="shared" si="589"/>
        <v>NA</v>
      </c>
      <c r="T1762" s="29" t="str">
        <f t="shared" si="590"/>
        <v>NA</v>
      </c>
      <c r="U1762" s="29" t="str">
        <f t="shared" si="591"/>
        <v>NA</v>
      </c>
      <c r="V1762" s="29" t="str">
        <f t="shared" si="592"/>
        <v>NA</v>
      </c>
      <c r="W1762" s="29" t="str">
        <f t="shared" si="593"/>
        <v>NA</v>
      </c>
      <c r="X1762" s="29" t="str">
        <f t="shared" si="594"/>
        <v>NA</v>
      </c>
      <c r="Y1762" s="29" t="str">
        <f t="shared" si="595"/>
        <v>NA</v>
      </c>
      <c r="Z1762" s="29" t="str">
        <f t="shared" si="596"/>
        <v>NA</v>
      </c>
      <c r="AA1762" s="29" t="str">
        <f t="shared" si="597"/>
        <v>NA</v>
      </c>
      <c r="AB1762" s="29" t="str">
        <f t="shared" si="598"/>
        <v>NA</v>
      </c>
      <c r="AC1762" s="29" t="str">
        <f t="shared" si="599"/>
        <v>NA</v>
      </c>
      <c r="AD1762" s="29" t="str">
        <f t="shared" si="600"/>
        <v>NA</v>
      </c>
      <c r="AE1762" s="29" t="str">
        <f t="shared" si="601"/>
        <v>NA</v>
      </c>
      <c r="AF1762" s="29" t="str">
        <f t="shared" si="602"/>
        <v>NA</v>
      </c>
      <c r="AG1762" s="29" t="str">
        <f t="shared" si="603"/>
        <v>NA</v>
      </c>
      <c r="AH1762" s="29" t="str">
        <f t="shared" si="604"/>
        <v>NA</v>
      </c>
    </row>
    <row r="1763" customHeight="1" spans="1:34">
      <c r="A1763" s="12" t="s">
        <v>1043</v>
      </c>
      <c r="F1763" s="24">
        <f t="shared" si="586"/>
        <v>0</v>
      </c>
      <c r="G1763" s="24" t="e">
        <f t="shared" si="585"/>
        <v>#DIV/0!</v>
      </c>
      <c r="Q1763" s="29" t="str">
        <f t="shared" si="587"/>
        <v>NA</v>
      </c>
      <c r="R1763" s="29" t="str">
        <f t="shared" si="588"/>
        <v>NA</v>
      </c>
      <c r="S1763" s="29" t="str">
        <f t="shared" si="589"/>
        <v>NA</v>
      </c>
      <c r="T1763" s="29" t="str">
        <f t="shared" si="590"/>
        <v>NA</v>
      </c>
      <c r="U1763" s="29" t="str">
        <f t="shared" si="591"/>
        <v>NA</v>
      </c>
      <c r="V1763" s="29" t="str">
        <f t="shared" si="592"/>
        <v>NA</v>
      </c>
      <c r="W1763" s="29" t="str">
        <f t="shared" si="593"/>
        <v>NA</v>
      </c>
      <c r="X1763" s="29" t="str">
        <f t="shared" si="594"/>
        <v>NA</v>
      </c>
      <c r="Y1763" s="29" t="str">
        <f t="shared" si="595"/>
        <v>NA</v>
      </c>
      <c r="Z1763" s="29" t="str">
        <f t="shared" si="596"/>
        <v>NA</v>
      </c>
      <c r="AA1763" s="29" t="str">
        <f t="shared" si="597"/>
        <v>NA</v>
      </c>
      <c r="AB1763" s="29" t="str">
        <f t="shared" si="598"/>
        <v>NA</v>
      </c>
      <c r="AC1763" s="29" t="str">
        <f t="shared" si="599"/>
        <v>NA</v>
      </c>
      <c r="AD1763" s="29" t="str">
        <f t="shared" si="600"/>
        <v>NA</v>
      </c>
      <c r="AE1763" s="29" t="str">
        <f t="shared" si="601"/>
        <v>NA</v>
      </c>
      <c r="AF1763" s="29" t="str">
        <f t="shared" si="602"/>
        <v>NA</v>
      </c>
      <c r="AG1763" s="29" t="str">
        <f t="shared" si="603"/>
        <v>NA</v>
      </c>
      <c r="AH1763" s="29" t="str">
        <f t="shared" si="604"/>
        <v>NA</v>
      </c>
    </row>
    <row r="1764" customHeight="1" spans="1:34">
      <c r="A1764" s="12" t="s">
        <v>1043</v>
      </c>
      <c r="F1764" s="24">
        <f t="shared" si="586"/>
        <v>0</v>
      </c>
      <c r="G1764" s="24" t="e">
        <f t="shared" si="585"/>
        <v>#DIV/0!</v>
      </c>
      <c r="Q1764" s="29" t="str">
        <f t="shared" si="587"/>
        <v>NA</v>
      </c>
      <c r="R1764" s="29" t="str">
        <f t="shared" si="588"/>
        <v>NA</v>
      </c>
      <c r="S1764" s="29" t="str">
        <f t="shared" si="589"/>
        <v>NA</v>
      </c>
      <c r="T1764" s="29" t="str">
        <f t="shared" si="590"/>
        <v>NA</v>
      </c>
      <c r="U1764" s="29" t="str">
        <f t="shared" si="591"/>
        <v>NA</v>
      </c>
      <c r="V1764" s="29" t="str">
        <f t="shared" si="592"/>
        <v>NA</v>
      </c>
      <c r="W1764" s="29" t="str">
        <f t="shared" si="593"/>
        <v>NA</v>
      </c>
      <c r="X1764" s="29" t="str">
        <f t="shared" si="594"/>
        <v>NA</v>
      </c>
      <c r="Y1764" s="29" t="str">
        <f t="shared" si="595"/>
        <v>NA</v>
      </c>
      <c r="Z1764" s="29" t="str">
        <f t="shared" si="596"/>
        <v>NA</v>
      </c>
      <c r="AA1764" s="29" t="str">
        <f t="shared" si="597"/>
        <v>NA</v>
      </c>
      <c r="AB1764" s="29" t="str">
        <f t="shared" si="598"/>
        <v>NA</v>
      </c>
      <c r="AC1764" s="29" t="str">
        <f t="shared" si="599"/>
        <v>NA</v>
      </c>
      <c r="AD1764" s="29" t="str">
        <f t="shared" si="600"/>
        <v>NA</v>
      </c>
      <c r="AE1764" s="29" t="str">
        <f t="shared" si="601"/>
        <v>NA</v>
      </c>
      <c r="AF1764" s="29" t="str">
        <f t="shared" si="602"/>
        <v>NA</v>
      </c>
      <c r="AG1764" s="29" t="str">
        <f t="shared" si="603"/>
        <v>NA</v>
      </c>
      <c r="AH1764" s="29" t="str">
        <f t="shared" si="604"/>
        <v>NA</v>
      </c>
    </row>
    <row r="1765" customHeight="1" spans="1:34">
      <c r="A1765" s="12" t="s">
        <v>1043</v>
      </c>
      <c r="F1765" s="24">
        <f t="shared" si="586"/>
        <v>0</v>
      </c>
      <c r="G1765" s="24" t="e">
        <f t="shared" si="585"/>
        <v>#DIV/0!</v>
      </c>
      <c r="Q1765" s="29" t="str">
        <f t="shared" si="587"/>
        <v>NA</v>
      </c>
      <c r="R1765" s="29" t="str">
        <f t="shared" si="588"/>
        <v>NA</v>
      </c>
      <c r="S1765" s="29" t="str">
        <f t="shared" si="589"/>
        <v>NA</v>
      </c>
      <c r="T1765" s="29" t="str">
        <f t="shared" si="590"/>
        <v>NA</v>
      </c>
      <c r="U1765" s="29" t="str">
        <f t="shared" si="591"/>
        <v>NA</v>
      </c>
      <c r="V1765" s="29" t="str">
        <f t="shared" si="592"/>
        <v>NA</v>
      </c>
      <c r="W1765" s="29" t="str">
        <f t="shared" si="593"/>
        <v>NA</v>
      </c>
      <c r="X1765" s="29" t="str">
        <f t="shared" si="594"/>
        <v>NA</v>
      </c>
      <c r="Y1765" s="29" t="str">
        <f t="shared" si="595"/>
        <v>NA</v>
      </c>
      <c r="Z1765" s="29" t="str">
        <f t="shared" si="596"/>
        <v>NA</v>
      </c>
      <c r="AA1765" s="29" t="str">
        <f t="shared" si="597"/>
        <v>NA</v>
      </c>
      <c r="AB1765" s="29" t="str">
        <f t="shared" si="598"/>
        <v>NA</v>
      </c>
      <c r="AC1765" s="29" t="str">
        <f t="shared" si="599"/>
        <v>NA</v>
      </c>
      <c r="AD1765" s="29" t="str">
        <f t="shared" si="600"/>
        <v>NA</v>
      </c>
      <c r="AE1765" s="29" t="str">
        <f t="shared" si="601"/>
        <v>NA</v>
      </c>
      <c r="AF1765" s="29" t="str">
        <f t="shared" si="602"/>
        <v>NA</v>
      </c>
      <c r="AG1765" s="29" t="str">
        <f t="shared" si="603"/>
        <v>NA</v>
      </c>
      <c r="AH1765" s="29" t="str">
        <f t="shared" si="604"/>
        <v>NA</v>
      </c>
    </row>
    <row r="1766" customHeight="1" spans="1:34">
      <c r="A1766" s="12" t="s">
        <v>1043</v>
      </c>
      <c r="F1766" s="24">
        <f t="shared" si="586"/>
        <v>0</v>
      </c>
      <c r="G1766" s="24" t="e">
        <f t="shared" si="585"/>
        <v>#DIV/0!</v>
      </c>
      <c r="Q1766" s="29" t="str">
        <f t="shared" si="587"/>
        <v>NA</v>
      </c>
      <c r="R1766" s="29" t="str">
        <f t="shared" si="588"/>
        <v>NA</v>
      </c>
      <c r="S1766" s="29" t="str">
        <f t="shared" si="589"/>
        <v>NA</v>
      </c>
      <c r="T1766" s="29" t="str">
        <f t="shared" si="590"/>
        <v>NA</v>
      </c>
      <c r="U1766" s="29" t="str">
        <f t="shared" si="591"/>
        <v>NA</v>
      </c>
      <c r="V1766" s="29" t="str">
        <f t="shared" si="592"/>
        <v>NA</v>
      </c>
      <c r="W1766" s="29" t="str">
        <f t="shared" si="593"/>
        <v>NA</v>
      </c>
      <c r="X1766" s="29" t="str">
        <f t="shared" si="594"/>
        <v>NA</v>
      </c>
      <c r="Y1766" s="29" t="str">
        <f t="shared" si="595"/>
        <v>NA</v>
      </c>
      <c r="Z1766" s="29" t="str">
        <f t="shared" si="596"/>
        <v>NA</v>
      </c>
      <c r="AA1766" s="29" t="str">
        <f t="shared" si="597"/>
        <v>NA</v>
      </c>
      <c r="AB1766" s="29" t="str">
        <f t="shared" si="598"/>
        <v>NA</v>
      </c>
      <c r="AC1766" s="29" t="str">
        <f t="shared" si="599"/>
        <v>NA</v>
      </c>
      <c r="AD1766" s="29" t="str">
        <f t="shared" si="600"/>
        <v>NA</v>
      </c>
      <c r="AE1766" s="29" t="str">
        <f t="shared" si="601"/>
        <v>NA</v>
      </c>
      <c r="AF1766" s="29" t="str">
        <f t="shared" si="602"/>
        <v>NA</v>
      </c>
      <c r="AG1766" s="29" t="str">
        <f t="shared" si="603"/>
        <v>NA</v>
      </c>
      <c r="AH1766" s="29" t="str">
        <f t="shared" si="604"/>
        <v>NA</v>
      </c>
    </row>
    <row r="1767" customHeight="1" spans="1:34">
      <c r="A1767" s="12" t="s">
        <v>1043</v>
      </c>
      <c r="F1767" s="24">
        <f t="shared" si="586"/>
        <v>0</v>
      </c>
      <c r="G1767" s="24" t="e">
        <f t="shared" si="585"/>
        <v>#DIV/0!</v>
      </c>
      <c r="Q1767" s="29" t="str">
        <f t="shared" si="587"/>
        <v>NA</v>
      </c>
      <c r="R1767" s="29" t="str">
        <f t="shared" si="588"/>
        <v>NA</v>
      </c>
      <c r="S1767" s="29" t="str">
        <f t="shared" si="589"/>
        <v>NA</v>
      </c>
      <c r="T1767" s="29" t="str">
        <f t="shared" si="590"/>
        <v>NA</v>
      </c>
      <c r="U1767" s="29" t="str">
        <f t="shared" si="591"/>
        <v>NA</v>
      </c>
      <c r="V1767" s="29" t="str">
        <f t="shared" si="592"/>
        <v>NA</v>
      </c>
      <c r="W1767" s="29" t="str">
        <f t="shared" si="593"/>
        <v>NA</v>
      </c>
      <c r="X1767" s="29" t="str">
        <f t="shared" si="594"/>
        <v>NA</v>
      </c>
      <c r="Y1767" s="29" t="str">
        <f t="shared" si="595"/>
        <v>NA</v>
      </c>
      <c r="Z1767" s="29" t="str">
        <f t="shared" si="596"/>
        <v>NA</v>
      </c>
      <c r="AA1767" s="29" t="str">
        <f t="shared" si="597"/>
        <v>NA</v>
      </c>
      <c r="AB1767" s="29" t="str">
        <f t="shared" si="598"/>
        <v>NA</v>
      </c>
      <c r="AC1767" s="29" t="str">
        <f t="shared" si="599"/>
        <v>NA</v>
      </c>
      <c r="AD1767" s="29" t="str">
        <f t="shared" si="600"/>
        <v>NA</v>
      </c>
      <c r="AE1767" s="29" t="str">
        <f t="shared" si="601"/>
        <v>NA</v>
      </c>
      <c r="AF1767" s="29" t="str">
        <f t="shared" si="602"/>
        <v>NA</v>
      </c>
      <c r="AG1767" s="29" t="str">
        <f t="shared" si="603"/>
        <v>NA</v>
      </c>
      <c r="AH1767" s="29" t="str">
        <f t="shared" si="604"/>
        <v>NA</v>
      </c>
    </row>
    <row r="1768" customHeight="1" spans="1:34">
      <c r="A1768" s="12" t="s">
        <v>1043</v>
      </c>
      <c r="F1768" s="24">
        <f t="shared" si="586"/>
        <v>0</v>
      </c>
      <c r="G1768" s="24" t="e">
        <f t="shared" si="585"/>
        <v>#DIV/0!</v>
      </c>
      <c r="Q1768" s="29" t="str">
        <f t="shared" si="587"/>
        <v>NA</v>
      </c>
      <c r="R1768" s="29" t="str">
        <f t="shared" si="588"/>
        <v>NA</v>
      </c>
      <c r="S1768" s="29" t="str">
        <f t="shared" si="589"/>
        <v>NA</v>
      </c>
      <c r="T1768" s="29" t="str">
        <f t="shared" si="590"/>
        <v>NA</v>
      </c>
      <c r="U1768" s="29" t="str">
        <f t="shared" si="591"/>
        <v>NA</v>
      </c>
      <c r="V1768" s="29" t="str">
        <f t="shared" si="592"/>
        <v>NA</v>
      </c>
      <c r="W1768" s="29" t="str">
        <f t="shared" si="593"/>
        <v>NA</v>
      </c>
      <c r="X1768" s="29" t="str">
        <f t="shared" si="594"/>
        <v>NA</v>
      </c>
      <c r="Y1768" s="29" t="str">
        <f t="shared" si="595"/>
        <v>NA</v>
      </c>
      <c r="Z1768" s="29" t="str">
        <f t="shared" si="596"/>
        <v>NA</v>
      </c>
      <c r="AA1768" s="29" t="str">
        <f t="shared" si="597"/>
        <v>NA</v>
      </c>
      <c r="AB1768" s="29" t="str">
        <f t="shared" si="598"/>
        <v>NA</v>
      </c>
      <c r="AC1768" s="29" t="str">
        <f t="shared" si="599"/>
        <v>NA</v>
      </c>
      <c r="AD1768" s="29" t="str">
        <f t="shared" si="600"/>
        <v>NA</v>
      </c>
      <c r="AE1768" s="29" t="str">
        <f t="shared" si="601"/>
        <v>NA</v>
      </c>
      <c r="AF1768" s="29" t="str">
        <f t="shared" si="602"/>
        <v>NA</v>
      </c>
      <c r="AG1768" s="29" t="str">
        <f t="shared" si="603"/>
        <v>NA</v>
      </c>
      <c r="AH1768" s="29" t="str">
        <f t="shared" si="604"/>
        <v>NA</v>
      </c>
    </row>
    <row r="1769" customHeight="1" spans="1:34">
      <c r="A1769" s="12" t="s">
        <v>1043</v>
      </c>
      <c r="F1769" s="24">
        <f t="shared" si="586"/>
        <v>0</v>
      </c>
      <c r="G1769" s="24" t="e">
        <f t="shared" si="585"/>
        <v>#DIV/0!</v>
      </c>
      <c r="Q1769" s="29" t="str">
        <f t="shared" si="587"/>
        <v>NA</v>
      </c>
      <c r="R1769" s="29" t="str">
        <f t="shared" si="588"/>
        <v>NA</v>
      </c>
      <c r="S1769" s="29" t="str">
        <f t="shared" si="589"/>
        <v>NA</v>
      </c>
      <c r="T1769" s="29" t="str">
        <f t="shared" si="590"/>
        <v>NA</v>
      </c>
      <c r="U1769" s="29" t="str">
        <f t="shared" si="591"/>
        <v>NA</v>
      </c>
      <c r="V1769" s="29" t="str">
        <f t="shared" si="592"/>
        <v>NA</v>
      </c>
      <c r="W1769" s="29" t="str">
        <f t="shared" si="593"/>
        <v>NA</v>
      </c>
      <c r="X1769" s="29" t="str">
        <f t="shared" si="594"/>
        <v>NA</v>
      </c>
      <c r="Y1769" s="29" t="str">
        <f t="shared" si="595"/>
        <v>NA</v>
      </c>
      <c r="Z1769" s="29" t="str">
        <f t="shared" si="596"/>
        <v>NA</v>
      </c>
      <c r="AA1769" s="29" t="str">
        <f t="shared" si="597"/>
        <v>NA</v>
      </c>
      <c r="AB1769" s="29" t="str">
        <f t="shared" si="598"/>
        <v>NA</v>
      </c>
      <c r="AC1769" s="29" t="str">
        <f t="shared" si="599"/>
        <v>NA</v>
      </c>
      <c r="AD1769" s="29" t="str">
        <f t="shared" si="600"/>
        <v>NA</v>
      </c>
      <c r="AE1769" s="29" t="str">
        <f t="shared" si="601"/>
        <v>NA</v>
      </c>
      <c r="AF1769" s="29" t="str">
        <f t="shared" si="602"/>
        <v>NA</v>
      </c>
      <c r="AG1769" s="29" t="str">
        <f t="shared" si="603"/>
        <v>NA</v>
      </c>
      <c r="AH1769" s="29" t="str">
        <f t="shared" si="604"/>
        <v>NA</v>
      </c>
    </row>
    <row r="1770" customHeight="1" spans="1:34">
      <c r="A1770" s="12" t="s">
        <v>1043</v>
      </c>
      <c r="F1770" s="24">
        <f t="shared" si="586"/>
        <v>0</v>
      </c>
      <c r="G1770" s="24" t="e">
        <f t="shared" si="585"/>
        <v>#DIV/0!</v>
      </c>
      <c r="Q1770" s="29" t="str">
        <f t="shared" si="587"/>
        <v>NA</v>
      </c>
      <c r="R1770" s="29" t="str">
        <f t="shared" si="588"/>
        <v>NA</v>
      </c>
      <c r="S1770" s="29" t="str">
        <f t="shared" si="589"/>
        <v>NA</v>
      </c>
      <c r="T1770" s="29" t="str">
        <f t="shared" si="590"/>
        <v>NA</v>
      </c>
      <c r="U1770" s="29" t="str">
        <f t="shared" si="591"/>
        <v>NA</v>
      </c>
      <c r="V1770" s="29" t="str">
        <f t="shared" si="592"/>
        <v>NA</v>
      </c>
      <c r="W1770" s="29" t="str">
        <f t="shared" si="593"/>
        <v>NA</v>
      </c>
      <c r="X1770" s="29" t="str">
        <f t="shared" si="594"/>
        <v>NA</v>
      </c>
      <c r="Y1770" s="29" t="str">
        <f t="shared" si="595"/>
        <v>NA</v>
      </c>
      <c r="Z1770" s="29" t="str">
        <f t="shared" si="596"/>
        <v>NA</v>
      </c>
      <c r="AA1770" s="29" t="str">
        <f t="shared" si="597"/>
        <v>NA</v>
      </c>
      <c r="AB1770" s="29" t="str">
        <f t="shared" si="598"/>
        <v>NA</v>
      </c>
      <c r="AC1770" s="29" t="str">
        <f t="shared" si="599"/>
        <v>NA</v>
      </c>
      <c r="AD1770" s="29" t="str">
        <f t="shared" si="600"/>
        <v>NA</v>
      </c>
      <c r="AE1770" s="29" t="str">
        <f t="shared" si="601"/>
        <v>NA</v>
      </c>
      <c r="AF1770" s="29" t="str">
        <f t="shared" si="602"/>
        <v>NA</v>
      </c>
      <c r="AG1770" s="29" t="str">
        <f t="shared" si="603"/>
        <v>NA</v>
      </c>
      <c r="AH1770" s="29" t="str">
        <f t="shared" si="604"/>
        <v>NA</v>
      </c>
    </row>
    <row r="1771" customHeight="1" spans="1:34">
      <c r="A1771" s="12" t="s">
        <v>1043</v>
      </c>
      <c r="F1771" s="24">
        <f t="shared" si="586"/>
        <v>0</v>
      </c>
      <c r="G1771" s="24" t="e">
        <f t="shared" si="585"/>
        <v>#DIV/0!</v>
      </c>
      <c r="Q1771" s="29" t="str">
        <f t="shared" si="587"/>
        <v>NA</v>
      </c>
      <c r="R1771" s="29" t="str">
        <f t="shared" si="588"/>
        <v>NA</v>
      </c>
      <c r="S1771" s="29" t="str">
        <f t="shared" si="589"/>
        <v>NA</v>
      </c>
      <c r="T1771" s="29" t="str">
        <f t="shared" si="590"/>
        <v>NA</v>
      </c>
      <c r="U1771" s="29" t="str">
        <f t="shared" si="591"/>
        <v>NA</v>
      </c>
      <c r="V1771" s="29" t="str">
        <f t="shared" si="592"/>
        <v>NA</v>
      </c>
      <c r="W1771" s="29" t="str">
        <f t="shared" si="593"/>
        <v>NA</v>
      </c>
      <c r="X1771" s="29" t="str">
        <f t="shared" si="594"/>
        <v>NA</v>
      </c>
      <c r="Y1771" s="29" t="str">
        <f t="shared" si="595"/>
        <v>NA</v>
      </c>
      <c r="Z1771" s="29" t="str">
        <f t="shared" si="596"/>
        <v>NA</v>
      </c>
      <c r="AA1771" s="29" t="str">
        <f t="shared" si="597"/>
        <v>NA</v>
      </c>
      <c r="AB1771" s="29" t="str">
        <f t="shared" si="598"/>
        <v>NA</v>
      </c>
      <c r="AC1771" s="29" t="str">
        <f t="shared" si="599"/>
        <v>NA</v>
      </c>
      <c r="AD1771" s="29" t="str">
        <f t="shared" si="600"/>
        <v>NA</v>
      </c>
      <c r="AE1771" s="29" t="str">
        <f t="shared" si="601"/>
        <v>NA</v>
      </c>
      <c r="AF1771" s="29" t="str">
        <f t="shared" si="602"/>
        <v>NA</v>
      </c>
      <c r="AG1771" s="29" t="str">
        <f t="shared" si="603"/>
        <v>NA</v>
      </c>
      <c r="AH1771" s="29" t="str">
        <f t="shared" si="604"/>
        <v>NA</v>
      </c>
    </row>
    <row r="1772" customHeight="1" spans="1:34">
      <c r="A1772" s="12" t="s">
        <v>1043</v>
      </c>
      <c r="F1772" s="24">
        <f t="shared" si="586"/>
        <v>0</v>
      </c>
      <c r="G1772" s="24" t="e">
        <f t="shared" si="585"/>
        <v>#DIV/0!</v>
      </c>
      <c r="Q1772" s="29" t="str">
        <f t="shared" si="587"/>
        <v>NA</v>
      </c>
      <c r="R1772" s="29" t="str">
        <f t="shared" si="588"/>
        <v>NA</v>
      </c>
      <c r="S1772" s="29" t="str">
        <f t="shared" si="589"/>
        <v>NA</v>
      </c>
      <c r="T1772" s="29" t="str">
        <f t="shared" si="590"/>
        <v>NA</v>
      </c>
      <c r="U1772" s="29" t="str">
        <f t="shared" si="591"/>
        <v>NA</v>
      </c>
      <c r="V1772" s="29" t="str">
        <f t="shared" si="592"/>
        <v>NA</v>
      </c>
      <c r="W1772" s="29" t="str">
        <f t="shared" si="593"/>
        <v>NA</v>
      </c>
      <c r="X1772" s="29" t="str">
        <f t="shared" si="594"/>
        <v>NA</v>
      </c>
      <c r="Y1772" s="29" t="str">
        <f t="shared" si="595"/>
        <v>NA</v>
      </c>
      <c r="Z1772" s="29" t="str">
        <f t="shared" si="596"/>
        <v>NA</v>
      </c>
      <c r="AA1772" s="29" t="str">
        <f t="shared" si="597"/>
        <v>NA</v>
      </c>
      <c r="AB1772" s="29" t="str">
        <f t="shared" si="598"/>
        <v>NA</v>
      </c>
      <c r="AC1772" s="29" t="str">
        <f t="shared" si="599"/>
        <v>NA</v>
      </c>
      <c r="AD1772" s="29" t="str">
        <f t="shared" si="600"/>
        <v>NA</v>
      </c>
      <c r="AE1772" s="29" t="str">
        <f t="shared" si="601"/>
        <v>NA</v>
      </c>
      <c r="AF1772" s="29" t="str">
        <f t="shared" si="602"/>
        <v>NA</v>
      </c>
      <c r="AG1772" s="29" t="str">
        <f t="shared" si="603"/>
        <v>NA</v>
      </c>
      <c r="AH1772" s="29" t="str">
        <f t="shared" si="604"/>
        <v>NA</v>
      </c>
    </row>
    <row r="1773" customHeight="1" spans="1:34">
      <c r="A1773" s="12" t="s">
        <v>1043</v>
      </c>
      <c r="F1773" s="24">
        <f t="shared" si="586"/>
        <v>0</v>
      </c>
      <c r="G1773" s="24" t="e">
        <f t="shared" si="585"/>
        <v>#DIV/0!</v>
      </c>
      <c r="Q1773" s="29" t="str">
        <f t="shared" si="587"/>
        <v>NA</v>
      </c>
      <c r="R1773" s="29" t="str">
        <f t="shared" si="588"/>
        <v>NA</v>
      </c>
      <c r="S1773" s="29" t="str">
        <f t="shared" si="589"/>
        <v>NA</v>
      </c>
      <c r="T1773" s="29" t="str">
        <f t="shared" si="590"/>
        <v>NA</v>
      </c>
      <c r="U1773" s="29" t="str">
        <f t="shared" si="591"/>
        <v>NA</v>
      </c>
      <c r="V1773" s="29" t="str">
        <f t="shared" si="592"/>
        <v>NA</v>
      </c>
      <c r="W1773" s="29" t="str">
        <f t="shared" si="593"/>
        <v>NA</v>
      </c>
      <c r="X1773" s="29" t="str">
        <f t="shared" si="594"/>
        <v>NA</v>
      </c>
      <c r="Y1773" s="29" t="str">
        <f t="shared" si="595"/>
        <v>NA</v>
      </c>
      <c r="Z1773" s="29" t="str">
        <f t="shared" si="596"/>
        <v>NA</v>
      </c>
      <c r="AA1773" s="29" t="str">
        <f t="shared" si="597"/>
        <v>NA</v>
      </c>
      <c r="AB1773" s="29" t="str">
        <f t="shared" si="598"/>
        <v>NA</v>
      </c>
      <c r="AC1773" s="29" t="str">
        <f t="shared" si="599"/>
        <v>NA</v>
      </c>
      <c r="AD1773" s="29" t="str">
        <f t="shared" si="600"/>
        <v>NA</v>
      </c>
      <c r="AE1773" s="29" t="str">
        <f t="shared" si="601"/>
        <v>NA</v>
      </c>
      <c r="AF1773" s="29" t="str">
        <f t="shared" si="602"/>
        <v>NA</v>
      </c>
      <c r="AG1773" s="29" t="str">
        <f t="shared" si="603"/>
        <v>NA</v>
      </c>
      <c r="AH1773" s="29" t="str">
        <f t="shared" si="604"/>
        <v>NA</v>
      </c>
    </row>
    <row r="1774" customHeight="1" spans="1:34">
      <c r="A1774" s="12" t="s">
        <v>1043</v>
      </c>
      <c r="F1774" s="24">
        <f t="shared" si="586"/>
        <v>0</v>
      </c>
      <c r="G1774" s="24" t="e">
        <f t="shared" si="585"/>
        <v>#DIV/0!</v>
      </c>
      <c r="Q1774" s="29" t="str">
        <f t="shared" si="587"/>
        <v>NA</v>
      </c>
      <c r="R1774" s="29" t="str">
        <f t="shared" si="588"/>
        <v>NA</v>
      </c>
      <c r="S1774" s="29" t="str">
        <f t="shared" si="589"/>
        <v>NA</v>
      </c>
      <c r="T1774" s="29" t="str">
        <f t="shared" si="590"/>
        <v>NA</v>
      </c>
      <c r="U1774" s="29" t="str">
        <f t="shared" si="591"/>
        <v>NA</v>
      </c>
      <c r="V1774" s="29" t="str">
        <f t="shared" si="592"/>
        <v>NA</v>
      </c>
      <c r="W1774" s="29" t="str">
        <f t="shared" si="593"/>
        <v>NA</v>
      </c>
      <c r="X1774" s="29" t="str">
        <f t="shared" si="594"/>
        <v>NA</v>
      </c>
      <c r="Y1774" s="29" t="str">
        <f t="shared" si="595"/>
        <v>NA</v>
      </c>
      <c r="Z1774" s="29" t="str">
        <f t="shared" si="596"/>
        <v>NA</v>
      </c>
      <c r="AA1774" s="29" t="str">
        <f t="shared" si="597"/>
        <v>NA</v>
      </c>
      <c r="AB1774" s="29" t="str">
        <f t="shared" si="598"/>
        <v>NA</v>
      </c>
      <c r="AC1774" s="29" t="str">
        <f t="shared" si="599"/>
        <v>NA</v>
      </c>
      <c r="AD1774" s="29" t="str">
        <f t="shared" si="600"/>
        <v>NA</v>
      </c>
      <c r="AE1774" s="29" t="str">
        <f t="shared" si="601"/>
        <v>NA</v>
      </c>
      <c r="AF1774" s="29" t="str">
        <f t="shared" si="602"/>
        <v>NA</v>
      </c>
      <c r="AG1774" s="29" t="str">
        <f t="shared" si="603"/>
        <v>NA</v>
      </c>
      <c r="AH1774" s="29" t="str">
        <f t="shared" si="604"/>
        <v>NA</v>
      </c>
    </row>
    <row r="1775" customHeight="1" spans="1:34">
      <c r="A1775" s="12" t="s">
        <v>1043</v>
      </c>
      <c r="F1775" s="24">
        <f t="shared" si="586"/>
        <v>0</v>
      </c>
      <c r="G1775" s="24" t="e">
        <f t="shared" si="585"/>
        <v>#DIV/0!</v>
      </c>
      <c r="Q1775" s="29" t="str">
        <f t="shared" si="587"/>
        <v>NA</v>
      </c>
      <c r="R1775" s="29" t="str">
        <f t="shared" si="588"/>
        <v>NA</v>
      </c>
      <c r="S1775" s="29" t="str">
        <f t="shared" si="589"/>
        <v>NA</v>
      </c>
      <c r="T1775" s="29" t="str">
        <f t="shared" si="590"/>
        <v>NA</v>
      </c>
      <c r="U1775" s="29" t="str">
        <f t="shared" si="591"/>
        <v>NA</v>
      </c>
      <c r="V1775" s="29" t="str">
        <f t="shared" si="592"/>
        <v>NA</v>
      </c>
      <c r="W1775" s="29" t="str">
        <f t="shared" si="593"/>
        <v>NA</v>
      </c>
      <c r="X1775" s="29" t="str">
        <f t="shared" si="594"/>
        <v>NA</v>
      </c>
      <c r="Y1775" s="29" t="str">
        <f t="shared" si="595"/>
        <v>NA</v>
      </c>
      <c r="Z1775" s="29" t="str">
        <f t="shared" si="596"/>
        <v>NA</v>
      </c>
      <c r="AA1775" s="29" t="str">
        <f t="shared" si="597"/>
        <v>NA</v>
      </c>
      <c r="AB1775" s="29" t="str">
        <f t="shared" si="598"/>
        <v>NA</v>
      </c>
      <c r="AC1775" s="29" t="str">
        <f t="shared" si="599"/>
        <v>NA</v>
      </c>
      <c r="AD1775" s="29" t="str">
        <f t="shared" si="600"/>
        <v>NA</v>
      </c>
      <c r="AE1775" s="29" t="str">
        <f t="shared" si="601"/>
        <v>NA</v>
      </c>
      <c r="AF1775" s="29" t="str">
        <f t="shared" si="602"/>
        <v>NA</v>
      </c>
      <c r="AG1775" s="29" t="str">
        <f t="shared" si="603"/>
        <v>NA</v>
      </c>
      <c r="AH1775" s="29" t="str">
        <f t="shared" si="604"/>
        <v>NA</v>
      </c>
    </row>
    <row r="1776" customHeight="1" spans="1:34">
      <c r="A1776" s="12" t="s">
        <v>1043</v>
      </c>
      <c r="F1776" s="24">
        <f t="shared" si="586"/>
        <v>0</v>
      </c>
      <c r="G1776" s="24" t="e">
        <f t="shared" si="585"/>
        <v>#DIV/0!</v>
      </c>
      <c r="Q1776" s="29" t="str">
        <f t="shared" si="587"/>
        <v>NA</v>
      </c>
      <c r="R1776" s="29" t="str">
        <f t="shared" si="588"/>
        <v>NA</v>
      </c>
      <c r="S1776" s="29" t="str">
        <f t="shared" si="589"/>
        <v>NA</v>
      </c>
      <c r="T1776" s="29" t="str">
        <f t="shared" si="590"/>
        <v>NA</v>
      </c>
      <c r="U1776" s="29" t="str">
        <f t="shared" si="591"/>
        <v>NA</v>
      </c>
      <c r="V1776" s="29" t="str">
        <f t="shared" si="592"/>
        <v>NA</v>
      </c>
      <c r="W1776" s="29" t="str">
        <f t="shared" si="593"/>
        <v>NA</v>
      </c>
      <c r="X1776" s="29" t="str">
        <f t="shared" si="594"/>
        <v>NA</v>
      </c>
      <c r="Y1776" s="29" t="str">
        <f t="shared" si="595"/>
        <v>NA</v>
      </c>
      <c r="Z1776" s="29" t="str">
        <f t="shared" si="596"/>
        <v>NA</v>
      </c>
      <c r="AA1776" s="29" t="str">
        <f t="shared" si="597"/>
        <v>NA</v>
      </c>
      <c r="AB1776" s="29" t="str">
        <f t="shared" si="598"/>
        <v>NA</v>
      </c>
      <c r="AC1776" s="29" t="str">
        <f t="shared" si="599"/>
        <v>NA</v>
      </c>
      <c r="AD1776" s="29" t="str">
        <f t="shared" si="600"/>
        <v>NA</v>
      </c>
      <c r="AE1776" s="29" t="str">
        <f t="shared" si="601"/>
        <v>NA</v>
      </c>
      <c r="AF1776" s="29" t="str">
        <f t="shared" si="602"/>
        <v>NA</v>
      </c>
      <c r="AG1776" s="29" t="str">
        <f t="shared" si="603"/>
        <v>NA</v>
      </c>
      <c r="AH1776" s="29" t="str">
        <f t="shared" si="604"/>
        <v>NA</v>
      </c>
    </row>
    <row r="1777" customHeight="1" spans="1:34">
      <c r="A1777" s="12" t="s">
        <v>1043</v>
      </c>
      <c r="F1777" s="24">
        <f t="shared" si="586"/>
        <v>0</v>
      </c>
      <c r="G1777" s="24" t="e">
        <f t="shared" si="585"/>
        <v>#DIV/0!</v>
      </c>
      <c r="Q1777" s="29" t="str">
        <f t="shared" si="587"/>
        <v>NA</v>
      </c>
      <c r="R1777" s="29" t="str">
        <f t="shared" si="588"/>
        <v>NA</v>
      </c>
      <c r="S1777" s="29" t="str">
        <f t="shared" si="589"/>
        <v>NA</v>
      </c>
      <c r="T1777" s="29" t="str">
        <f t="shared" si="590"/>
        <v>NA</v>
      </c>
      <c r="U1777" s="29" t="str">
        <f t="shared" si="591"/>
        <v>NA</v>
      </c>
      <c r="V1777" s="29" t="str">
        <f t="shared" si="592"/>
        <v>NA</v>
      </c>
      <c r="W1777" s="29" t="str">
        <f t="shared" si="593"/>
        <v>NA</v>
      </c>
      <c r="X1777" s="29" t="str">
        <f t="shared" si="594"/>
        <v>NA</v>
      </c>
      <c r="Y1777" s="29" t="str">
        <f t="shared" si="595"/>
        <v>NA</v>
      </c>
      <c r="Z1777" s="29" t="str">
        <f t="shared" si="596"/>
        <v>NA</v>
      </c>
      <c r="AA1777" s="29" t="str">
        <f t="shared" si="597"/>
        <v>NA</v>
      </c>
      <c r="AB1777" s="29" t="str">
        <f t="shared" si="598"/>
        <v>NA</v>
      </c>
      <c r="AC1777" s="29" t="str">
        <f t="shared" si="599"/>
        <v>NA</v>
      </c>
      <c r="AD1777" s="29" t="str">
        <f t="shared" si="600"/>
        <v>NA</v>
      </c>
      <c r="AE1777" s="29" t="str">
        <f t="shared" si="601"/>
        <v>NA</v>
      </c>
      <c r="AF1777" s="29" t="str">
        <f t="shared" si="602"/>
        <v>NA</v>
      </c>
      <c r="AG1777" s="29" t="str">
        <f t="shared" si="603"/>
        <v>NA</v>
      </c>
      <c r="AH1777" s="29" t="str">
        <f t="shared" si="604"/>
        <v>NA</v>
      </c>
    </row>
    <row r="1778" customHeight="1" spans="1:34">
      <c r="A1778" s="12" t="s">
        <v>1043</v>
      </c>
      <c r="F1778" s="24">
        <f t="shared" si="586"/>
        <v>0</v>
      </c>
      <c r="G1778" s="24" t="e">
        <f t="shared" si="585"/>
        <v>#DIV/0!</v>
      </c>
      <c r="Q1778" s="29" t="str">
        <f t="shared" si="587"/>
        <v>NA</v>
      </c>
      <c r="R1778" s="29" t="str">
        <f t="shared" si="588"/>
        <v>NA</v>
      </c>
      <c r="S1778" s="29" t="str">
        <f t="shared" si="589"/>
        <v>NA</v>
      </c>
      <c r="T1778" s="29" t="str">
        <f t="shared" si="590"/>
        <v>NA</v>
      </c>
      <c r="U1778" s="29" t="str">
        <f t="shared" si="591"/>
        <v>NA</v>
      </c>
      <c r="V1778" s="29" t="str">
        <f t="shared" si="592"/>
        <v>NA</v>
      </c>
      <c r="W1778" s="29" t="str">
        <f t="shared" si="593"/>
        <v>NA</v>
      </c>
      <c r="X1778" s="29" t="str">
        <f t="shared" si="594"/>
        <v>NA</v>
      </c>
      <c r="Y1778" s="29" t="str">
        <f t="shared" si="595"/>
        <v>NA</v>
      </c>
      <c r="Z1778" s="29" t="str">
        <f t="shared" si="596"/>
        <v>NA</v>
      </c>
      <c r="AA1778" s="29" t="str">
        <f t="shared" si="597"/>
        <v>NA</v>
      </c>
      <c r="AB1778" s="29" t="str">
        <f t="shared" si="598"/>
        <v>NA</v>
      </c>
      <c r="AC1778" s="29" t="str">
        <f t="shared" si="599"/>
        <v>NA</v>
      </c>
      <c r="AD1778" s="29" t="str">
        <f t="shared" si="600"/>
        <v>NA</v>
      </c>
      <c r="AE1778" s="29" t="str">
        <f t="shared" si="601"/>
        <v>NA</v>
      </c>
      <c r="AF1778" s="29" t="str">
        <f t="shared" si="602"/>
        <v>NA</v>
      </c>
      <c r="AG1778" s="29" t="str">
        <f t="shared" si="603"/>
        <v>NA</v>
      </c>
      <c r="AH1778" s="29" t="str">
        <f t="shared" si="604"/>
        <v>NA</v>
      </c>
    </row>
    <row r="1779" customHeight="1" spans="1:34">
      <c r="A1779" s="12" t="s">
        <v>1043</v>
      </c>
      <c r="F1779" s="24">
        <f t="shared" si="586"/>
        <v>0</v>
      </c>
      <c r="G1779" s="24" t="e">
        <f t="shared" si="585"/>
        <v>#DIV/0!</v>
      </c>
      <c r="Q1779" s="29" t="str">
        <f t="shared" si="587"/>
        <v>NA</v>
      </c>
      <c r="R1779" s="29" t="str">
        <f t="shared" si="588"/>
        <v>NA</v>
      </c>
      <c r="S1779" s="29" t="str">
        <f t="shared" si="589"/>
        <v>NA</v>
      </c>
      <c r="T1779" s="29" t="str">
        <f t="shared" si="590"/>
        <v>NA</v>
      </c>
      <c r="U1779" s="29" t="str">
        <f t="shared" si="591"/>
        <v>NA</v>
      </c>
      <c r="V1779" s="29" t="str">
        <f t="shared" si="592"/>
        <v>NA</v>
      </c>
      <c r="W1779" s="29" t="str">
        <f t="shared" si="593"/>
        <v>NA</v>
      </c>
      <c r="X1779" s="29" t="str">
        <f t="shared" si="594"/>
        <v>NA</v>
      </c>
      <c r="Y1779" s="29" t="str">
        <f t="shared" si="595"/>
        <v>NA</v>
      </c>
      <c r="Z1779" s="29" t="str">
        <f t="shared" si="596"/>
        <v>NA</v>
      </c>
      <c r="AA1779" s="29" t="str">
        <f t="shared" si="597"/>
        <v>NA</v>
      </c>
      <c r="AB1779" s="29" t="str">
        <f t="shared" si="598"/>
        <v>NA</v>
      </c>
      <c r="AC1779" s="29" t="str">
        <f t="shared" si="599"/>
        <v>NA</v>
      </c>
      <c r="AD1779" s="29" t="str">
        <f t="shared" si="600"/>
        <v>NA</v>
      </c>
      <c r="AE1779" s="29" t="str">
        <f t="shared" si="601"/>
        <v>NA</v>
      </c>
      <c r="AF1779" s="29" t="str">
        <f t="shared" si="602"/>
        <v>NA</v>
      </c>
      <c r="AG1779" s="29" t="str">
        <f t="shared" si="603"/>
        <v>NA</v>
      </c>
      <c r="AH1779" s="29" t="str">
        <f t="shared" si="604"/>
        <v>NA</v>
      </c>
    </row>
    <row r="1780" customHeight="1" spans="1:34">
      <c r="A1780" s="12" t="s">
        <v>1043</v>
      </c>
      <c r="F1780" s="24">
        <f t="shared" si="586"/>
        <v>0</v>
      </c>
      <c r="G1780" s="24" t="e">
        <f t="shared" si="585"/>
        <v>#DIV/0!</v>
      </c>
      <c r="Q1780" s="29" t="str">
        <f t="shared" si="587"/>
        <v>NA</v>
      </c>
      <c r="R1780" s="29" t="str">
        <f t="shared" si="588"/>
        <v>NA</v>
      </c>
      <c r="S1780" s="29" t="str">
        <f t="shared" si="589"/>
        <v>NA</v>
      </c>
      <c r="T1780" s="29" t="str">
        <f t="shared" si="590"/>
        <v>NA</v>
      </c>
      <c r="U1780" s="29" t="str">
        <f t="shared" si="591"/>
        <v>NA</v>
      </c>
      <c r="V1780" s="29" t="str">
        <f t="shared" si="592"/>
        <v>NA</v>
      </c>
      <c r="W1780" s="29" t="str">
        <f t="shared" si="593"/>
        <v>NA</v>
      </c>
      <c r="X1780" s="29" t="str">
        <f t="shared" si="594"/>
        <v>NA</v>
      </c>
      <c r="Y1780" s="29" t="str">
        <f t="shared" si="595"/>
        <v>NA</v>
      </c>
      <c r="Z1780" s="29" t="str">
        <f t="shared" si="596"/>
        <v>NA</v>
      </c>
      <c r="AA1780" s="29" t="str">
        <f t="shared" si="597"/>
        <v>NA</v>
      </c>
      <c r="AB1780" s="29" t="str">
        <f t="shared" si="598"/>
        <v>NA</v>
      </c>
      <c r="AC1780" s="29" t="str">
        <f t="shared" si="599"/>
        <v>NA</v>
      </c>
      <c r="AD1780" s="29" t="str">
        <f t="shared" si="600"/>
        <v>NA</v>
      </c>
      <c r="AE1780" s="29" t="str">
        <f t="shared" si="601"/>
        <v>NA</v>
      </c>
      <c r="AF1780" s="29" t="str">
        <f t="shared" si="602"/>
        <v>NA</v>
      </c>
      <c r="AG1780" s="29" t="str">
        <f t="shared" si="603"/>
        <v>NA</v>
      </c>
      <c r="AH1780" s="29" t="str">
        <f t="shared" si="604"/>
        <v>NA</v>
      </c>
    </row>
    <row r="1781" customHeight="1" spans="1:34">
      <c r="A1781" s="12" t="s">
        <v>1043</v>
      </c>
      <c r="F1781" s="24">
        <f t="shared" si="586"/>
        <v>0</v>
      </c>
      <c r="G1781" s="24" t="e">
        <f t="shared" si="585"/>
        <v>#DIV/0!</v>
      </c>
      <c r="Q1781" s="29" t="str">
        <f t="shared" si="587"/>
        <v>NA</v>
      </c>
      <c r="R1781" s="29" t="str">
        <f t="shared" si="588"/>
        <v>NA</v>
      </c>
      <c r="S1781" s="29" t="str">
        <f t="shared" si="589"/>
        <v>NA</v>
      </c>
      <c r="T1781" s="29" t="str">
        <f t="shared" si="590"/>
        <v>NA</v>
      </c>
      <c r="U1781" s="29" t="str">
        <f t="shared" si="591"/>
        <v>NA</v>
      </c>
      <c r="V1781" s="29" t="str">
        <f t="shared" si="592"/>
        <v>NA</v>
      </c>
      <c r="W1781" s="29" t="str">
        <f t="shared" si="593"/>
        <v>NA</v>
      </c>
      <c r="X1781" s="29" t="str">
        <f t="shared" si="594"/>
        <v>NA</v>
      </c>
      <c r="Y1781" s="29" t="str">
        <f t="shared" si="595"/>
        <v>NA</v>
      </c>
      <c r="Z1781" s="29" t="str">
        <f t="shared" si="596"/>
        <v>NA</v>
      </c>
      <c r="AA1781" s="29" t="str">
        <f t="shared" si="597"/>
        <v>NA</v>
      </c>
      <c r="AB1781" s="29" t="str">
        <f t="shared" si="598"/>
        <v>NA</v>
      </c>
      <c r="AC1781" s="29" t="str">
        <f t="shared" si="599"/>
        <v>NA</v>
      </c>
      <c r="AD1781" s="29" t="str">
        <f t="shared" si="600"/>
        <v>NA</v>
      </c>
      <c r="AE1781" s="29" t="str">
        <f t="shared" si="601"/>
        <v>NA</v>
      </c>
      <c r="AF1781" s="29" t="str">
        <f t="shared" si="602"/>
        <v>NA</v>
      </c>
      <c r="AG1781" s="29" t="str">
        <f t="shared" si="603"/>
        <v>NA</v>
      </c>
      <c r="AH1781" s="29" t="str">
        <f t="shared" si="604"/>
        <v>NA</v>
      </c>
    </row>
    <row r="1782" customHeight="1" spans="1:34">
      <c r="A1782" s="12" t="s">
        <v>1043</v>
      </c>
      <c r="F1782" s="24">
        <f t="shared" si="586"/>
        <v>0</v>
      </c>
      <c r="G1782" s="24" t="e">
        <f t="shared" si="585"/>
        <v>#DIV/0!</v>
      </c>
      <c r="Q1782" s="29" t="str">
        <f t="shared" si="587"/>
        <v>NA</v>
      </c>
      <c r="R1782" s="29" t="str">
        <f t="shared" si="588"/>
        <v>NA</v>
      </c>
      <c r="S1782" s="29" t="str">
        <f t="shared" si="589"/>
        <v>NA</v>
      </c>
      <c r="T1782" s="29" t="str">
        <f t="shared" si="590"/>
        <v>NA</v>
      </c>
      <c r="U1782" s="29" t="str">
        <f t="shared" si="591"/>
        <v>NA</v>
      </c>
      <c r="V1782" s="29" t="str">
        <f t="shared" si="592"/>
        <v>NA</v>
      </c>
      <c r="W1782" s="29" t="str">
        <f t="shared" si="593"/>
        <v>NA</v>
      </c>
      <c r="X1782" s="29" t="str">
        <f t="shared" si="594"/>
        <v>NA</v>
      </c>
      <c r="Y1782" s="29" t="str">
        <f t="shared" si="595"/>
        <v>NA</v>
      </c>
      <c r="Z1782" s="29" t="str">
        <f t="shared" si="596"/>
        <v>NA</v>
      </c>
      <c r="AA1782" s="29" t="str">
        <f t="shared" si="597"/>
        <v>NA</v>
      </c>
      <c r="AB1782" s="29" t="str">
        <f t="shared" si="598"/>
        <v>NA</v>
      </c>
      <c r="AC1782" s="29" t="str">
        <f t="shared" si="599"/>
        <v>NA</v>
      </c>
      <c r="AD1782" s="29" t="str">
        <f t="shared" si="600"/>
        <v>NA</v>
      </c>
      <c r="AE1782" s="29" t="str">
        <f t="shared" si="601"/>
        <v>NA</v>
      </c>
      <c r="AF1782" s="29" t="str">
        <f t="shared" si="602"/>
        <v>NA</v>
      </c>
      <c r="AG1782" s="29" t="str">
        <f t="shared" si="603"/>
        <v>NA</v>
      </c>
      <c r="AH1782" s="29" t="str">
        <f t="shared" si="604"/>
        <v>NA</v>
      </c>
    </row>
    <row r="1783" customHeight="1" spans="1:34">
      <c r="A1783" s="12" t="s">
        <v>1043</v>
      </c>
      <c r="F1783" s="24">
        <f t="shared" si="586"/>
        <v>0</v>
      </c>
      <c r="G1783" s="24" t="e">
        <f t="shared" si="585"/>
        <v>#DIV/0!</v>
      </c>
      <c r="Q1783" s="29" t="str">
        <f t="shared" si="587"/>
        <v>NA</v>
      </c>
      <c r="R1783" s="29" t="str">
        <f t="shared" si="588"/>
        <v>NA</v>
      </c>
      <c r="S1783" s="29" t="str">
        <f t="shared" si="589"/>
        <v>NA</v>
      </c>
      <c r="T1783" s="29" t="str">
        <f t="shared" si="590"/>
        <v>NA</v>
      </c>
      <c r="U1783" s="29" t="str">
        <f t="shared" si="591"/>
        <v>NA</v>
      </c>
      <c r="V1783" s="29" t="str">
        <f t="shared" si="592"/>
        <v>NA</v>
      </c>
      <c r="W1783" s="29" t="str">
        <f t="shared" si="593"/>
        <v>NA</v>
      </c>
      <c r="X1783" s="29" t="str">
        <f t="shared" si="594"/>
        <v>NA</v>
      </c>
      <c r="Y1783" s="29" t="str">
        <f t="shared" si="595"/>
        <v>NA</v>
      </c>
      <c r="Z1783" s="29" t="str">
        <f t="shared" si="596"/>
        <v>NA</v>
      </c>
      <c r="AA1783" s="29" t="str">
        <f t="shared" si="597"/>
        <v>NA</v>
      </c>
      <c r="AB1783" s="29" t="str">
        <f t="shared" si="598"/>
        <v>NA</v>
      </c>
      <c r="AC1783" s="29" t="str">
        <f t="shared" si="599"/>
        <v>NA</v>
      </c>
      <c r="AD1783" s="29" t="str">
        <f t="shared" si="600"/>
        <v>NA</v>
      </c>
      <c r="AE1783" s="29" t="str">
        <f t="shared" si="601"/>
        <v>NA</v>
      </c>
      <c r="AF1783" s="29" t="str">
        <f t="shared" si="602"/>
        <v>NA</v>
      </c>
      <c r="AG1783" s="29" t="str">
        <f t="shared" si="603"/>
        <v>NA</v>
      </c>
      <c r="AH1783" s="29" t="str">
        <f t="shared" si="604"/>
        <v>NA</v>
      </c>
    </row>
    <row r="1784" customHeight="1" spans="1:34">
      <c r="A1784" s="12" t="s">
        <v>1043</v>
      </c>
      <c r="F1784" s="24">
        <f t="shared" si="586"/>
        <v>0</v>
      </c>
      <c r="G1784" s="24" t="e">
        <f t="shared" si="585"/>
        <v>#DIV/0!</v>
      </c>
      <c r="Q1784" s="29" t="str">
        <f t="shared" si="587"/>
        <v>NA</v>
      </c>
      <c r="R1784" s="29" t="str">
        <f t="shared" si="588"/>
        <v>NA</v>
      </c>
      <c r="S1784" s="29" t="str">
        <f t="shared" si="589"/>
        <v>NA</v>
      </c>
      <c r="T1784" s="29" t="str">
        <f t="shared" si="590"/>
        <v>NA</v>
      </c>
      <c r="U1784" s="29" t="str">
        <f t="shared" si="591"/>
        <v>NA</v>
      </c>
      <c r="V1784" s="29" t="str">
        <f t="shared" si="592"/>
        <v>NA</v>
      </c>
      <c r="W1784" s="29" t="str">
        <f t="shared" si="593"/>
        <v>NA</v>
      </c>
      <c r="X1784" s="29" t="str">
        <f t="shared" si="594"/>
        <v>NA</v>
      </c>
      <c r="Y1784" s="29" t="str">
        <f t="shared" si="595"/>
        <v>NA</v>
      </c>
      <c r="Z1784" s="29" t="str">
        <f t="shared" si="596"/>
        <v>NA</v>
      </c>
      <c r="AA1784" s="29" t="str">
        <f t="shared" si="597"/>
        <v>NA</v>
      </c>
      <c r="AB1784" s="29" t="str">
        <f t="shared" si="598"/>
        <v>NA</v>
      </c>
      <c r="AC1784" s="29" t="str">
        <f t="shared" si="599"/>
        <v>NA</v>
      </c>
      <c r="AD1784" s="29" t="str">
        <f t="shared" si="600"/>
        <v>NA</v>
      </c>
      <c r="AE1784" s="29" t="str">
        <f t="shared" si="601"/>
        <v>NA</v>
      </c>
      <c r="AF1784" s="29" t="str">
        <f t="shared" si="602"/>
        <v>NA</v>
      </c>
      <c r="AG1784" s="29" t="str">
        <f t="shared" si="603"/>
        <v>NA</v>
      </c>
      <c r="AH1784" s="29" t="str">
        <f t="shared" si="604"/>
        <v>NA</v>
      </c>
    </row>
    <row r="1785" customHeight="1" spans="1:34">
      <c r="A1785" s="12" t="s">
        <v>1043</v>
      </c>
      <c r="F1785" s="24">
        <f t="shared" si="586"/>
        <v>0</v>
      </c>
      <c r="G1785" s="24" t="e">
        <f t="shared" si="585"/>
        <v>#DIV/0!</v>
      </c>
      <c r="Q1785" s="29" t="str">
        <f t="shared" si="587"/>
        <v>NA</v>
      </c>
      <c r="R1785" s="29" t="str">
        <f t="shared" si="588"/>
        <v>NA</v>
      </c>
      <c r="S1785" s="29" t="str">
        <f t="shared" si="589"/>
        <v>NA</v>
      </c>
      <c r="T1785" s="29" t="str">
        <f t="shared" si="590"/>
        <v>NA</v>
      </c>
      <c r="U1785" s="29" t="str">
        <f t="shared" si="591"/>
        <v>NA</v>
      </c>
      <c r="V1785" s="29" t="str">
        <f t="shared" si="592"/>
        <v>NA</v>
      </c>
      <c r="W1785" s="29" t="str">
        <f t="shared" si="593"/>
        <v>NA</v>
      </c>
      <c r="X1785" s="29" t="str">
        <f t="shared" si="594"/>
        <v>NA</v>
      </c>
      <c r="Y1785" s="29" t="str">
        <f t="shared" si="595"/>
        <v>NA</v>
      </c>
      <c r="Z1785" s="29" t="str">
        <f t="shared" si="596"/>
        <v>NA</v>
      </c>
      <c r="AA1785" s="29" t="str">
        <f t="shared" si="597"/>
        <v>NA</v>
      </c>
      <c r="AB1785" s="29" t="str">
        <f t="shared" si="598"/>
        <v>NA</v>
      </c>
      <c r="AC1785" s="29" t="str">
        <f t="shared" si="599"/>
        <v>NA</v>
      </c>
      <c r="AD1785" s="29" t="str">
        <f t="shared" si="600"/>
        <v>NA</v>
      </c>
      <c r="AE1785" s="29" t="str">
        <f t="shared" si="601"/>
        <v>NA</v>
      </c>
      <c r="AF1785" s="29" t="str">
        <f t="shared" si="602"/>
        <v>NA</v>
      </c>
      <c r="AG1785" s="29" t="str">
        <f t="shared" si="603"/>
        <v>NA</v>
      </c>
      <c r="AH1785" s="29" t="str">
        <f t="shared" si="604"/>
        <v>NA</v>
      </c>
    </row>
    <row r="1786" customHeight="1" spans="1:34">
      <c r="A1786" s="12" t="s">
        <v>1043</v>
      </c>
      <c r="F1786" s="24">
        <f t="shared" si="586"/>
        <v>0</v>
      </c>
      <c r="G1786" s="24" t="e">
        <f t="shared" si="585"/>
        <v>#DIV/0!</v>
      </c>
      <c r="Q1786" s="29" t="str">
        <f t="shared" si="587"/>
        <v>NA</v>
      </c>
      <c r="R1786" s="29" t="str">
        <f t="shared" si="588"/>
        <v>NA</v>
      </c>
      <c r="S1786" s="29" t="str">
        <f t="shared" si="589"/>
        <v>NA</v>
      </c>
      <c r="T1786" s="29" t="str">
        <f t="shared" si="590"/>
        <v>NA</v>
      </c>
      <c r="U1786" s="29" t="str">
        <f t="shared" si="591"/>
        <v>NA</v>
      </c>
      <c r="V1786" s="29" t="str">
        <f t="shared" si="592"/>
        <v>NA</v>
      </c>
      <c r="W1786" s="29" t="str">
        <f t="shared" si="593"/>
        <v>NA</v>
      </c>
      <c r="X1786" s="29" t="str">
        <f t="shared" si="594"/>
        <v>NA</v>
      </c>
      <c r="Y1786" s="29" t="str">
        <f t="shared" si="595"/>
        <v>NA</v>
      </c>
      <c r="Z1786" s="29" t="str">
        <f t="shared" si="596"/>
        <v>NA</v>
      </c>
      <c r="AA1786" s="29" t="str">
        <f t="shared" si="597"/>
        <v>NA</v>
      </c>
      <c r="AB1786" s="29" t="str">
        <f t="shared" si="598"/>
        <v>NA</v>
      </c>
      <c r="AC1786" s="29" t="str">
        <f t="shared" si="599"/>
        <v>NA</v>
      </c>
      <c r="AD1786" s="29" t="str">
        <f t="shared" si="600"/>
        <v>NA</v>
      </c>
      <c r="AE1786" s="29" t="str">
        <f t="shared" si="601"/>
        <v>NA</v>
      </c>
      <c r="AF1786" s="29" t="str">
        <f t="shared" si="602"/>
        <v>NA</v>
      </c>
      <c r="AG1786" s="29" t="str">
        <f t="shared" si="603"/>
        <v>NA</v>
      </c>
      <c r="AH1786" s="29" t="str">
        <f t="shared" si="604"/>
        <v>NA</v>
      </c>
    </row>
    <row r="1787" customHeight="1" spans="1:34">
      <c r="A1787" s="12" t="s">
        <v>1043</v>
      </c>
      <c r="F1787" s="24">
        <f t="shared" si="586"/>
        <v>0</v>
      </c>
      <c r="G1787" s="24" t="e">
        <f t="shared" si="585"/>
        <v>#DIV/0!</v>
      </c>
      <c r="Q1787" s="29" t="str">
        <f t="shared" si="587"/>
        <v>NA</v>
      </c>
      <c r="R1787" s="29" t="str">
        <f t="shared" si="588"/>
        <v>NA</v>
      </c>
      <c r="S1787" s="29" t="str">
        <f t="shared" si="589"/>
        <v>NA</v>
      </c>
      <c r="T1787" s="29" t="str">
        <f t="shared" si="590"/>
        <v>NA</v>
      </c>
      <c r="U1787" s="29" t="str">
        <f t="shared" si="591"/>
        <v>NA</v>
      </c>
      <c r="V1787" s="29" t="str">
        <f t="shared" si="592"/>
        <v>NA</v>
      </c>
      <c r="W1787" s="29" t="str">
        <f t="shared" si="593"/>
        <v>NA</v>
      </c>
      <c r="X1787" s="29" t="str">
        <f t="shared" si="594"/>
        <v>NA</v>
      </c>
      <c r="Y1787" s="29" t="str">
        <f t="shared" si="595"/>
        <v>NA</v>
      </c>
      <c r="Z1787" s="29" t="str">
        <f t="shared" si="596"/>
        <v>NA</v>
      </c>
      <c r="AA1787" s="29" t="str">
        <f t="shared" si="597"/>
        <v>NA</v>
      </c>
      <c r="AB1787" s="29" t="str">
        <f t="shared" si="598"/>
        <v>NA</v>
      </c>
      <c r="AC1787" s="29" t="str">
        <f t="shared" si="599"/>
        <v>NA</v>
      </c>
      <c r="AD1787" s="29" t="str">
        <f t="shared" si="600"/>
        <v>NA</v>
      </c>
      <c r="AE1787" s="29" t="str">
        <f t="shared" si="601"/>
        <v>NA</v>
      </c>
      <c r="AF1787" s="29" t="str">
        <f t="shared" si="602"/>
        <v>NA</v>
      </c>
      <c r="AG1787" s="29" t="str">
        <f t="shared" si="603"/>
        <v>NA</v>
      </c>
      <c r="AH1787" s="29" t="str">
        <f t="shared" si="604"/>
        <v>NA</v>
      </c>
    </row>
    <row r="1788" customHeight="1" spans="1:34">
      <c r="A1788" s="12" t="s">
        <v>1043</v>
      </c>
      <c r="F1788" s="24">
        <f t="shared" si="586"/>
        <v>0</v>
      </c>
      <c r="G1788" s="24" t="e">
        <f t="shared" si="585"/>
        <v>#DIV/0!</v>
      </c>
      <c r="Q1788" s="29" t="str">
        <f t="shared" si="587"/>
        <v>NA</v>
      </c>
      <c r="R1788" s="29" t="str">
        <f t="shared" si="588"/>
        <v>NA</v>
      </c>
      <c r="S1788" s="29" t="str">
        <f t="shared" si="589"/>
        <v>NA</v>
      </c>
      <c r="T1788" s="29" t="str">
        <f t="shared" si="590"/>
        <v>NA</v>
      </c>
      <c r="U1788" s="29" t="str">
        <f t="shared" si="591"/>
        <v>NA</v>
      </c>
      <c r="V1788" s="29" t="str">
        <f t="shared" si="592"/>
        <v>NA</v>
      </c>
      <c r="W1788" s="29" t="str">
        <f t="shared" si="593"/>
        <v>NA</v>
      </c>
      <c r="X1788" s="29" t="str">
        <f t="shared" si="594"/>
        <v>NA</v>
      </c>
      <c r="Y1788" s="29" t="str">
        <f t="shared" si="595"/>
        <v>NA</v>
      </c>
      <c r="Z1788" s="29" t="str">
        <f t="shared" si="596"/>
        <v>NA</v>
      </c>
      <c r="AA1788" s="29" t="str">
        <f t="shared" si="597"/>
        <v>NA</v>
      </c>
      <c r="AB1788" s="29" t="str">
        <f t="shared" si="598"/>
        <v>NA</v>
      </c>
      <c r="AC1788" s="29" t="str">
        <f t="shared" si="599"/>
        <v>NA</v>
      </c>
      <c r="AD1788" s="29" t="str">
        <f t="shared" si="600"/>
        <v>NA</v>
      </c>
      <c r="AE1788" s="29" t="str">
        <f t="shared" si="601"/>
        <v>NA</v>
      </c>
      <c r="AF1788" s="29" t="str">
        <f t="shared" si="602"/>
        <v>NA</v>
      </c>
      <c r="AG1788" s="29" t="str">
        <f t="shared" si="603"/>
        <v>NA</v>
      </c>
      <c r="AH1788" s="29" t="str">
        <f t="shared" si="604"/>
        <v>NA</v>
      </c>
    </row>
    <row r="1789" customHeight="1" spans="1:34">
      <c r="A1789" s="12" t="s">
        <v>1043</v>
      </c>
      <c r="F1789" s="24">
        <f t="shared" si="586"/>
        <v>0</v>
      </c>
      <c r="G1789" s="24" t="e">
        <f t="shared" si="585"/>
        <v>#DIV/0!</v>
      </c>
      <c r="Q1789" s="29" t="str">
        <f t="shared" si="587"/>
        <v>NA</v>
      </c>
      <c r="R1789" s="29" t="str">
        <f t="shared" si="588"/>
        <v>NA</v>
      </c>
      <c r="S1789" s="29" t="str">
        <f t="shared" si="589"/>
        <v>NA</v>
      </c>
      <c r="T1789" s="29" t="str">
        <f t="shared" si="590"/>
        <v>NA</v>
      </c>
      <c r="U1789" s="29" t="str">
        <f t="shared" si="591"/>
        <v>NA</v>
      </c>
      <c r="V1789" s="29" t="str">
        <f t="shared" si="592"/>
        <v>NA</v>
      </c>
      <c r="W1789" s="29" t="str">
        <f t="shared" si="593"/>
        <v>NA</v>
      </c>
      <c r="X1789" s="29" t="str">
        <f t="shared" si="594"/>
        <v>NA</v>
      </c>
      <c r="Y1789" s="29" t="str">
        <f t="shared" si="595"/>
        <v>NA</v>
      </c>
      <c r="Z1789" s="29" t="str">
        <f t="shared" si="596"/>
        <v>NA</v>
      </c>
      <c r="AA1789" s="29" t="str">
        <f t="shared" si="597"/>
        <v>NA</v>
      </c>
      <c r="AB1789" s="29" t="str">
        <f t="shared" si="598"/>
        <v>NA</v>
      </c>
      <c r="AC1789" s="29" t="str">
        <f t="shared" si="599"/>
        <v>NA</v>
      </c>
      <c r="AD1789" s="29" t="str">
        <f t="shared" si="600"/>
        <v>NA</v>
      </c>
      <c r="AE1789" s="29" t="str">
        <f t="shared" si="601"/>
        <v>NA</v>
      </c>
      <c r="AF1789" s="29" t="str">
        <f t="shared" si="602"/>
        <v>NA</v>
      </c>
      <c r="AG1789" s="29" t="str">
        <f t="shared" si="603"/>
        <v>NA</v>
      </c>
      <c r="AH1789" s="29" t="str">
        <f t="shared" si="604"/>
        <v>NA</v>
      </c>
    </row>
    <row r="1790" customHeight="1" spans="1:34">
      <c r="A1790" s="12" t="s">
        <v>1043</v>
      </c>
      <c r="F1790" s="24">
        <f t="shared" si="586"/>
        <v>0</v>
      </c>
      <c r="G1790" s="24" t="e">
        <f t="shared" si="585"/>
        <v>#DIV/0!</v>
      </c>
      <c r="Q1790" s="29" t="str">
        <f t="shared" si="587"/>
        <v>NA</v>
      </c>
      <c r="R1790" s="29" t="str">
        <f t="shared" si="588"/>
        <v>NA</v>
      </c>
      <c r="S1790" s="29" t="str">
        <f t="shared" si="589"/>
        <v>NA</v>
      </c>
      <c r="T1790" s="29" t="str">
        <f t="shared" si="590"/>
        <v>NA</v>
      </c>
      <c r="U1790" s="29" t="str">
        <f t="shared" si="591"/>
        <v>NA</v>
      </c>
      <c r="V1790" s="29" t="str">
        <f t="shared" si="592"/>
        <v>NA</v>
      </c>
      <c r="W1790" s="29" t="str">
        <f t="shared" si="593"/>
        <v>NA</v>
      </c>
      <c r="X1790" s="29" t="str">
        <f t="shared" si="594"/>
        <v>NA</v>
      </c>
      <c r="Y1790" s="29" t="str">
        <f t="shared" si="595"/>
        <v>NA</v>
      </c>
      <c r="Z1790" s="29" t="str">
        <f t="shared" si="596"/>
        <v>NA</v>
      </c>
      <c r="AA1790" s="29" t="str">
        <f t="shared" si="597"/>
        <v>NA</v>
      </c>
      <c r="AB1790" s="29" t="str">
        <f t="shared" si="598"/>
        <v>NA</v>
      </c>
      <c r="AC1790" s="29" t="str">
        <f t="shared" si="599"/>
        <v>NA</v>
      </c>
      <c r="AD1790" s="29" t="str">
        <f t="shared" si="600"/>
        <v>NA</v>
      </c>
      <c r="AE1790" s="29" t="str">
        <f t="shared" si="601"/>
        <v>NA</v>
      </c>
      <c r="AF1790" s="29" t="str">
        <f t="shared" si="602"/>
        <v>NA</v>
      </c>
      <c r="AG1790" s="29" t="str">
        <f t="shared" si="603"/>
        <v>NA</v>
      </c>
      <c r="AH1790" s="29" t="str">
        <f t="shared" si="604"/>
        <v>NA</v>
      </c>
    </row>
    <row r="1791" customHeight="1" spans="1:34">
      <c r="A1791" s="12" t="s">
        <v>1043</v>
      </c>
      <c r="F1791" s="24">
        <f t="shared" si="586"/>
        <v>0</v>
      </c>
      <c r="G1791" s="24" t="e">
        <f t="shared" si="585"/>
        <v>#DIV/0!</v>
      </c>
      <c r="Q1791" s="29" t="str">
        <f t="shared" si="587"/>
        <v>NA</v>
      </c>
      <c r="R1791" s="29" t="str">
        <f t="shared" si="588"/>
        <v>NA</v>
      </c>
      <c r="S1791" s="29" t="str">
        <f t="shared" si="589"/>
        <v>NA</v>
      </c>
      <c r="T1791" s="29" t="str">
        <f t="shared" si="590"/>
        <v>NA</v>
      </c>
      <c r="U1791" s="29" t="str">
        <f t="shared" si="591"/>
        <v>NA</v>
      </c>
      <c r="V1791" s="29" t="str">
        <f t="shared" si="592"/>
        <v>NA</v>
      </c>
      <c r="W1791" s="29" t="str">
        <f t="shared" si="593"/>
        <v>NA</v>
      </c>
      <c r="X1791" s="29" t="str">
        <f t="shared" si="594"/>
        <v>NA</v>
      </c>
      <c r="Y1791" s="29" t="str">
        <f t="shared" si="595"/>
        <v>NA</v>
      </c>
      <c r="Z1791" s="29" t="str">
        <f t="shared" si="596"/>
        <v>NA</v>
      </c>
      <c r="AA1791" s="29" t="str">
        <f t="shared" si="597"/>
        <v>NA</v>
      </c>
      <c r="AB1791" s="29" t="str">
        <f t="shared" si="598"/>
        <v>NA</v>
      </c>
      <c r="AC1791" s="29" t="str">
        <f t="shared" si="599"/>
        <v>NA</v>
      </c>
      <c r="AD1791" s="29" t="str">
        <f t="shared" si="600"/>
        <v>NA</v>
      </c>
      <c r="AE1791" s="29" t="str">
        <f t="shared" si="601"/>
        <v>NA</v>
      </c>
      <c r="AF1791" s="29" t="str">
        <f t="shared" si="602"/>
        <v>NA</v>
      </c>
      <c r="AG1791" s="29" t="str">
        <f t="shared" si="603"/>
        <v>NA</v>
      </c>
      <c r="AH1791" s="29" t="str">
        <f t="shared" si="604"/>
        <v>NA</v>
      </c>
    </row>
    <row r="1792" customHeight="1" spans="1:34">
      <c r="A1792" s="12" t="s">
        <v>1043</v>
      </c>
      <c r="F1792" s="24">
        <f t="shared" si="586"/>
        <v>0</v>
      </c>
      <c r="G1792" s="24" t="e">
        <f t="shared" si="585"/>
        <v>#DIV/0!</v>
      </c>
      <c r="Q1792" s="29" t="str">
        <f t="shared" si="587"/>
        <v>NA</v>
      </c>
      <c r="R1792" s="29" t="str">
        <f t="shared" si="588"/>
        <v>NA</v>
      </c>
      <c r="S1792" s="29" t="str">
        <f t="shared" si="589"/>
        <v>NA</v>
      </c>
      <c r="T1792" s="29" t="str">
        <f t="shared" si="590"/>
        <v>NA</v>
      </c>
      <c r="U1792" s="29" t="str">
        <f t="shared" si="591"/>
        <v>NA</v>
      </c>
      <c r="V1792" s="29" t="str">
        <f t="shared" si="592"/>
        <v>NA</v>
      </c>
      <c r="W1792" s="29" t="str">
        <f t="shared" si="593"/>
        <v>NA</v>
      </c>
      <c r="X1792" s="29" t="str">
        <f t="shared" si="594"/>
        <v>NA</v>
      </c>
      <c r="Y1792" s="29" t="str">
        <f t="shared" si="595"/>
        <v>NA</v>
      </c>
      <c r="Z1792" s="29" t="str">
        <f t="shared" si="596"/>
        <v>NA</v>
      </c>
      <c r="AA1792" s="29" t="str">
        <f t="shared" si="597"/>
        <v>NA</v>
      </c>
      <c r="AB1792" s="29" t="str">
        <f t="shared" si="598"/>
        <v>NA</v>
      </c>
      <c r="AC1792" s="29" t="str">
        <f t="shared" si="599"/>
        <v>NA</v>
      </c>
      <c r="AD1792" s="29" t="str">
        <f t="shared" si="600"/>
        <v>NA</v>
      </c>
      <c r="AE1792" s="29" t="str">
        <f t="shared" si="601"/>
        <v>NA</v>
      </c>
      <c r="AF1792" s="29" t="str">
        <f t="shared" si="602"/>
        <v>NA</v>
      </c>
      <c r="AG1792" s="29" t="str">
        <f t="shared" si="603"/>
        <v>NA</v>
      </c>
      <c r="AH1792" s="29" t="str">
        <f t="shared" si="604"/>
        <v>NA</v>
      </c>
    </row>
    <row r="1793" customHeight="1" spans="1:34">
      <c r="A1793" s="12" t="s">
        <v>1043</v>
      </c>
      <c r="F1793" s="24">
        <f t="shared" si="586"/>
        <v>0</v>
      </c>
      <c r="G1793" s="24" t="e">
        <f t="shared" si="585"/>
        <v>#DIV/0!</v>
      </c>
      <c r="Q1793" s="29" t="str">
        <f t="shared" si="587"/>
        <v>NA</v>
      </c>
      <c r="R1793" s="29" t="str">
        <f t="shared" si="588"/>
        <v>NA</v>
      </c>
      <c r="S1793" s="29" t="str">
        <f t="shared" si="589"/>
        <v>NA</v>
      </c>
      <c r="T1793" s="29" t="str">
        <f t="shared" si="590"/>
        <v>NA</v>
      </c>
      <c r="U1793" s="29" t="str">
        <f t="shared" si="591"/>
        <v>NA</v>
      </c>
      <c r="V1793" s="29" t="str">
        <f t="shared" si="592"/>
        <v>NA</v>
      </c>
      <c r="W1793" s="29" t="str">
        <f t="shared" si="593"/>
        <v>NA</v>
      </c>
      <c r="X1793" s="29" t="str">
        <f t="shared" si="594"/>
        <v>NA</v>
      </c>
      <c r="Y1793" s="29" t="str">
        <f t="shared" si="595"/>
        <v>NA</v>
      </c>
      <c r="Z1793" s="29" t="str">
        <f t="shared" si="596"/>
        <v>NA</v>
      </c>
      <c r="AA1793" s="29" t="str">
        <f t="shared" si="597"/>
        <v>NA</v>
      </c>
      <c r="AB1793" s="29" t="str">
        <f t="shared" si="598"/>
        <v>NA</v>
      </c>
      <c r="AC1793" s="29" t="str">
        <f t="shared" si="599"/>
        <v>NA</v>
      </c>
      <c r="AD1793" s="29" t="str">
        <f t="shared" si="600"/>
        <v>NA</v>
      </c>
      <c r="AE1793" s="29" t="str">
        <f t="shared" si="601"/>
        <v>NA</v>
      </c>
      <c r="AF1793" s="29" t="str">
        <f t="shared" si="602"/>
        <v>NA</v>
      </c>
      <c r="AG1793" s="29" t="str">
        <f t="shared" si="603"/>
        <v>NA</v>
      </c>
      <c r="AH1793" s="29" t="str">
        <f t="shared" si="604"/>
        <v>NA</v>
      </c>
    </row>
    <row r="1794" customHeight="1" spans="1:34">
      <c r="A1794" s="12" t="s">
        <v>1043</v>
      </c>
      <c r="F1794" s="24">
        <f t="shared" si="586"/>
        <v>0</v>
      </c>
      <c r="G1794" s="24" t="e">
        <f t="shared" si="585"/>
        <v>#DIV/0!</v>
      </c>
      <c r="Q1794" s="29" t="str">
        <f t="shared" si="587"/>
        <v>NA</v>
      </c>
      <c r="R1794" s="29" t="str">
        <f t="shared" si="588"/>
        <v>NA</v>
      </c>
      <c r="S1794" s="29" t="str">
        <f t="shared" si="589"/>
        <v>NA</v>
      </c>
      <c r="T1794" s="29" t="str">
        <f t="shared" si="590"/>
        <v>NA</v>
      </c>
      <c r="U1794" s="29" t="str">
        <f t="shared" si="591"/>
        <v>NA</v>
      </c>
      <c r="V1794" s="29" t="str">
        <f t="shared" si="592"/>
        <v>NA</v>
      </c>
      <c r="W1794" s="29" t="str">
        <f t="shared" si="593"/>
        <v>NA</v>
      </c>
      <c r="X1794" s="29" t="str">
        <f t="shared" si="594"/>
        <v>NA</v>
      </c>
      <c r="Y1794" s="29" t="str">
        <f t="shared" si="595"/>
        <v>NA</v>
      </c>
      <c r="Z1794" s="29" t="str">
        <f t="shared" si="596"/>
        <v>NA</v>
      </c>
      <c r="AA1794" s="29" t="str">
        <f t="shared" si="597"/>
        <v>NA</v>
      </c>
      <c r="AB1794" s="29" t="str">
        <f t="shared" si="598"/>
        <v>NA</v>
      </c>
      <c r="AC1794" s="29" t="str">
        <f t="shared" si="599"/>
        <v>NA</v>
      </c>
      <c r="AD1794" s="29" t="str">
        <f t="shared" si="600"/>
        <v>NA</v>
      </c>
      <c r="AE1794" s="29" t="str">
        <f t="shared" si="601"/>
        <v>NA</v>
      </c>
      <c r="AF1794" s="29" t="str">
        <f t="shared" si="602"/>
        <v>NA</v>
      </c>
      <c r="AG1794" s="29" t="str">
        <f t="shared" si="603"/>
        <v>NA</v>
      </c>
      <c r="AH1794" s="29" t="str">
        <f t="shared" si="604"/>
        <v>NA</v>
      </c>
    </row>
    <row r="1795" customHeight="1" spans="1:34">
      <c r="A1795" s="12" t="s">
        <v>1043</v>
      </c>
      <c r="F1795" s="24">
        <f t="shared" si="586"/>
        <v>0</v>
      </c>
      <c r="G1795" s="24" t="e">
        <f t="shared" si="585"/>
        <v>#DIV/0!</v>
      </c>
      <c r="Q1795" s="29" t="str">
        <f t="shared" si="587"/>
        <v>NA</v>
      </c>
      <c r="R1795" s="29" t="str">
        <f t="shared" si="588"/>
        <v>NA</v>
      </c>
      <c r="S1795" s="29" t="str">
        <f t="shared" si="589"/>
        <v>NA</v>
      </c>
      <c r="T1795" s="29" t="str">
        <f t="shared" si="590"/>
        <v>NA</v>
      </c>
      <c r="U1795" s="29" t="str">
        <f t="shared" si="591"/>
        <v>NA</v>
      </c>
      <c r="V1795" s="29" t="str">
        <f t="shared" si="592"/>
        <v>NA</v>
      </c>
      <c r="W1795" s="29" t="str">
        <f t="shared" si="593"/>
        <v>NA</v>
      </c>
      <c r="X1795" s="29" t="str">
        <f t="shared" si="594"/>
        <v>NA</v>
      </c>
      <c r="Y1795" s="29" t="str">
        <f t="shared" si="595"/>
        <v>NA</v>
      </c>
      <c r="Z1795" s="29" t="str">
        <f t="shared" si="596"/>
        <v>NA</v>
      </c>
      <c r="AA1795" s="29" t="str">
        <f t="shared" si="597"/>
        <v>NA</v>
      </c>
      <c r="AB1795" s="29" t="str">
        <f t="shared" si="598"/>
        <v>NA</v>
      </c>
      <c r="AC1795" s="29" t="str">
        <f t="shared" si="599"/>
        <v>NA</v>
      </c>
      <c r="AD1795" s="29" t="str">
        <f t="shared" si="600"/>
        <v>NA</v>
      </c>
      <c r="AE1795" s="29" t="str">
        <f t="shared" si="601"/>
        <v>NA</v>
      </c>
      <c r="AF1795" s="29" t="str">
        <f t="shared" si="602"/>
        <v>NA</v>
      </c>
      <c r="AG1795" s="29" t="str">
        <f t="shared" si="603"/>
        <v>NA</v>
      </c>
      <c r="AH1795" s="29" t="str">
        <f t="shared" si="604"/>
        <v>NA</v>
      </c>
    </row>
    <row r="1796" customHeight="1" spans="1:34">
      <c r="A1796" s="12" t="s">
        <v>1043</v>
      </c>
      <c r="F1796" s="24">
        <f t="shared" si="586"/>
        <v>0</v>
      </c>
      <c r="G1796" s="24" t="e">
        <f t="shared" si="585"/>
        <v>#DIV/0!</v>
      </c>
      <c r="Q1796" s="29" t="str">
        <f t="shared" si="587"/>
        <v>NA</v>
      </c>
      <c r="R1796" s="29" t="str">
        <f t="shared" si="588"/>
        <v>NA</v>
      </c>
      <c r="S1796" s="29" t="str">
        <f t="shared" si="589"/>
        <v>NA</v>
      </c>
      <c r="T1796" s="29" t="str">
        <f t="shared" si="590"/>
        <v>NA</v>
      </c>
      <c r="U1796" s="29" t="str">
        <f t="shared" si="591"/>
        <v>NA</v>
      </c>
      <c r="V1796" s="29" t="str">
        <f t="shared" si="592"/>
        <v>NA</v>
      </c>
      <c r="W1796" s="29" t="str">
        <f t="shared" si="593"/>
        <v>NA</v>
      </c>
      <c r="X1796" s="29" t="str">
        <f t="shared" si="594"/>
        <v>NA</v>
      </c>
      <c r="Y1796" s="29" t="str">
        <f t="shared" si="595"/>
        <v>NA</v>
      </c>
      <c r="Z1796" s="29" t="str">
        <f t="shared" si="596"/>
        <v>NA</v>
      </c>
      <c r="AA1796" s="29" t="str">
        <f t="shared" si="597"/>
        <v>NA</v>
      </c>
      <c r="AB1796" s="29" t="str">
        <f t="shared" si="598"/>
        <v>NA</v>
      </c>
      <c r="AC1796" s="29" t="str">
        <f t="shared" si="599"/>
        <v>NA</v>
      </c>
      <c r="AD1796" s="29" t="str">
        <f t="shared" si="600"/>
        <v>NA</v>
      </c>
      <c r="AE1796" s="29" t="str">
        <f t="shared" si="601"/>
        <v>NA</v>
      </c>
      <c r="AF1796" s="29" t="str">
        <f t="shared" si="602"/>
        <v>NA</v>
      </c>
      <c r="AG1796" s="29" t="str">
        <f t="shared" si="603"/>
        <v>NA</v>
      </c>
      <c r="AH1796" s="29" t="str">
        <f t="shared" si="604"/>
        <v>NA</v>
      </c>
    </row>
    <row r="1797" customHeight="1" spans="1:34">
      <c r="A1797" s="12" t="s">
        <v>1043</v>
      </c>
      <c r="F1797" s="24">
        <f t="shared" si="586"/>
        <v>0</v>
      </c>
      <c r="G1797" s="24" t="e">
        <f t="shared" ref="G1797:G1860" si="605">B1797*D1797/C1797</f>
        <v>#DIV/0!</v>
      </c>
      <c r="Q1797" s="29" t="str">
        <f t="shared" si="587"/>
        <v>NA</v>
      </c>
      <c r="R1797" s="29" t="str">
        <f t="shared" si="588"/>
        <v>NA</v>
      </c>
      <c r="S1797" s="29" t="str">
        <f t="shared" si="589"/>
        <v>NA</v>
      </c>
      <c r="T1797" s="29" t="str">
        <f t="shared" si="590"/>
        <v>NA</v>
      </c>
      <c r="U1797" s="29" t="str">
        <f t="shared" si="591"/>
        <v>NA</v>
      </c>
      <c r="V1797" s="29" t="str">
        <f t="shared" si="592"/>
        <v>NA</v>
      </c>
      <c r="W1797" s="29" t="str">
        <f t="shared" si="593"/>
        <v>NA</v>
      </c>
      <c r="X1797" s="29" t="str">
        <f t="shared" si="594"/>
        <v>NA</v>
      </c>
      <c r="Y1797" s="29" t="str">
        <f t="shared" si="595"/>
        <v>NA</v>
      </c>
      <c r="Z1797" s="29" t="str">
        <f t="shared" si="596"/>
        <v>NA</v>
      </c>
      <c r="AA1797" s="29" t="str">
        <f t="shared" si="597"/>
        <v>NA</v>
      </c>
      <c r="AB1797" s="29" t="str">
        <f t="shared" si="598"/>
        <v>NA</v>
      </c>
      <c r="AC1797" s="29" t="str">
        <f t="shared" si="599"/>
        <v>NA</v>
      </c>
      <c r="AD1797" s="29" t="str">
        <f t="shared" si="600"/>
        <v>NA</v>
      </c>
      <c r="AE1797" s="29" t="str">
        <f t="shared" si="601"/>
        <v>NA</v>
      </c>
      <c r="AF1797" s="29" t="str">
        <f t="shared" si="602"/>
        <v>NA</v>
      </c>
      <c r="AG1797" s="29" t="str">
        <f t="shared" si="603"/>
        <v>NA</v>
      </c>
      <c r="AH1797" s="29" t="str">
        <f t="shared" si="604"/>
        <v>NA</v>
      </c>
    </row>
    <row r="1798" customHeight="1" spans="1:34">
      <c r="A1798" s="12" t="s">
        <v>1043</v>
      </c>
      <c r="F1798" s="24">
        <f t="shared" ref="F1798:F1861" si="606">+D1798+E1798</f>
        <v>0</v>
      </c>
      <c r="G1798" s="24" t="e">
        <f t="shared" si="605"/>
        <v>#DIV/0!</v>
      </c>
      <c r="Q1798" s="29" t="str">
        <f t="shared" si="587"/>
        <v>NA</v>
      </c>
      <c r="R1798" s="29" t="str">
        <f t="shared" si="588"/>
        <v>NA</v>
      </c>
      <c r="S1798" s="29" t="str">
        <f t="shared" si="589"/>
        <v>NA</v>
      </c>
      <c r="T1798" s="29" t="str">
        <f t="shared" si="590"/>
        <v>NA</v>
      </c>
      <c r="U1798" s="29" t="str">
        <f t="shared" si="591"/>
        <v>NA</v>
      </c>
      <c r="V1798" s="29" t="str">
        <f t="shared" si="592"/>
        <v>NA</v>
      </c>
      <c r="W1798" s="29" t="str">
        <f t="shared" si="593"/>
        <v>NA</v>
      </c>
      <c r="X1798" s="29" t="str">
        <f t="shared" si="594"/>
        <v>NA</v>
      </c>
      <c r="Y1798" s="29" t="str">
        <f t="shared" si="595"/>
        <v>NA</v>
      </c>
      <c r="Z1798" s="29" t="str">
        <f t="shared" si="596"/>
        <v>NA</v>
      </c>
      <c r="AA1798" s="29" t="str">
        <f t="shared" si="597"/>
        <v>NA</v>
      </c>
      <c r="AB1798" s="29" t="str">
        <f t="shared" si="598"/>
        <v>NA</v>
      </c>
      <c r="AC1798" s="29" t="str">
        <f t="shared" si="599"/>
        <v>NA</v>
      </c>
      <c r="AD1798" s="29" t="str">
        <f t="shared" si="600"/>
        <v>NA</v>
      </c>
      <c r="AE1798" s="29" t="str">
        <f t="shared" si="601"/>
        <v>NA</v>
      </c>
      <c r="AF1798" s="29" t="str">
        <f t="shared" si="602"/>
        <v>NA</v>
      </c>
      <c r="AG1798" s="29" t="str">
        <f t="shared" si="603"/>
        <v>NA</v>
      </c>
      <c r="AH1798" s="29" t="str">
        <f t="shared" si="604"/>
        <v>NA</v>
      </c>
    </row>
    <row r="1799" customHeight="1" spans="1:34">
      <c r="A1799" s="12" t="s">
        <v>1043</v>
      </c>
      <c r="F1799" s="24">
        <f t="shared" si="606"/>
        <v>0</v>
      </c>
      <c r="G1799" s="24" t="e">
        <f t="shared" si="605"/>
        <v>#DIV/0!</v>
      </c>
      <c r="Q1799" s="29" t="str">
        <f t="shared" si="587"/>
        <v>NA</v>
      </c>
      <c r="R1799" s="29" t="str">
        <f t="shared" si="588"/>
        <v>NA</v>
      </c>
      <c r="S1799" s="29" t="str">
        <f t="shared" si="589"/>
        <v>NA</v>
      </c>
      <c r="T1799" s="29" t="str">
        <f t="shared" si="590"/>
        <v>NA</v>
      </c>
      <c r="U1799" s="29" t="str">
        <f t="shared" si="591"/>
        <v>NA</v>
      </c>
      <c r="V1799" s="29" t="str">
        <f t="shared" si="592"/>
        <v>NA</v>
      </c>
      <c r="W1799" s="29" t="str">
        <f t="shared" si="593"/>
        <v>NA</v>
      </c>
      <c r="X1799" s="29" t="str">
        <f t="shared" si="594"/>
        <v>NA</v>
      </c>
      <c r="Y1799" s="29" t="str">
        <f t="shared" si="595"/>
        <v>NA</v>
      </c>
      <c r="Z1799" s="29" t="str">
        <f t="shared" si="596"/>
        <v>NA</v>
      </c>
      <c r="AA1799" s="29" t="str">
        <f t="shared" si="597"/>
        <v>NA</v>
      </c>
      <c r="AB1799" s="29" t="str">
        <f t="shared" si="598"/>
        <v>NA</v>
      </c>
      <c r="AC1799" s="29" t="str">
        <f t="shared" si="599"/>
        <v>NA</v>
      </c>
      <c r="AD1799" s="29" t="str">
        <f t="shared" si="600"/>
        <v>NA</v>
      </c>
      <c r="AE1799" s="29" t="str">
        <f t="shared" si="601"/>
        <v>NA</v>
      </c>
      <c r="AF1799" s="29" t="str">
        <f t="shared" si="602"/>
        <v>NA</v>
      </c>
      <c r="AG1799" s="29" t="str">
        <f t="shared" si="603"/>
        <v>NA</v>
      </c>
      <c r="AH1799" s="29" t="str">
        <f t="shared" si="604"/>
        <v>NA</v>
      </c>
    </row>
    <row r="1800" customHeight="1" spans="1:34">
      <c r="A1800" s="12" t="s">
        <v>1043</v>
      </c>
      <c r="F1800" s="24">
        <f t="shared" si="606"/>
        <v>0</v>
      </c>
      <c r="G1800" s="24" t="e">
        <f t="shared" si="605"/>
        <v>#DIV/0!</v>
      </c>
      <c r="Q1800" s="29" t="str">
        <f t="shared" si="587"/>
        <v>NA</v>
      </c>
      <c r="R1800" s="29" t="str">
        <f t="shared" si="588"/>
        <v>NA</v>
      </c>
      <c r="S1800" s="29" t="str">
        <f t="shared" si="589"/>
        <v>NA</v>
      </c>
      <c r="T1800" s="29" t="str">
        <f t="shared" si="590"/>
        <v>NA</v>
      </c>
      <c r="U1800" s="29" t="str">
        <f t="shared" si="591"/>
        <v>NA</v>
      </c>
      <c r="V1800" s="29" t="str">
        <f t="shared" si="592"/>
        <v>NA</v>
      </c>
      <c r="W1800" s="29" t="str">
        <f t="shared" si="593"/>
        <v>NA</v>
      </c>
      <c r="X1800" s="29" t="str">
        <f t="shared" si="594"/>
        <v>NA</v>
      </c>
      <c r="Y1800" s="29" t="str">
        <f t="shared" si="595"/>
        <v>NA</v>
      </c>
      <c r="Z1800" s="29" t="str">
        <f t="shared" si="596"/>
        <v>NA</v>
      </c>
      <c r="AA1800" s="29" t="str">
        <f t="shared" si="597"/>
        <v>NA</v>
      </c>
      <c r="AB1800" s="29" t="str">
        <f t="shared" si="598"/>
        <v>NA</v>
      </c>
      <c r="AC1800" s="29" t="str">
        <f t="shared" si="599"/>
        <v>NA</v>
      </c>
      <c r="AD1800" s="29" t="str">
        <f t="shared" si="600"/>
        <v>NA</v>
      </c>
      <c r="AE1800" s="29" t="str">
        <f t="shared" si="601"/>
        <v>NA</v>
      </c>
      <c r="AF1800" s="29" t="str">
        <f t="shared" si="602"/>
        <v>NA</v>
      </c>
      <c r="AG1800" s="29" t="str">
        <f t="shared" si="603"/>
        <v>NA</v>
      </c>
      <c r="AH1800" s="29" t="str">
        <f t="shared" si="604"/>
        <v>NA</v>
      </c>
    </row>
    <row r="1801" customHeight="1" spans="1:34">
      <c r="A1801" s="12" t="s">
        <v>1043</v>
      </c>
      <c r="F1801" s="24">
        <f t="shared" si="606"/>
        <v>0</v>
      </c>
      <c r="G1801" s="24" t="e">
        <f t="shared" si="605"/>
        <v>#DIV/0!</v>
      </c>
      <c r="Q1801" s="29" t="str">
        <f t="shared" si="587"/>
        <v>NA</v>
      </c>
      <c r="R1801" s="29" t="str">
        <f t="shared" si="588"/>
        <v>NA</v>
      </c>
      <c r="S1801" s="29" t="str">
        <f t="shared" si="589"/>
        <v>NA</v>
      </c>
      <c r="T1801" s="29" t="str">
        <f t="shared" si="590"/>
        <v>NA</v>
      </c>
      <c r="U1801" s="29" t="str">
        <f t="shared" si="591"/>
        <v>NA</v>
      </c>
      <c r="V1801" s="29" t="str">
        <f t="shared" si="592"/>
        <v>NA</v>
      </c>
      <c r="W1801" s="29" t="str">
        <f t="shared" si="593"/>
        <v>NA</v>
      </c>
      <c r="X1801" s="29" t="str">
        <f t="shared" si="594"/>
        <v>NA</v>
      </c>
      <c r="Y1801" s="29" t="str">
        <f t="shared" si="595"/>
        <v>NA</v>
      </c>
      <c r="Z1801" s="29" t="str">
        <f t="shared" si="596"/>
        <v>NA</v>
      </c>
      <c r="AA1801" s="29" t="str">
        <f t="shared" si="597"/>
        <v>NA</v>
      </c>
      <c r="AB1801" s="29" t="str">
        <f t="shared" si="598"/>
        <v>NA</v>
      </c>
      <c r="AC1801" s="29" t="str">
        <f t="shared" si="599"/>
        <v>NA</v>
      </c>
      <c r="AD1801" s="29" t="str">
        <f t="shared" si="600"/>
        <v>NA</v>
      </c>
      <c r="AE1801" s="29" t="str">
        <f t="shared" si="601"/>
        <v>NA</v>
      </c>
      <c r="AF1801" s="29" t="str">
        <f t="shared" si="602"/>
        <v>NA</v>
      </c>
      <c r="AG1801" s="29" t="str">
        <f t="shared" si="603"/>
        <v>NA</v>
      </c>
      <c r="AH1801" s="29" t="str">
        <f t="shared" si="604"/>
        <v>NA</v>
      </c>
    </row>
    <row r="1802" customHeight="1" spans="1:34">
      <c r="A1802" s="12" t="s">
        <v>1043</v>
      </c>
      <c r="F1802" s="24">
        <f t="shared" si="606"/>
        <v>0</v>
      </c>
      <c r="G1802" s="24" t="e">
        <f t="shared" si="605"/>
        <v>#DIV/0!</v>
      </c>
      <c r="Q1802" s="29" t="str">
        <f t="shared" si="587"/>
        <v>NA</v>
      </c>
      <c r="R1802" s="29" t="str">
        <f t="shared" si="588"/>
        <v>NA</v>
      </c>
      <c r="S1802" s="29" t="str">
        <f t="shared" si="589"/>
        <v>NA</v>
      </c>
      <c r="T1802" s="29" t="str">
        <f t="shared" si="590"/>
        <v>NA</v>
      </c>
      <c r="U1802" s="29" t="str">
        <f t="shared" si="591"/>
        <v>NA</v>
      </c>
      <c r="V1802" s="29" t="str">
        <f t="shared" si="592"/>
        <v>NA</v>
      </c>
      <c r="W1802" s="29" t="str">
        <f t="shared" si="593"/>
        <v>NA</v>
      </c>
      <c r="X1802" s="29" t="str">
        <f t="shared" si="594"/>
        <v>NA</v>
      </c>
      <c r="Y1802" s="29" t="str">
        <f t="shared" si="595"/>
        <v>NA</v>
      </c>
      <c r="Z1802" s="29" t="str">
        <f t="shared" si="596"/>
        <v>NA</v>
      </c>
      <c r="AA1802" s="29" t="str">
        <f t="shared" si="597"/>
        <v>NA</v>
      </c>
      <c r="AB1802" s="29" t="str">
        <f t="shared" si="598"/>
        <v>NA</v>
      </c>
      <c r="AC1802" s="29" t="str">
        <f t="shared" si="599"/>
        <v>NA</v>
      </c>
      <c r="AD1802" s="29" t="str">
        <f t="shared" si="600"/>
        <v>NA</v>
      </c>
      <c r="AE1802" s="29" t="str">
        <f t="shared" si="601"/>
        <v>NA</v>
      </c>
      <c r="AF1802" s="29" t="str">
        <f t="shared" si="602"/>
        <v>NA</v>
      </c>
      <c r="AG1802" s="29" t="str">
        <f t="shared" si="603"/>
        <v>NA</v>
      </c>
      <c r="AH1802" s="29" t="str">
        <f t="shared" si="604"/>
        <v>NA</v>
      </c>
    </row>
    <row r="1803" customHeight="1" spans="1:34">
      <c r="A1803" s="12" t="s">
        <v>1043</v>
      </c>
      <c r="F1803" s="24">
        <f t="shared" si="606"/>
        <v>0</v>
      </c>
      <c r="G1803" s="24" t="e">
        <f t="shared" si="605"/>
        <v>#DIV/0!</v>
      </c>
      <c r="Q1803" s="29" t="str">
        <f t="shared" si="587"/>
        <v>NA</v>
      </c>
      <c r="R1803" s="29" t="str">
        <f t="shared" si="588"/>
        <v>NA</v>
      </c>
      <c r="S1803" s="29" t="str">
        <f t="shared" si="589"/>
        <v>NA</v>
      </c>
      <c r="T1803" s="29" t="str">
        <f t="shared" si="590"/>
        <v>NA</v>
      </c>
      <c r="U1803" s="29" t="str">
        <f t="shared" si="591"/>
        <v>NA</v>
      </c>
      <c r="V1803" s="29" t="str">
        <f t="shared" si="592"/>
        <v>NA</v>
      </c>
      <c r="W1803" s="29" t="str">
        <f t="shared" si="593"/>
        <v>NA</v>
      </c>
      <c r="X1803" s="29" t="str">
        <f t="shared" si="594"/>
        <v>NA</v>
      </c>
      <c r="Y1803" s="29" t="str">
        <f t="shared" si="595"/>
        <v>NA</v>
      </c>
      <c r="Z1803" s="29" t="str">
        <f t="shared" si="596"/>
        <v>NA</v>
      </c>
      <c r="AA1803" s="29" t="str">
        <f t="shared" si="597"/>
        <v>NA</v>
      </c>
      <c r="AB1803" s="29" t="str">
        <f t="shared" si="598"/>
        <v>NA</v>
      </c>
      <c r="AC1803" s="29" t="str">
        <f t="shared" si="599"/>
        <v>NA</v>
      </c>
      <c r="AD1803" s="29" t="str">
        <f t="shared" si="600"/>
        <v>NA</v>
      </c>
      <c r="AE1803" s="29" t="str">
        <f t="shared" si="601"/>
        <v>NA</v>
      </c>
      <c r="AF1803" s="29" t="str">
        <f t="shared" si="602"/>
        <v>NA</v>
      </c>
      <c r="AG1803" s="29" t="str">
        <f t="shared" si="603"/>
        <v>NA</v>
      </c>
      <c r="AH1803" s="29" t="str">
        <f t="shared" si="604"/>
        <v>NA</v>
      </c>
    </row>
    <row r="1804" customHeight="1" spans="1:34">
      <c r="A1804" s="12" t="s">
        <v>1043</v>
      </c>
      <c r="F1804" s="24">
        <f t="shared" si="606"/>
        <v>0</v>
      </c>
      <c r="G1804" s="24" t="e">
        <f t="shared" si="605"/>
        <v>#DIV/0!</v>
      </c>
      <c r="Q1804" s="29" t="str">
        <f t="shared" si="587"/>
        <v>NA</v>
      </c>
      <c r="R1804" s="29" t="str">
        <f t="shared" si="588"/>
        <v>NA</v>
      </c>
      <c r="S1804" s="29" t="str">
        <f t="shared" si="589"/>
        <v>NA</v>
      </c>
      <c r="T1804" s="29" t="str">
        <f t="shared" si="590"/>
        <v>NA</v>
      </c>
      <c r="U1804" s="29" t="str">
        <f t="shared" si="591"/>
        <v>NA</v>
      </c>
      <c r="V1804" s="29" t="str">
        <f t="shared" si="592"/>
        <v>NA</v>
      </c>
      <c r="W1804" s="29" t="str">
        <f t="shared" si="593"/>
        <v>NA</v>
      </c>
      <c r="X1804" s="29" t="str">
        <f t="shared" si="594"/>
        <v>NA</v>
      </c>
      <c r="Y1804" s="29" t="str">
        <f t="shared" si="595"/>
        <v>NA</v>
      </c>
      <c r="Z1804" s="29" t="str">
        <f t="shared" si="596"/>
        <v>NA</v>
      </c>
      <c r="AA1804" s="29" t="str">
        <f t="shared" si="597"/>
        <v>NA</v>
      </c>
      <c r="AB1804" s="29" t="str">
        <f t="shared" si="598"/>
        <v>NA</v>
      </c>
      <c r="AC1804" s="29" t="str">
        <f t="shared" si="599"/>
        <v>NA</v>
      </c>
      <c r="AD1804" s="29" t="str">
        <f t="shared" si="600"/>
        <v>NA</v>
      </c>
      <c r="AE1804" s="29" t="str">
        <f t="shared" si="601"/>
        <v>NA</v>
      </c>
      <c r="AF1804" s="29" t="str">
        <f t="shared" si="602"/>
        <v>NA</v>
      </c>
      <c r="AG1804" s="29" t="str">
        <f t="shared" si="603"/>
        <v>NA</v>
      </c>
      <c r="AH1804" s="29" t="str">
        <f t="shared" si="604"/>
        <v>NA</v>
      </c>
    </row>
    <row r="1805" customHeight="1" spans="1:34">
      <c r="A1805" s="12" t="s">
        <v>1043</v>
      </c>
      <c r="F1805" s="24">
        <f t="shared" si="606"/>
        <v>0</v>
      </c>
      <c r="G1805" s="24" t="e">
        <f t="shared" si="605"/>
        <v>#DIV/0!</v>
      </c>
      <c r="Q1805" s="29" t="str">
        <f t="shared" si="587"/>
        <v>NA</v>
      </c>
      <c r="R1805" s="29" t="str">
        <f t="shared" si="588"/>
        <v>NA</v>
      </c>
      <c r="S1805" s="29" t="str">
        <f t="shared" si="589"/>
        <v>NA</v>
      </c>
      <c r="T1805" s="29" t="str">
        <f t="shared" si="590"/>
        <v>NA</v>
      </c>
      <c r="U1805" s="29" t="str">
        <f t="shared" si="591"/>
        <v>NA</v>
      </c>
      <c r="V1805" s="29" t="str">
        <f t="shared" si="592"/>
        <v>NA</v>
      </c>
      <c r="W1805" s="29" t="str">
        <f t="shared" si="593"/>
        <v>NA</v>
      </c>
      <c r="X1805" s="29" t="str">
        <f t="shared" si="594"/>
        <v>NA</v>
      </c>
      <c r="Y1805" s="29" t="str">
        <f t="shared" si="595"/>
        <v>NA</v>
      </c>
      <c r="Z1805" s="29" t="str">
        <f t="shared" si="596"/>
        <v>NA</v>
      </c>
      <c r="AA1805" s="29" t="str">
        <f t="shared" si="597"/>
        <v>NA</v>
      </c>
      <c r="AB1805" s="29" t="str">
        <f t="shared" si="598"/>
        <v>NA</v>
      </c>
      <c r="AC1805" s="29" t="str">
        <f t="shared" si="599"/>
        <v>NA</v>
      </c>
      <c r="AD1805" s="29" t="str">
        <f t="shared" si="600"/>
        <v>NA</v>
      </c>
      <c r="AE1805" s="29" t="str">
        <f t="shared" si="601"/>
        <v>NA</v>
      </c>
      <c r="AF1805" s="29" t="str">
        <f t="shared" si="602"/>
        <v>NA</v>
      </c>
      <c r="AG1805" s="29" t="str">
        <f t="shared" si="603"/>
        <v>NA</v>
      </c>
      <c r="AH1805" s="29" t="str">
        <f t="shared" si="604"/>
        <v>NA</v>
      </c>
    </row>
    <row r="1806" customHeight="1" spans="1:34">
      <c r="A1806" s="12" t="s">
        <v>1043</v>
      </c>
      <c r="F1806" s="24">
        <f t="shared" si="606"/>
        <v>0</v>
      </c>
      <c r="G1806" s="24" t="e">
        <f t="shared" si="605"/>
        <v>#DIV/0!</v>
      </c>
      <c r="Q1806" s="29" t="str">
        <f t="shared" si="587"/>
        <v>NA</v>
      </c>
      <c r="R1806" s="29" t="str">
        <f t="shared" si="588"/>
        <v>NA</v>
      </c>
      <c r="S1806" s="29" t="str">
        <f t="shared" si="589"/>
        <v>NA</v>
      </c>
      <c r="T1806" s="29" t="str">
        <f t="shared" si="590"/>
        <v>NA</v>
      </c>
      <c r="U1806" s="29" t="str">
        <f t="shared" si="591"/>
        <v>NA</v>
      </c>
      <c r="V1806" s="29" t="str">
        <f t="shared" si="592"/>
        <v>NA</v>
      </c>
      <c r="W1806" s="29" t="str">
        <f t="shared" si="593"/>
        <v>NA</v>
      </c>
      <c r="X1806" s="29" t="str">
        <f t="shared" si="594"/>
        <v>NA</v>
      </c>
      <c r="Y1806" s="29" t="str">
        <f t="shared" si="595"/>
        <v>NA</v>
      </c>
      <c r="Z1806" s="29" t="str">
        <f t="shared" si="596"/>
        <v>NA</v>
      </c>
      <c r="AA1806" s="29" t="str">
        <f t="shared" si="597"/>
        <v>NA</v>
      </c>
      <c r="AB1806" s="29" t="str">
        <f t="shared" si="598"/>
        <v>NA</v>
      </c>
      <c r="AC1806" s="29" t="str">
        <f t="shared" si="599"/>
        <v>NA</v>
      </c>
      <c r="AD1806" s="29" t="str">
        <f t="shared" si="600"/>
        <v>NA</v>
      </c>
      <c r="AE1806" s="29" t="str">
        <f t="shared" si="601"/>
        <v>NA</v>
      </c>
      <c r="AF1806" s="29" t="str">
        <f t="shared" si="602"/>
        <v>NA</v>
      </c>
      <c r="AG1806" s="29" t="str">
        <f t="shared" si="603"/>
        <v>NA</v>
      </c>
      <c r="AH1806" s="29" t="str">
        <f t="shared" si="604"/>
        <v>NA</v>
      </c>
    </row>
    <row r="1807" customHeight="1" spans="1:34">
      <c r="A1807" s="12" t="s">
        <v>1043</v>
      </c>
      <c r="F1807" s="24">
        <f t="shared" si="606"/>
        <v>0</v>
      </c>
      <c r="G1807" s="24" t="e">
        <f t="shared" si="605"/>
        <v>#DIV/0!</v>
      </c>
      <c r="Q1807" s="29" t="str">
        <f t="shared" si="587"/>
        <v>NA</v>
      </c>
      <c r="R1807" s="29" t="str">
        <f t="shared" si="588"/>
        <v>NA</v>
      </c>
      <c r="S1807" s="29" t="str">
        <f t="shared" si="589"/>
        <v>NA</v>
      </c>
      <c r="T1807" s="29" t="str">
        <f t="shared" si="590"/>
        <v>NA</v>
      </c>
      <c r="U1807" s="29" t="str">
        <f t="shared" si="591"/>
        <v>NA</v>
      </c>
      <c r="V1807" s="29" t="str">
        <f t="shared" si="592"/>
        <v>NA</v>
      </c>
      <c r="W1807" s="29" t="str">
        <f t="shared" si="593"/>
        <v>NA</v>
      </c>
      <c r="X1807" s="29" t="str">
        <f t="shared" si="594"/>
        <v>NA</v>
      </c>
      <c r="Y1807" s="29" t="str">
        <f t="shared" si="595"/>
        <v>NA</v>
      </c>
      <c r="Z1807" s="29" t="str">
        <f t="shared" si="596"/>
        <v>NA</v>
      </c>
      <c r="AA1807" s="29" t="str">
        <f t="shared" si="597"/>
        <v>NA</v>
      </c>
      <c r="AB1807" s="29" t="str">
        <f t="shared" si="598"/>
        <v>NA</v>
      </c>
      <c r="AC1807" s="29" t="str">
        <f t="shared" si="599"/>
        <v>NA</v>
      </c>
      <c r="AD1807" s="29" t="str">
        <f t="shared" si="600"/>
        <v>NA</v>
      </c>
      <c r="AE1807" s="29" t="str">
        <f t="shared" si="601"/>
        <v>NA</v>
      </c>
      <c r="AF1807" s="29" t="str">
        <f t="shared" si="602"/>
        <v>NA</v>
      </c>
      <c r="AG1807" s="29" t="str">
        <f t="shared" si="603"/>
        <v>NA</v>
      </c>
      <c r="AH1807" s="29" t="str">
        <f t="shared" si="604"/>
        <v>NA</v>
      </c>
    </row>
    <row r="1808" customHeight="1" spans="1:34">
      <c r="A1808" s="12" t="s">
        <v>1043</v>
      </c>
      <c r="F1808" s="24">
        <f t="shared" si="606"/>
        <v>0</v>
      </c>
      <c r="G1808" s="24" t="e">
        <f t="shared" si="605"/>
        <v>#DIV/0!</v>
      </c>
      <c r="Q1808" s="29" t="str">
        <f t="shared" ref="Q1808:Q1871" si="607">IFERROR($B1808*$E1808/H1808,"NA")</f>
        <v>NA</v>
      </c>
      <c r="R1808" s="29" t="str">
        <f t="shared" ref="R1808:R1871" si="608">IFERROR($B1808*$E1808/I1808,"NA")</f>
        <v>NA</v>
      </c>
      <c r="S1808" s="29" t="str">
        <f t="shared" ref="S1808:S1871" si="609">IFERROR($B1808*$E1808/J1808,"NA")</f>
        <v>NA</v>
      </c>
      <c r="T1808" s="29" t="str">
        <f t="shared" ref="T1808:T1871" si="610">IFERROR($B1808*$E1808/K1808,"NA")</f>
        <v>NA</v>
      </c>
      <c r="U1808" s="29" t="str">
        <f t="shared" ref="U1808:U1871" si="611">IFERROR($B1808*$E1808/L1808,"NA")</f>
        <v>NA</v>
      </c>
      <c r="V1808" s="29" t="str">
        <f t="shared" ref="V1808:V1871" si="612">IFERROR($B1808*$E1808/M1808,"NA")</f>
        <v>NA</v>
      </c>
      <c r="W1808" s="29" t="str">
        <f t="shared" ref="W1808:W1871" si="613">IFERROR($B1808*$E1808/N1808,"NA")</f>
        <v>NA</v>
      </c>
      <c r="X1808" s="29" t="str">
        <f t="shared" ref="X1808:X1871" si="614">IFERROR($B1808*$E1808/O1808,"NA")</f>
        <v>NA</v>
      </c>
      <c r="Y1808" s="29" t="str">
        <f t="shared" ref="Y1808:Y1871" si="615">IFERROR($B1808*$E1808/P1808,"NA")</f>
        <v>NA</v>
      </c>
      <c r="Z1808" s="29" t="str">
        <f t="shared" ref="Z1808:Z1871" si="616">IFERROR((($G1808*Z$2/1000)+Q1808)/1,"NA")</f>
        <v>NA</v>
      </c>
      <c r="AA1808" s="29" t="str">
        <f t="shared" ref="AA1808:AA1871" si="617">IFERROR((($G1808*AA$2/1000)+R1808)/1,"NA")</f>
        <v>NA</v>
      </c>
      <c r="AB1808" s="29" t="str">
        <f t="shared" ref="AB1808:AB1871" si="618">IFERROR((($G1808*AB$2/1000)+S1808)/1,"NA")</f>
        <v>NA</v>
      </c>
      <c r="AC1808" s="29" t="str">
        <f t="shared" ref="AC1808:AC1871" si="619">IFERROR((($G1808*AC$2/1000)+T1808)/1,"NA")</f>
        <v>NA</v>
      </c>
      <c r="AD1808" s="29" t="str">
        <f t="shared" ref="AD1808:AD1871" si="620">IFERROR((($G1808*AD$2/1000)+U1808)/1,"NA")</f>
        <v>NA</v>
      </c>
      <c r="AE1808" s="29" t="str">
        <f t="shared" ref="AE1808:AE1871" si="621">IFERROR((($G1808*AE$2/1000)+V1808)/1,"NA")</f>
        <v>NA</v>
      </c>
      <c r="AF1808" s="29" t="str">
        <f t="shared" ref="AF1808:AF1871" si="622">IFERROR((($G1808*AF$2/1000)+W1808)/1,"NA")</f>
        <v>NA</v>
      </c>
      <c r="AG1808" s="29" t="str">
        <f t="shared" ref="AG1808:AG1871" si="623">IFERROR((($G1808*AG$2/1000)+X1808)/1,"NA")</f>
        <v>NA</v>
      </c>
      <c r="AH1808" s="29" t="str">
        <f t="shared" ref="AH1808:AH1871" si="624">IFERROR((($G1808*AH$2/1000)+Y1808)/1,"NA")</f>
        <v>NA</v>
      </c>
    </row>
    <row r="1809" customHeight="1" spans="1:34">
      <c r="A1809" s="12" t="s">
        <v>1043</v>
      </c>
      <c r="F1809" s="24">
        <f t="shared" si="606"/>
        <v>0</v>
      </c>
      <c r="G1809" s="24" t="e">
        <f t="shared" si="605"/>
        <v>#DIV/0!</v>
      </c>
      <c r="Q1809" s="29" t="str">
        <f t="shared" si="607"/>
        <v>NA</v>
      </c>
      <c r="R1809" s="29" t="str">
        <f t="shared" si="608"/>
        <v>NA</v>
      </c>
      <c r="S1809" s="29" t="str">
        <f t="shared" si="609"/>
        <v>NA</v>
      </c>
      <c r="T1809" s="29" t="str">
        <f t="shared" si="610"/>
        <v>NA</v>
      </c>
      <c r="U1809" s="29" t="str">
        <f t="shared" si="611"/>
        <v>NA</v>
      </c>
      <c r="V1809" s="29" t="str">
        <f t="shared" si="612"/>
        <v>NA</v>
      </c>
      <c r="W1809" s="29" t="str">
        <f t="shared" si="613"/>
        <v>NA</v>
      </c>
      <c r="X1809" s="29" t="str">
        <f t="shared" si="614"/>
        <v>NA</v>
      </c>
      <c r="Y1809" s="29" t="str">
        <f t="shared" si="615"/>
        <v>NA</v>
      </c>
      <c r="Z1809" s="29" t="str">
        <f t="shared" si="616"/>
        <v>NA</v>
      </c>
      <c r="AA1809" s="29" t="str">
        <f t="shared" si="617"/>
        <v>NA</v>
      </c>
      <c r="AB1809" s="29" t="str">
        <f t="shared" si="618"/>
        <v>NA</v>
      </c>
      <c r="AC1809" s="29" t="str">
        <f t="shared" si="619"/>
        <v>NA</v>
      </c>
      <c r="AD1809" s="29" t="str">
        <f t="shared" si="620"/>
        <v>NA</v>
      </c>
      <c r="AE1809" s="29" t="str">
        <f t="shared" si="621"/>
        <v>NA</v>
      </c>
      <c r="AF1809" s="29" t="str">
        <f t="shared" si="622"/>
        <v>NA</v>
      </c>
      <c r="AG1809" s="29" t="str">
        <f t="shared" si="623"/>
        <v>NA</v>
      </c>
      <c r="AH1809" s="29" t="str">
        <f t="shared" si="624"/>
        <v>NA</v>
      </c>
    </row>
    <row r="1810" customHeight="1" spans="1:34">
      <c r="A1810" s="12" t="s">
        <v>1043</v>
      </c>
      <c r="F1810" s="24">
        <f t="shared" si="606"/>
        <v>0</v>
      </c>
      <c r="G1810" s="24" t="e">
        <f t="shared" si="605"/>
        <v>#DIV/0!</v>
      </c>
      <c r="Q1810" s="29" t="str">
        <f t="shared" si="607"/>
        <v>NA</v>
      </c>
      <c r="R1810" s="29" t="str">
        <f t="shared" si="608"/>
        <v>NA</v>
      </c>
      <c r="S1810" s="29" t="str">
        <f t="shared" si="609"/>
        <v>NA</v>
      </c>
      <c r="T1810" s="29" t="str">
        <f t="shared" si="610"/>
        <v>NA</v>
      </c>
      <c r="U1810" s="29" t="str">
        <f t="shared" si="611"/>
        <v>NA</v>
      </c>
      <c r="V1810" s="29" t="str">
        <f t="shared" si="612"/>
        <v>NA</v>
      </c>
      <c r="W1810" s="29" t="str">
        <f t="shared" si="613"/>
        <v>NA</v>
      </c>
      <c r="X1810" s="29" t="str">
        <f t="shared" si="614"/>
        <v>NA</v>
      </c>
      <c r="Y1810" s="29" t="str">
        <f t="shared" si="615"/>
        <v>NA</v>
      </c>
      <c r="Z1810" s="29" t="str">
        <f t="shared" si="616"/>
        <v>NA</v>
      </c>
      <c r="AA1810" s="29" t="str">
        <f t="shared" si="617"/>
        <v>NA</v>
      </c>
      <c r="AB1810" s="29" t="str">
        <f t="shared" si="618"/>
        <v>NA</v>
      </c>
      <c r="AC1810" s="29" t="str">
        <f t="shared" si="619"/>
        <v>NA</v>
      </c>
      <c r="AD1810" s="29" t="str">
        <f t="shared" si="620"/>
        <v>NA</v>
      </c>
      <c r="AE1810" s="29" t="str">
        <f t="shared" si="621"/>
        <v>NA</v>
      </c>
      <c r="AF1810" s="29" t="str">
        <f t="shared" si="622"/>
        <v>NA</v>
      </c>
      <c r="AG1810" s="29" t="str">
        <f t="shared" si="623"/>
        <v>NA</v>
      </c>
      <c r="AH1810" s="29" t="str">
        <f t="shared" si="624"/>
        <v>NA</v>
      </c>
    </row>
    <row r="1811" customHeight="1" spans="1:34">
      <c r="A1811" s="12" t="s">
        <v>1043</v>
      </c>
      <c r="F1811" s="24">
        <f t="shared" si="606"/>
        <v>0</v>
      </c>
      <c r="G1811" s="24" t="e">
        <f t="shared" si="605"/>
        <v>#DIV/0!</v>
      </c>
      <c r="Q1811" s="29" t="str">
        <f t="shared" si="607"/>
        <v>NA</v>
      </c>
      <c r="R1811" s="29" t="str">
        <f t="shared" si="608"/>
        <v>NA</v>
      </c>
      <c r="S1811" s="29" t="str">
        <f t="shared" si="609"/>
        <v>NA</v>
      </c>
      <c r="T1811" s="29" t="str">
        <f t="shared" si="610"/>
        <v>NA</v>
      </c>
      <c r="U1811" s="29" t="str">
        <f t="shared" si="611"/>
        <v>NA</v>
      </c>
      <c r="V1811" s="29" t="str">
        <f t="shared" si="612"/>
        <v>NA</v>
      </c>
      <c r="W1811" s="29" t="str">
        <f t="shared" si="613"/>
        <v>NA</v>
      </c>
      <c r="X1811" s="29" t="str">
        <f t="shared" si="614"/>
        <v>NA</v>
      </c>
      <c r="Y1811" s="29" t="str">
        <f t="shared" si="615"/>
        <v>NA</v>
      </c>
      <c r="Z1811" s="29" t="str">
        <f t="shared" si="616"/>
        <v>NA</v>
      </c>
      <c r="AA1811" s="29" t="str">
        <f t="shared" si="617"/>
        <v>NA</v>
      </c>
      <c r="AB1811" s="29" t="str">
        <f t="shared" si="618"/>
        <v>NA</v>
      </c>
      <c r="AC1811" s="29" t="str">
        <f t="shared" si="619"/>
        <v>NA</v>
      </c>
      <c r="AD1811" s="29" t="str">
        <f t="shared" si="620"/>
        <v>NA</v>
      </c>
      <c r="AE1811" s="29" t="str">
        <f t="shared" si="621"/>
        <v>NA</v>
      </c>
      <c r="AF1811" s="29" t="str">
        <f t="shared" si="622"/>
        <v>NA</v>
      </c>
      <c r="AG1811" s="29" t="str">
        <f t="shared" si="623"/>
        <v>NA</v>
      </c>
      <c r="AH1811" s="29" t="str">
        <f t="shared" si="624"/>
        <v>NA</v>
      </c>
    </row>
    <row r="1812" customHeight="1" spans="1:34">
      <c r="A1812" s="12" t="s">
        <v>1043</v>
      </c>
      <c r="F1812" s="24">
        <f t="shared" si="606"/>
        <v>0</v>
      </c>
      <c r="G1812" s="24" t="e">
        <f t="shared" si="605"/>
        <v>#DIV/0!</v>
      </c>
      <c r="Q1812" s="29" t="str">
        <f t="shared" si="607"/>
        <v>NA</v>
      </c>
      <c r="R1812" s="29" t="str">
        <f t="shared" si="608"/>
        <v>NA</v>
      </c>
      <c r="S1812" s="29" t="str">
        <f t="shared" si="609"/>
        <v>NA</v>
      </c>
      <c r="T1812" s="29" t="str">
        <f t="shared" si="610"/>
        <v>NA</v>
      </c>
      <c r="U1812" s="29" t="str">
        <f t="shared" si="611"/>
        <v>NA</v>
      </c>
      <c r="V1812" s="29" t="str">
        <f t="shared" si="612"/>
        <v>NA</v>
      </c>
      <c r="W1812" s="29" t="str">
        <f t="shared" si="613"/>
        <v>NA</v>
      </c>
      <c r="X1812" s="29" t="str">
        <f t="shared" si="614"/>
        <v>NA</v>
      </c>
      <c r="Y1812" s="29" t="str">
        <f t="shared" si="615"/>
        <v>NA</v>
      </c>
      <c r="Z1812" s="29" t="str">
        <f t="shared" si="616"/>
        <v>NA</v>
      </c>
      <c r="AA1812" s="29" t="str">
        <f t="shared" si="617"/>
        <v>NA</v>
      </c>
      <c r="AB1812" s="29" t="str">
        <f t="shared" si="618"/>
        <v>NA</v>
      </c>
      <c r="AC1812" s="29" t="str">
        <f t="shared" si="619"/>
        <v>NA</v>
      </c>
      <c r="AD1812" s="29" t="str">
        <f t="shared" si="620"/>
        <v>NA</v>
      </c>
      <c r="AE1812" s="29" t="str">
        <f t="shared" si="621"/>
        <v>NA</v>
      </c>
      <c r="AF1812" s="29" t="str">
        <f t="shared" si="622"/>
        <v>NA</v>
      </c>
      <c r="AG1812" s="29" t="str">
        <f t="shared" si="623"/>
        <v>NA</v>
      </c>
      <c r="AH1812" s="29" t="str">
        <f t="shared" si="624"/>
        <v>NA</v>
      </c>
    </row>
    <row r="1813" customHeight="1" spans="1:34">
      <c r="A1813" s="12" t="s">
        <v>1043</v>
      </c>
      <c r="F1813" s="24">
        <f t="shared" si="606"/>
        <v>0</v>
      </c>
      <c r="G1813" s="24" t="e">
        <f t="shared" si="605"/>
        <v>#DIV/0!</v>
      </c>
      <c r="Q1813" s="29" t="str">
        <f t="shared" si="607"/>
        <v>NA</v>
      </c>
      <c r="R1813" s="29" t="str">
        <f t="shared" si="608"/>
        <v>NA</v>
      </c>
      <c r="S1813" s="29" t="str">
        <f t="shared" si="609"/>
        <v>NA</v>
      </c>
      <c r="T1813" s="29" t="str">
        <f t="shared" si="610"/>
        <v>NA</v>
      </c>
      <c r="U1813" s="29" t="str">
        <f t="shared" si="611"/>
        <v>NA</v>
      </c>
      <c r="V1813" s="29" t="str">
        <f t="shared" si="612"/>
        <v>NA</v>
      </c>
      <c r="W1813" s="29" t="str">
        <f t="shared" si="613"/>
        <v>NA</v>
      </c>
      <c r="X1813" s="29" t="str">
        <f t="shared" si="614"/>
        <v>NA</v>
      </c>
      <c r="Y1813" s="29" t="str">
        <f t="shared" si="615"/>
        <v>NA</v>
      </c>
      <c r="Z1813" s="29" t="str">
        <f t="shared" si="616"/>
        <v>NA</v>
      </c>
      <c r="AA1813" s="29" t="str">
        <f t="shared" si="617"/>
        <v>NA</v>
      </c>
      <c r="AB1813" s="29" t="str">
        <f t="shared" si="618"/>
        <v>NA</v>
      </c>
      <c r="AC1813" s="29" t="str">
        <f t="shared" si="619"/>
        <v>NA</v>
      </c>
      <c r="AD1813" s="29" t="str">
        <f t="shared" si="620"/>
        <v>NA</v>
      </c>
      <c r="AE1813" s="29" t="str">
        <f t="shared" si="621"/>
        <v>NA</v>
      </c>
      <c r="AF1813" s="29" t="str">
        <f t="shared" si="622"/>
        <v>NA</v>
      </c>
      <c r="AG1813" s="29" t="str">
        <f t="shared" si="623"/>
        <v>NA</v>
      </c>
      <c r="AH1813" s="29" t="str">
        <f t="shared" si="624"/>
        <v>NA</v>
      </c>
    </row>
    <row r="1814" customHeight="1" spans="1:34">
      <c r="A1814" s="12" t="s">
        <v>1043</v>
      </c>
      <c r="F1814" s="24">
        <f t="shared" si="606"/>
        <v>0</v>
      </c>
      <c r="G1814" s="24" t="e">
        <f t="shared" si="605"/>
        <v>#DIV/0!</v>
      </c>
      <c r="Q1814" s="29" t="str">
        <f t="shared" si="607"/>
        <v>NA</v>
      </c>
      <c r="R1814" s="29" t="str">
        <f t="shared" si="608"/>
        <v>NA</v>
      </c>
      <c r="S1814" s="29" t="str">
        <f t="shared" si="609"/>
        <v>NA</v>
      </c>
      <c r="T1814" s="29" t="str">
        <f t="shared" si="610"/>
        <v>NA</v>
      </c>
      <c r="U1814" s="29" t="str">
        <f t="shared" si="611"/>
        <v>NA</v>
      </c>
      <c r="V1814" s="29" t="str">
        <f t="shared" si="612"/>
        <v>NA</v>
      </c>
      <c r="W1814" s="29" t="str">
        <f t="shared" si="613"/>
        <v>NA</v>
      </c>
      <c r="X1814" s="29" t="str">
        <f t="shared" si="614"/>
        <v>NA</v>
      </c>
      <c r="Y1814" s="29" t="str">
        <f t="shared" si="615"/>
        <v>NA</v>
      </c>
      <c r="Z1814" s="29" t="str">
        <f t="shared" si="616"/>
        <v>NA</v>
      </c>
      <c r="AA1814" s="29" t="str">
        <f t="shared" si="617"/>
        <v>NA</v>
      </c>
      <c r="AB1814" s="29" t="str">
        <f t="shared" si="618"/>
        <v>NA</v>
      </c>
      <c r="AC1814" s="29" t="str">
        <f t="shared" si="619"/>
        <v>NA</v>
      </c>
      <c r="AD1814" s="29" t="str">
        <f t="shared" si="620"/>
        <v>NA</v>
      </c>
      <c r="AE1814" s="29" t="str">
        <f t="shared" si="621"/>
        <v>NA</v>
      </c>
      <c r="AF1814" s="29" t="str">
        <f t="shared" si="622"/>
        <v>NA</v>
      </c>
      <c r="AG1814" s="29" t="str">
        <f t="shared" si="623"/>
        <v>NA</v>
      </c>
      <c r="AH1814" s="29" t="str">
        <f t="shared" si="624"/>
        <v>NA</v>
      </c>
    </row>
    <row r="1815" customHeight="1" spans="1:34">
      <c r="A1815" s="12" t="s">
        <v>1043</v>
      </c>
      <c r="F1815" s="24">
        <f t="shared" si="606"/>
        <v>0</v>
      </c>
      <c r="G1815" s="24" t="e">
        <f t="shared" si="605"/>
        <v>#DIV/0!</v>
      </c>
      <c r="Q1815" s="29" t="str">
        <f t="shared" si="607"/>
        <v>NA</v>
      </c>
      <c r="R1815" s="29" t="str">
        <f t="shared" si="608"/>
        <v>NA</v>
      </c>
      <c r="S1815" s="29" t="str">
        <f t="shared" si="609"/>
        <v>NA</v>
      </c>
      <c r="T1815" s="29" t="str">
        <f t="shared" si="610"/>
        <v>NA</v>
      </c>
      <c r="U1815" s="29" t="str">
        <f t="shared" si="611"/>
        <v>NA</v>
      </c>
      <c r="V1815" s="29" t="str">
        <f t="shared" si="612"/>
        <v>NA</v>
      </c>
      <c r="W1815" s="29" t="str">
        <f t="shared" si="613"/>
        <v>NA</v>
      </c>
      <c r="X1815" s="29" t="str">
        <f t="shared" si="614"/>
        <v>NA</v>
      </c>
      <c r="Y1815" s="29" t="str">
        <f t="shared" si="615"/>
        <v>NA</v>
      </c>
      <c r="Z1815" s="29" t="str">
        <f t="shared" si="616"/>
        <v>NA</v>
      </c>
      <c r="AA1815" s="29" t="str">
        <f t="shared" si="617"/>
        <v>NA</v>
      </c>
      <c r="AB1815" s="29" t="str">
        <f t="shared" si="618"/>
        <v>NA</v>
      </c>
      <c r="AC1815" s="29" t="str">
        <f t="shared" si="619"/>
        <v>NA</v>
      </c>
      <c r="AD1815" s="29" t="str">
        <f t="shared" si="620"/>
        <v>NA</v>
      </c>
      <c r="AE1815" s="29" t="str">
        <f t="shared" si="621"/>
        <v>NA</v>
      </c>
      <c r="AF1815" s="29" t="str">
        <f t="shared" si="622"/>
        <v>NA</v>
      </c>
      <c r="AG1815" s="29" t="str">
        <f t="shared" si="623"/>
        <v>NA</v>
      </c>
      <c r="AH1815" s="29" t="str">
        <f t="shared" si="624"/>
        <v>NA</v>
      </c>
    </row>
    <row r="1816" customHeight="1" spans="1:34">
      <c r="A1816" s="12" t="s">
        <v>1043</v>
      </c>
      <c r="F1816" s="24">
        <f t="shared" si="606"/>
        <v>0</v>
      </c>
      <c r="G1816" s="24" t="e">
        <f t="shared" si="605"/>
        <v>#DIV/0!</v>
      </c>
      <c r="Q1816" s="29" t="str">
        <f t="shared" si="607"/>
        <v>NA</v>
      </c>
      <c r="R1816" s="29" t="str">
        <f t="shared" si="608"/>
        <v>NA</v>
      </c>
      <c r="S1816" s="29" t="str">
        <f t="shared" si="609"/>
        <v>NA</v>
      </c>
      <c r="T1816" s="29" t="str">
        <f t="shared" si="610"/>
        <v>NA</v>
      </c>
      <c r="U1816" s="29" t="str">
        <f t="shared" si="611"/>
        <v>NA</v>
      </c>
      <c r="V1816" s="29" t="str">
        <f t="shared" si="612"/>
        <v>NA</v>
      </c>
      <c r="W1816" s="29" t="str">
        <f t="shared" si="613"/>
        <v>NA</v>
      </c>
      <c r="X1816" s="29" t="str">
        <f t="shared" si="614"/>
        <v>NA</v>
      </c>
      <c r="Y1816" s="29" t="str">
        <f t="shared" si="615"/>
        <v>NA</v>
      </c>
      <c r="Z1816" s="29" t="str">
        <f t="shared" si="616"/>
        <v>NA</v>
      </c>
      <c r="AA1816" s="29" t="str">
        <f t="shared" si="617"/>
        <v>NA</v>
      </c>
      <c r="AB1816" s="29" t="str">
        <f t="shared" si="618"/>
        <v>NA</v>
      </c>
      <c r="AC1816" s="29" t="str">
        <f t="shared" si="619"/>
        <v>NA</v>
      </c>
      <c r="AD1816" s="29" t="str">
        <f t="shared" si="620"/>
        <v>NA</v>
      </c>
      <c r="AE1816" s="29" t="str">
        <f t="shared" si="621"/>
        <v>NA</v>
      </c>
      <c r="AF1816" s="29" t="str">
        <f t="shared" si="622"/>
        <v>NA</v>
      </c>
      <c r="AG1816" s="29" t="str">
        <f t="shared" si="623"/>
        <v>NA</v>
      </c>
      <c r="AH1816" s="29" t="str">
        <f t="shared" si="624"/>
        <v>NA</v>
      </c>
    </row>
    <row r="1817" customHeight="1" spans="1:34">
      <c r="A1817" s="12" t="s">
        <v>1043</v>
      </c>
      <c r="F1817" s="24">
        <f t="shared" si="606"/>
        <v>0</v>
      </c>
      <c r="G1817" s="24" t="e">
        <f t="shared" si="605"/>
        <v>#DIV/0!</v>
      </c>
      <c r="Q1817" s="29" t="str">
        <f t="shared" si="607"/>
        <v>NA</v>
      </c>
      <c r="R1817" s="29" t="str">
        <f t="shared" si="608"/>
        <v>NA</v>
      </c>
      <c r="S1817" s="29" t="str">
        <f t="shared" si="609"/>
        <v>NA</v>
      </c>
      <c r="T1817" s="29" t="str">
        <f t="shared" si="610"/>
        <v>NA</v>
      </c>
      <c r="U1817" s="29" t="str">
        <f t="shared" si="611"/>
        <v>NA</v>
      </c>
      <c r="V1817" s="29" t="str">
        <f t="shared" si="612"/>
        <v>NA</v>
      </c>
      <c r="W1817" s="29" t="str">
        <f t="shared" si="613"/>
        <v>NA</v>
      </c>
      <c r="X1817" s="29" t="str">
        <f t="shared" si="614"/>
        <v>NA</v>
      </c>
      <c r="Y1817" s="29" t="str">
        <f t="shared" si="615"/>
        <v>NA</v>
      </c>
      <c r="Z1817" s="29" t="str">
        <f t="shared" si="616"/>
        <v>NA</v>
      </c>
      <c r="AA1817" s="29" t="str">
        <f t="shared" si="617"/>
        <v>NA</v>
      </c>
      <c r="AB1817" s="29" t="str">
        <f t="shared" si="618"/>
        <v>NA</v>
      </c>
      <c r="AC1817" s="29" t="str">
        <f t="shared" si="619"/>
        <v>NA</v>
      </c>
      <c r="AD1817" s="29" t="str">
        <f t="shared" si="620"/>
        <v>NA</v>
      </c>
      <c r="AE1817" s="29" t="str">
        <f t="shared" si="621"/>
        <v>NA</v>
      </c>
      <c r="AF1817" s="29" t="str">
        <f t="shared" si="622"/>
        <v>NA</v>
      </c>
      <c r="AG1817" s="29" t="str">
        <f t="shared" si="623"/>
        <v>NA</v>
      </c>
      <c r="AH1817" s="29" t="str">
        <f t="shared" si="624"/>
        <v>NA</v>
      </c>
    </row>
    <row r="1818" customHeight="1" spans="1:34">
      <c r="A1818" s="12" t="s">
        <v>1043</v>
      </c>
      <c r="F1818" s="24">
        <f t="shared" si="606"/>
        <v>0</v>
      </c>
      <c r="G1818" s="24" t="e">
        <f t="shared" si="605"/>
        <v>#DIV/0!</v>
      </c>
      <c r="Q1818" s="29" t="str">
        <f t="shared" si="607"/>
        <v>NA</v>
      </c>
      <c r="R1818" s="29" t="str">
        <f t="shared" si="608"/>
        <v>NA</v>
      </c>
      <c r="S1818" s="29" t="str">
        <f t="shared" si="609"/>
        <v>NA</v>
      </c>
      <c r="T1818" s="29" t="str">
        <f t="shared" si="610"/>
        <v>NA</v>
      </c>
      <c r="U1818" s="29" t="str">
        <f t="shared" si="611"/>
        <v>NA</v>
      </c>
      <c r="V1818" s="29" t="str">
        <f t="shared" si="612"/>
        <v>NA</v>
      </c>
      <c r="W1818" s="29" t="str">
        <f t="shared" si="613"/>
        <v>NA</v>
      </c>
      <c r="X1818" s="29" t="str">
        <f t="shared" si="614"/>
        <v>NA</v>
      </c>
      <c r="Y1818" s="29" t="str">
        <f t="shared" si="615"/>
        <v>NA</v>
      </c>
      <c r="Z1818" s="29" t="str">
        <f t="shared" si="616"/>
        <v>NA</v>
      </c>
      <c r="AA1818" s="29" t="str">
        <f t="shared" si="617"/>
        <v>NA</v>
      </c>
      <c r="AB1818" s="29" t="str">
        <f t="shared" si="618"/>
        <v>NA</v>
      </c>
      <c r="AC1818" s="29" t="str">
        <f t="shared" si="619"/>
        <v>NA</v>
      </c>
      <c r="AD1818" s="29" t="str">
        <f t="shared" si="620"/>
        <v>NA</v>
      </c>
      <c r="AE1818" s="29" t="str">
        <f t="shared" si="621"/>
        <v>NA</v>
      </c>
      <c r="AF1818" s="29" t="str">
        <f t="shared" si="622"/>
        <v>NA</v>
      </c>
      <c r="AG1818" s="29" t="str">
        <f t="shared" si="623"/>
        <v>NA</v>
      </c>
      <c r="AH1818" s="29" t="str">
        <f t="shared" si="624"/>
        <v>NA</v>
      </c>
    </row>
    <row r="1819" customHeight="1" spans="1:34">
      <c r="A1819" s="12" t="s">
        <v>1043</v>
      </c>
      <c r="F1819" s="24">
        <f t="shared" si="606"/>
        <v>0</v>
      </c>
      <c r="G1819" s="24" t="e">
        <f t="shared" si="605"/>
        <v>#DIV/0!</v>
      </c>
      <c r="Q1819" s="29" t="str">
        <f t="shared" si="607"/>
        <v>NA</v>
      </c>
      <c r="R1819" s="29" t="str">
        <f t="shared" si="608"/>
        <v>NA</v>
      </c>
      <c r="S1819" s="29" t="str">
        <f t="shared" si="609"/>
        <v>NA</v>
      </c>
      <c r="T1819" s="29" t="str">
        <f t="shared" si="610"/>
        <v>NA</v>
      </c>
      <c r="U1819" s="29" t="str">
        <f t="shared" si="611"/>
        <v>NA</v>
      </c>
      <c r="V1819" s="29" t="str">
        <f t="shared" si="612"/>
        <v>NA</v>
      </c>
      <c r="W1819" s="29" t="str">
        <f t="shared" si="613"/>
        <v>NA</v>
      </c>
      <c r="X1819" s="29" t="str">
        <f t="shared" si="614"/>
        <v>NA</v>
      </c>
      <c r="Y1819" s="29" t="str">
        <f t="shared" si="615"/>
        <v>NA</v>
      </c>
      <c r="Z1819" s="29" t="str">
        <f t="shared" si="616"/>
        <v>NA</v>
      </c>
      <c r="AA1819" s="29" t="str">
        <f t="shared" si="617"/>
        <v>NA</v>
      </c>
      <c r="AB1819" s="29" t="str">
        <f t="shared" si="618"/>
        <v>NA</v>
      </c>
      <c r="AC1819" s="29" t="str">
        <f t="shared" si="619"/>
        <v>NA</v>
      </c>
      <c r="AD1819" s="29" t="str">
        <f t="shared" si="620"/>
        <v>NA</v>
      </c>
      <c r="AE1819" s="29" t="str">
        <f t="shared" si="621"/>
        <v>NA</v>
      </c>
      <c r="AF1819" s="29" t="str">
        <f t="shared" si="622"/>
        <v>NA</v>
      </c>
      <c r="AG1819" s="29" t="str">
        <f t="shared" si="623"/>
        <v>NA</v>
      </c>
      <c r="AH1819" s="29" t="str">
        <f t="shared" si="624"/>
        <v>NA</v>
      </c>
    </row>
    <row r="1820" customHeight="1" spans="1:34">
      <c r="A1820" s="12" t="s">
        <v>1043</v>
      </c>
      <c r="F1820" s="24">
        <f t="shared" si="606"/>
        <v>0</v>
      </c>
      <c r="G1820" s="24" t="e">
        <f t="shared" si="605"/>
        <v>#DIV/0!</v>
      </c>
      <c r="Q1820" s="29" t="str">
        <f t="shared" si="607"/>
        <v>NA</v>
      </c>
      <c r="R1820" s="29" t="str">
        <f t="shared" si="608"/>
        <v>NA</v>
      </c>
      <c r="S1820" s="29" t="str">
        <f t="shared" si="609"/>
        <v>NA</v>
      </c>
      <c r="T1820" s="29" t="str">
        <f t="shared" si="610"/>
        <v>NA</v>
      </c>
      <c r="U1820" s="29" t="str">
        <f t="shared" si="611"/>
        <v>NA</v>
      </c>
      <c r="V1820" s="29" t="str">
        <f t="shared" si="612"/>
        <v>NA</v>
      </c>
      <c r="W1820" s="29" t="str">
        <f t="shared" si="613"/>
        <v>NA</v>
      </c>
      <c r="X1820" s="29" t="str">
        <f t="shared" si="614"/>
        <v>NA</v>
      </c>
      <c r="Y1820" s="29" t="str">
        <f t="shared" si="615"/>
        <v>NA</v>
      </c>
      <c r="Z1820" s="29" t="str">
        <f t="shared" si="616"/>
        <v>NA</v>
      </c>
      <c r="AA1820" s="29" t="str">
        <f t="shared" si="617"/>
        <v>NA</v>
      </c>
      <c r="AB1820" s="29" t="str">
        <f t="shared" si="618"/>
        <v>NA</v>
      </c>
      <c r="AC1820" s="29" t="str">
        <f t="shared" si="619"/>
        <v>NA</v>
      </c>
      <c r="AD1820" s="29" t="str">
        <f t="shared" si="620"/>
        <v>NA</v>
      </c>
      <c r="AE1820" s="29" t="str">
        <f t="shared" si="621"/>
        <v>NA</v>
      </c>
      <c r="AF1820" s="29" t="str">
        <f t="shared" si="622"/>
        <v>NA</v>
      </c>
      <c r="AG1820" s="29" t="str">
        <f t="shared" si="623"/>
        <v>NA</v>
      </c>
      <c r="AH1820" s="29" t="str">
        <f t="shared" si="624"/>
        <v>NA</v>
      </c>
    </row>
    <row r="1821" customHeight="1" spans="1:34">
      <c r="A1821" s="12" t="s">
        <v>1043</v>
      </c>
      <c r="F1821" s="24">
        <f t="shared" si="606"/>
        <v>0</v>
      </c>
      <c r="G1821" s="24" t="e">
        <f t="shared" si="605"/>
        <v>#DIV/0!</v>
      </c>
      <c r="Q1821" s="29" t="str">
        <f t="shared" si="607"/>
        <v>NA</v>
      </c>
      <c r="R1821" s="29" t="str">
        <f t="shared" si="608"/>
        <v>NA</v>
      </c>
      <c r="S1821" s="29" t="str">
        <f t="shared" si="609"/>
        <v>NA</v>
      </c>
      <c r="T1821" s="29" t="str">
        <f t="shared" si="610"/>
        <v>NA</v>
      </c>
      <c r="U1821" s="29" t="str">
        <f t="shared" si="611"/>
        <v>NA</v>
      </c>
      <c r="V1821" s="29" t="str">
        <f t="shared" si="612"/>
        <v>NA</v>
      </c>
      <c r="W1821" s="29" t="str">
        <f t="shared" si="613"/>
        <v>NA</v>
      </c>
      <c r="X1821" s="29" t="str">
        <f t="shared" si="614"/>
        <v>NA</v>
      </c>
      <c r="Y1821" s="29" t="str">
        <f t="shared" si="615"/>
        <v>NA</v>
      </c>
      <c r="Z1821" s="29" t="str">
        <f t="shared" si="616"/>
        <v>NA</v>
      </c>
      <c r="AA1821" s="29" t="str">
        <f t="shared" si="617"/>
        <v>NA</v>
      </c>
      <c r="AB1821" s="29" t="str">
        <f t="shared" si="618"/>
        <v>NA</v>
      </c>
      <c r="AC1821" s="29" t="str">
        <f t="shared" si="619"/>
        <v>NA</v>
      </c>
      <c r="AD1821" s="29" t="str">
        <f t="shared" si="620"/>
        <v>NA</v>
      </c>
      <c r="AE1821" s="29" t="str">
        <f t="shared" si="621"/>
        <v>NA</v>
      </c>
      <c r="AF1821" s="29" t="str">
        <f t="shared" si="622"/>
        <v>NA</v>
      </c>
      <c r="AG1821" s="29" t="str">
        <f t="shared" si="623"/>
        <v>NA</v>
      </c>
      <c r="AH1821" s="29" t="str">
        <f t="shared" si="624"/>
        <v>NA</v>
      </c>
    </row>
    <row r="1822" customHeight="1" spans="1:34">
      <c r="A1822" s="12" t="s">
        <v>1043</v>
      </c>
      <c r="F1822" s="24">
        <f t="shared" si="606"/>
        <v>0</v>
      </c>
      <c r="G1822" s="24" t="e">
        <f t="shared" si="605"/>
        <v>#DIV/0!</v>
      </c>
      <c r="Q1822" s="29" t="str">
        <f t="shared" si="607"/>
        <v>NA</v>
      </c>
      <c r="R1822" s="29" t="str">
        <f t="shared" si="608"/>
        <v>NA</v>
      </c>
      <c r="S1822" s="29" t="str">
        <f t="shared" si="609"/>
        <v>NA</v>
      </c>
      <c r="T1822" s="29" t="str">
        <f t="shared" si="610"/>
        <v>NA</v>
      </c>
      <c r="U1822" s="29" t="str">
        <f t="shared" si="611"/>
        <v>NA</v>
      </c>
      <c r="V1822" s="29" t="str">
        <f t="shared" si="612"/>
        <v>NA</v>
      </c>
      <c r="W1822" s="29" t="str">
        <f t="shared" si="613"/>
        <v>NA</v>
      </c>
      <c r="X1822" s="29" t="str">
        <f t="shared" si="614"/>
        <v>NA</v>
      </c>
      <c r="Y1822" s="29" t="str">
        <f t="shared" si="615"/>
        <v>NA</v>
      </c>
      <c r="Z1822" s="29" t="str">
        <f t="shared" si="616"/>
        <v>NA</v>
      </c>
      <c r="AA1822" s="29" t="str">
        <f t="shared" si="617"/>
        <v>NA</v>
      </c>
      <c r="AB1822" s="29" t="str">
        <f t="shared" si="618"/>
        <v>NA</v>
      </c>
      <c r="AC1822" s="29" t="str">
        <f t="shared" si="619"/>
        <v>NA</v>
      </c>
      <c r="AD1822" s="29" t="str">
        <f t="shared" si="620"/>
        <v>NA</v>
      </c>
      <c r="AE1822" s="29" t="str">
        <f t="shared" si="621"/>
        <v>NA</v>
      </c>
      <c r="AF1822" s="29" t="str">
        <f t="shared" si="622"/>
        <v>NA</v>
      </c>
      <c r="AG1822" s="29" t="str">
        <f t="shared" si="623"/>
        <v>NA</v>
      </c>
      <c r="AH1822" s="29" t="str">
        <f t="shared" si="624"/>
        <v>NA</v>
      </c>
    </row>
    <row r="1823" customHeight="1" spans="1:34">
      <c r="A1823" s="12" t="s">
        <v>1043</v>
      </c>
      <c r="F1823" s="24">
        <f t="shared" si="606"/>
        <v>0</v>
      </c>
      <c r="G1823" s="24" t="e">
        <f t="shared" si="605"/>
        <v>#DIV/0!</v>
      </c>
      <c r="Q1823" s="29" t="str">
        <f t="shared" si="607"/>
        <v>NA</v>
      </c>
      <c r="R1823" s="29" t="str">
        <f t="shared" si="608"/>
        <v>NA</v>
      </c>
      <c r="S1823" s="29" t="str">
        <f t="shared" si="609"/>
        <v>NA</v>
      </c>
      <c r="T1823" s="29" t="str">
        <f t="shared" si="610"/>
        <v>NA</v>
      </c>
      <c r="U1823" s="29" t="str">
        <f t="shared" si="611"/>
        <v>NA</v>
      </c>
      <c r="V1823" s="29" t="str">
        <f t="shared" si="612"/>
        <v>NA</v>
      </c>
      <c r="W1823" s="29" t="str">
        <f t="shared" si="613"/>
        <v>NA</v>
      </c>
      <c r="X1823" s="29" t="str">
        <f t="shared" si="614"/>
        <v>NA</v>
      </c>
      <c r="Y1823" s="29" t="str">
        <f t="shared" si="615"/>
        <v>NA</v>
      </c>
      <c r="Z1823" s="29" t="str">
        <f t="shared" si="616"/>
        <v>NA</v>
      </c>
      <c r="AA1823" s="29" t="str">
        <f t="shared" si="617"/>
        <v>NA</v>
      </c>
      <c r="AB1823" s="29" t="str">
        <f t="shared" si="618"/>
        <v>NA</v>
      </c>
      <c r="AC1823" s="29" t="str">
        <f t="shared" si="619"/>
        <v>NA</v>
      </c>
      <c r="AD1823" s="29" t="str">
        <f t="shared" si="620"/>
        <v>NA</v>
      </c>
      <c r="AE1823" s="29" t="str">
        <f t="shared" si="621"/>
        <v>NA</v>
      </c>
      <c r="AF1823" s="29" t="str">
        <f t="shared" si="622"/>
        <v>NA</v>
      </c>
      <c r="AG1823" s="29" t="str">
        <f t="shared" si="623"/>
        <v>NA</v>
      </c>
      <c r="AH1823" s="29" t="str">
        <f t="shared" si="624"/>
        <v>NA</v>
      </c>
    </row>
    <row r="1824" customHeight="1" spans="1:34">
      <c r="A1824" s="12" t="s">
        <v>1043</v>
      </c>
      <c r="F1824" s="24">
        <f t="shared" si="606"/>
        <v>0</v>
      </c>
      <c r="G1824" s="24" t="e">
        <f t="shared" si="605"/>
        <v>#DIV/0!</v>
      </c>
      <c r="Q1824" s="29" t="str">
        <f t="shared" si="607"/>
        <v>NA</v>
      </c>
      <c r="R1824" s="29" t="str">
        <f t="shared" si="608"/>
        <v>NA</v>
      </c>
      <c r="S1824" s="29" t="str">
        <f t="shared" si="609"/>
        <v>NA</v>
      </c>
      <c r="T1824" s="29" t="str">
        <f t="shared" si="610"/>
        <v>NA</v>
      </c>
      <c r="U1824" s="29" t="str">
        <f t="shared" si="611"/>
        <v>NA</v>
      </c>
      <c r="V1824" s="29" t="str">
        <f t="shared" si="612"/>
        <v>NA</v>
      </c>
      <c r="W1824" s="29" t="str">
        <f t="shared" si="613"/>
        <v>NA</v>
      </c>
      <c r="X1824" s="29" t="str">
        <f t="shared" si="614"/>
        <v>NA</v>
      </c>
      <c r="Y1824" s="29" t="str">
        <f t="shared" si="615"/>
        <v>NA</v>
      </c>
      <c r="Z1824" s="29" t="str">
        <f t="shared" si="616"/>
        <v>NA</v>
      </c>
      <c r="AA1824" s="29" t="str">
        <f t="shared" si="617"/>
        <v>NA</v>
      </c>
      <c r="AB1824" s="29" t="str">
        <f t="shared" si="618"/>
        <v>NA</v>
      </c>
      <c r="AC1824" s="29" t="str">
        <f t="shared" si="619"/>
        <v>NA</v>
      </c>
      <c r="AD1824" s="29" t="str">
        <f t="shared" si="620"/>
        <v>NA</v>
      </c>
      <c r="AE1824" s="29" t="str">
        <f t="shared" si="621"/>
        <v>NA</v>
      </c>
      <c r="AF1824" s="29" t="str">
        <f t="shared" si="622"/>
        <v>NA</v>
      </c>
      <c r="AG1824" s="29" t="str">
        <f t="shared" si="623"/>
        <v>NA</v>
      </c>
      <c r="AH1824" s="29" t="str">
        <f t="shared" si="624"/>
        <v>NA</v>
      </c>
    </row>
    <row r="1825" customHeight="1" spans="1:34">
      <c r="A1825" s="12" t="s">
        <v>1043</v>
      </c>
      <c r="F1825" s="24">
        <f t="shared" si="606"/>
        <v>0</v>
      </c>
      <c r="G1825" s="24" t="e">
        <f t="shared" si="605"/>
        <v>#DIV/0!</v>
      </c>
      <c r="Q1825" s="29" t="str">
        <f t="shared" si="607"/>
        <v>NA</v>
      </c>
      <c r="R1825" s="29" t="str">
        <f t="shared" si="608"/>
        <v>NA</v>
      </c>
      <c r="S1825" s="29" t="str">
        <f t="shared" si="609"/>
        <v>NA</v>
      </c>
      <c r="T1825" s="29" t="str">
        <f t="shared" si="610"/>
        <v>NA</v>
      </c>
      <c r="U1825" s="29" t="str">
        <f t="shared" si="611"/>
        <v>NA</v>
      </c>
      <c r="V1825" s="29" t="str">
        <f t="shared" si="612"/>
        <v>NA</v>
      </c>
      <c r="W1825" s="29" t="str">
        <f t="shared" si="613"/>
        <v>NA</v>
      </c>
      <c r="X1825" s="29" t="str">
        <f t="shared" si="614"/>
        <v>NA</v>
      </c>
      <c r="Y1825" s="29" t="str">
        <f t="shared" si="615"/>
        <v>NA</v>
      </c>
      <c r="Z1825" s="29" t="str">
        <f t="shared" si="616"/>
        <v>NA</v>
      </c>
      <c r="AA1825" s="29" t="str">
        <f t="shared" si="617"/>
        <v>NA</v>
      </c>
      <c r="AB1825" s="29" t="str">
        <f t="shared" si="618"/>
        <v>NA</v>
      </c>
      <c r="AC1825" s="29" t="str">
        <f t="shared" si="619"/>
        <v>NA</v>
      </c>
      <c r="AD1825" s="29" t="str">
        <f t="shared" si="620"/>
        <v>NA</v>
      </c>
      <c r="AE1825" s="29" t="str">
        <f t="shared" si="621"/>
        <v>NA</v>
      </c>
      <c r="AF1825" s="29" t="str">
        <f t="shared" si="622"/>
        <v>NA</v>
      </c>
      <c r="AG1825" s="29" t="str">
        <f t="shared" si="623"/>
        <v>NA</v>
      </c>
      <c r="AH1825" s="29" t="str">
        <f t="shared" si="624"/>
        <v>NA</v>
      </c>
    </row>
    <row r="1826" customHeight="1" spans="1:34">
      <c r="A1826" s="12" t="s">
        <v>1043</v>
      </c>
      <c r="F1826" s="24">
        <f t="shared" si="606"/>
        <v>0</v>
      </c>
      <c r="G1826" s="24" t="e">
        <f t="shared" si="605"/>
        <v>#DIV/0!</v>
      </c>
      <c r="Q1826" s="29" t="str">
        <f t="shared" si="607"/>
        <v>NA</v>
      </c>
      <c r="R1826" s="29" t="str">
        <f t="shared" si="608"/>
        <v>NA</v>
      </c>
      <c r="S1826" s="29" t="str">
        <f t="shared" si="609"/>
        <v>NA</v>
      </c>
      <c r="T1826" s="29" t="str">
        <f t="shared" si="610"/>
        <v>NA</v>
      </c>
      <c r="U1826" s="29" t="str">
        <f t="shared" si="611"/>
        <v>NA</v>
      </c>
      <c r="V1826" s="29" t="str">
        <f t="shared" si="612"/>
        <v>NA</v>
      </c>
      <c r="W1826" s="29" t="str">
        <f t="shared" si="613"/>
        <v>NA</v>
      </c>
      <c r="X1826" s="29" t="str">
        <f t="shared" si="614"/>
        <v>NA</v>
      </c>
      <c r="Y1826" s="29" t="str">
        <f t="shared" si="615"/>
        <v>NA</v>
      </c>
      <c r="Z1826" s="29" t="str">
        <f t="shared" si="616"/>
        <v>NA</v>
      </c>
      <c r="AA1826" s="29" t="str">
        <f t="shared" si="617"/>
        <v>NA</v>
      </c>
      <c r="AB1826" s="29" t="str">
        <f t="shared" si="618"/>
        <v>NA</v>
      </c>
      <c r="AC1826" s="29" t="str">
        <f t="shared" si="619"/>
        <v>NA</v>
      </c>
      <c r="AD1826" s="29" t="str">
        <f t="shared" si="620"/>
        <v>NA</v>
      </c>
      <c r="AE1826" s="29" t="str">
        <f t="shared" si="621"/>
        <v>NA</v>
      </c>
      <c r="AF1826" s="29" t="str">
        <f t="shared" si="622"/>
        <v>NA</v>
      </c>
      <c r="AG1826" s="29" t="str">
        <f t="shared" si="623"/>
        <v>NA</v>
      </c>
      <c r="AH1826" s="29" t="str">
        <f t="shared" si="624"/>
        <v>NA</v>
      </c>
    </row>
    <row r="1827" customHeight="1" spans="1:34">
      <c r="A1827" s="12" t="s">
        <v>1043</v>
      </c>
      <c r="F1827" s="24">
        <f t="shared" si="606"/>
        <v>0</v>
      </c>
      <c r="G1827" s="24" t="e">
        <f t="shared" si="605"/>
        <v>#DIV/0!</v>
      </c>
      <c r="Q1827" s="29" t="str">
        <f t="shared" si="607"/>
        <v>NA</v>
      </c>
      <c r="R1827" s="29" t="str">
        <f t="shared" si="608"/>
        <v>NA</v>
      </c>
      <c r="S1827" s="29" t="str">
        <f t="shared" si="609"/>
        <v>NA</v>
      </c>
      <c r="T1827" s="29" t="str">
        <f t="shared" si="610"/>
        <v>NA</v>
      </c>
      <c r="U1827" s="29" t="str">
        <f t="shared" si="611"/>
        <v>NA</v>
      </c>
      <c r="V1827" s="29" t="str">
        <f t="shared" si="612"/>
        <v>NA</v>
      </c>
      <c r="W1827" s="29" t="str">
        <f t="shared" si="613"/>
        <v>NA</v>
      </c>
      <c r="X1827" s="29" t="str">
        <f t="shared" si="614"/>
        <v>NA</v>
      </c>
      <c r="Y1827" s="29" t="str">
        <f t="shared" si="615"/>
        <v>NA</v>
      </c>
      <c r="Z1827" s="29" t="str">
        <f t="shared" si="616"/>
        <v>NA</v>
      </c>
      <c r="AA1827" s="29" t="str">
        <f t="shared" si="617"/>
        <v>NA</v>
      </c>
      <c r="AB1827" s="29" t="str">
        <f t="shared" si="618"/>
        <v>NA</v>
      </c>
      <c r="AC1827" s="29" t="str">
        <f t="shared" si="619"/>
        <v>NA</v>
      </c>
      <c r="AD1827" s="29" t="str">
        <f t="shared" si="620"/>
        <v>NA</v>
      </c>
      <c r="AE1827" s="29" t="str">
        <f t="shared" si="621"/>
        <v>NA</v>
      </c>
      <c r="AF1827" s="29" t="str">
        <f t="shared" si="622"/>
        <v>NA</v>
      </c>
      <c r="AG1827" s="29" t="str">
        <f t="shared" si="623"/>
        <v>NA</v>
      </c>
      <c r="AH1827" s="29" t="str">
        <f t="shared" si="624"/>
        <v>NA</v>
      </c>
    </row>
    <row r="1828" customHeight="1" spans="1:34">
      <c r="A1828" s="12" t="s">
        <v>1043</v>
      </c>
      <c r="F1828" s="24">
        <f t="shared" si="606"/>
        <v>0</v>
      </c>
      <c r="G1828" s="24" t="e">
        <f t="shared" si="605"/>
        <v>#DIV/0!</v>
      </c>
      <c r="Q1828" s="29" t="str">
        <f t="shared" si="607"/>
        <v>NA</v>
      </c>
      <c r="R1828" s="29" t="str">
        <f t="shared" si="608"/>
        <v>NA</v>
      </c>
      <c r="S1828" s="29" t="str">
        <f t="shared" si="609"/>
        <v>NA</v>
      </c>
      <c r="T1828" s="29" t="str">
        <f t="shared" si="610"/>
        <v>NA</v>
      </c>
      <c r="U1828" s="29" t="str">
        <f t="shared" si="611"/>
        <v>NA</v>
      </c>
      <c r="V1828" s="29" t="str">
        <f t="shared" si="612"/>
        <v>NA</v>
      </c>
      <c r="W1828" s="29" t="str">
        <f t="shared" si="613"/>
        <v>NA</v>
      </c>
      <c r="X1828" s="29" t="str">
        <f t="shared" si="614"/>
        <v>NA</v>
      </c>
      <c r="Y1828" s="29" t="str">
        <f t="shared" si="615"/>
        <v>NA</v>
      </c>
      <c r="Z1828" s="29" t="str">
        <f t="shared" si="616"/>
        <v>NA</v>
      </c>
      <c r="AA1828" s="29" t="str">
        <f t="shared" si="617"/>
        <v>NA</v>
      </c>
      <c r="AB1828" s="29" t="str">
        <f t="shared" si="618"/>
        <v>NA</v>
      </c>
      <c r="AC1828" s="29" t="str">
        <f t="shared" si="619"/>
        <v>NA</v>
      </c>
      <c r="AD1828" s="29" t="str">
        <f t="shared" si="620"/>
        <v>NA</v>
      </c>
      <c r="AE1828" s="29" t="str">
        <f t="shared" si="621"/>
        <v>NA</v>
      </c>
      <c r="AF1828" s="29" t="str">
        <f t="shared" si="622"/>
        <v>NA</v>
      </c>
      <c r="AG1828" s="29" t="str">
        <f t="shared" si="623"/>
        <v>NA</v>
      </c>
      <c r="AH1828" s="29" t="str">
        <f t="shared" si="624"/>
        <v>NA</v>
      </c>
    </row>
    <row r="1829" customHeight="1" spans="1:34">
      <c r="A1829" s="12" t="s">
        <v>1043</v>
      </c>
      <c r="F1829" s="24">
        <f t="shared" si="606"/>
        <v>0</v>
      </c>
      <c r="G1829" s="24" t="e">
        <f t="shared" si="605"/>
        <v>#DIV/0!</v>
      </c>
      <c r="Q1829" s="29" t="str">
        <f t="shared" si="607"/>
        <v>NA</v>
      </c>
      <c r="R1829" s="29" t="str">
        <f t="shared" si="608"/>
        <v>NA</v>
      </c>
      <c r="S1829" s="29" t="str">
        <f t="shared" si="609"/>
        <v>NA</v>
      </c>
      <c r="T1829" s="29" t="str">
        <f t="shared" si="610"/>
        <v>NA</v>
      </c>
      <c r="U1829" s="29" t="str">
        <f t="shared" si="611"/>
        <v>NA</v>
      </c>
      <c r="V1829" s="29" t="str">
        <f t="shared" si="612"/>
        <v>NA</v>
      </c>
      <c r="W1829" s="29" t="str">
        <f t="shared" si="613"/>
        <v>NA</v>
      </c>
      <c r="X1829" s="29" t="str">
        <f t="shared" si="614"/>
        <v>NA</v>
      </c>
      <c r="Y1829" s="29" t="str">
        <f t="shared" si="615"/>
        <v>NA</v>
      </c>
      <c r="Z1829" s="29" t="str">
        <f t="shared" si="616"/>
        <v>NA</v>
      </c>
      <c r="AA1829" s="29" t="str">
        <f t="shared" si="617"/>
        <v>NA</v>
      </c>
      <c r="AB1829" s="29" t="str">
        <f t="shared" si="618"/>
        <v>NA</v>
      </c>
      <c r="AC1829" s="29" t="str">
        <f t="shared" si="619"/>
        <v>NA</v>
      </c>
      <c r="AD1829" s="29" t="str">
        <f t="shared" si="620"/>
        <v>NA</v>
      </c>
      <c r="AE1829" s="29" t="str">
        <f t="shared" si="621"/>
        <v>NA</v>
      </c>
      <c r="AF1829" s="29" t="str">
        <f t="shared" si="622"/>
        <v>NA</v>
      </c>
      <c r="AG1829" s="29" t="str">
        <f t="shared" si="623"/>
        <v>NA</v>
      </c>
      <c r="AH1829" s="29" t="str">
        <f t="shared" si="624"/>
        <v>NA</v>
      </c>
    </row>
    <row r="1830" customHeight="1" spans="1:34">
      <c r="A1830" s="12" t="s">
        <v>1043</v>
      </c>
      <c r="F1830" s="24">
        <f t="shared" si="606"/>
        <v>0</v>
      </c>
      <c r="G1830" s="24" t="e">
        <f t="shared" si="605"/>
        <v>#DIV/0!</v>
      </c>
      <c r="Q1830" s="29" t="str">
        <f t="shared" si="607"/>
        <v>NA</v>
      </c>
      <c r="R1830" s="29" t="str">
        <f t="shared" si="608"/>
        <v>NA</v>
      </c>
      <c r="S1830" s="29" t="str">
        <f t="shared" si="609"/>
        <v>NA</v>
      </c>
      <c r="T1830" s="29" t="str">
        <f t="shared" si="610"/>
        <v>NA</v>
      </c>
      <c r="U1830" s="29" t="str">
        <f t="shared" si="611"/>
        <v>NA</v>
      </c>
      <c r="V1830" s="29" t="str">
        <f t="shared" si="612"/>
        <v>NA</v>
      </c>
      <c r="W1830" s="29" t="str">
        <f t="shared" si="613"/>
        <v>NA</v>
      </c>
      <c r="X1830" s="29" t="str">
        <f t="shared" si="614"/>
        <v>NA</v>
      </c>
      <c r="Y1830" s="29" t="str">
        <f t="shared" si="615"/>
        <v>NA</v>
      </c>
      <c r="Z1830" s="29" t="str">
        <f t="shared" si="616"/>
        <v>NA</v>
      </c>
      <c r="AA1830" s="29" t="str">
        <f t="shared" si="617"/>
        <v>NA</v>
      </c>
      <c r="AB1830" s="29" t="str">
        <f t="shared" si="618"/>
        <v>NA</v>
      </c>
      <c r="AC1830" s="29" t="str">
        <f t="shared" si="619"/>
        <v>NA</v>
      </c>
      <c r="AD1830" s="29" t="str">
        <f t="shared" si="620"/>
        <v>NA</v>
      </c>
      <c r="AE1830" s="29" t="str">
        <f t="shared" si="621"/>
        <v>NA</v>
      </c>
      <c r="AF1830" s="29" t="str">
        <f t="shared" si="622"/>
        <v>NA</v>
      </c>
      <c r="AG1830" s="29" t="str">
        <f t="shared" si="623"/>
        <v>NA</v>
      </c>
      <c r="AH1830" s="29" t="str">
        <f t="shared" si="624"/>
        <v>NA</v>
      </c>
    </row>
    <row r="1831" customHeight="1" spans="1:34">
      <c r="A1831" s="12" t="s">
        <v>1043</v>
      </c>
      <c r="F1831" s="24">
        <f t="shared" si="606"/>
        <v>0</v>
      </c>
      <c r="G1831" s="24" t="e">
        <f t="shared" si="605"/>
        <v>#DIV/0!</v>
      </c>
      <c r="Q1831" s="29" t="str">
        <f t="shared" si="607"/>
        <v>NA</v>
      </c>
      <c r="R1831" s="29" t="str">
        <f t="shared" si="608"/>
        <v>NA</v>
      </c>
      <c r="S1831" s="29" t="str">
        <f t="shared" si="609"/>
        <v>NA</v>
      </c>
      <c r="T1831" s="29" t="str">
        <f t="shared" si="610"/>
        <v>NA</v>
      </c>
      <c r="U1831" s="29" t="str">
        <f t="shared" si="611"/>
        <v>NA</v>
      </c>
      <c r="V1831" s="29" t="str">
        <f t="shared" si="612"/>
        <v>NA</v>
      </c>
      <c r="W1831" s="29" t="str">
        <f t="shared" si="613"/>
        <v>NA</v>
      </c>
      <c r="X1831" s="29" t="str">
        <f t="shared" si="614"/>
        <v>NA</v>
      </c>
      <c r="Y1831" s="29" t="str">
        <f t="shared" si="615"/>
        <v>NA</v>
      </c>
      <c r="Z1831" s="29" t="str">
        <f t="shared" si="616"/>
        <v>NA</v>
      </c>
      <c r="AA1831" s="29" t="str">
        <f t="shared" si="617"/>
        <v>NA</v>
      </c>
      <c r="AB1831" s="29" t="str">
        <f t="shared" si="618"/>
        <v>NA</v>
      </c>
      <c r="AC1831" s="29" t="str">
        <f t="shared" si="619"/>
        <v>NA</v>
      </c>
      <c r="AD1831" s="29" t="str">
        <f t="shared" si="620"/>
        <v>NA</v>
      </c>
      <c r="AE1831" s="29" t="str">
        <f t="shared" si="621"/>
        <v>NA</v>
      </c>
      <c r="AF1831" s="29" t="str">
        <f t="shared" si="622"/>
        <v>NA</v>
      </c>
      <c r="AG1831" s="29" t="str">
        <f t="shared" si="623"/>
        <v>NA</v>
      </c>
      <c r="AH1831" s="29" t="str">
        <f t="shared" si="624"/>
        <v>NA</v>
      </c>
    </row>
    <row r="1832" customHeight="1" spans="1:34">
      <c r="A1832" s="12" t="s">
        <v>1043</v>
      </c>
      <c r="F1832" s="24">
        <f t="shared" si="606"/>
        <v>0</v>
      </c>
      <c r="G1832" s="24" t="e">
        <f t="shared" si="605"/>
        <v>#DIV/0!</v>
      </c>
      <c r="Q1832" s="29" t="str">
        <f t="shared" si="607"/>
        <v>NA</v>
      </c>
      <c r="R1832" s="29" t="str">
        <f t="shared" si="608"/>
        <v>NA</v>
      </c>
      <c r="S1832" s="29" t="str">
        <f t="shared" si="609"/>
        <v>NA</v>
      </c>
      <c r="T1832" s="29" t="str">
        <f t="shared" si="610"/>
        <v>NA</v>
      </c>
      <c r="U1832" s="29" t="str">
        <f t="shared" si="611"/>
        <v>NA</v>
      </c>
      <c r="V1832" s="29" t="str">
        <f t="shared" si="612"/>
        <v>NA</v>
      </c>
      <c r="W1832" s="29" t="str">
        <f t="shared" si="613"/>
        <v>NA</v>
      </c>
      <c r="X1832" s="29" t="str">
        <f t="shared" si="614"/>
        <v>NA</v>
      </c>
      <c r="Y1832" s="29" t="str">
        <f t="shared" si="615"/>
        <v>NA</v>
      </c>
      <c r="Z1832" s="29" t="str">
        <f t="shared" si="616"/>
        <v>NA</v>
      </c>
      <c r="AA1832" s="29" t="str">
        <f t="shared" si="617"/>
        <v>NA</v>
      </c>
      <c r="AB1832" s="29" t="str">
        <f t="shared" si="618"/>
        <v>NA</v>
      </c>
      <c r="AC1832" s="29" t="str">
        <f t="shared" si="619"/>
        <v>NA</v>
      </c>
      <c r="AD1832" s="29" t="str">
        <f t="shared" si="620"/>
        <v>NA</v>
      </c>
      <c r="AE1832" s="29" t="str">
        <f t="shared" si="621"/>
        <v>NA</v>
      </c>
      <c r="AF1832" s="29" t="str">
        <f t="shared" si="622"/>
        <v>NA</v>
      </c>
      <c r="AG1832" s="29" t="str">
        <f t="shared" si="623"/>
        <v>NA</v>
      </c>
      <c r="AH1832" s="29" t="str">
        <f t="shared" si="624"/>
        <v>NA</v>
      </c>
    </row>
    <row r="1833" customHeight="1" spans="1:34">
      <c r="A1833" s="12" t="s">
        <v>1043</v>
      </c>
      <c r="F1833" s="24">
        <f t="shared" si="606"/>
        <v>0</v>
      </c>
      <c r="G1833" s="24" t="e">
        <f t="shared" si="605"/>
        <v>#DIV/0!</v>
      </c>
      <c r="Q1833" s="29" t="str">
        <f t="shared" si="607"/>
        <v>NA</v>
      </c>
      <c r="R1833" s="29" t="str">
        <f t="shared" si="608"/>
        <v>NA</v>
      </c>
      <c r="S1833" s="29" t="str">
        <f t="shared" si="609"/>
        <v>NA</v>
      </c>
      <c r="T1833" s="29" t="str">
        <f t="shared" si="610"/>
        <v>NA</v>
      </c>
      <c r="U1833" s="29" t="str">
        <f t="shared" si="611"/>
        <v>NA</v>
      </c>
      <c r="V1833" s="29" t="str">
        <f t="shared" si="612"/>
        <v>NA</v>
      </c>
      <c r="W1833" s="29" t="str">
        <f t="shared" si="613"/>
        <v>NA</v>
      </c>
      <c r="X1833" s="29" t="str">
        <f t="shared" si="614"/>
        <v>NA</v>
      </c>
      <c r="Y1833" s="29" t="str">
        <f t="shared" si="615"/>
        <v>NA</v>
      </c>
      <c r="Z1833" s="29" t="str">
        <f t="shared" si="616"/>
        <v>NA</v>
      </c>
      <c r="AA1833" s="29" t="str">
        <f t="shared" si="617"/>
        <v>NA</v>
      </c>
      <c r="AB1833" s="29" t="str">
        <f t="shared" si="618"/>
        <v>NA</v>
      </c>
      <c r="AC1833" s="29" t="str">
        <f t="shared" si="619"/>
        <v>NA</v>
      </c>
      <c r="AD1833" s="29" t="str">
        <f t="shared" si="620"/>
        <v>NA</v>
      </c>
      <c r="AE1833" s="29" t="str">
        <f t="shared" si="621"/>
        <v>NA</v>
      </c>
      <c r="AF1833" s="29" t="str">
        <f t="shared" si="622"/>
        <v>NA</v>
      </c>
      <c r="AG1833" s="29" t="str">
        <f t="shared" si="623"/>
        <v>NA</v>
      </c>
      <c r="AH1833" s="29" t="str">
        <f t="shared" si="624"/>
        <v>NA</v>
      </c>
    </row>
    <row r="1834" customHeight="1" spans="1:34">
      <c r="A1834" s="12" t="s">
        <v>1043</v>
      </c>
      <c r="F1834" s="24">
        <f t="shared" si="606"/>
        <v>0</v>
      </c>
      <c r="G1834" s="24" t="e">
        <f t="shared" si="605"/>
        <v>#DIV/0!</v>
      </c>
      <c r="Q1834" s="29" t="str">
        <f t="shared" si="607"/>
        <v>NA</v>
      </c>
      <c r="R1834" s="29" t="str">
        <f t="shared" si="608"/>
        <v>NA</v>
      </c>
      <c r="S1834" s="29" t="str">
        <f t="shared" si="609"/>
        <v>NA</v>
      </c>
      <c r="T1834" s="29" t="str">
        <f t="shared" si="610"/>
        <v>NA</v>
      </c>
      <c r="U1834" s="29" t="str">
        <f t="shared" si="611"/>
        <v>NA</v>
      </c>
      <c r="V1834" s="29" t="str">
        <f t="shared" si="612"/>
        <v>NA</v>
      </c>
      <c r="W1834" s="29" t="str">
        <f t="shared" si="613"/>
        <v>NA</v>
      </c>
      <c r="X1834" s="29" t="str">
        <f t="shared" si="614"/>
        <v>NA</v>
      </c>
      <c r="Y1834" s="29" t="str">
        <f t="shared" si="615"/>
        <v>NA</v>
      </c>
      <c r="Z1834" s="29" t="str">
        <f t="shared" si="616"/>
        <v>NA</v>
      </c>
      <c r="AA1834" s="29" t="str">
        <f t="shared" si="617"/>
        <v>NA</v>
      </c>
      <c r="AB1834" s="29" t="str">
        <f t="shared" si="618"/>
        <v>NA</v>
      </c>
      <c r="AC1834" s="29" t="str">
        <f t="shared" si="619"/>
        <v>NA</v>
      </c>
      <c r="AD1834" s="29" t="str">
        <f t="shared" si="620"/>
        <v>NA</v>
      </c>
      <c r="AE1834" s="29" t="str">
        <f t="shared" si="621"/>
        <v>NA</v>
      </c>
      <c r="AF1834" s="29" t="str">
        <f t="shared" si="622"/>
        <v>NA</v>
      </c>
      <c r="AG1834" s="29" t="str">
        <f t="shared" si="623"/>
        <v>NA</v>
      </c>
      <c r="AH1834" s="29" t="str">
        <f t="shared" si="624"/>
        <v>NA</v>
      </c>
    </row>
    <row r="1835" customHeight="1" spans="1:34">
      <c r="A1835" s="12" t="s">
        <v>1043</v>
      </c>
      <c r="F1835" s="24">
        <f t="shared" si="606"/>
        <v>0</v>
      </c>
      <c r="G1835" s="24" t="e">
        <f t="shared" si="605"/>
        <v>#DIV/0!</v>
      </c>
      <c r="Q1835" s="29" t="str">
        <f t="shared" si="607"/>
        <v>NA</v>
      </c>
      <c r="R1835" s="29" t="str">
        <f t="shared" si="608"/>
        <v>NA</v>
      </c>
      <c r="S1835" s="29" t="str">
        <f t="shared" si="609"/>
        <v>NA</v>
      </c>
      <c r="T1835" s="29" t="str">
        <f t="shared" si="610"/>
        <v>NA</v>
      </c>
      <c r="U1835" s="29" t="str">
        <f t="shared" si="611"/>
        <v>NA</v>
      </c>
      <c r="V1835" s="29" t="str">
        <f t="shared" si="612"/>
        <v>NA</v>
      </c>
      <c r="W1835" s="29" t="str">
        <f t="shared" si="613"/>
        <v>NA</v>
      </c>
      <c r="X1835" s="29" t="str">
        <f t="shared" si="614"/>
        <v>NA</v>
      </c>
      <c r="Y1835" s="29" t="str">
        <f t="shared" si="615"/>
        <v>NA</v>
      </c>
      <c r="Z1835" s="29" t="str">
        <f t="shared" si="616"/>
        <v>NA</v>
      </c>
      <c r="AA1835" s="29" t="str">
        <f t="shared" si="617"/>
        <v>NA</v>
      </c>
      <c r="AB1835" s="29" t="str">
        <f t="shared" si="618"/>
        <v>NA</v>
      </c>
      <c r="AC1835" s="29" t="str">
        <f t="shared" si="619"/>
        <v>NA</v>
      </c>
      <c r="AD1835" s="29" t="str">
        <f t="shared" si="620"/>
        <v>NA</v>
      </c>
      <c r="AE1835" s="29" t="str">
        <f t="shared" si="621"/>
        <v>NA</v>
      </c>
      <c r="AF1835" s="29" t="str">
        <f t="shared" si="622"/>
        <v>NA</v>
      </c>
      <c r="AG1835" s="29" t="str">
        <f t="shared" si="623"/>
        <v>NA</v>
      </c>
      <c r="AH1835" s="29" t="str">
        <f t="shared" si="624"/>
        <v>NA</v>
      </c>
    </row>
    <row r="1836" customHeight="1" spans="1:34">
      <c r="A1836" s="12" t="s">
        <v>1043</v>
      </c>
      <c r="F1836" s="24">
        <f t="shared" si="606"/>
        <v>0</v>
      </c>
      <c r="G1836" s="24" t="e">
        <f t="shared" si="605"/>
        <v>#DIV/0!</v>
      </c>
      <c r="Q1836" s="29" t="str">
        <f t="shared" si="607"/>
        <v>NA</v>
      </c>
      <c r="R1836" s="29" t="str">
        <f t="shared" si="608"/>
        <v>NA</v>
      </c>
      <c r="S1836" s="29" t="str">
        <f t="shared" si="609"/>
        <v>NA</v>
      </c>
      <c r="T1836" s="29" t="str">
        <f t="shared" si="610"/>
        <v>NA</v>
      </c>
      <c r="U1836" s="29" t="str">
        <f t="shared" si="611"/>
        <v>NA</v>
      </c>
      <c r="V1836" s="29" t="str">
        <f t="shared" si="612"/>
        <v>NA</v>
      </c>
      <c r="W1836" s="29" t="str">
        <f t="shared" si="613"/>
        <v>NA</v>
      </c>
      <c r="X1836" s="29" t="str">
        <f t="shared" si="614"/>
        <v>NA</v>
      </c>
      <c r="Y1836" s="29" t="str">
        <f t="shared" si="615"/>
        <v>NA</v>
      </c>
      <c r="Z1836" s="29" t="str">
        <f t="shared" si="616"/>
        <v>NA</v>
      </c>
      <c r="AA1836" s="29" t="str">
        <f t="shared" si="617"/>
        <v>NA</v>
      </c>
      <c r="AB1836" s="29" t="str">
        <f t="shared" si="618"/>
        <v>NA</v>
      </c>
      <c r="AC1836" s="29" t="str">
        <f t="shared" si="619"/>
        <v>NA</v>
      </c>
      <c r="AD1836" s="29" t="str">
        <f t="shared" si="620"/>
        <v>NA</v>
      </c>
      <c r="AE1836" s="29" t="str">
        <f t="shared" si="621"/>
        <v>NA</v>
      </c>
      <c r="AF1836" s="29" t="str">
        <f t="shared" si="622"/>
        <v>NA</v>
      </c>
      <c r="AG1836" s="29" t="str">
        <f t="shared" si="623"/>
        <v>NA</v>
      </c>
      <c r="AH1836" s="29" t="str">
        <f t="shared" si="624"/>
        <v>NA</v>
      </c>
    </row>
    <row r="1837" customHeight="1" spans="1:34">
      <c r="A1837" s="12" t="s">
        <v>1043</v>
      </c>
      <c r="F1837" s="24">
        <f t="shared" si="606"/>
        <v>0</v>
      </c>
      <c r="G1837" s="24" t="e">
        <f t="shared" si="605"/>
        <v>#DIV/0!</v>
      </c>
      <c r="Q1837" s="29" t="str">
        <f t="shared" si="607"/>
        <v>NA</v>
      </c>
      <c r="R1837" s="29" t="str">
        <f t="shared" si="608"/>
        <v>NA</v>
      </c>
      <c r="S1837" s="29" t="str">
        <f t="shared" si="609"/>
        <v>NA</v>
      </c>
      <c r="T1837" s="29" t="str">
        <f t="shared" si="610"/>
        <v>NA</v>
      </c>
      <c r="U1837" s="29" t="str">
        <f t="shared" si="611"/>
        <v>NA</v>
      </c>
      <c r="V1837" s="29" t="str">
        <f t="shared" si="612"/>
        <v>NA</v>
      </c>
      <c r="W1837" s="29" t="str">
        <f t="shared" si="613"/>
        <v>NA</v>
      </c>
      <c r="X1837" s="29" t="str">
        <f t="shared" si="614"/>
        <v>NA</v>
      </c>
      <c r="Y1837" s="29" t="str">
        <f t="shared" si="615"/>
        <v>NA</v>
      </c>
      <c r="Z1837" s="29" t="str">
        <f t="shared" si="616"/>
        <v>NA</v>
      </c>
      <c r="AA1837" s="29" t="str">
        <f t="shared" si="617"/>
        <v>NA</v>
      </c>
      <c r="AB1837" s="29" t="str">
        <f t="shared" si="618"/>
        <v>NA</v>
      </c>
      <c r="AC1837" s="29" t="str">
        <f t="shared" si="619"/>
        <v>NA</v>
      </c>
      <c r="AD1837" s="29" t="str">
        <f t="shared" si="620"/>
        <v>NA</v>
      </c>
      <c r="AE1837" s="29" t="str">
        <f t="shared" si="621"/>
        <v>NA</v>
      </c>
      <c r="AF1837" s="29" t="str">
        <f t="shared" si="622"/>
        <v>NA</v>
      </c>
      <c r="AG1837" s="29" t="str">
        <f t="shared" si="623"/>
        <v>NA</v>
      </c>
      <c r="AH1837" s="29" t="str">
        <f t="shared" si="624"/>
        <v>NA</v>
      </c>
    </row>
    <row r="1838" customHeight="1" spans="1:34">
      <c r="A1838" s="12" t="s">
        <v>1043</v>
      </c>
      <c r="F1838" s="24">
        <f t="shared" si="606"/>
        <v>0</v>
      </c>
      <c r="G1838" s="24" t="e">
        <f t="shared" si="605"/>
        <v>#DIV/0!</v>
      </c>
      <c r="Q1838" s="29" t="str">
        <f t="shared" si="607"/>
        <v>NA</v>
      </c>
      <c r="R1838" s="29" t="str">
        <f t="shared" si="608"/>
        <v>NA</v>
      </c>
      <c r="S1838" s="29" t="str">
        <f t="shared" si="609"/>
        <v>NA</v>
      </c>
      <c r="T1838" s="29" t="str">
        <f t="shared" si="610"/>
        <v>NA</v>
      </c>
      <c r="U1838" s="29" t="str">
        <f t="shared" si="611"/>
        <v>NA</v>
      </c>
      <c r="V1838" s="29" t="str">
        <f t="shared" si="612"/>
        <v>NA</v>
      </c>
      <c r="W1838" s="29" t="str">
        <f t="shared" si="613"/>
        <v>NA</v>
      </c>
      <c r="X1838" s="29" t="str">
        <f t="shared" si="614"/>
        <v>NA</v>
      </c>
      <c r="Y1838" s="29" t="str">
        <f t="shared" si="615"/>
        <v>NA</v>
      </c>
      <c r="Z1838" s="29" t="str">
        <f t="shared" si="616"/>
        <v>NA</v>
      </c>
      <c r="AA1838" s="29" t="str">
        <f t="shared" si="617"/>
        <v>NA</v>
      </c>
      <c r="AB1838" s="29" t="str">
        <f t="shared" si="618"/>
        <v>NA</v>
      </c>
      <c r="AC1838" s="29" t="str">
        <f t="shared" si="619"/>
        <v>NA</v>
      </c>
      <c r="AD1838" s="29" t="str">
        <f t="shared" si="620"/>
        <v>NA</v>
      </c>
      <c r="AE1838" s="29" t="str">
        <f t="shared" si="621"/>
        <v>NA</v>
      </c>
      <c r="AF1838" s="29" t="str">
        <f t="shared" si="622"/>
        <v>NA</v>
      </c>
      <c r="AG1838" s="29" t="str">
        <f t="shared" si="623"/>
        <v>NA</v>
      </c>
      <c r="AH1838" s="29" t="str">
        <f t="shared" si="624"/>
        <v>NA</v>
      </c>
    </row>
    <row r="1839" customHeight="1" spans="1:34">
      <c r="A1839" s="12" t="s">
        <v>1043</v>
      </c>
      <c r="F1839" s="24">
        <f t="shared" si="606"/>
        <v>0</v>
      </c>
      <c r="G1839" s="24" t="e">
        <f t="shared" si="605"/>
        <v>#DIV/0!</v>
      </c>
      <c r="Q1839" s="29" t="str">
        <f t="shared" si="607"/>
        <v>NA</v>
      </c>
      <c r="R1839" s="29" t="str">
        <f t="shared" si="608"/>
        <v>NA</v>
      </c>
      <c r="S1839" s="29" t="str">
        <f t="shared" si="609"/>
        <v>NA</v>
      </c>
      <c r="T1839" s="29" t="str">
        <f t="shared" si="610"/>
        <v>NA</v>
      </c>
      <c r="U1839" s="29" t="str">
        <f t="shared" si="611"/>
        <v>NA</v>
      </c>
      <c r="V1839" s="29" t="str">
        <f t="shared" si="612"/>
        <v>NA</v>
      </c>
      <c r="W1839" s="29" t="str">
        <f t="shared" si="613"/>
        <v>NA</v>
      </c>
      <c r="X1839" s="29" t="str">
        <f t="shared" si="614"/>
        <v>NA</v>
      </c>
      <c r="Y1839" s="29" t="str">
        <f t="shared" si="615"/>
        <v>NA</v>
      </c>
      <c r="Z1839" s="29" t="str">
        <f t="shared" si="616"/>
        <v>NA</v>
      </c>
      <c r="AA1839" s="29" t="str">
        <f t="shared" si="617"/>
        <v>NA</v>
      </c>
      <c r="AB1839" s="29" t="str">
        <f t="shared" si="618"/>
        <v>NA</v>
      </c>
      <c r="AC1839" s="29" t="str">
        <f t="shared" si="619"/>
        <v>NA</v>
      </c>
      <c r="AD1839" s="29" t="str">
        <f t="shared" si="620"/>
        <v>NA</v>
      </c>
      <c r="AE1839" s="29" t="str">
        <f t="shared" si="621"/>
        <v>NA</v>
      </c>
      <c r="AF1839" s="29" t="str">
        <f t="shared" si="622"/>
        <v>NA</v>
      </c>
      <c r="AG1839" s="29" t="str">
        <f t="shared" si="623"/>
        <v>NA</v>
      </c>
      <c r="AH1839" s="29" t="str">
        <f t="shared" si="624"/>
        <v>NA</v>
      </c>
    </row>
    <row r="1840" customHeight="1" spans="1:34">
      <c r="A1840" s="12" t="s">
        <v>1043</v>
      </c>
      <c r="F1840" s="24">
        <f t="shared" si="606"/>
        <v>0</v>
      </c>
      <c r="G1840" s="24" t="e">
        <f t="shared" si="605"/>
        <v>#DIV/0!</v>
      </c>
      <c r="Q1840" s="29" t="str">
        <f t="shared" si="607"/>
        <v>NA</v>
      </c>
      <c r="R1840" s="29" t="str">
        <f t="shared" si="608"/>
        <v>NA</v>
      </c>
      <c r="S1840" s="29" t="str">
        <f t="shared" si="609"/>
        <v>NA</v>
      </c>
      <c r="T1840" s="29" t="str">
        <f t="shared" si="610"/>
        <v>NA</v>
      </c>
      <c r="U1840" s="29" t="str">
        <f t="shared" si="611"/>
        <v>NA</v>
      </c>
      <c r="V1840" s="29" t="str">
        <f t="shared" si="612"/>
        <v>NA</v>
      </c>
      <c r="W1840" s="29" t="str">
        <f t="shared" si="613"/>
        <v>NA</v>
      </c>
      <c r="X1840" s="29" t="str">
        <f t="shared" si="614"/>
        <v>NA</v>
      </c>
      <c r="Y1840" s="29" t="str">
        <f t="shared" si="615"/>
        <v>NA</v>
      </c>
      <c r="Z1840" s="29" t="str">
        <f t="shared" si="616"/>
        <v>NA</v>
      </c>
      <c r="AA1840" s="29" t="str">
        <f t="shared" si="617"/>
        <v>NA</v>
      </c>
      <c r="AB1840" s="29" t="str">
        <f t="shared" si="618"/>
        <v>NA</v>
      </c>
      <c r="AC1840" s="29" t="str">
        <f t="shared" si="619"/>
        <v>NA</v>
      </c>
      <c r="AD1840" s="29" t="str">
        <f t="shared" si="620"/>
        <v>NA</v>
      </c>
      <c r="AE1840" s="29" t="str">
        <f t="shared" si="621"/>
        <v>NA</v>
      </c>
      <c r="AF1840" s="29" t="str">
        <f t="shared" si="622"/>
        <v>NA</v>
      </c>
      <c r="AG1840" s="29" t="str">
        <f t="shared" si="623"/>
        <v>NA</v>
      </c>
      <c r="AH1840" s="29" t="str">
        <f t="shared" si="624"/>
        <v>NA</v>
      </c>
    </row>
    <row r="1841" customHeight="1" spans="1:34">
      <c r="A1841" s="12" t="s">
        <v>1043</v>
      </c>
      <c r="F1841" s="24">
        <f t="shared" si="606"/>
        <v>0</v>
      </c>
      <c r="G1841" s="24" t="e">
        <f t="shared" si="605"/>
        <v>#DIV/0!</v>
      </c>
      <c r="Q1841" s="29" t="str">
        <f t="shared" si="607"/>
        <v>NA</v>
      </c>
      <c r="R1841" s="29" t="str">
        <f t="shared" si="608"/>
        <v>NA</v>
      </c>
      <c r="S1841" s="29" t="str">
        <f t="shared" si="609"/>
        <v>NA</v>
      </c>
      <c r="T1841" s="29" t="str">
        <f t="shared" si="610"/>
        <v>NA</v>
      </c>
      <c r="U1841" s="29" t="str">
        <f t="shared" si="611"/>
        <v>NA</v>
      </c>
      <c r="V1841" s="29" t="str">
        <f t="shared" si="612"/>
        <v>NA</v>
      </c>
      <c r="W1841" s="29" t="str">
        <f t="shared" si="613"/>
        <v>NA</v>
      </c>
      <c r="X1841" s="29" t="str">
        <f t="shared" si="614"/>
        <v>NA</v>
      </c>
      <c r="Y1841" s="29" t="str">
        <f t="shared" si="615"/>
        <v>NA</v>
      </c>
      <c r="Z1841" s="29" t="str">
        <f t="shared" si="616"/>
        <v>NA</v>
      </c>
      <c r="AA1841" s="29" t="str">
        <f t="shared" si="617"/>
        <v>NA</v>
      </c>
      <c r="AB1841" s="29" t="str">
        <f t="shared" si="618"/>
        <v>NA</v>
      </c>
      <c r="AC1841" s="29" t="str">
        <f t="shared" si="619"/>
        <v>NA</v>
      </c>
      <c r="AD1841" s="29" t="str">
        <f t="shared" si="620"/>
        <v>NA</v>
      </c>
      <c r="AE1841" s="29" t="str">
        <f t="shared" si="621"/>
        <v>NA</v>
      </c>
      <c r="AF1841" s="29" t="str">
        <f t="shared" si="622"/>
        <v>NA</v>
      </c>
      <c r="AG1841" s="29" t="str">
        <f t="shared" si="623"/>
        <v>NA</v>
      </c>
      <c r="AH1841" s="29" t="str">
        <f t="shared" si="624"/>
        <v>NA</v>
      </c>
    </row>
    <row r="1842" customHeight="1" spans="1:34">
      <c r="A1842" s="12" t="s">
        <v>1043</v>
      </c>
      <c r="F1842" s="24">
        <f t="shared" si="606"/>
        <v>0</v>
      </c>
      <c r="G1842" s="24" t="e">
        <f t="shared" si="605"/>
        <v>#DIV/0!</v>
      </c>
      <c r="Q1842" s="29" t="str">
        <f t="shared" si="607"/>
        <v>NA</v>
      </c>
      <c r="R1842" s="29" t="str">
        <f t="shared" si="608"/>
        <v>NA</v>
      </c>
      <c r="S1842" s="29" t="str">
        <f t="shared" si="609"/>
        <v>NA</v>
      </c>
      <c r="T1842" s="29" t="str">
        <f t="shared" si="610"/>
        <v>NA</v>
      </c>
      <c r="U1842" s="29" t="str">
        <f t="shared" si="611"/>
        <v>NA</v>
      </c>
      <c r="V1842" s="29" t="str">
        <f t="shared" si="612"/>
        <v>NA</v>
      </c>
      <c r="W1842" s="29" t="str">
        <f t="shared" si="613"/>
        <v>NA</v>
      </c>
      <c r="X1842" s="29" t="str">
        <f t="shared" si="614"/>
        <v>NA</v>
      </c>
      <c r="Y1842" s="29" t="str">
        <f t="shared" si="615"/>
        <v>NA</v>
      </c>
      <c r="Z1842" s="29" t="str">
        <f t="shared" si="616"/>
        <v>NA</v>
      </c>
      <c r="AA1842" s="29" t="str">
        <f t="shared" si="617"/>
        <v>NA</v>
      </c>
      <c r="AB1842" s="29" t="str">
        <f t="shared" si="618"/>
        <v>NA</v>
      </c>
      <c r="AC1842" s="29" t="str">
        <f t="shared" si="619"/>
        <v>NA</v>
      </c>
      <c r="AD1842" s="29" t="str">
        <f t="shared" si="620"/>
        <v>NA</v>
      </c>
      <c r="AE1842" s="29" t="str">
        <f t="shared" si="621"/>
        <v>NA</v>
      </c>
      <c r="AF1842" s="29" t="str">
        <f t="shared" si="622"/>
        <v>NA</v>
      </c>
      <c r="AG1842" s="29" t="str">
        <f t="shared" si="623"/>
        <v>NA</v>
      </c>
      <c r="AH1842" s="29" t="str">
        <f t="shared" si="624"/>
        <v>NA</v>
      </c>
    </row>
    <row r="1843" customHeight="1" spans="1:34">
      <c r="A1843" s="12" t="s">
        <v>1043</v>
      </c>
      <c r="F1843" s="24">
        <f t="shared" si="606"/>
        <v>0</v>
      </c>
      <c r="G1843" s="24" t="e">
        <f t="shared" si="605"/>
        <v>#DIV/0!</v>
      </c>
      <c r="Q1843" s="29" t="str">
        <f t="shared" si="607"/>
        <v>NA</v>
      </c>
      <c r="R1843" s="29" t="str">
        <f t="shared" si="608"/>
        <v>NA</v>
      </c>
      <c r="S1843" s="29" t="str">
        <f t="shared" si="609"/>
        <v>NA</v>
      </c>
      <c r="T1843" s="29" t="str">
        <f t="shared" si="610"/>
        <v>NA</v>
      </c>
      <c r="U1843" s="29" t="str">
        <f t="shared" si="611"/>
        <v>NA</v>
      </c>
      <c r="V1843" s="29" t="str">
        <f t="shared" si="612"/>
        <v>NA</v>
      </c>
      <c r="W1843" s="29" t="str">
        <f t="shared" si="613"/>
        <v>NA</v>
      </c>
      <c r="X1843" s="29" t="str">
        <f t="shared" si="614"/>
        <v>NA</v>
      </c>
      <c r="Y1843" s="29" t="str">
        <f t="shared" si="615"/>
        <v>NA</v>
      </c>
      <c r="Z1843" s="29" t="str">
        <f t="shared" si="616"/>
        <v>NA</v>
      </c>
      <c r="AA1843" s="29" t="str">
        <f t="shared" si="617"/>
        <v>NA</v>
      </c>
      <c r="AB1843" s="29" t="str">
        <f t="shared" si="618"/>
        <v>NA</v>
      </c>
      <c r="AC1843" s="29" t="str">
        <f t="shared" si="619"/>
        <v>NA</v>
      </c>
      <c r="AD1843" s="29" t="str">
        <f t="shared" si="620"/>
        <v>NA</v>
      </c>
      <c r="AE1843" s="29" t="str">
        <f t="shared" si="621"/>
        <v>NA</v>
      </c>
      <c r="AF1843" s="29" t="str">
        <f t="shared" si="622"/>
        <v>NA</v>
      </c>
      <c r="AG1843" s="29" t="str">
        <f t="shared" si="623"/>
        <v>NA</v>
      </c>
      <c r="AH1843" s="29" t="str">
        <f t="shared" si="624"/>
        <v>NA</v>
      </c>
    </row>
    <row r="1844" customHeight="1" spans="1:34">
      <c r="A1844" s="12" t="s">
        <v>1043</v>
      </c>
      <c r="F1844" s="24">
        <f t="shared" si="606"/>
        <v>0</v>
      </c>
      <c r="G1844" s="24" t="e">
        <f t="shared" si="605"/>
        <v>#DIV/0!</v>
      </c>
      <c r="Q1844" s="29" t="str">
        <f t="shared" si="607"/>
        <v>NA</v>
      </c>
      <c r="R1844" s="29" t="str">
        <f t="shared" si="608"/>
        <v>NA</v>
      </c>
      <c r="S1844" s="29" t="str">
        <f t="shared" si="609"/>
        <v>NA</v>
      </c>
      <c r="T1844" s="29" t="str">
        <f t="shared" si="610"/>
        <v>NA</v>
      </c>
      <c r="U1844" s="29" t="str">
        <f t="shared" si="611"/>
        <v>NA</v>
      </c>
      <c r="V1844" s="29" t="str">
        <f t="shared" si="612"/>
        <v>NA</v>
      </c>
      <c r="W1844" s="29" t="str">
        <f t="shared" si="613"/>
        <v>NA</v>
      </c>
      <c r="X1844" s="29" t="str">
        <f t="shared" si="614"/>
        <v>NA</v>
      </c>
      <c r="Y1844" s="29" t="str">
        <f t="shared" si="615"/>
        <v>NA</v>
      </c>
      <c r="Z1844" s="29" t="str">
        <f t="shared" si="616"/>
        <v>NA</v>
      </c>
      <c r="AA1844" s="29" t="str">
        <f t="shared" si="617"/>
        <v>NA</v>
      </c>
      <c r="AB1844" s="29" t="str">
        <f t="shared" si="618"/>
        <v>NA</v>
      </c>
      <c r="AC1844" s="29" t="str">
        <f t="shared" si="619"/>
        <v>NA</v>
      </c>
      <c r="AD1844" s="29" t="str">
        <f t="shared" si="620"/>
        <v>NA</v>
      </c>
      <c r="AE1844" s="29" t="str">
        <f t="shared" si="621"/>
        <v>NA</v>
      </c>
      <c r="AF1844" s="29" t="str">
        <f t="shared" si="622"/>
        <v>NA</v>
      </c>
      <c r="AG1844" s="29" t="str">
        <f t="shared" si="623"/>
        <v>NA</v>
      </c>
      <c r="AH1844" s="29" t="str">
        <f t="shared" si="624"/>
        <v>NA</v>
      </c>
    </row>
    <row r="1845" customHeight="1" spans="1:34">
      <c r="A1845" s="12" t="s">
        <v>1043</v>
      </c>
      <c r="F1845" s="24">
        <f t="shared" si="606"/>
        <v>0</v>
      </c>
      <c r="G1845" s="24" t="e">
        <f t="shared" si="605"/>
        <v>#DIV/0!</v>
      </c>
      <c r="Q1845" s="29" t="str">
        <f t="shared" si="607"/>
        <v>NA</v>
      </c>
      <c r="R1845" s="29" t="str">
        <f t="shared" si="608"/>
        <v>NA</v>
      </c>
      <c r="S1845" s="29" t="str">
        <f t="shared" si="609"/>
        <v>NA</v>
      </c>
      <c r="T1845" s="29" t="str">
        <f t="shared" si="610"/>
        <v>NA</v>
      </c>
      <c r="U1845" s="29" t="str">
        <f t="shared" si="611"/>
        <v>NA</v>
      </c>
      <c r="V1845" s="29" t="str">
        <f t="shared" si="612"/>
        <v>NA</v>
      </c>
      <c r="W1845" s="29" t="str">
        <f t="shared" si="613"/>
        <v>NA</v>
      </c>
      <c r="X1845" s="29" t="str">
        <f t="shared" si="614"/>
        <v>NA</v>
      </c>
      <c r="Y1845" s="29" t="str">
        <f t="shared" si="615"/>
        <v>NA</v>
      </c>
      <c r="Z1845" s="29" t="str">
        <f t="shared" si="616"/>
        <v>NA</v>
      </c>
      <c r="AA1845" s="29" t="str">
        <f t="shared" si="617"/>
        <v>NA</v>
      </c>
      <c r="AB1845" s="29" t="str">
        <f t="shared" si="618"/>
        <v>NA</v>
      </c>
      <c r="AC1845" s="29" t="str">
        <f t="shared" si="619"/>
        <v>NA</v>
      </c>
      <c r="AD1845" s="29" t="str">
        <f t="shared" si="620"/>
        <v>NA</v>
      </c>
      <c r="AE1845" s="29" t="str">
        <f t="shared" si="621"/>
        <v>NA</v>
      </c>
      <c r="AF1845" s="29" t="str">
        <f t="shared" si="622"/>
        <v>NA</v>
      </c>
      <c r="AG1845" s="29" t="str">
        <f t="shared" si="623"/>
        <v>NA</v>
      </c>
      <c r="AH1845" s="29" t="str">
        <f t="shared" si="624"/>
        <v>NA</v>
      </c>
    </row>
    <row r="1846" customHeight="1" spans="1:34">
      <c r="A1846" s="12" t="s">
        <v>1043</v>
      </c>
      <c r="F1846" s="24">
        <f t="shared" si="606"/>
        <v>0</v>
      </c>
      <c r="G1846" s="24" t="e">
        <f t="shared" si="605"/>
        <v>#DIV/0!</v>
      </c>
      <c r="Q1846" s="29" t="str">
        <f t="shared" si="607"/>
        <v>NA</v>
      </c>
      <c r="R1846" s="29" t="str">
        <f t="shared" si="608"/>
        <v>NA</v>
      </c>
      <c r="S1846" s="29" t="str">
        <f t="shared" si="609"/>
        <v>NA</v>
      </c>
      <c r="T1846" s="29" t="str">
        <f t="shared" si="610"/>
        <v>NA</v>
      </c>
      <c r="U1846" s="29" t="str">
        <f t="shared" si="611"/>
        <v>NA</v>
      </c>
      <c r="V1846" s="29" t="str">
        <f t="shared" si="612"/>
        <v>NA</v>
      </c>
      <c r="W1846" s="29" t="str">
        <f t="shared" si="613"/>
        <v>NA</v>
      </c>
      <c r="X1846" s="29" t="str">
        <f t="shared" si="614"/>
        <v>NA</v>
      </c>
      <c r="Y1846" s="29" t="str">
        <f t="shared" si="615"/>
        <v>NA</v>
      </c>
      <c r="Z1846" s="29" t="str">
        <f t="shared" si="616"/>
        <v>NA</v>
      </c>
      <c r="AA1846" s="29" t="str">
        <f t="shared" si="617"/>
        <v>NA</v>
      </c>
      <c r="AB1846" s="29" t="str">
        <f t="shared" si="618"/>
        <v>NA</v>
      </c>
      <c r="AC1846" s="29" t="str">
        <f t="shared" si="619"/>
        <v>NA</v>
      </c>
      <c r="AD1846" s="29" t="str">
        <f t="shared" si="620"/>
        <v>NA</v>
      </c>
      <c r="AE1846" s="29" t="str">
        <f t="shared" si="621"/>
        <v>NA</v>
      </c>
      <c r="AF1846" s="29" t="str">
        <f t="shared" si="622"/>
        <v>NA</v>
      </c>
      <c r="AG1846" s="29" t="str">
        <f t="shared" si="623"/>
        <v>NA</v>
      </c>
      <c r="AH1846" s="29" t="str">
        <f t="shared" si="624"/>
        <v>NA</v>
      </c>
    </row>
    <row r="1847" customHeight="1" spans="1:34">
      <c r="A1847" s="12" t="s">
        <v>1043</v>
      </c>
      <c r="F1847" s="24">
        <f t="shared" si="606"/>
        <v>0</v>
      </c>
      <c r="G1847" s="24" t="e">
        <f t="shared" si="605"/>
        <v>#DIV/0!</v>
      </c>
      <c r="Q1847" s="29" t="str">
        <f t="shared" si="607"/>
        <v>NA</v>
      </c>
      <c r="R1847" s="29" t="str">
        <f t="shared" si="608"/>
        <v>NA</v>
      </c>
      <c r="S1847" s="29" t="str">
        <f t="shared" si="609"/>
        <v>NA</v>
      </c>
      <c r="T1847" s="29" t="str">
        <f t="shared" si="610"/>
        <v>NA</v>
      </c>
      <c r="U1847" s="29" t="str">
        <f t="shared" si="611"/>
        <v>NA</v>
      </c>
      <c r="V1847" s="29" t="str">
        <f t="shared" si="612"/>
        <v>NA</v>
      </c>
      <c r="W1847" s="29" t="str">
        <f t="shared" si="613"/>
        <v>NA</v>
      </c>
      <c r="X1847" s="29" t="str">
        <f t="shared" si="614"/>
        <v>NA</v>
      </c>
      <c r="Y1847" s="29" t="str">
        <f t="shared" si="615"/>
        <v>NA</v>
      </c>
      <c r="Z1847" s="29" t="str">
        <f t="shared" si="616"/>
        <v>NA</v>
      </c>
      <c r="AA1847" s="29" t="str">
        <f t="shared" si="617"/>
        <v>NA</v>
      </c>
      <c r="AB1847" s="29" t="str">
        <f t="shared" si="618"/>
        <v>NA</v>
      </c>
      <c r="AC1847" s="29" t="str">
        <f t="shared" si="619"/>
        <v>NA</v>
      </c>
      <c r="AD1847" s="29" t="str">
        <f t="shared" si="620"/>
        <v>NA</v>
      </c>
      <c r="AE1847" s="29" t="str">
        <f t="shared" si="621"/>
        <v>NA</v>
      </c>
      <c r="AF1847" s="29" t="str">
        <f t="shared" si="622"/>
        <v>NA</v>
      </c>
      <c r="AG1847" s="29" t="str">
        <f t="shared" si="623"/>
        <v>NA</v>
      </c>
      <c r="AH1847" s="29" t="str">
        <f t="shared" si="624"/>
        <v>NA</v>
      </c>
    </row>
    <row r="1848" customHeight="1" spans="1:34">
      <c r="A1848" s="12" t="s">
        <v>1043</v>
      </c>
      <c r="F1848" s="24">
        <f t="shared" si="606"/>
        <v>0</v>
      </c>
      <c r="G1848" s="24" t="e">
        <f t="shared" si="605"/>
        <v>#DIV/0!</v>
      </c>
      <c r="Q1848" s="29" t="str">
        <f t="shared" si="607"/>
        <v>NA</v>
      </c>
      <c r="R1848" s="29" t="str">
        <f t="shared" si="608"/>
        <v>NA</v>
      </c>
      <c r="S1848" s="29" t="str">
        <f t="shared" si="609"/>
        <v>NA</v>
      </c>
      <c r="T1848" s="29" t="str">
        <f t="shared" si="610"/>
        <v>NA</v>
      </c>
      <c r="U1848" s="29" t="str">
        <f t="shared" si="611"/>
        <v>NA</v>
      </c>
      <c r="V1848" s="29" t="str">
        <f t="shared" si="612"/>
        <v>NA</v>
      </c>
      <c r="W1848" s="29" t="str">
        <f t="shared" si="613"/>
        <v>NA</v>
      </c>
      <c r="X1848" s="29" t="str">
        <f t="shared" si="614"/>
        <v>NA</v>
      </c>
      <c r="Y1848" s="29" t="str">
        <f t="shared" si="615"/>
        <v>NA</v>
      </c>
      <c r="Z1848" s="29" t="str">
        <f t="shared" si="616"/>
        <v>NA</v>
      </c>
      <c r="AA1848" s="29" t="str">
        <f t="shared" si="617"/>
        <v>NA</v>
      </c>
      <c r="AB1848" s="29" t="str">
        <f t="shared" si="618"/>
        <v>NA</v>
      </c>
      <c r="AC1848" s="29" t="str">
        <f t="shared" si="619"/>
        <v>NA</v>
      </c>
      <c r="AD1848" s="29" t="str">
        <f t="shared" si="620"/>
        <v>NA</v>
      </c>
      <c r="AE1848" s="29" t="str">
        <f t="shared" si="621"/>
        <v>NA</v>
      </c>
      <c r="AF1848" s="29" t="str">
        <f t="shared" si="622"/>
        <v>NA</v>
      </c>
      <c r="AG1848" s="29" t="str">
        <f t="shared" si="623"/>
        <v>NA</v>
      </c>
      <c r="AH1848" s="29" t="str">
        <f t="shared" si="624"/>
        <v>NA</v>
      </c>
    </row>
    <row r="1849" customHeight="1" spans="1:34">
      <c r="A1849" s="12" t="s">
        <v>1043</v>
      </c>
      <c r="F1849" s="24">
        <f t="shared" si="606"/>
        <v>0</v>
      </c>
      <c r="G1849" s="24" t="e">
        <f t="shared" si="605"/>
        <v>#DIV/0!</v>
      </c>
      <c r="Q1849" s="29" t="str">
        <f t="shared" si="607"/>
        <v>NA</v>
      </c>
      <c r="R1849" s="29" t="str">
        <f t="shared" si="608"/>
        <v>NA</v>
      </c>
      <c r="S1849" s="29" t="str">
        <f t="shared" si="609"/>
        <v>NA</v>
      </c>
      <c r="T1849" s="29" t="str">
        <f t="shared" si="610"/>
        <v>NA</v>
      </c>
      <c r="U1849" s="29" t="str">
        <f t="shared" si="611"/>
        <v>NA</v>
      </c>
      <c r="V1849" s="29" t="str">
        <f t="shared" si="612"/>
        <v>NA</v>
      </c>
      <c r="W1849" s="29" t="str">
        <f t="shared" si="613"/>
        <v>NA</v>
      </c>
      <c r="X1849" s="29" t="str">
        <f t="shared" si="614"/>
        <v>NA</v>
      </c>
      <c r="Y1849" s="29" t="str">
        <f t="shared" si="615"/>
        <v>NA</v>
      </c>
      <c r="Z1849" s="29" t="str">
        <f t="shared" si="616"/>
        <v>NA</v>
      </c>
      <c r="AA1849" s="29" t="str">
        <f t="shared" si="617"/>
        <v>NA</v>
      </c>
      <c r="AB1849" s="29" t="str">
        <f t="shared" si="618"/>
        <v>NA</v>
      </c>
      <c r="AC1849" s="29" t="str">
        <f t="shared" si="619"/>
        <v>NA</v>
      </c>
      <c r="AD1849" s="29" t="str">
        <f t="shared" si="620"/>
        <v>NA</v>
      </c>
      <c r="AE1849" s="29" t="str">
        <f t="shared" si="621"/>
        <v>NA</v>
      </c>
      <c r="AF1849" s="29" t="str">
        <f t="shared" si="622"/>
        <v>NA</v>
      </c>
      <c r="AG1849" s="29" t="str">
        <f t="shared" si="623"/>
        <v>NA</v>
      </c>
      <c r="AH1849" s="29" t="str">
        <f t="shared" si="624"/>
        <v>NA</v>
      </c>
    </row>
    <row r="1850" customHeight="1" spans="1:34">
      <c r="A1850" s="12" t="s">
        <v>1043</v>
      </c>
      <c r="F1850" s="24">
        <f t="shared" si="606"/>
        <v>0</v>
      </c>
      <c r="G1850" s="24" t="e">
        <f t="shared" si="605"/>
        <v>#DIV/0!</v>
      </c>
      <c r="Q1850" s="29" t="str">
        <f t="shared" si="607"/>
        <v>NA</v>
      </c>
      <c r="R1850" s="29" t="str">
        <f t="shared" si="608"/>
        <v>NA</v>
      </c>
      <c r="S1850" s="29" t="str">
        <f t="shared" si="609"/>
        <v>NA</v>
      </c>
      <c r="T1850" s="29" t="str">
        <f t="shared" si="610"/>
        <v>NA</v>
      </c>
      <c r="U1850" s="29" t="str">
        <f t="shared" si="611"/>
        <v>NA</v>
      </c>
      <c r="V1850" s="29" t="str">
        <f t="shared" si="612"/>
        <v>NA</v>
      </c>
      <c r="W1850" s="29" t="str">
        <f t="shared" si="613"/>
        <v>NA</v>
      </c>
      <c r="X1850" s="29" t="str">
        <f t="shared" si="614"/>
        <v>NA</v>
      </c>
      <c r="Y1850" s="29" t="str">
        <f t="shared" si="615"/>
        <v>NA</v>
      </c>
      <c r="Z1850" s="29" t="str">
        <f t="shared" si="616"/>
        <v>NA</v>
      </c>
      <c r="AA1850" s="29" t="str">
        <f t="shared" si="617"/>
        <v>NA</v>
      </c>
      <c r="AB1850" s="29" t="str">
        <f t="shared" si="618"/>
        <v>NA</v>
      </c>
      <c r="AC1850" s="29" t="str">
        <f t="shared" si="619"/>
        <v>NA</v>
      </c>
      <c r="AD1850" s="29" t="str">
        <f t="shared" si="620"/>
        <v>NA</v>
      </c>
      <c r="AE1850" s="29" t="str">
        <f t="shared" si="621"/>
        <v>NA</v>
      </c>
      <c r="AF1850" s="29" t="str">
        <f t="shared" si="622"/>
        <v>NA</v>
      </c>
      <c r="AG1850" s="29" t="str">
        <f t="shared" si="623"/>
        <v>NA</v>
      </c>
      <c r="AH1850" s="29" t="str">
        <f t="shared" si="624"/>
        <v>NA</v>
      </c>
    </row>
    <row r="1851" customHeight="1" spans="1:34">
      <c r="A1851" s="12" t="s">
        <v>1043</v>
      </c>
      <c r="F1851" s="24">
        <f t="shared" si="606"/>
        <v>0</v>
      </c>
      <c r="G1851" s="24" t="e">
        <f t="shared" si="605"/>
        <v>#DIV/0!</v>
      </c>
      <c r="Q1851" s="29" t="str">
        <f t="shared" si="607"/>
        <v>NA</v>
      </c>
      <c r="R1851" s="29" t="str">
        <f t="shared" si="608"/>
        <v>NA</v>
      </c>
      <c r="S1851" s="29" t="str">
        <f t="shared" si="609"/>
        <v>NA</v>
      </c>
      <c r="T1851" s="29" t="str">
        <f t="shared" si="610"/>
        <v>NA</v>
      </c>
      <c r="U1851" s="29" t="str">
        <f t="shared" si="611"/>
        <v>NA</v>
      </c>
      <c r="V1851" s="29" t="str">
        <f t="shared" si="612"/>
        <v>NA</v>
      </c>
      <c r="W1851" s="29" t="str">
        <f t="shared" si="613"/>
        <v>NA</v>
      </c>
      <c r="X1851" s="29" t="str">
        <f t="shared" si="614"/>
        <v>NA</v>
      </c>
      <c r="Y1851" s="29" t="str">
        <f t="shared" si="615"/>
        <v>NA</v>
      </c>
      <c r="Z1851" s="29" t="str">
        <f t="shared" si="616"/>
        <v>NA</v>
      </c>
      <c r="AA1851" s="29" t="str">
        <f t="shared" si="617"/>
        <v>NA</v>
      </c>
      <c r="AB1851" s="29" t="str">
        <f t="shared" si="618"/>
        <v>NA</v>
      </c>
      <c r="AC1851" s="29" t="str">
        <f t="shared" si="619"/>
        <v>NA</v>
      </c>
      <c r="AD1851" s="29" t="str">
        <f t="shared" si="620"/>
        <v>NA</v>
      </c>
      <c r="AE1851" s="29" t="str">
        <f t="shared" si="621"/>
        <v>NA</v>
      </c>
      <c r="AF1851" s="29" t="str">
        <f t="shared" si="622"/>
        <v>NA</v>
      </c>
      <c r="AG1851" s="29" t="str">
        <f t="shared" si="623"/>
        <v>NA</v>
      </c>
      <c r="AH1851" s="29" t="str">
        <f t="shared" si="624"/>
        <v>NA</v>
      </c>
    </row>
    <row r="1852" customHeight="1" spans="1:34">
      <c r="A1852" s="12" t="s">
        <v>1043</v>
      </c>
      <c r="F1852" s="24">
        <f t="shared" si="606"/>
        <v>0</v>
      </c>
      <c r="G1852" s="24" t="e">
        <f t="shared" si="605"/>
        <v>#DIV/0!</v>
      </c>
      <c r="Q1852" s="29" t="str">
        <f t="shared" si="607"/>
        <v>NA</v>
      </c>
      <c r="R1852" s="29" t="str">
        <f t="shared" si="608"/>
        <v>NA</v>
      </c>
      <c r="S1852" s="29" t="str">
        <f t="shared" si="609"/>
        <v>NA</v>
      </c>
      <c r="T1852" s="29" t="str">
        <f t="shared" si="610"/>
        <v>NA</v>
      </c>
      <c r="U1852" s="29" t="str">
        <f t="shared" si="611"/>
        <v>NA</v>
      </c>
      <c r="V1852" s="29" t="str">
        <f t="shared" si="612"/>
        <v>NA</v>
      </c>
      <c r="W1852" s="29" t="str">
        <f t="shared" si="613"/>
        <v>NA</v>
      </c>
      <c r="X1852" s="29" t="str">
        <f t="shared" si="614"/>
        <v>NA</v>
      </c>
      <c r="Y1852" s="29" t="str">
        <f t="shared" si="615"/>
        <v>NA</v>
      </c>
      <c r="Z1852" s="29" t="str">
        <f t="shared" si="616"/>
        <v>NA</v>
      </c>
      <c r="AA1852" s="29" t="str">
        <f t="shared" si="617"/>
        <v>NA</v>
      </c>
      <c r="AB1852" s="29" t="str">
        <f t="shared" si="618"/>
        <v>NA</v>
      </c>
      <c r="AC1852" s="29" t="str">
        <f t="shared" si="619"/>
        <v>NA</v>
      </c>
      <c r="AD1852" s="29" t="str">
        <f t="shared" si="620"/>
        <v>NA</v>
      </c>
      <c r="AE1852" s="29" t="str">
        <f t="shared" si="621"/>
        <v>NA</v>
      </c>
      <c r="AF1852" s="29" t="str">
        <f t="shared" si="622"/>
        <v>NA</v>
      </c>
      <c r="AG1852" s="29" t="str">
        <f t="shared" si="623"/>
        <v>NA</v>
      </c>
      <c r="AH1852" s="29" t="str">
        <f t="shared" si="624"/>
        <v>NA</v>
      </c>
    </row>
    <row r="1853" customHeight="1" spans="1:34">
      <c r="A1853" s="12" t="s">
        <v>1043</v>
      </c>
      <c r="F1853" s="24">
        <f t="shared" si="606"/>
        <v>0</v>
      </c>
      <c r="G1853" s="24" t="e">
        <f t="shared" si="605"/>
        <v>#DIV/0!</v>
      </c>
      <c r="Q1853" s="29" t="str">
        <f t="shared" si="607"/>
        <v>NA</v>
      </c>
      <c r="R1853" s="29" t="str">
        <f t="shared" si="608"/>
        <v>NA</v>
      </c>
      <c r="S1853" s="29" t="str">
        <f t="shared" si="609"/>
        <v>NA</v>
      </c>
      <c r="T1853" s="29" t="str">
        <f t="shared" si="610"/>
        <v>NA</v>
      </c>
      <c r="U1853" s="29" t="str">
        <f t="shared" si="611"/>
        <v>NA</v>
      </c>
      <c r="V1853" s="29" t="str">
        <f t="shared" si="612"/>
        <v>NA</v>
      </c>
      <c r="W1853" s="29" t="str">
        <f t="shared" si="613"/>
        <v>NA</v>
      </c>
      <c r="X1853" s="29" t="str">
        <f t="shared" si="614"/>
        <v>NA</v>
      </c>
      <c r="Y1853" s="29" t="str">
        <f t="shared" si="615"/>
        <v>NA</v>
      </c>
      <c r="Z1853" s="29" t="str">
        <f t="shared" si="616"/>
        <v>NA</v>
      </c>
      <c r="AA1853" s="29" t="str">
        <f t="shared" si="617"/>
        <v>NA</v>
      </c>
      <c r="AB1853" s="29" t="str">
        <f t="shared" si="618"/>
        <v>NA</v>
      </c>
      <c r="AC1853" s="29" t="str">
        <f t="shared" si="619"/>
        <v>NA</v>
      </c>
      <c r="AD1853" s="29" t="str">
        <f t="shared" si="620"/>
        <v>NA</v>
      </c>
      <c r="AE1853" s="29" t="str">
        <f t="shared" si="621"/>
        <v>NA</v>
      </c>
      <c r="AF1853" s="29" t="str">
        <f t="shared" si="622"/>
        <v>NA</v>
      </c>
      <c r="AG1853" s="29" t="str">
        <f t="shared" si="623"/>
        <v>NA</v>
      </c>
      <c r="AH1853" s="29" t="str">
        <f t="shared" si="624"/>
        <v>NA</v>
      </c>
    </row>
    <row r="1854" customHeight="1" spans="1:34">
      <c r="A1854" s="12" t="s">
        <v>1043</v>
      </c>
      <c r="F1854" s="24">
        <f t="shared" si="606"/>
        <v>0</v>
      </c>
      <c r="G1854" s="24" t="e">
        <f t="shared" si="605"/>
        <v>#DIV/0!</v>
      </c>
      <c r="Q1854" s="29" t="str">
        <f t="shared" si="607"/>
        <v>NA</v>
      </c>
      <c r="R1854" s="29" t="str">
        <f t="shared" si="608"/>
        <v>NA</v>
      </c>
      <c r="S1854" s="29" t="str">
        <f t="shared" si="609"/>
        <v>NA</v>
      </c>
      <c r="T1854" s="29" t="str">
        <f t="shared" si="610"/>
        <v>NA</v>
      </c>
      <c r="U1854" s="29" t="str">
        <f t="shared" si="611"/>
        <v>NA</v>
      </c>
      <c r="V1854" s="29" t="str">
        <f t="shared" si="612"/>
        <v>NA</v>
      </c>
      <c r="W1854" s="29" t="str">
        <f t="shared" si="613"/>
        <v>NA</v>
      </c>
      <c r="X1854" s="29" t="str">
        <f t="shared" si="614"/>
        <v>NA</v>
      </c>
      <c r="Y1854" s="29" t="str">
        <f t="shared" si="615"/>
        <v>NA</v>
      </c>
      <c r="Z1854" s="29" t="str">
        <f t="shared" si="616"/>
        <v>NA</v>
      </c>
      <c r="AA1854" s="29" t="str">
        <f t="shared" si="617"/>
        <v>NA</v>
      </c>
      <c r="AB1854" s="29" t="str">
        <f t="shared" si="618"/>
        <v>NA</v>
      </c>
      <c r="AC1854" s="29" t="str">
        <f t="shared" si="619"/>
        <v>NA</v>
      </c>
      <c r="AD1854" s="29" t="str">
        <f t="shared" si="620"/>
        <v>NA</v>
      </c>
      <c r="AE1854" s="29" t="str">
        <f t="shared" si="621"/>
        <v>NA</v>
      </c>
      <c r="AF1854" s="29" t="str">
        <f t="shared" si="622"/>
        <v>NA</v>
      </c>
      <c r="AG1854" s="29" t="str">
        <f t="shared" si="623"/>
        <v>NA</v>
      </c>
      <c r="AH1854" s="29" t="str">
        <f t="shared" si="624"/>
        <v>NA</v>
      </c>
    </row>
    <row r="1855" customHeight="1" spans="1:34">
      <c r="A1855" s="12" t="s">
        <v>1043</v>
      </c>
      <c r="F1855" s="24">
        <f t="shared" si="606"/>
        <v>0</v>
      </c>
      <c r="G1855" s="24" t="e">
        <f t="shared" si="605"/>
        <v>#DIV/0!</v>
      </c>
      <c r="Q1855" s="29" t="str">
        <f t="shared" si="607"/>
        <v>NA</v>
      </c>
      <c r="R1855" s="29" t="str">
        <f t="shared" si="608"/>
        <v>NA</v>
      </c>
      <c r="S1855" s="29" t="str">
        <f t="shared" si="609"/>
        <v>NA</v>
      </c>
      <c r="T1855" s="29" t="str">
        <f t="shared" si="610"/>
        <v>NA</v>
      </c>
      <c r="U1855" s="29" t="str">
        <f t="shared" si="611"/>
        <v>NA</v>
      </c>
      <c r="V1855" s="29" t="str">
        <f t="shared" si="612"/>
        <v>NA</v>
      </c>
      <c r="W1855" s="29" t="str">
        <f t="shared" si="613"/>
        <v>NA</v>
      </c>
      <c r="X1855" s="29" t="str">
        <f t="shared" si="614"/>
        <v>NA</v>
      </c>
      <c r="Y1855" s="29" t="str">
        <f t="shared" si="615"/>
        <v>NA</v>
      </c>
      <c r="Z1855" s="29" t="str">
        <f t="shared" si="616"/>
        <v>NA</v>
      </c>
      <c r="AA1855" s="29" t="str">
        <f t="shared" si="617"/>
        <v>NA</v>
      </c>
      <c r="AB1855" s="29" t="str">
        <f t="shared" si="618"/>
        <v>NA</v>
      </c>
      <c r="AC1855" s="29" t="str">
        <f t="shared" si="619"/>
        <v>NA</v>
      </c>
      <c r="AD1855" s="29" t="str">
        <f t="shared" si="620"/>
        <v>NA</v>
      </c>
      <c r="AE1855" s="29" t="str">
        <f t="shared" si="621"/>
        <v>NA</v>
      </c>
      <c r="AF1855" s="29" t="str">
        <f t="shared" si="622"/>
        <v>NA</v>
      </c>
      <c r="AG1855" s="29" t="str">
        <f t="shared" si="623"/>
        <v>NA</v>
      </c>
      <c r="AH1855" s="29" t="str">
        <f t="shared" si="624"/>
        <v>NA</v>
      </c>
    </row>
    <row r="1856" customHeight="1" spans="1:34">
      <c r="A1856" s="12" t="s">
        <v>1043</v>
      </c>
      <c r="F1856" s="24">
        <f t="shared" si="606"/>
        <v>0</v>
      </c>
      <c r="G1856" s="24" t="e">
        <f t="shared" si="605"/>
        <v>#DIV/0!</v>
      </c>
      <c r="Q1856" s="29" t="str">
        <f t="shared" si="607"/>
        <v>NA</v>
      </c>
      <c r="R1856" s="29" t="str">
        <f t="shared" si="608"/>
        <v>NA</v>
      </c>
      <c r="S1856" s="29" t="str">
        <f t="shared" si="609"/>
        <v>NA</v>
      </c>
      <c r="T1856" s="29" t="str">
        <f t="shared" si="610"/>
        <v>NA</v>
      </c>
      <c r="U1856" s="29" t="str">
        <f t="shared" si="611"/>
        <v>NA</v>
      </c>
      <c r="V1856" s="29" t="str">
        <f t="shared" si="612"/>
        <v>NA</v>
      </c>
      <c r="W1856" s="29" t="str">
        <f t="shared" si="613"/>
        <v>NA</v>
      </c>
      <c r="X1856" s="29" t="str">
        <f t="shared" si="614"/>
        <v>NA</v>
      </c>
      <c r="Y1856" s="29" t="str">
        <f t="shared" si="615"/>
        <v>NA</v>
      </c>
      <c r="Z1856" s="29" t="str">
        <f t="shared" si="616"/>
        <v>NA</v>
      </c>
      <c r="AA1856" s="29" t="str">
        <f t="shared" si="617"/>
        <v>NA</v>
      </c>
      <c r="AB1856" s="29" t="str">
        <f t="shared" si="618"/>
        <v>NA</v>
      </c>
      <c r="AC1856" s="29" t="str">
        <f t="shared" si="619"/>
        <v>NA</v>
      </c>
      <c r="AD1856" s="29" t="str">
        <f t="shared" si="620"/>
        <v>NA</v>
      </c>
      <c r="AE1856" s="29" t="str">
        <f t="shared" si="621"/>
        <v>NA</v>
      </c>
      <c r="AF1856" s="29" t="str">
        <f t="shared" si="622"/>
        <v>NA</v>
      </c>
      <c r="AG1856" s="29" t="str">
        <f t="shared" si="623"/>
        <v>NA</v>
      </c>
      <c r="AH1856" s="29" t="str">
        <f t="shared" si="624"/>
        <v>NA</v>
      </c>
    </row>
    <row r="1857" customHeight="1" spans="1:34">
      <c r="A1857" s="12" t="s">
        <v>1043</v>
      </c>
      <c r="F1857" s="24">
        <f t="shared" si="606"/>
        <v>0</v>
      </c>
      <c r="G1857" s="24" t="e">
        <f t="shared" si="605"/>
        <v>#DIV/0!</v>
      </c>
      <c r="Q1857" s="29" t="str">
        <f t="shared" si="607"/>
        <v>NA</v>
      </c>
      <c r="R1857" s="29" t="str">
        <f t="shared" si="608"/>
        <v>NA</v>
      </c>
      <c r="S1857" s="29" t="str">
        <f t="shared" si="609"/>
        <v>NA</v>
      </c>
      <c r="T1857" s="29" t="str">
        <f t="shared" si="610"/>
        <v>NA</v>
      </c>
      <c r="U1857" s="29" t="str">
        <f t="shared" si="611"/>
        <v>NA</v>
      </c>
      <c r="V1857" s="29" t="str">
        <f t="shared" si="612"/>
        <v>NA</v>
      </c>
      <c r="W1857" s="29" t="str">
        <f t="shared" si="613"/>
        <v>NA</v>
      </c>
      <c r="X1857" s="29" t="str">
        <f t="shared" si="614"/>
        <v>NA</v>
      </c>
      <c r="Y1857" s="29" t="str">
        <f t="shared" si="615"/>
        <v>NA</v>
      </c>
      <c r="Z1857" s="29" t="str">
        <f t="shared" si="616"/>
        <v>NA</v>
      </c>
      <c r="AA1857" s="29" t="str">
        <f t="shared" si="617"/>
        <v>NA</v>
      </c>
      <c r="AB1857" s="29" t="str">
        <f t="shared" si="618"/>
        <v>NA</v>
      </c>
      <c r="AC1857" s="29" t="str">
        <f t="shared" si="619"/>
        <v>NA</v>
      </c>
      <c r="AD1857" s="29" t="str">
        <f t="shared" si="620"/>
        <v>NA</v>
      </c>
      <c r="AE1857" s="29" t="str">
        <f t="shared" si="621"/>
        <v>NA</v>
      </c>
      <c r="AF1857" s="29" t="str">
        <f t="shared" si="622"/>
        <v>NA</v>
      </c>
      <c r="AG1857" s="29" t="str">
        <f t="shared" si="623"/>
        <v>NA</v>
      </c>
      <c r="AH1857" s="29" t="str">
        <f t="shared" si="624"/>
        <v>NA</v>
      </c>
    </row>
    <row r="1858" customHeight="1" spans="1:34">
      <c r="A1858" s="12" t="s">
        <v>1043</v>
      </c>
      <c r="F1858" s="24">
        <f t="shared" si="606"/>
        <v>0</v>
      </c>
      <c r="G1858" s="24" t="e">
        <f t="shared" si="605"/>
        <v>#DIV/0!</v>
      </c>
      <c r="Q1858" s="29" t="str">
        <f t="shared" si="607"/>
        <v>NA</v>
      </c>
      <c r="R1858" s="29" t="str">
        <f t="shared" si="608"/>
        <v>NA</v>
      </c>
      <c r="S1858" s="29" t="str">
        <f t="shared" si="609"/>
        <v>NA</v>
      </c>
      <c r="T1858" s="29" t="str">
        <f t="shared" si="610"/>
        <v>NA</v>
      </c>
      <c r="U1858" s="29" t="str">
        <f t="shared" si="611"/>
        <v>NA</v>
      </c>
      <c r="V1858" s="29" t="str">
        <f t="shared" si="612"/>
        <v>NA</v>
      </c>
      <c r="W1858" s="29" t="str">
        <f t="shared" si="613"/>
        <v>NA</v>
      </c>
      <c r="X1858" s="29" t="str">
        <f t="shared" si="614"/>
        <v>NA</v>
      </c>
      <c r="Y1858" s="29" t="str">
        <f t="shared" si="615"/>
        <v>NA</v>
      </c>
      <c r="Z1858" s="29" t="str">
        <f t="shared" si="616"/>
        <v>NA</v>
      </c>
      <c r="AA1858" s="29" t="str">
        <f t="shared" si="617"/>
        <v>NA</v>
      </c>
      <c r="AB1858" s="29" t="str">
        <f t="shared" si="618"/>
        <v>NA</v>
      </c>
      <c r="AC1858" s="29" t="str">
        <f t="shared" si="619"/>
        <v>NA</v>
      </c>
      <c r="AD1858" s="29" t="str">
        <f t="shared" si="620"/>
        <v>NA</v>
      </c>
      <c r="AE1858" s="29" t="str">
        <f t="shared" si="621"/>
        <v>NA</v>
      </c>
      <c r="AF1858" s="29" t="str">
        <f t="shared" si="622"/>
        <v>NA</v>
      </c>
      <c r="AG1858" s="29" t="str">
        <f t="shared" si="623"/>
        <v>NA</v>
      </c>
      <c r="AH1858" s="29" t="str">
        <f t="shared" si="624"/>
        <v>NA</v>
      </c>
    </row>
    <row r="1859" customHeight="1" spans="1:34">
      <c r="A1859" s="12" t="s">
        <v>1043</v>
      </c>
      <c r="F1859" s="24">
        <f t="shared" si="606"/>
        <v>0</v>
      </c>
      <c r="G1859" s="24" t="e">
        <f t="shared" si="605"/>
        <v>#DIV/0!</v>
      </c>
      <c r="Q1859" s="29" t="str">
        <f t="shared" si="607"/>
        <v>NA</v>
      </c>
      <c r="R1859" s="29" t="str">
        <f t="shared" si="608"/>
        <v>NA</v>
      </c>
      <c r="S1859" s="29" t="str">
        <f t="shared" si="609"/>
        <v>NA</v>
      </c>
      <c r="T1859" s="29" t="str">
        <f t="shared" si="610"/>
        <v>NA</v>
      </c>
      <c r="U1859" s="29" t="str">
        <f t="shared" si="611"/>
        <v>NA</v>
      </c>
      <c r="V1859" s="29" t="str">
        <f t="shared" si="612"/>
        <v>NA</v>
      </c>
      <c r="W1859" s="29" t="str">
        <f t="shared" si="613"/>
        <v>NA</v>
      </c>
      <c r="X1859" s="29" t="str">
        <f t="shared" si="614"/>
        <v>NA</v>
      </c>
      <c r="Y1859" s="29" t="str">
        <f t="shared" si="615"/>
        <v>NA</v>
      </c>
      <c r="Z1859" s="29" t="str">
        <f t="shared" si="616"/>
        <v>NA</v>
      </c>
      <c r="AA1859" s="29" t="str">
        <f t="shared" si="617"/>
        <v>NA</v>
      </c>
      <c r="AB1859" s="29" t="str">
        <f t="shared" si="618"/>
        <v>NA</v>
      </c>
      <c r="AC1859" s="29" t="str">
        <f t="shared" si="619"/>
        <v>NA</v>
      </c>
      <c r="AD1859" s="29" t="str">
        <f t="shared" si="620"/>
        <v>NA</v>
      </c>
      <c r="AE1859" s="29" t="str">
        <f t="shared" si="621"/>
        <v>NA</v>
      </c>
      <c r="AF1859" s="29" t="str">
        <f t="shared" si="622"/>
        <v>NA</v>
      </c>
      <c r="AG1859" s="29" t="str">
        <f t="shared" si="623"/>
        <v>NA</v>
      </c>
      <c r="AH1859" s="29" t="str">
        <f t="shared" si="624"/>
        <v>NA</v>
      </c>
    </row>
    <row r="1860" customHeight="1" spans="1:34">
      <c r="A1860" s="12" t="s">
        <v>1043</v>
      </c>
      <c r="F1860" s="24">
        <f t="shared" si="606"/>
        <v>0</v>
      </c>
      <c r="G1860" s="24" t="e">
        <f t="shared" si="605"/>
        <v>#DIV/0!</v>
      </c>
      <c r="Q1860" s="29" t="str">
        <f t="shared" si="607"/>
        <v>NA</v>
      </c>
      <c r="R1860" s="29" t="str">
        <f t="shared" si="608"/>
        <v>NA</v>
      </c>
      <c r="S1860" s="29" t="str">
        <f t="shared" si="609"/>
        <v>NA</v>
      </c>
      <c r="T1860" s="29" t="str">
        <f t="shared" si="610"/>
        <v>NA</v>
      </c>
      <c r="U1860" s="29" t="str">
        <f t="shared" si="611"/>
        <v>NA</v>
      </c>
      <c r="V1860" s="29" t="str">
        <f t="shared" si="612"/>
        <v>NA</v>
      </c>
      <c r="W1860" s="29" t="str">
        <f t="shared" si="613"/>
        <v>NA</v>
      </c>
      <c r="X1860" s="29" t="str">
        <f t="shared" si="614"/>
        <v>NA</v>
      </c>
      <c r="Y1860" s="29" t="str">
        <f t="shared" si="615"/>
        <v>NA</v>
      </c>
      <c r="Z1860" s="29" t="str">
        <f t="shared" si="616"/>
        <v>NA</v>
      </c>
      <c r="AA1860" s="29" t="str">
        <f t="shared" si="617"/>
        <v>NA</v>
      </c>
      <c r="AB1860" s="29" t="str">
        <f t="shared" si="618"/>
        <v>NA</v>
      </c>
      <c r="AC1860" s="29" t="str">
        <f t="shared" si="619"/>
        <v>NA</v>
      </c>
      <c r="AD1860" s="29" t="str">
        <f t="shared" si="620"/>
        <v>NA</v>
      </c>
      <c r="AE1860" s="29" t="str">
        <f t="shared" si="621"/>
        <v>NA</v>
      </c>
      <c r="AF1860" s="29" t="str">
        <f t="shared" si="622"/>
        <v>NA</v>
      </c>
      <c r="AG1860" s="29" t="str">
        <f t="shared" si="623"/>
        <v>NA</v>
      </c>
      <c r="AH1860" s="29" t="str">
        <f t="shared" si="624"/>
        <v>NA</v>
      </c>
    </row>
    <row r="1861" customHeight="1" spans="1:34">
      <c r="A1861" s="12" t="s">
        <v>1043</v>
      </c>
      <c r="F1861" s="24">
        <f t="shared" si="606"/>
        <v>0</v>
      </c>
      <c r="G1861" s="24" t="e">
        <f t="shared" ref="G1861:G1924" si="625">B1861*D1861/C1861</f>
        <v>#DIV/0!</v>
      </c>
      <c r="Q1861" s="29" t="str">
        <f t="shared" si="607"/>
        <v>NA</v>
      </c>
      <c r="R1861" s="29" t="str">
        <f t="shared" si="608"/>
        <v>NA</v>
      </c>
      <c r="S1861" s="29" t="str">
        <f t="shared" si="609"/>
        <v>NA</v>
      </c>
      <c r="T1861" s="29" t="str">
        <f t="shared" si="610"/>
        <v>NA</v>
      </c>
      <c r="U1861" s="29" t="str">
        <f t="shared" si="611"/>
        <v>NA</v>
      </c>
      <c r="V1861" s="29" t="str">
        <f t="shared" si="612"/>
        <v>NA</v>
      </c>
      <c r="W1861" s="29" t="str">
        <f t="shared" si="613"/>
        <v>NA</v>
      </c>
      <c r="X1861" s="29" t="str">
        <f t="shared" si="614"/>
        <v>NA</v>
      </c>
      <c r="Y1861" s="29" t="str">
        <f t="shared" si="615"/>
        <v>NA</v>
      </c>
      <c r="Z1861" s="29" t="str">
        <f t="shared" si="616"/>
        <v>NA</v>
      </c>
      <c r="AA1861" s="29" t="str">
        <f t="shared" si="617"/>
        <v>NA</v>
      </c>
      <c r="AB1861" s="29" t="str">
        <f t="shared" si="618"/>
        <v>NA</v>
      </c>
      <c r="AC1861" s="29" t="str">
        <f t="shared" si="619"/>
        <v>NA</v>
      </c>
      <c r="AD1861" s="29" t="str">
        <f t="shared" si="620"/>
        <v>NA</v>
      </c>
      <c r="AE1861" s="29" t="str">
        <f t="shared" si="621"/>
        <v>NA</v>
      </c>
      <c r="AF1861" s="29" t="str">
        <f t="shared" si="622"/>
        <v>NA</v>
      </c>
      <c r="AG1861" s="29" t="str">
        <f t="shared" si="623"/>
        <v>NA</v>
      </c>
      <c r="AH1861" s="29" t="str">
        <f t="shared" si="624"/>
        <v>NA</v>
      </c>
    </row>
    <row r="1862" customHeight="1" spans="1:34">
      <c r="A1862" s="12" t="s">
        <v>1043</v>
      </c>
      <c r="F1862" s="24">
        <f t="shared" ref="F1862:F1925" si="626">+D1862+E1862</f>
        <v>0</v>
      </c>
      <c r="G1862" s="24" t="e">
        <f t="shared" si="625"/>
        <v>#DIV/0!</v>
      </c>
      <c r="Q1862" s="29" t="str">
        <f t="shared" si="607"/>
        <v>NA</v>
      </c>
      <c r="R1862" s="29" t="str">
        <f t="shared" si="608"/>
        <v>NA</v>
      </c>
      <c r="S1862" s="29" t="str">
        <f t="shared" si="609"/>
        <v>NA</v>
      </c>
      <c r="T1862" s="29" t="str">
        <f t="shared" si="610"/>
        <v>NA</v>
      </c>
      <c r="U1862" s="29" t="str">
        <f t="shared" si="611"/>
        <v>NA</v>
      </c>
      <c r="V1862" s="29" t="str">
        <f t="shared" si="612"/>
        <v>NA</v>
      </c>
      <c r="W1862" s="29" t="str">
        <f t="shared" si="613"/>
        <v>NA</v>
      </c>
      <c r="X1862" s="29" t="str">
        <f t="shared" si="614"/>
        <v>NA</v>
      </c>
      <c r="Y1862" s="29" t="str">
        <f t="shared" si="615"/>
        <v>NA</v>
      </c>
      <c r="Z1862" s="29" t="str">
        <f t="shared" si="616"/>
        <v>NA</v>
      </c>
      <c r="AA1862" s="29" t="str">
        <f t="shared" si="617"/>
        <v>NA</v>
      </c>
      <c r="AB1862" s="29" t="str">
        <f t="shared" si="618"/>
        <v>NA</v>
      </c>
      <c r="AC1862" s="29" t="str">
        <f t="shared" si="619"/>
        <v>NA</v>
      </c>
      <c r="AD1862" s="29" t="str">
        <f t="shared" si="620"/>
        <v>NA</v>
      </c>
      <c r="AE1862" s="29" t="str">
        <f t="shared" si="621"/>
        <v>NA</v>
      </c>
      <c r="AF1862" s="29" t="str">
        <f t="shared" si="622"/>
        <v>NA</v>
      </c>
      <c r="AG1862" s="29" t="str">
        <f t="shared" si="623"/>
        <v>NA</v>
      </c>
      <c r="AH1862" s="29" t="str">
        <f t="shared" si="624"/>
        <v>NA</v>
      </c>
    </row>
    <row r="1863" customHeight="1" spans="1:34">
      <c r="A1863" s="12" t="s">
        <v>1043</v>
      </c>
      <c r="F1863" s="24">
        <f t="shared" si="626"/>
        <v>0</v>
      </c>
      <c r="G1863" s="24" t="e">
        <f t="shared" si="625"/>
        <v>#DIV/0!</v>
      </c>
      <c r="Q1863" s="29" t="str">
        <f t="shared" si="607"/>
        <v>NA</v>
      </c>
      <c r="R1863" s="29" t="str">
        <f t="shared" si="608"/>
        <v>NA</v>
      </c>
      <c r="S1863" s="29" t="str">
        <f t="shared" si="609"/>
        <v>NA</v>
      </c>
      <c r="T1863" s="29" t="str">
        <f t="shared" si="610"/>
        <v>NA</v>
      </c>
      <c r="U1863" s="29" t="str">
        <f t="shared" si="611"/>
        <v>NA</v>
      </c>
      <c r="V1863" s="29" t="str">
        <f t="shared" si="612"/>
        <v>NA</v>
      </c>
      <c r="W1863" s="29" t="str">
        <f t="shared" si="613"/>
        <v>NA</v>
      </c>
      <c r="X1863" s="29" t="str">
        <f t="shared" si="614"/>
        <v>NA</v>
      </c>
      <c r="Y1863" s="29" t="str">
        <f t="shared" si="615"/>
        <v>NA</v>
      </c>
      <c r="Z1863" s="29" t="str">
        <f t="shared" si="616"/>
        <v>NA</v>
      </c>
      <c r="AA1863" s="29" t="str">
        <f t="shared" si="617"/>
        <v>NA</v>
      </c>
      <c r="AB1863" s="29" t="str">
        <f t="shared" si="618"/>
        <v>NA</v>
      </c>
      <c r="AC1863" s="29" t="str">
        <f t="shared" si="619"/>
        <v>NA</v>
      </c>
      <c r="AD1863" s="29" t="str">
        <f t="shared" si="620"/>
        <v>NA</v>
      </c>
      <c r="AE1863" s="29" t="str">
        <f t="shared" si="621"/>
        <v>NA</v>
      </c>
      <c r="AF1863" s="29" t="str">
        <f t="shared" si="622"/>
        <v>NA</v>
      </c>
      <c r="AG1863" s="29" t="str">
        <f t="shared" si="623"/>
        <v>NA</v>
      </c>
      <c r="AH1863" s="29" t="str">
        <f t="shared" si="624"/>
        <v>NA</v>
      </c>
    </row>
    <row r="1864" customHeight="1" spans="1:34">
      <c r="A1864" s="12" t="s">
        <v>1043</v>
      </c>
      <c r="F1864" s="24">
        <f t="shared" si="626"/>
        <v>0</v>
      </c>
      <c r="G1864" s="24" t="e">
        <f t="shared" si="625"/>
        <v>#DIV/0!</v>
      </c>
      <c r="Q1864" s="29" t="str">
        <f t="shared" si="607"/>
        <v>NA</v>
      </c>
      <c r="R1864" s="29" t="str">
        <f t="shared" si="608"/>
        <v>NA</v>
      </c>
      <c r="S1864" s="29" t="str">
        <f t="shared" si="609"/>
        <v>NA</v>
      </c>
      <c r="T1864" s="29" t="str">
        <f t="shared" si="610"/>
        <v>NA</v>
      </c>
      <c r="U1864" s="29" t="str">
        <f t="shared" si="611"/>
        <v>NA</v>
      </c>
      <c r="V1864" s="29" t="str">
        <f t="shared" si="612"/>
        <v>NA</v>
      </c>
      <c r="W1864" s="29" t="str">
        <f t="shared" si="613"/>
        <v>NA</v>
      </c>
      <c r="X1864" s="29" t="str">
        <f t="shared" si="614"/>
        <v>NA</v>
      </c>
      <c r="Y1864" s="29" t="str">
        <f t="shared" si="615"/>
        <v>NA</v>
      </c>
      <c r="Z1864" s="29" t="str">
        <f t="shared" si="616"/>
        <v>NA</v>
      </c>
      <c r="AA1864" s="29" t="str">
        <f t="shared" si="617"/>
        <v>NA</v>
      </c>
      <c r="AB1864" s="29" t="str">
        <f t="shared" si="618"/>
        <v>NA</v>
      </c>
      <c r="AC1864" s="29" t="str">
        <f t="shared" si="619"/>
        <v>NA</v>
      </c>
      <c r="AD1864" s="29" t="str">
        <f t="shared" si="620"/>
        <v>NA</v>
      </c>
      <c r="AE1864" s="29" t="str">
        <f t="shared" si="621"/>
        <v>NA</v>
      </c>
      <c r="AF1864" s="29" t="str">
        <f t="shared" si="622"/>
        <v>NA</v>
      </c>
      <c r="AG1864" s="29" t="str">
        <f t="shared" si="623"/>
        <v>NA</v>
      </c>
      <c r="AH1864" s="29" t="str">
        <f t="shared" si="624"/>
        <v>NA</v>
      </c>
    </row>
    <row r="1865" customHeight="1" spans="1:34">
      <c r="A1865" s="12" t="s">
        <v>1043</v>
      </c>
      <c r="F1865" s="24">
        <f t="shared" si="626"/>
        <v>0</v>
      </c>
      <c r="G1865" s="24" t="e">
        <f t="shared" si="625"/>
        <v>#DIV/0!</v>
      </c>
      <c r="Q1865" s="29" t="str">
        <f t="shared" si="607"/>
        <v>NA</v>
      </c>
      <c r="R1865" s="29" t="str">
        <f t="shared" si="608"/>
        <v>NA</v>
      </c>
      <c r="S1865" s="29" t="str">
        <f t="shared" si="609"/>
        <v>NA</v>
      </c>
      <c r="T1865" s="29" t="str">
        <f t="shared" si="610"/>
        <v>NA</v>
      </c>
      <c r="U1865" s="29" t="str">
        <f t="shared" si="611"/>
        <v>NA</v>
      </c>
      <c r="V1865" s="29" t="str">
        <f t="shared" si="612"/>
        <v>NA</v>
      </c>
      <c r="W1865" s="29" t="str">
        <f t="shared" si="613"/>
        <v>NA</v>
      </c>
      <c r="X1865" s="29" t="str">
        <f t="shared" si="614"/>
        <v>NA</v>
      </c>
      <c r="Y1865" s="29" t="str">
        <f t="shared" si="615"/>
        <v>NA</v>
      </c>
      <c r="Z1865" s="29" t="str">
        <f t="shared" si="616"/>
        <v>NA</v>
      </c>
      <c r="AA1865" s="29" t="str">
        <f t="shared" si="617"/>
        <v>NA</v>
      </c>
      <c r="AB1865" s="29" t="str">
        <f t="shared" si="618"/>
        <v>NA</v>
      </c>
      <c r="AC1865" s="29" t="str">
        <f t="shared" si="619"/>
        <v>NA</v>
      </c>
      <c r="AD1865" s="29" t="str">
        <f t="shared" si="620"/>
        <v>NA</v>
      </c>
      <c r="AE1865" s="29" t="str">
        <f t="shared" si="621"/>
        <v>NA</v>
      </c>
      <c r="AF1865" s="29" t="str">
        <f t="shared" si="622"/>
        <v>NA</v>
      </c>
      <c r="AG1865" s="29" t="str">
        <f t="shared" si="623"/>
        <v>NA</v>
      </c>
      <c r="AH1865" s="29" t="str">
        <f t="shared" si="624"/>
        <v>NA</v>
      </c>
    </row>
    <row r="1866" customHeight="1" spans="1:34">
      <c r="A1866" s="12" t="s">
        <v>1043</v>
      </c>
      <c r="F1866" s="24">
        <f t="shared" si="626"/>
        <v>0</v>
      </c>
      <c r="G1866" s="24" t="e">
        <f t="shared" si="625"/>
        <v>#DIV/0!</v>
      </c>
      <c r="Q1866" s="29" t="str">
        <f t="shared" si="607"/>
        <v>NA</v>
      </c>
      <c r="R1866" s="29" t="str">
        <f t="shared" si="608"/>
        <v>NA</v>
      </c>
      <c r="S1866" s="29" t="str">
        <f t="shared" si="609"/>
        <v>NA</v>
      </c>
      <c r="T1866" s="29" t="str">
        <f t="shared" si="610"/>
        <v>NA</v>
      </c>
      <c r="U1866" s="29" t="str">
        <f t="shared" si="611"/>
        <v>NA</v>
      </c>
      <c r="V1866" s="29" t="str">
        <f t="shared" si="612"/>
        <v>NA</v>
      </c>
      <c r="W1866" s="29" t="str">
        <f t="shared" si="613"/>
        <v>NA</v>
      </c>
      <c r="X1866" s="29" t="str">
        <f t="shared" si="614"/>
        <v>NA</v>
      </c>
      <c r="Y1866" s="29" t="str">
        <f t="shared" si="615"/>
        <v>NA</v>
      </c>
      <c r="Z1866" s="29" t="str">
        <f t="shared" si="616"/>
        <v>NA</v>
      </c>
      <c r="AA1866" s="29" t="str">
        <f t="shared" si="617"/>
        <v>NA</v>
      </c>
      <c r="AB1866" s="29" t="str">
        <f t="shared" si="618"/>
        <v>NA</v>
      </c>
      <c r="AC1866" s="29" t="str">
        <f t="shared" si="619"/>
        <v>NA</v>
      </c>
      <c r="AD1866" s="29" t="str">
        <f t="shared" si="620"/>
        <v>NA</v>
      </c>
      <c r="AE1866" s="29" t="str">
        <f t="shared" si="621"/>
        <v>NA</v>
      </c>
      <c r="AF1866" s="29" t="str">
        <f t="shared" si="622"/>
        <v>NA</v>
      </c>
      <c r="AG1866" s="29" t="str">
        <f t="shared" si="623"/>
        <v>NA</v>
      </c>
      <c r="AH1866" s="29" t="str">
        <f t="shared" si="624"/>
        <v>NA</v>
      </c>
    </row>
    <row r="1867" customHeight="1" spans="1:34">
      <c r="A1867" s="12" t="s">
        <v>1043</v>
      </c>
      <c r="F1867" s="24">
        <f t="shared" si="626"/>
        <v>0</v>
      </c>
      <c r="G1867" s="24" t="e">
        <f t="shared" si="625"/>
        <v>#DIV/0!</v>
      </c>
      <c r="Q1867" s="29" t="str">
        <f t="shared" si="607"/>
        <v>NA</v>
      </c>
      <c r="R1867" s="29" t="str">
        <f t="shared" si="608"/>
        <v>NA</v>
      </c>
      <c r="S1867" s="29" t="str">
        <f t="shared" si="609"/>
        <v>NA</v>
      </c>
      <c r="T1867" s="29" t="str">
        <f t="shared" si="610"/>
        <v>NA</v>
      </c>
      <c r="U1867" s="29" t="str">
        <f t="shared" si="611"/>
        <v>NA</v>
      </c>
      <c r="V1867" s="29" t="str">
        <f t="shared" si="612"/>
        <v>NA</v>
      </c>
      <c r="W1867" s="29" t="str">
        <f t="shared" si="613"/>
        <v>NA</v>
      </c>
      <c r="X1867" s="29" t="str">
        <f t="shared" si="614"/>
        <v>NA</v>
      </c>
      <c r="Y1867" s="29" t="str">
        <f t="shared" si="615"/>
        <v>NA</v>
      </c>
      <c r="Z1867" s="29" t="str">
        <f t="shared" si="616"/>
        <v>NA</v>
      </c>
      <c r="AA1867" s="29" t="str">
        <f t="shared" si="617"/>
        <v>NA</v>
      </c>
      <c r="AB1867" s="29" t="str">
        <f t="shared" si="618"/>
        <v>NA</v>
      </c>
      <c r="AC1867" s="29" t="str">
        <f t="shared" si="619"/>
        <v>NA</v>
      </c>
      <c r="AD1867" s="29" t="str">
        <f t="shared" si="620"/>
        <v>NA</v>
      </c>
      <c r="AE1867" s="29" t="str">
        <f t="shared" si="621"/>
        <v>NA</v>
      </c>
      <c r="AF1867" s="29" t="str">
        <f t="shared" si="622"/>
        <v>NA</v>
      </c>
      <c r="AG1867" s="29" t="str">
        <f t="shared" si="623"/>
        <v>NA</v>
      </c>
      <c r="AH1867" s="29" t="str">
        <f t="shared" si="624"/>
        <v>NA</v>
      </c>
    </row>
    <row r="1868" customHeight="1" spans="1:34">
      <c r="A1868" s="12" t="s">
        <v>1043</v>
      </c>
      <c r="F1868" s="24">
        <f t="shared" si="626"/>
        <v>0</v>
      </c>
      <c r="G1868" s="24" t="e">
        <f t="shared" si="625"/>
        <v>#DIV/0!</v>
      </c>
      <c r="Q1868" s="29" t="str">
        <f t="shared" si="607"/>
        <v>NA</v>
      </c>
      <c r="R1868" s="29" t="str">
        <f t="shared" si="608"/>
        <v>NA</v>
      </c>
      <c r="S1868" s="29" t="str">
        <f t="shared" si="609"/>
        <v>NA</v>
      </c>
      <c r="T1868" s="29" t="str">
        <f t="shared" si="610"/>
        <v>NA</v>
      </c>
      <c r="U1868" s="29" t="str">
        <f t="shared" si="611"/>
        <v>NA</v>
      </c>
      <c r="V1868" s="29" t="str">
        <f t="shared" si="612"/>
        <v>NA</v>
      </c>
      <c r="W1868" s="29" t="str">
        <f t="shared" si="613"/>
        <v>NA</v>
      </c>
      <c r="X1868" s="29" t="str">
        <f t="shared" si="614"/>
        <v>NA</v>
      </c>
      <c r="Y1868" s="29" t="str">
        <f t="shared" si="615"/>
        <v>NA</v>
      </c>
      <c r="Z1868" s="29" t="str">
        <f t="shared" si="616"/>
        <v>NA</v>
      </c>
      <c r="AA1868" s="29" t="str">
        <f t="shared" si="617"/>
        <v>NA</v>
      </c>
      <c r="AB1868" s="29" t="str">
        <f t="shared" si="618"/>
        <v>NA</v>
      </c>
      <c r="AC1868" s="29" t="str">
        <f t="shared" si="619"/>
        <v>NA</v>
      </c>
      <c r="AD1868" s="29" t="str">
        <f t="shared" si="620"/>
        <v>NA</v>
      </c>
      <c r="AE1868" s="29" t="str">
        <f t="shared" si="621"/>
        <v>NA</v>
      </c>
      <c r="AF1868" s="29" t="str">
        <f t="shared" si="622"/>
        <v>NA</v>
      </c>
      <c r="AG1868" s="29" t="str">
        <f t="shared" si="623"/>
        <v>NA</v>
      </c>
      <c r="AH1868" s="29" t="str">
        <f t="shared" si="624"/>
        <v>NA</v>
      </c>
    </row>
    <row r="1869" customHeight="1" spans="1:34">
      <c r="A1869" s="12" t="s">
        <v>1043</v>
      </c>
      <c r="F1869" s="24">
        <f t="shared" si="626"/>
        <v>0</v>
      </c>
      <c r="G1869" s="24" t="e">
        <f t="shared" si="625"/>
        <v>#DIV/0!</v>
      </c>
      <c r="Q1869" s="29" t="str">
        <f t="shared" si="607"/>
        <v>NA</v>
      </c>
      <c r="R1869" s="29" t="str">
        <f t="shared" si="608"/>
        <v>NA</v>
      </c>
      <c r="S1869" s="29" t="str">
        <f t="shared" si="609"/>
        <v>NA</v>
      </c>
      <c r="T1869" s="29" t="str">
        <f t="shared" si="610"/>
        <v>NA</v>
      </c>
      <c r="U1869" s="29" t="str">
        <f t="shared" si="611"/>
        <v>NA</v>
      </c>
      <c r="V1869" s="29" t="str">
        <f t="shared" si="612"/>
        <v>NA</v>
      </c>
      <c r="W1869" s="29" t="str">
        <f t="shared" si="613"/>
        <v>NA</v>
      </c>
      <c r="X1869" s="29" t="str">
        <f t="shared" si="614"/>
        <v>NA</v>
      </c>
      <c r="Y1869" s="29" t="str">
        <f t="shared" si="615"/>
        <v>NA</v>
      </c>
      <c r="Z1869" s="29" t="str">
        <f t="shared" si="616"/>
        <v>NA</v>
      </c>
      <c r="AA1869" s="29" t="str">
        <f t="shared" si="617"/>
        <v>NA</v>
      </c>
      <c r="AB1869" s="29" t="str">
        <f t="shared" si="618"/>
        <v>NA</v>
      </c>
      <c r="AC1869" s="29" t="str">
        <f t="shared" si="619"/>
        <v>NA</v>
      </c>
      <c r="AD1869" s="29" t="str">
        <f t="shared" si="620"/>
        <v>NA</v>
      </c>
      <c r="AE1869" s="29" t="str">
        <f t="shared" si="621"/>
        <v>NA</v>
      </c>
      <c r="AF1869" s="29" t="str">
        <f t="shared" si="622"/>
        <v>NA</v>
      </c>
      <c r="AG1869" s="29" t="str">
        <f t="shared" si="623"/>
        <v>NA</v>
      </c>
      <c r="AH1869" s="29" t="str">
        <f t="shared" si="624"/>
        <v>NA</v>
      </c>
    </row>
    <row r="1870" customHeight="1" spans="1:34">
      <c r="A1870" s="12" t="s">
        <v>1043</v>
      </c>
      <c r="F1870" s="24">
        <f t="shared" si="626"/>
        <v>0</v>
      </c>
      <c r="G1870" s="24" t="e">
        <f t="shared" si="625"/>
        <v>#DIV/0!</v>
      </c>
      <c r="Q1870" s="29" t="str">
        <f t="shared" si="607"/>
        <v>NA</v>
      </c>
      <c r="R1870" s="29" t="str">
        <f t="shared" si="608"/>
        <v>NA</v>
      </c>
      <c r="S1870" s="29" t="str">
        <f t="shared" si="609"/>
        <v>NA</v>
      </c>
      <c r="T1870" s="29" t="str">
        <f t="shared" si="610"/>
        <v>NA</v>
      </c>
      <c r="U1870" s="29" t="str">
        <f t="shared" si="611"/>
        <v>NA</v>
      </c>
      <c r="V1870" s="29" t="str">
        <f t="shared" si="612"/>
        <v>NA</v>
      </c>
      <c r="W1870" s="29" t="str">
        <f t="shared" si="613"/>
        <v>NA</v>
      </c>
      <c r="X1870" s="29" t="str">
        <f t="shared" si="614"/>
        <v>NA</v>
      </c>
      <c r="Y1870" s="29" t="str">
        <f t="shared" si="615"/>
        <v>NA</v>
      </c>
      <c r="Z1870" s="29" t="str">
        <f t="shared" si="616"/>
        <v>NA</v>
      </c>
      <c r="AA1870" s="29" t="str">
        <f t="shared" si="617"/>
        <v>NA</v>
      </c>
      <c r="AB1870" s="29" t="str">
        <f t="shared" si="618"/>
        <v>NA</v>
      </c>
      <c r="AC1870" s="29" t="str">
        <f t="shared" si="619"/>
        <v>NA</v>
      </c>
      <c r="AD1870" s="29" t="str">
        <f t="shared" si="620"/>
        <v>NA</v>
      </c>
      <c r="AE1870" s="29" t="str">
        <f t="shared" si="621"/>
        <v>NA</v>
      </c>
      <c r="AF1870" s="29" t="str">
        <f t="shared" si="622"/>
        <v>NA</v>
      </c>
      <c r="AG1870" s="29" t="str">
        <f t="shared" si="623"/>
        <v>NA</v>
      </c>
      <c r="AH1870" s="29" t="str">
        <f t="shared" si="624"/>
        <v>NA</v>
      </c>
    </row>
    <row r="1871" customHeight="1" spans="1:34">
      <c r="A1871" s="12" t="s">
        <v>1043</v>
      </c>
      <c r="F1871" s="24">
        <f t="shared" si="626"/>
        <v>0</v>
      </c>
      <c r="G1871" s="24" t="e">
        <f t="shared" si="625"/>
        <v>#DIV/0!</v>
      </c>
      <c r="Q1871" s="29" t="str">
        <f t="shared" si="607"/>
        <v>NA</v>
      </c>
      <c r="R1871" s="29" t="str">
        <f t="shared" si="608"/>
        <v>NA</v>
      </c>
      <c r="S1871" s="29" t="str">
        <f t="shared" si="609"/>
        <v>NA</v>
      </c>
      <c r="T1871" s="29" t="str">
        <f t="shared" si="610"/>
        <v>NA</v>
      </c>
      <c r="U1871" s="29" t="str">
        <f t="shared" si="611"/>
        <v>NA</v>
      </c>
      <c r="V1871" s="29" t="str">
        <f t="shared" si="612"/>
        <v>NA</v>
      </c>
      <c r="W1871" s="29" t="str">
        <f t="shared" si="613"/>
        <v>NA</v>
      </c>
      <c r="X1871" s="29" t="str">
        <f t="shared" si="614"/>
        <v>NA</v>
      </c>
      <c r="Y1871" s="29" t="str">
        <f t="shared" si="615"/>
        <v>NA</v>
      </c>
      <c r="Z1871" s="29" t="str">
        <f t="shared" si="616"/>
        <v>NA</v>
      </c>
      <c r="AA1871" s="29" t="str">
        <f t="shared" si="617"/>
        <v>NA</v>
      </c>
      <c r="AB1871" s="29" t="str">
        <f t="shared" si="618"/>
        <v>NA</v>
      </c>
      <c r="AC1871" s="29" t="str">
        <f t="shared" si="619"/>
        <v>NA</v>
      </c>
      <c r="AD1871" s="29" t="str">
        <f t="shared" si="620"/>
        <v>NA</v>
      </c>
      <c r="AE1871" s="29" t="str">
        <f t="shared" si="621"/>
        <v>NA</v>
      </c>
      <c r="AF1871" s="29" t="str">
        <f t="shared" si="622"/>
        <v>NA</v>
      </c>
      <c r="AG1871" s="29" t="str">
        <f t="shared" si="623"/>
        <v>NA</v>
      </c>
      <c r="AH1871" s="29" t="str">
        <f t="shared" si="624"/>
        <v>NA</v>
      </c>
    </row>
    <row r="1872" customHeight="1" spans="1:34">
      <c r="A1872" s="12" t="s">
        <v>1043</v>
      </c>
      <c r="F1872" s="24">
        <f t="shared" si="626"/>
        <v>0</v>
      </c>
      <c r="G1872" s="24" t="e">
        <f t="shared" si="625"/>
        <v>#DIV/0!</v>
      </c>
      <c r="Q1872" s="29" t="str">
        <f t="shared" ref="Q1872:Q1935" si="627">IFERROR($B1872*$E1872/H1872,"NA")</f>
        <v>NA</v>
      </c>
      <c r="R1872" s="29" t="str">
        <f t="shared" ref="R1872:R1935" si="628">IFERROR($B1872*$E1872/I1872,"NA")</f>
        <v>NA</v>
      </c>
      <c r="S1872" s="29" t="str">
        <f t="shared" ref="S1872:S1935" si="629">IFERROR($B1872*$E1872/J1872,"NA")</f>
        <v>NA</v>
      </c>
      <c r="T1872" s="29" t="str">
        <f t="shared" ref="T1872:T1935" si="630">IFERROR($B1872*$E1872/K1872,"NA")</f>
        <v>NA</v>
      </c>
      <c r="U1872" s="29" t="str">
        <f t="shared" ref="U1872:U1935" si="631">IFERROR($B1872*$E1872/L1872,"NA")</f>
        <v>NA</v>
      </c>
      <c r="V1872" s="29" t="str">
        <f t="shared" ref="V1872:V1935" si="632">IFERROR($B1872*$E1872/M1872,"NA")</f>
        <v>NA</v>
      </c>
      <c r="W1872" s="29" t="str">
        <f t="shared" ref="W1872:W1935" si="633">IFERROR($B1872*$E1872/N1872,"NA")</f>
        <v>NA</v>
      </c>
      <c r="X1872" s="29" t="str">
        <f t="shared" ref="X1872:X1935" si="634">IFERROR($B1872*$E1872/O1872,"NA")</f>
        <v>NA</v>
      </c>
      <c r="Y1872" s="29" t="str">
        <f t="shared" ref="Y1872:Y1935" si="635">IFERROR($B1872*$E1872/P1872,"NA")</f>
        <v>NA</v>
      </c>
      <c r="Z1872" s="29" t="str">
        <f t="shared" ref="Z1872:Z1935" si="636">IFERROR((($G1872*Z$2/1000)+Q1872)/1,"NA")</f>
        <v>NA</v>
      </c>
      <c r="AA1872" s="29" t="str">
        <f t="shared" ref="AA1872:AA1935" si="637">IFERROR((($G1872*AA$2/1000)+R1872)/1,"NA")</f>
        <v>NA</v>
      </c>
      <c r="AB1872" s="29" t="str">
        <f t="shared" ref="AB1872:AB1935" si="638">IFERROR((($G1872*AB$2/1000)+S1872)/1,"NA")</f>
        <v>NA</v>
      </c>
      <c r="AC1872" s="29" t="str">
        <f t="shared" ref="AC1872:AC1935" si="639">IFERROR((($G1872*AC$2/1000)+T1872)/1,"NA")</f>
        <v>NA</v>
      </c>
      <c r="AD1872" s="29" t="str">
        <f t="shared" ref="AD1872:AD1935" si="640">IFERROR((($G1872*AD$2/1000)+U1872)/1,"NA")</f>
        <v>NA</v>
      </c>
      <c r="AE1872" s="29" t="str">
        <f t="shared" ref="AE1872:AE1935" si="641">IFERROR((($G1872*AE$2/1000)+V1872)/1,"NA")</f>
        <v>NA</v>
      </c>
      <c r="AF1872" s="29" t="str">
        <f t="shared" ref="AF1872:AF1935" si="642">IFERROR((($G1872*AF$2/1000)+W1872)/1,"NA")</f>
        <v>NA</v>
      </c>
      <c r="AG1872" s="29" t="str">
        <f t="shared" ref="AG1872:AG1935" si="643">IFERROR((($G1872*AG$2/1000)+X1872)/1,"NA")</f>
        <v>NA</v>
      </c>
      <c r="AH1872" s="29" t="str">
        <f t="shared" ref="AH1872:AH1935" si="644">IFERROR((($G1872*AH$2/1000)+Y1872)/1,"NA")</f>
        <v>NA</v>
      </c>
    </row>
    <row r="1873" customHeight="1" spans="1:34">
      <c r="A1873" s="12" t="s">
        <v>1043</v>
      </c>
      <c r="F1873" s="24">
        <f t="shared" si="626"/>
        <v>0</v>
      </c>
      <c r="G1873" s="24" t="e">
        <f t="shared" si="625"/>
        <v>#DIV/0!</v>
      </c>
      <c r="Q1873" s="29" t="str">
        <f t="shared" si="627"/>
        <v>NA</v>
      </c>
      <c r="R1873" s="29" t="str">
        <f t="shared" si="628"/>
        <v>NA</v>
      </c>
      <c r="S1873" s="29" t="str">
        <f t="shared" si="629"/>
        <v>NA</v>
      </c>
      <c r="T1873" s="29" t="str">
        <f t="shared" si="630"/>
        <v>NA</v>
      </c>
      <c r="U1873" s="29" t="str">
        <f t="shared" si="631"/>
        <v>NA</v>
      </c>
      <c r="V1873" s="29" t="str">
        <f t="shared" si="632"/>
        <v>NA</v>
      </c>
      <c r="W1873" s="29" t="str">
        <f t="shared" si="633"/>
        <v>NA</v>
      </c>
      <c r="X1873" s="29" t="str">
        <f t="shared" si="634"/>
        <v>NA</v>
      </c>
      <c r="Y1873" s="29" t="str">
        <f t="shared" si="635"/>
        <v>NA</v>
      </c>
      <c r="Z1873" s="29" t="str">
        <f t="shared" si="636"/>
        <v>NA</v>
      </c>
      <c r="AA1873" s="29" t="str">
        <f t="shared" si="637"/>
        <v>NA</v>
      </c>
      <c r="AB1873" s="29" t="str">
        <f t="shared" si="638"/>
        <v>NA</v>
      </c>
      <c r="AC1873" s="29" t="str">
        <f t="shared" si="639"/>
        <v>NA</v>
      </c>
      <c r="AD1873" s="29" t="str">
        <f t="shared" si="640"/>
        <v>NA</v>
      </c>
      <c r="AE1873" s="29" t="str">
        <f t="shared" si="641"/>
        <v>NA</v>
      </c>
      <c r="AF1873" s="29" t="str">
        <f t="shared" si="642"/>
        <v>NA</v>
      </c>
      <c r="AG1873" s="29" t="str">
        <f t="shared" si="643"/>
        <v>NA</v>
      </c>
      <c r="AH1873" s="29" t="str">
        <f t="shared" si="644"/>
        <v>NA</v>
      </c>
    </row>
    <row r="1874" customHeight="1" spans="1:34">
      <c r="A1874" s="12" t="s">
        <v>1043</v>
      </c>
      <c r="F1874" s="24">
        <f t="shared" si="626"/>
        <v>0</v>
      </c>
      <c r="G1874" s="24" t="e">
        <f t="shared" si="625"/>
        <v>#DIV/0!</v>
      </c>
      <c r="Q1874" s="29" t="str">
        <f t="shared" si="627"/>
        <v>NA</v>
      </c>
      <c r="R1874" s="29" t="str">
        <f t="shared" si="628"/>
        <v>NA</v>
      </c>
      <c r="S1874" s="29" t="str">
        <f t="shared" si="629"/>
        <v>NA</v>
      </c>
      <c r="T1874" s="29" t="str">
        <f t="shared" si="630"/>
        <v>NA</v>
      </c>
      <c r="U1874" s="29" t="str">
        <f t="shared" si="631"/>
        <v>NA</v>
      </c>
      <c r="V1874" s="29" t="str">
        <f t="shared" si="632"/>
        <v>NA</v>
      </c>
      <c r="W1874" s="29" t="str">
        <f t="shared" si="633"/>
        <v>NA</v>
      </c>
      <c r="X1874" s="29" t="str">
        <f t="shared" si="634"/>
        <v>NA</v>
      </c>
      <c r="Y1874" s="29" t="str">
        <f t="shared" si="635"/>
        <v>NA</v>
      </c>
      <c r="Z1874" s="29" t="str">
        <f t="shared" si="636"/>
        <v>NA</v>
      </c>
      <c r="AA1874" s="29" t="str">
        <f t="shared" si="637"/>
        <v>NA</v>
      </c>
      <c r="AB1874" s="29" t="str">
        <f t="shared" si="638"/>
        <v>NA</v>
      </c>
      <c r="AC1874" s="29" t="str">
        <f t="shared" si="639"/>
        <v>NA</v>
      </c>
      <c r="AD1874" s="29" t="str">
        <f t="shared" si="640"/>
        <v>NA</v>
      </c>
      <c r="AE1874" s="29" t="str">
        <f t="shared" si="641"/>
        <v>NA</v>
      </c>
      <c r="AF1874" s="29" t="str">
        <f t="shared" si="642"/>
        <v>NA</v>
      </c>
      <c r="AG1874" s="29" t="str">
        <f t="shared" si="643"/>
        <v>NA</v>
      </c>
      <c r="AH1874" s="29" t="str">
        <f t="shared" si="644"/>
        <v>NA</v>
      </c>
    </row>
    <row r="1875" customHeight="1" spans="1:34">
      <c r="A1875" s="12" t="s">
        <v>1043</v>
      </c>
      <c r="F1875" s="24">
        <f t="shared" si="626"/>
        <v>0</v>
      </c>
      <c r="G1875" s="24" t="e">
        <f t="shared" si="625"/>
        <v>#DIV/0!</v>
      </c>
      <c r="Q1875" s="29" t="str">
        <f t="shared" si="627"/>
        <v>NA</v>
      </c>
      <c r="R1875" s="29" t="str">
        <f t="shared" si="628"/>
        <v>NA</v>
      </c>
      <c r="S1875" s="29" t="str">
        <f t="shared" si="629"/>
        <v>NA</v>
      </c>
      <c r="T1875" s="29" t="str">
        <f t="shared" si="630"/>
        <v>NA</v>
      </c>
      <c r="U1875" s="29" t="str">
        <f t="shared" si="631"/>
        <v>NA</v>
      </c>
      <c r="V1875" s="29" t="str">
        <f t="shared" si="632"/>
        <v>NA</v>
      </c>
      <c r="W1875" s="29" t="str">
        <f t="shared" si="633"/>
        <v>NA</v>
      </c>
      <c r="X1875" s="29" t="str">
        <f t="shared" si="634"/>
        <v>NA</v>
      </c>
      <c r="Y1875" s="29" t="str">
        <f t="shared" si="635"/>
        <v>NA</v>
      </c>
      <c r="Z1875" s="29" t="str">
        <f t="shared" si="636"/>
        <v>NA</v>
      </c>
      <c r="AA1875" s="29" t="str">
        <f t="shared" si="637"/>
        <v>NA</v>
      </c>
      <c r="AB1875" s="29" t="str">
        <f t="shared" si="638"/>
        <v>NA</v>
      </c>
      <c r="AC1875" s="29" t="str">
        <f t="shared" si="639"/>
        <v>NA</v>
      </c>
      <c r="AD1875" s="29" t="str">
        <f t="shared" si="640"/>
        <v>NA</v>
      </c>
      <c r="AE1875" s="29" t="str">
        <f t="shared" si="641"/>
        <v>NA</v>
      </c>
      <c r="AF1875" s="29" t="str">
        <f t="shared" si="642"/>
        <v>NA</v>
      </c>
      <c r="AG1875" s="29" t="str">
        <f t="shared" si="643"/>
        <v>NA</v>
      </c>
      <c r="AH1875" s="29" t="str">
        <f t="shared" si="644"/>
        <v>NA</v>
      </c>
    </row>
    <row r="1876" customHeight="1" spans="1:34">
      <c r="A1876" s="12" t="s">
        <v>1043</v>
      </c>
      <c r="F1876" s="24">
        <f t="shared" si="626"/>
        <v>0</v>
      </c>
      <c r="G1876" s="24" t="e">
        <f t="shared" si="625"/>
        <v>#DIV/0!</v>
      </c>
      <c r="Q1876" s="29" t="str">
        <f t="shared" si="627"/>
        <v>NA</v>
      </c>
      <c r="R1876" s="29" t="str">
        <f t="shared" si="628"/>
        <v>NA</v>
      </c>
      <c r="S1876" s="29" t="str">
        <f t="shared" si="629"/>
        <v>NA</v>
      </c>
      <c r="T1876" s="29" t="str">
        <f t="shared" si="630"/>
        <v>NA</v>
      </c>
      <c r="U1876" s="29" t="str">
        <f t="shared" si="631"/>
        <v>NA</v>
      </c>
      <c r="V1876" s="29" t="str">
        <f t="shared" si="632"/>
        <v>NA</v>
      </c>
      <c r="W1876" s="29" t="str">
        <f t="shared" si="633"/>
        <v>NA</v>
      </c>
      <c r="X1876" s="29" t="str">
        <f t="shared" si="634"/>
        <v>NA</v>
      </c>
      <c r="Y1876" s="29" t="str">
        <f t="shared" si="635"/>
        <v>NA</v>
      </c>
      <c r="Z1876" s="29" t="str">
        <f t="shared" si="636"/>
        <v>NA</v>
      </c>
      <c r="AA1876" s="29" t="str">
        <f t="shared" si="637"/>
        <v>NA</v>
      </c>
      <c r="AB1876" s="29" t="str">
        <f t="shared" si="638"/>
        <v>NA</v>
      </c>
      <c r="AC1876" s="29" t="str">
        <f t="shared" si="639"/>
        <v>NA</v>
      </c>
      <c r="AD1876" s="29" t="str">
        <f t="shared" si="640"/>
        <v>NA</v>
      </c>
      <c r="AE1876" s="29" t="str">
        <f t="shared" si="641"/>
        <v>NA</v>
      </c>
      <c r="AF1876" s="29" t="str">
        <f t="shared" si="642"/>
        <v>NA</v>
      </c>
      <c r="AG1876" s="29" t="str">
        <f t="shared" si="643"/>
        <v>NA</v>
      </c>
      <c r="AH1876" s="29" t="str">
        <f t="shared" si="644"/>
        <v>NA</v>
      </c>
    </row>
    <row r="1877" customHeight="1" spans="1:34">
      <c r="A1877" s="12" t="s">
        <v>1043</v>
      </c>
      <c r="F1877" s="24">
        <f t="shared" si="626"/>
        <v>0</v>
      </c>
      <c r="G1877" s="24" t="e">
        <f t="shared" si="625"/>
        <v>#DIV/0!</v>
      </c>
      <c r="Q1877" s="29" t="str">
        <f t="shared" si="627"/>
        <v>NA</v>
      </c>
      <c r="R1877" s="29" t="str">
        <f t="shared" si="628"/>
        <v>NA</v>
      </c>
      <c r="S1877" s="29" t="str">
        <f t="shared" si="629"/>
        <v>NA</v>
      </c>
      <c r="T1877" s="29" t="str">
        <f t="shared" si="630"/>
        <v>NA</v>
      </c>
      <c r="U1877" s="29" t="str">
        <f t="shared" si="631"/>
        <v>NA</v>
      </c>
      <c r="V1877" s="29" t="str">
        <f t="shared" si="632"/>
        <v>NA</v>
      </c>
      <c r="W1877" s="29" t="str">
        <f t="shared" si="633"/>
        <v>NA</v>
      </c>
      <c r="X1877" s="29" t="str">
        <f t="shared" si="634"/>
        <v>NA</v>
      </c>
      <c r="Y1877" s="29" t="str">
        <f t="shared" si="635"/>
        <v>NA</v>
      </c>
      <c r="Z1877" s="29" t="str">
        <f t="shared" si="636"/>
        <v>NA</v>
      </c>
      <c r="AA1877" s="29" t="str">
        <f t="shared" si="637"/>
        <v>NA</v>
      </c>
      <c r="AB1877" s="29" t="str">
        <f t="shared" si="638"/>
        <v>NA</v>
      </c>
      <c r="AC1877" s="29" t="str">
        <f t="shared" si="639"/>
        <v>NA</v>
      </c>
      <c r="AD1877" s="29" t="str">
        <f t="shared" si="640"/>
        <v>NA</v>
      </c>
      <c r="AE1877" s="29" t="str">
        <f t="shared" si="641"/>
        <v>NA</v>
      </c>
      <c r="AF1877" s="29" t="str">
        <f t="shared" si="642"/>
        <v>NA</v>
      </c>
      <c r="AG1877" s="29" t="str">
        <f t="shared" si="643"/>
        <v>NA</v>
      </c>
      <c r="AH1877" s="29" t="str">
        <f t="shared" si="644"/>
        <v>NA</v>
      </c>
    </row>
    <row r="1878" customHeight="1" spans="1:34">
      <c r="A1878" s="12" t="s">
        <v>1043</v>
      </c>
      <c r="F1878" s="24">
        <f t="shared" si="626"/>
        <v>0</v>
      </c>
      <c r="G1878" s="24" t="e">
        <f t="shared" si="625"/>
        <v>#DIV/0!</v>
      </c>
      <c r="Q1878" s="29" t="str">
        <f t="shared" si="627"/>
        <v>NA</v>
      </c>
      <c r="R1878" s="29" t="str">
        <f t="shared" si="628"/>
        <v>NA</v>
      </c>
      <c r="S1878" s="29" t="str">
        <f t="shared" si="629"/>
        <v>NA</v>
      </c>
      <c r="T1878" s="29" t="str">
        <f t="shared" si="630"/>
        <v>NA</v>
      </c>
      <c r="U1878" s="29" t="str">
        <f t="shared" si="631"/>
        <v>NA</v>
      </c>
      <c r="V1878" s="29" t="str">
        <f t="shared" si="632"/>
        <v>NA</v>
      </c>
      <c r="W1878" s="29" t="str">
        <f t="shared" si="633"/>
        <v>NA</v>
      </c>
      <c r="X1878" s="29" t="str">
        <f t="shared" si="634"/>
        <v>NA</v>
      </c>
      <c r="Y1878" s="29" t="str">
        <f t="shared" si="635"/>
        <v>NA</v>
      </c>
      <c r="Z1878" s="29" t="str">
        <f t="shared" si="636"/>
        <v>NA</v>
      </c>
      <c r="AA1878" s="29" t="str">
        <f t="shared" si="637"/>
        <v>NA</v>
      </c>
      <c r="AB1878" s="29" t="str">
        <f t="shared" si="638"/>
        <v>NA</v>
      </c>
      <c r="AC1878" s="29" t="str">
        <f t="shared" si="639"/>
        <v>NA</v>
      </c>
      <c r="AD1878" s="29" t="str">
        <f t="shared" si="640"/>
        <v>NA</v>
      </c>
      <c r="AE1878" s="29" t="str">
        <f t="shared" si="641"/>
        <v>NA</v>
      </c>
      <c r="AF1878" s="29" t="str">
        <f t="shared" si="642"/>
        <v>NA</v>
      </c>
      <c r="AG1878" s="29" t="str">
        <f t="shared" si="643"/>
        <v>NA</v>
      </c>
      <c r="AH1878" s="29" t="str">
        <f t="shared" si="644"/>
        <v>NA</v>
      </c>
    </row>
    <row r="1879" customHeight="1" spans="1:34">
      <c r="A1879" s="12" t="s">
        <v>1043</v>
      </c>
      <c r="F1879" s="24">
        <f t="shared" si="626"/>
        <v>0</v>
      </c>
      <c r="G1879" s="24" t="e">
        <f t="shared" si="625"/>
        <v>#DIV/0!</v>
      </c>
      <c r="Q1879" s="29" t="str">
        <f t="shared" si="627"/>
        <v>NA</v>
      </c>
      <c r="R1879" s="29" t="str">
        <f t="shared" si="628"/>
        <v>NA</v>
      </c>
      <c r="S1879" s="29" t="str">
        <f t="shared" si="629"/>
        <v>NA</v>
      </c>
      <c r="T1879" s="29" t="str">
        <f t="shared" si="630"/>
        <v>NA</v>
      </c>
      <c r="U1879" s="29" t="str">
        <f t="shared" si="631"/>
        <v>NA</v>
      </c>
      <c r="V1879" s="29" t="str">
        <f t="shared" si="632"/>
        <v>NA</v>
      </c>
      <c r="W1879" s="29" t="str">
        <f t="shared" si="633"/>
        <v>NA</v>
      </c>
      <c r="X1879" s="29" t="str">
        <f t="shared" si="634"/>
        <v>NA</v>
      </c>
      <c r="Y1879" s="29" t="str">
        <f t="shared" si="635"/>
        <v>NA</v>
      </c>
      <c r="Z1879" s="29" t="str">
        <f t="shared" si="636"/>
        <v>NA</v>
      </c>
      <c r="AA1879" s="29" t="str">
        <f t="shared" si="637"/>
        <v>NA</v>
      </c>
      <c r="AB1879" s="29" t="str">
        <f t="shared" si="638"/>
        <v>NA</v>
      </c>
      <c r="AC1879" s="29" t="str">
        <f t="shared" si="639"/>
        <v>NA</v>
      </c>
      <c r="AD1879" s="29" t="str">
        <f t="shared" si="640"/>
        <v>NA</v>
      </c>
      <c r="AE1879" s="29" t="str">
        <f t="shared" si="641"/>
        <v>NA</v>
      </c>
      <c r="AF1879" s="29" t="str">
        <f t="shared" si="642"/>
        <v>NA</v>
      </c>
      <c r="AG1879" s="29" t="str">
        <f t="shared" si="643"/>
        <v>NA</v>
      </c>
      <c r="AH1879" s="29" t="str">
        <f t="shared" si="644"/>
        <v>NA</v>
      </c>
    </row>
    <row r="1880" customHeight="1" spans="1:34">
      <c r="A1880" s="12" t="s">
        <v>1043</v>
      </c>
      <c r="F1880" s="24">
        <f t="shared" si="626"/>
        <v>0</v>
      </c>
      <c r="G1880" s="24" t="e">
        <f t="shared" si="625"/>
        <v>#DIV/0!</v>
      </c>
      <c r="Q1880" s="29" t="str">
        <f t="shared" si="627"/>
        <v>NA</v>
      </c>
      <c r="R1880" s="29" t="str">
        <f t="shared" si="628"/>
        <v>NA</v>
      </c>
      <c r="S1880" s="29" t="str">
        <f t="shared" si="629"/>
        <v>NA</v>
      </c>
      <c r="T1880" s="29" t="str">
        <f t="shared" si="630"/>
        <v>NA</v>
      </c>
      <c r="U1880" s="29" t="str">
        <f t="shared" si="631"/>
        <v>NA</v>
      </c>
      <c r="V1880" s="29" t="str">
        <f t="shared" si="632"/>
        <v>NA</v>
      </c>
      <c r="W1880" s="29" t="str">
        <f t="shared" si="633"/>
        <v>NA</v>
      </c>
      <c r="X1880" s="29" t="str">
        <f t="shared" si="634"/>
        <v>NA</v>
      </c>
      <c r="Y1880" s="29" t="str">
        <f t="shared" si="635"/>
        <v>NA</v>
      </c>
      <c r="Z1880" s="29" t="str">
        <f t="shared" si="636"/>
        <v>NA</v>
      </c>
      <c r="AA1880" s="29" t="str">
        <f t="shared" si="637"/>
        <v>NA</v>
      </c>
      <c r="AB1880" s="29" t="str">
        <f t="shared" si="638"/>
        <v>NA</v>
      </c>
      <c r="AC1880" s="29" t="str">
        <f t="shared" si="639"/>
        <v>NA</v>
      </c>
      <c r="AD1880" s="29" t="str">
        <f t="shared" si="640"/>
        <v>NA</v>
      </c>
      <c r="AE1880" s="29" t="str">
        <f t="shared" si="641"/>
        <v>NA</v>
      </c>
      <c r="AF1880" s="29" t="str">
        <f t="shared" si="642"/>
        <v>NA</v>
      </c>
      <c r="AG1880" s="29" t="str">
        <f t="shared" si="643"/>
        <v>NA</v>
      </c>
      <c r="AH1880" s="29" t="str">
        <f t="shared" si="644"/>
        <v>NA</v>
      </c>
    </row>
    <row r="1881" customHeight="1" spans="1:34">
      <c r="A1881" s="12" t="s">
        <v>1043</v>
      </c>
      <c r="F1881" s="24">
        <f t="shared" si="626"/>
        <v>0</v>
      </c>
      <c r="G1881" s="24" t="e">
        <f t="shared" si="625"/>
        <v>#DIV/0!</v>
      </c>
      <c r="Q1881" s="29" t="str">
        <f t="shared" si="627"/>
        <v>NA</v>
      </c>
      <c r="R1881" s="29" t="str">
        <f t="shared" si="628"/>
        <v>NA</v>
      </c>
      <c r="S1881" s="29" t="str">
        <f t="shared" si="629"/>
        <v>NA</v>
      </c>
      <c r="T1881" s="29" t="str">
        <f t="shared" si="630"/>
        <v>NA</v>
      </c>
      <c r="U1881" s="29" t="str">
        <f t="shared" si="631"/>
        <v>NA</v>
      </c>
      <c r="V1881" s="29" t="str">
        <f t="shared" si="632"/>
        <v>NA</v>
      </c>
      <c r="W1881" s="29" t="str">
        <f t="shared" si="633"/>
        <v>NA</v>
      </c>
      <c r="X1881" s="29" t="str">
        <f t="shared" si="634"/>
        <v>NA</v>
      </c>
      <c r="Y1881" s="29" t="str">
        <f t="shared" si="635"/>
        <v>NA</v>
      </c>
      <c r="Z1881" s="29" t="str">
        <f t="shared" si="636"/>
        <v>NA</v>
      </c>
      <c r="AA1881" s="29" t="str">
        <f t="shared" si="637"/>
        <v>NA</v>
      </c>
      <c r="AB1881" s="29" t="str">
        <f t="shared" si="638"/>
        <v>NA</v>
      </c>
      <c r="AC1881" s="29" t="str">
        <f t="shared" si="639"/>
        <v>NA</v>
      </c>
      <c r="AD1881" s="29" t="str">
        <f t="shared" si="640"/>
        <v>NA</v>
      </c>
      <c r="AE1881" s="29" t="str">
        <f t="shared" si="641"/>
        <v>NA</v>
      </c>
      <c r="AF1881" s="29" t="str">
        <f t="shared" si="642"/>
        <v>NA</v>
      </c>
      <c r="AG1881" s="29" t="str">
        <f t="shared" si="643"/>
        <v>NA</v>
      </c>
      <c r="AH1881" s="29" t="str">
        <f t="shared" si="644"/>
        <v>NA</v>
      </c>
    </row>
    <row r="1882" customHeight="1" spans="1:34">
      <c r="A1882" s="12" t="s">
        <v>1043</v>
      </c>
      <c r="F1882" s="24">
        <f t="shared" si="626"/>
        <v>0</v>
      </c>
      <c r="G1882" s="24" t="e">
        <f t="shared" si="625"/>
        <v>#DIV/0!</v>
      </c>
      <c r="Q1882" s="29" t="str">
        <f t="shared" si="627"/>
        <v>NA</v>
      </c>
      <c r="R1882" s="29" t="str">
        <f t="shared" si="628"/>
        <v>NA</v>
      </c>
      <c r="S1882" s="29" t="str">
        <f t="shared" si="629"/>
        <v>NA</v>
      </c>
      <c r="T1882" s="29" t="str">
        <f t="shared" si="630"/>
        <v>NA</v>
      </c>
      <c r="U1882" s="29" t="str">
        <f t="shared" si="631"/>
        <v>NA</v>
      </c>
      <c r="V1882" s="29" t="str">
        <f t="shared" si="632"/>
        <v>NA</v>
      </c>
      <c r="W1882" s="29" t="str">
        <f t="shared" si="633"/>
        <v>NA</v>
      </c>
      <c r="X1882" s="29" t="str">
        <f t="shared" si="634"/>
        <v>NA</v>
      </c>
      <c r="Y1882" s="29" t="str">
        <f t="shared" si="635"/>
        <v>NA</v>
      </c>
      <c r="Z1882" s="29" t="str">
        <f t="shared" si="636"/>
        <v>NA</v>
      </c>
      <c r="AA1882" s="29" t="str">
        <f t="shared" si="637"/>
        <v>NA</v>
      </c>
      <c r="AB1882" s="29" t="str">
        <f t="shared" si="638"/>
        <v>NA</v>
      </c>
      <c r="AC1882" s="29" t="str">
        <f t="shared" si="639"/>
        <v>NA</v>
      </c>
      <c r="AD1882" s="29" t="str">
        <f t="shared" si="640"/>
        <v>NA</v>
      </c>
      <c r="AE1882" s="29" t="str">
        <f t="shared" si="641"/>
        <v>NA</v>
      </c>
      <c r="AF1882" s="29" t="str">
        <f t="shared" si="642"/>
        <v>NA</v>
      </c>
      <c r="AG1882" s="29" t="str">
        <f t="shared" si="643"/>
        <v>NA</v>
      </c>
      <c r="AH1882" s="29" t="str">
        <f t="shared" si="644"/>
        <v>NA</v>
      </c>
    </row>
    <row r="1883" customHeight="1" spans="1:34">
      <c r="A1883" s="12" t="s">
        <v>1043</v>
      </c>
      <c r="F1883" s="24">
        <f t="shared" si="626"/>
        <v>0</v>
      </c>
      <c r="G1883" s="24" t="e">
        <f t="shared" si="625"/>
        <v>#DIV/0!</v>
      </c>
      <c r="Q1883" s="29" t="str">
        <f t="shared" si="627"/>
        <v>NA</v>
      </c>
      <c r="R1883" s="29" t="str">
        <f t="shared" si="628"/>
        <v>NA</v>
      </c>
      <c r="S1883" s="29" t="str">
        <f t="shared" si="629"/>
        <v>NA</v>
      </c>
      <c r="T1883" s="29" t="str">
        <f t="shared" si="630"/>
        <v>NA</v>
      </c>
      <c r="U1883" s="29" t="str">
        <f t="shared" si="631"/>
        <v>NA</v>
      </c>
      <c r="V1883" s="29" t="str">
        <f t="shared" si="632"/>
        <v>NA</v>
      </c>
      <c r="W1883" s="29" t="str">
        <f t="shared" si="633"/>
        <v>NA</v>
      </c>
      <c r="X1883" s="29" t="str">
        <f t="shared" si="634"/>
        <v>NA</v>
      </c>
      <c r="Y1883" s="29" t="str">
        <f t="shared" si="635"/>
        <v>NA</v>
      </c>
      <c r="Z1883" s="29" t="str">
        <f t="shared" si="636"/>
        <v>NA</v>
      </c>
      <c r="AA1883" s="29" t="str">
        <f t="shared" si="637"/>
        <v>NA</v>
      </c>
      <c r="AB1883" s="29" t="str">
        <f t="shared" si="638"/>
        <v>NA</v>
      </c>
      <c r="AC1883" s="29" t="str">
        <f t="shared" si="639"/>
        <v>NA</v>
      </c>
      <c r="AD1883" s="29" t="str">
        <f t="shared" si="640"/>
        <v>NA</v>
      </c>
      <c r="AE1883" s="29" t="str">
        <f t="shared" si="641"/>
        <v>NA</v>
      </c>
      <c r="AF1883" s="29" t="str">
        <f t="shared" si="642"/>
        <v>NA</v>
      </c>
      <c r="AG1883" s="29" t="str">
        <f t="shared" si="643"/>
        <v>NA</v>
      </c>
      <c r="AH1883" s="29" t="str">
        <f t="shared" si="644"/>
        <v>NA</v>
      </c>
    </row>
    <row r="1884" customHeight="1" spans="1:34">
      <c r="A1884" s="12" t="s">
        <v>1043</v>
      </c>
      <c r="F1884" s="24">
        <f t="shared" si="626"/>
        <v>0</v>
      </c>
      <c r="G1884" s="24" t="e">
        <f t="shared" si="625"/>
        <v>#DIV/0!</v>
      </c>
      <c r="Q1884" s="29" t="str">
        <f t="shared" si="627"/>
        <v>NA</v>
      </c>
      <c r="R1884" s="29" t="str">
        <f t="shared" si="628"/>
        <v>NA</v>
      </c>
      <c r="S1884" s="29" t="str">
        <f t="shared" si="629"/>
        <v>NA</v>
      </c>
      <c r="T1884" s="29" t="str">
        <f t="shared" si="630"/>
        <v>NA</v>
      </c>
      <c r="U1884" s="29" t="str">
        <f t="shared" si="631"/>
        <v>NA</v>
      </c>
      <c r="V1884" s="29" t="str">
        <f t="shared" si="632"/>
        <v>NA</v>
      </c>
      <c r="W1884" s="29" t="str">
        <f t="shared" si="633"/>
        <v>NA</v>
      </c>
      <c r="X1884" s="29" t="str">
        <f t="shared" si="634"/>
        <v>NA</v>
      </c>
      <c r="Y1884" s="29" t="str">
        <f t="shared" si="635"/>
        <v>NA</v>
      </c>
      <c r="Z1884" s="29" t="str">
        <f t="shared" si="636"/>
        <v>NA</v>
      </c>
      <c r="AA1884" s="29" t="str">
        <f t="shared" si="637"/>
        <v>NA</v>
      </c>
      <c r="AB1884" s="29" t="str">
        <f t="shared" si="638"/>
        <v>NA</v>
      </c>
      <c r="AC1884" s="29" t="str">
        <f t="shared" si="639"/>
        <v>NA</v>
      </c>
      <c r="AD1884" s="29" t="str">
        <f t="shared" si="640"/>
        <v>NA</v>
      </c>
      <c r="AE1884" s="29" t="str">
        <f t="shared" si="641"/>
        <v>NA</v>
      </c>
      <c r="AF1884" s="29" t="str">
        <f t="shared" si="642"/>
        <v>NA</v>
      </c>
      <c r="AG1884" s="29" t="str">
        <f t="shared" si="643"/>
        <v>NA</v>
      </c>
      <c r="AH1884" s="29" t="str">
        <f t="shared" si="644"/>
        <v>NA</v>
      </c>
    </row>
    <row r="1885" customHeight="1" spans="1:34">
      <c r="A1885" s="12" t="s">
        <v>1043</v>
      </c>
      <c r="F1885" s="24">
        <f t="shared" si="626"/>
        <v>0</v>
      </c>
      <c r="G1885" s="24" t="e">
        <f t="shared" si="625"/>
        <v>#DIV/0!</v>
      </c>
      <c r="Q1885" s="29" t="str">
        <f t="shared" si="627"/>
        <v>NA</v>
      </c>
      <c r="R1885" s="29" t="str">
        <f t="shared" si="628"/>
        <v>NA</v>
      </c>
      <c r="S1885" s="29" t="str">
        <f t="shared" si="629"/>
        <v>NA</v>
      </c>
      <c r="T1885" s="29" t="str">
        <f t="shared" si="630"/>
        <v>NA</v>
      </c>
      <c r="U1885" s="29" t="str">
        <f t="shared" si="631"/>
        <v>NA</v>
      </c>
      <c r="V1885" s="29" t="str">
        <f t="shared" si="632"/>
        <v>NA</v>
      </c>
      <c r="W1885" s="29" t="str">
        <f t="shared" si="633"/>
        <v>NA</v>
      </c>
      <c r="X1885" s="29" t="str">
        <f t="shared" si="634"/>
        <v>NA</v>
      </c>
      <c r="Y1885" s="29" t="str">
        <f t="shared" si="635"/>
        <v>NA</v>
      </c>
      <c r="Z1885" s="29" t="str">
        <f t="shared" si="636"/>
        <v>NA</v>
      </c>
      <c r="AA1885" s="29" t="str">
        <f t="shared" si="637"/>
        <v>NA</v>
      </c>
      <c r="AB1885" s="29" t="str">
        <f t="shared" si="638"/>
        <v>NA</v>
      </c>
      <c r="AC1885" s="29" t="str">
        <f t="shared" si="639"/>
        <v>NA</v>
      </c>
      <c r="AD1885" s="29" t="str">
        <f t="shared" si="640"/>
        <v>NA</v>
      </c>
      <c r="AE1885" s="29" t="str">
        <f t="shared" si="641"/>
        <v>NA</v>
      </c>
      <c r="AF1885" s="29" t="str">
        <f t="shared" si="642"/>
        <v>NA</v>
      </c>
      <c r="AG1885" s="29" t="str">
        <f t="shared" si="643"/>
        <v>NA</v>
      </c>
      <c r="AH1885" s="29" t="str">
        <f t="shared" si="644"/>
        <v>NA</v>
      </c>
    </row>
    <row r="1886" customHeight="1" spans="1:34">
      <c r="A1886" s="12" t="s">
        <v>1043</v>
      </c>
      <c r="F1886" s="24">
        <f t="shared" si="626"/>
        <v>0</v>
      </c>
      <c r="G1886" s="24" t="e">
        <f t="shared" si="625"/>
        <v>#DIV/0!</v>
      </c>
      <c r="Q1886" s="29" t="str">
        <f t="shared" si="627"/>
        <v>NA</v>
      </c>
      <c r="R1886" s="29" t="str">
        <f t="shared" si="628"/>
        <v>NA</v>
      </c>
      <c r="S1886" s="29" t="str">
        <f t="shared" si="629"/>
        <v>NA</v>
      </c>
      <c r="T1886" s="29" t="str">
        <f t="shared" si="630"/>
        <v>NA</v>
      </c>
      <c r="U1886" s="29" t="str">
        <f t="shared" si="631"/>
        <v>NA</v>
      </c>
      <c r="V1886" s="29" t="str">
        <f t="shared" si="632"/>
        <v>NA</v>
      </c>
      <c r="W1886" s="29" t="str">
        <f t="shared" si="633"/>
        <v>NA</v>
      </c>
      <c r="X1886" s="29" t="str">
        <f t="shared" si="634"/>
        <v>NA</v>
      </c>
      <c r="Y1886" s="29" t="str">
        <f t="shared" si="635"/>
        <v>NA</v>
      </c>
      <c r="Z1886" s="29" t="str">
        <f t="shared" si="636"/>
        <v>NA</v>
      </c>
      <c r="AA1886" s="29" t="str">
        <f t="shared" si="637"/>
        <v>NA</v>
      </c>
      <c r="AB1886" s="29" t="str">
        <f t="shared" si="638"/>
        <v>NA</v>
      </c>
      <c r="AC1886" s="29" t="str">
        <f t="shared" si="639"/>
        <v>NA</v>
      </c>
      <c r="AD1886" s="29" t="str">
        <f t="shared" si="640"/>
        <v>NA</v>
      </c>
      <c r="AE1886" s="29" t="str">
        <f t="shared" si="641"/>
        <v>NA</v>
      </c>
      <c r="AF1886" s="29" t="str">
        <f t="shared" si="642"/>
        <v>NA</v>
      </c>
      <c r="AG1886" s="29" t="str">
        <f t="shared" si="643"/>
        <v>NA</v>
      </c>
      <c r="AH1886" s="29" t="str">
        <f t="shared" si="644"/>
        <v>NA</v>
      </c>
    </row>
    <row r="1887" customHeight="1" spans="1:34">
      <c r="A1887" s="12" t="s">
        <v>1043</v>
      </c>
      <c r="F1887" s="24">
        <f t="shared" si="626"/>
        <v>0</v>
      </c>
      <c r="G1887" s="24" t="e">
        <f t="shared" si="625"/>
        <v>#DIV/0!</v>
      </c>
      <c r="Q1887" s="29" t="str">
        <f t="shared" si="627"/>
        <v>NA</v>
      </c>
      <c r="R1887" s="29" t="str">
        <f t="shared" si="628"/>
        <v>NA</v>
      </c>
      <c r="S1887" s="29" t="str">
        <f t="shared" si="629"/>
        <v>NA</v>
      </c>
      <c r="T1887" s="29" t="str">
        <f t="shared" si="630"/>
        <v>NA</v>
      </c>
      <c r="U1887" s="29" t="str">
        <f t="shared" si="631"/>
        <v>NA</v>
      </c>
      <c r="V1887" s="29" t="str">
        <f t="shared" si="632"/>
        <v>NA</v>
      </c>
      <c r="W1887" s="29" t="str">
        <f t="shared" si="633"/>
        <v>NA</v>
      </c>
      <c r="X1887" s="29" t="str">
        <f t="shared" si="634"/>
        <v>NA</v>
      </c>
      <c r="Y1887" s="29" t="str">
        <f t="shared" si="635"/>
        <v>NA</v>
      </c>
      <c r="Z1887" s="29" t="str">
        <f t="shared" si="636"/>
        <v>NA</v>
      </c>
      <c r="AA1887" s="29" t="str">
        <f t="shared" si="637"/>
        <v>NA</v>
      </c>
      <c r="AB1887" s="29" t="str">
        <f t="shared" si="638"/>
        <v>NA</v>
      </c>
      <c r="AC1887" s="29" t="str">
        <f t="shared" si="639"/>
        <v>NA</v>
      </c>
      <c r="AD1887" s="29" t="str">
        <f t="shared" si="640"/>
        <v>NA</v>
      </c>
      <c r="AE1887" s="29" t="str">
        <f t="shared" si="641"/>
        <v>NA</v>
      </c>
      <c r="AF1887" s="29" t="str">
        <f t="shared" si="642"/>
        <v>NA</v>
      </c>
      <c r="AG1887" s="29" t="str">
        <f t="shared" si="643"/>
        <v>NA</v>
      </c>
      <c r="AH1887" s="29" t="str">
        <f t="shared" si="644"/>
        <v>NA</v>
      </c>
    </row>
    <row r="1888" customHeight="1" spans="1:34">
      <c r="A1888" s="12" t="s">
        <v>1043</v>
      </c>
      <c r="F1888" s="24">
        <f t="shared" si="626"/>
        <v>0</v>
      </c>
      <c r="G1888" s="24" t="e">
        <f t="shared" si="625"/>
        <v>#DIV/0!</v>
      </c>
      <c r="Q1888" s="29" t="str">
        <f t="shared" si="627"/>
        <v>NA</v>
      </c>
      <c r="R1888" s="29" t="str">
        <f t="shared" si="628"/>
        <v>NA</v>
      </c>
      <c r="S1888" s="29" t="str">
        <f t="shared" si="629"/>
        <v>NA</v>
      </c>
      <c r="T1888" s="29" t="str">
        <f t="shared" si="630"/>
        <v>NA</v>
      </c>
      <c r="U1888" s="29" t="str">
        <f t="shared" si="631"/>
        <v>NA</v>
      </c>
      <c r="V1888" s="29" t="str">
        <f t="shared" si="632"/>
        <v>NA</v>
      </c>
      <c r="W1888" s="29" t="str">
        <f t="shared" si="633"/>
        <v>NA</v>
      </c>
      <c r="X1888" s="29" t="str">
        <f t="shared" si="634"/>
        <v>NA</v>
      </c>
      <c r="Y1888" s="29" t="str">
        <f t="shared" si="635"/>
        <v>NA</v>
      </c>
      <c r="Z1888" s="29" t="str">
        <f t="shared" si="636"/>
        <v>NA</v>
      </c>
      <c r="AA1888" s="29" t="str">
        <f t="shared" si="637"/>
        <v>NA</v>
      </c>
      <c r="AB1888" s="29" t="str">
        <f t="shared" si="638"/>
        <v>NA</v>
      </c>
      <c r="AC1888" s="29" t="str">
        <f t="shared" si="639"/>
        <v>NA</v>
      </c>
      <c r="AD1888" s="29" t="str">
        <f t="shared" si="640"/>
        <v>NA</v>
      </c>
      <c r="AE1888" s="29" t="str">
        <f t="shared" si="641"/>
        <v>NA</v>
      </c>
      <c r="AF1888" s="29" t="str">
        <f t="shared" si="642"/>
        <v>NA</v>
      </c>
      <c r="AG1888" s="29" t="str">
        <f t="shared" si="643"/>
        <v>NA</v>
      </c>
      <c r="AH1888" s="29" t="str">
        <f t="shared" si="644"/>
        <v>NA</v>
      </c>
    </row>
    <row r="1889" customHeight="1" spans="1:34">
      <c r="A1889" s="12" t="s">
        <v>1043</v>
      </c>
      <c r="F1889" s="24">
        <f t="shared" si="626"/>
        <v>0</v>
      </c>
      <c r="G1889" s="24" t="e">
        <f t="shared" si="625"/>
        <v>#DIV/0!</v>
      </c>
      <c r="Q1889" s="29" t="str">
        <f t="shared" si="627"/>
        <v>NA</v>
      </c>
      <c r="R1889" s="29" t="str">
        <f t="shared" si="628"/>
        <v>NA</v>
      </c>
      <c r="S1889" s="29" t="str">
        <f t="shared" si="629"/>
        <v>NA</v>
      </c>
      <c r="T1889" s="29" t="str">
        <f t="shared" si="630"/>
        <v>NA</v>
      </c>
      <c r="U1889" s="29" t="str">
        <f t="shared" si="631"/>
        <v>NA</v>
      </c>
      <c r="V1889" s="29" t="str">
        <f t="shared" si="632"/>
        <v>NA</v>
      </c>
      <c r="W1889" s="29" t="str">
        <f t="shared" si="633"/>
        <v>NA</v>
      </c>
      <c r="X1889" s="29" t="str">
        <f t="shared" si="634"/>
        <v>NA</v>
      </c>
      <c r="Y1889" s="29" t="str">
        <f t="shared" si="635"/>
        <v>NA</v>
      </c>
      <c r="Z1889" s="29" t="str">
        <f t="shared" si="636"/>
        <v>NA</v>
      </c>
      <c r="AA1889" s="29" t="str">
        <f t="shared" si="637"/>
        <v>NA</v>
      </c>
      <c r="AB1889" s="29" t="str">
        <f t="shared" si="638"/>
        <v>NA</v>
      </c>
      <c r="AC1889" s="29" t="str">
        <f t="shared" si="639"/>
        <v>NA</v>
      </c>
      <c r="AD1889" s="29" t="str">
        <f t="shared" si="640"/>
        <v>NA</v>
      </c>
      <c r="AE1889" s="29" t="str">
        <f t="shared" si="641"/>
        <v>NA</v>
      </c>
      <c r="AF1889" s="29" t="str">
        <f t="shared" si="642"/>
        <v>NA</v>
      </c>
      <c r="AG1889" s="29" t="str">
        <f t="shared" si="643"/>
        <v>NA</v>
      </c>
      <c r="AH1889" s="29" t="str">
        <f t="shared" si="644"/>
        <v>NA</v>
      </c>
    </row>
    <row r="1890" customHeight="1" spans="1:34">
      <c r="A1890" s="12" t="s">
        <v>1043</v>
      </c>
      <c r="F1890" s="24">
        <f t="shared" si="626"/>
        <v>0</v>
      </c>
      <c r="G1890" s="24" t="e">
        <f t="shared" si="625"/>
        <v>#DIV/0!</v>
      </c>
      <c r="Q1890" s="29" t="str">
        <f t="shared" si="627"/>
        <v>NA</v>
      </c>
      <c r="R1890" s="29" t="str">
        <f t="shared" si="628"/>
        <v>NA</v>
      </c>
      <c r="S1890" s="29" t="str">
        <f t="shared" si="629"/>
        <v>NA</v>
      </c>
      <c r="T1890" s="29" t="str">
        <f t="shared" si="630"/>
        <v>NA</v>
      </c>
      <c r="U1890" s="29" t="str">
        <f t="shared" si="631"/>
        <v>NA</v>
      </c>
      <c r="V1890" s="29" t="str">
        <f t="shared" si="632"/>
        <v>NA</v>
      </c>
      <c r="W1890" s="29" t="str">
        <f t="shared" si="633"/>
        <v>NA</v>
      </c>
      <c r="X1890" s="29" t="str">
        <f t="shared" si="634"/>
        <v>NA</v>
      </c>
      <c r="Y1890" s="29" t="str">
        <f t="shared" si="635"/>
        <v>NA</v>
      </c>
      <c r="Z1890" s="29" t="str">
        <f t="shared" si="636"/>
        <v>NA</v>
      </c>
      <c r="AA1890" s="29" t="str">
        <f t="shared" si="637"/>
        <v>NA</v>
      </c>
      <c r="AB1890" s="29" t="str">
        <f t="shared" si="638"/>
        <v>NA</v>
      </c>
      <c r="AC1890" s="29" t="str">
        <f t="shared" si="639"/>
        <v>NA</v>
      </c>
      <c r="AD1890" s="29" t="str">
        <f t="shared" si="640"/>
        <v>NA</v>
      </c>
      <c r="AE1890" s="29" t="str">
        <f t="shared" si="641"/>
        <v>NA</v>
      </c>
      <c r="AF1890" s="29" t="str">
        <f t="shared" si="642"/>
        <v>NA</v>
      </c>
      <c r="AG1890" s="29" t="str">
        <f t="shared" si="643"/>
        <v>NA</v>
      </c>
      <c r="AH1890" s="29" t="str">
        <f t="shared" si="644"/>
        <v>NA</v>
      </c>
    </row>
    <row r="1891" customHeight="1" spans="1:34">
      <c r="A1891" s="12" t="s">
        <v>1043</v>
      </c>
      <c r="F1891" s="24">
        <f t="shared" si="626"/>
        <v>0</v>
      </c>
      <c r="G1891" s="24" t="e">
        <f t="shared" si="625"/>
        <v>#DIV/0!</v>
      </c>
      <c r="Q1891" s="29" t="str">
        <f t="shared" si="627"/>
        <v>NA</v>
      </c>
      <c r="R1891" s="29" t="str">
        <f t="shared" si="628"/>
        <v>NA</v>
      </c>
      <c r="S1891" s="29" t="str">
        <f t="shared" si="629"/>
        <v>NA</v>
      </c>
      <c r="T1891" s="29" t="str">
        <f t="shared" si="630"/>
        <v>NA</v>
      </c>
      <c r="U1891" s="29" t="str">
        <f t="shared" si="631"/>
        <v>NA</v>
      </c>
      <c r="V1891" s="29" t="str">
        <f t="shared" si="632"/>
        <v>NA</v>
      </c>
      <c r="W1891" s="29" t="str">
        <f t="shared" si="633"/>
        <v>NA</v>
      </c>
      <c r="X1891" s="29" t="str">
        <f t="shared" si="634"/>
        <v>NA</v>
      </c>
      <c r="Y1891" s="29" t="str">
        <f t="shared" si="635"/>
        <v>NA</v>
      </c>
      <c r="Z1891" s="29" t="str">
        <f t="shared" si="636"/>
        <v>NA</v>
      </c>
      <c r="AA1891" s="29" t="str">
        <f t="shared" si="637"/>
        <v>NA</v>
      </c>
      <c r="AB1891" s="29" t="str">
        <f t="shared" si="638"/>
        <v>NA</v>
      </c>
      <c r="AC1891" s="29" t="str">
        <f t="shared" si="639"/>
        <v>NA</v>
      </c>
      <c r="AD1891" s="29" t="str">
        <f t="shared" si="640"/>
        <v>NA</v>
      </c>
      <c r="AE1891" s="29" t="str">
        <f t="shared" si="641"/>
        <v>NA</v>
      </c>
      <c r="AF1891" s="29" t="str">
        <f t="shared" si="642"/>
        <v>NA</v>
      </c>
      <c r="AG1891" s="29" t="str">
        <f t="shared" si="643"/>
        <v>NA</v>
      </c>
      <c r="AH1891" s="29" t="str">
        <f t="shared" si="644"/>
        <v>NA</v>
      </c>
    </row>
    <row r="1892" customHeight="1" spans="1:34">
      <c r="A1892" s="12" t="s">
        <v>1043</v>
      </c>
      <c r="F1892" s="24">
        <f t="shared" si="626"/>
        <v>0</v>
      </c>
      <c r="G1892" s="24" t="e">
        <f t="shared" si="625"/>
        <v>#DIV/0!</v>
      </c>
      <c r="Q1892" s="29" t="str">
        <f t="shared" si="627"/>
        <v>NA</v>
      </c>
      <c r="R1892" s="29" t="str">
        <f t="shared" si="628"/>
        <v>NA</v>
      </c>
      <c r="S1892" s="29" t="str">
        <f t="shared" si="629"/>
        <v>NA</v>
      </c>
      <c r="T1892" s="29" t="str">
        <f t="shared" si="630"/>
        <v>NA</v>
      </c>
      <c r="U1892" s="29" t="str">
        <f t="shared" si="631"/>
        <v>NA</v>
      </c>
      <c r="V1892" s="29" t="str">
        <f t="shared" si="632"/>
        <v>NA</v>
      </c>
      <c r="W1892" s="29" t="str">
        <f t="shared" si="633"/>
        <v>NA</v>
      </c>
      <c r="X1892" s="29" t="str">
        <f t="shared" si="634"/>
        <v>NA</v>
      </c>
      <c r="Y1892" s="29" t="str">
        <f t="shared" si="635"/>
        <v>NA</v>
      </c>
      <c r="Z1892" s="29" t="str">
        <f t="shared" si="636"/>
        <v>NA</v>
      </c>
      <c r="AA1892" s="29" t="str">
        <f t="shared" si="637"/>
        <v>NA</v>
      </c>
      <c r="AB1892" s="29" t="str">
        <f t="shared" si="638"/>
        <v>NA</v>
      </c>
      <c r="AC1892" s="29" t="str">
        <f t="shared" si="639"/>
        <v>NA</v>
      </c>
      <c r="AD1892" s="29" t="str">
        <f t="shared" si="640"/>
        <v>NA</v>
      </c>
      <c r="AE1892" s="29" t="str">
        <f t="shared" si="641"/>
        <v>NA</v>
      </c>
      <c r="AF1892" s="29" t="str">
        <f t="shared" si="642"/>
        <v>NA</v>
      </c>
      <c r="AG1892" s="29" t="str">
        <f t="shared" si="643"/>
        <v>NA</v>
      </c>
      <c r="AH1892" s="29" t="str">
        <f t="shared" si="644"/>
        <v>NA</v>
      </c>
    </row>
    <row r="1893" customHeight="1" spans="1:34">
      <c r="A1893" s="12" t="s">
        <v>1043</v>
      </c>
      <c r="F1893" s="24">
        <f t="shared" si="626"/>
        <v>0</v>
      </c>
      <c r="G1893" s="24" t="e">
        <f t="shared" si="625"/>
        <v>#DIV/0!</v>
      </c>
      <c r="Q1893" s="29" t="str">
        <f t="shared" si="627"/>
        <v>NA</v>
      </c>
      <c r="R1893" s="29" t="str">
        <f t="shared" si="628"/>
        <v>NA</v>
      </c>
      <c r="S1893" s="29" t="str">
        <f t="shared" si="629"/>
        <v>NA</v>
      </c>
      <c r="T1893" s="29" t="str">
        <f t="shared" si="630"/>
        <v>NA</v>
      </c>
      <c r="U1893" s="29" t="str">
        <f t="shared" si="631"/>
        <v>NA</v>
      </c>
      <c r="V1893" s="29" t="str">
        <f t="shared" si="632"/>
        <v>NA</v>
      </c>
      <c r="W1893" s="29" t="str">
        <f t="shared" si="633"/>
        <v>NA</v>
      </c>
      <c r="X1893" s="29" t="str">
        <f t="shared" si="634"/>
        <v>NA</v>
      </c>
      <c r="Y1893" s="29" t="str">
        <f t="shared" si="635"/>
        <v>NA</v>
      </c>
      <c r="Z1893" s="29" t="str">
        <f t="shared" si="636"/>
        <v>NA</v>
      </c>
      <c r="AA1893" s="29" t="str">
        <f t="shared" si="637"/>
        <v>NA</v>
      </c>
      <c r="AB1893" s="29" t="str">
        <f t="shared" si="638"/>
        <v>NA</v>
      </c>
      <c r="AC1893" s="29" t="str">
        <f t="shared" si="639"/>
        <v>NA</v>
      </c>
      <c r="AD1893" s="29" t="str">
        <f t="shared" si="640"/>
        <v>NA</v>
      </c>
      <c r="AE1893" s="29" t="str">
        <f t="shared" si="641"/>
        <v>NA</v>
      </c>
      <c r="AF1893" s="29" t="str">
        <f t="shared" si="642"/>
        <v>NA</v>
      </c>
      <c r="AG1893" s="29" t="str">
        <f t="shared" si="643"/>
        <v>NA</v>
      </c>
      <c r="AH1893" s="29" t="str">
        <f t="shared" si="644"/>
        <v>NA</v>
      </c>
    </row>
    <row r="1894" customHeight="1" spans="1:34">
      <c r="A1894" s="12" t="s">
        <v>1043</v>
      </c>
      <c r="F1894" s="24">
        <f t="shared" si="626"/>
        <v>0</v>
      </c>
      <c r="G1894" s="24" t="e">
        <f t="shared" si="625"/>
        <v>#DIV/0!</v>
      </c>
      <c r="Q1894" s="29" t="str">
        <f t="shared" si="627"/>
        <v>NA</v>
      </c>
      <c r="R1894" s="29" t="str">
        <f t="shared" si="628"/>
        <v>NA</v>
      </c>
      <c r="S1894" s="29" t="str">
        <f t="shared" si="629"/>
        <v>NA</v>
      </c>
      <c r="T1894" s="29" t="str">
        <f t="shared" si="630"/>
        <v>NA</v>
      </c>
      <c r="U1894" s="29" t="str">
        <f t="shared" si="631"/>
        <v>NA</v>
      </c>
      <c r="V1894" s="29" t="str">
        <f t="shared" si="632"/>
        <v>NA</v>
      </c>
      <c r="W1894" s="29" t="str">
        <f t="shared" si="633"/>
        <v>NA</v>
      </c>
      <c r="X1894" s="29" t="str">
        <f t="shared" si="634"/>
        <v>NA</v>
      </c>
      <c r="Y1894" s="29" t="str">
        <f t="shared" si="635"/>
        <v>NA</v>
      </c>
      <c r="Z1894" s="29" t="str">
        <f t="shared" si="636"/>
        <v>NA</v>
      </c>
      <c r="AA1894" s="29" t="str">
        <f t="shared" si="637"/>
        <v>NA</v>
      </c>
      <c r="AB1894" s="29" t="str">
        <f t="shared" si="638"/>
        <v>NA</v>
      </c>
      <c r="AC1894" s="29" t="str">
        <f t="shared" si="639"/>
        <v>NA</v>
      </c>
      <c r="AD1894" s="29" t="str">
        <f t="shared" si="640"/>
        <v>NA</v>
      </c>
      <c r="AE1894" s="29" t="str">
        <f t="shared" si="641"/>
        <v>NA</v>
      </c>
      <c r="AF1894" s="29" t="str">
        <f t="shared" si="642"/>
        <v>NA</v>
      </c>
      <c r="AG1894" s="29" t="str">
        <f t="shared" si="643"/>
        <v>NA</v>
      </c>
      <c r="AH1894" s="29" t="str">
        <f t="shared" si="644"/>
        <v>NA</v>
      </c>
    </row>
    <row r="1895" customHeight="1" spans="1:34">
      <c r="A1895" s="12" t="s">
        <v>1043</v>
      </c>
      <c r="F1895" s="24">
        <f t="shared" si="626"/>
        <v>0</v>
      </c>
      <c r="G1895" s="24" t="e">
        <f t="shared" si="625"/>
        <v>#DIV/0!</v>
      </c>
      <c r="Q1895" s="29" t="str">
        <f t="shared" si="627"/>
        <v>NA</v>
      </c>
      <c r="R1895" s="29" t="str">
        <f t="shared" si="628"/>
        <v>NA</v>
      </c>
      <c r="S1895" s="29" t="str">
        <f t="shared" si="629"/>
        <v>NA</v>
      </c>
      <c r="T1895" s="29" t="str">
        <f t="shared" si="630"/>
        <v>NA</v>
      </c>
      <c r="U1895" s="29" t="str">
        <f t="shared" si="631"/>
        <v>NA</v>
      </c>
      <c r="V1895" s="29" t="str">
        <f t="shared" si="632"/>
        <v>NA</v>
      </c>
      <c r="W1895" s="29" t="str">
        <f t="shared" si="633"/>
        <v>NA</v>
      </c>
      <c r="X1895" s="29" t="str">
        <f t="shared" si="634"/>
        <v>NA</v>
      </c>
      <c r="Y1895" s="29" t="str">
        <f t="shared" si="635"/>
        <v>NA</v>
      </c>
      <c r="Z1895" s="29" t="str">
        <f t="shared" si="636"/>
        <v>NA</v>
      </c>
      <c r="AA1895" s="29" t="str">
        <f t="shared" si="637"/>
        <v>NA</v>
      </c>
      <c r="AB1895" s="29" t="str">
        <f t="shared" si="638"/>
        <v>NA</v>
      </c>
      <c r="AC1895" s="29" t="str">
        <f t="shared" si="639"/>
        <v>NA</v>
      </c>
      <c r="AD1895" s="29" t="str">
        <f t="shared" si="640"/>
        <v>NA</v>
      </c>
      <c r="AE1895" s="29" t="str">
        <f t="shared" si="641"/>
        <v>NA</v>
      </c>
      <c r="AF1895" s="29" t="str">
        <f t="shared" si="642"/>
        <v>NA</v>
      </c>
      <c r="AG1895" s="29" t="str">
        <f t="shared" si="643"/>
        <v>NA</v>
      </c>
      <c r="AH1895" s="29" t="str">
        <f t="shared" si="644"/>
        <v>NA</v>
      </c>
    </row>
    <row r="1896" customHeight="1" spans="1:34">
      <c r="A1896" s="12" t="s">
        <v>1043</v>
      </c>
      <c r="F1896" s="24">
        <f t="shared" si="626"/>
        <v>0</v>
      </c>
      <c r="G1896" s="24" t="e">
        <f t="shared" si="625"/>
        <v>#DIV/0!</v>
      </c>
      <c r="Q1896" s="29" t="str">
        <f t="shared" si="627"/>
        <v>NA</v>
      </c>
      <c r="R1896" s="29" t="str">
        <f t="shared" si="628"/>
        <v>NA</v>
      </c>
      <c r="S1896" s="29" t="str">
        <f t="shared" si="629"/>
        <v>NA</v>
      </c>
      <c r="T1896" s="29" t="str">
        <f t="shared" si="630"/>
        <v>NA</v>
      </c>
      <c r="U1896" s="29" t="str">
        <f t="shared" si="631"/>
        <v>NA</v>
      </c>
      <c r="V1896" s="29" t="str">
        <f t="shared" si="632"/>
        <v>NA</v>
      </c>
      <c r="W1896" s="29" t="str">
        <f t="shared" si="633"/>
        <v>NA</v>
      </c>
      <c r="X1896" s="29" t="str">
        <f t="shared" si="634"/>
        <v>NA</v>
      </c>
      <c r="Y1896" s="29" t="str">
        <f t="shared" si="635"/>
        <v>NA</v>
      </c>
      <c r="Z1896" s="29" t="str">
        <f t="shared" si="636"/>
        <v>NA</v>
      </c>
      <c r="AA1896" s="29" t="str">
        <f t="shared" si="637"/>
        <v>NA</v>
      </c>
      <c r="AB1896" s="29" t="str">
        <f t="shared" si="638"/>
        <v>NA</v>
      </c>
      <c r="AC1896" s="29" t="str">
        <f t="shared" si="639"/>
        <v>NA</v>
      </c>
      <c r="AD1896" s="29" t="str">
        <f t="shared" si="640"/>
        <v>NA</v>
      </c>
      <c r="AE1896" s="29" t="str">
        <f t="shared" si="641"/>
        <v>NA</v>
      </c>
      <c r="AF1896" s="29" t="str">
        <f t="shared" si="642"/>
        <v>NA</v>
      </c>
      <c r="AG1896" s="29" t="str">
        <f t="shared" si="643"/>
        <v>NA</v>
      </c>
      <c r="AH1896" s="29" t="str">
        <f t="shared" si="644"/>
        <v>NA</v>
      </c>
    </row>
    <row r="1897" customHeight="1" spans="1:34">
      <c r="A1897" s="12" t="s">
        <v>1043</v>
      </c>
      <c r="F1897" s="24">
        <f t="shared" si="626"/>
        <v>0</v>
      </c>
      <c r="G1897" s="24" t="e">
        <f t="shared" si="625"/>
        <v>#DIV/0!</v>
      </c>
      <c r="Q1897" s="29" t="str">
        <f t="shared" si="627"/>
        <v>NA</v>
      </c>
      <c r="R1897" s="29" t="str">
        <f t="shared" si="628"/>
        <v>NA</v>
      </c>
      <c r="S1897" s="29" t="str">
        <f t="shared" si="629"/>
        <v>NA</v>
      </c>
      <c r="T1897" s="29" t="str">
        <f t="shared" si="630"/>
        <v>NA</v>
      </c>
      <c r="U1897" s="29" t="str">
        <f t="shared" si="631"/>
        <v>NA</v>
      </c>
      <c r="V1897" s="29" t="str">
        <f t="shared" si="632"/>
        <v>NA</v>
      </c>
      <c r="W1897" s="29" t="str">
        <f t="shared" si="633"/>
        <v>NA</v>
      </c>
      <c r="X1897" s="29" t="str">
        <f t="shared" si="634"/>
        <v>NA</v>
      </c>
      <c r="Y1897" s="29" t="str">
        <f t="shared" si="635"/>
        <v>NA</v>
      </c>
      <c r="Z1897" s="29" t="str">
        <f t="shared" si="636"/>
        <v>NA</v>
      </c>
      <c r="AA1897" s="29" t="str">
        <f t="shared" si="637"/>
        <v>NA</v>
      </c>
      <c r="AB1897" s="29" t="str">
        <f t="shared" si="638"/>
        <v>NA</v>
      </c>
      <c r="AC1897" s="29" t="str">
        <f t="shared" si="639"/>
        <v>NA</v>
      </c>
      <c r="AD1897" s="29" t="str">
        <f t="shared" si="640"/>
        <v>NA</v>
      </c>
      <c r="AE1897" s="29" t="str">
        <f t="shared" si="641"/>
        <v>NA</v>
      </c>
      <c r="AF1897" s="29" t="str">
        <f t="shared" si="642"/>
        <v>NA</v>
      </c>
      <c r="AG1897" s="29" t="str">
        <f t="shared" si="643"/>
        <v>NA</v>
      </c>
      <c r="AH1897" s="29" t="str">
        <f t="shared" si="644"/>
        <v>NA</v>
      </c>
    </row>
    <row r="1898" customHeight="1" spans="1:34">
      <c r="A1898" s="12" t="s">
        <v>1043</v>
      </c>
      <c r="F1898" s="24">
        <f t="shared" si="626"/>
        <v>0</v>
      </c>
      <c r="G1898" s="24" t="e">
        <f t="shared" si="625"/>
        <v>#DIV/0!</v>
      </c>
      <c r="Q1898" s="29" t="str">
        <f t="shared" si="627"/>
        <v>NA</v>
      </c>
      <c r="R1898" s="29" t="str">
        <f t="shared" si="628"/>
        <v>NA</v>
      </c>
      <c r="S1898" s="29" t="str">
        <f t="shared" si="629"/>
        <v>NA</v>
      </c>
      <c r="T1898" s="29" t="str">
        <f t="shared" si="630"/>
        <v>NA</v>
      </c>
      <c r="U1898" s="29" t="str">
        <f t="shared" si="631"/>
        <v>NA</v>
      </c>
      <c r="V1898" s="29" t="str">
        <f t="shared" si="632"/>
        <v>NA</v>
      </c>
      <c r="W1898" s="29" t="str">
        <f t="shared" si="633"/>
        <v>NA</v>
      </c>
      <c r="X1898" s="29" t="str">
        <f t="shared" si="634"/>
        <v>NA</v>
      </c>
      <c r="Y1898" s="29" t="str">
        <f t="shared" si="635"/>
        <v>NA</v>
      </c>
      <c r="Z1898" s="29" t="str">
        <f t="shared" si="636"/>
        <v>NA</v>
      </c>
      <c r="AA1898" s="29" t="str">
        <f t="shared" si="637"/>
        <v>NA</v>
      </c>
      <c r="AB1898" s="29" t="str">
        <f t="shared" si="638"/>
        <v>NA</v>
      </c>
      <c r="AC1898" s="29" t="str">
        <f t="shared" si="639"/>
        <v>NA</v>
      </c>
      <c r="AD1898" s="29" t="str">
        <f t="shared" si="640"/>
        <v>NA</v>
      </c>
      <c r="AE1898" s="29" t="str">
        <f t="shared" si="641"/>
        <v>NA</v>
      </c>
      <c r="AF1898" s="29" t="str">
        <f t="shared" si="642"/>
        <v>NA</v>
      </c>
      <c r="AG1898" s="29" t="str">
        <f t="shared" si="643"/>
        <v>NA</v>
      </c>
      <c r="AH1898" s="29" t="str">
        <f t="shared" si="644"/>
        <v>NA</v>
      </c>
    </row>
    <row r="1899" customHeight="1" spans="1:34">
      <c r="A1899" s="12" t="s">
        <v>1043</v>
      </c>
      <c r="F1899" s="24">
        <f t="shared" si="626"/>
        <v>0</v>
      </c>
      <c r="G1899" s="24" t="e">
        <f t="shared" si="625"/>
        <v>#DIV/0!</v>
      </c>
      <c r="Q1899" s="29" t="str">
        <f t="shared" si="627"/>
        <v>NA</v>
      </c>
      <c r="R1899" s="29" t="str">
        <f t="shared" si="628"/>
        <v>NA</v>
      </c>
      <c r="S1899" s="29" t="str">
        <f t="shared" si="629"/>
        <v>NA</v>
      </c>
      <c r="T1899" s="29" t="str">
        <f t="shared" si="630"/>
        <v>NA</v>
      </c>
      <c r="U1899" s="29" t="str">
        <f t="shared" si="631"/>
        <v>NA</v>
      </c>
      <c r="V1899" s="29" t="str">
        <f t="shared" si="632"/>
        <v>NA</v>
      </c>
      <c r="W1899" s="29" t="str">
        <f t="shared" si="633"/>
        <v>NA</v>
      </c>
      <c r="X1899" s="29" t="str">
        <f t="shared" si="634"/>
        <v>NA</v>
      </c>
      <c r="Y1899" s="29" t="str">
        <f t="shared" si="635"/>
        <v>NA</v>
      </c>
      <c r="Z1899" s="29" t="str">
        <f t="shared" si="636"/>
        <v>NA</v>
      </c>
      <c r="AA1899" s="29" t="str">
        <f t="shared" si="637"/>
        <v>NA</v>
      </c>
      <c r="AB1899" s="29" t="str">
        <f t="shared" si="638"/>
        <v>NA</v>
      </c>
      <c r="AC1899" s="29" t="str">
        <f t="shared" si="639"/>
        <v>NA</v>
      </c>
      <c r="AD1899" s="29" t="str">
        <f t="shared" si="640"/>
        <v>NA</v>
      </c>
      <c r="AE1899" s="29" t="str">
        <f t="shared" si="641"/>
        <v>NA</v>
      </c>
      <c r="AF1899" s="29" t="str">
        <f t="shared" si="642"/>
        <v>NA</v>
      </c>
      <c r="AG1899" s="29" t="str">
        <f t="shared" si="643"/>
        <v>NA</v>
      </c>
      <c r="AH1899" s="29" t="str">
        <f t="shared" si="644"/>
        <v>NA</v>
      </c>
    </row>
    <row r="1900" customHeight="1" spans="1:34">
      <c r="A1900" s="12" t="s">
        <v>1043</v>
      </c>
      <c r="F1900" s="24">
        <f t="shared" si="626"/>
        <v>0</v>
      </c>
      <c r="G1900" s="24" t="e">
        <f t="shared" si="625"/>
        <v>#DIV/0!</v>
      </c>
      <c r="Q1900" s="29" t="str">
        <f t="shared" si="627"/>
        <v>NA</v>
      </c>
      <c r="R1900" s="29" t="str">
        <f t="shared" si="628"/>
        <v>NA</v>
      </c>
      <c r="S1900" s="29" t="str">
        <f t="shared" si="629"/>
        <v>NA</v>
      </c>
      <c r="T1900" s="29" t="str">
        <f t="shared" si="630"/>
        <v>NA</v>
      </c>
      <c r="U1900" s="29" t="str">
        <f t="shared" si="631"/>
        <v>NA</v>
      </c>
      <c r="V1900" s="29" t="str">
        <f t="shared" si="632"/>
        <v>NA</v>
      </c>
      <c r="W1900" s="29" t="str">
        <f t="shared" si="633"/>
        <v>NA</v>
      </c>
      <c r="X1900" s="29" t="str">
        <f t="shared" si="634"/>
        <v>NA</v>
      </c>
      <c r="Y1900" s="29" t="str">
        <f t="shared" si="635"/>
        <v>NA</v>
      </c>
      <c r="Z1900" s="29" t="str">
        <f t="shared" si="636"/>
        <v>NA</v>
      </c>
      <c r="AA1900" s="29" t="str">
        <f t="shared" si="637"/>
        <v>NA</v>
      </c>
      <c r="AB1900" s="29" t="str">
        <f t="shared" si="638"/>
        <v>NA</v>
      </c>
      <c r="AC1900" s="29" t="str">
        <f t="shared" si="639"/>
        <v>NA</v>
      </c>
      <c r="AD1900" s="29" t="str">
        <f t="shared" si="640"/>
        <v>NA</v>
      </c>
      <c r="AE1900" s="29" t="str">
        <f t="shared" si="641"/>
        <v>NA</v>
      </c>
      <c r="AF1900" s="29" t="str">
        <f t="shared" si="642"/>
        <v>NA</v>
      </c>
      <c r="AG1900" s="29" t="str">
        <f t="shared" si="643"/>
        <v>NA</v>
      </c>
      <c r="AH1900" s="29" t="str">
        <f t="shared" si="644"/>
        <v>NA</v>
      </c>
    </row>
    <row r="1901" customHeight="1" spans="1:34">
      <c r="A1901" s="12" t="s">
        <v>1043</v>
      </c>
      <c r="F1901" s="24">
        <f t="shared" si="626"/>
        <v>0</v>
      </c>
      <c r="G1901" s="24" t="e">
        <f t="shared" si="625"/>
        <v>#DIV/0!</v>
      </c>
      <c r="Q1901" s="29" t="str">
        <f t="shared" si="627"/>
        <v>NA</v>
      </c>
      <c r="R1901" s="29" t="str">
        <f t="shared" si="628"/>
        <v>NA</v>
      </c>
      <c r="S1901" s="29" t="str">
        <f t="shared" si="629"/>
        <v>NA</v>
      </c>
      <c r="T1901" s="29" t="str">
        <f t="shared" si="630"/>
        <v>NA</v>
      </c>
      <c r="U1901" s="29" t="str">
        <f t="shared" si="631"/>
        <v>NA</v>
      </c>
      <c r="V1901" s="29" t="str">
        <f t="shared" si="632"/>
        <v>NA</v>
      </c>
      <c r="W1901" s="29" t="str">
        <f t="shared" si="633"/>
        <v>NA</v>
      </c>
      <c r="X1901" s="29" t="str">
        <f t="shared" si="634"/>
        <v>NA</v>
      </c>
      <c r="Y1901" s="29" t="str">
        <f t="shared" si="635"/>
        <v>NA</v>
      </c>
      <c r="Z1901" s="29" t="str">
        <f t="shared" si="636"/>
        <v>NA</v>
      </c>
      <c r="AA1901" s="29" t="str">
        <f t="shared" si="637"/>
        <v>NA</v>
      </c>
      <c r="AB1901" s="29" t="str">
        <f t="shared" si="638"/>
        <v>NA</v>
      </c>
      <c r="AC1901" s="29" t="str">
        <f t="shared" si="639"/>
        <v>NA</v>
      </c>
      <c r="AD1901" s="29" t="str">
        <f t="shared" si="640"/>
        <v>NA</v>
      </c>
      <c r="AE1901" s="29" t="str">
        <f t="shared" si="641"/>
        <v>NA</v>
      </c>
      <c r="AF1901" s="29" t="str">
        <f t="shared" si="642"/>
        <v>NA</v>
      </c>
      <c r="AG1901" s="29" t="str">
        <f t="shared" si="643"/>
        <v>NA</v>
      </c>
      <c r="AH1901" s="29" t="str">
        <f t="shared" si="644"/>
        <v>NA</v>
      </c>
    </row>
    <row r="1902" customHeight="1" spans="1:34">
      <c r="A1902" s="12" t="s">
        <v>1043</v>
      </c>
      <c r="F1902" s="24">
        <f t="shared" si="626"/>
        <v>0</v>
      </c>
      <c r="G1902" s="24" t="e">
        <f t="shared" si="625"/>
        <v>#DIV/0!</v>
      </c>
      <c r="Q1902" s="29" t="str">
        <f t="shared" si="627"/>
        <v>NA</v>
      </c>
      <c r="R1902" s="29" t="str">
        <f t="shared" si="628"/>
        <v>NA</v>
      </c>
      <c r="S1902" s="29" t="str">
        <f t="shared" si="629"/>
        <v>NA</v>
      </c>
      <c r="T1902" s="29" t="str">
        <f t="shared" si="630"/>
        <v>NA</v>
      </c>
      <c r="U1902" s="29" t="str">
        <f t="shared" si="631"/>
        <v>NA</v>
      </c>
      <c r="V1902" s="29" t="str">
        <f t="shared" si="632"/>
        <v>NA</v>
      </c>
      <c r="W1902" s="29" t="str">
        <f t="shared" si="633"/>
        <v>NA</v>
      </c>
      <c r="X1902" s="29" t="str">
        <f t="shared" si="634"/>
        <v>NA</v>
      </c>
      <c r="Y1902" s="29" t="str">
        <f t="shared" si="635"/>
        <v>NA</v>
      </c>
      <c r="Z1902" s="29" t="str">
        <f t="shared" si="636"/>
        <v>NA</v>
      </c>
      <c r="AA1902" s="29" t="str">
        <f t="shared" si="637"/>
        <v>NA</v>
      </c>
      <c r="AB1902" s="29" t="str">
        <f t="shared" si="638"/>
        <v>NA</v>
      </c>
      <c r="AC1902" s="29" t="str">
        <f t="shared" si="639"/>
        <v>NA</v>
      </c>
      <c r="AD1902" s="29" t="str">
        <f t="shared" si="640"/>
        <v>NA</v>
      </c>
      <c r="AE1902" s="29" t="str">
        <f t="shared" si="641"/>
        <v>NA</v>
      </c>
      <c r="AF1902" s="29" t="str">
        <f t="shared" si="642"/>
        <v>NA</v>
      </c>
      <c r="AG1902" s="29" t="str">
        <f t="shared" si="643"/>
        <v>NA</v>
      </c>
      <c r="AH1902" s="29" t="str">
        <f t="shared" si="644"/>
        <v>NA</v>
      </c>
    </row>
    <row r="1903" customHeight="1" spans="1:34">
      <c r="A1903" s="12" t="s">
        <v>1043</v>
      </c>
      <c r="F1903" s="24">
        <f t="shared" si="626"/>
        <v>0</v>
      </c>
      <c r="G1903" s="24" t="e">
        <f t="shared" si="625"/>
        <v>#DIV/0!</v>
      </c>
      <c r="Q1903" s="29" t="str">
        <f t="shared" si="627"/>
        <v>NA</v>
      </c>
      <c r="R1903" s="29" t="str">
        <f t="shared" si="628"/>
        <v>NA</v>
      </c>
      <c r="S1903" s="29" t="str">
        <f t="shared" si="629"/>
        <v>NA</v>
      </c>
      <c r="T1903" s="29" t="str">
        <f t="shared" si="630"/>
        <v>NA</v>
      </c>
      <c r="U1903" s="29" t="str">
        <f t="shared" si="631"/>
        <v>NA</v>
      </c>
      <c r="V1903" s="29" t="str">
        <f t="shared" si="632"/>
        <v>NA</v>
      </c>
      <c r="W1903" s="29" t="str">
        <f t="shared" si="633"/>
        <v>NA</v>
      </c>
      <c r="X1903" s="29" t="str">
        <f t="shared" si="634"/>
        <v>NA</v>
      </c>
      <c r="Y1903" s="29" t="str">
        <f t="shared" si="635"/>
        <v>NA</v>
      </c>
      <c r="Z1903" s="29" t="str">
        <f t="shared" si="636"/>
        <v>NA</v>
      </c>
      <c r="AA1903" s="29" t="str">
        <f t="shared" si="637"/>
        <v>NA</v>
      </c>
      <c r="AB1903" s="29" t="str">
        <f t="shared" si="638"/>
        <v>NA</v>
      </c>
      <c r="AC1903" s="29" t="str">
        <f t="shared" si="639"/>
        <v>NA</v>
      </c>
      <c r="AD1903" s="29" t="str">
        <f t="shared" si="640"/>
        <v>NA</v>
      </c>
      <c r="AE1903" s="29" t="str">
        <f t="shared" si="641"/>
        <v>NA</v>
      </c>
      <c r="AF1903" s="29" t="str">
        <f t="shared" si="642"/>
        <v>NA</v>
      </c>
      <c r="AG1903" s="29" t="str">
        <f t="shared" si="643"/>
        <v>NA</v>
      </c>
      <c r="AH1903" s="29" t="str">
        <f t="shared" si="644"/>
        <v>NA</v>
      </c>
    </row>
    <row r="1904" customHeight="1" spans="1:34">
      <c r="A1904" s="12" t="s">
        <v>1043</v>
      </c>
      <c r="F1904" s="24">
        <f t="shared" si="626"/>
        <v>0</v>
      </c>
      <c r="G1904" s="24" t="e">
        <f t="shared" si="625"/>
        <v>#DIV/0!</v>
      </c>
      <c r="Q1904" s="29" t="str">
        <f t="shared" si="627"/>
        <v>NA</v>
      </c>
      <c r="R1904" s="29" t="str">
        <f t="shared" si="628"/>
        <v>NA</v>
      </c>
      <c r="S1904" s="29" t="str">
        <f t="shared" si="629"/>
        <v>NA</v>
      </c>
      <c r="T1904" s="29" t="str">
        <f t="shared" si="630"/>
        <v>NA</v>
      </c>
      <c r="U1904" s="29" t="str">
        <f t="shared" si="631"/>
        <v>NA</v>
      </c>
      <c r="V1904" s="29" t="str">
        <f t="shared" si="632"/>
        <v>NA</v>
      </c>
      <c r="W1904" s="29" t="str">
        <f t="shared" si="633"/>
        <v>NA</v>
      </c>
      <c r="X1904" s="29" t="str">
        <f t="shared" si="634"/>
        <v>NA</v>
      </c>
      <c r="Y1904" s="29" t="str">
        <f t="shared" si="635"/>
        <v>NA</v>
      </c>
      <c r="Z1904" s="29" t="str">
        <f t="shared" si="636"/>
        <v>NA</v>
      </c>
      <c r="AA1904" s="29" t="str">
        <f t="shared" si="637"/>
        <v>NA</v>
      </c>
      <c r="AB1904" s="29" t="str">
        <f t="shared" si="638"/>
        <v>NA</v>
      </c>
      <c r="AC1904" s="29" t="str">
        <f t="shared" si="639"/>
        <v>NA</v>
      </c>
      <c r="AD1904" s="29" t="str">
        <f t="shared" si="640"/>
        <v>NA</v>
      </c>
      <c r="AE1904" s="29" t="str">
        <f t="shared" si="641"/>
        <v>NA</v>
      </c>
      <c r="AF1904" s="29" t="str">
        <f t="shared" si="642"/>
        <v>NA</v>
      </c>
      <c r="AG1904" s="29" t="str">
        <f t="shared" si="643"/>
        <v>NA</v>
      </c>
      <c r="AH1904" s="29" t="str">
        <f t="shared" si="644"/>
        <v>NA</v>
      </c>
    </row>
    <row r="1905" customHeight="1" spans="1:34">
      <c r="A1905" s="12" t="s">
        <v>1043</v>
      </c>
      <c r="F1905" s="24">
        <f t="shared" si="626"/>
        <v>0</v>
      </c>
      <c r="G1905" s="24" t="e">
        <f t="shared" si="625"/>
        <v>#DIV/0!</v>
      </c>
      <c r="Q1905" s="29" t="str">
        <f t="shared" si="627"/>
        <v>NA</v>
      </c>
      <c r="R1905" s="29" t="str">
        <f t="shared" si="628"/>
        <v>NA</v>
      </c>
      <c r="S1905" s="29" t="str">
        <f t="shared" si="629"/>
        <v>NA</v>
      </c>
      <c r="T1905" s="29" t="str">
        <f t="shared" si="630"/>
        <v>NA</v>
      </c>
      <c r="U1905" s="29" t="str">
        <f t="shared" si="631"/>
        <v>NA</v>
      </c>
      <c r="V1905" s="29" t="str">
        <f t="shared" si="632"/>
        <v>NA</v>
      </c>
      <c r="W1905" s="29" t="str">
        <f t="shared" si="633"/>
        <v>NA</v>
      </c>
      <c r="X1905" s="29" t="str">
        <f t="shared" si="634"/>
        <v>NA</v>
      </c>
      <c r="Y1905" s="29" t="str">
        <f t="shared" si="635"/>
        <v>NA</v>
      </c>
      <c r="Z1905" s="29" t="str">
        <f t="shared" si="636"/>
        <v>NA</v>
      </c>
      <c r="AA1905" s="29" t="str">
        <f t="shared" si="637"/>
        <v>NA</v>
      </c>
      <c r="AB1905" s="29" t="str">
        <f t="shared" si="638"/>
        <v>NA</v>
      </c>
      <c r="AC1905" s="29" t="str">
        <f t="shared" si="639"/>
        <v>NA</v>
      </c>
      <c r="AD1905" s="29" t="str">
        <f t="shared" si="640"/>
        <v>NA</v>
      </c>
      <c r="AE1905" s="29" t="str">
        <f t="shared" si="641"/>
        <v>NA</v>
      </c>
      <c r="AF1905" s="29" t="str">
        <f t="shared" si="642"/>
        <v>NA</v>
      </c>
      <c r="AG1905" s="29" t="str">
        <f t="shared" si="643"/>
        <v>NA</v>
      </c>
      <c r="AH1905" s="29" t="str">
        <f t="shared" si="644"/>
        <v>NA</v>
      </c>
    </row>
    <row r="1906" customHeight="1" spans="1:34">
      <c r="A1906" s="12" t="s">
        <v>1043</v>
      </c>
      <c r="F1906" s="24">
        <f t="shared" si="626"/>
        <v>0</v>
      </c>
      <c r="G1906" s="24" t="e">
        <f t="shared" si="625"/>
        <v>#DIV/0!</v>
      </c>
      <c r="Q1906" s="29" t="str">
        <f t="shared" si="627"/>
        <v>NA</v>
      </c>
      <c r="R1906" s="29" t="str">
        <f t="shared" si="628"/>
        <v>NA</v>
      </c>
      <c r="S1906" s="29" t="str">
        <f t="shared" si="629"/>
        <v>NA</v>
      </c>
      <c r="T1906" s="29" t="str">
        <f t="shared" si="630"/>
        <v>NA</v>
      </c>
      <c r="U1906" s="29" t="str">
        <f t="shared" si="631"/>
        <v>NA</v>
      </c>
      <c r="V1906" s="29" t="str">
        <f t="shared" si="632"/>
        <v>NA</v>
      </c>
      <c r="W1906" s="29" t="str">
        <f t="shared" si="633"/>
        <v>NA</v>
      </c>
      <c r="X1906" s="29" t="str">
        <f t="shared" si="634"/>
        <v>NA</v>
      </c>
      <c r="Y1906" s="29" t="str">
        <f t="shared" si="635"/>
        <v>NA</v>
      </c>
      <c r="Z1906" s="29" t="str">
        <f t="shared" si="636"/>
        <v>NA</v>
      </c>
      <c r="AA1906" s="29" t="str">
        <f t="shared" si="637"/>
        <v>NA</v>
      </c>
      <c r="AB1906" s="29" t="str">
        <f t="shared" si="638"/>
        <v>NA</v>
      </c>
      <c r="AC1906" s="29" t="str">
        <f t="shared" si="639"/>
        <v>NA</v>
      </c>
      <c r="AD1906" s="29" t="str">
        <f t="shared" si="640"/>
        <v>NA</v>
      </c>
      <c r="AE1906" s="29" t="str">
        <f t="shared" si="641"/>
        <v>NA</v>
      </c>
      <c r="AF1906" s="29" t="str">
        <f t="shared" si="642"/>
        <v>NA</v>
      </c>
      <c r="AG1906" s="29" t="str">
        <f t="shared" si="643"/>
        <v>NA</v>
      </c>
      <c r="AH1906" s="29" t="str">
        <f t="shared" si="644"/>
        <v>NA</v>
      </c>
    </row>
    <row r="1907" customHeight="1" spans="1:34">
      <c r="A1907" s="12" t="s">
        <v>1043</v>
      </c>
      <c r="F1907" s="24">
        <f t="shared" si="626"/>
        <v>0</v>
      </c>
      <c r="G1907" s="24" t="e">
        <f t="shared" si="625"/>
        <v>#DIV/0!</v>
      </c>
      <c r="Q1907" s="29" t="str">
        <f t="shared" si="627"/>
        <v>NA</v>
      </c>
      <c r="R1907" s="29" t="str">
        <f t="shared" si="628"/>
        <v>NA</v>
      </c>
      <c r="S1907" s="29" t="str">
        <f t="shared" si="629"/>
        <v>NA</v>
      </c>
      <c r="T1907" s="29" t="str">
        <f t="shared" si="630"/>
        <v>NA</v>
      </c>
      <c r="U1907" s="29" t="str">
        <f t="shared" si="631"/>
        <v>NA</v>
      </c>
      <c r="V1907" s="29" t="str">
        <f t="shared" si="632"/>
        <v>NA</v>
      </c>
      <c r="W1907" s="29" t="str">
        <f t="shared" si="633"/>
        <v>NA</v>
      </c>
      <c r="X1907" s="29" t="str">
        <f t="shared" si="634"/>
        <v>NA</v>
      </c>
      <c r="Y1907" s="29" t="str">
        <f t="shared" si="635"/>
        <v>NA</v>
      </c>
      <c r="Z1907" s="29" t="str">
        <f t="shared" si="636"/>
        <v>NA</v>
      </c>
      <c r="AA1907" s="29" t="str">
        <f t="shared" si="637"/>
        <v>NA</v>
      </c>
      <c r="AB1907" s="29" t="str">
        <f t="shared" si="638"/>
        <v>NA</v>
      </c>
      <c r="AC1907" s="29" t="str">
        <f t="shared" si="639"/>
        <v>NA</v>
      </c>
      <c r="AD1907" s="29" t="str">
        <f t="shared" si="640"/>
        <v>NA</v>
      </c>
      <c r="AE1907" s="29" t="str">
        <f t="shared" si="641"/>
        <v>NA</v>
      </c>
      <c r="AF1907" s="29" t="str">
        <f t="shared" si="642"/>
        <v>NA</v>
      </c>
      <c r="AG1907" s="29" t="str">
        <f t="shared" si="643"/>
        <v>NA</v>
      </c>
      <c r="AH1907" s="29" t="str">
        <f t="shared" si="644"/>
        <v>NA</v>
      </c>
    </row>
    <row r="1908" customHeight="1" spans="1:34">
      <c r="A1908" s="12" t="s">
        <v>1043</v>
      </c>
      <c r="F1908" s="24">
        <f t="shared" si="626"/>
        <v>0</v>
      </c>
      <c r="G1908" s="24" t="e">
        <f t="shared" si="625"/>
        <v>#DIV/0!</v>
      </c>
      <c r="Q1908" s="29" t="str">
        <f t="shared" si="627"/>
        <v>NA</v>
      </c>
      <c r="R1908" s="29" t="str">
        <f t="shared" si="628"/>
        <v>NA</v>
      </c>
      <c r="S1908" s="29" t="str">
        <f t="shared" si="629"/>
        <v>NA</v>
      </c>
      <c r="T1908" s="29" t="str">
        <f t="shared" si="630"/>
        <v>NA</v>
      </c>
      <c r="U1908" s="29" t="str">
        <f t="shared" si="631"/>
        <v>NA</v>
      </c>
      <c r="V1908" s="29" t="str">
        <f t="shared" si="632"/>
        <v>NA</v>
      </c>
      <c r="W1908" s="29" t="str">
        <f t="shared" si="633"/>
        <v>NA</v>
      </c>
      <c r="X1908" s="29" t="str">
        <f t="shared" si="634"/>
        <v>NA</v>
      </c>
      <c r="Y1908" s="29" t="str">
        <f t="shared" si="635"/>
        <v>NA</v>
      </c>
      <c r="Z1908" s="29" t="str">
        <f t="shared" si="636"/>
        <v>NA</v>
      </c>
      <c r="AA1908" s="29" t="str">
        <f t="shared" si="637"/>
        <v>NA</v>
      </c>
      <c r="AB1908" s="29" t="str">
        <f t="shared" si="638"/>
        <v>NA</v>
      </c>
      <c r="AC1908" s="29" t="str">
        <f t="shared" si="639"/>
        <v>NA</v>
      </c>
      <c r="AD1908" s="29" t="str">
        <f t="shared" si="640"/>
        <v>NA</v>
      </c>
      <c r="AE1908" s="29" t="str">
        <f t="shared" si="641"/>
        <v>NA</v>
      </c>
      <c r="AF1908" s="29" t="str">
        <f t="shared" si="642"/>
        <v>NA</v>
      </c>
      <c r="AG1908" s="29" t="str">
        <f t="shared" si="643"/>
        <v>NA</v>
      </c>
      <c r="AH1908" s="29" t="str">
        <f t="shared" si="644"/>
        <v>NA</v>
      </c>
    </row>
    <row r="1909" customHeight="1" spans="1:34">
      <c r="A1909" s="12" t="s">
        <v>1043</v>
      </c>
      <c r="F1909" s="24">
        <f t="shared" si="626"/>
        <v>0</v>
      </c>
      <c r="G1909" s="24" t="e">
        <f t="shared" si="625"/>
        <v>#DIV/0!</v>
      </c>
      <c r="Q1909" s="29" t="str">
        <f t="shared" si="627"/>
        <v>NA</v>
      </c>
      <c r="R1909" s="29" t="str">
        <f t="shared" si="628"/>
        <v>NA</v>
      </c>
      <c r="S1909" s="29" t="str">
        <f t="shared" si="629"/>
        <v>NA</v>
      </c>
      <c r="T1909" s="29" t="str">
        <f t="shared" si="630"/>
        <v>NA</v>
      </c>
      <c r="U1909" s="29" t="str">
        <f t="shared" si="631"/>
        <v>NA</v>
      </c>
      <c r="V1909" s="29" t="str">
        <f t="shared" si="632"/>
        <v>NA</v>
      </c>
      <c r="W1909" s="29" t="str">
        <f t="shared" si="633"/>
        <v>NA</v>
      </c>
      <c r="X1909" s="29" t="str">
        <f t="shared" si="634"/>
        <v>NA</v>
      </c>
      <c r="Y1909" s="29" t="str">
        <f t="shared" si="635"/>
        <v>NA</v>
      </c>
      <c r="Z1909" s="29" t="str">
        <f t="shared" si="636"/>
        <v>NA</v>
      </c>
      <c r="AA1909" s="29" t="str">
        <f t="shared" si="637"/>
        <v>NA</v>
      </c>
      <c r="AB1909" s="29" t="str">
        <f t="shared" si="638"/>
        <v>NA</v>
      </c>
      <c r="AC1909" s="29" t="str">
        <f t="shared" si="639"/>
        <v>NA</v>
      </c>
      <c r="AD1909" s="29" t="str">
        <f t="shared" si="640"/>
        <v>NA</v>
      </c>
      <c r="AE1909" s="29" t="str">
        <f t="shared" si="641"/>
        <v>NA</v>
      </c>
      <c r="AF1909" s="29" t="str">
        <f t="shared" si="642"/>
        <v>NA</v>
      </c>
      <c r="AG1909" s="29" t="str">
        <f t="shared" si="643"/>
        <v>NA</v>
      </c>
      <c r="AH1909" s="29" t="str">
        <f t="shared" si="644"/>
        <v>NA</v>
      </c>
    </row>
    <row r="1910" customHeight="1" spans="1:34">
      <c r="A1910" s="12" t="s">
        <v>1043</v>
      </c>
      <c r="F1910" s="24">
        <f t="shared" si="626"/>
        <v>0</v>
      </c>
      <c r="G1910" s="24" t="e">
        <f t="shared" si="625"/>
        <v>#DIV/0!</v>
      </c>
      <c r="Q1910" s="29" t="str">
        <f t="shared" si="627"/>
        <v>NA</v>
      </c>
      <c r="R1910" s="29" t="str">
        <f t="shared" si="628"/>
        <v>NA</v>
      </c>
      <c r="S1910" s="29" t="str">
        <f t="shared" si="629"/>
        <v>NA</v>
      </c>
      <c r="T1910" s="29" t="str">
        <f t="shared" si="630"/>
        <v>NA</v>
      </c>
      <c r="U1910" s="29" t="str">
        <f t="shared" si="631"/>
        <v>NA</v>
      </c>
      <c r="V1910" s="29" t="str">
        <f t="shared" si="632"/>
        <v>NA</v>
      </c>
      <c r="W1910" s="29" t="str">
        <f t="shared" si="633"/>
        <v>NA</v>
      </c>
      <c r="X1910" s="29" t="str">
        <f t="shared" si="634"/>
        <v>NA</v>
      </c>
      <c r="Y1910" s="29" t="str">
        <f t="shared" si="635"/>
        <v>NA</v>
      </c>
      <c r="Z1910" s="29" t="str">
        <f t="shared" si="636"/>
        <v>NA</v>
      </c>
      <c r="AA1910" s="29" t="str">
        <f t="shared" si="637"/>
        <v>NA</v>
      </c>
      <c r="AB1910" s="29" t="str">
        <f t="shared" si="638"/>
        <v>NA</v>
      </c>
      <c r="AC1910" s="29" t="str">
        <f t="shared" si="639"/>
        <v>NA</v>
      </c>
      <c r="AD1910" s="29" t="str">
        <f t="shared" si="640"/>
        <v>NA</v>
      </c>
      <c r="AE1910" s="29" t="str">
        <f t="shared" si="641"/>
        <v>NA</v>
      </c>
      <c r="AF1910" s="29" t="str">
        <f t="shared" si="642"/>
        <v>NA</v>
      </c>
      <c r="AG1910" s="29" t="str">
        <f t="shared" si="643"/>
        <v>NA</v>
      </c>
      <c r="AH1910" s="29" t="str">
        <f t="shared" si="644"/>
        <v>NA</v>
      </c>
    </row>
    <row r="1911" customHeight="1" spans="1:34">
      <c r="A1911" s="12" t="s">
        <v>1043</v>
      </c>
      <c r="F1911" s="24">
        <f t="shared" si="626"/>
        <v>0</v>
      </c>
      <c r="G1911" s="24" t="e">
        <f t="shared" si="625"/>
        <v>#DIV/0!</v>
      </c>
      <c r="Q1911" s="29" t="str">
        <f t="shared" si="627"/>
        <v>NA</v>
      </c>
      <c r="R1911" s="29" t="str">
        <f t="shared" si="628"/>
        <v>NA</v>
      </c>
      <c r="S1911" s="29" t="str">
        <f t="shared" si="629"/>
        <v>NA</v>
      </c>
      <c r="T1911" s="29" t="str">
        <f t="shared" si="630"/>
        <v>NA</v>
      </c>
      <c r="U1911" s="29" t="str">
        <f t="shared" si="631"/>
        <v>NA</v>
      </c>
      <c r="V1911" s="29" t="str">
        <f t="shared" si="632"/>
        <v>NA</v>
      </c>
      <c r="W1911" s="29" t="str">
        <f t="shared" si="633"/>
        <v>NA</v>
      </c>
      <c r="X1911" s="29" t="str">
        <f t="shared" si="634"/>
        <v>NA</v>
      </c>
      <c r="Y1911" s="29" t="str">
        <f t="shared" si="635"/>
        <v>NA</v>
      </c>
      <c r="Z1911" s="29" t="str">
        <f t="shared" si="636"/>
        <v>NA</v>
      </c>
      <c r="AA1911" s="29" t="str">
        <f t="shared" si="637"/>
        <v>NA</v>
      </c>
      <c r="AB1911" s="29" t="str">
        <f t="shared" si="638"/>
        <v>NA</v>
      </c>
      <c r="AC1911" s="29" t="str">
        <f t="shared" si="639"/>
        <v>NA</v>
      </c>
      <c r="AD1911" s="29" t="str">
        <f t="shared" si="640"/>
        <v>NA</v>
      </c>
      <c r="AE1911" s="29" t="str">
        <f t="shared" si="641"/>
        <v>NA</v>
      </c>
      <c r="AF1911" s="29" t="str">
        <f t="shared" si="642"/>
        <v>NA</v>
      </c>
      <c r="AG1911" s="29" t="str">
        <f t="shared" si="643"/>
        <v>NA</v>
      </c>
      <c r="AH1911" s="29" t="str">
        <f t="shared" si="644"/>
        <v>NA</v>
      </c>
    </row>
    <row r="1912" customHeight="1" spans="1:34">
      <c r="A1912" s="12" t="s">
        <v>1043</v>
      </c>
      <c r="F1912" s="24">
        <f t="shared" si="626"/>
        <v>0</v>
      </c>
      <c r="G1912" s="24" t="e">
        <f t="shared" si="625"/>
        <v>#DIV/0!</v>
      </c>
      <c r="Q1912" s="29" t="str">
        <f t="shared" si="627"/>
        <v>NA</v>
      </c>
      <c r="R1912" s="29" t="str">
        <f t="shared" si="628"/>
        <v>NA</v>
      </c>
      <c r="S1912" s="29" t="str">
        <f t="shared" si="629"/>
        <v>NA</v>
      </c>
      <c r="T1912" s="29" t="str">
        <f t="shared" si="630"/>
        <v>NA</v>
      </c>
      <c r="U1912" s="29" t="str">
        <f t="shared" si="631"/>
        <v>NA</v>
      </c>
      <c r="V1912" s="29" t="str">
        <f t="shared" si="632"/>
        <v>NA</v>
      </c>
      <c r="W1912" s="29" t="str">
        <f t="shared" si="633"/>
        <v>NA</v>
      </c>
      <c r="X1912" s="29" t="str">
        <f t="shared" si="634"/>
        <v>NA</v>
      </c>
      <c r="Y1912" s="29" t="str">
        <f t="shared" si="635"/>
        <v>NA</v>
      </c>
      <c r="Z1912" s="29" t="str">
        <f t="shared" si="636"/>
        <v>NA</v>
      </c>
      <c r="AA1912" s="29" t="str">
        <f t="shared" si="637"/>
        <v>NA</v>
      </c>
      <c r="AB1912" s="29" t="str">
        <f t="shared" si="638"/>
        <v>NA</v>
      </c>
      <c r="AC1912" s="29" t="str">
        <f t="shared" si="639"/>
        <v>NA</v>
      </c>
      <c r="AD1912" s="29" t="str">
        <f t="shared" si="640"/>
        <v>NA</v>
      </c>
      <c r="AE1912" s="29" t="str">
        <f t="shared" si="641"/>
        <v>NA</v>
      </c>
      <c r="AF1912" s="29" t="str">
        <f t="shared" si="642"/>
        <v>NA</v>
      </c>
      <c r="AG1912" s="29" t="str">
        <f t="shared" si="643"/>
        <v>NA</v>
      </c>
      <c r="AH1912" s="29" t="str">
        <f t="shared" si="644"/>
        <v>NA</v>
      </c>
    </row>
    <row r="1913" customHeight="1" spans="1:34">
      <c r="A1913" s="12" t="s">
        <v>1043</v>
      </c>
      <c r="F1913" s="24">
        <f t="shared" si="626"/>
        <v>0</v>
      </c>
      <c r="G1913" s="24" t="e">
        <f t="shared" si="625"/>
        <v>#DIV/0!</v>
      </c>
      <c r="Q1913" s="29" t="str">
        <f t="shared" si="627"/>
        <v>NA</v>
      </c>
      <c r="R1913" s="29" t="str">
        <f t="shared" si="628"/>
        <v>NA</v>
      </c>
      <c r="S1913" s="29" t="str">
        <f t="shared" si="629"/>
        <v>NA</v>
      </c>
      <c r="T1913" s="29" t="str">
        <f t="shared" si="630"/>
        <v>NA</v>
      </c>
      <c r="U1913" s="29" t="str">
        <f t="shared" si="631"/>
        <v>NA</v>
      </c>
      <c r="V1913" s="29" t="str">
        <f t="shared" si="632"/>
        <v>NA</v>
      </c>
      <c r="W1913" s="29" t="str">
        <f t="shared" si="633"/>
        <v>NA</v>
      </c>
      <c r="X1913" s="29" t="str">
        <f t="shared" si="634"/>
        <v>NA</v>
      </c>
      <c r="Y1913" s="29" t="str">
        <f t="shared" si="635"/>
        <v>NA</v>
      </c>
      <c r="Z1913" s="29" t="str">
        <f t="shared" si="636"/>
        <v>NA</v>
      </c>
      <c r="AA1913" s="29" t="str">
        <f t="shared" si="637"/>
        <v>NA</v>
      </c>
      <c r="AB1913" s="29" t="str">
        <f t="shared" si="638"/>
        <v>NA</v>
      </c>
      <c r="AC1913" s="29" t="str">
        <f t="shared" si="639"/>
        <v>NA</v>
      </c>
      <c r="AD1913" s="29" t="str">
        <f t="shared" si="640"/>
        <v>NA</v>
      </c>
      <c r="AE1913" s="29" t="str">
        <f t="shared" si="641"/>
        <v>NA</v>
      </c>
      <c r="AF1913" s="29" t="str">
        <f t="shared" si="642"/>
        <v>NA</v>
      </c>
      <c r="AG1913" s="29" t="str">
        <f t="shared" si="643"/>
        <v>NA</v>
      </c>
      <c r="AH1913" s="29" t="str">
        <f t="shared" si="644"/>
        <v>NA</v>
      </c>
    </row>
    <row r="1914" customHeight="1" spans="1:34">
      <c r="A1914" s="12" t="s">
        <v>1043</v>
      </c>
      <c r="F1914" s="24">
        <f t="shared" si="626"/>
        <v>0</v>
      </c>
      <c r="G1914" s="24" t="e">
        <f t="shared" si="625"/>
        <v>#DIV/0!</v>
      </c>
      <c r="Q1914" s="29" t="str">
        <f t="shared" si="627"/>
        <v>NA</v>
      </c>
      <c r="R1914" s="29" t="str">
        <f t="shared" si="628"/>
        <v>NA</v>
      </c>
      <c r="S1914" s="29" t="str">
        <f t="shared" si="629"/>
        <v>NA</v>
      </c>
      <c r="T1914" s="29" t="str">
        <f t="shared" si="630"/>
        <v>NA</v>
      </c>
      <c r="U1914" s="29" t="str">
        <f t="shared" si="631"/>
        <v>NA</v>
      </c>
      <c r="V1914" s="29" t="str">
        <f t="shared" si="632"/>
        <v>NA</v>
      </c>
      <c r="W1914" s="29" t="str">
        <f t="shared" si="633"/>
        <v>NA</v>
      </c>
      <c r="X1914" s="29" t="str">
        <f t="shared" si="634"/>
        <v>NA</v>
      </c>
      <c r="Y1914" s="29" t="str">
        <f t="shared" si="635"/>
        <v>NA</v>
      </c>
      <c r="Z1914" s="29" t="str">
        <f t="shared" si="636"/>
        <v>NA</v>
      </c>
      <c r="AA1914" s="29" t="str">
        <f t="shared" si="637"/>
        <v>NA</v>
      </c>
      <c r="AB1914" s="29" t="str">
        <f t="shared" si="638"/>
        <v>NA</v>
      </c>
      <c r="AC1914" s="29" t="str">
        <f t="shared" si="639"/>
        <v>NA</v>
      </c>
      <c r="AD1914" s="29" t="str">
        <f t="shared" si="640"/>
        <v>NA</v>
      </c>
      <c r="AE1914" s="29" t="str">
        <f t="shared" si="641"/>
        <v>NA</v>
      </c>
      <c r="AF1914" s="29" t="str">
        <f t="shared" si="642"/>
        <v>NA</v>
      </c>
      <c r="AG1914" s="29" t="str">
        <f t="shared" si="643"/>
        <v>NA</v>
      </c>
      <c r="AH1914" s="29" t="str">
        <f t="shared" si="644"/>
        <v>NA</v>
      </c>
    </row>
    <row r="1915" customHeight="1" spans="1:34">
      <c r="A1915" s="12" t="s">
        <v>1043</v>
      </c>
      <c r="F1915" s="24">
        <f t="shared" si="626"/>
        <v>0</v>
      </c>
      <c r="G1915" s="24" t="e">
        <f t="shared" si="625"/>
        <v>#DIV/0!</v>
      </c>
      <c r="Q1915" s="29" t="str">
        <f t="shared" si="627"/>
        <v>NA</v>
      </c>
      <c r="R1915" s="29" t="str">
        <f t="shared" si="628"/>
        <v>NA</v>
      </c>
      <c r="S1915" s="29" t="str">
        <f t="shared" si="629"/>
        <v>NA</v>
      </c>
      <c r="T1915" s="29" t="str">
        <f t="shared" si="630"/>
        <v>NA</v>
      </c>
      <c r="U1915" s="29" t="str">
        <f t="shared" si="631"/>
        <v>NA</v>
      </c>
      <c r="V1915" s="29" t="str">
        <f t="shared" si="632"/>
        <v>NA</v>
      </c>
      <c r="W1915" s="29" t="str">
        <f t="shared" si="633"/>
        <v>NA</v>
      </c>
      <c r="X1915" s="29" t="str">
        <f t="shared" si="634"/>
        <v>NA</v>
      </c>
      <c r="Y1915" s="29" t="str">
        <f t="shared" si="635"/>
        <v>NA</v>
      </c>
      <c r="Z1915" s="29" t="str">
        <f t="shared" si="636"/>
        <v>NA</v>
      </c>
      <c r="AA1915" s="29" t="str">
        <f t="shared" si="637"/>
        <v>NA</v>
      </c>
      <c r="AB1915" s="29" t="str">
        <f t="shared" si="638"/>
        <v>NA</v>
      </c>
      <c r="AC1915" s="29" t="str">
        <f t="shared" si="639"/>
        <v>NA</v>
      </c>
      <c r="AD1915" s="29" t="str">
        <f t="shared" si="640"/>
        <v>NA</v>
      </c>
      <c r="AE1915" s="29" t="str">
        <f t="shared" si="641"/>
        <v>NA</v>
      </c>
      <c r="AF1915" s="29" t="str">
        <f t="shared" si="642"/>
        <v>NA</v>
      </c>
      <c r="AG1915" s="29" t="str">
        <f t="shared" si="643"/>
        <v>NA</v>
      </c>
      <c r="AH1915" s="29" t="str">
        <f t="shared" si="644"/>
        <v>NA</v>
      </c>
    </row>
    <row r="1916" customHeight="1" spans="1:34">
      <c r="A1916" s="12" t="s">
        <v>1043</v>
      </c>
      <c r="F1916" s="24">
        <f t="shared" si="626"/>
        <v>0</v>
      </c>
      <c r="G1916" s="24" t="e">
        <f t="shared" si="625"/>
        <v>#DIV/0!</v>
      </c>
      <c r="Q1916" s="29" t="str">
        <f t="shared" si="627"/>
        <v>NA</v>
      </c>
      <c r="R1916" s="29" t="str">
        <f t="shared" si="628"/>
        <v>NA</v>
      </c>
      <c r="S1916" s="29" t="str">
        <f t="shared" si="629"/>
        <v>NA</v>
      </c>
      <c r="T1916" s="29" t="str">
        <f t="shared" si="630"/>
        <v>NA</v>
      </c>
      <c r="U1916" s="29" t="str">
        <f t="shared" si="631"/>
        <v>NA</v>
      </c>
      <c r="V1916" s="29" t="str">
        <f t="shared" si="632"/>
        <v>NA</v>
      </c>
      <c r="W1916" s="29" t="str">
        <f t="shared" si="633"/>
        <v>NA</v>
      </c>
      <c r="X1916" s="29" t="str">
        <f t="shared" si="634"/>
        <v>NA</v>
      </c>
      <c r="Y1916" s="29" t="str">
        <f t="shared" si="635"/>
        <v>NA</v>
      </c>
      <c r="Z1916" s="29" t="str">
        <f t="shared" si="636"/>
        <v>NA</v>
      </c>
      <c r="AA1916" s="29" t="str">
        <f t="shared" si="637"/>
        <v>NA</v>
      </c>
      <c r="AB1916" s="29" t="str">
        <f t="shared" si="638"/>
        <v>NA</v>
      </c>
      <c r="AC1916" s="29" t="str">
        <f t="shared" si="639"/>
        <v>NA</v>
      </c>
      <c r="AD1916" s="29" t="str">
        <f t="shared" si="640"/>
        <v>NA</v>
      </c>
      <c r="AE1916" s="29" t="str">
        <f t="shared" si="641"/>
        <v>NA</v>
      </c>
      <c r="AF1916" s="29" t="str">
        <f t="shared" si="642"/>
        <v>NA</v>
      </c>
      <c r="AG1916" s="29" t="str">
        <f t="shared" si="643"/>
        <v>NA</v>
      </c>
      <c r="AH1916" s="29" t="str">
        <f t="shared" si="644"/>
        <v>NA</v>
      </c>
    </row>
    <row r="1917" customHeight="1" spans="1:34">
      <c r="A1917" s="12" t="s">
        <v>1043</v>
      </c>
      <c r="F1917" s="24">
        <f t="shared" si="626"/>
        <v>0</v>
      </c>
      <c r="G1917" s="24" t="e">
        <f t="shared" si="625"/>
        <v>#DIV/0!</v>
      </c>
      <c r="Q1917" s="29" t="str">
        <f t="shared" si="627"/>
        <v>NA</v>
      </c>
      <c r="R1917" s="29" t="str">
        <f t="shared" si="628"/>
        <v>NA</v>
      </c>
      <c r="S1917" s="29" t="str">
        <f t="shared" si="629"/>
        <v>NA</v>
      </c>
      <c r="T1917" s="29" t="str">
        <f t="shared" si="630"/>
        <v>NA</v>
      </c>
      <c r="U1917" s="29" t="str">
        <f t="shared" si="631"/>
        <v>NA</v>
      </c>
      <c r="V1917" s="29" t="str">
        <f t="shared" si="632"/>
        <v>NA</v>
      </c>
      <c r="W1917" s="29" t="str">
        <f t="shared" si="633"/>
        <v>NA</v>
      </c>
      <c r="X1917" s="29" t="str">
        <f t="shared" si="634"/>
        <v>NA</v>
      </c>
      <c r="Y1917" s="29" t="str">
        <f t="shared" si="635"/>
        <v>NA</v>
      </c>
      <c r="Z1917" s="29" t="str">
        <f t="shared" si="636"/>
        <v>NA</v>
      </c>
      <c r="AA1917" s="29" t="str">
        <f t="shared" si="637"/>
        <v>NA</v>
      </c>
      <c r="AB1917" s="29" t="str">
        <f t="shared" si="638"/>
        <v>NA</v>
      </c>
      <c r="AC1917" s="29" t="str">
        <f t="shared" si="639"/>
        <v>NA</v>
      </c>
      <c r="AD1917" s="29" t="str">
        <f t="shared" si="640"/>
        <v>NA</v>
      </c>
      <c r="AE1917" s="29" t="str">
        <f t="shared" si="641"/>
        <v>NA</v>
      </c>
      <c r="AF1917" s="29" t="str">
        <f t="shared" si="642"/>
        <v>NA</v>
      </c>
      <c r="AG1917" s="29" t="str">
        <f t="shared" si="643"/>
        <v>NA</v>
      </c>
      <c r="AH1917" s="29" t="str">
        <f t="shared" si="644"/>
        <v>NA</v>
      </c>
    </row>
    <row r="1918" customHeight="1" spans="1:34">
      <c r="A1918" s="12" t="s">
        <v>1043</v>
      </c>
      <c r="F1918" s="24">
        <f t="shared" si="626"/>
        <v>0</v>
      </c>
      <c r="G1918" s="24" t="e">
        <f t="shared" si="625"/>
        <v>#DIV/0!</v>
      </c>
      <c r="Q1918" s="29" t="str">
        <f t="shared" si="627"/>
        <v>NA</v>
      </c>
      <c r="R1918" s="29" t="str">
        <f t="shared" si="628"/>
        <v>NA</v>
      </c>
      <c r="S1918" s="29" t="str">
        <f t="shared" si="629"/>
        <v>NA</v>
      </c>
      <c r="T1918" s="29" t="str">
        <f t="shared" si="630"/>
        <v>NA</v>
      </c>
      <c r="U1918" s="29" t="str">
        <f t="shared" si="631"/>
        <v>NA</v>
      </c>
      <c r="V1918" s="29" t="str">
        <f t="shared" si="632"/>
        <v>NA</v>
      </c>
      <c r="W1918" s="29" t="str">
        <f t="shared" si="633"/>
        <v>NA</v>
      </c>
      <c r="X1918" s="29" t="str">
        <f t="shared" si="634"/>
        <v>NA</v>
      </c>
      <c r="Y1918" s="29" t="str">
        <f t="shared" si="635"/>
        <v>NA</v>
      </c>
      <c r="Z1918" s="29" t="str">
        <f t="shared" si="636"/>
        <v>NA</v>
      </c>
      <c r="AA1918" s="29" t="str">
        <f t="shared" si="637"/>
        <v>NA</v>
      </c>
      <c r="AB1918" s="29" t="str">
        <f t="shared" si="638"/>
        <v>NA</v>
      </c>
      <c r="AC1918" s="29" t="str">
        <f t="shared" si="639"/>
        <v>NA</v>
      </c>
      <c r="AD1918" s="29" t="str">
        <f t="shared" si="640"/>
        <v>NA</v>
      </c>
      <c r="AE1918" s="29" t="str">
        <f t="shared" si="641"/>
        <v>NA</v>
      </c>
      <c r="AF1918" s="29" t="str">
        <f t="shared" si="642"/>
        <v>NA</v>
      </c>
      <c r="AG1918" s="29" t="str">
        <f t="shared" si="643"/>
        <v>NA</v>
      </c>
      <c r="AH1918" s="29" t="str">
        <f t="shared" si="644"/>
        <v>NA</v>
      </c>
    </row>
    <row r="1919" customHeight="1" spans="1:34">
      <c r="A1919" s="12" t="s">
        <v>1043</v>
      </c>
      <c r="F1919" s="24">
        <f t="shared" si="626"/>
        <v>0</v>
      </c>
      <c r="G1919" s="24" t="e">
        <f t="shared" si="625"/>
        <v>#DIV/0!</v>
      </c>
      <c r="Q1919" s="29" t="str">
        <f t="shared" si="627"/>
        <v>NA</v>
      </c>
      <c r="R1919" s="29" t="str">
        <f t="shared" si="628"/>
        <v>NA</v>
      </c>
      <c r="S1919" s="29" t="str">
        <f t="shared" si="629"/>
        <v>NA</v>
      </c>
      <c r="T1919" s="29" t="str">
        <f t="shared" si="630"/>
        <v>NA</v>
      </c>
      <c r="U1919" s="29" t="str">
        <f t="shared" si="631"/>
        <v>NA</v>
      </c>
      <c r="V1919" s="29" t="str">
        <f t="shared" si="632"/>
        <v>NA</v>
      </c>
      <c r="W1919" s="29" t="str">
        <f t="shared" si="633"/>
        <v>NA</v>
      </c>
      <c r="X1919" s="29" t="str">
        <f t="shared" si="634"/>
        <v>NA</v>
      </c>
      <c r="Y1919" s="29" t="str">
        <f t="shared" si="635"/>
        <v>NA</v>
      </c>
      <c r="Z1919" s="29" t="str">
        <f t="shared" si="636"/>
        <v>NA</v>
      </c>
      <c r="AA1919" s="29" t="str">
        <f t="shared" si="637"/>
        <v>NA</v>
      </c>
      <c r="AB1919" s="29" t="str">
        <f t="shared" si="638"/>
        <v>NA</v>
      </c>
      <c r="AC1919" s="29" t="str">
        <f t="shared" si="639"/>
        <v>NA</v>
      </c>
      <c r="AD1919" s="29" t="str">
        <f t="shared" si="640"/>
        <v>NA</v>
      </c>
      <c r="AE1919" s="29" t="str">
        <f t="shared" si="641"/>
        <v>NA</v>
      </c>
      <c r="AF1919" s="29" t="str">
        <f t="shared" si="642"/>
        <v>NA</v>
      </c>
      <c r="AG1919" s="29" t="str">
        <f t="shared" si="643"/>
        <v>NA</v>
      </c>
      <c r="AH1919" s="29" t="str">
        <f t="shared" si="644"/>
        <v>NA</v>
      </c>
    </row>
    <row r="1920" customHeight="1" spans="1:34">
      <c r="A1920" s="12" t="s">
        <v>1043</v>
      </c>
      <c r="F1920" s="24">
        <f t="shared" si="626"/>
        <v>0</v>
      </c>
      <c r="G1920" s="24" t="e">
        <f t="shared" si="625"/>
        <v>#DIV/0!</v>
      </c>
      <c r="Q1920" s="29" t="str">
        <f t="shared" si="627"/>
        <v>NA</v>
      </c>
      <c r="R1920" s="29" t="str">
        <f t="shared" si="628"/>
        <v>NA</v>
      </c>
      <c r="S1920" s="29" t="str">
        <f t="shared" si="629"/>
        <v>NA</v>
      </c>
      <c r="T1920" s="29" t="str">
        <f t="shared" si="630"/>
        <v>NA</v>
      </c>
      <c r="U1920" s="29" t="str">
        <f t="shared" si="631"/>
        <v>NA</v>
      </c>
      <c r="V1920" s="29" t="str">
        <f t="shared" si="632"/>
        <v>NA</v>
      </c>
      <c r="W1920" s="29" t="str">
        <f t="shared" si="633"/>
        <v>NA</v>
      </c>
      <c r="X1920" s="29" t="str">
        <f t="shared" si="634"/>
        <v>NA</v>
      </c>
      <c r="Y1920" s="29" t="str">
        <f t="shared" si="635"/>
        <v>NA</v>
      </c>
      <c r="Z1920" s="29" t="str">
        <f t="shared" si="636"/>
        <v>NA</v>
      </c>
      <c r="AA1920" s="29" t="str">
        <f t="shared" si="637"/>
        <v>NA</v>
      </c>
      <c r="AB1920" s="29" t="str">
        <f t="shared" si="638"/>
        <v>NA</v>
      </c>
      <c r="AC1920" s="29" t="str">
        <f t="shared" si="639"/>
        <v>NA</v>
      </c>
      <c r="AD1920" s="29" t="str">
        <f t="shared" si="640"/>
        <v>NA</v>
      </c>
      <c r="AE1920" s="29" t="str">
        <f t="shared" si="641"/>
        <v>NA</v>
      </c>
      <c r="AF1920" s="29" t="str">
        <f t="shared" si="642"/>
        <v>NA</v>
      </c>
      <c r="AG1920" s="29" t="str">
        <f t="shared" si="643"/>
        <v>NA</v>
      </c>
      <c r="AH1920" s="29" t="str">
        <f t="shared" si="644"/>
        <v>NA</v>
      </c>
    </row>
    <row r="1921" customHeight="1" spans="1:34">
      <c r="A1921" s="12" t="s">
        <v>1043</v>
      </c>
      <c r="F1921" s="24">
        <f t="shared" si="626"/>
        <v>0</v>
      </c>
      <c r="G1921" s="24" t="e">
        <f t="shared" si="625"/>
        <v>#DIV/0!</v>
      </c>
      <c r="Q1921" s="29" t="str">
        <f t="shared" si="627"/>
        <v>NA</v>
      </c>
      <c r="R1921" s="29" t="str">
        <f t="shared" si="628"/>
        <v>NA</v>
      </c>
      <c r="S1921" s="29" t="str">
        <f t="shared" si="629"/>
        <v>NA</v>
      </c>
      <c r="T1921" s="29" t="str">
        <f t="shared" si="630"/>
        <v>NA</v>
      </c>
      <c r="U1921" s="29" t="str">
        <f t="shared" si="631"/>
        <v>NA</v>
      </c>
      <c r="V1921" s="29" t="str">
        <f t="shared" si="632"/>
        <v>NA</v>
      </c>
      <c r="W1921" s="29" t="str">
        <f t="shared" si="633"/>
        <v>NA</v>
      </c>
      <c r="X1921" s="29" t="str">
        <f t="shared" si="634"/>
        <v>NA</v>
      </c>
      <c r="Y1921" s="29" t="str">
        <f t="shared" si="635"/>
        <v>NA</v>
      </c>
      <c r="Z1921" s="29" t="str">
        <f t="shared" si="636"/>
        <v>NA</v>
      </c>
      <c r="AA1921" s="29" t="str">
        <f t="shared" si="637"/>
        <v>NA</v>
      </c>
      <c r="AB1921" s="29" t="str">
        <f t="shared" si="638"/>
        <v>NA</v>
      </c>
      <c r="AC1921" s="29" t="str">
        <f t="shared" si="639"/>
        <v>NA</v>
      </c>
      <c r="AD1921" s="29" t="str">
        <f t="shared" si="640"/>
        <v>NA</v>
      </c>
      <c r="AE1921" s="29" t="str">
        <f t="shared" si="641"/>
        <v>NA</v>
      </c>
      <c r="AF1921" s="29" t="str">
        <f t="shared" si="642"/>
        <v>NA</v>
      </c>
      <c r="AG1921" s="29" t="str">
        <f t="shared" si="643"/>
        <v>NA</v>
      </c>
      <c r="AH1921" s="29" t="str">
        <f t="shared" si="644"/>
        <v>NA</v>
      </c>
    </row>
    <row r="1922" customHeight="1" spans="1:34">
      <c r="A1922" s="12" t="s">
        <v>1043</v>
      </c>
      <c r="F1922" s="24">
        <f t="shared" si="626"/>
        <v>0</v>
      </c>
      <c r="G1922" s="24" t="e">
        <f t="shared" si="625"/>
        <v>#DIV/0!</v>
      </c>
      <c r="Q1922" s="29" t="str">
        <f t="shared" si="627"/>
        <v>NA</v>
      </c>
      <c r="R1922" s="29" t="str">
        <f t="shared" si="628"/>
        <v>NA</v>
      </c>
      <c r="S1922" s="29" t="str">
        <f t="shared" si="629"/>
        <v>NA</v>
      </c>
      <c r="T1922" s="29" t="str">
        <f t="shared" si="630"/>
        <v>NA</v>
      </c>
      <c r="U1922" s="29" t="str">
        <f t="shared" si="631"/>
        <v>NA</v>
      </c>
      <c r="V1922" s="29" t="str">
        <f t="shared" si="632"/>
        <v>NA</v>
      </c>
      <c r="W1922" s="29" t="str">
        <f t="shared" si="633"/>
        <v>NA</v>
      </c>
      <c r="X1922" s="29" t="str">
        <f t="shared" si="634"/>
        <v>NA</v>
      </c>
      <c r="Y1922" s="29" t="str">
        <f t="shared" si="635"/>
        <v>NA</v>
      </c>
      <c r="Z1922" s="29" t="str">
        <f t="shared" si="636"/>
        <v>NA</v>
      </c>
      <c r="AA1922" s="29" t="str">
        <f t="shared" si="637"/>
        <v>NA</v>
      </c>
      <c r="AB1922" s="29" t="str">
        <f t="shared" si="638"/>
        <v>NA</v>
      </c>
      <c r="AC1922" s="29" t="str">
        <f t="shared" si="639"/>
        <v>NA</v>
      </c>
      <c r="AD1922" s="29" t="str">
        <f t="shared" si="640"/>
        <v>NA</v>
      </c>
      <c r="AE1922" s="29" t="str">
        <f t="shared" si="641"/>
        <v>NA</v>
      </c>
      <c r="AF1922" s="29" t="str">
        <f t="shared" si="642"/>
        <v>NA</v>
      </c>
      <c r="AG1922" s="29" t="str">
        <f t="shared" si="643"/>
        <v>NA</v>
      </c>
      <c r="AH1922" s="29" t="str">
        <f t="shared" si="644"/>
        <v>NA</v>
      </c>
    </row>
    <row r="1923" customHeight="1" spans="1:34">
      <c r="A1923" s="12" t="s">
        <v>1043</v>
      </c>
      <c r="F1923" s="24">
        <f t="shared" si="626"/>
        <v>0</v>
      </c>
      <c r="G1923" s="24" t="e">
        <f t="shared" si="625"/>
        <v>#DIV/0!</v>
      </c>
      <c r="Q1923" s="29" t="str">
        <f t="shared" si="627"/>
        <v>NA</v>
      </c>
      <c r="R1923" s="29" t="str">
        <f t="shared" si="628"/>
        <v>NA</v>
      </c>
      <c r="S1923" s="29" t="str">
        <f t="shared" si="629"/>
        <v>NA</v>
      </c>
      <c r="T1923" s="29" t="str">
        <f t="shared" si="630"/>
        <v>NA</v>
      </c>
      <c r="U1923" s="29" t="str">
        <f t="shared" si="631"/>
        <v>NA</v>
      </c>
      <c r="V1923" s="29" t="str">
        <f t="shared" si="632"/>
        <v>NA</v>
      </c>
      <c r="W1923" s="29" t="str">
        <f t="shared" si="633"/>
        <v>NA</v>
      </c>
      <c r="X1923" s="29" t="str">
        <f t="shared" si="634"/>
        <v>NA</v>
      </c>
      <c r="Y1923" s="29" t="str">
        <f t="shared" si="635"/>
        <v>NA</v>
      </c>
      <c r="Z1923" s="29" t="str">
        <f t="shared" si="636"/>
        <v>NA</v>
      </c>
      <c r="AA1923" s="29" t="str">
        <f t="shared" si="637"/>
        <v>NA</v>
      </c>
      <c r="AB1923" s="29" t="str">
        <f t="shared" si="638"/>
        <v>NA</v>
      </c>
      <c r="AC1923" s="29" t="str">
        <f t="shared" si="639"/>
        <v>NA</v>
      </c>
      <c r="AD1923" s="29" t="str">
        <f t="shared" si="640"/>
        <v>NA</v>
      </c>
      <c r="AE1923" s="29" t="str">
        <f t="shared" si="641"/>
        <v>NA</v>
      </c>
      <c r="AF1923" s="29" t="str">
        <f t="shared" si="642"/>
        <v>NA</v>
      </c>
      <c r="AG1923" s="29" t="str">
        <f t="shared" si="643"/>
        <v>NA</v>
      </c>
      <c r="AH1923" s="29" t="str">
        <f t="shared" si="644"/>
        <v>NA</v>
      </c>
    </row>
    <row r="1924" customHeight="1" spans="1:34">
      <c r="A1924" s="12" t="s">
        <v>1043</v>
      </c>
      <c r="F1924" s="24">
        <f t="shared" si="626"/>
        <v>0</v>
      </c>
      <c r="G1924" s="24" t="e">
        <f t="shared" si="625"/>
        <v>#DIV/0!</v>
      </c>
      <c r="Q1924" s="29" t="str">
        <f t="shared" si="627"/>
        <v>NA</v>
      </c>
      <c r="R1924" s="29" t="str">
        <f t="shared" si="628"/>
        <v>NA</v>
      </c>
      <c r="S1924" s="29" t="str">
        <f t="shared" si="629"/>
        <v>NA</v>
      </c>
      <c r="T1924" s="29" t="str">
        <f t="shared" si="630"/>
        <v>NA</v>
      </c>
      <c r="U1924" s="29" t="str">
        <f t="shared" si="631"/>
        <v>NA</v>
      </c>
      <c r="V1924" s="29" t="str">
        <f t="shared" si="632"/>
        <v>NA</v>
      </c>
      <c r="W1924" s="29" t="str">
        <f t="shared" si="633"/>
        <v>NA</v>
      </c>
      <c r="X1924" s="29" t="str">
        <f t="shared" si="634"/>
        <v>NA</v>
      </c>
      <c r="Y1924" s="29" t="str">
        <f t="shared" si="635"/>
        <v>NA</v>
      </c>
      <c r="Z1924" s="29" t="str">
        <f t="shared" si="636"/>
        <v>NA</v>
      </c>
      <c r="AA1924" s="29" t="str">
        <f t="shared" si="637"/>
        <v>NA</v>
      </c>
      <c r="AB1924" s="29" t="str">
        <f t="shared" si="638"/>
        <v>NA</v>
      </c>
      <c r="AC1924" s="29" t="str">
        <f t="shared" si="639"/>
        <v>NA</v>
      </c>
      <c r="AD1924" s="29" t="str">
        <f t="shared" si="640"/>
        <v>NA</v>
      </c>
      <c r="AE1924" s="29" t="str">
        <f t="shared" si="641"/>
        <v>NA</v>
      </c>
      <c r="AF1924" s="29" t="str">
        <f t="shared" si="642"/>
        <v>NA</v>
      </c>
      <c r="AG1924" s="29" t="str">
        <f t="shared" si="643"/>
        <v>NA</v>
      </c>
      <c r="AH1924" s="29" t="str">
        <f t="shared" si="644"/>
        <v>NA</v>
      </c>
    </row>
    <row r="1925" customHeight="1" spans="1:34">
      <c r="A1925" s="12" t="s">
        <v>1043</v>
      </c>
      <c r="F1925" s="24">
        <f t="shared" si="626"/>
        <v>0</v>
      </c>
      <c r="G1925" s="24" t="e">
        <f t="shared" ref="G1925:G1988" si="645">B1925*D1925/C1925</f>
        <v>#DIV/0!</v>
      </c>
      <c r="Q1925" s="29" t="str">
        <f t="shared" si="627"/>
        <v>NA</v>
      </c>
      <c r="R1925" s="29" t="str">
        <f t="shared" si="628"/>
        <v>NA</v>
      </c>
      <c r="S1925" s="29" t="str">
        <f t="shared" si="629"/>
        <v>NA</v>
      </c>
      <c r="T1925" s="29" t="str">
        <f t="shared" si="630"/>
        <v>NA</v>
      </c>
      <c r="U1925" s="29" t="str">
        <f t="shared" si="631"/>
        <v>NA</v>
      </c>
      <c r="V1925" s="29" t="str">
        <f t="shared" si="632"/>
        <v>NA</v>
      </c>
      <c r="W1925" s="29" t="str">
        <f t="shared" si="633"/>
        <v>NA</v>
      </c>
      <c r="X1925" s="29" t="str">
        <f t="shared" si="634"/>
        <v>NA</v>
      </c>
      <c r="Y1925" s="29" t="str">
        <f t="shared" si="635"/>
        <v>NA</v>
      </c>
      <c r="Z1925" s="29" t="str">
        <f t="shared" si="636"/>
        <v>NA</v>
      </c>
      <c r="AA1925" s="29" t="str">
        <f t="shared" si="637"/>
        <v>NA</v>
      </c>
      <c r="AB1925" s="29" t="str">
        <f t="shared" si="638"/>
        <v>NA</v>
      </c>
      <c r="AC1925" s="29" t="str">
        <f t="shared" si="639"/>
        <v>NA</v>
      </c>
      <c r="AD1925" s="29" t="str">
        <f t="shared" si="640"/>
        <v>NA</v>
      </c>
      <c r="AE1925" s="29" t="str">
        <f t="shared" si="641"/>
        <v>NA</v>
      </c>
      <c r="AF1925" s="29" t="str">
        <f t="shared" si="642"/>
        <v>NA</v>
      </c>
      <c r="AG1925" s="29" t="str">
        <f t="shared" si="643"/>
        <v>NA</v>
      </c>
      <c r="AH1925" s="29" t="str">
        <f t="shared" si="644"/>
        <v>NA</v>
      </c>
    </row>
    <row r="1926" customHeight="1" spans="1:34">
      <c r="A1926" s="12" t="s">
        <v>1043</v>
      </c>
      <c r="F1926" s="24">
        <f t="shared" ref="F1926:F1989" si="646">+D1926+E1926</f>
        <v>0</v>
      </c>
      <c r="G1926" s="24" t="e">
        <f t="shared" si="645"/>
        <v>#DIV/0!</v>
      </c>
      <c r="Q1926" s="29" t="str">
        <f t="shared" si="627"/>
        <v>NA</v>
      </c>
      <c r="R1926" s="29" t="str">
        <f t="shared" si="628"/>
        <v>NA</v>
      </c>
      <c r="S1926" s="29" t="str">
        <f t="shared" si="629"/>
        <v>NA</v>
      </c>
      <c r="T1926" s="29" t="str">
        <f t="shared" si="630"/>
        <v>NA</v>
      </c>
      <c r="U1926" s="29" t="str">
        <f t="shared" si="631"/>
        <v>NA</v>
      </c>
      <c r="V1926" s="29" t="str">
        <f t="shared" si="632"/>
        <v>NA</v>
      </c>
      <c r="W1926" s="29" t="str">
        <f t="shared" si="633"/>
        <v>NA</v>
      </c>
      <c r="X1926" s="29" t="str">
        <f t="shared" si="634"/>
        <v>NA</v>
      </c>
      <c r="Y1926" s="29" t="str">
        <f t="shared" si="635"/>
        <v>NA</v>
      </c>
      <c r="Z1926" s="29" t="str">
        <f t="shared" si="636"/>
        <v>NA</v>
      </c>
      <c r="AA1926" s="29" t="str">
        <f t="shared" si="637"/>
        <v>NA</v>
      </c>
      <c r="AB1926" s="29" t="str">
        <f t="shared" si="638"/>
        <v>NA</v>
      </c>
      <c r="AC1926" s="29" t="str">
        <f t="shared" si="639"/>
        <v>NA</v>
      </c>
      <c r="AD1926" s="29" t="str">
        <f t="shared" si="640"/>
        <v>NA</v>
      </c>
      <c r="AE1926" s="29" t="str">
        <f t="shared" si="641"/>
        <v>NA</v>
      </c>
      <c r="AF1926" s="29" t="str">
        <f t="shared" si="642"/>
        <v>NA</v>
      </c>
      <c r="AG1926" s="29" t="str">
        <f t="shared" si="643"/>
        <v>NA</v>
      </c>
      <c r="AH1926" s="29" t="str">
        <f t="shared" si="644"/>
        <v>NA</v>
      </c>
    </row>
    <row r="1927" customHeight="1" spans="1:34">
      <c r="A1927" s="12" t="s">
        <v>1043</v>
      </c>
      <c r="F1927" s="24">
        <f t="shared" si="646"/>
        <v>0</v>
      </c>
      <c r="G1927" s="24" t="e">
        <f t="shared" si="645"/>
        <v>#DIV/0!</v>
      </c>
      <c r="Q1927" s="29" t="str">
        <f t="shared" si="627"/>
        <v>NA</v>
      </c>
      <c r="R1927" s="29" t="str">
        <f t="shared" si="628"/>
        <v>NA</v>
      </c>
      <c r="S1927" s="29" t="str">
        <f t="shared" si="629"/>
        <v>NA</v>
      </c>
      <c r="T1927" s="29" t="str">
        <f t="shared" si="630"/>
        <v>NA</v>
      </c>
      <c r="U1927" s="29" t="str">
        <f t="shared" si="631"/>
        <v>NA</v>
      </c>
      <c r="V1927" s="29" t="str">
        <f t="shared" si="632"/>
        <v>NA</v>
      </c>
      <c r="W1927" s="29" t="str">
        <f t="shared" si="633"/>
        <v>NA</v>
      </c>
      <c r="X1927" s="29" t="str">
        <f t="shared" si="634"/>
        <v>NA</v>
      </c>
      <c r="Y1927" s="29" t="str">
        <f t="shared" si="635"/>
        <v>NA</v>
      </c>
      <c r="Z1927" s="29" t="str">
        <f t="shared" si="636"/>
        <v>NA</v>
      </c>
      <c r="AA1927" s="29" t="str">
        <f t="shared" si="637"/>
        <v>NA</v>
      </c>
      <c r="AB1927" s="29" t="str">
        <f t="shared" si="638"/>
        <v>NA</v>
      </c>
      <c r="AC1927" s="29" t="str">
        <f t="shared" si="639"/>
        <v>NA</v>
      </c>
      <c r="AD1927" s="29" t="str">
        <f t="shared" si="640"/>
        <v>NA</v>
      </c>
      <c r="AE1927" s="29" t="str">
        <f t="shared" si="641"/>
        <v>NA</v>
      </c>
      <c r="AF1927" s="29" t="str">
        <f t="shared" si="642"/>
        <v>NA</v>
      </c>
      <c r="AG1927" s="29" t="str">
        <f t="shared" si="643"/>
        <v>NA</v>
      </c>
      <c r="AH1927" s="29" t="str">
        <f t="shared" si="644"/>
        <v>NA</v>
      </c>
    </row>
    <row r="1928" customHeight="1" spans="1:34">
      <c r="A1928" s="12" t="s">
        <v>1043</v>
      </c>
      <c r="F1928" s="24">
        <f t="shared" si="646"/>
        <v>0</v>
      </c>
      <c r="G1928" s="24" t="e">
        <f t="shared" si="645"/>
        <v>#DIV/0!</v>
      </c>
      <c r="Q1928" s="29" t="str">
        <f t="shared" si="627"/>
        <v>NA</v>
      </c>
      <c r="R1928" s="29" t="str">
        <f t="shared" si="628"/>
        <v>NA</v>
      </c>
      <c r="S1928" s="29" t="str">
        <f t="shared" si="629"/>
        <v>NA</v>
      </c>
      <c r="T1928" s="29" t="str">
        <f t="shared" si="630"/>
        <v>NA</v>
      </c>
      <c r="U1928" s="29" t="str">
        <f t="shared" si="631"/>
        <v>NA</v>
      </c>
      <c r="V1928" s="29" t="str">
        <f t="shared" si="632"/>
        <v>NA</v>
      </c>
      <c r="W1928" s="29" t="str">
        <f t="shared" si="633"/>
        <v>NA</v>
      </c>
      <c r="X1928" s="29" t="str">
        <f t="shared" si="634"/>
        <v>NA</v>
      </c>
      <c r="Y1928" s="29" t="str">
        <f t="shared" si="635"/>
        <v>NA</v>
      </c>
      <c r="Z1928" s="29" t="str">
        <f t="shared" si="636"/>
        <v>NA</v>
      </c>
      <c r="AA1928" s="29" t="str">
        <f t="shared" si="637"/>
        <v>NA</v>
      </c>
      <c r="AB1928" s="29" t="str">
        <f t="shared" si="638"/>
        <v>NA</v>
      </c>
      <c r="AC1928" s="29" t="str">
        <f t="shared" si="639"/>
        <v>NA</v>
      </c>
      <c r="AD1928" s="29" t="str">
        <f t="shared" si="640"/>
        <v>NA</v>
      </c>
      <c r="AE1928" s="29" t="str">
        <f t="shared" si="641"/>
        <v>NA</v>
      </c>
      <c r="AF1928" s="29" t="str">
        <f t="shared" si="642"/>
        <v>NA</v>
      </c>
      <c r="AG1928" s="29" t="str">
        <f t="shared" si="643"/>
        <v>NA</v>
      </c>
      <c r="AH1928" s="29" t="str">
        <f t="shared" si="644"/>
        <v>NA</v>
      </c>
    </row>
    <row r="1929" customHeight="1" spans="1:34">
      <c r="A1929" s="12" t="s">
        <v>1043</v>
      </c>
      <c r="F1929" s="24">
        <f t="shared" si="646"/>
        <v>0</v>
      </c>
      <c r="G1929" s="24" t="e">
        <f t="shared" si="645"/>
        <v>#DIV/0!</v>
      </c>
      <c r="Q1929" s="29" t="str">
        <f t="shared" si="627"/>
        <v>NA</v>
      </c>
      <c r="R1929" s="29" t="str">
        <f t="shared" si="628"/>
        <v>NA</v>
      </c>
      <c r="S1929" s="29" t="str">
        <f t="shared" si="629"/>
        <v>NA</v>
      </c>
      <c r="T1929" s="29" t="str">
        <f t="shared" si="630"/>
        <v>NA</v>
      </c>
      <c r="U1929" s="29" t="str">
        <f t="shared" si="631"/>
        <v>NA</v>
      </c>
      <c r="V1929" s="29" t="str">
        <f t="shared" si="632"/>
        <v>NA</v>
      </c>
      <c r="W1929" s="29" t="str">
        <f t="shared" si="633"/>
        <v>NA</v>
      </c>
      <c r="X1929" s="29" t="str">
        <f t="shared" si="634"/>
        <v>NA</v>
      </c>
      <c r="Y1929" s="29" t="str">
        <f t="shared" si="635"/>
        <v>NA</v>
      </c>
      <c r="Z1929" s="29" t="str">
        <f t="shared" si="636"/>
        <v>NA</v>
      </c>
      <c r="AA1929" s="29" t="str">
        <f t="shared" si="637"/>
        <v>NA</v>
      </c>
      <c r="AB1929" s="29" t="str">
        <f t="shared" si="638"/>
        <v>NA</v>
      </c>
      <c r="AC1929" s="29" t="str">
        <f t="shared" si="639"/>
        <v>NA</v>
      </c>
      <c r="AD1929" s="29" t="str">
        <f t="shared" si="640"/>
        <v>NA</v>
      </c>
      <c r="AE1929" s="29" t="str">
        <f t="shared" si="641"/>
        <v>NA</v>
      </c>
      <c r="AF1929" s="29" t="str">
        <f t="shared" si="642"/>
        <v>NA</v>
      </c>
      <c r="AG1929" s="29" t="str">
        <f t="shared" si="643"/>
        <v>NA</v>
      </c>
      <c r="AH1929" s="29" t="str">
        <f t="shared" si="644"/>
        <v>NA</v>
      </c>
    </row>
    <row r="1930" customHeight="1" spans="1:34">
      <c r="A1930" s="12" t="s">
        <v>1043</v>
      </c>
      <c r="F1930" s="24">
        <f t="shared" si="646"/>
        <v>0</v>
      </c>
      <c r="G1930" s="24" t="e">
        <f t="shared" si="645"/>
        <v>#DIV/0!</v>
      </c>
      <c r="Q1930" s="29" t="str">
        <f t="shared" si="627"/>
        <v>NA</v>
      </c>
      <c r="R1930" s="29" t="str">
        <f t="shared" si="628"/>
        <v>NA</v>
      </c>
      <c r="S1930" s="29" t="str">
        <f t="shared" si="629"/>
        <v>NA</v>
      </c>
      <c r="T1930" s="29" t="str">
        <f t="shared" si="630"/>
        <v>NA</v>
      </c>
      <c r="U1930" s="29" t="str">
        <f t="shared" si="631"/>
        <v>NA</v>
      </c>
      <c r="V1930" s="29" t="str">
        <f t="shared" si="632"/>
        <v>NA</v>
      </c>
      <c r="W1930" s="29" t="str">
        <f t="shared" si="633"/>
        <v>NA</v>
      </c>
      <c r="X1930" s="29" t="str">
        <f t="shared" si="634"/>
        <v>NA</v>
      </c>
      <c r="Y1930" s="29" t="str">
        <f t="shared" si="635"/>
        <v>NA</v>
      </c>
      <c r="Z1930" s="29" t="str">
        <f t="shared" si="636"/>
        <v>NA</v>
      </c>
      <c r="AA1930" s="29" t="str">
        <f t="shared" si="637"/>
        <v>NA</v>
      </c>
      <c r="AB1930" s="29" t="str">
        <f t="shared" si="638"/>
        <v>NA</v>
      </c>
      <c r="AC1930" s="29" t="str">
        <f t="shared" si="639"/>
        <v>NA</v>
      </c>
      <c r="AD1930" s="29" t="str">
        <f t="shared" si="640"/>
        <v>NA</v>
      </c>
      <c r="AE1930" s="29" t="str">
        <f t="shared" si="641"/>
        <v>NA</v>
      </c>
      <c r="AF1930" s="29" t="str">
        <f t="shared" si="642"/>
        <v>NA</v>
      </c>
      <c r="AG1930" s="29" t="str">
        <f t="shared" si="643"/>
        <v>NA</v>
      </c>
      <c r="AH1930" s="29" t="str">
        <f t="shared" si="644"/>
        <v>NA</v>
      </c>
    </row>
    <row r="1931" customHeight="1" spans="1:34">
      <c r="A1931" s="12" t="s">
        <v>1043</v>
      </c>
      <c r="F1931" s="24">
        <f t="shared" si="646"/>
        <v>0</v>
      </c>
      <c r="G1931" s="24" t="e">
        <f t="shared" si="645"/>
        <v>#DIV/0!</v>
      </c>
      <c r="Q1931" s="29" t="str">
        <f t="shared" si="627"/>
        <v>NA</v>
      </c>
      <c r="R1931" s="29" t="str">
        <f t="shared" si="628"/>
        <v>NA</v>
      </c>
      <c r="S1931" s="29" t="str">
        <f t="shared" si="629"/>
        <v>NA</v>
      </c>
      <c r="T1931" s="29" t="str">
        <f t="shared" si="630"/>
        <v>NA</v>
      </c>
      <c r="U1931" s="29" t="str">
        <f t="shared" si="631"/>
        <v>NA</v>
      </c>
      <c r="V1931" s="29" t="str">
        <f t="shared" si="632"/>
        <v>NA</v>
      </c>
      <c r="W1931" s="29" t="str">
        <f t="shared" si="633"/>
        <v>NA</v>
      </c>
      <c r="X1931" s="29" t="str">
        <f t="shared" si="634"/>
        <v>NA</v>
      </c>
      <c r="Y1931" s="29" t="str">
        <f t="shared" si="635"/>
        <v>NA</v>
      </c>
      <c r="Z1931" s="29" t="str">
        <f t="shared" si="636"/>
        <v>NA</v>
      </c>
      <c r="AA1931" s="29" t="str">
        <f t="shared" si="637"/>
        <v>NA</v>
      </c>
      <c r="AB1931" s="29" t="str">
        <f t="shared" si="638"/>
        <v>NA</v>
      </c>
      <c r="AC1931" s="29" t="str">
        <f t="shared" si="639"/>
        <v>NA</v>
      </c>
      <c r="AD1931" s="29" t="str">
        <f t="shared" si="640"/>
        <v>NA</v>
      </c>
      <c r="AE1931" s="29" t="str">
        <f t="shared" si="641"/>
        <v>NA</v>
      </c>
      <c r="AF1931" s="29" t="str">
        <f t="shared" si="642"/>
        <v>NA</v>
      </c>
      <c r="AG1931" s="29" t="str">
        <f t="shared" si="643"/>
        <v>NA</v>
      </c>
      <c r="AH1931" s="29" t="str">
        <f t="shared" si="644"/>
        <v>NA</v>
      </c>
    </row>
    <row r="1932" customHeight="1" spans="1:34">
      <c r="A1932" s="12" t="s">
        <v>1043</v>
      </c>
      <c r="F1932" s="24">
        <f t="shared" si="646"/>
        <v>0</v>
      </c>
      <c r="G1932" s="24" t="e">
        <f t="shared" si="645"/>
        <v>#DIV/0!</v>
      </c>
      <c r="Q1932" s="29" t="str">
        <f t="shared" si="627"/>
        <v>NA</v>
      </c>
      <c r="R1932" s="29" t="str">
        <f t="shared" si="628"/>
        <v>NA</v>
      </c>
      <c r="S1932" s="29" t="str">
        <f t="shared" si="629"/>
        <v>NA</v>
      </c>
      <c r="T1932" s="29" t="str">
        <f t="shared" si="630"/>
        <v>NA</v>
      </c>
      <c r="U1932" s="29" t="str">
        <f t="shared" si="631"/>
        <v>NA</v>
      </c>
      <c r="V1932" s="29" t="str">
        <f t="shared" si="632"/>
        <v>NA</v>
      </c>
      <c r="W1932" s="29" t="str">
        <f t="shared" si="633"/>
        <v>NA</v>
      </c>
      <c r="X1932" s="29" t="str">
        <f t="shared" si="634"/>
        <v>NA</v>
      </c>
      <c r="Y1932" s="29" t="str">
        <f t="shared" si="635"/>
        <v>NA</v>
      </c>
      <c r="Z1932" s="29" t="str">
        <f t="shared" si="636"/>
        <v>NA</v>
      </c>
      <c r="AA1932" s="29" t="str">
        <f t="shared" si="637"/>
        <v>NA</v>
      </c>
      <c r="AB1932" s="29" t="str">
        <f t="shared" si="638"/>
        <v>NA</v>
      </c>
      <c r="AC1932" s="29" t="str">
        <f t="shared" si="639"/>
        <v>NA</v>
      </c>
      <c r="AD1932" s="29" t="str">
        <f t="shared" si="640"/>
        <v>NA</v>
      </c>
      <c r="AE1932" s="29" t="str">
        <f t="shared" si="641"/>
        <v>NA</v>
      </c>
      <c r="AF1932" s="29" t="str">
        <f t="shared" si="642"/>
        <v>NA</v>
      </c>
      <c r="AG1932" s="29" t="str">
        <f t="shared" si="643"/>
        <v>NA</v>
      </c>
      <c r="AH1932" s="29" t="str">
        <f t="shared" si="644"/>
        <v>NA</v>
      </c>
    </row>
    <row r="1933" customHeight="1" spans="1:34">
      <c r="A1933" s="12" t="s">
        <v>1043</v>
      </c>
      <c r="F1933" s="24">
        <f t="shared" si="646"/>
        <v>0</v>
      </c>
      <c r="G1933" s="24" t="e">
        <f t="shared" si="645"/>
        <v>#DIV/0!</v>
      </c>
      <c r="Q1933" s="29" t="str">
        <f t="shared" si="627"/>
        <v>NA</v>
      </c>
      <c r="R1933" s="29" t="str">
        <f t="shared" si="628"/>
        <v>NA</v>
      </c>
      <c r="S1933" s="29" t="str">
        <f t="shared" si="629"/>
        <v>NA</v>
      </c>
      <c r="T1933" s="29" t="str">
        <f t="shared" si="630"/>
        <v>NA</v>
      </c>
      <c r="U1933" s="29" t="str">
        <f t="shared" si="631"/>
        <v>NA</v>
      </c>
      <c r="V1933" s="29" t="str">
        <f t="shared" si="632"/>
        <v>NA</v>
      </c>
      <c r="W1933" s="29" t="str">
        <f t="shared" si="633"/>
        <v>NA</v>
      </c>
      <c r="X1933" s="29" t="str">
        <f t="shared" si="634"/>
        <v>NA</v>
      </c>
      <c r="Y1933" s="29" t="str">
        <f t="shared" si="635"/>
        <v>NA</v>
      </c>
      <c r="Z1933" s="29" t="str">
        <f t="shared" si="636"/>
        <v>NA</v>
      </c>
      <c r="AA1933" s="29" t="str">
        <f t="shared" si="637"/>
        <v>NA</v>
      </c>
      <c r="AB1933" s="29" t="str">
        <f t="shared" si="638"/>
        <v>NA</v>
      </c>
      <c r="AC1933" s="29" t="str">
        <f t="shared" si="639"/>
        <v>NA</v>
      </c>
      <c r="AD1933" s="29" t="str">
        <f t="shared" si="640"/>
        <v>NA</v>
      </c>
      <c r="AE1933" s="29" t="str">
        <f t="shared" si="641"/>
        <v>NA</v>
      </c>
      <c r="AF1933" s="29" t="str">
        <f t="shared" si="642"/>
        <v>NA</v>
      </c>
      <c r="AG1933" s="29" t="str">
        <f t="shared" si="643"/>
        <v>NA</v>
      </c>
      <c r="AH1933" s="29" t="str">
        <f t="shared" si="644"/>
        <v>NA</v>
      </c>
    </row>
    <row r="1934" customHeight="1" spans="1:34">
      <c r="A1934" s="12" t="s">
        <v>1043</v>
      </c>
      <c r="F1934" s="24">
        <f t="shared" si="646"/>
        <v>0</v>
      </c>
      <c r="G1934" s="24" t="e">
        <f t="shared" si="645"/>
        <v>#DIV/0!</v>
      </c>
      <c r="Q1934" s="29" t="str">
        <f t="shared" si="627"/>
        <v>NA</v>
      </c>
      <c r="R1934" s="29" t="str">
        <f t="shared" si="628"/>
        <v>NA</v>
      </c>
      <c r="S1934" s="29" t="str">
        <f t="shared" si="629"/>
        <v>NA</v>
      </c>
      <c r="T1934" s="29" t="str">
        <f t="shared" si="630"/>
        <v>NA</v>
      </c>
      <c r="U1934" s="29" t="str">
        <f t="shared" si="631"/>
        <v>NA</v>
      </c>
      <c r="V1934" s="29" t="str">
        <f t="shared" si="632"/>
        <v>NA</v>
      </c>
      <c r="W1934" s="29" t="str">
        <f t="shared" si="633"/>
        <v>NA</v>
      </c>
      <c r="X1934" s="29" t="str">
        <f t="shared" si="634"/>
        <v>NA</v>
      </c>
      <c r="Y1934" s="29" t="str">
        <f t="shared" si="635"/>
        <v>NA</v>
      </c>
      <c r="Z1934" s="29" t="str">
        <f t="shared" si="636"/>
        <v>NA</v>
      </c>
      <c r="AA1934" s="29" t="str">
        <f t="shared" si="637"/>
        <v>NA</v>
      </c>
      <c r="AB1934" s="29" t="str">
        <f t="shared" si="638"/>
        <v>NA</v>
      </c>
      <c r="AC1934" s="29" t="str">
        <f t="shared" si="639"/>
        <v>NA</v>
      </c>
      <c r="AD1934" s="29" t="str">
        <f t="shared" si="640"/>
        <v>NA</v>
      </c>
      <c r="AE1934" s="29" t="str">
        <f t="shared" si="641"/>
        <v>NA</v>
      </c>
      <c r="AF1934" s="29" t="str">
        <f t="shared" si="642"/>
        <v>NA</v>
      </c>
      <c r="AG1934" s="29" t="str">
        <f t="shared" si="643"/>
        <v>NA</v>
      </c>
      <c r="AH1934" s="29" t="str">
        <f t="shared" si="644"/>
        <v>NA</v>
      </c>
    </row>
    <row r="1935" customHeight="1" spans="1:34">
      <c r="A1935" s="12" t="s">
        <v>1043</v>
      </c>
      <c r="F1935" s="24">
        <f t="shared" si="646"/>
        <v>0</v>
      </c>
      <c r="G1935" s="24" t="e">
        <f t="shared" si="645"/>
        <v>#DIV/0!</v>
      </c>
      <c r="Q1935" s="29" t="str">
        <f t="shared" si="627"/>
        <v>NA</v>
      </c>
      <c r="R1935" s="29" t="str">
        <f t="shared" si="628"/>
        <v>NA</v>
      </c>
      <c r="S1935" s="29" t="str">
        <f t="shared" si="629"/>
        <v>NA</v>
      </c>
      <c r="T1935" s="29" t="str">
        <f t="shared" si="630"/>
        <v>NA</v>
      </c>
      <c r="U1935" s="29" t="str">
        <f t="shared" si="631"/>
        <v>NA</v>
      </c>
      <c r="V1935" s="29" t="str">
        <f t="shared" si="632"/>
        <v>NA</v>
      </c>
      <c r="W1935" s="29" t="str">
        <f t="shared" si="633"/>
        <v>NA</v>
      </c>
      <c r="X1935" s="29" t="str">
        <f t="shared" si="634"/>
        <v>NA</v>
      </c>
      <c r="Y1935" s="29" t="str">
        <f t="shared" si="635"/>
        <v>NA</v>
      </c>
      <c r="Z1935" s="29" t="str">
        <f t="shared" si="636"/>
        <v>NA</v>
      </c>
      <c r="AA1935" s="29" t="str">
        <f t="shared" si="637"/>
        <v>NA</v>
      </c>
      <c r="AB1935" s="29" t="str">
        <f t="shared" si="638"/>
        <v>NA</v>
      </c>
      <c r="AC1935" s="29" t="str">
        <f t="shared" si="639"/>
        <v>NA</v>
      </c>
      <c r="AD1935" s="29" t="str">
        <f t="shared" si="640"/>
        <v>NA</v>
      </c>
      <c r="AE1935" s="29" t="str">
        <f t="shared" si="641"/>
        <v>NA</v>
      </c>
      <c r="AF1935" s="29" t="str">
        <f t="shared" si="642"/>
        <v>NA</v>
      </c>
      <c r="AG1935" s="29" t="str">
        <f t="shared" si="643"/>
        <v>NA</v>
      </c>
      <c r="AH1935" s="29" t="str">
        <f t="shared" si="644"/>
        <v>NA</v>
      </c>
    </row>
    <row r="1936" customHeight="1" spans="1:34">
      <c r="A1936" s="12" t="s">
        <v>1043</v>
      </c>
      <c r="F1936" s="24">
        <f t="shared" si="646"/>
        <v>0</v>
      </c>
      <c r="G1936" s="24" t="e">
        <f t="shared" si="645"/>
        <v>#DIV/0!</v>
      </c>
      <c r="Q1936" s="29" t="str">
        <f t="shared" ref="Q1936:Q1999" si="647">IFERROR($B1936*$E1936/H1936,"NA")</f>
        <v>NA</v>
      </c>
      <c r="R1936" s="29" t="str">
        <f t="shared" ref="R1936:R1999" si="648">IFERROR($B1936*$E1936/I1936,"NA")</f>
        <v>NA</v>
      </c>
      <c r="S1936" s="29" t="str">
        <f t="shared" ref="S1936:S1999" si="649">IFERROR($B1936*$E1936/J1936,"NA")</f>
        <v>NA</v>
      </c>
      <c r="T1936" s="29" t="str">
        <f t="shared" ref="T1936:T1999" si="650">IFERROR($B1936*$E1936/K1936,"NA")</f>
        <v>NA</v>
      </c>
      <c r="U1936" s="29" t="str">
        <f t="shared" ref="U1936:U1999" si="651">IFERROR($B1936*$E1936/L1936,"NA")</f>
        <v>NA</v>
      </c>
      <c r="V1936" s="29" t="str">
        <f t="shared" ref="V1936:V1999" si="652">IFERROR($B1936*$E1936/M1936,"NA")</f>
        <v>NA</v>
      </c>
      <c r="W1936" s="29" t="str">
        <f t="shared" ref="W1936:W1999" si="653">IFERROR($B1936*$E1936/N1936,"NA")</f>
        <v>NA</v>
      </c>
      <c r="X1936" s="29" t="str">
        <f t="shared" ref="X1936:X1999" si="654">IFERROR($B1936*$E1936/O1936,"NA")</f>
        <v>NA</v>
      </c>
      <c r="Y1936" s="29" t="str">
        <f t="shared" ref="Y1936:Y1999" si="655">IFERROR($B1936*$E1936/P1936,"NA")</f>
        <v>NA</v>
      </c>
      <c r="Z1936" s="29" t="str">
        <f t="shared" ref="Z1936:Z1999" si="656">IFERROR((($G1936*Z$2/1000)+Q1936)/1,"NA")</f>
        <v>NA</v>
      </c>
      <c r="AA1936" s="29" t="str">
        <f t="shared" ref="AA1936:AA1999" si="657">IFERROR((($G1936*AA$2/1000)+R1936)/1,"NA")</f>
        <v>NA</v>
      </c>
      <c r="AB1936" s="29" t="str">
        <f t="shared" ref="AB1936:AB1999" si="658">IFERROR((($G1936*AB$2/1000)+S1936)/1,"NA")</f>
        <v>NA</v>
      </c>
      <c r="AC1936" s="29" t="str">
        <f t="shared" ref="AC1936:AC1999" si="659">IFERROR((($G1936*AC$2/1000)+T1936)/1,"NA")</f>
        <v>NA</v>
      </c>
      <c r="AD1936" s="29" t="str">
        <f t="shared" ref="AD1936:AD1999" si="660">IFERROR((($G1936*AD$2/1000)+U1936)/1,"NA")</f>
        <v>NA</v>
      </c>
      <c r="AE1936" s="29" t="str">
        <f t="shared" ref="AE1936:AE1999" si="661">IFERROR((($G1936*AE$2/1000)+V1936)/1,"NA")</f>
        <v>NA</v>
      </c>
      <c r="AF1936" s="29" t="str">
        <f t="shared" ref="AF1936:AF1999" si="662">IFERROR((($G1936*AF$2/1000)+W1936)/1,"NA")</f>
        <v>NA</v>
      </c>
      <c r="AG1936" s="29" t="str">
        <f t="shared" ref="AG1936:AG1999" si="663">IFERROR((($G1936*AG$2/1000)+X1936)/1,"NA")</f>
        <v>NA</v>
      </c>
      <c r="AH1936" s="29" t="str">
        <f t="shared" ref="AH1936:AH1999" si="664">IFERROR((($G1936*AH$2/1000)+Y1936)/1,"NA")</f>
        <v>NA</v>
      </c>
    </row>
    <row r="1937" customHeight="1" spans="1:34">
      <c r="A1937" s="12" t="s">
        <v>1043</v>
      </c>
      <c r="F1937" s="24">
        <f t="shared" si="646"/>
        <v>0</v>
      </c>
      <c r="G1937" s="24" t="e">
        <f t="shared" si="645"/>
        <v>#DIV/0!</v>
      </c>
      <c r="Q1937" s="29" t="str">
        <f t="shared" si="647"/>
        <v>NA</v>
      </c>
      <c r="R1937" s="29" t="str">
        <f t="shared" si="648"/>
        <v>NA</v>
      </c>
      <c r="S1937" s="29" t="str">
        <f t="shared" si="649"/>
        <v>NA</v>
      </c>
      <c r="T1937" s="29" t="str">
        <f t="shared" si="650"/>
        <v>NA</v>
      </c>
      <c r="U1937" s="29" t="str">
        <f t="shared" si="651"/>
        <v>NA</v>
      </c>
      <c r="V1937" s="29" t="str">
        <f t="shared" si="652"/>
        <v>NA</v>
      </c>
      <c r="W1937" s="29" t="str">
        <f t="shared" si="653"/>
        <v>NA</v>
      </c>
      <c r="X1937" s="29" t="str">
        <f t="shared" si="654"/>
        <v>NA</v>
      </c>
      <c r="Y1937" s="29" t="str">
        <f t="shared" si="655"/>
        <v>NA</v>
      </c>
      <c r="Z1937" s="29" t="str">
        <f t="shared" si="656"/>
        <v>NA</v>
      </c>
      <c r="AA1937" s="29" t="str">
        <f t="shared" si="657"/>
        <v>NA</v>
      </c>
      <c r="AB1937" s="29" t="str">
        <f t="shared" si="658"/>
        <v>NA</v>
      </c>
      <c r="AC1937" s="29" t="str">
        <f t="shared" si="659"/>
        <v>NA</v>
      </c>
      <c r="AD1937" s="29" t="str">
        <f t="shared" si="660"/>
        <v>NA</v>
      </c>
      <c r="AE1937" s="29" t="str">
        <f t="shared" si="661"/>
        <v>NA</v>
      </c>
      <c r="AF1937" s="29" t="str">
        <f t="shared" si="662"/>
        <v>NA</v>
      </c>
      <c r="AG1937" s="29" t="str">
        <f t="shared" si="663"/>
        <v>NA</v>
      </c>
      <c r="AH1937" s="29" t="str">
        <f t="shared" si="664"/>
        <v>NA</v>
      </c>
    </row>
    <row r="1938" customHeight="1" spans="1:34">
      <c r="A1938" s="12" t="s">
        <v>1043</v>
      </c>
      <c r="F1938" s="24">
        <f t="shared" si="646"/>
        <v>0</v>
      </c>
      <c r="G1938" s="24" t="e">
        <f t="shared" si="645"/>
        <v>#DIV/0!</v>
      </c>
      <c r="Q1938" s="29" t="str">
        <f t="shared" si="647"/>
        <v>NA</v>
      </c>
      <c r="R1938" s="29" t="str">
        <f t="shared" si="648"/>
        <v>NA</v>
      </c>
      <c r="S1938" s="29" t="str">
        <f t="shared" si="649"/>
        <v>NA</v>
      </c>
      <c r="T1938" s="29" t="str">
        <f t="shared" si="650"/>
        <v>NA</v>
      </c>
      <c r="U1938" s="29" t="str">
        <f t="shared" si="651"/>
        <v>NA</v>
      </c>
      <c r="V1938" s="29" t="str">
        <f t="shared" si="652"/>
        <v>NA</v>
      </c>
      <c r="W1938" s="29" t="str">
        <f t="shared" si="653"/>
        <v>NA</v>
      </c>
      <c r="X1938" s="29" t="str">
        <f t="shared" si="654"/>
        <v>NA</v>
      </c>
      <c r="Y1938" s="29" t="str">
        <f t="shared" si="655"/>
        <v>NA</v>
      </c>
      <c r="Z1938" s="29" t="str">
        <f t="shared" si="656"/>
        <v>NA</v>
      </c>
      <c r="AA1938" s="29" t="str">
        <f t="shared" si="657"/>
        <v>NA</v>
      </c>
      <c r="AB1938" s="29" t="str">
        <f t="shared" si="658"/>
        <v>NA</v>
      </c>
      <c r="AC1938" s="29" t="str">
        <f t="shared" si="659"/>
        <v>NA</v>
      </c>
      <c r="AD1938" s="29" t="str">
        <f t="shared" si="660"/>
        <v>NA</v>
      </c>
      <c r="AE1938" s="29" t="str">
        <f t="shared" si="661"/>
        <v>NA</v>
      </c>
      <c r="AF1938" s="29" t="str">
        <f t="shared" si="662"/>
        <v>NA</v>
      </c>
      <c r="AG1938" s="29" t="str">
        <f t="shared" si="663"/>
        <v>NA</v>
      </c>
      <c r="AH1938" s="29" t="str">
        <f t="shared" si="664"/>
        <v>NA</v>
      </c>
    </row>
    <row r="1939" customHeight="1" spans="1:34">
      <c r="A1939" s="12" t="s">
        <v>1043</v>
      </c>
      <c r="F1939" s="24">
        <f t="shared" si="646"/>
        <v>0</v>
      </c>
      <c r="G1939" s="24" t="e">
        <f t="shared" si="645"/>
        <v>#DIV/0!</v>
      </c>
      <c r="Q1939" s="29" t="str">
        <f t="shared" si="647"/>
        <v>NA</v>
      </c>
      <c r="R1939" s="29" t="str">
        <f t="shared" si="648"/>
        <v>NA</v>
      </c>
      <c r="S1939" s="29" t="str">
        <f t="shared" si="649"/>
        <v>NA</v>
      </c>
      <c r="T1939" s="29" t="str">
        <f t="shared" si="650"/>
        <v>NA</v>
      </c>
      <c r="U1939" s="29" t="str">
        <f t="shared" si="651"/>
        <v>NA</v>
      </c>
      <c r="V1939" s="29" t="str">
        <f t="shared" si="652"/>
        <v>NA</v>
      </c>
      <c r="W1939" s="29" t="str">
        <f t="shared" si="653"/>
        <v>NA</v>
      </c>
      <c r="X1939" s="29" t="str">
        <f t="shared" si="654"/>
        <v>NA</v>
      </c>
      <c r="Y1939" s="29" t="str">
        <f t="shared" si="655"/>
        <v>NA</v>
      </c>
      <c r="Z1939" s="29" t="str">
        <f t="shared" si="656"/>
        <v>NA</v>
      </c>
      <c r="AA1939" s="29" t="str">
        <f t="shared" si="657"/>
        <v>NA</v>
      </c>
      <c r="AB1939" s="29" t="str">
        <f t="shared" si="658"/>
        <v>NA</v>
      </c>
      <c r="AC1939" s="29" t="str">
        <f t="shared" si="659"/>
        <v>NA</v>
      </c>
      <c r="AD1939" s="29" t="str">
        <f t="shared" si="660"/>
        <v>NA</v>
      </c>
      <c r="AE1939" s="29" t="str">
        <f t="shared" si="661"/>
        <v>NA</v>
      </c>
      <c r="AF1939" s="29" t="str">
        <f t="shared" si="662"/>
        <v>NA</v>
      </c>
      <c r="AG1939" s="29" t="str">
        <f t="shared" si="663"/>
        <v>NA</v>
      </c>
      <c r="AH1939" s="29" t="str">
        <f t="shared" si="664"/>
        <v>NA</v>
      </c>
    </row>
    <row r="1940" customHeight="1" spans="1:34">
      <c r="A1940" s="12" t="s">
        <v>1043</v>
      </c>
      <c r="F1940" s="24">
        <f t="shared" si="646"/>
        <v>0</v>
      </c>
      <c r="G1940" s="24" t="e">
        <f t="shared" si="645"/>
        <v>#DIV/0!</v>
      </c>
      <c r="Q1940" s="29" t="str">
        <f t="shared" si="647"/>
        <v>NA</v>
      </c>
      <c r="R1940" s="29" t="str">
        <f t="shared" si="648"/>
        <v>NA</v>
      </c>
      <c r="S1940" s="29" t="str">
        <f t="shared" si="649"/>
        <v>NA</v>
      </c>
      <c r="T1940" s="29" t="str">
        <f t="shared" si="650"/>
        <v>NA</v>
      </c>
      <c r="U1940" s="29" t="str">
        <f t="shared" si="651"/>
        <v>NA</v>
      </c>
      <c r="V1940" s="29" t="str">
        <f t="shared" si="652"/>
        <v>NA</v>
      </c>
      <c r="W1940" s="29" t="str">
        <f t="shared" si="653"/>
        <v>NA</v>
      </c>
      <c r="X1940" s="29" t="str">
        <f t="shared" si="654"/>
        <v>NA</v>
      </c>
      <c r="Y1940" s="29" t="str">
        <f t="shared" si="655"/>
        <v>NA</v>
      </c>
      <c r="Z1940" s="29" t="str">
        <f t="shared" si="656"/>
        <v>NA</v>
      </c>
      <c r="AA1940" s="29" t="str">
        <f t="shared" si="657"/>
        <v>NA</v>
      </c>
      <c r="AB1940" s="29" t="str">
        <f t="shared" si="658"/>
        <v>NA</v>
      </c>
      <c r="AC1940" s="29" t="str">
        <f t="shared" si="659"/>
        <v>NA</v>
      </c>
      <c r="AD1940" s="29" t="str">
        <f t="shared" si="660"/>
        <v>NA</v>
      </c>
      <c r="AE1940" s="29" t="str">
        <f t="shared" si="661"/>
        <v>NA</v>
      </c>
      <c r="AF1940" s="29" t="str">
        <f t="shared" si="662"/>
        <v>NA</v>
      </c>
      <c r="AG1940" s="29" t="str">
        <f t="shared" si="663"/>
        <v>NA</v>
      </c>
      <c r="AH1940" s="29" t="str">
        <f t="shared" si="664"/>
        <v>NA</v>
      </c>
    </row>
    <row r="1941" customHeight="1" spans="1:34">
      <c r="A1941" s="12" t="s">
        <v>1043</v>
      </c>
      <c r="F1941" s="24">
        <f t="shared" si="646"/>
        <v>0</v>
      </c>
      <c r="G1941" s="24" t="e">
        <f t="shared" si="645"/>
        <v>#DIV/0!</v>
      </c>
      <c r="Q1941" s="29" t="str">
        <f t="shared" si="647"/>
        <v>NA</v>
      </c>
      <c r="R1941" s="29" t="str">
        <f t="shared" si="648"/>
        <v>NA</v>
      </c>
      <c r="S1941" s="29" t="str">
        <f t="shared" si="649"/>
        <v>NA</v>
      </c>
      <c r="T1941" s="29" t="str">
        <f t="shared" si="650"/>
        <v>NA</v>
      </c>
      <c r="U1941" s="29" t="str">
        <f t="shared" si="651"/>
        <v>NA</v>
      </c>
      <c r="V1941" s="29" t="str">
        <f t="shared" si="652"/>
        <v>NA</v>
      </c>
      <c r="W1941" s="29" t="str">
        <f t="shared" si="653"/>
        <v>NA</v>
      </c>
      <c r="X1941" s="29" t="str">
        <f t="shared" si="654"/>
        <v>NA</v>
      </c>
      <c r="Y1941" s="29" t="str">
        <f t="shared" si="655"/>
        <v>NA</v>
      </c>
      <c r="Z1941" s="29" t="str">
        <f t="shared" si="656"/>
        <v>NA</v>
      </c>
      <c r="AA1941" s="29" t="str">
        <f t="shared" si="657"/>
        <v>NA</v>
      </c>
      <c r="AB1941" s="29" t="str">
        <f t="shared" si="658"/>
        <v>NA</v>
      </c>
      <c r="AC1941" s="29" t="str">
        <f t="shared" si="659"/>
        <v>NA</v>
      </c>
      <c r="AD1941" s="29" t="str">
        <f t="shared" si="660"/>
        <v>NA</v>
      </c>
      <c r="AE1941" s="29" t="str">
        <f t="shared" si="661"/>
        <v>NA</v>
      </c>
      <c r="AF1941" s="29" t="str">
        <f t="shared" si="662"/>
        <v>NA</v>
      </c>
      <c r="AG1941" s="29" t="str">
        <f t="shared" si="663"/>
        <v>NA</v>
      </c>
      <c r="AH1941" s="29" t="str">
        <f t="shared" si="664"/>
        <v>NA</v>
      </c>
    </row>
    <row r="1942" customHeight="1" spans="1:34">
      <c r="A1942" s="12" t="s">
        <v>1043</v>
      </c>
      <c r="F1942" s="24">
        <f t="shared" si="646"/>
        <v>0</v>
      </c>
      <c r="G1942" s="24" t="e">
        <f t="shared" si="645"/>
        <v>#DIV/0!</v>
      </c>
      <c r="Q1942" s="29" t="str">
        <f t="shared" si="647"/>
        <v>NA</v>
      </c>
      <c r="R1942" s="29" t="str">
        <f t="shared" si="648"/>
        <v>NA</v>
      </c>
      <c r="S1942" s="29" t="str">
        <f t="shared" si="649"/>
        <v>NA</v>
      </c>
      <c r="T1942" s="29" t="str">
        <f t="shared" si="650"/>
        <v>NA</v>
      </c>
      <c r="U1942" s="29" t="str">
        <f t="shared" si="651"/>
        <v>NA</v>
      </c>
      <c r="V1942" s="29" t="str">
        <f t="shared" si="652"/>
        <v>NA</v>
      </c>
      <c r="W1942" s="29" t="str">
        <f t="shared" si="653"/>
        <v>NA</v>
      </c>
      <c r="X1942" s="29" t="str">
        <f t="shared" si="654"/>
        <v>NA</v>
      </c>
      <c r="Y1942" s="29" t="str">
        <f t="shared" si="655"/>
        <v>NA</v>
      </c>
      <c r="Z1942" s="29" t="str">
        <f t="shared" si="656"/>
        <v>NA</v>
      </c>
      <c r="AA1942" s="29" t="str">
        <f t="shared" si="657"/>
        <v>NA</v>
      </c>
      <c r="AB1942" s="29" t="str">
        <f t="shared" si="658"/>
        <v>NA</v>
      </c>
      <c r="AC1942" s="29" t="str">
        <f t="shared" si="659"/>
        <v>NA</v>
      </c>
      <c r="AD1942" s="29" t="str">
        <f t="shared" si="660"/>
        <v>NA</v>
      </c>
      <c r="AE1942" s="29" t="str">
        <f t="shared" si="661"/>
        <v>NA</v>
      </c>
      <c r="AF1942" s="29" t="str">
        <f t="shared" si="662"/>
        <v>NA</v>
      </c>
      <c r="AG1942" s="29" t="str">
        <f t="shared" si="663"/>
        <v>NA</v>
      </c>
      <c r="AH1942" s="29" t="str">
        <f t="shared" si="664"/>
        <v>NA</v>
      </c>
    </row>
    <row r="1943" customHeight="1" spans="1:34">
      <c r="A1943" s="12" t="s">
        <v>1043</v>
      </c>
      <c r="F1943" s="24">
        <f t="shared" si="646"/>
        <v>0</v>
      </c>
      <c r="G1943" s="24" t="e">
        <f t="shared" si="645"/>
        <v>#DIV/0!</v>
      </c>
      <c r="Q1943" s="29" t="str">
        <f t="shared" si="647"/>
        <v>NA</v>
      </c>
      <c r="R1943" s="29" t="str">
        <f t="shared" si="648"/>
        <v>NA</v>
      </c>
      <c r="S1943" s="29" t="str">
        <f t="shared" si="649"/>
        <v>NA</v>
      </c>
      <c r="T1943" s="29" t="str">
        <f t="shared" si="650"/>
        <v>NA</v>
      </c>
      <c r="U1943" s="29" t="str">
        <f t="shared" si="651"/>
        <v>NA</v>
      </c>
      <c r="V1943" s="29" t="str">
        <f t="shared" si="652"/>
        <v>NA</v>
      </c>
      <c r="W1943" s="29" t="str">
        <f t="shared" si="653"/>
        <v>NA</v>
      </c>
      <c r="X1943" s="29" t="str">
        <f t="shared" si="654"/>
        <v>NA</v>
      </c>
      <c r="Y1943" s="29" t="str">
        <f t="shared" si="655"/>
        <v>NA</v>
      </c>
      <c r="Z1943" s="29" t="str">
        <f t="shared" si="656"/>
        <v>NA</v>
      </c>
      <c r="AA1943" s="29" t="str">
        <f t="shared" si="657"/>
        <v>NA</v>
      </c>
      <c r="AB1943" s="29" t="str">
        <f t="shared" si="658"/>
        <v>NA</v>
      </c>
      <c r="AC1943" s="29" t="str">
        <f t="shared" si="659"/>
        <v>NA</v>
      </c>
      <c r="AD1943" s="29" t="str">
        <f t="shared" si="660"/>
        <v>NA</v>
      </c>
      <c r="AE1943" s="29" t="str">
        <f t="shared" si="661"/>
        <v>NA</v>
      </c>
      <c r="AF1943" s="29" t="str">
        <f t="shared" si="662"/>
        <v>NA</v>
      </c>
      <c r="AG1943" s="29" t="str">
        <f t="shared" si="663"/>
        <v>NA</v>
      </c>
      <c r="AH1943" s="29" t="str">
        <f t="shared" si="664"/>
        <v>NA</v>
      </c>
    </row>
    <row r="1944" customHeight="1" spans="1:34">
      <c r="A1944" s="12" t="s">
        <v>1043</v>
      </c>
      <c r="F1944" s="24">
        <f t="shared" si="646"/>
        <v>0</v>
      </c>
      <c r="G1944" s="24" t="e">
        <f t="shared" si="645"/>
        <v>#DIV/0!</v>
      </c>
      <c r="Q1944" s="29" t="str">
        <f t="shared" si="647"/>
        <v>NA</v>
      </c>
      <c r="R1944" s="29" t="str">
        <f t="shared" si="648"/>
        <v>NA</v>
      </c>
      <c r="S1944" s="29" t="str">
        <f t="shared" si="649"/>
        <v>NA</v>
      </c>
      <c r="T1944" s="29" t="str">
        <f t="shared" si="650"/>
        <v>NA</v>
      </c>
      <c r="U1944" s="29" t="str">
        <f t="shared" si="651"/>
        <v>NA</v>
      </c>
      <c r="V1944" s="29" t="str">
        <f t="shared" si="652"/>
        <v>NA</v>
      </c>
      <c r="W1944" s="29" t="str">
        <f t="shared" si="653"/>
        <v>NA</v>
      </c>
      <c r="X1944" s="29" t="str">
        <f t="shared" si="654"/>
        <v>NA</v>
      </c>
      <c r="Y1944" s="29" t="str">
        <f t="shared" si="655"/>
        <v>NA</v>
      </c>
      <c r="Z1944" s="29" t="str">
        <f t="shared" si="656"/>
        <v>NA</v>
      </c>
      <c r="AA1944" s="29" t="str">
        <f t="shared" si="657"/>
        <v>NA</v>
      </c>
      <c r="AB1944" s="29" t="str">
        <f t="shared" si="658"/>
        <v>NA</v>
      </c>
      <c r="AC1944" s="29" t="str">
        <f t="shared" si="659"/>
        <v>NA</v>
      </c>
      <c r="AD1944" s="29" t="str">
        <f t="shared" si="660"/>
        <v>NA</v>
      </c>
      <c r="AE1944" s="29" t="str">
        <f t="shared" si="661"/>
        <v>NA</v>
      </c>
      <c r="AF1944" s="29" t="str">
        <f t="shared" si="662"/>
        <v>NA</v>
      </c>
      <c r="AG1944" s="29" t="str">
        <f t="shared" si="663"/>
        <v>NA</v>
      </c>
      <c r="AH1944" s="29" t="str">
        <f t="shared" si="664"/>
        <v>NA</v>
      </c>
    </row>
    <row r="1945" customHeight="1" spans="1:34">
      <c r="A1945" s="12" t="s">
        <v>1043</v>
      </c>
      <c r="F1945" s="24">
        <f t="shared" si="646"/>
        <v>0</v>
      </c>
      <c r="G1945" s="24" t="e">
        <f t="shared" si="645"/>
        <v>#DIV/0!</v>
      </c>
      <c r="Q1945" s="29" t="str">
        <f t="shared" si="647"/>
        <v>NA</v>
      </c>
      <c r="R1945" s="29" t="str">
        <f t="shared" si="648"/>
        <v>NA</v>
      </c>
      <c r="S1945" s="29" t="str">
        <f t="shared" si="649"/>
        <v>NA</v>
      </c>
      <c r="T1945" s="29" t="str">
        <f t="shared" si="650"/>
        <v>NA</v>
      </c>
      <c r="U1945" s="29" t="str">
        <f t="shared" si="651"/>
        <v>NA</v>
      </c>
      <c r="V1945" s="29" t="str">
        <f t="shared" si="652"/>
        <v>NA</v>
      </c>
      <c r="W1945" s="29" t="str">
        <f t="shared" si="653"/>
        <v>NA</v>
      </c>
      <c r="X1945" s="29" t="str">
        <f t="shared" si="654"/>
        <v>NA</v>
      </c>
      <c r="Y1945" s="29" t="str">
        <f t="shared" si="655"/>
        <v>NA</v>
      </c>
      <c r="Z1945" s="29" t="str">
        <f t="shared" si="656"/>
        <v>NA</v>
      </c>
      <c r="AA1945" s="29" t="str">
        <f t="shared" si="657"/>
        <v>NA</v>
      </c>
      <c r="AB1945" s="29" t="str">
        <f t="shared" si="658"/>
        <v>NA</v>
      </c>
      <c r="AC1945" s="29" t="str">
        <f t="shared" si="659"/>
        <v>NA</v>
      </c>
      <c r="AD1945" s="29" t="str">
        <f t="shared" si="660"/>
        <v>NA</v>
      </c>
      <c r="AE1945" s="29" t="str">
        <f t="shared" si="661"/>
        <v>NA</v>
      </c>
      <c r="AF1945" s="29" t="str">
        <f t="shared" si="662"/>
        <v>NA</v>
      </c>
      <c r="AG1945" s="29" t="str">
        <f t="shared" si="663"/>
        <v>NA</v>
      </c>
      <c r="AH1945" s="29" t="str">
        <f t="shared" si="664"/>
        <v>NA</v>
      </c>
    </row>
    <row r="1946" customHeight="1" spans="1:34">
      <c r="A1946" s="12" t="s">
        <v>1043</v>
      </c>
      <c r="F1946" s="24">
        <f t="shared" si="646"/>
        <v>0</v>
      </c>
      <c r="G1946" s="24" t="e">
        <f t="shared" si="645"/>
        <v>#DIV/0!</v>
      </c>
      <c r="Q1946" s="29" t="str">
        <f t="shared" si="647"/>
        <v>NA</v>
      </c>
      <c r="R1946" s="29" t="str">
        <f t="shared" si="648"/>
        <v>NA</v>
      </c>
      <c r="S1946" s="29" t="str">
        <f t="shared" si="649"/>
        <v>NA</v>
      </c>
      <c r="T1946" s="29" t="str">
        <f t="shared" si="650"/>
        <v>NA</v>
      </c>
      <c r="U1946" s="29" t="str">
        <f t="shared" si="651"/>
        <v>NA</v>
      </c>
      <c r="V1946" s="29" t="str">
        <f t="shared" si="652"/>
        <v>NA</v>
      </c>
      <c r="W1946" s="29" t="str">
        <f t="shared" si="653"/>
        <v>NA</v>
      </c>
      <c r="X1946" s="29" t="str">
        <f t="shared" si="654"/>
        <v>NA</v>
      </c>
      <c r="Y1946" s="29" t="str">
        <f t="shared" si="655"/>
        <v>NA</v>
      </c>
      <c r="Z1946" s="29" t="str">
        <f t="shared" si="656"/>
        <v>NA</v>
      </c>
      <c r="AA1946" s="29" t="str">
        <f t="shared" si="657"/>
        <v>NA</v>
      </c>
      <c r="AB1946" s="29" t="str">
        <f t="shared" si="658"/>
        <v>NA</v>
      </c>
      <c r="AC1946" s="29" t="str">
        <f t="shared" si="659"/>
        <v>NA</v>
      </c>
      <c r="AD1946" s="29" t="str">
        <f t="shared" si="660"/>
        <v>NA</v>
      </c>
      <c r="AE1946" s="29" t="str">
        <f t="shared" si="661"/>
        <v>NA</v>
      </c>
      <c r="AF1946" s="29" t="str">
        <f t="shared" si="662"/>
        <v>NA</v>
      </c>
      <c r="AG1946" s="29" t="str">
        <f t="shared" si="663"/>
        <v>NA</v>
      </c>
      <c r="AH1946" s="29" t="str">
        <f t="shared" si="664"/>
        <v>NA</v>
      </c>
    </row>
    <row r="1947" customHeight="1" spans="1:34">
      <c r="A1947" s="12" t="s">
        <v>1043</v>
      </c>
      <c r="F1947" s="24">
        <f t="shared" si="646"/>
        <v>0</v>
      </c>
      <c r="G1947" s="24" t="e">
        <f t="shared" si="645"/>
        <v>#DIV/0!</v>
      </c>
      <c r="Q1947" s="29" t="str">
        <f t="shared" si="647"/>
        <v>NA</v>
      </c>
      <c r="R1947" s="29" t="str">
        <f t="shared" si="648"/>
        <v>NA</v>
      </c>
      <c r="S1947" s="29" t="str">
        <f t="shared" si="649"/>
        <v>NA</v>
      </c>
      <c r="T1947" s="29" t="str">
        <f t="shared" si="650"/>
        <v>NA</v>
      </c>
      <c r="U1947" s="29" t="str">
        <f t="shared" si="651"/>
        <v>NA</v>
      </c>
      <c r="V1947" s="29" t="str">
        <f t="shared" si="652"/>
        <v>NA</v>
      </c>
      <c r="W1947" s="29" t="str">
        <f t="shared" si="653"/>
        <v>NA</v>
      </c>
      <c r="X1947" s="29" t="str">
        <f t="shared" si="654"/>
        <v>NA</v>
      </c>
      <c r="Y1947" s="29" t="str">
        <f t="shared" si="655"/>
        <v>NA</v>
      </c>
      <c r="Z1947" s="29" t="str">
        <f t="shared" si="656"/>
        <v>NA</v>
      </c>
      <c r="AA1947" s="29" t="str">
        <f t="shared" si="657"/>
        <v>NA</v>
      </c>
      <c r="AB1947" s="29" t="str">
        <f t="shared" si="658"/>
        <v>NA</v>
      </c>
      <c r="AC1947" s="29" t="str">
        <f t="shared" si="659"/>
        <v>NA</v>
      </c>
      <c r="AD1947" s="29" t="str">
        <f t="shared" si="660"/>
        <v>NA</v>
      </c>
      <c r="AE1947" s="29" t="str">
        <f t="shared" si="661"/>
        <v>NA</v>
      </c>
      <c r="AF1947" s="29" t="str">
        <f t="shared" si="662"/>
        <v>NA</v>
      </c>
      <c r="AG1947" s="29" t="str">
        <f t="shared" si="663"/>
        <v>NA</v>
      </c>
      <c r="AH1947" s="29" t="str">
        <f t="shared" si="664"/>
        <v>NA</v>
      </c>
    </row>
    <row r="1948" customHeight="1" spans="1:34">
      <c r="A1948" s="12" t="s">
        <v>1043</v>
      </c>
      <c r="F1948" s="24">
        <f t="shared" si="646"/>
        <v>0</v>
      </c>
      <c r="G1948" s="24" t="e">
        <f t="shared" si="645"/>
        <v>#DIV/0!</v>
      </c>
      <c r="Q1948" s="29" t="str">
        <f t="shared" si="647"/>
        <v>NA</v>
      </c>
      <c r="R1948" s="29" t="str">
        <f t="shared" si="648"/>
        <v>NA</v>
      </c>
      <c r="S1948" s="29" t="str">
        <f t="shared" si="649"/>
        <v>NA</v>
      </c>
      <c r="T1948" s="29" t="str">
        <f t="shared" si="650"/>
        <v>NA</v>
      </c>
      <c r="U1948" s="29" t="str">
        <f t="shared" si="651"/>
        <v>NA</v>
      </c>
      <c r="V1948" s="29" t="str">
        <f t="shared" si="652"/>
        <v>NA</v>
      </c>
      <c r="W1948" s="29" t="str">
        <f t="shared" si="653"/>
        <v>NA</v>
      </c>
      <c r="X1948" s="29" t="str">
        <f t="shared" si="654"/>
        <v>NA</v>
      </c>
      <c r="Y1948" s="29" t="str">
        <f t="shared" si="655"/>
        <v>NA</v>
      </c>
      <c r="Z1948" s="29" t="str">
        <f t="shared" si="656"/>
        <v>NA</v>
      </c>
      <c r="AA1948" s="29" t="str">
        <f t="shared" si="657"/>
        <v>NA</v>
      </c>
      <c r="AB1948" s="29" t="str">
        <f t="shared" si="658"/>
        <v>NA</v>
      </c>
      <c r="AC1948" s="29" t="str">
        <f t="shared" si="659"/>
        <v>NA</v>
      </c>
      <c r="AD1948" s="29" t="str">
        <f t="shared" si="660"/>
        <v>NA</v>
      </c>
      <c r="AE1948" s="29" t="str">
        <f t="shared" si="661"/>
        <v>NA</v>
      </c>
      <c r="AF1948" s="29" t="str">
        <f t="shared" si="662"/>
        <v>NA</v>
      </c>
      <c r="AG1948" s="29" t="str">
        <f t="shared" si="663"/>
        <v>NA</v>
      </c>
      <c r="AH1948" s="29" t="str">
        <f t="shared" si="664"/>
        <v>NA</v>
      </c>
    </row>
    <row r="1949" customHeight="1" spans="1:34">
      <c r="A1949" s="12" t="s">
        <v>1043</v>
      </c>
      <c r="F1949" s="24">
        <f t="shared" si="646"/>
        <v>0</v>
      </c>
      <c r="G1949" s="24" t="e">
        <f t="shared" si="645"/>
        <v>#DIV/0!</v>
      </c>
      <c r="Q1949" s="29" t="str">
        <f t="shared" si="647"/>
        <v>NA</v>
      </c>
      <c r="R1949" s="29" t="str">
        <f t="shared" si="648"/>
        <v>NA</v>
      </c>
      <c r="S1949" s="29" t="str">
        <f t="shared" si="649"/>
        <v>NA</v>
      </c>
      <c r="T1949" s="29" t="str">
        <f t="shared" si="650"/>
        <v>NA</v>
      </c>
      <c r="U1949" s="29" t="str">
        <f t="shared" si="651"/>
        <v>NA</v>
      </c>
      <c r="V1949" s="29" t="str">
        <f t="shared" si="652"/>
        <v>NA</v>
      </c>
      <c r="W1949" s="29" t="str">
        <f t="shared" si="653"/>
        <v>NA</v>
      </c>
      <c r="X1949" s="29" t="str">
        <f t="shared" si="654"/>
        <v>NA</v>
      </c>
      <c r="Y1949" s="29" t="str">
        <f t="shared" si="655"/>
        <v>NA</v>
      </c>
      <c r="Z1949" s="29" t="str">
        <f t="shared" si="656"/>
        <v>NA</v>
      </c>
      <c r="AA1949" s="29" t="str">
        <f t="shared" si="657"/>
        <v>NA</v>
      </c>
      <c r="AB1949" s="29" t="str">
        <f t="shared" si="658"/>
        <v>NA</v>
      </c>
      <c r="AC1949" s="29" t="str">
        <f t="shared" si="659"/>
        <v>NA</v>
      </c>
      <c r="AD1949" s="29" t="str">
        <f t="shared" si="660"/>
        <v>NA</v>
      </c>
      <c r="AE1949" s="29" t="str">
        <f t="shared" si="661"/>
        <v>NA</v>
      </c>
      <c r="AF1949" s="29" t="str">
        <f t="shared" si="662"/>
        <v>NA</v>
      </c>
      <c r="AG1949" s="29" t="str">
        <f t="shared" si="663"/>
        <v>NA</v>
      </c>
      <c r="AH1949" s="29" t="str">
        <f t="shared" si="664"/>
        <v>NA</v>
      </c>
    </row>
    <row r="1950" customHeight="1" spans="1:34">
      <c r="A1950" s="12" t="s">
        <v>1043</v>
      </c>
      <c r="F1950" s="24">
        <f t="shared" si="646"/>
        <v>0</v>
      </c>
      <c r="G1950" s="24" t="e">
        <f t="shared" si="645"/>
        <v>#DIV/0!</v>
      </c>
      <c r="Q1950" s="29" t="str">
        <f t="shared" si="647"/>
        <v>NA</v>
      </c>
      <c r="R1950" s="29" t="str">
        <f t="shared" si="648"/>
        <v>NA</v>
      </c>
      <c r="S1950" s="29" t="str">
        <f t="shared" si="649"/>
        <v>NA</v>
      </c>
      <c r="T1950" s="29" t="str">
        <f t="shared" si="650"/>
        <v>NA</v>
      </c>
      <c r="U1950" s="29" t="str">
        <f t="shared" si="651"/>
        <v>NA</v>
      </c>
      <c r="V1950" s="29" t="str">
        <f t="shared" si="652"/>
        <v>NA</v>
      </c>
      <c r="W1950" s="29" t="str">
        <f t="shared" si="653"/>
        <v>NA</v>
      </c>
      <c r="X1950" s="29" t="str">
        <f t="shared" si="654"/>
        <v>NA</v>
      </c>
      <c r="Y1950" s="29" t="str">
        <f t="shared" si="655"/>
        <v>NA</v>
      </c>
      <c r="Z1950" s="29" t="str">
        <f t="shared" si="656"/>
        <v>NA</v>
      </c>
      <c r="AA1950" s="29" t="str">
        <f t="shared" si="657"/>
        <v>NA</v>
      </c>
      <c r="AB1950" s="29" t="str">
        <f t="shared" si="658"/>
        <v>NA</v>
      </c>
      <c r="AC1950" s="29" t="str">
        <f t="shared" si="659"/>
        <v>NA</v>
      </c>
      <c r="AD1950" s="29" t="str">
        <f t="shared" si="660"/>
        <v>NA</v>
      </c>
      <c r="AE1950" s="29" t="str">
        <f t="shared" si="661"/>
        <v>NA</v>
      </c>
      <c r="AF1950" s="29" t="str">
        <f t="shared" si="662"/>
        <v>NA</v>
      </c>
      <c r="AG1950" s="29" t="str">
        <f t="shared" si="663"/>
        <v>NA</v>
      </c>
      <c r="AH1950" s="29" t="str">
        <f t="shared" si="664"/>
        <v>NA</v>
      </c>
    </row>
    <row r="1951" customHeight="1" spans="1:34">
      <c r="A1951" s="12" t="s">
        <v>1043</v>
      </c>
      <c r="F1951" s="24">
        <f t="shared" si="646"/>
        <v>0</v>
      </c>
      <c r="G1951" s="24" t="e">
        <f t="shared" si="645"/>
        <v>#DIV/0!</v>
      </c>
      <c r="Q1951" s="29" t="str">
        <f t="shared" si="647"/>
        <v>NA</v>
      </c>
      <c r="R1951" s="29" t="str">
        <f t="shared" si="648"/>
        <v>NA</v>
      </c>
      <c r="S1951" s="29" t="str">
        <f t="shared" si="649"/>
        <v>NA</v>
      </c>
      <c r="T1951" s="29" t="str">
        <f t="shared" si="650"/>
        <v>NA</v>
      </c>
      <c r="U1951" s="29" t="str">
        <f t="shared" si="651"/>
        <v>NA</v>
      </c>
      <c r="V1951" s="29" t="str">
        <f t="shared" si="652"/>
        <v>NA</v>
      </c>
      <c r="W1951" s="29" t="str">
        <f t="shared" si="653"/>
        <v>NA</v>
      </c>
      <c r="X1951" s="29" t="str">
        <f t="shared" si="654"/>
        <v>NA</v>
      </c>
      <c r="Y1951" s="29" t="str">
        <f t="shared" si="655"/>
        <v>NA</v>
      </c>
      <c r="Z1951" s="29" t="str">
        <f t="shared" si="656"/>
        <v>NA</v>
      </c>
      <c r="AA1951" s="29" t="str">
        <f t="shared" si="657"/>
        <v>NA</v>
      </c>
      <c r="AB1951" s="29" t="str">
        <f t="shared" si="658"/>
        <v>NA</v>
      </c>
      <c r="AC1951" s="29" t="str">
        <f t="shared" si="659"/>
        <v>NA</v>
      </c>
      <c r="AD1951" s="29" t="str">
        <f t="shared" si="660"/>
        <v>NA</v>
      </c>
      <c r="AE1951" s="29" t="str">
        <f t="shared" si="661"/>
        <v>NA</v>
      </c>
      <c r="AF1951" s="29" t="str">
        <f t="shared" si="662"/>
        <v>NA</v>
      </c>
      <c r="AG1951" s="29" t="str">
        <f t="shared" si="663"/>
        <v>NA</v>
      </c>
      <c r="AH1951" s="29" t="str">
        <f t="shared" si="664"/>
        <v>NA</v>
      </c>
    </row>
    <row r="1952" customHeight="1" spans="1:34">
      <c r="A1952" s="12" t="s">
        <v>1043</v>
      </c>
      <c r="F1952" s="24">
        <f t="shared" si="646"/>
        <v>0</v>
      </c>
      <c r="G1952" s="24" t="e">
        <f t="shared" si="645"/>
        <v>#DIV/0!</v>
      </c>
      <c r="Q1952" s="29" t="str">
        <f t="shared" si="647"/>
        <v>NA</v>
      </c>
      <c r="R1952" s="29" t="str">
        <f t="shared" si="648"/>
        <v>NA</v>
      </c>
      <c r="S1952" s="29" t="str">
        <f t="shared" si="649"/>
        <v>NA</v>
      </c>
      <c r="T1952" s="29" t="str">
        <f t="shared" si="650"/>
        <v>NA</v>
      </c>
      <c r="U1952" s="29" t="str">
        <f t="shared" si="651"/>
        <v>NA</v>
      </c>
      <c r="V1952" s="29" t="str">
        <f t="shared" si="652"/>
        <v>NA</v>
      </c>
      <c r="W1952" s="29" t="str">
        <f t="shared" si="653"/>
        <v>NA</v>
      </c>
      <c r="X1952" s="29" t="str">
        <f t="shared" si="654"/>
        <v>NA</v>
      </c>
      <c r="Y1952" s="29" t="str">
        <f t="shared" si="655"/>
        <v>NA</v>
      </c>
      <c r="Z1952" s="29" t="str">
        <f t="shared" si="656"/>
        <v>NA</v>
      </c>
      <c r="AA1952" s="29" t="str">
        <f t="shared" si="657"/>
        <v>NA</v>
      </c>
      <c r="AB1952" s="29" t="str">
        <f t="shared" si="658"/>
        <v>NA</v>
      </c>
      <c r="AC1952" s="29" t="str">
        <f t="shared" si="659"/>
        <v>NA</v>
      </c>
      <c r="AD1952" s="29" t="str">
        <f t="shared" si="660"/>
        <v>NA</v>
      </c>
      <c r="AE1952" s="29" t="str">
        <f t="shared" si="661"/>
        <v>NA</v>
      </c>
      <c r="AF1952" s="29" t="str">
        <f t="shared" si="662"/>
        <v>NA</v>
      </c>
      <c r="AG1952" s="29" t="str">
        <f t="shared" si="663"/>
        <v>NA</v>
      </c>
      <c r="AH1952" s="29" t="str">
        <f t="shared" si="664"/>
        <v>NA</v>
      </c>
    </row>
    <row r="1953" customHeight="1" spans="1:34">
      <c r="A1953" s="12" t="s">
        <v>1043</v>
      </c>
      <c r="F1953" s="24">
        <f t="shared" si="646"/>
        <v>0</v>
      </c>
      <c r="G1953" s="24" t="e">
        <f t="shared" si="645"/>
        <v>#DIV/0!</v>
      </c>
      <c r="Q1953" s="29" t="str">
        <f t="shared" si="647"/>
        <v>NA</v>
      </c>
      <c r="R1953" s="29" t="str">
        <f t="shared" si="648"/>
        <v>NA</v>
      </c>
      <c r="S1953" s="29" t="str">
        <f t="shared" si="649"/>
        <v>NA</v>
      </c>
      <c r="T1953" s="29" t="str">
        <f t="shared" si="650"/>
        <v>NA</v>
      </c>
      <c r="U1953" s="29" t="str">
        <f t="shared" si="651"/>
        <v>NA</v>
      </c>
      <c r="V1953" s="29" t="str">
        <f t="shared" si="652"/>
        <v>NA</v>
      </c>
      <c r="W1953" s="29" t="str">
        <f t="shared" si="653"/>
        <v>NA</v>
      </c>
      <c r="X1953" s="29" t="str">
        <f t="shared" si="654"/>
        <v>NA</v>
      </c>
      <c r="Y1953" s="29" t="str">
        <f t="shared" si="655"/>
        <v>NA</v>
      </c>
      <c r="Z1953" s="29" t="str">
        <f t="shared" si="656"/>
        <v>NA</v>
      </c>
      <c r="AA1953" s="29" t="str">
        <f t="shared" si="657"/>
        <v>NA</v>
      </c>
      <c r="AB1953" s="29" t="str">
        <f t="shared" si="658"/>
        <v>NA</v>
      </c>
      <c r="AC1953" s="29" t="str">
        <f t="shared" si="659"/>
        <v>NA</v>
      </c>
      <c r="AD1953" s="29" t="str">
        <f t="shared" si="660"/>
        <v>NA</v>
      </c>
      <c r="AE1953" s="29" t="str">
        <f t="shared" si="661"/>
        <v>NA</v>
      </c>
      <c r="AF1953" s="29" t="str">
        <f t="shared" si="662"/>
        <v>NA</v>
      </c>
      <c r="AG1953" s="29" t="str">
        <f t="shared" si="663"/>
        <v>NA</v>
      </c>
      <c r="AH1953" s="29" t="str">
        <f t="shared" si="664"/>
        <v>NA</v>
      </c>
    </row>
    <row r="1954" customHeight="1" spans="1:34">
      <c r="A1954" s="12" t="s">
        <v>1043</v>
      </c>
      <c r="F1954" s="24">
        <f t="shared" si="646"/>
        <v>0</v>
      </c>
      <c r="G1954" s="24" t="e">
        <f t="shared" si="645"/>
        <v>#DIV/0!</v>
      </c>
      <c r="Q1954" s="29" t="str">
        <f t="shared" si="647"/>
        <v>NA</v>
      </c>
      <c r="R1954" s="29" t="str">
        <f t="shared" si="648"/>
        <v>NA</v>
      </c>
      <c r="S1954" s="29" t="str">
        <f t="shared" si="649"/>
        <v>NA</v>
      </c>
      <c r="T1954" s="29" t="str">
        <f t="shared" si="650"/>
        <v>NA</v>
      </c>
      <c r="U1954" s="29" t="str">
        <f t="shared" si="651"/>
        <v>NA</v>
      </c>
      <c r="V1954" s="29" t="str">
        <f t="shared" si="652"/>
        <v>NA</v>
      </c>
      <c r="W1954" s="29" t="str">
        <f t="shared" si="653"/>
        <v>NA</v>
      </c>
      <c r="X1954" s="29" t="str">
        <f t="shared" si="654"/>
        <v>NA</v>
      </c>
      <c r="Y1954" s="29" t="str">
        <f t="shared" si="655"/>
        <v>NA</v>
      </c>
      <c r="Z1954" s="29" t="str">
        <f t="shared" si="656"/>
        <v>NA</v>
      </c>
      <c r="AA1954" s="29" t="str">
        <f t="shared" si="657"/>
        <v>NA</v>
      </c>
      <c r="AB1954" s="29" t="str">
        <f t="shared" si="658"/>
        <v>NA</v>
      </c>
      <c r="AC1954" s="29" t="str">
        <f t="shared" si="659"/>
        <v>NA</v>
      </c>
      <c r="AD1954" s="29" t="str">
        <f t="shared" si="660"/>
        <v>NA</v>
      </c>
      <c r="AE1954" s="29" t="str">
        <f t="shared" si="661"/>
        <v>NA</v>
      </c>
      <c r="AF1954" s="29" t="str">
        <f t="shared" si="662"/>
        <v>NA</v>
      </c>
      <c r="AG1954" s="29" t="str">
        <f t="shared" si="663"/>
        <v>NA</v>
      </c>
      <c r="AH1954" s="29" t="str">
        <f t="shared" si="664"/>
        <v>NA</v>
      </c>
    </row>
    <row r="1955" customHeight="1" spans="1:34">
      <c r="A1955" s="12" t="s">
        <v>1043</v>
      </c>
      <c r="F1955" s="24">
        <f t="shared" si="646"/>
        <v>0</v>
      </c>
      <c r="G1955" s="24" t="e">
        <f t="shared" si="645"/>
        <v>#DIV/0!</v>
      </c>
      <c r="Q1955" s="29" t="str">
        <f t="shared" si="647"/>
        <v>NA</v>
      </c>
      <c r="R1955" s="29" t="str">
        <f t="shared" si="648"/>
        <v>NA</v>
      </c>
      <c r="S1955" s="29" t="str">
        <f t="shared" si="649"/>
        <v>NA</v>
      </c>
      <c r="T1955" s="29" t="str">
        <f t="shared" si="650"/>
        <v>NA</v>
      </c>
      <c r="U1955" s="29" t="str">
        <f t="shared" si="651"/>
        <v>NA</v>
      </c>
      <c r="V1955" s="29" t="str">
        <f t="shared" si="652"/>
        <v>NA</v>
      </c>
      <c r="W1955" s="29" t="str">
        <f t="shared" si="653"/>
        <v>NA</v>
      </c>
      <c r="X1955" s="29" t="str">
        <f t="shared" si="654"/>
        <v>NA</v>
      </c>
      <c r="Y1955" s="29" t="str">
        <f t="shared" si="655"/>
        <v>NA</v>
      </c>
      <c r="Z1955" s="29" t="str">
        <f t="shared" si="656"/>
        <v>NA</v>
      </c>
      <c r="AA1955" s="29" t="str">
        <f t="shared" si="657"/>
        <v>NA</v>
      </c>
      <c r="AB1955" s="29" t="str">
        <f t="shared" si="658"/>
        <v>NA</v>
      </c>
      <c r="AC1955" s="29" t="str">
        <f t="shared" si="659"/>
        <v>NA</v>
      </c>
      <c r="AD1955" s="29" t="str">
        <f t="shared" si="660"/>
        <v>NA</v>
      </c>
      <c r="AE1955" s="29" t="str">
        <f t="shared" si="661"/>
        <v>NA</v>
      </c>
      <c r="AF1955" s="29" t="str">
        <f t="shared" si="662"/>
        <v>NA</v>
      </c>
      <c r="AG1955" s="29" t="str">
        <f t="shared" si="663"/>
        <v>NA</v>
      </c>
      <c r="AH1955" s="29" t="str">
        <f t="shared" si="664"/>
        <v>NA</v>
      </c>
    </row>
    <row r="1956" customHeight="1" spans="1:34">
      <c r="A1956" s="12" t="s">
        <v>1043</v>
      </c>
      <c r="F1956" s="24">
        <f t="shared" si="646"/>
        <v>0</v>
      </c>
      <c r="G1956" s="24" t="e">
        <f t="shared" si="645"/>
        <v>#DIV/0!</v>
      </c>
      <c r="Q1956" s="29" t="str">
        <f t="shared" si="647"/>
        <v>NA</v>
      </c>
      <c r="R1956" s="29" t="str">
        <f t="shared" si="648"/>
        <v>NA</v>
      </c>
      <c r="S1956" s="29" t="str">
        <f t="shared" si="649"/>
        <v>NA</v>
      </c>
      <c r="T1956" s="29" t="str">
        <f t="shared" si="650"/>
        <v>NA</v>
      </c>
      <c r="U1956" s="29" t="str">
        <f t="shared" si="651"/>
        <v>NA</v>
      </c>
      <c r="V1956" s="29" t="str">
        <f t="shared" si="652"/>
        <v>NA</v>
      </c>
      <c r="W1956" s="29" t="str">
        <f t="shared" si="653"/>
        <v>NA</v>
      </c>
      <c r="X1956" s="29" t="str">
        <f t="shared" si="654"/>
        <v>NA</v>
      </c>
      <c r="Y1956" s="29" t="str">
        <f t="shared" si="655"/>
        <v>NA</v>
      </c>
      <c r="Z1956" s="29" t="str">
        <f t="shared" si="656"/>
        <v>NA</v>
      </c>
      <c r="AA1956" s="29" t="str">
        <f t="shared" si="657"/>
        <v>NA</v>
      </c>
      <c r="AB1956" s="29" t="str">
        <f t="shared" si="658"/>
        <v>NA</v>
      </c>
      <c r="AC1956" s="29" t="str">
        <f t="shared" si="659"/>
        <v>NA</v>
      </c>
      <c r="AD1956" s="29" t="str">
        <f t="shared" si="660"/>
        <v>NA</v>
      </c>
      <c r="AE1956" s="29" t="str">
        <f t="shared" si="661"/>
        <v>NA</v>
      </c>
      <c r="AF1956" s="29" t="str">
        <f t="shared" si="662"/>
        <v>NA</v>
      </c>
      <c r="AG1956" s="29" t="str">
        <f t="shared" si="663"/>
        <v>NA</v>
      </c>
      <c r="AH1956" s="29" t="str">
        <f t="shared" si="664"/>
        <v>NA</v>
      </c>
    </row>
    <row r="1957" customHeight="1" spans="1:34">
      <c r="A1957" s="12" t="s">
        <v>1043</v>
      </c>
      <c r="F1957" s="24">
        <f t="shared" si="646"/>
        <v>0</v>
      </c>
      <c r="G1957" s="24" t="e">
        <f t="shared" si="645"/>
        <v>#DIV/0!</v>
      </c>
      <c r="Q1957" s="29" t="str">
        <f t="shared" si="647"/>
        <v>NA</v>
      </c>
      <c r="R1957" s="29" t="str">
        <f t="shared" si="648"/>
        <v>NA</v>
      </c>
      <c r="S1957" s="29" t="str">
        <f t="shared" si="649"/>
        <v>NA</v>
      </c>
      <c r="T1957" s="29" t="str">
        <f t="shared" si="650"/>
        <v>NA</v>
      </c>
      <c r="U1957" s="29" t="str">
        <f t="shared" si="651"/>
        <v>NA</v>
      </c>
      <c r="V1957" s="29" t="str">
        <f t="shared" si="652"/>
        <v>NA</v>
      </c>
      <c r="W1957" s="29" t="str">
        <f t="shared" si="653"/>
        <v>NA</v>
      </c>
      <c r="X1957" s="29" t="str">
        <f t="shared" si="654"/>
        <v>NA</v>
      </c>
      <c r="Y1957" s="29" t="str">
        <f t="shared" si="655"/>
        <v>NA</v>
      </c>
      <c r="Z1957" s="29" t="str">
        <f t="shared" si="656"/>
        <v>NA</v>
      </c>
      <c r="AA1957" s="29" t="str">
        <f t="shared" si="657"/>
        <v>NA</v>
      </c>
      <c r="AB1957" s="29" t="str">
        <f t="shared" si="658"/>
        <v>NA</v>
      </c>
      <c r="AC1957" s="29" t="str">
        <f t="shared" si="659"/>
        <v>NA</v>
      </c>
      <c r="AD1957" s="29" t="str">
        <f t="shared" si="660"/>
        <v>NA</v>
      </c>
      <c r="AE1957" s="29" t="str">
        <f t="shared" si="661"/>
        <v>NA</v>
      </c>
      <c r="AF1957" s="29" t="str">
        <f t="shared" si="662"/>
        <v>NA</v>
      </c>
      <c r="AG1957" s="29" t="str">
        <f t="shared" si="663"/>
        <v>NA</v>
      </c>
      <c r="AH1957" s="29" t="str">
        <f t="shared" si="664"/>
        <v>NA</v>
      </c>
    </row>
    <row r="1958" customHeight="1" spans="1:34">
      <c r="A1958" s="12" t="s">
        <v>1043</v>
      </c>
      <c r="F1958" s="24">
        <f t="shared" si="646"/>
        <v>0</v>
      </c>
      <c r="G1958" s="24" t="e">
        <f t="shared" si="645"/>
        <v>#DIV/0!</v>
      </c>
      <c r="Q1958" s="29" t="str">
        <f t="shared" si="647"/>
        <v>NA</v>
      </c>
      <c r="R1958" s="29" t="str">
        <f t="shared" si="648"/>
        <v>NA</v>
      </c>
      <c r="S1958" s="29" t="str">
        <f t="shared" si="649"/>
        <v>NA</v>
      </c>
      <c r="T1958" s="29" t="str">
        <f t="shared" si="650"/>
        <v>NA</v>
      </c>
      <c r="U1958" s="29" t="str">
        <f t="shared" si="651"/>
        <v>NA</v>
      </c>
      <c r="V1958" s="29" t="str">
        <f t="shared" si="652"/>
        <v>NA</v>
      </c>
      <c r="W1958" s="29" t="str">
        <f t="shared" si="653"/>
        <v>NA</v>
      </c>
      <c r="X1958" s="29" t="str">
        <f t="shared" si="654"/>
        <v>NA</v>
      </c>
      <c r="Y1958" s="29" t="str">
        <f t="shared" si="655"/>
        <v>NA</v>
      </c>
      <c r="Z1958" s="29" t="str">
        <f t="shared" si="656"/>
        <v>NA</v>
      </c>
      <c r="AA1958" s="29" t="str">
        <f t="shared" si="657"/>
        <v>NA</v>
      </c>
      <c r="AB1958" s="29" t="str">
        <f t="shared" si="658"/>
        <v>NA</v>
      </c>
      <c r="AC1958" s="29" t="str">
        <f t="shared" si="659"/>
        <v>NA</v>
      </c>
      <c r="AD1958" s="29" t="str">
        <f t="shared" si="660"/>
        <v>NA</v>
      </c>
      <c r="AE1958" s="29" t="str">
        <f t="shared" si="661"/>
        <v>NA</v>
      </c>
      <c r="AF1958" s="29" t="str">
        <f t="shared" si="662"/>
        <v>NA</v>
      </c>
      <c r="AG1958" s="29" t="str">
        <f t="shared" si="663"/>
        <v>NA</v>
      </c>
      <c r="AH1958" s="29" t="str">
        <f t="shared" si="664"/>
        <v>NA</v>
      </c>
    </row>
    <row r="1959" customHeight="1" spans="1:34">
      <c r="A1959" s="12" t="s">
        <v>1043</v>
      </c>
      <c r="F1959" s="24">
        <f t="shared" si="646"/>
        <v>0</v>
      </c>
      <c r="G1959" s="24" t="e">
        <f t="shared" si="645"/>
        <v>#DIV/0!</v>
      </c>
      <c r="Q1959" s="29" t="str">
        <f t="shared" si="647"/>
        <v>NA</v>
      </c>
      <c r="R1959" s="29" t="str">
        <f t="shared" si="648"/>
        <v>NA</v>
      </c>
      <c r="S1959" s="29" t="str">
        <f t="shared" si="649"/>
        <v>NA</v>
      </c>
      <c r="T1959" s="29" t="str">
        <f t="shared" si="650"/>
        <v>NA</v>
      </c>
      <c r="U1959" s="29" t="str">
        <f t="shared" si="651"/>
        <v>NA</v>
      </c>
      <c r="V1959" s="29" t="str">
        <f t="shared" si="652"/>
        <v>NA</v>
      </c>
      <c r="W1959" s="29" t="str">
        <f t="shared" si="653"/>
        <v>NA</v>
      </c>
      <c r="X1959" s="29" t="str">
        <f t="shared" si="654"/>
        <v>NA</v>
      </c>
      <c r="Y1959" s="29" t="str">
        <f t="shared" si="655"/>
        <v>NA</v>
      </c>
      <c r="Z1959" s="29" t="str">
        <f t="shared" si="656"/>
        <v>NA</v>
      </c>
      <c r="AA1959" s="29" t="str">
        <f t="shared" si="657"/>
        <v>NA</v>
      </c>
      <c r="AB1959" s="29" t="str">
        <f t="shared" si="658"/>
        <v>NA</v>
      </c>
      <c r="AC1959" s="29" t="str">
        <f t="shared" si="659"/>
        <v>NA</v>
      </c>
      <c r="AD1959" s="29" t="str">
        <f t="shared" si="660"/>
        <v>NA</v>
      </c>
      <c r="AE1959" s="29" t="str">
        <f t="shared" si="661"/>
        <v>NA</v>
      </c>
      <c r="AF1959" s="29" t="str">
        <f t="shared" si="662"/>
        <v>NA</v>
      </c>
      <c r="AG1959" s="29" t="str">
        <f t="shared" si="663"/>
        <v>NA</v>
      </c>
      <c r="AH1959" s="29" t="str">
        <f t="shared" si="664"/>
        <v>NA</v>
      </c>
    </row>
    <row r="1960" customHeight="1" spans="1:34">
      <c r="A1960" s="12" t="s">
        <v>1043</v>
      </c>
      <c r="F1960" s="24">
        <f t="shared" si="646"/>
        <v>0</v>
      </c>
      <c r="G1960" s="24" t="e">
        <f t="shared" si="645"/>
        <v>#DIV/0!</v>
      </c>
      <c r="Q1960" s="29" t="str">
        <f t="shared" si="647"/>
        <v>NA</v>
      </c>
      <c r="R1960" s="29" t="str">
        <f t="shared" si="648"/>
        <v>NA</v>
      </c>
      <c r="S1960" s="29" t="str">
        <f t="shared" si="649"/>
        <v>NA</v>
      </c>
      <c r="T1960" s="29" t="str">
        <f t="shared" si="650"/>
        <v>NA</v>
      </c>
      <c r="U1960" s="29" t="str">
        <f t="shared" si="651"/>
        <v>NA</v>
      </c>
      <c r="V1960" s="29" t="str">
        <f t="shared" si="652"/>
        <v>NA</v>
      </c>
      <c r="W1960" s="29" t="str">
        <f t="shared" si="653"/>
        <v>NA</v>
      </c>
      <c r="X1960" s="29" t="str">
        <f t="shared" si="654"/>
        <v>NA</v>
      </c>
      <c r="Y1960" s="29" t="str">
        <f t="shared" si="655"/>
        <v>NA</v>
      </c>
      <c r="Z1960" s="29" t="str">
        <f t="shared" si="656"/>
        <v>NA</v>
      </c>
      <c r="AA1960" s="29" t="str">
        <f t="shared" si="657"/>
        <v>NA</v>
      </c>
      <c r="AB1960" s="29" t="str">
        <f t="shared" si="658"/>
        <v>NA</v>
      </c>
      <c r="AC1960" s="29" t="str">
        <f t="shared" si="659"/>
        <v>NA</v>
      </c>
      <c r="AD1960" s="29" t="str">
        <f t="shared" si="660"/>
        <v>NA</v>
      </c>
      <c r="AE1960" s="29" t="str">
        <f t="shared" si="661"/>
        <v>NA</v>
      </c>
      <c r="AF1960" s="29" t="str">
        <f t="shared" si="662"/>
        <v>NA</v>
      </c>
      <c r="AG1960" s="29" t="str">
        <f t="shared" si="663"/>
        <v>NA</v>
      </c>
      <c r="AH1960" s="29" t="str">
        <f t="shared" si="664"/>
        <v>NA</v>
      </c>
    </row>
    <row r="1961" customHeight="1" spans="1:34">
      <c r="A1961" s="12" t="s">
        <v>1043</v>
      </c>
      <c r="F1961" s="24">
        <f t="shared" si="646"/>
        <v>0</v>
      </c>
      <c r="G1961" s="24" t="e">
        <f t="shared" si="645"/>
        <v>#DIV/0!</v>
      </c>
      <c r="Q1961" s="29" t="str">
        <f t="shared" si="647"/>
        <v>NA</v>
      </c>
      <c r="R1961" s="29" t="str">
        <f t="shared" si="648"/>
        <v>NA</v>
      </c>
      <c r="S1961" s="29" t="str">
        <f t="shared" si="649"/>
        <v>NA</v>
      </c>
      <c r="T1961" s="29" t="str">
        <f t="shared" si="650"/>
        <v>NA</v>
      </c>
      <c r="U1961" s="29" t="str">
        <f t="shared" si="651"/>
        <v>NA</v>
      </c>
      <c r="V1961" s="29" t="str">
        <f t="shared" si="652"/>
        <v>NA</v>
      </c>
      <c r="W1961" s="29" t="str">
        <f t="shared" si="653"/>
        <v>NA</v>
      </c>
      <c r="X1961" s="29" t="str">
        <f t="shared" si="654"/>
        <v>NA</v>
      </c>
      <c r="Y1961" s="29" t="str">
        <f t="shared" si="655"/>
        <v>NA</v>
      </c>
      <c r="Z1961" s="29" t="str">
        <f t="shared" si="656"/>
        <v>NA</v>
      </c>
      <c r="AA1961" s="29" t="str">
        <f t="shared" si="657"/>
        <v>NA</v>
      </c>
      <c r="AB1961" s="29" t="str">
        <f t="shared" si="658"/>
        <v>NA</v>
      </c>
      <c r="AC1961" s="29" t="str">
        <f t="shared" si="659"/>
        <v>NA</v>
      </c>
      <c r="AD1961" s="29" t="str">
        <f t="shared" si="660"/>
        <v>NA</v>
      </c>
      <c r="AE1961" s="29" t="str">
        <f t="shared" si="661"/>
        <v>NA</v>
      </c>
      <c r="AF1961" s="29" t="str">
        <f t="shared" si="662"/>
        <v>NA</v>
      </c>
      <c r="AG1961" s="29" t="str">
        <f t="shared" si="663"/>
        <v>NA</v>
      </c>
      <c r="AH1961" s="29" t="str">
        <f t="shared" si="664"/>
        <v>NA</v>
      </c>
    </row>
    <row r="1962" customHeight="1" spans="1:34">
      <c r="A1962" s="12" t="s">
        <v>1043</v>
      </c>
      <c r="F1962" s="24">
        <f t="shared" si="646"/>
        <v>0</v>
      </c>
      <c r="G1962" s="24" t="e">
        <f t="shared" si="645"/>
        <v>#DIV/0!</v>
      </c>
      <c r="Q1962" s="29" t="str">
        <f t="shared" si="647"/>
        <v>NA</v>
      </c>
      <c r="R1962" s="29" t="str">
        <f t="shared" si="648"/>
        <v>NA</v>
      </c>
      <c r="S1962" s="29" t="str">
        <f t="shared" si="649"/>
        <v>NA</v>
      </c>
      <c r="T1962" s="29" t="str">
        <f t="shared" si="650"/>
        <v>NA</v>
      </c>
      <c r="U1962" s="29" t="str">
        <f t="shared" si="651"/>
        <v>NA</v>
      </c>
      <c r="V1962" s="29" t="str">
        <f t="shared" si="652"/>
        <v>NA</v>
      </c>
      <c r="W1962" s="29" t="str">
        <f t="shared" si="653"/>
        <v>NA</v>
      </c>
      <c r="X1962" s="29" t="str">
        <f t="shared" si="654"/>
        <v>NA</v>
      </c>
      <c r="Y1962" s="29" t="str">
        <f t="shared" si="655"/>
        <v>NA</v>
      </c>
      <c r="Z1962" s="29" t="str">
        <f t="shared" si="656"/>
        <v>NA</v>
      </c>
      <c r="AA1962" s="29" t="str">
        <f t="shared" si="657"/>
        <v>NA</v>
      </c>
      <c r="AB1962" s="29" t="str">
        <f t="shared" si="658"/>
        <v>NA</v>
      </c>
      <c r="AC1962" s="29" t="str">
        <f t="shared" si="659"/>
        <v>NA</v>
      </c>
      <c r="AD1962" s="29" t="str">
        <f t="shared" si="660"/>
        <v>NA</v>
      </c>
      <c r="AE1962" s="29" t="str">
        <f t="shared" si="661"/>
        <v>NA</v>
      </c>
      <c r="AF1962" s="29" t="str">
        <f t="shared" si="662"/>
        <v>NA</v>
      </c>
      <c r="AG1962" s="29" t="str">
        <f t="shared" si="663"/>
        <v>NA</v>
      </c>
      <c r="AH1962" s="29" t="str">
        <f t="shared" si="664"/>
        <v>NA</v>
      </c>
    </row>
    <row r="1963" customHeight="1" spans="1:34">
      <c r="A1963" s="12" t="s">
        <v>1043</v>
      </c>
      <c r="F1963" s="24">
        <f t="shared" si="646"/>
        <v>0</v>
      </c>
      <c r="G1963" s="24" t="e">
        <f t="shared" si="645"/>
        <v>#DIV/0!</v>
      </c>
      <c r="Q1963" s="29" t="str">
        <f t="shared" si="647"/>
        <v>NA</v>
      </c>
      <c r="R1963" s="29" t="str">
        <f t="shared" si="648"/>
        <v>NA</v>
      </c>
      <c r="S1963" s="29" t="str">
        <f t="shared" si="649"/>
        <v>NA</v>
      </c>
      <c r="T1963" s="29" t="str">
        <f t="shared" si="650"/>
        <v>NA</v>
      </c>
      <c r="U1963" s="29" t="str">
        <f t="shared" si="651"/>
        <v>NA</v>
      </c>
      <c r="V1963" s="29" t="str">
        <f t="shared" si="652"/>
        <v>NA</v>
      </c>
      <c r="W1963" s="29" t="str">
        <f t="shared" si="653"/>
        <v>NA</v>
      </c>
      <c r="X1963" s="29" t="str">
        <f t="shared" si="654"/>
        <v>NA</v>
      </c>
      <c r="Y1963" s="29" t="str">
        <f t="shared" si="655"/>
        <v>NA</v>
      </c>
      <c r="Z1963" s="29" t="str">
        <f t="shared" si="656"/>
        <v>NA</v>
      </c>
      <c r="AA1963" s="29" t="str">
        <f t="shared" si="657"/>
        <v>NA</v>
      </c>
      <c r="AB1963" s="29" t="str">
        <f t="shared" si="658"/>
        <v>NA</v>
      </c>
      <c r="AC1963" s="29" t="str">
        <f t="shared" si="659"/>
        <v>NA</v>
      </c>
      <c r="AD1963" s="29" t="str">
        <f t="shared" si="660"/>
        <v>NA</v>
      </c>
      <c r="AE1963" s="29" t="str">
        <f t="shared" si="661"/>
        <v>NA</v>
      </c>
      <c r="AF1963" s="29" t="str">
        <f t="shared" si="662"/>
        <v>NA</v>
      </c>
      <c r="AG1963" s="29" t="str">
        <f t="shared" si="663"/>
        <v>NA</v>
      </c>
      <c r="AH1963" s="29" t="str">
        <f t="shared" si="664"/>
        <v>NA</v>
      </c>
    </row>
    <row r="1964" customHeight="1" spans="1:34">
      <c r="A1964" s="12" t="s">
        <v>1043</v>
      </c>
      <c r="F1964" s="24">
        <f t="shared" si="646"/>
        <v>0</v>
      </c>
      <c r="G1964" s="24" t="e">
        <f t="shared" si="645"/>
        <v>#DIV/0!</v>
      </c>
      <c r="Q1964" s="29" t="str">
        <f t="shared" si="647"/>
        <v>NA</v>
      </c>
      <c r="R1964" s="29" t="str">
        <f t="shared" si="648"/>
        <v>NA</v>
      </c>
      <c r="S1964" s="29" t="str">
        <f t="shared" si="649"/>
        <v>NA</v>
      </c>
      <c r="T1964" s="29" t="str">
        <f t="shared" si="650"/>
        <v>NA</v>
      </c>
      <c r="U1964" s="29" t="str">
        <f t="shared" si="651"/>
        <v>NA</v>
      </c>
      <c r="V1964" s="29" t="str">
        <f t="shared" si="652"/>
        <v>NA</v>
      </c>
      <c r="W1964" s="29" t="str">
        <f t="shared" si="653"/>
        <v>NA</v>
      </c>
      <c r="X1964" s="29" t="str">
        <f t="shared" si="654"/>
        <v>NA</v>
      </c>
      <c r="Y1964" s="29" t="str">
        <f t="shared" si="655"/>
        <v>NA</v>
      </c>
      <c r="Z1964" s="29" t="str">
        <f t="shared" si="656"/>
        <v>NA</v>
      </c>
      <c r="AA1964" s="29" t="str">
        <f t="shared" si="657"/>
        <v>NA</v>
      </c>
      <c r="AB1964" s="29" t="str">
        <f t="shared" si="658"/>
        <v>NA</v>
      </c>
      <c r="AC1964" s="29" t="str">
        <f t="shared" si="659"/>
        <v>NA</v>
      </c>
      <c r="AD1964" s="29" t="str">
        <f t="shared" si="660"/>
        <v>NA</v>
      </c>
      <c r="AE1964" s="29" t="str">
        <f t="shared" si="661"/>
        <v>NA</v>
      </c>
      <c r="AF1964" s="29" t="str">
        <f t="shared" si="662"/>
        <v>NA</v>
      </c>
      <c r="AG1964" s="29" t="str">
        <f t="shared" si="663"/>
        <v>NA</v>
      </c>
      <c r="AH1964" s="29" t="str">
        <f t="shared" si="664"/>
        <v>NA</v>
      </c>
    </row>
    <row r="1965" customHeight="1" spans="1:34">
      <c r="A1965" s="12" t="s">
        <v>1043</v>
      </c>
      <c r="F1965" s="24">
        <f t="shared" si="646"/>
        <v>0</v>
      </c>
      <c r="G1965" s="24" t="e">
        <f t="shared" si="645"/>
        <v>#DIV/0!</v>
      </c>
      <c r="Q1965" s="29" t="str">
        <f t="shared" si="647"/>
        <v>NA</v>
      </c>
      <c r="R1965" s="29" t="str">
        <f t="shared" si="648"/>
        <v>NA</v>
      </c>
      <c r="S1965" s="29" t="str">
        <f t="shared" si="649"/>
        <v>NA</v>
      </c>
      <c r="T1965" s="29" t="str">
        <f t="shared" si="650"/>
        <v>NA</v>
      </c>
      <c r="U1965" s="29" t="str">
        <f t="shared" si="651"/>
        <v>NA</v>
      </c>
      <c r="V1965" s="29" t="str">
        <f t="shared" si="652"/>
        <v>NA</v>
      </c>
      <c r="W1965" s="29" t="str">
        <f t="shared" si="653"/>
        <v>NA</v>
      </c>
      <c r="X1965" s="29" t="str">
        <f t="shared" si="654"/>
        <v>NA</v>
      </c>
      <c r="Y1965" s="29" t="str">
        <f t="shared" si="655"/>
        <v>NA</v>
      </c>
      <c r="Z1965" s="29" t="str">
        <f t="shared" si="656"/>
        <v>NA</v>
      </c>
      <c r="AA1965" s="29" t="str">
        <f t="shared" si="657"/>
        <v>NA</v>
      </c>
      <c r="AB1965" s="29" t="str">
        <f t="shared" si="658"/>
        <v>NA</v>
      </c>
      <c r="AC1965" s="29" t="str">
        <f t="shared" si="659"/>
        <v>NA</v>
      </c>
      <c r="AD1965" s="29" t="str">
        <f t="shared" si="660"/>
        <v>NA</v>
      </c>
      <c r="AE1965" s="29" t="str">
        <f t="shared" si="661"/>
        <v>NA</v>
      </c>
      <c r="AF1965" s="29" t="str">
        <f t="shared" si="662"/>
        <v>NA</v>
      </c>
      <c r="AG1965" s="29" t="str">
        <f t="shared" si="663"/>
        <v>NA</v>
      </c>
      <c r="AH1965" s="29" t="str">
        <f t="shared" si="664"/>
        <v>NA</v>
      </c>
    </row>
    <row r="1966" customHeight="1" spans="1:34">
      <c r="A1966" s="12" t="s">
        <v>1043</v>
      </c>
      <c r="F1966" s="24">
        <f t="shared" si="646"/>
        <v>0</v>
      </c>
      <c r="G1966" s="24" t="e">
        <f t="shared" si="645"/>
        <v>#DIV/0!</v>
      </c>
      <c r="Q1966" s="29" t="str">
        <f t="shared" si="647"/>
        <v>NA</v>
      </c>
      <c r="R1966" s="29" t="str">
        <f t="shared" si="648"/>
        <v>NA</v>
      </c>
      <c r="S1966" s="29" t="str">
        <f t="shared" si="649"/>
        <v>NA</v>
      </c>
      <c r="T1966" s="29" t="str">
        <f t="shared" si="650"/>
        <v>NA</v>
      </c>
      <c r="U1966" s="29" t="str">
        <f t="shared" si="651"/>
        <v>NA</v>
      </c>
      <c r="V1966" s="29" t="str">
        <f t="shared" si="652"/>
        <v>NA</v>
      </c>
      <c r="W1966" s="29" t="str">
        <f t="shared" si="653"/>
        <v>NA</v>
      </c>
      <c r="X1966" s="29" t="str">
        <f t="shared" si="654"/>
        <v>NA</v>
      </c>
      <c r="Y1966" s="29" t="str">
        <f t="shared" si="655"/>
        <v>NA</v>
      </c>
      <c r="Z1966" s="29" t="str">
        <f t="shared" si="656"/>
        <v>NA</v>
      </c>
      <c r="AA1966" s="29" t="str">
        <f t="shared" si="657"/>
        <v>NA</v>
      </c>
      <c r="AB1966" s="29" t="str">
        <f t="shared" si="658"/>
        <v>NA</v>
      </c>
      <c r="AC1966" s="29" t="str">
        <f t="shared" si="659"/>
        <v>NA</v>
      </c>
      <c r="AD1966" s="29" t="str">
        <f t="shared" si="660"/>
        <v>NA</v>
      </c>
      <c r="AE1966" s="29" t="str">
        <f t="shared" si="661"/>
        <v>NA</v>
      </c>
      <c r="AF1966" s="29" t="str">
        <f t="shared" si="662"/>
        <v>NA</v>
      </c>
      <c r="AG1966" s="29" t="str">
        <f t="shared" si="663"/>
        <v>NA</v>
      </c>
      <c r="AH1966" s="29" t="str">
        <f t="shared" si="664"/>
        <v>NA</v>
      </c>
    </row>
    <row r="1967" customHeight="1" spans="1:34">
      <c r="A1967" s="12" t="s">
        <v>1043</v>
      </c>
      <c r="F1967" s="24">
        <f t="shared" si="646"/>
        <v>0</v>
      </c>
      <c r="G1967" s="24" t="e">
        <f t="shared" si="645"/>
        <v>#DIV/0!</v>
      </c>
      <c r="Q1967" s="29" t="str">
        <f t="shared" si="647"/>
        <v>NA</v>
      </c>
      <c r="R1967" s="29" t="str">
        <f t="shared" si="648"/>
        <v>NA</v>
      </c>
      <c r="S1967" s="29" t="str">
        <f t="shared" si="649"/>
        <v>NA</v>
      </c>
      <c r="T1967" s="29" t="str">
        <f t="shared" si="650"/>
        <v>NA</v>
      </c>
      <c r="U1967" s="29" t="str">
        <f t="shared" si="651"/>
        <v>NA</v>
      </c>
      <c r="V1967" s="29" t="str">
        <f t="shared" si="652"/>
        <v>NA</v>
      </c>
      <c r="W1967" s="29" t="str">
        <f t="shared" si="653"/>
        <v>NA</v>
      </c>
      <c r="X1967" s="29" t="str">
        <f t="shared" si="654"/>
        <v>NA</v>
      </c>
      <c r="Y1967" s="29" t="str">
        <f t="shared" si="655"/>
        <v>NA</v>
      </c>
      <c r="Z1967" s="29" t="str">
        <f t="shared" si="656"/>
        <v>NA</v>
      </c>
      <c r="AA1967" s="29" t="str">
        <f t="shared" si="657"/>
        <v>NA</v>
      </c>
      <c r="AB1967" s="29" t="str">
        <f t="shared" si="658"/>
        <v>NA</v>
      </c>
      <c r="AC1967" s="29" t="str">
        <f t="shared" si="659"/>
        <v>NA</v>
      </c>
      <c r="AD1967" s="29" t="str">
        <f t="shared" si="660"/>
        <v>NA</v>
      </c>
      <c r="AE1967" s="29" t="str">
        <f t="shared" si="661"/>
        <v>NA</v>
      </c>
      <c r="AF1967" s="29" t="str">
        <f t="shared" si="662"/>
        <v>NA</v>
      </c>
      <c r="AG1967" s="29" t="str">
        <f t="shared" si="663"/>
        <v>NA</v>
      </c>
      <c r="AH1967" s="29" t="str">
        <f t="shared" si="664"/>
        <v>NA</v>
      </c>
    </row>
    <row r="1968" customHeight="1" spans="1:34">
      <c r="A1968" s="12" t="s">
        <v>1043</v>
      </c>
      <c r="F1968" s="24">
        <f t="shared" si="646"/>
        <v>0</v>
      </c>
      <c r="G1968" s="24" t="e">
        <f t="shared" si="645"/>
        <v>#DIV/0!</v>
      </c>
      <c r="Q1968" s="29" t="str">
        <f t="shared" si="647"/>
        <v>NA</v>
      </c>
      <c r="R1968" s="29" t="str">
        <f t="shared" si="648"/>
        <v>NA</v>
      </c>
      <c r="S1968" s="29" t="str">
        <f t="shared" si="649"/>
        <v>NA</v>
      </c>
      <c r="T1968" s="29" t="str">
        <f t="shared" si="650"/>
        <v>NA</v>
      </c>
      <c r="U1968" s="29" t="str">
        <f t="shared" si="651"/>
        <v>NA</v>
      </c>
      <c r="V1968" s="29" t="str">
        <f t="shared" si="652"/>
        <v>NA</v>
      </c>
      <c r="W1968" s="29" t="str">
        <f t="shared" si="653"/>
        <v>NA</v>
      </c>
      <c r="X1968" s="29" t="str">
        <f t="shared" si="654"/>
        <v>NA</v>
      </c>
      <c r="Y1968" s="29" t="str">
        <f t="shared" si="655"/>
        <v>NA</v>
      </c>
      <c r="Z1968" s="29" t="str">
        <f t="shared" si="656"/>
        <v>NA</v>
      </c>
      <c r="AA1968" s="29" t="str">
        <f t="shared" si="657"/>
        <v>NA</v>
      </c>
      <c r="AB1968" s="29" t="str">
        <f t="shared" si="658"/>
        <v>NA</v>
      </c>
      <c r="AC1968" s="29" t="str">
        <f t="shared" si="659"/>
        <v>NA</v>
      </c>
      <c r="AD1968" s="29" t="str">
        <f t="shared" si="660"/>
        <v>NA</v>
      </c>
      <c r="AE1968" s="29" t="str">
        <f t="shared" si="661"/>
        <v>NA</v>
      </c>
      <c r="AF1968" s="29" t="str">
        <f t="shared" si="662"/>
        <v>NA</v>
      </c>
      <c r="AG1968" s="29" t="str">
        <f t="shared" si="663"/>
        <v>NA</v>
      </c>
      <c r="AH1968" s="29" t="str">
        <f t="shared" si="664"/>
        <v>NA</v>
      </c>
    </row>
    <row r="1969" customHeight="1" spans="1:34">
      <c r="A1969" s="12" t="s">
        <v>1043</v>
      </c>
      <c r="F1969" s="24">
        <f t="shared" si="646"/>
        <v>0</v>
      </c>
      <c r="G1969" s="24" t="e">
        <f t="shared" si="645"/>
        <v>#DIV/0!</v>
      </c>
      <c r="Q1969" s="29" t="str">
        <f t="shared" si="647"/>
        <v>NA</v>
      </c>
      <c r="R1969" s="29" t="str">
        <f t="shared" si="648"/>
        <v>NA</v>
      </c>
      <c r="S1969" s="29" t="str">
        <f t="shared" si="649"/>
        <v>NA</v>
      </c>
      <c r="T1969" s="29" t="str">
        <f t="shared" si="650"/>
        <v>NA</v>
      </c>
      <c r="U1969" s="29" t="str">
        <f t="shared" si="651"/>
        <v>NA</v>
      </c>
      <c r="V1969" s="29" t="str">
        <f t="shared" si="652"/>
        <v>NA</v>
      </c>
      <c r="W1969" s="29" t="str">
        <f t="shared" si="653"/>
        <v>NA</v>
      </c>
      <c r="X1969" s="29" t="str">
        <f t="shared" si="654"/>
        <v>NA</v>
      </c>
      <c r="Y1969" s="29" t="str">
        <f t="shared" si="655"/>
        <v>NA</v>
      </c>
      <c r="Z1969" s="29" t="str">
        <f t="shared" si="656"/>
        <v>NA</v>
      </c>
      <c r="AA1969" s="29" t="str">
        <f t="shared" si="657"/>
        <v>NA</v>
      </c>
      <c r="AB1969" s="29" t="str">
        <f t="shared" si="658"/>
        <v>NA</v>
      </c>
      <c r="AC1969" s="29" t="str">
        <f t="shared" si="659"/>
        <v>NA</v>
      </c>
      <c r="AD1969" s="29" t="str">
        <f t="shared" si="660"/>
        <v>NA</v>
      </c>
      <c r="AE1969" s="29" t="str">
        <f t="shared" si="661"/>
        <v>NA</v>
      </c>
      <c r="AF1969" s="29" t="str">
        <f t="shared" si="662"/>
        <v>NA</v>
      </c>
      <c r="AG1969" s="29" t="str">
        <f t="shared" si="663"/>
        <v>NA</v>
      </c>
      <c r="AH1969" s="29" t="str">
        <f t="shared" si="664"/>
        <v>NA</v>
      </c>
    </row>
    <row r="1970" customHeight="1" spans="1:34">
      <c r="A1970" s="12" t="s">
        <v>1043</v>
      </c>
      <c r="F1970" s="24">
        <f t="shared" si="646"/>
        <v>0</v>
      </c>
      <c r="G1970" s="24" t="e">
        <f t="shared" si="645"/>
        <v>#DIV/0!</v>
      </c>
      <c r="Q1970" s="29" t="str">
        <f t="shared" si="647"/>
        <v>NA</v>
      </c>
      <c r="R1970" s="29" t="str">
        <f t="shared" si="648"/>
        <v>NA</v>
      </c>
      <c r="S1970" s="29" t="str">
        <f t="shared" si="649"/>
        <v>NA</v>
      </c>
      <c r="T1970" s="29" t="str">
        <f t="shared" si="650"/>
        <v>NA</v>
      </c>
      <c r="U1970" s="29" t="str">
        <f t="shared" si="651"/>
        <v>NA</v>
      </c>
      <c r="V1970" s="29" t="str">
        <f t="shared" si="652"/>
        <v>NA</v>
      </c>
      <c r="W1970" s="29" t="str">
        <f t="shared" si="653"/>
        <v>NA</v>
      </c>
      <c r="X1970" s="29" t="str">
        <f t="shared" si="654"/>
        <v>NA</v>
      </c>
      <c r="Y1970" s="29" t="str">
        <f t="shared" si="655"/>
        <v>NA</v>
      </c>
      <c r="Z1970" s="29" t="str">
        <f t="shared" si="656"/>
        <v>NA</v>
      </c>
      <c r="AA1970" s="29" t="str">
        <f t="shared" si="657"/>
        <v>NA</v>
      </c>
      <c r="AB1970" s="29" t="str">
        <f t="shared" si="658"/>
        <v>NA</v>
      </c>
      <c r="AC1970" s="29" t="str">
        <f t="shared" si="659"/>
        <v>NA</v>
      </c>
      <c r="AD1970" s="29" t="str">
        <f t="shared" si="660"/>
        <v>NA</v>
      </c>
      <c r="AE1970" s="29" t="str">
        <f t="shared" si="661"/>
        <v>NA</v>
      </c>
      <c r="AF1970" s="29" t="str">
        <f t="shared" si="662"/>
        <v>NA</v>
      </c>
      <c r="AG1970" s="29" t="str">
        <f t="shared" si="663"/>
        <v>NA</v>
      </c>
      <c r="AH1970" s="29" t="str">
        <f t="shared" si="664"/>
        <v>NA</v>
      </c>
    </row>
    <row r="1971" customHeight="1" spans="1:34">
      <c r="A1971" s="12" t="s">
        <v>1043</v>
      </c>
      <c r="F1971" s="24">
        <f t="shared" si="646"/>
        <v>0</v>
      </c>
      <c r="G1971" s="24" t="e">
        <f t="shared" si="645"/>
        <v>#DIV/0!</v>
      </c>
      <c r="Q1971" s="29" t="str">
        <f t="shared" si="647"/>
        <v>NA</v>
      </c>
      <c r="R1971" s="29" t="str">
        <f t="shared" si="648"/>
        <v>NA</v>
      </c>
      <c r="S1971" s="29" t="str">
        <f t="shared" si="649"/>
        <v>NA</v>
      </c>
      <c r="T1971" s="29" t="str">
        <f t="shared" si="650"/>
        <v>NA</v>
      </c>
      <c r="U1971" s="29" t="str">
        <f t="shared" si="651"/>
        <v>NA</v>
      </c>
      <c r="V1971" s="29" t="str">
        <f t="shared" si="652"/>
        <v>NA</v>
      </c>
      <c r="W1971" s="29" t="str">
        <f t="shared" si="653"/>
        <v>NA</v>
      </c>
      <c r="X1971" s="29" t="str">
        <f t="shared" si="654"/>
        <v>NA</v>
      </c>
      <c r="Y1971" s="29" t="str">
        <f t="shared" si="655"/>
        <v>NA</v>
      </c>
      <c r="Z1971" s="29" t="str">
        <f t="shared" si="656"/>
        <v>NA</v>
      </c>
      <c r="AA1971" s="29" t="str">
        <f t="shared" si="657"/>
        <v>NA</v>
      </c>
      <c r="AB1971" s="29" t="str">
        <f t="shared" si="658"/>
        <v>NA</v>
      </c>
      <c r="AC1971" s="29" t="str">
        <f t="shared" si="659"/>
        <v>NA</v>
      </c>
      <c r="AD1971" s="29" t="str">
        <f t="shared" si="660"/>
        <v>NA</v>
      </c>
      <c r="AE1971" s="29" t="str">
        <f t="shared" si="661"/>
        <v>NA</v>
      </c>
      <c r="AF1971" s="29" t="str">
        <f t="shared" si="662"/>
        <v>NA</v>
      </c>
      <c r="AG1971" s="29" t="str">
        <f t="shared" si="663"/>
        <v>NA</v>
      </c>
      <c r="AH1971" s="29" t="str">
        <f t="shared" si="664"/>
        <v>NA</v>
      </c>
    </row>
    <row r="1972" customHeight="1" spans="1:34">
      <c r="A1972" s="12" t="s">
        <v>1043</v>
      </c>
      <c r="F1972" s="24">
        <f t="shared" si="646"/>
        <v>0</v>
      </c>
      <c r="G1972" s="24" t="e">
        <f t="shared" si="645"/>
        <v>#DIV/0!</v>
      </c>
      <c r="Q1972" s="29" t="str">
        <f t="shared" si="647"/>
        <v>NA</v>
      </c>
      <c r="R1972" s="29" t="str">
        <f t="shared" si="648"/>
        <v>NA</v>
      </c>
      <c r="S1972" s="29" t="str">
        <f t="shared" si="649"/>
        <v>NA</v>
      </c>
      <c r="T1972" s="29" t="str">
        <f t="shared" si="650"/>
        <v>NA</v>
      </c>
      <c r="U1972" s="29" t="str">
        <f t="shared" si="651"/>
        <v>NA</v>
      </c>
      <c r="V1972" s="29" t="str">
        <f t="shared" si="652"/>
        <v>NA</v>
      </c>
      <c r="W1972" s="29" t="str">
        <f t="shared" si="653"/>
        <v>NA</v>
      </c>
      <c r="X1972" s="29" t="str">
        <f t="shared" si="654"/>
        <v>NA</v>
      </c>
      <c r="Y1972" s="29" t="str">
        <f t="shared" si="655"/>
        <v>NA</v>
      </c>
      <c r="Z1972" s="29" t="str">
        <f t="shared" si="656"/>
        <v>NA</v>
      </c>
      <c r="AA1972" s="29" t="str">
        <f t="shared" si="657"/>
        <v>NA</v>
      </c>
      <c r="AB1972" s="29" t="str">
        <f t="shared" si="658"/>
        <v>NA</v>
      </c>
      <c r="AC1972" s="29" t="str">
        <f t="shared" si="659"/>
        <v>NA</v>
      </c>
      <c r="AD1972" s="29" t="str">
        <f t="shared" si="660"/>
        <v>NA</v>
      </c>
      <c r="AE1972" s="29" t="str">
        <f t="shared" si="661"/>
        <v>NA</v>
      </c>
      <c r="AF1972" s="29" t="str">
        <f t="shared" si="662"/>
        <v>NA</v>
      </c>
      <c r="AG1972" s="29" t="str">
        <f t="shared" si="663"/>
        <v>NA</v>
      </c>
      <c r="AH1972" s="29" t="str">
        <f t="shared" si="664"/>
        <v>NA</v>
      </c>
    </row>
    <row r="1973" customHeight="1" spans="1:34">
      <c r="A1973" s="12" t="s">
        <v>1043</v>
      </c>
      <c r="F1973" s="24">
        <f t="shared" si="646"/>
        <v>0</v>
      </c>
      <c r="G1973" s="24" t="e">
        <f t="shared" si="645"/>
        <v>#DIV/0!</v>
      </c>
      <c r="Q1973" s="29" t="str">
        <f t="shared" si="647"/>
        <v>NA</v>
      </c>
      <c r="R1973" s="29" t="str">
        <f t="shared" si="648"/>
        <v>NA</v>
      </c>
      <c r="S1973" s="29" t="str">
        <f t="shared" si="649"/>
        <v>NA</v>
      </c>
      <c r="T1973" s="29" t="str">
        <f t="shared" si="650"/>
        <v>NA</v>
      </c>
      <c r="U1973" s="29" t="str">
        <f t="shared" si="651"/>
        <v>NA</v>
      </c>
      <c r="V1973" s="29" t="str">
        <f t="shared" si="652"/>
        <v>NA</v>
      </c>
      <c r="W1973" s="29" t="str">
        <f t="shared" si="653"/>
        <v>NA</v>
      </c>
      <c r="X1973" s="29" t="str">
        <f t="shared" si="654"/>
        <v>NA</v>
      </c>
      <c r="Y1973" s="29" t="str">
        <f t="shared" si="655"/>
        <v>NA</v>
      </c>
      <c r="Z1973" s="29" t="str">
        <f t="shared" si="656"/>
        <v>NA</v>
      </c>
      <c r="AA1973" s="29" t="str">
        <f t="shared" si="657"/>
        <v>NA</v>
      </c>
      <c r="AB1973" s="29" t="str">
        <f t="shared" si="658"/>
        <v>NA</v>
      </c>
      <c r="AC1973" s="29" t="str">
        <f t="shared" si="659"/>
        <v>NA</v>
      </c>
      <c r="AD1973" s="29" t="str">
        <f t="shared" si="660"/>
        <v>NA</v>
      </c>
      <c r="AE1973" s="29" t="str">
        <f t="shared" si="661"/>
        <v>NA</v>
      </c>
      <c r="AF1973" s="29" t="str">
        <f t="shared" si="662"/>
        <v>NA</v>
      </c>
      <c r="AG1973" s="29" t="str">
        <f t="shared" si="663"/>
        <v>NA</v>
      </c>
      <c r="AH1973" s="29" t="str">
        <f t="shared" si="664"/>
        <v>NA</v>
      </c>
    </row>
    <row r="1974" customHeight="1" spans="1:34">
      <c r="A1974" s="12" t="s">
        <v>1043</v>
      </c>
      <c r="F1974" s="24">
        <f t="shared" si="646"/>
        <v>0</v>
      </c>
      <c r="G1974" s="24" t="e">
        <f t="shared" si="645"/>
        <v>#DIV/0!</v>
      </c>
      <c r="Q1974" s="29" t="str">
        <f t="shared" si="647"/>
        <v>NA</v>
      </c>
      <c r="R1974" s="29" t="str">
        <f t="shared" si="648"/>
        <v>NA</v>
      </c>
      <c r="S1974" s="29" t="str">
        <f t="shared" si="649"/>
        <v>NA</v>
      </c>
      <c r="T1974" s="29" t="str">
        <f t="shared" si="650"/>
        <v>NA</v>
      </c>
      <c r="U1974" s="29" t="str">
        <f t="shared" si="651"/>
        <v>NA</v>
      </c>
      <c r="V1974" s="29" t="str">
        <f t="shared" si="652"/>
        <v>NA</v>
      </c>
      <c r="W1974" s="29" t="str">
        <f t="shared" si="653"/>
        <v>NA</v>
      </c>
      <c r="X1974" s="29" t="str">
        <f t="shared" si="654"/>
        <v>NA</v>
      </c>
      <c r="Y1974" s="29" t="str">
        <f t="shared" si="655"/>
        <v>NA</v>
      </c>
      <c r="Z1974" s="29" t="str">
        <f t="shared" si="656"/>
        <v>NA</v>
      </c>
      <c r="AA1974" s="29" t="str">
        <f t="shared" si="657"/>
        <v>NA</v>
      </c>
      <c r="AB1974" s="29" t="str">
        <f t="shared" si="658"/>
        <v>NA</v>
      </c>
      <c r="AC1974" s="29" t="str">
        <f t="shared" si="659"/>
        <v>NA</v>
      </c>
      <c r="AD1974" s="29" t="str">
        <f t="shared" si="660"/>
        <v>NA</v>
      </c>
      <c r="AE1974" s="29" t="str">
        <f t="shared" si="661"/>
        <v>NA</v>
      </c>
      <c r="AF1974" s="29" t="str">
        <f t="shared" si="662"/>
        <v>NA</v>
      </c>
      <c r="AG1974" s="29" t="str">
        <f t="shared" si="663"/>
        <v>NA</v>
      </c>
      <c r="AH1974" s="29" t="str">
        <f t="shared" si="664"/>
        <v>NA</v>
      </c>
    </row>
    <row r="1975" customHeight="1" spans="1:34">
      <c r="A1975" s="12" t="s">
        <v>1043</v>
      </c>
      <c r="F1975" s="24">
        <f t="shared" si="646"/>
        <v>0</v>
      </c>
      <c r="G1975" s="24" t="e">
        <f t="shared" si="645"/>
        <v>#DIV/0!</v>
      </c>
      <c r="Q1975" s="29" t="str">
        <f t="shared" si="647"/>
        <v>NA</v>
      </c>
      <c r="R1975" s="29" t="str">
        <f t="shared" si="648"/>
        <v>NA</v>
      </c>
      <c r="S1975" s="29" t="str">
        <f t="shared" si="649"/>
        <v>NA</v>
      </c>
      <c r="T1975" s="29" t="str">
        <f t="shared" si="650"/>
        <v>NA</v>
      </c>
      <c r="U1975" s="29" t="str">
        <f t="shared" si="651"/>
        <v>NA</v>
      </c>
      <c r="V1975" s="29" t="str">
        <f t="shared" si="652"/>
        <v>NA</v>
      </c>
      <c r="W1975" s="29" t="str">
        <f t="shared" si="653"/>
        <v>NA</v>
      </c>
      <c r="X1975" s="29" t="str">
        <f t="shared" si="654"/>
        <v>NA</v>
      </c>
      <c r="Y1975" s="29" t="str">
        <f t="shared" si="655"/>
        <v>NA</v>
      </c>
      <c r="Z1975" s="29" t="str">
        <f t="shared" si="656"/>
        <v>NA</v>
      </c>
      <c r="AA1975" s="29" t="str">
        <f t="shared" si="657"/>
        <v>NA</v>
      </c>
      <c r="AB1975" s="29" t="str">
        <f t="shared" si="658"/>
        <v>NA</v>
      </c>
      <c r="AC1975" s="29" t="str">
        <f t="shared" si="659"/>
        <v>NA</v>
      </c>
      <c r="AD1975" s="29" t="str">
        <f t="shared" si="660"/>
        <v>NA</v>
      </c>
      <c r="AE1975" s="29" t="str">
        <f t="shared" si="661"/>
        <v>NA</v>
      </c>
      <c r="AF1975" s="29" t="str">
        <f t="shared" si="662"/>
        <v>NA</v>
      </c>
      <c r="AG1975" s="29" t="str">
        <f t="shared" si="663"/>
        <v>NA</v>
      </c>
      <c r="AH1975" s="29" t="str">
        <f t="shared" si="664"/>
        <v>NA</v>
      </c>
    </row>
    <row r="1976" customHeight="1" spans="1:34">
      <c r="A1976" s="12" t="s">
        <v>1043</v>
      </c>
      <c r="F1976" s="24">
        <f t="shared" si="646"/>
        <v>0</v>
      </c>
      <c r="G1976" s="24" t="e">
        <f t="shared" si="645"/>
        <v>#DIV/0!</v>
      </c>
      <c r="Q1976" s="29" t="str">
        <f t="shared" si="647"/>
        <v>NA</v>
      </c>
      <c r="R1976" s="29" t="str">
        <f t="shared" si="648"/>
        <v>NA</v>
      </c>
      <c r="S1976" s="29" t="str">
        <f t="shared" si="649"/>
        <v>NA</v>
      </c>
      <c r="T1976" s="29" t="str">
        <f t="shared" si="650"/>
        <v>NA</v>
      </c>
      <c r="U1976" s="29" t="str">
        <f t="shared" si="651"/>
        <v>NA</v>
      </c>
      <c r="V1976" s="29" t="str">
        <f t="shared" si="652"/>
        <v>NA</v>
      </c>
      <c r="W1976" s="29" t="str">
        <f t="shared" si="653"/>
        <v>NA</v>
      </c>
      <c r="X1976" s="29" t="str">
        <f t="shared" si="654"/>
        <v>NA</v>
      </c>
      <c r="Y1976" s="29" t="str">
        <f t="shared" si="655"/>
        <v>NA</v>
      </c>
      <c r="Z1976" s="29" t="str">
        <f t="shared" si="656"/>
        <v>NA</v>
      </c>
      <c r="AA1976" s="29" t="str">
        <f t="shared" si="657"/>
        <v>NA</v>
      </c>
      <c r="AB1976" s="29" t="str">
        <f t="shared" si="658"/>
        <v>NA</v>
      </c>
      <c r="AC1976" s="29" t="str">
        <f t="shared" si="659"/>
        <v>NA</v>
      </c>
      <c r="AD1976" s="29" t="str">
        <f t="shared" si="660"/>
        <v>NA</v>
      </c>
      <c r="AE1976" s="29" t="str">
        <f t="shared" si="661"/>
        <v>NA</v>
      </c>
      <c r="AF1976" s="29" t="str">
        <f t="shared" si="662"/>
        <v>NA</v>
      </c>
      <c r="AG1976" s="29" t="str">
        <f t="shared" si="663"/>
        <v>NA</v>
      </c>
      <c r="AH1976" s="29" t="str">
        <f t="shared" si="664"/>
        <v>NA</v>
      </c>
    </row>
    <row r="1977" customHeight="1" spans="1:34">
      <c r="A1977" s="12" t="s">
        <v>1043</v>
      </c>
      <c r="F1977" s="24">
        <f t="shared" si="646"/>
        <v>0</v>
      </c>
      <c r="G1977" s="24" t="e">
        <f t="shared" si="645"/>
        <v>#DIV/0!</v>
      </c>
      <c r="Q1977" s="29" t="str">
        <f t="shared" si="647"/>
        <v>NA</v>
      </c>
      <c r="R1977" s="29" t="str">
        <f t="shared" si="648"/>
        <v>NA</v>
      </c>
      <c r="S1977" s="29" t="str">
        <f t="shared" si="649"/>
        <v>NA</v>
      </c>
      <c r="T1977" s="29" t="str">
        <f t="shared" si="650"/>
        <v>NA</v>
      </c>
      <c r="U1977" s="29" t="str">
        <f t="shared" si="651"/>
        <v>NA</v>
      </c>
      <c r="V1977" s="29" t="str">
        <f t="shared" si="652"/>
        <v>NA</v>
      </c>
      <c r="W1977" s="29" t="str">
        <f t="shared" si="653"/>
        <v>NA</v>
      </c>
      <c r="X1977" s="29" t="str">
        <f t="shared" si="654"/>
        <v>NA</v>
      </c>
      <c r="Y1977" s="29" t="str">
        <f t="shared" si="655"/>
        <v>NA</v>
      </c>
      <c r="Z1977" s="29" t="str">
        <f t="shared" si="656"/>
        <v>NA</v>
      </c>
      <c r="AA1977" s="29" t="str">
        <f t="shared" si="657"/>
        <v>NA</v>
      </c>
      <c r="AB1977" s="29" t="str">
        <f t="shared" si="658"/>
        <v>NA</v>
      </c>
      <c r="AC1977" s="29" t="str">
        <f t="shared" si="659"/>
        <v>NA</v>
      </c>
      <c r="AD1977" s="29" t="str">
        <f t="shared" si="660"/>
        <v>NA</v>
      </c>
      <c r="AE1977" s="29" t="str">
        <f t="shared" si="661"/>
        <v>NA</v>
      </c>
      <c r="AF1977" s="29" t="str">
        <f t="shared" si="662"/>
        <v>NA</v>
      </c>
      <c r="AG1977" s="29" t="str">
        <f t="shared" si="663"/>
        <v>NA</v>
      </c>
      <c r="AH1977" s="29" t="str">
        <f t="shared" si="664"/>
        <v>NA</v>
      </c>
    </row>
    <row r="1978" customHeight="1" spans="1:34">
      <c r="A1978" s="12" t="s">
        <v>1043</v>
      </c>
      <c r="F1978" s="24">
        <f t="shared" si="646"/>
        <v>0</v>
      </c>
      <c r="G1978" s="24" t="e">
        <f t="shared" si="645"/>
        <v>#DIV/0!</v>
      </c>
      <c r="Q1978" s="29" t="str">
        <f t="shared" si="647"/>
        <v>NA</v>
      </c>
      <c r="R1978" s="29" t="str">
        <f t="shared" si="648"/>
        <v>NA</v>
      </c>
      <c r="S1978" s="29" t="str">
        <f t="shared" si="649"/>
        <v>NA</v>
      </c>
      <c r="T1978" s="29" t="str">
        <f t="shared" si="650"/>
        <v>NA</v>
      </c>
      <c r="U1978" s="29" t="str">
        <f t="shared" si="651"/>
        <v>NA</v>
      </c>
      <c r="V1978" s="29" t="str">
        <f t="shared" si="652"/>
        <v>NA</v>
      </c>
      <c r="W1978" s="29" t="str">
        <f t="shared" si="653"/>
        <v>NA</v>
      </c>
      <c r="X1978" s="29" t="str">
        <f t="shared" si="654"/>
        <v>NA</v>
      </c>
      <c r="Y1978" s="29" t="str">
        <f t="shared" si="655"/>
        <v>NA</v>
      </c>
      <c r="Z1978" s="29" t="str">
        <f t="shared" si="656"/>
        <v>NA</v>
      </c>
      <c r="AA1978" s="29" t="str">
        <f t="shared" si="657"/>
        <v>NA</v>
      </c>
      <c r="AB1978" s="29" t="str">
        <f t="shared" si="658"/>
        <v>NA</v>
      </c>
      <c r="AC1978" s="29" t="str">
        <f t="shared" si="659"/>
        <v>NA</v>
      </c>
      <c r="AD1978" s="29" t="str">
        <f t="shared" si="660"/>
        <v>NA</v>
      </c>
      <c r="AE1978" s="29" t="str">
        <f t="shared" si="661"/>
        <v>NA</v>
      </c>
      <c r="AF1978" s="29" t="str">
        <f t="shared" si="662"/>
        <v>NA</v>
      </c>
      <c r="AG1978" s="29" t="str">
        <f t="shared" si="663"/>
        <v>NA</v>
      </c>
      <c r="AH1978" s="29" t="str">
        <f t="shared" si="664"/>
        <v>NA</v>
      </c>
    </row>
    <row r="1979" customHeight="1" spans="1:34">
      <c r="A1979" s="12" t="s">
        <v>1043</v>
      </c>
      <c r="F1979" s="24">
        <f t="shared" si="646"/>
        <v>0</v>
      </c>
      <c r="G1979" s="24" t="e">
        <f t="shared" si="645"/>
        <v>#DIV/0!</v>
      </c>
      <c r="Q1979" s="29" t="str">
        <f t="shared" si="647"/>
        <v>NA</v>
      </c>
      <c r="R1979" s="29" t="str">
        <f t="shared" si="648"/>
        <v>NA</v>
      </c>
      <c r="S1979" s="29" t="str">
        <f t="shared" si="649"/>
        <v>NA</v>
      </c>
      <c r="T1979" s="29" t="str">
        <f t="shared" si="650"/>
        <v>NA</v>
      </c>
      <c r="U1979" s="29" t="str">
        <f t="shared" si="651"/>
        <v>NA</v>
      </c>
      <c r="V1979" s="29" t="str">
        <f t="shared" si="652"/>
        <v>NA</v>
      </c>
      <c r="W1979" s="29" t="str">
        <f t="shared" si="653"/>
        <v>NA</v>
      </c>
      <c r="X1979" s="29" t="str">
        <f t="shared" si="654"/>
        <v>NA</v>
      </c>
      <c r="Y1979" s="29" t="str">
        <f t="shared" si="655"/>
        <v>NA</v>
      </c>
      <c r="Z1979" s="29" t="str">
        <f t="shared" si="656"/>
        <v>NA</v>
      </c>
      <c r="AA1979" s="29" t="str">
        <f t="shared" si="657"/>
        <v>NA</v>
      </c>
      <c r="AB1979" s="29" t="str">
        <f t="shared" si="658"/>
        <v>NA</v>
      </c>
      <c r="AC1979" s="29" t="str">
        <f t="shared" si="659"/>
        <v>NA</v>
      </c>
      <c r="AD1979" s="29" t="str">
        <f t="shared" si="660"/>
        <v>NA</v>
      </c>
      <c r="AE1979" s="29" t="str">
        <f t="shared" si="661"/>
        <v>NA</v>
      </c>
      <c r="AF1979" s="29" t="str">
        <f t="shared" si="662"/>
        <v>NA</v>
      </c>
      <c r="AG1979" s="29" t="str">
        <f t="shared" si="663"/>
        <v>NA</v>
      </c>
      <c r="AH1979" s="29" t="str">
        <f t="shared" si="664"/>
        <v>NA</v>
      </c>
    </row>
    <row r="1980" customHeight="1" spans="1:34">
      <c r="A1980" s="12" t="s">
        <v>1043</v>
      </c>
      <c r="F1980" s="24">
        <f t="shared" si="646"/>
        <v>0</v>
      </c>
      <c r="G1980" s="24" t="e">
        <f t="shared" si="645"/>
        <v>#DIV/0!</v>
      </c>
      <c r="Q1980" s="29" t="str">
        <f t="shared" si="647"/>
        <v>NA</v>
      </c>
      <c r="R1980" s="29" t="str">
        <f t="shared" si="648"/>
        <v>NA</v>
      </c>
      <c r="S1980" s="29" t="str">
        <f t="shared" si="649"/>
        <v>NA</v>
      </c>
      <c r="T1980" s="29" t="str">
        <f t="shared" si="650"/>
        <v>NA</v>
      </c>
      <c r="U1980" s="29" t="str">
        <f t="shared" si="651"/>
        <v>NA</v>
      </c>
      <c r="V1980" s="29" t="str">
        <f t="shared" si="652"/>
        <v>NA</v>
      </c>
      <c r="W1980" s="29" t="str">
        <f t="shared" si="653"/>
        <v>NA</v>
      </c>
      <c r="X1980" s="29" t="str">
        <f t="shared" si="654"/>
        <v>NA</v>
      </c>
      <c r="Y1980" s="29" t="str">
        <f t="shared" si="655"/>
        <v>NA</v>
      </c>
      <c r="Z1980" s="29" t="str">
        <f t="shared" si="656"/>
        <v>NA</v>
      </c>
      <c r="AA1980" s="29" t="str">
        <f t="shared" si="657"/>
        <v>NA</v>
      </c>
      <c r="AB1980" s="29" t="str">
        <f t="shared" si="658"/>
        <v>NA</v>
      </c>
      <c r="AC1980" s="29" t="str">
        <f t="shared" si="659"/>
        <v>NA</v>
      </c>
      <c r="AD1980" s="29" t="str">
        <f t="shared" si="660"/>
        <v>NA</v>
      </c>
      <c r="AE1980" s="29" t="str">
        <f t="shared" si="661"/>
        <v>NA</v>
      </c>
      <c r="AF1980" s="29" t="str">
        <f t="shared" si="662"/>
        <v>NA</v>
      </c>
      <c r="AG1980" s="29" t="str">
        <f t="shared" si="663"/>
        <v>NA</v>
      </c>
      <c r="AH1980" s="29" t="str">
        <f t="shared" si="664"/>
        <v>NA</v>
      </c>
    </row>
    <row r="1981" customHeight="1" spans="1:34">
      <c r="A1981" s="12" t="s">
        <v>1043</v>
      </c>
      <c r="F1981" s="24">
        <f t="shared" si="646"/>
        <v>0</v>
      </c>
      <c r="G1981" s="24" t="e">
        <f t="shared" si="645"/>
        <v>#DIV/0!</v>
      </c>
      <c r="Q1981" s="29" t="str">
        <f t="shared" si="647"/>
        <v>NA</v>
      </c>
      <c r="R1981" s="29" t="str">
        <f t="shared" si="648"/>
        <v>NA</v>
      </c>
      <c r="S1981" s="29" t="str">
        <f t="shared" si="649"/>
        <v>NA</v>
      </c>
      <c r="T1981" s="29" t="str">
        <f t="shared" si="650"/>
        <v>NA</v>
      </c>
      <c r="U1981" s="29" t="str">
        <f t="shared" si="651"/>
        <v>NA</v>
      </c>
      <c r="V1981" s="29" t="str">
        <f t="shared" si="652"/>
        <v>NA</v>
      </c>
      <c r="W1981" s="29" t="str">
        <f t="shared" si="653"/>
        <v>NA</v>
      </c>
      <c r="X1981" s="29" t="str">
        <f t="shared" si="654"/>
        <v>NA</v>
      </c>
      <c r="Y1981" s="29" t="str">
        <f t="shared" si="655"/>
        <v>NA</v>
      </c>
      <c r="Z1981" s="29" t="str">
        <f t="shared" si="656"/>
        <v>NA</v>
      </c>
      <c r="AA1981" s="29" t="str">
        <f t="shared" si="657"/>
        <v>NA</v>
      </c>
      <c r="AB1981" s="29" t="str">
        <f t="shared" si="658"/>
        <v>NA</v>
      </c>
      <c r="AC1981" s="29" t="str">
        <f t="shared" si="659"/>
        <v>NA</v>
      </c>
      <c r="AD1981" s="29" t="str">
        <f t="shared" si="660"/>
        <v>NA</v>
      </c>
      <c r="AE1981" s="29" t="str">
        <f t="shared" si="661"/>
        <v>NA</v>
      </c>
      <c r="AF1981" s="29" t="str">
        <f t="shared" si="662"/>
        <v>NA</v>
      </c>
      <c r="AG1981" s="29" t="str">
        <f t="shared" si="663"/>
        <v>NA</v>
      </c>
      <c r="AH1981" s="29" t="str">
        <f t="shared" si="664"/>
        <v>NA</v>
      </c>
    </row>
    <row r="1982" customHeight="1" spans="1:34">
      <c r="A1982" s="12" t="s">
        <v>1043</v>
      </c>
      <c r="F1982" s="24">
        <f t="shared" si="646"/>
        <v>0</v>
      </c>
      <c r="G1982" s="24" t="e">
        <f t="shared" si="645"/>
        <v>#DIV/0!</v>
      </c>
      <c r="Q1982" s="29" t="str">
        <f t="shared" si="647"/>
        <v>NA</v>
      </c>
      <c r="R1982" s="29" t="str">
        <f t="shared" si="648"/>
        <v>NA</v>
      </c>
      <c r="S1982" s="29" t="str">
        <f t="shared" si="649"/>
        <v>NA</v>
      </c>
      <c r="T1982" s="29" t="str">
        <f t="shared" si="650"/>
        <v>NA</v>
      </c>
      <c r="U1982" s="29" t="str">
        <f t="shared" si="651"/>
        <v>NA</v>
      </c>
      <c r="V1982" s="29" t="str">
        <f t="shared" si="652"/>
        <v>NA</v>
      </c>
      <c r="W1982" s="29" t="str">
        <f t="shared" si="653"/>
        <v>NA</v>
      </c>
      <c r="X1982" s="29" t="str">
        <f t="shared" si="654"/>
        <v>NA</v>
      </c>
      <c r="Y1982" s="29" t="str">
        <f t="shared" si="655"/>
        <v>NA</v>
      </c>
      <c r="Z1982" s="29" t="str">
        <f t="shared" si="656"/>
        <v>NA</v>
      </c>
      <c r="AA1982" s="29" t="str">
        <f t="shared" si="657"/>
        <v>NA</v>
      </c>
      <c r="AB1982" s="29" t="str">
        <f t="shared" si="658"/>
        <v>NA</v>
      </c>
      <c r="AC1982" s="29" t="str">
        <f t="shared" si="659"/>
        <v>NA</v>
      </c>
      <c r="AD1982" s="29" t="str">
        <f t="shared" si="660"/>
        <v>NA</v>
      </c>
      <c r="AE1982" s="29" t="str">
        <f t="shared" si="661"/>
        <v>NA</v>
      </c>
      <c r="AF1982" s="29" t="str">
        <f t="shared" si="662"/>
        <v>NA</v>
      </c>
      <c r="AG1982" s="29" t="str">
        <f t="shared" si="663"/>
        <v>NA</v>
      </c>
      <c r="AH1982" s="29" t="str">
        <f t="shared" si="664"/>
        <v>NA</v>
      </c>
    </row>
    <row r="1983" customHeight="1" spans="1:34">
      <c r="A1983" s="12" t="s">
        <v>1043</v>
      </c>
      <c r="F1983" s="24">
        <f t="shared" si="646"/>
        <v>0</v>
      </c>
      <c r="G1983" s="24" t="e">
        <f t="shared" si="645"/>
        <v>#DIV/0!</v>
      </c>
      <c r="Q1983" s="29" t="str">
        <f t="shared" si="647"/>
        <v>NA</v>
      </c>
      <c r="R1983" s="29" t="str">
        <f t="shared" si="648"/>
        <v>NA</v>
      </c>
      <c r="S1983" s="29" t="str">
        <f t="shared" si="649"/>
        <v>NA</v>
      </c>
      <c r="T1983" s="29" t="str">
        <f t="shared" si="650"/>
        <v>NA</v>
      </c>
      <c r="U1983" s="29" t="str">
        <f t="shared" si="651"/>
        <v>NA</v>
      </c>
      <c r="V1983" s="29" t="str">
        <f t="shared" si="652"/>
        <v>NA</v>
      </c>
      <c r="W1983" s="29" t="str">
        <f t="shared" si="653"/>
        <v>NA</v>
      </c>
      <c r="X1983" s="29" t="str">
        <f t="shared" si="654"/>
        <v>NA</v>
      </c>
      <c r="Y1983" s="29" t="str">
        <f t="shared" si="655"/>
        <v>NA</v>
      </c>
      <c r="Z1983" s="29" t="str">
        <f t="shared" si="656"/>
        <v>NA</v>
      </c>
      <c r="AA1983" s="29" t="str">
        <f t="shared" si="657"/>
        <v>NA</v>
      </c>
      <c r="AB1983" s="29" t="str">
        <f t="shared" si="658"/>
        <v>NA</v>
      </c>
      <c r="AC1983" s="29" t="str">
        <f t="shared" si="659"/>
        <v>NA</v>
      </c>
      <c r="AD1983" s="29" t="str">
        <f t="shared" si="660"/>
        <v>NA</v>
      </c>
      <c r="AE1983" s="29" t="str">
        <f t="shared" si="661"/>
        <v>NA</v>
      </c>
      <c r="AF1983" s="29" t="str">
        <f t="shared" si="662"/>
        <v>NA</v>
      </c>
      <c r="AG1983" s="29" t="str">
        <f t="shared" si="663"/>
        <v>NA</v>
      </c>
      <c r="AH1983" s="29" t="str">
        <f t="shared" si="664"/>
        <v>NA</v>
      </c>
    </row>
    <row r="1984" customHeight="1" spans="1:34">
      <c r="A1984" s="12" t="s">
        <v>1043</v>
      </c>
      <c r="F1984" s="24">
        <f t="shared" si="646"/>
        <v>0</v>
      </c>
      <c r="G1984" s="24" t="e">
        <f t="shared" si="645"/>
        <v>#DIV/0!</v>
      </c>
      <c r="Q1984" s="29" t="str">
        <f t="shared" si="647"/>
        <v>NA</v>
      </c>
      <c r="R1984" s="29" t="str">
        <f t="shared" si="648"/>
        <v>NA</v>
      </c>
      <c r="S1984" s="29" t="str">
        <f t="shared" si="649"/>
        <v>NA</v>
      </c>
      <c r="T1984" s="29" t="str">
        <f t="shared" si="650"/>
        <v>NA</v>
      </c>
      <c r="U1984" s="29" t="str">
        <f t="shared" si="651"/>
        <v>NA</v>
      </c>
      <c r="V1984" s="29" t="str">
        <f t="shared" si="652"/>
        <v>NA</v>
      </c>
      <c r="W1984" s="29" t="str">
        <f t="shared" si="653"/>
        <v>NA</v>
      </c>
      <c r="X1984" s="29" t="str">
        <f t="shared" si="654"/>
        <v>NA</v>
      </c>
      <c r="Y1984" s="29" t="str">
        <f t="shared" si="655"/>
        <v>NA</v>
      </c>
      <c r="Z1984" s="29" t="str">
        <f t="shared" si="656"/>
        <v>NA</v>
      </c>
      <c r="AA1984" s="29" t="str">
        <f t="shared" si="657"/>
        <v>NA</v>
      </c>
      <c r="AB1984" s="29" t="str">
        <f t="shared" si="658"/>
        <v>NA</v>
      </c>
      <c r="AC1984" s="29" t="str">
        <f t="shared" si="659"/>
        <v>NA</v>
      </c>
      <c r="AD1984" s="29" t="str">
        <f t="shared" si="660"/>
        <v>NA</v>
      </c>
      <c r="AE1984" s="29" t="str">
        <f t="shared" si="661"/>
        <v>NA</v>
      </c>
      <c r="AF1984" s="29" t="str">
        <f t="shared" si="662"/>
        <v>NA</v>
      </c>
      <c r="AG1984" s="29" t="str">
        <f t="shared" si="663"/>
        <v>NA</v>
      </c>
      <c r="AH1984" s="29" t="str">
        <f t="shared" si="664"/>
        <v>NA</v>
      </c>
    </row>
    <row r="1985" customHeight="1" spans="1:34">
      <c r="A1985" s="12" t="s">
        <v>1043</v>
      </c>
      <c r="F1985" s="24">
        <f t="shared" si="646"/>
        <v>0</v>
      </c>
      <c r="G1985" s="24" t="e">
        <f t="shared" si="645"/>
        <v>#DIV/0!</v>
      </c>
      <c r="Q1985" s="29" t="str">
        <f t="shared" si="647"/>
        <v>NA</v>
      </c>
      <c r="R1985" s="29" t="str">
        <f t="shared" si="648"/>
        <v>NA</v>
      </c>
      <c r="S1985" s="29" t="str">
        <f t="shared" si="649"/>
        <v>NA</v>
      </c>
      <c r="T1985" s="29" t="str">
        <f t="shared" si="650"/>
        <v>NA</v>
      </c>
      <c r="U1985" s="29" t="str">
        <f t="shared" si="651"/>
        <v>NA</v>
      </c>
      <c r="V1985" s="29" t="str">
        <f t="shared" si="652"/>
        <v>NA</v>
      </c>
      <c r="W1985" s="29" t="str">
        <f t="shared" si="653"/>
        <v>NA</v>
      </c>
      <c r="X1985" s="29" t="str">
        <f t="shared" si="654"/>
        <v>NA</v>
      </c>
      <c r="Y1985" s="29" t="str">
        <f t="shared" si="655"/>
        <v>NA</v>
      </c>
      <c r="Z1985" s="29" t="str">
        <f t="shared" si="656"/>
        <v>NA</v>
      </c>
      <c r="AA1985" s="29" t="str">
        <f t="shared" si="657"/>
        <v>NA</v>
      </c>
      <c r="AB1985" s="29" t="str">
        <f t="shared" si="658"/>
        <v>NA</v>
      </c>
      <c r="AC1985" s="29" t="str">
        <f t="shared" si="659"/>
        <v>NA</v>
      </c>
      <c r="AD1985" s="29" t="str">
        <f t="shared" si="660"/>
        <v>NA</v>
      </c>
      <c r="AE1985" s="29" t="str">
        <f t="shared" si="661"/>
        <v>NA</v>
      </c>
      <c r="AF1985" s="29" t="str">
        <f t="shared" si="662"/>
        <v>NA</v>
      </c>
      <c r="AG1985" s="29" t="str">
        <f t="shared" si="663"/>
        <v>NA</v>
      </c>
      <c r="AH1985" s="29" t="str">
        <f t="shared" si="664"/>
        <v>NA</v>
      </c>
    </row>
    <row r="1986" customHeight="1" spans="1:34">
      <c r="A1986" s="12" t="s">
        <v>1043</v>
      </c>
      <c r="F1986" s="24">
        <f t="shared" si="646"/>
        <v>0</v>
      </c>
      <c r="G1986" s="24" t="e">
        <f t="shared" si="645"/>
        <v>#DIV/0!</v>
      </c>
      <c r="Q1986" s="29" t="str">
        <f t="shared" si="647"/>
        <v>NA</v>
      </c>
      <c r="R1986" s="29" t="str">
        <f t="shared" si="648"/>
        <v>NA</v>
      </c>
      <c r="S1986" s="29" t="str">
        <f t="shared" si="649"/>
        <v>NA</v>
      </c>
      <c r="T1986" s="29" t="str">
        <f t="shared" si="650"/>
        <v>NA</v>
      </c>
      <c r="U1986" s="29" t="str">
        <f t="shared" si="651"/>
        <v>NA</v>
      </c>
      <c r="V1986" s="29" t="str">
        <f t="shared" si="652"/>
        <v>NA</v>
      </c>
      <c r="W1986" s="29" t="str">
        <f t="shared" si="653"/>
        <v>NA</v>
      </c>
      <c r="X1986" s="29" t="str">
        <f t="shared" si="654"/>
        <v>NA</v>
      </c>
      <c r="Y1986" s="29" t="str">
        <f t="shared" si="655"/>
        <v>NA</v>
      </c>
      <c r="Z1986" s="29" t="str">
        <f t="shared" si="656"/>
        <v>NA</v>
      </c>
      <c r="AA1986" s="29" t="str">
        <f t="shared" si="657"/>
        <v>NA</v>
      </c>
      <c r="AB1986" s="29" t="str">
        <f t="shared" si="658"/>
        <v>NA</v>
      </c>
      <c r="AC1986" s="29" t="str">
        <f t="shared" si="659"/>
        <v>NA</v>
      </c>
      <c r="AD1986" s="29" t="str">
        <f t="shared" si="660"/>
        <v>NA</v>
      </c>
      <c r="AE1986" s="29" t="str">
        <f t="shared" si="661"/>
        <v>NA</v>
      </c>
      <c r="AF1986" s="29" t="str">
        <f t="shared" si="662"/>
        <v>NA</v>
      </c>
      <c r="AG1986" s="29" t="str">
        <f t="shared" si="663"/>
        <v>NA</v>
      </c>
      <c r="AH1986" s="29" t="str">
        <f t="shared" si="664"/>
        <v>NA</v>
      </c>
    </row>
    <row r="1987" customHeight="1" spans="1:34">
      <c r="A1987" s="12" t="s">
        <v>1043</v>
      </c>
      <c r="F1987" s="24">
        <f t="shared" si="646"/>
        <v>0</v>
      </c>
      <c r="G1987" s="24" t="e">
        <f t="shared" si="645"/>
        <v>#DIV/0!</v>
      </c>
      <c r="Q1987" s="29" t="str">
        <f t="shared" si="647"/>
        <v>NA</v>
      </c>
      <c r="R1987" s="29" t="str">
        <f t="shared" si="648"/>
        <v>NA</v>
      </c>
      <c r="S1987" s="29" t="str">
        <f t="shared" si="649"/>
        <v>NA</v>
      </c>
      <c r="T1987" s="29" t="str">
        <f t="shared" si="650"/>
        <v>NA</v>
      </c>
      <c r="U1987" s="29" t="str">
        <f t="shared" si="651"/>
        <v>NA</v>
      </c>
      <c r="V1987" s="29" t="str">
        <f t="shared" si="652"/>
        <v>NA</v>
      </c>
      <c r="W1987" s="29" t="str">
        <f t="shared" si="653"/>
        <v>NA</v>
      </c>
      <c r="X1987" s="29" t="str">
        <f t="shared" si="654"/>
        <v>NA</v>
      </c>
      <c r="Y1987" s="29" t="str">
        <f t="shared" si="655"/>
        <v>NA</v>
      </c>
      <c r="Z1987" s="29" t="str">
        <f t="shared" si="656"/>
        <v>NA</v>
      </c>
      <c r="AA1987" s="29" t="str">
        <f t="shared" si="657"/>
        <v>NA</v>
      </c>
      <c r="AB1987" s="29" t="str">
        <f t="shared" si="658"/>
        <v>NA</v>
      </c>
      <c r="AC1987" s="29" t="str">
        <f t="shared" si="659"/>
        <v>NA</v>
      </c>
      <c r="AD1987" s="29" t="str">
        <f t="shared" si="660"/>
        <v>NA</v>
      </c>
      <c r="AE1987" s="29" t="str">
        <f t="shared" si="661"/>
        <v>NA</v>
      </c>
      <c r="AF1987" s="29" t="str">
        <f t="shared" si="662"/>
        <v>NA</v>
      </c>
      <c r="AG1987" s="29" t="str">
        <f t="shared" si="663"/>
        <v>NA</v>
      </c>
      <c r="AH1987" s="29" t="str">
        <f t="shared" si="664"/>
        <v>NA</v>
      </c>
    </row>
    <row r="1988" customHeight="1" spans="1:34">
      <c r="A1988" s="12" t="s">
        <v>1043</v>
      </c>
      <c r="F1988" s="24">
        <f t="shared" si="646"/>
        <v>0</v>
      </c>
      <c r="G1988" s="24" t="e">
        <f t="shared" si="645"/>
        <v>#DIV/0!</v>
      </c>
      <c r="Q1988" s="29" t="str">
        <f t="shared" si="647"/>
        <v>NA</v>
      </c>
      <c r="R1988" s="29" t="str">
        <f t="shared" si="648"/>
        <v>NA</v>
      </c>
      <c r="S1988" s="29" t="str">
        <f t="shared" si="649"/>
        <v>NA</v>
      </c>
      <c r="T1988" s="29" t="str">
        <f t="shared" si="650"/>
        <v>NA</v>
      </c>
      <c r="U1988" s="29" t="str">
        <f t="shared" si="651"/>
        <v>NA</v>
      </c>
      <c r="V1988" s="29" t="str">
        <f t="shared" si="652"/>
        <v>NA</v>
      </c>
      <c r="W1988" s="29" t="str">
        <f t="shared" si="653"/>
        <v>NA</v>
      </c>
      <c r="X1988" s="29" t="str">
        <f t="shared" si="654"/>
        <v>NA</v>
      </c>
      <c r="Y1988" s="29" t="str">
        <f t="shared" si="655"/>
        <v>NA</v>
      </c>
      <c r="Z1988" s="29" t="str">
        <f t="shared" si="656"/>
        <v>NA</v>
      </c>
      <c r="AA1988" s="29" t="str">
        <f t="shared" si="657"/>
        <v>NA</v>
      </c>
      <c r="AB1988" s="29" t="str">
        <f t="shared" si="658"/>
        <v>NA</v>
      </c>
      <c r="AC1988" s="29" t="str">
        <f t="shared" si="659"/>
        <v>NA</v>
      </c>
      <c r="AD1988" s="29" t="str">
        <f t="shared" si="660"/>
        <v>NA</v>
      </c>
      <c r="AE1988" s="29" t="str">
        <f t="shared" si="661"/>
        <v>NA</v>
      </c>
      <c r="AF1988" s="29" t="str">
        <f t="shared" si="662"/>
        <v>NA</v>
      </c>
      <c r="AG1988" s="29" t="str">
        <f t="shared" si="663"/>
        <v>NA</v>
      </c>
      <c r="AH1988" s="29" t="str">
        <f t="shared" si="664"/>
        <v>NA</v>
      </c>
    </row>
    <row r="1989" customHeight="1" spans="1:34">
      <c r="A1989" s="12" t="s">
        <v>1043</v>
      </c>
      <c r="F1989" s="24">
        <f t="shared" si="646"/>
        <v>0</v>
      </c>
      <c r="G1989" s="24" t="e">
        <f t="shared" ref="G1989:G2052" si="665">B1989*D1989/C1989</f>
        <v>#DIV/0!</v>
      </c>
      <c r="Q1989" s="29" t="str">
        <f t="shared" si="647"/>
        <v>NA</v>
      </c>
      <c r="R1989" s="29" t="str">
        <f t="shared" si="648"/>
        <v>NA</v>
      </c>
      <c r="S1989" s="29" t="str">
        <f t="shared" si="649"/>
        <v>NA</v>
      </c>
      <c r="T1989" s="29" t="str">
        <f t="shared" si="650"/>
        <v>NA</v>
      </c>
      <c r="U1989" s="29" t="str">
        <f t="shared" si="651"/>
        <v>NA</v>
      </c>
      <c r="V1989" s="29" t="str">
        <f t="shared" si="652"/>
        <v>NA</v>
      </c>
      <c r="W1989" s="29" t="str">
        <f t="shared" si="653"/>
        <v>NA</v>
      </c>
      <c r="X1989" s="29" t="str">
        <f t="shared" si="654"/>
        <v>NA</v>
      </c>
      <c r="Y1989" s="29" t="str">
        <f t="shared" si="655"/>
        <v>NA</v>
      </c>
      <c r="Z1989" s="29" t="str">
        <f t="shared" si="656"/>
        <v>NA</v>
      </c>
      <c r="AA1989" s="29" t="str">
        <f t="shared" si="657"/>
        <v>NA</v>
      </c>
      <c r="AB1989" s="29" t="str">
        <f t="shared" si="658"/>
        <v>NA</v>
      </c>
      <c r="AC1989" s="29" t="str">
        <f t="shared" si="659"/>
        <v>NA</v>
      </c>
      <c r="AD1989" s="29" t="str">
        <f t="shared" si="660"/>
        <v>NA</v>
      </c>
      <c r="AE1989" s="29" t="str">
        <f t="shared" si="661"/>
        <v>NA</v>
      </c>
      <c r="AF1989" s="29" t="str">
        <f t="shared" si="662"/>
        <v>NA</v>
      </c>
      <c r="AG1989" s="29" t="str">
        <f t="shared" si="663"/>
        <v>NA</v>
      </c>
      <c r="AH1989" s="29" t="str">
        <f t="shared" si="664"/>
        <v>NA</v>
      </c>
    </row>
    <row r="1990" customHeight="1" spans="1:34">
      <c r="A1990" s="12" t="s">
        <v>1043</v>
      </c>
      <c r="F1990" s="24">
        <f t="shared" ref="F1990:F2053" si="666">+D1990+E1990</f>
        <v>0</v>
      </c>
      <c r="G1990" s="24" t="e">
        <f t="shared" si="665"/>
        <v>#DIV/0!</v>
      </c>
      <c r="Q1990" s="29" t="str">
        <f t="shared" si="647"/>
        <v>NA</v>
      </c>
      <c r="R1990" s="29" t="str">
        <f t="shared" si="648"/>
        <v>NA</v>
      </c>
      <c r="S1990" s="29" t="str">
        <f t="shared" si="649"/>
        <v>NA</v>
      </c>
      <c r="T1990" s="29" t="str">
        <f t="shared" si="650"/>
        <v>NA</v>
      </c>
      <c r="U1990" s="29" t="str">
        <f t="shared" si="651"/>
        <v>NA</v>
      </c>
      <c r="V1990" s="29" t="str">
        <f t="shared" si="652"/>
        <v>NA</v>
      </c>
      <c r="W1990" s="29" t="str">
        <f t="shared" si="653"/>
        <v>NA</v>
      </c>
      <c r="X1990" s="29" t="str">
        <f t="shared" si="654"/>
        <v>NA</v>
      </c>
      <c r="Y1990" s="29" t="str">
        <f t="shared" si="655"/>
        <v>NA</v>
      </c>
      <c r="Z1990" s="29" t="str">
        <f t="shared" si="656"/>
        <v>NA</v>
      </c>
      <c r="AA1990" s="29" t="str">
        <f t="shared" si="657"/>
        <v>NA</v>
      </c>
      <c r="AB1990" s="29" t="str">
        <f t="shared" si="658"/>
        <v>NA</v>
      </c>
      <c r="AC1990" s="29" t="str">
        <f t="shared" si="659"/>
        <v>NA</v>
      </c>
      <c r="AD1990" s="29" t="str">
        <f t="shared" si="660"/>
        <v>NA</v>
      </c>
      <c r="AE1990" s="29" t="str">
        <f t="shared" si="661"/>
        <v>NA</v>
      </c>
      <c r="AF1990" s="29" t="str">
        <f t="shared" si="662"/>
        <v>NA</v>
      </c>
      <c r="AG1990" s="29" t="str">
        <f t="shared" si="663"/>
        <v>NA</v>
      </c>
      <c r="AH1990" s="29" t="str">
        <f t="shared" si="664"/>
        <v>NA</v>
      </c>
    </row>
    <row r="1991" customHeight="1" spans="1:34">
      <c r="A1991" s="12" t="s">
        <v>1043</v>
      </c>
      <c r="F1991" s="24">
        <f t="shared" si="666"/>
        <v>0</v>
      </c>
      <c r="G1991" s="24" t="e">
        <f t="shared" si="665"/>
        <v>#DIV/0!</v>
      </c>
      <c r="Q1991" s="29" t="str">
        <f t="shared" si="647"/>
        <v>NA</v>
      </c>
      <c r="R1991" s="29" t="str">
        <f t="shared" si="648"/>
        <v>NA</v>
      </c>
      <c r="S1991" s="29" t="str">
        <f t="shared" si="649"/>
        <v>NA</v>
      </c>
      <c r="T1991" s="29" t="str">
        <f t="shared" si="650"/>
        <v>NA</v>
      </c>
      <c r="U1991" s="29" t="str">
        <f t="shared" si="651"/>
        <v>NA</v>
      </c>
      <c r="V1991" s="29" t="str">
        <f t="shared" si="652"/>
        <v>NA</v>
      </c>
      <c r="W1991" s="29" t="str">
        <f t="shared" si="653"/>
        <v>NA</v>
      </c>
      <c r="X1991" s="29" t="str">
        <f t="shared" si="654"/>
        <v>NA</v>
      </c>
      <c r="Y1991" s="29" t="str">
        <f t="shared" si="655"/>
        <v>NA</v>
      </c>
      <c r="Z1991" s="29" t="str">
        <f t="shared" si="656"/>
        <v>NA</v>
      </c>
      <c r="AA1991" s="29" t="str">
        <f t="shared" si="657"/>
        <v>NA</v>
      </c>
      <c r="AB1991" s="29" t="str">
        <f t="shared" si="658"/>
        <v>NA</v>
      </c>
      <c r="AC1991" s="29" t="str">
        <f t="shared" si="659"/>
        <v>NA</v>
      </c>
      <c r="AD1991" s="29" t="str">
        <f t="shared" si="660"/>
        <v>NA</v>
      </c>
      <c r="AE1991" s="29" t="str">
        <f t="shared" si="661"/>
        <v>NA</v>
      </c>
      <c r="AF1991" s="29" t="str">
        <f t="shared" si="662"/>
        <v>NA</v>
      </c>
      <c r="AG1991" s="29" t="str">
        <f t="shared" si="663"/>
        <v>NA</v>
      </c>
      <c r="AH1991" s="29" t="str">
        <f t="shared" si="664"/>
        <v>NA</v>
      </c>
    </row>
    <row r="1992" customHeight="1" spans="1:34">
      <c r="A1992" s="12" t="s">
        <v>1043</v>
      </c>
      <c r="F1992" s="24">
        <f t="shared" si="666"/>
        <v>0</v>
      </c>
      <c r="G1992" s="24" t="e">
        <f t="shared" si="665"/>
        <v>#DIV/0!</v>
      </c>
      <c r="Q1992" s="29" t="str">
        <f t="shared" si="647"/>
        <v>NA</v>
      </c>
      <c r="R1992" s="29" t="str">
        <f t="shared" si="648"/>
        <v>NA</v>
      </c>
      <c r="S1992" s="29" t="str">
        <f t="shared" si="649"/>
        <v>NA</v>
      </c>
      <c r="T1992" s="29" t="str">
        <f t="shared" si="650"/>
        <v>NA</v>
      </c>
      <c r="U1992" s="29" t="str">
        <f t="shared" si="651"/>
        <v>NA</v>
      </c>
      <c r="V1992" s="29" t="str">
        <f t="shared" si="652"/>
        <v>NA</v>
      </c>
      <c r="W1992" s="29" t="str">
        <f t="shared" si="653"/>
        <v>NA</v>
      </c>
      <c r="X1992" s="29" t="str">
        <f t="shared" si="654"/>
        <v>NA</v>
      </c>
      <c r="Y1992" s="29" t="str">
        <f t="shared" si="655"/>
        <v>NA</v>
      </c>
      <c r="Z1992" s="29" t="str">
        <f t="shared" si="656"/>
        <v>NA</v>
      </c>
      <c r="AA1992" s="29" t="str">
        <f t="shared" si="657"/>
        <v>NA</v>
      </c>
      <c r="AB1992" s="29" t="str">
        <f t="shared" si="658"/>
        <v>NA</v>
      </c>
      <c r="AC1992" s="29" t="str">
        <f t="shared" si="659"/>
        <v>NA</v>
      </c>
      <c r="AD1992" s="29" t="str">
        <f t="shared" si="660"/>
        <v>NA</v>
      </c>
      <c r="AE1992" s="29" t="str">
        <f t="shared" si="661"/>
        <v>NA</v>
      </c>
      <c r="AF1992" s="29" t="str">
        <f t="shared" si="662"/>
        <v>NA</v>
      </c>
      <c r="AG1992" s="29" t="str">
        <f t="shared" si="663"/>
        <v>NA</v>
      </c>
      <c r="AH1992" s="29" t="str">
        <f t="shared" si="664"/>
        <v>NA</v>
      </c>
    </row>
    <row r="1993" customHeight="1" spans="1:34">
      <c r="A1993" s="12" t="s">
        <v>1043</v>
      </c>
      <c r="F1993" s="24">
        <f t="shared" si="666"/>
        <v>0</v>
      </c>
      <c r="G1993" s="24" t="e">
        <f t="shared" si="665"/>
        <v>#DIV/0!</v>
      </c>
      <c r="Q1993" s="29" t="str">
        <f t="shared" si="647"/>
        <v>NA</v>
      </c>
      <c r="R1993" s="29" t="str">
        <f t="shared" si="648"/>
        <v>NA</v>
      </c>
      <c r="S1993" s="29" t="str">
        <f t="shared" si="649"/>
        <v>NA</v>
      </c>
      <c r="T1993" s="29" t="str">
        <f t="shared" si="650"/>
        <v>NA</v>
      </c>
      <c r="U1993" s="29" t="str">
        <f t="shared" si="651"/>
        <v>NA</v>
      </c>
      <c r="V1993" s="29" t="str">
        <f t="shared" si="652"/>
        <v>NA</v>
      </c>
      <c r="W1993" s="29" t="str">
        <f t="shared" si="653"/>
        <v>NA</v>
      </c>
      <c r="X1993" s="29" t="str">
        <f t="shared" si="654"/>
        <v>NA</v>
      </c>
      <c r="Y1993" s="29" t="str">
        <f t="shared" si="655"/>
        <v>NA</v>
      </c>
      <c r="Z1993" s="29" t="str">
        <f t="shared" si="656"/>
        <v>NA</v>
      </c>
      <c r="AA1993" s="29" t="str">
        <f t="shared" si="657"/>
        <v>NA</v>
      </c>
      <c r="AB1993" s="29" t="str">
        <f t="shared" si="658"/>
        <v>NA</v>
      </c>
      <c r="AC1993" s="29" t="str">
        <f t="shared" si="659"/>
        <v>NA</v>
      </c>
      <c r="AD1993" s="29" t="str">
        <f t="shared" si="660"/>
        <v>NA</v>
      </c>
      <c r="AE1993" s="29" t="str">
        <f t="shared" si="661"/>
        <v>NA</v>
      </c>
      <c r="AF1993" s="29" t="str">
        <f t="shared" si="662"/>
        <v>NA</v>
      </c>
      <c r="AG1993" s="29" t="str">
        <f t="shared" si="663"/>
        <v>NA</v>
      </c>
      <c r="AH1993" s="29" t="str">
        <f t="shared" si="664"/>
        <v>NA</v>
      </c>
    </row>
    <row r="1994" customHeight="1" spans="1:34">
      <c r="A1994" s="12" t="s">
        <v>1043</v>
      </c>
      <c r="F1994" s="24">
        <f t="shared" si="666"/>
        <v>0</v>
      </c>
      <c r="G1994" s="24" t="e">
        <f t="shared" si="665"/>
        <v>#DIV/0!</v>
      </c>
      <c r="Q1994" s="29" t="str">
        <f t="shared" si="647"/>
        <v>NA</v>
      </c>
      <c r="R1994" s="29" t="str">
        <f t="shared" si="648"/>
        <v>NA</v>
      </c>
      <c r="S1994" s="29" t="str">
        <f t="shared" si="649"/>
        <v>NA</v>
      </c>
      <c r="T1994" s="29" t="str">
        <f t="shared" si="650"/>
        <v>NA</v>
      </c>
      <c r="U1994" s="29" t="str">
        <f t="shared" si="651"/>
        <v>NA</v>
      </c>
      <c r="V1994" s="29" t="str">
        <f t="shared" si="652"/>
        <v>NA</v>
      </c>
      <c r="W1994" s="29" t="str">
        <f t="shared" si="653"/>
        <v>NA</v>
      </c>
      <c r="X1994" s="29" t="str">
        <f t="shared" si="654"/>
        <v>NA</v>
      </c>
      <c r="Y1994" s="29" t="str">
        <f t="shared" si="655"/>
        <v>NA</v>
      </c>
      <c r="Z1994" s="29" t="str">
        <f t="shared" si="656"/>
        <v>NA</v>
      </c>
      <c r="AA1994" s="29" t="str">
        <f t="shared" si="657"/>
        <v>NA</v>
      </c>
      <c r="AB1994" s="29" t="str">
        <f t="shared" si="658"/>
        <v>NA</v>
      </c>
      <c r="AC1994" s="29" t="str">
        <f t="shared" si="659"/>
        <v>NA</v>
      </c>
      <c r="AD1994" s="29" t="str">
        <f t="shared" si="660"/>
        <v>NA</v>
      </c>
      <c r="AE1994" s="29" t="str">
        <f t="shared" si="661"/>
        <v>NA</v>
      </c>
      <c r="AF1994" s="29" t="str">
        <f t="shared" si="662"/>
        <v>NA</v>
      </c>
      <c r="AG1994" s="29" t="str">
        <f t="shared" si="663"/>
        <v>NA</v>
      </c>
      <c r="AH1994" s="29" t="str">
        <f t="shared" si="664"/>
        <v>NA</v>
      </c>
    </row>
    <row r="1995" customHeight="1" spans="1:34">
      <c r="A1995" s="12" t="s">
        <v>1043</v>
      </c>
      <c r="F1995" s="24">
        <f t="shared" si="666"/>
        <v>0</v>
      </c>
      <c r="G1995" s="24" t="e">
        <f t="shared" si="665"/>
        <v>#DIV/0!</v>
      </c>
      <c r="Q1995" s="29" t="str">
        <f t="shared" si="647"/>
        <v>NA</v>
      </c>
      <c r="R1995" s="29" t="str">
        <f t="shared" si="648"/>
        <v>NA</v>
      </c>
      <c r="S1995" s="29" t="str">
        <f t="shared" si="649"/>
        <v>NA</v>
      </c>
      <c r="T1995" s="29" t="str">
        <f t="shared" si="650"/>
        <v>NA</v>
      </c>
      <c r="U1995" s="29" t="str">
        <f t="shared" si="651"/>
        <v>NA</v>
      </c>
      <c r="V1995" s="29" t="str">
        <f t="shared" si="652"/>
        <v>NA</v>
      </c>
      <c r="W1995" s="29" t="str">
        <f t="shared" si="653"/>
        <v>NA</v>
      </c>
      <c r="X1995" s="29" t="str">
        <f t="shared" si="654"/>
        <v>NA</v>
      </c>
      <c r="Y1995" s="29" t="str">
        <f t="shared" si="655"/>
        <v>NA</v>
      </c>
      <c r="Z1995" s="29" t="str">
        <f t="shared" si="656"/>
        <v>NA</v>
      </c>
      <c r="AA1995" s="29" t="str">
        <f t="shared" si="657"/>
        <v>NA</v>
      </c>
      <c r="AB1995" s="29" t="str">
        <f t="shared" si="658"/>
        <v>NA</v>
      </c>
      <c r="AC1995" s="29" t="str">
        <f t="shared" si="659"/>
        <v>NA</v>
      </c>
      <c r="AD1995" s="29" t="str">
        <f t="shared" si="660"/>
        <v>NA</v>
      </c>
      <c r="AE1995" s="29" t="str">
        <f t="shared" si="661"/>
        <v>NA</v>
      </c>
      <c r="AF1995" s="29" t="str">
        <f t="shared" si="662"/>
        <v>NA</v>
      </c>
      <c r="AG1995" s="29" t="str">
        <f t="shared" si="663"/>
        <v>NA</v>
      </c>
      <c r="AH1995" s="29" t="str">
        <f t="shared" si="664"/>
        <v>NA</v>
      </c>
    </row>
    <row r="1996" customHeight="1" spans="1:34">
      <c r="A1996" s="12" t="s">
        <v>1043</v>
      </c>
      <c r="F1996" s="24">
        <f t="shared" si="666"/>
        <v>0</v>
      </c>
      <c r="G1996" s="24" t="e">
        <f t="shared" si="665"/>
        <v>#DIV/0!</v>
      </c>
      <c r="Q1996" s="29" t="str">
        <f t="shared" si="647"/>
        <v>NA</v>
      </c>
      <c r="R1996" s="29" t="str">
        <f t="shared" si="648"/>
        <v>NA</v>
      </c>
      <c r="S1996" s="29" t="str">
        <f t="shared" si="649"/>
        <v>NA</v>
      </c>
      <c r="T1996" s="29" t="str">
        <f t="shared" si="650"/>
        <v>NA</v>
      </c>
      <c r="U1996" s="29" t="str">
        <f t="shared" si="651"/>
        <v>NA</v>
      </c>
      <c r="V1996" s="29" t="str">
        <f t="shared" si="652"/>
        <v>NA</v>
      </c>
      <c r="W1996" s="29" t="str">
        <f t="shared" si="653"/>
        <v>NA</v>
      </c>
      <c r="X1996" s="29" t="str">
        <f t="shared" si="654"/>
        <v>NA</v>
      </c>
      <c r="Y1996" s="29" t="str">
        <f t="shared" si="655"/>
        <v>NA</v>
      </c>
      <c r="Z1996" s="29" t="str">
        <f t="shared" si="656"/>
        <v>NA</v>
      </c>
      <c r="AA1996" s="29" t="str">
        <f t="shared" si="657"/>
        <v>NA</v>
      </c>
      <c r="AB1996" s="29" t="str">
        <f t="shared" si="658"/>
        <v>NA</v>
      </c>
      <c r="AC1996" s="29" t="str">
        <f t="shared" si="659"/>
        <v>NA</v>
      </c>
      <c r="AD1996" s="29" t="str">
        <f t="shared" si="660"/>
        <v>NA</v>
      </c>
      <c r="AE1996" s="29" t="str">
        <f t="shared" si="661"/>
        <v>NA</v>
      </c>
      <c r="AF1996" s="29" t="str">
        <f t="shared" si="662"/>
        <v>NA</v>
      </c>
      <c r="AG1996" s="29" t="str">
        <f t="shared" si="663"/>
        <v>NA</v>
      </c>
      <c r="AH1996" s="29" t="str">
        <f t="shared" si="664"/>
        <v>NA</v>
      </c>
    </row>
    <row r="1997" customHeight="1" spans="1:34">
      <c r="A1997" s="12" t="s">
        <v>1043</v>
      </c>
      <c r="F1997" s="24">
        <f t="shared" si="666"/>
        <v>0</v>
      </c>
      <c r="G1997" s="24" t="e">
        <f t="shared" si="665"/>
        <v>#DIV/0!</v>
      </c>
      <c r="Q1997" s="29" t="str">
        <f t="shared" si="647"/>
        <v>NA</v>
      </c>
      <c r="R1997" s="29" t="str">
        <f t="shared" si="648"/>
        <v>NA</v>
      </c>
      <c r="S1997" s="29" t="str">
        <f t="shared" si="649"/>
        <v>NA</v>
      </c>
      <c r="T1997" s="29" t="str">
        <f t="shared" si="650"/>
        <v>NA</v>
      </c>
      <c r="U1997" s="29" t="str">
        <f t="shared" si="651"/>
        <v>NA</v>
      </c>
      <c r="V1997" s="29" t="str">
        <f t="shared" si="652"/>
        <v>NA</v>
      </c>
      <c r="W1997" s="29" t="str">
        <f t="shared" si="653"/>
        <v>NA</v>
      </c>
      <c r="X1997" s="29" t="str">
        <f t="shared" si="654"/>
        <v>NA</v>
      </c>
      <c r="Y1997" s="29" t="str">
        <f t="shared" si="655"/>
        <v>NA</v>
      </c>
      <c r="Z1997" s="29" t="str">
        <f t="shared" si="656"/>
        <v>NA</v>
      </c>
      <c r="AA1997" s="29" t="str">
        <f t="shared" si="657"/>
        <v>NA</v>
      </c>
      <c r="AB1997" s="29" t="str">
        <f t="shared" si="658"/>
        <v>NA</v>
      </c>
      <c r="AC1997" s="29" t="str">
        <f t="shared" si="659"/>
        <v>NA</v>
      </c>
      <c r="AD1997" s="29" t="str">
        <f t="shared" si="660"/>
        <v>NA</v>
      </c>
      <c r="AE1997" s="29" t="str">
        <f t="shared" si="661"/>
        <v>NA</v>
      </c>
      <c r="AF1997" s="29" t="str">
        <f t="shared" si="662"/>
        <v>NA</v>
      </c>
      <c r="AG1997" s="29" t="str">
        <f t="shared" si="663"/>
        <v>NA</v>
      </c>
      <c r="AH1997" s="29" t="str">
        <f t="shared" si="664"/>
        <v>NA</v>
      </c>
    </row>
    <row r="1998" customHeight="1" spans="1:34">
      <c r="A1998" s="12" t="s">
        <v>1043</v>
      </c>
      <c r="F1998" s="24">
        <f t="shared" si="666"/>
        <v>0</v>
      </c>
      <c r="G1998" s="24" t="e">
        <f t="shared" si="665"/>
        <v>#DIV/0!</v>
      </c>
      <c r="Q1998" s="29" t="str">
        <f t="shared" si="647"/>
        <v>NA</v>
      </c>
      <c r="R1998" s="29" t="str">
        <f t="shared" si="648"/>
        <v>NA</v>
      </c>
      <c r="S1998" s="29" t="str">
        <f t="shared" si="649"/>
        <v>NA</v>
      </c>
      <c r="T1998" s="29" t="str">
        <f t="shared" si="650"/>
        <v>NA</v>
      </c>
      <c r="U1998" s="29" t="str">
        <f t="shared" si="651"/>
        <v>NA</v>
      </c>
      <c r="V1998" s="29" t="str">
        <f t="shared" si="652"/>
        <v>NA</v>
      </c>
      <c r="W1998" s="29" t="str">
        <f t="shared" si="653"/>
        <v>NA</v>
      </c>
      <c r="X1998" s="29" t="str">
        <f t="shared" si="654"/>
        <v>NA</v>
      </c>
      <c r="Y1998" s="29" t="str">
        <f t="shared" si="655"/>
        <v>NA</v>
      </c>
      <c r="Z1998" s="29" t="str">
        <f t="shared" si="656"/>
        <v>NA</v>
      </c>
      <c r="AA1998" s="29" t="str">
        <f t="shared" si="657"/>
        <v>NA</v>
      </c>
      <c r="AB1998" s="29" t="str">
        <f t="shared" si="658"/>
        <v>NA</v>
      </c>
      <c r="AC1998" s="29" t="str">
        <f t="shared" si="659"/>
        <v>NA</v>
      </c>
      <c r="AD1998" s="29" t="str">
        <f t="shared" si="660"/>
        <v>NA</v>
      </c>
      <c r="AE1998" s="29" t="str">
        <f t="shared" si="661"/>
        <v>NA</v>
      </c>
      <c r="AF1998" s="29" t="str">
        <f t="shared" si="662"/>
        <v>NA</v>
      </c>
      <c r="AG1998" s="29" t="str">
        <f t="shared" si="663"/>
        <v>NA</v>
      </c>
      <c r="AH1998" s="29" t="str">
        <f t="shared" si="664"/>
        <v>NA</v>
      </c>
    </row>
    <row r="1999" customHeight="1" spans="1:34">
      <c r="A1999" s="12" t="s">
        <v>1043</v>
      </c>
      <c r="F1999" s="24">
        <f t="shared" si="666"/>
        <v>0</v>
      </c>
      <c r="G1999" s="24" t="e">
        <f t="shared" si="665"/>
        <v>#DIV/0!</v>
      </c>
      <c r="Q1999" s="29" t="str">
        <f t="shared" si="647"/>
        <v>NA</v>
      </c>
      <c r="R1999" s="29" t="str">
        <f t="shared" si="648"/>
        <v>NA</v>
      </c>
      <c r="S1999" s="29" t="str">
        <f t="shared" si="649"/>
        <v>NA</v>
      </c>
      <c r="T1999" s="29" t="str">
        <f t="shared" si="650"/>
        <v>NA</v>
      </c>
      <c r="U1999" s="29" t="str">
        <f t="shared" si="651"/>
        <v>NA</v>
      </c>
      <c r="V1999" s="29" t="str">
        <f t="shared" si="652"/>
        <v>NA</v>
      </c>
      <c r="W1999" s="29" t="str">
        <f t="shared" si="653"/>
        <v>NA</v>
      </c>
      <c r="X1999" s="29" t="str">
        <f t="shared" si="654"/>
        <v>NA</v>
      </c>
      <c r="Y1999" s="29" t="str">
        <f t="shared" si="655"/>
        <v>NA</v>
      </c>
      <c r="Z1999" s="29" t="str">
        <f t="shared" si="656"/>
        <v>NA</v>
      </c>
      <c r="AA1999" s="29" t="str">
        <f t="shared" si="657"/>
        <v>NA</v>
      </c>
      <c r="AB1999" s="29" t="str">
        <f t="shared" si="658"/>
        <v>NA</v>
      </c>
      <c r="AC1999" s="29" t="str">
        <f t="shared" si="659"/>
        <v>NA</v>
      </c>
      <c r="AD1999" s="29" t="str">
        <f t="shared" si="660"/>
        <v>NA</v>
      </c>
      <c r="AE1999" s="29" t="str">
        <f t="shared" si="661"/>
        <v>NA</v>
      </c>
      <c r="AF1999" s="29" t="str">
        <f t="shared" si="662"/>
        <v>NA</v>
      </c>
      <c r="AG1999" s="29" t="str">
        <f t="shared" si="663"/>
        <v>NA</v>
      </c>
      <c r="AH1999" s="29" t="str">
        <f t="shared" si="664"/>
        <v>NA</v>
      </c>
    </row>
    <row r="2000" customHeight="1" spans="1:34">
      <c r="A2000" s="12" t="s">
        <v>1043</v>
      </c>
      <c r="F2000" s="24">
        <f t="shared" si="666"/>
        <v>0</v>
      </c>
      <c r="G2000" s="24" t="e">
        <f t="shared" si="665"/>
        <v>#DIV/0!</v>
      </c>
      <c r="Q2000" s="29" t="str">
        <f t="shared" ref="Q2000:Q2063" si="667">IFERROR($B2000*$E2000/H2000,"NA")</f>
        <v>NA</v>
      </c>
      <c r="R2000" s="29" t="str">
        <f t="shared" ref="R2000:R2063" si="668">IFERROR($B2000*$E2000/I2000,"NA")</f>
        <v>NA</v>
      </c>
      <c r="S2000" s="29" t="str">
        <f t="shared" ref="S2000:S2063" si="669">IFERROR($B2000*$E2000/J2000,"NA")</f>
        <v>NA</v>
      </c>
      <c r="T2000" s="29" t="str">
        <f t="shared" ref="T2000:T2063" si="670">IFERROR($B2000*$E2000/K2000,"NA")</f>
        <v>NA</v>
      </c>
      <c r="U2000" s="29" t="str">
        <f t="shared" ref="U2000:U2063" si="671">IFERROR($B2000*$E2000/L2000,"NA")</f>
        <v>NA</v>
      </c>
      <c r="V2000" s="29" t="str">
        <f t="shared" ref="V2000:V2063" si="672">IFERROR($B2000*$E2000/M2000,"NA")</f>
        <v>NA</v>
      </c>
      <c r="W2000" s="29" t="str">
        <f t="shared" ref="W2000:W2063" si="673">IFERROR($B2000*$E2000/N2000,"NA")</f>
        <v>NA</v>
      </c>
      <c r="X2000" s="29" t="str">
        <f t="shared" ref="X2000:X2063" si="674">IFERROR($B2000*$E2000/O2000,"NA")</f>
        <v>NA</v>
      </c>
      <c r="Y2000" s="29" t="str">
        <f t="shared" ref="Y2000:Y2063" si="675">IFERROR($B2000*$E2000/P2000,"NA")</f>
        <v>NA</v>
      </c>
      <c r="Z2000" s="29" t="str">
        <f t="shared" ref="Z2000:Z2063" si="676">IFERROR((($G2000*Z$2/1000)+Q2000)/1,"NA")</f>
        <v>NA</v>
      </c>
      <c r="AA2000" s="29" t="str">
        <f t="shared" ref="AA2000:AA2063" si="677">IFERROR((($G2000*AA$2/1000)+R2000)/1,"NA")</f>
        <v>NA</v>
      </c>
      <c r="AB2000" s="29" t="str">
        <f t="shared" ref="AB2000:AB2063" si="678">IFERROR((($G2000*AB$2/1000)+S2000)/1,"NA")</f>
        <v>NA</v>
      </c>
      <c r="AC2000" s="29" t="str">
        <f t="shared" ref="AC2000:AC2063" si="679">IFERROR((($G2000*AC$2/1000)+T2000)/1,"NA")</f>
        <v>NA</v>
      </c>
      <c r="AD2000" s="29" t="str">
        <f t="shared" ref="AD2000:AD2063" si="680">IFERROR((($G2000*AD$2/1000)+U2000)/1,"NA")</f>
        <v>NA</v>
      </c>
      <c r="AE2000" s="29" t="str">
        <f t="shared" ref="AE2000:AE2063" si="681">IFERROR((($G2000*AE$2/1000)+V2000)/1,"NA")</f>
        <v>NA</v>
      </c>
      <c r="AF2000" s="29" t="str">
        <f t="shared" ref="AF2000:AF2063" si="682">IFERROR((($G2000*AF$2/1000)+W2000)/1,"NA")</f>
        <v>NA</v>
      </c>
      <c r="AG2000" s="29" t="str">
        <f t="shared" ref="AG2000:AG2063" si="683">IFERROR((($G2000*AG$2/1000)+X2000)/1,"NA")</f>
        <v>NA</v>
      </c>
      <c r="AH2000" s="29" t="str">
        <f t="shared" ref="AH2000:AH2063" si="684">IFERROR((($G2000*AH$2/1000)+Y2000)/1,"NA")</f>
        <v>NA</v>
      </c>
    </row>
    <row r="2001" customHeight="1" spans="1:34">
      <c r="A2001" s="12" t="s">
        <v>1043</v>
      </c>
      <c r="F2001" s="24">
        <f t="shared" si="666"/>
        <v>0</v>
      </c>
      <c r="G2001" s="24" t="e">
        <f t="shared" si="665"/>
        <v>#DIV/0!</v>
      </c>
      <c r="Q2001" s="29" t="str">
        <f t="shared" si="667"/>
        <v>NA</v>
      </c>
      <c r="R2001" s="29" t="str">
        <f t="shared" si="668"/>
        <v>NA</v>
      </c>
      <c r="S2001" s="29" t="str">
        <f t="shared" si="669"/>
        <v>NA</v>
      </c>
      <c r="T2001" s="29" t="str">
        <f t="shared" si="670"/>
        <v>NA</v>
      </c>
      <c r="U2001" s="29" t="str">
        <f t="shared" si="671"/>
        <v>NA</v>
      </c>
      <c r="V2001" s="29" t="str">
        <f t="shared" si="672"/>
        <v>NA</v>
      </c>
      <c r="W2001" s="29" t="str">
        <f t="shared" si="673"/>
        <v>NA</v>
      </c>
      <c r="X2001" s="29" t="str">
        <f t="shared" si="674"/>
        <v>NA</v>
      </c>
      <c r="Y2001" s="29" t="str">
        <f t="shared" si="675"/>
        <v>NA</v>
      </c>
      <c r="Z2001" s="29" t="str">
        <f t="shared" si="676"/>
        <v>NA</v>
      </c>
      <c r="AA2001" s="29" t="str">
        <f t="shared" si="677"/>
        <v>NA</v>
      </c>
      <c r="AB2001" s="29" t="str">
        <f t="shared" si="678"/>
        <v>NA</v>
      </c>
      <c r="AC2001" s="29" t="str">
        <f t="shared" si="679"/>
        <v>NA</v>
      </c>
      <c r="AD2001" s="29" t="str">
        <f t="shared" si="680"/>
        <v>NA</v>
      </c>
      <c r="AE2001" s="29" t="str">
        <f t="shared" si="681"/>
        <v>NA</v>
      </c>
      <c r="AF2001" s="29" t="str">
        <f t="shared" si="682"/>
        <v>NA</v>
      </c>
      <c r="AG2001" s="29" t="str">
        <f t="shared" si="683"/>
        <v>NA</v>
      </c>
      <c r="AH2001" s="29" t="str">
        <f t="shared" si="684"/>
        <v>NA</v>
      </c>
    </row>
    <row r="2002" customHeight="1" spans="1:34">
      <c r="A2002" s="12" t="s">
        <v>1043</v>
      </c>
      <c r="F2002" s="24">
        <f t="shared" si="666"/>
        <v>0</v>
      </c>
      <c r="G2002" s="24" t="e">
        <f t="shared" si="665"/>
        <v>#DIV/0!</v>
      </c>
      <c r="Q2002" s="29" t="str">
        <f t="shared" si="667"/>
        <v>NA</v>
      </c>
      <c r="R2002" s="29" t="str">
        <f t="shared" si="668"/>
        <v>NA</v>
      </c>
      <c r="S2002" s="29" t="str">
        <f t="shared" si="669"/>
        <v>NA</v>
      </c>
      <c r="T2002" s="29" t="str">
        <f t="shared" si="670"/>
        <v>NA</v>
      </c>
      <c r="U2002" s="29" t="str">
        <f t="shared" si="671"/>
        <v>NA</v>
      </c>
      <c r="V2002" s="29" t="str">
        <f t="shared" si="672"/>
        <v>NA</v>
      </c>
      <c r="W2002" s="29" t="str">
        <f t="shared" si="673"/>
        <v>NA</v>
      </c>
      <c r="X2002" s="29" t="str">
        <f t="shared" si="674"/>
        <v>NA</v>
      </c>
      <c r="Y2002" s="29" t="str">
        <f t="shared" si="675"/>
        <v>NA</v>
      </c>
      <c r="Z2002" s="29" t="str">
        <f t="shared" si="676"/>
        <v>NA</v>
      </c>
      <c r="AA2002" s="29" t="str">
        <f t="shared" si="677"/>
        <v>NA</v>
      </c>
      <c r="AB2002" s="29" t="str">
        <f t="shared" si="678"/>
        <v>NA</v>
      </c>
      <c r="AC2002" s="29" t="str">
        <f t="shared" si="679"/>
        <v>NA</v>
      </c>
      <c r="AD2002" s="29" t="str">
        <f t="shared" si="680"/>
        <v>NA</v>
      </c>
      <c r="AE2002" s="29" t="str">
        <f t="shared" si="681"/>
        <v>NA</v>
      </c>
      <c r="AF2002" s="29" t="str">
        <f t="shared" si="682"/>
        <v>NA</v>
      </c>
      <c r="AG2002" s="29" t="str">
        <f t="shared" si="683"/>
        <v>NA</v>
      </c>
      <c r="AH2002" s="29" t="str">
        <f t="shared" si="684"/>
        <v>NA</v>
      </c>
    </row>
    <row r="2003" customHeight="1" spans="1:34">
      <c r="A2003" s="12" t="s">
        <v>1043</v>
      </c>
      <c r="F2003" s="24">
        <f t="shared" si="666"/>
        <v>0</v>
      </c>
      <c r="G2003" s="24" t="e">
        <f t="shared" si="665"/>
        <v>#DIV/0!</v>
      </c>
      <c r="Q2003" s="29" t="str">
        <f t="shared" si="667"/>
        <v>NA</v>
      </c>
      <c r="R2003" s="29" t="str">
        <f t="shared" si="668"/>
        <v>NA</v>
      </c>
      <c r="S2003" s="29" t="str">
        <f t="shared" si="669"/>
        <v>NA</v>
      </c>
      <c r="T2003" s="29" t="str">
        <f t="shared" si="670"/>
        <v>NA</v>
      </c>
      <c r="U2003" s="29" t="str">
        <f t="shared" si="671"/>
        <v>NA</v>
      </c>
      <c r="V2003" s="29" t="str">
        <f t="shared" si="672"/>
        <v>NA</v>
      </c>
      <c r="W2003" s="29" t="str">
        <f t="shared" si="673"/>
        <v>NA</v>
      </c>
      <c r="X2003" s="29" t="str">
        <f t="shared" si="674"/>
        <v>NA</v>
      </c>
      <c r="Y2003" s="29" t="str">
        <f t="shared" si="675"/>
        <v>NA</v>
      </c>
      <c r="Z2003" s="29" t="str">
        <f t="shared" si="676"/>
        <v>NA</v>
      </c>
      <c r="AA2003" s="29" t="str">
        <f t="shared" si="677"/>
        <v>NA</v>
      </c>
      <c r="AB2003" s="29" t="str">
        <f t="shared" si="678"/>
        <v>NA</v>
      </c>
      <c r="AC2003" s="29" t="str">
        <f t="shared" si="679"/>
        <v>NA</v>
      </c>
      <c r="AD2003" s="29" t="str">
        <f t="shared" si="680"/>
        <v>NA</v>
      </c>
      <c r="AE2003" s="29" t="str">
        <f t="shared" si="681"/>
        <v>NA</v>
      </c>
      <c r="AF2003" s="29" t="str">
        <f t="shared" si="682"/>
        <v>NA</v>
      </c>
      <c r="AG2003" s="29" t="str">
        <f t="shared" si="683"/>
        <v>NA</v>
      </c>
      <c r="AH2003" s="29" t="str">
        <f t="shared" si="684"/>
        <v>NA</v>
      </c>
    </row>
    <row r="2004" customHeight="1" spans="1:34">
      <c r="A2004" s="12" t="s">
        <v>1043</v>
      </c>
      <c r="F2004" s="24">
        <f t="shared" si="666"/>
        <v>0</v>
      </c>
      <c r="G2004" s="24" t="e">
        <f t="shared" si="665"/>
        <v>#DIV/0!</v>
      </c>
      <c r="Q2004" s="29" t="str">
        <f t="shared" si="667"/>
        <v>NA</v>
      </c>
      <c r="R2004" s="29" t="str">
        <f t="shared" si="668"/>
        <v>NA</v>
      </c>
      <c r="S2004" s="29" t="str">
        <f t="shared" si="669"/>
        <v>NA</v>
      </c>
      <c r="T2004" s="29" t="str">
        <f t="shared" si="670"/>
        <v>NA</v>
      </c>
      <c r="U2004" s="29" t="str">
        <f t="shared" si="671"/>
        <v>NA</v>
      </c>
      <c r="V2004" s="29" t="str">
        <f t="shared" si="672"/>
        <v>NA</v>
      </c>
      <c r="W2004" s="29" t="str">
        <f t="shared" si="673"/>
        <v>NA</v>
      </c>
      <c r="X2004" s="29" t="str">
        <f t="shared" si="674"/>
        <v>NA</v>
      </c>
      <c r="Y2004" s="29" t="str">
        <f t="shared" si="675"/>
        <v>NA</v>
      </c>
      <c r="Z2004" s="29" t="str">
        <f t="shared" si="676"/>
        <v>NA</v>
      </c>
      <c r="AA2004" s="29" t="str">
        <f t="shared" si="677"/>
        <v>NA</v>
      </c>
      <c r="AB2004" s="29" t="str">
        <f t="shared" si="678"/>
        <v>NA</v>
      </c>
      <c r="AC2004" s="29" t="str">
        <f t="shared" si="679"/>
        <v>NA</v>
      </c>
      <c r="AD2004" s="29" t="str">
        <f t="shared" si="680"/>
        <v>NA</v>
      </c>
      <c r="AE2004" s="29" t="str">
        <f t="shared" si="681"/>
        <v>NA</v>
      </c>
      <c r="AF2004" s="29" t="str">
        <f t="shared" si="682"/>
        <v>NA</v>
      </c>
      <c r="AG2004" s="29" t="str">
        <f t="shared" si="683"/>
        <v>NA</v>
      </c>
      <c r="AH2004" s="29" t="str">
        <f t="shared" si="684"/>
        <v>NA</v>
      </c>
    </row>
    <row r="2005" customHeight="1" spans="1:34">
      <c r="A2005" s="12" t="s">
        <v>1043</v>
      </c>
      <c r="F2005" s="24">
        <f t="shared" si="666"/>
        <v>0</v>
      </c>
      <c r="G2005" s="24" t="e">
        <f t="shared" si="665"/>
        <v>#DIV/0!</v>
      </c>
      <c r="Q2005" s="29" t="str">
        <f t="shared" si="667"/>
        <v>NA</v>
      </c>
      <c r="R2005" s="29" t="str">
        <f t="shared" si="668"/>
        <v>NA</v>
      </c>
      <c r="S2005" s="29" t="str">
        <f t="shared" si="669"/>
        <v>NA</v>
      </c>
      <c r="T2005" s="29" t="str">
        <f t="shared" si="670"/>
        <v>NA</v>
      </c>
      <c r="U2005" s="29" t="str">
        <f t="shared" si="671"/>
        <v>NA</v>
      </c>
      <c r="V2005" s="29" t="str">
        <f t="shared" si="672"/>
        <v>NA</v>
      </c>
      <c r="W2005" s="29" t="str">
        <f t="shared" si="673"/>
        <v>NA</v>
      </c>
      <c r="X2005" s="29" t="str">
        <f t="shared" si="674"/>
        <v>NA</v>
      </c>
      <c r="Y2005" s="29" t="str">
        <f t="shared" si="675"/>
        <v>NA</v>
      </c>
      <c r="Z2005" s="29" t="str">
        <f t="shared" si="676"/>
        <v>NA</v>
      </c>
      <c r="AA2005" s="29" t="str">
        <f t="shared" si="677"/>
        <v>NA</v>
      </c>
      <c r="AB2005" s="29" t="str">
        <f t="shared" si="678"/>
        <v>NA</v>
      </c>
      <c r="AC2005" s="29" t="str">
        <f t="shared" si="679"/>
        <v>NA</v>
      </c>
      <c r="AD2005" s="29" t="str">
        <f t="shared" si="680"/>
        <v>NA</v>
      </c>
      <c r="AE2005" s="29" t="str">
        <f t="shared" si="681"/>
        <v>NA</v>
      </c>
      <c r="AF2005" s="29" t="str">
        <f t="shared" si="682"/>
        <v>NA</v>
      </c>
      <c r="AG2005" s="29" t="str">
        <f t="shared" si="683"/>
        <v>NA</v>
      </c>
      <c r="AH2005" s="29" t="str">
        <f t="shared" si="684"/>
        <v>NA</v>
      </c>
    </row>
    <row r="2006" customHeight="1" spans="1:34">
      <c r="A2006" s="12" t="s">
        <v>1043</v>
      </c>
      <c r="F2006" s="24">
        <f t="shared" si="666"/>
        <v>0</v>
      </c>
      <c r="G2006" s="24" t="e">
        <f t="shared" si="665"/>
        <v>#DIV/0!</v>
      </c>
      <c r="Q2006" s="29" t="str">
        <f t="shared" si="667"/>
        <v>NA</v>
      </c>
      <c r="R2006" s="29" t="str">
        <f t="shared" si="668"/>
        <v>NA</v>
      </c>
      <c r="S2006" s="29" t="str">
        <f t="shared" si="669"/>
        <v>NA</v>
      </c>
      <c r="T2006" s="29" t="str">
        <f t="shared" si="670"/>
        <v>NA</v>
      </c>
      <c r="U2006" s="29" t="str">
        <f t="shared" si="671"/>
        <v>NA</v>
      </c>
      <c r="V2006" s="29" t="str">
        <f t="shared" si="672"/>
        <v>NA</v>
      </c>
      <c r="W2006" s="29" t="str">
        <f t="shared" si="673"/>
        <v>NA</v>
      </c>
      <c r="X2006" s="29" t="str">
        <f t="shared" si="674"/>
        <v>NA</v>
      </c>
      <c r="Y2006" s="29" t="str">
        <f t="shared" si="675"/>
        <v>NA</v>
      </c>
      <c r="Z2006" s="29" t="str">
        <f t="shared" si="676"/>
        <v>NA</v>
      </c>
      <c r="AA2006" s="29" t="str">
        <f t="shared" si="677"/>
        <v>NA</v>
      </c>
      <c r="AB2006" s="29" t="str">
        <f t="shared" si="678"/>
        <v>NA</v>
      </c>
      <c r="AC2006" s="29" t="str">
        <f t="shared" si="679"/>
        <v>NA</v>
      </c>
      <c r="AD2006" s="29" t="str">
        <f t="shared" si="680"/>
        <v>NA</v>
      </c>
      <c r="AE2006" s="29" t="str">
        <f t="shared" si="681"/>
        <v>NA</v>
      </c>
      <c r="AF2006" s="29" t="str">
        <f t="shared" si="682"/>
        <v>NA</v>
      </c>
      <c r="AG2006" s="29" t="str">
        <f t="shared" si="683"/>
        <v>NA</v>
      </c>
      <c r="AH2006" s="29" t="str">
        <f t="shared" si="684"/>
        <v>NA</v>
      </c>
    </row>
    <row r="2007" customHeight="1" spans="1:34">
      <c r="A2007" s="12" t="s">
        <v>1043</v>
      </c>
      <c r="F2007" s="24">
        <f t="shared" si="666"/>
        <v>0</v>
      </c>
      <c r="G2007" s="24" t="e">
        <f t="shared" si="665"/>
        <v>#DIV/0!</v>
      </c>
      <c r="Q2007" s="29" t="str">
        <f t="shared" si="667"/>
        <v>NA</v>
      </c>
      <c r="R2007" s="29" t="str">
        <f t="shared" si="668"/>
        <v>NA</v>
      </c>
      <c r="S2007" s="29" t="str">
        <f t="shared" si="669"/>
        <v>NA</v>
      </c>
      <c r="T2007" s="29" t="str">
        <f t="shared" si="670"/>
        <v>NA</v>
      </c>
      <c r="U2007" s="29" t="str">
        <f t="shared" si="671"/>
        <v>NA</v>
      </c>
      <c r="V2007" s="29" t="str">
        <f t="shared" si="672"/>
        <v>NA</v>
      </c>
      <c r="W2007" s="29" t="str">
        <f t="shared" si="673"/>
        <v>NA</v>
      </c>
      <c r="X2007" s="29" t="str">
        <f t="shared" si="674"/>
        <v>NA</v>
      </c>
      <c r="Y2007" s="29" t="str">
        <f t="shared" si="675"/>
        <v>NA</v>
      </c>
      <c r="Z2007" s="29" t="str">
        <f t="shared" si="676"/>
        <v>NA</v>
      </c>
      <c r="AA2007" s="29" t="str">
        <f t="shared" si="677"/>
        <v>NA</v>
      </c>
      <c r="AB2007" s="29" t="str">
        <f t="shared" si="678"/>
        <v>NA</v>
      </c>
      <c r="AC2007" s="29" t="str">
        <f t="shared" si="679"/>
        <v>NA</v>
      </c>
      <c r="AD2007" s="29" t="str">
        <f t="shared" si="680"/>
        <v>NA</v>
      </c>
      <c r="AE2007" s="29" t="str">
        <f t="shared" si="681"/>
        <v>NA</v>
      </c>
      <c r="AF2007" s="29" t="str">
        <f t="shared" si="682"/>
        <v>NA</v>
      </c>
      <c r="AG2007" s="29" t="str">
        <f t="shared" si="683"/>
        <v>NA</v>
      </c>
      <c r="AH2007" s="29" t="str">
        <f t="shared" si="684"/>
        <v>NA</v>
      </c>
    </row>
    <row r="2008" customHeight="1" spans="1:34">
      <c r="A2008" s="12" t="s">
        <v>1043</v>
      </c>
      <c r="F2008" s="24">
        <f t="shared" si="666"/>
        <v>0</v>
      </c>
      <c r="G2008" s="24" t="e">
        <f t="shared" si="665"/>
        <v>#DIV/0!</v>
      </c>
      <c r="Q2008" s="29" t="str">
        <f t="shared" si="667"/>
        <v>NA</v>
      </c>
      <c r="R2008" s="29" t="str">
        <f t="shared" si="668"/>
        <v>NA</v>
      </c>
      <c r="S2008" s="29" t="str">
        <f t="shared" si="669"/>
        <v>NA</v>
      </c>
      <c r="T2008" s="29" t="str">
        <f t="shared" si="670"/>
        <v>NA</v>
      </c>
      <c r="U2008" s="29" t="str">
        <f t="shared" si="671"/>
        <v>NA</v>
      </c>
      <c r="V2008" s="29" t="str">
        <f t="shared" si="672"/>
        <v>NA</v>
      </c>
      <c r="W2008" s="29" t="str">
        <f t="shared" si="673"/>
        <v>NA</v>
      </c>
      <c r="X2008" s="29" t="str">
        <f t="shared" si="674"/>
        <v>NA</v>
      </c>
      <c r="Y2008" s="29" t="str">
        <f t="shared" si="675"/>
        <v>NA</v>
      </c>
      <c r="Z2008" s="29" t="str">
        <f t="shared" si="676"/>
        <v>NA</v>
      </c>
      <c r="AA2008" s="29" t="str">
        <f t="shared" si="677"/>
        <v>NA</v>
      </c>
      <c r="AB2008" s="29" t="str">
        <f t="shared" si="678"/>
        <v>NA</v>
      </c>
      <c r="AC2008" s="29" t="str">
        <f t="shared" si="679"/>
        <v>NA</v>
      </c>
      <c r="AD2008" s="29" t="str">
        <f t="shared" si="680"/>
        <v>NA</v>
      </c>
      <c r="AE2008" s="29" t="str">
        <f t="shared" si="681"/>
        <v>NA</v>
      </c>
      <c r="AF2008" s="29" t="str">
        <f t="shared" si="682"/>
        <v>NA</v>
      </c>
      <c r="AG2008" s="29" t="str">
        <f t="shared" si="683"/>
        <v>NA</v>
      </c>
      <c r="AH2008" s="29" t="str">
        <f t="shared" si="684"/>
        <v>NA</v>
      </c>
    </row>
    <row r="2009" customHeight="1" spans="1:34">
      <c r="A2009" s="12" t="s">
        <v>1043</v>
      </c>
      <c r="F2009" s="24">
        <f t="shared" si="666"/>
        <v>0</v>
      </c>
      <c r="G2009" s="24" t="e">
        <f t="shared" si="665"/>
        <v>#DIV/0!</v>
      </c>
      <c r="Q2009" s="29" t="str">
        <f t="shared" si="667"/>
        <v>NA</v>
      </c>
      <c r="R2009" s="29" t="str">
        <f t="shared" si="668"/>
        <v>NA</v>
      </c>
      <c r="S2009" s="29" t="str">
        <f t="shared" si="669"/>
        <v>NA</v>
      </c>
      <c r="T2009" s="29" t="str">
        <f t="shared" si="670"/>
        <v>NA</v>
      </c>
      <c r="U2009" s="29" t="str">
        <f t="shared" si="671"/>
        <v>NA</v>
      </c>
      <c r="V2009" s="29" t="str">
        <f t="shared" si="672"/>
        <v>NA</v>
      </c>
      <c r="W2009" s="29" t="str">
        <f t="shared" si="673"/>
        <v>NA</v>
      </c>
      <c r="X2009" s="29" t="str">
        <f t="shared" si="674"/>
        <v>NA</v>
      </c>
      <c r="Y2009" s="29" t="str">
        <f t="shared" si="675"/>
        <v>NA</v>
      </c>
      <c r="Z2009" s="29" t="str">
        <f t="shared" si="676"/>
        <v>NA</v>
      </c>
      <c r="AA2009" s="29" t="str">
        <f t="shared" si="677"/>
        <v>NA</v>
      </c>
      <c r="AB2009" s="29" t="str">
        <f t="shared" si="678"/>
        <v>NA</v>
      </c>
      <c r="AC2009" s="29" t="str">
        <f t="shared" si="679"/>
        <v>NA</v>
      </c>
      <c r="AD2009" s="29" t="str">
        <f t="shared" si="680"/>
        <v>NA</v>
      </c>
      <c r="AE2009" s="29" t="str">
        <f t="shared" si="681"/>
        <v>NA</v>
      </c>
      <c r="AF2009" s="29" t="str">
        <f t="shared" si="682"/>
        <v>NA</v>
      </c>
      <c r="AG2009" s="29" t="str">
        <f t="shared" si="683"/>
        <v>NA</v>
      </c>
      <c r="AH2009" s="29" t="str">
        <f t="shared" si="684"/>
        <v>NA</v>
      </c>
    </row>
    <row r="2010" customHeight="1" spans="1:34">
      <c r="A2010" s="12" t="s">
        <v>1043</v>
      </c>
      <c r="F2010" s="24">
        <f t="shared" si="666"/>
        <v>0</v>
      </c>
      <c r="G2010" s="24" t="e">
        <f t="shared" si="665"/>
        <v>#DIV/0!</v>
      </c>
      <c r="Q2010" s="29" t="str">
        <f t="shared" si="667"/>
        <v>NA</v>
      </c>
      <c r="R2010" s="29" t="str">
        <f t="shared" si="668"/>
        <v>NA</v>
      </c>
      <c r="S2010" s="29" t="str">
        <f t="shared" si="669"/>
        <v>NA</v>
      </c>
      <c r="T2010" s="29" t="str">
        <f t="shared" si="670"/>
        <v>NA</v>
      </c>
      <c r="U2010" s="29" t="str">
        <f t="shared" si="671"/>
        <v>NA</v>
      </c>
      <c r="V2010" s="29" t="str">
        <f t="shared" si="672"/>
        <v>NA</v>
      </c>
      <c r="W2010" s="29" t="str">
        <f t="shared" si="673"/>
        <v>NA</v>
      </c>
      <c r="X2010" s="29" t="str">
        <f t="shared" si="674"/>
        <v>NA</v>
      </c>
      <c r="Y2010" s="29" t="str">
        <f t="shared" si="675"/>
        <v>NA</v>
      </c>
      <c r="Z2010" s="29" t="str">
        <f t="shared" si="676"/>
        <v>NA</v>
      </c>
      <c r="AA2010" s="29" t="str">
        <f t="shared" si="677"/>
        <v>NA</v>
      </c>
      <c r="AB2010" s="29" t="str">
        <f t="shared" si="678"/>
        <v>NA</v>
      </c>
      <c r="AC2010" s="29" t="str">
        <f t="shared" si="679"/>
        <v>NA</v>
      </c>
      <c r="AD2010" s="29" t="str">
        <f t="shared" si="680"/>
        <v>NA</v>
      </c>
      <c r="AE2010" s="29" t="str">
        <f t="shared" si="681"/>
        <v>NA</v>
      </c>
      <c r="AF2010" s="29" t="str">
        <f t="shared" si="682"/>
        <v>NA</v>
      </c>
      <c r="AG2010" s="29" t="str">
        <f t="shared" si="683"/>
        <v>NA</v>
      </c>
      <c r="AH2010" s="29" t="str">
        <f t="shared" si="684"/>
        <v>NA</v>
      </c>
    </row>
    <row r="2011" customHeight="1" spans="1:34">
      <c r="A2011" s="12" t="s">
        <v>1043</v>
      </c>
      <c r="F2011" s="24">
        <f t="shared" si="666"/>
        <v>0</v>
      </c>
      <c r="G2011" s="24" t="e">
        <f t="shared" si="665"/>
        <v>#DIV/0!</v>
      </c>
      <c r="Q2011" s="29" t="str">
        <f t="shared" si="667"/>
        <v>NA</v>
      </c>
      <c r="R2011" s="29" t="str">
        <f t="shared" si="668"/>
        <v>NA</v>
      </c>
      <c r="S2011" s="29" t="str">
        <f t="shared" si="669"/>
        <v>NA</v>
      </c>
      <c r="T2011" s="29" t="str">
        <f t="shared" si="670"/>
        <v>NA</v>
      </c>
      <c r="U2011" s="29" t="str">
        <f t="shared" si="671"/>
        <v>NA</v>
      </c>
      <c r="V2011" s="29" t="str">
        <f t="shared" si="672"/>
        <v>NA</v>
      </c>
      <c r="W2011" s="29" t="str">
        <f t="shared" si="673"/>
        <v>NA</v>
      </c>
      <c r="X2011" s="29" t="str">
        <f t="shared" si="674"/>
        <v>NA</v>
      </c>
      <c r="Y2011" s="29" t="str">
        <f t="shared" si="675"/>
        <v>NA</v>
      </c>
      <c r="Z2011" s="29" t="str">
        <f t="shared" si="676"/>
        <v>NA</v>
      </c>
      <c r="AA2011" s="29" t="str">
        <f t="shared" si="677"/>
        <v>NA</v>
      </c>
      <c r="AB2011" s="29" t="str">
        <f t="shared" si="678"/>
        <v>NA</v>
      </c>
      <c r="AC2011" s="29" t="str">
        <f t="shared" si="679"/>
        <v>NA</v>
      </c>
      <c r="AD2011" s="29" t="str">
        <f t="shared" si="680"/>
        <v>NA</v>
      </c>
      <c r="AE2011" s="29" t="str">
        <f t="shared" si="681"/>
        <v>NA</v>
      </c>
      <c r="AF2011" s="29" t="str">
        <f t="shared" si="682"/>
        <v>NA</v>
      </c>
      <c r="AG2011" s="29" t="str">
        <f t="shared" si="683"/>
        <v>NA</v>
      </c>
      <c r="AH2011" s="29" t="str">
        <f t="shared" si="684"/>
        <v>NA</v>
      </c>
    </row>
    <row r="2012" customHeight="1" spans="1:34">
      <c r="A2012" s="12" t="s">
        <v>1043</v>
      </c>
      <c r="F2012" s="24">
        <f t="shared" si="666"/>
        <v>0</v>
      </c>
      <c r="G2012" s="24" t="e">
        <f t="shared" si="665"/>
        <v>#DIV/0!</v>
      </c>
      <c r="Q2012" s="29" t="str">
        <f t="shared" si="667"/>
        <v>NA</v>
      </c>
      <c r="R2012" s="29" t="str">
        <f t="shared" si="668"/>
        <v>NA</v>
      </c>
      <c r="S2012" s="29" t="str">
        <f t="shared" si="669"/>
        <v>NA</v>
      </c>
      <c r="T2012" s="29" t="str">
        <f t="shared" si="670"/>
        <v>NA</v>
      </c>
      <c r="U2012" s="29" t="str">
        <f t="shared" si="671"/>
        <v>NA</v>
      </c>
      <c r="V2012" s="29" t="str">
        <f t="shared" si="672"/>
        <v>NA</v>
      </c>
      <c r="W2012" s="29" t="str">
        <f t="shared" si="673"/>
        <v>NA</v>
      </c>
      <c r="X2012" s="29" t="str">
        <f t="shared" si="674"/>
        <v>NA</v>
      </c>
      <c r="Y2012" s="29" t="str">
        <f t="shared" si="675"/>
        <v>NA</v>
      </c>
      <c r="Z2012" s="29" t="str">
        <f t="shared" si="676"/>
        <v>NA</v>
      </c>
      <c r="AA2012" s="29" t="str">
        <f t="shared" si="677"/>
        <v>NA</v>
      </c>
      <c r="AB2012" s="29" t="str">
        <f t="shared" si="678"/>
        <v>NA</v>
      </c>
      <c r="AC2012" s="29" t="str">
        <f t="shared" si="679"/>
        <v>NA</v>
      </c>
      <c r="AD2012" s="29" t="str">
        <f t="shared" si="680"/>
        <v>NA</v>
      </c>
      <c r="AE2012" s="29" t="str">
        <f t="shared" si="681"/>
        <v>NA</v>
      </c>
      <c r="AF2012" s="29" t="str">
        <f t="shared" si="682"/>
        <v>NA</v>
      </c>
      <c r="AG2012" s="29" t="str">
        <f t="shared" si="683"/>
        <v>NA</v>
      </c>
      <c r="AH2012" s="29" t="str">
        <f t="shared" si="684"/>
        <v>NA</v>
      </c>
    </row>
    <row r="2013" customHeight="1" spans="1:34">
      <c r="A2013" s="12" t="s">
        <v>1043</v>
      </c>
      <c r="F2013" s="24">
        <f t="shared" si="666"/>
        <v>0</v>
      </c>
      <c r="G2013" s="24" t="e">
        <f t="shared" si="665"/>
        <v>#DIV/0!</v>
      </c>
      <c r="Q2013" s="29" t="str">
        <f t="shared" si="667"/>
        <v>NA</v>
      </c>
      <c r="R2013" s="29" t="str">
        <f t="shared" si="668"/>
        <v>NA</v>
      </c>
      <c r="S2013" s="29" t="str">
        <f t="shared" si="669"/>
        <v>NA</v>
      </c>
      <c r="T2013" s="29" t="str">
        <f t="shared" si="670"/>
        <v>NA</v>
      </c>
      <c r="U2013" s="29" t="str">
        <f t="shared" si="671"/>
        <v>NA</v>
      </c>
      <c r="V2013" s="29" t="str">
        <f t="shared" si="672"/>
        <v>NA</v>
      </c>
      <c r="W2013" s="29" t="str">
        <f t="shared" si="673"/>
        <v>NA</v>
      </c>
      <c r="X2013" s="29" t="str">
        <f t="shared" si="674"/>
        <v>NA</v>
      </c>
      <c r="Y2013" s="29" t="str">
        <f t="shared" si="675"/>
        <v>NA</v>
      </c>
      <c r="Z2013" s="29" t="str">
        <f t="shared" si="676"/>
        <v>NA</v>
      </c>
      <c r="AA2013" s="29" t="str">
        <f t="shared" si="677"/>
        <v>NA</v>
      </c>
      <c r="AB2013" s="29" t="str">
        <f t="shared" si="678"/>
        <v>NA</v>
      </c>
      <c r="AC2013" s="29" t="str">
        <f t="shared" si="679"/>
        <v>NA</v>
      </c>
      <c r="AD2013" s="29" t="str">
        <f t="shared" si="680"/>
        <v>NA</v>
      </c>
      <c r="AE2013" s="29" t="str">
        <f t="shared" si="681"/>
        <v>NA</v>
      </c>
      <c r="AF2013" s="29" t="str">
        <f t="shared" si="682"/>
        <v>NA</v>
      </c>
      <c r="AG2013" s="29" t="str">
        <f t="shared" si="683"/>
        <v>NA</v>
      </c>
      <c r="AH2013" s="29" t="str">
        <f t="shared" si="684"/>
        <v>NA</v>
      </c>
    </row>
    <row r="2014" customHeight="1" spans="1:34">
      <c r="A2014" s="12" t="s">
        <v>1043</v>
      </c>
      <c r="F2014" s="24">
        <f t="shared" si="666"/>
        <v>0</v>
      </c>
      <c r="G2014" s="24" t="e">
        <f t="shared" si="665"/>
        <v>#DIV/0!</v>
      </c>
      <c r="Q2014" s="29" t="str">
        <f t="shared" si="667"/>
        <v>NA</v>
      </c>
      <c r="R2014" s="29" t="str">
        <f t="shared" si="668"/>
        <v>NA</v>
      </c>
      <c r="S2014" s="29" t="str">
        <f t="shared" si="669"/>
        <v>NA</v>
      </c>
      <c r="T2014" s="29" t="str">
        <f t="shared" si="670"/>
        <v>NA</v>
      </c>
      <c r="U2014" s="29" t="str">
        <f t="shared" si="671"/>
        <v>NA</v>
      </c>
      <c r="V2014" s="29" t="str">
        <f t="shared" si="672"/>
        <v>NA</v>
      </c>
      <c r="W2014" s="29" t="str">
        <f t="shared" si="673"/>
        <v>NA</v>
      </c>
      <c r="X2014" s="29" t="str">
        <f t="shared" si="674"/>
        <v>NA</v>
      </c>
      <c r="Y2014" s="29" t="str">
        <f t="shared" si="675"/>
        <v>NA</v>
      </c>
      <c r="Z2014" s="29" t="str">
        <f t="shared" si="676"/>
        <v>NA</v>
      </c>
      <c r="AA2014" s="29" t="str">
        <f t="shared" si="677"/>
        <v>NA</v>
      </c>
      <c r="AB2014" s="29" t="str">
        <f t="shared" si="678"/>
        <v>NA</v>
      </c>
      <c r="AC2014" s="29" t="str">
        <f t="shared" si="679"/>
        <v>NA</v>
      </c>
      <c r="AD2014" s="29" t="str">
        <f t="shared" si="680"/>
        <v>NA</v>
      </c>
      <c r="AE2014" s="29" t="str">
        <f t="shared" si="681"/>
        <v>NA</v>
      </c>
      <c r="AF2014" s="29" t="str">
        <f t="shared" si="682"/>
        <v>NA</v>
      </c>
      <c r="AG2014" s="29" t="str">
        <f t="shared" si="683"/>
        <v>NA</v>
      </c>
      <c r="AH2014" s="29" t="str">
        <f t="shared" si="684"/>
        <v>NA</v>
      </c>
    </row>
    <row r="2015" customHeight="1" spans="1:34">
      <c r="A2015" s="12" t="s">
        <v>1043</v>
      </c>
      <c r="F2015" s="24">
        <f t="shared" si="666"/>
        <v>0</v>
      </c>
      <c r="G2015" s="24" t="e">
        <f t="shared" si="665"/>
        <v>#DIV/0!</v>
      </c>
      <c r="Q2015" s="29" t="str">
        <f t="shared" si="667"/>
        <v>NA</v>
      </c>
      <c r="R2015" s="29" t="str">
        <f t="shared" si="668"/>
        <v>NA</v>
      </c>
      <c r="S2015" s="29" t="str">
        <f t="shared" si="669"/>
        <v>NA</v>
      </c>
      <c r="T2015" s="29" t="str">
        <f t="shared" si="670"/>
        <v>NA</v>
      </c>
      <c r="U2015" s="29" t="str">
        <f t="shared" si="671"/>
        <v>NA</v>
      </c>
      <c r="V2015" s="29" t="str">
        <f t="shared" si="672"/>
        <v>NA</v>
      </c>
      <c r="W2015" s="29" t="str">
        <f t="shared" si="673"/>
        <v>NA</v>
      </c>
      <c r="X2015" s="29" t="str">
        <f t="shared" si="674"/>
        <v>NA</v>
      </c>
      <c r="Y2015" s="29" t="str">
        <f t="shared" si="675"/>
        <v>NA</v>
      </c>
      <c r="Z2015" s="29" t="str">
        <f t="shared" si="676"/>
        <v>NA</v>
      </c>
      <c r="AA2015" s="29" t="str">
        <f t="shared" si="677"/>
        <v>NA</v>
      </c>
      <c r="AB2015" s="29" t="str">
        <f t="shared" si="678"/>
        <v>NA</v>
      </c>
      <c r="AC2015" s="29" t="str">
        <f t="shared" si="679"/>
        <v>NA</v>
      </c>
      <c r="AD2015" s="29" t="str">
        <f t="shared" si="680"/>
        <v>NA</v>
      </c>
      <c r="AE2015" s="29" t="str">
        <f t="shared" si="681"/>
        <v>NA</v>
      </c>
      <c r="AF2015" s="29" t="str">
        <f t="shared" si="682"/>
        <v>NA</v>
      </c>
      <c r="AG2015" s="29" t="str">
        <f t="shared" si="683"/>
        <v>NA</v>
      </c>
      <c r="AH2015" s="29" t="str">
        <f t="shared" si="684"/>
        <v>NA</v>
      </c>
    </row>
    <row r="2016" customHeight="1" spans="1:34">
      <c r="A2016" s="12" t="s">
        <v>1043</v>
      </c>
      <c r="F2016" s="24">
        <f t="shared" si="666"/>
        <v>0</v>
      </c>
      <c r="G2016" s="24" t="e">
        <f t="shared" si="665"/>
        <v>#DIV/0!</v>
      </c>
      <c r="Q2016" s="29" t="str">
        <f t="shared" si="667"/>
        <v>NA</v>
      </c>
      <c r="R2016" s="29" t="str">
        <f t="shared" si="668"/>
        <v>NA</v>
      </c>
      <c r="S2016" s="29" t="str">
        <f t="shared" si="669"/>
        <v>NA</v>
      </c>
      <c r="T2016" s="29" t="str">
        <f t="shared" si="670"/>
        <v>NA</v>
      </c>
      <c r="U2016" s="29" t="str">
        <f t="shared" si="671"/>
        <v>NA</v>
      </c>
      <c r="V2016" s="29" t="str">
        <f t="shared" si="672"/>
        <v>NA</v>
      </c>
      <c r="W2016" s="29" t="str">
        <f t="shared" si="673"/>
        <v>NA</v>
      </c>
      <c r="X2016" s="29" t="str">
        <f t="shared" si="674"/>
        <v>NA</v>
      </c>
      <c r="Y2016" s="29" t="str">
        <f t="shared" si="675"/>
        <v>NA</v>
      </c>
      <c r="Z2016" s="29" t="str">
        <f t="shared" si="676"/>
        <v>NA</v>
      </c>
      <c r="AA2016" s="29" t="str">
        <f t="shared" si="677"/>
        <v>NA</v>
      </c>
      <c r="AB2016" s="29" t="str">
        <f t="shared" si="678"/>
        <v>NA</v>
      </c>
      <c r="AC2016" s="29" t="str">
        <f t="shared" si="679"/>
        <v>NA</v>
      </c>
      <c r="AD2016" s="29" t="str">
        <f t="shared" si="680"/>
        <v>NA</v>
      </c>
      <c r="AE2016" s="29" t="str">
        <f t="shared" si="681"/>
        <v>NA</v>
      </c>
      <c r="AF2016" s="29" t="str">
        <f t="shared" si="682"/>
        <v>NA</v>
      </c>
      <c r="AG2016" s="29" t="str">
        <f t="shared" si="683"/>
        <v>NA</v>
      </c>
      <c r="AH2016" s="29" t="str">
        <f t="shared" si="684"/>
        <v>NA</v>
      </c>
    </row>
    <row r="2017" customHeight="1" spans="1:34">
      <c r="A2017" s="12" t="s">
        <v>1043</v>
      </c>
      <c r="F2017" s="24">
        <f t="shared" si="666"/>
        <v>0</v>
      </c>
      <c r="G2017" s="24" t="e">
        <f t="shared" si="665"/>
        <v>#DIV/0!</v>
      </c>
      <c r="Q2017" s="29" t="str">
        <f t="shared" si="667"/>
        <v>NA</v>
      </c>
      <c r="R2017" s="29" t="str">
        <f t="shared" si="668"/>
        <v>NA</v>
      </c>
      <c r="S2017" s="29" t="str">
        <f t="shared" si="669"/>
        <v>NA</v>
      </c>
      <c r="T2017" s="29" t="str">
        <f t="shared" si="670"/>
        <v>NA</v>
      </c>
      <c r="U2017" s="29" t="str">
        <f t="shared" si="671"/>
        <v>NA</v>
      </c>
      <c r="V2017" s="29" t="str">
        <f t="shared" si="672"/>
        <v>NA</v>
      </c>
      <c r="W2017" s="29" t="str">
        <f t="shared" si="673"/>
        <v>NA</v>
      </c>
      <c r="X2017" s="29" t="str">
        <f t="shared" si="674"/>
        <v>NA</v>
      </c>
      <c r="Y2017" s="29" t="str">
        <f t="shared" si="675"/>
        <v>NA</v>
      </c>
      <c r="Z2017" s="29" t="str">
        <f t="shared" si="676"/>
        <v>NA</v>
      </c>
      <c r="AA2017" s="29" t="str">
        <f t="shared" si="677"/>
        <v>NA</v>
      </c>
      <c r="AB2017" s="29" t="str">
        <f t="shared" si="678"/>
        <v>NA</v>
      </c>
      <c r="AC2017" s="29" t="str">
        <f t="shared" si="679"/>
        <v>NA</v>
      </c>
      <c r="AD2017" s="29" t="str">
        <f t="shared" si="680"/>
        <v>NA</v>
      </c>
      <c r="AE2017" s="29" t="str">
        <f t="shared" si="681"/>
        <v>NA</v>
      </c>
      <c r="AF2017" s="29" t="str">
        <f t="shared" si="682"/>
        <v>NA</v>
      </c>
      <c r="AG2017" s="29" t="str">
        <f t="shared" si="683"/>
        <v>NA</v>
      </c>
      <c r="AH2017" s="29" t="str">
        <f t="shared" si="684"/>
        <v>NA</v>
      </c>
    </row>
    <row r="2018" customHeight="1" spans="1:34">
      <c r="A2018" s="12" t="s">
        <v>1043</v>
      </c>
      <c r="F2018" s="24">
        <f t="shared" si="666"/>
        <v>0</v>
      </c>
      <c r="G2018" s="24" t="e">
        <f t="shared" si="665"/>
        <v>#DIV/0!</v>
      </c>
      <c r="Q2018" s="29" t="str">
        <f t="shared" si="667"/>
        <v>NA</v>
      </c>
      <c r="R2018" s="29" t="str">
        <f t="shared" si="668"/>
        <v>NA</v>
      </c>
      <c r="S2018" s="29" t="str">
        <f t="shared" si="669"/>
        <v>NA</v>
      </c>
      <c r="T2018" s="29" t="str">
        <f t="shared" si="670"/>
        <v>NA</v>
      </c>
      <c r="U2018" s="29" t="str">
        <f t="shared" si="671"/>
        <v>NA</v>
      </c>
      <c r="V2018" s="29" t="str">
        <f t="shared" si="672"/>
        <v>NA</v>
      </c>
      <c r="W2018" s="29" t="str">
        <f t="shared" si="673"/>
        <v>NA</v>
      </c>
      <c r="X2018" s="29" t="str">
        <f t="shared" si="674"/>
        <v>NA</v>
      </c>
      <c r="Y2018" s="29" t="str">
        <f t="shared" si="675"/>
        <v>NA</v>
      </c>
      <c r="Z2018" s="29" t="str">
        <f t="shared" si="676"/>
        <v>NA</v>
      </c>
      <c r="AA2018" s="29" t="str">
        <f t="shared" si="677"/>
        <v>NA</v>
      </c>
      <c r="AB2018" s="29" t="str">
        <f t="shared" si="678"/>
        <v>NA</v>
      </c>
      <c r="AC2018" s="29" t="str">
        <f t="shared" si="679"/>
        <v>NA</v>
      </c>
      <c r="AD2018" s="29" t="str">
        <f t="shared" si="680"/>
        <v>NA</v>
      </c>
      <c r="AE2018" s="29" t="str">
        <f t="shared" si="681"/>
        <v>NA</v>
      </c>
      <c r="AF2018" s="29" t="str">
        <f t="shared" si="682"/>
        <v>NA</v>
      </c>
      <c r="AG2018" s="29" t="str">
        <f t="shared" si="683"/>
        <v>NA</v>
      </c>
      <c r="AH2018" s="29" t="str">
        <f t="shared" si="684"/>
        <v>NA</v>
      </c>
    </row>
    <row r="2019" customHeight="1" spans="1:34">
      <c r="A2019" s="12" t="s">
        <v>1043</v>
      </c>
      <c r="F2019" s="24">
        <f t="shared" si="666"/>
        <v>0</v>
      </c>
      <c r="G2019" s="24" t="e">
        <f t="shared" si="665"/>
        <v>#DIV/0!</v>
      </c>
      <c r="Q2019" s="29" t="str">
        <f t="shared" si="667"/>
        <v>NA</v>
      </c>
      <c r="R2019" s="29" t="str">
        <f t="shared" si="668"/>
        <v>NA</v>
      </c>
      <c r="S2019" s="29" t="str">
        <f t="shared" si="669"/>
        <v>NA</v>
      </c>
      <c r="T2019" s="29" t="str">
        <f t="shared" si="670"/>
        <v>NA</v>
      </c>
      <c r="U2019" s="29" t="str">
        <f t="shared" si="671"/>
        <v>NA</v>
      </c>
      <c r="V2019" s="29" t="str">
        <f t="shared" si="672"/>
        <v>NA</v>
      </c>
      <c r="W2019" s="29" t="str">
        <f t="shared" si="673"/>
        <v>NA</v>
      </c>
      <c r="X2019" s="29" t="str">
        <f t="shared" si="674"/>
        <v>NA</v>
      </c>
      <c r="Y2019" s="29" t="str">
        <f t="shared" si="675"/>
        <v>NA</v>
      </c>
      <c r="Z2019" s="29" t="str">
        <f t="shared" si="676"/>
        <v>NA</v>
      </c>
      <c r="AA2019" s="29" t="str">
        <f t="shared" si="677"/>
        <v>NA</v>
      </c>
      <c r="AB2019" s="29" t="str">
        <f t="shared" si="678"/>
        <v>NA</v>
      </c>
      <c r="AC2019" s="29" t="str">
        <f t="shared" si="679"/>
        <v>NA</v>
      </c>
      <c r="AD2019" s="29" t="str">
        <f t="shared" si="680"/>
        <v>NA</v>
      </c>
      <c r="AE2019" s="29" t="str">
        <f t="shared" si="681"/>
        <v>NA</v>
      </c>
      <c r="AF2019" s="29" t="str">
        <f t="shared" si="682"/>
        <v>NA</v>
      </c>
      <c r="AG2019" s="29" t="str">
        <f t="shared" si="683"/>
        <v>NA</v>
      </c>
      <c r="AH2019" s="29" t="str">
        <f t="shared" si="684"/>
        <v>NA</v>
      </c>
    </row>
    <row r="2020" customHeight="1" spans="1:34">
      <c r="A2020" s="12" t="s">
        <v>1043</v>
      </c>
      <c r="F2020" s="24">
        <f t="shared" si="666"/>
        <v>0</v>
      </c>
      <c r="G2020" s="24" t="e">
        <f t="shared" si="665"/>
        <v>#DIV/0!</v>
      </c>
      <c r="Q2020" s="29" t="str">
        <f t="shared" si="667"/>
        <v>NA</v>
      </c>
      <c r="R2020" s="29" t="str">
        <f t="shared" si="668"/>
        <v>NA</v>
      </c>
      <c r="S2020" s="29" t="str">
        <f t="shared" si="669"/>
        <v>NA</v>
      </c>
      <c r="T2020" s="29" t="str">
        <f t="shared" si="670"/>
        <v>NA</v>
      </c>
      <c r="U2020" s="29" t="str">
        <f t="shared" si="671"/>
        <v>NA</v>
      </c>
      <c r="V2020" s="29" t="str">
        <f t="shared" si="672"/>
        <v>NA</v>
      </c>
      <c r="W2020" s="29" t="str">
        <f t="shared" si="673"/>
        <v>NA</v>
      </c>
      <c r="X2020" s="29" t="str">
        <f t="shared" si="674"/>
        <v>NA</v>
      </c>
      <c r="Y2020" s="29" t="str">
        <f t="shared" si="675"/>
        <v>NA</v>
      </c>
      <c r="Z2020" s="29" t="str">
        <f t="shared" si="676"/>
        <v>NA</v>
      </c>
      <c r="AA2020" s="29" t="str">
        <f t="shared" si="677"/>
        <v>NA</v>
      </c>
      <c r="AB2020" s="29" t="str">
        <f t="shared" si="678"/>
        <v>NA</v>
      </c>
      <c r="AC2020" s="29" t="str">
        <f t="shared" si="679"/>
        <v>NA</v>
      </c>
      <c r="AD2020" s="29" t="str">
        <f t="shared" si="680"/>
        <v>NA</v>
      </c>
      <c r="AE2020" s="29" t="str">
        <f t="shared" si="681"/>
        <v>NA</v>
      </c>
      <c r="AF2020" s="29" t="str">
        <f t="shared" si="682"/>
        <v>NA</v>
      </c>
      <c r="AG2020" s="29" t="str">
        <f t="shared" si="683"/>
        <v>NA</v>
      </c>
      <c r="AH2020" s="29" t="str">
        <f t="shared" si="684"/>
        <v>NA</v>
      </c>
    </row>
    <row r="2021" customHeight="1" spans="1:34">
      <c r="A2021" s="12" t="s">
        <v>1043</v>
      </c>
      <c r="F2021" s="24">
        <f t="shared" si="666"/>
        <v>0</v>
      </c>
      <c r="G2021" s="24" t="e">
        <f t="shared" si="665"/>
        <v>#DIV/0!</v>
      </c>
      <c r="Q2021" s="29" t="str">
        <f t="shared" si="667"/>
        <v>NA</v>
      </c>
      <c r="R2021" s="29" t="str">
        <f t="shared" si="668"/>
        <v>NA</v>
      </c>
      <c r="S2021" s="29" t="str">
        <f t="shared" si="669"/>
        <v>NA</v>
      </c>
      <c r="T2021" s="29" t="str">
        <f t="shared" si="670"/>
        <v>NA</v>
      </c>
      <c r="U2021" s="29" t="str">
        <f t="shared" si="671"/>
        <v>NA</v>
      </c>
      <c r="V2021" s="29" t="str">
        <f t="shared" si="672"/>
        <v>NA</v>
      </c>
      <c r="W2021" s="29" t="str">
        <f t="shared" si="673"/>
        <v>NA</v>
      </c>
      <c r="X2021" s="29" t="str">
        <f t="shared" si="674"/>
        <v>NA</v>
      </c>
      <c r="Y2021" s="29" t="str">
        <f t="shared" si="675"/>
        <v>NA</v>
      </c>
      <c r="Z2021" s="29" t="str">
        <f t="shared" si="676"/>
        <v>NA</v>
      </c>
      <c r="AA2021" s="29" t="str">
        <f t="shared" si="677"/>
        <v>NA</v>
      </c>
      <c r="AB2021" s="29" t="str">
        <f t="shared" si="678"/>
        <v>NA</v>
      </c>
      <c r="AC2021" s="29" t="str">
        <f t="shared" si="679"/>
        <v>NA</v>
      </c>
      <c r="AD2021" s="29" t="str">
        <f t="shared" si="680"/>
        <v>NA</v>
      </c>
      <c r="AE2021" s="29" t="str">
        <f t="shared" si="681"/>
        <v>NA</v>
      </c>
      <c r="AF2021" s="29" t="str">
        <f t="shared" si="682"/>
        <v>NA</v>
      </c>
      <c r="AG2021" s="29" t="str">
        <f t="shared" si="683"/>
        <v>NA</v>
      </c>
      <c r="AH2021" s="29" t="str">
        <f t="shared" si="684"/>
        <v>NA</v>
      </c>
    </row>
    <row r="2022" customHeight="1" spans="1:34">
      <c r="A2022" s="12" t="s">
        <v>1043</v>
      </c>
      <c r="F2022" s="24">
        <f t="shared" si="666"/>
        <v>0</v>
      </c>
      <c r="G2022" s="24" t="e">
        <f t="shared" si="665"/>
        <v>#DIV/0!</v>
      </c>
      <c r="Q2022" s="29" t="str">
        <f t="shared" si="667"/>
        <v>NA</v>
      </c>
      <c r="R2022" s="29" t="str">
        <f t="shared" si="668"/>
        <v>NA</v>
      </c>
      <c r="S2022" s="29" t="str">
        <f t="shared" si="669"/>
        <v>NA</v>
      </c>
      <c r="T2022" s="29" t="str">
        <f t="shared" si="670"/>
        <v>NA</v>
      </c>
      <c r="U2022" s="29" t="str">
        <f t="shared" si="671"/>
        <v>NA</v>
      </c>
      <c r="V2022" s="29" t="str">
        <f t="shared" si="672"/>
        <v>NA</v>
      </c>
      <c r="W2022" s="29" t="str">
        <f t="shared" si="673"/>
        <v>NA</v>
      </c>
      <c r="X2022" s="29" t="str">
        <f t="shared" si="674"/>
        <v>NA</v>
      </c>
      <c r="Y2022" s="29" t="str">
        <f t="shared" si="675"/>
        <v>NA</v>
      </c>
      <c r="Z2022" s="29" t="str">
        <f t="shared" si="676"/>
        <v>NA</v>
      </c>
      <c r="AA2022" s="29" t="str">
        <f t="shared" si="677"/>
        <v>NA</v>
      </c>
      <c r="AB2022" s="29" t="str">
        <f t="shared" si="678"/>
        <v>NA</v>
      </c>
      <c r="AC2022" s="29" t="str">
        <f t="shared" si="679"/>
        <v>NA</v>
      </c>
      <c r="AD2022" s="29" t="str">
        <f t="shared" si="680"/>
        <v>NA</v>
      </c>
      <c r="AE2022" s="29" t="str">
        <f t="shared" si="681"/>
        <v>NA</v>
      </c>
      <c r="AF2022" s="29" t="str">
        <f t="shared" si="682"/>
        <v>NA</v>
      </c>
      <c r="AG2022" s="29" t="str">
        <f t="shared" si="683"/>
        <v>NA</v>
      </c>
      <c r="AH2022" s="29" t="str">
        <f t="shared" si="684"/>
        <v>NA</v>
      </c>
    </row>
    <row r="2023" customHeight="1" spans="1:34">
      <c r="A2023" s="12" t="s">
        <v>1043</v>
      </c>
      <c r="F2023" s="24">
        <f t="shared" si="666"/>
        <v>0</v>
      </c>
      <c r="G2023" s="24" t="e">
        <f t="shared" si="665"/>
        <v>#DIV/0!</v>
      </c>
      <c r="Q2023" s="29" t="str">
        <f t="shared" si="667"/>
        <v>NA</v>
      </c>
      <c r="R2023" s="29" t="str">
        <f t="shared" si="668"/>
        <v>NA</v>
      </c>
      <c r="S2023" s="29" t="str">
        <f t="shared" si="669"/>
        <v>NA</v>
      </c>
      <c r="T2023" s="29" t="str">
        <f t="shared" si="670"/>
        <v>NA</v>
      </c>
      <c r="U2023" s="29" t="str">
        <f t="shared" si="671"/>
        <v>NA</v>
      </c>
      <c r="V2023" s="29" t="str">
        <f t="shared" si="672"/>
        <v>NA</v>
      </c>
      <c r="W2023" s="29" t="str">
        <f t="shared" si="673"/>
        <v>NA</v>
      </c>
      <c r="X2023" s="29" t="str">
        <f t="shared" si="674"/>
        <v>NA</v>
      </c>
      <c r="Y2023" s="29" t="str">
        <f t="shared" si="675"/>
        <v>NA</v>
      </c>
      <c r="Z2023" s="29" t="str">
        <f t="shared" si="676"/>
        <v>NA</v>
      </c>
      <c r="AA2023" s="29" t="str">
        <f t="shared" si="677"/>
        <v>NA</v>
      </c>
      <c r="AB2023" s="29" t="str">
        <f t="shared" si="678"/>
        <v>NA</v>
      </c>
      <c r="AC2023" s="29" t="str">
        <f t="shared" si="679"/>
        <v>NA</v>
      </c>
      <c r="AD2023" s="29" t="str">
        <f t="shared" si="680"/>
        <v>NA</v>
      </c>
      <c r="AE2023" s="29" t="str">
        <f t="shared" si="681"/>
        <v>NA</v>
      </c>
      <c r="AF2023" s="29" t="str">
        <f t="shared" si="682"/>
        <v>NA</v>
      </c>
      <c r="AG2023" s="29" t="str">
        <f t="shared" si="683"/>
        <v>NA</v>
      </c>
      <c r="AH2023" s="29" t="str">
        <f t="shared" si="684"/>
        <v>NA</v>
      </c>
    </row>
    <row r="2024" customHeight="1" spans="1:34">
      <c r="A2024" s="12" t="s">
        <v>1043</v>
      </c>
      <c r="F2024" s="24">
        <f t="shared" si="666"/>
        <v>0</v>
      </c>
      <c r="G2024" s="24" t="e">
        <f t="shared" si="665"/>
        <v>#DIV/0!</v>
      </c>
      <c r="Q2024" s="29" t="str">
        <f t="shared" si="667"/>
        <v>NA</v>
      </c>
      <c r="R2024" s="29" t="str">
        <f t="shared" si="668"/>
        <v>NA</v>
      </c>
      <c r="S2024" s="29" t="str">
        <f t="shared" si="669"/>
        <v>NA</v>
      </c>
      <c r="T2024" s="29" t="str">
        <f t="shared" si="670"/>
        <v>NA</v>
      </c>
      <c r="U2024" s="29" t="str">
        <f t="shared" si="671"/>
        <v>NA</v>
      </c>
      <c r="V2024" s="29" t="str">
        <f t="shared" si="672"/>
        <v>NA</v>
      </c>
      <c r="W2024" s="29" t="str">
        <f t="shared" si="673"/>
        <v>NA</v>
      </c>
      <c r="X2024" s="29" t="str">
        <f t="shared" si="674"/>
        <v>NA</v>
      </c>
      <c r="Y2024" s="29" t="str">
        <f t="shared" si="675"/>
        <v>NA</v>
      </c>
      <c r="Z2024" s="29" t="str">
        <f t="shared" si="676"/>
        <v>NA</v>
      </c>
      <c r="AA2024" s="29" t="str">
        <f t="shared" si="677"/>
        <v>NA</v>
      </c>
      <c r="AB2024" s="29" t="str">
        <f t="shared" si="678"/>
        <v>NA</v>
      </c>
      <c r="AC2024" s="29" t="str">
        <f t="shared" si="679"/>
        <v>NA</v>
      </c>
      <c r="AD2024" s="29" t="str">
        <f t="shared" si="680"/>
        <v>NA</v>
      </c>
      <c r="AE2024" s="29" t="str">
        <f t="shared" si="681"/>
        <v>NA</v>
      </c>
      <c r="AF2024" s="29" t="str">
        <f t="shared" si="682"/>
        <v>NA</v>
      </c>
      <c r="AG2024" s="29" t="str">
        <f t="shared" si="683"/>
        <v>NA</v>
      </c>
      <c r="AH2024" s="29" t="str">
        <f t="shared" si="684"/>
        <v>NA</v>
      </c>
    </row>
    <row r="2025" customHeight="1" spans="1:34">
      <c r="A2025" s="12" t="s">
        <v>1043</v>
      </c>
      <c r="F2025" s="24">
        <f t="shared" si="666"/>
        <v>0</v>
      </c>
      <c r="G2025" s="24" t="e">
        <f t="shared" si="665"/>
        <v>#DIV/0!</v>
      </c>
      <c r="Q2025" s="29" t="str">
        <f t="shared" si="667"/>
        <v>NA</v>
      </c>
      <c r="R2025" s="29" t="str">
        <f t="shared" si="668"/>
        <v>NA</v>
      </c>
      <c r="S2025" s="29" t="str">
        <f t="shared" si="669"/>
        <v>NA</v>
      </c>
      <c r="T2025" s="29" t="str">
        <f t="shared" si="670"/>
        <v>NA</v>
      </c>
      <c r="U2025" s="29" t="str">
        <f t="shared" si="671"/>
        <v>NA</v>
      </c>
      <c r="V2025" s="29" t="str">
        <f t="shared" si="672"/>
        <v>NA</v>
      </c>
      <c r="W2025" s="29" t="str">
        <f t="shared" si="673"/>
        <v>NA</v>
      </c>
      <c r="X2025" s="29" t="str">
        <f t="shared" si="674"/>
        <v>NA</v>
      </c>
      <c r="Y2025" s="29" t="str">
        <f t="shared" si="675"/>
        <v>NA</v>
      </c>
      <c r="Z2025" s="29" t="str">
        <f t="shared" si="676"/>
        <v>NA</v>
      </c>
      <c r="AA2025" s="29" t="str">
        <f t="shared" si="677"/>
        <v>NA</v>
      </c>
      <c r="AB2025" s="29" t="str">
        <f t="shared" si="678"/>
        <v>NA</v>
      </c>
      <c r="AC2025" s="29" t="str">
        <f t="shared" si="679"/>
        <v>NA</v>
      </c>
      <c r="AD2025" s="29" t="str">
        <f t="shared" si="680"/>
        <v>NA</v>
      </c>
      <c r="AE2025" s="29" t="str">
        <f t="shared" si="681"/>
        <v>NA</v>
      </c>
      <c r="AF2025" s="29" t="str">
        <f t="shared" si="682"/>
        <v>NA</v>
      </c>
      <c r="AG2025" s="29" t="str">
        <f t="shared" si="683"/>
        <v>NA</v>
      </c>
      <c r="AH2025" s="29" t="str">
        <f t="shared" si="684"/>
        <v>NA</v>
      </c>
    </row>
    <row r="2026" customHeight="1" spans="1:34">
      <c r="A2026" s="12" t="s">
        <v>1043</v>
      </c>
      <c r="F2026" s="24">
        <f t="shared" si="666"/>
        <v>0</v>
      </c>
      <c r="G2026" s="24" t="e">
        <f t="shared" si="665"/>
        <v>#DIV/0!</v>
      </c>
      <c r="Q2026" s="29" t="str">
        <f t="shared" si="667"/>
        <v>NA</v>
      </c>
      <c r="R2026" s="29" t="str">
        <f t="shared" si="668"/>
        <v>NA</v>
      </c>
      <c r="S2026" s="29" t="str">
        <f t="shared" si="669"/>
        <v>NA</v>
      </c>
      <c r="T2026" s="29" t="str">
        <f t="shared" si="670"/>
        <v>NA</v>
      </c>
      <c r="U2026" s="29" t="str">
        <f t="shared" si="671"/>
        <v>NA</v>
      </c>
      <c r="V2026" s="29" t="str">
        <f t="shared" si="672"/>
        <v>NA</v>
      </c>
      <c r="W2026" s="29" t="str">
        <f t="shared" si="673"/>
        <v>NA</v>
      </c>
      <c r="X2026" s="29" t="str">
        <f t="shared" si="674"/>
        <v>NA</v>
      </c>
      <c r="Y2026" s="29" t="str">
        <f t="shared" si="675"/>
        <v>NA</v>
      </c>
      <c r="Z2026" s="29" t="str">
        <f t="shared" si="676"/>
        <v>NA</v>
      </c>
      <c r="AA2026" s="29" t="str">
        <f t="shared" si="677"/>
        <v>NA</v>
      </c>
      <c r="AB2026" s="29" t="str">
        <f t="shared" si="678"/>
        <v>NA</v>
      </c>
      <c r="AC2026" s="29" t="str">
        <f t="shared" si="679"/>
        <v>NA</v>
      </c>
      <c r="AD2026" s="29" t="str">
        <f t="shared" si="680"/>
        <v>NA</v>
      </c>
      <c r="AE2026" s="29" t="str">
        <f t="shared" si="681"/>
        <v>NA</v>
      </c>
      <c r="AF2026" s="29" t="str">
        <f t="shared" si="682"/>
        <v>NA</v>
      </c>
      <c r="AG2026" s="29" t="str">
        <f t="shared" si="683"/>
        <v>NA</v>
      </c>
      <c r="AH2026" s="29" t="str">
        <f t="shared" si="684"/>
        <v>NA</v>
      </c>
    </row>
    <row r="2027" customHeight="1" spans="1:34">
      <c r="A2027" s="12" t="s">
        <v>1043</v>
      </c>
      <c r="F2027" s="24">
        <f t="shared" si="666"/>
        <v>0</v>
      </c>
      <c r="G2027" s="24" t="e">
        <f t="shared" si="665"/>
        <v>#DIV/0!</v>
      </c>
      <c r="Q2027" s="29" t="str">
        <f t="shared" si="667"/>
        <v>NA</v>
      </c>
      <c r="R2027" s="29" t="str">
        <f t="shared" si="668"/>
        <v>NA</v>
      </c>
      <c r="S2027" s="29" t="str">
        <f t="shared" si="669"/>
        <v>NA</v>
      </c>
      <c r="T2027" s="29" t="str">
        <f t="shared" si="670"/>
        <v>NA</v>
      </c>
      <c r="U2027" s="29" t="str">
        <f t="shared" si="671"/>
        <v>NA</v>
      </c>
      <c r="V2027" s="29" t="str">
        <f t="shared" si="672"/>
        <v>NA</v>
      </c>
      <c r="W2027" s="29" t="str">
        <f t="shared" si="673"/>
        <v>NA</v>
      </c>
      <c r="X2027" s="29" t="str">
        <f t="shared" si="674"/>
        <v>NA</v>
      </c>
      <c r="Y2027" s="29" t="str">
        <f t="shared" si="675"/>
        <v>NA</v>
      </c>
      <c r="Z2027" s="29" t="str">
        <f t="shared" si="676"/>
        <v>NA</v>
      </c>
      <c r="AA2027" s="29" t="str">
        <f t="shared" si="677"/>
        <v>NA</v>
      </c>
      <c r="AB2027" s="29" t="str">
        <f t="shared" si="678"/>
        <v>NA</v>
      </c>
      <c r="AC2027" s="29" t="str">
        <f t="shared" si="679"/>
        <v>NA</v>
      </c>
      <c r="AD2027" s="29" t="str">
        <f t="shared" si="680"/>
        <v>NA</v>
      </c>
      <c r="AE2027" s="29" t="str">
        <f t="shared" si="681"/>
        <v>NA</v>
      </c>
      <c r="AF2027" s="29" t="str">
        <f t="shared" si="682"/>
        <v>NA</v>
      </c>
      <c r="AG2027" s="29" t="str">
        <f t="shared" si="683"/>
        <v>NA</v>
      </c>
      <c r="AH2027" s="29" t="str">
        <f t="shared" si="684"/>
        <v>NA</v>
      </c>
    </row>
    <row r="2028" customHeight="1" spans="1:34">
      <c r="A2028" s="12" t="s">
        <v>1043</v>
      </c>
      <c r="F2028" s="24">
        <f t="shared" si="666"/>
        <v>0</v>
      </c>
      <c r="G2028" s="24" t="e">
        <f t="shared" si="665"/>
        <v>#DIV/0!</v>
      </c>
      <c r="Q2028" s="29" t="str">
        <f t="shared" si="667"/>
        <v>NA</v>
      </c>
      <c r="R2028" s="29" t="str">
        <f t="shared" si="668"/>
        <v>NA</v>
      </c>
      <c r="S2028" s="29" t="str">
        <f t="shared" si="669"/>
        <v>NA</v>
      </c>
      <c r="T2028" s="29" t="str">
        <f t="shared" si="670"/>
        <v>NA</v>
      </c>
      <c r="U2028" s="29" t="str">
        <f t="shared" si="671"/>
        <v>NA</v>
      </c>
      <c r="V2028" s="29" t="str">
        <f t="shared" si="672"/>
        <v>NA</v>
      </c>
      <c r="W2028" s="29" t="str">
        <f t="shared" si="673"/>
        <v>NA</v>
      </c>
      <c r="X2028" s="29" t="str">
        <f t="shared" si="674"/>
        <v>NA</v>
      </c>
      <c r="Y2028" s="29" t="str">
        <f t="shared" si="675"/>
        <v>NA</v>
      </c>
      <c r="Z2028" s="29" t="str">
        <f t="shared" si="676"/>
        <v>NA</v>
      </c>
      <c r="AA2028" s="29" t="str">
        <f t="shared" si="677"/>
        <v>NA</v>
      </c>
      <c r="AB2028" s="29" t="str">
        <f t="shared" si="678"/>
        <v>NA</v>
      </c>
      <c r="AC2028" s="29" t="str">
        <f t="shared" si="679"/>
        <v>NA</v>
      </c>
      <c r="AD2028" s="29" t="str">
        <f t="shared" si="680"/>
        <v>NA</v>
      </c>
      <c r="AE2028" s="29" t="str">
        <f t="shared" si="681"/>
        <v>NA</v>
      </c>
      <c r="AF2028" s="29" t="str">
        <f t="shared" si="682"/>
        <v>NA</v>
      </c>
      <c r="AG2028" s="29" t="str">
        <f t="shared" si="683"/>
        <v>NA</v>
      </c>
      <c r="AH2028" s="29" t="str">
        <f t="shared" si="684"/>
        <v>NA</v>
      </c>
    </row>
    <row r="2029" customHeight="1" spans="1:34">
      <c r="A2029" s="12" t="s">
        <v>1043</v>
      </c>
      <c r="F2029" s="24">
        <f t="shared" si="666"/>
        <v>0</v>
      </c>
      <c r="G2029" s="24" t="e">
        <f t="shared" si="665"/>
        <v>#DIV/0!</v>
      </c>
      <c r="Q2029" s="29" t="str">
        <f t="shared" si="667"/>
        <v>NA</v>
      </c>
      <c r="R2029" s="29" t="str">
        <f t="shared" si="668"/>
        <v>NA</v>
      </c>
      <c r="S2029" s="29" t="str">
        <f t="shared" si="669"/>
        <v>NA</v>
      </c>
      <c r="T2029" s="29" t="str">
        <f t="shared" si="670"/>
        <v>NA</v>
      </c>
      <c r="U2029" s="29" t="str">
        <f t="shared" si="671"/>
        <v>NA</v>
      </c>
      <c r="V2029" s="29" t="str">
        <f t="shared" si="672"/>
        <v>NA</v>
      </c>
      <c r="W2029" s="29" t="str">
        <f t="shared" si="673"/>
        <v>NA</v>
      </c>
      <c r="X2029" s="29" t="str">
        <f t="shared" si="674"/>
        <v>NA</v>
      </c>
      <c r="Y2029" s="29" t="str">
        <f t="shared" si="675"/>
        <v>NA</v>
      </c>
      <c r="Z2029" s="29" t="str">
        <f t="shared" si="676"/>
        <v>NA</v>
      </c>
      <c r="AA2029" s="29" t="str">
        <f t="shared" si="677"/>
        <v>NA</v>
      </c>
      <c r="AB2029" s="29" t="str">
        <f t="shared" si="678"/>
        <v>NA</v>
      </c>
      <c r="AC2029" s="29" t="str">
        <f t="shared" si="679"/>
        <v>NA</v>
      </c>
      <c r="AD2029" s="29" t="str">
        <f t="shared" si="680"/>
        <v>NA</v>
      </c>
      <c r="AE2029" s="29" t="str">
        <f t="shared" si="681"/>
        <v>NA</v>
      </c>
      <c r="AF2029" s="29" t="str">
        <f t="shared" si="682"/>
        <v>NA</v>
      </c>
      <c r="AG2029" s="29" t="str">
        <f t="shared" si="683"/>
        <v>NA</v>
      </c>
      <c r="AH2029" s="29" t="str">
        <f t="shared" si="684"/>
        <v>NA</v>
      </c>
    </row>
    <row r="2030" customHeight="1" spans="1:34">
      <c r="A2030" s="12" t="s">
        <v>1043</v>
      </c>
      <c r="F2030" s="24">
        <f t="shared" si="666"/>
        <v>0</v>
      </c>
      <c r="G2030" s="24" t="e">
        <f t="shared" si="665"/>
        <v>#DIV/0!</v>
      </c>
      <c r="Q2030" s="29" t="str">
        <f t="shared" si="667"/>
        <v>NA</v>
      </c>
      <c r="R2030" s="29" t="str">
        <f t="shared" si="668"/>
        <v>NA</v>
      </c>
      <c r="S2030" s="29" t="str">
        <f t="shared" si="669"/>
        <v>NA</v>
      </c>
      <c r="T2030" s="29" t="str">
        <f t="shared" si="670"/>
        <v>NA</v>
      </c>
      <c r="U2030" s="29" t="str">
        <f t="shared" si="671"/>
        <v>NA</v>
      </c>
      <c r="V2030" s="29" t="str">
        <f t="shared" si="672"/>
        <v>NA</v>
      </c>
      <c r="W2030" s="29" t="str">
        <f t="shared" si="673"/>
        <v>NA</v>
      </c>
      <c r="X2030" s="29" t="str">
        <f t="shared" si="674"/>
        <v>NA</v>
      </c>
      <c r="Y2030" s="29" t="str">
        <f t="shared" si="675"/>
        <v>NA</v>
      </c>
      <c r="Z2030" s="29" t="str">
        <f t="shared" si="676"/>
        <v>NA</v>
      </c>
      <c r="AA2030" s="29" t="str">
        <f t="shared" si="677"/>
        <v>NA</v>
      </c>
      <c r="AB2030" s="29" t="str">
        <f t="shared" si="678"/>
        <v>NA</v>
      </c>
      <c r="AC2030" s="29" t="str">
        <f t="shared" si="679"/>
        <v>NA</v>
      </c>
      <c r="AD2030" s="29" t="str">
        <f t="shared" si="680"/>
        <v>NA</v>
      </c>
      <c r="AE2030" s="29" t="str">
        <f t="shared" si="681"/>
        <v>NA</v>
      </c>
      <c r="AF2030" s="29" t="str">
        <f t="shared" si="682"/>
        <v>NA</v>
      </c>
      <c r="AG2030" s="29" t="str">
        <f t="shared" si="683"/>
        <v>NA</v>
      </c>
      <c r="AH2030" s="29" t="str">
        <f t="shared" si="684"/>
        <v>NA</v>
      </c>
    </row>
    <row r="2031" customHeight="1" spans="1:34">
      <c r="A2031" s="12" t="s">
        <v>1043</v>
      </c>
      <c r="F2031" s="24">
        <f t="shared" si="666"/>
        <v>0</v>
      </c>
      <c r="G2031" s="24" t="e">
        <f t="shared" si="665"/>
        <v>#DIV/0!</v>
      </c>
      <c r="Q2031" s="29" t="str">
        <f t="shared" si="667"/>
        <v>NA</v>
      </c>
      <c r="R2031" s="29" t="str">
        <f t="shared" si="668"/>
        <v>NA</v>
      </c>
      <c r="S2031" s="29" t="str">
        <f t="shared" si="669"/>
        <v>NA</v>
      </c>
      <c r="T2031" s="29" t="str">
        <f t="shared" si="670"/>
        <v>NA</v>
      </c>
      <c r="U2031" s="29" t="str">
        <f t="shared" si="671"/>
        <v>NA</v>
      </c>
      <c r="V2031" s="29" t="str">
        <f t="shared" si="672"/>
        <v>NA</v>
      </c>
      <c r="W2031" s="29" t="str">
        <f t="shared" si="673"/>
        <v>NA</v>
      </c>
      <c r="X2031" s="29" t="str">
        <f t="shared" si="674"/>
        <v>NA</v>
      </c>
      <c r="Y2031" s="29" t="str">
        <f t="shared" si="675"/>
        <v>NA</v>
      </c>
      <c r="Z2031" s="29" t="str">
        <f t="shared" si="676"/>
        <v>NA</v>
      </c>
      <c r="AA2031" s="29" t="str">
        <f t="shared" si="677"/>
        <v>NA</v>
      </c>
      <c r="AB2031" s="29" t="str">
        <f t="shared" si="678"/>
        <v>NA</v>
      </c>
      <c r="AC2031" s="29" t="str">
        <f t="shared" si="679"/>
        <v>NA</v>
      </c>
      <c r="AD2031" s="29" t="str">
        <f t="shared" si="680"/>
        <v>NA</v>
      </c>
      <c r="AE2031" s="29" t="str">
        <f t="shared" si="681"/>
        <v>NA</v>
      </c>
      <c r="AF2031" s="29" t="str">
        <f t="shared" si="682"/>
        <v>NA</v>
      </c>
      <c r="AG2031" s="29" t="str">
        <f t="shared" si="683"/>
        <v>NA</v>
      </c>
      <c r="AH2031" s="29" t="str">
        <f t="shared" si="684"/>
        <v>NA</v>
      </c>
    </row>
    <row r="2032" customHeight="1" spans="1:34">
      <c r="A2032" s="12" t="s">
        <v>1043</v>
      </c>
      <c r="F2032" s="24">
        <f t="shared" si="666"/>
        <v>0</v>
      </c>
      <c r="G2032" s="24" t="e">
        <f t="shared" si="665"/>
        <v>#DIV/0!</v>
      </c>
      <c r="Q2032" s="29" t="str">
        <f t="shared" si="667"/>
        <v>NA</v>
      </c>
      <c r="R2032" s="29" t="str">
        <f t="shared" si="668"/>
        <v>NA</v>
      </c>
      <c r="S2032" s="29" t="str">
        <f t="shared" si="669"/>
        <v>NA</v>
      </c>
      <c r="T2032" s="29" t="str">
        <f t="shared" si="670"/>
        <v>NA</v>
      </c>
      <c r="U2032" s="29" t="str">
        <f t="shared" si="671"/>
        <v>NA</v>
      </c>
      <c r="V2032" s="29" t="str">
        <f t="shared" si="672"/>
        <v>NA</v>
      </c>
      <c r="W2032" s="29" t="str">
        <f t="shared" si="673"/>
        <v>NA</v>
      </c>
      <c r="X2032" s="29" t="str">
        <f t="shared" si="674"/>
        <v>NA</v>
      </c>
      <c r="Y2032" s="29" t="str">
        <f t="shared" si="675"/>
        <v>NA</v>
      </c>
      <c r="Z2032" s="29" t="str">
        <f t="shared" si="676"/>
        <v>NA</v>
      </c>
      <c r="AA2032" s="29" t="str">
        <f t="shared" si="677"/>
        <v>NA</v>
      </c>
      <c r="AB2032" s="29" t="str">
        <f t="shared" si="678"/>
        <v>NA</v>
      </c>
      <c r="AC2032" s="29" t="str">
        <f t="shared" si="679"/>
        <v>NA</v>
      </c>
      <c r="AD2032" s="29" t="str">
        <f t="shared" si="680"/>
        <v>NA</v>
      </c>
      <c r="AE2032" s="29" t="str">
        <f t="shared" si="681"/>
        <v>NA</v>
      </c>
      <c r="AF2032" s="29" t="str">
        <f t="shared" si="682"/>
        <v>NA</v>
      </c>
      <c r="AG2032" s="29" t="str">
        <f t="shared" si="683"/>
        <v>NA</v>
      </c>
      <c r="AH2032" s="29" t="str">
        <f t="shared" si="684"/>
        <v>NA</v>
      </c>
    </row>
    <row r="2033" customHeight="1" spans="1:34">
      <c r="A2033" s="12" t="s">
        <v>1043</v>
      </c>
      <c r="F2033" s="24">
        <f t="shared" si="666"/>
        <v>0</v>
      </c>
      <c r="G2033" s="24" t="e">
        <f t="shared" si="665"/>
        <v>#DIV/0!</v>
      </c>
      <c r="Q2033" s="29" t="str">
        <f t="shared" si="667"/>
        <v>NA</v>
      </c>
      <c r="R2033" s="29" t="str">
        <f t="shared" si="668"/>
        <v>NA</v>
      </c>
      <c r="S2033" s="29" t="str">
        <f t="shared" si="669"/>
        <v>NA</v>
      </c>
      <c r="T2033" s="29" t="str">
        <f t="shared" si="670"/>
        <v>NA</v>
      </c>
      <c r="U2033" s="29" t="str">
        <f t="shared" si="671"/>
        <v>NA</v>
      </c>
      <c r="V2033" s="29" t="str">
        <f t="shared" si="672"/>
        <v>NA</v>
      </c>
      <c r="W2033" s="29" t="str">
        <f t="shared" si="673"/>
        <v>NA</v>
      </c>
      <c r="X2033" s="29" t="str">
        <f t="shared" si="674"/>
        <v>NA</v>
      </c>
      <c r="Y2033" s="29" t="str">
        <f t="shared" si="675"/>
        <v>NA</v>
      </c>
      <c r="Z2033" s="29" t="str">
        <f t="shared" si="676"/>
        <v>NA</v>
      </c>
      <c r="AA2033" s="29" t="str">
        <f t="shared" si="677"/>
        <v>NA</v>
      </c>
      <c r="AB2033" s="29" t="str">
        <f t="shared" si="678"/>
        <v>NA</v>
      </c>
      <c r="AC2033" s="29" t="str">
        <f t="shared" si="679"/>
        <v>NA</v>
      </c>
      <c r="AD2033" s="29" t="str">
        <f t="shared" si="680"/>
        <v>NA</v>
      </c>
      <c r="AE2033" s="29" t="str">
        <f t="shared" si="681"/>
        <v>NA</v>
      </c>
      <c r="AF2033" s="29" t="str">
        <f t="shared" si="682"/>
        <v>NA</v>
      </c>
      <c r="AG2033" s="29" t="str">
        <f t="shared" si="683"/>
        <v>NA</v>
      </c>
      <c r="AH2033" s="29" t="str">
        <f t="shared" si="684"/>
        <v>NA</v>
      </c>
    </row>
    <row r="2034" customHeight="1" spans="1:34">
      <c r="A2034" s="12" t="s">
        <v>1043</v>
      </c>
      <c r="F2034" s="24">
        <f t="shared" si="666"/>
        <v>0</v>
      </c>
      <c r="G2034" s="24" t="e">
        <f t="shared" si="665"/>
        <v>#DIV/0!</v>
      </c>
      <c r="Q2034" s="29" t="str">
        <f t="shared" si="667"/>
        <v>NA</v>
      </c>
      <c r="R2034" s="29" t="str">
        <f t="shared" si="668"/>
        <v>NA</v>
      </c>
      <c r="S2034" s="29" t="str">
        <f t="shared" si="669"/>
        <v>NA</v>
      </c>
      <c r="T2034" s="29" t="str">
        <f t="shared" si="670"/>
        <v>NA</v>
      </c>
      <c r="U2034" s="29" t="str">
        <f t="shared" si="671"/>
        <v>NA</v>
      </c>
      <c r="V2034" s="29" t="str">
        <f t="shared" si="672"/>
        <v>NA</v>
      </c>
      <c r="W2034" s="29" t="str">
        <f t="shared" si="673"/>
        <v>NA</v>
      </c>
      <c r="X2034" s="29" t="str">
        <f t="shared" si="674"/>
        <v>NA</v>
      </c>
      <c r="Y2034" s="29" t="str">
        <f t="shared" si="675"/>
        <v>NA</v>
      </c>
      <c r="Z2034" s="29" t="str">
        <f t="shared" si="676"/>
        <v>NA</v>
      </c>
      <c r="AA2034" s="29" t="str">
        <f t="shared" si="677"/>
        <v>NA</v>
      </c>
      <c r="AB2034" s="29" t="str">
        <f t="shared" si="678"/>
        <v>NA</v>
      </c>
      <c r="AC2034" s="29" t="str">
        <f t="shared" si="679"/>
        <v>NA</v>
      </c>
      <c r="AD2034" s="29" t="str">
        <f t="shared" si="680"/>
        <v>NA</v>
      </c>
      <c r="AE2034" s="29" t="str">
        <f t="shared" si="681"/>
        <v>NA</v>
      </c>
      <c r="AF2034" s="29" t="str">
        <f t="shared" si="682"/>
        <v>NA</v>
      </c>
      <c r="AG2034" s="29" t="str">
        <f t="shared" si="683"/>
        <v>NA</v>
      </c>
      <c r="AH2034" s="29" t="str">
        <f t="shared" si="684"/>
        <v>NA</v>
      </c>
    </row>
    <row r="2035" customHeight="1" spans="1:34">
      <c r="A2035" s="12" t="s">
        <v>1043</v>
      </c>
      <c r="F2035" s="24">
        <f t="shared" si="666"/>
        <v>0</v>
      </c>
      <c r="G2035" s="24" t="e">
        <f t="shared" si="665"/>
        <v>#DIV/0!</v>
      </c>
      <c r="Q2035" s="29" t="str">
        <f t="shared" si="667"/>
        <v>NA</v>
      </c>
      <c r="R2035" s="29" t="str">
        <f t="shared" si="668"/>
        <v>NA</v>
      </c>
      <c r="S2035" s="29" t="str">
        <f t="shared" si="669"/>
        <v>NA</v>
      </c>
      <c r="T2035" s="29" t="str">
        <f t="shared" si="670"/>
        <v>NA</v>
      </c>
      <c r="U2035" s="29" t="str">
        <f t="shared" si="671"/>
        <v>NA</v>
      </c>
      <c r="V2035" s="29" t="str">
        <f t="shared" si="672"/>
        <v>NA</v>
      </c>
      <c r="W2035" s="29" t="str">
        <f t="shared" si="673"/>
        <v>NA</v>
      </c>
      <c r="X2035" s="29" t="str">
        <f t="shared" si="674"/>
        <v>NA</v>
      </c>
      <c r="Y2035" s="29" t="str">
        <f t="shared" si="675"/>
        <v>NA</v>
      </c>
      <c r="Z2035" s="29" t="str">
        <f t="shared" si="676"/>
        <v>NA</v>
      </c>
      <c r="AA2035" s="29" t="str">
        <f t="shared" si="677"/>
        <v>NA</v>
      </c>
      <c r="AB2035" s="29" t="str">
        <f t="shared" si="678"/>
        <v>NA</v>
      </c>
      <c r="AC2035" s="29" t="str">
        <f t="shared" si="679"/>
        <v>NA</v>
      </c>
      <c r="AD2035" s="29" t="str">
        <f t="shared" si="680"/>
        <v>NA</v>
      </c>
      <c r="AE2035" s="29" t="str">
        <f t="shared" si="681"/>
        <v>NA</v>
      </c>
      <c r="AF2035" s="29" t="str">
        <f t="shared" si="682"/>
        <v>NA</v>
      </c>
      <c r="AG2035" s="29" t="str">
        <f t="shared" si="683"/>
        <v>NA</v>
      </c>
      <c r="AH2035" s="29" t="str">
        <f t="shared" si="684"/>
        <v>NA</v>
      </c>
    </row>
    <row r="2036" customHeight="1" spans="1:34">
      <c r="A2036" s="12" t="s">
        <v>1043</v>
      </c>
      <c r="F2036" s="24">
        <f t="shared" si="666"/>
        <v>0</v>
      </c>
      <c r="G2036" s="24" t="e">
        <f t="shared" si="665"/>
        <v>#DIV/0!</v>
      </c>
      <c r="Q2036" s="29" t="str">
        <f t="shared" si="667"/>
        <v>NA</v>
      </c>
      <c r="R2036" s="29" t="str">
        <f t="shared" si="668"/>
        <v>NA</v>
      </c>
      <c r="S2036" s="29" t="str">
        <f t="shared" si="669"/>
        <v>NA</v>
      </c>
      <c r="T2036" s="29" t="str">
        <f t="shared" si="670"/>
        <v>NA</v>
      </c>
      <c r="U2036" s="29" t="str">
        <f t="shared" si="671"/>
        <v>NA</v>
      </c>
      <c r="V2036" s="29" t="str">
        <f t="shared" si="672"/>
        <v>NA</v>
      </c>
      <c r="W2036" s="29" t="str">
        <f t="shared" si="673"/>
        <v>NA</v>
      </c>
      <c r="X2036" s="29" t="str">
        <f t="shared" si="674"/>
        <v>NA</v>
      </c>
      <c r="Y2036" s="29" t="str">
        <f t="shared" si="675"/>
        <v>NA</v>
      </c>
      <c r="Z2036" s="29" t="str">
        <f t="shared" si="676"/>
        <v>NA</v>
      </c>
      <c r="AA2036" s="29" t="str">
        <f t="shared" si="677"/>
        <v>NA</v>
      </c>
      <c r="AB2036" s="29" t="str">
        <f t="shared" si="678"/>
        <v>NA</v>
      </c>
      <c r="AC2036" s="29" t="str">
        <f t="shared" si="679"/>
        <v>NA</v>
      </c>
      <c r="AD2036" s="29" t="str">
        <f t="shared" si="680"/>
        <v>NA</v>
      </c>
      <c r="AE2036" s="29" t="str">
        <f t="shared" si="681"/>
        <v>NA</v>
      </c>
      <c r="AF2036" s="29" t="str">
        <f t="shared" si="682"/>
        <v>NA</v>
      </c>
      <c r="AG2036" s="29" t="str">
        <f t="shared" si="683"/>
        <v>NA</v>
      </c>
      <c r="AH2036" s="29" t="str">
        <f t="shared" si="684"/>
        <v>NA</v>
      </c>
    </row>
    <row r="2037" customHeight="1" spans="1:34">
      <c r="A2037" s="12" t="s">
        <v>1043</v>
      </c>
      <c r="F2037" s="24">
        <f t="shared" si="666"/>
        <v>0</v>
      </c>
      <c r="G2037" s="24" t="e">
        <f t="shared" si="665"/>
        <v>#DIV/0!</v>
      </c>
      <c r="Q2037" s="29" t="str">
        <f t="shared" si="667"/>
        <v>NA</v>
      </c>
      <c r="R2037" s="29" t="str">
        <f t="shared" si="668"/>
        <v>NA</v>
      </c>
      <c r="S2037" s="29" t="str">
        <f t="shared" si="669"/>
        <v>NA</v>
      </c>
      <c r="T2037" s="29" t="str">
        <f t="shared" si="670"/>
        <v>NA</v>
      </c>
      <c r="U2037" s="29" t="str">
        <f t="shared" si="671"/>
        <v>NA</v>
      </c>
      <c r="V2037" s="29" t="str">
        <f t="shared" si="672"/>
        <v>NA</v>
      </c>
      <c r="W2037" s="29" t="str">
        <f t="shared" si="673"/>
        <v>NA</v>
      </c>
      <c r="X2037" s="29" t="str">
        <f t="shared" si="674"/>
        <v>NA</v>
      </c>
      <c r="Y2037" s="29" t="str">
        <f t="shared" si="675"/>
        <v>NA</v>
      </c>
      <c r="Z2037" s="29" t="str">
        <f t="shared" si="676"/>
        <v>NA</v>
      </c>
      <c r="AA2037" s="29" t="str">
        <f t="shared" si="677"/>
        <v>NA</v>
      </c>
      <c r="AB2037" s="29" t="str">
        <f t="shared" si="678"/>
        <v>NA</v>
      </c>
      <c r="AC2037" s="29" t="str">
        <f t="shared" si="679"/>
        <v>NA</v>
      </c>
      <c r="AD2037" s="29" t="str">
        <f t="shared" si="680"/>
        <v>NA</v>
      </c>
      <c r="AE2037" s="29" t="str">
        <f t="shared" si="681"/>
        <v>NA</v>
      </c>
      <c r="AF2037" s="29" t="str">
        <f t="shared" si="682"/>
        <v>NA</v>
      </c>
      <c r="AG2037" s="29" t="str">
        <f t="shared" si="683"/>
        <v>NA</v>
      </c>
      <c r="AH2037" s="29" t="str">
        <f t="shared" si="684"/>
        <v>NA</v>
      </c>
    </row>
    <row r="2038" customHeight="1" spans="1:34">
      <c r="A2038" s="12" t="s">
        <v>1043</v>
      </c>
      <c r="F2038" s="24">
        <f t="shared" si="666"/>
        <v>0</v>
      </c>
      <c r="G2038" s="24" t="e">
        <f t="shared" si="665"/>
        <v>#DIV/0!</v>
      </c>
      <c r="Q2038" s="29" t="str">
        <f t="shared" si="667"/>
        <v>NA</v>
      </c>
      <c r="R2038" s="29" t="str">
        <f t="shared" si="668"/>
        <v>NA</v>
      </c>
      <c r="S2038" s="29" t="str">
        <f t="shared" si="669"/>
        <v>NA</v>
      </c>
      <c r="T2038" s="29" t="str">
        <f t="shared" si="670"/>
        <v>NA</v>
      </c>
      <c r="U2038" s="29" t="str">
        <f t="shared" si="671"/>
        <v>NA</v>
      </c>
      <c r="V2038" s="29" t="str">
        <f t="shared" si="672"/>
        <v>NA</v>
      </c>
      <c r="W2038" s="29" t="str">
        <f t="shared" si="673"/>
        <v>NA</v>
      </c>
      <c r="X2038" s="29" t="str">
        <f t="shared" si="674"/>
        <v>NA</v>
      </c>
      <c r="Y2038" s="29" t="str">
        <f t="shared" si="675"/>
        <v>NA</v>
      </c>
      <c r="Z2038" s="29" t="str">
        <f t="shared" si="676"/>
        <v>NA</v>
      </c>
      <c r="AA2038" s="29" t="str">
        <f t="shared" si="677"/>
        <v>NA</v>
      </c>
      <c r="AB2038" s="29" t="str">
        <f t="shared" si="678"/>
        <v>NA</v>
      </c>
      <c r="AC2038" s="29" t="str">
        <f t="shared" si="679"/>
        <v>NA</v>
      </c>
      <c r="AD2038" s="29" t="str">
        <f t="shared" si="680"/>
        <v>NA</v>
      </c>
      <c r="AE2038" s="29" t="str">
        <f t="shared" si="681"/>
        <v>NA</v>
      </c>
      <c r="AF2038" s="29" t="str">
        <f t="shared" si="682"/>
        <v>NA</v>
      </c>
      <c r="AG2038" s="29" t="str">
        <f t="shared" si="683"/>
        <v>NA</v>
      </c>
      <c r="AH2038" s="29" t="str">
        <f t="shared" si="684"/>
        <v>NA</v>
      </c>
    </row>
    <row r="2039" customHeight="1" spans="1:34">
      <c r="A2039" s="12" t="s">
        <v>1043</v>
      </c>
      <c r="F2039" s="24">
        <f t="shared" si="666"/>
        <v>0</v>
      </c>
      <c r="G2039" s="24" t="e">
        <f t="shared" si="665"/>
        <v>#DIV/0!</v>
      </c>
      <c r="Q2039" s="29" t="str">
        <f t="shared" si="667"/>
        <v>NA</v>
      </c>
      <c r="R2039" s="29" t="str">
        <f t="shared" si="668"/>
        <v>NA</v>
      </c>
      <c r="S2039" s="29" t="str">
        <f t="shared" si="669"/>
        <v>NA</v>
      </c>
      <c r="T2039" s="29" t="str">
        <f t="shared" si="670"/>
        <v>NA</v>
      </c>
      <c r="U2039" s="29" t="str">
        <f t="shared" si="671"/>
        <v>NA</v>
      </c>
      <c r="V2039" s="29" t="str">
        <f t="shared" si="672"/>
        <v>NA</v>
      </c>
      <c r="W2039" s="29" t="str">
        <f t="shared" si="673"/>
        <v>NA</v>
      </c>
      <c r="X2039" s="29" t="str">
        <f t="shared" si="674"/>
        <v>NA</v>
      </c>
      <c r="Y2039" s="29" t="str">
        <f t="shared" si="675"/>
        <v>NA</v>
      </c>
      <c r="Z2039" s="29" t="str">
        <f t="shared" si="676"/>
        <v>NA</v>
      </c>
      <c r="AA2039" s="29" t="str">
        <f t="shared" si="677"/>
        <v>NA</v>
      </c>
      <c r="AB2039" s="29" t="str">
        <f t="shared" si="678"/>
        <v>NA</v>
      </c>
      <c r="AC2039" s="29" t="str">
        <f t="shared" si="679"/>
        <v>NA</v>
      </c>
      <c r="AD2039" s="29" t="str">
        <f t="shared" si="680"/>
        <v>NA</v>
      </c>
      <c r="AE2039" s="29" t="str">
        <f t="shared" si="681"/>
        <v>NA</v>
      </c>
      <c r="AF2039" s="29" t="str">
        <f t="shared" si="682"/>
        <v>NA</v>
      </c>
      <c r="AG2039" s="29" t="str">
        <f t="shared" si="683"/>
        <v>NA</v>
      </c>
      <c r="AH2039" s="29" t="str">
        <f t="shared" si="684"/>
        <v>NA</v>
      </c>
    </row>
    <row r="2040" customHeight="1" spans="1:34">
      <c r="A2040" s="12" t="s">
        <v>1043</v>
      </c>
      <c r="F2040" s="24">
        <f t="shared" si="666"/>
        <v>0</v>
      </c>
      <c r="G2040" s="24" t="e">
        <f t="shared" si="665"/>
        <v>#DIV/0!</v>
      </c>
      <c r="Q2040" s="29" t="str">
        <f t="shared" si="667"/>
        <v>NA</v>
      </c>
      <c r="R2040" s="29" t="str">
        <f t="shared" si="668"/>
        <v>NA</v>
      </c>
      <c r="S2040" s="29" t="str">
        <f t="shared" si="669"/>
        <v>NA</v>
      </c>
      <c r="T2040" s="29" t="str">
        <f t="shared" si="670"/>
        <v>NA</v>
      </c>
      <c r="U2040" s="29" t="str">
        <f t="shared" si="671"/>
        <v>NA</v>
      </c>
      <c r="V2040" s="29" t="str">
        <f t="shared" si="672"/>
        <v>NA</v>
      </c>
      <c r="W2040" s="29" t="str">
        <f t="shared" si="673"/>
        <v>NA</v>
      </c>
      <c r="X2040" s="29" t="str">
        <f t="shared" si="674"/>
        <v>NA</v>
      </c>
      <c r="Y2040" s="29" t="str">
        <f t="shared" si="675"/>
        <v>NA</v>
      </c>
      <c r="Z2040" s="29" t="str">
        <f t="shared" si="676"/>
        <v>NA</v>
      </c>
      <c r="AA2040" s="29" t="str">
        <f t="shared" si="677"/>
        <v>NA</v>
      </c>
      <c r="AB2040" s="29" t="str">
        <f t="shared" si="678"/>
        <v>NA</v>
      </c>
      <c r="AC2040" s="29" t="str">
        <f t="shared" si="679"/>
        <v>NA</v>
      </c>
      <c r="AD2040" s="29" t="str">
        <f t="shared" si="680"/>
        <v>NA</v>
      </c>
      <c r="AE2040" s="29" t="str">
        <f t="shared" si="681"/>
        <v>NA</v>
      </c>
      <c r="AF2040" s="29" t="str">
        <f t="shared" si="682"/>
        <v>NA</v>
      </c>
      <c r="AG2040" s="29" t="str">
        <f t="shared" si="683"/>
        <v>NA</v>
      </c>
      <c r="AH2040" s="29" t="str">
        <f t="shared" si="684"/>
        <v>NA</v>
      </c>
    </row>
    <row r="2041" customHeight="1" spans="1:34">
      <c r="A2041" s="12" t="s">
        <v>1043</v>
      </c>
      <c r="F2041" s="24">
        <f t="shared" si="666"/>
        <v>0</v>
      </c>
      <c r="G2041" s="24" t="e">
        <f t="shared" si="665"/>
        <v>#DIV/0!</v>
      </c>
      <c r="Q2041" s="29" t="str">
        <f t="shared" si="667"/>
        <v>NA</v>
      </c>
      <c r="R2041" s="29" t="str">
        <f t="shared" si="668"/>
        <v>NA</v>
      </c>
      <c r="S2041" s="29" t="str">
        <f t="shared" si="669"/>
        <v>NA</v>
      </c>
      <c r="T2041" s="29" t="str">
        <f t="shared" si="670"/>
        <v>NA</v>
      </c>
      <c r="U2041" s="29" t="str">
        <f t="shared" si="671"/>
        <v>NA</v>
      </c>
      <c r="V2041" s="29" t="str">
        <f t="shared" si="672"/>
        <v>NA</v>
      </c>
      <c r="W2041" s="29" t="str">
        <f t="shared" si="673"/>
        <v>NA</v>
      </c>
      <c r="X2041" s="29" t="str">
        <f t="shared" si="674"/>
        <v>NA</v>
      </c>
      <c r="Y2041" s="29" t="str">
        <f t="shared" si="675"/>
        <v>NA</v>
      </c>
      <c r="Z2041" s="29" t="str">
        <f t="shared" si="676"/>
        <v>NA</v>
      </c>
      <c r="AA2041" s="29" t="str">
        <f t="shared" si="677"/>
        <v>NA</v>
      </c>
      <c r="AB2041" s="29" t="str">
        <f t="shared" si="678"/>
        <v>NA</v>
      </c>
      <c r="AC2041" s="29" t="str">
        <f t="shared" si="679"/>
        <v>NA</v>
      </c>
      <c r="AD2041" s="29" t="str">
        <f t="shared" si="680"/>
        <v>NA</v>
      </c>
      <c r="AE2041" s="29" t="str">
        <f t="shared" si="681"/>
        <v>NA</v>
      </c>
      <c r="AF2041" s="29" t="str">
        <f t="shared" si="682"/>
        <v>NA</v>
      </c>
      <c r="AG2041" s="29" t="str">
        <f t="shared" si="683"/>
        <v>NA</v>
      </c>
      <c r="AH2041" s="29" t="str">
        <f t="shared" si="684"/>
        <v>NA</v>
      </c>
    </row>
    <row r="2042" customHeight="1" spans="1:34">
      <c r="A2042" s="12" t="s">
        <v>1043</v>
      </c>
      <c r="F2042" s="24">
        <f t="shared" si="666"/>
        <v>0</v>
      </c>
      <c r="G2042" s="24" t="e">
        <f t="shared" si="665"/>
        <v>#DIV/0!</v>
      </c>
      <c r="Q2042" s="29" t="str">
        <f t="shared" si="667"/>
        <v>NA</v>
      </c>
      <c r="R2042" s="29" t="str">
        <f t="shared" si="668"/>
        <v>NA</v>
      </c>
      <c r="S2042" s="29" t="str">
        <f t="shared" si="669"/>
        <v>NA</v>
      </c>
      <c r="T2042" s="29" t="str">
        <f t="shared" si="670"/>
        <v>NA</v>
      </c>
      <c r="U2042" s="29" t="str">
        <f t="shared" si="671"/>
        <v>NA</v>
      </c>
      <c r="V2042" s="29" t="str">
        <f t="shared" si="672"/>
        <v>NA</v>
      </c>
      <c r="W2042" s="29" t="str">
        <f t="shared" si="673"/>
        <v>NA</v>
      </c>
      <c r="X2042" s="29" t="str">
        <f t="shared" si="674"/>
        <v>NA</v>
      </c>
      <c r="Y2042" s="29" t="str">
        <f t="shared" si="675"/>
        <v>NA</v>
      </c>
      <c r="Z2042" s="29" t="str">
        <f t="shared" si="676"/>
        <v>NA</v>
      </c>
      <c r="AA2042" s="29" t="str">
        <f t="shared" si="677"/>
        <v>NA</v>
      </c>
      <c r="AB2042" s="29" t="str">
        <f t="shared" si="678"/>
        <v>NA</v>
      </c>
      <c r="AC2042" s="29" t="str">
        <f t="shared" si="679"/>
        <v>NA</v>
      </c>
      <c r="AD2042" s="29" t="str">
        <f t="shared" si="680"/>
        <v>NA</v>
      </c>
      <c r="AE2042" s="29" t="str">
        <f t="shared" si="681"/>
        <v>NA</v>
      </c>
      <c r="AF2042" s="29" t="str">
        <f t="shared" si="682"/>
        <v>NA</v>
      </c>
      <c r="AG2042" s="29" t="str">
        <f t="shared" si="683"/>
        <v>NA</v>
      </c>
      <c r="AH2042" s="29" t="str">
        <f t="shared" si="684"/>
        <v>NA</v>
      </c>
    </row>
    <row r="2043" customHeight="1" spans="1:34">
      <c r="A2043" s="12" t="s">
        <v>1043</v>
      </c>
      <c r="F2043" s="24">
        <f t="shared" si="666"/>
        <v>0</v>
      </c>
      <c r="G2043" s="24" t="e">
        <f t="shared" si="665"/>
        <v>#DIV/0!</v>
      </c>
      <c r="Q2043" s="29" t="str">
        <f t="shared" si="667"/>
        <v>NA</v>
      </c>
      <c r="R2043" s="29" t="str">
        <f t="shared" si="668"/>
        <v>NA</v>
      </c>
      <c r="S2043" s="29" t="str">
        <f t="shared" si="669"/>
        <v>NA</v>
      </c>
      <c r="T2043" s="29" t="str">
        <f t="shared" si="670"/>
        <v>NA</v>
      </c>
      <c r="U2043" s="29" t="str">
        <f t="shared" si="671"/>
        <v>NA</v>
      </c>
      <c r="V2043" s="29" t="str">
        <f t="shared" si="672"/>
        <v>NA</v>
      </c>
      <c r="W2043" s="29" t="str">
        <f t="shared" si="673"/>
        <v>NA</v>
      </c>
      <c r="X2043" s="29" t="str">
        <f t="shared" si="674"/>
        <v>NA</v>
      </c>
      <c r="Y2043" s="29" t="str">
        <f t="shared" si="675"/>
        <v>NA</v>
      </c>
      <c r="Z2043" s="29" t="str">
        <f t="shared" si="676"/>
        <v>NA</v>
      </c>
      <c r="AA2043" s="29" t="str">
        <f t="shared" si="677"/>
        <v>NA</v>
      </c>
      <c r="AB2043" s="29" t="str">
        <f t="shared" si="678"/>
        <v>NA</v>
      </c>
      <c r="AC2043" s="29" t="str">
        <f t="shared" si="679"/>
        <v>NA</v>
      </c>
      <c r="AD2043" s="29" t="str">
        <f t="shared" si="680"/>
        <v>NA</v>
      </c>
      <c r="AE2043" s="29" t="str">
        <f t="shared" si="681"/>
        <v>NA</v>
      </c>
      <c r="AF2043" s="29" t="str">
        <f t="shared" si="682"/>
        <v>NA</v>
      </c>
      <c r="AG2043" s="29" t="str">
        <f t="shared" si="683"/>
        <v>NA</v>
      </c>
      <c r="AH2043" s="29" t="str">
        <f t="shared" si="684"/>
        <v>NA</v>
      </c>
    </row>
    <row r="2044" customHeight="1" spans="1:34">
      <c r="A2044" s="12" t="s">
        <v>1043</v>
      </c>
      <c r="F2044" s="24">
        <f t="shared" si="666"/>
        <v>0</v>
      </c>
      <c r="G2044" s="24" t="e">
        <f t="shared" si="665"/>
        <v>#DIV/0!</v>
      </c>
      <c r="Q2044" s="29" t="str">
        <f t="shared" si="667"/>
        <v>NA</v>
      </c>
      <c r="R2044" s="29" t="str">
        <f t="shared" si="668"/>
        <v>NA</v>
      </c>
      <c r="S2044" s="29" t="str">
        <f t="shared" si="669"/>
        <v>NA</v>
      </c>
      <c r="T2044" s="29" t="str">
        <f t="shared" si="670"/>
        <v>NA</v>
      </c>
      <c r="U2044" s="29" t="str">
        <f t="shared" si="671"/>
        <v>NA</v>
      </c>
      <c r="V2044" s="29" t="str">
        <f t="shared" si="672"/>
        <v>NA</v>
      </c>
      <c r="W2044" s="29" t="str">
        <f t="shared" si="673"/>
        <v>NA</v>
      </c>
      <c r="X2044" s="29" t="str">
        <f t="shared" si="674"/>
        <v>NA</v>
      </c>
      <c r="Y2044" s="29" t="str">
        <f t="shared" si="675"/>
        <v>NA</v>
      </c>
      <c r="Z2044" s="29" t="str">
        <f t="shared" si="676"/>
        <v>NA</v>
      </c>
      <c r="AA2044" s="29" t="str">
        <f t="shared" si="677"/>
        <v>NA</v>
      </c>
      <c r="AB2044" s="29" t="str">
        <f t="shared" si="678"/>
        <v>NA</v>
      </c>
      <c r="AC2044" s="29" t="str">
        <f t="shared" si="679"/>
        <v>NA</v>
      </c>
      <c r="AD2044" s="29" t="str">
        <f t="shared" si="680"/>
        <v>NA</v>
      </c>
      <c r="AE2044" s="29" t="str">
        <f t="shared" si="681"/>
        <v>NA</v>
      </c>
      <c r="AF2044" s="29" t="str">
        <f t="shared" si="682"/>
        <v>NA</v>
      </c>
      <c r="AG2044" s="29" t="str">
        <f t="shared" si="683"/>
        <v>NA</v>
      </c>
      <c r="AH2044" s="29" t="str">
        <f t="shared" si="684"/>
        <v>NA</v>
      </c>
    </row>
    <row r="2045" customHeight="1" spans="1:34">
      <c r="A2045" s="12" t="s">
        <v>1043</v>
      </c>
      <c r="F2045" s="24">
        <f t="shared" si="666"/>
        <v>0</v>
      </c>
      <c r="G2045" s="24" t="e">
        <f t="shared" si="665"/>
        <v>#DIV/0!</v>
      </c>
      <c r="Q2045" s="29" t="str">
        <f t="shared" si="667"/>
        <v>NA</v>
      </c>
      <c r="R2045" s="29" t="str">
        <f t="shared" si="668"/>
        <v>NA</v>
      </c>
      <c r="S2045" s="29" t="str">
        <f t="shared" si="669"/>
        <v>NA</v>
      </c>
      <c r="T2045" s="29" t="str">
        <f t="shared" si="670"/>
        <v>NA</v>
      </c>
      <c r="U2045" s="29" t="str">
        <f t="shared" si="671"/>
        <v>NA</v>
      </c>
      <c r="V2045" s="29" t="str">
        <f t="shared" si="672"/>
        <v>NA</v>
      </c>
      <c r="W2045" s="29" t="str">
        <f t="shared" si="673"/>
        <v>NA</v>
      </c>
      <c r="X2045" s="29" t="str">
        <f t="shared" si="674"/>
        <v>NA</v>
      </c>
      <c r="Y2045" s="29" t="str">
        <f t="shared" si="675"/>
        <v>NA</v>
      </c>
      <c r="Z2045" s="29" t="str">
        <f t="shared" si="676"/>
        <v>NA</v>
      </c>
      <c r="AA2045" s="29" t="str">
        <f t="shared" si="677"/>
        <v>NA</v>
      </c>
      <c r="AB2045" s="29" t="str">
        <f t="shared" si="678"/>
        <v>NA</v>
      </c>
      <c r="AC2045" s="29" t="str">
        <f t="shared" si="679"/>
        <v>NA</v>
      </c>
      <c r="AD2045" s="29" t="str">
        <f t="shared" si="680"/>
        <v>NA</v>
      </c>
      <c r="AE2045" s="29" t="str">
        <f t="shared" si="681"/>
        <v>NA</v>
      </c>
      <c r="AF2045" s="29" t="str">
        <f t="shared" si="682"/>
        <v>NA</v>
      </c>
      <c r="AG2045" s="29" t="str">
        <f t="shared" si="683"/>
        <v>NA</v>
      </c>
      <c r="AH2045" s="29" t="str">
        <f t="shared" si="684"/>
        <v>NA</v>
      </c>
    </row>
    <row r="2046" customHeight="1" spans="1:34">
      <c r="A2046" s="12" t="s">
        <v>1043</v>
      </c>
      <c r="F2046" s="24">
        <f t="shared" si="666"/>
        <v>0</v>
      </c>
      <c r="G2046" s="24" t="e">
        <f t="shared" si="665"/>
        <v>#DIV/0!</v>
      </c>
      <c r="Q2046" s="29" t="str">
        <f t="shared" si="667"/>
        <v>NA</v>
      </c>
      <c r="R2046" s="29" t="str">
        <f t="shared" si="668"/>
        <v>NA</v>
      </c>
      <c r="S2046" s="29" t="str">
        <f t="shared" si="669"/>
        <v>NA</v>
      </c>
      <c r="T2046" s="29" t="str">
        <f t="shared" si="670"/>
        <v>NA</v>
      </c>
      <c r="U2046" s="29" t="str">
        <f t="shared" si="671"/>
        <v>NA</v>
      </c>
      <c r="V2046" s="29" t="str">
        <f t="shared" si="672"/>
        <v>NA</v>
      </c>
      <c r="W2046" s="29" t="str">
        <f t="shared" si="673"/>
        <v>NA</v>
      </c>
      <c r="X2046" s="29" t="str">
        <f t="shared" si="674"/>
        <v>NA</v>
      </c>
      <c r="Y2046" s="29" t="str">
        <f t="shared" si="675"/>
        <v>NA</v>
      </c>
      <c r="Z2046" s="29" t="str">
        <f t="shared" si="676"/>
        <v>NA</v>
      </c>
      <c r="AA2046" s="29" t="str">
        <f t="shared" si="677"/>
        <v>NA</v>
      </c>
      <c r="AB2046" s="29" t="str">
        <f t="shared" si="678"/>
        <v>NA</v>
      </c>
      <c r="AC2046" s="29" t="str">
        <f t="shared" si="679"/>
        <v>NA</v>
      </c>
      <c r="AD2046" s="29" t="str">
        <f t="shared" si="680"/>
        <v>NA</v>
      </c>
      <c r="AE2046" s="29" t="str">
        <f t="shared" si="681"/>
        <v>NA</v>
      </c>
      <c r="AF2046" s="29" t="str">
        <f t="shared" si="682"/>
        <v>NA</v>
      </c>
      <c r="AG2046" s="29" t="str">
        <f t="shared" si="683"/>
        <v>NA</v>
      </c>
      <c r="AH2046" s="29" t="str">
        <f t="shared" si="684"/>
        <v>NA</v>
      </c>
    </row>
    <row r="2047" customHeight="1" spans="1:34">
      <c r="A2047" s="12" t="s">
        <v>1043</v>
      </c>
      <c r="F2047" s="24">
        <f t="shared" si="666"/>
        <v>0</v>
      </c>
      <c r="G2047" s="24" t="e">
        <f t="shared" si="665"/>
        <v>#DIV/0!</v>
      </c>
      <c r="Q2047" s="29" t="str">
        <f t="shared" si="667"/>
        <v>NA</v>
      </c>
      <c r="R2047" s="29" t="str">
        <f t="shared" si="668"/>
        <v>NA</v>
      </c>
      <c r="S2047" s="29" t="str">
        <f t="shared" si="669"/>
        <v>NA</v>
      </c>
      <c r="T2047" s="29" t="str">
        <f t="shared" si="670"/>
        <v>NA</v>
      </c>
      <c r="U2047" s="29" t="str">
        <f t="shared" si="671"/>
        <v>NA</v>
      </c>
      <c r="V2047" s="29" t="str">
        <f t="shared" si="672"/>
        <v>NA</v>
      </c>
      <c r="W2047" s="29" t="str">
        <f t="shared" si="673"/>
        <v>NA</v>
      </c>
      <c r="X2047" s="29" t="str">
        <f t="shared" si="674"/>
        <v>NA</v>
      </c>
      <c r="Y2047" s="29" t="str">
        <f t="shared" si="675"/>
        <v>NA</v>
      </c>
      <c r="Z2047" s="29" t="str">
        <f t="shared" si="676"/>
        <v>NA</v>
      </c>
      <c r="AA2047" s="29" t="str">
        <f t="shared" si="677"/>
        <v>NA</v>
      </c>
      <c r="AB2047" s="29" t="str">
        <f t="shared" si="678"/>
        <v>NA</v>
      </c>
      <c r="AC2047" s="29" t="str">
        <f t="shared" si="679"/>
        <v>NA</v>
      </c>
      <c r="AD2047" s="29" t="str">
        <f t="shared" si="680"/>
        <v>NA</v>
      </c>
      <c r="AE2047" s="29" t="str">
        <f t="shared" si="681"/>
        <v>NA</v>
      </c>
      <c r="AF2047" s="29" t="str">
        <f t="shared" si="682"/>
        <v>NA</v>
      </c>
      <c r="AG2047" s="29" t="str">
        <f t="shared" si="683"/>
        <v>NA</v>
      </c>
      <c r="AH2047" s="29" t="str">
        <f t="shared" si="684"/>
        <v>NA</v>
      </c>
    </row>
    <row r="2048" customHeight="1" spans="1:34">
      <c r="A2048" s="12" t="s">
        <v>1043</v>
      </c>
      <c r="F2048" s="24">
        <f t="shared" si="666"/>
        <v>0</v>
      </c>
      <c r="G2048" s="24" t="e">
        <f t="shared" si="665"/>
        <v>#DIV/0!</v>
      </c>
      <c r="Q2048" s="29" t="str">
        <f t="shared" si="667"/>
        <v>NA</v>
      </c>
      <c r="R2048" s="29" t="str">
        <f t="shared" si="668"/>
        <v>NA</v>
      </c>
      <c r="S2048" s="29" t="str">
        <f t="shared" si="669"/>
        <v>NA</v>
      </c>
      <c r="T2048" s="29" t="str">
        <f t="shared" si="670"/>
        <v>NA</v>
      </c>
      <c r="U2048" s="29" t="str">
        <f t="shared" si="671"/>
        <v>NA</v>
      </c>
      <c r="V2048" s="29" t="str">
        <f t="shared" si="672"/>
        <v>NA</v>
      </c>
      <c r="W2048" s="29" t="str">
        <f t="shared" si="673"/>
        <v>NA</v>
      </c>
      <c r="X2048" s="29" t="str">
        <f t="shared" si="674"/>
        <v>NA</v>
      </c>
      <c r="Y2048" s="29" t="str">
        <f t="shared" si="675"/>
        <v>NA</v>
      </c>
      <c r="Z2048" s="29" t="str">
        <f t="shared" si="676"/>
        <v>NA</v>
      </c>
      <c r="AA2048" s="29" t="str">
        <f t="shared" si="677"/>
        <v>NA</v>
      </c>
      <c r="AB2048" s="29" t="str">
        <f t="shared" si="678"/>
        <v>NA</v>
      </c>
      <c r="AC2048" s="29" t="str">
        <f t="shared" si="679"/>
        <v>NA</v>
      </c>
      <c r="AD2048" s="29" t="str">
        <f t="shared" si="680"/>
        <v>NA</v>
      </c>
      <c r="AE2048" s="29" t="str">
        <f t="shared" si="681"/>
        <v>NA</v>
      </c>
      <c r="AF2048" s="29" t="str">
        <f t="shared" si="682"/>
        <v>NA</v>
      </c>
      <c r="AG2048" s="29" t="str">
        <f t="shared" si="683"/>
        <v>NA</v>
      </c>
      <c r="AH2048" s="29" t="str">
        <f t="shared" si="684"/>
        <v>NA</v>
      </c>
    </row>
    <row r="2049" customHeight="1" spans="1:34">
      <c r="A2049" s="12" t="s">
        <v>1043</v>
      </c>
      <c r="F2049" s="24">
        <f t="shared" si="666"/>
        <v>0</v>
      </c>
      <c r="G2049" s="24" t="e">
        <f t="shared" si="665"/>
        <v>#DIV/0!</v>
      </c>
      <c r="Q2049" s="29" t="str">
        <f t="shared" si="667"/>
        <v>NA</v>
      </c>
      <c r="R2049" s="29" t="str">
        <f t="shared" si="668"/>
        <v>NA</v>
      </c>
      <c r="S2049" s="29" t="str">
        <f t="shared" si="669"/>
        <v>NA</v>
      </c>
      <c r="T2049" s="29" t="str">
        <f t="shared" si="670"/>
        <v>NA</v>
      </c>
      <c r="U2049" s="29" t="str">
        <f t="shared" si="671"/>
        <v>NA</v>
      </c>
      <c r="V2049" s="29" t="str">
        <f t="shared" si="672"/>
        <v>NA</v>
      </c>
      <c r="W2049" s="29" t="str">
        <f t="shared" si="673"/>
        <v>NA</v>
      </c>
      <c r="X2049" s="29" t="str">
        <f t="shared" si="674"/>
        <v>NA</v>
      </c>
      <c r="Y2049" s="29" t="str">
        <f t="shared" si="675"/>
        <v>NA</v>
      </c>
      <c r="Z2049" s="29" t="str">
        <f t="shared" si="676"/>
        <v>NA</v>
      </c>
      <c r="AA2049" s="29" t="str">
        <f t="shared" si="677"/>
        <v>NA</v>
      </c>
      <c r="AB2049" s="29" t="str">
        <f t="shared" si="678"/>
        <v>NA</v>
      </c>
      <c r="AC2049" s="29" t="str">
        <f t="shared" si="679"/>
        <v>NA</v>
      </c>
      <c r="AD2049" s="29" t="str">
        <f t="shared" si="680"/>
        <v>NA</v>
      </c>
      <c r="AE2049" s="29" t="str">
        <f t="shared" si="681"/>
        <v>NA</v>
      </c>
      <c r="AF2049" s="29" t="str">
        <f t="shared" si="682"/>
        <v>NA</v>
      </c>
      <c r="AG2049" s="29" t="str">
        <f t="shared" si="683"/>
        <v>NA</v>
      </c>
      <c r="AH2049" s="29" t="str">
        <f t="shared" si="684"/>
        <v>NA</v>
      </c>
    </row>
    <row r="2050" customHeight="1" spans="1:34">
      <c r="A2050" s="12" t="s">
        <v>1043</v>
      </c>
      <c r="F2050" s="24">
        <f t="shared" si="666"/>
        <v>0</v>
      </c>
      <c r="G2050" s="24" t="e">
        <f t="shared" si="665"/>
        <v>#DIV/0!</v>
      </c>
      <c r="Q2050" s="29" t="str">
        <f t="shared" si="667"/>
        <v>NA</v>
      </c>
      <c r="R2050" s="29" t="str">
        <f t="shared" si="668"/>
        <v>NA</v>
      </c>
      <c r="S2050" s="29" t="str">
        <f t="shared" si="669"/>
        <v>NA</v>
      </c>
      <c r="T2050" s="29" t="str">
        <f t="shared" si="670"/>
        <v>NA</v>
      </c>
      <c r="U2050" s="29" t="str">
        <f t="shared" si="671"/>
        <v>NA</v>
      </c>
      <c r="V2050" s="29" t="str">
        <f t="shared" si="672"/>
        <v>NA</v>
      </c>
      <c r="W2050" s="29" t="str">
        <f t="shared" si="673"/>
        <v>NA</v>
      </c>
      <c r="X2050" s="29" t="str">
        <f t="shared" si="674"/>
        <v>NA</v>
      </c>
      <c r="Y2050" s="29" t="str">
        <f t="shared" si="675"/>
        <v>NA</v>
      </c>
      <c r="Z2050" s="29" t="str">
        <f t="shared" si="676"/>
        <v>NA</v>
      </c>
      <c r="AA2050" s="29" t="str">
        <f t="shared" si="677"/>
        <v>NA</v>
      </c>
      <c r="AB2050" s="29" t="str">
        <f t="shared" si="678"/>
        <v>NA</v>
      </c>
      <c r="AC2050" s="29" t="str">
        <f t="shared" si="679"/>
        <v>NA</v>
      </c>
      <c r="AD2050" s="29" t="str">
        <f t="shared" si="680"/>
        <v>NA</v>
      </c>
      <c r="AE2050" s="29" t="str">
        <f t="shared" si="681"/>
        <v>NA</v>
      </c>
      <c r="AF2050" s="29" t="str">
        <f t="shared" si="682"/>
        <v>NA</v>
      </c>
      <c r="AG2050" s="29" t="str">
        <f t="shared" si="683"/>
        <v>NA</v>
      </c>
      <c r="AH2050" s="29" t="str">
        <f t="shared" si="684"/>
        <v>NA</v>
      </c>
    </row>
    <row r="2051" customHeight="1" spans="1:34">
      <c r="A2051" s="12" t="s">
        <v>1043</v>
      </c>
      <c r="F2051" s="24">
        <f t="shared" si="666"/>
        <v>0</v>
      </c>
      <c r="G2051" s="24" t="e">
        <f t="shared" si="665"/>
        <v>#DIV/0!</v>
      </c>
      <c r="Q2051" s="29" t="str">
        <f t="shared" si="667"/>
        <v>NA</v>
      </c>
      <c r="R2051" s="29" t="str">
        <f t="shared" si="668"/>
        <v>NA</v>
      </c>
      <c r="S2051" s="29" t="str">
        <f t="shared" si="669"/>
        <v>NA</v>
      </c>
      <c r="T2051" s="29" t="str">
        <f t="shared" si="670"/>
        <v>NA</v>
      </c>
      <c r="U2051" s="29" t="str">
        <f t="shared" si="671"/>
        <v>NA</v>
      </c>
      <c r="V2051" s="29" t="str">
        <f t="shared" si="672"/>
        <v>NA</v>
      </c>
      <c r="W2051" s="29" t="str">
        <f t="shared" si="673"/>
        <v>NA</v>
      </c>
      <c r="X2051" s="29" t="str">
        <f t="shared" si="674"/>
        <v>NA</v>
      </c>
      <c r="Y2051" s="29" t="str">
        <f t="shared" si="675"/>
        <v>NA</v>
      </c>
      <c r="Z2051" s="29" t="str">
        <f t="shared" si="676"/>
        <v>NA</v>
      </c>
      <c r="AA2051" s="29" t="str">
        <f t="shared" si="677"/>
        <v>NA</v>
      </c>
      <c r="AB2051" s="29" t="str">
        <f t="shared" si="678"/>
        <v>NA</v>
      </c>
      <c r="AC2051" s="29" t="str">
        <f t="shared" si="679"/>
        <v>NA</v>
      </c>
      <c r="AD2051" s="29" t="str">
        <f t="shared" si="680"/>
        <v>NA</v>
      </c>
      <c r="AE2051" s="29" t="str">
        <f t="shared" si="681"/>
        <v>NA</v>
      </c>
      <c r="AF2051" s="29" t="str">
        <f t="shared" si="682"/>
        <v>NA</v>
      </c>
      <c r="AG2051" s="29" t="str">
        <f t="shared" si="683"/>
        <v>NA</v>
      </c>
      <c r="AH2051" s="29" t="str">
        <f t="shared" si="684"/>
        <v>NA</v>
      </c>
    </row>
    <row r="2052" customHeight="1" spans="1:34">
      <c r="A2052" s="12" t="s">
        <v>1043</v>
      </c>
      <c r="F2052" s="24">
        <f t="shared" si="666"/>
        <v>0</v>
      </c>
      <c r="G2052" s="24" t="e">
        <f t="shared" si="665"/>
        <v>#DIV/0!</v>
      </c>
      <c r="Q2052" s="29" t="str">
        <f t="shared" si="667"/>
        <v>NA</v>
      </c>
      <c r="R2052" s="29" t="str">
        <f t="shared" si="668"/>
        <v>NA</v>
      </c>
      <c r="S2052" s="29" t="str">
        <f t="shared" si="669"/>
        <v>NA</v>
      </c>
      <c r="T2052" s="29" t="str">
        <f t="shared" si="670"/>
        <v>NA</v>
      </c>
      <c r="U2052" s="29" t="str">
        <f t="shared" si="671"/>
        <v>NA</v>
      </c>
      <c r="V2052" s="29" t="str">
        <f t="shared" si="672"/>
        <v>NA</v>
      </c>
      <c r="W2052" s="29" t="str">
        <f t="shared" si="673"/>
        <v>NA</v>
      </c>
      <c r="X2052" s="29" t="str">
        <f t="shared" si="674"/>
        <v>NA</v>
      </c>
      <c r="Y2052" s="29" t="str">
        <f t="shared" si="675"/>
        <v>NA</v>
      </c>
      <c r="Z2052" s="29" t="str">
        <f t="shared" si="676"/>
        <v>NA</v>
      </c>
      <c r="AA2052" s="29" t="str">
        <f t="shared" si="677"/>
        <v>NA</v>
      </c>
      <c r="AB2052" s="29" t="str">
        <f t="shared" si="678"/>
        <v>NA</v>
      </c>
      <c r="AC2052" s="29" t="str">
        <f t="shared" si="679"/>
        <v>NA</v>
      </c>
      <c r="AD2052" s="29" t="str">
        <f t="shared" si="680"/>
        <v>NA</v>
      </c>
      <c r="AE2052" s="29" t="str">
        <f t="shared" si="681"/>
        <v>NA</v>
      </c>
      <c r="AF2052" s="29" t="str">
        <f t="shared" si="682"/>
        <v>NA</v>
      </c>
      <c r="AG2052" s="29" t="str">
        <f t="shared" si="683"/>
        <v>NA</v>
      </c>
      <c r="AH2052" s="29" t="str">
        <f t="shared" si="684"/>
        <v>NA</v>
      </c>
    </row>
    <row r="2053" customHeight="1" spans="1:34">
      <c r="A2053" s="12" t="s">
        <v>1043</v>
      </c>
      <c r="F2053" s="24">
        <f t="shared" si="666"/>
        <v>0</v>
      </c>
      <c r="G2053" s="24" t="e">
        <f t="shared" ref="G2053:G2116" si="685">B2053*D2053/C2053</f>
        <v>#DIV/0!</v>
      </c>
      <c r="Q2053" s="29" t="str">
        <f t="shared" si="667"/>
        <v>NA</v>
      </c>
      <c r="R2053" s="29" t="str">
        <f t="shared" si="668"/>
        <v>NA</v>
      </c>
      <c r="S2053" s="29" t="str">
        <f t="shared" si="669"/>
        <v>NA</v>
      </c>
      <c r="T2053" s="29" t="str">
        <f t="shared" si="670"/>
        <v>NA</v>
      </c>
      <c r="U2053" s="29" t="str">
        <f t="shared" si="671"/>
        <v>NA</v>
      </c>
      <c r="V2053" s="29" t="str">
        <f t="shared" si="672"/>
        <v>NA</v>
      </c>
      <c r="W2053" s="29" t="str">
        <f t="shared" si="673"/>
        <v>NA</v>
      </c>
      <c r="X2053" s="29" t="str">
        <f t="shared" si="674"/>
        <v>NA</v>
      </c>
      <c r="Y2053" s="29" t="str">
        <f t="shared" si="675"/>
        <v>NA</v>
      </c>
      <c r="Z2053" s="29" t="str">
        <f t="shared" si="676"/>
        <v>NA</v>
      </c>
      <c r="AA2053" s="29" t="str">
        <f t="shared" si="677"/>
        <v>NA</v>
      </c>
      <c r="AB2053" s="29" t="str">
        <f t="shared" si="678"/>
        <v>NA</v>
      </c>
      <c r="AC2053" s="29" t="str">
        <f t="shared" si="679"/>
        <v>NA</v>
      </c>
      <c r="AD2053" s="29" t="str">
        <f t="shared" si="680"/>
        <v>NA</v>
      </c>
      <c r="AE2053" s="29" t="str">
        <f t="shared" si="681"/>
        <v>NA</v>
      </c>
      <c r="AF2053" s="29" t="str">
        <f t="shared" si="682"/>
        <v>NA</v>
      </c>
      <c r="AG2053" s="29" t="str">
        <f t="shared" si="683"/>
        <v>NA</v>
      </c>
      <c r="AH2053" s="29" t="str">
        <f t="shared" si="684"/>
        <v>NA</v>
      </c>
    </row>
    <row r="2054" customHeight="1" spans="1:34">
      <c r="A2054" s="12" t="s">
        <v>1043</v>
      </c>
      <c r="F2054" s="24">
        <f t="shared" ref="F2054:F2117" si="686">+D2054+E2054</f>
        <v>0</v>
      </c>
      <c r="G2054" s="24" t="e">
        <f t="shared" si="685"/>
        <v>#DIV/0!</v>
      </c>
      <c r="Q2054" s="29" t="str">
        <f t="shared" si="667"/>
        <v>NA</v>
      </c>
      <c r="R2054" s="29" t="str">
        <f t="shared" si="668"/>
        <v>NA</v>
      </c>
      <c r="S2054" s="29" t="str">
        <f t="shared" si="669"/>
        <v>NA</v>
      </c>
      <c r="T2054" s="29" t="str">
        <f t="shared" si="670"/>
        <v>NA</v>
      </c>
      <c r="U2054" s="29" t="str">
        <f t="shared" si="671"/>
        <v>NA</v>
      </c>
      <c r="V2054" s="29" t="str">
        <f t="shared" si="672"/>
        <v>NA</v>
      </c>
      <c r="W2054" s="29" t="str">
        <f t="shared" si="673"/>
        <v>NA</v>
      </c>
      <c r="X2054" s="29" t="str">
        <f t="shared" si="674"/>
        <v>NA</v>
      </c>
      <c r="Y2054" s="29" t="str">
        <f t="shared" si="675"/>
        <v>NA</v>
      </c>
      <c r="Z2054" s="29" t="str">
        <f t="shared" si="676"/>
        <v>NA</v>
      </c>
      <c r="AA2054" s="29" t="str">
        <f t="shared" si="677"/>
        <v>NA</v>
      </c>
      <c r="AB2054" s="29" t="str">
        <f t="shared" si="678"/>
        <v>NA</v>
      </c>
      <c r="AC2054" s="29" t="str">
        <f t="shared" si="679"/>
        <v>NA</v>
      </c>
      <c r="AD2054" s="29" t="str">
        <f t="shared" si="680"/>
        <v>NA</v>
      </c>
      <c r="AE2054" s="29" t="str">
        <f t="shared" si="681"/>
        <v>NA</v>
      </c>
      <c r="AF2054" s="29" t="str">
        <f t="shared" si="682"/>
        <v>NA</v>
      </c>
      <c r="AG2054" s="29" t="str">
        <f t="shared" si="683"/>
        <v>NA</v>
      </c>
      <c r="AH2054" s="29" t="str">
        <f t="shared" si="684"/>
        <v>NA</v>
      </c>
    </row>
    <row r="2055" customHeight="1" spans="1:34">
      <c r="A2055" s="12" t="s">
        <v>1043</v>
      </c>
      <c r="F2055" s="24">
        <f t="shared" si="686"/>
        <v>0</v>
      </c>
      <c r="G2055" s="24" t="e">
        <f t="shared" si="685"/>
        <v>#DIV/0!</v>
      </c>
      <c r="Q2055" s="29" t="str">
        <f t="shared" si="667"/>
        <v>NA</v>
      </c>
      <c r="R2055" s="29" t="str">
        <f t="shared" si="668"/>
        <v>NA</v>
      </c>
      <c r="S2055" s="29" t="str">
        <f t="shared" si="669"/>
        <v>NA</v>
      </c>
      <c r="T2055" s="29" t="str">
        <f t="shared" si="670"/>
        <v>NA</v>
      </c>
      <c r="U2055" s="29" t="str">
        <f t="shared" si="671"/>
        <v>NA</v>
      </c>
      <c r="V2055" s="29" t="str">
        <f t="shared" si="672"/>
        <v>NA</v>
      </c>
      <c r="W2055" s="29" t="str">
        <f t="shared" si="673"/>
        <v>NA</v>
      </c>
      <c r="X2055" s="29" t="str">
        <f t="shared" si="674"/>
        <v>NA</v>
      </c>
      <c r="Y2055" s="29" t="str">
        <f t="shared" si="675"/>
        <v>NA</v>
      </c>
      <c r="Z2055" s="29" t="str">
        <f t="shared" si="676"/>
        <v>NA</v>
      </c>
      <c r="AA2055" s="29" t="str">
        <f t="shared" si="677"/>
        <v>NA</v>
      </c>
      <c r="AB2055" s="29" t="str">
        <f t="shared" si="678"/>
        <v>NA</v>
      </c>
      <c r="AC2055" s="29" t="str">
        <f t="shared" si="679"/>
        <v>NA</v>
      </c>
      <c r="AD2055" s="29" t="str">
        <f t="shared" si="680"/>
        <v>NA</v>
      </c>
      <c r="AE2055" s="29" t="str">
        <f t="shared" si="681"/>
        <v>NA</v>
      </c>
      <c r="AF2055" s="29" t="str">
        <f t="shared" si="682"/>
        <v>NA</v>
      </c>
      <c r="AG2055" s="29" t="str">
        <f t="shared" si="683"/>
        <v>NA</v>
      </c>
      <c r="AH2055" s="29" t="str">
        <f t="shared" si="684"/>
        <v>NA</v>
      </c>
    </row>
    <row r="2056" customHeight="1" spans="1:34">
      <c r="A2056" s="12" t="s">
        <v>1043</v>
      </c>
      <c r="F2056" s="24">
        <f t="shared" si="686"/>
        <v>0</v>
      </c>
      <c r="G2056" s="24" t="e">
        <f t="shared" si="685"/>
        <v>#DIV/0!</v>
      </c>
      <c r="Q2056" s="29" t="str">
        <f t="shared" si="667"/>
        <v>NA</v>
      </c>
      <c r="R2056" s="29" t="str">
        <f t="shared" si="668"/>
        <v>NA</v>
      </c>
      <c r="S2056" s="29" t="str">
        <f t="shared" si="669"/>
        <v>NA</v>
      </c>
      <c r="T2056" s="29" t="str">
        <f t="shared" si="670"/>
        <v>NA</v>
      </c>
      <c r="U2056" s="29" t="str">
        <f t="shared" si="671"/>
        <v>NA</v>
      </c>
      <c r="V2056" s="29" t="str">
        <f t="shared" si="672"/>
        <v>NA</v>
      </c>
      <c r="W2056" s="29" t="str">
        <f t="shared" si="673"/>
        <v>NA</v>
      </c>
      <c r="X2056" s="29" t="str">
        <f t="shared" si="674"/>
        <v>NA</v>
      </c>
      <c r="Y2056" s="29" t="str">
        <f t="shared" si="675"/>
        <v>NA</v>
      </c>
      <c r="Z2056" s="29" t="str">
        <f t="shared" si="676"/>
        <v>NA</v>
      </c>
      <c r="AA2056" s="29" t="str">
        <f t="shared" si="677"/>
        <v>NA</v>
      </c>
      <c r="AB2056" s="29" t="str">
        <f t="shared" si="678"/>
        <v>NA</v>
      </c>
      <c r="AC2056" s="29" t="str">
        <f t="shared" si="679"/>
        <v>NA</v>
      </c>
      <c r="AD2056" s="29" t="str">
        <f t="shared" si="680"/>
        <v>NA</v>
      </c>
      <c r="AE2056" s="29" t="str">
        <f t="shared" si="681"/>
        <v>NA</v>
      </c>
      <c r="AF2056" s="29" t="str">
        <f t="shared" si="682"/>
        <v>NA</v>
      </c>
      <c r="AG2056" s="29" t="str">
        <f t="shared" si="683"/>
        <v>NA</v>
      </c>
      <c r="AH2056" s="29" t="str">
        <f t="shared" si="684"/>
        <v>NA</v>
      </c>
    </row>
    <row r="2057" customHeight="1" spans="1:34">
      <c r="A2057" s="12" t="s">
        <v>1043</v>
      </c>
      <c r="F2057" s="24">
        <f t="shared" si="686"/>
        <v>0</v>
      </c>
      <c r="G2057" s="24" t="e">
        <f t="shared" si="685"/>
        <v>#DIV/0!</v>
      </c>
      <c r="Q2057" s="29" t="str">
        <f t="shared" si="667"/>
        <v>NA</v>
      </c>
      <c r="R2057" s="29" t="str">
        <f t="shared" si="668"/>
        <v>NA</v>
      </c>
      <c r="S2057" s="29" t="str">
        <f t="shared" si="669"/>
        <v>NA</v>
      </c>
      <c r="T2057" s="29" t="str">
        <f t="shared" si="670"/>
        <v>NA</v>
      </c>
      <c r="U2057" s="29" t="str">
        <f t="shared" si="671"/>
        <v>NA</v>
      </c>
      <c r="V2057" s="29" t="str">
        <f t="shared" si="672"/>
        <v>NA</v>
      </c>
      <c r="W2057" s="29" t="str">
        <f t="shared" si="673"/>
        <v>NA</v>
      </c>
      <c r="X2057" s="29" t="str">
        <f t="shared" si="674"/>
        <v>NA</v>
      </c>
      <c r="Y2057" s="29" t="str">
        <f t="shared" si="675"/>
        <v>NA</v>
      </c>
      <c r="Z2057" s="29" t="str">
        <f t="shared" si="676"/>
        <v>NA</v>
      </c>
      <c r="AA2057" s="29" t="str">
        <f t="shared" si="677"/>
        <v>NA</v>
      </c>
      <c r="AB2057" s="29" t="str">
        <f t="shared" si="678"/>
        <v>NA</v>
      </c>
      <c r="AC2057" s="29" t="str">
        <f t="shared" si="679"/>
        <v>NA</v>
      </c>
      <c r="AD2057" s="29" t="str">
        <f t="shared" si="680"/>
        <v>NA</v>
      </c>
      <c r="AE2057" s="29" t="str">
        <f t="shared" si="681"/>
        <v>NA</v>
      </c>
      <c r="AF2057" s="29" t="str">
        <f t="shared" si="682"/>
        <v>NA</v>
      </c>
      <c r="AG2057" s="29" t="str">
        <f t="shared" si="683"/>
        <v>NA</v>
      </c>
      <c r="AH2057" s="29" t="str">
        <f t="shared" si="684"/>
        <v>NA</v>
      </c>
    </row>
    <row r="2058" customHeight="1" spans="1:34">
      <c r="A2058" s="12" t="s">
        <v>1043</v>
      </c>
      <c r="F2058" s="24">
        <f t="shared" si="686"/>
        <v>0</v>
      </c>
      <c r="G2058" s="24" t="e">
        <f t="shared" si="685"/>
        <v>#DIV/0!</v>
      </c>
      <c r="Q2058" s="29" t="str">
        <f t="shared" si="667"/>
        <v>NA</v>
      </c>
      <c r="R2058" s="29" t="str">
        <f t="shared" si="668"/>
        <v>NA</v>
      </c>
      <c r="S2058" s="29" t="str">
        <f t="shared" si="669"/>
        <v>NA</v>
      </c>
      <c r="T2058" s="29" t="str">
        <f t="shared" si="670"/>
        <v>NA</v>
      </c>
      <c r="U2058" s="29" t="str">
        <f t="shared" si="671"/>
        <v>NA</v>
      </c>
      <c r="V2058" s="29" t="str">
        <f t="shared" si="672"/>
        <v>NA</v>
      </c>
      <c r="W2058" s="29" t="str">
        <f t="shared" si="673"/>
        <v>NA</v>
      </c>
      <c r="X2058" s="29" t="str">
        <f t="shared" si="674"/>
        <v>NA</v>
      </c>
      <c r="Y2058" s="29" t="str">
        <f t="shared" si="675"/>
        <v>NA</v>
      </c>
      <c r="Z2058" s="29" t="str">
        <f t="shared" si="676"/>
        <v>NA</v>
      </c>
      <c r="AA2058" s="29" t="str">
        <f t="shared" si="677"/>
        <v>NA</v>
      </c>
      <c r="AB2058" s="29" t="str">
        <f t="shared" si="678"/>
        <v>NA</v>
      </c>
      <c r="AC2058" s="29" t="str">
        <f t="shared" si="679"/>
        <v>NA</v>
      </c>
      <c r="AD2058" s="29" t="str">
        <f t="shared" si="680"/>
        <v>NA</v>
      </c>
      <c r="AE2058" s="29" t="str">
        <f t="shared" si="681"/>
        <v>NA</v>
      </c>
      <c r="AF2058" s="29" t="str">
        <f t="shared" si="682"/>
        <v>NA</v>
      </c>
      <c r="AG2058" s="29" t="str">
        <f t="shared" si="683"/>
        <v>NA</v>
      </c>
      <c r="AH2058" s="29" t="str">
        <f t="shared" si="684"/>
        <v>NA</v>
      </c>
    </row>
    <row r="2059" customHeight="1" spans="1:34">
      <c r="A2059" s="12" t="s">
        <v>1043</v>
      </c>
      <c r="F2059" s="24">
        <f t="shared" si="686"/>
        <v>0</v>
      </c>
      <c r="G2059" s="24" t="e">
        <f t="shared" si="685"/>
        <v>#DIV/0!</v>
      </c>
      <c r="Q2059" s="29" t="str">
        <f t="shared" si="667"/>
        <v>NA</v>
      </c>
      <c r="R2059" s="29" t="str">
        <f t="shared" si="668"/>
        <v>NA</v>
      </c>
      <c r="S2059" s="29" t="str">
        <f t="shared" si="669"/>
        <v>NA</v>
      </c>
      <c r="T2059" s="29" t="str">
        <f t="shared" si="670"/>
        <v>NA</v>
      </c>
      <c r="U2059" s="29" t="str">
        <f t="shared" si="671"/>
        <v>NA</v>
      </c>
      <c r="V2059" s="29" t="str">
        <f t="shared" si="672"/>
        <v>NA</v>
      </c>
      <c r="W2059" s="29" t="str">
        <f t="shared" si="673"/>
        <v>NA</v>
      </c>
      <c r="X2059" s="29" t="str">
        <f t="shared" si="674"/>
        <v>NA</v>
      </c>
      <c r="Y2059" s="29" t="str">
        <f t="shared" si="675"/>
        <v>NA</v>
      </c>
      <c r="Z2059" s="29" t="str">
        <f t="shared" si="676"/>
        <v>NA</v>
      </c>
      <c r="AA2059" s="29" t="str">
        <f t="shared" si="677"/>
        <v>NA</v>
      </c>
      <c r="AB2059" s="29" t="str">
        <f t="shared" si="678"/>
        <v>NA</v>
      </c>
      <c r="AC2059" s="29" t="str">
        <f t="shared" si="679"/>
        <v>NA</v>
      </c>
      <c r="AD2059" s="29" t="str">
        <f t="shared" si="680"/>
        <v>NA</v>
      </c>
      <c r="AE2059" s="29" t="str">
        <f t="shared" si="681"/>
        <v>NA</v>
      </c>
      <c r="AF2059" s="29" t="str">
        <f t="shared" si="682"/>
        <v>NA</v>
      </c>
      <c r="AG2059" s="29" t="str">
        <f t="shared" si="683"/>
        <v>NA</v>
      </c>
      <c r="AH2059" s="29" t="str">
        <f t="shared" si="684"/>
        <v>NA</v>
      </c>
    </row>
    <row r="2060" customHeight="1" spans="1:34">
      <c r="A2060" s="12" t="s">
        <v>1043</v>
      </c>
      <c r="F2060" s="24">
        <f t="shared" si="686"/>
        <v>0</v>
      </c>
      <c r="G2060" s="24" t="e">
        <f t="shared" si="685"/>
        <v>#DIV/0!</v>
      </c>
      <c r="Q2060" s="29" t="str">
        <f t="shared" si="667"/>
        <v>NA</v>
      </c>
      <c r="R2060" s="29" t="str">
        <f t="shared" si="668"/>
        <v>NA</v>
      </c>
      <c r="S2060" s="29" t="str">
        <f t="shared" si="669"/>
        <v>NA</v>
      </c>
      <c r="T2060" s="29" t="str">
        <f t="shared" si="670"/>
        <v>NA</v>
      </c>
      <c r="U2060" s="29" t="str">
        <f t="shared" si="671"/>
        <v>NA</v>
      </c>
      <c r="V2060" s="29" t="str">
        <f t="shared" si="672"/>
        <v>NA</v>
      </c>
      <c r="W2060" s="29" t="str">
        <f t="shared" si="673"/>
        <v>NA</v>
      </c>
      <c r="X2060" s="29" t="str">
        <f t="shared" si="674"/>
        <v>NA</v>
      </c>
      <c r="Y2060" s="29" t="str">
        <f t="shared" si="675"/>
        <v>NA</v>
      </c>
      <c r="Z2060" s="29" t="str">
        <f t="shared" si="676"/>
        <v>NA</v>
      </c>
      <c r="AA2060" s="29" t="str">
        <f t="shared" si="677"/>
        <v>NA</v>
      </c>
      <c r="AB2060" s="29" t="str">
        <f t="shared" si="678"/>
        <v>NA</v>
      </c>
      <c r="AC2060" s="29" t="str">
        <f t="shared" si="679"/>
        <v>NA</v>
      </c>
      <c r="AD2060" s="29" t="str">
        <f t="shared" si="680"/>
        <v>NA</v>
      </c>
      <c r="AE2060" s="29" t="str">
        <f t="shared" si="681"/>
        <v>NA</v>
      </c>
      <c r="AF2060" s="29" t="str">
        <f t="shared" si="682"/>
        <v>NA</v>
      </c>
      <c r="AG2060" s="29" t="str">
        <f t="shared" si="683"/>
        <v>NA</v>
      </c>
      <c r="AH2060" s="29" t="str">
        <f t="shared" si="684"/>
        <v>NA</v>
      </c>
    </row>
    <row r="2061" customHeight="1" spans="1:34">
      <c r="A2061" s="12" t="s">
        <v>1043</v>
      </c>
      <c r="F2061" s="24">
        <f t="shared" si="686"/>
        <v>0</v>
      </c>
      <c r="G2061" s="24" t="e">
        <f t="shared" si="685"/>
        <v>#DIV/0!</v>
      </c>
      <c r="Q2061" s="29" t="str">
        <f t="shared" si="667"/>
        <v>NA</v>
      </c>
      <c r="R2061" s="29" t="str">
        <f t="shared" si="668"/>
        <v>NA</v>
      </c>
      <c r="S2061" s="29" t="str">
        <f t="shared" si="669"/>
        <v>NA</v>
      </c>
      <c r="T2061" s="29" t="str">
        <f t="shared" si="670"/>
        <v>NA</v>
      </c>
      <c r="U2061" s="29" t="str">
        <f t="shared" si="671"/>
        <v>NA</v>
      </c>
      <c r="V2061" s="29" t="str">
        <f t="shared" si="672"/>
        <v>NA</v>
      </c>
      <c r="W2061" s="29" t="str">
        <f t="shared" si="673"/>
        <v>NA</v>
      </c>
      <c r="X2061" s="29" t="str">
        <f t="shared" si="674"/>
        <v>NA</v>
      </c>
      <c r="Y2061" s="29" t="str">
        <f t="shared" si="675"/>
        <v>NA</v>
      </c>
      <c r="Z2061" s="29" t="str">
        <f t="shared" si="676"/>
        <v>NA</v>
      </c>
      <c r="AA2061" s="29" t="str">
        <f t="shared" si="677"/>
        <v>NA</v>
      </c>
      <c r="AB2061" s="29" t="str">
        <f t="shared" si="678"/>
        <v>NA</v>
      </c>
      <c r="AC2061" s="29" t="str">
        <f t="shared" si="679"/>
        <v>NA</v>
      </c>
      <c r="AD2061" s="29" t="str">
        <f t="shared" si="680"/>
        <v>NA</v>
      </c>
      <c r="AE2061" s="29" t="str">
        <f t="shared" si="681"/>
        <v>NA</v>
      </c>
      <c r="AF2061" s="29" t="str">
        <f t="shared" si="682"/>
        <v>NA</v>
      </c>
      <c r="AG2061" s="29" t="str">
        <f t="shared" si="683"/>
        <v>NA</v>
      </c>
      <c r="AH2061" s="29" t="str">
        <f t="shared" si="684"/>
        <v>NA</v>
      </c>
    </row>
    <row r="2062" customHeight="1" spans="1:34">
      <c r="A2062" s="12" t="s">
        <v>1043</v>
      </c>
      <c r="F2062" s="24">
        <f t="shared" si="686"/>
        <v>0</v>
      </c>
      <c r="G2062" s="24" t="e">
        <f t="shared" si="685"/>
        <v>#DIV/0!</v>
      </c>
      <c r="Q2062" s="29" t="str">
        <f t="shared" si="667"/>
        <v>NA</v>
      </c>
      <c r="R2062" s="29" t="str">
        <f t="shared" si="668"/>
        <v>NA</v>
      </c>
      <c r="S2062" s="29" t="str">
        <f t="shared" si="669"/>
        <v>NA</v>
      </c>
      <c r="T2062" s="29" t="str">
        <f t="shared" si="670"/>
        <v>NA</v>
      </c>
      <c r="U2062" s="29" t="str">
        <f t="shared" si="671"/>
        <v>NA</v>
      </c>
      <c r="V2062" s="29" t="str">
        <f t="shared" si="672"/>
        <v>NA</v>
      </c>
      <c r="W2062" s="29" t="str">
        <f t="shared" si="673"/>
        <v>NA</v>
      </c>
      <c r="X2062" s="29" t="str">
        <f t="shared" si="674"/>
        <v>NA</v>
      </c>
      <c r="Y2062" s="29" t="str">
        <f t="shared" si="675"/>
        <v>NA</v>
      </c>
      <c r="Z2062" s="29" t="str">
        <f t="shared" si="676"/>
        <v>NA</v>
      </c>
      <c r="AA2062" s="29" t="str">
        <f t="shared" si="677"/>
        <v>NA</v>
      </c>
      <c r="AB2062" s="29" t="str">
        <f t="shared" si="678"/>
        <v>NA</v>
      </c>
      <c r="AC2062" s="29" t="str">
        <f t="shared" si="679"/>
        <v>NA</v>
      </c>
      <c r="AD2062" s="29" t="str">
        <f t="shared" si="680"/>
        <v>NA</v>
      </c>
      <c r="AE2062" s="29" t="str">
        <f t="shared" si="681"/>
        <v>NA</v>
      </c>
      <c r="AF2062" s="29" t="str">
        <f t="shared" si="682"/>
        <v>NA</v>
      </c>
      <c r="AG2062" s="29" t="str">
        <f t="shared" si="683"/>
        <v>NA</v>
      </c>
      <c r="AH2062" s="29" t="str">
        <f t="shared" si="684"/>
        <v>NA</v>
      </c>
    </row>
    <row r="2063" customHeight="1" spans="1:34">
      <c r="A2063" s="12" t="s">
        <v>1043</v>
      </c>
      <c r="F2063" s="24">
        <f t="shared" si="686"/>
        <v>0</v>
      </c>
      <c r="G2063" s="24" t="e">
        <f t="shared" si="685"/>
        <v>#DIV/0!</v>
      </c>
      <c r="Q2063" s="29" t="str">
        <f t="shared" si="667"/>
        <v>NA</v>
      </c>
      <c r="R2063" s="29" t="str">
        <f t="shared" si="668"/>
        <v>NA</v>
      </c>
      <c r="S2063" s="29" t="str">
        <f t="shared" si="669"/>
        <v>NA</v>
      </c>
      <c r="T2063" s="29" t="str">
        <f t="shared" si="670"/>
        <v>NA</v>
      </c>
      <c r="U2063" s="29" t="str">
        <f t="shared" si="671"/>
        <v>NA</v>
      </c>
      <c r="V2063" s="29" t="str">
        <f t="shared" si="672"/>
        <v>NA</v>
      </c>
      <c r="W2063" s="29" t="str">
        <f t="shared" si="673"/>
        <v>NA</v>
      </c>
      <c r="X2063" s="29" t="str">
        <f t="shared" si="674"/>
        <v>NA</v>
      </c>
      <c r="Y2063" s="29" t="str">
        <f t="shared" si="675"/>
        <v>NA</v>
      </c>
      <c r="Z2063" s="29" t="str">
        <f t="shared" si="676"/>
        <v>NA</v>
      </c>
      <c r="AA2063" s="29" t="str">
        <f t="shared" si="677"/>
        <v>NA</v>
      </c>
      <c r="AB2063" s="29" t="str">
        <f t="shared" si="678"/>
        <v>NA</v>
      </c>
      <c r="AC2063" s="29" t="str">
        <f t="shared" si="679"/>
        <v>NA</v>
      </c>
      <c r="AD2063" s="29" t="str">
        <f t="shared" si="680"/>
        <v>NA</v>
      </c>
      <c r="AE2063" s="29" t="str">
        <f t="shared" si="681"/>
        <v>NA</v>
      </c>
      <c r="AF2063" s="29" t="str">
        <f t="shared" si="682"/>
        <v>NA</v>
      </c>
      <c r="AG2063" s="29" t="str">
        <f t="shared" si="683"/>
        <v>NA</v>
      </c>
      <c r="AH2063" s="29" t="str">
        <f t="shared" si="684"/>
        <v>NA</v>
      </c>
    </row>
    <row r="2064" customHeight="1" spans="1:34">
      <c r="A2064" s="12" t="s">
        <v>1043</v>
      </c>
      <c r="F2064" s="24">
        <f t="shared" si="686"/>
        <v>0</v>
      </c>
      <c r="G2064" s="24" t="e">
        <f t="shared" si="685"/>
        <v>#DIV/0!</v>
      </c>
      <c r="Q2064" s="29" t="str">
        <f t="shared" ref="Q2064:Q2127" si="687">IFERROR($B2064*$E2064/H2064,"NA")</f>
        <v>NA</v>
      </c>
      <c r="R2064" s="29" t="str">
        <f t="shared" ref="R2064:R2127" si="688">IFERROR($B2064*$E2064/I2064,"NA")</f>
        <v>NA</v>
      </c>
      <c r="S2064" s="29" t="str">
        <f t="shared" ref="S2064:S2127" si="689">IFERROR($B2064*$E2064/J2064,"NA")</f>
        <v>NA</v>
      </c>
      <c r="T2064" s="29" t="str">
        <f t="shared" ref="T2064:T2127" si="690">IFERROR($B2064*$E2064/K2064,"NA")</f>
        <v>NA</v>
      </c>
      <c r="U2064" s="29" t="str">
        <f t="shared" ref="U2064:U2127" si="691">IFERROR($B2064*$E2064/L2064,"NA")</f>
        <v>NA</v>
      </c>
      <c r="V2064" s="29" t="str">
        <f t="shared" ref="V2064:V2127" si="692">IFERROR($B2064*$E2064/M2064,"NA")</f>
        <v>NA</v>
      </c>
      <c r="W2064" s="29" t="str">
        <f t="shared" ref="W2064:W2127" si="693">IFERROR($B2064*$E2064/N2064,"NA")</f>
        <v>NA</v>
      </c>
      <c r="X2064" s="29" t="str">
        <f t="shared" ref="X2064:X2127" si="694">IFERROR($B2064*$E2064/O2064,"NA")</f>
        <v>NA</v>
      </c>
      <c r="Y2064" s="29" t="str">
        <f t="shared" ref="Y2064:Y2127" si="695">IFERROR($B2064*$E2064/P2064,"NA")</f>
        <v>NA</v>
      </c>
      <c r="Z2064" s="29" t="str">
        <f t="shared" ref="Z2064:Z2127" si="696">IFERROR((($G2064*Z$2/1000)+Q2064)/1,"NA")</f>
        <v>NA</v>
      </c>
      <c r="AA2064" s="29" t="str">
        <f t="shared" ref="AA2064:AA2127" si="697">IFERROR((($G2064*AA$2/1000)+R2064)/1,"NA")</f>
        <v>NA</v>
      </c>
      <c r="AB2064" s="29" t="str">
        <f t="shared" ref="AB2064:AB2127" si="698">IFERROR((($G2064*AB$2/1000)+S2064)/1,"NA")</f>
        <v>NA</v>
      </c>
      <c r="AC2064" s="29" t="str">
        <f t="shared" ref="AC2064:AC2127" si="699">IFERROR((($G2064*AC$2/1000)+T2064)/1,"NA")</f>
        <v>NA</v>
      </c>
      <c r="AD2064" s="29" t="str">
        <f t="shared" ref="AD2064:AD2127" si="700">IFERROR((($G2064*AD$2/1000)+U2064)/1,"NA")</f>
        <v>NA</v>
      </c>
      <c r="AE2064" s="29" t="str">
        <f t="shared" ref="AE2064:AE2127" si="701">IFERROR((($G2064*AE$2/1000)+V2064)/1,"NA")</f>
        <v>NA</v>
      </c>
      <c r="AF2064" s="29" t="str">
        <f t="shared" ref="AF2064:AF2127" si="702">IFERROR((($G2064*AF$2/1000)+W2064)/1,"NA")</f>
        <v>NA</v>
      </c>
      <c r="AG2064" s="29" t="str">
        <f t="shared" ref="AG2064:AG2127" si="703">IFERROR((($G2064*AG$2/1000)+X2064)/1,"NA")</f>
        <v>NA</v>
      </c>
      <c r="AH2064" s="29" t="str">
        <f t="shared" ref="AH2064:AH2127" si="704">IFERROR((($G2064*AH$2/1000)+Y2064)/1,"NA")</f>
        <v>NA</v>
      </c>
    </row>
    <row r="2065" customHeight="1" spans="1:34">
      <c r="A2065" s="12" t="s">
        <v>1043</v>
      </c>
      <c r="F2065" s="24">
        <f t="shared" si="686"/>
        <v>0</v>
      </c>
      <c r="G2065" s="24" t="e">
        <f t="shared" si="685"/>
        <v>#DIV/0!</v>
      </c>
      <c r="Q2065" s="29" t="str">
        <f t="shared" si="687"/>
        <v>NA</v>
      </c>
      <c r="R2065" s="29" t="str">
        <f t="shared" si="688"/>
        <v>NA</v>
      </c>
      <c r="S2065" s="29" t="str">
        <f t="shared" si="689"/>
        <v>NA</v>
      </c>
      <c r="T2065" s="29" t="str">
        <f t="shared" si="690"/>
        <v>NA</v>
      </c>
      <c r="U2065" s="29" t="str">
        <f t="shared" si="691"/>
        <v>NA</v>
      </c>
      <c r="V2065" s="29" t="str">
        <f t="shared" si="692"/>
        <v>NA</v>
      </c>
      <c r="W2065" s="29" t="str">
        <f t="shared" si="693"/>
        <v>NA</v>
      </c>
      <c r="X2065" s="29" t="str">
        <f t="shared" si="694"/>
        <v>NA</v>
      </c>
      <c r="Y2065" s="29" t="str">
        <f t="shared" si="695"/>
        <v>NA</v>
      </c>
      <c r="Z2065" s="29" t="str">
        <f t="shared" si="696"/>
        <v>NA</v>
      </c>
      <c r="AA2065" s="29" t="str">
        <f t="shared" si="697"/>
        <v>NA</v>
      </c>
      <c r="AB2065" s="29" t="str">
        <f t="shared" si="698"/>
        <v>NA</v>
      </c>
      <c r="AC2065" s="29" t="str">
        <f t="shared" si="699"/>
        <v>NA</v>
      </c>
      <c r="AD2065" s="29" t="str">
        <f t="shared" si="700"/>
        <v>NA</v>
      </c>
      <c r="AE2065" s="29" t="str">
        <f t="shared" si="701"/>
        <v>NA</v>
      </c>
      <c r="AF2065" s="29" t="str">
        <f t="shared" si="702"/>
        <v>NA</v>
      </c>
      <c r="AG2065" s="29" t="str">
        <f t="shared" si="703"/>
        <v>NA</v>
      </c>
      <c r="AH2065" s="29" t="str">
        <f t="shared" si="704"/>
        <v>NA</v>
      </c>
    </row>
    <row r="2066" customHeight="1" spans="1:34">
      <c r="A2066" s="12" t="s">
        <v>1043</v>
      </c>
      <c r="F2066" s="24">
        <f t="shared" si="686"/>
        <v>0</v>
      </c>
      <c r="G2066" s="24" t="e">
        <f t="shared" si="685"/>
        <v>#DIV/0!</v>
      </c>
      <c r="Q2066" s="29" t="str">
        <f t="shared" si="687"/>
        <v>NA</v>
      </c>
      <c r="R2066" s="29" t="str">
        <f t="shared" si="688"/>
        <v>NA</v>
      </c>
      <c r="S2066" s="29" t="str">
        <f t="shared" si="689"/>
        <v>NA</v>
      </c>
      <c r="T2066" s="29" t="str">
        <f t="shared" si="690"/>
        <v>NA</v>
      </c>
      <c r="U2066" s="29" t="str">
        <f t="shared" si="691"/>
        <v>NA</v>
      </c>
      <c r="V2066" s="29" t="str">
        <f t="shared" si="692"/>
        <v>NA</v>
      </c>
      <c r="W2066" s="29" t="str">
        <f t="shared" si="693"/>
        <v>NA</v>
      </c>
      <c r="X2066" s="29" t="str">
        <f t="shared" si="694"/>
        <v>NA</v>
      </c>
      <c r="Y2066" s="29" t="str">
        <f t="shared" si="695"/>
        <v>NA</v>
      </c>
      <c r="Z2066" s="29" t="str">
        <f t="shared" si="696"/>
        <v>NA</v>
      </c>
      <c r="AA2066" s="29" t="str">
        <f t="shared" si="697"/>
        <v>NA</v>
      </c>
      <c r="AB2066" s="29" t="str">
        <f t="shared" si="698"/>
        <v>NA</v>
      </c>
      <c r="AC2066" s="29" t="str">
        <f t="shared" si="699"/>
        <v>NA</v>
      </c>
      <c r="AD2066" s="29" t="str">
        <f t="shared" si="700"/>
        <v>NA</v>
      </c>
      <c r="AE2066" s="29" t="str">
        <f t="shared" si="701"/>
        <v>NA</v>
      </c>
      <c r="AF2066" s="29" t="str">
        <f t="shared" si="702"/>
        <v>NA</v>
      </c>
      <c r="AG2066" s="29" t="str">
        <f t="shared" si="703"/>
        <v>NA</v>
      </c>
      <c r="AH2066" s="29" t="str">
        <f t="shared" si="704"/>
        <v>NA</v>
      </c>
    </row>
    <row r="2067" customHeight="1" spans="1:34">
      <c r="A2067" s="12" t="s">
        <v>1043</v>
      </c>
      <c r="F2067" s="24">
        <f t="shared" si="686"/>
        <v>0</v>
      </c>
      <c r="G2067" s="24" t="e">
        <f t="shared" si="685"/>
        <v>#DIV/0!</v>
      </c>
      <c r="Q2067" s="29" t="str">
        <f t="shared" si="687"/>
        <v>NA</v>
      </c>
      <c r="R2067" s="29" t="str">
        <f t="shared" si="688"/>
        <v>NA</v>
      </c>
      <c r="S2067" s="29" t="str">
        <f t="shared" si="689"/>
        <v>NA</v>
      </c>
      <c r="T2067" s="29" t="str">
        <f t="shared" si="690"/>
        <v>NA</v>
      </c>
      <c r="U2067" s="29" t="str">
        <f t="shared" si="691"/>
        <v>NA</v>
      </c>
      <c r="V2067" s="29" t="str">
        <f t="shared" si="692"/>
        <v>NA</v>
      </c>
      <c r="W2067" s="29" t="str">
        <f t="shared" si="693"/>
        <v>NA</v>
      </c>
      <c r="X2067" s="29" t="str">
        <f t="shared" si="694"/>
        <v>NA</v>
      </c>
      <c r="Y2067" s="29" t="str">
        <f t="shared" si="695"/>
        <v>NA</v>
      </c>
      <c r="Z2067" s="29" t="str">
        <f t="shared" si="696"/>
        <v>NA</v>
      </c>
      <c r="AA2067" s="29" t="str">
        <f t="shared" si="697"/>
        <v>NA</v>
      </c>
      <c r="AB2067" s="29" t="str">
        <f t="shared" si="698"/>
        <v>NA</v>
      </c>
      <c r="AC2067" s="29" t="str">
        <f t="shared" si="699"/>
        <v>NA</v>
      </c>
      <c r="AD2067" s="29" t="str">
        <f t="shared" si="700"/>
        <v>NA</v>
      </c>
      <c r="AE2067" s="29" t="str">
        <f t="shared" si="701"/>
        <v>NA</v>
      </c>
      <c r="AF2067" s="29" t="str">
        <f t="shared" si="702"/>
        <v>NA</v>
      </c>
      <c r="AG2067" s="29" t="str">
        <f t="shared" si="703"/>
        <v>NA</v>
      </c>
      <c r="AH2067" s="29" t="str">
        <f t="shared" si="704"/>
        <v>NA</v>
      </c>
    </row>
    <row r="2068" customHeight="1" spans="1:34">
      <c r="A2068" s="12" t="s">
        <v>1043</v>
      </c>
      <c r="F2068" s="24">
        <f t="shared" si="686"/>
        <v>0</v>
      </c>
      <c r="G2068" s="24" t="e">
        <f t="shared" si="685"/>
        <v>#DIV/0!</v>
      </c>
      <c r="Q2068" s="29" t="str">
        <f t="shared" si="687"/>
        <v>NA</v>
      </c>
      <c r="R2068" s="29" t="str">
        <f t="shared" si="688"/>
        <v>NA</v>
      </c>
      <c r="S2068" s="29" t="str">
        <f t="shared" si="689"/>
        <v>NA</v>
      </c>
      <c r="T2068" s="29" t="str">
        <f t="shared" si="690"/>
        <v>NA</v>
      </c>
      <c r="U2068" s="29" t="str">
        <f t="shared" si="691"/>
        <v>NA</v>
      </c>
      <c r="V2068" s="29" t="str">
        <f t="shared" si="692"/>
        <v>NA</v>
      </c>
      <c r="W2068" s="29" t="str">
        <f t="shared" si="693"/>
        <v>NA</v>
      </c>
      <c r="X2068" s="29" t="str">
        <f t="shared" si="694"/>
        <v>NA</v>
      </c>
      <c r="Y2068" s="29" t="str">
        <f t="shared" si="695"/>
        <v>NA</v>
      </c>
      <c r="Z2068" s="29" t="str">
        <f t="shared" si="696"/>
        <v>NA</v>
      </c>
      <c r="AA2068" s="29" t="str">
        <f t="shared" si="697"/>
        <v>NA</v>
      </c>
      <c r="AB2068" s="29" t="str">
        <f t="shared" si="698"/>
        <v>NA</v>
      </c>
      <c r="AC2068" s="29" t="str">
        <f t="shared" si="699"/>
        <v>NA</v>
      </c>
      <c r="AD2068" s="29" t="str">
        <f t="shared" si="700"/>
        <v>NA</v>
      </c>
      <c r="AE2068" s="29" t="str">
        <f t="shared" si="701"/>
        <v>NA</v>
      </c>
      <c r="AF2068" s="29" t="str">
        <f t="shared" si="702"/>
        <v>NA</v>
      </c>
      <c r="AG2068" s="29" t="str">
        <f t="shared" si="703"/>
        <v>NA</v>
      </c>
      <c r="AH2068" s="29" t="str">
        <f t="shared" si="704"/>
        <v>NA</v>
      </c>
    </row>
    <row r="2069" customHeight="1" spans="1:34">
      <c r="A2069" s="12" t="s">
        <v>1043</v>
      </c>
      <c r="F2069" s="24">
        <f t="shared" si="686"/>
        <v>0</v>
      </c>
      <c r="G2069" s="24" t="e">
        <f t="shared" si="685"/>
        <v>#DIV/0!</v>
      </c>
      <c r="Q2069" s="29" t="str">
        <f t="shared" si="687"/>
        <v>NA</v>
      </c>
      <c r="R2069" s="29" t="str">
        <f t="shared" si="688"/>
        <v>NA</v>
      </c>
      <c r="S2069" s="29" t="str">
        <f t="shared" si="689"/>
        <v>NA</v>
      </c>
      <c r="T2069" s="29" t="str">
        <f t="shared" si="690"/>
        <v>NA</v>
      </c>
      <c r="U2069" s="29" t="str">
        <f t="shared" si="691"/>
        <v>NA</v>
      </c>
      <c r="V2069" s="29" t="str">
        <f t="shared" si="692"/>
        <v>NA</v>
      </c>
      <c r="W2069" s="29" t="str">
        <f t="shared" si="693"/>
        <v>NA</v>
      </c>
      <c r="X2069" s="29" t="str">
        <f t="shared" si="694"/>
        <v>NA</v>
      </c>
      <c r="Y2069" s="29" t="str">
        <f t="shared" si="695"/>
        <v>NA</v>
      </c>
      <c r="Z2069" s="29" t="str">
        <f t="shared" si="696"/>
        <v>NA</v>
      </c>
      <c r="AA2069" s="29" t="str">
        <f t="shared" si="697"/>
        <v>NA</v>
      </c>
      <c r="AB2069" s="29" t="str">
        <f t="shared" si="698"/>
        <v>NA</v>
      </c>
      <c r="AC2069" s="29" t="str">
        <f t="shared" si="699"/>
        <v>NA</v>
      </c>
      <c r="AD2069" s="29" t="str">
        <f t="shared" si="700"/>
        <v>NA</v>
      </c>
      <c r="AE2069" s="29" t="str">
        <f t="shared" si="701"/>
        <v>NA</v>
      </c>
      <c r="AF2069" s="29" t="str">
        <f t="shared" si="702"/>
        <v>NA</v>
      </c>
      <c r="AG2069" s="29" t="str">
        <f t="shared" si="703"/>
        <v>NA</v>
      </c>
      <c r="AH2069" s="29" t="str">
        <f t="shared" si="704"/>
        <v>NA</v>
      </c>
    </row>
    <row r="2070" customHeight="1" spans="1:34">
      <c r="A2070" s="12" t="s">
        <v>1043</v>
      </c>
      <c r="F2070" s="24">
        <f t="shared" si="686"/>
        <v>0</v>
      </c>
      <c r="G2070" s="24" t="e">
        <f t="shared" si="685"/>
        <v>#DIV/0!</v>
      </c>
      <c r="Q2070" s="29" t="str">
        <f t="shared" si="687"/>
        <v>NA</v>
      </c>
      <c r="R2070" s="29" t="str">
        <f t="shared" si="688"/>
        <v>NA</v>
      </c>
      <c r="S2070" s="29" t="str">
        <f t="shared" si="689"/>
        <v>NA</v>
      </c>
      <c r="T2070" s="29" t="str">
        <f t="shared" si="690"/>
        <v>NA</v>
      </c>
      <c r="U2070" s="29" t="str">
        <f t="shared" si="691"/>
        <v>NA</v>
      </c>
      <c r="V2070" s="29" t="str">
        <f t="shared" si="692"/>
        <v>NA</v>
      </c>
      <c r="W2070" s="29" t="str">
        <f t="shared" si="693"/>
        <v>NA</v>
      </c>
      <c r="X2070" s="29" t="str">
        <f t="shared" si="694"/>
        <v>NA</v>
      </c>
      <c r="Y2070" s="29" t="str">
        <f t="shared" si="695"/>
        <v>NA</v>
      </c>
      <c r="Z2070" s="29" t="str">
        <f t="shared" si="696"/>
        <v>NA</v>
      </c>
      <c r="AA2070" s="29" t="str">
        <f t="shared" si="697"/>
        <v>NA</v>
      </c>
      <c r="AB2070" s="29" t="str">
        <f t="shared" si="698"/>
        <v>NA</v>
      </c>
      <c r="AC2070" s="29" t="str">
        <f t="shared" si="699"/>
        <v>NA</v>
      </c>
      <c r="AD2070" s="29" t="str">
        <f t="shared" si="700"/>
        <v>NA</v>
      </c>
      <c r="AE2070" s="29" t="str">
        <f t="shared" si="701"/>
        <v>NA</v>
      </c>
      <c r="AF2070" s="29" t="str">
        <f t="shared" si="702"/>
        <v>NA</v>
      </c>
      <c r="AG2070" s="29" t="str">
        <f t="shared" si="703"/>
        <v>NA</v>
      </c>
      <c r="AH2070" s="29" t="str">
        <f t="shared" si="704"/>
        <v>NA</v>
      </c>
    </row>
    <row r="2071" customHeight="1" spans="1:34">
      <c r="A2071" s="12" t="s">
        <v>1043</v>
      </c>
      <c r="F2071" s="24">
        <f t="shared" si="686"/>
        <v>0</v>
      </c>
      <c r="G2071" s="24" t="e">
        <f t="shared" si="685"/>
        <v>#DIV/0!</v>
      </c>
      <c r="Q2071" s="29" t="str">
        <f t="shared" si="687"/>
        <v>NA</v>
      </c>
      <c r="R2071" s="29" t="str">
        <f t="shared" si="688"/>
        <v>NA</v>
      </c>
      <c r="S2071" s="29" t="str">
        <f t="shared" si="689"/>
        <v>NA</v>
      </c>
      <c r="T2071" s="29" t="str">
        <f t="shared" si="690"/>
        <v>NA</v>
      </c>
      <c r="U2071" s="29" t="str">
        <f t="shared" si="691"/>
        <v>NA</v>
      </c>
      <c r="V2071" s="29" t="str">
        <f t="shared" si="692"/>
        <v>NA</v>
      </c>
      <c r="W2071" s="29" t="str">
        <f t="shared" si="693"/>
        <v>NA</v>
      </c>
      <c r="X2071" s="29" t="str">
        <f t="shared" si="694"/>
        <v>NA</v>
      </c>
      <c r="Y2071" s="29" t="str">
        <f t="shared" si="695"/>
        <v>NA</v>
      </c>
      <c r="Z2071" s="29" t="str">
        <f t="shared" si="696"/>
        <v>NA</v>
      </c>
      <c r="AA2071" s="29" t="str">
        <f t="shared" si="697"/>
        <v>NA</v>
      </c>
      <c r="AB2071" s="29" t="str">
        <f t="shared" si="698"/>
        <v>NA</v>
      </c>
      <c r="AC2071" s="29" t="str">
        <f t="shared" si="699"/>
        <v>NA</v>
      </c>
      <c r="AD2071" s="29" t="str">
        <f t="shared" si="700"/>
        <v>NA</v>
      </c>
      <c r="AE2071" s="29" t="str">
        <f t="shared" si="701"/>
        <v>NA</v>
      </c>
      <c r="AF2071" s="29" t="str">
        <f t="shared" si="702"/>
        <v>NA</v>
      </c>
      <c r="AG2071" s="29" t="str">
        <f t="shared" si="703"/>
        <v>NA</v>
      </c>
      <c r="AH2071" s="29" t="str">
        <f t="shared" si="704"/>
        <v>NA</v>
      </c>
    </row>
    <row r="2072" customHeight="1" spans="1:34">
      <c r="A2072" s="12" t="s">
        <v>1043</v>
      </c>
      <c r="F2072" s="24">
        <f t="shared" si="686"/>
        <v>0</v>
      </c>
      <c r="G2072" s="24" t="e">
        <f t="shared" si="685"/>
        <v>#DIV/0!</v>
      </c>
      <c r="Q2072" s="29" t="str">
        <f t="shared" si="687"/>
        <v>NA</v>
      </c>
      <c r="R2072" s="29" t="str">
        <f t="shared" si="688"/>
        <v>NA</v>
      </c>
      <c r="S2072" s="29" t="str">
        <f t="shared" si="689"/>
        <v>NA</v>
      </c>
      <c r="T2072" s="29" t="str">
        <f t="shared" si="690"/>
        <v>NA</v>
      </c>
      <c r="U2072" s="29" t="str">
        <f t="shared" si="691"/>
        <v>NA</v>
      </c>
      <c r="V2072" s="29" t="str">
        <f t="shared" si="692"/>
        <v>NA</v>
      </c>
      <c r="W2072" s="29" t="str">
        <f t="shared" si="693"/>
        <v>NA</v>
      </c>
      <c r="X2072" s="29" t="str">
        <f t="shared" si="694"/>
        <v>NA</v>
      </c>
      <c r="Y2072" s="29" t="str">
        <f t="shared" si="695"/>
        <v>NA</v>
      </c>
      <c r="Z2072" s="29" t="str">
        <f t="shared" si="696"/>
        <v>NA</v>
      </c>
      <c r="AA2072" s="29" t="str">
        <f t="shared" si="697"/>
        <v>NA</v>
      </c>
      <c r="AB2072" s="29" t="str">
        <f t="shared" si="698"/>
        <v>NA</v>
      </c>
      <c r="AC2072" s="29" t="str">
        <f t="shared" si="699"/>
        <v>NA</v>
      </c>
      <c r="AD2072" s="29" t="str">
        <f t="shared" si="700"/>
        <v>NA</v>
      </c>
      <c r="AE2072" s="29" t="str">
        <f t="shared" si="701"/>
        <v>NA</v>
      </c>
      <c r="AF2072" s="29" t="str">
        <f t="shared" si="702"/>
        <v>NA</v>
      </c>
      <c r="AG2072" s="29" t="str">
        <f t="shared" si="703"/>
        <v>NA</v>
      </c>
      <c r="AH2072" s="29" t="str">
        <f t="shared" si="704"/>
        <v>NA</v>
      </c>
    </row>
    <row r="2073" customHeight="1" spans="1:34">
      <c r="A2073" s="12" t="s">
        <v>1043</v>
      </c>
      <c r="F2073" s="24">
        <f t="shared" si="686"/>
        <v>0</v>
      </c>
      <c r="G2073" s="24" t="e">
        <f t="shared" si="685"/>
        <v>#DIV/0!</v>
      </c>
      <c r="Q2073" s="29" t="str">
        <f t="shared" si="687"/>
        <v>NA</v>
      </c>
      <c r="R2073" s="29" t="str">
        <f t="shared" si="688"/>
        <v>NA</v>
      </c>
      <c r="S2073" s="29" t="str">
        <f t="shared" si="689"/>
        <v>NA</v>
      </c>
      <c r="T2073" s="29" t="str">
        <f t="shared" si="690"/>
        <v>NA</v>
      </c>
      <c r="U2073" s="29" t="str">
        <f t="shared" si="691"/>
        <v>NA</v>
      </c>
      <c r="V2073" s="29" t="str">
        <f t="shared" si="692"/>
        <v>NA</v>
      </c>
      <c r="W2073" s="29" t="str">
        <f t="shared" si="693"/>
        <v>NA</v>
      </c>
      <c r="X2073" s="29" t="str">
        <f t="shared" si="694"/>
        <v>NA</v>
      </c>
      <c r="Y2073" s="29" t="str">
        <f t="shared" si="695"/>
        <v>NA</v>
      </c>
      <c r="Z2073" s="29" t="str">
        <f t="shared" si="696"/>
        <v>NA</v>
      </c>
      <c r="AA2073" s="29" t="str">
        <f t="shared" si="697"/>
        <v>NA</v>
      </c>
      <c r="AB2073" s="29" t="str">
        <f t="shared" si="698"/>
        <v>NA</v>
      </c>
      <c r="AC2073" s="29" t="str">
        <f t="shared" si="699"/>
        <v>NA</v>
      </c>
      <c r="AD2073" s="29" t="str">
        <f t="shared" si="700"/>
        <v>NA</v>
      </c>
      <c r="AE2073" s="29" t="str">
        <f t="shared" si="701"/>
        <v>NA</v>
      </c>
      <c r="AF2073" s="29" t="str">
        <f t="shared" si="702"/>
        <v>NA</v>
      </c>
      <c r="AG2073" s="29" t="str">
        <f t="shared" si="703"/>
        <v>NA</v>
      </c>
      <c r="AH2073" s="29" t="str">
        <f t="shared" si="704"/>
        <v>NA</v>
      </c>
    </row>
    <row r="2074" customHeight="1" spans="1:34">
      <c r="A2074" s="12" t="s">
        <v>1043</v>
      </c>
      <c r="F2074" s="24">
        <f t="shared" si="686"/>
        <v>0</v>
      </c>
      <c r="G2074" s="24" t="e">
        <f t="shared" si="685"/>
        <v>#DIV/0!</v>
      </c>
      <c r="Q2074" s="29" t="str">
        <f t="shared" si="687"/>
        <v>NA</v>
      </c>
      <c r="R2074" s="29" t="str">
        <f t="shared" si="688"/>
        <v>NA</v>
      </c>
      <c r="S2074" s="29" t="str">
        <f t="shared" si="689"/>
        <v>NA</v>
      </c>
      <c r="T2074" s="29" t="str">
        <f t="shared" si="690"/>
        <v>NA</v>
      </c>
      <c r="U2074" s="29" t="str">
        <f t="shared" si="691"/>
        <v>NA</v>
      </c>
      <c r="V2074" s="29" t="str">
        <f t="shared" si="692"/>
        <v>NA</v>
      </c>
      <c r="W2074" s="29" t="str">
        <f t="shared" si="693"/>
        <v>NA</v>
      </c>
      <c r="X2074" s="29" t="str">
        <f t="shared" si="694"/>
        <v>NA</v>
      </c>
      <c r="Y2074" s="29" t="str">
        <f t="shared" si="695"/>
        <v>NA</v>
      </c>
      <c r="Z2074" s="29" t="str">
        <f t="shared" si="696"/>
        <v>NA</v>
      </c>
      <c r="AA2074" s="29" t="str">
        <f t="shared" si="697"/>
        <v>NA</v>
      </c>
      <c r="AB2074" s="29" t="str">
        <f t="shared" si="698"/>
        <v>NA</v>
      </c>
      <c r="AC2074" s="29" t="str">
        <f t="shared" si="699"/>
        <v>NA</v>
      </c>
      <c r="AD2074" s="29" t="str">
        <f t="shared" si="700"/>
        <v>NA</v>
      </c>
      <c r="AE2074" s="29" t="str">
        <f t="shared" si="701"/>
        <v>NA</v>
      </c>
      <c r="AF2074" s="29" t="str">
        <f t="shared" si="702"/>
        <v>NA</v>
      </c>
      <c r="AG2074" s="29" t="str">
        <f t="shared" si="703"/>
        <v>NA</v>
      </c>
      <c r="AH2074" s="29" t="str">
        <f t="shared" si="704"/>
        <v>NA</v>
      </c>
    </row>
    <row r="2075" customHeight="1" spans="1:34">
      <c r="A2075" s="12" t="s">
        <v>1043</v>
      </c>
      <c r="F2075" s="24">
        <f t="shared" si="686"/>
        <v>0</v>
      </c>
      <c r="G2075" s="24" t="e">
        <f t="shared" si="685"/>
        <v>#DIV/0!</v>
      </c>
      <c r="Q2075" s="29" t="str">
        <f t="shared" si="687"/>
        <v>NA</v>
      </c>
      <c r="R2075" s="29" t="str">
        <f t="shared" si="688"/>
        <v>NA</v>
      </c>
      <c r="S2075" s="29" t="str">
        <f t="shared" si="689"/>
        <v>NA</v>
      </c>
      <c r="T2075" s="29" t="str">
        <f t="shared" si="690"/>
        <v>NA</v>
      </c>
      <c r="U2075" s="29" t="str">
        <f t="shared" si="691"/>
        <v>NA</v>
      </c>
      <c r="V2075" s="29" t="str">
        <f t="shared" si="692"/>
        <v>NA</v>
      </c>
      <c r="W2075" s="29" t="str">
        <f t="shared" si="693"/>
        <v>NA</v>
      </c>
      <c r="X2075" s="29" t="str">
        <f t="shared" si="694"/>
        <v>NA</v>
      </c>
      <c r="Y2075" s="29" t="str">
        <f t="shared" si="695"/>
        <v>NA</v>
      </c>
      <c r="Z2075" s="29" t="str">
        <f t="shared" si="696"/>
        <v>NA</v>
      </c>
      <c r="AA2075" s="29" t="str">
        <f t="shared" si="697"/>
        <v>NA</v>
      </c>
      <c r="AB2075" s="29" t="str">
        <f t="shared" si="698"/>
        <v>NA</v>
      </c>
      <c r="AC2075" s="29" t="str">
        <f t="shared" si="699"/>
        <v>NA</v>
      </c>
      <c r="AD2075" s="29" t="str">
        <f t="shared" si="700"/>
        <v>NA</v>
      </c>
      <c r="AE2075" s="29" t="str">
        <f t="shared" si="701"/>
        <v>NA</v>
      </c>
      <c r="AF2075" s="29" t="str">
        <f t="shared" si="702"/>
        <v>NA</v>
      </c>
      <c r="AG2075" s="29" t="str">
        <f t="shared" si="703"/>
        <v>NA</v>
      </c>
      <c r="AH2075" s="29" t="str">
        <f t="shared" si="704"/>
        <v>NA</v>
      </c>
    </row>
    <row r="2076" customHeight="1" spans="1:34">
      <c r="A2076" s="12" t="s">
        <v>1043</v>
      </c>
      <c r="F2076" s="24">
        <f t="shared" si="686"/>
        <v>0</v>
      </c>
      <c r="G2076" s="24" t="e">
        <f t="shared" si="685"/>
        <v>#DIV/0!</v>
      </c>
      <c r="Q2076" s="29" t="str">
        <f t="shared" si="687"/>
        <v>NA</v>
      </c>
      <c r="R2076" s="29" t="str">
        <f t="shared" si="688"/>
        <v>NA</v>
      </c>
      <c r="S2076" s="29" t="str">
        <f t="shared" si="689"/>
        <v>NA</v>
      </c>
      <c r="T2076" s="29" t="str">
        <f t="shared" si="690"/>
        <v>NA</v>
      </c>
      <c r="U2076" s="29" t="str">
        <f t="shared" si="691"/>
        <v>NA</v>
      </c>
      <c r="V2076" s="29" t="str">
        <f t="shared" si="692"/>
        <v>NA</v>
      </c>
      <c r="W2076" s="29" t="str">
        <f t="shared" si="693"/>
        <v>NA</v>
      </c>
      <c r="X2076" s="29" t="str">
        <f t="shared" si="694"/>
        <v>NA</v>
      </c>
      <c r="Y2076" s="29" t="str">
        <f t="shared" si="695"/>
        <v>NA</v>
      </c>
      <c r="Z2076" s="29" t="str">
        <f t="shared" si="696"/>
        <v>NA</v>
      </c>
      <c r="AA2076" s="29" t="str">
        <f t="shared" si="697"/>
        <v>NA</v>
      </c>
      <c r="AB2076" s="29" t="str">
        <f t="shared" si="698"/>
        <v>NA</v>
      </c>
      <c r="AC2076" s="29" t="str">
        <f t="shared" si="699"/>
        <v>NA</v>
      </c>
      <c r="AD2076" s="29" t="str">
        <f t="shared" si="700"/>
        <v>NA</v>
      </c>
      <c r="AE2076" s="29" t="str">
        <f t="shared" si="701"/>
        <v>NA</v>
      </c>
      <c r="AF2076" s="29" t="str">
        <f t="shared" si="702"/>
        <v>NA</v>
      </c>
      <c r="AG2076" s="29" t="str">
        <f t="shared" si="703"/>
        <v>NA</v>
      </c>
      <c r="AH2076" s="29" t="str">
        <f t="shared" si="704"/>
        <v>NA</v>
      </c>
    </row>
    <row r="2077" customHeight="1" spans="1:34">
      <c r="A2077" s="12" t="s">
        <v>1043</v>
      </c>
      <c r="F2077" s="24">
        <f t="shared" si="686"/>
        <v>0</v>
      </c>
      <c r="G2077" s="24" t="e">
        <f t="shared" si="685"/>
        <v>#DIV/0!</v>
      </c>
      <c r="Q2077" s="29" t="str">
        <f t="shared" si="687"/>
        <v>NA</v>
      </c>
      <c r="R2077" s="29" t="str">
        <f t="shared" si="688"/>
        <v>NA</v>
      </c>
      <c r="S2077" s="29" t="str">
        <f t="shared" si="689"/>
        <v>NA</v>
      </c>
      <c r="T2077" s="29" t="str">
        <f t="shared" si="690"/>
        <v>NA</v>
      </c>
      <c r="U2077" s="29" t="str">
        <f t="shared" si="691"/>
        <v>NA</v>
      </c>
      <c r="V2077" s="29" t="str">
        <f t="shared" si="692"/>
        <v>NA</v>
      </c>
      <c r="W2077" s="29" t="str">
        <f t="shared" si="693"/>
        <v>NA</v>
      </c>
      <c r="X2077" s="29" t="str">
        <f t="shared" si="694"/>
        <v>NA</v>
      </c>
      <c r="Y2077" s="29" t="str">
        <f t="shared" si="695"/>
        <v>NA</v>
      </c>
      <c r="Z2077" s="29" t="str">
        <f t="shared" si="696"/>
        <v>NA</v>
      </c>
      <c r="AA2077" s="29" t="str">
        <f t="shared" si="697"/>
        <v>NA</v>
      </c>
      <c r="AB2077" s="29" t="str">
        <f t="shared" si="698"/>
        <v>NA</v>
      </c>
      <c r="AC2077" s="29" t="str">
        <f t="shared" si="699"/>
        <v>NA</v>
      </c>
      <c r="AD2077" s="29" t="str">
        <f t="shared" si="700"/>
        <v>NA</v>
      </c>
      <c r="AE2077" s="29" t="str">
        <f t="shared" si="701"/>
        <v>NA</v>
      </c>
      <c r="AF2077" s="29" t="str">
        <f t="shared" si="702"/>
        <v>NA</v>
      </c>
      <c r="AG2077" s="29" t="str">
        <f t="shared" si="703"/>
        <v>NA</v>
      </c>
      <c r="AH2077" s="29" t="str">
        <f t="shared" si="704"/>
        <v>NA</v>
      </c>
    </row>
    <row r="2078" customHeight="1" spans="1:34">
      <c r="A2078" s="12" t="s">
        <v>1043</v>
      </c>
      <c r="F2078" s="24">
        <f t="shared" si="686"/>
        <v>0</v>
      </c>
      <c r="G2078" s="24" t="e">
        <f t="shared" si="685"/>
        <v>#DIV/0!</v>
      </c>
      <c r="Q2078" s="29" t="str">
        <f t="shared" si="687"/>
        <v>NA</v>
      </c>
      <c r="R2078" s="29" t="str">
        <f t="shared" si="688"/>
        <v>NA</v>
      </c>
      <c r="S2078" s="29" t="str">
        <f t="shared" si="689"/>
        <v>NA</v>
      </c>
      <c r="T2078" s="29" t="str">
        <f t="shared" si="690"/>
        <v>NA</v>
      </c>
      <c r="U2078" s="29" t="str">
        <f t="shared" si="691"/>
        <v>NA</v>
      </c>
      <c r="V2078" s="29" t="str">
        <f t="shared" si="692"/>
        <v>NA</v>
      </c>
      <c r="W2078" s="29" t="str">
        <f t="shared" si="693"/>
        <v>NA</v>
      </c>
      <c r="X2078" s="29" t="str">
        <f t="shared" si="694"/>
        <v>NA</v>
      </c>
      <c r="Y2078" s="29" t="str">
        <f t="shared" si="695"/>
        <v>NA</v>
      </c>
      <c r="Z2078" s="29" t="str">
        <f t="shared" si="696"/>
        <v>NA</v>
      </c>
      <c r="AA2078" s="29" t="str">
        <f t="shared" si="697"/>
        <v>NA</v>
      </c>
      <c r="AB2078" s="29" t="str">
        <f t="shared" si="698"/>
        <v>NA</v>
      </c>
      <c r="AC2078" s="29" t="str">
        <f t="shared" si="699"/>
        <v>NA</v>
      </c>
      <c r="AD2078" s="29" t="str">
        <f t="shared" si="700"/>
        <v>NA</v>
      </c>
      <c r="AE2078" s="29" t="str">
        <f t="shared" si="701"/>
        <v>NA</v>
      </c>
      <c r="AF2078" s="29" t="str">
        <f t="shared" si="702"/>
        <v>NA</v>
      </c>
      <c r="AG2078" s="29" t="str">
        <f t="shared" si="703"/>
        <v>NA</v>
      </c>
      <c r="AH2078" s="29" t="str">
        <f t="shared" si="704"/>
        <v>NA</v>
      </c>
    </row>
    <row r="2079" customHeight="1" spans="1:34">
      <c r="A2079" s="12" t="s">
        <v>1043</v>
      </c>
      <c r="F2079" s="24">
        <f t="shared" si="686"/>
        <v>0</v>
      </c>
      <c r="G2079" s="24" t="e">
        <f t="shared" si="685"/>
        <v>#DIV/0!</v>
      </c>
      <c r="Q2079" s="29" t="str">
        <f t="shared" si="687"/>
        <v>NA</v>
      </c>
      <c r="R2079" s="29" t="str">
        <f t="shared" si="688"/>
        <v>NA</v>
      </c>
      <c r="S2079" s="29" t="str">
        <f t="shared" si="689"/>
        <v>NA</v>
      </c>
      <c r="T2079" s="29" t="str">
        <f t="shared" si="690"/>
        <v>NA</v>
      </c>
      <c r="U2079" s="29" t="str">
        <f t="shared" si="691"/>
        <v>NA</v>
      </c>
      <c r="V2079" s="29" t="str">
        <f t="shared" si="692"/>
        <v>NA</v>
      </c>
      <c r="W2079" s="29" t="str">
        <f t="shared" si="693"/>
        <v>NA</v>
      </c>
      <c r="X2079" s="29" t="str">
        <f t="shared" si="694"/>
        <v>NA</v>
      </c>
      <c r="Y2079" s="29" t="str">
        <f t="shared" si="695"/>
        <v>NA</v>
      </c>
      <c r="Z2079" s="29" t="str">
        <f t="shared" si="696"/>
        <v>NA</v>
      </c>
      <c r="AA2079" s="29" t="str">
        <f t="shared" si="697"/>
        <v>NA</v>
      </c>
      <c r="AB2079" s="29" t="str">
        <f t="shared" si="698"/>
        <v>NA</v>
      </c>
      <c r="AC2079" s="29" t="str">
        <f t="shared" si="699"/>
        <v>NA</v>
      </c>
      <c r="AD2079" s="29" t="str">
        <f t="shared" si="700"/>
        <v>NA</v>
      </c>
      <c r="AE2079" s="29" t="str">
        <f t="shared" si="701"/>
        <v>NA</v>
      </c>
      <c r="AF2079" s="29" t="str">
        <f t="shared" si="702"/>
        <v>NA</v>
      </c>
      <c r="AG2079" s="29" t="str">
        <f t="shared" si="703"/>
        <v>NA</v>
      </c>
      <c r="AH2079" s="29" t="str">
        <f t="shared" si="704"/>
        <v>NA</v>
      </c>
    </row>
    <row r="2080" customHeight="1" spans="1:34">
      <c r="A2080" s="12" t="s">
        <v>1043</v>
      </c>
      <c r="F2080" s="24">
        <f t="shared" si="686"/>
        <v>0</v>
      </c>
      <c r="G2080" s="24" t="e">
        <f t="shared" si="685"/>
        <v>#DIV/0!</v>
      </c>
      <c r="Q2080" s="29" t="str">
        <f t="shared" si="687"/>
        <v>NA</v>
      </c>
      <c r="R2080" s="29" t="str">
        <f t="shared" si="688"/>
        <v>NA</v>
      </c>
      <c r="S2080" s="29" t="str">
        <f t="shared" si="689"/>
        <v>NA</v>
      </c>
      <c r="T2080" s="29" t="str">
        <f t="shared" si="690"/>
        <v>NA</v>
      </c>
      <c r="U2080" s="29" t="str">
        <f t="shared" si="691"/>
        <v>NA</v>
      </c>
      <c r="V2080" s="29" t="str">
        <f t="shared" si="692"/>
        <v>NA</v>
      </c>
      <c r="W2080" s="29" t="str">
        <f t="shared" si="693"/>
        <v>NA</v>
      </c>
      <c r="X2080" s="29" t="str">
        <f t="shared" si="694"/>
        <v>NA</v>
      </c>
      <c r="Y2080" s="29" t="str">
        <f t="shared" si="695"/>
        <v>NA</v>
      </c>
      <c r="Z2080" s="29" t="str">
        <f t="shared" si="696"/>
        <v>NA</v>
      </c>
      <c r="AA2080" s="29" t="str">
        <f t="shared" si="697"/>
        <v>NA</v>
      </c>
      <c r="AB2080" s="29" t="str">
        <f t="shared" si="698"/>
        <v>NA</v>
      </c>
      <c r="AC2080" s="29" t="str">
        <f t="shared" si="699"/>
        <v>NA</v>
      </c>
      <c r="AD2080" s="29" t="str">
        <f t="shared" si="700"/>
        <v>NA</v>
      </c>
      <c r="AE2080" s="29" t="str">
        <f t="shared" si="701"/>
        <v>NA</v>
      </c>
      <c r="AF2080" s="29" t="str">
        <f t="shared" si="702"/>
        <v>NA</v>
      </c>
      <c r="AG2080" s="29" t="str">
        <f t="shared" si="703"/>
        <v>NA</v>
      </c>
      <c r="AH2080" s="29" t="str">
        <f t="shared" si="704"/>
        <v>NA</v>
      </c>
    </row>
    <row r="2081" customHeight="1" spans="1:34">
      <c r="A2081" s="12" t="s">
        <v>1043</v>
      </c>
      <c r="F2081" s="24">
        <f t="shared" si="686"/>
        <v>0</v>
      </c>
      <c r="G2081" s="24" t="e">
        <f t="shared" si="685"/>
        <v>#DIV/0!</v>
      </c>
      <c r="Q2081" s="29" t="str">
        <f t="shared" si="687"/>
        <v>NA</v>
      </c>
      <c r="R2081" s="29" t="str">
        <f t="shared" si="688"/>
        <v>NA</v>
      </c>
      <c r="S2081" s="29" t="str">
        <f t="shared" si="689"/>
        <v>NA</v>
      </c>
      <c r="T2081" s="29" t="str">
        <f t="shared" si="690"/>
        <v>NA</v>
      </c>
      <c r="U2081" s="29" t="str">
        <f t="shared" si="691"/>
        <v>NA</v>
      </c>
      <c r="V2081" s="29" t="str">
        <f t="shared" si="692"/>
        <v>NA</v>
      </c>
      <c r="W2081" s="29" t="str">
        <f t="shared" si="693"/>
        <v>NA</v>
      </c>
      <c r="X2081" s="29" t="str">
        <f t="shared" si="694"/>
        <v>NA</v>
      </c>
      <c r="Y2081" s="29" t="str">
        <f t="shared" si="695"/>
        <v>NA</v>
      </c>
      <c r="Z2081" s="29" t="str">
        <f t="shared" si="696"/>
        <v>NA</v>
      </c>
      <c r="AA2081" s="29" t="str">
        <f t="shared" si="697"/>
        <v>NA</v>
      </c>
      <c r="AB2081" s="29" t="str">
        <f t="shared" si="698"/>
        <v>NA</v>
      </c>
      <c r="AC2081" s="29" t="str">
        <f t="shared" si="699"/>
        <v>NA</v>
      </c>
      <c r="AD2081" s="29" t="str">
        <f t="shared" si="700"/>
        <v>NA</v>
      </c>
      <c r="AE2081" s="29" t="str">
        <f t="shared" si="701"/>
        <v>NA</v>
      </c>
      <c r="AF2081" s="29" t="str">
        <f t="shared" si="702"/>
        <v>NA</v>
      </c>
      <c r="AG2081" s="29" t="str">
        <f t="shared" si="703"/>
        <v>NA</v>
      </c>
      <c r="AH2081" s="29" t="str">
        <f t="shared" si="704"/>
        <v>NA</v>
      </c>
    </row>
    <row r="2082" customHeight="1" spans="1:34">
      <c r="A2082" s="12" t="s">
        <v>1043</v>
      </c>
      <c r="F2082" s="24">
        <f t="shared" si="686"/>
        <v>0</v>
      </c>
      <c r="G2082" s="24" t="e">
        <f t="shared" si="685"/>
        <v>#DIV/0!</v>
      </c>
      <c r="Q2082" s="29" t="str">
        <f t="shared" si="687"/>
        <v>NA</v>
      </c>
      <c r="R2082" s="29" t="str">
        <f t="shared" si="688"/>
        <v>NA</v>
      </c>
      <c r="S2082" s="29" t="str">
        <f t="shared" si="689"/>
        <v>NA</v>
      </c>
      <c r="T2082" s="29" t="str">
        <f t="shared" si="690"/>
        <v>NA</v>
      </c>
      <c r="U2082" s="29" t="str">
        <f t="shared" si="691"/>
        <v>NA</v>
      </c>
      <c r="V2082" s="29" t="str">
        <f t="shared" si="692"/>
        <v>NA</v>
      </c>
      <c r="W2082" s="29" t="str">
        <f t="shared" si="693"/>
        <v>NA</v>
      </c>
      <c r="X2082" s="29" t="str">
        <f t="shared" si="694"/>
        <v>NA</v>
      </c>
      <c r="Y2082" s="29" t="str">
        <f t="shared" si="695"/>
        <v>NA</v>
      </c>
      <c r="Z2082" s="29" t="str">
        <f t="shared" si="696"/>
        <v>NA</v>
      </c>
      <c r="AA2082" s="29" t="str">
        <f t="shared" si="697"/>
        <v>NA</v>
      </c>
      <c r="AB2082" s="29" t="str">
        <f t="shared" si="698"/>
        <v>NA</v>
      </c>
      <c r="AC2082" s="29" t="str">
        <f t="shared" si="699"/>
        <v>NA</v>
      </c>
      <c r="AD2082" s="29" t="str">
        <f t="shared" si="700"/>
        <v>NA</v>
      </c>
      <c r="AE2082" s="29" t="str">
        <f t="shared" si="701"/>
        <v>NA</v>
      </c>
      <c r="AF2082" s="29" t="str">
        <f t="shared" si="702"/>
        <v>NA</v>
      </c>
      <c r="AG2082" s="29" t="str">
        <f t="shared" si="703"/>
        <v>NA</v>
      </c>
      <c r="AH2082" s="29" t="str">
        <f t="shared" si="704"/>
        <v>NA</v>
      </c>
    </row>
    <row r="2083" customHeight="1" spans="1:34">
      <c r="A2083" s="12" t="s">
        <v>1043</v>
      </c>
      <c r="F2083" s="24">
        <f t="shared" si="686"/>
        <v>0</v>
      </c>
      <c r="G2083" s="24" t="e">
        <f t="shared" si="685"/>
        <v>#DIV/0!</v>
      </c>
      <c r="Q2083" s="29" t="str">
        <f t="shared" si="687"/>
        <v>NA</v>
      </c>
      <c r="R2083" s="29" t="str">
        <f t="shared" si="688"/>
        <v>NA</v>
      </c>
      <c r="S2083" s="29" t="str">
        <f t="shared" si="689"/>
        <v>NA</v>
      </c>
      <c r="T2083" s="29" t="str">
        <f t="shared" si="690"/>
        <v>NA</v>
      </c>
      <c r="U2083" s="29" t="str">
        <f t="shared" si="691"/>
        <v>NA</v>
      </c>
      <c r="V2083" s="29" t="str">
        <f t="shared" si="692"/>
        <v>NA</v>
      </c>
      <c r="W2083" s="29" t="str">
        <f t="shared" si="693"/>
        <v>NA</v>
      </c>
      <c r="X2083" s="29" t="str">
        <f t="shared" si="694"/>
        <v>NA</v>
      </c>
      <c r="Y2083" s="29" t="str">
        <f t="shared" si="695"/>
        <v>NA</v>
      </c>
      <c r="Z2083" s="29" t="str">
        <f t="shared" si="696"/>
        <v>NA</v>
      </c>
      <c r="AA2083" s="29" t="str">
        <f t="shared" si="697"/>
        <v>NA</v>
      </c>
      <c r="AB2083" s="29" t="str">
        <f t="shared" si="698"/>
        <v>NA</v>
      </c>
      <c r="AC2083" s="29" t="str">
        <f t="shared" si="699"/>
        <v>NA</v>
      </c>
      <c r="AD2083" s="29" t="str">
        <f t="shared" si="700"/>
        <v>NA</v>
      </c>
      <c r="AE2083" s="29" t="str">
        <f t="shared" si="701"/>
        <v>NA</v>
      </c>
      <c r="AF2083" s="29" t="str">
        <f t="shared" si="702"/>
        <v>NA</v>
      </c>
      <c r="AG2083" s="29" t="str">
        <f t="shared" si="703"/>
        <v>NA</v>
      </c>
      <c r="AH2083" s="29" t="str">
        <f t="shared" si="704"/>
        <v>NA</v>
      </c>
    </row>
    <row r="2084" customHeight="1" spans="1:34">
      <c r="A2084" s="12" t="s">
        <v>1043</v>
      </c>
      <c r="F2084" s="24">
        <f t="shared" si="686"/>
        <v>0</v>
      </c>
      <c r="G2084" s="24" t="e">
        <f t="shared" si="685"/>
        <v>#DIV/0!</v>
      </c>
      <c r="Q2084" s="29" t="str">
        <f t="shared" si="687"/>
        <v>NA</v>
      </c>
      <c r="R2084" s="29" t="str">
        <f t="shared" si="688"/>
        <v>NA</v>
      </c>
      <c r="S2084" s="29" t="str">
        <f t="shared" si="689"/>
        <v>NA</v>
      </c>
      <c r="T2084" s="29" t="str">
        <f t="shared" si="690"/>
        <v>NA</v>
      </c>
      <c r="U2084" s="29" t="str">
        <f t="shared" si="691"/>
        <v>NA</v>
      </c>
      <c r="V2084" s="29" t="str">
        <f t="shared" si="692"/>
        <v>NA</v>
      </c>
      <c r="W2084" s="29" t="str">
        <f t="shared" si="693"/>
        <v>NA</v>
      </c>
      <c r="X2084" s="29" t="str">
        <f t="shared" si="694"/>
        <v>NA</v>
      </c>
      <c r="Y2084" s="29" t="str">
        <f t="shared" si="695"/>
        <v>NA</v>
      </c>
      <c r="Z2084" s="29" t="str">
        <f t="shared" si="696"/>
        <v>NA</v>
      </c>
      <c r="AA2084" s="29" t="str">
        <f t="shared" si="697"/>
        <v>NA</v>
      </c>
      <c r="AB2084" s="29" t="str">
        <f t="shared" si="698"/>
        <v>NA</v>
      </c>
      <c r="AC2084" s="29" t="str">
        <f t="shared" si="699"/>
        <v>NA</v>
      </c>
      <c r="AD2084" s="29" t="str">
        <f t="shared" si="700"/>
        <v>NA</v>
      </c>
      <c r="AE2084" s="29" t="str">
        <f t="shared" si="701"/>
        <v>NA</v>
      </c>
      <c r="AF2084" s="29" t="str">
        <f t="shared" si="702"/>
        <v>NA</v>
      </c>
      <c r="AG2084" s="29" t="str">
        <f t="shared" si="703"/>
        <v>NA</v>
      </c>
      <c r="AH2084" s="29" t="str">
        <f t="shared" si="704"/>
        <v>NA</v>
      </c>
    </row>
    <row r="2085" customHeight="1" spans="1:34">
      <c r="A2085" s="12" t="s">
        <v>1043</v>
      </c>
      <c r="F2085" s="24">
        <f t="shared" si="686"/>
        <v>0</v>
      </c>
      <c r="G2085" s="24" t="e">
        <f t="shared" si="685"/>
        <v>#DIV/0!</v>
      </c>
      <c r="Q2085" s="29" t="str">
        <f t="shared" si="687"/>
        <v>NA</v>
      </c>
      <c r="R2085" s="29" t="str">
        <f t="shared" si="688"/>
        <v>NA</v>
      </c>
      <c r="S2085" s="29" t="str">
        <f t="shared" si="689"/>
        <v>NA</v>
      </c>
      <c r="T2085" s="29" t="str">
        <f t="shared" si="690"/>
        <v>NA</v>
      </c>
      <c r="U2085" s="29" t="str">
        <f t="shared" si="691"/>
        <v>NA</v>
      </c>
      <c r="V2085" s="29" t="str">
        <f t="shared" si="692"/>
        <v>NA</v>
      </c>
      <c r="W2085" s="29" t="str">
        <f t="shared" si="693"/>
        <v>NA</v>
      </c>
      <c r="X2085" s="29" t="str">
        <f t="shared" si="694"/>
        <v>NA</v>
      </c>
      <c r="Y2085" s="29" t="str">
        <f t="shared" si="695"/>
        <v>NA</v>
      </c>
      <c r="Z2085" s="29" t="str">
        <f t="shared" si="696"/>
        <v>NA</v>
      </c>
      <c r="AA2085" s="29" t="str">
        <f t="shared" si="697"/>
        <v>NA</v>
      </c>
      <c r="AB2085" s="29" t="str">
        <f t="shared" si="698"/>
        <v>NA</v>
      </c>
      <c r="AC2085" s="29" t="str">
        <f t="shared" si="699"/>
        <v>NA</v>
      </c>
      <c r="AD2085" s="29" t="str">
        <f t="shared" si="700"/>
        <v>NA</v>
      </c>
      <c r="AE2085" s="29" t="str">
        <f t="shared" si="701"/>
        <v>NA</v>
      </c>
      <c r="AF2085" s="29" t="str">
        <f t="shared" si="702"/>
        <v>NA</v>
      </c>
      <c r="AG2085" s="29" t="str">
        <f t="shared" si="703"/>
        <v>NA</v>
      </c>
      <c r="AH2085" s="29" t="str">
        <f t="shared" si="704"/>
        <v>NA</v>
      </c>
    </row>
    <row r="2086" customHeight="1" spans="1:34">
      <c r="A2086" s="12" t="s">
        <v>1043</v>
      </c>
      <c r="F2086" s="24">
        <f t="shared" si="686"/>
        <v>0</v>
      </c>
      <c r="G2086" s="24" t="e">
        <f t="shared" si="685"/>
        <v>#DIV/0!</v>
      </c>
      <c r="Q2086" s="29" t="str">
        <f t="shared" si="687"/>
        <v>NA</v>
      </c>
      <c r="R2086" s="29" t="str">
        <f t="shared" si="688"/>
        <v>NA</v>
      </c>
      <c r="S2086" s="29" t="str">
        <f t="shared" si="689"/>
        <v>NA</v>
      </c>
      <c r="T2086" s="29" t="str">
        <f t="shared" si="690"/>
        <v>NA</v>
      </c>
      <c r="U2086" s="29" t="str">
        <f t="shared" si="691"/>
        <v>NA</v>
      </c>
      <c r="V2086" s="29" t="str">
        <f t="shared" si="692"/>
        <v>NA</v>
      </c>
      <c r="W2086" s="29" t="str">
        <f t="shared" si="693"/>
        <v>NA</v>
      </c>
      <c r="X2086" s="29" t="str">
        <f t="shared" si="694"/>
        <v>NA</v>
      </c>
      <c r="Y2086" s="29" t="str">
        <f t="shared" si="695"/>
        <v>NA</v>
      </c>
      <c r="Z2086" s="29" t="str">
        <f t="shared" si="696"/>
        <v>NA</v>
      </c>
      <c r="AA2086" s="29" t="str">
        <f t="shared" si="697"/>
        <v>NA</v>
      </c>
      <c r="AB2086" s="29" t="str">
        <f t="shared" si="698"/>
        <v>NA</v>
      </c>
      <c r="AC2086" s="29" t="str">
        <f t="shared" si="699"/>
        <v>NA</v>
      </c>
      <c r="AD2086" s="29" t="str">
        <f t="shared" si="700"/>
        <v>NA</v>
      </c>
      <c r="AE2086" s="29" t="str">
        <f t="shared" si="701"/>
        <v>NA</v>
      </c>
      <c r="AF2086" s="29" t="str">
        <f t="shared" si="702"/>
        <v>NA</v>
      </c>
      <c r="AG2086" s="29" t="str">
        <f t="shared" si="703"/>
        <v>NA</v>
      </c>
      <c r="AH2086" s="29" t="str">
        <f t="shared" si="704"/>
        <v>NA</v>
      </c>
    </row>
    <row r="2087" customHeight="1" spans="1:34">
      <c r="A2087" s="12" t="s">
        <v>1043</v>
      </c>
      <c r="F2087" s="24">
        <f t="shared" si="686"/>
        <v>0</v>
      </c>
      <c r="G2087" s="24" t="e">
        <f t="shared" si="685"/>
        <v>#DIV/0!</v>
      </c>
      <c r="Q2087" s="29" t="str">
        <f t="shared" si="687"/>
        <v>NA</v>
      </c>
      <c r="R2087" s="29" t="str">
        <f t="shared" si="688"/>
        <v>NA</v>
      </c>
      <c r="S2087" s="29" t="str">
        <f t="shared" si="689"/>
        <v>NA</v>
      </c>
      <c r="T2087" s="29" t="str">
        <f t="shared" si="690"/>
        <v>NA</v>
      </c>
      <c r="U2087" s="29" t="str">
        <f t="shared" si="691"/>
        <v>NA</v>
      </c>
      <c r="V2087" s="29" t="str">
        <f t="shared" si="692"/>
        <v>NA</v>
      </c>
      <c r="W2087" s="29" t="str">
        <f t="shared" si="693"/>
        <v>NA</v>
      </c>
      <c r="X2087" s="29" t="str">
        <f t="shared" si="694"/>
        <v>NA</v>
      </c>
      <c r="Y2087" s="29" t="str">
        <f t="shared" si="695"/>
        <v>NA</v>
      </c>
      <c r="Z2087" s="29" t="str">
        <f t="shared" si="696"/>
        <v>NA</v>
      </c>
      <c r="AA2087" s="29" t="str">
        <f t="shared" si="697"/>
        <v>NA</v>
      </c>
      <c r="AB2087" s="29" t="str">
        <f t="shared" si="698"/>
        <v>NA</v>
      </c>
      <c r="AC2087" s="29" t="str">
        <f t="shared" si="699"/>
        <v>NA</v>
      </c>
      <c r="AD2087" s="29" t="str">
        <f t="shared" si="700"/>
        <v>NA</v>
      </c>
      <c r="AE2087" s="29" t="str">
        <f t="shared" si="701"/>
        <v>NA</v>
      </c>
      <c r="AF2087" s="29" t="str">
        <f t="shared" si="702"/>
        <v>NA</v>
      </c>
      <c r="AG2087" s="29" t="str">
        <f t="shared" si="703"/>
        <v>NA</v>
      </c>
      <c r="AH2087" s="29" t="str">
        <f t="shared" si="704"/>
        <v>NA</v>
      </c>
    </row>
    <row r="2088" customHeight="1" spans="1:34">
      <c r="A2088" s="12" t="s">
        <v>1043</v>
      </c>
      <c r="F2088" s="24">
        <f t="shared" si="686"/>
        <v>0</v>
      </c>
      <c r="G2088" s="24" t="e">
        <f t="shared" si="685"/>
        <v>#DIV/0!</v>
      </c>
      <c r="Q2088" s="29" t="str">
        <f t="shared" si="687"/>
        <v>NA</v>
      </c>
      <c r="R2088" s="29" t="str">
        <f t="shared" si="688"/>
        <v>NA</v>
      </c>
      <c r="S2088" s="29" t="str">
        <f t="shared" si="689"/>
        <v>NA</v>
      </c>
      <c r="T2088" s="29" t="str">
        <f t="shared" si="690"/>
        <v>NA</v>
      </c>
      <c r="U2088" s="29" t="str">
        <f t="shared" si="691"/>
        <v>NA</v>
      </c>
      <c r="V2088" s="29" t="str">
        <f t="shared" si="692"/>
        <v>NA</v>
      </c>
      <c r="W2088" s="29" t="str">
        <f t="shared" si="693"/>
        <v>NA</v>
      </c>
      <c r="X2088" s="29" t="str">
        <f t="shared" si="694"/>
        <v>NA</v>
      </c>
      <c r="Y2088" s="29" t="str">
        <f t="shared" si="695"/>
        <v>NA</v>
      </c>
      <c r="Z2088" s="29" t="str">
        <f t="shared" si="696"/>
        <v>NA</v>
      </c>
      <c r="AA2088" s="29" t="str">
        <f t="shared" si="697"/>
        <v>NA</v>
      </c>
      <c r="AB2088" s="29" t="str">
        <f t="shared" si="698"/>
        <v>NA</v>
      </c>
      <c r="AC2088" s="29" t="str">
        <f t="shared" si="699"/>
        <v>NA</v>
      </c>
      <c r="AD2088" s="29" t="str">
        <f t="shared" si="700"/>
        <v>NA</v>
      </c>
      <c r="AE2088" s="29" t="str">
        <f t="shared" si="701"/>
        <v>NA</v>
      </c>
      <c r="AF2088" s="29" t="str">
        <f t="shared" si="702"/>
        <v>NA</v>
      </c>
      <c r="AG2088" s="29" t="str">
        <f t="shared" si="703"/>
        <v>NA</v>
      </c>
      <c r="AH2088" s="29" t="str">
        <f t="shared" si="704"/>
        <v>NA</v>
      </c>
    </row>
    <row r="2089" customHeight="1" spans="1:34">
      <c r="A2089" s="12" t="s">
        <v>1043</v>
      </c>
      <c r="F2089" s="24">
        <f t="shared" si="686"/>
        <v>0</v>
      </c>
      <c r="G2089" s="24" t="e">
        <f t="shared" si="685"/>
        <v>#DIV/0!</v>
      </c>
      <c r="Q2089" s="29" t="str">
        <f t="shared" si="687"/>
        <v>NA</v>
      </c>
      <c r="R2089" s="29" t="str">
        <f t="shared" si="688"/>
        <v>NA</v>
      </c>
      <c r="S2089" s="29" t="str">
        <f t="shared" si="689"/>
        <v>NA</v>
      </c>
      <c r="T2089" s="29" t="str">
        <f t="shared" si="690"/>
        <v>NA</v>
      </c>
      <c r="U2089" s="29" t="str">
        <f t="shared" si="691"/>
        <v>NA</v>
      </c>
      <c r="V2089" s="29" t="str">
        <f t="shared" si="692"/>
        <v>NA</v>
      </c>
      <c r="W2089" s="29" t="str">
        <f t="shared" si="693"/>
        <v>NA</v>
      </c>
      <c r="X2089" s="29" t="str">
        <f t="shared" si="694"/>
        <v>NA</v>
      </c>
      <c r="Y2089" s="29" t="str">
        <f t="shared" si="695"/>
        <v>NA</v>
      </c>
      <c r="Z2089" s="29" t="str">
        <f t="shared" si="696"/>
        <v>NA</v>
      </c>
      <c r="AA2089" s="29" t="str">
        <f t="shared" si="697"/>
        <v>NA</v>
      </c>
      <c r="AB2089" s="29" t="str">
        <f t="shared" si="698"/>
        <v>NA</v>
      </c>
      <c r="AC2089" s="29" t="str">
        <f t="shared" si="699"/>
        <v>NA</v>
      </c>
      <c r="AD2089" s="29" t="str">
        <f t="shared" si="700"/>
        <v>NA</v>
      </c>
      <c r="AE2089" s="29" t="str">
        <f t="shared" si="701"/>
        <v>NA</v>
      </c>
      <c r="AF2089" s="29" t="str">
        <f t="shared" si="702"/>
        <v>NA</v>
      </c>
      <c r="AG2089" s="29" t="str">
        <f t="shared" si="703"/>
        <v>NA</v>
      </c>
      <c r="AH2089" s="29" t="str">
        <f t="shared" si="704"/>
        <v>NA</v>
      </c>
    </row>
    <row r="2090" customHeight="1" spans="1:34">
      <c r="A2090" s="12" t="s">
        <v>1043</v>
      </c>
      <c r="F2090" s="24">
        <f t="shared" si="686"/>
        <v>0</v>
      </c>
      <c r="G2090" s="24" t="e">
        <f t="shared" si="685"/>
        <v>#DIV/0!</v>
      </c>
      <c r="Q2090" s="29" t="str">
        <f t="shared" si="687"/>
        <v>NA</v>
      </c>
      <c r="R2090" s="29" t="str">
        <f t="shared" si="688"/>
        <v>NA</v>
      </c>
      <c r="S2090" s="29" t="str">
        <f t="shared" si="689"/>
        <v>NA</v>
      </c>
      <c r="T2090" s="29" t="str">
        <f t="shared" si="690"/>
        <v>NA</v>
      </c>
      <c r="U2090" s="29" t="str">
        <f t="shared" si="691"/>
        <v>NA</v>
      </c>
      <c r="V2090" s="29" t="str">
        <f t="shared" si="692"/>
        <v>NA</v>
      </c>
      <c r="W2090" s="29" t="str">
        <f t="shared" si="693"/>
        <v>NA</v>
      </c>
      <c r="X2090" s="29" t="str">
        <f t="shared" si="694"/>
        <v>NA</v>
      </c>
      <c r="Y2090" s="29" t="str">
        <f t="shared" si="695"/>
        <v>NA</v>
      </c>
      <c r="Z2090" s="29" t="str">
        <f t="shared" si="696"/>
        <v>NA</v>
      </c>
      <c r="AA2090" s="29" t="str">
        <f t="shared" si="697"/>
        <v>NA</v>
      </c>
      <c r="AB2090" s="29" t="str">
        <f t="shared" si="698"/>
        <v>NA</v>
      </c>
      <c r="AC2090" s="29" t="str">
        <f t="shared" si="699"/>
        <v>NA</v>
      </c>
      <c r="AD2090" s="29" t="str">
        <f t="shared" si="700"/>
        <v>NA</v>
      </c>
      <c r="AE2090" s="29" t="str">
        <f t="shared" si="701"/>
        <v>NA</v>
      </c>
      <c r="AF2090" s="29" t="str">
        <f t="shared" si="702"/>
        <v>NA</v>
      </c>
      <c r="AG2090" s="29" t="str">
        <f t="shared" si="703"/>
        <v>NA</v>
      </c>
      <c r="AH2090" s="29" t="str">
        <f t="shared" si="704"/>
        <v>NA</v>
      </c>
    </row>
    <row r="2091" customHeight="1" spans="1:34">
      <c r="A2091" s="12" t="s">
        <v>1043</v>
      </c>
      <c r="F2091" s="24">
        <f t="shared" si="686"/>
        <v>0</v>
      </c>
      <c r="G2091" s="24" t="e">
        <f t="shared" si="685"/>
        <v>#DIV/0!</v>
      </c>
      <c r="Q2091" s="29" t="str">
        <f t="shared" si="687"/>
        <v>NA</v>
      </c>
      <c r="R2091" s="29" t="str">
        <f t="shared" si="688"/>
        <v>NA</v>
      </c>
      <c r="S2091" s="29" t="str">
        <f t="shared" si="689"/>
        <v>NA</v>
      </c>
      <c r="T2091" s="29" t="str">
        <f t="shared" si="690"/>
        <v>NA</v>
      </c>
      <c r="U2091" s="29" t="str">
        <f t="shared" si="691"/>
        <v>NA</v>
      </c>
      <c r="V2091" s="29" t="str">
        <f t="shared" si="692"/>
        <v>NA</v>
      </c>
      <c r="W2091" s="29" t="str">
        <f t="shared" si="693"/>
        <v>NA</v>
      </c>
      <c r="X2091" s="29" t="str">
        <f t="shared" si="694"/>
        <v>NA</v>
      </c>
      <c r="Y2091" s="29" t="str">
        <f t="shared" si="695"/>
        <v>NA</v>
      </c>
      <c r="Z2091" s="29" t="str">
        <f t="shared" si="696"/>
        <v>NA</v>
      </c>
      <c r="AA2091" s="29" t="str">
        <f t="shared" si="697"/>
        <v>NA</v>
      </c>
      <c r="AB2091" s="29" t="str">
        <f t="shared" si="698"/>
        <v>NA</v>
      </c>
      <c r="AC2091" s="29" t="str">
        <f t="shared" si="699"/>
        <v>NA</v>
      </c>
      <c r="AD2091" s="29" t="str">
        <f t="shared" si="700"/>
        <v>NA</v>
      </c>
      <c r="AE2091" s="29" t="str">
        <f t="shared" si="701"/>
        <v>NA</v>
      </c>
      <c r="AF2091" s="29" t="str">
        <f t="shared" si="702"/>
        <v>NA</v>
      </c>
      <c r="AG2091" s="29" t="str">
        <f t="shared" si="703"/>
        <v>NA</v>
      </c>
      <c r="AH2091" s="29" t="str">
        <f t="shared" si="704"/>
        <v>NA</v>
      </c>
    </row>
    <row r="2092" customHeight="1" spans="1:34">
      <c r="A2092" s="12" t="s">
        <v>1043</v>
      </c>
      <c r="F2092" s="24">
        <f t="shared" si="686"/>
        <v>0</v>
      </c>
      <c r="G2092" s="24" t="e">
        <f t="shared" si="685"/>
        <v>#DIV/0!</v>
      </c>
      <c r="Q2092" s="29" t="str">
        <f t="shared" si="687"/>
        <v>NA</v>
      </c>
      <c r="R2092" s="29" t="str">
        <f t="shared" si="688"/>
        <v>NA</v>
      </c>
      <c r="S2092" s="29" t="str">
        <f t="shared" si="689"/>
        <v>NA</v>
      </c>
      <c r="T2092" s="29" t="str">
        <f t="shared" si="690"/>
        <v>NA</v>
      </c>
      <c r="U2092" s="29" t="str">
        <f t="shared" si="691"/>
        <v>NA</v>
      </c>
      <c r="V2092" s="29" t="str">
        <f t="shared" si="692"/>
        <v>NA</v>
      </c>
      <c r="W2092" s="29" t="str">
        <f t="shared" si="693"/>
        <v>NA</v>
      </c>
      <c r="X2092" s="29" t="str">
        <f t="shared" si="694"/>
        <v>NA</v>
      </c>
      <c r="Y2092" s="29" t="str">
        <f t="shared" si="695"/>
        <v>NA</v>
      </c>
      <c r="Z2092" s="29" t="str">
        <f t="shared" si="696"/>
        <v>NA</v>
      </c>
      <c r="AA2092" s="29" t="str">
        <f t="shared" si="697"/>
        <v>NA</v>
      </c>
      <c r="AB2092" s="29" t="str">
        <f t="shared" si="698"/>
        <v>NA</v>
      </c>
      <c r="AC2092" s="29" t="str">
        <f t="shared" si="699"/>
        <v>NA</v>
      </c>
      <c r="AD2092" s="29" t="str">
        <f t="shared" si="700"/>
        <v>NA</v>
      </c>
      <c r="AE2092" s="29" t="str">
        <f t="shared" si="701"/>
        <v>NA</v>
      </c>
      <c r="AF2092" s="29" t="str">
        <f t="shared" si="702"/>
        <v>NA</v>
      </c>
      <c r="AG2092" s="29" t="str">
        <f t="shared" si="703"/>
        <v>NA</v>
      </c>
      <c r="AH2092" s="29" t="str">
        <f t="shared" si="704"/>
        <v>NA</v>
      </c>
    </row>
    <row r="2093" customHeight="1" spans="1:34">
      <c r="A2093" s="12" t="s">
        <v>1043</v>
      </c>
      <c r="F2093" s="24">
        <f t="shared" si="686"/>
        <v>0</v>
      </c>
      <c r="G2093" s="24" t="e">
        <f t="shared" si="685"/>
        <v>#DIV/0!</v>
      </c>
      <c r="Q2093" s="29" t="str">
        <f t="shared" si="687"/>
        <v>NA</v>
      </c>
      <c r="R2093" s="29" t="str">
        <f t="shared" si="688"/>
        <v>NA</v>
      </c>
      <c r="S2093" s="29" t="str">
        <f t="shared" si="689"/>
        <v>NA</v>
      </c>
      <c r="T2093" s="29" t="str">
        <f t="shared" si="690"/>
        <v>NA</v>
      </c>
      <c r="U2093" s="29" t="str">
        <f t="shared" si="691"/>
        <v>NA</v>
      </c>
      <c r="V2093" s="29" t="str">
        <f t="shared" si="692"/>
        <v>NA</v>
      </c>
      <c r="W2093" s="29" t="str">
        <f t="shared" si="693"/>
        <v>NA</v>
      </c>
      <c r="X2093" s="29" t="str">
        <f t="shared" si="694"/>
        <v>NA</v>
      </c>
      <c r="Y2093" s="29" t="str">
        <f t="shared" si="695"/>
        <v>NA</v>
      </c>
      <c r="Z2093" s="29" t="str">
        <f t="shared" si="696"/>
        <v>NA</v>
      </c>
      <c r="AA2093" s="29" t="str">
        <f t="shared" si="697"/>
        <v>NA</v>
      </c>
      <c r="AB2093" s="29" t="str">
        <f t="shared" si="698"/>
        <v>NA</v>
      </c>
      <c r="AC2093" s="29" t="str">
        <f t="shared" si="699"/>
        <v>NA</v>
      </c>
      <c r="AD2093" s="29" t="str">
        <f t="shared" si="700"/>
        <v>NA</v>
      </c>
      <c r="AE2093" s="29" t="str">
        <f t="shared" si="701"/>
        <v>NA</v>
      </c>
      <c r="AF2093" s="29" t="str">
        <f t="shared" si="702"/>
        <v>NA</v>
      </c>
      <c r="AG2093" s="29" t="str">
        <f t="shared" si="703"/>
        <v>NA</v>
      </c>
      <c r="AH2093" s="29" t="str">
        <f t="shared" si="704"/>
        <v>NA</v>
      </c>
    </row>
    <row r="2094" customHeight="1" spans="1:34">
      <c r="A2094" s="12" t="s">
        <v>1043</v>
      </c>
      <c r="F2094" s="24">
        <f t="shared" si="686"/>
        <v>0</v>
      </c>
      <c r="G2094" s="24" t="e">
        <f t="shared" si="685"/>
        <v>#DIV/0!</v>
      </c>
      <c r="Q2094" s="29" t="str">
        <f t="shared" si="687"/>
        <v>NA</v>
      </c>
      <c r="R2094" s="29" t="str">
        <f t="shared" si="688"/>
        <v>NA</v>
      </c>
      <c r="S2094" s="29" t="str">
        <f t="shared" si="689"/>
        <v>NA</v>
      </c>
      <c r="T2094" s="29" t="str">
        <f t="shared" si="690"/>
        <v>NA</v>
      </c>
      <c r="U2094" s="29" t="str">
        <f t="shared" si="691"/>
        <v>NA</v>
      </c>
      <c r="V2094" s="29" t="str">
        <f t="shared" si="692"/>
        <v>NA</v>
      </c>
      <c r="W2094" s="29" t="str">
        <f t="shared" si="693"/>
        <v>NA</v>
      </c>
      <c r="X2094" s="29" t="str">
        <f t="shared" si="694"/>
        <v>NA</v>
      </c>
      <c r="Y2094" s="29" t="str">
        <f t="shared" si="695"/>
        <v>NA</v>
      </c>
      <c r="Z2094" s="29" t="str">
        <f t="shared" si="696"/>
        <v>NA</v>
      </c>
      <c r="AA2094" s="29" t="str">
        <f t="shared" si="697"/>
        <v>NA</v>
      </c>
      <c r="AB2094" s="29" t="str">
        <f t="shared" si="698"/>
        <v>NA</v>
      </c>
      <c r="AC2094" s="29" t="str">
        <f t="shared" si="699"/>
        <v>NA</v>
      </c>
      <c r="AD2094" s="29" t="str">
        <f t="shared" si="700"/>
        <v>NA</v>
      </c>
      <c r="AE2094" s="29" t="str">
        <f t="shared" si="701"/>
        <v>NA</v>
      </c>
      <c r="AF2094" s="29" t="str">
        <f t="shared" si="702"/>
        <v>NA</v>
      </c>
      <c r="AG2094" s="29" t="str">
        <f t="shared" si="703"/>
        <v>NA</v>
      </c>
      <c r="AH2094" s="29" t="str">
        <f t="shared" si="704"/>
        <v>NA</v>
      </c>
    </row>
    <row r="2095" customHeight="1" spans="1:34">
      <c r="A2095" s="12" t="s">
        <v>1043</v>
      </c>
      <c r="F2095" s="24">
        <f t="shared" si="686"/>
        <v>0</v>
      </c>
      <c r="G2095" s="24" t="e">
        <f t="shared" si="685"/>
        <v>#DIV/0!</v>
      </c>
      <c r="Q2095" s="29" t="str">
        <f t="shared" si="687"/>
        <v>NA</v>
      </c>
      <c r="R2095" s="29" t="str">
        <f t="shared" si="688"/>
        <v>NA</v>
      </c>
      <c r="S2095" s="29" t="str">
        <f t="shared" si="689"/>
        <v>NA</v>
      </c>
      <c r="T2095" s="29" t="str">
        <f t="shared" si="690"/>
        <v>NA</v>
      </c>
      <c r="U2095" s="29" t="str">
        <f t="shared" si="691"/>
        <v>NA</v>
      </c>
      <c r="V2095" s="29" t="str">
        <f t="shared" si="692"/>
        <v>NA</v>
      </c>
      <c r="W2095" s="29" t="str">
        <f t="shared" si="693"/>
        <v>NA</v>
      </c>
      <c r="X2095" s="29" t="str">
        <f t="shared" si="694"/>
        <v>NA</v>
      </c>
      <c r="Y2095" s="29" t="str">
        <f t="shared" si="695"/>
        <v>NA</v>
      </c>
      <c r="Z2095" s="29" t="str">
        <f t="shared" si="696"/>
        <v>NA</v>
      </c>
      <c r="AA2095" s="29" t="str">
        <f t="shared" si="697"/>
        <v>NA</v>
      </c>
      <c r="AB2095" s="29" t="str">
        <f t="shared" si="698"/>
        <v>NA</v>
      </c>
      <c r="AC2095" s="29" t="str">
        <f t="shared" si="699"/>
        <v>NA</v>
      </c>
      <c r="AD2095" s="29" t="str">
        <f t="shared" si="700"/>
        <v>NA</v>
      </c>
      <c r="AE2095" s="29" t="str">
        <f t="shared" si="701"/>
        <v>NA</v>
      </c>
      <c r="AF2095" s="29" t="str">
        <f t="shared" si="702"/>
        <v>NA</v>
      </c>
      <c r="AG2095" s="29" t="str">
        <f t="shared" si="703"/>
        <v>NA</v>
      </c>
      <c r="AH2095" s="29" t="str">
        <f t="shared" si="704"/>
        <v>NA</v>
      </c>
    </row>
    <row r="2096" customHeight="1" spans="1:34">
      <c r="A2096" s="12" t="s">
        <v>1043</v>
      </c>
      <c r="F2096" s="24">
        <f t="shared" si="686"/>
        <v>0</v>
      </c>
      <c r="G2096" s="24" t="e">
        <f t="shared" si="685"/>
        <v>#DIV/0!</v>
      </c>
      <c r="Q2096" s="29" t="str">
        <f t="shared" si="687"/>
        <v>NA</v>
      </c>
      <c r="R2096" s="29" t="str">
        <f t="shared" si="688"/>
        <v>NA</v>
      </c>
      <c r="S2096" s="29" t="str">
        <f t="shared" si="689"/>
        <v>NA</v>
      </c>
      <c r="T2096" s="29" t="str">
        <f t="shared" si="690"/>
        <v>NA</v>
      </c>
      <c r="U2096" s="29" t="str">
        <f t="shared" si="691"/>
        <v>NA</v>
      </c>
      <c r="V2096" s="29" t="str">
        <f t="shared" si="692"/>
        <v>NA</v>
      </c>
      <c r="W2096" s="29" t="str">
        <f t="shared" si="693"/>
        <v>NA</v>
      </c>
      <c r="X2096" s="29" t="str">
        <f t="shared" si="694"/>
        <v>NA</v>
      </c>
      <c r="Y2096" s="29" t="str">
        <f t="shared" si="695"/>
        <v>NA</v>
      </c>
      <c r="Z2096" s="29" t="str">
        <f t="shared" si="696"/>
        <v>NA</v>
      </c>
      <c r="AA2096" s="29" t="str">
        <f t="shared" si="697"/>
        <v>NA</v>
      </c>
      <c r="AB2096" s="29" t="str">
        <f t="shared" si="698"/>
        <v>NA</v>
      </c>
      <c r="AC2096" s="29" t="str">
        <f t="shared" si="699"/>
        <v>NA</v>
      </c>
      <c r="AD2096" s="29" t="str">
        <f t="shared" si="700"/>
        <v>NA</v>
      </c>
      <c r="AE2096" s="29" t="str">
        <f t="shared" si="701"/>
        <v>NA</v>
      </c>
      <c r="AF2096" s="29" t="str">
        <f t="shared" si="702"/>
        <v>NA</v>
      </c>
      <c r="AG2096" s="29" t="str">
        <f t="shared" si="703"/>
        <v>NA</v>
      </c>
      <c r="AH2096" s="29" t="str">
        <f t="shared" si="704"/>
        <v>NA</v>
      </c>
    </row>
    <row r="2097" customHeight="1" spans="1:34">
      <c r="A2097" s="12" t="s">
        <v>1043</v>
      </c>
      <c r="F2097" s="24">
        <f t="shared" si="686"/>
        <v>0</v>
      </c>
      <c r="G2097" s="24" t="e">
        <f t="shared" si="685"/>
        <v>#DIV/0!</v>
      </c>
      <c r="Q2097" s="29" t="str">
        <f t="shared" si="687"/>
        <v>NA</v>
      </c>
      <c r="R2097" s="29" t="str">
        <f t="shared" si="688"/>
        <v>NA</v>
      </c>
      <c r="S2097" s="29" t="str">
        <f t="shared" si="689"/>
        <v>NA</v>
      </c>
      <c r="T2097" s="29" t="str">
        <f t="shared" si="690"/>
        <v>NA</v>
      </c>
      <c r="U2097" s="29" t="str">
        <f t="shared" si="691"/>
        <v>NA</v>
      </c>
      <c r="V2097" s="29" t="str">
        <f t="shared" si="692"/>
        <v>NA</v>
      </c>
      <c r="W2097" s="29" t="str">
        <f t="shared" si="693"/>
        <v>NA</v>
      </c>
      <c r="X2097" s="29" t="str">
        <f t="shared" si="694"/>
        <v>NA</v>
      </c>
      <c r="Y2097" s="29" t="str">
        <f t="shared" si="695"/>
        <v>NA</v>
      </c>
      <c r="Z2097" s="29" t="str">
        <f t="shared" si="696"/>
        <v>NA</v>
      </c>
      <c r="AA2097" s="29" t="str">
        <f t="shared" si="697"/>
        <v>NA</v>
      </c>
      <c r="AB2097" s="29" t="str">
        <f t="shared" si="698"/>
        <v>NA</v>
      </c>
      <c r="AC2097" s="29" t="str">
        <f t="shared" si="699"/>
        <v>NA</v>
      </c>
      <c r="AD2097" s="29" t="str">
        <f t="shared" si="700"/>
        <v>NA</v>
      </c>
      <c r="AE2097" s="29" t="str">
        <f t="shared" si="701"/>
        <v>NA</v>
      </c>
      <c r="AF2097" s="29" t="str">
        <f t="shared" si="702"/>
        <v>NA</v>
      </c>
      <c r="AG2097" s="29" t="str">
        <f t="shared" si="703"/>
        <v>NA</v>
      </c>
      <c r="AH2097" s="29" t="str">
        <f t="shared" si="704"/>
        <v>NA</v>
      </c>
    </row>
    <row r="2098" customHeight="1" spans="1:34">
      <c r="A2098" s="12" t="s">
        <v>1043</v>
      </c>
      <c r="F2098" s="24">
        <f t="shared" si="686"/>
        <v>0</v>
      </c>
      <c r="G2098" s="24" t="e">
        <f t="shared" si="685"/>
        <v>#DIV/0!</v>
      </c>
      <c r="Q2098" s="29" t="str">
        <f t="shared" si="687"/>
        <v>NA</v>
      </c>
      <c r="R2098" s="29" t="str">
        <f t="shared" si="688"/>
        <v>NA</v>
      </c>
      <c r="S2098" s="29" t="str">
        <f t="shared" si="689"/>
        <v>NA</v>
      </c>
      <c r="T2098" s="29" t="str">
        <f t="shared" si="690"/>
        <v>NA</v>
      </c>
      <c r="U2098" s="29" t="str">
        <f t="shared" si="691"/>
        <v>NA</v>
      </c>
      <c r="V2098" s="29" t="str">
        <f t="shared" si="692"/>
        <v>NA</v>
      </c>
      <c r="W2098" s="29" t="str">
        <f t="shared" si="693"/>
        <v>NA</v>
      </c>
      <c r="X2098" s="29" t="str">
        <f t="shared" si="694"/>
        <v>NA</v>
      </c>
      <c r="Y2098" s="29" t="str">
        <f t="shared" si="695"/>
        <v>NA</v>
      </c>
      <c r="Z2098" s="29" t="str">
        <f t="shared" si="696"/>
        <v>NA</v>
      </c>
      <c r="AA2098" s="29" t="str">
        <f t="shared" si="697"/>
        <v>NA</v>
      </c>
      <c r="AB2098" s="29" t="str">
        <f t="shared" si="698"/>
        <v>NA</v>
      </c>
      <c r="AC2098" s="29" t="str">
        <f t="shared" si="699"/>
        <v>NA</v>
      </c>
      <c r="AD2098" s="29" t="str">
        <f t="shared" si="700"/>
        <v>NA</v>
      </c>
      <c r="AE2098" s="29" t="str">
        <f t="shared" si="701"/>
        <v>NA</v>
      </c>
      <c r="AF2098" s="29" t="str">
        <f t="shared" si="702"/>
        <v>NA</v>
      </c>
      <c r="AG2098" s="29" t="str">
        <f t="shared" si="703"/>
        <v>NA</v>
      </c>
      <c r="AH2098" s="29" t="str">
        <f t="shared" si="704"/>
        <v>NA</v>
      </c>
    </row>
    <row r="2099" customHeight="1" spans="1:34">
      <c r="A2099" s="12" t="s">
        <v>1043</v>
      </c>
      <c r="F2099" s="24">
        <f t="shared" si="686"/>
        <v>0</v>
      </c>
      <c r="G2099" s="24" t="e">
        <f t="shared" si="685"/>
        <v>#DIV/0!</v>
      </c>
      <c r="Q2099" s="29" t="str">
        <f t="shared" si="687"/>
        <v>NA</v>
      </c>
      <c r="R2099" s="29" t="str">
        <f t="shared" si="688"/>
        <v>NA</v>
      </c>
      <c r="S2099" s="29" t="str">
        <f t="shared" si="689"/>
        <v>NA</v>
      </c>
      <c r="T2099" s="29" t="str">
        <f t="shared" si="690"/>
        <v>NA</v>
      </c>
      <c r="U2099" s="29" t="str">
        <f t="shared" si="691"/>
        <v>NA</v>
      </c>
      <c r="V2099" s="29" t="str">
        <f t="shared" si="692"/>
        <v>NA</v>
      </c>
      <c r="W2099" s="29" t="str">
        <f t="shared" si="693"/>
        <v>NA</v>
      </c>
      <c r="X2099" s="29" t="str">
        <f t="shared" si="694"/>
        <v>NA</v>
      </c>
      <c r="Y2099" s="29" t="str">
        <f t="shared" si="695"/>
        <v>NA</v>
      </c>
      <c r="Z2099" s="29" t="str">
        <f t="shared" si="696"/>
        <v>NA</v>
      </c>
      <c r="AA2099" s="29" t="str">
        <f t="shared" si="697"/>
        <v>NA</v>
      </c>
      <c r="AB2099" s="29" t="str">
        <f t="shared" si="698"/>
        <v>NA</v>
      </c>
      <c r="AC2099" s="29" t="str">
        <f t="shared" si="699"/>
        <v>NA</v>
      </c>
      <c r="AD2099" s="29" t="str">
        <f t="shared" si="700"/>
        <v>NA</v>
      </c>
      <c r="AE2099" s="29" t="str">
        <f t="shared" si="701"/>
        <v>NA</v>
      </c>
      <c r="AF2099" s="29" t="str">
        <f t="shared" si="702"/>
        <v>NA</v>
      </c>
      <c r="AG2099" s="29" t="str">
        <f t="shared" si="703"/>
        <v>NA</v>
      </c>
      <c r="AH2099" s="29" t="str">
        <f t="shared" si="704"/>
        <v>NA</v>
      </c>
    </row>
    <row r="2100" customHeight="1" spans="1:34">
      <c r="A2100" s="12" t="s">
        <v>1043</v>
      </c>
      <c r="F2100" s="24">
        <f t="shared" si="686"/>
        <v>0</v>
      </c>
      <c r="G2100" s="24" t="e">
        <f t="shared" si="685"/>
        <v>#DIV/0!</v>
      </c>
      <c r="Q2100" s="29" t="str">
        <f t="shared" si="687"/>
        <v>NA</v>
      </c>
      <c r="R2100" s="29" t="str">
        <f t="shared" si="688"/>
        <v>NA</v>
      </c>
      <c r="S2100" s="29" t="str">
        <f t="shared" si="689"/>
        <v>NA</v>
      </c>
      <c r="T2100" s="29" t="str">
        <f t="shared" si="690"/>
        <v>NA</v>
      </c>
      <c r="U2100" s="29" t="str">
        <f t="shared" si="691"/>
        <v>NA</v>
      </c>
      <c r="V2100" s="29" t="str">
        <f t="shared" si="692"/>
        <v>NA</v>
      </c>
      <c r="W2100" s="29" t="str">
        <f t="shared" si="693"/>
        <v>NA</v>
      </c>
      <c r="X2100" s="29" t="str">
        <f t="shared" si="694"/>
        <v>NA</v>
      </c>
      <c r="Y2100" s="29" t="str">
        <f t="shared" si="695"/>
        <v>NA</v>
      </c>
      <c r="Z2100" s="29" t="str">
        <f t="shared" si="696"/>
        <v>NA</v>
      </c>
      <c r="AA2100" s="29" t="str">
        <f t="shared" si="697"/>
        <v>NA</v>
      </c>
      <c r="AB2100" s="29" t="str">
        <f t="shared" si="698"/>
        <v>NA</v>
      </c>
      <c r="AC2100" s="29" t="str">
        <f t="shared" si="699"/>
        <v>NA</v>
      </c>
      <c r="AD2100" s="29" t="str">
        <f t="shared" si="700"/>
        <v>NA</v>
      </c>
      <c r="AE2100" s="29" t="str">
        <f t="shared" si="701"/>
        <v>NA</v>
      </c>
      <c r="AF2100" s="29" t="str">
        <f t="shared" si="702"/>
        <v>NA</v>
      </c>
      <c r="AG2100" s="29" t="str">
        <f t="shared" si="703"/>
        <v>NA</v>
      </c>
      <c r="AH2100" s="29" t="str">
        <f t="shared" si="704"/>
        <v>NA</v>
      </c>
    </row>
    <row r="2101" customHeight="1" spans="1:34">
      <c r="A2101" s="12" t="s">
        <v>1043</v>
      </c>
      <c r="F2101" s="24">
        <f t="shared" si="686"/>
        <v>0</v>
      </c>
      <c r="G2101" s="24" t="e">
        <f t="shared" si="685"/>
        <v>#DIV/0!</v>
      </c>
      <c r="Q2101" s="29" t="str">
        <f t="shared" si="687"/>
        <v>NA</v>
      </c>
      <c r="R2101" s="29" t="str">
        <f t="shared" si="688"/>
        <v>NA</v>
      </c>
      <c r="S2101" s="29" t="str">
        <f t="shared" si="689"/>
        <v>NA</v>
      </c>
      <c r="T2101" s="29" t="str">
        <f t="shared" si="690"/>
        <v>NA</v>
      </c>
      <c r="U2101" s="29" t="str">
        <f t="shared" si="691"/>
        <v>NA</v>
      </c>
      <c r="V2101" s="29" t="str">
        <f t="shared" si="692"/>
        <v>NA</v>
      </c>
      <c r="W2101" s="29" t="str">
        <f t="shared" si="693"/>
        <v>NA</v>
      </c>
      <c r="X2101" s="29" t="str">
        <f t="shared" si="694"/>
        <v>NA</v>
      </c>
      <c r="Y2101" s="29" t="str">
        <f t="shared" si="695"/>
        <v>NA</v>
      </c>
      <c r="Z2101" s="29" t="str">
        <f t="shared" si="696"/>
        <v>NA</v>
      </c>
      <c r="AA2101" s="29" t="str">
        <f t="shared" si="697"/>
        <v>NA</v>
      </c>
      <c r="AB2101" s="29" t="str">
        <f t="shared" si="698"/>
        <v>NA</v>
      </c>
      <c r="AC2101" s="29" t="str">
        <f t="shared" si="699"/>
        <v>NA</v>
      </c>
      <c r="AD2101" s="29" t="str">
        <f t="shared" si="700"/>
        <v>NA</v>
      </c>
      <c r="AE2101" s="29" t="str">
        <f t="shared" si="701"/>
        <v>NA</v>
      </c>
      <c r="AF2101" s="29" t="str">
        <f t="shared" si="702"/>
        <v>NA</v>
      </c>
      <c r="AG2101" s="29" t="str">
        <f t="shared" si="703"/>
        <v>NA</v>
      </c>
      <c r="AH2101" s="29" t="str">
        <f t="shared" si="704"/>
        <v>NA</v>
      </c>
    </row>
    <row r="2102" customHeight="1" spans="1:34">
      <c r="A2102" s="12" t="s">
        <v>1043</v>
      </c>
      <c r="F2102" s="24">
        <f t="shared" si="686"/>
        <v>0</v>
      </c>
      <c r="G2102" s="24" t="e">
        <f t="shared" si="685"/>
        <v>#DIV/0!</v>
      </c>
      <c r="Q2102" s="29" t="str">
        <f t="shared" si="687"/>
        <v>NA</v>
      </c>
      <c r="R2102" s="29" t="str">
        <f t="shared" si="688"/>
        <v>NA</v>
      </c>
      <c r="S2102" s="29" t="str">
        <f t="shared" si="689"/>
        <v>NA</v>
      </c>
      <c r="T2102" s="29" t="str">
        <f t="shared" si="690"/>
        <v>NA</v>
      </c>
      <c r="U2102" s="29" t="str">
        <f t="shared" si="691"/>
        <v>NA</v>
      </c>
      <c r="V2102" s="29" t="str">
        <f t="shared" si="692"/>
        <v>NA</v>
      </c>
      <c r="W2102" s="29" t="str">
        <f t="shared" si="693"/>
        <v>NA</v>
      </c>
      <c r="X2102" s="29" t="str">
        <f t="shared" si="694"/>
        <v>NA</v>
      </c>
      <c r="Y2102" s="29" t="str">
        <f t="shared" si="695"/>
        <v>NA</v>
      </c>
      <c r="Z2102" s="29" t="str">
        <f t="shared" si="696"/>
        <v>NA</v>
      </c>
      <c r="AA2102" s="29" t="str">
        <f t="shared" si="697"/>
        <v>NA</v>
      </c>
      <c r="AB2102" s="29" t="str">
        <f t="shared" si="698"/>
        <v>NA</v>
      </c>
      <c r="AC2102" s="29" t="str">
        <f t="shared" si="699"/>
        <v>NA</v>
      </c>
      <c r="AD2102" s="29" t="str">
        <f t="shared" si="700"/>
        <v>NA</v>
      </c>
      <c r="AE2102" s="29" t="str">
        <f t="shared" si="701"/>
        <v>NA</v>
      </c>
      <c r="AF2102" s="29" t="str">
        <f t="shared" si="702"/>
        <v>NA</v>
      </c>
      <c r="AG2102" s="29" t="str">
        <f t="shared" si="703"/>
        <v>NA</v>
      </c>
      <c r="AH2102" s="29" t="str">
        <f t="shared" si="704"/>
        <v>NA</v>
      </c>
    </row>
    <row r="2103" customHeight="1" spans="1:34">
      <c r="A2103" s="12" t="s">
        <v>1043</v>
      </c>
      <c r="F2103" s="24">
        <f t="shared" si="686"/>
        <v>0</v>
      </c>
      <c r="G2103" s="24" t="e">
        <f t="shared" si="685"/>
        <v>#DIV/0!</v>
      </c>
      <c r="Q2103" s="29" t="str">
        <f t="shared" si="687"/>
        <v>NA</v>
      </c>
      <c r="R2103" s="29" t="str">
        <f t="shared" si="688"/>
        <v>NA</v>
      </c>
      <c r="S2103" s="29" t="str">
        <f t="shared" si="689"/>
        <v>NA</v>
      </c>
      <c r="T2103" s="29" t="str">
        <f t="shared" si="690"/>
        <v>NA</v>
      </c>
      <c r="U2103" s="29" t="str">
        <f t="shared" si="691"/>
        <v>NA</v>
      </c>
      <c r="V2103" s="29" t="str">
        <f t="shared" si="692"/>
        <v>NA</v>
      </c>
      <c r="W2103" s="29" t="str">
        <f t="shared" si="693"/>
        <v>NA</v>
      </c>
      <c r="X2103" s="29" t="str">
        <f t="shared" si="694"/>
        <v>NA</v>
      </c>
      <c r="Y2103" s="29" t="str">
        <f t="shared" si="695"/>
        <v>NA</v>
      </c>
      <c r="Z2103" s="29" t="str">
        <f t="shared" si="696"/>
        <v>NA</v>
      </c>
      <c r="AA2103" s="29" t="str">
        <f t="shared" si="697"/>
        <v>NA</v>
      </c>
      <c r="AB2103" s="29" t="str">
        <f t="shared" si="698"/>
        <v>NA</v>
      </c>
      <c r="AC2103" s="29" t="str">
        <f t="shared" si="699"/>
        <v>NA</v>
      </c>
      <c r="AD2103" s="29" t="str">
        <f t="shared" si="700"/>
        <v>NA</v>
      </c>
      <c r="AE2103" s="29" t="str">
        <f t="shared" si="701"/>
        <v>NA</v>
      </c>
      <c r="AF2103" s="29" t="str">
        <f t="shared" si="702"/>
        <v>NA</v>
      </c>
      <c r="AG2103" s="29" t="str">
        <f t="shared" si="703"/>
        <v>NA</v>
      </c>
      <c r="AH2103" s="29" t="str">
        <f t="shared" si="704"/>
        <v>NA</v>
      </c>
    </row>
    <row r="2104" customHeight="1" spans="1:34">
      <c r="A2104" s="12" t="s">
        <v>1043</v>
      </c>
      <c r="F2104" s="24">
        <f t="shared" si="686"/>
        <v>0</v>
      </c>
      <c r="G2104" s="24" t="e">
        <f t="shared" si="685"/>
        <v>#DIV/0!</v>
      </c>
      <c r="Q2104" s="29" t="str">
        <f t="shared" si="687"/>
        <v>NA</v>
      </c>
      <c r="R2104" s="29" t="str">
        <f t="shared" si="688"/>
        <v>NA</v>
      </c>
      <c r="S2104" s="29" t="str">
        <f t="shared" si="689"/>
        <v>NA</v>
      </c>
      <c r="T2104" s="29" t="str">
        <f t="shared" si="690"/>
        <v>NA</v>
      </c>
      <c r="U2104" s="29" t="str">
        <f t="shared" si="691"/>
        <v>NA</v>
      </c>
      <c r="V2104" s="29" t="str">
        <f t="shared" si="692"/>
        <v>NA</v>
      </c>
      <c r="W2104" s="29" t="str">
        <f t="shared" si="693"/>
        <v>NA</v>
      </c>
      <c r="X2104" s="29" t="str">
        <f t="shared" si="694"/>
        <v>NA</v>
      </c>
      <c r="Y2104" s="29" t="str">
        <f t="shared" si="695"/>
        <v>NA</v>
      </c>
      <c r="Z2104" s="29" t="str">
        <f t="shared" si="696"/>
        <v>NA</v>
      </c>
      <c r="AA2104" s="29" t="str">
        <f t="shared" si="697"/>
        <v>NA</v>
      </c>
      <c r="AB2104" s="29" t="str">
        <f t="shared" si="698"/>
        <v>NA</v>
      </c>
      <c r="AC2104" s="29" t="str">
        <f t="shared" si="699"/>
        <v>NA</v>
      </c>
      <c r="AD2104" s="29" t="str">
        <f t="shared" si="700"/>
        <v>NA</v>
      </c>
      <c r="AE2104" s="29" t="str">
        <f t="shared" si="701"/>
        <v>NA</v>
      </c>
      <c r="AF2104" s="29" t="str">
        <f t="shared" si="702"/>
        <v>NA</v>
      </c>
      <c r="AG2104" s="29" t="str">
        <f t="shared" si="703"/>
        <v>NA</v>
      </c>
      <c r="AH2104" s="29" t="str">
        <f t="shared" si="704"/>
        <v>NA</v>
      </c>
    </row>
    <row r="2105" customHeight="1" spans="1:34">
      <c r="A2105" s="12" t="s">
        <v>1043</v>
      </c>
      <c r="F2105" s="24">
        <f t="shared" si="686"/>
        <v>0</v>
      </c>
      <c r="G2105" s="24" t="e">
        <f t="shared" si="685"/>
        <v>#DIV/0!</v>
      </c>
      <c r="Q2105" s="29" t="str">
        <f t="shared" si="687"/>
        <v>NA</v>
      </c>
      <c r="R2105" s="29" t="str">
        <f t="shared" si="688"/>
        <v>NA</v>
      </c>
      <c r="S2105" s="29" t="str">
        <f t="shared" si="689"/>
        <v>NA</v>
      </c>
      <c r="T2105" s="29" t="str">
        <f t="shared" si="690"/>
        <v>NA</v>
      </c>
      <c r="U2105" s="29" t="str">
        <f t="shared" si="691"/>
        <v>NA</v>
      </c>
      <c r="V2105" s="29" t="str">
        <f t="shared" si="692"/>
        <v>NA</v>
      </c>
      <c r="W2105" s="29" t="str">
        <f t="shared" si="693"/>
        <v>NA</v>
      </c>
      <c r="X2105" s="29" t="str">
        <f t="shared" si="694"/>
        <v>NA</v>
      </c>
      <c r="Y2105" s="29" t="str">
        <f t="shared" si="695"/>
        <v>NA</v>
      </c>
      <c r="Z2105" s="29" t="str">
        <f t="shared" si="696"/>
        <v>NA</v>
      </c>
      <c r="AA2105" s="29" t="str">
        <f t="shared" si="697"/>
        <v>NA</v>
      </c>
      <c r="AB2105" s="29" t="str">
        <f t="shared" si="698"/>
        <v>NA</v>
      </c>
      <c r="AC2105" s="29" t="str">
        <f t="shared" si="699"/>
        <v>NA</v>
      </c>
      <c r="AD2105" s="29" t="str">
        <f t="shared" si="700"/>
        <v>NA</v>
      </c>
      <c r="AE2105" s="29" t="str">
        <f t="shared" si="701"/>
        <v>NA</v>
      </c>
      <c r="AF2105" s="29" t="str">
        <f t="shared" si="702"/>
        <v>NA</v>
      </c>
      <c r="AG2105" s="29" t="str">
        <f t="shared" si="703"/>
        <v>NA</v>
      </c>
      <c r="AH2105" s="29" t="str">
        <f t="shared" si="704"/>
        <v>NA</v>
      </c>
    </row>
    <row r="2106" customHeight="1" spans="1:34">
      <c r="A2106" s="12" t="s">
        <v>1043</v>
      </c>
      <c r="F2106" s="24">
        <f t="shared" si="686"/>
        <v>0</v>
      </c>
      <c r="G2106" s="24" t="e">
        <f t="shared" si="685"/>
        <v>#DIV/0!</v>
      </c>
      <c r="Q2106" s="29" t="str">
        <f t="shared" si="687"/>
        <v>NA</v>
      </c>
      <c r="R2106" s="29" t="str">
        <f t="shared" si="688"/>
        <v>NA</v>
      </c>
      <c r="S2106" s="29" t="str">
        <f t="shared" si="689"/>
        <v>NA</v>
      </c>
      <c r="T2106" s="29" t="str">
        <f t="shared" si="690"/>
        <v>NA</v>
      </c>
      <c r="U2106" s="29" t="str">
        <f t="shared" si="691"/>
        <v>NA</v>
      </c>
      <c r="V2106" s="29" t="str">
        <f t="shared" si="692"/>
        <v>NA</v>
      </c>
      <c r="W2106" s="29" t="str">
        <f t="shared" si="693"/>
        <v>NA</v>
      </c>
      <c r="X2106" s="29" t="str">
        <f t="shared" si="694"/>
        <v>NA</v>
      </c>
      <c r="Y2106" s="29" t="str">
        <f t="shared" si="695"/>
        <v>NA</v>
      </c>
      <c r="Z2106" s="29" t="str">
        <f t="shared" si="696"/>
        <v>NA</v>
      </c>
      <c r="AA2106" s="29" t="str">
        <f t="shared" si="697"/>
        <v>NA</v>
      </c>
      <c r="AB2106" s="29" t="str">
        <f t="shared" si="698"/>
        <v>NA</v>
      </c>
      <c r="AC2106" s="29" t="str">
        <f t="shared" si="699"/>
        <v>NA</v>
      </c>
      <c r="AD2106" s="29" t="str">
        <f t="shared" si="700"/>
        <v>NA</v>
      </c>
      <c r="AE2106" s="29" t="str">
        <f t="shared" si="701"/>
        <v>NA</v>
      </c>
      <c r="AF2106" s="29" t="str">
        <f t="shared" si="702"/>
        <v>NA</v>
      </c>
      <c r="AG2106" s="29" t="str">
        <f t="shared" si="703"/>
        <v>NA</v>
      </c>
      <c r="AH2106" s="29" t="str">
        <f t="shared" si="704"/>
        <v>NA</v>
      </c>
    </row>
    <row r="2107" customHeight="1" spans="1:34">
      <c r="A2107" s="12" t="s">
        <v>1043</v>
      </c>
      <c r="F2107" s="24">
        <f t="shared" si="686"/>
        <v>0</v>
      </c>
      <c r="G2107" s="24" t="e">
        <f t="shared" si="685"/>
        <v>#DIV/0!</v>
      </c>
      <c r="Q2107" s="29" t="str">
        <f t="shared" si="687"/>
        <v>NA</v>
      </c>
      <c r="R2107" s="29" t="str">
        <f t="shared" si="688"/>
        <v>NA</v>
      </c>
      <c r="S2107" s="29" t="str">
        <f t="shared" si="689"/>
        <v>NA</v>
      </c>
      <c r="T2107" s="29" t="str">
        <f t="shared" si="690"/>
        <v>NA</v>
      </c>
      <c r="U2107" s="29" t="str">
        <f t="shared" si="691"/>
        <v>NA</v>
      </c>
      <c r="V2107" s="29" t="str">
        <f t="shared" si="692"/>
        <v>NA</v>
      </c>
      <c r="W2107" s="29" t="str">
        <f t="shared" si="693"/>
        <v>NA</v>
      </c>
      <c r="X2107" s="29" t="str">
        <f t="shared" si="694"/>
        <v>NA</v>
      </c>
      <c r="Y2107" s="29" t="str">
        <f t="shared" si="695"/>
        <v>NA</v>
      </c>
      <c r="Z2107" s="29" t="str">
        <f t="shared" si="696"/>
        <v>NA</v>
      </c>
      <c r="AA2107" s="29" t="str">
        <f t="shared" si="697"/>
        <v>NA</v>
      </c>
      <c r="AB2107" s="29" t="str">
        <f t="shared" si="698"/>
        <v>NA</v>
      </c>
      <c r="AC2107" s="29" t="str">
        <f t="shared" si="699"/>
        <v>NA</v>
      </c>
      <c r="AD2107" s="29" t="str">
        <f t="shared" si="700"/>
        <v>NA</v>
      </c>
      <c r="AE2107" s="29" t="str">
        <f t="shared" si="701"/>
        <v>NA</v>
      </c>
      <c r="AF2107" s="29" t="str">
        <f t="shared" si="702"/>
        <v>NA</v>
      </c>
      <c r="AG2107" s="29" t="str">
        <f t="shared" si="703"/>
        <v>NA</v>
      </c>
      <c r="AH2107" s="29" t="str">
        <f t="shared" si="704"/>
        <v>NA</v>
      </c>
    </row>
    <row r="2108" customHeight="1" spans="1:34">
      <c r="A2108" s="12" t="s">
        <v>1043</v>
      </c>
      <c r="F2108" s="24">
        <f t="shared" si="686"/>
        <v>0</v>
      </c>
      <c r="G2108" s="24" t="e">
        <f t="shared" si="685"/>
        <v>#DIV/0!</v>
      </c>
      <c r="Q2108" s="29" t="str">
        <f t="shared" si="687"/>
        <v>NA</v>
      </c>
      <c r="R2108" s="29" t="str">
        <f t="shared" si="688"/>
        <v>NA</v>
      </c>
      <c r="S2108" s="29" t="str">
        <f t="shared" si="689"/>
        <v>NA</v>
      </c>
      <c r="T2108" s="29" t="str">
        <f t="shared" si="690"/>
        <v>NA</v>
      </c>
      <c r="U2108" s="29" t="str">
        <f t="shared" si="691"/>
        <v>NA</v>
      </c>
      <c r="V2108" s="29" t="str">
        <f t="shared" si="692"/>
        <v>NA</v>
      </c>
      <c r="W2108" s="29" t="str">
        <f t="shared" si="693"/>
        <v>NA</v>
      </c>
      <c r="X2108" s="29" t="str">
        <f t="shared" si="694"/>
        <v>NA</v>
      </c>
      <c r="Y2108" s="29" t="str">
        <f t="shared" si="695"/>
        <v>NA</v>
      </c>
      <c r="Z2108" s="29" t="str">
        <f t="shared" si="696"/>
        <v>NA</v>
      </c>
      <c r="AA2108" s="29" t="str">
        <f t="shared" si="697"/>
        <v>NA</v>
      </c>
      <c r="AB2108" s="29" t="str">
        <f t="shared" si="698"/>
        <v>NA</v>
      </c>
      <c r="AC2108" s="29" t="str">
        <f t="shared" si="699"/>
        <v>NA</v>
      </c>
      <c r="AD2108" s="29" t="str">
        <f t="shared" si="700"/>
        <v>NA</v>
      </c>
      <c r="AE2108" s="29" t="str">
        <f t="shared" si="701"/>
        <v>NA</v>
      </c>
      <c r="AF2108" s="29" t="str">
        <f t="shared" si="702"/>
        <v>NA</v>
      </c>
      <c r="AG2108" s="29" t="str">
        <f t="shared" si="703"/>
        <v>NA</v>
      </c>
      <c r="AH2108" s="29" t="str">
        <f t="shared" si="704"/>
        <v>NA</v>
      </c>
    </row>
    <row r="2109" customHeight="1" spans="1:34">
      <c r="A2109" s="12" t="s">
        <v>1043</v>
      </c>
      <c r="F2109" s="24">
        <f t="shared" si="686"/>
        <v>0</v>
      </c>
      <c r="G2109" s="24" t="e">
        <f t="shared" si="685"/>
        <v>#DIV/0!</v>
      </c>
      <c r="Q2109" s="29" t="str">
        <f t="shared" si="687"/>
        <v>NA</v>
      </c>
      <c r="R2109" s="29" t="str">
        <f t="shared" si="688"/>
        <v>NA</v>
      </c>
      <c r="S2109" s="29" t="str">
        <f t="shared" si="689"/>
        <v>NA</v>
      </c>
      <c r="T2109" s="29" t="str">
        <f t="shared" si="690"/>
        <v>NA</v>
      </c>
      <c r="U2109" s="29" t="str">
        <f t="shared" si="691"/>
        <v>NA</v>
      </c>
      <c r="V2109" s="29" t="str">
        <f t="shared" si="692"/>
        <v>NA</v>
      </c>
      <c r="W2109" s="29" t="str">
        <f t="shared" si="693"/>
        <v>NA</v>
      </c>
      <c r="X2109" s="29" t="str">
        <f t="shared" si="694"/>
        <v>NA</v>
      </c>
      <c r="Y2109" s="29" t="str">
        <f t="shared" si="695"/>
        <v>NA</v>
      </c>
      <c r="Z2109" s="29" t="str">
        <f t="shared" si="696"/>
        <v>NA</v>
      </c>
      <c r="AA2109" s="29" t="str">
        <f t="shared" si="697"/>
        <v>NA</v>
      </c>
      <c r="AB2109" s="29" t="str">
        <f t="shared" si="698"/>
        <v>NA</v>
      </c>
      <c r="AC2109" s="29" t="str">
        <f t="shared" si="699"/>
        <v>NA</v>
      </c>
      <c r="AD2109" s="29" t="str">
        <f t="shared" si="700"/>
        <v>NA</v>
      </c>
      <c r="AE2109" s="29" t="str">
        <f t="shared" si="701"/>
        <v>NA</v>
      </c>
      <c r="AF2109" s="29" t="str">
        <f t="shared" si="702"/>
        <v>NA</v>
      </c>
      <c r="AG2109" s="29" t="str">
        <f t="shared" si="703"/>
        <v>NA</v>
      </c>
      <c r="AH2109" s="29" t="str">
        <f t="shared" si="704"/>
        <v>NA</v>
      </c>
    </row>
    <row r="2110" customHeight="1" spans="1:34">
      <c r="A2110" s="12" t="s">
        <v>1043</v>
      </c>
      <c r="F2110" s="24">
        <f t="shared" si="686"/>
        <v>0</v>
      </c>
      <c r="G2110" s="24" t="e">
        <f t="shared" si="685"/>
        <v>#DIV/0!</v>
      </c>
      <c r="Q2110" s="29" t="str">
        <f t="shared" si="687"/>
        <v>NA</v>
      </c>
      <c r="R2110" s="29" t="str">
        <f t="shared" si="688"/>
        <v>NA</v>
      </c>
      <c r="S2110" s="29" t="str">
        <f t="shared" si="689"/>
        <v>NA</v>
      </c>
      <c r="T2110" s="29" t="str">
        <f t="shared" si="690"/>
        <v>NA</v>
      </c>
      <c r="U2110" s="29" t="str">
        <f t="shared" si="691"/>
        <v>NA</v>
      </c>
      <c r="V2110" s="29" t="str">
        <f t="shared" si="692"/>
        <v>NA</v>
      </c>
      <c r="W2110" s="29" t="str">
        <f t="shared" si="693"/>
        <v>NA</v>
      </c>
      <c r="X2110" s="29" t="str">
        <f t="shared" si="694"/>
        <v>NA</v>
      </c>
      <c r="Y2110" s="29" t="str">
        <f t="shared" si="695"/>
        <v>NA</v>
      </c>
      <c r="Z2110" s="29" t="str">
        <f t="shared" si="696"/>
        <v>NA</v>
      </c>
      <c r="AA2110" s="29" t="str">
        <f t="shared" si="697"/>
        <v>NA</v>
      </c>
      <c r="AB2110" s="29" t="str">
        <f t="shared" si="698"/>
        <v>NA</v>
      </c>
      <c r="AC2110" s="29" t="str">
        <f t="shared" si="699"/>
        <v>NA</v>
      </c>
      <c r="AD2110" s="29" t="str">
        <f t="shared" si="700"/>
        <v>NA</v>
      </c>
      <c r="AE2110" s="29" t="str">
        <f t="shared" si="701"/>
        <v>NA</v>
      </c>
      <c r="AF2110" s="29" t="str">
        <f t="shared" si="702"/>
        <v>NA</v>
      </c>
      <c r="AG2110" s="29" t="str">
        <f t="shared" si="703"/>
        <v>NA</v>
      </c>
      <c r="AH2110" s="29" t="str">
        <f t="shared" si="704"/>
        <v>NA</v>
      </c>
    </row>
    <row r="2111" customHeight="1" spans="1:34">
      <c r="A2111" s="12" t="s">
        <v>1043</v>
      </c>
      <c r="F2111" s="24">
        <f t="shared" si="686"/>
        <v>0</v>
      </c>
      <c r="G2111" s="24" t="e">
        <f t="shared" si="685"/>
        <v>#DIV/0!</v>
      </c>
      <c r="Q2111" s="29" t="str">
        <f t="shared" si="687"/>
        <v>NA</v>
      </c>
      <c r="R2111" s="29" t="str">
        <f t="shared" si="688"/>
        <v>NA</v>
      </c>
      <c r="S2111" s="29" t="str">
        <f t="shared" si="689"/>
        <v>NA</v>
      </c>
      <c r="T2111" s="29" t="str">
        <f t="shared" si="690"/>
        <v>NA</v>
      </c>
      <c r="U2111" s="29" t="str">
        <f t="shared" si="691"/>
        <v>NA</v>
      </c>
      <c r="V2111" s="29" t="str">
        <f t="shared" si="692"/>
        <v>NA</v>
      </c>
      <c r="W2111" s="29" t="str">
        <f t="shared" si="693"/>
        <v>NA</v>
      </c>
      <c r="X2111" s="29" t="str">
        <f t="shared" si="694"/>
        <v>NA</v>
      </c>
      <c r="Y2111" s="29" t="str">
        <f t="shared" si="695"/>
        <v>NA</v>
      </c>
      <c r="Z2111" s="29" t="str">
        <f t="shared" si="696"/>
        <v>NA</v>
      </c>
      <c r="AA2111" s="29" t="str">
        <f t="shared" si="697"/>
        <v>NA</v>
      </c>
      <c r="AB2111" s="29" t="str">
        <f t="shared" si="698"/>
        <v>NA</v>
      </c>
      <c r="AC2111" s="29" t="str">
        <f t="shared" si="699"/>
        <v>NA</v>
      </c>
      <c r="AD2111" s="29" t="str">
        <f t="shared" si="700"/>
        <v>NA</v>
      </c>
      <c r="AE2111" s="29" t="str">
        <f t="shared" si="701"/>
        <v>NA</v>
      </c>
      <c r="AF2111" s="29" t="str">
        <f t="shared" si="702"/>
        <v>NA</v>
      </c>
      <c r="AG2111" s="29" t="str">
        <f t="shared" si="703"/>
        <v>NA</v>
      </c>
      <c r="AH2111" s="29" t="str">
        <f t="shared" si="704"/>
        <v>NA</v>
      </c>
    </row>
    <row r="2112" customHeight="1" spans="1:34">
      <c r="A2112" s="12" t="s">
        <v>1043</v>
      </c>
      <c r="F2112" s="24">
        <f t="shared" si="686"/>
        <v>0</v>
      </c>
      <c r="G2112" s="24" t="e">
        <f t="shared" si="685"/>
        <v>#DIV/0!</v>
      </c>
      <c r="Q2112" s="29" t="str">
        <f t="shared" si="687"/>
        <v>NA</v>
      </c>
      <c r="R2112" s="29" t="str">
        <f t="shared" si="688"/>
        <v>NA</v>
      </c>
      <c r="S2112" s="29" t="str">
        <f t="shared" si="689"/>
        <v>NA</v>
      </c>
      <c r="T2112" s="29" t="str">
        <f t="shared" si="690"/>
        <v>NA</v>
      </c>
      <c r="U2112" s="29" t="str">
        <f t="shared" si="691"/>
        <v>NA</v>
      </c>
      <c r="V2112" s="29" t="str">
        <f t="shared" si="692"/>
        <v>NA</v>
      </c>
      <c r="W2112" s="29" t="str">
        <f t="shared" si="693"/>
        <v>NA</v>
      </c>
      <c r="X2112" s="29" t="str">
        <f t="shared" si="694"/>
        <v>NA</v>
      </c>
      <c r="Y2112" s="29" t="str">
        <f t="shared" si="695"/>
        <v>NA</v>
      </c>
      <c r="Z2112" s="29" t="str">
        <f t="shared" si="696"/>
        <v>NA</v>
      </c>
      <c r="AA2112" s="29" t="str">
        <f t="shared" si="697"/>
        <v>NA</v>
      </c>
      <c r="AB2112" s="29" t="str">
        <f t="shared" si="698"/>
        <v>NA</v>
      </c>
      <c r="AC2112" s="29" t="str">
        <f t="shared" si="699"/>
        <v>NA</v>
      </c>
      <c r="AD2112" s="29" t="str">
        <f t="shared" si="700"/>
        <v>NA</v>
      </c>
      <c r="AE2112" s="29" t="str">
        <f t="shared" si="701"/>
        <v>NA</v>
      </c>
      <c r="AF2112" s="29" t="str">
        <f t="shared" si="702"/>
        <v>NA</v>
      </c>
      <c r="AG2112" s="29" t="str">
        <f t="shared" si="703"/>
        <v>NA</v>
      </c>
      <c r="AH2112" s="29" t="str">
        <f t="shared" si="704"/>
        <v>NA</v>
      </c>
    </row>
    <row r="2113" customHeight="1" spans="1:34">
      <c r="A2113" s="12" t="s">
        <v>1043</v>
      </c>
      <c r="F2113" s="24">
        <f t="shared" si="686"/>
        <v>0</v>
      </c>
      <c r="G2113" s="24" t="e">
        <f t="shared" si="685"/>
        <v>#DIV/0!</v>
      </c>
      <c r="Q2113" s="29" t="str">
        <f t="shared" si="687"/>
        <v>NA</v>
      </c>
      <c r="R2113" s="29" t="str">
        <f t="shared" si="688"/>
        <v>NA</v>
      </c>
      <c r="S2113" s="29" t="str">
        <f t="shared" si="689"/>
        <v>NA</v>
      </c>
      <c r="T2113" s="29" t="str">
        <f t="shared" si="690"/>
        <v>NA</v>
      </c>
      <c r="U2113" s="29" t="str">
        <f t="shared" si="691"/>
        <v>NA</v>
      </c>
      <c r="V2113" s="29" t="str">
        <f t="shared" si="692"/>
        <v>NA</v>
      </c>
      <c r="W2113" s="29" t="str">
        <f t="shared" si="693"/>
        <v>NA</v>
      </c>
      <c r="X2113" s="29" t="str">
        <f t="shared" si="694"/>
        <v>NA</v>
      </c>
      <c r="Y2113" s="29" t="str">
        <f t="shared" si="695"/>
        <v>NA</v>
      </c>
      <c r="Z2113" s="29" t="str">
        <f t="shared" si="696"/>
        <v>NA</v>
      </c>
      <c r="AA2113" s="29" t="str">
        <f t="shared" si="697"/>
        <v>NA</v>
      </c>
      <c r="AB2113" s="29" t="str">
        <f t="shared" si="698"/>
        <v>NA</v>
      </c>
      <c r="AC2113" s="29" t="str">
        <f t="shared" si="699"/>
        <v>NA</v>
      </c>
      <c r="AD2113" s="29" t="str">
        <f t="shared" si="700"/>
        <v>NA</v>
      </c>
      <c r="AE2113" s="29" t="str">
        <f t="shared" si="701"/>
        <v>NA</v>
      </c>
      <c r="AF2113" s="29" t="str">
        <f t="shared" si="702"/>
        <v>NA</v>
      </c>
      <c r="AG2113" s="29" t="str">
        <f t="shared" si="703"/>
        <v>NA</v>
      </c>
      <c r="AH2113" s="29" t="str">
        <f t="shared" si="704"/>
        <v>NA</v>
      </c>
    </row>
    <row r="2114" customHeight="1" spans="1:34">
      <c r="A2114" s="12" t="s">
        <v>1043</v>
      </c>
      <c r="F2114" s="24">
        <f t="shared" si="686"/>
        <v>0</v>
      </c>
      <c r="G2114" s="24" t="e">
        <f t="shared" si="685"/>
        <v>#DIV/0!</v>
      </c>
      <c r="Q2114" s="29" t="str">
        <f t="shared" si="687"/>
        <v>NA</v>
      </c>
      <c r="R2114" s="29" t="str">
        <f t="shared" si="688"/>
        <v>NA</v>
      </c>
      <c r="S2114" s="29" t="str">
        <f t="shared" si="689"/>
        <v>NA</v>
      </c>
      <c r="T2114" s="29" t="str">
        <f t="shared" si="690"/>
        <v>NA</v>
      </c>
      <c r="U2114" s="29" t="str">
        <f t="shared" si="691"/>
        <v>NA</v>
      </c>
      <c r="V2114" s="29" t="str">
        <f t="shared" si="692"/>
        <v>NA</v>
      </c>
      <c r="W2114" s="29" t="str">
        <f t="shared" si="693"/>
        <v>NA</v>
      </c>
      <c r="X2114" s="29" t="str">
        <f t="shared" si="694"/>
        <v>NA</v>
      </c>
      <c r="Y2114" s="29" t="str">
        <f t="shared" si="695"/>
        <v>NA</v>
      </c>
      <c r="Z2114" s="29" t="str">
        <f t="shared" si="696"/>
        <v>NA</v>
      </c>
      <c r="AA2114" s="29" t="str">
        <f t="shared" si="697"/>
        <v>NA</v>
      </c>
      <c r="AB2114" s="29" t="str">
        <f t="shared" si="698"/>
        <v>NA</v>
      </c>
      <c r="AC2114" s="29" t="str">
        <f t="shared" si="699"/>
        <v>NA</v>
      </c>
      <c r="AD2114" s="29" t="str">
        <f t="shared" si="700"/>
        <v>NA</v>
      </c>
      <c r="AE2114" s="29" t="str">
        <f t="shared" si="701"/>
        <v>NA</v>
      </c>
      <c r="AF2114" s="29" t="str">
        <f t="shared" si="702"/>
        <v>NA</v>
      </c>
      <c r="AG2114" s="29" t="str">
        <f t="shared" si="703"/>
        <v>NA</v>
      </c>
      <c r="AH2114" s="29" t="str">
        <f t="shared" si="704"/>
        <v>NA</v>
      </c>
    </row>
    <row r="2115" customHeight="1" spans="1:34">
      <c r="A2115" s="12" t="s">
        <v>1043</v>
      </c>
      <c r="F2115" s="24">
        <f t="shared" si="686"/>
        <v>0</v>
      </c>
      <c r="G2115" s="24" t="e">
        <f t="shared" si="685"/>
        <v>#DIV/0!</v>
      </c>
      <c r="Q2115" s="29" t="str">
        <f t="shared" si="687"/>
        <v>NA</v>
      </c>
      <c r="R2115" s="29" t="str">
        <f t="shared" si="688"/>
        <v>NA</v>
      </c>
      <c r="S2115" s="29" t="str">
        <f t="shared" si="689"/>
        <v>NA</v>
      </c>
      <c r="T2115" s="29" t="str">
        <f t="shared" si="690"/>
        <v>NA</v>
      </c>
      <c r="U2115" s="29" t="str">
        <f t="shared" si="691"/>
        <v>NA</v>
      </c>
      <c r="V2115" s="29" t="str">
        <f t="shared" si="692"/>
        <v>NA</v>
      </c>
      <c r="W2115" s="29" t="str">
        <f t="shared" si="693"/>
        <v>NA</v>
      </c>
      <c r="X2115" s="29" t="str">
        <f t="shared" si="694"/>
        <v>NA</v>
      </c>
      <c r="Y2115" s="29" t="str">
        <f t="shared" si="695"/>
        <v>NA</v>
      </c>
      <c r="Z2115" s="29" t="str">
        <f t="shared" si="696"/>
        <v>NA</v>
      </c>
      <c r="AA2115" s="29" t="str">
        <f t="shared" si="697"/>
        <v>NA</v>
      </c>
      <c r="AB2115" s="29" t="str">
        <f t="shared" si="698"/>
        <v>NA</v>
      </c>
      <c r="AC2115" s="29" t="str">
        <f t="shared" si="699"/>
        <v>NA</v>
      </c>
      <c r="AD2115" s="29" t="str">
        <f t="shared" si="700"/>
        <v>NA</v>
      </c>
      <c r="AE2115" s="29" t="str">
        <f t="shared" si="701"/>
        <v>NA</v>
      </c>
      <c r="AF2115" s="29" t="str">
        <f t="shared" si="702"/>
        <v>NA</v>
      </c>
      <c r="AG2115" s="29" t="str">
        <f t="shared" si="703"/>
        <v>NA</v>
      </c>
      <c r="AH2115" s="29" t="str">
        <f t="shared" si="704"/>
        <v>NA</v>
      </c>
    </row>
    <row r="2116" customHeight="1" spans="1:34">
      <c r="A2116" s="12" t="s">
        <v>1043</v>
      </c>
      <c r="F2116" s="24">
        <f t="shared" si="686"/>
        <v>0</v>
      </c>
      <c r="G2116" s="24" t="e">
        <f t="shared" si="685"/>
        <v>#DIV/0!</v>
      </c>
      <c r="Q2116" s="29" t="str">
        <f t="shared" si="687"/>
        <v>NA</v>
      </c>
      <c r="R2116" s="29" t="str">
        <f t="shared" si="688"/>
        <v>NA</v>
      </c>
      <c r="S2116" s="29" t="str">
        <f t="shared" si="689"/>
        <v>NA</v>
      </c>
      <c r="T2116" s="29" t="str">
        <f t="shared" si="690"/>
        <v>NA</v>
      </c>
      <c r="U2116" s="29" t="str">
        <f t="shared" si="691"/>
        <v>NA</v>
      </c>
      <c r="V2116" s="29" t="str">
        <f t="shared" si="692"/>
        <v>NA</v>
      </c>
      <c r="W2116" s="29" t="str">
        <f t="shared" si="693"/>
        <v>NA</v>
      </c>
      <c r="X2116" s="29" t="str">
        <f t="shared" si="694"/>
        <v>NA</v>
      </c>
      <c r="Y2116" s="29" t="str">
        <f t="shared" si="695"/>
        <v>NA</v>
      </c>
      <c r="Z2116" s="29" t="str">
        <f t="shared" si="696"/>
        <v>NA</v>
      </c>
      <c r="AA2116" s="29" t="str">
        <f t="shared" si="697"/>
        <v>NA</v>
      </c>
      <c r="AB2116" s="29" t="str">
        <f t="shared" si="698"/>
        <v>NA</v>
      </c>
      <c r="AC2116" s="29" t="str">
        <f t="shared" si="699"/>
        <v>NA</v>
      </c>
      <c r="AD2116" s="29" t="str">
        <f t="shared" si="700"/>
        <v>NA</v>
      </c>
      <c r="AE2116" s="29" t="str">
        <f t="shared" si="701"/>
        <v>NA</v>
      </c>
      <c r="AF2116" s="29" t="str">
        <f t="shared" si="702"/>
        <v>NA</v>
      </c>
      <c r="AG2116" s="29" t="str">
        <f t="shared" si="703"/>
        <v>NA</v>
      </c>
      <c r="AH2116" s="29" t="str">
        <f t="shared" si="704"/>
        <v>NA</v>
      </c>
    </row>
    <row r="2117" customHeight="1" spans="1:34">
      <c r="A2117" s="12" t="s">
        <v>1043</v>
      </c>
      <c r="F2117" s="24">
        <f t="shared" si="686"/>
        <v>0</v>
      </c>
      <c r="G2117" s="24" t="e">
        <f t="shared" ref="G2117:G2180" si="705">B2117*D2117/C2117</f>
        <v>#DIV/0!</v>
      </c>
      <c r="Q2117" s="29" t="str">
        <f t="shared" si="687"/>
        <v>NA</v>
      </c>
      <c r="R2117" s="29" t="str">
        <f t="shared" si="688"/>
        <v>NA</v>
      </c>
      <c r="S2117" s="29" t="str">
        <f t="shared" si="689"/>
        <v>NA</v>
      </c>
      <c r="T2117" s="29" t="str">
        <f t="shared" si="690"/>
        <v>NA</v>
      </c>
      <c r="U2117" s="29" t="str">
        <f t="shared" si="691"/>
        <v>NA</v>
      </c>
      <c r="V2117" s="29" t="str">
        <f t="shared" si="692"/>
        <v>NA</v>
      </c>
      <c r="W2117" s="29" t="str">
        <f t="shared" si="693"/>
        <v>NA</v>
      </c>
      <c r="X2117" s="29" t="str">
        <f t="shared" si="694"/>
        <v>NA</v>
      </c>
      <c r="Y2117" s="29" t="str">
        <f t="shared" si="695"/>
        <v>NA</v>
      </c>
      <c r="Z2117" s="29" t="str">
        <f t="shared" si="696"/>
        <v>NA</v>
      </c>
      <c r="AA2117" s="29" t="str">
        <f t="shared" si="697"/>
        <v>NA</v>
      </c>
      <c r="AB2117" s="29" t="str">
        <f t="shared" si="698"/>
        <v>NA</v>
      </c>
      <c r="AC2117" s="29" t="str">
        <f t="shared" si="699"/>
        <v>NA</v>
      </c>
      <c r="AD2117" s="29" t="str">
        <f t="shared" si="700"/>
        <v>NA</v>
      </c>
      <c r="AE2117" s="29" t="str">
        <f t="shared" si="701"/>
        <v>NA</v>
      </c>
      <c r="AF2117" s="29" t="str">
        <f t="shared" si="702"/>
        <v>NA</v>
      </c>
      <c r="AG2117" s="29" t="str">
        <f t="shared" si="703"/>
        <v>NA</v>
      </c>
      <c r="AH2117" s="29" t="str">
        <f t="shared" si="704"/>
        <v>NA</v>
      </c>
    </row>
    <row r="2118" customHeight="1" spans="1:34">
      <c r="A2118" s="12" t="s">
        <v>1043</v>
      </c>
      <c r="F2118" s="24">
        <f t="shared" ref="F2118:F2181" si="706">+D2118+E2118</f>
        <v>0</v>
      </c>
      <c r="G2118" s="24" t="e">
        <f t="shared" si="705"/>
        <v>#DIV/0!</v>
      </c>
      <c r="Q2118" s="29" t="str">
        <f t="shared" si="687"/>
        <v>NA</v>
      </c>
      <c r="R2118" s="29" t="str">
        <f t="shared" si="688"/>
        <v>NA</v>
      </c>
      <c r="S2118" s="29" t="str">
        <f t="shared" si="689"/>
        <v>NA</v>
      </c>
      <c r="T2118" s="29" t="str">
        <f t="shared" si="690"/>
        <v>NA</v>
      </c>
      <c r="U2118" s="29" t="str">
        <f t="shared" si="691"/>
        <v>NA</v>
      </c>
      <c r="V2118" s="29" t="str">
        <f t="shared" si="692"/>
        <v>NA</v>
      </c>
      <c r="W2118" s="29" t="str">
        <f t="shared" si="693"/>
        <v>NA</v>
      </c>
      <c r="X2118" s="29" t="str">
        <f t="shared" si="694"/>
        <v>NA</v>
      </c>
      <c r="Y2118" s="29" t="str">
        <f t="shared" si="695"/>
        <v>NA</v>
      </c>
      <c r="Z2118" s="29" t="str">
        <f t="shared" si="696"/>
        <v>NA</v>
      </c>
      <c r="AA2118" s="29" t="str">
        <f t="shared" si="697"/>
        <v>NA</v>
      </c>
      <c r="AB2118" s="29" t="str">
        <f t="shared" si="698"/>
        <v>NA</v>
      </c>
      <c r="AC2118" s="29" t="str">
        <f t="shared" si="699"/>
        <v>NA</v>
      </c>
      <c r="AD2118" s="29" t="str">
        <f t="shared" si="700"/>
        <v>NA</v>
      </c>
      <c r="AE2118" s="29" t="str">
        <f t="shared" si="701"/>
        <v>NA</v>
      </c>
      <c r="AF2118" s="29" t="str">
        <f t="shared" si="702"/>
        <v>NA</v>
      </c>
      <c r="AG2118" s="29" t="str">
        <f t="shared" si="703"/>
        <v>NA</v>
      </c>
      <c r="AH2118" s="29" t="str">
        <f t="shared" si="704"/>
        <v>NA</v>
      </c>
    </row>
    <row r="2119" customHeight="1" spans="1:34">
      <c r="A2119" s="12" t="s">
        <v>1043</v>
      </c>
      <c r="F2119" s="24">
        <f t="shared" si="706"/>
        <v>0</v>
      </c>
      <c r="G2119" s="24" t="e">
        <f t="shared" si="705"/>
        <v>#DIV/0!</v>
      </c>
      <c r="Q2119" s="29" t="str">
        <f t="shared" si="687"/>
        <v>NA</v>
      </c>
      <c r="R2119" s="29" t="str">
        <f t="shared" si="688"/>
        <v>NA</v>
      </c>
      <c r="S2119" s="29" t="str">
        <f t="shared" si="689"/>
        <v>NA</v>
      </c>
      <c r="T2119" s="29" t="str">
        <f t="shared" si="690"/>
        <v>NA</v>
      </c>
      <c r="U2119" s="29" t="str">
        <f t="shared" si="691"/>
        <v>NA</v>
      </c>
      <c r="V2119" s="29" t="str">
        <f t="shared" si="692"/>
        <v>NA</v>
      </c>
      <c r="W2119" s="29" t="str">
        <f t="shared" si="693"/>
        <v>NA</v>
      </c>
      <c r="X2119" s="29" t="str">
        <f t="shared" si="694"/>
        <v>NA</v>
      </c>
      <c r="Y2119" s="29" t="str">
        <f t="shared" si="695"/>
        <v>NA</v>
      </c>
      <c r="Z2119" s="29" t="str">
        <f t="shared" si="696"/>
        <v>NA</v>
      </c>
      <c r="AA2119" s="29" t="str">
        <f t="shared" si="697"/>
        <v>NA</v>
      </c>
      <c r="AB2119" s="29" t="str">
        <f t="shared" si="698"/>
        <v>NA</v>
      </c>
      <c r="AC2119" s="29" t="str">
        <f t="shared" si="699"/>
        <v>NA</v>
      </c>
      <c r="AD2119" s="29" t="str">
        <f t="shared" si="700"/>
        <v>NA</v>
      </c>
      <c r="AE2119" s="29" t="str">
        <f t="shared" si="701"/>
        <v>NA</v>
      </c>
      <c r="AF2119" s="29" t="str">
        <f t="shared" si="702"/>
        <v>NA</v>
      </c>
      <c r="AG2119" s="29" t="str">
        <f t="shared" si="703"/>
        <v>NA</v>
      </c>
      <c r="AH2119" s="29" t="str">
        <f t="shared" si="704"/>
        <v>NA</v>
      </c>
    </row>
    <row r="2120" customHeight="1" spans="1:34">
      <c r="A2120" s="12" t="s">
        <v>1043</v>
      </c>
      <c r="F2120" s="24">
        <f t="shared" si="706"/>
        <v>0</v>
      </c>
      <c r="G2120" s="24" t="e">
        <f t="shared" si="705"/>
        <v>#DIV/0!</v>
      </c>
      <c r="Q2120" s="29" t="str">
        <f t="shared" si="687"/>
        <v>NA</v>
      </c>
      <c r="R2120" s="29" t="str">
        <f t="shared" si="688"/>
        <v>NA</v>
      </c>
      <c r="S2120" s="29" t="str">
        <f t="shared" si="689"/>
        <v>NA</v>
      </c>
      <c r="T2120" s="29" t="str">
        <f t="shared" si="690"/>
        <v>NA</v>
      </c>
      <c r="U2120" s="29" t="str">
        <f t="shared" si="691"/>
        <v>NA</v>
      </c>
      <c r="V2120" s="29" t="str">
        <f t="shared" si="692"/>
        <v>NA</v>
      </c>
      <c r="W2120" s="29" t="str">
        <f t="shared" si="693"/>
        <v>NA</v>
      </c>
      <c r="X2120" s="29" t="str">
        <f t="shared" si="694"/>
        <v>NA</v>
      </c>
      <c r="Y2120" s="29" t="str">
        <f t="shared" si="695"/>
        <v>NA</v>
      </c>
      <c r="Z2120" s="29" t="str">
        <f t="shared" si="696"/>
        <v>NA</v>
      </c>
      <c r="AA2120" s="29" t="str">
        <f t="shared" si="697"/>
        <v>NA</v>
      </c>
      <c r="AB2120" s="29" t="str">
        <f t="shared" si="698"/>
        <v>NA</v>
      </c>
      <c r="AC2120" s="29" t="str">
        <f t="shared" si="699"/>
        <v>NA</v>
      </c>
      <c r="AD2120" s="29" t="str">
        <f t="shared" si="700"/>
        <v>NA</v>
      </c>
      <c r="AE2120" s="29" t="str">
        <f t="shared" si="701"/>
        <v>NA</v>
      </c>
      <c r="AF2120" s="29" t="str">
        <f t="shared" si="702"/>
        <v>NA</v>
      </c>
      <c r="AG2120" s="29" t="str">
        <f t="shared" si="703"/>
        <v>NA</v>
      </c>
      <c r="AH2120" s="29" t="str">
        <f t="shared" si="704"/>
        <v>NA</v>
      </c>
    </row>
    <row r="2121" customHeight="1" spans="1:34">
      <c r="A2121" s="12" t="s">
        <v>1043</v>
      </c>
      <c r="F2121" s="24">
        <f t="shared" si="706"/>
        <v>0</v>
      </c>
      <c r="G2121" s="24" t="e">
        <f t="shared" si="705"/>
        <v>#DIV/0!</v>
      </c>
      <c r="Q2121" s="29" t="str">
        <f t="shared" si="687"/>
        <v>NA</v>
      </c>
      <c r="R2121" s="29" t="str">
        <f t="shared" si="688"/>
        <v>NA</v>
      </c>
      <c r="S2121" s="29" t="str">
        <f t="shared" si="689"/>
        <v>NA</v>
      </c>
      <c r="T2121" s="29" t="str">
        <f t="shared" si="690"/>
        <v>NA</v>
      </c>
      <c r="U2121" s="29" t="str">
        <f t="shared" si="691"/>
        <v>NA</v>
      </c>
      <c r="V2121" s="29" t="str">
        <f t="shared" si="692"/>
        <v>NA</v>
      </c>
      <c r="W2121" s="29" t="str">
        <f t="shared" si="693"/>
        <v>NA</v>
      </c>
      <c r="X2121" s="29" t="str">
        <f t="shared" si="694"/>
        <v>NA</v>
      </c>
      <c r="Y2121" s="29" t="str">
        <f t="shared" si="695"/>
        <v>NA</v>
      </c>
      <c r="Z2121" s="29" t="str">
        <f t="shared" si="696"/>
        <v>NA</v>
      </c>
      <c r="AA2121" s="29" t="str">
        <f t="shared" si="697"/>
        <v>NA</v>
      </c>
      <c r="AB2121" s="29" t="str">
        <f t="shared" si="698"/>
        <v>NA</v>
      </c>
      <c r="AC2121" s="29" t="str">
        <f t="shared" si="699"/>
        <v>NA</v>
      </c>
      <c r="AD2121" s="29" t="str">
        <f t="shared" si="700"/>
        <v>NA</v>
      </c>
      <c r="AE2121" s="29" t="str">
        <f t="shared" si="701"/>
        <v>NA</v>
      </c>
      <c r="AF2121" s="29" t="str">
        <f t="shared" si="702"/>
        <v>NA</v>
      </c>
      <c r="AG2121" s="29" t="str">
        <f t="shared" si="703"/>
        <v>NA</v>
      </c>
      <c r="AH2121" s="29" t="str">
        <f t="shared" si="704"/>
        <v>NA</v>
      </c>
    </row>
    <row r="2122" customHeight="1" spans="1:34">
      <c r="A2122" s="12" t="s">
        <v>1043</v>
      </c>
      <c r="F2122" s="24">
        <f t="shared" si="706"/>
        <v>0</v>
      </c>
      <c r="G2122" s="24" t="e">
        <f t="shared" si="705"/>
        <v>#DIV/0!</v>
      </c>
      <c r="Q2122" s="29" t="str">
        <f t="shared" si="687"/>
        <v>NA</v>
      </c>
      <c r="R2122" s="29" t="str">
        <f t="shared" si="688"/>
        <v>NA</v>
      </c>
      <c r="S2122" s="29" t="str">
        <f t="shared" si="689"/>
        <v>NA</v>
      </c>
      <c r="T2122" s="29" t="str">
        <f t="shared" si="690"/>
        <v>NA</v>
      </c>
      <c r="U2122" s="29" t="str">
        <f t="shared" si="691"/>
        <v>NA</v>
      </c>
      <c r="V2122" s="29" t="str">
        <f t="shared" si="692"/>
        <v>NA</v>
      </c>
      <c r="W2122" s="29" t="str">
        <f t="shared" si="693"/>
        <v>NA</v>
      </c>
      <c r="X2122" s="29" t="str">
        <f t="shared" si="694"/>
        <v>NA</v>
      </c>
      <c r="Y2122" s="29" t="str">
        <f t="shared" si="695"/>
        <v>NA</v>
      </c>
      <c r="Z2122" s="29" t="str">
        <f t="shared" si="696"/>
        <v>NA</v>
      </c>
      <c r="AA2122" s="29" t="str">
        <f t="shared" si="697"/>
        <v>NA</v>
      </c>
      <c r="AB2122" s="29" t="str">
        <f t="shared" si="698"/>
        <v>NA</v>
      </c>
      <c r="AC2122" s="29" t="str">
        <f t="shared" si="699"/>
        <v>NA</v>
      </c>
      <c r="AD2122" s="29" t="str">
        <f t="shared" si="700"/>
        <v>NA</v>
      </c>
      <c r="AE2122" s="29" t="str">
        <f t="shared" si="701"/>
        <v>NA</v>
      </c>
      <c r="AF2122" s="29" t="str">
        <f t="shared" si="702"/>
        <v>NA</v>
      </c>
      <c r="AG2122" s="29" t="str">
        <f t="shared" si="703"/>
        <v>NA</v>
      </c>
      <c r="AH2122" s="29" t="str">
        <f t="shared" si="704"/>
        <v>NA</v>
      </c>
    </row>
    <row r="2123" customHeight="1" spans="1:34">
      <c r="A2123" s="12" t="s">
        <v>1043</v>
      </c>
      <c r="F2123" s="24">
        <f t="shared" si="706"/>
        <v>0</v>
      </c>
      <c r="G2123" s="24" t="e">
        <f t="shared" si="705"/>
        <v>#DIV/0!</v>
      </c>
      <c r="Q2123" s="29" t="str">
        <f t="shared" si="687"/>
        <v>NA</v>
      </c>
      <c r="R2123" s="29" t="str">
        <f t="shared" si="688"/>
        <v>NA</v>
      </c>
      <c r="S2123" s="29" t="str">
        <f t="shared" si="689"/>
        <v>NA</v>
      </c>
      <c r="T2123" s="29" t="str">
        <f t="shared" si="690"/>
        <v>NA</v>
      </c>
      <c r="U2123" s="29" t="str">
        <f t="shared" si="691"/>
        <v>NA</v>
      </c>
      <c r="V2123" s="29" t="str">
        <f t="shared" si="692"/>
        <v>NA</v>
      </c>
      <c r="W2123" s="29" t="str">
        <f t="shared" si="693"/>
        <v>NA</v>
      </c>
      <c r="X2123" s="29" t="str">
        <f t="shared" si="694"/>
        <v>NA</v>
      </c>
      <c r="Y2123" s="29" t="str">
        <f t="shared" si="695"/>
        <v>NA</v>
      </c>
      <c r="Z2123" s="29" t="str">
        <f t="shared" si="696"/>
        <v>NA</v>
      </c>
      <c r="AA2123" s="29" t="str">
        <f t="shared" si="697"/>
        <v>NA</v>
      </c>
      <c r="AB2123" s="29" t="str">
        <f t="shared" si="698"/>
        <v>NA</v>
      </c>
      <c r="AC2123" s="29" t="str">
        <f t="shared" si="699"/>
        <v>NA</v>
      </c>
      <c r="AD2123" s="29" t="str">
        <f t="shared" si="700"/>
        <v>NA</v>
      </c>
      <c r="AE2123" s="29" t="str">
        <f t="shared" si="701"/>
        <v>NA</v>
      </c>
      <c r="AF2123" s="29" t="str">
        <f t="shared" si="702"/>
        <v>NA</v>
      </c>
      <c r="AG2123" s="29" t="str">
        <f t="shared" si="703"/>
        <v>NA</v>
      </c>
      <c r="AH2123" s="29" t="str">
        <f t="shared" si="704"/>
        <v>NA</v>
      </c>
    </row>
    <row r="2124" customHeight="1" spans="1:34">
      <c r="A2124" s="12" t="s">
        <v>1043</v>
      </c>
      <c r="F2124" s="24">
        <f t="shared" si="706"/>
        <v>0</v>
      </c>
      <c r="G2124" s="24" t="e">
        <f t="shared" si="705"/>
        <v>#DIV/0!</v>
      </c>
      <c r="Q2124" s="29" t="str">
        <f t="shared" si="687"/>
        <v>NA</v>
      </c>
      <c r="R2124" s="29" t="str">
        <f t="shared" si="688"/>
        <v>NA</v>
      </c>
      <c r="S2124" s="29" t="str">
        <f t="shared" si="689"/>
        <v>NA</v>
      </c>
      <c r="T2124" s="29" t="str">
        <f t="shared" si="690"/>
        <v>NA</v>
      </c>
      <c r="U2124" s="29" t="str">
        <f t="shared" si="691"/>
        <v>NA</v>
      </c>
      <c r="V2124" s="29" t="str">
        <f t="shared" si="692"/>
        <v>NA</v>
      </c>
      <c r="W2124" s="29" t="str">
        <f t="shared" si="693"/>
        <v>NA</v>
      </c>
      <c r="X2124" s="29" t="str">
        <f t="shared" si="694"/>
        <v>NA</v>
      </c>
      <c r="Y2124" s="29" t="str">
        <f t="shared" si="695"/>
        <v>NA</v>
      </c>
      <c r="Z2124" s="29" t="str">
        <f t="shared" si="696"/>
        <v>NA</v>
      </c>
      <c r="AA2124" s="29" t="str">
        <f t="shared" si="697"/>
        <v>NA</v>
      </c>
      <c r="AB2124" s="29" t="str">
        <f t="shared" si="698"/>
        <v>NA</v>
      </c>
      <c r="AC2124" s="29" t="str">
        <f t="shared" si="699"/>
        <v>NA</v>
      </c>
      <c r="AD2124" s="29" t="str">
        <f t="shared" si="700"/>
        <v>NA</v>
      </c>
      <c r="AE2124" s="29" t="str">
        <f t="shared" si="701"/>
        <v>NA</v>
      </c>
      <c r="AF2124" s="29" t="str">
        <f t="shared" si="702"/>
        <v>NA</v>
      </c>
      <c r="AG2124" s="29" t="str">
        <f t="shared" si="703"/>
        <v>NA</v>
      </c>
      <c r="AH2124" s="29" t="str">
        <f t="shared" si="704"/>
        <v>NA</v>
      </c>
    </row>
    <row r="2125" customHeight="1" spans="1:34">
      <c r="A2125" s="12" t="s">
        <v>1043</v>
      </c>
      <c r="F2125" s="24">
        <f t="shared" si="706"/>
        <v>0</v>
      </c>
      <c r="G2125" s="24" t="e">
        <f t="shared" si="705"/>
        <v>#DIV/0!</v>
      </c>
      <c r="Q2125" s="29" t="str">
        <f t="shared" si="687"/>
        <v>NA</v>
      </c>
      <c r="R2125" s="29" t="str">
        <f t="shared" si="688"/>
        <v>NA</v>
      </c>
      <c r="S2125" s="29" t="str">
        <f t="shared" si="689"/>
        <v>NA</v>
      </c>
      <c r="T2125" s="29" t="str">
        <f t="shared" si="690"/>
        <v>NA</v>
      </c>
      <c r="U2125" s="29" t="str">
        <f t="shared" si="691"/>
        <v>NA</v>
      </c>
      <c r="V2125" s="29" t="str">
        <f t="shared" si="692"/>
        <v>NA</v>
      </c>
      <c r="W2125" s="29" t="str">
        <f t="shared" si="693"/>
        <v>NA</v>
      </c>
      <c r="X2125" s="29" t="str">
        <f t="shared" si="694"/>
        <v>NA</v>
      </c>
      <c r="Y2125" s="29" t="str">
        <f t="shared" si="695"/>
        <v>NA</v>
      </c>
      <c r="Z2125" s="29" t="str">
        <f t="shared" si="696"/>
        <v>NA</v>
      </c>
      <c r="AA2125" s="29" t="str">
        <f t="shared" si="697"/>
        <v>NA</v>
      </c>
      <c r="AB2125" s="29" t="str">
        <f t="shared" si="698"/>
        <v>NA</v>
      </c>
      <c r="AC2125" s="29" t="str">
        <f t="shared" si="699"/>
        <v>NA</v>
      </c>
      <c r="AD2125" s="29" t="str">
        <f t="shared" si="700"/>
        <v>NA</v>
      </c>
      <c r="AE2125" s="29" t="str">
        <f t="shared" si="701"/>
        <v>NA</v>
      </c>
      <c r="AF2125" s="29" t="str">
        <f t="shared" si="702"/>
        <v>NA</v>
      </c>
      <c r="AG2125" s="29" t="str">
        <f t="shared" si="703"/>
        <v>NA</v>
      </c>
      <c r="AH2125" s="29" t="str">
        <f t="shared" si="704"/>
        <v>NA</v>
      </c>
    </row>
    <row r="2126" customHeight="1" spans="1:34">
      <c r="A2126" s="12" t="s">
        <v>1043</v>
      </c>
      <c r="F2126" s="24">
        <f t="shared" si="706"/>
        <v>0</v>
      </c>
      <c r="G2126" s="24" t="e">
        <f t="shared" si="705"/>
        <v>#DIV/0!</v>
      </c>
      <c r="Q2126" s="29" t="str">
        <f t="shared" si="687"/>
        <v>NA</v>
      </c>
      <c r="R2126" s="29" t="str">
        <f t="shared" si="688"/>
        <v>NA</v>
      </c>
      <c r="S2126" s="29" t="str">
        <f t="shared" si="689"/>
        <v>NA</v>
      </c>
      <c r="T2126" s="29" t="str">
        <f t="shared" si="690"/>
        <v>NA</v>
      </c>
      <c r="U2126" s="29" t="str">
        <f t="shared" si="691"/>
        <v>NA</v>
      </c>
      <c r="V2126" s="29" t="str">
        <f t="shared" si="692"/>
        <v>NA</v>
      </c>
      <c r="W2126" s="29" t="str">
        <f t="shared" si="693"/>
        <v>NA</v>
      </c>
      <c r="X2126" s="29" t="str">
        <f t="shared" si="694"/>
        <v>NA</v>
      </c>
      <c r="Y2126" s="29" t="str">
        <f t="shared" si="695"/>
        <v>NA</v>
      </c>
      <c r="Z2126" s="29" t="str">
        <f t="shared" si="696"/>
        <v>NA</v>
      </c>
      <c r="AA2126" s="29" t="str">
        <f t="shared" si="697"/>
        <v>NA</v>
      </c>
      <c r="AB2126" s="29" t="str">
        <f t="shared" si="698"/>
        <v>NA</v>
      </c>
      <c r="AC2126" s="29" t="str">
        <f t="shared" si="699"/>
        <v>NA</v>
      </c>
      <c r="AD2126" s="29" t="str">
        <f t="shared" si="700"/>
        <v>NA</v>
      </c>
      <c r="AE2126" s="29" t="str">
        <f t="shared" si="701"/>
        <v>NA</v>
      </c>
      <c r="AF2126" s="29" t="str">
        <f t="shared" si="702"/>
        <v>NA</v>
      </c>
      <c r="AG2126" s="29" t="str">
        <f t="shared" si="703"/>
        <v>NA</v>
      </c>
      <c r="AH2126" s="29" t="str">
        <f t="shared" si="704"/>
        <v>NA</v>
      </c>
    </row>
    <row r="2127" customHeight="1" spans="1:34">
      <c r="A2127" s="12" t="s">
        <v>1043</v>
      </c>
      <c r="F2127" s="24">
        <f t="shared" si="706"/>
        <v>0</v>
      </c>
      <c r="G2127" s="24" t="e">
        <f t="shared" si="705"/>
        <v>#DIV/0!</v>
      </c>
      <c r="Q2127" s="29" t="str">
        <f t="shared" si="687"/>
        <v>NA</v>
      </c>
      <c r="R2127" s="29" t="str">
        <f t="shared" si="688"/>
        <v>NA</v>
      </c>
      <c r="S2127" s="29" t="str">
        <f t="shared" si="689"/>
        <v>NA</v>
      </c>
      <c r="T2127" s="29" t="str">
        <f t="shared" si="690"/>
        <v>NA</v>
      </c>
      <c r="U2127" s="29" t="str">
        <f t="shared" si="691"/>
        <v>NA</v>
      </c>
      <c r="V2127" s="29" t="str">
        <f t="shared" si="692"/>
        <v>NA</v>
      </c>
      <c r="W2127" s="29" t="str">
        <f t="shared" si="693"/>
        <v>NA</v>
      </c>
      <c r="X2127" s="29" t="str">
        <f t="shared" si="694"/>
        <v>NA</v>
      </c>
      <c r="Y2127" s="29" t="str">
        <f t="shared" si="695"/>
        <v>NA</v>
      </c>
      <c r="Z2127" s="29" t="str">
        <f t="shared" si="696"/>
        <v>NA</v>
      </c>
      <c r="AA2127" s="29" t="str">
        <f t="shared" si="697"/>
        <v>NA</v>
      </c>
      <c r="AB2127" s="29" t="str">
        <f t="shared" si="698"/>
        <v>NA</v>
      </c>
      <c r="AC2127" s="29" t="str">
        <f t="shared" si="699"/>
        <v>NA</v>
      </c>
      <c r="AD2127" s="29" t="str">
        <f t="shared" si="700"/>
        <v>NA</v>
      </c>
      <c r="AE2127" s="29" t="str">
        <f t="shared" si="701"/>
        <v>NA</v>
      </c>
      <c r="AF2127" s="29" t="str">
        <f t="shared" si="702"/>
        <v>NA</v>
      </c>
      <c r="AG2127" s="29" t="str">
        <f t="shared" si="703"/>
        <v>NA</v>
      </c>
      <c r="AH2127" s="29" t="str">
        <f t="shared" si="704"/>
        <v>NA</v>
      </c>
    </row>
    <row r="2128" customHeight="1" spans="1:34">
      <c r="A2128" s="12" t="s">
        <v>1043</v>
      </c>
      <c r="F2128" s="24">
        <f t="shared" si="706"/>
        <v>0</v>
      </c>
      <c r="G2128" s="24" t="e">
        <f t="shared" si="705"/>
        <v>#DIV/0!</v>
      </c>
      <c r="Q2128" s="29" t="str">
        <f t="shared" ref="Q2128:Q2191" si="707">IFERROR($B2128*$E2128/H2128,"NA")</f>
        <v>NA</v>
      </c>
      <c r="R2128" s="29" t="str">
        <f t="shared" ref="R2128:R2191" si="708">IFERROR($B2128*$E2128/I2128,"NA")</f>
        <v>NA</v>
      </c>
      <c r="S2128" s="29" t="str">
        <f t="shared" ref="S2128:S2191" si="709">IFERROR($B2128*$E2128/J2128,"NA")</f>
        <v>NA</v>
      </c>
      <c r="T2128" s="29" t="str">
        <f t="shared" ref="T2128:T2191" si="710">IFERROR($B2128*$E2128/K2128,"NA")</f>
        <v>NA</v>
      </c>
      <c r="U2128" s="29" t="str">
        <f t="shared" ref="U2128:U2191" si="711">IFERROR($B2128*$E2128/L2128,"NA")</f>
        <v>NA</v>
      </c>
      <c r="V2128" s="29" t="str">
        <f t="shared" ref="V2128:V2191" si="712">IFERROR($B2128*$E2128/M2128,"NA")</f>
        <v>NA</v>
      </c>
      <c r="W2128" s="29" t="str">
        <f t="shared" ref="W2128:W2191" si="713">IFERROR($B2128*$E2128/N2128,"NA")</f>
        <v>NA</v>
      </c>
      <c r="X2128" s="29" t="str">
        <f t="shared" ref="X2128:X2191" si="714">IFERROR($B2128*$E2128/O2128,"NA")</f>
        <v>NA</v>
      </c>
      <c r="Y2128" s="29" t="str">
        <f t="shared" ref="Y2128:Y2191" si="715">IFERROR($B2128*$E2128/P2128,"NA")</f>
        <v>NA</v>
      </c>
      <c r="Z2128" s="29" t="str">
        <f t="shared" ref="Z2128:Z2191" si="716">IFERROR((($G2128*Z$2/1000)+Q2128)/1,"NA")</f>
        <v>NA</v>
      </c>
      <c r="AA2128" s="29" t="str">
        <f t="shared" ref="AA2128:AA2191" si="717">IFERROR((($G2128*AA$2/1000)+R2128)/1,"NA")</f>
        <v>NA</v>
      </c>
      <c r="AB2128" s="29" t="str">
        <f t="shared" ref="AB2128:AB2191" si="718">IFERROR((($G2128*AB$2/1000)+S2128)/1,"NA")</f>
        <v>NA</v>
      </c>
      <c r="AC2128" s="29" t="str">
        <f t="shared" ref="AC2128:AC2191" si="719">IFERROR((($G2128*AC$2/1000)+T2128)/1,"NA")</f>
        <v>NA</v>
      </c>
      <c r="AD2128" s="29" t="str">
        <f t="shared" ref="AD2128:AD2191" si="720">IFERROR((($G2128*AD$2/1000)+U2128)/1,"NA")</f>
        <v>NA</v>
      </c>
      <c r="AE2128" s="29" t="str">
        <f t="shared" ref="AE2128:AE2191" si="721">IFERROR((($G2128*AE$2/1000)+V2128)/1,"NA")</f>
        <v>NA</v>
      </c>
      <c r="AF2128" s="29" t="str">
        <f t="shared" ref="AF2128:AF2191" si="722">IFERROR((($G2128*AF$2/1000)+W2128)/1,"NA")</f>
        <v>NA</v>
      </c>
      <c r="AG2128" s="29" t="str">
        <f t="shared" ref="AG2128:AG2191" si="723">IFERROR((($G2128*AG$2/1000)+X2128)/1,"NA")</f>
        <v>NA</v>
      </c>
      <c r="AH2128" s="29" t="str">
        <f t="shared" ref="AH2128:AH2191" si="724">IFERROR((($G2128*AH$2/1000)+Y2128)/1,"NA")</f>
        <v>NA</v>
      </c>
    </row>
    <row r="2129" customHeight="1" spans="1:34">
      <c r="A2129" s="12" t="s">
        <v>1043</v>
      </c>
      <c r="F2129" s="24">
        <f t="shared" si="706"/>
        <v>0</v>
      </c>
      <c r="G2129" s="24" t="e">
        <f t="shared" si="705"/>
        <v>#DIV/0!</v>
      </c>
      <c r="Q2129" s="29" t="str">
        <f t="shared" si="707"/>
        <v>NA</v>
      </c>
      <c r="R2129" s="29" t="str">
        <f t="shared" si="708"/>
        <v>NA</v>
      </c>
      <c r="S2129" s="29" t="str">
        <f t="shared" si="709"/>
        <v>NA</v>
      </c>
      <c r="T2129" s="29" t="str">
        <f t="shared" si="710"/>
        <v>NA</v>
      </c>
      <c r="U2129" s="29" t="str">
        <f t="shared" si="711"/>
        <v>NA</v>
      </c>
      <c r="V2129" s="29" t="str">
        <f t="shared" si="712"/>
        <v>NA</v>
      </c>
      <c r="W2129" s="29" t="str">
        <f t="shared" si="713"/>
        <v>NA</v>
      </c>
      <c r="X2129" s="29" t="str">
        <f t="shared" si="714"/>
        <v>NA</v>
      </c>
      <c r="Y2129" s="29" t="str">
        <f t="shared" si="715"/>
        <v>NA</v>
      </c>
      <c r="Z2129" s="29" t="str">
        <f t="shared" si="716"/>
        <v>NA</v>
      </c>
      <c r="AA2129" s="29" t="str">
        <f t="shared" si="717"/>
        <v>NA</v>
      </c>
      <c r="AB2129" s="29" t="str">
        <f t="shared" si="718"/>
        <v>NA</v>
      </c>
      <c r="AC2129" s="29" t="str">
        <f t="shared" si="719"/>
        <v>NA</v>
      </c>
      <c r="AD2129" s="29" t="str">
        <f t="shared" si="720"/>
        <v>NA</v>
      </c>
      <c r="AE2129" s="29" t="str">
        <f t="shared" si="721"/>
        <v>NA</v>
      </c>
      <c r="AF2129" s="29" t="str">
        <f t="shared" si="722"/>
        <v>NA</v>
      </c>
      <c r="AG2129" s="29" t="str">
        <f t="shared" si="723"/>
        <v>NA</v>
      </c>
      <c r="AH2129" s="29" t="str">
        <f t="shared" si="724"/>
        <v>NA</v>
      </c>
    </row>
    <row r="2130" customHeight="1" spans="1:34">
      <c r="A2130" s="12" t="s">
        <v>1043</v>
      </c>
      <c r="F2130" s="24">
        <f t="shared" si="706"/>
        <v>0</v>
      </c>
      <c r="G2130" s="24" t="e">
        <f t="shared" si="705"/>
        <v>#DIV/0!</v>
      </c>
      <c r="Q2130" s="29" t="str">
        <f t="shared" si="707"/>
        <v>NA</v>
      </c>
      <c r="R2130" s="29" t="str">
        <f t="shared" si="708"/>
        <v>NA</v>
      </c>
      <c r="S2130" s="29" t="str">
        <f t="shared" si="709"/>
        <v>NA</v>
      </c>
      <c r="T2130" s="29" t="str">
        <f t="shared" si="710"/>
        <v>NA</v>
      </c>
      <c r="U2130" s="29" t="str">
        <f t="shared" si="711"/>
        <v>NA</v>
      </c>
      <c r="V2130" s="29" t="str">
        <f t="shared" si="712"/>
        <v>NA</v>
      </c>
      <c r="W2130" s="29" t="str">
        <f t="shared" si="713"/>
        <v>NA</v>
      </c>
      <c r="X2130" s="29" t="str">
        <f t="shared" si="714"/>
        <v>NA</v>
      </c>
      <c r="Y2130" s="29" t="str">
        <f t="shared" si="715"/>
        <v>NA</v>
      </c>
      <c r="Z2130" s="29" t="str">
        <f t="shared" si="716"/>
        <v>NA</v>
      </c>
      <c r="AA2130" s="29" t="str">
        <f t="shared" si="717"/>
        <v>NA</v>
      </c>
      <c r="AB2130" s="29" t="str">
        <f t="shared" si="718"/>
        <v>NA</v>
      </c>
      <c r="AC2130" s="29" t="str">
        <f t="shared" si="719"/>
        <v>NA</v>
      </c>
      <c r="AD2130" s="29" t="str">
        <f t="shared" si="720"/>
        <v>NA</v>
      </c>
      <c r="AE2130" s="29" t="str">
        <f t="shared" si="721"/>
        <v>NA</v>
      </c>
      <c r="AF2130" s="29" t="str">
        <f t="shared" si="722"/>
        <v>NA</v>
      </c>
      <c r="AG2130" s="29" t="str">
        <f t="shared" si="723"/>
        <v>NA</v>
      </c>
      <c r="AH2130" s="29" t="str">
        <f t="shared" si="724"/>
        <v>NA</v>
      </c>
    </row>
    <row r="2131" customHeight="1" spans="1:34">
      <c r="A2131" s="12" t="s">
        <v>1043</v>
      </c>
      <c r="F2131" s="24">
        <f t="shared" si="706"/>
        <v>0</v>
      </c>
      <c r="G2131" s="24" t="e">
        <f t="shared" si="705"/>
        <v>#DIV/0!</v>
      </c>
      <c r="Q2131" s="29" t="str">
        <f t="shared" si="707"/>
        <v>NA</v>
      </c>
      <c r="R2131" s="29" t="str">
        <f t="shared" si="708"/>
        <v>NA</v>
      </c>
      <c r="S2131" s="29" t="str">
        <f t="shared" si="709"/>
        <v>NA</v>
      </c>
      <c r="T2131" s="29" t="str">
        <f t="shared" si="710"/>
        <v>NA</v>
      </c>
      <c r="U2131" s="29" t="str">
        <f t="shared" si="711"/>
        <v>NA</v>
      </c>
      <c r="V2131" s="29" t="str">
        <f t="shared" si="712"/>
        <v>NA</v>
      </c>
      <c r="W2131" s="29" t="str">
        <f t="shared" si="713"/>
        <v>NA</v>
      </c>
      <c r="X2131" s="29" t="str">
        <f t="shared" si="714"/>
        <v>NA</v>
      </c>
      <c r="Y2131" s="29" t="str">
        <f t="shared" si="715"/>
        <v>NA</v>
      </c>
      <c r="Z2131" s="29" t="str">
        <f t="shared" si="716"/>
        <v>NA</v>
      </c>
      <c r="AA2131" s="29" t="str">
        <f t="shared" si="717"/>
        <v>NA</v>
      </c>
      <c r="AB2131" s="29" t="str">
        <f t="shared" si="718"/>
        <v>NA</v>
      </c>
      <c r="AC2131" s="29" t="str">
        <f t="shared" si="719"/>
        <v>NA</v>
      </c>
      <c r="AD2131" s="29" t="str">
        <f t="shared" si="720"/>
        <v>NA</v>
      </c>
      <c r="AE2131" s="29" t="str">
        <f t="shared" si="721"/>
        <v>NA</v>
      </c>
      <c r="AF2131" s="29" t="str">
        <f t="shared" si="722"/>
        <v>NA</v>
      </c>
      <c r="AG2131" s="29" t="str">
        <f t="shared" si="723"/>
        <v>NA</v>
      </c>
      <c r="AH2131" s="29" t="str">
        <f t="shared" si="724"/>
        <v>NA</v>
      </c>
    </row>
    <row r="2132" customHeight="1" spans="1:34">
      <c r="A2132" s="12" t="s">
        <v>1043</v>
      </c>
      <c r="F2132" s="24">
        <f t="shared" si="706"/>
        <v>0</v>
      </c>
      <c r="G2132" s="24" t="e">
        <f t="shared" si="705"/>
        <v>#DIV/0!</v>
      </c>
      <c r="Q2132" s="29" t="str">
        <f t="shared" si="707"/>
        <v>NA</v>
      </c>
      <c r="R2132" s="29" t="str">
        <f t="shared" si="708"/>
        <v>NA</v>
      </c>
      <c r="S2132" s="29" t="str">
        <f t="shared" si="709"/>
        <v>NA</v>
      </c>
      <c r="T2132" s="29" t="str">
        <f t="shared" si="710"/>
        <v>NA</v>
      </c>
      <c r="U2132" s="29" t="str">
        <f t="shared" si="711"/>
        <v>NA</v>
      </c>
      <c r="V2132" s="29" t="str">
        <f t="shared" si="712"/>
        <v>NA</v>
      </c>
      <c r="W2132" s="29" t="str">
        <f t="shared" si="713"/>
        <v>NA</v>
      </c>
      <c r="X2132" s="29" t="str">
        <f t="shared" si="714"/>
        <v>NA</v>
      </c>
      <c r="Y2132" s="29" t="str">
        <f t="shared" si="715"/>
        <v>NA</v>
      </c>
      <c r="Z2132" s="29" t="str">
        <f t="shared" si="716"/>
        <v>NA</v>
      </c>
      <c r="AA2132" s="29" t="str">
        <f t="shared" si="717"/>
        <v>NA</v>
      </c>
      <c r="AB2132" s="29" t="str">
        <f t="shared" si="718"/>
        <v>NA</v>
      </c>
      <c r="AC2132" s="29" t="str">
        <f t="shared" si="719"/>
        <v>NA</v>
      </c>
      <c r="AD2132" s="29" t="str">
        <f t="shared" si="720"/>
        <v>NA</v>
      </c>
      <c r="AE2132" s="29" t="str">
        <f t="shared" si="721"/>
        <v>NA</v>
      </c>
      <c r="AF2132" s="29" t="str">
        <f t="shared" si="722"/>
        <v>NA</v>
      </c>
      <c r="AG2132" s="29" t="str">
        <f t="shared" si="723"/>
        <v>NA</v>
      </c>
      <c r="AH2132" s="29" t="str">
        <f t="shared" si="724"/>
        <v>NA</v>
      </c>
    </row>
    <row r="2133" customHeight="1" spans="1:34">
      <c r="A2133" s="12" t="s">
        <v>1043</v>
      </c>
      <c r="F2133" s="24">
        <f t="shared" si="706"/>
        <v>0</v>
      </c>
      <c r="G2133" s="24" t="e">
        <f t="shared" si="705"/>
        <v>#DIV/0!</v>
      </c>
      <c r="Q2133" s="29" t="str">
        <f t="shared" si="707"/>
        <v>NA</v>
      </c>
      <c r="R2133" s="29" t="str">
        <f t="shared" si="708"/>
        <v>NA</v>
      </c>
      <c r="S2133" s="29" t="str">
        <f t="shared" si="709"/>
        <v>NA</v>
      </c>
      <c r="T2133" s="29" t="str">
        <f t="shared" si="710"/>
        <v>NA</v>
      </c>
      <c r="U2133" s="29" t="str">
        <f t="shared" si="711"/>
        <v>NA</v>
      </c>
      <c r="V2133" s="29" t="str">
        <f t="shared" si="712"/>
        <v>NA</v>
      </c>
      <c r="W2133" s="29" t="str">
        <f t="shared" si="713"/>
        <v>NA</v>
      </c>
      <c r="X2133" s="29" t="str">
        <f t="shared" si="714"/>
        <v>NA</v>
      </c>
      <c r="Y2133" s="29" t="str">
        <f t="shared" si="715"/>
        <v>NA</v>
      </c>
      <c r="Z2133" s="29" t="str">
        <f t="shared" si="716"/>
        <v>NA</v>
      </c>
      <c r="AA2133" s="29" t="str">
        <f t="shared" si="717"/>
        <v>NA</v>
      </c>
      <c r="AB2133" s="29" t="str">
        <f t="shared" si="718"/>
        <v>NA</v>
      </c>
      <c r="AC2133" s="29" t="str">
        <f t="shared" si="719"/>
        <v>NA</v>
      </c>
      <c r="AD2133" s="29" t="str">
        <f t="shared" si="720"/>
        <v>NA</v>
      </c>
      <c r="AE2133" s="29" t="str">
        <f t="shared" si="721"/>
        <v>NA</v>
      </c>
      <c r="AF2133" s="29" t="str">
        <f t="shared" si="722"/>
        <v>NA</v>
      </c>
      <c r="AG2133" s="29" t="str">
        <f t="shared" si="723"/>
        <v>NA</v>
      </c>
      <c r="AH2133" s="29" t="str">
        <f t="shared" si="724"/>
        <v>NA</v>
      </c>
    </row>
    <row r="2134" customHeight="1" spans="1:34">
      <c r="A2134" s="12" t="s">
        <v>1043</v>
      </c>
      <c r="F2134" s="24">
        <f t="shared" si="706"/>
        <v>0</v>
      </c>
      <c r="G2134" s="24" t="e">
        <f t="shared" si="705"/>
        <v>#DIV/0!</v>
      </c>
      <c r="Q2134" s="29" t="str">
        <f t="shared" si="707"/>
        <v>NA</v>
      </c>
      <c r="R2134" s="29" t="str">
        <f t="shared" si="708"/>
        <v>NA</v>
      </c>
      <c r="S2134" s="29" t="str">
        <f t="shared" si="709"/>
        <v>NA</v>
      </c>
      <c r="T2134" s="29" t="str">
        <f t="shared" si="710"/>
        <v>NA</v>
      </c>
      <c r="U2134" s="29" t="str">
        <f t="shared" si="711"/>
        <v>NA</v>
      </c>
      <c r="V2134" s="29" t="str">
        <f t="shared" si="712"/>
        <v>NA</v>
      </c>
      <c r="W2134" s="29" t="str">
        <f t="shared" si="713"/>
        <v>NA</v>
      </c>
      <c r="X2134" s="29" t="str">
        <f t="shared" si="714"/>
        <v>NA</v>
      </c>
      <c r="Y2134" s="29" t="str">
        <f t="shared" si="715"/>
        <v>NA</v>
      </c>
      <c r="Z2134" s="29" t="str">
        <f t="shared" si="716"/>
        <v>NA</v>
      </c>
      <c r="AA2134" s="29" t="str">
        <f t="shared" si="717"/>
        <v>NA</v>
      </c>
      <c r="AB2134" s="29" t="str">
        <f t="shared" si="718"/>
        <v>NA</v>
      </c>
      <c r="AC2134" s="29" t="str">
        <f t="shared" si="719"/>
        <v>NA</v>
      </c>
      <c r="AD2134" s="29" t="str">
        <f t="shared" si="720"/>
        <v>NA</v>
      </c>
      <c r="AE2134" s="29" t="str">
        <f t="shared" si="721"/>
        <v>NA</v>
      </c>
      <c r="AF2134" s="29" t="str">
        <f t="shared" si="722"/>
        <v>NA</v>
      </c>
      <c r="AG2134" s="29" t="str">
        <f t="shared" si="723"/>
        <v>NA</v>
      </c>
      <c r="AH2134" s="29" t="str">
        <f t="shared" si="724"/>
        <v>NA</v>
      </c>
    </row>
    <row r="2135" customHeight="1" spans="1:34">
      <c r="A2135" s="12" t="s">
        <v>1043</v>
      </c>
      <c r="F2135" s="24">
        <f t="shared" si="706"/>
        <v>0</v>
      </c>
      <c r="G2135" s="24" t="e">
        <f t="shared" si="705"/>
        <v>#DIV/0!</v>
      </c>
      <c r="Q2135" s="29" t="str">
        <f t="shared" si="707"/>
        <v>NA</v>
      </c>
      <c r="R2135" s="29" t="str">
        <f t="shared" si="708"/>
        <v>NA</v>
      </c>
      <c r="S2135" s="29" t="str">
        <f t="shared" si="709"/>
        <v>NA</v>
      </c>
      <c r="T2135" s="29" t="str">
        <f t="shared" si="710"/>
        <v>NA</v>
      </c>
      <c r="U2135" s="29" t="str">
        <f t="shared" si="711"/>
        <v>NA</v>
      </c>
      <c r="V2135" s="29" t="str">
        <f t="shared" si="712"/>
        <v>NA</v>
      </c>
      <c r="W2135" s="29" t="str">
        <f t="shared" si="713"/>
        <v>NA</v>
      </c>
      <c r="X2135" s="29" t="str">
        <f t="shared" si="714"/>
        <v>NA</v>
      </c>
      <c r="Y2135" s="29" t="str">
        <f t="shared" si="715"/>
        <v>NA</v>
      </c>
      <c r="Z2135" s="29" t="str">
        <f t="shared" si="716"/>
        <v>NA</v>
      </c>
      <c r="AA2135" s="29" t="str">
        <f t="shared" si="717"/>
        <v>NA</v>
      </c>
      <c r="AB2135" s="29" t="str">
        <f t="shared" si="718"/>
        <v>NA</v>
      </c>
      <c r="AC2135" s="29" t="str">
        <f t="shared" si="719"/>
        <v>NA</v>
      </c>
      <c r="AD2135" s="29" t="str">
        <f t="shared" si="720"/>
        <v>NA</v>
      </c>
      <c r="AE2135" s="29" t="str">
        <f t="shared" si="721"/>
        <v>NA</v>
      </c>
      <c r="AF2135" s="29" t="str">
        <f t="shared" si="722"/>
        <v>NA</v>
      </c>
      <c r="AG2135" s="29" t="str">
        <f t="shared" si="723"/>
        <v>NA</v>
      </c>
      <c r="AH2135" s="29" t="str">
        <f t="shared" si="724"/>
        <v>NA</v>
      </c>
    </row>
    <row r="2136" customHeight="1" spans="1:34">
      <c r="A2136" s="12" t="s">
        <v>1043</v>
      </c>
      <c r="F2136" s="24">
        <f t="shared" si="706"/>
        <v>0</v>
      </c>
      <c r="G2136" s="24" t="e">
        <f t="shared" si="705"/>
        <v>#DIV/0!</v>
      </c>
      <c r="Q2136" s="29" t="str">
        <f t="shared" si="707"/>
        <v>NA</v>
      </c>
      <c r="R2136" s="29" t="str">
        <f t="shared" si="708"/>
        <v>NA</v>
      </c>
      <c r="S2136" s="29" t="str">
        <f t="shared" si="709"/>
        <v>NA</v>
      </c>
      <c r="T2136" s="29" t="str">
        <f t="shared" si="710"/>
        <v>NA</v>
      </c>
      <c r="U2136" s="29" t="str">
        <f t="shared" si="711"/>
        <v>NA</v>
      </c>
      <c r="V2136" s="29" t="str">
        <f t="shared" si="712"/>
        <v>NA</v>
      </c>
      <c r="W2136" s="29" t="str">
        <f t="shared" si="713"/>
        <v>NA</v>
      </c>
      <c r="X2136" s="29" t="str">
        <f t="shared" si="714"/>
        <v>NA</v>
      </c>
      <c r="Y2136" s="29" t="str">
        <f t="shared" si="715"/>
        <v>NA</v>
      </c>
      <c r="Z2136" s="29" t="str">
        <f t="shared" si="716"/>
        <v>NA</v>
      </c>
      <c r="AA2136" s="29" t="str">
        <f t="shared" si="717"/>
        <v>NA</v>
      </c>
      <c r="AB2136" s="29" t="str">
        <f t="shared" si="718"/>
        <v>NA</v>
      </c>
      <c r="AC2136" s="29" t="str">
        <f t="shared" si="719"/>
        <v>NA</v>
      </c>
      <c r="AD2136" s="29" t="str">
        <f t="shared" si="720"/>
        <v>NA</v>
      </c>
      <c r="AE2136" s="29" t="str">
        <f t="shared" si="721"/>
        <v>NA</v>
      </c>
      <c r="AF2136" s="29" t="str">
        <f t="shared" si="722"/>
        <v>NA</v>
      </c>
      <c r="AG2136" s="29" t="str">
        <f t="shared" si="723"/>
        <v>NA</v>
      </c>
      <c r="AH2136" s="29" t="str">
        <f t="shared" si="724"/>
        <v>NA</v>
      </c>
    </row>
    <row r="2137" customHeight="1" spans="1:34">
      <c r="A2137" s="12" t="s">
        <v>1043</v>
      </c>
      <c r="F2137" s="24">
        <f t="shared" si="706"/>
        <v>0</v>
      </c>
      <c r="G2137" s="24" t="e">
        <f t="shared" si="705"/>
        <v>#DIV/0!</v>
      </c>
      <c r="Q2137" s="29" t="str">
        <f t="shared" si="707"/>
        <v>NA</v>
      </c>
      <c r="R2137" s="29" t="str">
        <f t="shared" si="708"/>
        <v>NA</v>
      </c>
      <c r="S2137" s="29" t="str">
        <f t="shared" si="709"/>
        <v>NA</v>
      </c>
      <c r="T2137" s="29" t="str">
        <f t="shared" si="710"/>
        <v>NA</v>
      </c>
      <c r="U2137" s="29" t="str">
        <f t="shared" si="711"/>
        <v>NA</v>
      </c>
      <c r="V2137" s="29" t="str">
        <f t="shared" si="712"/>
        <v>NA</v>
      </c>
      <c r="W2137" s="29" t="str">
        <f t="shared" si="713"/>
        <v>NA</v>
      </c>
      <c r="X2137" s="29" t="str">
        <f t="shared" si="714"/>
        <v>NA</v>
      </c>
      <c r="Y2137" s="29" t="str">
        <f t="shared" si="715"/>
        <v>NA</v>
      </c>
      <c r="Z2137" s="29" t="str">
        <f t="shared" si="716"/>
        <v>NA</v>
      </c>
      <c r="AA2137" s="29" t="str">
        <f t="shared" si="717"/>
        <v>NA</v>
      </c>
      <c r="AB2137" s="29" t="str">
        <f t="shared" si="718"/>
        <v>NA</v>
      </c>
      <c r="AC2137" s="29" t="str">
        <f t="shared" si="719"/>
        <v>NA</v>
      </c>
      <c r="AD2137" s="29" t="str">
        <f t="shared" si="720"/>
        <v>NA</v>
      </c>
      <c r="AE2137" s="29" t="str">
        <f t="shared" si="721"/>
        <v>NA</v>
      </c>
      <c r="AF2137" s="29" t="str">
        <f t="shared" si="722"/>
        <v>NA</v>
      </c>
      <c r="AG2137" s="29" t="str">
        <f t="shared" si="723"/>
        <v>NA</v>
      </c>
      <c r="AH2137" s="29" t="str">
        <f t="shared" si="724"/>
        <v>NA</v>
      </c>
    </row>
    <row r="2138" customHeight="1" spans="1:34">
      <c r="A2138" s="12" t="s">
        <v>1043</v>
      </c>
      <c r="F2138" s="24">
        <f t="shared" si="706"/>
        <v>0</v>
      </c>
      <c r="G2138" s="24" t="e">
        <f t="shared" si="705"/>
        <v>#DIV/0!</v>
      </c>
      <c r="Q2138" s="29" t="str">
        <f t="shared" si="707"/>
        <v>NA</v>
      </c>
      <c r="R2138" s="29" t="str">
        <f t="shared" si="708"/>
        <v>NA</v>
      </c>
      <c r="S2138" s="29" t="str">
        <f t="shared" si="709"/>
        <v>NA</v>
      </c>
      <c r="T2138" s="29" t="str">
        <f t="shared" si="710"/>
        <v>NA</v>
      </c>
      <c r="U2138" s="29" t="str">
        <f t="shared" si="711"/>
        <v>NA</v>
      </c>
      <c r="V2138" s="29" t="str">
        <f t="shared" si="712"/>
        <v>NA</v>
      </c>
      <c r="W2138" s="29" t="str">
        <f t="shared" si="713"/>
        <v>NA</v>
      </c>
      <c r="X2138" s="29" t="str">
        <f t="shared" si="714"/>
        <v>NA</v>
      </c>
      <c r="Y2138" s="29" t="str">
        <f t="shared" si="715"/>
        <v>NA</v>
      </c>
      <c r="Z2138" s="29" t="str">
        <f t="shared" si="716"/>
        <v>NA</v>
      </c>
      <c r="AA2138" s="29" t="str">
        <f t="shared" si="717"/>
        <v>NA</v>
      </c>
      <c r="AB2138" s="29" t="str">
        <f t="shared" si="718"/>
        <v>NA</v>
      </c>
      <c r="AC2138" s="29" t="str">
        <f t="shared" si="719"/>
        <v>NA</v>
      </c>
      <c r="AD2138" s="29" t="str">
        <f t="shared" si="720"/>
        <v>NA</v>
      </c>
      <c r="AE2138" s="29" t="str">
        <f t="shared" si="721"/>
        <v>NA</v>
      </c>
      <c r="AF2138" s="29" t="str">
        <f t="shared" si="722"/>
        <v>NA</v>
      </c>
      <c r="AG2138" s="29" t="str">
        <f t="shared" si="723"/>
        <v>NA</v>
      </c>
      <c r="AH2138" s="29" t="str">
        <f t="shared" si="724"/>
        <v>NA</v>
      </c>
    </row>
    <row r="2139" customHeight="1" spans="1:34">
      <c r="A2139" s="12" t="s">
        <v>1043</v>
      </c>
      <c r="F2139" s="24">
        <f t="shared" si="706"/>
        <v>0</v>
      </c>
      <c r="G2139" s="24" t="e">
        <f t="shared" si="705"/>
        <v>#DIV/0!</v>
      </c>
      <c r="Q2139" s="29" t="str">
        <f t="shared" si="707"/>
        <v>NA</v>
      </c>
      <c r="R2139" s="29" t="str">
        <f t="shared" si="708"/>
        <v>NA</v>
      </c>
      <c r="S2139" s="29" t="str">
        <f t="shared" si="709"/>
        <v>NA</v>
      </c>
      <c r="T2139" s="29" t="str">
        <f t="shared" si="710"/>
        <v>NA</v>
      </c>
      <c r="U2139" s="29" t="str">
        <f t="shared" si="711"/>
        <v>NA</v>
      </c>
      <c r="V2139" s="29" t="str">
        <f t="shared" si="712"/>
        <v>NA</v>
      </c>
      <c r="W2139" s="29" t="str">
        <f t="shared" si="713"/>
        <v>NA</v>
      </c>
      <c r="X2139" s="29" t="str">
        <f t="shared" si="714"/>
        <v>NA</v>
      </c>
      <c r="Y2139" s="29" t="str">
        <f t="shared" si="715"/>
        <v>NA</v>
      </c>
      <c r="Z2139" s="29" t="str">
        <f t="shared" si="716"/>
        <v>NA</v>
      </c>
      <c r="AA2139" s="29" t="str">
        <f t="shared" si="717"/>
        <v>NA</v>
      </c>
      <c r="AB2139" s="29" t="str">
        <f t="shared" si="718"/>
        <v>NA</v>
      </c>
      <c r="AC2139" s="29" t="str">
        <f t="shared" si="719"/>
        <v>NA</v>
      </c>
      <c r="AD2139" s="29" t="str">
        <f t="shared" si="720"/>
        <v>NA</v>
      </c>
      <c r="AE2139" s="29" t="str">
        <f t="shared" si="721"/>
        <v>NA</v>
      </c>
      <c r="AF2139" s="29" t="str">
        <f t="shared" si="722"/>
        <v>NA</v>
      </c>
      <c r="AG2139" s="29" t="str">
        <f t="shared" si="723"/>
        <v>NA</v>
      </c>
      <c r="AH2139" s="29" t="str">
        <f t="shared" si="724"/>
        <v>NA</v>
      </c>
    </row>
    <row r="2140" customHeight="1" spans="1:34">
      <c r="A2140" s="12" t="s">
        <v>1043</v>
      </c>
      <c r="F2140" s="24">
        <f t="shared" si="706"/>
        <v>0</v>
      </c>
      <c r="G2140" s="24" t="e">
        <f t="shared" si="705"/>
        <v>#DIV/0!</v>
      </c>
      <c r="Q2140" s="29" t="str">
        <f t="shared" si="707"/>
        <v>NA</v>
      </c>
      <c r="R2140" s="29" t="str">
        <f t="shared" si="708"/>
        <v>NA</v>
      </c>
      <c r="S2140" s="29" t="str">
        <f t="shared" si="709"/>
        <v>NA</v>
      </c>
      <c r="T2140" s="29" t="str">
        <f t="shared" si="710"/>
        <v>NA</v>
      </c>
      <c r="U2140" s="29" t="str">
        <f t="shared" si="711"/>
        <v>NA</v>
      </c>
      <c r="V2140" s="29" t="str">
        <f t="shared" si="712"/>
        <v>NA</v>
      </c>
      <c r="W2140" s="29" t="str">
        <f t="shared" si="713"/>
        <v>NA</v>
      </c>
      <c r="X2140" s="29" t="str">
        <f t="shared" si="714"/>
        <v>NA</v>
      </c>
      <c r="Y2140" s="29" t="str">
        <f t="shared" si="715"/>
        <v>NA</v>
      </c>
      <c r="Z2140" s="29" t="str">
        <f t="shared" si="716"/>
        <v>NA</v>
      </c>
      <c r="AA2140" s="29" t="str">
        <f t="shared" si="717"/>
        <v>NA</v>
      </c>
      <c r="AB2140" s="29" t="str">
        <f t="shared" si="718"/>
        <v>NA</v>
      </c>
      <c r="AC2140" s="29" t="str">
        <f t="shared" si="719"/>
        <v>NA</v>
      </c>
      <c r="AD2140" s="29" t="str">
        <f t="shared" si="720"/>
        <v>NA</v>
      </c>
      <c r="AE2140" s="29" t="str">
        <f t="shared" si="721"/>
        <v>NA</v>
      </c>
      <c r="AF2140" s="29" t="str">
        <f t="shared" si="722"/>
        <v>NA</v>
      </c>
      <c r="AG2140" s="29" t="str">
        <f t="shared" si="723"/>
        <v>NA</v>
      </c>
      <c r="AH2140" s="29" t="str">
        <f t="shared" si="724"/>
        <v>NA</v>
      </c>
    </row>
    <row r="2141" customHeight="1" spans="1:34">
      <c r="A2141" s="12" t="s">
        <v>1043</v>
      </c>
      <c r="F2141" s="24">
        <f t="shared" si="706"/>
        <v>0</v>
      </c>
      <c r="G2141" s="24" t="e">
        <f t="shared" si="705"/>
        <v>#DIV/0!</v>
      </c>
      <c r="Q2141" s="29" t="str">
        <f t="shared" si="707"/>
        <v>NA</v>
      </c>
      <c r="R2141" s="29" t="str">
        <f t="shared" si="708"/>
        <v>NA</v>
      </c>
      <c r="S2141" s="29" t="str">
        <f t="shared" si="709"/>
        <v>NA</v>
      </c>
      <c r="T2141" s="29" t="str">
        <f t="shared" si="710"/>
        <v>NA</v>
      </c>
      <c r="U2141" s="29" t="str">
        <f t="shared" si="711"/>
        <v>NA</v>
      </c>
      <c r="V2141" s="29" t="str">
        <f t="shared" si="712"/>
        <v>NA</v>
      </c>
      <c r="W2141" s="29" t="str">
        <f t="shared" si="713"/>
        <v>NA</v>
      </c>
      <c r="X2141" s="29" t="str">
        <f t="shared" si="714"/>
        <v>NA</v>
      </c>
      <c r="Y2141" s="29" t="str">
        <f t="shared" si="715"/>
        <v>NA</v>
      </c>
      <c r="Z2141" s="29" t="str">
        <f t="shared" si="716"/>
        <v>NA</v>
      </c>
      <c r="AA2141" s="29" t="str">
        <f t="shared" si="717"/>
        <v>NA</v>
      </c>
      <c r="AB2141" s="29" t="str">
        <f t="shared" si="718"/>
        <v>NA</v>
      </c>
      <c r="AC2141" s="29" t="str">
        <f t="shared" si="719"/>
        <v>NA</v>
      </c>
      <c r="AD2141" s="29" t="str">
        <f t="shared" si="720"/>
        <v>NA</v>
      </c>
      <c r="AE2141" s="29" t="str">
        <f t="shared" si="721"/>
        <v>NA</v>
      </c>
      <c r="AF2141" s="29" t="str">
        <f t="shared" si="722"/>
        <v>NA</v>
      </c>
      <c r="AG2141" s="29" t="str">
        <f t="shared" si="723"/>
        <v>NA</v>
      </c>
      <c r="AH2141" s="29" t="str">
        <f t="shared" si="724"/>
        <v>NA</v>
      </c>
    </row>
    <row r="2142" customHeight="1" spans="1:34">
      <c r="A2142" s="12" t="s">
        <v>1043</v>
      </c>
      <c r="F2142" s="24">
        <f t="shared" si="706"/>
        <v>0</v>
      </c>
      <c r="G2142" s="24" t="e">
        <f t="shared" si="705"/>
        <v>#DIV/0!</v>
      </c>
      <c r="Q2142" s="29" t="str">
        <f t="shared" si="707"/>
        <v>NA</v>
      </c>
      <c r="R2142" s="29" t="str">
        <f t="shared" si="708"/>
        <v>NA</v>
      </c>
      <c r="S2142" s="29" t="str">
        <f t="shared" si="709"/>
        <v>NA</v>
      </c>
      <c r="T2142" s="29" t="str">
        <f t="shared" si="710"/>
        <v>NA</v>
      </c>
      <c r="U2142" s="29" t="str">
        <f t="shared" si="711"/>
        <v>NA</v>
      </c>
      <c r="V2142" s="29" t="str">
        <f t="shared" si="712"/>
        <v>NA</v>
      </c>
      <c r="W2142" s="29" t="str">
        <f t="shared" si="713"/>
        <v>NA</v>
      </c>
      <c r="X2142" s="29" t="str">
        <f t="shared" si="714"/>
        <v>NA</v>
      </c>
      <c r="Y2142" s="29" t="str">
        <f t="shared" si="715"/>
        <v>NA</v>
      </c>
      <c r="Z2142" s="29" t="str">
        <f t="shared" si="716"/>
        <v>NA</v>
      </c>
      <c r="AA2142" s="29" t="str">
        <f t="shared" si="717"/>
        <v>NA</v>
      </c>
      <c r="AB2142" s="29" t="str">
        <f t="shared" si="718"/>
        <v>NA</v>
      </c>
      <c r="AC2142" s="29" t="str">
        <f t="shared" si="719"/>
        <v>NA</v>
      </c>
      <c r="AD2142" s="29" t="str">
        <f t="shared" si="720"/>
        <v>NA</v>
      </c>
      <c r="AE2142" s="29" t="str">
        <f t="shared" si="721"/>
        <v>NA</v>
      </c>
      <c r="AF2142" s="29" t="str">
        <f t="shared" si="722"/>
        <v>NA</v>
      </c>
      <c r="AG2142" s="29" t="str">
        <f t="shared" si="723"/>
        <v>NA</v>
      </c>
      <c r="AH2142" s="29" t="str">
        <f t="shared" si="724"/>
        <v>NA</v>
      </c>
    </row>
    <row r="2143" customHeight="1" spans="1:34">
      <c r="A2143" s="12" t="s">
        <v>1043</v>
      </c>
      <c r="F2143" s="24">
        <f t="shared" si="706"/>
        <v>0</v>
      </c>
      <c r="G2143" s="24" t="e">
        <f t="shared" si="705"/>
        <v>#DIV/0!</v>
      </c>
      <c r="Q2143" s="29" t="str">
        <f t="shared" si="707"/>
        <v>NA</v>
      </c>
      <c r="R2143" s="29" t="str">
        <f t="shared" si="708"/>
        <v>NA</v>
      </c>
      <c r="S2143" s="29" t="str">
        <f t="shared" si="709"/>
        <v>NA</v>
      </c>
      <c r="T2143" s="29" t="str">
        <f t="shared" si="710"/>
        <v>NA</v>
      </c>
      <c r="U2143" s="29" t="str">
        <f t="shared" si="711"/>
        <v>NA</v>
      </c>
      <c r="V2143" s="29" t="str">
        <f t="shared" si="712"/>
        <v>NA</v>
      </c>
      <c r="W2143" s="29" t="str">
        <f t="shared" si="713"/>
        <v>NA</v>
      </c>
      <c r="X2143" s="29" t="str">
        <f t="shared" si="714"/>
        <v>NA</v>
      </c>
      <c r="Y2143" s="29" t="str">
        <f t="shared" si="715"/>
        <v>NA</v>
      </c>
      <c r="Z2143" s="29" t="str">
        <f t="shared" si="716"/>
        <v>NA</v>
      </c>
      <c r="AA2143" s="29" t="str">
        <f t="shared" si="717"/>
        <v>NA</v>
      </c>
      <c r="AB2143" s="29" t="str">
        <f t="shared" si="718"/>
        <v>NA</v>
      </c>
      <c r="AC2143" s="29" t="str">
        <f t="shared" si="719"/>
        <v>NA</v>
      </c>
      <c r="AD2143" s="29" t="str">
        <f t="shared" si="720"/>
        <v>NA</v>
      </c>
      <c r="AE2143" s="29" t="str">
        <f t="shared" si="721"/>
        <v>NA</v>
      </c>
      <c r="AF2143" s="29" t="str">
        <f t="shared" si="722"/>
        <v>NA</v>
      </c>
      <c r="AG2143" s="29" t="str">
        <f t="shared" si="723"/>
        <v>NA</v>
      </c>
      <c r="AH2143" s="29" t="str">
        <f t="shared" si="724"/>
        <v>NA</v>
      </c>
    </row>
    <row r="2144" customHeight="1" spans="1:34">
      <c r="A2144" s="12" t="s">
        <v>1043</v>
      </c>
      <c r="F2144" s="24">
        <f t="shared" si="706"/>
        <v>0</v>
      </c>
      <c r="G2144" s="24" t="e">
        <f t="shared" si="705"/>
        <v>#DIV/0!</v>
      </c>
      <c r="Q2144" s="29" t="str">
        <f t="shared" si="707"/>
        <v>NA</v>
      </c>
      <c r="R2144" s="29" t="str">
        <f t="shared" si="708"/>
        <v>NA</v>
      </c>
      <c r="S2144" s="29" t="str">
        <f t="shared" si="709"/>
        <v>NA</v>
      </c>
      <c r="T2144" s="29" t="str">
        <f t="shared" si="710"/>
        <v>NA</v>
      </c>
      <c r="U2144" s="29" t="str">
        <f t="shared" si="711"/>
        <v>NA</v>
      </c>
      <c r="V2144" s="29" t="str">
        <f t="shared" si="712"/>
        <v>NA</v>
      </c>
      <c r="W2144" s="29" t="str">
        <f t="shared" si="713"/>
        <v>NA</v>
      </c>
      <c r="X2144" s="29" t="str">
        <f t="shared" si="714"/>
        <v>NA</v>
      </c>
      <c r="Y2144" s="29" t="str">
        <f t="shared" si="715"/>
        <v>NA</v>
      </c>
      <c r="Z2144" s="29" t="str">
        <f t="shared" si="716"/>
        <v>NA</v>
      </c>
      <c r="AA2144" s="29" t="str">
        <f t="shared" si="717"/>
        <v>NA</v>
      </c>
      <c r="AB2144" s="29" t="str">
        <f t="shared" si="718"/>
        <v>NA</v>
      </c>
      <c r="AC2144" s="29" t="str">
        <f t="shared" si="719"/>
        <v>NA</v>
      </c>
      <c r="AD2144" s="29" t="str">
        <f t="shared" si="720"/>
        <v>NA</v>
      </c>
      <c r="AE2144" s="29" t="str">
        <f t="shared" si="721"/>
        <v>NA</v>
      </c>
      <c r="AF2144" s="29" t="str">
        <f t="shared" si="722"/>
        <v>NA</v>
      </c>
      <c r="AG2144" s="29" t="str">
        <f t="shared" si="723"/>
        <v>NA</v>
      </c>
      <c r="AH2144" s="29" t="str">
        <f t="shared" si="724"/>
        <v>NA</v>
      </c>
    </row>
    <row r="2145" customHeight="1" spans="1:34">
      <c r="A2145" s="12" t="s">
        <v>1043</v>
      </c>
      <c r="F2145" s="24">
        <f t="shared" si="706"/>
        <v>0</v>
      </c>
      <c r="G2145" s="24" t="e">
        <f t="shared" si="705"/>
        <v>#DIV/0!</v>
      </c>
      <c r="Q2145" s="29" t="str">
        <f t="shared" si="707"/>
        <v>NA</v>
      </c>
      <c r="R2145" s="29" t="str">
        <f t="shared" si="708"/>
        <v>NA</v>
      </c>
      <c r="S2145" s="29" t="str">
        <f t="shared" si="709"/>
        <v>NA</v>
      </c>
      <c r="T2145" s="29" t="str">
        <f t="shared" si="710"/>
        <v>NA</v>
      </c>
      <c r="U2145" s="29" t="str">
        <f t="shared" si="711"/>
        <v>NA</v>
      </c>
      <c r="V2145" s="29" t="str">
        <f t="shared" si="712"/>
        <v>NA</v>
      </c>
      <c r="W2145" s="29" t="str">
        <f t="shared" si="713"/>
        <v>NA</v>
      </c>
      <c r="X2145" s="29" t="str">
        <f t="shared" si="714"/>
        <v>NA</v>
      </c>
      <c r="Y2145" s="29" t="str">
        <f t="shared" si="715"/>
        <v>NA</v>
      </c>
      <c r="Z2145" s="29" t="str">
        <f t="shared" si="716"/>
        <v>NA</v>
      </c>
      <c r="AA2145" s="29" t="str">
        <f t="shared" si="717"/>
        <v>NA</v>
      </c>
      <c r="AB2145" s="29" t="str">
        <f t="shared" si="718"/>
        <v>NA</v>
      </c>
      <c r="AC2145" s="29" t="str">
        <f t="shared" si="719"/>
        <v>NA</v>
      </c>
      <c r="AD2145" s="29" t="str">
        <f t="shared" si="720"/>
        <v>NA</v>
      </c>
      <c r="AE2145" s="29" t="str">
        <f t="shared" si="721"/>
        <v>NA</v>
      </c>
      <c r="AF2145" s="29" t="str">
        <f t="shared" si="722"/>
        <v>NA</v>
      </c>
      <c r="AG2145" s="29" t="str">
        <f t="shared" si="723"/>
        <v>NA</v>
      </c>
      <c r="AH2145" s="29" t="str">
        <f t="shared" si="724"/>
        <v>NA</v>
      </c>
    </row>
    <row r="2146" customHeight="1" spans="1:34">
      <c r="A2146" s="12" t="s">
        <v>1043</v>
      </c>
      <c r="F2146" s="24">
        <f t="shared" si="706"/>
        <v>0</v>
      </c>
      <c r="G2146" s="24" t="e">
        <f t="shared" si="705"/>
        <v>#DIV/0!</v>
      </c>
      <c r="Q2146" s="29" t="str">
        <f t="shared" si="707"/>
        <v>NA</v>
      </c>
      <c r="R2146" s="29" t="str">
        <f t="shared" si="708"/>
        <v>NA</v>
      </c>
      <c r="S2146" s="29" t="str">
        <f t="shared" si="709"/>
        <v>NA</v>
      </c>
      <c r="T2146" s="29" t="str">
        <f t="shared" si="710"/>
        <v>NA</v>
      </c>
      <c r="U2146" s="29" t="str">
        <f t="shared" si="711"/>
        <v>NA</v>
      </c>
      <c r="V2146" s="29" t="str">
        <f t="shared" si="712"/>
        <v>NA</v>
      </c>
      <c r="W2146" s="29" t="str">
        <f t="shared" si="713"/>
        <v>NA</v>
      </c>
      <c r="X2146" s="29" t="str">
        <f t="shared" si="714"/>
        <v>NA</v>
      </c>
      <c r="Y2146" s="29" t="str">
        <f t="shared" si="715"/>
        <v>NA</v>
      </c>
      <c r="Z2146" s="29" t="str">
        <f t="shared" si="716"/>
        <v>NA</v>
      </c>
      <c r="AA2146" s="29" t="str">
        <f t="shared" si="717"/>
        <v>NA</v>
      </c>
      <c r="AB2146" s="29" t="str">
        <f t="shared" si="718"/>
        <v>NA</v>
      </c>
      <c r="AC2146" s="29" t="str">
        <f t="shared" si="719"/>
        <v>NA</v>
      </c>
      <c r="AD2146" s="29" t="str">
        <f t="shared" si="720"/>
        <v>NA</v>
      </c>
      <c r="AE2146" s="29" t="str">
        <f t="shared" si="721"/>
        <v>NA</v>
      </c>
      <c r="AF2146" s="29" t="str">
        <f t="shared" si="722"/>
        <v>NA</v>
      </c>
      <c r="AG2146" s="29" t="str">
        <f t="shared" si="723"/>
        <v>NA</v>
      </c>
      <c r="AH2146" s="29" t="str">
        <f t="shared" si="724"/>
        <v>NA</v>
      </c>
    </row>
    <row r="2147" customHeight="1" spans="1:34">
      <c r="A2147" s="12" t="s">
        <v>1043</v>
      </c>
      <c r="F2147" s="24">
        <f t="shared" si="706"/>
        <v>0</v>
      </c>
      <c r="G2147" s="24" t="e">
        <f t="shared" si="705"/>
        <v>#DIV/0!</v>
      </c>
      <c r="Q2147" s="29" t="str">
        <f t="shared" si="707"/>
        <v>NA</v>
      </c>
      <c r="R2147" s="29" t="str">
        <f t="shared" si="708"/>
        <v>NA</v>
      </c>
      <c r="S2147" s="29" t="str">
        <f t="shared" si="709"/>
        <v>NA</v>
      </c>
      <c r="T2147" s="29" t="str">
        <f t="shared" si="710"/>
        <v>NA</v>
      </c>
      <c r="U2147" s="29" t="str">
        <f t="shared" si="711"/>
        <v>NA</v>
      </c>
      <c r="V2147" s="29" t="str">
        <f t="shared" si="712"/>
        <v>NA</v>
      </c>
      <c r="W2147" s="29" t="str">
        <f t="shared" si="713"/>
        <v>NA</v>
      </c>
      <c r="X2147" s="29" t="str">
        <f t="shared" si="714"/>
        <v>NA</v>
      </c>
      <c r="Y2147" s="29" t="str">
        <f t="shared" si="715"/>
        <v>NA</v>
      </c>
      <c r="Z2147" s="29" t="str">
        <f t="shared" si="716"/>
        <v>NA</v>
      </c>
      <c r="AA2147" s="29" t="str">
        <f t="shared" si="717"/>
        <v>NA</v>
      </c>
      <c r="AB2147" s="29" t="str">
        <f t="shared" si="718"/>
        <v>NA</v>
      </c>
      <c r="AC2147" s="29" t="str">
        <f t="shared" si="719"/>
        <v>NA</v>
      </c>
      <c r="AD2147" s="29" t="str">
        <f t="shared" si="720"/>
        <v>NA</v>
      </c>
      <c r="AE2147" s="29" t="str">
        <f t="shared" si="721"/>
        <v>NA</v>
      </c>
      <c r="AF2147" s="29" t="str">
        <f t="shared" si="722"/>
        <v>NA</v>
      </c>
      <c r="AG2147" s="29" t="str">
        <f t="shared" si="723"/>
        <v>NA</v>
      </c>
      <c r="AH2147" s="29" t="str">
        <f t="shared" si="724"/>
        <v>NA</v>
      </c>
    </row>
    <row r="2148" customHeight="1" spans="1:34">
      <c r="A2148" s="12" t="s">
        <v>1043</v>
      </c>
      <c r="F2148" s="24">
        <f t="shared" si="706"/>
        <v>0</v>
      </c>
      <c r="G2148" s="24" t="e">
        <f t="shared" si="705"/>
        <v>#DIV/0!</v>
      </c>
      <c r="Q2148" s="29" t="str">
        <f t="shared" si="707"/>
        <v>NA</v>
      </c>
      <c r="R2148" s="29" t="str">
        <f t="shared" si="708"/>
        <v>NA</v>
      </c>
      <c r="S2148" s="29" t="str">
        <f t="shared" si="709"/>
        <v>NA</v>
      </c>
      <c r="T2148" s="29" t="str">
        <f t="shared" si="710"/>
        <v>NA</v>
      </c>
      <c r="U2148" s="29" t="str">
        <f t="shared" si="711"/>
        <v>NA</v>
      </c>
      <c r="V2148" s="29" t="str">
        <f t="shared" si="712"/>
        <v>NA</v>
      </c>
      <c r="W2148" s="29" t="str">
        <f t="shared" si="713"/>
        <v>NA</v>
      </c>
      <c r="X2148" s="29" t="str">
        <f t="shared" si="714"/>
        <v>NA</v>
      </c>
      <c r="Y2148" s="29" t="str">
        <f t="shared" si="715"/>
        <v>NA</v>
      </c>
      <c r="Z2148" s="29" t="str">
        <f t="shared" si="716"/>
        <v>NA</v>
      </c>
      <c r="AA2148" s="29" t="str">
        <f t="shared" si="717"/>
        <v>NA</v>
      </c>
      <c r="AB2148" s="29" t="str">
        <f t="shared" si="718"/>
        <v>NA</v>
      </c>
      <c r="AC2148" s="29" t="str">
        <f t="shared" si="719"/>
        <v>NA</v>
      </c>
      <c r="AD2148" s="29" t="str">
        <f t="shared" si="720"/>
        <v>NA</v>
      </c>
      <c r="AE2148" s="29" t="str">
        <f t="shared" si="721"/>
        <v>NA</v>
      </c>
      <c r="AF2148" s="29" t="str">
        <f t="shared" si="722"/>
        <v>NA</v>
      </c>
      <c r="AG2148" s="29" t="str">
        <f t="shared" si="723"/>
        <v>NA</v>
      </c>
      <c r="AH2148" s="29" t="str">
        <f t="shared" si="724"/>
        <v>NA</v>
      </c>
    </row>
    <row r="2149" customHeight="1" spans="1:34">
      <c r="A2149" s="12" t="s">
        <v>1043</v>
      </c>
      <c r="F2149" s="24">
        <f t="shared" si="706"/>
        <v>0</v>
      </c>
      <c r="G2149" s="24" t="e">
        <f t="shared" si="705"/>
        <v>#DIV/0!</v>
      </c>
      <c r="Q2149" s="29" t="str">
        <f t="shared" si="707"/>
        <v>NA</v>
      </c>
      <c r="R2149" s="29" t="str">
        <f t="shared" si="708"/>
        <v>NA</v>
      </c>
      <c r="S2149" s="29" t="str">
        <f t="shared" si="709"/>
        <v>NA</v>
      </c>
      <c r="T2149" s="29" t="str">
        <f t="shared" si="710"/>
        <v>NA</v>
      </c>
      <c r="U2149" s="29" t="str">
        <f t="shared" si="711"/>
        <v>NA</v>
      </c>
      <c r="V2149" s="29" t="str">
        <f t="shared" si="712"/>
        <v>NA</v>
      </c>
      <c r="W2149" s="29" t="str">
        <f t="shared" si="713"/>
        <v>NA</v>
      </c>
      <c r="X2149" s="29" t="str">
        <f t="shared" si="714"/>
        <v>NA</v>
      </c>
      <c r="Y2149" s="29" t="str">
        <f t="shared" si="715"/>
        <v>NA</v>
      </c>
      <c r="Z2149" s="29" t="str">
        <f t="shared" si="716"/>
        <v>NA</v>
      </c>
      <c r="AA2149" s="29" t="str">
        <f t="shared" si="717"/>
        <v>NA</v>
      </c>
      <c r="AB2149" s="29" t="str">
        <f t="shared" si="718"/>
        <v>NA</v>
      </c>
      <c r="AC2149" s="29" t="str">
        <f t="shared" si="719"/>
        <v>NA</v>
      </c>
      <c r="AD2149" s="29" t="str">
        <f t="shared" si="720"/>
        <v>NA</v>
      </c>
      <c r="AE2149" s="29" t="str">
        <f t="shared" si="721"/>
        <v>NA</v>
      </c>
      <c r="AF2149" s="29" t="str">
        <f t="shared" si="722"/>
        <v>NA</v>
      </c>
      <c r="AG2149" s="29" t="str">
        <f t="shared" si="723"/>
        <v>NA</v>
      </c>
      <c r="AH2149" s="29" t="str">
        <f t="shared" si="724"/>
        <v>NA</v>
      </c>
    </row>
    <row r="2150" customHeight="1" spans="1:34">
      <c r="A2150" s="12" t="s">
        <v>1043</v>
      </c>
      <c r="F2150" s="24">
        <f t="shared" si="706"/>
        <v>0</v>
      </c>
      <c r="G2150" s="24" t="e">
        <f t="shared" si="705"/>
        <v>#DIV/0!</v>
      </c>
      <c r="Q2150" s="29" t="str">
        <f t="shared" si="707"/>
        <v>NA</v>
      </c>
      <c r="R2150" s="29" t="str">
        <f t="shared" si="708"/>
        <v>NA</v>
      </c>
      <c r="S2150" s="29" t="str">
        <f t="shared" si="709"/>
        <v>NA</v>
      </c>
      <c r="T2150" s="29" t="str">
        <f t="shared" si="710"/>
        <v>NA</v>
      </c>
      <c r="U2150" s="29" t="str">
        <f t="shared" si="711"/>
        <v>NA</v>
      </c>
      <c r="V2150" s="29" t="str">
        <f t="shared" si="712"/>
        <v>NA</v>
      </c>
      <c r="W2150" s="29" t="str">
        <f t="shared" si="713"/>
        <v>NA</v>
      </c>
      <c r="X2150" s="29" t="str">
        <f t="shared" si="714"/>
        <v>NA</v>
      </c>
      <c r="Y2150" s="29" t="str">
        <f t="shared" si="715"/>
        <v>NA</v>
      </c>
      <c r="Z2150" s="29" t="str">
        <f t="shared" si="716"/>
        <v>NA</v>
      </c>
      <c r="AA2150" s="29" t="str">
        <f t="shared" si="717"/>
        <v>NA</v>
      </c>
      <c r="AB2150" s="29" t="str">
        <f t="shared" si="718"/>
        <v>NA</v>
      </c>
      <c r="AC2150" s="29" t="str">
        <f t="shared" si="719"/>
        <v>NA</v>
      </c>
      <c r="AD2150" s="29" t="str">
        <f t="shared" si="720"/>
        <v>NA</v>
      </c>
      <c r="AE2150" s="29" t="str">
        <f t="shared" si="721"/>
        <v>NA</v>
      </c>
      <c r="AF2150" s="29" t="str">
        <f t="shared" si="722"/>
        <v>NA</v>
      </c>
      <c r="AG2150" s="29" t="str">
        <f t="shared" si="723"/>
        <v>NA</v>
      </c>
      <c r="AH2150" s="29" t="str">
        <f t="shared" si="724"/>
        <v>NA</v>
      </c>
    </row>
    <row r="2151" customHeight="1" spans="1:34">
      <c r="A2151" s="12" t="s">
        <v>1043</v>
      </c>
      <c r="F2151" s="24">
        <f t="shared" si="706"/>
        <v>0</v>
      </c>
      <c r="G2151" s="24" t="e">
        <f t="shared" si="705"/>
        <v>#DIV/0!</v>
      </c>
      <c r="Q2151" s="29" t="str">
        <f t="shared" si="707"/>
        <v>NA</v>
      </c>
      <c r="R2151" s="29" t="str">
        <f t="shared" si="708"/>
        <v>NA</v>
      </c>
      <c r="S2151" s="29" t="str">
        <f t="shared" si="709"/>
        <v>NA</v>
      </c>
      <c r="T2151" s="29" t="str">
        <f t="shared" si="710"/>
        <v>NA</v>
      </c>
      <c r="U2151" s="29" t="str">
        <f t="shared" si="711"/>
        <v>NA</v>
      </c>
      <c r="V2151" s="29" t="str">
        <f t="shared" si="712"/>
        <v>NA</v>
      </c>
      <c r="W2151" s="29" t="str">
        <f t="shared" si="713"/>
        <v>NA</v>
      </c>
      <c r="X2151" s="29" t="str">
        <f t="shared" si="714"/>
        <v>NA</v>
      </c>
      <c r="Y2151" s="29" t="str">
        <f t="shared" si="715"/>
        <v>NA</v>
      </c>
      <c r="Z2151" s="29" t="str">
        <f t="shared" si="716"/>
        <v>NA</v>
      </c>
      <c r="AA2151" s="29" t="str">
        <f t="shared" si="717"/>
        <v>NA</v>
      </c>
      <c r="AB2151" s="29" t="str">
        <f t="shared" si="718"/>
        <v>NA</v>
      </c>
      <c r="AC2151" s="29" t="str">
        <f t="shared" si="719"/>
        <v>NA</v>
      </c>
      <c r="AD2151" s="29" t="str">
        <f t="shared" si="720"/>
        <v>NA</v>
      </c>
      <c r="AE2151" s="29" t="str">
        <f t="shared" si="721"/>
        <v>NA</v>
      </c>
      <c r="AF2151" s="29" t="str">
        <f t="shared" si="722"/>
        <v>NA</v>
      </c>
      <c r="AG2151" s="29" t="str">
        <f t="shared" si="723"/>
        <v>NA</v>
      </c>
      <c r="AH2151" s="29" t="str">
        <f t="shared" si="724"/>
        <v>NA</v>
      </c>
    </row>
    <row r="2152" customHeight="1" spans="1:34">
      <c r="A2152" s="12" t="s">
        <v>1043</v>
      </c>
      <c r="F2152" s="24">
        <f t="shared" si="706"/>
        <v>0</v>
      </c>
      <c r="G2152" s="24" t="e">
        <f t="shared" si="705"/>
        <v>#DIV/0!</v>
      </c>
      <c r="Q2152" s="29" t="str">
        <f t="shared" si="707"/>
        <v>NA</v>
      </c>
      <c r="R2152" s="29" t="str">
        <f t="shared" si="708"/>
        <v>NA</v>
      </c>
      <c r="S2152" s="29" t="str">
        <f t="shared" si="709"/>
        <v>NA</v>
      </c>
      <c r="T2152" s="29" t="str">
        <f t="shared" si="710"/>
        <v>NA</v>
      </c>
      <c r="U2152" s="29" t="str">
        <f t="shared" si="711"/>
        <v>NA</v>
      </c>
      <c r="V2152" s="29" t="str">
        <f t="shared" si="712"/>
        <v>NA</v>
      </c>
      <c r="W2152" s="29" t="str">
        <f t="shared" si="713"/>
        <v>NA</v>
      </c>
      <c r="X2152" s="29" t="str">
        <f t="shared" si="714"/>
        <v>NA</v>
      </c>
      <c r="Y2152" s="29" t="str">
        <f t="shared" si="715"/>
        <v>NA</v>
      </c>
      <c r="Z2152" s="29" t="str">
        <f t="shared" si="716"/>
        <v>NA</v>
      </c>
      <c r="AA2152" s="29" t="str">
        <f t="shared" si="717"/>
        <v>NA</v>
      </c>
      <c r="AB2152" s="29" t="str">
        <f t="shared" si="718"/>
        <v>NA</v>
      </c>
      <c r="AC2152" s="29" t="str">
        <f t="shared" si="719"/>
        <v>NA</v>
      </c>
      <c r="AD2152" s="29" t="str">
        <f t="shared" si="720"/>
        <v>NA</v>
      </c>
      <c r="AE2152" s="29" t="str">
        <f t="shared" si="721"/>
        <v>NA</v>
      </c>
      <c r="AF2152" s="29" t="str">
        <f t="shared" si="722"/>
        <v>NA</v>
      </c>
      <c r="AG2152" s="29" t="str">
        <f t="shared" si="723"/>
        <v>NA</v>
      </c>
      <c r="AH2152" s="29" t="str">
        <f t="shared" si="724"/>
        <v>NA</v>
      </c>
    </row>
    <row r="2153" customHeight="1" spans="1:34">
      <c r="A2153" s="12" t="s">
        <v>1043</v>
      </c>
      <c r="F2153" s="24">
        <f t="shared" si="706"/>
        <v>0</v>
      </c>
      <c r="G2153" s="24" t="e">
        <f t="shared" si="705"/>
        <v>#DIV/0!</v>
      </c>
      <c r="Q2153" s="29" t="str">
        <f t="shared" si="707"/>
        <v>NA</v>
      </c>
      <c r="R2153" s="29" t="str">
        <f t="shared" si="708"/>
        <v>NA</v>
      </c>
      <c r="S2153" s="29" t="str">
        <f t="shared" si="709"/>
        <v>NA</v>
      </c>
      <c r="T2153" s="29" t="str">
        <f t="shared" si="710"/>
        <v>NA</v>
      </c>
      <c r="U2153" s="29" t="str">
        <f t="shared" si="711"/>
        <v>NA</v>
      </c>
      <c r="V2153" s="29" t="str">
        <f t="shared" si="712"/>
        <v>NA</v>
      </c>
      <c r="W2153" s="29" t="str">
        <f t="shared" si="713"/>
        <v>NA</v>
      </c>
      <c r="X2153" s="29" t="str">
        <f t="shared" si="714"/>
        <v>NA</v>
      </c>
      <c r="Y2153" s="29" t="str">
        <f t="shared" si="715"/>
        <v>NA</v>
      </c>
      <c r="Z2153" s="29" t="str">
        <f t="shared" si="716"/>
        <v>NA</v>
      </c>
      <c r="AA2153" s="29" t="str">
        <f t="shared" si="717"/>
        <v>NA</v>
      </c>
      <c r="AB2153" s="29" t="str">
        <f t="shared" si="718"/>
        <v>NA</v>
      </c>
      <c r="AC2153" s="29" t="str">
        <f t="shared" si="719"/>
        <v>NA</v>
      </c>
      <c r="AD2153" s="29" t="str">
        <f t="shared" si="720"/>
        <v>NA</v>
      </c>
      <c r="AE2153" s="29" t="str">
        <f t="shared" si="721"/>
        <v>NA</v>
      </c>
      <c r="AF2153" s="29" t="str">
        <f t="shared" si="722"/>
        <v>NA</v>
      </c>
      <c r="AG2153" s="29" t="str">
        <f t="shared" si="723"/>
        <v>NA</v>
      </c>
      <c r="AH2153" s="29" t="str">
        <f t="shared" si="724"/>
        <v>NA</v>
      </c>
    </row>
    <row r="2154" customHeight="1" spans="1:34">
      <c r="A2154" s="12" t="s">
        <v>1043</v>
      </c>
      <c r="F2154" s="24">
        <f t="shared" si="706"/>
        <v>0</v>
      </c>
      <c r="G2154" s="24" t="e">
        <f t="shared" si="705"/>
        <v>#DIV/0!</v>
      </c>
      <c r="Q2154" s="29" t="str">
        <f t="shared" si="707"/>
        <v>NA</v>
      </c>
      <c r="R2154" s="29" t="str">
        <f t="shared" si="708"/>
        <v>NA</v>
      </c>
      <c r="S2154" s="29" t="str">
        <f t="shared" si="709"/>
        <v>NA</v>
      </c>
      <c r="T2154" s="29" t="str">
        <f t="shared" si="710"/>
        <v>NA</v>
      </c>
      <c r="U2154" s="29" t="str">
        <f t="shared" si="711"/>
        <v>NA</v>
      </c>
      <c r="V2154" s="29" t="str">
        <f t="shared" si="712"/>
        <v>NA</v>
      </c>
      <c r="W2154" s="29" t="str">
        <f t="shared" si="713"/>
        <v>NA</v>
      </c>
      <c r="X2154" s="29" t="str">
        <f t="shared" si="714"/>
        <v>NA</v>
      </c>
      <c r="Y2154" s="29" t="str">
        <f t="shared" si="715"/>
        <v>NA</v>
      </c>
      <c r="Z2154" s="29" t="str">
        <f t="shared" si="716"/>
        <v>NA</v>
      </c>
      <c r="AA2154" s="29" t="str">
        <f t="shared" si="717"/>
        <v>NA</v>
      </c>
      <c r="AB2154" s="29" t="str">
        <f t="shared" si="718"/>
        <v>NA</v>
      </c>
      <c r="AC2154" s="29" t="str">
        <f t="shared" si="719"/>
        <v>NA</v>
      </c>
      <c r="AD2154" s="29" t="str">
        <f t="shared" si="720"/>
        <v>NA</v>
      </c>
      <c r="AE2154" s="29" t="str">
        <f t="shared" si="721"/>
        <v>NA</v>
      </c>
      <c r="AF2154" s="29" t="str">
        <f t="shared" si="722"/>
        <v>NA</v>
      </c>
      <c r="AG2154" s="29" t="str">
        <f t="shared" si="723"/>
        <v>NA</v>
      </c>
      <c r="AH2154" s="29" t="str">
        <f t="shared" si="724"/>
        <v>NA</v>
      </c>
    </row>
    <row r="2155" customHeight="1" spans="1:34">
      <c r="A2155" s="12" t="s">
        <v>1043</v>
      </c>
      <c r="F2155" s="24">
        <f t="shared" si="706"/>
        <v>0</v>
      </c>
      <c r="G2155" s="24" t="e">
        <f t="shared" si="705"/>
        <v>#DIV/0!</v>
      </c>
      <c r="Q2155" s="29" t="str">
        <f t="shared" si="707"/>
        <v>NA</v>
      </c>
      <c r="R2155" s="29" t="str">
        <f t="shared" si="708"/>
        <v>NA</v>
      </c>
      <c r="S2155" s="29" t="str">
        <f t="shared" si="709"/>
        <v>NA</v>
      </c>
      <c r="T2155" s="29" t="str">
        <f t="shared" si="710"/>
        <v>NA</v>
      </c>
      <c r="U2155" s="29" t="str">
        <f t="shared" si="711"/>
        <v>NA</v>
      </c>
      <c r="V2155" s="29" t="str">
        <f t="shared" si="712"/>
        <v>NA</v>
      </c>
      <c r="W2155" s="29" t="str">
        <f t="shared" si="713"/>
        <v>NA</v>
      </c>
      <c r="X2155" s="29" t="str">
        <f t="shared" si="714"/>
        <v>NA</v>
      </c>
      <c r="Y2155" s="29" t="str">
        <f t="shared" si="715"/>
        <v>NA</v>
      </c>
      <c r="Z2155" s="29" t="str">
        <f t="shared" si="716"/>
        <v>NA</v>
      </c>
      <c r="AA2155" s="29" t="str">
        <f t="shared" si="717"/>
        <v>NA</v>
      </c>
      <c r="AB2155" s="29" t="str">
        <f t="shared" si="718"/>
        <v>NA</v>
      </c>
      <c r="AC2155" s="29" t="str">
        <f t="shared" si="719"/>
        <v>NA</v>
      </c>
      <c r="AD2155" s="29" t="str">
        <f t="shared" si="720"/>
        <v>NA</v>
      </c>
      <c r="AE2155" s="29" t="str">
        <f t="shared" si="721"/>
        <v>NA</v>
      </c>
      <c r="AF2155" s="29" t="str">
        <f t="shared" si="722"/>
        <v>NA</v>
      </c>
      <c r="AG2155" s="29" t="str">
        <f t="shared" si="723"/>
        <v>NA</v>
      </c>
      <c r="AH2155" s="29" t="str">
        <f t="shared" si="724"/>
        <v>NA</v>
      </c>
    </row>
    <row r="2156" customHeight="1" spans="1:34">
      <c r="A2156" s="12" t="s">
        <v>1043</v>
      </c>
      <c r="F2156" s="24">
        <f t="shared" si="706"/>
        <v>0</v>
      </c>
      <c r="G2156" s="24" t="e">
        <f t="shared" si="705"/>
        <v>#DIV/0!</v>
      </c>
      <c r="Q2156" s="29" t="str">
        <f t="shared" si="707"/>
        <v>NA</v>
      </c>
      <c r="R2156" s="29" t="str">
        <f t="shared" si="708"/>
        <v>NA</v>
      </c>
      <c r="S2156" s="29" t="str">
        <f t="shared" si="709"/>
        <v>NA</v>
      </c>
      <c r="T2156" s="29" t="str">
        <f t="shared" si="710"/>
        <v>NA</v>
      </c>
      <c r="U2156" s="29" t="str">
        <f t="shared" si="711"/>
        <v>NA</v>
      </c>
      <c r="V2156" s="29" t="str">
        <f t="shared" si="712"/>
        <v>NA</v>
      </c>
      <c r="W2156" s="29" t="str">
        <f t="shared" si="713"/>
        <v>NA</v>
      </c>
      <c r="X2156" s="29" t="str">
        <f t="shared" si="714"/>
        <v>NA</v>
      </c>
      <c r="Y2156" s="29" t="str">
        <f t="shared" si="715"/>
        <v>NA</v>
      </c>
      <c r="Z2156" s="29" t="str">
        <f t="shared" si="716"/>
        <v>NA</v>
      </c>
      <c r="AA2156" s="29" t="str">
        <f t="shared" si="717"/>
        <v>NA</v>
      </c>
      <c r="AB2156" s="29" t="str">
        <f t="shared" si="718"/>
        <v>NA</v>
      </c>
      <c r="AC2156" s="29" t="str">
        <f t="shared" si="719"/>
        <v>NA</v>
      </c>
      <c r="AD2156" s="29" t="str">
        <f t="shared" si="720"/>
        <v>NA</v>
      </c>
      <c r="AE2156" s="29" t="str">
        <f t="shared" si="721"/>
        <v>NA</v>
      </c>
      <c r="AF2156" s="29" t="str">
        <f t="shared" si="722"/>
        <v>NA</v>
      </c>
      <c r="AG2156" s="29" t="str">
        <f t="shared" si="723"/>
        <v>NA</v>
      </c>
      <c r="AH2156" s="29" t="str">
        <f t="shared" si="724"/>
        <v>NA</v>
      </c>
    </row>
    <row r="2157" customHeight="1" spans="1:34">
      <c r="A2157" s="12" t="s">
        <v>1043</v>
      </c>
      <c r="F2157" s="24">
        <f t="shared" si="706"/>
        <v>0</v>
      </c>
      <c r="G2157" s="24" t="e">
        <f t="shared" si="705"/>
        <v>#DIV/0!</v>
      </c>
      <c r="Q2157" s="29" t="str">
        <f t="shared" si="707"/>
        <v>NA</v>
      </c>
      <c r="R2157" s="29" t="str">
        <f t="shared" si="708"/>
        <v>NA</v>
      </c>
      <c r="S2157" s="29" t="str">
        <f t="shared" si="709"/>
        <v>NA</v>
      </c>
      <c r="T2157" s="29" t="str">
        <f t="shared" si="710"/>
        <v>NA</v>
      </c>
      <c r="U2157" s="29" t="str">
        <f t="shared" si="711"/>
        <v>NA</v>
      </c>
      <c r="V2157" s="29" t="str">
        <f t="shared" si="712"/>
        <v>NA</v>
      </c>
      <c r="W2157" s="29" t="str">
        <f t="shared" si="713"/>
        <v>NA</v>
      </c>
      <c r="X2157" s="29" t="str">
        <f t="shared" si="714"/>
        <v>NA</v>
      </c>
      <c r="Y2157" s="29" t="str">
        <f t="shared" si="715"/>
        <v>NA</v>
      </c>
      <c r="Z2157" s="29" t="str">
        <f t="shared" si="716"/>
        <v>NA</v>
      </c>
      <c r="AA2157" s="29" t="str">
        <f t="shared" si="717"/>
        <v>NA</v>
      </c>
      <c r="AB2157" s="29" t="str">
        <f t="shared" si="718"/>
        <v>NA</v>
      </c>
      <c r="AC2157" s="29" t="str">
        <f t="shared" si="719"/>
        <v>NA</v>
      </c>
      <c r="AD2157" s="29" t="str">
        <f t="shared" si="720"/>
        <v>NA</v>
      </c>
      <c r="AE2157" s="29" t="str">
        <f t="shared" si="721"/>
        <v>NA</v>
      </c>
      <c r="AF2157" s="29" t="str">
        <f t="shared" si="722"/>
        <v>NA</v>
      </c>
      <c r="AG2157" s="29" t="str">
        <f t="shared" si="723"/>
        <v>NA</v>
      </c>
      <c r="AH2157" s="29" t="str">
        <f t="shared" si="724"/>
        <v>NA</v>
      </c>
    </row>
    <row r="2158" customHeight="1" spans="1:34">
      <c r="A2158" s="12" t="s">
        <v>1043</v>
      </c>
      <c r="F2158" s="24">
        <f t="shared" si="706"/>
        <v>0</v>
      </c>
      <c r="G2158" s="24" t="e">
        <f t="shared" si="705"/>
        <v>#DIV/0!</v>
      </c>
      <c r="Q2158" s="29" t="str">
        <f t="shared" si="707"/>
        <v>NA</v>
      </c>
      <c r="R2158" s="29" t="str">
        <f t="shared" si="708"/>
        <v>NA</v>
      </c>
      <c r="S2158" s="29" t="str">
        <f t="shared" si="709"/>
        <v>NA</v>
      </c>
      <c r="T2158" s="29" t="str">
        <f t="shared" si="710"/>
        <v>NA</v>
      </c>
      <c r="U2158" s="29" t="str">
        <f t="shared" si="711"/>
        <v>NA</v>
      </c>
      <c r="V2158" s="29" t="str">
        <f t="shared" si="712"/>
        <v>NA</v>
      </c>
      <c r="W2158" s="29" t="str">
        <f t="shared" si="713"/>
        <v>NA</v>
      </c>
      <c r="X2158" s="29" t="str">
        <f t="shared" si="714"/>
        <v>NA</v>
      </c>
      <c r="Y2158" s="29" t="str">
        <f t="shared" si="715"/>
        <v>NA</v>
      </c>
      <c r="Z2158" s="29" t="str">
        <f t="shared" si="716"/>
        <v>NA</v>
      </c>
      <c r="AA2158" s="29" t="str">
        <f t="shared" si="717"/>
        <v>NA</v>
      </c>
      <c r="AB2158" s="29" t="str">
        <f t="shared" si="718"/>
        <v>NA</v>
      </c>
      <c r="AC2158" s="29" t="str">
        <f t="shared" si="719"/>
        <v>NA</v>
      </c>
      <c r="AD2158" s="29" t="str">
        <f t="shared" si="720"/>
        <v>NA</v>
      </c>
      <c r="AE2158" s="29" t="str">
        <f t="shared" si="721"/>
        <v>NA</v>
      </c>
      <c r="AF2158" s="29" t="str">
        <f t="shared" si="722"/>
        <v>NA</v>
      </c>
      <c r="AG2158" s="29" t="str">
        <f t="shared" si="723"/>
        <v>NA</v>
      </c>
      <c r="AH2158" s="29" t="str">
        <f t="shared" si="724"/>
        <v>NA</v>
      </c>
    </row>
    <row r="2159" customHeight="1" spans="1:34">
      <c r="A2159" s="12" t="s">
        <v>1043</v>
      </c>
      <c r="F2159" s="24">
        <f t="shared" si="706"/>
        <v>0</v>
      </c>
      <c r="G2159" s="24" t="e">
        <f t="shared" si="705"/>
        <v>#DIV/0!</v>
      </c>
      <c r="Q2159" s="29" t="str">
        <f t="shared" si="707"/>
        <v>NA</v>
      </c>
      <c r="R2159" s="29" t="str">
        <f t="shared" si="708"/>
        <v>NA</v>
      </c>
      <c r="S2159" s="29" t="str">
        <f t="shared" si="709"/>
        <v>NA</v>
      </c>
      <c r="T2159" s="29" t="str">
        <f t="shared" si="710"/>
        <v>NA</v>
      </c>
      <c r="U2159" s="29" t="str">
        <f t="shared" si="711"/>
        <v>NA</v>
      </c>
      <c r="V2159" s="29" t="str">
        <f t="shared" si="712"/>
        <v>NA</v>
      </c>
      <c r="W2159" s="29" t="str">
        <f t="shared" si="713"/>
        <v>NA</v>
      </c>
      <c r="X2159" s="29" t="str">
        <f t="shared" si="714"/>
        <v>NA</v>
      </c>
      <c r="Y2159" s="29" t="str">
        <f t="shared" si="715"/>
        <v>NA</v>
      </c>
      <c r="Z2159" s="29" t="str">
        <f t="shared" si="716"/>
        <v>NA</v>
      </c>
      <c r="AA2159" s="29" t="str">
        <f t="shared" si="717"/>
        <v>NA</v>
      </c>
      <c r="AB2159" s="29" t="str">
        <f t="shared" si="718"/>
        <v>NA</v>
      </c>
      <c r="AC2159" s="29" t="str">
        <f t="shared" si="719"/>
        <v>NA</v>
      </c>
      <c r="AD2159" s="29" t="str">
        <f t="shared" si="720"/>
        <v>NA</v>
      </c>
      <c r="AE2159" s="29" t="str">
        <f t="shared" si="721"/>
        <v>NA</v>
      </c>
      <c r="AF2159" s="29" t="str">
        <f t="shared" si="722"/>
        <v>NA</v>
      </c>
      <c r="AG2159" s="29" t="str">
        <f t="shared" si="723"/>
        <v>NA</v>
      </c>
      <c r="AH2159" s="29" t="str">
        <f t="shared" si="724"/>
        <v>NA</v>
      </c>
    </row>
    <row r="2160" customHeight="1" spans="1:34">
      <c r="A2160" s="12" t="s">
        <v>1043</v>
      </c>
      <c r="F2160" s="24">
        <f t="shared" si="706"/>
        <v>0</v>
      </c>
      <c r="G2160" s="24" t="e">
        <f t="shared" si="705"/>
        <v>#DIV/0!</v>
      </c>
      <c r="Q2160" s="29" t="str">
        <f t="shared" si="707"/>
        <v>NA</v>
      </c>
      <c r="R2160" s="29" t="str">
        <f t="shared" si="708"/>
        <v>NA</v>
      </c>
      <c r="S2160" s="29" t="str">
        <f t="shared" si="709"/>
        <v>NA</v>
      </c>
      <c r="T2160" s="29" t="str">
        <f t="shared" si="710"/>
        <v>NA</v>
      </c>
      <c r="U2160" s="29" t="str">
        <f t="shared" si="711"/>
        <v>NA</v>
      </c>
      <c r="V2160" s="29" t="str">
        <f t="shared" si="712"/>
        <v>NA</v>
      </c>
      <c r="W2160" s="29" t="str">
        <f t="shared" si="713"/>
        <v>NA</v>
      </c>
      <c r="X2160" s="29" t="str">
        <f t="shared" si="714"/>
        <v>NA</v>
      </c>
      <c r="Y2160" s="29" t="str">
        <f t="shared" si="715"/>
        <v>NA</v>
      </c>
      <c r="Z2160" s="29" t="str">
        <f t="shared" si="716"/>
        <v>NA</v>
      </c>
      <c r="AA2160" s="29" t="str">
        <f t="shared" si="717"/>
        <v>NA</v>
      </c>
      <c r="AB2160" s="29" t="str">
        <f t="shared" si="718"/>
        <v>NA</v>
      </c>
      <c r="AC2160" s="29" t="str">
        <f t="shared" si="719"/>
        <v>NA</v>
      </c>
      <c r="AD2160" s="29" t="str">
        <f t="shared" si="720"/>
        <v>NA</v>
      </c>
      <c r="AE2160" s="29" t="str">
        <f t="shared" si="721"/>
        <v>NA</v>
      </c>
      <c r="AF2160" s="29" t="str">
        <f t="shared" si="722"/>
        <v>NA</v>
      </c>
      <c r="AG2160" s="29" t="str">
        <f t="shared" si="723"/>
        <v>NA</v>
      </c>
      <c r="AH2160" s="29" t="str">
        <f t="shared" si="724"/>
        <v>NA</v>
      </c>
    </row>
    <row r="2161" customHeight="1" spans="1:34">
      <c r="A2161" s="12" t="s">
        <v>1043</v>
      </c>
      <c r="F2161" s="24">
        <f t="shared" si="706"/>
        <v>0</v>
      </c>
      <c r="G2161" s="24" t="e">
        <f t="shared" si="705"/>
        <v>#DIV/0!</v>
      </c>
      <c r="Q2161" s="29" t="str">
        <f t="shared" si="707"/>
        <v>NA</v>
      </c>
      <c r="R2161" s="29" t="str">
        <f t="shared" si="708"/>
        <v>NA</v>
      </c>
      <c r="S2161" s="29" t="str">
        <f t="shared" si="709"/>
        <v>NA</v>
      </c>
      <c r="T2161" s="29" t="str">
        <f t="shared" si="710"/>
        <v>NA</v>
      </c>
      <c r="U2161" s="29" t="str">
        <f t="shared" si="711"/>
        <v>NA</v>
      </c>
      <c r="V2161" s="29" t="str">
        <f t="shared" si="712"/>
        <v>NA</v>
      </c>
      <c r="W2161" s="29" t="str">
        <f t="shared" si="713"/>
        <v>NA</v>
      </c>
      <c r="X2161" s="29" t="str">
        <f t="shared" si="714"/>
        <v>NA</v>
      </c>
      <c r="Y2161" s="29" t="str">
        <f t="shared" si="715"/>
        <v>NA</v>
      </c>
      <c r="Z2161" s="29" t="str">
        <f t="shared" si="716"/>
        <v>NA</v>
      </c>
      <c r="AA2161" s="29" t="str">
        <f t="shared" si="717"/>
        <v>NA</v>
      </c>
      <c r="AB2161" s="29" t="str">
        <f t="shared" si="718"/>
        <v>NA</v>
      </c>
      <c r="AC2161" s="29" t="str">
        <f t="shared" si="719"/>
        <v>NA</v>
      </c>
      <c r="AD2161" s="29" t="str">
        <f t="shared" si="720"/>
        <v>NA</v>
      </c>
      <c r="AE2161" s="29" t="str">
        <f t="shared" si="721"/>
        <v>NA</v>
      </c>
      <c r="AF2161" s="29" t="str">
        <f t="shared" si="722"/>
        <v>NA</v>
      </c>
      <c r="AG2161" s="29" t="str">
        <f t="shared" si="723"/>
        <v>NA</v>
      </c>
      <c r="AH2161" s="29" t="str">
        <f t="shared" si="724"/>
        <v>NA</v>
      </c>
    </row>
    <row r="2162" customHeight="1" spans="1:34">
      <c r="A2162" s="12" t="s">
        <v>1043</v>
      </c>
      <c r="F2162" s="24">
        <f t="shared" si="706"/>
        <v>0</v>
      </c>
      <c r="G2162" s="24" t="e">
        <f t="shared" si="705"/>
        <v>#DIV/0!</v>
      </c>
      <c r="Q2162" s="29" t="str">
        <f t="shared" si="707"/>
        <v>NA</v>
      </c>
      <c r="R2162" s="29" t="str">
        <f t="shared" si="708"/>
        <v>NA</v>
      </c>
      <c r="S2162" s="29" t="str">
        <f t="shared" si="709"/>
        <v>NA</v>
      </c>
      <c r="T2162" s="29" t="str">
        <f t="shared" si="710"/>
        <v>NA</v>
      </c>
      <c r="U2162" s="29" t="str">
        <f t="shared" si="711"/>
        <v>NA</v>
      </c>
      <c r="V2162" s="29" t="str">
        <f t="shared" si="712"/>
        <v>NA</v>
      </c>
      <c r="W2162" s="29" t="str">
        <f t="shared" si="713"/>
        <v>NA</v>
      </c>
      <c r="X2162" s="29" t="str">
        <f t="shared" si="714"/>
        <v>NA</v>
      </c>
      <c r="Y2162" s="29" t="str">
        <f t="shared" si="715"/>
        <v>NA</v>
      </c>
      <c r="Z2162" s="29" t="str">
        <f t="shared" si="716"/>
        <v>NA</v>
      </c>
      <c r="AA2162" s="29" t="str">
        <f t="shared" si="717"/>
        <v>NA</v>
      </c>
      <c r="AB2162" s="29" t="str">
        <f t="shared" si="718"/>
        <v>NA</v>
      </c>
      <c r="AC2162" s="29" t="str">
        <f t="shared" si="719"/>
        <v>NA</v>
      </c>
      <c r="AD2162" s="29" t="str">
        <f t="shared" si="720"/>
        <v>NA</v>
      </c>
      <c r="AE2162" s="29" t="str">
        <f t="shared" si="721"/>
        <v>NA</v>
      </c>
      <c r="AF2162" s="29" t="str">
        <f t="shared" si="722"/>
        <v>NA</v>
      </c>
      <c r="AG2162" s="29" t="str">
        <f t="shared" si="723"/>
        <v>NA</v>
      </c>
      <c r="AH2162" s="29" t="str">
        <f t="shared" si="724"/>
        <v>NA</v>
      </c>
    </row>
    <row r="2163" customHeight="1" spans="1:34">
      <c r="A2163" s="12" t="s">
        <v>1043</v>
      </c>
      <c r="F2163" s="24">
        <f t="shared" si="706"/>
        <v>0</v>
      </c>
      <c r="G2163" s="24" t="e">
        <f t="shared" si="705"/>
        <v>#DIV/0!</v>
      </c>
      <c r="Q2163" s="29" t="str">
        <f t="shared" si="707"/>
        <v>NA</v>
      </c>
      <c r="R2163" s="29" t="str">
        <f t="shared" si="708"/>
        <v>NA</v>
      </c>
      <c r="S2163" s="29" t="str">
        <f t="shared" si="709"/>
        <v>NA</v>
      </c>
      <c r="T2163" s="29" t="str">
        <f t="shared" si="710"/>
        <v>NA</v>
      </c>
      <c r="U2163" s="29" t="str">
        <f t="shared" si="711"/>
        <v>NA</v>
      </c>
      <c r="V2163" s="29" t="str">
        <f t="shared" si="712"/>
        <v>NA</v>
      </c>
      <c r="W2163" s="29" t="str">
        <f t="shared" si="713"/>
        <v>NA</v>
      </c>
      <c r="X2163" s="29" t="str">
        <f t="shared" si="714"/>
        <v>NA</v>
      </c>
      <c r="Y2163" s="29" t="str">
        <f t="shared" si="715"/>
        <v>NA</v>
      </c>
      <c r="Z2163" s="29" t="str">
        <f t="shared" si="716"/>
        <v>NA</v>
      </c>
      <c r="AA2163" s="29" t="str">
        <f t="shared" si="717"/>
        <v>NA</v>
      </c>
      <c r="AB2163" s="29" t="str">
        <f t="shared" si="718"/>
        <v>NA</v>
      </c>
      <c r="AC2163" s="29" t="str">
        <f t="shared" si="719"/>
        <v>NA</v>
      </c>
      <c r="AD2163" s="29" t="str">
        <f t="shared" si="720"/>
        <v>NA</v>
      </c>
      <c r="AE2163" s="29" t="str">
        <f t="shared" si="721"/>
        <v>NA</v>
      </c>
      <c r="AF2163" s="29" t="str">
        <f t="shared" si="722"/>
        <v>NA</v>
      </c>
      <c r="AG2163" s="29" t="str">
        <f t="shared" si="723"/>
        <v>NA</v>
      </c>
      <c r="AH2163" s="29" t="str">
        <f t="shared" si="724"/>
        <v>NA</v>
      </c>
    </row>
    <row r="2164" customHeight="1" spans="1:34">
      <c r="A2164" s="12" t="s">
        <v>1043</v>
      </c>
      <c r="F2164" s="24">
        <f t="shared" si="706"/>
        <v>0</v>
      </c>
      <c r="G2164" s="24" t="e">
        <f t="shared" si="705"/>
        <v>#DIV/0!</v>
      </c>
      <c r="Q2164" s="29" t="str">
        <f t="shared" si="707"/>
        <v>NA</v>
      </c>
      <c r="R2164" s="29" t="str">
        <f t="shared" si="708"/>
        <v>NA</v>
      </c>
      <c r="S2164" s="29" t="str">
        <f t="shared" si="709"/>
        <v>NA</v>
      </c>
      <c r="T2164" s="29" t="str">
        <f t="shared" si="710"/>
        <v>NA</v>
      </c>
      <c r="U2164" s="29" t="str">
        <f t="shared" si="711"/>
        <v>NA</v>
      </c>
      <c r="V2164" s="29" t="str">
        <f t="shared" si="712"/>
        <v>NA</v>
      </c>
      <c r="W2164" s="29" t="str">
        <f t="shared" si="713"/>
        <v>NA</v>
      </c>
      <c r="X2164" s="29" t="str">
        <f t="shared" si="714"/>
        <v>NA</v>
      </c>
      <c r="Y2164" s="29" t="str">
        <f t="shared" si="715"/>
        <v>NA</v>
      </c>
      <c r="Z2164" s="29" t="str">
        <f t="shared" si="716"/>
        <v>NA</v>
      </c>
      <c r="AA2164" s="29" t="str">
        <f t="shared" si="717"/>
        <v>NA</v>
      </c>
      <c r="AB2164" s="29" t="str">
        <f t="shared" si="718"/>
        <v>NA</v>
      </c>
      <c r="AC2164" s="29" t="str">
        <f t="shared" si="719"/>
        <v>NA</v>
      </c>
      <c r="AD2164" s="29" t="str">
        <f t="shared" si="720"/>
        <v>NA</v>
      </c>
      <c r="AE2164" s="29" t="str">
        <f t="shared" si="721"/>
        <v>NA</v>
      </c>
      <c r="AF2164" s="29" t="str">
        <f t="shared" si="722"/>
        <v>NA</v>
      </c>
      <c r="AG2164" s="29" t="str">
        <f t="shared" si="723"/>
        <v>NA</v>
      </c>
      <c r="AH2164" s="29" t="str">
        <f t="shared" si="724"/>
        <v>NA</v>
      </c>
    </row>
    <row r="2165" customHeight="1" spans="1:34">
      <c r="A2165" s="12" t="s">
        <v>1043</v>
      </c>
      <c r="F2165" s="24">
        <f t="shared" si="706"/>
        <v>0</v>
      </c>
      <c r="G2165" s="24" t="e">
        <f t="shared" si="705"/>
        <v>#DIV/0!</v>
      </c>
      <c r="Q2165" s="29" t="str">
        <f t="shared" si="707"/>
        <v>NA</v>
      </c>
      <c r="R2165" s="29" t="str">
        <f t="shared" si="708"/>
        <v>NA</v>
      </c>
      <c r="S2165" s="29" t="str">
        <f t="shared" si="709"/>
        <v>NA</v>
      </c>
      <c r="T2165" s="29" t="str">
        <f t="shared" si="710"/>
        <v>NA</v>
      </c>
      <c r="U2165" s="29" t="str">
        <f t="shared" si="711"/>
        <v>NA</v>
      </c>
      <c r="V2165" s="29" t="str">
        <f t="shared" si="712"/>
        <v>NA</v>
      </c>
      <c r="W2165" s="29" t="str">
        <f t="shared" si="713"/>
        <v>NA</v>
      </c>
      <c r="X2165" s="29" t="str">
        <f t="shared" si="714"/>
        <v>NA</v>
      </c>
      <c r="Y2165" s="29" t="str">
        <f t="shared" si="715"/>
        <v>NA</v>
      </c>
      <c r="Z2165" s="29" t="str">
        <f t="shared" si="716"/>
        <v>NA</v>
      </c>
      <c r="AA2165" s="29" t="str">
        <f t="shared" si="717"/>
        <v>NA</v>
      </c>
      <c r="AB2165" s="29" t="str">
        <f t="shared" si="718"/>
        <v>NA</v>
      </c>
      <c r="AC2165" s="29" t="str">
        <f t="shared" si="719"/>
        <v>NA</v>
      </c>
      <c r="AD2165" s="29" t="str">
        <f t="shared" si="720"/>
        <v>NA</v>
      </c>
      <c r="AE2165" s="29" t="str">
        <f t="shared" si="721"/>
        <v>NA</v>
      </c>
      <c r="AF2165" s="29" t="str">
        <f t="shared" si="722"/>
        <v>NA</v>
      </c>
      <c r="AG2165" s="29" t="str">
        <f t="shared" si="723"/>
        <v>NA</v>
      </c>
      <c r="AH2165" s="29" t="str">
        <f t="shared" si="724"/>
        <v>NA</v>
      </c>
    </row>
    <row r="2166" customHeight="1" spans="1:34">
      <c r="A2166" s="12" t="s">
        <v>1043</v>
      </c>
      <c r="F2166" s="24">
        <f t="shared" si="706"/>
        <v>0</v>
      </c>
      <c r="G2166" s="24" t="e">
        <f t="shared" si="705"/>
        <v>#DIV/0!</v>
      </c>
      <c r="Q2166" s="29" t="str">
        <f t="shared" si="707"/>
        <v>NA</v>
      </c>
      <c r="R2166" s="29" t="str">
        <f t="shared" si="708"/>
        <v>NA</v>
      </c>
      <c r="S2166" s="29" t="str">
        <f t="shared" si="709"/>
        <v>NA</v>
      </c>
      <c r="T2166" s="29" t="str">
        <f t="shared" si="710"/>
        <v>NA</v>
      </c>
      <c r="U2166" s="29" t="str">
        <f t="shared" si="711"/>
        <v>NA</v>
      </c>
      <c r="V2166" s="29" t="str">
        <f t="shared" si="712"/>
        <v>NA</v>
      </c>
      <c r="W2166" s="29" t="str">
        <f t="shared" si="713"/>
        <v>NA</v>
      </c>
      <c r="X2166" s="29" t="str">
        <f t="shared" si="714"/>
        <v>NA</v>
      </c>
      <c r="Y2166" s="29" t="str">
        <f t="shared" si="715"/>
        <v>NA</v>
      </c>
      <c r="Z2166" s="29" t="str">
        <f t="shared" si="716"/>
        <v>NA</v>
      </c>
      <c r="AA2166" s="29" t="str">
        <f t="shared" si="717"/>
        <v>NA</v>
      </c>
      <c r="AB2166" s="29" t="str">
        <f t="shared" si="718"/>
        <v>NA</v>
      </c>
      <c r="AC2166" s="29" t="str">
        <f t="shared" si="719"/>
        <v>NA</v>
      </c>
      <c r="AD2166" s="29" t="str">
        <f t="shared" si="720"/>
        <v>NA</v>
      </c>
      <c r="AE2166" s="29" t="str">
        <f t="shared" si="721"/>
        <v>NA</v>
      </c>
      <c r="AF2166" s="29" t="str">
        <f t="shared" si="722"/>
        <v>NA</v>
      </c>
      <c r="AG2166" s="29" t="str">
        <f t="shared" si="723"/>
        <v>NA</v>
      </c>
      <c r="AH2166" s="29" t="str">
        <f t="shared" si="724"/>
        <v>NA</v>
      </c>
    </row>
    <row r="2167" customHeight="1" spans="1:34">
      <c r="A2167" s="12" t="s">
        <v>1043</v>
      </c>
      <c r="F2167" s="24">
        <f t="shared" si="706"/>
        <v>0</v>
      </c>
      <c r="G2167" s="24" t="e">
        <f t="shared" si="705"/>
        <v>#DIV/0!</v>
      </c>
      <c r="Q2167" s="29" t="str">
        <f t="shared" si="707"/>
        <v>NA</v>
      </c>
      <c r="R2167" s="29" t="str">
        <f t="shared" si="708"/>
        <v>NA</v>
      </c>
      <c r="S2167" s="29" t="str">
        <f t="shared" si="709"/>
        <v>NA</v>
      </c>
      <c r="T2167" s="29" t="str">
        <f t="shared" si="710"/>
        <v>NA</v>
      </c>
      <c r="U2167" s="29" t="str">
        <f t="shared" si="711"/>
        <v>NA</v>
      </c>
      <c r="V2167" s="29" t="str">
        <f t="shared" si="712"/>
        <v>NA</v>
      </c>
      <c r="W2167" s="29" t="str">
        <f t="shared" si="713"/>
        <v>NA</v>
      </c>
      <c r="X2167" s="29" t="str">
        <f t="shared" si="714"/>
        <v>NA</v>
      </c>
      <c r="Y2167" s="29" t="str">
        <f t="shared" si="715"/>
        <v>NA</v>
      </c>
      <c r="Z2167" s="29" t="str">
        <f t="shared" si="716"/>
        <v>NA</v>
      </c>
      <c r="AA2167" s="29" t="str">
        <f t="shared" si="717"/>
        <v>NA</v>
      </c>
      <c r="AB2167" s="29" t="str">
        <f t="shared" si="718"/>
        <v>NA</v>
      </c>
      <c r="AC2167" s="29" t="str">
        <f t="shared" si="719"/>
        <v>NA</v>
      </c>
      <c r="AD2167" s="29" t="str">
        <f t="shared" si="720"/>
        <v>NA</v>
      </c>
      <c r="AE2167" s="29" t="str">
        <f t="shared" si="721"/>
        <v>NA</v>
      </c>
      <c r="AF2167" s="29" t="str">
        <f t="shared" si="722"/>
        <v>NA</v>
      </c>
      <c r="AG2167" s="29" t="str">
        <f t="shared" si="723"/>
        <v>NA</v>
      </c>
      <c r="AH2167" s="29" t="str">
        <f t="shared" si="724"/>
        <v>NA</v>
      </c>
    </row>
    <row r="2168" customHeight="1" spans="1:34">
      <c r="A2168" s="12" t="s">
        <v>1043</v>
      </c>
      <c r="F2168" s="24">
        <f t="shared" si="706"/>
        <v>0</v>
      </c>
      <c r="G2168" s="24" t="e">
        <f t="shared" si="705"/>
        <v>#DIV/0!</v>
      </c>
      <c r="Q2168" s="29" t="str">
        <f t="shared" si="707"/>
        <v>NA</v>
      </c>
      <c r="R2168" s="29" t="str">
        <f t="shared" si="708"/>
        <v>NA</v>
      </c>
      <c r="S2168" s="29" t="str">
        <f t="shared" si="709"/>
        <v>NA</v>
      </c>
      <c r="T2168" s="29" t="str">
        <f t="shared" si="710"/>
        <v>NA</v>
      </c>
      <c r="U2168" s="29" t="str">
        <f t="shared" si="711"/>
        <v>NA</v>
      </c>
      <c r="V2168" s="29" t="str">
        <f t="shared" si="712"/>
        <v>NA</v>
      </c>
      <c r="W2168" s="29" t="str">
        <f t="shared" si="713"/>
        <v>NA</v>
      </c>
      <c r="X2168" s="29" t="str">
        <f t="shared" si="714"/>
        <v>NA</v>
      </c>
      <c r="Y2168" s="29" t="str">
        <f t="shared" si="715"/>
        <v>NA</v>
      </c>
      <c r="Z2168" s="29" t="str">
        <f t="shared" si="716"/>
        <v>NA</v>
      </c>
      <c r="AA2168" s="29" t="str">
        <f t="shared" si="717"/>
        <v>NA</v>
      </c>
      <c r="AB2168" s="29" t="str">
        <f t="shared" si="718"/>
        <v>NA</v>
      </c>
      <c r="AC2168" s="29" t="str">
        <f t="shared" si="719"/>
        <v>NA</v>
      </c>
      <c r="AD2168" s="29" t="str">
        <f t="shared" si="720"/>
        <v>NA</v>
      </c>
      <c r="AE2168" s="29" t="str">
        <f t="shared" si="721"/>
        <v>NA</v>
      </c>
      <c r="AF2168" s="29" t="str">
        <f t="shared" si="722"/>
        <v>NA</v>
      </c>
      <c r="AG2168" s="29" t="str">
        <f t="shared" si="723"/>
        <v>NA</v>
      </c>
      <c r="AH2168" s="29" t="str">
        <f t="shared" si="724"/>
        <v>NA</v>
      </c>
    </row>
    <row r="2169" customHeight="1" spans="1:34">
      <c r="A2169" s="12" t="s">
        <v>1043</v>
      </c>
      <c r="F2169" s="24">
        <f t="shared" si="706"/>
        <v>0</v>
      </c>
      <c r="G2169" s="24" t="e">
        <f t="shared" si="705"/>
        <v>#DIV/0!</v>
      </c>
      <c r="Q2169" s="29" t="str">
        <f t="shared" si="707"/>
        <v>NA</v>
      </c>
      <c r="R2169" s="29" t="str">
        <f t="shared" si="708"/>
        <v>NA</v>
      </c>
      <c r="S2169" s="29" t="str">
        <f t="shared" si="709"/>
        <v>NA</v>
      </c>
      <c r="T2169" s="29" t="str">
        <f t="shared" si="710"/>
        <v>NA</v>
      </c>
      <c r="U2169" s="29" t="str">
        <f t="shared" si="711"/>
        <v>NA</v>
      </c>
      <c r="V2169" s="29" t="str">
        <f t="shared" si="712"/>
        <v>NA</v>
      </c>
      <c r="W2169" s="29" t="str">
        <f t="shared" si="713"/>
        <v>NA</v>
      </c>
      <c r="X2169" s="29" t="str">
        <f t="shared" si="714"/>
        <v>NA</v>
      </c>
      <c r="Y2169" s="29" t="str">
        <f t="shared" si="715"/>
        <v>NA</v>
      </c>
      <c r="Z2169" s="29" t="str">
        <f t="shared" si="716"/>
        <v>NA</v>
      </c>
      <c r="AA2169" s="29" t="str">
        <f t="shared" si="717"/>
        <v>NA</v>
      </c>
      <c r="AB2169" s="29" t="str">
        <f t="shared" si="718"/>
        <v>NA</v>
      </c>
      <c r="AC2169" s="29" t="str">
        <f t="shared" si="719"/>
        <v>NA</v>
      </c>
      <c r="AD2169" s="29" t="str">
        <f t="shared" si="720"/>
        <v>NA</v>
      </c>
      <c r="AE2169" s="29" t="str">
        <f t="shared" si="721"/>
        <v>NA</v>
      </c>
      <c r="AF2169" s="29" t="str">
        <f t="shared" si="722"/>
        <v>NA</v>
      </c>
      <c r="AG2169" s="29" t="str">
        <f t="shared" si="723"/>
        <v>NA</v>
      </c>
      <c r="AH2169" s="29" t="str">
        <f t="shared" si="724"/>
        <v>NA</v>
      </c>
    </row>
    <row r="2170" customHeight="1" spans="1:34">
      <c r="A2170" s="12" t="s">
        <v>1043</v>
      </c>
      <c r="F2170" s="24">
        <f t="shared" si="706"/>
        <v>0</v>
      </c>
      <c r="G2170" s="24" t="e">
        <f t="shared" si="705"/>
        <v>#DIV/0!</v>
      </c>
      <c r="Q2170" s="29" t="str">
        <f t="shared" si="707"/>
        <v>NA</v>
      </c>
      <c r="R2170" s="29" t="str">
        <f t="shared" si="708"/>
        <v>NA</v>
      </c>
      <c r="S2170" s="29" t="str">
        <f t="shared" si="709"/>
        <v>NA</v>
      </c>
      <c r="T2170" s="29" t="str">
        <f t="shared" si="710"/>
        <v>NA</v>
      </c>
      <c r="U2170" s="29" t="str">
        <f t="shared" si="711"/>
        <v>NA</v>
      </c>
      <c r="V2170" s="29" t="str">
        <f t="shared" si="712"/>
        <v>NA</v>
      </c>
      <c r="W2170" s="29" t="str">
        <f t="shared" si="713"/>
        <v>NA</v>
      </c>
      <c r="X2170" s="29" t="str">
        <f t="shared" si="714"/>
        <v>NA</v>
      </c>
      <c r="Y2170" s="29" t="str">
        <f t="shared" si="715"/>
        <v>NA</v>
      </c>
      <c r="Z2170" s="29" t="str">
        <f t="shared" si="716"/>
        <v>NA</v>
      </c>
      <c r="AA2170" s="29" t="str">
        <f t="shared" si="717"/>
        <v>NA</v>
      </c>
      <c r="AB2170" s="29" t="str">
        <f t="shared" si="718"/>
        <v>NA</v>
      </c>
      <c r="AC2170" s="29" t="str">
        <f t="shared" si="719"/>
        <v>NA</v>
      </c>
      <c r="AD2170" s="29" t="str">
        <f t="shared" si="720"/>
        <v>NA</v>
      </c>
      <c r="AE2170" s="29" t="str">
        <f t="shared" si="721"/>
        <v>NA</v>
      </c>
      <c r="AF2170" s="29" t="str">
        <f t="shared" si="722"/>
        <v>NA</v>
      </c>
      <c r="AG2170" s="29" t="str">
        <f t="shared" si="723"/>
        <v>NA</v>
      </c>
      <c r="AH2170" s="29" t="str">
        <f t="shared" si="724"/>
        <v>NA</v>
      </c>
    </row>
    <row r="2171" customHeight="1" spans="1:34">
      <c r="A2171" s="12" t="s">
        <v>1043</v>
      </c>
      <c r="F2171" s="24">
        <f t="shared" si="706"/>
        <v>0</v>
      </c>
      <c r="G2171" s="24" t="e">
        <f t="shared" si="705"/>
        <v>#DIV/0!</v>
      </c>
      <c r="Q2171" s="29" t="str">
        <f t="shared" si="707"/>
        <v>NA</v>
      </c>
      <c r="R2171" s="29" t="str">
        <f t="shared" si="708"/>
        <v>NA</v>
      </c>
      <c r="S2171" s="29" t="str">
        <f t="shared" si="709"/>
        <v>NA</v>
      </c>
      <c r="T2171" s="29" t="str">
        <f t="shared" si="710"/>
        <v>NA</v>
      </c>
      <c r="U2171" s="29" t="str">
        <f t="shared" si="711"/>
        <v>NA</v>
      </c>
      <c r="V2171" s="29" t="str">
        <f t="shared" si="712"/>
        <v>NA</v>
      </c>
      <c r="W2171" s="29" t="str">
        <f t="shared" si="713"/>
        <v>NA</v>
      </c>
      <c r="X2171" s="29" t="str">
        <f t="shared" si="714"/>
        <v>NA</v>
      </c>
      <c r="Y2171" s="29" t="str">
        <f t="shared" si="715"/>
        <v>NA</v>
      </c>
      <c r="Z2171" s="29" t="str">
        <f t="shared" si="716"/>
        <v>NA</v>
      </c>
      <c r="AA2171" s="29" t="str">
        <f t="shared" si="717"/>
        <v>NA</v>
      </c>
      <c r="AB2171" s="29" t="str">
        <f t="shared" si="718"/>
        <v>NA</v>
      </c>
      <c r="AC2171" s="29" t="str">
        <f t="shared" si="719"/>
        <v>NA</v>
      </c>
      <c r="AD2171" s="29" t="str">
        <f t="shared" si="720"/>
        <v>NA</v>
      </c>
      <c r="AE2171" s="29" t="str">
        <f t="shared" si="721"/>
        <v>NA</v>
      </c>
      <c r="AF2171" s="29" t="str">
        <f t="shared" si="722"/>
        <v>NA</v>
      </c>
      <c r="AG2171" s="29" t="str">
        <f t="shared" si="723"/>
        <v>NA</v>
      </c>
      <c r="AH2171" s="29" t="str">
        <f t="shared" si="724"/>
        <v>NA</v>
      </c>
    </row>
    <row r="2172" customHeight="1" spans="1:34">
      <c r="A2172" s="12" t="s">
        <v>1043</v>
      </c>
      <c r="F2172" s="24">
        <f t="shared" si="706"/>
        <v>0</v>
      </c>
      <c r="G2172" s="24" t="e">
        <f t="shared" si="705"/>
        <v>#DIV/0!</v>
      </c>
      <c r="Q2172" s="29" t="str">
        <f t="shared" si="707"/>
        <v>NA</v>
      </c>
      <c r="R2172" s="29" t="str">
        <f t="shared" si="708"/>
        <v>NA</v>
      </c>
      <c r="S2172" s="29" t="str">
        <f t="shared" si="709"/>
        <v>NA</v>
      </c>
      <c r="T2172" s="29" t="str">
        <f t="shared" si="710"/>
        <v>NA</v>
      </c>
      <c r="U2172" s="29" t="str">
        <f t="shared" si="711"/>
        <v>NA</v>
      </c>
      <c r="V2172" s="29" t="str">
        <f t="shared" si="712"/>
        <v>NA</v>
      </c>
      <c r="W2172" s="29" t="str">
        <f t="shared" si="713"/>
        <v>NA</v>
      </c>
      <c r="X2172" s="29" t="str">
        <f t="shared" si="714"/>
        <v>NA</v>
      </c>
      <c r="Y2172" s="29" t="str">
        <f t="shared" si="715"/>
        <v>NA</v>
      </c>
      <c r="Z2172" s="29" t="str">
        <f t="shared" si="716"/>
        <v>NA</v>
      </c>
      <c r="AA2172" s="29" t="str">
        <f t="shared" si="717"/>
        <v>NA</v>
      </c>
      <c r="AB2172" s="29" t="str">
        <f t="shared" si="718"/>
        <v>NA</v>
      </c>
      <c r="AC2172" s="29" t="str">
        <f t="shared" si="719"/>
        <v>NA</v>
      </c>
      <c r="AD2172" s="29" t="str">
        <f t="shared" si="720"/>
        <v>NA</v>
      </c>
      <c r="AE2172" s="29" t="str">
        <f t="shared" si="721"/>
        <v>NA</v>
      </c>
      <c r="AF2172" s="29" t="str">
        <f t="shared" si="722"/>
        <v>NA</v>
      </c>
      <c r="AG2172" s="29" t="str">
        <f t="shared" si="723"/>
        <v>NA</v>
      </c>
      <c r="AH2172" s="29" t="str">
        <f t="shared" si="724"/>
        <v>NA</v>
      </c>
    </row>
    <row r="2173" customHeight="1" spans="1:34">
      <c r="A2173" s="12" t="s">
        <v>1043</v>
      </c>
      <c r="F2173" s="24">
        <f t="shared" si="706"/>
        <v>0</v>
      </c>
      <c r="G2173" s="24" t="e">
        <f t="shared" si="705"/>
        <v>#DIV/0!</v>
      </c>
      <c r="Q2173" s="29" t="str">
        <f t="shared" si="707"/>
        <v>NA</v>
      </c>
      <c r="R2173" s="29" t="str">
        <f t="shared" si="708"/>
        <v>NA</v>
      </c>
      <c r="S2173" s="29" t="str">
        <f t="shared" si="709"/>
        <v>NA</v>
      </c>
      <c r="T2173" s="29" t="str">
        <f t="shared" si="710"/>
        <v>NA</v>
      </c>
      <c r="U2173" s="29" t="str">
        <f t="shared" si="711"/>
        <v>NA</v>
      </c>
      <c r="V2173" s="29" t="str">
        <f t="shared" si="712"/>
        <v>NA</v>
      </c>
      <c r="W2173" s="29" t="str">
        <f t="shared" si="713"/>
        <v>NA</v>
      </c>
      <c r="X2173" s="29" t="str">
        <f t="shared" si="714"/>
        <v>NA</v>
      </c>
      <c r="Y2173" s="29" t="str">
        <f t="shared" si="715"/>
        <v>NA</v>
      </c>
      <c r="Z2173" s="29" t="str">
        <f t="shared" si="716"/>
        <v>NA</v>
      </c>
      <c r="AA2173" s="29" t="str">
        <f t="shared" si="717"/>
        <v>NA</v>
      </c>
      <c r="AB2173" s="29" t="str">
        <f t="shared" si="718"/>
        <v>NA</v>
      </c>
      <c r="AC2173" s="29" t="str">
        <f t="shared" si="719"/>
        <v>NA</v>
      </c>
      <c r="AD2173" s="29" t="str">
        <f t="shared" si="720"/>
        <v>NA</v>
      </c>
      <c r="AE2173" s="29" t="str">
        <f t="shared" si="721"/>
        <v>NA</v>
      </c>
      <c r="AF2173" s="29" t="str">
        <f t="shared" si="722"/>
        <v>NA</v>
      </c>
      <c r="AG2173" s="29" t="str">
        <f t="shared" si="723"/>
        <v>NA</v>
      </c>
      <c r="AH2173" s="29" t="str">
        <f t="shared" si="724"/>
        <v>NA</v>
      </c>
    </row>
    <row r="2174" customHeight="1" spans="1:34">
      <c r="A2174" s="12" t="s">
        <v>1043</v>
      </c>
      <c r="F2174" s="24">
        <f t="shared" si="706"/>
        <v>0</v>
      </c>
      <c r="G2174" s="24" t="e">
        <f t="shared" si="705"/>
        <v>#DIV/0!</v>
      </c>
      <c r="Q2174" s="29" t="str">
        <f t="shared" si="707"/>
        <v>NA</v>
      </c>
      <c r="R2174" s="29" t="str">
        <f t="shared" si="708"/>
        <v>NA</v>
      </c>
      <c r="S2174" s="29" t="str">
        <f t="shared" si="709"/>
        <v>NA</v>
      </c>
      <c r="T2174" s="29" t="str">
        <f t="shared" si="710"/>
        <v>NA</v>
      </c>
      <c r="U2174" s="29" t="str">
        <f t="shared" si="711"/>
        <v>NA</v>
      </c>
      <c r="V2174" s="29" t="str">
        <f t="shared" si="712"/>
        <v>NA</v>
      </c>
      <c r="W2174" s="29" t="str">
        <f t="shared" si="713"/>
        <v>NA</v>
      </c>
      <c r="X2174" s="29" t="str">
        <f t="shared" si="714"/>
        <v>NA</v>
      </c>
      <c r="Y2174" s="29" t="str">
        <f t="shared" si="715"/>
        <v>NA</v>
      </c>
      <c r="Z2174" s="29" t="str">
        <f t="shared" si="716"/>
        <v>NA</v>
      </c>
      <c r="AA2174" s="29" t="str">
        <f t="shared" si="717"/>
        <v>NA</v>
      </c>
      <c r="AB2174" s="29" t="str">
        <f t="shared" si="718"/>
        <v>NA</v>
      </c>
      <c r="AC2174" s="29" t="str">
        <f t="shared" si="719"/>
        <v>NA</v>
      </c>
      <c r="AD2174" s="29" t="str">
        <f t="shared" si="720"/>
        <v>NA</v>
      </c>
      <c r="AE2174" s="29" t="str">
        <f t="shared" si="721"/>
        <v>NA</v>
      </c>
      <c r="AF2174" s="29" t="str">
        <f t="shared" si="722"/>
        <v>NA</v>
      </c>
      <c r="AG2174" s="29" t="str">
        <f t="shared" si="723"/>
        <v>NA</v>
      </c>
      <c r="AH2174" s="29" t="str">
        <f t="shared" si="724"/>
        <v>NA</v>
      </c>
    </row>
    <row r="2175" customHeight="1" spans="1:34">
      <c r="A2175" s="12" t="s">
        <v>1043</v>
      </c>
      <c r="F2175" s="24">
        <f t="shared" si="706"/>
        <v>0</v>
      </c>
      <c r="G2175" s="24" t="e">
        <f t="shared" si="705"/>
        <v>#DIV/0!</v>
      </c>
      <c r="Q2175" s="29" t="str">
        <f t="shared" si="707"/>
        <v>NA</v>
      </c>
      <c r="R2175" s="29" t="str">
        <f t="shared" si="708"/>
        <v>NA</v>
      </c>
      <c r="S2175" s="29" t="str">
        <f t="shared" si="709"/>
        <v>NA</v>
      </c>
      <c r="T2175" s="29" t="str">
        <f t="shared" si="710"/>
        <v>NA</v>
      </c>
      <c r="U2175" s="29" t="str">
        <f t="shared" si="711"/>
        <v>NA</v>
      </c>
      <c r="V2175" s="29" t="str">
        <f t="shared" si="712"/>
        <v>NA</v>
      </c>
      <c r="W2175" s="29" t="str">
        <f t="shared" si="713"/>
        <v>NA</v>
      </c>
      <c r="X2175" s="29" t="str">
        <f t="shared" si="714"/>
        <v>NA</v>
      </c>
      <c r="Y2175" s="29" t="str">
        <f t="shared" si="715"/>
        <v>NA</v>
      </c>
      <c r="Z2175" s="29" t="str">
        <f t="shared" si="716"/>
        <v>NA</v>
      </c>
      <c r="AA2175" s="29" t="str">
        <f t="shared" si="717"/>
        <v>NA</v>
      </c>
      <c r="AB2175" s="29" t="str">
        <f t="shared" si="718"/>
        <v>NA</v>
      </c>
      <c r="AC2175" s="29" t="str">
        <f t="shared" si="719"/>
        <v>NA</v>
      </c>
      <c r="AD2175" s="29" t="str">
        <f t="shared" si="720"/>
        <v>NA</v>
      </c>
      <c r="AE2175" s="29" t="str">
        <f t="shared" si="721"/>
        <v>NA</v>
      </c>
      <c r="AF2175" s="29" t="str">
        <f t="shared" si="722"/>
        <v>NA</v>
      </c>
      <c r="AG2175" s="29" t="str">
        <f t="shared" si="723"/>
        <v>NA</v>
      </c>
      <c r="AH2175" s="29" t="str">
        <f t="shared" si="724"/>
        <v>NA</v>
      </c>
    </row>
    <row r="2176" customHeight="1" spans="1:34">
      <c r="A2176" s="12" t="s">
        <v>1043</v>
      </c>
      <c r="F2176" s="24">
        <f t="shared" si="706"/>
        <v>0</v>
      </c>
      <c r="G2176" s="24" t="e">
        <f t="shared" si="705"/>
        <v>#DIV/0!</v>
      </c>
      <c r="Q2176" s="29" t="str">
        <f t="shared" si="707"/>
        <v>NA</v>
      </c>
      <c r="R2176" s="29" t="str">
        <f t="shared" si="708"/>
        <v>NA</v>
      </c>
      <c r="S2176" s="29" t="str">
        <f t="shared" si="709"/>
        <v>NA</v>
      </c>
      <c r="T2176" s="29" t="str">
        <f t="shared" si="710"/>
        <v>NA</v>
      </c>
      <c r="U2176" s="29" t="str">
        <f t="shared" si="711"/>
        <v>NA</v>
      </c>
      <c r="V2176" s="29" t="str">
        <f t="shared" si="712"/>
        <v>NA</v>
      </c>
      <c r="W2176" s="29" t="str">
        <f t="shared" si="713"/>
        <v>NA</v>
      </c>
      <c r="X2176" s="29" t="str">
        <f t="shared" si="714"/>
        <v>NA</v>
      </c>
      <c r="Y2176" s="29" t="str">
        <f t="shared" si="715"/>
        <v>NA</v>
      </c>
      <c r="Z2176" s="29" t="str">
        <f t="shared" si="716"/>
        <v>NA</v>
      </c>
      <c r="AA2176" s="29" t="str">
        <f t="shared" si="717"/>
        <v>NA</v>
      </c>
      <c r="AB2176" s="29" t="str">
        <f t="shared" si="718"/>
        <v>NA</v>
      </c>
      <c r="AC2176" s="29" t="str">
        <f t="shared" si="719"/>
        <v>NA</v>
      </c>
      <c r="AD2176" s="29" t="str">
        <f t="shared" si="720"/>
        <v>NA</v>
      </c>
      <c r="AE2176" s="29" t="str">
        <f t="shared" si="721"/>
        <v>NA</v>
      </c>
      <c r="AF2176" s="29" t="str">
        <f t="shared" si="722"/>
        <v>NA</v>
      </c>
      <c r="AG2176" s="29" t="str">
        <f t="shared" si="723"/>
        <v>NA</v>
      </c>
      <c r="AH2176" s="29" t="str">
        <f t="shared" si="724"/>
        <v>NA</v>
      </c>
    </row>
    <row r="2177" customHeight="1" spans="1:34">
      <c r="A2177" s="12" t="s">
        <v>1043</v>
      </c>
      <c r="F2177" s="24">
        <f t="shared" si="706"/>
        <v>0</v>
      </c>
      <c r="G2177" s="24" t="e">
        <f t="shared" si="705"/>
        <v>#DIV/0!</v>
      </c>
      <c r="Q2177" s="29" t="str">
        <f t="shared" si="707"/>
        <v>NA</v>
      </c>
      <c r="R2177" s="29" t="str">
        <f t="shared" si="708"/>
        <v>NA</v>
      </c>
      <c r="S2177" s="29" t="str">
        <f t="shared" si="709"/>
        <v>NA</v>
      </c>
      <c r="T2177" s="29" t="str">
        <f t="shared" si="710"/>
        <v>NA</v>
      </c>
      <c r="U2177" s="29" t="str">
        <f t="shared" si="711"/>
        <v>NA</v>
      </c>
      <c r="V2177" s="29" t="str">
        <f t="shared" si="712"/>
        <v>NA</v>
      </c>
      <c r="W2177" s="29" t="str">
        <f t="shared" si="713"/>
        <v>NA</v>
      </c>
      <c r="X2177" s="29" t="str">
        <f t="shared" si="714"/>
        <v>NA</v>
      </c>
      <c r="Y2177" s="29" t="str">
        <f t="shared" si="715"/>
        <v>NA</v>
      </c>
      <c r="Z2177" s="29" t="str">
        <f t="shared" si="716"/>
        <v>NA</v>
      </c>
      <c r="AA2177" s="29" t="str">
        <f t="shared" si="717"/>
        <v>NA</v>
      </c>
      <c r="AB2177" s="29" t="str">
        <f t="shared" si="718"/>
        <v>NA</v>
      </c>
      <c r="AC2177" s="29" t="str">
        <f t="shared" si="719"/>
        <v>NA</v>
      </c>
      <c r="AD2177" s="29" t="str">
        <f t="shared" si="720"/>
        <v>NA</v>
      </c>
      <c r="AE2177" s="29" t="str">
        <f t="shared" si="721"/>
        <v>NA</v>
      </c>
      <c r="AF2177" s="29" t="str">
        <f t="shared" si="722"/>
        <v>NA</v>
      </c>
      <c r="AG2177" s="29" t="str">
        <f t="shared" si="723"/>
        <v>NA</v>
      </c>
      <c r="AH2177" s="29" t="str">
        <f t="shared" si="724"/>
        <v>NA</v>
      </c>
    </row>
    <row r="2178" customHeight="1" spans="1:34">
      <c r="A2178" s="12" t="s">
        <v>1043</v>
      </c>
      <c r="F2178" s="24">
        <f t="shared" si="706"/>
        <v>0</v>
      </c>
      <c r="G2178" s="24" t="e">
        <f t="shared" si="705"/>
        <v>#DIV/0!</v>
      </c>
      <c r="Q2178" s="29" t="str">
        <f t="shared" si="707"/>
        <v>NA</v>
      </c>
      <c r="R2178" s="29" t="str">
        <f t="shared" si="708"/>
        <v>NA</v>
      </c>
      <c r="S2178" s="29" t="str">
        <f t="shared" si="709"/>
        <v>NA</v>
      </c>
      <c r="T2178" s="29" t="str">
        <f t="shared" si="710"/>
        <v>NA</v>
      </c>
      <c r="U2178" s="29" t="str">
        <f t="shared" si="711"/>
        <v>NA</v>
      </c>
      <c r="V2178" s="29" t="str">
        <f t="shared" si="712"/>
        <v>NA</v>
      </c>
      <c r="W2178" s="29" t="str">
        <f t="shared" si="713"/>
        <v>NA</v>
      </c>
      <c r="X2178" s="29" t="str">
        <f t="shared" si="714"/>
        <v>NA</v>
      </c>
      <c r="Y2178" s="29" t="str">
        <f t="shared" si="715"/>
        <v>NA</v>
      </c>
      <c r="Z2178" s="29" t="str">
        <f t="shared" si="716"/>
        <v>NA</v>
      </c>
      <c r="AA2178" s="29" t="str">
        <f t="shared" si="717"/>
        <v>NA</v>
      </c>
      <c r="AB2178" s="29" t="str">
        <f t="shared" si="718"/>
        <v>NA</v>
      </c>
      <c r="AC2178" s="29" t="str">
        <f t="shared" si="719"/>
        <v>NA</v>
      </c>
      <c r="AD2178" s="29" t="str">
        <f t="shared" si="720"/>
        <v>NA</v>
      </c>
      <c r="AE2178" s="29" t="str">
        <f t="shared" si="721"/>
        <v>NA</v>
      </c>
      <c r="AF2178" s="29" t="str">
        <f t="shared" si="722"/>
        <v>NA</v>
      </c>
      <c r="AG2178" s="29" t="str">
        <f t="shared" si="723"/>
        <v>NA</v>
      </c>
      <c r="AH2178" s="29" t="str">
        <f t="shared" si="724"/>
        <v>NA</v>
      </c>
    </row>
    <row r="2179" customHeight="1" spans="1:34">
      <c r="A2179" s="12" t="s">
        <v>1043</v>
      </c>
      <c r="F2179" s="24">
        <f t="shared" si="706"/>
        <v>0</v>
      </c>
      <c r="G2179" s="24" t="e">
        <f t="shared" si="705"/>
        <v>#DIV/0!</v>
      </c>
      <c r="Q2179" s="29" t="str">
        <f t="shared" si="707"/>
        <v>NA</v>
      </c>
      <c r="R2179" s="29" t="str">
        <f t="shared" si="708"/>
        <v>NA</v>
      </c>
      <c r="S2179" s="29" t="str">
        <f t="shared" si="709"/>
        <v>NA</v>
      </c>
      <c r="T2179" s="29" t="str">
        <f t="shared" si="710"/>
        <v>NA</v>
      </c>
      <c r="U2179" s="29" t="str">
        <f t="shared" si="711"/>
        <v>NA</v>
      </c>
      <c r="V2179" s="29" t="str">
        <f t="shared" si="712"/>
        <v>NA</v>
      </c>
      <c r="W2179" s="29" t="str">
        <f t="shared" si="713"/>
        <v>NA</v>
      </c>
      <c r="X2179" s="29" t="str">
        <f t="shared" si="714"/>
        <v>NA</v>
      </c>
      <c r="Y2179" s="29" t="str">
        <f t="shared" si="715"/>
        <v>NA</v>
      </c>
      <c r="Z2179" s="29" t="str">
        <f t="shared" si="716"/>
        <v>NA</v>
      </c>
      <c r="AA2179" s="29" t="str">
        <f t="shared" si="717"/>
        <v>NA</v>
      </c>
      <c r="AB2179" s="29" t="str">
        <f t="shared" si="718"/>
        <v>NA</v>
      </c>
      <c r="AC2179" s="29" t="str">
        <f t="shared" si="719"/>
        <v>NA</v>
      </c>
      <c r="AD2179" s="29" t="str">
        <f t="shared" si="720"/>
        <v>NA</v>
      </c>
      <c r="AE2179" s="29" t="str">
        <f t="shared" si="721"/>
        <v>NA</v>
      </c>
      <c r="AF2179" s="29" t="str">
        <f t="shared" si="722"/>
        <v>NA</v>
      </c>
      <c r="AG2179" s="29" t="str">
        <f t="shared" si="723"/>
        <v>NA</v>
      </c>
      <c r="AH2179" s="29" t="str">
        <f t="shared" si="724"/>
        <v>NA</v>
      </c>
    </row>
    <row r="2180" customHeight="1" spans="1:34">
      <c r="A2180" s="12" t="s">
        <v>1043</v>
      </c>
      <c r="F2180" s="24">
        <f t="shared" si="706"/>
        <v>0</v>
      </c>
      <c r="G2180" s="24" t="e">
        <f t="shared" si="705"/>
        <v>#DIV/0!</v>
      </c>
      <c r="Q2180" s="29" t="str">
        <f t="shared" si="707"/>
        <v>NA</v>
      </c>
      <c r="R2180" s="29" t="str">
        <f t="shared" si="708"/>
        <v>NA</v>
      </c>
      <c r="S2180" s="29" t="str">
        <f t="shared" si="709"/>
        <v>NA</v>
      </c>
      <c r="T2180" s="29" t="str">
        <f t="shared" si="710"/>
        <v>NA</v>
      </c>
      <c r="U2180" s="29" t="str">
        <f t="shared" si="711"/>
        <v>NA</v>
      </c>
      <c r="V2180" s="29" t="str">
        <f t="shared" si="712"/>
        <v>NA</v>
      </c>
      <c r="W2180" s="29" t="str">
        <f t="shared" si="713"/>
        <v>NA</v>
      </c>
      <c r="X2180" s="29" t="str">
        <f t="shared" si="714"/>
        <v>NA</v>
      </c>
      <c r="Y2180" s="29" t="str">
        <f t="shared" si="715"/>
        <v>NA</v>
      </c>
      <c r="Z2180" s="29" t="str">
        <f t="shared" si="716"/>
        <v>NA</v>
      </c>
      <c r="AA2180" s="29" t="str">
        <f t="shared" si="717"/>
        <v>NA</v>
      </c>
      <c r="AB2180" s="29" t="str">
        <f t="shared" si="718"/>
        <v>NA</v>
      </c>
      <c r="AC2180" s="29" t="str">
        <f t="shared" si="719"/>
        <v>NA</v>
      </c>
      <c r="AD2180" s="29" t="str">
        <f t="shared" si="720"/>
        <v>NA</v>
      </c>
      <c r="AE2180" s="29" t="str">
        <f t="shared" si="721"/>
        <v>NA</v>
      </c>
      <c r="AF2180" s="29" t="str">
        <f t="shared" si="722"/>
        <v>NA</v>
      </c>
      <c r="AG2180" s="29" t="str">
        <f t="shared" si="723"/>
        <v>NA</v>
      </c>
      <c r="AH2180" s="29" t="str">
        <f t="shared" si="724"/>
        <v>NA</v>
      </c>
    </row>
    <row r="2181" customHeight="1" spans="1:34">
      <c r="A2181" s="12" t="s">
        <v>1043</v>
      </c>
      <c r="F2181" s="24">
        <f t="shared" si="706"/>
        <v>0</v>
      </c>
      <c r="G2181" s="24" t="e">
        <f t="shared" ref="G2181:G2244" si="725">B2181*D2181/C2181</f>
        <v>#DIV/0!</v>
      </c>
      <c r="Q2181" s="29" t="str">
        <f t="shared" si="707"/>
        <v>NA</v>
      </c>
      <c r="R2181" s="29" t="str">
        <f t="shared" si="708"/>
        <v>NA</v>
      </c>
      <c r="S2181" s="29" t="str">
        <f t="shared" si="709"/>
        <v>NA</v>
      </c>
      <c r="T2181" s="29" t="str">
        <f t="shared" si="710"/>
        <v>NA</v>
      </c>
      <c r="U2181" s="29" t="str">
        <f t="shared" si="711"/>
        <v>NA</v>
      </c>
      <c r="V2181" s="29" t="str">
        <f t="shared" si="712"/>
        <v>NA</v>
      </c>
      <c r="W2181" s="29" t="str">
        <f t="shared" si="713"/>
        <v>NA</v>
      </c>
      <c r="X2181" s="29" t="str">
        <f t="shared" si="714"/>
        <v>NA</v>
      </c>
      <c r="Y2181" s="29" t="str">
        <f t="shared" si="715"/>
        <v>NA</v>
      </c>
      <c r="Z2181" s="29" t="str">
        <f t="shared" si="716"/>
        <v>NA</v>
      </c>
      <c r="AA2181" s="29" t="str">
        <f t="shared" si="717"/>
        <v>NA</v>
      </c>
      <c r="AB2181" s="29" t="str">
        <f t="shared" si="718"/>
        <v>NA</v>
      </c>
      <c r="AC2181" s="29" t="str">
        <f t="shared" si="719"/>
        <v>NA</v>
      </c>
      <c r="AD2181" s="29" t="str">
        <f t="shared" si="720"/>
        <v>NA</v>
      </c>
      <c r="AE2181" s="29" t="str">
        <f t="shared" si="721"/>
        <v>NA</v>
      </c>
      <c r="AF2181" s="29" t="str">
        <f t="shared" si="722"/>
        <v>NA</v>
      </c>
      <c r="AG2181" s="29" t="str">
        <f t="shared" si="723"/>
        <v>NA</v>
      </c>
      <c r="AH2181" s="29" t="str">
        <f t="shared" si="724"/>
        <v>NA</v>
      </c>
    </row>
    <row r="2182" customHeight="1" spans="1:34">
      <c r="A2182" s="12" t="s">
        <v>1043</v>
      </c>
      <c r="F2182" s="24">
        <f t="shared" ref="F2182:F2245" si="726">+D2182+E2182</f>
        <v>0</v>
      </c>
      <c r="G2182" s="24" t="e">
        <f t="shared" si="725"/>
        <v>#DIV/0!</v>
      </c>
      <c r="Q2182" s="29" t="str">
        <f t="shared" si="707"/>
        <v>NA</v>
      </c>
      <c r="R2182" s="29" t="str">
        <f t="shared" si="708"/>
        <v>NA</v>
      </c>
      <c r="S2182" s="29" t="str">
        <f t="shared" si="709"/>
        <v>NA</v>
      </c>
      <c r="T2182" s="29" t="str">
        <f t="shared" si="710"/>
        <v>NA</v>
      </c>
      <c r="U2182" s="29" t="str">
        <f t="shared" si="711"/>
        <v>NA</v>
      </c>
      <c r="V2182" s="29" t="str">
        <f t="shared" si="712"/>
        <v>NA</v>
      </c>
      <c r="W2182" s="29" t="str">
        <f t="shared" si="713"/>
        <v>NA</v>
      </c>
      <c r="X2182" s="29" t="str">
        <f t="shared" si="714"/>
        <v>NA</v>
      </c>
      <c r="Y2182" s="29" t="str">
        <f t="shared" si="715"/>
        <v>NA</v>
      </c>
      <c r="Z2182" s="29" t="str">
        <f t="shared" si="716"/>
        <v>NA</v>
      </c>
      <c r="AA2182" s="29" t="str">
        <f t="shared" si="717"/>
        <v>NA</v>
      </c>
      <c r="AB2182" s="29" t="str">
        <f t="shared" si="718"/>
        <v>NA</v>
      </c>
      <c r="AC2182" s="29" t="str">
        <f t="shared" si="719"/>
        <v>NA</v>
      </c>
      <c r="AD2182" s="29" t="str">
        <f t="shared" si="720"/>
        <v>NA</v>
      </c>
      <c r="AE2182" s="29" t="str">
        <f t="shared" si="721"/>
        <v>NA</v>
      </c>
      <c r="AF2182" s="29" t="str">
        <f t="shared" si="722"/>
        <v>NA</v>
      </c>
      <c r="AG2182" s="29" t="str">
        <f t="shared" si="723"/>
        <v>NA</v>
      </c>
      <c r="AH2182" s="29" t="str">
        <f t="shared" si="724"/>
        <v>NA</v>
      </c>
    </row>
    <row r="2183" customHeight="1" spans="1:34">
      <c r="A2183" s="12" t="s">
        <v>1043</v>
      </c>
      <c r="F2183" s="24">
        <f t="shared" si="726"/>
        <v>0</v>
      </c>
      <c r="G2183" s="24" t="e">
        <f t="shared" si="725"/>
        <v>#DIV/0!</v>
      </c>
      <c r="Q2183" s="29" t="str">
        <f t="shared" si="707"/>
        <v>NA</v>
      </c>
      <c r="R2183" s="29" t="str">
        <f t="shared" si="708"/>
        <v>NA</v>
      </c>
      <c r="S2183" s="29" t="str">
        <f t="shared" si="709"/>
        <v>NA</v>
      </c>
      <c r="T2183" s="29" t="str">
        <f t="shared" si="710"/>
        <v>NA</v>
      </c>
      <c r="U2183" s="29" t="str">
        <f t="shared" si="711"/>
        <v>NA</v>
      </c>
      <c r="V2183" s="29" t="str">
        <f t="shared" si="712"/>
        <v>NA</v>
      </c>
      <c r="W2183" s="29" t="str">
        <f t="shared" si="713"/>
        <v>NA</v>
      </c>
      <c r="X2183" s="29" t="str">
        <f t="shared" si="714"/>
        <v>NA</v>
      </c>
      <c r="Y2183" s="29" t="str">
        <f t="shared" si="715"/>
        <v>NA</v>
      </c>
      <c r="Z2183" s="29" t="str">
        <f t="shared" si="716"/>
        <v>NA</v>
      </c>
      <c r="AA2183" s="29" t="str">
        <f t="shared" si="717"/>
        <v>NA</v>
      </c>
      <c r="AB2183" s="29" t="str">
        <f t="shared" si="718"/>
        <v>NA</v>
      </c>
      <c r="AC2183" s="29" t="str">
        <f t="shared" si="719"/>
        <v>NA</v>
      </c>
      <c r="AD2183" s="29" t="str">
        <f t="shared" si="720"/>
        <v>NA</v>
      </c>
      <c r="AE2183" s="29" t="str">
        <f t="shared" si="721"/>
        <v>NA</v>
      </c>
      <c r="AF2183" s="29" t="str">
        <f t="shared" si="722"/>
        <v>NA</v>
      </c>
      <c r="AG2183" s="29" t="str">
        <f t="shared" si="723"/>
        <v>NA</v>
      </c>
      <c r="AH2183" s="29" t="str">
        <f t="shared" si="724"/>
        <v>NA</v>
      </c>
    </row>
    <row r="2184" customHeight="1" spans="1:34">
      <c r="A2184" s="12" t="s">
        <v>1043</v>
      </c>
      <c r="F2184" s="24">
        <f t="shared" si="726"/>
        <v>0</v>
      </c>
      <c r="G2184" s="24" t="e">
        <f t="shared" si="725"/>
        <v>#DIV/0!</v>
      </c>
      <c r="Q2184" s="29" t="str">
        <f t="shared" si="707"/>
        <v>NA</v>
      </c>
      <c r="R2184" s="29" t="str">
        <f t="shared" si="708"/>
        <v>NA</v>
      </c>
      <c r="S2184" s="29" t="str">
        <f t="shared" si="709"/>
        <v>NA</v>
      </c>
      <c r="T2184" s="29" t="str">
        <f t="shared" si="710"/>
        <v>NA</v>
      </c>
      <c r="U2184" s="29" t="str">
        <f t="shared" si="711"/>
        <v>NA</v>
      </c>
      <c r="V2184" s="29" t="str">
        <f t="shared" si="712"/>
        <v>NA</v>
      </c>
      <c r="W2184" s="29" t="str">
        <f t="shared" si="713"/>
        <v>NA</v>
      </c>
      <c r="X2184" s="29" t="str">
        <f t="shared" si="714"/>
        <v>NA</v>
      </c>
      <c r="Y2184" s="29" t="str">
        <f t="shared" si="715"/>
        <v>NA</v>
      </c>
      <c r="Z2184" s="29" t="str">
        <f t="shared" si="716"/>
        <v>NA</v>
      </c>
      <c r="AA2184" s="29" t="str">
        <f t="shared" si="717"/>
        <v>NA</v>
      </c>
      <c r="AB2184" s="29" t="str">
        <f t="shared" si="718"/>
        <v>NA</v>
      </c>
      <c r="AC2184" s="29" t="str">
        <f t="shared" si="719"/>
        <v>NA</v>
      </c>
      <c r="AD2184" s="29" t="str">
        <f t="shared" si="720"/>
        <v>NA</v>
      </c>
      <c r="AE2184" s="29" t="str">
        <f t="shared" si="721"/>
        <v>NA</v>
      </c>
      <c r="AF2184" s="29" t="str">
        <f t="shared" si="722"/>
        <v>NA</v>
      </c>
      <c r="AG2184" s="29" t="str">
        <f t="shared" si="723"/>
        <v>NA</v>
      </c>
      <c r="AH2184" s="29" t="str">
        <f t="shared" si="724"/>
        <v>NA</v>
      </c>
    </row>
    <row r="2185" customHeight="1" spans="1:34">
      <c r="A2185" s="12" t="s">
        <v>1043</v>
      </c>
      <c r="F2185" s="24">
        <f t="shared" si="726"/>
        <v>0</v>
      </c>
      <c r="G2185" s="24" t="e">
        <f t="shared" si="725"/>
        <v>#DIV/0!</v>
      </c>
      <c r="Q2185" s="29" t="str">
        <f t="shared" si="707"/>
        <v>NA</v>
      </c>
      <c r="R2185" s="29" t="str">
        <f t="shared" si="708"/>
        <v>NA</v>
      </c>
      <c r="S2185" s="29" t="str">
        <f t="shared" si="709"/>
        <v>NA</v>
      </c>
      <c r="T2185" s="29" t="str">
        <f t="shared" si="710"/>
        <v>NA</v>
      </c>
      <c r="U2185" s="29" t="str">
        <f t="shared" si="711"/>
        <v>NA</v>
      </c>
      <c r="V2185" s="29" t="str">
        <f t="shared" si="712"/>
        <v>NA</v>
      </c>
      <c r="W2185" s="29" t="str">
        <f t="shared" si="713"/>
        <v>NA</v>
      </c>
      <c r="X2185" s="29" t="str">
        <f t="shared" si="714"/>
        <v>NA</v>
      </c>
      <c r="Y2185" s="29" t="str">
        <f t="shared" si="715"/>
        <v>NA</v>
      </c>
      <c r="Z2185" s="29" t="str">
        <f t="shared" si="716"/>
        <v>NA</v>
      </c>
      <c r="AA2185" s="29" t="str">
        <f t="shared" si="717"/>
        <v>NA</v>
      </c>
      <c r="AB2185" s="29" t="str">
        <f t="shared" si="718"/>
        <v>NA</v>
      </c>
      <c r="AC2185" s="29" t="str">
        <f t="shared" si="719"/>
        <v>NA</v>
      </c>
      <c r="AD2185" s="29" t="str">
        <f t="shared" si="720"/>
        <v>NA</v>
      </c>
      <c r="AE2185" s="29" t="str">
        <f t="shared" si="721"/>
        <v>NA</v>
      </c>
      <c r="AF2185" s="29" t="str">
        <f t="shared" si="722"/>
        <v>NA</v>
      </c>
      <c r="AG2185" s="29" t="str">
        <f t="shared" si="723"/>
        <v>NA</v>
      </c>
      <c r="AH2185" s="29" t="str">
        <f t="shared" si="724"/>
        <v>NA</v>
      </c>
    </row>
    <row r="2186" customHeight="1" spans="1:34">
      <c r="A2186" s="12" t="s">
        <v>1043</v>
      </c>
      <c r="F2186" s="24">
        <f t="shared" si="726"/>
        <v>0</v>
      </c>
      <c r="G2186" s="24" t="e">
        <f t="shared" si="725"/>
        <v>#DIV/0!</v>
      </c>
      <c r="Q2186" s="29" t="str">
        <f t="shared" si="707"/>
        <v>NA</v>
      </c>
      <c r="R2186" s="29" t="str">
        <f t="shared" si="708"/>
        <v>NA</v>
      </c>
      <c r="S2186" s="29" t="str">
        <f t="shared" si="709"/>
        <v>NA</v>
      </c>
      <c r="T2186" s="29" t="str">
        <f t="shared" si="710"/>
        <v>NA</v>
      </c>
      <c r="U2186" s="29" t="str">
        <f t="shared" si="711"/>
        <v>NA</v>
      </c>
      <c r="V2186" s="29" t="str">
        <f t="shared" si="712"/>
        <v>NA</v>
      </c>
      <c r="W2186" s="29" t="str">
        <f t="shared" si="713"/>
        <v>NA</v>
      </c>
      <c r="X2186" s="29" t="str">
        <f t="shared" si="714"/>
        <v>NA</v>
      </c>
      <c r="Y2186" s="29" t="str">
        <f t="shared" si="715"/>
        <v>NA</v>
      </c>
      <c r="Z2186" s="29" t="str">
        <f t="shared" si="716"/>
        <v>NA</v>
      </c>
      <c r="AA2186" s="29" t="str">
        <f t="shared" si="717"/>
        <v>NA</v>
      </c>
      <c r="AB2186" s="29" t="str">
        <f t="shared" si="718"/>
        <v>NA</v>
      </c>
      <c r="AC2186" s="29" t="str">
        <f t="shared" si="719"/>
        <v>NA</v>
      </c>
      <c r="AD2186" s="29" t="str">
        <f t="shared" si="720"/>
        <v>NA</v>
      </c>
      <c r="AE2186" s="29" t="str">
        <f t="shared" si="721"/>
        <v>NA</v>
      </c>
      <c r="AF2186" s="29" t="str">
        <f t="shared" si="722"/>
        <v>NA</v>
      </c>
      <c r="AG2186" s="29" t="str">
        <f t="shared" si="723"/>
        <v>NA</v>
      </c>
      <c r="AH2186" s="29" t="str">
        <f t="shared" si="724"/>
        <v>NA</v>
      </c>
    </row>
    <row r="2187" customHeight="1" spans="1:34">
      <c r="A2187" s="12" t="s">
        <v>1043</v>
      </c>
      <c r="F2187" s="24">
        <f t="shared" si="726"/>
        <v>0</v>
      </c>
      <c r="G2187" s="24" t="e">
        <f t="shared" si="725"/>
        <v>#DIV/0!</v>
      </c>
      <c r="Q2187" s="29" t="str">
        <f t="shared" si="707"/>
        <v>NA</v>
      </c>
      <c r="R2187" s="29" t="str">
        <f t="shared" si="708"/>
        <v>NA</v>
      </c>
      <c r="S2187" s="29" t="str">
        <f t="shared" si="709"/>
        <v>NA</v>
      </c>
      <c r="T2187" s="29" t="str">
        <f t="shared" si="710"/>
        <v>NA</v>
      </c>
      <c r="U2187" s="29" t="str">
        <f t="shared" si="711"/>
        <v>NA</v>
      </c>
      <c r="V2187" s="29" t="str">
        <f t="shared" si="712"/>
        <v>NA</v>
      </c>
      <c r="W2187" s="29" t="str">
        <f t="shared" si="713"/>
        <v>NA</v>
      </c>
      <c r="X2187" s="29" t="str">
        <f t="shared" si="714"/>
        <v>NA</v>
      </c>
      <c r="Y2187" s="29" t="str">
        <f t="shared" si="715"/>
        <v>NA</v>
      </c>
      <c r="Z2187" s="29" t="str">
        <f t="shared" si="716"/>
        <v>NA</v>
      </c>
      <c r="AA2187" s="29" t="str">
        <f t="shared" si="717"/>
        <v>NA</v>
      </c>
      <c r="AB2187" s="29" t="str">
        <f t="shared" si="718"/>
        <v>NA</v>
      </c>
      <c r="AC2187" s="29" t="str">
        <f t="shared" si="719"/>
        <v>NA</v>
      </c>
      <c r="AD2187" s="29" t="str">
        <f t="shared" si="720"/>
        <v>NA</v>
      </c>
      <c r="AE2187" s="29" t="str">
        <f t="shared" si="721"/>
        <v>NA</v>
      </c>
      <c r="AF2187" s="29" t="str">
        <f t="shared" si="722"/>
        <v>NA</v>
      </c>
      <c r="AG2187" s="29" t="str">
        <f t="shared" si="723"/>
        <v>NA</v>
      </c>
      <c r="AH2187" s="29" t="str">
        <f t="shared" si="724"/>
        <v>NA</v>
      </c>
    </row>
    <row r="2188" customHeight="1" spans="1:34">
      <c r="A2188" s="12" t="s">
        <v>1043</v>
      </c>
      <c r="F2188" s="24">
        <f t="shared" si="726"/>
        <v>0</v>
      </c>
      <c r="G2188" s="24" t="e">
        <f t="shared" si="725"/>
        <v>#DIV/0!</v>
      </c>
      <c r="Q2188" s="29" t="str">
        <f t="shared" si="707"/>
        <v>NA</v>
      </c>
      <c r="R2188" s="29" t="str">
        <f t="shared" si="708"/>
        <v>NA</v>
      </c>
      <c r="S2188" s="29" t="str">
        <f t="shared" si="709"/>
        <v>NA</v>
      </c>
      <c r="T2188" s="29" t="str">
        <f t="shared" si="710"/>
        <v>NA</v>
      </c>
      <c r="U2188" s="29" t="str">
        <f t="shared" si="711"/>
        <v>NA</v>
      </c>
      <c r="V2188" s="29" t="str">
        <f t="shared" si="712"/>
        <v>NA</v>
      </c>
      <c r="W2188" s="29" t="str">
        <f t="shared" si="713"/>
        <v>NA</v>
      </c>
      <c r="X2188" s="29" t="str">
        <f t="shared" si="714"/>
        <v>NA</v>
      </c>
      <c r="Y2188" s="29" t="str">
        <f t="shared" si="715"/>
        <v>NA</v>
      </c>
      <c r="Z2188" s="29" t="str">
        <f t="shared" si="716"/>
        <v>NA</v>
      </c>
      <c r="AA2188" s="29" t="str">
        <f t="shared" si="717"/>
        <v>NA</v>
      </c>
      <c r="AB2188" s="29" t="str">
        <f t="shared" si="718"/>
        <v>NA</v>
      </c>
      <c r="AC2188" s="29" t="str">
        <f t="shared" si="719"/>
        <v>NA</v>
      </c>
      <c r="AD2188" s="29" t="str">
        <f t="shared" si="720"/>
        <v>NA</v>
      </c>
      <c r="AE2188" s="29" t="str">
        <f t="shared" si="721"/>
        <v>NA</v>
      </c>
      <c r="AF2188" s="29" t="str">
        <f t="shared" si="722"/>
        <v>NA</v>
      </c>
      <c r="AG2188" s="29" t="str">
        <f t="shared" si="723"/>
        <v>NA</v>
      </c>
      <c r="AH2188" s="29" t="str">
        <f t="shared" si="724"/>
        <v>NA</v>
      </c>
    </row>
    <row r="2189" customHeight="1" spans="1:34">
      <c r="A2189" s="12" t="s">
        <v>1043</v>
      </c>
      <c r="F2189" s="24">
        <f t="shared" si="726"/>
        <v>0</v>
      </c>
      <c r="G2189" s="24" t="e">
        <f t="shared" si="725"/>
        <v>#DIV/0!</v>
      </c>
      <c r="Q2189" s="29" t="str">
        <f t="shared" si="707"/>
        <v>NA</v>
      </c>
      <c r="R2189" s="29" t="str">
        <f t="shared" si="708"/>
        <v>NA</v>
      </c>
      <c r="S2189" s="29" t="str">
        <f t="shared" si="709"/>
        <v>NA</v>
      </c>
      <c r="T2189" s="29" t="str">
        <f t="shared" si="710"/>
        <v>NA</v>
      </c>
      <c r="U2189" s="29" t="str">
        <f t="shared" si="711"/>
        <v>NA</v>
      </c>
      <c r="V2189" s="29" t="str">
        <f t="shared" si="712"/>
        <v>NA</v>
      </c>
      <c r="W2189" s="29" t="str">
        <f t="shared" si="713"/>
        <v>NA</v>
      </c>
      <c r="X2189" s="29" t="str">
        <f t="shared" si="714"/>
        <v>NA</v>
      </c>
      <c r="Y2189" s="29" t="str">
        <f t="shared" si="715"/>
        <v>NA</v>
      </c>
      <c r="Z2189" s="29" t="str">
        <f t="shared" si="716"/>
        <v>NA</v>
      </c>
      <c r="AA2189" s="29" t="str">
        <f t="shared" si="717"/>
        <v>NA</v>
      </c>
      <c r="AB2189" s="29" t="str">
        <f t="shared" si="718"/>
        <v>NA</v>
      </c>
      <c r="AC2189" s="29" t="str">
        <f t="shared" si="719"/>
        <v>NA</v>
      </c>
      <c r="AD2189" s="29" t="str">
        <f t="shared" si="720"/>
        <v>NA</v>
      </c>
      <c r="AE2189" s="29" t="str">
        <f t="shared" si="721"/>
        <v>NA</v>
      </c>
      <c r="AF2189" s="29" t="str">
        <f t="shared" si="722"/>
        <v>NA</v>
      </c>
      <c r="AG2189" s="29" t="str">
        <f t="shared" si="723"/>
        <v>NA</v>
      </c>
      <c r="AH2189" s="29" t="str">
        <f t="shared" si="724"/>
        <v>NA</v>
      </c>
    </row>
    <row r="2190" customHeight="1" spans="1:34">
      <c r="A2190" s="12" t="s">
        <v>1043</v>
      </c>
      <c r="F2190" s="24">
        <f t="shared" si="726"/>
        <v>0</v>
      </c>
      <c r="G2190" s="24" t="e">
        <f t="shared" si="725"/>
        <v>#DIV/0!</v>
      </c>
      <c r="Q2190" s="29" t="str">
        <f t="shared" si="707"/>
        <v>NA</v>
      </c>
      <c r="R2190" s="29" t="str">
        <f t="shared" si="708"/>
        <v>NA</v>
      </c>
      <c r="S2190" s="29" t="str">
        <f t="shared" si="709"/>
        <v>NA</v>
      </c>
      <c r="T2190" s="29" t="str">
        <f t="shared" si="710"/>
        <v>NA</v>
      </c>
      <c r="U2190" s="29" t="str">
        <f t="shared" si="711"/>
        <v>NA</v>
      </c>
      <c r="V2190" s="29" t="str">
        <f t="shared" si="712"/>
        <v>NA</v>
      </c>
      <c r="W2190" s="29" t="str">
        <f t="shared" si="713"/>
        <v>NA</v>
      </c>
      <c r="X2190" s="29" t="str">
        <f t="shared" si="714"/>
        <v>NA</v>
      </c>
      <c r="Y2190" s="29" t="str">
        <f t="shared" si="715"/>
        <v>NA</v>
      </c>
      <c r="Z2190" s="29" t="str">
        <f t="shared" si="716"/>
        <v>NA</v>
      </c>
      <c r="AA2190" s="29" t="str">
        <f t="shared" si="717"/>
        <v>NA</v>
      </c>
      <c r="AB2190" s="29" t="str">
        <f t="shared" si="718"/>
        <v>NA</v>
      </c>
      <c r="AC2190" s="29" t="str">
        <f t="shared" si="719"/>
        <v>NA</v>
      </c>
      <c r="AD2190" s="29" t="str">
        <f t="shared" si="720"/>
        <v>NA</v>
      </c>
      <c r="AE2190" s="29" t="str">
        <f t="shared" si="721"/>
        <v>NA</v>
      </c>
      <c r="AF2190" s="29" t="str">
        <f t="shared" si="722"/>
        <v>NA</v>
      </c>
      <c r="AG2190" s="29" t="str">
        <f t="shared" si="723"/>
        <v>NA</v>
      </c>
      <c r="AH2190" s="29" t="str">
        <f t="shared" si="724"/>
        <v>NA</v>
      </c>
    </row>
    <row r="2191" customHeight="1" spans="1:34">
      <c r="A2191" s="12" t="s">
        <v>1043</v>
      </c>
      <c r="F2191" s="24">
        <f t="shared" si="726"/>
        <v>0</v>
      </c>
      <c r="G2191" s="24" t="e">
        <f t="shared" si="725"/>
        <v>#DIV/0!</v>
      </c>
      <c r="Q2191" s="29" t="str">
        <f t="shared" si="707"/>
        <v>NA</v>
      </c>
      <c r="R2191" s="29" t="str">
        <f t="shared" si="708"/>
        <v>NA</v>
      </c>
      <c r="S2191" s="29" t="str">
        <f t="shared" si="709"/>
        <v>NA</v>
      </c>
      <c r="T2191" s="29" t="str">
        <f t="shared" si="710"/>
        <v>NA</v>
      </c>
      <c r="U2191" s="29" t="str">
        <f t="shared" si="711"/>
        <v>NA</v>
      </c>
      <c r="V2191" s="29" t="str">
        <f t="shared" si="712"/>
        <v>NA</v>
      </c>
      <c r="W2191" s="29" t="str">
        <f t="shared" si="713"/>
        <v>NA</v>
      </c>
      <c r="X2191" s="29" t="str">
        <f t="shared" si="714"/>
        <v>NA</v>
      </c>
      <c r="Y2191" s="29" t="str">
        <f t="shared" si="715"/>
        <v>NA</v>
      </c>
      <c r="Z2191" s="29" t="str">
        <f t="shared" si="716"/>
        <v>NA</v>
      </c>
      <c r="AA2191" s="29" t="str">
        <f t="shared" si="717"/>
        <v>NA</v>
      </c>
      <c r="AB2191" s="29" t="str">
        <f t="shared" si="718"/>
        <v>NA</v>
      </c>
      <c r="AC2191" s="29" t="str">
        <f t="shared" si="719"/>
        <v>NA</v>
      </c>
      <c r="AD2191" s="29" t="str">
        <f t="shared" si="720"/>
        <v>NA</v>
      </c>
      <c r="AE2191" s="29" t="str">
        <f t="shared" si="721"/>
        <v>NA</v>
      </c>
      <c r="AF2191" s="29" t="str">
        <f t="shared" si="722"/>
        <v>NA</v>
      </c>
      <c r="AG2191" s="29" t="str">
        <f t="shared" si="723"/>
        <v>NA</v>
      </c>
      <c r="AH2191" s="29" t="str">
        <f t="shared" si="724"/>
        <v>NA</v>
      </c>
    </row>
    <row r="2192" customHeight="1" spans="1:34">
      <c r="A2192" s="12" t="s">
        <v>1043</v>
      </c>
      <c r="F2192" s="24">
        <f t="shared" si="726"/>
        <v>0</v>
      </c>
      <c r="G2192" s="24" t="e">
        <f t="shared" si="725"/>
        <v>#DIV/0!</v>
      </c>
      <c r="Q2192" s="29" t="str">
        <f t="shared" ref="Q2192:Q2255" si="727">IFERROR($B2192*$E2192/H2192,"NA")</f>
        <v>NA</v>
      </c>
      <c r="R2192" s="29" t="str">
        <f t="shared" ref="R2192:R2255" si="728">IFERROR($B2192*$E2192/I2192,"NA")</f>
        <v>NA</v>
      </c>
      <c r="S2192" s="29" t="str">
        <f t="shared" ref="S2192:S2255" si="729">IFERROR($B2192*$E2192/J2192,"NA")</f>
        <v>NA</v>
      </c>
      <c r="T2192" s="29" t="str">
        <f t="shared" ref="T2192:T2255" si="730">IFERROR($B2192*$E2192/K2192,"NA")</f>
        <v>NA</v>
      </c>
      <c r="U2192" s="29" t="str">
        <f t="shared" ref="U2192:U2255" si="731">IFERROR($B2192*$E2192/L2192,"NA")</f>
        <v>NA</v>
      </c>
      <c r="V2192" s="29" t="str">
        <f t="shared" ref="V2192:V2255" si="732">IFERROR($B2192*$E2192/M2192,"NA")</f>
        <v>NA</v>
      </c>
      <c r="W2192" s="29" t="str">
        <f t="shared" ref="W2192:W2255" si="733">IFERROR($B2192*$E2192/N2192,"NA")</f>
        <v>NA</v>
      </c>
      <c r="X2192" s="29" t="str">
        <f t="shared" ref="X2192:X2255" si="734">IFERROR($B2192*$E2192/O2192,"NA")</f>
        <v>NA</v>
      </c>
      <c r="Y2192" s="29" t="str">
        <f t="shared" ref="Y2192:Y2255" si="735">IFERROR($B2192*$E2192/P2192,"NA")</f>
        <v>NA</v>
      </c>
      <c r="Z2192" s="29" t="str">
        <f t="shared" ref="Z2192:Z2255" si="736">IFERROR((($G2192*Z$2/1000)+Q2192)/1,"NA")</f>
        <v>NA</v>
      </c>
      <c r="AA2192" s="29" t="str">
        <f t="shared" ref="AA2192:AA2255" si="737">IFERROR((($G2192*AA$2/1000)+R2192)/1,"NA")</f>
        <v>NA</v>
      </c>
      <c r="AB2192" s="29" t="str">
        <f t="shared" ref="AB2192:AB2255" si="738">IFERROR((($G2192*AB$2/1000)+S2192)/1,"NA")</f>
        <v>NA</v>
      </c>
      <c r="AC2192" s="29" t="str">
        <f t="shared" ref="AC2192:AC2255" si="739">IFERROR((($G2192*AC$2/1000)+T2192)/1,"NA")</f>
        <v>NA</v>
      </c>
      <c r="AD2192" s="29" t="str">
        <f t="shared" ref="AD2192:AD2255" si="740">IFERROR((($G2192*AD$2/1000)+U2192)/1,"NA")</f>
        <v>NA</v>
      </c>
      <c r="AE2192" s="29" t="str">
        <f t="shared" ref="AE2192:AE2255" si="741">IFERROR((($G2192*AE$2/1000)+V2192)/1,"NA")</f>
        <v>NA</v>
      </c>
      <c r="AF2192" s="29" t="str">
        <f t="shared" ref="AF2192:AF2255" si="742">IFERROR((($G2192*AF$2/1000)+W2192)/1,"NA")</f>
        <v>NA</v>
      </c>
      <c r="AG2192" s="29" t="str">
        <f t="shared" ref="AG2192:AG2255" si="743">IFERROR((($G2192*AG$2/1000)+X2192)/1,"NA")</f>
        <v>NA</v>
      </c>
      <c r="AH2192" s="29" t="str">
        <f t="shared" ref="AH2192:AH2255" si="744">IFERROR((($G2192*AH$2/1000)+Y2192)/1,"NA")</f>
        <v>NA</v>
      </c>
    </row>
    <row r="2193" customHeight="1" spans="1:34">
      <c r="A2193" s="12" t="s">
        <v>1043</v>
      </c>
      <c r="F2193" s="24">
        <f t="shared" si="726"/>
        <v>0</v>
      </c>
      <c r="G2193" s="24" t="e">
        <f t="shared" si="725"/>
        <v>#DIV/0!</v>
      </c>
      <c r="Q2193" s="29" t="str">
        <f t="shared" si="727"/>
        <v>NA</v>
      </c>
      <c r="R2193" s="29" t="str">
        <f t="shared" si="728"/>
        <v>NA</v>
      </c>
      <c r="S2193" s="29" t="str">
        <f t="shared" si="729"/>
        <v>NA</v>
      </c>
      <c r="T2193" s="29" t="str">
        <f t="shared" si="730"/>
        <v>NA</v>
      </c>
      <c r="U2193" s="29" t="str">
        <f t="shared" si="731"/>
        <v>NA</v>
      </c>
      <c r="V2193" s="29" t="str">
        <f t="shared" si="732"/>
        <v>NA</v>
      </c>
      <c r="W2193" s="29" t="str">
        <f t="shared" si="733"/>
        <v>NA</v>
      </c>
      <c r="X2193" s="29" t="str">
        <f t="shared" si="734"/>
        <v>NA</v>
      </c>
      <c r="Y2193" s="29" t="str">
        <f t="shared" si="735"/>
        <v>NA</v>
      </c>
      <c r="Z2193" s="29" t="str">
        <f t="shared" si="736"/>
        <v>NA</v>
      </c>
      <c r="AA2193" s="29" t="str">
        <f t="shared" si="737"/>
        <v>NA</v>
      </c>
      <c r="AB2193" s="29" t="str">
        <f t="shared" si="738"/>
        <v>NA</v>
      </c>
      <c r="AC2193" s="29" t="str">
        <f t="shared" si="739"/>
        <v>NA</v>
      </c>
      <c r="AD2193" s="29" t="str">
        <f t="shared" si="740"/>
        <v>NA</v>
      </c>
      <c r="AE2193" s="29" t="str">
        <f t="shared" si="741"/>
        <v>NA</v>
      </c>
      <c r="AF2193" s="29" t="str">
        <f t="shared" si="742"/>
        <v>NA</v>
      </c>
      <c r="AG2193" s="29" t="str">
        <f t="shared" si="743"/>
        <v>NA</v>
      </c>
      <c r="AH2193" s="29" t="str">
        <f t="shared" si="744"/>
        <v>NA</v>
      </c>
    </row>
    <row r="2194" customHeight="1" spans="1:34">
      <c r="A2194" s="12" t="s">
        <v>1043</v>
      </c>
      <c r="F2194" s="24">
        <f t="shared" si="726"/>
        <v>0</v>
      </c>
      <c r="G2194" s="24" t="e">
        <f t="shared" si="725"/>
        <v>#DIV/0!</v>
      </c>
      <c r="Q2194" s="29" t="str">
        <f t="shared" si="727"/>
        <v>NA</v>
      </c>
      <c r="R2194" s="29" t="str">
        <f t="shared" si="728"/>
        <v>NA</v>
      </c>
      <c r="S2194" s="29" t="str">
        <f t="shared" si="729"/>
        <v>NA</v>
      </c>
      <c r="T2194" s="29" t="str">
        <f t="shared" si="730"/>
        <v>NA</v>
      </c>
      <c r="U2194" s="29" t="str">
        <f t="shared" si="731"/>
        <v>NA</v>
      </c>
      <c r="V2194" s="29" t="str">
        <f t="shared" si="732"/>
        <v>NA</v>
      </c>
      <c r="W2194" s="29" t="str">
        <f t="shared" si="733"/>
        <v>NA</v>
      </c>
      <c r="X2194" s="29" t="str">
        <f t="shared" si="734"/>
        <v>NA</v>
      </c>
      <c r="Y2194" s="29" t="str">
        <f t="shared" si="735"/>
        <v>NA</v>
      </c>
      <c r="Z2194" s="29" t="str">
        <f t="shared" si="736"/>
        <v>NA</v>
      </c>
      <c r="AA2194" s="29" t="str">
        <f t="shared" si="737"/>
        <v>NA</v>
      </c>
      <c r="AB2194" s="29" t="str">
        <f t="shared" si="738"/>
        <v>NA</v>
      </c>
      <c r="AC2194" s="29" t="str">
        <f t="shared" si="739"/>
        <v>NA</v>
      </c>
      <c r="AD2194" s="29" t="str">
        <f t="shared" si="740"/>
        <v>NA</v>
      </c>
      <c r="AE2194" s="29" t="str">
        <f t="shared" si="741"/>
        <v>NA</v>
      </c>
      <c r="AF2194" s="29" t="str">
        <f t="shared" si="742"/>
        <v>NA</v>
      </c>
      <c r="AG2194" s="29" t="str">
        <f t="shared" si="743"/>
        <v>NA</v>
      </c>
      <c r="AH2194" s="29" t="str">
        <f t="shared" si="744"/>
        <v>NA</v>
      </c>
    </row>
    <row r="2195" customHeight="1" spans="1:34">
      <c r="A2195" s="12" t="s">
        <v>1043</v>
      </c>
      <c r="F2195" s="24">
        <f t="shared" si="726"/>
        <v>0</v>
      </c>
      <c r="G2195" s="24" t="e">
        <f t="shared" si="725"/>
        <v>#DIV/0!</v>
      </c>
      <c r="Q2195" s="29" t="str">
        <f t="shared" si="727"/>
        <v>NA</v>
      </c>
      <c r="R2195" s="29" t="str">
        <f t="shared" si="728"/>
        <v>NA</v>
      </c>
      <c r="S2195" s="29" t="str">
        <f t="shared" si="729"/>
        <v>NA</v>
      </c>
      <c r="T2195" s="29" t="str">
        <f t="shared" si="730"/>
        <v>NA</v>
      </c>
      <c r="U2195" s="29" t="str">
        <f t="shared" si="731"/>
        <v>NA</v>
      </c>
      <c r="V2195" s="29" t="str">
        <f t="shared" si="732"/>
        <v>NA</v>
      </c>
      <c r="W2195" s="29" t="str">
        <f t="shared" si="733"/>
        <v>NA</v>
      </c>
      <c r="X2195" s="29" t="str">
        <f t="shared" si="734"/>
        <v>NA</v>
      </c>
      <c r="Y2195" s="29" t="str">
        <f t="shared" si="735"/>
        <v>NA</v>
      </c>
      <c r="Z2195" s="29" t="str">
        <f t="shared" si="736"/>
        <v>NA</v>
      </c>
      <c r="AA2195" s="29" t="str">
        <f t="shared" si="737"/>
        <v>NA</v>
      </c>
      <c r="AB2195" s="29" t="str">
        <f t="shared" si="738"/>
        <v>NA</v>
      </c>
      <c r="AC2195" s="29" t="str">
        <f t="shared" si="739"/>
        <v>NA</v>
      </c>
      <c r="AD2195" s="29" t="str">
        <f t="shared" si="740"/>
        <v>NA</v>
      </c>
      <c r="AE2195" s="29" t="str">
        <f t="shared" si="741"/>
        <v>NA</v>
      </c>
      <c r="AF2195" s="29" t="str">
        <f t="shared" si="742"/>
        <v>NA</v>
      </c>
      <c r="AG2195" s="29" t="str">
        <f t="shared" si="743"/>
        <v>NA</v>
      </c>
      <c r="AH2195" s="29" t="str">
        <f t="shared" si="744"/>
        <v>NA</v>
      </c>
    </row>
    <row r="2196" customHeight="1" spans="1:34">
      <c r="A2196" s="12" t="s">
        <v>1043</v>
      </c>
      <c r="F2196" s="24">
        <f t="shared" si="726"/>
        <v>0</v>
      </c>
      <c r="G2196" s="24" t="e">
        <f t="shared" si="725"/>
        <v>#DIV/0!</v>
      </c>
      <c r="Q2196" s="29" t="str">
        <f t="shared" si="727"/>
        <v>NA</v>
      </c>
      <c r="R2196" s="29" t="str">
        <f t="shared" si="728"/>
        <v>NA</v>
      </c>
      <c r="S2196" s="29" t="str">
        <f t="shared" si="729"/>
        <v>NA</v>
      </c>
      <c r="T2196" s="29" t="str">
        <f t="shared" si="730"/>
        <v>NA</v>
      </c>
      <c r="U2196" s="29" t="str">
        <f t="shared" si="731"/>
        <v>NA</v>
      </c>
      <c r="V2196" s="29" t="str">
        <f t="shared" si="732"/>
        <v>NA</v>
      </c>
      <c r="W2196" s="29" t="str">
        <f t="shared" si="733"/>
        <v>NA</v>
      </c>
      <c r="X2196" s="29" t="str">
        <f t="shared" si="734"/>
        <v>NA</v>
      </c>
      <c r="Y2196" s="29" t="str">
        <f t="shared" si="735"/>
        <v>NA</v>
      </c>
      <c r="Z2196" s="29" t="str">
        <f t="shared" si="736"/>
        <v>NA</v>
      </c>
      <c r="AA2196" s="29" t="str">
        <f t="shared" si="737"/>
        <v>NA</v>
      </c>
      <c r="AB2196" s="29" t="str">
        <f t="shared" si="738"/>
        <v>NA</v>
      </c>
      <c r="AC2196" s="29" t="str">
        <f t="shared" si="739"/>
        <v>NA</v>
      </c>
      <c r="AD2196" s="29" t="str">
        <f t="shared" si="740"/>
        <v>NA</v>
      </c>
      <c r="AE2196" s="29" t="str">
        <f t="shared" si="741"/>
        <v>NA</v>
      </c>
      <c r="AF2196" s="29" t="str">
        <f t="shared" si="742"/>
        <v>NA</v>
      </c>
      <c r="AG2196" s="29" t="str">
        <f t="shared" si="743"/>
        <v>NA</v>
      </c>
      <c r="AH2196" s="29" t="str">
        <f t="shared" si="744"/>
        <v>NA</v>
      </c>
    </row>
    <row r="2197" customHeight="1" spans="1:34">
      <c r="A2197" s="12" t="s">
        <v>1043</v>
      </c>
      <c r="F2197" s="24">
        <f t="shared" si="726"/>
        <v>0</v>
      </c>
      <c r="G2197" s="24" t="e">
        <f t="shared" si="725"/>
        <v>#DIV/0!</v>
      </c>
      <c r="Q2197" s="29" t="str">
        <f t="shared" si="727"/>
        <v>NA</v>
      </c>
      <c r="R2197" s="29" t="str">
        <f t="shared" si="728"/>
        <v>NA</v>
      </c>
      <c r="S2197" s="29" t="str">
        <f t="shared" si="729"/>
        <v>NA</v>
      </c>
      <c r="T2197" s="29" t="str">
        <f t="shared" si="730"/>
        <v>NA</v>
      </c>
      <c r="U2197" s="29" t="str">
        <f t="shared" si="731"/>
        <v>NA</v>
      </c>
      <c r="V2197" s="29" t="str">
        <f t="shared" si="732"/>
        <v>NA</v>
      </c>
      <c r="W2197" s="29" t="str">
        <f t="shared" si="733"/>
        <v>NA</v>
      </c>
      <c r="X2197" s="29" t="str">
        <f t="shared" si="734"/>
        <v>NA</v>
      </c>
      <c r="Y2197" s="29" t="str">
        <f t="shared" si="735"/>
        <v>NA</v>
      </c>
      <c r="Z2197" s="29" t="str">
        <f t="shared" si="736"/>
        <v>NA</v>
      </c>
      <c r="AA2197" s="29" t="str">
        <f t="shared" si="737"/>
        <v>NA</v>
      </c>
      <c r="AB2197" s="29" t="str">
        <f t="shared" si="738"/>
        <v>NA</v>
      </c>
      <c r="AC2197" s="29" t="str">
        <f t="shared" si="739"/>
        <v>NA</v>
      </c>
      <c r="AD2197" s="29" t="str">
        <f t="shared" si="740"/>
        <v>NA</v>
      </c>
      <c r="AE2197" s="29" t="str">
        <f t="shared" si="741"/>
        <v>NA</v>
      </c>
      <c r="AF2197" s="29" t="str">
        <f t="shared" si="742"/>
        <v>NA</v>
      </c>
      <c r="AG2197" s="29" t="str">
        <f t="shared" si="743"/>
        <v>NA</v>
      </c>
      <c r="AH2197" s="29" t="str">
        <f t="shared" si="744"/>
        <v>NA</v>
      </c>
    </row>
    <row r="2198" customHeight="1" spans="1:34">
      <c r="A2198" s="12" t="s">
        <v>1043</v>
      </c>
      <c r="F2198" s="24">
        <f t="shared" si="726"/>
        <v>0</v>
      </c>
      <c r="G2198" s="24" t="e">
        <f t="shared" si="725"/>
        <v>#DIV/0!</v>
      </c>
      <c r="Q2198" s="29" t="str">
        <f t="shared" si="727"/>
        <v>NA</v>
      </c>
      <c r="R2198" s="29" t="str">
        <f t="shared" si="728"/>
        <v>NA</v>
      </c>
      <c r="S2198" s="29" t="str">
        <f t="shared" si="729"/>
        <v>NA</v>
      </c>
      <c r="T2198" s="29" t="str">
        <f t="shared" si="730"/>
        <v>NA</v>
      </c>
      <c r="U2198" s="29" t="str">
        <f t="shared" si="731"/>
        <v>NA</v>
      </c>
      <c r="V2198" s="29" t="str">
        <f t="shared" si="732"/>
        <v>NA</v>
      </c>
      <c r="W2198" s="29" t="str">
        <f t="shared" si="733"/>
        <v>NA</v>
      </c>
      <c r="X2198" s="29" t="str">
        <f t="shared" si="734"/>
        <v>NA</v>
      </c>
      <c r="Y2198" s="29" t="str">
        <f t="shared" si="735"/>
        <v>NA</v>
      </c>
      <c r="Z2198" s="29" t="str">
        <f t="shared" si="736"/>
        <v>NA</v>
      </c>
      <c r="AA2198" s="29" t="str">
        <f t="shared" si="737"/>
        <v>NA</v>
      </c>
      <c r="AB2198" s="29" t="str">
        <f t="shared" si="738"/>
        <v>NA</v>
      </c>
      <c r="AC2198" s="29" t="str">
        <f t="shared" si="739"/>
        <v>NA</v>
      </c>
      <c r="AD2198" s="29" t="str">
        <f t="shared" si="740"/>
        <v>NA</v>
      </c>
      <c r="AE2198" s="29" t="str">
        <f t="shared" si="741"/>
        <v>NA</v>
      </c>
      <c r="AF2198" s="29" t="str">
        <f t="shared" si="742"/>
        <v>NA</v>
      </c>
      <c r="AG2198" s="29" t="str">
        <f t="shared" si="743"/>
        <v>NA</v>
      </c>
      <c r="AH2198" s="29" t="str">
        <f t="shared" si="744"/>
        <v>NA</v>
      </c>
    </row>
    <row r="2199" customHeight="1" spans="1:34">
      <c r="A2199" s="12" t="s">
        <v>1043</v>
      </c>
      <c r="F2199" s="24">
        <f t="shared" si="726"/>
        <v>0</v>
      </c>
      <c r="G2199" s="24" t="e">
        <f t="shared" si="725"/>
        <v>#DIV/0!</v>
      </c>
      <c r="Q2199" s="29" t="str">
        <f t="shared" si="727"/>
        <v>NA</v>
      </c>
      <c r="R2199" s="29" t="str">
        <f t="shared" si="728"/>
        <v>NA</v>
      </c>
      <c r="S2199" s="29" t="str">
        <f t="shared" si="729"/>
        <v>NA</v>
      </c>
      <c r="T2199" s="29" t="str">
        <f t="shared" si="730"/>
        <v>NA</v>
      </c>
      <c r="U2199" s="29" t="str">
        <f t="shared" si="731"/>
        <v>NA</v>
      </c>
      <c r="V2199" s="29" t="str">
        <f t="shared" si="732"/>
        <v>NA</v>
      </c>
      <c r="W2199" s="29" t="str">
        <f t="shared" si="733"/>
        <v>NA</v>
      </c>
      <c r="X2199" s="29" t="str">
        <f t="shared" si="734"/>
        <v>NA</v>
      </c>
      <c r="Y2199" s="29" t="str">
        <f t="shared" si="735"/>
        <v>NA</v>
      </c>
      <c r="Z2199" s="29" t="str">
        <f t="shared" si="736"/>
        <v>NA</v>
      </c>
      <c r="AA2199" s="29" t="str">
        <f t="shared" si="737"/>
        <v>NA</v>
      </c>
      <c r="AB2199" s="29" t="str">
        <f t="shared" si="738"/>
        <v>NA</v>
      </c>
      <c r="AC2199" s="29" t="str">
        <f t="shared" si="739"/>
        <v>NA</v>
      </c>
      <c r="AD2199" s="29" t="str">
        <f t="shared" si="740"/>
        <v>NA</v>
      </c>
      <c r="AE2199" s="29" t="str">
        <f t="shared" si="741"/>
        <v>NA</v>
      </c>
      <c r="AF2199" s="29" t="str">
        <f t="shared" si="742"/>
        <v>NA</v>
      </c>
      <c r="AG2199" s="29" t="str">
        <f t="shared" si="743"/>
        <v>NA</v>
      </c>
      <c r="AH2199" s="29" t="str">
        <f t="shared" si="744"/>
        <v>NA</v>
      </c>
    </row>
    <row r="2200" customHeight="1" spans="1:34">
      <c r="A2200" s="12" t="s">
        <v>1043</v>
      </c>
      <c r="F2200" s="24">
        <f t="shared" si="726"/>
        <v>0</v>
      </c>
      <c r="G2200" s="24" t="e">
        <f t="shared" si="725"/>
        <v>#DIV/0!</v>
      </c>
      <c r="Q2200" s="29" t="str">
        <f t="shared" si="727"/>
        <v>NA</v>
      </c>
      <c r="R2200" s="29" t="str">
        <f t="shared" si="728"/>
        <v>NA</v>
      </c>
      <c r="S2200" s="29" t="str">
        <f t="shared" si="729"/>
        <v>NA</v>
      </c>
      <c r="T2200" s="29" t="str">
        <f t="shared" si="730"/>
        <v>NA</v>
      </c>
      <c r="U2200" s="29" t="str">
        <f t="shared" si="731"/>
        <v>NA</v>
      </c>
      <c r="V2200" s="29" t="str">
        <f t="shared" si="732"/>
        <v>NA</v>
      </c>
      <c r="W2200" s="29" t="str">
        <f t="shared" si="733"/>
        <v>NA</v>
      </c>
      <c r="X2200" s="29" t="str">
        <f t="shared" si="734"/>
        <v>NA</v>
      </c>
      <c r="Y2200" s="29" t="str">
        <f t="shared" si="735"/>
        <v>NA</v>
      </c>
      <c r="Z2200" s="29" t="str">
        <f t="shared" si="736"/>
        <v>NA</v>
      </c>
      <c r="AA2200" s="29" t="str">
        <f t="shared" si="737"/>
        <v>NA</v>
      </c>
      <c r="AB2200" s="29" t="str">
        <f t="shared" si="738"/>
        <v>NA</v>
      </c>
      <c r="AC2200" s="29" t="str">
        <f t="shared" si="739"/>
        <v>NA</v>
      </c>
      <c r="AD2200" s="29" t="str">
        <f t="shared" si="740"/>
        <v>NA</v>
      </c>
      <c r="AE2200" s="29" t="str">
        <f t="shared" si="741"/>
        <v>NA</v>
      </c>
      <c r="AF2200" s="29" t="str">
        <f t="shared" si="742"/>
        <v>NA</v>
      </c>
      <c r="AG2200" s="29" t="str">
        <f t="shared" si="743"/>
        <v>NA</v>
      </c>
      <c r="AH2200" s="29" t="str">
        <f t="shared" si="744"/>
        <v>NA</v>
      </c>
    </row>
    <row r="2201" customHeight="1" spans="1:34">
      <c r="A2201" s="12" t="s">
        <v>1043</v>
      </c>
      <c r="F2201" s="24">
        <f t="shared" si="726"/>
        <v>0</v>
      </c>
      <c r="G2201" s="24" t="e">
        <f t="shared" si="725"/>
        <v>#DIV/0!</v>
      </c>
      <c r="Q2201" s="29" t="str">
        <f t="shared" si="727"/>
        <v>NA</v>
      </c>
      <c r="R2201" s="29" t="str">
        <f t="shared" si="728"/>
        <v>NA</v>
      </c>
      <c r="S2201" s="29" t="str">
        <f t="shared" si="729"/>
        <v>NA</v>
      </c>
      <c r="T2201" s="29" t="str">
        <f t="shared" si="730"/>
        <v>NA</v>
      </c>
      <c r="U2201" s="29" t="str">
        <f t="shared" si="731"/>
        <v>NA</v>
      </c>
      <c r="V2201" s="29" t="str">
        <f t="shared" si="732"/>
        <v>NA</v>
      </c>
      <c r="W2201" s="29" t="str">
        <f t="shared" si="733"/>
        <v>NA</v>
      </c>
      <c r="X2201" s="29" t="str">
        <f t="shared" si="734"/>
        <v>NA</v>
      </c>
      <c r="Y2201" s="29" t="str">
        <f t="shared" si="735"/>
        <v>NA</v>
      </c>
      <c r="Z2201" s="29" t="str">
        <f t="shared" si="736"/>
        <v>NA</v>
      </c>
      <c r="AA2201" s="29" t="str">
        <f t="shared" si="737"/>
        <v>NA</v>
      </c>
      <c r="AB2201" s="29" t="str">
        <f t="shared" si="738"/>
        <v>NA</v>
      </c>
      <c r="AC2201" s="29" t="str">
        <f t="shared" si="739"/>
        <v>NA</v>
      </c>
      <c r="AD2201" s="29" t="str">
        <f t="shared" si="740"/>
        <v>NA</v>
      </c>
      <c r="AE2201" s="29" t="str">
        <f t="shared" si="741"/>
        <v>NA</v>
      </c>
      <c r="AF2201" s="29" t="str">
        <f t="shared" si="742"/>
        <v>NA</v>
      </c>
      <c r="AG2201" s="29" t="str">
        <f t="shared" si="743"/>
        <v>NA</v>
      </c>
      <c r="AH2201" s="29" t="str">
        <f t="shared" si="744"/>
        <v>NA</v>
      </c>
    </row>
    <row r="2202" customHeight="1" spans="1:34">
      <c r="A2202" s="12" t="s">
        <v>1043</v>
      </c>
      <c r="F2202" s="24">
        <f t="shared" si="726"/>
        <v>0</v>
      </c>
      <c r="G2202" s="24" t="e">
        <f t="shared" si="725"/>
        <v>#DIV/0!</v>
      </c>
      <c r="Q2202" s="29" t="str">
        <f t="shared" si="727"/>
        <v>NA</v>
      </c>
      <c r="R2202" s="29" t="str">
        <f t="shared" si="728"/>
        <v>NA</v>
      </c>
      <c r="S2202" s="29" t="str">
        <f t="shared" si="729"/>
        <v>NA</v>
      </c>
      <c r="T2202" s="29" t="str">
        <f t="shared" si="730"/>
        <v>NA</v>
      </c>
      <c r="U2202" s="29" t="str">
        <f t="shared" si="731"/>
        <v>NA</v>
      </c>
      <c r="V2202" s="29" t="str">
        <f t="shared" si="732"/>
        <v>NA</v>
      </c>
      <c r="W2202" s="29" t="str">
        <f t="shared" si="733"/>
        <v>NA</v>
      </c>
      <c r="X2202" s="29" t="str">
        <f t="shared" si="734"/>
        <v>NA</v>
      </c>
      <c r="Y2202" s="29" t="str">
        <f t="shared" si="735"/>
        <v>NA</v>
      </c>
      <c r="Z2202" s="29" t="str">
        <f t="shared" si="736"/>
        <v>NA</v>
      </c>
      <c r="AA2202" s="29" t="str">
        <f t="shared" si="737"/>
        <v>NA</v>
      </c>
      <c r="AB2202" s="29" t="str">
        <f t="shared" si="738"/>
        <v>NA</v>
      </c>
      <c r="AC2202" s="29" t="str">
        <f t="shared" si="739"/>
        <v>NA</v>
      </c>
      <c r="AD2202" s="29" t="str">
        <f t="shared" si="740"/>
        <v>NA</v>
      </c>
      <c r="AE2202" s="29" t="str">
        <f t="shared" si="741"/>
        <v>NA</v>
      </c>
      <c r="AF2202" s="29" t="str">
        <f t="shared" si="742"/>
        <v>NA</v>
      </c>
      <c r="AG2202" s="29" t="str">
        <f t="shared" si="743"/>
        <v>NA</v>
      </c>
      <c r="AH2202" s="29" t="str">
        <f t="shared" si="744"/>
        <v>NA</v>
      </c>
    </row>
    <row r="2203" customHeight="1" spans="1:34">
      <c r="A2203" s="12" t="s">
        <v>1043</v>
      </c>
      <c r="F2203" s="24">
        <f t="shared" si="726"/>
        <v>0</v>
      </c>
      <c r="G2203" s="24" t="e">
        <f t="shared" si="725"/>
        <v>#DIV/0!</v>
      </c>
      <c r="Q2203" s="29" t="str">
        <f t="shared" si="727"/>
        <v>NA</v>
      </c>
      <c r="R2203" s="29" t="str">
        <f t="shared" si="728"/>
        <v>NA</v>
      </c>
      <c r="S2203" s="29" t="str">
        <f t="shared" si="729"/>
        <v>NA</v>
      </c>
      <c r="T2203" s="29" t="str">
        <f t="shared" si="730"/>
        <v>NA</v>
      </c>
      <c r="U2203" s="29" t="str">
        <f t="shared" si="731"/>
        <v>NA</v>
      </c>
      <c r="V2203" s="29" t="str">
        <f t="shared" si="732"/>
        <v>NA</v>
      </c>
      <c r="W2203" s="29" t="str">
        <f t="shared" si="733"/>
        <v>NA</v>
      </c>
      <c r="X2203" s="29" t="str">
        <f t="shared" si="734"/>
        <v>NA</v>
      </c>
      <c r="Y2203" s="29" t="str">
        <f t="shared" si="735"/>
        <v>NA</v>
      </c>
      <c r="Z2203" s="29" t="str">
        <f t="shared" si="736"/>
        <v>NA</v>
      </c>
      <c r="AA2203" s="29" t="str">
        <f t="shared" si="737"/>
        <v>NA</v>
      </c>
      <c r="AB2203" s="29" t="str">
        <f t="shared" si="738"/>
        <v>NA</v>
      </c>
      <c r="AC2203" s="29" t="str">
        <f t="shared" si="739"/>
        <v>NA</v>
      </c>
      <c r="AD2203" s="29" t="str">
        <f t="shared" si="740"/>
        <v>NA</v>
      </c>
      <c r="AE2203" s="29" t="str">
        <f t="shared" si="741"/>
        <v>NA</v>
      </c>
      <c r="AF2203" s="29" t="str">
        <f t="shared" si="742"/>
        <v>NA</v>
      </c>
      <c r="AG2203" s="29" t="str">
        <f t="shared" si="743"/>
        <v>NA</v>
      </c>
      <c r="AH2203" s="29" t="str">
        <f t="shared" si="744"/>
        <v>NA</v>
      </c>
    </row>
    <row r="2204" customHeight="1" spans="1:34">
      <c r="A2204" s="12" t="s">
        <v>1043</v>
      </c>
      <c r="F2204" s="24">
        <f t="shared" si="726"/>
        <v>0</v>
      </c>
      <c r="G2204" s="24" t="e">
        <f t="shared" si="725"/>
        <v>#DIV/0!</v>
      </c>
      <c r="Q2204" s="29" t="str">
        <f t="shared" si="727"/>
        <v>NA</v>
      </c>
      <c r="R2204" s="29" t="str">
        <f t="shared" si="728"/>
        <v>NA</v>
      </c>
      <c r="S2204" s="29" t="str">
        <f t="shared" si="729"/>
        <v>NA</v>
      </c>
      <c r="T2204" s="29" t="str">
        <f t="shared" si="730"/>
        <v>NA</v>
      </c>
      <c r="U2204" s="29" t="str">
        <f t="shared" si="731"/>
        <v>NA</v>
      </c>
      <c r="V2204" s="29" t="str">
        <f t="shared" si="732"/>
        <v>NA</v>
      </c>
      <c r="W2204" s="29" t="str">
        <f t="shared" si="733"/>
        <v>NA</v>
      </c>
      <c r="X2204" s="29" t="str">
        <f t="shared" si="734"/>
        <v>NA</v>
      </c>
      <c r="Y2204" s="29" t="str">
        <f t="shared" si="735"/>
        <v>NA</v>
      </c>
      <c r="Z2204" s="29" t="str">
        <f t="shared" si="736"/>
        <v>NA</v>
      </c>
      <c r="AA2204" s="29" t="str">
        <f t="shared" si="737"/>
        <v>NA</v>
      </c>
      <c r="AB2204" s="29" t="str">
        <f t="shared" si="738"/>
        <v>NA</v>
      </c>
      <c r="AC2204" s="29" t="str">
        <f t="shared" si="739"/>
        <v>NA</v>
      </c>
      <c r="AD2204" s="29" t="str">
        <f t="shared" si="740"/>
        <v>NA</v>
      </c>
      <c r="AE2204" s="29" t="str">
        <f t="shared" si="741"/>
        <v>NA</v>
      </c>
      <c r="AF2204" s="29" t="str">
        <f t="shared" si="742"/>
        <v>NA</v>
      </c>
      <c r="AG2204" s="29" t="str">
        <f t="shared" si="743"/>
        <v>NA</v>
      </c>
      <c r="AH2204" s="29" t="str">
        <f t="shared" si="744"/>
        <v>NA</v>
      </c>
    </row>
    <row r="2205" customHeight="1" spans="1:34">
      <c r="A2205" s="12" t="s">
        <v>1043</v>
      </c>
      <c r="F2205" s="24">
        <f t="shared" si="726"/>
        <v>0</v>
      </c>
      <c r="G2205" s="24" t="e">
        <f t="shared" si="725"/>
        <v>#DIV/0!</v>
      </c>
      <c r="Q2205" s="29" t="str">
        <f t="shared" si="727"/>
        <v>NA</v>
      </c>
      <c r="R2205" s="29" t="str">
        <f t="shared" si="728"/>
        <v>NA</v>
      </c>
      <c r="S2205" s="29" t="str">
        <f t="shared" si="729"/>
        <v>NA</v>
      </c>
      <c r="T2205" s="29" t="str">
        <f t="shared" si="730"/>
        <v>NA</v>
      </c>
      <c r="U2205" s="29" t="str">
        <f t="shared" si="731"/>
        <v>NA</v>
      </c>
      <c r="V2205" s="29" t="str">
        <f t="shared" si="732"/>
        <v>NA</v>
      </c>
      <c r="W2205" s="29" t="str">
        <f t="shared" si="733"/>
        <v>NA</v>
      </c>
      <c r="X2205" s="29" t="str">
        <f t="shared" si="734"/>
        <v>NA</v>
      </c>
      <c r="Y2205" s="29" t="str">
        <f t="shared" si="735"/>
        <v>NA</v>
      </c>
      <c r="Z2205" s="29" t="str">
        <f t="shared" si="736"/>
        <v>NA</v>
      </c>
      <c r="AA2205" s="29" t="str">
        <f t="shared" si="737"/>
        <v>NA</v>
      </c>
      <c r="AB2205" s="29" t="str">
        <f t="shared" si="738"/>
        <v>NA</v>
      </c>
      <c r="AC2205" s="29" t="str">
        <f t="shared" si="739"/>
        <v>NA</v>
      </c>
      <c r="AD2205" s="29" t="str">
        <f t="shared" si="740"/>
        <v>NA</v>
      </c>
      <c r="AE2205" s="29" t="str">
        <f t="shared" si="741"/>
        <v>NA</v>
      </c>
      <c r="AF2205" s="29" t="str">
        <f t="shared" si="742"/>
        <v>NA</v>
      </c>
      <c r="AG2205" s="29" t="str">
        <f t="shared" si="743"/>
        <v>NA</v>
      </c>
      <c r="AH2205" s="29" t="str">
        <f t="shared" si="744"/>
        <v>NA</v>
      </c>
    </row>
    <row r="2206" customHeight="1" spans="1:34">
      <c r="A2206" s="12" t="s">
        <v>1043</v>
      </c>
      <c r="F2206" s="24">
        <f t="shared" si="726"/>
        <v>0</v>
      </c>
      <c r="G2206" s="24" t="e">
        <f t="shared" si="725"/>
        <v>#DIV/0!</v>
      </c>
      <c r="Q2206" s="29" t="str">
        <f t="shared" si="727"/>
        <v>NA</v>
      </c>
      <c r="R2206" s="29" t="str">
        <f t="shared" si="728"/>
        <v>NA</v>
      </c>
      <c r="S2206" s="29" t="str">
        <f t="shared" si="729"/>
        <v>NA</v>
      </c>
      <c r="T2206" s="29" t="str">
        <f t="shared" si="730"/>
        <v>NA</v>
      </c>
      <c r="U2206" s="29" t="str">
        <f t="shared" si="731"/>
        <v>NA</v>
      </c>
      <c r="V2206" s="29" t="str">
        <f t="shared" si="732"/>
        <v>NA</v>
      </c>
      <c r="W2206" s="29" t="str">
        <f t="shared" si="733"/>
        <v>NA</v>
      </c>
      <c r="X2206" s="29" t="str">
        <f t="shared" si="734"/>
        <v>NA</v>
      </c>
      <c r="Y2206" s="29" t="str">
        <f t="shared" si="735"/>
        <v>NA</v>
      </c>
      <c r="Z2206" s="29" t="str">
        <f t="shared" si="736"/>
        <v>NA</v>
      </c>
      <c r="AA2206" s="29" t="str">
        <f t="shared" si="737"/>
        <v>NA</v>
      </c>
      <c r="AB2206" s="29" t="str">
        <f t="shared" si="738"/>
        <v>NA</v>
      </c>
      <c r="AC2206" s="29" t="str">
        <f t="shared" si="739"/>
        <v>NA</v>
      </c>
      <c r="AD2206" s="29" t="str">
        <f t="shared" si="740"/>
        <v>NA</v>
      </c>
      <c r="AE2206" s="29" t="str">
        <f t="shared" si="741"/>
        <v>NA</v>
      </c>
      <c r="AF2206" s="29" t="str">
        <f t="shared" si="742"/>
        <v>NA</v>
      </c>
      <c r="AG2206" s="29" t="str">
        <f t="shared" si="743"/>
        <v>NA</v>
      </c>
      <c r="AH2206" s="29" t="str">
        <f t="shared" si="744"/>
        <v>NA</v>
      </c>
    </row>
    <row r="2207" customHeight="1" spans="1:34">
      <c r="A2207" s="12" t="s">
        <v>1043</v>
      </c>
      <c r="F2207" s="24">
        <f t="shared" si="726"/>
        <v>0</v>
      </c>
      <c r="G2207" s="24" t="e">
        <f t="shared" si="725"/>
        <v>#DIV/0!</v>
      </c>
      <c r="Q2207" s="29" t="str">
        <f t="shared" si="727"/>
        <v>NA</v>
      </c>
      <c r="R2207" s="29" t="str">
        <f t="shared" si="728"/>
        <v>NA</v>
      </c>
      <c r="S2207" s="29" t="str">
        <f t="shared" si="729"/>
        <v>NA</v>
      </c>
      <c r="T2207" s="29" t="str">
        <f t="shared" si="730"/>
        <v>NA</v>
      </c>
      <c r="U2207" s="29" t="str">
        <f t="shared" si="731"/>
        <v>NA</v>
      </c>
      <c r="V2207" s="29" t="str">
        <f t="shared" si="732"/>
        <v>NA</v>
      </c>
      <c r="W2207" s="29" t="str">
        <f t="shared" si="733"/>
        <v>NA</v>
      </c>
      <c r="X2207" s="29" t="str">
        <f t="shared" si="734"/>
        <v>NA</v>
      </c>
      <c r="Y2207" s="29" t="str">
        <f t="shared" si="735"/>
        <v>NA</v>
      </c>
      <c r="Z2207" s="29" t="str">
        <f t="shared" si="736"/>
        <v>NA</v>
      </c>
      <c r="AA2207" s="29" t="str">
        <f t="shared" si="737"/>
        <v>NA</v>
      </c>
      <c r="AB2207" s="29" t="str">
        <f t="shared" si="738"/>
        <v>NA</v>
      </c>
      <c r="AC2207" s="29" t="str">
        <f t="shared" si="739"/>
        <v>NA</v>
      </c>
      <c r="AD2207" s="29" t="str">
        <f t="shared" si="740"/>
        <v>NA</v>
      </c>
      <c r="AE2207" s="29" t="str">
        <f t="shared" si="741"/>
        <v>NA</v>
      </c>
      <c r="AF2207" s="29" t="str">
        <f t="shared" si="742"/>
        <v>NA</v>
      </c>
      <c r="AG2207" s="29" t="str">
        <f t="shared" si="743"/>
        <v>NA</v>
      </c>
      <c r="AH2207" s="29" t="str">
        <f t="shared" si="744"/>
        <v>NA</v>
      </c>
    </row>
    <row r="2208" customHeight="1" spans="1:34">
      <c r="A2208" s="12" t="s">
        <v>1043</v>
      </c>
      <c r="F2208" s="24">
        <f t="shared" si="726"/>
        <v>0</v>
      </c>
      <c r="G2208" s="24" t="e">
        <f t="shared" si="725"/>
        <v>#DIV/0!</v>
      </c>
      <c r="Q2208" s="29" t="str">
        <f t="shared" si="727"/>
        <v>NA</v>
      </c>
      <c r="R2208" s="29" t="str">
        <f t="shared" si="728"/>
        <v>NA</v>
      </c>
      <c r="S2208" s="29" t="str">
        <f t="shared" si="729"/>
        <v>NA</v>
      </c>
      <c r="T2208" s="29" t="str">
        <f t="shared" si="730"/>
        <v>NA</v>
      </c>
      <c r="U2208" s="29" t="str">
        <f t="shared" si="731"/>
        <v>NA</v>
      </c>
      <c r="V2208" s="29" t="str">
        <f t="shared" si="732"/>
        <v>NA</v>
      </c>
      <c r="W2208" s="29" t="str">
        <f t="shared" si="733"/>
        <v>NA</v>
      </c>
      <c r="X2208" s="29" t="str">
        <f t="shared" si="734"/>
        <v>NA</v>
      </c>
      <c r="Y2208" s="29" t="str">
        <f t="shared" si="735"/>
        <v>NA</v>
      </c>
      <c r="Z2208" s="29" t="str">
        <f t="shared" si="736"/>
        <v>NA</v>
      </c>
      <c r="AA2208" s="29" t="str">
        <f t="shared" si="737"/>
        <v>NA</v>
      </c>
      <c r="AB2208" s="29" t="str">
        <f t="shared" si="738"/>
        <v>NA</v>
      </c>
      <c r="AC2208" s="29" t="str">
        <f t="shared" si="739"/>
        <v>NA</v>
      </c>
      <c r="AD2208" s="29" t="str">
        <f t="shared" si="740"/>
        <v>NA</v>
      </c>
      <c r="AE2208" s="29" t="str">
        <f t="shared" si="741"/>
        <v>NA</v>
      </c>
      <c r="AF2208" s="29" t="str">
        <f t="shared" si="742"/>
        <v>NA</v>
      </c>
      <c r="AG2208" s="29" t="str">
        <f t="shared" si="743"/>
        <v>NA</v>
      </c>
      <c r="AH2208" s="29" t="str">
        <f t="shared" si="744"/>
        <v>NA</v>
      </c>
    </row>
    <row r="2209" customHeight="1" spans="1:34">
      <c r="A2209" s="12" t="s">
        <v>1043</v>
      </c>
      <c r="F2209" s="24">
        <f t="shared" si="726"/>
        <v>0</v>
      </c>
      <c r="G2209" s="24" t="e">
        <f t="shared" si="725"/>
        <v>#DIV/0!</v>
      </c>
      <c r="Q2209" s="29" t="str">
        <f t="shared" si="727"/>
        <v>NA</v>
      </c>
      <c r="R2209" s="29" t="str">
        <f t="shared" si="728"/>
        <v>NA</v>
      </c>
      <c r="S2209" s="29" t="str">
        <f t="shared" si="729"/>
        <v>NA</v>
      </c>
      <c r="T2209" s="29" t="str">
        <f t="shared" si="730"/>
        <v>NA</v>
      </c>
      <c r="U2209" s="29" t="str">
        <f t="shared" si="731"/>
        <v>NA</v>
      </c>
      <c r="V2209" s="29" t="str">
        <f t="shared" si="732"/>
        <v>NA</v>
      </c>
      <c r="W2209" s="29" t="str">
        <f t="shared" si="733"/>
        <v>NA</v>
      </c>
      <c r="X2209" s="29" t="str">
        <f t="shared" si="734"/>
        <v>NA</v>
      </c>
      <c r="Y2209" s="29" t="str">
        <f t="shared" si="735"/>
        <v>NA</v>
      </c>
      <c r="Z2209" s="29" t="str">
        <f t="shared" si="736"/>
        <v>NA</v>
      </c>
      <c r="AA2209" s="29" t="str">
        <f t="shared" si="737"/>
        <v>NA</v>
      </c>
      <c r="AB2209" s="29" t="str">
        <f t="shared" si="738"/>
        <v>NA</v>
      </c>
      <c r="AC2209" s="29" t="str">
        <f t="shared" si="739"/>
        <v>NA</v>
      </c>
      <c r="AD2209" s="29" t="str">
        <f t="shared" si="740"/>
        <v>NA</v>
      </c>
      <c r="AE2209" s="29" t="str">
        <f t="shared" si="741"/>
        <v>NA</v>
      </c>
      <c r="AF2209" s="29" t="str">
        <f t="shared" si="742"/>
        <v>NA</v>
      </c>
      <c r="AG2209" s="29" t="str">
        <f t="shared" si="743"/>
        <v>NA</v>
      </c>
      <c r="AH2209" s="29" t="str">
        <f t="shared" si="744"/>
        <v>NA</v>
      </c>
    </row>
    <row r="2210" customHeight="1" spans="1:34">
      <c r="A2210" s="12" t="s">
        <v>1043</v>
      </c>
      <c r="F2210" s="24">
        <f t="shared" si="726"/>
        <v>0</v>
      </c>
      <c r="G2210" s="24" t="e">
        <f t="shared" si="725"/>
        <v>#DIV/0!</v>
      </c>
      <c r="Q2210" s="29" t="str">
        <f t="shared" si="727"/>
        <v>NA</v>
      </c>
      <c r="R2210" s="29" t="str">
        <f t="shared" si="728"/>
        <v>NA</v>
      </c>
      <c r="S2210" s="29" t="str">
        <f t="shared" si="729"/>
        <v>NA</v>
      </c>
      <c r="T2210" s="29" t="str">
        <f t="shared" si="730"/>
        <v>NA</v>
      </c>
      <c r="U2210" s="29" t="str">
        <f t="shared" si="731"/>
        <v>NA</v>
      </c>
      <c r="V2210" s="29" t="str">
        <f t="shared" si="732"/>
        <v>NA</v>
      </c>
      <c r="W2210" s="29" t="str">
        <f t="shared" si="733"/>
        <v>NA</v>
      </c>
      <c r="X2210" s="29" t="str">
        <f t="shared" si="734"/>
        <v>NA</v>
      </c>
      <c r="Y2210" s="29" t="str">
        <f t="shared" si="735"/>
        <v>NA</v>
      </c>
      <c r="Z2210" s="29" t="str">
        <f t="shared" si="736"/>
        <v>NA</v>
      </c>
      <c r="AA2210" s="29" t="str">
        <f t="shared" si="737"/>
        <v>NA</v>
      </c>
      <c r="AB2210" s="29" t="str">
        <f t="shared" si="738"/>
        <v>NA</v>
      </c>
      <c r="AC2210" s="29" t="str">
        <f t="shared" si="739"/>
        <v>NA</v>
      </c>
      <c r="AD2210" s="29" t="str">
        <f t="shared" si="740"/>
        <v>NA</v>
      </c>
      <c r="AE2210" s="29" t="str">
        <f t="shared" si="741"/>
        <v>NA</v>
      </c>
      <c r="AF2210" s="29" t="str">
        <f t="shared" si="742"/>
        <v>NA</v>
      </c>
      <c r="AG2210" s="29" t="str">
        <f t="shared" si="743"/>
        <v>NA</v>
      </c>
      <c r="AH2210" s="29" t="str">
        <f t="shared" si="744"/>
        <v>NA</v>
      </c>
    </row>
    <row r="2211" customHeight="1" spans="1:34">
      <c r="A2211" s="12" t="s">
        <v>1043</v>
      </c>
      <c r="F2211" s="24">
        <f t="shared" si="726"/>
        <v>0</v>
      </c>
      <c r="G2211" s="24" t="e">
        <f t="shared" si="725"/>
        <v>#DIV/0!</v>
      </c>
      <c r="Q2211" s="29" t="str">
        <f t="shared" si="727"/>
        <v>NA</v>
      </c>
      <c r="R2211" s="29" t="str">
        <f t="shared" si="728"/>
        <v>NA</v>
      </c>
      <c r="S2211" s="29" t="str">
        <f t="shared" si="729"/>
        <v>NA</v>
      </c>
      <c r="T2211" s="29" t="str">
        <f t="shared" si="730"/>
        <v>NA</v>
      </c>
      <c r="U2211" s="29" t="str">
        <f t="shared" si="731"/>
        <v>NA</v>
      </c>
      <c r="V2211" s="29" t="str">
        <f t="shared" si="732"/>
        <v>NA</v>
      </c>
      <c r="W2211" s="29" t="str">
        <f t="shared" si="733"/>
        <v>NA</v>
      </c>
      <c r="X2211" s="29" t="str">
        <f t="shared" si="734"/>
        <v>NA</v>
      </c>
      <c r="Y2211" s="29" t="str">
        <f t="shared" si="735"/>
        <v>NA</v>
      </c>
      <c r="Z2211" s="29" t="str">
        <f t="shared" si="736"/>
        <v>NA</v>
      </c>
      <c r="AA2211" s="29" t="str">
        <f t="shared" si="737"/>
        <v>NA</v>
      </c>
      <c r="AB2211" s="29" t="str">
        <f t="shared" si="738"/>
        <v>NA</v>
      </c>
      <c r="AC2211" s="29" t="str">
        <f t="shared" si="739"/>
        <v>NA</v>
      </c>
      <c r="AD2211" s="29" t="str">
        <f t="shared" si="740"/>
        <v>NA</v>
      </c>
      <c r="AE2211" s="29" t="str">
        <f t="shared" si="741"/>
        <v>NA</v>
      </c>
      <c r="AF2211" s="29" t="str">
        <f t="shared" si="742"/>
        <v>NA</v>
      </c>
      <c r="AG2211" s="29" t="str">
        <f t="shared" si="743"/>
        <v>NA</v>
      </c>
      <c r="AH2211" s="29" t="str">
        <f t="shared" si="744"/>
        <v>NA</v>
      </c>
    </row>
    <row r="2212" customHeight="1" spans="1:34">
      <c r="A2212" s="12" t="s">
        <v>1043</v>
      </c>
      <c r="F2212" s="24">
        <f t="shared" si="726"/>
        <v>0</v>
      </c>
      <c r="G2212" s="24" t="e">
        <f t="shared" si="725"/>
        <v>#DIV/0!</v>
      </c>
      <c r="Q2212" s="29" t="str">
        <f t="shared" si="727"/>
        <v>NA</v>
      </c>
      <c r="R2212" s="29" t="str">
        <f t="shared" si="728"/>
        <v>NA</v>
      </c>
      <c r="S2212" s="29" t="str">
        <f t="shared" si="729"/>
        <v>NA</v>
      </c>
      <c r="T2212" s="29" t="str">
        <f t="shared" si="730"/>
        <v>NA</v>
      </c>
      <c r="U2212" s="29" t="str">
        <f t="shared" si="731"/>
        <v>NA</v>
      </c>
      <c r="V2212" s="29" t="str">
        <f t="shared" si="732"/>
        <v>NA</v>
      </c>
      <c r="W2212" s="29" t="str">
        <f t="shared" si="733"/>
        <v>NA</v>
      </c>
      <c r="X2212" s="29" t="str">
        <f t="shared" si="734"/>
        <v>NA</v>
      </c>
      <c r="Y2212" s="29" t="str">
        <f t="shared" si="735"/>
        <v>NA</v>
      </c>
      <c r="Z2212" s="29" t="str">
        <f t="shared" si="736"/>
        <v>NA</v>
      </c>
      <c r="AA2212" s="29" t="str">
        <f t="shared" si="737"/>
        <v>NA</v>
      </c>
      <c r="AB2212" s="29" t="str">
        <f t="shared" si="738"/>
        <v>NA</v>
      </c>
      <c r="AC2212" s="29" t="str">
        <f t="shared" si="739"/>
        <v>NA</v>
      </c>
      <c r="AD2212" s="29" t="str">
        <f t="shared" si="740"/>
        <v>NA</v>
      </c>
      <c r="AE2212" s="29" t="str">
        <f t="shared" si="741"/>
        <v>NA</v>
      </c>
      <c r="AF2212" s="29" t="str">
        <f t="shared" si="742"/>
        <v>NA</v>
      </c>
      <c r="AG2212" s="29" t="str">
        <f t="shared" si="743"/>
        <v>NA</v>
      </c>
      <c r="AH2212" s="29" t="str">
        <f t="shared" si="744"/>
        <v>NA</v>
      </c>
    </row>
    <row r="2213" customHeight="1" spans="1:34">
      <c r="A2213" s="12" t="s">
        <v>1043</v>
      </c>
      <c r="F2213" s="24">
        <f t="shared" si="726"/>
        <v>0</v>
      </c>
      <c r="G2213" s="24" t="e">
        <f t="shared" si="725"/>
        <v>#DIV/0!</v>
      </c>
      <c r="Q2213" s="29" t="str">
        <f t="shared" si="727"/>
        <v>NA</v>
      </c>
      <c r="R2213" s="29" t="str">
        <f t="shared" si="728"/>
        <v>NA</v>
      </c>
      <c r="S2213" s="29" t="str">
        <f t="shared" si="729"/>
        <v>NA</v>
      </c>
      <c r="T2213" s="29" t="str">
        <f t="shared" si="730"/>
        <v>NA</v>
      </c>
      <c r="U2213" s="29" t="str">
        <f t="shared" si="731"/>
        <v>NA</v>
      </c>
      <c r="V2213" s="29" t="str">
        <f t="shared" si="732"/>
        <v>NA</v>
      </c>
      <c r="W2213" s="29" t="str">
        <f t="shared" si="733"/>
        <v>NA</v>
      </c>
      <c r="X2213" s="29" t="str">
        <f t="shared" si="734"/>
        <v>NA</v>
      </c>
      <c r="Y2213" s="29" t="str">
        <f t="shared" si="735"/>
        <v>NA</v>
      </c>
      <c r="Z2213" s="29" t="str">
        <f t="shared" si="736"/>
        <v>NA</v>
      </c>
      <c r="AA2213" s="29" t="str">
        <f t="shared" si="737"/>
        <v>NA</v>
      </c>
      <c r="AB2213" s="29" t="str">
        <f t="shared" si="738"/>
        <v>NA</v>
      </c>
      <c r="AC2213" s="29" t="str">
        <f t="shared" si="739"/>
        <v>NA</v>
      </c>
      <c r="AD2213" s="29" t="str">
        <f t="shared" si="740"/>
        <v>NA</v>
      </c>
      <c r="AE2213" s="29" t="str">
        <f t="shared" si="741"/>
        <v>NA</v>
      </c>
      <c r="AF2213" s="29" t="str">
        <f t="shared" si="742"/>
        <v>NA</v>
      </c>
      <c r="AG2213" s="29" t="str">
        <f t="shared" si="743"/>
        <v>NA</v>
      </c>
      <c r="AH2213" s="29" t="str">
        <f t="shared" si="744"/>
        <v>NA</v>
      </c>
    </row>
    <row r="2214" customHeight="1" spans="1:34">
      <c r="A2214" s="12" t="s">
        <v>1043</v>
      </c>
      <c r="F2214" s="24">
        <f t="shared" si="726"/>
        <v>0</v>
      </c>
      <c r="G2214" s="24" t="e">
        <f t="shared" si="725"/>
        <v>#DIV/0!</v>
      </c>
      <c r="Q2214" s="29" t="str">
        <f t="shared" si="727"/>
        <v>NA</v>
      </c>
      <c r="R2214" s="29" t="str">
        <f t="shared" si="728"/>
        <v>NA</v>
      </c>
      <c r="S2214" s="29" t="str">
        <f t="shared" si="729"/>
        <v>NA</v>
      </c>
      <c r="T2214" s="29" t="str">
        <f t="shared" si="730"/>
        <v>NA</v>
      </c>
      <c r="U2214" s="29" t="str">
        <f t="shared" si="731"/>
        <v>NA</v>
      </c>
      <c r="V2214" s="29" t="str">
        <f t="shared" si="732"/>
        <v>NA</v>
      </c>
      <c r="W2214" s="29" t="str">
        <f t="shared" si="733"/>
        <v>NA</v>
      </c>
      <c r="X2214" s="29" t="str">
        <f t="shared" si="734"/>
        <v>NA</v>
      </c>
      <c r="Y2214" s="29" t="str">
        <f t="shared" si="735"/>
        <v>NA</v>
      </c>
      <c r="Z2214" s="29" t="str">
        <f t="shared" si="736"/>
        <v>NA</v>
      </c>
      <c r="AA2214" s="29" t="str">
        <f t="shared" si="737"/>
        <v>NA</v>
      </c>
      <c r="AB2214" s="29" t="str">
        <f t="shared" si="738"/>
        <v>NA</v>
      </c>
      <c r="AC2214" s="29" t="str">
        <f t="shared" si="739"/>
        <v>NA</v>
      </c>
      <c r="AD2214" s="29" t="str">
        <f t="shared" si="740"/>
        <v>NA</v>
      </c>
      <c r="AE2214" s="29" t="str">
        <f t="shared" si="741"/>
        <v>NA</v>
      </c>
      <c r="AF2214" s="29" t="str">
        <f t="shared" si="742"/>
        <v>NA</v>
      </c>
      <c r="AG2214" s="29" t="str">
        <f t="shared" si="743"/>
        <v>NA</v>
      </c>
      <c r="AH2214" s="29" t="str">
        <f t="shared" si="744"/>
        <v>NA</v>
      </c>
    </row>
    <row r="2215" customHeight="1" spans="1:34">
      <c r="A2215" s="12" t="s">
        <v>1043</v>
      </c>
      <c r="F2215" s="24">
        <f t="shared" si="726"/>
        <v>0</v>
      </c>
      <c r="G2215" s="24" t="e">
        <f t="shared" si="725"/>
        <v>#DIV/0!</v>
      </c>
      <c r="Q2215" s="29" t="str">
        <f t="shared" si="727"/>
        <v>NA</v>
      </c>
      <c r="R2215" s="29" t="str">
        <f t="shared" si="728"/>
        <v>NA</v>
      </c>
      <c r="S2215" s="29" t="str">
        <f t="shared" si="729"/>
        <v>NA</v>
      </c>
      <c r="T2215" s="29" t="str">
        <f t="shared" si="730"/>
        <v>NA</v>
      </c>
      <c r="U2215" s="29" t="str">
        <f t="shared" si="731"/>
        <v>NA</v>
      </c>
      <c r="V2215" s="29" t="str">
        <f t="shared" si="732"/>
        <v>NA</v>
      </c>
      <c r="W2215" s="29" t="str">
        <f t="shared" si="733"/>
        <v>NA</v>
      </c>
      <c r="X2215" s="29" t="str">
        <f t="shared" si="734"/>
        <v>NA</v>
      </c>
      <c r="Y2215" s="29" t="str">
        <f t="shared" si="735"/>
        <v>NA</v>
      </c>
      <c r="Z2215" s="29" t="str">
        <f t="shared" si="736"/>
        <v>NA</v>
      </c>
      <c r="AA2215" s="29" t="str">
        <f t="shared" si="737"/>
        <v>NA</v>
      </c>
      <c r="AB2215" s="29" t="str">
        <f t="shared" si="738"/>
        <v>NA</v>
      </c>
      <c r="AC2215" s="29" t="str">
        <f t="shared" si="739"/>
        <v>NA</v>
      </c>
      <c r="AD2215" s="29" t="str">
        <f t="shared" si="740"/>
        <v>NA</v>
      </c>
      <c r="AE2215" s="29" t="str">
        <f t="shared" si="741"/>
        <v>NA</v>
      </c>
      <c r="AF2215" s="29" t="str">
        <f t="shared" si="742"/>
        <v>NA</v>
      </c>
      <c r="AG2215" s="29" t="str">
        <f t="shared" si="743"/>
        <v>NA</v>
      </c>
      <c r="AH2215" s="29" t="str">
        <f t="shared" si="744"/>
        <v>NA</v>
      </c>
    </row>
    <row r="2216" customHeight="1" spans="1:34">
      <c r="A2216" s="12" t="s">
        <v>1043</v>
      </c>
      <c r="F2216" s="24">
        <f t="shared" si="726"/>
        <v>0</v>
      </c>
      <c r="G2216" s="24" t="e">
        <f t="shared" si="725"/>
        <v>#DIV/0!</v>
      </c>
      <c r="Q2216" s="29" t="str">
        <f t="shared" si="727"/>
        <v>NA</v>
      </c>
      <c r="R2216" s="29" t="str">
        <f t="shared" si="728"/>
        <v>NA</v>
      </c>
      <c r="S2216" s="29" t="str">
        <f t="shared" si="729"/>
        <v>NA</v>
      </c>
      <c r="T2216" s="29" t="str">
        <f t="shared" si="730"/>
        <v>NA</v>
      </c>
      <c r="U2216" s="29" t="str">
        <f t="shared" si="731"/>
        <v>NA</v>
      </c>
      <c r="V2216" s="29" t="str">
        <f t="shared" si="732"/>
        <v>NA</v>
      </c>
      <c r="W2216" s="29" t="str">
        <f t="shared" si="733"/>
        <v>NA</v>
      </c>
      <c r="X2216" s="29" t="str">
        <f t="shared" si="734"/>
        <v>NA</v>
      </c>
      <c r="Y2216" s="29" t="str">
        <f t="shared" si="735"/>
        <v>NA</v>
      </c>
      <c r="Z2216" s="29" t="str">
        <f t="shared" si="736"/>
        <v>NA</v>
      </c>
      <c r="AA2216" s="29" t="str">
        <f t="shared" si="737"/>
        <v>NA</v>
      </c>
      <c r="AB2216" s="29" t="str">
        <f t="shared" si="738"/>
        <v>NA</v>
      </c>
      <c r="AC2216" s="29" t="str">
        <f t="shared" si="739"/>
        <v>NA</v>
      </c>
      <c r="AD2216" s="29" t="str">
        <f t="shared" si="740"/>
        <v>NA</v>
      </c>
      <c r="AE2216" s="29" t="str">
        <f t="shared" si="741"/>
        <v>NA</v>
      </c>
      <c r="AF2216" s="29" t="str">
        <f t="shared" si="742"/>
        <v>NA</v>
      </c>
      <c r="AG2216" s="29" t="str">
        <f t="shared" si="743"/>
        <v>NA</v>
      </c>
      <c r="AH2216" s="29" t="str">
        <f t="shared" si="744"/>
        <v>NA</v>
      </c>
    </row>
    <row r="2217" customHeight="1" spans="1:34">
      <c r="A2217" s="12" t="s">
        <v>1043</v>
      </c>
      <c r="F2217" s="24">
        <f t="shared" si="726"/>
        <v>0</v>
      </c>
      <c r="G2217" s="24" t="e">
        <f t="shared" si="725"/>
        <v>#DIV/0!</v>
      </c>
      <c r="Q2217" s="29" t="str">
        <f t="shared" si="727"/>
        <v>NA</v>
      </c>
      <c r="R2217" s="29" t="str">
        <f t="shared" si="728"/>
        <v>NA</v>
      </c>
      <c r="S2217" s="29" t="str">
        <f t="shared" si="729"/>
        <v>NA</v>
      </c>
      <c r="T2217" s="29" t="str">
        <f t="shared" si="730"/>
        <v>NA</v>
      </c>
      <c r="U2217" s="29" t="str">
        <f t="shared" si="731"/>
        <v>NA</v>
      </c>
      <c r="V2217" s="29" t="str">
        <f t="shared" si="732"/>
        <v>NA</v>
      </c>
      <c r="W2217" s="29" t="str">
        <f t="shared" si="733"/>
        <v>NA</v>
      </c>
      <c r="X2217" s="29" t="str">
        <f t="shared" si="734"/>
        <v>NA</v>
      </c>
      <c r="Y2217" s="29" t="str">
        <f t="shared" si="735"/>
        <v>NA</v>
      </c>
      <c r="Z2217" s="29" t="str">
        <f t="shared" si="736"/>
        <v>NA</v>
      </c>
      <c r="AA2217" s="29" t="str">
        <f t="shared" si="737"/>
        <v>NA</v>
      </c>
      <c r="AB2217" s="29" t="str">
        <f t="shared" si="738"/>
        <v>NA</v>
      </c>
      <c r="AC2217" s="29" t="str">
        <f t="shared" si="739"/>
        <v>NA</v>
      </c>
      <c r="AD2217" s="29" t="str">
        <f t="shared" si="740"/>
        <v>NA</v>
      </c>
      <c r="AE2217" s="29" t="str">
        <f t="shared" si="741"/>
        <v>NA</v>
      </c>
      <c r="AF2217" s="29" t="str">
        <f t="shared" si="742"/>
        <v>NA</v>
      </c>
      <c r="AG2217" s="29" t="str">
        <f t="shared" si="743"/>
        <v>NA</v>
      </c>
      <c r="AH2217" s="29" t="str">
        <f t="shared" si="744"/>
        <v>NA</v>
      </c>
    </row>
    <row r="2218" customHeight="1" spans="1:34">
      <c r="A2218" s="12" t="s">
        <v>1043</v>
      </c>
      <c r="F2218" s="24">
        <f t="shared" si="726"/>
        <v>0</v>
      </c>
      <c r="G2218" s="24" t="e">
        <f t="shared" si="725"/>
        <v>#DIV/0!</v>
      </c>
      <c r="Q2218" s="29" t="str">
        <f t="shared" si="727"/>
        <v>NA</v>
      </c>
      <c r="R2218" s="29" t="str">
        <f t="shared" si="728"/>
        <v>NA</v>
      </c>
      <c r="S2218" s="29" t="str">
        <f t="shared" si="729"/>
        <v>NA</v>
      </c>
      <c r="T2218" s="29" t="str">
        <f t="shared" si="730"/>
        <v>NA</v>
      </c>
      <c r="U2218" s="29" t="str">
        <f t="shared" si="731"/>
        <v>NA</v>
      </c>
      <c r="V2218" s="29" t="str">
        <f t="shared" si="732"/>
        <v>NA</v>
      </c>
      <c r="W2218" s="29" t="str">
        <f t="shared" si="733"/>
        <v>NA</v>
      </c>
      <c r="X2218" s="29" t="str">
        <f t="shared" si="734"/>
        <v>NA</v>
      </c>
      <c r="Y2218" s="29" t="str">
        <f t="shared" si="735"/>
        <v>NA</v>
      </c>
      <c r="Z2218" s="29" t="str">
        <f t="shared" si="736"/>
        <v>NA</v>
      </c>
      <c r="AA2218" s="29" t="str">
        <f t="shared" si="737"/>
        <v>NA</v>
      </c>
      <c r="AB2218" s="29" t="str">
        <f t="shared" si="738"/>
        <v>NA</v>
      </c>
      <c r="AC2218" s="29" t="str">
        <f t="shared" si="739"/>
        <v>NA</v>
      </c>
      <c r="AD2218" s="29" t="str">
        <f t="shared" si="740"/>
        <v>NA</v>
      </c>
      <c r="AE2218" s="29" t="str">
        <f t="shared" si="741"/>
        <v>NA</v>
      </c>
      <c r="AF2218" s="29" t="str">
        <f t="shared" si="742"/>
        <v>NA</v>
      </c>
      <c r="AG2218" s="29" t="str">
        <f t="shared" si="743"/>
        <v>NA</v>
      </c>
      <c r="AH2218" s="29" t="str">
        <f t="shared" si="744"/>
        <v>NA</v>
      </c>
    </row>
    <row r="2219" customHeight="1" spans="1:34">
      <c r="A2219" s="12" t="s">
        <v>1043</v>
      </c>
      <c r="F2219" s="24">
        <f t="shared" si="726"/>
        <v>0</v>
      </c>
      <c r="G2219" s="24" t="e">
        <f t="shared" si="725"/>
        <v>#DIV/0!</v>
      </c>
      <c r="Q2219" s="29" t="str">
        <f t="shared" si="727"/>
        <v>NA</v>
      </c>
      <c r="R2219" s="29" t="str">
        <f t="shared" si="728"/>
        <v>NA</v>
      </c>
      <c r="S2219" s="29" t="str">
        <f t="shared" si="729"/>
        <v>NA</v>
      </c>
      <c r="T2219" s="29" t="str">
        <f t="shared" si="730"/>
        <v>NA</v>
      </c>
      <c r="U2219" s="29" t="str">
        <f t="shared" si="731"/>
        <v>NA</v>
      </c>
      <c r="V2219" s="29" t="str">
        <f t="shared" si="732"/>
        <v>NA</v>
      </c>
      <c r="W2219" s="29" t="str">
        <f t="shared" si="733"/>
        <v>NA</v>
      </c>
      <c r="X2219" s="29" t="str">
        <f t="shared" si="734"/>
        <v>NA</v>
      </c>
      <c r="Y2219" s="29" t="str">
        <f t="shared" si="735"/>
        <v>NA</v>
      </c>
      <c r="Z2219" s="29" t="str">
        <f t="shared" si="736"/>
        <v>NA</v>
      </c>
      <c r="AA2219" s="29" t="str">
        <f t="shared" si="737"/>
        <v>NA</v>
      </c>
      <c r="AB2219" s="29" t="str">
        <f t="shared" si="738"/>
        <v>NA</v>
      </c>
      <c r="AC2219" s="29" t="str">
        <f t="shared" si="739"/>
        <v>NA</v>
      </c>
      <c r="AD2219" s="29" t="str">
        <f t="shared" si="740"/>
        <v>NA</v>
      </c>
      <c r="AE2219" s="29" t="str">
        <f t="shared" si="741"/>
        <v>NA</v>
      </c>
      <c r="AF2219" s="29" t="str">
        <f t="shared" si="742"/>
        <v>NA</v>
      </c>
      <c r="AG2219" s="29" t="str">
        <f t="shared" si="743"/>
        <v>NA</v>
      </c>
      <c r="AH2219" s="29" t="str">
        <f t="shared" si="744"/>
        <v>NA</v>
      </c>
    </row>
    <row r="2220" customHeight="1" spans="1:34">
      <c r="A2220" s="12" t="s">
        <v>1043</v>
      </c>
      <c r="F2220" s="24">
        <f t="shared" si="726"/>
        <v>0</v>
      </c>
      <c r="G2220" s="24" t="e">
        <f t="shared" si="725"/>
        <v>#DIV/0!</v>
      </c>
      <c r="Q2220" s="29" t="str">
        <f t="shared" si="727"/>
        <v>NA</v>
      </c>
      <c r="R2220" s="29" t="str">
        <f t="shared" si="728"/>
        <v>NA</v>
      </c>
      <c r="S2220" s="29" t="str">
        <f t="shared" si="729"/>
        <v>NA</v>
      </c>
      <c r="T2220" s="29" t="str">
        <f t="shared" si="730"/>
        <v>NA</v>
      </c>
      <c r="U2220" s="29" t="str">
        <f t="shared" si="731"/>
        <v>NA</v>
      </c>
      <c r="V2220" s="29" t="str">
        <f t="shared" si="732"/>
        <v>NA</v>
      </c>
      <c r="W2220" s="29" t="str">
        <f t="shared" si="733"/>
        <v>NA</v>
      </c>
      <c r="X2220" s="29" t="str">
        <f t="shared" si="734"/>
        <v>NA</v>
      </c>
      <c r="Y2220" s="29" t="str">
        <f t="shared" si="735"/>
        <v>NA</v>
      </c>
      <c r="Z2220" s="29" t="str">
        <f t="shared" si="736"/>
        <v>NA</v>
      </c>
      <c r="AA2220" s="29" t="str">
        <f t="shared" si="737"/>
        <v>NA</v>
      </c>
      <c r="AB2220" s="29" t="str">
        <f t="shared" si="738"/>
        <v>NA</v>
      </c>
      <c r="AC2220" s="29" t="str">
        <f t="shared" si="739"/>
        <v>NA</v>
      </c>
      <c r="AD2220" s="29" t="str">
        <f t="shared" si="740"/>
        <v>NA</v>
      </c>
      <c r="AE2220" s="29" t="str">
        <f t="shared" si="741"/>
        <v>NA</v>
      </c>
      <c r="AF2220" s="29" t="str">
        <f t="shared" si="742"/>
        <v>NA</v>
      </c>
      <c r="AG2220" s="29" t="str">
        <f t="shared" si="743"/>
        <v>NA</v>
      </c>
      <c r="AH2220" s="29" t="str">
        <f t="shared" si="744"/>
        <v>NA</v>
      </c>
    </row>
    <row r="2221" customHeight="1" spans="1:34">
      <c r="A2221" s="12" t="s">
        <v>1043</v>
      </c>
      <c r="F2221" s="24">
        <f t="shared" si="726"/>
        <v>0</v>
      </c>
      <c r="G2221" s="24" t="e">
        <f t="shared" si="725"/>
        <v>#DIV/0!</v>
      </c>
      <c r="Q2221" s="29" t="str">
        <f t="shared" si="727"/>
        <v>NA</v>
      </c>
      <c r="R2221" s="29" t="str">
        <f t="shared" si="728"/>
        <v>NA</v>
      </c>
      <c r="S2221" s="29" t="str">
        <f t="shared" si="729"/>
        <v>NA</v>
      </c>
      <c r="T2221" s="29" t="str">
        <f t="shared" si="730"/>
        <v>NA</v>
      </c>
      <c r="U2221" s="29" t="str">
        <f t="shared" si="731"/>
        <v>NA</v>
      </c>
      <c r="V2221" s="29" t="str">
        <f t="shared" si="732"/>
        <v>NA</v>
      </c>
      <c r="W2221" s="29" t="str">
        <f t="shared" si="733"/>
        <v>NA</v>
      </c>
      <c r="X2221" s="29" t="str">
        <f t="shared" si="734"/>
        <v>NA</v>
      </c>
      <c r="Y2221" s="29" t="str">
        <f t="shared" si="735"/>
        <v>NA</v>
      </c>
      <c r="Z2221" s="29" t="str">
        <f t="shared" si="736"/>
        <v>NA</v>
      </c>
      <c r="AA2221" s="29" t="str">
        <f t="shared" si="737"/>
        <v>NA</v>
      </c>
      <c r="AB2221" s="29" t="str">
        <f t="shared" si="738"/>
        <v>NA</v>
      </c>
      <c r="AC2221" s="29" t="str">
        <f t="shared" si="739"/>
        <v>NA</v>
      </c>
      <c r="AD2221" s="29" t="str">
        <f t="shared" si="740"/>
        <v>NA</v>
      </c>
      <c r="AE2221" s="29" t="str">
        <f t="shared" si="741"/>
        <v>NA</v>
      </c>
      <c r="AF2221" s="29" t="str">
        <f t="shared" si="742"/>
        <v>NA</v>
      </c>
      <c r="AG2221" s="29" t="str">
        <f t="shared" si="743"/>
        <v>NA</v>
      </c>
      <c r="AH2221" s="29" t="str">
        <f t="shared" si="744"/>
        <v>NA</v>
      </c>
    </row>
    <row r="2222" customHeight="1" spans="1:34">
      <c r="A2222" s="12" t="s">
        <v>1043</v>
      </c>
      <c r="F2222" s="24">
        <f t="shared" si="726"/>
        <v>0</v>
      </c>
      <c r="G2222" s="24" t="e">
        <f t="shared" si="725"/>
        <v>#DIV/0!</v>
      </c>
      <c r="Q2222" s="29" t="str">
        <f t="shared" si="727"/>
        <v>NA</v>
      </c>
      <c r="R2222" s="29" t="str">
        <f t="shared" si="728"/>
        <v>NA</v>
      </c>
      <c r="S2222" s="29" t="str">
        <f t="shared" si="729"/>
        <v>NA</v>
      </c>
      <c r="T2222" s="29" t="str">
        <f t="shared" si="730"/>
        <v>NA</v>
      </c>
      <c r="U2222" s="29" t="str">
        <f t="shared" si="731"/>
        <v>NA</v>
      </c>
      <c r="V2222" s="29" t="str">
        <f t="shared" si="732"/>
        <v>NA</v>
      </c>
      <c r="W2222" s="29" t="str">
        <f t="shared" si="733"/>
        <v>NA</v>
      </c>
      <c r="X2222" s="29" t="str">
        <f t="shared" si="734"/>
        <v>NA</v>
      </c>
      <c r="Y2222" s="29" t="str">
        <f t="shared" si="735"/>
        <v>NA</v>
      </c>
      <c r="Z2222" s="29" t="str">
        <f t="shared" si="736"/>
        <v>NA</v>
      </c>
      <c r="AA2222" s="29" t="str">
        <f t="shared" si="737"/>
        <v>NA</v>
      </c>
      <c r="AB2222" s="29" t="str">
        <f t="shared" si="738"/>
        <v>NA</v>
      </c>
      <c r="AC2222" s="29" t="str">
        <f t="shared" si="739"/>
        <v>NA</v>
      </c>
      <c r="AD2222" s="29" t="str">
        <f t="shared" si="740"/>
        <v>NA</v>
      </c>
      <c r="AE2222" s="29" t="str">
        <f t="shared" si="741"/>
        <v>NA</v>
      </c>
      <c r="AF2222" s="29" t="str">
        <f t="shared" si="742"/>
        <v>NA</v>
      </c>
      <c r="AG2222" s="29" t="str">
        <f t="shared" si="743"/>
        <v>NA</v>
      </c>
      <c r="AH2222" s="29" t="str">
        <f t="shared" si="744"/>
        <v>NA</v>
      </c>
    </row>
    <row r="2223" customHeight="1" spans="1:34">
      <c r="A2223" s="12" t="s">
        <v>1043</v>
      </c>
      <c r="F2223" s="24">
        <f t="shared" si="726"/>
        <v>0</v>
      </c>
      <c r="G2223" s="24" t="e">
        <f t="shared" si="725"/>
        <v>#DIV/0!</v>
      </c>
      <c r="Q2223" s="29" t="str">
        <f t="shared" si="727"/>
        <v>NA</v>
      </c>
      <c r="R2223" s="29" t="str">
        <f t="shared" si="728"/>
        <v>NA</v>
      </c>
      <c r="S2223" s="29" t="str">
        <f t="shared" si="729"/>
        <v>NA</v>
      </c>
      <c r="T2223" s="29" t="str">
        <f t="shared" si="730"/>
        <v>NA</v>
      </c>
      <c r="U2223" s="29" t="str">
        <f t="shared" si="731"/>
        <v>NA</v>
      </c>
      <c r="V2223" s="29" t="str">
        <f t="shared" si="732"/>
        <v>NA</v>
      </c>
      <c r="W2223" s="29" t="str">
        <f t="shared" si="733"/>
        <v>NA</v>
      </c>
      <c r="X2223" s="29" t="str">
        <f t="shared" si="734"/>
        <v>NA</v>
      </c>
      <c r="Y2223" s="29" t="str">
        <f t="shared" si="735"/>
        <v>NA</v>
      </c>
      <c r="Z2223" s="29" t="str">
        <f t="shared" si="736"/>
        <v>NA</v>
      </c>
      <c r="AA2223" s="29" t="str">
        <f t="shared" si="737"/>
        <v>NA</v>
      </c>
      <c r="AB2223" s="29" t="str">
        <f t="shared" si="738"/>
        <v>NA</v>
      </c>
      <c r="AC2223" s="29" t="str">
        <f t="shared" si="739"/>
        <v>NA</v>
      </c>
      <c r="AD2223" s="29" t="str">
        <f t="shared" si="740"/>
        <v>NA</v>
      </c>
      <c r="AE2223" s="29" t="str">
        <f t="shared" si="741"/>
        <v>NA</v>
      </c>
      <c r="AF2223" s="29" t="str">
        <f t="shared" si="742"/>
        <v>NA</v>
      </c>
      <c r="AG2223" s="29" t="str">
        <f t="shared" si="743"/>
        <v>NA</v>
      </c>
      <c r="AH2223" s="29" t="str">
        <f t="shared" si="744"/>
        <v>NA</v>
      </c>
    </row>
    <row r="2224" customHeight="1" spans="1:34">
      <c r="A2224" s="12" t="s">
        <v>1043</v>
      </c>
      <c r="F2224" s="24">
        <f t="shared" si="726"/>
        <v>0</v>
      </c>
      <c r="G2224" s="24" t="e">
        <f t="shared" si="725"/>
        <v>#DIV/0!</v>
      </c>
      <c r="Q2224" s="29" t="str">
        <f t="shared" si="727"/>
        <v>NA</v>
      </c>
      <c r="R2224" s="29" t="str">
        <f t="shared" si="728"/>
        <v>NA</v>
      </c>
      <c r="S2224" s="29" t="str">
        <f t="shared" si="729"/>
        <v>NA</v>
      </c>
      <c r="T2224" s="29" t="str">
        <f t="shared" si="730"/>
        <v>NA</v>
      </c>
      <c r="U2224" s="29" t="str">
        <f t="shared" si="731"/>
        <v>NA</v>
      </c>
      <c r="V2224" s="29" t="str">
        <f t="shared" si="732"/>
        <v>NA</v>
      </c>
      <c r="W2224" s="29" t="str">
        <f t="shared" si="733"/>
        <v>NA</v>
      </c>
      <c r="X2224" s="29" t="str">
        <f t="shared" si="734"/>
        <v>NA</v>
      </c>
      <c r="Y2224" s="29" t="str">
        <f t="shared" si="735"/>
        <v>NA</v>
      </c>
      <c r="Z2224" s="29" t="str">
        <f t="shared" si="736"/>
        <v>NA</v>
      </c>
      <c r="AA2224" s="29" t="str">
        <f t="shared" si="737"/>
        <v>NA</v>
      </c>
      <c r="AB2224" s="29" t="str">
        <f t="shared" si="738"/>
        <v>NA</v>
      </c>
      <c r="AC2224" s="29" t="str">
        <f t="shared" si="739"/>
        <v>NA</v>
      </c>
      <c r="AD2224" s="29" t="str">
        <f t="shared" si="740"/>
        <v>NA</v>
      </c>
      <c r="AE2224" s="29" t="str">
        <f t="shared" si="741"/>
        <v>NA</v>
      </c>
      <c r="AF2224" s="29" t="str">
        <f t="shared" si="742"/>
        <v>NA</v>
      </c>
      <c r="AG2224" s="29" t="str">
        <f t="shared" si="743"/>
        <v>NA</v>
      </c>
      <c r="AH2224" s="29" t="str">
        <f t="shared" si="744"/>
        <v>NA</v>
      </c>
    </row>
    <row r="2225" customHeight="1" spans="1:34">
      <c r="A2225" s="12" t="s">
        <v>1043</v>
      </c>
      <c r="F2225" s="24">
        <f t="shared" si="726"/>
        <v>0</v>
      </c>
      <c r="G2225" s="24" t="e">
        <f t="shared" si="725"/>
        <v>#DIV/0!</v>
      </c>
      <c r="Q2225" s="29" t="str">
        <f t="shared" si="727"/>
        <v>NA</v>
      </c>
      <c r="R2225" s="29" t="str">
        <f t="shared" si="728"/>
        <v>NA</v>
      </c>
      <c r="S2225" s="29" t="str">
        <f t="shared" si="729"/>
        <v>NA</v>
      </c>
      <c r="T2225" s="29" t="str">
        <f t="shared" si="730"/>
        <v>NA</v>
      </c>
      <c r="U2225" s="29" t="str">
        <f t="shared" si="731"/>
        <v>NA</v>
      </c>
      <c r="V2225" s="29" t="str">
        <f t="shared" si="732"/>
        <v>NA</v>
      </c>
      <c r="W2225" s="29" t="str">
        <f t="shared" si="733"/>
        <v>NA</v>
      </c>
      <c r="X2225" s="29" t="str">
        <f t="shared" si="734"/>
        <v>NA</v>
      </c>
      <c r="Y2225" s="29" t="str">
        <f t="shared" si="735"/>
        <v>NA</v>
      </c>
      <c r="Z2225" s="29" t="str">
        <f t="shared" si="736"/>
        <v>NA</v>
      </c>
      <c r="AA2225" s="29" t="str">
        <f t="shared" si="737"/>
        <v>NA</v>
      </c>
      <c r="AB2225" s="29" t="str">
        <f t="shared" si="738"/>
        <v>NA</v>
      </c>
      <c r="AC2225" s="29" t="str">
        <f t="shared" si="739"/>
        <v>NA</v>
      </c>
      <c r="AD2225" s="29" t="str">
        <f t="shared" si="740"/>
        <v>NA</v>
      </c>
      <c r="AE2225" s="29" t="str">
        <f t="shared" si="741"/>
        <v>NA</v>
      </c>
      <c r="AF2225" s="29" t="str">
        <f t="shared" si="742"/>
        <v>NA</v>
      </c>
      <c r="AG2225" s="29" t="str">
        <f t="shared" si="743"/>
        <v>NA</v>
      </c>
      <c r="AH2225" s="29" t="str">
        <f t="shared" si="744"/>
        <v>NA</v>
      </c>
    </row>
    <row r="2226" customHeight="1" spans="1:34">
      <c r="A2226" s="12" t="s">
        <v>1043</v>
      </c>
      <c r="F2226" s="24">
        <f t="shared" si="726"/>
        <v>0</v>
      </c>
      <c r="G2226" s="24" t="e">
        <f t="shared" si="725"/>
        <v>#DIV/0!</v>
      </c>
      <c r="Q2226" s="29" t="str">
        <f t="shared" si="727"/>
        <v>NA</v>
      </c>
      <c r="R2226" s="29" t="str">
        <f t="shared" si="728"/>
        <v>NA</v>
      </c>
      <c r="S2226" s="29" t="str">
        <f t="shared" si="729"/>
        <v>NA</v>
      </c>
      <c r="T2226" s="29" t="str">
        <f t="shared" si="730"/>
        <v>NA</v>
      </c>
      <c r="U2226" s="29" t="str">
        <f t="shared" si="731"/>
        <v>NA</v>
      </c>
      <c r="V2226" s="29" t="str">
        <f t="shared" si="732"/>
        <v>NA</v>
      </c>
      <c r="W2226" s="29" t="str">
        <f t="shared" si="733"/>
        <v>NA</v>
      </c>
      <c r="X2226" s="29" t="str">
        <f t="shared" si="734"/>
        <v>NA</v>
      </c>
      <c r="Y2226" s="29" t="str">
        <f t="shared" si="735"/>
        <v>NA</v>
      </c>
      <c r="Z2226" s="29" t="str">
        <f t="shared" si="736"/>
        <v>NA</v>
      </c>
      <c r="AA2226" s="29" t="str">
        <f t="shared" si="737"/>
        <v>NA</v>
      </c>
      <c r="AB2226" s="29" t="str">
        <f t="shared" si="738"/>
        <v>NA</v>
      </c>
      <c r="AC2226" s="29" t="str">
        <f t="shared" si="739"/>
        <v>NA</v>
      </c>
      <c r="AD2226" s="29" t="str">
        <f t="shared" si="740"/>
        <v>NA</v>
      </c>
      <c r="AE2226" s="29" t="str">
        <f t="shared" si="741"/>
        <v>NA</v>
      </c>
      <c r="AF2226" s="29" t="str">
        <f t="shared" si="742"/>
        <v>NA</v>
      </c>
      <c r="AG2226" s="29" t="str">
        <f t="shared" si="743"/>
        <v>NA</v>
      </c>
      <c r="AH2226" s="29" t="str">
        <f t="shared" si="744"/>
        <v>NA</v>
      </c>
    </row>
    <row r="2227" customHeight="1" spans="1:34">
      <c r="A2227" s="12" t="s">
        <v>1043</v>
      </c>
      <c r="F2227" s="24">
        <f t="shared" si="726"/>
        <v>0</v>
      </c>
      <c r="G2227" s="24" t="e">
        <f t="shared" si="725"/>
        <v>#DIV/0!</v>
      </c>
      <c r="Q2227" s="29" t="str">
        <f t="shared" si="727"/>
        <v>NA</v>
      </c>
      <c r="R2227" s="29" t="str">
        <f t="shared" si="728"/>
        <v>NA</v>
      </c>
      <c r="S2227" s="29" t="str">
        <f t="shared" si="729"/>
        <v>NA</v>
      </c>
      <c r="T2227" s="29" t="str">
        <f t="shared" si="730"/>
        <v>NA</v>
      </c>
      <c r="U2227" s="29" t="str">
        <f t="shared" si="731"/>
        <v>NA</v>
      </c>
      <c r="V2227" s="29" t="str">
        <f t="shared" si="732"/>
        <v>NA</v>
      </c>
      <c r="W2227" s="29" t="str">
        <f t="shared" si="733"/>
        <v>NA</v>
      </c>
      <c r="X2227" s="29" t="str">
        <f t="shared" si="734"/>
        <v>NA</v>
      </c>
      <c r="Y2227" s="29" t="str">
        <f t="shared" si="735"/>
        <v>NA</v>
      </c>
      <c r="Z2227" s="29" t="str">
        <f t="shared" si="736"/>
        <v>NA</v>
      </c>
      <c r="AA2227" s="29" t="str">
        <f t="shared" si="737"/>
        <v>NA</v>
      </c>
      <c r="AB2227" s="29" t="str">
        <f t="shared" si="738"/>
        <v>NA</v>
      </c>
      <c r="AC2227" s="29" t="str">
        <f t="shared" si="739"/>
        <v>NA</v>
      </c>
      <c r="AD2227" s="29" t="str">
        <f t="shared" si="740"/>
        <v>NA</v>
      </c>
      <c r="AE2227" s="29" t="str">
        <f t="shared" si="741"/>
        <v>NA</v>
      </c>
      <c r="AF2227" s="29" t="str">
        <f t="shared" si="742"/>
        <v>NA</v>
      </c>
      <c r="AG2227" s="29" t="str">
        <f t="shared" si="743"/>
        <v>NA</v>
      </c>
      <c r="AH2227" s="29" t="str">
        <f t="shared" si="744"/>
        <v>NA</v>
      </c>
    </row>
    <row r="2228" customHeight="1" spans="1:34">
      <c r="A2228" s="12" t="s">
        <v>1043</v>
      </c>
      <c r="F2228" s="24">
        <f t="shared" si="726"/>
        <v>0</v>
      </c>
      <c r="G2228" s="24" t="e">
        <f t="shared" si="725"/>
        <v>#DIV/0!</v>
      </c>
      <c r="Q2228" s="29" t="str">
        <f t="shared" si="727"/>
        <v>NA</v>
      </c>
      <c r="R2228" s="29" t="str">
        <f t="shared" si="728"/>
        <v>NA</v>
      </c>
      <c r="S2228" s="29" t="str">
        <f t="shared" si="729"/>
        <v>NA</v>
      </c>
      <c r="T2228" s="29" t="str">
        <f t="shared" si="730"/>
        <v>NA</v>
      </c>
      <c r="U2228" s="29" t="str">
        <f t="shared" si="731"/>
        <v>NA</v>
      </c>
      <c r="V2228" s="29" t="str">
        <f t="shared" si="732"/>
        <v>NA</v>
      </c>
      <c r="W2228" s="29" t="str">
        <f t="shared" si="733"/>
        <v>NA</v>
      </c>
      <c r="X2228" s="29" t="str">
        <f t="shared" si="734"/>
        <v>NA</v>
      </c>
      <c r="Y2228" s="29" t="str">
        <f t="shared" si="735"/>
        <v>NA</v>
      </c>
      <c r="Z2228" s="29" t="str">
        <f t="shared" si="736"/>
        <v>NA</v>
      </c>
      <c r="AA2228" s="29" t="str">
        <f t="shared" si="737"/>
        <v>NA</v>
      </c>
      <c r="AB2228" s="29" t="str">
        <f t="shared" si="738"/>
        <v>NA</v>
      </c>
      <c r="AC2228" s="29" t="str">
        <f t="shared" si="739"/>
        <v>NA</v>
      </c>
      <c r="AD2228" s="29" t="str">
        <f t="shared" si="740"/>
        <v>NA</v>
      </c>
      <c r="AE2228" s="29" t="str">
        <f t="shared" si="741"/>
        <v>NA</v>
      </c>
      <c r="AF2228" s="29" t="str">
        <f t="shared" si="742"/>
        <v>NA</v>
      </c>
      <c r="AG2228" s="29" t="str">
        <f t="shared" si="743"/>
        <v>NA</v>
      </c>
      <c r="AH2228" s="29" t="str">
        <f t="shared" si="744"/>
        <v>NA</v>
      </c>
    </row>
    <row r="2229" customHeight="1" spans="1:34">
      <c r="A2229" s="12" t="s">
        <v>1043</v>
      </c>
      <c r="F2229" s="24">
        <f t="shared" si="726"/>
        <v>0</v>
      </c>
      <c r="G2229" s="24" t="e">
        <f t="shared" si="725"/>
        <v>#DIV/0!</v>
      </c>
      <c r="Q2229" s="29" t="str">
        <f t="shared" si="727"/>
        <v>NA</v>
      </c>
      <c r="R2229" s="29" t="str">
        <f t="shared" si="728"/>
        <v>NA</v>
      </c>
      <c r="S2229" s="29" t="str">
        <f t="shared" si="729"/>
        <v>NA</v>
      </c>
      <c r="T2229" s="29" t="str">
        <f t="shared" si="730"/>
        <v>NA</v>
      </c>
      <c r="U2229" s="29" t="str">
        <f t="shared" si="731"/>
        <v>NA</v>
      </c>
      <c r="V2229" s="29" t="str">
        <f t="shared" si="732"/>
        <v>NA</v>
      </c>
      <c r="W2229" s="29" t="str">
        <f t="shared" si="733"/>
        <v>NA</v>
      </c>
      <c r="X2229" s="29" t="str">
        <f t="shared" si="734"/>
        <v>NA</v>
      </c>
      <c r="Y2229" s="29" t="str">
        <f t="shared" si="735"/>
        <v>NA</v>
      </c>
      <c r="Z2229" s="29" t="str">
        <f t="shared" si="736"/>
        <v>NA</v>
      </c>
      <c r="AA2229" s="29" t="str">
        <f t="shared" si="737"/>
        <v>NA</v>
      </c>
      <c r="AB2229" s="29" t="str">
        <f t="shared" si="738"/>
        <v>NA</v>
      </c>
      <c r="AC2229" s="29" t="str">
        <f t="shared" si="739"/>
        <v>NA</v>
      </c>
      <c r="AD2229" s="29" t="str">
        <f t="shared" si="740"/>
        <v>NA</v>
      </c>
      <c r="AE2229" s="29" t="str">
        <f t="shared" si="741"/>
        <v>NA</v>
      </c>
      <c r="AF2229" s="29" t="str">
        <f t="shared" si="742"/>
        <v>NA</v>
      </c>
      <c r="AG2229" s="29" t="str">
        <f t="shared" si="743"/>
        <v>NA</v>
      </c>
      <c r="AH2229" s="29" t="str">
        <f t="shared" si="744"/>
        <v>NA</v>
      </c>
    </row>
    <row r="2230" customHeight="1" spans="1:34">
      <c r="A2230" s="12" t="s">
        <v>1043</v>
      </c>
      <c r="F2230" s="24">
        <f t="shared" si="726"/>
        <v>0</v>
      </c>
      <c r="G2230" s="24" t="e">
        <f t="shared" si="725"/>
        <v>#DIV/0!</v>
      </c>
      <c r="Q2230" s="29" t="str">
        <f t="shared" si="727"/>
        <v>NA</v>
      </c>
      <c r="R2230" s="29" t="str">
        <f t="shared" si="728"/>
        <v>NA</v>
      </c>
      <c r="S2230" s="29" t="str">
        <f t="shared" si="729"/>
        <v>NA</v>
      </c>
      <c r="T2230" s="29" t="str">
        <f t="shared" si="730"/>
        <v>NA</v>
      </c>
      <c r="U2230" s="29" t="str">
        <f t="shared" si="731"/>
        <v>NA</v>
      </c>
      <c r="V2230" s="29" t="str">
        <f t="shared" si="732"/>
        <v>NA</v>
      </c>
      <c r="W2230" s="29" t="str">
        <f t="shared" si="733"/>
        <v>NA</v>
      </c>
      <c r="X2230" s="29" t="str">
        <f t="shared" si="734"/>
        <v>NA</v>
      </c>
      <c r="Y2230" s="29" t="str">
        <f t="shared" si="735"/>
        <v>NA</v>
      </c>
      <c r="Z2230" s="29" t="str">
        <f t="shared" si="736"/>
        <v>NA</v>
      </c>
      <c r="AA2230" s="29" t="str">
        <f t="shared" si="737"/>
        <v>NA</v>
      </c>
      <c r="AB2230" s="29" t="str">
        <f t="shared" si="738"/>
        <v>NA</v>
      </c>
      <c r="AC2230" s="29" t="str">
        <f t="shared" si="739"/>
        <v>NA</v>
      </c>
      <c r="AD2230" s="29" t="str">
        <f t="shared" si="740"/>
        <v>NA</v>
      </c>
      <c r="AE2230" s="29" t="str">
        <f t="shared" si="741"/>
        <v>NA</v>
      </c>
      <c r="AF2230" s="29" t="str">
        <f t="shared" si="742"/>
        <v>NA</v>
      </c>
      <c r="AG2230" s="29" t="str">
        <f t="shared" si="743"/>
        <v>NA</v>
      </c>
      <c r="AH2230" s="29" t="str">
        <f t="shared" si="744"/>
        <v>NA</v>
      </c>
    </row>
    <row r="2231" customHeight="1" spans="1:34">
      <c r="A2231" s="12" t="s">
        <v>1043</v>
      </c>
      <c r="F2231" s="24">
        <f t="shared" si="726"/>
        <v>0</v>
      </c>
      <c r="G2231" s="24" t="e">
        <f t="shared" si="725"/>
        <v>#DIV/0!</v>
      </c>
      <c r="Q2231" s="29" t="str">
        <f t="shared" si="727"/>
        <v>NA</v>
      </c>
      <c r="R2231" s="29" t="str">
        <f t="shared" si="728"/>
        <v>NA</v>
      </c>
      <c r="S2231" s="29" t="str">
        <f t="shared" si="729"/>
        <v>NA</v>
      </c>
      <c r="T2231" s="29" t="str">
        <f t="shared" si="730"/>
        <v>NA</v>
      </c>
      <c r="U2231" s="29" t="str">
        <f t="shared" si="731"/>
        <v>NA</v>
      </c>
      <c r="V2231" s="29" t="str">
        <f t="shared" si="732"/>
        <v>NA</v>
      </c>
      <c r="W2231" s="29" t="str">
        <f t="shared" si="733"/>
        <v>NA</v>
      </c>
      <c r="X2231" s="29" t="str">
        <f t="shared" si="734"/>
        <v>NA</v>
      </c>
      <c r="Y2231" s="29" t="str">
        <f t="shared" si="735"/>
        <v>NA</v>
      </c>
      <c r="Z2231" s="29" t="str">
        <f t="shared" si="736"/>
        <v>NA</v>
      </c>
      <c r="AA2231" s="29" t="str">
        <f t="shared" si="737"/>
        <v>NA</v>
      </c>
      <c r="AB2231" s="29" t="str">
        <f t="shared" si="738"/>
        <v>NA</v>
      </c>
      <c r="AC2231" s="29" t="str">
        <f t="shared" si="739"/>
        <v>NA</v>
      </c>
      <c r="AD2231" s="29" t="str">
        <f t="shared" si="740"/>
        <v>NA</v>
      </c>
      <c r="AE2231" s="29" t="str">
        <f t="shared" si="741"/>
        <v>NA</v>
      </c>
      <c r="AF2231" s="29" t="str">
        <f t="shared" si="742"/>
        <v>NA</v>
      </c>
      <c r="AG2231" s="29" t="str">
        <f t="shared" si="743"/>
        <v>NA</v>
      </c>
      <c r="AH2231" s="29" t="str">
        <f t="shared" si="744"/>
        <v>NA</v>
      </c>
    </row>
    <row r="2232" customHeight="1" spans="1:34">
      <c r="A2232" s="12" t="s">
        <v>1043</v>
      </c>
      <c r="F2232" s="24">
        <f t="shared" si="726"/>
        <v>0</v>
      </c>
      <c r="G2232" s="24" t="e">
        <f t="shared" si="725"/>
        <v>#DIV/0!</v>
      </c>
      <c r="Q2232" s="29" t="str">
        <f t="shared" si="727"/>
        <v>NA</v>
      </c>
      <c r="R2232" s="29" t="str">
        <f t="shared" si="728"/>
        <v>NA</v>
      </c>
      <c r="S2232" s="29" t="str">
        <f t="shared" si="729"/>
        <v>NA</v>
      </c>
      <c r="T2232" s="29" t="str">
        <f t="shared" si="730"/>
        <v>NA</v>
      </c>
      <c r="U2232" s="29" t="str">
        <f t="shared" si="731"/>
        <v>NA</v>
      </c>
      <c r="V2232" s="29" t="str">
        <f t="shared" si="732"/>
        <v>NA</v>
      </c>
      <c r="W2232" s="29" t="str">
        <f t="shared" si="733"/>
        <v>NA</v>
      </c>
      <c r="X2232" s="29" t="str">
        <f t="shared" si="734"/>
        <v>NA</v>
      </c>
      <c r="Y2232" s="29" t="str">
        <f t="shared" si="735"/>
        <v>NA</v>
      </c>
      <c r="Z2232" s="29" t="str">
        <f t="shared" si="736"/>
        <v>NA</v>
      </c>
      <c r="AA2232" s="29" t="str">
        <f t="shared" si="737"/>
        <v>NA</v>
      </c>
      <c r="AB2232" s="29" t="str">
        <f t="shared" si="738"/>
        <v>NA</v>
      </c>
      <c r="AC2232" s="29" t="str">
        <f t="shared" si="739"/>
        <v>NA</v>
      </c>
      <c r="AD2232" s="29" t="str">
        <f t="shared" si="740"/>
        <v>NA</v>
      </c>
      <c r="AE2232" s="29" t="str">
        <f t="shared" si="741"/>
        <v>NA</v>
      </c>
      <c r="AF2232" s="29" t="str">
        <f t="shared" si="742"/>
        <v>NA</v>
      </c>
      <c r="AG2232" s="29" t="str">
        <f t="shared" si="743"/>
        <v>NA</v>
      </c>
      <c r="AH2232" s="29" t="str">
        <f t="shared" si="744"/>
        <v>NA</v>
      </c>
    </row>
    <row r="2233" customHeight="1" spans="1:34">
      <c r="A2233" s="12" t="s">
        <v>1043</v>
      </c>
      <c r="F2233" s="24">
        <f t="shared" si="726"/>
        <v>0</v>
      </c>
      <c r="G2233" s="24" t="e">
        <f t="shared" si="725"/>
        <v>#DIV/0!</v>
      </c>
      <c r="Q2233" s="29" t="str">
        <f t="shared" si="727"/>
        <v>NA</v>
      </c>
      <c r="R2233" s="29" t="str">
        <f t="shared" si="728"/>
        <v>NA</v>
      </c>
      <c r="S2233" s="29" t="str">
        <f t="shared" si="729"/>
        <v>NA</v>
      </c>
      <c r="T2233" s="29" t="str">
        <f t="shared" si="730"/>
        <v>NA</v>
      </c>
      <c r="U2233" s="29" t="str">
        <f t="shared" si="731"/>
        <v>NA</v>
      </c>
      <c r="V2233" s="29" t="str">
        <f t="shared" si="732"/>
        <v>NA</v>
      </c>
      <c r="W2233" s="29" t="str">
        <f t="shared" si="733"/>
        <v>NA</v>
      </c>
      <c r="X2233" s="29" t="str">
        <f t="shared" si="734"/>
        <v>NA</v>
      </c>
      <c r="Y2233" s="29" t="str">
        <f t="shared" si="735"/>
        <v>NA</v>
      </c>
      <c r="Z2233" s="29" t="str">
        <f t="shared" si="736"/>
        <v>NA</v>
      </c>
      <c r="AA2233" s="29" t="str">
        <f t="shared" si="737"/>
        <v>NA</v>
      </c>
      <c r="AB2233" s="29" t="str">
        <f t="shared" si="738"/>
        <v>NA</v>
      </c>
      <c r="AC2233" s="29" t="str">
        <f t="shared" si="739"/>
        <v>NA</v>
      </c>
      <c r="AD2233" s="29" t="str">
        <f t="shared" si="740"/>
        <v>NA</v>
      </c>
      <c r="AE2233" s="29" t="str">
        <f t="shared" si="741"/>
        <v>NA</v>
      </c>
      <c r="AF2233" s="29" t="str">
        <f t="shared" si="742"/>
        <v>NA</v>
      </c>
      <c r="AG2233" s="29" t="str">
        <f t="shared" si="743"/>
        <v>NA</v>
      </c>
      <c r="AH2233" s="29" t="str">
        <f t="shared" si="744"/>
        <v>NA</v>
      </c>
    </row>
    <row r="2234" customHeight="1" spans="1:34">
      <c r="A2234" s="12" t="s">
        <v>1043</v>
      </c>
      <c r="F2234" s="24">
        <f t="shared" si="726"/>
        <v>0</v>
      </c>
      <c r="G2234" s="24" t="e">
        <f t="shared" si="725"/>
        <v>#DIV/0!</v>
      </c>
      <c r="Q2234" s="29" t="str">
        <f t="shared" si="727"/>
        <v>NA</v>
      </c>
      <c r="R2234" s="29" t="str">
        <f t="shared" si="728"/>
        <v>NA</v>
      </c>
      <c r="S2234" s="29" t="str">
        <f t="shared" si="729"/>
        <v>NA</v>
      </c>
      <c r="T2234" s="29" t="str">
        <f t="shared" si="730"/>
        <v>NA</v>
      </c>
      <c r="U2234" s="29" t="str">
        <f t="shared" si="731"/>
        <v>NA</v>
      </c>
      <c r="V2234" s="29" t="str">
        <f t="shared" si="732"/>
        <v>NA</v>
      </c>
      <c r="W2234" s="29" t="str">
        <f t="shared" si="733"/>
        <v>NA</v>
      </c>
      <c r="X2234" s="29" t="str">
        <f t="shared" si="734"/>
        <v>NA</v>
      </c>
      <c r="Y2234" s="29" t="str">
        <f t="shared" si="735"/>
        <v>NA</v>
      </c>
      <c r="Z2234" s="29" t="str">
        <f t="shared" si="736"/>
        <v>NA</v>
      </c>
      <c r="AA2234" s="29" t="str">
        <f t="shared" si="737"/>
        <v>NA</v>
      </c>
      <c r="AB2234" s="29" t="str">
        <f t="shared" si="738"/>
        <v>NA</v>
      </c>
      <c r="AC2234" s="29" t="str">
        <f t="shared" si="739"/>
        <v>NA</v>
      </c>
      <c r="AD2234" s="29" t="str">
        <f t="shared" si="740"/>
        <v>NA</v>
      </c>
      <c r="AE2234" s="29" t="str">
        <f t="shared" si="741"/>
        <v>NA</v>
      </c>
      <c r="AF2234" s="29" t="str">
        <f t="shared" si="742"/>
        <v>NA</v>
      </c>
      <c r="AG2234" s="29" t="str">
        <f t="shared" si="743"/>
        <v>NA</v>
      </c>
      <c r="AH2234" s="29" t="str">
        <f t="shared" si="744"/>
        <v>NA</v>
      </c>
    </row>
    <row r="2235" customHeight="1" spans="1:34">
      <c r="A2235" s="12" t="s">
        <v>1043</v>
      </c>
      <c r="F2235" s="24">
        <f t="shared" si="726"/>
        <v>0</v>
      </c>
      <c r="G2235" s="24" t="e">
        <f t="shared" si="725"/>
        <v>#DIV/0!</v>
      </c>
      <c r="Q2235" s="29" t="str">
        <f t="shared" si="727"/>
        <v>NA</v>
      </c>
      <c r="R2235" s="29" t="str">
        <f t="shared" si="728"/>
        <v>NA</v>
      </c>
      <c r="S2235" s="29" t="str">
        <f t="shared" si="729"/>
        <v>NA</v>
      </c>
      <c r="T2235" s="29" t="str">
        <f t="shared" si="730"/>
        <v>NA</v>
      </c>
      <c r="U2235" s="29" t="str">
        <f t="shared" si="731"/>
        <v>NA</v>
      </c>
      <c r="V2235" s="29" t="str">
        <f t="shared" si="732"/>
        <v>NA</v>
      </c>
      <c r="W2235" s="29" t="str">
        <f t="shared" si="733"/>
        <v>NA</v>
      </c>
      <c r="X2235" s="29" t="str">
        <f t="shared" si="734"/>
        <v>NA</v>
      </c>
      <c r="Y2235" s="29" t="str">
        <f t="shared" si="735"/>
        <v>NA</v>
      </c>
      <c r="Z2235" s="29" t="str">
        <f t="shared" si="736"/>
        <v>NA</v>
      </c>
      <c r="AA2235" s="29" t="str">
        <f t="shared" si="737"/>
        <v>NA</v>
      </c>
      <c r="AB2235" s="29" t="str">
        <f t="shared" si="738"/>
        <v>NA</v>
      </c>
      <c r="AC2235" s="29" t="str">
        <f t="shared" si="739"/>
        <v>NA</v>
      </c>
      <c r="AD2235" s="29" t="str">
        <f t="shared" si="740"/>
        <v>NA</v>
      </c>
      <c r="AE2235" s="29" t="str">
        <f t="shared" si="741"/>
        <v>NA</v>
      </c>
      <c r="AF2235" s="29" t="str">
        <f t="shared" si="742"/>
        <v>NA</v>
      </c>
      <c r="AG2235" s="29" t="str">
        <f t="shared" si="743"/>
        <v>NA</v>
      </c>
      <c r="AH2235" s="29" t="str">
        <f t="shared" si="744"/>
        <v>NA</v>
      </c>
    </row>
    <row r="2236" customHeight="1" spans="1:34">
      <c r="A2236" s="12" t="s">
        <v>1043</v>
      </c>
      <c r="F2236" s="24">
        <f t="shared" si="726"/>
        <v>0</v>
      </c>
      <c r="G2236" s="24" t="e">
        <f t="shared" si="725"/>
        <v>#DIV/0!</v>
      </c>
      <c r="Q2236" s="29" t="str">
        <f t="shared" si="727"/>
        <v>NA</v>
      </c>
      <c r="R2236" s="29" t="str">
        <f t="shared" si="728"/>
        <v>NA</v>
      </c>
      <c r="S2236" s="29" t="str">
        <f t="shared" si="729"/>
        <v>NA</v>
      </c>
      <c r="T2236" s="29" t="str">
        <f t="shared" si="730"/>
        <v>NA</v>
      </c>
      <c r="U2236" s="29" t="str">
        <f t="shared" si="731"/>
        <v>NA</v>
      </c>
      <c r="V2236" s="29" t="str">
        <f t="shared" si="732"/>
        <v>NA</v>
      </c>
      <c r="W2236" s="29" t="str">
        <f t="shared" si="733"/>
        <v>NA</v>
      </c>
      <c r="X2236" s="29" t="str">
        <f t="shared" si="734"/>
        <v>NA</v>
      </c>
      <c r="Y2236" s="29" t="str">
        <f t="shared" si="735"/>
        <v>NA</v>
      </c>
      <c r="Z2236" s="29" t="str">
        <f t="shared" si="736"/>
        <v>NA</v>
      </c>
      <c r="AA2236" s="29" t="str">
        <f t="shared" si="737"/>
        <v>NA</v>
      </c>
      <c r="AB2236" s="29" t="str">
        <f t="shared" si="738"/>
        <v>NA</v>
      </c>
      <c r="AC2236" s="29" t="str">
        <f t="shared" si="739"/>
        <v>NA</v>
      </c>
      <c r="AD2236" s="29" t="str">
        <f t="shared" si="740"/>
        <v>NA</v>
      </c>
      <c r="AE2236" s="29" t="str">
        <f t="shared" si="741"/>
        <v>NA</v>
      </c>
      <c r="AF2236" s="29" t="str">
        <f t="shared" si="742"/>
        <v>NA</v>
      </c>
      <c r="AG2236" s="29" t="str">
        <f t="shared" si="743"/>
        <v>NA</v>
      </c>
      <c r="AH2236" s="29" t="str">
        <f t="shared" si="744"/>
        <v>NA</v>
      </c>
    </row>
    <row r="2237" customHeight="1" spans="1:34">
      <c r="A2237" s="12" t="s">
        <v>1043</v>
      </c>
      <c r="F2237" s="24">
        <f t="shared" si="726"/>
        <v>0</v>
      </c>
      <c r="G2237" s="24" t="e">
        <f t="shared" si="725"/>
        <v>#DIV/0!</v>
      </c>
      <c r="Q2237" s="29" t="str">
        <f t="shared" si="727"/>
        <v>NA</v>
      </c>
      <c r="R2237" s="29" t="str">
        <f t="shared" si="728"/>
        <v>NA</v>
      </c>
      <c r="S2237" s="29" t="str">
        <f t="shared" si="729"/>
        <v>NA</v>
      </c>
      <c r="T2237" s="29" t="str">
        <f t="shared" si="730"/>
        <v>NA</v>
      </c>
      <c r="U2237" s="29" t="str">
        <f t="shared" si="731"/>
        <v>NA</v>
      </c>
      <c r="V2237" s="29" t="str">
        <f t="shared" si="732"/>
        <v>NA</v>
      </c>
      <c r="W2237" s="29" t="str">
        <f t="shared" si="733"/>
        <v>NA</v>
      </c>
      <c r="X2237" s="29" t="str">
        <f t="shared" si="734"/>
        <v>NA</v>
      </c>
      <c r="Y2237" s="29" t="str">
        <f t="shared" si="735"/>
        <v>NA</v>
      </c>
      <c r="Z2237" s="29" t="str">
        <f t="shared" si="736"/>
        <v>NA</v>
      </c>
      <c r="AA2237" s="29" t="str">
        <f t="shared" si="737"/>
        <v>NA</v>
      </c>
      <c r="AB2237" s="29" t="str">
        <f t="shared" si="738"/>
        <v>NA</v>
      </c>
      <c r="AC2237" s="29" t="str">
        <f t="shared" si="739"/>
        <v>NA</v>
      </c>
      <c r="AD2237" s="29" t="str">
        <f t="shared" si="740"/>
        <v>NA</v>
      </c>
      <c r="AE2237" s="29" t="str">
        <f t="shared" si="741"/>
        <v>NA</v>
      </c>
      <c r="AF2237" s="29" t="str">
        <f t="shared" si="742"/>
        <v>NA</v>
      </c>
      <c r="AG2237" s="29" t="str">
        <f t="shared" si="743"/>
        <v>NA</v>
      </c>
      <c r="AH2237" s="29" t="str">
        <f t="shared" si="744"/>
        <v>NA</v>
      </c>
    </row>
    <row r="2238" customHeight="1" spans="1:34">
      <c r="A2238" s="12" t="s">
        <v>1043</v>
      </c>
      <c r="F2238" s="24">
        <f t="shared" si="726"/>
        <v>0</v>
      </c>
      <c r="G2238" s="24" t="e">
        <f t="shared" si="725"/>
        <v>#DIV/0!</v>
      </c>
      <c r="Q2238" s="29" t="str">
        <f t="shared" si="727"/>
        <v>NA</v>
      </c>
      <c r="R2238" s="29" t="str">
        <f t="shared" si="728"/>
        <v>NA</v>
      </c>
      <c r="S2238" s="29" t="str">
        <f t="shared" si="729"/>
        <v>NA</v>
      </c>
      <c r="T2238" s="29" t="str">
        <f t="shared" si="730"/>
        <v>NA</v>
      </c>
      <c r="U2238" s="29" t="str">
        <f t="shared" si="731"/>
        <v>NA</v>
      </c>
      <c r="V2238" s="29" t="str">
        <f t="shared" si="732"/>
        <v>NA</v>
      </c>
      <c r="W2238" s="29" t="str">
        <f t="shared" si="733"/>
        <v>NA</v>
      </c>
      <c r="X2238" s="29" t="str">
        <f t="shared" si="734"/>
        <v>NA</v>
      </c>
      <c r="Y2238" s="29" t="str">
        <f t="shared" si="735"/>
        <v>NA</v>
      </c>
      <c r="Z2238" s="29" t="str">
        <f t="shared" si="736"/>
        <v>NA</v>
      </c>
      <c r="AA2238" s="29" t="str">
        <f t="shared" si="737"/>
        <v>NA</v>
      </c>
      <c r="AB2238" s="29" t="str">
        <f t="shared" si="738"/>
        <v>NA</v>
      </c>
      <c r="AC2238" s="29" t="str">
        <f t="shared" si="739"/>
        <v>NA</v>
      </c>
      <c r="AD2238" s="29" t="str">
        <f t="shared" si="740"/>
        <v>NA</v>
      </c>
      <c r="AE2238" s="29" t="str">
        <f t="shared" si="741"/>
        <v>NA</v>
      </c>
      <c r="AF2238" s="29" t="str">
        <f t="shared" si="742"/>
        <v>NA</v>
      </c>
      <c r="AG2238" s="29" t="str">
        <f t="shared" si="743"/>
        <v>NA</v>
      </c>
      <c r="AH2238" s="29" t="str">
        <f t="shared" si="744"/>
        <v>NA</v>
      </c>
    </row>
    <row r="2239" customHeight="1" spans="1:34">
      <c r="A2239" s="12" t="s">
        <v>1043</v>
      </c>
      <c r="F2239" s="24">
        <f t="shared" si="726"/>
        <v>0</v>
      </c>
      <c r="G2239" s="24" t="e">
        <f t="shared" si="725"/>
        <v>#DIV/0!</v>
      </c>
      <c r="Q2239" s="29" t="str">
        <f t="shared" si="727"/>
        <v>NA</v>
      </c>
      <c r="R2239" s="29" t="str">
        <f t="shared" si="728"/>
        <v>NA</v>
      </c>
      <c r="S2239" s="29" t="str">
        <f t="shared" si="729"/>
        <v>NA</v>
      </c>
      <c r="T2239" s="29" t="str">
        <f t="shared" si="730"/>
        <v>NA</v>
      </c>
      <c r="U2239" s="29" t="str">
        <f t="shared" si="731"/>
        <v>NA</v>
      </c>
      <c r="V2239" s="29" t="str">
        <f t="shared" si="732"/>
        <v>NA</v>
      </c>
      <c r="W2239" s="29" t="str">
        <f t="shared" si="733"/>
        <v>NA</v>
      </c>
      <c r="X2239" s="29" t="str">
        <f t="shared" si="734"/>
        <v>NA</v>
      </c>
      <c r="Y2239" s="29" t="str">
        <f t="shared" si="735"/>
        <v>NA</v>
      </c>
      <c r="Z2239" s="29" t="str">
        <f t="shared" si="736"/>
        <v>NA</v>
      </c>
      <c r="AA2239" s="29" t="str">
        <f t="shared" si="737"/>
        <v>NA</v>
      </c>
      <c r="AB2239" s="29" t="str">
        <f t="shared" si="738"/>
        <v>NA</v>
      </c>
      <c r="AC2239" s="29" t="str">
        <f t="shared" si="739"/>
        <v>NA</v>
      </c>
      <c r="AD2239" s="29" t="str">
        <f t="shared" si="740"/>
        <v>NA</v>
      </c>
      <c r="AE2239" s="29" t="str">
        <f t="shared" si="741"/>
        <v>NA</v>
      </c>
      <c r="AF2239" s="29" t="str">
        <f t="shared" si="742"/>
        <v>NA</v>
      </c>
      <c r="AG2239" s="29" t="str">
        <f t="shared" si="743"/>
        <v>NA</v>
      </c>
      <c r="AH2239" s="29" t="str">
        <f t="shared" si="744"/>
        <v>NA</v>
      </c>
    </row>
    <row r="2240" customHeight="1" spans="1:34">
      <c r="A2240" s="12" t="s">
        <v>1043</v>
      </c>
      <c r="F2240" s="24">
        <f t="shared" si="726"/>
        <v>0</v>
      </c>
      <c r="G2240" s="24" t="e">
        <f t="shared" si="725"/>
        <v>#DIV/0!</v>
      </c>
      <c r="Q2240" s="29" t="str">
        <f t="shared" si="727"/>
        <v>NA</v>
      </c>
      <c r="R2240" s="29" t="str">
        <f t="shared" si="728"/>
        <v>NA</v>
      </c>
      <c r="S2240" s="29" t="str">
        <f t="shared" si="729"/>
        <v>NA</v>
      </c>
      <c r="T2240" s="29" t="str">
        <f t="shared" si="730"/>
        <v>NA</v>
      </c>
      <c r="U2240" s="29" t="str">
        <f t="shared" si="731"/>
        <v>NA</v>
      </c>
      <c r="V2240" s="29" t="str">
        <f t="shared" si="732"/>
        <v>NA</v>
      </c>
      <c r="W2240" s="29" t="str">
        <f t="shared" si="733"/>
        <v>NA</v>
      </c>
      <c r="X2240" s="29" t="str">
        <f t="shared" si="734"/>
        <v>NA</v>
      </c>
      <c r="Y2240" s="29" t="str">
        <f t="shared" si="735"/>
        <v>NA</v>
      </c>
      <c r="Z2240" s="29" t="str">
        <f t="shared" si="736"/>
        <v>NA</v>
      </c>
      <c r="AA2240" s="29" t="str">
        <f t="shared" si="737"/>
        <v>NA</v>
      </c>
      <c r="AB2240" s="29" t="str">
        <f t="shared" si="738"/>
        <v>NA</v>
      </c>
      <c r="AC2240" s="29" t="str">
        <f t="shared" si="739"/>
        <v>NA</v>
      </c>
      <c r="AD2240" s="29" t="str">
        <f t="shared" si="740"/>
        <v>NA</v>
      </c>
      <c r="AE2240" s="29" t="str">
        <f t="shared" si="741"/>
        <v>NA</v>
      </c>
      <c r="AF2240" s="29" t="str">
        <f t="shared" si="742"/>
        <v>NA</v>
      </c>
      <c r="AG2240" s="29" t="str">
        <f t="shared" si="743"/>
        <v>NA</v>
      </c>
      <c r="AH2240" s="29" t="str">
        <f t="shared" si="744"/>
        <v>NA</v>
      </c>
    </row>
    <row r="2241" customHeight="1" spans="1:34">
      <c r="A2241" s="12" t="s">
        <v>1043</v>
      </c>
      <c r="F2241" s="24">
        <f t="shared" si="726"/>
        <v>0</v>
      </c>
      <c r="G2241" s="24" t="e">
        <f t="shared" si="725"/>
        <v>#DIV/0!</v>
      </c>
      <c r="Q2241" s="29" t="str">
        <f t="shared" si="727"/>
        <v>NA</v>
      </c>
      <c r="R2241" s="29" t="str">
        <f t="shared" si="728"/>
        <v>NA</v>
      </c>
      <c r="S2241" s="29" t="str">
        <f t="shared" si="729"/>
        <v>NA</v>
      </c>
      <c r="T2241" s="29" t="str">
        <f t="shared" si="730"/>
        <v>NA</v>
      </c>
      <c r="U2241" s="29" t="str">
        <f t="shared" si="731"/>
        <v>NA</v>
      </c>
      <c r="V2241" s="29" t="str">
        <f t="shared" si="732"/>
        <v>NA</v>
      </c>
      <c r="W2241" s="29" t="str">
        <f t="shared" si="733"/>
        <v>NA</v>
      </c>
      <c r="X2241" s="29" t="str">
        <f t="shared" si="734"/>
        <v>NA</v>
      </c>
      <c r="Y2241" s="29" t="str">
        <f t="shared" si="735"/>
        <v>NA</v>
      </c>
      <c r="Z2241" s="29" t="str">
        <f t="shared" si="736"/>
        <v>NA</v>
      </c>
      <c r="AA2241" s="29" t="str">
        <f t="shared" si="737"/>
        <v>NA</v>
      </c>
      <c r="AB2241" s="29" t="str">
        <f t="shared" si="738"/>
        <v>NA</v>
      </c>
      <c r="AC2241" s="29" t="str">
        <f t="shared" si="739"/>
        <v>NA</v>
      </c>
      <c r="AD2241" s="29" t="str">
        <f t="shared" si="740"/>
        <v>NA</v>
      </c>
      <c r="AE2241" s="29" t="str">
        <f t="shared" si="741"/>
        <v>NA</v>
      </c>
      <c r="AF2241" s="29" t="str">
        <f t="shared" si="742"/>
        <v>NA</v>
      </c>
      <c r="AG2241" s="29" t="str">
        <f t="shared" si="743"/>
        <v>NA</v>
      </c>
      <c r="AH2241" s="29" t="str">
        <f t="shared" si="744"/>
        <v>NA</v>
      </c>
    </row>
    <row r="2242" customHeight="1" spans="1:34">
      <c r="A2242" s="12" t="s">
        <v>1043</v>
      </c>
      <c r="F2242" s="24">
        <f t="shared" si="726"/>
        <v>0</v>
      </c>
      <c r="G2242" s="24" t="e">
        <f t="shared" si="725"/>
        <v>#DIV/0!</v>
      </c>
      <c r="Q2242" s="29" t="str">
        <f t="shared" si="727"/>
        <v>NA</v>
      </c>
      <c r="R2242" s="29" t="str">
        <f t="shared" si="728"/>
        <v>NA</v>
      </c>
      <c r="S2242" s="29" t="str">
        <f t="shared" si="729"/>
        <v>NA</v>
      </c>
      <c r="T2242" s="29" t="str">
        <f t="shared" si="730"/>
        <v>NA</v>
      </c>
      <c r="U2242" s="29" t="str">
        <f t="shared" si="731"/>
        <v>NA</v>
      </c>
      <c r="V2242" s="29" t="str">
        <f t="shared" si="732"/>
        <v>NA</v>
      </c>
      <c r="W2242" s="29" t="str">
        <f t="shared" si="733"/>
        <v>NA</v>
      </c>
      <c r="X2242" s="29" t="str">
        <f t="shared" si="734"/>
        <v>NA</v>
      </c>
      <c r="Y2242" s="29" t="str">
        <f t="shared" si="735"/>
        <v>NA</v>
      </c>
      <c r="Z2242" s="29" t="str">
        <f t="shared" si="736"/>
        <v>NA</v>
      </c>
      <c r="AA2242" s="29" t="str">
        <f t="shared" si="737"/>
        <v>NA</v>
      </c>
      <c r="AB2242" s="29" t="str">
        <f t="shared" si="738"/>
        <v>NA</v>
      </c>
      <c r="AC2242" s="29" t="str">
        <f t="shared" si="739"/>
        <v>NA</v>
      </c>
      <c r="AD2242" s="29" t="str">
        <f t="shared" si="740"/>
        <v>NA</v>
      </c>
      <c r="AE2242" s="29" t="str">
        <f t="shared" si="741"/>
        <v>NA</v>
      </c>
      <c r="AF2242" s="29" t="str">
        <f t="shared" si="742"/>
        <v>NA</v>
      </c>
      <c r="AG2242" s="29" t="str">
        <f t="shared" si="743"/>
        <v>NA</v>
      </c>
      <c r="AH2242" s="29" t="str">
        <f t="shared" si="744"/>
        <v>NA</v>
      </c>
    </row>
    <row r="2243" customHeight="1" spans="1:34">
      <c r="A2243" s="12" t="s">
        <v>1043</v>
      </c>
      <c r="F2243" s="24">
        <f t="shared" si="726"/>
        <v>0</v>
      </c>
      <c r="G2243" s="24" t="e">
        <f t="shared" si="725"/>
        <v>#DIV/0!</v>
      </c>
      <c r="Q2243" s="29" t="str">
        <f t="shared" si="727"/>
        <v>NA</v>
      </c>
      <c r="R2243" s="29" t="str">
        <f t="shared" si="728"/>
        <v>NA</v>
      </c>
      <c r="S2243" s="29" t="str">
        <f t="shared" si="729"/>
        <v>NA</v>
      </c>
      <c r="T2243" s="29" t="str">
        <f t="shared" si="730"/>
        <v>NA</v>
      </c>
      <c r="U2243" s="29" t="str">
        <f t="shared" si="731"/>
        <v>NA</v>
      </c>
      <c r="V2243" s="29" t="str">
        <f t="shared" si="732"/>
        <v>NA</v>
      </c>
      <c r="W2243" s="29" t="str">
        <f t="shared" si="733"/>
        <v>NA</v>
      </c>
      <c r="X2243" s="29" t="str">
        <f t="shared" si="734"/>
        <v>NA</v>
      </c>
      <c r="Y2243" s="29" t="str">
        <f t="shared" si="735"/>
        <v>NA</v>
      </c>
      <c r="Z2243" s="29" t="str">
        <f t="shared" si="736"/>
        <v>NA</v>
      </c>
      <c r="AA2243" s="29" t="str">
        <f t="shared" si="737"/>
        <v>NA</v>
      </c>
      <c r="AB2243" s="29" t="str">
        <f t="shared" si="738"/>
        <v>NA</v>
      </c>
      <c r="AC2243" s="29" t="str">
        <f t="shared" si="739"/>
        <v>NA</v>
      </c>
      <c r="AD2243" s="29" t="str">
        <f t="shared" si="740"/>
        <v>NA</v>
      </c>
      <c r="AE2243" s="29" t="str">
        <f t="shared" si="741"/>
        <v>NA</v>
      </c>
      <c r="AF2243" s="29" t="str">
        <f t="shared" si="742"/>
        <v>NA</v>
      </c>
      <c r="AG2243" s="29" t="str">
        <f t="shared" si="743"/>
        <v>NA</v>
      </c>
      <c r="AH2243" s="29" t="str">
        <f t="shared" si="744"/>
        <v>NA</v>
      </c>
    </row>
    <row r="2244" customHeight="1" spans="1:34">
      <c r="A2244" s="12" t="s">
        <v>1043</v>
      </c>
      <c r="F2244" s="24">
        <f t="shared" si="726"/>
        <v>0</v>
      </c>
      <c r="G2244" s="24" t="e">
        <f t="shared" si="725"/>
        <v>#DIV/0!</v>
      </c>
      <c r="Q2244" s="29" t="str">
        <f t="shared" si="727"/>
        <v>NA</v>
      </c>
      <c r="R2244" s="29" t="str">
        <f t="shared" si="728"/>
        <v>NA</v>
      </c>
      <c r="S2244" s="29" t="str">
        <f t="shared" si="729"/>
        <v>NA</v>
      </c>
      <c r="T2244" s="29" t="str">
        <f t="shared" si="730"/>
        <v>NA</v>
      </c>
      <c r="U2244" s="29" t="str">
        <f t="shared" si="731"/>
        <v>NA</v>
      </c>
      <c r="V2244" s="29" t="str">
        <f t="shared" si="732"/>
        <v>NA</v>
      </c>
      <c r="W2244" s="29" t="str">
        <f t="shared" si="733"/>
        <v>NA</v>
      </c>
      <c r="X2244" s="29" t="str">
        <f t="shared" si="734"/>
        <v>NA</v>
      </c>
      <c r="Y2244" s="29" t="str">
        <f t="shared" si="735"/>
        <v>NA</v>
      </c>
      <c r="Z2244" s="29" t="str">
        <f t="shared" si="736"/>
        <v>NA</v>
      </c>
      <c r="AA2244" s="29" t="str">
        <f t="shared" si="737"/>
        <v>NA</v>
      </c>
      <c r="AB2244" s="29" t="str">
        <f t="shared" si="738"/>
        <v>NA</v>
      </c>
      <c r="AC2244" s="29" t="str">
        <f t="shared" si="739"/>
        <v>NA</v>
      </c>
      <c r="AD2244" s="29" t="str">
        <f t="shared" si="740"/>
        <v>NA</v>
      </c>
      <c r="AE2244" s="29" t="str">
        <f t="shared" si="741"/>
        <v>NA</v>
      </c>
      <c r="AF2244" s="29" t="str">
        <f t="shared" si="742"/>
        <v>NA</v>
      </c>
      <c r="AG2244" s="29" t="str">
        <f t="shared" si="743"/>
        <v>NA</v>
      </c>
      <c r="AH2244" s="29" t="str">
        <f t="shared" si="744"/>
        <v>NA</v>
      </c>
    </row>
    <row r="2245" customHeight="1" spans="1:34">
      <c r="A2245" s="12" t="s">
        <v>1043</v>
      </c>
      <c r="F2245" s="24">
        <f t="shared" si="726"/>
        <v>0</v>
      </c>
      <c r="G2245" s="24" t="e">
        <f t="shared" ref="G2245:G2308" si="745">B2245*D2245/C2245</f>
        <v>#DIV/0!</v>
      </c>
      <c r="Q2245" s="29" t="str">
        <f t="shared" si="727"/>
        <v>NA</v>
      </c>
      <c r="R2245" s="29" t="str">
        <f t="shared" si="728"/>
        <v>NA</v>
      </c>
      <c r="S2245" s="29" t="str">
        <f t="shared" si="729"/>
        <v>NA</v>
      </c>
      <c r="T2245" s="29" t="str">
        <f t="shared" si="730"/>
        <v>NA</v>
      </c>
      <c r="U2245" s="29" t="str">
        <f t="shared" si="731"/>
        <v>NA</v>
      </c>
      <c r="V2245" s="29" t="str">
        <f t="shared" si="732"/>
        <v>NA</v>
      </c>
      <c r="W2245" s="29" t="str">
        <f t="shared" si="733"/>
        <v>NA</v>
      </c>
      <c r="X2245" s="29" t="str">
        <f t="shared" si="734"/>
        <v>NA</v>
      </c>
      <c r="Y2245" s="29" t="str">
        <f t="shared" si="735"/>
        <v>NA</v>
      </c>
      <c r="Z2245" s="29" t="str">
        <f t="shared" si="736"/>
        <v>NA</v>
      </c>
      <c r="AA2245" s="29" t="str">
        <f t="shared" si="737"/>
        <v>NA</v>
      </c>
      <c r="AB2245" s="29" t="str">
        <f t="shared" si="738"/>
        <v>NA</v>
      </c>
      <c r="AC2245" s="29" t="str">
        <f t="shared" si="739"/>
        <v>NA</v>
      </c>
      <c r="AD2245" s="29" t="str">
        <f t="shared" si="740"/>
        <v>NA</v>
      </c>
      <c r="AE2245" s="29" t="str">
        <f t="shared" si="741"/>
        <v>NA</v>
      </c>
      <c r="AF2245" s="29" t="str">
        <f t="shared" si="742"/>
        <v>NA</v>
      </c>
      <c r="AG2245" s="29" t="str">
        <f t="shared" si="743"/>
        <v>NA</v>
      </c>
      <c r="AH2245" s="29" t="str">
        <f t="shared" si="744"/>
        <v>NA</v>
      </c>
    </row>
    <row r="2246" customHeight="1" spans="1:34">
      <c r="A2246" s="12" t="s">
        <v>1043</v>
      </c>
      <c r="F2246" s="24">
        <f t="shared" ref="F2246:F2309" si="746">+D2246+E2246</f>
        <v>0</v>
      </c>
      <c r="G2246" s="24" t="e">
        <f t="shared" si="745"/>
        <v>#DIV/0!</v>
      </c>
      <c r="Q2246" s="29" t="str">
        <f t="shared" si="727"/>
        <v>NA</v>
      </c>
      <c r="R2246" s="29" t="str">
        <f t="shared" si="728"/>
        <v>NA</v>
      </c>
      <c r="S2246" s="29" t="str">
        <f t="shared" si="729"/>
        <v>NA</v>
      </c>
      <c r="T2246" s="29" t="str">
        <f t="shared" si="730"/>
        <v>NA</v>
      </c>
      <c r="U2246" s="29" t="str">
        <f t="shared" si="731"/>
        <v>NA</v>
      </c>
      <c r="V2246" s="29" t="str">
        <f t="shared" si="732"/>
        <v>NA</v>
      </c>
      <c r="W2246" s="29" t="str">
        <f t="shared" si="733"/>
        <v>NA</v>
      </c>
      <c r="X2246" s="29" t="str">
        <f t="shared" si="734"/>
        <v>NA</v>
      </c>
      <c r="Y2246" s="29" t="str">
        <f t="shared" si="735"/>
        <v>NA</v>
      </c>
      <c r="Z2246" s="29" t="str">
        <f t="shared" si="736"/>
        <v>NA</v>
      </c>
      <c r="AA2246" s="29" t="str">
        <f t="shared" si="737"/>
        <v>NA</v>
      </c>
      <c r="AB2246" s="29" t="str">
        <f t="shared" si="738"/>
        <v>NA</v>
      </c>
      <c r="AC2246" s="29" t="str">
        <f t="shared" si="739"/>
        <v>NA</v>
      </c>
      <c r="AD2246" s="29" t="str">
        <f t="shared" si="740"/>
        <v>NA</v>
      </c>
      <c r="AE2246" s="29" t="str">
        <f t="shared" si="741"/>
        <v>NA</v>
      </c>
      <c r="AF2246" s="29" t="str">
        <f t="shared" si="742"/>
        <v>NA</v>
      </c>
      <c r="AG2246" s="29" t="str">
        <f t="shared" si="743"/>
        <v>NA</v>
      </c>
      <c r="AH2246" s="29" t="str">
        <f t="shared" si="744"/>
        <v>NA</v>
      </c>
    </row>
    <row r="2247" customHeight="1" spans="1:34">
      <c r="A2247" s="12" t="s">
        <v>1043</v>
      </c>
      <c r="F2247" s="24">
        <f t="shared" si="746"/>
        <v>0</v>
      </c>
      <c r="G2247" s="24" t="e">
        <f t="shared" si="745"/>
        <v>#DIV/0!</v>
      </c>
      <c r="Q2247" s="29" t="str">
        <f t="shared" si="727"/>
        <v>NA</v>
      </c>
      <c r="R2247" s="29" t="str">
        <f t="shared" si="728"/>
        <v>NA</v>
      </c>
      <c r="S2247" s="29" t="str">
        <f t="shared" si="729"/>
        <v>NA</v>
      </c>
      <c r="T2247" s="29" t="str">
        <f t="shared" si="730"/>
        <v>NA</v>
      </c>
      <c r="U2247" s="29" t="str">
        <f t="shared" si="731"/>
        <v>NA</v>
      </c>
      <c r="V2247" s="29" t="str">
        <f t="shared" si="732"/>
        <v>NA</v>
      </c>
      <c r="W2247" s="29" t="str">
        <f t="shared" si="733"/>
        <v>NA</v>
      </c>
      <c r="X2247" s="29" t="str">
        <f t="shared" si="734"/>
        <v>NA</v>
      </c>
      <c r="Y2247" s="29" t="str">
        <f t="shared" si="735"/>
        <v>NA</v>
      </c>
      <c r="Z2247" s="29" t="str">
        <f t="shared" si="736"/>
        <v>NA</v>
      </c>
      <c r="AA2247" s="29" t="str">
        <f t="shared" si="737"/>
        <v>NA</v>
      </c>
      <c r="AB2247" s="29" t="str">
        <f t="shared" si="738"/>
        <v>NA</v>
      </c>
      <c r="AC2247" s="29" t="str">
        <f t="shared" si="739"/>
        <v>NA</v>
      </c>
      <c r="AD2247" s="29" t="str">
        <f t="shared" si="740"/>
        <v>NA</v>
      </c>
      <c r="AE2247" s="29" t="str">
        <f t="shared" si="741"/>
        <v>NA</v>
      </c>
      <c r="AF2247" s="29" t="str">
        <f t="shared" si="742"/>
        <v>NA</v>
      </c>
      <c r="AG2247" s="29" t="str">
        <f t="shared" si="743"/>
        <v>NA</v>
      </c>
      <c r="AH2247" s="29" t="str">
        <f t="shared" si="744"/>
        <v>NA</v>
      </c>
    </row>
    <row r="2248" customHeight="1" spans="1:34">
      <c r="A2248" s="12" t="s">
        <v>1043</v>
      </c>
      <c r="F2248" s="24">
        <f t="shared" si="746"/>
        <v>0</v>
      </c>
      <c r="G2248" s="24" t="e">
        <f t="shared" si="745"/>
        <v>#DIV/0!</v>
      </c>
      <c r="Q2248" s="29" t="str">
        <f t="shared" si="727"/>
        <v>NA</v>
      </c>
      <c r="R2248" s="29" t="str">
        <f t="shared" si="728"/>
        <v>NA</v>
      </c>
      <c r="S2248" s="29" t="str">
        <f t="shared" si="729"/>
        <v>NA</v>
      </c>
      <c r="T2248" s="29" t="str">
        <f t="shared" si="730"/>
        <v>NA</v>
      </c>
      <c r="U2248" s="29" t="str">
        <f t="shared" si="731"/>
        <v>NA</v>
      </c>
      <c r="V2248" s="29" t="str">
        <f t="shared" si="732"/>
        <v>NA</v>
      </c>
      <c r="W2248" s="29" t="str">
        <f t="shared" si="733"/>
        <v>NA</v>
      </c>
      <c r="X2248" s="29" t="str">
        <f t="shared" si="734"/>
        <v>NA</v>
      </c>
      <c r="Y2248" s="29" t="str">
        <f t="shared" si="735"/>
        <v>NA</v>
      </c>
      <c r="Z2248" s="29" t="str">
        <f t="shared" si="736"/>
        <v>NA</v>
      </c>
      <c r="AA2248" s="29" t="str">
        <f t="shared" si="737"/>
        <v>NA</v>
      </c>
      <c r="AB2248" s="29" t="str">
        <f t="shared" si="738"/>
        <v>NA</v>
      </c>
      <c r="AC2248" s="29" t="str">
        <f t="shared" si="739"/>
        <v>NA</v>
      </c>
      <c r="AD2248" s="29" t="str">
        <f t="shared" si="740"/>
        <v>NA</v>
      </c>
      <c r="AE2248" s="29" t="str">
        <f t="shared" si="741"/>
        <v>NA</v>
      </c>
      <c r="AF2248" s="29" t="str">
        <f t="shared" si="742"/>
        <v>NA</v>
      </c>
      <c r="AG2248" s="29" t="str">
        <f t="shared" si="743"/>
        <v>NA</v>
      </c>
      <c r="AH2248" s="29" t="str">
        <f t="shared" si="744"/>
        <v>NA</v>
      </c>
    </row>
    <row r="2249" customHeight="1" spans="1:34">
      <c r="A2249" s="12" t="s">
        <v>1043</v>
      </c>
      <c r="F2249" s="24">
        <f t="shared" si="746"/>
        <v>0</v>
      </c>
      <c r="G2249" s="24" t="e">
        <f t="shared" si="745"/>
        <v>#DIV/0!</v>
      </c>
      <c r="Q2249" s="29" t="str">
        <f t="shared" si="727"/>
        <v>NA</v>
      </c>
      <c r="R2249" s="29" t="str">
        <f t="shared" si="728"/>
        <v>NA</v>
      </c>
      <c r="S2249" s="29" t="str">
        <f t="shared" si="729"/>
        <v>NA</v>
      </c>
      <c r="T2249" s="29" t="str">
        <f t="shared" si="730"/>
        <v>NA</v>
      </c>
      <c r="U2249" s="29" t="str">
        <f t="shared" si="731"/>
        <v>NA</v>
      </c>
      <c r="V2249" s="29" t="str">
        <f t="shared" si="732"/>
        <v>NA</v>
      </c>
      <c r="W2249" s="29" t="str">
        <f t="shared" si="733"/>
        <v>NA</v>
      </c>
      <c r="X2249" s="29" t="str">
        <f t="shared" si="734"/>
        <v>NA</v>
      </c>
      <c r="Y2249" s="29" t="str">
        <f t="shared" si="735"/>
        <v>NA</v>
      </c>
      <c r="Z2249" s="29" t="str">
        <f t="shared" si="736"/>
        <v>NA</v>
      </c>
      <c r="AA2249" s="29" t="str">
        <f t="shared" si="737"/>
        <v>NA</v>
      </c>
      <c r="AB2249" s="29" t="str">
        <f t="shared" si="738"/>
        <v>NA</v>
      </c>
      <c r="AC2249" s="29" t="str">
        <f t="shared" si="739"/>
        <v>NA</v>
      </c>
      <c r="AD2249" s="29" t="str">
        <f t="shared" si="740"/>
        <v>NA</v>
      </c>
      <c r="AE2249" s="29" t="str">
        <f t="shared" si="741"/>
        <v>NA</v>
      </c>
      <c r="AF2249" s="29" t="str">
        <f t="shared" si="742"/>
        <v>NA</v>
      </c>
      <c r="AG2249" s="29" t="str">
        <f t="shared" si="743"/>
        <v>NA</v>
      </c>
      <c r="AH2249" s="29" t="str">
        <f t="shared" si="744"/>
        <v>NA</v>
      </c>
    </row>
    <row r="2250" customHeight="1" spans="1:34">
      <c r="A2250" s="12" t="s">
        <v>1043</v>
      </c>
      <c r="F2250" s="24">
        <f t="shared" si="746"/>
        <v>0</v>
      </c>
      <c r="G2250" s="24" t="e">
        <f t="shared" si="745"/>
        <v>#DIV/0!</v>
      </c>
      <c r="Q2250" s="29" t="str">
        <f t="shared" si="727"/>
        <v>NA</v>
      </c>
      <c r="R2250" s="29" t="str">
        <f t="shared" si="728"/>
        <v>NA</v>
      </c>
      <c r="S2250" s="29" t="str">
        <f t="shared" si="729"/>
        <v>NA</v>
      </c>
      <c r="T2250" s="29" t="str">
        <f t="shared" si="730"/>
        <v>NA</v>
      </c>
      <c r="U2250" s="29" t="str">
        <f t="shared" si="731"/>
        <v>NA</v>
      </c>
      <c r="V2250" s="29" t="str">
        <f t="shared" si="732"/>
        <v>NA</v>
      </c>
      <c r="W2250" s="29" t="str">
        <f t="shared" si="733"/>
        <v>NA</v>
      </c>
      <c r="X2250" s="29" t="str">
        <f t="shared" si="734"/>
        <v>NA</v>
      </c>
      <c r="Y2250" s="29" t="str">
        <f t="shared" si="735"/>
        <v>NA</v>
      </c>
      <c r="Z2250" s="29" t="str">
        <f t="shared" si="736"/>
        <v>NA</v>
      </c>
      <c r="AA2250" s="29" t="str">
        <f t="shared" si="737"/>
        <v>NA</v>
      </c>
      <c r="AB2250" s="29" t="str">
        <f t="shared" si="738"/>
        <v>NA</v>
      </c>
      <c r="AC2250" s="29" t="str">
        <f t="shared" si="739"/>
        <v>NA</v>
      </c>
      <c r="AD2250" s="29" t="str">
        <f t="shared" si="740"/>
        <v>NA</v>
      </c>
      <c r="AE2250" s="29" t="str">
        <f t="shared" si="741"/>
        <v>NA</v>
      </c>
      <c r="AF2250" s="29" t="str">
        <f t="shared" si="742"/>
        <v>NA</v>
      </c>
      <c r="AG2250" s="29" t="str">
        <f t="shared" si="743"/>
        <v>NA</v>
      </c>
      <c r="AH2250" s="29" t="str">
        <f t="shared" si="744"/>
        <v>NA</v>
      </c>
    </row>
    <row r="2251" customHeight="1" spans="1:34">
      <c r="A2251" s="12" t="s">
        <v>1043</v>
      </c>
      <c r="F2251" s="24">
        <f t="shared" si="746"/>
        <v>0</v>
      </c>
      <c r="G2251" s="24" t="e">
        <f t="shared" si="745"/>
        <v>#DIV/0!</v>
      </c>
      <c r="Q2251" s="29" t="str">
        <f t="shared" si="727"/>
        <v>NA</v>
      </c>
      <c r="R2251" s="29" t="str">
        <f t="shared" si="728"/>
        <v>NA</v>
      </c>
      <c r="S2251" s="29" t="str">
        <f t="shared" si="729"/>
        <v>NA</v>
      </c>
      <c r="T2251" s="29" t="str">
        <f t="shared" si="730"/>
        <v>NA</v>
      </c>
      <c r="U2251" s="29" t="str">
        <f t="shared" si="731"/>
        <v>NA</v>
      </c>
      <c r="V2251" s="29" t="str">
        <f t="shared" si="732"/>
        <v>NA</v>
      </c>
      <c r="W2251" s="29" t="str">
        <f t="shared" si="733"/>
        <v>NA</v>
      </c>
      <c r="X2251" s="29" t="str">
        <f t="shared" si="734"/>
        <v>NA</v>
      </c>
      <c r="Y2251" s="29" t="str">
        <f t="shared" si="735"/>
        <v>NA</v>
      </c>
      <c r="Z2251" s="29" t="str">
        <f t="shared" si="736"/>
        <v>NA</v>
      </c>
      <c r="AA2251" s="29" t="str">
        <f t="shared" si="737"/>
        <v>NA</v>
      </c>
      <c r="AB2251" s="29" t="str">
        <f t="shared" si="738"/>
        <v>NA</v>
      </c>
      <c r="AC2251" s="29" t="str">
        <f t="shared" si="739"/>
        <v>NA</v>
      </c>
      <c r="AD2251" s="29" t="str">
        <f t="shared" si="740"/>
        <v>NA</v>
      </c>
      <c r="AE2251" s="29" t="str">
        <f t="shared" si="741"/>
        <v>NA</v>
      </c>
      <c r="AF2251" s="29" t="str">
        <f t="shared" si="742"/>
        <v>NA</v>
      </c>
      <c r="AG2251" s="29" t="str">
        <f t="shared" si="743"/>
        <v>NA</v>
      </c>
      <c r="AH2251" s="29" t="str">
        <f t="shared" si="744"/>
        <v>NA</v>
      </c>
    </row>
    <row r="2252" customHeight="1" spans="1:34">
      <c r="A2252" s="12" t="s">
        <v>1043</v>
      </c>
      <c r="F2252" s="24">
        <f t="shared" si="746"/>
        <v>0</v>
      </c>
      <c r="G2252" s="24" t="e">
        <f t="shared" si="745"/>
        <v>#DIV/0!</v>
      </c>
      <c r="Q2252" s="29" t="str">
        <f t="shared" si="727"/>
        <v>NA</v>
      </c>
      <c r="R2252" s="29" t="str">
        <f t="shared" si="728"/>
        <v>NA</v>
      </c>
      <c r="S2252" s="29" t="str">
        <f t="shared" si="729"/>
        <v>NA</v>
      </c>
      <c r="T2252" s="29" t="str">
        <f t="shared" si="730"/>
        <v>NA</v>
      </c>
      <c r="U2252" s="29" t="str">
        <f t="shared" si="731"/>
        <v>NA</v>
      </c>
      <c r="V2252" s="29" t="str">
        <f t="shared" si="732"/>
        <v>NA</v>
      </c>
      <c r="W2252" s="29" t="str">
        <f t="shared" si="733"/>
        <v>NA</v>
      </c>
      <c r="X2252" s="29" t="str">
        <f t="shared" si="734"/>
        <v>NA</v>
      </c>
      <c r="Y2252" s="29" t="str">
        <f t="shared" si="735"/>
        <v>NA</v>
      </c>
      <c r="Z2252" s="29" t="str">
        <f t="shared" si="736"/>
        <v>NA</v>
      </c>
      <c r="AA2252" s="29" t="str">
        <f t="shared" si="737"/>
        <v>NA</v>
      </c>
      <c r="AB2252" s="29" t="str">
        <f t="shared" si="738"/>
        <v>NA</v>
      </c>
      <c r="AC2252" s="29" t="str">
        <f t="shared" si="739"/>
        <v>NA</v>
      </c>
      <c r="AD2252" s="29" t="str">
        <f t="shared" si="740"/>
        <v>NA</v>
      </c>
      <c r="AE2252" s="29" t="str">
        <f t="shared" si="741"/>
        <v>NA</v>
      </c>
      <c r="AF2252" s="29" t="str">
        <f t="shared" si="742"/>
        <v>NA</v>
      </c>
      <c r="AG2252" s="29" t="str">
        <f t="shared" si="743"/>
        <v>NA</v>
      </c>
      <c r="AH2252" s="29" t="str">
        <f t="shared" si="744"/>
        <v>NA</v>
      </c>
    </row>
    <row r="2253" customHeight="1" spans="1:34">
      <c r="A2253" s="12" t="s">
        <v>1043</v>
      </c>
      <c r="F2253" s="24">
        <f t="shared" si="746"/>
        <v>0</v>
      </c>
      <c r="G2253" s="24" t="e">
        <f t="shared" si="745"/>
        <v>#DIV/0!</v>
      </c>
      <c r="Q2253" s="29" t="str">
        <f t="shared" si="727"/>
        <v>NA</v>
      </c>
      <c r="R2253" s="29" t="str">
        <f t="shared" si="728"/>
        <v>NA</v>
      </c>
      <c r="S2253" s="29" t="str">
        <f t="shared" si="729"/>
        <v>NA</v>
      </c>
      <c r="T2253" s="29" t="str">
        <f t="shared" si="730"/>
        <v>NA</v>
      </c>
      <c r="U2253" s="29" t="str">
        <f t="shared" si="731"/>
        <v>NA</v>
      </c>
      <c r="V2253" s="29" t="str">
        <f t="shared" si="732"/>
        <v>NA</v>
      </c>
      <c r="W2253" s="29" t="str">
        <f t="shared" si="733"/>
        <v>NA</v>
      </c>
      <c r="X2253" s="29" t="str">
        <f t="shared" si="734"/>
        <v>NA</v>
      </c>
      <c r="Y2253" s="29" t="str">
        <f t="shared" si="735"/>
        <v>NA</v>
      </c>
      <c r="Z2253" s="29" t="str">
        <f t="shared" si="736"/>
        <v>NA</v>
      </c>
      <c r="AA2253" s="29" t="str">
        <f t="shared" si="737"/>
        <v>NA</v>
      </c>
      <c r="AB2253" s="29" t="str">
        <f t="shared" si="738"/>
        <v>NA</v>
      </c>
      <c r="AC2253" s="29" t="str">
        <f t="shared" si="739"/>
        <v>NA</v>
      </c>
      <c r="AD2253" s="29" t="str">
        <f t="shared" si="740"/>
        <v>NA</v>
      </c>
      <c r="AE2253" s="29" t="str">
        <f t="shared" si="741"/>
        <v>NA</v>
      </c>
      <c r="AF2253" s="29" t="str">
        <f t="shared" si="742"/>
        <v>NA</v>
      </c>
      <c r="AG2253" s="29" t="str">
        <f t="shared" si="743"/>
        <v>NA</v>
      </c>
      <c r="AH2253" s="29" t="str">
        <f t="shared" si="744"/>
        <v>NA</v>
      </c>
    </row>
    <row r="2254" customHeight="1" spans="1:34">
      <c r="A2254" s="12" t="s">
        <v>1043</v>
      </c>
      <c r="F2254" s="24">
        <f t="shared" si="746"/>
        <v>0</v>
      </c>
      <c r="G2254" s="24" t="e">
        <f t="shared" si="745"/>
        <v>#DIV/0!</v>
      </c>
      <c r="Q2254" s="29" t="str">
        <f t="shared" si="727"/>
        <v>NA</v>
      </c>
      <c r="R2254" s="29" t="str">
        <f t="shared" si="728"/>
        <v>NA</v>
      </c>
      <c r="S2254" s="29" t="str">
        <f t="shared" si="729"/>
        <v>NA</v>
      </c>
      <c r="T2254" s="29" t="str">
        <f t="shared" si="730"/>
        <v>NA</v>
      </c>
      <c r="U2254" s="29" t="str">
        <f t="shared" si="731"/>
        <v>NA</v>
      </c>
      <c r="V2254" s="29" t="str">
        <f t="shared" si="732"/>
        <v>NA</v>
      </c>
      <c r="W2254" s="29" t="str">
        <f t="shared" si="733"/>
        <v>NA</v>
      </c>
      <c r="X2254" s="29" t="str">
        <f t="shared" si="734"/>
        <v>NA</v>
      </c>
      <c r="Y2254" s="29" t="str">
        <f t="shared" si="735"/>
        <v>NA</v>
      </c>
      <c r="Z2254" s="29" t="str">
        <f t="shared" si="736"/>
        <v>NA</v>
      </c>
      <c r="AA2254" s="29" t="str">
        <f t="shared" si="737"/>
        <v>NA</v>
      </c>
      <c r="AB2254" s="29" t="str">
        <f t="shared" si="738"/>
        <v>NA</v>
      </c>
      <c r="AC2254" s="29" t="str">
        <f t="shared" si="739"/>
        <v>NA</v>
      </c>
      <c r="AD2254" s="29" t="str">
        <f t="shared" si="740"/>
        <v>NA</v>
      </c>
      <c r="AE2254" s="29" t="str">
        <f t="shared" si="741"/>
        <v>NA</v>
      </c>
      <c r="AF2254" s="29" t="str">
        <f t="shared" si="742"/>
        <v>NA</v>
      </c>
      <c r="AG2254" s="29" t="str">
        <f t="shared" si="743"/>
        <v>NA</v>
      </c>
      <c r="AH2254" s="29" t="str">
        <f t="shared" si="744"/>
        <v>NA</v>
      </c>
    </row>
    <row r="2255" customHeight="1" spans="1:34">
      <c r="A2255" s="12" t="s">
        <v>1043</v>
      </c>
      <c r="F2255" s="24">
        <f t="shared" si="746"/>
        <v>0</v>
      </c>
      <c r="G2255" s="24" t="e">
        <f t="shared" si="745"/>
        <v>#DIV/0!</v>
      </c>
      <c r="Q2255" s="29" t="str">
        <f t="shared" si="727"/>
        <v>NA</v>
      </c>
      <c r="R2255" s="29" t="str">
        <f t="shared" si="728"/>
        <v>NA</v>
      </c>
      <c r="S2255" s="29" t="str">
        <f t="shared" si="729"/>
        <v>NA</v>
      </c>
      <c r="T2255" s="29" t="str">
        <f t="shared" si="730"/>
        <v>NA</v>
      </c>
      <c r="U2255" s="29" t="str">
        <f t="shared" si="731"/>
        <v>NA</v>
      </c>
      <c r="V2255" s="29" t="str">
        <f t="shared" si="732"/>
        <v>NA</v>
      </c>
      <c r="W2255" s="29" t="str">
        <f t="shared" si="733"/>
        <v>NA</v>
      </c>
      <c r="X2255" s="29" t="str">
        <f t="shared" si="734"/>
        <v>NA</v>
      </c>
      <c r="Y2255" s="29" t="str">
        <f t="shared" si="735"/>
        <v>NA</v>
      </c>
      <c r="Z2255" s="29" t="str">
        <f t="shared" si="736"/>
        <v>NA</v>
      </c>
      <c r="AA2255" s="29" t="str">
        <f t="shared" si="737"/>
        <v>NA</v>
      </c>
      <c r="AB2255" s="29" t="str">
        <f t="shared" si="738"/>
        <v>NA</v>
      </c>
      <c r="AC2255" s="29" t="str">
        <f t="shared" si="739"/>
        <v>NA</v>
      </c>
      <c r="AD2255" s="29" t="str">
        <f t="shared" si="740"/>
        <v>NA</v>
      </c>
      <c r="AE2255" s="29" t="str">
        <f t="shared" si="741"/>
        <v>NA</v>
      </c>
      <c r="AF2255" s="29" t="str">
        <f t="shared" si="742"/>
        <v>NA</v>
      </c>
      <c r="AG2255" s="29" t="str">
        <f t="shared" si="743"/>
        <v>NA</v>
      </c>
      <c r="AH2255" s="29" t="str">
        <f t="shared" si="744"/>
        <v>NA</v>
      </c>
    </row>
    <row r="2256" customHeight="1" spans="1:34">
      <c r="A2256" s="12" t="s">
        <v>1043</v>
      </c>
      <c r="F2256" s="24">
        <f t="shared" si="746"/>
        <v>0</v>
      </c>
      <c r="G2256" s="24" t="e">
        <f t="shared" si="745"/>
        <v>#DIV/0!</v>
      </c>
      <c r="Q2256" s="29" t="str">
        <f t="shared" ref="Q2256:Q2319" si="747">IFERROR($B2256*$E2256/H2256,"NA")</f>
        <v>NA</v>
      </c>
      <c r="R2256" s="29" t="str">
        <f t="shared" ref="R2256:R2319" si="748">IFERROR($B2256*$E2256/I2256,"NA")</f>
        <v>NA</v>
      </c>
      <c r="S2256" s="29" t="str">
        <f t="shared" ref="S2256:S2319" si="749">IFERROR($B2256*$E2256/J2256,"NA")</f>
        <v>NA</v>
      </c>
      <c r="T2256" s="29" t="str">
        <f t="shared" ref="T2256:T2319" si="750">IFERROR($B2256*$E2256/K2256,"NA")</f>
        <v>NA</v>
      </c>
      <c r="U2256" s="29" t="str">
        <f t="shared" ref="U2256:U2319" si="751">IFERROR($B2256*$E2256/L2256,"NA")</f>
        <v>NA</v>
      </c>
      <c r="V2256" s="29" t="str">
        <f t="shared" ref="V2256:V2319" si="752">IFERROR($B2256*$E2256/M2256,"NA")</f>
        <v>NA</v>
      </c>
      <c r="W2256" s="29" t="str">
        <f t="shared" ref="W2256:W2319" si="753">IFERROR($B2256*$E2256/N2256,"NA")</f>
        <v>NA</v>
      </c>
      <c r="X2256" s="29" t="str">
        <f t="shared" ref="X2256:X2319" si="754">IFERROR($B2256*$E2256/O2256,"NA")</f>
        <v>NA</v>
      </c>
      <c r="Y2256" s="29" t="str">
        <f t="shared" ref="Y2256:Y2319" si="755">IFERROR($B2256*$E2256/P2256,"NA")</f>
        <v>NA</v>
      </c>
      <c r="Z2256" s="29" t="str">
        <f t="shared" ref="Z2256:Z2319" si="756">IFERROR((($G2256*Z$2/1000)+Q2256)/1,"NA")</f>
        <v>NA</v>
      </c>
      <c r="AA2256" s="29" t="str">
        <f t="shared" ref="AA2256:AA2319" si="757">IFERROR((($G2256*AA$2/1000)+R2256)/1,"NA")</f>
        <v>NA</v>
      </c>
      <c r="AB2256" s="29" t="str">
        <f t="shared" ref="AB2256:AB2319" si="758">IFERROR((($G2256*AB$2/1000)+S2256)/1,"NA")</f>
        <v>NA</v>
      </c>
      <c r="AC2256" s="29" t="str">
        <f t="shared" ref="AC2256:AC2319" si="759">IFERROR((($G2256*AC$2/1000)+T2256)/1,"NA")</f>
        <v>NA</v>
      </c>
      <c r="AD2256" s="29" t="str">
        <f t="shared" ref="AD2256:AD2319" si="760">IFERROR((($G2256*AD$2/1000)+U2256)/1,"NA")</f>
        <v>NA</v>
      </c>
      <c r="AE2256" s="29" t="str">
        <f t="shared" ref="AE2256:AE2319" si="761">IFERROR((($G2256*AE$2/1000)+V2256)/1,"NA")</f>
        <v>NA</v>
      </c>
      <c r="AF2256" s="29" t="str">
        <f t="shared" ref="AF2256:AF2319" si="762">IFERROR((($G2256*AF$2/1000)+W2256)/1,"NA")</f>
        <v>NA</v>
      </c>
      <c r="AG2256" s="29" t="str">
        <f t="shared" ref="AG2256:AG2319" si="763">IFERROR((($G2256*AG$2/1000)+X2256)/1,"NA")</f>
        <v>NA</v>
      </c>
      <c r="AH2256" s="29" t="str">
        <f t="shared" ref="AH2256:AH2319" si="764">IFERROR((($G2256*AH$2/1000)+Y2256)/1,"NA")</f>
        <v>NA</v>
      </c>
    </row>
    <row r="2257" customHeight="1" spans="1:34">
      <c r="A2257" s="12" t="s">
        <v>1043</v>
      </c>
      <c r="F2257" s="24">
        <f t="shared" si="746"/>
        <v>0</v>
      </c>
      <c r="G2257" s="24" t="e">
        <f t="shared" si="745"/>
        <v>#DIV/0!</v>
      </c>
      <c r="Q2257" s="29" t="str">
        <f t="shared" si="747"/>
        <v>NA</v>
      </c>
      <c r="R2257" s="29" t="str">
        <f t="shared" si="748"/>
        <v>NA</v>
      </c>
      <c r="S2257" s="29" t="str">
        <f t="shared" si="749"/>
        <v>NA</v>
      </c>
      <c r="T2257" s="29" t="str">
        <f t="shared" si="750"/>
        <v>NA</v>
      </c>
      <c r="U2257" s="29" t="str">
        <f t="shared" si="751"/>
        <v>NA</v>
      </c>
      <c r="V2257" s="29" t="str">
        <f t="shared" si="752"/>
        <v>NA</v>
      </c>
      <c r="W2257" s="29" t="str">
        <f t="shared" si="753"/>
        <v>NA</v>
      </c>
      <c r="X2257" s="29" t="str">
        <f t="shared" si="754"/>
        <v>NA</v>
      </c>
      <c r="Y2257" s="29" t="str">
        <f t="shared" si="755"/>
        <v>NA</v>
      </c>
      <c r="Z2257" s="29" t="str">
        <f t="shared" si="756"/>
        <v>NA</v>
      </c>
      <c r="AA2257" s="29" t="str">
        <f t="shared" si="757"/>
        <v>NA</v>
      </c>
      <c r="AB2257" s="29" t="str">
        <f t="shared" si="758"/>
        <v>NA</v>
      </c>
      <c r="AC2257" s="29" t="str">
        <f t="shared" si="759"/>
        <v>NA</v>
      </c>
      <c r="AD2257" s="29" t="str">
        <f t="shared" si="760"/>
        <v>NA</v>
      </c>
      <c r="AE2257" s="29" t="str">
        <f t="shared" si="761"/>
        <v>NA</v>
      </c>
      <c r="AF2257" s="29" t="str">
        <f t="shared" si="762"/>
        <v>NA</v>
      </c>
      <c r="AG2257" s="29" t="str">
        <f t="shared" si="763"/>
        <v>NA</v>
      </c>
      <c r="AH2257" s="29" t="str">
        <f t="shared" si="764"/>
        <v>NA</v>
      </c>
    </row>
    <row r="2258" customHeight="1" spans="1:34">
      <c r="A2258" s="12" t="s">
        <v>1043</v>
      </c>
      <c r="F2258" s="24">
        <f t="shared" si="746"/>
        <v>0</v>
      </c>
      <c r="G2258" s="24" t="e">
        <f t="shared" si="745"/>
        <v>#DIV/0!</v>
      </c>
      <c r="Q2258" s="29" t="str">
        <f t="shared" si="747"/>
        <v>NA</v>
      </c>
      <c r="R2258" s="29" t="str">
        <f t="shared" si="748"/>
        <v>NA</v>
      </c>
      <c r="S2258" s="29" t="str">
        <f t="shared" si="749"/>
        <v>NA</v>
      </c>
      <c r="T2258" s="29" t="str">
        <f t="shared" si="750"/>
        <v>NA</v>
      </c>
      <c r="U2258" s="29" t="str">
        <f t="shared" si="751"/>
        <v>NA</v>
      </c>
      <c r="V2258" s="29" t="str">
        <f t="shared" si="752"/>
        <v>NA</v>
      </c>
      <c r="W2258" s="29" t="str">
        <f t="shared" si="753"/>
        <v>NA</v>
      </c>
      <c r="X2258" s="29" t="str">
        <f t="shared" si="754"/>
        <v>NA</v>
      </c>
      <c r="Y2258" s="29" t="str">
        <f t="shared" si="755"/>
        <v>NA</v>
      </c>
      <c r="Z2258" s="29" t="str">
        <f t="shared" si="756"/>
        <v>NA</v>
      </c>
      <c r="AA2258" s="29" t="str">
        <f t="shared" si="757"/>
        <v>NA</v>
      </c>
      <c r="AB2258" s="29" t="str">
        <f t="shared" si="758"/>
        <v>NA</v>
      </c>
      <c r="AC2258" s="29" t="str">
        <f t="shared" si="759"/>
        <v>NA</v>
      </c>
      <c r="AD2258" s="29" t="str">
        <f t="shared" si="760"/>
        <v>NA</v>
      </c>
      <c r="AE2258" s="29" t="str">
        <f t="shared" si="761"/>
        <v>NA</v>
      </c>
      <c r="AF2258" s="29" t="str">
        <f t="shared" si="762"/>
        <v>NA</v>
      </c>
      <c r="AG2258" s="29" t="str">
        <f t="shared" si="763"/>
        <v>NA</v>
      </c>
      <c r="AH2258" s="29" t="str">
        <f t="shared" si="764"/>
        <v>NA</v>
      </c>
    </row>
    <row r="2259" customHeight="1" spans="1:34">
      <c r="A2259" s="12" t="s">
        <v>1043</v>
      </c>
      <c r="F2259" s="24">
        <f t="shared" si="746"/>
        <v>0</v>
      </c>
      <c r="G2259" s="24" t="e">
        <f t="shared" si="745"/>
        <v>#DIV/0!</v>
      </c>
      <c r="Q2259" s="29" t="str">
        <f t="shared" si="747"/>
        <v>NA</v>
      </c>
      <c r="R2259" s="29" t="str">
        <f t="shared" si="748"/>
        <v>NA</v>
      </c>
      <c r="S2259" s="29" t="str">
        <f t="shared" si="749"/>
        <v>NA</v>
      </c>
      <c r="T2259" s="29" t="str">
        <f t="shared" si="750"/>
        <v>NA</v>
      </c>
      <c r="U2259" s="29" t="str">
        <f t="shared" si="751"/>
        <v>NA</v>
      </c>
      <c r="V2259" s="29" t="str">
        <f t="shared" si="752"/>
        <v>NA</v>
      </c>
      <c r="W2259" s="29" t="str">
        <f t="shared" si="753"/>
        <v>NA</v>
      </c>
      <c r="X2259" s="29" t="str">
        <f t="shared" si="754"/>
        <v>NA</v>
      </c>
      <c r="Y2259" s="29" t="str">
        <f t="shared" si="755"/>
        <v>NA</v>
      </c>
      <c r="Z2259" s="29" t="str">
        <f t="shared" si="756"/>
        <v>NA</v>
      </c>
      <c r="AA2259" s="29" t="str">
        <f t="shared" si="757"/>
        <v>NA</v>
      </c>
      <c r="AB2259" s="29" t="str">
        <f t="shared" si="758"/>
        <v>NA</v>
      </c>
      <c r="AC2259" s="29" t="str">
        <f t="shared" si="759"/>
        <v>NA</v>
      </c>
      <c r="AD2259" s="29" t="str">
        <f t="shared" si="760"/>
        <v>NA</v>
      </c>
      <c r="AE2259" s="29" t="str">
        <f t="shared" si="761"/>
        <v>NA</v>
      </c>
      <c r="AF2259" s="29" t="str">
        <f t="shared" si="762"/>
        <v>NA</v>
      </c>
      <c r="AG2259" s="29" t="str">
        <f t="shared" si="763"/>
        <v>NA</v>
      </c>
      <c r="AH2259" s="29" t="str">
        <f t="shared" si="764"/>
        <v>NA</v>
      </c>
    </row>
    <row r="2260" customHeight="1" spans="1:34">
      <c r="A2260" s="12" t="s">
        <v>1043</v>
      </c>
      <c r="F2260" s="24">
        <f t="shared" si="746"/>
        <v>0</v>
      </c>
      <c r="G2260" s="24" t="e">
        <f t="shared" si="745"/>
        <v>#DIV/0!</v>
      </c>
      <c r="Q2260" s="29" t="str">
        <f t="shared" si="747"/>
        <v>NA</v>
      </c>
      <c r="R2260" s="29" t="str">
        <f t="shared" si="748"/>
        <v>NA</v>
      </c>
      <c r="S2260" s="29" t="str">
        <f t="shared" si="749"/>
        <v>NA</v>
      </c>
      <c r="T2260" s="29" t="str">
        <f t="shared" si="750"/>
        <v>NA</v>
      </c>
      <c r="U2260" s="29" t="str">
        <f t="shared" si="751"/>
        <v>NA</v>
      </c>
      <c r="V2260" s="29" t="str">
        <f t="shared" si="752"/>
        <v>NA</v>
      </c>
      <c r="W2260" s="29" t="str">
        <f t="shared" si="753"/>
        <v>NA</v>
      </c>
      <c r="X2260" s="29" t="str">
        <f t="shared" si="754"/>
        <v>NA</v>
      </c>
      <c r="Y2260" s="29" t="str">
        <f t="shared" si="755"/>
        <v>NA</v>
      </c>
      <c r="Z2260" s="29" t="str">
        <f t="shared" si="756"/>
        <v>NA</v>
      </c>
      <c r="AA2260" s="29" t="str">
        <f t="shared" si="757"/>
        <v>NA</v>
      </c>
      <c r="AB2260" s="29" t="str">
        <f t="shared" si="758"/>
        <v>NA</v>
      </c>
      <c r="AC2260" s="29" t="str">
        <f t="shared" si="759"/>
        <v>NA</v>
      </c>
      <c r="AD2260" s="29" t="str">
        <f t="shared" si="760"/>
        <v>NA</v>
      </c>
      <c r="AE2260" s="29" t="str">
        <f t="shared" si="761"/>
        <v>NA</v>
      </c>
      <c r="AF2260" s="29" t="str">
        <f t="shared" si="762"/>
        <v>NA</v>
      </c>
      <c r="AG2260" s="29" t="str">
        <f t="shared" si="763"/>
        <v>NA</v>
      </c>
      <c r="AH2260" s="29" t="str">
        <f t="shared" si="764"/>
        <v>NA</v>
      </c>
    </row>
    <row r="2261" customHeight="1" spans="1:34">
      <c r="A2261" s="12" t="s">
        <v>1043</v>
      </c>
      <c r="F2261" s="24">
        <f t="shared" si="746"/>
        <v>0</v>
      </c>
      <c r="G2261" s="24" t="e">
        <f t="shared" si="745"/>
        <v>#DIV/0!</v>
      </c>
      <c r="Q2261" s="29" t="str">
        <f t="shared" si="747"/>
        <v>NA</v>
      </c>
      <c r="R2261" s="29" t="str">
        <f t="shared" si="748"/>
        <v>NA</v>
      </c>
      <c r="S2261" s="29" t="str">
        <f t="shared" si="749"/>
        <v>NA</v>
      </c>
      <c r="T2261" s="29" t="str">
        <f t="shared" si="750"/>
        <v>NA</v>
      </c>
      <c r="U2261" s="29" t="str">
        <f t="shared" si="751"/>
        <v>NA</v>
      </c>
      <c r="V2261" s="29" t="str">
        <f t="shared" si="752"/>
        <v>NA</v>
      </c>
      <c r="W2261" s="29" t="str">
        <f t="shared" si="753"/>
        <v>NA</v>
      </c>
      <c r="X2261" s="29" t="str">
        <f t="shared" si="754"/>
        <v>NA</v>
      </c>
      <c r="Y2261" s="29" t="str">
        <f t="shared" si="755"/>
        <v>NA</v>
      </c>
      <c r="Z2261" s="29" t="str">
        <f t="shared" si="756"/>
        <v>NA</v>
      </c>
      <c r="AA2261" s="29" t="str">
        <f t="shared" si="757"/>
        <v>NA</v>
      </c>
      <c r="AB2261" s="29" t="str">
        <f t="shared" si="758"/>
        <v>NA</v>
      </c>
      <c r="AC2261" s="29" t="str">
        <f t="shared" si="759"/>
        <v>NA</v>
      </c>
      <c r="AD2261" s="29" t="str">
        <f t="shared" si="760"/>
        <v>NA</v>
      </c>
      <c r="AE2261" s="29" t="str">
        <f t="shared" si="761"/>
        <v>NA</v>
      </c>
      <c r="AF2261" s="29" t="str">
        <f t="shared" si="762"/>
        <v>NA</v>
      </c>
      <c r="AG2261" s="29" t="str">
        <f t="shared" si="763"/>
        <v>NA</v>
      </c>
      <c r="AH2261" s="29" t="str">
        <f t="shared" si="764"/>
        <v>NA</v>
      </c>
    </row>
    <row r="2262" customHeight="1" spans="1:34">
      <c r="A2262" s="12" t="s">
        <v>1043</v>
      </c>
      <c r="F2262" s="24">
        <f t="shared" si="746"/>
        <v>0</v>
      </c>
      <c r="G2262" s="24" t="e">
        <f t="shared" si="745"/>
        <v>#DIV/0!</v>
      </c>
      <c r="Q2262" s="29" t="str">
        <f t="shared" si="747"/>
        <v>NA</v>
      </c>
      <c r="R2262" s="29" t="str">
        <f t="shared" si="748"/>
        <v>NA</v>
      </c>
      <c r="S2262" s="29" t="str">
        <f t="shared" si="749"/>
        <v>NA</v>
      </c>
      <c r="T2262" s="29" t="str">
        <f t="shared" si="750"/>
        <v>NA</v>
      </c>
      <c r="U2262" s="29" t="str">
        <f t="shared" si="751"/>
        <v>NA</v>
      </c>
      <c r="V2262" s="29" t="str">
        <f t="shared" si="752"/>
        <v>NA</v>
      </c>
      <c r="W2262" s="29" t="str">
        <f t="shared" si="753"/>
        <v>NA</v>
      </c>
      <c r="X2262" s="29" t="str">
        <f t="shared" si="754"/>
        <v>NA</v>
      </c>
      <c r="Y2262" s="29" t="str">
        <f t="shared" si="755"/>
        <v>NA</v>
      </c>
      <c r="Z2262" s="29" t="str">
        <f t="shared" si="756"/>
        <v>NA</v>
      </c>
      <c r="AA2262" s="29" t="str">
        <f t="shared" si="757"/>
        <v>NA</v>
      </c>
      <c r="AB2262" s="29" t="str">
        <f t="shared" si="758"/>
        <v>NA</v>
      </c>
      <c r="AC2262" s="29" t="str">
        <f t="shared" si="759"/>
        <v>NA</v>
      </c>
      <c r="AD2262" s="29" t="str">
        <f t="shared" si="760"/>
        <v>NA</v>
      </c>
      <c r="AE2262" s="29" t="str">
        <f t="shared" si="761"/>
        <v>NA</v>
      </c>
      <c r="AF2262" s="29" t="str">
        <f t="shared" si="762"/>
        <v>NA</v>
      </c>
      <c r="AG2262" s="29" t="str">
        <f t="shared" si="763"/>
        <v>NA</v>
      </c>
      <c r="AH2262" s="29" t="str">
        <f t="shared" si="764"/>
        <v>NA</v>
      </c>
    </row>
    <row r="2263" customHeight="1" spans="1:34">
      <c r="A2263" s="12" t="s">
        <v>1043</v>
      </c>
      <c r="F2263" s="24">
        <f t="shared" si="746"/>
        <v>0</v>
      </c>
      <c r="G2263" s="24" t="e">
        <f t="shared" si="745"/>
        <v>#DIV/0!</v>
      </c>
      <c r="Q2263" s="29" t="str">
        <f t="shared" si="747"/>
        <v>NA</v>
      </c>
      <c r="R2263" s="29" t="str">
        <f t="shared" si="748"/>
        <v>NA</v>
      </c>
      <c r="S2263" s="29" t="str">
        <f t="shared" si="749"/>
        <v>NA</v>
      </c>
      <c r="T2263" s="29" t="str">
        <f t="shared" si="750"/>
        <v>NA</v>
      </c>
      <c r="U2263" s="29" t="str">
        <f t="shared" si="751"/>
        <v>NA</v>
      </c>
      <c r="V2263" s="29" t="str">
        <f t="shared" si="752"/>
        <v>NA</v>
      </c>
      <c r="W2263" s="29" t="str">
        <f t="shared" si="753"/>
        <v>NA</v>
      </c>
      <c r="X2263" s="29" t="str">
        <f t="shared" si="754"/>
        <v>NA</v>
      </c>
      <c r="Y2263" s="29" t="str">
        <f t="shared" si="755"/>
        <v>NA</v>
      </c>
      <c r="Z2263" s="29" t="str">
        <f t="shared" si="756"/>
        <v>NA</v>
      </c>
      <c r="AA2263" s="29" t="str">
        <f t="shared" si="757"/>
        <v>NA</v>
      </c>
      <c r="AB2263" s="29" t="str">
        <f t="shared" si="758"/>
        <v>NA</v>
      </c>
      <c r="AC2263" s="29" t="str">
        <f t="shared" si="759"/>
        <v>NA</v>
      </c>
      <c r="AD2263" s="29" t="str">
        <f t="shared" si="760"/>
        <v>NA</v>
      </c>
      <c r="AE2263" s="29" t="str">
        <f t="shared" si="761"/>
        <v>NA</v>
      </c>
      <c r="AF2263" s="29" t="str">
        <f t="shared" si="762"/>
        <v>NA</v>
      </c>
      <c r="AG2263" s="29" t="str">
        <f t="shared" si="763"/>
        <v>NA</v>
      </c>
      <c r="AH2263" s="29" t="str">
        <f t="shared" si="764"/>
        <v>NA</v>
      </c>
    </row>
    <row r="2264" customHeight="1" spans="1:34">
      <c r="A2264" s="12" t="s">
        <v>1043</v>
      </c>
      <c r="F2264" s="24">
        <f t="shared" si="746"/>
        <v>0</v>
      </c>
      <c r="G2264" s="24" t="e">
        <f t="shared" si="745"/>
        <v>#DIV/0!</v>
      </c>
      <c r="Q2264" s="29" t="str">
        <f t="shared" si="747"/>
        <v>NA</v>
      </c>
      <c r="R2264" s="29" t="str">
        <f t="shared" si="748"/>
        <v>NA</v>
      </c>
      <c r="S2264" s="29" t="str">
        <f t="shared" si="749"/>
        <v>NA</v>
      </c>
      <c r="T2264" s="29" t="str">
        <f t="shared" si="750"/>
        <v>NA</v>
      </c>
      <c r="U2264" s="29" t="str">
        <f t="shared" si="751"/>
        <v>NA</v>
      </c>
      <c r="V2264" s="29" t="str">
        <f t="shared" si="752"/>
        <v>NA</v>
      </c>
      <c r="W2264" s="29" t="str">
        <f t="shared" si="753"/>
        <v>NA</v>
      </c>
      <c r="X2264" s="29" t="str">
        <f t="shared" si="754"/>
        <v>NA</v>
      </c>
      <c r="Y2264" s="29" t="str">
        <f t="shared" si="755"/>
        <v>NA</v>
      </c>
      <c r="Z2264" s="29" t="str">
        <f t="shared" si="756"/>
        <v>NA</v>
      </c>
      <c r="AA2264" s="29" t="str">
        <f t="shared" si="757"/>
        <v>NA</v>
      </c>
      <c r="AB2264" s="29" t="str">
        <f t="shared" si="758"/>
        <v>NA</v>
      </c>
      <c r="AC2264" s="29" t="str">
        <f t="shared" si="759"/>
        <v>NA</v>
      </c>
      <c r="AD2264" s="29" t="str">
        <f t="shared" si="760"/>
        <v>NA</v>
      </c>
      <c r="AE2264" s="29" t="str">
        <f t="shared" si="761"/>
        <v>NA</v>
      </c>
      <c r="AF2264" s="29" t="str">
        <f t="shared" si="762"/>
        <v>NA</v>
      </c>
      <c r="AG2264" s="29" t="str">
        <f t="shared" si="763"/>
        <v>NA</v>
      </c>
      <c r="AH2264" s="29" t="str">
        <f t="shared" si="764"/>
        <v>NA</v>
      </c>
    </row>
    <row r="2265" customHeight="1" spans="1:34">
      <c r="A2265" s="12" t="s">
        <v>1043</v>
      </c>
      <c r="F2265" s="24">
        <f t="shared" si="746"/>
        <v>0</v>
      </c>
      <c r="G2265" s="24" t="e">
        <f t="shared" si="745"/>
        <v>#DIV/0!</v>
      </c>
      <c r="Q2265" s="29" t="str">
        <f t="shared" si="747"/>
        <v>NA</v>
      </c>
      <c r="R2265" s="29" t="str">
        <f t="shared" si="748"/>
        <v>NA</v>
      </c>
      <c r="S2265" s="29" t="str">
        <f t="shared" si="749"/>
        <v>NA</v>
      </c>
      <c r="T2265" s="29" t="str">
        <f t="shared" si="750"/>
        <v>NA</v>
      </c>
      <c r="U2265" s="29" t="str">
        <f t="shared" si="751"/>
        <v>NA</v>
      </c>
      <c r="V2265" s="29" t="str">
        <f t="shared" si="752"/>
        <v>NA</v>
      </c>
      <c r="W2265" s="29" t="str">
        <f t="shared" si="753"/>
        <v>NA</v>
      </c>
      <c r="X2265" s="29" t="str">
        <f t="shared" si="754"/>
        <v>NA</v>
      </c>
      <c r="Y2265" s="29" t="str">
        <f t="shared" si="755"/>
        <v>NA</v>
      </c>
      <c r="Z2265" s="29" t="str">
        <f t="shared" si="756"/>
        <v>NA</v>
      </c>
      <c r="AA2265" s="29" t="str">
        <f t="shared" si="757"/>
        <v>NA</v>
      </c>
      <c r="AB2265" s="29" t="str">
        <f t="shared" si="758"/>
        <v>NA</v>
      </c>
      <c r="AC2265" s="29" t="str">
        <f t="shared" si="759"/>
        <v>NA</v>
      </c>
      <c r="AD2265" s="29" t="str">
        <f t="shared" si="760"/>
        <v>NA</v>
      </c>
      <c r="AE2265" s="29" t="str">
        <f t="shared" si="761"/>
        <v>NA</v>
      </c>
      <c r="AF2265" s="29" t="str">
        <f t="shared" si="762"/>
        <v>NA</v>
      </c>
      <c r="AG2265" s="29" t="str">
        <f t="shared" si="763"/>
        <v>NA</v>
      </c>
      <c r="AH2265" s="29" t="str">
        <f t="shared" si="764"/>
        <v>NA</v>
      </c>
    </row>
    <row r="2266" customHeight="1" spans="1:34">
      <c r="A2266" s="12" t="s">
        <v>1043</v>
      </c>
      <c r="F2266" s="24">
        <f t="shared" si="746"/>
        <v>0</v>
      </c>
      <c r="G2266" s="24" t="e">
        <f t="shared" si="745"/>
        <v>#DIV/0!</v>
      </c>
      <c r="Q2266" s="29" t="str">
        <f t="shared" si="747"/>
        <v>NA</v>
      </c>
      <c r="R2266" s="29" t="str">
        <f t="shared" si="748"/>
        <v>NA</v>
      </c>
      <c r="S2266" s="29" t="str">
        <f t="shared" si="749"/>
        <v>NA</v>
      </c>
      <c r="T2266" s="29" t="str">
        <f t="shared" si="750"/>
        <v>NA</v>
      </c>
      <c r="U2266" s="29" t="str">
        <f t="shared" si="751"/>
        <v>NA</v>
      </c>
      <c r="V2266" s="29" t="str">
        <f t="shared" si="752"/>
        <v>NA</v>
      </c>
      <c r="W2266" s="29" t="str">
        <f t="shared" si="753"/>
        <v>NA</v>
      </c>
      <c r="X2266" s="29" t="str">
        <f t="shared" si="754"/>
        <v>NA</v>
      </c>
      <c r="Y2266" s="29" t="str">
        <f t="shared" si="755"/>
        <v>NA</v>
      </c>
      <c r="Z2266" s="29" t="str">
        <f t="shared" si="756"/>
        <v>NA</v>
      </c>
      <c r="AA2266" s="29" t="str">
        <f t="shared" si="757"/>
        <v>NA</v>
      </c>
      <c r="AB2266" s="29" t="str">
        <f t="shared" si="758"/>
        <v>NA</v>
      </c>
      <c r="AC2266" s="29" t="str">
        <f t="shared" si="759"/>
        <v>NA</v>
      </c>
      <c r="AD2266" s="29" t="str">
        <f t="shared" si="760"/>
        <v>NA</v>
      </c>
      <c r="AE2266" s="29" t="str">
        <f t="shared" si="761"/>
        <v>NA</v>
      </c>
      <c r="AF2266" s="29" t="str">
        <f t="shared" si="762"/>
        <v>NA</v>
      </c>
      <c r="AG2266" s="29" t="str">
        <f t="shared" si="763"/>
        <v>NA</v>
      </c>
      <c r="AH2266" s="29" t="str">
        <f t="shared" si="764"/>
        <v>NA</v>
      </c>
    </row>
    <row r="2267" customHeight="1" spans="1:34">
      <c r="A2267" s="12" t="s">
        <v>1043</v>
      </c>
      <c r="F2267" s="24">
        <f t="shared" si="746"/>
        <v>0</v>
      </c>
      <c r="G2267" s="24" t="e">
        <f t="shared" si="745"/>
        <v>#DIV/0!</v>
      </c>
      <c r="Q2267" s="29" t="str">
        <f t="shared" si="747"/>
        <v>NA</v>
      </c>
      <c r="R2267" s="29" t="str">
        <f t="shared" si="748"/>
        <v>NA</v>
      </c>
      <c r="S2267" s="29" t="str">
        <f t="shared" si="749"/>
        <v>NA</v>
      </c>
      <c r="T2267" s="29" t="str">
        <f t="shared" si="750"/>
        <v>NA</v>
      </c>
      <c r="U2267" s="29" t="str">
        <f t="shared" si="751"/>
        <v>NA</v>
      </c>
      <c r="V2267" s="29" t="str">
        <f t="shared" si="752"/>
        <v>NA</v>
      </c>
      <c r="W2267" s="29" t="str">
        <f t="shared" si="753"/>
        <v>NA</v>
      </c>
      <c r="X2267" s="29" t="str">
        <f t="shared" si="754"/>
        <v>NA</v>
      </c>
      <c r="Y2267" s="29" t="str">
        <f t="shared" si="755"/>
        <v>NA</v>
      </c>
      <c r="Z2267" s="29" t="str">
        <f t="shared" si="756"/>
        <v>NA</v>
      </c>
      <c r="AA2267" s="29" t="str">
        <f t="shared" si="757"/>
        <v>NA</v>
      </c>
      <c r="AB2267" s="29" t="str">
        <f t="shared" si="758"/>
        <v>NA</v>
      </c>
      <c r="AC2267" s="29" t="str">
        <f t="shared" si="759"/>
        <v>NA</v>
      </c>
      <c r="AD2267" s="29" t="str">
        <f t="shared" si="760"/>
        <v>NA</v>
      </c>
      <c r="AE2267" s="29" t="str">
        <f t="shared" si="761"/>
        <v>NA</v>
      </c>
      <c r="AF2267" s="29" t="str">
        <f t="shared" si="762"/>
        <v>NA</v>
      </c>
      <c r="AG2267" s="29" t="str">
        <f t="shared" si="763"/>
        <v>NA</v>
      </c>
      <c r="AH2267" s="29" t="str">
        <f t="shared" si="764"/>
        <v>NA</v>
      </c>
    </row>
    <row r="2268" customHeight="1" spans="1:34">
      <c r="A2268" s="12" t="s">
        <v>1043</v>
      </c>
      <c r="F2268" s="24">
        <f t="shared" si="746"/>
        <v>0</v>
      </c>
      <c r="G2268" s="24" t="e">
        <f t="shared" si="745"/>
        <v>#DIV/0!</v>
      </c>
      <c r="Q2268" s="29" t="str">
        <f t="shared" si="747"/>
        <v>NA</v>
      </c>
      <c r="R2268" s="29" t="str">
        <f t="shared" si="748"/>
        <v>NA</v>
      </c>
      <c r="S2268" s="29" t="str">
        <f t="shared" si="749"/>
        <v>NA</v>
      </c>
      <c r="T2268" s="29" t="str">
        <f t="shared" si="750"/>
        <v>NA</v>
      </c>
      <c r="U2268" s="29" t="str">
        <f t="shared" si="751"/>
        <v>NA</v>
      </c>
      <c r="V2268" s="29" t="str">
        <f t="shared" si="752"/>
        <v>NA</v>
      </c>
      <c r="W2268" s="29" t="str">
        <f t="shared" si="753"/>
        <v>NA</v>
      </c>
      <c r="X2268" s="29" t="str">
        <f t="shared" si="754"/>
        <v>NA</v>
      </c>
      <c r="Y2268" s="29" t="str">
        <f t="shared" si="755"/>
        <v>NA</v>
      </c>
      <c r="Z2268" s="29" t="str">
        <f t="shared" si="756"/>
        <v>NA</v>
      </c>
      <c r="AA2268" s="29" t="str">
        <f t="shared" si="757"/>
        <v>NA</v>
      </c>
      <c r="AB2268" s="29" t="str">
        <f t="shared" si="758"/>
        <v>NA</v>
      </c>
      <c r="AC2268" s="29" t="str">
        <f t="shared" si="759"/>
        <v>NA</v>
      </c>
      <c r="AD2268" s="29" t="str">
        <f t="shared" si="760"/>
        <v>NA</v>
      </c>
      <c r="AE2268" s="29" t="str">
        <f t="shared" si="761"/>
        <v>NA</v>
      </c>
      <c r="AF2268" s="29" t="str">
        <f t="shared" si="762"/>
        <v>NA</v>
      </c>
      <c r="AG2268" s="29" t="str">
        <f t="shared" si="763"/>
        <v>NA</v>
      </c>
      <c r="AH2268" s="29" t="str">
        <f t="shared" si="764"/>
        <v>NA</v>
      </c>
    </row>
    <row r="2269" customHeight="1" spans="1:34">
      <c r="A2269" s="12" t="s">
        <v>1043</v>
      </c>
      <c r="F2269" s="24">
        <f t="shared" si="746"/>
        <v>0</v>
      </c>
      <c r="G2269" s="24" t="e">
        <f t="shared" si="745"/>
        <v>#DIV/0!</v>
      </c>
      <c r="Q2269" s="29" t="str">
        <f t="shared" si="747"/>
        <v>NA</v>
      </c>
      <c r="R2269" s="29" t="str">
        <f t="shared" si="748"/>
        <v>NA</v>
      </c>
      <c r="S2269" s="29" t="str">
        <f t="shared" si="749"/>
        <v>NA</v>
      </c>
      <c r="T2269" s="29" t="str">
        <f t="shared" si="750"/>
        <v>NA</v>
      </c>
      <c r="U2269" s="29" t="str">
        <f t="shared" si="751"/>
        <v>NA</v>
      </c>
      <c r="V2269" s="29" t="str">
        <f t="shared" si="752"/>
        <v>NA</v>
      </c>
      <c r="W2269" s="29" t="str">
        <f t="shared" si="753"/>
        <v>NA</v>
      </c>
      <c r="X2269" s="29" t="str">
        <f t="shared" si="754"/>
        <v>NA</v>
      </c>
      <c r="Y2269" s="29" t="str">
        <f t="shared" si="755"/>
        <v>NA</v>
      </c>
      <c r="Z2269" s="29" t="str">
        <f t="shared" si="756"/>
        <v>NA</v>
      </c>
      <c r="AA2269" s="29" t="str">
        <f t="shared" si="757"/>
        <v>NA</v>
      </c>
      <c r="AB2269" s="29" t="str">
        <f t="shared" si="758"/>
        <v>NA</v>
      </c>
      <c r="AC2269" s="29" t="str">
        <f t="shared" si="759"/>
        <v>NA</v>
      </c>
      <c r="AD2269" s="29" t="str">
        <f t="shared" si="760"/>
        <v>NA</v>
      </c>
      <c r="AE2269" s="29" t="str">
        <f t="shared" si="761"/>
        <v>NA</v>
      </c>
      <c r="AF2269" s="29" t="str">
        <f t="shared" si="762"/>
        <v>NA</v>
      </c>
      <c r="AG2269" s="29" t="str">
        <f t="shared" si="763"/>
        <v>NA</v>
      </c>
      <c r="AH2269" s="29" t="str">
        <f t="shared" si="764"/>
        <v>NA</v>
      </c>
    </row>
    <row r="2270" customHeight="1" spans="1:34">
      <c r="A2270" s="12" t="s">
        <v>1043</v>
      </c>
      <c r="F2270" s="24">
        <f t="shared" si="746"/>
        <v>0</v>
      </c>
      <c r="G2270" s="24" t="e">
        <f t="shared" si="745"/>
        <v>#DIV/0!</v>
      </c>
      <c r="Q2270" s="29" t="str">
        <f t="shared" si="747"/>
        <v>NA</v>
      </c>
      <c r="R2270" s="29" t="str">
        <f t="shared" si="748"/>
        <v>NA</v>
      </c>
      <c r="S2270" s="29" t="str">
        <f t="shared" si="749"/>
        <v>NA</v>
      </c>
      <c r="T2270" s="29" t="str">
        <f t="shared" si="750"/>
        <v>NA</v>
      </c>
      <c r="U2270" s="29" t="str">
        <f t="shared" si="751"/>
        <v>NA</v>
      </c>
      <c r="V2270" s="29" t="str">
        <f t="shared" si="752"/>
        <v>NA</v>
      </c>
      <c r="W2270" s="29" t="str">
        <f t="shared" si="753"/>
        <v>NA</v>
      </c>
      <c r="X2270" s="29" t="str">
        <f t="shared" si="754"/>
        <v>NA</v>
      </c>
      <c r="Y2270" s="29" t="str">
        <f t="shared" si="755"/>
        <v>NA</v>
      </c>
      <c r="Z2270" s="29" t="str">
        <f t="shared" si="756"/>
        <v>NA</v>
      </c>
      <c r="AA2270" s="29" t="str">
        <f t="shared" si="757"/>
        <v>NA</v>
      </c>
      <c r="AB2270" s="29" t="str">
        <f t="shared" si="758"/>
        <v>NA</v>
      </c>
      <c r="AC2270" s="29" t="str">
        <f t="shared" si="759"/>
        <v>NA</v>
      </c>
      <c r="AD2270" s="29" t="str">
        <f t="shared" si="760"/>
        <v>NA</v>
      </c>
      <c r="AE2270" s="29" t="str">
        <f t="shared" si="761"/>
        <v>NA</v>
      </c>
      <c r="AF2270" s="29" t="str">
        <f t="shared" si="762"/>
        <v>NA</v>
      </c>
      <c r="AG2270" s="29" t="str">
        <f t="shared" si="763"/>
        <v>NA</v>
      </c>
      <c r="AH2270" s="29" t="str">
        <f t="shared" si="764"/>
        <v>NA</v>
      </c>
    </row>
    <row r="2271" customHeight="1" spans="1:34">
      <c r="A2271" s="12" t="s">
        <v>1043</v>
      </c>
      <c r="F2271" s="24">
        <f t="shared" si="746"/>
        <v>0</v>
      </c>
      <c r="G2271" s="24" t="e">
        <f t="shared" si="745"/>
        <v>#DIV/0!</v>
      </c>
      <c r="Q2271" s="29" t="str">
        <f t="shared" si="747"/>
        <v>NA</v>
      </c>
      <c r="R2271" s="29" t="str">
        <f t="shared" si="748"/>
        <v>NA</v>
      </c>
      <c r="S2271" s="29" t="str">
        <f t="shared" si="749"/>
        <v>NA</v>
      </c>
      <c r="T2271" s="29" t="str">
        <f t="shared" si="750"/>
        <v>NA</v>
      </c>
      <c r="U2271" s="29" t="str">
        <f t="shared" si="751"/>
        <v>NA</v>
      </c>
      <c r="V2271" s="29" t="str">
        <f t="shared" si="752"/>
        <v>NA</v>
      </c>
      <c r="W2271" s="29" t="str">
        <f t="shared" si="753"/>
        <v>NA</v>
      </c>
      <c r="X2271" s="29" t="str">
        <f t="shared" si="754"/>
        <v>NA</v>
      </c>
      <c r="Y2271" s="29" t="str">
        <f t="shared" si="755"/>
        <v>NA</v>
      </c>
      <c r="Z2271" s="29" t="str">
        <f t="shared" si="756"/>
        <v>NA</v>
      </c>
      <c r="AA2271" s="29" t="str">
        <f t="shared" si="757"/>
        <v>NA</v>
      </c>
      <c r="AB2271" s="29" t="str">
        <f t="shared" si="758"/>
        <v>NA</v>
      </c>
      <c r="AC2271" s="29" t="str">
        <f t="shared" si="759"/>
        <v>NA</v>
      </c>
      <c r="AD2271" s="29" t="str">
        <f t="shared" si="760"/>
        <v>NA</v>
      </c>
      <c r="AE2271" s="29" t="str">
        <f t="shared" si="761"/>
        <v>NA</v>
      </c>
      <c r="AF2271" s="29" t="str">
        <f t="shared" si="762"/>
        <v>NA</v>
      </c>
      <c r="AG2271" s="29" t="str">
        <f t="shared" si="763"/>
        <v>NA</v>
      </c>
      <c r="AH2271" s="29" t="str">
        <f t="shared" si="764"/>
        <v>NA</v>
      </c>
    </row>
    <row r="2272" customHeight="1" spans="1:34">
      <c r="A2272" s="12" t="s">
        <v>1043</v>
      </c>
      <c r="F2272" s="24">
        <f t="shared" si="746"/>
        <v>0</v>
      </c>
      <c r="G2272" s="24" t="e">
        <f t="shared" si="745"/>
        <v>#DIV/0!</v>
      </c>
      <c r="Q2272" s="29" t="str">
        <f t="shared" si="747"/>
        <v>NA</v>
      </c>
      <c r="R2272" s="29" t="str">
        <f t="shared" si="748"/>
        <v>NA</v>
      </c>
      <c r="S2272" s="29" t="str">
        <f t="shared" si="749"/>
        <v>NA</v>
      </c>
      <c r="T2272" s="29" t="str">
        <f t="shared" si="750"/>
        <v>NA</v>
      </c>
      <c r="U2272" s="29" t="str">
        <f t="shared" si="751"/>
        <v>NA</v>
      </c>
      <c r="V2272" s="29" t="str">
        <f t="shared" si="752"/>
        <v>NA</v>
      </c>
      <c r="W2272" s="29" t="str">
        <f t="shared" si="753"/>
        <v>NA</v>
      </c>
      <c r="X2272" s="29" t="str">
        <f t="shared" si="754"/>
        <v>NA</v>
      </c>
      <c r="Y2272" s="29" t="str">
        <f t="shared" si="755"/>
        <v>NA</v>
      </c>
      <c r="Z2272" s="29" t="str">
        <f t="shared" si="756"/>
        <v>NA</v>
      </c>
      <c r="AA2272" s="29" t="str">
        <f t="shared" si="757"/>
        <v>NA</v>
      </c>
      <c r="AB2272" s="29" t="str">
        <f t="shared" si="758"/>
        <v>NA</v>
      </c>
      <c r="AC2272" s="29" t="str">
        <f t="shared" si="759"/>
        <v>NA</v>
      </c>
      <c r="AD2272" s="29" t="str">
        <f t="shared" si="760"/>
        <v>NA</v>
      </c>
      <c r="AE2272" s="29" t="str">
        <f t="shared" si="761"/>
        <v>NA</v>
      </c>
      <c r="AF2272" s="29" t="str">
        <f t="shared" si="762"/>
        <v>NA</v>
      </c>
      <c r="AG2272" s="29" t="str">
        <f t="shared" si="763"/>
        <v>NA</v>
      </c>
      <c r="AH2272" s="29" t="str">
        <f t="shared" si="764"/>
        <v>NA</v>
      </c>
    </row>
    <row r="2273" customHeight="1" spans="1:34">
      <c r="A2273" s="12" t="s">
        <v>1043</v>
      </c>
      <c r="F2273" s="24">
        <f t="shared" si="746"/>
        <v>0</v>
      </c>
      <c r="G2273" s="24" t="e">
        <f t="shared" si="745"/>
        <v>#DIV/0!</v>
      </c>
      <c r="Q2273" s="29" t="str">
        <f t="shared" si="747"/>
        <v>NA</v>
      </c>
      <c r="R2273" s="29" t="str">
        <f t="shared" si="748"/>
        <v>NA</v>
      </c>
      <c r="S2273" s="29" t="str">
        <f t="shared" si="749"/>
        <v>NA</v>
      </c>
      <c r="T2273" s="29" t="str">
        <f t="shared" si="750"/>
        <v>NA</v>
      </c>
      <c r="U2273" s="29" t="str">
        <f t="shared" si="751"/>
        <v>NA</v>
      </c>
      <c r="V2273" s="29" t="str">
        <f t="shared" si="752"/>
        <v>NA</v>
      </c>
      <c r="W2273" s="29" t="str">
        <f t="shared" si="753"/>
        <v>NA</v>
      </c>
      <c r="X2273" s="29" t="str">
        <f t="shared" si="754"/>
        <v>NA</v>
      </c>
      <c r="Y2273" s="29" t="str">
        <f t="shared" si="755"/>
        <v>NA</v>
      </c>
      <c r="Z2273" s="29" t="str">
        <f t="shared" si="756"/>
        <v>NA</v>
      </c>
      <c r="AA2273" s="29" t="str">
        <f t="shared" si="757"/>
        <v>NA</v>
      </c>
      <c r="AB2273" s="29" t="str">
        <f t="shared" si="758"/>
        <v>NA</v>
      </c>
      <c r="AC2273" s="29" t="str">
        <f t="shared" si="759"/>
        <v>NA</v>
      </c>
      <c r="AD2273" s="29" t="str">
        <f t="shared" si="760"/>
        <v>NA</v>
      </c>
      <c r="AE2273" s="29" t="str">
        <f t="shared" si="761"/>
        <v>NA</v>
      </c>
      <c r="AF2273" s="29" t="str">
        <f t="shared" si="762"/>
        <v>NA</v>
      </c>
      <c r="AG2273" s="29" t="str">
        <f t="shared" si="763"/>
        <v>NA</v>
      </c>
      <c r="AH2273" s="29" t="str">
        <f t="shared" si="764"/>
        <v>NA</v>
      </c>
    </row>
    <row r="2274" customHeight="1" spans="1:34">
      <c r="A2274" s="12" t="s">
        <v>1043</v>
      </c>
      <c r="F2274" s="24">
        <f t="shared" si="746"/>
        <v>0</v>
      </c>
      <c r="G2274" s="24" t="e">
        <f t="shared" si="745"/>
        <v>#DIV/0!</v>
      </c>
      <c r="Q2274" s="29" t="str">
        <f t="shared" si="747"/>
        <v>NA</v>
      </c>
      <c r="R2274" s="29" t="str">
        <f t="shared" si="748"/>
        <v>NA</v>
      </c>
      <c r="S2274" s="29" t="str">
        <f t="shared" si="749"/>
        <v>NA</v>
      </c>
      <c r="T2274" s="29" t="str">
        <f t="shared" si="750"/>
        <v>NA</v>
      </c>
      <c r="U2274" s="29" t="str">
        <f t="shared" si="751"/>
        <v>NA</v>
      </c>
      <c r="V2274" s="29" t="str">
        <f t="shared" si="752"/>
        <v>NA</v>
      </c>
      <c r="W2274" s="29" t="str">
        <f t="shared" si="753"/>
        <v>NA</v>
      </c>
      <c r="X2274" s="29" t="str">
        <f t="shared" si="754"/>
        <v>NA</v>
      </c>
      <c r="Y2274" s="29" t="str">
        <f t="shared" si="755"/>
        <v>NA</v>
      </c>
      <c r="Z2274" s="29" t="str">
        <f t="shared" si="756"/>
        <v>NA</v>
      </c>
      <c r="AA2274" s="29" t="str">
        <f t="shared" si="757"/>
        <v>NA</v>
      </c>
      <c r="AB2274" s="29" t="str">
        <f t="shared" si="758"/>
        <v>NA</v>
      </c>
      <c r="AC2274" s="29" t="str">
        <f t="shared" si="759"/>
        <v>NA</v>
      </c>
      <c r="AD2274" s="29" t="str">
        <f t="shared" si="760"/>
        <v>NA</v>
      </c>
      <c r="AE2274" s="29" t="str">
        <f t="shared" si="761"/>
        <v>NA</v>
      </c>
      <c r="AF2274" s="29" t="str">
        <f t="shared" si="762"/>
        <v>NA</v>
      </c>
      <c r="AG2274" s="29" t="str">
        <f t="shared" si="763"/>
        <v>NA</v>
      </c>
      <c r="AH2274" s="29" t="str">
        <f t="shared" si="764"/>
        <v>NA</v>
      </c>
    </row>
    <row r="2275" customHeight="1" spans="1:34">
      <c r="A2275" s="12" t="s">
        <v>1043</v>
      </c>
      <c r="F2275" s="24">
        <f t="shared" si="746"/>
        <v>0</v>
      </c>
      <c r="G2275" s="24" t="e">
        <f t="shared" si="745"/>
        <v>#DIV/0!</v>
      </c>
      <c r="Q2275" s="29" t="str">
        <f t="shared" si="747"/>
        <v>NA</v>
      </c>
      <c r="R2275" s="29" t="str">
        <f t="shared" si="748"/>
        <v>NA</v>
      </c>
      <c r="S2275" s="29" t="str">
        <f t="shared" si="749"/>
        <v>NA</v>
      </c>
      <c r="T2275" s="29" t="str">
        <f t="shared" si="750"/>
        <v>NA</v>
      </c>
      <c r="U2275" s="29" t="str">
        <f t="shared" si="751"/>
        <v>NA</v>
      </c>
      <c r="V2275" s="29" t="str">
        <f t="shared" si="752"/>
        <v>NA</v>
      </c>
      <c r="W2275" s="29" t="str">
        <f t="shared" si="753"/>
        <v>NA</v>
      </c>
      <c r="X2275" s="29" t="str">
        <f t="shared" si="754"/>
        <v>NA</v>
      </c>
      <c r="Y2275" s="29" t="str">
        <f t="shared" si="755"/>
        <v>NA</v>
      </c>
      <c r="Z2275" s="29" t="str">
        <f t="shared" si="756"/>
        <v>NA</v>
      </c>
      <c r="AA2275" s="29" t="str">
        <f t="shared" si="757"/>
        <v>NA</v>
      </c>
      <c r="AB2275" s="29" t="str">
        <f t="shared" si="758"/>
        <v>NA</v>
      </c>
      <c r="AC2275" s="29" t="str">
        <f t="shared" si="759"/>
        <v>NA</v>
      </c>
      <c r="AD2275" s="29" t="str">
        <f t="shared" si="760"/>
        <v>NA</v>
      </c>
      <c r="AE2275" s="29" t="str">
        <f t="shared" si="761"/>
        <v>NA</v>
      </c>
      <c r="AF2275" s="29" t="str">
        <f t="shared" si="762"/>
        <v>NA</v>
      </c>
      <c r="AG2275" s="29" t="str">
        <f t="shared" si="763"/>
        <v>NA</v>
      </c>
      <c r="AH2275" s="29" t="str">
        <f t="shared" si="764"/>
        <v>NA</v>
      </c>
    </row>
    <row r="2276" customHeight="1" spans="1:34">
      <c r="A2276" s="12" t="s">
        <v>1043</v>
      </c>
      <c r="F2276" s="24">
        <f t="shared" si="746"/>
        <v>0</v>
      </c>
      <c r="G2276" s="24" t="e">
        <f t="shared" si="745"/>
        <v>#DIV/0!</v>
      </c>
      <c r="Q2276" s="29" t="str">
        <f t="shared" si="747"/>
        <v>NA</v>
      </c>
      <c r="R2276" s="29" t="str">
        <f t="shared" si="748"/>
        <v>NA</v>
      </c>
      <c r="S2276" s="29" t="str">
        <f t="shared" si="749"/>
        <v>NA</v>
      </c>
      <c r="T2276" s="29" t="str">
        <f t="shared" si="750"/>
        <v>NA</v>
      </c>
      <c r="U2276" s="29" t="str">
        <f t="shared" si="751"/>
        <v>NA</v>
      </c>
      <c r="V2276" s="29" t="str">
        <f t="shared" si="752"/>
        <v>NA</v>
      </c>
      <c r="W2276" s="29" t="str">
        <f t="shared" si="753"/>
        <v>NA</v>
      </c>
      <c r="X2276" s="29" t="str">
        <f t="shared" si="754"/>
        <v>NA</v>
      </c>
      <c r="Y2276" s="29" t="str">
        <f t="shared" si="755"/>
        <v>NA</v>
      </c>
      <c r="Z2276" s="29" t="str">
        <f t="shared" si="756"/>
        <v>NA</v>
      </c>
      <c r="AA2276" s="29" t="str">
        <f t="shared" si="757"/>
        <v>NA</v>
      </c>
      <c r="AB2276" s="29" t="str">
        <f t="shared" si="758"/>
        <v>NA</v>
      </c>
      <c r="AC2276" s="29" t="str">
        <f t="shared" si="759"/>
        <v>NA</v>
      </c>
      <c r="AD2276" s="29" t="str">
        <f t="shared" si="760"/>
        <v>NA</v>
      </c>
      <c r="AE2276" s="29" t="str">
        <f t="shared" si="761"/>
        <v>NA</v>
      </c>
      <c r="AF2276" s="29" t="str">
        <f t="shared" si="762"/>
        <v>NA</v>
      </c>
      <c r="AG2276" s="29" t="str">
        <f t="shared" si="763"/>
        <v>NA</v>
      </c>
      <c r="AH2276" s="29" t="str">
        <f t="shared" si="764"/>
        <v>NA</v>
      </c>
    </row>
    <row r="2277" customHeight="1" spans="1:34">
      <c r="A2277" s="12" t="s">
        <v>1043</v>
      </c>
      <c r="F2277" s="24">
        <f t="shared" si="746"/>
        <v>0</v>
      </c>
      <c r="G2277" s="24" t="e">
        <f t="shared" si="745"/>
        <v>#DIV/0!</v>
      </c>
      <c r="Q2277" s="29" t="str">
        <f t="shared" si="747"/>
        <v>NA</v>
      </c>
      <c r="R2277" s="29" t="str">
        <f t="shared" si="748"/>
        <v>NA</v>
      </c>
      <c r="S2277" s="29" t="str">
        <f t="shared" si="749"/>
        <v>NA</v>
      </c>
      <c r="T2277" s="29" t="str">
        <f t="shared" si="750"/>
        <v>NA</v>
      </c>
      <c r="U2277" s="29" t="str">
        <f t="shared" si="751"/>
        <v>NA</v>
      </c>
      <c r="V2277" s="29" t="str">
        <f t="shared" si="752"/>
        <v>NA</v>
      </c>
      <c r="W2277" s="29" t="str">
        <f t="shared" si="753"/>
        <v>NA</v>
      </c>
      <c r="X2277" s="29" t="str">
        <f t="shared" si="754"/>
        <v>NA</v>
      </c>
      <c r="Y2277" s="29" t="str">
        <f t="shared" si="755"/>
        <v>NA</v>
      </c>
      <c r="Z2277" s="29" t="str">
        <f t="shared" si="756"/>
        <v>NA</v>
      </c>
      <c r="AA2277" s="29" t="str">
        <f t="shared" si="757"/>
        <v>NA</v>
      </c>
      <c r="AB2277" s="29" t="str">
        <f t="shared" si="758"/>
        <v>NA</v>
      </c>
      <c r="AC2277" s="29" t="str">
        <f t="shared" si="759"/>
        <v>NA</v>
      </c>
      <c r="AD2277" s="29" t="str">
        <f t="shared" si="760"/>
        <v>NA</v>
      </c>
      <c r="AE2277" s="29" t="str">
        <f t="shared" si="761"/>
        <v>NA</v>
      </c>
      <c r="AF2277" s="29" t="str">
        <f t="shared" si="762"/>
        <v>NA</v>
      </c>
      <c r="AG2277" s="29" t="str">
        <f t="shared" si="763"/>
        <v>NA</v>
      </c>
      <c r="AH2277" s="29" t="str">
        <f t="shared" si="764"/>
        <v>NA</v>
      </c>
    </row>
    <row r="2278" customHeight="1" spans="1:34">
      <c r="A2278" s="12" t="s">
        <v>1043</v>
      </c>
      <c r="F2278" s="24">
        <f t="shared" si="746"/>
        <v>0</v>
      </c>
      <c r="G2278" s="24" t="e">
        <f t="shared" si="745"/>
        <v>#DIV/0!</v>
      </c>
      <c r="Q2278" s="29" t="str">
        <f t="shared" si="747"/>
        <v>NA</v>
      </c>
      <c r="R2278" s="29" t="str">
        <f t="shared" si="748"/>
        <v>NA</v>
      </c>
      <c r="S2278" s="29" t="str">
        <f t="shared" si="749"/>
        <v>NA</v>
      </c>
      <c r="T2278" s="29" t="str">
        <f t="shared" si="750"/>
        <v>NA</v>
      </c>
      <c r="U2278" s="29" t="str">
        <f t="shared" si="751"/>
        <v>NA</v>
      </c>
      <c r="V2278" s="29" t="str">
        <f t="shared" si="752"/>
        <v>NA</v>
      </c>
      <c r="W2278" s="29" t="str">
        <f t="shared" si="753"/>
        <v>NA</v>
      </c>
      <c r="X2278" s="29" t="str">
        <f t="shared" si="754"/>
        <v>NA</v>
      </c>
      <c r="Y2278" s="29" t="str">
        <f t="shared" si="755"/>
        <v>NA</v>
      </c>
      <c r="Z2278" s="29" t="str">
        <f t="shared" si="756"/>
        <v>NA</v>
      </c>
      <c r="AA2278" s="29" t="str">
        <f t="shared" si="757"/>
        <v>NA</v>
      </c>
      <c r="AB2278" s="29" t="str">
        <f t="shared" si="758"/>
        <v>NA</v>
      </c>
      <c r="AC2278" s="29" t="str">
        <f t="shared" si="759"/>
        <v>NA</v>
      </c>
      <c r="AD2278" s="29" t="str">
        <f t="shared" si="760"/>
        <v>NA</v>
      </c>
      <c r="AE2278" s="29" t="str">
        <f t="shared" si="761"/>
        <v>NA</v>
      </c>
      <c r="AF2278" s="29" t="str">
        <f t="shared" si="762"/>
        <v>NA</v>
      </c>
      <c r="AG2278" s="29" t="str">
        <f t="shared" si="763"/>
        <v>NA</v>
      </c>
      <c r="AH2278" s="29" t="str">
        <f t="shared" si="764"/>
        <v>NA</v>
      </c>
    </row>
    <row r="2279" customHeight="1" spans="1:34">
      <c r="A2279" s="12" t="s">
        <v>1043</v>
      </c>
      <c r="F2279" s="24">
        <f t="shared" si="746"/>
        <v>0</v>
      </c>
      <c r="G2279" s="24" t="e">
        <f t="shared" si="745"/>
        <v>#DIV/0!</v>
      </c>
      <c r="Q2279" s="29" t="str">
        <f t="shared" si="747"/>
        <v>NA</v>
      </c>
      <c r="R2279" s="29" t="str">
        <f t="shared" si="748"/>
        <v>NA</v>
      </c>
      <c r="S2279" s="29" t="str">
        <f t="shared" si="749"/>
        <v>NA</v>
      </c>
      <c r="T2279" s="29" t="str">
        <f t="shared" si="750"/>
        <v>NA</v>
      </c>
      <c r="U2279" s="29" t="str">
        <f t="shared" si="751"/>
        <v>NA</v>
      </c>
      <c r="V2279" s="29" t="str">
        <f t="shared" si="752"/>
        <v>NA</v>
      </c>
      <c r="W2279" s="29" t="str">
        <f t="shared" si="753"/>
        <v>NA</v>
      </c>
      <c r="X2279" s="29" t="str">
        <f t="shared" si="754"/>
        <v>NA</v>
      </c>
      <c r="Y2279" s="29" t="str">
        <f t="shared" si="755"/>
        <v>NA</v>
      </c>
      <c r="Z2279" s="29" t="str">
        <f t="shared" si="756"/>
        <v>NA</v>
      </c>
      <c r="AA2279" s="29" t="str">
        <f t="shared" si="757"/>
        <v>NA</v>
      </c>
      <c r="AB2279" s="29" t="str">
        <f t="shared" si="758"/>
        <v>NA</v>
      </c>
      <c r="AC2279" s="29" t="str">
        <f t="shared" si="759"/>
        <v>NA</v>
      </c>
      <c r="AD2279" s="29" t="str">
        <f t="shared" si="760"/>
        <v>NA</v>
      </c>
      <c r="AE2279" s="29" t="str">
        <f t="shared" si="761"/>
        <v>NA</v>
      </c>
      <c r="AF2279" s="29" t="str">
        <f t="shared" si="762"/>
        <v>NA</v>
      </c>
      <c r="AG2279" s="29" t="str">
        <f t="shared" si="763"/>
        <v>NA</v>
      </c>
      <c r="AH2279" s="29" t="str">
        <f t="shared" si="764"/>
        <v>NA</v>
      </c>
    </row>
    <row r="2280" customHeight="1" spans="1:34">
      <c r="A2280" s="12" t="s">
        <v>1043</v>
      </c>
      <c r="F2280" s="24">
        <f t="shared" si="746"/>
        <v>0</v>
      </c>
      <c r="G2280" s="24" t="e">
        <f t="shared" si="745"/>
        <v>#DIV/0!</v>
      </c>
      <c r="Q2280" s="29" t="str">
        <f t="shared" si="747"/>
        <v>NA</v>
      </c>
      <c r="R2280" s="29" t="str">
        <f t="shared" si="748"/>
        <v>NA</v>
      </c>
      <c r="S2280" s="29" t="str">
        <f t="shared" si="749"/>
        <v>NA</v>
      </c>
      <c r="T2280" s="29" t="str">
        <f t="shared" si="750"/>
        <v>NA</v>
      </c>
      <c r="U2280" s="29" t="str">
        <f t="shared" si="751"/>
        <v>NA</v>
      </c>
      <c r="V2280" s="29" t="str">
        <f t="shared" si="752"/>
        <v>NA</v>
      </c>
      <c r="W2280" s="29" t="str">
        <f t="shared" si="753"/>
        <v>NA</v>
      </c>
      <c r="X2280" s="29" t="str">
        <f t="shared" si="754"/>
        <v>NA</v>
      </c>
      <c r="Y2280" s="29" t="str">
        <f t="shared" si="755"/>
        <v>NA</v>
      </c>
      <c r="Z2280" s="29" t="str">
        <f t="shared" si="756"/>
        <v>NA</v>
      </c>
      <c r="AA2280" s="29" t="str">
        <f t="shared" si="757"/>
        <v>NA</v>
      </c>
      <c r="AB2280" s="29" t="str">
        <f t="shared" si="758"/>
        <v>NA</v>
      </c>
      <c r="AC2280" s="29" t="str">
        <f t="shared" si="759"/>
        <v>NA</v>
      </c>
      <c r="AD2280" s="29" t="str">
        <f t="shared" si="760"/>
        <v>NA</v>
      </c>
      <c r="AE2280" s="29" t="str">
        <f t="shared" si="761"/>
        <v>NA</v>
      </c>
      <c r="AF2280" s="29" t="str">
        <f t="shared" si="762"/>
        <v>NA</v>
      </c>
      <c r="AG2280" s="29" t="str">
        <f t="shared" si="763"/>
        <v>NA</v>
      </c>
      <c r="AH2280" s="29" t="str">
        <f t="shared" si="764"/>
        <v>NA</v>
      </c>
    </row>
    <row r="2281" customHeight="1" spans="1:34">
      <c r="A2281" s="12" t="s">
        <v>1043</v>
      </c>
      <c r="F2281" s="24">
        <f t="shared" si="746"/>
        <v>0</v>
      </c>
      <c r="G2281" s="24" t="e">
        <f t="shared" si="745"/>
        <v>#DIV/0!</v>
      </c>
      <c r="Q2281" s="29" t="str">
        <f t="shared" si="747"/>
        <v>NA</v>
      </c>
      <c r="R2281" s="29" t="str">
        <f t="shared" si="748"/>
        <v>NA</v>
      </c>
      <c r="S2281" s="29" t="str">
        <f t="shared" si="749"/>
        <v>NA</v>
      </c>
      <c r="T2281" s="29" t="str">
        <f t="shared" si="750"/>
        <v>NA</v>
      </c>
      <c r="U2281" s="29" t="str">
        <f t="shared" si="751"/>
        <v>NA</v>
      </c>
      <c r="V2281" s="29" t="str">
        <f t="shared" si="752"/>
        <v>NA</v>
      </c>
      <c r="W2281" s="29" t="str">
        <f t="shared" si="753"/>
        <v>NA</v>
      </c>
      <c r="X2281" s="29" t="str">
        <f t="shared" si="754"/>
        <v>NA</v>
      </c>
      <c r="Y2281" s="29" t="str">
        <f t="shared" si="755"/>
        <v>NA</v>
      </c>
      <c r="Z2281" s="29" t="str">
        <f t="shared" si="756"/>
        <v>NA</v>
      </c>
      <c r="AA2281" s="29" t="str">
        <f t="shared" si="757"/>
        <v>NA</v>
      </c>
      <c r="AB2281" s="29" t="str">
        <f t="shared" si="758"/>
        <v>NA</v>
      </c>
      <c r="AC2281" s="29" t="str">
        <f t="shared" si="759"/>
        <v>NA</v>
      </c>
      <c r="AD2281" s="29" t="str">
        <f t="shared" si="760"/>
        <v>NA</v>
      </c>
      <c r="AE2281" s="29" t="str">
        <f t="shared" si="761"/>
        <v>NA</v>
      </c>
      <c r="AF2281" s="29" t="str">
        <f t="shared" si="762"/>
        <v>NA</v>
      </c>
      <c r="AG2281" s="29" t="str">
        <f t="shared" si="763"/>
        <v>NA</v>
      </c>
      <c r="AH2281" s="29" t="str">
        <f t="shared" si="764"/>
        <v>NA</v>
      </c>
    </row>
    <row r="2282" customHeight="1" spans="1:34">
      <c r="A2282" s="12" t="s">
        <v>1043</v>
      </c>
      <c r="F2282" s="24">
        <f t="shared" si="746"/>
        <v>0</v>
      </c>
      <c r="G2282" s="24" t="e">
        <f t="shared" si="745"/>
        <v>#DIV/0!</v>
      </c>
      <c r="Q2282" s="29" t="str">
        <f t="shared" si="747"/>
        <v>NA</v>
      </c>
      <c r="R2282" s="29" t="str">
        <f t="shared" si="748"/>
        <v>NA</v>
      </c>
      <c r="S2282" s="29" t="str">
        <f t="shared" si="749"/>
        <v>NA</v>
      </c>
      <c r="T2282" s="29" t="str">
        <f t="shared" si="750"/>
        <v>NA</v>
      </c>
      <c r="U2282" s="29" t="str">
        <f t="shared" si="751"/>
        <v>NA</v>
      </c>
      <c r="V2282" s="29" t="str">
        <f t="shared" si="752"/>
        <v>NA</v>
      </c>
      <c r="W2282" s="29" t="str">
        <f t="shared" si="753"/>
        <v>NA</v>
      </c>
      <c r="X2282" s="29" t="str">
        <f t="shared" si="754"/>
        <v>NA</v>
      </c>
      <c r="Y2282" s="29" t="str">
        <f t="shared" si="755"/>
        <v>NA</v>
      </c>
      <c r="Z2282" s="29" t="str">
        <f t="shared" si="756"/>
        <v>NA</v>
      </c>
      <c r="AA2282" s="29" t="str">
        <f t="shared" si="757"/>
        <v>NA</v>
      </c>
      <c r="AB2282" s="29" t="str">
        <f t="shared" si="758"/>
        <v>NA</v>
      </c>
      <c r="AC2282" s="29" t="str">
        <f t="shared" si="759"/>
        <v>NA</v>
      </c>
      <c r="AD2282" s="29" t="str">
        <f t="shared" si="760"/>
        <v>NA</v>
      </c>
      <c r="AE2282" s="29" t="str">
        <f t="shared" si="761"/>
        <v>NA</v>
      </c>
      <c r="AF2282" s="29" t="str">
        <f t="shared" si="762"/>
        <v>NA</v>
      </c>
      <c r="AG2282" s="29" t="str">
        <f t="shared" si="763"/>
        <v>NA</v>
      </c>
      <c r="AH2282" s="29" t="str">
        <f t="shared" si="764"/>
        <v>NA</v>
      </c>
    </row>
    <row r="2283" customHeight="1" spans="1:34">
      <c r="A2283" s="12" t="s">
        <v>1043</v>
      </c>
      <c r="F2283" s="24">
        <f t="shared" si="746"/>
        <v>0</v>
      </c>
      <c r="G2283" s="24" t="e">
        <f t="shared" si="745"/>
        <v>#DIV/0!</v>
      </c>
      <c r="Q2283" s="29" t="str">
        <f t="shared" si="747"/>
        <v>NA</v>
      </c>
      <c r="R2283" s="29" t="str">
        <f t="shared" si="748"/>
        <v>NA</v>
      </c>
      <c r="S2283" s="29" t="str">
        <f t="shared" si="749"/>
        <v>NA</v>
      </c>
      <c r="T2283" s="29" t="str">
        <f t="shared" si="750"/>
        <v>NA</v>
      </c>
      <c r="U2283" s="29" t="str">
        <f t="shared" si="751"/>
        <v>NA</v>
      </c>
      <c r="V2283" s="29" t="str">
        <f t="shared" si="752"/>
        <v>NA</v>
      </c>
      <c r="W2283" s="29" t="str">
        <f t="shared" si="753"/>
        <v>NA</v>
      </c>
      <c r="X2283" s="29" t="str">
        <f t="shared" si="754"/>
        <v>NA</v>
      </c>
      <c r="Y2283" s="29" t="str">
        <f t="shared" si="755"/>
        <v>NA</v>
      </c>
      <c r="Z2283" s="29" t="str">
        <f t="shared" si="756"/>
        <v>NA</v>
      </c>
      <c r="AA2283" s="29" t="str">
        <f t="shared" si="757"/>
        <v>NA</v>
      </c>
      <c r="AB2283" s="29" t="str">
        <f t="shared" si="758"/>
        <v>NA</v>
      </c>
      <c r="AC2283" s="29" t="str">
        <f t="shared" si="759"/>
        <v>NA</v>
      </c>
      <c r="AD2283" s="29" t="str">
        <f t="shared" si="760"/>
        <v>NA</v>
      </c>
      <c r="AE2283" s="29" t="str">
        <f t="shared" si="761"/>
        <v>NA</v>
      </c>
      <c r="AF2283" s="29" t="str">
        <f t="shared" si="762"/>
        <v>NA</v>
      </c>
      <c r="AG2283" s="29" t="str">
        <f t="shared" si="763"/>
        <v>NA</v>
      </c>
      <c r="AH2283" s="29" t="str">
        <f t="shared" si="764"/>
        <v>NA</v>
      </c>
    </row>
    <row r="2284" customHeight="1" spans="1:34">
      <c r="A2284" s="12" t="s">
        <v>1043</v>
      </c>
      <c r="F2284" s="24">
        <f t="shared" si="746"/>
        <v>0</v>
      </c>
      <c r="G2284" s="24" t="e">
        <f t="shared" si="745"/>
        <v>#DIV/0!</v>
      </c>
      <c r="Q2284" s="29" t="str">
        <f t="shared" si="747"/>
        <v>NA</v>
      </c>
      <c r="R2284" s="29" t="str">
        <f t="shared" si="748"/>
        <v>NA</v>
      </c>
      <c r="S2284" s="29" t="str">
        <f t="shared" si="749"/>
        <v>NA</v>
      </c>
      <c r="T2284" s="29" t="str">
        <f t="shared" si="750"/>
        <v>NA</v>
      </c>
      <c r="U2284" s="29" t="str">
        <f t="shared" si="751"/>
        <v>NA</v>
      </c>
      <c r="V2284" s="29" t="str">
        <f t="shared" si="752"/>
        <v>NA</v>
      </c>
      <c r="W2284" s="29" t="str">
        <f t="shared" si="753"/>
        <v>NA</v>
      </c>
      <c r="X2284" s="29" t="str">
        <f t="shared" si="754"/>
        <v>NA</v>
      </c>
      <c r="Y2284" s="29" t="str">
        <f t="shared" si="755"/>
        <v>NA</v>
      </c>
      <c r="Z2284" s="29" t="str">
        <f t="shared" si="756"/>
        <v>NA</v>
      </c>
      <c r="AA2284" s="29" t="str">
        <f t="shared" si="757"/>
        <v>NA</v>
      </c>
      <c r="AB2284" s="29" t="str">
        <f t="shared" si="758"/>
        <v>NA</v>
      </c>
      <c r="AC2284" s="29" t="str">
        <f t="shared" si="759"/>
        <v>NA</v>
      </c>
      <c r="AD2284" s="29" t="str">
        <f t="shared" si="760"/>
        <v>NA</v>
      </c>
      <c r="AE2284" s="29" t="str">
        <f t="shared" si="761"/>
        <v>NA</v>
      </c>
      <c r="AF2284" s="29" t="str">
        <f t="shared" si="762"/>
        <v>NA</v>
      </c>
      <c r="AG2284" s="29" t="str">
        <f t="shared" si="763"/>
        <v>NA</v>
      </c>
      <c r="AH2284" s="29" t="str">
        <f t="shared" si="764"/>
        <v>NA</v>
      </c>
    </row>
    <row r="2285" customHeight="1" spans="1:34">
      <c r="A2285" s="12" t="s">
        <v>1043</v>
      </c>
      <c r="F2285" s="24">
        <f t="shared" si="746"/>
        <v>0</v>
      </c>
      <c r="G2285" s="24" t="e">
        <f t="shared" si="745"/>
        <v>#DIV/0!</v>
      </c>
      <c r="Q2285" s="29" t="str">
        <f t="shared" si="747"/>
        <v>NA</v>
      </c>
      <c r="R2285" s="29" t="str">
        <f t="shared" si="748"/>
        <v>NA</v>
      </c>
      <c r="S2285" s="29" t="str">
        <f t="shared" si="749"/>
        <v>NA</v>
      </c>
      <c r="T2285" s="29" t="str">
        <f t="shared" si="750"/>
        <v>NA</v>
      </c>
      <c r="U2285" s="29" t="str">
        <f t="shared" si="751"/>
        <v>NA</v>
      </c>
      <c r="V2285" s="29" t="str">
        <f t="shared" si="752"/>
        <v>NA</v>
      </c>
      <c r="W2285" s="29" t="str">
        <f t="shared" si="753"/>
        <v>NA</v>
      </c>
      <c r="X2285" s="29" t="str">
        <f t="shared" si="754"/>
        <v>NA</v>
      </c>
      <c r="Y2285" s="29" t="str">
        <f t="shared" si="755"/>
        <v>NA</v>
      </c>
      <c r="Z2285" s="29" t="str">
        <f t="shared" si="756"/>
        <v>NA</v>
      </c>
      <c r="AA2285" s="29" t="str">
        <f t="shared" si="757"/>
        <v>NA</v>
      </c>
      <c r="AB2285" s="29" t="str">
        <f t="shared" si="758"/>
        <v>NA</v>
      </c>
      <c r="AC2285" s="29" t="str">
        <f t="shared" si="759"/>
        <v>NA</v>
      </c>
      <c r="AD2285" s="29" t="str">
        <f t="shared" si="760"/>
        <v>NA</v>
      </c>
      <c r="AE2285" s="29" t="str">
        <f t="shared" si="761"/>
        <v>NA</v>
      </c>
      <c r="AF2285" s="29" t="str">
        <f t="shared" si="762"/>
        <v>NA</v>
      </c>
      <c r="AG2285" s="29" t="str">
        <f t="shared" si="763"/>
        <v>NA</v>
      </c>
      <c r="AH2285" s="29" t="str">
        <f t="shared" si="764"/>
        <v>NA</v>
      </c>
    </row>
    <row r="2286" customHeight="1" spans="1:34">
      <c r="A2286" s="12" t="s">
        <v>1043</v>
      </c>
      <c r="F2286" s="24">
        <f t="shared" si="746"/>
        <v>0</v>
      </c>
      <c r="G2286" s="24" t="e">
        <f t="shared" si="745"/>
        <v>#DIV/0!</v>
      </c>
      <c r="Q2286" s="29" t="str">
        <f t="shared" si="747"/>
        <v>NA</v>
      </c>
      <c r="R2286" s="29" t="str">
        <f t="shared" si="748"/>
        <v>NA</v>
      </c>
      <c r="S2286" s="29" t="str">
        <f t="shared" si="749"/>
        <v>NA</v>
      </c>
      <c r="T2286" s="29" t="str">
        <f t="shared" si="750"/>
        <v>NA</v>
      </c>
      <c r="U2286" s="29" t="str">
        <f t="shared" si="751"/>
        <v>NA</v>
      </c>
      <c r="V2286" s="29" t="str">
        <f t="shared" si="752"/>
        <v>NA</v>
      </c>
      <c r="W2286" s="29" t="str">
        <f t="shared" si="753"/>
        <v>NA</v>
      </c>
      <c r="X2286" s="29" t="str">
        <f t="shared" si="754"/>
        <v>NA</v>
      </c>
      <c r="Y2286" s="29" t="str">
        <f t="shared" si="755"/>
        <v>NA</v>
      </c>
      <c r="Z2286" s="29" t="str">
        <f t="shared" si="756"/>
        <v>NA</v>
      </c>
      <c r="AA2286" s="29" t="str">
        <f t="shared" si="757"/>
        <v>NA</v>
      </c>
      <c r="AB2286" s="29" t="str">
        <f t="shared" si="758"/>
        <v>NA</v>
      </c>
      <c r="AC2286" s="29" t="str">
        <f t="shared" si="759"/>
        <v>NA</v>
      </c>
      <c r="AD2286" s="29" t="str">
        <f t="shared" si="760"/>
        <v>NA</v>
      </c>
      <c r="AE2286" s="29" t="str">
        <f t="shared" si="761"/>
        <v>NA</v>
      </c>
      <c r="AF2286" s="29" t="str">
        <f t="shared" si="762"/>
        <v>NA</v>
      </c>
      <c r="AG2286" s="29" t="str">
        <f t="shared" si="763"/>
        <v>NA</v>
      </c>
      <c r="AH2286" s="29" t="str">
        <f t="shared" si="764"/>
        <v>NA</v>
      </c>
    </row>
    <row r="2287" customHeight="1" spans="1:34">
      <c r="A2287" s="12" t="s">
        <v>1043</v>
      </c>
      <c r="F2287" s="24">
        <f t="shared" si="746"/>
        <v>0</v>
      </c>
      <c r="G2287" s="24" t="e">
        <f t="shared" si="745"/>
        <v>#DIV/0!</v>
      </c>
      <c r="Q2287" s="29" t="str">
        <f t="shared" si="747"/>
        <v>NA</v>
      </c>
      <c r="R2287" s="29" t="str">
        <f t="shared" si="748"/>
        <v>NA</v>
      </c>
      <c r="S2287" s="29" t="str">
        <f t="shared" si="749"/>
        <v>NA</v>
      </c>
      <c r="T2287" s="29" t="str">
        <f t="shared" si="750"/>
        <v>NA</v>
      </c>
      <c r="U2287" s="29" t="str">
        <f t="shared" si="751"/>
        <v>NA</v>
      </c>
      <c r="V2287" s="29" t="str">
        <f t="shared" si="752"/>
        <v>NA</v>
      </c>
      <c r="W2287" s="29" t="str">
        <f t="shared" si="753"/>
        <v>NA</v>
      </c>
      <c r="X2287" s="29" t="str">
        <f t="shared" si="754"/>
        <v>NA</v>
      </c>
      <c r="Y2287" s="29" t="str">
        <f t="shared" si="755"/>
        <v>NA</v>
      </c>
      <c r="Z2287" s="29" t="str">
        <f t="shared" si="756"/>
        <v>NA</v>
      </c>
      <c r="AA2287" s="29" t="str">
        <f t="shared" si="757"/>
        <v>NA</v>
      </c>
      <c r="AB2287" s="29" t="str">
        <f t="shared" si="758"/>
        <v>NA</v>
      </c>
      <c r="AC2287" s="29" t="str">
        <f t="shared" si="759"/>
        <v>NA</v>
      </c>
      <c r="AD2287" s="29" t="str">
        <f t="shared" si="760"/>
        <v>NA</v>
      </c>
      <c r="AE2287" s="29" t="str">
        <f t="shared" si="761"/>
        <v>NA</v>
      </c>
      <c r="AF2287" s="29" t="str">
        <f t="shared" si="762"/>
        <v>NA</v>
      </c>
      <c r="AG2287" s="29" t="str">
        <f t="shared" si="763"/>
        <v>NA</v>
      </c>
      <c r="AH2287" s="29" t="str">
        <f t="shared" si="764"/>
        <v>NA</v>
      </c>
    </row>
    <row r="2288" customHeight="1" spans="1:34">
      <c r="A2288" s="12" t="s">
        <v>1043</v>
      </c>
      <c r="F2288" s="24">
        <f t="shared" si="746"/>
        <v>0</v>
      </c>
      <c r="G2288" s="24" t="e">
        <f t="shared" si="745"/>
        <v>#DIV/0!</v>
      </c>
      <c r="Q2288" s="29" t="str">
        <f t="shared" si="747"/>
        <v>NA</v>
      </c>
      <c r="R2288" s="29" t="str">
        <f t="shared" si="748"/>
        <v>NA</v>
      </c>
      <c r="S2288" s="29" t="str">
        <f t="shared" si="749"/>
        <v>NA</v>
      </c>
      <c r="T2288" s="29" t="str">
        <f t="shared" si="750"/>
        <v>NA</v>
      </c>
      <c r="U2288" s="29" t="str">
        <f t="shared" si="751"/>
        <v>NA</v>
      </c>
      <c r="V2288" s="29" t="str">
        <f t="shared" si="752"/>
        <v>NA</v>
      </c>
      <c r="W2288" s="29" t="str">
        <f t="shared" si="753"/>
        <v>NA</v>
      </c>
      <c r="X2288" s="29" t="str">
        <f t="shared" si="754"/>
        <v>NA</v>
      </c>
      <c r="Y2288" s="29" t="str">
        <f t="shared" si="755"/>
        <v>NA</v>
      </c>
      <c r="Z2288" s="29" t="str">
        <f t="shared" si="756"/>
        <v>NA</v>
      </c>
      <c r="AA2288" s="29" t="str">
        <f t="shared" si="757"/>
        <v>NA</v>
      </c>
      <c r="AB2288" s="29" t="str">
        <f t="shared" si="758"/>
        <v>NA</v>
      </c>
      <c r="AC2288" s="29" t="str">
        <f t="shared" si="759"/>
        <v>NA</v>
      </c>
      <c r="AD2288" s="29" t="str">
        <f t="shared" si="760"/>
        <v>NA</v>
      </c>
      <c r="AE2288" s="29" t="str">
        <f t="shared" si="761"/>
        <v>NA</v>
      </c>
      <c r="AF2288" s="29" t="str">
        <f t="shared" si="762"/>
        <v>NA</v>
      </c>
      <c r="AG2288" s="29" t="str">
        <f t="shared" si="763"/>
        <v>NA</v>
      </c>
      <c r="AH2288" s="29" t="str">
        <f t="shared" si="764"/>
        <v>NA</v>
      </c>
    </row>
    <row r="2289" customHeight="1" spans="1:34">
      <c r="A2289" s="12" t="s">
        <v>1043</v>
      </c>
      <c r="F2289" s="24">
        <f t="shared" si="746"/>
        <v>0</v>
      </c>
      <c r="G2289" s="24" t="e">
        <f t="shared" si="745"/>
        <v>#DIV/0!</v>
      </c>
      <c r="Q2289" s="29" t="str">
        <f t="shared" si="747"/>
        <v>NA</v>
      </c>
      <c r="R2289" s="29" t="str">
        <f t="shared" si="748"/>
        <v>NA</v>
      </c>
      <c r="S2289" s="29" t="str">
        <f t="shared" si="749"/>
        <v>NA</v>
      </c>
      <c r="T2289" s="29" t="str">
        <f t="shared" si="750"/>
        <v>NA</v>
      </c>
      <c r="U2289" s="29" t="str">
        <f t="shared" si="751"/>
        <v>NA</v>
      </c>
      <c r="V2289" s="29" t="str">
        <f t="shared" si="752"/>
        <v>NA</v>
      </c>
      <c r="W2289" s="29" t="str">
        <f t="shared" si="753"/>
        <v>NA</v>
      </c>
      <c r="X2289" s="29" t="str">
        <f t="shared" si="754"/>
        <v>NA</v>
      </c>
      <c r="Y2289" s="29" t="str">
        <f t="shared" si="755"/>
        <v>NA</v>
      </c>
      <c r="Z2289" s="29" t="str">
        <f t="shared" si="756"/>
        <v>NA</v>
      </c>
      <c r="AA2289" s="29" t="str">
        <f t="shared" si="757"/>
        <v>NA</v>
      </c>
      <c r="AB2289" s="29" t="str">
        <f t="shared" si="758"/>
        <v>NA</v>
      </c>
      <c r="AC2289" s="29" t="str">
        <f t="shared" si="759"/>
        <v>NA</v>
      </c>
      <c r="AD2289" s="29" t="str">
        <f t="shared" si="760"/>
        <v>NA</v>
      </c>
      <c r="AE2289" s="29" t="str">
        <f t="shared" si="761"/>
        <v>NA</v>
      </c>
      <c r="AF2289" s="29" t="str">
        <f t="shared" si="762"/>
        <v>NA</v>
      </c>
      <c r="AG2289" s="29" t="str">
        <f t="shared" si="763"/>
        <v>NA</v>
      </c>
      <c r="AH2289" s="29" t="str">
        <f t="shared" si="764"/>
        <v>NA</v>
      </c>
    </row>
    <row r="2290" customHeight="1" spans="1:34">
      <c r="A2290" s="12" t="s">
        <v>1043</v>
      </c>
      <c r="F2290" s="24">
        <f t="shared" si="746"/>
        <v>0</v>
      </c>
      <c r="G2290" s="24" t="e">
        <f t="shared" si="745"/>
        <v>#DIV/0!</v>
      </c>
      <c r="Q2290" s="29" t="str">
        <f t="shared" si="747"/>
        <v>NA</v>
      </c>
      <c r="R2290" s="29" t="str">
        <f t="shared" si="748"/>
        <v>NA</v>
      </c>
      <c r="S2290" s="29" t="str">
        <f t="shared" si="749"/>
        <v>NA</v>
      </c>
      <c r="T2290" s="29" t="str">
        <f t="shared" si="750"/>
        <v>NA</v>
      </c>
      <c r="U2290" s="29" t="str">
        <f t="shared" si="751"/>
        <v>NA</v>
      </c>
      <c r="V2290" s="29" t="str">
        <f t="shared" si="752"/>
        <v>NA</v>
      </c>
      <c r="W2290" s="29" t="str">
        <f t="shared" si="753"/>
        <v>NA</v>
      </c>
      <c r="X2290" s="29" t="str">
        <f t="shared" si="754"/>
        <v>NA</v>
      </c>
      <c r="Y2290" s="29" t="str">
        <f t="shared" si="755"/>
        <v>NA</v>
      </c>
      <c r="Z2290" s="29" t="str">
        <f t="shared" si="756"/>
        <v>NA</v>
      </c>
      <c r="AA2290" s="29" t="str">
        <f t="shared" si="757"/>
        <v>NA</v>
      </c>
      <c r="AB2290" s="29" t="str">
        <f t="shared" si="758"/>
        <v>NA</v>
      </c>
      <c r="AC2290" s="29" t="str">
        <f t="shared" si="759"/>
        <v>NA</v>
      </c>
      <c r="AD2290" s="29" t="str">
        <f t="shared" si="760"/>
        <v>NA</v>
      </c>
      <c r="AE2290" s="29" t="str">
        <f t="shared" si="761"/>
        <v>NA</v>
      </c>
      <c r="AF2290" s="29" t="str">
        <f t="shared" si="762"/>
        <v>NA</v>
      </c>
      <c r="AG2290" s="29" t="str">
        <f t="shared" si="763"/>
        <v>NA</v>
      </c>
      <c r="AH2290" s="29" t="str">
        <f t="shared" si="764"/>
        <v>NA</v>
      </c>
    </row>
    <row r="2291" customHeight="1" spans="1:34">
      <c r="A2291" s="12" t="s">
        <v>1043</v>
      </c>
      <c r="F2291" s="24">
        <f t="shared" si="746"/>
        <v>0</v>
      </c>
      <c r="G2291" s="24" t="e">
        <f t="shared" si="745"/>
        <v>#DIV/0!</v>
      </c>
      <c r="Q2291" s="29" t="str">
        <f t="shared" si="747"/>
        <v>NA</v>
      </c>
      <c r="R2291" s="29" t="str">
        <f t="shared" si="748"/>
        <v>NA</v>
      </c>
      <c r="S2291" s="29" t="str">
        <f t="shared" si="749"/>
        <v>NA</v>
      </c>
      <c r="T2291" s="29" t="str">
        <f t="shared" si="750"/>
        <v>NA</v>
      </c>
      <c r="U2291" s="29" t="str">
        <f t="shared" si="751"/>
        <v>NA</v>
      </c>
      <c r="V2291" s="29" t="str">
        <f t="shared" si="752"/>
        <v>NA</v>
      </c>
      <c r="W2291" s="29" t="str">
        <f t="shared" si="753"/>
        <v>NA</v>
      </c>
      <c r="X2291" s="29" t="str">
        <f t="shared" si="754"/>
        <v>NA</v>
      </c>
      <c r="Y2291" s="29" t="str">
        <f t="shared" si="755"/>
        <v>NA</v>
      </c>
      <c r="Z2291" s="29" t="str">
        <f t="shared" si="756"/>
        <v>NA</v>
      </c>
      <c r="AA2291" s="29" t="str">
        <f t="shared" si="757"/>
        <v>NA</v>
      </c>
      <c r="AB2291" s="29" t="str">
        <f t="shared" si="758"/>
        <v>NA</v>
      </c>
      <c r="AC2291" s="29" t="str">
        <f t="shared" si="759"/>
        <v>NA</v>
      </c>
      <c r="AD2291" s="29" t="str">
        <f t="shared" si="760"/>
        <v>NA</v>
      </c>
      <c r="AE2291" s="29" t="str">
        <f t="shared" si="761"/>
        <v>NA</v>
      </c>
      <c r="AF2291" s="29" t="str">
        <f t="shared" si="762"/>
        <v>NA</v>
      </c>
      <c r="AG2291" s="29" t="str">
        <f t="shared" si="763"/>
        <v>NA</v>
      </c>
      <c r="AH2291" s="29" t="str">
        <f t="shared" si="764"/>
        <v>NA</v>
      </c>
    </row>
    <row r="2292" customHeight="1" spans="1:34">
      <c r="A2292" s="12" t="s">
        <v>1043</v>
      </c>
      <c r="F2292" s="24">
        <f t="shared" si="746"/>
        <v>0</v>
      </c>
      <c r="G2292" s="24" t="e">
        <f t="shared" si="745"/>
        <v>#DIV/0!</v>
      </c>
      <c r="Q2292" s="29" t="str">
        <f t="shared" si="747"/>
        <v>NA</v>
      </c>
      <c r="R2292" s="29" t="str">
        <f t="shared" si="748"/>
        <v>NA</v>
      </c>
      <c r="S2292" s="29" t="str">
        <f t="shared" si="749"/>
        <v>NA</v>
      </c>
      <c r="T2292" s="29" t="str">
        <f t="shared" si="750"/>
        <v>NA</v>
      </c>
      <c r="U2292" s="29" t="str">
        <f t="shared" si="751"/>
        <v>NA</v>
      </c>
      <c r="V2292" s="29" t="str">
        <f t="shared" si="752"/>
        <v>NA</v>
      </c>
      <c r="W2292" s="29" t="str">
        <f t="shared" si="753"/>
        <v>NA</v>
      </c>
      <c r="X2292" s="29" t="str">
        <f t="shared" si="754"/>
        <v>NA</v>
      </c>
      <c r="Y2292" s="29" t="str">
        <f t="shared" si="755"/>
        <v>NA</v>
      </c>
      <c r="Z2292" s="29" t="str">
        <f t="shared" si="756"/>
        <v>NA</v>
      </c>
      <c r="AA2292" s="29" t="str">
        <f t="shared" si="757"/>
        <v>NA</v>
      </c>
      <c r="AB2292" s="29" t="str">
        <f t="shared" si="758"/>
        <v>NA</v>
      </c>
      <c r="AC2292" s="29" t="str">
        <f t="shared" si="759"/>
        <v>NA</v>
      </c>
      <c r="AD2292" s="29" t="str">
        <f t="shared" si="760"/>
        <v>NA</v>
      </c>
      <c r="AE2292" s="29" t="str">
        <f t="shared" si="761"/>
        <v>NA</v>
      </c>
      <c r="AF2292" s="29" t="str">
        <f t="shared" si="762"/>
        <v>NA</v>
      </c>
      <c r="AG2292" s="29" t="str">
        <f t="shared" si="763"/>
        <v>NA</v>
      </c>
      <c r="AH2292" s="29" t="str">
        <f t="shared" si="764"/>
        <v>NA</v>
      </c>
    </row>
    <row r="2293" customHeight="1" spans="1:34">
      <c r="A2293" s="12" t="s">
        <v>1043</v>
      </c>
      <c r="F2293" s="24">
        <f t="shared" si="746"/>
        <v>0</v>
      </c>
      <c r="G2293" s="24" t="e">
        <f t="shared" si="745"/>
        <v>#DIV/0!</v>
      </c>
      <c r="Q2293" s="29" t="str">
        <f t="shared" si="747"/>
        <v>NA</v>
      </c>
      <c r="R2293" s="29" t="str">
        <f t="shared" si="748"/>
        <v>NA</v>
      </c>
      <c r="S2293" s="29" t="str">
        <f t="shared" si="749"/>
        <v>NA</v>
      </c>
      <c r="T2293" s="29" t="str">
        <f t="shared" si="750"/>
        <v>NA</v>
      </c>
      <c r="U2293" s="29" t="str">
        <f t="shared" si="751"/>
        <v>NA</v>
      </c>
      <c r="V2293" s="29" t="str">
        <f t="shared" si="752"/>
        <v>NA</v>
      </c>
      <c r="W2293" s="29" t="str">
        <f t="shared" si="753"/>
        <v>NA</v>
      </c>
      <c r="X2293" s="29" t="str">
        <f t="shared" si="754"/>
        <v>NA</v>
      </c>
      <c r="Y2293" s="29" t="str">
        <f t="shared" si="755"/>
        <v>NA</v>
      </c>
      <c r="Z2293" s="29" t="str">
        <f t="shared" si="756"/>
        <v>NA</v>
      </c>
      <c r="AA2293" s="29" t="str">
        <f t="shared" si="757"/>
        <v>NA</v>
      </c>
      <c r="AB2293" s="29" t="str">
        <f t="shared" si="758"/>
        <v>NA</v>
      </c>
      <c r="AC2293" s="29" t="str">
        <f t="shared" si="759"/>
        <v>NA</v>
      </c>
      <c r="AD2293" s="29" t="str">
        <f t="shared" si="760"/>
        <v>NA</v>
      </c>
      <c r="AE2293" s="29" t="str">
        <f t="shared" si="761"/>
        <v>NA</v>
      </c>
      <c r="AF2293" s="29" t="str">
        <f t="shared" si="762"/>
        <v>NA</v>
      </c>
      <c r="AG2293" s="29" t="str">
        <f t="shared" si="763"/>
        <v>NA</v>
      </c>
      <c r="AH2293" s="29" t="str">
        <f t="shared" si="764"/>
        <v>NA</v>
      </c>
    </row>
    <row r="2294" customHeight="1" spans="1:34">
      <c r="A2294" s="12" t="s">
        <v>1043</v>
      </c>
      <c r="F2294" s="24">
        <f t="shared" si="746"/>
        <v>0</v>
      </c>
      <c r="G2294" s="24" t="e">
        <f t="shared" si="745"/>
        <v>#DIV/0!</v>
      </c>
      <c r="Q2294" s="29" t="str">
        <f t="shared" si="747"/>
        <v>NA</v>
      </c>
      <c r="R2294" s="29" t="str">
        <f t="shared" si="748"/>
        <v>NA</v>
      </c>
      <c r="S2294" s="29" t="str">
        <f t="shared" si="749"/>
        <v>NA</v>
      </c>
      <c r="T2294" s="29" t="str">
        <f t="shared" si="750"/>
        <v>NA</v>
      </c>
      <c r="U2294" s="29" t="str">
        <f t="shared" si="751"/>
        <v>NA</v>
      </c>
      <c r="V2294" s="29" t="str">
        <f t="shared" si="752"/>
        <v>NA</v>
      </c>
      <c r="W2294" s="29" t="str">
        <f t="shared" si="753"/>
        <v>NA</v>
      </c>
      <c r="X2294" s="29" t="str">
        <f t="shared" si="754"/>
        <v>NA</v>
      </c>
      <c r="Y2294" s="29" t="str">
        <f t="shared" si="755"/>
        <v>NA</v>
      </c>
      <c r="Z2294" s="29" t="str">
        <f t="shared" si="756"/>
        <v>NA</v>
      </c>
      <c r="AA2294" s="29" t="str">
        <f t="shared" si="757"/>
        <v>NA</v>
      </c>
      <c r="AB2294" s="29" t="str">
        <f t="shared" si="758"/>
        <v>NA</v>
      </c>
      <c r="AC2294" s="29" t="str">
        <f t="shared" si="759"/>
        <v>NA</v>
      </c>
      <c r="AD2294" s="29" t="str">
        <f t="shared" si="760"/>
        <v>NA</v>
      </c>
      <c r="AE2294" s="29" t="str">
        <f t="shared" si="761"/>
        <v>NA</v>
      </c>
      <c r="AF2294" s="29" t="str">
        <f t="shared" si="762"/>
        <v>NA</v>
      </c>
      <c r="AG2294" s="29" t="str">
        <f t="shared" si="763"/>
        <v>NA</v>
      </c>
      <c r="AH2294" s="29" t="str">
        <f t="shared" si="764"/>
        <v>NA</v>
      </c>
    </row>
    <row r="2295" customHeight="1" spans="1:34">
      <c r="A2295" s="12" t="s">
        <v>1043</v>
      </c>
      <c r="F2295" s="24">
        <f t="shared" si="746"/>
        <v>0</v>
      </c>
      <c r="G2295" s="24" t="e">
        <f t="shared" si="745"/>
        <v>#DIV/0!</v>
      </c>
      <c r="Q2295" s="29" t="str">
        <f t="shared" si="747"/>
        <v>NA</v>
      </c>
      <c r="R2295" s="29" t="str">
        <f t="shared" si="748"/>
        <v>NA</v>
      </c>
      <c r="S2295" s="29" t="str">
        <f t="shared" si="749"/>
        <v>NA</v>
      </c>
      <c r="T2295" s="29" t="str">
        <f t="shared" si="750"/>
        <v>NA</v>
      </c>
      <c r="U2295" s="29" t="str">
        <f t="shared" si="751"/>
        <v>NA</v>
      </c>
      <c r="V2295" s="29" t="str">
        <f t="shared" si="752"/>
        <v>NA</v>
      </c>
      <c r="W2295" s="29" t="str">
        <f t="shared" si="753"/>
        <v>NA</v>
      </c>
      <c r="X2295" s="29" t="str">
        <f t="shared" si="754"/>
        <v>NA</v>
      </c>
      <c r="Y2295" s="29" t="str">
        <f t="shared" si="755"/>
        <v>NA</v>
      </c>
      <c r="Z2295" s="29" t="str">
        <f t="shared" si="756"/>
        <v>NA</v>
      </c>
      <c r="AA2295" s="29" t="str">
        <f t="shared" si="757"/>
        <v>NA</v>
      </c>
      <c r="AB2295" s="29" t="str">
        <f t="shared" si="758"/>
        <v>NA</v>
      </c>
      <c r="AC2295" s="29" t="str">
        <f t="shared" si="759"/>
        <v>NA</v>
      </c>
      <c r="AD2295" s="29" t="str">
        <f t="shared" si="760"/>
        <v>NA</v>
      </c>
      <c r="AE2295" s="29" t="str">
        <f t="shared" si="761"/>
        <v>NA</v>
      </c>
      <c r="AF2295" s="29" t="str">
        <f t="shared" si="762"/>
        <v>NA</v>
      </c>
      <c r="AG2295" s="29" t="str">
        <f t="shared" si="763"/>
        <v>NA</v>
      </c>
      <c r="AH2295" s="29" t="str">
        <f t="shared" si="764"/>
        <v>NA</v>
      </c>
    </row>
    <row r="2296" customHeight="1" spans="1:34">
      <c r="A2296" s="12" t="s">
        <v>1043</v>
      </c>
      <c r="F2296" s="24">
        <f t="shared" si="746"/>
        <v>0</v>
      </c>
      <c r="G2296" s="24" t="e">
        <f t="shared" si="745"/>
        <v>#DIV/0!</v>
      </c>
      <c r="Q2296" s="29" t="str">
        <f t="shared" si="747"/>
        <v>NA</v>
      </c>
      <c r="R2296" s="29" t="str">
        <f t="shared" si="748"/>
        <v>NA</v>
      </c>
      <c r="S2296" s="29" t="str">
        <f t="shared" si="749"/>
        <v>NA</v>
      </c>
      <c r="T2296" s="29" t="str">
        <f t="shared" si="750"/>
        <v>NA</v>
      </c>
      <c r="U2296" s="29" t="str">
        <f t="shared" si="751"/>
        <v>NA</v>
      </c>
      <c r="V2296" s="29" t="str">
        <f t="shared" si="752"/>
        <v>NA</v>
      </c>
      <c r="W2296" s="29" t="str">
        <f t="shared" si="753"/>
        <v>NA</v>
      </c>
      <c r="X2296" s="29" t="str">
        <f t="shared" si="754"/>
        <v>NA</v>
      </c>
      <c r="Y2296" s="29" t="str">
        <f t="shared" si="755"/>
        <v>NA</v>
      </c>
      <c r="Z2296" s="29" t="str">
        <f t="shared" si="756"/>
        <v>NA</v>
      </c>
      <c r="AA2296" s="29" t="str">
        <f t="shared" si="757"/>
        <v>NA</v>
      </c>
      <c r="AB2296" s="29" t="str">
        <f t="shared" si="758"/>
        <v>NA</v>
      </c>
      <c r="AC2296" s="29" t="str">
        <f t="shared" si="759"/>
        <v>NA</v>
      </c>
      <c r="AD2296" s="29" t="str">
        <f t="shared" si="760"/>
        <v>NA</v>
      </c>
      <c r="AE2296" s="29" t="str">
        <f t="shared" si="761"/>
        <v>NA</v>
      </c>
      <c r="AF2296" s="29" t="str">
        <f t="shared" si="762"/>
        <v>NA</v>
      </c>
      <c r="AG2296" s="29" t="str">
        <f t="shared" si="763"/>
        <v>NA</v>
      </c>
      <c r="AH2296" s="29" t="str">
        <f t="shared" si="764"/>
        <v>NA</v>
      </c>
    </row>
    <row r="2297" customHeight="1" spans="1:34">
      <c r="A2297" s="12" t="s">
        <v>1043</v>
      </c>
      <c r="F2297" s="24">
        <f t="shared" si="746"/>
        <v>0</v>
      </c>
      <c r="G2297" s="24" t="e">
        <f t="shared" si="745"/>
        <v>#DIV/0!</v>
      </c>
      <c r="Q2297" s="29" t="str">
        <f t="shared" si="747"/>
        <v>NA</v>
      </c>
      <c r="R2297" s="29" t="str">
        <f t="shared" si="748"/>
        <v>NA</v>
      </c>
      <c r="S2297" s="29" t="str">
        <f t="shared" si="749"/>
        <v>NA</v>
      </c>
      <c r="T2297" s="29" t="str">
        <f t="shared" si="750"/>
        <v>NA</v>
      </c>
      <c r="U2297" s="29" t="str">
        <f t="shared" si="751"/>
        <v>NA</v>
      </c>
      <c r="V2297" s="29" t="str">
        <f t="shared" si="752"/>
        <v>NA</v>
      </c>
      <c r="W2297" s="29" t="str">
        <f t="shared" si="753"/>
        <v>NA</v>
      </c>
      <c r="X2297" s="29" t="str">
        <f t="shared" si="754"/>
        <v>NA</v>
      </c>
      <c r="Y2297" s="29" t="str">
        <f t="shared" si="755"/>
        <v>NA</v>
      </c>
      <c r="Z2297" s="29" t="str">
        <f t="shared" si="756"/>
        <v>NA</v>
      </c>
      <c r="AA2297" s="29" t="str">
        <f t="shared" si="757"/>
        <v>NA</v>
      </c>
      <c r="AB2297" s="29" t="str">
        <f t="shared" si="758"/>
        <v>NA</v>
      </c>
      <c r="AC2297" s="29" t="str">
        <f t="shared" si="759"/>
        <v>NA</v>
      </c>
      <c r="AD2297" s="29" t="str">
        <f t="shared" si="760"/>
        <v>NA</v>
      </c>
      <c r="AE2297" s="29" t="str">
        <f t="shared" si="761"/>
        <v>NA</v>
      </c>
      <c r="AF2297" s="29" t="str">
        <f t="shared" si="762"/>
        <v>NA</v>
      </c>
      <c r="AG2297" s="29" t="str">
        <f t="shared" si="763"/>
        <v>NA</v>
      </c>
      <c r="AH2297" s="29" t="str">
        <f t="shared" si="764"/>
        <v>NA</v>
      </c>
    </row>
    <row r="2298" customHeight="1" spans="1:34">
      <c r="A2298" s="12" t="s">
        <v>1043</v>
      </c>
      <c r="F2298" s="24">
        <f t="shared" si="746"/>
        <v>0</v>
      </c>
      <c r="G2298" s="24" t="e">
        <f t="shared" si="745"/>
        <v>#DIV/0!</v>
      </c>
      <c r="Q2298" s="29" t="str">
        <f t="shared" si="747"/>
        <v>NA</v>
      </c>
      <c r="R2298" s="29" t="str">
        <f t="shared" si="748"/>
        <v>NA</v>
      </c>
      <c r="S2298" s="29" t="str">
        <f t="shared" si="749"/>
        <v>NA</v>
      </c>
      <c r="T2298" s="29" t="str">
        <f t="shared" si="750"/>
        <v>NA</v>
      </c>
      <c r="U2298" s="29" t="str">
        <f t="shared" si="751"/>
        <v>NA</v>
      </c>
      <c r="V2298" s="29" t="str">
        <f t="shared" si="752"/>
        <v>NA</v>
      </c>
      <c r="W2298" s="29" t="str">
        <f t="shared" si="753"/>
        <v>NA</v>
      </c>
      <c r="X2298" s="29" t="str">
        <f t="shared" si="754"/>
        <v>NA</v>
      </c>
      <c r="Y2298" s="29" t="str">
        <f t="shared" si="755"/>
        <v>NA</v>
      </c>
      <c r="Z2298" s="29" t="str">
        <f t="shared" si="756"/>
        <v>NA</v>
      </c>
      <c r="AA2298" s="29" t="str">
        <f t="shared" si="757"/>
        <v>NA</v>
      </c>
      <c r="AB2298" s="29" t="str">
        <f t="shared" si="758"/>
        <v>NA</v>
      </c>
      <c r="AC2298" s="29" t="str">
        <f t="shared" si="759"/>
        <v>NA</v>
      </c>
      <c r="AD2298" s="29" t="str">
        <f t="shared" si="760"/>
        <v>NA</v>
      </c>
      <c r="AE2298" s="29" t="str">
        <f t="shared" si="761"/>
        <v>NA</v>
      </c>
      <c r="AF2298" s="29" t="str">
        <f t="shared" si="762"/>
        <v>NA</v>
      </c>
      <c r="AG2298" s="29" t="str">
        <f t="shared" si="763"/>
        <v>NA</v>
      </c>
      <c r="AH2298" s="29" t="str">
        <f t="shared" si="764"/>
        <v>NA</v>
      </c>
    </row>
    <row r="2299" customHeight="1" spans="1:34">
      <c r="A2299" s="12" t="s">
        <v>1043</v>
      </c>
      <c r="F2299" s="24">
        <f t="shared" si="746"/>
        <v>0</v>
      </c>
      <c r="G2299" s="24" t="e">
        <f t="shared" si="745"/>
        <v>#DIV/0!</v>
      </c>
      <c r="Q2299" s="29" t="str">
        <f t="shared" si="747"/>
        <v>NA</v>
      </c>
      <c r="R2299" s="29" t="str">
        <f t="shared" si="748"/>
        <v>NA</v>
      </c>
      <c r="S2299" s="29" t="str">
        <f t="shared" si="749"/>
        <v>NA</v>
      </c>
      <c r="T2299" s="29" t="str">
        <f t="shared" si="750"/>
        <v>NA</v>
      </c>
      <c r="U2299" s="29" t="str">
        <f t="shared" si="751"/>
        <v>NA</v>
      </c>
      <c r="V2299" s="29" t="str">
        <f t="shared" si="752"/>
        <v>NA</v>
      </c>
      <c r="W2299" s="29" t="str">
        <f t="shared" si="753"/>
        <v>NA</v>
      </c>
      <c r="X2299" s="29" t="str">
        <f t="shared" si="754"/>
        <v>NA</v>
      </c>
      <c r="Y2299" s="29" t="str">
        <f t="shared" si="755"/>
        <v>NA</v>
      </c>
      <c r="Z2299" s="29" t="str">
        <f t="shared" si="756"/>
        <v>NA</v>
      </c>
      <c r="AA2299" s="29" t="str">
        <f t="shared" si="757"/>
        <v>NA</v>
      </c>
      <c r="AB2299" s="29" t="str">
        <f t="shared" si="758"/>
        <v>NA</v>
      </c>
      <c r="AC2299" s="29" t="str">
        <f t="shared" si="759"/>
        <v>NA</v>
      </c>
      <c r="AD2299" s="29" t="str">
        <f t="shared" si="760"/>
        <v>NA</v>
      </c>
      <c r="AE2299" s="29" t="str">
        <f t="shared" si="761"/>
        <v>NA</v>
      </c>
      <c r="AF2299" s="29" t="str">
        <f t="shared" si="762"/>
        <v>NA</v>
      </c>
      <c r="AG2299" s="29" t="str">
        <f t="shared" si="763"/>
        <v>NA</v>
      </c>
      <c r="AH2299" s="29" t="str">
        <f t="shared" si="764"/>
        <v>NA</v>
      </c>
    </row>
    <row r="2300" customHeight="1" spans="1:34">
      <c r="A2300" s="12" t="s">
        <v>1043</v>
      </c>
      <c r="F2300" s="24">
        <f t="shared" si="746"/>
        <v>0</v>
      </c>
      <c r="G2300" s="24" t="e">
        <f t="shared" si="745"/>
        <v>#DIV/0!</v>
      </c>
      <c r="Q2300" s="29" t="str">
        <f t="shared" si="747"/>
        <v>NA</v>
      </c>
      <c r="R2300" s="29" t="str">
        <f t="shared" si="748"/>
        <v>NA</v>
      </c>
      <c r="S2300" s="29" t="str">
        <f t="shared" si="749"/>
        <v>NA</v>
      </c>
      <c r="T2300" s="29" t="str">
        <f t="shared" si="750"/>
        <v>NA</v>
      </c>
      <c r="U2300" s="29" t="str">
        <f t="shared" si="751"/>
        <v>NA</v>
      </c>
      <c r="V2300" s="29" t="str">
        <f t="shared" si="752"/>
        <v>NA</v>
      </c>
      <c r="W2300" s="29" t="str">
        <f t="shared" si="753"/>
        <v>NA</v>
      </c>
      <c r="X2300" s="29" t="str">
        <f t="shared" si="754"/>
        <v>NA</v>
      </c>
      <c r="Y2300" s="29" t="str">
        <f t="shared" si="755"/>
        <v>NA</v>
      </c>
      <c r="Z2300" s="29" t="str">
        <f t="shared" si="756"/>
        <v>NA</v>
      </c>
      <c r="AA2300" s="29" t="str">
        <f t="shared" si="757"/>
        <v>NA</v>
      </c>
      <c r="AB2300" s="29" t="str">
        <f t="shared" si="758"/>
        <v>NA</v>
      </c>
      <c r="AC2300" s="29" t="str">
        <f t="shared" si="759"/>
        <v>NA</v>
      </c>
      <c r="AD2300" s="29" t="str">
        <f t="shared" si="760"/>
        <v>NA</v>
      </c>
      <c r="AE2300" s="29" t="str">
        <f t="shared" si="761"/>
        <v>NA</v>
      </c>
      <c r="AF2300" s="29" t="str">
        <f t="shared" si="762"/>
        <v>NA</v>
      </c>
      <c r="AG2300" s="29" t="str">
        <f t="shared" si="763"/>
        <v>NA</v>
      </c>
      <c r="AH2300" s="29" t="str">
        <f t="shared" si="764"/>
        <v>NA</v>
      </c>
    </row>
    <row r="2301" customHeight="1" spans="1:34">
      <c r="A2301" s="12" t="s">
        <v>1043</v>
      </c>
      <c r="F2301" s="24">
        <f t="shared" si="746"/>
        <v>0</v>
      </c>
      <c r="G2301" s="24" t="e">
        <f t="shared" si="745"/>
        <v>#DIV/0!</v>
      </c>
      <c r="Q2301" s="29" t="str">
        <f t="shared" si="747"/>
        <v>NA</v>
      </c>
      <c r="R2301" s="29" t="str">
        <f t="shared" si="748"/>
        <v>NA</v>
      </c>
      <c r="S2301" s="29" t="str">
        <f t="shared" si="749"/>
        <v>NA</v>
      </c>
      <c r="T2301" s="29" t="str">
        <f t="shared" si="750"/>
        <v>NA</v>
      </c>
      <c r="U2301" s="29" t="str">
        <f t="shared" si="751"/>
        <v>NA</v>
      </c>
      <c r="V2301" s="29" t="str">
        <f t="shared" si="752"/>
        <v>NA</v>
      </c>
      <c r="W2301" s="29" t="str">
        <f t="shared" si="753"/>
        <v>NA</v>
      </c>
      <c r="X2301" s="29" t="str">
        <f t="shared" si="754"/>
        <v>NA</v>
      </c>
      <c r="Y2301" s="29" t="str">
        <f t="shared" si="755"/>
        <v>NA</v>
      </c>
      <c r="Z2301" s="29" t="str">
        <f t="shared" si="756"/>
        <v>NA</v>
      </c>
      <c r="AA2301" s="29" t="str">
        <f t="shared" si="757"/>
        <v>NA</v>
      </c>
      <c r="AB2301" s="29" t="str">
        <f t="shared" si="758"/>
        <v>NA</v>
      </c>
      <c r="AC2301" s="29" t="str">
        <f t="shared" si="759"/>
        <v>NA</v>
      </c>
      <c r="AD2301" s="29" t="str">
        <f t="shared" si="760"/>
        <v>NA</v>
      </c>
      <c r="AE2301" s="29" t="str">
        <f t="shared" si="761"/>
        <v>NA</v>
      </c>
      <c r="AF2301" s="29" t="str">
        <f t="shared" si="762"/>
        <v>NA</v>
      </c>
      <c r="AG2301" s="29" t="str">
        <f t="shared" si="763"/>
        <v>NA</v>
      </c>
      <c r="AH2301" s="29" t="str">
        <f t="shared" si="764"/>
        <v>NA</v>
      </c>
    </row>
    <row r="2302" customHeight="1" spans="1:34">
      <c r="A2302" s="12" t="s">
        <v>1043</v>
      </c>
      <c r="F2302" s="24">
        <f t="shared" si="746"/>
        <v>0</v>
      </c>
      <c r="G2302" s="24" t="e">
        <f t="shared" si="745"/>
        <v>#DIV/0!</v>
      </c>
      <c r="Q2302" s="29" t="str">
        <f t="shared" si="747"/>
        <v>NA</v>
      </c>
      <c r="R2302" s="29" t="str">
        <f t="shared" si="748"/>
        <v>NA</v>
      </c>
      <c r="S2302" s="29" t="str">
        <f t="shared" si="749"/>
        <v>NA</v>
      </c>
      <c r="T2302" s="29" t="str">
        <f t="shared" si="750"/>
        <v>NA</v>
      </c>
      <c r="U2302" s="29" t="str">
        <f t="shared" si="751"/>
        <v>NA</v>
      </c>
      <c r="V2302" s="29" t="str">
        <f t="shared" si="752"/>
        <v>NA</v>
      </c>
      <c r="W2302" s="29" t="str">
        <f t="shared" si="753"/>
        <v>NA</v>
      </c>
      <c r="X2302" s="29" t="str">
        <f t="shared" si="754"/>
        <v>NA</v>
      </c>
      <c r="Y2302" s="29" t="str">
        <f t="shared" si="755"/>
        <v>NA</v>
      </c>
      <c r="Z2302" s="29" t="str">
        <f t="shared" si="756"/>
        <v>NA</v>
      </c>
      <c r="AA2302" s="29" t="str">
        <f t="shared" si="757"/>
        <v>NA</v>
      </c>
      <c r="AB2302" s="29" t="str">
        <f t="shared" si="758"/>
        <v>NA</v>
      </c>
      <c r="AC2302" s="29" t="str">
        <f t="shared" si="759"/>
        <v>NA</v>
      </c>
      <c r="AD2302" s="29" t="str">
        <f t="shared" si="760"/>
        <v>NA</v>
      </c>
      <c r="AE2302" s="29" t="str">
        <f t="shared" si="761"/>
        <v>NA</v>
      </c>
      <c r="AF2302" s="29" t="str">
        <f t="shared" si="762"/>
        <v>NA</v>
      </c>
      <c r="AG2302" s="29" t="str">
        <f t="shared" si="763"/>
        <v>NA</v>
      </c>
      <c r="AH2302" s="29" t="str">
        <f t="shared" si="764"/>
        <v>NA</v>
      </c>
    </row>
    <row r="2303" customHeight="1" spans="1:34">
      <c r="A2303" s="12" t="s">
        <v>1043</v>
      </c>
      <c r="F2303" s="24">
        <f t="shared" si="746"/>
        <v>0</v>
      </c>
      <c r="G2303" s="24" t="e">
        <f t="shared" si="745"/>
        <v>#DIV/0!</v>
      </c>
      <c r="Q2303" s="29" t="str">
        <f t="shared" si="747"/>
        <v>NA</v>
      </c>
      <c r="R2303" s="29" t="str">
        <f t="shared" si="748"/>
        <v>NA</v>
      </c>
      <c r="S2303" s="29" t="str">
        <f t="shared" si="749"/>
        <v>NA</v>
      </c>
      <c r="T2303" s="29" t="str">
        <f t="shared" si="750"/>
        <v>NA</v>
      </c>
      <c r="U2303" s="29" t="str">
        <f t="shared" si="751"/>
        <v>NA</v>
      </c>
      <c r="V2303" s="29" t="str">
        <f t="shared" si="752"/>
        <v>NA</v>
      </c>
      <c r="W2303" s="29" t="str">
        <f t="shared" si="753"/>
        <v>NA</v>
      </c>
      <c r="X2303" s="29" t="str">
        <f t="shared" si="754"/>
        <v>NA</v>
      </c>
      <c r="Y2303" s="29" t="str">
        <f t="shared" si="755"/>
        <v>NA</v>
      </c>
      <c r="Z2303" s="29" t="str">
        <f t="shared" si="756"/>
        <v>NA</v>
      </c>
      <c r="AA2303" s="29" t="str">
        <f t="shared" si="757"/>
        <v>NA</v>
      </c>
      <c r="AB2303" s="29" t="str">
        <f t="shared" si="758"/>
        <v>NA</v>
      </c>
      <c r="AC2303" s="29" t="str">
        <f t="shared" si="759"/>
        <v>NA</v>
      </c>
      <c r="AD2303" s="29" t="str">
        <f t="shared" si="760"/>
        <v>NA</v>
      </c>
      <c r="AE2303" s="29" t="str">
        <f t="shared" si="761"/>
        <v>NA</v>
      </c>
      <c r="AF2303" s="29" t="str">
        <f t="shared" si="762"/>
        <v>NA</v>
      </c>
      <c r="AG2303" s="29" t="str">
        <f t="shared" si="763"/>
        <v>NA</v>
      </c>
      <c r="AH2303" s="29" t="str">
        <f t="shared" si="764"/>
        <v>NA</v>
      </c>
    </row>
    <row r="2304" customHeight="1" spans="1:34">
      <c r="A2304" s="12" t="s">
        <v>1043</v>
      </c>
      <c r="F2304" s="24">
        <f t="shared" si="746"/>
        <v>0</v>
      </c>
      <c r="G2304" s="24" t="e">
        <f t="shared" si="745"/>
        <v>#DIV/0!</v>
      </c>
      <c r="Q2304" s="29" t="str">
        <f t="shared" si="747"/>
        <v>NA</v>
      </c>
      <c r="R2304" s="29" t="str">
        <f t="shared" si="748"/>
        <v>NA</v>
      </c>
      <c r="S2304" s="29" t="str">
        <f t="shared" si="749"/>
        <v>NA</v>
      </c>
      <c r="T2304" s="29" t="str">
        <f t="shared" si="750"/>
        <v>NA</v>
      </c>
      <c r="U2304" s="29" t="str">
        <f t="shared" si="751"/>
        <v>NA</v>
      </c>
      <c r="V2304" s="29" t="str">
        <f t="shared" si="752"/>
        <v>NA</v>
      </c>
      <c r="W2304" s="29" t="str">
        <f t="shared" si="753"/>
        <v>NA</v>
      </c>
      <c r="X2304" s="29" t="str">
        <f t="shared" si="754"/>
        <v>NA</v>
      </c>
      <c r="Y2304" s="29" t="str">
        <f t="shared" si="755"/>
        <v>NA</v>
      </c>
      <c r="Z2304" s="29" t="str">
        <f t="shared" si="756"/>
        <v>NA</v>
      </c>
      <c r="AA2304" s="29" t="str">
        <f t="shared" si="757"/>
        <v>NA</v>
      </c>
      <c r="AB2304" s="29" t="str">
        <f t="shared" si="758"/>
        <v>NA</v>
      </c>
      <c r="AC2304" s="29" t="str">
        <f t="shared" si="759"/>
        <v>NA</v>
      </c>
      <c r="AD2304" s="29" t="str">
        <f t="shared" si="760"/>
        <v>NA</v>
      </c>
      <c r="AE2304" s="29" t="str">
        <f t="shared" si="761"/>
        <v>NA</v>
      </c>
      <c r="AF2304" s="29" t="str">
        <f t="shared" si="762"/>
        <v>NA</v>
      </c>
      <c r="AG2304" s="29" t="str">
        <f t="shared" si="763"/>
        <v>NA</v>
      </c>
      <c r="AH2304" s="29" t="str">
        <f t="shared" si="764"/>
        <v>NA</v>
      </c>
    </row>
    <row r="2305" customHeight="1" spans="1:34">
      <c r="A2305" s="12" t="s">
        <v>1043</v>
      </c>
      <c r="F2305" s="24">
        <f t="shared" si="746"/>
        <v>0</v>
      </c>
      <c r="G2305" s="24" t="e">
        <f t="shared" si="745"/>
        <v>#DIV/0!</v>
      </c>
      <c r="Q2305" s="29" t="str">
        <f t="shared" si="747"/>
        <v>NA</v>
      </c>
      <c r="R2305" s="29" t="str">
        <f t="shared" si="748"/>
        <v>NA</v>
      </c>
      <c r="S2305" s="29" t="str">
        <f t="shared" si="749"/>
        <v>NA</v>
      </c>
      <c r="T2305" s="29" t="str">
        <f t="shared" si="750"/>
        <v>NA</v>
      </c>
      <c r="U2305" s="29" t="str">
        <f t="shared" si="751"/>
        <v>NA</v>
      </c>
      <c r="V2305" s="29" t="str">
        <f t="shared" si="752"/>
        <v>NA</v>
      </c>
      <c r="W2305" s="29" t="str">
        <f t="shared" si="753"/>
        <v>NA</v>
      </c>
      <c r="X2305" s="29" t="str">
        <f t="shared" si="754"/>
        <v>NA</v>
      </c>
      <c r="Y2305" s="29" t="str">
        <f t="shared" si="755"/>
        <v>NA</v>
      </c>
      <c r="Z2305" s="29" t="str">
        <f t="shared" si="756"/>
        <v>NA</v>
      </c>
      <c r="AA2305" s="29" t="str">
        <f t="shared" si="757"/>
        <v>NA</v>
      </c>
      <c r="AB2305" s="29" t="str">
        <f t="shared" si="758"/>
        <v>NA</v>
      </c>
      <c r="AC2305" s="29" t="str">
        <f t="shared" si="759"/>
        <v>NA</v>
      </c>
      <c r="AD2305" s="29" t="str">
        <f t="shared" si="760"/>
        <v>NA</v>
      </c>
      <c r="AE2305" s="29" t="str">
        <f t="shared" si="761"/>
        <v>NA</v>
      </c>
      <c r="AF2305" s="29" t="str">
        <f t="shared" si="762"/>
        <v>NA</v>
      </c>
      <c r="AG2305" s="29" t="str">
        <f t="shared" si="763"/>
        <v>NA</v>
      </c>
      <c r="AH2305" s="29" t="str">
        <f t="shared" si="764"/>
        <v>NA</v>
      </c>
    </row>
    <row r="2306" customHeight="1" spans="1:34">
      <c r="A2306" s="12" t="s">
        <v>1043</v>
      </c>
      <c r="F2306" s="24">
        <f t="shared" si="746"/>
        <v>0</v>
      </c>
      <c r="G2306" s="24" t="e">
        <f t="shared" si="745"/>
        <v>#DIV/0!</v>
      </c>
      <c r="Q2306" s="29" t="str">
        <f t="shared" si="747"/>
        <v>NA</v>
      </c>
      <c r="R2306" s="29" t="str">
        <f t="shared" si="748"/>
        <v>NA</v>
      </c>
      <c r="S2306" s="29" t="str">
        <f t="shared" si="749"/>
        <v>NA</v>
      </c>
      <c r="T2306" s="29" t="str">
        <f t="shared" si="750"/>
        <v>NA</v>
      </c>
      <c r="U2306" s="29" t="str">
        <f t="shared" si="751"/>
        <v>NA</v>
      </c>
      <c r="V2306" s="29" t="str">
        <f t="shared" si="752"/>
        <v>NA</v>
      </c>
      <c r="W2306" s="29" t="str">
        <f t="shared" si="753"/>
        <v>NA</v>
      </c>
      <c r="X2306" s="29" t="str">
        <f t="shared" si="754"/>
        <v>NA</v>
      </c>
      <c r="Y2306" s="29" t="str">
        <f t="shared" si="755"/>
        <v>NA</v>
      </c>
      <c r="Z2306" s="29" t="str">
        <f t="shared" si="756"/>
        <v>NA</v>
      </c>
      <c r="AA2306" s="29" t="str">
        <f t="shared" si="757"/>
        <v>NA</v>
      </c>
      <c r="AB2306" s="29" t="str">
        <f t="shared" si="758"/>
        <v>NA</v>
      </c>
      <c r="AC2306" s="29" t="str">
        <f t="shared" si="759"/>
        <v>NA</v>
      </c>
      <c r="AD2306" s="29" t="str">
        <f t="shared" si="760"/>
        <v>NA</v>
      </c>
      <c r="AE2306" s="29" t="str">
        <f t="shared" si="761"/>
        <v>NA</v>
      </c>
      <c r="AF2306" s="29" t="str">
        <f t="shared" si="762"/>
        <v>NA</v>
      </c>
      <c r="AG2306" s="29" t="str">
        <f t="shared" si="763"/>
        <v>NA</v>
      </c>
      <c r="AH2306" s="29" t="str">
        <f t="shared" si="764"/>
        <v>NA</v>
      </c>
    </row>
    <row r="2307" customHeight="1" spans="1:34">
      <c r="A2307" s="12" t="s">
        <v>1043</v>
      </c>
      <c r="F2307" s="24">
        <f t="shared" si="746"/>
        <v>0</v>
      </c>
      <c r="G2307" s="24" t="e">
        <f t="shared" si="745"/>
        <v>#DIV/0!</v>
      </c>
      <c r="Q2307" s="29" t="str">
        <f t="shared" si="747"/>
        <v>NA</v>
      </c>
      <c r="R2307" s="29" t="str">
        <f t="shared" si="748"/>
        <v>NA</v>
      </c>
      <c r="S2307" s="29" t="str">
        <f t="shared" si="749"/>
        <v>NA</v>
      </c>
      <c r="T2307" s="29" t="str">
        <f t="shared" si="750"/>
        <v>NA</v>
      </c>
      <c r="U2307" s="29" t="str">
        <f t="shared" si="751"/>
        <v>NA</v>
      </c>
      <c r="V2307" s="29" t="str">
        <f t="shared" si="752"/>
        <v>NA</v>
      </c>
      <c r="W2307" s="29" t="str">
        <f t="shared" si="753"/>
        <v>NA</v>
      </c>
      <c r="X2307" s="29" t="str">
        <f t="shared" si="754"/>
        <v>NA</v>
      </c>
      <c r="Y2307" s="29" t="str">
        <f t="shared" si="755"/>
        <v>NA</v>
      </c>
      <c r="Z2307" s="29" t="str">
        <f t="shared" si="756"/>
        <v>NA</v>
      </c>
      <c r="AA2307" s="29" t="str">
        <f t="shared" si="757"/>
        <v>NA</v>
      </c>
      <c r="AB2307" s="29" t="str">
        <f t="shared" si="758"/>
        <v>NA</v>
      </c>
      <c r="AC2307" s="29" t="str">
        <f t="shared" si="759"/>
        <v>NA</v>
      </c>
      <c r="AD2307" s="29" t="str">
        <f t="shared" si="760"/>
        <v>NA</v>
      </c>
      <c r="AE2307" s="29" t="str">
        <f t="shared" si="761"/>
        <v>NA</v>
      </c>
      <c r="AF2307" s="29" t="str">
        <f t="shared" si="762"/>
        <v>NA</v>
      </c>
      <c r="AG2307" s="29" t="str">
        <f t="shared" si="763"/>
        <v>NA</v>
      </c>
      <c r="AH2307" s="29" t="str">
        <f t="shared" si="764"/>
        <v>NA</v>
      </c>
    </row>
    <row r="2308" customHeight="1" spans="1:34">
      <c r="A2308" s="12" t="s">
        <v>1043</v>
      </c>
      <c r="F2308" s="24">
        <f t="shared" si="746"/>
        <v>0</v>
      </c>
      <c r="G2308" s="24" t="e">
        <f t="shared" si="745"/>
        <v>#DIV/0!</v>
      </c>
      <c r="Q2308" s="29" t="str">
        <f t="shared" si="747"/>
        <v>NA</v>
      </c>
      <c r="R2308" s="29" t="str">
        <f t="shared" si="748"/>
        <v>NA</v>
      </c>
      <c r="S2308" s="29" t="str">
        <f t="shared" si="749"/>
        <v>NA</v>
      </c>
      <c r="T2308" s="29" t="str">
        <f t="shared" si="750"/>
        <v>NA</v>
      </c>
      <c r="U2308" s="29" t="str">
        <f t="shared" si="751"/>
        <v>NA</v>
      </c>
      <c r="V2308" s="29" t="str">
        <f t="shared" si="752"/>
        <v>NA</v>
      </c>
      <c r="W2308" s="29" t="str">
        <f t="shared" si="753"/>
        <v>NA</v>
      </c>
      <c r="X2308" s="29" t="str">
        <f t="shared" si="754"/>
        <v>NA</v>
      </c>
      <c r="Y2308" s="29" t="str">
        <f t="shared" si="755"/>
        <v>NA</v>
      </c>
      <c r="Z2308" s="29" t="str">
        <f t="shared" si="756"/>
        <v>NA</v>
      </c>
      <c r="AA2308" s="29" t="str">
        <f t="shared" si="757"/>
        <v>NA</v>
      </c>
      <c r="AB2308" s="29" t="str">
        <f t="shared" si="758"/>
        <v>NA</v>
      </c>
      <c r="AC2308" s="29" t="str">
        <f t="shared" si="759"/>
        <v>NA</v>
      </c>
      <c r="AD2308" s="29" t="str">
        <f t="shared" si="760"/>
        <v>NA</v>
      </c>
      <c r="AE2308" s="29" t="str">
        <f t="shared" si="761"/>
        <v>NA</v>
      </c>
      <c r="AF2308" s="29" t="str">
        <f t="shared" si="762"/>
        <v>NA</v>
      </c>
      <c r="AG2308" s="29" t="str">
        <f t="shared" si="763"/>
        <v>NA</v>
      </c>
      <c r="AH2308" s="29" t="str">
        <f t="shared" si="764"/>
        <v>NA</v>
      </c>
    </row>
    <row r="2309" customHeight="1" spans="1:34">
      <c r="A2309" s="12" t="s">
        <v>1043</v>
      </c>
      <c r="F2309" s="24">
        <f t="shared" si="746"/>
        <v>0</v>
      </c>
      <c r="G2309" s="24" t="e">
        <f t="shared" ref="G2309:G2372" si="765">B2309*D2309/C2309</f>
        <v>#DIV/0!</v>
      </c>
      <c r="Q2309" s="29" t="str">
        <f t="shared" si="747"/>
        <v>NA</v>
      </c>
      <c r="R2309" s="29" t="str">
        <f t="shared" si="748"/>
        <v>NA</v>
      </c>
      <c r="S2309" s="29" t="str">
        <f t="shared" si="749"/>
        <v>NA</v>
      </c>
      <c r="T2309" s="29" t="str">
        <f t="shared" si="750"/>
        <v>NA</v>
      </c>
      <c r="U2309" s="29" t="str">
        <f t="shared" si="751"/>
        <v>NA</v>
      </c>
      <c r="V2309" s="29" t="str">
        <f t="shared" si="752"/>
        <v>NA</v>
      </c>
      <c r="W2309" s="29" t="str">
        <f t="shared" si="753"/>
        <v>NA</v>
      </c>
      <c r="X2309" s="29" t="str">
        <f t="shared" si="754"/>
        <v>NA</v>
      </c>
      <c r="Y2309" s="29" t="str">
        <f t="shared" si="755"/>
        <v>NA</v>
      </c>
      <c r="Z2309" s="29" t="str">
        <f t="shared" si="756"/>
        <v>NA</v>
      </c>
      <c r="AA2309" s="29" t="str">
        <f t="shared" si="757"/>
        <v>NA</v>
      </c>
      <c r="AB2309" s="29" t="str">
        <f t="shared" si="758"/>
        <v>NA</v>
      </c>
      <c r="AC2309" s="29" t="str">
        <f t="shared" si="759"/>
        <v>NA</v>
      </c>
      <c r="AD2309" s="29" t="str">
        <f t="shared" si="760"/>
        <v>NA</v>
      </c>
      <c r="AE2309" s="29" t="str">
        <f t="shared" si="761"/>
        <v>NA</v>
      </c>
      <c r="AF2309" s="29" t="str">
        <f t="shared" si="762"/>
        <v>NA</v>
      </c>
      <c r="AG2309" s="29" t="str">
        <f t="shared" si="763"/>
        <v>NA</v>
      </c>
      <c r="AH2309" s="29" t="str">
        <f t="shared" si="764"/>
        <v>NA</v>
      </c>
    </row>
    <row r="2310" customHeight="1" spans="1:34">
      <c r="A2310" s="12" t="s">
        <v>1043</v>
      </c>
      <c r="F2310" s="24">
        <f t="shared" ref="F2310:F2373" si="766">+D2310+E2310</f>
        <v>0</v>
      </c>
      <c r="G2310" s="24" t="e">
        <f t="shared" si="765"/>
        <v>#DIV/0!</v>
      </c>
      <c r="Q2310" s="29" t="str">
        <f t="shared" si="747"/>
        <v>NA</v>
      </c>
      <c r="R2310" s="29" t="str">
        <f t="shared" si="748"/>
        <v>NA</v>
      </c>
      <c r="S2310" s="29" t="str">
        <f t="shared" si="749"/>
        <v>NA</v>
      </c>
      <c r="T2310" s="29" t="str">
        <f t="shared" si="750"/>
        <v>NA</v>
      </c>
      <c r="U2310" s="29" t="str">
        <f t="shared" si="751"/>
        <v>NA</v>
      </c>
      <c r="V2310" s="29" t="str">
        <f t="shared" si="752"/>
        <v>NA</v>
      </c>
      <c r="W2310" s="29" t="str">
        <f t="shared" si="753"/>
        <v>NA</v>
      </c>
      <c r="X2310" s="29" t="str">
        <f t="shared" si="754"/>
        <v>NA</v>
      </c>
      <c r="Y2310" s="29" t="str">
        <f t="shared" si="755"/>
        <v>NA</v>
      </c>
      <c r="Z2310" s="29" t="str">
        <f t="shared" si="756"/>
        <v>NA</v>
      </c>
      <c r="AA2310" s="29" t="str">
        <f t="shared" si="757"/>
        <v>NA</v>
      </c>
      <c r="AB2310" s="29" t="str">
        <f t="shared" si="758"/>
        <v>NA</v>
      </c>
      <c r="AC2310" s="29" t="str">
        <f t="shared" si="759"/>
        <v>NA</v>
      </c>
      <c r="AD2310" s="29" t="str">
        <f t="shared" si="760"/>
        <v>NA</v>
      </c>
      <c r="AE2310" s="29" t="str">
        <f t="shared" si="761"/>
        <v>NA</v>
      </c>
      <c r="AF2310" s="29" t="str">
        <f t="shared" si="762"/>
        <v>NA</v>
      </c>
      <c r="AG2310" s="29" t="str">
        <f t="shared" si="763"/>
        <v>NA</v>
      </c>
      <c r="AH2310" s="29" t="str">
        <f t="shared" si="764"/>
        <v>NA</v>
      </c>
    </row>
    <row r="2311" customHeight="1" spans="1:34">
      <c r="A2311" s="12" t="s">
        <v>1043</v>
      </c>
      <c r="F2311" s="24">
        <f t="shared" si="766"/>
        <v>0</v>
      </c>
      <c r="G2311" s="24" t="e">
        <f t="shared" si="765"/>
        <v>#DIV/0!</v>
      </c>
      <c r="Q2311" s="29" t="str">
        <f t="shared" si="747"/>
        <v>NA</v>
      </c>
      <c r="R2311" s="29" t="str">
        <f t="shared" si="748"/>
        <v>NA</v>
      </c>
      <c r="S2311" s="29" t="str">
        <f t="shared" si="749"/>
        <v>NA</v>
      </c>
      <c r="T2311" s="29" t="str">
        <f t="shared" si="750"/>
        <v>NA</v>
      </c>
      <c r="U2311" s="29" t="str">
        <f t="shared" si="751"/>
        <v>NA</v>
      </c>
      <c r="V2311" s="29" t="str">
        <f t="shared" si="752"/>
        <v>NA</v>
      </c>
      <c r="W2311" s="29" t="str">
        <f t="shared" si="753"/>
        <v>NA</v>
      </c>
      <c r="X2311" s="29" t="str">
        <f t="shared" si="754"/>
        <v>NA</v>
      </c>
      <c r="Y2311" s="29" t="str">
        <f t="shared" si="755"/>
        <v>NA</v>
      </c>
      <c r="Z2311" s="29" t="str">
        <f t="shared" si="756"/>
        <v>NA</v>
      </c>
      <c r="AA2311" s="29" t="str">
        <f t="shared" si="757"/>
        <v>NA</v>
      </c>
      <c r="AB2311" s="29" t="str">
        <f t="shared" si="758"/>
        <v>NA</v>
      </c>
      <c r="AC2311" s="29" t="str">
        <f t="shared" si="759"/>
        <v>NA</v>
      </c>
      <c r="AD2311" s="29" t="str">
        <f t="shared" si="760"/>
        <v>NA</v>
      </c>
      <c r="AE2311" s="29" t="str">
        <f t="shared" si="761"/>
        <v>NA</v>
      </c>
      <c r="AF2311" s="29" t="str">
        <f t="shared" si="762"/>
        <v>NA</v>
      </c>
      <c r="AG2311" s="29" t="str">
        <f t="shared" si="763"/>
        <v>NA</v>
      </c>
      <c r="AH2311" s="29" t="str">
        <f t="shared" si="764"/>
        <v>NA</v>
      </c>
    </row>
    <row r="2312" customHeight="1" spans="1:34">
      <c r="A2312" s="12" t="s">
        <v>1043</v>
      </c>
      <c r="F2312" s="24">
        <f t="shared" si="766"/>
        <v>0</v>
      </c>
      <c r="G2312" s="24" t="e">
        <f t="shared" si="765"/>
        <v>#DIV/0!</v>
      </c>
      <c r="Q2312" s="29" t="str">
        <f t="shared" si="747"/>
        <v>NA</v>
      </c>
      <c r="R2312" s="29" t="str">
        <f t="shared" si="748"/>
        <v>NA</v>
      </c>
      <c r="S2312" s="29" t="str">
        <f t="shared" si="749"/>
        <v>NA</v>
      </c>
      <c r="T2312" s="29" t="str">
        <f t="shared" si="750"/>
        <v>NA</v>
      </c>
      <c r="U2312" s="29" t="str">
        <f t="shared" si="751"/>
        <v>NA</v>
      </c>
      <c r="V2312" s="29" t="str">
        <f t="shared" si="752"/>
        <v>NA</v>
      </c>
      <c r="W2312" s="29" t="str">
        <f t="shared" si="753"/>
        <v>NA</v>
      </c>
      <c r="X2312" s="29" t="str">
        <f t="shared" si="754"/>
        <v>NA</v>
      </c>
      <c r="Y2312" s="29" t="str">
        <f t="shared" si="755"/>
        <v>NA</v>
      </c>
      <c r="Z2312" s="29" t="str">
        <f t="shared" si="756"/>
        <v>NA</v>
      </c>
      <c r="AA2312" s="29" t="str">
        <f t="shared" si="757"/>
        <v>NA</v>
      </c>
      <c r="AB2312" s="29" t="str">
        <f t="shared" si="758"/>
        <v>NA</v>
      </c>
      <c r="AC2312" s="29" t="str">
        <f t="shared" si="759"/>
        <v>NA</v>
      </c>
      <c r="AD2312" s="29" t="str">
        <f t="shared" si="760"/>
        <v>NA</v>
      </c>
      <c r="AE2312" s="29" t="str">
        <f t="shared" si="761"/>
        <v>NA</v>
      </c>
      <c r="AF2312" s="29" t="str">
        <f t="shared" si="762"/>
        <v>NA</v>
      </c>
      <c r="AG2312" s="29" t="str">
        <f t="shared" si="763"/>
        <v>NA</v>
      </c>
      <c r="AH2312" s="29" t="str">
        <f t="shared" si="764"/>
        <v>NA</v>
      </c>
    </row>
    <row r="2313" customHeight="1" spans="1:34">
      <c r="A2313" s="12" t="s">
        <v>1043</v>
      </c>
      <c r="F2313" s="24">
        <f t="shared" si="766"/>
        <v>0</v>
      </c>
      <c r="G2313" s="24" t="e">
        <f t="shared" si="765"/>
        <v>#DIV/0!</v>
      </c>
      <c r="Q2313" s="29" t="str">
        <f t="shared" si="747"/>
        <v>NA</v>
      </c>
      <c r="R2313" s="29" t="str">
        <f t="shared" si="748"/>
        <v>NA</v>
      </c>
      <c r="S2313" s="29" t="str">
        <f t="shared" si="749"/>
        <v>NA</v>
      </c>
      <c r="T2313" s="29" t="str">
        <f t="shared" si="750"/>
        <v>NA</v>
      </c>
      <c r="U2313" s="29" t="str">
        <f t="shared" si="751"/>
        <v>NA</v>
      </c>
      <c r="V2313" s="29" t="str">
        <f t="shared" si="752"/>
        <v>NA</v>
      </c>
      <c r="W2313" s="29" t="str">
        <f t="shared" si="753"/>
        <v>NA</v>
      </c>
      <c r="X2313" s="29" t="str">
        <f t="shared" si="754"/>
        <v>NA</v>
      </c>
      <c r="Y2313" s="29" t="str">
        <f t="shared" si="755"/>
        <v>NA</v>
      </c>
      <c r="Z2313" s="29" t="str">
        <f t="shared" si="756"/>
        <v>NA</v>
      </c>
      <c r="AA2313" s="29" t="str">
        <f t="shared" si="757"/>
        <v>NA</v>
      </c>
      <c r="AB2313" s="29" t="str">
        <f t="shared" si="758"/>
        <v>NA</v>
      </c>
      <c r="AC2313" s="29" t="str">
        <f t="shared" si="759"/>
        <v>NA</v>
      </c>
      <c r="AD2313" s="29" t="str">
        <f t="shared" si="760"/>
        <v>NA</v>
      </c>
      <c r="AE2313" s="29" t="str">
        <f t="shared" si="761"/>
        <v>NA</v>
      </c>
      <c r="AF2313" s="29" t="str">
        <f t="shared" si="762"/>
        <v>NA</v>
      </c>
      <c r="AG2313" s="29" t="str">
        <f t="shared" si="763"/>
        <v>NA</v>
      </c>
      <c r="AH2313" s="29" t="str">
        <f t="shared" si="764"/>
        <v>NA</v>
      </c>
    </row>
    <row r="2314" customHeight="1" spans="1:34">
      <c r="A2314" s="12" t="s">
        <v>1043</v>
      </c>
      <c r="F2314" s="24">
        <f t="shared" si="766"/>
        <v>0</v>
      </c>
      <c r="G2314" s="24" t="e">
        <f t="shared" si="765"/>
        <v>#DIV/0!</v>
      </c>
      <c r="Q2314" s="29" t="str">
        <f t="shared" si="747"/>
        <v>NA</v>
      </c>
      <c r="R2314" s="29" t="str">
        <f t="shared" si="748"/>
        <v>NA</v>
      </c>
      <c r="S2314" s="29" t="str">
        <f t="shared" si="749"/>
        <v>NA</v>
      </c>
      <c r="T2314" s="29" t="str">
        <f t="shared" si="750"/>
        <v>NA</v>
      </c>
      <c r="U2314" s="29" t="str">
        <f t="shared" si="751"/>
        <v>NA</v>
      </c>
      <c r="V2314" s="29" t="str">
        <f t="shared" si="752"/>
        <v>NA</v>
      </c>
      <c r="W2314" s="29" t="str">
        <f t="shared" si="753"/>
        <v>NA</v>
      </c>
      <c r="X2314" s="29" t="str">
        <f t="shared" si="754"/>
        <v>NA</v>
      </c>
      <c r="Y2314" s="29" t="str">
        <f t="shared" si="755"/>
        <v>NA</v>
      </c>
      <c r="Z2314" s="29" t="str">
        <f t="shared" si="756"/>
        <v>NA</v>
      </c>
      <c r="AA2314" s="29" t="str">
        <f t="shared" si="757"/>
        <v>NA</v>
      </c>
      <c r="AB2314" s="29" t="str">
        <f t="shared" si="758"/>
        <v>NA</v>
      </c>
      <c r="AC2314" s="29" t="str">
        <f t="shared" si="759"/>
        <v>NA</v>
      </c>
      <c r="AD2314" s="29" t="str">
        <f t="shared" si="760"/>
        <v>NA</v>
      </c>
      <c r="AE2314" s="29" t="str">
        <f t="shared" si="761"/>
        <v>NA</v>
      </c>
      <c r="AF2314" s="29" t="str">
        <f t="shared" si="762"/>
        <v>NA</v>
      </c>
      <c r="AG2314" s="29" t="str">
        <f t="shared" si="763"/>
        <v>NA</v>
      </c>
      <c r="AH2314" s="29" t="str">
        <f t="shared" si="764"/>
        <v>NA</v>
      </c>
    </row>
    <row r="2315" customHeight="1" spans="1:34">
      <c r="A2315" s="12" t="s">
        <v>1043</v>
      </c>
      <c r="F2315" s="24">
        <f t="shared" si="766"/>
        <v>0</v>
      </c>
      <c r="G2315" s="24" t="e">
        <f t="shared" si="765"/>
        <v>#DIV/0!</v>
      </c>
      <c r="Q2315" s="29" t="str">
        <f t="shared" si="747"/>
        <v>NA</v>
      </c>
      <c r="R2315" s="29" t="str">
        <f t="shared" si="748"/>
        <v>NA</v>
      </c>
      <c r="S2315" s="29" t="str">
        <f t="shared" si="749"/>
        <v>NA</v>
      </c>
      <c r="T2315" s="29" t="str">
        <f t="shared" si="750"/>
        <v>NA</v>
      </c>
      <c r="U2315" s="29" t="str">
        <f t="shared" si="751"/>
        <v>NA</v>
      </c>
      <c r="V2315" s="29" t="str">
        <f t="shared" si="752"/>
        <v>NA</v>
      </c>
      <c r="W2315" s="29" t="str">
        <f t="shared" si="753"/>
        <v>NA</v>
      </c>
      <c r="X2315" s="29" t="str">
        <f t="shared" si="754"/>
        <v>NA</v>
      </c>
      <c r="Y2315" s="29" t="str">
        <f t="shared" si="755"/>
        <v>NA</v>
      </c>
      <c r="Z2315" s="29" t="str">
        <f t="shared" si="756"/>
        <v>NA</v>
      </c>
      <c r="AA2315" s="29" t="str">
        <f t="shared" si="757"/>
        <v>NA</v>
      </c>
      <c r="AB2315" s="29" t="str">
        <f t="shared" si="758"/>
        <v>NA</v>
      </c>
      <c r="AC2315" s="29" t="str">
        <f t="shared" si="759"/>
        <v>NA</v>
      </c>
      <c r="AD2315" s="29" t="str">
        <f t="shared" si="760"/>
        <v>NA</v>
      </c>
      <c r="AE2315" s="29" t="str">
        <f t="shared" si="761"/>
        <v>NA</v>
      </c>
      <c r="AF2315" s="29" t="str">
        <f t="shared" si="762"/>
        <v>NA</v>
      </c>
      <c r="AG2315" s="29" t="str">
        <f t="shared" si="763"/>
        <v>NA</v>
      </c>
      <c r="AH2315" s="29" t="str">
        <f t="shared" si="764"/>
        <v>NA</v>
      </c>
    </row>
    <row r="2316" customHeight="1" spans="1:34">
      <c r="A2316" s="12" t="s">
        <v>1043</v>
      </c>
      <c r="F2316" s="24">
        <f t="shared" si="766"/>
        <v>0</v>
      </c>
      <c r="G2316" s="24" t="e">
        <f t="shared" si="765"/>
        <v>#DIV/0!</v>
      </c>
      <c r="Q2316" s="29" t="str">
        <f t="shared" si="747"/>
        <v>NA</v>
      </c>
      <c r="R2316" s="29" t="str">
        <f t="shared" si="748"/>
        <v>NA</v>
      </c>
      <c r="S2316" s="29" t="str">
        <f t="shared" si="749"/>
        <v>NA</v>
      </c>
      <c r="T2316" s="29" t="str">
        <f t="shared" si="750"/>
        <v>NA</v>
      </c>
      <c r="U2316" s="29" t="str">
        <f t="shared" si="751"/>
        <v>NA</v>
      </c>
      <c r="V2316" s="29" t="str">
        <f t="shared" si="752"/>
        <v>NA</v>
      </c>
      <c r="W2316" s="29" t="str">
        <f t="shared" si="753"/>
        <v>NA</v>
      </c>
      <c r="X2316" s="29" t="str">
        <f t="shared" si="754"/>
        <v>NA</v>
      </c>
      <c r="Y2316" s="29" t="str">
        <f t="shared" si="755"/>
        <v>NA</v>
      </c>
      <c r="Z2316" s="29" t="str">
        <f t="shared" si="756"/>
        <v>NA</v>
      </c>
      <c r="AA2316" s="29" t="str">
        <f t="shared" si="757"/>
        <v>NA</v>
      </c>
      <c r="AB2316" s="29" t="str">
        <f t="shared" si="758"/>
        <v>NA</v>
      </c>
      <c r="AC2316" s="29" t="str">
        <f t="shared" si="759"/>
        <v>NA</v>
      </c>
      <c r="AD2316" s="29" t="str">
        <f t="shared" si="760"/>
        <v>NA</v>
      </c>
      <c r="AE2316" s="29" t="str">
        <f t="shared" si="761"/>
        <v>NA</v>
      </c>
      <c r="AF2316" s="29" t="str">
        <f t="shared" si="762"/>
        <v>NA</v>
      </c>
      <c r="AG2316" s="29" t="str">
        <f t="shared" si="763"/>
        <v>NA</v>
      </c>
      <c r="AH2316" s="29" t="str">
        <f t="shared" si="764"/>
        <v>NA</v>
      </c>
    </row>
    <row r="2317" customHeight="1" spans="1:34">
      <c r="A2317" s="12" t="s">
        <v>1043</v>
      </c>
      <c r="F2317" s="24">
        <f t="shared" si="766"/>
        <v>0</v>
      </c>
      <c r="G2317" s="24" t="e">
        <f t="shared" si="765"/>
        <v>#DIV/0!</v>
      </c>
      <c r="Q2317" s="29" t="str">
        <f t="shared" si="747"/>
        <v>NA</v>
      </c>
      <c r="R2317" s="29" t="str">
        <f t="shared" si="748"/>
        <v>NA</v>
      </c>
      <c r="S2317" s="29" t="str">
        <f t="shared" si="749"/>
        <v>NA</v>
      </c>
      <c r="T2317" s="29" t="str">
        <f t="shared" si="750"/>
        <v>NA</v>
      </c>
      <c r="U2317" s="29" t="str">
        <f t="shared" si="751"/>
        <v>NA</v>
      </c>
      <c r="V2317" s="29" t="str">
        <f t="shared" si="752"/>
        <v>NA</v>
      </c>
      <c r="W2317" s="29" t="str">
        <f t="shared" si="753"/>
        <v>NA</v>
      </c>
      <c r="X2317" s="29" t="str">
        <f t="shared" si="754"/>
        <v>NA</v>
      </c>
      <c r="Y2317" s="29" t="str">
        <f t="shared" si="755"/>
        <v>NA</v>
      </c>
      <c r="Z2317" s="29" t="str">
        <f t="shared" si="756"/>
        <v>NA</v>
      </c>
      <c r="AA2317" s="29" t="str">
        <f t="shared" si="757"/>
        <v>NA</v>
      </c>
      <c r="AB2317" s="29" t="str">
        <f t="shared" si="758"/>
        <v>NA</v>
      </c>
      <c r="AC2317" s="29" t="str">
        <f t="shared" si="759"/>
        <v>NA</v>
      </c>
      <c r="AD2317" s="29" t="str">
        <f t="shared" si="760"/>
        <v>NA</v>
      </c>
      <c r="AE2317" s="29" t="str">
        <f t="shared" si="761"/>
        <v>NA</v>
      </c>
      <c r="AF2317" s="29" t="str">
        <f t="shared" si="762"/>
        <v>NA</v>
      </c>
      <c r="AG2317" s="29" t="str">
        <f t="shared" si="763"/>
        <v>NA</v>
      </c>
      <c r="AH2317" s="29" t="str">
        <f t="shared" si="764"/>
        <v>NA</v>
      </c>
    </row>
    <row r="2318" customHeight="1" spans="1:34">
      <c r="A2318" s="12" t="s">
        <v>1043</v>
      </c>
      <c r="F2318" s="24">
        <f t="shared" si="766"/>
        <v>0</v>
      </c>
      <c r="G2318" s="24" t="e">
        <f t="shared" si="765"/>
        <v>#DIV/0!</v>
      </c>
      <c r="Q2318" s="29" t="str">
        <f t="shared" si="747"/>
        <v>NA</v>
      </c>
      <c r="R2318" s="29" t="str">
        <f t="shared" si="748"/>
        <v>NA</v>
      </c>
      <c r="S2318" s="29" t="str">
        <f t="shared" si="749"/>
        <v>NA</v>
      </c>
      <c r="T2318" s="29" t="str">
        <f t="shared" si="750"/>
        <v>NA</v>
      </c>
      <c r="U2318" s="29" t="str">
        <f t="shared" si="751"/>
        <v>NA</v>
      </c>
      <c r="V2318" s="29" t="str">
        <f t="shared" si="752"/>
        <v>NA</v>
      </c>
      <c r="W2318" s="29" t="str">
        <f t="shared" si="753"/>
        <v>NA</v>
      </c>
      <c r="X2318" s="29" t="str">
        <f t="shared" si="754"/>
        <v>NA</v>
      </c>
      <c r="Y2318" s="29" t="str">
        <f t="shared" si="755"/>
        <v>NA</v>
      </c>
      <c r="Z2318" s="29" t="str">
        <f t="shared" si="756"/>
        <v>NA</v>
      </c>
      <c r="AA2318" s="29" t="str">
        <f t="shared" si="757"/>
        <v>NA</v>
      </c>
      <c r="AB2318" s="29" t="str">
        <f t="shared" si="758"/>
        <v>NA</v>
      </c>
      <c r="AC2318" s="29" t="str">
        <f t="shared" si="759"/>
        <v>NA</v>
      </c>
      <c r="AD2318" s="29" t="str">
        <f t="shared" si="760"/>
        <v>NA</v>
      </c>
      <c r="AE2318" s="29" t="str">
        <f t="shared" si="761"/>
        <v>NA</v>
      </c>
      <c r="AF2318" s="29" t="str">
        <f t="shared" si="762"/>
        <v>NA</v>
      </c>
      <c r="AG2318" s="29" t="str">
        <f t="shared" si="763"/>
        <v>NA</v>
      </c>
      <c r="AH2318" s="29" t="str">
        <f t="shared" si="764"/>
        <v>NA</v>
      </c>
    </row>
    <row r="2319" customHeight="1" spans="1:34">
      <c r="A2319" s="12" t="s">
        <v>1043</v>
      </c>
      <c r="F2319" s="24">
        <f t="shared" si="766"/>
        <v>0</v>
      </c>
      <c r="G2319" s="24" t="e">
        <f t="shared" si="765"/>
        <v>#DIV/0!</v>
      </c>
      <c r="Q2319" s="29" t="str">
        <f t="shared" si="747"/>
        <v>NA</v>
      </c>
      <c r="R2319" s="29" t="str">
        <f t="shared" si="748"/>
        <v>NA</v>
      </c>
      <c r="S2319" s="29" t="str">
        <f t="shared" si="749"/>
        <v>NA</v>
      </c>
      <c r="T2319" s="29" t="str">
        <f t="shared" si="750"/>
        <v>NA</v>
      </c>
      <c r="U2319" s="29" t="str">
        <f t="shared" si="751"/>
        <v>NA</v>
      </c>
      <c r="V2319" s="29" t="str">
        <f t="shared" si="752"/>
        <v>NA</v>
      </c>
      <c r="W2319" s="29" t="str">
        <f t="shared" si="753"/>
        <v>NA</v>
      </c>
      <c r="X2319" s="29" t="str">
        <f t="shared" si="754"/>
        <v>NA</v>
      </c>
      <c r="Y2319" s="29" t="str">
        <f t="shared" si="755"/>
        <v>NA</v>
      </c>
      <c r="Z2319" s="29" t="str">
        <f t="shared" si="756"/>
        <v>NA</v>
      </c>
      <c r="AA2319" s="29" t="str">
        <f t="shared" si="757"/>
        <v>NA</v>
      </c>
      <c r="AB2319" s="29" t="str">
        <f t="shared" si="758"/>
        <v>NA</v>
      </c>
      <c r="AC2319" s="29" t="str">
        <f t="shared" si="759"/>
        <v>NA</v>
      </c>
      <c r="AD2319" s="29" t="str">
        <f t="shared" si="760"/>
        <v>NA</v>
      </c>
      <c r="AE2319" s="29" t="str">
        <f t="shared" si="761"/>
        <v>NA</v>
      </c>
      <c r="AF2319" s="29" t="str">
        <f t="shared" si="762"/>
        <v>NA</v>
      </c>
      <c r="AG2319" s="29" t="str">
        <f t="shared" si="763"/>
        <v>NA</v>
      </c>
      <c r="AH2319" s="29" t="str">
        <f t="shared" si="764"/>
        <v>NA</v>
      </c>
    </row>
    <row r="2320" customHeight="1" spans="1:34">
      <c r="A2320" s="12" t="s">
        <v>1043</v>
      </c>
      <c r="F2320" s="24">
        <f t="shared" si="766"/>
        <v>0</v>
      </c>
      <c r="G2320" s="24" t="e">
        <f t="shared" si="765"/>
        <v>#DIV/0!</v>
      </c>
      <c r="Q2320" s="29" t="str">
        <f t="shared" ref="Q2320:Q2383" si="767">IFERROR($B2320*$E2320/H2320,"NA")</f>
        <v>NA</v>
      </c>
      <c r="R2320" s="29" t="str">
        <f t="shared" ref="R2320:R2383" si="768">IFERROR($B2320*$E2320/I2320,"NA")</f>
        <v>NA</v>
      </c>
      <c r="S2320" s="29" t="str">
        <f t="shared" ref="S2320:S2383" si="769">IFERROR($B2320*$E2320/J2320,"NA")</f>
        <v>NA</v>
      </c>
      <c r="T2320" s="29" t="str">
        <f t="shared" ref="T2320:T2383" si="770">IFERROR($B2320*$E2320/K2320,"NA")</f>
        <v>NA</v>
      </c>
      <c r="U2320" s="29" t="str">
        <f t="shared" ref="U2320:U2383" si="771">IFERROR($B2320*$E2320/L2320,"NA")</f>
        <v>NA</v>
      </c>
      <c r="V2320" s="29" t="str">
        <f t="shared" ref="V2320:V2383" si="772">IFERROR($B2320*$E2320/M2320,"NA")</f>
        <v>NA</v>
      </c>
      <c r="W2320" s="29" t="str">
        <f t="shared" ref="W2320:W2383" si="773">IFERROR($B2320*$E2320/N2320,"NA")</f>
        <v>NA</v>
      </c>
      <c r="X2320" s="29" t="str">
        <f t="shared" ref="X2320:X2383" si="774">IFERROR($B2320*$E2320/O2320,"NA")</f>
        <v>NA</v>
      </c>
      <c r="Y2320" s="29" t="str">
        <f t="shared" ref="Y2320:Y2383" si="775">IFERROR($B2320*$E2320/P2320,"NA")</f>
        <v>NA</v>
      </c>
      <c r="Z2320" s="29" t="str">
        <f t="shared" ref="Z2320:Z2383" si="776">IFERROR((($G2320*Z$2/1000)+Q2320)/1,"NA")</f>
        <v>NA</v>
      </c>
      <c r="AA2320" s="29" t="str">
        <f t="shared" ref="AA2320:AA2383" si="777">IFERROR((($G2320*AA$2/1000)+R2320)/1,"NA")</f>
        <v>NA</v>
      </c>
      <c r="AB2320" s="29" t="str">
        <f t="shared" ref="AB2320:AB2383" si="778">IFERROR((($G2320*AB$2/1000)+S2320)/1,"NA")</f>
        <v>NA</v>
      </c>
      <c r="AC2320" s="29" t="str">
        <f t="shared" ref="AC2320:AC2383" si="779">IFERROR((($G2320*AC$2/1000)+T2320)/1,"NA")</f>
        <v>NA</v>
      </c>
      <c r="AD2320" s="29" t="str">
        <f t="shared" ref="AD2320:AD2383" si="780">IFERROR((($G2320*AD$2/1000)+U2320)/1,"NA")</f>
        <v>NA</v>
      </c>
      <c r="AE2320" s="29" t="str">
        <f t="shared" ref="AE2320:AE2383" si="781">IFERROR((($G2320*AE$2/1000)+V2320)/1,"NA")</f>
        <v>NA</v>
      </c>
      <c r="AF2320" s="29" t="str">
        <f t="shared" ref="AF2320:AF2383" si="782">IFERROR((($G2320*AF$2/1000)+W2320)/1,"NA")</f>
        <v>NA</v>
      </c>
      <c r="AG2320" s="29" t="str">
        <f t="shared" ref="AG2320:AG2383" si="783">IFERROR((($G2320*AG$2/1000)+X2320)/1,"NA")</f>
        <v>NA</v>
      </c>
      <c r="AH2320" s="29" t="str">
        <f t="shared" ref="AH2320:AH2383" si="784">IFERROR((($G2320*AH$2/1000)+Y2320)/1,"NA")</f>
        <v>NA</v>
      </c>
    </row>
    <row r="2321" customHeight="1" spans="1:34">
      <c r="A2321" s="12" t="s">
        <v>1043</v>
      </c>
      <c r="F2321" s="24">
        <f t="shared" si="766"/>
        <v>0</v>
      </c>
      <c r="G2321" s="24" t="e">
        <f t="shared" si="765"/>
        <v>#DIV/0!</v>
      </c>
      <c r="Q2321" s="29" t="str">
        <f t="shared" si="767"/>
        <v>NA</v>
      </c>
      <c r="R2321" s="29" t="str">
        <f t="shared" si="768"/>
        <v>NA</v>
      </c>
      <c r="S2321" s="29" t="str">
        <f t="shared" si="769"/>
        <v>NA</v>
      </c>
      <c r="T2321" s="29" t="str">
        <f t="shared" si="770"/>
        <v>NA</v>
      </c>
      <c r="U2321" s="29" t="str">
        <f t="shared" si="771"/>
        <v>NA</v>
      </c>
      <c r="V2321" s="29" t="str">
        <f t="shared" si="772"/>
        <v>NA</v>
      </c>
      <c r="W2321" s="29" t="str">
        <f t="shared" si="773"/>
        <v>NA</v>
      </c>
      <c r="X2321" s="29" t="str">
        <f t="shared" si="774"/>
        <v>NA</v>
      </c>
      <c r="Y2321" s="29" t="str">
        <f t="shared" si="775"/>
        <v>NA</v>
      </c>
      <c r="Z2321" s="29" t="str">
        <f t="shared" si="776"/>
        <v>NA</v>
      </c>
      <c r="AA2321" s="29" t="str">
        <f t="shared" si="777"/>
        <v>NA</v>
      </c>
      <c r="AB2321" s="29" t="str">
        <f t="shared" si="778"/>
        <v>NA</v>
      </c>
      <c r="AC2321" s="29" t="str">
        <f t="shared" si="779"/>
        <v>NA</v>
      </c>
      <c r="AD2321" s="29" t="str">
        <f t="shared" si="780"/>
        <v>NA</v>
      </c>
      <c r="AE2321" s="29" t="str">
        <f t="shared" si="781"/>
        <v>NA</v>
      </c>
      <c r="AF2321" s="29" t="str">
        <f t="shared" si="782"/>
        <v>NA</v>
      </c>
      <c r="AG2321" s="29" t="str">
        <f t="shared" si="783"/>
        <v>NA</v>
      </c>
      <c r="AH2321" s="29" t="str">
        <f t="shared" si="784"/>
        <v>NA</v>
      </c>
    </row>
    <row r="2322" customHeight="1" spans="1:34">
      <c r="A2322" s="12" t="s">
        <v>1043</v>
      </c>
      <c r="F2322" s="24">
        <f t="shared" si="766"/>
        <v>0</v>
      </c>
      <c r="G2322" s="24" t="e">
        <f t="shared" si="765"/>
        <v>#DIV/0!</v>
      </c>
      <c r="Q2322" s="29" t="str">
        <f t="shared" si="767"/>
        <v>NA</v>
      </c>
      <c r="R2322" s="29" t="str">
        <f t="shared" si="768"/>
        <v>NA</v>
      </c>
      <c r="S2322" s="29" t="str">
        <f t="shared" si="769"/>
        <v>NA</v>
      </c>
      <c r="T2322" s="29" t="str">
        <f t="shared" si="770"/>
        <v>NA</v>
      </c>
      <c r="U2322" s="29" t="str">
        <f t="shared" si="771"/>
        <v>NA</v>
      </c>
      <c r="V2322" s="29" t="str">
        <f t="shared" si="772"/>
        <v>NA</v>
      </c>
      <c r="W2322" s="29" t="str">
        <f t="shared" si="773"/>
        <v>NA</v>
      </c>
      <c r="X2322" s="29" t="str">
        <f t="shared" si="774"/>
        <v>NA</v>
      </c>
      <c r="Y2322" s="29" t="str">
        <f t="shared" si="775"/>
        <v>NA</v>
      </c>
      <c r="Z2322" s="29" t="str">
        <f t="shared" si="776"/>
        <v>NA</v>
      </c>
      <c r="AA2322" s="29" t="str">
        <f t="shared" si="777"/>
        <v>NA</v>
      </c>
      <c r="AB2322" s="29" t="str">
        <f t="shared" si="778"/>
        <v>NA</v>
      </c>
      <c r="AC2322" s="29" t="str">
        <f t="shared" si="779"/>
        <v>NA</v>
      </c>
      <c r="AD2322" s="29" t="str">
        <f t="shared" si="780"/>
        <v>NA</v>
      </c>
      <c r="AE2322" s="29" t="str">
        <f t="shared" si="781"/>
        <v>NA</v>
      </c>
      <c r="AF2322" s="29" t="str">
        <f t="shared" si="782"/>
        <v>NA</v>
      </c>
      <c r="AG2322" s="29" t="str">
        <f t="shared" si="783"/>
        <v>NA</v>
      </c>
      <c r="AH2322" s="29" t="str">
        <f t="shared" si="784"/>
        <v>NA</v>
      </c>
    </row>
    <row r="2323" customHeight="1" spans="1:34">
      <c r="A2323" s="12" t="s">
        <v>1043</v>
      </c>
      <c r="F2323" s="24">
        <f t="shared" si="766"/>
        <v>0</v>
      </c>
      <c r="G2323" s="24" t="e">
        <f t="shared" si="765"/>
        <v>#DIV/0!</v>
      </c>
      <c r="Q2323" s="29" t="str">
        <f t="shared" si="767"/>
        <v>NA</v>
      </c>
      <c r="R2323" s="29" t="str">
        <f t="shared" si="768"/>
        <v>NA</v>
      </c>
      <c r="S2323" s="29" t="str">
        <f t="shared" si="769"/>
        <v>NA</v>
      </c>
      <c r="T2323" s="29" t="str">
        <f t="shared" si="770"/>
        <v>NA</v>
      </c>
      <c r="U2323" s="29" t="str">
        <f t="shared" si="771"/>
        <v>NA</v>
      </c>
      <c r="V2323" s="29" t="str">
        <f t="shared" si="772"/>
        <v>NA</v>
      </c>
      <c r="W2323" s="29" t="str">
        <f t="shared" si="773"/>
        <v>NA</v>
      </c>
      <c r="X2323" s="29" t="str">
        <f t="shared" si="774"/>
        <v>NA</v>
      </c>
      <c r="Y2323" s="29" t="str">
        <f t="shared" si="775"/>
        <v>NA</v>
      </c>
      <c r="Z2323" s="29" t="str">
        <f t="shared" si="776"/>
        <v>NA</v>
      </c>
      <c r="AA2323" s="29" t="str">
        <f t="shared" si="777"/>
        <v>NA</v>
      </c>
      <c r="AB2323" s="29" t="str">
        <f t="shared" si="778"/>
        <v>NA</v>
      </c>
      <c r="AC2323" s="29" t="str">
        <f t="shared" si="779"/>
        <v>NA</v>
      </c>
      <c r="AD2323" s="29" t="str">
        <f t="shared" si="780"/>
        <v>NA</v>
      </c>
      <c r="AE2323" s="29" t="str">
        <f t="shared" si="781"/>
        <v>NA</v>
      </c>
      <c r="AF2323" s="29" t="str">
        <f t="shared" si="782"/>
        <v>NA</v>
      </c>
      <c r="AG2323" s="29" t="str">
        <f t="shared" si="783"/>
        <v>NA</v>
      </c>
      <c r="AH2323" s="29" t="str">
        <f t="shared" si="784"/>
        <v>NA</v>
      </c>
    </row>
    <row r="2324" customHeight="1" spans="1:34">
      <c r="A2324" s="12" t="s">
        <v>1043</v>
      </c>
      <c r="F2324" s="24">
        <f t="shared" si="766"/>
        <v>0</v>
      </c>
      <c r="G2324" s="24" t="e">
        <f t="shared" si="765"/>
        <v>#DIV/0!</v>
      </c>
      <c r="Q2324" s="29" t="str">
        <f t="shared" si="767"/>
        <v>NA</v>
      </c>
      <c r="R2324" s="29" t="str">
        <f t="shared" si="768"/>
        <v>NA</v>
      </c>
      <c r="S2324" s="29" t="str">
        <f t="shared" si="769"/>
        <v>NA</v>
      </c>
      <c r="T2324" s="29" t="str">
        <f t="shared" si="770"/>
        <v>NA</v>
      </c>
      <c r="U2324" s="29" t="str">
        <f t="shared" si="771"/>
        <v>NA</v>
      </c>
      <c r="V2324" s="29" t="str">
        <f t="shared" si="772"/>
        <v>NA</v>
      </c>
      <c r="W2324" s="29" t="str">
        <f t="shared" si="773"/>
        <v>NA</v>
      </c>
      <c r="X2324" s="29" t="str">
        <f t="shared" si="774"/>
        <v>NA</v>
      </c>
      <c r="Y2324" s="29" t="str">
        <f t="shared" si="775"/>
        <v>NA</v>
      </c>
      <c r="Z2324" s="29" t="str">
        <f t="shared" si="776"/>
        <v>NA</v>
      </c>
      <c r="AA2324" s="29" t="str">
        <f t="shared" si="777"/>
        <v>NA</v>
      </c>
      <c r="AB2324" s="29" t="str">
        <f t="shared" si="778"/>
        <v>NA</v>
      </c>
      <c r="AC2324" s="29" t="str">
        <f t="shared" si="779"/>
        <v>NA</v>
      </c>
      <c r="AD2324" s="29" t="str">
        <f t="shared" si="780"/>
        <v>NA</v>
      </c>
      <c r="AE2324" s="29" t="str">
        <f t="shared" si="781"/>
        <v>NA</v>
      </c>
      <c r="AF2324" s="29" t="str">
        <f t="shared" si="782"/>
        <v>NA</v>
      </c>
      <c r="AG2324" s="29" t="str">
        <f t="shared" si="783"/>
        <v>NA</v>
      </c>
      <c r="AH2324" s="29" t="str">
        <f t="shared" si="784"/>
        <v>NA</v>
      </c>
    </row>
    <row r="2325" customHeight="1" spans="1:34">
      <c r="A2325" s="12" t="s">
        <v>1043</v>
      </c>
      <c r="F2325" s="24">
        <f t="shared" si="766"/>
        <v>0</v>
      </c>
      <c r="G2325" s="24" t="e">
        <f t="shared" si="765"/>
        <v>#DIV/0!</v>
      </c>
      <c r="Q2325" s="29" t="str">
        <f t="shared" si="767"/>
        <v>NA</v>
      </c>
      <c r="R2325" s="29" t="str">
        <f t="shared" si="768"/>
        <v>NA</v>
      </c>
      <c r="S2325" s="29" t="str">
        <f t="shared" si="769"/>
        <v>NA</v>
      </c>
      <c r="T2325" s="29" t="str">
        <f t="shared" si="770"/>
        <v>NA</v>
      </c>
      <c r="U2325" s="29" t="str">
        <f t="shared" si="771"/>
        <v>NA</v>
      </c>
      <c r="V2325" s="29" t="str">
        <f t="shared" si="772"/>
        <v>NA</v>
      </c>
      <c r="W2325" s="29" t="str">
        <f t="shared" si="773"/>
        <v>NA</v>
      </c>
      <c r="X2325" s="29" t="str">
        <f t="shared" si="774"/>
        <v>NA</v>
      </c>
      <c r="Y2325" s="29" t="str">
        <f t="shared" si="775"/>
        <v>NA</v>
      </c>
      <c r="Z2325" s="29" t="str">
        <f t="shared" si="776"/>
        <v>NA</v>
      </c>
      <c r="AA2325" s="29" t="str">
        <f t="shared" si="777"/>
        <v>NA</v>
      </c>
      <c r="AB2325" s="29" t="str">
        <f t="shared" si="778"/>
        <v>NA</v>
      </c>
      <c r="AC2325" s="29" t="str">
        <f t="shared" si="779"/>
        <v>NA</v>
      </c>
      <c r="AD2325" s="29" t="str">
        <f t="shared" si="780"/>
        <v>NA</v>
      </c>
      <c r="AE2325" s="29" t="str">
        <f t="shared" si="781"/>
        <v>NA</v>
      </c>
      <c r="AF2325" s="29" t="str">
        <f t="shared" si="782"/>
        <v>NA</v>
      </c>
      <c r="AG2325" s="29" t="str">
        <f t="shared" si="783"/>
        <v>NA</v>
      </c>
      <c r="AH2325" s="29" t="str">
        <f t="shared" si="784"/>
        <v>NA</v>
      </c>
    </row>
    <row r="2326" customHeight="1" spans="1:34">
      <c r="A2326" s="12" t="s">
        <v>1043</v>
      </c>
      <c r="F2326" s="24">
        <f t="shared" si="766"/>
        <v>0</v>
      </c>
      <c r="G2326" s="24" t="e">
        <f t="shared" si="765"/>
        <v>#DIV/0!</v>
      </c>
      <c r="Q2326" s="29" t="str">
        <f t="shared" si="767"/>
        <v>NA</v>
      </c>
      <c r="R2326" s="29" t="str">
        <f t="shared" si="768"/>
        <v>NA</v>
      </c>
      <c r="S2326" s="29" t="str">
        <f t="shared" si="769"/>
        <v>NA</v>
      </c>
      <c r="T2326" s="29" t="str">
        <f t="shared" si="770"/>
        <v>NA</v>
      </c>
      <c r="U2326" s="29" t="str">
        <f t="shared" si="771"/>
        <v>NA</v>
      </c>
      <c r="V2326" s="29" t="str">
        <f t="shared" si="772"/>
        <v>NA</v>
      </c>
      <c r="W2326" s="29" t="str">
        <f t="shared" si="773"/>
        <v>NA</v>
      </c>
      <c r="X2326" s="29" t="str">
        <f t="shared" si="774"/>
        <v>NA</v>
      </c>
      <c r="Y2326" s="29" t="str">
        <f t="shared" si="775"/>
        <v>NA</v>
      </c>
      <c r="Z2326" s="29" t="str">
        <f t="shared" si="776"/>
        <v>NA</v>
      </c>
      <c r="AA2326" s="29" t="str">
        <f t="shared" si="777"/>
        <v>NA</v>
      </c>
      <c r="AB2326" s="29" t="str">
        <f t="shared" si="778"/>
        <v>NA</v>
      </c>
      <c r="AC2326" s="29" t="str">
        <f t="shared" si="779"/>
        <v>NA</v>
      </c>
      <c r="AD2326" s="29" t="str">
        <f t="shared" si="780"/>
        <v>NA</v>
      </c>
      <c r="AE2326" s="29" t="str">
        <f t="shared" si="781"/>
        <v>NA</v>
      </c>
      <c r="AF2326" s="29" t="str">
        <f t="shared" si="782"/>
        <v>NA</v>
      </c>
      <c r="AG2326" s="29" t="str">
        <f t="shared" si="783"/>
        <v>NA</v>
      </c>
      <c r="AH2326" s="29" t="str">
        <f t="shared" si="784"/>
        <v>NA</v>
      </c>
    </row>
    <row r="2327" customHeight="1" spans="1:34">
      <c r="A2327" s="12" t="s">
        <v>1043</v>
      </c>
      <c r="F2327" s="24">
        <f t="shared" si="766"/>
        <v>0</v>
      </c>
      <c r="G2327" s="24" t="e">
        <f t="shared" si="765"/>
        <v>#DIV/0!</v>
      </c>
      <c r="Q2327" s="29" t="str">
        <f t="shared" si="767"/>
        <v>NA</v>
      </c>
      <c r="R2327" s="29" t="str">
        <f t="shared" si="768"/>
        <v>NA</v>
      </c>
      <c r="S2327" s="29" t="str">
        <f t="shared" si="769"/>
        <v>NA</v>
      </c>
      <c r="T2327" s="29" t="str">
        <f t="shared" si="770"/>
        <v>NA</v>
      </c>
      <c r="U2327" s="29" t="str">
        <f t="shared" si="771"/>
        <v>NA</v>
      </c>
      <c r="V2327" s="29" t="str">
        <f t="shared" si="772"/>
        <v>NA</v>
      </c>
      <c r="W2327" s="29" t="str">
        <f t="shared" si="773"/>
        <v>NA</v>
      </c>
      <c r="X2327" s="29" t="str">
        <f t="shared" si="774"/>
        <v>NA</v>
      </c>
      <c r="Y2327" s="29" t="str">
        <f t="shared" si="775"/>
        <v>NA</v>
      </c>
      <c r="Z2327" s="29" t="str">
        <f t="shared" si="776"/>
        <v>NA</v>
      </c>
      <c r="AA2327" s="29" t="str">
        <f t="shared" si="777"/>
        <v>NA</v>
      </c>
      <c r="AB2327" s="29" t="str">
        <f t="shared" si="778"/>
        <v>NA</v>
      </c>
      <c r="AC2327" s="29" t="str">
        <f t="shared" si="779"/>
        <v>NA</v>
      </c>
      <c r="AD2327" s="29" t="str">
        <f t="shared" si="780"/>
        <v>NA</v>
      </c>
      <c r="AE2327" s="29" t="str">
        <f t="shared" si="781"/>
        <v>NA</v>
      </c>
      <c r="AF2327" s="29" t="str">
        <f t="shared" si="782"/>
        <v>NA</v>
      </c>
      <c r="AG2327" s="29" t="str">
        <f t="shared" si="783"/>
        <v>NA</v>
      </c>
      <c r="AH2327" s="29" t="str">
        <f t="shared" si="784"/>
        <v>NA</v>
      </c>
    </row>
    <row r="2328" customHeight="1" spans="1:34">
      <c r="A2328" s="12" t="s">
        <v>1043</v>
      </c>
      <c r="F2328" s="24">
        <f t="shared" si="766"/>
        <v>0</v>
      </c>
      <c r="G2328" s="24" t="e">
        <f t="shared" si="765"/>
        <v>#DIV/0!</v>
      </c>
      <c r="Q2328" s="29" t="str">
        <f t="shared" si="767"/>
        <v>NA</v>
      </c>
      <c r="R2328" s="29" t="str">
        <f t="shared" si="768"/>
        <v>NA</v>
      </c>
      <c r="S2328" s="29" t="str">
        <f t="shared" si="769"/>
        <v>NA</v>
      </c>
      <c r="T2328" s="29" t="str">
        <f t="shared" si="770"/>
        <v>NA</v>
      </c>
      <c r="U2328" s="29" t="str">
        <f t="shared" si="771"/>
        <v>NA</v>
      </c>
      <c r="V2328" s="29" t="str">
        <f t="shared" si="772"/>
        <v>NA</v>
      </c>
      <c r="W2328" s="29" t="str">
        <f t="shared" si="773"/>
        <v>NA</v>
      </c>
      <c r="X2328" s="29" t="str">
        <f t="shared" si="774"/>
        <v>NA</v>
      </c>
      <c r="Y2328" s="29" t="str">
        <f t="shared" si="775"/>
        <v>NA</v>
      </c>
      <c r="Z2328" s="29" t="str">
        <f t="shared" si="776"/>
        <v>NA</v>
      </c>
      <c r="AA2328" s="29" t="str">
        <f t="shared" si="777"/>
        <v>NA</v>
      </c>
      <c r="AB2328" s="29" t="str">
        <f t="shared" si="778"/>
        <v>NA</v>
      </c>
      <c r="AC2328" s="29" t="str">
        <f t="shared" si="779"/>
        <v>NA</v>
      </c>
      <c r="AD2328" s="29" t="str">
        <f t="shared" si="780"/>
        <v>NA</v>
      </c>
      <c r="AE2328" s="29" t="str">
        <f t="shared" si="781"/>
        <v>NA</v>
      </c>
      <c r="AF2328" s="29" t="str">
        <f t="shared" si="782"/>
        <v>NA</v>
      </c>
      <c r="AG2328" s="29" t="str">
        <f t="shared" si="783"/>
        <v>NA</v>
      </c>
      <c r="AH2328" s="29" t="str">
        <f t="shared" si="784"/>
        <v>NA</v>
      </c>
    </row>
    <row r="2329" customHeight="1" spans="1:34">
      <c r="A2329" s="12" t="s">
        <v>1043</v>
      </c>
      <c r="F2329" s="24">
        <f t="shared" si="766"/>
        <v>0</v>
      </c>
      <c r="G2329" s="24" t="e">
        <f t="shared" si="765"/>
        <v>#DIV/0!</v>
      </c>
      <c r="Q2329" s="29" t="str">
        <f t="shared" si="767"/>
        <v>NA</v>
      </c>
      <c r="R2329" s="29" t="str">
        <f t="shared" si="768"/>
        <v>NA</v>
      </c>
      <c r="S2329" s="29" t="str">
        <f t="shared" si="769"/>
        <v>NA</v>
      </c>
      <c r="T2329" s="29" t="str">
        <f t="shared" si="770"/>
        <v>NA</v>
      </c>
      <c r="U2329" s="29" t="str">
        <f t="shared" si="771"/>
        <v>NA</v>
      </c>
      <c r="V2329" s="29" t="str">
        <f t="shared" si="772"/>
        <v>NA</v>
      </c>
      <c r="W2329" s="29" t="str">
        <f t="shared" si="773"/>
        <v>NA</v>
      </c>
      <c r="X2329" s="29" t="str">
        <f t="shared" si="774"/>
        <v>NA</v>
      </c>
      <c r="Y2329" s="29" t="str">
        <f t="shared" si="775"/>
        <v>NA</v>
      </c>
      <c r="Z2329" s="29" t="str">
        <f t="shared" si="776"/>
        <v>NA</v>
      </c>
      <c r="AA2329" s="29" t="str">
        <f t="shared" si="777"/>
        <v>NA</v>
      </c>
      <c r="AB2329" s="29" t="str">
        <f t="shared" si="778"/>
        <v>NA</v>
      </c>
      <c r="AC2329" s="29" t="str">
        <f t="shared" si="779"/>
        <v>NA</v>
      </c>
      <c r="AD2329" s="29" t="str">
        <f t="shared" si="780"/>
        <v>NA</v>
      </c>
      <c r="AE2329" s="29" t="str">
        <f t="shared" si="781"/>
        <v>NA</v>
      </c>
      <c r="AF2329" s="29" t="str">
        <f t="shared" si="782"/>
        <v>NA</v>
      </c>
      <c r="AG2329" s="29" t="str">
        <f t="shared" si="783"/>
        <v>NA</v>
      </c>
      <c r="AH2329" s="29" t="str">
        <f t="shared" si="784"/>
        <v>NA</v>
      </c>
    </row>
    <row r="2330" customHeight="1" spans="1:34">
      <c r="A2330" s="12" t="s">
        <v>1043</v>
      </c>
      <c r="F2330" s="24">
        <f t="shared" si="766"/>
        <v>0</v>
      </c>
      <c r="G2330" s="24" t="e">
        <f t="shared" si="765"/>
        <v>#DIV/0!</v>
      </c>
      <c r="Q2330" s="29" t="str">
        <f t="shared" si="767"/>
        <v>NA</v>
      </c>
      <c r="R2330" s="29" t="str">
        <f t="shared" si="768"/>
        <v>NA</v>
      </c>
      <c r="S2330" s="29" t="str">
        <f t="shared" si="769"/>
        <v>NA</v>
      </c>
      <c r="T2330" s="29" t="str">
        <f t="shared" si="770"/>
        <v>NA</v>
      </c>
      <c r="U2330" s="29" t="str">
        <f t="shared" si="771"/>
        <v>NA</v>
      </c>
      <c r="V2330" s="29" t="str">
        <f t="shared" si="772"/>
        <v>NA</v>
      </c>
      <c r="W2330" s="29" t="str">
        <f t="shared" si="773"/>
        <v>NA</v>
      </c>
      <c r="X2330" s="29" t="str">
        <f t="shared" si="774"/>
        <v>NA</v>
      </c>
      <c r="Y2330" s="29" t="str">
        <f t="shared" si="775"/>
        <v>NA</v>
      </c>
      <c r="Z2330" s="29" t="str">
        <f t="shared" si="776"/>
        <v>NA</v>
      </c>
      <c r="AA2330" s="29" t="str">
        <f t="shared" si="777"/>
        <v>NA</v>
      </c>
      <c r="AB2330" s="29" t="str">
        <f t="shared" si="778"/>
        <v>NA</v>
      </c>
      <c r="AC2330" s="29" t="str">
        <f t="shared" si="779"/>
        <v>NA</v>
      </c>
      <c r="AD2330" s="29" t="str">
        <f t="shared" si="780"/>
        <v>NA</v>
      </c>
      <c r="AE2330" s="29" t="str">
        <f t="shared" si="781"/>
        <v>NA</v>
      </c>
      <c r="AF2330" s="29" t="str">
        <f t="shared" si="782"/>
        <v>NA</v>
      </c>
      <c r="AG2330" s="29" t="str">
        <f t="shared" si="783"/>
        <v>NA</v>
      </c>
      <c r="AH2330" s="29" t="str">
        <f t="shared" si="784"/>
        <v>NA</v>
      </c>
    </row>
    <row r="2331" customHeight="1" spans="1:34">
      <c r="A2331" s="12" t="s">
        <v>1043</v>
      </c>
      <c r="F2331" s="24">
        <f t="shared" si="766"/>
        <v>0</v>
      </c>
      <c r="G2331" s="24" t="e">
        <f t="shared" si="765"/>
        <v>#DIV/0!</v>
      </c>
      <c r="Q2331" s="29" t="str">
        <f t="shared" si="767"/>
        <v>NA</v>
      </c>
      <c r="R2331" s="29" t="str">
        <f t="shared" si="768"/>
        <v>NA</v>
      </c>
      <c r="S2331" s="29" t="str">
        <f t="shared" si="769"/>
        <v>NA</v>
      </c>
      <c r="T2331" s="29" t="str">
        <f t="shared" si="770"/>
        <v>NA</v>
      </c>
      <c r="U2331" s="29" t="str">
        <f t="shared" si="771"/>
        <v>NA</v>
      </c>
      <c r="V2331" s="29" t="str">
        <f t="shared" si="772"/>
        <v>NA</v>
      </c>
      <c r="W2331" s="29" t="str">
        <f t="shared" si="773"/>
        <v>NA</v>
      </c>
      <c r="X2331" s="29" t="str">
        <f t="shared" si="774"/>
        <v>NA</v>
      </c>
      <c r="Y2331" s="29" t="str">
        <f t="shared" si="775"/>
        <v>NA</v>
      </c>
      <c r="Z2331" s="29" t="str">
        <f t="shared" si="776"/>
        <v>NA</v>
      </c>
      <c r="AA2331" s="29" t="str">
        <f t="shared" si="777"/>
        <v>NA</v>
      </c>
      <c r="AB2331" s="29" t="str">
        <f t="shared" si="778"/>
        <v>NA</v>
      </c>
      <c r="AC2331" s="29" t="str">
        <f t="shared" si="779"/>
        <v>NA</v>
      </c>
      <c r="AD2331" s="29" t="str">
        <f t="shared" si="780"/>
        <v>NA</v>
      </c>
      <c r="AE2331" s="29" t="str">
        <f t="shared" si="781"/>
        <v>NA</v>
      </c>
      <c r="AF2331" s="29" t="str">
        <f t="shared" si="782"/>
        <v>NA</v>
      </c>
      <c r="AG2331" s="29" t="str">
        <f t="shared" si="783"/>
        <v>NA</v>
      </c>
      <c r="AH2331" s="29" t="str">
        <f t="shared" si="784"/>
        <v>NA</v>
      </c>
    </row>
    <row r="2332" customHeight="1" spans="1:34">
      <c r="A2332" s="12" t="s">
        <v>1043</v>
      </c>
      <c r="F2332" s="24">
        <f t="shared" si="766"/>
        <v>0</v>
      </c>
      <c r="G2332" s="24" t="e">
        <f t="shared" si="765"/>
        <v>#DIV/0!</v>
      </c>
      <c r="Q2332" s="29" t="str">
        <f t="shared" si="767"/>
        <v>NA</v>
      </c>
      <c r="R2332" s="29" t="str">
        <f t="shared" si="768"/>
        <v>NA</v>
      </c>
      <c r="S2332" s="29" t="str">
        <f t="shared" si="769"/>
        <v>NA</v>
      </c>
      <c r="T2332" s="29" t="str">
        <f t="shared" si="770"/>
        <v>NA</v>
      </c>
      <c r="U2332" s="29" t="str">
        <f t="shared" si="771"/>
        <v>NA</v>
      </c>
      <c r="V2332" s="29" t="str">
        <f t="shared" si="772"/>
        <v>NA</v>
      </c>
      <c r="W2332" s="29" t="str">
        <f t="shared" si="773"/>
        <v>NA</v>
      </c>
      <c r="X2332" s="29" t="str">
        <f t="shared" si="774"/>
        <v>NA</v>
      </c>
      <c r="Y2332" s="29" t="str">
        <f t="shared" si="775"/>
        <v>NA</v>
      </c>
      <c r="Z2332" s="29" t="str">
        <f t="shared" si="776"/>
        <v>NA</v>
      </c>
      <c r="AA2332" s="29" t="str">
        <f t="shared" si="777"/>
        <v>NA</v>
      </c>
      <c r="AB2332" s="29" t="str">
        <f t="shared" si="778"/>
        <v>NA</v>
      </c>
      <c r="AC2332" s="29" t="str">
        <f t="shared" si="779"/>
        <v>NA</v>
      </c>
      <c r="AD2332" s="29" t="str">
        <f t="shared" si="780"/>
        <v>NA</v>
      </c>
      <c r="AE2332" s="29" t="str">
        <f t="shared" si="781"/>
        <v>NA</v>
      </c>
      <c r="AF2332" s="29" t="str">
        <f t="shared" si="782"/>
        <v>NA</v>
      </c>
      <c r="AG2332" s="29" t="str">
        <f t="shared" si="783"/>
        <v>NA</v>
      </c>
      <c r="AH2332" s="29" t="str">
        <f t="shared" si="784"/>
        <v>NA</v>
      </c>
    </row>
    <row r="2333" customHeight="1" spans="1:34">
      <c r="A2333" s="12" t="s">
        <v>1043</v>
      </c>
      <c r="F2333" s="24">
        <f t="shared" si="766"/>
        <v>0</v>
      </c>
      <c r="G2333" s="24" t="e">
        <f t="shared" si="765"/>
        <v>#DIV/0!</v>
      </c>
      <c r="Q2333" s="29" t="str">
        <f t="shared" si="767"/>
        <v>NA</v>
      </c>
      <c r="R2333" s="29" t="str">
        <f t="shared" si="768"/>
        <v>NA</v>
      </c>
      <c r="S2333" s="29" t="str">
        <f t="shared" si="769"/>
        <v>NA</v>
      </c>
      <c r="T2333" s="29" t="str">
        <f t="shared" si="770"/>
        <v>NA</v>
      </c>
      <c r="U2333" s="29" t="str">
        <f t="shared" si="771"/>
        <v>NA</v>
      </c>
      <c r="V2333" s="29" t="str">
        <f t="shared" si="772"/>
        <v>NA</v>
      </c>
      <c r="W2333" s="29" t="str">
        <f t="shared" si="773"/>
        <v>NA</v>
      </c>
      <c r="X2333" s="29" t="str">
        <f t="shared" si="774"/>
        <v>NA</v>
      </c>
      <c r="Y2333" s="29" t="str">
        <f t="shared" si="775"/>
        <v>NA</v>
      </c>
      <c r="Z2333" s="29" t="str">
        <f t="shared" si="776"/>
        <v>NA</v>
      </c>
      <c r="AA2333" s="29" t="str">
        <f t="shared" si="777"/>
        <v>NA</v>
      </c>
      <c r="AB2333" s="29" t="str">
        <f t="shared" si="778"/>
        <v>NA</v>
      </c>
      <c r="AC2333" s="29" t="str">
        <f t="shared" si="779"/>
        <v>NA</v>
      </c>
      <c r="AD2333" s="29" t="str">
        <f t="shared" si="780"/>
        <v>NA</v>
      </c>
      <c r="AE2333" s="29" t="str">
        <f t="shared" si="781"/>
        <v>NA</v>
      </c>
      <c r="AF2333" s="29" t="str">
        <f t="shared" si="782"/>
        <v>NA</v>
      </c>
      <c r="AG2333" s="29" t="str">
        <f t="shared" si="783"/>
        <v>NA</v>
      </c>
      <c r="AH2333" s="29" t="str">
        <f t="shared" si="784"/>
        <v>NA</v>
      </c>
    </row>
    <row r="2334" customHeight="1" spans="1:34">
      <c r="A2334" s="12" t="s">
        <v>1043</v>
      </c>
      <c r="F2334" s="24">
        <f t="shared" si="766"/>
        <v>0</v>
      </c>
      <c r="G2334" s="24" t="e">
        <f t="shared" si="765"/>
        <v>#DIV/0!</v>
      </c>
      <c r="Q2334" s="29" t="str">
        <f t="shared" si="767"/>
        <v>NA</v>
      </c>
      <c r="R2334" s="29" t="str">
        <f t="shared" si="768"/>
        <v>NA</v>
      </c>
      <c r="S2334" s="29" t="str">
        <f t="shared" si="769"/>
        <v>NA</v>
      </c>
      <c r="T2334" s="29" t="str">
        <f t="shared" si="770"/>
        <v>NA</v>
      </c>
      <c r="U2334" s="29" t="str">
        <f t="shared" si="771"/>
        <v>NA</v>
      </c>
      <c r="V2334" s="29" t="str">
        <f t="shared" si="772"/>
        <v>NA</v>
      </c>
      <c r="W2334" s="29" t="str">
        <f t="shared" si="773"/>
        <v>NA</v>
      </c>
      <c r="X2334" s="29" t="str">
        <f t="shared" si="774"/>
        <v>NA</v>
      </c>
      <c r="Y2334" s="29" t="str">
        <f t="shared" si="775"/>
        <v>NA</v>
      </c>
      <c r="Z2334" s="29" t="str">
        <f t="shared" si="776"/>
        <v>NA</v>
      </c>
      <c r="AA2334" s="29" t="str">
        <f t="shared" si="777"/>
        <v>NA</v>
      </c>
      <c r="AB2334" s="29" t="str">
        <f t="shared" si="778"/>
        <v>NA</v>
      </c>
      <c r="AC2334" s="29" t="str">
        <f t="shared" si="779"/>
        <v>NA</v>
      </c>
      <c r="AD2334" s="29" t="str">
        <f t="shared" si="780"/>
        <v>NA</v>
      </c>
      <c r="AE2334" s="29" t="str">
        <f t="shared" si="781"/>
        <v>NA</v>
      </c>
      <c r="AF2334" s="29" t="str">
        <f t="shared" si="782"/>
        <v>NA</v>
      </c>
      <c r="AG2334" s="29" t="str">
        <f t="shared" si="783"/>
        <v>NA</v>
      </c>
      <c r="AH2334" s="29" t="str">
        <f t="shared" si="784"/>
        <v>NA</v>
      </c>
    </row>
    <row r="2335" customHeight="1" spans="1:34">
      <c r="A2335" s="12" t="s">
        <v>1043</v>
      </c>
      <c r="F2335" s="24">
        <f t="shared" si="766"/>
        <v>0</v>
      </c>
      <c r="G2335" s="24" t="e">
        <f t="shared" si="765"/>
        <v>#DIV/0!</v>
      </c>
      <c r="Q2335" s="29" t="str">
        <f t="shared" si="767"/>
        <v>NA</v>
      </c>
      <c r="R2335" s="29" t="str">
        <f t="shared" si="768"/>
        <v>NA</v>
      </c>
      <c r="S2335" s="29" t="str">
        <f t="shared" si="769"/>
        <v>NA</v>
      </c>
      <c r="T2335" s="29" t="str">
        <f t="shared" si="770"/>
        <v>NA</v>
      </c>
      <c r="U2335" s="29" t="str">
        <f t="shared" si="771"/>
        <v>NA</v>
      </c>
      <c r="V2335" s="29" t="str">
        <f t="shared" si="772"/>
        <v>NA</v>
      </c>
      <c r="W2335" s="29" t="str">
        <f t="shared" si="773"/>
        <v>NA</v>
      </c>
      <c r="X2335" s="29" t="str">
        <f t="shared" si="774"/>
        <v>NA</v>
      </c>
      <c r="Y2335" s="29" t="str">
        <f t="shared" si="775"/>
        <v>NA</v>
      </c>
      <c r="Z2335" s="29" t="str">
        <f t="shared" si="776"/>
        <v>NA</v>
      </c>
      <c r="AA2335" s="29" t="str">
        <f t="shared" si="777"/>
        <v>NA</v>
      </c>
      <c r="AB2335" s="29" t="str">
        <f t="shared" si="778"/>
        <v>NA</v>
      </c>
      <c r="AC2335" s="29" t="str">
        <f t="shared" si="779"/>
        <v>NA</v>
      </c>
      <c r="AD2335" s="29" t="str">
        <f t="shared" si="780"/>
        <v>NA</v>
      </c>
      <c r="AE2335" s="29" t="str">
        <f t="shared" si="781"/>
        <v>NA</v>
      </c>
      <c r="AF2335" s="29" t="str">
        <f t="shared" si="782"/>
        <v>NA</v>
      </c>
      <c r="AG2335" s="29" t="str">
        <f t="shared" si="783"/>
        <v>NA</v>
      </c>
      <c r="AH2335" s="29" t="str">
        <f t="shared" si="784"/>
        <v>NA</v>
      </c>
    </row>
    <row r="2336" customHeight="1" spans="1:34">
      <c r="A2336" s="12" t="s">
        <v>1043</v>
      </c>
      <c r="F2336" s="24">
        <f t="shared" si="766"/>
        <v>0</v>
      </c>
      <c r="G2336" s="24" t="e">
        <f t="shared" si="765"/>
        <v>#DIV/0!</v>
      </c>
      <c r="Q2336" s="29" t="str">
        <f t="shared" si="767"/>
        <v>NA</v>
      </c>
      <c r="R2336" s="29" t="str">
        <f t="shared" si="768"/>
        <v>NA</v>
      </c>
      <c r="S2336" s="29" t="str">
        <f t="shared" si="769"/>
        <v>NA</v>
      </c>
      <c r="T2336" s="29" t="str">
        <f t="shared" si="770"/>
        <v>NA</v>
      </c>
      <c r="U2336" s="29" t="str">
        <f t="shared" si="771"/>
        <v>NA</v>
      </c>
      <c r="V2336" s="29" t="str">
        <f t="shared" si="772"/>
        <v>NA</v>
      </c>
      <c r="W2336" s="29" t="str">
        <f t="shared" si="773"/>
        <v>NA</v>
      </c>
      <c r="X2336" s="29" t="str">
        <f t="shared" si="774"/>
        <v>NA</v>
      </c>
      <c r="Y2336" s="29" t="str">
        <f t="shared" si="775"/>
        <v>NA</v>
      </c>
      <c r="Z2336" s="29" t="str">
        <f t="shared" si="776"/>
        <v>NA</v>
      </c>
      <c r="AA2336" s="29" t="str">
        <f t="shared" si="777"/>
        <v>NA</v>
      </c>
      <c r="AB2336" s="29" t="str">
        <f t="shared" si="778"/>
        <v>NA</v>
      </c>
      <c r="AC2336" s="29" t="str">
        <f t="shared" si="779"/>
        <v>NA</v>
      </c>
      <c r="AD2336" s="29" t="str">
        <f t="shared" si="780"/>
        <v>NA</v>
      </c>
      <c r="AE2336" s="29" t="str">
        <f t="shared" si="781"/>
        <v>NA</v>
      </c>
      <c r="AF2336" s="29" t="str">
        <f t="shared" si="782"/>
        <v>NA</v>
      </c>
      <c r="AG2336" s="29" t="str">
        <f t="shared" si="783"/>
        <v>NA</v>
      </c>
      <c r="AH2336" s="29" t="str">
        <f t="shared" si="784"/>
        <v>NA</v>
      </c>
    </row>
    <row r="2337" customHeight="1" spans="1:34">
      <c r="A2337" s="12" t="s">
        <v>1043</v>
      </c>
      <c r="F2337" s="24">
        <f t="shared" si="766"/>
        <v>0</v>
      </c>
      <c r="G2337" s="24" t="e">
        <f t="shared" si="765"/>
        <v>#DIV/0!</v>
      </c>
      <c r="Q2337" s="29" t="str">
        <f t="shared" si="767"/>
        <v>NA</v>
      </c>
      <c r="R2337" s="29" t="str">
        <f t="shared" si="768"/>
        <v>NA</v>
      </c>
      <c r="S2337" s="29" t="str">
        <f t="shared" si="769"/>
        <v>NA</v>
      </c>
      <c r="T2337" s="29" t="str">
        <f t="shared" si="770"/>
        <v>NA</v>
      </c>
      <c r="U2337" s="29" t="str">
        <f t="shared" si="771"/>
        <v>NA</v>
      </c>
      <c r="V2337" s="29" t="str">
        <f t="shared" si="772"/>
        <v>NA</v>
      </c>
      <c r="W2337" s="29" t="str">
        <f t="shared" si="773"/>
        <v>NA</v>
      </c>
      <c r="X2337" s="29" t="str">
        <f t="shared" si="774"/>
        <v>NA</v>
      </c>
      <c r="Y2337" s="29" t="str">
        <f t="shared" si="775"/>
        <v>NA</v>
      </c>
      <c r="Z2337" s="29" t="str">
        <f t="shared" si="776"/>
        <v>NA</v>
      </c>
      <c r="AA2337" s="29" t="str">
        <f t="shared" si="777"/>
        <v>NA</v>
      </c>
      <c r="AB2337" s="29" t="str">
        <f t="shared" si="778"/>
        <v>NA</v>
      </c>
      <c r="AC2337" s="29" t="str">
        <f t="shared" si="779"/>
        <v>NA</v>
      </c>
      <c r="AD2337" s="29" t="str">
        <f t="shared" si="780"/>
        <v>NA</v>
      </c>
      <c r="AE2337" s="29" t="str">
        <f t="shared" si="781"/>
        <v>NA</v>
      </c>
      <c r="AF2337" s="29" t="str">
        <f t="shared" si="782"/>
        <v>NA</v>
      </c>
      <c r="AG2337" s="29" t="str">
        <f t="shared" si="783"/>
        <v>NA</v>
      </c>
      <c r="AH2337" s="29" t="str">
        <f t="shared" si="784"/>
        <v>NA</v>
      </c>
    </row>
    <row r="2338" customHeight="1" spans="1:34">
      <c r="A2338" s="12" t="s">
        <v>1043</v>
      </c>
      <c r="F2338" s="24">
        <f t="shared" si="766"/>
        <v>0</v>
      </c>
      <c r="G2338" s="24" t="e">
        <f t="shared" si="765"/>
        <v>#DIV/0!</v>
      </c>
      <c r="Q2338" s="29" t="str">
        <f t="shared" si="767"/>
        <v>NA</v>
      </c>
      <c r="R2338" s="29" t="str">
        <f t="shared" si="768"/>
        <v>NA</v>
      </c>
      <c r="S2338" s="29" t="str">
        <f t="shared" si="769"/>
        <v>NA</v>
      </c>
      <c r="T2338" s="29" t="str">
        <f t="shared" si="770"/>
        <v>NA</v>
      </c>
      <c r="U2338" s="29" t="str">
        <f t="shared" si="771"/>
        <v>NA</v>
      </c>
      <c r="V2338" s="29" t="str">
        <f t="shared" si="772"/>
        <v>NA</v>
      </c>
      <c r="W2338" s="29" t="str">
        <f t="shared" si="773"/>
        <v>NA</v>
      </c>
      <c r="X2338" s="29" t="str">
        <f t="shared" si="774"/>
        <v>NA</v>
      </c>
      <c r="Y2338" s="29" t="str">
        <f t="shared" si="775"/>
        <v>NA</v>
      </c>
      <c r="Z2338" s="29" t="str">
        <f t="shared" si="776"/>
        <v>NA</v>
      </c>
      <c r="AA2338" s="29" t="str">
        <f t="shared" si="777"/>
        <v>NA</v>
      </c>
      <c r="AB2338" s="29" t="str">
        <f t="shared" si="778"/>
        <v>NA</v>
      </c>
      <c r="AC2338" s="29" t="str">
        <f t="shared" si="779"/>
        <v>NA</v>
      </c>
      <c r="AD2338" s="29" t="str">
        <f t="shared" si="780"/>
        <v>NA</v>
      </c>
      <c r="AE2338" s="29" t="str">
        <f t="shared" si="781"/>
        <v>NA</v>
      </c>
      <c r="AF2338" s="29" t="str">
        <f t="shared" si="782"/>
        <v>NA</v>
      </c>
      <c r="AG2338" s="29" t="str">
        <f t="shared" si="783"/>
        <v>NA</v>
      </c>
      <c r="AH2338" s="29" t="str">
        <f t="shared" si="784"/>
        <v>NA</v>
      </c>
    </row>
    <row r="2339" customHeight="1" spans="1:34">
      <c r="A2339" s="12" t="s">
        <v>1043</v>
      </c>
      <c r="F2339" s="24">
        <f t="shared" si="766"/>
        <v>0</v>
      </c>
      <c r="G2339" s="24" t="e">
        <f t="shared" si="765"/>
        <v>#DIV/0!</v>
      </c>
      <c r="Q2339" s="29" t="str">
        <f t="shared" si="767"/>
        <v>NA</v>
      </c>
      <c r="R2339" s="29" t="str">
        <f t="shared" si="768"/>
        <v>NA</v>
      </c>
      <c r="S2339" s="29" t="str">
        <f t="shared" si="769"/>
        <v>NA</v>
      </c>
      <c r="T2339" s="29" t="str">
        <f t="shared" si="770"/>
        <v>NA</v>
      </c>
      <c r="U2339" s="29" t="str">
        <f t="shared" si="771"/>
        <v>NA</v>
      </c>
      <c r="V2339" s="29" t="str">
        <f t="shared" si="772"/>
        <v>NA</v>
      </c>
      <c r="W2339" s="29" t="str">
        <f t="shared" si="773"/>
        <v>NA</v>
      </c>
      <c r="X2339" s="29" t="str">
        <f t="shared" si="774"/>
        <v>NA</v>
      </c>
      <c r="Y2339" s="29" t="str">
        <f t="shared" si="775"/>
        <v>NA</v>
      </c>
      <c r="Z2339" s="29" t="str">
        <f t="shared" si="776"/>
        <v>NA</v>
      </c>
      <c r="AA2339" s="29" t="str">
        <f t="shared" si="777"/>
        <v>NA</v>
      </c>
      <c r="AB2339" s="29" t="str">
        <f t="shared" si="778"/>
        <v>NA</v>
      </c>
      <c r="AC2339" s="29" t="str">
        <f t="shared" si="779"/>
        <v>NA</v>
      </c>
      <c r="AD2339" s="29" t="str">
        <f t="shared" si="780"/>
        <v>NA</v>
      </c>
      <c r="AE2339" s="29" t="str">
        <f t="shared" si="781"/>
        <v>NA</v>
      </c>
      <c r="AF2339" s="29" t="str">
        <f t="shared" si="782"/>
        <v>NA</v>
      </c>
      <c r="AG2339" s="29" t="str">
        <f t="shared" si="783"/>
        <v>NA</v>
      </c>
      <c r="AH2339" s="29" t="str">
        <f t="shared" si="784"/>
        <v>NA</v>
      </c>
    </row>
    <row r="2340" customHeight="1" spans="1:34">
      <c r="A2340" s="12" t="s">
        <v>1043</v>
      </c>
      <c r="F2340" s="24">
        <f t="shared" si="766"/>
        <v>0</v>
      </c>
      <c r="G2340" s="24" t="e">
        <f t="shared" si="765"/>
        <v>#DIV/0!</v>
      </c>
      <c r="Q2340" s="29" t="str">
        <f t="shared" si="767"/>
        <v>NA</v>
      </c>
      <c r="R2340" s="29" t="str">
        <f t="shared" si="768"/>
        <v>NA</v>
      </c>
      <c r="S2340" s="29" t="str">
        <f t="shared" si="769"/>
        <v>NA</v>
      </c>
      <c r="T2340" s="29" t="str">
        <f t="shared" si="770"/>
        <v>NA</v>
      </c>
      <c r="U2340" s="29" t="str">
        <f t="shared" si="771"/>
        <v>NA</v>
      </c>
      <c r="V2340" s="29" t="str">
        <f t="shared" si="772"/>
        <v>NA</v>
      </c>
      <c r="W2340" s="29" t="str">
        <f t="shared" si="773"/>
        <v>NA</v>
      </c>
      <c r="X2340" s="29" t="str">
        <f t="shared" si="774"/>
        <v>NA</v>
      </c>
      <c r="Y2340" s="29" t="str">
        <f t="shared" si="775"/>
        <v>NA</v>
      </c>
      <c r="Z2340" s="29" t="str">
        <f t="shared" si="776"/>
        <v>NA</v>
      </c>
      <c r="AA2340" s="29" t="str">
        <f t="shared" si="777"/>
        <v>NA</v>
      </c>
      <c r="AB2340" s="29" t="str">
        <f t="shared" si="778"/>
        <v>NA</v>
      </c>
      <c r="AC2340" s="29" t="str">
        <f t="shared" si="779"/>
        <v>NA</v>
      </c>
      <c r="AD2340" s="29" t="str">
        <f t="shared" si="780"/>
        <v>NA</v>
      </c>
      <c r="AE2340" s="29" t="str">
        <f t="shared" si="781"/>
        <v>NA</v>
      </c>
      <c r="AF2340" s="29" t="str">
        <f t="shared" si="782"/>
        <v>NA</v>
      </c>
      <c r="AG2340" s="29" t="str">
        <f t="shared" si="783"/>
        <v>NA</v>
      </c>
      <c r="AH2340" s="29" t="str">
        <f t="shared" si="784"/>
        <v>NA</v>
      </c>
    </row>
    <row r="2341" customHeight="1" spans="1:34">
      <c r="A2341" s="12" t="s">
        <v>1043</v>
      </c>
      <c r="F2341" s="24">
        <f t="shared" si="766"/>
        <v>0</v>
      </c>
      <c r="G2341" s="24" t="e">
        <f t="shared" si="765"/>
        <v>#DIV/0!</v>
      </c>
      <c r="Q2341" s="29" t="str">
        <f t="shared" si="767"/>
        <v>NA</v>
      </c>
      <c r="R2341" s="29" t="str">
        <f t="shared" si="768"/>
        <v>NA</v>
      </c>
      <c r="S2341" s="29" t="str">
        <f t="shared" si="769"/>
        <v>NA</v>
      </c>
      <c r="T2341" s="29" t="str">
        <f t="shared" si="770"/>
        <v>NA</v>
      </c>
      <c r="U2341" s="29" t="str">
        <f t="shared" si="771"/>
        <v>NA</v>
      </c>
      <c r="V2341" s="29" t="str">
        <f t="shared" si="772"/>
        <v>NA</v>
      </c>
      <c r="W2341" s="29" t="str">
        <f t="shared" si="773"/>
        <v>NA</v>
      </c>
      <c r="X2341" s="29" t="str">
        <f t="shared" si="774"/>
        <v>NA</v>
      </c>
      <c r="Y2341" s="29" t="str">
        <f t="shared" si="775"/>
        <v>NA</v>
      </c>
      <c r="Z2341" s="29" t="str">
        <f t="shared" si="776"/>
        <v>NA</v>
      </c>
      <c r="AA2341" s="29" t="str">
        <f t="shared" si="777"/>
        <v>NA</v>
      </c>
      <c r="AB2341" s="29" t="str">
        <f t="shared" si="778"/>
        <v>NA</v>
      </c>
      <c r="AC2341" s="29" t="str">
        <f t="shared" si="779"/>
        <v>NA</v>
      </c>
      <c r="AD2341" s="29" t="str">
        <f t="shared" si="780"/>
        <v>NA</v>
      </c>
      <c r="AE2341" s="29" t="str">
        <f t="shared" si="781"/>
        <v>NA</v>
      </c>
      <c r="AF2341" s="29" t="str">
        <f t="shared" si="782"/>
        <v>NA</v>
      </c>
      <c r="AG2341" s="29" t="str">
        <f t="shared" si="783"/>
        <v>NA</v>
      </c>
      <c r="AH2341" s="29" t="str">
        <f t="shared" si="784"/>
        <v>NA</v>
      </c>
    </row>
    <row r="2342" customHeight="1" spans="1:34">
      <c r="A2342" s="12" t="s">
        <v>1043</v>
      </c>
      <c r="F2342" s="24">
        <f t="shared" si="766"/>
        <v>0</v>
      </c>
      <c r="G2342" s="24" t="e">
        <f t="shared" si="765"/>
        <v>#DIV/0!</v>
      </c>
      <c r="Q2342" s="29" t="str">
        <f t="shared" si="767"/>
        <v>NA</v>
      </c>
      <c r="R2342" s="29" t="str">
        <f t="shared" si="768"/>
        <v>NA</v>
      </c>
      <c r="S2342" s="29" t="str">
        <f t="shared" si="769"/>
        <v>NA</v>
      </c>
      <c r="T2342" s="29" t="str">
        <f t="shared" si="770"/>
        <v>NA</v>
      </c>
      <c r="U2342" s="29" t="str">
        <f t="shared" si="771"/>
        <v>NA</v>
      </c>
      <c r="V2342" s="29" t="str">
        <f t="shared" si="772"/>
        <v>NA</v>
      </c>
      <c r="W2342" s="29" t="str">
        <f t="shared" si="773"/>
        <v>NA</v>
      </c>
      <c r="X2342" s="29" t="str">
        <f t="shared" si="774"/>
        <v>NA</v>
      </c>
      <c r="Y2342" s="29" t="str">
        <f t="shared" si="775"/>
        <v>NA</v>
      </c>
      <c r="Z2342" s="29" t="str">
        <f t="shared" si="776"/>
        <v>NA</v>
      </c>
      <c r="AA2342" s="29" t="str">
        <f t="shared" si="777"/>
        <v>NA</v>
      </c>
      <c r="AB2342" s="29" t="str">
        <f t="shared" si="778"/>
        <v>NA</v>
      </c>
      <c r="AC2342" s="29" t="str">
        <f t="shared" si="779"/>
        <v>NA</v>
      </c>
      <c r="AD2342" s="29" t="str">
        <f t="shared" si="780"/>
        <v>NA</v>
      </c>
      <c r="AE2342" s="29" t="str">
        <f t="shared" si="781"/>
        <v>NA</v>
      </c>
      <c r="AF2342" s="29" t="str">
        <f t="shared" si="782"/>
        <v>NA</v>
      </c>
      <c r="AG2342" s="29" t="str">
        <f t="shared" si="783"/>
        <v>NA</v>
      </c>
      <c r="AH2342" s="29" t="str">
        <f t="shared" si="784"/>
        <v>NA</v>
      </c>
    </row>
    <row r="2343" customHeight="1" spans="1:34">
      <c r="A2343" s="12" t="s">
        <v>1043</v>
      </c>
      <c r="F2343" s="24">
        <f t="shared" si="766"/>
        <v>0</v>
      </c>
      <c r="G2343" s="24" t="e">
        <f t="shared" si="765"/>
        <v>#DIV/0!</v>
      </c>
      <c r="Q2343" s="29" t="str">
        <f t="shared" si="767"/>
        <v>NA</v>
      </c>
      <c r="R2343" s="29" t="str">
        <f t="shared" si="768"/>
        <v>NA</v>
      </c>
      <c r="S2343" s="29" t="str">
        <f t="shared" si="769"/>
        <v>NA</v>
      </c>
      <c r="T2343" s="29" t="str">
        <f t="shared" si="770"/>
        <v>NA</v>
      </c>
      <c r="U2343" s="29" t="str">
        <f t="shared" si="771"/>
        <v>NA</v>
      </c>
      <c r="V2343" s="29" t="str">
        <f t="shared" si="772"/>
        <v>NA</v>
      </c>
      <c r="W2343" s="29" t="str">
        <f t="shared" si="773"/>
        <v>NA</v>
      </c>
      <c r="X2343" s="29" t="str">
        <f t="shared" si="774"/>
        <v>NA</v>
      </c>
      <c r="Y2343" s="29" t="str">
        <f t="shared" si="775"/>
        <v>NA</v>
      </c>
      <c r="Z2343" s="29" t="str">
        <f t="shared" si="776"/>
        <v>NA</v>
      </c>
      <c r="AA2343" s="29" t="str">
        <f t="shared" si="777"/>
        <v>NA</v>
      </c>
      <c r="AB2343" s="29" t="str">
        <f t="shared" si="778"/>
        <v>NA</v>
      </c>
      <c r="AC2343" s="29" t="str">
        <f t="shared" si="779"/>
        <v>NA</v>
      </c>
      <c r="AD2343" s="29" t="str">
        <f t="shared" si="780"/>
        <v>NA</v>
      </c>
      <c r="AE2343" s="29" t="str">
        <f t="shared" si="781"/>
        <v>NA</v>
      </c>
      <c r="AF2343" s="29" t="str">
        <f t="shared" si="782"/>
        <v>NA</v>
      </c>
      <c r="AG2343" s="29" t="str">
        <f t="shared" si="783"/>
        <v>NA</v>
      </c>
      <c r="AH2343" s="29" t="str">
        <f t="shared" si="784"/>
        <v>NA</v>
      </c>
    </row>
    <row r="2344" customHeight="1" spans="1:34">
      <c r="A2344" s="12" t="s">
        <v>1043</v>
      </c>
      <c r="F2344" s="24">
        <f t="shared" si="766"/>
        <v>0</v>
      </c>
      <c r="G2344" s="24" t="e">
        <f t="shared" si="765"/>
        <v>#DIV/0!</v>
      </c>
      <c r="Q2344" s="29" t="str">
        <f t="shared" si="767"/>
        <v>NA</v>
      </c>
      <c r="R2344" s="29" t="str">
        <f t="shared" si="768"/>
        <v>NA</v>
      </c>
      <c r="S2344" s="29" t="str">
        <f t="shared" si="769"/>
        <v>NA</v>
      </c>
      <c r="T2344" s="29" t="str">
        <f t="shared" si="770"/>
        <v>NA</v>
      </c>
      <c r="U2344" s="29" t="str">
        <f t="shared" si="771"/>
        <v>NA</v>
      </c>
      <c r="V2344" s="29" t="str">
        <f t="shared" si="772"/>
        <v>NA</v>
      </c>
      <c r="W2344" s="29" t="str">
        <f t="shared" si="773"/>
        <v>NA</v>
      </c>
      <c r="X2344" s="29" t="str">
        <f t="shared" si="774"/>
        <v>NA</v>
      </c>
      <c r="Y2344" s="29" t="str">
        <f t="shared" si="775"/>
        <v>NA</v>
      </c>
      <c r="Z2344" s="29" t="str">
        <f t="shared" si="776"/>
        <v>NA</v>
      </c>
      <c r="AA2344" s="29" t="str">
        <f t="shared" si="777"/>
        <v>NA</v>
      </c>
      <c r="AB2344" s="29" t="str">
        <f t="shared" si="778"/>
        <v>NA</v>
      </c>
      <c r="AC2344" s="29" t="str">
        <f t="shared" si="779"/>
        <v>NA</v>
      </c>
      <c r="AD2344" s="29" t="str">
        <f t="shared" si="780"/>
        <v>NA</v>
      </c>
      <c r="AE2344" s="29" t="str">
        <f t="shared" si="781"/>
        <v>NA</v>
      </c>
      <c r="AF2344" s="29" t="str">
        <f t="shared" si="782"/>
        <v>NA</v>
      </c>
      <c r="AG2344" s="29" t="str">
        <f t="shared" si="783"/>
        <v>NA</v>
      </c>
      <c r="AH2344" s="29" t="str">
        <f t="shared" si="784"/>
        <v>NA</v>
      </c>
    </row>
    <row r="2345" customHeight="1" spans="1:34">
      <c r="A2345" s="12" t="s">
        <v>1043</v>
      </c>
      <c r="F2345" s="24">
        <f t="shared" si="766"/>
        <v>0</v>
      </c>
      <c r="G2345" s="24" t="e">
        <f t="shared" si="765"/>
        <v>#DIV/0!</v>
      </c>
      <c r="Q2345" s="29" t="str">
        <f t="shared" si="767"/>
        <v>NA</v>
      </c>
      <c r="R2345" s="29" t="str">
        <f t="shared" si="768"/>
        <v>NA</v>
      </c>
      <c r="S2345" s="29" t="str">
        <f t="shared" si="769"/>
        <v>NA</v>
      </c>
      <c r="T2345" s="29" t="str">
        <f t="shared" si="770"/>
        <v>NA</v>
      </c>
      <c r="U2345" s="29" t="str">
        <f t="shared" si="771"/>
        <v>NA</v>
      </c>
      <c r="V2345" s="29" t="str">
        <f t="shared" si="772"/>
        <v>NA</v>
      </c>
      <c r="W2345" s="29" t="str">
        <f t="shared" si="773"/>
        <v>NA</v>
      </c>
      <c r="X2345" s="29" t="str">
        <f t="shared" si="774"/>
        <v>NA</v>
      </c>
      <c r="Y2345" s="29" t="str">
        <f t="shared" si="775"/>
        <v>NA</v>
      </c>
      <c r="Z2345" s="29" t="str">
        <f t="shared" si="776"/>
        <v>NA</v>
      </c>
      <c r="AA2345" s="29" t="str">
        <f t="shared" si="777"/>
        <v>NA</v>
      </c>
      <c r="AB2345" s="29" t="str">
        <f t="shared" si="778"/>
        <v>NA</v>
      </c>
      <c r="AC2345" s="29" t="str">
        <f t="shared" si="779"/>
        <v>NA</v>
      </c>
      <c r="AD2345" s="29" t="str">
        <f t="shared" si="780"/>
        <v>NA</v>
      </c>
      <c r="AE2345" s="29" t="str">
        <f t="shared" si="781"/>
        <v>NA</v>
      </c>
      <c r="AF2345" s="29" t="str">
        <f t="shared" si="782"/>
        <v>NA</v>
      </c>
      <c r="AG2345" s="29" t="str">
        <f t="shared" si="783"/>
        <v>NA</v>
      </c>
      <c r="AH2345" s="29" t="str">
        <f t="shared" si="784"/>
        <v>NA</v>
      </c>
    </row>
    <row r="2346" customHeight="1" spans="1:34">
      <c r="A2346" s="12" t="s">
        <v>1043</v>
      </c>
      <c r="F2346" s="24">
        <f t="shared" si="766"/>
        <v>0</v>
      </c>
      <c r="G2346" s="24" t="e">
        <f t="shared" si="765"/>
        <v>#DIV/0!</v>
      </c>
      <c r="Q2346" s="29" t="str">
        <f t="shared" si="767"/>
        <v>NA</v>
      </c>
      <c r="R2346" s="29" t="str">
        <f t="shared" si="768"/>
        <v>NA</v>
      </c>
      <c r="S2346" s="29" t="str">
        <f t="shared" si="769"/>
        <v>NA</v>
      </c>
      <c r="T2346" s="29" t="str">
        <f t="shared" si="770"/>
        <v>NA</v>
      </c>
      <c r="U2346" s="29" t="str">
        <f t="shared" si="771"/>
        <v>NA</v>
      </c>
      <c r="V2346" s="29" t="str">
        <f t="shared" si="772"/>
        <v>NA</v>
      </c>
      <c r="W2346" s="29" t="str">
        <f t="shared" si="773"/>
        <v>NA</v>
      </c>
      <c r="X2346" s="29" t="str">
        <f t="shared" si="774"/>
        <v>NA</v>
      </c>
      <c r="Y2346" s="29" t="str">
        <f t="shared" si="775"/>
        <v>NA</v>
      </c>
      <c r="Z2346" s="29" t="str">
        <f t="shared" si="776"/>
        <v>NA</v>
      </c>
      <c r="AA2346" s="29" t="str">
        <f t="shared" si="777"/>
        <v>NA</v>
      </c>
      <c r="AB2346" s="29" t="str">
        <f t="shared" si="778"/>
        <v>NA</v>
      </c>
      <c r="AC2346" s="29" t="str">
        <f t="shared" si="779"/>
        <v>NA</v>
      </c>
      <c r="AD2346" s="29" t="str">
        <f t="shared" si="780"/>
        <v>NA</v>
      </c>
      <c r="AE2346" s="29" t="str">
        <f t="shared" si="781"/>
        <v>NA</v>
      </c>
      <c r="AF2346" s="29" t="str">
        <f t="shared" si="782"/>
        <v>NA</v>
      </c>
      <c r="AG2346" s="29" t="str">
        <f t="shared" si="783"/>
        <v>NA</v>
      </c>
      <c r="AH2346" s="29" t="str">
        <f t="shared" si="784"/>
        <v>NA</v>
      </c>
    </row>
    <row r="2347" customHeight="1" spans="1:34">
      <c r="A2347" s="12" t="s">
        <v>1043</v>
      </c>
      <c r="F2347" s="24">
        <f t="shared" si="766"/>
        <v>0</v>
      </c>
      <c r="G2347" s="24" t="e">
        <f t="shared" si="765"/>
        <v>#DIV/0!</v>
      </c>
      <c r="Q2347" s="29" t="str">
        <f t="shared" si="767"/>
        <v>NA</v>
      </c>
      <c r="R2347" s="29" t="str">
        <f t="shared" si="768"/>
        <v>NA</v>
      </c>
      <c r="S2347" s="29" t="str">
        <f t="shared" si="769"/>
        <v>NA</v>
      </c>
      <c r="T2347" s="29" t="str">
        <f t="shared" si="770"/>
        <v>NA</v>
      </c>
      <c r="U2347" s="29" t="str">
        <f t="shared" si="771"/>
        <v>NA</v>
      </c>
      <c r="V2347" s="29" t="str">
        <f t="shared" si="772"/>
        <v>NA</v>
      </c>
      <c r="W2347" s="29" t="str">
        <f t="shared" si="773"/>
        <v>NA</v>
      </c>
      <c r="X2347" s="29" t="str">
        <f t="shared" si="774"/>
        <v>NA</v>
      </c>
      <c r="Y2347" s="29" t="str">
        <f t="shared" si="775"/>
        <v>NA</v>
      </c>
      <c r="Z2347" s="29" t="str">
        <f t="shared" si="776"/>
        <v>NA</v>
      </c>
      <c r="AA2347" s="29" t="str">
        <f t="shared" si="777"/>
        <v>NA</v>
      </c>
      <c r="AB2347" s="29" t="str">
        <f t="shared" si="778"/>
        <v>NA</v>
      </c>
      <c r="AC2347" s="29" t="str">
        <f t="shared" si="779"/>
        <v>NA</v>
      </c>
      <c r="AD2347" s="29" t="str">
        <f t="shared" si="780"/>
        <v>NA</v>
      </c>
      <c r="AE2347" s="29" t="str">
        <f t="shared" si="781"/>
        <v>NA</v>
      </c>
      <c r="AF2347" s="29" t="str">
        <f t="shared" si="782"/>
        <v>NA</v>
      </c>
      <c r="AG2347" s="29" t="str">
        <f t="shared" si="783"/>
        <v>NA</v>
      </c>
      <c r="AH2347" s="29" t="str">
        <f t="shared" si="784"/>
        <v>NA</v>
      </c>
    </row>
    <row r="2348" customHeight="1" spans="1:34">
      <c r="A2348" s="12" t="s">
        <v>1043</v>
      </c>
      <c r="F2348" s="24">
        <f t="shared" si="766"/>
        <v>0</v>
      </c>
      <c r="G2348" s="24" t="e">
        <f t="shared" si="765"/>
        <v>#DIV/0!</v>
      </c>
      <c r="Q2348" s="29" t="str">
        <f t="shared" si="767"/>
        <v>NA</v>
      </c>
      <c r="R2348" s="29" t="str">
        <f t="shared" si="768"/>
        <v>NA</v>
      </c>
      <c r="S2348" s="29" t="str">
        <f t="shared" si="769"/>
        <v>NA</v>
      </c>
      <c r="T2348" s="29" t="str">
        <f t="shared" si="770"/>
        <v>NA</v>
      </c>
      <c r="U2348" s="29" t="str">
        <f t="shared" si="771"/>
        <v>NA</v>
      </c>
      <c r="V2348" s="29" t="str">
        <f t="shared" si="772"/>
        <v>NA</v>
      </c>
      <c r="W2348" s="29" t="str">
        <f t="shared" si="773"/>
        <v>NA</v>
      </c>
      <c r="X2348" s="29" t="str">
        <f t="shared" si="774"/>
        <v>NA</v>
      </c>
      <c r="Y2348" s="29" t="str">
        <f t="shared" si="775"/>
        <v>NA</v>
      </c>
      <c r="Z2348" s="29" t="str">
        <f t="shared" si="776"/>
        <v>NA</v>
      </c>
      <c r="AA2348" s="29" t="str">
        <f t="shared" si="777"/>
        <v>NA</v>
      </c>
      <c r="AB2348" s="29" t="str">
        <f t="shared" si="778"/>
        <v>NA</v>
      </c>
      <c r="AC2348" s="29" t="str">
        <f t="shared" si="779"/>
        <v>NA</v>
      </c>
      <c r="AD2348" s="29" t="str">
        <f t="shared" si="780"/>
        <v>NA</v>
      </c>
      <c r="AE2348" s="29" t="str">
        <f t="shared" si="781"/>
        <v>NA</v>
      </c>
      <c r="AF2348" s="29" t="str">
        <f t="shared" si="782"/>
        <v>NA</v>
      </c>
      <c r="AG2348" s="29" t="str">
        <f t="shared" si="783"/>
        <v>NA</v>
      </c>
      <c r="AH2348" s="29" t="str">
        <f t="shared" si="784"/>
        <v>NA</v>
      </c>
    </row>
    <row r="2349" customHeight="1" spans="1:34">
      <c r="A2349" s="12" t="s">
        <v>1043</v>
      </c>
      <c r="F2349" s="24">
        <f t="shared" si="766"/>
        <v>0</v>
      </c>
      <c r="G2349" s="24" t="e">
        <f t="shared" si="765"/>
        <v>#DIV/0!</v>
      </c>
      <c r="Q2349" s="29" t="str">
        <f t="shared" si="767"/>
        <v>NA</v>
      </c>
      <c r="R2349" s="29" t="str">
        <f t="shared" si="768"/>
        <v>NA</v>
      </c>
      <c r="S2349" s="29" t="str">
        <f t="shared" si="769"/>
        <v>NA</v>
      </c>
      <c r="T2349" s="29" t="str">
        <f t="shared" si="770"/>
        <v>NA</v>
      </c>
      <c r="U2349" s="29" t="str">
        <f t="shared" si="771"/>
        <v>NA</v>
      </c>
      <c r="V2349" s="29" t="str">
        <f t="shared" si="772"/>
        <v>NA</v>
      </c>
      <c r="W2349" s="29" t="str">
        <f t="shared" si="773"/>
        <v>NA</v>
      </c>
      <c r="X2349" s="29" t="str">
        <f t="shared" si="774"/>
        <v>NA</v>
      </c>
      <c r="Y2349" s="29" t="str">
        <f t="shared" si="775"/>
        <v>NA</v>
      </c>
      <c r="Z2349" s="29" t="str">
        <f t="shared" si="776"/>
        <v>NA</v>
      </c>
      <c r="AA2349" s="29" t="str">
        <f t="shared" si="777"/>
        <v>NA</v>
      </c>
      <c r="AB2349" s="29" t="str">
        <f t="shared" si="778"/>
        <v>NA</v>
      </c>
      <c r="AC2349" s="29" t="str">
        <f t="shared" si="779"/>
        <v>NA</v>
      </c>
      <c r="AD2349" s="29" t="str">
        <f t="shared" si="780"/>
        <v>NA</v>
      </c>
      <c r="AE2349" s="29" t="str">
        <f t="shared" si="781"/>
        <v>NA</v>
      </c>
      <c r="AF2349" s="29" t="str">
        <f t="shared" si="782"/>
        <v>NA</v>
      </c>
      <c r="AG2349" s="29" t="str">
        <f t="shared" si="783"/>
        <v>NA</v>
      </c>
      <c r="AH2349" s="29" t="str">
        <f t="shared" si="784"/>
        <v>NA</v>
      </c>
    </row>
    <row r="2350" customHeight="1" spans="1:34">
      <c r="A2350" s="12" t="s">
        <v>1043</v>
      </c>
      <c r="F2350" s="24">
        <f t="shared" si="766"/>
        <v>0</v>
      </c>
      <c r="G2350" s="24" t="e">
        <f t="shared" si="765"/>
        <v>#DIV/0!</v>
      </c>
      <c r="Q2350" s="29" t="str">
        <f t="shared" si="767"/>
        <v>NA</v>
      </c>
      <c r="R2350" s="29" t="str">
        <f t="shared" si="768"/>
        <v>NA</v>
      </c>
      <c r="S2350" s="29" t="str">
        <f t="shared" si="769"/>
        <v>NA</v>
      </c>
      <c r="T2350" s="29" t="str">
        <f t="shared" si="770"/>
        <v>NA</v>
      </c>
      <c r="U2350" s="29" t="str">
        <f t="shared" si="771"/>
        <v>NA</v>
      </c>
      <c r="V2350" s="29" t="str">
        <f t="shared" si="772"/>
        <v>NA</v>
      </c>
      <c r="W2350" s="29" t="str">
        <f t="shared" si="773"/>
        <v>NA</v>
      </c>
      <c r="X2350" s="29" t="str">
        <f t="shared" si="774"/>
        <v>NA</v>
      </c>
      <c r="Y2350" s="29" t="str">
        <f t="shared" si="775"/>
        <v>NA</v>
      </c>
      <c r="Z2350" s="29" t="str">
        <f t="shared" si="776"/>
        <v>NA</v>
      </c>
      <c r="AA2350" s="29" t="str">
        <f t="shared" si="777"/>
        <v>NA</v>
      </c>
      <c r="AB2350" s="29" t="str">
        <f t="shared" si="778"/>
        <v>NA</v>
      </c>
      <c r="AC2350" s="29" t="str">
        <f t="shared" si="779"/>
        <v>NA</v>
      </c>
      <c r="AD2350" s="29" t="str">
        <f t="shared" si="780"/>
        <v>NA</v>
      </c>
      <c r="AE2350" s="29" t="str">
        <f t="shared" si="781"/>
        <v>NA</v>
      </c>
      <c r="AF2350" s="29" t="str">
        <f t="shared" si="782"/>
        <v>NA</v>
      </c>
      <c r="AG2350" s="29" t="str">
        <f t="shared" si="783"/>
        <v>NA</v>
      </c>
      <c r="AH2350" s="29" t="str">
        <f t="shared" si="784"/>
        <v>NA</v>
      </c>
    </row>
    <row r="2351" customHeight="1" spans="1:34">
      <c r="A2351" s="12" t="s">
        <v>1043</v>
      </c>
      <c r="F2351" s="24">
        <f t="shared" si="766"/>
        <v>0</v>
      </c>
      <c r="G2351" s="24" t="e">
        <f t="shared" si="765"/>
        <v>#DIV/0!</v>
      </c>
      <c r="Q2351" s="29" t="str">
        <f t="shared" si="767"/>
        <v>NA</v>
      </c>
      <c r="R2351" s="29" t="str">
        <f t="shared" si="768"/>
        <v>NA</v>
      </c>
      <c r="S2351" s="29" t="str">
        <f t="shared" si="769"/>
        <v>NA</v>
      </c>
      <c r="T2351" s="29" t="str">
        <f t="shared" si="770"/>
        <v>NA</v>
      </c>
      <c r="U2351" s="29" t="str">
        <f t="shared" si="771"/>
        <v>NA</v>
      </c>
      <c r="V2351" s="29" t="str">
        <f t="shared" si="772"/>
        <v>NA</v>
      </c>
      <c r="W2351" s="29" t="str">
        <f t="shared" si="773"/>
        <v>NA</v>
      </c>
      <c r="X2351" s="29" t="str">
        <f t="shared" si="774"/>
        <v>NA</v>
      </c>
      <c r="Y2351" s="29" t="str">
        <f t="shared" si="775"/>
        <v>NA</v>
      </c>
      <c r="Z2351" s="29" t="str">
        <f t="shared" si="776"/>
        <v>NA</v>
      </c>
      <c r="AA2351" s="29" t="str">
        <f t="shared" si="777"/>
        <v>NA</v>
      </c>
      <c r="AB2351" s="29" t="str">
        <f t="shared" si="778"/>
        <v>NA</v>
      </c>
      <c r="AC2351" s="29" t="str">
        <f t="shared" si="779"/>
        <v>NA</v>
      </c>
      <c r="AD2351" s="29" t="str">
        <f t="shared" si="780"/>
        <v>NA</v>
      </c>
      <c r="AE2351" s="29" t="str">
        <f t="shared" si="781"/>
        <v>NA</v>
      </c>
      <c r="AF2351" s="29" t="str">
        <f t="shared" si="782"/>
        <v>NA</v>
      </c>
      <c r="AG2351" s="29" t="str">
        <f t="shared" si="783"/>
        <v>NA</v>
      </c>
      <c r="AH2351" s="29" t="str">
        <f t="shared" si="784"/>
        <v>NA</v>
      </c>
    </row>
    <row r="2352" customHeight="1" spans="1:34">
      <c r="A2352" s="12" t="s">
        <v>1043</v>
      </c>
      <c r="F2352" s="24">
        <f t="shared" si="766"/>
        <v>0</v>
      </c>
      <c r="G2352" s="24" t="e">
        <f t="shared" si="765"/>
        <v>#DIV/0!</v>
      </c>
      <c r="Q2352" s="29" t="str">
        <f t="shared" si="767"/>
        <v>NA</v>
      </c>
      <c r="R2352" s="29" t="str">
        <f t="shared" si="768"/>
        <v>NA</v>
      </c>
      <c r="S2352" s="29" t="str">
        <f t="shared" si="769"/>
        <v>NA</v>
      </c>
      <c r="T2352" s="29" t="str">
        <f t="shared" si="770"/>
        <v>NA</v>
      </c>
      <c r="U2352" s="29" t="str">
        <f t="shared" si="771"/>
        <v>NA</v>
      </c>
      <c r="V2352" s="29" t="str">
        <f t="shared" si="772"/>
        <v>NA</v>
      </c>
      <c r="W2352" s="29" t="str">
        <f t="shared" si="773"/>
        <v>NA</v>
      </c>
      <c r="X2352" s="29" t="str">
        <f t="shared" si="774"/>
        <v>NA</v>
      </c>
      <c r="Y2352" s="29" t="str">
        <f t="shared" si="775"/>
        <v>NA</v>
      </c>
      <c r="Z2352" s="29" t="str">
        <f t="shared" si="776"/>
        <v>NA</v>
      </c>
      <c r="AA2352" s="29" t="str">
        <f t="shared" si="777"/>
        <v>NA</v>
      </c>
      <c r="AB2352" s="29" t="str">
        <f t="shared" si="778"/>
        <v>NA</v>
      </c>
      <c r="AC2352" s="29" t="str">
        <f t="shared" si="779"/>
        <v>NA</v>
      </c>
      <c r="AD2352" s="29" t="str">
        <f t="shared" si="780"/>
        <v>NA</v>
      </c>
      <c r="AE2352" s="29" t="str">
        <f t="shared" si="781"/>
        <v>NA</v>
      </c>
      <c r="AF2352" s="29" t="str">
        <f t="shared" si="782"/>
        <v>NA</v>
      </c>
      <c r="AG2352" s="29" t="str">
        <f t="shared" si="783"/>
        <v>NA</v>
      </c>
      <c r="AH2352" s="29" t="str">
        <f t="shared" si="784"/>
        <v>NA</v>
      </c>
    </row>
    <row r="2353" customHeight="1" spans="1:34">
      <c r="A2353" s="12" t="s">
        <v>1043</v>
      </c>
      <c r="F2353" s="24">
        <f t="shared" si="766"/>
        <v>0</v>
      </c>
      <c r="G2353" s="24" t="e">
        <f t="shared" si="765"/>
        <v>#DIV/0!</v>
      </c>
      <c r="Q2353" s="29" t="str">
        <f t="shared" si="767"/>
        <v>NA</v>
      </c>
      <c r="R2353" s="29" t="str">
        <f t="shared" si="768"/>
        <v>NA</v>
      </c>
      <c r="S2353" s="29" t="str">
        <f t="shared" si="769"/>
        <v>NA</v>
      </c>
      <c r="T2353" s="29" t="str">
        <f t="shared" si="770"/>
        <v>NA</v>
      </c>
      <c r="U2353" s="29" t="str">
        <f t="shared" si="771"/>
        <v>NA</v>
      </c>
      <c r="V2353" s="29" t="str">
        <f t="shared" si="772"/>
        <v>NA</v>
      </c>
      <c r="W2353" s="29" t="str">
        <f t="shared" si="773"/>
        <v>NA</v>
      </c>
      <c r="X2353" s="29" t="str">
        <f t="shared" si="774"/>
        <v>NA</v>
      </c>
      <c r="Y2353" s="29" t="str">
        <f t="shared" si="775"/>
        <v>NA</v>
      </c>
      <c r="Z2353" s="29" t="str">
        <f t="shared" si="776"/>
        <v>NA</v>
      </c>
      <c r="AA2353" s="29" t="str">
        <f t="shared" si="777"/>
        <v>NA</v>
      </c>
      <c r="AB2353" s="29" t="str">
        <f t="shared" si="778"/>
        <v>NA</v>
      </c>
      <c r="AC2353" s="29" t="str">
        <f t="shared" si="779"/>
        <v>NA</v>
      </c>
      <c r="AD2353" s="29" t="str">
        <f t="shared" si="780"/>
        <v>NA</v>
      </c>
      <c r="AE2353" s="29" t="str">
        <f t="shared" si="781"/>
        <v>NA</v>
      </c>
      <c r="AF2353" s="29" t="str">
        <f t="shared" si="782"/>
        <v>NA</v>
      </c>
      <c r="AG2353" s="29" t="str">
        <f t="shared" si="783"/>
        <v>NA</v>
      </c>
      <c r="AH2353" s="29" t="str">
        <f t="shared" si="784"/>
        <v>NA</v>
      </c>
    </row>
    <row r="2354" customHeight="1" spans="1:34">
      <c r="A2354" s="12" t="s">
        <v>1043</v>
      </c>
      <c r="F2354" s="24">
        <f t="shared" si="766"/>
        <v>0</v>
      </c>
      <c r="G2354" s="24" t="e">
        <f t="shared" si="765"/>
        <v>#DIV/0!</v>
      </c>
      <c r="Q2354" s="29" t="str">
        <f t="shared" si="767"/>
        <v>NA</v>
      </c>
      <c r="R2354" s="29" t="str">
        <f t="shared" si="768"/>
        <v>NA</v>
      </c>
      <c r="S2354" s="29" t="str">
        <f t="shared" si="769"/>
        <v>NA</v>
      </c>
      <c r="T2354" s="29" t="str">
        <f t="shared" si="770"/>
        <v>NA</v>
      </c>
      <c r="U2354" s="29" t="str">
        <f t="shared" si="771"/>
        <v>NA</v>
      </c>
      <c r="V2354" s="29" t="str">
        <f t="shared" si="772"/>
        <v>NA</v>
      </c>
      <c r="W2354" s="29" t="str">
        <f t="shared" si="773"/>
        <v>NA</v>
      </c>
      <c r="X2354" s="29" t="str">
        <f t="shared" si="774"/>
        <v>NA</v>
      </c>
      <c r="Y2354" s="29" t="str">
        <f t="shared" si="775"/>
        <v>NA</v>
      </c>
      <c r="Z2354" s="29" t="str">
        <f t="shared" si="776"/>
        <v>NA</v>
      </c>
      <c r="AA2354" s="29" t="str">
        <f t="shared" si="777"/>
        <v>NA</v>
      </c>
      <c r="AB2354" s="29" t="str">
        <f t="shared" si="778"/>
        <v>NA</v>
      </c>
      <c r="AC2354" s="29" t="str">
        <f t="shared" si="779"/>
        <v>NA</v>
      </c>
      <c r="AD2354" s="29" t="str">
        <f t="shared" si="780"/>
        <v>NA</v>
      </c>
      <c r="AE2354" s="29" t="str">
        <f t="shared" si="781"/>
        <v>NA</v>
      </c>
      <c r="AF2354" s="29" t="str">
        <f t="shared" si="782"/>
        <v>NA</v>
      </c>
      <c r="AG2354" s="29" t="str">
        <f t="shared" si="783"/>
        <v>NA</v>
      </c>
      <c r="AH2354" s="29" t="str">
        <f t="shared" si="784"/>
        <v>NA</v>
      </c>
    </row>
    <row r="2355" customHeight="1" spans="1:34">
      <c r="A2355" s="12" t="s">
        <v>1043</v>
      </c>
      <c r="F2355" s="24">
        <f t="shared" si="766"/>
        <v>0</v>
      </c>
      <c r="G2355" s="24" t="e">
        <f t="shared" si="765"/>
        <v>#DIV/0!</v>
      </c>
      <c r="Q2355" s="29" t="str">
        <f t="shared" si="767"/>
        <v>NA</v>
      </c>
      <c r="R2355" s="29" t="str">
        <f t="shared" si="768"/>
        <v>NA</v>
      </c>
      <c r="S2355" s="29" t="str">
        <f t="shared" si="769"/>
        <v>NA</v>
      </c>
      <c r="T2355" s="29" t="str">
        <f t="shared" si="770"/>
        <v>NA</v>
      </c>
      <c r="U2355" s="29" t="str">
        <f t="shared" si="771"/>
        <v>NA</v>
      </c>
      <c r="V2355" s="29" t="str">
        <f t="shared" si="772"/>
        <v>NA</v>
      </c>
      <c r="W2355" s="29" t="str">
        <f t="shared" si="773"/>
        <v>NA</v>
      </c>
      <c r="X2355" s="29" t="str">
        <f t="shared" si="774"/>
        <v>NA</v>
      </c>
      <c r="Y2355" s="29" t="str">
        <f t="shared" si="775"/>
        <v>NA</v>
      </c>
      <c r="Z2355" s="29" t="str">
        <f t="shared" si="776"/>
        <v>NA</v>
      </c>
      <c r="AA2355" s="29" t="str">
        <f t="shared" si="777"/>
        <v>NA</v>
      </c>
      <c r="AB2355" s="29" t="str">
        <f t="shared" si="778"/>
        <v>NA</v>
      </c>
      <c r="AC2355" s="29" t="str">
        <f t="shared" si="779"/>
        <v>NA</v>
      </c>
      <c r="AD2355" s="29" t="str">
        <f t="shared" si="780"/>
        <v>NA</v>
      </c>
      <c r="AE2355" s="29" t="str">
        <f t="shared" si="781"/>
        <v>NA</v>
      </c>
      <c r="AF2355" s="29" t="str">
        <f t="shared" si="782"/>
        <v>NA</v>
      </c>
      <c r="AG2355" s="29" t="str">
        <f t="shared" si="783"/>
        <v>NA</v>
      </c>
      <c r="AH2355" s="29" t="str">
        <f t="shared" si="784"/>
        <v>NA</v>
      </c>
    </row>
    <row r="2356" customHeight="1" spans="1:34">
      <c r="A2356" s="12" t="s">
        <v>1043</v>
      </c>
      <c r="F2356" s="24">
        <f t="shared" si="766"/>
        <v>0</v>
      </c>
      <c r="G2356" s="24" t="e">
        <f t="shared" si="765"/>
        <v>#DIV/0!</v>
      </c>
      <c r="Q2356" s="29" t="str">
        <f t="shared" si="767"/>
        <v>NA</v>
      </c>
      <c r="R2356" s="29" t="str">
        <f t="shared" si="768"/>
        <v>NA</v>
      </c>
      <c r="S2356" s="29" t="str">
        <f t="shared" si="769"/>
        <v>NA</v>
      </c>
      <c r="T2356" s="29" t="str">
        <f t="shared" si="770"/>
        <v>NA</v>
      </c>
      <c r="U2356" s="29" t="str">
        <f t="shared" si="771"/>
        <v>NA</v>
      </c>
      <c r="V2356" s="29" t="str">
        <f t="shared" si="772"/>
        <v>NA</v>
      </c>
      <c r="W2356" s="29" t="str">
        <f t="shared" si="773"/>
        <v>NA</v>
      </c>
      <c r="X2356" s="29" t="str">
        <f t="shared" si="774"/>
        <v>NA</v>
      </c>
      <c r="Y2356" s="29" t="str">
        <f t="shared" si="775"/>
        <v>NA</v>
      </c>
      <c r="Z2356" s="29" t="str">
        <f t="shared" si="776"/>
        <v>NA</v>
      </c>
      <c r="AA2356" s="29" t="str">
        <f t="shared" si="777"/>
        <v>NA</v>
      </c>
      <c r="AB2356" s="29" t="str">
        <f t="shared" si="778"/>
        <v>NA</v>
      </c>
      <c r="AC2356" s="29" t="str">
        <f t="shared" si="779"/>
        <v>NA</v>
      </c>
      <c r="AD2356" s="29" t="str">
        <f t="shared" si="780"/>
        <v>NA</v>
      </c>
      <c r="AE2356" s="29" t="str">
        <f t="shared" si="781"/>
        <v>NA</v>
      </c>
      <c r="AF2356" s="29" t="str">
        <f t="shared" si="782"/>
        <v>NA</v>
      </c>
      <c r="AG2356" s="29" t="str">
        <f t="shared" si="783"/>
        <v>NA</v>
      </c>
      <c r="AH2356" s="29" t="str">
        <f t="shared" si="784"/>
        <v>NA</v>
      </c>
    </row>
    <row r="2357" customHeight="1" spans="1:34">
      <c r="A2357" s="12" t="s">
        <v>1043</v>
      </c>
      <c r="F2357" s="24">
        <f t="shared" si="766"/>
        <v>0</v>
      </c>
      <c r="G2357" s="24" t="e">
        <f t="shared" si="765"/>
        <v>#DIV/0!</v>
      </c>
      <c r="Q2357" s="29" t="str">
        <f t="shared" si="767"/>
        <v>NA</v>
      </c>
      <c r="R2357" s="29" t="str">
        <f t="shared" si="768"/>
        <v>NA</v>
      </c>
      <c r="S2357" s="29" t="str">
        <f t="shared" si="769"/>
        <v>NA</v>
      </c>
      <c r="T2357" s="29" t="str">
        <f t="shared" si="770"/>
        <v>NA</v>
      </c>
      <c r="U2357" s="29" t="str">
        <f t="shared" si="771"/>
        <v>NA</v>
      </c>
      <c r="V2357" s="29" t="str">
        <f t="shared" si="772"/>
        <v>NA</v>
      </c>
      <c r="W2357" s="29" t="str">
        <f t="shared" si="773"/>
        <v>NA</v>
      </c>
      <c r="X2357" s="29" t="str">
        <f t="shared" si="774"/>
        <v>NA</v>
      </c>
      <c r="Y2357" s="29" t="str">
        <f t="shared" si="775"/>
        <v>NA</v>
      </c>
      <c r="Z2357" s="29" t="str">
        <f t="shared" si="776"/>
        <v>NA</v>
      </c>
      <c r="AA2357" s="29" t="str">
        <f t="shared" si="777"/>
        <v>NA</v>
      </c>
      <c r="AB2357" s="29" t="str">
        <f t="shared" si="778"/>
        <v>NA</v>
      </c>
      <c r="AC2357" s="29" t="str">
        <f t="shared" si="779"/>
        <v>NA</v>
      </c>
      <c r="AD2357" s="29" t="str">
        <f t="shared" si="780"/>
        <v>NA</v>
      </c>
      <c r="AE2357" s="29" t="str">
        <f t="shared" si="781"/>
        <v>NA</v>
      </c>
      <c r="AF2357" s="29" t="str">
        <f t="shared" si="782"/>
        <v>NA</v>
      </c>
      <c r="AG2357" s="29" t="str">
        <f t="shared" si="783"/>
        <v>NA</v>
      </c>
      <c r="AH2357" s="29" t="str">
        <f t="shared" si="784"/>
        <v>NA</v>
      </c>
    </row>
    <row r="2358" customHeight="1" spans="1:34">
      <c r="A2358" s="12" t="s">
        <v>1043</v>
      </c>
      <c r="F2358" s="24">
        <f t="shared" si="766"/>
        <v>0</v>
      </c>
      <c r="G2358" s="24" t="e">
        <f t="shared" si="765"/>
        <v>#DIV/0!</v>
      </c>
      <c r="Q2358" s="29" t="str">
        <f t="shared" si="767"/>
        <v>NA</v>
      </c>
      <c r="R2358" s="29" t="str">
        <f t="shared" si="768"/>
        <v>NA</v>
      </c>
      <c r="S2358" s="29" t="str">
        <f t="shared" si="769"/>
        <v>NA</v>
      </c>
      <c r="T2358" s="29" t="str">
        <f t="shared" si="770"/>
        <v>NA</v>
      </c>
      <c r="U2358" s="29" t="str">
        <f t="shared" si="771"/>
        <v>NA</v>
      </c>
      <c r="V2358" s="29" t="str">
        <f t="shared" si="772"/>
        <v>NA</v>
      </c>
      <c r="W2358" s="29" t="str">
        <f t="shared" si="773"/>
        <v>NA</v>
      </c>
      <c r="X2358" s="29" t="str">
        <f t="shared" si="774"/>
        <v>NA</v>
      </c>
      <c r="Y2358" s="29" t="str">
        <f t="shared" si="775"/>
        <v>NA</v>
      </c>
      <c r="Z2358" s="29" t="str">
        <f t="shared" si="776"/>
        <v>NA</v>
      </c>
      <c r="AA2358" s="29" t="str">
        <f t="shared" si="777"/>
        <v>NA</v>
      </c>
      <c r="AB2358" s="29" t="str">
        <f t="shared" si="778"/>
        <v>NA</v>
      </c>
      <c r="AC2358" s="29" t="str">
        <f t="shared" si="779"/>
        <v>NA</v>
      </c>
      <c r="AD2358" s="29" t="str">
        <f t="shared" si="780"/>
        <v>NA</v>
      </c>
      <c r="AE2358" s="29" t="str">
        <f t="shared" si="781"/>
        <v>NA</v>
      </c>
      <c r="AF2358" s="29" t="str">
        <f t="shared" si="782"/>
        <v>NA</v>
      </c>
      <c r="AG2358" s="29" t="str">
        <f t="shared" si="783"/>
        <v>NA</v>
      </c>
      <c r="AH2358" s="29" t="str">
        <f t="shared" si="784"/>
        <v>NA</v>
      </c>
    </row>
    <row r="2359" customHeight="1" spans="1:34">
      <c r="A2359" s="12" t="s">
        <v>1043</v>
      </c>
      <c r="F2359" s="24">
        <f t="shared" si="766"/>
        <v>0</v>
      </c>
      <c r="G2359" s="24" t="e">
        <f t="shared" si="765"/>
        <v>#DIV/0!</v>
      </c>
      <c r="Q2359" s="29" t="str">
        <f t="shared" si="767"/>
        <v>NA</v>
      </c>
      <c r="R2359" s="29" t="str">
        <f t="shared" si="768"/>
        <v>NA</v>
      </c>
      <c r="S2359" s="29" t="str">
        <f t="shared" si="769"/>
        <v>NA</v>
      </c>
      <c r="T2359" s="29" t="str">
        <f t="shared" si="770"/>
        <v>NA</v>
      </c>
      <c r="U2359" s="29" t="str">
        <f t="shared" si="771"/>
        <v>NA</v>
      </c>
      <c r="V2359" s="29" t="str">
        <f t="shared" si="772"/>
        <v>NA</v>
      </c>
      <c r="W2359" s="29" t="str">
        <f t="shared" si="773"/>
        <v>NA</v>
      </c>
      <c r="X2359" s="29" t="str">
        <f t="shared" si="774"/>
        <v>NA</v>
      </c>
      <c r="Y2359" s="29" t="str">
        <f t="shared" si="775"/>
        <v>NA</v>
      </c>
      <c r="Z2359" s="29" t="str">
        <f t="shared" si="776"/>
        <v>NA</v>
      </c>
      <c r="AA2359" s="29" t="str">
        <f t="shared" si="777"/>
        <v>NA</v>
      </c>
      <c r="AB2359" s="29" t="str">
        <f t="shared" si="778"/>
        <v>NA</v>
      </c>
      <c r="AC2359" s="29" t="str">
        <f t="shared" si="779"/>
        <v>NA</v>
      </c>
      <c r="AD2359" s="29" t="str">
        <f t="shared" si="780"/>
        <v>NA</v>
      </c>
      <c r="AE2359" s="29" t="str">
        <f t="shared" si="781"/>
        <v>NA</v>
      </c>
      <c r="AF2359" s="29" t="str">
        <f t="shared" si="782"/>
        <v>NA</v>
      </c>
      <c r="AG2359" s="29" t="str">
        <f t="shared" si="783"/>
        <v>NA</v>
      </c>
      <c r="AH2359" s="29" t="str">
        <f t="shared" si="784"/>
        <v>NA</v>
      </c>
    </row>
    <row r="2360" customHeight="1" spans="1:34">
      <c r="A2360" s="12" t="s">
        <v>1043</v>
      </c>
      <c r="F2360" s="24">
        <f t="shared" si="766"/>
        <v>0</v>
      </c>
      <c r="G2360" s="24" t="e">
        <f t="shared" si="765"/>
        <v>#DIV/0!</v>
      </c>
      <c r="Q2360" s="29" t="str">
        <f t="shared" si="767"/>
        <v>NA</v>
      </c>
      <c r="R2360" s="29" t="str">
        <f t="shared" si="768"/>
        <v>NA</v>
      </c>
      <c r="S2360" s="29" t="str">
        <f t="shared" si="769"/>
        <v>NA</v>
      </c>
      <c r="T2360" s="29" t="str">
        <f t="shared" si="770"/>
        <v>NA</v>
      </c>
      <c r="U2360" s="29" t="str">
        <f t="shared" si="771"/>
        <v>NA</v>
      </c>
      <c r="V2360" s="29" t="str">
        <f t="shared" si="772"/>
        <v>NA</v>
      </c>
      <c r="W2360" s="29" t="str">
        <f t="shared" si="773"/>
        <v>NA</v>
      </c>
      <c r="X2360" s="29" t="str">
        <f t="shared" si="774"/>
        <v>NA</v>
      </c>
      <c r="Y2360" s="29" t="str">
        <f t="shared" si="775"/>
        <v>NA</v>
      </c>
      <c r="Z2360" s="29" t="str">
        <f t="shared" si="776"/>
        <v>NA</v>
      </c>
      <c r="AA2360" s="29" t="str">
        <f t="shared" si="777"/>
        <v>NA</v>
      </c>
      <c r="AB2360" s="29" t="str">
        <f t="shared" si="778"/>
        <v>NA</v>
      </c>
      <c r="AC2360" s="29" t="str">
        <f t="shared" si="779"/>
        <v>NA</v>
      </c>
      <c r="AD2360" s="29" t="str">
        <f t="shared" si="780"/>
        <v>NA</v>
      </c>
      <c r="AE2360" s="29" t="str">
        <f t="shared" si="781"/>
        <v>NA</v>
      </c>
      <c r="AF2360" s="29" t="str">
        <f t="shared" si="782"/>
        <v>NA</v>
      </c>
      <c r="AG2360" s="29" t="str">
        <f t="shared" si="783"/>
        <v>NA</v>
      </c>
      <c r="AH2360" s="29" t="str">
        <f t="shared" si="784"/>
        <v>NA</v>
      </c>
    </row>
    <row r="2361" customHeight="1" spans="1:34">
      <c r="A2361" s="12" t="s">
        <v>1043</v>
      </c>
      <c r="F2361" s="24">
        <f t="shared" si="766"/>
        <v>0</v>
      </c>
      <c r="G2361" s="24" t="e">
        <f t="shared" si="765"/>
        <v>#DIV/0!</v>
      </c>
      <c r="Q2361" s="29" t="str">
        <f t="shared" si="767"/>
        <v>NA</v>
      </c>
      <c r="R2361" s="29" t="str">
        <f t="shared" si="768"/>
        <v>NA</v>
      </c>
      <c r="S2361" s="29" t="str">
        <f t="shared" si="769"/>
        <v>NA</v>
      </c>
      <c r="T2361" s="29" t="str">
        <f t="shared" si="770"/>
        <v>NA</v>
      </c>
      <c r="U2361" s="29" t="str">
        <f t="shared" si="771"/>
        <v>NA</v>
      </c>
      <c r="V2361" s="29" t="str">
        <f t="shared" si="772"/>
        <v>NA</v>
      </c>
      <c r="W2361" s="29" t="str">
        <f t="shared" si="773"/>
        <v>NA</v>
      </c>
      <c r="X2361" s="29" t="str">
        <f t="shared" si="774"/>
        <v>NA</v>
      </c>
      <c r="Y2361" s="29" t="str">
        <f t="shared" si="775"/>
        <v>NA</v>
      </c>
      <c r="Z2361" s="29" t="str">
        <f t="shared" si="776"/>
        <v>NA</v>
      </c>
      <c r="AA2361" s="29" t="str">
        <f t="shared" si="777"/>
        <v>NA</v>
      </c>
      <c r="AB2361" s="29" t="str">
        <f t="shared" si="778"/>
        <v>NA</v>
      </c>
      <c r="AC2361" s="29" t="str">
        <f t="shared" si="779"/>
        <v>NA</v>
      </c>
      <c r="AD2361" s="29" t="str">
        <f t="shared" si="780"/>
        <v>NA</v>
      </c>
      <c r="AE2361" s="29" t="str">
        <f t="shared" si="781"/>
        <v>NA</v>
      </c>
      <c r="AF2361" s="29" t="str">
        <f t="shared" si="782"/>
        <v>NA</v>
      </c>
      <c r="AG2361" s="29" t="str">
        <f t="shared" si="783"/>
        <v>NA</v>
      </c>
      <c r="AH2361" s="29" t="str">
        <f t="shared" si="784"/>
        <v>NA</v>
      </c>
    </row>
    <row r="2362" customHeight="1" spans="1:34">
      <c r="A2362" s="12" t="s">
        <v>1043</v>
      </c>
      <c r="F2362" s="24">
        <f t="shared" si="766"/>
        <v>0</v>
      </c>
      <c r="G2362" s="24" t="e">
        <f t="shared" si="765"/>
        <v>#DIV/0!</v>
      </c>
      <c r="Q2362" s="29" t="str">
        <f t="shared" si="767"/>
        <v>NA</v>
      </c>
      <c r="R2362" s="29" t="str">
        <f t="shared" si="768"/>
        <v>NA</v>
      </c>
      <c r="S2362" s="29" t="str">
        <f t="shared" si="769"/>
        <v>NA</v>
      </c>
      <c r="T2362" s="29" t="str">
        <f t="shared" si="770"/>
        <v>NA</v>
      </c>
      <c r="U2362" s="29" t="str">
        <f t="shared" si="771"/>
        <v>NA</v>
      </c>
      <c r="V2362" s="29" t="str">
        <f t="shared" si="772"/>
        <v>NA</v>
      </c>
      <c r="W2362" s="29" t="str">
        <f t="shared" si="773"/>
        <v>NA</v>
      </c>
      <c r="X2362" s="29" t="str">
        <f t="shared" si="774"/>
        <v>NA</v>
      </c>
      <c r="Y2362" s="29" t="str">
        <f t="shared" si="775"/>
        <v>NA</v>
      </c>
      <c r="Z2362" s="29" t="str">
        <f t="shared" si="776"/>
        <v>NA</v>
      </c>
      <c r="AA2362" s="29" t="str">
        <f t="shared" si="777"/>
        <v>NA</v>
      </c>
      <c r="AB2362" s="29" t="str">
        <f t="shared" si="778"/>
        <v>NA</v>
      </c>
      <c r="AC2362" s="29" t="str">
        <f t="shared" si="779"/>
        <v>NA</v>
      </c>
      <c r="AD2362" s="29" t="str">
        <f t="shared" si="780"/>
        <v>NA</v>
      </c>
      <c r="AE2362" s="29" t="str">
        <f t="shared" si="781"/>
        <v>NA</v>
      </c>
      <c r="AF2362" s="29" t="str">
        <f t="shared" si="782"/>
        <v>NA</v>
      </c>
      <c r="AG2362" s="29" t="str">
        <f t="shared" si="783"/>
        <v>NA</v>
      </c>
      <c r="AH2362" s="29" t="str">
        <f t="shared" si="784"/>
        <v>NA</v>
      </c>
    </row>
    <row r="2363" customHeight="1" spans="1:34">
      <c r="A2363" s="12" t="s">
        <v>1043</v>
      </c>
      <c r="F2363" s="24">
        <f t="shared" si="766"/>
        <v>0</v>
      </c>
      <c r="G2363" s="24" t="e">
        <f t="shared" si="765"/>
        <v>#DIV/0!</v>
      </c>
      <c r="Q2363" s="29" t="str">
        <f t="shared" si="767"/>
        <v>NA</v>
      </c>
      <c r="R2363" s="29" t="str">
        <f t="shared" si="768"/>
        <v>NA</v>
      </c>
      <c r="S2363" s="29" t="str">
        <f t="shared" si="769"/>
        <v>NA</v>
      </c>
      <c r="T2363" s="29" t="str">
        <f t="shared" si="770"/>
        <v>NA</v>
      </c>
      <c r="U2363" s="29" t="str">
        <f t="shared" si="771"/>
        <v>NA</v>
      </c>
      <c r="V2363" s="29" t="str">
        <f t="shared" si="772"/>
        <v>NA</v>
      </c>
      <c r="W2363" s="29" t="str">
        <f t="shared" si="773"/>
        <v>NA</v>
      </c>
      <c r="X2363" s="29" t="str">
        <f t="shared" si="774"/>
        <v>NA</v>
      </c>
      <c r="Y2363" s="29" t="str">
        <f t="shared" si="775"/>
        <v>NA</v>
      </c>
      <c r="Z2363" s="29" t="str">
        <f t="shared" si="776"/>
        <v>NA</v>
      </c>
      <c r="AA2363" s="29" t="str">
        <f t="shared" si="777"/>
        <v>NA</v>
      </c>
      <c r="AB2363" s="29" t="str">
        <f t="shared" si="778"/>
        <v>NA</v>
      </c>
      <c r="AC2363" s="29" t="str">
        <f t="shared" si="779"/>
        <v>NA</v>
      </c>
      <c r="AD2363" s="29" t="str">
        <f t="shared" si="780"/>
        <v>NA</v>
      </c>
      <c r="AE2363" s="29" t="str">
        <f t="shared" si="781"/>
        <v>NA</v>
      </c>
      <c r="AF2363" s="29" t="str">
        <f t="shared" si="782"/>
        <v>NA</v>
      </c>
      <c r="AG2363" s="29" t="str">
        <f t="shared" si="783"/>
        <v>NA</v>
      </c>
      <c r="AH2363" s="29" t="str">
        <f t="shared" si="784"/>
        <v>NA</v>
      </c>
    </row>
    <row r="2364" customHeight="1" spans="1:34">
      <c r="A2364" s="12" t="s">
        <v>1043</v>
      </c>
      <c r="F2364" s="24">
        <f t="shared" si="766"/>
        <v>0</v>
      </c>
      <c r="G2364" s="24" t="e">
        <f t="shared" si="765"/>
        <v>#DIV/0!</v>
      </c>
      <c r="Q2364" s="29" t="str">
        <f t="shared" si="767"/>
        <v>NA</v>
      </c>
      <c r="R2364" s="29" t="str">
        <f t="shared" si="768"/>
        <v>NA</v>
      </c>
      <c r="S2364" s="29" t="str">
        <f t="shared" si="769"/>
        <v>NA</v>
      </c>
      <c r="T2364" s="29" t="str">
        <f t="shared" si="770"/>
        <v>NA</v>
      </c>
      <c r="U2364" s="29" t="str">
        <f t="shared" si="771"/>
        <v>NA</v>
      </c>
      <c r="V2364" s="29" t="str">
        <f t="shared" si="772"/>
        <v>NA</v>
      </c>
      <c r="W2364" s="29" t="str">
        <f t="shared" si="773"/>
        <v>NA</v>
      </c>
      <c r="X2364" s="29" t="str">
        <f t="shared" si="774"/>
        <v>NA</v>
      </c>
      <c r="Y2364" s="29" t="str">
        <f t="shared" si="775"/>
        <v>NA</v>
      </c>
      <c r="Z2364" s="29" t="str">
        <f t="shared" si="776"/>
        <v>NA</v>
      </c>
      <c r="AA2364" s="29" t="str">
        <f t="shared" si="777"/>
        <v>NA</v>
      </c>
      <c r="AB2364" s="29" t="str">
        <f t="shared" si="778"/>
        <v>NA</v>
      </c>
      <c r="AC2364" s="29" t="str">
        <f t="shared" si="779"/>
        <v>NA</v>
      </c>
      <c r="AD2364" s="29" t="str">
        <f t="shared" si="780"/>
        <v>NA</v>
      </c>
      <c r="AE2364" s="29" t="str">
        <f t="shared" si="781"/>
        <v>NA</v>
      </c>
      <c r="AF2364" s="29" t="str">
        <f t="shared" si="782"/>
        <v>NA</v>
      </c>
      <c r="AG2364" s="29" t="str">
        <f t="shared" si="783"/>
        <v>NA</v>
      </c>
      <c r="AH2364" s="29" t="str">
        <f t="shared" si="784"/>
        <v>NA</v>
      </c>
    </row>
    <row r="2365" customHeight="1" spans="1:34">
      <c r="A2365" s="12" t="s">
        <v>1043</v>
      </c>
      <c r="F2365" s="24">
        <f t="shared" si="766"/>
        <v>0</v>
      </c>
      <c r="G2365" s="24" t="e">
        <f t="shared" si="765"/>
        <v>#DIV/0!</v>
      </c>
      <c r="Q2365" s="29" t="str">
        <f t="shared" si="767"/>
        <v>NA</v>
      </c>
      <c r="R2365" s="29" t="str">
        <f t="shared" si="768"/>
        <v>NA</v>
      </c>
      <c r="S2365" s="29" t="str">
        <f t="shared" si="769"/>
        <v>NA</v>
      </c>
      <c r="T2365" s="29" t="str">
        <f t="shared" si="770"/>
        <v>NA</v>
      </c>
      <c r="U2365" s="29" t="str">
        <f t="shared" si="771"/>
        <v>NA</v>
      </c>
      <c r="V2365" s="29" t="str">
        <f t="shared" si="772"/>
        <v>NA</v>
      </c>
      <c r="W2365" s="29" t="str">
        <f t="shared" si="773"/>
        <v>NA</v>
      </c>
      <c r="X2365" s="29" t="str">
        <f t="shared" si="774"/>
        <v>NA</v>
      </c>
      <c r="Y2365" s="29" t="str">
        <f t="shared" si="775"/>
        <v>NA</v>
      </c>
      <c r="Z2365" s="29" t="str">
        <f t="shared" si="776"/>
        <v>NA</v>
      </c>
      <c r="AA2365" s="29" t="str">
        <f t="shared" si="777"/>
        <v>NA</v>
      </c>
      <c r="AB2365" s="29" t="str">
        <f t="shared" si="778"/>
        <v>NA</v>
      </c>
      <c r="AC2365" s="29" t="str">
        <f t="shared" si="779"/>
        <v>NA</v>
      </c>
      <c r="AD2365" s="29" t="str">
        <f t="shared" si="780"/>
        <v>NA</v>
      </c>
      <c r="AE2365" s="29" t="str">
        <f t="shared" si="781"/>
        <v>NA</v>
      </c>
      <c r="AF2365" s="29" t="str">
        <f t="shared" si="782"/>
        <v>NA</v>
      </c>
      <c r="AG2365" s="29" t="str">
        <f t="shared" si="783"/>
        <v>NA</v>
      </c>
      <c r="AH2365" s="29" t="str">
        <f t="shared" si="784"/>
        <v>NA</v>
      </c>
    </row>
    <row r="2366" customHeight="1" spans="1:34">
      <c r="A2366" s="12" t="s">
        <v>1043</v>
      </c>
      <c r="F2366" s="24">
        <f t="shared" si="766"/>
        <v>0</v>
      </c>
      <c r="G2366" s="24" t="e">
        <f t="shared" si="765"/>
        <v>#DIV/0!</v>
      </c>
      <c r="Q2366" s="29" t="str">
        <f t="shared" si="767"/>
        <v>NA</v>
      </c>
      <c r="R2366" s="29" t="str">
        <f t="shared" si="768"/>
        <v>NA</v>
      </c>
      <c r="S2366" s="29" t="str">
        <f t="shared" si="769"/>
        <v>NA</v>
      </c>
      <c r="T2366" s="29" t="str">
        <f t="shared" si="770"/>
        <v>NA</v>
      </c>
      <c r="U2366" s="29" t="str">
        <f t="shared" si="771"/>
        <v>NA</v>
      </c>
      <c r="V2366" s="29" t="str">
        <f t="shared" si="772"/>
        <v>NA</v>
      </c>
      <c r="W2366" s="29" t="str">
        <f t="shared" si="773"/>
        <v>NA</v>
      </c>
      <c r="X2366" s="29" t="str">
        <f t="shared" si="774"/>
        <v>NA</v>
      </c>
      <c r="Y2366" s="29" t="str">
        <f t="shared" si="775"/>
        <v>NA</v>
      </c>
      <c r="Z2366" s="29" t="str">
        <f t="shared" si="776"/>
        <v>NA</v>
      </c>
      <c r="AA2366" s="29" t="str">
        <f t="shared" si="777"/>
        <v>NA</v>
      </c>
      <c r="AB2366" s="29" t="str">
        <f t="shared" si="778"/>
        <v>NA</v>
      </c>
      <c r="AC2366" s="29" t="str">
        <f t="shared" si="779"/>
        <v>NA</v>
      </c>
      <c r="AD2366" s="29" t="str">
        <f t="shared" si="780"/>
        <v>NA</v>
      </c>
      <c r="AE2366" s="29" t="str">
        <f t="shared" si="781"/>
        <v>NA</v>
      </c>
      <c r="AF2366" s="29" t="str">
        <f t="shared" si="782"/>
        <v>NA</v>
      </c>
      <c r="AG2366" s="29" t="str">
        <f t="shared" si="783"/>
        <v>NA</v>
      </c>
      <c r="AH2366" s="29" t="str">
        <f t="shared" si="784"/>
        <v>NA</v>
      </c>
    </row>
    <row r="2367" customHeight="1" spans="1:34">
      <c r="A2367" s="12" t="s">
        <v>1043</v>
      </c>
      <c r="F2367" s="24">
        <f t="shared" si="766"/>
        <v>0</v>
      </c>
      <c r="G2367" s="24" t="e">
        <f t="shared" si="765"/>
        <v>#DIV/0!</v>
      </c>
      <c r="Q2367" s="29" t="str">
        <f t="shared" si="767"/>
        <v>NA</v>
      </c>
      <c r="R2367" s="29" t="str">
        <f t="shared" si="768"/>
        <v>NA</v>
      </c>
      <c r="S2367" s="29" t="str">
        <f t="shared" si="769"/>
        <v>NA</v>
      </c>
      <c r="T2367" s="29" t="str">
        <f t="shared" si="770"/>
        <v>NA</v>
      </c>
      <c r="U2367" s="29" t="str">
        <f t="shared" si="771"/>
        <v>NA</v>
      </c>
      <c r="V2367" s="29" t="str">
        <f t="shared" si="772"/>
        <v>NA</v>
      </c>
      <c r="W2367" s="29" t="str">
        <f t="shared" si="773"/>
        <v>NA</v>
      </c>
      <c r="X2367" s="29" t="str">
        <f t="shared" si="774"/>
        <v>NA</v>
      </c>
      <c r="Y2367" s="29" t="str">
        <f t="shared" si="775"/>
        <v>NA</v>
      </c>
      <c r="Z2367" s="29" t="str">
        <f t="shared" si="776"/>
        <v>NA</v>
      </c>
      <c r="AA2367" s="29" t="str">
        <f t="shared" si="777"/>
        <v>NA</v>
      </c>
      <c r="AB2367" s="29" t="str">
        <f t="shared" si="778"/>
        <v>NA</v>
      </c>
      <c r="AC2367" s="29" t="str">
        <f t="shared" si="779"/>
        <v>NA</v>
      </c>
      <c r="AD2367" s="29" t="str">
        <f t="shared" si="780"/>
        <v>NA</v>
      </c>
      <c r="AE2367" s="29" t="str">
        <f t="shared" si="781"/>
        <v>NA</v>
      </c>
      <c r="AF2367" s="29" t="str">
        <f t="shared" si="782"/>
        <v>NA</v>
      </c>
      <c r="AG2367" s="29" t="str">
        <f t="shared" si="783"/>
        <v>NA</v>
      </c>
      <c r="AH2367" s="29" t="str">
        <f t="shared" si="784"/>
        <v>NA</v>
      </c>
    </row>
    <row r="2368" customHeight="1" spans="1:34">
      <c r="A2368" s="12" t="s">
        <v>1043</v>
      </c>
      <c r="F2368" s="24">
        <f t="shared" si="766"/>
        <v>0</v>
      </c>
      <c r="G2368" s="24" t="e">
        <f t="shared" si="765"/>
        <v>#DIV/0!</v>
      </c>
      <c r="Q2368" s="29" t="str">
        <f t="shared" si="767"/>
        <v>NA</v>
      </c>
      <c r="R2368" s="29" t="str">
        <f t="shared" si="768"/>
        <v>NA</v>
      </c>
      <c r="S2368" s="29" t="str">
        <f t="shared" si="769"/>
        <v>NA</v>
      </c>
      <c r="T2368" s="29" t="str">
        <f t="shared" si="770"/>
        <v>NA</v>
      </c>
      <c r="U2368" s="29" t="str">
        <f t="shared" si="771"/>
        <v>NA</v>
      </c>
      <c r="V2368" s="29" t="str">
        <f t="shared" si="772"/>
        <v>NA</v>
      </c>
      <c r="W2368" s="29" t="str">
        <f t="shared" si="773"/>
        <v>NA</v>
      </c>
      <c r="X2368" s="29" t="str">
        <f t="shared" si="774"/>
        <v>NA</v>
      </c>
      <c r="Y2368" s="29" t="str">
        <f t="shared" si="775"/>
        <v>NA</v>
      </c>
      <c r="Z2368" s="29" t="str">
        <f t="shared" si="776"/>
        <v>NA</v>
      </c>
      <c r="AA2368" s="29" t="str">
        <f t="shared" si="777"/>
        <v>NA</v>
      </c>
      <c r="AB2368" s="29" t="str">
        <f t="shared" si="778"/>
        <v>NA</v>
      </c>
      <c r="AC2368" s="29" t="str">
        <f t="shared" si="779"/>
        <v>NA</v>
      </c>
      <c r="AD2368" s="29" t="str">
        <f t="shared" si="780"/>
        <v>NA</v>
      </c>
      <c r="AE2368" s="29" t="str">
        <f t="shared" si="781"/>
        <v>NA</v>
      </c>
      <c r="AF2368" s="29" t="str">
        <f t="shared" si="782"/>
        <v>NA</v>
      </c>
      <c r="AG2368" s="29" t="str">
        <f t="shared" si="783"/>
        <v>NA</v>
      </c>
      <c r="AH2368" s="29" t="str">
        <f t="shared" si="784"/>
        <v>NA</v>
      </c>
    </row>
    <row r="2369" customHeight="1" spans="1:34">
      <c r="A2369" s="12" t="s">
        <v>1043</v>
      </c>
      <c r="F2369" s="24">
        <f t="shared" si="766"/>
        <v>0</v>
      </c>
      <c r="G2369" s="24" t="e">
        <f t="shared" si="765"/>
        <v>#DIV/0!</v>
      </c>
      <c r="Q2369" s="29" t="str">
        <f t="shared" si="767"/>
        <v>NA</v>
      </c>
      <c r="R2369" s="29" t="str">
        <f t="shared" si="768"/>
        <v>NA</v>
      </c>
      <c r="S2369" s="29" t="str">
        <f t="shared" si="769"/>
        <v>NA</v>
      </c>
      <c r="T2369" s="29" t="str">
        <f t="shared" si="770"/>
        <v>NA</v>
      </c>
      <c r="U2369" s="29" t="str">
        <f t="shared" si="771"/>
        <v>NA</v>
      </c>
      <c r="V2369" s="29" t="str">
        <f t="shared" si="772"/>
        <v>NA</v>
      </c>
      <c r="W2369" s="29" t="str">
        <f t="shared" si="773"/>
        <v>NA</v>
      </c>
      <c r="X2369" s="29" t="str">
        <f t="shared" si="774"/>
        <v>NA</v>
      </c>
      <c r="Y2369" s="29" t="str">
        <f t="shared" si="775"/>
        <v>NA</v>
      </c>
      <c r="Z2369" s="29" t="str">
        <f t="shared" si="776"/>
        <v>NA</v>
      </c>
      <c r="AA2369" s="29" t="str">
        <f t="shared" si="777"/>
        <v>NA</v>
      </c>
      <c r="AB2369" s="29" t="str">
        <f t="shared" si="778"/>
        <v>NA</v>
      </c>
      <c r="AC2369" s="29" t="str">
        <f t="shared" si="779"/>
        <v>NA</v>
      </c>
      <c r="AD2369" s="29" t="str">
        <f t="shared" si="780"/>
        <v>NA</v>
      </c>
      <c r="AE2369" s="29" t="str">
        <f t="shared" si="781"/>
        <v>NA</v>
      </c>
      <c r="AF2369" s="29" t="str">
        <f t="shared" si="782"/>
        <v>NA</v>
      </c>
      <c r="AG2369" s="29" t="str">
        <f t="shared" si="783"/>
        <v>NA</v>
      </c>
      <c r="AH2369" s="29" t="str">
        <f t="shared" si="784"/>
        <v>NA</v>
      </c>
    </row>
    <row r="2370" customHeight="1" spans="1:34">
      <c r="A2370" s="12" t="s">
        <v>1043</v>
      </c>
      <c r="F2370" s="24">
        <f t="shared" si="766"/>
        <v>0</v>
      </c>
      <c r="G2370" s="24" t="e">
        <f t="shared" si="765"/>
        <v>#DIV/0!</v>
      </c>
      <c r="Q2370" s="29" t="str">
        <f t="shared" si="767"/>
        <v>NA</v>
      </c>
      <c r="R2370" s="29" t="str">
        <f t="shared" si="768"/>
        <v>NA</v>
      </c>
      <c r="S2370" s="29" t="str">
        <f t="shared" si="769"/>
        <v>NA</v>
      </c>
      <c r="T2370" s="29" t="str">
        <f t="shared" si="770"/>
        <v>NA</v>
      </c>
      <c r="U2370" s="29" t="str">
        <f t="shared" si="771"/>
        <v>NA</v>
      </c>
      <c r="V2370" s="29" t="str">
        <f t="shared" si="772"/>
        <v>NA</v>
      </c>
      <c r="W2370" s="29" t="str">
        <f t="shared" si="773"/>
        <v>NA</v>
      </c>
      <c r="X2370" s="29" t="str">
        <f t="shared" si="774"/>
        <v>NA</v>
      </c>
      <c r="Y2370" s="29" t="str">
        <f t="shared" si="775"/>
        <v>NA</v>
      </c>
      <c r="Z2370" s="29" t="str">
        <f t="shared" si="776"/>
        <v>NA</v>
      </c>
      <c r="AA2370" s="29" t="str">
        <f t="shared" si="777"/>
        <v>NA</v>
      </c>
      <c r="AB2370" s="29" t="str">
        <f t="shared" si="778"/>
        <v>NA</v>
      </c>
      <c r="AC2370" s="29" t="str">
        <f t="shared" si="779"/>
        <v>NA</v>
      </c>
      <c r="AD2370" s="29" t="str">
        <f t="shared" si="780"/>
        <v>NA</v>
      </c>
      <c r="AE2370" s="29" t="str">
        <f t="shared" si="781"/>
        <v>NA</v>
      </c>
      <c r="AF2370" s="29" t="str">
        <f t="shared" si="782"/>
        <v>NA</v>
      </c>
      <c r="AG2370" s="29" t="str">
        <f t="shared" si="783"/>
        <v>NA</v>
      </c>
      <c r="AH2370" s="29" t="str">
        <f t="shared" si="784"/>
        <v>NA</v>
      </c>
    </row>
    <row r="2371" customHeight="1" spans="1:34">
      <c r="A2371" s="12" t="s">
        <v>1043</v>
      </c>
      <c r="F2371" s="24">
        <f t="shared" si="766"/>
        <v>0</v>
      </c>
      <c r="G2371" s="24" t="e">
        <f t="shared" si="765"/>
        <v>#DIV/0!</v>
      </c>
      <c r="Q2371" s="29" t="str">
        <f t="shared" si="767"/>
        <v>NA</v>
      </c>
      <c r="R2371" s="29" t="str">
        <f t="shared" si="768"/>
        <v>NA</v>
      </c>
      <c r="S2371" s="29" t="str">
        <f t="shared" si="769"/>
        <v>NA</v>
      </c>
      <c r="T2371" s="29" t="str">
        <f t="shared" si="770"/>
        <v>NA</v>
      </c>
      <c r="U2371" s="29" t="str">
        <f t="shared" si="771"/>
        <v>NA</v>
      </c>
      <c r="V2371" s="29" t="str">
        <f t="shared" si="772"/>
        <v>NA</v>
      </c>
      <c r="W2371" s="29" t="str">
        <f t="shared" si="773"/>
        <v>NA</v>
      </c>
      <c r="X2371" s="29" t="str">
        <f t="shared" si="774"/>
        <v>NA</v>
      </c>
      <c r="Y2371" s="29" t="str">
        <f t="shared" si="775"/>
        <v>NA</v>
      </c>
      <c r="Z2371" s="29" t="str">
        <f t="shared" si="776"/>
        <v>NA</v>
      </c>
      <c r="AA2371" s="29" t="str">
        <f t="shared" si="777"/>
        <v>NA</v>
      </c>
      <c r="AB2371" s="29" t="str">
        <f t="shared" si="778"/>
        <v>NA</v>
      </c>
      <c r="AC2371" s="29" t="str">
        <f t="shared" si="779"/>
        <v>NA</v>
      </c>
      <c r="AD2371" s="29" t="str">
        <f t="shared" si="780"/>
        <v>NA</v>
      </c>
      <c r="AE2371" s="29" t="str">
        <f t="shared" si="781"/>
        <v>NA</v>
      </c>
      <c r="AF2371" s="29" t="str">
        <f t="shared" si="782"/>
        <v>NA</v>
      </c>
      <c r="AG2371" s="29" t="str">
        <f t="shared" si="783"/>
        <v>NA</v>
      </c>
      <c r="AH2371" s="29" t="str">
        <f t="shared" si="784"/>
        <v>NA</v>
      </c>
    </row>
    <row r="2372" customHeight="1" spans="1:34">
      <c r="A2372" s="12" t="s">
        <v>1043</v>
      </c>
      <c r="F2372" s="24">
        <f t="shared" si="766"/>
        <v>0</v>
      </c>
      <c r="G2372" s="24" t="e">
        <f t="shared" si="765"/>
        <v>#DIV/0!</v>
      </c>
      <c r="Q2372" s="29" t="str">
        <f t="shared" si="767"/>
        <v>NA</v>
      </c>
      <c r="R2372" s="29" t="str">
        <f t="shared" si="768"/>
        <v>NA</v>
      </c>
      <c r="S2372" s="29" t="str">
        <f t="shared" si="769"/>
        <v>NA</v>
      </c>
      <c r="T2372" s="29" t="str">
        <f t="shared" si="770"/>
        <v>NA</v>
      </c>
      <c r="U2372" s="29" t="str">
        <f t="shared" si="771"/>
        <v>NA</v>
      </c>
      <c r="V2372" s="29" t="str">
        <f t="shared" si="772"/>
        <v>NA</v>
      </c>
      <c r="W2372" s="29" t="str">
        <f t="shared" si="773"/>
        <v>NA</v>
      </c>
      <c r="X2372" s="29" t="str">
        <f t="shared" si="774"/>
        <v>NA</v>
      </c>
      <c r="Y2372" s="29" t="str">
        <f t="shared" si="775"/>
        <v>NA</v>
      </c>
      <c r="Z2372" s="29" t="str">
        <f t="shared" si="776"/>
        <v>NA</v>
      </c>
      <c r="AA2372" s="29" t="str">
        <f t="shared" si="777"/>
        <v>NA</v>
      </c>
      <c r="AB2372" s="29" t="str">
        <f t="shared" si="778"/>
        <v>NA</v>
      </c>
      <c r="AC2372" s="29" t="str">
        <f t="shared" si="779"/>
        <v>NA</v>
      </c>
      <c r="AD2372" s="29" t="str">
        <f t="shared" si="780"/>
        <v>NA</v>
      </c>
      <c r="AE2372" s="29" t="str">
        <f t="shared" si="781"/>
        <v>NA</v>
      </c>
      <c r="AF2372" s="29" t="str">
        <f t="shared" si="782"/>
        <v>NA</v>
      </c>
      <c r="AG2372" s="29" t="str">
        <f t="shared" si="783"/>
        <v>NA</v>
      </c>
      <c r="AH2372" s="29" t="str">
        <f t="shared" si="784"/>
        <v>NA</v>
      </c>
    </row>
    <row r="2373" customHeight="1" spans="1:34">
      <c r="A2373" s="12" t="s">
        <v>1043</v>
      </c>
      <c r="F2373" s="24">
        <f t="shared" si="766"/>
        <v>0</v>
      </c>
      <c r="G2373" s="24" t="e">
        <f t="shared" ref="G2373:G2436" si="785">B2373*D2373/C2373</f>
        <v>#DIV/0!</v>
      </c>
      <c r="Q2373" s="29" t="str">
        <f t="shared" si="767"/>
        <v>NA</v>
      </c>
      <c r="R2373" s="29" t="str">
        <f t="shared" si="768"/>
        <v>NA</v>
      </c>
      <c r="S2373" s="29" t="str">
        <f t="shared" si="769"/>
        <v>NA</v>
      </c>
      <c r="T2373" s="29" t="str">
        <f t="shared" si="770"/>
        <v>NA</v>
      </c>
      <c r="U2373" s="29" t="str">
        <f t="shared" si="771"/>
        <v>NA</v>
      </c>
      <c r="V2373" s="29" t="str">
        <f t="shared" si="772"/>
        <v>NA</v>
      </c>
      <c r="W2373" s="29" t="str">
        <f t="shared" si="773"/>
        <v>NA</v>
      </c>
      <c r="X2373" s="29" t="str">
        <f t="shared" si="774"/>
        <v>NA</v>
      </c>
      <c r="Y2373" s="29" t="str">
        <f t="shared" si="775"/>
        <v>NA</v>
      </c>
      <c r="Z2373" s="29" t="str">
        <f t="shared" si="776"/>
        <v>NA</v>
      </c>
      <c r="AA2373" s="29" t="str">
        <f t="shared" si="777"/>
        <v>NA</v>
      </c>
      <c r="AB2373" s="29" t="str">
        <f t="shared" si="778"/>
        <v>NA</v>
      </c>
      <c r="AC2373" s="29" t="str">
        <f t="shared" si="779"/>
        <v>NA</v>
      </c>
      <c r="AD2373" s="29" t="str">
        <f t="shared" si="780"/>
        <v>NA</v>
      </c>
      <c r="AE2373" s="29" t="str">
        <f t="shared" si="781"/>
        <v>NA</v>
      </c>
      <c r="AF2373" s="29" t="str">
        <f t="shared" si="782"/>
        <v>NA</v>
      </c>
      <c r="AG2373" s="29" t="str">
        <f t="shared" si="783"/>
        <v>NA</v>
      </c>
      <c r="AH2373" s="29" t="str">
        <f t="shared" si="784"/>
        <v>NA</v>
      </c>
    </row>
    <row r="2374" customHeight="1" spans="1:34">
      <c r="A2374" s="12" t="s">
        <v>1043</v>
      </c>
      <c r="F2374" s="24">
        <f t="shared" ref="F2374:F2437" si="786">+D2374+E2374</f>
        <v>0</v>
      </c>
      <c r="G2374" s="24" t="e">
        <f t="shared" si="785"/>
        <v>#DIV/0!</v>
      </c>
      <c r="Q2374" s="29" t="str">
        <f t="shared" si="767"/>
        <v>NA</v>
      </c>
      <c r="R2374" s="29" t="str">
        <f t="shared" si="768"/>
        <v>NA</v>
      </c>
      <c r="S2374" s="29" t="str">
        <f t="shared" si="769"/>
        <v>NA</v>
      </c>
      <c r="T2374" s="29" t="str">
        <f t="shared" si="770"/>
        <v>NA</v>
      </c>
      <c r="U2374" s="29" t="str">
        <f t="shared" si="771"/>
        <v>NA</v>
      </c>
      <c r="V2374" s="29" t="str">
        <f t="shared" si="772"/>
        <v>NA</v>
      </c>
      <c r="W2374" s="29" t="str">
        <f t="shared" si="773"/>
        <v>NA</v>
      </c>
      <c r="X2374" s="29" t="str">
        <f t="shared" si="774"/>
        <v>NA</v>
      </c>
      <c r="Y2374" s="29" t="str">
        <f t="shared" si="775"/>
        <v>NA</v>
      </c>
      <c r="Z2374" s="29" t="str">
        <f t="shared" si="776"/>
        <v>NA</v>
      </c>
      <c r="AA2374" s="29" t="str">
        <f t="shared" si="777"/>
        <v>NA</v>
      </c>
      <c r="AB2374" s="29" t="str">
        <f t="shared" si="778"/>
        <v>NA</v>
      </c>
      <c r="AC2374" s="29" t="str">
        <f t="shared" si="779"/>
        <v>NA</v>
      </c>
      <c r="AD2374" s="29" t="str">
        <f t="shared" si="780"/>
        <v>NA</v>
      </c>
      <c r="AE2374" s="29" t="str">
        <f t="shared" si="781"/>
        <v>NA</v>
      </c>
      <c r="AF2374" s="29" t="str">
        <f t="shared" si="782"/>
        <v>NA</v>
      </c>
      <c r="AG2374" s="29" t="str">
        <f t="shared" si="783"/>
        <v>NA</v>
      </c>
      <c r="AH2374" s="29" t="str">
        <f t="shared" si="784"/>
        <v>NA</v>
      </c>
    </row>
    <row r="2375" customHeight="1" spans="1:34">
      <c r="A2375" s="12" t="s">
        <v>1043</v>
      </c>
      <c r="F2375" s="24">
        <f t="shared" si="786"/>
        <v>0</v>
      </c>
      <c r="G2375" s="24" t="e">
        <f t="shared" si="785"/>
        <v>#DIV/0!</v>
      </c>
      <c r="Q2375" s="29" t="str">
        <f t="shared" si="767"/>
        <v>NA</v>
      </c>
      <c r="R2375" s="29" t="str">
        <f t="shared" si="768"/>
        <v>NA</v>
      </c>
      <c r="S2375" s="29" t="str">
        <f t="shared" si="769"/>
        <v>NA</v>
      </c>
      <c r="T2375" s="29" t="str">
        <f t="shared" si="770"/>
        <v>NA</v>
      </c>
      <c r="U2375" s="29" t="str">
        <f t="shared" si="771"/>
        <v>NA</v>
      </c>
      <c r="V2375" s="29" t="str">
        <f t="shared" si="772"/>
        <v>NA</v>
      </c>
      <c r="W2375" s="29" t="str">
        <f t="shared" si="773"/>
        <v>NA</v>
      </c>
      <c r="X2375" s="29" t="str">
        <f t="shared" si="774"/>
        <v>NA</v>
      </c>
      <c r="Y2375" s="29" t="str">
        <f t="shared" si="775"/>
        <v>NA</v>
      </c>
      <c r="Z2375" s="29" t="str">
        <f t="shared" si="776"/>
        <v>NA</v>
      </c>
      <c r="AA2375" s="29" t="str">
        <f t="shared" si="777"/>
        <v>NA</v>
      </c>
      <c r="AB2375" s="29" t="str">
        <f t="shared" si="778"/>
        <v>NA</v>
      </c>
      <c r="AC2375" s="29" t="str">
        <f t="shared" si="779"/>
        <v>NA</v>
      </c>
      <c r="AD2375" s="29" t="str">
        <f t="shared" si="780"/>
        <v>NA</v>
      </c>
      <c r="AE2375" s="29" t="str">
        <f t="shared" si="781"/>
        <v>NA</v>
      </c>
      <c r="AF2375" s="29" t="str">
        <f t="shared" si="782"/>
        <v>NA</v>
      </c>
      <c r="AG2375" s="29" t="str">
        <f t="shared" si="783"/>
        <v>NA</v>
      </c>
      <c r="AH2375" s="29" t="str">
        <f t="shared" si="784"/>
        <v>NA</v>
      </c>
    </row>
    <row r="2376" customHeight="1" spans="1:34">
      <c r="A2376" s="12" t="s">
        <v>1043</v>
      </c>
      <c r="F2376" s="24">
        <f t="shared" si="786"/>
        <v>0</v>
      </c>
      <c r="G2376" s="24" t="e">
        <f t="shared" si="785"/>
        <v>#DIV/0!</v>
      </c>
      <c r="Q2376" s="29" t="str">
        <f t="shared" si="767"/>
        <v>NA</v>
      </c>
      <c r="R2376" s="29" t="str">
        <f t="shared" si="768"/>
        <v>NA</v>
      </c>
      <c r="S2376" s="29" t="str">
        <f t="shared" si="769"/>
        <v>NA</v>
      </c>
      <c r="T2376" s="29" t="str">
        <f t="shared" si="770"/>
        <v>NA</v>
      </c>
      <c r="U2376" s="29" t="str">
        <f t="shared" si="771"/>
        <v>NA</v>
      </c>
      <c r="V2376" s="29" t="str">
        <f t="shared" si="772"/>
        <v>NA</v>
      </c>
      <c r="W2376" s="29" t="str">
        <f t="shared" si="773"/>
        <v>NA</v>
      </c>
      <c r="X2376" s="29" t="str">
        <f t="shared" si="774"/>
        <v>NA</v>
      </c>
      <c r="Y2376" s="29" t="str">
        <f t="shared" si="775"/>
        <v>NA</v>
      </c>
      <c r="Z2376" s="29" t="str">
        <f t="shared" si="776"/>
        <v>NA</v>
      </c>
      <c r="AA2376" s="29" t="str">
        <f t="shared" si="777"/>
        <v>NA</v>
      </c>
      <c r="AB2376" s="29" t="str">
        <f t="shared" si="778"/>
        <v>NA</v>
      </c>
      <c r="AC2376" s="29" t="str">
        <f t="shared" si="779"/>
        <v>NA</v>
      </c>
      <c r="AD2376" s="29" t="str">
        <f t="shared" si="780"/>
        <v>NA</v>
      </c>
      <c r="AE2376" s="29" t="str">
        <f t="shared" si="781"/>
        <v>NA</v>
      </c>
      <c r="AF2376" s="29" t="str">
        <f t="shared" si="782"/>
        <v>NA</v>
      </c>
      <c r="AG2376" s="29" t="str">
        <f t="shared" si="783"/>
        <v>NA</v>
      </c>
      <c r="AH2376" s="29" t="str">
        <f t="shared" si="784"/>
        <v>NA</v>
      </c>
    </row>
    <row r="2377" customHeight="1" spans="1:34">
      <c r="A2377" s="12" t="s">
        <v>1043</v>
      </c>
      <c r="F2377" s="24">
        <f t="shared" si="786"/>
        <v>0</v>
      </c>
      <c r="G2377" s="24" t="e">
        <f t="shared" si="785"/>
        <v>#DIV/0!</v>
      </c>
      <c r="Q2377" s="29" t="str">
        <f t="shared" si="767"/>
        <v>NA</v>
      </c>
      <c r="R2377" s="29" t="str">
        <f t="shared" si="768"/>
        <v>NA</v>
      </c>
      <c r="S2377" s="29" t="str">
        <f t="shared" si="769"/>
        <v>NA</v>
      </c>
      <c r="T2377" s="29" t="str">
        <f t="shared" si="770"/>
        <v>NA</v>
      </c>
      <c r="U2377" s="29" t="str">
        <f t="shared" si="771"/>
        <v>NA</v>
      </c>
      <c r="V2377" s="29" t="str">
        <f t="shared" si="772"/>
        <v>NA</v>
      </c>
      <c r="W2377" s="29" t="str">
        <f t="shared" si="773"/>
        <v>NA</v>
      </c>
      <c r="X2377" s="29" t="str">
        <f t="shared" si="774"/>
        <v>NA</v>
      </c>
      <c r="Y2377" s="29" t="str">
        <f t="shared" si="775"/>
        <v>NA</v>
      </c>
      <c r="Z2377" s="29" t="str">
        <f t="shared" si="776"/>
        <v>NA</v>
      </c>
      <c r="AA2377" s="29" t="str">
        <f t="shared" si="777"/>
        <v>NA</v>
      </c>
      <c r="AB2377" s="29" t="str">
        <f t="shared" si="778"/>
        <v>NA</v>
      </c>
      <c r="AC2377" s="29" t="str">
        <f t="shared" si="779"/>
        <v>NA</v>
      </c>
      <c r="AD2377" s="29" t="str">
        <f t="shared" si="780"/>
        <v>NA</v>
      </c>
      <c r="AE2377" s="29" t="str">
        <f t="shared" si="781"/>
        <v>NA</v>
      </c>
      <c r="AF2377" s="29" t="str">
        <f t="shared" si="782"/>
        <v>NA</v>
      </c>
      <c r="AG2377" s="29" t="str">
        <f t="shared" si="783"/>
        <v>NA</v>
      </c>
      <c r="AH2377" s="29" t="str">
        <f t="shared" si="784"/>
        <v>NA</v>
      </c>
    </row>
    <row r="2378" customHeight="1" spans="1:34">
      <c r="A2378" s="12" t="s">
        <v>1043</v>
      </c>
      <c r="F2378" s="24">
        <f t="shared" si="786"/>
        <v>0</v>
      </c>
      <c r="G2378" s="24" t="e">
        <f t="shared" si="785"/>
        <v>#DIV/0!</v>
      </c>
      <c r="Q2378" s="29" t="str">
        <f t="shared" si="767"/>
        <v>NA</v>
      </c>
      <c r="R2378" s="29" t="str">
        <f t="shared" si="768"/>
        <v>NA</v>
      </c>
      <c r="S2378" s="29" t="str">
        <f t="shared" si="769"/>
        <v>NA</v>
      </c>
      <c r="T2378" s="29" t="str">
        <f t="shared" si="770"/>
        <v>NA</v>
      </c>
      <c r="U2378" s="29" t="str">
        <f t="shared" si="771"/>
        <v>NA</v>
      </c>
      <c r="V2378" s="29" t="str">
        <f t="shared" si="772"/>
        <v>NA</v>
      </c>
      <c r="W2378" s="29" t="str">
        <f t="shared" si="773"/>
        <v>NA</v>
      </c>
      <c r="X2378" s="29" t="str">
        <f t="shared" si="774"/>
        <v>NA</v>
      </c>
      <c r="Y2378" s="29" t="str">
        <f t="shared" si="775"/>
        <v>NA</v>
      </c>
      <c r="Z2378" s="29" t="str">
        <f t="shared" si="776"/>
        <v>NA</v>
      </c>
      <c r="AA2378" s="29" t="str">
        <f t="shared" si="777"/>
        <v>NA</v>
      </c>
      <c r="AB2378" s="29" t="str">
        <f t="shared" si="778"/>
        <v>NA</v>
      </c>
      <c r="AC2378" s="29" t="str">
        <f t="shared" si="779"/>
        <v>NA</v>
      </c>
      <c r="AD2378" s="29" t="str">
        <f t="shared" si="780"/>
        <v>NA</v>
      </c>
      <c r="AE2378" s="29" t="str">
        <f t="shared" si="781"/>
        <v>NA</v>
      </c>
      <c r="AF2378" s="29" t="str">
        <f t="shared" si="782"/>
        <v>NA</v>
      </c>
      <c r="AG2378" s="29" t="str">
        <f t="shared" si="783"/>
        <v>NA</v>
      </c>
      <c r="AH2378" s="29" t="str">
        <f t="shared" si="784"/>
        <v>NA</v>
      </c>
    </row>
    <row r="2379" customHeight="1" spans="1:34">
      <c r="A2379" s="12" t="s">
        <v>1043</v>
      </c>
      <c r="F2379" s="24">
        <f t="shared" si="786"/>
        <v>0</v>
      </c>
      <c r="G2379" s="24" t="e">
        <f t="shared" si="785"/>
        <v>#DIV/0!</v>
      </c>
      <c r="Q2379" s="29" t="str">
        <f t="shared" si="767"/>
        <v>NA</v>
      </c>
      <c r="R2379" s="29" t="str">
        <f t="shared" si="768"/>
        <v>NA</v>
      </c>
      <c r="S2379" s="29" t="str">
        <f t="shared" si="769"/>
        <v>NA</v>
      </c>
      <c r="T2379" s="29" t="str">
        <f t="shared" si="770"/>
        <v>NA</v>
      </c>
      <c r="U2379" s="29" t="str">
        <f t="shared" si="771"/>
        <v>NA</v>
      </c>
      <c r="V2379" s="29" t="str">
        <f t="shared" si="772"/>
        <v>NA</v>
      </c>
      <c r="W2379" s="29" t="str">
        <f t="shared" si="773"/>
        <v>NA</v>
      </c>
      <c r="X2379" s="29" t="str">
        <f t="shared" si="774"/>
        <v>NA</v>
      </c>
      <c r="Y2379" s="29" t="str">
        <f t="shared" si="775"/>
        <v>NA</v>
      </c>
      <c r="Z2379" s="29" t="str">
        <f t="shared" si="776"/>
        <v>NA</v>
      </c>
      <c r="AA2379" s="29" t="str">
        <f t="shared" si="777"/>
        <v>NA</v>
      </c>
      <c r="AB2379" s="29" t="str">
        <f t="shared" si="778"/>
        <v>NA</v>
      </c>
      <c r="AC2379" s="29" t="str">
        <f t="shared" si="779"/>
        <v>NA</v>
      </c>
      <c r="AD2379" s="29" t="str">
        <f t="shared" si="780"/>
        <v>NA</v>
      </c>
      <c r="AE2379" s="29" t="str">
        <f t="shared" si="781"/>
        <v>NA</v>
      </c>
      <c r="AF2379" s="29" t="str">
        <f t="shared" si="782"/>
        <v>NA</v>
      </c>
      <c r="AG2379" s="29" t="str">
        <f t="shared" si="783"/>
        <v>NA</v>
      </c>
      <c r="AH2379" s="29" t="str">
        <f t="shared" si="784"/>
        <v>NA</v>
      </c>
    </row>
    <row r="2380" customHeight="1" spans="1:34">
      <c r="A2380" s="12" t="s">
        <v>1043</v>
      </c>
      <c r="F2380" s="24">
        <f t="shared" si="786"/>
        <v>0</v>
      </c>
      <c r="G2380" s="24" t="e">
        <f t="shared" si="785"/>
        <v>#DIV/0!</v>
      </c>
      <c r="Q2380" s="29" t="str">
        <f t="shared" si="767"/>
        <v>NA</v>
      </c>
      <c r="R2380" s="29" t="str">
        <f t="shared" si="768"/>
        <v>NA</v>
      </c>
      <c r="S2380" s="29" t="str">
        <f t="shared" si="769"/>
        <v>NA</v>
      </c>
      <c r="T2380" s="29" t="str">
        <f t="shared" si="770"/>
        <v>NA</v>
      </c>
      <c r="U2380" s="29" t="str">
        <f t="shared" si="771"/>
        <v>NA</v>
      </c>
      <c r="V2380" s="29" t="str">
        <f t="shared" si="772"/>
        <v>NA</v>
      </c>
      <c r="W2380" s="29" t="str">
        <f t="shared" si="773"/>
        <v>NA</v>
      </c>
      <c r="X2380" s="29" t="str">
        <f t="shared" si="774"/>
        <v>NA</v>
      </c>
      <c r="Y2380" s="29" t="str">
        <f t="shared" si="775"/>
        <v>NA</v>
      </c>
      <c r="Z2380" s="29" t="str">
        <f t="shared" si="776"/>
        <v>NA</v>
      </c>
      <c r="AA2380" s="29" t="str">
        <f t="shared" si="777"/>
        <v>NA</v>
      </c>
      <c r="AB2380" s="29" t="str">
        <f t="shared" si="778"/>
        <v>NA</v>
      </c>
      <c r="AC2380" s="29" t="str">
        <f t="shared" si="779"/>
        <v>NA</v>
      </c>
      <c r="AD2380" s="29" t="str">
        <f t="shared" si="780"/>
        <v>NA</v>
      </c>
      <c r="AE2380" s="29" t="str">
        <f t="shared" si="781"/>
        <v>NA</v>
      </c>
      <c r="AF2380" s="29" t="str">
        <f t="shared" si="782"/>
        <v>NA</v>
      </c>
      <c r="AG2380" s="29" t="str">
        <f t="shared" si="783"/>
        <v>NA</v>
      </c>
      <c r="AH2380" s="29" t="str">
        <f t="shared" si="784"/>
        <v>NA</v>
      </c>
    </row>
    <row r="2381" customHeight="1" spans="1:34">
      <c r="A2381" s="12" t="s">
        <v>1043</v>
      </c>
      <c r="F2381" s="24">
        <f t="shared" si="786"/>
        <v>0</v>
      </c>
      <c r="G2381" s="24" t="e">
        <f t="shared" si="785"/>
        <v>#DIV/0!</v>
      </c>
      <c r="Q2381" s="29" t="str">
        <f t="shared" si="767"/>
        <v>NA</v>
      </c>
      <c r="R2381" s="29" t="str">
        <f t="shared" si="768"/>
        <v>NA</v>
      </c>
      <c r="S2381" s="29" t="str">
        <f t="shared" si="769"/>
        <v>NA</v>
      </c>
      <c r="T2381" s="29" t="str">
        <f t="shared" si="770"/>
        <v>NA</v>
      </c>
      <c r="U2381" s="29" t="str">
        <f t="shared" si="771"/>
        <v>NA</v>
      </c>
      <c r="V2381" s="29" t="str">
        <f t="shared" si="772"/>
        <v>NA</v>
      </c>
      <c r="W2381" s="29" t="str">
        <f t="shared" si="773"/>
        <v>NA</v>
      </c>
      <c r="X2381" s="29" t="str">
        <f t="shared" si="774"/>
        <v>NA</v>
      </c>
      <c r="Y2381" s="29" t="str">
        <f t="shared" si="775"/>
        <v>NA</v>
      </c>
      <c r="Z2381" s="29" t="str">
        <f t="shared" si="776"/>
        <v>NA</v>
      </c>
      <c r="AA2381" s="29" t="str">
        <f t="shared" si="777"/>
        <v>NA</v>
      </c>
      <c r="AB2381" s="29" t="str">
        <f t="shared" si="778"/>
        <v>NA</v>
      </c>
      <c r="AC2381" s="29" t="str">
        <f t="shared" si="779"/>
        <v>NA</v>
      </c>
      <c r="AD2381" s="29" t="str">
        <f t="shared" si="780"/>
        <v>NA</v>
      </c>
      <c r="AE2381" s="29" t="str">
        <f t="shared" si="781"/>
        <v>NA</v>
      </c>
      <c r="AF2381" s="29" t="str">
        <f t="shared" si="782"/>
        <v>NA</v>
      </c>
      <c r="AG2381" s="29" t="str">
        <f t="shared" si="783"/>
        <v>NA</v>
      </c>
      <c r="AH2381" s="29" t="str">
        <f t="shared" si="784"/>
        <v>NA</v>
      </c>
    </row>
    <row r="2382" customHeight="1" spans="1:34">
      <c r="A2382" s="12" t="s">
        <v>1043</v>
      </c>
      <c r="F2382" s="24">
        <f t="shared" si="786"/>
        <v>0</v>
      </c>
      <c r="G2382" s="24" t="e">
        <f t="shared" si="785"/>
        <v>#DIV/0!</v>
      </c>
      <c r="Q2382" s="29" t="str">
        <f t="shared" si="767"/>
        <v>NA</v>
      </c>
      <c r="R2382" s="29" t="str">
        <f t="shared" si="768"/>
        <v>NA</v>
      </c>
      <c r="S2382" s="29" t="str">
        <f t="shared" si="769"/>
        <v>NA</v>
      </c>
      <c r="T2382" s="29" t="str">
        <f t="shared" si="770"/>
        <v>NA</v>
      </c>
      <c r="U2382" s="29" t="str">
        <f t="shared" si="771"/>
        <v>NA</v>
      </c>
      <c r="V2382" s="29" t="str">
        <f t="shared" si="772"/>
        <v>NA</v>
      </c>
      <c r="W2382" s="29" t="str">
        <f t="shared" si="773"/>
        <v>NA</v>
      </c>
      <c r="X2382" s="29" t="str">
        <f t="shared" si="774"/>
        <v>NA</v>
      </c>
      <c r="Y2382" s="29" t="str">
        <f t="shared" si="775"/>
        <v>NA</v>
      </c>
      <c r="Z2382" s="29" t="str">
        <f t="shared" si="776"/>
        <v>NA</v>
      </c>
      <c r="AA2382" s="29" t="str">
        <f t="shared" si="777"/>
        <v>NA</v>
      </c>
      <c r="AB2382" s="29" t="str">
        <f t="shared" si="778"/>
        <v>NA</v>
      </c>
      <c r="AC2382" s="29" t="str">
        <f t="shared" si="779"/>
        <v>NA</v>
      </c>
      <c r="AD2382" s="29" t="str">
        <f t="shared" si="780"/>
        <v>NA</v>
      </c>
      <c r="AE2382" s="29" t="str">
        <f t="shared" si="781"/>
        <v>NA</v>
      </c>
      <c r="AF2382" s="29" t="str">
        <f t="shared" si="782"/>
        <v>NA</v>
      </c>
      <c r="AG2382" s="29" t="str">
        <f t="shared" si="783"/>
        <v>NA</v>
      </c>
      <c r="AH2382" s="29" t="str">
        <f t="shared" si="784"/>
        <v>NA</v>
      </c>
    </row>
    <row r="2383" customHeight="1" spans="1:34">
      <c r="A2383" s="12" t="s">
        <v>1043</v>
      </c>
      <c r="F2383" s="24">
        <f t="shared" si="786"/>
        <v>0</v>
      </c>
      <c r="G2383" s="24" t="e">
        <f t="shared" si="785"/>
        <v>#DIV/0!</v>
      </c>
      <c r="Q2383" s="29" t="str">
        <f t="shared" si="767"/>
        <v>NA</v>
      </c>
      <c r="R2383" s="29" t="str">
        <f t="shared" si="768"/>
        <v>NA</v>
      </c>
      <c r="S2383" s="29" t="str">
        <f t="shared" si="769"/>
        <v>NA</v>
      </c>
      <c r="T2383" s="29" t="str">
        <f t="shared" si="770"/>
        <v>NA</v>
      </c>
      <c r="U2383" s="29" t="str">
        <f t="shared" si="771"/>
        <v>NA</v>
      </c>
      <c r="V2383" s="29" t="str">
        <f t="shared" si="772"/>
        <v>NA</v>
      </c>
      <c r="W2383" s="29" t="str">
        <f t="shared" si="773"/>
        <v>NA</v>
      </c>
      <c r="X2383" s="29" t="str">
        <f t="shared" si="774"/>
        <v>NA</v>
      </c>
      <c r="Y2383" s="29" t="str">
        <f t="shared" si="775"/>
        <v>NA</v>
      </c>
      <c r="Z2383" s="29" t="str">
        <f t="shared" si="776"/>
        <v>NA</v>
      </c>
      <c r="AA2383" s="29" t="str">
        <f t="shared" si="777"/>
        <v>NA</v>
      </c>
      <c r="AB2383" s="29" t="str">
        <f t="shared" si="778"/>
        <v>NA</v>
      </c>
      <c r="AC2383" s="29" t="str">
        <f t="shared" si="779"/>
        <v>NA</v>
      </c>
      <c r="AD2383" s="29" t="str">
        <f t="shared" si="780"/>
        <v>NA</v>
      </c>
      <c r="AE2383" s="29" t="str">
        <f t="shared" si="781"/>
        <v>NA</v>
      </c>
      <c r="AF2383" s="29" t="str">
        <f t="shared" si="782"/>
        <v>NA</v>
      </c>
      <c r="AG2383" s="29" t="str">
        <f t="shared" si="783"/>
        <v>NA</v>
      </c>
      <c r="AH2383" s="29" t="str">
        <f t="shared" si="784"/>
        <v>NA</v>
      </c>
    </row>
    <row r="2384" customHeight="1" spans="1:34">
      <c r="A2384" s="12" t="s">
        <v>1043</v>
      </c>
      <c r="F2384" s="24">
        <f t="shared" si="786"/>
        <v>0</v>
      </c>
      <c r="G2384" s="24" t="e">
        <f t="shared" si="785"/>
        <v>#DIV/0!</v>
      </c>
      <c r="Q2384" s="29" t="str">
        <f t="shared" ref="Q2384:Q2447" si="787">IFERROR($B2384*$E2384/H2384,"NA")</f>
        <v>NA</v>
      </c>
      <c r="R2384" s="29" t="str">
        <f t="shared" ref="R2384:R2447" si="788">IFERROR($B2384*$E2384/I2384,"NA")</f>
        <v>NA</v>
      </c>
      <c r="S2384" s="29" t="str">
        <f t="shared" ref="S2384:S2447" si="789">IFERROR($B2384*$E2384/J2384,"NA")</f>
        <v>NA</v>
      </c>
      <c r="T2384" s="29" t="str">
        <f t="shared" ref="T2384:T2447" si="790">IFERROR($B2384*$E2384/K2384,"NA")</f>
        <v>NA</v>
      </c>
      <c r="U2384" s="29" t="str">
        <f t="shared" ref="U2384:U2447" si="791">IFERROR($B2384*$E2384/L2384,"NA")</f>
        <v>NA</v>
      </c>
      <c r="V2384" s="29" t="str">
        <f t="shared" ref="V2384:V2447" si="792">IFERROR($B2384*$E2384/M2384,"NA")</f>
        <v>NA</v>
      </c>
      <c r="W2384" s="29" t="str">
        <f t="shared" ref="W2384:W2447" si="793">IFERROR($B2384*$E2384/N2384,"NA")</f>
        <v>NA</v>
      </c>
      <c r="X2384" s="29" t="str">
        <f t="shared" ref="X2384:X2447" si="794">IFERROR($B2384*$E2384/O2384,"NA")</f>
        <v>NA</v>
      </c>
      <c r="Y2384" s="29" t="str">
        <f t="shared" ref="Y2384:Y2447" si="795">IFERROR($B2384*$E2384/P2384,"NA")</f>
        <v>NA</v>
      </c>
      <c r="Z2384" s="29" t="str">
        <f t="shared" ref="Z2384:Z2447" si="796">IFERROR((($G2384*Z$2/1000)+Q2384)/1,"NA")</f>
        <v>NA</v>
      </c>
      <c r="AA2384" s="29" t="str">
        <f t="shared" ref="AA2384:AA2447" si="797">IFERROR((($G2384*AA$2/1000)+R2384)/1,"NA")</f>
        <v>NA</v>
      </c>
      <c r="AB2384" s="29" t="str">
        <f t="shared" ref="AB2384:AB2447" si="798">IFERROR((($G2384*AB$2/1000)+S2384)/1,"NA")</f>
        <v>NA</v>
      </c>
      <c r="AC2384" s="29" t="str">
        <f t="shared" ref="AC2384:AC2447" si="799">IFERROR((($G2384*AC$2/1000)+T2384)/1,"NA")</f>
        <v>NA</v>
      </c>
      <c r="AD2384" s="29" t="str">
        <f t="shared" ref="AD2384:AD2447" si="800">IFERROR((($G2384*AD$2/1000)+U2384)/1,"NA")</f>
        <v>NA</v>
      </c>
      <c r="AE2384" s="29" t="str">
        <f t="shared" ref="AE2384:AE2447" si="801">IFERROR((($G2384*AE$2/1000)+V2384)/1,"NA")</f>
        <v>NA</v>
      </c>
      <c r="AF2384" s="29" t="str">
        <f t="shared" ref="AF2384:AF2447" si="802">IFERROR((($G2384*AF$2/1000)+W2384)/1,"NA")</f>
        <v>NA</v>
      </c>
      <c r="AG2384" s="29" t="str">
        <f t="shared" ref="AG2384:AG2447" si="803">IFERROR((($G2384*AG$2/1000)+X2384)/1,"NA")</f>
        <v>NA</v>
      </c>
      <c r="AH2384" s="29" t="str">
        <f t="shared" ref="AH2384:AH2447" si="804">IFERROR((($G2384*AH$2/1000)+Y2384)/1,"NA")</f>
        <v>NA</v>
      </c>
    </row>
    <row r="2385" customHeight="1" spans="1:34">
      <c r="A2385" s="12" t="s">
        <v>1043</v>
      </c>
      <c r="F2385" s="24">
        <f t="shared" si="786"/>
        <v>0</v>
      </c>
      <c r="G2385" s="24" t="e">
        <f t="shared" si="785"/>
        <v>#DIV/0!</v>
      </c>
      <c r="Q2385" s="29" t="str">
        <f t="shared" si="787"/>
        <v>NA</v>
      </c>
      <c r="R2385" s="29" t="str">
        <f t="shared" si="788"/>
        <v>NA</v>
      </c>
      <c r="S2385" s="29" t="str">
        <f t="shared" si="789"/>
        <v>NA</v>
      </c>
      <c r="T2385" s="29" t="str">
        <f t="shared" si="790"/>
        <v>NA</v>
      </c>
      <c r="U2385" s="29" t="str">
        <f t="shared" si="791"/>
        <v>NA</v>
      </c>
      <c r="V2385" s="29" t="str">
        <f t="shared" si="792"/>
        <v>NA</v>
      </c>
      <c r="W2385" s="29" t="str">
        <f t="shared" si="793"/>
        <v>NA</v>
      </c>
      <c r="X2385" s="29" t="str">
        <f t="shared" si="794"/>
        <v>NA</v>
      </c>
      <c r="Y2385" s="29" t="str">
        <f t="shared" si="795"/>
        <v>NA</v>
      </c>
      <c r="Z2385" s="29" t="str">
        <f t="shared" si="796"/>
        <v>NA</v>
      </c>
      <c r="AA2385" s="29" t="str">
        <f t="shared" si="797"/>
        <v>NA</v>
      </c>
      <c r="AB2385" s="29" t="str">
        <f t="shared" si="798"/>
        <v>NA</v>
      </c>
      <c r="AC2385" s="29" t="str">
        <f t="shared" si="799"/>
        <v>NA</v>
      </c>
      <c r="AD2385" s="29" t="str">
        <f t="shared" si="800"/>
        <v>NA</v>
      </c>
      <c r="AE2385" s="29" t="str">
        <f t="shared" si="801"/>
        <v>NA</v>
      </c>
      <c r="AF2385" s="29" t="str">
        <f t="shared" si="802"/>
        <v>NA</v>
      </c>
      <c r="AG2385" s="29" t="str">
        <f t="shared" si="803"/>
        <v>NA</v>
      </c>
      <c r="AH2385" s="29" t="str">
        <f t="shared" si="804"/>
        <v>NA</v>
      </c>
    </row>
    <row r="2386" customHeight="1" spans="1:34">
      <c r="A2386" s="12" t="s">
        <v>1043</v>
      </c>
      <c r="F2386" s="24">
        <f t="shared" si="786"/>
        <v>0</v>
      </c>
      <c r="G2386" s="24" t="e">
        <f t="shared" si="785"/>
        <v>#DIV/0!</v>
      </c>
      <c r="Q2386" s="29" t="str">
        <f t="shared" si="787"/>
        <v>NA</v>
      </c>
      <c r="R2386" s="29" t="str">
        <f t="shared" si="788"/>
        <v>NA</v>
      </c>
      <c r="S2386" s="29" t="str">
        <f t="shared" si="789"/>
        <v>NA</v>
      </c>
      <c r="T2386" s="29" t="str">
        <f t="shared" si="790"/>
        <v>NA</v>
      </c>
      <c r="U2386" s="29" t="str">
        <f t="shared" si="791"/>
        <v>NA</v>
      </c>
      <c r="V2386" s="29" t="str">
        <f t="shared" si="792"/>
        <v>NA</v>
      </c>
      <c r="W2386" s="29" t="str">
        <f t="shared" si="793"/>
        <v>NA</v>
      </c>
      <c r="X2386" s="29" t="str">
        <f t="shared" si="794"/>
        <v>NA</v>
      </c>
      <c r="Y2386" s="29" t="str">
        <f t="shared" si="795"/>
        <v>NA</v>
      </c>
      <c r="Z2386" s="29" t="str">
        <f t="shared" si="796"/>
        <v>NA</v>
      </c>
      <c r="AA2386" s="29" t="str">
        <f t="shared" si="797"/>
        <v>NA</v>
      </c>
      <c r="AB2386" s="29" t="str">
        <f t="shared" si="798"/>
        <v>NA</v>
      </c>
      <c r="AC2386" s="29" t="str">
        <f t="shared" si="799"/>
        <v>NA</v>
      </c>
      <c r="AD2386" s="29" t="str">
        <f t="shared" si="800"/>
        <v>NA</v>
      </c>
      <c r="AE2386" s="29" t="str">
        <f t="shared" si="801"/>
        <v>NA</v>
      </c>
      <c r="AF2386" s="29" t="str">
        <f t="shared" si="802"/>
        <v>NA</v>
      </c>
      <c r="AG2386" s="29" t="str">
        <f t="shared" si="803"/>
        <v>NA</v>
      </c>
      <c r="AH2386" s="29" t="str">
        <f t="shared" si="804"/>
        <v>NA</v>
      </c>
    </row>
    <row r="2387" customHeight="1" spans="1:34">
      <c r="A2387" s="12" t="s">
        <v>1043</v>
      </c>
      <c r="F2387" s="24">
        <f t="shared" si="786"/>
        <v>0</v>
      </c>
      <c r="G2387" s="24" t="e">
        <f t="shared" si="785"/>
        <v>#DIV/0!</v>
      </c>
      <c r="Q2387" s="29" t="str">
        <f t="shared" si="787"/>
        <v>NA</v>
      </c>
      <c r="R2387" s="29" t="str">
        <f t="shared" si="788"/>
        <v>NA</v>
      </c>
      <c r="S2387" s="29" t="str">
        <f t="shared" si="789"/>
        <v>NA</v>
      </c>
      <c r="T2387" s="29" t="str">
        <f t="shared" si="790"/>
        <v>NA</v>
      </c>
      <c r="U2387" s="29" t="str">
        <f t="shared" si="791"/>
        <v>NA</v>
      </c>
      <c r="V2387" s="29" t="str">
        <f t="shared" si="792"/>
        <v>NA</v>
      </c>
      <c r="W2387" s="29" t="str">
        <f t="shared" si="793"/>
        <v>NA</v>
      </c>
      <c r="X2387" s="29" t="str">
        <f t="shared" si="794"/>
        <v>NA</v>
      </c>
      <c r="Y2387" s="29" t="str">
        <f t="shared" si="795"/>
        <v>NA</v>
      </c>
      <c r="Z2387" s="29" t="str">
        <f t="shared" si="796"/>
        <v>NA</v>
      </c>
      <c r="AA2387" s="29" t="str">
        <f t="shared" si="797"/>
        <v>NA</v>
      </c>
      <c r="AB2387" s="29" t="str">
        <f t="shared" si="798"/>
        <v>NA</v>
      </c>
      <c r="AC2387" s="29" t="str">
        <f t="shared" si="799"/>
        <v>NA</v>
      </c>
      <c r="AD2387" s="29" t="str">
        <f t="shared" si="800"/>
        <v>NA</v>
      </c>
      <c r="AE2387" s="29" t="str">
        <f t="shared" si="801"/>
        <v>NA</v>
      </c>
      <c r="AF2387" s="29" t="str">
        <f t="shared" si="802"/>
        <v>NA</v>
      </c>
      <c r="AG2387" s="29" t="str">
        <f t="shared" si="803"/>
        <v>NA</v>
      </c>
      <c r="AH2387" s="29" t="str">
        <f t="shared" si="804"/>
        <v>NA</v>
      </c>
    </row>
    <row r="2388" customHeight="1" spans="1:34">
      <c r="A2388" s="12" t="s">
        <v>1043</v>
      </c>
      <c r="F2388" s="24">
        <f t="shared" si="786"/>
        <v>0</v>
      </c>
      <c r="G2388" s="24" t="e">
        <f t="shared" si="785"/>
        <v>#DIV/0!</v>
      </c>
      <c r="Q2388" s="29" t="str">
        <f t="shared" si="787"/>
        <v>NA</v>
      </c>
      <c r="R2388" s="29" t="str">
        <f t="shared" si="788"/>
        <v>NA</v>
      </c>
      <c r="S2388" s="29" t="str">
        <f t="shared" si="789"/>
        <v>NA</v>
      </c>
      <c r="T2388" s="29" t="str">
        <f t="shared" si="790"/>
        <v>NA</v>
      </c>
      <c r="U2388" s="29" t="str">
        <f t="shared" si="791"/>
        <v>NA</v>
      </c>
      <c r="V2388" s="29" t="str">
        <f t="shared" si="792"/>
        <v>NA</v>
      </c>
      <c r="W2388" s="29" t="str">
        <f t="shared" si="793"/>
        <v>NA</v>
      </c>
      <c r="X2388" s="29" t="str">
        <f t="shared" si="794"/>
        <v>NA</v>
      </c>
      <c r="Y2388" s="29" t="str">
        <f t="shared" si="795"/>
        <v>NA</v>
      </c>
      <c r="Z2388" s="29" t="str">
        <f t="shared" si="796"/>
        <v>NA</v>
      </c>
      <c r="AA2388" s="29" t="str">
        <f t="shared" si="797"/>
        <v>NA</v>
      </c>
      <c r="AB2388" s="29" t="str">
        <f t="shared" si="798"/>
        <v>NA</v>
      </c>
      <c r="AC2388" s="29" t="str">
        <f t="shared" si="799"/>
        <v>NA</v>
      </c>
      <c r="AD2388" s="29" t="str">
        <f t="shared" si="800"/>
        <v>NA</v>
      </c>
      <c r="AE2388" s="29" t="str">
        <f t="shared" si="801"/>
        <v>NA</v>
      </c>
      <c r="AF2388" s="29" t="str">
        <f t="shared" si="802"/>
        <v>NA</v>
      </c>
      <c r="AG2388" s="29" t="str">
        <f t="shared" si="803"/>
        <v>NA</v>
      </c>
      <c r="AH2388" s="29" t="str">
        <f t="shared" si="804"/>
        <v>NA</v>
      </c>
    </row>
    <row r="2389" customHeight="1" spans="1:34">
      <c r="A2389" s="12" t="s">
        <v>1043</v>
      </c>
      <c r="F2389" s="24">
        <f t="shared" si="786"/>
        <v>0</v>
      </c>
      <c r="G2389" s="24" t="e">
        <f t="shared" si="785"/>
        <v>#DIV/0!</v>
      </c>
      <c r="Q2389" s="29" t="str">
        <f t="shared" si="787"/>
        <v>NA</v>
      </c>
      <c r="R2389" s="29" t="str">
        <f t="shared" si="788"/>
        <v>NA</v>
      </c>
      <c r="S2389" s="29" t="str">
        <f t="shared" si="789"/>
        <v>NA</v>
      </c>
      <c r="T2389" s="29" t="str">
        <f t="shared" si="790"/>
        <v>NA</v>
      </c>
      <c r="U2389" s="29" t="str">
        <f t="shared" si="791"/>
        <v>NA</v>
      </c>
      <c r="V2389" s="29" t="str">
        <f t="shared" si="792"/>
        <v>NA</v>
      </c>
      <c r="W2389" s="29" t="str">
        <f t="shared" si="793"/>
        <v>NA</v>
      </c>
      <c r="X2389" s="29" t="str">
        <f t="shared" si="794"/>
        <v>NA</v>
      </c>
      <c r="Y2389" s="29" t="str">
        <f t="shared" si="795"/>
        <v>NA</v>
      </c>
      <c r="Z2389" s="29" t="str">
        <f t="shared" si="796"/>
        <v>NA</v>
      </c>
      <c r="AA2389" s="29" t="str">
        <f t="shared" si="797"/>
        <v>NA</v>
      </c>
      <c r="AB2389" s="29" t="str">
        <f t="shared" si="798"/>
        <v>NA</v>
      </c>
      <c r="AC2389" s="29" t="str">
        <f t="shared" si="799"/>
        <v>NA</v>
      </c>
      <c r="AD2389" s="29" t="str">
        <f t="shared" si="800"/>
        <v>NA</v>
      </c>
      <c r="AE2389" s="29" t="str">
        <f t="shared" si="801"/>
        <v>NA</v>
      </c>
      <c r="AF2389" s="29" t="str">
        <f t="shared" si="802"/>
        <v>NA</v>
      </c>
      <c r="AG2389" s="29" t="str">
        <f t="shared" si="803"/>
        <v>NA</v>
      </c>
      <c r="AH2389" s="29" t="str">
        <f t="shared" si="804"/>
        <v>NA</v>
      </c>
    </row>
    <row r="2390" customHeight="1" spans="1:34">
      <c r="A2390" s="12" t="s">
        <v>1043</v>
      </c>
      <c r="F2390" s="24">
        <f t="shared" si="786"/>
        <v>0</v>
      </c>
      <c r="G2390" s="24" t="e">
        <f t="shared" si="785"/>
        <v>#DIV/0!</v>
      </c>
      <c r="Q2390" s="29" t="str">
        <f t="shared" si="787"/>
        <v>NA</v>
      </c>
      <c r="R2390" s="29" t="str">
        <f t="shared" si="788"/>
        <v>NA</v>
      </c>
      <c r="S2390" s="29" t="str">
        <f t="shared" si="789"/>
        <v>NA</v>
      </c>
      <c r="T2390" s="29" t="str">
        <f t="shared" si="790"/>
        <v>NA</v>
      </c>
      <c r="U2390" s="29" t="str">
        <f t="shared" si="791"/>
        <v>NA</v>
      </c>
      <c r="V2390" s="29" t="str">
        <f t="shared" si="792"/>
        <v>NA</v>
      </c>
      <c r="W2390" s="29" t="str">
        <f t="shared" si="793"/>
        <v>NA</v>
      </c>
      <c r="X2390" s="29" t="str">
        <f t="shared" si="794"/>
        <v>NA</v>
      </c>
      <c r="Y2390" s="29" t="str">
        <f t="shared" si="795"/>
        <v>NA</v>
      </c>
      <c r="Z2390" s="29" t="str">
        <f t="shared" si="796"/>
        <v>NA</v>
      </c>
      <c r="AA2390" s="29" t="str">
        <f t="shared" si="797"/>
        <v>NA</v>
      </c>
      <c r="AB2390" s="29" t="str">
        <f t="shared" si="798"/>
        <v>NA</v>
      </c>
      <c r="AC2390" s="29" t="str">
        <f t="shared" si="799"/>
        <v>NA</v>
      </c>
      <c r="AD2390" s="29" t="str">
        <f t="shared" si="800"/>
        <v>NA</v>
      </c>
      <c r="AE2390" s="29" t="str">
        <f t="shared" si="801"/>
        <v>NA</v>
      </c>
      <c r="AF2390" s="29" t="str">
        <f t="shared" si="802"/>
        <v>NA</v>
      </c>
      <c r="AG2390" s="29" t="str">
        <f t="shared" si="803"/>
        <v>NA</v>
      </c>
      <c r="AH2390" s="29" t="str">
        <f t="shared" si="804"/>
        <v>NA</v>
      </c>
    </row>
    <row r="2391" customHeight="1" spans="1:34">
      <c r="A2391" s="12" t="s">
        <v>1043</v>
      </c>
      <c r="F2391" s="24">
        <f t="shared" si="786"/>
        <v>0</v>
      </c>
      <c r="G2391" s="24" t="e">
        <f t="shared" si="785"/>
        <v>#DIV/0!</v>
      </c>
      <c r="Q2391" s="29" t="str">
        <f t="shared" si="787"/>
        <v>NA</v>
      </c>
      <c r="R2391" s="29" t="str">
        <f t="shared" si="788"/>
        <v>NA</v>
      </c>
      <c r="S2391" s="29" t="str">
        <f t="shared" si="789"/>
        <v>NA</v>
      </c>
      <c r="T2391" s="29" t="str">
        <f t="shared" si="790"/>
        <v>NA</v>
      </c>
      <c r="U2391" s="29" t="str">
        <f t="shared" si="791"/>
        <v>NA</v>
      </c>
      <c r="V2391" s="29" t="str">
        <f t="shared" si="792"/>
        <v>NA</v>
      </c>
      <c r="W2391" s="29" t="str">
        <f t="shared" si="793"/>
        <v>NA</v>
      </c>
      <c r="X2391" s="29" t="str">
        <f t="shared" si="794"/>
        <v>NA</v>
      </c>
      <c r="Y2391" s="29" t="str">
        <f t="shared" si="795"/>
        <v>NA</v>
      </c>
      <c r="Z2391" s="29" t="str">
        <f t="shared" si="796"/>
        <v>NA</v>
      </c>
      <c r="AA2391" s="29" t="str">
        <f t="shared" si="797"/>
        <v>NA</v>
      </c>
      <c r="AB2391" s="29" t="str">
        <f t="shared" si="798"/>
        <v>NA</v>
      </c>
      <c r="AC2391" s="29" t="str">
        <f t="shared" si="799"/>
        <v>NA</v>
      </c>
      <c r="AD2391" s="29" t="str">
        <f t="shared" si="800"/>
        <v>NA</v>
      </c>
      <c r="AE2391" s="29" t="str">
        <f t="shared" si="801"/>
        <v>NA</v>
      </c>
      <c r="AF2391" s="29" t="str">
        <f t="shared" si="802"/>
        <v>NA</v>
      </c>
      <c r="AG2391" s="29" t="str">
        <f t="shared" si="803"/>
        <v>NA</v>
      </c>
      <c r="AH2391" s="29" t="str">
        <f t="shared" si="804"/>
        <v>NA</v>
      </c>
    </row>
    <row r="2392" customHeight="1" spans="1:34">
      <c r="A2392" s="12" t="s">
        <v>1043</v>
      </c>
      <c r="F2392" s="24">
        <f t="shared" si="786"/>
        <v>0</v>
      </c>
      <c r="G2392" s="24" t="e">
        <f t="shared" si="785"/>
        <v>#DIV/0!</v>
      </c>
      <c r="Q2392" s="29" t="str">
        <f t="shared" si="787"/>
        <v>NA</v>
      </c>
      <c r="R2392" s="29" t="str">
        <f t="shared" si="788"/>
        <v>NA</v>
      </c>
      <c r="S2392" s="29" t="str">
        <f t="shared" si="789"/>
        <v>NA</v>
      </c>
      <c r="T2392" s="29" t="str">
        <f t="shared" si="790"/>
        <v>NA</v>
      </c>
      <c r="U2392" s="29" t="str">
        <f t="shared" si="791"/>
        <v>NA</v>
      </c>
      <c r="V2392" s="29" t="str">
        <f t="shared" si="792"/>
        <v>NA</v>
      </c>
      <c r="W2392" s="29" t="str">
        <f t="shared" si="793"/>
        <v>NA</v>
      </c>
      <c r="X2392" s="29" t="str">
        <f t="shared" si="794"/>
        <v>NA</v>
      </c>
      <c r="Y2392" s="29" t="str">
        <f t="shared" si="795"/>
        <v>NA</v>
      </c>
      <c r="Z2392" s="29" t="str">
        <f t="shared" si="796"/>
        <v>NA</v>
      </c>
      <c r="AA2392" s="29" t="str">
        <f t="shared" si="797"/>
        <v>NA</v>
      </c>
      <c r="AB2392" s="29" t="str">
        <f t="shared" si="798"/>
        <v>NA</v>
      </c>
      <c r="AC2392" s="29" t="str">
        <f t="shared" si="799"/>
        <v>NA</v>
      </c>
      <c r="AD2392" s="29" t="str">
        <f t="shared" si="800"/>
        <v>NA</v>
      </c>
      <c r="AE2392" s="29" t="str">
        <f t="shared" si="801"/>
        <v>NA</v>
      </c>
      <c r="AF2392" s="29" t="str">
        <f t="shared" si="802"/>
        <v>NA</v>
      </c>
      <c r="AG2392" s="29" t="str">
        <f t="shared" si="803"/>
        <v>NA</v>
      </c>
      <c r="AH2392" s="29" t="str">
        <f t="shared" si="804"/>
        <v>NA</v>
      </c>
    </row>
    <row r="2393" customHeight="1" spans="1:34">
      <c r="A2393" s="12" t="s">
        <v>1043</v>
      </c>
      <c r="F2393" s="24">
        <f t="shared" si="786"/>
        <v>0</v>
      </c>
      <c r="G2393" s="24" t="e">
        <f t="shared" si="785"/>
        <v>#DIV/0!</v>
      </c>
      <c r="Q2393" s="29" t="str">
        <f t="shared" si="787"/>
        <v>NA</v>
      </c>
      <c r="R2393" s="29" t="str">
        <f t="shared" si="788"/>
        <v>NA</v>
      </c>
      <c r="S2393" s="29" t="str">
        <f t="shared" si="789"/>
        <v>NA</v>
      </c>
      <c r="T2393" s="29" t="str">
        <f t="shared" si="790"/>
        <v>NA</v>
      </c>
      <c r="U2393" s="29" t="str">
        <f t="shared" si="791"/>
        <v>NA</v>
      </c>
      <c r="V2393" s="29" t="str">
        <f t="shared" si="792"/>
        <v>NA</v>
      </c>
      <c r="W2393" s="29" t="str">
        <f t="shared" si="793"/>
        <v>NA</v>
      </c>
      <c r="X2393" s="29" t="str">
        <f t="shared" si="794"/>
        <v>NA</v>
      </c>
      <c r="Y2393" s="29" t="str">
        <f t="shared" si="795"/>
        <v>NA</v>
      </c>
      <c r="Z2393" s="29" t="str">
        <f t="shared" si="796"/>
        <v>NA</v>
      </c>
      <c r="AA2393" s="29" t="str">
        <f t="shared" si="797"/>
        <v>NA</v>
      </c>
      <c r="AB2393" s="29" t="str">
        <f t="shared" si="798"/>
        <v>NA</v>
      </c>
      <c r="AC2393" s="29" t="str">
        <f t="shared" si="799"/>
        <v>NA</v>
      </c>
      <c r="AD2393" s="29" t="str">
        <f t="shared" si="800"/>
        <v>NA</v>
      </c>
      <c r="AE2393" s="29" t="str">
        <f t="shared" si="801"/>
        <v>NA</v>
      </c>
      <c r="AF2393" s="29" t="str">
        <f t="shared" si="802"/>
        <v>NA</v>
      </c>
      <c r="AG2393" s="29" t="str">
        <f t="shared" si="803"/>
        <v>NA</v>
      </c>
      <c r="AH2393" s="29" t="str">
        <f t="shared" si="804"/>
        <v>NA</v>
      </c>
    </row>
    <row r="2394" customHeight="1" spans="1:34">
      <c r="A2394" s="12" t="s">
        <v>1043</v>
      </c>
      <c r="F2394" s="24">
        <f t="shared" si="786"/>
        <v>0</v>
      </c>
      <c r="G2394" s="24" t="e">
        <f t="shared" si="785"/>
        <v>#DIV/0!</v>
      </c>
      <c r="Q2394" s="29" t="str">
        <f t="shared" si="787"/>
        <v>NA</v>
      </c>
      <c r="R2394" s="29" t="str">
        <f t="shared" si="788"/>
        <v>NA</v>
      </c>
      <c r="S2394" s="29" t="str">
        <f t="shared" si="789"/>
        <v>NA</v>
      </c>
      <c r="T2394" s="29" t="str">
        <f t="shared" si="790"/>
        <v>NA</v>
      </c>
      <c r="U2394" s="29" t="str">
        <f t="shared" si="791"/>
        <v>NA</v>
      </c>
      <c r="V2394" s="29" t="str">
        <f t="shared" si="792"/>
        <v>NA</v>
      </c>
      <c r="W2394" s="29" t="str">
        <f t="shared" si="793"/>
        <v>NA</v>
      </c>
      <c r="X2394" s="29" t="str">
        <f t="shared" si="794"/>
        <v>NA</v>
      </c>
      <c r="Y2394" s="29" t="str">
        <f t="shared" si="795"/>
        <v>NA</v>
      </c>
      <c r="Z2394" s="29" t="str">
        <f t="shared" si="796"/>
        <v>NA</v>
      </c>
      <c r="AA2394" s="29" t="str">
        <f t="shared" si="797"/>
        <v>NA</v>
      </c>
      <c r="AB2394" s="29" t="str">
        <f t="shared" si="798"/>
        <v>NA</v>
      </c>
      <c r="AC2394" s="29" t="str">
        <f t="shared" si="799"/>
        <v>NA</v>
      </c>
      <c r="AD2394" s="29" t="str">
        <f t="shared" si="800"/>
        <v>NA</v>
      </c>
      <c r="AE2394" s="29" t="str">
        <f t="shared" si="801"/>
        <v>NA</v>
      </c>
      <c r="AF2394" s="29" t="str">
        <f t="shared" si="802"/>
        <v>NA</v>
      </c>
      <c r="AG2394" s="29" t="str">
        <f t="shared" si="803"/>
        <v>NA</v>
      </c>
      <c r="AH2394" s="29" t="str">
        <f t="shared" si="804"/>
        <v>NA</v>
      </c>
    </row>
    <row r="2395" customHeight="1" spans="1:34">
      <c r="A2395" s="12" t="s">
        <v>1043</v>
      </c>
      <c r="F2395" s="24">
        <f t="shared" si="786"/>
        <v>0</v>
      </c>
      <c r="G2395" s="24" t="e">
        <f t="shared" si="785"/>
        <v>#DIV/0!</v>
      </c>
      <c r="Q2395" s="29" t="str">
        <f t="shared" si="787"/>
        <v>NA</v>
      </c>
      <c r="R2395" s="29" t="str">
        <f t="shared" si="788"/>
        <v>NA</v>
      </c>
      <c r="S2395" s="29" t="str">
        <f t="shared" si="789"/>
        <v>NA</v>
      </c>
      <c r="T2395" s="29" t="str">
        <f t="shared" si="790"/>
        <v>NA</v>
      </c>
      <c r="U2395" s="29" t="str">
        <f t="shared" si="791"/>
        <v>NA</v>
      </c>
      <c r="V2395" s="29" t="str">
        <f t="shared" si="792"/>
        <v>NA</v>
      </c>
      <c r="W2395" s="29" t="str">
        <f t="shared" si="793"/>
        <v>NA</v>
      </c>
      <c r="X2395" s="29" t="str">
        <f t="shared" si="794"/>
        <v>NA</v>
      </c>
      <c r="Y2395" s="29" t="str">
        <f t="shared" si="795"/>
        <v>NA</v>
      </c>
      <c r="Z2395" s="29" t="str">
        <f t="shared" si="796"/>
        <v>NA</v>
      </c>
      <c r="AA2395" s="29" t="str">
        <f t="shared" si="797"/>
        <v>NA</v>
      </c>
      <c r="AB2395" s="29" t="str">
        <f t="shared" si="798"/>
        <v>NA</v>
      </c>
      <c r="AC2395" s="29" t="str">
        <f t="shared" si="799"/>
        <v>NA</v>
      </c>
      <c r="AD2395" s="29" t="str">
        <f t="shared" si="800"/>
        <v>NA</v>
      </c>
      <c r="AE2395" s="29" t="str">
        <f t="shared" si="801"/>
        <v>NA</v>
      </c>
      <c r="AF2395" s="29" t="str">
        <f t="shared" si="802"/>
        <v>NA</v>
      </c>
      <c r="AG2395" s="29" t="str">
        <f t="shared" si="803"/>
        <v>NA</v>
      </c>
      <c r="AH2395" s="29" t="str">
        <f t="shared" si="804"/>
        <v>NA</v>
      </c>
    </row>
    <row r="2396" customHeight="1" spans="1:34">
      <c r="A2396" s="12" t="s">
        <v>1043</v>
      </c>
      <c r="F2396" s="24">
        <f t="shared" si="786"/>
        <v>0</v>
      </c>
      <c r="G2396" s="24" t="e">
        <f t="shared" si="785"/>
        <v>#DIV/0!</v>
      </c>
      <c r="Q2396" s="29" t="str">
        <f t="shared" si="787"/>
        <v>NA</v>
      </c>
      <c r="R2396" s="29" t="str">
        <f t="shared" si="788"/>
        <v>NA</v>
      </c>
      <c r="S2396" s="29" t="str">
        <f t="shared" si="789"/>
        <v>NA</v>
      </c>
      <c r="T2396" s="29" t="str">
        <f t="shared" si="790"/>
        <v>NA</v>
      </c>
      <c r="U2396" s="29" t="str">
        <f t="shared" si="791"/>
        <v>NA</v>
      </c>
      <c r="V2396" s="29" t="str">
        <f t="shared" si="792"/>
        <v>NA</v>
      </c>
      <c r="W2396" s="29" t="str">
        <f t="shared" si="793"/>
        <v>NA</v>
      </c>
      <c r="X2396" s="29" t="str">
        <f t="shared" si="794"/>
        <v>NA</v>
      </c>
      <c r="Y2396" s="29" t="str">
        <f t="shared" si="795"/>
        <v>NA</v>
      </c>
      <c r="Z2396" s="29" t="str">
        <f t="shared" si="796"/>
        <v>NA</v>
      </c>
      <c r="AA2396" s="29" t="str">
        <f t="shared" si="797"/>
        <v>NA</v>
      </c>
      <c r="AB2396" s="29" t="str">
        <f t="shared" si="798"/>
        <v>NA</v>
      </c>
      <c r="AC2396" s="29" t="str">
        <f t="shared" si="799"/>
        <v>NA</v>
      </c>
      <c r="AD2396" s="29" t="str">
        <f t="shared" si="800"/>
        <v>NA</v>
      </c>
      <c r="AE2396" s="29" t="str">
        <f t="shared" si="801"/>
        <v>NA</v>
      </c>
      <c r="AF2396" s="29" t="str">
        <f t="shared" si="802"/>
        <v>NA</v>
      </c>
      <c r="AG2396" s="29" t="str">
        <f t="shared" si="803"/>
        <v>NA</v>
      </c>
      <c r="AH2396" s="29" t="str">
        <f t="shared" si="804"/>
        <v>NA</v>
      </c>
    </row>
    <row r="2397" customHeight="1" spans="1:34">
      <c r="A2397" s="12" t="s">
        <v>1043</v>
      </c>
      <c r="F2397" s="24">
        <f t="shared" si="786"/>
        <v>0</v>
      </c>
      <c r="G2397" s="24" t="e">
        <f t="shared" si="785"/>
        <v>#DIV/0!</v>
      </c>
      <c r="Q2397" s="29" t="str">
        <f t="shared" si="787"/>
        <v>NA</v>
      </c>
      <c r="R2397" s="29" t="str">
        <f t="shared" si="788"/>
        <v>NA</v>
      </c>
      <c r="S2397" s="29" t="str">
        <f t="shared" si="789"/>
        <v>NA</v>
      </c>
      <c r="T2397" s="29" t="str">
        <f t="shared" si="790"/>
        <v>NA</v>
      </c>
      <c r="U2397" s="29" t="str">
        <f t="shared" si="791"/>
        <v>NA</v>
      </c>
      <c r="V2397" s="29" t="str">
        <f t="shared" si="792"/>
        <v>NA</v>
      </c>
      <c r="W2397" s="29" t="str">
        <f t="shared" si="793"/>
        <v>NA</v>
      </c>
      <c r="X2397" s="29" t="str">
        <f t="shared" si="794"/>
        <v>NA</v>
      </c>
      <c r="Y2397" s="29" t="str">
        <f t="shared" si="795"/>
        <v>NA</v>
      </c>
      <c r="Z2397" s="29" t="str">
        <f t="shared" si="796"/>
        <v>NA</v>
      </c>
      <c r="AA2397" s="29" t="str">
        <f t="shared" si="797"/>
        <v>NA</v>
      </c>
      <c r="AB2397" s="29" t="str">
        <f t="shared" si="798"/>
        <v>NA</v>
      </c>
      <c r="AC2397" s="29" t="str">
        <f t="shared" si="799"/>
        <v>NA</v>
      </c>
      <c r="AD2397" s="29" t="str">
        <f t="shared" si="800"/>
        <v>NA</v>
      </c>
      <c r="AE2397" s="29" t="str">
        <f t="shared" si="801"/>
        <v>NA</v>
      </c>
      <c r="AF2397" s="29" t="str">
        <f t="shared" si="802"/>
        <v>NA</v>
      </c>
      <c r="AG2397" s="29" t="str">
        <f t="shared" si="803"/>
        <v>NA</v>
      </c>
      <c r="AH2397" s="29" t="str">
        <f t="shared" si="804"/>
        <v>NA</v>
      </c>
    </row>
    <row r="2398" customHeight="1" spans="1:34">
      <c r="A2398" s="12" t="s">
        <v>1043</v>
      </c>
      <c r="F2398" s="24">
        <f t="shared" si="786"/>
        <v>0</v>
      </c>
      <c r="G2398" s="24" t="e">
        <f t="shared" si="785"/>
        <v>#DIV/0!</v>
      </c>
      <c r="Q2398" s="29" t="str">
        <f t="shared" si="787"/>
        <v>NA</v>
      </c>
      <c r="R2398" s="29" t="str">
        <f t="shared" si="788"/>
        <v>NA</v>
      </c>
      <c r="S2398" s="29" t="str">
        <f t="shared" si="789"/>
        <v>NA</v>
      </c>
      <c r="T2398" s="29" t="str">
        <f t="shared" si="790"/>
        <v>NA</v>
      </c>
      <c r="U2398" s="29" t="str">
        <f t="shared" si="791"/>
        <v>NA</v>
      </c>
      <c r="V2398" s="29" t="str">
        <f t="shared" si="792"/>
        <v>NA</v>
      </c>
      <c r="W2398" s="29" t="str">
        <f t="shared" si="793"/>
        <v>NA</v>
      </c>
      <c r="X2398" s="29" t="str">
        <f t="shared" si="794"/>
        <v>NA</v>
      </c>
      <c r="Y2398" s="29" t="str">
        <f t="shared" si="795"/>
        <v>NA</v>
      </c>
      <c r="Z2398" s="29" t="str">
        <f t="shared" si="796"/>
        <v>NA</v>
      </c>
      <c r="AA2398" s="29" t="str">
        <f t="shared" si="797"/>
        <v>NA</v>
      </c>
      <c r="AB2398" s="29" t="str">
        <f t="shared" si="798"/>
        <v>NA</v>
      </c>
      <c r="AC2398" s="29" t="str">
        <f t="shared" si="799"/>
        <v>NA</v>
      </c>
      <c r="AD2398" s="29" t="str">
        <f t="shared" si="800"/>
        <v>NA</v>
      </c>
      <c r="AE2398" s="29" t="str">
        <f t="shared" si="801"/>
        <v>NA</v>
      </c>
      <c r="AF2398" s="29" t="str">
        <f t="shared" si="802"/>
        <v>NA</v>
      </c>
      <c r="AG2398" s="29" t="str">
        <f t="shared" si="803"/>
        <v>NA</v>
      </c>
      <c r="AH2398" s="29" t="str">
        <f t="shared" si="804"/>
        <v>NA</v>
      </c>
    </row>
    <row r="2399" customHeight="1" spans="1:34">
      <c r="A2399" s="12" t="s">
        <v>1043</v>
      </c>
      <c r="F2399" s="24">
        <f t="shared" si="786"/>
        <v>0</v>
      </c>
      <c r="G2399" s="24" t="e">
        <f t="shared" si="785"/>
        <v>#DIV/0!</v>
      </c>
      <c r="Q2399" s="29" t="str">
        <f t="shared" si="787"/>
        <v>NA</v>
      </c>
      <c r="R2399" s="29" t="str">
        <f t="shared" si="788"/>
        <v>NA</v>
      </c>
      <c r="S2399" s="29" t="str">
        <f t="shared" si="789"/>
        <v>NA</v>
      </c>
      <c r="T2399" s="29" t="str">
        <f t="shared" si="790"/>
        <v>NA</v>
      </c>
      <c r="U2399" s="29" t="str">
        <f t="shared" si="791"/>
        <v>NA</v>
      </c>
      <c r="V2399" s="29" t="str">
        <f t="shared" si="792"/>
        <v>NA</v>
      </c>
      <c r="W2399" s="29" t="str">
        <f t="shared" si="793"/>
        <v>NA</v>
      </c>
      <c r="X2399" s="29" t="str">
        <f t="shared" si="794"/>
        <v>NA</v>
      </c>
      <c r="Y2399" s="29" t="str">
        <f t="shared" si="795"/>
        <v>NA</v>
      </c>
      <c r="Z2399" s="29" t="str">
        <f t="shared" si="796"/>
        <v>NA</v>
      </c>
      <c r="AA2399" s="29" t="str">
        <f t="shared" si="797"/>
        <v>NA</v>
      </c>
      <c r="AB2399" s="29" t="str">
        <f t="shared" si="798"/>
        <v>NA</v>
      </c>
      <c r="AC2399" s="29" t="str">
        <f t="shared" si="799"/>
        <v>NA</v>
      </c>
      <c r="AD2399" s="29" t="str">
        <f t="shared" si="800"/>
        <v>NA</v>
      </c>
      <c r="AE2399" s="29" t="str">
        <f t="shared" si="801"/>
        <v>NA</v>
      </c>
      <c r="AF2399" s="29" t="str">
        <f t="shared" si="802"/>
        <v>NA</v>
      </c>
      <c r="AG2399" s="29" t="str">
        <f t="shared" si="803"/>
        <v>NA</v>
      </c>
      <c r="AH2399" s="29" t="str">
        <f t="shared" si="804"/>
        <v>NA</v>
      </c>
    </row>
    <row r="2400" customHeight="1" spans="1:34">
      <c r="A2400" s="12" t="s">
        <v>1043</v>
      </c>
      <c r="F2400" s="24">
        <f t="shared" si="786"/>
        <v>0</v>
      </c>
      <c r="G2400" s="24" t="e">
        <f t="shared" si="785"/>
        <v>#DIV/0!</v>
      </c>
      <c r="Q2400" s="29" t="str">
        <f t="shared" si="787"/>
        <v>NA</v>
      </c>
      <c r="R2400" s="29" t="str">
        <f t="shared" si="788"/>
        <v>NA</v>
      </c>
      <c r="S2400" s="29" t="str">
        <f t="shared" si="789"/>
        <v>NA</v>
      </c>
      <c r="T2400" s="29" t="str">
        <f t="shared" si="790"/>
        <v>NA</v>
      </c>
      <c r="U2400" s="29" t="str">
        <f t="shared" si="791"/>
        <v>NA</v>
      </c>
      <c r="V2400" s="29" t="str">
        <f t="shared" si="792"/>
        <v>NA</v>
      </c>
      <c r="W2400" s="29" t="str">
        <f t="shared" si="793"/>
        <v>NA</v>
      </c>
      <c r="X2400" s="29" t="str">
        <f t="shared" si="794"/>
        <v>NA</v>
      </c>
      <c r="Y2400" s="29" t="str">
        <f t="shared" si="795"/>
        <v>NA</v>
      </c>
      <c r="Z2400" s="29" t="str">
        <f t="shared" si="796"/>
        <v>NA</v>
      </c>
      <c r="AA2400" s="29" t="str">
        <f t="shared" si="797"/>
        <v>NA</v>
      </c>
      <c r="AB2400" s="29" t="str">
        <f t="shared" si="798"/>
        <v>NA</v>
      </c>
      <c r="AC2400" s="29" t="str">
        <f t="shared" si="799"/>
        <v>NA</v>
      </c>
      <c r="AD2400" s="29" t="str">
        <f t="shared" si="800"/>
        <v>NA</v>
      </c>
      <c r="AE2400" s="29" t="str">
        <f t="shared" si="801"/>
        <v>NA</v>
      </c>
      <c r="AF2400" s="29" t="str">
        <f t="shared" si="802"/>
        <v>NA</v>
      </c>
      <c r="AG2400" s="29" t="str">
        <f t="shared" si="803"/>
        <v>NA</v>
      </c>
      <c r="AH2400" s="29" t="str">
        <f t="shared" si="804"/>
        <v>NA</v>
      </c>
    </row>
    <row r="2401" customHeight="1" spans="1:34">
      <c r="A2401" s="12" t="s">
        <v>1043</v>
      </c>
      <c r="F2401" s="24">
        <f t="shared" si="786"/>
        <v>0</v>
      </c>
      <c r="G2401" s="24" t="e">
        <f t="shared" si="785"/>
        <v>#DIV/0!</v>
      </c>
      <c r="Q2401" s="29" t="str">
        <f t="shared" si="787"/>
        <v>NA</v>
      </c>
      <c r="R2401" s="29" t="str">
        <f t="shared" si="788"/>
        <v>NA</v>
      </c>
      <c r="S2401" s="29" t="str">
        <f t="shared" si="789"/>
        <v>NA</v>
      </c>
      <c r="T2401" s="29" t="str">
        <f t="shared" si="790"/>
        <v>NA</v>
      </c>
      <c r="U2401" s="29" t="str">
        <f t="shared" si="791"/>
        <v>NA</v>
      </c>
      <c r="V2401" s="29" t="str">
        <f t="shared" si="792"/>
        <v>NA</v>
      </c>
      <c r="W2401" s="29" t="str">
        <f t="shared" si="793"/>
        <v>NA</v>
      </c>
      <c r="X2401" s="29" t="str">
        <f t="shared" si="794"/>
        <v>NA</v>
      </c>
      <c r="Y2401" s="29" t="str">
        <f t="shared" si="795"/>
        <v>NA</v>
      </c>
      <c r="Z2401" s="29" t="str">
        <f t="shared" si="796"/>
        <v>NA</v>
      </c>
      <c r="AA2401" s="29" t="str">
        <f t="shared" si="797"/>
        <v>NA</v>
      </c>
      <c r="AB2401" s="29" t="str">
        <f t="shared" si="798"/>
        <v>NA</v>
      </c>
      <c r="AC2401" s="29" t="str">
        <f t="shared" si="799"/>
        <v>NA</v>
      </c>
      <c r="AD2401" s="29" t="str">
        <f t="shared" si="800"/>
        <v>NA</v>
      </c>
      <c r="AE2401" s="29" t="str">
        <f t="shared" si="801"/>
        <v>NA</v>
      </c>
      <c r="AF2401" s="29" t="str">
        <f t="shared" si="802"/>
        <v>NA</v>
      </c>
      <c r="AG2401" s="29" t="str">
        <f t="shared" si="803"/>
        <v>NA</v>
      </c>
      <c r="AH2401" s="29" t="str">
        <f t="shared" si="804"/>
        <v>NA</v>
      </c>
    </row>
    <row r="2402" customHeight="1" spans="1:34">
      <c r="A2402" s="12" t="s">
        <v>1043</v>
      </c>
      <c r="F2402" s="24">
        <f t="shared" si="786"/>
        <v>0</v>
      </c>
      <c r="G2402" s="24" t="e">
        <f t="shared" si="785"/>
        <v>#DIV/0!</v>
      </c>
      <c r="Q2402" s="29" t="str">
        <f t="shared" si="787"/>
        <v>NA</v>
      </c>
      <c r="R2402" s="29" t="str">
        <f t="shared" si="788"/>
        <v>NA</v>
      </c>
      <c r="S2402" s="29" t="str">
        <f t="shared" si="789"/>
        <v>NA</v>
      </c>
      <c r="T2402" s="29" t="str">
        <f t="shared" si="790"/>
        <v>NA</v>
      </c>
      <c r="U2402" s="29" t="str">
        <f t="shared" si="791"/>
        <v>NA</v>
      </c>
      <c r="V2402" s="29" t="str">
        <f t="shared" si="792"/>
        <v>NA</v>
      </c>
      <c r="W2402" s="29" t="str">
        <f t="shared" si="793"/>
        <v>NA</v>
      </c>
      <c r="X2402" s="29" t="str">
        <f t="shared" si="794"/>
        <v>NA</v>
      </c>
      <c r="Y2402" s="29" t="str">
        <f t="shared" si="795"/>
        <v>NA</v>
      </c>
      <c r="Z2402" s="29" t="str">
        <f t="shared" si="796"/>
        <v>NA</v>
      </c>
      <c r="AA2402" s="29" t="str">
        <f t="shared" si="797"/>
        <v>NA</v>
      </c>
      <c r="AB2402" s="29" t="str">
        <f t="shared" si="798"/>
        <v>NA</v>
      </c>
      <c r="AC2402" s="29" t="str">
        <f t="shared" si="799"/>
        <v>NA</v>
      </c>
      <c r="AD2402" s="29" t="str">
        <f t="shared" si="800"/>
        <v>NA</v>
      </c>
      <c r="AE2402" s="29" t="str">
        <f t="shared" si="801"/>
        <v>NA</v>
      </c>
      <c r="AF2402" s="29" t="str">
        <f t="shared" si="802"/>
        <v>NA</v>
      </c>
      <c r="AG2402" s="29" t="str">
        <f t="shared" si="803"/>
        <v>NA</v>
      </c>
      <c r="AH2402" s="29" t="str">
        <f t="shared" si="804"/>
        <v>NA</v>
      </c>
    </row>
    <row r="2403" customHeight="1" spans="1:34">
      <c r="A2403" s="12" t="s">
        <v>1043</v>
      </c>
      <c r="F2403" s="24">
        <f t="shared" si="786"/>
        <v>0</v>
      </c>
      <c r="G2403" s="24" t="e">
        <f t="shared" si="785"/>
        <v>#DIV/0!</v>
      </c>
      <c r="Q2403" s="29" t="str">
        <f t="shared" si="787"/>
        <v>NA</v>
      </c>
      <c r="R2403" s="29" t="str">
        <f t="shared" si="788"/>
        <v>NA</v>
      </c>
      <c r="S2403" s="29" t="str">
        <f t="shared" si="789"/>
        <v>NA</v>
      </c>
      <c r="T2403" s="29" t="str">
        <f t="shared" si="790"/>
        <v>NA</v>
      </c>
      <c r="U2403" s="29" t="str">
        <f t="shared" si="791"/>
        <v>NA</v>
      </c>
      <c r="V2403" s="29" t="str">
        <f t="shared" si="792"/>
        <v>NA</v>
      </c>
      <c r="W2403" s="29" t="str">
        <f t="shared" si="793"/>
        <v>NA</v>
      </c>
      <c r="X2403" s="29" t="str">
        <f t="shared" si="794"/>
        <v>NA</v>
      </c>
      <c r="Y2403" s="29" t="str">
        <f t="shared" si="795"/>
        <v>NA</v>
      </c>
      <c r="Z2403" s="29" t="str">
        <f t="shared" si="796"/>
        <v>NA</v>
      </c>
      <c r="AA2403" s="29" t="str">
        <f t="shared" si="797"/>
        <v>NA</v>
      </c>
      <c r="AB2403" s="29" t="str">
        <f t="shared" si="798"/>
        <v>NA</v>
      </c>
      <c r="AC2403" s="29" t="str">
        <f t="shared" si="799"/>
        <v>NA</v>
      </c>
      <c r="AD2403" s="29" t="str">
        <f t="shared" si="800"/>
        <v>NA</v>
      </c>
      <c r="AE2403" s="29" t="str">
        <f t="shared" si="801"/>
        <v>NA</v>
      </c>
      <c r="AF2403" s="29" t="str">
        <f t="shared" si="802"/>
        <v>NA</v>
      </c>
      <c r="AG2403" s="29" t="str">
        <f t="shared" si="803"/>
        <v>NA</v>
      </c>
      <c r="AH2403" s="29" t="str">
        <f t="shared" si="804"/>
        <v>NA</v>
      </c>
    </row>
    <row r="2404" customHeight="1" spans="1:34">
      <c r="A2404" s="12" t="s">
        <v>1043</v>
      </c>
      <c r="F2404" s="24">
        <f t="shared" si="786"/>
        <v>0</v>
      </c>
      <c r="G2404" s="24" t="e">
        <f t="shared" si="785"/>
        <v>#DIV/0!</v>
      </c>
      <c r="Q2404" s="29" t="str">
        <f t="shared" si="787"/>
        <v>NA</v>
      </c>
      <c r="R2404" s="29" t="str">
        <f t="shared" si="788"/>
        <v>NA</v>
      </c>
      <c r="S2404" s="29" t="str">
        <f t="shared" si="789"/>
        <v>NA</v>
      </c>
      <c r="T2404" s="29" t="str">
        <f t="shared" si="790"/>
        <v>NA</v>
      </c>
      <c r="U2404" s="29" t="str">
        <f t="shared" si="791"/>
        <v>NA</v>
      </c>
      <c r="V2404" s="29" t="str">
        <f t="shared" si="792"/>
        <v>NA</v>
      </c>
      <c r="W2404" s="29" t="str">
        <f t="shared" si="793"/>
        <v>NA</v>
      </c>
      <c r="X2404" s="29" t="str">
        <f t="shared" si="794"/>
        <v>NA</v>
      </c>
      <c r="Y2404" s="29" t="str">
        <f t="shared" si="795"/>
        <v>NA</v>
      </c>
      <c r="Z2404" s="29" t="str">
        <f t="shared" si="796"/>
        <v>NA</v>
      </c>
      <c r="AA2404" s="29" t="str">
        <f t="shared" si="797"/>
        <v>NA</v>
      </c>
      <c r="AB2404" s="29" t="str">
        <f t="shared" si="798"/>
        <v>NA</v>
      </c>
      <c r="AC2404" s="29" t="str">
        <f t="shared" si="799"/>
        <v>NA</v>
      </c>
      <c r="AD2404" s="29" t="str">
        <f t="shared" si="800"/>
        <v>NA</v>
      </c>
      <c r="AE2404" s="29" t="str">
        <f t="shared" si="801"/>
        <v>NA</v>
      </c>
      <c r="AF2404" s="29" t="str">
        <f t="shared" si="802"/>
        <v>NA</v>
      </c>
      <c r="AG2404" s="29" t="str">
        <f t="shared" si="803"/>
        <v>NA</v>
      </c>
      <c r="AH2404" s="29" t="str">
        <f t="shared" si="804"/>
        <v>NA</v>
      </c>
    </row>
    <row r="2405" customHeight="1" spans="1:34">
      <c r="A2405" s="12" t="s">
        <v>1043</v>
      </c>
      <c r="F2405" s="24">
        <f t="shared" si="786"/>
        <v>0</v>
      </c>
      <c r="G2405" s="24" t="e">
        <f t="shared" si="785"/>
        <v>#DIV/0!</v>
      </c>
      <c r="Q2405" s="29" t="str">
        <f t="shared" si="787"/>
        <v>NA</v>
      </c>
      <c r="R2405" s="29" t="str">
        <f t="shared" si="788"/>
        <v>NA</v>
      </c>
      <c r="S2405" s="29" t="str">
        <f t="shared" si="789"/>
        <v>NA</v>
      </c>
      <c r="T2405" s="29" t="str">
        <f t="shared" si="790"/>
        <v>NA</v>
      </c>
      <c r="U2405" s="29" t="str">
        <f t="shared" si="791"/>
        <v>NA</v>
      </c>
      <c r="V2405" s="29" t="str">
        <f t="shared" si="792"/>
        <v>NA</v>
      </c>
      <c r="W2405" s="29" t="str">
        <f t="shared" si="793"/>
        <v>NA</v>
      </c>
      <c r="X2405" s="29" t="str">
        <f t="shared" si="794"/>
        <v>NA</v>
      </c>
      <c r="Y2405" s="29" t="str">
        <f t="shared" si="795"/>
        <v>NA</v>
      </c>
      <c r="Z2405" s="29" t="str">
        <f t="shared" si="796"/>
        <v>NA</v>
      </c>
      <c r="AA2405" s="29" t="str">
        <f t="shared" si="797"/>
        <v>NA</v>
      </c>
      <c r="AB2405" s="29" t="str">
        <f t="shared" si="798"/>
        <v>NA</v>
      </c>
      <c r="AC2405" s="29" t="str">
        <f t="shared" si="799"/>
        <v>NA</v>
      </c>
      <c r="AD2405" s="29" t="str">
        <f t="shared" si="800"/>
        <v>NA</v>
      </c>
      <c r="AE2405" s="29" t="str">
        <f t="shared" si="801"/>
        <v>NA</v>
      </c>
      <c r="AF2405" s="29" t="str">
        <f t="shared" si="802"/>
        <v>NA</v>
      </c>
      <c r="AG2405" s="29" t="str">
        <f t="shared" si="803"/>
        <v>NA</v>
      </c>
      <c r="AH2405" s="29" t="str">
        <f t="shared" si="804"/>
        <v>NA</v>
      </c>
    </row>
    <row r="2406" customHeight="1" spans="1:34">
      <c r="A2406" s="12" t="s">
        <v>1043</v>
      </c>
      <c r="F2406" s="24">
        <f t="shared" si="786"/>
        <v>0</v>
      </c>
      <c r="G2406" s="24" t="e">
        <f t="shared" si="785"/>
        <v>#DIV/0!</v>
      </c>
      <c r="Q2406" s="29" t="str">
        <f t="shared" si="787"/>
        <v>NA</v>
      </c>
      <c r="R2406" s="29" t="str">
        <f t="shared" si="788"/>
        <v>NA</v>
      </c>
      <c r="S2406" s="29" t="str">
        <f t="shared" si="789"/>
        <v>NA</v>
      </c>
      <c r="T2406" s="29" t="str">
        <f t="shared" si="790"/>
        <v>NA</v>
      </c>
      <c r="U2406" s="29" t="str">
        <f t="shared" si="791"/>
        <v>NA</v>
      </c>
      <c r="V2406" s="29" t="str">
        <f t="shared" si="792"/>
        <v>NA</v>
      </c>
      <c r="W2406" s="29" t="str">
        <f t="shared" si="793"/>
        <v>NA</v>
      </c>
      <c r="X2406" s="29" t="str">
        <f t="shared" si="794"/>
        <v>NA</v>
      </c>
      <c r="Y2406" s="29" t="str">
        <f t="shared" si="795"/>
        <v>NA</v>
      </c>
      <c r="Z2406" s="29" t="str">
        <f t="shared" si="796"/>
        <v>NA</v>
      </c>
      <c r="AA2406" s="29" t="str">
        <f t="shared" si="797"/>
        <v>NA</v>
      </c>
      <c r="AB2406" s="29" t="str">
        <f t="shared" si="798"/>
        <v>NA</v>
      </c>
      <c r="AC2406" s="29" t="str">
        <f t="shared" si="799"/>
        <v>NA</v>
      </c>
      <c r="AD2406" s="29" t="str">
        <f t="shared" si="800"/>
        <v>NA</v>
      </c>
      <c r="AE2406" s="29" t="str">
        <f t="shared" si="801"/>
        <v>NA</v>
      </c>
      <c r="AF2406" s="29" t="str">
        <f t="shared" si="802"/>
        <v>NA</v>
      </c>
      <c r="AG2406" s="29" t="str">
        <f t="shared" si="803"/>
        <v>NA</v>
      </c>
      <c r="AH2406" s="29" t="str">
        <f t="shared" si="804"/>
        <v>NA</v>
      </c>
    </row>
    <row r="2407" customHeight="1" spans="1:34">
      <c r="A2407" s="12" t="s">
        <v>1043</v>
      </c>
      <c r="F2407" s="24">
        <f t="shared" si="786"/>
        <v>0</v>
      </c>
      <c r="G2407" s="24" t="e">
        <f t="shared" si="785"/>
        <v>#DIV/0!</v>
      </c>
      <c r="Q2407" s="29" t="str">
        <f t="shared" si="787"/>
        <v>NA</v>
      </c>
      <c r="R2407" s="29" t="str">
        <f t="shared" si="788"/>
        <v>NA</v>
      </c>
      <c r="S2407" s="29" t="str">
        <f t="shared" si="789"/>
        <v>NA</v>
      </c>
      <c r="T2407" s="29" t="str">
        <f t="shared" si="790"/>
        <v>NA</v>
      </c>
      <c r="U2407" s="29" t="str">
        <f t="shared" si="791"/>
        <v>NA</v>
      </c>
      <c r="V2407" s="29" t="str">
        <f t="shared" si="792"/>
        <v>NA</v>
      </c>
      <c r="W2407" s="29" t="str">
        <f t="shared" si="793"/>
        <v>NA</v>
      </c>
      <c r="X2407" s="29" t="str">
        <f t="shared" si="794"/>
        <v>NA</v>
      </c>
      <c r="Y2407" s="29" t="str">
        <f t="shared" si="795"/>
        <v>NA</v>
      </c>
      <c r="Z2407" s="29" t="str">
        <f t="shared" si="796"/>
        <v>NA</v>
      </c>
      <c r="AA2407" s="29" t="str">
        <f t="shared" si="797"/>
        <v>NA</v>
      </c>
      <c r="AB2407" s="29" t="str">
        <f t="shared" si="798"/>
        <v>NA</v>
      </c>
      <c r="AC2407" s="29" t="str">
        <f t="shared" si="799"/>
        <v>NA</v>
      </c>
      <c r="AD2407" s="29" t="str">
        <f t="shared" si="800"/>
        <v>NA</v>
      </c>
      <c r="AE2407" s="29" t="str">
        <f t="shared" si="801"/>
        <v>NA</v>
      </c>
      <c r="AF2407" s="29" t="str">
        <f t="shared" si="802"/>
        <v>NA</v>
      </c>
      <c r="AG2407" s="29" t="str">
        <f t="shared" si="803"/>
        <v>NA</v>
      </c>
      <c r="AH2407" s="29" t="str">
        <f t="shared" si="804"/>
        <v>NA</v>
      </c>
    </row>
    <row r="2408" customHeight="1" spans="1:34">
      <c r="A2408" s="12" t="s">
        <v>1043</v>
      </c>
      <c r="F2408" s="24">
        <f t="shared" si="786"/>
        <v>0</v>
      </c>
      <c r="G2408" s="24" t="e">
        <f t="shared" si="785"/>
        <v>#DIV/0!</v>
      </c>
      <c r="Q2408" s="29" t="str">
        <f t="shared" si="787"/>
        <v>NA</v>
      </c>
      <c r="R2408" s="29" t="str">
        <f t="shared" si="788"/>
        <v>NA</v>
      </c>
      <c r="S2408" s="29" t="str">
        <f t="shared" si="789"/>
        <v>NA</v>
      </c>
      <c r="T2408" s="29" t="str">
        <f t="shared" si="790"/>
        <v>NA</v>
      </c>
      <c r="U2408" s="29" t="str">
        <f t="shared" si="791"/>
        <v>NA</v>
      </c>
      <c r="V2408" s="29" t="str">
        <f t="shared" si="792"/>
        <v>NA</v>
      </c>
      <c r="W2408" s="29" t="str">
        <f t="shared" si="793"/>
        <v>NA</v>
      </c>
      <c r="X2408" s="29" t="str">
        <f t="shared" si="794"/>
        <v>NA</v>
      </c>
      <c r="Y2408" s="29" t="str">
        <f t="shared" si="795"/>
        <v>NA</v>
      </c>
      <c r="Z2408" s="29" t="str">
        <f t="shared" si="796"/>
        <v>NA</v>
      </c>
      <c r="AA2408" s="29" t="str">
        <f t="shared" si="797"/>
        <v>NA</v>
      </c>
      <c r="AB2408" s="29" t="str">
        <f t="shared" si="798"/>
        <v>NA</v>
      </c>
      <c r="AC2408" s="29" t="str">
        <f t="shared" si="799"/>
        <v>NA</v>
      </c>
      <c r="AD2408" s="29" t="str">
        <f t="shared" si="800"/>
        <v>NA</v>
      </c>
      <c r="AE2408" s="29" t="str">
        <f t="shared" si="801"/>
        <v>NA</v>
      </c>
      <c r="AF2408" s="29" t="str">
        <f t="shared" si="802"/>
        <v>NA</v>
      </c>
      <c r="AG2408" s="29" t="str">
        <f t="shared" si="803"/>
        <v>NA</v>
      </c>
      <c r="AH2408" s="29" t="str">
        <f t="shared" si="804"/>
        <v>NA</v>
      </c>
    </row>
    <row r="2409" customHeight="1" spans="1:34">
      <c r="A2409" s="12" t="s">
        <v>1043</v>
      </c>
      <c r="F2409" s="24">
        <f t="shared" si="786"/>
        <v>0</v>
      </c>
      <c r="G2409" s="24" t="e">
        <f t="shared" si="785"/>
        <v>#DIV/0!</v>
      </c>
      <c r="Q2409" s="29" t="str">
        <f t="shared" si="787"/>
        <v>NA</v>
      </c>
      <c r="R2409" s="29" t="str">
        <f t="shared" si="788"/>
        <v>NA</v>
      </c>
      <c r="S2409" s="29" t="str">
        <f t="shared" si="789"/>
        <v>NA</v>
      </c>
      <c r="T2409" s="29" t="str">
        <f t="shared" si="790"/>
        <v>NA</v>
      </c>
      <c r="U2409" s="29" t="str">
        <f t="shared" si="791"/>
        <v>NA</v>
      </c>
      <c r="V2409" s="29" t="str">
        <f t="shared" si="792"/>
        <v>NA</v>
      </c>
      <c r="W2409" s="29" t="str">
        <f t="shared" si="793"/>
        <v>NA</v>
      </c>
      <c r="X2409" s="29" t="str">
        <f t="shared" si="794"/>
        <v>NA</v>
      </c>
      <c r="Y2409" s="29" t="str">
        <f t="shared" si="795"/>
        <v>NA</v>
      </c>
      <c r="Z2409" s="29" t="str">
        <f t="shared" si="796"/>
        <v>NA</v>
      </c>
      <c r="AA2409" s="29" t="str">
        <f t="shared" si="797"/>
        <v>NA</v>
      </c>
      <c r="AB2409" s="29" t="str">
        <f t="shared" si="798"/>
        <v>NA</v>
      </c>
      <c r="AC2409" s="29" t="str">
        <f t="shared" si="799"/>
        <v>NA</v>
      </c>
      <c r="AD2409" s="29" t="str">
        <f t="shared" si="800"/>
        <v>NA</v>
      </c>
      <c r="AE2409" s="29" t="str">
        <f t="shared" si="801"/>
        <v>NA</v>
      </c>
      <c r="AF2409" s="29" t="str">
        <f t="shared" si="802"/>
        <v>NA</v>
      </c>
      <c r="AG2409" s="29" t="str">
        <f t="shared" si="803"/>
        <v>NA</v>
      </c>
      <c r="AH2409" s="29" t="str">
        <f t="shared" si="804"/>
        <v>NA</v>
      </c>
    </row>
    <row r="2410" customHeight="1" spans="1:34">
      <c r="A2410" s="12" t="s">
        <v>1043</v>
      </c>
      <c r="F2410" s="24">
        <f t="shared" si="786"/>
        <v>0</v>
      </c>
      <c r="G2410" s="24" t="e">
        <f t="shared" si="785"/>
        <v>#DIV/0!</v>
      </c>
      <c r="Q2410" s="29" t="str">
        <f t="shared" si="787"/>
        <v>NA</v>
      </c>
      <c r="R2410" s="29" t="str">
        <f t="shared" si="788"/>
        <v>NA</v>
      </c>
      <c r="S2410" s="29" t="str">
        <f t="shared" si="789"/>
        <v>NA</v>
      </c>
      <c r="T2410" s="29" t="str">
        <f t="shared" si="790"/>
        <v>NA</v>
      </c>
      <c r="U2410" s="29" t="str">
        <f t="shared" si="791"/>
        <v>NA</v>
      </c>
      <c r="V2410" s="29" t="str">
        <f t="shared" si="792"/>
        <v>NA</v>
      </c>
      <c r="W2410" s="29" t="str">
        <f t="shared" si="793"/>
        <v>NA</v>
      </c>
      <c r="X2410" s="29" t="str">
        <f t="shared" si="794"/>
        <v>NA</v>
      </c>
      <c r="Y2410" s="29" t="str">
        <f t="shared" si="795"/>
        <v>NA</v>
      </c>
      <c r="Z2410" s="29" t="str">
        <f t="shared" si="796"/>
        <v>NA</v>
      </c>
      <c r="AA2410" s="29" t="str">
        <f t="shared" si="797"/>
        <v>NA</v>
      </c>
      <c r="AB2410" s="29" t="str">
        <f t="shared" si="798"/>
        <v>NA</v>
      </c>
      <c r="AC2410" s="29" t="str">
        <f t="shared" si="799"/>
        <v>NA</v>
      </c>
      <c r="AD2410" s="29" t="str">
        <f t="shared" si="800"/>
        <v>NA</v>
      </c>
      <c r="AE2410" s="29" t="str">
        <f t="shared" si="801"/>
        <v>NA</v>
      </c>
      <c r="AF2410" s="29" t="str">
        <f t="shared" si="802"/>
        <v>NA</v>
      </c>
      <c r="AG2410" s="29" t="str">
        <f t="shared" si="803"/>
        <v>NA</v>
      </c>
      <c r="AH2410" s="29" t="str">
        <f t="shared" si="804"/>
        <v>NA</v>
      </c>
    </row>
    <row r="2411" customHeight="1" spans="1:34">
      <c r="A2411" s="12" t="s">
        <v>1043</v>
      </c>
      <c r="F2411" s="24">
        <f t="shared" si="786"/>
        <v>0</v>
      </c>
      <c r="G2411" s="24" t="e">
        <f t="shared" si="785"/>
        <v>#DIV/0!</v>
      </c>
      <c r="Q2411" s="29" t="str">
        <f t="shared" si="787"/>
        <v>NA</v>
      </c>
      <c r="R2411" s="29" t="str">
        <f t="shared" si="788"/>
        <v>NA</v>
      </c>
      <c r="S2411" s="29" t="str">
        <f t="shared" si="789"/>
        <v>NA</v>
      </c>
      <c r="T2411" s="29" t="str">
        <f t="shared" si="790"/>
        <v>NA</v>
      </c>
      <c r="U2411" s="29" t="str">
        <f t="shared" si="791"/>
        <v>NA</v>
      </c>
      <c r="V2411" s="29" t="str">
        <f t="shared" si="792"/>
        <v>NA</v>
      </c>
      <c r="W2411" s="29" t="str">
        <f t="shared" si="793"/>
        <v>NA</v>
      </c>
      <c r="X2411" s="29" t="str">
        <f t="shared" si="794"/>
        <v>NA</v>
      </c>
      <c r="Y2411" s="29" t="str">
        <f t="shared" si="795"/>
        <v>NA</v>
      </c>
      <c r="Z2411" s="29" t="str">
        <f t="shared" si="796"/>
        <v>NA</v>
      </c>
      <c r="AA2411" s="29" t="str">
        <f t="shared" si="797"/>
        <v>NA</v>
      </c>
      <c r="AB2411" s="29" t="str">
        <f t="shared" si="798"/>
        <v>NA</v>
      </c>
      <c r="AC2411" s="29" t="str">
        <f t="shared" si="799"/>
        <v>NA</v>
      </c>
      <c r="AD2411" s="29" t="str">
        <f t="shared" si="800"/>
        <v>NA</v>
      </c>
      <c r="AE2411" s="29" t="str">
        <f t="shared" si="801"/>
        <v>NA</v>
      </c>
      <c r="AF2411" s="29" t="str">
        <f t="shared" si="802"/>
        <v>NA</v>
      </c>
      <c r="AG2411" s="29" t="str">
        <f t="shared" si="803"/>
        <v>NA</v>
      </c>
      <c r="AH2411" s="29" t="str">
        <f t="shared" si="804"/>
        <v>NA</v>
      </c>
    </row>
    <row r="2412" customHeight="1" spans="1:34">
      <c r="A2412" s="12" t="s">
        <v>1043</v>
      </c>
      <c r="F2412" s="24">
        <f t="shared" si="786"/>
        <v>0</v>
      </c>
      <c r="G2412" s="24" t="e">
        <f t="shared" si="785"/>
        <v>#DIV/0!</v>
      </c>
      <c r="Q2412" s="29" t="str">
        <f t="shared" si="787"/>
        <v>NA</v>
      </c>
      <c r="R2412" s="29" t="str">
        <f t="shared" si="788"/>
        <v>NA</v>
      </c>
      <c r="S2412" s="29" t="str">
        <f t="shared" si="789"/>
        <v>NA</v>
      </c>
      <c r="T2412" s="29" t="str">
        <f t="shared" si="790"/>
        <v>NA</v>
      </c>
      <c r="U2412" s="29" t="str">
        <f t="shared" si="791"/>
        <v>NA</v>
      </c>
      <c r="V2412" s="29" t="str">
        <f t="shared" si="792"/>
        <v>NA</v>
      </c>
      <c r="W2412" s="29" t="str">
        <f t="shared" si="793"/>
        <v>NA</v>
      </c>
      <c r="X2412" s="29" t="str">
        <f t="shared" si="794"/>
        <v>NA</v>
      </c>
      <c r="Y2412" s="29" t="str">
        <f t="shared" si="795"/>
        <v>NA</v>
      </c>
      <c r="Z2412" s="29" t="str">
        <f t="shared" si="796"/>
        <v>NA</v>
      </c>
      <c r="AA2412" s="29" t="str">
        <f t="shared" si="797"/>
        <v>NA</v>
      </c>
      <c r="AB2412" s="29" t="str">
        <f t="shared" si="798"/>
        <v>NA</v>
      </c>
      <c r="AC2412" s="29" t="str">
        <f t="shared" si="799"/>
        <v>NA</v>
      </c>
      <c r="AD2412" s="29" t="str">
        <f t="shared" si="800"/>
        <v>NA</v>
      </c>
      <c r="AE2412" s="29" t="str">
        <f t="shared" si="801"/>
        <v>NA</v>
      </c>
      <c r="AF2412" s="29" t="str">
        <f t="shared" si="802"/>
        <v>NA</v>
      </c>
      <c r="AG2412" s="29" t="str">
        <f t="shared" si="803"/>
        <v>NA</v>
      </c>
      <c r="AH2412" s="29" t="str">
        <f t="shared" si="804"/>
        <v>NA</v>
      </c>
    </row>
    <row r="2413" customHeight="1" spans="1:34">
      <c r="A2413" s="12" t="s">
        <v>1043</v>
      </c>
      <c r="F2413" s="24">
        <f t="shared" si="786"/>
        <v>0</v>
      </c>
      <c r="G2413" s="24" t="e">
        <f t="shared" si="785"/>
        <v>#DIV/0!</v>
      </c>
      <c r="Q2413" s="29" t="str">
        <f t="shared" si="787"/>
        <v>NA</v>
      </c>
      <c r="R2413" s="29" t="str">
        <f t="shared" si="788"/>
        <v>NA</v>
      </c>
      <c r="S2413" s="29" t="str">
        <f t="shared" si="789"/>
        <v>NA</v>
      </c>
      <c r="T2413" s="29" t="str">
        <f t="shared" si="790"/>
        <v>NA</v>
      </c>
      <c r="U2413" s="29" t="str">
        <f t="shared" si="791"/>
        <v>NA</v>
      </c>
      <c r="V2413" s="29" t="str">
        <f t="shared" si="792"/>
        <v>NA</v>
      </c>
      <c r="W2413" s="29" t="str">
        <f t="shared" si="793"/>
        <v>NA</v>
      </c>
      <c r="X2413" s="29" t="str">
        <f t="shared" si="794"/>
        <v>NA</v>
      </c>
      <c r="Y2413" s="29" t="str">
        <f t="shared" si="795"/>
        <v>NA</v>
      </c>
      <c r="Z2413" s="29" t="str">
        <f t="shared" si="796"/>
        <v>NA</v>
      </c>
      <c r="AA2413" s="29" t="str">
        <f t="shared" si="797"/>
        <v>NA</v>
      </c>
      <c r="AB2413" s="29" t="str">
        <f t="shared" si="798"/>
        <v>NA</v>
      </c>
      <c r="AC2413" s="29" t="str">
        <f t="shared" si="799"/>
        <v>NA</v>
      </c>
      <c r="AD2413" s="29" t="str">
        <f t="shared" si="800"/>
        <v>NA</v>
      </c>
      <c r="AE2413" s="29" t="str">
        <f t="shared" si="801"/>
        <v>NA</v>
      </c>
      <c r="AF2413" s="29" t="str">
        <f t="shared" si="802"/>
        <v>NA</v>
      </c>
      <c r="AG2413" s="29" t="str">
        <f t="shared" si="803"/>
        <v>NA</v>
      </c>
      <c r="AH2413" s="29" t="str">
        <f t="shared" si="804"/>
        <v>NA</v>
      </c>
    </row>
    <row r="2414" customHeight="1" spans="1:34">
      <c r="A2414" s="12" t="s">
        <v>1043</v>
      </c>
      <c r="F2414" s="24">
        <f t="shared" si="786"/>
        <v>0</v>
      </c>
      <c r="G2414" s="24" t="e">
        <f t="shared" si="785"/>
        <v>#DIV/0!</v>
      </c>
      <c r="Q2414" s="29" t="str">
        <f t="shared" si="787"/>
        <v>NA</v>
      </c>
      <c r="R2414" s="29" t="str">
        <f t="shared" si="788"/>
        <v>NA</v>
      </c>
      <c r="S2414" s="29" t="str">
        <f t="shared" si="789"/>
        <v>NA</v>
      </c>
      <c r="T2414" s="29" t="str">
        <f t="shared" si="790"/>
        <v>NA</v>
      </c>
      <c r="U2414" s="29" t="str">
        <f t="shared" si="791"/>
        <v>NA</v>
      </c>
      <c r="V2414" s="29" t="str">
        <f t="shared" si="792"/>
        <v>NA</v>
      </c>
      <c r="W2414" s="29" t="str">
        <f t="shared" si="793"/>
        <v>NA</v>
      </c>
      <c r="X2414" s="29" t="str">
        <f t="shared" si="794"/>
        <v>NA</v>
      </c>
      <c r="Y2414" s="29" t="str">
        <f t="shared" si="795"/>
        <v>NA</v>
      </c>
      <c r="Z2414" s="29" t="str">
        <f t="shared" si="796"/>
        <v>NA</v>
      </c>
      <c r="AA2414" s="29" t="str">
        <f t="shared" si="797"/>
        <v>NA</v>
      </c>
      <c r="AB2414" s="29" t="str">
        <f t="shared" si="798"/>
        <v>NA</v>
      </c>
      <c r="AC2414" s="29" t="str">
        <f t="shared" si="799"/>
        <v>NA</v>
      </c>
      <c r="AD2414" s="29" t="str">
        <f t="shared" si="800"/>
        <v>NA</v>
      </c>
      <c r="AE2414" s="29" t="str">
        <f t="shared" si="801"/>
        <v>NA</v>
      </c>
      <c r="AF2414" s="29" t="str">
        <f t="shared" si="802"/>
        <v>NA</v>
      </c>
      <c r="AG2414" s="29" t="str">
        <f t="shared" si="803"/>
        <v>NA</v>
      </c>
      <c r="AH2414" s="29" t="str">
        <f t="shared" si="804"/>
        <v>NA</v>
      </c>
    </row>
    <row r="2415" customHeight="1" spans="1:34">
      <c r="A2415" s="12" t="s">
        <v>1043</v>
      </c>
      <c r="F2415" s="24">
        <f t="shared" si="786"/>
        <v>0</v>
      </c>
      <c r="G2415" s="24" t="e">
        <f t="shared" si="785"/>
        <v>#DIV/0!</v>
      </c>
      <c r="Q2415" s="29" t="str">
        <f t="shared" si="787"/>
        <v>NA</v>
      </c>
      <c r="R2415" s="29" t="str">
        <f t="shared" si="788"/>
        <v>NA</v>
      </c>
      <c r="S2415" s="29" t="str">
        <f t="shared" si="789"/>
        <v>NA</v>
      </c>
      <c r="T2415" s="29" t="str">
        <f t="shared" si="790"/>
        <v>NA</v>
      </c>
      <c r="U2415" s="29" t="str">
        <f t="shared" si="791"/>
        <v>NA</v>
      </c>
      <c r="V2415" s="29" t="str">
        <f t="shared" si="792"/>
        <v>NA</v>
      </c>
      <c r="W2415" s="29" t="str">
        <f t="shared" si="793"/>
        <v>NA</v>
      </c>
      <c r="X2415" s="29" t="str">
        <f t="shared" si="794"/>
        <v>NA</v>
      </c>
      <c r="Y2415" s="29" t="str">
        <f t="shared" si="795"/>
        <v>NA</v>
      </c>
      <c r="Z2415" s="29" t="str">
        <f t="shared" si="796"/>
        <v>NA</v>
      </c>
      <c r="AA2415" s="29" t="str">
        <f t="shared" si="797"/>
        <v>NA</v>
      </c>
      <c r="AB2415" s="29" t="str">
        <f t="shared" si="798"/>
        <v>NA</v>
      </c>
      <c r="AC2415" s="29" t="str">
        <f t="shared" si="799"/>
        <v>NA</v>
      </c>
      <c r="AD2415" s="29" t="str">
        <f t="shared" si="800"/>
        <v>NA</v>
      </c>
      <c r="AE2415" s="29" t="str">
        <f t="shared" si="801"/>
        <v>NA</v>
      </c>
      <c r="AF2415" s="29" t="str">
        <f t="shared" si="802"/>
        <v>NA</v>
      </c>
      <c r="AG2415" s="29" t="str">
        <f t="shared" si="803"/>
        <v>NA</v>
      </c>
      <c r="AH2415" s="29" t="str">
        <f t="shared" si="804"/>
        <v>NA</v>
      </c>
    </row>
    <row r="2416" customHeight="1" spans="1:34">
      <c r="A2416" s="12" t="s">
        <v>1043</v>
      </c>
      <c r="F2416" s="24">
        <f t="shared" si="786"/>
        <v>0</v>
      </c>
      <c r="G2416" s="24" t="e">
        <f t="shared" si="785"/>
        <v>#DIV/0!</v>
      </c>
      <c r="Q2416" s="29" t="str">
        <f t="shared" si="787"/>
        <v>NA</v>
      </c>
      <c r="R2416" s="29" t="str">
        <f t="shared" si="788"/>
        <v>NA</v>
      </c>
      <c r="S2416" s="29" t="str">
        <f t="shared" si="789"/>
        <v>NA</v>
      </c>
      <c r="T2416" s="29" t="str">
        <f t="shared" si="790"/>
        <v>NA</v>
      </c>
      <c r="U2416" s="29" t="str">
        <f t="shared" si="791"/>
        <v>NA</v>
      </c>
      <c r="V2416" s="29" t="str">
        <f t="shared" si="792"/>
        <v>NA</v>
      </c>
      <c r="W2416" s="29" t="str">
        <f t="shared" si="793"/>
        <v>NA</v>
      </c>
      <c r="X2416" s="29" t="str">
        <f t="shared" si="794"/>
        <v>NA</v>
      </c>
      <c r="Y2416" s="29" t="str">
        <f t="shared" si="795"/>
        <v>NA</v>
      </c>
      <c r="Z2416" s="29" t="str">
        <f t="shared" si="796"/>
        <v>NA</v>
      </c>
      <c r="AA2416" s="29" t="str">
        <f t="shared" si="797"/>
        <v>NA</v>
      </c>
      <c r="AB2416" s="29" t="str">
        <f t="shared" si="798"/>
        <v>NA</v>
      </c>
      <c r="AC2416" s="29" t="str">
        <f t="shared" si="799"/>
        <v>NA</v>
      </c>
      <c r="AD2416" s="29" t="str">
        <f t="shared" si="800"/>
        <v>NA</v>
      </c>
      <c r="AE2416" s="29" t="str">
        <f t="shared" si="801"/>
        <v>NA</v>
      </c>
      <c r="AF2416" s="29" t="str">
        <f t="shared" si="802"/>
        <v>NA</v>
      </c>
      <c r="AG2416" s="29" t="str">
        <f t="shared" si="803"/>
        <v>NA</v>
      </c>
      <c r="AH2416" s="29" t="str">
        <f t="shared" si="804"/>
        <v>NA</v>
      </c>
    </row>
    <row r="2417" customHeight="1" spans="1:34">
      <c r="A2417" s="12" t="s">
        <v>1043</v>
      </c>
      <c r="F2417" s="24">
        <f t="shared" si="786"/>
        <v>0</v>
      </c>
      <c r="G2417" s="24" t="e">
        <f t="shared" si="785"/>
        <v>#DIV/0!</v>
      </c>
      <c r="Q2417" s="29" t="str">
        <f t="shared" si="787"/>
        <v>NA</v>
      </c>
      <c r="R2417" s="29" t="str">
        <f t="shared" si="788"/>
        <v>NA</v>
      </c>
      <c r="S2417" s="29" t="str">
        <f t="shared" si="789"/>
        <v>NA</v>
      </c>
      <c r="T2417" s="29" t="str">
        <f t="shared" si="790"/>
        <v>NA</v>
      </c>
      <c r="U2417" s="29" t="str">
        <f t="shared" si="791"/>
        <v>NA</v>
      </c>
      <c r="V2417" s="29" t="str">
        <f t="shared" si="792"/>
        <v>NA</v>
      </c>
      <c r="W2417" s="29" t="str">
        <f t="shared" si="793"/>
        <v>NA</v>
      </c>
      <c r="X2417" s="29" t="str">
        <f t="shared" si="794"/>
        <v>NA</v>
      </c>
      <c r="Y2417" s="29" t="str">
        <f t="shared" si="795"/>
        <v>NA</v>
      </c>
      <c r="Z2417" s="29" t="str">
        <f t="shared" si="796"/>
        <v>NA</v>
      </c>
      <c r="AA2417" s="29" t="str">
        <f t="shared" si="797"/>
        <v>NA</v>
      </c>
      <c r="AB2417" s="29" t="str">
        <f t="shared" si="798"/>
        <v>NA</v>
      </c>
      <c r="AC2417" s="29" t="str">
        <f t="shared" si="799"/>
        <v>NA</v>
      </c>
      <c r="AD2417" s="29" t="str">
        <f t="shared" si="800"/>
        <v>NA</v>
      </c>
      <c r="AE2417" s="29" t="str">
        <f t="shared" si="801"/>
        <v>NA</v>
      </c>
      <c r="AF2417" s="29" t="str">
        <f t="shared" si="802"/>
        <v>NA</v>
      </c>
      <c r="AG2417" s="29" t="str">
        <f t="shared" si="803"/>
        <v>NA</v>
      </c>
      <c r="AH2417" s="29" t="str">
        <f t="shared" si="804"/>
        <v>NA</v>
      </c>
    </row>
    <row r="2418" customHeight="1" spans="1:34">
      <c r="A2418" s="12" t="s">
        <v>1043</v>
      </c>
      <c r="F2418" s="24">
        <f t="shared" si="786"/>
        <v>0</v>
      </c>
      <c r="G2418" s="24" t="e">
        <f t="shared" si="785"/>
        <v>#DIV/0!</v>
      </c>
      <c r="Q2418" s="29" t="str">
        <f t="shared" si="787"/>
        <v>NA</v>
      </c>
      <c r="R2418" s="29" t="str">
        <f t="shared" si="788"/>
        <v>NA</v>
      </c>
      <c r="S2418" s="29" t="str">
        <f t="shared" si="789"/>
        <v>NA</v>
      </c>
      <c r="T2418" s="29" t="str">
        <f t="shared" si="790"/>
        <v>NA</v>
      </c>
      <c r="U2418" s="29" t="str">
        <f t="shared" si="791"/>
        <v>NA</v>
      </c>
      <c r="V2418" s="29" t="str">
        <f t="shared" si="792"/>
        <v>NA</v>
      </c>
      <c r="W2418" s="29" t="str">
        <f t="shared" si="793"/>
        <v>NA</v>
      </c>
      <c r="X2418" s="29" t="str">
        <f t="shared" si="794"/>
        <v>NA</v>
      </c>
      <c r="Y2418" s="29" t="str">
        <f t="shared" si="795"/>
        <v>NA</v>
      </c>
      <c r="Z2418" s="29" t="str">
        <f t="shared" si="796"/>
        <v>NA</v>
      </c>
      <c r="AA2418" s="29" t="str">
        <f t="shared" si="797"/>
        <v>NA</v>
      </c>
      <c r="AB2418" s="29" t="str">
        <f t="shared" si="798"/>
        <v>NA</v>
      </c>
      <c r="AC2418" s="29" t="str">
        <f t="shared" si="799"/>
        <v>NA</v>
      </c>
      <c r="AD2418" s="29" t="str">
        <f t="shared" si="800"/>
        <v>NA</v>
      </c>
      <c r="AE2418" s="29" t="str">
        <f t="shared" si="801"/>
        <v>NA</v>
      </c>
      <c r="AF2418" s="29" t="str">
        <f t="shared" si="802"/>
        <v>NA</v>
      </c>
      <c r="AG2418" s="29" t="str">
        <f t="shared" si="803"/>
        <v>NA</v>
      </c>
      <c r="AH2418" s="29" t="str">
        <f t="shared" si="804"/>
        <v>NA</v>
      </c>
    </row>
    <row r="2419" customHeight="1" spans="1:34">
      <c r="A2419" s="12" t="s">
        <v>1043</v>
      </c>
      <c r="F2419" s="24">
        <f t="shared" si="786"/>
        <v>0</v>
      </c>
      <c r="G2419" s="24" t="e">
        <f t="shared" si="785"/>
        <v>#DIV/0!</v>
      </c>
      <c r="Q2419" s="29" t="str">
        <f t="shared" si="787"/>
        <v>NA</v>
      </c>
      <c r="R2419" s="29" t="str">
        <f t="shared" si="788"/>
        <v>NA</v>
      </c>
      <c r="S2419" s="29" t="str">
        <f t="shared" si="789"/>
        <v>NA</v>
      </c>
      <c r="T2419" s="29" t="str">
        <f t="shared" si="790"/>
        <v>NA</v>
      </c>
      <c r="U2419" s="29" t="str">
        <f t="shared" si="791"/>
        <v>NA</v>
      </c>
      <c r="V2419" s="29" t="str">
        <f t="shared" si="792"/>
        <v>NA</v>
      </c>
      <c r="W2419" s="29" t="str">
        <f t="shared" si="793"/>
        <v>NA</v>
      </c>
      <c r="X2419" s="29" t="str">
        <f t="shared" si="794"/>
        <v>NA</v>
      </c>
      <c r="Y2419" s="29" t="str">
        <f t="shared" si="795"/>
        <v>NA</v>
      </c>
      <c r="Z2419" s="29" t="str">
        <f t="shared" si="796"/>
        <v>NA</v>
      </c>
      <c r="AA2419" s="29" t="str">
        <f t="shared" si="797"/>
        <v>NA</v>
      </c>
      <c r="AB2419" s="29" t="str">
        <f t="shared" si="798"/>
        <v>NA</v>
      </c>
      <c r="AC2419" s="29" t="str">
        <f t="shared" si="799"/>
        <v>NA</v>
      </c>
      <c r="AD2419" s="29" t="str">
        <f t="shared" si="800"/>
        <v>NA</v>
      </c>
      <c r="AE2419" s="29" t="str">
        <f t="shared" si="801"/>
        <v>NA</v>
      </c>
      <c r="AF2419" s="29" t="str">
        <f t="shared" si="802"/>
        <v>NA</v>
      </c>
      <c r="AG2419" s="29" t="str">
        <f t="shared" si="803"/>
        <v>NA</v>
      </c>
      <c r="AH2419" s="29" t="str">
        <f t="shared" si="804"/>
        <v>NA</v>
      </c>
    </row>
    <row r="2420" customHeight="1" spans="1:34">
      <c r="A2420" s="12" t="s">
        <v>1043</v>
      </c>
      <c r="F2420" s="24">
        <f t="shared" si="786"/>
        <v>0</v>
      </c>
      <c r="G2420" s="24" t="e">
        <f t="shared" si="785"/>
        <v>#DIV/0!</v>
      </c>
      <c r="Q2420" s="29" t="str">
        <f t="shared" si="787"/>
        <v>NA</v>
      </c>
      <c r="R2420" s="29" t="str">
        <f t="shared" si="788"/>
        <v>NA</v>
      </c>
      <c r="S2420" s="29" t="str">
        <f t="shared" si="789"/>
        <v>NA</v>
      </c>
      <c r="T2420" s="29" t="str">
        <f t="shared" si="790"/>
        <v>NA</v>
      </c>
      <c r="U2420" s="29" t="str">
        <f t="shared" si="791"/>
        <v>NA</v>
      </c>
      <c r="V2420" s="29" t="str">
        <f t="shared" si="792"/>
        <v>NA</v>
      </c>
      <c r="W2420" s="29" t="str">
        <f t="shared" si="793"/>
        <v>NA</v>
      </c>
      <c r="X2420" s="29" t="str">
        <f t="shared" si="794"/>
        <v>NA</v>
      </c>
      <c r="Y2420" s="29" t="str">
        <f t="shared" si="795"/>
        <v>NA</v>
      </c>
      <c r="Z2420" s="29" t="str">
        <f t="shared" si="796"/>
        <v>NA</v>
      </c>
      <c r="AA2420" s="29" t="str">
        <f t="shared" si="797"/>
        <v>NA</v>
      </c>
      <c r="AB2420" s="29" t="str">
        <f t="shared" si="798"/>
        <v>NA</v>
      </c>
      <c r="AC2420" s="29" t="str">
        <f t="shared" si="799"/>
        <v>NA</v>
      </c>
      <c r="AD2420" s="29" t="str">
        <f t="shared" si="800"/>
        <v>NA</v>
      </c>
      <c r="AE2420" s="29" t="str">
        <f t="shared" si="801"/>
        <v>NA</v>
      </c>
      <c r="AF2420" s="29" t="str">
        <f t="shared" si="802"/>
        <v>NA</v>
      </c>
      <c r="AG2420" s="29" t="str">
        <f t="shared" si="803"/>
        <v>NA</v>
      </c>
      <c r="AH2420" s="29" t="str">
        <f t="shared" si="804"/>
        <v>NA</v>
      </c>
    </row>
    <row r="2421" customHeight="1" spans="1:34">
      <c r="A2421" s="12" t="s">
        <v>1043</v>
      </c>
      <c r="F2421" s="24">
        <f t="shared" si="786"/>
        <v>0</v>
      </c>
      <c r="G2421" s="24" t="e">
        <f t="shared" si="785"/>
        <v>#DIV/0!</v>
      </c>
      <c r="Q2421" s="29" t="str">
        <f t="shared" si="787"/>
        <v>NA</v>
      </c>
      <c r="R2421" s="29" t="str">
        <f t="shared" si="788"/>
        <v>NA</v>
      </c>
      <c r="S2421" s="29" t="str">
        <f t="shared" si="789"/>
        <v>NA</v>
      </c>
      <c r="T2421" s="29" t="str">
        <f t="shared" si="790"/>
        <v>NA</v>
      </c>
      <c r="U2421" s="29" t="str">
        <f t="shared" si="791"/>
        <v>NA</v>
      </c>
      <c r="V2421" s="29" t="str">
        <f t="shared" si="792"/>
        <v>NA</v>
      </c>
      <c r="W2421" s="29" t="str">
        <f t="shared" si="793"/>
        <v>NA</v>
      </c>
      <c r="X2421" s="29" t="str">
        <f t="shared" si="794"/>
        <v>NA</v>
      </c>
      <c r="Y2421" s="29" t="str">
        <f t="shared" si="795"/>
        <v>NA</v>
      </c>
      <c r="Z2421" s="29" t="str">
        <f t="shared" si="796"/>
        <v>NA</v>
      </c>
      <c r="AA2421" s="29" t="str">
        <f t="shared" si="797"/>
        <v>NA</v>
      </c>
      <c r="AB2421" s="29" t="str">
        <f t="shared" si="798"/>
        <v>NA</v>
      </c>
      <c r="AC2421" s="29" t="str">
        <f t="shared" si="799"/>
        <v>NA</v>
      </c>
      <c r="AD2421" s="29" t="str">
        <f t="shared" si="800"/>
        <v>NA</v>
      </c>
      <c r="AE2421" s="29" t="str">
        <f t="shared" si="801"/>
        <v>NA</v>
      </c>
      <c r="AF2421" s="29" t="str">
        <f t="shared" si="802"/>
        <v>NA</v>
      </c>
      <c r="AG2421" s="29" t="str">
        <f t="shared" si="803"/>
        <v>NA</v>
      </c>
      <c r="AH2421" s="29" t="str">
        <f t="shared" si="804"/>
        <v>NA</v>
      </c>
    </row>
    <row r="2422" customHeight="1" spans="1:34">
      <c r="A2422" s="12" t="s">
        <v>1043</v>
      </c>
      <c r="F2422" s="24">
        <f t="shared" si="786"/>
        <v>0</v>
      </c>
      <c r="G2422" s="24" t="e">
        <f t="shared" si="785"/>
        <v>#DIV/0!</v>
      </c>
      <c r="Q2422" s="29" t="str">
        <f t="shared" si="787"/>
        <v>NA</v>
      </c>
      <c r="R2422" s="29" t="str">
        <f t="shared" si="788"/>
        <v>NA</v>
      </c>
      <c r="S2422" s="29" t="str">
        <f t="shared" si="789"/>
        <v>NA</v>
      </c>
      <c r="T2422" s="29" t="str">
        <f t="shared" si="790"/>
        <v>NA</v>
      </c>
      <c r="U2422" s="29" t="str">
        <f t="shared" si="791"/>
        <v>NA</v>
      </c>
      <c r="V2422" s="29" t="str">
        <f t="shared" si="792"/>
        <v>NA</v>
      </c>
      <c r="W2422" s="29" t="str">
        <f t="shared" si="793"/>
        <v>NA</v>
      </c>
      <c r="X2422" s="29" t="str">
        <f t="shared" si="794"/>
        <v>NA</v>
      </c>
      <c r="Y2422" s="29" t="str">
        <f t="shared" si="795"/>
        <v>NA</v>
      </c>
      <c r="Z2422" s="29" t="str">
        <f t="shared" si="796"/>
        <v>NA</v>
      </c>
      <c r="AA2422" s="29" t="str">
        <f t="shared" si="797"/>
        <v>NA</v>
      </c>
      <c r="AB2422" s="29" t="str">
        <f t="shared" si="798"/>
        <v>NA</v>
      </c>
      <c r="AC2422" s="29" t="str">
        <f t="shared" si="799"/>
        <v>NA</v>
      </c>
      <c r="AD2422" s="29" t="str">
        <f t="shared" si="800"/>
        <v>NA</v>
      </c>
      <c r="AE2422" s="29" t="str">
        <f t="shared" si="801"/>
        <v>NA</v>
      </c>
      <c r="AF2422" s="29" t="str">
        <f t="shared" si="802"/>
        <v>NA</v>
      </c>
      <c r="AG2422" s="29" t="str">
        <f t="shared" si="803"/>
        <v>NA</v>
      </c>
      <c r="AH2422" s="29" t="str">
        <f t="shared" si="804"/>
        <v>NA</v>
      </c>
    </row>
    <row r="2423" customHeight="1" spans="1:34">
      <c r="A2423" s="12" t="s">
        <v>1043</v>
      </c>
      <c r="F2423" s="24">
        <f t="shared" si="786"/>
        <v>0</v>
      </c>
      <c r="G2423" s="24" t="e">
        <f t="shared" si="785"/>
        <v>#DIV/0!</v>
      </c>
      <c r="Q2423" s="29" t="str">
        <f t="shared" si="787"/>
        <v>NA</v>
      </c>
      <c r="R2423" s="29" t="str">
        <f t="shared" si="788"/>
        <v>NA</v>
      </c>
      <c r="S2423" s="29" t="str">
        <f t="shared" si="789"/>
        <v>NA</v>
      </c>
      <c r="T2423" s="29" t="str">
        <f t="shared" si="790"/>
        <v>NA</v>
      </c>
      <c r="U2423" s="29" t="str">
        <f t="shared" si="791"/>
        <v>NA</v>
      </c>
      <c r="V2423" s="29" t="str">
        <f t="shared" si="792"/>
        <v>NA</v>
      </c>
      <c r="W2423" s="29" t="str">
        <f t="shared" si="793"/>
        <v>NA</v>
      </c>
      <c r="X2423" s="29" t="str">
        <f t="shared" si="794"/>
        <v>NA</v>
      </c>
      <c r="Y2423" s="29" t="str">
        <f t="shared" si="795"/>
        <v>NA</v>
      </c>
      <c r="Z2423" s="29" t="str">
        <f t="shared" si="796"/>
        <v>NA</v>
      </c>
      <c r="AA2423" s="29" t="str">
        <f t="shared" si="797"/>
        <v>NA</v>
      </c>
      <c r="AB2423" s="29" t="str">
        <f t="shared" si="798"/>
        <v>NA</v>
      </c>
      <c r="AC2423" s="29" t="str">
        <f t="shared" si="799"/>
        <v>NA</v>
      </c>
      <c r="AD2423" s="29" t="str">
        <f t="shared" si="800"/>
        <v>NA</v>
      </c>
      <c r="AE2423" s="29" t="str">
        <f t="shared" si="801"/>
        <v>NA</v>
      </c>
      <c r="AF2423" s="29" t="str">
        <f t="shared" si="802"/>
        <v>NA</v>
      </c>
      <c r="AG2423" s="29" t="str">
        <f t="shared" si="803"/>
        <v>NA</v>
      </c>
      <c r="AH2423" s="29" t="str">
        <f t="shared" si="804"/>
        <v>NA</v>
      </c>
    </row>
    <row r="2424" customHeight="1" spans="1:34">
      <c r="A2424" s="12" t="s">
        <v>1043</v>
      </c>
      <c r="F2424" s="24">
        <f t="shared" si="786"/>
        <v>0</v>
      </c>
      <c r="G2424" s="24" t="e">
        <f t="shared" si="785"/>
        <v>#DIV/0!</v>
      </c>
      <c r="Q2424" s="29" t="str">
        <f t="shared" si="787"/>
        <v>NA</v>
      </c>
      <c r="R2424" s="29" t="str">
        <f t="shared" si="788"/>
        <v>NA</v>
      </c>
      <c r="S2424" s="29" t="str">
        <f t="shared" si="789"/>
        <v>NA</v>
      </c>
      <c r="T2424" s="29" t="str">
        <f t="shared" si="790"/>
        <v>NA</v>
      </c>
      <c r="U2424" s="29" t="str">
        <f t="shared" si="791"/>
        <v>NA</v>
      </c>
      <c r="V2424" s="29" t="str">
        <f t="shared" si="792"/>
        <v>NA</v>
      </c>
      <c r="W2424" s="29" t="str">
        <f t="shared" si="793"/>
        <v>NA</v>
      </c>
      <c r="X2424" s="29" t="str">
        <f t="shared" si="794"/>
        <v>NA</v>
      </c>
      <c r="Y2424" s="29" t="str">
        <f t="shared" si="795"/>
        <v>NA</v>
      </c>
      <c r="Z2424" s="29" t="str">
        <f t="shared" si="796"/>
        <v>NA</v>
      </c>
      <c r="AA2424" s="29" t="str">
        <f t="shared" si="797"/>
        <v>NA</v>
      </c>
      <c r="AB2424" s="29" t="str">
        <f t="shared" si="798"/>
        <v>NA</v>
      </c>
      <c r="AC2424" s="29" t="str">
        <f t="shared" si="799"/>
        <v>NA</v>
      </c>
      <c r="AD2424" s="29" t="str">
        <f t="shared" si="800"/>
        <v>NA</v>
      </c>
      <c r="AE2424" s="29" t="str">
        <f t="shared" si="801"/>
        <v>NA</v>
      </c>
      <c r="AF2424" s="29" t="str">
        <f t="shared" si="802"/>
        <v>NA</v>
      </c>
      <c r="AG2424" s="29" t="str">
        <f t="shared" si="803"/>
        <v>NA</v>
      </c>
      <c r="AH2424" s="29" t="str">
        <f t="shared" si="804"/>
        <v>NA</v>
      </c>
    </row>
    <row r="2425" customHeight="1" spans="1:34">
      <c r="A2425" s="12" t="s">
        <v>1043</v>
      </c>
      <c r="F2425" s="24">
        <f t="shared" si="786"/>
        <v>0</v>
      </c>
      <c r="G2425" s="24" t="e">
        <f t="shared" si="785"/>
        <v>#DIV/0!</v>
      </c>
      <c r="Q2425" s="29" t="str">
        <f t="shared" si="787"/>
        <v>NA</v>
      </c>
      <c r="R2425" s="29" t="str">
        <f t="shared" si="788"/>
        <v>NA</v>
      </c>
      <c r="S2425" s="29" t="str">
        <f t="shared" si="789"/>
        <v>NA</v>
      </c>
      <c r="T2425" s="29" t="str">
        <f t="shared" si="790"/>
        <v>NA</v>
      </c>
      <c r="U2425" s="29" t="str">
        <f t="shared" si="791"/>
        <v>NA</v>
      </c>
      <c r="V2425" s="29" t="str">
        <f t="shared" si="792"/>
        <v>NA</v>
      </c>
      <c r="W2425" s="29" t="str">
        <f t="shared" si="793"/>
        <v>NA</v>
      </c>
      <c r="X2425" s="29" t="str">
        <f t="shared" si="794"/>
        <v>NA</v>
      </c>
      <c r="Y2425" s="29" t="str">
        <f t="shared" si="795"/>
        <v>NA</v>
      </c>
      <c r="Z2425" s="29" t="str">
        <f t="shared" si="796"/>
        <v>NA</v>
      </c>
      <c r="AA2425" s="29" t="str">
        <f t="shared" si="797"/>
        <v>NA</v>
      </c>
      <c r="AB2425" s="29" t="str">
        <f t="shared" si="798"/>
        <v>NA</v>
      </c>
      <c r="AC2425" s="29" t="str">
        <f t="shared" si="799"/>
        <v>NA</v>
      </c>
      <c r="AD2425" s="29" t="str">
        <f t="shared" si="800"/>
        <v>NA</v>
      </c>
      <c r="AE2425" s="29" t="str">
        <f t="shared" si="801"/>
        <v>NA</v>
      </c>
      <c r="AF2425" s="29" t="str">
        <f t="shared" si="802"/>
        <v>NA</v>
      </c>
      <c r="AG2425" s="29" t="str">
        <f t="shared" si="803"/>
        <v>NA</v>
      </c>
      <c r="AH2425" s="29" t="str">
        <f t="shared" si="804"/>
        <v>NA</v>
      </c>
    </row>
    <row r="2426" customHeight="1" spans="1:34">
      <c r="A2426" s="12" t="s">
        <v>1043</v>
      </c>
      <c r="F2426" s="24">
        <f t="shared" si="786"/>
        <v>0</v>
      </c>
      <c r="G2426" s="24" t="e">
        <f t="shared" si="785"/>
        <v>#DIV/0!</v>
      </c>
      <c r="Q2426" s="29" t="str">
        <f t="shared" si="787"/>
        <v>NA</v>
      </c>
      <c r="R2426" s="29" t="str">
        <f t="shared" si="788"/>
        <v>NA</v>
      </c>
      <c r="S2426" s="29" t="str">
        <f t="shared" si="789"/>
        <v>NA</v>
      </c>
      <c r="T2426" s="29" t="str">
        <f t="shared" si="790"/>
        <v>NA</v>
      </c>
      <c r="U2426" s="29" t="str">
        <f t="shared" si="791"/>
        <v>NA</v>
      </c>
      <c r="V2426" s="29" t="str">
        <f t="shared" si="792"/>
        <v>NA</v>
      </c>
      <c r="W2426" s="29" t="str">
        <f t="shared" si="793"/>
        <v>NA</v>
      </c>
      <c r="X2426" s="29" t="str">
        <f t="shared" si="794"/>
        <v>NA</v>
      </c>
      <c r="Y2426" s="29" t="str">
        <f t="shared" si="795"/>
        <v>NA</v>
      </c>
      <c r="Z2426" s="29" t="str">
        <f t="shared" si="796"/>
        <v>NA</v>
      </c>
      <c r="AA2426" s="29" t="str">
        <f t="shared" si="797"/>
        <v>NA</v>
      </c>
      <c r="AB2426" s="29" t="str">
        <f t="shared" si="798"/>
        <v>NA</v>
      </c>
      <c r="AC2426" s="29" t="str">
        <f t="shared" si="799"/>
        <v>NA</v>
      </c>
      <c r="AD2426" s="29" t="str">
        <f t="shared" si="800"/>
        <v>NA</v>
      </c>
      <c r="AE2426" s="29" t="str">
        <f t="shared" si="801"/>
        <v>NA</v>
      </c>
      <c r="AF2426" s="29" t="str">
        <f t="shared" si="802"/>
        <v>NA</v>
      </c>
      <c r="AG2426" s="29" t="str">
        <f t="shared" si="803"/>
        <v>NA</v>
      </c>
      <c r="AH2426" s="29" t="str">
        <f t="shared" si="804"/>
        <v>NA</v>
      </c>
    </row>
    <row r="2427" customHeight="1" spans="1:34">
      <c r="A2427" s="12" t="s">
        <v>1043</v>
      </c>
      <c r="F2427" s="24">
        <f t="shared" si="786"/>
        <v>0</v>
      </c>
      <c r="G2427" s="24" t="e">
        <f t="shared" si="785"/>
        <v>#DIV/0!</v>
      </c>
      <c r="Q2427" s="29" t="str">
        <f t="shared" si="787"/>
        <v>NA</v>
      </c>
      <c r="R2427" s="29" t="str">
        <f t="shared" si="788"/>
        <v>NA</v>
      </c>
      <c r="S2427" s="29" t="str">
        <f t="shared" si="789"/>
        <v>NA</v>
      </c>
      <c r="T2427" s="29" t="str">
        <f t="shared" si="790"/>
        <v>NA</v>
      </c>
      <c r="U2427" s="29" t="str">
        <f t="shared" si="791"/>
        <v>NA</v>
      </c>
      <c r="V2427" s="29" t="str">
        <f t="shared" si="792"/>
        <v>NA</v>
      </c>
      <c r="W2427" s="29" t="str">
        <f t="shared" si="793"/>
        <v>NA</v>
      </c>
      <c r="X2427" s="29" t="str">
        <f t="shared" si="794"/>
        <v>NA</v>
      </c>
      <c r="Y2427" s="29" t="str">
        <f t="shared" si="795"/>
        <v>NA</v>
      </c>
      <c r="Z2427" s="29" t="str">
        <f t="shared" si="796"/>
        <v>NA</v>
      </c>
      <c r="AA2427" s="29" t="str">
        <f t="shared" si="797"/>
        <v>NA</v>
      </c>
      <c r="AB2427" s="29" t="str">
        <f t="shared" si="798"/>
        <v>NA</v>
      </c>
      <c r="AC2427" s="29" t="str">
        <f t="shared" si="799"/>
        <v>NA</v>
      </c>
      <c r="AD2427" s="29" t="str">
        <f t="shared" si="800"/>
        <v>NA</v>
      </c>
      <c r="AE2427" s="29" t="str">
        <f t="shared" si="801"/>
        <v>NA</v>
      </c>
      <c r="AF2427" s="29" t="str">
        <f t="shared" si="802"/>
        <v>NA</v>
      </c>
      <c r="AG2427" s="29" t="str">
        <f t="shared" si="803"/>
        <v>NA</v>
      </c>
      <c r="AH2427" s="29" t="str">
        <f t="shared" si="804"/>
        <v>NA</v>
      </c>
    </row>
    <row r="2428" customHeight="1" spans="1:34">
      <c r="A2428" s="12" t="s">
        <v>1043</v>
      </c>
      <c r="F2428" s="24">
        <f t="shared" si="786"/>
        <v>0</v>
      </c>
      <c r="G2428" s="24" t="e">
        <f t="shared" si="785"/>
        <v>#DIV/0!</v>
      </c>
      <c r="Q2428" s="29" t="str">
        <f t="shared" si="787"/>
        <v>NA</v>
      </c>
      <c r="R2428" s="29" t="str">
        <f t="shared" si="788"/>
        <v>NA</v>
      </c>
      <c r="S2428" s="29" t="str">
        <f t="shared" si="789"/>
        <v>NA</v>
      </c>
      <c r="T2428" s="29" t="str">
        <f t="shared" si="790"/>
        <v>NA</v>
      </c>
      <c r="U2428" s="29" t="str">
        <f t="shared" si="791"/>
        <v>NA</v>
      </c>
      <c r="V2428" s="29" t="str">
        <f t="shared" si="792"/>
        <v>NA</v>
      </c>
      <c r="W2428" s="29" t="str">
        <f t="shared" si="793"/>
        <v>NA</v>
      </c>
      <c r="X2428" s="29" t="str">
        <f t="shared" si="794"/>
        <v>NA</v>
      </c>
      <c r="Y2428" s="29" t="str">
        <f t="shared" si="795"/>
        <v>NA</v>
      </c>
      <c r="Z2428" s="29" t="str">
        <f t="shared" si="796"/>
        <v>NA</v>
      </c>
      <c r="AA2428" s="29" t="str">
        <f t="shared" si="797"/>
        <v>NA</v>
      </c>
      <c r="AB2428" s="29" t="str">
        <f t="shared" si="798"/>
        <v>NA</v>
      </c>
      <c r="AC2428" s="29" t="str">
        <f t="shared" si="799"/>
        <v>NA</v>
      </c>
      <c r="AD2428" s="29" t="str">
        <f t="shared" si="800"/>
        <v>NA</v>
      </c>
      <c r="AE2428" s="29" t="str">
        <f t="shared" si="801"/>
        <v>NA</v>
      </c>
      <c r="AF2428" s="29" t="str">
        <f t="shared" si="802"/>
        <v>NA</v>
      </c>
      <c r="AG2428" s="29" t="str">
        <f t="shared" si="803"/>
        <v>NA</v>
      </c>
      <c r="AH2428" s="29" t="str">
        <f t="shared" si="804"/>
        <v>NA</v>
      </c>
    </row>
    <row r="2429" customHeight="1" spans="1:34">
      <c r="A2429" s="12" t="s">
        <v>1043</v>
      </c>
      <c r="F2429" s="24">
        <f t="shared" si="786"/>
        <v>0</v>
      </c>
      <c r="G2429" s="24" t="e">
        <f t="shared" si="785"/>
        <v>#DIV/0!</v>
      </c>
      <c r="Q2429" s="29" t="str">
        <f t="shared" si="787"/>
        <v>NA</v>
      </c>
      <c r="R2429" s="29" t="str">
        <f t="shared" si="788"/>
        <v>NA</v>
      </c>
      <c r="S2429" s="29" t="str">
        <f t="shared" si="789"/>
        <v>NA</v>
      </c>
      <c r="T2429" s="29" t="str">
        <f t="shared" si="790"/>
        <v>NA</v>
      </c>
      <c r="U2429" s="29" t="str">
        <f t="shared" si="791"/>
        <v>NA</v>
      </c>
      <c r="V2429" s="29" t="str">
        <f t="shared" si="792"/>
        <v>NA</v>
      </c>
      <c r="W2429" s="29" t="str">
        <f t="shared" si="793"/>
        <v>NA</v>
      </c>
      <c r="X2429" s="29" t="str">
        <f t="shared" si="794"/>
        <v>NA</v>
      </c>
      <c r="Y2429" s="29" t="str">
        <f t="shared" si="795"/>
        <v>NA</v>
      </c>
      <c r="Z2429" s="29" t="str">
        <f t="shared" si="796"/>
        <v>NA</v>
      </c>
      <c r="AA2429" s="29" t="str">
        <f t="shared" si="797"/>
        <v>NA</v>
      </c>
      <c r="AB2429" s="29" t="str">
        <f t="shared" si="798"/>
        <v>NA</v>
      </c>
      <c r="AC2429" s="29" t="str">
        <f t="shared" si="799"/>
        <v>NA</v>
      </c>
      <c r="AD2429" s="29" t="str">
        <f t="shared" si="800"/>
        <v>NA</v>
      </c>
      <c r="AE2429" s="29" t="str">
        <f t="shared" si="801"/>
        <v>NA</v>
      </c>
      <c r="AF2429" s="29" t="str">
        <f t="shared" si="802"/>
        <v>NA</v>
      </c>
      <c r="AG2429" s="29" t="str">
        <f t="shared" si="803"/>
        <v>NA</v>
      </c>
      <c r="AH2429" s="29" t="str">
        <f t="shared" si="804"/>
        <v>NA</v>
      </c>
    </row>
    <row r="2430" customHeight="1" spans="1:34">
      <c r="A2430" s="12" t="s">
        <v>1043</v>
      </c>
      <c r="F2430" s="24">
        <f t="shared" si="786"/>
        <v>0</v>
      </c>
      <c r="G2430" s="24" t="e">
        <f t="shared" si="785"/>
        <v>#DIV/0!</v>
      </c>
      <c r="Q2430" s="29" t="str">
        <f t="shared" si="787"/>
        <v>NA</v>
      </c>
      <c r="R2430" s="29" t="str">
        <f t="shared" si="788"/>
        <v>NA</v>
      </c>
      <c r="S2430" s="29" t="str">
        <f t="shared" si="789"/>
        <v>NA</v>
      </c>
      <c r="T2430" s="29" t="str">
        <f t="shared" si="790"/>
        <v>NA</v>
      </c>
      <c r="U2430" s="29" t="str">
        <f t="shared" si="791"/>
        <v>NA</v>
      </c>
      <c r="V2430" s="29" t="str">
        <f t="shared" si="792"/>
        <v>NA</v>
      </c>
      <c r="W2430" s="29" t="str">
        <f t="shared" si="793"/>
        <v>NA</v>
      </c>
      <c r="X2430" s="29" t="str">
        <f t="shared" si="794"/>
        <v>NA</v>
      </c>
      <c r="Y2430" s="29" t="str">
        <f t="shared" si="795"/>
        <v>NA</v>
      </c>
      <c r="Z2430" s="29" t="str">
        <f t="shared" si="796"/>
        <v>NA</v>
      </c>
      <c r="AA2430" s="29" t="str">
        <f t="shared" si="797"/>
        <v>NA</v>
      </c>
      <c r="AB2430" s="29" t="str">
        <f t="shared" si="798"/>
        <v>NA</v>
      </c>
      <c r="AC2430" s="29" t="str">
        <f t="shared" si="799"/>
        <v>NA</v>
      </c>
      <c r="AD2430" s="29" t="str">
        <f t="shared" si="800"/>
        <v>NA</v>
      </c>
      <c r="AE2430" s="29" t="str">
        <f t="shared" si="801"/>
        <v>NA</v>
      </c>
      <c r="AF2430" s="29" t="str">
        <f t="shared" si="802"/>
        <v>NA</v>
      </c>
      <c r="AG2430" s="29" t="str">
        <f t="shared" si="803"/>
        <v>NA</v>
      </c>
      <c r="AH2430" s="29" t="str">
        <f t="shared" si="804"/>
        <v>NA</v>
      </c>
    </row>
    <row r="2431" customHeight="1" spans="1:34">
      <c r="A2431" s="12" t="s">
        <v>1043</v>
      </c>
      <c r="F2431" s="24">
        <f t="shared" si="786"/>
        <v>0</v>
      </c>
      <c r="G2431" s="24" t="e">
        <f t="shared" si="785"/>
        <v>#DIV/0!</v>
      </c>
      <c r="Q2431" s="29" t="str">
        <f t="shared" si="787"/>
        <v>NA</v>
      </c>
      <c r="R2431" s="29" t="str">
        <f t="shared" si="788"/>
        <v>NA</v>
      </c>
      <c r="S2431" s="29" t="str">
        <f t="shared" si="789"/>
        <v>NA</v>
      </c>
      <c r="T2431" s="29" t="str">
        <f t="shared" si="790"/>
        <v>NA</v>
      </c>
      <c r="U2431" s="29" t="str">
        <f t="shared" si="791"/>
        <v>NA</v>
      </c>
      <c r="V2431" s="29" t="str">
        <f t="shared" si="792"/>
        <v>NA</v>
      </c>
      <c r="W2431" s="29" t="str">
        <f t="shared" si="793"/>
        <v>NA</v>
      </c>
      <c r="X2431" s="29" t="str">
        <f t="shared" si="794"/>
        <v>NA</v>
      </c>
      <c r="Y2431" s="29" t="str">
        <f t="shared" si="795"/>
        <v>NA</v>
      </c>
      <c r="Z2431" s="29" t="str">
        <f t="shared" si="796"/>
        <v>NA</v>
      </c>
      <c r="AA2431" s="29" t="str">
        <f t="shared" si="797"/>
        <v>NA</v>
      </c>
      <c r="AB2431" s="29" t="str">
        <f t="shared" si="798"/>
        <v>NA</v>
      </c>
      <c r="AC2431" s="29" t="str">
        <f t="shared" si="799"/>
        <v>NA</v>
      </c>
      <c r="AD2431" s="29" t="str">
        <f t="shared" si="800"/>
        <v>NA</v>
      </c>
      <c r="AE2431" s="29" t="str">
        <f t="shared" si="801"/>
        <v>NA</v>
      </c>
      <c r="AF2431" s="29" t="str">
        <f t="shared" si="802"/>
        <v>NA</v>
      </c>
      <c r="AG2431" s="29" t="str">
        <f t="shared" si="803"/>
        <v>NA</v>
      </c>
      <c r="AH2431" s="29" t="str">
        <f t="shared" si="804"/>
        <v>NA</v>
      </c>
    </row>
    <row r="2432" customHeight="1" spans="1:34">
      <c r="A2432" s="12" t="s">
        <v>1043</v>
      </c>
      <c r="F2432" s="24">
        <f t="shared" si="786"/>
        <v>0</v>
      </c>
      <c r="G2432" s="24" t="e">
        <f t="shared" si="785"/>
        <v>#DIV/0!</v>
      </c>
      <c r="Q2432" s="29" t="str">
        <f t="shared" si="787"/>
        <v>NA</v>
      </c>
      <c r="R2432" s="29" t="str">
        <f t="shared" si="788"/>
        <v>NA</v>
      </c>
      <c r="S2432" s="29" t="str">
        <f t="shared" si="789"/>
        <v>NA</v>
      </c>
      <c r="T2432" s="29" t="str">
        <f t="shared" si="790"/>
        <v>NA</v>
      </c>
      <c r="U2432" s="29" t="str">
        <f t="shared" si="791"/>
        <v>NA</v>
      </c>
      <c r="V2432" s="29" t="str">
        <f t="shared" si="792"/>
        <v>NA</v>
      </c>
      <c r="W2432" s="29" t="str">
        <f t="shared" si="793"/>
        <v>NA</v>
      </c>
      <c r="X2432" s="29" t="str">
        <f t="shared" si="794"/>
        <v>NA</v>
      </c>
      <c r="Y2432" s="29" t="str">
        <f t="shared" si="795"/>
        <v>NA</v>
      </c>
      <c r="Z2432" s="29" t="str">
        <f t="shared" si="796"/>
        <v>NA</v>
      </c>
      <c r="AA2432" s="29" t="str">
        <f t="shared" si="797"/>
        <v>NA</v>
      </c>
      <c r="AB2432" s="29" t="str">
        <f t="shared" si="798"/>
        <v>NA</v>
      </c>
      <c r="AC2432" s="29" t="str">
        <f t="shared" si="799"/>
        <v>NA</v>
      </c>
      <c r="AD2432" s="29" t="str">
        <f t="shared" si="800"/>
        <v>NA</v>
      </c>
      <c r="AE2432" s="29" t="str">
        <f t="shared" si="801"/>
        <v>NA</v>
      </c>
      <c r="AF2432" s="29" t="str">
        <f t="shared" si="802"/>
        <v>NA</v>
      </c>
      <c r="AG2432" s="29" t="str">
        <f t="shared" si="803"/>
        <v>NA</v>
      </c>
      <c r="AH2432" s="29" t="str">
        <f t="shared" si="804"/>
        <v>NA</v>
      </c>
    </row>
    <row r="2433" customHeight="1" spans="1:34">
      <c r="A2433" s="12" t="s">
        <v>1043</v>
      </c>
      <c r="F2433" s="24">
        <f t="shared" si="786"/>
        <v>0</v>
      </c>
      <c r="G2433" s="24" t="e">
        <f t="shared" si="785"/>
        <v>#DIV/0!</v>
      </c>
      <c r="Q2433" s="29" t="str">
        <f t="shared" si="787"/>
        <v>NA</v>
      </c>
      <c r="R2433" s="29" t="str">
        <f t="shared" si="788"/>
        <v>NA</v>
      </c>
      <c r="S2433" s="29" t="str">
        <f t="shared" si="789"/>
        <v>NA</v>
      </c>
      <c r="T2433" s="29" t="str">
        <f t="shared" si="790"/>
        <v>NA</v>
      </c>
      <c r="U2433" s="29" t="str">
        <f t="shared" si="791"/>
        <v>NA</v>
      </c>
      <c r="V2433" s="29" t="str">
        <f t="shared" si="792"/>
        <v>NA</v>
      </c>
      <c r="W2433" s="29" t="str">
        <f t="shared" si="793"/>
        <v>NA</v>
      </c>
      <c r="X2433" s="29" t="str">
        <f t="shared" si="794"/>
        <v>NA</v>
      </c>
      <c r="Y2433" s="29" t="str">
        <f t="shared" si="795"/>
        <v>NA</v>
      </c>
      <c r="Z2433" s="29" t="str">
        <f t="shared" si="796"/>
        <v>NA</v>
      </c>
      <c r="AA2433" s="29" t="str">
        <f t="shared" si="797"/>
        <v>NA</v>
      </c>
      <c r="AB2433" s="29" t="str">
        <f t="shared" si="798"/>
        <v>NA</v>
      </c>
      <c r="AC2433" s="29" t="str">
        <f t="shared" si="799"/>
        <v>NA</v>
      </c>
      <c r="AD2433" s="29" t="str">
        <f t="shared" si="800"/>
        <v>NA</v>
      </c>
      <c r="AE2433" s="29" t="str">
        <f t="shared" si="801"/>
        <v>NA</v>
      </c>
      <c r="AF2433" s="29" t="str">
        <f t="shared" si="802"/>
        <v>NA</v>
      </c>
      <c r="AG2433" s="29" t="str">
        <f t="shared" si="803"/>
        <v>NA</v>
      </c>
      <c r="AH2433" s="29" t="str">
        <f t="shared" si="804"/>
        <v>NA</v>
      </c>
    </row>
    <row r="2434" customHeight="1" spans="1:34">
      <c r="A2434" s="12" t="s">
        <v>1043</v>
      </c>
      <c r="F2434" s="24">
        <f t="shared" si="786"/>
        <v>0</v>
      </c>
      <c r="G2434" s="24" t="e">
        <f t="shared" si="785"/>
        <v>#DIV/0!</v>
      </c>
      <c r="Q2434" s="29" t="str">
        <f t="shared" si="787"/>
        <v>NA</v>
      </c>
      <c r="R2434" s="29" t="str">
        <f t="shared" si="788"/>
        <v>NA</v>
      </c>
      <c r="S2434" s="29" t="str">
        <f t="shared" si="789"/>
        <v>NA</v>
      </c>
      <c r="T2434" s="29" t="str">
        <f t="shared" si="790"/>
        <v>NA</v>
      </c>
      <c r="U2434" s="29" t="str">
        <f t="shared" si="791"/>
        <v>NA</v>
      </c>
      <c r="V2434" s="29" t="str">
        <f t="shared" si="792"/>
        <v>NA</v>
      </c>
      <c r="W2434" s="29" t="str">
        <f t="shared" si="793"/>
        <v>NA</v>
      </c>
      <c r="X2434" s="29" t="str">
        <f t="shared" si="794"/>
        <v>NA</v>
      </c>
      <c r="Y2434" s="29" t="str">
        <f t="shared" si="795"/>
        <v>NA</v>
      </c>
      <c r="Z2434" s="29" t="str">
        <f t="shared" si="796"/>
        <v>NA</v>
      </c>
      <c r="AA2434" s="29" t="str">
        <f t="shared" si="797"/>
        <v>NA</v>
      </c>
      <c r="AB2434" s="29" t="str">
        <f t="shared" si="798"/>
        <v>NA</v>
      </c>
      <c r="AC2434" s="29" t="str">
        <f t="shared" si="799"/>
        <v>NA</v>
      </c>
      <c r="AD2434" s="29" t="str">
        <f t="shared" si="800"/>
        <v>NA</v>
      </c>
      <c r="AE2434" s="29" t="str">
        <f t="shared" si="801"/>
        <v>NA</v>
      </c>
      <c r="AF2434" s="29" t="str">
        <f t="shared" si="802"/>
        <v>NA</v>
      </c>
      <c r="AG2434" s="29" t="str">
        <f t="shared" si="803"/>
        <v>NA</v>
      </c>
      <c r="AH2434" s="29" t="str">
        <f t="shared" si="804"/>
        <v>NA</v>
      </c>
    </row>
    <row r="2435" customHeight="1" spans="1:34">
      <c r="A2435" s="12" t="s">
        <v>1043</v>
      </c>
      <c r="F2435" s="24">
        <f t="shared" si="786"/>
        <v>0</v>
      </c>
      <c r="G2435" s="24" t="e">
        <f t="shared" si="785"/>
        <v>#DIV/0!</v>
      </c>
      <c r="Q2435" s="29" t="str">
        <f t="shared" si="787"/>
        <v>NA</v>
      </c>
      <c r="R2435" s="29" t="str">
        <f t="shared" si="788"/>
        <v>NA</v>
      </c>
      <c r="S2435" s="29" t="str">
        <f t="shared" si="789"/>
        <v>NA</v>
      </c>
      <c r="T2435" s="29" t="str">
        <f t="shared" si="790"/>
        <v>NA</v>
      </c>
      <c r="U2435" s="29" t="str">
        <f t="shared" si="791"/>
        <v>NA</v>
      </c>
      <c r="V2435" s="29" t="str">
        <f t="shared" si="792"/>
        <v>NA</v>
      </c>
      <c r="W2435" s="29" t="str">
        <f t="shared" si="793"/>
        <v>NA</v>
      </c>
      <c r="X2435" s="29" t="str">
        <f t="shared" si="794"/>
        <v>NA</v>
      </c>
      <c r="Y2435" s="29" t="str">
        <f t="shared" si="795"/>
        <v>NA</v>
      </c>
      <c r="Z2435" s="29" t="str">
        <f t="shared" si="796"/>
        <v>NA</v>
      </c>
      <c r="AA2435" s="29" t="str">
        <f t="shared" si="797"/>
        <v>NA</v>
      </c>
      <c r="AB2435" s="29" t="str">
        <f t="shared" si="798"/>
        <v>NA</v>
      </c>
      <c r="AC2435" s="29" t="str">
        <f t="shared" si="799"/>
        <v>NA</v>
      </c>
      <c r="AD2435" s="29" t="str">
        <f t="shared" si="800"/>
        <v>NA</v>
      </c>
      <c r="AE2435" s="29" t="str">
        <f t="shared" si="801"/>
        <v>NA</v>
      </c>
      <c r="AF2435" s="29" t="str">
        <f t="shared" si="802"/>
        <v>NA</v>
      </c>
      <c r="AG2435" s="29" t="str">
        <f t="shared" si="803"/>
        <v>NA</v>
      </c>
      <c r="AH2435" s="29" t="str">
        <f t="shared" si="804"/>
        <v>NA</v>
      </c>
    </row>
    <row r="2436" customHeight="1" spans="1:34">
      <c r="A2436" s="12" t="s">
        <v>1043</v>
      </c>
      <c r="F2436" s="24">
        <f t="shared" si="786"/>
        <v>0</v>
      </c>
      <c r="G2436" s="24" t="e">
        <f t="shared" si="785"/>
        <v>#DIV/0!</v>
      </c>
      <c r="Q2436" s="29" t="str">
        <f t="shared" si="787"/>
        <v>NA</v>
      </c>
      <c r="R2436" s="29" t="str">
        <f t="shared" si="788"/>
        <v>NA</v>
      </c>
      <c r="S2436" s="29" t="str">
        <f t="shared" si="789"/>
        <v>NA</v>
      </c>
      <c r="T2436" s="29" t="str">
        <f t="shared" si="790"/>
        <v>NA</v>
      </c>
      <c r="U2436" s="29" t="str">
        <f t="shared" si="791"/>
        <v>NA</v>
      </c>
      <c r="V2436" s="29" t="str">
        <f t="shared" si="792"/>
        <v>NA</v>
      </c>
      <c r="W2436" s="29" t="str">
        <f t="shared" si="793"/>
        <v>NA</v>
      </c>
      <c r="X2436" s="29" t="str">
        <f t="shared" si="794"/>
        <v>NA</v>
      </c>
      <c r="Y2436" s="29" t="str">
        <f t="shared" si="795"/>
        <v>NA</v>
      </c>
      <c r="Z2436" s="29" t="str">
        <f t="shared" si="796"/>
        <v>NA</v>
      </c>
      <c r="AA2436" s="29" t="str">
        <f t="shared" si="797"/>
        <v>NA</v>
      </c>
      <c r="AB2436" s="29" t="str">
        <f t="shared" si="798"/>
        <v>NA</v>
      </c>
      <c r="AC2436" s="29" t="str">
        <f t="shared" si="799"/>
        <v>NA</v>
      </c>
      <c r="AD2436" s="29" t="str">
        <f t="shared" si="800"/>
        <v>NA</v>
      </c>
      <c r="AE2436" s="29" t="str">
        <f t="shared" si="801"/>
        <v>NA</v>
      </c>
      <c r="AF2436" s="29" t="str">
        <f t="shared" si="802"/>
        <v>NA</v>
      </c>
      <c r="AG2436" s="29" t="str">
        <f t="shared" si="803"/>
        <v>NA</v>
      </c>
      <c r="AH2436" s="29" t="str">
        <f t="shared" si="804"/>
        <v>NA</v>
      </c>
    </row>
    <row r="2437" customHeight="1" spans="1:34">
      <c r="A2437" s="12" t="s">
        <v>1043</v>
      </c>
      <c r="F2437" s="24">
        <f t="shared" si="786"/>
        <v>0</v>
      </c>
      <c r="G2437" s="24" t="e">
        <f t="shared" ref="G2437:G2500" si="805">B2437*D2437/C2437</f>
        <v>#DIV/0!</v>
      </c>
      <c r="Q2437" s="29" t="str">
        <f t="shared" si="787"/>
        <v>NA</v>
      </c>
      <c r="R2437" s="29" t="str">
        <f t="shared" si="788"/>
        <v>NA</v>
      </c>
      <c r="S2437" s="29" t="str">
        <f t="shared" si="789"/>
        <v>NA</v>
      </c>
      <c r="T2437" s="29" t="str">
        <f t="shared" si="790"/>
        <v>NA</v>
      </c>
      <c r="U2437" s="29" t="str">
        <f t="shared" si="791"/>
        <v>NA</v>
      </c>
      <c r="V2437" s="29" t="str">
        <f t="shared" si="792"/>
        <v>NA</v>
      </c>
      <c r="W2437" s="29" t="str">
        <f t="shared" si="793"/>
        <v>NA</v>
      </c>
      <c r="X2437" s="29" t="str">
        <f t="shared" si="794"/>
        <v>NA</v>
      </c>
      <c r="Y2437" s="29" t="str">
        <f t="shared" si="795"/>
        <v>NA</v>
      </c>
      <c r="Z2437" s="29" t="str">
        <f t="shared" si="796"/>
        <v>NA</v>
      </c>
      <c r="AA2437" s="29" t="str">
        <f t="shared" si="797"/>
        <v>NA</v>
      </c>
      <c r="AB2437" s="29" t="str">
        <f t="shared" si="798"/>
        <v>NA</v>
      </c>
      <c r="AC2437" s="29" t="str">
        <f t="shared" si="799"/>
        <v>NA</v>
      </c>
      <c r="AD2437" s="29" t="str">
        <f t="shared" si="800"/>
        <v>NA</v>
      </c>
      <c r="AE2437" s="29" t="str">
        <f t="shared" si="801"/>
        <v>NA</v>
      </c>
      <c r="AF2437" s="29" t="str">
        <f t="shared" si="802"/>
        <v>NA</v>
      </c>
      <c r="AG2437" s="29" t="str">
        <f t="shared" si="803"/>
        <v>NA</v>
      </c>
      <c r="AH2437" s="29" t="str">
        <f t="shared" si="804"/>
        <v>NA</v>
      </c>
    </row>
    <row r="2438" customHeight="1" spans="1:34">
      <c r="A2438" s="12" t="s">
        <v>1043</v>
      </c>
      <c r="F2438" s="24">
        <f t="shared" ref="F2438:F2501" si="806">+D2438+E2438</f>
        <v>0</v>
      </c>
      <c r="G2438" s="24" t="e">
        <f t="shared" si="805"/>
        <v>#DIV/0!</v>
      </c>
      <c r="Q2438" s="29" t="str">
        <f t="shared" si="787"/>
        <v>NA</v>
      </c>
      <c r="R2438" s="29" t="str">
        <f t="shared" si="788"/>
        <v>NA</v>
      </c>
      <c r="S2438" s="29" t="str">
        <f t="shared" si="789"/>
        <v>NA</v>
      </c>
      <c r="T2438" s="29" t="str">
        <f t="shared" si="790"/>
        <v>NA</v>
      </c>
      <c r="U2438" s="29" t="str">
        <f t="shared" si="791"/>
        <v>NA</v>
      </c>
      <c r="V2438" s="29" t="str">
        <f t="shared" si="792"/>
        <v>NA</v>
      </c>
      <c r="W2438" s="29" t="str">
        <f t="shared" si="793"/>
        <v>NA</v>
      </c>
      <c r="X2438" s="29" t="str">
        <f t="shared" si="794"/>
        <v>NA</v>
      </c>
      <c r="Y2438" s="29" t="str">
        <f t="shared" si="795"/>
        <v>NA</v>
      </c>
      <c r="Z2438" s="29" t="str">
        <f t="shared" si="796"/>
        <v>NA</v>
      </c>
      <c r="AA2438" s="29" t="str">
        <f t="shared" si="797"/>
        <v>NA</v>
      </c>
      <c r="AB2438" s="29" t="str">
        <f t="shared" si="798"/>
        <v>NA</v>
      </c>
      <c r="AC2438" s="29" t="str">
        <f t="shared" si="799"/>
        <v>NA</v>
      </c>
      <c r="AD2438" s="29" t="str">
        <f t="shared" si="800"/>
        <v>NA</v>
      </c>
      <c r="AE2438" s="29" t="str">
        <f t="shared" si="801"/>
        <v>NA</v>
      </c>
      <c r="AF2438" s="29" t="str">
        <f t="shared" si="802"/>
        <v>NA</v>
      </c>
      <c r="AG2438" s="29" t="str">
        <f t="shared" si="803"/>
        <v>NA</v>
      </c>
      <c r="AH2438" s="29" t="str">
        <f t="shared" si="804"/>
        <v>NA</v>
      </c>
    </row>
    <row r="2439" customHeight="1" spans="1:34">
      <c r="A2439" s="12" t="s">
        <v>1043</v>
      </c>
      <c r="F2439" s="24">
        <f t="shared" si="806"/>
        <v>0</v>
      </c>
      <c r="G2439" s="24" t="e">
        <f t="shared" si="805"/>
        <v>#DIV/0!</v>
      </c>
      <c r="Q2439" s="29" t="str">
        <f t="shared" si="787"/>
        <v>NA</v>
      </c>
      <c r="R2439" s="29" t="str">
        <f t="shared" si="788"/>
        <v>NA</v>
      </c>
      <c r="S2439" s="29" t="str">
        <f t="shared" si="789"/>
        <v>NA</v>
      </c>
      <c r="T2439" s="29" t="str">
        <f t="shared" si="790"/>
        <v>NA</v>
      </c>
      <c r="U2439" s="29" t="str">
        <f t="shared" si="791"/>
        <v>NA</v>
      </c>
      <c r="V2439" s="29" t="str">
        <f t="shared" si="792"/>
        <v>NA</v>
      </c>
      <c r="W2439" s="29" t="str">
        <f t="shared" si="793"/>
        <v>NA</v>
      </c>
      <c r="X2439" s="29" t="str">
        <f t="shared" si="794"/>
        <v>NA</v>
      </c>
      <c r="Y2439" s="29" t="str">
        <f t="shared" si="795"/>
        <v>NA</v>
      </c>
      <c r="Z2439" s="29" t="str">
        <f t="shared" si="796"/>
        <v>NA</v>
      </c>
      <c r="AA2439" s="29" t="str">
        <f t="shared" si="797"/>
        <v>NA</v>
      </c>
      <c r="AB2439" s="29" t="str">
        <f t="shared" si="798"/>
        <v>NA</v>
      </c>
      <c r="AC2439" s="29" t="str">
        <f t="shared" si="799"/>
        <v>NA</v>
      </c>
      <c r="AD2439" s="29" t="str">
        <f t="shared" si="800"/>
        <v>NA</v>
      </c>
      <c r="AE2439" s="29" t="str">
        <f t="shared" si="801"/>
        <v>NA</v>
      </c>
      <c r="AF2439" s="29" t="str">
        <f t="shared" si="802"/>
        <v>NA</v>
      </c>
      <c r="AG2439" s="29" t="str">
        <f t="shared" si="803"/>
        <v>NA</v>
      </c>
      <c r="AH2439" s="29" t="str">
        <f t="shared" si="804"/>
        <v>NA</v>
      </c>
    </row>
    <row r="2440" customHeight="1" spans="1:34">
      <c r="A2440" s="12" t="s">
        <v>1043</v>
      </c>
      <c r="F2440" s="24">
        <f t="shared" si="806"/>
        <v>0</v>
      </c>
      <c r="G2440" s="24" t="e">
        <f t="shared" si="805"/>
        <v>#DIV/0!</v>
      </c>
      <c r="Q2440" s="29" t="str">
        <f t="shared" si="787"/>
        <v>NA</v>
      </c>
      <c r="R2440" s="29" t="str">
        <f t="shared" si="788"/>
        <v>NA</v>
      </c>
      <c r="S2440" s="29" t="str">
        <f t="shared" si="789"/>
        <v>NA</v>
      </c>
      <c r="T2440" s="29" t="str">
        <f t="shared" si="790"/>
        <v>NA</v>
      </c>
      <c r="U2440" s="29" t="str">
        <f t="shared" si="791"/>
        <v>NA</v>
      </c>
      <c r="V2440" s="29" t="str">
        <f t="shared" si="792"/>
        <v>NA</v>
      </c>
      <c r="W2440" s="29" t="str">
        <f t="shared" si="793"/>
        <v>NA</v>
      </c>
      <c r="X2440" s="29" t="str">
        <f t="shared" si="794"/>
        <v>NA</v>
      </c>
      <c r="Y2440" s="29" t="str">
        <f t="shared" si="795"/>
        <v>NA</v>
      </c>
      <c r="Z2440" s="29" t="str">
        <f t="shared" si="796"/>
        <v>NA</v>
      </c>
      <c r="AA2440" s="29" t="str">
        <f t="shared" si="797"/>
        <v>NA</v>
      </c>
      <c r="AB2440" s="29" t="str">
        <f t="shared" si="798"/>
        <v>NA</v>
      </c>
      <c r="AC2440" s="29" t="str">
        <f t="shared" si="799"/>
        <v>NA</v>
      </c>
      <c r="AD2440" s="29" t="str">
        <f t="shared" si="800"/>
        <v>NA</v>
      </c>
      <c r="AE2440" s="29" t="str">
        <f t="shared" si="801"/>
        <v>NA</v>
      </c>
      <c r="AF2440" s="29" t="str">
        <f t="shared" si="802"/>
        <v>NA</v>
      </c>
      <c r="AG2440" s="29" t="str">
        <f t="shared" si="803"/>
        <v>NA</v>
      </c>
      <c r="AH2440" s="29" t="str">
        <f t="shared" si="804"/>
        <v>NA</v>
      </c>
    </row>
    <row r="2441" customHeight="1" spans="1:34">
      <c r="A2441" s="12" t="s">
        <v>1043</v>
      </c>
      <c r="F2441" s="24">
        <f t="shared" si="806"/>
        <v>0</v>
      </c>
      <c r="G2441" s="24" t="e">
        <f t="shared" si="805"/>
        <v>#DIV/0!</v>
      </c>
      <c r="Q2441" s="29" t="str">
        <f t="shared" si="787"/>
        <v>NA</v>
      </c>
      <c r="R2441" s="29" t="str">
        <f t="shared" si="788"/>
        <v>NA</v>
      </c>
      <c r="S2441" s="29" t="str">
        <f t="shared" si="789"/>
        <v>NA</v>
      </c>
      <c r="T2441" s="29" t="str">
        <f t="shared" si="790"/>
        <v>NA</v>
      </c>
      <c r="U2441" s="29" t="str">
        <f t="shared" si="791"/>
        <v>NA</v>
      </c>
      <c r="V2441" s="29" t="str">
        <f t="shared" si="792"/>
        <v>NA</v>
      </c>
      <c r="W2441" s="29" t="str">
        <f t="shared" si="793"/>
        <v>NA</v>
      </c>
      <c r="X2441" s="29" t="str">
        <f t="shared" si="794"/>
        <v>NA</v>
      </c>
      <c r="Y2441" s="29" t="str">
        <f t="shared" si="795"/>
        <v>NA</v>
      </c>
      <c r="Z2441" s="29" t="str">
        <f t="shared" si="796"/>
        <v>NA</v>
      </c>
      <c r="AA2441" s="29" t="str">
        <f t="shared" si="797"/>
        <v>NA</v>
      </c>
      <c r="AB2441" s="29" t="str">
        <f t="shared" si="798"/>
        <v>NA</v>
      </c>
      <c r="AC2441" s="29" t="str">
        <f t="shared" si="799"/>
        <v>NA</v>
      </c>
      <c r="AD2441" s="29" t="str">
        <f t="shared" si="800"/>
        <v>NA</v>
      </c>
      <c r="AE2441" s="29" t="str">
        <f t="shared" si="801"/>
        <v>NA</v>
      </c>
      <c r="AF2441" s="29" t="str">
        <f t="shared" si="802"/>
        <v>NA</v>
      </c>
      <c r="AG2441" s="29" t="str">
        <f t="shared" si="803"/>
        <v>NA</v>
      </c>
      <c r="AH2441" s="29" t="str">
        <f t="shared" si="804"/>
        <v>NA</v>
      </c>
    </row>
    <row r="2442" customHeight="1" spans="1:34">
      <c r="A2442" s="12" t="s">
        <v>1043</v>
      </c>
      <c r="F2442" s="24">
        <f t="shared" si="806"/>
        <v>0</v>
      </c>
      <c r="G2442" s="24" t="e">
        <f t="shared" si="805"/>
        <v>#DIV/0!</v>
      </c>
      <c r="Q2442" s="29" t="str">
        <f t="shared" si="787"/>
        <v>NA</v>
      </c>
      <c r="R2442" s="29" t="str">
        <f t="shared" si="788"/>
        <v>NA</v>
      </c>
      <c r="S2442" s="29" t="str">
        <f t="shared" si="789"/>
        <v>NA</v>
      </c>
      <c r="T2442" s="29" t="str">
        <f t="shared" si="790"/>
        <v>NA</v>
      </c>
      <c r="U2442" s="29" t="str">
        <f t="shared" si="791"/>
        <v>NA</v>
      </c>
      <c r="V2442" s="29" t="str">
        <f t="shared" si="792"/>
        <v>NA</v>
      </c>
      <c r="W2442" s="29" t="str">
        <f t="shared" si="793"/>
        <v>NA</v>
      </c>
      <c r="X2442" s="29" t="str">
        <f t="shared" si="794"/>
        <v>NA</v>
      </c>
      <c r="Y2442" s="29" t="str">
        <f t="shared" si="795"/>
        <v>NA</v>
      </c>
      <c r="Z2442" s="29" t="str">
        <f t="shared" si="796"/>
        <v>NA</v>
      </c>
      <c r="AA2442" s="29" t="str">
        <f t="shared" si="797"/>
        <v>NA</v>
      </c>
      <c r="AB2442" s="29" t="str">
        <f t="shared" si="798"/>
        <v>NA</v>
      </c>
      <c r="AC2442" s="29" t="str">
        <f t="shared" si="799"/>
        <v>NA</v>
      </c>
      <c r="AD2442" s="29" t="str">
        <f t="shared" si="800"/>
        <v>NA</v>
      </c>
      <c r="AE2442" s="29" t="str">
        <f t="shared" si="801"/>
        <v>NA</v>
      </c>
      <c r="AF2442" s="29" t="str">
        <f t="shared" si="802"/>
        <v>NA</v>
      </c>
      <c r="AG2442" s="29" t="str">
        <f t="shared" si="803"/>
        <v>NA</v>
      </c>
      <c r="AH2442" s="29" t="str">
        <f t="shared" si="804"/>
        <v>NA</v>
      </c>
    </row>
    <row r="2443" customHeight="1" spans="1:34">
      <c r="A2443" s="12" t="s">
        <v>1043</v>
      </c>
      <c r="F2443" s="24">
        <f t="shared" si="806"/>
        <v>0</v>
      </c>
      <c r="G2443" s="24" t="e">
        <f t="shared" si="805"/>
        <v>#DIV/0!</v>
      </c>
      <c r="Q2443" s="29" t="str">
        <f t="shared" si="787"/>
        <v>NA</v>
      </c>
      <c r="R2443" s="29" t="str">
        <f t="shared" si="788"/>
        <v>NA</v>
      </c>
      <c r="S2443" s="29" t="str">
        <f t="shared" si="789"/>
        <v>NA</v>
      </c>
      <c r="T2443" s="29" t="str">
        <f t="shared" si="790"/>
        <v>NA</v>
      </c>
      <c r="U2443" s="29" t="str">
        <f t="shared" si="791"/>
        <v>NA</v>
      </c>
      <c r="V2443" s="29" t="str">
        <f t="shared" si="792"/>
        <v>NA</v>
      </c>
      <c r="W2443" s="29" t="str">
        <f t="shared" si="793"/>
        <v>NA</v>
      </c>
      <c r="X2443" s="29" t="str">
        <f t="shared" si="794"/>
        <v>NA</v>
      </c>
      <c r="Y2443" s="29" t="str">
        <f t="shared" si="795"/>
        <v>NA</v>
      </c>
      <c r="Z2443" s="29" t="str">
        <f t="shared" si="796"/>
        <v>NA</v>
      </c>
      <c r="AA2443" s="29" t="str">
        <f t="shared" si="797"/>
        <v>NA</v>
      </c>
      <c r="AB2443" s="29" t="str">
        <f t="shared" si="798"/>
        <v>NA</v>
      </c>
      <c r="AC2443" s="29" t="str">
        <f t="shared" si="799"/>
        <v>NA</v>
      </c>
      <c r="AD2443" s="29" t="str">
        <f t="shared" si="800"/>
        <v>NA</v>
      </c>
      <c r="AE2443" s="29" t="str">
        <f t="shared" si="801"/>
        <v>NA</v>
      </c>
      <c r="AF2443" s="29" t="str">
        <f t="shared" si="802"/>
        <v>NA</v>
      </c>
      <c r="AG2443" s="29" t="str">
        <f t="shared" si="803"/>
        <v>NA</v>
      </c>
      <c r="AH2443" s="29" t="str">
        <f t="shared" si="804"/>
        <v>NA</v>
      </c>
    </row>
    <row r="2444" customHeight="1" spans="1:34">
      <c r="A2444" s="12" t="s">
        <v>1043</v>
      </c>
      <c r="F2444" s="24">
        <f t="shared" si="806"/>
        <v>0</v>
      </c>
      <c r="G2444" s="24" t="e">
        <f t="shared" si="805"/>
        <v>#DIV/0!</v>
      </c>
      <c r="Q2444" s="29" t="str">
        <f t="shared" si="787"/>
        <v>NA</v>
      </c>
      <c r="R2444" s="29" t="str">
        <f t="shared" si="788"/>
        <v>NA</v>
      </c>
      <c r="S2444" s="29" t="str">
        <f t="shared" si="789"/>
        <v>NA</v>
      </c>
      <c r="T2444" s="29" t="str">
        <f t="shared" si="790"/>
        <v>NA</v>
      </c>
      <c r="U2444" s="29" t="str">
        <f t="shared" si="791"/>
        <v>NA</v>
      </c>
      <c r="V2444" s="29" t="str">
        <f t="shared" si="792"/>
        <v>NA</v>
      </c>
      <c r="W2444" s="29" t="str">
        <f t="shared" si="793"/>
        <v>NA</v>
      </c>
      <c r="X2444" s="29" t="str">
        <f t="shared" si="794"/>
        <v>NA</v>
      </c>
      <c r="Y2444" s="29" t="str">
        <f t="shared" si="795"/>
        <v>NA</v>
      </c>
      <c r="Z2444" s="29" t="str">
        <f t="shared" si="796"/>
        <v>NA</v>
      </c>
      <c r="AA2444" s="29" t="str">
        <f t="shared" si="797"/>
        <v>NA</v>
      </c>
      <c r="AB2444" s="29" t="str">
        <f t="shared" si="798"/>
        <v>NA</v>
      </c>
      <c r="AC2444" s="29" t="str">
        <f t="shared" si="799"/>
        <v>NA</v>
      </c>
      <c r="AD2444" s="29" t="str">
        <f t="shared" si="800"/>
        <v>NA</v>
      </c>
      <c r="AE2444" s="29" t="str">
        <f t="shared" si="801"/>
        <v>NA</v>
      </c>
      <c r="AF2444" s="29" t="str">
        <f t="shared" si="802"/>
        <v>NA</v>
      </c>
      <c r="AG2444" s="29" t="str">
        <f t="shared" si="803"/>
        <v>NA</v>
      </c>
      <c r="AH2444" s="29" t="str">
        <f t="shared" si="804"/>
        <v>NA</v>
      </c>
    </row>
    <row r="2445" customHeight="1" spans="1:34">
      <c r="A2445" s="12" t="s">
        <v>1043</v>
      </c>
      <c r="F2445" s="24">
        <f t="shared" si="806"/>
        <v>0</v>
      </c>
      <c r="G2445" s="24" t="e">
        <f t="shared" si="805"/>
        <v>#DIV/0!</v>
      </c>
      <c r="Q2445" s="29" t="str">
        <f t="shared" si="787"/>
        <v>NA</v>
      </c>
      <c r="R2445" s="29" t="str">
        <f t="shared" si="788"/>
        <v>NA</v>
      </c>
      <c r="S2445" s="29" t="str">
        <f t="shared" si="789"/>
        <v>NA</v>
      </c>
      <c r="T2445" s="29" t="str">
        <f t="shared" si="790"/>
        <v>NA</v>
      </c>
      <c r="U2445" s="29" t="str">
        <f t="shared" si="791"/>
        <v>NA</v>
      </c>
      <c r="V2445" s="29" t="str">
        <f t="shared" si="792"/>
        <v>NA</v>
      </c>
      <c r="W2445" s="29" t="str">
        <f t="shared" si="793"/>
        <v>NA</v>
      </c>
      <c r="X2445" s="29" t="str">
        <f t="shared" si="794"/>
        <v>NA</v>
      </c>
      <c r="Y2445" s="29" t="str">
        <f t="shared" si="795"/>
        <v>NA</v>
      </c>
      <c r="Z2445" s="29" t="str">
        <f t="shared" si="796"/>
        <v>NA</v>
      </c>
      <c r="AA2445" s="29" t="str">
        <f t="shared" si="797"/>
        <v>NA</v>
      </c>
      <c r="AB2445" s="29" t="str">
        <f t="shared" si="798"/>
        <v>NA</v>
      </c>
      <c r="AC2445" s="29" t="str">
        <f t="shared" si="799"/>
        <v>NA</v>
      </c>
      <c r="AD2445" s="29" t="str">
        <f t="shared" si="800"/>
        <v>NA</v>
      </c>
      <c r="AE2445" s="29" t="str">
        <f t="shared" si="801"/>
        <v>NA</v>
      </c>
      <c r="AF2445" s="29" t="str">
        <f t="shared" si="802"/>
        <v>NA</v>
      </c>
      <c r="AG2445" s="29" t="str">
        <f t="shared" si="803"/>
        <v>NA</v>
      </c>
      <c r="AH2445" s="29" t="str">
        <f t="shared" si="804"/>
        <v>NA</v>
      </c>
    </row>
    <row r="2446" customHeight="1" spans="1:34">
      <c r="A2446" s="12" t="s">
        <v>1043</v>
      </c>
      <c r="F2446" s="24">
        <f t="shared" si="806"/>
        <v>0</v>
      </c>
      <c r="G2446" s="24" t="e">
        <f t="shared" si="805"/>
        <v>#DIV/0!</v>
      </c>
      <c r="Q2446" s="29" t="str">
        <f t="shared" si="787"/>
        <v>NA</v>
      </c>
      <c r="R2446" s="29" t="str">
        <f t="shared" si="788"/>
        <v>NA</v>
      </c>
      <c r="S2446" s="29" t="str">
        <f t="shared" si="789"/>
        <v>NA</v>
      </c>
      <c r="T2446" s="29" t="str">
        <f t="shared" si="790"/>
        <v>NA</v>
      </c>
      <c r="U2446" s="29" t="str">
        <f t="shared" si="791"/>
        <v>NA</v>
      </c>
      <c r="V2446" s="29" t="str">
        <f t="shared" si="792"/>
        <v>NA</v>
      </c>
      <c r="W2446" s="29" t="str">
        <f t="shared" si="793"/>
        <v>NA</v>
      </c>
      <c r="X2446" s="29" t="str">
        <f t="shared" si="794"/>
        <v>NA</v>
      </c>
      <c r="Y2446" s="29" t="str">
        <f t="shared" si="795"/>
        <v>NA</v>
      </c>
      <c r="Z2446" s="29" t="str">
        <f t="shared" si="796"/>
        <v>NA</v>
      </c>
      <c r="AA2446" s="29" t="str">
        <f t="shared" si="797"/>
        <v>NA</v>
      </c>
      <c r="AB2446" s="29" t="str">
        <f t="shared" si="798"/>
        <v>NA</v>
      </c>
      <c r="AC2446" s="29" t="str">
        <f t="shared" si="799"/>
        <v>NA</v>
      </c>
      <c r="AD2446" s="29" t="str">
        <f t="shared" si="800"/>
        <v>NA</v>
      </c>
      <c r="AE2446" s="29" t="str">
        <f t="shared" si="801"/>
        <v>NA</v>
      </c>
      <c r="AF2446" s="29" t="str">
        <f t="shared" si="802"/>
        <v>NA</v>
      </c>
      <c r="AG2446" s="29" t="str">
        <f t="shared" si="803"/>
        <v>NA</v>
      </c>
      <c r="AH2446" s="29" t="str">
        <f t="shared" si="804"/>
        <v>NA</v>
      </c>
    </row>
    <row r="2447" customHeight="1" spans="1:34">
      <c r="A2447" s="12" t="s">
        <v>1043</v>
      </c>
      <c r="F2447" s="24">
        <f t="shared" si="806"/>
        <v>0</v>
      </c>
      <c r="G2447" s="24" t="e">
        <f t="shared" si="805"/>
        <v>#DIV/0!</v>
      </c>
      <c r="Q2447" s="29" t="str">
        <f t="shared" si="787"/>
        <v>NA</v>
      </c>
      <c r="R2447" s="29" t="str">
        <f t="shared" si="788"/>
        <v>NA</v>
      </c>
      <c r="S2447" s="29" t="str">
        <f t="shared" si="789"/>
        <v>NA</v>
      </c>
      <c r="T2447" s="29" t="str">
        <f t="shared" si="790"/>
        <v>NA</v>
      </c>
      <c r="U2447" s="29" t="str">
        <f t="shared" si="791"/>
        <v>NA</v>
      </c>
      <c r="V2447" s="29" t="str">
        <f t="shared" si="792"/>
        <v>NA</v>
      </c>
      <c r="W2447" s="29" t="str">
        <f t="shared" si="793"/>
        <v>NA</v>
      </c>
      <c r="X2447" s="29" t="str">
        <f t="shared" si="794"/>
        <v>NA</v>
      </c>
      <c r="Y2447" s="29" t="str">
        <f t="shared" si="795"/>
        <v>NA</v>
      </c>
      <c r="Z2447" s="29" t="str">
        <f t="shared" si="796"/>
        <v>NA</v>
      </c>
      <c r="AA2447" s="29" t="str">
        <f t="shared" si="797"/>
        <v>NA</v>
      </c>
      <c r="AB2447" s="29" t="str">
        <f t="shared" si="798"/>
        <v>NA</v>
      </c>
      <c r="AC2447" s="29" t="str">
        <f t="shared" si="799"/>
        <v>NA</v>
      </c>
      <c r="AD2447" s="29" t="str">
        <f t="shared" si="800"/>
        <v>NA</v>
      </c>
      <c r="AE2447" s="29" t="str">
        <f t="shared" si="801"/>
        <v>NA</v>
      </c>
      <c r="AF2447" s="29" t="str">
        <f t="shared" si="802"/>
        <v>NA</v>
      </c>
      <c r="AG2447" s="29" t="str">
        <f t="shared" si="803"/>
        <v>NA</v>
      </c>
      <c r="AH2447" s="29" t="str">
        <f t="shared" si="804"/>
        <v>NA</v>
      </c>
    </row>
    <row r="2448" customHeight="1" spans="1:34">
      <c r="A2448" s="12" t="s">
        <v>1043</v>
      </c>
      <c r="F2448" s="24">
        <f t="shared" si="806"/>
        <v>0</v>
      </c>
      <c r="G2448" s="24" t="e">
        <f t="shared" si="805"/>
        <v>#DIV/0!</v>
      </c>
      <c r="Q2448" s="29" t="str">
        <f t="shared" ref="Q2448:Q2511" si="807">IFERROR($B2448*$E2448/H2448,"NA")</f>
        <v>NA</v>
      </c>
      <c r="R2448" s="29" t="str">
        <f t="shared" ref="R2448:R2511" si="808">IFERROR($B2448*$E2448/I2448,"NA")</f>
        <v>NA</v>
      </c>
      <c r="S2448" s="29" t="str">
        <f t="shared" ref="S2448:S2511" si="809">IFERROR($B2448*$E2448/J2448,"NA")</f>
        <v>NA</v>
      </c>
      <c r="T2448" s="29" t="str">
        <f t="shared" ref="T2448:T2511" si="810">IFERROR($B2448*$E2448/K2448,"NA")</f>
        <v>NA</v>
      </c>
      <c r="U2448" s="29" t="str">
        <f t="shared" ref="U2448:U2511" si="811">IFERROR($B2448*$E2448/L2448,"NA")</f>
        <v>NA</v>
      </c>
      <c r="V2448" s="29" t="str">
        <f t="shared" ref="V2448:V2511" si="812">IFERROR($B2448*$E2448/M2448,"NA")</f>
        <v>NA</v>
      </c>
      <c r="W2448" s="29" t="str">
        <f t="shared" ref="W2448:W2511" si="813">IFERROR($B2448*$E2448/N2448,"NA")</f>
        <v>NA</v>
      </c>
      <c r="X2448" s="29" t="str">
        <f t="shared" ref="X2448:X2511" si="814">IFERROR($B2448*$E2448/O2448,"NA")</f>
        <v>NA</v>
      </c>
      <c r="Y2448" s="29" t="str">
        <f t="shared" ref="Y2448:Y2511" si="815">IFERROR($B2448*$E2448/P2448,"NA")</f>
        <v>NA</v>
      </c>
      <c r="Z2448" s="29" t="str">
        <f t="shared" ref="Z2448:Z2511" si="816">IFERROR((($G2448*Z$2/1000)+Q2448)/1,"NA")</f>
        <v>NA</v>
      </c>
      <c r="AA2448" s="29" t="str">
        <f t="shared" ref="AA2448:AA2511" si="817">IFERROR((($G2448*AA$2/1000)+R2448)/1,"NA")</f>
        <v>NA</v>
      </c>
      <c r="AB2448" s="29" t="str">
        <f t="shared" ref="AB2448:AB2511" si="818">IFERROR((($G2448*AB$2/1000)+S2448)/1,"NA")</f>
        <v>NA</v>
      </c>
      <c r="AC2448" s="29" t="str">
        <f t="shared" ref="AC2448:AC2511" si="819">IFERROR((($G2448*AC$2/1000)+T2448)/1,"NA")</f>
        <v>NA</v>
      </c>
      <c r="AD2448" s="29" t="str">
        <f t="shared" ref="AD2448:AD2511" si="820">IFERROR((($G2448*AD$2/1000)+U2448)/1,"NA")</f>
        <v>NA</v>
      </c>
      <c r="AE2448" s="29" t="str">
        <f t="shared" ref="AE2448:AE2511" si="821">IFERROR((($G2448*AE$2/1000)+V2448)/1,"NA")</f>
        <v>NA</v>
      </c>
      <c r="AF2448" s="29" t="str">
        <f t="shared" ref="AF2448:AF2511" si="822">IFERROR((($G2448*AF$2/1000)+W2448)/1,"NA")</f>
        <v>NA</v>
      </c>
      <c r="AG2448" s="29" t="str">
        <f t="shared" ref="AG2448:AG2511" si="823">IFERROR((($G2448*AG$2/1000)+X2448)/1,"NA")</f>
        <v>NA</v>
      </c>
      <c r="AH2448" s="29" t="str">
        <f t="shared" ref="AH2448:AH2511" si="824">IFERROR((($G2448*AH$2/1000)+Y2448)/1,"NA")</f>
        <v>NA</v>
      </c>
    </row>
    <row r="2449" customHeight="1" spans="1:34">
      <c r="A2449" s="12" t="s">
        <v>1043</v>
      </c>
      <c r="F2449" s="24">
        <f t="shared" si="806"/>
        <v>0</v>
      </c>
      <c r="G2449" s="24" t="e">
        <f t="shared" si="805"/>
        <v>#DIV/0!</v>
      </c>
      <c r="Q2449" s="29" t="str">
        <f t="shared" si="807"/>
        <v>NA</v>
      </c>
      <c r="R2449" s="29" t="str">
        <f t="shared" si="808"/>
        <v>NA</v>
      </c>
      <c r="S2449" s="29" t="str">
        <f t="shared" si="809"/>
        <v>NA</v>
      </c>
      <c r="T2449" s="29" t="str">
        <f t="shared" si="810"/>
        <v>NA</v>
      </c>
      <c r="U2449" s="29" t="str">
        <f t="shared" si="811"/>
        <v>NA</v>
      </c>
      <c r="V2449" s="29" t="str">
        <f t="shared" si="812"/>
        <v>NA</v>
      </c>
      <c r="W2449" s="29" t="str">
        <f t="shared" si="813"/>
        <v>NA</v>
      </c>
      <c r="X2449" s="29" t="str">
        <f t="shared" si="814"/>
        <v>NA</v>
      </c>
      <c r="Y2449" s="29" t="str">
        <f t="shared" si="815"/>
        <v>NA</v>
      </c>
      <c r="Z2449" s="29" t="str">
        <f t="shared" si="816"/>
        <v>NA</v>
      </c>
      <c r="AA2449" s="29" t="str">
        <f t="shared" si="817"/>
        <v>NA</v>
      </c>
      <c r="AB2449" s="29" t="str">
        <f t="shared" si="818"/>
        <v>NA</v>
      </c>
      <c r="AC2449" s="29" t="str">
        <f t="shared" si="819"/>
        <v>NA</v>
      </c>
      <c r="AD2449" s="29" t="str">
        <f t="shared" si="820"/>
        <v>NA</v>
      </c>
      <c r="AE2449" s="29" t="str">
        <f t="shared" si="821"/>
        <v>NA</v>
      </c>
      <c r="AF2449" s="29" t="str">
        <f t="shared" si="822"/>
        <v>NA</v>
      </c>
      <c r="AG2449" s="29" t="str">
        <f t="shared" si="823"/>
        <v>NA</v>
      </c>
      <c r="AH2449" s="29" t="str">
        <f t="shared" si="824"/>
        <v>NA</v>
      </c>
    </row>
    <row r="2450" customHeight="1" spans="1:34">
      <c r="A2450" s="12" t="s">
        <v>1043</v>
      </c>
      <c r="F2450" s="24">
        <f t="shared" si="806"/>
        <v>0</v>
      </c>
      <c r="G2450" s="24" t="e">
        <f t="shared" si="805"/>
        <v>#DIV/0!</v>
      </c>
      <c r="Q2450" s="29" t="str">
        <f t="shared" si="807"/>
        <v>NA</v>
      </c>
      <c r="R2450" s="29" t="str">
        <f t="shared" si="808"/>
        <v>NA</v>
      </c>
      <c r="S2450" s="29" t="str">
        <f t="shared" si="809"/>
        <v>NA</v>
      </c>
      <c r="T2450" s="29" t="str">
        <f t="shared" si="810"/>
        <v>NA</v>
      </c>
      <c r="U2450" s="29" t="str">
        <f t="shared" si="811"/>
        <v>NA</v>
      </c>
      <c r="V2450" s="29" t="str">
        <f t="shared" si="812"/>
        <v>NA</v>
      </c>
      <c r="W2450" s="29" t="str">
        <f t="shared" si="813"/>
        <v>NA</v>
      </c>
      <c r="X2450" s="29" t="str">
        <f t="shared" si="814"/>
        <v>NA</v>
      </c>
      <c r="Y2450" s="29" t="str">
        <f t="shared" si="815"/>
        <v>NA</v>
      </c>
      <c r="Z2450" s="29" t="str">
        <f t="shared" si="816"/>
        <v>NA</v>
      </c>
      <c r="AA2450" s="29" t="str">
        <f t="shared" si="817"/>
        <v>NA</v>
      </c>
      <c r="AB2450" s="29" t="str">
        <f t="shared" si="818"/>
        <v>NA</v>
      </c>
      <c r="AC2450" s="29" t="str">
        <f t="shared" si="819"/>
        <v>NA</v>
      </c>
      <c r="AD2450" s="29" t="str">
        <f t="shared" si="820"/>
        <v>NA</v>
      </c>
      <c r="AE2450" s="29" t="str">
        <f t="shared" si="821"/>
        <v>NA</v>
      </c>
      <c r="AF2450" s="29" t="str">
        <f t="shared" si="822"/>
        <v>NA</v>
      </c>
      <c r="AG2450" s="29" t="str">
        <f t="shared" si="823"/>
        <v>NA</v>
      </c>
      <c r="AH2450" s="29" t="str">
        <f t="shared" si="824"/>
        <v>NA</v>
      </c>
    </row>
    <row r="2451" customHeight="1" spans="1:34">
      <c r="A2451" s="12" t="s">
        <v>1043</v>
      </c>
      <c r="F2451" s="24">
        <f t="shared" si="806"/>
        <v>0</v>
      </c>
      <c r="G2451" s="24" t="e">
        <f t="shared" si="805"/>
        <v>#DIV/0!</v>
      </c>
      <c r="Q2451" s="29" t="str">
        <f t="shared" si="807"/>
        <v>NA</v>
      </c>
      <c r="R2451" s="29" t="str">
        <f t="shared" si="808"/>
        <v>NA</v>
      </c>
      <c r="S2451" s="29" t="str">
        <f t="shared" si="809"/>
        <v>NA</v>
      </c>
      <c r="T2451" s="29" t="str">
        <f t="shared" si="810"/>
        <v>NA</v>
      </c>
      <c r="U2451" s="29" t="str">
        <f t="shared" si="811"/>
        <v>NA</v>
      </c>
      <c r="V2451" s="29" t="str">
        <f t="shared" si="812"/>
        <v>NA</v>
      </c>
      <c r="W2451" s="29" t="str">
        <f t="shared" si="813"/>
        <v>NA</v>
      </c>
      <c r="X2451" s="29" t="str">
        <f t="shared" si="814"/>
        <v>NA</v>
      </c>
      <c r="Y2451" s="29" t="str">
        <f t="shared" si="815"/>
        <v>NA</v>
      </c>
      <c r="Z2451" s="29" t="str">
        <f t="shared" si="816"/>
        <v>NA</v>
      </c>
      <c r="AA2451" s="29" t="str">
        <f t="shared" si="817"/>
        <v>NA</v>
      </c>
      <c r="AB2451" s="29" t="str">
        <f t="shared" si="818"/>
        <v>NA</v>
      </c>
      <c r="AC2451" s="29" t="str">
        <f t="shared" si="819"/>
        <v>NA</v>
      </c>
      <c r="AD2451" s="29" t="str">
        <f t="shared" si="820"/>
        <v>NA</v>
      </c>
      <c r="AE2451" s="29" t="str">
        <f t="shared" si="821"/>
        <v>NA</v>
      </c>
      <c r="AF2451" s="29" t="str">
        <f t="shared" si="822"/>
        <v>NA</v>
      </c>
      <c r="AG2451" s="29" t="str">
        <f t="shared" si="823"/>
        <v>NA</v>
      </c>
      <c r="AH2451" s="29" t="str">
        <f t="shared" si="824"/>
        <v>NA</v>
      </c>
    </row>
    <row r="2452" customHeight="1" spans="1:34">
      <c r="A2452" s="12" t="s">
        <v>1043</v>
      </c>
      <c r="F2452" s="24">
        <f t="shared" si="806"/>
        <v>0</v>
      </c>
      <c r="G2452" s="24" t="e">
        <f t="shared" si="805"/>
        <v>#DIV/0!</v>
      </c>
      <c r="Q2452" s="29" t="str">
        <f t="shared" si="807"/>
        <v>NA</v>
      </c>
      <c r="R2452" s="29" t="str">
        <f t="shared" si="808"/>
        <v>NA</v>
      </c>
      <c r="S2452" s="29" t="str">
        <f t="shared" si="809"/>
        <v>NA</v>
      </c>
      <c r="T2452" s="29" t="str">
        <f t="shared" si="810"/>
        <v>NA</v>
      </c>
      <c r="U2452" s="29" t="str">
        <f t="shared" si="811"/>
        <v>NA</v>
      </c>
      <c r="V2452" s="29" t="str">
        <f t="shared" si="812"/>
        <v>NA</v>
      </c>
      <c r="W2452" s="29" t="str">
        <f t="shared" si="813"/>
        <v>NA</v>
      </c>
      <c r="X2452" s="29" t="str">
        <f t="shared" si="814"/>
        <v>NA</v>
      </c>
      <c r="Y2452" s="29" t="str">
        <f t="shared" si="815"/>
        <v>NA</v>
      </c>
      <c r="Z2452" s="29" t="str">
        <f t="shared" si="816"/>
        <v>NA</v>
      </c>
      <c r="AA2452" s="29" t="str">
        <f t="shared" si="817"/>
        <v>NA</v>
      </c>
      <c r="AB2452" s="29" t="str">
        <f t="shared" si="818"/>
        <v>NA</v>
      </c>
      <c r="AC2452" s="29" t="str">
        <f t="shared" si="819"/>
        <v>NA</v>
      </c>
      <c r="AD2452" s="29" t="str">
        <f t="shared" si="820"/>
        <v>NA</v>
      </c>
      <c r="AE2452" s="29" t="str">
        <f t="shared" si="821"/>
        <v>NA</v>
      </c>
      <c r="AF2452" s="29" t="str">
        <f t="shared" si="822"/>
        <v>NA</v>
      </c>
      <c r="AG2452" s="29" t="str">
        <f t="shared" si="823"/>
        <v>NA</v>
      </c>
      <c r="AH2452" s="29" t="str">
        <f t="shared" si="824"/>
        <v>NA</v>
      </c>
    </row>
    <row r="2453" customHeight="1" spans="1:34">
      <c r="A2453" s="12" t="s">
        <v>1043</v>
      </c>
      <c r="F2453" s="24">
        <f t="shared" si="806"/>
        <v>0</v>
      </c>
      <c r="G2453" s="24" t="e">
        <f t="shared" si="805"/>
        <v>#DIV/0!</v>
      </c>
      <c r="Q2453" s="29" t="str">
        <f t="shared" si="807"/>
        <v>NA</v>
      </c>
      <c r="R2453" s="29" t="str">
        <f t="shared" si="808"/>
        <v>NA</v>
      </c>
      <c r="S2453" s="29" t="str">
        <f t="shared" si="809"/>
        <v>NA</v>
      </c>
      <c r="T2453" s="29" t="str">
        <f t="shared" si="810"/>
        <v>NA</v>
      </c>
      <c r="U2453" s="29" t="str">
        <f t="shared" si="811"/>
        <v>NA</v>
      </c>
      <c r="V2453" s="29" t="str">
        <f t="shared" si="812"/>
        <v>NA</v>
      </c>
      <c r="W2453" s="29" t="str">
        <f t="shared" si="813"/>
        <v>NA</v>
      </c>
      <c r="X2453" s="29" t="str">
        <f t="shared" si="814"/>
        <v>NA</v>
      </c>
      <c r="Y2453" s="29" t="str">
        <f t="shared" si="815"/>
        <v>NA</v>
      </c>
      <c r="Z2453" s="29" t="str">
        <f t="shared" si="816"/>
        <v>NA</v>
      </c>
      <c r="AA2453" s="29" t="str">
        <f t="shared" si="817"/>
        <v>NA</v>
      </c>
      <c r="AB2453" s="29" t="str">
        <f t="shared" si="818"/>
        <v>NA</v>
      </c>
      <c r="AC2453" s="29" t="str">
        <f t="shared" si="819"/>
        <v>NA</v>
      </c>
      <c r="AD2453" s="29" t="str">
        <f t="shared" si="820"/>
        <v>NA</v>
      </c>
      <c r="AE2453" s="29" t="str">
        <f t="shared" si="821"/>
        <v>NA</v>
      </c>
      <c r="AF2453" s="29" t="str">
        <f t="shared" si="822"/>
        <v>NA</v>
      </c>
      <c r="AG2453" s="29" t="str">
        <f t="shared" si="823"/>
        <v>NA</v>
      </c>
      <c r="AH2453" s="29" t="str">
        <f t="shared" si="824"/>
        <v>NA</v>
      </c>
    </row>
    <row r="2454" customHeight="1" spans="1:34">
      <c r="A2454" s="12" t="s">
        <v>1043</v>
      </c>
      <c r="F2454" s="24">
        <f t="shared" si="806"/>
        <v>0</v>
      </c>
      <c r="G2454" s="24" t="e">
        <f t="shared" si="805"/>
        <v>#DIV/0!</v>
      </c>
      <c r="Q2454" s="29" t="str">
        <f t="shared" si="807"/>
        <v>NA</v>
      </c>
      <c r="R2454" s="29" t="str">
        <f t="shared" si="808"/>
        <v>NA</v>
      </c>
      <c r="S2454" s="29" t="str">
        <f t="shared" si="809"/>
        <v>NA</v>
      </c>
      <c r="T2454" s="29" t="str">
        <f t="shared" si="810"/>
        <v>NA</v>
      </c>
      <c r="U2454" s="29" t="str">
        <f t="shared" si="811"/>
        <v>NA</v>
      </c>
      <c r="V2454" s="29" t="str">
        <f t="shared" si="812"/>
        <v>NA</v>
      </c>
      <c r="W2454" s="29" t="str">
        <f t="shared" si="813"/>
        <v>NA</v>
      </c>
      <c r="X2454" s="29" t="str">
        <f t="shared" si="814"/>
        <v>NA</v>
      </c>
      <c r="Y2454" s="29" t="str">
        <f t="shared" si="815"/>
        <v>NA</v>
      </c>
      <c r="Z2454" s="29" t="str">
        <f t="shared" si="816"/>
        <v>NA</v>
      </c>
      <c r="AA2454" s="29" t="str">
        <f t="shared" si="817"/>
        <v>NA</v>
      </c>
      <c r="AB2454" s="29" t="str">
        <f t="shared" si="818"/>
        <v>NA</v>
      </c>
      <c r="AC2454" s="29" t="str">
        <f t="shared" si="819"/>
        <v>NA</v>
      </c>
      <c r="AD2454" s="29" t="str">
        <f t="shared" si="820"/>
        <v>NA</v>
      </c>
      <c r="AE2454" s="29" t="str">
        <f t="shared" si="821"/>
        <v>NA</v>
      </c>
      <c r="AF2454" s="29" t="str">
        <f t="shared" si="822"/>
        <v>NA</v>
      </c>
      <c r="AG2454" s="29" t="str">
        <f t="shared" si="823"/>
        <v>NA</v>
      </c>
      <c r="AH2454" s="29" t="str">
        <f t="shared" si="824"/>
        <v>NA</v>
      </c>
    </row>
    <row r="2455" customHeight="1" spans="1:34">
      <c r="A2455" s="12" t="s">
        <v>1043</v>
      </c>
      <c r="F2455" s="24">
        <f t="shared" si="806"/>
        <v>0</v>
      </c>
      <c r="G2455" s="24" t="e">
        <f t="shared" si="805"/>
        <v>#DIV/0!</v>
      </c>
      <c r="Q2455" s="29" t="str">
        <f t="shared" si="807"/>
        <v>NA</v>
      </c>
      <c r="R2455" s="29" t="str">
        <f t="shared" si="808"/>
        <v>NA</v>
      </c>
      <c r="S2455" s="29" t="str">
        <f t="shared" si="809"/>
        <v>NA</v>
      </c>
      <c r="T2455" s="29" t="str">
        <f t="shared" si="810"/>
        <v>NA</v>
      </c>
      <c r="U2455" s="29" t="str">
        <f t="shared" si="811"/>
        <v>NA</v>
      </c>
      <c r="V2455" s="29" t="str">
        <f t="shared" si="812"/>
        <v>NA</v>
      </c>
      <c r="W2455" s="29" t="str">
        <f t="shared" si="813"/>
        <v>NA</v>
      </c>
      <c r="X2455" s="29" t="str">
        <f t="shared" si="814"/>
        <v>NA</v>
      </c>
      <c r="Y2455" s="29" t="str">
        <f t="shared" si="815"/>
        <v>NA</v>
      </c>
      <c r="Z2455" s="29" t="str">
        <f t="shared" si="816"/>
        <v>NA</v>
      </c>
      <c r="AA2455" s="29" t="str">
        <f t="shared" si="817"/>
        <v>NA</v>
      </c>
      <c r="AB2455" s="29" t="str">
        <f t="shared" si="818"/>
        <v>NA</v>
      </c>
      <c r="AC2455" s="29" t="str">
        <f t="shared" si="819"/>
        <v>NA</v>
      </c>
      <c r="AD2455" s="29" t="str">
        <f t="shared" si="820"/>
        <v>NA</v>
      </c>
      <c r="AE2455" s="29" t="str">
        <f t="shared" si="821"/>
        <v>NA</v>
      </c>
      <c r="AF2455" s="29" t="str">
        <f t="shared" si="822"/>
        <v>NA</v>
      </c>
      <c r="AG2455" s="29" t="str">
        <f t="shared" si="823"/>
        <v>NA</v>
      </c>
      <c r="AH2455" s="29" t="str">
        <f t="shared" si="824"/>
        <v>NA</v>
      </c>
    </row>
    <row r="2456" customHeight="1" spans="1:34">
      <c r="A2456" s="12" t="s">
        <v>1043</v>
      </c>
      <c r="F2456" s="24">
        <f t="shared" si="806"/>
        <v>0</v>
      </c>
      <c r="G2456" s="24" t="e">
        <f t="shared" si="805"/>
        <v>#DIV/0!</v>
      </c>
      <c r="Q2456" s="29" t="str">
        <f t="shared" si="807"/>
        <v>NA</v>
      </c>
      <c r="R2456" s="29" t="str">
        <f t="shared" si="808"/>
        <v>NA</v>
      </c>
      <c r="S2456" s="29" t="str">
        <f t="shared" si="809"/>
        <v>NA</v>
      </c>
      <c r="T2456" s="29" t="str">
        <f t="shared" si="810"/>
        <v>NA</v>
      </c>
      <c r="U2456" s="29" t="str">
        <f t="shared" si="811"/>
        <v>NA</v>
      </c>
      <c r="V2456" s="29" t="str">
        <f t="shared" si="812"/>
        <v>NA</v>
      </c>
      <c r="W2456" s="29" t="str">
        <f t="shared" si="813"/>
        <v>NA</v>
      </c>
      <c r="X2456" s="29" t="str">
        <f t="shared" si="814"/>
        <v>NA</v>
      </c>
      <c r="Y2456" s="29" t="str">
        <f t="shared" si="815"/>
        <v>NA</v>
      </c>
      <c r="Z2456" s="29" t="str">
        <f t="shared" si="816"/>
        <v>NA</v>
      </c>
      <c r="AA2456" s="29" t="str">
        <f t="shared" si="817"/>
        <v>NA</v>
      </c>
      <c r="AB2456" s="29" t="str">
        <f t="shared" si="818"/>
        <v>NA</v>
      </c>
      <c r="AC2456" s="29" t="str">
        <f t="shared" si="819"/>
        <v>NA</v>
      </c>
      <c r="AD2456" s="29" t="str">
        <f t="shared" si="820"/>
        <v>NA</v>
      </c>
      <c r="AE2456" s="29" t="str">
        <f t="shared" si="821"/>
        <v>NA</v>
      </c>
      <c r="AF2456" s="29" t="str">
        <f t="shared" si="822"/>
        <v>NA</v>
      </c>
      <c r="AG2456" s="29" t="str">
        <f t="shared" si="823"/>
        <v>NA</v>
      </c>
      <c r="AH2456" s="29" t="str">
        <f t="shared" si="824"/>
        <v>NA</v>
      </c>
    </row>
    <row r="2457" customHeight="1" spans="1:34">
      <c r="A2457" s="12" t="s">
        <v>1043</v>
      </c>
      <c r="F2457" s="24">
        <f t="shared" si="806"/>
        <v>0</v>
      </c>
      <c r="G2457" s="24" t="e">
        <f t="shared" si="805"/>
        <v>#DIV/0!</v>
      </c>
      <c r="Q2457" s="29" t="str">
        <f t="shared" si="807"/>
        <v>NA</v>
      </c>
      <c r="R2457" s="29" t="str">
        <f t="shared" si="808"/>
        <v>NA</v>
      </c>
      <c r="S2457" s="29" t="str">
        <f t="shared" si="809"/>
        <v>NA</v>
      </c>
      <c r="T2457" s="29" t="str">
        <f t="shared" si="810"/>
        <v>NA</v>
      </c>
      <c r="U2457" s="29" t="str">
        <f t="shared" si="811"/>
        <v>NA</v>
      </c>
      <c r="V2457" s="29" t="str">
        <f t="shared" si="812"/>
        <v>NA</v>
      </c>
      <c r="W2457" s="29" t="str">
        <f t="shared" si="813"/>
        <v>NA</v>
      </c>
      <c r="X2457" s="29" t="str">
        <f t="shared" si="814"/>
        <v>NA</v>
      </c>
      <c r="Y2457" s="29" t="str">
        <f t="shared" si="815"/>
        <v>NA</v>
      </c>
      <c r="Z2457" s="29" t="str">
        <f t="shared" si="816"/>
        <v>NA</v>
      </c>
      <c r="AA2457" s="29" t="str">
        <f t="shared" si="817"/>
        <v>NA</v>
      </c>
      <c r="AB2457" s="29" t="str">
        <f t="shared" si="818"/>
        <v>NA</v>
      </c>
      <c r="AC2457" s="29" t="str">
        <f t="shared" si="819"/>
        <v>NA</v>
      </c>
      <c r="AD2457" s="29" t="str">
        <f t="shared" si="820"/>
        <v>NA</v>
      </c>
      <c r="AE2457" s="29" t="str">
        <f t="shared" si="821"/>
        <v>NA</v>
      </c>
      <c r="AF2457" s="29" t="str">
        <f t="shared" si="822"/>
        <v>NA</v>
      </c>
      <c r="AG2457" s="29" t="str">
        <f t="shared" si="823"/>
        <v>NA</v>
      </c>
      <c r="AH2457" s="29" t="str">
        <f t="shared" si="824"/>
        <v>NA</v>
      </c>
    </row>
    <row r="2458" customHeight="1" spans="1:34">
      <c r="A2458" s="12" t="s">
        <v>1043</v>
      </c>
      <c r="F2458" s="24">
        <f t="shared" si="806"/>
        <v>0</v>
      </c>
      <c r="G2458" s="24" t="e">
        <f t="shared" si="805"/>
        <v>#DIV/0!</v>
      </c>
      <c r="Q2458" s="29" t="str">
        <f t="shared" si="807"/>
        <v>NA</v>
      </c>
      <c r="R2458" s="29" t="str">
        <f t="shared" si="808"/>
        <v>NA</v>
      </c>
      <c r="S2458" s="29" t="str">
        <f t="shared" si="809"/>
        <v>NA</v>
      </c>
      <c r="T2458" s="29" t="str">
        <f t="shared" si="810"/>
        <v>NA</v>
      </c>
      <c r="U2458" s="29" t="str">
        <f t="shared" si="811"/>
        <v>NA</v>
      </c>
      <c r="V2458" s="29" t="str">
        <f t="shared" si="812"/>
        <v>NA</v>
      </c>
      <c r="W2458" s="29" t="str">
        <f t="shared" si="813"/>
        <v>NA</v>
      </c>
      <c r="X2458" s="29" t="str">
        <f t="shared" si="814"/>
        <v>NA</v>
      </c>
      <c r="Y2458" s="29" t="str">
        <f t="shared" si="815"/>
        <v>NA</v>
      </c>
      <c r="Z2458" s="29" t="str">
        <f t="shared" si="816"/>
        <v>NA</v>
      </c>
      <c r="AA2458" s="29" t="str">
        <f t="shared" si="817"/>
        <v>NA</v>
      </c>
      <c r="AB2458" s="29" t="str">
        <f t="shared" si="818"/>
        <v>NA</v>
      </c>
      <c r="AC2458" s="29" t="str">
        <f t="shared" si="819"/>
        <v>NA</v>
      </c>
      <c r="AD2458" s="29" t="str">
        <f t="shared" si="820"/>
        <v>NA</v>
      </c>
      <c r="AE2458" s="29" t="str">
        <f t="shared" si="821"/>
        <v>NA</v>
      </c>
      <c r="AF2458" s="29" t="str">
        <f t="shared" si="822"/>
        <v>NA</v>
      </c>
      <c r="AG2458" s="29" t="str">
        <f t="shared" si="823"/>
        <v>NA</v>
      </c>
      <c r="AH2458" s="29" t="str">
        <f t="shared" si="824"/>
        <v>NA</v>
      </c>
    </row>
    <row r="2459" customHeight="1" spans="1:34">
      <c r="A2459" s="12" t="s">
        <v>1043</v>
      </c>
      <c r="F2459" s="24">
        <f t="shared" si="806"/>
        <v>0</v>
      </c>
      <c r="G2459" s="24" t="e">
        <f t="shared" si="805"/>
        <v>#DIV/0!</v>
      </c>
      <c r="Q2459" s="29" t="str">
        <f t="shared" si="807"/>
        <v>NA</v>
      </c>
      <c r="R2459" s="29" t="str">
        <f t="shared" si="808"/>
        <v>NA</v>
      </c>
      <c r="S2459" s="29" t="str">
        <f t="shared" si="809"/>
        <v>NA</v>
      </c>
      <c r="T2459" s="29" t="str">
        <f t="shared" si="810"/>
        <v>NA</v>
      </c>
      <c r="U2459" s="29" t="str">
        <f t="shared" si="811"/>
        <v>NA</v>
      </c>
      <c r="V2459" s="29" t="str">
        <f t="shared" si="812"/>
        <v>NA</v>
      </c>
      <c r="W2459" s="29" t="str">
        <f t="shared" si="813"/>
        <v>NA</v>
      </c>
      <c r="X2459" s="29" t="str">
        <f t="shared" si="814"/>
        <v>NA</v>
      </c>
      <c r="Y2459" s="29" t="str">
        <f t="shared" si="815"/>
        <v>NA</v>
      </c>
      <c r="Z2459" s="29" t="str">
        <f t="shared" si="816"/>
        <v>NA</v>
      </c>
      <c r="AA2459" s="29" t="str">
        <f t="shared" si="817"/>
        <v>NA</v>
      </c>
      <c r="AB2459" s="29" t="str">
        <f t="shared" si="818"/>
        <v>NA</v>
      </c>
      <c r="AC2459" s="29" t="str">
        <f t="shared" si="819"/>
        <v>NA</v>
      </c>
      <c r="AD2459" s="29" t="str">
        <f t="shared" si="820"/>
        <v>NA</v>
      </c>
      <c r="AE2459" s="29" t="str">
        <f t="shared" si="821"/>
        <v>NA</v>
      </c>
      <c r="AF2459" s="29" t="str">
        <f t="shared" si="822"/>
        <v>NA</v>
      </c>
      <c r="AG2459" s="29" t="str">
        <f t="shared" si="823"/>
        <v>NA</v>
      </c>
      <c r="AH2459" s="29" t="str">
        <f t="shared" si="824"/>
        <v>NA</v>
      </c>
    </row>
    <row r="2460" customHeight="1" spans="1:34">
      <c r="A2460" s="12" t="s">
        <v>1043</v>
      </c>
      <c r="F2460" s="24">
        <f t="shared" si="806"/>
        <v>0</v>
      </c>
      <c r="G2460" s="24" t="e">
        <f t="shared" si="805"/>
        <v>#DIV/0!</v>
      </c>
      <c r="Q2460" s="29" t="str">
        <f t="shared" si="807"/>
        <v>NA</v>
      </c>
      <c r="R2460" s="29" t="str">
        <f t="shared" si="808"/>
        <v>NA</v>
      </c>
      <c r="S2460" s="29" t="str">
        <f t="shared" si="809"/>
        <v>NA</v>
      </c>
      <c r="T2460" s="29" t="str">
        <f t="shared" si="810"/>
        <v>NA</v>
      </c>
      <c r="U2460" s="29" t="str">
        <f t="shared" si="811"/>
        <v>NA</v>
      </c>
      <c r="V2460" s="29" t="str">
        <f t="shared" si="812"/>
        <v>NA</v>
      </c>
      <c r="W2460" s="29" t="str">
        <f t="shared" si="813"/>
        <v>NA</v>
      </c>
      <c r="X2460" s="29" t="str">
        <f t="shared" si="814"/>
        <v>NA</v>
      </c>
      <c r="Y2460" s="29" t="str">
        <f t="shared" si="815"/>
        <v>NA</v>
      </c>
      <c r="Z2460" s="29" t="str">
        <f t="shared" si="816"/>
        <v>NA</v>
      </c>
      <c r="AA2460" s="29" t="str">
        <f t="shared" si="817"/>
        <v>NA</v>
      </c>
      <c r="AB2460" s="29" t="str">
        <f t="shared" si="818"/>
        <v>NA</v>
      </c>
      <c r="AC2460" s="29" t="str">
        <f t="shared" si="819"/>
        <v>NA</v>
      </c>
      <c r="AD2460" s="29" t="str">
        <f t="shared" si="820"/>
        <v>NA</v>
      </c>
      <c r="AE2460" s="29" t="str">
        <f t="shared" si="821"/>
        <v>NA</v>
      </c>
      <c r="AF2460" s="29" t="str">
        <f t="shared" si="822"/>
        <v>NA</v>
      </c>
      <c r="AG2460" s="29" t="str">
        <f t="shared" si="823"/>
        <v>NA</v>
      </c>
      <c r="AH2460" s="29" t="str">
        <f t="shared" si="824"/>
        <v>NA</v>
      </c>
    </row>
    <row r="2461" customHeight="1" spans="1:34">
      <c r="A2461" s="12" t="s">
        <v>1043</v>
      </c>
      <c r="F2461" s="24">
        <f t="shared" si="806"/>
        <v>0</v>
      </c>
      <c r="G2461" s="24" t="e">
        <f t="shared" si="805"/>
        <v>#DIV/0!</v>
      </c>
      <c r="Q2461" s="29" t="str">
        <f t="shared" si="807"/>
        <v>NA</v>
      </c>
      <c r="R2461" s="29" t="str">
        <f t="shared" si="808"/>
        <v>NA</v>
      </c>
      <c r="S2461" s="29" t="str">
        <f t="shared" si="809"/>
        <v>NA</v>
      </c>
      <c r="T2461" s="29" t="str">
        <f t="shared" si="810"/>
        <v>NA</v>
      </c>
      <c r="U2461" s="29" t="str">
        <f t="shared" si="811"/>
        <v>NA</v>
      </c>
      <c r="V2461" s="29" t="str">
        <f t="shared" si="812"/>
        <v>NA</v>
      </c>
      <c r="W2461" s="29" t="str">
        <f t="shared" si="813"/>
        <v>NA</v>
      </c>
      <c r="X2461" s="29" t="str">
        <f t="shared" si="814"/>
        <v>NA</v>
      </c>
      <c r="Y2461" s="29" t="str">
        <f t="shared" si="815"/>
        <v>NA</v>
      </c>
      <c r="Z2461" s="29" t="str">
        <f t="shared" si="816"/>
        <v>NA</v>
      </c>
      <c r="AA2461" s="29" t="str">
        <f t="shared" si="817"/>
        <v>NA</v>
      </c>
      <c r="AB2461" s="29" t="str">
        <f t="shared" si="818"/>
        <v>NA</v>
      </c>
      <c r="AC2461" s="29" t="str">
        <f t="shared" si="819"/>
        <v>NA</v>
      </c>
      <c r="AD2461" s="29" t="str">
        <f t="shared" si="820"/>
        <v>NA</v>
      </c>
      <c r="AE2461" s="29" t="str">
        <f t="shared" si="821"/>
        <v>NA</v>
      </c>
      <c r="AF2461" s="29" t="str">
        <f t="shared" si="822"/>
        <v>NA</v>
      </c>
      <c r="AG2461" s="29" t="str">
        <f t="shared" si="823"/>
        <v>NA</v>
      </c>
      <c r="AH2461" s="29" t="str">
        <f t="shared" si="824"/>
        <v>NA</v>
      </c>
    </row>
    <row r="2462" customHeight="1" spans="1:34">
      <c r="A2462" s="12" t="s">
        <v>1043</v>
      </c>
      <c r="F2462" s="24">
        <f t="shared" si="806"/>
        <v>0</v>
      </c>
      <c r="G2462" s="24" t="e">
        <f t="shared" si="805"/>
        <v>#DIV/0!</v>
      </c>
      <c r="Q2462" s="29" t="str">
        <f t="shared" si="807"/>
        <v>NA</v>
      </c>
      <c r="R2462" s="29" t="str">
        <f t="shared" si="808"/>
        <v>NA</v>
      </c>
      <c r="S2462" s="29" t="str">
        <f t="shared" si="809"/>
        <v>NA</v>
      </c>
      <c r="T2462" s="29" t="str">
        <f t="shared" si="810"/>
        <v>NA</v>
      </c>
      <c r="U2462" s="29" t="str">
        <f t="shared" si="811"/>
        <v>NA</v>
      </c>
      <c r="V2462" s="29" t="str">
        <f t="shared" si="812"/>
        <v>NA</v>
      </c>
      <c r="W2462" s="29" t="str">
        <f t="shared" si="813"/>
        <v>NA</v>
      </c>
      <c r="X2462" s="29" t="str">
        <f t="shared" si="814"/>
        <v>NA</v>
      </c>
      <c r="Y2462" s="29" t="str">
        <f t="shared" si="815"/>
        <v>NA</v>
      </c>
      <c r="Z2462" s="29" t="str">
        <f t="shared" si="816"/>
        <v>NA</v>
      </c>
      <c r="AA2462" s="29" t="str">
        <f t="shared" si="817"/>
        <v>NA</v>
      </c>
      <c r="AB2462" s="29" t="str">
        <f t="shared" si="818"/>
        <v>NA</v>
      </c>
      <c r="AC2462" s="29" t="str">
        <f t="shared" si="819"/>
        <v>NA</v>
      </c>
      <c r="AD2462" s="29" t="str">
        <f t="shared" si="820"/>
        <v>NA</v>
      </c>
      <c r="AE2462" s="29" t="str">
        <f t="shared" si="821"/>
        <v>NA</v>
      </c>
      <c r="AF2462" s="29" t="str">
        <f t="shared" si="822"/>
        <v>NA</v>
      </c>
      <c r="AG2462" s="29" t="str">
        <f t="shared" si="823"/>
        <v>NA</v>
      </c>
      <c r="AH2462" s="29" t="str">
        <f t="shared" si="824"/>
        <v>NA</v>
      </c>
    </row>
    <row r="2463" customHeight="1" spans="1:34">
      <c r="A2463" s="12" t="s">
        <v>1043</v>
      </c>
      <c r="F2463" s="24">
        <f t="shared" si="806"/>
        <v>0</v>
      </c>
      <c r="G2463" s="24" t="e">
        <f t="shared" si="805"/>
        <v>#DIV/0!</v>
      </c>
      <c r="Q2463" s="29" t="str">
        <f t="shared" si="807"/>
        <v>NA</v>
      </c>
      <c r="R2463" s="29" t="str">
        <f t="shared" si="808"/>
        <v>NA</v>
      </c>
      <c r="S2463" s="29" t="str">
        <f t="shared" si="809"/>
        <v>NA</v>
      </c>
      <c r="T2463" s="29" t="str">
        <f t="shared" si="810"/>
        <v>NA</v>
      </c>
      <c r="U2463" s="29" t="str">
        <f t="shared" si="811"/>
        <v>NA</v>
      </c>
      <c r="V2463" s="29" t="str">
        <f t="shared" si="812"/>
        <v>NA</v>
      </c>
      <c r="W2463" s="29" t="str">
        <f t="shared" si="813"/>
        <v>NA</v>
      </c>
      <c r="X2463" s="29" t="str">
        <f t="shared" si="814"/>
        <v>NA</v>
      </c>
      <c r="Y2463" s="29" t="str">
        <f t="shared" si="815"/>
        <v>NA</v>
      </c>
      <c r="Z2463" s="29" t="str">
        <f t="shared" si="816"/>
        <v>NA</v>
      </c>
      <c r="AA2463" s="29" t="str">
        <f t="shared" si="817"/>
        <v>NA</v>
      </c>
      <c r="AB2463" s="29" t="str">
        <f t="shared" si="818"/>
        <v>NA</v>
      </c>
      <c r="AC2463" s="29" t="str">
        <f t="shared" si="819"/>
        <v>NA</v>
      </c>
      <c r="AD2463" s="29" t="str">
        <f t="shared" si="820"/>
        <v>NA</v>
      </c>
      <c r="AE2463" s="29" t="str">
        <f t="shared" si="821"/>
        <v>NA</v>
      </c>
      <c r="AF2463" s="29" t="str">
        <f t="shared" si="822"/>
        <v>NA</v>
      </c>
      <c r="AG2463" s="29" t="str">
        <f t="shared" si="823"/>
        <v>NA</v>
      </c>
      <c r="AH2463" s="29" t="str">
        <f t="shared" si="824"/>
        <v>NA</v>
      </c>
    </row>
    <row r="2464" customHeight="1" spans="1:34">
      <c r="A2464" s="12" t="s">
        <v>1043</v>
      </c>
      <c r="F2464" s="24">
        <f t="shared" si="806"/>
        <v>0</v>
      </c>
      <c r="G2464" s="24" t="e">
        <f t="shared" si="805"/>
        <v>#DIV/0!</v>
      </c>
      <c r="Q2464" s="29" t="str">
        <f t="shared" si="807"/>
        <v>NA</v>
      </c>
      <c r="R2464" s="29" t="str">
        <f t="shared" si="808"/>
        <v>NA</v>
      </c>
      <c r="S2464" s="29" t="str">
        <f t="shared" si="809"/>
        <v>NA</v>
      </c>
      <c r="T2464" s="29" t="str">
        <f t="shared" si="810"/>
        <v>NA</v>
      </c>
      <c r="U2464" s="29" t="str">
        <f t="shared" si="811"/>
        <v>NA</v>
      </c>
      <c r="V2464" s="29" t="str">
        <f t="shared" si="812"/>
        <v>NA</v>
      </c>
      <c r="W2464" s="29" t="str">
        <f t="shared" si="813"/>
        <v>NA</v>
      </c>
      <c r="X2464" s="29" t="str">
        <f t="shared" si="814"/>
        <v>NA</v>
      </c>
      <c r="Y2464" s="29" t="str">
        <f t="shared" si="815"/>
        <v>NA</v>
      </c>
      <c r="Z2464" s="29" t="str">
        <f t="shared" si="816"/>
        <v>NA</v>
      </c>
      <c r="AA2464" s="29" t="str">
        <f t="shared" si="817"/>
        <v>NA</v>
      </c>
      <c r="AB2464" s="29" t="str">
        <f t="shared" si="818"/>
        <v>NA</v>
      </c>
      <c r="AC2464" s="29" t="str">
        <f t="shared" si="819"/>
        <v>NA</v>
      </c>
      <c r="AD2464" s="29" t="str">
        <f t="shared" si="820"/>
        <v>NA</v>
      </c>
      <c r="AE2464" s="29" t="str">
        <f t="shared" si="821"/>
        <v>NA</v>
      </c>
      <c r="AF2464" s="29" t="str">
        <f t="shared" si="822"/>
        <v>NA</v>
      </c>
      <c r="AG2464" s="29" t="str">
        <f t="shared" si="823"/>
        <v>NA</v>
      </c>
      <c r="AH2464" s="29" t="str">
        <f t="shared" si="824"/>
        <v>NA</v>
      </c>
    </row>
    <row r="2465" customHeight="1" spans="1:34">
      <c r="A2465" s="12" t="s">
        <v>1043</v>
      </c>
      <c r="F2465" s="24">
        <f t="shared" si="806"/>
        <v>0</v>
      </c>
      <c r="G2465" s="24" t="e">
        <f t="shared" si="805"/>
        <v>#DIV/0!</v>
      </c>
      <c r="Q2465" s="29" t="str">
        <f t="shared" si="807"/>
        <v>NA</v>
      </c>
      <c r="R2465" s="29" t="str">
        <f t="shared" si="808"/>
        <v>NA</v>
      </c>
      <c r="S2465" s="29" t="str">
        <f t="shared" si="809"/>
        <v>NA</v>
      </c>
      <c r="T2465" s="29" t="str">
        <f t="shared" si="810"/>
        <v>NA</v>
      </c>
      <c r="U2465" s="29" t="str">
        <f t="shared" si="811"/>
        <v>NA</v>
      </c>
      <c r="V2465" s="29" t="str">
        <f t="shared" si="812"/>
        <v>NA</v>
      </c>
      <c r="W2465" s="29" t="str">
        <f t="shared" si="813"/>
        <v>NA</v>
      </c>
      <c r="X2465" s="29" t="str">
        <f t="shared" si="814"/>
        <v>NA</v>
      </c>
      <c r="Y2465" s="29" t="str">
        <f t="shared" si="815"/>
        <v>NA</v>
      </c>
      <c r="Z2465" s="29" t="str">
        <f t="shared" si="816"/>
        <v>NA</v>
      </c>
      <c r="AA2465" s="29" t="str">
        <f t="shared" si="817"/>
        <v>NA</v>
      </c>
      <c r="AB2465" s="29" t="str">
        <f t="shared" si="818"/>
        <v>NA</v>
      </c>
      <c r="AC2465" s="29" t="str">
        <f t="shared" si="819"/>
        <v>NA</v>
      </c>
      <c r="AD2465" s="29" t="str">
        <f t="shared" si="820"/>
        <v>NA</v>
      </c>
      <c r="AE2465" s="29" t="str">
        <f t="shared" si="821"/>
        <v>NA</v>
      </c>
      <c r="AF2465" s="29" t="str">
        <f t="shared" si="822"/>
        <v>NA</v>
      </c>
      <c r="AG2465" s="29" t="str">
        <f t="shared" si="823"/>
        <v>NA</v>
      </c>
      <c r="AH2465" s="29" t="str">
        <f t="shared" si="824"/>
        <v>NA</v>
      </c>
    </row>
    <row r="2466" customHeight="1" spans="1:34">
      <c r="A2466" s="12" t="s">
        <v>1043</v>
      </c>
      <c r="F2466" s="24">
        <f t="shared" si="806"/>
        <v>0</v>
      </c>
      <c r="G2466" s="24" t="e">
        <f t="shared" si="805"/>
        <v>#DIV/0!</v>
      </c>
      <c r="Q2466" s="29" t="str">
        <f t="shared" si="807"/>
        <v>NA</v>
      </c>
      <c r="R2466" s="29" t="str">
        <f t="shared" si="808"/>
        <v>NA</v>
      </c>
      <c r="S2466" s="29" t="str">
        <f t="shared" si="809"/>
        <v>NA</v>
      </c>
      <c r="T2466" s="29" t="str">
        <f t="shared" si="810"/>
        <v>NA</v>
      </c>
      <c r="U2466" s="29" t="str">
        <f t="shared" si="811"/>
        <v>NA</v>
      </c>
      <c r="V2466" s="29" t="str">
        <f t="shared" si="812"/>
        <v>NA</v>
      </c>
      <c r="W2466" s="29" t="str">
        <f t="shared" si="813"/>
        <v>NA</v>
      </c>
      <c r="X2466" s="29" t="str">
        <f t="shared" si="814"/>
        <v>NA</v>
      </c>
      <c r="Y2466" s="29" t="str">
        <f t="shared" si="815"/>
        <v>NA</v>
      </c>
      <c r="Z2466" s="29" t="str">
        <f t="shared" si="816"/>
        <v>NA</v>
      </c>
      <c r="AA2466" s="29" t="str">
        <f t="shared" si="817"/>
        <v>NA</v>
      </c>
      <c r="AB2466" s="29" t="str">
        <f t="shared" si="818"/>
        <v>NA</v>
      </c>
      <c r="AC2466" s="29" t="str">
        <f t="shared" si="819"/>
        <v>NA</v>
      </c>
      <c r="AD2466" s="29" t="str">
        <f t="shared" si="820"/>
        <v>NA</v>
      </c>
      <c r="AE2466" s="29" t="str">
        <f t="shared" si="821"/>
        <v>NA</v>
      </c>
      <c r="AF2466" s="29" t="str">
        <f t="shared" si="822"/>
        <v>NA</v>
      </c>
      <c r="AG2466" s="29" t="str">
        <f t="shared" si="823"/>
        <v>NA</v>
      </c>
      <c r="AH2466" s="29" t="str">
        <f t="shared" si="824"/>
        <v>NA</v>
      </c>
    </row>
    <row r="2467" customHeight="1" spans="1:34">
      <c r="A2467" s="12" t="s">
        <v>1043</v>
      </c>
      <c r="F2467" s="24">
        <f t="shared" si="806"/>
        <v>0</v>
      </c>
      <c r="G2467" s="24" t="e">
        <f t="shared" si="805"/>
        <v>#DIV/0!</v>
      </c>
      <c r="Q2467" s="29" t="str">
        <f t="shared" si="807"/>
        <v>NA</v>
      </c>
      <c r="R2467" s="29" t="str">
        <f t="shared" si="808"/>
        <v>NA</v>
      </c>
      <c r="S2467" s="29" t="str">
        <f t="shared" si="809"/>
        <v>NA</v>
      </c>
      <c r="T2467" s="29" t="str">
        <f t="shared" si="810"/>
        <v>NA</v>
      </c>
      <c r="U2467" s="29" t="str">
        <f t="shared" si="811"/>
        <v>NA</v>
      </c>
      <c r="V2467" s="29" t="str">
        <f t="shared" si="812"/>
        <v>NA</v>
      </c>
      <c r="W2467" s="29" t="str">
        <f t="shared" si="813"/>
        <v>NA</v>
      </c>
      <c r="X2467" s="29" t="str">
        <f t="shared" si="814"/>
        <v>NA</v>
      </c>
      <c r="Y2467" s="29" t="str">
        <f t="shared" si="815"/>
        <v>NA</v>
      </c>
      <c r="Z2467" s="29" t="str">
        <f t="shared" si="816"/>
        <v>NA</v>
      </c>
      <c r="AA2467" s="29" t="str">
        <f t="shared" si="817"/>
        <v>NA</v>
      </c>
      <c r="AB2467" s="29" t="str">
        <f t="shared" si="818"/>
        <v>NA</v>
      </c>
      <c r="AC2467" s="29" t="str">
        <f t="shared" si="819"/>
        <v>NA</v>
      </c>
      <c r="AD2467" s="29" t="str">
        <f t="shared" si="820"/>
        <v>NA</v>
      </c>
      <c r="AE2467" s="29" t="str">
        <f t="shared" si="821"/>
        <v>NA</v>
      </c>
      <c r="AF2467" s="29" t="str">
        <f t="shared" si="822"/>
        <v>NA</v>
      </c>
      <c r="AG2467" s="29" t="str">
        <f t="shared" si="823"/>
        <v>NA</v>
      </c>
      <c r="AH2467" s="29" t="str">
        <f t="shared" si="824"/>
        <v>NA</v>
      </c>
    </row>
    <row r="2468" customHeight="1" spans="1:34">
      <c r="A2468" s="12" t="s">
        <v>1043</v>
      </c>
      <c r="F2468" s="24">
        <f t="shared" si="806"/>
        <v>0</v>
      </c>
      <c r="G2468" s="24" t="e">
        <f t="shared" si="805"/>
        <v>#DIV/0!</v>
      </c>
      <c r="Q2468" s="29" t="str">
        <f t="shared" si="807"/>
        <v>NA</v>
      </c>
      <c r="R2468" s="29" t="str">
        <f t="shared" si="808"/>
        <v>NA</v>
      </c>
      <c r="S2468" s="29" t="str">
        <f t="shared" si="809"/>
        <v>NA</v>
      </c>
      <c r="T2468" s="29" t="str">
        <f t="shared" si="810"/>
        <v>NA</v>
      </c>
      <c r="U2468" s="29" t="str">
        <f t="shared" si="811"/>
        <v>NA</v>
      </c>
      <c r="V2468" s="29" t="str">
        <f t="shared" si="812"/>
        <v>NA</v>
      </c>
      <c r="W2468" s="29" t="str">
        <f t="shared" si="813"/>
        <v>NA</v>
      </c>
      <c r="X2468" s="29" t="str">
        <f t="shared" si="814"/>
        <v>NA</v>
      </c>
      <c r="Y2468" s="29" t="str">
        <f t="shared" si="815"/>
        <v>NA</v>
      </c>
      <c r="Z2468" s="29" t="str">
        <f t="shared" si="816"/>
        <v>NA</v>
      </c>
      <c r="AA2468" s="29" t="str">
        <f t="shared" si="817"/>
        <v>NA</v>
      </c>
      <c r="AB2468" s="29" t="str">
        <f t="shared" si="818"/>
        <v>NA</v>
      </c>
      <c r="AC2468" s="29" t="str">
        <f t="shared" si="819"/>
        <v>NA</v>
      </c>
      <c r="AD2468" s="29" t="str">
        <f t="shared" si="820"/>
        <v>NA</v>
      </c>
      <c r="AE2468" s="29" t="str">
        <f t="shared" si="821"/>
        <v>NA</v>
      </c>
      <c r="AF2468" s="29" t="str">
        <f t="shared" si="822"/>
        <v>NA</v>
      </c>
      <c r="AG2468" s="29" t="str">
        <f t="shared" si="823"/>
        <v>NA</v>
      </c>
      <c r="AH2468" s="29" t="str">
        <f t="shared" si="824"/>
        <v>NA</v>
      </c>
    </row>
    <row r="2469" customHeight="1" spans="1:34">
      <c r="A2469" s="12" t="s">
        <v>1043</v>
      </c>
      <c r="F2469" s="24">
        <f t="shared" si="806"/>
        <v>0</v>
      </c>
      <c r="G2469" s="24" t="e">
        <f t="shared" si="805"/>
        <v>#DIV/0!</v>
      </c>
      <c r="Q2469" s="29" t="str">
        <f t="shared" si="807"/>
        <v>NA</v>
      </c>
      <c r="R2469" s="29" t="str">
        <f t="shared" si="808"/>
        <v>NA</v>
      </c>
      <c r="S2469" s="29" t="str">
        <f t="shared" si="809"/>
        <v>NA</v>
      </c>
      <c r="T2469" s="29" t="str">
        <f t="shared" si="810"/>
        <v>NA</v>
      </c>
      <c r="U2469" s="29" t="str">
        <f t="shared" si="811"/>
        <v>NA</v>
      </c>
      <c r="V2469" s="29" t="str">
        <f t="shared" si="812"/>
        <v>NA</v>
      </c>
      <c r="W2469" s="29" t="str">
        <f t="shared" si="813"/>
        <v>NA</v>
      </c>
      <c r="X2469" s="29" t="str">
        <f t="shared" si="814"/>
        <v>NA</v>
      </c>
      <c r="Y2469" s="29" t="str">
        <f t="shared" si="815"/>
        <v>NA</v>
      </c>
      <c r="Z2469" s="29" t="str">
        <f t="shared" si="816"/>
        <v>NA</v>
      </c>
      <c r="AA2469" s="29" t="str">
        <f t="shared" si="817"/>
        <v>NA</v>
      </c>
      <c r="AB2469" s="29" t="str">
        <f t="shared" si="818"/>
        <v>NA</v>
      </c>
      <c r="AC2469" s="29" t="str">
        <f t="shared" si="819"/>
        <v>NA</v>
      </c>
      <c r="AD2469" s="29" t="str">
        <f t="shared" si="820"/>
        <v>NA</v>
      </c>
      <c r="AE2469" s="29" t="str">
        <f t="shared" si="821"/>
        <v>NA</v>
      </c>
      <c r="AF2469" s="29" t="str">
        <f t="shared" si="822"/>
        <v>NA</v>
      </c>
      <c r="AG2469" s="29" t="str">
        <f t="shared" si="823"/>
        <v>NA</v>
      </c>
      <c r="AH2469" s="29" t="str">
        <f t="shared" si="824"/>
        <v>NA</v>
      </c>
    </row>
    <row r="2470" customHeight="1" spans="1:34">
      <c r="A2470" s="12" t="s">
        <v>1043</v>
      </c>
      <c r="F2470" s="24">
        <f t="shared" si="806"/>
        <v>0</v>
      </c>
      <c r="G2470" s="24" t="e">
        <f t="shared" si="805"/>
        <v>#DIV/0!</v>
      </c>
      <c r="Q2470" s="29" t="str">
        <f t="shared" si="807"/>
        <v>NA</v>
      </c>
      <c r="R2470" s="29" t="str">
        <f t="shared" si="808"/>
        <v>NA</v>
      </c>
      <c r="S2470" s="29" t="str">
        <f t="shared" si="809"/>
        <v>NA</v>
      </c>
      <c r="T2470" s="29" t="str">
        <f t="shared" si="810"/>
        <v>NA</v>
      </c>
      <c r="U2470" s="29" t="str">
        <f t="shared" si="811"/>
        <v>NA</v>
      </c>
      <c r="V2470" s="29" t="str">
        <f t="shared" si="812"/>
        <v>NA</v>
      </c>
      <c r="W2470" s="29" t="str">
        <f t="shared" si="813"/>
        <v>NA</v>
      </c>
      <c r="X2470" s="29" t="str">
        <f t="shared" si="814"/>
        <v>NA</v>
      </c>
      <c r="Y2470" s="29" t="str">
        <f t="shared" si="815"/>
        <v>NA</v>
      </c>
      <c r="Z2470" s="29" t="str">
        <f t="shared" si="816"/>
        <v>NA</v>
      </c>
      <c r="AA2470" s="29" t="str">
        <f t="shared" si="817"/>
        <v>NA</v>
      </c>
      <c r="AB2470" s="29" t="str">
        <f t="shared" si="818"/>
        <v>NA</v>
      </c>
      <c r="AC2470" s="29" t="str">
        <f t="shared" si="819"/>
        <v>NA</v>
      </c>
      <c r="AD2470" s="29" t="str">
        <f t="shared" si="820"/>
        <v>NA</v>
      </c>
      <c r="AE2470" s="29" t="str">
        <f t="shared" si="821"/>
        <v>NA</v>
      </c>
      <c r="AF2470" s="29" t="str">
        <f t="shared" si="822"/>
        <v>NA</v>
      </c>
      <c r="AG2470" s="29" t="str">
        <f t="shared" si="823"/>
        <v>NA</v>
      </c>
      <c r="AH2470" s="29" t="str">
        <f t="shared" si="824"/>
        <v>NA</v>
      </c>
    </row>
    <row r="2471" customHeight="1" spans="1:34">
      <c r="A2471" s="12" t="s">
        <v>1043</v>
      </c>
      <c r="F2471" s="24">
        <f t="shared" si="806"/>
        <v>0</v>
      </c>
      <c r="G2471" s="24" t="e">
        <f t="shared" si="805"/>
        <v>#DIV/0!</v>
      </c>
      <c r="Q2471" s="29" t="str">
        <f t="shared" si="807"/>
        <v>NA</v>
      </c>
      <c r="R2471" s="29" t="str">
        <f t="shared" si="808"/>
        <v>NA</v>
      </c>
      <c r="S2471" s="29" t="str">
        <f t="shared" si="809"/>
        <v>NA</v>
      </c>
      <c r="T2471" s="29" t="str">
        <f t="shared" si="810"/>
        <v>NA</v>
      </c>
      <c r="U2471" s="29" t="str">
        <f t="shared" si="811"/>
        <v>NA</v>
      </c>
      <c r="V2471" s="29" t="str">
        <f t="shared" si="812"/>
        <v>NA</v>
      </c>
      <c r="W2471" s="29" t="str">
        <f t="shared" si="813"/>
        <v>NA</v>
      </c>
      <c r="X2471" s="29" t="str">
        <f t="shared" si="814"/>
        <v>NA</v>
      </c>
      <c r="Y2471" s="29" t="str">
        <f t="shared" si="815"/>
        <v>NA</v>
      </c>
      <c r="Z2471" s="29" t="str">
        <f t="shared" si="816"/>
        <v>NA</v>
      </c>
      <c r="AA2471" s="29" t="str">
        <f t="shared" si="817"/>
        <v>NA</v>
      </c>
      <c r="AB2471" s="29" t="str">
        <f t="shared" si="818"/>
        <v>NA</v>
      </c>
      <c r="AC2471" s="29" t="str">
        <f t="shared" si="819"/>
        <v>NA</v>
      </c>
      <c r="AD2471" s="29" t="str">
        <f t="shared" si="820"/>
        <v>NA</v>
      </c>
      <c r="AE2471" s="29" t="str">
        <f t="shared" si="821"/>
        <v>NA</v>
      </c>
      <c r="AF2471" s="29" t="str">
        <f t="shared" si="822"/>
        <v>NA</v>
      </c>
      <c r="AG2471" s="29" t="str">
        <f t="shared" si="823"/>
        <v>NA</v>
      </c>
      <c r="AH2471" s="29" t="str">
        <f t="shared" si="824"/>
        <v>NA</v>
      </c>
    </row>
    <row r="2472" customHeight="1" spans="1:34">
      <c r="A2472" s="12" t="s">
        <v>1043</v>
      </c>
      <c r="F2472" s="24">
        <f t="shared" si="806"/>
        <v>0</v>
      </c>
      <c r="G2472" s="24" t="e">
        <f t="shared" si="805"/>
        <v>#DIV/0!</v>
      </c>
      <c r="Q2472" s="29" t="str">
        <f t="shared" si="807"/>
        <v>NA</v>
      </c>
      <c r="R2472" s="29" t="str">
        <f t="shared" si="808"/>
        <v>NA</v>
      </c>
      <c r="S2472" s="29" t="str">
        <f t="shared" si="809"/>
        <v>NA</v>
      </c>
      <c r="T2472" s="29" t="str">
        <f t="shared" si="810"/>
        <v>NA</v>
      </c>
      <c r="U2472" s="29" t="str">
        <f t="shared" si="811"/>
        <v>NA</v>
      </c>
      <c r="V2472" s="29" t="str">
        <f t="shared" si="812"/>
        <v>NA</v>
      </c>
      <c r="W2472" s="29" t="str">
        <f t="shared" si="813"/>
        <v>NA</v>
      </c>
      <c r="X2472" s="29" t="str">
        <f t="shared" si="814"/>
        <v>NA</v>
      </c>
      <c r="Y2472" s="29" t="str">
        <f t="shared" si="815"/>
        <v>NA</v>
      </c>
      <c r="Z2472" s="29" t="str">
        <f t="shared" si="816"/>
        <v>NA</v>
      </c>
      <c r="AA2472" s="29" t="str">
        <f t="shared" si="817"/>
        <v>NA</v>
      </c>
      <c r="AB2472" s="29" t="str">
        <f t="shared" si="818"/>
        <v>NA</v>
      </c>
      <c r="AC2472" s="29" t="str">
        <f t="shared" si="819"/>
        <v>NA</v>
      </c>
      <c r="AD2472" s="29" t="str">
        <f t="shared" si="820"/>
        <v>NA</v>
      </c>
      <c r="AE2472" s="29" t="str">
        <f t="shared" si="821"/>
        <v>NA</v>
      </c>
      <c r="AF2472" s="29" t="str">
        <f t="shared" si="822"/>
        <v>NA</v>
      </c>
      <c r="AG2472" s="29" t="str">
        <f t="shared" si="823"/>
        <v>NA</v>
      </c>
      <c r="AH2472" s="29" t="str">
        <f t="shared" si="824"/>
        <v>NA</v>
      </c>
    </row>
    <row r="2473" customHeight="1" spans="1:34">
      <c r="A2473" s="12" t="s">
        <v>1043</v>
      </c>
      <c r="F2473" s="24">
        <f t="shared" si="806"/>
        <v>0</v>
      </c>
      <c r="G2473" s="24" t="e">
        <f t="shared" si="805"/>
        <v>#DIV/0!</v>
      </c>
      <c r="Q2473" s="29" t="str">
        <f t="shared" si="807"/>
        <v>NA</v>
      </c>
      <c r="R2473" s="29" t="str">
        <f t="shared" si="808"/>
        <v>NA</v>
      </c>
      <c r="S2473" s="29" t="str">
        <f t="shared" si="809"/>
        <v>NA</v>
      </c>
      <c r="T2473" s="29" t="str">
        <f t="shared" si="810"/>
        <v>NA</v>
      </c>
      <c r="U2473" s="29" t="str">
        <f t="shared" si="811"/>
        <v>NA</v>
      </c>
      <c r="V2473" s="29" t="str">
        <f t="shared" si="812"/>
        <v>NA</v>
      </c>
      <c r="W2473" s="29" t="str">
        <f t="shared" si="813"/>
        <v>NA</v>
      </c>
      <c r="X2473" s="29" t="str">
        <f t="shared" si="814"/>
        <v>NA</v>
      </c>
      <c r="Y2473" s="29" t="str">
        <f t="shared" si="815"/>
        <v>NA</v>
      </c>
      <c r="Z2473" s="29" t="str">
        <f t="shared" si="816"/>
        <v>NA</v>
      </c>
      <c r="AA2473" s="29" t="str">
        <f t="shared" si="817"/>
        <v>NA</v>
      </c>
      <c r="AB2473" s="29" t="str">
        <f t="shared" si="818"/>
        <v>NA</v>
      </c>
      <c r="AC2473" s="29" t="str">
        <f t="shared" si="819"/>
        <v>NA</v>
      </c>
      <c r="AD2473" s="29" t="str">
        <f t="shared" si="820"/>
        <v>NA</v>
      </c>
      <c r="AE2473" s="29" t="str">
        <f t="shared" si="821"/>
        <v>NA</v>
      </c>
      <c r="AF2473" s="29" t="str">
        <f t="shared" si="822"/>
        <v>NA</v>
      </c>
      <c r="AG2473" s="29" t="str">
        <f t="shared" si="823"/>
        <v>NA</v>
      </c>
      <c r="AH2473" s="29" t="str">
        <f t="shared" si="824"/>
        <v>NA</v>
      </c>
    </row>
    <row r="2474" customHeight="1" spans="1:34">
      <c r="A2474" s="12" t="s">
        <v>1043</v>
      </c>
      <c r="F2474" s="24">
        <f t="shared" si="806"/>
        <v>0</v>
      </c>
      <c r="G2474" s="24" t="e">
        <f t="shared" si="805"/>
        <v>#DIV/0!</v>
      </c>
      <c r="Q2474" s="29" t="str">
        <f t="shared" si="807"/>
        <v>NA</v>
      </c>
      <c r="R2474" s="29" t="str">
        <f t="shared" si="808"/>
        <v>NA</v>
      </c>
      <c r="S2474" s="29" t="str">
        <f t="shared" si="809"/>
        <v>NA</v>
      </c>
      <c r="T2474" s="29" t="str">
        <f t="shared" si="810"/>
        <v>NA</v>
      </c>
      <c r="U2474" s="29" t="str">
        <f t="shared" si="811"/>
        <v>NA</v>
      </c>
      <c r="V2474" s="29" t="str">
        <f t="shared" si="812"/>
        <v>NA</v>
      </c>
      <c r="W2474" s="29" t="str">
        <f t="shared" si="813"/>
        <v>NA</v>
      </c>
      <c r="X2474" s="29" t="str">
        <f t="shared" si="814"/>
        <v>NA</v>
      </c>
      <c r="Y2474" s="29" t="str">
        <f t="shared" si="815"/>
        <v>NA</v>
      </c>
      <c r="Z2474" s="29" t="str">
        <f t="shared" si="816"/>
        <v>NA</v>
      </c>
      <c r="AA2474" s="29" t="str">
        <f t="shared" si="817"/>
        <v>NA</v>
      </c>
      <c r="AB2474" s="29" t="str">
        <f t="shared" si="818"/>
        <v>NA</v>
      </c>
      <c r="AC2474" s="29" t="str">
        <f t="shared" si="819"/>
        <v>NA</v>
      </c>
      <c r="AD2474" s="29" t="str">
        <f t="shared" si="820"/>
        <v>NA</v>
      </c>
      <c r="AE2474" s="29" t="str">
        <f t="shared" si="821"/>
        <v>NA</v>
      </c>
      <c r="AF2474" s="29" t="str">
        <f t="shared" si="822"/>
        <v>NA</v>
      </c>
      <c r="AG2474" s="29" t="str">
        <f t="shared" si="823"/>
        <v>NA</v>
      </c>
      <c r="AH2474" s="29" t="str">
        <f t="shared" si="824"/>
        <v>NA</v>
      </c>
    </row>
    <row r="2475" customHeight="1" spans="1:34">
      <c r="A2475" s="12" t="s">
        <v>1043</v>
      </c>
      <c r="F2475" s="24">
        <f t="shared" si="806"/>
        <v>0</v>
      </c>
      <c r="G2475" s="24" t="e">
        <f t="shared" si="805"/>
        <v>#DIV/0!</v>
      </c>
      <c r="Q2475" s="29" t="str">
        <f t="shared" si="807"/>
        <v>NA</v>
      </c>
      <c r="R2475" s="29" t="str">
        <f t="shared" si="808"/>
        <v>NA</v>
      </c>
      <c r="S2475" s="29" t="str">
        <f t="shared" si="809"/>
        <v>NA</v>
      </c>
      <c r="T2475" s="29" t="str">
        <f t="shared" si="810"/>
        <v>NA</v>
      </c>
      <c r="U2475" s="29" t="str">
        <f t="shared" si="811"/>
        <v>NA</v>
      </c>
      <c r="V2475" s="29" t="str">
        <f t="shared" si="812"/>
        <v>NA</v>
      </c>
      <c r="W2475" s="29" t="str">
        <f t="shared" si="813"/>
        <v>NA</v>
      </c>
      <c r="X2475" s="29" t="str">
        <f t="shared" si="814"/>
        <v>NA</v>
      </c>
      <c r="Y2475" s="29" t="str">
        <f t="shared" si="815"/>
        <v>NA</v>
      </c>
      <c r="Z2475" s="29" t="str">
        <f t="shared" si="816"/>
        <v>NA</v>
      </c>
      <c r="AA2475" s="29" t="str">
        <f t="shared" si="817"/>
        <v>NA</v>
      </c>
      <c r="AB2475" s="29" t="str">
        <f t="shared" si="818"/>
        <v>NA</v>
      </c>
      <c r="AC2475" s="29" t="str">
        <f t="shared" si="819"/>
        <v>NA</v>
      </c>
      <c r="AD2475" s="29" t="str">
        <f t="shared" si="820"/>
        <v>NA</v>
      </c>
      <c r="AE2475" s="29" t="str">
        <f t="shared" si="821"/>
        <v>NA</v>
      </c>
      <c r="AF2475" s="29" t="str">
        <f t="shared" si="822"/>
        <v>NA</v>
      </c>
      <c r="AG2475" s="29" t="str">
        <f t="shared" si="823"/>
        <v>NA</v>
      </c>
      <c r="AH2475" s="29" t="str">
        <f t="shared" si="824"/>
        <v>NA</v>
      </c>
    </row>
    <row r="2476" customHeight="1" spans="1:34">
      <c r="A2476" s="12" t="s">
        <v>1043</v>
      </c>
      <c r="F2476" s="24">
        <f t="shared" si="806"/>
        <v>0</v>
      </c>
      <c r="G2476" s="24" t="e">
        <f t="shared" si="805"/>
        <v>#DIV/0!</v>
      </c>
      <c r="Q2476" s="29" t="str">
        <f t="shared" si="807"/>
        <v>NA</v>
      </c>
      <c r="R2476" s="29" t="str">
        <f t="shared" si="808"/>
        <v>NA</v>
      </c>
      <c r="S2476" s="29" t="str">
        <f t="shared" si="809"/>
        <v>NA</v>
      </c>
      <c r="T2476" s="29" t="str">
        <f t="shared" si="810"/>
        <v>NA</v>
      </c>
      <c r="U2476" s="29" t="str">
        <f t="shared" si="811"/>
        <v>NA</v>
      </c>
      <c r="V2476" s="29" t="str">
        <f t="shared" si="812"/>
        <v>NA</v>
      </c>
      <c r="W2476" s="29" t="str">
        <f t="shared" si="813"/>
        <v>NA</v>
      </c>
      <c r="X2476" s="29" t="str">
        <f t="shared" si="814"/>
        <v>NA</v>
      </c>
      <c r="Y2476" s="29" t="str">
        <f t="shared" si="815"/>
        <v>NA</v>
      </c>
      <c r="Z2476" s="29" t="str">
        <f t="shared" si="816"/>
        <v>NA</v>
      </c>
      <c r="AA2476" s="29" t="str">
        <f t="shared" si="817"/>
        <v>NA</v>
      </c>
      <c r="AB2476" s="29" t="str">
        <f t="shared" si="818"/>
        <v>NA</v>
      </c>
      <c r="AC2476" s="29" t="str">
        <f t="shared" si="819"/>
        <v>NA</v>
      </c>
      <c r="AD2476" s="29" t="str">
        <f t="shared" si="820"/>
        <v>NA</v>
      </c>
      <c r="AE2476" s="29" t="str">
        <f t="shared" si="821"/>
        <v>NA</v>
      </c>
      <c r="AF2476" s="29" t="str">
        <f t="shared" si="822"/>
        <v>NA</v>
      </c>
      <c r="AG2476" s="29" t="str">
        <f t="shared" si="823"/>
        <v>NA</v>
      </c>
      <c r="AH2476" s="29" t="str">
        <f t="shared" si="824"/>
        <v>NA</v>
      </c>
    </row>
    <row r="2477" customHeight="1" spans="1:34">
      <c r="A2477" s="12" t="s">
        <v>1043</v>
      </c>
      <c r="F2477" s="24">
        <f t="shared" si="806"/>
        <v>0</v>
      </c>
      <c r="G2477" s="24" t="e">
        <f t="shared" si="805"/>
        <v>#DIV/0!</v>
      </c>
      <c r="Q2477" s="29" t="str">
        <f t="shared" si="807"/>
        <v>NA</v>
      </c>
      <c r="R2477" s="29" t="str">
        <f t="shared" si="808"/>
        <v>NA</v>
      </c>
      <c r="S2477" s="29" t="str">
        <f t="shared" si="809"/>
        <v>NA</v>
      </c>
      <c r="T2477" s="29" t="str">
        <f t="shared" si="810"/>
        <v>NA</v>
      </c>
      <c r="U2477" s="29" t="str">
        <f t="shared" si="811"/>
        <v>NA</v>
      </c>
      <c r="V2477" s="29" t="str">
        <f t="shared" si="812"/>
        <v>NA</v>
      </c>
      <c r="W2477" s="29" t="str">
        <f t="shared" si="813"/>
        <v>NA</v>
      </c>
      <c r="X2477" s="29" t="str">
        <f t="shared" si="814"/>
        <v>NA</v>
      </c>
      <c r="Y2477" s="29" t="str">
        <f t="shared" si="815"/>
        <v>NA</v>
      </c>
      <c r="Z2477" s="29" t="str">
        <f t="shared" si="816"/>
        <v>NA</v>
      </c>
      <c r="AA2477" s="29" t="str">
        <f t="shared" si="817"/>
        <v>NA</v>
      </c>
      <c r="AB2477" s="29" t="str">
        <f t="shared" si="818"/>
        <v>NA</v>
      </c>
      <c r="AC2477" s="29" t="str">
        <f t="shared" si="819"/>
        <v>NA</v>
      </c>
      <c r="AD2477" s="29" t="str">
        <f t="shared" si="820"/>
        <v>NA</v>
      </c>
      <c r="AE2477" s="29" t="str">
        <f t="shared" si="821"/>
        <v>NA</v>
      </c>
      <c r="AF2477" s="29" t="str">
        <f t="shared" si="822"/>
        <v>NA</v>
      </c>
      <c r="AG2477" s="29" t="str">
        <f t="shared" si="823"/>
        <v>NA</v>
      </c>
      <c r="AH2477" s="29" t="str">
        <f t="shared" si="824"/>
        <v>NA</v>
      </c>
    </row>
    <row r="2478" customHeight="1" spans="1:34">
      <c r="A2478" s="12" t="s">
        <v>1043</v>
      </c>
      <c r="F2478" s="24">
        <f t="shared" si="806"/>
        <v>0</v>
      </c>
      <c r="G2478" s="24" t="e">
        <f t="shared" si="805"/>
        <v>#DIV/0!</v>
      </c>
      <c r="Q2478" s="29" t="str">
        <f t="shared" si="807"/>
        <v>NA</v>
      </c>
      <c r="R2478" s="29" t="str">
        <f t="shared" si="808"/>
        <v>NA</v>
      </c>
      <c r="S2478" s="29" t="str">
        <f t="shared" si="809"/>
        <v>NA</v>
      </c>
      <c r="T2478" s="29" t="str">
        <f t="shared" si="810"/>
        <v>NA</v>
      </c>
      <c r="U2478" s="29" t="str">
        <f t="shared" si="811"/>
        <v>NA</v>
      </c>
      <c r="V2478" s="29" t="str">
        <f t="shared" si="812"/>
        <v>NA</v>
      </c>
      <c r="W2478" s="29" t="str">
        <f t="shared" si="813"/>
        <v>NA</v>
      </c>
      <c r="X2478" s="29" t="str">
        <f t="shared" si="814"/>
        <v>NA</v>
      </c>
      <c r="Y2478" s="29" t="str">
        <f t="shared" si="815"/>
        <v>NA</v>
      </c>
      <c r="Z2478" s="29" t="str">
        <f t="shared" si="816"/>
        <v>NA</v>
      </c>
      <c r="AA2478" s="29" t="str">
        <f t="shared" si="817"/>
        <v>NA</v>
      </c>
      <c r="AB2478" s="29" t="str">
        <f t="shared" si="818"/>
        <v>NA</v>
      </c>
      <c r="AC2478" s="29" t="str">
        <f t="shared" si="819"/>
        <v>NA</v>
      </c>
      <c r="AD2478" s="29" t="str">
        <f t="shared" si="820"/>
        <v>NA</v>
      </c>
      <c r="AE2478" s="29" t="str">
        <f t="shared" si="821"/>
        <v>NA</v>
      </c>
      <c r="AF2478" s="29" t="str">
        <f t="shared" si="822"/>
        <v>NA</v>
      </c>
      <c r="AG2478" s="29" t="str">
        <f t="shared" si="823"/>
        <v>NA</v>
      </c>
      <c r="AH2478" s="29" t="str">
        <f t="shared" si="824"/>
        <v>NA</v>
      </c>
    </row>
    <row r="2479" customHeight="1" spans="1:34">
      <c r="A2479" s="12" t="s">
        <v>1043</v>
      </c>
      <c r="F2479" s="24">
        <f t="shared" si="806"/>
        <v>0</v>
      </c>
      <c r="G2479" s="24" t="e">
        <f t="shared" si="805"/>
        <v>#DIV/0!</v>
      </c>
      <c r="Q2479" s="29" t="str">
        <f t="shared" si="807"/>
        <v>NA</v>
      </c>
      <c r="R2479" s="29" t="str">
        <f t="shared" si="808"/>
        <v>NA</v>
      </c>
      <c r="S2479" s="29" t="str">
        <f t="shared" si="809"/>
        <v>NA</v>
      </c>
      <c r="T2479" s="29" t="str">
        <f t="shared" si="810"/>
        <v>NA</v>
      </c>
      <c r="U2479" s="29" t="str">
        <f t="shared" si="811"/>
        <v>NA</v>
      </c>
      <c r="V2479" s="29" t="str">
        <f t="shared" si="812"/>
        <v>NA</v>
      </c>
      <c r="W2479" s="29" t="str">
        <f t="shared" si="813"/>
        <v>NA</v>
      </c>
      <c r="X2479" s="29" t="str">
        <f t="shared" si="814"/>
        <v>NA</v>
      </c>
      <c r="Y2479" s="29" t="str">
        <f t="shared" si="815"/>
        <v>NA</v>
      </c>
      <c r="Z2479" s="29" t="str">
        <f t="shared" si="816"/>
        <v>NA</v>
      </c>
      <c r="AA2479" s="29" t="str">
        <f t="shared" si="817"/>
        <v>NA</v>
      </c>
      <c r="AB2479" s="29" t="str">
        <f t="shared" si="818"/>
        <v>NA</v>
      </c>
      <c r="AC2479" s="29" t="str">
        <f t="shared" si="819"/>
        <v>NA</v>
      </c>
      <c r="AD2479" s="29" t="str">
        <f t="shared" si="820"/>
        <v>NA</v>
      </c>
      <c r="AE2479" s="29" t="str">
        <f t="shared" si="821"/>
        <v>NA</v>
      </c>
      <c r="AF2479" s="29" t="str">
        <f t="shared" si="822"/>
        <v>NA</v>
      </c>
      <c r="AG2479" s="29" t="str">
        <f t="shared" si="823"/>
        <v>NA</v>
      </c>
      <c r="AH2479" s="29" t="str">
        <f t="shared" si="824"/>
        <v>NA</v>
      </c>
    </row>
    <row r="2480" customHeight="1" spans="1:34">
      <c r="A2480" s="12" t="s">
        <v>1043</v>
      </c>
      <c r="F2480" s="24">
        <f t="shared" si="806"/>
        <v>0</v>
      </c>
      <c r="G2480" s="24" t="e">
        <f t="shared" si="805"/>
        <v>#DIV/0!</v>
      </c>
      <c r="Q2480" s="29" t="str">
        <f t="shared" si="807"/>
        <v>NA</v>
      </c>
      <c r="R2480" s="29" t="str">
        <f t="shared" si="808"/>
        <v>NA</v>
      </c>
      <c r="S2480" s="29" t="str">
        <f t="shared" si="809"/>
        <v>NA</v>
      </c>
      <c r="T2480" s="29" t="str">
        <f t="shared" si="810"/>
        <v>NA</v>
      </c>
      <c r="U2480" s="29" t="str">
        <f t="shared" si="811"/>
        <v>NA</v>
      </c>
      <c r="V2480" s="29" t="str">
        <f t="shared" si="812"/>
        <v>NA</v>
      </c>
      <c r="W2480" s="29" t="str">
        <f t="shared" si="813"/>
        <v>NA</v>
      </c>
      <c r="X2480" s="29" t="str">
        <f t="shared" si="814"/>
        <v>NA</v>
      </c>
      <c r="Y2480" s="29" t="str">
        <f t="shared" si="815"/>
        <v>NA</v>
      </c>
      <c r="Z2480" s="29" t="str">
        <f t="shared" si="816"/>
        <v>NA</v>
      </c>
      <c r="AA2480" s="29" t="str">
        <f t="shared" si="817"/>
        <v>NA</v>
      </c>
      <c r="AB2480" s="29" t="str">
        <f t="shared" si="818"/>
        <v>NA</v>
      </c>
      <c r="AC2480" s="29" t="str">
        <f t="shared" si="819"/>
        <v>NA</v>
      </c>
      <c r="AD2480" s="29" t="str">
        <f t="shared" si="820"/>
        <v>NA</v>
      </c>
      <c r="AE2480" s="29" t="str">
        <f t="shared" si="821"/>
        <v>NA</v>
      </c>
      <c r="AF2480" s="29" t="str">
        <f t="shared" si="822"/>
        <v>NA</v>
      </c>
      <c r="AG2480" s="29" t="str">
        <f t="shared" si="823"/>
        <v>NA</v>
      </c>
      <c r="AH2480" s="29" t="str">
        <f t="shared" si="824"/>
        <v>NA</v>
      </c>
    </row>
    <row r="2481" customHeight="1" spans="1:34">
      <c r="A2481" s="12" t="s">
        <v>1043</v>
      </c>
      <c r="F2481" s="24">
        <f t="shared" si="806"/>
        <v>0</v>
      </c>
      <c r="G2481" s="24" t="e">
        <f t="shared" si="805"/>
        <v>#DIV/0!</v>
      </c>
      <c r="Q2481" s="29" t="str">
        <f t="shared" si="807"/>
        <v>NA</v>
      </c>
      <c r="R2481" s="29" t="str">
        <f t="shared" si="808"/>
        <v>NA</v>
      </c>
      <c r="S2481" s="29" t="str">
        <f t="shared" si="809"/>
        <v>NA</v>
      </c>
      <c r="T2481" s="29" t="str">
        <f t="shared" si="810"/>
        <v>NA</v>
      </c>
      <c r="U2481" s="29" t="str">
        <f t="shared" si="811"/>
        <v>NA</v>
      </c>
      <c r="V2481" s="29" t="str">
        <f t="shared" si="812"/>
        <v>NA</v>
      </c>
      <c r="W2481" s="29" t="str">
        <f t="shared" si="813"/>
        <v>NA</v>
      </c>
      <c r="X2481" s="29" t="str">
        <f t="shared" si="814"/>
        <v>NA</v>
      </c>
      <c r="Y2481" s="29" t="str">
        <f t="shared" si="815"/>
        <v>NA</v>
      </c>
      <c r="Z2481" s="29" t="str">
        <f t="shared" si="816"/>
        <v>NA</v>
      </c>
      <c r="AA2481" s="29" t="str">
        <f t="shared" si="817"/>
        <v>NA</v>
      </c>
      <c r="AB2481" s="29" t="str">
        <f t="shared" si="818"/>
        <v>NA</v>
      </c>
      <c r="AC2481" s="29" t="str">
        <f t="shared" si="819"/>
        <v>NA</v>
      </c>
      <c r="AD2481" s="29" t="str">
        <f t="shared" si="820"/>
        <v>NA</v>
      </c>
      <c r="AE2481" s="29" t="str">
        <f t="shared" si="821"/>
        <v>NA</v>
      </c>
      <c r="AF2481" s="29" t="str">
        <f t="shared" si="822"/>
        <v>NA</v>
      </c>
      <c r="AG2481" s="29" t="str">
        <f t="shared" si="823"/>
        <v>NA</v>
      </c>
      <c r="AH2481" s="29" t="str">
        <f t="shared" si="824"/>
        <v>NA</v>
      </c>
    </row>
    <row r="2482" customHeight="1" spans="1:34">
      <c r="A2482" s="12" t="s">
        <v>1043</v>
      </c>
      <c r="F2482" s="24">
        <f t="shared" si="806"/>
        <v>0</v>
      </c>
      <c r="G2482" s="24" t="e">
        <f t="shared" si="805"/>
        <v>#DIV/0!</v>
      </c>
      <c r="Q2482" s="29" t="str">
        <f t="shared" si="807"/>
        <v>NA</v>
      </c>
      <c r="R2482" s="29" t="str">
        <f t="shared" si="808"/>
        <v>NA</v>
      </c>
      <c r="S2482" s="29" t="str">
        <f t="shared" si="809"/>
        <v>NA</v>
      </c>
      <c r="T2482" s="29" t="str">
        <f t="shared" si="810"/>
        <v>NA</v>
      </c>
      <c r="U2482" s="29" t="str">
        <f t="shared" si="811"/>
        <v>NA</v>
      </c>
      <c r="V2482" s="29" t="str">
        <f t="shared" si="812"/>
        <v>NA</v>
      </c>
      <c r="W2482" s="29" t="str">
        <f t="shared" si="813"/>
        <v>NA</v>
      </c>
      <c r="X2482" s="29" t="str">
        <f t="shared" si="814"/>
        <v>NA</v>
      </c>
      <c r="Y2482" s="29" t="str">
        <f t="shared" si="815"/>
        <v>NA</v>
      </c>
      <c r="Z2482" s="29" t="str">
        <f t="shared" si="816"/>
        <v>NA</v>
      </c>
      <c r="AA2482" s="29" t="str">
        <f t="shared" si="817"/>
        <v>NA</v>
      </c>
      <c r="AB2482" s="29" t="str">
        <f t="shared" si="818"/>
        <v>NA</v>
      </c>
      <c r="AC2482" s="29" t="str">
        <f t="shared" si="819"/>
        <v>NA</v>
      </c>
      <c r="AD2482" s="29" t="str">
        <f t="shared" si="820"/>
        <v>NA</v>
      </c>
      <c r="AE2482" s="29" t="str">
        <f t="shared" si="821"/>
        <v>NA</v>
      </c>
      <c r="AF2482" s="29" t="str">
        <f t="shared" si="822"/>
        <v>NA</v>
      </c>
      <c r="AG2482" s="29" t="str">
        <f t="shared" si="823"/>
        <v>NA</v>
      </c>
      <c r="AH2482" s="29" t="str">
        <f t="shared" si="824"/>
        <v>NA</v>
      </c>
    </row>
    <row r="2483" customHeight="1" spans="1:34">
      <c r="A2483" s="12" t="s">
        <v>1043</v>
      </c>
      <c r="F2483" s="24">
        <f t="shared" si="806"/>
        <v>0</v>
      </c>
      <c r="G2483" s="24" t="e">
        <f t="shared" si="805"/>
        <v>#DIV/0!</v>
      </c>
      <c r="Q2483" s="29" t="str">
        <f t="shared" si="807"/>
        <v>NA</v>
      </c>
      <c r="R2483" s="29" t="str">
        <f t="shared" si="808"/>
        <v>NA</v>
      </c>
      <c r="S2483" s="29" t="str">
        <f t="shared" si="809"/>
        <v>NA</v>
      </c>
      <c r="T2483" s="29" t="str">
        <f t="shared" si="810"/>
        <v>NA</v>
      </c>
      <c r="U2483" s="29" t="str">
        <f t="shared" si="811"/>
        <v>NA</v>
      </c>
      <c r="V2483" s="29" t="str">
        <f t="shared" si="812"/>
        <v>NA</v>
      </c>
      <c r="W2483" s="29" t="str">
        <f t="shared" si="813"/>
        <v>NA</v>
      </c>
      <c r="X2483" s="29" t="str">
        <f t="shared" si="814"/>
        <v>NA</v>
      </c>
      <c r="Y2483" s="29" t="str">
        <f t="shared" si="815"/>
        <v>NA</v>
      </c>
      <c r="Z2483" s="29" t="str">
        <f t="shared" si="816"/>
        <v>NA</v>
      </c>
      <c r="AA2483" s="29" t="str">
        <f t="shared" si="817"/>
        <v>NA</v>
      </c>
      <c r="AB2483" s="29" t="str">
        <f t="shared" si="818"/>
        <v>NA</v>
      </c>
      <c r="AC2483" s="29" t="str">
        <f t="shared" si="819"/>
        <v>NA</v>
      </c>
      <c r="AD2483" s="29" t="str">
        <f t="shared" si="820"/>
        <v>NA</v>
      </c>
      <c r="AE2483" s="29" t="str">
        <f t="shared" si="821"/>
        <v>NA</v>
      </c>
      <c r="AF2483" s="29" t="str">
        <f t="shared" si="822"/>
        <v>NA</v>
      </c>
      <c r="AG2483" s="29" t="str">
        <f t="shared" si="823"/>
        <v>NA</v>
      </c>
      <c r="AH2483" s="29" t="str">
        <f t="shared" si="824"/>
        <v>NA</v>
      </c>
    </row>
    <row r="2484" customHeight="1" spans="1:34">
      <c r="A2484" s="12" t="s">
        <v>1043</v>
      </c>
      <c r="F2484" s="24">
        <f t="shared" si="806"/>
        <v>0</v>
      </c>
      <c r="G2484" s="24" t="e">
        <f t="shared" si="805"/>
        <v>#DIV/0!</v>
      </c>
      <c r="Q2484" s="29" t="str">
        <f t="shared" si="807"/>
        <v>NA</v>
      </c>
      <c r="R2484" s="29" t="str">
        <f t="shared" si="808"/>
        <v>NA</v>
      </c>
      <c r="S2484" s="29" t="str">
        <f t="shared" si="809"/>
        <v>NA</v>
      </c>
      <c r="T2484" s="29" t="str">
        <f t="shared" si="810"/>
        <v>NA</v>
      </c>
      <c r="U2484" s="29" t="str">
        <f t="shared" si="811"/>
        <v>NA</v>
      </c>
      <c r="V2484" s="29" t="str">
        <f t="shared" si="812"/>
        <v>NA</v>
      </c>
      <c r="W2484" s="29" t="str">
        <f t="shared" si="813"/>
        <v>NA</v>
      </c>
      <c r="X2484" s="29" t="str">
        <f t="shared" si="814"/>
        <v>NA</v>
      </c>
      <c r="Y2484" s="29" t="str">
        <f t="shared" si="815"/>
        <v>NA</v>
      </c>
      <c r="Z2484" s="29" t="str">
        <f t="shared" si="816"/>
        <v>NA</v>
      </c>
      <c r="AA2484" s="29" t="str">
        <f t="shared" si="817"/>
        <v>NA</v>
      </c>
      <c r="AB2484" s="29" t="str">
        <f t="shared" si="818"/>
        <v>NA</v>
      </c>
      <c r="AC2484" s="29" t="str">
        <f t="shared" si="819"/>
        <v>NA</v>
      </c>
      <c r="AD2484" s="29" t="str">
        <f t="shared" si="820"/>
        <v>NA</v>
      </c>
      <c r="AE2484" s="29" t="str">
        <f t="shared" si="821"/>
        <v>NA</v>
      </c>
      <c r="AF2484" s="29" t="str">
        <f t="shared" si="822"/>
        <v>NA</v>
      </c>
      <c r="AG2484" s="29" t="str">
        <f t="shared" si="823"/>
        <v>NA</v>
      </c>
      <c r="AH2484" s="29" t="str">
        <f t="shared" si="824"/>
        <v>NA</v>
      </c>
    </row>
    <row r="2485" customHeight="1" spans="1:34">
      <c r="A2485" s="12" t="s">
        <v>1043</v>
      </c>
      <c r="F2485" s="24">
        <f t="shared" si="806"/>
        <v>0</v>
      </c>
      <c r="G2485" s="24" t="e">
        <f t="shared" si="805"/>
        <v>#DIV/0!</v>
      </c>
      <c r="Q2485" s="29" t="str">
        <f t="shared" si="807"/>
        <v>NA</v>
      </c>
      <c r="R2485" s="29" t="str">
        <f t="shared" si="808"/>
        <v>NA</v>
      </c>
      <c r="S2485" s="29" t="str">
        <f t="shared" si="809"/>
        <v>NA</v>
      </c>
      <c r="T2485" s="29" t="str">
        <f t="shared" si="810"/>
        <v>NA</v>
      </c>
      <c r="U2485" s="29" t="str">
        <f t="shared" si="811"/>
        <v>NA</v>
      </c>
      <c r="V2485" s="29" t="str">
        <f t="shared" si="812"/>
        <v>NA</v>
      </c>
      <c r="W2485" s="29" t="str">
        <f t="shared" si="813"/>
        <v>NA</v>
      </c>
      <c r="X2485" s="29" t="str">
        <f t="shared" si="814"/>
        <v>NA</v>
      </c>
      <c r="Y2485" s="29" t="str">
        <f t="shared" si="815"/>
        <v>NA</v>
      </c>
      <c r="Z2485" s="29" t="str">
        <f t="shared" si="816"/>
        <v>NA</v>
      </c>
      <c r="AA2485" s="29" t="str">
        <f t="shared" si="817"/>
        <v>NA</v>
      </c>
      <c r="AB2485" s="29" t="str">
        <f t="shared" si="818"/>
        <v>NA</v>
      </c>
      <c r="AC2485" s="29" t="str">
        <f t="shared" si="819"/>
        <v>NA</v>
      </c>
      <c r="AD2485" s="29" t="str">
        <f t="shared" si="820"/>
        <v>NA</v>
      </c>
      <c r="AE2485" s="29" t="str">
        <f t="shared" si="821"/>
        <v>NA</v>
      </c>
      <c r="AF2485" s="29" t="str">
        <f t="shared" si="822"/>
        <v>NA</v>
      </c>
      <c r="AG2485" s="29" t="str">
        <f t="shared" si="823"/>
        <v>NA</v>
      </c>
      <c r="AH2485" s="29" t="str">
        <f t="shared" si="824"/>
        <v>NA</v>
      </c>
    </row>
    <row r="2486" customHeight="1" spans="1:34">
      <c r="A2486" s="12" t="s">
        <v>1043</v>
      </c>
      <c r="F2486" s="24">
        <f t="shared" si="806"/>
        <v>0</v>
      </c>
      <c r="G2486" s="24" t="e">
        <f t="shared" si="805"/>
        <v>#DIV/0!</v>
      </c>
      <c r="Q2486" s="29" t="str">
        <f t="shared" si="807"/>
        <v>NA</v>
      </c>
      <c r="R2486" s="29" t="str">
        <f t="shared" si="808"/>
        <v>NA</v>
      </c>
      <c r="S2486" s="29" t="str">
        <f t="shared" si="809"/>
        <v>NA</v>
      </c>
      <c r="T2486" s="29" t="str">
        <f t="shared" si="810"/>
        <v>NA</v>
      </c>
      <c r="U2486" s="29" t="str">
        <f t="shared" si="811"/>
        <v>NA</v>
      </c>
      <c r="V2486" s="29" t="str">
        <f t="shared" si="812"/>
        <v>NA</v>
      </c>
      <c r="W2486" s="29" t="str">
        <f t="shared" si="813"/>
        <v>NA</v>
      </c>
      <c r="X2486" s="29" t="str">
        <f t="shared" si="814"/>
        <v>NA</v>
      </c>
      <c r="Y2486" s="29" t="str">
        <f t="shared" si="815"/>
        <v>NA</v>
      </c>
      <c r="Z2486" s="29" t="str">
        <f t="shared" si="816"/>
        <v>NA</v>
      </c>
      <c r="AA2486" s="29" t="str">
        <f t="shared" si="817"/>
        <v>NA</v>
      </c>
      <c r="AB2486" s="29" t="str">
        <f t="shared" si="818"/>
        <v>NA</v>
      </c>
      <c r="AC2486" s="29" t="str">
        <f t="shared" si="819"/>
        <v>NA</v>
      </c>
      <c r="AD2486" s="29" t="str">
        <f t="shared" si="820"/>
        <v>NA</v>
      </c>
      <c r="AE2486" s="29" t="str">
        <f t="shared" si="821"/>
        <v>NA</v>
      </c>
      <c r="AF2486" s="29" t="str">
        <f t="shared" si="822"/>
        <v>NA</v>
      </c>
      <c r="AG2486" s="29" t="str">
        <f t="shared" si="823"/>
        <v>NA</v>
      </c>
      <c r="AH2486" s="29" t="str">
        <f t="shared" si="824"/>
        <v>NA</v>
      </c>
    </row>
    <row r="2487" customHeight="1" spans="1:34">
      <c r="A2487" s="12" t="s">
        <v>1043</v>
      </c>
      <c r="F2487" s="24">
        <f t="shared" si="806"/>
        <v>0</v>
      </c>
      <c r="G2487" s="24" t="e">
        <f t="shared" si="805"/>
        <v>#DIV/0!</v>
      </c>
      <c r="Q2487" s="29" t="str">
        <f t="shared" si="807"/>
        <v>NA</v>
      </c>
      <c r="R2487" s="29" t="str">
        <f t="shared" si="808"/>
        <v>NA</v>
      </c>
      <c r="S2487" s="29" t="str">
        <f t="shared" si="809"/>
        <v>NA</v>
      </c>
      <c r="T2487" s="29" t="str">
        <f t="shared" si="810"/>
        <v>NA</v>
      </c>
      <c r="U2487" s="29" t="str">
        <f t="shared" si="811"/>
        <v>NA</v>
      </c>
      <c r="V2487" s="29" t="str">
        <f t="shared" si="812"/>
        <v>NA</v>
      </c>
      <c r="W2487" s="29" t="str">
        <f t="shared" si="813"/>
        <v>NA</v>
      </c>
      <c r="X2487" s="29" t="str">
        <f t="shared" si="814"/>
        <v>NA</v>
      </c>
      <c r="Y2487" s="29" t="str">
        <f t="shared" si="815"/>
        <v>NA</v>
      </c>
      <c r="Z2487" s="29" t="str">
        <f t="shared" si="816"/>
        <v>NA</v>
      </c>
      <c r="AA2487" s="29" t="str">
        <f t="shared" si="817"/>
        <v>NA</v>
      </c>
      <c r="AB2487" s="29" t="str">
        <f t="shared" si="818"/>
        <v>NA</v>
      </c>
      <c r="AC2487" s="29" t="str">
        <f t="shared" si="819"/>
        <v>NA</v>
      </c>
      <c r="AD2487" s="29" t="str">
        <f t="shared" si="820"/>
        <v>NA</v>
      </c>
      <c r="AE2487" s="29" t="str">
        <f t="shared" si="821"/>
        <v>NA</v>
      </c>
      <c r="AF2487" s="29" t="str">
        <f t="shared" si="822"/>
        <v>NA</v>
      </c>
      <c r="AG2487" s="29" t="str">
        <f t="shared" si="823"/>
        <v>NA</v>
      </c>
      <c r="AH2487" s="29" t="str">
        <f t="shared" si="824"/>
        <v>NA</v>
      </c>
    </row>
    <row r="2488" customHeight="1" spans="1:34">
      <c r="A2488" s="12" t="s">
        <v>1043</v>
      </c>
      <c r="F2488" s="24">
        <f t="shared" si="806"/>
        <v>0</v>
      </c>
      <c r="G2488" s="24" t="e">
        <f t="shared" si="805"/>
        <v>#DIV/0!</v>
      </c>
      <c r="Q2488" s="29" t="str">
        <f t="shared" si="807"/>
        <v>NA</v>
      </c>
      <c r="R2488" s="29" t="str">
        <f t="shared" si="808"/>
        <v>NA</v>
      </c>
      <c r="S2488" s="29" t="str">
        <f t="shared" si="809"/>
        <v>NA</v>
      </c>
      <c r="T2488" s="29" t="str">
        <f t="shared" si="810"/>
        <v>NA</v>
      </c>
      <c r="U2488" s="29" t="str">
        <f t="shared" si="811"/>
        <v>NA</v>
      </c>
      <c r="V2488" s="29" t="str">
        <f t="shared" si="812"/>
        <v>NA</v>
      </c>
      <c r="W2488" s="29" t="str">
        <f t="shared" si="813"/>
        <v>NA</v>
      </c>
      <c r="X2488" s="29" t="str">
        <f t="shared" si="814"/>
        <v>NA</v>
      </c>
      <c r="Y2488" s="29" t="str">
        <f t="shared" si="815"/>
        <v>NA</v>
      </c>
      <c r="Z2488" s="29" t="str">
        <f t="shared" si="816"/>
        <v>NA</v>
      </c>
      <c r="AA2488" s="29" t="str">
        <f t="shared" si="817"/>
        <v>NA</v>
      </c>
      <c r="AB2488" s="29" t="str">
        <f t="shared" si="818"/>
        <v>NA</v>
      </c>
      <c r="AC2488" s="29" t="str">
        <f t="shared" si="819"/>
        <v>NA</v>
      </c>
      <c r="AD2488" s="29" t="str">
        <f t="shared" si="820"/>
        <v>NA</v>
      </c>
      <c r="AE2488" s="29" t="str">
        <f t="shared" si="821"/>
        <v>NA</v>
      </c>
      <c r="AF2488" s="29" t="str">
        <f t="shared" si="822"/>
        <v>NA</v>
      </c>
      <c r="AG2488" s="29" t="str">
        <f t="shared" si="823"/>
        <v>NA</v>
      </c>
      <c r="AH2488" s="29" t="str">
        <f t="shared" si="824"/>
        <v>NA</v>
      </c>
    </row>
    <row r="2489" customHeight="1" spans="1:34">
      <c r="A2489" s="12" t="s">
        <v>1043</v>
      </c>
      <c r="F2489" s="24">
        <f t="shared" si="806"/>
        <v>0</v>
      </c>
      <c r="G2489" s="24" t="e">
        <f t="shared" si="805"/>
        <v>#DIV/0!</v>
      </c>
      <c r="Q2489" s="29" t="str">
        <f t="shared" si="807"/>
        <v>NA</v>
      </c>
      <c r="R2489" s="29" t="str">
        <f t="shared" si="808"/>
        <v>NA</v>
      </c>
      <c r="S2489" s="29" t="str">
        <f t="shared" si="809"/>
        <v>NA</v>
      </c>
      <c r="T2489" s="29" t="str">
        <f t="shared" si="810"/>
        <v>NA</v>
      </c>
      <c r="U2489" s="29" t="str">
        <f t="shared" si="811"/>
        <v>NA</v>
      </c>
      <c r="V2489" s="29" t="str">
        <f t="shared" si="812"/>
        <v>NA</v>
      </c>
      <c r="W2489" s="29" t="str">
        <f t="shared" si="813"/>
        <v>NA</v>
      </c>
      <c r="X2489" s="29" t="str">
        <f t="shared" si="814"/>
        <v>NA</v>
      </c>
      <c r="Y2489" s="29" t="str">
        <f t="shared" si="815"/>
        <v>NA</v>
      </c>
      <c r="Z2489" s="29" t="str">
        <f t="shared" si="816"/>
        <v>NA</v>
      </c>
      <c r="AA2489" s="29" t="str">
        <f t="shared" si="817"/>
        <v>NA</v>
      </c>
      <c r="AB2489" s="29" t="str">
        <f t="shared" si="818"/>
        <v>NA</v>
      </c>
      <c r="AC2489" s="29" t="str">
        <f t="shared" si="819"/>
        <v>NA</v>
      </c>
      <c r="AD2489" s="29" t="str">
        <f t="shared" si="820"/>
        <v>NA</v>
      </c>
      <c r="AE2489" s="29" t="str">
        <f t="shared" si="821"/>
        <v>NA</v>
      </c>
      <c r="AF2489" s="29" t="str">
        <f t="shared" si="822"/>
        <v>NA</v>
      </c>
      <c r="AG2489" s="29" t="str">
        <f t="shared" si="823"/>
        <v>NA</v>
      </c>
      <c r="AH2489" s="29" t="str">
        <f t="shared" si="824"/>
        <v>NA</v>
      </c>
    </row>
    <row r="2490" customHeight="1" spans="1:34">
      <c r="A2490" s="12" t="s">
        <v>1043</v>
      </c>
      <c r="F2490" s="24">
        <f t="shared" si="806"/>
        <v>0</v>
      </c>
      <c r="G2490" s="24" t="e">
        <f t="shared" si="805"/>
        <v>#DIV/0!</v>
      </c>
      <c r="Q2490" s="29" t="str">
        <f t="shared" si="807"/>
        <v>NA</v>
      </c>
      <c r="R2490" s="29" t="str">
        <f t="shared" si="808"/>
        <v>NA</v>
      </c>
      <c r="S2490" s="29" t="str">
        <f t="shared" si="809"/>
        <v>NA</v>
      </c>
      <c r="T2490" s="29" t="str">
        <f t="shared" si="810"/>
        <v>NA</v>
      </c>
      <c r="U2490" s="29" t="str">
        <f t="shared" si="811"/>
        <v>NA</v>
      </c>
      <c r="V2490" s="29" t="str">
        <f t="shared" si="812"/>
        <v>NA</v>
      </c>
      <c r="W2490" s="29" t="str">
        <f t="shared" si="813"/>
        <v>NA</v>
      </c>
      <c r="X2490" s="29" t="str">
        <f t="shared" si="814"/>
        <v>NA</v>
      </c>
      <c r="Y2490" s="29" t="str">
        <f t="shared" si="815"/>
        <v>NA</v>
      </c>
      <c r="Z2490" s="29" t="str">
        <f t="shared" si="816"/>
        <v>NA</v>
      </c>
      <c r="AA2490" s="29" t="str">
        <f t="shared" si="817"/>
        <v>NA</v>
      </c>
      <c r="AB2490" s="29" t="str">
        <f t="shared" si="818"/>
        <v>NA</v>
      </c>
      <c r="AC2490" s="29" t="str">
        <f t="shared" si="819"/>
        <v>NA</v>
      </c>
      <c r="AD2490" s="29" t="str">
        <f t="shared" si="820"/>
        <v>NA</v>
      </c>
      <c r="AE2490" s="29" t="str">
        <f t="shared" si="821"/>
        <v>NA</v>
      </c>
      <c r="AF2490" s="29" t="str">
        <f t="shared" si="822"/>
        <v>NA</v>
      </c>
      <c r="AG2490" s="29" t="str">
        <f t="shared" si="823"/>
        <v>NA</v>
      </c>
      <c r="AH2490" s="29" t="str">
        <f t="shared" si="824"/>
        <v>NA</v>
      </c>
    </row>
    <row r="2491" customHeight="1" spans="1:34">
      <c r="A2491" s="12" t="s">
        <v>1043</v>
      </c>
      <c r="F2491" s="24">
        <f t="shared" si="806"/>
        <v>0</v>
      </c>
      <c r="G2491" s="24" t="e">
        <f t="shared" si="805"/>
        <v>#DIV/0!</v>
      </c>
      <c r="Q2491" s="29" t="str">
        <f t="shared" si="807"/>
        <v>NA</v>
      </c>
      <c r="R2491" s="29" t="str">
        <f t="shared" si="808"/>
        <v>NA</v>
      </c>
      <c r="S2491" s="29" t="str">
        <f t="shared" si="809"/>
        <v>NA</v>
      </c>
      <c r="T2491" s="29" t="str">
        <f t="shared" si="810"/>
        <v>NA</v>
      </c>
      <c r="U2491" s="29" t="str">
        <f t="shared" si="811"/>
        <v>NA</v>
      </c>
      <c r="V2491" s="29" t="str">
        <f t="shared" si="812"/>
        <v>NA</v>
      </c>
      <c r="W2491" s="29" t="str">
        <f t="shared" si="813"/>
        <v>NA</v>
      </c>
      <c r="X2491" s="29" t="str">
        <f t="shared" si="814"/>
        <v>NA</v>
      </c>
      <c r="Y2491" s="29" t="str">
        <f t="shared" si="815"/>
        <v>NA</v>
      </c>
      <c r="Z2491" s="29" t="str">
        <f t="shared" si="816"/>
        <v>NA</v>
      </c>
      <c r="AA2491" s="29" t="str">
        <f t="shared" si="817"/>
        <v>NA</v>
      </c>
      <c r="AB2491" s="29" t="str">
        <f t="shared" si="818"/>
        <v>NA</v>
      </c>
      <c r="AC2491" s="29" t="str">
        <f t="shared" si="819"/>
        <v>NA</v>
      </c>
      <c r="AD2491" s="29" t="str">
        <f t="shared" si="820"/>
        <v>NA</v>
      </c>
      <c r="AE2491" s="29" t="str">
        <f t="shared" si="821"/>
        <v>NA</v>
      </c>
      <c r="AF2491" s="29" t="str">
        <f t="shared" si="822"/>
        <v>NA</v>
      </c>
      <c r="AG2491" s="29" t="str">
        <f t="shared" si="823"/>
        <v>NA</v>
      </c>
      <c r="AH2491" s="29" t="str">
        <f t="shared" si="824"/>
        <v>NA</v>
      </c>
    </row>
    <row r="2492" customHeight="1" spans="1:34">
      <c r="A2492" s="12" t="s">
        <v>1043</v>
      </c>
      <c r="F2492" s="24">
        <f t="shared" si="806"/>
        <v>0</v>
      </c>
      <c r="G2492" s="24" t="e">
        <f t="shared" si="805"/>
        <v>#DIV/0!</v>
      </c>
      <c r="Q2492" s="29" t="str">
        <f t="shared" si="807"/>
        <v>NA</v>
      </c>
      <c r="R2492" s="29" t="str">
        <f t="shared" si="808"/>
        <v>NA</v>
      </c>
      <c r="S2492" s="29" t="str">
        <f t="shared" si="809"/>
        <v>NA</v>
      </c>
      <c r="T2492" s="29" t="str">
        <f t="shared" si="810"/>
        <v>NA</v>
      </c>
      <c r="U2492" s="29" t="str">
        <f t="shared" si="811"/>
        <v>NA</v>
      </c>
      <c r="V2492" s="29" t="str">
        <f t="shared" si="812"/>
        <v>NA</v>
      </c>
      <c r="W2492" s="29" t="str">
        <f t="shared" si="813"/>
        <v>NA</v>
      </c>
      <c r="X2492" s="29" t="str">
        <f t="shared" si="814"/>
        <v>NA</v>
      </c>
      <c r="Y2492" s="29" t="str">
        <f t="shared" si="815"/>
        <v>NA</v>
      </c>
      <c r="Z2492" s="29" t="str">
        <f t="shared" si="816"/>
        <v>NA</v>
      </c>
      <c r="AA2492" s="29" t="str">
        <f t="shared" si="817"/>
        <v>NA</v>
      </c>
      <c r="AB2492" s="29" t="str">
        <f t="shared" si="818"/>
        <v>NA</v>
      </c>
      <c r="AC2492" s="29" t="str">
        <f t="shared" si="819"/>
        <v>NA</v>
      </c>
      <c r="AD2492" s="29" t="str">
        <f t="shared" si="820"/>
        <v>NA</v>
      </c>
      <c r="AE2492" s="29" t="str">
        <f t="shared" si="821"/>
        <v>NA</v>
      </c>
      <c r="AF2492" s="29" t="str">
        <f t="shared" si="822"/>
        <v>NA</v>
      </c>
      <c r="AG2492" s="29" t="str">
        <f t="shared" si="823"/>
        <v>NA</v>
      </c>
      <c r="AH2492" s="29" t="str">
        <f t="shared" si="824"/>
        <v>NA</v>
      </c>
    </row>
    <row r="2493" customHeight="1" spans="1:34">
      <c r="A2493" s="12" t="s">
        <v>1043</v>
      </c>
      <c r="F2493" s="24">
        <f t="shared" si="806"/>
        <v>0</v>
      </c>
      <c r="G2493" s="24" t="e">
        <f t="shared" si="805"/>
        <v>#DIV/0!</v>
      </c>
      <c r="Q2493" s="29" t="str">
        <f t="shared" si="807"/>
        <v>NA</v>
      </c>
      <c r="R2493" s="29" t="str">
        <f t="shared" si="808"/>
        <v>NA</v>
      </c>
      <c r="S2493" s="29" t="str">
        <f t="shared" si="809"/>
        <v>NA</v>
      </c>
      <c r="T2493" s="29" t="str">
        <f t="shared" si="810"/>
        <v>NA</v>
      </c>
      <c r="U2493" s="29" t="str">
        <f t="shared" si="811"/>
        <v>NA</v>
      </c>
      <c r="V2493" s="29" t="str">
        <f t="shared" si="812"/>
        <v>NA</v>
      </c>
      <c r="W2493" s="29" t="str">
        <f t="shared" si="813"/>
        <v>NA</v>
      </c>
      <c r="X2493" s="29" t="str">
        <f t="shared" si="814"/>
        <v>NA</v>
      </c>
      <c r="Y2493" s="29" t="str">
        <f t="shared" si="815"/>
        <v>NA</v>
      </c>
      <c r="Z2493" s="29" t="str">
        <f t="shared" si="816"/>
        <v>NA</v>
      </c>
      <c r="AA2493" s="29" t="str">
        <f t="shared" si="817"/>
        <v>NA</v>
      </c>
      <c r="AB2493" s="29" t="str">
        <f t="shared" si="818"/>
        <v>NA</v>
      </c>
      <c r="AC2493" s="29" t="str">
        <f t="shared" si="819"/>
        <v>NA</v>
      </c>
      <c r="AD2493" s="29" t="str">
        <f t="shared" si="820"/>
        <v>NA</v>
      </c>
      <c r="AE2493" s="29" t="str">
        <f t="shared" si="821"/>
        <v>NA</v>
      </c>
      <c r="AF2493" s="29" t="str">
        <f t="shared" si="822"/>
        <v>NA</v>
      </c>
      <c r="AG2493" s="29" t="str">
        <f t="shared" si="823"/>
        <v>NA</v>
      </c>
      <c r="AH2493" s="29" t="str">
        <f t="shared" si="824"/>
        <v>NA</v>
      </c>
    </row>
    <row r="2494" customHeight="1" spans="1:34">
      <c r="A2494" s="12" t="s">
        <v>1043</v>
      </c>
      <c r="F2494" s="24">
        <f t="shared" si="806"/>
        <v>0</v>
      </c>
      <c r="G2494" s="24" t="e">
        <f t="shared" si="805"/>
        <v>#DIV/0!</v>
      </c>
      <c r="Q2494" s="29" t="str">
        <f t="shared" si="807"/>
        <v>NA</v>
      </c>
      <c r="R2494" s="29" t="str">
        <f t="shared" si="808"/>
        <v>NA</v>
      </c>
      <c r="S2494" s="29" t="str">
        <f t="shared" si="809"/>
        <v>NA</v>
      </c>
      <c r="T2494" s="29" t="str">
        <f t="shared" si="810"/>
        <v>NA</v>
      </c>
      <c r="U2494" s="29" t="str">
        <f t="shared" si="811"/>
        <v>NA</v>
      </c>
      <c r="V2494" s="29" t="str">
        <f t="shared" si="812"/>
        <v>NA</v>
      </c>
      <c r="W2494" s="29" t="str">
        <f t="shared" si="813"/>
        <v>NA</v>
      </c>
      <c r="X2494" s="29" t="str">
        <f t="shared" si="814"/>
        <v>NA</v>
      </c>
      <c r="Y2494" s="29" t="str">
        <f t="shared" si="815"/>
        <v>NA</v>
      </c>
      <c r="Z2494" s="29" t="str">
        <f t="shared" si="816"/>
        <v>NA</v>
      </c>
      <c r="AA2494" s="29" t="str">
        <f t="shared" si="817"/>
        <v>NA</v>
      </c>
      <c r="AB2494" s="29" t="str">
        <f t="shared" si="818"/>
        <v>NA</v>
      </c>
      <c r="AC2494" s="29" t="str">
        <f t="shared" si="819"/>
        <v>NA</v>
      </c>
      <c r="AD2494" s="29" t="str">
        <f t="shared" si="820"/>
        <v>NA</v>
      </c>
      <c r="AE2494" s="29" t="str">
        <f t="shared" si="821"/>
        <v>NA</v>
      </c>
      <c r="AF2494" s="29" t="str">
        <f t="shared" si="822"/>
        <v>NA</v>
      </c>
      <c r="AG2494" s="29" t="str">
        <f t="shared" si="823"/>
        <v>NA</v>
      </c>
      <c r="AH2494" s="29" t="str">
        <f t="shared" si="824"/>
        <v>NA</v>
      </c>
    </row>
    <row r="2495" customHeight="1" spans="1:34">
      <c r="A2495" s="12" t="s">
        <v>1043</v>
      </c>
      <c r="F2495" s="24">
        <f t="shared" si="806"/>
        <v>0</v>
      </c>
      <c r="G2495" s="24" t="e">
        <f t="shared" si="805"/>
        <v>#DIV/0!</v>
      </c>
      <c r="Q2495" s="29" t="str">
        <f t="shared" si="807"/>
        <v>NA</v>
      </c>
      <c r="R2495" s="29" t="str">
        <f t="shared" si="808"/>
        <v>NA</v>
      </c>
      <c r="S2495" s="29" t="str">
        <f t="shared" si="809"/>
        <v>NA</v>
      </c>
      <c r="T2495" s="29" t="str">
        <f t="shared" si="810"/>
        <v>NA</v>
      </c>
      <c r="U2495" s="29" t="str">
        <f t="shared" si="811"/>
        <v>NA</v>
      </c>
      <c r="V2495" s="29" t="str">
        <f t="shared" si="812"/>
        <v>NA</v>
      </c>
      <c r="W2495" s="29" t="str">
        <f t="shared" si="813"/>
        <v>NA</v>
      </c>
      <c r="X2495" s="29" t="str">
        <f t="shared" si="814"/>
        <v>NA</v>
      </c>
      <c r="Y2495" s="29" t="str">
        <f t="shared" si="815"/>
        <v>NA</v>
      </c>
      <c r="Z2495" s="29" t="str">
        <f t="shared" si="816"/>
        <v>NA</v>
      </c>
      <c r="AA2495" s="29" t="str">
        <f t="shared" si="817"/>
        <v>NA</v>
      </c>
      <c r="AB2495" s="29" t="str">
        <f t="shared" si="818"/>
        <v>NA</v>
      </c>
      <c r="AC2495" s="29" t="str">
        <f t="shared" si="819"/>
        <v>NA</v>
      </c>
      <c r="AD2495" s="29" t="str">
        <f t="shared" si="820"/>
        <v>NA</v>
      </c>
      <c r="AE2495" s="29" t="str">
        <f t="shared" si="821"/>
        <v>NA</v>
      </c>
      <c r="AF2495" s="29" t="str">
        <f t="shared" si="822"/>
        <v>NA</v>
      </c>
      <c r="AG2495" s="29" t="str">
        <f t="shared" si="823"/>
        <v>NA</v>
      </c>
      <c r="AH2495" s="29" t="str">
        <f t="shared" si="824"/>
        <v>NA</v>
      </c>
    </row>
    <row r="2496" customHeight="1" spans="1:34">
      <c r="A2496" s="12" t="s">
        <v>1043</v>
      </c>
      <c r="F2496" s="24">
        <f t="shared" si="806"/>
        <v>0</v>
      </c>
      <c r="G2496" s="24" t="e">
        <f t="shared" si="805"/>
        <v>#DIV/0!</v>
      </c>
      <c r="Q2496" s="29" t="str">
        <f t="shared" si="807"/>
        <v>NA</v>
      </c>
      <c r="R2496" s="29" t="str">
        <f t="shared" si="808"/>
        <v>NA</v>
      </c>
      <c r="S2496" s="29" t="str">
        <f t="shared" si="809"/>
        <v>NA</v>
      </c>
      <c r="T2496" s="29" t="str">
        <f t="shared" si="810"/>
        <v>NA</v>
      </c>
      <c r="U2496" s="29" t="str">
        <f t="shared" si="811"/>
        <v>NA</v>
      </c>
      <c r="V2496" s="29" t="str">
        <f t="shared" si="812"/>
        <v>NA</v>
      </c>
      <c r="W2496" s="29" t="str">
        <f t="shared" si="813"/>
        <v>NA</v>
      </c>
      <c r="X2496" s="29" t="str">
        <f t="shared" si="814"/>
        <v>NA</v>
      </c>
      <c r="Y2496" s="29" t="str">
        <f t="shared" si="815"/>
        <v>NA</v>
      </c>
      <c r="Z2496" s="29" t="str">
        <f t="shared" si="816"/>
        <v>NA</v>
      </c>
      <c r="AA2496" s="29" t="str">
        <f t="shared" si="817"/>
        <v>NA</v>
      </c>
      <c r="AB2496" s="29" t="str">
        <f t="shared" si="818"/>
        <v>NA</v>
      </c>
      <c r="AC2496" s="29" t="str">
        <f t="shared" si="819"/>
        <v>NA</v>
      </c>
      <c r="AD2496" s="29" t="str">
        <f t="shared" si="820"/>
        <v>NA</v>
      </c>
      <c r="AE2496" s="29" t="str">
        <f t="shared" si="821"/>
        <v>NA</v>
      </c>
      <c r="AF2496" s="29" t="str">
        <f t="shared" si="822"/>
        <v>NA</v>
      </c>
      <c r="AG2496" s="29" t="str">
        <f t="shared" si="823"/>
        <v>NA</v>
      </c>
      <c r="AH2496" s="29" t="str">
        <f t="shared" si="824"/>
        <v>NA</v>
      </c>
    </row>
    <row r="2497" customHeight="1" spans="1:34">
      <c r="A2497" s="12" t="s">
        <v>1043</v>
      </c>
      <c r="F2497" s="24">
        <f t="shared" si="806"/>
        <v>0</v>
      </c>
      <c r="G2497" s="24" t="e">
        <f t="shared" si="805"/>
        <v>#DIV/0!</v>
      </c>
      <c r="Q2497" s="29" t="str">
        <f t="shared" si="807"/>
        <v>NA</v>
      </c>
      <c r="R2497" s="29" t="str">
        <f t="shared" si="808"/>
        <v>NA</v>
      </c>
      <c r="S2497" s="29" t="str">
        <f t="shared" si="809"/>
        <v>NA</v>
      </c>
      <c r="T2497" s="29" t="str">
        <f t="shared" si="810"/>
        <v>NA</v>
      </c>
      <c r="U2497" s="29" t="str">
        <f t="shared" si="811"/>
        <v>NA</v>
      </c>
      <c r="V2497" s="29" t="str">
        <f t="shared" si="812"/>
        <v>NA</v>
      </c>
      <c r="W2497" s="29" t="str">
        <f t="shared" si="813"/>
        <v>NA</v>
      </c>
      <c r="X2497" s="29" t="str">
        <f t="shared" si="814"/>
        <v>NA</v>
      </c>
      <c r="Y2497" s="29" t="str">
        <f t="shared" si="815"/>
        <v>NA</v>
      </c>
      <c r="Z2497" s="29" t="str">
        <f t="shared" si="816"/>
        <v>NA</v>
      </c>
      <c r="AA2497" s="29" t="str">
        <f t="shared" si="817"/>
        <v>NA</v>
      </c>
      <c r="AB2497" s="29" t="str">
        <f t="shared" si="818"/>
        <v>NA</v>
      </c>
      <c r="AC2497" s="29" t="str">
        <f t="shared" si="819"/>
        <v>NA</v>
      </c>
      <c r="AD2497" s="29" t="str">
        <f t="shared" si="820"/>
        <v>NA</v>
      </c>
      <c r="AE2497" s="29" t="str">
        <f t="shared" si="821"/>
        <v>NA</v>
      </c>
      <c r="AF2497" s="29" t="str">
        <f t="shared" si="822"/>
        <v>NA</v>
      </c>
      <c r="AG2497" s="29" t="str">
        <f t="shared" si="823"/>
        <v>NA</v>
      </c>
      <c r="AH2497" s="29" t="str">
        <f t="shared" si="824"/>
        <v>NA</v>
      </c>
    </row>
    <row r="2498" customHeight="1" spans="1:34">
      <c r="A2498" s="12" t="s">
        <v>1043</v>
      </c>
      <c r="F2498" s="24">
        <f t="shared" si="806"/>
        <v>0</v>
      </c>
      <c r="G2498" s="24" t="e">
        <f t="shared" si="805"/>
        <v>#DIV/0!</v>
      </c>
      <c r="Q2498" s="29" t="str">
        <f t="shared" si="807"/>
        <v>NA</v>
      </c>
      <c r="R2498" s="29" t="str">
        <f t="shared" si="808"/>
        <v>NA</v>
      </c>
      <c r="S2498" s="29" t="str">
        <f t="shared" si="809"/>
        <v>NA</v>
      </c>
      <c r="T2498" s="29" t="str">
        <f t="shared" si="810"/>
        <v>NA</v>
      </c>
      <c r="U2498" s="29" t="str">
        <f t="shared" si="811"/>
        <v>NA</v>
      </c>
      <c r="V2498" s="29" t="str">
        <f t="shared" si="812"/>
        <v>NA</v>
      </c>
      <c r="W2498" s="29" t="str">
        <f t="shared" si="813"/>
        <v>NA</v>
      </c>
      <c r="X2498" s="29" t="str">
        <f t="shared" si="814"/>
        <v>NA</v>
      </c>
      <c r="Y2498" s="29" t="str">
        <f t="shared" si="815"/>
        <v>NA</v>
      </c>
      <c r="Z2498" s="29" t="str">
        <f t="shared" si="816"/>
        <v>NA</v>
      </c>
      <c r="AA2498" s="29" t="str">
        <f t="shared" si="817"/>
        <v>NA</v>
      </c>
      <c r="AB2498" s="29" t="str">
        <f t="shared" si="818"/>
        <v>NA</v>
      </c>
      <c r="AC2498" s="29" t="str">
        <f t="shared" si="819"/>
        <v>NA</v>
      </c>
      <c r="AD2498" s="29" t="str">
        <f t="shared" si="820"/>
        <v>NA</v>
      </c>
      <c r="AE2498" s="29" t="str">
        <f t="shared" si="821"/>
        <v>NA</v>
      </c>
      <c r="AF2498" s="29" t="str">
        <f t="shared" si="822"/>
        <v>NA</v>
      </c>
      <c r="AG2498" s="29" t="str">
        <f t="shared" si="823"/>
        <v>NA</v>
      </c>
      <c r="AH2498" s="29" t="str">
        <f t="shared" si="824"/>
        <v>NA</v>
      </c>
    </row>
    <row r="2499" customHeight="1" spans="1:34">
      <c r="A2499" s="12" t="s">
        <v>1043</v>
      </c>
      <c r="F2499" s="24">
        <f t="shared" si="806"/>
        <v>0</v>
      </c>
      <c r="G2499" s="24" t="e">
        <f t="shared" si="805"/>
        <v>#DIV/0!</v>
      </c>
      <c r="Q2499" s="29" t="str">
        <f t="shared" si="807"/>
        <v>NA</v>
      </c>
      <c r="R2499" s="29" t="str">
        <f t="shared" si="808"/>
        <v>NA</v>
      </c>
      <c r="S2499" s="29" t="str">
        <f t="shared" si="809"/>
        <v>NA</v>
      </c>
      <c r="T2499" s="29" t="str">
        <f t="shared" si="810"/>
        <v>NA</v>
      </c>
      <c r="U2499" s="29" t="str">
        <f t="shared" si="811"/>
        <v>NA</v>
      </c>
      <c r="V2499" s="29" t="str">
        <f t="shared" si="812"/>
        <v>NA</v>
      </c>
      <c r="W2499" s="29" t="str">
        <f t="shared" si="813"/>
        <v>NA</v>
      </c>
      <c r="X2499" s="29" t="str">
        <f t="shared" si="814"/>
        <v>NA</v>
      </c>
      <c r="Y2499" s="29" t="str">
        <f t="shared" si="815"/>
        <v>NA</v>
      </c>
      <c r="Z2499" s="29" t="str">
        <f t="shared" si="816"/>
        <v>NA</v>
      </c>
      <c r="AA2499" s="29" t="str">
        <f t="shared" si="817"/>
        <v>NA</v>
      </c>
      <c r="AB2499" s="29" t="str">
        <f t="shared" si="818"/>
        <v>NA</v>
      </c>
      <c r="AC2499" s="29" t="str">
        <f t="shared" si="819"/>
        <v>NA</v>
      </c>
      <c r="AD2499" s="29" t="str">
        <f t="shared" si="820"/>
        <v>NA</v>
      </c>
      <c r="AE2499" s="29" t="str">
        <f t="shared" si="821"/>
        <v>NA</v>
      </c>
      <c r="AF2499" s="29" t="str">
        <f t="shared" si="822"/>
        <v>NA</v>
      </c>
      <c r="AG2499" s="29" t="str">
        <f t="shared" si="823"/>
        <v>NA</v>
      </c>
      <c r="AH2499" s="29" t="str">
        <f t="shared" si="824"/>
        <v>NA</v>
      </c>
    </row>
    <row r="2500" customHeight="1" spans="1:34">
      <c r="A2500" s="12" t="s">
        <v>1043</v>
      </c>
      <c r="F2500" s="24">
        <f t="shared" si="806"/>
        <v>0</v>
      </c>
      <c r="G2500" s="24" t="e">
        <f t="shared" si="805"/>
        <v>#DIV/0!</v>
      </c>
      <c r="Q2500" s="29" t="str">
        <f t="shared" si="807"/>
        <v>NA</v>
      </c>
      <c r="R2500" s="29" t="str">
        <f t="shared" si="808"/>
        <v>NA</v>
      </c>
      <c r="S2500" s="29" t="str">
        <f t="shared" si="809"/>
        <v>NA</v>
      </c>
      <c r="T2500" s="29" t="str">
        <f t="shared" si="810"/>
        <v>NA</v>
      </c>
      <c r="U2500" s="29" t="str">
        <f t="shared" si="811"/>
        <v>NA</v>
      </c>
      <c r="V2500" s="29" t="str">
        <f t="shared" si="812"/>
        <v>NA</v>
      </c>
      <c r="W2500" s="29" t="str">
        <f t="shared" si="813"/>
        <v>NA</v>
      </c>
      <c r="X2500" s="29" t="str">
        <f t="shared" si="814"/>
        <v>NA</v>
      </c>
      <c r="Y2500" s="29" t="str">
        <f t="shared" si="815"/>
        <v>NA</v>
      </c>
      <c r="Z2500" s="29" t="str">
        <f t="shared" si="816"/>
        <v>NA</v>
      </c>
      <c r="AA2500" s="29" t="str">
        <f t="shared" si="817"/>
        <v>NA</v>
      </c>
      <c r="AB2500" s="29" t="str">
        <f t="shared" si="818"/>
        <v>NA</v>
      </c>
      <c r="AC2500" s="29" t="str">
        <f t="shared" si="819"/>
        <v>NA</v>
      </c>
      <c r="AD2500" s="29" t="str">
        <f t="shared" si="820"/>
        <v>NA</v>
      </c>
      <c r="AE2500" s="29" t="str">
        <f t="shared" si="821"/>
        <v>NA</v>
      </c>
      <c r="AF2500" s="29" t="str">
        <f t="shared" si="822"/>
        <v>NA</v>
      </c>
      <c r="AG2500" s="29" t="str">
        <f t="shared" si="823"/>
        <v>NA</v>
      </c>
      <c r="AH2500" s="29" t="str">
        <f t="shared" si="824"/>
        <v>NA</v>
      </c>
    </row>
    <row r="2501" customHeight="1" spans="1:34">
      <c r="A2501" s="12" t="s">
        <v>1043</v>
      </c>
      <c r="F2501" s="24">
        <f t="shared" si="806"/>
        <v>0</v>
      </c>
      <c r="G2501" s="24" t="e">
        <f t="shared" ref="G2501:G2564" si="825">B2501*D2501/C2501</f>
        <v>#DIV/0!</v>
      </c>
      <c r="Q2501" s="29" t="str">
        <f t="shared" si="807"/>
        <v>NA</v>
      </c>
      <c r="R2501" s="29" t="str">
        <f t="shared" si="808"/>
        <v>NA</v>
      </c>
      <c r="S2501" s="29" t="str">
        <f t="shared" si="809"/>
        <v>NA</v>
      </c>
      <c r="T2501" s="29" t="str">
        <f t="shared" si="810"/>
        <v>NA</v>
      </c>
      <c r="U2501" s="29" t="str">
        <f t="shared" si="811"/>
        <v>NA</v>
      </c>
      <c r="V2501" s="29" t="str">
        <f t="shared" si="812"/>
        <v>NA</v>
      </c>
      <c r="W2501" s="29" t="str">
        <f t="shared" si="813"/>
        <v>NA</v>
      </c>
      <c r="X2501" s="29" t="str">
        <f t="shared" si="814"/>
        <v>NA</v>
      </c>
      <c r="Y2501" s="29" t="str">
        <f t="shared" si="815"/>
        <v>NA</v>
      </c>
      <c r="Z2501" s="29" t="str">
        <f t="shared" si="816"/>
        <v>NA</v>
      </c>
      <c r="AA2501" s="29" t="str">
        <f t="shared" si="817"/>
        <v>NA</v>
      </c>
      <c r="AB2501" s="29" t="str">
        <f t="shared" si="818"/>
        <v>NA</v>
      </c>
      <c r="AC2501" s="29" t="str">
        <f t="shared" si="819"/>
        <v>NA</v>
      </c>
      <c r="AD2501" s="29" t="str">
        <f t="shared" si="820"/>
        <v>NA</v>
      </c>
      <c r="AE2501" s="29" t="str">
        <f t="shared" si="821"/>
        <v>NA</v>
      </c>
      <c r="AF2501" s="29" t="str">
        <f t="shared" si="822"/>
        <v>NA</v>
      </c>
      <c r="AG2501" s="29" t="str">
        <f t="shared" si="823"/>
        <v>NA</v>
      </c>
      <c r="AH2501" s="29" t="str">
        <f t="shared" si="824"/>
        <v>NA</v>
      </c>
    </row>
    <row r="2502" customHeight="1" spans="1:34">
      <c r="A2502" s="12" t="s">
        <v>1043</v>
      </c>
      <c r="F2502" s="24">
        <f t="shared" ref="F2502:F2565" si="826">+D2502+E2502</f>
        <v>0</v>
      </c>
      <c r="G2502" s="24" t="e">
        <f t="shared" si="825"/>
        <v>#DIV/0!</v>
      </c>
      <c r="Q2502" s="29" t="str">
        <f t="shared" si="807"/>
        <v>NA</v>
      </c>
      <c r="R2502" s="29" t="str">
        <f t="shared" si="808"/>
        <v>NA</v>
      </c>
      <c r="S2502" s="29" t="str">
        <f t="shared" si="809"/>
        <v>NA</v>
      </c>
      <c r="T2502" s="29" t="str">
        <f t="shared" si="810"/>
        <v>NA</v>
      </c>
      <c r="U2502" s="29" t="str">
        <f t="shared" si="811"/>
        <v>NA</v>
      </c>
      <c r="V2502" s="29" t="str">
        <f t="shared" si="812"/>
        <v>NA</v>
      </c>
      <c r="W2502" s="29" t="str">
        <f t="shared" si="813"/>
        <v>NA</v>
      </c>
      <c r="X2502" s="29" t="str">
        <f t="shared" si="814"/>
        <v>NA</v>
      </c>
      <c r="Y2502" s="29" t="str">
        <f t="shared" si="815"/>
        <v>NA</v>
      </c>
      <c r="Z2502" s="29" t="str">
        <f t="shared" si="816"/>
        <v>NA</v>
      </c>
      <c r="AA2502" s="29" t="str">
        <f t="shared" si="817"/>
        <v>NA</v>
      </c>
      <c r="AB2502" s="29" t="str">
        <f t="shared" si="818"/>
        <v>NA</v>
      </c>
      <c r="AC2502" s="29" t="str">
        <f t="shared" si="819"/>
        <v>NA</v>
      </c>
      <c r="AD2502" s="29" t="str">
        <f t="shared" si="820"/>
        <v>NA</v>
      </c>
      <c r="AE2502" s="29" t="str">
        <f t="shared" si="821"/>
        <v>NA</v>
      </c>
      <c r="AF2502" s="29" t="str">
        <f t="shared" si="822"/>
        <v>NA</v>
      </c>
      <c r="AG2502" s="29" t="str">
        <f t="shared" si="823"/>
        <v>NA</v>
      </c>
      <c r="AH2502" s="29" t="str">
        <f t="shared" si="824"/>
        <v>NA</v>
      </c>
    </row>
    <row r="2503" customHeight="1" spans="1:34">
      <c r="A2503" s="12" t="s">
        <v>1043</v>
      </c>
      <c r="F2503" s="24">
        <f t="shared" si="826"/>
        <v>0</v>
      </c>
      <c r="G2503" s="24" t="e">
        <f t="shared" si="825"/>
        <v>#DIV/0!</v>
      </c>
      <c r="Q2503" s="29" t="str">
        <f t="shared" si="807"/>
        <v>NA</v>
      </c>
      <c r="R2503" s="29" t="str">
        <f t="shared" si="808"/>
        <v>NA</v>
      </c>
      <c r="S2503" s="29" t="str">
        <f t="shared" si="809"/>
        <v>NA</v>
      </c>
      <c r="T2503" s="29" t="str">
        <f t="shared" si="810"/>
        <v>NA</v>
      </c>
      <c r="U2503" s="29" t="str">
        <f t="shared" si="811"/>
        <v>NA</v>
      </c>
      <c r="V2503" s="29" t="str">
        <f t="shared" si="812"/>
        <v>NA</v>
      </c>
      <c r="W2503" s="29" t="str">
        <f t="shared" si="813"/>
        <v>NA</v>
      </c>
      <c r="X2503" s="29" t="str">
        <f t="shared" si="814"/>
        <v>NA</v>
      </c>
      <c r="Y2503" s="29" t="str">
        <f t="shared" si="815"/>
        <v>NA</v>
      </c>
      <c r="Z2503" s="29" t="str">
        <f t="shared" si="816"/>
        <v>NA</v>
      </c>
      <c r="AA2503" s="29" t="str">
        <f t="shared" si="817"/>
        <v>NA</v>
      </c>
      <c r="AB2503" s="29" t="str">
        <f t="shared" si="818"/>
        <v>NA</v>
      </c>
      <c r="AC2503" s="29" t="str">
        <f t="shared" si="819"/>
        <v>NA</v>
      </c>
      <c r="AD2503" s="29" t="str">
        <f t="shared" si="820"/>
        <v>NA</v>
      </c>
      <c r="AE2503" s="29" t="str">
        <f t="shared" si="821"/>
        <v>NA</v>
      </c>
      <c r="AF2503" s="29" t="str">
        <f t="shared" si="822"/>
        <v>NA</v>
      </c>
      <c r="AG2503" s="29" t="str">
        <f t="shared" si="823"/>
        <v>NA</v>
      </c>
      <c r="AH2503" s="29" t="str">
        <f t="shared" si="824"/>
        <v>NA</v>
      </c>
    </row>
    <row r="2504" customHeight="1" spans="1:34">
      <c r="A2504" s="12" t="s">
        <v>1043</v>
      </c>
      <c r="F2504" s="24">
        <f t="shared" si="826"/>
        <v>0</v>
      </c>
      <c r="G2504" s="24" t="e">
        <f t="shared" si="825"/>
        <v>#DIV/0!</v>
      </c>
      <c r="Q2504" s="29" t="str">
        <f t="shared" si="807"/>
        <v>NA</v>
      </c>
      <c r="R2504" s="29" t="str">
        <f t="shared" si="808"/>
        <v>NA</v>
      </c>
      <c r="S2504" s="29" t="str">
        <f t="shared" si="809"/>
        <v>NA</v>
      </c>
      <c r="T2504" s="29" t="str">
        <f t="shared" si="810"/>
        <v>NA</v>
      </c>
      <c r="U2504" s="29" t="str">
        <f t="shared" si="811"/>
        <v>NA</v>
      </c>
      <c r="V2504" s="29" t="str">
        <f t="shared" si="812"/>
        <v>NA</v>
      </c>
      <c r="W2504" s="29" t="str">
        <f t="shared" si="813"/>
        <v>NA</v>
      </c>
      <c r="X2504" s="29" t="str">
        <f t="shared" si="814"/>
        <v>NA</v>
      </c>
      <c r="Y2504" s="29" t="str">
        <f t="shared" si="815"/>
        <v>NA</v>
      </c>
      <c r="Z2504" s="29" t="str">
        <f t="shared" si="816"/>
        <v>NA</v>
      </c>
      <c r="AA2504" s="29" t="str">
        <f t="shared" si="817"/>
        <v>NA</v>
      </c>
      <c r="AB2504" s="29" t="str">
        <f t="shared" si="818"/>
        <v>NA</v>
      </c>
      <c r="AC2504" s="29" t="str">
        <f t="shared" si="819"/>
        <v>NA</v>
      </c>
      <c r="AD2504" s="29" t="str">
        <f t="shared" si="820"/>
        <v>NA</v>
      </c>
      <c r="AE2504" s="29" t="str">
        <f t="shared" si="821"/>
        <v>NA</v>
      </c>
      <c r="AF2504" s="29" t="str">
        <f t="shared" si="822"/>
        <v>NA</v>
      </c>
      <c r="AG2504" s="29" t="str">
        <f t="shared" si="823"/>
        <v>NA</v>
      </c>
      <c r="AH2504" s="29" t="str">
        <f t="shared" si="824"/>
        <v>NA</v>
      </c>
    </row>
    <row r="2505" customHeight="1" spans="1:34">
      <c r="A2505" s="12" t="s">
        <v>1043</v>
      </c>
      <c r="F2505" s="24">
        <f t="shared" si="826"/>
        <v>0</v>
      </c>
      <c r="G2505" s="24" t="e">
        <f t="shared" si="825"/>
        <v>#DIV/0!</v>
      </c>
      <c r="Q2505" s="29" t="str">
        <f t="shared" si="807"/>
        <v>NA</v>
      </c>
      <c r="R2505" s="29" t="str">
        <f t="shared" si="808"/>
        <v>NA</v>
      </c>
      <c r="S2505" s="29" t="str">
        <f t="shared" si="809"/>
        <v>NA</v>
      </c>
      <c r="T2505" s="29" t="str">
        <f t="shared" si="810"/>
        <v>NA</v>
      </c>
      <c r="U2505" s="29" t="str">
        <f t="shared" si="811"/>
        <v>NA</v>
      </c>
      <c r="V2505" s="29" t="str">
        <f t="shared" si="812"/>
        <v>NA</v>
      </c>
      <c r="W2505" s="29" t="str">
        <f t="shared" si="813"/>
        <v>NA</v>
      </c>
      <c r="X2505" s="29" t="str">
        <f t="shared" si="814"/>
        <v>NA</v>
      </c>
      <c r="Y2505" s="29" t="str">
        <f t="shared" si="815"/>
        <v>NA</v>
      </c>
      <c r="Z2505" s="29" t="str">
        <f t="shared" si="816"/>
        <v>NA</v>
      </c>
      <c r="AA2505" s="29" t="str">
        <f t="shared" si="817"/>
        <v>NA</v>
      </c>
      <c r="AB2505" s="29" t="str">
        <f t="shared" si="818"/>
        <v>NA</v>
      </c>
      <c r="AC2505" s="29" t="str">
        <f t="shared" si="819"/>
        <v>NA</v>
      </c>
      <c r="AD2505" s="29" t="str">
        <f t="shared" si="820"/>
        <v>NA</v>
      </c>
      <c r="AE2505" s="29" t="str">
        <f t="shared" si="821"/>
        <v>NA</v>
      </c>
      <c r="AF2505" s="29" t="str">
        <f t="shared" si="822"/>
        <v>NA</v>
      </c>
      <c r="AG2505" s="29" t="str">
        <f t="shared" si="823"/>
        <v>NA</v>
      </c>
      <c r="AH2505" s="29" t="str">
        <f t="shared" si="824"/>
        <v>NA</v>
      </c>
    </row>
    <row r="2506" customHeight="1" spans="1:34">
      <c r="A2506" s="12" t="s">
        <v>1043</v>
      </c>
      <c r="F2506" s="24">
        <f t="shared" si="826"/>
        <v>0</v>
      </c>
      <c r="G2506" s="24" t="e">
        <f t="shared" si="825"/>
        <v>#DIV/0!</v>
      </c>
      <c r="Q2506" s="29" t="str">
        <f t="shared" si="807"/>
        <v>NA</v>
      </c>
      <c r="R2506" s="29" t="str">
        <f t="shared" si="808"/>
        <v>NA</v>
      </c>
      <c r="S2506" s="29" t="str">
        <f t="shared" si="809"/>
        <v>NA</v>
      </c>
      <c r="T2506" s="29" t="str">
        <f t="shared" si="810"/>
        <v>NA</v>
      </c>
      <c r="U2506" s="29" t="str">
        <f t="shared" si="811"/>
        <v>NA</v>
      </c>
      <c r="V2506" s="29" t="str">
        <f t="shared" si="812"/>
        <v>NA</v>
      </c>
      <c r="W2506" s="29" t="str">
        <f t="shared" si="813"/>
        <v>NA</v>
      </c>
      <c r="X2506" s="29" t="str">
        <f t="shared" si="814"/>
        <v>NA</v>
      </c>
      <c r="Y2506" s="29" t="str">
        <f t="shared" si="815"/>
        <v>NA</v>
      </c>
      <c r="Z2506" s="29" t="str">
        <f t="shared" si="816"/>
        <v>NA</v>
      </c>
      <c r="AA2506" s="29" t="str">
        <f t="shared" si="817"/>
        <v>NA</v>
      </c>
      <c r="AB2506" s="29" t="str">
        <f t="shared" si="818"/>
        <v>NA</v>
      </c>
      <c r="AC2506" s="29" t="str">
        <f t="shared" si="819"/>
        <v>NA</v>
      </c>
      <c r="AD2506" s="29" t="str">
        <f t="shared" si="820"/>
        <v>NA</v>
      </c>
      <c r="AE2506" s="29" t="str">
        <f t="shared" si="821"/>
        <v>NA</v>
      </c>
      <c r="AF2506" s="29" t="str">
        <f t="shared" si="822"/>
        <v>NA</v>
      </c>
      <c r="AG2506" s="29" t="str">
        <f t="shared" si="823"/>
        <v>NA</v>
      </c>
      <c r="AH2506" s="29" t="str">
        <f t="shared" si="824"/>
        <v>NA</v>
      </c>
    </row>
    <row r="2507" customHeight="1" spans="1:34">
      <c r="A2507" s="12" t="s">
        <v>1043</v>
      </c>
      <c r="F2507" s="24">
        <f t="shared" si="826"/>
        <v>0</v>
      </c>
      <c r="G2507" s="24" t="e">
        <f t="shared" si="825"/>
        <v>#DIV/0!</v>
      </c>
      <c r="Q2507" s="29" t="str">
        <f t="shared" si="807"/>
        <v>NA</v>
      </c>
      <c r="R2507" s="29" t="str">
        <f t="shared" si="808"/>
        <v>NA</v>
      </c>
      <c r="S2507" s="29" t="str">
        <f t="shared" si="809"/>
        <v>NA</v>
      </c>
      <c r="T2507" s="29" t="str">
        <f t="shared" si="810"/>
        <v>NA</v>
      </c>
      <c r="U2507" s="29" t="str">
        <f t="shared" si="811"/>
        <v>NA</v>
      </c>
      <c r="V2507" s="29" t="str">
        <f t="shared" si="812"/>
        <v>NA</v>
      </c>
      <c r="W2507" s="29" t="str">
        <f t="shared" si="813"/>
        <v>NA</v>
      </c>
      <c r="X2507" s="29" t="str">
        <f t="shared" si="814"/>
        <v>NA</v>
      </c>
      <c r="Y2507" s="29" t="str">
        <f t="shared" si="815"/>
        <v>NA</v>
      </c>
      <c r="Z2507" s="29" t="str">
        <f t="shared" si="816"/>
        <v>NA</v>
      </c>
      <c r="AA2507" s="29" t="str">
        <f t="shared" si="817"/>
        <v>NA</v>
      </c>
      <c r="AB2507" s="29" t="str">
        <f t="shared" si="818"/>
        <v>NA</v>
      </c>
      <c r="AC2507" s="29" t="str">
        <f t="shared" si="819"/>
        <v>NA</v>
      </c>
      <c r="AD2507" s="29" t="str">
        <f t="shared" si="820"/>
        <v>NA</v>
      </c>
      <c r="AE2507" s="29" t="str">
        <f t="shared" si="821"/>
        <v>NA</v>
      </c>
      <c r="AF2507" s="29" t="str">
        <f t="shared" si="822"/>
        <v>NA</v>
      </c>
      <c r="AG2507" s="29" t="str">
        <f t="shared" si="823"/>
        <v>NA</v>
      </c>
      <c r="AH2507" s="29" t="str">
        <f t="shared" si="824"/>
        <v>NA</v>
      </c>
    </row>
    <row r="2508" customHeight="1" spans="1:34">
      <c r="A2508" s="12" t="s">
        <v>1043</v>
      </c>
      <c r="F2508" s="24">
        <f t="shared" si="826"/>
        <v>0</v>
      </c>
      <c r="G2508" s="24" t="e">
        <f t="shared" si="825"/>
        <v>#DIV/0!</v>
      </c>
      <c r="Q2508" s="29" t="str">
        <f t="shared" si="807"/>
        <v>NA</v>
      </c>
      <c r="R2508" s="29" t="str">
        <f t="shared" si="808"/>
        <v>NA</v>
      </c>
      <c r="S2508" s="29" t="str">
        <f t="shared" si="809"/>
        <v>NA</v>
      </c>
      <c r="T2508" s="29" t="str">
        <f t="shared" si="810"/>
        <v>NA</v>
      </c>
      <c r="U2508" s="29" t="str">
        <f t="shared" si="811"/>
        <v>NA</v>
      </c>
      <c r="V2508" s="29" t="str">
        <f t="shared" si="812"/>
        <v>NA</v>
      </c>
      <c r="W2508" s="29" t="str">
        <f t="shared" si="813"/>
        <v>NA</v>
      </c>
      <c r="X2508" s="29" t="str">
        <f t="shared" si="814"/>
        <v>NA</v>
      </c>
      <c r="Y2508" s="29" t="str">
        <f t="shared" si="815"/>
        <v>NA</v>
      </c>
      <c r="Z2508" s="29" t="str">
        <f t="shared" si="816"/>
        <v>NA</v>
      </c>
      <c r="AA2508" s="29" t="str">
        <f t="shared" si="817"/>
        <v>NA</v>
      </c>
      <c r="AB2508" s="29" t="str">
        <f t="shared" si="818"/>
        <v>NA</v>
      </c>
      <c r="AC2508" s="29" t="str">
        <f t="shared" si="819"/>
        <v>NA</v>
      </c>
      <c r="AD2508" s="29" t="str">
        <f t="shared" si="820"/>
        <v>NA</v>
      </c>
      <c r="AE2508" s="29" t="str">
        <f t="shared" si="821"/>
        <v>NA</v>
      </c>
      <c r="AF2508" s="29" t="str">
        <f t="shared" si="822"/>
        <v>NA</v>
      </c>
      <c r="AG2508" s="29" t="str">
        <f t="shared" si="823"/>
        <v>NA</v>
      </c>
      <c r="AH2508" s="29" t="str">
        <f t="shared" si="824"/>
        <v>NA</v>
      </c>
    </row>
    <row r="2509" customHeight="1" spans="1:34">
      <c r="A2509" s="12" t="s">
        <v>1043</v>
      </c>
      <c r="F2509" s="24">
        <f t="shared" si="826"/>
        <v>0</v>
      </c>
      <c r="G2509" s="24" t="e">
        <f t="shared" si="825"/>
        <v>#DIV/0!</v>
      </c>
      <c r="Q2509" s="29" t="str">
        <f t="shared" si="807"/>
        <v>NA</v>
      </c>
      <c r="R2509" s="29" t="str">
        <f t="shared" si="808"/>
        <v>NA</v>
      </c>
      <c r="S2509" s="29" t="str">
        <f t="shared" si="809"/>
        <v>NA</v>
      </c>
      <c r="T2509" s="29" t="str">
        <f t="shared" si="810"/>
        <v>NA</v>
      </c>
      <c r="U2509" s="29" t="str">
        <f t="shared" si="811"/>
        <v>NA</v>
      </c>
      <c r="V2509" s="29" t="str">
        <f t="shared" si="812"/>
        <v>NA</v>
      </c>
      <c r="W2509" s="29" t="str">
        <f t="shared" si="813"/>
        <v>NA</v>
      </c>
      <c r="X2509" s="29" t="str">
        <f t="shared" si="814"/>
        <v>NA</v>
      </c>
      <c r="Y2509" s="29" t="str">
        <f t="shared" si="815"/>
        <v>NA</v>
      </c>
      <c r="Z2509" s="29" t="str">
        <f t="shared" si="816"/>
        <v>NA</v>
      </c>
      <c r="AA2509" s="29" t="str">
        <f t="shared" si="817"/>
        <v>NA</v>
      </c>
      <c r="AB2509" s="29" t="str">
        <f t="shared" si="818"/>
        <v>NA</v>
      </c>
      <c r="AC2509" s="29" t="str">
        <f t="shared" si="819"/>
        <v>NA</v>
      </c>
      <c r="AD2509" s="29" t="str">
        <f t="shared" si="820"/>
        <v>NA</v>
      </c>
      <c r="AE2509" s="29" t="str">
        <f t="shared" si="821"/>
        <v>NA</v>
      </c>
      <c r="AF2509" s="29" t="str">
        <f t="shared" si="822"/>
        <v>NA</v>
      </c>
      <c r="AG2509" s="29" t="str">
        <f t="shared" si="823"/>
        <v>NA</v>
      </c>
      <c r="AH2509" s="29" t="str">
        <f t="shared" si="824"/>
        <v>NA</v>
      </c>
    </row>
    <row r="2510" customHeight="1" spans="1:34">
      <c r="A2510" s="12" t="s">
        <v>1043</v>
      </c>
      <c r="F2510" s="24">
        <f t="shared" si="826"/>
        <v>0</v>
      </c>
      <c r="G2510" s="24" t="e">
        <f t="shared" si="825"/>
        <v>#DIV/0!</v>
      </c>
      <c r="Q2510" s="29" t="str">
        <f t="shared" si="807"/>
        <v>NA</v>
      </c>
      <c r="R2510" s="29" t="str">
        <f t="shared" si="808"/>
        <v>NA</v>
      </c>
      <c r="S2510" s="29" t="str">
        <f t="shared" si="809"/>
        <v>NA</v>
      </c>
      <c r="T2510" s="29" t="str">
        <f t="shared" si="810"/>
        <v>NA</v>
      </c>
      <c r="U2510" s="29" t="str">
        <f t="shared" si="811"/>
        <v>NA</v>
      </c>
      <c r="V2510" s="29" t="str">
        <f t="shared" si="812"/>
        <v>NA</v>
      </c>
      <c r="W2510" s="29" t="str">
        <f t="shared" si="813"/>
        <v>NA</v>
      </c>
      <c r="X2510" s="29" t="str">
        <f t="shared" si="814"/>
        <v>NA</v>
      </c>
      <c r="Y2510" s="29" t="str">
        <f t="shared" si="815"/>
        <v>NA</v>
      </c>
      <c r="Z2510" s="29" t="str">
        <f t="shared" si="816"/>
        <v>NA</v>
      </c>
      <c r="AA2510" s="29" t="str">
        <f t="shared" si="817"/>
        <v>NA</v>
      </c>
      <c r="AB2510" s="29" t="str">
        <f t="shared" si="818"/>
        <v>NA</v>
      </c>
      <c r="AC2510" s="29" t="str">
        <f t="shared" si="819"/>
        <v>NA</v>
      </c>
      <c r="AD2510" s="29" t="str">
        <f t="shared" si="820"/>
        <v>NA</v>
      </c>
      <c r="AE2510" s="29" t="str">
        <f t="shared" si="821"/>
        <v>NA</v>
      </c>
      <c r="AF2510" s="29" t="str">
        <f t="shared" si="822"/>
        <v>NA</v>
      </c>
      <c r="AG2510" s="29" t="str">
        <f t="shared" si="823"/>
        <v>NA</v>
      </c>
      <c r="AH2510" s="29" t="str">
        <f t="shared" si="824"/>
        <v>NA</v>
      </c>
    </row>
    <row r="2511" customHeight="1" spans="1:34">
      <c r="A2511" s="12" t="s">
        <v>1043</v>
      </c>
      <c r="F2511" s="24">
        <f t="shared" si="826"/>
        <v>0</v>
      </c>
      <c r="G2511" s="24" t="e">
        <f t="shared" si="825"/>
        <v>#DIV/0!</v>
      </c>
      <c r="Q2511" s="29" t="str">
        <f t="shared" si="807"/>
        <v>NA</v>
      </c>
      <c r="R2511" s="29" t="str">
        <f t="shared" si="808"/>
        <v>NA</v>
      </c>
      <c r="S2511" s="29" t="str">
        <f t="shared" si="809"/>
        <v>NA</v>
      </c>
      <c r="T2511" s="29" t="str">
        <f t="shared" si="810"/>
        <v>NA</v>
      </c>
      <c r="U2511" s="29" t="str">
        <f t="shared" si="811"/>
        <v>NA</v>
      </c>
      <c r="V2511" s="29" t="str">
        <f t="shared" si="812"/>
        <v>NA</v>
      </c>
      <c r="W2511" s="29" t="str">
        <f t="shared" si="813"/>
        <v>NA</v>
      </c>
      <c r="X2511" s="29" t="str">
        <f t="shared" si="814"/>
        <v>NA</v>
      </c>
      <c r="Y2511" s="29" t="str">
        <f t="shared" si="815"/>
        <v>NA</v>
      </c>
      <c r="Z2511" s="29" t="str">
        <f t="shared" si="816"/>
        <v>NA</v>
      </c>
      <c r="AA2511" s="29" t="str">
        <f t="shared" si="817"/>
        <v>NA</v>
      </c>
      <c r="AB2511" s="29" t="str">
        <f t="shared" si="818"/>
        <v>NA</v>
      </c>
      <c r="AC2511" s="29" t="str">
        <f t="shared" si="819"/>
        <v>NA</v>
      </c>
      <c r="AD2511" s="29" t="str">
        <f t="shared" si="820"/>
        <v>NA</v>
      </c>
      <c r="AE2511" s="29" t="str">
        <f t="shared" si="821"/>
        <v>NA</v>
      </c>
      <c r="AF2511" s="29" t="str">
        <f t="shared" si="822"/>
        <v>NA</v>
      </c>
      <c r="AG2511" s="29" t="str">
        <f t="shared" si="823"/>
        <v>NA</v>
      </c>
      <c r="AH2511" s="29" t="str">
        <f t="shared" si="824"/>
        <v>NA</v>
      </c>
    </row>
    <row r="2512" customHeight="1" spans="1:34">
      <c r="A2512" s="12" t="s">
        <v>1043</v>
      </c>
      <c r="F2512" s="24">
        <f t="shared" si="826"/>
        <v>0</v>
      </c>
      <c r="G2512" s="24" t="e">
        <f t="shared" si="825"/>
        <v>#DIV/0!</v>
      </c>
      <c r="Q2512" s="29" t="str">
        <f t="shared" ref="Q2512:Q2575" si="827">IFERROR($B2512*$E2512/H2512,"NA")</f>
        <v>NA</v>
      </c>
      <c r="R2512" s="29" t="str">
        <f t="shared" ref="R2512:R2575" si="828">IFERROR($B2512*$E2512/I2512,"NA")</f>
        <v>NA</v>
      </c>
      <c r="S2512" s="29" t="str">
        <f t="shared" ref="S2512:S2575" si="829">IFERROR($B2512*$E2512/J2512,"NA")</f>
        <v>NA</v>
      </c>
      <c r="T2512" s="29" t="str">
        <f t="shared" ref="T2512:T2575" si="830">IFERROR($B2512*$E2512/K2512,"NA")</f>
        <v>NA</v>
      </c>
      <c r="U2512" s="29" t="str">
        <f t="shared" ref="U2512:U2575" si="831">IFERROR($B2512*$E2512/L2512,"NA")</f>
        <v>NA</v>
      </c>
      <c r="V2512" s="29" t="str">
        <f t="shared" ref="V2512:V2575" si="832">IFERROR($B2512*$E2512/M2512,"NA")</f>
        <v>NA</v>
      </c>
      <c r="W2512" s="29" t="str">
        <f t="shared" ref="W2512:W2575" si="833">IFERROR($B2512*$E2512/N2512,"NA")</f>
        <v>NA</v>
      </c>
      <c r="X2512" s="29" t="str">
        <f t="shared" ref="X2512:X2575" si="834">IFERROR($B2512*$E2512/O2512,"NA")</f>
        <v>NA</v>
      </c>
      <c r="Y2512" s="29" t="str">
        <f t="shared" ref="Y2512:Y2575" si="835">IFERROR($B2512*$E2512/P2512,"NA")</f>
        <v>NA</v>
      </c>
      <c r="Z2512" s="29" t="str">
        <f t="shared" ref="Z2512:Z2575" si="836">IFERROR((($G2512*Z$2/1000)+Q2512)/1,"NA")</f>
        <v>NA</v>
      </c>
      <c r="AA2512" s="29" t="str">
        <f t="shared" ref="AA2512:AA2575" si="837">IFERROR((($G2512*AA$2/1000)+R2512)/1,"NA")</f>
        <v>NA</v>
      </c>
      <c r="AB2512" s="29" t="str">
        <f t="shared" ref="AB2512:AB2575" si="838">IFERROR((($G2512*AB$2/1000)+S2512)/1,"NA")</f>
        <v>NA</v>
      </c>
      <c r="AC2512" s="29" t="str">
        <f t="shared" ref="AC2512:AC2575" si="839">IFERROR((($G2512*AC$2/1000)+T2512)/1,"NA")</f>
        <v>NA</v>
      </c>
      <c r="AD2512" s="29" t="str">
        <f t="shared" ref="AD2512:AD2575" si="840">IFERROR((($G2512*AD$2/1000)+U2512)/1,"NA")</f>
        <v>NA</v>
      </c>
      <c r="AE2512" s="29" t="str">
        <f t="shared" ref="AE2512:AE2575" si="841">IFERROR((($G2512*AE$2/1000)+V2512)/1,"NA")</f>
        <v>NA</v>
      </c>
      <c r="AF2512" s="29" t="str">
        <f t="shared" ref="AF2512:AF2575" si="842">IFERROR((($G2512*AF$2/1000)+W2512)/1,"NA")</f>
        <v>NA</v>
      </c>
      <c r="AG2512" s="29" t="str">
        <f t="shared" ref="AG2512:AG2575" si="843">IFERROR((($G2512*AG$2/1000)+X2512)/1,"NA")</f>
        <v>NA</v>
      </c>
      <c r="AH2512" s="29" t="str">
        <f t="shared" ref="AH2512:AH2575" si="844">IFERROR((($G2512*AH$2/1000)+Y2512)/1,"NA")</f>
        <v>NA</v>
      </c>
    </row>
    <row r="2513" customHeight="1" spans="1:34">
      <c r="A2513" s="12" t="s">
        <v>1043</v>
      </c>
      <c r="F2513" s="24">
        <f t="shared" si="826"/>
        <v>0</v>
      </c>
      <c r="G2513" s="24" t="e">
        <f t="shared" si="825"/>
        <v>#DIV/0!</v>
      </c>
      <c r="Q2513" s="29" t="str">
        <f t="shared" si="827"/>
        <v>NA</v>
      </c>
      <c r="R2513" s="29" t="str">
        <f t="shared" si="828"/>
        <v>NA</v>
      </c>
      <c r="S2513" s="29" t="str">
        <f t="shared" si="829"/>
        <v>NA</v>
      </c>
      <c r="T2513" s="29" t="str">
        <f t="shared" si="830"/>
        <v>NA</v>
      </c>
      <c r="U2513" s="29" t="str">
        <f t="shared" si="831"/>
        <v>NA</v>
      </c>
      <c r="V2513" s="29" t="str">
        <f t="shared" si="832"/>
        <v>NA</v>
      </c>
      <c r="W2513" s="29" t="str">
        <f t="shared" si="833"/>
        <v>NA</v>
      </c>
      <c r="X2513" s="29" t="str">
        <f t="shared" si="834"/>
        <v>NA</v>
      </c>
      <c r="Y2513" s="29" t="str">
        <f t="shared" si="835"/>
        <v>NA</v>
      </c>
      <c r="Z2513" s="29" t="str">
        <f t="shared" si="836"/>
        <v>NA</v>
      </c>
      <c r="AA2513" s="29" t="str">
        <f t="shared" si="837"/>
        <v>NA</v>
      </c>
      <c r="AB2513" s="29" t="str">
        <f t="shared" si="838"/>
        <v>NA</v>
      </c>
      <c r="AC2513" s="29" t="str">
        <f t="shared" si="839"/>
        <v>NA</v>
      </c>
      <c r="AD2513" s="29" t="str">
        <f t="shared" si="840"/>
        <v>NA</v>
      </c>
      <c r="AE2513" s="29" t="str">
        <f t="shared" si="841"/>
        <v>NA</v>
      </c>
      <c r="AF2513" s="29" t="str">
        <f t="shared" si="842"/>
        <v>NA</v>
      </c>
      <c r="AG2513" s="29" t="str">
        <f t="shared" si="843"/>
        <v>NA</v>
      </c>
      <c r="AH2513" s="29" t="str">
        <f t="shared" si="844"/>
        <v>NA</v>
      </c>
    </row>
    <row r="2514" customHeight="1" spans="1:34">
      <c r="A2514" s="12" t="s">
        <v>1043</v>
      </c>
      <c r="F2514" s="24">
        <f t="shared" si="826"/>
        <v>0</v>
      </c>
      <c r="G2514" s="24" t="e">
        <f t="shared" si="825"/>
        <v>#DIV/0!</v>
      </c>
      <c r="Q2514" s="29" t="str">
        <f t="shared" si="827"/>
        <v>NA</v>
      </c>
      <c r="R2514" s="29" t="str">
        <f t="shared" si="828"/>
        <v>NA</v>
      </c>
      <c r="S2514" s="29" t="str">
        <f t="shared" si="829"/>
        <v>NA</v>
      </c>
      <c r="T2514" s="29" t="str">
        <f t="shared" si="830"/>
        <v>NA</v>
      </c>
      <c r="U2514" s="29" t="str">
        <f t="shared" si="831"/>
        <v>NA</v>
      </c>
      <c r="V2514" s="29" t="str">
        <f t="shared" si="832"/>
        <v>NA</v>
      </c>
      <c r="W2514" s="29" t="str">
        <f t="shared" si="833"/>
        <v>NA</v>
      </c>
      <c r="X2514" s="29" t="str">
        <f t="shared" si="834"/>
        <v>NA</v>
      </c>
      <c r="Y2514" s="29" t="str">
        <f t="shared" si="835"/>
        <v>NA</v>
      </c>
      <c r="Z2514" s="29" t="str">
        <f t="shared" si="836"/>
        <v>NA</v>
      </c>
      <c r="AA2514" s="29" t="str">
        <f t="shared" si="837"/>
        <v>NA</v>
      </c>
      <c r="AB2514" s="29" t="str">
        <f t="shared" si="838"/>
        <v>NA</v>
      </c>
      <c r="AC2514" s="29" t="str">
        <f t="shared" si="839"/>
        <v>NA</v>
      </c>
      <c r="AD2514" s="29" t="str">
        <f t="shared" si="840"/>
        <v>NA</v>
      </c>
      <c r="AE2514" s="29" t="str">
        <f t="shared" si="841"/>
        <v>NA</v>
      </c>
      <c r="AF2514" s="29" t="str">
        <f t="shared" si="842"/>
        <v>NA</v>
      </c>
      <c r="AG2514" s="29" t="str">
        <f t="shared" si="843"/>
        <v>NA</v>
      </c>
      <c r="AH2514" s="29" t="str">
        <f t="shared" si="844"/>
        <v>NA</v>
      </c>
    </row>
    <row r="2515" customHeight="1" spans="1:34">
      <c r="A2515" s="12" t="s">
        <v>1043</v>
      </c>
      <c r="F2515" s="24">
        <f t="shared" si="826"/>
        <v>0</v>
      </c>
      <c r="G2515" s="24" t="e">
        <f t="shared" si="825"/>
        <v>#DIV/0!</v>
      </c>
      <c r="Q2515" s="29" t="str">
        <f t="shared" si="827"/>
        <v>NA</v>
      </c>
      <c r="R2515" s="29" t="str">
        <f t="shared" si="828"/>
        <v>NA</v>
      </c>
      <c r="S2515" s="29" t="str">
        <f t="shared" si="829"/>
        <v>NA</v>
      </c>
      <c r="T2515" s="29" t="str">
        <f t="shared" si="830"/>
        <v>NA</v>
      </c>
      <c r="U2515" s="29" t="str">
        <f t="shared" si="831"/>
        <v>NA</v>
      </c>
      <c r="V2515" s="29" t="str">
        <f t="shared" si="832"/>
        <v>NA</v>
      </c>
      <c r="W2515" s="29" t="str">
        <f t="shared" si="833"/>
        <v>NA</v>
      </c>
      <c r="X2515" s="29" t="str">
        <f t="shared" si="834"/>
        <v>NA</v>
      </c>
      <c r="Y2515" s="29" t="str">
        <f t="shared" si="835"/>
        <v>NA</v>
      </c>
      <c r="Z2515" s="29" t="str">
        <f t="shared" si="836"/>
        <v>NA</v>
      </c>
      <c r="AA2515" s="29" t="str">
        <f t="shared" si="837"/>
        <v>NA</v>
      </c>
      <c r="AB2515" s="29" t="str">
        <f t="shared" si="838"/>
        <v>NA</v>
      </c>
      <c r="AC2515" s="29" t="str">
        <f t="shared" si="839"/>
        <v>NA</v>
      </c>
      <c r="AD2515" s="29" t="str">
        <f t="shared" si="840"/>
        <v>NA</v>
      </c>
      <c r="AE2515" s="29" t="str">
        <f t="shared" si="841"/>
        <v>NA</v>
      </c>
      <c r="AF2515" s="29" t="str">
        <f t="shared" si="842"/>
        <v>NA</v>
      </c>
      <c r="AG2515" s="29" t="str">
        <f t="shared" si="843"/>
        <v>NA</v>
      </c>
      <c r="AH2515" s="29" t="str">
        <f t="shared" si="844"/>
        <v>NA</v>
      </c>
    </row>
    <row r="2516" customHeight="1" spans="1:34">
      <c r="A2516" s="12" t="s">
        <v>1043</v>
      </c>
      <c r="F2516" s="24">
        <f t="shared" si="826"/>
        <v>0</v>
      </c>
      <c r="G2516" s="24" t="e">
        <f t="shared" si="825"/>
        <v>#DIV/0!</v>
      </c>
      <c r="Q2516" s="29" t="str">
        <f t="shared" si="827"/>
        <v>NA</v>
      </c>
      <c r="R2516" s="29" t="str">
        <f t="shared" si="828"/>
        <v>NA</v>
      </c>
      <c r="S2516" s="29" t="str">
        <f t="shared" si="829"/>
        <v>NA</v>
      </c>
      <c r="T2516" s="29" t="str">
        <f t="shared" si="830"/>
        <v>NA</v>
      </c>
      <c r="U2516" s="29" t="str">
        <f t="shared" si="831"/>
        <v>NA</v>
      </c>
      <c r="V2516" s="29" t="str">
        <f t="shared" si="832"/>
        <v>NA</v>
      </c>
      <c r="W2516" s="29" t="str">
        <f t="shared" si="833"/>
        <v>NA</v>
      </c>
      <c r="X2516" s="29" t="str">
        <f t="shared" si="834"/>
        <v>NA</v>
      </c>
      <c r="Y2516" s="29" t="str">
        <f t="shared" si="835"/>
        <v>NA</v>
      </c>
      <c r="Z2516" s="29" t="str">
        <f t="shared" si="836"/>
        <v>NA</v>
      </c>
      <c r="AA2516" s="29" t="str">
        <f t="shared" si="837"/>
        <v>NA</v>
      </c>
      <c r="AB2516" s="29" t="str">
        <f t="shared" si="838"/>
        <v>NA</v>
      </c>
      <c r="AC2516" s="29" t="str">
        <f t="shared" si="839"/>
        <v>NA</v>
      </c>
      <c r="AD2516" s="29" t="str">
        <f t="shared" si="840"/>
        <v>NA</v>
      </c>
      <c r="AE2516" s="29" t="str">
        <f t="shared" si="841"/>
        <v>NA</v>
      </c>
      <c r="AF2516" s="29" t="str">
        <f t="shared" si="842"/>
        <v>NA</v>
      </c>
      <c r="AG2516" s="29" t="str">
        <f t="shared" si="843"/>
        <v>NA</v>
      </c>
      <c r="AH2516" s="29" t="str">
        <f t="shared" si="844"/>
        <v>NA</v>
      </c>
    </row>
    <row r="2517" customHeight="1" spans="1:34">
      <c r="A2517" s="12" t="s">
        <v>1043</v>
      </c>
      <c r="F2517" s="24">
        <f t="shared" si="826"/>
        <v>0</v>
      </c>
      <c r="G2517" s="24" t="e">
        <f t="shared" si="825"/>
        <v>#DIV/0!</v>
      </c>
      <c r="Q2517" s="29" t="str">
        <f t="shared" si="827"/>
        <v>NA</v>
      </c>
      <c r="R2517" s="29" t="str">
        <f t="shared" si="828"/>
        <v>NA</v>
      </c>
      <c r="S2517" s="29" t="str">
        <f t="shared" si="829"/>
        <v>NA</v>
      </c>
      <c r="T2517" s="29" t="str">
        <f t="shared" si="830"/>
        <v>NA</v>
      </c>
      <c r="U2517" s="29" t="str">
        <f t="shared" si="831"/>
        <v>NA</v>
      </c>
      <c r="V2517" s="29" t="str">
        <f t="shared" si="832"/>
        <v>NA</v>
      </c>
      <c r="W2517" s="29" t="str">
        <f t="shared" si="833"/>
        <v>NA</v>
      </c>
      <c r="X2517" s="29" t="str">
        <f t="shared" si="834"/>
        <v>NA</v>
      </c>
      <c r="Y2517" s="29" t="str">
        <f t="shared" si="835"/>
        <v>NA</v>
      </c>
      <c r="Z2517" s="29" t="str">
        <f t="shared" si="836"/>
        <v>NA</v>
      </c>
      <c r="AA2517" s="29" t="str">
        <f t="shared" si="837"/>
        <v>NA</v>
      </c>
      <c r="AB2517" s="29" t="str">
        <f t="shared" si="838"/>
        <v>NA</v>
      </c>
      <c r="AC2517" s="29" t="str">
        <f t="shared" si="839"/>
        <v>NA</v>
      </c>
      <c r="AD2517" s="29" t="str">
        <f t="shared" si="840"/>
        <v>NA</v>
      </c>
      <c r="AE2517" s="29" t="str">
        <f t="shared" si="841"/>
        <v>NA</v>
      </c>
      <c r="AF2517" s="29" t="str">
        <f t="shared" si="842"/>
        <v>NA</v>
      </c>
      <c r="AG2517" s="29" t="str">
        <f t="shared" si="843"/>
        <v>NA</v>
      </c>
      <c r="AH2517" s="29" t="str">
        <f t="shared" si="844"/>
        <v>NA</v>
      </c>
    </row>
    <row r="2518" customHeight="1" spans="1:34">
      <c r="A2518" s="12" t="s">
        <v>1043</v>
      </c>
      <c r="F2518" s="24">
        <f t="shared" si="826"/>
        <v>0</v>
      </c>
      <c r="G2518" s="24" t="e">
        <f t="shared" si="825"/>
        <v>#DIV/0!</v>
      </c>
      <c r="Q2518" s="29" t="str">
        <f t="shared" si="827"/>
        <v>NA</v>
      </c>
      <c r="R2518" s="29" t="str">
        <f t="shared" si="828"/>
        <v>NA</v>
      </c>
      <c r="S2518" s="29" t="str">
        <f t="shared" si="829"/>
        <v>NA</v>
      </c>
      <c r="T2518" s="29" t="str">
        <f t="shared" si="830"/>
        <v>NA</v>
      </c>
      <c r="U2518" s="29" t="str">
        <f t="shared" si="831"/>
        <v>NA</v>
      </c>
      <c r="V2518" s="29" t="str">
        <f t="shared" si="832"/>
        <v>NA</v>
      </c>
      <c r="W2518" s="29" t="str">
        <f t="shared" si="833"/>
        <v>NA</v>
      </c>
      <c r="X2518" s="29" t="str">
        <f t="shared" si="834"/>
        <v>NA</v>
      </c>
      <c r="Y2518" s="29" t="str">
        <f t="shared" si="835"/>
        <v>NA</v>
      </c>
      <c r="Z2518" s="29" t="str">
        <f t="shared" si="836"/>
        <v>NA</v>
      </c>
      <c r="AA2518" s="29" t="str">
        <f t="shared" si="837"/>
        <v>NA</v>
      </c>
      <c r="AB2518" s="29" t="str">
        <f t="shared" si="838"/>
        <v>NA</v>
      </c>
      <c r="AC2518" s="29" t="str">
        <f t="shared" si="839"/>
        <v>NA</v>
      </c>
      <c r="AD2518" s="29" t="str">
        <f t="shared" si="840"/>
        <v>NA</v>
      </c>
      <c r="AE2518" s="29" t="str">
        <f t="shared" si="841"/>
        <v>NA</v>
      </c>
      <c r="AF2518" s="29" t="str">
        <f t="shared" si="842"/>
        <v>NA</v>
      </c>
      <c r="AG2518" s="29" t="str">
        <f t="shared" si="843"/>
        <v>NA</v>
      </c>
      <c r="AH2518" s="29" t="str">
        <f t="shared" si="844"/>
        <v>NA</v>
      </c>
    </row>
    <row r="2519" customHeight="1" spans="1:34">
      <c r="A2519" s="12" t="s">
        <v>1043</v>
      </c>
      <c r="F2519" s="24">
        <f t="shared" si="826"/>
        <v>0</v>
      </c>
      <c r="G2519" s="24" t="e">
        <f t="shared" si="825"/>
        <v>#DIV/0!</v>
      </c>
      <c r="Q2519" s="29" t="str">
        <f t="shared" si="827"/>
        <v>NA</v>
      </c>
      <c r="R2519" s="29" t="str">
        <f t="shared" si="828"/>
        <v>NA</v>
      </c>
      <c r="S2519" s="29" t="str">
        <f t="shared" si="829"/>
        <v>NA</v>
      </c>
      <c r="T2519" s="29" t="str">
        <f t="shared" si="830"/>
        <v>NA</v>
      </c>
      <c r="U2519" s="29" t="str">
        <f t="shared" si="831"/>
        <v>NA</v>
      </c>
      <c r="V2519" s="29" t="str">
        <f t="shared" si="832"/>
        <v>NA</v>
      </c>
      <c r="W2519" s="29" t="str">
        <f t="shared" si="833"/>
        <v>NA</v>
      </c>
      <c r="X2519" s="29" t="str">
        <f t="shared" si="834"/>
        <v>NA</v>
      </c>
      <c r="Y2519" s="29" t="str">
        <f t="shared" si="835"/>
        <v>NA</v>
      </c>
      <c r="Z2519" s="29" t="str">
        <f t="shared" si="836"/>
        <v>NA</v>
      </c>
      <c r="AA2519" s="29" t="str">
        <f t="shared" si="837"/>
        <v>NA</v>
      </c>
      <c r="AB2519" s="29" t="str">
        <f t="shared" si="838"/>
        <v>NA</v>
      </c>
      <c r="AC2519" s="29" t="str">
        <f t="shared" si="839"/>
        <v>NA</v>
      </c>
      <c r="AD2519" s="29" t="str">
        <f t="shared" si="840"/>
        <v>NA</v>
      </c>
      <c r="AE2519" s="29" t="str">
        <f t="shared" si="841"/>
        <v>NA</v>
      </c>
      <c r="AF2519" s="29" t="str">
        <f t="shared" si="842"/>
        <v>NA</v>
      </c>
      <c r="AG2519" s="29" t="str">
        <f t="shared" si="843"/>
        <v>NA</v>
      </c>
      <c r="AH2519" s="29" t="str">
        <f t="shared" si="844"/>
        <v>NA</v>
      </c>
    </row>
    <row r="2520" customHeight="1" spans="1:34">
      <c r="A2520" s="12" t="s">
        <v>1043</v>
      </c>
      <c r="F2520" s="24">
        <f t="shared" si="826"/>
        <v>0</v>
      </c>
      <c r="G2520" s="24" t="e">
        <f t="shared" si="825"/>
        <v>#DIV/0!</v>
      </c>
      <c r="Q2520" s="29" t="str">
        <f t="shared" si="827"/>
        <v>NA</v>
      </c>
      <c r="R2520" s="29" t="str">
        <f t="shared" si="828"/>
        <v>NA</v>
      </c>
      <c r="S2520" s="29" t="str">
        <f t="shared" si="829"/>
        <v>NA</v>
      </c>
      <c r="T2520" s="29" t="str">
        <f t="shared" si="830"/>
        <v>NA</v>
      </c>
      <c r="U2520" s="29" t="str">
        <f t="shared" si="831"/>
        <v>NA</v>
      </c>
      <c r="V2520" s="29" t="str">
        <f t="shared" si="832"/>
        <v>NA</v>
      </c>
      <c r="W2520" s="29" t="str">
        <f t="shared" si="833"/>
        <v>NA</v>
      </c>
      <c r="X2520" s="29" t="str">
        <f t="shared" si="834"/>
        <v>NA</v>
      </c>
      <c r="Y2520" s="29" t="str">
        <f t="shared" si="835"/>
        <v>NA</v>
      </c>
      <c r="Z2520" s="29" t="str">
        <f t="shared" si="836"/>
        <v>NA</v>
      </c>
      <c r="AA2520" s="29" t="str">
        <f t="shared" si="837"/>
        <v>NA</v>
      </c>
      <c r="AB2520" s="29" t="str">
        <f t="shared" si="838"/>
        <v>NA</v>
      </c>
      <c r="AC2520" s="29" t="str">
        <f t="shared" si="839"/>
        <v>NA</v>
      </c>
      <c r="AD2520" s="29" t="str">
        <f t="shared" si="840"/>
        <v>NA</v>
      </c>
      <c r="AE2520" s="29" t="str">
        <f t="shared" si="841"/>
        <v>NA</v>
      </c>
      <c r="AF2520" s="29" t="str">
        <f t="shared" si="842"/>
        <v>NA</v>
      </c>
      <c r="AG2520" s="29" t="str">
        <f t="shared" si="843"/>
        <v>NA</v>
      </c>
      <c r="AH2520" s="29" t="str">
        <f t="shared" si="844"/>
        <v>NA</v>
      </c>
    </row>
    <row r="2521" customHeight="1" spans="1:34">
      <c r="A2521" s="12" t="s">
        <v>1043</v>
      </c>
      <c r="F2521" s="24">
        <f t="shared" si="826"/>
        <v>0</v>
      </c>
      <c r="G2521" s="24" t="e">
        <f t="shared" si="825"/>
        <v>#DIV/0!</v>
      </c>
      <c r="Q2521" s="29" t="str">
        <f t="shared" si="827"/>
        <v>NA</v>
      </c>
      <c r="R2521" s="29" t="str">
        <f t="shared" si="828"/>
        <v>NA</v>
      </c>
      <c r="S2521" s="29" t="str">
        <f t="shared" si="829"/>
        <v>NA</v>
      </c>
      <c r="T2521" s="29" t="str">
        <f t="shared" si="830"/>
        <v>NA</v>
      </c>
      <c r="U2521" s="29" t="str">
        <f t="shared" si="831"/>
        <v>NA</v>
      </c>
      <c r="V2521" s="29" t="str">
        <f t="shared" si="832"/>
        <v>NA</v>
      </c>
      <c r="W2521" s="29" t="str">
        <f t="shared" si="833"/>
        <v>NA</v>
      </c>
      <c r="X2521" s="29" t="str">
        <f t="shared" si="834"/>
        <v>NA</v>
      </c>
      <c r="Y2521" s="29" t="str">
        <f t="shared" si="835"/>
        <v>NA</v>
      </c>
      <c r="Z2521" s="29" t="str">
        <f t="shared" si="836"/>
        <v>NA</v>
      </c>
      <c r="AA2521" s="29" t="str">
        <f t="shared" si="837"/>
        <v>NA</v>
      </c>
      <c r="AB2521" s="29" t="str">
        <f t="shared" si="838"/>
        <v>NA</v>
      </c>
      <c r="AC2521" s="29" t="str">
        <f t="shared" si="839"/>
        <v>NA</v>
      </c>
      <c r="AD2521" s="29" t="str">
        <f t="shared" si="840"/>
        <v>NA</v>
      </c>
      <c r="AE2521" s="29" t="str">
        <f t="shared" si="841"/>
        <v>NA</v>
      </c>
      <c r="AF2521" s="29" t="str">
        <f t="shared" si="842"/>
        <v>NA</v>
      </c>
      <c r="AG2521" s="29" t="str">
        <f t="shared" si="843"/>
        <v>NA</v>
      </c>
      <c r="AH2521" s="29" t="str">
        <f t="shared" si="844"/>
        <v>NA</v>
      </c>
    </row>
    <row r="2522" customHeight="1" spans="1:34">
      <c r="A2522" s="12" t="s">
        <v>1043</v>
      </c>
      <c r="F2522" s="24">
        <f t="shared" si="826"/>
        <v>0</v>
      </c>
      <c r="G2522" s="24" t="e">
        <f t="shared" si="825"/>
        <v>#DIV/0!</v>
      </c>
      <c r="Q2522" s="29" t="str">
        <f t="shared" si="827"/>
        <v>NA</v>
      </c>
      <c r="R2522" s="29" t="str">
        <f t="shared" si="828"/>
        <v>NA</v>
      </c>
      <c r="S2522" s="29" t="str">
        <f t="shared" si="829"/>
        <v>NA</v>
      </c>
      <c r="T2522" s="29" t="str">
        <f t="shared" si="830"/>
        <v>NA</v>
      </c>
      <c r="U2522" s="29" t="str">
        <f t="shared" si="831"/>
        <v>NA</v>
      </c>
      <c r="V2522" s="29" t="str">
        <f t="shared" si="832"/>
        <v>NA</v>
      </c>
      <c r="W2522" s="29" t="str">
        <f t="shared" si="833"/>
        <v>NA</v>
      </c>
      <c r="X2522" s="29" t="str">
        <f t="shared" si="834"/>
        <v>NA</v>
      </c>
      <c r="Y2522" s="29" t="str">
        <f t="shared" si="835"/>
        <v>NA</v>
      </c>
      <c r="Z2522" s="29" t="str">
        <f t="shared" si="836"/>
        <v>NA</v>
      </c>
      <c r="AA2522" s="29" t="str">
        <f t="shared" si="837"/>
        <v>NA</v>
      </c>
      <c r="AB2522" s="29" t="str">
        <f t="shared" si="838"/>
        <v>NA</v>
      </c>
      <c r="AC2522" s="29" t="str">
        <f t="shared" si="839"/>
        <v>NA</v>
      </c>
      <c r="AD2522" s="29" t="str">
        <f t="shared" si="840"/>
        <v>NA</v>
      </c>
      <c r="AE2522" s="29" t="str">
        <f t="shared" si="841"/>
        <v>NA</v>
      </c>
      <c r="AF2522" s="29" t="str">
        <f t="shared" si="842"/>
        <v>NA</v>
      </c>
      <c r="AG2522" s="29" t="str">
        <f t="shared" si="843"/>
        <v>NA</v>
      </c>
      <c r="AH2522" s="29" t="str">
        <f t="shared" si="844"/>
        <v>NA</v>
      </c>
    </row>
    <row r="2523" customHeight="1" spans="1:34">
      <c r="A2523" s="12" t="s">
        <v>1043</v>
      </c>
      <c r="F2523" s="24">
        <f t="shared" si="826"/>
        <v>0</v>
      </c>
      <c r="G2523" s="24" t="e">
        <f t="shared" si="825"/>
        <v>#DIV/0!</v>
      </c>
      <c r="Q2523" s="29" t="str">
        <f t="shared" si="827"/>
        <v>NA</v>
      </c>
      <c r="R2523" s="29" t="str">
        <f t="shared" si="828"/>
        <v>NA</v>
      </c>
      <c r="S2523" s="29" t="str">
        <f t="shared" si="829"/>
        <v>NA</v>
      </c>
      <c r="T2523" s="29" t="str">
        <f t="shared" si="830"/>
        <v>NA</v>
      </c>
      <c r="U2523" s="29" t="str">
        <f t="shared" si="831"/>
        <v>NA</v>
      </c>
      <c r="V2523" s="29" t="str">
        <f t="shared" si="832"/>
        <v>NA</v>
      </c>
      <c r="W2523" s="29" t="str">
        <f t="shared" si="833"/>
        <v>NA</v>
      </c>
      <c r="X2523" s="29" t="str">
        <f t="shared" si="834"/>
        <v>NA</v>
      </c>
      <c r="Y2523" s="29" t="str">
        <f t="shared" si="835"/>
        <v>NA</v>
      </c>
      <c r="Z2523" s="29" t="str">
        <f t="shared" si="836"/>
        <v>NA</v>
      </c>
      <c r="AA2523" s="29" t="str">
        <f t="shared" si="837"/>
        <v>NA</v>
      </c>
      <c r="AB2523" s="29" t="str">
        <f t="shared" si="838"/>
        <v>NA</v>
      </c>
      <c r="AC2523" s="29" t="str">
        <f t="shared" si="839"/>
        <v>NA</v>
      </c>
      <c r="AD2523" s="29" t="str">
        <f t="shared" si="840"/>
        <v>NA</v>
      </c>
      <c r="AE2523" s="29" t="str">
        <f t="shared" si="841"/>
        <v>NA</v>
      </c>
      <c r="AF2523" s="29" t="str">
        <f t="shared" si="842"/>
        <v>NA</v>
      </c>
      <c r="AG2523" s="29" t="str">
        <f t="shared" si="843"/>
        <v>NA</v>
      </c>
      <c r="AH2523" s="29" t="str">
        <f t="shared" si="844"/>
        <v>NA</v>
      </c>
    </row>
    <row r="2524" customHeight="1" spans="1:34">
      <c r="A2524" s="12" t="s">
        <v>1043</v>
      </c>
      <c r="F2524" s="24">
        <f t="shared" si="826"/>
        <v>0</v>
      </c>
      <c r="G2524" s="24" t="e">
        <f t="shared" si="825"/>
        <v>#DIV/0!</v>
      </c>
      <c r="Q2524" s="29" t="str">
        <f t="shared" si="827"/>
        <v>NA</v>
      </c>
      <c r="R2524" s="29" t="str">
        <f t="shared" si="828"/>
        <v>NA</v>
      </c>
      <c r="S2524" s="29" t="str">
        <f t="shared" si="829"/>
        <v>NA</v>
      </c>
      <c r="T2524" s="29" t="str">
        <f t="shared" si="830"/>
        <v>NA</v>
      </c>
      <c r="U2524" s="29" t="str">
        <f t="shared" si="831"/>
        <v>NA</v>
      </c>
      <c r="V2524" s="29" t="str">
        <f t="shared" si="832"/>
        <v>NA</v>
      </c>
      <c r="W2524" s="29" t="str">
        <f t="shared" si="833"/>
        <v>NA</v>
      </c>
      <c r="X2524" s="29" t="str">
        <f t="shared" si="834"/>
        <v>NA</v>
      </c>
      <c r="Y2524" s="29" t="str">
        <f t="shared" si="835"/>
        <v>NA</v>
      </c>
      <c r="Z2524" s="29" t="str">
        <f t="shared" si="836"/>
        <v>NA</v>
      </c>
      <c r="AA2524" s="29" t="str">
        <f t="shared" si="837"/>
        <v>NA</v>
      </c>
      <c r="AB2524" s="29" t="str">
        <f t="shared" si="838"/>
        <v>NA</v>
      </c>
      <c r="AC2524" s="29" t="str">
        <f t="shared" si="839"/>
        <v>NA</v>
      </c>
      <c r="AD2524" s="29" t="str">
        <f t="shared" si="840"/>
        <v>NA</v>
      </c>
      <c r="AE2524" s="29" t="str">
        <f t="shared" si="841"/>
        <v>NA</v>
      </c>
      <c r="AF2524" s="29" t="str">
        <f t="shared" si="842"/>
        <v>NA</v>
      </c>
      <c r="AG2524" s="29" t="str">
        <f t="shared" si="843"/>
        <v>NA</v>
      </c>
      <c r="AH2524" s="29" t="str">
        <f t="shared" si="844"/>
        <v>NA</v>
      </c>
    </row>
    <row r="2525" customHeight="1" spans="1:34">
      <c r="A2525" s="12" t="s">
        <v>1043</v>
      </c>
      <c r="F2525" s="24">
        <f t="shared" si="826"/>
        <v>0</v>
      </c>
      <c r="G2525" s="24" t="e">
        <f t="shared" si="825"/>
        <v>#DIV/0!</v>
      </c>
      <c r="Q2525" s="29" t="str">
        <f t="shared" si="827"/>
        <v>NA</v>
      </c>
      <c r="R2525" s="29" t="str">
        <f t="shared" si="828"/>
        <v>NA</v>
      </c>
      <c r="S2525" s="29" t="str">
        <f t="shared" si="829"/>
        <v>NA</v>
      </c>
      <c r="T2525" s="29" t="str">
        <f t="shared" si="830"/>
        <v>NA</v>
      </c>
      <c r="U2525" s="29" t="str">
        <f t="shared" si="831"/>
        <v>NA</v>
      </c>
      <c r="V2525" s="29" t="str">
        <f t="shared" si="832"/>
        <v>NA</v>
      </c>
      <c r="W2525" s="29" t="str">
        <f t="shared" si="833"/>
        <v>NA</v>
      </c>
      <c r="X2525" s="29" t="str">
        <f t="shared" si="834"/>
        <v>NA</v>
      </c>
      <c r="Y2525" s="29" t="str">
        <f t="shared" si="835"/>
        <v>NA</v>
      </c>
      <c r="Z2525" s="29" t="str">
        <f t="shared" si="836"/>
        <v>NA</v>
      </c>
      <c r="AA2525" s="29" t="str">
        <f t="shared" si="837"/>
        <v>NA</v>
      </c>
      <c r="AB2525" s="29" t="str">
        <f t="shared" si="838"/>
        <v>NA</v>
      </c>
      <c r="AC2525" s="29" t="str">
        <f t="shared" si="839"/>
        <v>NA</v>
      </c>
      <c r="AD2525" s="29" t="str">
        <f t="shared" si="840"/>
        <v>NA</v>
      </c>
      <c r="AE2525" s="29" t="str">
        <f t="shared" si="841"/>
        <v>NA</v>
      </c>
      <c r="AF2525" s="29" t="str">
        <f t="shared" si="842"/>
        <v>NA</v>
      </c>
      <c r="AG2525" s="29" t="str">
        <f t="shared" si="843"/>
        <v>NA</v>
      </c>
      <c r="AH2525" s="29" t="str">
        <f t="shared" si="844"/>
        <v>NA</v>
      </c>
    </row>
    <row r="2526" customHeight="1" spans="1:34">
      <c r="A2526" s="12" t="s">
        <v>1043</v>
      </c>
      <c r="F2526" s="24">
        <f t="shared" si="826"/>
        <v>0</v>
      </c>
      <c r="G2526" s="24" t="e">
        <f t="shared" si="825"/>
        <v>#DIV/0!</v>
      </c>
      <c r="Q2526" s="29" t="str">
        <f t="shared" si="827"/>
        <v>NA</v>
      </c>
      <c r="R2526" s="29" t="str">
        <f t="shared" si="828"/>
        <v>NA</v>
      </c>
      <c r="S2526" s="29" t="str">
        <f t="shared" si="829"/>
        <v>NA</v>
      </c>
      <c r="T2526" s="29" t="str">
        <f t="shared" si="830"/>
        <v>NA</v>
      </c>
      <c r="U2526" s="29" t="str">
        <f t="shared" si="831"/>
        <v>NA</v>
      </c>
      <c r="V2526" s="29" t="str">
        <f t="shared" si="832"/>
        <v>NA</v>
      </c>
      <c r="W2526" s="29" t="str">
        <f t="shared" si="833"/>
        <v>NA</v>
      </c>
      <c r="X2526" s="29" t="str">
        <f t="shared" si="834"/>
        <v>NA</v>
      </c>
      <c r="Y2526" s="29" t="str">
        <f t="shared" si="835"/>
        <v>NA</v>
      </c>
      <c r="Z2526" s="29" t="str">
        <f t="shared" si="836"/>
        <v>NA</v>
      </c>
      <c r="AA2526" s="29" t="str">
        <f t="shared" si="837"/>
        <v>NA</v>
      </c>
      <c r="AB2526" s="29" t="str">
        <f t="shared" si="838"/>
        <v>NA</v>
      </c>
      <c r="AC2526" s="29" t="str">
        <f t="shared" si="839"/>
        <v>NA</v>
      </c>
      <c r="AD2526" s="29" t="str">
        <f t="shared" si="840"/>
        <v>NA</v>
      </c>
      <c r="AE2526" s="29" t="str">
        <f t="shared" si="841"/>
        <v>NA</v>
      </c>
      <c r="AF2526" s="29" t="str">
        <f t="shared" si="842"/>
        <v>NA</v>
      </c>
      <c r="AG2526" s="29" t="str">
        <f t="shared" si="843"/>
        <v>NA</v>
      </c>
      <c r="AH2526" s="29" t="str">
        <f t="shared" si="844"/>
        <v>NA</v>
      </c>
    </row>
    <row r="2527" customHeight="1" spans="1:34">
      <c r="A2527" s="12" t="s">
        <v>1043</v>
      </c>
      <c r="F2527" s="24">
        <f t="shared" si="826"/>
        <v>0</v>
      </c>
      <c r="G2527" s="24" t="e">
        <f t="shared" si="825"/>
        <v>#DIV/0!</v>
      </c>
      <c r="Q2527" s="29" t="str">
        <f t="shared" si="827"/>
        <v>NA</v>
      </c>
      <c r="R2527" s="29" t="str">
        <f t="shared" si="828"/>
        <v>NA</v>
      </c>
      <c r="S2527" s="29" t="str">
        <f t="shared" si="829"/>
        <v>NA</v>
      </c>
      <c r="T2527" s="29" t="str">
        <f t="shared" si="830"/>
        <v>NA</v>
      </c>
      <c r="U2527" s="29" t="str">
        <f t="shared" si="831"/>
        <v>NA</v>
      </c>
      <c r="V2527" s="29" t="str">
        <f t="shared" si="832"/>
        <v>NA</v>
      </c>
      <c r="W2527" s="29" t="str">
        <f t="shared" si="833"/>
        <v>NA</v>
      </c>
      <c r="X2527" s="29" t="str">
        <f t="shared" si="834"/>
        <v>NA</v>
      </c>
      <c r="Y2527" s="29" t="str">
        <f t="shared" si="835"/>
        <v>NA</v>
      </c>
      <c r="Z2527" s="29" t="str">
        <f t="shared" si="836"/>
        <v>NA</v>
      </c>
      <c r="AA2527" s="29" t="str">
        <f t="shared" si="837"/>
        <v>NA</v>
      </c>
      <c r="AB2527" s="29" t="str">
        <f t="shared" si="838"/>
        <v>NA</v>
      </c>
      <c r="AC2527" s="29" t="str">
        <f t="shared" si="839"/>
        <v>NA</v>
      </c>
      <c r="AD2527" s="29" t="str">
        <f t="shared" si="840"/>
        <v>NA</v>
      </c>
      <c r="AE2527" s="29" t="str">
        <f t="shared" si="841"/>
        <v>NA</v>
      </c>
      <c r="AF2527" s="29" t="str">
        <f t="shared" si="842"/>
        <v>NA</v>
      </c>
      <c r="AG2527" s="29" t="str">
        <f t="shared" si="843"/>
        <v>NA</v>
      </c>
      <c r="AH2527" s="29" t="str">
        <f t="shared" si="844"/>
        <v>NA</v>
      </c>
    </row>
    <row r="2528" customHeight="1" spans="1:34">
      <c r="A2528" s="12" t="s">
        <v>1043</v>
      </c>
      <c r="F2528" s="24">
        <f t="shared" si="826"/>
        <v>0</v>
      </c>
      <c r="G2528" s="24" t="e">
        <f t="shared" si="825"/>
        <v>#DIV/0!</v>
      </c>
      <c r="Q2528" s="29" t="str">
        <f t="shared" si="827"/>
        <v>NA</v>
      </c>
      <c r="R2528" s="29" t="str">
        <f t="shared" si="828"/>
        <v>NA</v>
      </c>
      <c r="S2528" s="29" t="str">
        <f t="shared" si="829"/>
        <v>NA</v>
      </c>
      <c r="T2528" s="29" t="str">
        <f t="shared" si="830"/>
        <v>NA</v>
      </c>
      <c r="U2528" s="29" t="str">
        <f t="shared" si="831"/>
        <v>NA</v>
      </c>
      <c r="V2528" s="29" t="str">
        <f t="shared" si="832"/>
        <v>NA</v>
      </c>
      <c r="W2528" s="29" t="str">
        <f t="shared" si="833"/>
        <v>NA</v>
      </c>
      <c r="X2528" s="29" t="str">
        <f t="shared" si="834"/>
        <v>NA</v>
      </c>
      <c r="Y2528" s="29" t="str">
        <f t="shared" si="835"/>
        <v>NA</v>
      </c>
      <c r="Z2528" s="29" t="str">
        <f t="shared" si="836"/>
        <v>NA</v>
      </c>
      <c r="AA2528" s="29" t="str">
        <f t="shared" si="837"/>
        <v>NA</v>
      </c>
      <c r="AB2528" s="29" t="str">
        <f t="shared" si="838"/>
        <v>NA</v>
      </c>
      <c r="AC2528" s="29" t="str">
        <f t="shared" si="839"/>
        <v>NA</v>
      </c>
      <c r="AD2528" s="29" t="str">
        <f t="shared" si="840"/>
        <v>NA</v>
      </c>
      <c r="AE2528" s="29" t="str">
        <f t="shared" si="841"/>
        <v>NA</v>
      </c>
      <c r="AF2528" s="29" t="str">
        <f t="shared" si="842"/>
        <v>NA</v>
      </c>
      <c r="AG2528" s="29" t="str">
        <f t="shared" si="843"/>
        <v>NA</v>
      </c>
      <c r="AH2528" s="29" t="str">
        <f t="shared" si="844"/>
        <v>NA</v>
      </c>
    </row>
    <row r="2529" customHeight="1" spans="1:34">
      <c r="A2529" s="12" t="s">
        <v>1043</v>
      </c>
      <c r="F2529" s="24">
        <f t="shared" si="826"/>
        <v>0</v>
      </c>
      <c r="G2529" s="24" t="e">
        <f t="shared" si="825"/>
        <v>#DIV/0!</v>
      </c>
      <c r="Q2529" s="29" t="str">
        <f t="shared" si="827"/>
        <v>NA</v>
      </c>
      <c r="R2529" s="29" t="str">
        <f t="shared" si="828"/>
        <v>NA</v>
      </c>
      <c r="S2529" s="29" t="str">
        <f t="shared" si="829"/>
        <v>NA</v>
      </c>
      <c r="T2529" s="29" t="str">
        <f t="shared" si="830"/>
        <v>NA</v>
      </c>
      <c r="U2529" s="29" t="str">
        <f t="shared" si="831"/>
        <v>NA</v>
      </c>
      <c r="V2529" s="29" t="str">
        <f t="shared" si="832"/>
        <v>NA</v>
      </c>
      <c r="W2529" s="29" t="str">
        <f t="shared" si="833"/>
        <v>NA</v>
      </c>
      <c r="X2529" s="29" t="str">
        <f t="shared" si="834"/>
        <v>NA</v>
      </c>
      <c r="Y2529" s="29" t="str">
        <f t="shared" si="835"/>
        <v>NA</v>
      </c>
      <c r="Z2529" s="29" t="str">
        <f t="shared" si="836"/>
        <v>NA</v>
      </c>
      <c r="AA2529" s="29" t="str">
        <f t="shared" si="837"/>
        <v>NA</v>
      </c>
      <c r="AB2529" s="29" t="str">
        <f t="shared" si="838"/>
        <v>NA</v>
      </c>
      <c r="AC2529" s="29" t="str">
        <f t="shared" si="839"/>
        <v>NA</v>
      </c>
      <c r="AD2529" s="29" t="str">
        <f t="shared" si="840"/>
        <v>NA</v>
      </c>
      <c r="AE2529" s="29" t="str">
        <f t="shared" si="841"/>
        <v>NA</v>
      </c>
      <c r="AF2529" s="29" t="str">
        <f t="shared" si="842"/>
        <v>NA</v>
      </c>
      <c r="AG2529" s="29" t="str">
        <f t="shared" si="843"/>
        <v>NA</v>
      </c>
      <c r="AH2529" s="29" t="str">
        <f t="shared" si="844"/>
        <v>NA</v>
      </c>
    </row>
    <row r="2530" customHeight="1" spans="1:34">
      <c r="A2530" s="12" t="s">
        <v>1043</v>
      </c>
      <c r="F2530" s="24">
        <f t="shared" si="826"/>
        <v>0</v>
      </c>
      <c r="G2530" s="24" t="e">
        <f t="shared" si="825"/>
        <v>#DIV/0!</v>
      </c>
      <c r="Q2530" s="29" t="str">
        <f t="shared" si="827"/>
        <v>NA</v>
      </c>
      <c r="R2530" s="29" t="str">
        <f t="shared" si="828"/>
        <v>NA</v>
      </c>
      <c r="S2530" s="29" t="str">
        <f t="shared" si="829"/>
        <v>NA</v>
      </c>
      <c r="T2530" s="29" t="str">
        <f t="shared" si="830"/>
        <v>NA</v>
      </c>
      <c r="U2530" s="29" t="str">
        <f t="shared" si="831"/>
        <v>NA</v>
      </c>
      <c r="V2530" s="29" t="str">
        <f t="shared" si="832"/>
        <v>NA</v>
      </c>
      <c r="W2530" s="29" t="str">
        <f t="shared" si="833"/>
        <v>NA</v>
      </c>
      <c r="X2530" s="29" t="str">
        <f t="shared" si="834"/>
        <v>NA</v>
      </c>
      <c r="Y2530" s="29" t="str">
        <f t="shared" si="835"/>
        <v>NA</v>
      </c>
      <c r="Z2530" s="29" t="str">
        <f t="shared" si="836"/>
        <v>NA</v>
      </c>
      <c r="AA2530" s="29" t="str">
        <f t="shared" si="837"/>
        <v>NA</v>
      </c>
      <c r="AB2530" s="29" t="str">
        <f t="shared" si="838"/>
        <v>NA</v>
      </c>
      <c r="AC2530" s="29" t="str">
        <f t="shared" si="839"/>
        <v>NA</v>
      </c>
      <c r="AD2530" s="29" t="str">
        <f t="shared" si="840"/>
        <v>NA</v>
      </c>
      <c r="AE2530" s="29" t="str">
        <f t="shared" si="841"/>
        <v>NA</v>
      </c>
      <c r="AF2530" s="29" t="str">
        <f t="shared" si="842"/>
        <v>NA</v>
      </c>
      <c r="AG2530" s="29" t="str">
        <f t="shared" si="843"/>
        <v>NA</v>
      </c>
      <c r="AH2530" s="29" t="str">
        <f t="shared" si="844"/>
        <v>NA</v>
      </c>
    </row>
    <row r="2531" customHeight="1" spans="1:34">
      <c r="A2531" s="12" t="s">
        <v>1043</v>
      </c>
      <c r="F2531" s="24">
        <f t="shared" si="826"/>
        <v>0</v>
      </c>
      <c r="G2531" s="24" t="e">
        <f t="shared" si="825"/>
        <v>#DIV/0!</v>
      </c>
      <c r="Q2531" s="29" t="str">
        <f t="shared" si="827"/>
        <v>NA</v>
      </c>
      <c r="R2531" s="29" t="str">
        <f t="shared" si="828"/>
        <v>NA</v>
      </c>
      <c r="S2531" s="29" t="str">
        <f t="shared" si="829"/>
        <v>NA</v>
      </c>
      <c r="T2531" s="29" t="str">
        <f t="shared" si="830"/>
        <v>NA</v>
      </c>
      <c r="U2531" s="29" t="str">
        <f t="shared" si="831"/>
        <v>NA</v>
      </c>
      <c r="V2531" s="29" t="str">
        <f t="shared" si="832"/>
        <v>NA</v>
      </c>
      <c r="W2531" s="29" t="str">
        <f t="shared" si="833"/>
        <v>NA</v>
      </c>
      <c r="X2531" s="29" t="str">
        <f t="shared" si="834"/>
        <v>NA</v>
      </c>
      <c r="Y2531" s="29" t="str">
        <f t="shared" si="835"/>
        <v>NA</v>
      </c>
      <c r="Z2531" s="29" t="str">
        <f t="shared" si="836"/>
        <v>NA</v>
      </c>
      <c r="AA2531" s="29" t="str">
        <f t="shared" si="837"/>
        <v>NA</v>
      </c>
      <c r="AB2531" s="29" t="str">
        <f t="shared" si="838"/>
        <v>NA</v>
      </c>
      <c r="AC2531" s="29" t="str">
        <f t="shared" si="839"/>
        <v>NA</v>
      </c>
      <c r="AD2531" s="29" t="str">
        <f t="shared" si="840"/>
        <v>NA</v>
      </c>
      <c r="AE2531" s="29" t="str">
        <f t="shared" si="841"/>
        <v>NA</v>
      </c>
      <c r="AF2531" s="29" t="str">
        <f t="shared" si="842"/>
        <v>NA</v>
      </c>
      <c r="AG2531" s="29" t="str">
        <f t="shared" si="843"/>
        <v>NA</v>
      </c>
      <c r="AH2531" s="29" t="str">
        <f t="shared" si="844"/>
        <v>NA</v>
      </c>
    </row>
    <row r="2532" customHeight="1" spans="1:34">
      <c r="A2532" s="12" t="s">
        <v>1043</v>
      </c>
      <c r="F2532" s="24">
        <f t="shared" si="826"/>
        <v>0</v>
      </c>
      <c r="G2532" s="24" t="e">
        <f t="shared" si="825"/>
        <v>#DIV/0!</v>
      </c>
      <c r="Q2532" s="29" t="str">
        <f t="shared" si="827"/>
        <v>NA</v>
      </c>
      <c r="R2532" s="29" t="str">
        <f t="shared" si="828"/>
        <v>NA</v>
      </c>
      <c r="S2532" s="29" t="str">
        <f t="shared" si="829"/>
        <v>NA</v>
      </c>
      <c r="T2532" s="29" t="str">
        <f t="shared" si="830"/>
        <v>NA</v>
      </c>
      <c r="U2532" s="29" t="str">
        <f t="shared" si="831"/>
        <v>NA</v>
      </c>
      <c r="V2532" s="29" t="str">
        <f t="shared" si="832"/>
        <v>NA</v>
      </c>
      <c r="W2532" s="29" t="str">
        <f t="shared" si="833"/>
        <v>NA</v>
      </c>
      <c r="X2532" s="29" t="str">
        <f t="shared" si="834"/>
        <v>NA</v>
      </c>
      <c r="Y2532" s="29" t="str">
        <f t="shared" si="835"/>
        <v>NA</v>
      </c>
      <c r="Z2532" s="29" t="str">
        <f t="shared" si="836"/>
        <v>NA</v>
      </c>
      <c r="AA2532" s="29" t="str">
        <f t="shared" si="837"/>
        <v>NA</v>
      </c>
      <c r="AB2532" s="29" t="str">
        <f t="shared" si="838"/>
        <v>NA</v>
      </c>
      <c r="AC2532" s="29" t="str">
        <f t="shared" si="839"/>
        <v>NA</v>
      </c>
      <c r="AD2532" s="29" t="str">
        <f t="shared" si="840"/>
        <v>NA</v>
      </c>
      <c r="AE2532" s="29" t="str">
        <f t="shared" si="841"/>
        <v>NA</v>
      </c>
      <c r="AF2532" s="29" t="str">
        <f t="shared" si="842"/>
        <v>NA</v>
      </c>
      <c r="AG2532" s="29" t="str">
        <f t="shared" si="843"/>
        <v>NA</v>
      </c>
      <c r="AH2532" s="29" t="str">
        <f t="shared" si="844"/>
        <v>NA</v>
      </c>
    </row>
    <row r="2533" customHeight="1" spans="1:34">
      <c r="A2533" s="12" t="s">
        <v>1043</v>
      </c>
      <c r="F2533" s="24">
        <f t="shared" si="826"/>
        <v>0</v>
      </c>
      <c r="G2533" s="24" t="e">
        <f t="shared" si="825"/>
        <v>#DIV/0!</v>
      </c>
      <c r="Q2533" s="29" t="str">
        <f t="shared" si="827"/>
        <v>NA</v>
      </c>
      <c r="R2533" s="29" t="str">
        <f t="shared" si="828"/>
        <v>NA</v>
      </c>
      <c r="S2533" s="29" t="str">
        <f t="shared" si="829"/>
        <v>NA</v>
      </c>
      <c r="T2533" s="29" t="str">
        <f t="shared" si="830"/>
        <v>NA</v>
      </c>
      <c r="U2533" s="29" t="str">
        <f t="shared" si="831"/>
        <v>NA</v>
      </c>
      <c r="V2533" s="29" t="str">
        <f t="shared" si="832"/>
        <v>NA</v>
      </c>
      <c r="W2533" s="29" t="str">
        <f t="shared" si="833"/>
        <v>NA</v>
      </c>
      <c r="X2533" s="29" t="str">
        <f t="shared" si="834"/>
        <v>NA</v>
      </c>
      <c r="Y2533" s="29" t="str">
        <f t="shared" si="835"/>
        <v>NA</v>
      </c>
      <c r="Z2533" s="29" t="str">
        <f t="shared" si="836"/>
        <v>NA</v>
      </c>
      <c r="AA2533" s="29" t="str">
        <f t="shared" si="837"/>
        <v>NA</v>
      </c>
      <c r="AB2533" s="29" t="str">
        <f t="shared" si="838"/>
        <v>NA</v>
      </c>
      <c r="AC2533" s="29" t="str">
        <f t="shared" si="839"/>
        <v>NA</v>
      </c>
      <c r="AD2533" s="29" t="str">
        <f t="shared" si="840"/>
        <v>NA</v>
      </c>
      <c r="AE2533" s="29" t="str">
        <f t="shared" si="841"/>
        <v>NA</v>
      </c>
      <c r="AF2533" s="29" t="str">
        <f t="shared" si="842"/>
        <v>NA</v>
      </c>
      <c r="AG2533" s="29" t="str">
        <f t="shared" si="843"/>
        <v>NA</v>
      </c>
      <c r="AH2533" s="29" t="str">
        <f t="shared" si="844"/>
        <v>NA</v>
      </c>
    </row>
    <row r="2534" customHeight="1" spans="1:34">
      <c r="A2534" s="12" t="s">
        <v>1043</v>
      </c>
      <c r="F2534" s="24">
        <f t="shared" si="826"/>
        <v>0</v>
      </c>
      <c r="G2534" s="24" t="e">
        <f t="shared" si="825"/>
        <v>#DIV/0!</v>
      </c>
      <c r="Q2534" s="29" t="str">
        <f t="shared" si="827"/>
        <v>NA</v>
      </c>
      <c r="R2534" s="29" t="str">
        <f t="shared" si="828"/>
        <v>NA</v>
      </c>
      <c r="S2534" s="29" t="str">
        <f t="shared" si="829"/>
        <v>NA</v>
      </c>
      <c r="T2534" s="29" t="str">
        <f t="shared" si="830"/>
        <v>NA</v>
      </c>
      <c r="U2534" s="29" t="str">
        <f t="shared" si="831"/>
        <v>NA</v>
      </c>
      <c r="V2534" s="29" t="str">
        <f t="shared" si="832"/>
        <v>NA</v>
      </c>
      <c r="W2534" s="29" t="str">
        <f t="shared" si="833"/>
        <v>NA</v>
      </c>
      <c r="X2534" s="29" t="str">
        <f t="shared" si="834"/>
        <v>NA</v>
      </c>
      <c r="Y2534" s="29" t="str">
        <f t="shared" si="835"/>
        <v>NA</v>
      </c>
      <c r="Z2534" s="29" t="str">
        <f t="shared" si="836"/>
        <v>NA</v>
      </c>
      <c r="AA2534" s="29" t="str">
        <f t="shared" si="837"/>
        <v>NA</v>
      </c>
      <c r="AB2534" s="29" t="str">
        <f t="shared" si="838"/>
        <v>NA</v>
      </c>
      <c r="AC2534" s="29" t="str">
        <f t="shared" si="839"/>
        <v>NA</v>
      </c>
      <c r="AD2534" s="29" t="str">
        <f t="shared" si="840"/>
        <v>NA</v>
      </c>
      <c r="AE2534" s="29" t="str">
        <f t="shared" si="841"/>
        <v>NA</v>
      </c>
      <c r="AF2534" s="29" t="str">
        <f t="shared" si="842"/>
        <v>NA</v>
      </c>
      <c r="AG2534" s="29" t="str">
        <f t="shared" si="843"/>
        <v>NA</v>
      </c>
      <c r="AH2534" s="29" t="str">
        <f t="shared" si="844"/>
        <v>NA</v>
      </c>
    </row>
    <row r="2535" customHeight="1" spans="1:34">
      <c r="A2535" s="12" t="s">
        <v>1043</v>
      </c>
      <c r="F2535" s="24">
        <f t="shared" si="826"/>
        <v>0</v>
      </c>
      <c r="G2535" s="24" t="e">
        <f t="shared" si="825"/>
        <v>#DIV/0!</v>
      </c>
      <c r="Q2535" s="29" t="str">
        <f t="shared" si="827"/>
        <v>NA</v>
      </c>
      <c r="R2535" s="29" t="str">
        <f t="shared" si="828"/>
        <v>NA</v>
      </c>
      <c r="S2535" s="29" t="str">
        <f t="shared" si="829"/>
        <v>NA</v>
      </c>
      <c r="T2535" s="29" t="str">
        <f t="shared" si="830"/>
        <v>NA</v>
      </c>
      <c r="U2535" s="29" t="str">
        <f t="shared" si="831"/>
        <v>NA</v>
      </c>
      <c r="V2535" s="29" t="str">
        <f t="shared" si="832"/>
        <v>NA</v>
      </c>
      <c r="W2535" s="29" t="str">
        <f t="shared" si="833"/>
        <v>NA</v>
      </c>
      <c r="X2535" s="29" t="str">
        <f t="shared" si="834"/>
        <v>NA</v>
      </c>
      <c r="Y2535" s="29" t="str">
        <f t="shared" si="835"/>
        <v>NA</v>
      </c>
      <c r="Z2535" s="29" t="str">
        <f t="shared" si="836"/>
        <v>NA</v>
      </c>
      <c r="AA2535" s="29" t="str">
        <f t="shared" si="837"/>
        <v>NA</v>
      </c>
      <c r="AB2535" s="29" t="str">
        <f t="shared" si="838"/>
        <v>NA</v>
      </c>
      <c r="AC2535" s="29" t="str">
        <f t="shared" si="839"/>
        <v>NA</v>
      </c>
      <c r="AD2535" s="29" t="str">
        <f t="shared" si="840"/>
        <v>NA</v>
      </c>
      <c r="AE2535" s="29" t="str">
        <f t="shared" si="841"/>
        <v>NA</v>
      </c>
      <c r="AF2535" s="29" t="str">
        <f t="shared" si="842"/>
        <v>NA</v>
      </c>
      <c r="AG2535" s="29" t="str">
        <f t="shared" si="843"/>
        <v>NA</v>
      </c>
      <c r="AH2535" s="29" t="str">
        <f t="shared" si="844"/>
        <v>NA</v>
      </c>
    </row>
    <row r="2536" customHeight="1" spans="1:34">
      <c r="A2536" s="12" t="s">
        <v>1043</v>
      </c>
      <c r="F2536" s="24">
        <f t="shared" si="826"/>
        <v>0</v>
      </c>
      <c r="G2536" s="24" t="e">
        <f t="shared" si="825"/>
        <v>#DIV/0!</v>
      </c>
      <c r="Q2536" s="29" t="str">
        <f t="shared" si="827"/>
        <v>NA</v>
      </c>
      <c r="R2536" s="29" t="str">
        <f t="shared" si="828"/>
        <v>NA</v>
      </c>
      <c r="S2536" s="29" t="str">
        <f t="shared" si="829"/>
        <v>NA</v>
      </c>
      <c r="T2536" s="29" t="str">
        <f t="shared" si="830"/>
        <v>NA</v>
      </c>
      <c r="U2536" s="29" t="str">
        <f t="shared" si="831"/>
        <v>NA</v>
      </c>
      <c r="V2536" s="29" t="str">
        <f t="shared" si="832"/>
        <v>NA</v>
      </c>
      <c r="W2536" s="29" t="str">
        <f t="shared" si="833"/>
        <v>NA</v>
      </c>
      <c r="X2536" s="29" t="str">
        <f t="shared" si="834"/>
        <v>NA</v>
      </c>
      <c r="Y2536" s="29" t="str">
        <f t="shared" si="835"/>
        <v>NA</v>
      </c>
      <c r="Z2536" s="29" t="str">
        <f t="shared" si="836"/>
        <v>NA</v>
      </c>
      <c r="AA2536" s="29" t="str">
        <f t="shared" si="837"/>
        <v>NA</v>
      </c>
      <c r="AB2536" s="29" t="str">
        <f t="shared" si="838"/>
        <v>NA</v>
      </c>
      <c r="AC2536" s="29" t="str">
        <f t="shared" si="839"/>
        <v>NA</v>
      </c>
      <c r="AD2536" s="29" t="str">
        <f t="shared" si="840"/>
        <v>NA</v>
      </c>
      <c r="AE2536" s="29" t="str">
        <f t="shared" si="841"/>
        <v>NA</v>
      </c>
      <c r="AF2536" s="29" t="str">
        <f t="shared" si="842"/>
        <v>NA</v>
      </c>
      <c r="AG2536" s="29" t="str">
        <f t="shared" si="843"/>
        <v>NA</v>
      </c>
      <c r="AH2536" s="29" t="str">
        <f t="shared" si="844"/>
        <v>NA</v>
      </c>
    </row>
    <row r="2537" customHeight="1" spans="1:34">
      <c r="A2537" s="12" t="s">
        <v>1043</v>
      </c>
      <c r="F2537" s="24">
        <f t="shared" si="826"/>
        <v>0</v>
      </c>
      <c r="G2537" s="24" t="e">
        <f t="shared" si="825"/>
        <v>#DIV/0!</v>
      </c>
      <c r="Q2537" s="29" t="str">
        <f t="shared" si="827"/>
        <v>NA</v>
      </c>
      <c r="R2537" s="29" t="str">
        <f t="shared" si="828"/>
        <v>NA</v>
      </c>
      <c r="S2537" s="29" t="str">
        <f t="shared" si="829"/>
        <v>NA</v>
      </c>
      <c r="T2537" s="29" t="str">
        <f t="shared" si="830"/>
        <v>NA</v>
      </c>
      <c r="U2537" s="29" t="str">
        <f t="shared" si="831"/>
        <v>NA</v>
      </c>
      <c r="V2537" s="29" t="str">
        <f t="shared" si="832"/>
        <v>NA</v>
      </c>
      <c r="W2537" s="29" t="str">
        <f t="shared" si="833"/>
        <v>NA</v>
      </c>
      <c r="X2537" s="29" t="str">
        <f t="shared" si="834"/>
        <v>NA</v>
      </c>
      <c r="Y2537" s="29" t="str">
        <f t="shared" si="835"/>
        <v>NA</v>
      </c>
      <c r="Z2537" s="29" t="str">
        <f t="shared" si="836"/>
        <v>NA</v>
      </c>
      <c r="AA2537" s="29" t="str">
        <f t="shared" si="837"/>
        <v>NA</v>
      </c>
      <c r="AB2537" s="29" t="str">
        <f t="shared" si="838"/>
        <v>NA</v>
      </c>
      <c r="AC2537" s="29" t="str">
        <f t="shared" si="839"/>
        <v>NA</v>
      </c>
      <c r="AD2537" s="29" t="str">
        <f t="shared" si="840"/>
        <v>NA</v>
      </c>
      <c r="AE2537" s="29" t="str">
        <f t="shared" si="841"/>
        <v>NA</v>
      </c>
      <c r="AF2537" s="29" t="str">
        <f t="shared" si="842"/>
        <v>NA</v>
      </c>
      <c r="AG2537" s="29" t="str">
        <f t="shared" si="843"/>
        <v>NA</v>
      </c>
      <c r="AH2537" s="29" t="str">
        <f t="shared" si="844"/>
        <v>NA</v>
      </c>
    </row>
    <row r="2538" customHeight="1" spans="1:34">
      <c r="A2538" s="12" t="s">
        <v>1043</v>
      </c>
      <c r="F2538" s="24">
        <f t="shared" si="826"/>
        <v>0</v>
      </c>
      <c r="G2538" s="24" t="e">
        <f t="shared" si="825"/>
        <v>#DIV/0!</v>
      </c>
      <c r="Q2538" s="29" t="str">
        <f t="shared" si="827"/>
        <v>NA</v>
      </c>
      <c r="R2538" s="29" t="str">
        <f t="shared" si="828"/>
        <v>NA</v>
      </c>
      <c r="S2538" s="29" t="str">
        <f t="shared" si="829"/>
        <v>NA</v>
      </c>
      <c r="T2538" s="29" t="str">
        <f t="shared" si="830"/>
        <v>NA</v>
      </c>
      <c r="U2538" s="29" t="str">
        <f t="shared" si="831"/>
        <v>NA</v>
      </c>
      <c r="V2538" s="29" t="str">
        <f t="shared" si="832"/>
        <v>NA</v>
      </c>
      <c r="W2538" s="29" t="str">
        <f t="shared" si="833"/>
        <v>NA</v>
      </c>
      <c r="X2538" s="29" t="str">
        <f t="shared" si="834"/>
        <v>NA</v>
      </c>
      <c r="Y2538" s="29" t="str">
        <f t="shared" si="835"/>
        <v>NA</v>
      </c>
      <c r="Z2538" s="29" t="str">
        <f t="shared" si="836"/>
        <v>NA</v>
      </c>
      <c r="AA2538" s="29" t="str">
        <f t="shared" si="837"/>
        <v>NA</v>
      </c>
      <c r="AB2538" s="29" t="str">
        <f t="shared" si="838"/>
        <v>NA</v>
      </c>
      <c r="AC2538" s="29" t="str">
        <f t="shared" si="839"/>
        <v>NA</v>
      </c>
      <c r="AD2538" s="29" t="str">
        <f t="shared" si="840"/>
        <v>NA</v>
      </c>
      <c r="AE2538" s="29" t="str">
        <f t="shared" si="841"/>
        <v>NA</v>
      </c>
      <c r="AF2538" s="29" t="str">
        <f t="shared" si="842"/>
        <v>NA</v>
      </c>
      <c r="AG2538" s="29" t="str">
        <f t="shared" si="843"/>
        <v>NA</v>
      </c>
      <c r="AH2538" s="29" t="str">
        <f t="shared" si="844"/>
        <v>NA</v>
      </c>
    </row>
    <row r="2539" customHeight="1" spans="1:34">
      <c r="A2539" s="12" t="s">
        <v>1043</v>
      </c>
      <c r="F2539" s="24">
        <f t="shared" si="826"/>
        <v>0</v>
      </c>
      <c r="G2539" s="24" t="e">
        <f t="shared" si="825"/>
        <v>#DIV/0!</v>
      </c>
      <c r="Q2539" s="29" t="str">
        <f t="shared" si="827"/>
        <v>NA</v>
      </c>
      <c r="R2539" s="29" t="str">
        <f t="shared" si="828"/>
        <v>NA</v>
      </c>
      <c r="S2539" s="29" t="str">
        <f t="shared" si="829"/>
        <v>NA</v>
      </c>
      <c r="T2539" s="29" t="str">
        <f t="shared" si="830"/>
        <v>NA</v>
      </c>
      <c r="U2539" s="29" t="str">
        <f t="shared" si="831"/>
        <v>NA</v>
      </c>
      <c r="V2539" s="29" t="str">
        <f t="shared" si="832"/>
        <v>NA</v>
      </c>
      <c r="W2539" s="29" t="str">
        <f t="shared" si="833"/>
        <v>NA</v>
      </c>
      <c r="X2539" s="29" t="str">
        <f t="shared" si="834"/>
        <v>NA</v>
      </c>
      <c r="Y2539" s="29" t="str">
        <f t="shared" si="835"/>
        <v>NA</v>
      </c>
      <c r="Z2539" s="29" t="str">
        <f t="shared" si="836"/>
        <v>NA</v>
      </c>
      <c r="AA2539" s="29" t="str">
        <f t="shared" si="837"/>
        <v>NA</v>
      </c>
      <c r="AB2539" s="29" t="str">
        <f t="shared" si="838"/>
        <v>NA</v>
      </c>
      <c r="AC2539" s="29" t="str">
        <f t="shared" si="839"/>
        <v>NA</v>
      </c>
      <c r="AD2539" s="29" t="str">
        <f t="shared" si="840"/>
        <v>NA</v>
      </c>
      <c r="AE2539" s="29" t="str">
        <f t="shared" si="841"/>
        <v>NA</v>
      </c>
      <c r="AF2539" s="29" t="str">
        <f t="shared" si="842"/>
        <v>NA</v>
      </c>
      <c r="AG2539" s="29" t="str">
        <f t="shared" si="843"/>
        <v>NA</v>
      </c>
      <c r="AH2539" s="29" t="str">
        <f t="shared" si="844"/>
        <v>NA</v>
      </c>
    </row>
    <row r="2540" customHeight="1" spans="1:34">
      <c r="A2540" s="12" t="s">
        <v>1043</v>
      </c>
      <c r="F2540" s="24">
        <f t="shared" si="826"/>
        <v>0</v>
      </c>
      <c r="G2540" s="24" t="e">
        <f t="shared" si="825"/>
        <v>#DIV/0!</v>
      </c>
      <c r="Q2540" s="29" t="str">
        <f t="shared" si="827"/>
        <v>NA</v>
      </c>
      <c r="R2540" s="29" t="str">
        <f t="shared" si="828"/>
        <v>NA</v>
      </c>
      <c r="S2540" s="29" t="str">
        <f t="shared" si="829"/>
        <v>NA</v>
      </c>
      <c r="T2540" s="29" t="str">
        <f t="shared" si="830"/>
        <v>NA</v>
      </c>
      <c r="U2540" s="29" t="str">
        <f t="shared" si="831"/>
        <v>NA</v>
      </c>
      <c r="V2540" s="29" t="str">
        <f t="shared" si="832"/>
        <v>NA</v>
      </c>
      <c r="W2540" s="29" t="str">
        <f t="shared" si="833"/>
        <v>NA</v>
      </c>
      <c r="X2540" s="29" t="str">
        <f t="shared" si="834"/>
        <v>NA</v>
      </c>
      <c r="Y2540" s="29" t="str">
        <f t="shared" si="835"/>
        <v>NA</v>
      </c>
      <c r="Z2540" s="29" t="str">
        <f t="shared" si="836"/>
        <v>NA</v>
      </c>
      <c r="AA2540" s="29" t="str">
        <f t="shared" si="837"/>
        <v>NA</v>
      </c>
      <c r="AB2540" s="29" t="str">
        <f t="shared" si="838"/>
        <v>NA</v>
      </c>
      <c r="AC2540" s="29" t="str">
        <f t="shared" si="839"/>
        <v>NA</v>
      </c>
      <c r="AD2540" s="29" t="str">
        <f t="shared" si="840"/>
        <v>NA</v>
      </c>
      <c r="AE2540" s="29" t="str">
        <f t="shared" si="841"/>
        <v>NA</v>
      </c>
      <c r="AF2540" s="29" t="str">
        <f t="shared" si="842"/>
        <v>NA</v>
      </c>
      <c r="AG2540" s="29" t="str">
        <f t="shared" si="843"/>
        <v>NA</v>
      </c>
      <c r="AH2540" s="29" t="str">
        <f t="shared" si="844"/>
        <v>NA</v>
      </c>
    </row>
    <row r="2541" customHeight="1" spans="1:34">
      <c r="A2541" s="12" t="s">
        <v>1043</v>
      </c>
      <c r="F2541" s="24">
        <f t="shared" si="826"/>
        <v>0</v>
      </c>
      <c r="G2541" s="24" t="e">
        <f t="shared" si="825"/>
        <v>#DIV/0!</v>
      </c>
      <c r="Q2541" s="29" t="str">
        <f t="shared" si="827"/>
        <v>NA</v>
      </c>
      <c r="R2541" s="29" t="str">
        <f t="shared" si="828"/>
        <v>NA</v>
      </c>
      <c r="S2541" s="29" t="str">
        <f t="shared" si="829"/>
        <v>NA</v>
      </c>
      <c r="T2541" s="29" t="str">
        <f t="shared" si="830"/>
        <v>NA</v>
      </c>
      <c r="U2541" s="29" t="str">
        <f t="shared" si="831"/>
        <v>NA</v>
      </c>
      <c r="V2541" s="29" t="str">
        <f t="shared" si="832"/>
        <v>NA</v>
      </c>
      <c r="W2541" s="29" t="str">
        <f t="shared" si="833"/>
        <v>NA</v>
      </c>
      <c r="X2541" s="29" t="str">
        <f t="shared" si="834"/>
        <v>NA</v>
      </c>
      <c r="Y2541" s="29" t="str">
        <f t="shared" si="835"/>
        <v>NA</v>
      </c>
      <c r="Z2541" s="29" t="str">
        <f t="shared" si="836"/>
        <v>NA</v>
      </c>
      <c r="AA2541" s="29" t="str">
        <f t="shared" si="837"/>
        <v>NA</v>
      </c>
      <c r="AB2541" s="29" t="str">
        <f t="shared" si="838"/>
        <v>NA</v>
      </c>
      <c r="AC2541" s="29" t="str">
        <f t="shared" si="839"/>
        <v>NA</v>
      </c>
      <c r="AD2541" s="29" t="str">
        <f t="shared" si="840"/>
        <v>NA</v>
      </c>
      <c r="AE2541" s="29" t="str">
        <f t="shared" si="841"/>
        <v>NA</v>
      </c>
      <c r="AF2541" s="29" t="str">
        <f t="shared" si="842"/>
        <v>NA</v>
      </c>
      <c r="AG2541" s="29" t="str">
        <f t="shared" si="843"/>
        <v>NA</v>
      </c>
      <c r="AH2541" s="29" t="str">
        <f t="shared" si="844"/>
        <v>NA</v>
      </c>
    </row>
    <row r="2542" customHeight="1" spans="1:34">
      <c r="A2542" s="12" t="s">
        <v>1043</v>
      </c>
      <c r="F2542" s="24">
        <f t="shared" si="826"/>
        <v>0</v>
      </c>
      <c r="G2542" s="24" t="e">
        <f t="shared" si="825"/>
        <v>#DIV/0!</v>
      </c>
      <c r="Q2542" s="29" t="str">
        <f t="shared" si="827"/>
        <v>NA</v>
      </c>
      <c r="R2542" s="29" t="str">
        <f t="shared" si="828"/>
        <v>NA</v>
      </c>
      <c r="S2542" s="29" t="str">
        <f t="shared" si="829"/>
        <v>NA</v>
      </c>
      <c r="T2542" s="29" t="str">
        <f t="shared" si="830"/>
        <v>NA</v>
      </c>
      <c r="U2542" s="29" t="str">
        <f t="shared" si="831"/>
        <v>NA</v>
      </c>
      <c r="V2542" s="29" t="str">
        <f t="shared" si="832"/>
        <v>NA</v>
      </c>
      <c r="W2542" s="29" t="str">
        <f t="shared" si="833"/>
        <v>NA</v>
      </c>
      <c r="X2542" s="29" t="str">
        <f t="shared" si="834"/>
        <v>NA</v>
      </c>
      <c r="Y2542" s="29" t="str">
        <f t="shared" si="835"/>
        <v>NA</v>
      </c>
      <c r="Z2542" s="29" t="str">
        <f t="shared" si="836"/>
        <v>NA</v>
      </c>
      <c r="AA2542" s="29" t="str">
        <f t="shared" si="837"/>
        <v>NA</v>
      </c>
      <c r="AB2542" s="29" t="str">
        <f t="shared" si="838"/>
        <v>NA</v>
      </c>
      <c r="AC2542" s="29" t="str">
        <f t="shared" si="839"/>
        <v>NA</v>
      </c>
      <c r="AD2542" s="29" t="str">
        <f t="shared" si="840"/>
        <v>NA</v>
      </c>
      <c r="AE2542" s="29" t="str">
        <f t="shared" si="841"/>
        <v>NA</v>
      </c>
      <c r="AF2542" s="29" t="str">
        <f t="shared" si="842"/>
        <v>NA</v>
      </c>
      <c r="AG2542" s="29" t="str">
        <f t="shared" si="843"/>
        <v>NA</v>
      </c>
      <c r="AH2542" s="29" t="str">
        <f t="shared" si="844"/>
        <v>NA</v>
      </c>
    </row>
    <row r="2543" customHeight="1" spans="1:34">
      <c r="A2543" s="12" t="s">
        <v>1043</v>
      </c>
      <c r="F2543" s="24">
        <f t="shared" si="826"/>
        <v>0</v>
      </c>
      <c r="G2543" s="24" t="e">
        <f t="shared" si="825"/>
        <v>#DIV/0!</v>
      </c>
      <c r="Q2543" s="29" t="str">
        <f t="shared" si="827"/>
        <v>NA</v>
      </c>
      <c r="R2543" s="29" t="str">
        <f t="shared" si="828"/>
        <v>NA</v>
      </c>
      <c r="S2543" s="29" t="str">
        <f t="shared" si="829"/>
        <v>NA</v>
      </c>
      <c r="T2543" s="29" t="str">
        <f t="shared" si="830"/>
        <v>NA</v>
      </c>
      <c r="U2543" s="29" t="str">
        <f t="shared" si="831"/>
        <v>NA</v>
      </c>
      <c r="V2543" s="29" t="str">
        <f t="shared" si="832"/>
        <v>NA</v>
      </c>
      <c r="W2543" s="29" t="str">
        <f t="shared" si="833"/>
        <v>NA</v>
      </c>
      <c r="X2543" s="29" t="str">
        <f t="shared" si="834"/>
        <v>NA</v>
      </c>
      <c r="Y2543" s="29" t="str">
        <f t="shared" si="835"/>
        <v>NA</v>
      </c>
      <c r="Z2543" s="29" t="str">
        <f t="shared" si="836"/>
        <v>NA</v>
      </c>
      <c r="AA2543" s="29" t="str">
        <f t="shared" si="837"/>
        <v>NA</v>
      </c>
      <c r="AB2543" s="29" t="str">
        <f t="shared" si="838"/>
        <v>NA</v>
      </c>
      <c r="AC2543" s="29" t="str">
        <f t="shared" si="839"/>
        <v>NA</v>
      </c>
      <c r="AD2543" s="29" t="str">
        <f t="shared" si="840"/>
        <v>NA</v>
      </c>
      <c r="AE2543" s="29" t="str">
        <f t="shared" si="841"/>
        <v>NA</v>
      </c>
      <c r="AF2543" s="29" t="str">
        <f t="shared" si="842"/>
        <v>NA</v>
      </c>
      <c r="AG2543" s="29" t="str">
        <f t="shared" si="843"/>
        <v>NA</v>
      </c>
      <c r="AH2543" s="29" t="str">
        <f t="shared" si="844"/>
        <v>NA</v>
      </c>
    </row>
    <row r="2544" customHeight="1" spans="1:34">
      <c r="A2544" s="12" t="s">
        <v>1043</v>
      </c>
      <c r="F2544" s="24">
        <f t="shared" si="826"/>
        <v>0</v>
      </c>
      <c r="G2544" s="24" t="e">
        <f t="shared" si="825"/>
        <v>#DIV/0!</v>
      </c>
      <c r="Q2544" s="29" t="str">
        <f t="shared" si="827"/>
        <v>NA</v>
      </c>
      <c r="R2544" s="29" t="str">
        <f t="shared" si="828"/>
        <v>NA</v>
      </c>
      <c r="S2544" s="29" t="str">
        <f t="shared" si="829"/>
        <v>NA</v>
      </c>
      <c r="T2544" s="29" t="str">
        <f t="shared" si="830"/>
        <v>NA</v>
      </c>
      <c r="U2544" s="29" t="str">
        <f t="shared" si="831"/>
        <v>NA</v>
      </c>
      <c r="V2544" s="29" t="str">
        <f t="shared" si="832"/>
        <v>NA</v>
      </c>
      <c r="W2544" s="29" t="str">
        <f t="shared" si="833"/>
        <v>NA</v>
      </c>
      <c r="X2544" s="29" t="str">
        <f t="shared" si="834"/>
        <v>NA</v>
      </c>
      <c r="Y2544" s="29" t="str">
        <f t="shared" si="835"/>
        <v>NA</v>
      </c>
      <c r="Z2544" s="29" t="str">
        <f t="shared" si="836"/>
        <v>NA</v>
      </c>
      <c r="AA2544" s="29" t="str">
        <f t="shared" si="837"/>
        <v>NA</v>
      </c>
      <c r="AB2544" s="29" t="str">
        <f t="shared" si="838"/>
        <v>NA</v>
      </c>
      <c r="AC2544" s="29" t="str">
        <f t="shared" si="839"/>
        <v>NA</v>
      </c>
      <c r="AD2544" s="29" t="str">
        <f t="shared" si="840"/>
        <v>NA</v>
      </c>
      <c r="AE2544" s="29" t="str">
        <f t="shared" si="841"/>
        <v>NA</v>
      </c>
      <c r="AF2544" s="29" t="str">
        <f t="shared" si="842"/>
        <v>NA</v>
      </c>
      <c r="AG2544" s="29" t="str">
        <f t="shared" si="843"/>
        <v>NA</v>
      </c>
      <c r="AH2544" s="29" t="str">
        <f t="shared" si="844"/>
        <v>NA</v>
      </c>
    </row>
    <row r="2545" customHeight="1" spans="1:34">
      <c r="A2545" s="12" t="s">
        <v>1043</v>
      </c>
      <c r="F2545" s="24">
        <f t="shared" si="826"/>
        <v>0</v>
      </c>
      <c r="G2545" s="24" t="e">
        <f t="shared" si="825"/>
        <v>#DIV/0!</v>
      </c>
      <c r="Q2545" s="29" t="str">
        <f t="shared" si="827"/>
        <v>NA</v>
      </c>
      <c r="R2545" s="29" t="str">
        <f t="shared" si="828"/>
        <v>NA</v>
      </c>
      <c r="S2545" s="29" t="str">
        <f t="shared" si="829"/>
        <v>NA</v>
      </c>
      <c r="T2545" s="29" t="str">
        <f t="shared" si="830"/>
        <v>NA</v>
      </c>
      <c r="U2545" s="29" t="str">
        <f t="shared" si="831"/>
        <v>NA</v>
      </c>
      <c r="V2545" s="29" t="str">
        <f t="shared" si="832"/>
        <v>NA</v>
      </c>
      <c r="W2545" s="29" t="str">
        <f t="shared" si="833"/>
        <v>NA</v>
      </c>
      <c r="X2545" s="29" t="str">
        <f t="shared" si="834"/>
        <v>NA</v>
      </c>
      <c r="Y2545" s="29" t="str">
        <f t="shared" si="835"/>
        <v>NA</v>
      </c>
      <c r="Z2545" s="29" t="str">
        <f t="shared" si="836"/>
        <v>NA</v>
      </c>
      <c r="AA2545" s="29" t="str">
        <f t="shared" si="837"/>
        <v>NA</v>
      </c>
      <c r="AB2545" s="29" t="str">
        <f t="shared" si="838"/>
        <v>NA</v>
      </c>
      <c r="AC2545" s="29" t="str">
        <f t="shared" si="839"/>
        <v>NA</v>
      </c>
      <c r="AD2545" s="29" t="str">
        <f t="shared" si="840"/>
        <v>NA</v>
      </c>
      <c r="AE2545" s="29" t="str">
        <f t="shared" si="841"/>
        <v>NA</v>
      </c>
      <c r="AF2545" s="29" t="str">
        <f t="shared" si="842"/>
        <v>NA</v>
      </c>
      <c r="AG2545" s="29" t="str">
        <f t="shared" si="843"/>
        <v>NA</v>
      </c>
      <c r="AH2545" s="29" t="str">
        <f t="shared" si="844"/>
        <v>NA</v>
      </c>
    </row>
    <row r="2546" customHeight="1" spans="1:34">
      <c r="A2546" s="12" t="s">
        <v>1043</v>
      </c>
      <c r="F2546" s="24">
        <f t="shared" si="826"/>
        <v>0</v>
      </c>
      <c r="G2546" s="24" t="e">
        <f t="shared" si="825"/>
        <v>#DIV/0!</v>
      </c>
      <c r="Q2546" s="29" t="str">
        <f t="shared" si="827"/>
        <v>NA</v>
      </c>
      <c r="R2546" s="29" t="str">
        <f t="shared" si="828"/>
        <v>NA</v>
      </c>
      <c r="S2546" s="29" t="str">
        <f t="shared" si="829"/>
        <v>NA</v>
      </c>
      <c r="T2546" s="29" t="str">
        <f t="shared" si="830"/>
        <v>NA</v>
      </c>
      <c r="U2546" s="29" t="str">
        <f t="shared" si="831"/>
        <v>NA</v>
      </c>
      <c r="V2546" s="29" t="str">
        <f t="shared" si="832"/>
        <v>NA</v>
      </c>
      <c r="W2546" s="29" t="str">
        <f t="shared" si="833"/>
        <v>NA</v>
      </c>
      <c r="X2546" s="29" t="str">
        <f t="shared" si="834"/>
        <v>NA</v>
      </c>
      <c r="Y2546" s="29" t="str">
        <f t="shared" si="835"/>
        <v>NA</v>
      </c>
      <c r="Z2546" s="29" t="str">
        <f t="shared" si="836"/>
        <v>NA</v>
      </c>
      <c r="AA2546" s="29" t="str">
        <f t="shared" si="837"/>
        <v>NA</v>
      </c>
      <c r="AB2546" s="29" t="str">
        <f t="shared" si="838"/>
        <v>NA</v>
      </c>
      <c r="AC2546" s="29" t="str">
        <f t="shared" si="839"/>
        <v>NA</v>
      </c>
      <c r="AD2546" s="29" t="str">
        <f t="shared" si="840"/>
        <v>NA</v>
      </c>
      <c r="AE2546" s="29" t="str">
        <f t="shared" si="841"/>
        <v>NA</v>
      </c>
      <c r="AF2546" s="29" t="str">
        <f t="shared" si="842"/>
        <v>NA</v>
      </c>
      <c r="AG2546" s="29" t="str">
        <f t="shared" si="843"/>
        <v>NA</v>
      </c>
      <c r="AH2546" s="29" t="str">
        <f t="shared" si="844"/>
        <v>NA</v>
      </c>
    </row>
    <row r="2547" customHeight="1" spans="1:34">
      <c r="A2547" s="12" t="s">
        <v>1043</v>
      </c>
      <c r="F2547" s="24">
        <f t="shared" si="826"/>
        <v>0</v>
      </c>
      <c r="G2547" s="24" t="e">
        <f t="shared" si="825"/>
        <v>#DIV/0!</v>
      </c>
      <c r="Q2547" s="29" t="str">
        <f t="shared" si="827"/>
        <v>NA</v>
      </c>
      <c r="R2547" s="29" t="str">
        <f t="shared" si="828"/>
        <v>NA</v>
      </c>
      <c r="S2547" s="29" t="str">
        <f t="shared" si="829"/>
        <v>NA</v>
      </c>
      <c r="T2547" s="29" t="str">
        <f t="shared" si="830"/>
        <v>NA</v>
      </c>
      <c r="U2547" s="29" t="str">
        <f t="shared" si="831"/>
        <v>NA</v>
      </c>
      <c r="V2547" s="29" t="str">
        <f t="shared" si="832"/>
        <v>NA</v>
      </c>
      <c r="W2547" s="29" t="str">
        <f t="shared" si="833"/>
        <v>NA</v>
      </c>
      <c r="X2547" s="29" t="str">
        <f t="shared" si="834"/>
        <v>NA</v>
      </c>
      <c r="Y2547" s="29" t="str">
        <f t="shared" si="835"/>
        <v>NA</v>
      </c>
      <c r="Z2547" s="29" t="str">
        <f t="shared" si="836"/>
        <v>NA</v>
      </c>
      <c r="AA2547" s="29" t="str">
        <f t="shared" si="837"/>
        <v>NA</v>
      </c>
      <c r="AB2547" s="29" t="str">
        <f t="shared" si="838"/>
        <v>NA</v>
      </c>
      <c r="AC2547" s="29" t="str">
        <f t="shared" si="839"/>
        <v>NA</v>
      </c>
      <c r="AD2547" s="29" t="str">
        <f t="shared" si="840"/>
        <v>NA</v>
      </c>
      <c r="AE2547" s="29" t="str">
        <f t="shared" si="841"/>
        <v>NA</v>
      </c>
      <c r="AF2547" s="29" t="str">
        <f t="shared" si="842"/>
        <v>NA</v>
      </c>
      <c r="AG2547" s="29" t="str">
        <f t="shared" si="843"/>
        <v>NA</v>
      </c>
      <c r="AH2547" s="29" t="str">
        <f t="shared" si="844"/>
        <v>NA</v>
      </c>
    </row>
    <row r="2548" customHeight="1" spans="1:34">
      <c r="A2548" s="12" t="s">
        <v>1043</v>
      </c>
      <c r="F2548" s="24">
        <f t="shared" si="826"/>
        <v>0</v>
      </c>
      <c r="G2548" s="24" t="e">
        <f t="shared" si="825"/>
        <v>#DIV/0!</v>
      </c>
      <c r="Q2548" s="29" t="str">
        <f t="shared" si="827"/>
        <v>NA</v>
      </c>
      <c r="R2548" s="29" t="str">
        <f t="shared" si="828"/>
        <v>NA</v>
      </c>
      <c r="S2548" s="29" t="str">
        <f t="shared" si="829"/>
        <v>NA</v>
      </c>
      <c r="T2548" s="29" t="str">
        <f t="shared" si="830"/>
        <v>NA</v>
      </c>
      <c r="U2548" s="29" t="str">
        <f t="shared" si="831"/>
        <v>NA</v>
      </c>
      <c r="V2548" s="29" t="str">
        <f t="shared" si="832"/>
        <v>NA</v>
      </c>
      <c r="W2548" s="29" t="str">
        <f t="shared" si="833"/>
        <v>NA</v>
      </c>
      <c r="X2548" s="29" t="str">
        <f t="shared" si="834"/>
        <v>NA</v>
      </c>
      <c r="Y2548" s="29" t="str">
        <f t="shared" si="835"/>
        <v>NA</v>
      </c>
      <c r="Z2548" s="29" t="str">
        <f t="shared" si="836"/>
        <v>NA</v>
      </c>
      <c r="AA2548" s="29" t="str">
        <f t="shared" si="837"/>
        <v>NA</v>
      </c>
      <c r="AB2548" s="29" t="str">
        <f t="shared" si="838"/>
        <v>NA</v>
      </c>
      <c r="AC2548" s="29" t="str">
        <f t="shared" si="839"/>
        <v>NA</v>
      </c>
      <c r="AD2548" s="29" t="str">
        <f t="shared" si="840"/>
        <v>NA</v>
      </c>
      <c r="AE2548" s="29" t="str">
        <f t="shared" si="841"/>
        <v>NA</v>
      </c>
      <c r="AF2548" s="29" t="str">
        <f t="shared" si="842"/>
        <v>NA</v>
      </c>
      <c r="AG2548" s="29" t="str">
        <f t="shared" si="843"/>
        <v>NA</v>
      </c>
      <c r="AH2548" s="29" t="str">
        <f t="shared" si="844"/>
        <v>NA</v>
      </c>
    </row>
    <row r="2549" customHeight="1" spans="1:34">
      <c r="A2549" s="12" t="s">
        <v>1043</v>
      </c>
      <c r="F2549" s="24">
        <f t="shared" si="826"/>
        <v>0</v>
      </c>
      <c r="G2549" s="24" t="e">
        <f t="shared" si="825"/>
        <v>#DIV/0!</v>
      </c>
      <c r="Q2549" s="29" t="str">
        <f t="shared" si="827"/>
        <v>NA</v>
      </c>
      <c r="R2549" s="29" t="str">
        <f t="shared" si="828"/>
        <v>NA</v>
      </c>
      <c r="S2549" s="29" t="str">
        <f t="shared" si="829"/>
        <v>NA</v>
      </c>
      <c r="T2549" s="29" t="str">
        <f t="shared" si="830"/>
        <v>NA</v>
      </c>
      <c r="U2549" s="29" t="str">
        <f t="shared" si="831"/>
        <v>NA</v>
      </c>
      <c r="V2549" s="29" t="str">
        <f t="shared" si="832"/>
        <v>NA</v>
      </c>
      <c r="W2549" s="29" t="str">
        <f t="shared" si="833"/>
        <v>NA</v>
      </c>
      <c r="X2549" s="29" t="str">
        <f t="shared" si="834"/>
        <v>NA</v>
      </c>
      <c r="Y2549" s="29" t="str">
        <f t="shared" si="835"/>
        <v>NA</v>
      </c>
      <c r="Z2549" s="29" t="str">
        <f t="shared" si="836"/>
        <v>NA</v>
      </c>
      <c r="AA2549" s="29" t="str">
        <f t="shared" si="837"/>
        <v>NA</v>
      </c>
      <c r="AB2549" s="29" t="str">
        <f t="shared" si="838"/>
        <v>NA</v>
      </c>
      <c r="AC2549" s="29" t="str">
        <f t="shared" si="839"/>
        <v>NA</v>
      </c>
      <c r="AD2549" s="29" t="str">
        <f t="shared" si="840"/>
        <v>NA</v>
      </c>
      <c r="AE2549" s="29" t="str">
        <f t="shared" si="841"/>
        <v>NA</v>
      </c>
      <c r="AF2549" s="29" t="str">
        <f t="shared" si="842"/>
        <v>NA</v>
      </c>
      <c r="AG2549" s="29" t="str">
        <f t="shared" si="843"/>
        <v>NA</v>
      </c>
      <c r="AH2549" s="29" t="str">
        <f t="shared" si="844"/>
        <v>NA</v>
      </c>
    </row>
    <row r="2550" customHeight="1" spans="1:34">
      <c r="A2550" s="12" t="s">
        <v>1043</v>
      </c>
      <c r="F2550" s="24">
        <f t="shared" si="826"/>
        <v>0</v>
      </c>
      <c r="G2550" s="24" t="e">
        <f t="shared" si="825"/>
        <v>#DIV/0!</v>
      </c>
      <c r="Q2550" s="29" t="str">
        <f t="shared" si="827"/>
        <v>NA</v>
      </c>
      <c r="R2550" s="29" t="str">
        <f t="shared" si="828"/>
        <v>NA</v>
      </c>
      <c r="S2550" s="29" t="str">
        <f t="shared" si="829"/>
        <v>NA</v>
      </c>
      <c r="T2550" s="29" t="str">
        <f t="shared" si="830"/>
        <v>NA</v>
      </c>
      <c r="U2550" s="29" t="str">
        <f t="shared" si="831"/>
        <v>NA</v>
      </c>
      <c r="V2550" s="29" t="str">
        <f t="shared" si="832"/>
        <v>NA</v>
      </c>
      <c r="W2550" s="29" t="str">
        <f t="shared" si="833"/>
        <v>NA</v>
      </c>
      <c r="X2550" s="29" t="str">
        <f t="shared" si="834"/>
        <v>NA</v>
      </c>
      <c r="Y2550" s="29" t="str">
        <f t="shared" si="835"/>
        <v>NA</v>
      </c>
      <c r="Z2550" s="29" t="str">
        <f t="shared" si="836"/>
        <v>NA</v>
      </c>
      <c r="AA2550" s="29" t="str">
        <f t="shared" si="837"/>
        <v>NA</v>
      </c>
      <c r="AB2550" s="29" t="str">
        <f t="shared" si="838"/>
        <v>NA</v>
      </c>
      <c r="AC2550" s="29" t="str">
        <f t="shared" si="839"/>
        <v>NA</v>
      </c>
      <c r="AD2550" s="29" t="str">
        <f t="shared" si="840"/>
        <v>NA</v>
      </c>
      <c r="AE2550" s="29" t="str">
        <f t="shared" si="841"/>
        <v>NA</v>
      </c>
      <c r="AF2550" s="29" t="str">
        <f t="shared" si="842"/>
        <v>NA</v>
      </c>
      <c r="AG2550" s="29" t="str">
        <f t="shared" si="843"/>
        <v>NA</v>
      </c>
      <c r="AH2550" s="29" t="str">
        <f t="shared" si="844"/>
        <v>NA</v>
      </c>
    </row>
    <row r="2551" customHeight="1" spans="1:34">
      <c r="A2551" s="12" t="s">
        <v>1043</v>
      </c>
      <c r="F2551" s="24">
        <f t="shared" si="826"/>
        <v>0</v>
      </c>
      <c r="G2551" s="24" t="e">
        <f t="shared" si="825"/>
        <v>#DIV/0!</v>
      </c>
      <c r="Q2551" s="29" t="str">
        <f t="shared" si="827"/>
        <v>NA</v>
      </c>
      <c r="R2551" s="29" t="str">
        <f t="shared" si="828"/>
        <v>NA</v>
      </c>
      <c r="S2551" s="29" t="str">
        <f t="shared" si="829"/>
        <v>NA</v>
      </c>
      <c r="T2551" s="29" t="str">
        <f t="shared" si="830"/>
        <v>NA</v>
      </c>
      <c r="U2551" s="29" t="str">
        <f t="shared" si="831"/>
        <v>NA</v>
      </c>
      <c r="V2551" s="29" t="str">
        <f t="shared" si="832"/>
        <v>NA</v>
      </c>
      <c r="W2551" s="29" t="str">
        <f t="shared" si="833"/>
        <v>NA</v>
      </c>
      <c r="X2551" s="29" t="str">
        <f t="shared" si="834"/>
        <v>NA</v>
      </c>
      <c r="Y2551" s="29" t="str">
        <f t="shared" si="835"/>
        <v>NA</v>
      </c>
      <c r="Z2551" s="29" t="str">
        <f t="shared" si="836"/>
        <v>NA</v>
      </c>
      <c r="AA2551" s="29" t="str">
        <f t="shared" si="837"/>
        <v>NA</v>
      </c>
      <c r="AB2551" s="29" t="str">
        <f t="shared" si="838"/>
        <v>NA</v>
      </c>
      <c r="AC2551" s="29" t="str">
        <f t="shared" si="839"/>
        <v>NA</v>
      </c>
      <c r="AD2551" s="29" t="str">
        <f t="shared" si="840"/>
        <v>NA</v>
      </c>
      <c r="AE2551" s="29" t="str">
        <f t="shared" si="841"/>
        <v>NA</v>
      </c>
      <c r="AF2551" s="29" t="str">
        <f t="shared" si="842"/>
        <v>NA</v>
      </c>
      <c r="AG2551" s="29" t="str">
        <f t="shared" si="843"/>
        <v>NA</v>
      </c>
      <c r="AH2551" s="29" t="str">
        <f t="shared" si="844"/>
        <v>NA</v>
      </c>
    </row>
    <row r="2552" customHeight="1" spans="1:34">
      <c r="A2552" s="12" t="s">
        <v>1043</v>
      </c>
      <c r="F2552" s="24">
        <f t="shared" si="826"/>
        <v>0</v>
      </c>
      <c r="G2552" s="24" t="e">
        <f t="shared" si="825"/>
        <v>#DIV/0!</v>
      </c>
      <c r="Q2552" s="29" t="str">
        <f t="shared" si="827"/>
        <v>NA</v>
      </c>
      <c r="R2552" s="29" t="str">
        <f t="shared" si="828"/>
        <v>NA</v>
      </c>
      <c r="S2552" s="29" t="str">
        <f t="shared" si="829"/>
        <v>NA</v>
      </c>
      <c r="T2552" s="29" t="str">
        <f t="shared" si="830"/>
        <v>NA</v>
      </c>
      <c r="U2552" s="29" t="str">
        <f t="shared" si="831"/>
        <v>NA</v>
      </c>
      <c r="V2552" s="29" t="str">
        <f t="shared" si="832"/>
        <v>NA</v>
      </c>
      <c r="W2552" s="29" t="str">
        <f t="shared" si="833"/>
        <v>NA</v>
      </c>
      <c r="X2552" s="29" t="str">
        <f t="shared" si="834"/>
        <v>NA</v>
      </c>
      <c r="Y2552" s="29" t="str">
        <f t="shared" si="835"/>
        <v>NA</v>
      </c>
      <c r="Z2552" s="29" t="str">
        <f t="shared" si="836"/>
        <v>NA</v>
      </c>
      <c r="AA2552" s="29" t="str">
        <f t="shared" si="837"/>
        <v>NA</v>
      </c>
      <c r="AB2552" s="29" t="str">
        <f t="shared" si="838"/>
        <v>NA</v>
      </c>
      <c r="AC2552" s="29" t="str">
        <f t="shared" si="839"/>
        <v>NA</v>
      </c>
      <c r="AD2552" s="29" t="str">
        <f t="shared" si="840"/>
        <v>NA</v>
      </c>
      <c r="AE2552" s="29" t="str">
        <f t="shared" si="841"/>
        <v>NA</v>
      </c>
      <c r="AF2552" s="29" t="str">
        <f t="shared" si="842"/>
        <v>NA</v>
      </c>
      <c r="AG2552" s="29" t="str">
        <f t="shared" si="843"/>
        <v>NA</v>
      </c>
      <c r="AH2552" s="29" t="str">
        <f t="shared" si="844"/>
        <v>NA</v>
      </c>
    </row>
    <row r="2553" customHeight="1" spans="1:34">
      <c r="A2553" s="12" t="s">
        <v>1043</v>
      </c>
      <c r="F2553" s="24">
        <f t="shared" si="826"/>
        <v>0</v>
      </c>
      <c r="G2553" s="24" t="e">
        <f t="shared" si="825"/>
        <v>#DIV/0!</v>
      </c>
      <c r="Q2553" s="29" t="str">
        <f t="shared" si="827"/>
        <v>NA</v>
      </c>
      <c r="R2553" s="29" t="str">
        <f t="shared" si="828"/>
        <v>NA</v>
      </c>
      <c r="S2553" s="29" t="str">
        <f t="shared" si="829"/>
        <v>NA</v>
      </c>
      <c r="T2553" s="29" t="str">
        <f t="shared" si="830"/>
        <v>NA</v>
      </c>
      <c r="U2553" s="29" t="str">
        <f t="shared" si="831"/>
        <v>NA</v>
      </c>
      <c r="V2553" s="29" t="str">
        <f t="shared" si="832"/>
        <v>NA</v>
      </c>
      <c r="W2553" s="29" t="str">
        <f t="shared" si="833"/>
        <v>NA</v>
      </c>
      <c r="X2553" s="29" t="str">
        <f t="shared" si="834"/>
        <v>NA</v>
      </c>
      <c r="Y2553" s="29" t="str">
        <f t="shared" si="835"/>
        <v>NA</v>
      </c>
      <c r="Z2553" s="29" t="str">
        <f t="shared" si="836"/>
        <v>NA</v>
      </c>
      <c r="AA2553" s="29" t="str">
        <f t="shared" si="837"/>
        <v>NA</v>
      </c>
      <c r="AB2553" s="29" t="str">
        <f t="shared" si="838"/>
        <v>NA</v>
      </c>
      <c r="AC2553" s="29" t="str">
        <f t="shared" si="839"/>
        <v>NA</v>
      </c>
      <c r="AD2553" s="29" t="str">
        <f t="shared" si="840"/>
        <v>NA</v>
      </c>
      <c r="AE2553" s="29" t="str">
        <f t="shared" si="841"/>
        <v>NA</v>
      </c>
      <c r="AF2553" s="29" t="str">
        <f t="shared" si="842"/>
        <v>NA</v>
      </c>
      <c r="AG2553" s="29" t="str">
        <f t="shared" si="843"/>
        <v>NA</v>
      </c>
      <c r="AH2553" s="29" t="str">
        <f t="shared" si="844"/>
        <v>NA</v>
      </c>
    </row>
    <row r="2554" customHeight="1" spans="1:34">
      <c r="A2554" s="12" t="s">
        <v>1043</v>
      </c>
      <c r="F2554" s="24">
        <f t="shared" si="826"/>
        <v>0</v>
      </c>
      <c r="G2554" s="24" t="e">
        <f t="shared" si="825"/>
        <v>#DIV/0!</v>
      </c>
      <c r="Q2554" s="29" t="str">
        <f t="shared" si="827"/>
        <v>NA</v>
      </c>
      <c r="R2554" s="29" t="str">
        <f t="shared" si="828"/>
        <v>NA</v>
      </c>
      <c r="S2554" s="29" t="str">
        <f t="shared" si="829"/>
        <v>NA</v>
      </c>
      <c r="T2554" s="29" t="str">
        <f t="shared" si="830"/>
        <v>NA</v>
      </c>
      <c r="U2554" s="29" t="str">
        <f t="shared" si="831"/>
        <v>NA</v>
      </c>
      <c r="V2554" s="29" t="str">
        <f t="shared" si="832"/>
        <v>NA</v>
      </c>
      <c r="W2554" s="29" t="str">
        <f t="shared" si="833"/>
        <v>NA</v>
      </c>
      <c r="X2554" s="29" t="str">
        <f t="shared" si="834"/>
        <v>NA</v>
      </c>
      <c r="Y2554" s="29" t="str">
        <f t="shared" si="835"/>
        <v>NA</v>
      </c>
      <c r="Z2554" s="29" t="str">
        <f t="shared" si="836"/>
        <v>NA</v>
      </c>
      <c r="AA2554" s="29" t="str">
        <f t="shared" si="837"/>
        <v>NA</v>
      </c>
      <c r="AB2554" s="29" t="str">
        <f t="shared" si="838"/>
        <v>NA</v>
      </c>
      <c r="AC2554" s="29" t="str">
        <f t="shared" si="839"/>
        <v>NA</v>
      </c>
      <c r="AD2554" s="29" t="str">
        <f t="shared" si="840"/>
        <v>NA</v>
      </c>
      <c r="AE2554" s="29" t="str">
        <f t="shared" si="841"/>
        <v>NA</v>
      </c>
      <c r="AF2554" s="29" t="str">
        <f t="shared" si="842"/>
        <v>NA</v>
      </c>
      <c r="AG2554" s="29" t="str">
        <f t="shared" si="843"/>
        <v>NA</v>
      </c>
      <c r="AH2554" s="29" t="str">
        <f t="shared" si="844"/>
        <v>NA</v>
      </c>
    </row>
    <row r="2555" customHeight="1" spans="1:34">
      <c r="A2555" s="12" t="s">
        <v>1043</v>
      </c>
      <c r="F2555" s="24">
        <f t="shared" si="826"/>
        <v>0</v>
      </c>
      <c r="G2555" s="24" t="e">
        <f t="shared" si="825"/>
        <v>#DIV/0!</v>
      </c>
      <c r="Q2555" s="29" t="str">
        <f t="shared" si="827"/>
        <v>NA</v>
      </c>
      <c r="R2555" s="29" t="str">
        <f t="shared" si="828"/>
        <v>NA</v>
      </c>
      <c r="S2555" s="29" t="str">
        <f t="shared" si="829"/>
        <v>NA</v>
      </c>
      <c r="T2555" s="29" t="str">
        <f t="shared" si="830"/>
        <v>NA</v>
      </c>
      <c r="U2555" s="29" t="str">
        <f t="shared" si="831"/>
        <v>NA</v>
      </c>
      <c r="V2555" s="29" t="str">
        <f t="shared" si="832"/>
        <v>NA</v>
      </c>
      <c r="W2555" s="29" t="str">
        <f t="shared" si="833"/>
        <v>NA</v>
      </c>
      <c r="X2555" s="29" t="str">
        <f t="shared" si="834"/>
        <v>NA</v>
      </c>
      <c r="Y2555" s="29" t="str">
        <f t="shared" si="835"/>
        <v>NA</v>
      </c>
      <c r="Z2555" s="29" t="str">
        <f t="shared" si="836"/>
        <v>NA</v>
      </c>
      <c r="AA2555" s="29" t="str">
        <f t="shared" si="837"/>
        <v>NA</v>
      </c>
      <c r="AB2555" s="29" t="str">
        <f t="shared" si="838"/>
        <v>NA</v>
      </c>
      <c r="AC2555" s="29" t="str">
        <f t="shared" si="839"/>
        <v>NA</v>
      </c>
      <c r="AD2555" s="29" t="str">
        <f t="shared" si="840"/>
        <v>NA</v>
      </c>
      <c r="AE2555" s="29" t="str">
        <f t="shared" si="841"/>
        <v>NA</v>
      </c>
      <c r="AF2555" s="29" t="str">
        <f t="shared" si="842"/>
        <v>NA</v>
      </c>
      <c r="AG2555" s="29" t="str">
        <f t="shared" si="843"/>
        <v>NA</v>
      </c>
      <c r="AH2555" s="29" t="str">
        <f t="shared" si="844"/>
        <v>NA</v>
      </c>
    </row>
    <row r="2556" customHeight="1" spans="1:34">
      <c r="A2556" s="12" t="s">
        <v>1043</v>
      </c>
      <c r="F2556" s="24">
        <f t="shared" si="826"/>
        <v>0</v>
      </c>
      <c r="G2556" s="24" t="e">
        <f t="shared" si="825"/>
        <v>#DIV/0!</v>
      </c>
      <c r="Q2556" s="29" t="str">
        <f t="shared" si="827"/>
        <v>NA</v>
      </c>
      <c r="R2556" s="29" t="str">
        <f t="shared" si="828"/>
        <v>NA</v>
      </c>
      <c r="S2556" s="29" t="str">
        <f t="shared" si="829"/>
        <v>NA</v>
      </c>
      <c r="T2556" s="29" t="str">
        <f t="shared" si="830"/>
        <v>NA</v>
      </c>
      <c r="U2556" s="29" t="str">
        <f t="shared" si="831"/>
        <v>NA</v>
      </c>
      <c r="V2556" s="29" t="str">
        <f t="shared" si="832"/>
        <v>NA</v>
      </c>
      <c r="W2556" s="29" t="str">
        <f t="shared" si="833"/>
        <v>NA</v>
      </c>
      <c r="X2556" s="29" t="str">
        <f t="shared" si="834"/>
        <v>NA</v>
      </c>
      <c r="Y2556" s="29" t="str">
        <f t="shared" si="835"/>
        <v>NA</v>
      </c>
      <c r="Z2556" s="29" t="str">
        <f t="shared" si="836"/>
        <v>NA</v>
      </c>
      <c r="AA2556" s="29" t="str">
        <f t="shared" si="837"/>
        <v>NA</v>
      </c>
      <c r="AB2556" s="29" t="str">
        <f t="shared" si="838"/>
        <v>NA</v>
      </c>
      <c r="AC2556" s="29" t="str">
        <f t="shared" si="839"/>
        <v>NA</v>
      </c>
      <c r="AD2556" s="29" t="str">
        <f t="shared" si="840"/>
        <v>NA</v>
      </c>
      <c r="AE2556" s="29" t="str">
        <f t="shared" si="841"/>
        <v>NA</v>
      </c>
      <c r="AF2556" s="29" t="str">
        <f t="shared" si="842"/>
        <v>NA</v>
      </c>
      <c r="AG2556" s="29" t="str">
        <f t="shared" si="843"/>
        <v>NA</v>
      </c>
      <c r="AH2556" s="29" t="str">
        <f t="shared" si="844"/>
        <v>NA</v>
      </c>
    </row>
    <row r="2557" customHeight="1" spans="1:34">
      <c r="A2557" s="12" t="s">
        <v>1043</v>
      </c>
      <c r="F2557" s="24">
        <f t="shared" si="826"/>
        <v>0</v>
      </c>
      <c r="G2557" s="24" t="e">
        <f t="shared" si="825"/>
        <v>#DIV/0!</v>
      </c>
      <c r="Q2557" s="29" t="str">
        <f t="shared" si="827"/>
        <v>NA</v>
      </c>
      <c r="R2557" s="29" t="str">
        <f t="shared" si="828"/>
        <v>NA</v>
      </c>
      <c r="S2557" s="29" t="str">
        <f t="shared" si="829"/>
        <v>NA</v>
      </c>
      <c r="T2557" s="29" t="str">
        <f t="shared" si="830"/>
        <v>NA</v>
      </c>
      <c r="U2557" s="29" t="str">
        <f t="shared" si="831"/>
        <v>NA</v>
      </c>
      <c r="V2557" s="29" t="str">
        <f t="shared" si="832"/>
        <v>NA</v>
      </c>
      <c r="W2557" s="29" t="str">
        <f t="shared" si="833"/>
        <v>NA</v>
      </c>
      <c r="X2557" s="29" t="str">
        <f t="shared" si="834"/>
        <v>NA</v>
      </c>
      <c r="Y2557" s="29" t="str">
        <f t="shared" si="835"/>
        <v>NA</v>
      </c>
      <c r="Z2557" s="29" t="str">
        <f t="shared" si="836"/>
        <v>NA</v>
      </c>
      <c r="AA2557" s="29" t="str">
        <f t="shared" si="837"/>
        <v>NA</v>
      </c>
      <c r="AB2557" s="29" t="str">
        <f t="shared" si="838"/>
        <v>NA</v>
      </c>
      <c r="AC2557" s="29" t="str">
        <f t="shared" si="839"/>
        <v>NA</v>
      </c>
      <c r="AD2557" s="29" t="str">
        <f t="shared" si="840"/>
        <v>NA</v>
      </c>
      <c r="AE2557" s="29" t="str">
        <f t="shared" si="841"/>
        <v>NA</v>
      </c>
      <c r="AF2557" s="29" t="str">
        <f t="shared" si="842"/>
        <v>NA</v>
      </c>
      <c r="AG2557" s="29" t="str">
        <f t="shared" si="843"/>
        <v>NA</v>
      </c>
      <c r="AH2557" s="29" t="str">
        <f t="shared" si="844"/>
        <v>NA</v>
      </c>
    </row>
    <row r="2558" customHeight="1" spans="1:34">
      <c r="A2558" s="12" t="s">
        <v>1043</v>
      </c>
      <c r="F2558" s="24">
        <f t="shared" si="826"/>
        <v>0</v>
      </c>
      <c r="G2558" s="24" t="e">
        <f t="shared" si="825"/>
        <v>#DIV/0!</v>
      </c>
      <c r="Q2558" s="29" t="str">
        <f t="shared" si="827"/>
        <v>NA</v>
      </c>
      <c r="R2558" s="29" t="str">
        <f t="shared" si="828"/>
        <v>NA</v>
      </c>
      <c r="S2558" s="29" t="str">
        <f t="shared" si="829"/>
        <v>NA</v>
      </c>
      <c r="T2558" s="29" t="str">
        <f t="shared" si="830"/>
        <v>NA</v>
      </c>
      <c r="U2558" s="29" t="str">
        <f t="shared" si="831"/>
        <v>NA</v>
      </c>
      <c r="V2558" s="29" t="str">
        <f t="shared" si="832"/>
        <v>NA</v>
      </c>
      <c r="W2558" s="29" t="str">
        <f t="shared" si="833"/>
        <v>NA</v>
      </c>
      <c r="X2558" s="29" t="str">
        <f t="shared" si="834"/>
        <v>NA</v>
      </c>
      <c r="Y2558" s="29" t="str">
        <f t="shared" si="835"/>
        <v>NA</v>
      </c>
      <c r="Z2558" s="29" t="str">
        <f t="shared" si="836"/>
        <v>NA</v>
      </c>
      <c r="AA2558" s="29" t="str">
        <f t="shared" si="837"/>
        <v>NA</v>
      </c>
      <c r="AB2558" s="29" t="str">
        <f t="shared" si="838"/>
        <v>NA</v>
      </c>
      <c r="AC2558" s="29" t="str">
        <f t="shared" si="839"/>
        <v>NA</v>
      </c>
      <c r="AD2558" s="29" t="str">
        <f t="shared" si="840"/>
        <v>NA</v>
      </c>
      <c r="AE2558" s="29" t="str">
        <f t="shared" si="841"/>
        <v>NA</v>
      </c>
      <c r="AF2558" s="29" t="str">
        <f t="shared" si="842"/>
        <v>NA</v>
      </c>
      <c r="AG2558" s="29" t="str">
        <f t="shared" si="843"/>
        <v>NA</v>
      </c>
      <c r="AH2558" s="29" t="str">
        <f t="shared" si="844"/>
        <v>NA</v>
      </c>
    </row>
    <row r="2559" customHeight="1" spans="1:34">
      <c r="A2559" s="12" t="s">
        <v>1043</v>
      </c>
      <c r="F2559" s="24">
        <f t="shared" si="826"/>
        <v>0</v>
      </c>
      <c r="G2559" s="24" t="e">
        <f t="shared" si="825"/>
        <v>#DIV/0!</v>
      </c>
      <c r="Q2559" s="29" t="str">
        <f t="shared" si="827"/>
        <v>NA</v>
      </c>
      <c r="R2559" s="29" t="str">
        <f t="shared" si="828"/>
        <v>NA</v>
      </c>
      <c r="S2559" s="29" t="str">
        <f t="shared" si="829"/>
        <v>NA</v>
      </c>
      <c r="T2559" s="29" t="str">
        <f t="shared" si="830"/>
        <v>NA</v>
      </c>
      <c r="U2559" s="29" t="str">
        <f t="shared" si="831"/>
        <v>NA</v>
      </c>
      <c r="V2559" s="29" t="str">
        <f t="shared" si="832"/>
        <v>NA</v>
      </c>
      <c r="W2559" s="29" t="str">
        <f t="shared" si="833"/>
        <v>NA</v>
      </c>
      <c r="X2559" s="29" t="str">
        <f t="shared" si="834"/>
        <v>NA</v>
      </c>
      <c r="Y2559" s="29" t="str">
        <f t="shared" si="835"/>
        <v>NA</v>
      </c>
      <c r="Z2559" s="29" t="str">
        <f t="shared" si="836"/>
        <v>NA</v>
      </c>
      <c r="AA2559" s="29" t="str">
        <f t="shared" si="837"/>
        <v>NA</v>
      </c>
      <c r="AB2559" s="29" t="str">
        <f t="shared" si="838"/>
        <v>NA</v>
      </c>
      <c r="AC2559" s="29" t="str">
        <f t="shared" si="839"/>
        <v>NA</v>
      </c>
      <c r="AD2559" s="29" t="str">
        <f t="shared" si="840"/>
        <v>NA</v>
      </c>
      <c r="AE2559" s="29" t="str">
        <f t="shared" si="841"/>
        <v>NA</v>
      </c>
      <c r="AF2559" s="29" t="str">
        <f t="shared" si="842"/>
        <v>NA</v>
      </c>
      <c r="AG2559" s="29" t="str">
        <f t="shared" si="843"/>
        <v>NA</v>
      </c>
      <c r="AH2559" s="29" t="str">
        <f t="shared" si="844"/>
        <v>NA</v>
      </c>
    </row>
    <row r="2560" customHeight="1" spans="1:34">
      <c r="A2560" s="12" t="s">
        <v>1043</v>
      </c>
      <c r="F2560" s="24">
        <f t="shared" si="826"/>
        <v>0</v>
      </c>
      <c r="G2560" s="24" t="e">
        <f t="shared" si="825"/>
        <v>#DIV/0!</v>
      </c>
      <c r="Q2560" s="29" t="str">
        <f t="shared" si="827"/>
        <v>NA</v>
      </c>
      <c r="R2560" s="29" t="str">
        <f t="shared" si="828"/>
        <v>NA</v>
      </c>
      <c r="S2560" s="29" t="str">
        <f t="shared" si="829"/>
        <v>NA</v>
      </c>
      <c r="T2560" s="29" t="str">
        <f t="shared" si="830"/>
        <v>NA</v>
      </c>
      <c r="U2560" s="29" t="str">
        <f t="shared" si="831"/>
        <v>NA</v>
      </c>
      <c r="V2560" s="29" t="str">
        <f t="shared" si="832"/>
        <v>NA</v>
      </c>
      <c r="W2560" s="29" t="str">
        <f t="shared" si="833"/>
        <v>NA</v>
      </c>
      <c r="X2560" s="29" t="str">
        <f t="shared" si="834"/>
        <v>NA</v>
      </c>
      <c r="Y2560" s="29" t="str">
        <f t="shared" si="835"/>
        <v>NA</v>
      </c>
      <c r="Z2560" s="29" t="str">
        <f t="shared" si="836"/>
        <v>NA</v>
      </c>
      <c r="AA2560" s="29" t="str">
        <f t="shared" si="837"/>
        <v>NA</v>
      </c>
      <c r="AB2560" s="29" t="str">
        <f t="shared" si="838"/>
        <v>NA</v>
      </c>
      <c r="AC2560" s="29" t="str">
        <f t="shared" si="839"/>
        <v>NA</v>
      </c>
      <c r="AD2560" s="29" t="str">
        <f t="shared" si="840"/>
        <v>NA</v>
      </c>
      <c r="AE2560" s="29" t="str">
        <f t="shared" si="841"/>
        <v>NA</v>
      </c>
      <c r="AF2560" s="29" t="str">
        <f t="shared" si="842"/>
        <v>NA</v>
      </c>
      <c r="AG2560" s="29" t="str">
        <f t="shared" si="843"/>
        <v>NA</v>
      </c>
      <c r="AH2560" s="29" t="str">
        <f t="shared" si="844"/>
        <v>NA</v>
      </c>
    </row>
    <row r="2561" customHeight="1" spans="1:34">
      <c r="A2561" s="12" t="s">
        <v>1043</v>
      </c>
      <c r="F2561" s="24">
        <f t="shared" si="826"/>
        <v>0</v>
      </c>
      <c r="G2561" s="24" t="e">
        <f t="shared" si="825"/>
        <v>#DIV/0!</v>
      </c>
      <c r="Q2561" s="29" t="str">
        <f t="shared" si="827"/>
        <v>NA</v>
      </c>
      <c r="R2561" s="29" t="str">
        <f t="shared" si="828"/>
        <v>NA</v>
      </c>
      <c r="S2561" s="29" t="str">
        <f t="shared" si="829"/>
        <v>NA</v>
      </c>
      <c r="T2561" s="29" t="str">
        <f t="shared" si="830"/>
        <v>NA</v>
      </c>
      <c r="U2561" s="29" t="str">
        <f t="shared" si="831"/>
        <v>NA</v>
      </c>
      <c r="V2561" s="29" t="str">
        <f t="shared" si="832"/>
        <v>NA</v>
      </c>
      <c r="W2561" s="29" t="str">
        <f t="shared" si="833"/>
        <v>NA</v>
      </c>
      <c r="X2561" s="29" t="str">
        <f t="shared" si="834"/>
        <v>NA</v>
      </c>
      <c r="Y2561" s="29" t="str">
        <f t="shared" si="835"/>
        <v>NA</v>
      </c>
      <c r="Z2561" s="29" t="str">
        <f t="shared" si="836"/>
        <v>NA</v>
      </c>
      <c r="AA2561" s="29" t="str">
        <f t="shared" si="837"/>
        <v>NA</v>
      </c>
      <c r="AB2561" s="29" t="str">
        <f t="shared" si="838"/>
        <v>NA</v>
      </c>
      <c r="AC2561" s="29" t="str">
        <f t="shared" si="839"/>
        <v>NA</v>
      </c>
      <c r="AD2561" s="29" t="str">
        <f t="shared" si="840"/>
        <v>NA</v>
      </c>
      <c r="AE2561" s="29" t="str">
        <f t="shared" si="841"/>
        <v>NA</v>
      </c>
      <c r="AF2561" s="29" t="str">
        <f t="shared" si="842"/>
        <v>NA</v>
      </c>
      <c r="AG2561" s="29" t="str">
        <f t="shared" si="843"/>
        <v>NA</v>
      </c>
      <c r="AH2561" s="29" t="str">
        <f t="shared" si="844"/>
        <v>NA</v>
      </c>
    </row>
    <row r="2562" customHeight="1" spans="1:34">
      <c r="A2562" s="12" t="s">
        <v>1043</v>
      </c>
      <c r="F2562" s="24">
        <f t="shared" si="826"/>
        <v>0</v>
      </c>
      <c r="G2562" s="24" t="e">
        <f t="shared" si="825"/>
        <v>#DIV/0!</v>
      </c>
      <c r="Q2562" s="29" t="str">
        <f t="shared" si="827"/>
        <v>NA</v>
      </c>
      <c r="R2562" s="29" t="str">
        <f t="shared" si="828"/>
        <v>NA</v>
      </c>
      <c r="S2562" s="29" t="str">
        <f t="shared" si="829"/>
        <v>NA</v>
      </c>
      <c r="T2562" s="29" t="str">
        <f t="shared" si="830"/>
        <v>NA</v>
      </c>
      <c r="U2562" s="29" t="str">
        <f t="shared" si="831"/>
        <v>NA</v>
      </c>
      <c r="V2562" s="29" t="str">
        <f t="shared" si="832"/>
        <v>NA</v>
      </c>
      <c r="W2562" s="29" t="str">
        <f t="shared" si="833"/>
        <v>NA</v>
      </c>
      <c r="X2562" s="29" t="str">
        <f t="shared" si="834"/>
        <v>NA</v>
      </c>
      <c r="Y2562" s="29" t="str">
        <f t="shared" si="835"/>
        <v>NA</v>
      </c>
      <c r="Z2562" s="29" t="str">
        <f t="shared" si="836"/>
        <v>NA</v>
      </c>
      <c r="AA2562" s="29" t="str">
        <f t="shared" si="837"/>
        <v>NA</v>
      </c>
      <c r="AB2562" s="29" t="str">
        <f t="shared" si="838"/>
        <v>NA</v>
      </c>
      <c r="AC2562" s="29" t="str">
        <f t="shared" si="839"/>
        <v>NA</v>
      </c>
      <c r="AD2562" s="29" t="str">
        <f t="shared" si="840"/>
        <v>NA</v>
      </c>
      <c r="AE2562" s="29" t="str">
        <f t="shared" si="841"/>
        <v>NA</v>
      </c>
      <c r="AF2562" s="29" t="str">
        <f t="shared" si="842"/>
        <v>NA</v>
      </c>
      <c r="AG2562" s="29" t="str">
        <f t="shared" si="843"/>
        <v>NA</v>
      </c>
      <c r="AH2562" s="29" t="str">
        <f t="shared" si="844"/>
        <v>NA</v>
      </c>
    </row>
    <row r="2563" customHeight="1" spans="1:34">
      <c r="A2563" s="12" t="s">
        <v>1043</v>
      </c>
      <c r="F2563" s="24">
        <f t="shared" si="826"/>
        <v>0</v>
      </c>
      <c r="G2563" s="24" t="e">
        <f t="shared" si="825"/>
        <v>#DIV/0!</v>
      </c>
      <c r="Q2563" s="29" t="str">
        <f t="shared" si="827"/>
        <v>NA</v>
      </c>
      <c r="R2563" s="29" t="str">
        <f t="shared" si="828"/>
        <v>NA</v>
      </c>
      <c r="S2563" s="29" t="str">
        <f t="shared" si="829"/>
        <v>NA</v>
      </c>
      <c r="T2563" s="29" t="str">
        <f t="shared" si="830"/>
        <v>NA</v>
      </c>
      <c r="U2563" s="29" t="str">
        <f t="shared" si="831"/>
        <v>NA</v>
      </c>
      <c r="V2563" s="29" t="str">
        <f t="shared" si="832"/>
        <v>NA</v>
      </c>
      <c r="W2563" s="29" t="str">
        <f t="shared" si="833"/>
        <v>NA</v>
      </c>
      <c r="X2563" s="29" t="str">
        <f t="shared" si="834"/>
        <v>NA</v>
      </c>
      <c r="Y2563" s="29" t="str">
        <f t="shared" si="835"/>
        <v>NA</v>
      </c>
      <c r="Z2563" s="29" t="str">
        <f t="shared" si="836"/>
        <v>NA</v>
      </c>
      <c r="AA2563" s="29" t="str">
        <f t="shared" si="837"/>
        <v>NA</v>
      </c>
      <c r="AB2563" s="29" t="str">
        <f t="shared" si="838"/>
        <v>NA</v>
      </c>
      <c r="AC2563" s="29" t="str">
        <f t="shared" si="839"/>
        <v>NA</v>
      </c>
      <c r="AD2563" s="29" t="str">
        <f t="shared" si="840"/>
        <v>NA</v>
      </c>
      <c r="AE2563" s="29" t="str">
        <f t="shared" si="841"/>
        <v>NA</v>
      </c>
      <c r="AF2563" s="29" t="str">
        <f t="shared" si="842"/>
        <v>NA</v>
      </c>
      <c r="AG2563" s="29" t="str">
        <f t="shared" si="843"/>
        <v>NA</v>
      </c>
      <c r="AH2563" s="29" t="str">
        <f t="shared" si="844"/>
        <v>NA</v>
      </c>
    </row>
    <row r="2564" customHeight="1" spans="1:34">
      <c r="A2564" s="12" t="s">
        <v>1043</v>
      </c>
      <c r="F2564" s="24">
        <f t="shared" si="826"/>
        <v>0</v>
      </c>
      <c r="G2564" s="24" t="e">
        <f t="shared" si="825"/>
        <v>#DIV/0!</v>
      </c>
      <c r="Q2564" s="29" t="str">
        <f t="shared" si="827"/>
        <v>NA</v>
      </c>
      <c r="R2564" s="29" t="str">
        <f t="shared" si="828"/>
        <v>NA</v>
      </c>
      <c r="S2564" s="29" t="str">
        <f t="shared" si="829"/>
        <v>NA</v>
      </c>
      <c r="T2564" s="29" t="str">
        <f t="shared" si="830"/>
        <v>NA</v>
      </c>
      <c r="U2564" s="29" t="str">
        <f t="shared" si="831"/>
        <v>NA</v>
      </c>
      <c r="V2564" s="29" t="str">
        <f t="shared" si="832"/>
        <v>NA</v>
      </c>
      <c r="W2564" s="29" t="str">
        <f t="shared" si="833"/>
        <v>NA</v>
      </c>
      <c r="X2564" s="29" t="str">
        <f t="shared" si="834"/>
        <v>NA</v>
      </c>
      <c r="Y2564" s="29" t="str">
        <f t="shared" si="835"/>
        <v>NA</v>
      </c>
      <c r="Z2564" s="29" t="str">
        <f t="shared" si="836"/>
        <v>NA</v>
      </c>
      <c r="AA2564" s="29" t="str">
        <f t="shared" si="837"/>
        <v>NA</v>
      </c>
      <c r="AB2564" s="29" t="str">
        <f t="shared" si="838"/>
        <v>NA</v>
      </c>
      <c r="AC2564" s="29" t="str">
        <f t="shared" si="839"/>
        <v>NA</v>
      </c>
      <c r="AD2564" s="29" t="str">
        <f t="shared" si="840"/>
        <v>NA</v>
      </c>
      <c r="AE2564" s="29" t="str">
        <f t="shared" si="841"/>
        <v>NA</v>
      </c>
      <c r="AF2564" s="29" t="str">
        <f t="shared" si="842"/>
        <v>NA</v>
      </c>
      <c r="AG2564" s="29" t="str">
        <f t="shared" si="843"/>
        <v>NA</v>
      </c>
      <c r="AH2564" s="29" t="str">
        <f t="shared" si="844"/>
        <v>NA</v>
      </c>
    </row>
    <row r="2565" customHeight="1" spans="1:34">
      <c r="A2565" s="12" t="s">
        <v>1043</v>
      </c>
      <c r="F2565" s="24">
        <f t="shared" si="826"/>
        <v>0</v>
      </c>
      <c r="G2565" s="24" t="e">
        <f t="shared" ref="G2565:G2628" si="845">B2565*D2565/C2565</f>
        <v>#DIV/0!</v>
      </c>
      <c r="Q2565" s="29" t="str">
        <f t="shared" si="827"/>
        <v>NA</v>
      </c>
      <c r="R2565" s="29" t="str">
        <f t="shared" si="828"/>
        <v>NA</v>
      </c>
      <c r="S2565" s="29" t="str">
        <f t="shared" si="829"/>
        <v>NA</v>
      </c>
      <c r="T2565" s="29" t="str">
        <f t="shared" si="830"/>
        <v>NA</v>
      </c>
      <c r="U2565" s="29" t="str">
        <f t="shared" si="831"/>
        <v>NA</v>
      </c>
      <c r="V2565" s="29" t="str">
        <f t="shared" si="832"/>
        <v>NA</v>
      </c>
      <c r="W2565" s="29" t="str">
        <f t="shared" si="833"/>
        <v>NA</v>
      </c>
      <c r="X2565" s="29" t="str">
        <f t="shared" si="834"/>
        <v>NA</v>
      </c>
      <c r="Y2565" s="29" t="str">
        <f t="shared" si="835"/>
        <v>NA</v>
      </c>
      <c r="Z2565" s="29" t="str">
        <f t="shared" si="836"/>
        <v>NA</v>
      </c>
      <c r="AA2565" s="29" t="str">
        <f t="shared" si="837"/>
        <v>NA</v>
      </c>
      <c r="AB2565" s="29" t="str">
        <f t="shared" si="838"/>
        <v>NA</v>
      </c>
      <c r="AC2565" s="29" t="str">
        <f t="shared" si="839"/>
        <v>NA</v>
      </c>
      <c r="AD2565" s="29" t="str">
        <f t="shared" si="840"/>
        <v>NA</v>
      </c>
      <c r="AE2565" s="29" t="str">
        <f t="shared" si="841"/>
        <v>NA</v>
      </c>
      <c r="AF2565" s="29" t="str">
        <f t="shared" si="842"/>
        <v>NA</v>
      </c>
      <c r="AG2565" s="29" t="str">
        <f t="shared" si="843"/>
        <v>NA</v>
      </c>
      <c r="AH2565" s="29" t="str">
        <f t="shared" si="844"/>
        <v>NA</v>
      </c>
    </row>
    <row r="2566" customHeight="1" spans="1:34">
      <c r="A2566" s="12" t="s">
        <v>1043</v>
      </c>
      <c r="F2566" s="24">
        <f t="shared" ref="F2566:F2629" si="846">+D2566+E2566</f>
        <v>0</v>
      </c>
      <c r="G2566" s="24" t="e">
        <f t="shared" si="845"/>
        <v>#DIV/0!</v>
      </c>
      <c r="Q2566" s="29" t="str">
        <f t="shared" si="827"/>
        <v>NA</v>
      </c>
      <c r="R2566" s="29" t="str">
        <f t="shared" si="828"/>
        <v>NA</v>
      </c>
      <c r="S2566" s="29" t="str">
        <f t="shared" si="829"/>
        <v>NA</v>
      </c>
      <c r="T2566" s="29" t="str">
        <f t="shared" si="830"/>
        <v>NA</v>
      </c>
      <c r="U2566" s="29" t="str">
        <f t="shared" si="831"/>
        <v>NA</v>
      </c>
      <c r="V2566" s="29" t="str">
        <f t="shared" si="832"/>
        <v>NA</v>
      </c>
      <c r="W2566" s="29" t="str">
        <f t="shared" si="833"/>
        <v>NA</v>
      </c>
      <c r="X2566" s="29" t="str">
        <f t="shared" si="834"/>
        <v>NA</v>
      </c>
      <c r="Y2566" s="29" t="str">
        <f t="shared" si="835"/>
        <v>NA</v>
      </c>
      <c r="Z2566" s="29" t="str">
        <f t="shared" si="836"/>
        <v>NA</v>
      </c>
      <c r="AA2566" s="29" t="str">
        <f t="shared" si="837"/>
        <v>NA</v>
      </c>
      <c r="AB2566" s="29" t="str">
        <f t="shared" si="838"/>
        <v>NA</v>
      </c>
      <c r="AC2566" s="29" t="str">
        <f t="shared" si="839"/>
        <v>NA</v>
      </c>
      <c r="AD2566" s="29" t="str">
        <f t="shared" si="840"/>
        <v>NA</v>
      </c>
      <c r="AE2566" s="29" t="str">
        <f t="shared" si="841"/>
        <v>NA</v>
      </c>
      <c r="AF2566" s="29" t="str">
        <f t="shared" si="842"/>
        <v>NA</v>
      </c>
      <c r="AG2566" s="29" t="str">
        <f t="shared" si="843"/>
        <v>NA</v>
      </c>
      <c r="AH2566" s="29" t="str">
        <f t="shared" si="844"/>
        <v>NA</v>
      </c>
    </row>
    <row r="2567" customHeight="1" spans="1:34">
      <c r="A2567" s="12" t="s">
        <v>1043</v>
      </c>
      <c r="F2567" s="24">
        <f t="shared" si="846"/>
        <v>0</v>
      </c>
      <c r="G2567" s="24" t="e">
        <f t="shared" si="845"/>
        <v>#DIV/0!</v>
      </c>
      <c r="Q2567" s="29" t="str">
        <f t="shared" si="827"/>
        <v>NA</v>
      </c>
      <c r="R2567" s="29" t="str">
        <f t="shared" si="828"/>
        <v>NA</v>
      </c>
      <c r="S2567" s="29" t="str">
        <f t="shared" si="829"/>
        <v>NA</v>
      </c>
      <c r="T2567" s="29" t="str">
        <f t="shared" si="830"/>
        <v>NA</v>
      </c>
      <c r="U2567" s="29" t="str">
        <f t="shared" si="831"/>
        <v>NA</v>
      </c>
      <c r="V2567" s="29" t="str">
        <f t="shared" si="832"/>
        <v>NA</v>
      </c>
      <c r="W2567" s="29" t="str">
        <f t="shared" si="833"/>
        <v>NA</v>
      </c>
      <c r="X2567" s="29" t="str">
        <f t="shared" si="834"/>
        <v>NA</v>
      </c>
      <c r="Y2567" s="29" t="str">
        <f t="shared" si="835"/>
        <v>NA</v>
      </c>
      <c r="Z2567" s="29" t="str">
        <f t="shared" si="836"/>
        <v>NA</v>
      </c>
      <c r="AA2567" s="29" t="str">
        <f t="shared" si="837"/>
        <v>NA</v>
      </c>
      <c r="AB2567" s="29" t="str">
        <f t="shared" si="838"/>
        <v>NA</v>
      </c>
      <c r="AC2567" s="29" t="str">
        <f t="shared" si="839"/>
        <v>NA</v>
      </c>
      <c r="AD2567" s="29" t="str">
        <f t="shared" si="840"/>
        <v>NA</v>
      </c>
      <c r="AE2567" s="29" t="str">
        <f t="shared" si="841"/>
        <v>NA</v>
      </c>
      <c r="AF2567" s="29" t="str">
        <f t="shared" si="842"/>
        <v>NA</v>
      </c>
      <c r="AG2567" s="29" t="str">
        <f t="shared" si="843"/>
        <v>NA</v>
      </c>
      <c r="AH2567" s="29" t="str">
        <f t="shared" si="844"/>
        <v>NA</v>
      </c>
    </row>
    <row r="2568" customHeight="1" spans="1:34">
      <c r="A2568" s="12" t="s">
        <v>1043</v>
      </c>
      <c r="F2568" s="24">
        <f t="shared" si="846"/>
        <v>0</v>
      </c>
      <c r="G2568" s="24" t="e">
        <f t="shared" si="845"/>
        <v>#DIV/0!</v>
      </c>
      <c r="Q2568" s="29" t="str">
        <f t="shared" si="827"/>
        <v>NA</v>
      </c>
      <c r="R2568" s="29" t="str">
        <f t="shared" si="828"/>
        <v>NA</v>
      </c>
      <c r="S2568" s="29" t="str">
        <f t="shared" si="829"/>
        <v>NA</v>
      </c>
      <c r="T2568" s="29" t="str">
        <f t="shared" si="830"/>
        <v>NA</v>
      </c>
      <c r="U2568" s="29" t="str">
        <f t="shared" si="831"/>
        <v>NA</v>
      </c>
      <c r="V2568" s="29" t="str">
        <f t="shared" si="832"/>
        <v>NA</v>
      </c>
      <c r="W2568" s="29" t="str">
        <f t="shared" si="833"/>
        <v>NA</v>
      </c>
      <c r="X2568" s="29" t="str">
        <f t="shared" si="834"/>
        <v>NA</v>
      </c>
      <c r="Y2568" s="29" t="str">
        <f t="shared" si="835"/>
        <v>NA</v>
      </c>
      <c r="Z2568" s="29" t="str">
        <f t="shared" si="836"/>
        <v>NA</v>
      </c>
      <c r="AA2568" s="29" t="str">
        <f t="shared" si="837"/>
        <v>NA</v>
      </c>
      <c r="AB2568" s="29" t="str">
        <f t="shared" si="838"/>
        <v>NA</v>
      </c>
      <c r="AC2568" s="29" t="str">
        <f t="shared" si="839"/>
        <v>NA</v>
      </c>
      <c r="AD2568" s="29" t="str">
        <f t="shared" si="840"/>
        <v>NA</v>
      </c>
      <c r="AE2568" s="29" t="str">
        <f t="shared" si="841"/>
        <v>NA</v>
      </c>
      <c r="AF2568" s="29" t="str">
        <f t="shared" si="842"/>
        <v>NA</v>
      </c>
      <c r="AG2568" s="29" t="str">
        <f t="shared" si="843"/>
        <v>NA</v>
      </c>
      <c r="AH2568" s="29" t="str">
        <f t="shared" si="844"/>
        <v>NA</v>
      </c>
    </row>
    <row r="2569" customHeight="1" spans="1:34">
      <c r="A2569" s="12" t="s">
        <v>1043</v>
      </c>
      <c r="F2569" s="24">
        <f t="shared" si="846"/>
        <v>0</v>
      </c>
      <c r="G2569" s="24" t="e">
        <f t="shared" si="845"/>
        <v>#DIV/0!</v>
      </c>
      <c r="Q2569" s="29" t="str">
        <f t="shared" si="827"/>
        <v>NA</v>
      </c>
      <c r="R2569" s="29" t="str">
        <f t="shared" si="828"/>
        <v>NA</v>
      </c>
      <c r="S2569" s="29" t="str">
        <f t="shared" si="829"/>
        <v>NA</v>
      </c>
      <c r="T2569" s="29" t="str">
        <f t="shared" si="830"/>
        <v>NA</v>
      </c>
      <c r="U2569" s="29" t="str">
        <f t="shared" si="831"/>
        <v>NA</v>
      </c>
      <c r="V2569" s="29" t="str">
        <f t="shared" si="832"/>
        <v>NA</v>
      </c>
      <c r="W2569" s="29" t="str">
        <f t="shared" si="833"/>
        <v>NA</v>
      </c>
      <c r="X2569" s="29" t="str">
        <f t="shared" si="834"/>
        <v>NA</v>
      </c>
      <c r="Y2569" s="29" t="str">
        <f t="shared" si="835"/>
        <v>NA</v>
      </c>
      <c r="Z2569" s="29" t="str">
        <f t="shared" si="836"/>
        <v>NA</v>
      </c>
      <c r="AA2569" s="29" t="str">
        <f t="shared" si="837"/>
        <v>NA</v>
      </c>
      <c r="AB2569" s="29" t="str">
        <f t="shared" si="838"/>
        <v>NA</v>
      </c>
      <c r="AC2569" s="29" t="str">
        <f t="shared" si="839"/>
        <v>NA</v>
      </c>
      <c r="AD2569" s="29" t="str">
        <f t="shared" si="840"/>
        <v>NA</v>
      </c>
      <c r="AE2569" s="29" t="str">
        <f t="shared" si="841"/>
        <v>NA</v>
      </c>
      <c r="AF2569" s="29" t="str">
        <f t="shared" si="842"/>
        <v>NA</v>
      </c>
      <c r="AG2569" s="29" t="str">
        <f t="shared" si="843"/>
        <v>NA</v>
      </c>
      <c r="AH2569" s="29" t="str">
        <f t="shared" si="844"/>
        <v>NA</v>
      </c>
    </row>
    <row r="2570" customHeight="1" spans="1:34">
      <c r="A2570" s="12" t="s">
        <v>1043</v>
      </c>
      <c r="F2570" s="24">
        <f t="shared" si="846"/>
        <v>0</v>
      </c>
      <c r="G2570" s="24" t="e">
        <f t="shared" si="845"/>
        <v>#DIV/0!</v>
      </c>
      <c r="Q2570" s="29" t="str">
        <f t="shared" si="827"/>
        <v>NA</v>
      </c>
      <c r="R2570" s="29" t="str">
        <f t="shared" si="828"/>
        <v>NA</v>
      </c>
      <c r="S2570" s="29" t="str">
        <f t="shared" si="829"/>
        <v>NA</v>
      </c>
      <c r="T2570" s="29" t="str">
        <f t="shared" si="830"/>
        <v>NA</v>
      </c>
      <c r="U2570" s="29" t="str">
        <f t="shared" si="831"/>
        <v>NA</v>
      </c>
      <c r="V2570" s="29" t="str">
        <f t="shared" si="832"/>
        <v>NA</v>
      </c>
      <c r="W2570" s="29" t="str">
        <f t="shared" si="833"/>
        <v>NA</v>
      </c>
      <c r="X2570" s="29" t="str">
        <f t="shared" si="834"/>
        <v>NA</v>
      </c>
      <c r="Y2570" s="29" t="str">
        <f t="shared" si="835"/>
        <v>NA</v>
      </c>
      <c r="Z2570" s="29" t="str">
        <f t="shared" si="836"/>
        <v>NA</v>
      </c>
      <c r="AA2570" s="29" t="str">
        <f t="shared" si="837"/>
        <v>NA</v>
      </c>
      <c r="AB2570" s="29" t="str">
        <f t="shared" si="838"/>
        <v>NA</v>
      </c>
      <c r="AC2570" s="29" t="str">
        <f t="shared" si="839"/>
        <v>NA</v>
      </c>
      <c r="AD2570" s="29" t="str">
        <f t="shared" si="840"/>
        <v>NA</v>
      </c>
      <c r="AE2570" s="29" t="str">
        <f t="shared" si="841"/>
        <v>NA</v>
      </c>
      <c r="AF2570" s="29" t="str">
        <f t="shared" si="842"/>
        <v>NA</v>
      </c>
      <c r="AG2570" s="29" t="str">
        <f t="shared" si="843"/>
        <v>NA</v>
      </c>
      <c r="AH2570" s="29" t="str">
        <f t="shared" si="844"/>
        <v>NA</v>
      </c>
    </row>
    <row r="2571" customHeight="1" spans="1:34">
      <c r="A2571" s="12" t="s">
        <v>1043</v>
      </c>
      <c r="F2571" s="24">
        <f t="shared" si="846"/>
        <v>0</v>
      </c>
      <c r="G2571" s="24" t="e">
        <f t="shared" si="845"/>
        <v>#DIV/0!</v>
      </c>
      <c r="Q2571" s="29" t="str">
        <f t="shared" si="827"/>
        <v>NA</v>
      </c>
      <c r="R2571" s="29" t="str">
        <f t="shared" si="828"/>
        <v>NA</v>
      </c>
      <c r="S2571" s="29" t="str">
        <f t="shared" si="829"/>
        <v>NA</v>
      </c>
      <c r="T2571" s="29" t="str">
        <f t="shared" si="830"/>
        <v>NA</v>
      </c>
      <c r="U2571" s="29" t="str">
        <f t="shared" si="831"/>
        <v>NA</v>
      </c>
      <c r="V2571" s="29" t="str">
        <f t="shared" si="832"/>
        <v>NA</v>
      </c>
      <c r="W2571" s="29" t="str">
        <f t="shared" si="833"/>
        <v>NA</v>
      </c>
      <c r="X2571" s="29" t="str">
        <f t="shared" si="834"/>
        <v>NA</v>
      </c>
      <c r="Y2571" s="29" t="str">
        <f t="shared" si="835"/>
        <v>NA</v>
      </c>
      <c r="Z2571" s="29" t="str">
        <f t="shared" si="836"/>
        <v>NA</v>
      </c>
      <c r="AA2571" s="29" t="str">
        <f t="shared" si="837"/>
        <v>NA</v>
      </c>
      <c r="AB2571" s="29" t="str">
        <f t="shared" si="838"/>
        <v>NA</v>
      </c>
      <c r="AC2571" s="29" t="str">
        <f t="shared" si="839"/>
        <v>NA</v>
      </c>
      <c r="AD2571" s="29" t="str">
        <f t="shared" si="840"/>
        <v>NA</v>
      </c>
      <c r="AE2571" s="29" t="str">
        <f t="shared" si="841"/>
        <v>NA</v>
      </c>
      <c r="AF2571" s="29" t="str">
        <f t="shared" si="842"/>
        <v>NA</v>
      </c>
      <c r="AG2571" s="29" t="str">
        <f t="shared" si="843"/>
        <v>NA</v>
      </c>
      <c r="AH2571" s="29" t="str">
        <f t="shared" si="844"/>
        <v>NA</v>
      </c>
    </row>
    <row r="2572" customHeight="1" spans="1:34">
      <c r="A2572" s="12" t="s">
        <v>1043</v>
      </c>
      <c r="F2572" s="24">
        <f t="shared" si="846"/>
        <v>0</v>
      </c>
      <c r="G2572" s="24" t="e">
        <f t="shared" si="845"/>
        <v>#DIV/0!</v>
      </c>
      <c r="Q2572" s="29" t="str">
        <f t="shared" si="827"/>
        <v>NA</v>
      </c>
      <c r="R2572" s="29" t="str">
        <f t="shared" si="828"/>
        <v>NA</v>
      </c>
      <c r="S2572" s="29" t="str">
        <f t="shared" si="829"/>
        <v>NA</v>
      </c>
      <c r="T2572" s="29" t="str">
        <f t="shared" si="830"/>
        <v>NA</v>
      </c>
      <c r="U2572" s="29" t="str">
        <f t="shared" si="831"/>
        <v>NA</v>
      </c>
      <c r="V2572" s="29" t="str">
        <f t="shared" si="832"/>
        <v>NA</v>
      </c>
      <c r="W2572" s="29" t="str">
        <f t="shared" si="833"/>
        <v>NA</v>
      </c>
      <c r="X2572" s="29" t="str">
        <f t="shared" si="834"/>
        <v>NA</v>
      </c>
      <c r="Y2572" s="29" t="str">
        <f t="shared" si="835"/>
        <v>NA</v>
      </c>
      <c r="Z2572" s="29" t="str">
        <f t="shared" si="836"/>
        <v>NA</v>
      </c>
      <c r="AA2572" s="29" t="str">
        <f t="shared" si="837"/>
        <v>NA</v>
      </c>
      <c r="AB2572" s="29" t="str">
        <f t="shared" si="838"/>
        <v>NA</v>
      </c>
      <c r="AC2572" s="29" t="str">
        <f t="shared" si="839"/>
        <v>NA</v>
      </c>
      <c r="AD2572" s="29" t="str">
        <f t="shared" si="840"/>
        <v>NA</v>
      </c>
      <c r="AE2572" s="29" t="str">
        <f t="shared" si="841"/>
        <v>NA</v>
      </c>
      <c r="AF2572" s="29" t="str">
        <f t="shared" si="842"/>
        <v>NA</v>
      </c>
      <c r="AG2572" s="29" t="str">
        <f t="shared" si="843"/>
        <v>NA</v>
      </c>
      <c r="AH2572" s="29" t="str">
        <f t="shared" si="844"/>
        <v>NA</v>
      </c>
    </row>
    <row r="2573" customHeight="1" spans="1:34">
      <c r="A2573" s="12" t="s">
        <v>1043</v>
      </c>
      <c r="F2573" s="24">
        <f t="shared" si="846"/>
        <v>0</v>
      </c>
      <c r="G2573" s="24" t="e">
        <f t="shared" si="845"/>
        <v>#DIV/0!</v>
      </c>
      <c r="Q2573" s="29" t="str">
        <f t="shared" si="827"/>
        <v>NA</v>
      </c>
      <c r="R2573" s="29" t="str">
        <f t="shared" si="828"/>
        <v>NA</v>
      </c>
      <c r="S2573" s="29" t="str">
        <f t="shared" si="829"/>
        <v>NA</v>
      </c>
      <c r="T2573" s="29" t="str">
        <f t="shared" si="830"/>
        <v>NA</v>
      </c>
      <c r="U2573" s="29" t="str">
        <f t="shared" si="831"/>
        <v>NA</v>
      </c>
      <c r="V2573" s="29" t="str">
        <f t="shared" si="832"/>
        <v>NA</v>
      </c>
      <c r="W2573" s="29" t="str">
        <f t="shared" si="833"/>
        <v>NA</v>
      </c>
      <c r="X2573" s="29" t="str">
        <f t="shared" si="834"/>
        <v>NA</v>
      </c>
      <c r="Y2573" s="29" t="str">
        <f t="shared" si="835"/>
        <v>NA</v>
      </c>
      <c r="Z2573" s="29" t="str">
        <f t="shared" si="836"/>
        <v>NA</v>
      </c>
      <c r="AA2573" s="29" t="str">
        <f t="shared" si="837"/>
        <v>NA</v>
      </c>
      <c r="AB2573" s="29" t="str">
        <f t="shared" si="838"/>
        <v>NA</v>
      </c>
      <c r="AC2573" s="29" t="str">
        <f t="shared" si="839"/>
        <v>NA</v>
      </c>
      <c r="AD2573" s="29" t="str">
        <f t="shared" si="840"/>
        <v>NA</v>
      </c>
      <c r="AE2573" s="29" t="str">
        <f t="shared" si="841"/>
        <v>NA</v>
      </c>
      <c r="AF2573" s="29" t="str">
        <f t="shared" si="842"/>
        <v>NA</v>
      </c>
      <c r="AG2573" s="29" t="str">
        <f t="shared" si="843"/>
        <v>NA</v>
      </c>
      <c r="AH2573" s="29" t="str">
        <f t="shared" si="844"/>
        <v>NA</v>
      </c>
    </row>
    <row r="2574" customHeight="1" spans="1:34">
      <c r="A2574" s="12" t="s">
        <v>1043</v>
      </c>
      <c r="F2574" s="24">
        <f t="shared" si="846"/>
        <v>0</v>
      </c>
      <c r="G2574" s="24" t="e">
        <f t="shared" si="845"/>
        <v>#DIV/0!</v>
      </c>
      <c r="Q2574" s="29" t="str">
        <f t="shared" si="827"/>
        <v>NA</v>
      </c>
      <c r="R2574" s="29" t="str">
        <f t="shared" si="828"/>
        <v>NA</v>
      </c>
      <c r="S2574" s="29" t="str">
        <f t="shared" si="829"/>
        <v>NA</v>
      </c>
      <c r="T2574" s="29" t="str">
        <f t="shared" si="830"/>
        <v>NA</v>
      </c>
      <c r="U2574" s="29" t="str">
        <f t="shared" si="831"/>
        <v>NA</v>
      </c>
      <c r="V2574" s="29" t="str">
        <f t="shared" si="832"/>
        <v>NA</v>
      </c>
      <c r="W2574" s="29" t="str">
        <f t="shared" si="833"/>
        <v>NA</v>
      </c>
      <c r="X2574" s="29" t="str">
        <f t="shared" si="834"/>
        <v>NA</v>
      </c>
      <c r="Y2574" s="29" t="str">
        <f t="shared" si="835"/>
        <v>NA</v>
      </c>
      <c r="Z2574" s="29" t="str">
        <f t="shared" si="836"/>
        <v>NA</v>
      </c>
      <c r="AA2574" s="29" t="str">
        <f t="shared" si="837"/>
        <v>NA</v>
      </c>
      <c r="AB2574" s="29" t="str">
        <f t="shared" si="838"/>
        <v>NA</v>
      </c>
      <c r="AC2574" s="29" t="str">
        <f t="shared" si="839"/>
        <v>NA</v>
      </c>
      <c r="AD2574" s="29" t="str">
        <f t="shared" si="840"/>
        <v>NA</v>
      </c>
      <c r="AE2574" s="29" t="str">
        <f t="shared" si="841"/>
        <v>NA</v>
      </c>
      <c r="AF2574" s="29" t="str">
        <f t="shared" si="842"/>
        <v>NA</v>
      </c>
      <c r="AG2574" s="29" t="str">
        <f t="shared" si="843"/>
        <v>NA</v>
      </c>
      <c r="AH2574" s="29" t="str">
        <f t="shared" si="844"/>
        <v>NA</v>
      </c>
    </row>
    <row r="2575" customHeight="1" spans="1:34">
      <c r="A2575" s="12" t="s">
        <v>1043</v>
      </c>
      <c r="F2575" s="24">
        <f t="shared" si="846"/>
        <v>0</v>
      </c>
      <c r="G2575" s="24" t="e">
        <f t="shared" si="845"/>
        <v>#DIV/0!</v>
      </c>
      <c r="Q2575" s="29" t="str">
        <f t="shared" si="827"/>
        <v>NA</v>
      </c>
      <c r="R2575" s="29" t="str">
        <f t="shared" si="828"/>
        <v>NA</v>
      </c>
      <c r="S2575" s="29" t="str">
        <f t="shared" si="829"/>
        <v>NA</v>
      </c>
      <c r="T2575" s="29" t="str">
        <f t="shared" si="830"/>
        <v>NA</v>
      </c>
      <c r="U2575" s="29" t="str">
        <f t="shared" si="831"/>
        <v>NA</v>
      </c>
      <c r="V2575" s="29" t="str">
        <f t="shared" si="832"/>
        <v>NA</v>
      </c>
      <c r="W2575" s="29" t="str">
        <f t="shared" si="833"/>
        <v>NA</v>
      </c>
      <c r="X2575" s="29" t="str">
        <f t="shared" si="834"/>
        <v>NA</v>
      </c>
      <c r="Y2575" s="29" t="str">
        <f t="shared" si="835"/>
        <v>NA</v>
      </c>
      <c r="Z2575" s="29" t="str">
        <f t="shared" si="836"/>
        <v>NA</v>
      </c>
      <c r="AA2575" s="29" t="str">
        <f t="shared" si="837"/>
        <v>NA</v>
      </c>
      <c r="AB2575" s="29" t="str">
        <f t="shared" si="838"/>
        <v>NA</v>
      </c>
      <c r="AC2575" s="29" t="str">
        <f t="shared" si="839"/>
        <v>NA</v>
      </c>
      <c r="AD2575" s="29" t="str">
        <f t="shared" si="840"/>
        <v>NA</v>
      </c>
      <c r="AE2575" s="29" t="str">
        <f t="shared" si="841"/>
        <v>NA</v>
      </c>
      <c r="AF2575" s="29" t="str">
        <f t="shared" si="842"/>
        <v>NA</v>
      </c>
      <c r="AG2575" s="29" t="str">
        <f t="shared" si="843"/>
        <v>NA</v>
      </c>
      <c r="AH2575" s="29" t="str">
        <f t="shared" si="844"/>
        <v>NA</v>
      </c>
    </row>
    <row r="2576" customHeight="1" spans="1:34">
      <c r="A2576" s="12" t="s">
        <v>1043</v>
      </c>
      <c r="F2576" s="24">
        <f t="shared" si="846"/>
        <v>0</v>
      </c>
      <c r="G2576" s="24" t="e">
        <f t="shared" si="845"/>
        <v>#DIV/0!</v>
      </c>
      <c r="Q2576" s="29" t="str">
        <f t="shared" ref="Q2576:Q2639" si="847">IFERROR($B2576*$E2576/H2576,"NA")</f>
        <v>NA</v>
      </c>
      <c r="R2576" s="29" t="str">
        <f t="shared" ref="R2576:R2639" si="848">IFERROR($B2576*$E2576/I2576,"NA")</f>
        <v>NA</v>
      </c>
      <c r="S2576" s="29" t="str">
        <f t="shared" ref="S2576:S2639" si="849">IFERROR($B2576*$E2576/J2576,"NA")</f>
        <v>NA</v>
      </c>
      <c r="T2576" s="29" t="str">
        <f t="shared" ref="T2576:T2639" si="850">IFERROR($B2576*$E2576/K2576,"NA")</f>
        <v>NA</v>
      </c>
      <c r="U2576" s="29" t="str">
        <f t="shared" ref="U2576:U2639" si="851">IFERROR($B2576*$E2576/L2576,"NA")</f>
        <v>NA</v>
      </c>
      <c r="V2576" s="29" t="str">
        <f t="shared" ref="V2576:V2639" si="852">IFERROR($B2576*$E2576/M2576,"NA")</f>
        <v>NA</v>
      </c>
      <c r="W2576" s="29" t="str">
        <f t="shared" ref="W2576:W2639" si="853">IFERROR($B2576*$E2576/N2576,"NA")</f>
        <v>NA</v>
      </c>
      <c r="X2576" s="29" t="str">
        <f t="shared" ref="X2576:X2639" si="854">IFERROR($B2576*$E2576/O2576,"NA")</f>
        <v>NA</v>
      </c>
      <c r="Y2576" s="29" t="str">
        <f t="shared" ref="Y2576:Y2639" si="855">IFERROR($B2576*$E2576/P2576,"NA")</f>
        <v>NA</v>
      </c>
      <c r="Z2576" s="29" t="str">
        <f t="shared" ref="Z2576:Z2639" si="856">IFERROR((($G2576*Z$2/1000)+Q2576)/1,"NA")</f>
        <v>NA</v>
      </c>
      <c r="AA2576" s="29" t="str">
        <f t="shared" ref="AA2576:AA2639" si="857">IFERROR((($G2576*AA$2/1000)+R2576)/1,"NA")</f>
        <v>NA</v>
      </c>
      <c r="AB2576" s="29" t="str">
        <f t="shared" ref="AB2576:AB2639" si="858">IFERROR((($G2576*AB$2/1000)+S2576)/1,"NA")</f>
        <v>NA</v>
      </c>
      <c r="AC2576" s="29" t="str">
        <f t="shared" ref="AC2576:AC2639" si="859">IFERROR((($G2576*AC$2/1000)+T2576)/1,"NA")</f>
        <v>NA</v>
      </c>
      <c r="AD2576" s="29" t="str">
        <f t="shared" ref="AD2576:AD2639" si="860">IFERROR((($G2576*AD$2/1000)+U2576)/1,"NA")</f>
        <v>NA</v>
      </c>
      <c r="AE2576" s="29" t="str">
        <f t="shared" ref="AE2576:AE2639" si="861">IFERROR((($G2576*AE$2/1000)+V2576)/1,"NA")</f>
        <v>NA</v>
      </c>
      <c r="AF2576" s="29" t="str">
        <f t="shared" ref="AF2576:AF2639" si="862">IFERROR((($G2576*AF$2/1000)+W2576)/1,"NA")</f>
        <v>NA</v>
      </c>
      <c r="AG2576" s="29" t="str">
        <f t="shared" ref="AG2576:AG2639" si="863">IFERROR((($G2576*AG$2/1000)+X2576)/1,"NA")</f>
        <v>NA</v>
      </c>
      <c r="AH2576" s="29" t="str">
        <f t="shared" ref="AH2576:AH2639" si="864">IFERROR((($G2576*AH$2/1000)+Y2576)/1,"NA")</f>
        <v>NA</v>
      </c>
    </row>
    <row r="2577" customHeight="1" spans="1:34">
      <c r="A2577" s="12" t="s">
        <v>1043</v>
      </c>
      <c r="F2577" s="24">
        <f t="shared" si="846"/>
        <v>0</v>
      </c>
      <c r="G2577" s="24" t="e">
        <f t="shared" si="845"/>
        <v>#DIV/0!</v>
      </c>
      <c r="Q2577" s="29" t="str">
        <f t="shared" si="847"/>
        <v>NA</v>
      </c>
      <c r="R2577" s="29" t="str">
        <f t="shared" si="848"/>
        <v>NA</v>
      </c>
      <c r="S2577" s="29" t="str">
        <f t="shared" si="849"/>
        <v>NA</v>
      </c>
      <c r="T2577" s="29" t="str">
        <f t="shared" si="850"/>
        <v>NA</v>
      </c>
      <c r="U2577" s="29" t="str">
        <f t="shared" si="851"/>
        <v>NA</v>
      </c>
      <c r="V2577" s="29" t="str">
        <f t="shared" si="852"/>
        <v>NA</v>
      </c>
      <c r="W2577" s="29" t="str">
        <f t="shared" si="853"/>
        <v>NA</v>
      </c>
      <c r="X2577" s="29" t="str">
        <f t="shared" si="854"/>
        <v>NA</v>
      </c>
      <c r="Y2577" s="29" t="str">
        <f t="shared" si="855"/>
        <v>NA</v>
      </c>
      <c r="Z2577" s="29" t="str">
        <f t="shared" si="856"/>
        <v>NA</v>
      </c>
      <c r="AA2577" s="29" t="str">
        <f t="shared" si="857"/>
        <v>NA</v>
      </c>
      <c r="AB2577" s="29" t="str">
        <f t="shared" si="858"/>
        <v>NA</v>
      </c>
      <c r="AC2577" s="29" t="str">
        <f t="shared" si="859"/>
        <v>NA</v>
      </c>
      <c r="AD2577" s="29" t="str">
        <f t="shared" si="860"/>
        <v>NA</v>
      </c>
      <c r="AE2577" s="29" t="str">
        <f t="shared" si="861"/>
        <v>NA</v>
      </c>
      <c r="AF2577" s="29" t="str">
        <f t="shared" si="862"/>
        <v>NA</v>
      </c>
      <c r="AG2577" s="29" t="str">
        <f t="shared" si="863"/>
        <v>NA</v>
      </c>
      <c r="AH2577" s="29" t="str">
        <f t="shared" si="864"/>
        <v>NA</v>
      </c>
    </row>
    <row r="2578" customHeight="1" spans="1:34">
      <c r="A2578" s="12" t="s">
        <v>1043</v>
      </c>
      <c r="F2578" s="24">
        <f t="shared" si="846"/>
        <v>0</v>
      </c>
      <c r="G2578" s="24" t="e">
        <f t="shared" si="845"/>
        <v>#DIV/0!</v>
      </c>
      <c r="Q2578" s="29" t="str">
        <f t="shared" si="847"/>
        <v>NA</v>
      </c>
      <c r="R2578" s="29" t="str">
        <f t="shared" si="848"/>
        <v>NA</v>
      </c>
      <c r="S2578" s="29" t="str">
        <f t="shared" si="849"/>
        <v>NA</v>
      </c>
      <c r="T2578" s="29" t="str">
        <f t="shared" si="850"/>
        <v>NA</v>
      </c>
      <c r="U2578" s="29" t="str">
        <f t="shared" si="851"/>
        <v>NA</v>
      </c>
      <c r="V2578" s="29" t="str">
        <f t="shared" si="852"/>
        <v>NA</v>
      </c>
      <c r="W2578" s="29" t="str">
        <f t="shared" si="853"/>
        <v>NA</v>
      </c>
      <c r="X2578" s="29" t="str">
        <f t="shared" si="854"/>
        <v>NA</v>
      </c>
      <c r="Y2578" s="29" t="str">
        <f t="shared" si="855"/>
        <v>NA</v>
      </c>
      <c r="Z2578" s="29" t="str">
        <f t="shared" si="856"/>
        <v>NA</v>
      </c>
      <c r="AA2578" s="29" t="str">
        <f t="shared" si="857"/>
        <v>NA</v>
      </c>
      <c r="AB2578" s="29" t="str">
        <f t="shared" si="858"/>
        <v>NA</v>
      </c>
      <c r="AC2578" s="29" t="str">
        <f t="shared" si="859"/>
        <v>NA</v>
      </c>
      <c r="AD2578" s="29" t="str">
        <f t="shared" si="860"/>
        <v>NA</v>
      </c>
      <c r="AE2578" s="29" t="str">
        <f t="shared" si="861"/>
        <v>NA</v>
      </c>
      <c r="AF2578" s="29" t="str">
        <f t="shared" si="862"/>
        <v>NA</v>
      </c>
      <c r="AG2578" s="29" t="str">
        <f t="shared" si="863"/>
        <v>NA</v>
      </c>
      <c r="AH2578" s="29" t="str">
        <f t="shared" si="864"/>
        <v>NA</v>
      </c>
    </row>
    <row r="2579" customHeight="1" spans="1:34">
      <c r="A2579" s="12" t="s">
        <v>1043</v>
      </c>
      <c r="F2579" s="24">
        <f t="shared" si="846"/>
        <v>0</v>
      </c>
      <c r="G2579" s="24" t="e">
        <f t="shared" si="845"/>
        <v>#DIV/0!</v>
      </c>
      <c r="Q2579" s="29" t="str">
        <f t="shared" si="847"/>
        <v>NA</v>
      </c>
      <c r="R2579" s="29" t="str">
        <f t="shared" si="848"/>
        <v>NA</v>
      </c>
      <c r="S2579" s="29" t="str">
        <f t="shared" si="849"/>
        <v>NA</v>
      </c>
      <c r="T2579" s="29" t="str">
        <f t="shared" si="850"/>
        <v>NA</v>
      </c>
      <c r="U2579" s="29" t="str">
        <f t="shared" si="851"/>
        <v>NA</v>
      </c>
      <c r="V2579" s="29" t="str">
        <f t="shared" si="852"/>
        <v>NA</v>
      </c>
      <c r="W2579" s="29" t="str">
        <f t="shared" si="853"/>
        <v>NA</v>
      </c>
      <c r="X2579" s="29" t="str">
        <f t="shared" si="854"/>
        <v>NA</v>
      </c>
      <c r="Y2579" s="29" t="str">
        <f t="shared" si="855"/>
        <v>NA</v>
      </c>
      <c r="Z2579" s="29" t="str">
        <f t="shared" si="856"/>
        <v>NA</v>
      </c>
      <c r="AA2579" s="29" t="str">
        <f t="shared" si="857"/>
        <v>NA</v>
      </c>
      <c r="AB2579" s="29" t="str">
        <f t="shared" si="858"/>
        <v>NA</v>
      </c>
      <c r="AC2579" s="29" t="str">
        <f t="shared" si="859"/>
        <v>NA</v>
      </c>
      <c r="AD2579" s="29" t="str">
        <f t="shared" si="860"/>
        <v>NA</v>
      </c>
      <c r="AE2579" s="29" t="str">
        <f t="shared" si="861"/>
        <v>NA</v>
      </c>
      <c r="AF2579" s="29" t="str">
        <f t="shared" si="862"/>
        <v>NA</v>
      </c>
      <c r="AG2579" s="29" t="str">
        <f t="shared" si="863"/>
        <v>NA</v>
      </c>
      <c r="AH2579" s="29" t="str">
        <f t="shared" si="864"/>
        <v>NA</v>
      </c>
    </row>
    <row r="2580" customHeight="1" spans="1:34">
      <c r="A2580" s="12" t="s">
        <v>1043</v>
      </c>
      <c r="F2580" s="24">
        <f t="shared" si="846"/>
        <v>0</v>
      </c>
      <c r="G2580" s="24" t="e">
        <f t="shared" si="845"/>
        <v>#DIV/0!</v>
      </c>
      <c r="Q2580" s="29" t="str">
        <f t="shared" si="847"/>
        <v>NA</v>
      </c>
      <c r="R2580" s="29" t="str">
        <f t="shared" si="848"/>
        <v>NA</v>
      </c>
      <c r="S2580" s="29" t="str">
        <f t="shared" si="849"/>
        <v>NA</v>
      </c>
      <c r="T2580" s="29" t="str">
        <f t="shared" si="850"/>
        <v>NA</v>
      </c>
      <c r="U2580" s="29" t="str">
        <f t="shared" si="851"/>
        <v>NA</v>
      </c>
      <c r="V2580" s="29" t="str">
        <f t="shared" si="852"/>
        <v>NA</v>
      </c>
      <c r="W2580" s="29" t="str">
        <f t="shared" si="853"/>
        <v>NA</v>
      </c>
      <c r="X2580" s="29" t="str">
        <f t="shared" si="854"/>
        <v>NA</v>
      </c>
      <c r="Y2580" s="29" t="str">
        <f t="shared" si="855"/>
        <v>NA</v>
      </c>
      <c r="Z2580" s="29" t="str">
        <f t="shared" si="856"/>
        <v>NA</v>
      </c>
      <c r="AA2580" s="29" t="str">
        <f t="shared" si="857"/>
        <v>NA</v>
      </c>
      <c r="AB2580" s="29" t="str">
        <f t="shared" si="858"/>
        <v>NA</v>
      </c>
      <c r="AC2580" s="29" t="str">
        <f t="shared" si="859"/>
        <v>NA</v>
      </c>
      <c r="AD2580" s="29" t="str">
        <f t="shared" si="860"/>
        <v>NA</v>
      </c>
      <c r="AE2580" s="29" t="str">
        <f t="shared" si="861"/>
        <v>NA</v>
      </c>
      <c r="AF2580" s="29" t="str">
        <f t="shared" si="862"/>
        <v>NA</v>
      </c>
      <c r="AG2580" s="29" t="str">
        <f t="shared" si="863"/>
        <v>NA</v>
      </c>
      <c r="AH2580" s="29" t="str">
        <f t="shared" si="864"/>
        <v>NA</v>
      </c>
    </row>
    <row r="2581" customHeight="1" spans="1:34">
      <c r="A2581" s="12" t="s">
        <v>1043</v>
      </c>
      <c r="F2581" s="24">
        <f t="shared" si="846"/>
        <v>0</v>
      </c>
      <c r="G2581" s="24" t="e">
        <f t="shared" si="845"/>
        <v>#DIV/0!</v>
      </c>
      <c r="Q2581" s="29" t="str">
        <f t="shared" si="847"/>
        <v>NA</v>
      </c>
      <c r="R2581" s="29" t="str">
        <f t="shared" si="848"/>
        <v>NA</v>
      </c>
      <c r="S2581" s="29" t="str">
        <f t="shared" si="849"/>
        <v>NA</v>
      </c>
      <c r="T2581" s="29" t="str">
        <f t="shared" si="850"/>
        <v>NA</v>
      </c>
      <c r="U2581" s="29" t="str">
        <f t="shared" si="851"/>
        <v>NA</v>
      </c>
      <c r="V2581" s="29" t="str">
        <f t="shared" si="852"/>
        <v>NA</v>
      </c>
      <c r="W2581" s="29" t="str">
        <f t="shared" si="853"/>
        <v>NA</v>
      </c>
      <c r="X2581" s="29" t="str">
        <f t="shared" si="854"/>
        <v>NA</v>
      </c>
      <c r="Y2581" s="29" t="str">
        <f t="shared" si="855"/>
        <v>NA</v>
      </c>
      <c r="Z2581" s="29" t="str">
        <f t="shared" si="856"/>
        <v>NA</v>
      </c>
      <c r="AA2581" s="29" t="str">
        <f t="shared" si="857"/>
        <v>NA</v>
      </c>
      <c r="AB2581" s="29" t="str">
        <f t="shared" si="858"/>
        <v>NA</v>
      </c>
      <c r="AC2581" s="29" t="str">
        <f t="shared" si="859"/>
        <v>NA</v>
      </c>
      <c r="AD2581" s="29" t="str">
        <f t="shared" si="860"/>
        <v>NA</v>
      </c>
      <c r="AE2581" s="29" t="str">
        <f t="shared" si="861"/>
        <v>NA</v>
      </c>
      <c r="AF2581" s="29" t="str">
        <f t="shared" si="862"/>
        <v>NA</v>
      </c>
      <c r="AG2581" s="29" t="str">
        <f t="shared" si="863"/>
        <v>NA</v>
      </c>
      <c r="AH2581" s="29" t="str">
        <f t="shared" si="864"/>
        <v>NA</v>
      </c>
    </row>
    <row r="2582" customHeight="1" spans="1:34">
      <c r="A2582" s="12" t="s">
        <v>1043</v>
      </c>
      <c r="F2582" s="24">
        <f t="shared" si="846"/>
        <v>0</v>
      </c>
      <c r="G2582" s="24" t="e">
        <f t="shared" si="845"/>
        <v>#DIV/0!</v>
      </c>
      <c r="Q2582" s="29" t="str">
        <f t="shared" si="847"/>
        <v>NA</v>
      </c>
      <c r="R2582" s="29" t="str">
        <f t="shared" si="848"/>
        <v>NA</v>
      </c>
      <c r="S2582" s="29" t="str">
        <f t="shared" si="849"/>
        <v>NA</v>
      </c>
      <c r="T2582" s="29" t="str">
        <f t="shared" si="850"/>
        <v>NA</v>
      </c>
      <c r="U2582" s="29" t="str">
        <f t="shared" si="851"/>
        <v>NA</v>
      </c>
      <c r="V2582" s="29" t="str">
        <f t="shared" si="852"/>
        <v>NA</v>
      </c>
      <c r="W2582" s="29" t="str">
        <f t="shared" si="853"/>
        <v>NA</v>
      </c>
      <c r="X2582" s="29" t="str">
        <f t="shared" si="854"/>
        <v>NA</v>
      </c>
      <c r="Y2582" s="29" t="str">
        <f t="shared" si="855"/>
        <v>NA</v>
      </c>
      <c r="Z2582" s="29" t="str">
        <f t="shared" si="856"/>
        <v>NA</v>
      </c>
      <c r="AA2582" s="29" t="str">
        <f t="shared" si="857"/>
        <v>NA</v>
      </c>
      <c r="AB2582" s="29" t="str">
        <f t="shared" si="858"/>
        <v>NA</v>
      </c>
      <c r="AC2582" s="29" t="str">
        <f t="shared" si="859"/>
        <v>NA</v>
      </c>
      <c r="AD2582" s="29" t="str">
        <f t="shared" si="860"/>
        <v>NA</v>
      </c>
      <c r="AE2582" s="29" t="str">
        <f t="shared" si="861"/>
        <v>NA</v>
      </c>
      <c r="AF2582" s="29" t="str">
        <f t="shared" si="862"/>
        <v>NA</v>
      </c>
      <c r="AG2582" s="29" t="str">
        <f t="shared" si="863"/>
        <v>NA</v>
      </c>
      <c r="AH2582" s="29" t="str">
        <f t="shared" si="864"/>
        <v>NA</v>
      </c>
    </row>
    <row r="2583" customHeight="1" spans="1:34">
      <c r="A2583" s="12" t="s">
        <v>1043</v>
      </c>
      <c r="F2583" s="24">
        <f t="shared" si="846"/>
        <v>0</v>
      </c>
      <c r="G2583" s="24" t="e">
        <f t="shared" si="845"/>
        <v>#DIV/0!</v>
      </c>
      <c r="Q2583" s="29" t="str">
        <f t="shared" si="847"/>
        <v>NA</v>
      </c>
      <c r="R2583" s="29" t="str">
        <f t="shared" si="848"/>
        <v>NA</v>
      </c>
      <c r="S2583" s="29" t="str">
        <f t="shared" si="849"/>
        <v>NA</v>
      </c>
      <c r="T2583" s="29" t="str">
        <f t="shared" si="850"/>
        <v>NA</v>
      </c>
      <c r="U2583" s="29" t="str">
        <f t="shared" si="851"/>
        <v>NA</v>
      </c>
      <c r="V2583" s="29" t="str">
        <f t="shared" si="852"/>
        <v>NA</v>
      </c>
      <c r="W2583" s="29" t="str">
        <f t="shared" si="853"/>
        <v>NA</v>
      </c>
      <c r="X2583" s="29" t="str">
        <f t="shared" si="854"/>
        <v>NA</v>
      </c>
      <c r="Y2583" s="29" t="str">
        <f t="shared" si="855"/>
        <v>NA</v>
      </c>
      <c r="Z2583" s="29" t="str">
        <f t="shared" si="856"/>
        <v>NA</v>
      </c>
      <c r="AA2583" s="29" t="str">
        <f t="shared" si="857"/>
        <v>NA</v>
      </c>
      <c r="AB2583" s="29" t="str">
        <f t="shared" si="858"/>
        <v>NA</v>
      </c>
      <c r="AC2583" s="29" t="str">
        <f t="shared" si="859"/>
        <v>NA</v>
      </c>
      <c r="AD2583" s="29" t="str">
        <f t="shared" si="860"/>
        <v>NA</v>
      </c>
      <c r="AE2583" s="29" t="str">
        <f t="shared" si="861"/>
        <v>NA</v>
      </c>
      <c r="AF2583" s="29" t="str">
        <f t="shared" si="862"/>
        <v>NA</v>
      </c>
      <c r="AG2583" s="29" t="str">
        <f t="shared" si="863"/>
        <v>NA</v>
      </c>
      <c r="AH2583" s="29" t="str">
        <f t="shared" si="864"/>
        <v>NA</v>
      </c>
    </row>
    <row r="2584" customHeight="1" spans="1:34">
      <c r="A2584" s="12" t="s">
        <v>1043</v>
      </c>
      <c r="F2584" s="24">
        <f t="shared" si="846"/>
        <v>0</v>
      </c>
      <c r="G2584" s="24" t="e">
        <f t="shared" si="845"/>
        <v>#DIV/0!</v>
      </c>
      <c r="Q2584" s="29" t="str">
        <f t="shared" si="847"/>
        <v>NA</v>
      </c>
      <c r="R2584" s="29" t="str">
        <f t="shared" si="848"/>
        <v>NA</v>
      </c>
      <c r="S2584" s="29" t="str">
        <f t="shared" si="849"/>
        <v>NA</v>
      </c>
      <c r="T2584" s="29" t="str">
        <f t="shared" si="850"/>
        <v>NA</v>
      </c>
      <c r="U2584" s="29" t="str">
        <f t="shared" si="851"/>
        <v>NA</v>
      </c>
      <c r="V2584" s="29" t="str">
        <f t="shared" si="852"/>
        <v>NA</v>
      </c>
      <c r="W2584" s="29" t="str">
        <f t="shared" si="853"/>
        <v>NA</v>
      </c>
      <c r="X2584" s="29" t="str">
        <f t="shared" si="854"/>
        <v>NA</v>
      </c>
      <c r="Y2584" s="29" t="str">
        <f t="shared" si="855"/>
        <v>NA</v>
      </c>
      <c r="Z2584" s="29" t="str">
        <f t="shared" si="856"/>
        <v>NA</v>
      </c>
      <c r="AA2584" s="29" t="str">
        <f t="shared" si="857"/>
        <v>NA</v>
      </c>
      <c r="AB2584" s="29" t="str">
        <f t="shared" si="858"/>
        <v>NA</v>
      </c>
      <c r="AC2584" s="29" t="str">
        <f t="shared" si="859"/>
        <v>NA</v>
      </c>
      <c r="AD2584" s="29" t="str">
        <f t="shared" si="860"/>
        <v>NA</v>
      </c>
      <c r="AE2584" s="29" t="str">
        <f t="shared" si="861"/>
        <v>NA</v>
      </c>
      <c r="AF2584" s="29" t="str">
        <f t="shared" si="862"/>
        <v>NA</v>
      </c>
      <c r="AG2584" s="29" t="str">
        <f t="shared" si="863"/>
        <v>NA</v>
      </c>
      <c r="AH2584" s="29" t="str">
        <f t="shared" si="864"/>
        <v>NA</v>
      </c>
    </row>
    <row r="2585" customHeight="1" spans="1:34">
      <c r="A2585" s="12" t="s">
        <v>1043</v>
      </c>
      <c r="F2585" s="24">
        <f t="shared" si="846"/>
        <v>0</v>
      </c>
      <c r="G2585" s="24" t="e">
        <f t="shared" si="845"/>
        <v>#DIV/0!</v>
      </c>
      <c r="Q2585" s="29" t="str">
        <f t="shared" si="847"/>
        <v>NA</v>
      </c>
      <c r="R2585" s="29" t="str">
        <f t="shared" si="848"/>
        <v>NA</v>
      </c>
      <c r="S2585" s="29" t="str">
        <f t="shared" si="849"/>
        <v>NA</v>
      </c>
      <c r="T2585" s="29" t="str">
        <f t="shared" si="850"/>
        <v>NA</v>
      </c>
      <c r="U2585" s="29" t="str">
        <f t="shared" si="851"/>
        <v>NA</v>
      </c>
      <c r="V2585" s="29" t="str">
        <f t="shared" si="852"/>
        <v>NA</v>
      </c>
      <c r="W2585" s="29" t="str">
        <f t="shared" si="853"/>
        <v>NA</v>
      </c>
      <c r="X2585" s="29" t="str">
        <f t="shared" si="854"/>
        <v>NA</v>
      </c>
      <c r="Y2585" s="29" t="str">
        <f t="shared" si="855"/>
        <v>NA</v>
      </c>
      <c r="Z2585" s="29" t="str">
        <f t="shared" si="856"/>
        <v>NA</v>
      </c>
      <c r="AA2585" s="29" t="str">
        <f t="shared" si="857"/>
        <v>NA</v>
      </c>
      <c r="AB2585" s="29" t="str">
        <f t="shared" si="858"/>
        <v>NA</v>
      </c>
      <c r="AC2585" s="29" t="str">
        <f t="shared" si="859"/>
        <v>NA</v>
      </c>
      <c r="AD2585" s="29" t="str">
        <f t="shared" si="860"/>
        <v>NA</v>
      </c>
      <c r="AE2585" s="29" t="str">
        <f t="shared" si="861"/>
        <v>NA</v>
      </c>
      <c r="AF2585" s="29" t="str">
        <f t="shared" si="862"/>
        <v>NA</v>
      </c>
      <c r="AG2585" s="29" t="str">
        <f t="shared" si="863"/>
        <v>NA</v>
      </c>
      <c r="AH2585" s="29" t="str">
        <f t="shared" si="864"/>
        <v>NA</v>
      </c>
    </row>
    <row r="2586" customHeight="1" spans="1:34">
      <c r="A2586" s="12" t="s">
        <v>1043</v>
      </c>
      <c r="F2586" s="24">
        <f t="shared" si="846"/>
        <v>0</v>
      </c>
      <c r="G2586" s="24" t="e">
        <f t="shared" si="845"/>
        <v>#DIV/0!</v>
      </c>
      <c r="Q2586" s="29" t="str">
        <f t="shared" si="847"/>
        <v>NA</v>
      </c>
      <c r="R2586" s="29" t="str">
        <f t="shared" si="848"/>
        <v>NA</v>
      </c>
      <c r="S2586" s="29" t="str">
        <f t="shared" si="849"/>
        <v>NA</v>
      </c>
      <c r="T2586" s="29" t="str">
        <f t="shared" si="850"/>
        <v>NA</v>
      </c>
      <c r="U2586" s="29" t="str">
        <f t="shared" si="851"/>
        <v>NA</v>
      </c>
      <c r="V2586" s="29" t="str">
        <f t="shared" si="852"/>
        <v>NA</v>
      </c>
      <c r="W2586" s="29" t="str">
        <f t="shared" si="853"/>
        <v>NA</v>
      </c>
      <c r="X2586" s="29" t="str">
        <f t="shared" si="854"/>
        <v>NA</v>
      </c>
      <c r="Y2586" s="29" t="str">
        <f t="shared" si="855"/>
        <v>NA</v>
      </c>
      <c r="Z2586" s="29" t="str">
        <f t="shared" si="856"/>
        <v>NA</v>
      </c>
      <c r="AA2586" s="29" t="str">
        <f t="shared" si="857"/>
        <v>NA</v>
      </c>
      <c r="AB2586" s="29" t="str">
        <f t="shared" si="858"/>
        <v>NA</v>
      </c>
      <c r="AC2586" s="29" t="str">
        <f t="shared" si="859"/>
        <v>NA</v>
      </c>
      <c r="AD2586" s="29" t="str">
        <f t="shared" si="860"/>
        <v>NA</v>
      </c>
      <c r="AE2586" s="29" t="str">
        <f t="shared" si="861"/>
        <v>NA</v>
      </c>
      <c r="AF2586" s="29" t="str">
        <f t="shared" si="862"/>
        <v>NA</v>
      </c>
      <c r="AG2586" s="29" t="str">
        <f t="shared" si="863"/>
        <v>NA</v>
      </c>
      <c r="AH2586" s="29" t="str">
        <f t="shared" si="864"/>
        <v>NA</v>
      </c>
    </row>
    <row r="2587" customHeight="1" spans="1:34">
      <c r="A2587" s="12" t="s">
        <v>1043</v>
      </c>
      <c r="F2587" s="24">
        <f t="shared" si="846"/>
        <v>0</v>
      </c>
      <c r="G2587" s="24" t="e">
        <f t="shared" si="845"/>
        <v>#DIV/0!</v>
      </c>
      <c r="Q2587" s="29" t="str">
        <f t="shared" si="847"/>
        <v>NA</v>
      </c>
      <c r="R2587" s="29" t="str">
        <f t="shared" si="848"/>
        <v>NA</v>
      </c>
      <c r="S2587" s="29" t="str">
        <f t="shared" si="849"/>
        <v>NA</v>
      </c>
      <c r="T2587" s="29" t="str">
        <f t="shared" si="850"/>
        <v>NA</v>
      </c>
      <c r="U2587" s="29" t="str">
        <f t="shared" si="851"/>
        <v>NA</v>
      </c>
      <c r="V2587" s="29" t="str">
        <f t="shared" si="852"/>
        <v>NA</v>
      </c>
      <c r="W2587" s="29" t="str">
        <f t="shared" si="853"/>
        <v>NA</v>
      </c>
      <c r="X2587" s="29" t="str">
        <f t="shared" si="854"/>
        <v>NA</v>
      </c>
      <c r="Y2587" s="29" t="str">
        <f t="shared" si="855"/>
        <v>NA</v>
      </c>
      <c r="Z2587" s="29" t="str">
        <f t="shared" si="856"/>
        <v>NA</v>
      </c>
      <c r="AA2587" s="29" t="str">
        <f t="shared" si="857"/>
        <v>NA</v>
      </c>
      <c r="AB2587" s="29" t="str">
        <f t="shared" si="858"/>
        <v>NA</v>
      </c>
      <c r="AC2587" s="29" t="str">
        <f t="shared" si="859"/>
        <v>NA</v>
      </c>
      <c r="AD2587" s="29" t="str">
        <f t="shared" si="860"/>
        <v>NA</v>
      </c>
      <c r="AE2587" s="29" t="str">
        <f t="shared" si="861"/>
        <v>NA</v>
      </c>
      <c r="AF2587" s="29" t="str">
        <f t="shared" si="862"/>
        <v>NA</v>
      </c>
      <c r="AG2587" s="29" t="str">
        <f t="shared" si="863"/>
        <v>NA</v>
      </c>
      <c r="AH2587" s="29" t="str">
        <f t="shared" si="864"/>
        <v>NA</v>
      </c>
    </row>
    <row r="2588" customHeight="1" spans="1:34">
      <c r="A2588" s="12" t="s">
        <v>1043</v>
      </c>
      <c r="F2588" s="24">
        <f t="shared" si="846"/>
        <v>0</v>
      </c>
      <c r="G2588" s="24" t="e">
        <f t="shared" si="845"/>
        <v>#DIV/0!</v>
      </c>
      <c r="Q2588" s="29" t="str">
        <f t="shared" si="847"/>
        <v>NA</v>
      </c>
      <c r="R2588" s="29" t="str">
        <f t="shared" si="848"/>
        <v>NA</v>
      </c>
      <c r="S2588" s="29" t="str">
        <f t="shared" si="849"/>
        <v>NA</v>
      </c>
      <c r="T2588" s="29" t="str">
        <f t="shared" si="850"/>
        <v>NA</v>
      </c>
      <c r="U2588" s="29" t="str">
        <f t="shared" si="851"/>
        <v>NA</v>
      </c>
      <c r="V2588" s="29" t="str">
        <f t="shared" si="852"/>
        <v>NA</v>
      </c>
      <c r="W2588" s="29" t="str">
        <f t="shared" si="853"/>
        <v>NA</v>
      </c>
      <c r="X2588" s="29" t="str">
        <f t="shared" si="854"/>
        <v>NA</v>
      </c>
      <c r="Y2588" s="29" t="str">
        <f t="shared" si="855"/>
        <v>NA</v>
      </c>
      <c r="Z2588" s="29" t="str">
        <f t="shared" si="856"/>
        <v>NA</v>
      </c>
      <c r="AA2588" s="29" t="str">
        <f t="shared" si="857"/>
        <v>NA</v>
      </c>
      <c r="AB2588" s="29" t="str">
        <f t="shared" si="858"/>
        <v>NA</v>
      </c>
      <c r="AC2588" s="29" t="str">
        <f t="shared" si="859"/>
        <v>NA</v>
      </c>
      <c r="AD2588" s="29" t="str">
        <f t="shared" si="860"/>
        <v>NA</v>
      </c>
      <c r="AE2588" s="29" t="str">
        <f t="shared" si="861"/>
        <v>NA</v>
      </c>
      <c r="AF2588" s="29" t="str">
        <f t="shared" si="862"/>
        <v>NA</v>
      </c>
      <c r="AG2588" s="29" t="str">
        <f t="shared" si="863"/>
        <v>NA</v>
      </c>
      <c r="AH2588" s="29" t="str">
        <f t="shared" si="864"/>
        <v>NA</v>
      </c>
    </row>
    <row r="2589" customHeight="1" spans="1:34">
      <c r="A2589" s="12" t="s">
        <v>1043</v>
      </c>
      <c r="F2589" s="24">
        <f t="shared" si="846"/>
        <v>0</v>
      </c>
      <c r="G2589" s="24" t="e">
        <f t="shared" si="845"/>
        <v>#DIV/0!</v>
      </c>
      <c r="Q2589" s="29" t="str">
        <f t="shared" si="847"/>
        <v>NA</v>
      </c>
      <c r="R2589" s="29" t="str">
        <f t="shared" si="848"/>
        <v>NA</v>
      </c>
      <c r="S2589" s="29" t="str">
        <f t="shared" si="849"/>
        <v>NA</v>
      </c>
      <c r="T2589" s="29" t="str">
        <f t="shared" si="850"/>
        <v>NA</v>
      </c>
      <c r="U2589" s="29" t="str">
        <f t="shared" si="851"/>
        <v>NA</v>
      </c>
      <c r="V2589" s="29" t="str">
        <f t="shared" si="852"/>
        <v>NA</v>
      </c>
      <c r="W2589" s="29" t="str">
        <f t="shared" si="853"/>
        <v>NA</v>
      </c>
      <c r="X2589" s="29" t="str">
        <f t="shared" si="854"/>
        <v>NA</v>
      </c>
      <c r="Y2589" s="29" t="str">
        <f t="shared" si="855"/>
        <v>NA</v>
      </c>
      <c r="Z2589" s="29" t="str">
        <f t="shared" si="856"/>
        <v>NA</v>
      </c>
      <c r="AA2589" s="29" t="str">
        <f t="shared" si="857"/>
        <v>NA</v>
      </c>
      <c r="AB2589" s="29" t="str">
        <f t="shared" si="858"/>
        <v>NA</v>
      </c>
      <c r="AC2589" s="29" t="str">
        <f t="shared" si="859"/>
        <v>NA</v>
      </c>
      <c r="AD2589" s="29" t="str">
        <f t="shared" si="860"/>
        <v>NA</v>
      </c>
      <c r="AE2589" s="29" t="str">
        <f t="shared" si="861"/>
        <v>NA</v>
      </c>
      <c r="AF2589" s="29" t="str">
        <f t="shared" si="862"/>
        <v>NA</v>
      </c>
      <c r="AG2589" s="29" t="str">
        <f t="shared" si="863"/>
        <v>NA</v>
      </c>
      <c r="AH2589" s="29" t="str">
        <f t="shared" si="864"/>
        <v>NA</v>
      </c>
    </row>
    <row r="2590" customHeight="1" spans="1:34">
      <c r="A2590" s="12" t="s">
        <v>1043</v>
      </c>
      <c r="F2590" s="24">
        <f t="shared" si="846"/>
        <v>0</v>
      </c>
      <c r="G2590" s="24" t="e">
        <f t="shared" si="845"/>
        <v>#DIV/0!</v>
      </c>
      <c r="Q2590" s="29" t="str">
        <f t="shared" si="847"/>
        <v>NA</v>
      </c>
      <c r="R2590" s="29" t="str">
        <f t="shared" si="848"/>
        <v>NA</v>
      </c>
      <c r="S2590" s="29" t="str">
        <f t="shared" si="849"/>
        <v>NA</v>
      </c>
      <c r="T2590" s="29" t="str">
        <f t="shared" si="850"/>
        <v>NA</v>
      </c>
      <c r="U2590" s="29" t="str">
        <f t="shared" si="851"/>
        <v>NA</v>
      </c>
      <c r="V2590" s="29" t="str">
        <f t="shared" si="852"/>
        <v>NA</v>
      </c>
      <c r="W2590" s="29" t="str">
        <f t="shared" si="853"/>
        <v>NA</v>
      </c>
      <c r="X2590" s="29" t="str">
        <f t="shared" si="854"/>
        <v>NA</v>
      </c>
      <c r="Y2590" s="29" t="str">
        <f t="shared" si="855"/>
        <v>NA</v>
      </c>
      <c r="Z2590" s="29" t="str">
        <f t="shared" si="856"/>
        <v>NA</v>
      </c>
      <c r="AA2590" s="29" t="str">
        <f t="shared" si="857"/>
        <v>NA</v>
      </c>
      <c r="AB2590" s="29" t="str">
        <f t="shared" si="858"/>
        <v>NA</v>
      </c>
      <c r="AC2590" s="29" t="str">
        <f t="shared" si="859"/>
        <v>NA</v>
      </c>
      <c r="AD2590" s="29" t="str">
        <f t="shared" si="860"/>
        <v>NA</v>
      </c>
      <c r="AE2590" s="29" t="str">
        <f t="shared" si="861"/>
        <v>NA</v>
      </c>
      <c r="AF2590" s="29" t="str">
        <f t="shared" si="862"/>
        <v>NA</v>
      </c>
      <c r="AG2590" s="29" t="str">
        <f t="shared" si="863"/>
        <v>NA</v>
      </c>
      <c r="AH2590" s="29" t="str">
        <f t="shared" si="864"/>
        <v>NA</v>
      </c>
    </row>
    <row r="2591" customHeight="1" spans="1:34">
      <c r="A2591" s="12" t="s">
        <v>1043</v>
      </c>
      <c r="F2591" s="24">
        <f t="shared" si="846"/>
        <v>0</v>
      </c>
      <c r="G2591" s="24" t="e">
        <f t="shared" si="845"/>
        <v>#DIV/0!</v>
      </c>
      <c r="Q2591" s="29" t="str">
        <f t="shared" si="847"/>
        <v>NA</v>
      </c>
      <c r="R2591" s="29" t="str">
        <f t="shared" si="848"/>
        <v>NA</v>
      </c>
      <c r="S2591" s="29" t="str">
        <f t="shared" si="849"/>
        <v>NA</v>
      </c>
      <c r="T2591" s="29" t="str">
        <f t="shared" si="850"/>
        <v>NA</v>
      </c>
      <c r="U2591" s="29" t="str">
        <f t="shared" si="851"/>
        <v>NA</v>
      </c>
      <c r="V2591" s="29" t="str">
        <f t="shared" si="852"/>
        <v>NA</v>
      </c>
      <c r="W2591" s="29" t="str">
        <f t="shared" si="853"/>
        <v>NA</v>
      </c>
      <c r="X2591" s="29" t="str">
        <f t="shared" si="854"/>
        <v>NA</v>
      </c>
      <c r="Y2591" s="29" t="str">
        <f t="shared" si="855"/>
        <v>NA</v>
      </c>
      <c r="Z2591" s="29" t="str">
        <f t="shared" si="856"/>
        <v>NA</v>
      </c>
      <c r="AA2591" s="29" t="str">
        <f t="shared" si="857"/>
        <v>NA</v>
      </c>
      <c r="AB2591" s="29" t="str">
        <f t="shared" si="858"/>
        <v>NA</v>
      </c>
      <c r="AC2591" s="29" t="str">
        <f t="shared" si="859"/>
        <v>NA</v>
      </c>
      <c r="AD2591" s="29" t="str">
        <f t="shared" si="860"/>
        <v>NA</v>
      </c>
      <c r="AE2591" s="29" t="str">
        <f t="shared" si="861"/>
        <v>NA</v>
      </c>
      <c r="AF2591" s="29" t="str">
        <f t="shared" si="862"/>
        <v>NA</v>
      </c>
      <c r="AG2591" s="29" t="str">
        <f t="shared" si="863"/>
        <v>NA</v>
      </c>
      <c r="AH2591" s="29" t="str">
        <f t="shared" si="864"/>
        <v>NA</v>
      </c>
    </row>
    <row r="2592" customHeight="1" spans="1:34">
      <c r="A2592" s="12" t="s">
        <v>1043</v>
      </c>
      <c r="F2592" s="24">
        <f t="shared" si="846"/>
        <v>0</v>
      </c>
      <c r="G2592" s="24" t="e">
        <f t="shared" si="845"/>
        <v>#DIV/0!</v>
      </c>
      <c r="Q2592" s="29" t="str">
        <f t="shared" si="847"/>
        <v>NA</v>
      </c>
      <c r="R2592" s="29" t="str">
        <f t="shared" si="848"/>
        <v>NA</v>
      </c>
      <c r="S2592" s="29" t="str">
        <f t="shared" si="849"/>
        <v>NA</v>
      </c>
      <c r="T2592" s="29" t="str">
        <f t="shared" si="850"/>
        <v>NA</v>
      </c>
      <c r="U2592" s="29" t="str">
        <f t="shared" si="851"/>
        <v>NA</v>
      </c>
      <c r="V2592" s="29" t="str">
        <f t="shared" si="852"/>
        <v>NA</v>
      </c>
      <c r="W2592" s="29" t="str">
        <f t="shared" si="853"/>
        <v>NA</v>
      </c>
      <c r="X2592" s="29" t="str">
        <f t="shared" si="854"/>
        <v>NA</v>
      </c>
      <c r="Y2592" s="29" t="str">
        <f t="shared" si="855"/>
        <v>NA</v>
      </c>
      <c r="Z2592" s="29" t="str">
        <f t="shared" si="856"/>
        <v>NA</v>
      </c>
      <c r="AA2592" s="29" t="str">
        <f t="shared" si="857"/>
        <v>NA</v>
      </c>
      <c r="AB2592" s="29" t="str">
        <f t="shared" si="858"/>
        <v>NA</v>
      </c>
      <c r="AC2592" s="29" t="str">
        <f t="shared" si="859"/>
        <v>NA</v>
      </c>
      <c r="AD2592" s="29" t="str">
        <f t="shared" si="860"/>
        <v>NA</v>
      </c>
      <c r="AE2592" s="29" t="str">
        <f t="shared" si="861"/>
        <v>NA</v>
      </c>
      <c r="AF2592" s="29" t="str">
        <f t="shared" si="862"/>
        <v>NA</v>
      </c>
      <c r="AG2592" s="29" t="str">
        <f t="shared" si="863"/>
        <v>NA</v>
      </c>
      <c r="AH2592" s="29" t="str">
        <f t="shared" si="864"/>
        <v>NA</v>
      </c>
    </row>
    <row r="2593" customHeight="1" spans="1:34">
      <c r="A2593" s="12" t="s">
        <v>1043</v>
      </c>
      <c r="F2593" s="24">
        <f t="shared" si="846"/>
        <v>0</v>
      </c>
      <c r="G2593" s="24" t="e">
        <f t="shared" si="845"/>
        <v>#DIV/0!</v>
      </c>
      <c r="Q2593" s="29" t="str">
        <f t="shared" si="847"/>
        <v>NA</v>
      </c>
      <c r="R2593" s="29" t="str">
        <f t="shared" si="848"/>
        <v>NA</v>
      </c>
      <c r="S2593" s="29" t="str">
        <f t="shared" si="849"/>
        <v>NA</v>
      </c>
      <c r="T2593" s="29" t="str">
        <f t="shared" si="850"/>
        <v>NA</v>
      </c>
      <c r="U2593" s="29" t="str">
        <f t="shared" si="851"/>
        <v>NA</v>
      </c>
      <c r="V2593" s="29" t="str">
        <f t="shared" si="852"/>
        <v>NA</v>
      </c>
      <c r="W2593" s="29" t="str">
        <f t="shared" si="853"/>
        <v>NA</v>
      </c>
      <c r="X2593" s="29" t="str">
        <f t="shared" si="854"/>
        <v>NA</v>
      </c>
      <c r="Y2593" s="29" t="str">
        <f t="shared" si="855"/>
        <v>NA</v>
      </c>
      <c r="Z2593" s="29" t="str">
        <f t="shared" si="856"/>
        <v>NA</v>
      </c>
      <c r="AA2593" s="29" t="str">
        <f t="shared" si="857"/>
        <v>NA</v>
      </c>
      <c r="AB2593" s="29" t="str">
        <f t="shared" si="858"/>
        <v>NA</v>
      </c>
      <c r="AC2593" s="29" t="str">
        <f t="shared" si="859"/>
        <v>NA</v>
      </c>
      <c r="AD2593" s="29" t="str">
        <f t="shared" si="860"/>
        <v>NA</v>
      </c>
      <c r="AE2593" s="29" t="str">
        <f t="shared" si="861"/>
        <v>NA</v>
      </c>
      <c r="AF2593" s="29" t="str">
        <f t="shared" si="862"/>
        <v>NA</v>
      </c>
      <c r="AG2593" s="29" t="str">
        <f t="shared" si="863"/>
        <v>NA</v>
      </c>
      <c r="AH2593" s="29" t="str">
        <f t="shared" si="864"/>
        <v>NA</v>
      </c>
    </row>
    <row r="2594" customHeight="1" spans="1:34">
      <c r="A2594" s="12" t="s">
        <v>1043</v>
      </c>
      <c r="F2594" s="24">
        <f t="shared" si="846"/>
        <v>0</v>
      </c>
      <c r="G2594" s="24" t="e">
        <f t="shared" si="845"/>
        <v>#DIV/0!</v>
      </c>
      <c r="Q2594" s="29" t="str">
        <f t="shared" si="847"/>
        <v>NA</v>
      </c>
      <c r="R2594" s="29" t="str">
        <f t="shared" si="848"/>
        <v>NA</v>
      </c>
      <c r="S2594" s="29" t="str">
        <f t="shared" si="849"/>
        <v>NA</v>
      </c>
      <c r="T2594" s="29" t="str">
        <f t="shared" si="850"/>
        <v>NA</v>
      </c>
      <c r="U2594" s="29" t="str">
        <f t="shared" si="851"/>
        <v>NA</v>
      </c>
      <c r="V2594" s="29" t="str">
        <f t="shared" si="852"/>
        <v>NA</v>
      </c>
      <c r="W2594" s="29" t="str">
        <f t="shared" si="853"/>
        <v>NA</v>
      </c>
      <c r="X2594" s="29" t="str">
        <f t="shared" si="854"/>
        <v>NA</v>
      </c>
      <c r="Y2594" s="29" t="str">
        <f t="shared" si="855"/>
        <v>NA</v>
      </c>
      <c r="Z2594" s="29" t="str">
        <f t="shared" si="856"/>
        <v>NA</v>
      </c>
      <c r="AA2594" s="29" t="str">
        <f t="shared" si="857"/>
        <v>NA</v>
      </c>
      <c r="AB2594" s="29" t="str">
        <f t="shared" si="858"/>
        <v>NA</v>
      </c>
      <c r="AC2594" s="29" t="str">
        <f t="shared" si="859"/>
        <v>NA</v>
      </c>
      <c r="AD2594" s="29" t="str">
        <f t="shared" si="860"/>
        <v>NA</v>
      </c>
      <c r="AE2594" s="29" t="str">
        <f t="shared" si="861"/>
        <v>NA</v>
      </c>
      <c r="AF2594" s="29" t="str">
        <f t="shared" si="862"/>
        <v>NA</v>
      </c>
      <c r="AG2594" s="29" t="str">
        <f t="shared" si="863"/>
        <v>NA</v>
      </c>
      <c r="AH2594" s="29" t="str">
        <f t="shared" si="864"/>
        <v>NA</v>
      </c>
    </row>
    <row r="2595" customHeight="1" spans="1:34">
      <c r="A2595" s="12" t="s">
        <v>1043</v>
      </c>
      <c r="F2595" s="24">
        <f t="shared" si="846"/>
        <v>0</v>
      </c>
      <c r="G2595" s="24" t="e">
        <f t="shared" si="845"/>
        <v>#DIV/0!</v>
      </c>
      <c r="Q2595" s="29" t="str">
        <f t="shared" si="847"/>
        <v>NA</v>
      </c>
      <c r="R2595" s="29" t="str">
        <f t="shared" si="848"/>
        <v>NA</v>
      </c>
      <c r="S2595" s="29" t="str">
        <f t="shared" si="849"/>
        <v>NA</v>
      </c>
      <c r="T2595" s="29" t="str">
        <f t="shared" si="850"/>
        <v>NA</v>
      </c>
      <c r="U2595" s="29" t="str">
        <f t="shared" si="851"/>
        <v>NA</v>
      </c>
      <c r="V2595" s="29" t="str">
        <f t="shared" si="852"/>
        <v>NA</v>
      </c>
      <c r="W2595" s="29" t="str">
        <f t="shared" si="853"/>
        <v>NA</v>
      </c>
      <c r="X2595" s="29" t="str">
        <f t="shared" si="854"/>
        <v>NA</v>
      </c>
      <c r="Y2595" s="29" t="str">
        <f t="shared" si="855"/>
        <v>NA</v>
      </c>
      <c r="Z2595" s="29" t="str">
        <f t="shared" si="856"/>
        <v>NA</v>
      </c>
      <c r="AA2595" s="29" t="str">
        <f t="shared" si="857"/>
        <v>NA</v>
      </c>
      <c r="AB2595" s="29" t="str">
        <f t="shared" si="858"/>
        <v>NA</v>
      </c>
      <c r="AC2595" s="29" t="str">
        <f t="shared" si="859"/>
        <v>NA</v>
      </c>
      <c r="AD2595" s="29" t="str">
        <f t="shared" si="860"/>
        <v>NA</v>
      </c>
      <c r="AE2595" s="29" t="str">
        <f t="shared" si="861"/>
        <v>NA</v>
      </c>
      <c r="AF2595" s="29" t="str">
        <f t="shared" si="862"/>
        <v>NA</v>
      </c>
      <c r="AG2595" s="29" t="str">
        <f t="shared" si="863"/>
        <v>NA</v>
      </c>
      <c r="AH2595" s="29" t="str">
        <f t="shared" si="864"/>
        <v>NA</v>
      </c>
    </row>
    <row r="2596" customHeight="1" spans="1:34">
      <c r="A2596" s="12" t="s">
        <v>1043</v>
      </c>
      <c r="F2596" s="24">
        <f t="shared" si="846"/>
        <v>0</v>
      </c>
      <c r="G2596" s="24" t="e">
        <f t="shared" si="845"/>
        <v>#DIV/0!</v>
      </c>
      <c r="Q2596" s="29" t="str">
        <f t="shared" si="847"/>
        <v>NA</v>
      </c>
      <c r="R2596" s="29" t="str">
        <f t="shared" si="848"/>
        <v>NA</v>
      </c>
      <c r="S2596" s="29" t="str">
        <f t="shared" si="849"/>
        <v>NA</v>
      </c>
      <c r="T2596" s="29" t="str">
        <f t="shared" si="850"/>
        <v>NA</v>
      </c>
      <c r="U2596" s="29" t="str">
        <f t="shared" si="851"/>
        <v>NA</v>
      </c>
      <c r="V2596" s="29" t="str">
        <f t="shared" si="852"/>
        <v>NA</v>
      </c>
      <c r="W2596" s="29" t="str">
        <f t="shared" si="853"/>
        <v>NA</v>
      </c>
      <c r="X2596" s="29" t="str">
        <f t="shared" si="854"/>
        <v>NA</v>
      </c>
      <c r="Y2596" s="29" t="str">
        <f t="shared" si="855"/>
        <v>NA</v>
      </c>
      <c r="Z2596" s="29" t="str">
        <f t="shared" si="856"/>
        <v>NA</v>
      </c>
      <c r="AA2596" s="29" t="str">
        <f t="shared" si="857"/>
        <v>NA</v>
      </c>
      <c r="AB2596" s="29" t="str">
        <f t="shared" si="858"/>
        <v>NA</v>
      </c>
      <c r="AC2596" s="29" t="str">
        <f t="shared" si="859"/>
        <v>NA</v>
      </c>
      <c r="AD2596" s="29" t="str">
        <f t="shared" si="860"/>
        <v>NA</v>
      </c>
      <c r="AE2596" s="29" t="str">
        <f t="shared" si="861"/>
        <v>NA</v>
      </c>
      <c r="AF2596" s="29" t="str">
        <f t="shared" si="862"/>
        <v>NA</v>
      </c>
      <c r="AG2596" s="29" t="str">
        <f t="shared" si="863"/>
        <v>NA</v>
      </c>
      <c r="AH2596" s="29" t="str">
        <f t="shared" si="864"/>
        <v>NA</v>
      </c>
    </row>
    <row r="2597" customHeight="1" spans="1:34">
      <c r="A2597" s="12" t="s">
        <v>1043</v>
      </c>
      <c r="F2597" s="24">
        <f t="shared" si="846"/>
        <v>0</v>
      </c>
      <c r="G2597" s="24" t="e">
        <f t="shared" si="845"/>
        <v>#DIV/0!</v>
      </c>
      <c r="Q2597" s="29" t="str">
        <f t="shared" si="847"/>
        <v>NA</v>
      </c>
      <c r="R2597" s="29" t="str">
        <f t="shared" si="848"/>
        <v>NA</v>
      </c>
      <c r="S2597" s="29" t="str">
        <f t="shared" si="849"/>
        <v>NA</v>
      </c>
      <c r="T2597" s="29" t="str">
        <f t="shared" si="850"/>
        <v>NA</v>
      </c>
      <c r="U2597" s="29" t="str">
        <f t="shared" si="851"/>
        <v>NA</v>
      </c>
      <c r="V2597" s="29" t="str">
        <f t="shared" si="852"/>
        <v>NA</v>
      </c>
      <c r="W2597" s="29" t="str">
        <f t="shared" si="853"/>
        <v>NA</v>
      </c>
      <c r="X2597" s="29" t="str">
        <f t="shared" si="854"/>
        <v>NA</v>
      </c>
      <c r="Y2597" s="29" t="str">
        <f t="shared" si="855"/>
        <v>NA</v>
      </c>
      <c r="Z2597" s="29" t="str">
        <f t="shared" si="856"/>
        <v>NA</v>
      </c>
      <c r="AA2597" s="29" t="str">
        <f t="shared" si="857"/>
        <v>NA</v>
      </c>
      <c r="AB2597" s="29" t="str">
        <f t="shared" si="858"/>
        <v>NA</v>
      </c>
      <c r="AC2597" s="29" t="str">
        <f t="shared" si="859"/>
        <v>NA</v>
      </c>
      <c r="AD2597" s="29" t="str">
        <f t="shared" si="860"/>
        <v>NA</v>
      </c>
      <c r="AE2597" s="29" t="str">
        <f t="shared" si="861"/>
        <v>NA</v>
      </c>
      <c r="AF2597" s="29" t="str">
        <f t="shared" si="862"/>
        <v>NA</v>
      </c>
      <c r="AG2597" s="29" t="str">
        <f t="shared" si="863"/>
        <v>NA</v>
      </c>
      <c r="AH2597" s="29" t="str">
        <f t="shared" si="864"/>
        <v>NA</v>
      </c>
    </row>
    <row r="2598" customHeight="1" spans="1:34">
      <c r="A2598" s="12" t="s">
        <v>1043</v>
      </c>
      <c r="F2598" s="24">
        <f t="shared" si="846"/>
        <v>0</v>
      </c>
      <c r="G2598" s="24" t="e">
        <f t="shared" si="845"/>
        <v>#DIV/0!</v>
      </c>
      <c r="Q2598" s="29" t="str">
        <f t="shared" si="847"/>
        <v>NA</v>
      </c>
      <c r="R2598" s="29" t="str">
        <f t="shared" si="848"/>
        <v>NA</v>
      </c>
      <c r="S2598" s="29" t="str">
        <f t="shared" si="849"/>
        <v>NA</v>
      </c>
      <c r="T2598" s="29" t="str">
        <f t="shared" si="850"/>
        <v>NA</v>
      </c>
      <c r="U2598" s="29" t="str">
        <f t="shared" si="851"/>
        <v>NA</v>
      </c>
      <c r="V2598" s="29" t="str">
        <f t="shared" si="852"/>
        <v>NA</v>
      </c>
      <c r="W2598" s="29" t="str">
        <f t="shared" si="853"/>
        <v>NA</v>
      </c>
      <c r="X2598" s="29" t="str">
        <f t="shared" si="854"/>
        <v>NA</v>
      </c>
      <c r="Y2598" s="29" t="str">
        <f t="shared" si="855"/>
        <v>NA</v>
      </c>
      <c r="Z2598" s="29" t="str">
        <f t="shared" si="856"/>
        <v>NA</v>
      </c>
      <c r="AA2598" s="29" t="str">
        <f t="shared" si="857"/>
        <v>NA</v>
      </c>
      <c r="AB2598" s="29" t="str">
        <f t="shared" si="858"/>
        <v>NA</v>
      </c>
      <c r="AC2598" s="29" t="str">
        <f t="shared" si="859"/>
        <v>NA</v>
      </c>
      <c r="AD2598" s="29" t="str">
        <f t="shared" si="860"/>
        <v>NA</v>
      </c>
      <c r="AE2598" s="29" t="str">
        <f t="shared" si="861"/>
        <v>NA</v>
      </c>
      <c r="AF2598" s="29" t="str">
        <f t="shared" si="862"/>
        <v>NA</v>
      </c>
      <c r="AG2598" s="29" t="str">
        <f t="shared" si="863"/>
        <v>NA</v>
      </c>
      <c r="AH2598" s="29" t="str">
        <f t="shared" si="864"/>
        <v>NA</v>
      </c>
    </row>
    <row r="2599" customHeight="1" spans="1:34">
      <c r="A2599" s="12" t="s">
        <v>1043</v>
      </c>
      <c r="F2599" s="24">
        <f t="shared" si="846"/>
        <v>0</v>
      </c>
      <c r="G2599" s="24" t="e">
        <f t="shared" si="845"/>
        <v>#DIV/0!</v>
      </c>
      <c r="Q2599" s="29" t="str">
        <f t="shared" si="847"/>
        <v>NA</v>
      </c>
      <c r="R2599" s="29" t="str">
        <f t="shared" si="848"/>
        <v>NA</v>
      </c>
      <c r="S2599" s="29" t="str">
        <f t="shared" si="849"/>
        <v>NA</v>
      </c>
      <c r="T2599" s="29" t="str">
        <f t="shared" si="850"/>
        <v>NA</v>
      </c>
      <c r="U2599" s="29" t="str">
        <f t="shared" si="851"/>
        <v>NA</v>
      </c>
      <c r="V2599" s="29" t="str">
        <f t="shared" si="852"/>
        <v>NA</v>
      </c>
      <c r="W2599" s="29" t="str">
        <f t="shared" si="853"/>
        <v>NA</v>
      </c>
      <c r="X2599" s="29" t="str">
        <f t="shared" si="854"/>
        <v>NA</v>
      </c>
      <c r="Y2599" s="29" t="str">
        <f t="shared" si="855"/>
        <v>NA</v>
      </c>
      <c r="Z2599" s="29" t="str">
        <f t="shared" si="856"/>
        <v>NA</v>
      </c>
      <c r="AA2599" s="29" t="str">
        <f t="shared" si="857"/>
        <v>NA</v>
      </c>
      <c r="AB2599" s="29" t="str">
        <f t="shared" si="858"/>
        <v>NA</v>
      </c>
      <c r="AC2599" s="29" t="str">
        <f t="shared" si="859"/>
        <v>NA</v>
      </c>
      <c r="AD2599" s="29" t="str">
        <f t="shared" si="860"/>
        <v>NA</v>
      </c>
      <c r="AE2599" s="29" t="str">
        <f t="shared" si="861"/>
        <v>NA</v>
      </c>
      <c r="AF2599" s="29" t="str">
        <f t="shared" si="862"/>
        <v>NA</v>
      </c>
      <c r="AG2599" s="29" t="str">
        <f t="shared" si="863"/>
        <v>NA</v>
      </c>
      <c r="AH2599" s="29" t="str">
        <f t="shared" si="864"/>
        <v>NA</v>
      </c>
    </row>
    <row r="2600" customHeight="1" spans="1:34">
      <c r="A2600" s="12" t="s">
        <v>1043</v>
      </c>
      <c r="F2600" s="24">
        <f t="shared" si="846"/>
        <v>0</v>
      </c>
      <c r="G2600" s="24" t="e">
        <f t="shared" si="845"/>
        <v>#DIV/0!</v>
      </c>
      <c r="Q2600" s="29" t="str">
        <f t="shared" si="847"/>
        <v>NA</v>
      </c>
      <c r="R2600" s="29" t="str">
        <f t="shared" si="848"/>
        <v>NA</v>
      </c>
      <c r="S2600" s="29" t="str">
        <f t="shared" si="849"/>
        <v>NA</v>
      </c>
      <c r="T2600" s="29" t="str">
        <f t="shared" si="850"/>
        <v>NA</v>
      </c>
      <c r="U2600" s="29" t="str">
        <f t="shared" si="851"/>
        <v>NA</v>
      </c>
      <c r="V2600" s="29" t="str">
        <f t="shared" si="852"/>
        <v>NA</v>
      </c>
      <c r="W2600" s="29" t="str">
        <f t="shared" si="853"/>
        <v>NA</v>
      </c>
      <c r="X2600" s="29" t="str">
        <f t="shared" si="854"/>
        <v>NA</v>
      </c>
      <c r="Y2600" s="29" t="str">
        <f t="shared" si="855"/>
        <v>NA</v>
      </c>
      <c r="Z2600" s="29" t="str">
        <f t="shared" si="856"/>
        <v>NA</v>
      </c>
      <c r="AA2600" s="29" t="str">
        <f t="shared" si="857"/>
        <v>NA</v>
      </c>
      <c r="AB2600" s="29" t="str">
        <f t="shared" si="858"/>
        <v>NA</v>
      </c>
      <c r="AC2600" s="29" t="str">
        <f t="shared" si="859"/>
        <v>NA</v>
      </c>
      <c r="AD2600" s="29" t="str">
        <f t="shared" si="860"/>
        <v>NA</v>
      </c>
      <c r="AE2600" s="29" t="str">
        <f t="shared" si="861"/>
        <v>NA</v>
      </c>
      <c r="AF2600" s="29" t="str">
        <f t="shared" si="862"/>
        <v>NA</v>
      </c>
      <c r="AG2600" s="29" t="str">
        <f t="shared" si="863"/>
        <v>NA</v>
      </c>
      <c r="AH2600" s="29" t="str">
        <f t="shared" si="864"/>
        <v>NA</v>
      </c>
    </row>
    <row r="2601" customHeight="1" spans="1:34">
      <c r="A2601" s="12" t="s">
        <v>1043</v>
      </c>
      <c r="F2601" s="24">
        <f t="shared" si="846"/>
        <v>0</v>
      </c>
      <c r="G2601" s="24" t="e">
        <f t="shared" si="845"/>
        <v>#DIV/0!</v>
      </c>
      <c r="Q2601" s="29" t="str">
        <f t="shared" si="847"/>
        <v>NA</v>
      </c>
      <c r="R2601" s="29" t="str">
        <f t="shared" si="848"/>
        <v>NA</v>
      </c>
      <c r="S2601" s="29" t="str">
        <f t="shared" si="849"/>
        <v>NA</v>
      </c>
      <c r="T2601" s="29" t="str">
        <f t="shared" si="850"/>
        <v>NA</v>
      </c>
      <c r="U2601" s="29" t="str">
        <f t="shared" si="851"/>
        <v>NA</v>
      </c>
      <c r="V2601" s="29" t="str">
        <f t="shared" si="852"/>
        <v>NA</v>
      </c>
      <c r="W2601" s="29" t="str">
        <f t="shared" si="853"/>
        <v>NA</v>
      </c>
      <c r="X2601" s="29" t="str">
        <f t="shared" si="854"/>
        <v>NA</v>
      </c>
      <c r="Y2601" s="29" t="str">
        <f t="shared" si="855"/>
        <v>NA</v>
      </c>
      <c r="Z2601" s="29" t="str">
        <f t="shared" si="856"/>
        <v>NA</v>
      </c>
      <c r="AA2601" s="29" t="str">
        <f t="shared" si="857"/>
        <v>NA</v>
      </c>
      <c r="AB2601" s="29" t="str">
        <f t="shared" si="858"/>
        <v>NA</v>
      </c>
      <c r="AC2601" s="29" t="str">
        <f t="shared" si="859"/>
        <v>NA</v>
      </c>
      <c r="AD2601" s="29" t="str">
        <f t="shared" si="860"/>
        <v>NA</v>
      </c>
      <c r="AE2601" s="29" t="str">
        <f t="shared" si="861"/>
        <v>NA</v>
      </c>
      <c r="AF2601" s="29" t="str">
        <f t="shared" si="862"/>
        <v>NA</v>
      </c>
      <c r="AG2601" s="29" t="str">
        <f t="shared" si="863"/>
        <v>NA</v>
      </c>
      <c r="AH2601" s="29" t="str">
        <f t="shared" si="864"/>
        <v>NA</v>
      </c>
    </row>
    <row r="2602" customHeight="1" spans="1:34">
      <c r="A2602" s="12" t="s">
        <v>1043</v>
      </c>
      <c r="F2602" s="24">
        <f t="shared" si="846"/>
        <v>0</v>
      </c>
      <c r="G2602" s="24" t="e">
        <f t="shared" si="845"/>
        <v>#DIV/0!</v>
      </c>
      <c r="Q2602" s="29" t="str">
        <f t="shared" si="847"/>
        <v>NA</v>
      </c>
      <c r="R2602" s="29" t="str">
        <f t="shared" si="848"/>
        <v>NA</v>
      </c>
      <c r="S2602" s="29" t="str">
        <f t="shared" si="849"/>
        <v>NA</v>
      </c>
      <c r="T2602" s="29" t="str">
        <f t="shared" si="850"/>
        <v>NA</v>
      </c>
      <c r="U2602" s="29" t="str">
        <f t="shared" si="851"/>
        <v>NA</v>
      </c>
      <c r="V2602" s="29" t="str">
        <f t="shared" si="852"/>
        <v>NA</v>
      </c>
      <c r="W2602" s="29" t="str">
        <f t="shared" si="853"/>
        <v>NA</v>
      </c>
      <c r="X2602" s="29" t="str">
        <f t="shared" si="854"/>
        <v>NA</v>
      </c>
      <c r="Y2602" s="29" t="str">
        <f t="shared" si="855"/>
        <v>NA</v>
      </c>
      <c r="Z2602" s="29" t="str">
        <f t="shared" si="856"/>
        <v>NA</v>
      </c>
      <c r="AA2602" s="29" t="str">
        <f t="shared" si="857"/>
        <v>NA</v>
      </c>
      <c r="AB2602" s="29" t="str">
        <f t="shared" si="858"/>
        <v>NA</v>
      </c>
      <c r="AC2602" s="29" t="str">
        <f t="shared" si="859"/>
        <v>NA</v>
      </c>
      <c r="AD2602" s="29" t="str">
        <f t="shared" si="860"/>
        <v>NA</v>
      </c>
      <c r="AE2602" s="29" t="str">
        <f t="shared" si="861"/>
        <v>NA</v>
      </c>
      <c r="AF2602" s="29" t="str">
        <f t="shared" si="862"/>
        <v>NA</v>
      </c>
      <c r="AG2602" s="29" t="str">
        <f t="shared" si="863"/>
        <v>NA</v>
      </c>
      <c r="AH2602" s="29" t="str">
        <f t="shared" si="864"/>
        <v>NA</v>
      </c>
    </row>
    <row r="2603" customHeight="1" spans="1:34">
      <c r="A2603" s="12" t="s">
        <v>1043</v>
      </c>
      <c r="F2603" s="24">
        <f t="shared" si="846"/>
        <v>0</v>
      </c>
      <c r="G2603" s="24" t="e">
        <f t="shared" si="845"/>
        <v>#DIV/0!</v>
      </c>
      <c r="Q2603" s="29" t="str">
        <f t="shared" si="847"/>
        <v>NA</v>
      </c>
      <c r="R2603" s="29" t="str">
        <f t="shared" si="848"/>
        <v>NA</v>
      </c>
      <c r="S2603" s="29" t="str">
        <f t="shared" si="849"/>
        <v>NA</v>
      </c>
      <c r="T2603" s="29" t="str">
        <f t="shared" si="850"/>
        <v>NA</v>
      </c>
      <c r="U2603" s="29" t="str">
        <f t="shared" si="851"/>
        <v>NA</v>
      </c>
      <c r="V2603" s="29" t="str">
        <f t="shared" si="852"/>
        <v>NA</v>
      </c>
      <c r="W2603" s="29" t="str">
        <f t="shared" si="853"/>
        <v>NA</v>
      </c>
      <c r="X2603" s="29" t="str">
        <f t="shared" si="854"/>
        <v>NA</v>
      </c>
      <c r="Y2603" s="29" t="str">
        <f t="shared" si="855"/>
        <v>NA</v>
      </c>
      <c r="Z2603" s="29" t="str">
        <f t="shared" si="856"/>
        <v>NA</v>
      </c>
      <c r="AA2603" s="29" t="str">
        <f t="shared" si="857"/>
        <v>NA</v>
      </c>
      <c r="AB2603" s="29" t="str">
        <f t="shared" si="858"/>
        <v>NA</v>
      </c>
      <c r="AC2603" s="29" t="str">
        <f t="shared" si="859"/>
        <v>NA</v>
      </c>
      <c r="AD2603" s="29" t="str">
        <f t="shared" si="860"/>
        <v>NA</v>
      </c>
      <c r="AE2603" s="29" t="str">
        <f t="shared" si="861"/>
        <v>NA</v>
      </c>
      <c r="AF2603" s="29" t="str">
        <f t="shared" si="862"/>
        <v>NA</v>
      </c>
      <c r="AG2603" s="29" t="str">
        <f t="shared" si="863"/>
        <v>NA</v>
      </c>
      <c r="AH2603" s="29" t="str">
        <f t="shared" si="864"/>
        <v>NA</v>
      </c>
    </row>
    <row r="2604" customHeight="1" spans="1:34">
      <c r="A2604" s="12" t="s">
        <v>1043</v>
      </c>
      <c r="F2604" s="24">
        <f t="shared" si="846"/>
        <v>0</v>
      </c>
      <c r="G2604" s="24" t="e">
        <f t="shared" si="845"/>
        <v>#DIV/0!</v>
      </c>
      <c r="Q2604" s="29" t="str">
        <f t="shared" si="847"/>
        <v>NA</v>
      </c>
      <c r="R2604" s="29" t="str">
        <f t="shared" si="848"/>
        <v>NA</v>
      </c>
      <c r="S2604" s="29" t="str">
        <f t="shared" si="849"/>
        <v>NA</v>
      </c>
      <c r="T2604" s="29" t="str">
        <f t="shared" si="850"/>
        <v>NA</v>
      </c>
      <c r="U2604" s="29" t="str">
        <f t="shared" si="851"/>
        <v>NA</v>
      </c>
      <c r="V2604" s="29" t="str">
        <f t="shared" si="852"/>
        <v>NA</v>
      </c>
      <c r="W2604" s="29" t="str">
        <f t="shared" si="853"/>
        <v>NA</v>
      </c>
      <c r="X2604" s="29" t="str">
        <f t="shared" si="854"/>
        <v>NA</v>
      </c>
      <c r="Y2604" s="29" t="str">
        <f t="shared" si="855"/>
        <v>NA</v>
      </c>
      <c r="Z2604" s="29" t="str">
        <f t="shared" si="856"/>
        <v>NA</v>
      </c>
      <c r="AA2604" s="29" t="str">
        <f t="shared" si="857"/>
        <v>NA</v>
      </c>
      <c r="AB2604" s="29" t="str">
        <f t="shared" si="858"/>
        <v>NA</v>
      </c>
      <c r="AC2604" s="29" t="str">
        <f t="shared" si="859"/>
        <v>NA</v>
      </c>
      <c r="AD2604" s="29" t="str">
        <f t="shared" si="860"/>
        <v>NA</v>
      </c>
      <c r="AE2604" s="29" t="str">
        <f t="shared" si="861"/>
        <v>NA</v>
      </c>
      <c r="AF2604" s="29" t="str">
        <f t="shared" si="862"/>
        <v>NA</v>
      </c>
      <c r="AG2604" s="29" t="str">
        <f t="shared" si="863"/>
        <v>NA</v>
      </c>
      <c r="AH2604" s="29" t="str">
        <f t="shared" si="864"/>
        <v>NA</v>
      </c>
    </row>
    <row r="2605" customHeight="1" spans="1:34">
      <c r="A2605" s="12" t="s">
        <v>1043</v>
      </c>
      <c r="F2605" s="24">
        <f t="shared" si="846"/>
        <v>0</v>
      </c>
      <c r="G2605" s="24" t="e">
        <f t="shared" si="845"/>
        <v>#DIV/0!</v>
      </c>
      <c r="Q2605" s="29" t="str">
        <f t="shared" si="847"/>
        <v>NA</v>
      </c>
      <c r="R2605" s="29" t="str">
        <f t="shared" si="848"/>
        <v>NA</v>
      </c>
      <c r="S2605" s="29" t="str">
        <f t="shared" si="849"/>
        <v>NA</v>
      </c>
      <c r="T2605" s="29" t="str">
        <f t="shared" si="850"/>
        <v>NA</v>
      </c>
      <c r="U2605" s="29" t="str">
        <f t="shared" si="851"/>
        <v>NA</v>
      </c>
      <c r="V2605" s="29" t="str">
        <f t="shared" si="852"/>
        <v>NA</v>
      </c>
      <c r="W2605" s="29" t="str">
        <f t="shared" si="853"/>
        <v>NA</v>
      </c>
      <c r="X2605" s="29" t="str">
        <f t="shared" si="854"/>
        <v>NA</v>
      </c>
      <c r="Y2605" s="29" t="str">
        <f t="shared" si="855"/>
        <v>NA</v>
      </c>
      <c r="Z2605" s="29" t="str">
        <f t="shared" si="856"/>
        <v>NA</v>
      </c>
      <c r="AA2605" s="29" t="str">
        <f t="shared" si="857"/>
        <v>NA</v>
      </c>
      <c r="AB2605" s="29" t="str">
        <f t="shared" si="858"/>
        <v>NA</v>
      </c>
      <c r="AC2605" s="29" t="str">
        <f t="shared" si="859"/>
        <v>NA</v>
      </c>
      <c r="AD2605" s="29" t="str">
        <f t="shared" si="860"/>
        <v>NA</v>
      </c>
      <c r="AE2605" s="29" t="str">
        <f t="shared" si="861"/>
        <v>NA</v>
      </c>
      <c r="AF2605" s="29" t="str">
        <f t="shared" si="862"/>
        <v>NA</v>
      </c>
      <c r="AG2605" s="29" t="str">
        <f t="shared" si="863"/>
        <v>NA</v>
      </c>
      <c r="AH2605" s="29" t="str">
        <f t="shared" si="864"/>
        <v>NA</v>
      </c>
    </row>
    <row r="2606" customHeight="1" spans="1:34">
      <c r="A2606" s="12" t="s">
        <v>1043</v>
      </c>
      <c r="F2606" s="24">
        <f t="shared" si="846"/>
        <v>0</v>
      </c>
      <c r="G2606" s="24" t="e">
        <f t="shared" si="845"/>
        <v>#DIV/0!</v>
      </c>
      <c r="Q2606" s="29" t="str">
        <f t="shared" si="847"/>
        <v>NA</v>
      </c>
      <c r="R2606" s="29" t="str">
        <f t="shared" si="848"/>
        <v>NA</v>
      </c>
      <c r="S2606" s="29" t="str">
        <f t="shared" si="849"/>
        <v>NA</v>
      </c>
      <c r="T2606" s="29" t="str">
        <f t="shared" si="850"/>
        <v>NA</v>
      </c>
      <c r="U2606" s="29" t="str">
        <f t="shared" si="851"/>
        <v>NA</v>
      </c>
      <c r="V2606" s="29" t="str">
        <f t="shared" si="852"/>
        <v>NA</v>
      </c>
      <c r="W2606" s="29" t="str">
        <f t="shared" si="853"/>
        <v>NA</v>
      </c>
      <c r="X2606" s="29" t="str">
        <f t="shared" si="854"/>
        <v>NA</v>
      </c>
      <c r="Y2606" s="29" t="str">
        <f t="shared" si="855"/>
        <v>NA</v>
      </c>
      <c r="Z2606" s="29" t="str">
        <f t="shared" si="856"/>
        <v>NA</v>
      </c>
      <c r="AA2606" s="29" t="str">
        <f t="shared" si="857"/>
        <v>NA</v>
      </c>
      <c r="AB2606" s="29" t="str">
        <f t="shared" si="858"/>
        <v>NA</v>
      </c>
      <c r="AC2606" s="29" t="str">
        <f t="shared" si="859"/>
        <v>NA</v>
      </c>
      <c r="AD2606" s="29" t="str">
        <f t="shared" si="860"/>
        <v>NA</v>
      </c>
      <c r="AE2606" s="29" t="str">
        <f t="shared" si="861"/>
        <v>NA</v>
      </c>
      <c r="AF2606" s="29" t="str">
        <f t="shared" si="862"/>
        <v>NA</v>
      </c>
      <c r="AG2606" s="29" t="str">
        <f t="shared" si="863"/>
        <v>NA</v>
      </c>
      <c r="AH2606" s="29" t="str">
        <f t="shared" si="864"/>
        <v>NA</v>
      </c>
    </row>
    <row r="2607" customHeight="1" spans="1:34">
      <c r="A2607" s="12" t="s">
        <v>1043</v>
      </c>
      <c r="F2607" s="24">
        <f t="shared" si="846"/>
        <v>0</v>
      </c>
      <c r="G2607" s="24" t="e">
        <f t="shared" si="845"/>
        <v>#DIV/0!</v>
      </c>
      <c r="Q2607" s="29" t="str">
        <f t="shared" si="847"/>
        <v>NA</v>
      </c>
      <c r="R2607" s="29" t="str">
        <f t="shared" si="848"/>
        <v>NA</v>
      </c>
      <c r="S2607" s="29" t="str">
        <f t="shared" si="849"/>
        <v>NA</v>
      </c>
      <c r="T2607" s="29" t="str">
        <f t="shared" si="850"/>
        <v>NA</v>
      </c>
      <c r="U2607" s="29" t="str">
        <f t="shared" si="851"/>
        <v>NA</v>
      </c>
      <c r="V2607" s="29" t="str">
        <f t="shared" si="852"/>
        <v>NA</v>
      </c>
      <c r="W2607" s="29" t="str">
        <f t="shared" si="853"/>
        <v>NA</v>
      </c>
      <c r="X2607" s="29" t="str">
        <f t="shared" si="854"/>
        <v>NA</v>
      </c>
      <c r="Y2607" s="29" t="str">
        <f t="shared" si="855"/>
        <v>NA</v>
      </c>
      <c r="Z2607" s="29" t="str">
        <f t="shared" si="856"/>
        <v>NA</v>
      </c>
      <c r="AA2607" s="29" t="str">
        <f t="shared" si="857"/>
        <v>NA</v>
      </c>
      <c r="AB2607" s="29" t="str">
        <f t="shared" si="858"/>
        <v>NA</v>
      </c>
      <c r="AC2607" s="29" t="str">
        <f t="shared" si="859"/>
        <v>NA</v>
      </c>
      <c r="AD2607" s="29" t="str">
        <f t="shared" si="860"/>
        <v>NA</v>
      </c>
      <c r="AE2607" s="29" t="str">
        <f t="shared" si="861"/>
        <v>NA</v>
      </c>
      <c r="AF2607" s="29" t="str">
        <f t="shared" si="862"/>
        <v>NA</v>
      </c>
      <c r="AG2607" s="29" t="str">
        <f t="shared" si="863"/>
        <v>NA</v>
      </c>
      <c r="AH2607" s="29" t="str">
        <f t="shared" si="864"/>
        <v>NA</v>
      </c>
    </row>
    <row r="2608" customHeight="1" spans="1:34">
      <c r="A2608" s="12" t="s">
        <v>1043</v>
      </c>
      <c r="F2608" s="24">
        <f t="shared" si="846"/>
        <v>0</v>
      </c>
      <c r="G2608" s="24" t="e">
        <f t="shared" si="845"/>
        <v>#DIV/0!</v>
      </c>
      <c r="Q2608" s="29" t="str">
        <f t="shared" si="847"/>
        <v>NA</v>
      </c>
      <c r="R2608" s="29" t="str">
        <f t="shared" si="848"/>
        <v>NA</v>
      </c>
      <c r="S2608" s="29" t="str">
        <f t="shared" si="849"/>
        <v>NA</v>
      </c>
      <c r="T2608" s="29" t="str">
        <f t="shared" si="850"/>
        <v>NA</v>
      </c>
      <c r="U2608" s="29" t="str">
        <f t="shared" si="851"/>
        <v>NA</v>
      </c>
      <c r="V2608" s="29" t="str">
        <f t="shared" si="852"/>
        <v>NA</v>
      </c>
      <c r="W2608" s="29" t="str">
        <f t="shared" si="853"/>
        <v>NA</v>
      </c>
      <c r="X2608" s="29" t="str">
        <f t="shared" si="854"/>
        <v>NA</v>
      </c>
      <c r="Y2608" s="29" t="str">
        <f t="shared" si="855"/>
        <v>NA</v>
      </c>
      <c r="Z2608" s="29" t="str">
        <f t="shared" si="856"/>
        <v>NA</v>
      </c>
      <c r="AA2608" s="29" t="str">
        <f t="shared" si="857"/>
        <v>NA</v>
      </c>
      <c r="AB2608" s="29" t="str">
        <f t="shared" si="858"/>
        <v>NA</v>
      </c>
      <c r="AC2608" s="29" t="str">
        <f t="shared" si="859"/>
        <v>NA</v>
      </c>
      <c r="AD2608" s="29" t="str">
        <f t="shared" si="860"/>
        <v>NA</v>
      </c>
      <c r="AE2608" s="29" t="str">
        <f t="shared" si="861"/>
        <v>NA</v>
      </c>
      <c r="AF2608" s="29" t="str">
        <f t="shared" si="862"/>
        <v>NA</v>
      </c>
      <c r="AG2608" s="29" t="str">
        <f t="shared" si="863"/>
        <v>NA</v>
      </c>
      <c r="AH2608" s="29" t="str">
        <f t="shared" si="864"/>
        <v>NA</v>
      </c>
    </row>
    <row r="2609" customHeight="1" spans="1:34">
      <c r="A2609" s="12" t="s">
        <v>1043</v>
      </c>
      <c r="F2609" s="24">
        <f t="shared" si="846"/>
        <v>0</v>
      </c>
      <c r="G2609" s="24" t="e">
        <f t="shared" si="845"/>
        <v>#DIV/0!</v>
      </c>
      <c r="Q2609" s="29" t="str">
        <f t="shared" si="847"/>
        <v>NA</v>
      </c>
      <c r="R2609" s="29" t="str">
        <f t="shared" si="848"/>
        <v>NA</v>
      </c>
      <c r="S2609" s="29" t="str">
        <f t="shared" si="849"/>
        <v>NA</v>
      </c>
      <c r="T2609" s="29" t="str">
        <f t="shared" si="850"/>
        <v>NA</v>
      </c>
      <c r="U2609" s="29" t="str">
        <f t="shared" si="851"/>
        <v>NA</v>
      </c>
      <c r="V2609" s="29" t="str">
        <f t="shared" si="852"/>
        <v>NA</v>
      </c>
      <c r="W2609" s="29" t="str">
        <f t="shared" si="853"/>
        <v>NA</v>
      </c>
      <c r="X2609" s="29" t="str">
        <f t="shared" si="854"/>
        <v>NA</v>
      </c>
      <c r="Y2609" s="29" t="str">
        <f t="shared" si="855"/>
        <v>NA</v>
      </c>
      <c r="Z2609" s="29" t="str">
        <f t="shared" si="856"/>
        <v>NA</v>
      </c>
      <c r="AA2609" s="29" t="str">
        <f t="shared" si="857"/>
        <v>NA</v>
      </c>
      <c r="AB2609" s="29" t="str">
        <f t="shared" si="858"/>
        <v>NA</v>
      </c>
      <c r="AC2609" s="29" t="str">
        <f t="shared" si="859"/>
        <v>NA</v>
      </c>
      <c r="AD2609" s="29" t="str">
        <f t="shared" si="860"/>
        <v>NA</v>
      </c>
      <c r="AE2609" s="29" t="str">
        <f t="shared" si="861"/>
        <v>NA</v>
      </c>
      <c r="AF2609" s="29" t="str">
        <f t="shared" si="862"/>
        <v>NA</v>
      </c>
      <c r="AG2609" s="29" t="str">
        <f t="shared" si="863"/>
        <v>NA</v>
      </c>
      <c r="AH2609" s="29" t="str">
        <f t="shared" si="864"/>
        <v>NA</v>
      </c>
    </row>
    <row r="2610" customHeight="1" spans="1:34">
      <c r="A2610" s="12" t="s">
        <v>1043</v>
      </c>
      <c r="F2610" s="24">
        <f t="shared" si="846"/>
        <v>0</v>
      </c>
      <c r="G2610" s="24" t="e">
        <f t="shared" si="845"/>
        <v>#DIV/0!</v>
      </c>
      <c r="Q2610" s="29" t="str">
        <f t="shared" si="847"/>
        <v>NA</v>
      </c>
      <c r="R2610" s="29" t="str">
        <f t="shared" si="848"/>
        <v>NA</v>
      </c>
      <c r="S2610" s="29" t="str">
        <f t="shared" si="849"/>
        <v>NA</v>
      </c>
      <c r="T2610" s="29" t="str">
        <f t="shared" si="850"/>
        <v>NA</v>
      </c>
      <c r="U2610" s="29" t="str">
        <f t="shared" si="851"/>
        <v>NA</v>
      </c>
      <c r="V2610" s="29" t="str">
        <f t="shared" si="852"/>
        <v>NA</v>
      </c>
      <c r="W2610" s="29" t="str">
        <f t="shared" si="853"/>
        <v>NA</v>
      </c>
      <c r="X2610" s="29" t="str">
        <f t="shared" si="854"/>
        <v>NA</v>
      </c>
      <c r="Y2610" s="29" t="str">
        <f t="shared" si="855"/>
        <v>NA</v>
      </c>
      <c r="Z2610" s="29" t="str">
        <f t="shared" si="856"/>
        <v>NA</v>
      </c>
      <c r="AA2610" s="29" t="str">
        <f t="shared" si="857"/>
        <v>NA</v>
      </c>
      <c r="AB2610" s="29" t="str">
        <f t="shared" si="858"/>
        <v>NA</v>
      </c>
      <c r="AC2610" s="29" t="str">
        <f t="shared" si="859"/>
        <v>NA</v>
      </c>
      <c r="AD2610" s="29" t="str">
        <f t="shared" si="860"/>
        <v>NA</v>
      </c>
      <c r="AE2610" s="29" t="str">
        <f t="shared" si="861"/>
        <v>NA</v>
      </c>
      <c r="AF2610" s="29" t="str">
        <f t="shared" si="862"/>
        <v>NA</v>
      </c>
      <c r="AG2610" s="29" t="str">
        <f t="shared" si="863"/>
        <v>NA</v>
      </c>
      <c r="AH2610" s="29" t="str">
        <f t="shared" si="864"/>
        <v>NA</v>
      </c>
    </row>
    <row r="2611" customHeight="1" spans="1:34">
      <c r="A2611" s="12" t="s">
        <v>1043</v>
      </c>
      <c r="F2611" s="24">
        <f t="shared" si="846"/>
        <v>0</v>
      </c>
      <c r="G2611" s="24" t="e">
        <f t="shared" si="845"/>
        <v>#DIV/0!</v>
      </c>
      <c r="Q2611" s="29" t="str">
        <f t="shared" si="847"/>
        <v>NA</v>
      </c>
      <c r="R2611" s="29" t="str">
        <f t="shared" si="848"/>
        <v>NA</v>
      </c>
      <c r="S2611" s="29" t="str">
        <f t="shared" si="849"/>
        <v>NA</v>
      </c>
      <c r="T2611" s="29" t="str">
        <f t="shared" si="850"/>
        <v>NA</v>
      </c>
      <c r="U2611" s="29" t="str">
        <f t="shared" si="851"/>
        <v>NA</v>
      </c>
      <c r="V2611" s="29" t="str">
        <f t="shared" si="852"/>
        <v>NA</v>
      </c>
      <c r="W2611" s="29" t="str">
        <f t="shared" si="853"/>
        <v>NA</v>
      </c>
      <c r="X2611" s="29" t="str">
        <f t="shared" si="854"/>
        <v>NA</v>
      </c>
      <c r="Y2611" s="29" t="str">
        <f t="shared" si="855"/>
        <v>NA</v>
      </c>
      <c r="Z2611" s="29" t="str">
        <f t="shared" si="856"/>
        <v>NA</v>
      </c>
      <c r="AA2611" s="29" t="str">
        <f t="shared" si="857"/>
        <v>NA</v>
      </c>
      <c r="AB2611" s="29" t="str">
        <f t="shared" si="858"/>
        <v>NA</v>
      </c>
      <c r="AC2611" s="29" t="str">
        <f t="shared" si="859"/>
        <v>NA</v>
      </c>
      <c r="AD2611" s="29" t="str">
        <f t="shared" si="860"/>
        <v>NA</v>
      </c>
      <c r="AE2611" s="29" t="str">
        <f t="shared" si="861"/>
        <v>NA</v>
      </c>
      <c r="AF2611" s="29" t="str">
        <f t="shared" si="862"/>
        <v>NA</v>
      </c>
      <c r="AG2611" s="29" t="str">
        <f t="shared" si="863"/>
        <v>NA</v>
      </c>
      <c r="AH2611" s="29" t="str">
        <f t="shared" si="864"/>
        <v>NA</v>
      </c>
    </row>
    <row r="2612" customHeight="1" spans="1:34">
      <c r="A2612" s="12" t="s">
        <v>1043</v>
      </c>
      <c r="F2612" s="24">
        <f t="shared" si="846"/>
        <v>0</v>
      </c>
      <c r="G2612" s="24" t="e">
        <f t="shared" si="845"/>
        <v>#DIV/0!</v>
      </c>
      <c r="Q2612" s="29" t="str">
        <f t="shared" si="847"/>
        <v>NA</v>
      </c>
      <c r="R2612" s="29" t="str">
        <f t="shared" si="848"/>
        <v>NA</v>
      </c>
      <c r="S2612" s="29" t="str">
        <f t="shared" si="849"/>
        <v>NA</v>
      </c>
      <c r="T2612" s="29" t="str">
        <f t="shared" si="850"/>
        <v>NA</v>
      </c>
      <c r="U2612" s="29" t="str">
        <f t="shared" si="851"/>
        <v>NA</v>
      </c>
      <c r="V2612" s="29" t="str">
        <f t="shared" si="852"/>
        <v>NA</v>
      </c>
      <c r="W2612" s="29" t="str">
        <f t="shared" si="853"/>
        <v>NA</v>
      </c>
      <c r="X2612" s="29" t="str">
        <f t="shared" si="854"/>
        <v>NA</v>
      </c>
      <c r="Y2612" s="29" t="str">
        <f t="shared" si="855"/>
        <v>NA</v>
      </c>
      <c r="Z2612" s="29" t="str">
        <f t="shared" si="856"/>
        <v>NA</v>
      </c>
      <c r="AA2612" s="29" t="str">
        <f t="shared" si="857"/>
        <v>NA</v>
      </c>
      <c r="AB2612" s="29" t="str">
        <f t="shared" si="858"/>
        <v>NA</v>
      </c>
      <c r="AC2612" s="29" t="str">
        <f t="shared" si="859"/>
        <v>NA</v>
      </c>
      <c r="AD2612" s="29" t="str">
        <f t="shared" si="860"/>
        <v>NA</v>
      </c>
      <c r="AE2612" s="29" t="str">
        <f t="shared" si="861"/>
        <v>NA</v>
      </c>
      <c r="AF2612" s="29" t="str">
        <f t="shared" si="862"/>
        <v>NA</v>
      </c>
      <c r="AG2612" s="29" t="str">
        <f t="shared" si="863"/>
        <v>NA</v>
      </c>
      <c r="AH2612" s="29" t="str">
        <f t="shared" si="864"/>
        <v>NA</v>
      </c>
    </row>
    <row r="2613" customHeight="1" spans="1:34">
      <c r="A2613" s="12" t="s">
        <v>1043</v>
      </c>
      <c r="F2613" s="24">
        <f t="shared" si="846"/>
        <v>0</v>
      </c>
      <c r="G2613" s="24" t="e">
        <f t="shared" si="845"/>
        <v>#DIV/0!</v>
      </c>
      <c r="Q2613" s="29" t="str">
        <f t="shared" si="847"/>
        <v>NA</v>
      </c>
      <c r="R2613" s="29" t="str">
        <f t="shared" si="848"/>
        <v>NA</v>
      </c>
      <c r="S2613" s="29" t="str">
        <f t="shared" si="849"/>
        <v>NA</v>
      </c>
      <c r="T2613" s="29" t="str">
        <f t="shared" si="850"/>
        <v>NA</v>
      </c>
      <c r="U2613" s="29" t="str">
        <f t="shared" si="851"/>
        <v>NA</v>
      </c>
      <c r="V2613" s="29" t="str">
        <f t="shared" si="852"/>
        <v>NA</v>
      </c>
      <c r="W2613" s="29" t="str">
        <f t="shared" si="853"/>
        <v>NA</v>
      </c>
      <c r="X2613" s="29" t="str">
        <f t="shared" si="854"/>
        <v>NA</v>
      </c>
      <c r="Y2613" s="29" t="str">
        <f t="shared" si="855"/>
        <v>NA</v>
      </c>
      <c r="Z2613" s="29" t="str">
        <f t="shared" si="856"/>
        <v>NA</v>
      </c>
      <c r="AA2613" s="29" t="str">
        <f t="shared" si="857"/>
        <v>NA</v>
      </c>
      <c r="AB2613" s="29" t="str">
        <f t="shared" si="858"/>
        <v>NA</v>
      </c>
      <c r="AC2613" s="29" t="str">
        <f t="shared" si="859"/>
        <v>NA</v>
      </c>
      <c r="AD2613" s="29" t="str">
        <f t="shared" si="860"/>
        <v>NA</v>
      </c>
      <c r="AE2613" s="29" t="str">
        <f t="shared" si="861"/>
        <v>NA</v>
      </c>
      <c r="AF2613" s="29" t="str">
        <f t="shared" si="862"/>
        <v>NA</v>
      </c>
      <c r="AG2613" s="29" t="str">
        <f t="shared" si="863"/>
        <v>NA</v>
      </c>
      <c r="AH2613" s="29" t="str">
        <f t="shared" si="864"/>
        <v>NA</v>
      </c>
    </row>
    <row r="2614" customHeight="1" spans="1:34">
      <c r="A2614" s="12" t="s">
        <v>1043</v>
      </c>
      <c r="F2614" s="24">
        <f t="shared" si="846"/>
        <v>0</v>
      </c>
      <c r="G2614" s="24" t="e">
        <f t="shared" si="845"/>
        <v>#DIV/0!</v>
      </c>
      <c r="Q2614" s="29" t="str">
        <f t="shared" si="847"/>
        <v>NA</v>
      </c>
      <c r="R2614" s="29" t="str">
        <f t="shared" si="848"/>
        <v>NA</v>
      </c>
      <c r="S2614" s="29" t="str">
        <f t="shared" si="849"/>
        <v>NA</v>
      </c>
      <c r="T2614" s="29" t="str">
        <f t="shared" si="850"/>
        <v>NA</v>
      </c>
      <c r="U2614" s="29" t="str">
        <f t="shared" si="851"/>
        <v>NA</v>
      </c>
      <c r="V2614" s="29" t="str">
        <f t="shared" si="852"/>
        <v>NA</v>
      </c>
      <c r="W2614" s="29" t="str">
        <f t="shared" si="853"/>
        <v>NA</v>
      </c>
      <c r="X2614" s="29" t="str">
        <f t="shared" si="854"/>
        <v>NA</v>
      </c>
      <c r="Y2614" s="29" t="str">
        <f t="shared" si="855"/>
        <v>NA</v>
      </c>
      <c r="Z2614" s="29" t="str">
        <f t="shared" si="856"/>
        <v>NA</v>
      </c>
      <c r="AA2614" s="29" t="str">
        <f t="shared" si="857"/>
        <v>NA</v>
      </c>
      <c r="AB2614" s="29" t="str">
        <f t="shared" si="858"/>
        <v>NA</v>
      </c>
      <c r="AC2614" s="29" t="str">
        <f t="shared" si="859"/>
        <v>NA</v>
      </c>
      <c r="AD2614" s="29" t="str">
        <f t="shared" si="860"/>
        <v>NA</v>
      </c>
      <c r="AE2614" s="29" t="str">
        <f t="shared" si="861"/>
        <v>NA</v>
      </c>
      <c r="AF2614" s="29" t="str">
        <f t="shared" si="862"/>
        <v>NA</v>
      </c>
      <c r="AG2614" s="29" t="str">
        <f t="shared" si="863"/>
        <v>NA</v>
      </c>
      <c r="AH2614" s="29" t="str">
        <f t="shared" si="864"/>
        <v>NA</v>
      </c>
    </row>
    <row r="2615" customHeight="1" spans="1:34">
      <c r="A2615" s="12" t="s">
        <v>1043</v>
      </c>
      <c r="F2615" s="24">
        <f t="shared" si="846"/>
        <v>0</v>
      </c>
      <c r="G2615" s="24" t="e">
        <f t="shared" si="845"/>
        <v>#DIV/0!</v>
      </c>
      <c r="Q2615" s="29" t="str">
        <f t="shared" si="847"/>
        <v>NA</v>
      </c>
      <c r="R2615" s="29" t="str">
        <f t="shared" si="848"/>
        <v>NA</v>
      </c>
      <c r="S2615" s="29" t="str">
        <f t="shared" si="849"/>
        <v>NA</v>
      </c>
      <c r="T2615" s="29" t="str">
        <f t="shared" si="850"/>
        <v>NA</v>
      </c>
      <c r="U2615" s="29" t="str">
        <f t="shared" si="851"/>
        <v>NA</v>
      </c>
      <c r="V2615" s="29" t="str">
        <f t="shared" si="852"/>
        <v>NA</v>
      </c>
      <c r="W2615" s="29" t="str">
        <f t="shared" si="853"/>
        <v>NA</v>
      </c>
      <c r="X2615" s="29" t="str">
        <f t="shared" si="854"/>
        <v>NA</v>
      </c>
      <c r="Y2615" s="29" t="str">
        <f t="shared" si="855"/>
        <v>NA</v>
      </c>
      <c r="Z2615" s="29" t="str">
        <f t="shared" si="856"/>
        <v>NA</v>
      </c>
      <c r="AA2615" s="29" t="str">
        <f t="shared" si="857"/>
        <v>NA</v>
      </c>
      <c r="AB2615" s="29" t="str">
        <f t="shared" si="858"/>
        <v>NA</v>
      </c>
      <c r="AC2615" s="29" t="str">
        <f t="shared" si="859"/>
        <v>NA</v>
      </c>
      <c r="AD2615" s="29" t="str">
        <f t="shared" si="860"/>
        <v>NA</v>
      </c>
      <c r="AE2615" s="29" t="str">
        <f t="shared" si="861"/>
        <v>NA</v>
      </c>
      <c r="AF2615" s="29" t="str">
        <f t="shared" si="862"/>
        <v>NA</v>
      </c>
      <c r="AG2615" s="29" t="str">
        <f t="shared" si="863"/>
        <v>NA</v>
      </c>
      <c r="AH2615" s="29" t="str">
        <f t="shared" si="864"/>
        <v>NA</v>
      </c>
    </row>
    <row r="2616" customHeight="1" spans="1:34">
      <c r="A2616" s="12" t="s">
        <v>1043</v>
      </c>
      <c r="F2616" s="24">
        <f t="shared" si="846"/>
        <v>0</v>
      </c>
      <c r="G2616" s="24" t="e">
        <f t="shared" si="845"/>
        <v>#DIV/0!</v>
      </c>
      <c r="Q2616" s="29" t="str">
        <f t="shared" si="847"/>
        <v>NA</v>
      </c>
      <c r="R2616" s="29" t="str">
        <f t="shared" si="848"/>
        <v>NA</v>
      </c>
      <c r="S2616" s="29" t="str">
        <f t="shared" si="849"/>
        <v>NA</v>
      </c>
      <c r="T2616" s="29" t="str">
        <f t="shared" si="850"/>
        <v>NA</v>
      </c>
      <c r="U2616" s="29" t="str">
        <f t="shared" si="851"/>
        <v>NA</v>
      </c>
      <c r="V2616" s="29" t="str">
        <f t="shared" si="852"/>
        <v>NA</v>
      </c>
      <c r="W2616" s="29" t="str">
        <f t="shared" si="853"/>
        <v>NA</v>
      </c>
      <c r="X2616" s="29" t="str">
        <f t="shared" si="854"/>
        <v>NA</v>
      </c>
      <c r="Y2616" s="29" t="str">
        <f t="shared" si="855"/>
        <v>NA</v>
      </c>
      <c r="Z2616" s="29" t="str">
        <f t="shared" si="856"/>
        <v>NA</v>
      </c>
      <c r="AA2616" s="29" t="str">
        <f t="shared" si="857"/>
        <v>NA</v>
      </c>
      <c r="AB2616" s="29" t="str">
        <f t="shared" si="858"/>
        <v>NA</v>
      </c>
      <c r="AC2616" s="29" t="str">
        <f t="shared" si="859"/>
        <v>NA</v>
      </c>
      <c r="AD2616" s="29" t="str">
        <f t="shared" si="860"/>
        <v>NA</v>
      </c>
      <c r="AE2616" s="29" t="str">
        <f t="shared" si="861"/>
        <v>NA</v>
      </c>
      <c r="AF2616" s="29" t="str">
        <f t="shared" si="862"/>
        <v>NA</v>
      </c>
      <c r="AG2616" s="29" t="str">
        <f t="shared" si="863"/>
        <v>NA</v>
      </c>
      <c r="AH2616" s="29" t="str">
        <f t="shared" si="864"/>
        <v>NA</v>
      </c>
    </row>
    <row r="2617" customHeight="1" spans="1:34">
      <c r="A2617" s="12" t="s">
        <v>1043</v>
      </c>
      <c r="F2617" s="24">
        <f t="shared" si="846"/>
        <v>0</v>
      </c>
      <c r="G2617" s="24" t="e">
        <f t="shared" si="845"/>
        <v>#DIV/0!</v>
      </c>
      <c r="Q2617" s="29" t="str">
        <f t="shared" si="847"/>
        <v>NA</v>
      </c>
      <c r="R2617" s="29" t="str">
        <f t="shared" si="848"/>
        <v>NA</v>
      </c>
      <c r="S2617" s="29" t="str">
        <f t="shared" si="849"/>
        <v>NA</v>
      </c>
      <c r="T2617" s="29" t="str">
        <f t="shared" si="850"/>
        <v>NA</v>
      </c>
      <c r="U2617" s="29" t="str">
        <f t="shared" si="851"/>
        <v>NA</v>
      </c>
      <c r="V2617" s="29" t="str">
        <f t="shared" si="852"/>
        <v>NA</v>
      </c>
      <c r="W2617" s="29" t="str">
        <f t="shared" si="853"/>
        <v>NA</v>
      </c>
      <c r="X2617" s="29" t="str">
        <f t="shared" si="854"/>
        <v>NA</v>
      </c>
      <c r="Y2617" s="29" t="str">
        <f t="shared" si="855"/>
        <v>NA</v>
      </c>
      <c r="Z2617" s="29" t="str">
        <f t="shared" si="856"/>
        <v>NA</v>
      </c>
      <c r="AA2617" s="29" t="str">
        <f t="shared" si="857"/>
        <v>NA</v>
      </c>
      <c r="AB2617" s="29" t="str">
        <f t="shared" si="858"/>
        <v>NA</v>
      </c>
      <c r="AC2617" s="29" t="str">
        <f t="shared" si="859"/>
        <v>NA</v>
      </c>
      <c r="AD2617" s="29" t="str">
        <f t="shared" si="860"/>
        <v>NA</v>
      </c>
      <c r="AE2617" s="29" t="str">
        <f t="shared" si="861"/>
        <v>NA</v>
      </c>
      <c r="AF2617" s="29" t="str">
        <f t="shared" si="862"/>
        <v>NA</v>
      </c>
      <c r="AG2617" s="29" t="str">
        <f t="shared" si="863"/>
        <v>NA</v>
      </c>
      <c r="AH2617" s="29" t="str">
        <f t="shared" si="864"/>
        <v>NA</v>
      </c>
    </row>
    <row r="2618" customHeight="1" spans="1:34">
      <c r="A2618" s="12" t="s">
        <v>1043</v>
      </c>
      <c r="F2618" s="24">
        <f t="shared" si="846"/>
        <v>0</v>
      </c>
      <c r="G2618" s="24" t="e">
        <f t="shared" si="845"/>
        <v>#DIV/0!</v>
      </c>
      <c r="Q2618" s="29" t="str">
        <f t="shared" si="847"/>
        <v>NA</v>
      </c>
      <c r="R2618" s="29" t="str">
        <f t="shared" si="848"/>
        <v>NA</v>
      </c>
      <c r="S2618" s="29" t="str">
        <f t="shared" si="849"/>
        <v>NA</v>
      </c>
      <c r="T2618" s="29" t="str">
        <f t="shared" si="850"/>
        <v>NA</v>
      </c>
      <c r="U2618" s="29" t="str">
        <f t="shared" si="851"/>
        <v>NA</v>
      </c>
      <c r="V2618" s="29" t="str">
        <f t="shared" si="852"/>
        <v>NA</v>
      </c>
      <c r="W2618" s="29" t="str">
        <f t="shared" si="853"/>
        <v>NA</v>
      </c>
      <c r="X2618" s="29" t="str">
        <f t="shared" si="854"/>
        <v>NA</v>
      </c>
      <c r="Y2618" s="29" t="str">
        <f t="shared" si="855"/>
        <v>NA</v>
      </c>
      <c r="Z2618" s="29" t="str">
        <f t="shared" si="856"/>
        <v>NA</v>
      </c>
      <c r="AA2618" s="29" t="str">
        <f t="shared" si="857"/>
        <v>NA</v>
      </c>
      <c r="AB2618" s="29" t="str">
        <f t="shared" si="858"/>
        <v>NA</v>
      </c>
      <c r="AC2618" s="29" t="str">
        <f t="shared" si="859"/>
        <v>NA</v>
      </c>
      <c r="AD2618" s="29" t="str">
        <f t="shared" si="860"/>
        <v>NA</v>
      </c>
      <c r="AE2618" s="29" t="str">
        <f t="shared" si="861"/>
        <v>NA</v>
      </c>
      <c r="AF2618" s="29" t="str">
        <f t="shared" si="862"/>
        <v>NA</v>
      </c>
      <c r="AG2618" s="29" t="str">
        <f t="shared" si="863"/>
        <v>NA</v>
      </c>
      <c r="AH2618" s="29" t="str">
        <f t="shared" si="864"/>
        <v>NA</v>
      </c>
    </row>
    <row r="2619" customHeight="1" spans="1:34">
      <c r="A2619" s="12" t="s">
        <v>1043</v>
      </c>
      <c r="F2619" s="24">
        <f t="shared" si="846"/>
        <v>0</v>
      </c>
      <c r="G2619" s="24" t="e">
        <f t="shared" si="845"/>
        <v>#DIV/0!</v>
      </c>
      <c r="Q2619" s="29" t="str">
        <f t="shared" si="847"/>
        <v>NA</v>
      </c>
      <c r="R2619" s="29" t="str">
        <f t="shared" si="848"/>
        <v>NA</v>
      </c>
      <c r="S2619" s="29" t="str">
        <f t="shared" si="849"/>
        <v>NA</v>
      </c>
      <c r="T2619" s="29" t="str">
        <f t="shared" si="850"/>
        <v>NA</v>
      </c>
      <c r="U2619" s="29" t="str">
        <f t="shared" si="851"/>
        <v>NA</v>
      </c>
      <c r="V2619" s="29" t="str">
        <f t="shared" si="852"/>
        <v>NA</v>
      </c>
      <c r="W2619" s="29" t="str">
        <f t="shared" si="853"/>
        <v>NA</v>
      </c>
      <c r="X2619" s="29" t="str">
        <f t="shared" si="854"/>
        <v>NA</v>
      </c>
      <c r="Y2619" s="29" t="str">
        <f t="shared" si="855"/>
        <v>NA</v>
      </c>
      <c r="Z2619" s="29" t="str">
        <f t="shared" si="856"/>
        <v>NA</v>
      </c>
      <c r="AA2619" s="29" t="str">
        <f t="shared" si="857"/>
        <v>NA</v>
      </c>
      <c r="AB2619" s="29" t="str">
        <f t="shared" si="858"/>
        <v>NA</v>
      </c>
      <c r="AC2619" s="29" t="str">
        <f t="shared" si="859"/>
        <v>NA</v>
      </c>
      <c r="AD2619" s="29" t="str">
        <f t="shared" si="860"/>
        <v>NA</v>
      </c>
      <c r="AE2619" s="29" t="str">
        <f t="shared" si="861"/>
        <v>NA</v>
      </c>
      <c r="AF2619" s="29" t="str">
        <f t="shared" si="862"/>
        <v>NA</v>
      </c>
      <c r="AG2619" s="29" t="str">
        <f t="shared" si="863"/>
        <v>NA</v>
      </c>
      <c r="AH2619" s="29" t="str">
        <f t="shared" si="864"/>
        <v>NA</v>
      </c>
    </row>
    <row r="2620" customHeight="1" spans="1:34">
      <c r="A2620" s="12" t="s">
        <v>1043</v>
      </c>
      <c r="F2620" s="24">
        <f t="shared" si="846"/>
        <v>0</v>
      </c>
      <c r="G2620" s="24" t="e">
        <f t="shared" si="845"/>
        <v>#DIV/0!</v>
      </c>
      <c r="Q2620" s="29" t="str">
        <f t="shared" si="847"/>
        <v>NA</v>
      </c>
      <c r="R2620" s="29" t="str">
        <f t="shared" si="848"/>
        <v>NA</v>
      </c>
      <c r="S2620" s="29" t="str">
        <f t="shared" si="849"/>
        <v>NA</v>
      </c>
      <c r="T2620" s="29" t="str">
        <f t="shared" si="850"/>
        <v>NA</v>
      </c>
      <c r="U2620" s="29" t="str">
        <f t="shared" si="851"/>
        <v>NA</v>
      </c>
      <c r="V2620" s="29" t="str">
        <f t="shared" si="852"/>
        <v>NA</v>
      </c>
      <c r="W2620" s="29" t="str">
        <f t="shared" si="853"/>
        <v>NA</v>
      </c>
      <c r="X2620" s="29" t="str">
        <f t="shared" si="854"/>
        <v>NA</v>
      </c>
      <c r="Y2620" s="29" t="str">
        <f t="shared" si="855"/>
        <v>NA</v>
      </c>
      <c r="Z2620" s="29" t="str">
        <f t="shared" si="856"/>
        <v>NA</v>
      </c>
      <c r="AA2620" s="29" t="str">
        <f t="shared" si="857"/>
        <v>NA</v>
      </c>
      <c r="AB2620" s="29" t="str">
        <f t="shared" si="858"/>
        <v>NA</v>
      </c>
      <c r="AC2620" s="29" t="str">
        <f t="shared" si="859"/>
        <v>NA</v>
      </c>
      <c r="AD2620" s="29" t="str">
        <f t="shared" si="860"/>
        <v>NA</v>
      </c>
      <c r="AE2620" s="29" t="str">
        <f t="shared" si="861"/>
        <v>NA</v>
      </c>
      <c r="AF2620" s="29" t="str">
        <f t="shared" si="862"/>
        <v>NA</v>
      </c>
      <c r="AG2620" s="29" t="str">
        <f t="shared" si="863"/>
        <v>NA</v>
      </c>
      <c r="AH2620" s="29" t="str">
        <f t="shared" si="864"/>
        <v>NA</v>
      </c>
    </row>
    <row r="2621" customHeight="1" spans="1:34">
      <c r="A2621" s="12" t="s">
        <v>1043</v>
      </c>
      <c r="F2621" s="24">
        <f t="shared" si="846"/>
        <v>0</v>
      </c>
      <c r="G2621" s="24" t="e">
        <f t="shared" si="845"/>
        <v>#DIV/0!</v>
      </c>
      <c r="Q2621" s="29" t="str">
        <f t="shared" si="847"/>
        <v>NA</v>
      </c>
      <c r="R2621" s="29" t="str">
        <f t="shared" si="848"/>
        <v>NA</v>
      </c>
      <c r="S2621" s="29" t="str">
        <f t="shared" si="849"/>
        <v>NA</v>
      </c>
      <c r="T2621" s="29" t="str">
        <f t="shared" si="850"/>
        <v>NA</v>
      </c>
      <c r="U2621" s="29" t="str">
        <f t="shared" si="851"/>
        <v>NA</v>
      </c>
      <c r="V2621" s="29" t="str">
        <f t="shared" si="852"/>
        <v>NA</v>
      </c>
      <c r="W2621" s="29" t="str">
        <f t="shared" si="853"/>
        <v>NA</v>
      </c>
      <c r="X2621" s="29" t="str">
        <f t="shared" si="854"/>
        <v>NA</v>
      </c>
      <c r="Y2621" s="29" t="str">
        <f t="shared" si="855"/>
        <v>NA</v>
      </c>
      <c r="Z2621" s="29" t="str">
        <f t="shared" si="856"/>
        <v>NA</v>
      </c>
      <c r="AA2621" s="29" t="str">
        <f t="shared" si="857"/>
        <v>NA</v>
      </c>
      <c r="AB2621" s="29" t="str">
        <f t="shared" si="858"/>
        <v>NA</v>
      </c>
      <c r="AC2621" s="29" t="str">
        <f t="shared" si="859"/>
        <v>NA</v>
      </c>
      <c r="AD2621" s="29" t="str">
        <f t="shared" si="860"/>
        <v>NA</v>
      </c>
      <c r="AE2621" s="29" t="str">
        <f t="shared" si="861"/>
        <v>NA</v>
      </c>
      <c r="AF2621" s="29" t="str">
        <f t="shared" si="862"/>
        <v>NA</v>
      </c>
      <c r="AG2621" s="29" t="str">
        <f t="shared" si="863"/>
        <v>NA</v>
      </c>
      <c r="AH2621" s="29" t="str">
        <f t="shared" si="864"/>
        <v>NA</v>
      </c>
    </row>
    <row r="2622" customHeight="1" spans="1:34">
      <c r="A2622" s="12" t="s">
        <v>1043</v>
      </c>
      <c r="F2622" s="24">
        <f t="shared" si="846"/>
        <v>0</v>
      </c>
      <c r="G2622" s="24" t="e">
        <f t="shared" si="845"/>
        <v>#DIV/0!</v>
      </c>
      <c r="Q2622" s="29" t="str">
        <f t="shared" si="847"/>
        <v>NA</v>
      </c>
      <c r="R2622" s="29" t="str">
        <f t="shared" si="848"/>
        <v>NA</v>
      </c>
      <c r="S2622" s="29" t="str">
        <f t="shared" si="849"/>
        <v>NA</v>
      </c>
      <c r="T2622" s="29" t="str">
        <f t="shared" si="850"/>
        <v>NA</v>
      </c>
      <c r="U2622" s="29" t="str">
        <f t="shared" si="851"/>
        <v>NA</v>
      </c>
      <c r="V2622" s="29" t="str">
        <f t="shared" si="852"/>
        <v>NA</v>
      </c>
      <c r="W2622" s="29" t="str">
        <f t="shared" si="853"/>
        <v>NA</v>
      </c>
      <c r="X2622" s="29" t="str">
        <f t="shared" si="854"/>
        <v>NA</v>
      </c>
      <c r="Y2622" s="29" t="str">
        <f t="shared" si="855"/>
        <v>NA</v>
      </c>
      <c r="Z2622" s="29" t="str">
        <f t="shared" si="856"/>
        <v>NA</v>
      </c>
      <c r="AA2622" s="29" t="str">
        <f t="shared" si="857"/>
        <v>NA</v>
      </c>
      <c r="AB2622" s="29" t="str">
        <f t="shared" si="858"/>
        <v>NA</v>
      </c>
      <c r="AC2622" s="29" t="str">
        <f t="shared" si="859"/>
        <v>NA</v>
      </c>
      <c r="AD2622" s="29" t="str">
        <f t="shared" si="860"/>
        <v>NA</v>
      </c>
      <c r="AE2622" s="29" t="str">
        <f t="shared" si="861"/>
        <v>NA</v>
      </c>
      <c r="AF2622" s="29" t="str">
        <f t="shared" si="862"/>
        <v>NA</v>
      </c>
      <c r="AG2622" s="29" t="str">
        <f t="shared" si="863"/>
        <v>NA</v>
      </c>
      <c r="AH2622" s="29" t="str">
        <f t="shared" si="864"/>
        <v>NA</v>
      </c>
    </row>
    <row r="2623" customHeight="1" spans="1:34">
      <c r="A2623" s="12" t="s">
        <v>1043</v>
      </c>
      <c r="F2623" s="24">
        <f t="shared" si="846"/>
        <v>0</v>
      </c>
      <c r="G2623" s="24" t="e">
        <f t="shared" si="845"/>
        <v>#DIV/0!</v>
      </c>
      <c r="Q2623" s="29" t="str">
        <f t="shared" si="847"/>
        <v>NA</v>
      </c>
      <c r="R2623" s="29" t="str">
        <f t="shared" si="848"/>
        <v>NA</v>
      </c>
      <c r="S2623" s="29" t="str">
        <f t="shared" si="849"/>
        <v>NA</v>
      </c>
      <c r="T2623" s="29" t="str">
        <f t="shared" si="850"/>
        <v>NA</v>
      </c>
      <c r="U2623" s="29" t="str">
        <f t="shared" si="851"/>
        <v>NA</v>
      </c>
      <c r="V2623" s="29" t="str">
        <f t="shared" si="852"/>
        <v>NA</v>
      </c>
      <c r="W2623" s="29" t="str">
        <f t="shared" si="853"/>
        <v>NA</v>
      </c>
      <c r="X2623" s="29" t="str">
        <f t="shared" si="854"/>
        <v>NA</v>
      </c>
      <c r="Y2623" s="29" t="str">
        <f t="shared" si="855"/>
        <v>NA</v>
      </c>
      <c r="Z2623" s="29" t="str">
        <f t="shared" si="856"/>
        <v>NA</v>
      </c>
      <c r="AA2623" s="29" t="str">
        <f t="shared" si="857"/>
        <v>NA</v>
      </c>
      <c r="AB2623" s="29" t="str">
        <f t="shared" si="858"/>
        <v>NA</v>
      </c>
      <c r="AC2623" s="29" t="str">
        <f t="shared" si="859"/>
        <v>NA</v>
      </c>
      <c r="AD2623" s="29" t="str">
        <f t="shared" si="860"/>
        <v>NA</v>
      </c>
      <c r="AE2623" s="29" t="str">
        <f t="shared" si="861"/>
        <v>NA</v>
      </c>
      <c r="AF2623" s="29" t="str">
        <f t="shared" si="862"/>
        <v>NA</v>
      </c>
      <c r="AG2623" s="29" t="str">
        <f t="shared" si="863"/>
        <v>NA</v>
      </c>
      <c r="AH2623" s="29" t="str">
        <f t="shared" si="864"/>
        <v>NA</v>
      </c>
    </row>
    <row r="2624" customHeight="1" spans="1:34">
      <c r="A2624" s="12" t="s">
        <v>1043</v>
      </c>
      <c r="F2624" s="24">
        <f t="shared" si="846"/>
        <v>0</v>
      </c>
      <c r="G2624" s="24" t="e">
        <f t="shared" si="845"/>
        <v>#DIV/0!</v>
      </c>
      <c r="Q2624" s="29" t="str">
        <f t="shared" si="847"/>
        <v>NA</v>
      </c>
      <c r="R2624" s="29" t="str">
        <f t="shared" si="848"/>
        <v>NA</v>
      </c>
      <c r="S2624" s="29" t="str">
        <f t="shared" si="849"/>
        <v>NA</v>
      </c>
      <c r="T2624" s="29" t="str">
        <f t="shared" si="850"/>
        <v>NA</v>
      </c>
      <c r="U2624" s="29" t="str">
        <f t="shared" si="851"/>
        <v>NA</v>
      </c>
      <c r="V2624" s="29" t="str">
        <f t="shared" si="852"/>
        <v>NA</v>
      </c>
      <c r="W2624" s="29" t="str">
        <f t="shared" si="853"/>
        <v>NA</v>
      </c>
      <c r="X2624" s="29" t="str">
        <f t="shared" si="854"/>
        <v>NA</v>
      </c>
      <c r="Y2624" s="29" t="str">
        <f t="shared" si="855"/>
        <v>NA</v>
      </c>
      <c r="Z2624" s="29" t="str">
        <f t="shared" si="856"/>
        <v>NA</v>
      </c>
      <c r="AA2624" s="29" t="str">
        <f t="shared" si="857"/>
        <v>NA</v>
      </c>
      <c r="AB2624" s="29" t="str">
        <f t="shared" si="858"/>
        <v>NA</v>
      </c>
      <c r="AC2624" s="29" t="str">
        <f t="shared" si="859"/>
        <v>NA</v>
      </c>
      <c r="AD2624" s="29" t="str">
        <f t="shared" si="860"/>
        <v>NA</v>
      </c>
      <c r="AE2624" s="29" t="str">
        <f t="shared" si="861"/>
        <v>NA</v>
      </c>
      <c r="AF2624" s="29" t="str">
        <f t="shared" si="862"/>
        <v>NA</v>
      </c>
      <c r="AG2624" s="29" t="str">
        <f t="shared" si="863"/>
        <v>NA</v>
      </c>
      <c r="AH2624" s="29" t="str">
        <f t="shared" si="864"/>
        <v>NA</v>
      </c>
    </row>
    <row r="2625" customHeight="1" spans="1:34">
      <c r="A2625" s="12" t="s">
        <v>1043</v>
      </c>
      <c r="F2625" s="24">
        <f t="shared" si="846"/>
        <v>0</v>
      </c>
      <c r="G2625" s="24" t="e">
        <f t="shared" si="845"/>
        <v>#DIV/0!</v>
      </c>
      <c r="Q2625" s="29" t="str">
        <f t="shared" si="847"/>
        <v>NA</v>
      </c>
      <c r="R2625" s="29" t="str">
        <f t="shared" si="848"/>
        <v>NA</v>
      </c>
      <c r="S2625" s="29" t="str">
        <f t="shared" si="849"/>
        <v>NA</v>
      </c>
      <c r="T2625" s="29" t="str">
        <f t="shared" si="850"/>
        <v>NA</v>
      </c>
      <c r="U2625" s="29" t="str">
        <f t="shared" si="851"/>
        <v>NA</v>
      </c>
      <c r="V2625" s="29" t="str">
        <f t="shared" si="852"/>
        <v>NA</v>
      </c>
      <c r="W2625" s="29" t="str">
        <f t="shared" si="853"/>
        <v>NA</v>
      </c>
      <c r="X2625" s="29" t="str">
        <f t="shared" si="854"/>
        <v>NA</v>
      </c>
      <c r="Y2625" s="29" t="str">
        <f t="shared" si="855"/>
        <v>NA</v>
      </c>
      <c r="Z2625" s="29" t="str">
        <f t="shared" si="856"/>
        <v>NA</v>
      </c>
      <c r="AA2625" s="29" t="str">
        <f t="shared" si="857"/>
        <v>NA</v>
      </c>
      <c r="AB2625" s="29" t="str">
        <f t="shared" si="858"/>
        <v>NA</v>
      </c>
      <c r="AC2625" s="29" t="str">
        <f t="shared" si="859"/>
        <v>NA</v>
      </c>
      <c r="AD2625" s="29" t="str">
        <f t="shared" si="860"/>
        <v>NA</v>
      </c>
      <c r="AE2625" s="29" t="str">
        <f t="shared" si="861"/>
        <v>NA</v>
      </c>
      <c r="AF2625" s="29" t="str">
        <f t="shared" si="862"/>
        <v>NA</v>
      </c>
      <c r="AG2625" s="29" t="str">
        <f t="shared" si="863"/>
        <v>NA</v>
      </c>
      <c r="AH2625" s="29" t="str">
        <f t="shared" si="864"/>
        <v>NA</v>
      </c>
    </row>
    <row r="2626" customHeight="1" spans="1:34">
      <c r="A2626" s="12" t="s">
        <v>1043</v>
      </c>
      <c r="F2626" s="24">
        <f t="shared" si="846"/>
        <v>0</v>
      </c>
      <c r="G2626" s="24" t="e">
        <f t="shared" si="845"/>
        <v>#DIV/0!</v>
      </c>
      <c r="Q2626" s="29" t="str">
        <f t="shared" si="847"/>
        <v>NA</v>
      </c>
      <c r="R2626" s="29" t="str">
        <f t="shared" si="848"/>
        <v>NA</v>
      </c>
      <c r="S2626" s="29" t="str">
        <f t="shared" si="849"/>
        <v>NA</v>
      </c>
      <c r="T2626" s="29" t="str">
        <f t="shared" si="850"/>
        <v>NA</v>
      </c>
      <c r="U2626" s="29" t="str">
        <f t="shared" si="851"/>
        <v>NA</v>
      </c>
      <c r="V2626" s="29" t="str">
        <f t="shared" si="852"/>
        <v>NA</v>
      </c>
      <c r="W2626" s="29" t="str">
        <f t="shared" si="853"/>
        <v>NA</v>
      </c>
      <c r="X2626" s="29" t="str">
        <f t="shared" si="854"/>
        <v>NA</v>
      </c>
      <c r="Y2626" s="29" t="str">
        <f t="shared" si="855"/>
        <v>NA</v>
      </c>
      <c r="Z2626" s="29" t="str">
        <f t="shared" si="856"/>
        <v>NA</v>
      </c>
      <c r="AA2626" s="29" t="str">
        <f t="shared" si="857"/>
        <v>NA</v>
      </c>
      <c r="AB2626" s="29" t="str">
        <f t="shared" si="858"/>
        <v>NA</v>
      </c>
      <c r="AC2626" s="29" t="str">
        <f t="shared" si="859"/>
        <v>NA</v>
      </c>
      <c r="AD2626" s="29" t="str">
        <f t="shared" si="860"/>
        <v>NA</v>
      </c>
      <c r="AE2626" s="29" t="str">
        <f t="shared" si="861"/>
        <v>NA</v>
      </c>
      <c r="AF2626" s="29" t="str">
        <f t="shared" si="862"/>
        <v>NA</v>
      </c>
      <c r="AG2626" s="29" t="str">
        <f t="shared" si="863"/>
        <v>NA</v>
      </c>
      <c r="AH2626" s="29" t="str">
        <f t="shared" si="864"/>
        <v>NA</v>
      </c>
    </row>
    <row r="2627" customHeight="1" spans="1:34">
      <c r="A2627" s="12" t="s">
        <v>1043</v>
      </c>
      <c r="F2627" s="24">
        <f t="shared" si="846"/>
        <v>0</v>
      </c>
      <c r="G2627" s="24" t="e">
        <f t="shared" si="845"/>
        <v>#DIV/0!</v>
      </c>
      <c r="Q2627" s="29" t="str">
        <f t="shared" si="847"/>
        <v>NA</v>
      </c>
      <c r="R2627" s="29" t="str">
        <f t="shared" si="848"/>
        <v>NA</v>
      </c>
      <c r="S2627" s="29" t="str">
        <f t="shared" si="849"/>
        <v>NA</v>
      </c>
      <c r="T2627" s="29" t="str">
        <f t="shared" si="850"/>
        <v>NA</v>
      </c>
      <c r="U2627" s="29" t="str">
        <f t="shared" si="851"/>
        <v>NA</v>
      </c>
      <c r="V2627" s="29" t="str">
        <f t="shared" si="852"/>
        <v>NA</v>
      </c>
      <c r="W2627" s="29" t="str">
        <f t="shared" si="853"/>
        <v>NA</v>
      </c>
      <c r="X2627" s="29" t="str">
        <f t="shared" si="854"/>
        <v>NA</v>
      </c>
      <c r="Y2627" s="29" t="str">
        <f t="shared" si="855"/>
        <v>NA</v>
      </c>
      <c r="Z2627" s="29" t="str">
        <f t="shared" si="856"/>
        <v>NA</v>
      </c>
      <c r="AA2627" s="29" t="str">
        <f t="shared" si="857"/>
        <v>NA</v>
      </c>
      <c r="AB2627" s="29" t="str">
        <f t="shared" si="858"/>
        <v>NA</v>
      </c>
      <c r="AC2627" s="29" t="str">
        <f t="shared" si="859"/>
        <v>NA</v>
      </c>
      <c r="AD2627" s="29" t="str">
        <f t="shared" si="860"/>
        <v>NA</v>
      </c>
      <c r="AE2627" s="29" t="str">
        <f t="shared" si="861"/>
        <v>NA</v>
      </c>
      <c r="AF2627" s="29" t="str">
        <f t="shared" si="862"/>
        <v>NA</v>
      </c>
      <c r="AG2627" s="29" t="str">
        <f t="shared" si="863"/>
        <v>NA</v>
      </c>
      <c r="AH2627" s="29" t="str">
        <f t="shared" si="864"/>
        <v>NA</v>
      </c>
    </row>
    <row r="2628" customHeight="1" spans="1:34">
      <c r="A2628" s="12" t="s">
        <v>1043</v>
      </c>
      <c r="F2628" s="24">
        <f t="shared" si="846"/>
        <v>0</v>
      </c>
      <c r="G2628" s="24" t="e">
        <f t="shared" si="845"/>
        <v>#DIV/0!</v>
      </c>
      <c r="Q2628" s="29" t="str">
        <f t="shared" si="847"/>
        <v>NA</v>
      </c>
      <c r="R2628" s="29" t="str">
        <f t="shared" si="848"/>
        <v>NA</v>
      </c>
      <c r="S2628" s="29" t="str">
        <f t="shared" si="849"/>
        <v>NA</v>
      </c>
      <c r="T2628" s="29" t="str">
        <f t="shared" si="850"/>
        <v>NA</v>
      </c>
      <c r="U2628" s="29" t="str">
        <f t="shared" si="851"/>
        <v>NA</v>
      </c>
      <c r="V2628" s="29" t="str">
        <f t="shared" si="852"/>
        <v>NA</v>
      </c>
      <c r="W2628" s="29" t="str">
        <f t="shared" si="853"/>
        <v>NA</v>
      </c>
      <c r="X2628" s="29" t="str">
        <f t="shared" si="854"/>
        <v>NA</v>
      </c>
      <c r="Y2628" s="29" t="str">
        <f t="shared" si="855"/>
        <v>NA</v>
      </c>
      <c r="Z2628" s="29" t="str">
        <f t="shared" si="856"/>
        <v>NA</v>
      </c>
      <c r="AA2628" s="29" t="str">
        <f t="shared" si="857"/>
        <v>NA</v>
      </c>
      <c r="AB2628" s="29" t="str">
        <f t="shared" si="858"/>
        <v>NA</v>
      </c>
      <c r="AC2628" s="29" t="str">
        <f t="shared" si="859"/>
        <v>NA</v>
      </c>
      <c r="AD2628" s="29" t="str">
        <f t="shared" si="860"/>
        <v>NA</v>
      </c>
      <c r="AE2628" s="29" t="str">
        <f t="shared" si="861"/>
        <v>NA</v>
      </c>
      <c r="AF2628" s="29" t="str">
        <f t="shared" si="862"/>
        <v>NA</v>
      </c>
      <c r="AG2628" s="29" t="str">
        <f t="shared" si="863"/>
        <v>NA</v>
      </c>
      <c r="AH2628" s="29" t="str">
        <f t="shared" si="864"/>
        <v>NA</v>
      </c>
    </row>
    <row r="2629" customHeight="1" spans="1:34">
      <c r="A2629" s="12" t="s">
        <v>1043</v>
      </c>
      <c r="F2629" s="24">
        <f t="shared" si="846"/>
        <v>0</v>
      </c>
      <c r="G2629" s="24" t="e">
        <f t="shared" ref="G2629:G2692" si="865">B2629*D2629/C2629</f>
        <v>#DIV/0!</v>
      </c>
      <c r="Q2629" s="29" t="str">
        <f t="shared" si="847"/>
        <v>NA</v>
      </c>
      <c r="R2629" s="29" t="str">
        <f t="shared" si="848"/>
        <v>NA</v>
      </c>
      <c r="S2629" s="29" t="str">
        <f t="shared" si="849"/>
        <v>NA</v>
      </c>
      <c r="T2629" s="29" t="str">
        <f t="shared" si="850"/>
        <v>NA</v>
      </c>
      <c r="U2629" s="29" t="str">
        <f t="shared" si="851"/>
        <v>NA</v>
      </c>
      <c r="V2629" s="29" t="str">
        <f t="shared" si="852"/>
        <v>NA</v>
      </c>
      <c r="W2629" s="29" t="str">
        <f t="shared" si="853"/>
        <v>NA</v>
      </c>
      <c r="X2629" s="29" t="str">
        <f t="shared" si="854"/>
        <v>NA</v>
      </c>
      <c r="Y2629" s="29" t="str">
        <f t="shared" si="855"/>
        <v>NA</v>
      </c>
      <c r="Z2629" s="29" t="str">
        <f t="shared" si="856"/>
        <v>NA</v>
      </c>
      <c r="AA2629" s="29" t="str">
        <f t="shared" si="857"/>
        <v>NA</v>
      </c>
      <c r="AB2629" s="29" t="str">
        <f t="shared" si="858"/>
        <v>NA</v>
      </c>
      <c r="AC2629" s="29" t="str">
        <f t="shared" si="859"/>
        <v>NA</v>
      </c>
      <c r="AD2629" s="29" t="str">
        <f t="shared" si="860"/>
        <v>NA</v>
      </c>
      <c r="AE2629" s="29" t="str">
        <f t="shared" si="861"/>
        <v>NA</v>
      </c>
      <c r="AF2629" s="29" t="str">
        <f t="shared" si="862"/>
        <v>NA</v>
      </c>
      <c r="AG2629" s="29" t="str">
        <f t="shared" si="863"/>
        <v>NA</v>
      </c>
      <c r="AH2629" s="29" t="str">
        <f t="shared" si="864"/>
        <v>NA</v>
      </c>
    </row>
    <row r="2630" customHeight="1" spans="1:34">
      <c r="A2630" s="12" t="s">
        <v>1043</v>
      </c>
      <c r="F2630" s="24">
        <f t="shared" ref="F2630:F2693" si="866">+D2630+E2630</f>
        <v>0</v>
      </c>
      <c r="G2630" s="24" t="e">
        <f t="shared" si="865"/>
        <v>#DIV/0!</v>
      </c>
      <c r="Q2630" s="29" t="str">
        <f t="shared" si="847"/>
        <v>NA</v>
      </c>
      <c r="R2630" s="29" t="str">
        <f t="shared" si="848"/>
        <v>NA</v>
      </c>
      <c r="S2630" s="29" t="str">
        <f t="shared" si="849"/>
        <v>NA</v>
      </c>
      <c r="T2630" s="29" t="str">
        <f t="shared" si="850"/>
        <v>NA</v>
      </c>
      <c r="U2630" s="29" t="str">
        <f t="shared" si="851"/>
        <v>NA</v>
      </c>
      <c r="V2630" s="29" t="str">
        <f t="shared" si="852"/>
        <v>NA</v>
      </c>
      <c r="W2630" s="29" t="str">
        <f t="shared" si="853"/>
        <v>NA</v>
      </c>
      <c r="X2630" s="29" t="str">
        <f t="shared" si="854"/>
        <v>NA</v>
      </c>
      <c r="Y2630" s="29" t="str">
        <f t="shared" si="855"/>
        <v>NA</v>
      </c>
      <c r="Z2630" s="29" t="str">
        <f t="shared" si="856"/>
        <v>NA</v>
      </c>
      <c r="AA2630" s="29" t="str">
        <f t="shared" si="857"/>
        <v>NA</v>
      </c>
      <c r="AB2630" s="29" t="str">
        <f t="shared" si="858"/>
        <v>NA</v>
      </c>
      <c r="AC2630" s="29" t="str">
        <f t="shared" si="859"/>
        <v>NA</v>
      </c>
      <c r="AD2630" s="29" t="str">
        <f t="shared" si="860"/>
        <v>NA</v>
      </c>
      <c r="AE2630" s="29" t="str">
        <f t="shared" si="861"/>
        <v>NA</v>
      </c>
      <c r="AF2630" s="29" t="str">
        <f t="shared" si="862"/>
        <v>NA</v>
      </c>
      <c r="AG2630" s="29" t="str">
        <f t="shared" si="863"/>
        <v>NA</v>
      </c>
      <c r="AH2630" s="29" t="str">
        <f t="shared" si="864"/>
        <v>NA</v>
      </c>
    </row>
    <row r="2631" customHeight="1" spans="1:34">
      <c r="A2631" s="12" t="s">
        <v>1043</v>
      </c>
      <c r="F2631" s="24">
        <f t="shared" si="866"/>
        <v>0</v>
      </c>
      <c r="G2631" s="24" t="e">
        <f t="shared" si="865"/>
        <v>#DIV/0!</v>
      </c>
      <c r="Q2631" s="29" t="str">
        <f t="shared" si="847"/>
        <v>NA</v>
      </c>
      <c r="R2631" s="29" t="str">
        <f t="shared" si="848"/>
        <v>NA</v>
      </c>
      <c r="S2631" s="29" t="str">
        <f t="shared" si="849"/>
        <v>NA</v>
      </c>
      <c r="T2631" s="29" t="str">
        <f t="shared" si="850"/>
        <v>NA</v>
      </c>
      <c r="U2631" s="29" t="str">
        <f t="shared" si="851"/>
        <v>NA</v>
      </c>
      <c r="V2631" s="29" t="str">
        <f t="shared" si="852"/>
        <v>NA</v>
      </c>
      <c r="W2631" s="29" t="str">
        <f t="shared" si="853"/>
        <v>NA</v>
      </c>
      <c r="X2631" s="29" t="str">
        <f t="shared" si="854"/>
        <v>NA</v>
      </c>
      <c r="Y2631" s="29" t="str">
        <f t="shared" si="855"/>
        <v>NA</v>
      </c>
      <c r="Z2631" s="29" t="str">
        <f t="shared" si="856"/>
        <v>NA</v>
      </c>
      <c r="AA2631" s="29" t="str">
        <f t="shared" si="857"/>
        <v>NA</v>
      </c>
      <c r="AB2631" s="29" t="str">
        <f t="shared" si="858"/>
        <v>NA</v>
      </c>
      <c r="AC2631" s="29" t="str">
        <f t="shared" si="859"/>
        <v>NA</v>
      </c>
      <c r="AD2631" s="29" t="str">
        <f t="shared" si="860"/>
        <v>NA</v>
      </c>
      <c r="AE2631" s="29" t="str">
        <f t="shared" si="861"/>
        <v>NA</v>
      </c>
      <c r="AF2631" s="29" t="str">
        <f t="shared" si="862"/>
        <v>NA</v>
      </c>
      <c r="AG2631" s="29" t="str">
        <f t="shared" si="863"/>
        <v>NA</v>
      </c>
      <c r="AH2631" s="29" t="str">
        <f t="shared" si="864"/>
        <v>NA</v>
      </c>
    </row>
    <row r="2632" customHeight="1" spans="1:34">
      <c r="A2632" s="12" t="s">
        <v>1043</v>
      </c>
      <c r="F2632" s="24">
        <f t="shared" si="866"/>
        <v>0</v>
      </c>
      <c r="G2632" s="24" t="e">
        <f t="shared" si="865"/>
        <v>#DIV/0!</v>
      </c>
      <c r="Q2632" s="29" t="str">
        <f t="shared" si="847"/>
        <v>NA</v>
      </c>
      <c r="R2632" s="29" t="str">
        <f t="shared" si="848"/>
        <v>NA</v>
      </c>
      <c r="S2632" s="29" t="str">
        <f t="shared" si="849"/>
        <v>NA</v>
      </c>
      <c r="T2632" s="29" t="str">
        <f t="shared" si="850"/>
        <v>NA</v>
      </c>
      <c r="U2632" s="29" t="str">
        <f t="shared" si="851"/>
        <v>NA</v>
      </c>
      <c r="V2632" s="29" t="str">
        <f t="shared" si="852"/>
        <v>NA</v>
      </c>
      <c r="W2632" s="29" t="str">
        <f t="shared" si="853"/>
        <v>NA</v>
      </c>
      <c r="X2632" s="29" t="str">
        <f t="shared" si="854"/>
        <v>NA</v>
      </c>
      <c r="Y2632" s="29" t="str">
        <f t="shared" si="855"/>
        <v>NA</v>
      </c>
      <c r="Z2632" s="29" t="str">
        <f t="shared" si="856"/>
        <v>NA</v>
      </c>
      <c r="AA2632" s="29" t="str">
        <f t="shared" si="857"/>
        <v>NA</v>
      </c>
      <c r="AB2632" s="29" t="str">
        <f t="shared" si="858"/>
        <v>NA</v>
      </c>
      <c r="AC2632" s="29" t="str">
        <f t="shared" si="859"/>
        <v>NA</v>
      </c>
      <c r="AD2632" s="29" t="str">
        <f t="shared" si="860"/>
        <v>NA</v>
      </c>
      <c r="AE2632" s="29" t="str">
        <f t="shared" si="861"/>
        <v>NA</v>
      </c>
      <c r="AF2632" s="29" t="str">
        <f t="shared" si="862"/>
        <v>NA</v>
      </c>
      <c r="AG2632" s="29" t="str">
        <f t="shared" si="863"/>
        <v>NA</v>
      </c>
      <c r="AH2632" s="29" t="str">
        <f t="shared" si="864"/>
        <v>NA</v>
      </c>
    </row>
    <row r="2633" customHeight="1" spans="1:34">
      <c r="A2633" s="12" t="s">
        <v>1043</v>
      </c>
      <c r="F2633" s="24">
        <f t="shared" si="866"/>
        <v>0</v>
      </c>
      <c r="G2633" s="24" t="e">
        <f t="shared" si="865"/>
        <v>#DIV/0!</v>
      </c>
      <c r="Q2633" s="29" t="str">
        <f t="shared" si="847"/>
        <v>NA</v>
      </c>
      <c r="R2633" s="29" t="str">
        <f t="shared" si="848"/>
        <v>NA</v>
      </c>
      <c r="S2633" s="29" t="str">
        <f t="shared" si="849"/>
        <v>NA</v>
      </c>
      <c r="T2633" s="29" t="str">
        <f t="shared" si="850"/>
        <v>NA</v>
      </c>
      <c r="U2633" s="29" t="str">
        <f t="shared" si="851"/>
        <v>NA</v>
      </c>
      <c r="V2633" s="29" t="str">
        <f t="shared" si="852"/>
        <v>NA</v>
      </c>
      <c r="W2633" s="29" t="str">
        <f t="shared" si="853"/>
        <v>NA</v>
      </c>
      <c r="X2633" s="29" t="str">
        <f t="shared" si="854"/>
        <v>NA</v>
      </c>
      <c r="Y2633" s="29" t="str">
        <f t="shared" si="855"/>
        <v>NA</v>
      </c>
      <c r="Z2633" s="29" t="str">
        <f t="shared" si="856"/>
        <v>NA</v>
      </c>
      <c r="AA2633" s="29" t="str">
        <f t="shared" si="857"/>
        <v>NA</v>
      </c>
      <c r="AB2633" s="29" t="str">
        <f t="shared" si="858"/>
        <v>NA</v>
      </c>
      <c r="AC2633" s="29" t="str">
        <f t="shared" si="859"/>
        <v>NA</v>
      </c>
      <c r="AD2633" s="29" t="str">
        <f t="shared" si="860"/>
        <v>NA</v>
      </c>
      <c r="AE2633" s="29" t="str">
        <f t="shared" si="861"/>
        <v>NA</v>
      </c>
      <c r="AF2633" s="29" t="str">
        <f t="shared" si="862"/>
        <v>NA</v>
      </c>
      <c r="AG2633" s="29" t="str">
        <f t="shared" si="863"/>
        <v>NA</v>
      </c>
      <c r="AH2633" s="29" t="str">
        <f t="shared" si="864"/>
        <v>NA</v>
      </c>
    </row>
    <row r="2634" customHeight="1" spans="1:34">
      <c r="A2634" s="12" t="s">
        <v>1043</v>
      </c>
      <c r="F2634" s="24">
        <f t="shared" si="866"/>
        <v>0</v>
      </c>
      <c r="G2634" s="24" t="e">
        <f t="shared" si="865"/>
        <v>#DIV/0!</v>
      </c>
      <c r="Q2634" s="29" t="str">
        <f t="shared" si="847"/>
        <v>NA</v>
      </c>
      <c r="R2634" s="29" t="str">
        <f t="shared" si="848"/>
        <v>NA</v>
      </c>
      <c r="S2634" s="29" t="str">
        <f t="shared" si="849"/>
        <v>NA</v>
      </c>
      <c r="T2634" s="29" t="str">
        <f t="shared" si="850"/>
        <v>NA</v>
      </c>
      <c r="U2634" s="29" t="str">
        <f t="shared" si="851"/>
        <v>NA</v>
      </c>
      <c r="V2634" s="29" t="str">
        <f t="shared" si="852"/>
        <v>NA</v>
      </c>
      <c r="W2634" s="29" t="str">
        <f t="shared" si="853"/>
        <v>NA</v>
      </c>
      <c r="X2634" s="29" t="str">
        <f t="shared" si="854"/>
        <v>NA</v>
      </c>
      <c r="Y2634" s="29" t="str">
        <f t="shared" si="855"/>
        <v>NA</v>
      </c>
      <c r="Z2634" s="29" t="str">
        <f t="shared" si="856"/>
        <v>NA</v>
      </c>
      <c r="AA2634" s="29" t="str">
        <f t="shared" si="857"/>
        <v>NA</v>
      </c>
      <c r="AB2634" s="29" t="str">
        <f t="shared" si="858"/>
        <v>NA</v>
      </c>
      <c r="AC2634" s="29" t="str">
        <f t="shared" si="859"/>
        <v>NA</v>
      </c>
      <c r="AD2634" s="29" t="str">
        <f t="shared" si="860"/>
        <v>NA</v>
      </c>
      <c r="AE2634" s="29" t="str">
        <f t="shared" si="861"/>
        <v>NA</v>
      </c>
      <c r="AF2634" s="29" t="str">
        <f t="shared" si="862"/>
        <v>NA</v>
      </c>
      <c r="AG2634" s="29" t="str">
        <f t="shared" si="863"/>
        <v>NA</v>
      </c>
      <c r="AH2634" s="29" t="str">
        <f t="shared" si="864"/>
        <v>NA</v>
      </c>
    </row>
    <row r="2635" customHeight="1" spans="1:34">
      <c r="A2635" s="12" t="s">
        <v>1043</v>
      </c>
      <c r="F2635" s="24">
        <f t="shared" si="866"/>
        <v>0</v>
      </c>
      <c r="G2635" s="24" t="e">
        <f t="shared" si="865"/>
        <v>#DIV/0!</v>
      </c>
      <c r="Q2635" s="29" t="str">
        <f t="shared" si="847"/>
        <v>NA</v>
      </c>
      <c r="R2635" s="29" t="str">
        <f t="shared" si="848"/>
        <v>NA</v>
      </c>
      <c r="S2635" s="29" t="str">
        <f t="shared" si="849"/>
        <v>NA</v>
      </c>
      <c r="T2635" s="29" t="str">
        <f t="shared" si="850"/>
        <v>NA</v>
      </c>
      <c r="U2635" s="29" t="str">
        <f t="shared" si="851"/>
        <v>NA</v>
      </c>
      <c r="V2635" s="29" t="str">
        <f t="shared" si="852"/>
        <v>NA</v>
      </c>
      <c r="W2635" s="29" t="str">
        <f t="shared" si="853"/>
        <v>NA</v>
      </c>
      <c r="X2635" s="29" t="str">
        <f t="shared" si="854"/>
        <v>NA</v>
      </c>
      <c r="Y2635" s="29" t="str">
        <f t="shared" si="855"/>
        <v>NA</v>
      </c>
      <c r="Z2635" s="29" t="str">
        <f t="shared" si="856"/>
        <v>NA</v>
      </c>
      <c r="AA2635" s="29" t="str">
        <f t="shared" si="857"/>
        <v>NA</v>
      </c>
      <c r="AB2635" s="29" t="str">
        <f t="shared" si="858"/>
        <v>NA</v>
      </c>
      <c r="AC2635" s="29" t="str">
        <f t="shared" si="859"/>
        <v>NA</v>
      </c>
      <c r="AD2635" s="29" t="str">
        <f t="shared" si="860"/>
        <v>NA</v>
      </c>
      <c r="AE2635" s="29" t="str">
        <f t="shared" si="861"/>
        <v>NA</v>
      </c>
      <c r="AF2635" s="29" t="str">
        <f t="shared" si="862"/>
        <v>NA</v>
      </c>
      <c r="AG2635" s="29" t="str">
        <f t="shared" si="863"/>
        <v>NA</v>
      </c>
      <c r="AH2635" s="29" t="str">
        <f t="shared" si="864"/>
        <v>NA</v>
      </c>
    </row>
    <row r="2636" customHeight="1" spans="1:34">
      <c r="A2636" s="12" t="s">
        <v>1043</v>
      </c>
      <c r="F2636" s="24">
        <f t="shared" si="866"/>
        <v>0</v>
      </c>
      <c r="G2636" s="24" t="e">
        <f t="shared" si="865"/>
        <v>#DIV/0!</v>
      </c>
      <c r="Q2636" s="29" t="str">
        <f t="shared" si="847"/>
        <v>NA</v>
      </c>
      <c r="R2636" s="29" t="str">
        <f t="shared" si="848"/>
        <v>NA</v>
      </c>
      <c r="S2636" s="29" t="str">
        <f t="shared" si="849"/>
        <v>NA</v>
      </c>
      <c r="T2636" s="29" t="str">
        <f t="shared" si="850"/>
        <v>NA</v>
      </c>
      <c r="U2636" s="29" t="str">
        <f t="shared" si="851"/>
        <v>NA</v>
      </c>
      <c r="V2636" s="29" t="str">
        <f t="shared" si="852"/>
        <v>NA</v>
      </c>
      <c r="W2636" s="29" t="str">
        <f t="shared" si="853"/>
        <v>NA</v>
      </c>
      <c r="X2636" s="29" t="str">
        <f t="shared" si="854"/>
        <v>NA</v>
      </c>
      <c r="Y2636" s="29" t="str">
        <f t="shared" si="855"/>
        <v>NA</v>
      </c>
      <c r="Z2636" s="29" t="str">
        <f t="shared" si="856"/>
        <v>NA</v>
      </c>
      <c r="AA2636" s="29" t="str">
        <f t="shared" si="857"/>
        <v>NA</v>
      </c>
      <c r="AB2636" s="29" t="str">
        <f t="shared" si="858"/>
        <v>NA</v>
      </c>
      <c r="AC2636" s="29" t="str">
        <f t="shared" si="859"/>
        <v>NA</v>
      </c>
      <c r="AD2636" s="29" t="str">
        <f t="shared" si="860"/>
        <v>NA</v>
      </c>
      <c r="AE2636" s="29" t="str">
        <f t="shared" si="861"/>
        <v>NA</v>
      </c>
      <c r="AF2636" s="29" t="str">
        <f t="shared" si="862"/>
        <v>NA</v>
      </c>
      <c r="AG2636" s="29" t="str">
        <f t="shared" si="863"/>
        <v>NA</v>
      </c>
      <c r="AH2636" s="29" t="str">
        <f t="shared" si="864"/>
        <v>NA</v>
      </c>
    </row>
    <row r="2637" customHeight="1" spans="1:34">
      <c r="A2637" s="12" t="s">
        <v>1043</v>
      </c>
      <c r="F2637" s="24">
        <f t="shared" si="866"/>
        <v>0</v>
      </c>
      <c r="G2637" s="24" t="e">
        <f t="shared" si="865"/>
        <v>#DIV/0!</v>
      </c>
      <c r="Q2637" s="29" t="str">
        <f t="shared" si="847"/>
        <v>NA</v>
      </c>
      <c r="R2637" s="29" t="str">
        <f t="shared" si="848"/>
        <v>NA</v>
      </c>
      <c r="S2637" s="29" t="str">
        <f t="shared" si="849"/>
        <v>NA</v>
      </c>
      <c r="T2637" s="29" t="str">
        <f t="shared" si="850"/>
        <v>NA</v>
      </c>
      <c r="U2637" s="29" t="str">
        <f t="shared" si="851"/>
        <v>NA</v>
      </c>
      <c r="V2637" s="29" t="str">
        <f t="shared" si="852"/>
        <v>NA</v>
      </c>
      <c r="W2637" s="29" t="str">
        <f t="shared" si="853"/>
        <v>NA</v>
      </c>
      <c r="X2637" s="29" t="str">
        <f t="shared" si="854"/>
        <v>NA</v>
      </c>
      <c r="Y2637" s="29" t="str">
        <f t="shared" si="855"/>
        <v>NA</v>
      </c>
      <c r="Z2637" s="29" t="str">
        <f t="shared" si="856"/>
        <v>NA</v>
      </c>
      <c r="AA2637" s="29" t="str">
        <f t="shared" si="857"/>
        <v>NA</v>
      </c>
      <c r="AB2637" s="29" t="str">
        <f t="shared" si="858"/>
        <v>NA</v>
      </c>
      <c r="AC2637" s="29" t="str">
        <f t="shared" si="859"/>
        <v>NA</v>
      </c>
      <c r="AD2637" s="29" t="str">
        <f t="shared" si="860"/>
        <v>NA</v>
      </c>
      <c r="AE2637" s="29" t="str">
        <f t="shared" si="861"/>
        <v>NA</v>
      </c>
      <c r="AF2637" s="29" t="str">
        <f t="shared" si="862"/>
        <v>NA</v>
      </c>
      <c r="AG2637" s="29" t="str">
        <f t="shared" si="863"/>
        <v>NA</v>
      </c>
      <c r="AH2637" s="29" t="str">
        <f t="shared" si="864"/>
        <v>NA</v>
      </c>
    </row>
    <row r="2638" customHeight="1" spans="1:34">
      <c r="A2638" s="12" t="s">
        <v>1043</v>
      </c>
      <c r="F2638" s="24">
        <f t="shared" si="866"/>
        <v>0</v>
      </c>
      <c r="G2638" s="24" t="e">
        <f t="shared" si="865"/>
        <v>#DIV/0!</v>
      </c>
      <c r="Q2638" s="29" t="str">
        <f t="shared" si="847"/>
        <v>NA</v>
      </c>
      <c r="R2638" s="29" t="str">
        <f t="shared" si="848"/>
        <v>NA</v>
      </c>
      <c r="S2638" s="29" t="str">
        <f t="shared" si="849"/>
        <v>NA</v>
      </c>
      <c r="T2638" s="29" t="str">
        <f t="shared" si="850"/>
        <v>NA</v>
      </c>
      <c r="U2638" s="29" t="str">
        <f t="shared" si="851"/>
        <v>NA</v>
      </c>
      <c r="V2638" s="29" t="str">
        <f t="shared" si="852"/>
        <v>NA</v>
      </c>
      <c r="W2638" s="29" t="str">
        <f t="shared" si="853"/>
        <v>NA</v>
      </c>
      <c r="X2638" s="29" t="str">
        <f t="shared" si="854"/>
        <v>NA</v>
      </c>
      <c r="Y2638" s="29" t="str">
        <f t="shared" si="855"/>
        <v>NA</v>
      </c>
      <c r="Z2638" s="29" t="str">
        <f t="shared" si="856"/>
        <v>NA</v>
      </c>
      <c r="AA2638" s="29" t="str">
        <f t="shared" si="857"/>
        <v>NA</v>
      </c>
      <c r="AB2638" s="29" t="str">
        <f t="shared" si="858"/>
        <v>NA</v>
      </c>
      <c r="AC2638" s="29" t="str">
        <f t="shared" si="859"/>
        <v>NA</v>
      </c>
      <c r="AD2638" s="29" t="str">
        <f t="shared" si="860"/>
        <v>NA</v>
      </c>
      <c r="AE2638" s="29" t="str">
        <f t="shared" si="861"/>
        <v>NA</v>
      </c>
      <c r="AF2638" s="29" t="str">
        <f t="shared" si="862"/>
        <v>NA</v>
      </c>
      <c r="AG2638" s="29" t="str">
        <f t="shared" si="863"/>
        <v>NA</v>
      </c>
      <c r="AH2638" s="29" t="str">
        <f t="shared" si="864"/>
        <v>NA</v>
      </c>
    </row>
    <row r="2639" customHeight="1" spans="1:34">
      <c r="A2639" s="12" t="s">
        <v>1043</v>
      </c>
      <c r="F2639" s="24">
        <f t="shared" si="866"/>
        <v>0</v>
      </c>
      <c r="G2639" s="24" t="e">
        <f t="shared" si="865"/>
        <v>#DIV/0!</v>
      </c>
      <c r="Q2639" s="29" t="str">
        <f t="shared" si="847"/>
        <v>NA</v>
      </c>
      <c r="R2639" s="29" t="str">
        <f t="shared" si="848"/>
        <v>NA</v>
      </c>
      <c r="S2639" s="29" t="str">
        <f t="shared" si="849"/>
        <v>NA</v>
      </c>
      <c r="T2639" s="29" t="str">
        <f t="shared" si="850"/>
        <v>NA</v>
      </c>
      <c r="U2639" s="29" t="str">
        <f t="shared" si="851"/>
        <v>NA</v>
      </c>
      <c r="V2639" s="29" t="str">
        <f t="shared" si="852"/>
        <v>NA</v>
      </c>
      <c r="W2639" s="29" t="str">
        <f t="shared" si="853"/>
        <v>NA</v>
      </c>
      <c r="X2639" s="29" t="str">
        <f t="shared" si="854"/>
        <v>NA</v>
      </c>
      <c r="Y2639" s="29" t="str">
        <f t="shared" si="855"/>
        <v>NA</v>
      </c>
      <c r="Z2639" s="29" t="str">
        <f t="shared" si="856"/>
        <v>NA</v>
      </c>
      <c r="AA2639" s="29" t="str">
        <f t="shared" si="857"/>
        <v>NA</v>
      </c>
      <c r="AB2639" s="29" t="str">
        <f t="shared" si="858"/>
        <v>NA</v>
      </c>
      <c r="AC2639" s="29" t="str">
        <f t="shared" si="859"/>
        <v>NA</v>
      </c>
      <c r="AD2639" s="29" t="str">
        <f t="shared" si="860"/>
        <v>NA</v>
      </c>
      <c r="AE2639" s="29" t="str">
        <f t="shared" si="861"/>
        <v>NA</v>
      </c>
      <c r="AF2639" s="29" t="str">
        <f t="shared" si="862"/>
        <v>NA</v>
      </c>
      <c r="AG2639" s="29" t="str">
        <f t="shared" si="863"/>
        <v>NA</v>
      </c>
      <c r="AH2639" s="29" t="str">
        <f t="shared" si="864"/>
        <v>NA</v>
      </c>
    </row>
    <row r="2640" customHeight="1" spans="1:34">
      <c r="A2640" s="12" t="s">
        <v>1043</v>
      </c>
      <c r="F2640" s="24">
        <f t="shared" si="866"/>
        <v>0</v>
      </c>
      <c r="G2640" s="24" t="e">
        <f t="shared" si="865"/>
        <v>#DIV/0!</v>
      </c>
      <c r="Q2640" s="29" t="str">
        <f t="shared" ref="Q2640:Q2703" si="867">IFERROR($B2640*$E2640/H2640,"NA")</f>
        <v>NA</v>
      </c>
      <c r="R2640" s="29" t="str">
        <f t="shared" ref="R2640:R2703" si="868">IFERROR($B2640*$E2640/I2640,"NA")</f>
        <v>NA</v>
      </c>
      <c r="S2640" s="29" t="str">
        <f t="shared" ref="S2640:S2703" si="869">IFERROR($B2640*$E2640/J2640,"NA")</f>
        <v>NA</v>
      </c>
      <c r="T2640" s="29" t="str">
        <f t="shared" ref="T2640:T2703" si="870">IFERROR($B2640*$E2640/K2640,"NA")</f>
        <v>NA</v>
      </c>
      <c r="U2640" s="29" t="str">
        <f t="shared" ref="U2640:U2703" si="871">IFERROR($B2640*$E2640/L2640,"NA")</f>
        <v>NA</v>
      </c>
      <c r="V2640" s="29" t="str">
        <f t="shared" ref="V2640:V2703" si="872">IFERROR($B2640*$E2640/M2640,"NA")</f>
        <v>NA</v>
      </c>
      <c r="W2640" s="29" t="str">
        <f t="shared" ref="W2640:W2703" si="873">IFERROR($B2640*$E2640/N2640,"NA")</f>
        <v>NA</v>
      </c>
      <c r="X2640" s="29" t="str">
        <f t="shared" ref="X2640:X2703" si="874">IFERROR($B2640*$E2640/O2640,"NA")</f>
        <v>NA</v>
      </c>
      <c r="Y2640" s="29" t="str">
        <f t="shared" ref="Y2640:Y2703" si="875">IFERROR($B2640*$E2640/P2640,"NA")</f>
        <v>NA</v>
      </c>
      <c r="Z2640" s="29" t="str">
        <f t="shared" ref="Z2640:Z2703" si="876">IFERROR((($G2640*Z$2/1000)+Q2640)/1,"NA")</f>
        <v>NA</v>
      </c>
      <c r="AA2640" s="29" t="str">
        <f t="shared" ref="AA2640:AA2703" si="877">IFERROR((($G2640*AA$2/1000)+R2640)/1,"NA")</f>
        <v>NA</v>
      </c>
      <c r="AB2640" s="29" t="str">
        <f t="shared" ref="AB2640:AB2703" si="878">IFERROR((($G2640*AB$2/1000)+S2640)/1,"NA")</f>
        <v>NA</v>
      </c>
      <c r="AC2640" s="29" t="str">
        <f t="shared" ref="AC2640:AC2703" si="879">IFERROR((($G2640*AC$2/1000)+T2640)/1,"NA")</f>
        <v>NA</v>
      </c>
      <c r="AD2640" s="29" t="str">
        <f t="shared" ref="AD2640:AD2703" si="880">IFERROR((($G2640*AD$2/1000)+U2640)/1,"NA")</f>
        <v>NA</v>
      </c>
      <c r="AE2640" s="29" t="str">
        <f t="shared" ref="AE2640:AE2703" si="881">IFERROR((($G2640*AE$2/1000)+V2640)/1,"NA")</f>
        <v>NA</v>
      </c>
      <c r="AF2640" s="29" t="str">
        <f t="shared" ref="AF2640:AF2703" si="882">IFERROR((($G2640*AF$2/1000)+W2640)/1,"NA")</f>
        <v>NA</v>
      </c>
      <c r="AG2640" s="29" t="str">
        <f t="shared" ref="AG2640:AG2703" si="883">IFERROR((($G2640*AG$2/1000)+X2640)/1,"NA")</f>
        <v>NA</v>
      </c>
      <c r="AH2640" s="29" t="str">
        <f t="shared" ref="AH2640:AH2703" si="884">IFERROR((($G2640*AH$2/1000)+Y2640)/1,"NA")</f>
        <v>NA</v>
      </c>
    </row>
    <row r="2641" customHeight="1" spans="1:34">
      <c r="A2641" s="12" t="s">
        <v>1043</v>
      </c>
      <c r="F2641" s="24">
        <f t="shared" si="866"/>
        <v>0</v>
      </c>
      <c r="G2641" s="24" t="e">
        <f t="shared" si="865"/>
        <v>#DIV/0!</v>
      </c>
      <c r="Q2641" s="29" t="str">
        <f t="shared" si="867"/>
        <v>NA</v>
      </c>
      <c r="R2641" s="29" t="str">
        <f t="shared" si="868"/>
        <v>NA</v>
      </c>
      <c r="S2641" s="29" t="str">
        <f t="shared" si="869"/>
        <v>NA</v>
      </c>
      <c r="T2641" s="29" t="str">
        <f t="shared" si="870"/>
        <v>NA</v>
      </c>
      <c r="U2641" s="29" t="str">
        <f t="shared" si="871"/>
        <v>NA</v>
      </c>
      <c r="V2641" s="29" t="str">
        <f t="shared" si="872"/>
        <v>NA</v>
      </c>
      <c r="W2641" s="29" t="str">
        <f t="shared" si="873"/>
        <v>NA</v>
      </c>
      <c r="X2641" s="29" t="str">
        <f t="shared" si="874"/>
        <v>NA</v>
      </c>
      <c r="Y2641" s="29" t="str">
        <f t="shared" si="875"/>
        <v>NA</v>
      </c>
      <c r="Z2641" s="29" t="str">
        <f t="shared" si="876"/>
        <v>NA</v>
      </c>
      <c r="AA2641" s="29" t="str">
        <f t="shared" si="877"/>
        <v>NA</v>
      </c>
      <c r="AB2641" s="29" t="str">
        <f t="shared" si="878"/>
        <v>NA</v>
      </c>
      <c r="AC2641" s="29" t="str">
        <f t="shared" si="879"/>
        <v>NA</v>
      </c>
      <c r="AD2641" s="29" t="str">
        <f t="shared" si="880"/>
        <v>NA</v>
      </c>
      <c r="AE2641" s="29" t="str">
        <f t="shared" si="881"/>
        <v>NA</v>
      </c>
      <c r="AF2641" s="29" t="str">
        <f t="shared" si="882"/>
        <v>NA</v>
      </c>
      <c r="AG2641" s="29" t="str">
        <f t="shared" si="883"/>
        <v>NA</v>
      </c>
      <c r="AH2641" s="29" t="str">
        <f t="shared" si="884"/>
        <v>NA</v>
      </c>
    </row>
    <row r="2642" customHeight="1" spans="1:34">
      <c r="A2642" s="12" t="s">
        <v>1043</v>
      </c>
      <c r="F2642" s="24">
        <f t="shared" si="866"/>
        <v>0</v>
      </c>
      <c r="G2642" s="24" t="e">
        <f t="shared" si="865"/>
        <v>#DIV/0!</v>
      </c>
      <c r="Q2642" s="29" t="str">
        <f t="shared" si="867"/>
        <v>NA</v>
      </c>
      <c r="R2642" s="29" t="str">
        <f t="shared" si="868"/>
        <v>NA</v>
      </c>
      <c r="S2642" s="29" t="str">
        <f t="shared" si="869"/>
        <v>NA</v>
      </c>
      <c r="T2642" s="29" t="str">
        <f t="shared" si="870"/>
        <v>NA</v>
      </c>
      <c r="U2642" s="29" t="str">
        <f t="shared" si="871"/>
        <v>NA</v>
      </c>
      <c r="V2642" s="29" t="str">
        <f t="shared" si="872"/>
        <v>NA</v>
      </c>
      <c r="W2642" s="29" t="str">
        <f t="shared" si="873"/>
        <v>NA</v>
      </c>
      <c r="X2642" s="29" t="str">
        <f t="shared" si="874"/>
        <v>NA</v>
      </c>
      <c r="Y2642" s="29" t="str">
        <f t="shared" si="875"/>
        <v>NA</v>
      </c>
      <c r="Z2642" s="29" t="str">
        <f t="shared" si="876"/>
        <v>NA</v>
      </c>
      <c r="AA2642" s="29" t="str">
        <f t="shared" si="877"/>
        <v>NA</v>
      </c>
      <c r="AB2642" s="29" t="str">
        <f t="shared" si="878"/>
        <v>NA</v>
      </c>
      <c r="AC2642" s="29" t="str">
        <f t="shared" si="879"/>
        <v>NA</v>
      </c>
      <c r="AD2642" s="29" t="str">
        <f t="shared" si="880"/>
        <v>NA</v>
      </c>
      <c r="AE2642" s="29" t="str">
        <f t="shared" si="881"/>
        <v>NA</v>
      </c>
      <c r="AF2642" s="29" t="str">
        <f t="shared" si="882"/>
        <v>NA</v>
      </c>
      <c r="AG2642" s="29" t="str">
        <f t="shared" si="883"/>
        <v>NA</v>
      </c>
      <c r="AH2642" s="29" t="str">
        <f t="shared" si="884"/>
        <v>NA</v>
      </c>
    </row>
    <row r="2643" customHeight="1" spans="1:34">
      <c r="A2643" s="12" t="s">
        <v>1043</v>
      </c>
      <c r="F2643" s="24">
        <f t="shared" si="866"/>
        <v>0</v>
      </c>
      <c r="G2643" s="24" t="e">
        <f t="shared" si="865"/>
        <v>#DIV/0!</v>
      </c>
      <c r="Q2643" s="29" t="str">
        <f t="shared" si="867"/>
        <v>NA</v>
      </c>
      <c r="R2643" s="29" t="str">
        <f t="shared" si="868"/>
        <v>NA</v>
      </c>
      <c r="S2643" s="29" t="str">
        <f t="shared" si="869"/>
        <v>NA</v>
      </c>
      <c r="T2643" s="29" t="str">
        <f t="shared" si="870"/>
        <v>NA</v>
      </c>
      <c r="U2643" s="29" t="str">
        <f t="shared" si="871"/>
        <v>NA</v>
      </c>
      <c r="V2643" s="29" t="str">
        <f t="shared" si="872"/>
        <v>NA</v>
      </c>
      <c r="W2643" s="29" t="str">
        <f t="shared" si="873"/>
        <v>NA</v>
      </c>
      <c r="X2643" s="29" t="str">
        <f t="shared" si="874"/>
        <v>NA</v>
      </c>
      <c r="Y2643" s="29" t="str">
        <f t="shared" si="875"/>
        <v>NA</v>
      </c>
      <c r="Z2643" s="29" t="str">
        <f t="shared" si="876"/>
        <v>NA</v>
      </c>
      <c r="AA2643" s="29" t="str">
        <f t="shared" si="877"/>
        <v>NA</v>
      </c>
      <c r="AB2643" s="29" t="str">
        <f t="shared" si="878"/>
        <v>NA</v>
      </c>
      <c r="AC2643" s="29" t="str">
        <f t="shared" si="879"/>
        <v>NA</v>
      </c>
      <c r="AD2643" s="29" t="str">
        <f t="shared" si="880"/>
        <v>NA</v>
      </c>
      <c r="AE2643" s="29" t="str">
        <f t="shared" si="881"/>
        <v>NA</v>
      </c>
      <c r="AF2643" s="29" t="str">
        <f t="shared" si="882"/>
        <v>NA</v>
      </c>
      <c r="AG2643" s="29" t="str">
        <f t="shared" si="883"/>
        <v>NA</v>
      </c>
      <c r="AH2643" s="29" t="str">
        <f t="shared" si="884"/>
        <v>NA</v>
      </c>
    </row>
    <row r="2644" customHeight="1" spans="1:34">
      <c r="A2644" s="12" t="s">
        <v>1043</v>
      </c>
      <c r="F2644" s="24">
        <f t="shared" si="866"/>
        <v>0</v>
      </c>
      <c r="G2644" s="24" t="e">
        <f t="shared" si="865"/>
        <v>#DIV/0!</v>
      </c>
      <c r="Q2644" s="29" t="str">
        <f t="shared" si="867"/>
        <v>NA</v>
      </c>
      <c r="R2644" s="29" t="str">
        <f t="shared" si="868"/>
        <v>NA</v>
      </c>
      <c r="S2644" s="29" t="str">
        <f t="shared" si="869"/>
        <v>NA</v>
      </c>
      <c r="T2644" s="29" t="str">
        <f t="shared" si="870"/>
        <v>NA</v>
      </c>
      <c r="U2644" s="29" t="str">
        <f t="shared" si="871"/>
        <v>NA</v>
      </c>
      <c r="V2644" s="29" t="str">
        <f t="shared" si="872"/>
        <v>NA</v>
      </c>
      <c r="W2644" s="29" t="str">
        <f t="shared" si="873"/>
        <v>NA</v>
      </c>
      <c r="X2644" s="29" t="str">
        <f t="shared" si="874"/>
        <v>NA</v>
      </c>
      <c r="Y2644" s="29" t="str">
        <f t="shared" si="875"/>
        <v>NA</v>
      </c>
      <c r="Z2644" s="29" t="str">
        <f t="shared" si="876"/>
        <v>NA</v>
      </c>
      <c r="AA2644" s="29" t="str">
        <f t="shared" si="877"/>
        <v>NA</v>
      </c>
      <c r="AB2644" s="29" t="str">
        <f t="shared" si="878"/>
        <v>NA</v>
      </c>
      <c r="AC2644" s="29" t="str">
        <f t="shared" si="879"/>
        <v>NA</v>
      </c>
      <c r="AD2644" s="29" t="str">
        <f t="shared" si="880"/>
        <v>NA</v>
      </c>
      <c r="AE2644" s="29" t="str">
        <f t="shared" si="881"/>
        <v>NA</v>
      </c>
      <c r="AF2644" s="29" t="str">
        <f t="shared" si="882"/>
        <v>NA</v>
      </c>
      <c r="AG2644" s="29" t="str">
        <f t="shared" si="883"/>
        <v>NA</v>
      </c>
      <c r="AH2644" s="29" t="str">
        <f t="shared" si="884"/>
        <v>NA</v>
      </c>
    </row>
    <row r="2645" customHeight="1" spans="1:34">
      <c r="A2645" s="12" t="s">
        <v>1043</v>
      </c>
      <c r="F2645" s="24">
        <f t="shared" si="866"/>
        <v>0</v>
      </c>
      <c r="G2645" s="24" t="e">
        <f t="shared" si="865"/>
        <v>#DIV/0!</v>
      </c>
      <c r="Q2645" s="29" t="str">
        <f t="shared" si="867"/>
        <v>NA</v>
      </c>
      <c r="R2645" s="29" t="str">
        <f t="shared" si="868"/>
        <v>NA</v>
      </c>
      <c r="S2645" s="29" t="str">
        <f t="shared" si="869"/>
        <v>NA</v>
      </c>
      <c r="T2645" s="29" t="str">
        <f t="shared" si="870"/>
        <v>NA</v>
      </c>
      <c r="U2645" s="29" t="str">
        <f t="shared" si="871"/>
        <v>NA</v>
      </c>
      <c r="V2645" s="29" t="str">
        <f t="shared" si="872"/>
        <v>NA</v>
      </c>
      <c r="W2645" s="29" t="str">
        <f t="shared" si="873"/>
        <v>NA</v>
      </c>
      <c r="X2645" s="29" t="str">
        <f t="shared" si="874"/>
        <v>NA</v>
      </c>
      <c r="Y2645" s="29" t="str">
        <f t="shared" si="875"/>
        <v>NA</v>
      </c>
      <c r="Z2645" s="29" t="str">
        <f t="shared" si="876"/>
        <v>NA</v>
      </c>
      <c r="AA2645" s="29" t="str">
        <f t="shared" si="877"/>
        <v>NA</v>
      </c>
      <c r="AB2645" s="29" t="str">
        <f t="shared" si="878"/>
        <v>NA</v>
      </c>
      <c r="AC2645" s="29" t="str">
        <f t="shared" si="879"/>
        <v>NA</v>
      </c>
      <c r="AD2645" s="29" t="str">
        <f t="shared" si="880"/>
        <v>NA</v>
      </c>
      <c r="AE2645" s="29" t="str">
        <f t="shared" si="881"/>
        <v>NA</v>
      </c>
      <c r="AF2645" s="29" t="str">
        <f t="shared" si="882"/>
        <v>NA</v>
      </c>
      <c r="AG2645" s="29" t="str">
        <f t="shared" si="883"/>
        <v>NA</v>
      </c>
      <c r="AH2645" s="29" t="str">
        <f t="shared" si="884"/>
        <v>NA</v>
      </c>
    </row>
    <row r="2646" customHeight="1" spans="1:34">
      <c r="A2646" s="12" t="s">
        <v>1043</v>
      </c>
      <c r="F2646" s="24">
        <f t="shared" si="866"/>
        <v>0</v>
      </c>
      <c r="G2646" s="24" t="e">
        <f t="shared" si="865"/>
        <v>#DIV/0!</v>
      </c>
      <c r="Q2646" s="29" t="str">
        <f t="shared" si="867"/>
        <v>NA</v>
      </c>
      <c r="R2646" s="29" t="str">
        <f t="shared" si="868"/>
        <v>NA</v>
      </c>
      <c r="S2646" s="29" t="str">
        <f t="shared" si="869"/>
        <v>NA</v>
      </c>
      <c r="T2646" s="29" t="str">
        <f t="shared" si="870"/>
        <v>NA</v>
      </c>
      <c r="U2646" s="29" t="str">
        <f t="shared" si="871"/>
        <v>NA</v>
      </c>
      <c r="V2646" s="29" t="str">
        <f t="shared" si="872"/>
        <v>NA</v>
      </c>
      <c r="W2646" s="29" t="str">
        <f t="shared" si="873"/>
        <v>NA</v>
      </c>
      <c r="X2646" s="29" t="str">
        <f t="shared" si="874"/>
        <v>NA</v>
      </c>
      <c r="Y2646" s="29" t="str">
        <f t="shared" si="875"/>
        <v>NA</v>
      </c>
      <c r="Z2646" s="29" t="str">
        <f t="shared" si="876"/>
        <v>NA</v>
      </c>
      <c r="AA2646" s="29" t="str">
        <f t="shared" si="877"/>
        <v>NA</v>
      </c>
      <c r="AB2646" s="29" t="str">
        <f t="shared" si="878"/>
        <v>NA</v>
      </c>
      <c r="AC2646" s="29" t="str">
        <f t="shared" si="879"/>
        <v>NA</v>
      </c>
      <c r="AD2646" s="29" t="str">
        <f t="shared" si="880"/>
        <v>NA</v>
      </c>
      <c r="AE2646" s="29" t="str">
        <f t="shared" si="881"/>
        <v>NA</v>
      </c>
      <c r="AF2646" s="29" t="str">
        <f t="shared" si="882"/>
        <v>NA</v>
      </c>
      <c r="AG2646" s="29" t="str">
        <f t="shared" si="883"/>
        <v>NA</v>
      </c>
      <c r="AH2646" s="29" t="str">
        <f t="shared" si="884"/>
        <v>NA</v>
      </c>
    </row>
    <row r="2647" customHeight="1" spans="1:34">
      <c r="A2647" s="12" t="s">
        <v>1043</v>
      </c>
      <c r="F2647" s="24">
        <f t="shared" si="866"/>
        <v>0</v>
      </c>
      <c r="G2647" s="24" t="e">
        <f t="shared" si="865"/>
        <v>#DIV/0!</v>
      </c>
      <c r="Q2647" s="29" t="str">
        <f t="shared" si="867"/>
        <v>NA</v>
      </c>
      <c r="R2647" s="29" t="str">
        <f t="shared" si="868"/>
        <v>NA</v>
      </c>
      <c r="S2647" s="29" t="str">
        <f t="shared" si="869"/>
        <v>NA</v>
      </c>
      <c r="T2647" s="29" t="str">
        <f t="shared" si="870"/>
        <v>NA</v>
      </c>
      <c r="U2647" s="29" t="str">
        <f t="shared" si="871"/>
        <v>NA</v>
      </c>
      <c r="V2647" s="29" t="str">
        <f t="shared" si="872"/>
        <v>NA</v>
      </c>
      <c r="W2647" s="29" t="str">
        <f t="shared" si="873"/>
        <v>NA</v>
      </c>
      <c r="X2647" s="29" t="str">
        <f t="shared" si="874"/>
        <v>NA</v>
      </c>
      <c r="Y2647" s="29" t="str">
        <f t="shared" si="875"/>
        <v>NA</v>
      </c>
      <c r="Z2647" s="29" t="str">
        <f t="shared" si="876"/>
        <v>NA</v>
      </c>
      <c r="AA2647" s="29" t="str">
        <f t="shared" si="877"/>
        <v>NA</v>
      </c>
      <c r="AB2647" s="29" t="str">
        <f t="shared" si="878"/>
        <v>NA</v>
      </c>
      <c r="AC2647" s="29" t="str">
        <f t="shared" si="879"/>
        <v>NA</v>
      </c>
      <c r="AD2647" s="29" t="str">
        <f t="shared" si="880"/>
        <v>NA</v>
      </c>
      <c r="AE2647" s="29" t="str">
        <f t="shared" si="881"/>
        <v>NA</v>
      </c>
      <c r="AF2647" s="29" t="str">
        <f t="shared" si="882"/>
        <v>NA</v>
      </c>
      <c r="AG2647" s="29" t="str">
        <f t="shared" si="883"/>
        <v>NA</v>
      </c>
      <c r="AH2647" s="29" t="str">
        <f t="shared" si="884"/>
        <v>NA</v>
      </c>
    </row>
    <row r="2648" customHeight="1" spans="1:34">
      <c r="A2648" s="12" t="s">
        <v>1043</v>
      </c>
      <c r="F2648" s="24">
        <f t="shared" si="866"/>
        <v>0</v>
      </c>
      <c r="G2648" s="24" t="e">
        <f t="shared" si="865"/>
        <v>#DIV/0!</v>
      </c>
      <c r="Q2648" s="29" t="str">
        <f t="shared" si="867"/>
        <v>NA</v>
      </c>
      <c r="R2648" s="29" t="str">
        <f t="shared" si="868"/>
        <v>NA</v>
      </c>
      <c r="S2648" s="29" t="str">
        <f t="shared" si="869"/>
        <v>NA</v>
      </c>
      <c r="T2648" s="29" t="str">
        <f t="shared" si="870"/>
        <v>NA</v>
      </c>
      <c r="U2648" s="29" t="str">
        <f t="shared" si="871"/>
        <v>NA</v>
      </c>
      <c r="V2648" s="29" t="str">
        <f t="shared" si="872"/>
        <v>NA</v>
      </c>
      <c r="W2648" s="29" t="str">
        <f t="shared" si="873"/>
        <v>NA</v>
      </c>
      <c r="X2648" s="29" t="str">
        <f t="shared" si="874"/>
        <v>NA</v>
      </c>
      <c r="Y2648" s="29" t="str">
        <f t="shared" si="875"/>
        <v>NA</v>
      </c>
      <c r="Z2648" s="29" t="str">
        <f t="shared" si="876"/>
        <v>NA</v>
      </c>
      <c r="AA2648" s="29" t="str">
        <f t="shared" si="877"/>
        <v>NA</v>
      </c>
      <c r="AB2648" s="29" t="str">
        <f t="shared" si="878"/>
        <v>NA</v>
      </c>
      <c r="AC2648" s="29" t="str">
        <f t="shared" si="879"/>
        <v>NA</v>
      </c>
      <c r="AD2648" s="29" t="str">
        <f t="shared" si="880"/>
        <v>NA</v>
      </c>
      <c r="AE2648" s="29" t="str">
        <f t="shared" si="881"/>
        <v>NA</v>
      </c>
      <c r="AF2648" s="29" t="str">
        <f t="shared" si="882"/>
        <v>NA</v>
      </c>
      <c r="AG2648" s="29" t="str">
        <f t="shared" si="883"/>
        <v>NA</v>
      </c>
      <c r="AH2648" s="29" t="str">
        <f t="shared" si="884"/>
        <v>NA</v>
      </c>
    </row>
    <row r="2649" customHeight="1" spans="1:34">
      <c r="A2649" s="12" t="s">
        <v>1043</v>
      </c>
      <c r="F2649" s="24">
        <f t="shared" si="866"/>
        <v>0</v>
      </c>
      <c r="G2649" s="24" t="e">
        <f t="shared" si="865"/>
        <v>#DIV/0!</v>
      </c>
      <c r="Q2649" s="29" t="str">
        <f t="shared" si="867"/>
        <v>NA</v>
      </c>
      <c r="R2649" s="29" t="str">
        <f t="shared" si="868"/>
        <v>NA</v>
      </c>
      <c r="S2649" s="29" t="str">
        <f t="shared" si="869"/>
        <v>NA</v>
      </c>
      <c r="T2649" s="29" t="str">
        <f t="shared" si="870"/>
        <v>NA</v>
      </c>
      <c r="U2649" s="29" t="str">
        <f t="shared" si="871"/>
        <v>NA</v>
      </c>
      <c r="V2649" s="29" t="str">
        <f t="shared" si="872"/>
        <v>NA</v>
      </c>
      <c r="W2649" s="29" t="str">
        <f t="shared" si="873"/>
        <v>NA</v>
      </c>
      <c r="X2649" s="29" t="str">
        <f t="shared" si="874"/>
        <v>NA</v>
      </c>
      <c r="Y2649" s="29" t="str">
        <f t="shared" si="875"/>
        <v>NA</v>
      </c>
      <c r="Z2649" s="29" t="str">
        <f t="shared" si="876"/>
        <v>NA</v>
      </c>
      <c r="AA2649" s="29" t="str">
        <f t="shared" si="877"/>
        <v>NA</v>
      </c>
      <c r="AB2649" s="29" t="str">
        <f t="shared" si="878"/>
        <v>NA</v>
      </c>
      <c r="AC2649" s="29" t="str">
        <f t="shared" si="879"/>
        <v>NA</v>
      </c>
      <c r="AD2649" s="29" t="str">
        <f t="shared" si="880"/>
        <v>NA</v>
      </c>
      <c r="AE2649" s="29" t="str">
        <f t="shared" si="881"/>
        <v>NA</v>
      </c>
      <c r="AF2649" s="29" t="str">
        <f t="shared" si="882"/>
        <v>NA</v>
      </c>
      <c r="AG2649" s="29" t="str">
        <f t="shared" si="883"/>
        <v>NA</v>
      </c>
      <c r="AH2649" s="29" t="str">
        <f t="shared" si="884"/>
        <v>NA</v>
      </c>
    </row>
    <row r="2650" customHeight="1" spans="1:34">
      <c r="A2650" s="12" t="s">
        <v>1043</v>
      </c>
      <c r="F2650" s="24">
        <f t="shared" si="866"/>
        <v>0</v>
      </c>
      <c r="G2650" s="24" t="e">
        <f t="shared" si="865"/>
        <v>#DIV/0!</v>
      </c>
      <c r="Q2650" s="29" t="str">
        <f t="shared" si="867"/>
        <v>NA</v>
      </c>
      <c r="R2650" s="29" t="str">
        <f t="shared" si="868"/>
        <v>NA</v>
      </c>
      <c r="S2650" s="29" t="str">
        <f t="shared" si="869"/>
        <v>NA</v>
      </c>
      <c r="T2650" s="29" t="str">
        <f t="shared" si="870"/>
        <v>NA</v>
      </c>
      <c r="U2650" s="29" t="str">
        <f t="shared" si="871"/>
        <v>NA</v>
      </c>
      <c r="V2650" s="29" t="str">
        <f t="shared" si="872"/>
        <v>NA</v>
      </c>
      <c r="W2650" s="29" t="str">
        <f t="shared" si="873"/>
        <v>NA</v>
      </c>
      <c r="X2650" s="29" t="str">
        <f t="shared" si="874"/>
        <v>NA</v>
      </c>
      <c r="Y2650" s="29" t="str">
        <f t="shared" si="875"/>
        <v>NA</v>
      </c>
      <c r="Z2650" s="29" t="str">
        <f t="shared" si="876"/>
        <v>NA</v>
      </c>
      <c r="AA2650" s="29" t="str">
        <f t="shared" si="877"/>
        <v>NA</v>
      </c>
      <c r="AB2650" s="29" t="str">
        <f t="shared" si="878"/>
        <v>NA</v>
      </c>
      <c r="AC2650" s="29" t="str">
        <f t="shared" si="879"/>
        <v>NA</v>
      </c>
      <c r="AD2650" s="29" t="str">
        <f t="shared" si="880"/>
        <v>NA</v>
      </c>
      <c r="AE2650" s="29" t="str">
        <f t="shared" si="881"/>
        <v>NA</v>
      </c>
      <c r="AF2650" s="29" t="str">
        <f t="shared" si="882"/>
        <v>NA</v>
      </c>
      <c r="AG2650" s="29" t="str">
        <f t="shared" si="883"/>
        <v>NA</v>
      </c>
      <c r="AH2650" s="29" t="str">
        <f t="shared" si="884"/>
        <v>NA</v>
      </c>
    </row>
    <row r="2651" customHeight="1" spans="1:34">
      <c r="A2651" s="12" t="s">
        <v>1043</v>
      </c>
      <c r="F2651" s="24">
        <f t="shared" si="866"/>
        <v>0</v>
      </c>
      <c r="G2651" s="24" t="e">
        <f t="shared" si="865"/>
        <v>#DIV/0!</v>
      </c>
      <c r="Q2651" s="29" t="str">
        <f t="shared" si="867"/>
        <v>NA</v>
      </c>
      <c r="R2651" s="29" t="str">
        <f t="shared" si="868"/>
        <v>NA</v>
      </c>
      <c r="S2651" s="29" t="str">
        <f t="shared" si="869"/>
        <v>NA</v>
      </c>
      <c r="T2651" s="29" t="str">
        <f t="shared" si="870"/>
        <v>NA</v>
      </c>
      <c r="U2651" s="29" t="str">
        <f t="shared" si="871"/>
        <v>NA</v>
      </c>
      <c r="V2651" s="29" t="str">
        <f t="shared" si="872"/>
        <v>NA</v>
      </c>
      <c r="W2651" s="29" t="str">
        <f t="shared" si="873"/>
        <v>NA</v>
      </c>
      <c r="X2651" s="29" t="str">
        <f t="shared" si="874"/>
        <v>NA</v>
      </c>
      <c r="Y2651" s="29" t="str">
        <f t="shared" si="875"/>
        <v>NA</v>
      </c>
      <c r="Z2651" s="29" t="str">
        <f t="shared" si="876"/>
        <v>NA</v>
      </c>
      <c r="AA2651" s="29" t="str">
        <f t="shared" si="877"/>
        <v>NA</v>
      </c>
      <c r="AB2651" s="29" t="str">
        <f t="shared" si="878"/>
        <v>NA</v>
      </c>
      <c r="AC2651" s="29" t="str">
        <f t="shared" si="879"/>
        <v>NA</v>
      </c>
      <c r="AD2651" s="29" t="str">
        <f t="shared" si="880"/>
        <v>NA</v>
      </c>
      <c r="AE2651" s="29" t="str">
        <f t="shared" si="881"/>
        <v>NA</v>
      </c>
      <c r="AF2651" s="29" t="str">
        <f t="shared" si="882"/>
        <v>NA</v>
      </c>
      <c r="AG2651" s="29" t="str">
        <f t="shared" si="883"/>
        <v>NA</v>
      </c>
      <c r="AH2651" s="29" t="str">
        <f t="shared" si="884"/>
        <v>NA</v>
      </c>
    </row>
    <row r="2652" customHeight="1" spans="1:34">
      <c r="A2652" s="12" t="s">
        <v>1043</v>
      </c>
      <c r="F2652" s="24">
        <f t="shared" si="866"/>
        <v>0</v>
      </c>
      <c r="G2652" s="24" t="e">
        <f t="shared" si="865"/>
        <v>#DIV/0!</v>
      </c>
      <c r="Q2652" s="29" t="str">
        <f t="shared" si="867"/>
        <v>NA</v>
      </c>
      <c r="R2652" s="29" t="str">
        <f t="shared" si="868"/>
        <v>NA</v>
      </c>
      <c r="S2652" s="29" t="str">
        <f t="shared" si="869"/>
        <v>NA</v>
      </c>
      <c r="T2652" s="29" t="str">
        <f t="shared" si="870"/>
        <v>NA</v>
      </c>
      <c r="U2652" s="29" t="str">
        <f t="shared" si="871"/>
        <v>NA</v>
      </c>
      <c r="V2652" s="29" t="str">
        <f t="shared" si="872"/>
        <v>NA</v>
      </c>
      <c r="W2652" s="29" t="str">
        <f t="shared" si="873"/>
        <v>NA</v>
      </c>
      <c r="X2652" s="29" t="str">
        <f t="shared" si="874"/>
        <v>NA</v>
      </c>
      <c r="Y2652" s="29" t="str">
        <f t="shared" si="875"/>
        <v>NA</v>
      </c>
      <c r="Z2652" s="29" t="str">
        <f t="shared" si="876"/>
        <v>NA</v>
      </c>
      <c r="AA2652" s="29" t="str">
        <f t="shared" si="877"/>
        <v>NA</v>
      </c>
      <c r="AB2652" s="29" t="str">
        <f t="shared" si="878"/>
        <v>NA</v>
      </c>
      <c r="AC2652" s="29" t="str">
        <f t="shared" si="879"/>
        <v>NA</v>
      </c>
      <c r="AD2652" s="29" t="str">
        <f t="shared" si="880"/>
        <v>NA</v>
      </c>
      <c r="AE2652" s="29" t="str">
        <f t="shared" si="881"/>
        <v>NA</v>
      </c>
      <c r="AF2652" s="29" t="str">
        <f t="shared" si="882"/>
        <v>NA</v>
      </c>
      <c r="AG2652" s="29" t="str">
        <f t="shared" si="883"/>
        <v>NA</v>
      </c>
      <c r="AH2652" s="29" t="str">
        <f t="shared" si="884"/>
        <v>NA</v>
      </c>
    </row>
    <row r="2653" customHeight="1" spans="1:34">
      <c r="A2653" s="12" t="s">
        <v>1043</v>
      </c>
      <c r="F2653" s="24">
        <f t="shared" si="866"/>
        <v>0</v>
      </c>
      <c r="G2653" s="24" t="e">
        <f t="shared" si="865"/>
        <v>#DIV/0!</v>
      </c>
      <c r="Q2653" s="29" t="str">
        <f t="shared" si="867"/>
        <v>NA</v>
      </c>
      <c r="R2653" s="29" t="str">
        <f t="shared" si="868"/>
        <v>NA</v>
      </c>
      <c r="S2653" s="29" t="str">
        <f t="shared" si="869"/>
        <v>NA</v>
      </c>
      <c r="T2653" s="29" t="str">
        <f t="shared" si="870"/>
        <v>NA</v>
      </c>
      <c r="U2653" s="29" t="str">
        <f t="shared" si="871"/>
        <v>NA</v>
      </c>
      <c r="V2653" s="29" t="str">
        <f t="shared" si="872"/>
        <v>NA</v>
      </c>
      <c r="W2653" s="29" t="str">
        <f t="shared" si="873"/>
        <v>NA</v>
      </c>
      <c r="X2653" s="29" t="str">
        <f t="shared" si="874"/>
        <v>NA</v>
      </c>
      <c r="Y2653" s="29" t="str">
        <f t="shared" si="875"/>
        <v>NA</v>
      </c>
      <c r="Z2653" s="29" t="str">
        <f t="shared" si="876"/>
        <v>NA</v>
      </c>
      <c r="AA2653" s="29" t="str">
        <f t="shared" si="877"/>
        <v>NA</v>
      </c>
      <c r="AB2653" s="29" t="str">
        <f t="shared" si="878"/>
        <v>NA</v>
      </c>
      <c r="AC2653" s="29" t="str">
        <f t="shared" si="879"/>
        <v>NA</v>
      </c>
      <c r="AD2653" s="29" t="str">
        <f t="shared" si="880"/>
        <v>NA</v>
      </c>
      <c r="AE2653" s="29" t="str">
        <f t="shared" si="881"/>
        <v>NA</v>
      </c>
      <c r="AF2653" s="29" t="str">
        <f t="shared" si="882"/>
        <v>NA</v>
      </c>
      <c r="AG2653" s="29" t="str">
        <f t="shared" si="883"/>
        <v>NA</v>
      </c>
      <c r="AH2653" s="29" t="str">
        <f t="shared" si="884"/>
        <v>NA</v>
      </c>
    </row>
    <row r="2654" customHeight="1" spans="1:34">
      <c r="A2654" s="12" t="s">
        <v>1043</v>
      </c>
      <c r="F2654" s="24">
        <f t="shared" si="866"/>
        <v>0</v>
      </c>
      <c r="G2654" s="24" t="e">
        <f t="shared" si="865"/>
        <v>#DIV/0!</v>
      </c>
      <c r="Q2654" s="29" t="str">
        <f t="shared" si="867"/>
        <v>NA</v>
      </c>
      <c r="R2654" s="29" t="str">
        <f t="shared" si="868"/>
        <v>NA</v>
      </c>
      <c r="S2654" s="29" t="str">
        <f t="shared" si="869"/>
        <v>NA</v>
      </c>
      <c r="T2654" s="29" t="str">
        <f t="shared" si="870"/>
        <v>NA</v>
      </c>
      <c r="U2654" s="29" t="str">
        <f t="shared" si="871"/>
        <v>NA</v>
      </c>
      <c r="V2654" s="29" t="str">
        <f t="shared" si="872"/>
        <v>NA</v>
      </c>
      <c r="W2654" s="29" t="str">
        <f t="shared" si="873"/>
        <v>NA</v>
      </c>
      <c r="X2654" s="29" t="str">
        <f t="shared" si="874"/>
        <v>NA</v>
      </c>
      <c r="Y2654" s="29" t="str">
        <f t="shared" si="875"/>
        <v>NA</v>
      </c>
      <c r="Z2654" s="29" t="str">
        <f t="shared" si="876"/>
        <v>NA</v>
      </c>
      <c r="AA2654" s="29" t="str">
        <f t="shared" si="877"/>
        <v>NA</v>
      </c>
      <c r="AB2654" s="29" t="str">
        <f t="shared" si="878"/>
        <v>NA</v>
      </c>
      <c r="AC2654" s="29" t="str">
        <f t="shared" si="879"/>
        <v>NA</v>
      </c>
      <c r="AD2654" s="29" t="str">
        <f t="shared" si="880"/>
        <v>NA</v>
      </c>
      <c r="AE2654" s="29" t="str">
        <f t="shared" si="881"/>
        <v>NA</v>
      </c>
      <c r="AF2654" s="29" t="str">
        <f t="shared" si="882"/>
        <v>NA</v>
      </c>
      <c r="AG2654" s="29" t="str">
        <f t="shared" si="883"/>
        <v>NA</v>
      </c>
      <c r="AH2654" s="29" t="str">
        <f t="shared" si="884"/>
        <v>NA</v>
      </c>
    </row>
    <row r="2655" customHeight="1" spans="1:34">
      <c r="A2655" s="12" t="s">
        <v>1043</v>
      </c>
      <c r="F2655" s="24">
        <f t="shared" si="866"/>
        <v>0</v>
      </c>
      <c r="G2655" s="24" t="e">
        <f t="shared" si="865"/>
        <v>#DIV/0!</v>
      </c>
      <c r="Q2655" s="29" t="str">
        <f t="shared" si="867"/>
        <v>NA</v>
      </c>
      <c r="R2655" s="29" t="str">
        <f t="shared" si="868"/>
        <v>NA</v>
      </c>
      <c r="S2655" s="29" t="str">
        <f t="shared" si="869"/>
        <v>NA</v>
      </c>
      <c r="T2655" s="29" t="str">
        <f t="shared" si="870"/>
        <v>NA</v>
      </c>
      <c r="U2655" s="29" t="str">
        <f t="shared" si="871"/>
        <v>NA</v>
      </c>
      <c r="V2655" s="29" t="str">
        <f t="shared" si="872"/>
        <v>NA</v>
      </c>
      <c r="W2655" s="29" t="str">
        <f t="shared" si="873"/>
        <v>NA</v>
      </c>
      <c r="X2655" s="29" t="str">
        <f t="shared" si="874"/>
        <v>NA</v>
      </c>
      <c r="Y2655" s="29" t="str">
        <f t="shared" si="875"/>
        <v>NA</v>
      </c>
      <c r="Z2655" s="29" t="str">
        <f t="shared" si="876"/>
        <v>NA</v>
      </c>
      <c r="AA2655" s="29" t="str">
        <f t="shared" si="877"/>
        <v>NA</v>
      </c>
      <c r="AB2655" s="29" t="str">
        <f t="shared" si="878"/>
        <v>NA</v>
      </c>
      <c r="AC2655" s="29" t="str">
        <f t="shared" si="879"/>
        <v>NA</v>
      </c>
      <c r="AD2655" s="29" t="str">
        <f t="shared" si="880"/>
        <v>NA</v>
      </c>
      <c r="AE2655" s="29" t="str">
        <f t="shared" si="881"/>
        <v>NA</v>
      </c>
      <c r="AF2655" s="29" t="str">
        <f t="shared" si="882"/>
        <v>NA</v>
      </c>
      <c r="AG2655" s="29" t="str">
        <f t="shared" si="883"/>
        <v>NA</v>
      </c>
      <c r="AH2655" s="29" t="str">
        <f t="shared" si="884"/>
        <v>NA</v>
      </c>
    </row>
    <row r="2656" customHeight="1" spans="1:34">
      <c r="A2656" s="12" t="s">
        <v>1043</v>
      </c>
      <c r="F2656" s="24">
        <f t="shared" si="866"/>
        <v>0</v>
      </c>
      <c r="G2656" s="24" t="e">
        <f t="shared" si="865"/>
        <v>#DIV/0!</v>
      </c>
      <c r="Q2656" s="29" t="str">
        <f t="shared" si="867"/>
        <v>NA</v>
      </c>
      <c r="R2656" s="29" t="str">
        <f t="shared" si="868"/>
        <v>NA</v>
      </c>
      <c r="S2656" s="29" t="str">
        <f t="shared" si="869"/>
        <v>NA</v>
      </c>
      <c r="T2656" s="29" t="str">
        <f t="shared" si="870"/>
        <v>NA</v>
      </c>
      <c r="U2656" s="29" t="str">
        <f t="shared" si="871"/>
        <v>NA</v>
      </c>
      <c r="V2656" s="29" t="str">
        <f t="shared" si="872"/>
        <v>NA</v>
      </c>
      <c r="W2656" s="29" t="str">
        <f t="shared" si="873"/>
        <v>NA</v>
      </c>
      <c r="X2656" s="29" t="str">
        <f t="shared" si="874"/>
        <v>NA</v>
      </c>
      <c r="Y2656" s="29" t="str">
        <f t="shared" si="875"/>
        <v>NA</v>
      </c>
      <c r="Z2656" s="29" t="str">
        <f t="shared" si="876"/>
        <v>NA</v>
      </c>
      <c r="AA2656" s="29" t="str">
        <f t="shared" si="877"/>
        <v>NA</v>
      </c>
      <c r="AB2656" s="29" t="str">
        <f t="shared" si="878"/>
        <v>NA</v>
      </c>
      <c r="AC2656" s="29" t="str">
        <f t="shared" si="879"/>
        <v>NA</v>
      </c>
      <c r="AD2656" s="29" t="str">
        <f t="shared" si="880"/>
        <v>NA</v>
      </c>
      <c r="AE2656" s="29" t="str">
        <f t="shared" si="881"/>
        <v>NA</v>
      </c>
      <c r="AF2656" s="29" t="str">
        <f t="shared" si="882"/>
        <v>NA</v>
      </c>
      <c r="AG2656" s="29" t="str">
        <f t="shared" si="883"/>
        <v>NA</v>
      </c>
      <c r="AH2656" s="29" t="str">
        <f t="shared" si="884"/>
        <v>NA</v>
      </c>
    </row>
    <row r="2657" customHeight="1" spans="1:34">
      <c r="A2657" s="12" t="s">
        <v>1043</v>
      </c>
      <c r="F2657" s="24">
        <f t="shared" si="866"/>
        <v>0</v>
      </c>
      <c r="G2657" s="24" t="e">
        <f t="shared" si="865"/>
        <v>#DIV/0!</v>
      </c>
      <c r="Q2657" s="29" t="str">
        <f t="shared" si="867"/>
        <v>NA</v>
      </c>
      <c r="R2657" s="29" t="str">
        <f t="shared" si="868"/>
        <v>NA</v>
      </c>
      <c r="S2657" s="29" t="str">
        <f t="shared" si="869"/>
        <v>NA</v>
      </c>
      <c r="T2657" s="29" t="str">
        <f t="shared" si="870"/>
        <v>NA</v>
      </c>
      <c r="U2657" s="29" t="str">
        <f t="shared" si="871"/>
        <v>NA</v>
      </c>
      <c r="V2657" s="29" t="str">
        <f t="shared" si="872"/>
        <v>NA</v>
      </c>
      <c r="W2657" s="29" t="str">
        <f t="shared" si="873"/>
        <v>NA</v>
      </c>
      <c r="X2657" s="29" t="str">
        <f t="shared" si="874"/>
        <v>NA</v>
      </c>
      <c r="Y2657" s="29" t="str">
        <f t="shared" si="875"/>
        <v>NA</v>
      </c>
      <c r="Z2657" s="29" t="str">
        <f t="shared" si="876"/>
        <v>NA</v>
      </c>
      <c r="AA2657" s="29" t="str">
        <f t="shared" si="877"/>
        <v>NA</v>
      </c>
      <c r="AB2657" s="29" t="str">
        <f t="shared" si="878"/>
        <v>NA</v>
      </c>
      <c r="AC2657" s="29" t="str">
        <f t="shared" si="879"/>
        <v>NA</v>
      </c>
      <c r="AD2657" s="29" t="str">
        <f t="shared" si="880"/>
        <v>NA</v>
      </c>
      <c r="AE2657" s="29" t="str">
        <f t="shared" si="881"/>
        <v>NA</v>
      </c>
      <c r="AF2657" s="29" t="str">
        <f t="shared" si="882"/>
        <v>NA</v>
      </c>
      <c r="AG2657" s="29" t="str">
        <f t="shared" si="883"/>
        <v>NA</v>
      </c>
      <c r="AH2657" s="29" t="str">
        <f t="shared" si="884"/>
        <v>NA</v>
      </c>
    </row>
    <row r="2658" customHeight="1" spans="1:34">
      <c r="A2658" s="12" t="s">
        <v>1043</v>
      </c>
      <c r="F2658" s="24">
        <f t="shared" si="866"/>
        <v>0</v>
      </c>
      <c r="G2658" s="24" t="e">
        <f t="shared" si="865"/>
        <v>#DIV/0!</v>
      </c>
      <c r="Q2658" s="29" t="str">
        <f t="shared" si="867"/>
        <v>NA</v>
      </c>
      <c r="R2658" s="29" t="str">
        <f t="shared" si="868"/>
        <v>NA</v>
      </c>
      <c r="S2658" s="29" t="str">
        <f t="shared" si="869"/>
        <v>NA</v>
      </c>
      <c r="T2658" s="29" t="str">
        <f t="shared" si="870"/>
        <v>NA</v>
      </c>
      <c r="U2658" s="29" t="str">
        <f t="shared" si="871"/>
        <v>NA</v>
      </c>
      <c r="V2658" s="29" t="str">
        <f t="shared" si="872"/>
        <v>NA</v>
      </c>
      <c r="W2658" s="29" t="str">
        <f t="shared" si="873"/>
        <v>NA</v>
      </c>
      <c r="X2658" s="29" t="str">
        <f t="shared" si="874"/>
        <v>NA</v>
      </c>
      <c r="Y2658" s="29" t="str">
        <f t="shared" si="875"/>
        <v>NA</v>
      </c>
      <c r="Z2658" s="29" t="str">
        <f t="shared" si="876"/>
        <v>NA</v>
      </c>
      <c r="AA2658" s="29" t="str">
        <f t="shared" si="877"/>
        <v>NA</v>
      </c>
      <c r="AB2658" s="29" t="str">
        <f t="shared" si="878"/>
        <v>NA</v>
      </c>
      <c r="AC2658" s="29" t="str">
        <f t="shared" si="879"/>
        <v>NA</v>
      </c>
      <c r="AD2658" s="29" t="str">
        <f t="shared" si="880"/>
        <v>NA</v>
      </c>
      <c r="AE2658" s="29" t="str">
        <f t="shared" si="881"/>
        <v>NA</v>
      </c>
      <c r="AF2658" s="29" t="str">
        <f t="shared" si="882"/>
        <v>NA</v>
      </c>
      <c r="AG2658" s="29" t="str">
        <f t="shared" si="883"/>
        <v>NA</v>
      </c>
      <c r="AH2658" s="29" t="str">
        <f t="shared" si="884"/>
        <v>NA</v>
      </c>
    </row>
    <row r="2659" customHeight="1" spans="1:34">
      <c r="A2659" s="12" t="s">
        <v>1043</v>
      </c>
      <c r="F2659" s="24">
        <f t="shared" si="866"/>
        <v>0</v>
      </c>
      <c r="G2659" s="24" t="e">
        <f t="shared" si="865"/>
        <v>#DIV/0!</v>
      </c>
      <c r="Q2659" s="29" t="str">
        <f t="shared" si="867"/>
        <v>NA</v>
      </c>
      <c r="R2659" s="29" t="str">
        <f t="shared" si="868"/>
        <v>NA</v>
      </c>
      <c r="S2659" s="29" t="str">
        <f t="shared" si="869"/>
        <v>NA</v>
      </c>
      <c r="T2659" s="29" t="str">
        <f t="shared" si="870"/>
        <v>NA</v>
      </c>
      <c r="U2659" s="29" t="str">
        <f t="shared" si="871"/>
        <v>NA</v>
      </c>
      <c r="V2659" s="29" t="str">
        <f t="shared" si="872"/>
        <v>NA</v>
      </c>
      <c r="W2659" s="29" t="str">
        <f t="shared" si="873"/>
        <v>NA</v>
      </c>
      <c r="X2659" s="29" t="str">
        <f t="shared" si="874"/>
        <v>NA</v>
      </c>
      <c r="Y2659" s="29" t="str">
        <f t="shared" si="875"/>
        <v>NA</v>
      </c>
      <c r="Z2659" s="29" t="str">
        <f t="shared" si="876"/>
        <v>NA</v>
      </c>
      <c r="AA2659" s="29" t="str">
        <f t="shared" si="877"/>
        <v>NA</v>
      </c>
      <c r="AB2659" s="29" t="str">
        <f t="shared" si="878"/>
        <v>NA</v>
      </c>
      <c r="AC2659" s="29" t="str">
        <f t="shared" si="879"/>
        <v>NA</v>
      </c>
      <c r="AD2659" s="29" t="str">
        <f t="shared" si="880"/>
        <v>NA</v>
      </c>
      <c r="AE2659" s="29" t="str">
        <f t="shared" si="881"/>
        <v>NA</v>
      </c>
      <c r="AF2659" s="29" t="str">
        <f t="shared" si="882"/>
        <v>NA</v>
      </c>
      <c r="AG2659" s="29" t="str">
        <f t="shared" si="883"/>
        <v>NA</v>
      </c>
      <c r="AH2659" s="29" t="str">
        <f t="shared" si="884"/>
        <v>NA</v>
      </c>
    </row>
    <row r="2660" customHeight="1" spans="1:34">
      <c r="A2660" s="12" t="s">
        <v>1043</v>
      </c>
      <c r="F2660" s="24">
        <f t="shared" si="866"/>
        <v>0</v>
      </c>
      <c r="G2660" s="24" t="e">
        <f t="shared" si="865"/>
        <v>#DIV/0!</v>
      </c>
      <c r="Q2660" s="29" t="str">
        <f t="shared" si="867"/>
        <v>NA</v>
      </c>
      <c r="R2660" s="29" t="str">
        <f t="shared" si="868"/>
        <v>NA</v>
      </c>
      <c r="S2660" s="29" t="str">
        <f t="shared" si="869"/>
        <v>NA</v>
      </c>
      <c r="T2660" s="29" t="str">
        <f t="shared" si="870"/>
        <v>NA</v>
      </c>
      <c r="U2660" s="29" t="str">
        <f t="shared" si="871"/>
        <v>NA</v>
      </c>
      <c r="V2660" s="29" t="str">
        <f t="shared" si="872"/>
        <v>NA</v>
      </c>
      <c r="W2660" s="29" t="str">
        <f t="shared" si="873"/>
        <v>NA</v>
      </c>
      <c r="X2660" s="29" t="str">
        <f t="shared" si="874"/>
        <v>NA</v>
      </c>
      <c r="Y2660" s="29" t="str">
        <f t="shared" si="875"/>
        <v>NA</v>
      </c>
      <c r="Z2660" s="29" t="str">
        <f t="shared" si="876"/>
        <v>NA</v>
      </c>
      <c r="AA2660" s="29" t="str">
        <f t="shared" si="877"/>
        <v>NA</v>
      </c>
      <c r="AB2660" s="29" t="str">
        <f t="shared" si="878"/>
        <v>NA</v>
      </c>
      <c r="AC2660" s="29" t="str">
        <f t="shared" si="879"/>
        <v>NA</v>
      </c>
      <c r="AD2660" s="29" t="str">
        <f t="shared" si="880"/>
        <v>NA</v>
      </c>
      <c r="AE2660" s="29" t="str">
        <f t="shared" si="881"/>
        <v>NA</v>
      </c>
      <c r="AF2660" s="29" t="str">
        <f t="shared" si="882"/>
        <v>NA</v>
      </c>
      <c r="AG2660" s="29" t="str">
        <f t="shared" si="883"/>
        <v>NA</v>
      </c>
      <c r="AH2660" s="29" t="str">
        <f t="shared" si="884"/>
        <v>NA</v>
      </c>
    </row>
    <row r="2661" customHeight="1" spans="1:34">
      <c r="A2661" s="12" t="s">
        <v>1043</v>
      </c>
      <c r="F2661" s="24">
        <f t="shared" si="866"/>
        <v>0</v>
      </c>
      <c r="G2661" s="24" t="e">
        <f t="shared" si="865"/>
        <v>#DIV/0!</v>
      </c>
      <c r="Q2661" s="29" t="str">
        <f t="shared" si="867"/>
        <v>NA</v>
      </c>
      <c r="R2661" s="29" t="str">
        <f t="shared" si="868"/>
        <v>NA</v>
      </c>
      <c r="S2661" s="29" t="str">
        <f t="shared" si="869"/>
        <v>NA</v>
      </c>
      <c r="T2661" s="29" t="str">
        <f t="shared" si="870"/>
        <v>NA</v>
      </c>
      <c r="U2661" s="29" t="str">
        <f t="shared" si="871"/>
        <v>NA</v>
      </c>
      <c r="V2661" s="29" t="str">
        <f t="shared" si="872"/>
        <v>NA</v>
      </c>
      <c r="W2661" s="29" t="str">
        <f t="shared" si="873"/>
        <v>NA</v>
      </c>
      <c r="X2661" s="29" t="str">
        <f t="shared" si="874"/>
        <v>NA</v>
      </c>
      <c r="Y2661" s="29" t="str">
        <f t="shared" si="875"/>
        <v>NA</v>
      </c>
      <c r="Z2661" s="29" t="str">
        <f t="shared" si="876"/>
        <v>NA</v>
      </c>
      <c r="AA2661" s="29" t="str">
        <f t="shared" si="877"/>
        <v>NA</v>
      </c>
      <c r="AB2661" s="29" t="str">
        <f t="shared" si="878"/>
        <v>NA</v>
      </c>
      <c r="AC2661" s="29" t="str">
        <f t="shared" si="879"/>
        <v>NA</v>
      </c>
      <c r="AD2661" s="29" t="str">
        <f t="shared" si="880"/>
        <v>NA</v>
      </c>
      <c r="AE2661" s="29" t="str">
        <f t="shared" si="881"/>
        <v>NA</v>
      </c>
      <c r="AF2661" s="29" t="str">
        <f t="shared" si="882"/>
        <v>NA</v>
      </c>
      <c r="AG2661" s="29" t="str">
        <f t="shared" si="883"/>
        <v>NA</v>
      </c>
      <c r="AH2661" s="29" t="str">
        <f t="shared" si="884"/>
        <v>NA</v>
      </c>
    </row>
    <row r="2662" customHeight="1" spans="1:34">
      <c r="A2662" s="12" t="s">
        <v>1043</v>
      </c>
      <c r="F2662" s="24">
        <f t="shared" si="866"/>
        <v>0</v>
      </c>
      <c r="G2662" s="24" t="e">
        <f t="shared" si="865"/>
        <v>#DIV/0!</v>
      </c>
      <c r="Q2662" s="29" t="str">
        <f t="shared" si="867"/>
        <v>NA</v>
      </c>
      <c r="R2662" s="29" t="str">
        <f t="shared" si="868"/>
        <v>NA</v>
      </c>
      <c r="S2662" s="29" t="str">
        <f t="shared" si="869"/>
        <v>NA</v>
      </c>
      <c r="T2662" s="29" t="str">
        <f t="shared" si="870"/>
        <v>NA</v>
      </c>
      <c r="U2662" s="29" t="str">
        <f t="shared" si="871"/>
        <v>NA</v>
      </c>
      <c r="V2662" s="29" t="str">
        <f t="shared" si="872"/>
        <v>NA</v>
      </c>
      <c r="W2662" s="29" t="str">
        <f t="shared" si="873"/>
        <v>NA</v>
      </c>
      <c r="X2662" s="29" t="str">
        <f t="shared" si="874"/>
        <v>NA</v>
      </c>
      <c r="Y2662" s="29" t="str">
        <f t="shared" si="875"/>
        <v>NA</v>
      </c>
      <c r="Z2662" s="29" t="str">
        <f t="shared" si="876"/>
        <v>NA</v>
      </c>
      <c r="AA2662" s="29" t="str">
        <f t="shared" si="877"/>
        <v>NA</v>
      </c>
      <c r="AB2662" s="29" t="str">
        <f t="shared" si="878"/>
        <v>NA</v>
      </c>
      <c r="AC2662" s="29" t="str">
        <f t="shared" si="879"/>
        <v>NA</v>
      </c>
      <c r="AD2662" s="29" t="str">
        <f t="shared" si="880"/>
        <v>NA</v>
      </c>
      <c r="AE2662" s="29" t="str">
        <f t="shared" si="881"/>
        <v>NA</v>
      </c>
      <c r="AF2662" s="29" t="str">
        <f t="shared" si="882"/>
        <v>NA</v>
      </c>
      <c r="AG2662" s="29" t="str">
        <f t="shared" si="883"/>
        <v>NA</v>
      </c>
      <c r="AH2662" s="29" t="str">
        <f t="shared" si="884"/>
        <v>NA</v>
      </c>
    </row>
    <row r="2663" customHeight="1" spans="1:34">
      <c r="A2663" s="12" t="s">
        <v>1043</v>
      </c>
      <c r="F2663" s="24">
        <f t="shared" si="866"/>
        <v>0</v>
      </c>
      <c r="G2663" s="24" t="e">
        <f t="shared" si="865"/>
        <v>#DIV/0!</v>
      </c>
      <c r="Q2663" s="29" t="str">
        <f t="shared" si="867"/>
        <v>NA</v>
      </c>
      <c r="R2663" s="29" t="str">
        <f t="shared" si="868"/>
        <v>NA</v>
      </c>
      <c r="S2663" s="29" t="str">
        <f t="shared" si="869"/>
        <v>NA</v>
      </c>
      <c r="T2663" s="29" t="str">
        <f t="shared" si="870"/>
        <v>NA</v>
      </c>
      <c r="U2663" s="29" t="str">
        <f t="shared" si="871"/>
        <v>NA</v>
      </c>
      <c r="V2663" s="29" t="str">
        <f t="shared" si="872"/>
        <v>NA</v>
      </c>
      <c r="W2663" s="29" t="str">
        <f t="shared" si="873"/>
        <v>NA</v>
      </c>
      <c r="X2663" s="29" t="str">
        <f t="shared" si="874"/>
        <v>NA</v>
      </c>
      <c r="Y2663" s="29" t="str">
        <f t="shared" si="875"/>
        <v>NA</v>
      </c>
      <c r="Z2663" s="29" t="str">
        <f t="shared" si="876"/>
        <v>NA</v>
      </c>
      <c r="AA2663" s="29" t="str">
        <f t="shared" si="877"/>
        <v>NA</v>
      </c>
      <c r="AB2663" s="29" t="str">
        <f t="shared" si="878"/>
        <v>NA</v>
      </c>
      <c r="AC2663" s="29" t="str">
        <f t="shared" si="879"/>
        <v>NA</v>
      </c>
      <c r="AD2663" s="29" t="str">
        <f t="shared" si="880"/>
        <v>NA</v>
      </c>
      <c r="AE2663" s="29" t="str">
        <f t="shared" si="881"/>
        <v>NA</v>
      </c>
      <c r="AF2663" s="29" t="str">
        <f t="shared" si="882"/>
        <v>NA</v>
      </c>
      <c r="AG2663" s="29" t="str">
        <f t="shared" si="883"/>
        <v>NA</v>
      </c>
      <c r="AH2663" s="29" t="str">
        <f t="shared" si="884"/>
        <v>NA</v>
      </c>
    </row>
    <row r="2664" customHeight="1" spans="1:34">
      <c r="A2664" s="12" t="s">
        <v>1043</v>
      </c>
      <c r="F2664" s="24">
        <f t="shared" si="866"/>
        <v>0</v>
      </c>
      <c r="G2664" s="24" t="e">
        <f t="shared" si="865"/>
        <v>#DIV/0!</v>
      </c>
      <c r="Q2664" s="29" t="str">
        <f t="shared" si="867"/>
        <v>NA</v>
      </c>
      <c r="R2664" s="29" t="str">
        <f t="shared" si="868"/>
        <v>NA</v>
      </c>
      <c r="S2664" s="29" t="str">
        <f t="shared" si="869"/>
        <v>NA</v>
      </c>
      <c r="T2664" s="29" t="str">
        <f t="shared" si="870"/>
        <v>NA</v>
      </c>
      <c r="U2664" s="29" t="str">
        <f t="shared" si="871"/>
        <v>NA</v>
      </c>
      <c r="V2664" s="29" t="str">
        <f t="shared" si="872"/>
        <v>NA</v>
      </c>
      <c r="W2664" s="29" t="str">
        <f t="shared" si="873"/>
        <v>NA</v>
      </c>
      <c r="X2664" s="29" t="str">
        <f t="shared" si="874"/>
        <v>NA</v>
      </c>
      <c r="Y2664" s="29" t="str">
        <f t="shared" si="875"/>
        <v>NA</v>
      </c>
      <c r="Z2664" s="29" t="str">
        <f t="shared" si="876"/>
        <v>NA</v>
      </c>
      <c r="AA2664" s="29" t="str">
        <f t="shared" si="877"/>
        <v>NA</v>
      </c>
      <c r="AB2664" s="29" t="str">
        <f t="shared" si="878"/>
        <v>NA</v>
      </c>
      <c r="AC2664" s="29" t="str">
        <f t="shared" si="879"/>
        <v>NA</v>
      </c>
      <c r="AD2664" s="29" t="str">
        <f t="shared" si="880"/>
        <v>NA</v>
      </c>
      <c r="AE2664" s="29" t="str">
        <f t="shared" si="881"/>
        <v>NA</v>
      </c>
      <c r="AF2664" s="29" t="str">
        <f t="shared" si="882"/>
        <v>NA</v>
      </c>
      <c r="AG2664" s="29" t="str">
        <f t="shared" si="883"/>
        <v>NA</v>
      </c>
      <c r="AH2664" s="29" t="str">
        <f t="shared" si="884"/>
        <v>NA</v>
      </c>
    </row>
    <row r="2665" customHeight="1" spans="1:34">
      <c r="A2665" s="12" t="s">
        <v>1043</v>
      </c>
      <c r="F2665" s="24">
        <f t="shared" si="866"/>
        <v>0</v>
      </c>
      <c r="G2665" s="24" t="e">
        <f t="shared" si="865"/>
        <v>#DIV/0!</v>
      </c>
      <c r="Q2665" s="29" t="str">
        <f t="shared" si="867"/>
        <v>NA</v>
      </c>
      <c r="R2665" s="29" t="str">
        <f t="shared" si="868"/>
        <v>NA</v>
      </c>
      <c r="S2665" s="29" t="str">
        <f t="shared" si="869"/>
        <v>NA</v>
      </c>
      <c r="T2665" s="29" t="str">
        <f t="shared" si="870"/>
        <v>NA</v>
      </c>
      <c r="U2665" s="29" t="str">
        <f t="shared" si="871"/>
        <v>NA</v>
      </c>
      <c r="V2665" s="29" t="str">
        <f t="shared" si="872"/>
        <v>NA</v>
      </c>
      <c r="W2665" s="29" t="str">
        <f t="shared" si="873"/>
        <v>NA</v>
      </c>
      <c r="X2665" s="29" t="str">
        <f t="shared" si="874"/>
        <v>NA</v>
      </c>
      <c r="Y2665" s="29" t="str">
        <f t="shared" si="875"/>
        <v>NA</v>
      </c>
      <c r="Z2665" s="29" t="str">
        <f t="shared" si="876"/>
        <v>NA</v>
      </c>
      <c r="AA2665" s="29" t="str">
        <f t="shared" si="877"/>
        <v>NA</v>
      </c>
      <c r="AB2665" s="29" t="str">
        <f t="shared" si="878"/>
        <v>NA</v>
      </c>
      <c r="AC2665" s="29" t="str">
        <f t="shared" si="879"/>
        <v>NA</v>
      </c>
      <c r="AD2665" s="29" t="str">
        <f t="shared" si="880"/>
        <v>NA</v>
      </c>
      <c r="AE2665" s="29" t="str">
        <f t="shared" si="881"/>
        <v>NA</v>
      </c>
      <c r="AF2665" s="29" t="str">
        <f t="shared" si="882"/>
        <v>NA</v>
      </c>
      <c r="AG2665" s="29" t="str">
        <f t="shared" si="883"/>
        <v>NA</v>
      </c>
      <c r="AH2665" s="29" t="str">
        <f t="shared" si="884"/>
        <v>NA</v>
      </c>
    </row>
    <row r="2666" customHeight="1" spans="1:34">
      <c r="A2666" s="12" t="s">
        <v>1043</v>
      </c>
      <c r="F2666" s="24">
        <f t="shared" si="866"/>
        <v>0</v>
      </c>
      <c r="G2666" s="24" t="e">
        <f t="shared" si="865"/>
        <v>#DIV/0!</v>
      </c>
      <c r="Q2666" s="29" t="str">
        <f t="shared" si="867"/>
        <v>NA</v>
      </c>
      <c r="R2666" s="29" t="str">
        <f t="shared" si="868"/>
        <v>NA</v>
      </c>
      <c r="S2666" s="29" t="str">
        <f t="shared" si="869"/>
        <v>NA</v>
      </c>
      <c r="T2666" s="29" t="str">
        <f t="shared" si="870"/>
        <v>NA</v>
      </c>
      <c r="U2666" s="29" t="str">
        <f t="shared" si="871"/>
        <v>NA</v>
      </c>
      <c r="V2666" s="29" t="str">
        <f t="shared" si="872"/>
        <v>NA</v>
      </c>
      <c r="W2666" s="29" t="str">
        <f t="shared" si="873"/>
        <v>NA</v>
      </c>
      <c r="X2666" s="29" t="str">
        <f t="shared" si="874"/>
        <v>NA</v>
      </c>
      <c r="Y2666" s="29" t="str">
        <f t="shared" si="875"/>
        <v>NA</v>
      </c>
      <c r="Z2666" s="29" t="str">
        <f t="shared" si="876"/>
        <v>NA</v>
      </c>
      <c r="AA2666" s="29" t="str">
        <f t="shared" si="877"/>
        <v>NA</v>
      </c>
      <c r="AB2666" s="29" t="str">
        <f t="shared" si="878"/>
        <v>NA</v>
      </c>
      <c r="AC2666" s="29" t="str">
        <f t="shared" si="879"/>
        <v>NA</v>
      </c>
      <c r="AD2666" s="29" t="str">
        <f t="shared" si="880"/>
        <v>NA</v>
      </c>
      <c r="AE2666" s="29" t="str">
        <f t="shared" si="881"/>
        <v>NA</v>
      </c>
      <c r="AF2666" s="29" t="str">
        <f t="shared" si="882"/>
        <v>NA</v>
      </c>
      <c r="AG2666" s="29" t="str">
        <f t="shared" si="883"/>
        <v>NA</v>
      </c>
      <c r="AH2666" s="29" t="str">
        <f t="shared" si="884"/>
        <v>NA</v>
      </c>
    </row>
    <row r="2667" customHeight="1" spans="1:34">
      <c r="A2667" s="12" t="s">
        <v>1043</v>
      </c>
      <c r="F2667" s="24">
        <f t="shared" si="866"/>
        <v>0</v>
      </c>
      <c r="G2667" s="24" t="e">
        <f t="shared" si="865"/>
        <v>#DIV/0!</v>
      </c>
      <c r="Q2667" s="29" t="str">
        <f t="shared" si="867"/>
        <v>NA</v>
      </c>
      <c r="R2667" s="29" t="str">
        <f t="shared" si="868"/>
        <v>NA</v>
      </c>
      <c r="S2667" s="29" t="str">
        <f t="shared" si="869"/>
        <v>NA</v>
      </c>
      <c r="T2667" s="29" t="str">
        <f t="shared" si="870"/>
        <v>NA</v>
      </c>
      <c r="U2667" s="29" t="str">
        <f t="shared" si="871"/>
        <v>NA</v>
      </c>
      <c r="V2667" s="29" t="str">
        <f t="shared" si="872"/>
        <v>NA</v>
      </c>
      <c r="W2667" s="29" t="str">
        <f t="shared" si="873"/>
        <v>NA</v>
      </c>
      <c r="X2667" s="29" t="str">
        <f t="shared" si="874"/>
        <v>NA</v>
      </c>
      <c r="Y2667" s="29" t="str">
        <f t="shared" si="875"/>
        <v>NA</v>
      </c>
      <c r="Z2667" s="29" t="str">
        <f t="shared" si="876"/>
        <v>NA</v>
      </c>
      <c r="AA2667" s="29" t="str">
        <f t="shared" si="877"/>
        <v>NA</v>
      </c>
      <c r="AB2667" s="29" t="str">
        <f t="shared" si="878"/>
        <v>NA</v>
      </c>
      <c r="AC2667" s="29" t="str">
        <f t="shared" si="879"/>
        <v>NA</v>
      </c>
      <c r="AD2667" s="29" t="str">
        <f t="shared" si="880"/>
        <v>NA</v>
      </c>
      <c r="AE2667" s="29" t="str">
        <f t="shared" si="881"/>
        <v>NA</v>
      </c>
      <c r="AF2667" s="29" t="str">
        <f t="shared" si="882"/>
        <v>NA</v>
      </c>
      <c r="AG2667" s="29" t="str">
        <f t="shared" si="883"/>
        <v>NA</v>
      </c>
      <c r="AH2667" s="29" t="str">
        <f t="shared" si="884"/>
        <v>NA</v>
      </c>
    </row>
    <row r="2668" customHeight="1" spans="1:34">
      <c r="A2668" s="12" t="s">
        <v>1043</v>
      </c>
      <c r="F2668" s="24">
        <f t="shared" si="866"/>
        <v>0</v>
      </c>
      <c r="G2668" s="24" t="e">
        <f t="shared" si="865"/>
        <v>#DIV/0!</v>
      </c>
      <c r="Q2668" s="29" t="str">
        <f t="shared" si="867"/>
        <v>NA</v>
      </c>
      <c r="R2668" s="29" t="str">
        <f t="shared" si="868"/>
        <v>NA</v>
      </c>
      <c r="S2668" s="29" t="str">
        <f t="shared" si="869"/>
        <v>NA</v>
      </c>
      <c r="T2668" s="29" t="str">
        <f t="shared" si="870"/>
        <v>NA</v>
      </c>
      <c r="U2668" s="29" t="str">
        <f t="shared" si="871"/>
        <v>NA</v>
      </c>
      <c r="V2668" s="29" t="str">
        <f t="shared" si="872"/>
        <v>NA</v>
      </c>
      <c r="W2668" s="29" t="str">
        <f t="shared" si="873"/>
        <v>NA</v>
      </c>
      <c r="X2668" s="29" t="str">
        <f t="shared" si="874"/>
        <v>NA</v>
      </c>
      <c r="Y2668" s="29" t="str">
        <f t="shared" si="875"/>
        <v>NA</v>
      </c>
      <c r="Z2668" s="29" t="str">
        <f t="shared" si="876"/>
        <v>NA</v>
      </c>
      <c r="AA2668" s="29" t="str">
        <f t="shared" si="877"/>
        <v>NA</v>
      </c>
      <c r="AB2668" s="29" t="str">
        <f t="shared" si="878"/>
        <v>NA</v>
      </c>
      <c r="AC2668" s="29" t="str">
        <f t="shared" si="879"/>
        <v>NA</v>
      </c>
      <c r="AD2668" s="29" t="str">
        <f t="shared" si="880"/>
        <v>NA</v>
      </c>
      <c r="AE2668" s="29" t="str">
        <f t="shared" si="881"/>
        <v>NA</v>
      </c>
      <c r="AF2668" s="29" t="str">
        <f t="shared" si="882"/>
        <v>NA</v>
      </c>
      <c r="AG2668" s="29" t="str">
        <f t="shared" si="883"/>
        <v>NA</v>
      </c>
      <c r="AH2668" s="29" t="str">
        <f t="shared" si="884"/>
        <v>NA</v>
      </c>
    </row>
    <row r="2669" customHeight="1" spans="1:34">
      <c r="A2669" s="12" t="s">
        <v>1043</v>
      </c>
      <c r="F2669" s="24">
        <f t="shared" si="866"/>
        <v>0</v>
      </c>
      <c r="G2669" s="24" t="e">
        <f t="shared" si="865"/>
        <v>#DIV/0!</v>
      </c>
      <c r="Q2669" s="29" t="str">
        <f t="shared" si="867"/>
        <v>NA</v>
      </c>
      <c r="R2669" s="29" t="str">
        <f t="shared" si="868"/>
        <v>NA</v>
      </c>
      <c r="S2669" s="29" t="str">
        <f t="shared" si="869"/>
        <v>NA</v>
      </c>
      <c r="T2669" s="29" t="str">
        <f t="shared" si="870"/>
        <v>NA</v>
      </c>
      <c r="U2669" s="29" t="str">
        <f t="shared" si="871"/>
        <v>NA</v>
      </c>
      <c r="V2669" s="29" t="str">
        <f t="shared" si="872"/>
        <v>NA</v>
      </c>
      <c r="W2669" s="29" t="str">
        <f t="shared" si="873"/>
        <v>NA</v>
      </c>
      <c r="X2669" s="29" t="str">
        <f t="shared" si="874"/>
        <v>NA</v>
      </c>
      <c r="Y2669" s="29" t="str">
        <f t="shared" si="875"/>
        <v>NA</v>
      </c>
      <c r="Z2669" s="29" t="str">
        <f t="shared" si="876"/>
        <v>NA</v>
      </c>
      <c r="AA2669" s="29" t="str">
        <f t="shared" si="877"/>
        <v>NA</v>
      </c>
      <c r="AB2669" s="29" t="str">
        <f t="shared" si="878"/>
        <v>NA</v>
      </c>
      <c r="AC2669" s="29" t="str">
        <f t="shared" si="879"/>
        <v>NA</v>
      </c>
      <c r="AD2669" s="29" t="str">
        <f t="shared" si="880"/>
        <v>NA</v>
      </c>
      <c r="AE2669" s="29" t="str">
        <f t="shared" si="881"/>
        <v>NA</v>
      </c>
      <c r="AF2669" s="29" t="str">
        <f t="shared" si="882"/>
        <v>NA</v>
      </c>
      <c r="AG2669" s="29" t="str">
        <f t="shared" si="883"/>
        <v>NA</v>
      </c>
      <c r="AH2669" s="29" t="str">
        <f t="shared" si="884"/>
        <v>NA</v>
      </c>
    </row>
    <row r="2670" customHeight="1" spans="1:34">
      <c r="A2670" s="12" t="s">
        <v>1043</v>
      </c>
      <c r="F2670" s="24">
        <f t="shared" si="866"/>
        <v>0</v>
      </c>
      <c r="G2670" s="24" t="e">
        <f t="shared" si="865"/>
        <v>#DIV/0!</v>
      </c>
      <c r="Q2670" s="29" t="str">
        <f t="shared" si="867"/>
        <v>NA</v>
      </c>
      <c r="R2670" s="29" t="str">
        <f t="shared" si="868"/>
        <v>NA</v>
      </c>
      <c r="S2670" s="29" t="str">
        <f t="shared" si="869"/>
        <v>NA</v>
      </c>
      <c r="T2670" s="29" t="str">
        <f t="shared" si="870"/>
        <v>NA</v>
      </c>
      <c r="U2670" s="29" t="str">
        <f t="shared" si="871"/>
        <v>NA</v>
      </c>
      <c r="V2670" s="29" t="str">
        <f t="shared" si="872"/>
        <v>NA</v>
      </c>
      <c r="W2670" s="29" t="str">
        <f t="shared" si="873"/>
        <v>NA</v>
      </c>
      <c r="X2670" s="29" t="str">
        <f t="shared" si="874"/>
        <v>NA</v>
      </c>
      <c r="Y2670" s="29" t="str">
        <f t="shared" si="875"/>
        <v>NA</v>
      </c>
      <c r="Z2670" s="29" t="str">
        <f t="shared" si="876"/>
        <v>NA</v>
      </c>
      <c r="AA2670" s="29" t="str">
        <f t="shared" si="877"/>
        <v>NA</v>
      </c>
      <c r="AB2670" s="29" t="str">
        <f t="shared" si="878"/>
        <v>NA</v>
      </c>
      <c r="AC2670" s="29" t="str">
        <f t="shared" si="879"/>
        <v>NA</v>
      </c>
      <c r="AD2670" s="29" t="str">
        <f t="shared" si="880"/>
        <v>NA</v>
      </c>
      <c r="AE2670" s="29" t="str">
        <f t="shared" si="881"/>
        <v>NA</v>
      </c>
      <c r="AF2670" s="29" t="str">
        <f t="shared" si="882"/>
        <v>NA</v>
      </c>
      <c r="AG2670" s="29" t="str">
        <f t="shared" si="883"/>
        <v>NA</v>
      </c>
      <c r="AH2670" s="29" t="str">
        <f t="shared" si="884"/>
        <v>NA</v>
      </c>
    </row>
    <row r="2671" customHeight="1" spans="1:34">
      <c r="A2671" s="12" t="s">
        <v>1043</v>
      </c>
      <c r="F2671" s="24">
        <f t="shared" si="866"/>
        <v>0</v>
      </c>
      <c r="G2671" s="24" t="e">
        <f t="shared" si="865"/>
        <v>#DIV/0!</v>
      </c>
      <c r="Q2671" s="29" t="str">
        <f t="shared" si="867"/>
        <v>NA</v>
      </c>
      <c r="R2671" s="29" t="str">
        <f t="shared" si="868"/>
        <v>NA</v>
      </c>
      <c r="S2671" s="29" t="str">
        <f t="shared" si="869"/>
        <v>NA</v>
      </c>
      <c r="T2671" s="29" t="str">
        <f t="shared" si="870"/>
        <v>NA</v>
      </c>
      <c r="U2671" s="29" t="str">
        <f t="shared" si="871"/>
        <v>NA</v>
      </c>
      <c r="V2671" s="29" t="str">
        <f t="shared" si="872"/>
        <v>NA</v>
      </c>
      <c r="W2671" s="29" t="str">
        <f t="shared" si="873"/>
        <v>NA</v>
      </c>
      <c r="X2671" s="29" t="str">
        <f t="shared" si="874"/>
        <v>NA</v>
      </c>
      <c r="Y2671" s="29" t="str">
        <f t="shared" si="875"/>
        <v>NA</v>
      </c>
      <c r="Z2671" s="29" t="str">
        <f t="shared" si="876"/>
        <v>NA</v>
      </c>
      <c r="AA2671" s="29" t="str">
        <f t="shared" si="877"/>
        <v>NA</v>
      </c>
      <c r="AB2671" s="29" t="str">
        <f t="shared" si="878"/>
        <v>NA</v>
      </c>
      <c r="AC2671" s="29" t="str">
        <f t="shared" si="879"/>
        <v>NA</v>
      </c>
      <c r="AD2671" s="29" t="str">
        <f t="shared" si="880"/>
        <v>NA</v>
      </c>
      <c r="AE2671" s="29" t="str">
        <f t="shared" si="881"/>
        <v>NA</v>
      </c>
      <c r="AF2671" s="29" t="str">
        <f t="shared" si="882"/>
        <v>NA</v>
      </c>
      <c r="AG2671" s="29" t="str">
        <f t="shared" si="883"/>
        <v>NA</v>
      </c>
      <c r="AH2671" s="29" t="str">
        <f t="shared" si="884"/>
        <v>NA</v>
      </c>
    </row>
    <row r="2672" customHeight="1" spans="1:34">
      <c r="A2672" s="12" t="s">
        <v>1043</v>
      </c>
      <c r="F2672" s="24">
        <f t="shared" si="866"/>
        <v>0</v>
      </c>
      <c r="G2672" s="24" t="e">
        <f t="shared" si="865"/>
        <v>#DIV/0!</v>
      </c>
      <c r="Q2672" s="29" t="str">
        <f t="shared" si="867"/>
        <v>NA</v>
      </c>
      <c r="R2672" s="29" t="str">
        <f t="shared" si="868"/>
        <v>NA</v>
      </c>
      <c r="S2672" s="29" t="str">
        <f t="shared" si="869"/>
        <v>NA</v>
      </c>
      <c r="T2672" s="29" t="str">
        <f t="shared" si="870"/>
        <v>NA</v>
      </c>
      <c r="U2672" s="29" t="str">
        <f t="shared" si="871"/>
        <v>NA</v>
      </c>
      <c r="V2672" s="29" t="str">
        <f t="shared" si="872"/>
        <v>NA</v>
      </c>
      <c r="W2672" s="29" t="str">
        <f t="shared" si="873"/>
        <v>NA</v>
      </c>
      <c r="X2672" s="29" t="str">
        <f t="shared" si="874"/>
        <v>NA</v>
      </c>
      <c r="Y2672" s="29" t="str">
        <f t="shared" si="875"/>
        <v>NA</v>
      </c>
      <c r="Z2672" s="29" t="str">
        <f t="shared" si="876"/>
        <v>NA</v>
      </c>
      <c r="AA2672" s="29" t="str">
        <f t="shared" si="877"/>
        <v>NA</v>
      </c>
      <c r="AB2672" s="29" t="str">
        <f t="shared" si="878"/>
        <v>NA</v>
      </c>
      <c r="AC2672" s="29" t="str">
        <f t="shared" si="879"/>
        <v>NA</v>
      </c>
      <c r="AD2672" s="29" t="str">
        <f t="shared" si="880"/>
        <v>NA</v>
      </c>
      <c r="AE2672" s="29" t="str">
        <f t="shared" si="881"/>
        <v>NA</v>
      </c>
      <c r="AF2672" s="29" t="str">
        <f t="shared" si="882"/>
        <v>NA</v>
      </c>
      <c r="AG2672" s="29" t="str">
        <f t="shared" si="883"/>
        <v>NA</v>
      </c>
      <c r="AH2672" s="29" t="str">
        <f t="shared" si="884"/>
        <v>NA</v>
      </c>
    </row>
    <row r="2673" customHeight="1" spans="1:34">
      <c r="A2673" s="12" t="s">
        <v>1043</v>
      </c>
      <c r="F2673" s="24">
        <f t="shared" si="866"/>
        <v>0</v>
      </c>
      <c r="G2673" s="24" t="e">
        <f t="shared" si="865"/>
        <v>#DIV/0!</v>
      </c>
      <c r="Q2673" s="29" t="str">
        <f t="shared" si="867"/>
        <v>NA</v>
      </c>
      <c r="R2673" s="29" t="str">
        <f t="shared" si="868"/>
        <v>NA</v>
      </c>
      <c r="S2673" s="29" t="str">
        <f t="shared" si="869"/>
        <v>NA</v>
      </c>
      <c r="T2673" s="29" t="str">
        <f t="shared" si="870"/>
        <v>NA</v>
      </c>
      <c r="U2673" s="29" t="str">
        <f t="shared" si="871"/>
        <v>NA</v>
      </c>
      <c r="V2673" s="29" t="str">
        <f t="shared" si="872"/>
        <v>NA</v>
      </c>
      <c r="W2673" s="29" t="str">
        <f t="shared" si="873"/>
        <v>NA</v>
      </c>
      <c r="X2673" s="29" t="str">
        <f t="shared" si="874"/>
        <v>NA</v>
      </c>
      <c r="Y2673" s="29" t="str">
        <f t="shared" si="875"/>
        <v>NA</v>
      </c>
      <c r="Z2673" s="29" t="str">
        <f t="shared" si="876"/>
        <v>NA</v>
      </c>
      <c r="AA2673" s="29" t="str">
        <f t="shared" si="877"/>
        <v>NA</v>
      </c>
      <c r="AB2673" s="29" t="str">
        <f t="shared" si="878"/>
        <v>NA</v>
      </c>
      <c r="AC2673" s="29" t="str">
        <f t="shared" si="879"/>
        <v>NA</v>
      </c>
      <c r="AD2673" s="29" t="str">
        <f t="shared" si="880"/>
        <v>NA</v>
      </c>
      <c r="AE2673" s="29" t="str">
        <f t="shared" si="881"/>
        <v>NA</v>
      </c>
      <c r="AF2673" s="29" t="str">
        <f t="shared" si="882"/>
        <v>NA</v>
      </c>
      <c r="AG2673" s="29" t="str">
        <f t="shared" si="883"/>
        <v>NA</v>
      </c>
      <c r="AH2673" s="29" t="str">
        <f t="shared" si="884"/>
        <v>NA</v>
      </c>
    </row>
    <row r="2674" customHeight="1" spans="1:34">
      <c r="A2674" s="12" t="s">
        <v>1043</v>
      </c>
      <c r="F2674" s="24">
        <f t="shared" si="866"/>
        <v>0</v>
      </c>
      <c r="G2674" s="24" t="e">
        <f t="shared" si="865"/>
        <v>#DIV/0!</v>
      </c>
      <c r="Q2674" s="29" t="str">
        <f t="shared" si="867"/>
        <v>NA</v>
      </c>
      <c r="R2674" s="29" t="str">
        <f t="shared" si="868"/>
        <v>NA</v>
      </c>
      <c r="S2674" s="29" t="str">
        <f t="shared" si="869"/>
        <v>NA</v>
      </c>
      <c r="T2674" s="29" t="str">
        <f t="shared" si="870"/>
        <v>NA</v>
      </c>
      <c r="U2674" s="29" t="str">
        <f t="shared" si="871"/>
        <v>NA</v>
      </c>
      <c r="V2674" s="29" t="str">
        <f t="shared" si="872"/>
        <v>NA</v>
      </c>
      <c r="W2674" s="29" t="str">
        <f t="shared" si="873"/>
        <v>NA</v>
      </c>
      <c r="X2674" s="29" t="str">
        <f t="shared" si="874"/>
        <v>NA</v>
      </c>
      <c r="Y2674" s="29" t="str">
        <f t="shared" si="875"/>
        <v>NA</v>
      </c>
      <c r="Z2674" s="29" t="str">
        <f t="shared" si="876"/>
        <v>NA</v>
      </c>
      <c r="AA2674" s="29" t="str">
        <f t="shared" si="877"/>
        <v>NA</v>
      </c>
      <c r="AB2674" s="29" t="str">
        <f t="shared" si="878"/>
        <v>NA</v>
      </c>
      <c r="AC2674" s="29" t="str">
        <f t="shared" si="879"/>
        <v>NA</v>
      </c>
      <c r="AD2674" s="29" t="str">
        <f t="shared" si="880"/>
        <v>NA</v>
      </c>
      <c r="AE2674" s="29" t="str">
        <f t="shared" si="881"/>
        <v>NA</v>
      </c>
      <c r="AF2674" s="29" t="str">
        <f t="shared" si="882"/>
        <v>NA</v>
      </c>
      <c r="AG2674" s="29" t="str">
        <f t="shared" si="883"/>
        <v>NA</v>
      </c>
      <c r="AH2674" s="29" t="str">
        <f t="shared" si="884"/>
        <v>NA</v>
      </c>
    </row>
    <row r="2675" customHeight="1" spans="1:34">
      <c r="A2675" s="12" t="s">
        <v>1043</v>
      </c>
      <c r="F2675" s="24">
        <f t="shared" si="866"/>
        <v>0</v>
      </c>
      <c r="G2675" s="24" t="e">
        <f t="shared" si="865"/>
        <v>#DIV/0!</v>
      </c>
      <c r="Q2675" s="29" t="str">
        <f t="shared" si="867"/>
        <v>NA</v>
      </c>
      <c r="R2675" s="29" t="str">
        <f t="shared" si="868"/>
        <v>NA</v>
      </c>
      <c r="S2675" s="29" t="str">
        <f t="shared" si="869"/>
        <v>NA</v>
      </c>
      <c r="T2675" s="29" t="str">
        <f t="shared" si="870"/>
        <v>NA</v>
      </c>
      <c r="U2675" s="29" t="str">
        <f t="shared" si="871"/>
        <v>NA</v>
      </c>
      <c r="V2675" s="29" t="str">
        <f t="shared" si="872"/>
        <v>NA</v>
      </c>
      <c r="W2675" s="29" t="str">
        <f t="shared" si="873"/>
        <v>NA</v>
      </c>
      <c r="X2675" s="29" t="str">
        <f t="shared" si="874"/>
        <v>NA</v>
      </c>
      <c r="Y2675" s="29" t="str">
        <f t="shared" si="875"/>
        <v>NA</v>
      </c>
      <c r="Z2675" s="29" t="str">
        <f t="shared" si="876"/>
        <v>NA</v>
      </c>
      <c r="AA2675" s="29" t="str">
        <f t="shared" si="877"/>
        <v>NA</v>
      </c>
      <c r="AB2675" s="29" t="str">
        <f t="shared" si="878"/>
        <v>NA</v>
      </c>
      <c r="AC2675" s="29" t="str">
        <f t="shared" si="879"/>
        <v>NA</v>
      </c>
      <c r="AD2675" s="29" t="str">
        <f t="shared" si="880"/>
        <v>NA</v>
      </c>
      <c r="AE2675" s="29" t="str">
        <f t="shared" si="881"/>
        <v>NA</v>
      </c>
      <c r="AF2675" s="29" t="str">
        <f t="shared" si="882"/>
        <v>NA</v>
      </c>
      <c r="AG2675" s="29" t="str">
        <f t="shared" si="883"/>
        <v>NA</v>
      </c>
      <c r="AH2675" s="29" t="str">
        <f t="shared" si="884"/>
        <v>NA</v>
      </c>
    </row>
    <row r="2676" customHeight="1" spans="1:34">
      <c r="A2676" s="12" t="s">
        <v>1043</v>
      </c>
      <c r="F2676" s="24">
        <f t="shared" si="866"/>
        <v>0</v>
      </c>
      <c r="G2676" s="24" t="e">
        <f t="shared" si="865"/>
        <v>#DIV/0!</v>
      </c>
      <c r="Q2676" s="29" t="str">
        <f t="shared" si="867"/>
        <v>NA</v>
      </c>
      <c r="R2676" s="29" t="str">
        <f t="shared" si="868"/>
        <v>NA</v>
      </c>
      <c r="S2676" s="29" t="str">
        <f t="shared" si="869"/>
        <v>NA</v>
      </c>
      <c r="T2676" s="29" t="str">
        <f t="shared" si="870"/>
        <v>NA</v>
      </c>
      <c r="U2676" s="29" t="str">
        <f t="shared" si="871"/>
        <v>NA</v>
      </c>
      <c r="V2676" s="29" t="str">
        <f t="shared" si="872"/>
        <v>NA</v>
      </c>
      <c r="W2676" s="29" t="str">
        <f t="shared" si="873"/>
        <v>NA</v>
      </c>
      <c r="X2676" s="29" t="str">
        <f t="shared" si="874"/>
        <v>NA</v>
      </c>
      <c r="Y2676" s="29" t="str">
        <f t="shared" si="875"/>
        <v>NA</v>
      </c>
      <c r="Z2676" s="29" t="str">
        <f t="shared" si="876"/>
        <v>NA</v>
      </c>
      <c r="AA2676" s="29" t="str">
        <f t="shared" si="877"/>
        <v>NA</v>
      </c>
      <c r="AB2676" s="29" t="str">
        <f t="shared" si="878"/>
        <v>NA</v>
      </c>
      <c r="AC2676" s="29" t="str">
        <f t="shared" si="879"/>
        <v>NA</v>
      </c>
      <c r="AD2676" s="29" t="str">
        <f t="shared" si="880"/>
        <v>NA</v>
      </c>
      <c r="AE2676" s="29" t="str">
        <f t="shared" si="881"/>
        <v>NA</v>
      </c>
      <c r="AF2676" s="29" t="str">
        <f t="shared" si="882"/>
        <v>NA</v>
      </c>
      <c r="AG2676" s="29" t="str">
        <f t="shared" si="883"/>
        <v>NA</v>
      </c>
      <c r="AH2676" s="29" t="str">
        <f t="shared" si="884"/>
        <v>NA</v>
      </c>
    </row>
    <row r="2677" customHeight="1" spans="1:34">
      <c r="A2677" s="12" t="s">
        <v>1043</v>
      </c>
      <c r="F2677" s="24">
        <f t="shared" si="866"/>
        <v>0</v>
      </c>
      <c r="G2677" s="24" t="e">
        <f t="shared" si="865"/>
        <v>#DIV/0!</v>
      </c>
      <c r="Q2677" s="29" t="str">
        <f t="shared" si="867"/>
        <v>NA</v>
      </c>
      <c r="R2677" s="29" t="str">
        <f t="shared" si="868"/>
        <v>NA</v>
      </c>
      <c r="S2677" s="29" t="str">
        <f t="shared" si="869"/>
        <v>NA</v>
      </c>
      <c r="T2677" s="29" t="str">
        <f t="shared" si="870"/>
        <v>NA</v>
      </c>
      <c r="U2677" s="29" t="str">
        <f t="shared" si="871"/>
        <v>NA</v>
      </c>
      <c r="V2677" s="29" t="str">
        <f t="shared" si="872"/>
        <v>NA</v>
      </c>
      <c r="W2677" s="29" t="str">
        <f t="shared" si="873"/>
        <v>NA</v>
      </c>
      <c r="X2677" s="29" t="str">
        <f t="shared" si="874"/>
        <v>NA</v>
      </c>
      <c r="Y2677" s="29" t="str">
        <f t="shared" si="875"/>
        <v>NA</v>
      </c>
      <c r="Z2677" s="29" t="str">
        <f t="shared" si="876"/>
        <v>NA</v>
      </c>
      <c r="AA2677" s="29" t="str">
        <f t="shared" si="877"/>
        <v>NA</v>
      </c>
      <c r="AB2677" s="29" t="str">
        <f t="shared" si="878"/>
        <v>NA</v>
      </c>
      <c r="AC2677" s="29" t="str">
        <f t="shared" si="879"/>
        <v>NA</v>
      </c>
      <c r="AD2677" s="29" t="str">
        <f t="shared" si="880"/>
        <v>NA</v>
      </c>
      <c r="AE2677" s="29" t="str">
        <f t="shared" si="881"/>
        <v>NA</v>
      </c>
      <c r="AF2677" s="29" t="str">
        <f t="shared" si="882"/>
        <v>NA</v>
      </c>
      <c r="AG2677" s="29" t="str">
        <f t="shared" si="883"/>
        <v>NA</v>
      </c>
      <c r="AH2677" s="29" t="str">
        <f t="shared" si="884"/>
        <v>NA</v>
      </c>
    </row>
    <row r="2678" customHeight="1" spans="1:34">
      <c r="A2678" s="12" t="s">
        <v>1043</v>
      </c>
      <c r="F2678" s="24">
        <f t="shared" si="866"/>
        <v>0</v>
      </c>
      <c r="G2678" s="24" t="e">
        <f t="shared" si="865"/>
        <v>#DIV/0!</v>
      </c>
      <c r="Q2678" s="29" t="str">
        <f t="shared" si="867"/>
        <v>NA</v>
      </c>
      <c r="R2678" s="29" t="str">
        <f t="shared" si="868"/>
        <v>NA</v>
      </c>
      <c r="S2678" s="29" t="str">
        <f t="shared" si="869"/>
        <v>NA</v>
      </c>
      <c r="T2678" s="29" t="str">
        <f t="shared" si="870"/>
        <v>NA</v>
      </c>
      <c r="U2678" s="29" t="str">
        <f t="shared" si="871"/>
        <v>NA</v>
      </c>
      <c r="V2678" s="29" t="str">
        <f t="shared" si="872"/>
        <v>NA</v>
      </c>
      <c r="W2678" s="29" t="str">
        <f t="shared" si="873"/>
        <v>NA</v>
      </c>
      <c r="X2678" s="29" t="str">
        <f t="shared" si="874"/>
        <v>NA</v>
      </c>
      <c r="Y2678" s="29" t="str">
        <f t="shared" si="875"/>
        <v>NA</v>
      </c>
      <c r="Z2678" s="29" t="str">
        <f t="shared" si="876"/>
        <v>NA</v>
      </c>
      <c r="AA2678" s="29" t="str">
        <f t="shared" si="877"/>
        <v>NA</v>
      </c>
      <c r="AB2678" s="29" t="str">
        <f t="shared" si="878"/>
        <v>NA</v>
      </c>
      <c r="AC2678" s="29" t="str">
        <f t="shared" si="879"/>
        <v>NA</v>
      </c>
      <c r="AD2678" s="29" t="str">
        <f t="shared" si="880"/>
        <v>NA</v>
      </c>
      <c r="AE2678" s="29" t="str">
        <f t="shared" si="881"/>
        <v>NA</v>
      </c>
      <c r="AF2678" s="29" t="str">
        <f t="shared" si="882"/>
        <v>NA</v>
      </c>
      <c r="AG2678" s="29" t="str">
        <f t="shared" si="883"/>
        <v>NA</v>
      </c>
      <c r="AH2678" s="29" t="str">
        <f t="shared" si="884"/>
        <v>NA</v>
      </c>
    </row>
    <row r="2679" customHeight="1" spans="1:34">
      <c r="A2679" s="12" t="s">
        <v>1043</v>
      </c>
      <c r="F2679" s="24">
        <f t="shared" si="866"/>
        <v>0</v>
      </c>
      <c r="G2679" s="24" t="e">
        <f t="shared" si="865"/>
        <v>#DIV/0!</v>
      </c>
      <c r="Q2679" s="29" t="str">
        <f t="shared" si="867"/>
        <v>NA</v>
      </c>
      <c r="R2679" s="29" t="str">
        <f t="shared" si="868"/>
        <v>NA</v>
      </c>
      <c r="S2679" s="29" t="str">
        <f t="shared" si="869"/>
        <v>NA</v>
      </c>
      <c r="T2679" s="29" t="str">
        <f t="shared" si="870"/>
        <v>NA</v>
      </c>
      <c r="U2679" s="29" t="str">
        <f t="shared" si="871"/>
        <v>NA</v>
      </c>
      <c r="V2679" s="29" t="str">
        <f t="shared" si="872"/>
        <v>NA</v>
      </c>
      <c r="W2679" s="29" t="str">
        <f t="shared" si="873"/>
        <v>NA</v>
      </c>
      <c r="X2679" s="29" t="str">
        <f t="shared" si="874"/>
        <v>NA</v>
      </c>
      <c r="Y2679" s="29" t="str">
        <f t="shared" si="875"/>
        <v>NA</v>
      </c>
      <c r="Z2679" s="29" t="str">
        <f t="shared" si="876"/>
        <v>NA</v>
      </c>
      <c r="AA2679" s="29" t="str">
        <f t="shared" si="877"/>
        <v>NA</v>
      </c>
      <c r="AB2679" s="29" t="str">
        <f t="shared" si="878"/>
        <v>NA</v>
      </c>
      <c r="AC2679" s="29" t="str">
        <f t="shared" si="879"/>
        <v>NA</v>
      </c>
      <c r="AD2679" s="29" t="str">
        <f t="shared" si="880"/>
        <v>NA</v>
      </c>
      <c r="AE2679" s="29" t="str">
        <f t="shared" si="881"/>
        <v>NA</v>
      </c>
      <c r="AF2679" s="29" t="str">
        <f t="shared" si="882"/>
        <v>NA</v>
      </c>
      <c r="AG2679" s="29" t="str">
        <f t="shared" si="883"/>
        <v>NA</v>
      </c>
      <c r="AH2679" s="29" t="str">
        <f t="shared" si="884"/>
        <v>NA</v>
      </c>
    </row>
    <row r="2680" customHeight="1" spans="1:34">
      <c r="A2680" s="12" t="s">
        <v>1043</v>
      </c>
      <c r="F2680" s="24">
        <f t="shared" si="866"/>
        <v>0</v>
      </c>
      <c r="G2680" s="24" t="e">
        <f t="shared" si="865"/>
        <v>#DIV/0!</v>
      </c>
      <c r="Q2680" s="29" t="str">
        <f t="shared" si="867"/>
        <v>NA</v>
      </c>
      <c r="R2680" s="29" t="str">
        <f t="shared" si="868"/>
        <v>NA</v>
      </c>
      <c r="S2680" s="29" t="str">
        <f t="shared" si="869"/>
        <v>NA</v>
      </c>
      <c r="T2680" s="29" t="str">
        <f t="shared" si="870"/>
        <v>NA</v>
      </c>
      <c r="U2680" s="29" t="str">
        <f t="shared" si="871"/>
        <v>NA</v>
      </c>
      <c r="V2680" s="29" t="str">
        <f t="shared" si="872"/>
        <v>NA</v>
      </c>
      <c r="W2680" s="29" t="str">
        <f t="shared" si="873"/>
        <v>NA</v>
      </c>
      <c r="X2680" s="29" t="str">
        <f t="shared" si="874"/>
        <v>NA</v>
      </c>
      <c r="Y2680" s="29" t="str">
        <f t="shared" si="875"/>
        <v>NA</v>
      </c>
      <c r="Z2680" s="29" t="str">
        <f t="shared" si="876"/>
        <v>NA</v>
      </c>
      <c r="AA2680" s="29" t="str">
        <f t="shared" si="877"/>
        <v>NA</v>
      </c>
      <c r="AB2680" s="29" t="str">
        <f t="shared" si="878"/>
        <v>NA</v>
      </c>
      <c r="AC2680" s="29" t="str">
        <f t="shared" si="879"/>
        <v>NA</v>
      </c>
      <c r="AD2680" s="29" t="str">
        <f t="shared" si="880"/>
        <v>NA</v>
      </c>
      <c r="AE2680" s="29" t="str">
        <f t="shared" si="881"/>
        <v>NA</v>
      </c>
      <c r="AF2680" s="29" t="str">
        <f t="shared" si="882"/>
        <v>NA</v>
      </c>
      <c r="AG2680" s="29" t="str">
        <f t="shared" si="883"/>
        <v>NA</v>
      </c>
      <c r="AH2680" s="29" t="str">
        <f t="shared" si="884"/>
        <v>NA</v>
      </c>
    </row>
    <row r="2681" customHeight="1" spans="1:34">
      <c r="A2681" s="12" t="s">
        <v>1043</v>
      </c>
      <c r="F2681" s="24">
        <f t="shared" si="866"/>
        <v>0</v>
      </c>
      <c r="G2681" s="24" t="e">
        <f t="shared" si="865"/>
        <v>#DIV/0!</v>
      </c>
      <c r="Q2681" s="29" t="str">
        <f t="shared" si="867"/>
        <v>NA</v>
      </c>
      <c r="R2681" s="29" t="str">
        <f t="shared" si="868"/>
        <v>NA</v>
      </c>
      <c r="S2681" s="29" t="str">
        <f t="shared" si="869"/>
        <v>NA</v>
      </c>
      <c r="T2681" s="29" t="str">
        <f t="shared" si="870"/>
        <v>NA</v>
      </c>
      <c r="U2681" s="29" t="str">
        <f t="shared" si="871"/>
        <v>NA</v>
      </c>
      <c r="V2681" s="29" t="str">
        <f t="shared" si="872"/>
        <v>NA</v>
      </c>
      <c r="W2681" s="29" t="str">
        <f t="shared" si="873"/>
        <v>NA</v>
      </c>
      <c r="X2681" s="29" t="str">
        <f t="shared" si="874"/>
        <v>NA</v>
      </c>
      <c r="Y2681" s="29" t="str">
        <f t="shared" si="875"/>
        <v>NA</v>
      </c>
      <c r="Z2681" s="29" t="str">
        <f t="shared" si="876"/>
        <v>NA</v>
      </c>
      <c r="AA2681" s="29" t="str">
        <f t="shared" si="877"/>
        <v>NA</v>
      </c>
      <c r="AB2681" s="29" t="str">
        <f t="shared" si="878"/>
        <v>NA</v>
      </c>
      <c r="AC2681" s="29" t="str">
        <f t="shared" si="879"/>
        <v>NA</v>
      </c>
      <c r="AD2681" s="29" t="str">
        <f t="shared" si="880"/>
        <v>NA</v>
      </c>
      <c r="AE2681" s="29" t="str">
        <f t="shared" si="881"/>
        <v>NA</v>
      </c>
      <c r="AF2681" s="29" t="str">
        <f t="shared" si="882"/>
        <v>NA</v>
      </c>
      <c r="AG2681" s="29" t="str">
        <f t="shared" si="883"/>
        <v>NA</v>
      </c>
      <c r="AH2681" s="29" t="str">
        <f t="shared" si="884"/>
        <v>NA</v>
      </c>
    </row>
    <row r="2682" customHeight="1" spans="1:34">
      <c r="A2682" s="12" t="s">
        <v>1043</v>
      </c>
      <c r="F2682" s="24">
        <f t="shared" si="866"/>
        <v>0</v>
      </c>
      <c r="G2682" s="24" t="e">
        <f t="shared" si="865"/>
        <v>#DIV/0!</v>
      </c>
      <c r="Q2682" s="29" t="str">
        <f t="shared" si="867"/>
        <v>NA</v>
      </c>
      <c r="R2682" s="29" t="str">
        <f t="shared" si="868"/>
        <v>NA</v>
      </c>
      <c r="S2682" s="29" t="str">
        <f t="shared" si="869"/>
        <v>NA</v>
      </c>
      <c r="T2682" s="29" t="str">
        <f t="shared" si="870"/>
        <v>NA</v>
      </c>
      <c r="U2682" s="29" t="str">
        <f t="shared" si="871"/>
        <v>NA</v>
      </c>
      <c r="V2682" s="29" t="str">
        <f t="shared" si="872"/>
        <v>NA</v>
      </c>
      <c r="W2682" s="29" t="str">
        <f t="shared" si="873"/>
        <v>NA</v>
      </c>
      <c r="X2682" s="29" t="str">
        <f t="shared" si="874"/>
        <v>NA</v>
      </c>
      <c r="Y2682" s="29" t="str">
        <f t="shared" si="875"/>
        <v>NA</v>
      </c>
      <c r="Z2682" s="29" t="str">
        <f t="shared" si="876"/>
        <v>NA</v>
      </c>
      <c r="AA2682" s="29" t="str">
        <f t="shared" si="877"/>
        <v>NA</v>
      </c>
      <c r="AB2682" s="29" t="str">
        <f t="shared" si="878"/>
        <v>NA</v>
      </c>
      <c r="AC2682" s="29" t="str">
        <f t="shared" si="879"/>
        <v>NA</v>
      </c>
      <c r="AD2682" s="29" t="str">
        <f t="shared" si="880"/>
        <v>NA</v>
      </c>
      <c r="AE2682" s="29" t="str">
        <f t="shared" si="881"/>
        <v>NA</v>
      </c>
      <c r="AF2682" s="29" t="str">
        <f t="shared" si="882"/>
        <v>NA</v>
      </c>
      <c r="AG2682" s="29" t="str">
        <f t="shared" si="883"/>
        <v>NA</v>
      </c>
      <c r="AH2682" s="29" t="str">
        <f t="shared" si="884"/>
        <v>NA</v>
      </c>
    </row>
    <row r="2683" customHeight="1" spans="1:34">
      <c r="A2683" s="12" t="s">
        <v>1043</v>
      </c>
      <c r="F2683" s="24">
        <f t="shared" si="866"/>
        <v>0</v>
      </c>
      <c r="G2683" s="24" t="e">
        <f t="shared" si="865"/>
        <v>#DIV/0!</v>
      </c>
      <c r="Q2683" s="29" t="str">
        <f t="shared" si="867"/>
        <v>NA</v>
      </c>
      <c r="R2683" s="29" t="str">
        <f t="shared" si="868"/>
        <v>NA</v>
      </c>
      <c r="S2683" s="29" t="str">
        <f t="shared" si="869"/>
        <v>NA</v>
      </c>
      <c r="T2683" s="29" t="str">
        <f t="shared" si="870"/>
        <v>NA</v>
      </c>
      <c r="U2683" s="29" t="str">
        <f t="shared" si="871"/>
        <v>NA</v>
      </c>
      <c r="V2683" s="29" t="str">
        <f t="shared" si="872"/>
        <v>NA</v>
      </c>
      <c r="W2683" s="29" t="str">
        <f t="shared" si="873"/>
        <v>NA</v>
      </c>
      <c r="X2683" s="29" t="str">
        <f t="shared" si="874"/>
        <v>NA</v>
      </c>
      <c r="Y2683" s="29" t="str">
        <f t="shared" si="875"/>
        <v>NA</v>
      </c>
      <c r="Z2683" s="29" t="str">
        <f t="shared" si="876"/>
        <v>NA</v>
      </c>
      <c r="AA2683" s="29" t="str">
        <f t="shared" si="877"/>
        <v>NA</v>
      </c>
      <c r="AB2683" s="29" t="str">
        <f t="shared" si="878"/>
        <v>NA</v>
      </c>
      <c r="AC2683" s="29" t="str">
        <f t="shared" si="879"/>
        <v>NA</v>
      </c>
      <c r="AD2683" s="29" t="str">
        <f t="shared" si="880"/>
        <v>NA</v>
      </c>
      <c r="AE2683" s="29" t="str">
        <f t="shared" si="881"/>
        <v>NA</v>
      </c>
      <c r="AF2683" s="29" t="str">
        <f t="shared" si="882"/>
        <v>NA</v>
      </c>
      <c r="AG2683" s="29" t="str">
        <f t="shared" si="883"/>
        <v>NA</v>
      </c>
      <c r="AH2683" s="29" t="str">
        <f t="shared" si="884"/>
        <v>NA</v>
      </c>
    </row>
    <row r="2684" customHeight="1" spans="1:34">
      <c r="A2684" s="12" t="s">
        <v>1043</v>
      </c>
      <c r="F2684" s="24">
        <f t="shared" si="866"/>
        <v>0</v>
      </c>
      <c r="G2684" s="24" t="e">
        <f t="shared" si="865"/>
        <v>#DIV/0!</v>
      </c>
      <c r="Q2684" s="29" t="str">
        <f t="shared" si="867"/>
        <v>NA</v>
      </c>
      <c r="R2684" s="29" t="str">
        <f t="shared" si="868"/>
        <v>NA</v>
      </c>
      <c r="S2684" s="29" t="str">
        <f t="shared" si="869"/>
        <v>NA</v>
      </c>
      <c r="T2684" s="29" t="str">
        <f t="shared" si="870"/>
        <v>NA</v>
      </c>
      <c r="U2684" s="29" t="str">
        <f t="shared" si="871"/>
        <v>NA</v>
      </c>
      <c r="V2684" s="29" t="str">
        <f t="shared" si="872"/>
        <v>NA</v>
      </c>
      <c r="W2684" s="29" t="str">
        <f t="shared" si="873"/>
        <v>NA</v>
      </c>
      <c r="X2684" s="29" t="str">
        <f t="shared" si="874"/>
        <v>NA</v>
      </c>
      <c r="Y2684" s="29" t="str">
        <f t="shared" si="875"/>
        <v>NA</v>
      </c>
      <c r="Z2684" s="29" t="str">
        <f t="shared" si="876"/>
        <v>NA</v>
      </c>
      <c r="AA2684" s="29" t="str">
        <f t="shared" si="877"/>
        <v>NA</v>
      </c>
      <c r="AB2684" s="29" t="str">
        <f t="shared" si="878"/>
        <v>NA</v>
      </c>
      <c r="AC2684" s="29" t="str">
        <f t="shared" si="879"/>
        <v>NA</v>
      </c>
      <c r="AD2684" s="29" t="str">
        <f t="shared" si="880"/>
        <v>NA</v>
      </c>
      <c r="AE2684" s="29" t="str">
        <f t="shared" si="881"/>
        <v>NA</v>
      </c>
      <c r="AF2684" s="29" t="str">
        <f t="shared" si="882"/>
        <v>NA</v>
      </c>
      <c r="AG2684" s="29" t="str">
        <f t="shared" si="883"/>
        <v>NA</v>
      </c>
      <c r="AH2684" s="29" t="str">
        <f t="shared" si="884"/>
        <v>NA</v>
      </c>
    </row>
    <row r="2685" customHeight="1" spans="1:34">
      <c r="A2685" s="12" t="s">
        <v>1043</v>
      </c>
      <c r="F2685" s="24">
        <f t="shared" si="866"/>
        <v>0</v>
      </c>
      <c r="G2685" s="24" t="e">
        <f t="shared" si="865"/>
        <v>#DIV/0!</v>
      </c>
      <c r="Q2685" s="29" t="str">
        <f t="shared" si="867"/>
        <v>NA</v>
      </c>
      <c r="R2685" s="29" t="str">
        <f t="shared" si="868"/>
        <v>NA</v>
      </c>
      <c r="S2685" s="29" t="str">
        <f t="shared" si="869"/>
        <v>NA</v>
      </c>
      <c r="T2685" s="29" t="str">
        <f t="shared" si="870"/>
        <v>NA</v>
      </c>
      <c r="U2685" s="29" t="str">
        <f t="shared" si="871"/>
        <v>NA</v>
      </c>
      <c r="V2685" s="29" t="str">
        <f t="shared" si="872"/>
        <v>NA</v>
      </c>
      <c r="W2685" s="29" t="str">
        <f t="shared" si="873"/>
        <v>NA</v>
      </c>
      <c r="X2685" s="29" t="str">
        <f t="shared" si="874"/>
        <v>NA</v>
      </c>
      <c r="Y2685" s="29" t="str">
        <f t="shared" si="875"/>
        <v>NA</v>
      </c>
      <c r="Z2685" s="29" t="str">
        <f t="shared" si="876"/>
        <v>NA</v>
      </c>
      <c r="AA2685" s="29" t="str">
        <f t="shared" si="877"/>
        <v>NA</v>
      </c>
      <c r="AB2685" s="29" t="str">
        <f t="shared" si="878"/>
        <v>NA</v>
      </c>
      <c r="AC2685" s="29" t="str">
        <f t="shared" si="879"/>
        <v>NA</v>
      </c>
      <c r="AD2685" s="29" t="str">
        <f t="shared" si="880"/>
        <v>NA</v>
      </c>
      <c r="AE2685" s="29" t="str">
        <f t="shared" si="881"/>
        <v>NA</v>
      </c>
      <c r="AF2685" s="29" t="str">
        <f t="shared" si="882"/>
        <v>NA</v>
      </c>
      <c r="AG2685" s="29" t="str">
        <f t="shared" si="883"/>
        <v>NA</v>
      </c>
      <c r="AH2685" s="29" t="str">
        <f t="shared" si="884"/>
        <v>NA</v>
      </c>
    </row>
    <row r="2686" customHeight="1" spans="1:34">
      <c r="A2686" s="12" t="s">
        <v>1043</v>
      </c>
      <c r="F2686" s="24">
        <f t="shared" si="866"/>
        <v>0</v>
      </c>
      <c r="G2686" s="24" t="e">
        <f t="shared" si="865"/>
        <v>#DIV/0!</v>
      </c>
      <c r="Q2686" s="29" t="str">
        <f t="shared" si="867"/>
        <v>NA</v>
      </c>
      <c r="R2686" s="29" t="str">
        <f t="shared" si="868"/>
        <v>NA</v>
      </c>
      <c r="S2686" s="29" t="str">
        <f t="shared" si="869"/>
        <v>NA</v>
      </c>
      <c r="T2686" s="29" t="str">
        <f t="shared" si="870"/>
        <v>NA</v>
      </c>
      <c r="U2686" s="29" t="str">
        <f t="shared" si="871"/>
        <v>NA</v>
      </c>
      <c r="V2686" s="29" t="str">
        <f t="shared" si="872"/>
        <v>NA</v>
      </c>
      <c r="W2686" s="29" t="str">
        <f t="shared" si="873"/>
        <v>NA</v>
      </c>
      <c r="X2686" s="29" t="str">
        <f t="shared" si="874"/>
        <v>NA</v>
      </c>
      <c r="Y2686" s="29" t="str">
        <f t="shared" si="875"/>
        <v>NA</v>
      </c>
      <c r="Z2686" s="29" t="str">
        <f t="shared" si="876"/>
        <v>NA</v>
      </c>
      <c r="AA2686" s="29" t="str">
        <f t="shared" si="877"/>
        <v>NA</v>
      </c>
      <c r="AB2686" s="29" t="str">
        <f t="shared" si="878"/>
        <v>NA</v>
      </c>
      <c r="AC2686" s="29" t="str">
        <f t="shared" si="879"/>
        <v>NA</v>
      </c>
      <c r="AD2686" s="29" t="str">
        <f t="shared" si="880"/>
        <v>NA</v>
      </c>
      <c r="AE2686" s="29" t="str">
        <f t="shared" si="881"/>
        <v>NA</v>
      </c>
      <c r="AF2686" s="29" t="str">
        <f t="shared" si="882"/>
        <v>NA</v>
      </c>
      <c r="AG2686" s="29" t="str">
        <f t="shared" si="883"/>
        <v>NA</v>
      </c>
      <c r="AH2686" s="29" t="str">
        <f t="shared" si="884"/>
        <v>NA</v>
      </c>
    </row>
    <row r="2687" customHeight="1" spans="1:34">
      <c r="A2687" s="12" t="s">
        <v>1043</v>
      </c>
      <c r="F2687" s="24">
        <f t="shared" si="866"/>
        <v>0</v>
      </c>
      <c r="G2687" s="24" t="e">
        <f t="shared" si="865"/>
        <v>#DIV/0!</v>
      </c>
      <c r="Q2687" s="29" t="str">
        <f t="shared" si="867"/>
        <v>NA</v>
      </c>
      <c r="R2687" s="29" t="str">
        <f t="shared" si="868"/>
        <v>NA</v>
      </c>
      <c r="S2687" s="29" t="str">
        <f t="shared" si="869"/>
        <v>NA</v>
      </c>
      <c r="T2687" s="29" t="str">
        <f t="shared" si="870"/>
        <v>NA</v>
      </c>
      <c r="U2687" s="29" t="str">
        <f t="shared" si="871"/>
        <v>NA</v>
      </c>
      <c r="V2687" s="29" t="str">
        <f t="shared" si="872"/>
        <v>NA</v>
      </c>
      <c r="W2687" s="29" t="str">
        <f t="shared" si="873"/>
        <v>NA</v>
      </c>
      <c r="X2687" s="29" t="str">
        <f t="shared" si="874"/>
        <v>NA</v>
      </c>
      <c r="Y2687" s="29" t="str">
        <f t="shared" si="875"/>
        <v>NA</v>
      </c>
      <c r="Z2687" s="29" t="str">
        <f t="shared" si="876"/>
        <v>NA</v>
      </c>
      <c r="AA2687" s="29" t="str">
        <f t="shared" si="877"/>
        <v>NA</v>
      </c>
      <c r="AB2687" s="29" t="str">
        <f t="shared" si="878"/>
        <v>NA</v>
      </c>
      <c r="AC2687" s="29" t="str">
        <f t="shared" si="879"/>
        <v>NA</v>
      </c>
      <c r="AD2687" s="29" t="str">
        <f t="shared" si="880"/>
        <v>NA</v>
      </c>
      <c r="AE2687" s="29" t="str">
        <f t="shared" si="881"/>
        <v>NA</v>
      </c>
      <c r="AF2687" s="29" t="str">
        <f t="shared" si="882"/>
        <v>NA</v>
      </c>
      <c r="AG2687" s="29" t="str">
        <f t="shared" si="883"/>
        <v>NA</v>
      </c>
      <c r="AH2687" s="29" t="str">
        <f t="shared" si="884"/>
        <v>NA</v>
      </c>
    </row>
    <row r="2688" customHeight="1" spans="1:34">
      <c r="A2688" s="12" t="s">
        <v>1043</v>
      </c>
      <c r="F2688" s="24">
        <f t="shared" si="866"/>
        <v>0</v>
      </c>
      <c r="G2688" s="24" t="e">
        <f t="shared" si="865"/>
        <v>#DIV/0!</v>
      </c>
      <c r="Q2688" s="29" t="str">
        <f t="shared" si="867"/>
        <v>NA</v>
      </c>
      <c r="R2688" s="29" t="str">
        <f t="shared" si="868"/>
        <v>NA</v>
      </c>
      <c r="S2688" s="29" t="str">
        <f t="shared" si="869"/>
        <v>NA</v>
      </c>
      <c r="T2688" s="29" t="str">
        <f t="shared" si="870"/>
        <v>NA</v>
      </c>
      <c r="U2688" s="29" t="str">
        <f t="shared" si="871"/>
        <v>NA</v>
      </c>
      <c r="V2688" s="29" t="str">
        <f t="shared" si="872"/>
        <v>NA</v>
      </c>
      <c r="W2688" s="29" t="str">
        <f t="shared" si="873"/>
        <v>NA</v>
      </c>
      <c r="X2688" s="29" t="str">
        <f t="shared" si="874"/>
        <v>NA</v>
      </c>
      <c r="Y2688" s="29" t="str">
        <f t="shared" si="875"/>
        <v>NA</v>
      </c>
      <c r="Z2688" s="29" t="str">
        <f t="shared" si="876"/>
        <v>NA</v>
      </c>
      <c r="AA2688" s="29" t="str">
        <f t="shared" si="877"/>
        <v>NA</v>
      </c>
      <c r="AB2688" s="29" t="str">
        <f t="shared" si="878"/>
        <v>NA</v>
      </c>
      <c r="AC2688" s="29" t="str">
        <f t="shared" si="879"/>
        <v>NA</v>
      </c>
      <c r="AD2688" s="29" t="str">
        <f t="shared" si="880"/>
        <v>NA</v>
      </c>
      <c r="AE2688" s="29" t="str">
        <f t="shared" si="881"/>
        <v>NA</v>
      </c>
      <c r="AF2688" s="29" t="str">
        <f t="shared" si="882"/>
        <v>NA</v>
      </c>
      <c r="AG2688" s="29" t="str">
        <f t="shared" si="883"/>
        <v>NA</v>
      </c>
      <c r="AH2688" s="29" t="str">
        <f t="shared" si="884"/>
        <v>NA</v>
      </c>
    </row>
    <row r="2689" customHeight="1" spans="1:34">
      <c r="A2689" s="12" t="s">
        <v>1043</v>
      </c>
      <c r="F2689" s="24">
        <f t="shared" si="866"/>
        <v>0</v>
      </c>
      <c r="G2689" s="24" t="e">
        <f t="shared" si="865"/>
        <v>#DIV/0!</v>
      </c>
      <c r="Q2689" s="29" t="str">
        <f t="shared" si="867"/>
        <v>NA</v>
      </c>
      <c r="R2689" s="29" t="str">
        <f t="shared" si="868"/>
        <v>NA</v>
      </c>
      <c r="S2689" s="29" t="str">
        <f t="shared" si="869"/>
        <v>NA</v>
      </c>
      <c r="T2689" s="29" t="str">
        <f t="shared" si="870"/>
        <v>NA</v>
      </c>
      <c r="U2689" s="29" t="str">
        <f t="shared" si="871"/>
        <v>NA</v>
      </c>
      <c r="V2689" s="29" t="str">
        <f t="shared" si="872"/>
        <v>NA</v>
      </c>
      <c r="W2689" s="29" t="str">
        <f t="shared" si="873"/>
        <v>NA</v>
      </c>
      <c r="X2689" s="29" t="str">
        <f t="shared" si="874"/>
        <v>NA</v>
      </c>
      <c r="Y2689" s="29" t="str">
        <f t="shared" si="875"/>
        <v>NA</v>
      </c>
      <c r="Z2689" s="29" t="str">
        <f t="shared" si="876"/>
        <v>NA</v>
      </c>
      <c r="AA2689" s="29" t="str">
        <f t="shared" si="877"/>
        <v>NA</v>
      </c>
      <c r="AB2689" s="29" t="str">
        <f t="shared" si="878"/>
        <v>NA</v>
      </c>
      <c r="AC2689" s="29" t="str">
        <f t="shared" si="879"/>
        <v>NA</v>
      </c>
      <c r="AD2689" s="29" t="str">
        <f t="shared" si="880"/>
        <v>NA</v>
      </c>
      <c r="AE2689" s="29" t="str">
        <f t="shared" si="881"/>
        <v>NA</v>
      </c>
      <c r="AF2689" s="29" t="str">
        <f t="shared" si="882"/>
        <v>NA</v>
      </c>
      <c r="AG2689" s="29" t="str">
        <f t="shared" si="883"/>
        <v>NA</v>
      </c>
      <c r="AH2689" s="29" t="str">
        <f t="shared" si="884"/>
        <v>NA</v>
      </c>
    </row>
    <row r="2690" customHeight="1" spans="1:34">
      <c r="A2690" s="12" t="s">
        <v>1043</v>
      </c>
      <c r="F2690" s="24">
        <f t="shared" si="866"/>
        <v>0</v>
      </c>
      <c r="G2690" s="24" t="e">
        <f t="shared" si="865"/>
        <v>#DIV/0!</v>
      </c>
      <c r="Q2690" s="29" t="str">
        <f t="shared" si="867"/>
        <v>NA</v>
      </c>
      <c r="R2690" s="29" t="str">
        <f t="shared" si="868"/>
        <v>NA</v>
      </c>
      <c r="S2690" s="29" t="str">
        <f t="shared" si="869"/>
        <v>NA</v>
      </c>
      <c r="T2690" s="29" t="str">
        <f t="shared" si="870"/>
        <v>NA</v>
      </c>
      <c r="U2690" s="29" t="str">
        <f t="shared" si="871"/>
        <v>NA</v>
      </c>
      <c r="V2690" s="29" t="str">
        <f t="shared" si="872"/>
        <v>NA</v>
      </c>
      <c r="W2690" s="29" t="str">
        <f t="shared" si="873"/>
        <v>NA</v>
      </c>
      <c r="X2690" s="29" t="str">
        <f t="shared" si="874"/>
        <v>NA</v>
      </c>
      <c r="Y2690" s="29" t="str">
        <f t="shared" si="875"/>
        <v>NA</v>
      </c>
      <c r="Z2690" s="29" t="str">
        <f t="shared" si="876"/>
        <v>NA</v>
      </c>
      <c r="AA2690" s="29" t="str">
        <f t="shared" si="877"/>
        <v>NA</v>
      </c>
      <c r="AB2690" s="29" t="str">
        <f t="shared" si="878"/>
        <v>NA</v>
      </c>
      <c r="AC2690" s="29" t="str">
        <f t="shared" si="879"/>
        <v>NA</v>
      </c>
      <c r="AD2690" s="29" t="str">
        <f t="shared" si="880"/>
        <v>NA</v>
      </c>
      <c r="AE2690" s="29" t="str">
        <f t="shared" si="881"/>
        <v>NA</v>
      </c>
      <c r="AF2690" s="29" t="str">
        <f t="shared" si="882"/>
        <v>NA</v>
      </c>
      <c r="AG2690" s="29" t="str">
        <f t="shared" si="883"/>
        <v>NA</v>
      </c>
      <c r="AH2690" s="29" t="str">
        <f t="shared" si="884"/>
        <v>NA</v>
      </c>
    </row>
    <row r="2691" customHeight="1" spans="1:34">
      <c r="A2691" s="12" t="s">
        <v>1043</v>
      </c>
      <c r="F2691" s="24">
        <f t="shared" si="866"/>
        <v>0</v>
      </c>
      <c r="G2691" s="24" t="e">
        <f t="shared" si="865"/>
        <v>#DIV/0!</v>
      </c>
      <c r="Q2691" s="29" t="str">
        <f t="shared" si="867"/>
        <v>NA</v>
      </c>
      <c r="R2691" s="29" t="str">
        <f t="shared" si="868"/>
        <v>NA</v>
      </c>
      <c r="S2691" s="29" t="str">
        <f t="shared" si="869"/>
        <v>NA</v>
      </c>
      <c r="T2691" s="29" t="str">
        <f t="shared" si="870"/>
        <v>NA</v>
      </c>
      <c r="U2691" s="29" t="str">
        <f t="shared" si="871"/>
        <v>NA</v>
      </c>
      <c r="V2691" s="29" t="str">
        <f t="shared" si="872"/>
        <v>NA</v>
      </c>
      <c r="W2691" s="29" t="str">
        <f t="shared" si="873"/>
        <v>NA</v>
      </c>
      <c r="X2691" s="29" t="str">
        <f t="shared" si="874"/>
        <v>NA</v>
      </c>
      <c r="Y2691" s="29" t="str">
        <f t="shared" si="875"/>
        <v>NA</v>
      </c>
      <c r="Z2691" s="29" t="str">
        <f t="shared" si="876"/>
        <v>NA</v>
      </c>
      <c r="AA2691" s="29" t="str">
        <f t="shared" si="877"/>
        <v>NA</v>
      </c>
      <c r="AB2691" s="29" t="str">
        <f t="shared" si="878"/>
        <v>NA</v>
      </c>
      <c r="AC2691" s="29" t="str">
        <f t="shared" si="879"/>
        <v>NA</v>
      </c>
      <c r="AD2691" s="29" t="str">
        <f t="shared" si="880"/>
        <v>NA</v>
      </c>
      <c r="AE2691" s="29" t="str">
        <f t="shared" si="881"/>
        <v>NA</v>
      </c>
      <c r="AF2691" s="29" t="str">
        <f t="shared" si="882"/>
        <v>NA</v>
      </c>
      <c r="AG2691" s="29" t="str">
        <f t="shared" si="883"/>
        <v>NA</v>
      </c>
      <c r="AH2691" s="29" t="str">
        <f t="shared" si="884"/>
        <v>NA</v>
      </c>
    </row>
    <row r="2692" customHeight="1" spans="1:34">
      <c r="A2692" s="12" t="s">
        <v>1043</v>
      </c>
      <c r="F2692" s="24">
        <f t="shared" si="866"/>
        <v>0</v>
      </c>
      <c r="G2692" s="24" t="e">
        <f t="shared" si="865"/>
        <v>#DIV/0!</v>
      </c>
      <c r="Q2692" s="29" t="str">
        <f t="shared" si="867"/>
        <v>NA</v>
      </c>
      <c r="R2692" s="29" t="str">
        <f t="shared" si="868"/>
        <v>NA</v>
      </c>
      <c r="S2692" s="29" t="str">
        <f t="shared" si="869"/>
        <v>NA</v>
      </c>
      <c r="T2692" s="29" t="str">
        <f t="shared" si="870"/>
        <v>NA</v>
      </c>
      <c r="U2692" s="29" t="str">
        <f t="shared" si="871"/>
        <v>NA</v>
      </c>
      <c r="V2692" s="29" t="str">
        <f t="shared" si="872"/>
        <v>NA</v>
      </c>
      <c r="W2692" s="29" t="str">
        <f t="shared" si="873"/>
        <v>NA</v>
      </c>
      <c r="X2692" s="29" t="str">
        <f t="shared" si="874"/>
        <v>NA</v>
      </c>
      <c r="Y2692" s="29" t="str">
        <f t="shared" si="875"/>
        <v>NA</v>
      </c>
      <c r="Z2692" s="29" t="str">
        <f t="shared" si="876"/>
        <v>NA</v>
      </c>
      <c r="AA2692" s="29" t="str">
        <f t="shared" si="877"/>
        <v>NA</v>
      </c>
      <c r="AB2692" s="29" t="str">
        <f t="shared" si="878"/>
        <v>NA</v>
      </c>
      <c r="AC2692" s="29" t="str">
        <f t="shared" si="879"/>
        <v>NA</v>
      </c>
      <c r="AD2692" s="29" t="str">
        <f t="shared" si="880"/>
        <v>NA</v>
      </c>
      <c r="AE2692" s="29" t="str">
        <f t="shared" si="881"/>
        <v>NA</v>
      </c>
      <c r="AF2692" s="29" t="str">
        <f t="shared" si="882"/>
        <v>NA</v>
      </c>
      <c r="AG2692" s="29" t="str">
        <f t="shared" si="883"/>
        <v>NA</v>
      </c>
      <c r="AH2692" s="29" t="str">
        <f t="shared" si="884"/>
        <v>NA</v>
      </c>
    </row>
    <row r="2693" customHeight="1" spans="1:34">
      <c r="A2693" s="12" t="s">
        <v>1043</v>
      </c>
      <c r="F2693" s="24">
        <f t="shared" si="866"/>
        <v>0</v>
      </c>
      <c r="G2693" s="24" t="e">
        <f t="shared" ref="G2693:G2756" si="885">B2693*D2693/C2693</f>
        <v>#DIV/0!</v>
      </c>
      <c r="Q2693" s="29" t="str">
        <f t="shared" si="867"/>
        <v>NA</v>
      </c>
      <c r="R2693" s="29" t="str">
        <f t="shared" si="868"/>
        <v>NA</v>
      </c>
      <c r="S2693" s="29" t="str">
        <f t="shared" si="869"/>
        <v>NA</v>
      </c>
      <c r="T2693" s="29" t="str">
        <f t="shared" si="870"/>
        <v>NA</v>
      </c>
      <c r="U2693" s="29" t="str">
        <f t="shared" si="871"/>
        <v>NA</v>
      </c>
      <c r="V2693" s="29" t="str">
        <f t="shared" si="872"/>
        <v>NA</v>
      </c>
      <c r="W2693" s="29" t="str">
        <f t="shared" si="873"/>
        <v>NA</v>
      </c>
      <c r="X2693" s="29" t="str">
        <f t="shared" si="874"/>
        <v>NA</v>
      </c>
      <c r="Y2693" s="29" t="str">
        <f t="shared" si="875"/>
        <v>NA</v>
      </c>
      <c r="Z2693" s="29" t="str">
        <f t="shared" si="876"/>
        <v>NA</v>
      </c>
      <c r="AA2693" s="29" t="str">
        <f t="shared" si="877"/>
        <v>NA</v>
      </c>
      <c r="AB2693" s="29" t="str">
        <f t="shared" si="878"/>
        <v>NA</v>
      </c>
      <c r="AC2693" s="29" t="str">
        <f t="shared" si="879"/>
        <v>NA</v>
      </c>
      <c r="AD2693" s="29" t="str">
        <f t="shared" si="880"/>
        <v>NA</v>
      </c>
      <c r="AE2693" s="29" t="str">
        <f t="shared" si="881"/>
        <v>NA</v>
      </c>
      <c r="AF2693" s="29" t="str">
        <f t="shared" si="882"/>
        <v>NA</v>
      </c>
      <c r="AG2693" s="29" t="str">
        <f t="shared" si="883"/>
        <v>NA</v>
      </c>
      <c r="AH2693" s="29" t="str">
        <f t="shared" si="884"/>
        <v>NA</v>
      </c>
    </row>
    <row r="2694" customHeight="1" spans="1:34">
      <c r="A2694" s="12" t="s">
        <v>1043</v>
      </c>
      <c r="F2694" s="24">
        <f t="shared" ref="F2694:F2757" si="886">+D2694+E2694</f>
        <v>0</v>
      </c>
      <c r="G2694" s="24" t="e">
        <f t="shared" si="885"/>
        <v>#DIV/0!</v>
      </c>
      <c r="Q2694" s="29" t="str">
        <f t="shared" si="867"/>
        <v>NA</v>
      </c>
      <c r="R2694" s="29" t="str">
        <f t="shared" si="868"/>
        <v>NA</v>
      </c>
      <c r="S2694" s="29" t="str">
        <f t="shared" si="869"/>
        <v>NA</v>
      </c>
      <c r="T2694" s="29" t="str">
        <f t="shared" si="870"/>
        <v>NA</v>
      </c>
      <c r="U2694" s="29" t="str">
        <f t="shared" si="871"/>
        <v>NA</v>
      </c>
      <c r="V2694" s="29" t="str">
        <f t="shared" si="872"/>
        <v>NA</v>
      </c>
      <c r="W2694" s="29" t="str">
        <f t="shared" si="873"/>
        <v>NA</v>
      </c>
      <c r="X2694" s="29" t="str">
        <f t="shared" si="874"/>
        <v>NA</v>
      </c>
      <c r="Y2694" s="29" t="str">
        <f t="shared" si="875"/>
        <v>NA</v>
      </c>
      <c r="Z2694" s="29" t="str">
        <f t="shared" si="876"/>
        <v>NA</v>
      </c>
      <c r="AA2694" s="29" t="str">
        <f t="shared" si="877"/>
        <v>NA</v>
      </c>
      <c r="AB2694" s="29" t="str">
        <f t="shared" si="878"/>
        <v>NA</v>
      </c>
      <c r="AC2694" s="29" t="str">
        <f t="shared" si="879"/>
        <v>NA</v>
      </c>
      <c r="AD2694" s="29" t="str">
        <f t="shared" si="880"/>
        <v>NA</v>
      </c>
      <c r="AE2694" s="29" t="str">
        <f t="shared" si="881"/>
        <v>NA</v>
      </c>
      <c r="AF2694" s="29" t="str">
        <f t="shared" si="882"/>
        <v>NA</v>
      </c>
      <c r="AG2694" s="29" t="str">
        <f t="shared" si="883"/>
        <v>NA</v>
      </c>
      <c r="AH2694" s="29" t="str">
        <f t="shared" si="884"/>
        <v>NA</v>
      </c>
    </row>
    <row r="2695" customHeight="1" spans="1:34">
      <c r="A2695" s="12" t="s">
        <v>1043</v>
      </c>
      <c r="F2695" s="24">
        <f t="shared" si="886"/>
        <v>0</v>
      </c>
      <c r="G2695" s="24" t="e">
        <f t="shared" si="885"/>
        <v>#DIV/0!</v>
      </c>
      <c r="Q2695" s="29" t="str">
        <f t="shared" si="867"/>
        <v>NA</v>
      </c>
      <c r="R2695" s="29" t="str">
        <f t="shared" si="868"/>
        <v>NA</v>
      </c>
      <c r="S2695" s="29" t="str">
        <f t="shared" si="869"/>
        <v>NA</v>
      </c>
      <c r="T2695" s="29" t="str">
        <f t="shared" si="870"/>
        <v>NA</v>
      </c>
      <c r="U2695" s="29" t="str">
        <f t="shared" si="871"/>
        <v>NA</v>
      </c>
      <c r="V2695" s="29" t="str">
        <f t="shared" si="872"/>
        <v>NA</v>
      </c>
      <c r="W2695" s="29" t="str">
        <f t="shared" si="873"/>
        <v>NA</v>
      </c>
      <c r="X2695" s="29" t="str">
        <f t="shared" si="874"/>
        <v>NA</v>
      </c>
      <c r="Y2695" s="29" t="str">
        <f t="shared" si="875"/>
        <v>NA</v>
      </c>
      <c r="Z2695" s="29" t="str">
        <f t="shared" si="876"/>
        <v>NA</v>
      </c>
      <c r="AA2695" s="29" t="str">
        <f t="shared" si="877"/>
        <v>NA</v>
      </c>
      <c r="AB2695" s="29" t="str">
        <f t="shared" si="878"/>
        <v>NA</v>
      </c>
      <c r="AC2695" s="29" t="str">
        <f t="shared" si="879"/>
        <v>NA</v>
      </c>
      <c r="AD2695" s="29" t="str">
        <f t="shared" si="880"/>
        <v>NA</v>
      </c>
      <c r="AE2695" s="29" t="str">
        <f t="shared" si="881"/>
        <v>NA</v>
      </c>
      <c r="AF2695" s="29" t="str">
        <f t="shared" si="882"/>
        <v>NA</v>
      </c>
      <c r="AG2695" s="29" t="str">
        <f t="shared" si="883"/>
        <v>NA</v>
      </c>
      <c r="AH2695" s="29" t="str">
        <f t="shared" si="884"/>
        <v>NA</v>
      </c>
    </row>
    <row r="2696" customHeight="1" spans="1:34">
      <c r="A2696" s="12" t="s">
        <v>1043</v>
      </c>
      <c r="F2696" s="24">
        <f t="shared" si="886"/>
        <v>0</v>
      </c>
      <c r="G2696" s="24" t="e">
        <f t="shared" si="885"/>
        <v>#DIV/0!</v>
      </c>
      <c r="Q2696" s="29" t="str">
        <f t="shared" si="867"/>
        <v>NA</v>
      </c>
      <c r="R2696" s="29" t="str">
        <f t="shared" si="868"/>
        <v>NA</v>
      </c>
      <c r="S2696" s="29" t="str">
        <f t="shared" si="869"/>
        <v>NA</v>
      </c>
      <c r="T2696" s="29" t="str">
        <f t="shared" si="870"/>
        <v>NA</v>
      </c>
      <c r="U2696" s="29" t="str">
        <f t="shared" si="871"/>
        <v>NA</v>
      </c>
      <c r="V2696" s="29" t="str">
        <f t="shared" si="872"/>
        <v>NA</v>
      </c>
      <c r="W2696" s="29" t="str">
        <f t="shared" si="873"/>
        <v>NA</v>
      </c>
      <c r="X2696" s="29" t="str">
        <f t="shared" si="874"/>
        <v>NA</v>
      </c>
      <c r="Y2696" s="29" t="str">
        <f t="shared" si="875"/>
        <v>NA</v>
      </c>
      <c r="Z2696" s="29" t="str">
        <f t="shared" si="876"/>
        <v>NA</v>
      </c>
      <c r="AA2696" s="29" t="str">
        <f t="shared" si="877"/>
        <v>NA</v>
      </c>
      <c r="AB2696" s="29" t="str">
        <f t="shared" si="878"/>
        <v>NA</v>
      </c>
      <c r="AC2696" s="29" t="str">
        <f t="shared" si="879"/>
        <v>NA</v>
      </c>
      <c r="AD2696" s="29" t="str">
        <f t="shared" si="880"/>
        <v>NA</v>
      </c>
      <c r="AE2696" s="29" t="str">
        <f t="shared" si="881"/>
        <v>NA</v>
      </c>
      <c r="AF2696" s="29" t="str">
        <f t="shared" si="882"/>
        <v>NA</v>
      </c>
      <c r="AG2696" s="29" t="str">
        <f t="shared" si="883"/>
        <v>NA</v>
      </c>
      <c r="AH2696" s="29" t="str">
        <f t="shared" si="884"/>
        <v>NA</v>
      </c>
    </row>
    <row r="2697" customHeight="1" spans="1:34">
      <c r="A2697" s="12" t="s">
        <v>1043</v>
      </c>
      <c r="F2697" s="24">
        <f t="shared" si="886"/>
        <v>0</v>
      </c>
      <c r="G2697" s="24" t="e">
        <f t="shared" si="885"/>
        <v>#DIV/0!</v>
      </c>
      <c r="Q2697" s="29" t="str">
        <f t="shared" si="867"/>
        <v>NA</v>
      </c>
      <c r="R2697" s="29" t="str">
        <f t="shared" si="868"/>
        <v>NA</v>
      </c>
      <c r="S2697" s="29" t="str">
        <f t="shared" si="869"/>
        <v>NA</v>
      </c>
      <c r="T2697" s="29" t="str">
        <f t="shared" si="870"/>
        <v>NA</v>
      </c>
      <c r="U2697" s="29" t="str">
        <f t="shared" si="871"/>
        <v>NA</v>
      </c>
      <c r="V2697" s="29" t="str">
        <f t="shared" si="872"/>
        <v>NA</v>
      </c>
      <c r="W2697" s="29" t="str">
        <f t="shared" si="873"/>
        <v>NA</v>
      </c>
      <c r="X2697" s="29" t="str">
        <f t="shared" si="874"/>
        <v>NA</v>
      </c>
      <c r="Y2697" s="29" t="str">
        <f t="shared" si="875"/>
        <v>NA</v>
      </c>
      <c r="Z2697" s="29" t="str">
        <f t="shared" si="876"/>
        <v>NA</v>
      </c>
      <c r="AA2697" s="29" t="str">
        <f t="shared" si="877"/>
        <v>NA</v>
      </c>
      <c r="AB2697" s="29" t="str">
        <f t="shared" si="878"/>
        <v>NA</v>
      </c>
      <c r="AC2697" s="29" t="str">
        <f t="shared" si="879"/>
        <v>NA</v>
      </c>
      <c r="AD2697" s="29" t="str">
        <f t="shared" si="880"/>
        <v>NA</v>
      </c>
      <c r="AE2697" s="29" t="str">
        <f t="shared" si="881"/>
        <v>NA</v>
      </c>
      <c r="AF2697" s="29" t="str">
        <f t="shared" si="882"/>
        <v>NA</v>
      </c>
      <c r="AG2697" s="29" t="str">
        <f t="shared" si="883"/>
        <v>NA</v>
      </c>
      <c r="AH2697" s="29" t="str">
        <f t="shared" si="884"/>
        <v>NA</v>
      </c>
    </row>
    <row r="2698" customHeight="1" spans="1:34">
      <c r="A2698" s="12" t="s">
        <v>1043</v>
      </c>
      <c r="F2698" s="24">
        <f t="shared" si="886"/>
        <v>0</v>
      </c>
      <c r="G2698" s="24" t="e">
        <f t="shared" si="885"/>
        <v>#DIV/0!</v>
      </c>
      <c r="Q2698" s="29" t="str">
        <f t="shared" si="867"/>
        <v>NA</v>
      </c>
      <c r="R2698" s="29" t="str">
        <f t="shared" si="868"/>
        <v>NA</v>
      </c>
      <c r="S2698" s="29" t="str">
        <f t="shared" si="869"/>
        <v>NA</v>
      </c>
      <c r="T2698" s="29" t="str">
        <f t="shared" si="870"/>
        <v>NA</v>
      </c>
      <c r="U2698" s="29" t="str">
        <f t="shared" si="871"/>
        <v>NA</v>
      </c>
      <c r="V2698" s="29" t="str">
        <f t="shared" si="872"/>
        <v>NA</v>
      </c>
      <c r="W2698" s="29" t="str">
        <f t="shared" si="873"/>
        <v>NA</v>
      </c>
      <c r="X2698" s="29" t="str">
        <f t="shared" si="874"/>
        <v>NA</v>
      </c>
      <c r="Y2698" s="29" t="str">
        <f t="shared" si="875"/>
        <v>NA</v>
      </c>
      <c r="Z2698" s="29" t="str">
        <f t="shared" si="876"/>
        <v>NA</v>
      </c>
      <c r="AA2698" s="29" t="str">
        <f t="shared" si="877"/>
        <v>NA</v>
      </c>
      <c r="AB2698" s="29" t="str">
        <f t="shared" si="878"/>
        <v>NA</v>
      </c>
      <c r="AC2698" s="29" t="str">
        <f t="shared" si="879"/>
        <v>NA</v>
      </c>
      <c r="AD2698" s="29" t="str">
        <f t="shared" si="880"/>
        <v>NA</v>
      </c>
      <c r="AE2698" s="29" t="str">
        <f t="shared" si="881"/>
        <v>NA</v>
      </c>
      <c r="AF2698" s="29" t="str">
        <f t="shared" si="882"/>
        <v>NA</v>
      </c>
      <c r="AG2698" s="29" t="str">
        <f t="shared" si="883"/>
        <v>NA</v>
      </c>
      <c r="AH2698" s="29" t="str">
        <f t="shared" si="884"/>
        <v>NA</v>
      </c>
    </row>
    <row r="2699" customHeight="1" spans="1:34">
      <c r="A2699" s="12" t="s">
        <v>1043</v>
      </c>
      <c r="F2699" s="24">
        <f t="shared" si="886"/>
        <v>0</v>
      </c>
      <c r="G2699" s="24" t="e">
        <f t="shared" si="885"/>
        <v>#DIV/0!</v>
      </c>
      <c r="Q2699" s="29" t="str">
        <f t="shared" si="867"/>
        <v>NA</v>
      </c>
      <c r="R2699" s="29" t="str">
        <f t="shared" si="868"/>
        <v>NA</v>
      </c>
      <c r="S2699" s="29" t="str">
        <f t="shared" si="869"/>
        <v>NA</v>
      </c>
      <c r="T2699" s="29" t="str">
        <f t="shared" si="870"/>
        <v>NA</v>
      </c>
      <c r="U2699" s="29" t="str">
        <f t="shared" si="871"/>
        <v>NA</v>
      </c>
      <c r="V2699" s="29" t="str">
        <f t="shared" si="872"/>
        <v>NA</v>
      </c>
      <c r="W2699" s="29" t="str">
        <f t="shared" si="873"/>
        <v>NA</v>
      </c>
      <c r="X2699" s="29" t="str">
        <f t="shared" si="874"/>
        <v>NA</v>
      </c>
      <c r="Y2699" s="29" t="str">
        <f t="shared" si="875"/>
        <v>NA</v>
      </c>
      <c r="Z2699" s="29" t="str">
        <f t="shared" si="876"/>
        <v>NA</v>
      </c>
      <c r="AA2699" s="29" t="str">
        <f t="shared" si="877"/>
        <v>NA</v>
      </c>
      <c r="AB2699" s="29" t="str">
        <f t="shared" si="878"/>
        <v>NA</v>
      </c>
      <c r="AC2699" s="29" t="str">
        <f t="shared" si="879"/>
        <v>NA</v>
      </c>
      <c r="AD2699" s="29" t="str">
        <f t="shared" si="880"/>
        <v>NA</v>
      </c>
      <c r="AE2699" s="29" t="str">
        <f t="shared" si="881"/>
        <v>NA</v>
      </c>
      <c r="AF2699" s="29" t="str">
        <f t="shared" si="882"/>
        <v>NA</v>
      </c>
      <c r="AG2699" s="29" t="str">
        <f t="shared" si="883"/>
        <v>NA</v>
      </c>
      <c r="AH2699" s="29" t="str">
        <f t="shared" si="884"/>
        <v>NA</v>
      </c>
    </row>
    <row r="2700" customHeight="1" spans="1:34">
      <c r="A2700" s="12" t="s">
        <v>1043</v>
      </c>
      <c r="F2700" s="24">
        <f t="shared" si="886"/>
        <v>0</v>
      </c>
      <c r="G2700" s="24" t="e">
        <f t="shared" si="885"/>
        <v>#DIV/0!</v>
      </c>
      <c r="Q2700" s="29" t="str">
        <f t="shared" si="867"/>
        <v>NA</v>
      </c>
      <c r="R2700" s="29" t="str">
        <f t="shared" si="868"/>
        <v>NA</v>
      </c>
      <c r="S2700" s="29" t="str">
        <f t="shared" si="869"/>
        <v>NA</v>
      </c>
      <c r="T2700" s="29" t="str">
        <f t="shared" si="870"/>
        <v>NA</v>
      </c>
      <c r="U2700" s="29" t="str">
        <f t="shared" si="871"/>
        <v>NA</v>
      </c>
      <c r="V2700" s="29" t="str">
        <f t="shared" si="872"/>
        <v>NA</v>
      </c>
      <c r="W2700" s="29" t="str">
        <f t="shared" si="873"/>
        <v>NA</v>
      </c>
      <c r="X2700" s="29" t="str">
        <f t="shared" si="874"/>
        <v>NA</v>
      </c>
      <c r="Y2700" s="29" t="str">
        <f t="shared" si="875"/>
        <v>NA</v>
      </c>
      <c r="Z2700" s="29" t="str">
        <f t="shared" si="876"/>
        <v>NA</v>
      </c>
      <c r="AA2700" s="29" t="str">
        <f t="shared" si="877"/>
        <v>NA</v>
      </c>
      <c r="AB2700" s="29" t="str">
        <f t="shared" si="878"/>
        <v>NA</v>
      </c>
      <c r="AC2700" s="29" t="str">
        <f t="shared" si="879"/>
        <v>NA</v>
      </c>
      <c r="AD2700" s="29" t="str">
        <f t="shared" si="880"/>
        <v>NA</v>
      </c>
      <c r="AE2700" s="29" t="str">
        <f t="shared" si="881"/>
        <v>NA</v>
      </c>
      <c r="AF2700" s="29" t="str">
        <f t="shared" si="882"/>
        <v>NA</v>
      </c>
      <c r="AG2700" s="29" t="str">
        <f t="shared" si="883"/>
        <v>NA</v>
      </c>
      <c r="AH2700" s="29" t="str">
        <f t="shared" si="884"/>
        <v>NA</v>
      </c>
    </row>
    <row r="2701" customHeight="1" spans="1:34">
      <c r="A2701" s="12" t="s">
        <v>1043</v>
      </c>
      <c r="F2701" s="24">
        <f t="shared" si="886"/>
        <v>0</v>
      </c>
      <c r="G2701" s="24" t="e">
        <f t="shared" si="885"/>
        <v>#DIV/0!</v>
      </c>
      <c r="Q2701" s="29" t="str">
        <f t="shared" si="867"/>
        <v>NA</v>
      </c>
      <c r="R2701" s="29" t="str">
        <f t="shared" si="868"/>
        <v>NA</v>
      </c>
      <c r="S2701" s="29" t="str">
        <f t="shared" si="869"/>
        <v>NA</v>
      </c>
      <c r="T2701" s="29" t="str">
        <f t="shared" si="870"/>
        <v>NA</v>
      </c>
      <c r="U2701" s="29" t="str">
        <f t="shared" si="871"/>
        <v>NA</v>
      </c>
      <c r="V2701" s="29" t="str">
        <f t="shared" si="872"/>
        <v>NA</v>
      </c>
      <c r="W2701" s="29" t="str">
        <f t="shared" si="873"/>
        <v>NA</v>
      </c>
      <c r="X2701" s="29" t="str">
        <f t="shared" si="874"/>
        <v>NA</v>
      </c>
      <c r="Y2701" s="29" t="str">
        <f t="shared" si="875"/>
        <v>NA</v>
      </c>
      <c r="Z2701" s="29" t="str">
        <f t="shared" si="876"/>
        <v>NA</v>
      </c>
      <c r="AA2701" s="29" t="str">
        <f t="shared" si="877"/>
        <v>NA</v>
      </c>
      <c r="AB2701" s="29" t="str">
        <f t="shared" si="878"/>
        <v>NA</v>
      </c>
      <c r="AC2701" s="29" t="str">
        <f t="shared" si="879"/>
        <v>NA</v>
      </c>
      <c r="AD2701" s="29" t="str">
        <f t="shared" si="880"/>
        <v>NA</v>
      </c>
      <c r="AE2701" s="29" t="str">
        <f t="shared" si="881"/>
        <v>NA</v>
      </c>
      <c r="AF2701" s="29" t="str">
        <f t="shared" si="882"/>
        <v>NA</v>
      </c>
      <c r="AG2701" s="29" t="str">
        <f t="shared" si="883"/>
        <v>NA</v>
      </c>
      <c r="AH2701" s="29" t="str">
        <f t="shared" si="884"/>
        <v>NA</v>
      </c>
    </row>
    <row r="2702" customHeight="1" spans="1:34">
      <c r="A2702" s="12" t="s">
        <v>1043</v>
      </c>
      <c r="F2702" s="24">
        <f t="shared" si="886"/>
        <v>0</v>
      </c>
      <c r="G2702" s="24" t="e">
        <f t="shared" si="885"/>
        <v>#DIV/0!</v>
      </c>
      <c r="Q2702" s="29" t="str">
        <f t="shared" si="867"/>
        <v>NA</v>
      </c>
      <c r="R2702" s="29" t="str">
        <f t="shared" si="868"/>
        <v>NA</v>
      </c>
      <c r="S2702" s="29" t="str">
        <f t="shared" si="869"/>
        <v>NA</v>
      </c>
      <c r="T2702" s="29" t="str">
        <f t="shared" si="870"/>
        <v>NA</v>
      </c>
      <c r="U2702" s="29" t="str">
        <f t="shared" si="871"/>
        <v>NA</v>
      </c>
      <c r="V2702" s="29" t="str">
        <f t="shared" si="872"/>
        <v>NA</v>
      </c>
      <c r="W2702" s="29" t="str">
        <f t="shared" si="873"/>
        <v>NA</v>
      </c>
      <c r="X2702" s="29" t="str">
        <f t="shared" si="874"/>
        <v>NA</v>
      </c>
      <c r="Y2702" s="29" t="str">
        <f t="shared" si="875"/>
        <v>NA</v>
      </c>
      <c r="Z2702" s="29" t="str">
        <f t="shared" si="876"/>
        <v>NA</v>
      </c>
      <c r="AA2702" s="29" t="str">
        <f t="shared" si="877"/>
        <v>NA</v>
      </c>
      <c r="AB2702" s="29" t="str">
        <f t="shared" si="878"/>
        <v>NA</v>
      </c>
      <c r="AC2702" s="29" t="str">
        <f t="shared" si="879"/>
        <v>NA</v>
      </c>
      <c r="AD2702" s="29" t="str">
        <f t="shared" si="880"/>
        <v>NA</v>
      </c>
      <c r="AE2702" s="29" t="str">
        <f t="shared" si="881"/>
        <v>NA</v>
      </c>
      <c r="AF2702" s="29" t="str">
        <f t="shared" si="882"/>
        <v>NA</v>
      </c>
      <c r="AG2702" s="29" t="str">
        <f t="shared" si="883"/>
        <v>NA</v>
      </c>
      <c r="AH2702" s="29" t="str">
        <f t="shared" si="884"/>
        <v>NA</v>
      </c>
    </row>
    <row r="2703" customHeight="1" spans="1:34">
      <c r="A2703" s="12" t="s">
        <v>1043</v>
      </c>
      <c r="F2703" s="24">
        <f t="shared" si="886"/>
        <v>0</v>
      </c>
      <c r="G2703" s="24" t="e">
        <f t="shared" si="885"/>
        <v>#DIV/0!</v>
      </c>
      <c r="Q2703" s="29" t="str">
        <f t="shared" si="867"/>
        <v>NA</v>
      </c>
      <c r="R2703" s="29" t="str">
        <f t="shared" si="868"/>
        <v>NA</v>
      </c>
      <c r="S2703" s="29" t="str">
        <f t="shared" si="869"/>
        <v>NA</v>
      </c>
      <c r="T2703" s="29" t="str">
        <f t="shared" si="870"/>
        <v>NA</v>
      </c>
      <c r="U2703" s="29" t="str">
        <f t="shared" si="871"/>
        <v>NA</v>
      </c>
      <c r="V2703" s="29" t="str">
        <f t="shared" si="872"/>
        <v>NA</v>
      </c>
      <c r="W2703" s="29" t="str">
        <f t="shared" si="873"/>
        <v>NA</v>
      </c>
      <c r="X2703" s="29" t="str">
        <f t="shared" si="874"/>
        <v>NA</v>
      </c>
      <c r="Y2703" s="29" t="str">
        <f t="shared" si="875"/>
        <v>NA</v>
      </c>
      <c r="Z2703" s="29" t="str">
        <f t="shared" si="876"/>
        <v>NA</v>
      </c>
      <c r="AA2703" s="29" t="str">
        <f t="shared" si="877"/>
        <v>NA</v>
      </c>
      <c r="AB2703" s="29" t="str">
        <f t="shared" si="878"/>
        <v>NA</v>
      </c>
      <c r="AC2703" s="29" t="str">
        <f t="shared" si="879"/>
        <v>NA</v>
      </c>
      <c r="AD2703" s="29" t="str">
        <f t="shared" si="880"/>
        <v>NA</v>
      </c>
      <c r="AE2703" s="29" t="str">
        <f t="shared" si="881"/>
        <v>NA</v>
      </c>
      <c r="AF2703" s="29" t="str">
        <f t="shared" si="882"/>
        <v>NA</v>
      </c>
      <c r="AG2703" s="29" t="str">
        <f t="shared" si="883"/>
        <v>NA</v>
      </c>
      <c r="AH2703" s="29" t="str">
        <f t="shared" si="884"/>
        <v>NA</v>
      </c>
    </row>
    <row r="2704" customHeight="1" spans="1:34">
      <c r="A2704" s="12" t="s">
        <v>1043</v>
      </c>
      <c r="F2704" s="24">
        <f t="shared" si="886"/>
        <v>0</v>
      </c>
      <c r="G2704" s="24" t="e">
        <f t="shared" si="885"/>
        <v>#DIV/0!</v>
      </c>
      <c r="Q2704" s="29" t="str">
        <f t="shared" ref="Q2704:Q2767" si="887">IFERROR($B2704*$E2704/H2704,"NA")</f>
        <v>NA</v>
      </c>
      <c r="R2704" s="29" t="str">
        <f t="shared" ref="R2704:R2767" si="888">IFERROR($B2704*$E2704/I2704,"NA")</f>
        <v>NA</v>
      </c>
      <c r="S2704" s="29" t="str">
        <f t="shared" ref="S2704:S2767" si="889">IFERROR($B2704*$E2704/J2704,"NA")</f>
        <v>NA</v>
      </c>
      <c r="T2704" s="29" t="str">
        <f t="shared" ref="T2704:T2767" si="890">IFERROR($B2704*$E2704/K2704,"NA")</f>
        <v>NA</v>
      </c>
      <c r="U2704" s="29" t="str">
        <f t="shared" ref="U2704:U2767" si="891">IFERROR($B2704*$E2704/L2704,"NA")</f>
        <v>NA</v>
      </c>
      <c r="V2704" s="29" t="str">
        <f t="shared" ref="V2704:V2767" si="892">IFERROR($B2704*$E2704/M2704,"NA")</f>
        <v>NA</v>
      </c>
      <c r="W2704" s="29" t="str">
        <f t="shared" ref="W2704:W2767" si="893">IFERROR($B2704*$E2704/N2704,"NA")</f>
        <v>NA</v>
      </c>
      <c r="X2704" s="29" t="str">
        <f t="shared" ref="X2704:X2767" si="894">IFERROR($B2704*$E2704/O2704,"NA")</f>
        <v>NA</v>
      </c>
      <c r="Y2704" s="29" t="str">
        <f t="shared" ref="Y2704:Y2767" si="895">IFERROR($B2704*$E2704/P2704,"NA")</f>
        <v>NA</v>
      </c>
      <c r="Z2704" s="29" t="str">
        <f t="shared" ref="Z2704:Z2767" si="896">IFERROR((($G2704*Z$2/1000)+Q2704)/1,"NA")</f>
        <v>NA</v>
      </c>
      <c r="AA2704" s="29" t="str">
        <f t="shared" ref="AA2704:AA2767" si="897">IFERROR((($G2704*AA$2/1000)+R2704)/1,"NA")</f>
        <v>NA</v>
      </c>
      <c r="AB2704" s="29" t="str">
        <f t="shared" ref="AB2704:AB2767" si="898">IFERROR((($G2704*AB$2/1000)+S2704)/1,"NA")</f>
        <v>NA</v>
      </c>
      <c r="AC2704" s="29" t="str">
        <f t="shared" ref="AC2704:AC2767" si="899">IFERROR((($G2704*AC$2/1000)+T2704)/1,"NA")</f>
        <v>NA</v>
      </c>
      <c r="AD2704" s="29" t="str">
        <f t="shared" ref="AD2704:AD2767" si="900">IFERROR((($G2704*AD$2/1000)+U2704)/1,"NA")</f>
        <v>NA</v>
      </c>
      <c r="AE2704" s="29" t="str">
        <f t="shared" ref="AE2704:AE2767" si="901">IFERROR((($G2704*AE$2/1000)+V2704)/1,"NA")</f>
        <v>NA</v>
      </c>
      <c r="AF2704" s="29" t="str">
        <f t="shared" ref="AF2704:AF2767" si="902">IFERROR((($G2704*AF$2/1000)+W2704)/1,"NA")</f>
        <v>NA</v>
      </c>
      <c r="AG2704" s="29" t="str">
        <f t="shared" ref="AG2704:AG2767" si="903">IFERROR((($G2704*AG$2/1000)+X2704)/1,"NA")</f>
        <v>NA</v>
      </c>
      <c r="AH2704" s="29" t="str">
        <f t="shared" ref="AH2704:AH2767" si="904">IFERROR((($G2704*AH$2/1000)+Y2704)/1,"NA")</f>
        <v>NA</v>
      </c>
    </row>
    <row r="2705" customHeight="1" spans="1:34">
      <c r="A2705" s="12" t="s">
        <v>1043</v>
      </c>
      <c r="F2705" s="24">
        <f t="shared" si="886"/>
        <v>0</v>
      </c>
      <c r="G2705" s="24" t="e">
        <f t="shared" si="885"/>
        <v>#DIV/0!</v>
      </c>
      <c r="Q2705" s="29" t="str">
        <f t="shared" si="887"/>
        <v>NA</v>
      </c>
      <c r="R2705" s="29" t="str">
        <f t="shared" si="888"/>
        <v>NA</v>
      </c>
      <c r="S2705" s="29" t="str">
        <f t="shared" si="889"/>
        <v>NA</v>
      </c>
      <c r="T2705" s="29" t="str">
        <f t="shared" si="890"/>
        <v>NA</v>
      </c>
      <c r="U2705" s="29" t="str">
        <f t="shared" si="891"/>
        <v>NA</v>
      </c>
      <c r="V2705" s="29" t="str">
        <f t="shared" si="892"/>
        <v>NA</v>
      </c>
      <c r="W2705" s="29" t="str">
        <f t="shared" si="893"/>
        <v>NA</v>
      </c>
      <c r="X2705" s="29" t="str">
        <f t="shared" si="894"/>
        <v>NA</v>
      </c>
      <c r="Y2705" s="29" t="str">
        <f t="shared" si="895"/>
        <v>NA</v>
      </c>
      <c r="Z2705" s="29" t="str">
        <f t="shared" si="896"/>
        <v>NA</v>
      </c>
      <c r="AA2705" s="29" t="str">
        <f t="shared" si="897"/>
        <v>NA</v>
      </c>
      <c r="AB2705" s="29" t="str">
        <f t="shared" si="898"/>
        <v>NA</v>
      </c>
      <c r="AC2705" s="29" t="str">
        <f t="shared" si="899"/>
        <v>NA</v>
      </c>
      <c r="AD2705" s="29" t="str">
        <f t="shared" si="900"/>
        <v>NA</v>
      </c>
      <c r="AE2705" s="29" t="str">
        <f t="shared" si="901"/>
        <v>NA</v>
      </c>
      <c r="AF2705" s="29" t="str">
        <f t="shared" si="902"/>
        <v>NA</v>
      </c>
      <c r="AG2705" s="29" t="str">
        <f t="shared" si="903"/>
        <v>NA</v>
      </c>
      <c r="AH2705" s="29" t="str">
        <f t="shared" si="904"/>
        <v>NA</v>
      </c>
    </row>
    <row r="2706" customHeight="1" spans="1:34">
      <c r="A2706" s="12" t="s">
        <v>1043</v>
      </c>
      <c r="F2706" s="24">
        <f t="shared" si="886"/>
        <v>0</v>
      </c>
      <c r="G2706" s="24" t="e">
        <f t="shared" si="885"/>
        <v>#DIV/0!</v>
      </c>
      <c r="Q2706" s="29" t="str">
        <f t="shared" si="887"/>
        <v>NA</v>
      </c>
      <c r="R2706" s="29" t="str">
        <f t="shared" si="888"/>
        <v>NA</v>
      </c>
      <c r="S2706" s="29" t="str">
        <f t="shared" si="889"/>
        <v>NA</v>
      </c>
      <c r="T2706" s="29" t="str">
        <f t="shared" si="890"/>
        <v>NA</v>
      </c>
      <c r="U2706" s="29" t="str">
        <f t="shared" si="891"/>
        <v>NA</v>
      </c>
      <c r="V2706" s="29" t="str">
        <f t="shared" si="892"/>
        <v>NA</v>
      </c>
      <c r="W2706" s="29" t="str">
        <f t="shared" si="893"/>
        <v>NA</v>
      </c>
      <c r="X2706" s="29" t="str">
        <f t="shared" si="894"/>
        <v>NA</v>
      </c>
      <c r="Y2706" s="29" t="str">
        <f t="shared" si="895"/>
        <v>NA</v>
      </c>
      <c r="Z2706" s="29" t="str">
        <f t="shared" si="896"/>
        <v>NA</v>
      </c>
      <c r="AA2706" s="29" t="str">
        <f t="shared" si="897"/>
        <v>NA</v>
      </c>
      <c r="AB2706" s="29" t="str">
        <f t="shared" si="898"/>
        <v>NA</v>
      </c>
      <c r="AC2706" s="29" t="str">
        <f t="shared" si="899"/>
        <v>NA</v>
      </c>
      <c r="AD2706" s="29" t="str">
        <f t="shared" si="900"/>
        <v>NA</v>
      </c>
      <c r="AE2706" s="29" t="str">
        <f t="shared" si="901"/>
        <v>NA</v>
      </c>
      <c r="AF2706" s="29" t="str">
        <f t="shared" si="902"/>
        <v>NA</v>
      </c>
      <c r="AG2706" s="29" t="str">
        <f t="shared" si="903"/>
        <v>NA</v>
      </c>
      <c r="AH2706" s="29" t="str">
        <f t="shared" si="904"/>
        <v>NA</v>
      </c>
    </row>
    <row r="2707" customHeight="1" spans="1:34">
      <c r="A2707" s="12" t="s">
        <v>1043</v>
      </c>
      <c r="F2707" s="24">
        <f t="shared" si="886"/>
        <v>0</v>
      </c>
      <c r="G2707" s="24" t="e">
        <f t="shared" si="885"/>
        <v>#DIV/0!</v>
      </c>
      <c r="Q2707" s="29" t="str">
        <f t="shared" si="887"/>
        <v>NA</v>
      </c>
      <c r="R2707" s="29" t="str">
        <f t="shared" si="888"/>
        <v>NA</v>
      </c>
      <c r="S2707" s="29" t="str">
        <f t="shared" si="889"/>
        <v>NA</v>
      </c>
      <c r="T2707" s="29" t="str">
        <f t="shared" si="890"/>
        <v>NA</v>
      </c>
      <c r="U2707" s="29" t="str">
        <f t="shared" si="891"/>
        <v>NA</v>
      </c>
      <c r="V2707" s="29" t="str">
        <f t="shared" si="892"/>
        <v>NA</v>
      </c>
      <c r="W2707" s="29" t="str">
        <f t="shared" si="893"/>
        <v>NA</v>
      </c>
      <c r="X2707" s="29" t="str">
        <f t="shared" si="894"/>
        <v>NA</v>
      </c>
      <c r="Y2707" s="29" t="str">
        <f t="shared" si="895"/>
        <v>NA</v>
      </c>
      <c r="Z2707" s="29" t="str">
        <f t="shared" si="896"/>
        <v>NA</v>
      </c>
      <c r="AA2707" s="29" t="str">
        <f t="shared" si="897"/>
        <v>NA</v>
      </c>
      <c r="AB2707" s="29" t="str">
        <f t="shared" si="898"/>
        <v>NA</v>
      </c>
      <c r="AC2707" s="29" t="str">
        <f t="shared" si="899"/>
        <v>NA</v>
      </c>
      <c r="AD2707" s="29" t="str">
        <f t="shared" si="900"/>
        <v>NA</v>
      </c>
      <c r="AE2707" s="29" t="str">
        <f t="shared" si="901"/>
        <v>NA</v>
      </c>
      <c r="AF2707" s="29" t="str">
        <f t="shared" si="902"/>
        <v>NA</v>
      </c>
      <c r="AG2707" s="29" t="str">
        <f t="shared" si="903"/>
        <v>NA</v>
      </c>
      <c r="AH2707" s="29" t="str">
        <f t="shared" si="904"/>
        <v>NA</v>
      </c>
    </row>
    <row r="2708" customHeight="1" spans="1:34">
      <c r="A2708" s="12" t="s">
        <v>1043</v>
      </c>
      <c r="F2708" s="24">
        <f t="shared" si="886"/>
        <v>0</v>
      </c>
      <c r="G2708" s="24" t="e">
        <f t="shared" si="885"/>
        <v>#DIV/0!</v>
      </c>
      <c r="Q2708" s="29" t="str">
        <f t="shared" si="887"/>
        <v>NA</v>
      </c>
      <c r="R2708" s="29" t="str">
        <f t="shared" si="888"/>
        <v>NA</v>
      </c>
      <c r="S2708" s="29" t="str">
        <f t="shared" si="889"/>
        <v>NA</v>
      </c>
      <c r="T2708" s="29" t="str">
        <f t="shared" si="890"/>
        <v>NA</v>
      </c>
      <c r="U2708" s="29" t="str">
        <f t="shared" si="891"/>
        <v>NA</v>
      </c>
      <c r="V2708" s="29" t="str">
        <f t="shared" si="892"/>
        <v>NA</v>
      </c>
      <c r="W2708" s="29" t="str">
        <f t="shared" si="893"/>
        <v>NA</v>
      </c>
      <c r="X2708" s="29" t="str">
        <f t="shared" si="894"/>
        <v>NA</v>
      </c>
      <c r="Y2708" s="29" t="str">
        <f t="shared" si="895"/>
        <v>NA</v>
      </c>
      <c r="Z2708" s="29" t="str">
        <f t="shared" si="896"/>
        <v>NA</v>
      </c>
      <c r="AA2708" s="29" t="str">
        <f t="shared" si="897"/>
        <v>NA</v>
      </c>
      <c r="AB2708" s="29" t="str">
        <f t="shared" si="898"/>
        <v>NA</v>
      </c>
      <c r="AC2708" s="29" t="str">
        <f t="shared" si="899"/>
        <v>NA</v>
      </c>
      <c r="AD2708" s="29" t="str">
        <f t="shared" si="900"/>
        <v>NA</v>
      </c>
      <c r="AE2708" s="29" t="str">
        <f t="shared" si="901"/>
        <v>NA</v>
      </c>
      <c r="AF2708" s="29" t="str">
        <f t="shared" si="902"/>
        <v>NA</v>
      </c>
      <c r="AG2708" s="29" t="str">
        <f t="shared" si="903"/>
        <v>NA</v>
      </c>
      <c r="AH2708" s="29" t="str">
        <f t="shared" si="904"/>
        <v>NA</v>
      </c>
    </row>
    <row r="2709" customHeight="1" spans="1:34">
      <c r="A2709" s="12" t="s">
        <v>1043</v>
      </c>
      <c r="F2709" s="24">
        <f t="shared" si="886"/>
        <v>0</v>
      </c>
      <c r="G2709" s="24" t="e">
        <f t="shared" si="885"/>
        <v>#DIV/0!</v>
      </c>
      <c r="Q2709" s="29" t="str">
        <f t="shared" si="887"/>
        <v>NA</v>
      </c>
      <c r="R2709" s="29" t="str">
        <f t="shared" si="888"/>
        <v>NA</v>
      </c>
      <c r="S2709" s="29" t="str">
        <f t="shared" si="889"/>
        <v>NA</v>
      </c>
      <c r="T2709" s="29" t="str">
        <f t="shared" si="890"/>
        <v>NA</v>
      </c>
      <c r="U2709" s="29" t="str">
        <f t="shared" si="891"/>
        <v>NA</v>
      </c>
      <c r="V2709" s="29" t="str">
        <f t="shared" si="892"/>
        <v>NA</v>
      </c>
      <c r="W2709" s="29" t="str">
        <f t="shared" si="893"/>
        <v>NA</v>
      </c>
      <c r="X2709" s="29" t="str">
        <f t="shared" si="894"/>
        <v>NA</v>
      </c>
      <c r="Y2709" s="29" t="str">
        <f t="shared" si="895"/>
        <v>NA</v>
      </c>
      <c r="Z2709" s="29" t="str">
        <f t="shared" si="896"/>
        <v>NA</v>
      </c>
      <c r="AA2709" s="29" t="str">
        <f t="shared" si="897"/>
        <v>NA</v>
      </c>
      <c r="AB2709" s="29" t="str">
        <f t="shared" si="898"/>
        <v>NA</v>
      </c>
      <c r="AC2709" s="29" t="str">
        <f t="shared" si="899"/>
        <v>NA</v>
      </c>
      <c r="AD2709" s="29" t="str">
        <f t="shared" si="900"/>
        <v>NA</v>
      </c>
      <c r="AE2709" s="29" t="str">
        <f t="shared" si="901"/>
        <v>NA</v>
      </c>
      <c r="AF2709" s="29" t="str">
        <f t="shared" si="902"/>
        <v>NA</v>
      </c>
      <c r="AG2709" s="29" t="str">
        <f t="shared" si="903"/>
        <v>NA</v>
      </c>
      <c r="AH2709" s="29" t="str">
        <f t="shared" si="904"/>
        <v>NA</v>
      </c>
    </row>
    <row r="2710" customHeight="1" spans="1:34">
      <c r="A2710" s="12" t="s">
        <v>1043</v>
      </c>
      <c r="F2710" s="24">
        <f t="shared" si="886"/>
        <v>0</v>
      </c>
      <c r="G2710" s="24" t="e">
        <f t="shared" si="885"/>
        <v>#DIV/0!</v>
      </c>
      <c r="Q2710" s="29" t="str">
        <f t="shared" si="887"/>
        <v>NA</v>
      </c>
      <c r="R2710" s="29" t="str">
        <f t="shared" si="888"/>
        <v>NA</v>
      </c>
      <c r="S2710" s="29" t="str">
        <f t="shared" si="889"/>
        <v>NA</v>
      </c>
      <c r="T2710" s="29" t="str">
        <f t="shared" si="890"/>
        <v>NA</v>
      </c>
      <c r="U2710" s="29" t="str">
        <f t="shared" si="891"/>
        <v>NA</v>
      </c>
      <c r="V2710" s="29" t="str">
        <f t="shared" si="892"/>
        <v>NA</v>
      </c>
      <c r="W2710" s="29" t="str">
        <f t="shared" si="893"/>
        <v>NA</v>
      </c>
      <c r="X2710" s="29" t="str">
        <f t="shared" si="894"/>
        <v>NA</v>
      </c>
      <c r="Y2710" s="29" t="str">
        <f t="shared" si="895"/>
        <v>NA</v>
      </c>
      <c r="Z2710" s="29" t="str">
        <f t="shared" si="896"/>
        <v>NA</v>
      </c>
      <c r="AA2710" s="29" t="str">
        <f t="shared" si="897"/>
        <v>NA</v>
      </c>
      <c r="AB2710" s="29" t="str">
        <f t="shared" si="898"/>
        <v>NA</v>
      </c>
      <c r="AC2710" s="29" t="str">
        <f t="shared" si="899"/>
        <v>NA</v>
      </c>
      <c r="AD2710" s="29" t="str">
        <f t="shared" si="900"/>
        <v>NA</v>
      </c>
      <c r="AE2710" s="29" t="str">
        <f t="shared" si="901"/>
        <v>NA</v>
      </c>
      <c r="AF2710" s="29" t="str">
        <f t="shared" si="902"/>
        <v>NA</v>
      </c>
      <c r="AG2710" s="29" t="str">
        <f t="shared" si="903"/>
        <v>NA</v>
      </c>
      <c r="AH2710" s="29" t="str">
        <f t="shared" si="904"/>
        <v>NA</v>
      </c>
    </row>
    <row r="2711" customHeight="1" spans="1:34">
      <c r="A2711" s="12" t="s">
        <v>1043</v>
      </c>
      <c r="F2711" s="24">
        <f t="shared" si="886"/>
        <v>0</v>
      </c>
      <c r="G2711" s="24" t="e">
        <f t="shared" si="885"/>
        <v>#DIV/0!</v>
      </c>
      <c r="Q2711" s="29" t="str">
        <f t="shared" si="887"/>
        <v>NA</v>
      </c>
      <c r="R2711" s="29" t="str">
        <f t="shared" si="888"/>
        <v>NA</v>
      </c>
      <c r="S2711" s="29" t="str">
        <f t="shared" si="889"/>
        <v>NA</v>
      </c>
      <c r="T2711" s="29" t="str">
        <f t="shared" si="890"/>
        <v>NA</v>
      </c>
      <c r="U2711" s="29" t="str">
        <f t="shared" si="891"/>
        <v>NA</v>
      </c>
      <c r="V2711" s="29" t="str">
        <f t="shared" si="892"/>
        <v>NA</v>
      </c>
      <c r="W2711" s="29" t="str">
        <f t="shared" si="893"/>
        <v>NA</v>
      </c>
      <c r="X2711" s="29" t="str">
        <f t="shared" si="894"/>
        <v>NA</v>
      </c>
      <c r="Y2711" s="29" t="str">
        <f t="shared" si="895"/>
        <v>NA</v>
      </c>
      <c r="Z2711" s="29" t="str">
        <f t="shared" si="896"/>
        <v>NA</v>
      </c>
      <c r="AA2711" s="29" t="str">
        <f t="shared" si="897"/>
        <v>NA</v>
      </c>
      <c r="AB2711" s="29" t="str">
        <f t="shared" si="898"/>
        <v>NA</v>
      </c>
      <c r="AC2711" s="29" t="str">
        <f t="shared" si="899"/>
        <v>NA</v>
      </c>
      <c r="AD2711" s="29" t="str">
        <f t="shared" si="900"/>
        <v>NA</v>
      </c>
      <c r="AE2711" s="29" t="str">
        <f t="shared" si="901"/>
        <v>NA</v>
      </c>
      <c r="AF2711" s="29" t="str">
        <f t="shared" si="902"/>
        <v>NA</v>
      </c>
      <c r="AG2711" s="29" t="str">
        <f t="shared" si="903"/>
        <v>NA</v>
      </c>
      <c r="AH2711" s="29" t="str">
        <f t="shared" si="904"/>
        <v>NA</v>
      </c>
    </row>
    <row r="2712" customHeight="1" spans="1:34">
      <c r="A2712" s="12" t="s">
        <v>1043</v>
      </c>
      <c r="F2712" s="24">
        <f t="shared" si="886"/>
        <v>0</v>
      </c>
      <c r="G2712" s="24" t="e">
        <f t="shared" si="885"/>
        <v>#DIV/0!</v>
      </c>
      <c r="Q2712" s="29" t="str">
        <f t="shared" si="887"/>
        <v>NA</v>
      </c>
      <c r="R2712" s="29" t="str">
        <f t="shared" si="888"/>
        <v>NA</v>
      </c>
      <c r="S2712" s="29" t="str">
        <f t="shared" si="889"/>
        <v>NA</v>
      </c>
      <c r="T2712" s="29" t="str">
        <f t="shared" si="890"/>
        <v>NA</v>
      </c>
      <c r="U2712" s="29" t="str">
        <f t="shared" si="891"/>
        <v>NA</v>
      </c>
      <c r="V2712" s="29" t="str">
        <f t="shared" si="892"/>
        <v>NA</v>
      </c>
      <c r="W2712" s="29" t="str">
        <f t="shared" si="893"/>
        <v>NA</v>
      </c>
      <c r="X2712" s="29" t="str">
        <f t="shared" si="894"/>
        <v>NA</v>
      </c>
      <c r="Y2712" s="29" t="str">
        <f t="shared" si="895"/>
        <v>NA</v>
      </c>
      <c r="Z2712" s="29" t="str">
        <f t="shared" si="896"/>
        <v>NA</v>
      </c>
      <c r="AA2712" s="29" t="str">
        <f t="shared" si="897"/>
        <v>NA</v>
      </c>
      <c r="AB2712" s="29" t="str">
        <f t="shared" si="898"/>
        <v>NA</v>
      </c>
      <c r="AC2712" s="29" t="str">
        <f t="shared" si="899"/>
        <v>NA</v>
      </c>
      <c r="AD2712" s="29" t="str">
        <f t="shared" si="900"/>
        <v>NA</v>
      </c>
      <c r="AE2712" s="29" t="str">
        <f t="shared" si="901"/>
        <v>NA</v>
      </c>
      <c r="AF2712" s="29" t="str">
        <f t="shared" si="902"/>
        <v>NA</v>
      </c>
      <c r="AG2712" s="29" t="str">
        <f t="shared" si="903"/>
        <v>NA</v>
      </c>
      <c r="AH2712" s="29" t="str">
        <f t="shared" si="904"/>
        <v>NA</v>
      </c>
    </row>
    <row r="2713" customHeight="1" spans="1:34">
      <c r="A2713" s="12" t="s">
        <v>1043</v>
      </c>
      <c r="F2713" s="24">
        <f t="shared" si="886"/>
        <v>0</v>
      </c>
      <c r="G2713" s="24" t="e">
        <f t="shared" si="885"/>
        <v>#DIV/0!</v>
      </c>
      <c r="Q2713" s="29" t="str">
        <f t="shared" si="887"/>
        <v>NA</v>
      </c>
      <c r="R2713" s="29" t="str">
        <f t="shared" si="888"/>
        <v>NA</v>
      </c>
      <c r="S2713" s="29" t="str">
        <f t="shared" si="889"/>
        <v>NA</v>
      </c>
      <c r="T2713" s="29" t="str">
        <f t="shared" si="890"/>
        <v>NA</v>
      </c>
      <c r="U2713" s="29" t="str">
        <f t="shared" si="891"/>
        <v>NA</v>
      </c>
      <c r="V2713" s="29" t="str">
        <f t="shared" si="892"/>
        <v>NA</v>
      </c>
      <c r="W2713" s="29" t="str">
        <f t="shared" si="893"/>
        <v>NA</v>
      </c>
      <c r="X2713" s="29" t="str">
        <f t="shared" si="894"/>
        <v>NA</v>
      </c>
      <c r="Y2713" s="29" t="str">
        <f t="shared" si="895"/>
        <v>NA</v>
      </c>
      <c r="Z2713" s="29" t="str">
        <f t="shared" si="896"/>
        <v>NA</v>
      </c>
      <c r="AA2713" s="29" t="str">
        <f t="shared" si="897"/>
        <v>NA</v>
      </c>
      <c r="AB2713" s="29" t="str">
        <f t="shared" si="898"/>
        <v>NA</v>
      </c>
      <c r="AC2713" s="29" t="str">
        <f t="shared" si="899"/>
        <v>NA</v>
      </c>
      <c r="AD2713" s="29" t="str">
        <f t="shared" si="900"/>
        <v>NA</v>
      </c>
      <c r="AE2713" s="29" t="str">
        <f t="shared" si="901"/>
        <v>NA</v>
      </c>
      <c r="AF2713" s="29" t="str">
        <f t="shared" si="902"/>
        <v>NA</v>
      </c>
      <c r="AG2713" s="29" t="str">
        <f t="shared" si="903"/>
        <v>NA</v>
      </c>
      <c r="AH2713" s="29" t="str">
        <f t="shared" si="904"/>
        <v>NA</v>
      </c>
    </row>
    <row r="2714" customHeight="1" spans="1:34">
      <c r="A2714" s="12" t="s">
        <v>1043</v>
      </c>
      <c r="F2714" s="24">
        <f t="shared" si="886"/>
        <v>0</v>
      </c>
      <c r="G2714" s="24" t="e">
        <f t="shared" si="885"/>
        <v>#DIV/0!</v>
      </c>
      <c r="Q2714" s="29" t="str">
        <f t="shared" si="887"/>
        <v>NA</v>
      </c>
      <c r="R2714" s="29" t="str">
        <f t="shared" si="888"/>
        <v>NA</v>
      </c>
      <c r="S2714" s="29" t="str">
        <f t="shared" si="889"/>
        <v>NA</v>
      </c>
      <c r="T2714" s="29" t="str">
        <f t="shared" si="890"/>
        <v>NA</v>
      </c>
      <c r="U2714" s="29" t="str">
        <f t="shared" si="891"/>
        <v>NA</v>
      </c>
      <c r="V2714" s="29" t="str">
        <f t="shared" si="892"/>
        <v>NA</v>
      </c>
      <c r="W2714" s="29" t="str">
        <f t="shared" si="893"/>
        <v>NA</v>
      </c>
      <c r="X2714" s="29" t="str">
        <f t="shared" si="894"/>
        <v>NA</v>
      </c>
      <c r="Y2714" s="29" t="str">
        <f t="shared" si="895"/>
        <v>NA</v>
      </c>
      <c r="Z2714" s="29" t="str">
        <f t="shared" si="896"/>
        <v>NA</v>
      </c>
      <c r="AA2714" s="29" t="str">
        <f t="shared" si="897"/>
        <v>NA</v>
      </c>
      <c r="AB2714" s="29" t="str">
        <f t="shared" si="898"/>
        <v>NA</v>
      </c>
      <c r="AC2714" s="29" t="str">
        <f t="shared" si="899"/>
        <v>NA</v>
      </c>
      <c r="AD2714" s="29" t="str">
        <f t="shared" si="900"/>
        <v>NA</v>
      </c>
      <c r="AE2714" s="29" t="str">
        <f t="shared" si="901"/>
        <v>NA</v>
      </c>
      <c r="AF2714" s="29" t="str">
        <f t="shared" si="902"/>
        <v>NA</v>
      </c>
      <c r="AG2714" s="29" t="str">
        <f t="shared" si="903"/>
        <v>NA</v>
      </c>
      <c r="AH2714" s="29" t="str">
        <f t="shared" si="904"/>
        <v>NA</v>
      </c>
    </row>
    <row r="2715" customHeight="1" spans="1:34">
      <c r="A2715" s="12" t="s">
        <v>1043</v>
      </c>
      <c r="F2715" s="24">
        <f t="shared" si="886"/>
        <v>0</v>
      </c>
      <c r="G2715" s="24" t="e">
        <f t="shared" si="885"/>
        <v>#DIV/0!</v>
      </c>
      <c r="Q2715" s="29" t="str">
        <f t="shared" si="887"/>
        <v>NA</v>
      </c>
      <c r="R2715" s="29" t="str">
        <f t="shared" si="888"/>
        <v>NA</v>
      </c>
      <c r="S2715" s="29" t="str">
        <f t="shared" si="889"/>
        <v>NA</v>
      </c>
      <c r="T2715" s="29" t="str">
        <f t="shared" si="890"/>
        <v>NA</v>
      </c>
      <c r="U2715" s="29" t="str">
        <f t="shared" si="891"/>
        <v>NA</v>
      </c>
      <c r="V2715" s="29" t="str">
        <f t="shared" si="892"/>
        <v>NA</v>
      </c>
      <c r="W2715" s="29" t="str">
        <f t="shared" si="893"/>
        <v>NA</v>
      </c>
      <c r="X2715" s="29" t="str">
        <f t="shared" si="894"/>
        <v>NA</v>
      </c>
      <c r="Y2715" s="29" t="str">
        <f t="shared" si="895"/>
        <v>NA</v>
      </c>
      <c r="Z2715" s="29" t="str">
        <f t="shared" si="896"/>
        <v>NA</v>
      </c>
      <c r="AA2715" s="29" t="str">
        <f t="shared" si="897"/>
        <v>NA</v>
      </c>
      <c r="AB2715" s="29" t="str">
        <f t="shared" si="898"/>
        <v>NA</v>
      </c>
      <c r="AC2715" s="29" t="str">
        <f t="shared" si="899"/>
        <v>NA</v>
      </c>
      <c r="AD2715" s="29" t="str">
        <f t="shared" si="900"/>
        <v>NA</v>
      </c>
      <c r="AE2715" s="29" t="str">
        <f t="shared" si="901"/>
        <v>NA</v>
      </c>
      <c r="AF2715" s="29" t="str">
        <f t="shared" si="902"/>
        <v>NA</v>
      </c>
      <c r="AG2715" s="29" t="str">
        <f t="shared" si="903"/>
        <v>NA</v>
      </c>
      <c r="AH2715" s="29" t="str">
        <f t="shared" si="904"/>
        <v>NA</v>
      </c>
    </row>
    <row r="2716" customHeight="1" spans="1:34">
      <c r="A2716" s="12" t="s">
        <v>1043</v>
      </c>
      <c r="F2716" s="24">
        <f t="shared" si="886"/>
        <v>0</v>
      </c>
      <c r="G2716" s="24" t="e">
        <f t="shared" si="885"/>
        <v>#DIV/0!</v>
      </c>
      <c r="Q2716" s="29" t="str">
        <f t="shared" si="887"/>
        <v>NA</v>
      </c>
      <c r="R2716" s="29" t="str">
        <f t="shared" si="888"/>
        <v>NA</v>
      </c>
      <c r="S2716" s="29" t="str">
        <f t="shared" si="889"/>
        <v>NA</v>
      </c>
      <c r="T2716" s="29" t="str">
        <f t="shared" si="890"/>
        <v>NA</v>
      </c>
      <c r="U2716" s="29" t="str">
        <f t="shared" si="891"/>
        <v>NA</v>
      </c>
      <c r="V2716" s="29" t="str">
        <f t="shared" si="892"/>
        <v>NA</v>
      </c>
      <c r="W2716" s="29" t="str">
        <f t="shared" si="893"/>
        <v>NA</v>
      </c>
      <c r="X2716" s="29" t="str">
        <f t="shared" si="894"/>
        <v>NA</v>
      </c>
      <c r="Y2716" s="29" t="str">
        <f t="shared" si="895"/>
        <v>NA</v>
      </c>
      <c r="Z2716" s="29" t="str">
        <f t="shared" si="896"/>
        <v>NA</v>
      </c>
      <c r="AA2716" s="29" t="str">
        <f t="shared" si="897"/>
        <v>NA</v>
      </c>
      <c r="AB2716" s="29" t="str">
        <f t="shared" si="898"/>
        <v>NA</v>
      </c>
      <c r="AC2716" s="29" t="str">
        <f t="shared" si="899"/>
        <v>NA</v>
      </c>
      <c r="AD2716" s="29" t="str">
        <f t="shared" si="900"/>
        <v>NA</v>
      </c>
      <c r="AE2716" s="29" t="str">
        <f t="shared" si="901"/>
        <v>NA</v>
      </c>
      <c r="AF2716" s="29" t="str">
        <f t="shared" si="902"/>
        <v>NA</v>
      </c>
      <c r="AG2716" s="29" t="str">
        <f t="shared" si="903"/>
        <v>NA</v>
      </c>
      <c r="AH2716" s="29" t="str">
        <f t="shared" si="904"/>
        <v>NA</v>
      </c>
    </row>
    <row r="2717" customHeight="1" spans="1:34">
      <c r="A2717" s="12" t="s">
        <v>1043</v>
      </c>
      <c r="F2717" s="24">
        <f t="shared" si="886"/>
        <v>0</v>
      </c>
      <c r="G2717" s="24" t="e">
        <f t="shared" si="885"/>
        <v>#DIV/0!</v>
      </c>
      <c r="Q2717" s="29" t="str">
        <f t="shared" si="887"/>
        <v>NA</v>
      </c>
      <c r="R2717" s="29" t="str">
        <f t="shared" si="888"/>
        <v>NA</v>
      </c>
      <c r="S2717" s="29" t="str">
        <f t="shared" si="889"/>
        <v>NA</v>
      </c>
      <c r="T2717" s="29" t="str">
        <f t="shared" si="890"/>
        <v>NA</v>
      </c>
      <c r="U2717" s="29" t="str">
        <f t="shared" si="891"/>
        <v>NA</v>
      </c>
      <c r="V2717" s="29" t="str">
        <f t="shared" si="892"/>
        <v>NA</v>
      </c>
      <c r="W2717" s="29" t="str">
        <f t="shared" si="893"/>
        <v>NA</v>
      </c>
      <c r="X2717" s="29" t="str">
        <f t="shared" si="894"/>
        <v>NA</v>
      </c>
      <c r="Y2717" s="29" t="str">
        <f t="shared" si="895"/>
        <v>NA</v>
      </c>
      <c r="Z2717" s="29" t="str">
        <f t="shared" si="896"/>
        <v>NA</v>
      </c>
      <c r="AA2717" s="29" t="str">
        <f t="shared" si="897"/>
        <v>NA</v>
      </c>
      <c r="AB2717" s="29" t="str">
        <f t="shared" si="898"/>
        <v>NA</v>
      </c>
      <c r="AC2717" s="29" t="str">
        <f t="shared" si="899"/>
        <v>NA</v>
      </c>
      <c r="AD2717" s="29" t="str">
        <f t="shared" si="900"/>
        <v>NA</v>
      </c>
      <c r="AE2717" s="29" t="str">
        <f t="shared" si="901"/>
        <v>NA</v>
      </c>
      <c r="AF2717" s="29" t="str">
        <f t="shared" si="902"/>
        <v>NA</v>
      </c>
      <c r="AG2717" s="29" t="str">
        <f t="shared" si="903"/>
        <v>NA</v>
      </c>
      <c r="AH2717" s="29" t="str">
        <f t="shared" si="904"/>
        <v>NA</v>
      </c>
    </row>
    <row r="2718" customHeight="1" spans="1:34">
      <c r="A2718" s="12" t="s">
        <v>1043</v>
      </c>
      <c r="F2718" s="24">
        <f t="shared" si="886"/>
        <v>0</v>
      </c>
      <c r="G2718" s="24" t="e">
        <f t="shared" si="885"/>
        <v>#DIV/0!</v>
      </c>
      <c r="Q2718" s="29" t="str">
        <f t="shared" si="887"/>
        <v>NA</v>
      </c>
      <c r="R2718" s="29" t="str">
        <f t="shared" si="888"/>
        <v>NA</v>
      </c>
      <c r="S2718" s="29" t="str">
        <f t="shared" si="889"/>
        <v>NA</v>
      </c>
      <c r="T2718" s="29" t="str">
        <f t="shared" si="890"/>
        <v>NA</v>
      </c>
      <c r="U2718" s="29" t="str">
        <f t="shared" si="891"/>
        <v>NA</v>
      </c>
      <c r="V2718" s="29" t="str">
        <f t="shared" si="892"/>
        <v>NA</v>
      </c>
      <c r="W2718" s="29" t="str">
        <f t="shared" si="893"/>
        <v>NA</v>
      </c>
      <c r="X2718" s="29" t="str">
        <f t="shared" si="894"/>
        <v>NA</v>
      </c>
      <c r="Y2718" s="29" t="str">
        <f t="shared" si="895"/>
        <v>NA</v>
      </c>
      <c r="Z2718" s="29" t="str">
        <f t="shared" si="896"/>
        <v>NA</v>
      </c>
      <c r="AA2718" s="29" t="str">
        <f t="shared" si="897"/>
        <v>NA</v>
      </c>
      <c r="AB2718" s="29" t="str">
        <f t="shared" si="898"/>
        <v>NA</v>
      </c>
      <c r="AC2718" s="29" t="str">
        <f t="shared" si="899"/>
        <v>NA</v>
      </c>
      <c r="AD2718" s="29" t="str">
        <f t="shared" si="900"/>
        <v>NA</v>
      </c>
      <c r="AE2718" s="29" t="str">
        <f t="shared" si="901"/>
        <v>NA</v>
      </c>
      <c r="AF2718" s="29" t="str">
        <f t="shared" si="902"/>
        <v>NA</v>
      </c>
      <c r="AG2718" s="29" t="str">
        <f t="shared" si="903"/>
        <v>NA</v>
      </c>
      <c r="AH2718" s="29" t="str">
        <f t="shared" si="904"/>
        <v>NA</v>
      </c>
    </row>
    <row r="2719" customHeight="1" spans="1:34">
      <c r="A2719" s="12" t="s">
        <v>1043</v>
      </c>
      <c r="F2719" s="24">
        <f t="shared" si="886"/>
        <v>0</v>
      </c>
      <c r="G2719" s="24" t="e">
        <f t="shared" si="885"/>
        <v>#DIV/0!</v>
      </c>
      <c r="Q2719" s="29" t="str">
        <f t="shared" si="887"/>
        <v>NA</v>
      </c>
      <c r="R2719" s="29" t="str">
        <f t="shared" si="888"/>
        <v>NA</v>
      </c>
      <c r="S2719" s="29" t="str">
        <f t="shared" si="889"/>
        <v>NA</v>
      </c>
      <c r="T2719" s="29" t="str">
        <f t="shared" si="890"/>
        <v>NA</v>
      </c>
      <c r="U2719" s="29" t="str">
        <f t="shared" si="891"/>
        <v>NA</v>
      </c>
      <c r="V2719" s="29" t="str">
        <f t="shared" si="892"/>
        <v>NA</v>
      </c>
      <c r="W2719" s="29" t="str">
        <f t="shared" si="893"/>
        <v>NA</v>
      </c>
      <c r="X2719" s="29" t="str">
        <f t="shared" si="894"/>
        <v>NA</v>
      </c>
      <c r="Y2719" s="29" t="str">
        <f t="shared" si="895"/>
        <v>NA</v>
      </c>
      <c r="Z2719" s="29" t="str">
        <f t="shared" si="896"/>
        <v>NA</v>
      </c>
      <c r="AA2719" s="29" t="str">
        <f t="shared" si="897"/>
        <v>NA</v>
      </c>
      <c r="AB2719" s="29" t="str">
        <f t="shared" si="898"/>
        <v>NA</v>
      </c>
      <c r="AC2719" s="29" t="str">
        <f t="shared" si="899"/>
        <v>NA</v>
      </c>
      <c r="AD2719" s="29" t="str">
        <f t="shared" si="900"/>
        <v>NA</v>
      </c>
      <c r="AE2719" s="29" t="str">
        <f t="shared" si="901"/>
        <v>NA</v>
      </c>
      <c r="AF2719" s="29" t="str">
        <f t="shared" si="902"/>
        <v>NA</v>
      </c>
      <c r="AG2719" s="29" t="str">
        <f t="shared" si="903"/>
        <v>NA</v>
      </c>
      <c r="AH2719" s="29" t="str">
        <f t="shared" si="904"/>
        <v>NA</v>
      </c>
    </row>
    <row r="2720" customHeight="1" spans="1:34">
      <c r="A2720" s="12" t="s">
        <v>1043</v>
      </c>
      <c r="F2720" s="24">
        <f t="shared" si="886"/>
        <v>0</v>
      </c>
      <c r="G2720" s="24" t="e">
        <f t="shared" si="885"/>
        <v>#DIV/0!</v>
      </c>
      <c r="Q2720" s="29" t="str">
        <f t="shared" si="887"/>
        <v>NA</v>
      </c>
      <c r="R2720" s="29" t="str">
        <f t="shared" si="888"/>
        <v>NA</v>
      </c>
      <c r="S2720" s="29" t="str">
        <f t="shared" si="889"/>
        <v>NA</v>
      </c>
      <c r="T2720" s="29" t="str">
        <f t="shared" si="890"/>
        <v>NA</v>
      </c>
      <c r="U2720" s="29" t="str">
        <f t="shared" si="891"/>
        <v>NA</v>
      </c>
      <c r="V2720" s="29" t="str">
        <f t="shared" si="892"/>
        <v>NA</v>
      </c>
      <c r="W2720" s="29" t="str">
        <f t="shared" si="893"/>
        <v>NA</v>
      </c>
      <c r="X2720" s="29" t="str">
        <f t="shared" si="894"/>
        <v>NA</v>
      </c>
      <c r="Y2720" s="29" t="str">
        <f t="shared" si="895"/>
        <v>NA</v>
      </c>
      <c r="Z2720" s="29" t="str">
        <f t="shared" si="896"/>
        <v>NA</v>
      </c>
      <c r="AA2720" s="29" t="str">
        <f t="shared" si="897"/>
        <v>NA</v>
      </c>
      <c r="AB2720" s="29" t="str">
        <f t="shared" si="898"/>
        <v>NA</v>
      </c>
      <c r="AC2720" s="29" t="str">
        <f t="shared" si="899"/>
        <v>NA</v>
      </c>
      <c r="AD2720" s="29" t="str">
        <f t="shared" si="900"/>
        <v>NA</v>
      </c>
      <c r="AE2720" s="29" t="str">
        <f t="shared" si="901"/>
        <v>NA</v>
      </c>
      <c r="AF2720" s="29" t="str">
        <f t="shared" si="902"/>
        <v>NA</v>
      </c>
      <c r="AG2720" s="29" t="str">
        <f t="shared" si="903"/>
        <v>NA</v>
      </c>
      <c r="AH2720" s="29" t="str">
        <f t="shared" si="904"/>
        <v>NA</v>
      </c>
    </row>
    <row r="2721" customHeight="1" spans="1:34">
      <c r="A2721" s="12" t="s">
        <v>1043</v>
      </c>
      <c r="F2721" s="24">
        <f t="shared" si="886"/>
        <v>0</v>
      </c>
      <c r="G2721" s="24" t="e">
        <f t="shared" si="885"/>
        <v>#DIV/0!</v>
      </c>
      <c r="Q2721" s="29" t="str">
        <f t="shared" si="887"/>
        <v>NA</v>
      </c>
      <c r="R2721" s="29" t="str">
        <f t="shared" si="888"/>
        <v>NA</v>
      </c>
      <c r="S2721" s="29" t="str">
        <f t="shared" si="889"/>
        <v>NA</v>
      </c>
      <c r="T2721" s="29" t="str">
        <f t="shared" si="890"/>
        <v>NA</v>
      </c>
      <c r="U2721" s="29" t="str">
        <f t="shared" si="891"/>
        <v>NA</v>
      </c>
      <c r="V2721" s="29" t="str">
        <f t="shared" si="892"/>
        <v>NA</v>
      </c>
      <c r="W2721" s="29" t="str">
        <f t="shared" si="893"/>
        <v>NA</v>
      </c>
      <c r="X2721" s="29" t="str">
        <f t="shared" si="894"/>
        <v>NA</v>
      </c>
      <c r="Y2721" s="29" t="str">
        <f t="shared" si="895"/>
        <v>NA</v>
      </c>
      <c r="Z2721" s="29" t="str">
        <f t="shared" si="896"/>
        <v>NA</v>
      </c>
      <c r="AA2721" s="29" t="str">
        <f t="shared" si="897"/>
        <v>NA</v>
      </c>
      <c r="AB2721" s="29" t="str">
        <f t="shared" si="898"/>
        <v>NA</v>
      </c>
      <c r="AC2721" s="29" t="str">
        <f t="shared" si="899"/>
        <v>NA</v>
      </c>
      <c r="AD2721" s="29" t="str">
        <f t="shared" si="900"/>
        <v>NA</v>
      </c>
      <c r="AE2721" s="29" t="str">
        <f t="shared" si="901"/>
        <v>NA</v>
      </c>
      <c r="AF2721" s="29" t="str">
        <f t="shared" si="902"/>
        <v>NA</v>
      </c>
      <c r="AG2721" s="29" t="str">
        <f t="shared" si="903"/>
        <v>NA</v>
      </c>
      <c r="AH2721" s="29" t="str">
        <f t="shared" si="904"/>
        <v>NA</v>
      </c>
    </row>
    <row r="2722" customHeight="1" spans="1:34">
      <c r="A2722" s="12" t="s">
        <v>1043</v>
      </c>
      <c r="F2722" s="24">
        <f t="shared" si="886"/>
        <v>0</v>
      </c>
      <c r="G2722" s="24" t="e">
        <f t="shared" si="885"/>
        <v>#DIV/0!</v>
      </c>
      <c r="Q2722" s="29" t="str">
        <f t="shared" si="887"/>
        <v>NA</v>
      </c>
      <c r="R2722" s="29" t="str">
        <f t="shared" si="888"/>
        <v>NA</v>
      </c>
      <c r="S2722" s="29" t="str">
        <f t="shared" si="889"/>
        <v>NA</v>
      </c>
      <c r="T2722" s="29" t="str">
        <f t="shared" si="890"/>
        <v>NA</v>
      </c>
      <c r="U2722" s="29" t="str">
        <f t="shared" si="891"/>
        <v>NA</v>
      </c>
      <c r="V2722" s="29" t="str">
        <f t="shared" si="892"/>
        <v>NA</v>
      </c>
      <c r="W2722" s="29" t="str">
        <f t="shared" si="893"/>
        <v>NA</v>
      </c>
      <c r="X2722" s="29" t="str">
        <f t="shared" si="894"/>
        <v>NA</v>
      </c>
      <c r="Y2722" s="29" t="str">
        <f t="shared" si="895"/>
        <v>NA</v>
      </c>
      <c r="Z2722" s="29" t="str">
        <f t="shared" si="896"/>
        <v>NA</v>
      </c>
      <c r="AA2722" s="29" t="str">
        <f t="shared" si="897"/>
        <v>NA</v>
      </c>
      <c r="AB2722" s="29" t="str">
        <f t="shared" si="898"/>
        <v>NA</v>
      </c>
      <c r="AC2722" s="29" t="str">
        <f t="shared" si="899"/>
        <v>NA</v>
      </c>
      <c r="AD2722" s="29" t="str">
        <f t="shared" si="900"/>
        <v>NA</v>
      </c>
      <c r="AE2722" s="29" t="str">
        <f t="shared" si="901"/>
        <v>NA</v>
      </c>
      <c r="AF2722" s="29" t="str">
        <f t="shared" si="902"/>
        <v>NA</v>
      </c>
      <c r="AG2722" s="29" t="str">
        <f t="shared" si="903"/>
        <v>NA</v>
      </c>
      <c r="AH2722" s="29" t="str">
        <f t="shared" si="904"/>
        <v>NA</v>
      </c>
    </row>
    <row r="2723" customHeight="1" spans="1:34">
      <c r="A2723" s="12" t="s">
        <v>1043</v>
      </c>
      <c r="F2723" s="24">
        <f t="shared" si="886"/>
        <v>0</v>
      </c>
      <c r="G2723" s="24" t="e">
        <f t="shared" si="885"/>
        <v>#DIV/0!</v>
      </c>
      <c r="Q2723" s="29" t="str">
        <f t="shared" si="887"/>
        <v>NA</v>
      </c>
      <c r="R2723" s="29" t="str">
        <f t="shared" si="888"/>
        <v>NA</v>
      </c>
      <c r="S2723" s="29" t="str">
        <f t="shared" si="889"/>
        <v>NA</v>
      </c>
      <c r="T2723" s="29" t="str">
        <f t="shared" si="890"/>
        <v>NA</v>
      </c>
      <c r="U2723" s="29" t="str">
        <f t="shared" si="891"/>
        <v>NA</v>
      </c>
      <c r="V2723" s="29" t="str">
        <f t="shared" si="892"/>
        <v>NA</v>
      </c>
      <c r="W2723" s="29" t="str">
        <f t="shared" si="893"/>
        <v>NA</v>
      </c>
      <c r="X2723" s="29" t="str">
        <f t="shared" si="894"/>
        <v>NA</v>
      </c>
      <c r="Y2723" s="29" t="str">
        <f t="shared" si="895"/>
        <v>NA</v>
      </c>
      <c r="Z2723" s="29" t="str">
        <f t="shared" si="896"/>
        <v>NA</v>
      </c>
      <c r="AA2723" s="29" t="str">
        <f t="shared" si="897"/>
        <v>NA</v>
      </c>
      <c r="AB2723" s="29" t="str">
        <f t="shared" si="898"/>
        <v>NA</v>
      </c>
      <c r="AC2723" s="29" t="str">
        <f t="shared" si="899"/>
        <v>NA</v>
      </c>
      <c r="AD2723" s="29" t="str">
        <f t="shared" si="900"/>
        <v>NA</v>
      </c>
      <c r="AE2723" s="29" t="str">
        <f t="shared" si="901"/>
        <v>NA</v>
      </c>
      <c r="AF2723" s="29" t="str">
        <f t="shared" si="902"/>
        <v>NA</v>
      </c>
      <c r="AG2723" s="29" t="str">
        <f t="shared" si="903"/>
        <v>NA</v>
      </c>
      <c r="AH2723" s="29" t="str">
        <f t="shared" si="904"/>
        <v>NA</v>
      </c>
    </row>
    <row r="2724" customHeight="1" spans="1:34">
      <c r="A2724" s="12" t="s">
        <v>1043</v>
      </c>
      <c r="F2724" s="24">
        <f t="shared" si="886"/>
        <v>0</v>
      </c>
      <c r="G2724" s="24" t="e">
        <f t="shared" si="885"/>
        <v>#DIV/0!</v>
      </c>
      <c r="Q2724" s="29" t="str">
        <f t="shared" si="887"/>
        <v>NA</v>
      </c>
      <c r="R2724" s="29" t="str">
        <f t="shared" si="888"/>
        <v>NA</v>
      </c>
      <c r="S2724" s="29" t="str">
        <f t="shared" si="889"/>
        <v>NA</v>
      </c>
      <c r="T2724" s="29" t="str">
        <f t="shared" si="890"/>
        <v>NA</v>
      </c>
      <c r="U2724" s="29" t="str">
        <f t="shared" si="891"/>
        <v>NA</v>
      </c>
      <c r="V2724" s="29" t="str">
        <f t="shared" si="892"/>
        <v>NA</v>
      </c>
      <c r="W2724" s="29" t="str">
        <f t="shared" si="893"/>
        <v>NA</v>
      </c>
      <c r="X2724" s="29" t="str">
        <f t="shared" si="894"/>
        <v>NA</v>
      </c>
      <c r="Y2724" s="29" t="str">
        <f t="shared" si="895"/>
        <v>NA</v>
      </c>
      <c r="Z2724" s="29" t="str">
        <f t="shared" si="896"/>
        <v>NA</v>
      </c>
      <c r="AA2724" s="29" t="str">
        <f t="shared" si="897"/>
        <v>NA</v>
      </c>
      <c r="AB2724" s="29" t="str">
        <f t="shared" si="898"/>
        <v>NA</v>
      </c>
      <c r="AC2724" s="29" t="str">
        <f t="shared" si="899"/>
        <v>NA</v>
      </c>
      <c r="AD2724" s="29" t="str">
        <f t="shared" si="900"/>
        <v>NA</v>
      </c>
      <c r="AE2724" s="29" t="str">
        <f t="shared" si="901"/>
        <v>NA</v>
      </c>
      <c r="AF2724" s="29" t="str">
        <f t="shared" si="902"/>
        <v>NA</v>
      </c>
      <c r="AG2724" s="29" t="str">
        <f t="shared" si="903"/>
        <v>NA</v>
      </c>
      <c r="AH2724" s="29" t="str">
        <f t="shared" si="904"/>
        <v>NA</v>
      </c>
    </row>
    <row r="2725" customHeight="1" spans="1:34">
      <c r="A2725" s="12" t="s">
        <v>1043</v>
      </c>
      <c r="F2725" s="24">
        <f t="shared" si="886"/>
        <v>0</v>
      </c>
      <c r="G2725" s="24" t="e">
        <f t="shared" si="885"/>
        <v>#DIV/0!</v>
      </c>
      <c r="Q2725" s="29" t="str">
        <f t="shared" si="887"/>
        <v>NA</v>
      </c>
      <c r="R2725" s="29" t="str">
        <f t="shared" si="888"/>
        <v>NA</v>
      </c>
      <c r="S2725" s="29" t="str">
        <f t="shared" si="889"/>
        <v>NA</v>
      </c>
      <c r="T2725" s="29" t="str">
        <f t="shared" si="890"/>
        <v>NA</v>
      </c>
      <c r="U2725" s="29" t="str">
        <f t="shared" si="891"/>
        <v>NA</v>
      </c>
      <c r="V2725" s="29" t="str">
        <f t="shared" si="892"/>
        <v>NA</v>
      </c>
      <c r="W2725" s="29" t="str">
        <f t="shared" si="893"/>
        <v>NA</v>
      </c>
      <c r="X2725" s="29" t="str">
        <f t="shared" si="894"/>
        <v>NA</v>
      </c>
      <c r="Y2725" s="29" t="str">
        <f t="shared" si="895"/>
        <v>NA</v>
      </c>
      <c r="Z2725" s="29" t="str">
        <f t="shared" si="896"/>
        <v>NA</v>
      </c>
      <c r="AA2725" s="29" t="str">
        <f t="shared" si="897"/>
        <v>NA</v>
      </c>
      <c r="AB2725" s="29" t="str">
        <f t="shared" si="898"/>
        <v>NA</v>
      </c>
      <c r="AC2725" s="29" t="str">
        <f t="shared" si="899"/>
        <v>NA</v>
      </c>
      <c r="AD2725" s="29" t="str">
        <f t="shared" si="900"/>
        <v>NA</v>
      </c>
      <c r="AE2725" s="29" t="str">
        <f t="shared" si="901"/>
        <v>NA</v>
      </c>
      <c r="AF2725" s="29" t="str">
        <f t="shared" si="902"/>
        <v>NA</v>
      </c>
      <c r="AG2725" s="29" t="str">
        <f t="shared" si="903"/>
        <v>NA</v>
      </c>
      <c r="AH2725" s="29" t="str">
        <f t="shared" si="904"/>
        <v>NA</v>
      </c>
    </row>
    <row r="2726" customHeight="1" spans="1:34">
      <c r="A2726" s="12" t="s">
        <v>1043</v>
      </c>
      <c r="F2726" s="24">
        <f t="shared" si="886"/>
        <v>0</v>
      </c>
      <c r="G2726" s="24" t="e">
        <f t="shared" si="885"/>
        <v>#DIV/0!</v>
      </c>
      <c r="Q2726" s="29" t="str">
        <f t="shared" si="887"/>
        <v>NA</v>
      </c>
      <c r="R2726" s="29" t="str">
        <f t="shared" si="888"/>
        <v>NA</v>
      </c>
      <c r="S2726" s="29" t="str">
        <f t="shared" si="889"/>
        <v>NA</v>
      </c>
      <c r="T2726" s="29" t="str">
        <f t="shared" si="890"/>
        <v>NA</v>
      </c>
      <c r="U2726" s="29" t="str">
        <f t="shared" si="891"/>
        <v>NA</v>
      </c>
      <c r="V2726" s="29" t="str">
        <f t="shared" si="892"/>
        <v>NA</v>
      </c>
      <c r="W2726" s="29" t="str">
        <f t="shared" si="893"/>
        <v>NA</v>
      </c>
      <c r="X2726" s="29" t="str">
        <f t="shared" si="894"/>
        <v>NA</v>
      </c>
      <c r="Y2726" s="29" t="str">
        <f t="shared" si="895"/>
        <v>NA</v>
      </c>
      <c r="Z2726" s="29" t="str">
        <f t="shared" si="896"/>
        <v>NA</v>
      </c>
      <c r="AA2726" s="29" t="str">
        <f t="shared" si="897"/>
        <v>NA</v>
      </c>
      <c r="AB2726" s="29" t="str">
        <f t="shared" si="898"/>
        <v>NA</v>
      </c>
      <c r="AC2726" s="29" t="str">
        <f t="shared" si="899"/>
        <v>NA</v>
      </c>
      <c r="AD2726" s="29" t="str">
        <f t="shared" si="900"/>
        <v>NA</v>
      </c>
      <c r="AE2726" s="29" t="str">
        <f t="shared" si="901"/>
        <v>NA</v>
      </c>
      <c r="AF2726" s="29" t="str">
        <f t="shared" si="902"/>
        <v>NA</v>
      </c>
      <c r="AG2726" s="29" t="str">
        <f t="shared" si="903"/>
        <v>NA</v>
      </c>
      <c r="AH2726" s="29" t="str">
        <f t="shared" si="904"/>
        <v>NA</v>
      </c>
    </row>
    <row r="2727" customHeight="1" spans="1:34">
      <c r="A2727" s="12" t="s">
        <v>1043</v>
      </c>
      <c r="F2727" s="24">
        <f t="shared" si="886"/>
        <v>0</v>
      </c>
      <c r="G2727" s="24" t="e">
        <f t="shared" si="885"/>
        <v>#DIV/0!</v>
      </c>
      <c r="Q2727" s="29" t="str">
        <f t="shared" si="887"/>
        <v>NA</v>
      </c>
      <c r="R2727" s="29" t="str">
        <f t="shared" si="888"/>
        <v>NA</v>
      </c>
      <c r="S2727" s="29" t="str">
        <f t="shared" si="889"/>
        <v>NA</v>
      </c>
      <c r="T2727" s="29" t="str">
        <f t="shared" si="890"/>
        <v>NA</v>
      </c>
      <c r="U2727" s="29" t="str">
        <f t="shared" si="891"/>
        <v>NA</v>
      </c>
      <c r="V2727" s="29" t="str">
        <f t="shared" si="892"/>
        <v>NA</v>
      </c>
      <c r="W2727" s="29" t="str">
        <f t="shared" si="893"/>
        <v>NA</v>
      </c>
      <c r="X2727" s="29" t="str">
        <f t="shared" si="894"/>
        <v>NA</v>
      </c>
      <c r="Y2727" s="29" t="str">
        <f t="shared" si="895"/>
        <v>NA</v>
      </c>
      <c r="Z2727" s="29" t="str">
        <f t="shared" si="896"/>
        <v>NA</v>
      </c>
      <c r="AA2727" s="29" t="str">
        <f t="shared" si="897"/>
        <v>NA</v>
      </c>
      <c r="AB2727" s="29" t="str">
        <f t="shared" si="898"/>
        <v>NA</v>
      </c>
      <c r="AC2727" s="29" t="str">
        <f t="shared" si="899"/>
        <v>NA</v>
      </c>
      <c r="AD2727" s="29" t="str">
        <f t="shared" si="900"/>
        <v>NA</v>
      </c>
      <c r="AE2727" s="29" t="str">
        <f t="shared" si="901"/>
        <v>NA</v>
      </c>
      <c r="AF2727" s="29" t="str">
        <f t="shared" si="902"/>
        <v>NA</v>
      </c>
      <c r="AG2727" s="29" t="str">
        <f t="shared" si="903"/>
        <v>NA</v>
      </c>
      <c r="AH2727" s="29" t="str">
        <f t="shared" si="904"/>
        <v>NA</v>
      </c>
    </row>
    <row r="2728" customHeight="1" spans="1:34">
      <c r="A2728" s="12" t="s">
        <v>1043</v>
      </c>
      <c r="F2728" s="24">
        <f t="shared" si="886"/>
        <v>0</v>
      </c>
      <c r="G2728" s="24" t="e">
        <f t="shared" si="885"/>
        <v>#DIV/0!</v>
      </c>
      <c r="Q2728" s="29" t="str">
        <f t="shared" si="887"/>
        <v>NA</v>
      </c>
      <c r="R2728" s="29" t="str">
        <f t="shared" si="888"/>
        <v>NA</v>
      </c>
      <c r="S2728" s="29" t="str">
        <f t="shared" si="889"/>
        <v>NA</v>
      </c>
      <c r="T2728" s="29" t="str">
        <f t="shared" si="890"/>
        <v>NA</v>
      </c>
      <c r="U2728" s="29" t="str">
        <f t="shared" si="891"/>
        <v>NA</v>
      </c>
      <c r="V2728" s="29" t="str">
        <f t="shared" si="892"/>
        <v>NA</v>
      </c>
      <c r="W2728" s="29" t="str">
        <f t="shared" si="893"/>
        <v>NA</v>
      </c>
      <c r="X2728" s="29" t="str">
        <f t="shared" si="894"/>
        <v>NA</v>
      </c>
      <c r="Y2728" s="29" t="str">
        <f t="shared" si="895"/>
        <v>NA</v>
      </c>
      <c r="Z2728" s="29" t="str">
        <f t="shared" si="896"/>
        <v>NA</v>
      </c>
      <c r="AA2728" s="29" t="str">
        <f t="shared" si="897"/>
        <v>NA</v>
      </c>
      <c r="AB2728" s="29" t="str">
        <f t="shared" si="898"/>
        <v>NA</v>
      </c>
      <c r="AC2728" s="29" t="str">
        <f t="shared" si="899"/>
        <v>NA</v>
      </c>
      <c r="AD2728" s="29" t="str">
        <f t="shared" si="900"/>
        <v>NA</v>
      </c>
      <c r="AE2728" s="29" t="str">
        <f t="shared" si="901"/>
        <v>NA</v>
      </c>
      <c r="AF2728" s="29" t="str">
        <f t="shared" si="902"/>
        <v>NA</v>
      </c>
      <c r="AG2728" s="29" t="str">
        <f t="shared" si="903"/>
        <v>NA</v>
      </c>
      <c r="AH2728" s="29" t="str">
        <f t="shared" si="904"/>
        <v>NA</v>
      </c>
    </row>
    <row r="2729" customHeight="1" spans="1:34">
      <c r="A2729" s="12" t="s">
        <v>1043</v>
      </c>
      <c r="F2729" s="24">
        <f t="shared" si="886"/>
        <v>0</v>
      </c>
      <c r="G2729" s="24" t="e">
        <f t="shared" si="885"/>
        <v>#DIV/0!</v>
      </c>
      <c r="Q2729" s="29" t="str">
        <f t="shared" si="887"/>
        <v>NA</v>
      </c>
      <c r="R2729" s="29" t="str">
        <f t="shared" si="888"/>
        <v>NA</v>
      </c>
      <c r="S2729" s="29" t="str">
        <f t="shared" si="889"/>
        <v>NA</v>
      </c>
      <c r="T2729" s="29" t="str">
        <f t="shared" si="890"/>
        <v>NA</v>
      </c>
      <c r="U2729" s="29" t="str">
        <f t="shared" si="891"/>
        <v>NA</v>
      </c>
      <c r="V2729" s="29" t="str">
        <f t="shared" si="892"/>
        <v>NA</v>
      </c>
      <c r="W2729" s="29" t="str">
        <f t="shared" si="893"/>
        <v>NA</v>
      </c>
      <c r="X2729" s="29" t="str">
        <f t="shared" si="894"/>
        <v>NA</v>
      </c>
      <c r="Y2729" s="29" t="str">
        <f t="shared" si="895"/>
        <v>NA</v>
      </c>
      <c r="Z2729" s="29" t="str">
        <f t="shared" si="896"/>
        <v>NA</v>
      </c>
      <c r="AA2729" s="29" t="str">
        <f t="shared" si="897"/>
        <v>NA</v>
      </c>
      <c r="AB2729" s="29" t="str">
        <f t="shared" si="898"/>
        <v>NA</v>
      </c>
      <c r="AC2729" s="29" t="str">
        <f t="shared" si="899"/>
        <v>NA</v>
      </c>
      <c r="AD2729" s="29" t="str">
        <f t="shared" si="900"/>
        <v>NA</v>
      </c>
      <c r="AE2729" s="29" t="str">
        <f t="shared" si="901"/>
        <v>NA</v>
      </c>
      <c r="AF2729" s="29" t="str">
        <f t="shared" si="902"/>
        <v>NA</v>
      </c>
      <c r="AG2729" s="29" t="str">
        <f t="shared" si="903"/>
        <v>NA</v>
      </c>
      <c r="AH2729" s="29" t="str">
        <f t="shared" si="904"/>
        <v>NA</v>
      </c>
    </row>
    <row r="2730" customHeight="1" spans="1:34">
      <c r="A2730" s="12" t="s">
        <v>1043</v>
      </c>
      <c r="F2730" s="24">
        <f t="shared" si="886"/>
        <v>0</v>
      </c>
      <c r="G2730" s="24" t="e">
        <f t="shared" si="885"/>
        <v>#DIV/0!</v>
      </c>
      <c r="Q2730" s="29" t="str">
        <f t="shared" si="887"/>
        <v>NA</v>
      </c>
      <c r="R2730" s="29" t="str">
        <f t="shared" si="888"/>
        <v>NA</v>
      </c>
      <c r="S2730" s="29" t="str">
        <f t="shared" si="889"/>
        <v>NA</v>
      </c>
      <c r="T2730" s="29" t="str">
        <f t="shared" si="890"/>
        <v>NA</v>
      </c>
      <c r="U2730" s="29" t="str">
        <f t="shared" si="891"/>
        <v>NA</v>
      </c>
      <c r="V2730" s="29" t="str">
        <f t="shared" si="892"/>
        <v>NA</v>
      </c>
      <c r="W2730" s="29" t="str">
        <f t="shared" si="893"/>
        <v>NA</v>
      </c>
      <c r="X2730" s="29" t="str">
        <f t="shared" si="894"/>
        <v>NA</v>
      </c>
      <c r="Y2730" s="29" t="str">
        <f t="shared" si="895"/>
        <v>NA</v>
      </c>
      <c r="Z2730" s="29" t="str">
        <f t="shared" si="896"/>
        <v>NA</v>
      </c>
      <c r="AA2730" s="29" t="str">
        <f t="shared" si="897"/>
        <v>NA</v>
      </c>
      <c r="AB2730" s="29" t="str">
        <f t="shared" si="898"/>
        <v>NA</v>
      </c>
      <c r="AC2730" s="29" t="str">
        <f t="shared" si="899"/>
        <v>NA</v>
      </c>
      <c r="AD2730" s="29" t="str">
        <f t="shared" si="900"/>
        <v>NA</v>
      </c>
      <c r="AE2730" s="29" t="str">
        <f t="shared" si="901"/>
        <v>NA</v>
      </c>
      <c r="AF2730" s="29" t="str">
        <f t="shared" si="902"/>
        <v>NA</v>
      </c>
      <c r="AG2730" s="29" t="str">
        <f t="shared" si="903"/>
        <v>NA</v>
      </c>
      <c r="AH2730" s="29" t="str">
        <f t="shared" si="904"/>
        <v>NA</v>
      </c>
    </row>
    <row r="2731" customHeight="1" spans="1:34">
      <c r="A2731" s="12" t="s">
        <v>1043</v>
      </c>
      <c r="F2731" s="24">
        <f t="shared" si="886"/>
        <v>0</v>
      </c>
      <c r="G2731" s="24" t="e">
        <f t="shared" si="885"/>
        <v>#DIV/0!</v>
      </c>
      <c r="Q2731" s="29" t="str">
        <f t="shared" si="887"/>
        <v>NA</v>
      </c>
      <c r="R2731" s="29" t="str">
        <f t="shared" si="888"/>
        <v>NA</v>
      </c>
      <c r="S2731" s="29" t="str">
        <f t="shared" si="889"/>
        <v>NA</v>
      </c>
      <c r="T2731" s="29" t="str">
        <f t="shared" si="890"/>
        <v>NA</v>
      </c>
      <c r="U2731" s="29" t="str">
        <f t="shared" si="891"/>
        <v>NA</v>
      </c>
      <c r="V2731" s="29" t="str">
        <f t="shared" si="892"/>
        <v>NA</v>
      </c>
      <c r="W2731" s="29" t="str">
        <f t="shared" si="893"/>
        <v>NA</v>
      </c>
      <c r="X2731" s="29" t="str">
        <f t="shared" si="894"/>
        <v>NA</v>
      </c>
      <c r="Y2731" s="29" t="str">
        <f t="shared" si="895"/>
        <v>NA</v>
      </c>
      <c r="Z2731" s="29" t="str">
        <f t="shared" si="896"/>
        <v>NA</v>
      </c>
      <c r="AA2731" s="29" t="str">
        <f t="shared" si="897"/>
        <v>NA</v>
      </c>
      <c r="AB2731" s="29" t="str">
        <f t="shared" si="898"/>
        <v>NA</v>
      </c>
      <c r="AC2731" s="29" t="str">
        <f t="shared" si="899"/>
        <v>NA</v>
      </c>
      <c r="AD2731" s="29" t="str">
        <f t="shared" si="900"/>
        <v>NA</v>
      </c>
      <c r="AE2731" s="29" t="str">
        <f t="shared" si="901"/>
        <v>NA</v>
      </c>
      <c r="AF2731" s="29" t="str">
        <f t="shared" si="902"/>
        <v>NA</v>
      </c>
      <c r="AG2731" s="29" t="str">
        <f t="shared" si="903"/>
        <v>NA</v>
      </c>
      <c r="AH2731" s="29" t="str">
        <f t="shared" si="904"/>
        <v>NA</v>
      </c>
    </row>
    <row r="2732" customHeight="1" spans="1:34">
      <c r="A2732" s="12" t="s">
        <v>1043</v>
      </c>
      <c r="F2732" s="24">
        <f t="shared" si="886"/>
        <v>0</v>
      </c>
      <c r="G2732" s="24" t="e">
        <f t="shared" si="885"/>
        <v>#DIV/0!</v>
      </c>
      <c r="Q2732" s="29" t="str">
        <f t="shared" si="887"/>
        <v>NA</v>
      </c>
      <c r="R2732" s="29" t="str">
        <f t="shared" si="888"/>
        <v>NA</v>
      </c>
      <c r="S2732" s="29" t="str">
        <f t="shared" si="889"/>
        <v>NA</v>
      </c>
      <c r="T2732" s="29" t="str">
        <f t="shared" si="890"/>
        <v>NA</v>
      </c>
      <c r="U2732" s="29" t="str">
        <f t="shared" si="891"/>
        <v>NA</v>
      </c>
      <c r="V2732" s="29" t="str">
        <f t="shared" si="892"/>
        <v>NA</v>
      </c>
      <c r="W2732" s="29" t="str">
        <f t="shared" si="893"/>
        <v>NA</v>
      </c>
      <c r="X2732" s="29" t="str">
        <f t="shared" si="894"/>
        <v>NA</v>
      </c>
      <c r="Y2732" s="29" t="str">
        <f t="shared" si="895"/>
        <v>NA</v>
      </c>
      <c r="Z2732" s="29" t="str">
        <f t="shared" si="896"/>
        <v>NA</v>
      </c>
      <c r="AA2732" s="29" t="str">
        <f t="shared" si="897"/>
        <v>NA</v>
      </c>
      <c r="AB2732" s="29" t="str">
        <f t="shared" si="898"/>
        <v>NA</v>
      </c>
      <c r="AC2732" s="29" t="str">
        <f t="shared" si="899"/>
        <v>NA</v>
      </c>
      <c r="AD2732" s="29" t="str">
        <f t="shared" si="900"/>
        <v>NA</v>
      </c>
      <c r="AE2732" s="29" t="str">
        <f t="shared" si="901"/>
        <v>NA</v>
      </c>
      <c r="AF2732" s="29" t="str">
        <f t="shared" si="902"/>
        <v>NA</v>
      </c>
      <c r="AG2732" s="29" t="str">
        <f t="shared" si="903"/>
        <v>NA</v>
      </c>
      <c r="AH2732" s="29" t="str">
        <f t="shared" si="904"/>
        <v>NA</v>
      </c>
    </row>
    <row r="2733" customHeight="1" spans="1:34">
      <c r="A2733" s="12" t="s">
        <v>1043</v>
      </c>
      <c r="F2733" s="24">
        <f t="shared" si="886"/>
        <v>0</v>
      </c>
      <c r="G2733" s="24" t="e">
        <f t="shared" si="885"/>
        <v>#DIV/0!</v>
      </c>
      <c r="Q2733" s="29" t="str">
        <f t="shared" si="887"/>
        <v>NA</v>
      </c>
      <c r="R2733" s="29" t="str">
        <f t="shared" si="888"/>
        <v>NA</v>
      </c>
      <c r="S2733" s="29" t="str">
        <f t="shared" si="889"/>
        <v>NA</v>
      </c>
      <c r="T2733" s="29" t="str">
        <f t="shared" si="890"/>
        <v>NA</v>
      </c>
      <c r="U2733" s="29" t="str">
        <f t="shared" si="891"/>
        <v>NA</v>
      </c>
      <c r="V2733" s="29" t="str">
        <f t="shared" si="892"/>
        <v>NA</v>
      </c>
      <c r="W2733" s="29" t="str">
        <f t="shared" si="893"/>
        <v>NA</v>
      </c>
      <c r="X2733" s="29" t="str">
        <f t="shared" si="894"/>
        <v>NA</v>
      </c>
      <c r="Y2733" s="29" t="str">
        <f t="shared" si="895"/>
        <v>NA</v>
      </c>
      <c r="Z2733" s="29" t="str">
        <f t="shared" si="896"/>
        <v>NA</v>
      </c>
      <c r="AA2733" s="29" t="str">
        <f t="shared" si="897"/>
        <v>NA</v>
      </c>
      <c r="AB2733" s="29" t="str">
        <f t="shared" si="898"/>
        <v>NA</v>
      </c>
      <c r="AC2733" s="29" t="str">
        <f t="shared" si="899"/>
        <v>NA</v>
      </c>
      <c r="AD2733" s="29" t="str">
        <f t="shared" si="900"/>
        <v>NA</v>
      </c>
      <c r="AE2733" s="29" t="str">
        <f t="shared" si="901"/>
        <v>NA</v>
      </c>
      <c r="AF2733" s="29" t="str">
        <f t="shared" si="902"/>
        <v>NA</v>
      </c>
      <c r="AG2733" s="29" t="str">
        <f t="shared" si="903"/>
        <v>NA</v>
      </c>
      <c r="AH2733" s="29" t="str">
        <f t="shared" si="904"/>
        <v>NA</v>
      </c>
    </row>
    <row r="2734" customHeight="1" spans="1:34">
      <c r="A2734" s="12" t="s">
        <v>1043</v>
      </c>
      <c r="F2734" s="24">
        <f t="shared" si="886"/>
        <v>0</v>
      </c>
      <c r="G2734" s="24" t="e">
        <f t="shared" si="885"/>
        <v>#DIV/0!</v>
      </c>
      <c r="Q2734" s="29" t="str">
        <f t="shared" si="887"/>
        <v>NA</v>
      </c>
      <c r="R2734" s="29" t="str">
        <f t="shared" si="888"/>
        <v>NA</v>
      </c>
      <c r="S2734" s="29" t="str">
        <f t="shared" si="889"/>
        <v>NA</v>
      </c>
      <c r="T2734" s="29" t="str">
        <f t="shared" si="890"/>
        <v>NA</v>
      </c>
      <c r="U2734" s="29" t="str">
        <f t="shared" si="891"/>
        <v>NA</v>
      </c>
      <c r="V2734" s="29" t="str">
        <f t="shared" si="892"/>
        <v>NA</v>
      </c>
      <c r="W2734" s="29" t="str">
        <f t="shared" si="893"/>
        <v>NA</v>
      </c>
      <c r="X2734" s="29" t="str">
        <f t="shared" si="894"/>
        <v>NA</v>
      </c>
      <c r="Y2734" s="29" t="str">
        <f t="shared" si="895"/>
        <v>NA</v>
      </c>
      <c r="Z2734" s="29" t="str">
        <f t="shared" si="896"/>
        <v>NA</v>
      </c>
      <c r="AA2734" s="29" t="str">
        <f t="shared" si="897"/>
        <v>NA</v>
      </c>
      <c r="AB2734" s="29" t="str">
        <f t="shared" si="898"/>
        <v>NA</v>
      </c>
      <c r="AC2734" s="29" t="str">
        <f t="shared" si="899"/>
        <v>NA</v>
      </c>
      <c r="AD2734" s="29" t="str">
        <f t="shared" si="900"/>
        <v>NA</v>
      </c>
      <c r="AE2734" s="29" t="str">
        <f t="shared" si="901"/>
        <v>NA</v>
      </c>
      <c r="AF2734" s="29" t="str">
        <f t="shared" si="902"/>
        <v>NA</v>
      </c>
      <c r="AG2734" s="29" t="str">
        <f t="shared" si="903"/>
        <v>NA</v>
      </c>
      <c r="AH2734" s="29" t="str">
        <f t="shared" si="904"/>
        <v>NA</v>
      </c>
    </row>
    <row r="2735" customHeight="1" spans="1:34">
      <c r="A2735" s="12" t="s">
        <v>1043</v>
      </c>
      <c r="F2735" s="24">
        <f t="shared" si="886"/>
        <v>0</v>
      </c>
      <c r="G2735" s="24" t="e">
        <f t="shared" si="885"/>
        <v>#DIV/0!</v>
      </c>
      <c r="Q2735" s="29" t="str">
        <f t="shared" si="887"/>
        <v>NA</v>
      </c>
      <c r="R2735" s="29" t="str">
        <f t="shared" si="888"/>
        <v>NA</v>
      </c>
      <c r="S2735" s="29" t="str">
        <f t="shared" si="889"/>
        <v>NA</v>
      </c>
      <c r="T2735" s="29" t="str">
        <f t="shared" si="890"/>
        <v>NA</v>
      </c>
      <c r="U2735" s="29" t="str">
        <f t="shared" si="891"/>
        <v>NA</v>
      </c>
      <c r="V2735" s="29" t="str">
        <f t="shared" si="892"/>
        <v>NA</v>
      </c>
      <c r="W2735" s="29" t="str">
        <f t="shared" si="893"/>
        <v>NA</v>
      </c>
      <c r="X2735" s="29" t="str">
        <f t="shared" si="894"/>
        <v>NA</v>
      </c>
      <c r="Y2735" s="29" t="str">
        <f t="shared" si="895"/>
        <v>NA</v>
      </c>
      <c r="Z2735" s="29" t="str">
        <f t="shared" si="896"/>
        <v>NA</v>
      </c>
      <c r="AA2735" s="29" t="str">
        <f t="shared" si="897"/>
        <v>NA</v>
      </c>
      <c r="AB2735" s="29" t="str">
        <f t="shared" si="898"/>
        <v>NA</v>
      </c>
      <c r="AC2735" s="29" t="str">
        <f t="shared" si="899"/>
        <v>NA</v>
      </c>
      <c r="AD2735" s="29" t="str">
        <f t="shared" si="900"/>
        <v>NA</v>
      </c>
      <c r="AE2735" s="29" t="str">
        <f t="shared" si="901"/>
        <v>NA</v>
      </c>
      <c r="AF2735" s="29" t="str">
        <f t="shared" si="902"/>
        <v>NA</v>
      </c>
      <c r="AG2735" s="29" t="str">
        <f t="shared" si="903"/>
        <v>NA</v>
      </c>
      <c r="AH2735" s="29" t="str">
        <f t="shared" si="904"/>
        <v>NA</v>
      </c>
    </row>
    <row r="2736" customHeight="1" spans="1:34">
      <c r="A2736" s="12" t="s">
        <v>1043</v>
      </c>
      <c r="F2736" s="24">
        <f t="shared" si="886"/>
        <v>0</v>
      </c>
      <c r="G2736" s="24" t="e">
        <f t="shared" si="885"/>
        <v>#DIV/0!</v>
      </c>
      <c r="Q2736" s="29" t="str">
        <f t="shared" si="887"/>
        <v>NA</v>
      </c>
      <c r="R2736" s="29" t="str">
        <f t="shared" si="888"/>
        <v>NA</v>
      </c>
      <c r="S2736" s="29" t="str">
        <f t="shared" si="889"/>
        <v>NA</v>
      </c>
      <c r="T2736" s="29" t="str">
        <f t="shared" si="890"/>
        <v>NA</v>
      </c>
      <c r="U2736" s="29" t="str">
        <f t="shared" si="891"/>
        <v>NA</v>
      </c>
      <c r="V2736" s="29" t="str">
        <f t="shared" si="892"/>
        <v>NA</v>
      </c>
      <c r="W2736" s="29" t="str">
        <f t="shared" si="893"/>
        <v>NA</v>
      </c>
      <c r="X2736" s="29" t="str">
        <f t="shared" si="894"/>
        <v>NA</v>
      </c>
      <c r="Y2736" s="29" t="str">
        <f t="shared" si="895"/>
        <v>NA</v>
      </c>
      <c r="Z2736" s="29" t="str">
        <f t="shared" si="896"/>
        <v>NA</v>
      </c>
      <c r="AA2736" s="29" t="str">
        <f t="shared" si="897"/>
        <v>NA</v>
      </c>
      <c r="AB2736" s="29" t="str">
        <f t="shared" si="898"/>
        <v>NA</v>
      </c>
      <c r="AC2736" s="29" t="str">
        <f t="shared" si="899"/>
        <v>NA</v>
      </c>
      <c r="AD2736" s="29" t="str">
        <f t="shared" si="900"/>
        <v>NA</v>
      </c>
      <c r="AE2736" s="29" t="str">
        <f t="shared" si="901"/>
        <v>NA</v>
      </c>
      <c r="AF2736" s="29" t="str">
        <f t="shared" si="902"/>
        <v>NA</v>
      </c>
      <c r="AG2736" s="29" t="str">
        <f t="shared" si="903"/>
        <v>NA</v>
      </c>
      <c r="AH2736" s="29" t="str">
        <f t="shared" si="904"/>
        <v>NA</v>
      </c>
    </row>
    <row r="2737" customHeight="1" spans="1:34">
      <c r="A2737" s="12" t="s">
        <v>1043</v>
      </c>
      <c r="F2737" s="24">
        <f t="shared" si="886"/>
        <v>0</v>
      </c>
      <c r="G2737" s="24" t="e">
        <f t="shared" si="885"/>
        <v>#DIV/0!</v>
      </c>
      <c r="Q2737" s="29" t="str">
        <f t="shared" si="887"/>
        <v>NA</v>
      </c>
      <c r="R2737" s="29" t="str">
        <f t="shared" si="888"/>
        <v>NA</v>
      </c>
      <c r="S2737" s="29" t="str">
        <f t="shared" si="889"/>
        <v>NA</v>
      </c>
      <c r="T2737" s="29" t="str">
        <f t="shared" si="890"/>
        <v>NA</v>
      </c>
      <c r="U2737" s="29" t="str">
        <f t="shared" si="891"/>
        <v>NA</v>
      </c>
      <c r="V2737" s="29" t="str">
        <f t="shared" si="892"/>
        <v>NA</v>
      </c>
      <c r="W2737" s="29" t="str">
        <f t="shared" si="893"/>
        <v>NA</v>
      </c>
      <c r="X2737" s="29" t="str">
        <f t="shared" si="894"/>
        <v>NA</v>
      </c>
      <c r="Y2737" s="29" t="str">
        <f t="shared" si="895"/>
        <v>NA</v>
      </c>
      <c r="Z2737" s="29" t="str">
        <f t="shared" si="896"/>
        <v>NA</v>
      </c>
      <c r="AA2737" s="29" t="str">
        <f t="shared" si="897"/>
        <v>NA</v>
      </c>
      <c r="AB2737" s="29" t="str">
        <f t="shared" si="898"/>
        <v>NA</v>
      </c>
      <c r="AC2737" s="29" t="str">
        <f t="shared" si="899"/>
        <v>NA</v>
      </c>
      <c r="AD2737" s="29" t="str">
        <f t="shared" si="900"/>
        <v>NA</v>
      </c>
      <c r="AE2737" s="29" t="str">
        <f t="shared" si="901"/>
        <v>NA</v>
      </c>
      <c r="AF2737" s="29" t="str">
        <f t="shared" si="902"/>
        <v>NA</v>
      </c>
      <c r="AG2737" s="29" t="str">
        <f t="shared" si="903"/>
        <v>NA</v>
      </c>
      <c r="AH2737" s="29" t="str">
        <f t="shared" si="904"/>
        <v>NA</v>
      </c>
    </row>
    <row r="2738" customHeight="1" spans="1:34">
      <c r="A2738" s="12" t="s">
        <v>1043</v>
      </c>
      <c r="F2738" s="24">
        <f t="shared" si="886"/>
        <v>0</v>
      </c>
      <c r="G2738" s="24" t="e">
        <f t="shared" si="885"/>
        <v>#DIV/0!</v>
      </c>
      <c r="Q2738" s="29" t="str">
        <f t="shared" si="887"/>
        <v>NA</v>
      </c>
      <c r="R2738" s="29" t="str">
        <f t="shared" si="888"/>
        <v>NA</v>
      </c>
      <c r="S2738" s="29" t="str">
        <f t="shared" si="889"/>
        <v>NA</v>
      </c>
      <c r="T2738" s="29" t="str">
        <f t="shared" si="890"/>
        <v>NA</v>
      </c>
      <c r="U2738" s="29" t="str">
        <f t="shared" si="891"/>
        <v>NA</v>
      </c>
      <c r="V2738" s="29" t="str">
        <f t="shared" si="892"/>
        <v>NA</v>
      </c>
      <c r="W2738" s="29" t="str">
        <f t="shared" si="893"/>
        <v>NA</v>
      </c>
      <c r="X2738" s="29" t="str">
        <f t="shared" si="894"/>
        <v>NA</v>
      </c>
      <c r="Y2738" s="29" t="str">
        <f t="shared" si="895"/>
        <v>NA</v>
      </c>
      <c r="Z2738" s="29" t="str">
        <f t="shared" si="896"/>
        <v>NA</v>
      </c>
      <c r="AA2738" s="29" t="str">
        <f t="shared" si="897"/>
        <v>NA</v>
      </c>
      <c r="AB2738" s="29" t="str">
        <f t="shared" si="898"/>
        <v>NA</v>
      </c>
      <c r="AC2738" s="29" t="str">
        <f t="shared" si="899"/>
        <v>NA</v>
      </c>
      <c r="AD2738" s="29" t="str">
        <f t="shared" si="900"/>
        <v>NA</v>
      </c>
      <c r="AE2738" s="29" t="str">
        <f t="shared" si="901"/>
        <v>NA</v>
      </c>
      <c r="AF2738" s="29" t="str">
        <f t="shared" si="902"/>
        <v>NA</v>
      </c>
      <c r="AG2738" s="29" t="str">
        <f t="shared" si="903"/>
        <v>NA</v>
      </c>
      <c r="AH2738" s="29" t="str">
        <f t="shared" si="904"/>
        <v>NA</v>
      </c>
    </row>
    <row r="2739" customHeight="1" spans="1:34">
      <c r="A2739" s="12" t="s">
        <v>1043</v>
      </c>
      <c r="F2739" s="24">
        <f t="shared" si="886"/>
        <v>0</v>
      </c>
      <c r="G2739" s="24" t="e">
        <f t="shared" si="885"/>
        <v>#DIV/0!</v>
      </c>
      <c r="Q2739" s="29" t="str">
        <f t="shared" si="887"/>
        <v>NA</v>
      </c>
      <c r="R2739" s="29" t="str">
        <f t="shared" si="888"/>
        <v>NA</v>
      </c>
      <c r="S2739" s="29" t="str">
        <f t="shared" si="889"/>
        <v>NA</v>
      </c>
      <c r="T2739" s="29" t="str">
        <f t="shared" si="890"/>
        <v>NA</v>
      </c>
      <c r="U2739" s="29" t="str">
        <f t="shared" si="891"/>
        <v>NA</v>
      </c>
      <c r="V2739" s="29" t="str">
        <f t="shared" si="892"/>
        <v>NA</v>
      </c>
      <c r="W2739" s="29" t="str">
        <f t="shared" si="893"/>
        <v>NA</v>
      </c>
      <c r="X2739" s="29" t="str">
        <f t="shared" si="894"/>
        <v>NA</v>
      </c>
      <c r="Y2739" s="29" t="str">
        <f t="shared" si="895"/>
        <v>NA</v>
      </c>
      <c r="Z2739" s="29" t="str">
        <f t="shared" si="896"/>
        <v>NA</v>
      </c>
      <c r="AA2739" s="29" t="str">
        <f t="shared" si="897"/>
        <v>NA</v>
      </c>
      <c r="AB2739" s="29" t="str">
        <f t="shared" si="898"/>
        <v>NA</v>
      </c>
      <c r="AC2739" s="29" t="str">
        <f t="shared" si="899"/>
        <v>NA</v>
      </c>
      <c r="AD2739" s="29" t="str">
        <f t="shared" si="900"/>
        <v>NA</v>
      </c>
      <c r="AE2739" s="29" t="str">
        <f t="shared" si="901"/>
        <v>NA</v>
      </c>
      <c r="AF2739" s="29" t="str">
        <f t="shared" si="902"/>
        <v>NA</v>
      </c>
      <c r="AG2739" s="29" t="str">
        <f t="shared" si="903"/>
        <v>NA</v>
      </c>
      <c r="AH2739" s="29" t="str">
        <f t="shared" si="904"/>
        <v>NA</v>
      </c>
    </row>
    <row r="2740" customHeight="1" spans="1:34">
      <c r="A2740" s="12" t="s">
        <v>1043</v>
      </c>
      <c r="F2740" s="24">
        <f t="shared" si="886"/>
        <v>0</v>
      </c>
      <c r="G2740" s="24" t="e">
        <f t="shared" si="885"/>
        <v>#DIV/0!</v>
      </c>
      <c r="Q2740" s="29" t="str">
        <f t="shared" si="887"/>
        <v>NA</v>
      </c>
      <c r="R2740" s="29" t="str">
        <f t="shared" si="888"/>
        <v>NA</v>
      </c>
      <c r="S2740" s="29" t="str">
        <f t="shared" si="889"/>
        <v>NA</v>
      </c>
      <c r="T2740" s="29" t="str">
        <f t="shared" si="890"/>
        <v>NA</v>
      </c>
      <c r="U2740" s="29" t="str">
        <f t="shared" si="891"/>
        <v>NA</v>
      </c>
      <c r="V2740" s="29" t="str">
        <f t="shared" si="892"/>
        <v>NA</v>
      </c>
      <c r="W2740" s="29" t="str">
        <f t="shared" si="893"/>
        <v>NA</v>
      </c>
      <c r="X2740" s="29" t="str">
        <f t="shared" si="894"/>
        <v>NA</v>
      </c>
      <c r="Y2740" s="29" t="str">
        <f t="shared" si="895"/>
        <v>NA</v>
      </c>
      <c r="Z2740" s="29" t="str">
        <f t="shared" si="896"/>
        <v>NA</v>
      </c>
      <c r="AA2740" s="29" t="str">
        <f t="shared" si="897"/>
        <v>NA</v>
      </c>
      <c r="AB2740" s="29" t="str">
        <f t="shared" si="898"/>
        <v>NA</v>
      </c>
      <c r="AC2740" s="29" t="str">
        <f t="shared" si="899"/>
        <v>NA</v>
      </c>
      <c r="AD2740" s="29" t="str">
        <f t="shared" si="900"/>
        <v>NA</v>
      </c>
      <c r="AE2740" s="29" t="str">
        <f t="shared" si="901"/>
        <v>NA</v>
      </c>
      <c r="AF2740" s="29" t="str">
        <f t="shared" si="902"/>
        <v>NA</v>
      </c>
      <c r="AG2740" s="29" t="str">
        <f t="shared" si="903"/>
        <v>NA</v>
      </c>
      <c r="AH2740" s="29" t="str">
        <f t="shared" si="904"/>
        <v>NA</v>
      </c>
    </row>
    <row r="2741" customHeight="1" spans="1:34">
      <c r="A2741" s="12" t="s">
        <v>1043</v>
      </c>
      <c r="F2741" s="24">
        <f t="shared" si="886"/>
        <v>0</v>
      </c>
      <c r="G2741" s="24" t="e">
        <f t="shared" si="885"/>
        <v>#DIV/0!</v>
      </c>
      <c r="Q2741" s="29" t="str">
        <f t="shared" si="887"/>
        <v>NA</v>
      </c>
      <c r="R2741" s="29" t="str">
        <f t="shared" si="888"/>
        <v>NA</v>
      </c>
      <c r="S2741" s="29" t="str">
        <f t="shared" si="889"/>
        <v>NA</v>
      </c>
      <c r="T2741" s="29" t="str">
        <f t="shared" si="890"/>
        <v>NA</v>
      </c>
      <c r="U2741" s="29" t="str">
        <f t="shared" si="891"/>
        <v>NA</v>
      </c>
      <c r="V2741" s="29" t="str">
        <f t="shared" si="892"/>
        <v>NA</v>
      </c>
      <c r="W2741" s="29" t="str">
        <f t="shared" si="893"/>
        <v>NA</v>
      </c>
      <c r="X2741" s="29" t="str">
        <f t="shared" si="894"/>
        <v>NA</v>
      </c>
      <c r="Y2741" s="29" t="str">
        <f t="shared" si="895"/>
        <v>NA</v>
      </c>
      <c r="Z2741" s="29" t="str">
        <f t="shared" si="896"/>
        <v>NA</v>
      </c>
      <c r="AA2741" s="29" t="str">
        <f t="shared" si="897"/>
        <v>NA</v>
      </c>
      <c r="AB2741" s="29" t="str">
        <f t="shared" si="898"/>
        <v>NA</v>
      </c>
      <c r="AC2741" s="29" t="str">
        <f t="shared" si="899"/>
        <v>NA</v>
      </c>
      <c r="AD2741" s="29" t="str">
        <f t="shared" si="900"/>
        <v>NA</v>
      </c>
      <c r="AE2741" s="29" t="str">
        <f t="shared" si="901"/>
        <v>NA</v>
      </c>
      <c r="AF2741" s="29" t="str">
        <f t="shared" si="902"/>
        <v>NA</v>
      </c>
      <c r="AG2741" s="29" t="str">
        <f t="shared" si="903"/>
        <v>NA</v>
      </c>
      <c r="AH2741" s="29" t="str">
        <f t="shared" si="904"/>
        <v>NA</v>
      </c>
    </row>
    <row r="2742" customHeight="1" spans="1:34">
      <c r="A2742" s="12" t="s">
        <v>1043</v>
      </c>
      <c r="F2742" s="24">
        <f t="shared" si="886"/>
        <v>0</v>
      </c>
      <c r="G2742" s="24" t="e">
        <f t="shared" si="885"/>
        <v>#DIV/0!</v>
      </c>
      <c r="Q2742" s="29" t="str">
        <f t="shared" si="887"/>
        <v>NA</v>
      </c>
      <c r="R2742" s="29" t="str">
        <f t="shared" si="888"/>
        <v>NA</v>
      </c>
      <c r="S2742" s="29" t="str">
        <f t="shared" si="889"/>
        <v>NA</v>
      </c>
      <c r="T2742" s="29" t="str">
        <f t="shared" si="890"/>
        <v>NA</v>
      </c>
      <c r="U2742" s="29" t="str">
        <f t="shared" si="891"/>
        <v>NA</v>
      </c>
      <c r="V2742" s="29" t="str">
        <f t="shared" si="892"/>
        <v>NA</v>
      </c>
      <c r="W2742" s="29" t="str">
        <f t="shared" si="893"/>
        <v>NA</v>
      </c>
      <c r="X2742" s="29" t="str">
        <f t="shared" si="894"/>
        <v>NA</v>
      </c>
      <c r="Y2742" s="29" t="str">
        <f t="shared" si="895"/>
        <v>NA</v>
      </c>
      <c r="Z2742" s="29" t="str">
        <f t="shared" si="896"/>
        <v>NA</v>
      </c>
      <c r="AA2742" s="29" t="str">
        <f t="shared" si="897"/>
        <v>NA</v>
      </c>
      <c r="AB2742" s="29" t="str">
        <f t="shared" si="898"/>
        <v>NA</v>
      </c>
      <c r="AC2742" s="29" t="str">
        <f t="shared" si="899"/>
        <v>NA</v>
      </c>
      <c r="AD2742" s="29" t="str">
        <f t="shared" si="900"/>
        <v>NA</v>
      </c>
      <c r="AE2742" s="29" t="str">
        <f t="shared" si="901"/>
        <v>NA</v>
      </c>
      <c r="AF2742" s="29" t="str">
        <f t="shared" si="902"/>
        <v>NA</v>
      </c>
      <c r="AG2742" s="29" t="str">
        <f t="shared" si="903"/>
        <v>NA</v>
      </c>
      <c r="AH2742" s="29" t="str">
        <f t="shared" si="904"/>
        <v>NA</v>
      </c>
    </row>
    <row r="2743" customHeight="1" spans="1:34">
      <c r="A2743" s="12" t="s">
        <v>1043</v>
      </c>
      <c r="F2743" s="24">
        <f t="shared" si="886"/>
        <v>0</v>
      </c>
      <c r="G2743" s="24" t="e">
        <f t="shared" si="885"/>
        <v>#DIV/0!</v>
      </c>
      <c r="Q2743" s="29" t="str">
        <f t="shared" si="887"/>
        <v>NA</v>
      </c>
      <c r="R2743" s="29" t="str">
        <f t="shared" si="888"/>
        <v>NA</v>
      </c>
      <c r="S2743" s="29" t="str">
        <f t="shared" si="889"/>
        <v>NA</v>
      </c>
      <c r="T2743" s="29" t="str">
        <f t="shared" si="890"/>
        <v>NA</v>
      </c>
      <c r="U2743" s="29" t="str">
        <f t="shared" si="891"/>
        <v>NA</v>
      </c>
      <c r="V2743" s="29" t="str">
        <f t="shared" si="892"/>
        <v>NA</v>
      </c>
      <c r="W2743" s="29" t="str">
        <f t="shared" si="893"/>
        <v>NA</v>
      </c>
      <c r="X2743" s="29" t="str">
        <f t="shared" si="894"/>
        <v>NA</v>
      </c>
      <c r="Y2743" s="29" t="str">
        <f t="shared" si="895"/>
        <v>NA</v>
      </c>
      <c r="Z2743" s="29" t="str">
        <f t="shared" si="896"/>
        <v>NA</v>
      </c>
      <c r="AA2743" s="29" t="str">
        <f t="shared" si="897"/>
        <v>NA</v>
      </c>
      <c r="AB2743" s="29" t="str">
        <f t="shared" si="898"/>
        <v>NA</v>
      </c>
      <c r="AC2743" s="29" t="str">
        <f t="shared" si="899"/>
        <v>NA</v>
      </c>
      <c r="AD2743" s="29" t="str">
        <f t="shared" si="900"/>
        <v>NA</v>
      </c>
      <c r="AE2743" s="29" t="str">
        <f t="shared" si="901"/>
        <v>NA</v>
      </c>
      <c r="AF2743" s="29" t="str">
        <f t="shared" si="902"/>
        <v>NA</v>
      </c>
      <c r="AG2743" s="29" t="str">
        <f t="shared" si="903"/>
        <v>NA</v>
      </c>
      <c r="AH2743" s="29" t="str">
        <f t="shared" si="904"/>
        <v>NA</v>
      </c>
    </row>
    <row r="2744" customHeight="1" spans="1:34">
      <c r="A2744" s="12" t="s">
        <v>1043</v>
      </c>
      <c r="F2744" s="24">
        <f t="shared" si="886"/>
        <v>0</v>
      </c>
      <c r="G2744" s="24" t="e">
        <f t="shared" si="885"/>
        <v>#DIV/0!</v>
      </c>
      <c r="Q2744" s="29" t="str">
        <f t="shared" si="887"/>
        <v>NA</v>
      </c>
      <c r="R2744" s="29" t="str">
        <f t="shared" si="888"/>
        <v>NA</v>
      </c>
      <c r="S2744" s="29" t="str">
        <f t="shared" si="889"/>
        <v>NA</v>
      </c>
      <c r="T2744" s="29" t="str">
        <f t="shared" si="890"/>
        <v>NA</v>
      </c>
      <c r="U2744" s="29" t="str">
        <f t="shared" si="891"/>
        <v>NA</v>
      </c>
      <c r="V2744" s="29" t="str">
        <f t="shared" si="892"/>
        <v>NA</v>
      </c>
      <c r="W2744" s="29" t="str">
        <f t="shared" si="893"/>
        <v>NA</v>
      </c>
      <c r="X2744" s="29" t="str">
        <f t="shared" si="894"/>
        <v>NA</v>
      </c>
      <c r="Y2744" s="29" t="str">
        <f t="shared" si="895"/>
        <v>NA</v>
      </c>
      <c r="Z2744" s="29" t="str">
        <f t="shared" si="896"/>
        <v>NA</v>
      </c>
      <c r="AA2744" s="29" t="str">
        <f t="shared" si="897"/>
        <v>NA</v>
      </c>
      <c r="AB2744" s="29" t="str">
        <f t="shared" si="898"/>
        <v>NA</v>
      </c>
      <c r="AC2744" s="29" t="str">
        <f t="shared" si="899"/>
        <v>NA</v>
      </c>
      <c r="AD2744" s="29" t="str">
        <f t="shared" si="900"/>
        <v>NA</v>
      </c>
      <c r="AE2744" s="29" t="str">
        <f t="shared" si="901"/>
        <v>NA</v>
      </c>
      <c r="AF2744" s="29" t="str">
        <f t="shared" si="902"/>
        <v>NA</v>
      </c>
      <c r="AG2744" s="29" t="str">
        <f t="shared" si="903"/>
        <v>NA</v>
      </c>
      <c r="AH2744" s="29" t="str">
        <f t="shared" si="904"/>
        <v>NA</v>
      </c>
    </row>
    <row r="2745" customHeight="1" spans="1:34">
      <c r="A2745" s="12" t="s">
        <v>1043</v>
      </c>
      <c r="F2745" s="24">
        <f t="shared" si="886"/>
        <v>0</v>
      </c>
      <c r="G2745" s="24" t="e">
        <f t="shared" si="885"/>
        <v>#DIV/0!</v>
      </c>
      <c r="Q2745" s="29" t="str">
        <f t="shared" si="887"/>
        <v>NA</v>
      </c>
      <c r="R2745" s="29" t="str">
        <f t="shared" si="888"/>
        <v>NA</v>
      </c>
      <c r="S2745" s="29" t="str">
        <f t="shared" si="889"/>
        <v>NA</v>
      </c>
      <c r="T2745" s="29" t="str">
        <f t="shared" si="890"/>
        <v>NA</v>
      </c>
      <c r="U2745" s="29" t="str">
        <f t="shared" si="891"/>
        <v>NA</v>
      </c>
      <c r="V2745" s="29" t="str">
        <f t="shared" si="892"/>
        <v>NA</v>
      </c>
      <c r="W2745" s="29" t="str">
        <f t="shared" si="893"/>
        <v>NA</v>
      </c>
      <c r="X2745" s="29" t="str">
        <f t="shared" si="894"/>
        <v>NA</v>
      </c>
      <c r="Y2745" s="29" t="str">
        <f t="shared" si="895"/>
        <v>NA</v>
      </c>
      <c r="Z2745" s="29" t="str">
        <f t="shared" si="896"/>
        <v>NA</v>
      </c>
      <c r="AA2745" s="29" t="str">
        <f t="shared" si="897"/>
        <v>NA</v>
      </c>
      <c r="AB2745" s="29" t="str">
        <f t="shared" si="898"/>
        <v>NA</v>
      </c>
      <c r="AC2745" s="29" t="str">
        <f t="shared" si="899"/>
        <v>NA</v>
      </c>
      <c r="AD2745" s="29" t="str">
        <f t="shared" si="900"/>
        <v>NA</v>
      </c>
      <c r="AE2745" s="29" t="str">
        <f t="shared" si="901"/>
        <v>NA</v>
      </c>
      <c r="AF2745" s="29" t="str">
        <f t="shared" si="902"/>
        <v>NA</v>
      </c>
      <c r="AG2745" s="29" t="str">
        <f t="shared" si="903"/>
        <v>NA</v>
      </c>
      <c r="AH2745" s="29" t="str">
        <f t="shared" si="904"/>
        <v>NA</v>
      </c>
    </row>
    <row r="2746" customHeight="1" spans="1:34">
      <c r="A2746" s="12" t="s">
        <v>1043</v>
      </c>
      <c r="F2746" s="24">
        <f t="shared" si="886"/>
        <v>0</v>
      </c>
      <c r="G2746" s="24" t="e">
        <f t="shared" si="885"/>
        <v>#DIV/0!</v>
      </c>
      <c r="Q2746" s="29" t="str">
        <f t="shared" si="887"/>
        <v>NA</v>
      </c>
      <c r="R2746" s="29" t="str">
        <f t="shared" si="888"/>
        <v>NA</v>
      </c>
      <c r="S2746" s="29" t="str">
        <f t="shared" si="889"/>
        <v>NA</v>
      </c>
      <c r="T2746" s="29" t="str">
        <f t="shared" si="890"/>
        <v>NA</v>
      </c>
      <c r="U2746" s="29" t="str">
        <f t="shared" si="891"/>
        <v>NA</v>
      </c>
      <c r="V2746" s="29" t="str">
        <f t="shared" si="892"/>
        <v>NA</v>
      </c>
      <c r="W2746" s="29" t="str">
        <f t="shared" si="893"/>
        <v>NA</v>
      </c>
      <c r="X2746" s="29" t="str">
        <f t="shared" si="894"/>
        <v>NA</v>
      </c>
      <c r="Y2746" s="29" t="str">
        <f t="shared" si="895"/>
        <v>NA</v>
      </c>
      <c r="Z2746" s="29" t="str">
        <f t="shared" si="896"/>
        <v>NA</v>
      </c>
      <c r="AA2746" s="29" t="str">
        <f t="shared" si="897"/>
        <v>NA</v>
      </c>
      <c r="AB2746" s="29" t="str">
        <f t="shared" si="898"/>
        <v>NA</v>
      </c>
      <c r="AC2746" s="29" t="str">
        <f t="shared" si="899"/>
        <v>NA</v>
      </c>
      <c r="AD2746" s="29" t="str">
        <f t="shared" si="900"/>
        <v>NA</v>
      </c>
      <c r="AE2746" s="29" t="str">
        <f t="shared" si="901"/>
        <v>NA</v>
      </c>
      <c r="AF2746" s="29" t="str">
        <f t="shared" si="902"/>
        <v>NA</v>
      </c>
      <c r="AG2746" s="29" t="str">
        <f t="shared" si="903"/>
        <v>NA</v>
      </c>
      <c r="AH2746" s="29" t="str">
        <f t="shared" si="904"/>
        <v>NA</v>
      </c>
    </row>
    <row r="2747" customHeight="1" spans="1:34">
      <c r="A2747" s="12" t="s">
        <v>1043</v>
      </c>
      <c r="F2747" s="24">
        <f t="shared" si="886"/>
        <v>0</v>
      </c>
      <c r="G2747" s="24" t="e">
        <f t="shared" si="885"/>
        <v>#DIV/0!</v>
      </c>
      <c r="Q2747" s="29" t="str">
        <f t="shared" si="887"/>
        <v>NA</v>
      </c>
      <c r="R2747" s="29" t="str">
        <f t="shared" si="888"/>
        <v>NA</v>
      </c>
      <c r="S2747" s="29" t="str">
        <f t="shared" si="889"/>
        <v>NA</v>
      </c>
      <c r="T2747" s="29" t="str">
        <f t="shared" si="890"/>
        <v>NA</v>
      </c>
      <c r="U2747" s="29" t="str">
        <f t="shared" si="891"/>
        <v>NA</v>
      </c>
      <c r="V2747" s="29" t="str">
        <f t="shared" si="892"/>
        <v>NA</v>
      </c>
      <c r="W2747" s="29" t="str">
        <f t="shared" si="893"/>
        <v>NA</v>
      </c>
      <c r="X2747" s="29" t="str">
        <f t="shared" si="894"/>
        <v>NA</v>
      </c>
      <c r="Y2747" s="29" t="str">
        <f t="shared" si="895"/>
        <v>NA</v>
      </c>
      <c r="Z2747" s="29" t="str">
        <f t="shared" si="896"/>
        <v>NA</v>
      </c>
      <c r="AA2747" s="29" t="str">
        <f t="shared" si="897"/>
        <v>NA</v>
      </c>
      <c r="AB2747" s="29" t="str">
        <f t="shared" si="898"/>
        <v>NA</v>
      </c>
      <c r="AC2747" s="29" t="str">
        <f t="shared" si="899"/>
        <v>NA</v>
      </c>
      <c r="AD2747" s="29" t="str">
        <f t="shared" si="900"/>
        <v>NA</v>
      </c>
      <c r="AE2747" s="29" t="str">
        <f t="shared" si="901"/>
        <v>NA</v>
      </c>
      <c r="AF2747" s="29" t="str">
        <f t="shared" si="902"/>
        <v>NA</v>
      </c>
      <c r="AG2747" s="29" t="str">
        <f t="shared" si="903"/>
        <v>NA</v>
      </c>
      <c r="AH2747" s="29" t="str">
        <f t="shared" si="904"/>
        <v>NA</v>
      </c>
    </row>
    <row r="2748" customHeight="1" spans="1:34">
      <c r="A2748" s="12" t="s">
        <v>1043</v>
      </c>
      <c r="F2748" s="24">
        <f t="shared" si="886"/>
        <v>0</v>
      </c>
      <c r="G2748" s="24" t="e">
        <f t="shared" si="885"/>
        <v>#DIV/0!</v>
      </c>
      <c r="Q2748" s="29" t="str">
        <f t="shared" si="887"/>
        <v>NA</v>
      </c>
      <c r="R2748" s="29" t="str">
        <f t="shared" si="888"/>
        <v>NA</v>
      </c>
      <c r="S2748" s="29" t="str">
        <f t="shared" si="889"/>
        <v>NA</v>
      </c>
      <c r="T2748" s="29" t="str">
        <f t="shared" si="890"/>
        <v>NA</v>
      </c>
      <c r="U2748" s="29" t="str">
        <f t="shared" si="891"/>
        <v>NA</v>
      </c>
      <c r="V2748" s="29" t="str">
        <f t="shared" si="892"/>
        <v>NA</v>
      </c>
      <c r="W2748" s="29" t="str">
        <f t="shared" si="893"/>
        <v>NA</v>
      </c>
      <c r="X2748" s="29" t="str">
        <f t="shared" si="894"/>
        <v>NA</v>
      </c>
      <c r="Y2748" s="29" t="str">
        <f t="shared" si="895"/>
        <v>NA</v>
      </c>
      <c r="Z2748" s="29" t="str">
        <f t="shared" si="896"/>
        <v>NA</v>
      </c>
      <c r="AA2748" s="29" t="str">
        <f t="shared" si="897"/>
        <v>NA</v>
      </c>
      <c r="AB2748" s="29" t="str">
        <f t="shared" si="898"/>
        <v>NA</v>
      </c>
      <c r="AC2748" s="29" t="str">
        <f t="shared" si="899"/>
        <v>NA</v>
      </c>
      <c r="AD2748" s="29" t="str">
        <f t="shared" si="900"/>
        <v>NA</v>
      </c>
      <c r="AE2748" s="29" t="str">
        <f t="shared" si="901"/>
        <v>NA</v>
      </c>
      <c r="AF2748" s="29" t="str">
        <f t="shared" si="902"/>
        <v>NA</v>
      </c>
      <c r="AG2748" s="29" t="str">
        <f t="shared" si="903"/>
        <v>NA</v>
      </c>
      <c r="AH2748" s="29" t="str">
        <f t="shared" si="904"/>
        <v>NA</v>
      </c>
    </row>
    <row r="2749" customHeight="1" spans="1:34">
      <c r="A2749" s="12" t="s">
        <v>1043</v>
      </c>
      <c r="F2749" s="24">
        <f t="shared" si="886"/>
        <v>0</v>
      </c>
      <c r="G2749" s="24" t="e">
        <f t="shared" si="885"/>
        <v>#DIV/0!</v>
      </c>
      <c r="Q2749" s="29" t="str">
        <f t="shared" si="887"/>
        <v>NA</v>
      </c>
      <c r="R2749" s="29" t="str">
        <f t="shared" si="888"/>
        <v>NA</v>
      </c>
      <c r="S2749" s="29" t="str">
        <f t="shared" si="889"/>
        <v>NA</v>
      </c>
      <c r="T2749" s="29" t="str">
        <f t="shared" si="890"/>
        <v>NA</v>
      </c>
      <c r="U2749" s="29" t="str">
        <f t="shared" si="891"/>
        <v>NA</v>
      </c>
      <c r="V2749" s="29" t="str">
        <f t="shared" si="892"/>
        <v>NA</v>
      </c>
      <c r="W2749" s="29" t="str">
        <f t="shared" si="893"/>
        <v>NA</v>
      </c>
      <c r="X2749" s="29" t="str">
        <f t="shared" si="894"/>
        <v>NA</v>
      </c>
      <c r="Y2749" s="29" t="str">
        <f t="shared" si="895"/>
        <v>NA</v>
      </c>
      <c r="Z2749" s="29" t="str">
        <f t="shared" si="896"/>
        <v>NA</v>
      </c>
      <c r="AA2749" s="29" t="str">
        <f t="shared" si="897"/>
        <v>NA</v>
      </c>
      <c r="AB2749" s="29" t="str">
        <f t="shared" si="898"/>
        <v>NA</v>
      </c>
      <c r="AC2749" s="29" t="str">
        <f t="shared" si="899"/>
        <v>NA</v>
      </c>
      <c r="AD2749" s="29" t="str">
        <f t="shared" si="900"/>
        <v>NA</v>
      </c>
      <c r="AE2749" s="29" t="str">
        <f t="shared" si="901"/>
        <v>NA</v>
      </c>
      <c r="AF2749" s="29" t="str">
        <f t="shared" si="902"/>
        <v>NA</v>
      </c>
      <c r="AG2749" s="29" t="str">
        <f t="shared" si="903"/>
        <v>NA</v>
      </c>
      <c r="AH2749" s="29" t="str">
        <f t="shared" si="904"/>
        <v>NA</v>
      </c>
    </row>
    <row r="2750" customHeight="1" spans="1:34">
      <c r="A2750" s="12" t="s">
        <v>1043</v>
      </c>
      <c r="F2750" s="24">
        <f t="shared" si="886"/>
        <v>0</v>
      </c>
      <c r="G2750" s="24" t="e">
        <f t="shared" si="885"/>
        <v>#DIV/0!</v>
      </c>
      <c r="Q2750" s="29" t="str">
        <f t="shared" si="887"/>
        <v>NA</v>
      </c>
      <c r="R2750" s="29" t="str">
        <f t="shared" si="888"/>
        <v>NA</v>
      </c>
      <c r="S2750" s="29" t="str">
        <f t="shared" si="889"/>
        <v>NA</v>
      </c>
      <c r="T2750" s="29" t="str">
        <f t="shared" si="890"/>
        <v>NA</v>
      </c>
      <c r="U2750" s="29" t="str">
        <f t="shared" si="891"/>
        <v>NA</v>
      </c>
      <c r="V2750" s="29" t="str">
        <f t="shared" si="892"/>
        <v>NA</v>
      </c>
      <c r="W2750" s="29" t="str">
        <f t="shared" si="893"/>
        <v>NA</v>
      </c>
      <c r="X2750" s="29" t="str">
        <f t="shared" si="894"/>
        <v>NA</v>
      </c>
      <c r="Y2750" s="29" t="str">
        <f t="shared" si="895"/>
        <v>NA</v>
      </c>
      <c r="Z2750" s="29" t="str">
        <f t="shared" si="896"/>
        <v>NA</v>
      </c>
      <c r="AA2750" s="29" t="str">
        <f t="shared" si="897"/>
        <v>NA</v>
      </c>
      <c r="AB2750" s="29" t="str">
        <f t="shared" si="898"/>
        <v>NA</v>
      </c>
      <c r="AC2750" s="29" t="str">
        <f t="shared" si="899"/>
        <v>NA</v>
      </c>
      <c r="AD2750" s="29" t="str">
        <f t="shared" si="900"/>
        <v>NA</v>
      </c>
      <c r="AE2750" s="29" t="str">
        <f t="shared" si="901"/>
        <v>NA</v>
      </c>
      <c r="AF2750" s="29" t="str">
        <f t="shared" si="902"/>
        <v>NA</v>
      </c>
      <c r="AG2750" s="29" t="str">
        <f t="shared" si="903"/>
        <v>NA</v>
      </c>
      <c r="AH2750" s="29" t="str">
        <f t="shared" si="904"/>
        <v>NA</v>
      </c>
    </row>
    <row r="2751" customHeight="1" spans="1:34">
      <c r="A2751" s="12" t="s">
        <v>1043</v>
      </c>
      <c r="F2751" s="24">
        <f t="shared" si="886"/>
        <v>0</v>
      </c>
      <c r="G2751" s="24" t="e">
        <f t="shared" si="885"/>
        <v>#DIV/0!</v>
      </c>
      <c r="Q2751" s="29" t="str">
        <f t="shared" si="887"/>
        <v>NA</v>
      </c>
      <c r="R2751" s="29" t="str">
        <f t="shared" si="888"/>
        <v>NA</v>
      </c>
      <c r="S2751" s="29" t="str">
        <f t="shared" si="889"/>
        <v>NA</v>
      </c>
      <c r="T2751" s="29" t="str">
        <f t="shared" si="890"/>
        <v>NA</v>
      </c>
      <c r="U2751" s="29" t="str">
        <f t="shared" si="891"/>
        <v>NA</v>
      </c>
      <c r="V2751" s="29" t="str">
        <f t="shared" si="892"/>
        <v>NA</v>
      </c>
      <c r="W2751" s="29" t="str">
        <f t="shared" si="893"/>
        <v>NA</v>
      </c>
      <c r="X2751" s="29" t="str">
        <f t="shared" si="894"/>
        <v>NA</v>
      </c>
      <c r="Y2751" s="29" t="str">
        <f t="shared" si="895"/>
        <v>NA</v>
      </c>
      <c r="Z2751" s="29" t="str">
        <f t="shared" si="896"/>
        <v>NA</v>
      </c>
      <c r="AA2751" s="29" t="str">
        <f t="shared" si="897"/>
        <v>NA</v>
      </c>
      <c r="AB2751" s="29" t="str">
        <f t="shared" si="898"/>
        <v>NA</v>
      </c>
      <c r="AC2751" s="29" t="str">
        <f t="shared" si="899"/>
        <v>NA</v>
      </c>
      <c r="AD2751" s="29" t="str">
        <f t="shared" si="900"/>
        <v>NA</v>
      </c>
      <c r="AE2751" s="29" t="str">
        <f t="shared" si="901"/>
        <v>NA</v>
      </c>
      <c r="AF2751" s="29" t="str">
        <f t="shared" si="902"/>
        <v>NA</v>
      </c>
      <c r="AG2751" s="29" t="str">
        <f t="shared" si="903"/>
        <v>NA</v>
      </c>
      <c r="AH2751" s="29" t="str">
        <f t="shared" si="904"/>
        <v>NA</v>
      </c>
    </row>
    <row r="2752" customHeight="1" spans="1:34">
      <c r="A2752" s="12" t="s">
        <v>1043</v>
      </c>
      <c r="F2752" s="24">
        <f t="shared" si="886"/>
        <v>0</v>
      </c>
      <c r="G2752" s="24" t="e">
        <f t="shared" si="885"/>
        <v>#DIV/0!</v>
      </c>
      <c r="Q2752" s="29" t="str">
        <f t="shared" si="887"/>
        <v>NA</v>
      </c>
      <c r="R2752" s="29" t="str">
        <f t="shared" si="888"/>
        <v>NA</v>
      </c>
      <c r="S2752" s="29" t="str">
        <f t="shared" si="889"/>
        <v>NA</v>
      </c>
      <c r="T2752" s="29" t="str">
        <f t="shared" si="890"/>
        <v>NA</v>
      </c>
      <c r="U2752" s="29" t="str">
        <f t="shared" si="891"/>
        <v>NA</v>
      </c>
      <c r="V2752" s="29" t="str">
        <f t="shared" si="892"/>
        <v>NA</v>
      </c>
      <c r="W2752" s="29" t="str">
        <f t="shared" si="893"/>
        <v>NA</v>
      </c>
      <c r="X2752" s="29" t="str">
        <f t="shared" si="894"/>
        <v>NA</v>
      </c>
      <c r="Y2752" s="29" t="str">
        <f t="shared" si="895"/>
        <v>NA</v>
      </c>
      <c r="Z2752" s="29" t="str">
        <f t="shared" si="896"/>
        <v>NA</v>
      </c>
      <c r="AA2752" s="29" t="str">
        <f t="shared" si="897"/>
        <v>NA</v>
      </c>
      <c r="AB2752" s="29" t="str">
        <f t="shared" si="898"/>
        <v>NA</v>
      </c>
      <c r="AC2752" s="29" t="str">
        <f t="shared" si="899"/>
        <v>NA</v>
      </c>
      <c r="AD2752" s="29" t="str">
        <f t="shared" si="900"/>
        <v>NA</v>
      </c>
      <c r="AE2752" s="29" t="str">
        <f t="shared" si="901"/>
        <v>NA</v>
      </c>
      <c r="AF2752" s="29" t="str">
        <f t="shared" si="902"/>
        <v>NA</v>
      </c>
      <c r="AG2752" s="29" t="str">
        <f t="shared" si="903"/>
        <v>NA</v>
      </c>
      <c r="AH2752" s="29" t="str">
        <f t="shared" si="904"/>
        <v>NA</v>
      </c>
    </row>
    <row r="2753" customHeight="1" spans="1:34">
      <c r="A2753" s="12" t="s">
        <v>1043</v>
      </c>
      <c r="F2753" s="24">
        <f t="shared" si="886"/>
        <v>0</v>
      </c>
      <c r="G2753" s="24" t="e">
        <f t="shared" si="885"/>
        <v>#DIV/0!</v>
      </c>
      <c r="Q2753" s="29" t="str">
        <f t="shared" si="887"/>
        <v>NA</v>
      </c>
      <c r="R2753" s="29" t="str">
        <f t="shared" si="888"/>
        <v>NA</v>
      </c>
      <c r="S2753" s="29" t="str">
        <f t="shared" si="889"/>
        <v>NA</v>
      </c>
      <c r="T2753" s="29" t="str">
        <f t="shared" si="890"/>
        <v>NA</v>
      </c>
      <c r="U2753" s="29" t="str">
        <f t="shared" si="891"/>
        <v>NA</v>
      </c>
      <c r="V2753" s="29" t="str">
        <f t="shared" si="892"/>
        <v>NA</v>
      </c>
      <c r="W2753" s="29" t="str">
        <f t="shared" si="893"/>
        <v>NA</v>
      </c>
      <c r="X2753" s="29" t="str">
        <f t="shared" si="894"/>
        <v>NA</v>
      </c>
      <c r="Y2753" s="29" t="str">
        <f t="shared" si="895"/>
        <v>NA</v>
      </c>
      <c r="Z2753" s="29" t="str">
        <f t="shared" si="896"/>
        <v>NA</v>
      </c>
      <c r="AA2753" s="29" t="str">
        <f t="shared" si="897"/>
        <v>NA</v>
      </c>
      <c r="AB2753" s="29" t="str">
        <f t="shared" si="898"/>
        <v>NA</v>
      </c>
      <c r="AC2753" s="29" t="str">
        <f t="shared" si="899"/>
        <v>NA</v>
      </c>
      <c r="AD2753" s="29" t="str">
        <f t="shared" si="900"/>
        <v>NA</v>
      </c>
      <c r="AE2753" s="29" t="str">
        <f t="shared" si="901"/>
        <v>NA</v>
      </c>
      <c r="AF2753" s="29" t="str">
        <f t="shared" si="902"/>
        <v>NA</v>
      </c>
      <c r="AG2753" s="29" t="str">
        <f t="shared" si="903"/>
        <v>NA</v>
      </c>
      <c r="AH2753" s="29" t="str">
        <f t="shared" si="904"/>
        <v>NA</v>
      </c>
    </row>
    <row r="2754" customHeight="1" spans="1:34">
      <c r="A2754" s="12" t="s">
        <v>1043</v>
      </c>
      <c r="F2754" s="24">
        <f t="shared" si="886"/>
        <v>0</v>
      </c>
      <c r="G2754" s="24" t="e">
        <f t="shared" si="885"/>
        <v>#DIV/0!</v>
      </c>
      <c r="Q2754" s="29" t="str">
        <f t="shared" si="887"/>
        <v>NA</v>
      </c>
      <c r="R2754" s="29" t="str">
        <f t="shared" si="888"/>
        <v>NA</v>
      </c>
      <c r="S2754" s="29" t="str">
        <f t="shared" si="889"/>
        <v>NA</v>
      </c>
      <c r="T2754" s="29" t="str">
        <f t="shared" si="890"/>
        <v>NA</v>
      </c>
      <c r="U2754" s="29" t="str">
        <f t="shared" si="891"/>
        <v>NA</v>
      </c>
      <c r="V2754" s="29" t="str">
        <f t="shared" si="892"/>
        <v>NA</v>
      </c>
      <c r="W2754" s="29" t="str">
        <f t="shared" si="893"/>
        <v>NA</v>
      </c>
      <c r="X2754" s="29" t="str">
        <f t="shared" si="894"/>
        <v>NA</v>
      </c>
      <c r="Y2754" s="29" t="str">
        <f t="shared" si="895"/>
        <v>NA</v>
      </c>
      <c r="Z2754" s="29" t="str">
        <f t="shared" si="896"/>
        <v>NA</v>
      </c>
      <c r="AA2754" s="29" t="str">
        <f t="shared" si="897"/>
        <v>NA</v>
      </c>
      <c r="AB2754" s="29" t="str">
        <f t="shared" si="898"/>
        <v>NA</v>
      </c>
      <c r="AC2754" s="29" t="str">
        <f t="shared" si="899"/>
        <v>NA</v>
      </c>
      <c r="AD2754" s="29" t="str">
        <f t="shared" si="900"/>
        <v>NA</v>
      </c>
      <c r="AE2754" s="29" t="str">
        <f t="shared" si="901"/>
        <v>NA</v>
      </c>
      <c r="AF2754" s="29" t="str">
        <f t="shared" si="902"/>
        <v>NA</v>
      </c>
      <c r="AG2754" s="29" t="str">
        <f t="shared" si="903"/>
        <v>NA</v>
      </c>
      <c r="AH2754" s="29" t="str">
        <f t="shared" si="904"/>
        <v>NA</v>
      </c>
    </row>
    <row r="2755" customHeight="1" spans="1:34">
      <c r="A2755" s="12" t="s">
        <v>1043</v>
      </c>
      <c r="F2755" s="24">
        <f t="shared" si="886"/>
        <v>0</v>
      </c>
      <c r="G2755" s="24" t="e">
        <f t="shared" si="885"/>
        <v>#DIV/0!</v>
      </c>
      <c r="Q2755" s="29" t="str">
        <f t="shared" si="887"/>
        <v>NA</v>
      </c>
      <c r="R2755" s="29" t="str">
        <f t="shared" si="888"/>
        <v>NA</v>
      </c>
      <c r="S2755" s="29" t="str">
        <f t="shared" si="889"/>
        <v>NA</v>
      </c>
      <c r="T2755" s="29" t="str">
        <f t="shared" si="890"/>
        <v>NA</v>
      </c>
      <c r="U2755" s="29" t="str">
        <f t="shared" si="891"/>
        <v>NA</v>
      </c>
      <c r="V2755" s="29" t="str">
        <f t="shared" si="892"/>
        <v>NA</v>
      </c>
      <c r="W2755" s="29" t="str">
        <f t="shared" si="893"/>
        <v>NA</v>
      </c>
      <c r="X2755" s="29" t="str">
        <f t="shared" si="894"/>
        <v>NA</v>
      </c>
      <c r="Y2755" s="29" t="str">
        <f t="shared" si="895"/>
        <v>NA</v>
      </c>
      <c r="Z2755" s="29" t="str">
        <f t="shared" si="896"/>
        <v>NA</v>
      </c>
      <c r="AA2755" s="29" t="str">
        <f t="shared" si="897"/>
        <v>NA</v>
      </c>
      <c r="AB2755" s="29" t="str">
        <f t="shared" si="898"/>
        <v>NA</v>
      </c>
      <c r="AC2755" s="29" t="str">
        <f t="shared" si="899"/>
        <v>NA</v>
      </c>
      <c r="AD2755" s="29" t="str">
        <f t="shared" si="900"/>
        <v>NA</v>
      </c>
      <c r="AE2755" s="29" t="str">
        <f t="shared" si="901"/>
        <v>NA</v>
      </c>
      <c r="AF2755" s="29" t="str">
        <f t="shared" si="902"/>
        <v>NA</v>
      </c>
      <c r="AG2755" s="29" t="str">
        <f t="shared" si="903"/>
        <v>NA</v>
      </c>
      <c r="AH2755" s="29" t="str">
        <f t="shared" si="904"/>
        <v>NA</v>
      </c>
    </row>
    <row r="2756" customHeight="1" spans="1:34">
      <c r="A2756" s="12" t="s">
        <v>1043</v>
      </c>
      <c r="F2756" s="24">
        <f t="shared" si="886"/>
        <v>0</v>
      </c>
      <c r="G2756" s="24" t="e">
        <f t="shared" si="885"/>
        <v>#DIV/0!</v>
      </c>
      <c r="Q2756" s="29" t="str">
        <f t="shared" si="887"/>
        <v>NA</v>
      </c>
      <c r="R2756" s="29" t="str">
        <f t="shared" si="888"/>
        <v>NA</v>
      </c>
      <c r="S2756" s="29" t="str">
        <f t="shared" si="889"/>
        <v>NA</v>
      </c>
      <c r="T2756" s="29" t="str">
        <f t="shared" si="890"/>
        <v>NA</v>
      </c>
      <c r="U2756" s="29" t="str">
        <f t="shared" si="891"/>
        <v>NA</v>
      </c>
      <c r="V2756" s="29" t="str">
        <f t="shared" si="892"/>
        <v>NA</v>
      </c>
      <c r="W2756" s="29" t="str">
        <f t="shared" si="893"/>
        <v>NA</v>
      </c>
      <c r="X2756" s="29" t="str">
        <f t="shared" si="894"/>
        <v>NA</v>
      </c>
      <c r="Y2756" s="29" t="str">
        <f t="shared" si="895"/>
        <v>NA</v>
      </c>
      <c r="Z2756" s="29" t="str">
        <f t="shared" si="896"/>
        <v>NA</v>
      </c>
      <c r="AA2756" s="29" t="str">
        <f t="shared" si="897"/>
        <v>NA</v>
      </c>
      <c r="AB2756" s="29" t="str">
        <f t="shared" si="898"/>
        <v>NA</v>
      </c>
      <c r="AC2756" s="29" t="str">
        <f t="shared" si="899"/>
        <v>NA</v>
      </c>
      <c r="AD2756" s="29" t="str">
        <f t="shared" si="900"/>
        <v>NA</v>
      </c>
      <c r="AE2756" s="29" t="str">
        <f t="shared" si="901"/>
        <v>NA</v>
      </c>
      <c r="AF2756" s="29" t="str">
        <f t="shared" si="902"/>
        <v>NA</v>
      </c>
      <c r="AG2756" s="29" t="str">
        <f t="shared" si="903"/>
        <v>NA</v>
      </c>
      <c r="AH2756" s="29" t="str">
        <f t="shared" si="904"/>
        <v>NA</v>
      </c>
    </row>
    <row r="2757" customHeight="1" spans="1:34">
      <c r="A2757" s="12" t="s">
        <v>1043</v>
      </c>
      <c r="F2757" s="24">
        <f t="shared" si="886"/>
        <v>0</v>
      </c>
      <c r="G2757" s="24" t="e">
        <f t="shared" ref="G2757:G2820" si="905">B2757*D2757/C2757</f>
        <v>#DIV/0!</v>
      </c>
      <c r="Q2757" s="29" t="str">
        <f t="shared" si="887"/>
        <v>NA</v>
      </c>
      <c r="R2757" s="29" t="str">
        <f t="shared" si="888"/>
        <v>NA</v>
      </c>
      <c r="S2757" s="29" t="str">
        <f t="shared" si="889"/>
        <v>NA</v>
      </c>
      <c r="T2757" s="29" t="str">
        <f t="shared" si="890"/>
        <v>NA</v>
      </c>
      <c r="U2757" s="29" t="str">
        <f t="shared" si="891"/>
        <v>NA</v>
      </c>
      <c r="V2757" s="29" t="str">
        <f t="shared" si="892"/>
        <v>NA</v>
      </c>
      <c r="W2757" s="29" t="str">
        <f t="shared" si="893"/>
        <v>NA</v>
      </c>
      <c r="X2757" s="29" t="str">
        <f t="shared" si="894"/>
        <v>NA</v>
      </c>
      <c r="Y2757" s="29" t="str">
        <f t="shared" si="895"/>
        <v>NA</v>
      </c>
      <c r="Z2757" s="29" t="str">
        <f t="shared" si="896"/>
        <v>NA</v>
      </c>
      <c r="AA2757" s="29" t="str">
        <f t="shared" si="897"/>
        <v>NA</v>
      </c>
      <c r="AB2757" s="29" t="str">
        <f t="shared" si="898"/>
        <v>NA</v>
      </c>
      <c r="AC2757" s="29" t="str">
        <f t="shared" si="899"/>
        <v>NA</v>
      </c>
      <c r="AD2757" s="29" t="str">
        <f t="shared" si="900"/>
        <v>NA</v>
      </c>
      <c r="AE2757" s="29" t="str">
        <f t="shared" si="901"/>
        <v>NA</v>
      </c>
      <c r="AF2757" s="29" t="str">
        <f t="shared" si="902"/>
        <v>NA</v>
      </c>
      <c r="AG2757" s="29" t="str">
        <f t="shared" si="903"/>
        <v>NA</v>
      </c>
      <c r="AH2757" s="29" t="str">
        <f t="shared" si="904"/>
        <v>NA</v>
      </c>
    </row>
    <row r="2758" customHeight="1" spans="1:34">
      <c r="A2758" s="12" t="s">
        <v>1043</v>
      </c>
      <c r="F2758" s="24">
        <f t="shared" ref="F2758:F2821" si="906">+D2758+E2758</f>
        <v>0</v>
      </c>
      <c r="G2758" s="24" t="e">
        <f t="shared" si="905"/>
        <v>#DIV/0!</v>
      </c>
      <c r="Q2758" s="29" t="str">
        <f t="shared" si="887"/>
        <v>NA</v>
      </c>
      <c r="R2758" s="29" t="str">
        <f t="shared" si="888"/>
        <v>NA</v>
      </c>
      <c r="S2758" s="29" t="str">
        <f t="shared" si="889"/>
        <v>NA</v>
      </c>
      <c r="T2758" s="29" t="str">
        <f t="shared" si="890"/>
        <v>NA</v>
      </c>
      <c r="U2758" s="29" t="str">
        <f t="shared" si="891"/>
        <v>NA</v>
      </c>
      <c r="V2758" s="29" t="str">
        <f t="shared" si="892"/>
        <v>NA</v>
      </c>
      <c r="W2758" s="29" t="str">
        <f t="shared" si="893"/>
        <v>NA</v>
      </c>
      <c r="X2758" s="29" t="str">
        <f t="shared" si="894"/>
        <v>NA</v>
      </c>
      <c r="Y2758" s="29" t="str">
        <f t="shared" si="895"/>
        <v>NA</v>
      </c>
      <c r="Z2758" s="29" t="str">
        <f t="shared" si="896"/>
        <v>NA</v>
      </c>
      <c r="AA2758" s="29" t="str">
        <f t="shared" si="897"/>
        <v>NA</v>
      </c>
      <c r="AB2758" s="29" t="str">
        <f t="shared" si="898"/>
        <v>NA</v>
      </c>
      <c r="AC2758" s="29" t="str">
        <f t="shared" si="899"/>
        <v>NA</v>
      </c>
      <c r="AD2758" s="29" t="str">
        <f t="shared" si="900"/>
        <v>NA</v>
      </c>
      <c r="AE2758" s="29" t="str">
        <f t="shared" si="901"/>
        <v>NA</v>
      </c>
      <c r="AF2758" s="29" t="str">
        <f t="shared" si="902"/>
        <v>NA</v>
      </c>
      <c r="AG2758" s="29" t="str">
        <f t="shared" si="903"/>
        <v>NA</v>
      </c>
      <c r="AH2758" s="29" t="str">
        <f t="shared" si="904"/>
        <v>NA</v>
      </c>
    </row>
    <row r="2759" customHeight="1" spans="1:34">
      <c r="A2759" s="12" t="s">
        <v>1043</v>
      </c>
      <c r="F2759" s="24">
        <f t="shared" si="906"/>
        <v>0</v>
      </c>
      <c r="G2759" s="24" t="e">
        <f t="shared" si="905"/>
        <v>#DIV/0!</v>
      </c>
      <c r="Q2759" s="29" t="str">
        <f t="shared" si="887"/>
        <v>NA</v>
      </c>
      <c r="R2759" s="29" t="str">
        <f t="shared" si="888"/>
        <v>NA</v>
      </c>
      <c r="S2759" s="29" t="str">
        <f t="shared" si="889"/>
        <v>NA</v>
      </c>
      <c r="T2759" s="29" t="str">
        <f t="shared" si="890"/>
        <v>NA</v>
      </c>
      <c r="U2759" s="29" t="str">
        <f t="shared" si="891"/>
        <v>NA</v>
      </c>
      <c r="V2759" s="29" t="str">
        <f t="shared" si="892"/>
        <v>NA</v>
      </c>
      <c r="W2759" s="29" t="str">
        <f t="shared" si="893"/>
        <v>NA</v>
      </c>
      <c r="X2759" s="29" t="str">
        <f t="shared" si="894"/>
        <v>NA</v>
      </c>
      <c r="Y2759" s="29" t="str">
        <f t="shared" si="895"/>
        <v>NA</v>
      </c>
      <c r="Z2759" s="29" t="str">
        <f t="shared" si="896"/>
        <v>NA</v>
      </c>
      <c r="AA2759" s="29" t="str">
        <f t="shared" si="897"/>
        <v>NA</v>
      </c>
      <c r="AB2759" s="29" t="str">
        <f t="shared" si="898"/>
        <v>NA</v>
      </c>
      <c r="AC2759" s="29" t="str">
        <f t="shared" si="899"/>
        <v>NA</v>
      </c>
      <c r="AD2759" s="29" t="str">
        <f t="shared" si="900"/>
        <v>NA</v>
      </c>
      <c r="AE2759" s="29" t="str">
        <f t="shared" si="901"/>
        <v>NA</v>
      </c>
      <c r="AF2759" s="29" t="str">
        <f t="shared" si="902"/>
        <v>NA</v>
      </c>
      <c r="AG2759" s="29" t="str">
        <f t="shared" si="903"/>
        <v>NA</v>
      </c>
      <c r="AH2759" s="29" t="str">
        <f t="shared" si="904"/>
        <v>NA</v>
      </c>
    </row>
    <row r="2760" customHeight="1" spans="1:34">
      <c r="A2760" s="12" t="s">
        <v>1043</v>
      </c>
      <c r="F2760" s="24">
        <f t="shared" si="906"/>
        <v>0</v>
      </c>
      <c r="G2760" s="24" t="e">
        <f t="shared" si="905"/>
        <v>#DIV/0!</v>
      </c>
      <c r="Q2760" s="29" t="str">
        <f t="shared" si="887"/>
        <v>NA</v>
      </c>
      <c r="R2760" s="29" t="str">
        <f t="shared" si="888"/>
        <v>NA</v>
      </c>
      <c r="S2760" s="29" t="str">
        <f t="shared" si="889"/>
        <v>NA</v>
      </c>
      <c r="T2760" s="29" t="str">
        <f t="shared" si="890"/>
        <v>NA</v>
      </c>
      <c r="U2760" s="29" t="str">
        <f t="shared" si="891"/>
        <v>NA</v>
      </c>
      <c r="V2760" s="29" t="str">
        <f t="shared" si="892"/>
        <v>NA</v>
      </c>
      <c r="W2760" s="29" t="str">
        <f t="shared" si="893"/>
        <v>NA</v>
      </c>
      <c r="X2760" s="29" t="str">
        <f t="shared" si="894"/>
        <v>NA</v>
      </c>
      <c r="Y2760" s="29" t="str">
        <f t="shared" si="895"/>
        <v>NA</v>
      </c>
      <c r="Z2760" s="29" t="str">
        <f t="shared" si="896"/>
        <v>NA</v>
      </c>
      <c r="AA2760" s="29" t="str">
        <f t="shared" si="897"/>
        <v>NA</v>
      </c>
      <c r="AB2760" s="29" t="str">
        <f t="shared" si="898"/>
        <v>NA</v>
      </c>
      <c r="AC2760" s="29" t="str">
        <f t="shared" si="899"/>
        <v>NA</v>
      </c>
      <c r="AD2760" s="29" t="str">
        <f t="shared" si="900"/>
        <v>NA</v>
      </c>
      <c r="AE2760" s="29" t="str">
        <f t="shared" si="901"/>
        <v>NA</v>
      </c>
      <c r="AF2760" s="29" t="str">
        <f t="shared" si="902"/>
        <v>NA</v>
      </c>
      <c r="AG2760" s="29" t="str">
        <f t="shared" si="903"/>
        <v>NA</v>
      </c>
      <c r="AH2760" s="29" t="str">
        <f t="shared" si="904"/>
        <v>NA</v>
      </c>
    </row>
    <row r="2761" customHeight="1" spans="1:34">
      <c r="A2761" s="12" t="s">
        <v>1043</v>
      </c>
      <c r="F2761" s="24">
        <f t="shared" si="906"/>
        <v>0</v>
      </c>
      <c r="G2761" s="24" t="e">
        <f t="shared" si="905"/>
        <v>#DIV/0!</v>
      </c>
      <c r="Q2761" s="29" t="str">
        <f t="shared" si="887"/>
        <v>NA</v>
      </c>
      <c r="R2761" s="29" t="str">
        <f t="shared" si="888"/>
        <v>NA</v>
      </c>
      <c r="S2761" s="29" t="str">
        <f t="shared" si="889"/>
        <v>NA</v>
      </c>
      <c r="T2761" s="29" t="str">
        <f t="shared" si="890"/>
        <v>NA</v>
      </c>
      <c r="U2761" s="29" t="str">
        <f t="shared" si="891"/>
        <v>NA</v>
      </c>
      <c r="V2761" s="29" t="str">
        <f t="shared" si="892"/>
        <v>NA</v>
      </c>
      <c r="W2761" s="29" t="str">
        <f t="shared" si="893"/>
        <v>NA</v>
      </c>
      <c r="X2761" s="29" t="str">
        <f t="shared" si="894"/>
        <v>NA</v>
      </c>
      <c r="Y2761" s="29" t="str">
        <f t="shared" si="895"/>
        <v>NA</v>
      </c>
      <c r="Z2761" s="29" t="str">
        <f t="shared" si="896"/>
        <v>NA</v>
      </c>
      <c r="AA2761" s="29" t="str">
        <f t="shared" si="897"/>
        <v>NA</v>
      </c>
      <c r="AB2761" s="29" t="str">
        <f t="shared" si="898"/>
        <v>NA</v>
      </c>
      <c r="AC2761" s="29" t="str">
        <f t="shared" si="899"/>
        <v>NA</v>
      </c>
      <c r="AD2761" s="29" t="str">
        <f t="shared" si="900"/>
        <v>NA</v>
      </c>
      <c r="AE2761" s="29" t="str">
        <f t="shared" si="901"/>
        <v>NA</v>
      </c>
      <c r="AF2761" s="29" t="str">
        <f t="shared" si="902"/>
        <v>NA</v>
      </c>
      <c r="AG2761" s="29" t="str">
        <f t="shared" si="903"/>
        <v>NA</v>
      </c>
      <c r="AH2761" s="29" t="str">
        <f t="shared" si="904"/>
        <v>NA</v>
      </c>
    </row>
    <row r="2762" customHeight="1" spans="1:34">
      <c r="A2762" s="12" t="s">
        <v>1043</v>
      </c>
      <c r="F2762" s="24">
        <f t="shared" si="906"/>
        <v>0</v>
      </c>
      <c r="G2762" s="24" t="e">
        <f t="shared" si="905"/>
        <v>#DIV/0!</v>
      </c>
      <c r="Q2762" s="29" t="str">
        <f t="shared" si="887"/>
        <v>NA</v>
      </c>
      <c r="R2762" s="29" t="str">
        <f t="shared" si="888"/>
        <v>NA</v>
      </c>
      <c r="S2762" s="29" t="str">
        <f t="shared" si="889"/>
        <v>NA</v>
      </c>
      <c r="T2762" s="29" t="str">
        <f t="shared" si="890"/>
        <v>NA</v>
      </c>
      <c r="U2762" s="29" t="str">
        <f t="shared" si="891"/>
        <v>NA</v>
      </c>
      <c r="V2762" s="29" t="str">
        <f t="shared" si="892"/>
        <v>NA</v>
      </c>
      <c r="W2762" s="29" t="str">
        <f t="shared" si="893"/>
        <v>NA</v>
      </c>
      <c r="X2762" s="29" t="str">
        <f t="shared" si="894"/>
        <v>NA</v>
      </c>
      <c r="Y2762" s="29" t="str">
        <f t="shared" si="895"/>
        <v>NA</v>
      </c>
      <c r="Z2762" s="29" t="str">
        <f t="shared" si="896"/>
        <v>NA</v>
      </c>
      <c r="AA2762" s="29" t="str">
        <f t="shared" si="897"/>
        <v>NA</v>
      </c>
      <c r="AB2762" s="29" t="str">
        <f t="shared" si="898"/>
        <v>NA</v>
      </c>
      <c r="AC2762" s="29" t="str">
        <f t="shared" si="899"/>
        <v>NA</v>
      </c>
      <c r="AD2762" s="29" t="str">
        <f t="shared" si="900"/>
        <v>NA</v>
      </c>
      <c r="AE2762" s="29" t="str">
        <f t="shared" si="901"/>
        <v>NA</v>
      </c>
      <c r="AF2762" s="29" t="str">
        <f t="shared" si="902"/>
        <v>NA</v>
      </c>
      <c r="AG2762" s="29" t="str">
        <f t="shared" si="903"/>
        <v>NA</v>
      </c>
      <c r="AH2762" s="29" t="str">
        <f t="shared" si="904"/>
        <v>NA</v>
      </c>
    </row>
    <row r="2763" customHeight="1" spans="1:34">
      <c r="A2763" s="12" t="s">
        <v>1043</v>
      </c>
      <c r="F2763" s="24">
        <f t="shared" si="906"/>
        <v>0</v>
      </c>
      <c r="G2763" s="24" t="e">
        <f t="shared" si="905"/>
        <v>#DIV/0!</v>
      </c>
      <c r="Q2763" s="29" t="str">
        <f t="shared" si="887"/>
        <v>NA</v>
      </c>
      <c r="R2763" s="29" t="str">
        <f t="shared" si="888"/>
        <v>NA</v>
      </c>
      <c r="S2763" s="29" t="str">
        <f t="shared" si="889"/>
        <v>NA</v>
      </c>
      <c r="T2763" s="29" t="str">
        <f t="shared" si="890"/>
        <v>NA</v>
      </c>
      <c r="U2763" s="29" t="str">
        <f t="shared" si="891"/>
        <v>NA</v>
      </c>
      <c r="V2763" s="29" t="str">
        <f t="shared" si="892"/>
        <v>NA</v>
      </c>
      <c r="W2763" s="29" t="str">
        <f t="shared" si="893"/>
        <v>NA</v>
      </c>
      <c r="X2763" s="29" t="str">
        <f t="shared" si="894"/>
        <v>NA</v>
      </c>
      <c r="Y2763" s="29" t="str">
        <f t="shared" si="895"/>
        <v>NA</v>
      </c>
      <c r="Z2763" s="29" t="str">
        <f t="shared" si="896"/>
        <v>NA</v>
      </c>
      <c r="AA2763" s="29" t="str">
        <f t="shared" si="897"/>
        <v>NA</v>
      </c>
      <c r="AB2763" s="29" t="str">
        <f t="shared" si="898"/>
        <v>NA</v>
      </c>
      <c r="AC2763" s="29" t="str">
        <f t="shared" si="899"/>
        <v>NA</v>
      </c>
      <c r="AD2763" s="29" t="str">
        <f t="shared" si="900"/>
        <v>NA</v>
      </c>
      <c r="AE2763" s="29" t="str">
        <f t="shared" si="901"/>
        <v>NA</v>
      </c>
      <c r="AF2763" s="29" t="str">
        <f t="shared" si="902"/>
        <v>NA</v>
      </c>
      <c r="AG2763" s="29" t="str">
        <f t="shared" si="903"/>
        <v>NA</v>
      </c>
      <c r="AH2763" s="29" t="str">
        <f t="shared" si="904"/>
        <v>NA</v>
      </c>
    </row>
    <row r="2764" customHeight="1" spans="1:34">
      <c r="A2764" s="12" t="s">
        <v>1043</v>
      </c>
      <c r="F2764" s="24">
        <f t="shared" si="906"/>
        <v>0</v>
      </c>
      <c r="G2764" s="24" t="e">
        <f t="shared" si="905"/>
        <v>#DIV/0!</v>
      </c>
      <c r="Q2764" s="29" t="str">
        <f t="shared" si="887"/>
        <v>NA</v>
      </c>
      <c r="R2764" s="29" t="str">
        <f t="shared" si="888"/>
        <v>NA</v>
      </c>
      <c r="S2764" s="29" t="str">
        <f t="shared" si="889"/>
        <v>NA</v>
      </c>
      <c r="T2764" s="29" t="str">
        <f t="shared" si="890"/>
        <v>NA</v>
      </c>
      <c r="U2764" s="29" t="str">
        <f t="shared" si="891"/>
        <v>NA</v>
      </c>
      <c r="V2764" s="29" t="str">
        <f t="shared" si="892"/>
        <v>NA</v>
      </c>
      <c r="W2764" s="29" t="str">
        <f t="shared" si="893"/>
        <v>NA</v>
      </c>
      <c r="X2764" s="29" t="str">
        <f t="shared" si="894"/>
        <v>NA</v>
      </c>
      <c r="Y2764" s="29" t="str">
        <f t="shared" si="895"/>
        <v>NA</v>
      </c>
      <c r="Z2764" s="29" t="str">
        <f t="shared" si="896"/>
        <v>NA</v>
      </c>
      <c r="AA2764" s="29" t="str">
        <f t="shared" si="897"/>
        <v>NA</v>
      </c>
      <c r="AB2764" s="29" t="str">
        <f t="shared" si="898"/>
        <v>NA</v>
      </c>
      <c r="AC2764" s="29" t="str">
        <f t="shared" si="899"/>
        <v>NA</v>
      </c>
      <c r="AD2764" s="29" t="str">
        <f t="shared" si="900"/>
        <v>NA</v>
      </c>
      <c r="AE2764" s="29" t="str">
        <f t="shared" si="901"/>
        <v>NA</v>
      </c>
      <c r="AF2764" s="29" t="str">
        <f t="shared" si="902"/>
        <v>NA</v>
      </c>
      <c r="AG2764" s="29" t="str">
        <f t="shared" si="903"/>
        <v>NA</v>
      </c>
      <c r="AH2764" s="29" t="str">
        <f t="shared" si="904"/>
        <v>NA</v>
      </c>
    </row>
    <row r="2765" customHeight="1" spans="1:34">
      <c r="A2765" s="12" t="s">
        <v>1043</v>
      </c>
      <c r="F2765" s="24">
        <f t="shared" si="906"/>
        <v>0</v>
      </c>
      <c r="G2765" s="24" t="e">
        <f t="shared" si="905"/>
        <v>#DIV/0!</v>
      </c>
      <c r="Q2765" s="29" t="str">
        <f t="shared" si="887"/>
        <v>NA</v>
      </c>
      <c r="R2765" s="29" t="str">
        <f t="shared" si="888"/>
        <v>NA</v>
      </c>
      <c r="S2765" s="29" t="str">
        <f t="shared" si="889"/>
        <v>NA</v>
      </c>
      <c r="T2765" s="29" t="str">
        <f t="shared" si="890"/>
        <v>NA</v>
      </c>
      <c r="U2765" s="29" t="str">
        <f t="shared" si="891"/>
        <v>NA</v>
      </c>
      <c r="V2765" s="29" t="str">
        <f t="shared" si="892"/>
        <v>NA</v>
      </c>
      <c r="W2765" s="29" t="str">
        <f t="shared" si="893"/>
        <v>NA</v>
      </c>
      <c r="X2765" s="29" t="str">
        <f t="shared" si="894"/>
        <v>NA</v>
      </c>
      <c r="Y2765" s="29" t="str">
        <f t="shared" si="895"/>
        <v>NA</v>
      </c>
      <c r="Z2765" s="29" t="str">
        <f t="shared" si="896"/>
        <v>NA</v>
      </c>
      <c r="AA2765" s="29" t="str">
        <f t="shared" si="897"/>
        <v>NA</v>
      </c>
      <c r="AB2765" s="29" t="str">
        <f t="shared" si="898"/>
        <v>NA</v>
      </c>
      <c r="AC2765" s="29" t="str">
        <f t="shared" si="899"/>
        <v>NA</v>
      </c>
      <c r="AD2765" s="29" t="str">
        <f t="shared" si="900"/>
        <v>NA</v>
      </c>
      <c r="AE2765" s="29" t="str">
        <f t="shared" si="901"/>
        <v>NA</v>
      </c>
      <c r="AF2765" s="29" t="str">
        <f t="shared" si="902"/>
        <v>NA</v>
      </c>
      <c r="AG2765" s="29" t="str">
        <f t="shared" si="903"/>
        <v>NA</v>
      </c>
      <c r="AH2765" s="29" t="str">
        <f t="shared" si="904"/>
        <v>NA</v>
      </c>
    </row>
    <row r="2766" customHeight="1" spans="1:34">
      <c r="A2766" s="12" t="s">
        <v>1043</v>
      </c>
      <c r="F2766" s="24">
        <f t="shared" si="906"/>
        <v>0</v>
      </c>
      <c r="G2766" s="24" t="e">
        <f t="shared" si="905"/>
        <v>#DIV/0!</v>
      </c>
      <c r="Q2766" s="29" t="str">
        <f t="shared" si="887"/>
        <v>NA</v>
      </c>
      <c r="R2766" s="29" t="str">
        <f t="shared" si="888"/>
        <v>NA</v>
      </c>
      <c r="S2766" s="29" t="str">
        <f t="shared" si="889"/>
        <v>NA</v>
      </c>
      <c r="T2766" s="29" t="str">
        <f t="shared" si="890"/>
        <v>NA</v>
      </c>
      <c r="U2766" s="29" t="str">
        <f t="shared" si="891"/>
        <v>NA</v>
      </c>
      <c r="V2766" s="29" t="str">
        <f t="shared" si="892"/>
        <v>NA</v>
      </c>
      <c r="W2766" s="29" t="str">
        <f t="shared" si="893"/>
        <v>NA</v>
      </c>
      <c r="X2766" s="29" t="str">
        <f t="shared" si="894"/>
        <v>NA</v>
      </c>
      <c r="Y2766" s="29" t="str">
        <f t="shared" si="895"/>
        <v>NA</v>
      </c>
      <c r="Z2766" s="29" t="str">
        <f t="shared" si="896"/>
        <v>NA</v>
      </c>
      <c r="AA2766" s="29" t="str">
        <f t="shared" si="897"/>
        <v>NA</v>
      </c>
      <c r="AB2766" s="29" t="str">
        <f t="shared" si="898"/>
        <v>NA</v>
      </c>
      <c r="AC2766" s="29" t="str">
        <f t="shared" si="899"/>
        <v>NA</v>
      </c>
      <c r="AD2766" s="29" t="str">
        <f t="shared" si="900"/>
        <v>NA</v>
      </c>
      <c r="AE2766" s="29" t="str">
        <f t="shared" si="901"/>
        <v>NA</v>
      </c>
      <c r="AF2766" s="29" t="str">
        <f t="shared" si="902"/>
        <v>NA</v>
      </c>
      <c r="AG2766" s="29" t="str">
        <f t="shared" si="903"/>
        <v>NA</v>
      </c>
      <c r="AH2766" s="29" t="str">
        <f t="shared" si="904"/>
        <v>NA</v>
      </c>
    </row>
    <row r="2767" customHeight="1" spans="1:34">
      <c r="A2767" s="12" t="s">
        <v>1043</v>
      </c>
      <c r="F2767" s="24">
        <f t="shared" si="906"/>
        <v>0</v>
      </c>
      <c r="G2767" s="24" t="e">
        <f t="shared" si="905"/>
        <v>#DIV/0!</v>
      </c>
      <c r="Q2767" s="29" t="str">
        <f t="shared" si="887"/>
        <v>NA</v>
      </c>
      <c r="R2767" s="29" t="str">
        <f t="shared" si="888"/>
        <v>NA</v>
      </c>
      <c r="S2767" s="29" t="str">
        <f t="shared" si="889"/>
        <v>NA</v>
      </c>
      <c r="T2767" s="29" t="str">
        <f t="shared" si="890"/>
        <v>NA</v>
      </c>
      <c r="U2767" s="29" t="str">
        <f t="shared" si="891"/>
        <v>NA</v>
      </c>
      <c r="V2767" s="29" t="str">
        <f t="shared" si="892"/>
        <v>NA</v>
      </c>
      <c r="W2767" s="29" t="str">
        <f t="shared" si="893"/>
        <v>NA</v>
      </c>
      <c r="X2767" s="29" t="str">
        <f t="shared" si="894"/>
        <v>NA</v>
      </c>
      <c r="Y2767" s="29" t="str">
        <f t="shared" si="895"/>
        <v>NA</v>
      </c>
      <c r="Z2767" s="29" t="str">
        <f t="shared" si="896"/>
        <v>NA</v>
      </c>
      <c r="AA2767" s="29" t="str">
        <f t="shared" si="897"/>
        <v>NA</v>
      </c>
      <c r="AB2767" s="29" t="str">
        <f t="shared" si="898"/>
        <v>NA</v>
      </c>
      <c r="AC2767" s="29" t="str">
        <f t="shared" si="899"/>
        <v>NA</v>
      </c>
      <c r="AD2767" s="29" t="str">
        <f t="shared" si="900"/>
        <v>NA</v>
      </c>
      <c r="AE2767" s="29" t="str">
        <f t="shared" si="901"/>
        <v>NA</v>
      </c>
      <c r="AF2767" s="29" t="str">
        <f t="shared" si="902"/>
        <v>NA</v>
      </c>
      <c r="AG2767" s="29" t="str">
        <f t="shared" si="903"/>
        <v>NA</v>
      </c>
      <c r="AH2767" s="29" t="str">
        <f t="shared" si="904"/>
        <v>NA</v>
      </c>
    </row>
    <row r="2768" customHeight="1" spans="1:34">
      <c r="A2768" s="12" t="s">
        <v>1043</v>
      </c>
      <c r="F2768" s="24">
        <f t="shared" si="906"/>
        <v>0</v>
      </c>
      <c r="G2768" s="24" t="e">
        <f t="shared" si="905"/>
        <v>#DIV/0!</v>
      </c>
      <c r="Q2768" s="29" t="str">
        <f t="shared" ref="Q2768:Q2831" si="907">IFERROR($B2768*$E2768/H2768,"NA")</f>
        <v>NA</v>
      </c>
      <c r="R2768" s="29" t="str">
        <f t="shared" ref="R2768:R2831" si="908">IFERROR($B2768*$E2768/I2768,"NA")</f>
        <v>NA</v>
      </c>
      <c r="S2768" s="29" t="str">
        <f t="shared" ref="S2768:S2831" si="909">IFERROR($B2768*$E2768/J2768,"NA")</f>
        <v>NA</v>
      </c>
      <c r="T2768" s="29" t="str">
        <f t="shared" ref="T2768:T2831" si="910">IFERROR($B2768*$E2768/K2768,"NA")</f>
        <v>NA</v>
      </c>
      <c r="U2768" s="29" t="str">
        <f t="shared" ref="U2768:U2831" si="911">IFERROR($B2768*$E2768/L2768,"NA")</f>
        <v>NA</v>
      </c>
      <c r="V2768" s="29" t="str">
        <f t="shared" ref="V2768:V2831" si="912">IFERROR($B2768*$E2768/M2768,"NA")</f>
        <v>NA</v>
      </c>
      <c r="W2768" s="29" t="str">
        <f t="shared" ref="W2768:W2831" si="913">IFERROR($B2768*$E2768/N2768,"NA")</f>
        <v>NA</v>
      </c>
      <c r="X2768" s="29" t="str">
        <f t="shared" ref="X2768:X2831" si="914">IFERROR($B2768*$E2768/O2768,"NA")</f>
        <v>NA</v>
      </c>
      <c r="Y2768" s="29" t="str">
        <f t="shared" ref="Y2768:Y2831" si="915">IFERROR($B2768*$E2768/P2768,"NA")</f>
        <v>NA</v>
      </c>
      <c r="Z2768" s="29" t="str">
        <f t="shared" ref="Z2768:Z2831" si="916">IFERROR((($G2768*Z$2/1000)+Q2768)/1,"NA")</f>
        <v>NA</v>
      </c>
      <c r="AA2768" s="29" t="str">
        <f t="shared" ref="AA2768:AA2831" si="917">IFERROR((($G2768*AA$2/1000)+R2768)/1,"NA")</f>
        <v>NA</v>
      </c>
      <c r="AB2768" s="29" t="str">
        <f t="shared" ref="AB2768:AB2831" si="918">IFERROR((($G2768*AB$2/1000)+S2768)/1,"NA")</f>
        <v>NA</v>
      </c>
      <c r="AC2768" s="29" t="str">
        <f t="shared" ref="AC2768:AC2831" si="919">IFERROR((($G2768*AC$2/1000)+T2768)/1,"NA")</f>
        <v>NA</v>
      </c>
      <c r="AD2768" s="29" t="str">
        <f t="shared" ref="AD2768:AD2831" si="920">IFERROR((($G2768*AD$2/1000)+U2768)/1,"NA")</f>
        <v>NA</v>
      </c>
      <c r="AE2768" s="29" t="str">
        <f t="shared" ref="AE2768:AE2831" si="921">IFERROR((($G2768*AE$2/1000)+V2768)/1,"NA")</f>
        <v>NA</v>
      </c>
      <c r="AF2768" s="29" t="str">
        <f t="shared" ref="AF2768:AF2831" si="922">IFERROR((($G2768*AF$2/1000)+W2768)/1,"NA")</f>
        <v>NA</v>
      </c>
      <c r="AG2768" s="29" t="str">
        <f t="shared" ref="AG2768:AG2831" si="923">IFERROR((($G2768*AG$2/1000)+X2768)/1,"NA")</f>
        <v>NA</v>
      </c>
      <c r="AH2768" s="29" t="str">
        <f t="shared" ref="AH2768:AH2831" si="924">IFERROR((($G2768*AH$2/1000)+Y2768)/1,"NA")</f>
        <v>NA</v>
      </c>
    </row>
    <row r="2769" customHeight="1" spans="1:34">
      <c r="A2769" s="12" t="s">
        <v>1043</v>
      </c>
      <c r="F2769" s="24">
        <f t="shared" si="906"/>
        <v>0</v>
      </c>
      <c r="G2769" s="24" t="e">
        <f t="shared" si="905"/>
        <v>#DIV/0!</v>
      </c>
      <c r="Q2769" s="29" t="str">
        <f t="shared" si="907"/>
        <v>NA</v>
      </c>
      <c r="R2769" s="29" t="str">
        <f t="shared" si="908"/>
        <v>NA</v>
      </c>
      <c r="S2769" s="29" t="str">
        <f t="shared" si="909"/>
        <v>NA</v>
      </c>
      <c r="T2769" s="29" t="str">
        <f t="shared" si="910"/>
        <v>NA</v>
      </c>
      <c r="U2769" s="29" t="str">
        <f t="shared" si="911"/>
        <v>NA</v>
      </c>
      <c r="V2769" s="29" t="str">
        <f t="shared" si="912"/>
        <v>NA</v>
      </c>
      <c r="W2769" s="29" t="str">
        <f t="shared" si="913"/>
        <v>NA</v>
      </c>
      <c r="X2769" s="29" t="str">
        <f t="shared" si="914"/>
        <v>NA</v>
      </c>
      <c r="Y2769" s="29" t="str">
        <f t="shared" si="915"/>
        <v>NA</v>
      </c>
      <c r="Z2769" s="29" t="str">
        <f t="shared" si="916"/>
        <v>NA</v>
      </c>
      <c r="AA2769" s="29" t="str">
        <f t="shared" si="917"/>
        <v>NA</v>
      </c>
      <c r="AB2769" s="29" t="str">
        <f t="shared" si="918"/>
        <v>NA</v>
      </c>
      <c r="AC2769" s="29" t="str">
        <f t="shared" si="919"/>
        <v>NA</v>
      </c>
      <c r="AD2769" s="29" t="str">
        <f t="shared" si="920"/>
        <v>NA</v>
      </c>
      <c r="AE2769" s="29" t="str">
        <f t="shared" si="921"/>
        <v>NA</v>
      </c>
      <c r="AF2769" s="29" t="str">
        <f t="shared" si="922"/>
        <v>NA</v>
      </c>
      <c r="AG2769" s="29" t="str">
        <f t="shared" si="923"/>
        <v>NA</v>
      </c>
      <c r="AH2769" s="29" t="str">
        <f t="shared" si="924"/>
        <v>NA</v>
      </c>
    </row>
    <row r="2770" customHeight="1" spans="1:34">
      <c r="A2770" s="12" t="s">
        <v>1043</v>
      </c>
      <c r="F2770" s="24">
        <f t="shared" si="906"/>
        <v>0</v>
      </c>
      <c r="G2770" s="24" t="e">
        <f t="shared" si="905"/>
        <v>#DIV/0!</v>
      </c>
      <c r="Q2770" s="29" t="str">
        <f t="shared" si="907"/>
        <v>NA</v>
      </c>
      <c r="R2770" s="29" t="str">
        <f t="shared" si="908"/>
        <v>NA</v>
      </c>
      <c r="S2770" s="29" t="str">
        <f t="shared" si="909"/>
        <v>NA</v>
      </c>
      <c r="T2770" s="29" t="str">
        <f t="shared" si="910"/>
        <v>NA</v>
      </c>
      <c r="U2770" s="29" t="str">
        <f t="shared" si="911"/>
        <v>NA</v>
      </c>
      <c r="V2770" s="29" t="str">
        <f t="shared" si="912"/>
        <v>NA</v>
      </c>
      <c r="W2770" s="29" t="str">
        <f t="shared" si="913"/>
        <v>NA</v>
      </c>
      <c r="X2770" s="29" t="str">
        <f t="shared" si="914"/>
        <v>NA</v>
      </c>
      <c r="Y2770" s="29" t="str">
        <f t="shared" si="915"/>
        <v>NA</v>
      </c>
      <c r="Z2770" s="29" t="str">
        <f t="shared" si="916"/>
        <v>NA</v>
      </c>
      <c r="AA2770" s="29" t="str">
        <f t="shared" si="917"/>
        <v>NA</v>
      </c>
      <c r="AB2770" s="29" t="str">
        <f t="shared" si="918"/>
        <v>NA</v>
      </c>
      <c r="AC2770" s="29" t="str">
        <f t="shared" si="919"/>
        <v>NA</v>
      </c>
      <c r="AD2770" s="29" t="str">
        <f t="shared" si="920"/>
        <v>NA</v>
      </c>
      <c r="AE2770" s="29" t="str">
        <f t="shared" si="921"/>
        <v>NA</v>
      </c>
      <c r="AF2770" s="29" t="str">
        <f t="shared" si="922"/>
        <v>NA</v>
      </c>
      <c r="AG2770" s="29" t="str">
        <f t="shared" si="923"/>
        <v>NA</v>
      </c>
      <c r="AH2770" s="29" t="str">
        <f t="shared" si="924"/>
        <v>NA</v>
      </c>
    </row>
    <row r="2771" customHeight="1" spans="1:34">
      <c r="A2771" s="12" t="s">
        <v>1043</v>
      </c>
      <c r="F2771" s="24">
        <f t="shared" si="906"/>
        <v>0</v>
      </c>
      <c r="G2771" s="24" t="e">
        <f t="shared" si="905"/>
        <v>#DIV/0!</v>
      </c>
      <c r="Q2771" s="29" t="str">
        <f t="shared" si="907"/>
        <v>NA</v>
      </c>
      <c r="R2771" s="29" t="str">
        <f t="shared" si="908"/>
        <v>NA</v>
      </c>
      <c r="S2771" s="29" t="str">
        <f t="shared" si="909"/>
        <v>NA</v>
      </c>
      <c r="T2771" s="29" t="str">
        <f t="shared" si="910"/>
        <v>NA</v>
      </c>
      <c r="U2771" s="29" t="str">
        <f t="shared" si="911"/>
        <v>NA</v>
      </c>
      <c r="V2771" s="29" t="str">
        <f t="shared" si="912"/>
        <v>NA</v>
      </c>
      <c r="W2771" s="29" t="str">
        <f t="shared" si="913"/>
        <v>NA</v>
      </c>
      <c r="X2771" s="29" t="str">
        <f t="shared" si="914"/>
        <v>NA</v>
      </c>
      <c r="Y2771" s="29" t="str">
        <f t="shared" si="915"/>
        <v>NA</v>
      </c>
      <c r="Z2771" s="29" t="str">
        <f t="shared" si="916"/>
        <v>NA</v>
      </c>
      <c r="AA2771" s="29" t="str">
        <f t="shared" si="917"/>
        <v>NA</v>
      </c>
      <c r="AB2771" s="29" t="str">
        <f t="shared" si="918"/>
        <v>NA</v>
      </c>
      <c r="AC2771" s="29" t="str">
        <f t="shared" si="919"/>
        <v>NA</v>
      </c>
      <c r="AD2771" s="29" t="str">
        <f t="shared" si="920"/>
        <v>NA</v>
      </c>
      <c r="AE2771" s="29" t="str">
        <f t="shared" si="921"/>
        <v>NA</v>
      </c>
      <c r="AF2771" s="29" t="str">
        <f t="shared" si="922"/>
        <v>NA</v>
      </c>
      <c r="AG2771" s="29" t="str">
        <f t="shared" si="923"/>
        <v>NA</v>
      </c>
      <c r="AH2771" s="29" t="str">
        <f t="shared" si="924"/>
        <v>NA</v>
      </c>
    </row>
    <row r="2772" customHeight="1" spans="1:34">
      <c r="A2772" s="12" t="s">
        <v>1043</v>
      </c>
      <c r="F2772" s="24">
        <f t="shared" si="906"/>
        <v>0</v>
      </c>
      <c r="G2772" s="24" t="e">
        <f t="shared" si="905"/>
        <v>#DIV/0!</v>
      </c>
      <c r="Q2772" s="29" t="str">
        <f t="shared" si="907"/>
        <v>NA</v>
      </c>
      <c r="R2772" s="29" t="str">
        <f t="shared" si="908"/>
        <v>NA</v>
      </c>
      <c r="S2772" s="29" t="str">
        <f t="shared" si="909"/>
        <v>NA</v>
      </c>
      <c r="T2772" s="29" t="str">
        <f t="shared" si="910"/>
        <v>NA</v>
      </c>
      <c r="U2772" s="29" t="str">
        <f t="shared" si="911"/>
        <v>NA</v>
      </c>
      <c r="V2772" s="29" t="str">
        <f t="shared" si="912"/>
        <v>NA</v>
      </c>
      <c r="W2772" s="29" t="str">
        <f t="shared" si="913"/>
        <v>NA</v>
      </c>
      <c r="X2772" s="29" t="str">
        <f t="shared" si="914"/>
        <v>NA</v>
      </c>
      <c r="Y2772" s="29" t="str">
        <f t="shared" si="915"/>
        <v>NA</v>
      </c>
      <c r="Z2772" s="29" t="str">
        <f t="shared" si="916"/>
        <v>NA</v>
      </c>
      <c r="AA2772" s="29" t="str">
        <f t="shared" si="917"/>
        <v>NA</v>
      </c>
      <c r="AB2772" s="29" t="str">
        <f t="shared" si="918"/>
        <v>NA</v>
      </c>
      <c r="AC2772" s="29" t="str">
        <f t="shared" si="919"/>
        <v>NA</v>
      </c>
      <c r="AD2772" s="29" t="str">
        <f t="shared" si="920"/>
        <v>NA</v>
      </c>
      <c r="AE2772" s="29" t="str">
        <f t="shared" si="921"/>
        <v>NA</v>
      </c>
      <c r="AF2772" s="29" t="str">
        <f t="shared" si="922"/>
        <v>NA</v>
      </c>
      <c r="AG2772" s="29" t="str">
        <f t="shared" si="923"/>
        <v>NA</v>
      </c>
      <c r="AH2772" s="29" t="str">
        <f t="shared" si="924"/>
        <v>NA</v>
      </c>
    </row>
    <row r="2773" customHeight="1" spans="1:34">
      <c r="A2773" s="12" t="s">
        <v>1043</v>
      </c>
      <c r="F2773" s="24">
        <f t="shared" si="906"/>
        <v>0</v>
      </c>
      <c r="G2773" s="24" t="e">
        <f t="shared" si="905"/>
        <v>#DIV/0!</v>
      </c>
      <c r="Q2773" s="29" t="str">
        <f t="shared" si="907"/>
        <v>NA</v>
      </c>
      <c r="R2773" s="29" t="str">
        <f t="shared" si="908"/>
        <v>NA</v>
      </c>
      <c r="S2773" s="29" t="str">
        <f t="shared" si="909"/>
        <v>NA</v>
      </c>
      <c r="T2773" s="29" t="str">
        <f t="shared" si="910"/>
        <v>NA</v>
      </c>
      <c r="U2773" s="29" t="str">
        <f t="shared" si="911"/>
        <v>NA</v>
      </c>
      <c r="V2773" s="29" t="str">
        <f t="shared" si="912"/>
        <v>NA</v>
      </c>
      <c r="W2773" s="29" t="str">
        <f t="shared" si="913"/>
        <v>NA</v>
      </c>
      <c r="X2773" s="29" t="str">
        <f t="shared" si="914"/>
        <v>NA</v>
      </c>
      <c r="Y2773" s="29" t="str">
        <f t="shared" si="915"/>
        <v>NA</v>
      </c>
      <c r="Z2773" s="29" t="str">
        <f t="shared" si="916"/>
        <v>NA</v>
      </c>
      <c r="AA2773" s="29" t="str">
        <f t="shared" si="917"/>
        <v>NA</v>
      </c>
      <c r="AB2773" s="29" t="str">
        <f t="shared" si="918"/>
        <v>NA</v>
      </c>
      <c r="AC2773" s="29" t="str">
        <f t="shared" si="919"/>
        <v>NA</v>
      </c>
      <c r="AD2773" s="29" t="str">
        <f t="shared" si="920"/>
        <v>NA</v>
      </c>
      <c r="AE2773" s="29" t="str">
        <f t="shared" si="921"/>
        <v>NA</v>
      </c>
      <c r="AF2773" s="29" t="str">
        <f t="shared" si="922"/>
        <v>NA</v>
      </c>
      <c r="AG2773" s="29" t="str">
        <f t="shared" si="923"/>
        <v>NA</v>
      </c>
      <c r="AH2773" s="29" t="str">
        <f t="shared" si="924"/>
        <v>NA</v>
      </c>
    </row>
    <row r="2774" customHeight="1" spans="1:34">
      <c r="A2774" s="12" t="s">
        <v>1043</v>
      </c>
      <c r="F2774" s="24">
        <f t="shared" si="906"/>
        <v>0</v>
      </c>
      <c r="G2774" s="24" t="e">
        <f t="shared" si="905"/>
        <v>#DIV/0!</v>
      </c>
      <c r="Q2774" s="29" t="str">
        <f t="shared" si="907"/>
        <v>NA</v>
      </c>
      <c r="R2774" s="29" t="str">
        <f t="shared" si="908"/>
        <v>NA</v>
      </c>
      <c r="S2774" s="29" t="str">
        <f t="shared" si="909"/>
        <v>NA</v>
      </c>
      <c r="T2774" s="29" t="str">
        <f t="shared" si="910"/>
        <v>NA</v>
      </c>
      <c r="U2774" s="29" t="str">
        <f t="shared" si="911"/>
        <v>NA</v>
      </c>
      <c r="V2774" s="29" t="str">
        <f t="shared" si="912"/>
        <v>NA</v>
      </c>
      <c r="W2774" s="29" t="str">
        <f t="shared" si="913"/>
        <v>NA</v>
      </c>
      <c r="X2774" s="29" t="str">
        <f t="shared" si="914"/>
        <v>NA</v>
      </c>
      <c r="Y2774" s="29" t="str">
        <f t="shared" si="915"/>
        <v>NA</v>
      </c>
      <c r="Z2774" s="29" t="str">
        <f t="shared" si="916"/>
        <v>NA</v>
      </c>
      <c r="AA2774" s="29" t="str">
        <f t="shared" si="917"/>
        <v>NA</v>
      </c>
      <c r="AB2774" s="29" t="str">
        <f t="shared" si="918"/>
        <v>NA</v>
      </c>
      <c r="AC2774" s="29" t="str">
        <f t="shared" si="919"/>
        <v>NA</v>
      </c>
      <c r="AD2774" s="29" t="str">
        <f t="shared" si="920"/>
        <v>NA</v>
      </c>
      <c r="AE2774" s="29" t="str">
        <f t="shared" si="921"/>
        <v>NA</v>
      </c>
      <c r="AF2774" s="29" t="str">
        <f t="shared" si="922"/>
        <v>NA</v>
      </c>
      <c r="AG2774" s="29" t="str">
        <f t="shared" si="923"/>
        <v>NA</v>
      </c>
      <c r="AH2774" s="29" t="str">
        <f t="shared" si="924"/>
        <v>NA</v>
      </c>
    </row>
    <row r="2775" customHeight="1" spans="1:34">
      <c r="A2775" s="12" t="s">
        <v>1043</v>
      </c>
      <c r="F2775" s="24">
        <f t="shared" si="906"/>
        <v>0</v>
      </c>
      <c r="G2775" s="24" t="e">
        <f t="shared" si="905"/>
        <v>#DIV/0!</v>
      </c>
      <c r="Q2775" s="29" t="str">
        <f t="shared" si="907"/>
        <v>NA</v>
      </c>
      <c r="R2775" s="29" t="str">
        <f t="shared" si="908"/>
        <v>NA</v>
      </c>
      <c r="S2775" s="29" t="str">
        <f t="shared" si="909"/>
        <v>NA</v>
      </c>
      <c r="T2775" s="29" t="str">
        <f t="shared" si="910"/>
        <v>NA</v>
      </c>
      <c r="U2775" s="29" t="str">
        <f t="shared" si="911"/>
        <v>NA</v>
      </c>
      <c r="V2775" s="29" t="str">
        <f t="shared" si="912"/>
        <v>NA</v>
      </c>
      <c r="W2775" s="29" t="str">
        <f t="shared" si="913"/>
        <v>NA</v>
      </c>
      <c r="X2775" s="29" t="str">
        <f t="shared" si="914"/>
        <v>NA</v>
      </c>
      <c r="Y2775" s="29" t="str">
        <f t="shared" si="915"/>
        <v>NA</v>
      </c>
      <c r="Z2775" s="29" t="str">
        <f t="shared" si="916"/>
        <v>NA</v>
      </c>
      <c r="AA2775" s="29" t="str">
        <f t="shared" si="917"/>
        <v>NA</v>
      </c>
      <c r="AB2775" s="29" t="str">
        <f t="shared" si="918"/>
        <v>NA</v>
      </c>
      <c r="AC2775" s="29" t="str">
        <f t="shared" si="919"/>
        <v>NA</v>
      </c>
      <c r="AD2775" s="29" t="str">
        <f t="shared" si="920"/>
        <v>NA</v>
      </c>
      <c r="AE2775" s="29" t="str">
        <f t="shared" si="921"/>
        <v>NA</v>
      </c>
      <c r="AF2775" s="29" t="str">
        <f t="shared" si="922"/>
        <v>NA</v>
      </c>
      <c r="AG2775" s="29" t="str">
        <f t="shared" si="923"/>
        <v>NA</v>
      </c>
      <c r="AH2775" s="29" t="str">
        <f t="shared" si="924"/>
        <v>NA</v>
      </c>
    </row>
    <row r="2776" customHeight="1" spans="1:34">
      <c r="A2776" s="12" t="s">
        <v>1043</v>
      </c>
      <c r="F2776" s="24">
        <f t="shared" si="906"/>
        <v>0</v>
      </c>
      <c r="G2776" s="24" t="e">
        <f t="shared" si="905"/>
        <v>#DIV/0!</v>
      </c>
      <c r="Q2776" s="29" t="str">
        <f t="shared" si="907"/>
        <v>NA</v>
      </c>
      <c r="R2776" s="29" t="str">
        <f t="shared" si="908"/>
        <v>NA</v>
      </c>
      <c r="S2776" s="29" t="str">
        <f t="shared" si="909"/>
        <v>NA</v>
      </c>
      <c r="T2776" s="29" t="str">
        <f t="shared" si="910"/>
        <v>NA</v>
      </c>
      <c r="U2776" s="29" t="str">
        <f t="shared" si="911"/>
        <v>NA</v>
      </c>
      <c r="V2776" s="29" t="str">
        <f t="shared" si="912"/>
        <v>NA</v>
      </c>
      <c r="W2776" s="29" t="str">
        <f t="shared" si="913"/>
        <v>NA</v>
      </c>
      <c r="X2776" s="29" t="str">
        <f t="shared" si="914"/>
        <v>NA</v>
      </c>
      <c r="Y2776" s="29" t="str">
        <f t="shared" si="915"/>
        <v>NA</v>
      </c>
      <c r="Z2776" s="29" t="str">
        <f t="shared" si="916"/>
        <v>NA</v>
      </c>
      <c r="AA2776" s="29" t="str">
        <f t="shared" si="917"/>
        <v>NA</v>
      </c>
      <c r="AB2776" s="29" t="str">
        <f t="shared" si="918"/>
        <v>NA</v>
      </c>
      <c r="AC2776" s="29" t="str">
        <f t="shared" si="919"/>
        <v>NA</v>
      </c>
      <c r="AD2776" s="29" t="str">
        <f t="shared" si="920"/>
        <v>NA</v>
      </c>
      <c r="AE2776" s="29" t="str">
        <f t="shared" si="921"/>
        <v>NA</v>
      </c>
      <c r="AF2776" s="29" t="str">
        <f t="shared" si="922"/>
        <v>NA</v>
      </c>
      <c r="AG2776" s="29" t="str">
        <f t="shared" si="923"/>
        <v>NA</v>
      </c>
      <c r="AH2776" s="29" t="str">
        <f t="shared" si="924"/>
        <v>NA</v>
      </c>
    </row>
    <row r="2777" customHeight="1" spans="1:34">
      <c r="A2777" s="12" t="s">
        <v>1043</v>
      </c>
      <c r="F2777" s="24">
        <f t="shared" si="906"/>
        <v>0</v>
      </c>
      <c r="G2777" s="24" t="e">
        <f t="shared" si="905"/>
        <v>#DIV/0!</v>
      </c>
      <c r="Q2777" s="29" t="str">
        <f t="shared" si="907"/>
        <v>NA</v>
      </c>
      <c r="R2777" s="29" t="str">
        <f t="shared" si="908"/>
        <v>NA</v>
      </c>
      <c r="S2777" s="29" t="str">
        <f t="shared" si="909"/>
        <v>NA</v>
      </c>
      <c r="T2777" s="29" t="str">
        <f t="shared" si="910"/>
        <v>NA</v>
      </c>
      <c r="U2777" s="29" t="str">
        <f t="shared" si="911"/>
        <v>NA</v>
      </c>
      <c r="V2777" s="29" t="str">
        <f t="shared" si="912"/>
        <v>NA</v>
      </c>
      <c r="W2777" s="29" t="str">
        <f t="shared" si="913"/>
        <v>NA</v>
      </c>
      <c r="X2777" s="29" t="str">
        <f t="shared" si="914"/>
        <v>NA</v>
      </c>
      <c r="Y2777" s="29" t="str">
        <f t="shared" si="915"/>
        <v>NA</v>
      </c>
      <c r="Z2777" s="29" t="str">
        <f t="shared" si="916"/>
        <v>NA</v>
      </c>
      <c r="AA2777" s="29" t="str">
        <f t="shared" si="917"/>
        <v>NA</v>
      </c>
      <c r="AB2777" s="29" t="str">
        <f t="shared" si="918"/>
        <v>NA</v>
      </c>
      <c r="AC2777" s="29" t="str">
        <f t="shared" si="919"/>
        <v>NA</v>
      </c>
      <c r="AD2777" s="29" t="str">
        <f t="shared" si="920"/>
        <v>NA</v>
      </c>
      <c r="AE2777" s="29" t="str">
        <f t="shared" si="921"/>
        <v>NA</v>
      </c>
      <c r="AF2777" s="29" t="str">
        <f t="shared" si="922"/>
        <v>NA</v>
      </c>
      <c r="AG2777" s="29" t="str">
        <f t="shared" si="923"/>
        <v>NA</v>
      </c>
      <c r="AH2777" s="29" t="str">
        <f t="shared" si="924"/>
        <v>NA</v>
      </c>
    </row>
    <row r="2778" customHeight="1" spans="1:34">
      <c r="A2778" s="12" t="s">
        <v>1043</v>
      </c>
      <c r="F2778" s="24">
        <f t="shared" si="906"/>
        <v>0</v>
      </c>
      <c r="G2778" s="24" t="e">
        <f t="shared" si="905"/>
        <v>#DIV/0!</v>
      </c>
      <c r="Q2778" s="29" t="str">
        <f t="shared" si="907"/>
        <v>NA</v>
      </c>
      <c r="R2778" s="29" t="str">
        <f t="shared" si="908"/>
        <v>NA</v>
      </c>
      <c r="S2778" s="29" t="str">
        <f t="shared" si="909"/>
        <v>NA</v>
      </c>
      <c r="T2778" s="29" t="str">
        <f t="shared" si="910"/>
        <v>NA</v>
      </c>
      <c r="U2778" s="29" t="str">
        <f t="shared" si="911"/>
        <v>NA</v>
      </c>
      <c r="V2778" s="29" t="str">
        <f t="shared" si="912"/>
        <v>NA</v>
      </c>
      <c r="W2778" s="29" t="str">
        <f t="shared" si="913"/>
        <v>NA</v>
      </c>
      <c r="X2778" s="29" t="str">
        <f t="shared" si="914"/>
        <v>NA</v>
      </c>
      <c r="Y2778" s="29" t="str">
        <f t="shared" si="915"/>
        <v>NA</v>
      </c>
      <c r="Z2778" s="29" t="str">
        <f t="shared" si="916"/>
        <v>NA</v>
      </c>
      <c r="AA2778" s="29" t="str">
        <f t="shared" si="917"/>
        <v>NA</v>
      </c>
      <c r="AB2778" s="29" t="str">
        <f t="shared" si="918"/>
        <v>NA</v>
      </c>
      <c r="AC2778" s="29" t="str">
        <f t="shared" si="919"/>
        <v>NA</v>
      </c>
      <c r="AD2778" s="29" t="str">
        <f t="shared" si="920"/>
        <v>NA</v>
      </c>
      <c r="AE2778" s="29" t="str">
        <f t="shared" si="921"/>
        <v>NA</v>
      </c>
      <c r="AF2778" s="29" t="str">
        <f t="shared" si="922"/>
        <v>NA</v>
      </c>
      <c r="AG2778" s="29" t="str">
        <f t="shared" si="923"/>
        <v>NA</v>
      </c>
      <c r="AH2778" s="29" t="str">
        <f t="shared" si="924"/>
        <v>NA</v>
      </c>
    </row>
    <row r="2779" customHeight="1" spans="1:34">
      <c r="A2779" s="12" t="s">
        <v>1043</v>
      </c>
      <c r="F2779" s="24">
        <f t="shared" si="906"/>
        <v>0</v>
      </c>
      <c r="G2779" s="24" t="e">
        <f t="shared" si="905"/>
        <v>#DIV/0!</v>
      </c>
      <c r="Q2779" s="29" t="str">
        <f t="shared" si="907"/>
        <v>NA</v>
      </c>
      <c r="R2779" s="29" t="str">
        <f t="shared" si="908"/>
        <v>NA</v>
      </c>
      <c r="S2779" s="29" t="str">
        <f t="shared" si="909"/>
        <v>NA</v>
      </c>
      <c r="T2779" s="29" t="str">
        <f t="shared" si="910"/>
        <v>NA</v>
      </c>
      <c r="U2779" s="29" t="str">
        <f t="shared" si="911"/>
        <v>NA</v>
      </c>
      <c r="V2779" s="29" t="str">
        <f t="shared" si="912"/>
        <v>NA</v>
      </c>
      <c r="W2779" s="29" t="str">
        <f t="shared" si="913"/>
        <v>NA</v>
      </c>
      <c r="X2779" s="29" t="str">
        <f t="shared" si="914"/>
        <v>NA</v>
      </c>
      <c r="Y2779" s="29" t="str">
        <f t="shared" si="915"/>
        <v>NA</v>
      </c>
      <c r="Z2779" s="29" t="str">
        <f t="shared" si="916"/>
        <v>NA</v>
      </c>
      <c r="AA2779" s="29" t="str">
        <f t="shared" si="917"/>
        <v>NA</v>
      </c>
      <c r="AB2779" s="29" t="str">
        <f t="shared" si="918"/>
        <v>NA</v>
      </c>
      <c r="AC2779" s="29" t="str">
        <f t="shared" si="919"/>
        <v>NA</v>
      </c>
      <c r="AD2779" s="29" t="str">
        <f t="shared" si="920"/>
        <v>NA</v>
      </c>
      <c r="AE2779" s="29" t="str">
        <f t="shared" si="921"/>
        <v>NA</v>
      </c>
      <c r="AF2779" s="29" t="str">
        <f t="shared" si="922"/>
        <v>NA</v>
      </c>
      <c r="AG2779" s="29" t="str">
        <f t="shared" si="923"/>
        <v>NA</v>
      </c>
      <c r="AH2779" s="29" t="str">
        <f t="shared" si="924"/>
        <v>NA</v>
      </c>
    </row>
    <row r="2780" customHeight="1" spans="1:34">
      <c r="A2780" s="12" t="s">
        <v>1043</v>
      </c>
      <c r="F2780" s="24">
        <f t="shared" si="906"/>
        <v>0</v>
      </c>
      <c r="G2780" s="24" t="e">
        <f t="shared" si="905"/>
        <v>#DIV/0!</v>
      </c>
      <c r="Q2780" s="29" t="str">
        <f t="shared" si="907"/>
        <v>NA</v>
      </c>
      <c r="R2780" s="29" t="str">
        <f t="shared" si="908"/>
        <v>NA</v>
      </c>
      <c r="S2780" s="29" t="str">
        <f t="shared" si="909"/>
        <v>NA</v>
      </c>
      <c r="T2780" s="29" t="str">
        <f t="shared" si="910"/>
        <v>NA</v>
      </c>
      <c r="U2780" s="29" t="str">
        <f t="shared" si="911"/>
        <v>NA</v>
      </c>
      <c r="V2780" s="29" t="str">
        <f t="shared" si="912"/>
        <v>NA</v>
      </c>
      <c r="W2780" s="29" t="str">
        <f t="shared" si="913"/>
        <v>NA</v>
      </c>
      <c r="X2780" s="29" t="str">
        <f t="shared" si="914"/>
        <v>NA</v>
      </c>
      <c r="Y2780" s="29" t="str">
        <f t="shared" si="915"/>
        <v>NA</v>
      </c>
      <c r="Z2780" s="29" t="str">
        <f t="shared" si="916"/>
        <v>NA</v>
      </c>
      <c r="AA2780" s="29" t="str">
        <f t="shared" si="917"/>
        <v>NA</v>
      </c>
      <c r="AB2780" s="29" t="str">
        <f t="shared" si="918"/>
        <v>NA</v>
      </c>
      <c r="AC2780" s="29" t="str">
        <f t="shared" si="919"/>
        <v>NA</v>
      </c>
      <c r="AD2780" s="29" t="str">
        <f t="shared" si="920"/>
        <v>NA</v>
      </c>
      <c r="AE2780" s="29" t="str">
        <f t="shared" si="921"/>
        <v>NA</v>
      </c>
      <c r="AF2780" s="29" t="str">
        <f t="shared" si="922"/>
        <v>NA</v>
      </c>
      <c r="AG2780" s="29" t="str">
        <f t="shared" si="923"/>
        <v>NA</v>
      </c>
      <c r="AH2780" s="29" t="str">
        <f t="shared" si="924"/>
        <v>NA</v>
      </c>
    </row>
    <row r="2781" customHeight="1" spans="1:34">
      <c r="A2781" s="12" t="s">
        <v>1043</v>
      </c>
      <c r="F2781" s="24">
        <f t="shared" si="906"/>
        <v>0</v>
      </c>
      <c r="G2781" s="24" t="e">
        <f t="shared" si="905"/>
        <v>#DIV/0!</v>
      </c>
      <c r="Q2781" s="29" t="str">
        <f t="shared" si="907"/>
        <v>NA</v>
      </c>
      <c r="R2781" s="29" t="str">
        <f t="shared" si="908"/>
        <v>NA</v>
      </c>
      <c r="S2781" s="29" t="str">
        <f t="shared" si="909"/>
        <v>NA</v>
      </c>
      <c r="T2781" s="29" t="str">
        <f t="shared" si="910"/>
        <v>NA</v>
      </c>
      <c r="U2781" s="29" t="str">
        <f t="shared" si="911"/>
        <v>NA</v>
      </c>
      <c r="V2781" s="29" t="str">
        <f t="shared" si="912"/>
        <v>NA</v>
      </c>
      <c r="W2781" s="29" t="str">
        <f t="shared" si="913"/>
        <v>NA</v>
      </c>
      <c r="X2781" s="29" t="str">
        <f t="shared" si="914"/>
        <v>NA</v>
      </c>
      <c r="Y2781" s="29" t="str">
        <f t="shared" si="915"/>
        <v>NA</v>
      </c>
      <c r="Z2781" s="29" t="str">
        <f t="shared" si="916"/>
        <v>NA</v>
      </c>
      <c r="AA2781" s="29" t="str">
        <f t="shared" si="917"/>
        <v>NA</v>
      </c>
      <c r="AB2781" s="29" t="str">
        <f t="shared" si="918"/>
        <v>NA</v>
      </c>
      <c r="AC2781" s="29" t="str">
        <f t="shared" si="919"/>
        <v>NA</v>
      </c>
      <c r="AD2781" s="29" t="str">
        <f t="shared" si="920"/>
        <v>NA</v>
      </c>
      <c r="AE2781" s="29" t="str">
        <f t="shared" si="921"/>
        <v>NA</v>
      </c>
      <c r="AF2781" s="29" t="str">
        <f t="shared" si="922"/>
        <v>NA</v>
      </c>
      <c r="AG2781" s="29" t="str">
        <f t="shared" si="923"/>
        <v>NA</v>
      </c>
      <c r="AH2781" s="29" t="str">
        <f t="shared" si="924"/>
        <v>NA</v>
      </c>
    </row>
    <row r="2782" customHeight="1" spans="1:34">
      <c r="A2782" s="12" t="s">
        <v>1043</v>
      </c>
      <c r="F2782" s="24">
        <f t="shared" si="906"/>
        <v>0</v>
      </c>
      <c r="G2782" s="24" t="e">
        <f t="shared" si="905"/>
        <v>#DIV/0!</v>
      </c>
      <c r="Q2782" s="29" t="str">
        <f t="shared" si="907"/>
        <v>NA</v>
      </c>
      <c r="R2782" s="29" t="str">
        <f t="shared" si="908"/>
        <v>NA</v>
      </c>
      <c r="S2782" s="29" t="str">
        <f t="shared" si="909"/>
        <v>NA</v>
      </c>
      <c r="T2782" s="29" t="str">
        <f t="shared" si="910"/>
        <v>NA</v>
      </c>
      <c r="U2782" s="29" t="str">
        <f t="shared" si="911"/>
        <v>NA</v>
      </c>
      <c r="V2782" s="29" t="str">
        <f t="shared" si="912"/>
        <v>NA</v>
      </c>
      <c r="W2782" s="29" t="str">
        <f t="shared" si="913"/>
        <v>NA</v>
      </c>
      <c r="X2782" s="29" t="str">
        <f t="shared" si="914"/>
        <v>NA</v>
      </c>
      <c r="Y2782" s="29" t="str">
        <f t="shared" si="915"/>
        <v>NA</v>
      </c>
      <c r="Z2782" s="29" t="str">
        <f t="shared" si="916"/>
        <v>NA</v>
      </c>
      <c r="AA2782" s="29" t="str">
        <f t="shared" si="917"/>
        <v>NA</v>
      </c>
      <c r="AB2782" s="29" t="str">
        <f t="shared" si="918"/>
        <v>NA</v>
      </c>
      <c r="AC2782" s="29" t="str">
        <f t="shared" si="919"/>
        <v>NA</v>
      </c>
      <c r="AD2782" s="29" t="str">
        <f t="shared" si="920"/>
        <v>NA</v>
      </c>
      <c r="AE2782" s="29" t="str">
        <f t="shared" si="921"/>
        <v>NA</v>
      </c>
      <c r="AF2782" s="29" t="str">
        <f t="shared" si="922"/>
        <v>NA</v>
      </c>
      <c r="AG2782" s="29" t="str">
        <f t="shared" si="923"/>
        <v>NA</v>
      </c>
      <c r="AH2782" s="29" t="str">
        <f t="shared" si="924"/>
        <v>NA</v>
      </c>
    </row>
    <row r="2783" customHeight="1" spans="1:34">
      <c r="A2783" s="12" t="s">
        <v>1043</v>
      </c>
      <c r="F2783" s="24">
        <f t="shared" si="906"/>
        <v>0</v>
      </c>
      <c r="G2783" s="24" t="e">
        <f t="shared" si="905"/>
        <v>#DIV/0!</v>
      </c>
      <c r="Q2783" s="29" t="str">
        <f t="shared" si="907"/>
        <v>NA</v>
      </c>
      <c r="R2783" s="29" t="str">
        <f t="shared" si="908"/>
        <v>NA</v>
      </c>
      <c r="S2783" s="29" t="str">
        <f t="shared" si="909"/>
        <v>NA</v>
      </c>
      <c r="T2783" s="29" t="str">
        <f t="shared" si="910"/>
        <v>NA</v>
      </c>
      <c r="U2783" s="29" t="str">
        <f t="shared" si="911"/>
        <v>NA</v>
      </c>
      <c r="V2783" s="29" t="str">
        <f t="shared" si="912"/>
        <v>NA</v>
      </c>
      <c r="W2783" s="29" t="str">
        <f t="shared" si="913"/>
        <v>NA</v>
      </c>
      <c r="X2783" s="29" t="str">
        <f t="shared" si="914"/>
        <v>NA</v>
      </c>
      <c r="Y2783" s="29" t="str">
        <f t="shared" si="915"/>
        <v>NA</v>
      </c>
      <c r="Z2783" s="29" t="str">
        <f t="shared" si="916"/>
        <v>NA</v>
      </c>
      <c r="AA2783" s="29" t="str">
        <f t="shared" si="917"/>
        <v>NA</v>
      </c>
      <c r="AB2783" s="29" t="str">
        <f t="shared" si="918"/>
        <v>NA</v>
      </c>
      <c r="AC2783" s="29" t="str">
        <f t="shared" si="919"/>
        <v>NA</v>
      </c>
      <c r="AD2783" s="29" t="str">
        <f t="shared" si="920"/>
        <v>NA</v>
      </c>
      <c r="AE2783" s="29" t="str">
        <f t="shared" si="921"/>
        <v>NA</v>
      </c>
      <c r="AF2783" s="29" t="str">
        <f t="shared" si="922"/>
        <v>NA</v>
      </c>
      <c r="AG2783" s="29" t="str">
        <f t="shared" si="923"/>
        <v>NA</v>
      </c>
      <c r="AH2783" s="29" t="str">
        <f t="shared" si="924"/>
        <v>NA</v>
      </c>
    </row>
    <row r="2784" customHeight="1" spans="1:34">
      <c r="A2784" s="12" t="s">
        <v>1043</v>
      </c>
      <c r="F2784" s="24">
        <f t="shared" si="906"/>
        <v>0</v>
      </c>
      <c r="G2784" s="24" t="e">
        <f t="shared" si="905"/>
        <v>#DIV/0!</v>
      </c>
      <c r="Q2784" s="29" t="str">
        <f t="shared" si="907"/>
        <v>NA</v>
      </c>
      <c r="R2784" s="29" t="str">
        <f t="shared" si="908"/>
        <v>NA</v>
      </c>
      <c r="S2784" s="29" t="str">
        <f t="shared" si="909"/>
        <v>NA</v>
      </c>
      <c r="T2784" s="29" t="str">
        <f t="shared" si="910"/>
        <v>NA</v>
      </c>
      <c r="U2784" s="29" t="str">
        <f t="shared" si="911"/>
        <v>NA</v>
      </c>
      <c r="V2784" s="29" t="str">
        <f t="shared" si="912"/>
        <v>NA</v>
      </c>
      <c r="W2784" s="29" t="str">
        <f t="shared" si="913"/>
        <v>NA</v>
      </c>
      <c r="X2784" s="29" t="str">
        <f t="shared" si="914"/>
        <v>NA</v>
      </c>
      <c r="Y2784" s="29" t="str">
        <f t="shared" si="915"/>
        <v>NA</v>
      </c>
      <c r="Z2784" s="29" t="str">
        <f t="shared" si="916"/>
        <v>NA</v>
      </c>
      <c r="AA2784" s="29" t="str">
        <f t="shared" si="917"/>
        <v>NA</v>
      </c>
      <c r="AB2784" s="29" t="str">
        <f t="shared" si="918"/>
        <v>NA</v>
      </c>
      <c r="AC2784" s="29" t="str">
        <f t="shared" si="919"/>
        <v>NA</v>
      </c>
      <c r="AD2784" s="29" t="str">
        <f t="shared" si="920"/>
        <v>NA</v>
      </c>
      <c r="AE2784" s="29" t="str">
        <f t="shared" si="921"/>
        <v>NA</v>
      </c>
      <c r="AF2784" s="29" t="str">
        <f t="shared" si="922"/>
        <v>NA</v>
      </c>
      <c r="AG2784" s="29" t="str">
        <f t="shared" si="923"/>
        <v>NA</v>
      </c>
      <c r="AH2784" s="29" t="str">
        <f t="shared" si="924"/>
        <v>NA</v>
      </c>
    </row>
    <row r="2785" customHeight="1" spans="1:34">
      <c r="A2785" s="12" t="s">
        <v>1043</v>
      </c>
      <c r="F2785" s="24">
        <f t="shared" si="906"/>
        <v>0</v>
      </c>
      <c r="G2785" s="24" t="e">
        <f t="shared" si="905"/>
        <v>#DIV/0!</v>
      </c>
      <c r="Q2785" s="29" t="str">
        <f t="shared" si="907"/>
        <v>NA</v>
      </c>
      <c r="R2785" s="29" t="str">
        <f t="shared" si="908"/>
        <v>NA</v>
      </c>
      <c r="S2785" s="29" t="str">
        <f t="shared" si="909"/>
        <v>NA</v>
      </c>
      <c r="T2785" s="29" t="str">
        <f t="shared" si="910"/>
        <v>NA</v>
      </c>
      <c r="U2785" s="29" t="str">
        <f t="shared" si="911"/>
        <v>NA</v>
      </c>
      <c r="V2785" s="29" t="str">
        <f t="shared" si="912"/>
        <v>NA</v>
      </c>
      <c r="W2785" s="29" t="str">
        <f t="shared" si="913"/>
        <v>NA</v>
      </c>
      <c r="X2785" s="29" t="str">
        <f t="shared" si="914"/>
        <v>NA</v>
      </c>
      <c r="Y2785" s="29" t="str">
        <f t="shared" si="915"/>
        <v>NA</v>
      </c>
      <c r="Z2785" s="29" t="str">
        <f t="shared" si="916"/>
        <v>NA</v>
      </c>
      <c r="AA2785" s="29" t="str">
        <f t="shared" si="917"/>
        <v>NA</v>
      </c>
      <c r="AB2785" s="29" t="str">
        <f t="shared" si="918"/>
        <v>NA</v>
      </c>
      <c r="AC2785" s="29" t="str">
        <f t="shared" si="919"/>
        <v>NA</v>
      </c>
      <c r="AD2785" s="29" t="str">
        <f t="shared" si="920"/>
        <v>NA</v>
      </c>
      <c r="AE2785" s="29" t="str">
        <f t="shared" si="921"/>
        <v>NA</v>
      </c>
      <c r="AF2785" s="29" t="str">
        <f t="shared" si="922"/>
        <v>NA</v>
      </c>
      <c r="AG2785" s="29" t="str">
        <f t="shared" si="923"/>
        <v>NA</v>
      </c>
      <c r="AH2785" s="29" t="str">
        <f t="shared" si="924"/>
        <v>NA</v>
      </c>
    </row>
    <row r="2786" customHeight="1" spans="1:34">
      <c r="A2786" s="12" t="s">
        <v>1043</v>
      </c>
      <c r="F2786" s="24">
        <f t="shared" si="906"/>
        <v>0</v>
      </c>
      <c r="G2786" s="24" t="e">
        <f t="shared" si="905"/>
        <v>#DIV/0!</v>
      </c>
      <c r="Q2786" s="29" t="str">
        <f t="shared" si="907"/>
        <v>NA</v>
      </c>
      <c r="R2786" s="29" t="str">
        <f t="shared" si="908"/>
        <v>NA</v>
      </c>
      <c r="S2786" s="29" t="str">
        <f t="shared" si="909"/>
        <v>NA</v>
      </c>
      <c r="T2786" s="29" t="str">
        <f t="shared" si="910"/>
        <v>NA</v>
      </c>
      <c r="U2786" s="29" t="str">
        <f t="shared" si="911"/>
        <v>NA</v>
      </c>
      <c r="V2786" s="29" t="str">
        <f t="shared" si="912"/>
        <v>NA</v>
      </c>
      <c r="W2786" s="29" t="str">
        <f t="shared" si="913"/>
        <v>NA</v>
      </c>
      <c r="X2786" s="29" t="str">
        <f t="shared" si="914"/>
        <v>NA</v>
      </c>
      <c r="Y2786" s="29" t="str">
        <f t="shared" si="915"/>
        <v>NA</v>
      </c>
      <c r="Z2786" s="29" t="str">
        <f t="shared" si="916"/>
        <v>NA</v>
      </c>
      <c r="AA2786" s="29" t="str">
        <f t="shared" si="917"/>
        <v>NA</v>
      </c>
      <c r="AB2786" s="29" t="str">
        <f t="shared" si="918"/>
        <v>NA</v>
      </c>
      <c r="AC2786" s="29" t="str">
        <f t="shared" si="919"/>
        <v>NA</v>
      </c>
      <c r="AD2786" s="29" t="str">
        <f t="shared" si="920"/>
        <v>NA</v>
      </c>
      <c r="AE2786" s="29" t="str">
        <f t="shared" si="921"/>
        <v>NA</v>
      </c>
      <c r="AF2786" s="29" t="str">
        <f t="shared" si="922"/>
        <v>NA</v>
      </c>
      <c r="AG2786" s="29" t="str">
        <f t="shared" si="923"/>
        <v>NA</v>
      </c>
      <c r="AH2786" s="29" t="str">
        <f t="shared" si="924"/>
        <v>NA</v>
      </c>
    </row>
    <row r="2787" customHeight="1" spans="1:34">
      <c r="A2787" s="12" t="s">
        <v>1043</v>
      </c>
      <c r="F2787" s="24">
        <f t="shared" si="906"/>
        <v>0</v>
      </c>
      <c r="G2787" s="24" t="e">
        <f t="shared" si="905"/>
        <v>#DIV/0!</v>
      </c>
      <c r="Q2787" s="29" t="str">
        <f t="shared" si="907"/>
        <v>NA</v>
      </c>
      <c r="R2787" s="29" t="str">
        <f t="shared" si="908"/>
        <v>NA</v>
      </c>
      <c r="S2787" s="29" t="str">
        <f t="shared" si="909"/>
        <v>NA</v>
      </c>
      <c r="T2787" s="29" t="str">
        <f t="shared" si="910"/>
        <v>NA</v>
      </c>
      <c r="U2787" s="29" t="str">
        <f t="shared" si="911"/>
        <v>NA</v>
      </c>
      <c r="V2787" s="29" t="str">
        <f t="shared" si="912"/>
        <v>NA</v>
      </c>
      <c r="W2787" s="29" t="str">
        <f t="shared" si="913"/>
        <v>NA</v>
      </c>
      <c r="X2787" s="29" t="str">
        <f t="shared" si="914"/>
        <v>NA</v>
      </c>
      <c r="Y2787" s="29" t="str">
        <f t="shared" si="915"/>
        <v>NA</v>
      </c>
      <c r="Z2787" s="29" t="str">
        <f t="shared" si="916"/>
        <v>NA</v>
      </c>
      <c r="AA2787" s="29" t="str">
        <f t="shared" si="917"/>
        <v>NA</v>
      </c>
      <c r="AB2787" s="29" t="str">
        <f t="shared" si="918"/>
        <v>NA</v>
      </c>
      <c r="AC2787" s="29" t="str">
        <f t="shared" si="919"/>
        <v>NA</v>
      </c>
      <c r="AD2787" s="29" t="str">
        <f t="shared" si="920"/>
        <v>NA</v>
      </c>
      <c r="AE2787" s="29" t="str">
        <f t="shared" si="921"/>
        <v>NA</v>
      </c>
      <c r="AF2787" s="29" t="str">
        <f t="shared" si="922"/>
        <v>NA</v>
      </c>
      <c r="AG2787" s="29" t="str">
        <f t="shared" si="923"/>
        <v>NA</v>
      </c>
      <c r="AH2787" s="29" t="str">
        <f t="shared" si="924"/>
        <v>NA</v>
      </c>
    </row>
    <row r="2788" customHeight="1" spans="1:34">
      <c r="A2788" s="12" t="s">
        <v>1043</v>
      </c>
      <c r="F2788" s="24">
        <f t="shared" si="906"/>
        <v>0</v>
      </c>
      <c r="G2788" s="24" t="e">
        <f t="shared" si="905"/>
        <v>#DIV/0!</v>
      </c>
      <c r="Q2788" s="29" t="str">
        <f t="shared" si="907"/>
        <v>NA</v>
      </c>
      <c r="R2788" s="29" t="str">
        <f t="shared" si="908"/>
        <v>NA</v>
      </c>
      <c r="S2788" s="29" t="str">
        <f t="shared" si="909"/>
        <v>NA</v>
      </c>
      <c r="T2788" s="29" t="str">
        <f t="shared" si="910"/>
        <v>NA</v>
      </c>
      <c r="U2788" s="29" t="str">
        <f t="shared" si="911"/>
        <v>NA</v>
      </c>
      <c r="V2788" s="29" t="str">
        <f t="shared" si="912"/>
        <v>NA</v>
      </c>
      <c r="W2788" s="29" t="str">
        <f t="shared" si="913"/>
        <v>NA</v>
      </c>
      <c r="X2788" s="29" t="str">
        <f t="shared" si="914"/>
        <v>NA</v>
      </c>
      <c r="Y2788" s="29" t="str">
        <f t="shared" si="915"/>
        <v>NA</v>
      </c>
      <c r="Z2788" s="29" t="str">
        <f t="shared" si="916"/>
        <v>NA</v>
      </c>
      <c r="AA2788" s="29" t="str">
        <f t="shared" si="917"/>
        <v>NA</v>
      </c>
      <c r="AB2788" s="29" t="str">
        <f t="shared" si="918"/>
        <v>NA</v>
      </c>
      <c r="AC2788" s="29" t="str">
        <f t="shared" si="919"/>
        <v>NA</v>
      </c>
      <c r="AD2788" s="29" t="str">
        <f t="shared" si="920"/>
        <v>NA</v>
      </c>
      <c r="AE2788" s="29" t="str">
        <f t="shared" si="921"/>
        <v>NA</v>
      </c>
      <c r="AF2788" s="29" t="str">
        <f t="shared" si="922"/>
        <v>NA</v>
      </c>
      <c r="AG2788" s="29" t="str">
        <f t="shared" si="923"/>
        <v>NA</v>
      </c>
      <c r="AH2788" s="29" t="str">
        <f t="shared" si="924"/>
        <v>NA</v>
      </c>
    </row>
    <row r="2789" customHeight="1" spans="1:34">
      <c r="A2789" s="12" t="s">
        <v>1043</v>
      </c>
      <c r="F2789" s="24">
        <f t="shared" si="906"/>
        <v>0</v>
      </c>
      <c r="G2789" s="24" t="e">
        <f t="shared" si="905"/>
        <v>#DIV/0!</v>
      </c>
      <c r="Q2789" s="29" t="str">
        <f t="shared" si="907"/>
        <v>NA</v>
      </c>
      <c r="R2789" s="29" t="str">
        <f t="shared" si="908"/>
        <v>NA</v>
      </c>
      <c r="S2789" s="29" t="str">
        <f t="shared" si="909"/>
        <v>NA</v>
      </c>
      <c r="T2789" s="29" t="str">
        <f t="shared" si="910"/>
        <v>NA</v>
      </c>
      <c r="U2789" s="29" t="str">
        <f t="shared" si="911"/>
        <v>NA</v>
      </c>
      <c r="V2789" s="29" t="str">
        <f t="shared" si="912"/>
        <v>NA</v>
      </c>
      <c r="W2789" s="29" t="str">
        <f t="shared" si="913"/>
        <v>NA</v>
      </c>
      <c r="X2789" s="29" t="str">
        <f t="shared" si="914"/>
        <v>NA</v>
      </c>
      <c r="Y2789" s="29" t="str">
        <f t="shared" si="915"/>
        <v>NA</v>
      </c>
      <c r="Z2789" s="29" t="str">
        <f t="shared" si="916"/>
        <v>NA</v>
      </c>
      <c r="AA2789" s="29" t="str">
        <f t="shared" si="917"/>
        <v>NA</v>
      </c>
      <c r="AB2789" s="29" t="str">
        <f t="shared" si="918"/>
        <v>NA</v>
      </c>
      <c r="AC2789" s="29" t="str">
        <f t="shared" si="919"/>
        <v>NA</v>
      </c>
      <c r="AD2789" s="29" t="str">
        <f t="shared" si="920"/>
        <v>NA</v>
      </c>
      <c r="AE2789" s="29" t="str">
        <f t="shared" si="921"/>
        <v>NA</v>
      </c>
      <c r="AF2789" s="29" t="str">
        <f t="shared" si="922"/>
        <v>NA</v>
      </c>
      <c r="AG2789" s="29" t="str">
        <f t="shared" si="923"/>
        <v>NA</v>
      </c>
      <c r="AH2789" s="29" t="str">
        <f t="shared" si="924"/>
        <v>NA</v>
      </c>
    </row>
    <row r="2790" customHeight="1" spans="1:34">
      <c r="A2790" s="12" t="s">
        <v>1043</v>
      </c>
      <c r="F2790" s="24">
        <f t="shared" si="906"/>
        <v>0</v>
      </c>
      <c r="G2790" s="24" t="e">
        <f t="shared" si="905"/>
        <v>#DIV/0!</v>
      </c>
      <c r="Q2790" s="29" t="str">
        <f t="shared" si="907"/>
        <v>NA</v>
      </c>
      <c r="R2790" s="29" t="str">
        <f t="shared" si="908"/>
        <v>NA</v>
      </c>
      <c r="S2790" s="29" t="str">
        <f t="shared" si="909"/>
        <v>NA</v>
      </c>
      <c r="T2790" s="29" t="str">
        <f t="shared" si="910"/>
        <v>NA</v>
      </c>
      <c r="U2790" s="29" t="str">
        <f t="shared" si="911"/>
        <v>NA</v>
      </c>
      <c r="V2790" s="29" t="str">
        <f t="shared" si="912"/>
        <v>NA</v>
      </c>
      <c r="W2790" s="29" t="str">
        <f t="shared" si="913"/>
        <v>NA</v>
      </c>
      <c r="X2790" s="29" t="str">
        <f t="shared" si="914"/>
        <v>NA</v>
      </c>
      <c r="Y2790" s="29" t="str">
        <f t="shared" si="915"/>
        <v>NA</v>
      </c>
      <c r="Z2790" s="29" t="str">
        <f t="shared" si="916"/>
        <v>NA</v>
      </c>
      <c r="AA2790" s="29" t="str">
        <f t="shared" si="917"/>
        <v>NA</v>
      </c>
      <c r="AB2790" s="29" t="str">
        <f t="shared" si="918"/>
        <v>NA</v>
      </c>
      <c r="AC2790" s="29" t="str">
        <f t="shared" si="919"/>
        <v>NA</v>
      </c>
      <c r="AD2790" s="29" t="str">
        <f t="shared" si="920"/>
        <v>NA</v>
      </c>
      <c r="AE2790" s="29" t="str">
        <f t="shared" si="921"/>
        <v>NA</v>
      </c>
      <c r="AF2790" s="29" t="str">
        <f t="shared" si="922"/>
        <v>NA</v>
      </c>
      <c r="AG2790" s="29" t="str">
        <f t="shared" si="923"/>
        <v>NA</v>
      </c>
      <c r="AH2790" s="29" t="str">
        <f t="shared" si="924"/>
        <v>NA</v>
      </c>
    </row>
    <row r="2791" customHeight="1" spans="1:34">
      <c r="A2791" s="12" t="s">
        <v>1043</v>
      </c>
      <c r="F2791" s="24">
        <f t="shared" si="906"/>
        <v>0</v>
      </c>
      <c r="G2791" s="24" t="e">
        <f t="shared" si="905"/>
        <v>#DIV/0!</v>
      </c>
      <c r="Q2791" s="29" t="str">
        <f t="shared" si="907"/>
        <v>NA</v>
      </c>
      <c r="R2791" s="29" t="str">
        <f t="shared" si="908"/>
        <v>NA</v>
      </c>
      <c r="S2791" s="29" t="str">
        <f t="shared" si="909"/>
        <v>NA</v>
      </c>
      <c r="T2791" s="29" t="str">
        <f t="shared" si="910"/>
        <v>NA</v>
      </c>
      <c r="U2791" s="29" t="str">
        <f t="shared" si="911"/>
        <v>NA</v>
      </c>
      <c r="V2791" s="29" t="str">
        <f t="shared" si="912"/>
        <v>NA</v>
      </c>
      <c r="W2791" s="29" t="str">
        <f t="shared" si="913"/>
        <v>NA</v>
      </c>
      <c r="X2791" s="29" t="str">
        <f t="shared" si="914"/>
        <v>NA</v>
      </c>
      <c r="Y2791" s="29" t="str">
        <f t="shared" si="915"/>
        <v>NA</v>
      </c>
      <c r="Z2791" s="29" t="str">
        <f t="shared" si="916"/>
        <v>NA</v>
      </c>
      <c r="AA2791" s="29" t="str">
        <f t="shared" si="917"/>
        <v>NA</v>
      </c>
      <c r="AB2791" s="29" t="str">
        <f t="shared" si="918"/>
        <v>NA</v>
      </c>
      <c r="AC2791" s="29" t="str">
        <f t="shared" si="919"/>
        <v>NA</v>
      </c>
      <c r="AD2791" s="29" t="str">
        <f t="shared" si="920"/>
        <v>NA</v>
      </c>
      <c r="AE2791" s="29" t="str">
        <f t="shared" si="921"/>
        <v>NA</v>
      </c>
      <c r="AF2791" s="29" t="str">
        <f t="shared" si="922"/>
        <v>NA</v>
      </c>
      <c r="AG2791" s="29" t="str">
        <f t="shared" si="923"/>
        <v>NA</v>
      </c>
      <c r="AH2791" s="29" t="str">
        <f t="shared" si="924"/>
        <v>NA</v>
      </c>
    </row>
    <row r="2792" customHeight="1" spans="1:34">
      <c r="A2792" s="12" t="s">
        <v>1043</v>
      </c>
      <c r="F2792" s="24">
        <f t="shared" si="906"/>
        <v>0</v>
      </c>
      <c r="G2792" s="24" t="e">
        <f t="shared" si="905"/>
        <v>#DIV/0!</v>
      </c>
      <c r="Q2792" s="29" t="str">
        <f t="shared" si="907"/>
        <v>NA</v>
      </c>
      <c r="R2792" s="29" t="str">
        <f t="shared" si="908"/>
        <v>NA</v>
      </c>
      <c r="S2792" s="29" t="str">
        <f t="shared" si="909"/>
        <v>NA</v>
      </c>
      <c r="T2792" s="29" t="str">
        <f t="shared" si="910"/>
        <v>NA</v>
      </c>
      <c r="U2792" s="29" t="str">
        <f t="shared" si="911"/>
        <v>NA</v>
      </c>
      <c r="V2792" s="29" t="str">
        <f t="shared" si="912"/>
        <v>NA</v>
      </c>
      <c r="W2792" s="29" t="str">
        <f t="shared" si="913"/>
        <v>NA</v>
      </c>
      <c r="X2792" s="29" t="str">
        <f t="shared" si="914"/>
        <v>NA</v>
      </c>
      <c r="Y2792" s="29" t="str">
        <f t="shared" si="915"/>
        <v>NA</v>
      </c>
      <c r="Z2792" s="29" t="str">
        <f t="shared" si="916"/>
        <v>NA</v>
      </c>
      <c r="AA2792" s="29" t="str">
        <f t="shared" si="917"/>
        <v>NA</v>
      </c>
      <c r="AB2792" s="29" t="str">
        <f t="shared" si="918"/>
        <v>NA</v>
      </c>
      <c r="AC2792" s="29" t="str">
        <f t="shared" si="919"/>
        <v>NA</v>
      </c>
      <c r="AD2792" s="29" t="str">
        <f t="shared" si="920"/>
        <v>NA</v>
      </c>
      <c r="AE2792" s="29" t="str">
        <f t="shared" si="921"/>
        <v>NA</v>
      </c>
      <c r="AF2792" s="29" t="str">
        <f t="shared" si="922"/>
        <v>NA</v>
      </c>
      <c r="AG2792" s="29" t="str">
        <f t="shared" si="923"/>
        <v>NA</v>
      </c>
      <c r="AH2792" s="29" t="str">
        <f t="shared" si="924"/>
        <v>NA</v>
      </c>
    </row>
    <row r="2793" customHeight="1" spans="1:34">
      <c r="A2793" s="12" t="s">
        <v>1043</v>
      </c>
      <c r="F2793" s="24">
        <f t="shared" si="906"/>
        <v>0</v>
      </c>
      <c r="G2793" s="24" t="e">
        <f t="shared" si="905"/>
        <v>#DIV/0!</v>
      </c>
      <c r="Q2793" s="29" t="str">
        <f t="shared" si="907"/>
        <v>NA</v>
      </c>
      <c r="R2793" s="29" t="str">
        <f t="shared" si="908"/>
        <v>NA</v>
      </c>
      <c r="S2793" s="29" t="str">
        <f t="shared" si="909"/>
        <v>NA</v>
      </c>
      <c r="T2793" s="29" t="str">
        <f t="shared" si="910"/>
        <v>NA</v>
      </c>
      <c r="U2793" s="29" t="str">
        <f t="shared" si="911"/>
        <v>NA</v>
      </c>
      <c r="V2793" s="29" t="str">
        <f t="shared" si="912"/>
        <v>NA</v>
      </c>
      <c r="W2793" s="29" t="str">
        <f t="shared" si="913"/>
        <v>NA</v>
      </c>
      <c r="X2793" s="29" t="str">
        <f t="shared" si="914"/>
        <v>NA</v>
      </c>
      <c r="Y2793" s="29" t="str">
        <f t="shared" si="915"/>
        <v>NA</v>
      </c>
      <c r="Z2793" s="29" t="str">
        <f t="shared" si="916"/>
        <v>NA</v>
      </c>
      <c r="AA2793" s="29" t="str">
        <f t="shared" si="917"/>
        <v>NA</v>
      </c>
      <c r="AB2793" s="29" t="str">
        <f t="shared" si="918"/>
        <v>NA</v>
      </c>
      <c r="AC2793" s="29" t="str">
        <f t="shared" si="919"/>
        <v>NA</v>
      </c>
      <c r="AD2793" s="29" t="str">
        <f t="shared" si="920"/>
        <v>NA</v>
      </c>
      <c r="AE2793" s="29" t="str">
        <f t="shared" si="921"/>
        <v>NA</v>
      </c>
      <c r="AF2793" s="29" t="str">
        <f t="shared" si="922"/>
        <v>NA</v>
      </c>
      <c r="AG2793" s="29" t="str">
        <f t="shared" si="923"/>
        <v>NA</v>
      </c>
      <c r="AH2793" s="29" t="str">
        <f t="shared" si="924"/>
        <v>NA</v>
      </c>
    </row>
    <row r="2794" customHeight="1" spans="1:34">
      <c r="A2794" s="12" t="s">
        <v>1043</v>
      </c>
      <c r="F2794" s="24">
        <f t="shared" si="906"/>
        <v>0</v>
      </c>
      <c r="G2794" s="24" t="e">
        <f t="shared" si="905"/>
        <v>#DIV/0!</v>
      </c>
      <c r="Q2794" s="29" t="str">
        <f t="shared" si="907"/>
        <v>NA</v>
      </c>
      <c r="R2794" s="29" t="str">
        <f t="shared" si="908"/>
        <v>NA</v>
      </c>
      <c r="S2794" s="29" t="str">
        <f t="shared" si="909"/>
        <v>NA</v>
      </c>
      <c r="T2794" s="29" t="str">
        <f t="shared" si="910"/>
        <v>NA</v>
      </c>
      <c r="U2794" s="29" t="str">
        <f t="shared" si="911"/>
        <v>NA</v>
      </c>
      <c r="V2794" s="29" t="str">
        <f t="shared" si="912"/>
        <v>NA</v>
      </c>
      <c r="W2794" s="29" t="str">
        <f t="shared" si="913"/>
        <v>NA</v>
      </c>
      <c r="X2794" s="29" t="str">
        <f t="shared" si="914"/>
        <v>NA</v>
      </c>
      <c r="Y2794" s="29" t="str">
        <f t="shared" si="915"/>
        <v>NA</v>
      </c>
      <c r="Z2794" s="29" t="str">
        <f t="shared" si="916"/>
        <v>NA</v>
      </c>
      <c r="AA2794" s="29" t="str">
        <f t="shared" si="917"/>
        <v>NA</v>
      </c>
      <c r="AB2794" s="29" t="str">
        <f t="shared" si="918"/>
        <v>NA</v>
      </c>
      <c r="AC2794" s="29" t="str">
        <f t="shared" si="919"/>
        <v>NA</v>
      </c>
      <c r="AD2794" s="29" t="str">
        <f t="shared" si="920"/>
        <v>NA</v>
      </c>
      <c r="AE2794" s="29" t="str">
        <f t="shared" si="921"/>
        <v>NA</v>
      </c>
      <c r="AF2794" s="29" t="str">
        <f t="shared" si="922"/>
        <v>NA</v>
      </c>
      <c r="AG2794" s="29" t="str">
        <f t="shared" si="923"/>
        <v>NA</v>
      </c>
      <c r="AH2794" s="29" t="str">
        <f t="shared" si="924"/>
        <v>NA</v>
      </c>
    </row>
    <row r="2795" customHeight="1" spans="1:34">
      <c r="A2795" s="12" t="s">
        <v>1043</v>
      </c>
      <c r="F2795" s="24">
        <f t="shared" si="906"/>
        <v>0</v>
      </c>
      <c r="G2795" s="24" t="e">
        <f t="shared" si="905"/>
        <v>#DIV/0!</v>
      </c>
      <c r="Q2795" s="29" t="str">
        <f t="shared" si="907"/>
        <v>NA</v>
      </c>
      <c r="R2795" s="29" t="str">
        <f t="shared" si="908"/>
        <v>NA</v>
      </c>
      <c r="S2795" s="29" t="str">
        <f t="shared" si="909"/>
        <v>NA</v>
      </c>
      <c r="T2795" s="29" t="str">
        <f t="shared" si="910"/>
        <v>NA</v>
      </c>
      <c r="U2795" s="29" t="str">
        <f t="shared" si="911"/>
        <v>NA</v>
      </c>
      <c r="V2795" s="29" t="str">
        <f t="shared" si="912"/>
        <v>NA</v>
      </c>
      <c r="W2795" s="29" t="str">
        <f t="shared" si="913"/>
        <v>NA</v>
      </c>
      <c r="X2795" s="29" t="str">
        <f t="shared" si="914"/>
        <v>NA</v>
      </c>
      <c r="Y2795" s="29" t="str">
        <f t="shared" si="915"/>
        <v>NA</v>
      </c>
      <c r="Z2795" s="29" t="str">
        <f t="shared" si="916"/>
        <v>NA</v>
      </c>
      <c r="AA2795" s="29" t="str">
        <f t="shared" si="917"/>
        <v>NA</v>
      </c>
      <c r="AB2795" s="29" t="str">
        <f t="shared" si="918"/>
        <v>NA</v>
      </c>
      <c r="AC2795" s="29" t="str">
        <f t="shared" si="919"/>
        <v>NA</v>
      </c>
      <c r="AD2795" s="29" t="str">
        <f t="shared" si="920"/>
        <v>NA</v>
      </c>
      <c r="AE2795" s="29" t="str">
        <f t="shared" si="921"/>
        <v>NA</v>
      </c>
      <c r="AF2795" s="29" t="str">
        <f t="shared" si="922"/>
        <v>NA</v>
      </c>
      <c r="AG2795" s="29" t="str">
        <f t="shared" si="923"/>
        <v>NA</v>
      </c>
      <c r="AH2795" s="29" t="str">
        <f t="shared" si="924"/>
        <v>NA</v>
      </c>
    </row>
    <row r="2796" customHeight="1" spans="1:34">
      <c r="A2796" s="12" t="s">
        <v>1043</v>
      </c>
      <c r="F2796" s="24">
        <f t="shared" si="906"/>
        <v>0</v>
      </c>
      <c r="G2796" s="24" t="e">
        <f t="shared" si="905"/>
        <v>#DIV/0!</v>
      </c>
      <c r="Q2796" s="29" t="str">
        <f t="shared" si="907"/>
        <v>NA</v>
      </c>
      <c r="R2796" s="29" t="str">
        <f t="shared" si="908"/>
        <v>NA</v>
      </c>
      <c r="S2796" s="29" t="str">
        <f t="shared" si="909"/>
        <v>NA</v>
      </c>
      <c r="T2796" s="29" t="str">
        <f t="shared" si="910"/>
        <v>NA</v>
      </c>
      <c r="U2796" s="29" t="str">
        <f t="shared" si="911"/>
        <v>NA</v>
      </c>
      <c r="V2796" s="29" t="str">
        <f t="shared" si="912"/>
        <v>NA</v>
      </c>
      <c r="W2796" s="29" t="str">
        <f t="shared" si="913"/>
        <v>NA</v>
      </c>
      <c r="X2796" s="29" t="str">
        <f t="shared" si="914"/>
        <v>NA</v>
      </c>
      <c r="Y2796" s="29" t="str">
        <f t="shared" si="915"/>
        <v>NA</v>
      </c>
      <c r="Z2796" s="29" t="str">
        <f t="shared" si="916"/>
        <v>NA</v>
      </c>
      <c r="AA2796" s="29" t="str">
        <f t="shared" si="917"/>
        <v>NA</v>
      </c>
      <c r="AB2796" s="29" t="str">
        <f t="shared" si="918"/>
        <v>NA</v>
      </c>
      <c r="AC2796" s="29" t="str">
        <f t="shared" si="919"/>
        <v>NA</v>
      </c>
      <c r="AD2796" s="29" t="str">
        <f t="shared" si="920"/>
        <v>NA</v>
      </c>
      <c r="AE2796" s="29" t="str">
        <f t="shared" si="921"/>
        <v>NA</v>
      </c>
      <c r="AF2796" s="29" t="str">
        <f t="shared" si="922"/>
        <v>NA</v>
      </c>
      <c r="AG2796" s="29" t="str">
        <f t="shared" si="923"/>
        <v>NA</v>
      </c>
      <c r="AH2796" s="29" t="str">
        <f t="shared" si="924"/>
        <v>NA</v>
      </c>
    </row>
    <row r="2797" customHeight="1" spans="1:34">
      <c r="A2797" s="12" t="s">
        <v>1043</v>
      </c>
      <c r="F2797" s="24">
        <f t="shared" si="906"/>
        <v>0</v>
      </c>
      <c r="G2797" s="24" t="e">
        <f t="shared" si="905"/>
        <v>#DIV/0!</v>
      </c>
      <c r="Q2797" s="29" t="str">
        <f t="shared" si="907"/>
        <v>NA</v>
      </c>
      <c r="R2797" s="29" t="str">
        <f t="shared" si="908"/>
        <v>NA</v>
      </c>
      <c r="S2797" s="29" t="str">
        <f t="shared" si="909"/>
        <v>NA</v>
      </c>
      <c r="T2797" s="29" t="str">
        <f t="shared" si="910"/>
        <v>NA</v>
      </c>
      <c r="U2797" s="29" t="str">
        <f t="shared" si="911"/>
        <v>NA</v>
      </c>
      <c r="V2797" s="29" t="str">
        <f t="shared" si="912"/>
        <v>NA</v>
      </c>
      <c r="W2797" s="29" t="str">
        <f t="shared" si="913"/>
        <v>NA</v>
      </c>
      <c r="X2797" s="29" t="str">
        <f t="shared" si="914"/>
        <v>NA</v>
      </c>
      <c r="Y2797" s="29" t="str">
        <f t="shared" si="915"/>
        <v>NA</v>
      </c>
      <c r="Z2797" s="29" t="str">
        <f t="shared" si="916"/>
        <v>NA</v>
      </c>
      <c r="AA2797" s="29" t="str">
        <f t="shared" si="917"/>
        <v>NA</v>
      </c>
      <c r="AB2797" s="29" t="str">
        <f t="shared" si="918"/>
        <v>NA</v>
      </c>
      <c r="AC2797" s="29" t="str">
        <f t="shared" si="919"/>
        <v>NA</v>
      </c>
      <c r="AD2797" s="29" t="str">
        <f t="shared" si="920"/>
        <v>NA</v>
      </c>
      <c r="AE2797" s="29" t="str">
        <f t="shared" si="921"/>
        <v>NA</v>
      </c>
      <c r="AF2797" s="29" t="str">
        <f t="shared" si="922"/>
        <v>NA</v>
      </c>
      <c r="AG2797" s="29" t="str">
        <f t="shared" si="923"/>
        <v>NA</v>
      </c>
      <c r="AH2797" s="29" t="str">
        <f t="shared" si="924"/>
        <v>NA</v>
      </c>
    </row>
    <row r="2798" customHeight="1" spans="1:34">
      <c r="A2798" s="12" t="s">
        <v>1043</v>
      </c>
      <c r="F2798" s="24">
        <f t="shared" si="906"/>
        <v>0</v>
      </c>
      <c r="G2798" s="24" t="e">
        <f t="shared" si="905"/>
        <v>#DIV/0!</v>
      </c>
      <c r="Q2798" s="29" t="str">
        <f t="shared" si="907"/>
        <v>NA</v>
      </c>
      <c r="R2798" s="29" t="str">
        <f t="shared" si="908"/>
        <v>NA</v>
      </c>
      <c r="S2798" s="29" t="str">
        <f t="shared" si="909"/>
        <v>NA</v>
      </c>
      <c r="T2798" s="29" t="str">
        <f t="shared" si="910"/>
        <v>NA</v>
      </c>
      <c r="U2798" s="29" t="str">
        <f t="shared" si="911"/>
        <v>NA</v>
      </c>
      <c r="V2798" s="29" t="str">
        <f t="shared" si="912"/>
        <v>NA</v>
      </c>
      <c r="W2798" s="29" t="str">
        <f t="shared" si="913"/>
        <v>NA</v>
      </c>
      <c r="X2798" s="29" t="str">
        <f t="shared" si="914"/>
        <v>NA</v>
      </c>
      <c r="Y2798" s="29" t="str">
        <f t="shared" si="915"/>
        <v>NA</v>
      </c>
      <c r="Z2798" s="29" t="str">
        <f t="shared" si="916"/>
        <v>NA</v>
      </c>
      <c r="AA2798" s="29" t="str">
        <f t="shared" si="917"/>
        <v>NA</v>
      </c>
      <c r="AB2798" s="29" t="str">
        <f t="shared" si="918"/>
        <v>NA</v>
      </c>
      <c r="AC2798" s="29" t="str">
        <f t="shared" si="919"/>
        <v>NA</v>
      </c>
      <c r="AD2798" s="29" t="str">
        <f t="shared" si="920"/>
        <v>NA</v>
      </c>
      <c r="AE2798" s="29" t="str">
        <f t="shared" si="921"/>
        <v>NA</v>
      </c>
      <c r="AF2798" s="29" t="str">
        <f t="shared" si="922"/>
        <v>NA</v>
      </c>
      <c r="AG2798" s="29" t="str">
        <f t="shared" si="923"/>
        <v>NA</v>
      </c>
      <c r="AH2798" s="29" t="str">
        <f t="shared" si="924"/>
        <v>NA</v>
      </c>
    </row>
    <row r="2799" customHeight="1" spans="1:34">
      <c r="A2799" s="12" t="s">
        <v>1043</v>
      </c>
      <c r="F2799" s="24">
        <f t="shared" si="906"/>
        <v>0</v>
      </c>
      <c r="G2799" s="24" t="e">
        <f t="shared" si="905"/>
        <v>#DIV/0!</v>
      </c>
      <c r="Q2799" s="29" t="str">
        <f t="shared" si="907"/>
        <v>NA</v>
      </c>
      <c r="R2799" s="29" t="str">
        <f t="shared" si="908"/>
        <v>NA</v>
      </c>
      <c r="S2799" s="29" t="str">
        <f t="shared" si="909"/>
        <v>NA</v>
      </c>
      <c r="T2799" s="29" t="str">
        <f t="shared" si="910"/>
        <v>NA</v>
      </c>
      <c r="U2799" s="29" t="str">
        <f t="shared" si="911"/>
        <v>NA</v>
      </c>
      <c r="V2799" s="29" t="str">
        <f t="shared" si="912"/>
        <v>NA</v>
      </c>
      <c r="W2799" s="29" t="str">
        <f t="shared" si="913"/>
        <v>NA</v>
      </c>
      <c r="X2799" s="29" t="str">
        <f t="shared" si="914"/>
        <v>NA</v>
      </c>
      <c r="Y2799" s="29" t="str">
        <f t="shared" si="915"/>
        <v>NA</v>
      </c>
      <c r="Z2799" s="29" t="str">
        <f t="shared" si="916"/>
        <v>NA</v>
      </c>
      <c r="AA2799" s="29" t="str">
        <f t="shared" si="917"/>
        <v>NA</v>
      </c>
      <c r="AB2799" s="29" t="str">
        <f t="shared" si="918"/>
        <v>NA</v>
      </c>
      <c r="AC2799" s="29" t="str">
        <f t="shared" si="919"/>
        <v>NA</v>
      </c>
      <c r="AD2799" s="29" t="str">
        <f t="shared" si="920"/>
        <v>NA</v>
      </c>
      <c r="AE2799" s="29" t="str">
        <f t="shared" si="921"/>
        <v>NA</v>
      </c>
      <c r="AF2799" s="29" t="str">
        <f t="shared" si="922"/>
        <v>NA</v>
      </c>
      <c r="AG2799" s="29" t="str">
        <f t="shared" si="923"/>
        <v>NA</v>
      </c>
      <c r="AH2799" s="29" t="str">
        <f t="shared" si="924"/>
        <v>NA</v>
      </c>
    </row>
    <row r="2800" customHeight="1" spans="1:34">
      <c r="A2800" s="12" t="s">
        <v>1043</v>
      </c>
      <c r="F2800" s="24">
        <f t="shared" si="906"/>
        <v>0</v>
      </c>
      <c r="G2800" s="24" t="e">
        <f t="shared" si="905"/>
        <v>#DIV/0!</v>
      </c>
      <c r="Q2800" s="29" t="str">
        <f t="shared" si="907"/>
        <v>NA</v>
      </c>
      <c r="R2800" s="29" t="str">
        <f t="shared" si="908"/>
        <v>NA</v>
      </c>
      <c r="S2800" s="29" t="str">
        <f t="shared" si="909"/>
        <v>NA</v>
      </c>
      <c r="T2800" s="29" t="str">
        <f t="shared" si="910"/>
        <v>NA</v>
      </c>
      <c r="U2800" s="29" t="str">
        <f t="shared" si="911"/>
        <v>NA</v>
      </c>
      <c r="V2800" s="29" t="str">
        <f t="shared" si="912"/>
        <v>NA</v>
      </c>
      <c r="W2800" s="29" t="str">
        <f t="shared" si="913"/>
        <v>NA</v>
      </c>
      <c r="X2800" s="29" t="str">
        <f t="shared" si="914"/>
        <v>NA</v>
      </c>
      <c r="Y2800" s="29" t="str">
        <f t="shared" si="915"/>
        <v>NA</v>
      </c>
      <c r="Z2800" s="29" t="str">
        <f t="shared" si="916"/>
        <v>NA</v>
      </c>
      <c r="AA2800" s="29" t="str">
        <f t="shared" si="917"/>
        <v>NA</v>
      </c>
      <c r="AB2800" s="29" t="str">
        <f t="shared" si="918"/>
        <v>NA</v>
      </c>
      <c r="AC2800" s="29" t="str">
        <f t="shared" si="919"/>
        <v>NA</v>
      </c>
      <c r="AD2800" s="29" t="str">
        <f t="shared" si="920"/>
        <v>NA</v>
      </c>
      <c r="AE2800" s="29" t="str">
        <f t="shared" si="921"/>
        <v>NA</v>
      </c>
      <c r="AF2800" s="29" t="str">
        <f t="shared" si="922"/>
        <v>NA</v>
      </c>
      <c r="AG2800" s="29" t="str">
        <f t="shared" si="923"/>
        <v>NA</v>
      </c>
      <c r="AH2800" s="29" t="str">
        <f t="shared" si="924"/>
        <v>NA</v>
      </c>
    </row>
    <row r="2801" customHeight="1" spans="1:34">
      <c r="A2801" s="12" t="s">
        <v>1043</v>
      </c>
      <c r="F2801" s="24">
        <f t="shared" si="906"/>
        <v>0</v>
      </c>
      <c r="G2801" s="24" t="e">
        <f t="shared" si="905"/>
        <v>#DIV/0!</v>
      </c>
      <c r="Q2801" s="29" t="str">
        <f t="shared" si="907"/>
        <v>NA</v>
      </c>
      <c r="R2801" s="29" t="str">
        <f t="shared" si="908"/>
        <v>NA</v>
      </c>
      <c r="S2801" s="29" t="str">
        <f t="shared" si="909"/>
        <v>NA</v>
      </c>
      <c r="T2801" s="29" t="str">
        <f t="shared" si="910"/>
        <v>NA</v>
      </c>
      <c r="U2801" s="29" t="str">
        <f t="shared" si="911"/>
        <v>NA</v>
      </c>
      <c r="V2801" s="29" t="str">
        <f t="shared" si="912"/>
        <v>NA</v>
      </c>
      <c r="W2801" s="29" t="str">
        <f t="shared" si="913"/>
        <v>NA</v>
      </c>
      <c r="X2801" s="29" t="str">
        <f t="shared" si="914"/>
        <v>NA</v>
      </c>
      <c r="Y2801" s="29" t="str">
        <f t="shared" si="915"/>
        <v>NA</v>
      </c>
      <c r="Z2801" s="29" t="str">
        <f t="shared" si="916"/>
        <v>NA</v>
      </c>
      <c r="AA2801" s="29" t="str">
        <f t="shared" si="917"/>
        <v>NA</v>
      </c>
      <c r="AB2801" s="29" t="str">
        <f t="shared" si="918"/>
        <v>NA</v>
      </c>
      <c r="AC2801" s="29" t="str">
        <f t="shared" si="919"/>
        <v>NA</v>
      </c>
      <c r="AD2801" s="29" t="str">
        <f t="shared" si="920"/>
        <v>NA</v>
      </c>
      <c r="AE2801" s="29" t="str">
        <f t="shared" si="921"/>
        <v>NA</v>
      </c>
      <c r="AF2801" s="29" t="str">
        <f t="shared" si="922"/>
        <v>NA</v>
      </c>
      <c r="AG2801" s="29" t="str">
        <f t="shared" si="923"/>
        <v>NA</v>
      </c>
      <c r="AH2801" s="29" t="str">
        <f t="shared" si="924"/>
        <v>NA</v>
      </c>
    </row>
    <row r="2802" customHeight="1" spans="1:34">
      <c r="A2802" s="12" t="s">
        <v>1043</v>
      </c>
      <c r="F2802" s="24">
        <f t="shared" si="906"/>
        <v>0</v>
      </c>
      <c r="G2802" s="24" t="e">
        <f t="shared" si="905"/>
        <v>#DIV/0!</v>
      </c>
      <c r="Q2802" s="29" t="str">
        <f t="shared" si="907"/>
        <v>NA</v>
      </c>
      <c r="R2802" s="29" t="str">
        <f t="shared" si="908"/>
        <v>NA</v>
      </c>
      <c r="S2802" s="29" t="str">
        <f t="shared" si="909"/>
        <v>NA</v>
      </c>
      <c r="T2802" s="29" t="str">
        <f t="shared" si="910"/>
        <v>NA</v>
      </c>
      <c r="U2802" s="29" t="str">
        <f t="shared" si="911"/>
        <v>NA</v>
      </c>
      <c r="V2802" s="29" t="str">
        <f t="shared" si="912"/>
        <v>NA</v>
      </c>
      <c r="W2802" s="29" t="str">
        <f t="shared" si="913"/>
        <v>NA</v>
      </c>
      <c r="X2802" s="29" t="str">
        <f t="shared" si="914"/>
        <v>NA</v>
      </c>
      <c r="Y2802" s="29" t="str">
        <f t="shared" si="915"/>
        <v>NA</v>
      </c>
      <c r="Z2802" s="29" t="str">
        <f t="shared" si="916"/>
        <v>NA</v>
      </c>
      <c r="AA2802" s="29" t="str">
        <f t="shared" si="917"/>
        <v>NA</v>
      </c>
      <c r="AB2802" s="29" t="str">
        <f t="shared" si="918"/>
        <v>NA</v>
      </c>
      <c r="AC2802" s="29" t="str">
        <f t="shared" si="919"/>
        <v>NA</v>
      </c>
      <c r="AD2802" s="29" t="str">
        <f t="shared" si="920"/>
        <v>NA</v>
      </c>
      <c r="AE2802" s="29" t="str">
        <f t="shared" si="921"/>
        <v>NA</v>
      </c>
      <c r="AF2802" s="29" t="str">
        <f t="shared" si="922"/>
        <v>NA</v>
      </c>
      <c r="AG2802" s="29" t="str">
        <f t="shared" si="923"/>
        <v>NA</v>
      </c>
      <c r="AH2802" s="29" t="str">
        <f t="shared" si="924"/>
        <v>NA</v>
      </c>
    </row>
    <row r="2803" customHeight="1" spans="1:34">
      <c r="A2803" s="12" t="s">
        <v>1043</v>
      </c>
      <c r="F2803" s="24">
        <f t="shared" si="906"/>
        <v>0</v>
      </c>
      <c r="G2803" s="24" t="e">
        <f t="shared" si="905"/>
        <v>#DIV/0!</v>
      </c>
      <c r="Q2803" s="29" t="str">
        <f t="shared" si="907"/>
        <v>NA</v>
      </c>
      <c r="R2803" s="29" t="str">
        <f t="shared" si="908"/>
        <v>NA</v>
      </c>
      <c r="S2803" s="29" t="str">
        <f t="shared" si="909"/>
        <v>NA</v>
      </c>
      <c r="T2803" s="29" t="str">
        <f t="shared" si="910"/>
        <v>NA</v>
      </c>
      <c r="U2803" s="29" t="str">
        <f t="shared" si="911"/>
        <v>NA</v>
      </c>
      <c r="V2803" s="29" t="str">
        <f t="shared" si="912"/>
        <v>NA</v>
      </c>
      <c r="W2803" s="29" t="str">
        <f t="shared" si="913"/>
        <v>NA</v>
      </c>
      <c r="X2803" s="29" t="str">
        <f t="shared" si="914"/>
        <v>NA</v>
      </c>
      <c r="Y2803" s="29" t="str">
        <f t="shared" si="915"/>
        <v>NA</v>
      </c>
      <c r="Z2803" s="29" t="str">
        <f t="shared" si="916"/>
        <v>NA</v>
      </c>
      <c r="AA2803" s="29" t="str">
        <f t="shared" si="917"/>
        <v>NA</v>
      </c>
      <c r="AB2803" s="29" t="str">
        <f t="shared" si="918"/>
        <v>NA</v>
      </c>
      <c r="AC2803" s="29" t="str">
        <f t="shared" si="919"/>
        <v>NA</v>
      </c>
      <c r="AD2803" s="29" t="str">
        <f t="shared" si="920"/>
        <v>NA</v>
      </c>
      <c r="AE2803" s="29" t="str">
        <f t="shared" si="921"/>
        <v>NA</v>
      </c>
      <c r="AF2803" s="29" t="str">
        <f t="shared" si="922"/>
        <v>NA</v>
      </c>
      <c r="AG2803" s="29" t="str">
        <f t="shared" si="923"/>
        <v>NA</v>
      </c>
      <c r="AH2803" s="29" t="str">
        <f t="shared" si="924"/>
        <v>NA</v>
      </c>
    </row>
    <row r="2804" customHeight="1" spans="1:34">
      <c r="A2804" s="12" t="s">
        <v>1043</v>
      </c>
      <c r="F2804" s="24">
        <f t="shared" si="906"/>
        <v>0</v>
      </c>
      <c r="G2804" s="24" t="e">
        <f t="shared" si="905"/>
        <v>#DIV/0!</v>
      </c>
      <c r="Q2804" s="29" t="str">
        <f t="shared" si="907"/>
        <v>NA</v>
      </c>
      <c r="R2804" s="29" t="str">
        <f t="shared" si="908"/>
        <v>NA</v>
      </c>
      <c r="S2804" s="29" t="str">
        <f t="shared" si="909"/>
        <v>NA</v>
      </c>
      <c r="T2804" s="29" t="str">
        <f t="shared" si="910"/>
        <v>NA</v>
      </c>
      <c r="U2804" s="29" t="str">
        <f t="shared" si="911"/>
        <v>NA</v>
      </c>
      <c r="V2804" s="29" t="str">
        <f t="shared" si="912"/>
        <v>NA</v>
      </c>
      <c r="W2804" s="29" t="str">
        <f t="shared" si="913"/>
        <v>NA</v>
      </c>
      <c r="X2804" s="29" t="str">
        <f t="shared" si="914"/>
        <v>NA</v>
      </c>
      <c r="Y2804" s="29" t="str">
        <f t="shared" si="915"/>
        <v>NA</v>
      </c>
      <c r="Z2804" s="29" t="str">
        <f t="shared" si="916"/>
        <v>NA</v>
      </c>
      <c r="AA2804" s="29" t="str">
        <f t="shared" si="917"/>
        <v>NA</v>
      </c>
      <c r="AB2804" s="29" t="str">
        <f t="shared" si="918"/>
        <v>NA</v>
      </c>
      <c r="AC2804" s="29" t="str">
        <f t="shared" si="919"/>
        <v>NA</v>
      </c>
      <c r="AD2804" s="29" t="str">
        <f t="shared" si="920"/>
        <v>NA</v>
      </c>
      <c r="AE2804" s="29" t="str">
        <f t="shared" si="921"/>
        <v>NA</v>
      </c>
      <c r="AF2804" s="29" t="str">
        <f t="shared" si="922"/>
        <v>NA</v>
      </c>
      <c r="AG2804" s="29" t="str">
        <f t="shared" si="923"/>
        <v>NA</v>
      </c>
      <c r="AH2804" s="29" t="str">
        <f t="shared" si="924"/>
        <v>NA</v>
      </c>
    </row>
    <row r="2805" customHeight="1" spans="1:34">
      <c r="A2805" s="12" t="s">
        <v>1043</v>
      </c>
      <c r="F2805" s="24">
        <f t="shared" si="906"/>
        <v>0</v>
      </c>
      <c r="G2805" s="24" t="e">
        <f t="shared" si="905"/>
        <v>#DIV/0!</v>
      </c>
      <c r="Q2805" s="29" t="str">
        <f t="shared" si="907"/>
        <v>NA</v>
      </c>
      <c r="R2805" s="29" t="str">
        <f t="shared" si="908"/>
        <v>NA</v>
      </c>
      <c r="S2805" s="29" t="str">
        <f t="shared" si="909"/>
        <v>NA</v>
      </c>
      <c r="T2805" s="29" t="str">
        <f t="shared" si="910"/>
        <v>NA</v>
      </c>
      <c r="U2805" s="29" t="str">
        <f t="shared" si="911"/>
        <v>NA</v>
      </c>
      <c r="V2805" s="29" t="str">
        <f t="shared" si="912"/>
        <v>NA</v>
      </c>
      <c r="W2805" s="29" t="str">
        <f t="shared" si="913"/>
        <v>NA</v>
      </c>
      <c r="X2805" s="29" t="str">
        <f t="shared" si="914"/>
        <v>NA</v>
      </c>
      <c r="Y2805" s="29" t="str">
        <f t="shared" si="915"/>
        <v>NA</v>
      </c>
      <c r="Z2805" s="29" t="str">
        <f t="shared" si="916"/>
        <v>NA</v>
      </c>
      <c r="AA2805" s="29" t="str">
        <f t="shared" si="917"/>
        <v>NA</v>
      </c>
      <c r="AB2805" s="29" t="str">
        <f t="shared" si="918"/>
        <v>NA</v>
      </c>
      <c r="AC2805" s="29" t="str">
        <f t="shared" si="919"/>
        <v>NA</v>
      </c>
      <c r="AD2805" s="29" t="str">
        <f t="shared" si="920"/>
        <v>NA</v>
      </c>
      <c r="AE2805" s="29" t="str">
        <f t="shared" si="921"/>
        <v>NA</v>
      </c>
      <c r="AF2805" s="29" t="str">
        <f t="shared" si="922"/>
        <v>NA</v>
      </c>
      <c r="AG2805" s="29" t="str">
        <f t="shared" si="923"/>
        <v>NA</v>
      </c>
      <c r="AH2805" s="29" t="str">
        <f t="shared" si="924"/>
        <v>NA</v>
      </c>
    </row>
    <row r="2806" customHeight="1" spans="1:34">
      <c r="A2806" s="12" t="s">
        <v>1043</v>
      </c>
      <c r="F2806" s="24">
        <f t="shared" si="906"/>
        <v>0</v>
      </c>
      <c r="G2806" s="24" t="e">
        <f t="shared" si="905"/>
        <v>#DIV/0!</v>
      </c>
      <c r="Q2806" s="29" t="str">
        <f t="shared" si="907"/>
        <v>NA</v>
      </c>
      <c r="R2806" s="29" t="str">
        <f t="shared" si="908"/>
        <v>NA</v>
      </c>
      <c r="S2806" s="29" t="str">
        <f t="shared" si="909"/>
        <v>NA</v>
      </c>
      <c r="T2806" s="29" t="str">
        <f t="shared" si="910"/>
        <v>NA</v>
      </c>
      <c r="U2806" s="29" t="str">
        <f t="shared" si="911"/>
        <v>NA</v>
      </c>
      <c r="V2806" s="29" t="str">
        <f t="shared" si="912"/>
        <v>NA</v>
      </c>
      <c r="W2806" s="29" t="str">
        <f t="shared" si="913"/>
        <v>NA</v>
      </c>
      <c r="X2806" s="29" t="str">
        <f t="shared" si="914"/>
        <v>NA</v>
      </c>
      <c r="Y2806" s="29" t="str">
        <f t="shared" si="915"/>
        <v>NA</v>
      </c>
      <c r="Z2806" s="29" t="str">
        <f t="shared" si="916"/>
        <v>NA</v>
      </c>
      <c r="AA2806" s="29" t="str">
        <f t="shared" si="917"/>
        <v>NA</v>
      </c>
      <c r="AB2806" s="29" t="str">
        <f t="shared" si="918"/>
        <v>NA</v>
      </c>
      <c r="AC2806" s="29" t="str">
        <f t="shared" si="919"/>
        <v>NA</v>
      </c>
      <c r="AD2806" s="29" t="str">
        <f t="shared" si="920"/>
        <v>NA</v>
      </c>
      <c r="AE2806" s="29" t="str">
        <f t="shared" si="921"/>
        <v>NA</v>
      </c>
      <c r="AF2806" s="29" t="str">
        <f t="shared" si="922"/>
        <v>NA</v>
      </c>
      <c r="AG2806" s="29" t="str">
        <f t="shared" si="923"/>
        <v>NA</v>
      </c>
      <c r="AH2806" s="29" t="str">
        <f t="shared" si="924"/>
        <v>NA</v>
      </c>
    </row>
    <row r="2807" customHeight="1" spans="1:34">
      <c r="A2807" s="12" t="s">
        <v>1043</v>
      </c>
      <c r="F2807" s="24">
        <f t="shared" si="906"/>
        <v>0</v>
      </c>
      <c r="G2807" s="24" t="e">
        <f t="shared" si="905"/>
        <v>#DIV/0!</v>
      </c>
      <c r="Q2807" s="29" t="str">
        <f t="shared" si="907"/>
        <v>NA</v>
      </c>
      <c r="R2807" s="29" t="str">
        <f t="shared" si="908"/>
        <v>NA</v>
      </c>
      <c r="S2807" s="29" t="str">
        <f t="shared" si="909"/>
        <v>NA</v>
      </c>
      <c r="T2807" s="29" t="str">
        <f t="shared" si="910"/>
        <v>NA</v>
      </c>
      <c r="U2807" s="29" t="str">
        <f t="shared" si="911"/>
        <v>NA</v>
      </c>
      <c r="V2807" s="29" t="str">
        <f t="shared" si="912"/>
        <v>NA</v>
      </c>
      <c r="W2807" s="29" t="str">
        <f t="shared" si="913"/>
        <v>NA</v>
      </c>
      <c r="X2807" s="29" t="str">
        <f t="shared" si="914"/>
        <v>NA</v>
      </c>
      <c r="Y2807" s="29" t="str">
        <f t="shared" si="915"/>
        <v>NA</v>
      </c>
      <c r="Z2807" s="29" t="str">
        <f t="shared" si="916"/>
        <v>NA</v>
      </c>
      <c r="AA2807" s="29" t="str">
        <f t="shared" si="917"/>
        <v>NA</v>
      </c>
      <c r="AB2807" s="29" t="str">
        <f t="shared" si="918"/>
        <v>NA</v>
      </c>
      <c r="AC2807" s="29" t="str">
        <f t="shared" si="919"/>
        <v>NA</v>
      </c>
      <c r="AD2807" s="29" t="str">
        <f t="shared" si="920"/>
        <v>NA</v>
      </c>
      <c r="AE2807" s="29" t="str">
        <f t="shared" si="921"/>
        <v>NA</v>
      </c>
      <c r="AF2807" s="29" t="str">
        <f t="shared" si="922"/>
        <v>NA</v>
      </c>
      <c r="AG2807" s="29" t="str">
        <f t="shared" si="923"/>
        <v>NA</v>
      </c>
      <c r="AH2807" s="29" t="str">
        <f t="shared" si="924"/>
        <v>NA</v>
      </c>
    </row>
    <row r="2808" customHeight="1" spans="1:34">
      <c r="A2808" s="12" t="s">
        <v>1043</v>
      </c>
      <c r="F2808" s="24">
        <f t="shared" si="906"/>
        <v>0</v>
      </c>
      <c r="G2808" s="24" t="e">
        <f t="shared" si="905"/>
        <v>#DIV/0!</v>
      </c>
      <c r="Q2808" s="29" t="str">
        <f t="shared" si="907"/>
        <v>NA</v>
      </c>
      <c r="R2808" s="29" t="str">
        <f t="shared" si="908"/>
        <v>NA</v>
      </c>
      <c r="S2808" s="29" t="str">
        <f t="shared" si="909"/>
        <v>NA</v>
      </c>
      <c r="T2808" s="29" t="str">
        <f t="shared" si="910"/>
        <v>NA</v>
      </c>
      <c r="U2808" s="29" t="str">
        <f t="shared" si="911"/>
        <v>NA</v>
      </c>
      <c r="V2808" s="29" t="str">
        <f t="shared" si="912"/>
        <v>NA</v>
      </c>
      <c r="W2808" s="29" t="str">
        <f t="shared" si="913"/>
        <v>NA</v>
      </c>
      <c r="X2808" s="29" t="str">
        <f t="shared" si="914"/>
        <v>NA</v>
      </c>
      <c r="Y2808" s="29" t="str">
        <f t="shared" si="915"/>
        <v>NA</v>
      </c>
      <c r="Z2808" s="29" t="str">
        <f t="shared" si="916"/>
        <v>NA</v>
      </c>
      <c r="AA2808" s="29" t="str">
        <f t="shared" si="917"/>
        <v>NA</v>
      </c>
      <c r="AB2808" s="29" t="str">
        <f t="shared" si="918"/>
        <v>NA</v>
      </c>
      <c r="AC2808" s="29" t="str">
        <f t="shared" si="919"/>
        <v>NA</v>
      </c>
      <c r="AD2808" s="29" t="str">
        <f t="shared" si="920"/>
        <v>NA</v>
      </c>
      <c r="AE2808" s="29" t="str">
        <f t="shared" si="921"/>
        <v>NA</v>
      </c>
      <c r="AF2808" s="29" t="str">
        <f t="shared" si="922"/>
        <v>NA</v>
      </c>
      <c r="AG2808" s="29" t="str">
        <f t="shared" si="923"/>
        <v>NA</v>
      </c>
      <c r="AH2808" s="29" t="str">
        <f t="shared" si="924"/>
        <v>NA</v>
      </c>
    </row>
    <row r="2809" customHeight="1" spans="1:34">
      <c r="A2809" s="12" t="s">
        <v>1043</v>
      </c>
      <c r="F2809" s="24">
        <f t="shared" si="906"/>
        <v>0</v>
      </c>
      <c r="G2809" s="24" t="e">
        <f t="shared" si="905"/>
        <v>#DIV/0!</v>
      </c>
      <c r="Q2809" s="29" t="str">
        <f t="shared" si="907"/>
        <v>NA</v>
      </c>
      <c r="R2809" s="29" t="str">
        <f t="shared" si="908"/>
        <v>NA</v>
      </c>
      <c r="S2809" s="29" t="str">
        <f t="shared" si="909"/>
        <v>NA</v>
      </c>
      <c r="T2809" s="29" t="str">
        <f t="shared" si="910"/>
        <v>NA</v>
      </c>
      <c r="U2809" s="29" t="str">
        <f t="shared" si="911"/>
        <v>NA</v>
      </c>
      <c r="V2809" s="29" t="str">
        <f t="shared" si="912"/>
        <v>NA</v>
      </c>
      <c r="W2809" s="29" t="str">
        <f t="shared" si="913"/>
        <v>NA</v>
      </c>
      <c r="X2809" s="29" t="str">
        <f t="shared" si="914"/>
        <v>NA</v>
      </c>
      <c r="Y2809" s="29" t="str">
        <f t="shared" si="915"/>
        <v>NA</v>
      </c>
      <c r="Z2809" s="29" t="str">
        <f t="shared" si="916"/>
        <v>NA</v>
      </c>
      <c r="AA2809" s="29" t="str">
        <f t="shared" si="917"/>
        <v>NA</v>
      </c>
      <c r="AB2809" s="29" t="str">
        <f t="shared" si="918"/>
        <v>NA</v>
      </c>
      <c r="AC2809" s="29" t="str">
        <f t="shared" si="919"/>
        <v>NA</v>
      </c>
      <c r="AD2809" s="29" t="str">
        <f t="shared" si="920"/>
        <v>NA</v>
      </c>
      <c r="AE2809" s="29" t="str">
        <f t="shared" si="921"/>
        <v>NA</v>
      </c>
      <c r="AF2809" s="29" t="str">
        <f t="shared" si="922"/>
        <v>NA</v>
      </c>
      <c r="AG2809" s="29" t="str">
        <f t="shared" si="923"/>
        <v>NA</v>
      </c>
      <c r="AH2809" s="29" t="str">
        <f t="shared" si="924"/>
        <v>NA</v>
      </c>
    </row>
    <row r="2810" customHeight="1" spans="1:34">
      <c r="A2810" s="12" t="s">
        <v>1043</v>
      </c>
      <c r="F2810" s="24">
        <f t="shared" si="906"/>
        <v>0</v>
      </c>
      <c r="G2810" s="24" t="e">
        <f t="shared" si="905"/>
        <v>#DIV/0!</v>
      </c>
      <c r="Q2810" s="29" t="str">
        <f t="shared" si="907"/>
        <v>NA</v>
      </c>
      <c r="R2810" s="29" t="str">
        <f t="shared" si="908"/>
        <v>NA</v>
      </c>
      <c r="S2810" s="29" t="str">
        <f t="shared" si="909"/>
        <v>NA</v>
      </c>
      <c r="T2810" s="29" t="str">
        <f t="shared" si="910"/>
        <v>NA</v>
      </c>
      <c r="U2810" s="29" t="str">
        <f t="shared" si="911"/>
        <v>NA</v>
      </c>
      <c r="V2810" s="29" t="str">
        <f t="shared" si="912"/>
        <v>NA</v>
      </c>
      <c r="W2810" s="29" t="str">
        <f t="shared" si="913"/>
        <v>NA</v>
      </c>
      <c r="X2810" s="29" t="str">
        <f t="shared" si="914"/>
        <v>NA</v>
      </c>
      <c r="Y2810" s="29" t="str">
        <f t="shared" si="915"/>
        <v>NA</v>
      </c>
      <c r="Z2810" s="29" t="str">
        <f t="shared" si="916"/>
        <v>NA</v>
      </c>
      <c r="AA2810" s="29" t="str">
        <f t="shared" si="917"/>
        <v>NA</v>
      </c>
      <c r="AB2810" s="29" t="str">
        <f t="shared" si="918"/>
        <v>NA</v>
      </c>
      <c r="AC2810" s="29" t="str">
        <f t="shared" si="919"/>
        <v>NA</v>
      </c>
      <c r="AD2810" s="29" t="str">
        <f t="shared" si="920"/>
        <v>NA</v>
      </c>
      <c r="AE2810" s="29" t="str">
        <f t="shared" si="921"/>
        <v>NA</v>
      </c>
      <c r="AF2810" s="29" t="str">
        <f t="shared" si="922"/>
        <v>NA</v>
      </c>
      <c r="AG2810" s="29" t="str">
        <f t="shared" si="923"/>
        <v>NA</v>
      </c>
      <c r="AH2810" s="29" t="str">
        <f t="shared" si="924"/>
        <v>NA</v>
      </c>
    </row>
    <row r="2811" customHeight="1" spans="1:34">
      <c r="A2811" s="12" t="s">
        <v>1043</v>
      </c>
      <c r="F2811" s="24">
        <f t="shared" si="906"/>
        <v>0</v>
      </c>
      <c r="G2811" s="24" t="e">
        <f t="shared" si="905"/>
        <v>#DIV/0!</v>
      </c>
      <c r="Q2811" s="29" t="str">
        <f t="shared" si="907"/>
        <v>NA</v>
      </c>
      <c r="R2811" s="29" t="str">
        <f t="shared" si="908"/>
        <v>NA</v>
      </c>
      <c r="S2811" s="29" t="str">
        <f t="shared" si="909"/>
        <v>NA</v>
      </c>
      <c r="T2811" s="29" t="str">
        <f t="shared" si="910"/>
        <v>NA</v>
      </c>
      <c r="U2811" s="29" t="str">
        <f t="shared" si="911"/>
        <v>NA</v>
      </c>
      <c r="V2811" s="29" t="str">
        <f t="shared" si="912"/>
        <v>NA</v>
      </c>
      <c r="W2811" s="29" t="str">
        <f t="shared" si="913"/>
        <v>NA</v>
      </c>
      <c r="X2811" s="29" t="str">
        <f t="shared" si="914"/>
        <v>NA</v>
      </c>
      <c r="Y2811" s="29" t="str">
        <f t="shared" si="915"/>
        <v>NA</v>
      </c>
      <c r="Z2811" s="29" t="str">
        <f t="shared" si="916"/>
        <v>NA</v>
      </c>
      <c r="AA2811" s="29" t="str">
        <f t="shared" si="917"/>
        <v>NA</v>
      </c>
      <c r="AB2811" s="29" t="str">
        <f t="shared" si="918"/>
        <v>NA</v>
      </c>
      <c r="AC2811" s="29" t="str">
        <f t="shared" si="919"/>
        <v>NA</v>
      </c>
      <c r="AD2811" s="29" t="str">
        <f t="shared" si="920"/>
        <v>NA</v>
      </c>
      <c r="AE2811" s="29" t="str">
        <f t="shared" si="921"/>
        <v>NA</v>
      </c>
      <c r="AF2811" s="29" t="str">
        <f t="shared" si="922"/>
        <v>NA</v>
      </c>
      <c r="AG2811" s="29" t="str">
        <f t="shared" si="923"/>
        <v>NA</v>
      </c>
      <c r="AH2811" s="29" t="str">
        <f t="shared" si="924"/>
        <v>NA</v>
      </c>
    </row>
    <row r="2812" customHeight="1" spans="1:34">
      <c r="A2812" s="12" t="s">
        <v>1043</v>
      </c>
      <c r="F2812" s="24">
        <f t="shared" si="906"/>
        <v>0</v>
      </c>
      <c r="G2812" s="24" t="e">
        <f t="shared" si="905"/>
        <v>#DIV/0!</v>
      </c>
      <c r="Q2812" s="29" t="str">
        <f t="shared" si="907"/>
        <v>NA</v>
      </c>
      <c r="R2812" s="29" t="str">
        <f t="shared" si="908"/>
        <v>NA</v>
      </c>
      <c r="S2812" s="29" t="str">
        <f t="shared" si="909"/>
        <v>NA</v>
      </c>
      <c r="T2812" s="29" t="str">
        <f t="shared" si="910"/>
        <v>NA</v>
      </c>
      <c r="U2812" s="29" t="str">
        <f t="shared" si="911"/>
        <v>NA</v>
      </c>
      <c r="V2812" s="29" t="str">
        <f t="shared" si="912"/>
        <v>NA</v>
      </c>
      <c r="W2812" s="29" t="str">
        <f t="shared" si="913"/>
        <v>NA</v>
      </c>
      <c r="X2812" s="29" t="str">
        <f t="shared" si="914"/>
        <v>NA</v>
      </c>
      <c r="Y2812" s="29" t="str">
        <f t="shared" si="915"/>
        <v>NA</v>
      </c>
      <c r="Z2812" s="29" t="str">
        <f t="shared" si="916"/>
        <v>NA</v>
      </c>
      <c r="AA2812" s="29" t="str">
        <f t="shared" si="917"/>
        <v>NA</v>
      </c>
      <c r="AB2812" s="29" t="str">
        <f t="shared" si="918"/>
        <v>NA</v>
      </c>
      <c r="AC2812" s="29" t="str">
        <f t="shared" si="919"/>
        <v>NA</v>
      </c>
      <c r="AD2812" s="29" t="str">
        <f t="shared" si="920"/>
        <v>NA</v>
      </c>
      <c r="AE2812" s="29" t="str">
        <f t="shared" si="921"/>
        <v>NA</v>
      </c>
      <c r="AF2812" s="29" t="str">
        <f t="shared" si="922"/>
        <v>NA</v>
      </c>
      <c r="AG2812" s="29" t="str">
        <f t="shared" si="923"/>
        <v>NA</v>
      </c>
      <c r="AH2812" s="29" t="str">
        <f t="shared" si="924"/>
        <v>NA</v>
      </c>
    </row>
    <row r="2813" customHeight="1" spans="1:34">
      <c r="A2813" s="12" t="s">
        <v>1043</v>
      </c>
      <c r="F2813" s="24">
        <f t="shared" si="906"/>
        <v>0</v>
      </c>
      <c r="G2813" s="24" t="e">
        <f t="shared" si="905"/>
        <v>#DIV/0!</v>
      </c>
      <c r="Q2813" s="29" t="str">
        <f t="shared" si="907"/>
        <v>NA</v>
      </c>
      <c r="R2813" s="29" t="str">
        <f t="shared" si="908"/>
        <v>NA</v>
      </c>
      <c r="S2813" s="29" t="str">
        <f t="shared" si="909"/>
        <v>NA</v>
      </c>
      <c r="T2813" s="29" t="str">
        <f t="shared" si="910"/>
        <v>NA</v>
      </c>
      <c r="U2813" s="29" t="str">
        <f t="shared" si="911"/>
        <v>NA</v>
      </c>
      <c r="V2813" s="29" t="str">
        <f t="shared" si="912"/>
        <v>NA</v>
      </c>
      <c r="W2813" s="29" t="str">
        <f t="shared" si="913"/>
        <v>NA</v>
      </c>
      <c r="X2813" s="29" t="str">
        <f t="shared" si="914"/>
        <v>NA</v>
      </c>
      <c r="Y2813" s="29" t="str">
        <f t="shared" si="915"/>
        <v>NA</v>
      </c>
      <c r="Z2813" s="29" t="str">
        <f t="shared" si="916"/>
        <v>NA</v>
      </c>
      <c r="AA2813" s="29" t="str">
        <f t="shared" si="917"/>
        <v>NA</v>
      </c>
      <c r="AB2813" s="29" t="str">
        <f t="shared" si="918"/>
        <v>NA</v>
      </c>
      <c r="AC2813" s="29" t="str">
        <f t="shared" si="919"/>
        <v>NA</v>
      </c>
      <c r="AD2813" s="29" t="str">
        <f t="shared" si="920"/>
        <v>NA</v>
      </c>
      <c r="AE2813" s="29" t="str">
        <f t="shared" si="921"/>
        <v>NA</v>
      </c>
      <c r="AF2813" s="29" t="str">
        <f t="shared" si="922"/>
        <v>NA</v>
      </c>
      <c r="AG2813" s="29" t="str">
        <f t="shared" si="923"/>
        <v>NA</v>
      </c>
      <c r="AH2813" s="29" t="str">
        <f t="shared" si="924"/>
        <v>NA</v>
      </c>
    </row>
    <row r="2814" customHeight="1" spans="1:34">
      <c r="A2814" s="12" t="s">
        <v>1043</v>
      </c>
      <c r="F2814" s="24">
        <f t="shared" si="906"/>
        <v>0</v>
      </c>
      <c r="G2814" s="24" t="e">
        <f t="shared" si="905"/>
        <v>#DIV/0!</v>
      </c>
      <c r="Q2814" s="29" t="str">
        <f t="shared" si="907"/>
        <v>NA</v>
      </c>
      <c r="R2814" s="29" t="str">
        <f t="shared" si="908"/>
        <v>NA</v>
      </c>
      <c r="S2814" s="29" t="str">
        <f t="shared" si="909"/>
        <v>NA</v>
      </c>
      <c r="T2814" s="29" t="str">
        <f t="shared" si="910"/>
        <v>NA</v>
      </c>
      <c r="U2814" s="29" t="str">
        <f t="shared" si="911"/>
        <v>NA</v>
      </c>
      <c r="V2814" s="29" t="str">
        <f t="shared" si="912"/>
        <v>NA</v>
      </c>
      <c r="W2814" s="29" t="str">
        <f t="shared" si="913"/>
        <v>NA</v>
      </c>
      <c r="X2814" s="29" t="str">
        <f t="shared" si="914"/>
        <v>NA</v>
      </c>
      <c r="Y2814" s="29" t="str">
        <f t="shared" si="915"/>
        <v>NA</v>
      </c>
      <c r="Z2814" s="29" t="str">
        <f t="shared" si="916"/>
        <v>NA</v>
      </c>
      <c r="AA2814" s="29" t="str">
        <f t="shared" si="917"/>
        <v>NA</v>
      </c>
      <c r="AB2814" s="29" t="str">
        <f t="shared" si="918"/>
        <v>NA</v>
      </c>
      <c r="AC2814" s="29" t="str">
        <f t="shared" si="919"/>
        <v>NA</v>
      </c>
      <c r="AD2814" s="29" t="str">
        <f t="shared" si="920"/>
        <v>NA</v>
      </c>
      <c r="AE2814" s="29" t="str">
        <f t="shared" si="921"/>
        <v>NA</v>
      </c>
      <c r="AF2814" s="29" t="str">
        <f t="shared" si="922"/>
        <v>NA</v>
      </c>
      <c r="AG2814" s="29" t="str">
        <f t="shared" si="923"/>
        <v>NA</v>
      </c>
      <c r="AH2814" s="29" t="str">
        <f t="shared" si="924"/>
        <v>NA</v>
      </c>
    </row>
    <row r="2815" customHeight="1" spans="1:34">
      <c r="A2815" s="12" t="s">
        <v>1043</v>
      </c>
      <c r="F2815" s="24">
        <f t="shared" si="906"/>
        <v>0</v>
      </c>
      <c r="G2815" s="24" t="e">
        <f t="shared" si="905"/>
        <v>#DIV/0!</v>
      </c>
      <c r="Q2815" s="29" t="str">
        <f t="shared" si="907"/>
        <v>NA</v>
      </c>
      <c r="R2815" s="29" t="str">
        <f t="shared" si="908"/>
        <v>NA</v>
      </c>
      <c r="S2815" s="29" t="str">
        <f t="shared" si="909"/>
        <v>NA</v>
      </c>
      <c r="T2815" s="29" t="str">
        <f t="shared" si="910"/>
        <v>NA</v>
      </c>
      <c r="U2815" s="29" t="str">
        <f t="shared" si="911"/>
        <v>NA</v>
      </c>
      <c r="V2815" s="29" t="str">
        <f t="shared" si="912"/>
        <v>NA</v>
      </c>
      <c r="W2815" s="29" t="str">
        <f t="shared" si="913"/>
        <v>NA</v>
      </c>
      <c r="X2815" s="29" t="str">
        <f t="shared" si="914"/>
        <v>NA</v>
      </c>
      <c r="Y2815" s="29" t="str">
        <f t="shared" si="915"/>
        <v>NA</v>
      </c>
      <c r="Z2815" s="29" t="str">
        <f t="shared" si="916"/>
        <v>NA</v>
      </c>
      <c r="AA2815" s="29" t="str">
        <f t="shared" si="917"/>
        <v>NA</v>
      </c>
      <c r="AB2815" s="29" t="str">
        <f t="shared" si="918"/>
        <v>NA</v>
      </c>
      <c r="AC2815" s="29" t="str">
        <f t="shared" si="919"/>
        <v>NA</v>
      </c>
      <c r="AD2815" s="29" t="str">
        <f t="shared" si="920"/>
        <v>NA</v>
      </c>
      <c r="AE2815" s="29" t="str">
        <f t="shared" si="921"/>
        <v>NA</v>
      </c>
      <c r="AF2815" s="29" t="str">
        <f t="shared" si="922"/>
        <v>NA</v>
      </c>
      <c r="AG2815" s="29" t="str">
        <f t="shared" si="923"/>
        <v>NA</v>
      </c>
      <c r="AH2815" s="29" t="str">
        <f t="shared" si="924"/>
        <v>NA</v>
      </c>
    </row>
    <row r="2816" customHeight="1" spans="1:34">
      <c r="A2816" s="12" t="s">
        <v>1043</v>
      </c>
      <c r="F2816" s="24">
        <f t="shared" si="906"/>
        <v>0</v>
      </c>
      <c r="G2816" s="24" t="e">
        <f t="shared" si="905"/>
        <v>#DIV/0!</v>
      </c>
      <c r="Q2816" s="29" t="str">
        <f t="shared" si="907"/>
        <v>NA</v>
      </c>
      <c r="R2816" s="29" t="str">
        <f t="shared" si="908"/>
        <v>NA</v>
      </c>
      <c r="S2816" s="29" t="str">
        <f t="shared" si="909"/>
        <v>NA</v>
      </c>
      <c r="T2816" s="29" t="str">
        <f t="shared" si="910"/>
        <v>NA</v>
      </c>
      <c r="U2816" s="29" t="str">
        <f t="shared" si="911"/>
        <v>NA</v>
      </c>
      <c r="V2816" s="29" t="str">
        <f t="shared" si="912"/>
        <v>NA</v>
      </c>
      <c r="W2816" s="29" t="str">
        <f t="shared" si="913"/>
        <v>NA</v>
      </c>
      <c r="X2816" s="29" t="str">
        <f t="shared" si="914"/>
        <v>NA</v>
      </c>
      <c r="Y2816" s="29" t="str">
        <f t="shared" si="915"/>
        <v>NA</v>
      </c>
      <c r="Z2816" s="29" t="str">
        <f t="shared" si="916"/>
        <v>NA</v>
      </c>
      <c r="AA2816" s="29" t="str">
        <f t="shared" si="917"/>
        <v>NA</v>
      </c>
      <c r="AB2816" s="29" t="str">
        <f t="shared" si="918"/>
        <v>NA</v>
      </c>
      <c r="AC2816" s="29" t="str">
        <f t="shared" si="919"/>
        <v>NA</v>
      </c>
      <c r="AD2816" s="29" t="str">
        <f t="shared" si="920"/>
        <v>NA</v>
      </c>
      <c r="AE2816" s="29" t="str">
        <f t="shared" si="921"/>
        <v>NA</v>
      </c>
      <c r="AF2816" s="29" t="str">
        <f t="shared" si="922"/>
        <v>NA</v>
      </c>
      <c r="AG2816" s="29" t="str">
        <f t="shared" si="923"/>
        <v>NA</v>
      </c>
      <c r="AH2816" s="29" t="str">
        <f t="shared" si="924"/>
        <v>NA</v>
      </c>
    </row>
    <row r="2817" customHeight="1" spans="1:34">
      <c r="A2817" s="12" t="s">
        <v>1043</v>
      </c>
      <c r="F2817" s="24">
        <f t="shared" si="906"/>
        <v>0</v>
      </c>
      <c r="G2817" s="24" t="e">
        <f t="shared" si="905"/>
        <v>#DIV/0!</v>
      </c>
      <c r="Q2817" s="29" t="str">
        <f t="shared" si="907"/>
        <v>NA</v>
      </c>
      <c r="R2817" s="29" t="str">
        <f t="shared" si="908"/>
        <v>NA</v>
      </c>
      <c r="S2817" s="29" t="str">
        <f t="shared" si="909"/>
        <v>NA</v>
      </c>
      <c r="T2817" s="29" t="str">
        <f t="shared" si="910"/>
        <v>NA</v>
      </c>
      <c r="U2817" s="29" t="str">
        <f t="shared" si="911"/>
        <v>NA</v>
      </c>
      <c r="V2817" s="29" t="str">
        <f t="shared" si="912"/>
        <v>NA</v>
      </c>
      <c r="W2817" s="29" t="str">
        <f t="shared" si="913"/>
        <v>NA</v>
      </c>
      <c r="X2817" s="29" t="str">
        <f t="shared" si="914"/>
        <v>NA</v>
      </c>
      <c r="Y2817" s="29" t="str">
        <f t="shared" si="915"/>
        <v>NA</v>
      </c>
      <c r="Z2817" s="29" t="str">
        <f t="shared" si="916"/>
        <v>NA</v>
      </c>
      <c r="AA2817" s="29" t="str">
        <f t="shared" si="917"/>
        <v>NA</v>
      </c>
      <c r="AB2817" s="29" t="str">
        <f t="shared" si="918"/>
        <v>NA</v>
      </c>
      <c r="AC2817" s="29" t="str">
        <f t="shared" si="919"/>
        <v>NA</v>
      </c>
      <c r="AD2817" s="29" t="str">
        <f t="shared" si="920"/>
        <v>NA</v>
      </c>
      <c r="AE2817" s="29" t="str">
        <f t="shared" si="921"/>
        <v>NA</v>
      </c>
      <c r="AF2817" s="29" t="str">
        <f t="shared" si="922"/>
        <v>NA</v>
      </c>
      <c r="AG2817" s="29" t="str">
        <f t="shared" si="923"/>
        <v>NA</v>
      </c>
      <c r="AH2817" s="29" t="str">
        <f t="shared" si="924"/>
        <v>NA</v>
      </c>
    </row>
    <row r="2818" customHeight="1" spans="1:34">
      <c r="A2818" s="12" t="s">
        <v>1043</v>
      </c>
      <c r="F2818" s="24">
        <f t="shared" si="906"/>
        <v>0</v>
      </c>
      <c r="G2818" s="24" t="e">
        <f t="shared" si="905"/>
        <v>#DIV/0!</v>
      </c>
      <c r="Q2818" s="29" t="str">
        <f t="shared" si="907"/>
        <v>NA</v>
      </c>
      <c r="R2818" s="29" t="str">
        <f t="shared" si="908"/>
        <v>NA</v>
      </c>
      <c r="S2818" s="29" t="str">
        <f t="shared" si="909"/>
        <v>NA</v>
      </c>
      <c r="T2818" s="29" t="str">
        <f t="shared" si="910"/>
        <v>NA</v>
      </c>
      <c r="U2818" s="29" t="str">
        <f t="shared" si="911"/>
        <v>NA</v>
      </c>
      <c r="V2818" s="29" t="str">
        <f t="shared" si="912"/>
        <v>NA</v>
      </c>
      <c r="W2818" s="29" t="str">
        <f t="shared" si="913"/>
        <v>NA</v>
      </c>
      <c r="X2818" s="29" t="str">
        <f t="shared" si="914"/>
        <v>NA</v>
      </c>
      <c r="Y2818" s="29" t="str">
        <f t="shared" si="915"/>
        <v>NA</v>
      </c>
      <c r="Z2818" s="29" t="str">
        <f t="shared" si="916"/>
        <v>NA</v>
      </c>
      <c r="AA2818" s="29" t="str">
        <f t="shared" si="917"/>
        <v>NA</v>
      </c>
      <c r="AB2818" s="29" t="str">
        <f t="shared" si="918"/>
        <v>NA</v>
      </c>
      <c r="AC2818" s="29" t="str">
        <f t="shared" si="919"/>
        <v>NA</v>
      </c>
      <c r="AD2818" s="29" t="str">
        <f t="shared" si="920"/>
        <v>NA</v>
      </c>
      <c r="AE2818" s="29" t="str">
        <f t="shared" si="921"/>
        <v>NA</v>
      </c>
      <c r="AF2818" s="29" t="str">
        <f t="shared" si="922"/>
        <v>NA</v>
      </c>
      <c r="AG2818" s="29" t="str">
        <f t="shared" si="923"/>
        <v>NA</v>
      </c>
      <c r="AH2818" s="29" t="str">
        <f t="shared" si="924"/>
        <v>NA</v>
      </c>
    </row>
    <row r="2819" customHeight="1" spans="1:34">
      <c r="A2819" s="12" t="s">
        <v>1043</v>
      </c>
      <c r="F2819" s="24">
        <f t="shared" si="906"/>
        <v>0</v>
      </c>
      <c r="G2819" s="24" t="e">
        <f t="shared" si="905"/>
        <v>#DIV/0!</v>
      </c>
      <c r="Q2819" s="29" t="str">
        <f t="shared" si="907"/>
        <v>NA</v>
      </c>
      <c r="R2819" s="29" t="str">
        <f t="shared" si="908"/>
        <v>NA</v>
      </c>
      <c r="S2819" s="29" t="str">
        <f t="shared" si="909"/>
        <v>NA</v>
      </c>
      <c r="T2819" s="29" t="str">
        <f t="shared" si="910"/>
        <v>NA</v>
      </c>
      <c r="U2819" s="29" t="str">
        <f t="shared" si="911"/>
        <v>NA</v>
      </c>
      <c r="V2819" s="29" t="str">
        <f t="shared" si="912"/>
        <v>NA</v>
      </c>
      <c r="W2819" s="29" t="str">
        <f t="shared" si="913"/>
        <v>NA</v>
      </c>
      <c r="X2819" s="29" t="str">
        <f t="shared" si="914"/>
        <v>NA</v>
      </c>
      <c r="Y2819" s="29" t="str">
        <f t="shared" si="915"/>
        <v>NA</v>
      </c>
      <c r="Z2819" s="29" t="str">
        <f t="shared" si="916"/>
        <v>NA</v>
      </c>
      <c r="AA2819" s="29" t="str">
        <f t="shared" si="917"/>
        <v>NA</v>
      </c>
      <c r="AB2819" s="29" t="str">
        <f t="shared" si="918"/>
        <v>NA</v>
      </c>
      <c r="AC2819" s="29" t="str">
        <f t="shared" si="919"/>
        <v>NA</v>
      </c>
      <c r="AD2819" s="29" t="str">
        <f t="shared" si="920"/>
        <v>NA</v>
      </c>
      <c r="AE2819" s="29" t="str">
        <f t="shared" si="921"/>
        <v>NA</v>
      </c>
      <c r="AF2819" s="29" t="str">
        <f t="shared" si="922"/>
        <v>NA</v>
      </c>
      <c r="AG2819" s="29" t="str">
        <f t="shared" si="923"/>
        <v>NA</v>
      </c>
      <c r="AH2819" s="29" t="str">
        <f t="shared" si="924"/>
        <v>NA</v>
      </c>
    </row>
    <row r="2820" customHeight="1" spans="1:34">
      <c r="A2820" s="12" t="s">
        <v>1043</v>
      </c>
      <c r="F2820" s="24">
        <f t="shared" si="906"/>
        <v>0</v>
      </c>
      <c r="G2820" s="24" t="e">
        <f t="shared" si="905"/>
        <v>#DIV/0!</v>
      </c>
      <c r="Q2820" s="29" t="str">
        <f t="shared" si="907"/>
        <v>NA</v>
      </c>
      <c r="R2820" s="29" t="str">
        <f t="shared" si="908"/>
        <v>NA</v>
      </c>
      <c r="S2820" s="29" t="str">
        <f t="shared" si="909"/>
        <v>NA</v>
      </c>
      <c r="T2820" s="29" t="str">
        <f t="shared" si="910"/>
        <v>NA</v>
      </c>
      <c r="U2820" s="29" t="str">
        <f t="shared" si="911"/>
        <v>NA</v>
      </c>
      <c r="V2820" s="29" t="str">
        <f t="shared" si="912"/>
        <v>NA</v>
      </c>
      <c r="W2820" s="29" t="str">
        <f t="shared" si="913"/>
        <v>NA</v>
      </c>
      <c r="X2820" s="29" t="str">
        <f t="shared" si="914"/>
        <v>NA</v>
      </c>
      <c r="Y2820" s="29" t="str">
        <f t="shared" si="915"/>
        <v>NA</v>
      </c>
      <c r="Z2820" s="29" t="str">
        <f t="shared" si="916"/>
        <v>NA</v>
      </c>
      <c r="AA2820" s="29" t="str">
        <f t="shared" si="917"/>
        <v>NA</v>
      </c>
      <c r="AB2820" s="29" t="str">
        <f t="shared" si="918"/>
        <v>NA</v>
      </c>
      <c r="AC2820" s="29" t="str">
        <f t="shared" si="919"/>
        <v>NA</v>
      </c>
      <c r="AD2820" s="29" t="str">
        <f t="shared" si="920"/>
        <v>NA</v>
      </c>
      <c r="AE2820" s="29" t="str">
        <f t="shared" si="921"/>
        <v>NA</v>
      </c>
      <c r="AF2820" s="29" t="str">
        <f t="shared" si="922"/>
        <v>NA</v>
      </c>
      <c r="AG2820" s="29" t="str">
        <f t="shared" si="923"/>
        <v>NA</v>
      </c>
      <c r="AH2820" s="29" t="str">
        <f t="shared" si="924"/>
        <v>NA</v>
      </c>
    </row>
    <row r="2821" customHeight="1" spans="1:34">
      <c r="A2821" s="12" t="s">
        <v>1043</v>
      </c>
      <c r="F2821" s="24">
        <f t="shared" si="906"/>
        <v>0</v>
      </c>
      <c r="G2821" s="24" t="e">
        <f t="shared" ref="G2821:G2884" si="925">B2821*D2821/C2821</f>
        <v>#DIV/0!</v>
      </c>
      <c r="Q2821" s="29" t="str">
        <f t="shared" si="907"/>
        <v>NA</v>
      </c>
      <c r="R2821" s="29" t="str">
        <f t="shared" si="908"/>
        <v>NA</v>
      </c>
      <c r="S2821" s="29" t="str">
        <f t="shared" si="909"/>
        <v>NA</v>
      </c>
      <c r="T2821" s="29" t="str">
        <f t="shared" si="910"/>
        <v>NA</v>
      </c>
      <c r="U2821" s="29" t="str">
        <f t="shared" si="911"/>
        <v>NA</v>
      </c>
      <c r="V2821" s="29" t="str">
        <f t="shared" si="912"/>
        <v>NA</v>
      </c>
      <c r="W2821" s="29" t="str">
        <f t="shared" si="913"/>
        <v>NA</v>
      </c>
      <c r="X2821" s="29" t="str">
        <f t="shared" si="914"/>
        <v>NA</v>
      </c>
      <c r="Y2821" s="29" t="str">
        <f t="shared" si="915"/>
        <v>NA</v>
      </c>
      <c r="Z2821" s="29" t="str">
        <f t="shared" si="916"/>
        <v>NA</v>
      </c>
      <c r="AA2821" s="29" t="str">
        <f t="shared" si="917"/>
        <v>NA</v>
      </c>
      <c r="AB2821" s="29" t="str">
        <f t="shared" si="918"/>
        <v>NA</v>
      </c>
      <c r="AC2821" s="29" t="str">
        <f t="shared" si="919"/>
        <v>NA</v>
      </c>
      <c r="AD2821" s="29" t="str">
        <f t="shared" si="920"/>
        <v>NA</v>
      </c>
      <c r="AE2821" s="29" t="str">
        <f t="shared" si="921"/>
        <v>NA</v>
      </c>
      <c r="AF2821" s="29" t="str">
        <f t="shared" si="922"/>
        <v>NA</v>
      </c>
      <c r="AG2821" s="29" t="str">
        <f t="shared" si="923"/>
        <v>NA</v>
      </c>
      <c r="AH2821" s="29" t="str">
        <f t="shared" si="924"/>
        <v>NA</v>
      </c>
    </row>
    <row r="2822" customHeight="1" spans="1:34">
      <c r="A2822" s="12" t="s">
        <v>1043</v>
      </c>
      <c r="F2822" s="24">
        <f t="shared" ref="F2822:F2885" si="926">+D2822+E2822</f>
        <v>0</v>
      </c>
      <c r="G2822" s="24" t="e">
        <f t="shared" si="925"/>
        <v>#DIV/0!</v>
      </c>
      <c r="Q2822" s="29" t="str">
        <f t="shared" si="907"/>
        <v>NA</v>
      </c>
      <c r="R2822" s="29" t="str">
        <f t="shared" si="908"/>
        <v>NA</v>
      </c>
      <c r="S2822" s="29" t="str">
        <f t="shared" si="909"/>
        <v>NA</v>
      </c>
      <c r="T2822" s="29" t="str">
        <f t="shared" si="910"/>
        <v>NA</v>
      </c>
      <c r="U2822" s="29" t="str">
        <f t="shared" si="911"/>
        <v>NA</v>
      </c>
      <c r="V2822" s="29" t="str">
        <f t="shared" si="912"/>
        <v>NA</v>
      </c>
      <c r="W2822" s="29" t="str">
        <f t="shared" si="913"/>
        <v>NA</v>
      </c>
      <c r="X2822" s="29" t="str">
        <f t="shared" si="914"/>
        <v>NA</v>
      </c>
      <c r="Y2822" s="29" t="str">
        <f t="shared" si="915"/>
        <v>NA</v>
      </c>
      <c r="Z2822" s="29" t="str">
        <f t="shared" si="916"/>
        <v>NA</v>
      </c>
      <c r="AA2822" s="29" t="str">
        <f t="shared" si="917"/>
        <v>NA</v>
      </c>
      <c r="AB2822" s="29" t="str">
        <f t="shared" si="918"/>
        <v>NA</v>
      </c>
      <c r="AC2822" s="29" t="str">
        <f t="shared" si="919"/>
        <v>NA</v>
      </c>
      <c r="AD2822" s="29" t="str">
        <f t="shared" si="920"/>
        <v>NA</v>
      </c>
      <c r="AE2822" s="29" t="str">
        <f t="shared" si="921"/>
        <v>NA</v>
      </c>
      <c r="AF2822" s="29" t="str">
        <f t="shared" si="922"/>
        <v>NA</v>
      </c>
      <c r="AG2822" s="29" t="str">
        <f t="shared" si="923"/>
        <v>NA</v>
      </c>
      <c r="AH2822" s="29" t="str">
        <f t="shared" si="924"/>
        <v>NA</v>
      </c>
    </row>
    <row r="2823" customHeight="1" spans="1:34">
      <c r="A2823" s="12" t="s">
        <v>1043</v>
      </c>
      <c r="F2823" s="24">
        <f t="shared" si="926"/>
        <v>0</v>
      </c>
      <c r="G2823" s="24" t="e">
        <f t="shared" si="925"/>
        <v>#DIV/0!</v>
      </c>
      <c r="Q2823" s="29" t="str">
        <f t="shared" si="907"/>
        <v>NA</v>
      </c>
      <c r="R2823" s="29" t="str">
        <f t="shared" si="908"/>
        <v>NA</v>
      </c>
      <c r="S2823" s="29" t="str">
        <f t="shared" si="909"/>
        <v>NA</v>
      </c>
      <c r="T2823" s="29" t="str">
        <f t="shared" si="910"/>
        <v>NA</v>
      </c>
      <c r="U2823" s="29" t="str">
        <f t="shared" si="911"/>
        <v>NA</v>
      </c>
      <c r="V2823" s="29" t="str">
        <f t="shared" si="912"/>
        <v>NA</v>
      </c>
      <c r="W2823" s="29" t="str">
        <f t="shared" si="913"/>
        <v>NA</v>
      </c>
      <c r="X2823" s="29" t="str">
        <f t="shared" si="914"/>
        <v>NA</v>
      </c>
      <c r="Y2823" s="29" t="str">
        <f t="shared" si="915"/>
        <v>NA</v>
      </c>
      <c r="Z2823" s="29" t="str">
        <f t="shared" si="916"/>
        <v>NA</v>
      </c>
      <c r="AA2823" s="29" t="str">
        <f t="shared" si="917"/>
        <v>NA</v>
      </c>
      <c r="AB2823" s="29" t="str">
        <f t="shared" si="918"/>
        <v>NA</v>
      </c>
      <c r="AC2823" s="29" t="str">
        <f t="shared" si="919"/>
        <v>NA</v>
      </c>
      <c r="AD2823" s="29" t="str">
        <f t="shared" si="920"/>
        <v>NA</v>
      </c>
      <c r="AE2823" s="29" t="str">
        <f t="shared" si="921"/>
        <v>NA</v>
      </c>
      <c r="AF2823" s="29" t="str">
        <f t="shared" si="922"/>
        <v>NA</v>
      </c>
      <c r="AG2823" s="29" t="str">
        <f t="shared" si="923"/>
        <v>NA</v>
      </c>
      <c r="AH2823" s="29" t="str">
        <f t="shared" si="924"/>
        <v>NA</v>
      </c>
    </row>
    <row r="2824" customHeight="1" spans="1:34">
      <c r="A2824" s="12" t="s">
        <v>1043</v>
      </c>
      <c r="F2824" s="24">
        <f t="shared" si="926"/>
        <v>0</v>
      </c>
      <c r="G2824" s="24" t="e">
        <f t="shared" si="925"/>
        <v>#DIV/0!</v>
      </c>
      <c r="Q2824" s="29" t="str">
        <f t="shared" si="907"/>
        <v>NA</v>
      </c>
      <c r="R2824" s="29" t="str">
        <f t="shared" si="908"/>
        <v>NA</v>
      </c>
      <c r="S2824" s="29" t="str">
        <f t="shared" si="909"/>
        <v>NA</v>
      </c>
      <c r="T2824" s="29" t="str">
        <f t="shared" si="910"/>
        <v>NA</v>
      </c>
      <c r="U2824" s="29" t="str">
        <f t="shared" si="911"/>
        <v>NA</v>
      </c>
      <c r="V2824" s="29" t="str">
        <f t="shared" si="912"/>
        <v>NA</v>
      </c>
      <c r="W2824" s="29" t="str">
        <f t="shared" si="913"/>
        <v>NA</v>
      </c>
      <c r="X2824" s="29" t="str">
        <f t="shared" si="914"/>
        <v>NA</v>
      </c>
      <c r="Y2824" s="29" t="str">
        <f t="shared" si="915"/>
        <v>NA</v>
      </c>
      <c r="Z2824" s="29" t="str">
        <f t="shared" si="916"/>
        <v>NA</v>
      </c>
      <c r="AA2824" s="29" t="str">
        <f t="shared" si="917"/>
        <v>NA</v>
      </c>
      <c r="AB2824" s="29" t="str">
        <f t="shared" si="918"/>
        <v>NA</v>
      </c>
      <c r="AC2824" s="29" t="str">
        <f t="shared" si="919"/>
        <v>NA</v>
      </c>
      <c r="AD2824" s="29" t="str">
        <f t="shared" si="920"/>
        <v>NA</v>
      </c>
      <c r="AE2824" s="29" t="str">
        <f t="shared" si="921"/>
        <v>NA</v>
      </c>
      <c r="AF2824" s="29" t="str">
        <f t="shared" si="922"/>
        <v>NA</v>
      </c>
      <c r="AG2824" s="29" t="str">
        <f t="shared" si="923"/>
        <v>NA</v>
      </c>
      <c r="AH2824" s="29" t="str">
        <f t="shared" si="924"/>
        <v>NA</v>
      </c>
    </row>
    <row r="2825" customHeight="1" spans="1:34">
      <c r="A2825" s="12" t="s">
        <v>1043</v>
      </c>
      <c r="F2825" s="24">
        <f t="shared" si="926"/>
        <v>0</v>
      </c>
      <c r="G2825" s="24" t="e">
        <f t="shared" si="925"/>
        <v>#DIV/0!</v>
      </c>
      <c r="Q2825" s="29" t="str">
        <f t="shared" si="907"/>
        <v>NA</v>
      </c>
      <c r="R2825" s="29" t="str">
        <f t="shared" si="908"/>
        <v>NA</v>
      </c>
      <c r="S2825" s="29" t="str">
        <f t="shared" si="909"/>
        <v>NA</v>
      </c>
      <c r="T2825" s="29" t="str">
        <f t="shared" si="910"/>
        <v>NA</v>
      </c>
      <c r="U2825" s="29" t="str">
        <f t="shared" si="911"/>
        <v>NA</v>
      </c>
      <c r="V2825" s="29" t="str">
        <f t="shared" si="912"/>
        <v>NA</v>
      </c>
      <c r="W2825" s="29" t="str">
        <f t="shared" si="913"/>
        <v>NA</v>
      </c>
      <c r="X2825" s="29" t="str">
        <f t="shared" si="914"/>
        <v>NA</v>
      </c>
      <c r="Y2825" s="29" t="str">
        <f t="shared" si="915"/>
        <v>NA</v>
      </c>
      <c r="Z2825" s="29" t="str">
        <f t="shared" si="916"/>
        <v>NA</v>
      </c>
      <c r="AA2825" s="29" t="str">
        <f t="shared" si="917"/>
        <v>NA</v>
      </c>
      <c r="AB2825" s="29" t="str">
        <f t="shared" si="918"/>
        <v>NA</v>
      </c>
      <c r="AC2825" s="29" t="str">
        <f t="shared" si="919"/>
        <v>NA</v>
      </c>
      <c r="AD2825" s="29" t="str">
        <f t="shared" si="920"/>
        <v>NA</v>
      </c>
      <c r="AE2825" s="29" t="str">
        <f t="shared" si="921"/>
        <v>NA</v>
      </c>
      <c r="AF2825" s="29" t="str">
        <f t="shared" si="922"/>
        <v>NA</v>
      </c>
      <c r="AG2825" s="29" t="str">
        <f t="shared" si="923"/>
        <v>NA</v>
      </c>
      <c r="AH2825" s="29" t="str">
        <f t="shared" si="924"/>
        <v>NA</v>
      </c>
    </row>
    <row r="2826" customHeight="1" spans="1:34">
      <c r="A2826" s="12" t="s">
        <v>1043</v>
      </c>
      <c r="F2826" s="24">
        <f t="shared" si="926"/>
        <v>0</v>
      </c>
      <c r="G2826" s="24" t="e">
        <f t="shared" si="925"/>
        <v>#DIV/0!</v>
      </c>
      <c r="Q2826" s="29" t="str">
        <f t="shared" si="907"/>
        <v>NA</v>
      </c>
      <c r="R2826" s="29" t="str">
        <f t="shared" si="908"/>
        <v>NA</v>
      </c>
      <c r="S2826" s="29" t="str">
        <f t="shared" si="909"/>
        <v>NA</v>
      </c>
      <c r="T2826" s="29" t="str">
        <f t="shared" si="910"/>
        <v>NA</v>
      </c>
      <c r="U2826" s="29" t="str">
        <f t="shared" si="911"/>
        <v>NA</v>
      </c>
      <c r="V2826" s="29" t="str">
        <f t="shared" si="912"/>
        <v>NA</v>
      </c>
      <c r="W2826" s="29" t="str">
        <f t="shared" si="913"/>
        <v>NA</v>
      </c>
      <c r="X2826" s="29" t="str">
        <f t="shared" si="914"/>
        <v>NA</v>
      </c>
      <c r="Y2826" s="29" t="str">
        <f t="shared" si="915"/>
        <v>NA</v>
      </c>
      <c r="Z2826" s="29" t="str">
        <f t="shared" si="916"/>
        <v>NA</v>
      </c>
      <c r="AA2826" s="29" t="str">
        <f t="shared" si="917"/>
        <v>NA</v>
      </c>
      <c r="AB2826" s="29" t="str">
        <f t="shared" si="918"/>
        <v>NA</v>
      </c>
      <c r="AC2826" s="29" t="str">
        <f t="shared" si="919"/>
        <v>NA</v>
      </c>
      <c r="AD2826" s="29" t="str">
        <f t="shared" si="920"/>
        <v>NA</v>
      </c>
      <c r="AE2826" s="29" t="str">
        <f t="shared" si="921"/>
        <v>NA</v>
      </c>
      <c r="AF2826" s="29" t="str">
        <f t="shared" si="922"/>
        <v>NA</v>
      </c>
      <c r="AG2826" s="29" t="str">
        <f t="shared" si="923"/>
        <v>NA</v>
      </c>
      <c r="AH2826" s="29" t="str">
        <f t="shared" si="924"/>
        <v>NA</v>
      </c>
    </row>
    <row r="2827" customHeight="1" spans="1:34">
      <c r="A2827" s="12" t="s">
        <v>1043</v>
      </c>
      <c r="F2827" s="24">
        <f t="shared" si="926"/>
        <v>0</v>
      </c>
      <c r="G2827" s="24" t="e">
        <f t="shared" si="925"/>
        <v>#DIV/0!</v>
      </c>
      <c r="Q2827" s="29" t="str">
        <f t="shared" si="907"/>
        <v>NA</v>
      </c>
      <c r="R2827" s="29" t="str">
        <f t="shared" si="908"/>
        <v>NA</v>
      </c>
      <c r="S2827" s="29" t="str">
        <f t="shared" si="909"/>
        <v>NA</v>
      </c>
      <c r="T2827" s="29" t="str">
        <f t="shared" si="910"/>
        <v>NA</v>
      </c>
      <c r="U2827" s="29" t="str">
        <f t="shared" si="911"/>
        <v>NA</v>
      </c>
      <c r="V2827" s="29" t="str">
        <f t="shared" si="912"/>
        <v>NA</v>
      </c>
      <c r="W2827" s="29" t="str">
        <f t="shared" si="913"/>
        <v>NA</v>
      </c>
      <c r="X2827" s="29" t="str">
        <f t="shared" si="914"/>
        <v>NA</v>
      </c>
      <c r="Y2827" s="29" t="str">
        <f t="shared" si="915"/>
        <v>NA</v>
      </c>
      <c r="Z2827" s="29" t="str">
        <f t="shared" si="916"/>
        <v>NA</v>
      </c>
      <c r="AA2827" s="29" t="str">
        <f t="shared" si="917"/>
        <v>NA</v>
      </c>
      <c r="AB2827" s="29" t="str">
        <f t="shared" si="918"/>
        <v>NA</v>
      </c>
      <c r="AC2827" s="29" t="str">
        <f t="shared" si="919"/>
        <v>NA</v>
      </c>
      <c r="AD2827" s="29" t="str">
        <f t="shared" si="920"/>
        <v>NA</v>
      </c>
      <c r="AE2827" s="29" t="str">
        <f t="shared" si="921"/>
        <v>NA</v>
      </c>
      <c r="AF2827" s="29" t="str">
        <f t="shared" si="922"/>
        <v>NA</v>
      </c>
      <c r="AG2827" s="29" t="str">
        <f t="shared" si="923"/>
        <v>NA</v>
      </c>
      <c r="AH2827" s="29" t="str">
        <f t="shared" si="924"/>
        <v>NA</v>
      </c>
    </row>
    <row r="2828" customHeight="1" spans="1:34">
      <c r="A2828" s="12" t="s">
        <v>1043</v>
      </c>
      <c r="F2828" s="24">
        <f t="shared" si="926"/>
        <v>0</v>
      </c>
      <c r="G2828" s="24" t="e">
        <f t="shared" si="925"/>
        <v>#DIV/0!</v>
      </c>
      <c r="Q2828" s="29" t="str">
        <f t="shared" si="907"/>
        <v>NA</v>
      </c>
      <c r="R2828" s="29" t="str">
        <f t="shared" si="908"/>
        <v>NA</v>
      </c>
      <c r="S2828" s="29" t="str">
        <f t="shared" si="909"/>
        <v>NA</v>
      </c>
      <c r="T2828" s="29" t="str">
        <f t="shared" si="910"/>
        <v>NA</v>
      </c>
      <c r="U2828" s="29" t="str">
        <f t="shared" si="911"/>
        <v>NA</v>
      </c>
      <c r="V2828" s="29" t="str">
        <f t="shared" si="912"/>
        <v>NA</v>
      </c>
      <c r="W2828" s="29" t="str">
        <f t="shared" si="913"/>
        <v>NA</v>
      </c>
      <c r="X2828" s="29" t="str">
        <f t="shared" si="914"/>
        <v>NA</v>
      </c>
      <c r="Y2828" s="29" t="str">
        <f t="shared" si="915"/>
        <v>NA</v>
      </c>
      <c r="Z2828" s="29" t="str">
        <f t="shared" si="916"/>
        <v>NA</v>
      </c>
      <c r="AA2828" s="29" t="str">
        <f t="shared" si="917"/>
        <v>NA</v>
      </c>
      <c r="AB2828" s="29" t="str">
        <f t="shared" si="918"/>
        <v>NA</v>
      </c>
      <c r="AC2828" s="29" t="str">
        <f t="shared" si="919"/>
        <v>NA</v>
      </c>
      <c r="AD2828" s="29" t="str">
        <f t="shared" si="920"/>
        <v>NA</v>
      </c>
      <c r="AE2828" s="29" t="str">
        <f t="shared" si="921"/>
        <v>NA</v>
      </c>
      <c r="AF2828" s="29" t="str">
        <f t="shared" si="922"/>
        <v>NA</v>
      </c>
      <c r="AG2828" s="29" t="str">
        <f t="shared" si="923"/>
        <v>NA</v>
      </c>
      <c r="AH2828" s="29" t="str">
        <f t="shared" si="924"/>
        <v>NA</v>
      </c>
    </row>
    <row r="2829" customHeight="1" spans="1:34">
      <c r="A2829" s="12" t="s">
        <v>1043</v>
      </c>
      <c r="F2829" s="24">
        <f t="shared" si="926"/>
        <v>0</v>
      </c>
      <c r="G2829" s="24" t="e">
        <f t="shared" si="925"/>
        <v>#DIV/0!</v>
      </c>
      <c r="Q2829" s="29" t="str">
        <f t="shared" si="907"/>
        <v>NA</v>
      </c>
      <c r="R2829" s="29" t="str">
        <f t="shared" si="908"/>
        <v>NA</v>
      </c>
      <c r="S2829" s="29" t="str">
        <f t="shared" si="909"/>
        <v>NA</v>
      </c>
      <c r="T2829" s="29" t="str">
        <f t="shared" si="910"/>
        <v>NA</v>
      </c>
      <c r="U2829" s="29" t="str">
        <f t="shared" si="911"/>
        <v>NA</v>
      </c>
      <c r="V2829" s="29" t="str">
        <f t="shared" si="912"/>
        <v>NA</v>
      </c>
      <c r="W2829" s="29" t="str">
        <f t="shared" si="913"/>
        <v>NA</v>
      </c>
      <c r="X2829" s="29" t="str">
        <f t="shared" si="914"/>
        <v>NA</v>
      </c>
      <c r="Y2829" s="29" t="str">
        <f t="shared" si="915"/>
        <v>NA</v>
      </c>
      <c r="Z2829" s="29" t="str">
        <f t="shared" si="916"/>
        <v>NA</v>
      </c>
      <c r="AA2829" s="29" t="str">
        <f t="shared" si="917"/>
        <v>NA</v>
      </c>
      <c r="AB2829" s="29" t="str">
        <f t="shared" si="918"/>
        <v>NA</v>
      </c>
      <c r="AC2829" s="29" t="str">
        <f t="shared" si="919"/>
        <v>NA</v>
      </c>
      <c r="AD2829" s="29" t="str">
        <f t="shared" si="920"/>
        <v>NA</v>
      </c>
      <c r="AE2829" s="29" t="str">
        <f t="shared" si="921"/>
        <v>NA</v>
      </c>
      <c r="AF2829" s="29" t="str">
        <f t="shared" si="922"/>
        <v>NA</v>
      </c>
      <c r="AG2829" s="29" t="str">
        <f t="shared" si="923"/>
        <v>NA</v>
      </c>
      <c r="AH2829" s="29" t="str">
        <f t="shared" si="924"/>
        <v>NA</v>
      </c>
    </row>
    <row r="2830" customHeight="1" spans="1:34">
      <c r="A2830" s="12" t="s">
        <v>1043</v>
      </c>
      <c r="F2830" s="24">
        <f t="shared" si="926"/>
        <v>0</v>
      </c>
      <c r="G2830" s="24" t="e">
        <f t="shared" si="925"/>
        <v>#DIV/0!</v>
      </c>
      <c r="Q2830" s="29" t="str">
        <f t="shared" si="907"/>
        <v>NA</v>
      </c>
      <c r="R2830" s="29" t="str">
        <f t="shared" si="908"/>
        <v>NA</v>
      </c>
      <c r="S2830" s="29" t="str">
        <f t="shared" si="909"/>
        <v>NA</v>
      </c>
      <c r="T2830" s="29" t="str">
        <f t="shared" si="910"/>
        <v>NA</v>
      </c>
      <c r="U2830" s="29" t="str">
        <f t="shared" si="911"/>
        <v>NA</v>
      </c>
      <c r="V2830" s="29" t="str">
        <f t="shared" si="912"/>
        <v>NA</v>
      </c>
      <c r="W2830" s="29" t="str">
        <f t="shared" si="913"/>
        <v>NA</v>
      </c>
      <c r="X2830" s="29" t="str">
        <f t="shared" si="914"/>
        <v>NA</v>
      </c>
      <c r="Y2830" s="29" t="str">
        <f t="shared" si="915"/>
        <v>NA</v>
      </c>
      <c r="Z2830" s="29" t="str">
        <f t="shared" si="916"/>
        <v>NA</v>
      </c>
      <c r="AA2830" s="29" t="str">
        <f t="shared" si="917"/>
        <v>NA</v>
      </c>
      <c r="AB2830" s="29" t="str">
        <f t="shared" si="918"/>
        <v>NA</v>
      </c>
      <c r="AC2830" s="29" t="str">
        <f t="shared" si="919"/>
        <v>NA</v>
      </c>
      <c r="AD2830" s="29" t="str">
        <f t="shared" si="920"/>
        <v>NA</v>
      </c>
      <c r="AE2830" s="29" t="str">
        <f t="shared" si="921"/>
        <v>NA</v>
      </c>
      <c r="AF2830" s="29" t="str">
        <f t="shared" si="922"/>
        <v>NA</v>
      </c>
      <c r="AG2830" s="29" t="str">
        <f t="shared" si="923"/>
        <v>NA</v>
      </c>
      <c r="AH2830" s="29" t="str">
        <f t="shared" si="924"/>
        <v>NA</v>
      </c>
    </row>
    <row r="2831" customHeight="1" spans="1:34">
      <c r="A2831" s="12" t="s">
        <v>1043</v>
      </c>
      <c r="F2831" s="24">
        <f t="shared" si="926"/>
        <v>0</v>
      </c>
      <c r="G2831" s="24" t="e">
        <f t="shared" si="925"/>
        <v>#DIV/0!</v>
      </c>
      <c r="Q2831" s="29" t="str">
        <f t="shared" si="907"/>
        <v>NA</v>
      </c>
      <c r="R2831" s="29" t="str">
        <f t="shared" si="908"/>
        <v>NA</v>
      </c>
      <c r="S2831" s="29" t="str">
        <f t="shared" si="909"/>
        <v>NA</v>
      </c>
      <c r="T2831" s="29" t="str">
        <f t="shared" si="910"/>
        <v>NA</v>
      </c>
      <c r="U2831" s="29" t="str">
        <f t="shared" si="911"/>
        <v>NA</v>
      </c>
      <c r="V2831" s="29" t="str">
        <f t="shared" si="912"/>
        <v>NA</v>
      </c>
      <c r="W2831" s="29" t="str">
        <f t="shared" si="913"/>
        <v>NA</v>
      </c>
      <c r="X2831" s="29" t="str">
        <f t="shared" si="914"/>
        <v>NA</v>
      </c>
      <c r="Y2831" s="29" t="str">
        <f t="shared" si="915"/>
        <v>NA</v>
      </c>
      <c r="Z2831" s="29" t="str">
        <f t="shared" si="916"/>
        <v>NA</v>
      </c>
      <c r="AA2831" s="29" t="str">
        <f t="shared" si="917"/>
        <v>NA</v>
      </c>
      <c r="AB2831" s="29" t="str">
        <f t="shared" si="918"/>
        <v>NA</v>
      </c>
      <c r="AC2831" s="29" t="str">
        <f t="shared" si="919"/>
        <v>NA</v>
      </c>
      <c r="AD2831" s="29" t="str">
        <f t="shared" si="920"/>
        <v>NA</v>
      </c>
      <c r="AE2831" s="29" t="str">
        <f t="shared" si="921"/>
        <v>NA</v>
      </c>
      <c r="AF2831" s="29" t="str">
        <f t="shared" si="922"/>
        <v>NA</v>
      </c>
      <c r="AG2831" s="29" t="str">
        <f t="shared" si="923"/>
        <v>NA</v>
      </c>
      <c r="AH2831" s="29" t="str">
        <f t="shared" si="924"/>
        <v>NA</v>
      </c>
    </row>
    <row r="2832" customHeight="1" spans="1:34">
      <c r="A2832" s="12" t="s">
        <v>1043</v>
      </c>
      <c r="F2832" s="24">
        <f t="shared" si="926"/>
        <v>0</v>
      </c>
      <c r="G2832" s="24" t="e">
        <f t="shared" si="925"/>
        <v>#DIV/0!</v>
      </c>
      <c r="Q2832" s="29" t="str">
        <f t="shared" ref="Q2832:Q2895" si="927">IFERROR($B2832*$E2832/H2832,"NA")</f>
        <v>NA</v>
      </c>
      <c r="R2832" s="29" t="str">
        <f t="shared" ref="R2832:R2895" si="928">IFERROR($B2832*$E2832/I2832,"NA")</f>
        <v>NA</v>
      </c>
      <c r="S2832" s="29" t="str">
        <f t="shared" ref="S2832:S2895" si="929">IFERROR($B2832*$E2832/J2832,"NA")</f>
        <v>NA</v>
      </c>
      <c r="T2832" s="29" t="str">
        <f t="shared" ref="T2832:T2895" si="930">IFERROR($B2832*$E2832/K2832,"NA")</f>
        <v>NA</v>
      </c>
      <c r="U2832" s="29" t="str">
        <f t="shared" ref="U2832:U2895" si="931">IFERROR($B2832*$E2832/L2832,"NA")</f>
        <v>NA</v>
      </c>
      <c r="V2832" s="29" t="str">
        <f t="shared" ref="V2832:V2895" si="932">IFERROR($B2832*$E2832/M2832,"NA")</f>
        <v>NA</v>
      </c>
      <c r="W2832" s="29" t="str">
        <f t="shared" ref="W2832:W2895" si="933">IFERROR($B2832*$E2832/N2832,"NA")</f>
        <v>NA</v>
      </c>
      <c r="X2832" s="29" t="str">
        <f t="shared" ref="X2832:X2895" si="934">IFERROR($B2832*$E2832/O2832,"NA")</f>
        <v>NA</v>
      </c>
      <c r="Y2832" s="29" t="str">
        <f t="shared" ref="Y2832:Y2895" si="935">IFERROR($B2832*$E2832/P2832,"NA")</f>
        <v>NA</v>
      </c>
      <c r="Z2832" s="29" t="str">
        <f t="shared" ref="Z2832:Z2895" si="936">IFERROR((($G2832*Z$2/1000)+Q2832)/1,"NA")</f>
        <v>NA</v>
      </c>
      <c r="AA2832" s="29" t="str">
        <f t="shared" ref="AA2832:AA2895" si="937">IFERROR((($G2832*AA$2/1000)+R2832)/1,"NA")</f>
        <v>NA</v>
      </c>
      <c r="AB2832" s="29" t="str">
        <f t="shared" ref="AB2832:AB2895" si="938">IFERROR((($G2832*AB$2/1000)+S2832)/1,"NA")</f>
        <v>NA</v>
      </c>
      <c r="AC2832" s="29" t="str">
        <f t="shared" ref="AC2832:AC2895" si="939">IFERROR((($G2832*AC$2/1000)+T2832)/1,"NA")</f>
        <v>NA</v>
      </c>
      <c r="AD2832" s="29" t="str">
        <f t="shared" ref="AD2832:AD2895" si="940">IFERROR((($G2832*AD$2/1000)+U2832)/1,"NA")</f>
        <v>NA</v>
      </c>
      <c r="AE2832" s="29" t="str">
        <f t="shared" ref="AE2832:AE2895" si="941">IFERROR((($G2832*AE$2/1000)+V2832)/1,"NA")</f>
        <v>NA</v>
      </c>
      <c r="AF2832" s="29" t="str">
        <f t="shared" ref="AF2832:AF2895" si="942">IFERROR((($G2832*AF$2/1000)+W2832)/1,"NA")</f>
        <v>NA</v>
      </c>
      <c r="AG2832" s="29" t="str">
        <f t="shared" ref="AG2832:AG2895" si="943">IFERROR((($G2832*AG$2/1000)+X2832)/1,"NA")</f>
        <v>NA</v>
      </c>
      <c r="AH2832" s="29" t="str">
        <f t="shared" ref="AH2832:AH2895" si="944">IFERROR((($G2832*AH$2/1000)+Y2832)/1,"NA")</f>
        <v>NA</v>
      </c>
    </row>
    <row r="2833" customHeight="1" spans="1:34">
      <c r="A2833" s="12" t="s">
        <v>1043</v>
      </c>
      <c r="F2833" s="24">
        <f t="shared" si="926"/>
        <v>0</v>
      </c>
      <c r="G2833" s="24" t="e">
        <f t="shared" si="925"/>
        <v>#DIV/0!</v>
      </c>
      <c r="Q2833" s="29" t="str">
        <f t="shared" si="927"/>
        <v>NA</v>
      </c>
      <c r="R2833" s="29" t="str">
        <f t="shared" si="928"/>
        <v>NA</v>
      </c>
      <c r="S2833" s="29" t="str">
        <f t="shared" si="929"/>
        <v>NA</v>
      </c>
      <c r="T2833" s="29" t="str">
        <f t="shared" si="930"/>
        <v>NA</v>
      </c>
      <c r="U2833" s="29" t="str">
        <f t="shared" si="931"/>
        <v>NA</v>
      </c>
      <c r="V2833" s="29" t="str">
        <f t="shared" si="932"/>
        <v>NA</v>
      </c>
      <c r="W2833" s="29" t="str">
        <f t="shared" si="933"/>
        <v>NA</v>
      </c>
      <c r="X2833" s="29" t="str">
        <f t="shared" si="934"/>
        <v>NA</v>
      </c>
      <c r="Y2833" s="29" t="str">
        <f t="shared" si="935"/>
        <v>NA</v>
      </c>
      <c r="Z2833" s="29" t="str">
        <f t="shared" si="936"/>
        <v>NA</v>
      </c>
      <c r="AA2833" s="29" t="str">
        <f t="shared" si="937"/>
        <v>NA</v>
      </c>
      <c r="AB2833" s="29" t="str">
        <f t="shared" si="938"/>
        <v>NA</v>
      </c>
      <c r="AC2833" s="29" t="str">
        <f t="shared" si="939"/>
        <v>NA</v>
      </c>
      <c r="AD2833" s="29" t="str">
        <f t="shared" si="940"/>
        <v>NA</v>
      </c>
      <c r="AE2833" s="29" t="str">
        <f t="shared" si="941"/>
        <v>NA</v>
      </c>
      <c r="AF2833" s="29" t="str">
        <f t="shared" si="942"/>
        <v>NA</v>
      </c>
      <c r="AG2833" s="29" t="str">
        <f t="shared" si="943"/>
        <v>NA</v>
      </c>
      <c r="AH2833" s="29" t="str">
        <f t="shared" si="944"/>
        <v>NA</v>
      </c>
    </row>
    <row r="2834" customHeight="1" spans="1:34">
      <c r="A2834" s="12" t="s">
        <v>1043</v>
      </c>
      <c r="F2834" s="24">
        <f t="shared" si="926"/>
        <v>0</v>
      </c>
      <c r="G2834" s="24" t="e">
        <f t="shared" si="925"/>
        <v>#DIV/0!</v>
      </c>
      <c r="Q2834" s="29" t="str">
        <f t="shared" si="927"/>
        <v>NA</v>
      </c>
      <c r="R2834" s="29" t="str">
        <f t="shared" si="928"/>
        <v>NA</v>
      </c>
      <c r="S2834" s="29" t="str">
        <f t="shared" si="929"/>
        <v>NA</v>
      </c>
      <c r="T2834" s="29" t="str">
        <f t="shared" si="930"/>
        <v>NA</v>
      </c>
      <c r="U2834" s="29" t="str">
        <f t="shared" si="931"/>
        <v>NA</v>
      </c>
      <c r="V2834" s="29" t="str">
        <f t="shared" si="932"/>
        <v>NA</v>
      </c>
      <c r="W2834" s="29" t="str">
        <f t="shared" si="933"/>
        <v>NA</v>
      </c>
      <c r="X2834" s="29" t="str">
        <f t="shared" si="934"/>
        <v>NA</v>
      </c>
      <c r="Y2834" s="29" t="str">
        <f t="shared" si="935"/>
        <v>NA</v>
      </c>
      <c r="Z2834" s="29" t="str">
        <f t="shared" si="936"/>
        <v>NA</v>
      </c>
      <c r="AA2834" s="29" t="str">
        <f t="shared" si="937"/>
        <v>NA</v>
      </c>
      <c r="AB2834" s="29" t="str">
        <f t="shared" si="938"/>
        <v>NA</v>
      </c>
      <c r="AC2834" s="29" t="str">
        <f t="shared" si="939"/>
        <v>NA</v>
      </c>
      <c r="AD2834" s="29" t="str">
        <f t="shared" si="940"/>
        <v>NA</v>
      </c>
      <c r="AE2834" s="29" t="str">
        <f t="shared" si="941"/>
        <v>NA</v>
      </c>
      <c r="AF2834" s="29" t="str">
        <f t="shared" si="942"/>
        <v>NA</v>
      </c>
      <c r="AG2834" s="29" t="str">
        <f t="shared" si="943"/>
        <v>NA</v>
      </c>
      <c r="AH2834" s="29" t="str">
        <f t="shared" si="944"/>
        <v>NA</v>
      </c>
    </row>
    <row r="2835" customHeight="1" spans="1:34">
      <c r="A2835" s="12" t="s">
        <v>1043</v>
      </c>
      <c r="F2835" s="24">
        <f t="shared" si="926"/>
        <v>0</v>
      </c>
      <c r="G2835" s="24" t="e">
        <f t="shared" si="925"/>
        <v>#DIV/0!</v>
      </c>
      <c r="Q2835" s="29" t="str">
        <f t="shared" si="927"/>
        <v>NA</v>
      </c>
      <c r="R2835" s="29" t="str">
        <f t="shared" si="928"/>
        <v>NA</v>
      </c>
      <c r="S2835" s="29" t="str">
        <f t="shared" si="929"/>
        <v>NA</v>
      </c>
      <c r="T2835" s="29" t="str">
        <f t="shared" si="930"/>
        <v>NA</v>
      </c>
      <c r="U2835" s="29" t="str">
        <f t="shared" si="931"/>
        <v>NA</v>
      </c>
      <c r="V2835" s="29" t="str">
        <f t="shared" si="932"/>
        <v>NA</v>
      </c>
      <c r="W2835" s="29" t="str">
        <f t="shared" si="933"/>
        <v>NA</v>
      </c>
      <c r="X2835" s="29" t="str">
        <f t="shared" si="934"/>
        <v>NA</v>
      </c>
      <c r="Y2835" s="29" t="str">
        <f t="shared" si="935"/>
        <v>NA</v>
      </c>
      <c r="Z2835" s="29" t="str">
        <f t="shared" si="936"/>
        <v>NA</v>
      </c>
      <c r="AA2835" s="29" t="str">
        <f t="shared" si="937"/>
        <v>NA</v>
      </c>
      <c r="AB2835" s="29" t="str">
        <f t="shared" si="938"/>
        <v>NA</v>
      </c>
      <c r="AC2835" s="29" t="str">
        <f t="shared" si="939"/>
        <v>NA</v>
      </c>
      <c r="AD2835" s="29" t="str">
        <f t="shared" si="940"/>
        <v>NA</v>
      </c>
      <c r="AE2835" s="29" t="str">
        <f t="shared" si="941"/>
        <v>NA</v>
      </c>
      <c r="AF2835" s="29" t="str">
        <f t="shared" si="942"/>
        <v>NA</v>
      </c>
      <c r="AG2835" s="29" t="str">
        <f t="shared" si="943"/>
        <v>NA</v>
      </c>
      <c r="AH2835" s="29" t="str">
        <f t="shared" si="944"/>
        <v>NA</v>
      </c>
    </row>
    <row r="2836" customHeight="1" spans="1:34">
      <c r="A2836" s="12" t="s">
        <v>1043</v>
      </c>
      <c r="F2836" s="24">
        <f t="shared" si="926"/>
        <v>0</v>
      </c>
      <c r="G2836" s="24" t="e">
        <f t="shared" si="925"/>
        <v>#DIV/0!</v>
      </c>
      <c r="Q2836" s="29" t="str">
        <f t="shared" si="927"/>
        <v>NA</v>
      </c>
      <c r="R2836" s="29" t="str">
        <f t="shared" si="928"/>
        <v>NA</v>
      </c>
      <c r="S2836" s="29" t="str">
        <f t="shared" si="929"/>
        <v>NA</v>
      </c>
      <c r="T2836" s="29" t="str">
        <f t="shared" si="930"/>
        <v>NA</v>
      </c>
      <c r="U2836" s="29" t="str">
        <f t="shared" si="931"/>
        <v>NA</v>
      </c>
      <c r="V2836" s="29" t="str">
        <f t="shared" si="932"/>
        <v>NA</v>
      </c>
      <c r="W2836" s="29" t="str">
        <f t="shared" si="933"/>
        <v>NA</v>
      </c>
      <c r="X2836" s="29" t="str">
        <f t="shared" si="934"/>
        <v>NA</v>
      </c>
      <c r="Y2836" s="29" t="str">
        <f t="shared" si="935"/>
        <v>NA</v>
      </c>
      <c r="Z2836" s="29" t="str">
        <f t="shared" si="936"/>
        <v>NA</v>
      </c>
      <c r="AA2836" s="29" t="str">
        <f t="shared" si="937"/>
        <v>NA</v>
      </c>
      <c r="AB2836" s="29" t="str">
        <f t="shared" si="938"/>
        <v>NA</v>
      </c>
      <c r="AC2836" s="29" t="str">
        <f t="shared" si="939"/>
        <v>NA</v>
      </c>
      <c r="AD2836" s="29" t="str">
        <f t="shared" si="940"/>
        <v>NA</v>
      </c>
      <c r="AE2836" s="29" t="str">
        <f t="shared" si="941"/>
        <v>NA</v>
      </c>
      <c r="AF2836" s="29" t="str">
        <f t="shared" si="942"/>
        <v>NA</v>
      </c>
      <c r="AG2836" s="29" t="str">
        <f t="shared" si="943"/>
        <v>NA</v>
      </c>
      <c r="AH2836" s="29" t="str">
        <f t="shared" si="944"/>
        <v>NA</v>
      </c>
    </row>
    <row r="2837" customHeight="1" spans="1:34">
      <c r="A2837" s="12" t="s">
        <v>1043</v>
      </c>
      <c r="F2837" s="24">
        <f t="shared" si="926"/>
        <v>0</v>
      </c>
      <c r="G2837" s="24" t="e">
        <f t="shared" si="925"/>
        <v>#DIV/0!</v>
      </c>
      <c r="Q2837" s="29" t="str">
        <f t="shared" si="927"/>
        <v>NA</v>
      </c>
      <c r="R2837" s="29" t="str">
        <f t="shared" si="928"/>
        <v>NA</v>
      </c>
      <c r="S2837" s="29" t="str">
        <f t="shared" si="929"/>
        <v>NA</v>
      </c>
      <c r="T2837" s="29" t="str">
        <f t="shared" si="930"/>
        <v>NA</v>
      </c>
      <c r="U2837" s="29" t="str">
        <f t="shared" si="931"/>
        <v>NA</v>
      </c>
      <c r="V2837" s="29" t="str">
        <f t="shared" si="932"/>
        <v>NA</v>
      </c>
      <c r="W2837" s="29" t="str">
        <f t="shared" si="933"/>
        <v>NA</v>
      </c>
      <c r="X2837" s="29" t="str">
        <f t="shared" si="934"/>
        <v>NA</v>
      </c>
      <c r="Y2837" s="29" t="str">
        <f t="shared" si="935"/>
        <v>NA</v>
      </c>
      <c r="Z2837" s="29" t="str">
        <f t="shared" si="936"/>
        <v>NA</v>
      </c>
      <c r="AA2837" s="29" t="str">
        <f t="shared" si="937"/>
        <v>NA</v>
      </c>
      <c r="AB2837" s="29" t="str">
        <f t="shared" si="938"/>
        <v>NA</v>
      </c>
      <c r="AC2837" s="29" t="str">
        <f t="shared" si="939"/>
        <v>NA</v>
      </c>
      <c r="AD2837" s="29" t="str">
        <f t="shared" si="940"/>
        <v>NA</v>
      </c>
      <c r="AE2837" s="29" t="str">
        <f t="shared" si="941"/>
        <v>NA</v>
      </c>
      <c r="AF2837" s="29" t="str">
        <f t="shared" si="942"/>
        <v>NA</v>
      </c>
      <c r="AG2837" s="29" t="str">
        <f t="shared" si="943"/>
        <v>NA</v>
      </c>
      <c r="AH2837" s="29" t="str">
        <f t="shared" si="944"/>
        <v>NA</v>
      </c>
    </row>
    <row r="2838" customHeight="1" spans="1:34">
      <c r="A2838" s="12" t="s">
        <v>1043</v>
      </c>
      <c r="F2838" s="24">
        <f t="shared" si="926"/>
        <v>0</v>
      </c>
      <c r="G2838" s="24" t="e">
        <f t="shared" si="925"/>
        <v>#DIV/0!</v>
      </c>
      <c r="Q2838" s="29" t="str">
        <f t="shared" si="927"/>
        <v>NA</v>
      </c>
      <c r="R2838" s="29" t="str">
        <f t="shared" si="928"/>
        <v>NA</v>
      </c>
      <c r="S2838" s="29" t="str">
        <f t="shared" si="929"/>
        <v>NA</v>
      </c>
      <c r="T2838" s="29" t="str">
        <f t="shared" si="930"/>
        <v>NA</v>
      </c>
      <c r="U2838" s="29" t="str">
        <f t="shared" si="931"/>
        <v>NA</v>
      </c>
      <c r="V2838" s="29" t="str">
        <f t="shared" si="932"/>
        <v>NA</v>
      </c>
      <c r="W2838" s="29" t="str">
        <f t="shared" si="933"/>
        <v>NA</v>
      </c>
      <c r="X2838" s="29" t="str">
        <f t="shared" si="934"/>
        <v>NA</v>
      </c>
      <c r="Y2838" s="29" t="str">
        <f t="shared" si="935"/>
        <v>NA</v>
      </c>
      <c r="Z2838" s="29" t="str">
        <f t="shared" si="936"/>
        <v>NA</v>
      </c>
      <c r="AA2838" s="29" t="str">
        <f t="shared" si="937"/>
        <v>NA</v>
      </c>
      <c r="AB2838" s="29" t="str">
        <f t="shared" si="938"/>
        <v>NA</v>
      </c>
      <c r="AC2838" s="29" t="str">
        <f t="shared" si="939"/>
        <v>NA</v>
      </c>
      <c r="AD2838" s="29" t="str">
        <f t="shared" si="940"/>
        <v>NA</v>
      </c>
      <c r="AE2838" s="29" t="str">
        <f t="shared" si="941"/>
        <v>NA</v>
      </c>
      <c r="AF2838" s="29" t="str">
        <f t="shared" si="942"/>
        <v>NA</v>
      </c>
      <c r="AG2838" s="29" t="str">
        <f t="shared" si="943"/>
        <v>NA</v>
      </c>
      <c r="AH2838" s="29" t="str">
        <f t="shared" si="944"/>
        <v>NA</v>
      </c>
    </row>
    <row r="2839" customHeight="1" spans="1:34">
      <c r="A2839" s="12" t="s">
        <v>1043</v>
      </c>
      <c r="F2839" s="24">
        <f t="shared" si="926"/>
        <v>0</v>
      </c>
      <c r="G2839" s="24" t="e">
        <f t="shared" si="925"/>
        <v>#DIV/0!</v>
      </c>
      <c r="Q2839" s="29" t="str">
        <f t="shared" si="927"/>
        <v>NA</v>
      </c>
      <c r="R2839" s="29" t="str">
        <f t="shared" si="928"/>
        <v>NA</v>
      </c>
      <c r="S2839" s="29" t="str">
        <f t="shared" si="929"/>
        <v>NA</v>
      </c>
      <c r="T2839" s="29" t="str">
        <f t="shared" si="930"/>
        <v>NA</v>
      </c>
      <c r="U2839" s="29" t="str">
        <f t="shared" si="931"/>
        <v>NA</v>
      </c>
      <c r="V2839" s="29" t="str">
        <f t="shared" si="932"/>
        <v>NA</v>
      </c>
      <c r="W2839" s="29" t="str">
        <f t="shared" si="933"/>
        <v>NA</v>
      </c>
      <c r="X2839" s="29" t="str">
        <f t="shared" si="934"/>
        <v>NA</v>
      </c>
      <c r="Y2839" s="29" t="str">
        <f t="shared" si="935"/>
        <v>NA</v>
      </c>
      <c r="Z2839" s="29" t="str">
        <f t="shared" si="936"/>
        <v>NA</v>
      </c>
      <c r="AA2839" s="29" t="str">
        <f t="shared" si="937"/>
        <v>NA</v>
      </c>
      <c r="AB2839" s="29" t="str">
        <f t="shared" si="938"/>
        <v>NA</v>
      </c>
      <c r="AC2839" s="29" t="str">
        <f t="shared" si="939"/>
        <v>NA</v>
      </c>
      <c r="AD2839" s="29" t="str">
        <f t="shared" si="940"/>
        <v>NA</v>
      </c>
      <c r="AE2839" s="29" t="str">
        <f t="shared" si="941"/>
        <v>NA</v>
      </c>
      <c r="AF2839" s="29" t="str">
        <f t="shared" si="942"/>
        <v>NA</v>
      </c>
      <c r="AG2839" s="29" t="str">
        <f t="shared" si="943"/>
        <v>NA</v>
      </c>
      <c r="AH2839" s="29" t="str">
        <f t="shared" si="944"/>
        <v>NA</v>
      </c>
    </row>
    <row r="2840" customHeight="1" spans="1:34">
      <c r="A2840" s="12" t="s">
        <v>1043</v>
      </c>
      <c r="F2840" s="24">
        <f t="shared" si="926"/>
        <v>0</v>
      </c>
      <c r="G2840" s="24" t="e">
        <f t="shared" si="925"/>
        <v>#DIV/0!</v>
      </c>
      <c r="Q2840" s="29" t="str">
        <f t="shared" si="927"/>
        <v>NA</v>
      </c>
      <c r="R2840" s="29" t="str">
        <f t="shared" si="928"/>
        <v>NA</v>
      </c>
      <c r="S2840" s="29" t="str">
        <f t="shared" si="929"/>
        <v>NA</v>
      </c>
      <c r="T2840" s="29" t="str">
        <f t="shared" si="930"/>
        <v>NA</v>
      </c>
      <c r="U2840" s="29" t="str">
        <f t="shared" si="931"/>
        <v>NA</v>
      </c>
      <c r="V2840" s="29" t="str">
        <f t="shared" si="932"/>
        <v>NA</v>
      </c>
      <c r="W2840" s="29" t="str">
        <f t="shared" si="933"/>
        <v>NA</v>
      </c>
      <c r="X2840" s="29" t="str">
        <f t="shared" si="934"/>
        <v>NA</v>
      </c>
      <c r="Y2840" s="29" t="str">
        <f t="shared" si="935"/>
        <v>NA</v>
      </c>
      <c r="Z2840" s="29" t="str">
        <f t="shared" si="936"/>
        <v>NA</v>
      </c>
      <c r="AA2840" s="29" t="str">
        <f t="shared" si="937"/>
        <v>NA</v>
      </c>
      <c r="AB2840" s="29" t="str">
        <f t="shared" si="938"/>
        <v>NA</v>
      </c>
      <c r="AC2840" s="29" t="str">
        <f t="shared" si="939"/>
        <v>NA</v>
      </c>
      <c r="AD2840" s="29" t="str">
        <f t="shared" si="940"/>
        <v>NA</v>
      </c>
      <c r="AE2840" s="29" t="str">
        <f t="shared" si="941"/>
        <v>NA</v>
      </c>
      <c r="AF2840" s="29" t="str">
        <f t="shared" si="942"/>
        <v>NA</v>
      </c>
      <c r="AG2840" s="29" t="str">
        <f t="shared" si="943"/>
        <v>NA</v>
      </c>
      <c r="AH2840" s="29" t="str">
        <f t="shared" si="944"/>
        <v>NA</v>
      </c>
    </row>
    <row r="2841" customHeight="1" spans="1:34">
      <c r="A2841" s="12" t="s">
        <v>1043</v>
      </c>
      <c r="F2841" s="24">
        <f t="shared" si="926"/>
        <v>0</v>
      </c>
      <c r="G2841" s="24" t="e">
        <f t="shared" si="925"/>
        <v>#DIV/0!</v>
      </c>
      <c r="Q2841" s="29" t="str">
        <f t="shared" si="927"/>
        <v>NA</v>
      </c>
      <c r="R2841" s="29" t="str">
        <f t="shared" si="928"/>
        <v>NA</v>
      </c>
      <c r="S2841" s="29" t="str">
        <f t="shared" si="929"/>
        <v>NA</v>
      </c>
      <c r="T2841" s="29" t="str">
        <f t="shared" si="930"/>
        <v>NA</v>
      </c>
      <c r="U2841" s="29" t="str">
        <f t="shared" si="931"/>
        <v>NA</v>
      </c>
      <c r="V2841" s="29" t="str">
        <f t="shared" si="932"/>
        <v>NA</v>
      </c>
      <c r="W2841" s="29" t="str">
        <f t="shared" si="933"/>
        <v>NA</v>
      </c>
      <c r="X2841" s="29" t="str">
        <f t="shared" si="934"/>
        <v>NA</v>
      </c>
      <c r="Y2841" s="29" t="str">
        <f t="shared" si="935"/>
        <v>NA</v>
      </c>
      <c r="Z2841" s="29" t="str">
        <f t="shared" si="936"/>
        <v>NA</v>
      </c>
      <c r="AA2841" s="29" t="str">
        <f t="shared" si="937"/>
        <v>NA</v>
      </c>
      <c r="AB2841" s="29" t="str">
        <f t="shared" si="938"/>
        <v>NA</v>
      </c>
      <c r="AC2841" s="29" t="str">
        <f t="shared" si="939"/>
        <v>NA</v>
      </c>
      <c r="AD2841" s="29" t="str">
        <f t="shared" si="940"/>
        <v>NA</v>
      </c>
      <c r="AE2841" s="29" t="str">
        <f t="shared" si="941"/>
        <v>NA</v>
      </c>
      <c r="AF2841" s="29" t="str">
        <f t="shared" si="942"/>
        <v>NA</v>
      </c>
      <c r="AG2841" s="29" t="str">
        <f t="shared" si="943"/>
        <v>NA</v>
      </c>
      <c r="AH2841" s="29" t="str">
        <f t="shared" si="944"/>
        <v>NA</v>
      </c>
    </row>
    <row r="2842" customHeight="1" spans="1:34">
      <c r="A2842" s="12" t="s">
        <v>1043</v>
      </c>
      <c r="F2842" s="24">
        <f t="shared" si="926"/>
        <v>0</v>
      </c>
      <c r="G2842" s="24" t="e">
        <f t="shared" si="925"/>
        <v>#DIV/0!</v>
      </c>
      <c r="Q2842" s="29" t="str">
        <f t="shared" si="927"/>
        <v>NA</v>
      </c>
      <c r="R2842" s="29" t="str">
        <f t="shared" si="928"/>
        <v>NA</v>
      </c>
      <c r="S2842" s="29" t="str">
        <f t="shared" si="929"/>
        <v>NA</v>
      </c>
      <c r="T2842" s="29" t="str">
        <f t="shared" si="930"/>
        <v>NA</v>
      </c>
      <c r="U2842" s="29" t="str">
        <f t="shared" si="931"/>
        <v>NA</v>
      </c>
      <c r="V2842" s="29" t="str">
        <f t="shared" si="932"/>
        <v>NA</v>
      </c>
      <c r="W2842" s="29" t="str">
        <f t="shared" si="933"/>
        <v>NA</v>
      </c>
      <c r="X2842" s="29" t="str">
        <f t="shared" si="934"/>
        <v>NA</v>
      </c>
      <c r="Y2842" s="29" t="str">
        <f t="shared" si="935"/>
        <v>NA</v>
      </c>
      <c r="Z2842" s="29" t="str">
        <f t="shared" si="936"/>
        <v>NA</v>
      </c>
      <c r="AA2842" s="29" t="str">
        <f t="shared" si="937"/>
        <v>NA</v>
      </c>
      <c r="AB2842" s="29" t="str">
        <f t="shared" si="938"/>
        <v>NA</v>
      </c>
      <c r="AC2842" s="29" t="str">
        <f t="shared" si="939"/>
        <v>NA</v>
      </c>
      <c r="AD2842" s="29" t="str">
        <f t="shared" si="940"/>
        <v>NA</v>
      </c>
      <c r="AE2842" s="29" t="str">
        <f t="shared" si="941"/>
        <v>NA</v>
      </c>
      <c r="AF2842" s="29" t="str">
        <f t="shared" si="942"/>
        <v>NA</v>
      </c>
      <c r="AG2842" s="29" t="str">
        <f t="shared" si="943"/>
        <v>NA</v>
      </c>
      <c r="AH2842" s="29" t="str">
        <f t="shared" si="944"/>
        <v>NA</v>
      </c>
    </row>
    <row r="2843" customHeight="1" spans="1:34">
      <c r="A2843" s="12" t="s">
        <v>1043</v>
      </c>
      <c r="F2843" s="24">
        <f t="shared" si="926"/>
        <v>0</v>
      </c>
      <c r="G2843" s="24" t="e">
        <f t="shared" si="925"/>
        <v>#DIV/0!</v>
      </c>
      <c r="Q2843" s="29" t="str">
        <f t="shared" si="927"/>
        <v>NA</v>
      </c>
      <c r="R2843" s="29" t="str">
        <f t="shared" si="928"/>
        <v>NA</v>
      </c>
      <c r="S2843" s="29" t="str">
        <f t="shared" si="929"/>
        <v>NA</v>
      </c>
      <c r="T2843" s="29" t="str">
        <f t="shared" si="930"/>
        <v>NA</v>
      </c>
      <c r="U2843" s="29" t="str">
        <f t="shared" si="931"/>
        <v>NA</v>
      </c>
      <c r="V2843" s="29" t="str">
        <f t="shared" si="932"/>
        <v>NA</v>
      </c>
      <c r="W2843" s="29" t="str">
        <f t="shared" si="933"/>
        <v>NA</v>
      </c>
      <c r="X2843" s="29" t="str">
        <f t="shared" si="934"/>
        <v>NA</v>
      </c>
      <c r="Y2843" s="29" t="str">
        <f t="shared" si="935"/>
        <v>NA</v>
      </c>
      <c r="Z2843" s="29" t="str">
        <f t="shared" si="936"/>
        <v>NA</v>
      </c>
      <c r="AA2843" s="29" t="str">
        <f t="shared" si="937"/>
        <v>NA</v>
      </c>
      <c r="AB2843" s="29" t="str">
        <f t="shared" si="938"/>
        <v>NA</v>
      </c>
      <c r="AC2843" s="29" t="str">
        <f t="shared" si="939"/>
        <v>NA</v>
      </c>
      <c r="AD2843" s="29" t="str">
        <f t="shared" si="940"/>
        <v>NA</v>
      </c>
      <c r="AE2843" s="29" t="str">
        <f t="shared" si="941"/>
        <v>NA</v>
      </c>
      <c r="AF2843" s="29" t="str">
        <f t="shared" si="942"/>
        <v>NA</v>
      </c>
      <c r="AG2843" s="29" t="str">
        <f t="shared" si="943"/>
        <v>NA</v>
      </c>
      <c r="AH2843" s="29" t="str">
        <f t="shared" si="944"/>
        <v>NA</v>
      </c>
    </row>
    <row r="2844" customHeight="1" spans="1:34">
      <c r="A2844" s="12" t="s">
        <v>1043</v>
      </c>
      <c r="F2844" s="24">
        <f t="shared" si="926"/>
        <v>0</v>
      </c>
      <c r="G2844" s="24" t="e">
        <f t="shared" si="925"/>
        <v>#DIV/0!</v>
      </c>
      <c r="Q2844" s="29" t="str">
        <f t="shared" si="927"/>
        <v>NA</v>
      </c>
      <c r="R2844" s="29" t="str">
        <f t="shared" si="928"/>
        <v>NA</v>
      </c>
      <c r="S2844" s="29" t="str">
        <f t="shared" si="929"/>
        <v>NA</v>
      </c>
      <c r="T2844" s="29" t="str">
        <f t="shared" si="930"/>
        <v>NA</v>
      </c>
      <c r="U2844" s="29" t="str">
        <f t="shared" si="931"/>
        <v>NA</v>
      </c>
      <c r="V2844" s="29" t="str">
        <f t="shared" si="932"/>
        <v>NA</v>
      </c>
      <c r="W2844" s="29" t="str">
        <f t="shared" si="933"/>
        <v>NA</v>
      </c>
      <c r="X2844" s="29" t="str">
        <f t="shared" si="934"/>
        <v>NA</v>
      </c>
      <c r="Y2844" s="29" t="str">
        <f t="shared" si="935"/>
        <v>NA</v>
      </c>
      <c r="Z2844" s="29" t="str">
        <f t="shared" si="936"/>
        <v>NA</v>
      </c>
      <c r="AA2844" s="29" t="str">
        <f t="shared" si="937"/>
        <v>NA</v>
      </c>
      <c r="AB2844" s="29" t="str">
        <f t="shared" si="938"/>
        <v>NA</v>
      </c>
      <c r="AC2844" s="29" t="str">
        <f t="shared" si="939"/>
        <v>NA</v>
      </c>
      <c r="AD2844" s="29" t="str">
        <f t="shared" si="940"/>
        <v>NA</v>
      </c>
      <c r="AE2844" s="29" t="str">
        <f t="shared" si="941"/>
        <v>NA</v>
      </c>
      <c r="AF2844" s="29" t="str">
        <f t="shared" si="942"/>
        <v>NA</v>
      </c>
      <c r="AG2844" s="29" t="str">
        <f t="shared" si="943"/>
        <v>NA</v>
      </c>
      <c r="AH2844" s="29" t="str">
        <f t="shared" si="944"/>
        <v>NA</v>
      </c>
    </row>
    <row r="2845" customHeight="1" spans="1:34">
      <c r="A2845" s="12" t="s">
        <v>1043</v>
      </c>
      <c r="F2845" s="24">
        <f t="shared" si="926"/>
        <v>0</v>
      </c>
      <c r="G2845" s="24" t="e">
        <f t="shared" si="925"/>
        <v>#DIV/0!</v>
      </c>
      <c r="Q2845" s="29" t="str">
        <f t="shared" si="927"/>
        <v>NA</v>
      </c>
      <c r="R2845" s="29" t="str">
        <f t="shared" si="928"/>
        <v>NA</v>
      </c>
      <c r="S2845" s="29" t="str">
        <f t="shared" si="929"/>
        <v>NA</v>
      </c>
      <c r="T2845" s="29" t="str">
        <f t="shared" si="930"/>
        <v>NA</v>
      </c>
      <c r="U2845" s="29" t="str">
        <f t="shared" si="931"/>
        <v>NA</v>
      </c>
      <c r="V2845" s="29" t="str">
        <f t="shared" si="932"/>
        <v>NA</v>
      </c>
      <c r="W2845" s="29" t="str">
        <f t="shared" si="933"/>
        <v>NA</v>
      </c>
      <c r="X2845" s="29" t="str">
        <f t="shared" si="934"/>
        <v>NA</v>
      </c>
      <c r="Y2845" s="29" t="str">
        <f t="shared" si="935"/>
        <v>NA</v>
      </c>
      <c r="Z2845" s="29" t="str">
        <f t="shared" si="936"/>
        <v>NA</v>
      </c>
      <c r="AA2845" s="29" t="str">
        <f t="shared" si="937"/>
        <v>NA</v>
      </c>
      <c r="AB2845" s="29" t="str">
        <f t="shared" si="938"/>
        <v>NA</v>
      </c>
      <c r="AC2845" s="29" t="str">
        <f t="shared" si="939"/>
        <v>NA</v>
      </c>
      <c r="AD2845" s="29" t="str">
        <f t="shared" si="940"/>
        <v>NA</v>
      </c>
      <c r="AE2845" s="29" t="str">
        <f t="shared" si="941"/>
        <v>NA</v>
      </c>
      <c r="AF2845" s="29" t="str">
        <f t="shared" si="942"/>
        <v>NA</v>
      </c>
      <c r="AG2845" s="29" t="str">
        <f t="shared" si="943"/>
        <v>NA</v>
      </c>
      <c r="AH2845" s="29" t="str">
        <f t="shared" si="944"/>
        <v>NA</v>
      </c>
    </row>
    <row r="2846" customHeight="1" spans="1:34">
      <c r="A2846" s="12" t="s">
        <v>1043</v>
      </c>
      <c r="F2846" s="24">
        <f t="shared" si="926"/>
        <v>0</v>
      </c>
      <c r="G2846" s="24" t="e">
        <f t="shared" si="925"/>
        <v>#DIV/0!</v>
      </c>
      <c r="Q2846" s="29" t="str">
        <f t="shared" si="927"/>
        <v>NA</v>
      </c>
      <c r="R2846" s="29" t="str">
        <f t="shared" si="928"/>
        <v>NA</v>
      </c>
      <c r="S2846" s="29" t="str">
        <f t="shared" si="929"/>
        <v>NA</v>
      </c>
      <c r="T2846" s="29" t="str">
        <f t="shared" si="930"/>
        <v>NA</v>
      </c>
      <c r="U2846" s="29" t="str">
        <f t="shared" si="931"/>
        <v>NA</v>
      </c>
      <c r="V2846" s="29" t="str">
        <f t="shared" si="932"/>
        <v>NA</v>
      </c>
      <c r="W2846" s="29" t="str">
        <f t="shared" si="933"/>
        <v>NA</v>
      </c>
      <c r="X2846" s="29" t="str">
        <f t="shared" si="934"/>
        <v>NA</v>
      </c>
      <c r="Y2846" s="29" t="str">
        <f t="shared" si="935"/>
        <v>NA</v>
      </c>
      <c r="Z2846" s="29" t="str">
        <f t="shared" si="936"/>
        <v>NA</v>
      </c>
      <c r="AA2846" s="29" t="str">
        <f t="shared" si="937"/>
        <v>NA</v>
      </c>
      <c r="AB2846" s="29" t="str">
        <f t="shared" si="938"/>
        <v>NA</v>
      </c>
      <c r="AC2846" s="29" t="str">
        <f t="shared" si="939"/>
        <v>NA</v>
      </c>
      <c r="AD2846" s="29" t="str">
        <f t="shared" si="940"/>
        <v>NA</v>
      </c>
      <c r="AE2846" s="29" t="str">
        <f t="shared" si="941"/>
        <v>NA</v>
      </c>
      <c r="AF2846" s="29" t="str">
        <f t="shared" si="942"/>
        <v>NA</v>
      </c>
      <c r="AG2846" s="29" t="str">
        <f t="shared" si="943"/>
        <v>NA</v>
      </c>
      <c r="AH2846" s="29" t="str">
        <f t="shared" si="944"/>
        <v>NA</v>
      </c>
    </row>
    <row r="2847" customHeight="1" spans="1:34">
      <c r="A2847" s="12" t="s">
        <v>1043</v>
      </c>
      <c r="F2847" s="24">
        <f t="shared" si="926"/>
        <v>0</v>
      </c>
      <c r="G2847" s="24" t="e">
        <f t="shared" si="925"/>
        <v>#DIV/0!</v>
      </c>
      <c r="Q2847" s="29" t="str">
        <f t="shared" si="927"/>
        <v>NA</v>
      </c>
      <c r="R2847" s="29" t="str">
        <f t="shared" si="928"/>
        <v>NA</v>
      </c>
      <c r="S2847" s="29" t="str">
        <f t="shared" si="929"/>
        <v>NA</v>
      </c>
      <c r="T2847" s="29" t="str">
        <f t="shared" si="930"/>
        <v>NA</v>
      </c>
      <c r="U2847" s="29" t="str">
        <f t="shared" si="931"/>
        <v>NA</v>
      </c>
      <c r="V2847" s="29" t="str">
        <f t="shared" si="932"/>
        <v>NA</v>
      </c>
      <c r="W2847" s="29" t="str">
        <f t="shared" si="933"/>
        <v>NA</v>
      </c>
      <c r="X2847" s="29" t="str">
        <f t="shared" si="934"/>
        <v>NA</v>
      </c>
      <c r="Y2847" s="29" t="str">
        <f t="shared" si="935"/>
        <v>NA</v>
      </c>
      <c r="Z2847" s="29" t="str">
        <f t="shared" si="936"/>
        <v>NA</v>
      </c>
      <c r="AA2847" s="29" t="str">
        <f t="shared" si="937"/>
        <v>NA</v>
      </c>
      <c r="AB2847" s="29" t="str">
        <f t="shared" si="938"/>
        <v>NA</v>
      </c>
      <c r="AC2847" s="29" t="str">
        <f t="shared" si="939"/>
        <v>NA</v>
      </c>
      <c r="AD2847" s="29" t="str">
        <f t="shared" si="940"/>
        <v>NA</v>
      </c>
      <c r="AE2847" s="29" t="str">
        <f t="shared" si="941"/>
        <v>NA</v>
      </c>
      <c r="AF2847" s="29" t="str">
        <f t="shared" si="942"/>
        <v>NA</v>
      </c>
      <c r="AG2847" s="29" t="str">
        <f t="shared" si="943"/>
        <v>NA</v>
      </c>
      <c r="AH2847" s="29" t="str">
        <f t="shared" si="944"/>
        <v>NA</v>
      </c>
    </row>
    <row r="2848" customHeight="1" spans="1:34">
      <c r="A2848" s="12" t="s">
        <v>1043</v>
      </c>
      <c r="F2848" s="24">
        <f t="shared" si="926"/>
        <v>0</v>
      </c>
      <c r="G2848" s="24" t="e">
        <f t="shared" si="925"/>
        <v>#DIV/0!</v>
      </c>
      <c r="Q2848" s="29" t="str">
        <f t="shared" si="927"/>
        <v>NA</v>
      </c>
      <c r="R2848" s="29" t="str">
        <f t="shared" si="928"/>
        <v>NA</v>
      </c>
      <c r="S2848" s="29" t="str">
        <f t="shared" si="929"/>
        <v>NA</v>
      </c>
      <c r="T2848" s="29" t="str">
        <f t="shared" si="930"/>
        <v>NA</v>
      </c>
      <c r="U2848" s="29" t="str">
        <f t="shared" si="931"/>
        <v>NA</v>
      </c>
      <c r="V2848" s="29" t="str">
        <f t="shared" si="932"/>
        <v>NA</v>
      </c>
      <c r="W2848" s="29" t="str">
        <f t="shared" si="933"/>
        <v>NA</v>
      </c>
      <c r="X2848" s="29" t="str">
        <f t="shared" si="934"/>
        <v>NA</v>
      </c>
      <c r="Y2848" s="29" t="str">
        <f t="shared" si="935"/>
        <v>NA</v>
      </c>
      <c r="Z2848" s="29" t="str">
        <f t="shared" si="936"/>
        <v>NA</v>
      </c>
      <c r="AA2848" s="29" t="str">
        <f t="shared" si="937"/>
        <v>NA</v>
      </c>
      <c r="AB2848" s="29" t="str">
        <f t="shared" si="938"/>
        <v>NA</v>
      </c>
      <c r="AC2848" s="29" t="str">
        <f t="shared" si="939"/>
        <v>NA</v>
      </c>
      <c r="AD2848" s="29" t="str">
        <f t="shared" si="940"/>
        <v>NA</v>
      </c>
      <c r="AE2848" s="29" t="str">
        <f t="shared" si="941"/>
        <v>NA</v>
      </c>
      <c r="AF2848" s="29" t="str">
        <f t="shared" si="942"/>
        <v>NA</v>
      </c>
      <c r="AG2848" s="29" t="str">
        <f t="shared" si="943"/>
        <v>NA</v>
      </c>
      <c r="AH2848" s="29" t="str">
        <f t="shared" si="944"/>
        <v>NA</v>
      </c>
    </row>
    <row r="2849" customHeight="1" spans="1:34">
      <c r="A2849" s="12" t="s">
        <v>1043</v>
      </c>
      <c r="F2849" s="24">
        <f t="shared" si="926"/>
        <v>0</v>
      </c>
      <c r="G2849" s="24" t="e">
        <f t="shared" si="925"/>
        <v>#DIV/0!</v>
      </c>
      <c r="Q2849" s="29" t="str">
        <f t="shared" si="927"/>
        <v>NA</v>
      </c>
      <c r="R2849" s="29" t="str">
        <f t="shared" si="928"/>
        <v>NA</v>
      </c>
      <c r="S2849" s="29" t="str">
        <f t="shared" si="929"/>
        <v>NA</v>
      </c>
      <c r="T2849" s="29" t="str">
        <f t="shared" si="930"/>
        <v>NA</v>
      </c>
      <c r="U2849" s="29" t="str">
        <f t="shared" si="931"/>
        <v>NA</v>
      </c>
      <c r="V2849" s="29" t="str">
        <f t="shared" si="932"/>
        <v>NA</v>
      </c>
      <c r="W2849" s="29" t="str">
        <f t="shared" si="933"/>
        <v>NA</v>
      </c>
      <c r="X2849" s="29" t="str">
        <f t="shared" si="934"/>
        <v>NA</v>
      </c>
      <c r="Y2849" s="29" t="str">
        <f t="shared" si="935"/>
        <v>NA</v>
      </c>
      <c r="Z2849" s="29" t="str">
        <f t="shared" si="936"/>
        <v>NA</v>
      </c>
      <c r="AA2849" s="29" t="str">
        <f t="shared" si="937"/>
        <v>NA</v>
      </c>
      <c r="AB2849" s="29" t="str">
        <f t="shared" si="938"/>
        <v>NA</v>
      </c>
      <c r="AC2849" s="29" t="str">
        <f t="shared" si="939"/>
        <v>NA</v>
      </c>
      <c r="AD2849" s="29" t="str">
        <f t="shared" si="940"/>
        <v>NA</v>
      </c>
      <c r="AE2849" s="29" t="str">
        <f t="shared" si="941"/>
        <v>NA</v>
      </c>
      <c r="AF2849" s="29" t="str">
        <f t="shared" si="942"/>
        <v>NA</v>
      </c>
      <c r="AG2849" s="29" t="str">
        <f t="shared" si="943"/>
        <v>NA</v>
      </c>
      <c r="AH2849" s="29" t="str">
        <f t="shared" si="944"/>
        <v>NA</v>
      </c>
    </row>
    <row r="2850" customHeight="1" spans="1:34">
      <c r="A2850" s="12" t="s">
        <v>1043</v>
      </c>
      <c r="F2850" s="24">
        <f t="shared" si="926"/>
        <v>0</v>
      </c>
      <c r="G2850" s="24" t="e">
        <f t="shared" si="925"/>
        <v>#DIV/0!</v>
      </c>
      <c r="Q2850" s="29" t="str">
        <f t="shared" si="927"/>
        <v>NA</v>
      </c>
      <c r="R2850" s="29" t="str">
        <f t="shared" si="928"/>
        <v>NA</v>
      </c>
      <c r="S2850" s="29" t="str">
        <f t="shared" si="929"/>
        <v>NA</v>
      </c>
      <c r="T2850" s="29" t="str">
        <f t="shared" si="930"/>
        <v>NA</v>
      </c>
      <c r="U2850" s="29" t="str">
        <f t="shared" si="931"/>
        <v>NA</v>
      </c>
      <c r="V2850" s="29" t="str">
        <f t="shared" si="932"/>
        <v>NA</v>
      </c>
      <c r="W2850" s="29" t="str">
        <f t="shared" si="933"/>
        <v>NA</v>
      </c>
      <c r="X2850" s="29" t="str">
        <f t="shared" si="934"/>
        <v>NA</v>
      </c>
      <c r="Y2850" s="29" t="str">
        <f t="shared" si="935"/>
        <v>NA</v>
      </c>
      <c r="Z2850" s="29" t="str">
        <f t="shared" si="936"/>
        <v>NA</v>
      </c>
      <c r="AA2850" s="29" t="str">
        <f t="shared" si="937"/>
        <v>NA</v>
      </c>
      <c r="AB2850" s="29" t="str">
        <f t="shared" si="938"/>
        <v>NA</v>
      </c>
      <c r="AC2850" s="29" t="str">
        <f t="shared" si="939"/>
        <v>NA</v>
      </c>
      <c r="AD2850" s="29" t="str">
        <f t="shared" si="940"/>
        <v>NA</v>
      </c>
      <c r="AE2850" s="29" t="str">
        <f t="shared" si="941"/>
        <v>NA</v>
      </c>
      <c r="AF2850" s="29" t="str">
        <f t="shared" si="942"/>
        <v>NA</v>
      </c>
      <c r="AG2850" s="29" t="str">
        <f t="shared" si="943"/>
        <v>NA</v>
      </c>
      <c r="AH2850" s="29" t="str">
        <f t="shared" si="944"/>
        <v>NA</v>
      </c>
    </row>
    <row r="2851" customHeight="1" spans="1:34">
      <c r="A2851" s="12" t="s">
        <v>1043</v>
      </c>
      <c r="F2851" s="24">
        <f t="shared" si="926"/>
        <v>0</v>
      </c>
      <c r="G2851" s="24" t="e">
        <f t="shared" si="925"/>
        <v>#DIV/0!</v>
      </c>
      <c r="Q2851" s="29" t="str">
        <f t="shared" si="927"/>
        <v>NA</v>
      </c>
      <c r="R2851" s="29" t="str">
        <f t="shared" si="928"/>
        <v>NA</v>
      </c>
      <c r="S2851" s="29" t="str">
        <f t="shared" si="929"/>
        <v>NA</v>
      </c>
      <c r="T2851" s="29" t="str">
        <f t="shared" si="930"/>
        <v>NA</v>
      </c>
      <c r="U2851" s="29" t="str">
        <f t="shared" si="931"/>
        <v>NA</v>
      </c>
      <c r="V2851" s="29" t="str">
        <f t="shared" si="932"/>
        <v>NA</v>
      </c>
      <c r="W2851" s="29" t="str">
        <f t="shared" si="933"/>
        <v>NA</v>
      </c>
      <c r="X2851" s="29" t="str">
        <f t="shared" si="934"/>
        <v>NA</v>
      </c>
      <c r="Y2851" s="29" t="str">
        <f t="shared" si="935"/>
        <v>NA</v>
      </c>
      <c r="Z2851" s="29" t="str">
        <f t="shared" si="936"/>
        <v>NA</v>
      </c>
      <c r="AA2851" s="29" t="str">
        <f t="shared" si="937"/>
        <v>NA</v>
      </c>
      <c r="AB2851" s="29" t="str">
        <f t="shared" si="938"/>
        <v>NA</v>
      </c>
      <c r="AC2851" s="29" t="str">
        <f t="shared" si="939"/>
        <v>NA</v>
      </c>
      <c r="AD2851" s="29" t="str">
        <f t="shared" si="940"/>
        <v>NA</v>
      </c>
      <c r="AE2851" s="29" t="str">
        <f t="shared" si="941"/>
        <v>NA</v>
      </c>
      <c r="AF2851" s="29" t="str">
        <f t="shared" si="942"/>
        <v>NA</v>
      </c>
      <c r="AG2851" s="29" t="str">
        <f t="shared" si="943"/>
        <v>NA</v>
      </c>
      <c r="AH2851" s="29" t="str">
        <f t="shared" si="944"/>
        <v>NA</v>
      </c>
    </row>
    <row r="2852" customHeight="1" spans="1:34">
      <c r="A2852" s="12" t="s">
        <v>1043</v>
      </c>
      <c r="F2852" s="24">
        <f t="shared" si="926"/>
        <v>0</v>
      </c>
      <c r="G2852" s="24" t="e">
        <f t="shared" si="925"/>
        <v>#DIV/0!</v>
      </c>
      <c r="Q2852" s="29" t="str">
        <f t="shared" si="927"/>
        <v>NA</v>
      </c>
      <c r="R2852" s="29" t="str">
        <f t="shared" si="928"/>
        <v>NA</v>
      </c>
      <c r="S2852" s="29" t="str">
        <f t="shared" si="929"/>
        <v>NA</v>
      </c>
      <c r="T2852" s="29" t="str">
        <f t="shared" si="930"/>
        <v>NA</v>
      </c>
      <c r="U2852" s="29" t="str">
        <f t="shared" si="931"/>
        <v>NA</v>
      </c>
      <c r="V2852" s="29" t="str">
        <f t="shared" si="932"/>
        <v>NA</v>
      </c>
      <c r="W2852" s="29" t="str">
        <f t="shared" si="933"/>
        <v>NA</v>
      </c>
      <c r="X2852" s="29" t="str">
        <f t="shared" si="934"/>
        <v>NA</v>
      </c>
      <c r="Y2852" s="29" t="str">
        <f t="shared" si="935"/>
        <v>NA</v>
      </c>
      <c r="Z2852" s="29" t="str">
        <f t="shared" si="936"/>
        <v>NA</v>
      </c>
      <c r="AA2852" s="29" t="str">
        <f t="shared" si="937"/>
        <v>NA</v>
      </c>
      <c r="AB2852" s="29" t="str">
        <f t="shared" si="938"/>
        <v>NA</v>
      </c>
      <c r="AC2852" s="29" t="str">
        <f t="shared" si="939"/>
        <v>NA</v>
      </c>
      <c r="AD2852" s="29" t="str">
        <f t="shared" si="940"/>
        <v>NA</v>
      </c>
      <c r="AE2852" s="29" t="str">
        <f t="shared" si="941"/>
        <v>NA</v>
      </c>
      <c r="AF2852" s="29" t="str">
        <f t="shared" si="942"/>
        <v>NA</v>
      </c>
      <c r="AG2852" s="29" t="str">
        <f t="shared" si="943"/>
        <v>NA</v>
      </c>
      <c r="AH2852" s="29" t="str">
        <f t="shared" si="944"/>
        <v>NA</v>
      </c>
    </row>
    <row r="2853" customHeight="1" spans="1:34">
      <c r="A2853" s="12" t="s">
        <v>1043</v>
      </c>
      <c r="F2853" s="24">
        <f t="shared" si="926"/>
        <v>0</v>
      </c>
      <c r="G2853" s="24" t="e">
        <f t="shared" si="925"/>
        <v>#DIV/0!</v>
      </c>
      <c r="Q2853" s="29" t="str">
        <f t="shared" si="927"/>
        <v>NA</v>
      </c>
      <c r="R2853" s="29" t="str">
        <f t="shared" si="928"/>
        <v>NA</v>
      </c>
      <c r="S2853" s="29" t="str">
        <f t="shared" si="929"/>
        <v>NA</v>
      </c>
      <c r="T2853" s="29" t="str">
        <f t="shared" si="930"/>
        <v>NA</v>
      </c>
      <c r="U2853" s="29" t="str">
        <f t="shared" si="931"/>
        <v>NA</v>
      </c>
      <c r="V2853" s="29" t="str">
        <f t="shared" si="932"/>
        <v>NA</v>
      </c>
      <c r="W2853" s="29" t="str">
        <f t="shared" si="933"/>
        <v>NA</v>
      </c>
      <c r="X2853" s="29" t="str">
        <f t="shared" si="934"/>
        <v>NA</v>
      </c>
      <c r="Y2853" s="29" t="str">
        <f t="shared" si="935"/>
        <v>NA</v>
      </c>
      <c r="Z2853" s="29" t="str">
        <f t="shared" si="936"/>
        <v>NA</v>
      </c>
      <c r="AA2853" s="29" t="str">
        <f t="shared" si="937"/>
        <v>NA</v>
      </c>
      <c r="AB2853" s="29" t="str">
        <f t="shared" si="938"/>
        <v>NA</v>
      </c>
      <c r="AC2853" s="29" t="str">
        <f t="shared" si="939"/>
        <v>NA</v>
      </c>
      <c r="AD2853" s="29" t="str">
        <f t="shared" si="940"/>
        <v>NA</v>
      </c>
      <c r="AE2853" s="29" t="str">
        <f t="shared" si="941"/>
        <v>NA</v>
      </c>
      <c r="AF2853" s="29" t="str">
        <f t="shared" si="942"/>
        <v>NA</v>
      </c>
      <c r="AG2853" s="29" t="str">
        <f t="shared" si="943"/>
        <v>NA</v>
      </c>
      <c r="AH2853" s="29" t="str">
        <f t="shared" si="944"/>
        <v>NA</v>
      </c>
    </row>
    <row r="2854" customHeight="1" spans="1:34">
      <c r="A2854" s="12" t="s">
        <v>1043</v>
      </c>
      <c r="F2854" s="24">
        <f t="shared" si="926"/>
        <v>0</v>
      </c>
      <c r="G2854" s="24" t="e">
        <f t="shared" si="925"/>
        <v>#DIV/0!</v>
      </c>
      <c r="Q2854" s="29" t="str">
        <f t="shared" si="927"/>
        <v>NA</v>
      </c>
      <c r="R2854" s="29" t="str">
        <f t="shared" si="928"/>
        <v>NA</v>
      </c>
      <c r="S2854" s="29" t="str">
        <f t="shared" si="929"/>
        <v>NA</v>
      </c>
      <c r="T2854" s="29" t="str">
        <f t="shared" si="930"/>
        <v>NA</v>
      </c>
      <c r="U2854" s="29" t="str">
        <f t="shared" si="931"/>
        <v>NA</v>
      </c>
      <c r="V2854" s="29" t="str">
        <f t="shared" si="932"/>
        <v>NA</v>
      </c>
      <c r="W2854" s="29" t="str">
        <f t="shared" si="933"/>
        <v>NA</v>
      </c>
      <c r="X2854" s="29" t="str">
        <f t="shared" si="934"/>
        <v>NA</v>
      </c>
      <c r="Y2854" s="29" t="str">
        <f t="shared" si="935"/>
        <v>NA</v>
      </c>
      <c r="Z2854" s="29" t="str">
        <f t="shared" si="936"/>
        <v>NA</v>
      </c>
      <c r="AA2854" s="29" t="str">
        <f t="shared" si="937"/>
        <v>NA</v>
      </c>
      <c r="AB2854" s="29" t="str">
        <f t="shared" si="938"/>
        <v>NA</v>
      </c>
      <c r="AC2854" s="29" t="str">
        <f t="shared" si="939"/>
        <v>NA</v>
      </c>
      <c r="AD2854" s="29" t="str">
        <f t="shared" si="940"/>
        <v>NA</v>
      </c>
      <c r="AE2854" s="29" t="str">
        <f t="shared" si="941"/>
        <v>NA</v>
      </c>
      <c r="AF2854" s="29" t="str">
        <f t="shared" si="942"/>
        <v>NA</v>
      </c>
      <c r="AG2854" s="29" t="str">
        <f t="shared" si="943"/>
        <v>NA</v>
      </c>
      <c r="AH2854" s="29" t="str">
        <f t="shared" si="944"/>
        <v>NA</v>
      </c>
    </row>
    <row r="2855" customHeight="1" spans="1:34">
      <c r="A2855" s="12" t="s">
        <v>1043</v>
      </c>
      <c r="F2855" s="24">
        <f t="shared" si="926"/>
        <v>0</v>
      </c>
      <c r="G2855" s="24" t="e">
        <f t="shared" si="925"/>
        <v>#DIV/0!</v>
      </c>
      <c r="Q2855" s="29" t="str">
        <f t="shared" si="927"/>
        <v>NA</v>
      </c>
      <c r="R2855" s="29" t="str">
        <f t="shared" si="928"/>
        <v>NA</v>
      </c>
      <c r="S2855" s="29" t="str">
        <f t="shared" si="929"/>
        <v>NA</v>
      </c>
      <c r="T2855" s="29" t="str">
        <f t="shared" si="930"/>
        <v>NA</v>
      </c>
      <c r="U2855" s="29" t="str">
        <f t="shared" si="931"/>
        <v>NA</v>
      </c>
      <c r="V2855" s="29" t="str">
        <f t="shared" si="932"/>
        <v>NA</v>
      </c>
      <c r="W2855" s="29" t="str">
        <f t="shared" si="933"/>
        <v>NA</v>
      </c>
      <c r="X2855" s="29" t="str">
        <f t="shared" si="934"/>
        <v>NA</v>
      </c>
      <c r="Y2855" s="29" t="str">
        <f t="shared" si="935"/>
        <v>NA</v>
      </c>
      <c r="Z2855" s="29" t="str">
        <f t="shared" si="936"/>
        <v>NA</v>
      </c>
      <c r="AA2855" s="29" t="str">
        <f t="shared" si="937"/>
        <v>NA</v>
      </c>
      <c r="AB2855" s="29" t="str">
        <f t="shared" si="938"/>
        <v>NA</v>
      </c>
      <c r="AC2855" s="29" t="str">
        <f t="shared" si="939"/>
        <v>NA</v>
      </c>
      <c r="AD2855" s="29" t="str">
        <f t="shared" si="940"/>
        <v>NA</v>
      </c>
      <c r="AE2855" s="29" t="str">
        <f t="shared" si="941"/>
        <v>NA</v>
      </c>
      <c r="AF2855" s="29" t="str">
        <f t="shared" si="942"/>
        <v>NA</v>
      </c>
      <c r="AG2855" s="29" t="str">
        <f t="shared" si="943"/>
        <v>NA</v>
      </c>
      <c r="AH2855" s="29" t="str">
        <f t="shared" si="944"/>
        <v>NA</v>
      </c>
    </row>
    <row r="2856" customHeight="1" spans="1:34">
      <c r="A2856" s="12" t="s">
        <v>1043</v>
      </c>
      <c r="F2856" s="24">
        <f t="shared" si="926"/>
        <v>0</v>
      </c>
      <c r="G2856" s="24" t="e">
        <f t="shared" si="925"/>
        <v>#DIV/0!</v>
      </c>
      <c r="Q2856" s="29" t="str">
        <f t="shared" si="927"/>
        <v>NA</v>
      </c>
      <c r="R2856" s="29" t="str">
        <f t="shared" si="928"/>
        <v>NA</v>
      </c>
      <c r="S2856" s="29" t="str">
        <f t="shared" si="929"/>
        <v>NA</v>
      </c>
      <c r="T2856" s="29" t="str">
        <f t="shared" si="930"/>
        <v>NA</v>
      </c>
      <c r="U2856" s="29" t="str">
        <f t="shared" si="931"/>
        <v>NA</v>
      </c>
      <c r="V2856" s="29" t="str">
        <f t="shared" si="932"/>
        <v>NA</v>
      </c>
      <c r="W2856" s="29" t="str">
        <f t="shared" si="933"/>
        <v>NA</v>
      </c>
      <c r="X2856" s="29" t="str">
        <f t="shared" si="934"/>
        <v>NA</v>
      </c>
      <c r="Y2856" s="29" t="str">
        <f t="shared" si="935"/>
        <v>NA</v>
      </c>
      <c r="Z2856" s="29" t="str">
        <f t="shared" si="936"/>
        <v>NA</v>
      </c>
      <c r="AA2856" s="29" t="str">
        <f t="shared" si="937"/>
        <v>NA</v>
      </c>
      <c r="AB2856" s="29" t="str">
        <f t="shared" si="938"/>
        <v>NA</v>
      </c>
      <c r="AC2856" s="29" t="str">
        <f t="shared" si="939"/>
        <v>NA</v>
      </c>
      <c r="AD2856" s="29" t="str">
        <f t="shared" si="940"/>
        <v>NA</v>
      </c>
      <c r="AE2856" s="29" t="str">
        <f t="shared" si="941"/>
        <v>NA</v>
      </c>
      <c r="AF2856" s="29" t="str">
        <f t="shared" si="942"/>
        <v>NA</v>
      </c>
      <c r="AG2856" s="29" t="str">
        <f t="shared" si="943"/>
        <v>NA</v>
      </c>
      <c r="AH2856" s="29" t="str">
        <f t="shared" si="944"/>
        <v>NA</v>
      </c>
    </row>
    <row r="2857" customHeight="1" spans="1:34">
      <c r="A2857" s="12" t="s">
        <v>1043</v>
      </c>
      <c r="F2857" s="24">
        <f t="shared" si="926"/>
        <v>0</v>
      </c>
      <c r="G2857" s="24" t="e">
        <f t="shared" si="925"/>
        <v>#DIV/0!</v>
      </c>
      <c r="Q2857" s="29" t="str">
        <f t="shared" si="927"/>
        <v>NA</v>
      </c>
      <c r="R2857" s="29" t="str">
        <f t="shared" si="928"/>
        <v>NA</v>
      </c>
      <c r="S2857" s="29" t="str">
        <f t="shared" si="929"/>
        <v>NA</v>
      </c>
      <c r="T2857" s="29" t="str">
        <f t="shared" si="930"/>
        <v>NA</v>
      </c>
      <c r="U2857" s="29" t="str">
        <f t="shared" si="931"/>
        <v>NA</v>
      </c>
      <c r="V2857" s="29" t="str">
        <f t="shared" si="932"/>
        <v>NA</v>
      </c>
      <c r="W2857" s="29" t="str">
        <f t="shared" si="933"/>
        <v>NA</v>
      </c>
      <c r="X2857" s="29" t="str">
        <f t="shared" si="934"/>
        <v>NA</v>
      </c>
      <c r="Y2857" s="29" t="str">
        <f t="shared" si="935"/>
        <v>NA</v>
      </c>
      <c r="Z2857" s="29" t="str">
        <f t="shared" si="936"/>
        <v>NA</v>
      </c>
      <c r="AA2857" s="29" t="str">
        <f t="shared" si="937"/>
        <v>NA</v>
      </c>
      <c r="AB2857" s="29" t="str">
        <f t="shared" si="938"/>
        <v>NA</v>
      </c>
      <c r="AC2857" s="29" t="str">
        <f t="shared" si="939"/>
        <v>NA</v>
      </c>
      <c r="AD2857" s="29" t="str">
        <f t="shared" si="940"/>
        <v>NA</v>
      </c>
      <c r="AE2857" s="29" t="str">
        <f t="shared" si="941"/>
        <v>NA</v>
      </c>
      <c r="AF2857" s="29" t="str">
        <f t="shared" si="942"/>
        <v>NA</v>
      </c>
      <c r="AG2857" s="29" t="str">
        <f t="shared" si="943"/>
        <v>NA</v>
      </c>
      <c r="AH2857" s="29" t="str">
        <f t="shared" si="944"/>
        <v>NA</v>
      </c>
    </row>
    <row r="2858" customHeight="1" spans="1:34">
      <c r="A2858" s="12" t="s">
        <v>1043</v>
      </c>
      <c r="F2858" s="24">
        <f t="shared" si="926"/>
        <v>0</v>
      </c>
      <c r="G2858" s="24" t="e">
        <f t="shared" si="925"/>
        <v>#DIV/0!</v>
      </c>
      <c r="Q2858" s="29" t="str">
        <f t="shared" si="927"/>
        <v>NA</v>
      </c>
      <c r="R2858" s="29" t="str">
        <f t="shared" si="928"/>
        <v>NA</v>
      </c>
      <c r="S2858" s="29" t="str">
        <f t="shared" si="929"/>
        <v>NA</v>
      </c>
      <c r="T2858" s="29" t="str">
        <f t="shared" si="930"/>
        <v>NA</v>
      </c>
      <c r="U2858" s="29" t="str">
        <f t="shared" si="931"/>
        <v>NA</v>
      </c>
      <c r="V2858" s="29" t="str">
        <f t="shared" si="932"/>
        <v>NA</v>
      </c>
      <c r="W2858" s="29" t="str">
        <f t="shared" si="933"/>
        <v>NA</v>
      </c>
      <c r="X2858" s="29" t="str">
        <f t="shared" si="934"/>
        <v>NA</v>
      </c>
      <c r="Y2858" s="29" t="str">
        <f t="shared" si="935"/>
        <v>NA</v>
      </c>
      <c r="Z2858" s="29" t="str">
        <f t="shared" si="936"/>
        <v>NA</v>
      </c>
      <c r="AA2858" s="29" t="str">
        <f t="shared" si="937"/>
        <v>NA</v>
      </c>
      <c r="AB2858" s="29" t="str">
        <f t="shared" si="938"/>
        <v>NA</v>
      </c>
      <c r="AC2858" s="29" t="str">
        <f t="shared" si="939"/>
        <v>NA</v>
      </c>
      <c r="AD2858" s="29" t="str">
        <f t="shared" si="940"/>
        <v>NA</v>
      </c>
      <c r="AE2858" s="29" t="str">
        <f t="shared" si="941"/>
        <v>NA</v>
      </c>
      <c r="AF2858" s="29" t="str">
        <f t="shared" si="942"/>
        <v>NA</v>
      </c>
      <c r="AG2858" s="29" t="str">
        <f t="shared" si="943"/>
        <v>NA</v>
      </c>
      <c r="AH2858" s="29" t="str">
        <f t="shared" si="944"/>
        <v>NA</v>
      </c>
    </row>
    <row r="2859" customHeight="1" spans="1:34">
      <c r="A2859" s="12" t="s">
        <v>1043</v>
      </c>
      <c r="F2859" s="24">
        <f t="shared" si="926"/>
        <v>0</v>
      </c>
      <c r="G2859" s="24" t="e">
        <f t="shared" si="925"/>
        <v>#DIV/0!</v>
      </c>
      <c r="Q2859" s="29" t="str">
        <f t="shared" si="927"/>
        <v>NA</v>
      </c>
      <c r="R2859" s="29" t="str">
        <f t="shared" si="928"/>
        <v>NA</v>
      </c>
      <c r="S2859" s="29" t="str">
        <f t="shared" si="929"/>
        <v>NA</v>
      </c>
      <c r="T2859" s="29" t="str">
        <f t="shared" si="930"/>
        <v>NA</v>
      </c>
      <c r="U2859" s="29" t="str">
        <f t="shared" si="931"/>
        <v>NA</v>
      </c>
      <c r="V2859" s="29" t="str">
        <f t="shared" si="932"/>
        <v>NA</v>
      </c>
      <c r="W2859" s="29" t="str">
        <f t="shared" si="933"/>
        <v>NA</v>
      </c>
      <c r="X2859" s="29" t="str">
        <f t="shared" si="934"/>
        <v>NA</v>
      </c>
      <c r="Y2859" s="29" t="str">
        <f t="shared" si="935"/>
        <v>NA</v>
      </c>
      <c r="Z2859" s="29" t="str">
        <f t="shared" si="936"/>
        <v>NA</v>
      </c>
      <c r="AA2859" s="29" t="str">
        <f t="shared" si="937"/>
        <v>NA</v>
      </c>
      <c r="AB2859" s="29" t="str">
        <f t="shared" si="938"/>
        <v>NA</v>
      </c>
      <c r="AC2859" s="29" t="str">
        <f t="shared" si="939"/>
        <v>NA</v>
      </c>
      <c r="AD2859" s="29" t="str">
        <f t="shared" si="940"/>
        <v>NA</v>
      </c>
      <c r="AE2859" s="29" t="str">
        <f t="shared" si="941"/>
        <v>NA</v>
      </c>
      <c r="AF2859" s="29" t="str">
        <f t="shared" si="942"/>
        <v>NA</v>
      </c>
      <c r="AG2859" s="29" t="str">
        <f t="shared" si="943"/>
        <v>NA</v>
      </c>
      <c r="AH2859" s="29" t="str">
        <f t="shared" si="944"/>
        <v>NA</v>
      </c>
    </row>
    <row r="2860" customHeight="1" spans="1:34">
      <c r="A2860" s="12" t="s">
        <v>1043</v>
      </c>
      <c r="F2860" s="24">
        <f t="shared" si="926"/>
        <v>0</v>
      </c>
      <c r="G2860" s="24" t="e">
        <f t="shared" si="925"/>
        <v>#DIV/0!</v>
      </c>
      <c r="Q2860" s="29" t="str">
        <f t="shared" si="927"/>
        <v>NA</v>
      </c>
      <c r="R2860" s="29" t="str">
        <f t="shared" si="928"/>
        <v>NA</v>
      </c>
      <c r="S2860" s="29" t="str">
        <f t="shared" si="929"/>
        <v>NA</v>
      </c>
      <c r="T2860" s="29" t="str">
        <f t="shared" si="930"/>
        <v>NA</v>
      </c>
      <c r="U2860" s="29" t="str">
        <f t="shared" si="931"/>
        <v>NA</v>
      </c>
      <c r="V2860" s="29" t="str">
        <f t="shared" si="932"/>
        <v>NA</v>
      </c>
      <c r="W2860" s="29" t="str">
        <f t="shared" si="933"/>
        <v>NA</v>
      </c>
      <c r="X2860" s="29" t="str">
        <f t="shared" si="934"/>
        <v>NA</v>
      </c>
      <c r="Y2860" s="29" t="str">
        <f t="shared" si="935"/>
        <v>NA</v>
      </c>
      <c r="Z2860" s="29" t="str">
        <f t="shared" si="936"/>
        <v>NA</v>
      </c>
      <c r="AA2860" s="29" t="str">
        <f t="shared" si="937"/>
        <v>NA</v>
      </c>
      <c r="AB2860" s="29" t="str">
        <f t="shared" si="938"/>
        <v>NA</v>
      </c>
      <c r="AC2860" s="29" t="str">
        <f t="shared" si="939"/>
        <v>NA</v>
      </c>
      <c r="AD2860" s="29" t="str">
        <f t="shared" si="940"/>
        <v>NA</v>
      </c>
      <c r="AE2860" s="29" t="str">
        <f t="shared" si="941"/>
        <v>NA</v>
      </c>
      <c r="AF2860" s="29" t="str">
        <f t="shared" si="942"/>
        <v>NA</v>
      </c>
      <c r="AG2860" s="29" t="str">
        <f t="shared" si="943"/>
        <v>NA</v>
      </c>
      <c r="AH2860" s="29" t="str">
        <f t="shared" si="944"/>
        <v>NA</v>
      </c>
    </row>
    <row r="2861" customHeight="1" spans="1:34">
      <c r="A2861" s="12" t="s">
        <v>1043</v>
      </c>
      <c r="F2861" s="24">
        <f t="shared" si="926"/>
        <v>0</v>
      </c>
      <c r="G2861" s="24" t="e">
        <f t="shared" si="925"/>
        <v>#DIV/0!</v>
      </c>
      <c r="Q2861" s="29" t="str">
        <f t="shared" si="927"/>
        <v>NA</v>
      </c>
      <c r="R2861" s="29" t="str">
        <f t="shared" si="928"/>
        <v>NA</v>
      </c>
      <c r="S2861" s="29" t="str">
        <f t="shared" si="929"/>
        <v>NA</v>
      </c>
      <c r="T2861" s="29" t="str">
        <f t="shared" si="930"/>
        <v>NA</v>
      </c>
      <c r="U2861" s="29" t="str">
        <f t="shared" si="931"/>
        <v>NA</v>
      </c>
      <c r="V2861" s="29" t="str">
        <f t="shared" si="932"/>
        <v>NA</v>
      </c>
      <c r="W2861" s="29" t="str">
        <f t="shared" si="933"/>
        <v>NA</v>
      </c>
      <c r="X2861" s="29" t="str">
        <f t="shared" si="934"/>
        <v>NA</v>
      </c>
      <c r="Y2861" s="29" t="str">
        <f t="shared" si="935"/>
        <v>NA</v>
      </c>
      <c r="Z2861" s="29" t="str">
        <f t="shared" si="936"/>
        <v>NA</v>
      </c>
      <c r="AA2861" s="29" t="str">
        <f t="shared" si="937"/>
        <v>NA</v>
      </c>
      <c r="AB2861" s="29" t="str">
        <f t="shared" si="938"/>
        <v>NA</v>
      </c>
      <c r="AC2861" s="29" t="str">
        <f t="shared" si="939"/>
        <v>NA</v>
      </c>
      <c r="AD2861" s="29" t="str">
        <f t="shared" si="940"/>
        <v>NA</v>
      </c>
      <c r="AE2861" s="29" t="str">
        <f t="shared" si="941"/>
        <v>NA</v>
      </c>
      <c r="AF2861" s="29" t="str">
        <f t="shared" si="942"/>
        <v>NA</v>
      </c>
      <c r="AG2861" s="29" t="str">
        <f t="shared" si="943"/>
        <v>NA</v>
      </c>
      <c r="AH2861" s="29" t="str">
        <f t="shared" si="944"/>
        <v>NA</v>
      </c>
    </row>
    <row r="2862" customHeight="1" spans="1:34">
      <c r="A2862" s="12" t="s">
        <v>1043</v>
      </c>
      <c r="F2862" s="24">
        <f t="shared" si="926"/>
        <v>0</v>
      </c>
      <c r="G2862" s="24" t="e">
        <f t="shared" si="925"/>
        <v>#DIV/0!</v>
      </c>
      <c r="Q2862" s="29" t="str">
        <f t="shared" si="927"/>
        <v>NA</v>
      </c>
      <c r="R2862" s="29" t="str">
        <f t="shared" si="928"/>
        <v>NA</v>
      </c>
      <c r="S2862" s="29" t="str">
        <f t="shared" si="929"/>
        <v>NA</v>
      </c>
      <c r="T2862" s="29" t="str">
        <f t="shared" si="930"/>
        <v>NA</v>
      </c>
      <c r="U2862" s="29" t="str">
        <f t="shared" si="931"/>
        <v>NA</v>
      </c>
      <c r="V2862" s="29" t="str">
        <f t="shared" si="932"/>
        <v>NA</v>
      </c>
      <c r="W2862" s="29" t="str">
        <f t="shared" si="933"/>
        <v>NA</v>
      </c>
      <c r="X2862" s="29" t="str">
        <f t="shared" si="934"/>
        <v>NA</v>
      </c>
      <c r="Y2862" s="29" t="str">
        <f t="shared" si="935"/>
        <v>NA</v>
      </c>
      <c r="Z2862" s="29" t="str">
        <f t="shared" si="936"/>
        <v>NA</v>
      </c>
      <c r="AA2862" s="29" t="str">
        <f t="shared" si="937"/>
        <v>NA</v>
      </c>
      <c r="AB2862" s="29" t="str">
        <f t="shared" si="938"/>
        <v>NA</v>
      </c>
      <c r="AC2862" s="29" t="str">
        <f t="shared" si="939"/>
        <v>NA</v>
      </c>
      <c r="AD2862" s="29" t="str">
        <f t="shared" si="940"/>
        <v>NA</v>
      </c>
      <c r="AE2862" s="29" t="str">
        <f t="shared" si="941"/>
        <v>NA</v>
      </c>
      <c r="AF2862" s="29" t="str">
        <f t="shared" si="942"/>
        <v>NA</v>
      </c>
      <c r="AG2862" s="29" t="str">
        <f t="shared" si="943"/>
        <v>NA</v>
      </c>
      <c r="AH2862" s="29" t="str">
        <f t="shared" si="944"/>
        <v>NA</v>
      </c>
    </row>
    <row r="2863" customHeight="1" spans="1:34">
      <c r="A2863" s="12" t="s">
        <v>1043</v>
      </c>
      <c r="F2863" s="24">
        <f t="shared" si="926"/>
        <v>0</v>
      </c>
      <c r="G2863" s="24" t="e">
        <f t="shared" si="925"/>
        <v>#DIV/0!</v>
      </c>
      <c r="Q2863" s="29" t="str">
        <f t="shared" si="927"/>
        <v>NA</v>
      </c>
      <c r="R2863" s="29" t="str">
        <f t="shared" si="928"/>
        <v>NA</v>
      </c>
      <c r="S2863" s="29" t="str">
        <f t="shared" si="929"/>
        <v>NA</v>
      </c>
      <c r="T2863" s="29" t="str">
        <f t="shared" si="930"/>
        <v>NA</v>
      </c>
      <c r="U2863" s="29" t="str">
        <f t="shared" si="931"/>
        <v>NA</v>
      </c>
      <c r="V2863" s="29" t="str">
        <f t="shared" si="932"/>
        <v>NA</v>
      </c>
      <c r="W2863" s="29" t="str">
        <f t="shared" si="933"/>
        <v>NA</v>
      </c>
      <c r="X2863" s="29" t="str">
        <f t="shared" si="934"/>
        <v>NA</v>
      </c>
      <c r="Y2863" s="29" t="str">
        <f t="shared" si="935"/>
        <v>NA</v>
      </c>
      <c r="Z2863" s="29" t="str">
        <f t="shared" si="936"/>
        <v>NA</v>
      </c>
      <c r="AA2863" s="29" t="str">
        <f t="shared" si="937"/>
        <v>NA</v>
      </c>
      <c r="AB2863" s="29" t="str">
        <f t="shared" si="938"/>
        <v>NA</v>
      </c>
      <c r="AC2863" s="29" t="str">
        <f t="shared" si="939"/>
        <v>NA</v>
      </c>
      <c r="AD2863" s="29" t="str">
        <f t="shared" si="940"/>
        <v>NA</v>
      </c>
      <c r="AE2863" s="29" t="str">
        <f t="shared" si="941"/>
        <v>NA</v>
      </c>
      <c r="AF2863" s="29" t="str">
        <f t="shared" si="942"/>
        <v>NA</v>
      </c>
      <c r="AG2863" s="29" t="str">
        <f t="shared" si="943"/>
        <v>NA</v>
      </c>
      <c r="AH2863" s="29" t="str">
        <f t="shared" si="944"/>
        <v>NA</v>
      </c>
    </row>
    <row r="2864" customHeight="1" spans="1:34">
      <c r="A2864" s="12" t="s">
        <v>1043</v>
      </c>
      <c r="F2864" s="24">
        <f t="shared" si="926"/>
        <v>0</v>
      </c>
      <c r="G2864" s="24" t="e">
        <f t="shared" si="925"/>
        <v>#DIV/0!</v>
      </c>
      <c r="Q2864" s="29" t="str">
        <f t="shared" si="927"/>
        <v>NA</v>
      </c>
      <c r="R2864" s="29" t="str">
        <f t="shared" si="928"/>
        <v>NA</v>
      </c>
      <c r="S2864" s="29" t="str">
        <f t="shared" si="929"/>
        <v>NA</v>
      </c>
      <c r="T2864" s="29" t="str">
        <f t="shared" si="930"/>
        <v>NA</v>
      </c>
      <c r="U2864" s="29" t="str">
        <f t="shared" si="931"/>
        <v>NA</v>
      </c>
      <c r="V2864" s="29" t="str">
        <f t="shared" si="932"/>
        <v>NA</v>
      </c>
      <c r="W2864" s="29" t="str">
        <f t="shared" si="933"/>
        <v>NA</v>
      </c>
      <c r="X2864" s="29" t="str">
        <f t="shared" si="934"/>
        <v>NA</v>
      </c>
      <c r="Y2864" s="29" t="str">
        <f t="shared" si="935"/>
        <v>NA</v>
      </c>
      <c r="Z2864" s="29" t="str">
        <f t="shared" si="936"/>
        <v>NA</v>
      </c>
      <c r="AA2864" s="29" t="str">
        <f t="shared" si="937"/>
        <v>NA</v>
      </c>
      <c r="AB2864" s="29" t="str">
        <f t="shared" si="938"/>
        <v>NA</v>
      </c>
      <c r="AC2864" s="29" t="str">
        <f t="shared" si="939"/>
        <v>NA</v>
      </c>
      <c r="AD2864" s="29" t="str">
        <f t="shared" si="940"/>
        <v>NA</v>
      </c>
      <c r="AE2864" s="29" t="str">
        <f t="shared" si="941"/>
        <v>NA</v>
      </c>
      <c r="AF2864" s="29" t="str">
        <f t="shared" si="942"/>
        <v>NA</v>
      </c>
      <c r="AG2864" s="29" t="str">
        <f t="shared" si="943"/>
        <v>NA</v>
      </c>
      <c r="AH2864" s="29" t="str">
        <f t="shared" si="944"/>
        <v>NA</v>
      </c>
    </row>
    <row r="2865" customHeight="1" spans="1:34">
      <c r="A2865" s="12" t="s">
        <v>1043</v>
      </c>
      <c r="F2865" s="24">
        <f t="shared" si="926"/>
        <v>0</v>
      </c>
      <c r="G2865" s="24" t="e">
        <f t="shared" si="925"/>
        <v>#DIV/0!</v>
      </c>
      <c r="Q2865" s="29" t="str">
        <f t="shared" si="927"/>
        <v>NA</v>
      </c>
      <c r="R2865" s="29" t="str">
        <f t="shared" si="928"/>
        <v>NA</v>
      </c>
      <c r="S2865" s="29" t="str">
        <f t="shared" si="929"/>
        <v>NA</v>
      </c>
      <c r="T2865" s="29" t="str">
        <f t="shared" si="930"/>
        <v>NA</v>
      </c>
      <c r="U2865" s="29" t="str">
        <f t="shared" si="931"/>
        <v>NA</v>
      </c>
      <c r="V2865" s="29" t="str">
        <f t="shared" si="932"/>
        <v>NA</v>
      </c>
      <c r="W2865" s="29" t="str">
        <f t="shared" si="933"/>
        <v>NA</v>
      </c>
      <c r="X2865" s="29" t="str">
        <f t="shared" si="934"/>
        <v>NA</v>
      </c>
      <c r="Y2865" s="29" t="str">
        <f t="shared" si="935"/>
        <v>NA</v>
      </c>
      <c r="Z2865" s="29" t="str">
        <f t="shared" si="936"/>
        <v>NA</v>
      </c>
      <c r="AA2865" s="29" t="str">
        <f t="shared" si="937"/>
        <v>NA</v>
      </c>
      <c r="AB2865" s="29" t="str">
        <f t="shared" si="938"/>
        <v>NA</v>
      </c>
      <c r="AC2865" s="29" t="str">
        <f t="shared" si="939"/>
        <v>NA</v>
      </c>
      <c r="AD2865" s="29" t="str">
        <f t="shared" si="940"/>
        <v>NA</v>
      </c>
      <c r="AE2865" s="29" t="str">
        <f t="shared" si="941"/>
        <v>NA</v>
      </c>
      <c r="AF2865" s="29" t="str">
        <f t="shared" si="942"/>
        <v>NA</v>
      </c>
      <c r="AG2865" s="29" t="str">
        <f t="shared" si="943"/>
        <v>NA</v>
      </c>
      <c r="AH2865" s="29" t="str">
        <f t="shared" si="944"/>
        <v>NA</v>
      </c>
    </row>
    <row r="2866" customHeight="1" spans="1:34">
      <c r="A2866" s="12" t="s">
        <v>1043</v>
      </c>
      <c r="F2866" s="24">
        <f t="shared" si="926"/>
        <v>0</v>
      </c>
      <c r="G2866" s="24" t="e">
        <f t="shared" si="925"/>
        <v>#DIV/0!</v>
      </c>
      <c r="Q2866" s="29" t="str">
        <f t="shared" si="927"/>
        <v>NA</v>
      </c>
      <c r="R2866" s="29" t="str">
        <f t="shared" si="928"/>
        <v>NA</v>
      </c>
      <c r="S2866" s="29" t="str">
        <f t="shared" si="929"/>
        <v>NA</v>
      </c>
      <c r="T2866" s="29" t="str">
        <f t="shared" si="930"/>
        <v>NA</v>
      </c>
      <c r="U2866" s="29" t="str">
        <f t="shared" si="931"/>
        <v>NA</v>
      </c>
      <c r="V2866" s="29" t="str">
        <f t="shared" si="932"/>
        <v>NA</v>
      </c>
      <c r="W2866" s="29" t="str">
        <f t="shared" si="933"/>
        <v>NA</v>
      </c>
      <c r="X2866" s="29" t="str">
        <f t="shared" si="934"/>
        <v>NA</v>
      </c>
      <c r="Y2866" s="29" t="str">
        <f t="shared" si="935"/>
        <v>NA</v>
      </c>
      <c r="Z2866" s="29" t="str">
        <f t="shared" si="936"/>
        <v>NA</v>
      </c>
      <c r="AA2866" s="29" t="str">
        <f t="shared" si="937"/>
        <v>NA</v>
      </c>
      <c r="AB2866" s="29" t="str">
        <f t="shared" si="938"/>
        <v>NA</v>
      </c>
      <c r="AC2866" s="29" t="str">
        <f t="shared" si="939"/>
        <v>NA</v>
      </c>
      <c r="AD2866" s="29" t="str">
        <f t="shared" si="940"/>
        <v>NA</v>
      </c>
      <c r="AE2866" s="29" t="str">
        <f t="shared" si="941"/>
        <v>NA</v>
      </c>
      <c r="AF2866" s="29" t="str">
        <f t="shared" si="942"/>
        <v>NA</v>
      </c>
      <c r="AG2866" s="29" t="str">
        <f t="shared" si="943"/>
        <v>NA</v>
      </c>
      <c r="AH2866" s="29" t="str">
        <f t="shared" si="944"/>
        <v>NA</v>
      </c>
    </row>
    <row r="2867" customHeight="1" spans="1:34">
      <c r="A2867" s="12" t="s">
        <v>1043</v>
      </c>
      <c r="F2867" s="24">
        <f t="shared" si="926"/>
        <v>0</v>
      </c>
      <c r="G2867" s="24" t="e">
        <f t="shared" si="925"/>
        <v>#DIV/0!</v>
      </c>
      <c r="Q2867" s="29" t="str">
        <f t="shared" si="927"/>
        <v>NA</v>
      </c>
      <c r="R2867" s="29" t="str">
        <f t="shared" si="928"/>
        <v>NA</v>
      </c>
      <c r="S2867" s="29" t="str">
        <f t="shared" si="929"/>
        <v>NA</v>
      </c>
      <c r="T2867" s="29" t="str">
        <f t="shared" si="930"/>
        <v>NA</v>
      </c>
      <c r="U2867" s="29" t="str">
        <f t="shared" si="931"/>
        <v>NA</v>
      </c>
      <c r="V2867" s="29" t="str">
        <f t="shared" si="932"/>
        <v>NA</v>
      </c>
      <c r="W2867" s="29" t="str">
        <f t="shared" si="933"/>
        <v>NA</v>
      </c>
      <c r="X2867" s="29" t="str">
        <f t="shared" si="934"/>
        <v>NA</v>
      </c>
      <c r="Y2867" s="29" t="str">
        <f t="shared" si="935"/>
        <v>NA</v>
      </c>
      <c r="Z2867" s="29" t="str">
        <f t="shared" si="936"/>
        <v>NA</v>
      </c>
      <c r="AA2867" s="29" t="str">
        <f t="shared" si="937"/>
        <v>NA</v>
      </c>
      <c r="AB2867" s="29" t="str">
        <f t="shared" si="938"/>
        <v>NA</v>
      </c>
      <c r="AC2867" s="29" t="str">
        <f t="shared" si="939"/>
        <v>NA</v>
      </c>
      <c r="AD2867" s="29" t="str">
        <f t="shared" si="940"/>
        <v>NA</v>
      </c>
      <c r="AE2867" s="29" t="str">
        <f t="shared" si="941"/>
        <v>NA</v>
      </c>
      <c r="AF2867" s="29" t="str">
        <f t="shared" si="942"/>
        <v>NA</v>
      </c>
      <c r="AG2867" s="29" t="str">
        <f t="shared" si="943"/>
        <v>NA</v>
      </c>
      <c r="AH2867" s="29" t="str">
        <f t="shared" si="944"/>
        <v>NA</v>
      </c>
    </row>
    <row r="2868" customHeight="1" spans="1:34">
      <c r="A2868" s="12" t="s">
        <v>1043</v>
      </c>
      <c r="F2868" s="24">
        <f t="shared" si="926"/>
        <v>0</v>
      </c>
      <c r="G2868" s="24" t="e">
        <f t="shared" si="925"/>
        <v>#DIV/0!</v>
      </c>
      <c r="Q2868" s="29" t="str">
        <f t="shared" si="927"/>
        <v>NA</v>
      </c>
      <c r="R2868" s="29" t="str">
        <f t="shared" si="928"/>
        <v>NA</v>
      </c>
      <c r="S2868" s="29" t="str">
        <f t="shared" si="929"/>
        <v>NA</v>
      </c>
      <c r="T2868" s="29" t="str">
        <f t="shared" si="930"/>
        <v>NA</v>
      </c>
      <c r="U2868" s="29" t="str">
        <f t="shared" si="931"/>
        <v>NA</v>
      </c>
      <c r="V2868" s="29" t="str">
        <f t="shared" si="932"/>
        <v>NA</v>
      </c>
      <c r="W2868" s="29" t="str">
        <f t="shared" si="933"/>
        <v>NA</v>
      </c>
      <c r="X2868" s="29" t="str">
        <f t="shared" si="934"/>
        <v>NA</v>
      </c>
      <c r="Y2868" s="29" t="str">
        <f t="shared" si="935"/>
        <v>NA</v>
      </c>
      <c r="Z2868" s="29" t="str">
        <f t="shared" si="936"/>
        <v>NA</v>
      </c>
      <c r="AA2868" s="29" t="str">
        <f t="shared" si="937"/>
        <v>NA</v>
      </c>
      <c r="AB2868" s="29" t="str">
        <f t="shared" si="938"/>
        <v>NA</v>
      </c>
      <c r="AC2868" s="29" t="str">
        <f t="shared" si="939"/>
        <v>NA</v>
      </c>
      <c r="AD2868" s="29" t="str">
        <f t="shared" si="940"/>
        <v>NA</v>
      </c>
      <c r="AE2868" s="29" t="str">
        <f t="shared" si="941"/>
        <v>NA</v>
      </c>
      <c r="AF2868" s="29" t="str">
        <f t="shared" si="942"/>
        <v>NA</v>
      </c>
      <c r="AG2868" s="29" t="str">
        <f t="shared" si="943"/>
        <v>NA</v>
      </c>
      <c r="AH2868" s="29" t="str">
        <f t="shared" si="944"/>
        <v>NA</v>
      </c>
    </row>
    <row r="2869" customHeight="1" spans="1:34">
      <c r="A2869" s="12" t="s">
        <v>1043</v>
      </c>
      <c r="F2869" s="24">
        <f t="shared" si="926"/>
        <v>0</v>
      </c>
      <c r="G2869" s="24" t="e">
        <f t="shared" si="925"/>
        <v>#DIV/0!</v>
      </c>
      <c r="Q2869" s="29" t="str">
        <f t="shared" si="927"/>
        <v>NA</v>
      </c>
      <c r="R2869" s="29" t="str">
        <f t="shared" si="928"/>
        <v>NA</v>
      </c>
      <c r="S2869" s="29" t="str">
        <f t="shared" si="929"/>
        <v>NA</v>
      </c>
      <c r="T2869" s="29" t="str">
        <f t="shared" si="930"/>
        <v>NA</v>
      </c>
      <c r="U2869" s="29" t="str">
        <f t="shared" si="931"/>
        <v>NA</v>
      </c>
      <c r="V2869" s="29" t="str">
        <f t="shared" si="932"/>
        <v>NA</v>
      </c>
      <c r="W2869" s="29" t="str">
        <f t="shared" si="933"/>
        <v>NA</v>
      </c>
      <c r="X2869" s="29" t="str">
        <f t="shared" si="934"/>
        <v>NA</v>
      </c>
      <c r="Y2869" s="29" t="str">
        <f t="shared" si="935"/>
        <v>NA</v>
      </c>
      <c r="Z2869" s="29" t="str">
        <f t="shared" si="936"/>
        <v>NA</v>
      </c>
      <c r="AA2869" s="29" t="str">
        <f t="shared" si="937"/>
        <v>NA</v>
      </c>
      <c r="AB2869" s="29" t="str">
        <f t="shared" si="938"/>
        <v>NA</v>
      </c>
      <c r="AC2869" s="29" t="str">
        <f t="shared" si="939"/>
        <v>NA</v>
      </c>
      <c r="AD2869" s="29" t="str">
        <f t="shared" si="940"/>
        <v>NA</v>
      </c>
      <c r="AE2869" s="29" t="str">
        <f t="shared" si="941"/>
        <v>NA</v>
      </c>
      <c r="AF2869" s="29" t="str">
        <f t="shared" si="942"/>
        <v>NA</v>
      </c>
      <c r="AG2869" s="29" t="str">
        <f t="shared" si="943"/>
        <v>NA</v>
      </c>
      <c r="AH2869" s="29" t="str">
        <f t="shared" si="944"/>
        <v>NA</v>
      </c>
    </row>
    <row r="2870" customHeight="1" spans="1:34">
      <c r="A2870" s="12" t="s">
        <v>1043</v>
      </c>
      <c r="F2870" s="24">
        <f t="shared" si="926"/>
        <v>0</v>
      </c>
      <c r="G2870" s="24" t="e">
        <f t="shared" si="925"/>
        <v>#DIV/0!</v>
      </c>
      <c r="Q2870" s="29" t="str">
        <f t="shared" si="927"/>
        <v>NA</v>
      </c>
      <c r="R2870" s="29" t="str">
        <f t="shared" si="928"/>
        <v>NA</v>
      </c>
      <c r="S2870" s="29" t="str">
        <f t="shared" si="929"/>
        <v>NA</v>
      </c>
      <c r="T2870" s="29" t="str">
        <f t="shared" si="930"/>
        <v>NA</v>
      </c>
      <c r="U2870" s="29" t="str">
        <f t="shared" si="931"/>
        <v>NA</v>
      </c>
      <c r="V2870" s="29" t="str">
        <f t="shared" si="932"/>
        <v>NA</v>
      </c>
      <c r="W2870" s="29" t="str">
        <f t="shared" si="933"/>
        <v>NA</v>
      </c>
      <c r="X2870" s="29" t="str">
        <f t="shared" si="934"/>
        <v>NA</v>
      </c>
      <c r="Y2870" s="29" t="str">
        <f t="shared" si="935"/>
        <v>NA</v>
      </c>
      <c r="Z2870" s="29" t="str">
        <f t="shared" si="936"/>
        <v>NA</v>
      </c>
      <c r="AA2870" s="29" t="str">
        <f t="shared" si="937"/>
        <v>NA</v>
      </c>
      <c r="AB2870" s="29" t="str">
        <f t="shared" si="938"/>
        <v>NA</v>
      </c>
      <c r="AC2870" s="29" t="str">
        <f t="shared" si="939"/>
        <v>NA</v>
      </c>
      <c r="AD2870" s="29" t="str">
        <f t="shared" si="940"/>
        <v>NA</v>
      </c>
      <c r="AE2870" s="29" t="str">
        <f t="shared" si="941"/>
        <v>NA</v>
      </c>
      <c r="AF2870" s="29" t="str">
        <f t="shared" si="942"/>
        <v>NA</v>
      </c>
      <c r="AG2870" s="29" t="str">
        <f t="shared" si="943"/>
        <v>NA</v>
      </c>
      <c r="AH2870" s="29" t="str">
        <f t="shared" si="944"/>
        <v>NA</v>
      </c>
    </row>
    <row r="2871" customHeight="1" spans="1:34">
      <c r="A2871" s="12" t="s">
        <v>1043</v>
      </c>
      <c r="F2871" s="24">
        <f t="shared" si="926"/>
        <v>0</v>
      </c>
      <c r="G2871" s="24" t="e">
        <f t="shared" si="925"/>
        <v>#DIV/0!</v>
      </c>
      <c r="Q2871" s="29" t="str">
        <f t="shared" si="927"/>
        <v>NA</v>
      </c>
      <c r="R2871" s="29" t="str">
        <f t="shared" si="928"/>
        <v>NA</v>
      </c>
      <c r="S2871" s="29" t="str">
        <f t="shared" si="929"/>
        <v>NA</v>
      </c>
      <c r="T2871" s="29" t="str">
        <f t="shared" si="930"/>
        <v>NA</v>
      </c>
      <c r="U2871" s="29" t="str">
        <f t="shared" si="931"/>
        <v>NA</v>
      </c>
      <c r="V2871" s="29" t="str">
        <f t="shared" si="932"/>
        <v>NA</v>
      </c>
      <c r="W2871" s="29" t="str">
        <f t="shared" si="933"/>
        <v>NA</v>
      </c>
      <c r="X2871" s="29" t="str">
        <f t="shared" si="934"/>
        <v>NA</v>
      </c>
      <c r="Y2871" s="29" t="str">
        <f t="shared" si="935"/>
        <v>NA</v>
      </c>
      <c r="Z2871" s="29" t="str">
        <f t="shared" si="936"/>
        <v>NA</v>
      </c>
      <c r="AA2871" s="29" t="str">
        <f t="shared" si="937"/>
        <v>NA</v>
      </c>
      <c r="AB2871" s="29" t="str">
        <f t="shared" si="938"/>
        <v>NA</v>
      </c>
      <c r="AC2871" s="29" t="str">
        <f t="shared" si="939"/>
        <v>NA</v>
      </c>
      <c r="AD2871" s="29" t="str">
        <f t="shared" si="940"/>
        <v>NA</v>
      </c>
      <c r="AE2871" s="29" t="str">
        <f t="shared" si="941"/>
        <v>NA</v>
      </c>
      <c r="AF2871" s="29" t="str">
        <f t="shared" si="942"/>
        <v>NA</v>
      </c>
      <c r="AG2871" s="29" t="str">
        <f t="shared" si="943"/>
        <v>NA</v>
      </c>
      <c r="AH2871" s="29" t="str">
        <f t="shared" si="944"/>
        <v>NA</v>
      </c>
    </row>
    <row r="2872" customHeight="1" spans="1:34">
      <c r="A2872" s="12" t="s">
        <v>1043</v>
      </c>
      <c r="F2872" s="24">
        <f t="shared" si="926"/>
        <v>0</v>
      </c>
      <c r="G2872" s="24" t="e">
        <f t="shared" si="925"/>
        <v>#DIV/0!</v>
      </c>
      <c r="Q2872" s="29" t="str">
        <f t="shared" si="927"/>
        <v>NA</v>
      </c>
      <c r="R2872" s="29" t="str">
        <f t="shared" si="928"/>
        <v>NA</v>
      </c>
      <c r="S2872" s="29" t="str">
        <f t="shared" si="929"/>
        <v>NA</v>
      </c>
      <c r="T2872" s="29" t="str">
        <f t="shared" si="930"/>
        <v>NA</v>
      </c>
      <c r="U2872" s="29" t="str">
        <f t="shared" si="931"/>
        <v>NA</v>
      </c>
      <c r="V2872" s="29" t="str">
        <f t="shared" si="932"/>
        <v>NA</v>
      </c>
      <c r="W2872" s="29" t="str">
        <f t="shared" si="933"/>
        <v>NA</v>
      </c>
      <c r="X2872" s="29" t="str">
        <f t="shared" si="934"/>
        <v>NA</v>
      </c>
      <c r="Y2872" s="29" t="str">
        <f t="shared" si="935"/>
        <v>NA</v>
      </c>
      <c r="Z2872" s="29" t="str">
        <f t="shared" si="936"/>
        <v>NA</v>
      </c>
      <c r="AA2872" s="29" t="str">
        <f t="shared" si="937"/>
        <v>NA</v>
      </c>
      <c r="AB2872" s="29" t="str">
        <f t="shared" si="938"/>
        <v>NA</v>
      </c>
      <c r="AC2872" s="29" t="str">
        <f t="shared" si="939"/>
        <v>NA</v>
      </c>
      <c r="AD2872" s="29" t="str">
        <f t="shared" si="940"/>
        <v>NA</v>
      </c>
      <c r="AE2872" s="29" t="str">
        <f t="shared" si="941"/>
        <v>NA</v>
      </c>
      <c r="AF2872" s="29" t="str">
        <f t="shared" si="942"/>
        <v>NA</v>
      </c>
      <c r="AG2872" s="29" t="str">
        <f t="shared" si="943"/>
        <v>NA</v>
      </c>
      <c r="AH2872" s="29" t="str">
        <f t="shared" si="944"/>
        <v>NA</v>
      </c>
    </row>
    <row r="2873" customHeight="1" spans="1:34">
      <c r="A2873" s="12" t="s">
        <v>1043</v>
      </c>
      <c r="F2873" s="24">
        <f t="shared" si="926"/>
        <v>0</v>
      </c>
      <c r="G2873" s="24" t="e">
        <f t="shared" si="925"/>
        <v>#DIV/0!</v>
      </c>
      <c r="Q2873" s="29" t="str">
        <f t="shared" si="927"/>
        <v>NA</v>
      </c>
      <c r="R2873" s="29" t="str">
        <f t="shared" si="928"/>
        <v>NA</v>
      </c>
      <c r="S2873" s="29" t="str">
        <f t="shared" si="929"/>
        <v>NA</v>
      </c>
      <c r="T2873" s="29" t="str">
        <f t="shared" si="930"/>
        <v>NA</v>
      </c>
      <c r="U2873" s="29" t="str">
        <f t="shared" si="931"/>
        <v>NA</v>
      </c>
      <c r="V2873" s="29" t="str">
        <f t="shared" si="932"/>
        <v>NA</v>
      </c>
      <c r="W2873" s="29" t="str">
        <f t="shared" si="933"/>
        <v>NA</v>
      </c>
      <c r="X2873" s="29" t="str">
        <f t="shared" si="934"/>
        <v>NA</v>
      </c>
      <c r="Y2873" s="29" t="str">
        <f t="shared" si="935"/>
        <v>NA</v>
      </c>
      <c r="Z2873" s="29" t="str">
        <f t="shared" si="936"/>
        <v>NA</v>
      </c>
      <c r="AA2873" s="29" t="str">
        <f t="shared" si="937"/>
        <v>NA</v>
      </c>
      <c r="AB2873" s="29" t="str">
        <f t="shared" si="938"/>
        <v>NA</v>
      </c>
      <c r="AC2873" s="29" t="str">
        <f t="shared" si="939"/>
        <v>NA</v>
      </c>
      <c r="AD2873" s="29" t="str">
        <f t="shared" si="940"/>
        <v>NA</v>
      </c>
      <c r="AE2873" s="29" t="str">
        <f t="shared" si="941"/>
        <v>NA</v>
      </c>
      <c r="AF2873" s="29" t="str">
        <f t="shared" si="942"/>
        <v>NA</v>
      </c>
      <c r="AG2873" s="29" t="str">
        <f t="shared" si="943"/>
        <v>NA</v>
      </c>
      <c r="AH2873" s="29" t="str">
        <f t="shared" si="944"/>
        <v>NA</v>
      </c>
    </row>
    <row r="2874" customHeight="1" spans="1:34">
      <c r="A2874" s="12" t="s">
        <v>1043</v>
      </c>
      <c r="F2874" s="24">
        <f t="shared" si="926"/>
        <v>0</v>
      </c>
      <c r="G2874" s="24" t="e">
        <f t="shared" si="925"/>
        <v>#DIV/0!</v>
      </c>
      <c r="Q2874" s="29" t="str">
        <f t="shared" si="927"/>
        <v>NA</v>
      </c>
      <c r="R2874" s="29" t="str">
        <f t="shared" si="928"/>
        <v>NA</v>
      </c>
      <c r="S2874" s="29" t="str">
        <f t="shared" si="929"/>
        <v>NA</v>
      </c>
      <c r="T2874" s="29" t="str">
        <f t="shared" si="930"/>
        <v>NA</v>
      </c>
      <c r="U2874" s="29" t="str">
        <f t="shared" si="931"/>
        <v>NA</v>
      </c>
      <c r="V2874" s="29" t="str">
        <f t="shared" si="932"/>
        <v>NA</v>
      </c>
      <c r="W2874" s="29" t="str">
        <f t="shared" si="933"/>
        <v>NA</v>
      </c>
      <c r="X2874" s="29" t="str">
        <f t="shared" si="934"/>
        <v>NA</v>
      </c>
      <c r="Y2874" s="29" t="str">
        <f t="shared" si="935"/>
        <v>NA</v>
      </c>
      <c r="Z2874" s="29" t="str">
        <f t="shared" si="936"/>
        <v>NA</v>
      </c>
      <c r="AA2874" s="29" t="str">
        <f t="shared" si="937"/>
        <v>NA</v>
      </c>
      <c r="AB2874" s="29" t="str">
        <f t="shared" si="938"/>
        <v>NA</v>
      </c>
      <c r="AC2874" s="29" t="str">
        <f t="shared" si="939"/>
        <v>NA</v>
      </c>
      <c r="AD2874" s="29" t="str">
        <f t="shared" si="940"/>
        <v>NA</v>
      </c>
      <c r="AE2874" s="29" t="str">
        <f t="shared" si="941"/>
        <v>NA</v>
      </c>
      <c r="AF2874" s="29" t="str">
        <f t="shared" si="942"/>
        <v>NA</v>
      </c>
      <c r="AG2874" s="29" t="str">
        <f t="shared" si="943"/>
        <v>NA</v>
      </c>
      <c r="AH2874" s="29" t="str">
        <f t="shared" si="944"/>
        <v>NA</v>
      </c>
    </row>
    <row r="2875" customHeight="1" spans="1:34">
      <c r="A2875" s="12" t="s">
        <v>1043</v>
      </c>
      <c r="F2875" s="24">
        <f t="shared" si="926"/>
        <v>0</v>
      </c>
      <c r="G2875" s="24" t="e">
        <f t="shared" si="925"/>
        <v>#DIV/0!</v>
      </c>
      <c r="Q2875" s="29" t="str">
        <f t="shared" si="927"/>
        <v>NA</v>
      </c>
      <c r="R2875" s="29" t="str">
        <f t="shared" si="928"/>
        <v>NA</v>
      </c>
      <c r="S2875" s="29" t="str">
        <f t="shared" si="929"/>
        <v>NA</v>
      </c>
      <c r="T2875" s="29" t="str">
        <f t="shared" si="930"/>
        <v>NA</v>
      </c>
      <c r="U2875" s="29" t="str">
        <f t="shared" si="931"/>
        <v>NA</v>
      </c>
      <c r="V2875" s="29" t="str">
        <f t="shared" si="932"/>
        <v>NA</v>
      </c>
      <c r="W2875" s="29" t="str">
        <f t="shared" si="933"/>
        <v>NA</v>
      </c>
      <c r="X2875" s="29" t="str">
        <f t="shared" si="934"/>
        <v>NA</v>
      </c>
      <c r="Y2875" s="29" t="str">
        <f t="shared" si="935"/>
        <v>NA</v>
      </c>
      <c r="Z2875" s="29" t="str">
        <f t="shared" si="936"/>
        <v>NA</v>
      </c>
      <c r="AA2875" s="29" t="str">
        <f t="shared" si="937"/>
        <v>NA</v>
      </c>
      <c r="AB2875" s="29" t="str">
        <f t="shared" si="938"/>
        <v>NA</v>
      </c>
      <c r="AC2875" s="29" t="str">
        <f t="shared" si="939"/>
        <v>NA</v>
      </c>
      <c r="AD2875" s="29" t="str">
        <f t="shared" si="940"/>
        <v>NA</v>
      </c>
      <c r="AE2875" s="29" t="str">
        <f t="shared" si="941"/>
        <v>NA</v>
      </c>
      <c r="AF2875" s="29" t="str">
        <f t="shared" si="942"/>
        <v>NA</v>
      </c>
      <c r="AG2875" s="29" t="str">
        <f t="shared" si="943"/>
        <v>NA</v>
      </c>
      <c r="AH2875" s="29" t="str">
        <f t="shared" si="944"/>
        <v>NA</v>
      </c>
    </row>
    <row r="2876" customHeight="1" spans="1:34">
      <c r="A2876" s="12" t="s">
        <v>1043</v>
      </c>
      <c r="F2876" s="24">
        <f t="shared" si="926"/>
        <v>0</v>
      </c>
      <c r="G2876" s="24" t="e">
        <f t="shared" si="925"/>
        <v>#DIV/0!</v>
      </c>
      <c r="Q2876" s="29" t="str">
        <f t="shared" si="927"/>
        <v>NA</v>
      </c>
      <c r="R2876" s="29" t="str">
        <f t="shared" si="928"/>
        <v>NA</v>
      </c>
      <c r="S2876" s="29" t="str">
        <f t="shared" si="929"/>
        <v>NA</v>
      </c>
      <c r="T2876" s="29" t="str">
        <f t="shared" si="930"/>
        <v>NA</v>
      </c>
      <c r="U2876" s="29" t="str">
        <f t="shared" si="931"/>
        <v>NA</v>
      </c>
      <c r="V2876" s="29" t="str">
        <f t="shared" si="932"/>
        <v>NA</v>
      </c>
      <c r="W2876" s="29" t="str">
        <f t="shared" si="933"/>
        <v>NA</v>
      </c>
      <c r="X2876" s="29" t="str">
        <f t="shared" si="934"/>
        <v>NA</v>
      </c>
      <c r="Y2876" s="29" t="str">
        <f t="shared" si="935"/>
        <v>NA</v>
      </c>
      <c r="Z2876" s="29" t="str">
        <f t="shared" si="936"/>
        <v>NA</v>
      </c>
      <c r="AA2876" s="29" t="str">
        <f t="shared" si="937"/>
        <v>NA</v>
      </c>
      <c r="AB2876" s="29" t="str">
        <f t="shared" si="938"/>
        <v>NA</v>
      </c>
      <c r="AC2876" s="29" t="str">
        <f t="shared" si="939"/>
        <v>NA</v>
      </c>
      <c r="AD2876" s="29" t="str">
        <f t="shared" si="940"/>
        <v>NA</v>
      </c>
      <c r="AE2876" s="29" t="str">
        <f t="shared" si="941"/>
        <v>NA</v>
      </c>
      <c r="AF2876" s="29" t="str">
        <f t="shared" si="942"/>
        <v>NA</v>
      </c>
      <c r="AG2876" s="29" t="str">
        <f t="shared" si="943"/>
        <v>NA</v>
      </c>
      <c r="AH2876" s="29" t="str">
        <f t="shared" si="944"/>
        <v>NA</v>
      </c>
    </row>
    <row r="2877" customHeight="1" spans="1:34">
      <c r="A2877" s="12" t="s">
        <v>1043</v>
      </c>
      <c r="F2877" s="24">
        <f t="shared" si="926"/>
        <v>0</v>
      </c>
      <c r="G2877" s="24" t="e">
        <f t="shared" si="925"/>
        <v>#DIV/0!</v>
      </c>
      <c r="Q2877" s="29" t="str">
        <f t="shared" si="927"/>
        <v>NA</v>
      </c>
      <c r="R2877" s="29" t="str">
        <f t="shared" si="928"/>
        <v>NA</v>
      </c>
      <c r="S2877" s="29" t="str">
        <f t="shared" si="929"/>
        <v>NA</v>
      </c>
      <c r="T2877" s="29" t="str">
        <f t="shared" si="930"/>
        <v>NA</v>
      </c>
      <c r="U2877" s="29" t="str">
        <f t="shared" si="931"/>
        <v>NA</v>
      </c>
      <c r="V2877" s="29" t="str">
        <f t="shared" si="932"/>
        <v>NA</v>
      </c>
      <c r="W2877" s="29" t="str">
        <f t="shared" si="933"/>
        <v>NA</v>
      </c>
      <c r="X2877" s="29" t="str">
        <f t="shared" si="934"/>
        <v>NA</v>
      </c>
      <c r="Y2877" s="29" t="str">
        <f t="shared" si="935"/>
        <v>NA</v>
      </c>
      <c r="Z2877" s="29" t="str">
        <f t="shared" si="936"/>
        <v>NA</v>
      </c>
      <c r="AA2877" s="29" t="str">
        <f t="shared" si="937"/>
        <v>NA</v>
      </c>
      <c r="AB2877" s="29" t="str">
        <f t="shared" si="938"/>
        <v>NA</v>
      </c>
      <c r="AC2877" s="29" t="str">
        <f t="shared" si="939"/>
        <v>NA</v>
      </c>
      <c r="AD2877" s="29" t="str">
        <f t="shared" si="940"/>
        <v>NA</v>
      </c>
      <c r="AE2877" s="29" t="str">
        <f t="shared" si="941"/>
        <v>NA</v>
      </c>
      <c r="AF2877" s="29" t="str">
        <f t="shared" si="942"/>
        <v>NA</v>
      </c>
      <c r="AG2877" s="29" t="str">
        <f t="shared" si="943"/>
        <v>NA</v>
      </c>
      <c r="AH2877" s="29" t="str">
        <f t="shared" si="944"/>
        <v>NA</v>
      </c>
    </row>
    <row r="2878" customHeight="1" spans="1:34">
      <c r="A2878" s="12" t="s">
        <v>1043</v>
      </c>
      <c r="F2878" s="24">
        <f t="shared" si="926"/>
        <v>0</v>
      </c>
      <c r="G2878" s="24" t="e">
        <f t="shared" si="925"/>
        <v>#DIV/0!</v>
      </c>
      <c r="Q2878" s="29" t="str">
        <f t="shared" si="927"/>
        <v>NA</v>
      </c>
      <c r="R2878" s="29" t="str">
        <f t="shared" si="928"/>
        <v>NA</v>
      </c>
      <c r="S2878" s="29" t="str">
        <f t="shared" si="929"/>
        <v>NA</v>
      </c>
      <c r="T2878" s="29" t="str">
        <f t="shared" si="930"/>
        <v>NA</v>
      </c>
      <c r="U2878" s="29" t="str">
        <f t="shared" si="931"/>
        <v>NA</v>
      </c>
      <c r="V2878" s="29" t="str">
        <f t="shared" si="932"/>
        <v>NA</v>
      </c>
      <c r="W2878" s="29" t="str">
        <f t="shared" si="933"/>
        <v>NA</v>
      </c>
      <c r="X2878" s="29" t="str">
        <f t="shared" si="934"/>
        <v>NA</v>
      </c>
      <c r="Y2878" s="29" t="str">
        <f t="shared" si="935"/>
        <v>NA</v>
      </c>
      <c r="Z2878" s="29" t="str">
        <f t="shared" si="936"/>
        <v>NA</v>
      </c>
      <c r="AA2878" s="29" t="str">
        <f t="shared" si="937"/>
        <v>NA</v>
      </c>
      <c r="AB2878" s="29" t="str">
        <f t="shared" si="938"/>
        <v>NA</v>
      </c>
      <c r="AC2878" s="29" t="str">
        <f t="shared" si="939"/>
        <v>NA</v>
      </c>
      <c r="AD2878" s="29" t="str">
        <f t="shared" si="940"/>
        <v>NA</v>
      </c>
      <c r="AE2878" s="29" t="str">
        <f t="shared" si="941"/>
        <v>NA</v>
      </c>
      <c r="AF2878" s="29" t="str">
        <f t="shared" si="942"/>
        <v>NA</v>
      </c>
      <c r="AG2878" s="29" t="str">
        <f t="shared" si="943"/>
        <v>NA</v>
      </c>
      <c r="AH2878" s="29" t="str">
        <f t="shared" si="944"/>
        <v>NA</v>
      </c>
    </row>
    <row r="2879" customHeight="1" spans="1:34">
      <c r="A2879" s="12" t="s">
        <v>1043</v>
      </c>
      <c r="F2879" s="24">
        <f t="shared" si="926"/>
        <v>0</v>
      </c>
      <c r="G2879" s="24" t="e">
        <f t="shared" si="925"/>
        <v>#DIV/0!</v>
      </c>
      <c r="Q2879" s="29" t="str">
        <f t="shared" si="927"/>
        <v>NA</v>
      </c>
      <c r="R2879" s="29" t="str">
        <f t="shared" si="928"/>
        <v>NA</v>
      </c>
      <c r="S2879" s="29" t="str">
        <f t="shared" si="929"/>
        <v>NA</v>
      </c>
      <c r="T2879" s="29" t="str">
        <f t="shared" si="930"/>
        <v>NA</v>
      </c>
      <c r="U2879" s="29" t="str">
        <f t="shared" si="931"/>
        <v>NA</v>
      </c>
      <c r="V2879" s="29" t="str">
        <f t="shared" si="932"/>
        <v>NA</v>
      </c>
      <c r="W2879" s="29" t="str">
        <f t="shared" si="933"/>
        <v>NA</v>
      </c>
      <c r="X2879" s="29" t="str">
        <f t="shared" si="934"/>
        <v>NA</v>
      </c>
      <c r="Y2879" s="29" t="str">
        <f t="shared" si="935"/>
        <v>NA</v>
      </c>
      <c r="Z2879" s="29" t="str">
        <f t="shared" si="936"/>
        <v>NA</v>
      </c>
      <c r="AA2879" s="29" t="str">
        <f t="shared" si="937"/>
        <v>NA</v>
      </c>
      <c r="AB2879" s="29" t="str">
        <f t="shared" si="938"/>
        <v>NA</v>
      </c>
      <c r="AC2879" s="29" t="str">
        <f t="shared" si="939"/>
        <v>NA</v>
      </c>
      <c r="AD2879" s="29" t="str">
        <f t="shared" si="940"/>
        <v>NA</v>
      </c>
      <c r="AE2879" s="29" t="str">
        <f t="shared" si="941"/>
        <v>NA</v>
      </c>
      <c r="AF2879" s="29" t="str">
        <f t="shared" si="942"/>
        <v>NA</v>
      </c>
      <c r="AG2879" s="29" t="str">
        <f t="shared" si="943"/>
        <v>NA</v>
      </c>
      <c r="AH2879" s="29" t="str">
        <f t="shared" si="944"/>
        <v>NA</v>
      </c>
    </row>
    <row r="2880" customHeight="1" spans="1:34">
      <c r="A2880" s="12" t="s">
        <v>1043</v>
      </c>
      <c r="F2880" s="24">
        <f t="shared" si="926"/>
        <v>0</v>
      </c>
      <c r="G2880" s="24" t="e">
        <f t="shared" si="925"/>
        <v>#DIV/0!</v>
      </c>
      <c r="Q2880" s="29" t="str">
        <f t="shared" si="927"/>
        <v>NA</v>
      </c>
      <c r="R2880" s="29" t="str">
        <f t="shared" si="928"/>
        <v>NA</v>
      </c>
      <c r="S2880" s="29" t="str">
        <f t="shared" si="929"/>
        <v>NA</v>
      </c>
      <c r="T2880" s="29" t="str">
        <f t="shared" si="930"/>
        <v>NA</v>
      </c>
      <c r="U2880" s="29" t="str">
        <f t="shared" si="931"/>
        <v>NA</v>
      </c>
      <c r="V2880" s="29" t="str">
        <f t="shared" si="932"/>
        <v>NA</v>
      </c>
      <c r="W2880" s="29" t="str">
        <f t="shared" si="933"/>
        <v>NA</v>
      </c>
      <c r="X2880" s="29" t="str">
        <f t="shared" si="934"/>
        <v>NA</v>
      </c>
      <c r="Y2880" s="29" t="str">
        <f t="shared" si="935"/>
        <v>NA</v>
      </c>
      <c r="Z2880" s="29" t="str">
        <f t="shared" si="936"/>
        <v>NA</v>
      </c>
      <c r="AA2880" s="29" t="str">
        <f t="shared" si="937"/>
        <v>NA</v>
      </c>
      <c r="AB2880" s="29" t="str">
        <f t="shared" si="938"/>
        <v>NA</v>
      </c>
      <c r="AC2880" s="29" t="str">
        <f t="shared" si="939"/>
        <v>NA</v>
      </c>
      <c r="AD2880" s="29" t="str">
        <f t="shared" si="940"/>
        <v>NA</v>
      </c>
      <c r="AE2880" s="29" t="str">
        <f t="shared" si="941"/>
        <v>NA</v>
      </c>
      <c r="AF2880" s="29" t="str">
        <f t="shared" si="942"/>
        <v>NA</v>
      </c>
      <c r="AG2880" s="29" t="str">
        <f t="shared" si="943"/>
        <v>NA</v>
      </c>
      <c r="AH2880" s="29" t="str">
        <f t="shared" si="944"/>
        <v>NA</v>
      </c>
    </row>
    <row r="2881" customHeight="1" spans="1:34">
      <c r="A2881" s="12" t="s">
        <v>1043</v>
      </c>
      <c r="F2881" s="24">
        <f t="shared" si="926"/>
        <v>0</v>
      </c>
      <c r="G2881" s="24" t="e">
        <f t="shared" si="925"/>
        <v>#DIV/0!</v>
      </c>
      <c r="Q2881" s="29" t="str">
        <f t="shared" si="927"/>
        <v>NA</v>
      </c>
      <c r="R2881" s="29" t="str">
        <f t="shared" si="928"/>
        <v>NA</v>
      </c>
      <c r="S2881" s="29" t="str">
        <f t="shared" si="929"/>
        <v>NA</v>
      </c>
      <c r="T2881" s="29" t="str">
        <f t="shared" si="930"/>
        <v>NA</v>
      </c>
      <c r="U2881" s="29" t="str">
        <f t="shared" si="931"/>
        <v>NA</v>
      </c>
      <c r="V2881" s="29" t="str">
        <f t="shared" si="932"/>
        <v>NA</v>
      </c>
      <c r="W2881" s="29" t="str">
        <f t="shared" si="933"/>
        <v>NA</v>
      </c>
      <c r="X2881" s="29" t="str">
        <f t="shared" si="934"/>
        <v>NA</v>
      </c>
      <c r="Y2881" s="29" t="str">
        <f t="shared" si="935"/>
        <v>NA</v>
      </c>
      <c r="Z2881" s="29" t="str">
        <f t="shared" si="936"/>
        <v>NA</v>
      </c>
      <c r="AA2881" s="29" t="str">
        <f t="shared" si="937"/>
        <v>NA</v>
      </c>
      <c r="AB2881" s="29" t="str">
        <f t="shared" si="938"/>
        <v>NA</v>
      </c>
      <c r="AC2881" s="29" t="str">
        <f t="shared" si="939"/>
        <v>NA</v>
      </c>
      <c r="AD2881" s="29" t="str">
        <f t="shared" si="940"/>
        <v>NA</v>
      </c>
      <c r="AE2881" s="29" t="str">
        <f t="shared" si="941"/>
        <v>NA</v>
      </c>
      <c r="AF2881" s="29" t="str">
        <f t="shared" si="942"/>
        <v>NA</v>
      </c>
      <c r="AG2881" s="29" t="str">
        <f t="shared" si="943"/>
        <v>NA</v>
      </c>
      <c r="AH2881" s="29" t="str">
        <f t="shared" si="944"/>
        <v>NA</v>
      </c>
    </row>
    <row r="2882" customHeight="1" spans="1:34">
      <c r="A2882" s="12" t="s">
        <v>1043</v>
      </c>
      <c r="F2882" s="24">
        <f t="shared" si="926"/>
        <v>0</v>
      </c>
      <c r="G2882" s="24" t="e">
        <f t="shared" si="925"/>
        <v>#DIV/0!</v>
      </c>
      <c r="Q2882" s="29" t="str">
        <f t="shared" si="927"/>
        <v>NA</v>
      </c>
      <c r="R2882" s="29" t="str">
        <f t="shared" si="928"/>
        <v>NA</v>
      </c>
      <c r="S2882" s="29" t="str">
        <f t="shared" si="929"/>
        <v>NA</v>
      </c>
      <c r="T2882" s="29" t="str">
        <f t="shared" si="930"/>
        <v>NA</v>
      </c>
      <c r="U2882" s="29" t="str">
        <f t="shared" si="931"/>
        <v>NA</v>
      </c>
      <c r="V2882" s="29" t="str">
        <f t="shared" si="932"/>
        <v>NA</v>
      </c>
      <c r="W2882" s="29" t="str">
        <f t="shared" si="933"/>
        <v>NA</v>
      </c>
      <c r="X2882" s="29" t="str">
        <f t="shared" si="934"/>
        <v>NA</v>
      </c>
      <c r="Y2882" s="29" t="str">
        <f t="shared" si="935"/>
        <v>NA</v>
      </c>
      <c r="Z2882" s="29" t="str">
        <f t="shared" si="936"/>
        <v>NA</v>
      </c>
      <c r="AA2882" s="29" t="str">
        <f t="shared" si="937"/>
        <v>NA</v>
      </c>
      <c r="AB2882" s="29" t="str">
        <f t="shared" si="938"/>
        <v>NA</v>
      </c>
      <c r="AC2882" s="29" t="str">
        <f t="shared" si="939"/>
        <v>NA</v>
      </c>
      <c r="AD2882" s="29" t="str">
        <f t="shared" si="940"/>
        <v>NA</v>
      </c>
      <c r="AE2882" s="29" t="str">
        <f t="shared" si="941"/>
        <v>NA</v>
      </c>
      <c r="AF2882" s="29" t="str">
        <f t="shared" si="942"/>
        <v>NA</v>
      </c>
      <c r="AG2882" s="29" t="str">
        <f t="shared" si="943"/>
        <v>NA</v>
      </c>
      <c r="AH2882" s="29" t="str">
        <f t="shared" si="944"/>
        <v>NA</v>
      </c>
    </row>
    <row r="2883" customHeight="1" spans="1:34">
      <c r="A2883" s="12" t="s">
        <v>1043</v>
      </c>
      <c r="F2883" s="24">
        <f t="shared" si="926"/>
        <v>0</v>
      </c>
      <c r="G2883" s="24" t="e">
        <f t="shared" si="925"/>
        <v>#DIV/0!</v>
      </c>
      <c r="Q2883" s="29" t="str">
        <f t="shared" si="927"/>
        <v>NA</v>
      </c>
      <c r="R2883" s="29" t="str">
        <f t="shared" si="928"/>
        <v>NA</v>
      </c>
      <c r="S2883" s="29" t="str">
        <f t="shared" si="929"/>
        <v>NA</v>
      </c>
      <c r="T2883" s="29" t="str">
        <f t="shared" si="930"/>
        <v>NA</v>
      </c>
      <c r="U2883" s="29" t="str">
        <f t="shared" si="931"/>
        <v>NA</v>
      </c>
      <c r="V2883" s="29" t="str">
        <f t="shared" si="932"/>
        <v>NA</v>
      </c>
      <c r="W2883" s="29" t="str">
        <f t="shared" si="933"/>
        <v>NA</v>
      </c>
      <c r="X2883" s="29" t="str">
        <f t="shared" si="934"/>
        <v>NA</v>
      </c>
      <c r="Y2883" s="29" t="str">
        <f t="shared" si="935"/>
        <v>NA</v>
      </c>
      <c r="Z2883" s="29" t="str">
        <f t="shared" si="936"/>
        <v>NA</v>
      </c>
      <c r="AA2883" s="29" t="str">
        <f t="shared" si="937"/>
        <v>NA</v>
      </c>
      <c r="AB2883" s="29" t="str">
        <f t="shared" si="938"/>
        <v>NA</v>
      </c>
      <c r="AC2883" s="29" t="str">
        <f t="shared" si="939"/>
        <v>NA</v>
      </c>
      <c r="AD2883" s="29" t="str">
        <f t="shared" si="940"/>
        <v>NA</v>
      </c>
      <c r="AE2883" s="29" t="str">
        <f t="shared" si="941"/>
        <v>NA</v>
      </c>
      <c r="AF2883" s="29" t="str">
        <f t="shared" si="942"/>
        <v>NA</v>
      </c>
      <c r="AG2883" s="29" t="str">
        <f t="shared" si="943"/>
        <v>NA</v>
      </c>
      <c r="AH2883" s="29" t="str">
        <f t="shared" si="944"/>
        <v>NA</v>
      </c>
    </row>
    <row r="2884" customHeight="1" spans="1:34">
      <c r="A2884" s="12" t="s">
        <v>1043</v>
      </c>
      <c r="F2884" s="24">
        <f t="shared" si="926"/>
        <v>0</v>
      </c>
      <c r="G2884" s="24" t="e">
        <f t="shared" si="925"/>
        <v>#DIV/0!</v>
      </c>
      <c r="Q2884" s="29" t="str">
        <f t="shared" si="927"/>
        <v>NA</v>
      </c>
      <c r="R2884" s="29" t="str">
        <f t="shared" si="928"/>
        <v>NA</v>
      </c>
      <c r="S2884" s="29" t="str">
        <f t="shared" si="929"/>
        <v>NA</v>
      </c>
      <c r="T2884" s="29" t="str">
        <f t="shared" si="930"/>
        <v>NA</v>
      </c>
      <c r="U2884" s="29" t="str">
        <f t="shared" si="931"/>
        <v>NA</v>
      </c>
      <c r="V2884" s="29" t="str">
        <f t="shared" si="932"/>
        <v>NA</v>
      </c>
      <c r="W2884" s="29" t="str">
        <f t="shared" si="933"/>
        <v>NA</v>
      </c>
      <c r="X2884" s="29" t="str">
        <f t="shared" si="934"/>
        <v>NA</v>
      </c>
      <c r="Y2884" s="29" t="str">
        <f t="shared" si="935"/>
        <v>NA</v>
      </c>
      <c r="Z2884" s="29" t="str">
        <f t="shared" si="936"/>
        <v>NA</v>
      </c>
      <c r="AA2884" s="29" t="str">
        <f t="shared" si="937"/>
        <v>NA</v>
      </c>
      <c r="AB2884" s="29" t="str">
        <f t="shared" si="938"/>
        <v>NA</v>
      </c>
      <c r="AC2884" s="29" t="str">
        <f t="shared" si="939"/>
        <v>NA</v>
      </c>
      <c r="AD2884" s="29" t="str">
        <f t="shared" si="940"/>
        <v>NA</v>
      </c>
      <c r="AE2884" s="29" t="str">
        <f t="shared" si="941"/>
        <v>NA</v>
      </c>
      <c r="AF2884" s="29" t="str">
        <f t="shared" si="942"/>
        <v>NA</v>
      </c>
      <c r="AG2884" s="29" t="str">
        <f t="shared" si="943"/>
        <v>NA</v>
      </c>
      <c r="AH2884" s="29" t="str">
        <f t="shared" si="944"/>
        <v>NA</v>
      </c>
    </row>
    <row r="2885" customHeight="1" spans="1:34">
      <c r="A2885" s="12" t="s">
        <v>1043</v>
      </c>
      <c r="F2885" s="24">
        <f t="shared" si="926"/>
        <v>0</v>
      </c>
      <c r="G2885" s="24" t="e">
        <f t="shared" ref="G2885:G2948" si="945">B2885*D2885/C2885</f>
        <v>#DIV/0!</v>
      </c>
      <c r="Q2885" s="29" t="str">
        <f t="shared" si="927"/>
        <v>NA</v>
      </c>
      <c r="R2885" s="29" t="str">
        <f t="shared" si="928"/>
        <v>NA</v>
      </c>
      <c r="S2885" s="29" t="str">
        <f t="shared" si="929"/>
        <v>NA</v>
      </c>
      <c r="T2885" s="29" t="str">
        <f t="shared" si="930"/>
        <v>NA</v>
      </c>
      <c r="U2885" s="29" t="str">
        <f t="shared" si="931"/>
        <v>NA</v>
      </c>
      <c r="V2885" s="29" t="str">
        <f t="shared" si="932"/>
        <v>NA</v>
      </c>
      <c r="W2885" s="29" t="str">
        <f t="shared" si="933"/>
        <v>NA</v>
      </c>
      <c r="X2885" s="29" t="str">
        <f t="shared" si="934"/>
        <v>NA</v>
      </c>
      <c r="Y2885" s="29" t="str">
        <f t="shared" si="935"/>
        <v>NA</v>
      </c>
      <c r="Z2885" s="29" t="str">
        <f t="shared" si="936"/>
        <v>NA</v>
      </c>
      <c r="AA2885" s="29" t="str">
        <f t="shared" si="937"/>
        <v>NA</v>
      </c>
      <c r="AB2885" s="29" t="str">
        <f t="shared" si="938"/>
        <v>NA</v>
      </c>
      <c r="AC2885" s="29" t="str">
        <f t="shared" si="939"/>
        <v>NA</v>
      </c>
      <c r="AD2885" s="29" t="str">
        <f t="shared" si="940"/>
        <v>NA</v>
      </c>
      <c r="AE2885" s="29" t="str">
        <f t="shared" si="941"/>
        <v>NA</v>
      </c>
      <c r="AF2885" s="29" t="str">
        <f t="shared" si="942"/>
        <v>NA</v>
      </c>
      <c r="AG2885" s="29" t="str">
        <f t="shared" si="943"/>
        <v>NA</v>
      </c>
      <c r="AH2885" s="29" t="str">
        <f t="shared" si="944"/>
        <v>NA</v>
      </c>
    </row>
    <row r="2886" customHeight="1" spans="1:34">
      <c r="A2886" s="12" t="s">
        <v>1043</v>
      </c>
      <c r="F2886" s="24">
        <f t="shared" ref="F2886:F2949" si="946">+D2886+E2886</f>
        <v>0</v>
      </c>
      <c r="G2886" s="24" t="e">
        <f t="shared" si="945"/>
        <v>#DIV/0!</v>
      </c>
      <c r="Q2886" s="29" t="str">
        <f t="shared" si="927"/>
        <v>NA</v>
      </c>
      <c r="R2886" s="29" t="str">
        <f t="shared" si="928"/>
        <v>NA</v>
      </c>
      <c r="S2886" s="29" t="str">
        <f t="shared" si="929"/>
        <v>NA</v>
      </c>
      <c r="T2886" s="29" t="str">
        <f t="shared" si="930"/>
        <v>NA</v>
      </c>
      <c r="U2886" s="29" t="str">
        <f t="shared" si="931"/>
        <v>NA</v>
      </c>
      <c r="V2886" s="29" t="str">
        <f t="shared" si="932"/>
        <v>NA</v>
      </c>
      <c r="W2886" s="29" t="str">
        <f t="shared" si="933"/>
        <v>NA</v>
      </c>
      <c r="X2886" s="29" t="str">
        <f t="shared" si="934"/>
        <v>NA</v>
      </c>
      <c r="Y2886" s="29" t="str">
        <f t="shared" si="935"/>
        <v>NA</v>
      </c>
      <c r="Z2886" s="29" t="str">
        <f t="shared" si="936"/>
        <v>NA</v>
      </c>
      <c r="AA2886" s="29" t="str">
        <f t="shared" si="937"/>
        <v>NA</v>
      </c>
      <c r="AB2886" s="29" t="str">
        <f t="shared" si="938"/>
        <v>NA</v>
      </c>
      <c r="AC2886" s="29" t="str">
        <f t="shared" si="939"/>
        <v>NA</v>
      </c>
      <c r="AD2886" s="29" t="str">
        <f t="shared" si="940"/>
        <v>NA</v>
      </c>
      <c r="AE2886" s="29" t="str">
        <f t="shared" si="941"/>
        <v>NA</v>
      </c>
      <c r="AF2886" s="29" t="str">
        <f t="shared" si="942"/>
        <v>NA</v>
      </c>
      <c r="AG2886" s="29" t="str">
        <f t="shared" si="943"/>
        <v>NA</v>
      </c>
      <c r="AH2886" s="29" t="str">
        <f t="shared" si="944"/>
        <v>NA</v>
      </c>
    </row>
    <row r="2887" customHeight="1" spans="1:34">
      <c r="A2887" s="12" t="s">
        <v>1043</v>
      </c>
      <c r="F2887" s="24">
        <f t="shared" si="946"/>
        <v>0</v>
      </c>
      <c r="G2887" s="24" t="e">
        <f t="shared" si="945"/>
        <v>#DIV/0!</v>
      </c>
      <c r="Q2887" s="29" t="str">
        <f t="shared" si="927"/>
        <v>NA</v>
      </c>
      <c r="R2887" s="29" t="str">
        <f t="shared" si="928"/>
        <v>NA</v>
      </c>
      <c r="S2887" s="29" t="str">
        <f t="shared" si="929"/>
        <v>NA</v>
      </c>
      <c r="T2887" s="29" t="str">
        <f t="shared" si="930"/>
        <v>NA</v>
      </c>
      <c r="U2887" s="29" t="str">
        <f t="shared" si="931"/>
        <v>NA</v>
      </c>
      <c r="V2887" s="29" t="str">
        <f t="shared" si="932"/>
        <v>NA</v>
      </c>
      <c r="W2887" s="29" t="str">
        <f t="shared" si="933"/>
        <v>NA</v>
      </c>
      <c r="X2887" s="29" t="str">
        <f t="shared" si="934"/>
        <v>NA</v>
      </c>
      <c r="Y2887" s="29" t="str">
        <f t="shared" si="935"/>
        <v>NA</v>
      </c>
      <c r="Z2887" s="29" t="str">
        <f t="shared" si="936"/>
        <v>NA</v>
      </c>
      <c r="AA2887" s="29" t="str">
        <f t="shared" si="937"/>
        <v>NA</v>
      </c>
      <c r="AB2887" s="29" t="str">
        <f t="shared" si="938"/>
        <v>NA</v>
      </c>
      <c r="AC2887" s="29" t="str">
        <f t="shared" si="939"/>
        <v>NA</v>
      </c>
      <c r="AD2887" s="29" t="str">
        <f t="shared" si="940"/>
        <v>NA</v>
      </c>
      <c r="AE2887" s="29" t="str">
        <f t="shared" si="941"/>
        <v>NA</v>
      </c>
      <c r="AF2887" s="29" t="str">
        <f t="shared" si="942"/>
        <v>NA</v>
      </c>
      <c r="AG2887" s="29" t="str">
        <f t="shared" si="943"/>
        <v>NA</v>
      </c>
      <c r="AH2887" s="29" t="str">
        <f t="shared" si="944"/>
        <v>NA</v>
      </c>
    </row>
    <row r="2888" customHeight="1" spans="1:34">
      <c r="A2888" s="12" t="s">
        <v>1043</v>
      </c>
      <c r="F2888" s="24">
        <f t="shared" si="946"/>
        <v>0</v>
      </c>
      <c r="G2888" s="24" t="e">
        <f t="shared" si="945"/>
        <v>#DIV/0!</v>
      </c>
      <c r="Q2888" s="29" t="str">
        <f t="shared" si="927"/>
        <v>NA</v>
      </c>
      <c r="R2888" s="29" t="str">
        <f t="shared" si="928"/>
        <v>NA</v>
      </c>
      <c r="S2888" s="29" t="str">
        <f t="shared" si="929"/>
        <v>NA</v>
      </c>
      <c r="T2888" s="29" t="str">
        <f t="shared" si="930"/>
        <v>NA</v>
      </c>
      <c r="U2888" s="29" t="str">
        <f t="shared" si="931"/>
        <v>NA</v>
      </c>
      <c r="V2888" s="29" t="str">
        <f t="shared" si="932"/>
        <v>NA</v>
      </c>
      <c r="W2888" s="29" t="str">
        <f t="shared" si="933"/>
        <v>NA</v>
      </c>
      <c r="X2888" s="29" t="str">
        <f t="shared" si="934"/>
        <v>NA</v>
      </c>
      <c r="Y2888" s="29" t="str">
        <f t="shared" si="935"/>
        <v>NA</v>
      </c>
      <c r="Z2888" s="29" t="str">
        <f t="shared" si="936"/>
        <v>NA</v>
      </c>
      <c r="AA2888" s="29" t="str">
        <f t="shared" si="937"/>
        <v>NA</v>
      </c>
      <c r="AB2888" s="29" t="str">
        <f t="shared" si="938"/>
        <v>NA</v>
      </c>
      <c r="AC2888" s="29" t="str">
        <f t="shared" si="939"/>
        <v>NA</v>
      </c>
      <c r="AD2888" s="29" t="str">
        <f t="shared" si="940"/>
        <v>NA</v>
      </c>
      <c r="AE2888" s="29" t="str">
        <f t="shared" si="941"/>
        <v>NA</v>
      </c>
      <c r="AF2888" s="29" t="str">
        <f t="shared" si="942"/>
        <v>NA</v>
      </c>
      <c r="AG2888" s="29" t="str">
        <f t="shared" si="943"/>
        <v>NA</v>
      </c>
      <c r="AH2888" s="29" t="str">
        <f t="shared" si="944"/>
        <v>NA</v>
      </c>
    </row>
    <row r="2889" customHeight="1" spans="1:34">
      <c r="A2889" s="12" t="s">
        <v>1043</v>
      </c>
      <c r="F2889" s="24">
        <f t="shared" si="946"/>
        <v>0</v>
      </c>
      <c r="G2889" s="24" t="e">
        <f t="shared" si="945"/>
        <v>#DIV/0!</v>
      </c>
      <c r="Q2889" s="29" t="str">
        <f t="shared" si="927"/>
        <v>NA</v>
      </c>
      <c r="R2889" s="29" t="str">
        <f t="shared" si="928"/>
        <v>NA</v>
      </c>
      <c r="S2889" s="29" t="str">
        <f t="shared" si="929"/>
        <v>NA</v>
      </c>
      <c r="T2889" s="29" t="str">
        <f t="shared" si="930"/>
        <v>NA</v>
      </c>
      <c r="U2889" s="29" t="str">
        <f t="shared" si="931"/>
        <v>NA</v>
      </c>
      <c r="V2889" s="29" t="str">
        <f t="shared" si="932"/>
        <v>NA</v>
      </c>
      <c r="W2889" s="29" t="str">
        <f t="shared" si="933"/>
        <v>NA</v>
      </c>
      <c r="X2889" s="29" t="str">
        <f t="shared" si="934"/>
        <v>NA</v>
      </c>
      <c r="Y2889" s="29" t="str">
        <f t="shared" si="935"/>
        <v>NA</v>
      </c>
      <c r="Z2889" s="29" t="str">
        <f t="shared" si="936"/>
        <v>NA</v>
      </c>
      <c r="AA2889" s="29" t="str">
        <f t="shared" si="937"/>
        <v>NA</v>
      </c>
      <c r="AB2889" s="29" t="str">
        <f t="shared" si="938"/>
        <v>NA</v>
      </c>
      <c r="AC2889" s="29" t="str">
        <f t="shared" si="939"/>
        <v>NA</v>
      </c>
      <c r="AD2889" s="29" t="str">
        <f t="shared" si="940"/>
        <v>NA</v>
      </c>
      <c r="AE2889" s="29" t="str">
        <f t="shared" si="941"/>
        <v>NA</v>
      </c>
      <c r="AF2889" s="29" t="str">
        <f t="shared" si="942"/>
        <v>NA</v>
      </c>
      <c r="AG2889" s="29" t="str">
        <f t="shared" si="943"/>
        <v>NA</v>
      </c>
      <c r="AH2889" s="29" t="str">
        <f t="shared" si="944"/>
        <v>NA</v>
      </c>
    </row>
    <row r="2890" customHeight="1" spans="1:34">
      <c r="A2890" s="12" t="s">
        <v>1043</v>
      </c>
      <c r="F2890" s="24">
        <f t="shared" si="946"/>
        <v>0</v>
      </c>
      <c r="G2890" s="24" t="e">
        <f t="shared" si="945"/>
        <v>#DIV/0!</v>
      </c>
      <c r="Q2890" s="29" t="str">
        <f t="shared" si="927"/>
        <v>NA</v>
      </c>
      <c r="R2890" s="29" t="str">
        <f t="shared" si="928"/>
        <v>NA</v>
      </c>
      <c r="S2890" s="29" t="str">
        <f t="shared" si="929"/>
        <v>NA</v>
      </c>
      <c r="T2890" s="29" t="str">
        <f t="shared" si="930"/>
        <v>NA</v>
      </c>
      <c r="U2890" s="29" t="str">
        <f t="shared" si="931"/>
        <v>NA</v>
      </c>
      <c r="V2890" s="29" t="str">
        <f t="shared" si="932"/>
        <v>NA</v>
      </c>
      <c r="W2890" s="29" t="str">
        <f t="shared" si="933"/>
        <v>NA</v>
      </c>
      <c r="X2890" s="29" t="str">
        <f t="shared" si="934"/>
        <v>NA</v>
      </c>
      <c r="Y2890" s="29" t="str">
        <f t="shared" si="935"/>
        <v>NA</v>
      </c>
      <c r="Z2890" s="29" t="str">
        <f t="shared" si="936"/>
        <v>NA</v>
      </c>
      <c r="AA2890" s="29" t="str">
        <f t="shared" si="937"/>
        <v>NA</v>
      </c>
      <c r="AB2890" s="29" t="str">
        <f t="shared" si="938"/>
        <v>NA</v>
      </c>
      <c r="AC2890" s="29" t="str">
        <f t="shared" si="939"/>
        <v>NA</v>
      </c>
      <c r="AD2890" s="29" t="str">
        <f t="shared" si="940"/>
        <v>NA</v>
      </c>
      <c r="AE2890" s="29" t="str">
        <f t="shared" si="941"/>
        <v>NA</v>
      </c>
      <c r="AF2890" s="29" t="str">
        <f t="shared" si="942"/>
        <v>NA</v>
      </c>
      <c r="AG2890" s="29" t="str">
        <f t="shared" si="943"/>
        <v>NA</v>
      </c>
      <c r="AH2890" s="29" t="str">
        <f t="shared" si="944"/>
        <v>NA</v>
      </c>
    </row>
    <row r="2891" customHeight="1" spans="1:34">
      <c r="A2891" s="12" t="s">
        <v>1043</v>
      </c>
      <c r="F2891" s="24">
        <f t="shared" si="946"/>
        <v>0</v>
      </c>
      <c r="G2891" s="24" t="e">
        <f t="shared" si="945"/>
        <v>#DIV/0!</v>
      </c>
      <c r="Q2891" s="29" t="str">
        <f t="shared" si="927"/>
        <v>NA</v>
      </c>
      <c r="R2891" s="29" t="str">
        <f t="shared" si="928"/>
        <v>NA</v>
      </c>
      <c r="S2891" s="29" t="str">
        <f t="shared" si="929"/>
        <v>NA</v>
      </c>
      <c r="T2891" s="29" t="str">
        <f t="shared" si="930"/>
        <v>NA</v>
      </c>
      <c r="U2891" s="29" t="str">
        <f t="shared" si="931"/>
        <v>NA</v>
      </c>
      <c r="V2891" s="29" t="str">
        <f t="shared" si="932"/>
        <v>NA</v>
      </c>
      <c r="W2891" s="29" t="str">
        <f t="shared" si="933"/>
        <v>NA</v>
      </c>
      <c r="X2891" s="29" t="str">
        <f t="shared" si="934"/>
        <v>NA</v>
      </c>
      <c r="Y2891" s="29" t="str">
        <f t="shared" si="935"/>
        <v>NA</v>
      </c>
      <c r="Z2891" s="29" t="str">
        <f t="shared" si="936"/>
        <v>NA</v>
      </c>
      <c r="AA2891" s="29" t="str">
        <f t="shared" si="937"/>
        <v>NA</v>
      </c>
      <c r="AB2891" s="29" t="str">
        <f t="shared" si="938"/>
        <v>NA</v>
      </c>
      <c r="AC2891" s="29" t="str">
        <f t="shared" si="939"/>
        <v>NA</v>
      </c>
      <c r="AD2891" s="29" t="str">
        <f t="shared" si="940"/>
        <v>NA</v>
      </c>
      <c r="AE2891" s="29" t="str">
        <f t="shared" si="941"/>
        <v>NA</v>
      </c>
      <c r="AF2891" s="29" t="str">
        <f t="shared" si="942"/>
        <v>NA</v>
      </c>
      <c r="AG2891" s="29" t="str">
        <f t="shared" si="943"/>
        <v>NA</v>
      </c>
      <c r="AH2891" s="29" t="str">
        <f t="shared" si="944"/>
        <v>NA</v>
      </c>
    </row>
    <row r="2892" customHeight="1" spans="1:34">
      <c r="A2892" s="12" t="s">
        <v>1043</v>
      </c>
      <c r="F2892" s="24">
        <f t="shared" si="946"/>
        <v>0</v>
      </c>
      <c r="G2892" s="24" t="e">
        <f t="shared" si="945"/>
        <v>#DIV/0!</v>
      </c>
      <c r="Q2892" s="29" t="str">
        <f t="shared" si="927"/>
        <v>NA</v>
      </c>
      <c r="R2892" s="29" t="str">
        <f t="shared" si="928"/>
        <v>NA</v>
      </c>
      <c r="S2892" s="29" t="str">
        <f t="shared" si="929"/>
        <v>NA</v>
      </c>
      <c r="T2892" s="29" t="str">
        <f t="shared" si="930"/>
        <v>NA</v>
      </c>
      <c r="U2892" s="29" t="str">
        <f t="shared" si="931"/>
        <v>NA</v>
      </c>
      <c r="V2892" s="29" t="str">
        <f t="shared" si="932"/>
        <v>NA</v>
      </c>
      <c r="W2892" s="29" t="str">
        <f t="shared" si="933"/>
        <v>NA</v>
      </c>
      <c r="X2892" s="29" t="str">
        <f t="shared" si="934"/>
        <v>NA</v>
      </c>
      <c r="Y2892" s="29" t="str">
        <f t="shared" si="935"/>
        <v>NA</v>
      </c>
      <c r="Z2892" s="29" t="str">
        <f t="shared" si="936"/>
        <v>NA</v>
      </c>
      <c r="AA2892" s="29" t="str">
        <f t="shared" si="937"/>
        <v>NA</v>
      </c>
      <c r="AB2892" s="29" t="str">
        <f t="shared" si="938"/>
        <v>NA</v>
      </c>
      <c r="AC2892" s="29" t="str">
        <f t="shared" si="939"/>
        <v>NA</v>
      </c>
      <c r="AD2892" s="29" t="str">
        <f t="shared" si="940"/>
        <v>NA</v>
      </c>
      <c r="AE2892" s="29" t="str">
        <f t="shared" si="941"/>
        <v>NA</v>
      </c>
      <c r="AF2892" s="29" t="str">
        <f t="shared" si="942"/>
        <v>NA</v>
      </c>
      <c r="AG2892" s="29" t="str">
        <f t="shared" si="943"/>
        <v>NA</v>
      </c>
      <c r="AH2892" s="29" t="str">
        <f t="shared" si="944"/>
        <v>NA</v>
      </c>
    </row>
    <row r="2893" customHeight="1" spans="1:34">
      <c r="A2893" s="12" t="s">
        <v>1043</v>
      </c>
      <c r="F2893" s="24">
        <f t="shared" si="946"/>
        <v>0</v>
      </c>
      <c r="G2893" s="24" t="e">
        <f t="shared" si="945"/>
        <v>#DIV/0!</v>
      </c>
      <c r="Q2893" s="29" t="str">
        <f t="shared" si="927"/>
        <v>NA</v>
      </c>
      <c r="R2893" s="29" t="str">
        <f t="shared" si="928"/>
        <v>NA</v>
      </c>
      <c r="S2893" s="29" t="str">
        <f t="shared" si="929"/>
        <v>NA</v>
      </c>
      <c r="T2893" s="29" t="str">
        <f t="shared" si="930"/>
        <v>NA</v>
      </c>
      <c r="U2893" s="29" t="str">
        <f t="shared" si="931"/>
        <v>NA</v>
      </c>
      <c r="V2893" s="29" t="str">
        <f t="shared" si="932"/>
        <v>NA</v>
      </c>
      <c r="W2893" s="29" t="str">
        <f t="shared" si="933"/>
        <v>NA</v>
      </c>
      <c r="X2893" s="29" t="str">
        <f t="shared" si="934"/>
        <v>NA</v>
      </c>
      <c r="Y2893" s="29" t="str">
        <f t="shared" si="935"/>
        <v>NA</v>
      </c>
      <c r="Z2893" s="29" t="str">
        <f t="shared" si="936"/>
        <v>NA</v>
      </c>
      <c r="AA2893" s="29" t="str">
        <f t="shared" si="937"/>
        <v>NA</v>
      </c>
      <c r="AB2893" s="29" t="str">
        <f t="shared" si="938"/>
        <v>NA</v>
      </c>
      <c r="AC2893" s="29" t="str">
        <f t="shared" si="939"/>
        <v>NA</v>
      </c>
      <c r="AD2893" s="29" t="str">
        <f t="shared" si="940"/>
        <v>NA</v>
      </c>
      <c r="AE2893" s="29" t="str">
        <f t="shared" si="941"/>
        <v>NA</v>
      </c>
      <c r="AF2893" s="29" t="str">
        <f t="shared" si="942"/>
        <v>NA</v>
      </c>
      <c r="AG2893" s="29" t="str">
        <f t="shared" si="943"/>
        <v>NA</v>
      </c>
      <c r="AH2893" s="29" t="str">
        <f t="shared" si="944"/>
        <v>NA</v>
      </c>
    </row>
    <row r="2894" customHeight="1" spans="1:34">
      <c r="A2894" s="12" t="s">
        <v>1043</v>
      </c>
      <c r="F2894" s="24">
        <f t="shared" si="946"/>
        <v>0</v>
      </c>
      <c r="G2894" s="24" t="e">
        <f t="shared" si="945"/>
        <v>#DIV/0!</v>
      </c>
      <c r="Q2894" s="29" t="str">
        <f t="shared" si="927"/>
        <v>NA</v>
      </c>
      <c r="R2894" s="29" t="str">
        <f t="shared" si="928"/>
        <v>NA</v>
      </c>
      <c r="S2894" s="29" t="str">
        <f t="shared" si="929"/>
        <v>NA</v>
      </c>
      <c r="T2894" s="29" t="str">
        <f t="shared" si="930"/>
        <v>NA</v>
      </c>
      <c r="U2894" s="29" t="str">
        <f t="shared" si="931"/>
        <v>NA</v>
      </c>
      <c r="V2894" s="29" t="str">
        <f t="shared" si="932"/>
        <v>NA</v>
      </c>
      <c r="W2894" s="29" t="str">
        <f t="shared" si="933"/>
        <v>NA</v>
      </c>
      <c r="X2894" s="29" t="str">
        <f t="shared" si="934"/>
        <v>NA</v>
      </c>
      <c r="Y2894" s="29" t="str">
        <f t="shared" si="935"/>
        <v>NA</v>
      </c>
      <c r="Z2894" s="29" t="str">
        <f t="shared" si="936"/>
        <v>NA</v>
      </c>
      <c r="AA2894" s="29" t="str">
        <f t="shared" si="937"/>
        <v>NA</v>
      </c>
      <c r="AB2894" s="29" t="str">
        <f t="shared" si="938"/>
        <v>NA</v>
      </c>
      <c r="AC2894" s="29" t="str">
        <f t="shared" si="939"/>
        <v>NA</v>
      </c>
      <c r="AD2894" s="29" t="str">
        <f t="shared" si="940"/>
        <v>NA</v>
      </c>
      <c r="AE2894" s="29" t="str">
        <f t="shared" si="941"/>
        <v>NA</v>
      </c>
      <c r="AF2894" s="29" t="str">
        <f t="shared" si="942"/>
        <v>NA</v>
      </c>
      <c r="AG2894" s="29" t="str">
        <f t="shared" si="943"/>
        <v>NA</v>
      </c>
      <c r="AH2894" s="29" t="str">
        <f t="shared" si="944"/>
        <v>NA</v>
      </c>
    </row>
    <row r="2895" customHeight="1" spans="1:34">
      <c r="A2895" s="12" t="s">
        <v>1043</v>
      </c>
      <c r="F2895" s="24">
        <f t="shared" si="946"/>
        <v>0</v>
      </c>
      <c r="G2895" s="24" t="e">
        <f t="shared" si="945"/>
        <v>#DIV/0!</v>
      </c>
      <c r="Q2895" s="29" t="str">
        <f t="shared" si="927"/>
        <v>NA</v>
      </c>
      <c r="R2895" s="29" t="str">
        <f t="shared" si="928"/>
        <v>NA</v>
      </c>
      <c r="S2895" s="29" t="str">
        <f t="shared" si="929"/>
        <v>NA</v>
      </c>
      <c r="T2895" s="29" t="str">
        <f t="shared" si="930"/>
        <v>NA</v>
      </c>
      <c r="U2895" s="29" t="str">
        <f t="shared" si="931"/>
        <v>NA</v>
      </c>
      <c r="V2895" s="29" t="str">
        <f t="shared" si="932"/>
        <v>NA</v>
      </c>
      <c r="W2895" s="29" t="str">
        <f t="shared" si="933"/>
        <v>NA</v>
      </c>
      <c r="X2895" s="29" t="str">
        <f t="shared" si="934"/>
        <v>NA</v>
      </c>
      <c r="Y2895" s="29" t="str">
        <f t="shared" si="935"/>
        <v>NA</v>
      </c>
      <c r="Z2895" s="29" t="str">
        <f t="shared" si="936"/>
        <v>NA</v>
      </c>
      <c r="AA2895" s="29" t="str">
        <f t="shared" si="937"/>
        <v>NA</v>
      </c>
      <c r="AB2895" s="29" t="str">
        <f t="shared" si="938"/>
        <v>NA</v>
      </c>
      <c r="AC2895" s="29" t="str">
        <f t="shared" si="939"/>
        <v>NA</v>
      </c>
      <c r="AD2895" s="29" t="str">
        <f t="shared" si="940"/>
        <v>NA</v>
      </c>
      <c r="AE2895" s="29" t="str">
        <f t="shared" si="941"/>
        <v>NA</v>
      </c>
      <c r="AF2895" s="29" t="str">
        <f t="shared" si="942"/>
        <v>NA</v>
      </c>
      <c r="AG2895" s="29" t="str">
        <f t="shared" si="943"/>
        <v>NA</v>
      </c>
      <c r="AH2895" s="29" t="str">
        <f t="shared" si="944"/>
        <v>NA</v>
      </c>
    </row>
    <row r="2896" customHeight="1" spans="1:34">
      <c r="A2896" s="12" t="s">
        <v>1043</v>
      </c>
      <c r="F2896" s="24">
        <f t="shared" si="946"/>
        <v>0</v>
      </c>
      <c r="G2896" s="24" t="e">
        <f t="shared" si="945"/>
        <v>#DIV/0!</v>
      </c>
      <c r="Q2896" s="29" t="str">
        <f t="shared" ref="Q2896:Q2959" si="947">IFERROR($B2896*$E2896/H2896,"NA")</f>
        <v>NA</v>
      </c>
      <c r="R2896" s="29" t="str">
        <f t="shared" ref="R2896:R2959" si="948">IFERROR($B2896*$E2896/I2896,"NA")</f>
        <v>NA</v>
      </c>
      <c r="S2896" s="29" t="str">
        <f t="shared" ref="S2896:S2959" si="949">IFERROR($B2896*$E2896/J2896,"NA")</f>
        <v>NA</v>
      </c>
      <c r="T2896" s="29" t="str">
        <f t="shared" ref="T2896:T2959" si="950">IFERROR($B2896*$E2896/K2896,"NA")</f>
        <v>NA</v>
      </c>
      <c r="U2896" s="29" t="str">
        <f t="shared" ref="U2896:U2959" si="951">IFERROR($B2896*$E2896/L2896,"NA")</f>
        <v>NA</v>
      </c>
      <c r="V2896" s="29" t="str">
        <f t="shared" ref="V2896:V2959" si="952">IFERROR($B2896*$E2896/M2896,"NA")</f>
        <v>NA</v>
      </c>
      <c r="W2896" s="29" t="str">
        <f t="shared" ref="W2896:W2959" si="953">IFERROR($B2896*$E2896/N2896,"NA")</f>
        <v>NA</v>
      </c>
      <c r="X2896" s="29" t="str">
        <f t="shared" ref="X2896:X2959" si="954">IFERROR($B2896*$E2896/O2896,"NA")</f>
        <v>NA</v>
      </c>
      <c r="Y2896" s="29" t="str">
        <f t="shared" ref="Y2896:Y2959" si="955">IFERROR($B2896*$E2896/P2896,"NA")</f>
        <v>NA</v>
      </c>
      <c r="Z2896" s="29" t="str">
        <f t="shared" ref="Z2896:Z2959" si="956">IFERROR((($G2896*Z$2/1000)+Q2896)/1,"NA")</f>
        <v>NA</v>
      </c>
      <c r="AA2896" s="29" t="str">
        <f t="shared" ref="AA2896:AA2959" si="957">IFERROR((($G2896*AA$2/1000)+R2896)/1,"NA")</f>
        <v>NA</v>
      </c>
      <c r="AB2896" s="29" t="str">
        <f t="shared" ref="AB2896:AB2959" si="958">IFERROR((($G2896*AB$2/1000)+S2896)/1,"NA")</f>
        <v>NA</v>
      </c>
      <c r="AC2896" s="29" t="str">
        <f t="shared" ref="AC2896:AC2959" si="959">IFERROR((($G2896*AC$2/1000)+T2896)/1,"NA")</f>
        <v>NA</v>
      </c>
      <c r="AD2896" s="29" t="str">
        <f t="shared" ref="AD2896:AD2959" si="960">IFERROR((($G2896*AD$2/1000)+U2896)/1,"NA")</f>
        <v>NA</v>
      </c>
      <c r="AE2896" s="29" t="str">
        <f t="shared" ref="AE2896:AE2959" si="961">IFERROR((($G2896*AE$2/1000)+V2896)/1,"NA")</f>
        <v>NA</v>
      </c>
      <c r="AF2896" s="29" t="str">
        <f t="shared" ref="AF2896:AF2959" si="962">IFERROR((($G2896*AF$2/1000)+W2896)/1,"NA")</f>
        <v>NA</v>
      </c>
      <c r="AG2896" s="29" t="str">
        <f t="shared" ref="AG2896:AG2959" si="963">IFERROR((($G2896*AG$2/1000)+X2896)/1,"NA")</f>
        <v>NA</v>
      </c>
      <c r="AH2896" s="29" t="str">
        <f t="shared" ref="AH2896:AH2959" si="964">IFERROR((($G2896*AH$2/1000)+Y2896)/1,"NA")</f>
        <v>NA</v>
      </c>
    </row>
    <row r="2897" customHeight="1" spans="1:34">
      <c r="A2897" s="12" t="s">
        <v>1043</v>
      </c>
      <c r="F2897" s="24">
        <f t="shared" si="946"/>
        <v>0</v>
      </c>
      <c r="G2897" s="24" t="e">
        <f t="shared" si="945"/>
        <v>#DIV/0!</v>
      </c>
      <c r="Q2897" s="29" t="str">
        <f t="shared" si="947"/>
        <v>NA</v>
      </c>
      <c r="R2897" s="29" t="str">
        <f t="shared" si="948"/>
        <v>NA</v>
      </c>
      <c r="S2897" s="29" t="str">
        <f t="shared" si="949"/>
        <v>NA</v>
      </c>
      <c r="T2897" s="29" t="str">
        <f t="shared" si="950"/>
        <v>NA</v>
      </c>
      <c r="U2897" s="29" t="str">
        <f t="shared" si="951"/>
        <v>NA</v>
      </c>
      <c r="V2897" s="29" t="str">
        <f t="shared" si="952"/>
        <v>NA</v>
      </c>
      <c r="W2897" s="29" t="str">
        <f t="shared" si="953"/>
        <v>NA</v>
      </c>
      <c r="X2897" s="29" t="str">
        <f t="shared" si="954"/>
        <v>NA</v>
      </c>
      <c r="Y2897" s="29" t="str">
        <f t="shared" si="955"/>
        <v>NA</v>
      </c>
      <c r="Z2897" s="29" t="str">
        <f t="shared" si="956"/>
        <v>NA</v>
      </c>
      <c r="AA2897" s="29" t="str">
        <f t="shared" si="957"/>
        <v>NA</v>
      </c>
      <c r="AB2897" s="29" t="str">
        <f t="shared" si="958"/>
        <v>NA</v>
      </c>
      <c r="AC2897" s="29" t="str">
        <f t="shared" si="959"/>
        <v>NA</v>
      </c>
      <c r="AD2897" s="29" t="str">
        <f t="shared" si="960"/>
        <v>NA</v>
      </c>
      <c r="AE2897" s="29" t="str">
        <f t="shared" si="961"/>
        <v>NA</v>
      </c>
      <c r="AF2897" s="29" t="str">
        <f t="shared" si="962"/>
        <v>NA</v>
      </c>
      <c r="AG2897" s="29" t="str">
        <f t="shared" si="963"/>
        <v>NA</v>
      </c>
      <c r="AH2897" s="29" t="str">
        <f t="shared" si="964"/>
        <v>NA</v>
      </c>
    </row>
    <row r="2898" customHeight="1" spans="1:34">
      <c r="A2898" s="12" t="s">
        <v>1043</v>
      </c>
      <c r="F2898" s="24">
        <f t="shared" si="946"/>
        <v>0</v>
      </c>
      <c r="G2898" s="24" t="e">
        <f t="shared" si="945"/>
        <v>#DIV/0!</v>
      </c>
      <c r="Q2898" s="29" t="str">
        <f t="shared" si="947"/>
        <v>NA</v>
      </c>
      <c r="R2898" s="29" t="str">
        <f t="shared" si="948"/>
        <v>NA</v>
      </c>
      <c r="S2898" s="29" t="str">
        <f t="shared" si="949"/>
        <v>NA</v>
      </c>
      <c r="T2898" s="29" t="str">
        <f t="shared" si="950"/>
        <v>NA</v>
      </c>
      <c r="U2898" s="29" t="str">
        <f t="shared" si="951"/>
        <v>NA</v>
      </c>
      <c r="V2898" s="29" t="str">
        <f t="shared" si="952"/>
        <v>NA</v>
      </c>
      <c r="W2898" s="29" t="str">
        <f t="shared" si="953"/>
        <v>NA</v>
      </c>
      <c r="X2898" s="29" t="str">
        <f t="shared" si="954"/>
        <v>NA</v>
      </c>
      <c r="Y2898" s="29" t="str">
        <f t="shared" si="955"/>
        <v>NA</v>
      </c>
      <c r="Z2898" s="29" t="str">
        <f t="shared" si="956"/>
        <v>NA</v>
      </c>
      <c r="AA2898" s="29" t="str">
        <f t="shared" si="957"/>
        <v>NA</v>
      </c>
      <c r="AB2898" s="29" t="str">
        <f t="shared" si="958"/>
        <v>NA</v>
      </c>
      <c r="AC2898" s="29" t="str">
        <f t="shared" si="959"/>
        <v>NA</v>
      </c>
      <c r="AD2898" s="29" t="str">
        <f t="shared" si="960"/>
        <v>NA</v>
      </c>
      <c r="AE2898" s="29" t="str">
        <f t="shared" si="961"/>
        <v>NA</v>
      </c>
      <c r="AF2898" s="29" t="str">
        <f t="shared" si="962"/>
        <v>NA</v>
      </c>
      <c r="AG2898" s="29" t="str">
        <f t="shared" si="963"/>
        <v>NA</v>
      </c>
      <c r="AH2898" s="29" t="str">
        <f t="shared" si="964"/>
        <v>NA</v>
      </c>
    </row>
    <row r="2899" customHeight="1" spans="1:34">
      <c r="A2899" s="12" t="s">
        <v>1043</v>
      </c>
      <c r="F2899" s="24">
        <f t="shared" si="946"/>
        <v>0</v>
      </c>
      <c r="G2899" s="24" t="e">
        <f t="shared" si="945"/>
        <v>#DIV/0!</v>
      </c>
      <c r="Q2899" s="29" t="str">
        <f t="shared" si="947"/>
        <v>NA</v>
      </c>
      <c r="R2899" s="29" t="str">
        <f t="shared" si="948"/>
        <v>NA</v>
      </c>
      <c r="S2899" s="29" t="str">
        <f t="shared" si="949"/>
        <v>NA</v>
      </c>
      <c r="T2899" s="29" t="str">
        <f t="shared" si="950"/>
        <v>NA</v>
      </c>
      <c r="U2899" s="29" t="str">
        <f t="shared" si="951"/>
        <v>NA</v>
      </c>
      <c r="V2899" s="29" t="str">
        <f t="shared" si="952"/>
        <v>NA</v>
      </c>
      <c r="W2899" s="29" t="str">
        <f t="shared" si="953"/>
        <v>NA</v>
      </c>
      <c r="X2899" s="29" t="str">
        <f t="shared" si="954"/>
        <v>NA</v>
      </c>
      <c r="Y2899" s="29" t="str">
        <f t="shared" si="955"/>
        <v>NA</v>
      </c>
      <c r="Z2899" s="29" t="str">
        <f t="shared" si="956"/>
        <v>NA</v>
      </c>
      <c r="AA2899" s="29" t="str">
        <f t="shared" si="957"/>
        <v>NA</v>
      </c>
      <c r="AB2899" s="29" t="str">
        <f t="shared" si="958"/>
        <v>NA</v>
      </c>
      <c r="AC2899" s="29" t="str">
        <f t="shared" si="959"/>
        <v>NA</v>
      </c>
      <c r="AD2899" s="29" t="str">
        <f t="shared" si="960"/>
        <v>NA</v>
      </c>
      <c r="AE2899" s="29" t="str">
        <f t="shared" si="961"/>
        <v>NA</v>
      </c>
      <c r="AF2899" s="29" t="str">
        <f t="shared" si="962"/>
        <v>NA</v>
      </c>
      <c r="AG2899" s="29" t="str">
        <f t="shared" si="963"/>
        <v>NA</v>
      </c>
      <c r="AH2899" s="29" t="str">
        <f t="shared" si="964"/>
        <v>NA</v>
      </c>
    </row>
    <row r="2900" customHeight="1" spans="1:34">
      <c r="A2900" s="12" t="s">
        <v>1043</v>
      </c>
      <c r="F2900" s="24">
        <f t="shared" si="946"/>
        <v>0</v>
      </c>
      <c r="G2900" s="24" t="e">
        <f t="shared" si="945"/>
        <v>#DIV/0!</v>
      </c>
      <c r="Q2900" s="29" t="str">
        <f t="shared" si="947"/>
        <v>NA</v>
      </c>
      <c r="R2900" s="29" t="str">
        <f t="shared" si="948"/>
        <v>NA</v>
      </c>
      <c r="S2900" s="29" t="str">
        <f t="shared" si="949"/>
        <v>NA</v>
      </c>
      <c r="T2900" s="29" t="str">
        <f t="shared" si="950"/>
        <v>NA</v>
      </c>
      <c r="U2900" s="29" t="str">
        <f t="shared" si="951"/>
        <v>NA</v>
      </c>
      <c r="V2900" s="29" t="str">
        <f t="shared" si="952"/>
        <v>NA</v>
      </c>
      <c r="W2900" s="29" t="str">
        <f t="shared" si="953"/>
        <v>NA</v>
      </c>
      <c r="X2900" s="29" t="str">
        <f t="shared" si="954"/>
        <v>NA</v>
      </c>
      <c r="Y2900" s="29" t="str">
        <f t="shared" si="955"/>
        <v>NA</v>
      </c>
      <c r="Z2900" s="29" t="str">
        <f t="shared" si="956"/>
        <v>NA</v>
      </c>
      <c r="AA2900" s="29" t="str">
        <f t="shared" si="957"/>
        <v>NA</v>
      </c>
      <c r="AB2900" s="29" t="str">
        <f t="shared" si="958"/>
        <v>NA</v>
      </c>
      <c r="AC2900" s="29" t="str">
        <f t="shared" si="959"/>
        <v>NA</v>
      </c>
      <c r="AD2900" s="29" t="str">
        <f t="shared" si="960"/>
        <v>NA</v>
      </c>
      <c r="AE2900" s="29" t="str">
        <f t="shared" si="961"/>
        <v>NA</v>
      </c>
      <c r="AF2900" s="29" t="str">
        <f t="shared" si="962"/>
        <v>NA</v>
      </c>
      <c r="AG2900" s="29" t="str">
        <f t="shared" si="963"/>
        <v>NA</v>
      </c>
      <c r="AH2900" s="29" t="str">
        <f t="shared" si="964"/>
        <v>NA</v>
      </c>
    </row>
    <row r="2901" customHeight="1" spans="1:34">
      <c r="A2901" s="12" t="s">
        <v>1043</v>
      </c>
      <c r="F2901" s="24">
        <f t="shared" si="946"/>
        <v>0</v>
      </c>
      <c r="G2901" s="24" t="e">
        <f t="shared" si="945"/>
        <v>#DIV/0!</v>
      </c>
      <c r="Q2901" s="29" t="str">
        <f t="shared" si="947"/>
        <v>NA</v>
      </c>
      <c r="R2901" s="29" t="str">
        <f t="shared" si="948"/>
        <v>NA</v>
      </c>
      <c r="S2901" s="29" t="str">
        <f t="shared" si="949"/>
        <v>NA</v>
      </c>
      <c r="T2901" s="29" t="str">
        <f t="shared" si="950"/>
        <v>NA</v>
      </c>
      <c r="U2901" s="29" t="str">
        <f t="shared" si="951"/>
        <v>NA</v>
      </c>
      <c r="V2901" s="29" t="str">
        <f t="shared" si="952"/>
        <v>NA</v>
      </c>
      <c r="W2901" s="29" t="str">
        <f t="shared" si="953"/>
        <v>NA</v>
      </c>
      <c r="X2901" s="29" t="str">
        <f t="shared" si="954"/>
        <v>NA</v>
      </c>
      <c r="Y2901" s="29" t="str">
        <f t="shared" si="955"/>
        <v>NA</v>
      </c>
      <c r="Z2901" s="29" t="str">
        <f t="shared" si="956"/>
        <v>NA</v>
      </c>
      <c r="AA2901" s="29" t="str">
        <f t="shared" si="957"/>
        <v>NA</v>
      </c>
      <c r="AB2901" s="29" t="str">
        <f t="shared" si="958"/>
        <v>NA</v>
      </c>
      <c r="AC2901" s="29" t="str">
        <f t="shared" si="959"/>
        <v>NA</v>
      </c>
      <c r="AD2901" s="29" t="str">
        <f t="shared" si="960"/>
        <v>NA</v>
      </c>
      <c r="AE2901" s="29" t="str">
        <f t="shared" si="961"/>
        <v>NA</v>
      </c>
      <c r="AF2901" s="29" t="str">
        <f t="shared" si="962"/>
        <v>NA</v>
      </c>
      <c r="AG2901" s="29" t="str">
        <f t="shared" si="963"/>
        <v>NA</v>
      </c>
      <c r="AH2901" s="29" t="str">
        <f t="shared" si="964"/>
        <v>NA</v>
      </c>
    </row>
    <row r="2902" customHeight="1" spans="1:34">
      <c r="A2902" s="12" t="s">
        <v>1043</v>
      </c>
      <c r="F2902" s="24">
        <f t="shared" si="946"/>
        <v>0</v>
      </c>
      <c r="G2902" s="24" t="e">
        <f t="shared" si="945"/>
        <v>#DIV/0!</v>
      </c>
      <c r="Q2902" s="29" t="str">
        <f t="shared" si="947"/>
        <v>NA</v>
      </c>
      <c r="R2902" s="29" t="str">
        <f t="shared" si="948"/>
        <v>NA</v>
      </c>
      <c r="S2902" s="29" t="str">
        <f t="shared" si="949"/>
        <v>NA</v>
      </c>
      <c r="T2902" s="29" t="str">
        <f t="shared" si="950"/>
        <v>NA</v>
      </c>
      <c r="U2902" s="29" t="str">
        <f t="shared" si="951"/>
        <v>NA</v>
      </c>
      <c r="V2902" s="29" t="str">
        <f t="shared" si="952"/>
        <v>NA</v>
      </c>
      <c r="W2902" s="29" t="str">
        <f t="shared" si="953"/>
        <v>NA</v>
      </c>
      <c r="X2902" s="29" t="str">
        <f t="shared" si="954"/>
        <v>NA</v>
      </c>
      <c r="Y2902" s="29" t="str">
        <f t="shared" si="955"/>
        <v>NA</v>
      </c>
      <c r="Z2902" s="29" t="str">
        <f t="shared" si="956"/>
        <v>NA</v>
      </c>
      <c r="AA2902" s="29" t="str">
        <f t="shared" si="957"/>
        <v>NA</v>
      </c>
      <c r="AB2902" s="29" t="str">
        <f t="shared" si="958"/>
        <v>NA</v>
      </c>
      <c r="AC2902" s="29" t="str">
        <f t="shared" si="959"/>
        <v>NA</v>
      </c>
      <c r="AD2902" s="29" t="str">
        <f t="shared" si="960"/>
        <v>NA</v>
      </c>
      <c r="AE2902" s="29" t="str">
        <f t="shared" si="961"/>
        <v>NA</v>
      </c>
      <c r="AF2902" s="29" t="str">
        <f t="shared" si="962"/>
        <v>NA</v>
      </c>
      <c r="AG2902" s="29" t="str">
        <f t="shared" si="963"/>
        <v>NA</v>
      </c>
      <c r="AH2902" s="29" t="str">
        <f t="shared" si="964"/>
        <v>NA</v>
      </c>
    </row>
    <row r="2903" customHeight="1" spans="1:34">
      <c r="A2903" s="12" t="s">
        <v>1043</v>
      </c>
      <c r="F2903" s="24">
        <f t="shared" si="946"/>
        <v>0</v>
      </c>
      <c r="G2903" s="24" t="e">
        <f t="shared" si="945"/>
        <v>#DIV/0!</v>
      </c>
      <c r="Q2903" s="29" t="str">
        <f t="shared" si="947"/>
        <v>NA</v>
      </c>
      <c r="R2903" s="29" t="str">
        <f t="shared" si="948"/>
        <v>NA</v>
      </c>
      <c r="S2903" s="29" t="str">
        <f t="shared" si="949"/>
        <v>NA</v>
      </c>
      <c r="T2903" s="29" t="str">
        <f t="shared" si="950"/>
        <v>NA</v>
      </c>
      <c r="U2903" s="29" t="str">
        <f t="shared" si="951"/>
        <v>NA</v>
      </c>
      <c r="V2903" s="29" t="str">
        <f t="shared" si="952"/>
        <v>NA</v>
      </c>
      <c r="W2903" s="29" t="str">
        <f t="shared" si="953"/>
        <v>NA</v>
      </c>
      <c r="X2903" s="29" t="str">
        <f t="shared" si="954"/>
        <v>NA</v>
      </c>
      <c r="Y2903" s="29" t="str">
        <f t="shared" si="955"/>
        <v>NA</v>
      </c>
      <c r="Z2903" s="29" t="str">
        <f t="shared" si="956"/>
        <v>NA</v>
      </c>
      <c r="AA2903" s="29" t="str">
        <f t="shared" si="957"/>
        <v>NA</v>
      </c>
      <c r="AB2903" s="29" t="str">
        <f t="shared" si="958"/>
        <v>NA</v>
      </c>
      <c r="AC2903" s="29" t="str">
        <f t="shared" si="959"/>
        <v>NA</v>
      </c>
      <c r="AD2903" s="29" t="str">
        <f t="shared" si="960"/>
        <v>NA</v>
      </c>
      <c r="AE2903" s="29" t="str">
        <f t="shared" si="961"/>
        <v>NA</v>
      </c>
      <c r="AF2903" s="29" t="str">
        <f t="shared" si="962"/>
        <v>NA</v>
      </c>
      <c r="AG2903" s="29" t="str">
        <f t="shared" si="963"/>
        <v>NA</v>
      </c>
      <c r="AH2903" s="29" t="str">
        <f t="shared" si="964"/>
        <v>NA</v>
      </c>
    </row>
    <row r="2904" customHeight="1" spans="1:34">
      <c r="A2904" s="12" t="s">
        <v>1043</v>
      </c>
      <c r="F2904" s="24">
        <f t="shared" si="946"/>
        <v>0</v>
      </c>
      <c r="G2904" s="24" t="e">
        <f t="shared" si="945"/>
        <v>#DIV/0!</v>
      </c>
      <c r="Q2904" s="29" t="str">
        <f t="shared" si="947"/>
        <v>NA</v>
      </c>
      <c r="R2904" s="29" t="str">
        <f t="shared" si="948"/>
        <v>NA</v>
      </c>
      <c r="S2904" s="29" t="str">
        <f t="shared" si="949"/>
        <v>NA</v>
      </c>
      <c r="T2904" s="29" t="str">
        <f t="shared" si="950"/>
        <v>NA</v>
      </c>
      <c r="U2904" s="29" t="str">
        <f t="shared" si="951"/>
        <v>NA</v>
      </c>
      <c r="V2904" s="29" t="str">
        <f t="shared" si="952"/>
        <v>NA</v>
      </c>
      <c r="W2904" s="29" t="str">
        <f t="shared" si="953"/>
        <v>NA</v>
      </c>
      <c r="X2904" s="29" t="str">
        <f t="shared" si="954"/>
        <v>NA</v>
      </c>
      <c r="Y2904" s="29" t="str">
        <f t="shared" si="955"/>
        <v>NA</v>
      </c>
      <c r="Z2904" s="29" t="str">
        <f t="shared" si="956"/>
        <v>NA</v>
      </c>
      <c r="AA2904" s="29" t="str">
        <f t="shared" si="957"/>
        <v>NA</v>
      </c>
      <c r="AB2904" s="29" t="str">
        <f t="shared" si="958"/>
        <v>NA</v>
      </c>
      <c r="AC2904" s="29" t="str">
        <f t="shared" si="959"/>
        <v>NA</v>
      </c>
      <c r="AD2904" s="29" t="str">
        <f t="shared" si="960"/>
        <v>NA</v>
      </c>
      <c r="AE2904" s="29" t="str">
        <f t="shared" si="961"/>
        <v>NA</v>
      </c>
      <c r="AF2904" s="29" t="str">
        <f t="shared" si="962"/>
        <v>NA</v>
      </c>
      <c r="AG2904" s="29" t="str">
        <f t="shared" si="963"/>
        <v>NA</v>
      </c>
      <c r="AH2904" s="29" t="str">
        <f t="shared" si="964"/>
        <v>NA</v>
      </c>
    </row>
    <row r="2905" customHeight="1" spans="1:34">
      <c r="A2905" s="12" t="s">
        <v>1043</v>
      </c>
      <c r="F2905" s="24">
        <f t="shared" si="946"/>
        <v>0</v>
      </c>
      <c r="G2905" s="24" t="e">
        <f t="shared" si="945"/>
        <v>#DIV/0!</v>
      </c>
      <c r="Q2905" s="29" t="str">
        <f t="shared" si="947"/>
        <v>NA</v>
      </c>
      <c r="R2905" s="29" t="str">
        <f t="shared" si="948"/>
        <v>NA</v>
      </c>
      <c r="S2905" s="29" t="str">
        <f t="shared" si="949"/>
        <v>NA</v>
      </c>
      <c r="T2905" s="29" t="str">
        <f t="shared" si="950"/>
        <v>NA</v>
      </c>
      <c r="U2905" s="29" t="str">
        <f t="shared" si="951"/>
        <v>NA</v>
      </c>
      <c r="V2905" s="29" t="str">
        <f t="shared" si="952"/>
        <v>NA</v>
      </c>
      <c r="W2905" s="29" t="str">
        <f t="shared" si="953"/>
        <v>NA</v>
      </c>
      <c r="X2905" s="29" t="str">
        <f t="shared" si="954"/>
        <v>NA</v>
      </c>
      <c r="Y2905" s="29" t="str">
        <f t="shared" si="955"/>
        <v>NA</v>
      </c>
      <c r="Z2905" s="29" t="str">
        <f t="shared" si="956"/>
        <v>NA</v>
      </c>
      <c r="AA2905" s="29" t="str">
        <f t="shared" si="957"/>
        <v>NA</v>
      </c>
      <c r="AB2905" s="29" t="str">
        <f t="shared" si="958"/>
        <v>NA</v>
      </c>
      <c r="AC2905" s="29" t="str">
        <f t="shared" si="959"/>
        <v>NA</v>
      </c>
      <c r="AD2905" s="29" t="str">
        <f t="shared" si="960"/>
        <v>NA</v>
      </c>
      <c r="AE2905" s="29" t="str">
        <f t="shared" si="961"/>
        <v>NA</v>
      </c>
      <c r="AF2905" s="29" t="str">
        <f t="shared" si="962"/>
        <v>NA</v>
      </c>
      <c r="AG2905" s="29" t="str">
        <f t="shared" si="963"/>
        <v>NA</v>
      </c>
      <c r="AH2905" s="29" t="str">
        <f t="shared" si="964"/>
        <v>NA</v>
      </c>
    </row>
    <row r="2906" customHeight="1" spans="1:34">
      <c r="A2906" s="12" t="s">
        <v>1043</v>
      </c>
      <c r="F2906" s="24">
        <f t="shared" si="946"/>
        <v>0</v>
      </c>
      <c r="G2906" s="24" t="e">
        <f t="shared" si="945"/>
        <v>#DIV/0!</v>
      </c>
      <c r="Q2906" s="29" t="str">
        <f t="shared" si="947"/>
        <v>NA</v>
      </c>
      <c r="R2906" s="29" t="str">
        <f t="shared" si="948"/>
        <v>NA</v>
      </c>
      <c r="S2906" s="29" t="str">
        <f t="shared" si="949"/>
        <v>NA</v>
      </c>
      <c r="T2906" s="29" t="str">
        <f t="shared" si="950"/>
        <v>NA</v>
      </c>
      <c r="U2906" s="29" t="str">
        <f t="shared" si="951"/>
        <v>NA</v>
      </c>
      <c r="V2906" s="29" t="str">
        <f t="shared" si="952"/>
        <v>NA</v>
      </c>
      <c r="W2906" s="29" t="str">
        <f t="shared" si="953"/>
        <v>NA</v>
      </c>
      <c r="X2906" s="29" t="str">
        <f t="shared" si="954"/>
        <v>NA</v>
      </c>
      <c r="Y2906" s="29" t="str">
        <f t="shared" si="955"/>
        <v>NA</v>
      </c>
      <c r="Z2906" s="29" t="str">
        <f t="shared" si="956"/>
        <v>NA</v>
      </c>
      <c r="AA2906" s="29" t="str">
        <f t="shared" si="957"/>
        <v>NA</v>
      </c>
      <c r="AB2906" s="29" t="str">
        <f t="shared" si="958"/>
        <v>NA</v>
      </c>
      <c r="AC2906" s="29" t="str">
        <f t="shared" si="959"/>
        <v>NA</v>
      </c>
      <c r="AD2906" s="29" t="str">
        <f t="shared" si="960"/>
        <v>NA</v>
      </c>
      <c r="AE2906" s="29" t="str">
        <f t="shared" si="961"/>
        <v>NA</v>
      </c>
      <c r="AF2906" s="29" t="str">
        <f t="shared" si="962"/>
        <v>NA</v>
      </c>
      <c r="AG2906" s="29" t="str">
        <f t="shared" si="963"/>
        <v>NA</v>
      </c>
      <c r="AH2906" s="29" t="str">
        <f t="shared" si="964"/>
        <v>NA</v>
      </c>
    </row>
    <row r="2907" customHeight="1" spans="1:34">
      <c r="A2907" s="12" t="s">
        <v>1043</v>
      </c>
      <c r="F2907" s="24">
        <f t="shared" si="946"/>
        <v>0</v>
      </c>
      <c r="G2907" s="24" t="e">
        <f t="shared" si="945"/>
        <v>#DIV/0!</v>
      </c>
      <c r="Q2907" s="29" t="str">
        <f t="shared" si="947"/>
        <v>NA</v>
      </c>
      <c r="R2907" s="29" t="str">
        <f t="shared" si="948"/>
        <v>NA</v>
      </c>
      <c r="S2907" s="29" t="str">
        <f t="shared" si="949"/>
        <v>NA</v>
      </c>
      <c r="T2907" s="29" t="str">
        <f t="shared" si="950"/>
        <v>NA</v>
      </c>
      <c r="U2907" s="29" t="str">
        <f t="shared" si="951"/>
        <v>NA</v>
      </c>
      <c r="V2907" s="29" t="str">
        <f t="shared" si="952"/>
        <v>NA</v>
      </c>
      <c r="W2907" s="29" t="str">
        <f t="shared" si="953"/>
        <v>NA</v>
      </c>
      <c r="X2907" s="29" t="str">
        <f t="shared" si="954"/>
        <v>NA</v>
      </c>
      <c r="Y2907" s="29" t="str">
        <f t="shared" si="955"/>
        <v>NA</v>
      </c>
      <c r="Z2907" s="29" t="str">
        <f t="shared" si="956"/>
        <v>NA</v>
      </c>
      <c r="AA2907" s="29" t="str">
        <f t="shared" si="957"/>
        <v>NA</v>
      </c>
      <c r="AB2907" s="29" t="str">
        <f t="shared" si="958"/>
        <v>NA</v>
      </c>
      <c r="AC2907" s="29" t="str">
        <f t="shared" si="959"/>
        <v>NA</v>
      </c>
      <c r="AD2907" s="29" t="str">
        <f t="shared" si="960"/>
        <v>NA</v>
      </c>
      <c r="AE2907" s="29" t="str">
        <f t="shared" si="961"/>
        <v>NA</v>
      </c>
      <c r="AF2907" s="29" t="str">
        <f t="shared" si="962"/>
        <v>NA</v>
      </c>
      <c r="AG2907" s="29" t="str">
        <f t="shared" si="963"/>
        <v>NA</v>
      </c>
      <c r="AH2907" s="29" t="str">
        <f t="shared" si="964"/>
        <v>NA</v>
      </c>
    </row>
    <row r="2908" customHeight="1" spans="1:34">
      <c r="A2908" s="12" t="s">
        <v>1043</v>
      </c>
      <c r="F2908" s="24">
        <f t="shared" si="946"/>
        <v>0</v>
      </c>
      <c r="G2908" s="24" t="e">
        <f t="shared" si="945"/>
        <v>#DIV/0!</v>
      </c>
      <c r="Q2908" s="29" t="str">
        <f t="shared" si="947"/>
        <v>NA</v>
      </c>
      <c r="R2908" s="29" t="str">
        <f t="shared" si="948"/>
        <v>NA</v>
      </c>
      <c r="S2908" s="29" t="str">
        <f t="shared" si="949"/>
        <v>NA</v>
      </c>
      <c r="T2908" s="29" t="str">
        <f t="shared" si="950"/>
        <v>NA</v>
      </c>
      <c r="U2908" s="29" t="str">
        <f t="shared" si="951"/>
        <v>NA</v>
      </c>
      <c r="V2908" s="29" t="str">
        <f t="shared" si="952"/>
        <v>NA</v>
      </c>
      <c r="W2908" s="29" t="str">
        <f t="shared" si="953"/>
        <v>NA</v>
      </c>
      <c r="X2908" s="29" t="str">
        <f t="shared" si="954"/>
        <v>NA</v>
      </c>
      <c r="Y2908" s="29" t="str">
        <f t="shared" si="955"/>
        <v>NA</v>
      </c>
      <c r="Z2908" s="29" t="str">
        <f t="shared" si="956"/>
        <v>NA</v>
      </c>
      <c r="AA2908" s="29" t="str">
        <f t="shared" si="957"/>
        <v>NA</v>
      </c>
      <c r="AB2908" s="29" t="str">
        <f t="shared" si="958"/>
        <v>NA</v>
      </c>
      <c r="AC2908" s="29" t="str">
        <f t="shared" si="959"/>
        <v>NA</v>
      </c>
      <c r="AD2908" s="29" t="str">
        <f t="shared" si="960"/>
        <v>NA</v>
      </c>
      <c r="AE2908" s="29" t="str">
        <f t="shared" si="961"/>
        <v>NA</v>
      </c>
      <c r="AF2908" s="29" t="str">
        <f t="shared" si="962"/>
        <v>NA</v>
      </c>
      <c r="AG2908" s="29" t="str">
        <f t="shared" si="963"/>
        <v>NA</v>
      </c>
      <c r="AH2908" s="29" t="str">
        <f t="shared" si="964"/>
        <v>NA</v>
      </c>
    </row>
    <row r="2909" customHeight="1" spans="1:34">
      <c r="A2909" s="12" t="s">
        <v>1043</v>
      </c>
      <c r="F2909" s="24">
        <f t="shared" si="946"/>
        <v>0</v>
      </c>
      <c r="G2909" s="24" t="e">
        <f t="shared" si="945"/>
        <v>#DIV/0!</v>
      </c>
      <c r="Q2909" s="29" t="str">
        <f t="shared" si="947"/>
        <v>NA</v>
      </c>
      <c r="R2909" s="29" t="str">
        <f t="shared" si="948"/>
        <v>NA</v>
      </c>
      <c r="S2909" s="29" t="str">
        <f t="shared" si="949"/>
        <v>NA</v>
      </c>
      <c r="T2909" s="29" t="str">
        <f t="shared" si="950"/>
        <v>NA</v>
      </c>
      <c r="U2909" s="29" t="str">
        <f t="shared" si="951"/>
        <v>NA</v>
      </c>
      <c r="V2909" s="29" t="str">
        <f t="shared" si="952"/>
        <v>NA</v>
      </c>
      <c r="W2909" s="29" t="str">
        <f t="shared" si="953"/>
        <v>NA</v>
      </c>
      <c r="X2909" s="29" t="str">
        <f t="shared" si="954"/>
        <v>NA</v>
      </c>
      <c r="Y2909" s="29" t="str">
        <f t="shared" si="955"/>
        <v>NA</v>
      </c>
      <c r="Z2909" s="29" t="str">
        <f t="shared" si="956"/>
        <v>NA</v>
      </c>
      <c r="AA2909" s="29" t="str">
        <f t="shared" si="957"/>
        <v>NA</v>
      </c>
      <c r="AB2909" s="29" t="str">
        <f t="shared" si="958"/>
        <v>NA</v>
      </c>
      <c r="AC2909" s="29" t="str">
        <f t="shared" si="959"/>
        <v>NA</v>
      </c>
      <c r="AD2909" s="29" t="str">
        <f t="shared" si="960"/>
        <v>NA</v>
      </c>
      <c r="AE2909" s="29" t="str">
        <f t="shared" si="961"/>
        <v>NA</v>
      </c>
      <c r="AF2909" s="29" t="str">
        <f t="shared" si="962"/>
        <v>NA</v>
      </c>
      <c r="AG2909" s="29" t="str">
        <f t="shared" si="963"/>
        <v>NA</v>
      </c>
      <c r="AH2909" s="29" t="str">
        <f t="shared" si="964"/>
        <v>NA</v>
      </c>
    </row>
    <row r="2910" customHeight="1" spans="1:34">
      <c r="A2910" s="12" t="s">
        <v>1043</v>
      </c>
      <c r="F2910" s="24">
        <f t="shared" si="946"/>
        <v>0</v>
      </c>
      <c r="G2910" s="24" t="e">
        <f t="shared" si="945"/>
        <v>#DIV/0!</v>
      </c>
      <c r="Q2910" s="29" t="str">
        <f t="shared" si="947"/>
        <v>NA</v>
      </c>
      <c r="R2910" s="29" t="str">
        <f t="shared" si="948"/>
        <v>NA</v>
      </c>
      <c r="S2910" s="29" t="str">
        <f t="shared" si="949"/>
        <v>NA</v>
      </c>
      <c r="T2910" s="29" t="str">
        <f t="shared" si="950"/>
        <v>NA</v>
      </c>
      <c r="U2910" s="29" t="str">
        <f t="shared" si="951"/>
        <v>NA</v>
      </c>
      <c r="V2910" s="29" t="str">
        <f t="shared" si="952"/>
        <v>NA</v>
      </c>
      <c r="W2910" s="29" t="str">
        <f t="shared" si="953"/>
        <v>NA</v>
      </c>
      <c r="X2910" s="29" t="str">
        <f t="shared" si="954"/>
        <v>NA</v>
      </c>
      <c r="Y2910" s="29" t="str">
        <f t="shared" si="955"/>
        <v>NA</v>
      </c>
      <c r="Z2910" s="29" t="str">
        <f t="shared" si="956"/>
        <v>NA</v>
      </c>
      <c r="AA2910" s="29" t="str">
        <f t="shared" si="957"/>
        <v>NA</v>
      </c>
      <c r="AB2910" s="29" t="str">
        <f t="shared" si="958"/>
        <v>NA</v>
      </c>
      <c r="AC2910" s="29" t="str">
        <f t="shared" si="959"/>
        <v>NA</v>
      </c>
      <c r="AD2910" s="29" t="str">
        <f t="shared" si="960"/>
        <v>NA</v>
      </c>
      <c r="AE2910" s="29" t="str">
        <f t="shared" si="961"/>
        <v>NA</v>
      </c>
      <c r="AF2910" s="29" t="str">
        <f t="shared" si="962"/>
        <v>NA</v>
      </c>
      <c r="AG2910" s="29" t="str">
        <f t="shared" si="963"/>
        <v>NA</v>
      </c>
      <c r="AH2910" s="29" t="str">
        <f t="shared" si="964"/>
        <v>NA</v>
      </c>
    </row>
    <row r="2911" customHeight="1" spans="1:34">
      <c r="A2911" s="12" t="s">
        <v>1043</v>
      </c>
      <c r="F2911" s="24">
        <f t="shared" si="946"/>
        <v>0</v>
      </c>
      <c r="G2911" s="24" t="e">
        <f t="shared" si="945"/>
        <v>#DIV/0!</v>
      </c>
      <c r="Q2911" s="29" t="str">
        <f t="shared" si="947"/>
        <v>NA</v>
      </c>
      <c r="R2911" s="29" t="str">
        <f t="shared" si="948"/>
        <v>NA</v>
      </c>
      <c r="S2911" s="29" t="str">
        <f t="shared" si="949"/>
        <v>NA</v>
      </c>
      <c r="T2911" s="29" t="str">
        <f t="shared" si="950"/>
        <v>NA</v>
      </c>
      <c r="U2911" s="29" t="str">
        <f t="shared" si="951"/>
        <v>NA</v>
      </c>
      <c r="V2911" s="29" t="str">
        <f t="shared" si="952"/>
        <v>NA</v>
      </c>
      <c r="W2911" s="29" t="str">
        <f t="shared" si="953"/>
        <v>NA</v>
      </c>
      <c r="X2911" s="29" t="str">
        <f t="shared" si="954"/>
        <v>NA</v>
      </c>
      <c r="Y2911" s="29" t="str">
        <f t="shared" si="955"/>
        <v>NA</v>
      </c>
      <c r="Z2911" s="29" t="str">
        <f t="shared" si="956"/>
        <v>NA</v>
      </c>
      <c r="AA2911" s="29" t="str">
        <f t="shared" si="957"/>
        <v>NA</v>
      </c>
      <c r="AB2911" s="29" t="str">
        <f t="shared" si="958"/>
        <v>NA</v>
      </c>
      <c r="AC2911" s="29" t="str">
        <f t="shared" si="959"/>
        <v>NA</v>
      </c>
      <c r="AD2911" s="29" t="str">
        <f t="shared" si="960"/>
        <v>NA</v>
      </c>
      <c r="AE2911" s="29" t="str">
        <f t="shared" si="961"/>
        <v>NA</v>
      </c>
      <c r="AF2911" s="29" t="str">
        <f t="shared" si="962"/>
        <v>NA</v>
      </c>
      <c r="AG2911" s="29" t="str">
        <f t="shared" si="963"/>
        <v>NA</v>
      </c>
      <c r="AH2911" s="29" t="str">
        <f t="shared" si="964"/>
        <v>NA</v>
      </c>
    </row>
    <row r="2912" customHeight="1" spans="1:34">
      <c r="A2912" s="12" t="s">
        <v>1043</v>
      </c>
      <c r="F2912" s="24">
        <f t="shared" si="946"/>
        <v>0</v>
      </c>
      <c r="G2912" s="24" t="e">
        <f t="shared" si="945"/>
        <v>#DIV/0!</v>
      </c>
      <c r="Q2912" s="29" t="str">
        <f t="shared" si="947"/>
        <v>NA</v>
      </c>
      <c r="R2912" s="29" t="str">
        <f t="shared" si="948"/>
        <v>NA</v>
      </c>
      <c r="S2912" s="29" t="str">
        <f t="shared" si="949"/>
        <v>NA</v>
      </c>
      <c r="T2912" s="29" t="str">
        <f t="shared" si="950"/>
        <v>NA</v>
      </c>
      <c r="U2912" s="29" t="str">
        <f t="shared" si="951"/>
        <v>NA</v>
      </c>
      <c r="V2912" s="29" t="str">
        <f t="shared" si="952"/>
        <v>NA</v>
      </c>
      <c r="W2912" s="29" t="str">
        <f t="shared" si="953"/>
        <v>NA</v>
      </c>
      <c r="X2912" s="29" t="str">
        <f t="shared" si="954"/>
        <v>NA</v>
      </c>
      <c r="Y2912" s="29" t="str">
        <f t="shared" si="955"/>
        <v>NA</v>
      </c>
      <c r="Z2912" s="29" t="str">
        <f t="shared" si="956"/>
        <v>NA</v>
      </c>
      <c r="AA2912" s="29" t="str">
        <f t="shared" si="957"/>
        <v>NA</v>
      </c>
      <c r="AB2912" s="29" t="str">
        <f t="shared" si="958"/>
        <v>NA</v>
      </c>
      <c r="AC2912" s="29" t="str">
        <f t="shared" si="959"/>
        <v>NA</v>
      </c>
      <c r="AD2912" s="29" t="str">
        <f t="shared" si="960"/>
        <v>NA</v>
      </c>
      <c r="AE2912" s="29" t="str">
        <f t="shared" si="961"/>
        <v>NA</v>
      </c>
      <c r="AF2912" s="29" t="str">
        <f t="shared" si="962"/>
        <v>NA</v>
      </c>
      <c r="AG2912" s="29" t="str">
        <f t="shared" si="963"/>
        <v>NA</v>
      </c>
      <c r="AH2912" s="29" t="str">
        <f t="shared" si="964"/>
        <v>NA</v>
      </c>
    </row>
    <row r="2913" customHeight="1" spans="1:34">
      <c r="A2913" s="12" t="s">
        <v>1043</v>
      </c>
      <c r="F2913" s="24">
        <f t="shared" si="946"/>
        <v>0</v>
      </c>
      <c r="G2913" s="24" t="e">
        <f t="shared" si="945"/>
        <v>#DIV/0!</v>
      </c>
      <c r="Q2913" s="29" t="str">
        <f t="shared" si="947"/>
        <v>NA</v>
      </c>
      <c r="R2913" s="29" t="str">
        <f t="shared" si="948"/>
        <v>NA</v>
      </c>
      <c r="S2913" s="29" t="str">
        <f t="shared" si="949"/>
        <v>NA</v>
      </c>
      <c r="T2913" s="29" t="str">
        <f t="shared" si="950"/>
        <v>NA</v>
      </c>
      <c r="U2913" s="29" t="str">
        <f t="shared" si="951"/>
        <v>NA</v>
      </c>
      <c r="V2913" s="29" t="str">
        <f t="shared" si="952"/>
        <v>NA</v>
      </c>
      <c r="W2913" s="29" t="str">
        <f t="shared" si="953"/>
        <v>NA</v>
      </c>
      <c r="X2913" s="29" t="str">
        <f t="shared" si="954"/>
        <v>NA</v>
      </c>
      <c r="Y2913" s="29" t="str">
        <f t="shared" si="955"/>
        <v>NA</v>
      </c>
      <c r="Z2913" s="29" t="str">
        <f t="shared" si="956"/>
        <v>NA</v>
      </c>
      <c r="AA2913" s="29" t="str">
        <f t="shared" si="957"/>
        <v>NA</v>
      </c>
      <c r="AB2913" s="29" t="str">
        <f t="shared" si="958"/>
        <v>NA</v>
      </c>
      <c r="AC2913" s="29" t="str">
        <f t="shared" si="959"/>
        <v>NA</v>
      </c>
      <c r="AD2913" s="29" t="str">
        <f t="shared" si="960"/>
        <v>NA</v>
      </c>
      <c r="AE2913" s="29" t="str">
        <f t="shared" si="961"/>
        <v>NA</v>
      </c>
      <c r="AF2913" s="29" t="str">
        <f t="shared" si="962"/>
        <v>NA</v>
      </c>
      <c r="AG2913" s="29" t="str">
        <f t="shared" si="963"/>
        <v>NA</v>
      </c>
      <c r="AH2913" s="29" t="str">
        <f t="shared" si="964"/>
        <v>NA</v>
      </c>
    </row>
    <row r="2914" customHeight="1" spans="1:34">
      <c r="A2914" s="12" t="s">
        <v>1043</v>
      </c>
      <c r="F2914" s="24">
        <f t="shared" si="946"/>
        <v>0</v>
      </c>
      <c r="G2914" s="24" t="e">
        <f t="shared" si="945"/>
        <v>#DIV/0!</v>
      </c>
      <c r="Q2914" s="29" t="str">
        <f t="shared" si="947"/>
        <v>NA</v>
      </c>
      <c r="R2914" s="29" t="str">
        <f t="shared" si="948"/>
        <v>NA</v>
      </c>
      <c r="S2914" s="29" t="str">
        <f t="shared" si="949"/>
        <v>NA</v>
      </c>
      <c r="T2914" s="29" t="str">
        <f t="shared" si="950"/>
        <v>NA</v>
      </c>
      <c r="U2914" s="29" t="str">
        <f t="shared" si="951"/>
        <v>NA</v>
      </c>
      <c r="V2914" s="29" t="str">
        <f t="shared" si="952"/>
        <v>NA</v>
      </c>
      <c r="W2914" s="29" t="str">
        <f t="shared" si="953"/>
        <v>NA</v>
      </c>
      <c r="X2914" s="29" t="str">
        <f t="shared" si="954"/>
        <v>NA</v>
      </c>
      <c r="Y2914" s="29" t="str">
        <f t="shared" si="955"/>
        <v>NA</v>
      </c>
      <c r="Z2914" s="29" t="str">
        <f t="shared" si="956"/>
        <v>NA</v>
      </c>
      <c r="AA2914" s="29" t="str">
        <f t="shared" si="957"/>
        <v>NA</v>
      </c>
      <c r="AB2914" s="29" t="str">
        <f t="shared" si="958"/>
        <v>NA</v>
      </c>
      <c r="AC2914" s="29" t="str">
        <f t="shared" si="959"/>
        <v>NA</v>
      </c>
      <c r="AD2914" s="29" t="str">
        <f t="shared" si="960"/>
        <v>NA</v>
      </c>
      <c r="AE2914" s="29" t="str">
        <f t="shared" si="961"/>
        <v>NA</v>
      </c>
      <c r="AF2914" s="29" t="str">
        <f t="shared" si="962"/>
        <v>NA</v>
      </c>
      <c r="AG2914" s="29" t="str">
        <f t="shared" si="963"/>
        <v>NA</v>
      </c>
      <c r="AH2914" s="29" t="str">
        <f t="shared" si="964"/>
        <v>NA</v>
      </c>
    </row>
    <row r="2915" customHeight="1" spans="1:34">
      <c r="A2915" s="12" t="s">
        <v>1043</v>
      </c>
      <c r="F2915" s="24">
        <f t="shared" si="946"/>
        <v>0</v>
      </c>
      <c r="G2915" s="24" t="e">
        <f t="shared" si="945"/>
        <v>#DIV/0!</v>
      </c>
      <c r="Q2915" s="29" t="str">
        <f t="shared" si="947"/>
        <v>NA</v>
      </c>
      <c r="R2915" s="29" t="str">
        <f t="shared" si="948"/>
        <v>NA</v>
      </c>
      <c r="S2915" s="29" t="str">
        <f t="shared" si="949"/>
        <v>NA</v>
      </c>
      <c r="T2915" s="29" t="str">
        <f t="shared" si="950"/>
        <v>NA</v>
      </c>
      <c r="U2915" s="29" t="str">
        <f t="shared" si="951"/>
        <v>NA</v>
      </c>
      <c r="V2915" s="29" t="str">
        <f t="shared" si="952"/>
        <v>NA</v>
      </c>
      <c r="W2915" s="29" t="str">
        <f t="shared" si="953"/>
        <v>NA</v>
      </c>
      <c r="X2915" s="29" t="str">
        <f t="shared" si="954"/>
        <v>NA</v>
      </c>
      <c r="Y2915" s="29" t="str">
        <f t="shared" si="955"/>
        <v>NA</v>
      </c>
      <c r="Z2915" s="29" t="str">
        <f t="shared" si="956"/>
        <v>NA</v>
      </c>
      <c r="AA2915" s="29" t="str">
        <f t="shared" si="957"/>
        <v>NA</v>
      </c>
      <c r="AB2915" s="29" t="str">
        <f t="shared" si="958"/>
        <v>NA</v>
      </c>
      <c r="AC2915" s="29" t="str">
        <f t="shared" si="959"/>
        <v>NA</v>
      </c>
      <c r="AD2915" s="29" t="str">
        <f t="shared" si="960"/>
        <v>NA</v>
      </c>
      <c r="AE2915" s="29" t="str">
        <f t="shared" si="961"/>
        <v>NA</v>
      </c>
      <c r="AF2915" s="29" t="str">
        <f t="shared" si="962"/>
        <v>NA</v>
      </c>
      <c r="AG2915" s="29" t="str">
        <f t="shared" si="963"/>
        <v>NA</v>
      </c>
      <c r="AH2915" s="29" t="str">
        <f t="shared" si="964"/>
        <v>NA</v>
      </c>
    </row>
    <row r="2916" customHeight="1" spans="1:34">
      <c r="A2916" s="12" t="s">
        <v>1043</v>
      </c>
      <c r="F2916" s="24">
        <f t="shared" si="946"/>
        <v>0</v>
      </c>
      <c r="G2916" s="24" t="e">
        <f t="shared" si="945"/>
        <v>#DIV/0!</v>
      </c>
      <c r="Q2916" s="29" t="str">
        <f t="shared" si="947"/>
        <v>NA</v>
      </c>
      <c r="R2916" s="29" t="str">
        <f t="shared" si="948"/>
        <v>NA</v>
      </c>
      <c r="S2916" s="29" t="str">
        <f t="shared" si="949"/>
        <v>NA</v>
      </c>
      <c r="T2916" s="29" t="str">
        <f t="shared" si="950"/>
        <v>NA</v>
      </c>
      <c r="U2916" s="29" t="str">
        <f t="shared" si="951"/>
        <v>NA</v>
      </c>
      <c r="V2916" s="29" t="str">
        <f t="shared" si="952"/>
        <v>NA</v>
      </c>
      <c r="W2916" s="29" t="str">
        <f t="shared" si="953"/>
        <v>NA</v>
      </c>
      <c r="X2916" s="29" t="str">
        <f t="shared" si="954"/>
        <v>NA</v>
      </c>
      <c r="Y2916" s="29" t="str">
        <f t="shared" si="955"/>
        <v>NA</v>
      </c>
      <c r="Z2916" s="29" t="str">
        <f t="shared" si="956"/>
        <v>NA</v>
      </c>
      <c r="AA2916" s="29" t="str">
        <f t="shared" si="957"/>
        <v>NA</v>
      </c>
      <c r="AB2916" s="29" t="str">
        <f t="shared" si="958"/>
        <v>NA</v>
      </c>
      <c r="AC2916" s="29" t="str">
        <f t="shared" si="959"/>
        <v>NA</v>
      </c>
      <c r="AD2916" s="29" t="str">
        <f t="shared" si="960"/>
        <v>NA</v>
      </c>
      <c r="AE2916" s="29" t="str">
        <f t="shared" si="961"/>
        <v>NA</v>
      </c>
      <c r="AF2916" s="29" t="str">
        <f t="shared" si="962"/>
        <v>NA</v>
      </c>
      <c r="AG2916" s="29" t="str">
        <f t="shared" si="963"/>
        <v>NA</v>
      </c>
      <c r="AH2916" s="29" t="str">
        <f t="shared" si="964"/>
        <v>NA</v>
      </c>
    </row>
    <row r="2917" customHeight="1" spans="1:34">
      <c r="A2917" s="12" t="s">
        <v>1043</v>
      </c>
      <c r="F2917" s="24">
        <f t="shared" si="946"/>
        <v>0</v>
      </c>
      <c r="G2917" s="24" t="e">
        <f t="shared" si="945"/>
        <v>#DIV/0!</v>
      </c>
      <c r="Q2917" s="29" t="str">
        <f t="shared" si="947"/>
        <v>NA</v>
      </c>
      <c r="R2917" s="29" t="str">
        <f t="shared" si="948"/>
        <v>NA</v>
      </c>
      <c r="S2917" s="29" t="str">
        <f t="shared" si="949"/>
        <v>NA</v>
      </c>
      <c r="T2917" s="29" t="str">
        <f t="shared" si="950"/>
        <v>NA</v>
      </c>
      <c r="U2917" s="29" t="str">
        <f t="shared" si="951"/>
        <v>NA</v>
      </c>
      <c r="V2917" s="29" t="str">
        <f t="shared" si="952"/>
        <v>NA</v>
      </c>
      <c r="W2917" s="29" t="str">
        <f t="shared" si="953"/>
        <v>NA</v>
      </c>
      <c r="X2917" s="29" t="str">
        <f t="shared" si="954"/>
        <v>NA</v>
      </c>
      <c r="Y2917" s="29" t="str">
        <f t="shared" si="955"/>
        <v>NA</v>
      </c>
      <c r="Z2917" s="29" t="str">
        <f t="shared" si="956"/>
        <v>NA</v>
      </c>
      <c r="AA2917" s="29" t="str">
        <f t="shared" si="957"/>
        <v>NA</v>
      </c>
      <c r="AB2917" s="29" t="str">
        <f t="shared" si="958"/>
        <v>NA</v>
      </c>
      <c r="AC2917" s="29" t="str">
        <f t="shared" si="959"/>
        <v>NA</v>
      </c>
      <c r="AD2917" s="29" t="str">
        <f t="shared" si="960"/>
        <v>NA</v>
      </c>
      <c r="AE2917" s="29" t="str">
        <f t="shared" si="961"/>
        <v>NA</v>
      </c>
      <c r="AF2917" s="29" t="str">
        <f t="shared" si="962"/>
        <v>NA</v>
      </c>
      <c r="AG2917" s="29" t="str">
        <f t="shared" si="963"/>
        <v>NA</v>
      </c>
      <c r="AH2917" s="29" t="str">
        <f t="shared" si="964"/>
        <v>NA</v>
      </c>
    </row>
    <row r="2918" customHeight="1" spans="1:34">
      <c r="A2918" s="12" t="s">
        <v>1043</v>
      </c>
      <c r="F2918" s="24">
        <f t="shared" si="946"/>
        <v>0</v>
      </c>
      <c r="G2918" s="24" t="e">
        <f t="shared" si="945"/>
        <v>#DIV/0!</v>
      </c>
      <c r="Q2918" s="29" t="str">
        <f t="shared" si="947"/>
        <v>NA</v>
      </c>
      <c r="R2918" s="29" t="str">
        <f t="shared" si="948"/>
        <v>NA</v>
      </c>
      <c r="S2918" s="29" t="str">
        <f t="shared" si="949"/>
        <v>NA</v>
      </c>
      <c r="T2918" s="29" t="str">
        <f t="shared" si="950"/>
        <v>NA</v>
      </c>
      <c r="U2918" s="29" t="str">
        <f t="shared" si="951"/>
        <v>NA</v>
      </c>
      <c r="V2918" s="29" t="str">
        <f t="shared" si="952"/>
        <v>NA</v>
      </c>
      <c r="W2918" s="29" t="str">
        <f t="shared" si="953"/>
        <v>NA</v>
      </c>
      <c r="X2918" s="29" t="str">
        <f t="shared" si="954"/>
        <v>NA</v>
      </c>
      <c r="Y2918" s="29" t="str">
        <f t="shared" si="955"/>
        <v>NA</v>
      </c>
      <c r="Z2918" s="29" t="str">
        <f t="shared" si="956"/>
        <v>NA</v>
      </c>
      <c r="AA2918" s="29" t="str">
        <f t="shared" si="957"/>
        <v>NA</v>
      </c>
      <c r="AB2918" s="29" t="str">
        <f t="shared" si="958"/>
        <v>NA</v>
      </c>
      <c r="AC2918" s="29" t="str">
        <f t="shared" si="959"/>
        <v>NA</v>
      </c>
      <c r="AD2918" s="29" t="str">
        <f t="shared" si="960"/>
        <v>NA</v>
      </c>
      <c r="AE2918" s="29" t="str">
        <f t="shared" si="961"/>
        <v>NA</v>
      </c>
      <c r="AF2918" s="29" t="str">
        <f t="shared" si="962"/>
        <v>NA</v>
      </c>
      <c r="AG2918" s="29" t="str">
        <f t="shared" si="963"/>
        <v>NA</v>
      </c>
      <c r="AH2918" s="29" t="str">
        <f t="shared" si="964"/>
        <v>NA</v>
      </c>
    </row>
    <row r="2919" customHeight="1" spans="1:34">
      <c r="A2919" s="12" t="s">
        <v>1043</v>
      </c>
      <c r="F2919" s="24">
        <f t="shared" si="946"/>
        <v>0</v>
      </c>
      <c r="G2919" s="24" t="e">
        <f t="shared" si="945"/>
        <v>#DIV/0!</v>
      </c>
      <c r="Q2919" s="29" t="str">
        <f t="shared" si="947"/>
        <v>NA</v>
      </c>
      <c r="R2919" s="29" t="str">
        <f t="shared" si="948"/>
        <v>NA</v>
      </c>
      <c r="S2919" s="29" t="str">
        <f t="shared" si="949"/>
        <v>NA</v>
      </c>
      <c r="T2919" s="29" t="str">
        <f t="shared" si="950"/>
        <v>NA</v>
      </c>
      <c r="U2919" s="29" t="str">
        <f t="shared" si="951"/>
        <v>NA</v>
      </c>
      <c r="V2919" s="29" t="str">
        <f t="shared" si="952"/>
        <v>NA</v>
      </c>
      <c r="W2919" s="29" t="str">
        <f t="shared" si="953"/>
        <v>NA</v>
      </c>
      <c r="X2919" s="29" t="str">
        <f t="shared" si="954"/>
        <v>NA</v>
      </c>
      <c r="Y2919" s="29" t="str">
        <f t="shared" si="955"/>
        <v>NA</v>
      </c>
      <c r="Z2919" s="29" t="str">
        <f t="shared" si="956"/>
        <v>NA</v>
      </c>
      <c r="AA2919" s="29" t="str">
        <f t="shared" si="957"/>
        <v>NA</v>
      </c>
      <c r="AB2919" s="29" t="str">
        <f t="shared" si="958"/>
        <v>NA</v>
      </c>
      <c r="AC2919" s="29" t="str">
        <f t="shared" si="959"/>
        <v>NA</v>
      </c>
      <c r="AD2919" s="29" t="str">
        <f t="shared" si="960"/>
        <v>NA</v>
      </c>
      <c r="AE2919" s="29" t="str">
        <f t="shared" si="961"/>
        <v>NA</v>
      </c>
      <c r="AF2919" s="29" t="str">
        <f t="shared" si="962"/>
        <v>NA</v>
      </c>
      <c r="AG2919" s="29" t="str">
        <f t="shared" si="963"/>
        <v>NA</v>
      </c>
      <c r="AH2919" s="29" t="str">
        <f t="shared" si="964"/>
        <v>NA</v>
      </c>
    </row>
    <row r="2920" customHeight="1" spans="1:34">
      <c r="A2920" s="12" t="s">
        <v>1043</v>
      </c>
      <c r="F2920" s="24">
        <f t="shared" si="946"/>
        <v>0</v>
      </c>
      <c r="G2920" s="24" t="e">
        <f t="shared" si="945"/>
        <v>#DIV/0!</v>
      </c>
      <c r="Q2920" s="29" t="str">
        <f t="shared" si="947"/>
        <v>NA</v>
      </c>
      <c r="R2920" s="29" t="str">
        <f t="shared" si="948"/>
        <v>NA</v>
      </c>
      <c r="S2920" s="29" t="str">
        <f t="shared" si="949"/>
        <v>NA</v>
      </c>
      <c r="T2920" s="29" t="str">
        <f t="shared" si="950"/>
        <v>NA</v>
      </c>
      <c r="U2920" s="29" t="str">
        <f t="shared" si="951"/>
        <v>NA</v>
      </c>
      <c r="V2920" s="29" t="str">
        <f t="shared" si="952"/>
        <v>NA</v>
      </c>
      <c r="W2920" s="29" t="str">
        <f t="shared" si="953"/>
        <v>NA</v>
      </c>
      <c r="X2920" s="29" t="str">
        <f t="shared" si="954"/>
        <v>NA</v>
      </c>
      <c r="Y2920" s="29" t="str">
        <f t="shared" si="955"/>
        <v>NA</v>
      </c>
      <c r="Z2920" s="29" t="str">
        <f t="shared" si="956"/>
        <v>NA</v>
      </c>
      <c r="AA2920" s="29" t="str">
        <f t="shared" si="957"/>
        <v>NA</v>
      </c>
      <c r="AB2920" s="29" t="str">
        <f t="shared" si="958"/>
        <v>NA</v>
      </c>
      <c r="AC2920" s="29" t="str">
        <f t="shared" si="959"/>
        <v>NA</v>
      </c>
      <c r="AD2920" s="29" t="str">
        <f t="shared" si="960"/>
        <v>NA</v>
      </c>
      <c r="AE2920" s="29" t="str">
        <f t="shared" si="961"/>
        <v>NA</v>
      </c>
      <c r="AF2920" s="29" t="str">
        <f t="shared" si="962"/>
        <v>NA</v>
      </c>
      <c r="AG2920" s="29" t="str">
        <f t="shared" si="963"/>
        <v>NA</v>
      </c>
      <c r="AH2920" s="29" t="str">
        <f t="shared" si="964"/>
        <v>NA</v>
      </c>
    </row>
    <row r="2921" customHeight="1" spans="1:34">
      <c r="A2921" s="12" t="s">
        <v>1043</v>
      </c>
      <c r="F2921" s="24">
        <f t="shared" si="946"/>
        <v>0</v>
      </c>
      <c r="G2921" s="24" t="e">
        <f t="shared" si="945"/>
        <v>#DIV/0!</v>
      </c>
      <c r="Q2921" s="29" t="str">
        <f t="shared" si="947"/>
        <v>NA</v>
      </c>
      <c r="R2921" s="29" t="str">
        <f t="shared" si="948"/>
        <v>NA</v>
      </c>
      <c r="S2921" s="29" t="str">
        <f t="shared" si="949"/>
        <v>NA</v>
      </c>
      <c r="T2921" s="29" t="str">
        <f t="shared" si="950"/>
        <v>NA</v>
      </c>
      <c r="U2921" s="29" t="str">
        <f t="shared" si="951"/>
        <v>NA</v>
      </c>
      <c r="V2921" s="29" t="str">
        <f t="shared" si="952"/>
        <v>NA</v>
      </c>
      <c r="W2921" s="29" t="str">
        <f t="shared" si="953"/>
        <v>NA</v>
      </c>
      <c r="X2921" s="29" t="str">
        <f t="shared" si="954"/>
        <v>NA</v>
      </c>
      <c r="Y2921" s="29" t="str">
        <f t="shared" si="955"/>
        <v>NA</v>
      </c>
      <c r="Z2921" s="29" t="str">
        <f t="shared" si="956"/>
        <v>NA</v>
      </c>
      <c r="AA2921" s="29" t="str">
        <f t="shared" si="957"/>
        <v>NA</v>
      </c>
      <c r="AB2921" s="29" t="str">
        <f t="shared" si="958"/>
        <v>NA</v>
      </c>
      <c r="AC2921" s="29" t="str">
        <f t="shared" si="959"/>
        <v>NA</v>
      </c>
      <c r="AD2921" s="29" t="str">
        <f t="shared" si="960"/>
        <v>NA</v>
      </c>
      <c r="AE2921" s="29" t="str">
        <f t="shared" si="961"/>
        <v>NA</v>
      </c>
      <c r="AF2921" s="29" t="str">
        <f t="shared" si="962"/>
        <v>NA</v>
      </c>
      <c r="AG2921" s="29" t="str">
        <f t="shared" si="963"/>
        <v>NA</v>
      </c>
      <c r="AH2921" s="29" t="str">
        <f t="shared" si="964"/>
        <v>NA</v>
      </c>
    </row>
    <row r="2922" customHeight="1" spans="1:34">
      <c r="A2922" s="12" t="s">
        <v>1043</v>
      </c>
      <c r="F2922" s="24">
        <f t="shared" si="946"/>
        <v>0</v>
      </c>
      <c r="G2922" s="24" t="e">
        <f t="shared" si="945"/>
        <v>#DIV/0!</v>
      </c>
      <c r="Q2922" s="29" t="str">
        <f t="shared" si="947"/>
        <v>NA</v>
      </c>
      <c r="R2922" s="29" t="str">
        <f t="shared" si="948"/>
        <v>NA</v>
      </c>
      <c r="S2922" s="29" t="str">
        <f t="shared" si="949"/>
        <v>NA</v>
      </c>
      <c r="T2922" s="29" t="str">
        <f t="shared" si="950"/>
        <v>NA</v>
      </c>
      <c r="U2922" s="29" t="str">
        <f t="shared" si="951"/>
        <v>NA</v>
      </c>
      <c r="V2922" s="29" t="str">
        <f t="shared" si="952"/>
        <v>NA</v>
      </c>
      <c r="W2922" s="29" t="str">
        <f t="shared" si="953"/>
        <v>NA</v>
      </c>
      <c r="X2922" s="29" t="str">
        <f t="shared" si="954"/>
        <v>NA</v>
      </c>
      <c r="Y2922" s="29" t="str">
        <f t="shared" si="955"/>
        <v>NA</v>
      </c>
      <c r="Z2922" s="29" t="str">
        <f t="shared" si="956"/>
        <v>NA</v>
      </c>
      <c r="AA2922" s="29" t="str">
        <f t="shared" si="957"/>
        <v>NA</v>
      </c>
      <c r="AB2922" s="29" t="str">
        <f t="shared" si="958"/>
        <v>NA</v>
      </c>
      <c r="AC2922" s="29" t="str">
        <f t="shared" si="959"/>
        <v>NA</v>
      </c>
      <c r="AD2922" s="29" t="str">
        <f t="shared" si="960"/>
        <v>NA</v>
      </c>
      <c r="AE2922" s="29" t="str">
        <f t="shared" si="961"/>
        <v>NA</v>
      </c>
      <c r="AF2922" s="29" t="str">
        <f t="shared" si="962"/>
        <v>NA</v>
      </c>
      <c r="AG2922" s="29" t="str">
        <f t="shared" si="963"/>
        <v>NA</v>
      </c>
      <c r="AH2922" s="29" t="str">
        <f t="shared" si="964"/>
        <v>NA</v>
      </c>
    </row>
    <row r="2923" customHeight="1" spans="1:34">
      <c r="A2923" s="12" t="s">
        <v>1043</v>
      </c>
      <c r="F2923" s="24">
        <f t="shared" si="946"/>
        <v>0</v>
      </c>
      <c r="G2923" s="24" t="e">
        <f t="shared" si="945"/>
        <v>#DIV/0!</v>
      </c>
      <c r="Q2923" s="29" t="str">
        <f t="shared" si="947"/>
        <v>NA</v>
      </c>
      <c r="R2923" s="29" t="str">
        <f t="shared" si="948"/>
        <v>NA</v>
      </c>
      <c r="S2923" s="29" t="str">
        <f t="shared" si="949"/>
        <v>NA</v>
      </c>
      <c r="T2923" s="29" t="str">
        <f t="shared" si="950"/>
        <v>NA</v>
      </c>
      <c r="U2923" s="29" t="str">
        <f t="shared" si="951"/>
        <v>NA</v>
      </c>
      <c r="V2923" s="29" t="str">
        <f t="shared" si="952"/>
        <v>NA</v>
      </c>
      <c r="W2923" s="29" t="str">
        <f t="shared" si="953"/>
        <v>NA</v>
      </c>
      <c r="X2923" s="29" t="str">
        <f t="shared" si="954"/>
        <v>NA</v>
      </c>
      <c r="Y2923" s="29" t="str">
        <f t="shared" si="955"/>
        <v>NA</v>
      </c>
      <c r="Z2923" s="29" t="str">
        <f t="shared" si="956"/>
        <v>NA</v>
      </c>
      <c r="AA2923" s="29" t="str">
        <f t="shared" si="957"/>
        <v>NA</v>
      </c>
      <c r="AB2923" s="29" t="str">
        <f t="shared" si="958"/>
        <v>NA</v>
      </c>
      <c r="AC2923" s="29" t="str">
        <f t="shared" si="959"/>
        <v>NA</v>
      </c>
      <c r="AD2923" s="29" t="str">
        <f t="shared" si="960"/>
        <v>NA</v>
      </c>
      <c r="AE2923" s="29" t="str">
        <f t="shared" si="961"/>
        <v>NA</v>
      </c>
      <c r="AF2923" s="29" t="str">
        <f t="shared" si="962"/>
        <v>NA</v>
      </c>
      <c r="AG2923" s="29" t="str">
        <f t="shared" si="963"/>
        <v>NA</v>
      </c>
      <c r="AH2923" s="29" t="str">
        <f t="shared" si="964"/>
        <v>NA</v>
      </c>
    </row>
    <row r="2924" customHeight="1" spans="1:34">
      <c r="A2924" s="12" t="s">
        <v>1043</v>
      </c>
      <c r="F2924" s="24">
        <f t="shared" si="946"/>
        <v>0</v>
      </c>
      <c r="G2924" s="24" t="e">
        <f t="shared" si="945"/>
        <v>#DIV/0!</v>
      </c>
      <c r="Q2924" s="29" t="str">
        <f t="shared" si="947"/>
        <v>NA</v>
      </c>
      <c r="R2924" s="29" t="str">
        <f t="shared" si="948"/>
        <v>NA</v>
      </c>
      <c r="S2924" s="29" t="str">
        <f t="shared" si="949"/>
        <v>NA</v>
      </c>
      <c r="T2924" s="29" t="str">
        <f t="shared" si="950"/>
        <v>NA</v>
      </c>
      <c r="U2924" s="29" t="str">
        <f t="shared" si="951"/>
        <v>NA</v>
      </c>
      <c r="V2924" s="29" t="str">
        <f t="shared" si="952"/>
        <v>NA</v>
      </c>
      <c r="W2924" s="29" t="str">
        <f t="shared" si="953"/>
        <v>NA</v>
      </c>
      <c r="X2924" s="29" t="str">
        <f t="shared" si="954"/>
        <v>NA</v>
      </c>
      <c r="Y2924" s="29" t="str">
        <f t="shared" si="955"/>
        <v>NA</v>
      </c>
      <c r="Z2924" s="29" t="str">
        <f t="shared" si="956"/>
        <v>NA</v>
      </c>
      <c r="AA2924" s="29" t="str">
        <f t="shared" si="957"/>
        <v>NA</v>
      </c>
      <c r="AB2924" s="29" t="str">
        <f t="shared" si="958"/>
        <v>NA</v>
      </c>
      <c r="AC2924" s="29" t="str">
        <f t="shared" si="959"/>
        <v>NA</v>
      </c>
      <c r="AD2924" s="29" t="str">
        <f t="shared" si="960"/>
        <v>NA</v>
      </c>
      <c r="AE2924" s="29" t="str">
        <f t="shared" si="961"/>
        <v>NA</v>
      </c>
      <c r="AF2924" s="29" t="str">
        <f t="shared" si="962"/>
        <v>NA</v>
      </c>
      <c r="AG2924" s="29" t="str">
        <f t="shared" si="963"/>
        <v>NA</v>
      </c>
      <c r="AH2924" s="29" t="str">
        <f t="shared" si="964"/>
        <v>NA</v>
      </c>
    </row>
    <row r="2925" customHeight="1" spans="1:34">
      <c r="A2925" s="12" t="s">
        <v>1043</v>
      </c>
      <c r="F2925" s="24">
        <f t="shared" si="946"/>
        <v>0</v>
      </c>
      <c r="G2925" s="24" t="e">
        <f t="shared" si="945"/>
        <v>#DIV/0!</v>
      </c>
      <c r="Q2925" s="29" t="str">
        <f t="shared" si="947"/>
        <v>NA</v>
      </c>
      <c r="R2925" s="29" t="str">
        <f t="shared" si="948"/>
        <v>NA</v>
      </c>
      <c r="S2925" s="29" t="str">
        <f t="shared" si="949"/>
        <v>NA</v>
      </c>
      <c r="T2925" s="29" t="str">
        <f t="shared" si="950"/>
        <v>NA</v>
      </c>
      <c r="U2925" s="29" t="str">
        <f t="shared" si="951"/>
        <v>NA</v>
      </c>
      <c r="V2925" s="29" t="str">
        <f t="shared" si="952"/>
        <v>NA</v>
      </c>
      <c r="W2925" s="29" t="str">
        <f t="shared" si="953"/>
        <v>NA</v>
      </c>
      <c r="X2925" s="29" t="str">
        <f t="shared" si="954"/>
        <v>NA</v>
      </c>
      <c r="Y2925" s="29" t="str">
        <f t="shared" si="955"/>
        <v>NA</v>
      </c>
      <c r="Z2925" s="29" t="str">
        <f t="shared" si="956"/>
        <v>NA</v>
      </c>
      <c r="AA2925" s="29" t="str">
        <f t="shared" si="957"/>
        <v>NA</v>
      </c>
      <c r="AB2925" s="29" t="str">
        <f t="shared" si="958"/>
        <v>NA</v>
      </c>
      <c r="AC2925" s="29" t="str">
        <f t="shared" si="959"/>
        <v>NA</v>
      </c>
      <c r="AD2925" s="29" t="str">
        <f t="shared" si="960"/>
        <v>NA</v>
      </c>
      <c r="AE2925" s="29" t="str">
        <f t="shared" si="961"/>
        <v>NA</v>
      </c>
      <c r="AF2925" s="29" t="str">
        <f t="shared" si="962"/>
        <v>NA</v>
      </c>
      <c r="AG2925" s="29" t="str">
        <f t="shared" si="963"/>
        <v>NA</v>
      </c>
      <c r="AH2925" s="29" t="str">
        <f t="shared" si="964"/>
        <v>NA</v>
      </c>
    </row>
    <row r="2926" customHeight="1" spans="1:34">
      <c r="A2926" s="12" t="s">
        <v>1043</v>
      </c>
      <c r="F2926" s="24">
        <f t="shared" si="946"/>
        <v>0</v>
      </c>
      <c r="G2926" s="24" t="e">
        <f t="shared" si="945"/>
        <v>#DIV/0!</v>
      </c>
      <c r="Q2926" s="29" t="str">
        <f t="shared" si="947"/>
        <v>NA</v>
      </c>
      <c r="R2926" s="29" t="str">
        <f t="shared" si="948"/>
        <v>NA</v>
      </c>
      <c r="S2926" s="29" t="str">
        <f t="shared" si="949"/>
        <v>NA</v>
      </c>
      <c r="T2926" s="29" t="str">
        <f t="shared" si="950"/>
        <v>NA</v>
      </c>
      <c r="U2926" s="29" t="str">
        <f t="shared" si="951"/>
        <v>NA</v>
      </c>
      <c r="V2926" s="29" t="str">
        <f t="shared" si="952"/>
        <v>NA</v>
      </c>
      <c r="W2926" s="29" t="str">
        <f t="shared" si="953"/>
        <v>NA</v>
      </c>
      <c r="X2926" s="29" t="str">
        <f t="shared" si="954"/>
        <v>NA</v>
      </c>
      <c r="Y2926" s="29" t="str">
        <f t="shared" si="955"/>
        <v>NA</v>
      </c>
      <c r="Z2926" s="29" t="str">
        <f t="shared" si="956"/>
        <v>NA</v>
      </c>
      <c r="AA2926" s="29" t="str">
        <f t="shared" si="957"/>
        <v>NA</v>
      </c>
      <c r="AB2926" s="29" t="str">
        <f t="shared" si="958"/>
        <v>NA</v>
      </c>
      <c r="AC2926" s="29" t="str">
        <f t="shared" si="959"/>
        <v>NA</v>
      </c>
      <c r="AD2926" s="29" t="str">
        <f t="shared" si="960"/>
        <v>NA</v>
      </c>
      <c r="AE2926" s="29" t="str">
        <f t="shared" si="961"/>
        <v>NA</v>
      </c>
      <c r="AF2926" s="29" t="str">
        <f t="shared" si="962"/>
        <v>NA</v>
      </c>
      <c r="AG2926" s="29" t="str">
        <f t="shared" si="963"/>
        <v>NA</v>
      </c>
      <c r="AH2926" s="29" t="str">
        <f t="shared" si="964"/>
        <v>NA</v>
      </c>
    </row>
    <row r="2927" customHeight="1" spans="1:34">
      <c r="A2927" s="12" t="s">
        <v>1043</v>
      </c>
      <c r="F2927" s="24">
        <f t="shared" si="946"/>
        <v>0</v>
      </c>
      <c r="G2927" s="24" t="e">
        <f t="shared" si="945"/>
        <v>#DIV/0!</v>
      </c>
      <c r="Q2927" s="29" t="str">
        <f t="shared" si="947"/>
        <v>NA</v>
      </c>
      <c r="R2927" s="29" t="str">
        <f t="shared" si="948"/>
        <v>NA</v>
      </c>
      <c r="S2927" s="29" t="str">
        <f t="shared" si="949"/>
        <v>NA</v>
      </c>
      <c r="T2927" s="29" t="str">
        <f t="shared" si="950"/>
        <v>NA</v>
      </c>
      <c r="U2927" s="29" t="str">
        <f t="shared" si="951"/>
        <v>NA</v>
      </c>
      <c r="V2927" s="29" t="str">
        <f t="shared" si="952"/>
        <v>NA</v>
      </c>
      <c r="W2927" s="29" t="str">
        <f t="shared" si="953"/>
        <v>NA</v>
      </c>
      <c r="X2927" s="29" t="str">
        <f t="shared" si="954"/>
        <v>NA</v>
      </c>
      <c r="Y2927" s="29" t="str">
        <f t="shared" si="955"/>
        <v>NA</v>
      </c>
      <c r="Z2927" s="29" t="str">
        <f t="shared" si="956"/>
        <v>NA</v>
      </c>
      <c r="AA2927" s="29" t="str">
        <f t="shared" si="957"/>
        <v>NA</v>
      </c>
      <c r="AB2927" s="29" t="str">
        <f t="shared" si="958"/>
        <v>NA</v>
      </c>
      <c r="AC2927" s="29" t="str">
        <f t="shared" si="959"/>
        <v>NA</v>
      </c>
      <c r="AD2927" s="29" t="str">
        <f t="shared" si="960"/>
        <v>NA</v>
      </c>
      <c r="AE2927" s="29" t="str">
        <f t="shared" si="961"/>
        <v>NA</v>
      </c>
      <c r="AF2927" s="29" t="str">
        <f t="shared" si="962"/>
        <v>NA</v>
      </c>
      <c r="AG2927" s="29" t="str">
        <f t="shared" si="963"/>
        <v>NA</v>
      </c>
      <c r="AH2927" s="29" t="str">
        <f t="shared" si="964"/>
        <v>NA</v>
      </c>
    </row>
    <row r="2928" customHeight="1" spans="1:34">
      <c r="A2928" s="12" t="s">
        <v>1043</v>
      </c>
      <c r="F2928" s="24">
        <f t="shared" si="946"/>
        <v>0</v>
      </c>
      <c r="G2928" s="24" t="e">
        <f t="shared" si="945"/>
        <v>#DIV/0!</v>
      </c>
      <c r="Q2928" s="29" t="str">
        <f t="shared" si="947"/>
        <v>NA</v>
      </c>
      <c r="R2928" s="29" t="str">
        <f t="shared" si="948"/>
        <v>NA</v>
      </c>
      <c r="S2928" s="29" t="str">
        <f t="shared" si="949"/>
        <v>NA</v>
      </c>
      <c r="T2928" s="29" t="str">
        <f t="shared" si="950"/>
        <v>NA</v>
      </c>
      <c r="U2928" s="29" t="str">
        <f t="shared" si="951"/>
        <v>NA</v>
      </c>
      <c r="V2928" s="29" t="str">
        <f t="shared" si="952"/>
        <v>NA</v>
      </c>
      <c r="W2928" s="29" t="str">
        <f t="shared" si="953"/>
        <v>NA</v>
      </c>
      <c r="X2928" s="29" t="str">
        <f t="shared" si="954"/>
        <v>NA</v>
      </c>
      <c r="Y2928" s="29" t="str">
        <f t="shared" si="955"/>
        <v>NA</v>
      </c>
      <c r="Z2928" s="29" t="str">
        <f t="shared" si="956"/>
        <v>NA</v>
      </c>
      <c r="AA2928" s="29" t="str">
        <f t="shared" si="957"/>
        <v>NA</v>
      </c>
      <c r="AB2928" s="29" t="str">
        <f t="shared" si="958"/>
        <v>NA</v>
      </c>
      <c r="AC2928" s="29" t="str">
        <f t="shared" si="959"/>
        <v>NA</v>
      </c>
      <c r="AD2928" s="29" t="str">
        <f t="shared" si="960"/>
        <v>NA</v>
      </c>
      <c r="AE2928" s="29" t="str">
        <f t="shared" si="961"/>
        <v>NA</v>
      </c>
      <c r="AF2928" s="29" t="str">
        <f t="shared" si="962"/>
        <v>NA</v>
      </c>
      <c r="AG2928" s="29" t="str">
        <f t="shared" si="963"/>
        <v>NA</v>
      </c>
      <c r="AH2928" s="29" t="str">
        <f t="shared" si="964"/>
        <v>NA</v>
      </c>
    </row>
    <row r="2929" customHeight="1" spans="1:34">
      <c r="A2929" s="12" t="s">
        <v>1043</v>
      </c>
      <c r="F2929" s="24">
        <f t="shared" si="946"/>
        <v>0</v>
      </c>
      <c r="G2929" s="24" t="e">
        <f t="shared" si="945"/>
        <v>#DIV/0!</v>
      </c>
      <c r="Q2929" s="29" t="str">
        <f t="shared" si="947"/>
        <v>NA</v>
      </c>
      <c r="R2929" s="29" t="str">
        <f t="shared" si="948"/>
        <v>NA</v>
      </c>
      <c r="S2929" s="29" t="str">
        <f t="shared" si="949"/>
        <v>NA</v>
      </c>
      <c r="T2929" s="29" t="str">
        <f t="shared" si="950"/>
        <v>NA</v>
      </c>
      <c r="U2929" s="29" t="str">
        <f t="shared" si="951"/>
        <v>NA</v>
      </c>
      <c r="V2929" s="29" t="str">
        <f t="shared" si="952"/>
        <v>NA</v>
      </c>
      <c r="W2929" s="29" t="str">
        <f t="shared" si="953"/>
        <v>NA</v>
      </c>
      <c r="X2929" s="29" t="str">
        <f t="shared" si="954"/>
        <v>NA</v>
      </c>
      <c r="Y2929" s="29" t="str">
        <f t="shared" si="955"/>
        <v>NA</v>
      </c>
      <c r="Z2929" s="29" t="str">
        <f t="shared" si="956"/>
        <v>NA</v>
      </c>
      <c r="AA2929" s="29" t="str">
        <f t="shared" si="957"/>
        <v>NA</v>
      </c>
      <c r="AB2929" s="29" t="str">
        <f t="shared" si="958"/>
        <v>NA</v>
      </c>
      <c r="AC2929" s="29" t="str">
        <f t="shared" si="959"/>
        <v>NA</v>
      </c>
      <c r="AD2929" s="29" t="str">
        <f t="shared" si="960"/>
        <v>NA</v>
      </c>
      <c r="AE2929" s="29" t="str">
        <f t="shared" si="961"/>
        <v>NA</v>
      </c>
      <c r="AF2929" s="29" t="str">
        <f t="shared" si="962"/>
        <v>NA</v>
      </c>
      <c r="AG2929" s="29" t="str">
        <f t="shared" si="963"/>
        <v>NA</v>
      </c>
      <c r="AH2929" s="29" t="str">
        <f t="shared" si="964"/>
        <v>NA</v>
      </c>
    </row>
    <row r="2930" customHeight="1" spans="1:34">
      <c r="A2930" s="12" t="s">
        <v>1043</v>
      </c>
      <c r="F2930" s="24">
        <f t="shared" si="946"/>
        <v>0</v>
      </c>
      <c r="G2930" s="24" t="e">
        <f t="shared" si="945"/>
        <v>#DIV/0!</v>
      </c>
      <c r="Q2930" s="29" t="str">
        <f t="shared" si="947"/>
        <v>NA</v>
      </c>
      <c r="R2930" s="29" t="str">
        <f t="shared" si="948"/>
        <v>NA</v>
      </c>
      <c r="S2930" s="29" t="str">
        <f t="shared" si="949"/>
        <v>NA</v>
      </c>
      <c r="T2930" s="29" t="str">
        <f t="shared" si="950"/>
        <v>NA</v>
      </c>
      <c r="U2930" s="29" t="str">
        <f t="shared" si="951"/>
        <v>NA</v>
      </c>
      <c r="V2930" s="29" t="str">
        <f t="shared" si="952"/>
        <v>NA</v>
      </c>
      <c r="W2930" s="29" t="str">
        <f t="shared" si="953"/>
        <v>NA</v>
      </c>
      <c r="X2930" s="29" t="str">
        <f t="shared" si="954"/>
        <v>NA</v>
      </c>
      <c r="Y2930" s="29" t="str">
        <f t="shared" si="955"/>
        <v>NA</v>
      </c>
      <c r="Z2930" s="29" t="str">
        <f t="shared" si="956"/>
        <v>NA</v>
      </c>
      <c r="AA2930" s="29" t="str">
        <f t="shared" si="957"/>
        <v>NA</v>
      </c>
      <c r="AB2930" s="29" t="str">
        <f t="shared" si="958"/>
        <v>NA</v>
      </c>
      <c r="AC2930" s="29" t="str">
        <f t="shared" si="959"/>
        <v>NA</v>
      </c>
      <c r="AD2930" s="29" t="str">
        <f t="shared" si="960"/>
        <v>NA</v>
      </c>
      <c r="AE2930" s="29" t="str">
        <f t="shared" si="961"/>
        <v>NA</v>
      </c>
      <c r="AF2930" s="29" t="str">
        <f t="shared" si="962"/>
        <v>NA</v>
      </c>
      <c r="AG2930" s="29" t="str">
        <f t="shared" si="963"/>
        <v>NA</v>
      </c>
      <c r="AH2930" s="29" t="str">
        <f t="shared" si="964"/>
        <v>NA</v>
      </c>
    </row>
    <row r="2931" customHeight="1" spans="1:34">
      <c r="A2931" s="12" t="s">
        <v>1043</v>
      </c>
      <c r="F2931" s="24">
        <f t="shared" si="946"/>
        <v>0</v>
      </c>
      <c r="G2931" s="24" t="e">
        <f t="shared" si="945"/>
        <v>#DIV/0!</v>
      </c>
      <c r="Q2931" s="29" t="str">
        <f t="shared" si="947"/>
        <v>NA</v>
      </c>
      <c r="R2931" s="29" t="str">
        <f t="shared" si="948"/>
        <v>NA</v>
      </c>
      <c r="S2931" s="29" t="str">
        <f t="shared" si="949"/>
        <v>NA</v>
      </c>
      <c r="T2931" s="29" t="str">
        <f t="shared" si="950"/>
        <v>NA</v>
      </c>
      <c r="U2931" s="29" t="str">
        <f t="shared" si="951"/>
        <v>NA</v>
      </c>
      <c r="V2931" s="29" t="str">
        <f t="shared" si="952"/>
        <v>NA</v>
      </c>
      <c r="W2931" s="29" t="str">
        <f t="shared" si="953"/>
        <v>NA</v>
      </c>
      <c r="X2931" s="29" t="str">
        <f t="shared" si="954"/>
        <v>NA</v>
      </c>
      <c r="Y2931" s="29" t="str">
        <f t="shared" si="955"/>
        <v>NA</v>
      </c>
      <c r="Z2931" s="29" t="str">
        <f t="shared" si="956"/>
        <v>NA</v>
      </c>
      <c r="AA2931" s="29" t="str">
        <f t="shared" si="957"/>
        <v>NA</v>
      </c>
      <c r="AB2931" s="29" t="str">
        <f t="shared" si="958"/>
        <v>NA</v>
      </c>
      <c r="AC2931" s="29" t="str">
        <f t="shared" si="959"/>
        <v>NA</v>
      </c>
      <c r="AD2931" s="29" t="str">
        <f t="shared" si="960"/>
        <v>NA</v>
      </c>
      <c r="AE2931" s="29" t="str">
        <f t="shared" si="961"/>
        <v>NA</v>
      </c>
      <c r="AF2931" s="29" t="str">
        <f t="shared" si="962"/>
        <v>NA</v>
      </c>
      <c r="AG2931" s="29" t="str">
        <f t="shared" si="963"/>
        <v>NA</v>
      </c>
      <c r="AH2931" s="29" t="str">
        <f t="shared" si="964"/>
        <v>NA</v>
      </c>
    </row>
    <row r="2932" customHeight="1" spans="1:34">
      <c r="A2932" s="12" t="s">
        <v>1043</v>
      </c>
      <c r="F2932" s="24">
        <f t="shared" si="946"/>
        <v>0</v>
      </c>
      <c r="G2932" s="24" t="e">
        <f t="shared" si="945"/>
        <v>#DIV/0!</v>
      </c>
      <c r="Q2932" s="29" t="str">
        <f t="shared" si="947"/>
        <v>NA</v>
      </c>
      <c r="R2932" s="29" t="str">
        <f t="shared" si="948"/>
        <v>NA</v>
      </c>
      <c r="S2932" s="29" t="str">
        <f t="shared" si="949"/>
        <v>NA</v>
      </c>
      <c r="T2932" s="29" t="str">
        <f t="shared" si="950"/>
        <v>NA</v>
      </c>
      <c r="U2932" s="29" t="str">
        <f t="shared" si="951"/>
        <v>NA</v>
      </c>
      <c r="V2932" s="29" t="str">
        <f t="shared" si="952"/>
        <v>NA</v>
      </c>
      <c r="W2932" s="29" t="str">
        <f t="shared" si="953"/>
        <v>NA</v>
      </c>
      <c r="X2932" s="29" t="str">
        <f t="shared" si="954"/>
        <v>NA</v>
      </c>
      <c r="Y2932" s="29" t="str">
        <f t="shared" si="955"/>
        <v>NA</v>
      </c>
      <c r="Z2932" s="29" t="str">
        <f t="shared" si="956"/>
        <v>NA</v>
      </c>
      <c r="AA2932" s="29" t="str">
        <f t="shared" si="957"/>
        <v>NA</v>
      </c>
      <c r="AB2932" s="29" t="str">
        <f t="shared" si="958"/>
        <v>NA</v>
      </c>
      <c r="AC2932" s="29" t="str">
        <f t="shared" si="959"/>
        <v>NA</v>
      </c>
      <c r="AD2932" s="29" t="str">
        <f t="shared" si="960"/>
        <v>NA</v>
      </c>
      <c r="AE2932" s="29" t="str">
        <f t="shared" si="961"/>
        <v>NA</v>
      </c>
      <c r="AF2932" s="29" t="str">
        <f t="shared" si="962"/>
        <v>NA</v>
      </c>
      <c r="AG2932" s="29" t="str">
        <f t="shared" si="963"/>
        <v>NA</v>
      </c>
      <c r="AH2932" s="29" t="str">
        <f t="shared" si="964"/>
        <v>NA</v>
      </c>
    </row>
    <row r="2933" customHeight="1" spans="1:34">
      <c r="A2933" s="12" t="s">
        <v>1043</v>
      </c>
      <c r="F2933" s="24">
        <f t="shared" si="946"/>
        <v>0</v>
      </c>
      <c r="G2933" s="24" t="e">
        <f t="shared" si="945"/>
        <v>#DIV/0!</v>
      </c>
      <c r="Q2933" s="29" t="str">
        <f t="shared" si="947"/>
        <v>NA</v>
      </c>
      <c r="R2933" s="29" t="str">
        <f t="shared" si="948"/>
        <v>NA</v>
      </c>
      <c r="S2933" s="29" t="str">
        <f t="shared" si="949"/>
        <v>NA</v>
      </c>
      <c r="T2933" s="29" t="str">
        <f t="shared" si="950"/>
        <v>NA</v>
      </c>
      <c r="U2933" s="29" t="str">
        <f t="shared" si="951"/>
        <v>NA</v>
      </c>
      <c r="V2933" s="29" t="str">
        <f t="shared" si="952"/>
        <v>NA</v>
      </c>
      <c r="W2933" s="29" t="str">
        <f t="shared" si="953"/>
        <v>NA</v>
      </c>
      <c r="X2933" s="29" t="str">
        <f t="shared" si="954"/>
        <v>NA</v>
      </c>
      <c r="Y2933" s="29" t="str">
        <f t="shared" si="955"/>
        <v>NA</v>
      </c>
      <c r="Z2933" s="29" t="str">
        <f t="shared" si="956"/>
        <v>NA</v>
      </c>
      <c r="AA2933" s="29" t="str">
        <f t="shared" si="957"/>
        <v>NA</v>
      </c>
      <c r="AB2933" s="29" t="str">
        <f t="shared" si="958"/>
        <v>NA</v>
      </c>
      <c r="AC2933" s="29" t="str">
        <f t="shared" si="959"/>
        <v>NA</v>
      </c>
      <c r="AD2933" s="29" t="str">
        <f t="shared" si="960"/>
        <v>NA</v>
      </c>
      <c r="AE2933" s="29" t="str">
        <f t="shared" si="961"/>
        <v>NA</v>
      </c>
      <c r="AF2933" s="29" t="str">
        <f t="shared" si="962"/>
        <v>NA</v>
      </c>
      <c r="AG2933" s="29" t="str">
        <f t="shared" si="963"/>
        <v>NA</v>
      </c>
      <c r="AH2933" s="29" t="str">
        <f t="shared" si="964"/>
        <v>NA</v>
      </c>
    </row>
    <row r="2934" customHeight="1" spans="1:34">
      <c r="A2934" s="12" t="s">
        <v>1043</v>
      </c>
      <c r="F2934" s="24">
        <f t="shared" si="946"/>
        <v>0</v>
      </c>
      <c r="G2934" s="24" t="e">
        <f t="shared" si="945"/>
        <v>#DIV/0!</v>
      </c>
      <c r="Q2934" s="29" t="str">
        <f t="shared" si="947"/>
        <v>NA</v>
      </c>
      <c r="R2934" s="29" t="str">
        <f t="shared" si="948"/>
        <v>NA</v>
      </c>
      <c r="S2934" s="29" t="str">
        <f t="shared" si="949"/>
        <v>NA</v>
      </c>
      <c r="T2934" s="29" t="str">
        <f t="shared" si="950"/>
        <v>NA</v>
      </c>
      <c r="U2934" s="29" t="str">
        <f t="shared" si="951"/>
        <v>NA</v>
      </c>
      <c r="V2934" s="29" t="str">
        <f t="shared" si="952"/>
        <v>NA</v>
      </c>
      <c r="W2934" s="29" t="str">
        <f t="shared" si="953"/>
        <v>NA</v>
      </c>
      <c r="X2934" s="29" t="str">
        <f t="shared" si="954"/>
        <v>NA</v>
      </c>
      <c r="Y2934" s="29" t="str">
        <f t="shared" si="955"/>
        <v>NA</v>
      </c>
      <c r="Z2934" s="29" t="str">
        <f t="shared" si="956"/>
        <v>NA</v>
      </c>
      <c r="AA2934" s="29" t="str">
        <f t="shared" si="957"/>
        <v>NA</v>
      </c>
      <c r="AB2934" s="29" t="str">
        <f t="shared" si="958"/>
        <v>NA</v>
      </c>
      <c r="AC2934" s="29" t="str">
        <f t="shared" si="959"/>
        <v>NA</v>
      </c>
      <c r="AD2934" s="29" t="str">
        <f t="shared" si="960"/>
        <v>NA</v>
      </c>
      <c r="AE2934" s="29" t="str">
        <f t="shared" si="961"/>
        <v>NA</v>
      </c>
      <c r="AF2934" s="29" t="str">
        <f t="shared" si="962"/>
        <v>NA</v>
      </c>
      <c r="AG2934" s="29" t="str">
        <f t="shared" si="963"/>
        <v>NA</v>
      </c>
      <c r="AH2934" s="29" t="str">
        <f t="shared" si="964"/>
        <v>NA</v>
      </c>
    </row>
    <row r="2935" customHeight="1" spans="1:34">
      <c r="A2935" s="12" t="s">
        <v>1043</v>
      </c>
      <c r="F2935" s="24">
        <f t="shared" si="946"/>
        <v>0</v>
      </c>
      <c r="G2935" s="24" t="e">
        <f t="shared" si="945"/>
        <v>#DIV/0!</v>
      </c>
      <c r="Q2935" s="29" t="str">
        <f t="shared" si="947"/>
        <v>NA</v>
      </c>
      <c r="R2935" s="29" t="str">
        <f t="shared" si="948"/>
        <v>NA</v>
      </c>
      <c r="S2935" s="29" t="str">
        <f t="shared" si="949"/>
        <v>NA</v>
      </c>
      <c r="T2935" s="29" t="str">
        <f t="shared" si="950"/>
        <v>NA</v>
      </c>
      <c r="U2935" s="29" t="str">
        <f t="shared" si="951"/>
        <v>NA</v>
      </c>
      <c r="V2935" s="29" t="str">
        <f t="shared" si="952"/>
        <v>NA</v>
      </c>
      <c r="W2935" s="29" t="str">
        <f t="shared" si="953"/>
        <v>NA</v>
      </c>
      <c r="X2935" s="29" t="str">
        <f t="shared" si="954"/>
        <v>NA</v>
      </c>
      <c r="Y2935" s="29" t="str">
        <f t="shared" si="955"/>
        <v>NA</v>
      </c>
      <c r="Z2935" s="29" t="str">
        <f t="shared" si="956"/>
        <v>NA</v>
      </c>
      <c r="AA2935" s="29" t="str">
        <f t="shared" si="957"/>
        <v>NA</v>
      </c>
      <c r="AB2935" s="29" t="str">
        <f t="shared" si="958"/>
        <v>NA</v>
      </c>
      <c r="AC2935" s="29" t="str">
        <f t="shared" si="959"/>
        <v>NA</v>
      </c>
      <c r="AD2935" s="29" t="str">
        <f t="shared" si="960"/>
        <v>NA</v>
      </c>
      <c r="AE2935" s="29" t="str">
        <f t="shared" si="961"/>
        <v>NA</v>
      </c>
      <c r="AF2935" s="29" t="str">
        <f t="shared" si="962"/>
        <v>NA</v>
      </c>
      <c r="AG2935" s="29" t="str">
        <f t="shared" si="963"/>
        <v>NA</v>
      </c>
      <c r="AH2935" s="29" t="str">
        <f t="shared" si="964"/>
        <v>NA</v>
      </c>
    </row>
    <row r="2936" customHeight="1" spans="1:34">
      <c r="A2936" s="12" t="s">
        <v>1043</v>
      </c>
      <c r="F2936" s="24">
        <f t="shared" si="946"/>
        <v>0</v>
      </c>
      <c r="G2936" s="24" t="e">
        <f t="shared" si="945"/>
        <v>#DIV/0!</v>
      </c>
      <c r="Q2936" s="29" t="str">
        <f t="shared" si="947"/>
        <v>NA</v>
      </c>
      <c r="R2936" s="29" t="str">
        <f t="shared" si="948"/>
        <v>NA</v>
      </c>
      <c r="S2936" s="29" t="str">
        <f t="shared" si="949"/>
        <v>NA</v>
      </c>
      <c r="T2936" s="29" t="str">
        <f t="shared" si="950"/>
        <v>NA</v>
      </c>
      <c r="U2936" s="29" t="str">
        <f t="shared" si="951"/>
        <v>NA</v>
      </c>
      <c r="V2936" s="29" t="str">
        <f t="shared" si="952"/>
        <v>NA</v>
      </c>
      <c r="W2936" s="29" t="str">
        <f t="shared" si="953"/>
        <v>NA</v>
      </c>
      <c r="X2936" s="29" t="str">
        <f t="shared" si="954"/>
        <v>NA</v>
      </c>
      <c r="Y2936" s="29" t="str">
        <f t="shared" si="955"/>
        <v>NA</v>
      </c>
      <c r="Z2936" s="29" t="str">
        <f t="shared" si="956"/>
        <v>NA</v>
      </c>
      <c r="AA2936" s="29" t="str">
        <f t="shared" si="957"/>
        <v>NA</v>
      </c>
      <c r="AB2936" s="29" t="str">
        <f t="shared" si="958"/>
        <v>NA</v>
      </c>
      <c r="AC2936" s="29" t="str">
        <f t="shared" si="959"/>
        <v>NA</v>
      </c>
      <c r="AD2936" s="29" t="str">
        <f t="shared" si="960"/>
        <v>NA</v>
      </c>
      <c r="AE2936" s="29" t="str">
        <f t="shared" si="961"/>
        <v>NA</v>
      </c>
      <c r="AF2936" s="29" t="str">
        <f t="shared" si="962"/>
        <v>NA</v>
      </c>
      <c r="AG2936" s="29" t="str">
        <f t="shared" si="963"/>
        <v>NA</v>
      </c>
      <c r="AH2936" s="29" t="str">
        <f t="shared" si="964"/>
        <v>NA</v>
      </c>
    </row>
    <row r="2937" customHeight="1" spans="1:34">
      <c r="A2937" s="12" t="s">
        <v>1043</v>
      </c>
      <c r="F2937" s="24">
        <f t="shared" si="946"/>
        <v>0</v>
      </c>
      <c r="G2937" s="24" t="e">
        <f t="shared" si="945"/>
        <v>#DIV/0!</v>
      </c>
      <c r="Q2937" s="29" t="str">
        <f t="shared" si="947"/>
        <v>NA</v>
      </c>
      <c r="R2937" s="29" t="str">
        <f t="shared" si="948"/>
        <v>NA</v>
      </c>
      <c r="S2937" s="29" t="str">
        <f t="shared" si="949"/>
        <v>NA</v>
      </c>
      <c r="T2937" s="29" t="str">
        <f t="shared" si="950"/>
        <v>NA</v>
      </c>
      <c r="U2937" s="29" t="str">
        <f t="shared" si="951"/>
        <v>NA</v>
      </c>
      <c r="V2937" s="29" t="str">
        <f t="shared" si="952"/>
        <v>NA</v>
      </c>
      <c r="W2937" s="29" t="str">
        <f t="shared" si="953"/>
        <v>NA</v>
      </c>
      <c r="X2937" s="29" t="str">
        <f t="shared" si="954"/>
        <v>NA</v>
      </c>
      <c r="Y2937" s="29" t="str">
        <f t="shared" si="955"/>
        <v>NA</v>
      </c>
      <c r="Z2937" s="29" t="str">
        <f t="shared" si="956"/>
        <v>NA</v>
      </c>
      <c r="AA2937" s="29" t="str">
        <f t="shared" si="957"/>
        <v>NA</v>
      </c>
      <c r="AB2937" s="29" t="str">
        <f t="shared" si="958"/>
        <v>NA</v>
      </c>
      <c r="AC2937" s="29" t="str">
        <f t="shared" si="959"/>
        <v>NA</v>
      </c>
      <c r="AD2937" s="29" t="str">
        <f t="shared" si="960"/>
        <v>NA</v>
      </c>
      <c r="AE2937" s="29" t="str">
        <f t="shared" si="961"/>
        <v>NA</v>
      </c>
      <c r="AF2937" s="29" t="str">
        <f t="shared" si="962"/>
        <v>NA</v>
      </c>
      <c r="AG2937" s="29" t="str">
        <f t="shared" si="963"/>
        <v>NA</v>
      </c>
      <c r="AH2937" s="29" t="str">
        <f t="shared" si="964"/>
        <v>NA</v>
      </c>
    </row>
    <row r="2938" customHeight="1" spans="1:34">
      <c r="A2938" s="12" t="s">
        <v>1043</v>
      </c>
      <c r="F2938" s="24">
        <f t="shared" si="946"/>
        <v>0</v>
      </c>
      <c r="G2938" s="24" t="e">
        <f t="shared" si="945"/>
        <v>#DIV/0!</v>
      </c>
      <c r="Q2938" s="29" t="str">
        <f t="shared" si="947"/>
        <v>NA</v>
      </c>
      <c r="R2938" s="29" t="str">
        <f t="shared" si="948"/>
        <v>NA</v>
      </c>
      <c r="S2938" s="29" t="str">
        <f t="shared" si="949"/>
        <v>NA</v>
      </c>
      <c r="T2938" s="29" t="str">
        <f t="shared" si="950"/>
        <v>NA</v>
      </c>
      <c r="U2938" s="29" t="str">
        <f t="shared" si="951"/>
        <v>NA</v>
      </c>
      <c r="V2938" s="29" t="str">
        <f t="shared" si="952"/>
        <v>NA</v>
      </c>
      <c r="W2938" s="29" t="str">
        <f t="shared" si="953"/>
        <v>NA</v>
      </c>
      <c r="X2938" s="29" t="str">
        <f t="shared" si="954"/>
        <v>NA</v>
      </c>
      <c r="Y2938" s="29" t="str">
        <f t="shared" si="955"/>
        <v>NA</v>
      </c>
      <c r="Z2938" s="29" t="str">
        <f t="shared" si="956"/>
        <v>NA</v>
      </c>
      <c r="AA2938" s="29" t="str">
        <f t="shared" si="957"/>
        <v>NA</v>
      </c>
      <c r="AB2938" s="29" t="str">
        <f t="shared" si="958"/>
        <v>NA</v>
      </c>
      <c r="AC2938" s="29" t="str">
        <f t="shared" si="959"/>
        <v>NA</v>
      </c>
      <c r="AD2938" s="29" t="str">
        <f t="shared" si="960"/>
        <v>NA</v>
      </c>
      <c r="AE2938" s="29" t="str">
        <f t="shared" si="961"/>
        <v>NA</v>
      </c>
      <c r="AF2938" s="29" t="str">
        <f t="shared" si="962"/>
        <v>NA</v>
      </c>
      <c r="AG2938" s="29" t="str">
        <f t="shared" si="963"/>
        <v>NA</v>
      </c>
      <c r="AH2938" s="29" t="str">
        <f t="shared" si="964"/>
        <v>NA</v>
      </c>
    </row>
    <row r="2939" customHeight="1" spans="1:34">
      <c r="A2939" s="12" t="s">
        <v>1043</v>
      </c>
      <c r="F2939" s="24">
        <f t="shared" si="946"/>
        <v>0</v>
      </c>
      <c r="G2939" s="24" t="e">
        <f t="shared" si="945"/>
        <v>#DIV/0!</v>
      </c>
      <c r="Q2939" s="29" t="str">
        <f t="shared" si="947"/>
        <v>NA</v>
      </c>
      <c r="R2939" s="29" t="str">
        <f t="shared" si="948"/>
        <v>NA</v>
      </c>
      <c r="S2939" s="29" t="str">
        <f t="shared" si="949"/>
        <v>NA</v>
      </c>
      <c r="T2939" s="29" t="str">
        <f t="shared" si="950"/>
        <v>NA</v>
      </c>
      <c r="U2939" s="29" t="str">
        <f t="shared" si="951"/>
        <v>NA</v>
      </c>
      <c r="V2939" s="29" t="str">
        <f t="shared" si="952"/>
        <v>NA</v>
      </c>
      <c r="W2939" s="29" t="str">
        <f t="shared" si="953"/>
        <v>NA</v>
      </c>
      <c r="X2939" s="29" t="str">
        <f t="shared" si="954"/>
        <v>NA</v>
      </c>
      <c r="Y2939" s="29" t="str">
        <f t="shared" si="955"/>
        <v>NA</v>
      </c>
      <c r="Z2939" s="29" t="str">
        <f t="shared" si="956"/>
        <v>NA</v>
      </c>
      <c r="AA2939" s="29" t="str">
        <f t="shared" si="957"/>
        <v>NA</v>
      </c>
      <c r="AB2939" s="29" t="str">
        <f t="shared" si="958"/>
        <v>NA</v>
      </c>
      <c r="AC2939" s="29" t="str">
        <f t="shared" si="959"/>
        <v>NA</v>
      </c>
      <c r="AD2939" s="29" t="str">
        <f t="shared" si="960"/>
        <v>NA</v>
      </c>
      <c r="AE2939" s="29" t="str">
        <f t="shared" si="961"/>
        <v>NA</v>
      </c>
      <c r="AF2939" s="29" t="str">
        <f t="shared" si="962"/>
        <v>NA</v>
      </c>
      <c r="AG2939" s="29" t="str">
        <f t="shared" si="963"/>
        <v>NA</v>
      </c>
      <c r="AH2939" s="29" t="str">
        <f t="shared" si="964"/>
        <v>NA</v>
      </c>
    </row>
    <row r="2940" customHeight="1" spans="1:34">
      <c r="A2940" s="12" t="s">
        <v>1043</v>
      </c>
      <c r="F2940" s="24">
        <f t="shared" si="946"/>
        <v>0</v>
      </c>
      <c r="G2940" s="24" t="e">
        <f t="shared" si="945"/>
        <v>#DIV/0!</v>
      </c>
      <c r="Q2940" s="29" t="str">
        <f t="shared" si="947"/>
        <v>NA</v>
      </c>
      <c r="R2940" s="29" t="str">
        <f t="shared" si="948"/>
        <v>NA</v>
      </c>
      <c r="S2940" s="29" t="str">
        <f t="shared" si="949"/>
        <v>NA</v>
      </c>
      <c r="T2940" s="29" t="str">
        <f t="shared" si="950"/>
        <v>NA</v>
      </c>
      <c r="U2940" s="29" t="str">
        <f t="shared" si="951"/>
        <v>NA</v>
      </c>
      <c r="V2940" s="29" t="str">
        <f t="shared" si="952"/>
        <v>NA</v>
      </c>
      <c r="W2940" s="29" t="str">
        <f t="shared" si="953"/>
        <v>NA</v>
      </c>
      <c r="X2940" s="29" t="str">
        <f t="shared" si="954"/>
        <v>NA</v>
      </c>
      <c r="Y2940" s="29" t="str">
        <f t="shared" si="955"/>
        <v>NA</v>
      </c>
      <c r="Z2940" s="29" t="str">
        <f t="shared" si="956"/>
        <v>NA</v>
      </c>
      <c r="AA2940" s="29" t="str">
        <f t="shared" si="957"/>
        <v>NA</v>
      </c>
      <c r="AB2940" s="29" t="str">
        <f t="shared" si="958"/>
        <v>NA</v>
      </c>
      <c r="AC2940" s="29" t="str">
        <f t="shared" si="959"/>
        <v>NA</v>
      </c>
      <c r="AD2940" s="29" t="str">
        <f t="shared" si="960"/>
        <v>NA</v>
      </c>
      <c r="AE2940" s="29" t="str">
        <f t="shared" si="961"/>
        <v>NA</v>
      </c>
      <c r="AF2940" s="29" t="str">
        <f t="shared" si="962"/>
        <v>NA</v>
      </c>
      <c r="AG2940" s="29" t="str">
        <f t="shared" si="963"/>
        <v>NA</v>
      </c>
      <c r="AH2940" s="29" t="str">
        <f t="shared" si="964"/>
        <v>NA</v>
      </c>
    </row>
    <row r="2941" customHeight="1" spans="1:34">
      <c r="A2941" s="12" t="s">
        <v>1043</v>
      </c>
      <c r="F2941" s="24">
        <f t="shared" si="946"/>
        <v>0</v>
      </c>
      <c r="G2941" s="24" t="e">
        <f t="shared" si="945"/>
        <v>#DIV/0!</v>
      </c>
      <c r="Q2941" s="29" t="str">
        <f t="shared" si="947"/>
        <v>NA</v>
      </c>
      <c r="R2941" s="29" t="str">
        <f t="shared" si="948"/>
        <v>NA</v>
      </c>
      <c r="S2941" s="29" t="str">
        <f t="shared" si="949"/>
        <v>NA</v>
      </c>
      <c r="T2941" s="29" t="str">
        <f t="shared" si="950"/>
        <v>NA</v>
      </c>
      <c r="U2941" s="29" t="str">
        <f t="shared" si="951"/>
        <v>NA</v>
      </c>
      <c r="V2941" s="29" t="str">
        <f t="shared" si="952"/>
        <v>NA</v>
      </c>
      <c r="W2941" s="29" t="str">
        <f t="shared" si="953"/>
        <v>NA</v>
      </c>
      <c r="X2941" s="29" t="str">
        <f t="shared" si="954"/>
        <v>NA</v>
      </c>
      <c r="Y2941" s="29" t="str">
        <f t="shared" si="955"/>
        <v>NA</v>
      </c>
      <c r="Z2941" s="29" t="str">
        <f t="shared" si="956"/>
        <v>NA</v>
      </c>
      <c r="AA2941" s="29" t="str">
        <f t="shared" si="957"/>
        <v>NA</v>
      </c>
      <c r="AB2941" s="29" t="str">
        <f t="shared" si="958"/>
        <v>NA</v>
      </c>
      <c r="AC2941" s="29" t="str">
        <f t="shared" si="959"/>
        <v>NA</v>
      </c>
      <c r="AD2941" s="29" t="str">
        <f t="shared" si="960"/>
        <v>NA</v>
      </c>
      <c r="AE2941" s="29" t="str">
        <f t="shared" si="961"/>
        <v>NA</v>
      </c>
      <c r="AF2941" s="29" t="str">
        <f t="shared" si="962"/>
        <v>NA</v>
      </c>
      <c r="AG2941" s="29" t="str">
        <f t="shared" si="963"/>
        <v>NA</v>
      </c>
      <c r="AH2941" s="29" t="str">
        <f t="shared" si="964"/>
        <v>NA</v>
      </c>
    </row>
    <row r="2942" customHeight="1" spans="1:34">
      <c r="A2942" s="12" t="s">
        <v>1043</v>
      </c>
      <c r="F2942" s="24">
        <f t="shared" si="946"/>
        <v>0</v>
      </c>
      <c r="G2942" s="24" t="e">
        <f t="shared" si="945"/>
        <v>#DIV/0!</v>
      </c>
      <c r="Q2942" s="29" t="str">
        <f t="shared" si="947"/>
        <v>NA</v>
      </c>
      <c r="R2942" s="29" t="str">
        <f t="shared" si="948"/>
        <v>NA</v>
      </c>
      <c r="S2942" s="29" t="str">
        <f t="shared" si="949"/>
        <v>NA</v>
      </c>
      <c r="T2942" s="29" t="str">
        <f t="shared" si="950"/>
        <v>NA</v>
      </c>
      <c r="U2942" s="29" t="str">
        <f t="shared" si="951"/>
        <v>NA</v>
      </c>
      <c r="V2942" s="29" t="str">
        <f t="shared" si="952"/>
        <v>NA</v>
      </c>
      <c r="W2942" s="29" t="str">
        <f t="shared" si="953"/>
        <v>NA</v>
      </c>
      <c r="X2942" s="29" t="str">
        <f t="shared" si="954"/>
        <v>NA</v>
      </c>
      <c r="Y2942" s="29" t="str">
        <f t="shared" si="955"/>
        <v>NA</v>
      </c>
      <c r="Z2942" s="29" t="str">
        <f t="shared" si="956"/>
        <v>NA</v>
      </c>
      <c r="AA2942" s="29" t="str">
        <f t="shared" si="957"/>
        <v>NA</v>
      </c>
      <c r="AB2942" s="29" t="str">
        <f t="shared" si="958"/>
        <v>NA</v>
      </c>
      <c r="AC2942" s="29" t="str">
        <f t="shared" si="959"/>
        <v>NA</v>
      </c>
      <c r="AD2942" s="29" t="str">
        <f t="shared" si="960"/>
        <v>NA</v>
      </c>
      <c r="AE2942" s="29" t="str">
        <f t="shared" si="961"/>
        <v>NA</v>
      </c>
      <c r="AF2942" s="29" t="str">
        <f t="shared" si="962"/>
        <v>NA</v>
      </c>
      <c r="AG2942" s="29" t="str">
        <f t="shared" si="963"/>
        <v>NA</v>
      </c>
      <c r="AH2942" s="29" t="str">
        <f t="shared" si="964"/>
        <v>NA</v>
      </c>
    </row>
    <row r="2943" customHeight="1" spans="1:34">
      <c r="A2943" s="12" t="s">
        <v>1043</v>
      </c>
      <c r="F2943" s="24">
        <f t="shared" si="946"/>
        <v>0</v>
      </c>
      <c r="G2943" s="24" t="e">
        <f t="shared" si="945"/>
        <v>#DIV/0!</v>
      </c>
      <c r="Q2943" s="29" t="str">
        <f t="shared" si="947"/>
        <v>NA</v>
      </c>
      <c r="R2943" s="29" t="str">
        <f t="shared" si="948"/>
        <v>NA</v>
      </c>
      <c r="S2943" s="29" t="str">
        <f t="shared" si="949"/>
        <v>NA</v>
      </c>
      <c r="T2943" s="29" t="str">
        <f t="shared" si="950"/>
        <v>NA</v>
      </c>
      <c r="U2943" s="29" t="str">
        <f t="shared" si="951"/>
        <v>NA</v>
      </c>
      <c r="V2943" s="29" t="str">
        <f t="shared" si="952"/>
        <v>NA</v>
      </c>
      <c r="W2943" s="29" t="str">
        <f t="shared" si="953"/>
        <v>NA</v>
      </c>
      <c r="X2943" s="29" t="str">
        <f t="shared" si="954"/>
        <v>NA</v>
      </c>
      <c r="Y2943" s="29" t="str">
        <f t="shared" si="955"/>
        <v>NA</v>
      </c>
      <c r="Z2943" s="29" t="str">
        <f t="shared" si="956"/>
        <v>NA</v>
      </c>
      <c r="AA2943" s="29" t="str">
        <f t="shared" si="957"/>
        <v>NA</v>
      </c>
      <c r="AB2943" s="29" t="str">
        <f t="shared" si="958"/>
        <v>NA</v>
      </c>
      <c r="AC2943" s="29" t="str">
        <f t="shared" si="959"/>
        <v>NA</v>
      </c>
      <c r="AD2943" s="29" t="str">
        <f t="shared" si="960"/>
        <v>NA</v>
      </c>
      <c r="AE2943" s="29" t="str">
        <f t="shared" si="961"/>
        <v>NA</v>
      </c>
      <c r="AF2943" s="29" t="str">
        <f t="shared" si="962"/>
        <v>NA</v>
      </c>
      <c r="AG2943" s="29" t="str">
        <f t="shared" si="963"/>
        <v>NA</v>
      </c>
      <c r="AH2943" s="29" t="str">
        <f t="shared" si="964"/>
        <v>NA</v>
      </c>
    </row>
    <row r="2944" customHeight="1" spans="1:34">
      <c r="A2944" s="12" t="s">
        <v>1043</v>
      </c>
      <c r="F2944" s="24">
        <f t="shared" si="946"/>
        <v>0</v>
      </c>
      <c r="G2944" s="24" t="e">
        <f t="shared" si="945"/>
        <v>#DIV/0!</v>
      </c>
      <c r="Q2944" s="29" t="str">
        <f t="shared" si="947"/>
        <v>NA</v>
      </c>
      <c r="R2944" s="29" t="str">
        <f t="shared" si="948"/>
        <v>NA</v>
      </c>
      <c r="S2944" s="29" t="str">
        <f t="shared" si="949"/>
        <v>NA</v>
      </c>
      <c r="T2944" s="29" t="str">
        <f t="shared" si="950"/>
        <v>NA</v>
      </c>
      <c r="U2944" s="29" t="str">
        <f t="shared" si="951"/>
        <v>NA</v>
      </c>
      <c r="V2944" s="29" t="str">
        <f t="shared" si="952"/>
        <v>NA</v>
      </c>
      <c r="W2944" s="29" t="str">
        <f t="shared" si="953"/>
        <v>NA</v>
      </c>
      <c r="X2944" s="29" t="str">
        <f t="shared" si="954"/>
        <v>NA</v>
      </c>
      <c r="Y2944" s="29" t="str">
        <f t="shared" si="955"/>
        <v>NA</v>
      </c>
      <c r="Z2944" s="29" t="str">
        <f t="shared" si="956"/>
        <v>NA</v>
      </c>
      <c r="AA2944" s="29" t="str">
        <f t="shared" si="957"/>
        <v>NA</v>
      </c>
      <c r="AB2944" s="29" t="str">
        <f t="shared" si="958"/>
        <v>NA</v>
      </c>
      <c r="AC2944" s="29" t="str">
        <f t="shared" si="959"/>
        <v>NA</v>
      </c>
      <c r="AD2944" s="29" t="str">
        <f t="shared" si="960"/>
        <v>NA</v>
      </c>
      <c r="AE2944" s="29" t="str">
        <f t="shared" si="961"/>
        <v>NA</v>
      </c>
      <c r="AF2944" s="29" t="str">
        <f t="shared" si="962"/>
        <v>NA</v>
      </c>
      <c r="AG2944" s="29" t="str">
        <f t="shared" si="963"/>
        <v>NA</v>
      </c>
      <c r="AH2944" s="29" t="str">
        <f t="shared" si="964"/>
        <v>NA</v>
      </c>
    </row>
    <row r="2945" customHeight="1" spans="1:34">
      <c r="A2945" s="12" t="s">
        <v>1043</v>
      </c>
      <c r="F2945" s="24">
        <f t="shared" si="946"/>
        <v>0</v>
      </c>
      <c r="G2945" s="24" t="e">
        <f t="shared" si="945"/>
        <v>#DIV/0!</v>
      </c>
      <c r="Q2945" s="29" t="str">
        <f t="shared" si="947"/>
        <v>NA</v>
      </c>
      <c r="R2945" s="29" t="str">
        <f t="shared" si="948"/>
        <v>NA</v>
      </c>
      <c r="S2945" s="29" t="str">
        <f t="shared" si="949"/>
        <v>NA</v>
      </c>
      <c r="T2945" s="29" t="str">
        <f t="shared" si="950"/>
        <v>NA</v>
      </c>
      <c r="U2945" s="29" t="str">
        <f t="shared" si="951"/>
        <v>NA</v>
      </c>
      <c r="V2945" s="29" t="str">
        <f t="shared" si="952"/>
        <v>NA</v>
      </c>
      <c r="W2945" s="29" t="str">
        <f t="shared" si="953"/>
        <v>NA</v>
      </c>
      <c r="X2945" s="29" t="str">
        <f t="shared" si="954"/>
        <v>NA</v>
      </c>
      <c r="Y2945" s="29" t="str">
        <f t="shared" si="955"/>
        <v>NA</v>
      </c>
      <c r="Z2945" s="29" t="str">
        <f t="shared" si="956"/>
        <v>NA</v>
      </c>
      <c r="AA2945" s="29" t="str">
        <f t="shared" si="957"/>
        <v>NA</v>
      </c>
      <c r="AB2945" s="29" t="str">
        <f t="shared" si="958"/>
        <v>NA</v>
      </c>
      <c r="AC2945" s="29" t="str">
        <f t="shared" si="959"/>
        <v>NA</v>
      </c>
      <c r="AD2945" s="29" t="str">
        <f t="shared" si="960"/>
        <v>NA</v>
      </c>
      <c r="AE2945" s="29" t="str">
        <f t="shared" si="961"/>
        <v>NA</v>
      </c>
      <c r="AF2945" s="29" t="str">
        <f t="shared" si="962"/>
        <v>NA</v>
      </c>
      <c r="AG2945" s="29" t="str">
        <f t="shared" si="963"/>
        <v>NA</v>
      </c>
      <c r="AH2945" s="29" t="str">
        <f t="shared" si="964"/>
        <v>NA</v>
      </c>
    </row>
    <row r="2946" customHeight="1" spans="1:34">
      <c r="A2946" s="12" t="s">
        <v>1043</v>
      </c>
      <c r="F2946" s="24">
        <f t="shared" si="946"/>
        <v>0</v>
      </c>
      <c r="G2946" s="24" t="e">
        <f t="shared" si="945"/>
        <v>#DIV/0!</v>
      </c>
      <c r="Q2946" s="29" t="str">
        <f t="shared" si="947"/>
        <v>NA</v>
      </c>
      <c r="R2946" s="29" t="str">
        <f t="shared" si="948"/>
        <v>NA</v>
      </c>
      <c r="S2946" s="29" t="str">
        <f t="shared" si="949"/>
        <v>NA</v>
      </c>
      <c r="T2946" s="29" t="str">
        <f t="shared" si="950"/>
        <v>NA</v>
      </c>
      <c r="U2946" s="29" t="str">
        <f t="shared" si="951"/>
        <v>NA</v>
      </c>
      <c r="V2946" s="29" t="str">
        <f t="shared" si="952"/>
        <v>NA</v>
      </c>
      <c r="W2946" s="29" t="str">
        <f t="shared" si="953"/>
        <v>NA</v>
      </c>
      <c r="X2946" s="29" t="str">
        <f t="shared" si="954"/>
        <v>NA</v>
      </c>
      <c r="Y2946" s="29" t="str">
        <f t="shared" si="955"/>
        <v>NA</v>
      </c>
      <c r="Z2946" s="29" t="str">
        <f t="shared" si="956"/>
        <v>NA</v>
      </c>
      <c r="AA2946" s="29" t="str">
        <f t="shared" si="957"/>
        <v>NA</v>
      </c>
      <c r="AB2946" s="29" t="str">
        <f t="shared" si="958"/>
        <v>NA</v>
      </c>
      <c r="AC2946" s="29" t="str">
        <f t="shared" si="959"/>
        <v>NA</v>
      </c>
      <c r="AD2946" s="29" t="str">
        <f t="shared" si="960"/>
        <v>NA</v>
      </c>
      <c r="AE2946" s="29" t="str">
        <f t="shared" si="961"/>
        <v>NA</v>
      </c>
      <c r="AF2946" s="29" t="str">
        <f t="shared" si="962"/>
        <v>NA</v>
      </c>
      <c r="AG2946" s="29" t="str">
        <f t="shared" si="963"/>
        <v>NA</v>
      </c>
      <c r="AH2946" s="29" t="str">
        <f t="shared" si="964"/>
        <v>NA</v>
      </c>
    </row>
    <row r="2947" customHeight="1" spans="1:34">
      <c r="A2947" s="12" t="s">
        <v>1043</v>
      </c>
      <c r="F2947" s="24">
        <f t="shared" si="946"/>
        <v>0</v>
      </c>
      <c r="G2947" s="24" t="e">
        <f t="shared" si="945"/>
        <v>#DIV/0!</v>
      </c>
      <c r="Q2947" s="29" t="str">
        <f t="shared" si="947"/>
        <v>NA</v>
      </c>
      <c r="R2947" s="29" t="str">
        <f t="shared" si="948"/>
        <v>NA</v>
      </c>
      <c r="S2947" s="29" t="str">
        <f t="shared" si="949"/>
        <v>NA</v>
      </c>
      <c r="T2947" s="29" t="str">
        <f t="shared" si="950"/>
        <v>NA</v>
      </c>
      <c r="U2947" s="29" t="str">
        <f t="shared" si="951"/>
        <v>NA</v>
      </c>
      <c r="V2947" s="29" t="str">
        <f t="shared" si="952"/>
        <v>NA</v>
      </c>
      <c r="W2947" s="29" t="str">
        <f t="shared" si="953"/>
        <v>NA</v>
      </c>
      <c r="X2947" s="29" t="str">
        <f t="shared" si="954"/>
        <v>NA</v>
      </c>
      <c r="Y2947" s="29" t="str">
        <f t="shared" si="955"/>
        <v>NA</v>
      </c>
      <c r="Z2947" s="29" t="str">
        <f t="shared" si="956"/>
        <v>NA</v>
      </c>
      <c r="AA2947" s="29" t="str">
        <f t="shared" si="957"/>
        <v>NA</v>
      </c>
      <c r="AB2947" s="29" t="str">
        <f t="shared" si="958"/>
        <v>NA</v>
      </c>
      <c r="AC2947" s="29" t="str">
        <f t="shared" si="959"/>
        <v>NA</v>
      </c>
      <c r="AD2947" s="29" t="str">
        <f t="shared" si="960"/>
        <v>NA</v>
      </c>
      <c r="AE2947" s="29" t="str">
        <f t="shared" si="961"/>
        <v>NA</v>
      </c>
      <c r="AF2947" s="29" t="str">
        <f t="shared" si="962"/>
        <v>NA</v>
      </c>
      <c r="AG2947" s="29" t="str">
        <f t="shared" si="963"/>
        <v>NA</v>
      </c>
      <c r="AH2947" s="29" t="str">
        <f t="shared" si="964"/>
        <v>NA</v>
      </c>
    </row>
    <row r="2948" customHeight="1" spans="1:34">
      <c r="A2948" s="12" t="s">
        <v>1043</v>
      </c>
      <c r="F2948" s="24">
        <f t="shared" si="946"/>
        <v>0</v>
      </c>
      <c r="G2948" s="24" t="e">
        <f t="shared" si="945"/>
        <v>#DIV/0!</v>
      </c>
      <c r="Q2948" s="29" t="str">
        <f t="shared" si="947"/>
        <v>NA</v>
      </c>
      <c r="R2948" s="29" t="str">
        <f t="shared" si="948"/>
        <v>NA</v>
      </c>
      <c r="S2948" s="29" t="str">
        <f t="shared" si="949"/>
        <v>NA</v>
      </c>
      <c r="T2948" s="29" t="str">
        <f t="shared" si="950"/>
        <v>NA</v>
      </c>
      <c r="U2948" s="29" t="str">
        <f t="shared" si="951"/>
        <v>NA</v>
      </c>
      <c r="V2948" s="29" t="str">
        <f t="shared" si="952"/>
        <v>NA</v>
      </c>
      <c r="W2948" s="29" t="str">
        <f t="shared" si="953"/>
        <v>NA</v>
      </c>
      <c r="X2948" s="29" t="str">
        <f t="shared" si="954"/>
        <v>NA</v>
      </c>
      <c r="Y2948" s="29" t="str">
        <f t="shared" si="955"/>
        <v>NA</v>
      </c>
      <c r="Z2948" s="29" t="str">
        <f t="shared" si="956"/>
        <v>NA</v>
      </c>
      <c r="AA2948" s="29" t="str">
        <f t="shared" si="957"/>
        <v>NA</v>
      </c>
      <c r="AB2948" s="29" t="str">
        <f t="shared" si="958"/>
        <v>NA</v>
      </c>
      <c r="AC2948" s="29" t="str">
        <f t="shared" si="959"/>
        <v>NA</v>
      </c>
      <c r="AD2948" s="29" t="str">
        <f t="shared" si="960"/>
        <v>NA</v>
      </c>
      <c r="AE2948" s="29" t="str">
        <f t="shared" si="961"/>
        <v>NA</v>
      </c>
      <c r="AF2948" s="29" t="str">
        <f t="shared" si="962"/>
        <v>NA</v>
      </c>
      <c r="AG2948" s="29" t="str">
        <f t="shared" si="963"/>
        <v>NA</v>
      </c>
      <c r="AH2948" s="29" t="str">
        <f t="shared" si="964"/>
        <v>NA</v>
      </c>
    </row>
    <row r="2949" customHeight="1" spans="1:34">
      <c r="A2949" s="12" t="s">
        <v>1043</v>
      </c>
      <c r="F2949" s="24">
        <f t="shared" si="946"/>
        <v>0</v>
      </c>
      <c r="G2949" s="24" t="e">
        <f t="shared" ref="G2949:G3001" si="965">B2949*D2949/C2949</f>
        <v>#DIV/0!</v>
      </c>
      <c r="Q2949" s="29" t="str">
        <f t="shared" si="947"/>
        <v>NA</v>
      </c>
      <c r="R2949" s="29" t="str">
        <f t="shared" si="948"/>
        <v>NA</v>
      </c>
      <c r="S2949" s="29" t="str">
        <f t="shared" si="949"/>
        <v>NA</v>
      </c>
      <c r="T2949" s="29" t="str">
        <f t="shared" si="950"/>
        <v>NA</v>
      </c>
      <c r="U2949" s="29" t="str">
        <f t="shared" si="951"/>
        <v>NA</v>
      </c>
      <c r="V2949" s="29" t="str">
        <f t="shared" si="952"/>
        <v>NA</v>
      </c>
      <c r="W2949" s="29" t="str">
        <f t="shared" si="953"/>
        <v>NA</v>
      </c>
      <c r="X2949" s="29" t="str">
        <f t="shared" si="954"/>
        <v>NA</v>
      </c>
      <c r="Y2949" s="29" t="str">
        <f t="shared" si="955"/>
        <v>NA</v>
      </c>
      <c r="Z2949" s="29" t="str">
        <f t="shared" si="956"/>
        <v>NA</v>
      </c>
      <c r="AA2949" s="29" t="str">
        <f t="shared" si="957"/>
        <v>NA</v>
      </c>
      <c r="AB2949" s="29" t="str">
        <f t="shared" si="958"/>
        <v>NA</v>
      </c>
      <c r="AC2949" s="29" t="str">
        <f t="shared" si="959"/>
        <v>NA</v>
      </c>
      <c r="AD2949" s="29" t="str">
        <f t="shared" si="960"/>
        <v>NA</v>
      </c>
      <c r="AE2949" s="29" t="str">
        <f t="shared" si="961"/>
        <v>NA</v>
      </c>
      <c r="AF2949" s="29" t="str">
        <f t="shared" si="962"/>
        <v>NA</v>
      </c>
      <c r="AG2949" s="29" t="str">
        <f t="shared" si="963"/>
        <v>NA</v>
      </c>
      <c r="AH2949" s="29" t="str">
        <f t="shared" si="964"/>
        <v>NA</v>
      </c>
    </row>
    <row r="2950" customHeight="1" spans="1:34">
      <c r="A2950" s="12" t="s">
        <v>1043</v>
      </c>
      <c r="F2950" s="24">
        <f t="shared" ref="F2950:F3001" si="966">+D2950+E2950</f>
        <v>0</v>
      </c>
      <c r="G2950" s="24" t="e">
        <f t="shared" si="965"/>
        <v>#DIV/0!</v>
      </c>
      <c r="Q2950" s="29" t="str">
        <f t="shared" si="947"/>
        <v>NA</v>
      </c>
      <c r="R2950" s="29" t="str">
        <f t="shared" si="948"/>
        <v>NA</v>
      </c>
      <c r="S2950" s="29" t="str">
        <f t="shared" si="949"/>
        <v>NA</v>
      </c>
      <c r="T2950" s="29" t="str">
        <f t="shared" si="950"/>
        <v>NA</v>
      </c>
      <c r="U2950" s="29" t="str">
        <f t="shared" si="951"/>
        <v>NA</v>
      </c>
      <c r="V2950" s="29" t="str">
        <f t="shared" si="952"/>
        <v>NA</v>
      </c>
      <c r="W2950" s="29" t="str">
        <f t="shared" si="953"/>
        <v>NA</v>
      </c>
      <c r="X2950" s="29" t="str">
        <f t="shared" si="954"/>
        <v>NA</v>
      </c>
      <c r="Y2950" s="29" t="str">
        <f t="shared" si="955"/>
        <v>NA</v>
      </c>
      <c r="Z2950" s="29" t="str">
        <f t="shared" si="956"/>
        <v>NA</v>
      </c>
      <c r="AA2950" s="29" t="str">
        <f t="shared" si="957"/>
        <v>NA</v>
      </c>
      <c r="AB2950" s="29" t="str">
        <f t="shared" si="958"/>
        <v>NA</v>
      </c>
      <c r="AC2950" s="29" t="str">
        <f t="shared" si="959"/>
        <v>NA</v>
      </c>
      <c r="AD2950" s="29" t="str">
        <f t="shared" si="960"/>
        <v>NA</v>
      </c>
      <c r="AE2950" s="29" t="str">
        <f t="shared" si="961"/>
        <v>NA</v>
      </c>
      <c r="AF2950" s="29" t="str">
        <f t="shared" si="962"/>
        <v>NA</v>
      </c>
      <c r="AG2950" s="29" t="str">
        <f t="shared" si="963"/>
        <v>NA</v>
      </c>
      <c r="AH2950" s="29" t="str">
        <f t="shared" si="964"/>
        <v>NA</v>
      </c>
    </row>
    <row r="2951" customHeight="1" spans="1:34">
      <c r="A2951" s="12" t="s">
        <v>1043</v>
      </c>
      <c r="F2951" s="24">
        <f t="shared" si="966"/>
        <v>0</v>
      </c>
      <c r="G2951" s="24" t="e">
        <f t="shared" si="965"/>
        <v>#DIV/0!</v>
      </c>
      <c r="Q2951" s="29" t="str">
        <f t="shared" si="947"/>
        <v>NA</v>
      </c>
      <c r="R2951" s="29" t="str">
        <f t="shared" si="948"/>
        <v>NA</v>
      </c>
      <c r="S2951" s="29" t="str">
        <f t="shared" si="949"/>
        <v>NA</v>
      </c>
      <c r="T2951" s="29" t="str">
        <f t="shared" si="950"/>
        <v>NA</v>
      </c>
      <c r="U2951" s="29" t="str">
        <f t="shared" si="951"/>
        <v>NA</v>
      </c>
      <c r="V2951" s="29" t="str">
        <f t="shared" si="952"/>
        <v>NA</v>
      </c>
      <c r="W2951" s="29" t="str">
        <f t="shared" si="953"/>
        <v>NA</v>
      </c>
      <c r="X2951" s="29" t="str">
        <f t="shared" si="954"/>
        <v>NA</v>
      </c>
      <c r="Y2951" s="29" t="str">
        <f t="shared" si="955"/>
        <v>NA</v>
      </c>
      <c r="Z2951" s="29" t="str">
        <f t="shared" si="956"/>
        <v>NA</v>
      </c>
      <c r="AA2951" s="29" t="str">
        <f t="shared" si="957"/>
        <v>NA</v>
      </c>
      <c r="AB2951" s="29" t="str">
        <f t="shared" si="958"/>
        <v>NA</v>
      </c>
      <c r="AC2951" s="29" t="str">
        <f t="shared" si="959"/>
        <v>NA</v>
      </c>
      <c r="AD2951" s="29" t="str">
        <f t="shared" si="960"/>
        <v>NA</v>
      </c>
      <c r="AE2951" s="29" t="str">
        <f t="shared" si="961"/>
        <v>NA</v>
      </c>
      <c r="AF2951" s="29" t="str">
        <f t="shared" si="962"/>
        <v>NA</v>
      </c>
      <c r="AG2951" s="29" t="str">
        <f t="shared" si="963"/>
        <v>NA</v>
      </c>
      <c r="AH2951" s="29" t="str">
        <f t="shared" si="964"/>
        <v>NA</v>
      </c>
    </row>
    <row r="2952" customHeight="1" spans="1:34">
      <c r="A2952" s="12" t="s">
        <v>1043</v>
      </c>
      <c r="F2952" s="24">
        <f t="shared" si="966"/>
        <v>0</v>
      </c>
      <c r="G2952" s="24" t="e">
        <f t="shared" si="965"/>
        <v>#DIV/0!</v>
      </c>
      <c r="Q2952" s="29" t="str">
        <f t="shared" si="947"/>
        <v>NA</v>
      </c>
      <c r="R2952" s="29" t="str">
        <f t="shared" si="948"/>
        <v>NA</v>
      </c>
      <c r="S2952" s="29" t="str">
        <f t="shared" si="949"/>
        <v>NA</v>
      </c>
      <c r="T2952" s="29" t="str">
        <f t="shared" si="950"/>
        <v>NA</v>
      </c>
      <c r="U2952" s="29" t="str">
        <f t="shared" si="951"/>
        <v>NA</v>
      </c>
      <c r="V2952" s="29" t="str">
        <f t="shared" si="952"/>
        <v>NA</v>
      </c>
      <c r="W2952" s="29" t="str">
        <f t="shared" si="953"/>
        <v>NA</v>
      </c>
      <c r="X2952" s="29" t="str">
        <f t="shared" si="954"/>
        <v>NA</v>
      </c>
      <c r="Y2952" s="29" t="str">
        <f t="shared" si="955"/>
        <v>NA</v>
      </c>
      <c r="Z2952" s="29" t="str">
        <f t="shared" si="956"/>
        <v>NA</v>
      </c>
      <c r="AA2952" s="29" t="str">
        <f t="shared" si="957"/>
        <v>NA</v>
      </c>
      <c r="AB2952" s="29" t="str">
        <f t="shared" si="958"/>
        <v>NA</v>
      </c>
      <c r="AC2952" s="29" t="str">
        <f t="shared" si="959"/>
        <v>NA</v>
      </c>
      <c r="AD2952" s="29" t="str">
        <f t="shared" si="960"/>
        <v>NA</v>
      </c>
      <c r="AE2952" s="29" t="str">
        <f t="shared" si="961"/>
        <v>NA</v>
      </c>
      <c r="AF2952" s="29" t="str">
        <f t="shared" si="962"/>
        <v>NA</v>
      </c>
      <c r="AG2952" s="29" t="str">
        <f t="shared" si="963"/>
        <v>NA</v>
      </c>
      <c r="AH2952" s="29" t="str">
        <f t="shared" si="964"/>
        <v>NA</v>
      </c>
    </row>
    <row r="2953" customHeight="1" spans="1:34">
      <c r="A2953" s="12" t="s">
        <v>1043</v>
      </c>
      <c r="F2953" s="24">
        <f t="shared" si="966"/>
        <v>0</v>
      </c>
      <c r="G2953" s="24" t="e">
        <f t="shared" si="965"/>
        <v>#DIV/0!</v>
      </c>
      <c r="Q2953" s="29" t="str">
        <f t="shared" si="947"/>
        <v>NA</v>
      </c>
      <c r="R2953" s="29" t="str">
        <f t="shared" si="948"/>
        <v>NA</v>
      </c>
      <c r="S2953" s="29" t="str">
        <f t="shared" si="949"/>
        <v>NA</v>
      </c>
      <c r="T2953" s="29" t="str">
        <f t="shared" si="950"/>
        <v>NA</v>
      </c>
      <c r="U2953" s="29" t="str">
        <f t="shared" si="951"/>
        <v>NA</v>
      </c>
      <c r="V2953" s="29" t="str">
        <f t="shared" si="952"/>
        <v>NA</v>
      </c>
      <c r="W2953" s="29" t="str">
        <f t="shared" si="953"/>
        <v>NA</v>
      </c>
      <c r="X2953" s="29" t="str">
        <f t="shared" si="954"/>
        <v>NA</v>
      </c>
      <c r="Y2953" s="29" t="str">
        <f t="shared" si="955"/>
        <v>NA</v>
      </c>
      <c r="Z2953" s="29" t="str">
        <f t="shared" si="956"/>
        <v>NA</v>
      </c>
      <c r="AA2953" s="29" t="str">
        <f t="shared" si="957"/>
        <v>NA</v>
      </c>
      <c r="AB2953" s="29" t="str">
        <f t="shared" si="958"/>
        <v>NA</v>
      </c>
      <c r="AC2953" s="29" t="str">
        <f t="shared" si="959"/>
        <v>NA</v>
      </c>
      <c r="AD2953" s="29" t="str">
        <f t="shared" si="960"/>
        <v>NA</v>
      </c>
      <c r="AE2953" s="29" t="str">
        <f t="shared" si="961"/>
        <v>NA</v>
      </c>
      <c r="AF2953" s="29" t="str">
        <f t="shared" si="962"/>
        <v>NA</v>
      </c>
      <c r="AG2953" s="29" t="str">
        <f t="shared" si="963"/>
        <v>NA</v>
      </c>
      <c r="AH2953" s="29" t="str">
        <f t="shared" si="964"/>
        <v>NA</v>
      </c>
    </row>
    <row r="2954" customHeight="1" spans="1:34">
      <c r="A2954" s="12" t="s">
        <v>1043</v>
      </c>
      <c r="F2954" s="24">
        <f t="shared" si="966"/>
        <v>0</v>
      </c>
      <c r="G2954" s="24" t="e">
        <f t="shared" si="965"/>
        <v>#DIV/0!</v>
      </c>
      <c r="Q2954" s="29" t="str">
        <f t="shared" si="947"/>
        <v>NA</v>
      </c>
      <c r="R2954" s="29" t="str">
        <f t="shared" si="948"/>
        <v>NA</v>
      </c>
      <c r="S2954" s="29" t="str">
        <f t="shared" si="949"/>
        <v>NA</v>
      </c>
      <c r="T2954" s="29" t="str">
        <f t="shared" si="950"/>
        <v>NA</v>
      </c>
      <c r="U2954" s="29" t="str">
        <f t="shared" si="951"/>
        <v>NA</v>
      </c>
      <c r="V2954" s="29" t="str">
        <f t="shared" si="952"/>
        <v>NA</v>
      </c>
      <c r="W2954" s="29" t="str">
        <f t="shared" si="953"/>
        <v>NA</v>
      </c>
      <c r="X2954" s="29" t="str">
        <f t="shared" si="954"/>
        <v>NA</v>
      </c>
      <c r="Y2954" s="29" t="str">
        <f t="shared" si="955"/>
        <v>NA</v>
      </c>
      <c r="Z2954" s="29" t="str">
        <f t="shared" si="956"/>
        <v>NA</v>
      </c>
      <c r="AA2954" s="29" t="str">
        <f t="shared" si="957"/>
        <v>NA</v>
      </c>
      <c r="AB2954" s="29" t="str">
        <f t="shared" si="958"/>
        <v>NA</v>
      </c>
      <c r="AC2954" s="29" t="str">
        <f t="shared" si="959"/>
        <v>NA</v>
      </c>
      <c r="AD2954" s="29" t="str">
        <f t="shared" si="960"/>
        <v>NA</v>
      </c>
      <c r="AE2954" s="29" t="str">
        <f t="shared" si="961"/>
        <v>NA</v>
      </c>
      <c r="AF2954" s="29" t="str">
        <f t="shared" si="962"/>
        <v>NA</v>
      </c>
      <c r="AG2954" s="29" t="str">
        <f t="shared" si="963"/>
        <v>NA</v>
      </c>
      <c r="AH2954" s="29" t="str">
        <f t="shared" si="964"/>
        <v>NA</v>
      </c>
    </row>
    <row r="2955" customHeight="1" spans="1:34">
      <c r="A2955" s="12" t="s">
        <v>1043</v>
      </c>
      <c r="F2955" s="24">
        <f t="shared" si="966"/>
        <v>0</v>
      </c>
      <c r="G2955" s="24" t="e">
        <f t="shared" si="965"/>
        <v>#DIV/0!</v>
      </c>
      <c r="Q2955" s="29" t="str">
        <f t="shared" si="947"/>
        <v>NA</v>
      </c>
      <c r="R2955" s="29" t="str">
        <f t="shared" si="948"/>
        <v>NA</v>
      </c>
      <c r="S2955" s="29" t="str">
        <f t="shared" si="949"/>
        <v>NA</v>
      </c>
      <c r="T2955" s="29" t="str">
        <f t="shared" si="950"/>
        <v>NA</v>
      </c>
      <c r="U2955" s="29" t="str">
        <f t="shared" si="951"/>
        <v>NA</v>
      </c>
      <c r="V2955" s="29" t="str">
        <f t="shared" si="952"/>
        <v>NA</v>
      </c>
      <c r="W2955" s="29" t="str">
        <f t="shared" si="953"/>
        <v>NA</v>
      </c>
      <c r="X2955" s="29" t="str">
        <f t="shared" si="954"/>
        <v>NA</v>
      </c>
      <c r="Y2955" s="29" t="str">
        <f t="shared" si="955"/>
        <v>NA</v>
      </c>
      <c r="Z2955" s="29" t="str">
        <f t="shared" si="956"/>
        <v>NA</v>
      </c>
      <c r="AA2955" s="29" t="str">
        <f t="shared" si="957"/>
        <v>NA</v>
      </c>
      <c r="AB2955" s="29" t="str">
        <f t="shared" si="958"/>
        <v>NA</v>
      </c>
      <c r="AC2955" s="29" t="str">
        <f t="shared" si="959"/>
        <v>NA</v>
      </c>
      <c r="AD2955" s="29" t="str">
        <f t="shared" si="960"/>
        <v>NA</v>
      </c>
      <c r="AE2955" s="29" t="str">
        <f t="shared" si="961"/>
        <v>NA</v>
      </c>
      <c r="AF2955" s="29" t="str">
        <f t="shared" si="962"/>
        <v>NA</v>
      </c>
      <c r="AG2955" s="29" t="str">
        <f t="shared" si="963"/>
        <v>NA</v>
      </c>
      <c r="AH2955" s="29" t="str">
        <f t="shared" si="964"/>
        <v>NA</v>
      </c>
    </row>
    <row r="2956" customHeight="1" spans="1:34">
      <c r="A2956" s="12" t="s">
        <v>1043</v>
      </c>
      <c r="F2956" s="24">
        <f t="shared" si="966"/>
        <v>0</v>
      </c>
      <c r="G2956" s="24" t="e">
        <f t="shared" si="965"/>
        <v>#DIV/0!</v>
      </c>
      <c r="Q2956" s="29" t="str">
        <f t="shared" si="947"/>
        <v>NA</v>
      </c>
      <c r="R2956" s="29" t="str">
        <f t="shared" si="948"/>
        <v>NA</v>
      </c>
      <c r="S2956" s="29" t="str">
        <f t="shared" si="949"/>
        <v>NA</v>
      </c>
      <c r="T2956" s="29" t="str">
        <f t="shared" si="950"/>
        <v>NA</v>
      </c>
      <c r="U2956" s="29" t="str">
        <f t="shared" si="951"/>
        <v>NA</v>
      </c>
      <c r="V2956" s="29" t="str">
        <f t="shared" si="952"/>
        <v>NA</v>
      </c>
      <c r="W2956" s="29" t="str">
        <f t="shared" si="953"/>
        <v>NA</v>
      </c>
      <c r="X2956" s="29" t="str">
        <f t="shared" si="954"/>
        <v>NA</v>
      </c>
      <c r="Y2956" s="29" t="str">
        <f t="shared" si="955"/>
        <v>NA</v>
      </c>
      <c r="Z2956" s="29" t="str">
        <f t="shared" si="956"/>
        <v>NA</v>
      </c>
      <c r="AA2956" s="29" t="str">
        <f t="shared" si="957"/>
        <v>NA</v>
      </c>
      <c r="AB2956" s="29" t="str">
        <f t="shared" si="958"/>
        <v>NA</v>
      </c>
      <c r="AC2956" s="29" t="str">
        <f t="shared" si="959"/>
        <v>NA</v>
      </c>
      <c r="AD2956" s="29" t="str">
        <f t="shared" si="960"/>
        <v>NA</v>
      </c>
      <c r="AE2956" s="29" t="str">
        <f t="shared" si="961"/>
        <v>NA</v>
      </c>
      <c r="AF2956" s="29" t="str">
        <f t="shared" si="962"/>
        <v>NA</v>
      </c>
      <c r="AG2956" s="29" t="str">
        <f t="shared" si="963"/>
        <v>NA</v>
      </c>
      <c r="AH2956" s="29" t="str">
        <f t="shared" si="964"/>
        <v>NA</v>
      </c>
    </row>
    <row r="2957" customHeight="1" spans="1:34">
      <c r="A2957" s="12" t="s">
        <v>1043</v>
      </c>
      <c r="F2957" s="24">
        <f t="shared" si="966"/>
        <v>0</v>
      </c>
      <c r="G2957" s="24" t="e">
        <f t="shared" si="965"/>
        <v>#DIV/0!</v>
      </c>
      <c r="Q2957" s="29" t="str">
        <f t="shared" si="947"/>
        <v>NA</v>
      </c>
      <c r="R2957" s="29" t="str">
        <f t="shared" si="948"/>
        <v>NA</v>
      </c>
      <c r="S2957" s="29" t="str">
        <f t="shared" si="949"/>
        <v>NA</v>
      </c>
      <c r="T2957" s="29" t="str">
        <f t="shared" si="950"/>
        <v>NA</v>
      </c>
      <c r="U2957" s="29" t="str">
        <f t="shared" si="951"/>
        <v>NA</v>
      </c>
      <c r="V2957" s="29" t="str">
        <f t="shared" si="952"/>
        <v>NA</v>
      </c>
      <c r="W2957" s="29" t="str">
        <f t="shared" si="953"/>
        <v>NA</v>
      </c>
      <c r="X2957" s="29" t="str">
        <f t="shared" si="954"/>
        <v>NA</v>
      </c>
      <c r="Y2957" s="29" t="str">
        <f t="shared" si="955"/>
        <v>NA</v>
      </c>
      <c r="Z2957" s="29" t="str">
        <f t="shared" si="956"/>
        <v>NA</v>
      </c>
      <c r="AA2957" s="29" t="str">
        <f t="shared" si="957"/>
        <v>NA</v>
      </c>
      <c r="AB2957" s="29" t="str">
        <f t="shared" si="958"/>
        <v>NA</v>
      </c>
      <c r="AC2957" s="29" t="str">
        <f t="shared" si="959"/>
        <v>NA</v>
      </c>
      <c r="AD2957" s="29" t="str">
        <f t="shared" si="960"/>
        <v>NA</v>
      </c>
      <c r="AE2957" s="29" t="str">
        <f t="shared" si="961"/>
        <v>NA</v>
      </c>
      <c r="AF2957" s="29" t="str">
        <f t="shared" si="962"/>
        <v>NA</v>
      </c>
      <c r="AG2957" s="29" t="str">
        <f t="shared" si="963"/>
        <v>NA</v>
      </c>
      <c r="AH2957" s="29" t="str">
        <f t="shared" si="964"/>
        <v>NA</v>
      </c>
    </row>
    <row r="2958" customHeight="1" spans="1:34">
      <c r="A2958" s="12" t="s">
        <v>1043</v>
      </c>
      <c r="F2958" s="24">
        <f t="shared" si="966"/>
        <v>0</v>
      </c>
      <c r="G2958" s="24" t="e">
        <f t="shared" si="965"/>
        <v>#DIV/0!</v>
      </c>
      <c r="Q2958" s="29" t="str">
        <f t="shared" si="947"/>
        <v>NA</v>
      </c>
      <c r="R2958" s="29" t="str">
        <f t="shared" si="948"/>
        <v>NA</v>
      </c>
      <c r="S2958" s="29" t="str">
        <f t="shared" si="949"/>
        <v>NA</v>
      </c>
      <c r="T2958" s="29" t="str">
        <f t="shared" si="950"/>
        <v>NA</v>
      </c>
      <c r="U2958" s="29" t="str">
        <f t="shared" si="951"/>
        <v>NA</v>
      </c>
      <c r="V2958" s="29" t="str">
        <f t="shared" si="952"/>
        <v>NA</v>
      </c>
      <c r="W2958" s="29" t="str">
        <f t="shared" si="953"/>
        <v>NA</v>
      </c>
      <c r="X2958" s="29" t="str">
        <f t="shared" si="954"/>
        <v>NA</v>
      </c>
      <c r="Y2958" s="29" t="str">
        <f t="shared" si="955"/>
        <v>NA</v>
      </c>
      <c r="Z2958" s="29" t="str">
        <f t="shared" si="956"/>
        <v>NA</v>
      </c>
      <c r="AA2958" s="29" t="str">
        <f t="shared" si="957"/>
        <v>NA</v>
      </c>
      <c r="AB2958" s="29" t="str">
        <f t="shared" si="958"/>
        <v>NA</v>
      </c>
      <c r="AC2958" s="29" t="str">
        <f t="shared" si="959"/>
        <v>NA</v>
      </c>
      <c r="AD2958" s="29" t="str">
        <f t="shared" si="960"/>
        <v>NA</v>
      </c>
      <c r="AE2958" s="29" t="str">
        <f t="shared" si="961"/>
        <v>NA</v>
      </c>
      <c r="AF2958" s="29" t="str">
        <f t="shared" si="962"/>
        <v>NA</v>
      </c>
      <c r="AG2958" s="29" t="str">
        <f t="shared" si="963"/>
        <v>NA</v>
      </c>
      <c r="AH2958" s="29" t="str">
        <f t="shared" si="964"/>
        <v>NA</v>
      </c>
    </row>
    <row r="2959" customHeight="1" spans="1:34">
      <c r="A2959" s="12" t="s">
        <v>1043</v>
      </c>
      <c r="F2959" s="24">
        <f t="shared" si="966"/>
        <v>0</v>
      </c>
      <c r="G2959" s="24" t="e">
        <f t="shared" si="965"/>
        <v>#DIV/0!</v>
      </c>
      <c r="Q2959" s="29" t="str">
        <f t="shared" si="947"/>
        <v>NA</v>
      </c>
      <c r="R2959" s="29" t="str">
        <f t="shared" si="948"/>
        <v>NA</v>
      </c>
      <c r="S2959" s="29" t="str">
        <f t="shared" si="949"/>
        <v>NA</v>
      </c>
      <c r="T2959" s="29" t="str">
        <f t="shared" si="950"/>
        <v>NA</v>
      </c>
      <c r="U2959" s="29" t="str">
        <f t="shared" si="951"/>
        <v>NA</v>
      </c>
      <c r="V2959" s="29" t="str">
        <f t="shared" si="952"/>
        <v>NA</v>
      </c>
      <c r="W2959" s="29" t="str">
        <f t="shared" si="953"/>
        <v>NA</v>
      </c>
      <c r="X2959" s="29" t="str">
        <f t="shared" si="954"/>
        <v>NA</v>
      </c>
      <c r="Y2959" s="29" t="str">
        <f t="shared" si="955"/>
        <v>NA</v>
      </c>
      <c r="Z2959" s="29" t="str">
        <f t="shared" si="956"/>
        <v>NA</v>
      </c>
      <c r="AA2959" s="29" t="str">
        <f t="shared" si="957"/>
        <v>NA</v>
      </c>
      <c r="AB2959" s="29" t="str">
        <f t="shared" si="958"/>
        <v>NA</v>
      </c>
      <c r="AC2959" s="29" t="str">
        <f t="shared" si="959"/>
        <v>NA</v>
      </c>
      <c r="AD2959" s="29" t="str">
        <f t="shared" si="960"/>
        <v>NA</v>
      </c>
      <c r="AE2959" s="29" t="str">
        <f t="shared" si="961"/>
        <v>NA</v>
      </c>
      <c r="AF2959" s="29" t="str">
        <f t="shared" si="962"/>
        <v>NA</v>
      </c>
      <c r="AG2959" s="29" t="str">
        <f t="shared" si="963"/>
        <v>NA</v>
      </c>
      <c r="AH2959" s="29" t="str">
        <f t="shared" si="964"/>
        <v>NA</v>
      </c>
    </row>
    <row r="2960" customHeight="1" spans="1:34">
      <c r="A2960" s="12" t="s">
        <v>1043</v>
      </c>
      <c r="F2960" s="24">
        <f t="shared" si="966"/>
        <v>0</v>
      </c>
      <c r="G2960" s="24" t="e">
        <f t="shared" si="965"/>
        <v>#DIV/0!</v>
      </c>
      <c r="Q2960" s="29" t="str">
        <f t="shared" ref="Q2960:Q3001" si="967">IFERROR($B2960*$E2960/H2960,"NA")</f>
        <v>NA</v>
      </c>
      <c r="R2960" s="29" t="str">
        <f t="shared" ref="R2960:R3001" si="968">IFERROR($B2960*$E2960/I2960,"NA")</f>
        <v>NA</v>
      </c>
      <c r="S2960" s="29" t="str">
        <f t="shared" ref="S2960:S3001" si="969">IFERROR($B2960*$E2960/J2960,"NA")</f>
        <v>NA</v>
      </c>
      <c r="T2960" s="29" t="str">
        <f t="shared" ref="T2960:T3001" si="970">IFERROR($B2960*$E2960/K2960,"NA")</f>
        <v>NA</v>
      </c>
      <c r="U2960" s="29" t="str">
        <f t="shared" ref="U2960:U3001" si="971">IFERROR($B2960*$E2960/L2960,"NA")</f>
        <v>NA</v>
      </c>
      <c r="V2960" s="29" t="str">
        <f t="shared" ref="V2960:V3001" si="972">IFERROR($B2960*$E2960/M2960,"NA")</f>
        <v>NA</v>
      </c>
      <c r="W2960" s="29" t="str">
        <f t="shared" ref="W2960:W3001" si="973">IFERROR($B2960*$E2960/N2960,"NA")</f>
        <v>NA</v>
      </c>
      <c r="X2960" s="29" t="str">
        <f t="shared" ref="X2960:X3001" si="974">IFERROR($B2960*$E2960/O2960,"NA")</f>
        <v>NA</v>
      </c>
      <c r="Y2960" s="29" t="str">
        <f t="shared" ref="Y2960:Y3001" si="975">IFERROR($B2960*$E2960/P2960,"NA")</f>
        <v>NA</v>
      </c>
      <c r="Z2960" s="29" t="str">
        <f t="shared" ref="Z2960:Z3001" si="976">IFERROR((($G2960*Z$2/1000)+Q2960)/1,"NA")</f>
        <v>NA</v>
      </c>
      <c r="AA2960" s="29" t="str">
        <f t="shared" ref="AA2960:AA3001" si="977">IFERROR((($G2960*AA$2/1000)+R2960)/1,"NA")</f>
        <v>NA</v>
      </c>
      <c r="AB2960" s="29" t="str">
        <f t="shared" ref="AB2960:AB3001" si="978">IFERROR((($G2960*AB$2/1000)+S2960)/1,"NA")</f>
        <v>NA</v>
      </c>
      <c r="AC2960" s="29" t="str">
        <f t="shared" ref="AC2960:AC3001" si="979">IFERROR((($G2960*AC$2/1000)+T2960)/1,"NA")</f>
        <v>NA</v>
      </c>
      <c r="AD2960" s="29" t="str">
        <f t="shared" ref="AD2960:AD3001" si="980">IFERROR((($G2960*AD$2/1000)+U2960)/1,"NA")</f>
        <v>NA</v>
      </c>
      <c r="AE2960" s="29" t="str">
        <f t="shared" ref="AE2960:AE3001" si="981">IFERROR((($G2960*AE$2/1000)+V2960)/1,"NA")</f>
        <v>NA</v>
      </c>
      <c r="AF2960" s="29" t="str">
        <f t="shared" ref="AF2960:AF3001" si="982">IFERROR((($G2960*AF$2/1000)+W2960)/1,"NA")</f>
        <v>NA</v>
      </c>
      <c r="AG2960" s="29" t="str">
        <f t="shared" ref="AG2960:AG3001" si="983">IFERROR((($G2960*AG$2/1000)+X2960)/1,"NA")</f>
        <v>NA</v>
      </c>
      <c r="AH2960" s="29" t="str">
        <f t="shared" ref="AH2960:AH3001" si="984">IFERROR((($G2960*AH$2/1000)+Y2960)/1,"NA")</f>
        <v>NA</v>
      </c>
    </row>
    <row r="2961" customHeight="1" spans="1:34">
      <c r="A2961" s="12" t="s">
        <v>1043</v>
      </c>
      <c r="F2961" s="24">
        <f t="shared" si="966"/>
        <v>0</v>
      </c>
      <c r="G2961" s="24" t="e">
        <f t="shared" si="965"/>
        <v>#DIV/0!</v>
      </c>
      <c r="Q2961" s="29" t="str">
        <f t="shared" si="967"/>
        <v>NA</v>
      </c>
      <c r="R2961" s="29" t="str">
        <f t="shared" si="968"/>
        <v>NA</v>
      </c>
      <c r="S2961" s="29" t="str">
        <f t="shared" si="969"/>
        <v>NA</v>
      </c>
      <c r="T2961" s="29" t="str">
        <f t="shared" si="970"/>
        <v>NA</v>
      </c>
      <c r="U2961" s="29" t="str">
        <f t="shared" si="971"/>
        <v>NA</v>
      </c>
      <c r="V2961" s="29" t="str">
        <f t="shared" si="972"/>
        <v>NA</v>
      </c>
      <c r="W2961" s="29" t="str">
        <f t="shared" si="973"/>
        <v>NA</v>
      </c>
      <c r="X2961" s="29" t="str">
        <f t="shared" si="974"/>
        <v>NA</v>
      </c>
      <c r="Y2961" s="29" t="str">
        <f t="shared" si="975"/>
        <v>NA</v>
      </c>
      <c r="Z2961" s="29" t="str">
        <f t="shared" si="976"/>
        <v>NA</v>
      </c>
      <c r="AA2961" s="29" t="str">
        <f t="shared" si="977"/>
        <v>NA</v>
      </c>
      <c r="AB2961" s="29" t="str">
        <f t="shared" si="978"/>
        <v>NA</v>
      </c>
      <c r="AC2961" s="29" t="str">
        <f t="shared" si="979"/>
        <v>NA</v>
      </c>
      <c r="AD2961" s="29" t="str">
        <f t="shared" si="980"/>
        <v>NA</v>
      </c>
      <c r="AE2961" s="29" t="str">
        <f t="shared" si="981"/>
        <v>NA</v>
      </c>
      <c r="AF2961" s="29" t="str">
        <f t="shared" si="982"/>
        <v>NA</v>
      </c>
      <c r="AG2961" s="29" t="str">
        <f t="shared" si="983"/>
        <v>NA</v>
      </c>
      <c r="AH2961" s="29" t="str">
        <f t="shared" si="984"/>
        <v>NA</v>
      </c>
    </row>
    <row r="2962" customHeight="1" spans="1:34">
      <c r="A2962" s="12" t="s">
        <v>1043</v>
      </c>
      <c r="F2962" s="24">
        <f t="shared" si="966"/>
        <v>0</v>
      </c>
      <c r="G2962" s="24" t="e">
        <f t="shared" si="965"/>
        <v>#DIV/0!</v>
      </c>
      <c r="Q2962" s="29" t="str">
        <f t="shared" si="967"/>
        <v>NA</v>
      </c>
      <c r="R2962" s="29" t="str">
        <f t="shared" si="968"/>
        <v>NA</v>
      </c>
      <c r="S2962" s="29" t="str">
        <f t="shared" si="969"/>
        <v>NA</v>
      </c>
      <c r="T2962" s="29" t="str">
        <f t="shared" si="970"/>
        <v>NA</v>
      </c>
      <c r="U2962" s="29" t="str">
        <f t="shared" si="971"/>
        <v>NA</v>
      </c>
      <c r="V2962" s="29" t="str">
        <f t="shared" si="972"/>
        <v>NA</v>
      </c>
      <c r="W2962" s="29" t="str">
        <f t="shared" si="973"/>
        <v>NA</v>
      </c>
      <c r="X2962" s="29" t="str">
        <f t="shared" si="974"/>
        <v>NA</v>
      </c>
      <c r="Y2962" s="29" t="str">
        <f t="shared" si="975"/>
        <v>NA</v>
      </c>
      <c r="Z2962" s="29" t="str">
        <f t="shared" si="976"/>
        <v>NA</v>
      </c>
      <c r="AA2962" s="29" t="str">
        <f t="shared" si="977"/>
        <v>NA</v>
      </c>
      <c r="AB2962" s="29" t="str">
        <f t="shared" si="978"/>
        <v>NA</v>
      </c>
      <c r="AC2962" s="29" t="str">
        <f t="shared" si="979"/>
        <v>NA</v>
      </c>
      <c r="AD2962" s="29" t="str">
        <f t="shared" si="980"/>
        <v>NA</v>
      </c>
      <c r="AE2962" s="29" t="str">
        <f t="shared" si="981"/>
        <v>NA</v>
      </c>
      <c r="AF2962" s="29" t="str">
        <f t="shared" si="982"/>
        <v>NA</v>
      </c>
      <c r="AG2962" s="29" t="str">
        <f t="shared" si="983"/>
        <v>NA</v>
      </c>
      <c r="AH2962" s="29" t="str">
        <f t="shared" si="984"/>
        <v>NA</v>
      </c>
    </row>
    <row r="2963" customHeight="1" spans="1:34">
      <c r="A2963" s="12" t="s">
        <v>1043</v>
      </c>
      <c r="F2963" s="24">
        <f t="shared" si="966"/>
        <v>0</v>
      </c>
      <c r="G2963" s="24" t="e">
        <f t="shared" si="965"/>
        <v>#DIV/0!</v>
      </c>
      <c r="Q2963" s="29" t="str">
        <f t="shared" si="967"/>
        <v>NA</v>
      </c>
      <c r="R2963" s="29" t="str">
        <f t="shared" si="968"/>
        <v>NA</v>
      </c>
      <c r="S2963" s="29" t="str">
        <f t="shared" si="969"/>
        <v>NA</v>
      </c>
      <c r="T2963" s="29" t="str">
        <f t="shared" si="970"/>
        <v>NA</v>
      </c>
      <c r="U2963" s="29" t="str">
        <f t="shared" si="971"/>
        <v>NA</v>
      </c>
      <c r="V2963" s="29" t="str">
        <f t="shared" si="972"/>
        <v>NA</v>
      </c>
      <c r="W2963" s="29" t="str">
        <f t="shared" si="973"/>
        <v>NA</v>
      </c>
      <c r="X2963" s="29" t="str">
        <f t="shared" si="974"/>
        <v>NA</v>
      </c>
      <c r="Y2963" s="29" t="str">
        <f t="shared" si="975"/>
        <v>NA</v>
      </c>
      <c r="Z2963" s="29" t="str">
        <f t="shared" si="976"/>
        <v>NA</v>
      </c>
      <c r="AA2963" s="29" t="str">
        <f t="shared" si="977"/>
        <v>NA</v>
      </c>
      <c r="AB2963" s="29" t="str">
        <f t="shared" si="978"/>
        <v>NA</v>
      </c>
      <c r="AC2963" s="29" t="str">
        <f t="shared" si="979"/>
        <v>NA</v>
      </c>
      <c r="AD2963" s="29" t="str">
        <f t="shared" si="980"/>
        <v>NA</v>
      </c>
      <c r="AE2963" s="29" t="str">
        <f t="shared" si="981"/>
        <v>NA</v>
      </c>
      <c r="AF2963" s="29" t="str">
        <f t="shared" si="982"/>
        <v>NA</v>
      </c>
      <c r="AG2963" s="29" t="str">
        <f t="shared" si="983"/>
        <v>NA</v>
      </c>
      <c r="AH2963" s="29" t="str">
        <f t="shared" si="984"/>
        <v>NA</v>
      </c>
    </row>
    <row r="2964" customHeight="1" spans="1:34">
      <c r="A2964" s="12" t="s">
        <v>1043</v>
      </c>
      <c r="F2964" s="24">
        <f t="shared" si="966"/>
        <v>0</v>
      </c>
      <c r="G2964" s="24" t="e">
        <f t="shared" si="965"/>
        <v>#DIV/0!</v>
      </c>
      <c r="Q2964" s="29" t="str">
        <f t="shared" si="967"/>
        <v>NA</v>
      </c>
      <c r="R2964" s="29" t="str">
        <f t="shared" si="968"/>
        <v>NA</v>
      </c>
      <c r="S2964" s="29" t="str">
        <f t="shared" si="969"/>
        <v>NA</v>
      </c>
      <c r="T2964" s="29" t="str">
        <f t="shared" si="970"/>
        <v>NA</v>
      </c>
      <c r="U2964" s="29" t="str">
        <f t="shared" si="971"/>
        <v>NA</v>
      </c>
      <c r="V2964" s="29" t="str">
        <f t="shared" si="972"/>
        <v>NA</v>
      </c>
      <c r="W2964" s="29" t="str">
        <f t="shared" si="973"/>
        <v>NA</v>
      </c>
      <c r="X2964" s="29" t="str">
        <f t="shared" si="974"/>
        <v>NA</v>
      </c>
      <c r="Y2964" s="29" t="str">
        <f t="shared" si="975"/>
        <v>NA</v>
      </c>
      <c r="Z2964" s="29" t="str">
        <f t="shared" si="976"/>
        <v>NA</v>
      </c>
      <c r="AA2964" s="29" t="str">
        <f t="shared" si="977"/>
        <v>NA</v>
      </c>
      <c r="AB2964" s="29" t="str">
        <f t="shared" si="978"/>
        <v>NA</v>
      </c>
      <c r="AC2964" s="29" t="str">
        <f t="shared" si="979"/>
        <v>NA</v>
      </c>
      <c r="AD2964" s="29" t="str">
        <f t="shared" si="980"/>
        <v>NA</v>
      </c>
      <c r="AE2964" s="29" t="str">
        <f t="shared" si="981"/>
        <v>NA</v>
      </c>
      <c r="AF2964" s="29" t="str">
        <f t="shared" si="982"/>
        <v>NA</v>
      </c>
      <c r="AG2964" s="29" t="str">
        <f t="shared" si="983"/>
        <v>NA</v>
      </c>
      <c r="AH2964" s="29" t="str">
        <f t="shared" si="984"/>
        <v>NA</v>
      </c>
    </row>
    <row r="2965" customHeight="1" spans="1:34">
      <c r="A2965" s="12" t="s">
        <v>1043</v>
      </c>
      <c r="F2965" s="24">
        <f t="shared" si="966"/>
        <v>0</v>
      </c>
      <c r="G2965" s="24" t="e">
        <f t="shared" si="965"/>
        <v>#DIV/0!</v>
      </c>
      <c r="Q2965" s="29" t="str">
        <f t="shared" si="967"/>
        <v>NA</v>
      </c>
      <c r="R2965" s="29" t="str">
        <f t="shared" si="968"/>
        <v>NA</v>
      </c>
      <c r="S2965" s="29" t="str">
        <f t="shared" si="969"/>
        <v>NA</v>
      </c>
      <c r="T2965" s="29" t="str">
        <f t="shared" si="970"/>
        <v>NA</v>
      </c>
      <c r="U2965" s="29" t="str">
        <f t="shared" si="971"/>
        <v>NA</v>
      </c>
      <c r="V2965" s="29" t="str">
        <f t="shared" si="972"/>
        <v>NA</v>
      </c>
      <c r="W2965" s="29" t="str">
        <f t="shared" si="973"/>
        <v>NA</v>
      </c>
      <c r="X2965" s="29" t="str">
        <f t="shared" si="974"/>
        <v>NA</v>
      </c>
      <c r="Y2965" s="29" t="str">
        <f t="shared" si="975"/>
        <v>NA</v>
      </c>
      <c r="Z2965" s="29" t="str">
        <f t="shared" si="976"/>
        <v>NA</v>
      </c>
      <c r="AA2965" s="29" t="str">
        <f t="shared" si="977"/>
        <v>NA</v>
      </c>
      <c r="AB2965" s="29" t="str">
        <f t="shared" si="978"/>
        <v>NA</v>
      </c>
      <c r="AC2965" s="29" t="str">
        <f t="shared" si="979"/>
        <v>NA</v>
      </c>
      <c r="AD2965" s="29" t="str">
        <f t="shared" si="980"/>
        <v>NA</v>
      </c>
      <c r="AE2965" s="29" t="str">
        <f t="shared" si="981"/>
        <v>NA</v>
      </c>
      <c r="AF2965" s="29" t="str">
        <f t="shared" si="982"/>
        <v>NA</v>
      </c>
      <c r="AG2965" s="29" t="str">
        <f t="shared" si="983"/>
        <v>NA</v>
      </c>
      <c r="AH2965" s="29" t="str">
        <f t="shared" si="984"/>
        <v>NA</v>
      </c>
    </row>
    <row r="2966" customHeight="1" spans="1:34">
      <c r="A2966" s="12" t="s">
        <v>1043</v>
      </c>
      <c r="F2966" s="24">
        <f t="shared" si="966"/>
        <v>0</v>
      </c>
      <c r="G2966" s="24" t="e">
        <f t="shared" si="965"/>
        <v>#DIV/0!</v>
      </c>
      <c r="Q2966" s="29" t="str">
        <f t="shared" si="967"/>
        <v>NA</v>
      </c>
      <c r="R2966" s="29" t="str">
        <f t="shared" si="968"/>
        <v>NA</v>
      </c>
      <c r="S2966" s="29" t="str">
        <f t="shared" si="969"/>
        <v>NA</v>
      </c>
      <c r="T2966" s="29" t="str">
        <f t="shared" si="970"/>
        <v>NA</v>
      </c>
      <c r="U2966" s="29" t="str">
        <f t="shared" si="971"/>
        <v>NA</v>
      </c>
      <c r="V2966" s="29" t="str">
        <f t="shared" si="972"/>
        <v>NA</v>
      </c>
      <c r="W2966" s="29" t="str">
        <f t="shared" si="973"/>
        <v>NA</v>
      </c>
      <c r="X2966" s="29" t="str">
        <f t="shared" si="974"/>
        <v>NA</v>
      </c>
      <c r="Y2966" s="29" t="str">
        <f t="shared" si="975"/>
        <v>NA</v>
      </c>
      <c r="Z2966" s="29" t="str">
        <f t="shared" si="976"/>
        <v>NA</v>
      </c>
      <c r="AA2966" s="29" t="str">
        <f t="shared" si="977"/>
        <v>NA</v>
      </c>
      <c r="AB2966" s="29" t="str">
        <f t="shared" si="978"/>
        <v>NA</v>
      </c>
      <c r="AC2966" s="29" t="str">
        <f t="shared" si="979"/>
        <v>NA</v>
      </c>
      <c r="AD2966" s="29" t="str">
        <f t="shared" si="980"/>
        <v>NA</v>
      </c>
      <c r="AE2966" s="29" t="str">
        <f t="shared" si="981"/>
        <v>NA</v>
      </c>
      <c r="AF2966" s="29" t="str">
        <f t="shared" si="982"/>
        <v>NA</v>
      </c>
      <c r="AG2966" s="29" t="str">
        <f t="shared" si="983"/>
        <v>NA</v>
      </c>
      <c r="AH2966" s="29" t="str">
        <f t="shared" si="984"/>
        <v>NA</v>
      </c>
    </row>
    <row r="2967" customHeight="1" spans="1:34">
      <c r="A2967" s="12" t="s">
        <v>1043</v>
      </c>
      <c r="F2967" s="24">
        <f t="shared" si="966"/>
        <v>0</v>
      </c>
      <c r="G2967" s="24" t="e">
        <f t="shared" si="965"/>
        <v>#DIV/0!</v>
      </c>
      <c r="Q2967" s="29" t="str">
        <f t="shared" si="967"/>
        <v>NA</v>
      </c>
      <c r="R2967" s="29" t="str">
        <f t="shared" si="968"/>
        <v>NA</v>
      </c>
      <c r="S2967" s="29" t="str">
        <f t="shared" si="969"/>
        <v>NA</v>
      </c>
      <c r="T2967" s="29" t="str">
        <f t="shared" si="970"/>
        <v>NA</v>
      </c>
      <c r="U2967" s="29" t="str">
        <f t="shared" si="971"/>
        <v>NA</v>
      </c>
      <c r="V2967" s="29" t="str">
        <f t="shared" si="972"/>
        <v>NA</v>
      </c>
      <c r="W2967" s="29" t="str">
        <f t="shared" si="973"/>
        <v>NA</v>
      </c>
      <c r="X2967" s="29" t="str">
        <f t="shared" si="974"/>
        <v>NA</v>
      </c>
      <c r="Y2967" s="29" t="str">
        <f t="shared" si="975"/>
        <v>NA</v>
      </c>
      <c r="Z2967" s="29" t="str">
        <f t="shared" si="976"/>
        <v>NA</v>
      </c>
      <c r="AA2967" s="29" t="str">
        <f t="shared" si="977"/>
        <v>NA</v>
      </c>
      <c r="AB2967" s="29" t="str">
        <f t="shared" si="978"/>
        <v>NA</v>
      </c>
      <c r="AC2967" s="29" t="str">
        <f t="shared" si="979"/>
        <v>NA</v>
      </c>
      <c r="AD2967" s="29" t="str">
        <f t="shared" si="980"/>
        <v>NA</v>
      </c>
      <c r="AE2967" s="29" t="str">
        <f t="shared" si="981"/>
        <v>NA</v>
      </c>
      <c r="AF2967" s="29" t="str">
        <f t="shared" si="982"/>
        <v>NA</v>
      </c>
      <c r="AG2967" s="29" t="str">
        <f t="shared" si="983"/>
        <v>NA</v>
      </c>
      <c r="AH2967" s="29" t="str">
        <f t="shared" si="984"/>
        <v>NA</v>
      </c>
    </row>
    <row r="2968" customHeight="1" spans="1:34">
      <c r="A2968" s="12" t="s">
        <v>1043</v>
      </c>
      <c r="F2968" s="24">
        <f t="shared" si="966"/>
        <v>0</v>
      </c>
      <c r="G2968" s="24" t="e">
        <f t="shared" si="965"/>
        <v>#DIV/0!</v>
      </c>
      <c r="Q2968" s="29" t="str">
        <f t="shared" si="967"/>
        <v>NA</v>
      </c>
      <c r="R2968" s="29" t="str">
        <f t="shared" si="968"/>
        <v>NA</v>
      </c>
      <c r="S2968" s="29" t="str">
        <f t="shared" si="969"/>
        <v>NA</v>
      </c>
      <c r="T2968" s="29" t="str">
        <f t="shared" si="970"/>
        <v>NA</v>
      </c>
      <c r="U2968" s="29" t="str">
        <f t="shared" si="971"/>
        <v>NA</v>
      </c>
      <c r="V2968" s="29" t="str">
        <f t="shared" si="972"/>
        <v>NA</v>
      </c>
      <c r="W2968" s="29" t="str">
        <f t="shared" si="973"/>
        <v>NA</v>
      </c>
      <c r="X2968" s="29" t="str">
        <f t="shared" si="974"/>
        <v>NA</v>
      </c>
      <c r="Y2968" s="29" t="str">
        <f t="shared" si="975"/>
        <v>NA</v>
      </c>
      <c r="Z2968" s="29" t="str">
        <f t="shared" si="976"/>
        <v>NA</v>
      </c>
      <c r="AA2968" s="29" t="str">
        <f t="shared" si="977"/>
        <v>NA</v>
      </c>
      <c r="AB2968" s="29" t="str">
        <f t="shared" si="978"/>
        <v>NA</v>
      </c>
      <c r="AC2968" s="29" t="str">
        <f t="shared" si="979"/>
        <v>NA</v>
      </c>
      <c r="AD2968" s="29" t="str">
        <f t="shared" si="980"/>
        <v>NA</v>
      </c>
      <c r="AE2968" s="29" t="str">
        <f t="shared" si="981"/>
        <v>NA</v>
      </c>
      <c r="AF2968" s="29" t="str">
        <f t="shared" si="982"/>
        <v>NA</v>
      </c>
      <c r="AG2968" s="29" t="str">
        <f t="shared" si="983"/>
        <v>NA</v>
      </c>
      <c r="AH2968" s="29" t="str">
        <f t="shared" si="984"/>
        <v>NA</v>
      </c>
    </row>
    <row r="2969" customHeight="1" spans="1:34">
      <c r="A2969" s="12" t="s">
        <v>1043</v>
      </c>
      <c r="F2969" s="24">
        <f t="shared" si="966"/>
        <v>0</v>
      </c>
      <c r="G2969" s="24" t="e">
        <f t="shared" si="965"/>
        <v>#DIV/0!</v>
      </c>
      <c r="Q2969" s="29" t="str">
        <f t="shared" si="967"/>
        <v>NA</v>
      </c>
      <c r="R2969" s="29" t="str">
        <f t="shared" si="968"/>
        <v>NA</v>
      </c>
      <c r="S2969" s="29" t="str">
        <f t="shared" si="969"/>
        <v>NA</v>
      </c>
      <c r="T2969" s="29" t="str">
        <f t="shared" si="970"/>
        <v>NA</v>
      </c>
      <c r="U2969" s="29" t="str">
        <f t="shared" si="971"/>
        <v>NA</v>
      </c>
      <c r="V2969" s="29" t="str">
        <f t="shared" si="972"/>
        <v>NA</v>
      </c>
      <c r="W2969" s="29" t="str">
        <f t="shared" si="973"/>
        <v>NA</v>
      </c>
      <c r="X2969" s="29" t="str">
        <f t="shared" si="974"/>
        <v>NA</v>
      </c>
      <c r="Y2969" s="29" t="str">
        <f t="shared" si="975"/>
        <v>NA</v>
      </c>
      <c r="Z2969" s="29" t="str">
        <f t="shared" si="976"/>
        <v>NA</v>
      </c>
      <c r="AA2969" s="29" t="str">
        <f t="shared" si="977"/>
        <v>NA</v>
      </c>
      <c r="AB2969" s="29" t="str">
        <f t="shared" si="978"/>
        <v>NA</v>
      </c>
      <c r="AC2969" s="29" t="str">
        <f t="shared" si="979"/>
        <v>NA</v>
      </c>
      <c r="AD2969" s="29" t="str">
        <f t="shared" si="980"/>
        <v>NA</v>
      </c>
      <c r="AE2969" s="29" t="str">
        <f t="shared" si="981"/>
        <v>NA</v>
      </c>
      <c r="AF2969" s="29" t="str">
        <f t="shared" si="982"/>
        <v>NA</v>
      </c>
      <c r="AG2969" s="29" t="str">
        <f t="shared" si="983"/>
        <v>NA</v>
      </c>
      <c r="AH2969" s="29" t="str">
        <f t="shared" si="984"/>
        <v>NA</v>
      </c>
    </row>
    <row r="2970" customHeight="1" spans="1:34">
      <c r="A2970" s="12" t="s">
        <v>1043</v>
      </c>
      <c r="F2970" s="24">
        <f t="shared" si="966"/>
        <v>0</v>
      </c>
      <c r="G2970" s="24" t="e">
        <f t="shared" si="965"/>
        <v>#DIV/0!</v>
      </c>
      <c r="Q2970" s="29" t="str">
        <f t="shared" si="967"/>
        <v>NA</v>
      </c>
      <c r="R2970" s="29" t="str">
        <f t="shared" si="968"/>
        <v>NA</v>
      </c>
      <c r="S2970" s="29" t="str">
        <f t="shared" si="969"/>
        <v>NA</v>
      </c>
      <c r="T2970" s="29" t="str">
        <f t="shared" si="970"/>
        <v>NA</v>
      </c>
      <c r="U2970" s="29" t="str">
        <f t="shared" si="971"/>
        <v>NA</v>
      </c>
      <c r="V2970" s="29" t="str">
        <f t="shared" si="972"/>
        <v>NA</v>
      </c>
      <c r="W2970" s="29" t="str">
        <f t="shared" si="973"/>
        <v>NA</v>
      </c>
      <c r="X2970" s="29" t="str">
        <f t="shared" si="974"/>
        <v>NA</v>
      </c>
      <c r="Y2970" s="29" t="str">
        <f t="shared" si="975"/>
        <v>NA</v>
      </c>
      <c r="Z2970" s="29" t="str">
        <f t="shared" si="976"/>
        <v>NA</v>
      </c>
      <c r="AA2970" s="29" t="str">
        <f t="shared" si="977"/>
        <v>NA</v>
      </c>
      <c r="AB2970" s="29" t="str">
        <f t="shared" si="978"/>
        <v>NA</v>
      </c>
      <c r="AC2970" s="29" t="str">
        <f t="shared" si="979"/>
        <v>NA</v>
      </c>
      <c r="AD2970" s="29" t="str">
        <f t="shared" si="980"/>
        <v>NA</v>
      </c>
      <c r="AE2970" s="29" t="str">
        <f t="shared" si="981"/>
        <v>NA</v>
      </c>
      <c r="AF2970" s="29" t="str">
        <f t="shared" si="982"/>
        <v>NA</v>
      </c>
      <c r="AG2970" s="29" t="str">
        <f t="shared" si="983"/>
        <v>NA</v>
      </c>
      <c r="AH2970" s="29" t="str">
        <f t="shared" si="984"/>
        <v>NA</v>
      </c>
    </row>
    <row r="2971" customHeight="1" spans="1:34">
      <c r="A2971" s="12" t="s">
        <v>1043</v>
      </c>
      <c r="F2971" s="24">
        <f t="shared" si="966"/>
        <v>0</v>
      </c>
      <c r="G2971" s="24" t="e">
        <f t="shared" si="965"/>
        <v>#DIV/0!</v>
      </c>
      <c r="Q2971" s="29" t="str">
        <f t="shared" si="967"/>
        <v>NA</v>
      </c>
      <c r="R2971" s="29" t="str">
        <f t="shared" si="968"/>
        <v>NA</v>
      </c>
      <c r="S2971" s="29" t="str">
        <f t="shared" si="969"/>
        <v>NA</v>
      </c>
      <c r="T2971" s="29" t="str">
        <f t="shared" si="970"/>
        <v>NA</v>
      </c>
      <c r="U2971" s="29" t="str">
        <f t="shared" si="971"/>
        <v>NA</v>
      </c>
      <c r="V2971" s="29" t="str">
        <f t="shared" si="972"/>
        <v>NA</v>
      </c>
      <c r="W2971" s="29" t="str">
        <f t="shared" si="973"/>
        <v>NA</v>
      </c>
      <c r="X2971" s="29" t="str">
        <f t="shared" si="974"/>
        <v>NA</v>
      </c>
      <c r="Y2971" s="29" t="str">
        <f t="shared" si="975"/>
        <v>NA</v>
      </c>
      <c r="Z2971" s="29" t="str">
        <f t="shared" si="976"/>
        <v>NA</v>
      </c>
      <c r="AA2971" s="29" t="str">
        <f t="shared" si="977"/>
        <v>NA</v>
      </c>
      <c r="AB2971" s="29" t="str">
        <f t="shared" si="978"/>
        <v>NA</v>
      </c>
      <c r="AC2971" s="29" t="str">
        <f t="shared" si="979"/>
        <v>NA</v>
      </c>
      <c r="AD2971" s="29" t="str">
        <f t="shared" si="980"/>
        <v>NA</v>
      </c>
      <c r="AE2971" s="29" t="str">
        <f t="shared" si="981"/>
        <v>NA</v>
      </c>
      <c r="AF2971" s="29" t="str">
        <f t="shared" si="982"/>
        <v>NA</v>
      </c>
      <c r="AG2971" s="29" t="str">
        <f t="shared" si="983"/>
        <v>NA</v>
      </c>
      <c r="AH2971" s="29" t="str">
        <f t="shared" si="984"/>
        <v>NA</v>
      </c>
    </row>
    <row r="2972" customHeight="1" spans="1:34">
      <c r="A2972" s="12" t="s">
        <v>1043</v>
      </c>
      <c r="F2972" s="24">
        <f t="shared" si="966"/>
        <v>0</v>
      </c>
      <c r="G2972" s="24" t="e">
        <f t="shared" si="965"/>
        <v>#DIV/0!</v>
      </c>
      <c r="Q2972" s="29" t="str">
        <f t="shared" si="967"/>
        <v>NA</v>
      </c>
      <c r="R2972" s="29" t="str">
        <f t="shared" si="968"/>
        <v>NA</v>
      </c>
      <c r="S2972" s="29" t="str">
        <f t="shared" si="969"/>
        <v>NA</v>
      </c>
      <c r="T2972" s="29" t="str">
        <f t="shared" si="970"/>
        <v>NA</v>
      </c>
      <c r="U2972" s="29" t="str">
        <f t="shared" si="971"/>
        <v>NA</v>
      </c>
      <c r="V2972" s="29" t="str">
        <f t="shared" si="972"/>
        <v>NA</v>
      </c>
      <c r="W2972" s="29" t="str">
        <f t="shared" si="973"/>
        <v>NA</v>
      </c>
      <c r="X2972" s="29" t="str">
        <f t="shared" si="974"/>
        <v>NA</v>
      </c>
      <c r="Y2972" s="29" t="str">
        <f t="shared" si="975"/>
        <v>NA</v>
      </c>
      <c r="Z2972" s="29" t="str">
        <f t="shared" si="976"/>
        <v>NA</v>
      </c>
      <c r="AA2972" s="29" t="str">
        <f t="shared" si="977"/>
        <v>NA</v>
      </c>
      <c r="AB2972" s="29" t="str">
        <f t="shared" si="978"/>
        <v>NA</v>
      </c>
      <c r="AC2972" s="29" t="str">
        <f t="shared" si="979"/>
        <v>NA</v>
      </c>
      <c r="AD2972" s="29" t="str">
        <f t="shared" si="980"/>
        <v>NA</v>
      </c>
      <c r="AE2972" s="29" t="str">
        <f t="shared" si="981"/>
        <v>NA</v>
      </c>
      <c r="AF2972" s="29" t="str">
        <f t="shared" si="982"/>
        <v>NA</v>
      </c>
      <c r="AG2972" s="29" t="str">
        <f t="shared" si="983"/>
        <v>NA</v>
      </c>
      <c r="AH2972" s="29" t="str">
        <f t="shared" si="984"/>
        <v>NA</v>
      </c>
    </row>
    <row r="2973" customHeight="1" spans="1:34">
      <c r="A2973" s="12" t="s">
        <v>1043</v>
      </c>
      <c r="F2973" s="24">
        <f t="shared" si="966"/>
        <v>0</v>
      </c>
      <c r="G2973" s="24" t="e">
        <f t="shared" si="965"/>
        <v>#DIV/0!</v>
      </c>
      <c r="Q2973" s="29" t="str">
        <f t="shared" si="967"/>
        <v>NA</v>
      </c>
      <c r="R2973" s="29" t="str">
        <f t="shared" si="968"/>
        <v>NA</v>
      </c>
      <c r="S2973" s="29" t="str">
        <f t="shared" si="969"/>
        <v>NA</v>
      </c>
      <c r="T2973" s="29" t="str">
        <f t="shared" si="970"/>
        <v>NA</v>
      </c>
      <c r="U2973" s="29" t="str">
        <f t="shared" si="971"/>
        <v>NA</v>
      </c>
      <c r="V2973" s="29" t="str">
        <f t="shared" si="972"/>
        <v>NA</v>
      </c>
      <c r="W2973" s="29" t="str">
        <f t="shared" si="973"/>
        <v>NA</v>
      </c>
      <c r="X2973" s="29" t="str">
        <f t="shared" si="974"/>
        <v>NA</v>
      </c>
      <c r="Y2973" s="29" t="str">
        <f t="shared" si="975"/>
        <v>NA</v>
      </c>
      <c r="Z2973" s="29" t="str">
        <f t="shared" si="976"/>
        <v>NA</v>
      </c>
      <c r="AA2973" s="29" t="str">
        <f t="shared" si="977"/>
        <v>NA</v>
      </c>
      <c r="AB2973" s="29" t="str">
        <f t="shared" si="978"/>
        <v>NA</v>
      </c>
      <c r="AC2973" s="29" t="str">
        <f t="shared" si="979"/>
        <v>NA</v>
      </c>
      <c r="AD2973" s="29" t="str">
        <f t="shared" si="980"/>
        <v>NA</v>
      </c>
      <c r="AE2973" s="29" t="str">
        <f t="shared" si="981"/>
        <v>NA</v>
      </c>
      <c r="AF2973" s="29" t="str">
        <f t="shared" si="982"/>
        <v>NA</v>
      </c>
      <c r="AG2973" s="29" t="str">
        <f t="shared" si="983"/>
        <v>NA</v>
      </c>
      <c r="AH2973" s="29" t="str">
        <f t="shared" si="984"/>
        <v>NA</v>
      </c>
    </row>
    <row r="2974" customHeight="1" spans="1:34">
      <c r="A2974" s="12" t="s">
        <v>1043</v>
      </c>
      <c r="F2974" s="24">
        <f t="shared" si="966"/>
        <v>0</v>
      </c>
      <c r="G2974" s="24" t="e">
        <f t="shared" si="965"/>
        <v>#DIV/0!</v>
      </c>
      <c r="Q2974" s="29" t="str">
        <f t="shared" si="967"/>
        <v>NA</v>
      </c>
      <c r="R2974" s="29" t="str">
        <f t="shared" si="968"/>
        <v>NA</v>
      </c>
      <c r="S2974" s="29" t="str">
        <f t="shared" si="969"/>
        <v>NA</v>
      </c>
      <c r="T2974" s="29" t="str">
        <f t="shared" si="970"/>
        <v>NA</v>
      </c>
      <c r="U2974" s="29" t="str">
        <f t="shared" si="971"/>
        <v>NA</v>
      </c>
      <c r="V2974" s="29" t="str">
        <f t="shared" si="972"/>
        <v>NA</v>
      </c>
      <c r="W2974" s="29" t="str">
        <f t="shared" si="973"/>
        <v>NA</v>
      </c>
      <c r="X2974" s="29" t="str">
        <f t="shared" si="974"/>
        <v>NA</v>
      </c>
      <c r="Y2974" s="29" t="str">
        <f t="shared" si="975"/>
        <v>NA</v>
      </c>
      <c r="Z2974" s="29" t="str">
        <f t="shared" si="976"/>
        <v>NA</v>
      </c>
      <c r="AA2974" s="29" t="str">
        <f t="shared" si="977"/>
        <v>NA</v>
      </c>
      <c r="AB2974" s="29" t="str">
        <f t="shared" si="978"/>
        <v>NA</v>
      </c>
      <c r="AC2974" s="29" t="str">
        <f t="shared" si="979"/>
        <v>NA</v>
      </c>
      <c r="AD2974" s="29" t="str">
        <f t="shared" si="980"/>
        <v>NA</v>
      </c>
      <c r="AE2974" s="29" t="str">
        <f t="shared" si="981"/>
        <v>NA</v>
      </c>
      <c r="AF2974" s="29" t="str">
        <f t="shared" si="982"/>
        <v>NA</v>
      </c>
      <c r="AG2974" s="29" t="str">
        <f t="shared" si="983"/>
        <v>NA</v>
      </c>
      <c r="AH2974" s="29" t="str">
        <f t="shared" si="984"/>
        <v>NA</v>
      </c>
    </row>
    <row r="2975" customHeight="1" spans="1:34">
      <c r="A2975" s="12" t="s">
        <v>1043</v>
      </c>
      <c r="F2975" s="24">
        <f t="shared" si="966"/>
        <v>0</v>
      </c>
      <c r="G2975" s="24" t="e">
        <f t="shared" si="965"/>
        <v>#DIV/0!</v>
      </c>
      <c r="Q2975" s="29" t="str">
        <f t="shared" si="967"/>
        <v>NA</v>
      </c>
      <c r="R2975" s="29" t="str">
        <f t="shared" si="968"/>
        <v>NA</v>
      </c>
      <c r="S2975" s="29" t="str">
        <f t="shared" si="969"/>
        <v>NA</v>
      </c>
      <c r="T2975" s="29" t="str">
        <f t="shared" si="970"/>
        <v>NA</v>
      </c>
      <c r="U2975" s="29" t="str">
        <f t="shared" si="971"/>
        <v>NA</v>
      </c>
      <c r="V2975" s="29" t="str">
        <f t="shared" si="972"/>
        <v>NA</v>
      </c>
      <c r="W2975" s="29" t="str">
        <f t="shared" si="973"/>
        <v>NA</v>
      </c>
      <c r="X2975" s="29" t="str">
        <f t="shared" si="974"/>
        <v>NA</v>
      </c>
      <c r="Y2975" s="29" t="str">
        <f t="shared" si="975"/>
        <v>NA</v>
      </c>
      <c r="Z2975" s="29" t="str">
        <f t="shared" si="976"/>
        <v>NA</v>
      </c>
      <c r="AA2975" s="29" t="str">
        <f t="shared" si="977"/>
        <v>NA</v>
      </c>
      <c r="AB2975" s="29" t="str">
        <f t="shared" si="978"/>
        <v>NA</v>
      </c>
      <c r="AC2975" s="29" t="str">
        <f t="shared" si="979"/>
        <v>NA</v>
      </c>
      <c r="AD2975" s="29" t="str">
        <f t="shared" si="980"/>
        <v>NA</v>
      </c>
      <c r="AE2975" s="29" t="str">
        <f t="shared" si="981"/>
        <v>NA</v>
      </c>
      <c r="AF2975" s="29" t="str">
        <f t="shared" si="982"/>
        <v>NA</v>
      </c>
      <c r="AG2975" s="29" t="str">
        <f t="shared" si="983"/>
        <v>NA</v>
      </c>
      <c r="AH2975" s="29" t="str">
        <f t="shared" si="984"/>
        <v>NA</v>
      </c>
    </row>
    <row r="2976" customHeight="1" spans="1:34">
      <c r="A2976" s="12" t="s">
        <v>1043</v>
      </c>
      <c r="F2976" s="24">
        <f t="shared" si="966"/>
        <v>0</v>
      </c>
      <c r="G2976" s="24" t="e">
        <f t="shared" si="965"/>
        <v>#DIV/0!</v>
      </c>
      <c r="Q2976" s="29" t="str">
        <f t="shared" si="967"/>
        <v>NA</v>
      </c>
      <c r="R2976" s="29" t="str">
        <f t="shared" si="968"/>
        <v>NA</v>
      </c>
      <c r="S2976" s="29" t="str">
        <f t="shared" si="969"/>
        <v>NA</v>
      </c>
      <c r="T2976" s="29" t="str">
        <f t="shared" si="970"/>
        <v>NA</v>
      </c>
      <c r="U2976" s="29" t="str">
        <f t="shared" si="971"/>
        <v>NA</v>
      </c>
      <c r="V2976" s="29" t="str">
        <f t="shared" si="972"/>
        <v>NA</v>
      </c>
      <c r="W2976" s="29" t="str">
        <f t="shared" si="973"/>
        <v>NA</v>
      </c>
      <c r="X2976" s="29" t="str">
        <f t="shared" si="974"/>
        <v>NA</v>
      </c>
      <c r="Y2976" s="29" t="str">
        <f t="shared" si="975"/>
        <v>NA</v>
      </c>
      <c r="Z2976" s="29" t="str">
        <f t="shared" si="976"/>
        <v>NA</v>
      </c>
      <c r="AA2976" s="29" t="str">
        <f t="shared" si="977"/>
        <v>NA</v>
      </c>
      <c r="AB2976" s="29" t="str">
        <f t="shared" si="978"/>
        <v>NA</v>
      </c>
      <c r="AC2976" s="29" t="str">
        <f t="shared" si="979"/>
        <v>NA</v>
      </c>
      <c r="AD2976" s="29" t="str">
        <f t="shared" si="980"/>
        <v>NA</v>
      </c>
      <c r="AE2976" s="29" t="str">
        <f t="shared" si="981"/>
        <v>NA</v>
      </c>
      <c r="AF2976" s="29" t="str">
        <f t="shared" si="982"/>
        <v>NA</v>
      </c>
      <c r="AG2976" s="29" t="str">
        <f t="shared" si="983"/>
        <v>NA</v>
      </c>
      <c r="AH2976" s="29" t="str">
        <f t="shared" si="984"/>
        <v>NA</v>
      </c>
    </row>
    <row r="2977" customHeight="1" spans="1:34">
      <c r="A2977" s="12" t="s">
        <v>1043</v>
      </c>
      <c r="F2977" s="24">
        <f t="shared" si="966"/>
        <v>0</v>
      </c>
      <c r="G2977" s="24" t="e">
        <f t="shared" si="965"/>
        <v>#DIV/0!</v>
      </c>
      <c r="Q2977" s="29" t="str">
        <f t="shared" si="967"/>
        <v>NA</v>
      </c>
      <c r="R2977" s="29" t="str">
        <f t="shared" si="968"/>
        <v>NA</v>
      </c>
      <c r="S2977" s="29" t="str">
        <f t="shared" si="969"/>
        <v>NA</v>
      </c>
      <c r="T2977" s="29" t="str">
        <f t="shared" si="970"/>
        <v>NA</v>
      </c>
      <c r="U2977" s="29" t="str">
        <f t="shared" si="971"/>
        <v>NA</v>
      </c>
      <c r="V2977" s="29" t="str">
        <f t="shared" si="972"/>
        <v>NA</v>
      </c>
      <c r="W2977" s="29" t="str">
        <f t="shared" si="973"/>
        <v>NA</v>
      </c>
      <c r="X2977" s="29" t="str">
        <f t="shared" si="974"/>
        <v>NA</v>
      </c>
      <c r="Y2977" s="29" t="str">
        <f t="shared" si="975"/>
        <v>NA</v>
      </c>
      <c r="Z2977" s="29" t="str">
        <f t="shared" si="976"/>
        <v>NA</v>
      </c>
      <c r="AA2977" s="29" t="str">
        <f t="shared" si="977"/>
        <v>NA</v>
      </c>
      <c r="AB2977" s="29" t="str">
        <f t="shared" si="978"/>
        <v>NA</v>
      </c>
      <c r="AC2977" s="29" t="str">
        <f t="shared" si="979"/>
        <v>NA</v>
      </c>
      <c r="AD2977" s="29" t="str">
        <f t="shared" si="980"/>
        <v>NA</v>
      </c>
      <c r="AE2977" s="29" t="str">
        <f t="shared" si="981"/>
        <v>NA</v>
      </c>
      <c r="AF2977" s="29" t="str">
        <f t="shared" si="982"/>
        <v>NA</v>
      </c>
      <c r="AG2977" s="29" t="str">
        <f t="shared" si="983"/>
        <v>NA</v>
      </c>
      <c r="AH2977" s="29" t="str">
        <f t="shared" si="984"/>
        <v>NA</v>
      </c>
    </row>
    <row r="2978" customHeight="1" spans="1:34">
      <c r="A2978" s="12" t="s">
        <v>1043</v>
      </c>
      <c r="F2978" s="24">
        <f t="shared" si="966"/>
        <v>0</v>
      </c>
      <c r="G2978" s="24" t="e">
        <f t="shared" si="965"/>
        <v>#DIV/0!</v>
      </c>
      <c r="Q2978" s="29" t="str">
        <f t="shared" si="967"/>
        <v>NA</v>
      </c>
      <c r="R2978" s="29" t="str">
        <f t="shared" si="968"/>
        <v>NA</v>
      </c>
      <c r="S2978" s="29" t="str">
        <f t="shared" si="969"/>
        <v>NA</v>
      </c>
      <c r="T2978" s="29" t="str">
        <f t="shared" si="970"/>
        <v>NA</v>
      </c>
      <c r="U2978" s="29" t="str">
        <f t="shared" si="971"/>
        <v>NA</v>
      </c>
      <c r="V2978" s="29" t="str">
        <f t="shared" si="972"/>
        <v>NA</v>
      </c>
      <c r="W2978" s="29" t="str">
        <f t="shared" si="973"/>
        <v>NA</v>
      </c>
      <c r="X2978" s="29" t="str">
        <f t="shared" si="974"/>
        <v>NA</v>
      </c>
      <c r="Y2978" s="29" t="str">
        <f t="shared" si="975"/>
        <v>NA</v>
      </c>
      <c r="Z2978" s="29" t="str">
        <f t="shared" si="976"/>
        <v>NA</v>
      </c>
      <c r="AA2978" s="29" t="str">
        <f t="shared" si="977"/>
        <v>NA</v>
      </c>
      <c r="AB2978" s="29" t="str">
        <f t="shared" si="978"/>
        <v>NA</v>
      </c>
      <c r="AC2978" s="29" t="str">
        <f t="shared" si="979"/>
        <v>NA</v>
      </c>
      <c r="AD2978" s="29" t="str">
        <f t="shared" si="980"/>
        <v>NA</v>
      </c>
      <c r="AE2978" s="29" t="str">
        <f t="shared" si="981"/>
        <v>NA</v>
      </c>
      <c r="AF2978" s="29" t="str">
        <f t="shared" si="982"/>
        <v>NA</v>
      </c>
      <c r="AG2978" s="29" t="str">
        <f t="shared" si="983"/>
        <v>NA</v>
      </c>
      <c r="AH2978" s="29" t="str">
        <f t="shared" si="984"/>
        <v>NA</v>
      </c>
    </row>
    <row r="2979" customHeight="1" spans="1:34">
      <c r="A2979" s="12" t="s">
        <v>1043</v>
      </c>
      <c r="F2979" s="24">
        <f t="shared" si="966"/>
        <v>0</v>
      </c>
      <c r="G2979" s="24" t="e">
        <f t="shared" si="965"/>
        <v>#DIV/0!</v>
      </c>
      <c r="Q2979" s="29" t="str">
        <f t="shared" si="967"/>
        <v>NA</v>
      </c>
      <c r="R2979" s="29" t="str">
        <f t="shared" si="968"/>
        <v>NA</v>
      </c>
      <c r="S2979" s="29" t="str">
        <f t="shared" si="969"/>
        <v>NA</v>
      </c>
      <c r="T2979" s="29" t="str">
        <f t="shared" si="970"/>
        <v>NA</v>
      </c>
      <c r="U2979" s="29" t="str">
        <f t="shared" si="971"/>
        <v>NA</v>
      </c>
      <c r="V2979" s="29" t="str">
        <f t="shared" si="972"/>
        <v>NA</v>
      </c>
      <c r="W2979" s="29" t="str">
        <f t="shared" si="973"/>
        <v>NA</v>
      </c>
      <c r="X2979" s="29" t="str">
        <f t="shared" si="974"/>
        <v>NA</v>
      </c>
      <c r="Y2979" s="29" t="str">
        <f t="shared" si="975"/>
        <v>NA</v>
      </c>
      <c r="Z2979" s="29" t="str">
        <f t="shared" si="976"/>
        <v>NA</v>
      </c>
      <c r="AA2979" s="29" t="str">
        <f t="shared" si="977"/>
        <v>NA</v>
      </c>
      <c r="AB2979" s="29" t="str">
        <f t="shared" si="978"/>
        <v>NA</v>
      </c>
      <c r="AC2979" s="29" t="str">
        <f t="shared" si="979"/>
        <v>NA</v>
      </c>
      <c r="AD2979" s="29" t="str">
        <f t="shared" si="980"/>
        <v>NA</v>
      </c>
      <c r="AE2979" s="29" t="str">
        <f t="shared" si="981"/>
        <v>NA</v>
      </c>
      <c r="AF2979" s="29" t="str">
        <f t="shared" si="982"/>
        <v>NA</v>
      </c>
      <c r="AG2979" s="29" t="str">
        <f t="shared" si="983"/>
        <v>NA</v>
      </c>
      <c r="AH2979" s="29" t="str">
        <f t="shared" si="984"/>
        <v>NA</v>
      </c>
    </row>
    <row r="2980" customHeight="1" spans="1:34">
      <c r="A2980" s="12" t="s">
        <v>1043</v>
      </c>
      <c r="F2980" s="24">
        <f t="shared" si="966"/>
        <v>0</v>
      </c>
      <c r="G2980" s="24" t="e">
        <f t="shared" si="965"/>
        <v>#DIV/0!</v>
      </c>
      <c r="Q2980" s="29" t="str">
        <f t="shared" si="967"/>
        <v>NA</v>
      </c>
      <c r="R2980" s="29" t="str">
        <f t="shared" si="968"/>
        <v>NA</v>
      </c>
      <c r="S2980" s="29" t="str">
        <f t="shared" si="969"/>
        <v>NA</v>
      </c>
      <c r="T2980" s="29" t="str">
        <f t="shared" si="970"/>
        <v>NA</v>
      </c>
      <c r="U2980" s="29" t="str">
        <f t="shared" si="971"/>
        <v>NA</v>
      </c>
      <c r="V2980" s="29" t="str">
        <f t="shared" si="972"/>
        <v>NA</v>
      </c>
      <c r="W2980" s="29" t="str">
        <f t="shared" si="973"/>
        <v>NA</v>
      </c>
      <c r="X2980" s="29" t="str">
        <f t="shared" si="974"/>
        <v>NA</v>
      </c>
      <c r="Y2980" s="29" t="str">
        <f t="shared" si="975"/>
        <v>NA</v>
      </c>
      <c r="Z2980" s="29" t="str">
        <f t="shared" si="976"/>
        <v>NA</v>
      </c>
      <c r="AA2980" s="29" t="str">
        <f t="shared" si="977"/>
        <v>NA</v>
      </c>
      <c r="AB2980" s="29" t="str">
        <f t="shared" si="978"/>
        <v>NA</v>
      </c>
      <c r="AC2980" s="29" t="str">
        <f t="shared" si="979"/>
        <v>NA</v>
      </c>
      <c r="AD2980" s="29" t="str">
        <f t="shared" si="980"/>
        <v>NA</v>
      </c>
      <c r="AE2980" s="29" t="str">
        <f t="shared" si="981"/>
        <v>NA</v>
      </c>
      <c r="AF2980" s="29" t="str">
        <f t="shared" si="982"/>
        <v>NA</v>
      </c>
      <c r="AG2980" s="29" t="str">
        <f t="shared" si="983"/>
        <v>NA</v>
      </c>
      <c r="AH2980" s="29" t="str">
        <f t="shared" si="984"/>
        <v>NA</v>
      </c>
    </row>
    <row r="2981" customHeight="1" spans="1:34">
      <c r="A2981" s="12" t="s">
        <v>1043</v>
      </c>
      <c r="F2981" s="24">
        <f t="shared" si="966"/>
        <v>0</v>
      </c>
      <c r="G2981" s="24" t="e">
        <f t="shared" si="965"/>
        <v>#DIV/0!</v>
      </c>
      <c r="Q2981" s="29" t="str">
        <f t="shared" si="967"/>
        <v>NA</v>
      </c>
      <c r="R2981" s="29" t="str">
        <f t="shared" si="968"/>
        <v>NA</v>
      </c>
      <c r="S2981" s="29" t="str">
        <f t="shared" si="969"/>
        <v>NA</v>
      </c>
      <c r="T2981" s="29" t="str">
        <f t="shared" si="970"/>
        <v>NA</v>
      </c>
      <c r="U2981" s="29" t="str">
        <f t="shared" si="971"/>
        <v>NA</v>
      </c>
      <c r="V2981" s="29" t="str">
        <f t="shared" si="972"/>
        <v>NA</v>
      </c>
      <c r="W2981" s="29" t="str">
        <f t="shared" si="973"/>
        <v>NA</v>
      </c>
      <c r="X2981" s="29" t="str">
        <f t="shared" si="974"/>
        <v>NA</v>
      </c>
      <c r="Y2981" s="29" t="str">
        <f t="shared" si="975"/>
        <v>NA</v>
      </c>
      <c r="Z2981" s="29" t="str">
        <f t="shared" si="976"/>
        <v>NA</v>
      </c>
      <c r="AA2981" s="29" t="str">
        <f t="shared" si="977"/>
        <v>NA</v>
      </c>
      <c r="AB2981" s="29" t="str">
        <f t="shared" si="978"/>
        <v>NA</v>
      </c>
      <c r="AC2981" s="29" t="str">
        <f t="shared" si="979"/>
        <v>NA</v>
      </c>
      <c r="AD2981" s="29" t="str">
        <f t="shared" si="980"/>
        <v>NA</v>
      </c>
      <c r="AE2981" s="29" t="str">
        <f t="shared" si="981"/>
        <v>NA</v>
      </c>
      <c r="AF2981" s="29" t="str">
        <f t="shared" si="982"/>
        <v>NA</v>
      </c>
      <c r="AG2981" s="29" t="str">
        <f t="shared" si="983"/>
        <v>NA</v>
      </c>
      <c r="AH2981" s="29" t="str">
        <f t="shared" si="984"/>
        <v>NA</v>
      </c>
    </row>
    <row r="2982" customHeight="1" spans="1:34">
      <c r="A2982" s="12" t="s">
        <v>1043</v>
      </c>
      <c r="F2982" s="24">
        <f t="shared" si="966"/>
        <v>0</v>
      </c>
      <c r="G2982" s="24" t="e">
        <f t="shared" si="965"/>
        <v>#DIV/0!</v>
      </c>
      <c r="Q2982" s="29" t="str">
        <f t="shared" si="967"/>
        <v>NA</v>
      </c>
      <c r="R2982" s="29" t="str">
        <f t="shared" si="968"/>
        <v>NA</v>
      </c>
      <c r="S2982" s="29" t="str">
        <f t="shared" si="969"/>
        <v>NA</v>
      </c>
      <c r="T2982" s="29" t="str">
        <f t="shared" si="970"/>
        <v>NA</v>
      </c>
      <c r="U2982" s="29" t="str">
        <f t="shared" si="971"/>
        <v>NA</v>
      </c>
      <c r="V2982" s="29" t="str">
        <f t="shared" si="972"/>
        <v>NA</v>
      </c>
      <c r="W2982" s="29" t="str">
        <f t="shared" si="973"/>
        <v>NA</v>
      </c>
      <c r="X2982" s="29" t="str">
        <f t="shared" si="974"/>
        <v>NA</v>
      </c>
      <c r="Y2982" s="29" t="str">
        <f t="shared" si="975"/>
        <v>NA</v>
      </c>
      <c r="Z2982" s="29" t="str">
        <f t="shared" si="976"/>
        <v>NA</v>
      </c>
      <c r="AA2982" s="29" t="str">
        <f t="shared" si="977"/>
        <v>NA</v>
      </c>
      <c r="AB2982" s="29" t="str">
        <f t="shared" si="978"/>
        <v>NA</v>
      </c>
      <c r="AC2982" s="29" t="str">
        <f t="shared" si="979"/>
        <v>NA</v>
      </c>
      <c r="AD2982" s="29" t="str">
        <f t="shared" si="980"/>
        <v>NA</v>
      </c>
      <c r="AE2982" s="29" t="str">
        <f t="shared" si="981"/>
        <v>NA</v>
      </c>
      <c r="AF2982" s="29" t="str">
        <f t="shared" si="982"/>
        <v>NA</v>
      </c>
      <c r="AG2982" s="29" t="str">
        <f t="shared" si="983"/>
        <v>NA</v>
      </c>
      <c r="AH2982" s="29" t="str">
        <f t="shared" si="984"/>
        <v>NA</v>
      </c>
    </row>
    <row r="2983" customHeight="1" spans="1:34">
      <c r="A2983" s="12" t="s">
        <v>1043</v>
      </c>
      <c r="F2983" s="24">
        <f t="shared" si="966"/>
        <v>0</v>
      </c>
      <c r="G2983" s="24" t="e">
        <f t="shared" si="965"/>
        <v>#DIV/0!</v>
      </c>
      <c r="Q2983" s="29" t="str">
        <f t="shared" si="967"/>
        <v>NA</v>
      </c>
      <c r="R2983" s="29" t="str">
        <f t="shared" si="968"/>
        <v>NA</v>
      </c>
      <c r="S2983" s="29" t="str">
        <f t="shared" si="969"/>
        <v>NA</v>
      </c>
      <c r="T2983" s="29" t="str">
        <f t="shared" si="970"/>
        <v>NA</v>
      </c>
      <c r="U2983" s="29" t="str">
        <f t="shared" si="971"/>
        <v>NA</v>
      </c>
      <c r="V2983" s="29" t="str">
        <f t="shared" si="972"/>
        <v>NA</v>
      </c>
      <c r="W2983" s="29" t="str">
        <f t="shared" si="973"/>
        <v>NA</v>
      </c>
      <c r="X2983" s="29" t="str">
        <f t="shared" si="974"/>
        <v>NA</v>
      </c>
      <c r="Y2983" s="29" t="str">
        <f t="shared" si="975"/>
        <v>NA</v>
      </c>
      <c r="Z2983" s="29" t="str">
        <f t="shared" si="976"/>
        <v>NA</v>
      </c>
      <c r="AA2983" s="29" t="str">
        <f t="shared" si="977"/>
        <v>NA</v>
      </c>
      <c r="AB2983" s="29" t="str">
        <f t="shared" si="978"/>
        <v>NA</v>
      </c>
      <c r="AC2983" s="29" t="str">
        <f t="shared" si="979"/>
        <v>NA</v>
      </c>
      <c r="AD2983" s="29" t="str">
        <f t="shared" si="980"/>
        <v>NA</v>
      </c>
      <c r="AE2983" s="29" t="str">
        <f t="shared" si="981"/>
        <v>NA</v>
      </c>
      <c r="AF2983" s="29" t="str">
        <f t="shared" si="982"/>
        <v>NA</v>
      </c>
      <c r="AG2983" s="29" t="str">
        <f t="shared" si="983"/>
        <v>NA</v>
      </c>
      <c r="AH2983" s="29" t="str">
        <f t="shared" si="984"/>
        <v>NA</v>
      </c>
    </row>
    <row r="2984" customHeight="1" spans="1:34">
      <c r="A2984" s="12" t="s">
        <v>1043</v>
      </c>
      <c r="F2984" s="24">
        <f t="shared" si="966"/>
        <v>0</v>
      </c>
      <c r="G2984" s="24" t="e">
        <f t="shared" si="965"/>
        <v>#DIV/0!</v>
      </c>
      <c r="Q2984" s="29" t="str">
        <f t="shared" si="967"/>
        <v>NA</v>
      </c>
      <c r="R2984" s="29" t="str">
        <f t="shared" si="968"/>
        <v>NA</v>
      </c>
      <c r="S2984" s="29" t="str">
        <f t="shared" si="969"/>
        <v>NA</v>
      </c>
      <c r="T2984" s="29" t="str">
        <f t="shared" si="970"/>
        <v>NA</v>
      </c>
      <c r="U2984" s="29" t="str">
        <f t="shared" si="971"/>
        <v>NA</v>
      </c>
      <c r="V2984" s="29" t="str">
        <f t="shared" si="972"/>
        <v>NA</v>
      </c>
      <c r="W2984" s="29" t="str">
        <f t="shared" si="973"/>
        <v>NA</v>
      </c>
      <c r="X2984" s="29" t="str">
        <f t="shared" si="974"/>
        <v>NA</v>
      </c>
      <c r="Y2984" s="29" t="str">
        <f t="shared" si="975"/>
        <v>NA</v>
      </c>
      <c r="Z2984" s="29" t="str">
        <f t="shared" si="976"/>
        <v>NA</v>
      </c>
      <c r="AA2984" s="29" t="str">
        <f t="shared" si="977"/>
        <v>NA</v>
      </c>
      <c r="AB2984" s="29" t="str">
        <f t="shared" si="978"/>
        <v>NA</v>
      </c>
      <c r="AC2984" s="29" t="str">
        <f t="shared" si="979"/>
        <v>NA</v>
      </c>
      <c r="AD2984" s="29" t="str">
        <f t="shared" si="980"/>
        <v>NA</v>
      </c>
      <c r="AE2984" s="29" t="str">
        <f t="shared" si="981"/>
        <v>NA</v>
      </c>
      <c r="AF2984" s="29" t="str">
        <f t="shared" si="982"/>
        <v>NA</v>
      </c>
      <c r="AG2984" s="29" t="str">
        <f t="shared" si="983"/>
        <v>NA</v>
      </c>
      <c r="AH2984" s="29" t="str">
        <f t="shared" si="984"/>
        <v>NA</v>
      </c>
    </row>
    <row r="2985" customHeight="1" spans="1:34">
      <c r="A2985" s="12" t="s">
        <v>1043</v>
      </c>
      <c r="F2985" s="24">
        <f t="shared" si="966"/>
        <v>0</v>
      </c>
      <c r="G2985" s="24" t="e">
        <f t="shared" si="965"/>
        <v>#DIV/0!</v>
      </c>
      <c r="Q2985" s="29" t="str">
        <f t="shared" si="967"/>
        <v>NA</v>
      </c>
      <c r="R2985" s="29" t="str">
        <f t="shared" si="968"/>
        <v>NA</v>
      </c>
      <c r="S2985" s="29" t="str">
        <f t="shared" si="969"/>
        <v>NA</v>
      </c>
      <c r="T2985" s="29" t="str">
        <f t="shared" si="970"/>
        <v>NA</v>
      </c>
      <c r="U2985" s="29" t="str">
        <f t="shared" si="971"/>
        <v>NA</v>
      </c>
      <c r="V2985" s="29" t="str">
        <f t="shared" si="972"/>
        <v>NA</v>
      </c>
      <c r="W2985" s="29" t="str">
        <f t="shared" si="973"/>
        <v>NA</v>
      </c>
      <c r="X2985" s="29" t="str">
        <f t="shared" si="974"/>
        <v>NA</v>
      </c>
      <c r="Y2985" s="29" t="str">
        <f t="shared" si="975"/>
        <v>NA</v>
      </c>
      <c r="Z2985" s="29" t="str">
        <f t="shared" si="976"/>
        <v>NA</v>
      </c>
      <c r="AA2985" s="29" t="str">
        <f t="shared" si="977"/>
        <v>NA</v>
      </c>
      <c r="AB2985" s="29" t="str">
        <f t="shared" si="978"/>
        <v>NA</v>
      </c>
      <c r="AC2985" s="29" t="str">
        <f t="shared" si="979"/>
        <v>NA</v>
      </c>
      <c r="AD2985" s="29" t="str">
        <f t="shared" si="980"/>
        <v>NA</v>
      </c>
      <c r="AE2985" s="29" t="str">
        <f t="shared" si="981"/>
        <v>NA</v>
      </c>
      <c r="AF2985" s="29" t="str">
        <f t="shared" si="982"/>
        <v>NA</v>
      </c>
      <c r="AG2985" s="29" t="str">
        <f t="shared" si="983"/>
        <v>NA</v>
      </c>
      <c r="AH2985" s="29" t="str">
        <f t="shared" si="984"/>
        <v>NA</v>
      </c>
    </row>
    <row r="2986" customHeight="1" spans="1:34">
      <c r="A2986" s="12" t="s">
        <v>1043</v>
      </c>
      <c r="F2986" s="24">
        <f t="shared" si="966"/>
        <v>0</v>
      </c>
      <c r="G2986" s="24" t="e">
        <f t="shared" si="965"/>
        <v>#DIV/0!</v>
      </c>
      <c r="Q2986" s="29" t="str">
        <f t="shared" si="967"/>
        <v>NA</v>
      </c>
      <c r="R2986" s="29" t="str">
        <f t="shared" si="968"/>
        <v>NA</v>
      </c>
      <c r="S2986" s="29" t="str">
        <f t="shared" si="969"/>
        <v>NA</v>
      </c>
      <c r="T2986" s="29" t="str">
        <f t="shared" si="970"/>
        <v>NA</v>
      </c>
      <c r="U2986" s="29" t="str">
        <f t="shared" si="971"/>
        <v>NA</v>
      </c>
      <c r="V2986" s="29" t="str">
        <f t="shared" si="972"/>
        <v>NA</v>
      </c>
      <c r="W2986" s="29" t="str">
        <f t="shared" si="973"/>
        <v>NA</v>
      </c>
      <c r="X2986" s="29" t="str">
        <f t="shared" si="974"/>
        <v>NA</v>
      </c>
      <c r="Y2986" s="29" t="str">
        <f t="shared" si="975"/>
        <v>NA</v>
      </c>
      <c r="Z2986" s="29" t="str">
        <f t="shared" si="976"/>
        <v>NA</v>
      </c>
      <c r="AA2986" s="29" t="str">
        <f t="shared" si="977"/>
        <v>NA</v>
      </c>
      <c r="AB2986" s="29" t="str">
        <f t="shared" si="978"/>
        <v>NA</v>
      </c>
      <c r="AC2986" s="29" t="str">
        <f t="shared" si="979"/>
        <v>NA</v>
      </c>
      <c r="AD2986" s="29" t="str">
        <f t="shared" si="980"/>
        <v>NA</v>
      </c>
      <c r="AE2986" s="29" t="str">
        <f t="shared" si="981"/>
        <v>NA</v>
      </c>
      <c r="AF2986" s="29" t="str">
        <f t="shared" si="982"/>
        <v>NA</v>
      </c>
      <c r="AG2986" s="29" t="str">
        <f t="shared" si="983"/>
        <v>NA</v>
      </c>
      <c r="AH2986" s="29" t="str">
        <f t="shared" si="984"/>
        <v>NA</v>
      </c>
    </row>
    <row r="2987" customHeight="1" spans="1:34">
      <c r="A2987" s="12" t="s">
        <v>1043</v>
      </c>
      <c r="F2987" s="24">
        <f t="shared" si="966"/>
        <v>0</v>
      </c>
      <c r="G2987" s="24" t="e">
        <f t="shared" si="965"/>
        <v>#DIV/0!</v>
      </c>
      <c r="Q2987" s="29" t="str">
        <f t="shared" si="967"/>
        <v>NA</v>
      </c>
      <c r="R2987" s="29" t="str">
        <f t="shared" si="968"/>
        <v>NA</v>
      </c>
      <c r="S2987" s="29" t="str">
        <f t="shared" si="969"/>
        <v>NA</v>
      </c>
      <c r="T2987" s="29" t="str">
        <f t="shared" si="970"/>
        <v>NA</v>
      </c>
      <c r="U2987" s="29" t="str">
        <f t="shared" si="971"/>
        <v>NA</v>
      </c>
      <c r="V2987" s="29" t="str">
        <f t="shared" si="972"/>
        <v>NA</v>
      </c>
      <c r="W2987" s="29" t="str">
        <f t="shared" si="973"/>
        <v>NA</v>
      </c>
      <c r="X2987" s="29" t="str">
        <f t="shared" si="974"/>
        <v>NA</v>
      </c>
      <c r="Y2987" s="29" t="str">
        <f t="shared" si="975"/>
        <v>NA</v>
      </c>
      <c r="Z2987" s="29" t="str">
        <f t="shared" si="976"/>
        <v>NA</v>
      </c>
      <c r="AA2987" s="29" t="str">
        <f t="shared" si="977"/>
        <v>NA</v>
      </c>
      <c r="AB2987" s="29" t="str">
        <f t="shared" si="978"/>
        <v>NA</v>
      </c>
      <c r="AC2987" s="29" t="str">
        <f t="shared" si="979"/>
        <v>NA</v>
      </c>
      <c r="AD2987" s="29" t="str">
        <f t="shared" si="980"/>
        <v>NA</v>
      </c>
      <c r="AE2987" s="29" t="str">
        <f t="shared" si="981"/>
        <v>NA</v>
      </c>
      <c r="AF2987" s="29" t="str">
        <f t="shared" si="982"/>
        <v>NA</v>
      </c>
      <c r="AG2987" s="29" t="str">
        <f t="shared" si="983"/>
        <v>NA</v>
      </c>
      <c r="AH2987" s="29" t="str">
        <f t="shared" si="984"/>
        <v>NA</v>
      </c>
    </row>
    <row r="2988" customHeight="1" spans="1:34">
      <c r="A2988" s="12" t="s">
        <v>1043</v>
      </c>
      <c r="F2988" s="24">
        <f t="shared" si="966"/>
        <v>0</v>
      </c>
      <c r="G2988" s="24" t="e">
        <f t="shared" si="965"/>
        <v>#DIV/0!</v>
      </c>
      <c r="Q2988" s="29" t="str">
        <f t="shared" si="967"/>
        <v>NA</v>
      </c>
      <c r="R2988" s="29" t="str">
        <f t="shared" si="968"/>
        <v>NA</v>
      </c>
      <c r="S2988" s="29" t="str">
        <f t="shared" si="969"/>
        <v>NA</v>
      </c>
      <c r="T2988" s="29" t="str">
        <f t="shared" si="970"/>
        <v>NA</v>
      </c>
      <c r="U2988" s="29" t="str">
        <f t="shared" si="971"/>
        <v>NA</v>
      </c>
      <c r="V2988" s="29" t="str">
        <f t="shared" si="972"/>
        <v>NA</v>
      </c>
      <c r="W2988" s="29" t="str">
        <f t="shared" si="973"/>
        <v>NA</v>
      </c>
      <c r="X2988" s="29" t="str">
        <f t="shared" si="974"/>
        <v>NA</v>
      </c>
      <c r="Y2988" s="29" t="str">
        <f t="shared" si="975"/>
        <v>NA</v>
      </c>
      <c r="Z2988" s="29" t="str">
        <f t="shared" si="976"/>
        <v>NA</v>
      </c>
      <c r="AA2988" s="29" t="str">
        <f t="shared" si="977"/>
        <v>NA</v>
      </c>
      <c r="AB2988" s="29" t="str">
        <f t="shared" si="978"/>
        <v>NA</v>
      </c>
      <c r="AC2988" s="29" t="str">
        <f t="shared" si="979"/>
        <v>NA</v>
      </c>
      <c r="AD2988" s="29" t="str">
        <f t="shared" si="980"/>
        <v>NA</v>
      </c>
      <c r="AE2988" s="29" t="str">
        <f t="shared" si="981"/>
        <v>NA</v>
      </c>
      <c r="AF2988" s="29" t="str">
        <f t="shared" si="982"/>
        <v>NA</v>
      </c>
      <c r="AG2988" s="29" t="str">
        <f t="shared" si="983"/>
        <v>NA</v>
      </c>
      <c r="AH2988" s="29" t="str">
        <f t="shared" si="984"/>
        <v>NA</v>
      </c>
    </row>
    <row r="2989" customHeight="1" spans="1:34">
      <c r="A2989" s="12" t="s">
        <v>1043</v>
      </c>
      <c r="F2989" s="24">
        <f t="shared" si="966"/>
        <v>0</v>
      </c>
      <c r="G2989" s="24" t="e">
        <f t="shared" si="965"/>
        <v>#DIV/0!</v>
      </c>
      <c r="Q2989" s="29" t="str">
        <f t="shared" si="967"/>
        <v>NA</v>
      </c>
      <c r="R2989" s="29" t="str">
        <f t="shared" si="968"/>
        <v>NA</v>
      </c>
      <c r="S2989" s="29" t="str">
        <f t="shared" si="969"/>
        <v>NA</v>
      </c>
      <c r="T2989" s="29" t="str">
        <f t="shared" si="970"/>
        <v>NA</v>
      </c>
      <c r="U2989" s="29" t="str">
        <f t="shared" si="971"/>
        <v>NA</v>
      </c>
      <c r="V2989" s="29" t="str">
        <f t="shared" si="972"/>
        <v>NA</v>
      </c>
      <c r="W2989" s="29" t="str">
        <f t="shared" si="973"/>
        <v>NA</v>
      </c>
      <c r="X2989" s="29" t="str">
        <f t="shared" si="974"/>
        <v>NA</v>
      </c>
      <c r="Y2989" s="29" t="str">
        <f t="shared" si="975"/>
        <v>NA</v>
      </c>
      <c r="Z2989" s="29" t="str">
        <f t="shared" si="976"/>
        <v>NA</v>
      </c>
      <c r="AA2989" s="29" t="str">
        <f t="shared" si="977"/>
        <v>NA</v>
      </c>
      <c r="AB2989" s="29" t="str">
        <f t="shared" si="978"/>
        <v>NA</v>
      </c>
      <c r="AC2989" s="29" t="str">
        <f t="shared" si="979"/>
        <v>NA</v>
      </c>
      <c r="AD2989" s="29" t="str">
        <f t="shared" si="980"/>
        <v>NA</v>
      </c>
      <c r="AE2989" s="29" t="str">
        <f t="shared" si="981"/>
        <v>NA</v>
      </c>
      <c r="AF2989" s="29" t="str">
        <f t="shared" si="982"/>
        <v>NA</v>
      </c>
      <c r="AG2989" s="29" t="str">
        <f t="shared" si="983"/>
        <v>NA</v>
      </c>
      <c r="AH2989" s="29" t="str">
        <f t="shared" si="984"/>
        <v>NA</v>
      </c>
    </row>
    <row r="2990" customHeight="1" spans="1:34">
      <c r="A2990" s="12" t="s">
        <v>1043</v>
      </c>
      <c r="F2990" s="24">
        <f t="shared" si="966"/>
        <v>0</v>
      </c>
      <c r="G2990" s="24" t="e">
        <f t="shared" si="965"/>
        <v>#DIV/0!</v>
      </c>
      <c r="Q2990" s="29" t="str">
        <f t="shared" si="967"/>
        <v>NA</v>
      </c>
      <c r="R2990" s="29" t="str">
        <f t="shared" si="968"/>
        <v>NA</v>
      </c>
      <c r="S2990" s="29" t="str">
        <f t="shared" si="969"/>
        <v>NA</v>
      </c>
      <c r="T2990" s="29" t="str">
        <f t="shared" si="970"/>
        <v>NA</v>
      </c>
      <c r="U2990" s="29" t="str">
        <f t="shared" si="971"/>
        <v>NA</v>
      </c>
      <c r="V2990" s="29" t="str">
        <f t="shared" si="972"/>
        <v>NA</v>
      </c>
      <c r="W2990" s="29" t="str">
        <f t="shared" si="973"/>
        <v>NA</v>
      </c>
      <c r="X2990" s="29" t="str">
        <f t="shared" si="974"/>
        <v>NA</v>
      </c>
      <c r="Y2990" s="29" t="str">
        <f t="shared" si="975"/>
        <v>NA</v>
      </c>
      <c r="Z2990" s="29" t="str">
        <f t="shared" si="976"/>
        <v>NA</v>
      </c>
      <c r="AA2990" s="29" t="str">
        <f t="shared" si="977"/>
        <v>NA</v>
      </c>
      <c r="AB2990" s="29" t="str">
        <f t="shared" si="978"/>
        <v>NA</v>
      </c>
      <c r="AC2990" s="29" t="str">
        <f t="shared" si="979"/>
        <v>NA</v>
      </c>
      <c r="AD2990" s="29" t="str">
        <f t="shared" si="980"/>
        <v>NA</v>
      </c>
      <c r="AE2990" s="29" t="str">
        <f t="shared" si="981"/>
        <v>NA</v>
      </c>
      <c r="AF2990" s="29" t="str">
        <f t="shared" si="982"/>
        <v>NA</v>
      </c>
      <c r="AG2990" s="29" t="str">
        <f t="shared" si="983"/>
        <v>NA</v>
      </c>
      <c r="AH2990" s="29" t="str">
        <f t="shared" si="984"/>
        <v>NA</v>
      </c>
    </row>
    <row r="2991" customHeight="1" spans="1:34">
      <c r="A2991" s="12" t="s">
        <v>1043</v>
      </c>
      <c r="F2991" s="24">
        <f t="shared" si="966"/>
        <v>0</v>
      </c>
      <c r="G2991" s="24" t="e">
        <f t="shared" si="965"/>
        <v>#DIV/0!</v>
      </c>
      <c r="Q2991" s="29" t="str">
        <f t="shared" si="967"/>
        <v>NA</v>
      </c>
      <c r="R2991" s="29" t="str">
        <f t="shared" si="968"/>
        <v>NA</v>
      </c>
      <c r="S2991" s="29" t="str">
        <f t="shared" si="969"/>
        <v>NA</v>
      </c>
      <c r="T2991" s="29" t="str">
        <f t="shared" si="970"/>
        <v>NA</v>
      </c>
      <c r="U2991" s="29" t="str">
        <f t="shared" si="971"/>
        <v>NA</v>
      </c>
      <c r="V2991" s="29" t="str">
        <f t="shared" si="972"/>
        <v>NA</v>
      </c>
      <c r="W2991" s="29" t="str">
        <f t="shared" si="973"/>
        <v>NA</v>
      </c>
      <c r="X2991" s="29" t="str">
        <f t="shared" si="974"/>
        <v>NA</v>
      </c>
      <c r="Y2991" s="29" t="str">
        <f t="shared" si="975"/>
        <v>NA</v>
      </c>
      <c r="Z2991" s="29" t="str">
        <f t="shared" si="976"/>
        <v>NA</v>
      </c>
      <c r="AA2991" s="29" t="str">
        <f t="shared" si="977"/>
        <v>NA</v>
      </c>
      <c r="AB2991" s="29" t="str">
        <f t="shared" si="978"/>
        <v>NA</v>
      </c>
      <c r="AC2991" s="29" t="str">
        <f t="shared" si="979"/>
        <v>NA</v>
      </c>
      <c r="AD2991" s="29" t="str">
        <f t="shared" si="980"/>
        <v>NA</v>
      </c>
      <c r="AE2991" s="29" t="str">
        <f t="shared" si="981"/>
        <v>NA</v>
      </c>
      <c r="AF2991" s="29" t="str">
        <f t="shared" si="982"/>
        <v>NA</v>
      </c>
      <c r="AG2991" s="29" t="str">
        <f t="shared" si="983"/>
        <v>NA</v>
      </c>
      <c r="AH2991" s="29" t="str">
        <f t="shared" si="984"/>
        <v>NA</v>
      </c>
    </row>
    <row r="2992" customHeight="1" spans="1:34">
      <c r="A2992" s="12" t="s">
        <v>1043</v>
      </c>
      <c r="F2992" s="24">
        <f t="shared" si="966"/>
        <v>0</v>
      </c>
      <c r="G2992" s="24" t="e">
        <f t="shared" si="965"/>
        <v>#DIV/0!</v>
      </c>
      <c r="Q2992" s="29" t="str">
        <f t="shared" si="967"/>
        <v>NA</v>
      </c>
      <c r="R2992" s="29" t="str">
        <f t="shared" si="968"/>
        <v>NA</v>
      </c>
      <c r="S2992" s="29" t="str">
        <f t="shared" si="969"/>
        <v>NA</v>
      </c>
      <c r="T2992" s="29" t="str">
        <f t="shared" si="970"/>
        <v>NA</v>
      </c>
      <c r="U2992" s="29" t="str">
        <f t="shared" si="971"/>
        <v>NA</v>
      </c>
      <c r="V2992" s="29" t="str">
        <f t="shared" si="972"/>
        <v>NA</v>
      </c>
      <c r="W2992" s="29" t="str">
        <f t="shared" si="973"/>
        <v>NA</v>
      </c>
      <c r="X2992" s="29" t="str">
        <f t="shared" si="974"/>
        <v>NA</v>
      </c>
      <c r="Y2992" s="29" t="str">
        <f t="shared" si="975"/>
        <v>NA</v>
      </c>
      <c r="Z2992" s="29" t="str">
        <f t="shared" si="976"/>
        <v>NA</v>
      </c>
      <c r="AA2992" s="29" t="str">
        <f t="shared" si="977"/>
        <v>NA</v>
      </c>
      <c r="AB2992" s="29" t="str">
        <f t="shared" si="978"/>
        <v>NA</v>
      </c>
      <c r="AC2992" s="29" t="str">
        <f t="shared" si="979"/>
        <v>NA</v>
      </c>
      <c r="AD2992" s="29" t="str">
        <f t="shared" si="980"/>
        <v>NA</v>
      </c>
      <c r="AE2992" s="29" t="str">
        <f t="shared" si="981"/>
        <v>NA</v>
      </c>
      <c r="AF2992" s="29" t="str">
        <f t="shared" si="982"/>
        <v>NA</v>
      </c>
      <c r="AG2992" s="29" t="str">
        <f t="shared" si="983"/>
        <v>NA</v>
      </c>
      <c r="AH2992" s="29" t="str">
        <f t="shared" si="984"/>
        <v>NA</v>
      </c>
    </row>
    <row r="2993" customHeight="1" spans="1:34">
      <c r="A2993" s="12" t="s">
        <v>1043</v>
      </c>
      <c r="F2993" s="24">
        <f t="shared" si="966"/>
        <v>0</v>
      </c>
      <c r="G2993" s="24" t="e">
        <f t="shared" si="965"/>
        <v>#DIV/0!</v>
      </c>
      <c r="Q2993" s="29" t="str">
        <f t="shared" si="967"/>
        <v>NA</v>
      </c>
      <c r="R2993" s="29" t="str">
        <f t="shared" si="968"/>
        <v>NA</v>
      </c>
      <c r="S2993" s="29" t="str">
        <f t="shared" si="969"/>
        <v>NA</v>
      </c>
      <c r="T2993" s="29" t="str">
        <f t="shared" si="970"/>
        <v>NA</v>
      </c>
      <c r="U2993" s="29" t="str">
        <f t="shared" si="971"/>
        <v>NA</v>
      </c>
      <c r="V2993" s="29" t="str">
        <f t="shared" si="972"/>
        <v>NA</v>
      </c>
      <c r="W2993" s="29" t="str">
        <f t="shared" si="973"/>
        <v>NA</v>
      </c>
      <c r="X2993" s="29" t="str">
        <f t="shared" si="974"/>
        <v>NA</v>
      </c>
      <c r="Y2993" s="29" t="str">
        <f t="shared" si="975"/>
        <v>NA</v>
      </c>
      <c r="Z2993" s="29" t="str">
        <f t="shared" si="976"/>
        <v>NA</v>
      </c>
      <c r="AA2993" s="29" t="str">
        <f t="shared" si="977"/>
        <v>NA</v>
      </c>
      <c r="AB2993" s="29" t="str">
        <f t="shared" si="978"/>
        <v>NA</v>
      </c>
      <c r="AC2993" s="29" t="str">
        <f t="shared" si="979"/>
        <v>NA</v>
      </c>
      <c r="AD2993" s="29" t="str">
        <f t="shared" si="980"/>
        <v>NA</v>
      </c>
      <c r="AE2993" s="29" t="str">
        <f t="shared" si="981"/>
        <v>NA</v>
      </c>
      <c r="AF2993" s="29" t="str">
        <f t="shared" si="982"/>
        <v>NA</v>
      </c>
      <c r="AG2993" s="29" t="str">
        <f t="shared" si="983"/>
        <v>NA</v>
      </c>
      <c r="AH2993" s="29" t="str">
        <f t="shared" si="984"/>
        <v>NA</v>
      </c>
    </row>
    <row r="2994" customHeight="1" spans="1:34">
      <c r="A2994" s="12" t="s">
        <v>1043</v>
      </c>
      <c r="F2994" s="24">
        <f t="shared" si="966"/>
        <v>0</v>
      </c>
      <c r="G2994" s="24" t="e">
        <f t="shared" si="965"/>
        <v>#DIV/0!</v>
      </c>
      <c r="Q2994" s="29" t="str">
        <f t="shared" si="967"/>
        <v>NA</v>
      </c>
      <c r="R2994" s="29" t="str">
        <f t="shared" si="968"/>
        <v>NA</v>
      </c>
      <c r="S2994" s="29" t="str">
        <f t="shared" si="969"/>
        <v>NA</v>
      </c>
      <c r="T2994" s="29" t="str">
        <f t="shared" si="970"/>
        <v>NA</v>
      </c>
      <c r="U2994" s="29" t="str">
        <f t="shared" si="971"/>
        <v>NA</v>
      </c>
      <c r="V2994" s="29" t="str">
        <f t="shared" si="972"/>
        <v>NA</v>
      </c>
      <c r="W2994" s="29" t="str">
        <f t="shared" si="973"/>
        <v>NA</v>
      </c>
      <c r="X2994" s="29" t="str">
        <f t="shared" si="974"/>
        <v>NA</v>
      </c>
      <c r="Y2994" s="29" t="str">
        <f t="shared" si="975"/>
        <v>NA</v>
      </c>
      <c r="Z2994" s="29" t="str">
        <f t="shared" si="976"/>
        <v>NA</v>
      </c>
      <c r="AA2994" s="29" t="str">
        <f t="shared" si="977"/>
        <v>NA</v>
      </c>
      <c r="AB2994" s="29" t="str">
        <f t="shared" si="978"/>
        <v>NA</v>
      </c>
      <c r="AC2994" s="29" t="str">
        <f t="shared" si="979"/>
        <v>NA</v>
      </c>
      <c r="AD2994" s="29" t="str">
        <f t="shared" si="980"/>
        <v>NA</v>
      </c>
      <c r="AE2994" s="29" t="str">
        <f t="shared" si="981"/>
        <v>NA</v>
      </c>
      <c r="AF2994" s="29" t="str">
        <f t="shared" si="982"/>
        <v>NA</v>
      </c>
      <c r="AG2994" s="29" t="str">
        <f t="shared" si="983"/>
        <v>NA</v>
      </c>
      <c r="AH2994" s="29" t="str">
        <f t="shared" si="984"/>
        <v>NA</v>
      </c>
    </row>
    <row r="2995" customHeight="1" spans="1:34">
      <c r="A2995" s="12" t="s">
        <v>1043</v>
      </c>
      <c r="F2995" s="24">
        <f t="shared" si="966"/>
        <v>0</v>
      </c>
      <c r="G2995" s="24" t="e">
        <f t="shared" si="965"/>
        <v>#DIV/0!</v>
      </c>
      <c r="Q2995" s="29" t="str">
        <f t="shared" si="967"/>
        <v>NA</v>
      </c>
      <c r="R2995" s="29" t="str">
        <f t="shared" si="968"/>
        <v>NA</v>
      </c>
      <c r="S2995" s="29" t="str">
        <f t="shared" si="969"/>
        <v>NA</v>
      </c>
      <c r="T2995" s="29" t="str">
        <f t="shared" si="970"/>
        <v>NA</v>
      </c>
      <c r="U2995" s="29" t="str">
        <f t="shared" si="971"/>
        <v>NA</v>
      </c>
      <c r="V2995" s="29" t="str">
        <f t="shared" si="972"/>
        <v>NA</v>
      </c>
      <c r="W2995" s="29" t="str">
        <f t="shared" si="973"/>
        <v>NA</v>
      </c>
      <c r="X2995" s="29" t="str">
        <f t="shared" si="974"/>
        <v>NA</v>
      </c>
      <c r="Y2995" s="29" t="str">
        <f t="shared" si="975"/>
        <v>NA</v>
      </c>
      <c r="Z2995" s="29" t="str">
        <f t="shared" si="976"/>
        <v>NA</v>
      </c>
      <c r="AA2995" s="29" t="str">
        <f t="shared" si="977"/>
        <v>NA</v>
      </c>
      <c r="AB2995" s="29" t="str">
        <f t="shared" si="978"/>
        <v>NA</v>
      </c>
      <c r="AC2995" s="29" t="str">
        <f t="shared" si="979"/>
        <v>NA</v>
      </c>
      <c r="AD2995" s="29" t="str">
        <f t="shared" si="980"/>
        <v>NA</v>
      </c>
      <c r="AE2995" s="29" t="str">
        <f t="shared" si="981"/>
        <v>NA</v>
      </c>
      <c r="AF2995" s="29" t="str">
        <f t="shared" si="982"/>
        <v>NA</v>
      </c>
      <c r="AG2995" s="29" t="str">
        <f t="shared" si="983"/>
        <v>NA</v>
      </c>
      <c r="AH2995" s="29" t="str">
        <f t="shared" si="984"/>
        <v>NA</v>
      </c>
    </row>
    <row r="2996" customHeight="1" spans="1:34">
      <c r="A2996" s="12" t="s">
        <v>1043</v>
      </c>
      <c r="F2996" s="24">
        <f t="shared" si="966"/>
        <v>0</v>
      </c>
      <c r="G2996" s="24" t="e">
        <f t="shared" si="965"/>
        <v>#DIV/0!</v>
      </c>
      <c r="Q2996" s="29" t="str">
        <f t="shared" si="967"/>
        <v>NA</v>
      </c>
      <c r="R2996" s="29" t="str">
        <f t="shared" si="968"/>
        <v>NA</v>
      </c>
      <c r="S2996" s="29" t="str">
        <f t="shared" si="969"/>
        <v>NA</v>
      </c>
      <c r="T2996" s="29" t="str">
        <f t="shared" si="970"/>
        <v>NA</v>
      </c>
      <c r="U2996" s="29" t="str">
        <f t="shared" si="971"/>
        <v>NA</v>
      </c>
      <c r="V2996" s="29" t="str">
        <f t="shared" si="972"/>
        <v>NA</v>
      </c>
      <c r="W2996" s="29" t="str">
        <f t="shared" si="973"/>
        <v>NA</v>
      </c>
      <c r="X2996" s="29" t="str">
        <f t="shared" si="974"/>
        <v>NA</v>
      </c>
      <c r="Y2996" s="29" t="str">
        <f t="shared" si="975"/>
        <v>NA</v>
      </c>
      <c r="Z2996" s="29" t="str">
        <f t="shared" si="976"/>
        <v>NA</v>
      </c>
      <c r="AA2996" s="29" t="str">
        <f t="shared" si="977"/>
        <v>NA</v>
      </c>
      <c r="AB2996" s="29" t="str">
        <f t="shared" si="978"/>
        <v>NA</v>
      </c>
      <c r="AC2996" s="29" t="str">
        <f t="shared" si="979"/>
        <v>NA</v>
      </c>
      <c r="AD2996" s="29" t="str">
        <f t="shared" si="980"/>
        <v>NA</v>
      </c>
      <c r="AE2996" s="29" t="str">
        <f t="shared" si="981"/>
        <v>NA</v>
      </c>
      <c r="AF2996" s="29" t="str">
        <f t="shared" si="982"/>
        <v>NA</v>
      </c>
      <c r="AG2996" s="29" t="str">
        <f t="shared" si="983"/>
        <v>NA</v>
      </c>
      <c r="AH2996" s="29" t="str">
        <f t="shared" si="984"/>
        <v>NA</v>
      </c>
    </row>
    <row r="2997" customHeight="1" spans="1:34">
      <c r="A2997" s="12" t="s">
        <v>1043</v>
      </c>
      <c r="F2997" s="24">
        <f t="shared" si="966"/>
        <v>0</v>
      </c>
      <c r="G2997" s="24" t="e">
        <f t="shared" si="965"/>
        <v>#DIV/0!</v>
      </c>
      <c r="Q2997" s="29" t="str">
        <f t="shared" si="967"/>
        <v>NA</v>
      </c>
      <c r="R2997" s="29" t="str">
        <f t="shared" si="968"/>
        <v>NA</v>
      </c>
      <c r="S2997" s="29" t="str">
        <f t="shared" si="969"/>
        <v>NA</v>
      </c>
      <c r="T2997" s="29" t="str">
        <f t="shared" si="970"/>
        <v>NA</v>
      </c>
      <c r="U2997" s="29" t="str">
        <f t="shared" si="971"/>
        <v>NA</v>
      </c>
      <c r="V2997" s="29" t="str">
        <f t="shared" si="972"/>
        <v>NA</v>
      </c>
      <c r="W2997" s="29" t="str">
        <f t="shared" si="973"/>
        <v>NA</v>
      </c>
      <c r="X2997" s="29" t="str">
        <f t="shared" si="974"/>
        <v>NA</v>
      </c>
      <c r="Y2997" s="29" t="str">
        <f t="shared" si="975"/>
        <v>NA</v>
      </c>
      <c r="Z2997" s="29" t="str">
        <f t="shared" si="976"/>
        <v>NA</v>
      </c>
      <c r="AA2997" s="29" t="str">
        <f t="shared" si="977"/>
        <v>NA</v>
      </c>
      <c r="AB2997" s="29" t="str">
        <f t="shared" si="978"/>
        <v>NA</v>
      </c>
      <c r="AC2997" s="29" t="str">
        <f t="shared" si="979"/>
        <v>NA</v>
      </c>
      <c r="AD2997" s="29" t="str">
        <f t="shared" si="980"/>
        <v>NA</v>
      </c>
      <c r="AE2997" s="29" t="str">
        <f t="shared" si="981"/>
        <v>NA</v>
      </c>
      <c r="AF2997" s="29" t="str">
        <f t="shared" si="982"/>
        <v>NA</v>
      </c>
      <c r="AG2997" s="29" t="str">
        <f t="shared" si="983"/>
        <v>NA</v>
      </c>
      <c r="AH2997" s="29" t="str">
        <f t="shared" si="984"/>
        <v>NA</v>
      </c>
    </row>
    <row r="2998" customHeight="1" spans="1:34">
      <c r="A2998" s="12" t="s">
        <v>1043</v>
      </c>
      <c r="F2998" s="24">
        <f t="shared" si="966"/>
        <v>0</v>
      </c>
      <c r="G2998" s="24" t="e">
        <f t="shared" si="965"/>
        <v>#DIV/0!</v>
      </c>
      <c r="Q2998" s="29" t="str">
        <f t="shared" si="967"/>
        <v>NA</v>
      </c>
      <c r="R2998" s="29" t="str">
        <f t="shared" si="968"/>
        <v>NA</v>
      </c>
      <c r="S2998" s="29" t="str">
        <f t="shared" si="969"/>
        <v>NA</v>
      </c>
      <c r="T2998" s="29" t="str">
        <f t="shared" si="970"/>
        <v>NA</v>
      </c>
      <c r="U2998" s="29" t="str">
        <f t="shared" si="971"/>
        <v>NA</v>
      </c>
      <c r="V2998" s="29" t="str">
        <f t="shared" si="972"/>
        <v>NA</v>
      </c>
      <c r="W2998" s="29" t="str">
        <f t="shared" si="973"/>
        <v>NA</v>
      </c>
      <c r="X2998" s="29" t="str">
        <f t="shared" si="974"/>
        <v>NA</v>
      </c>
      <c r="Y2998" s="29" t="str">
        <f t="shared" si="975"/>
        <v>NA</v>
      </c>
      <c r="Z2998" s="29" t="str">
        <f t="shared" si="976"/>
        <v>NA</v>
      </c>
      <c r="AA2998" s="29" t="str">
        <f t="shared" si="977"/>
        <v>NA</v>
      </c>
      <c r="AB2998" s="29" t="str">
        <f t="shared" si="978"/>
        <v>NA</v>
      </c>
      <c r="AC2998" s="29" t="str">
        <f t="shared" si="979"/>
        <v>NA</v>
      </c>
      <c r="AD2998" s="29" t="str">
        <f t="shared" si="980"/>
        <v>NA</v>
      </c>
      <c r="AE2998" s="29" t="str">
        <f t="shared" si="981"/>
        <v>NA</v>
      </c>
      <c r="AF2998" s="29" t="str">
        <f t="shared" si="982"/>
        <v>NA</v>
      </c>
      <c r="AG2998" s="29" t="str">
        <f t="shared" si="983"/>
        <v>NA</v>
      </c>
      <c r="AH2998" s="29" t="str">
        <f t="shared" si="984"/>
        <v>NA</v>
      </c>
    </row>
    <row r="2999" customHeight="1" spans="1:34">
      <c r="A2999" s="12" t="s">
        <v>1043</v>
      </c>
      <c r="F2999" s="24">
        <f t="shared" si="966"/>
        <v>0</v>
      </c>
      <c r="G2999" s="24" t="e">
        <f t="shared" si="965"/>
        <v>#DIV/0!</v>
      </c>
      <c r="Q2999" s="29" t="str">
        <f t="shared" si="967"/>
        <v>NA</v>
      </c>
      <c r="R2999" s="29" t="str">
        <f t="shared" si="968"/>
        <v>NA</v>
      </c>
      <c r="S2999" s="29" t="str">
        <f t="shared" si="969"/>
        <v>NA</v>
      </c>
      <c r="T2999" s="29" t="str">
        <f t="shared" si="970"/>
        <v>NA</v>
      </c>
      <c r="U2999" s="29" t="str">
        <f t="shared" si="971"/>
        <v>NA</v>
      </c>
      <c r="V2999" s="29" t="str">
        <f t="shared" si="972"/>
        <v>NA</v>
      </c>
      <c r="W2999" s="29" t="str">
        <f t="shared" si="973"/>
        <v>NA</v>
      </c>
      <c r="X2999" s="29" t="str">
        <f t="shared" si="974"/>
        <v>NA</v>
      </c>
      <c r="Y2999" s="29" t="str">
        <f t="shared" si="975"/>
        <v>NA</v>
      </c>
      <c r="Z2999" s="29" t="str">
        <f t="shared" si="976"/>
        <v>NA</v>
      </c>
      <c r="AA2999" s="29" t="str">
        <f t="shared" si="977"/>
        <v>NA</v>
      </c>
      <c r="AB2999" s="29" t="str">
        <f t="shared" si="978"/>
        <v>NA</v>
      </c>
      <c r="AC2999" s="29" t="str">
        <f t="shared" si="979"/>
        <v>NA</v>
      </c>
      <c r="AD2999" s="29" t="str">
        <f t="shared" si="980"/>
        <v>NA</v>
      </c>
      <c r="AE2999" s="29" t="str">
        <f t="shared" si="981"/>
        <v>NA</v>
      </c>
      <c r="AF2999" s="29" t="str">
        <f t="shared" si="982"/>
        <v>NA</v>
      </c>
      <c r="AG2999" s="29" t="str">
        <f t="shared" si="983"/>
        <v>NA</v>
      </c>
      <c r="AH2999" s="29" t="str">
        <f t="shared" si="984"/>
        <v>NA</v>
      </c>
    </row>
    <row r="3000" customHeight="1" spans="1:34">
      <c r="A3000" s="12" t="s">
        <v>1043</v>
      </c>
      <c r="F3000" s="24">
        <f t="shared" si="966"/>
        <v>0</v>
      </c>
      <c r="G3000" s="24" t="e">
        <f t="shared" si="965"/>
        <v>#DIV/0!</v>
      </c>
      <c r="Q3000" s="29" t="str">
        <f t="shared" si="967"/>
        <v>NA</v>
      </c>
      <c r="R3000" s="29" t="str">
        <f t="shared" si="968"/>
        <v>NA</v>
      </c>
      <c r="S3000" s="29" t="str">
        <f t="shared" si="969"/>
        <v>NA</v>
      </c>
      <c r="T3000" s="29" t="str">
        <f t="shared" si="970"/>
        <v>NA</v>
      </c>
      <c r="U3000" s="29" t="str">
        <f t="shared" si="971"/>
        <v>NA</v>
      </c>
      <c r="V3000" s="29" t="str">
        <f t="shared" si="972"/>
        <v>NA</v>
      </c>
      <c r="W3000" s="29" t="str">
        <f t="shared" si="973"/>
        <v>NA</v>
      </c>
      <c r="X3000" s="29" t="str">
        <f t="shared" si="974"/>
        <v>NA</v>
      </c>
      <c r="Y3000" s="29" t="str">
        <f t="shared" si="975"/>
        <v>NA</v>
      </c>
      <c r="Z3000" s="29" t="str">
        <f t="shared" si="976"/>
        <v>NA</v>
      </c>
      <c r="AA3000" s="29" t="str">
        <f t="shared" si="977"/>
        <v>NA</v>
      </c>
      <c r="AB3000" s="29" t="str">
        <f t="shared" si="978"/>
        <v>NA</v>
      </c>
      <c r="AC3000" s="29" t="str">
        <f t="shared" si="979"/>
        <v>NA</v>
      </c>
      <c r="AD3000" s="29" t="str">
        <f t="shared" si="980"/>
        <v>NA</v>
      </c>
      <c r="AE3000" s="29" t="str">
        <f t="shared" si="981"/>
        <v>NA</v>
      </c>
      <c r="AF3000" s="29" t="str">
        <f t="shared" si="982"/>
        <v>NA</v>
      </c>
      <c r="AG3000" s="29" t="str">
        <f t="shared" si="983"/>
        <v>NA</v>
      </c>
      <c r="AH3000" s="29" t="str">
        <f t="shared" si="984"/>
        <v>NA</v>
      </c>
    </row>
    <row r="3001" customHeight="1" spans="1:34">
      <c r="A3001" s="12" t="s">
        <v>1043</v>
      </c>
      <c r="F3001" s="24">
        <f t="shared" si="966"/>
        <v>0</v>
      </c>
      <c r="G3001" s="24" t="e">
        <f t="shared" si="965"/>
        <v>#DIV/0!</v>
      </c>
      <c r="Q3001" s="29" t="str">
        <f t="shared" si="967"/>
        <v>NA</v>
      </c>
      <c r="R3001" s="29" t="str">
        <f t="shared" si="968"/>
        <v>NA</v>
      </c>
      <c r="S3001" s="29" t="str">
        <f t="shared" si="969"/>
        <v>NA</v>
      </c>
      <c r="T3001" s="29" t="str">
        <f t="shared" si="970"/>
        <v>NA</v>
      </c>
      <c r="U3001" s="29" t="str">
        <f t="shared" si="971"/>
        <v>NA</v>
      </c>
      <c r="V3001" s="29" t="str">
        <f t="shared" si="972"/>
        <v>NA</v>
      </c>
      <c r="W3001" s="29" t="str">
        <f t="shared" si="973"/>
        <v>NA</v>
      </c>
      <c r="X3001" s="29" t="str">
        <f t="shared" si="974"/>
        <v>NA</v>
      </c>
      <c r="Y3001" s="29" t="str">
        <f t="shared" si="975"/>
        <v>NA</v>
      </c>
      <c r="Z3001" s="29" t="str">
        <f t="shared" si="976"/>
        <v>NA</v>
      </c>
      <c r="AA3001" s="29" t="str">
        <f t="shared" si="977"/>
        <v>NA</v>
      </c>
      <c r="AB3001" s="29" t="str">
        <f t="shared" si="978"/>
        <v>NA</v>
      </c>
      <c r="AC3001" s="29" t="str">
        <f t="shared" si="979"/>
        <v>NA</v>
      </c>
      <c r="AD3001" s="29" t="str">
        <f t="shared" si="980"/>
        <v>NA</v>
      </c>
      <c r="AE3001" s="29" t="str">
        <f t="shared" si="981"/>
        <v>NA</v>
      </c>
      <c r="AF3001" s="29" t="str">
        <f t="shared" si="982"/>
        <v>NA</v>
      </c>
      <c r="AG3001" s="29" t="str">
        <f t="shared" si="983"/>
        <v>NA</v>
      </c>
      <c r="AH3001" s="29" t="str">
        <f t="shared" si="984"/>
        <v>NA</v>
      </c>
    </row>
  </sheetData>
  <mergeCells count="11">
    <mergeCell ref="D1:F1"/>
    <mergeCell ref="H1:P1"/>
    <mergeCell ref="Q1:Y1"/>
    <mergeCell ref="Z1:AH1"/>
    <mergeCell ref="A1:A3"/>
    <mergeCell ref="B1:B2"/>
    <mergeCell ref="C1:C2"/>
    <mergeCell ref="D2:D3"/>
    <mergeCell ref="E2:E3"/>
    <mergeCell ref="F2:F3"/>
    <mergeCell ref="G1:G2"/>
  </mergeCells>
  <printOptions horizontalCentered="1" verticalCentered="1"/>
  <pageMargins left="0.7" right="0.7" top="0.75" bottom="0.75" header="0.3" footer="0.3"/>
  <pageSetup paperSize="9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W4000"/>
  <sheetViews>
    <sheetView view="pageBreakPreview" zoomScale="112" zoomScaleNormal="100" workbookViewId="0">
      <selection activeCell="H13" sqref="H13"/>
    </sheetView>
  </sheetViews>
  <sheetFormatPr defaultColWidth="9.11111111111111" defaultRowHeight="23.25" customHeight="1"/>
  <cols>
    <col min="1" max="1" width="16.8888888888889" style="3" customWidth="1"/>
    <col min="2" max="4" width="13.1111111111111" style="4" customWidth="1"/>
    <col min="5" max="16384" width="9.11111111111111" style="5"/>
  </cols>
  <sheetData>
    <row r="1" s="1" customFormat="1" customHeight="1" spans="1:23">
      <c r="A1" s="6" t="s">
        <v>1044</v>
      </c>
      <c r="B1" s="6">
        <v>2</v>
      </c>
      <c r="C1" s="6">
        <v>3</v>
      </c>
      <c r="D1" s="6">
        <v>4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="2" customFormat="1" ht="33.75" customHeight="1" spans="1:4">
      <c r="A2" s="6" t="s">
        <v>103</v>
      </c>
      <c r="B2" s="6" t="s">
        <v>1045</v>
      </c>
      <c r="C2" s="6" t="s">
        <v>1046</v>
      </c>
      <c r="D2" s="6" t="s">
        <v>1047</v>
      </c>
    </row>
    <row r="3" customHeight="1" spans="1:4">
      <c r="A3" s="3" t="s">
        <v>107</v>
      </c>
      <c r="B3" s="4">
        <v>1000</v>
      </c>
      <c r="C3" s="4">
        <v>300</v>
      </c>
      <c r="D3" s="7">
        <f>+B3/C3</f>
        <v>3.33333333333333</v>
      </c>
    </row>
    <row r="4" customHeight="1" spans="1:4">
      <c r="A4" s="3" t="s">
        <v>115</v>
      </c>
      <c r="B4" s="4">
        <v>1000</v>
      </c>
      <c r="C4" s="4">
        <v>500</v>
      </c>
      <c r="D4" s="7">
        <f t="shared" ref="D4:D67" si="0">+B4/C4</f>
        <v>2</v>
      </c>
    </row>
    <row r="5" customHeight="1" spans="1:4">
      <c r="A5" s="3" t="s">
        <v>121</v>
      </c>
      <c r="B5" s="4">
        <v>2500</v>
      </c>
      <c r="C5" s="4">
        <v>100</v>
      </c>
      <c r="D5" s="7">
        <f t="shared" si="0"/>
        <v>25</v>
      </c>
    </row>
    <row r="6" customHeight="1" spans="1:4">
      <c r="A6" s="3" t="s">
        <v>122</v>
      </c>
      <c r="B6" s="4">
        <v>2500</v>
      </c>
      <c r="C6" s="4">
        <v>100</v>
      </c>
      <c r="D6" s="7">
        <f t="shared" si="0"/>
        <v>25</v>
      </c>
    </row>
    <row r="7" customHeight="1" spans="1:4">
      <c r="A7" s="3" t="s">
        <v>123</v>
      </c>
      <c r="B7" s="4">
        <v>1000</v>
      </c>
      <c r="C7" s="4">
        <v>100</v>
      </c>
      <c r="D7" s="7">
        <f t="shared" si="0"/>
        <v>10</v>
      </c>
    </row>
    <row r="8" customHeight="1" spans="1:4">
      <c r="A8" s="3" t="s">
        <v>120</v>
      </c>
      <c r="B8" s="4">
        <v>1000</v>
      </c>
      <c r="C8" s="4">
        <v>150</v>
      </c>
      <c r="D8" s="7">
        <f t="shared" si="0"/>
        <v>6.66666666666667</v>
      </c>
    </row>
    <row r="9" customHeight="1" spans="1:4">
      <c r="A9" s="3" t="s">
        <v>119</v>
      </c>
      <c r="B9" s="4">
        <v>1000</v>
      </c>
      <c r="C9" s="4">
        <v>200</v>
      </c>
      <c r="D9" s="7">
        <f t="shared" si="0"/>
        <v>5</v>
      </c>
    </row>
    <row r="10" customHeight="1" spans="1:4">
      <c r="A10" s="3" t="s">
        <v>99</v>
      </c>
      <c r="B10" s="4">
        <v>1000</v>
      </c>
      <c r="C10" s="4">
        <v>50</v>
      </c>
      <c r="D10" s="7">
        <f t="shared" si="0"/>
        <v>20</v>
      </c>
    </row>
    <row r="11" customHeight="1" spans="1:4">
      <c r="A11" s="3" t="s">
        <v>1043</v>
      </c>
      <c r="D11" s="7" t="e">
        <f t="shared" si="0"/>
        <v>#DIV/0!</v>
      </c>
    </row>
    <row r="12" customHeight="1" spans="1:4">
      <c r="A12" s="3" t="s">
        <v>1043</v>
      </c>
      <c r="D12" s="7" t="e">
        <f t="shared" si="0"/>
        <v>#DIV/0!</v>
      </c>
    </row>
    <row r="13" customHeight="1" spans="1:4">
      <c r="A13" s="3" t="s">
        <v>1043</v>
      </c>
      <c r="D13" s="7" t="e">
        <f t="shared" si="0"/>
        <v>#DIV/0!</v>
      </c>
    </row>
    <row r="14" customHeight="1" spans="1:4">
      <c r="A14" s="3" t="s">
        <v>1043</v>
      </c>
      <c r="D14" s="7" t="e">
        <f t="shared" si="0"/>
        <v>#DIV/0!</v>
      </c>
    </row>
    <row r="15" customHeight="1" spans="1:4">
      <c r="A15" s="3" t="s">
        <v>1043</v>
      </c>
      <c r="D15" s="7" t="e">
        <f t="shared" si="0"/>
        <v>#DIV/0!</v>
      </c>
    </row>
    <row r="16" customHeight="1" spans="1:4">
      <c r="A16" s="3" t="s">
        <v>1043</v>
      </c>
      <c r="D16" s="7" t="e">
        <f t="shared" si="0"/>
        <v>#DIV/0!</v>
      </c>
    </row>
    <row r="17" customHeight="1" spans="4:4">
      <c r="D17" s="7" t="e">
        <f t="shared" si="0"/>
        <v>#DIV/0!</v>
      </c>
    </row>
    <row r="18" customHeight="1" spans="4:4">
      <c r="D18" s="7" t="e">
        <f t="shared" si="0"/>
        <v>#DIV/0!</v>
      </c>
    </row>
    <row r="19" customHeight="1" spans="4:4">
      <c r="D19" s="7" t="e">
        <f t="shared" si="0"/>
        <v>#DIV/0!</v>
      </c>
    </row>
    <row r="20" customHeight="1" spans="4:4">
      <c r="D20" s="7" t="e">
        <f t="shared" si="0"/>
        <v>#DIV/0!</v>
      </c>
    </row>
    <row r="21" customHeight="1" spans="4:4">
      <c r="D21" s="7" t="e">
        <f t="shared" si="0"/>
        <v>#DIV/0!</v>
      </c>
    </row>
    <row r="22" customHeight="1" spans="4:4">
      <c r="D22" s="7" t="e">
        <f t="shared" si="0"/>
        <v>#DIV/0!</v>
      </c>
    </row>
    <row r="23" customHeight="1" spans="4:4">
      <c r="D23" s="7" t="e">
        <f t="shared" si="0"/>
        <v>#DIV/0!</v>
      </c>
    </row>
    <row r="24" customHeight="1" spans="4:4">
      <c r="D24" s="7" t="e">
        <f t="shared" si="0"/>
        <v>#DIV/0!</v>
      </c>
    </row>
    <row r="25" customHeight="1" spans="4:4">
      <c r="D25" s="7" t="e">
        <f t="shared" si="0"/>
        <v>#DIV/0!</v>
      </c>
    </row>
    <row r="26" customHeight="1" spans="4:4">
      <c r="D26" s="7" t="e">
        <f t="shared" si="0"/>
        <v>#DIV/0!</v>
      </c>
    </row>
    <row r="27" customHeight="1" spans="4:4">
      <c r="D27" s="7" t="e">
        <f t="shared" si="0"/>
        <v>#DIV/0!</v>
      </c>
    </row>
    <row r="28" customHeight="1" spans="4:4">
      <c r="D28" s="7" t="e">
        <f t="shared" si="0"/>
        <v>#DIV/0!</v>
      </c>
    </row>
    <row r="29" customHeight="1" spans="4:4">
      <c r="D29" s="7" t="e">
        <f t="shared" si="0"/>
        <v>#DIV/0!</v>
      </c>
    </row>
    <row r="30" customHeight="1" spans="4:4">
      <c r="D30" s="7" t="e">
        <f t="shared" si="0"/>
        <v>#DIV/0!</v>
      </c>
    </row>
    <row r="31" customHeight="1" spans="4:4">
      <c r="D31" s="7" t="e">
        <f t="shared" si="0"/>
        <v>#DIV/0!</v>
      </c>
    </row>
    <row r="32" customHeight="1" spans="4:4">
      <c r="D32" s="7" t="e">
        <f t="shared" si="0"/>
        <v>#DIV/0!</v>
      </c>
    </row>
    <row r="33" customHeight="1" spans="4:4">
      <c r="D33" s="7" t="e">
        <f t="shared" si="0"/>
        <v>#DIV/0!</v>
      </c>
    </row>
    <row r="34" customHeight="1" spans="4:4">
      <c r="D34" s="7" t="e">
        <f t="shared" si="0"/>
        <v>#DIV/0!</v>
      </c>
    </row>
    <row r="35" customHeight="1" spans="4:4">
      <c r="D35" s="7" t="e">
        <f t="shared" si="0"/>
        <v>#DIV/0!</v>
      </c>
    </row>
    <row r="36" customHeight="1" spans="4:4">
      <c r="D36" s="7" t="e">
        <f t="shared" si="0"/>
        <v>#DIV/0!</v>
      </c>
    </row>
    <row r="37" customHeight="1" spans="4:4">
      <c r="D37" s="7" t="e">
        <f t="shared" si="0"/>
        <v>#DIV/0!</v>
      </c>
    </row>
    <row r="38" customHeight="1" spans="4:4">
      <c r="D38" s="7" t="e">
        <f t="shared" si="0"/>
        <v>#DIV/0!</v>
      </c>
    </row>
    <row r="39" customHeight="1" spans="4:4">
      <c r="D39" s="7" t="e">
        <f t="shared" si="0"/>
        <v>#DIV/0!</v>
      </c>
    </row>
    <row r="40" customHeight="1" spans="4:4">
      <c r="D40" s="7" t="e">
        <f t="shared" si="0"/>
        <v>#DIV/0!</v>
      </c>
    </row>
    <row r="41" customHeight="1" spans="4:4">
      <c r="D41" s="7" t="e">
        <f t="shared" si="0"/>
        <v>#DIV/0!</v>
      </c>
    </row>
    <row r="42" customHeight="1" spans="4:4">
      <c r="D42" s="7" t="e">
        <f t="shared" si="0"/>
        <v>#DIV/0!</v>
      </c>
    </row>
    <row r="43" customHeight="1" spans="4:4">
      <c r="D43" s="7" t="e">
        <f t="shared" si="0"/>
        <v>#DIV/0!</v>
      </c>
    </row>
    <row r="44" customHeight="1" spans="4:4">
      <c r="D44" s="7" t="e">
        <f t="shared" si="0"/>
        <v>#DIV/0!</v>
      </c>
    </row>
    <row r="45" customHeight="1" spans="4:4">
      <c r="D45" s="7" t="e">
        <f t="shared" si="0"/>
        <v>#DIV/0!</v>
      </c>
    </row>
    <row r="46" customHeight="1" spans="4:4">
      <c r="D46" s="7" t="e">
        <f t="shared" si="0"/>
        <v>#DIV/0!</v>
      </c>
    </row>
    <row r="47" customHeight="1" spans="4:4">
      <c r="D47" s="7" t="e">
        <f t="shared" si="0"/>
        <v>#DIV/0!</v>
      </c>
    </row>
    <row r="48" customHeight="1" spans="4:4">
      <c r="D48" s="7" t="e">
        <f t="shared" si="0"/>
        <v>#DIV/0!</v>
      </c>
    </row>
    <row r="49" customHeight="1" spans="4:4">
      <c r="D49" s="7" t="e">
        <f t="shared" si="0"/>
        <v>#DIV/0!</v>
      </c>
    </row>
    <row r="50" customHeight="1" spans="4:4">
      <c r="D50" s="7" t="e">
        <f t="shared" si="0"/>
        <v>#DIV/0!</v>
      </c>
    </row>
    <row r="51" customHeight="1" spans="4:4">
      <c r="D51" s="7" t="e">
        <f t="shared" si="0"/>
        <v>#DIV/0!</v>
      </c>
    </row>
    <row r="52" customHeight="1" spans="4:4">
      <c r="D52" s="7" t="e">
        <f t="shared" si="0"/>
        <v>#DIV/0!</v>
      </c>
    </row>
    <row r="53" customHeight="1" spans="4:4">
      <c r="D53" s="7" t="e">
        <f t="shared" si="0"/>
        <v>#DIV/0!</v>
      </c>
    </row>
    <row r="54" customHeight="1" spans="4:4">
      <c r="D54" s="7" t="e">
        <f t="shared" si="0"/>
        <v>#DIV/0!</v>
      </c>
    </row>
    <row r="55" customHeight="1" spans="4:4">
      <c r="D55" s="7" t="e">
        <f t="shared" si="0"/>
        <v>#DIV/0!</v>
      </c>
    </row>
    <row r="56" customHeight="1" spans="4:4">
      <c r="D56" s="7" t="e">
        <f t="shared" si="0"/>
        <v>#DIV/0!</v>
      </c>
    </row>
    <row r="57" customHeight="1" spans="4:4">
      <c r="D57" s="7" t="e">
        <f t="shared" si="0"/>
        <v>#DIV/0!</v>
      </c>
    </row>
    <row r="58" customHeight="1" spans="4:4">
      <c r="D58" s="7" t="e">
        <f t="shared" si="0"/>
        <v>#DIV/0!</v>
      </c>
    </row>
    <row r="59" customHeight="1" spans="4:4">
      <c r="D59" s="7" t="e">
        <f t="shared" si="0"/>
        <v>#DIV/0!</v>
      </c>
    </row>
    <row r="60" customHeight="1" spans="4:4">
      <c r="D60" s="7" t="e">
        <f t="shared" si="0"/>
        <v>#DIV/0!</v>
      </c>
    </row>
    <row r="61" customHeight="1" spans="4:4">
      <c r="D61" s="7" t="e">
        <f t="shared" si="0"/>
        <v>#DIV/0!</v>
      </c>
    </row>
    <row r="62" customHeight="1" spans="4:4">
      <c r="D62" s="7" t="e">
        <f t="shared" si="0"/>
        <v>#DIV/0!</v>
      </c>
    </row>
    <row r="63" customHeight="1" spans="4:4">
      <c r="D63" s="7" t="e">
        <f t="shared" si="0"/>
        <v>#DIV/0!</v>
      </c>
    </row>
    <row r="64" customHeight="1" spans="4:4">
      <c r="D64" s="7" t="e">
        <f t="shared" si="0"/>
        <v>#DIV/0!</v>
      </c>
    </row>
    <row r="65" customHeight="1" spans="4:4">
      <c r="D65" s="7" t="e">
        <f t="shared" si="0"/>
        <v>#DIV/0!</v>
      </c>
    </row>
    <row r="66" customHeight="1" spans="4:4">
      <c r="D66" s="7" t="e">
        <f t="shared" si="0"/>
        <v>#DIV/0!</v>
      </c>
    </row>
    <row r="67" customHeight="1" spans="4:4">
      <c r="D67" s="7" t="e">
        <f t="shared" si="0"/>
        <v>#DIV/0!</v>
      </c>
    </row>
    <row r="68" customHeight="1" spans="4:4">
      <c r="D68" s="7" t="e">
        <f t="shared" ref="D68:D131" si="1">+B68/C68</f>
        <v>#DIV/0!</v>
      </c>
    </row>
    <row r="69" customHeight="1" spans="4:4">
      <c r="D69" s="7" t="e">
        <f t="shared" si="1"/>
        <v>#DIV/0!</v>
      </c>
    </row>
    <row r="70" customHeight="1" spans="4:4">
      <c r="D70" s="7" t="e">
        <f t="shared" si="1"/>
        <v>#DIV/0!</v>
      </c>
    </row>
    <row r="71" customHeight="1" spans="4:4">
      <c r="D71" s="7" t="e">
        <f t="shared" si="1"/>
        <v>#DIV/0!</v>
      </c>
    </row>
    <row r="72" customHeight="1" spans="4:4">
      <c r="D72" s="7" t="e">
        <f t="shared" si="1"/>
        <v>#DIV/0!</v>
      </c>
    </row>
    <row r="73" customHeight="1" spans="4:4">
      <c r="D73" s="7" t="e">
        <f t="shared" si="1"/>
        <v>#DIV/0!</v>
      </c>
    </row>
    <row r="74" customHeight="1" spans="4:4">
      <c r="D74" s="7" t="e">
        <f t="shared" si="1"/>
        <v>#DIV/0!</v>
      </c>
    </row>
    <row r="75" customHeight="1" spans="4:4">
      <c r="D75" s="7" t="e">
        <f t="shared" si="1"/>
        <v>#DIV/0!</v>
      </c>
    </row>
    <row r="76" customHeight="1" spans="4:4">
      <c r="D76" s="7" t="e">
        <f t="shared" si="1"/>
        <v>#DIV/0!</v>
      </c>
    </row>
    <row r="77" customHeight="1" spans="4:4">
      <c r="D77" s="7" t="e">
        <f t="shared" si="1"/>
        <v>#DIV/0!</v>
      </c>
    </row>
    <row r="78" customHeight="1" spans="4:4">
      <c r="D78" s="7" t="e">
        <f t="shared" si="1"/>
        <v>#DIV/0!</v>
      </c>
    </row>
    <row r="79" customHeight="1" spans="4:4">
      <c r="D79" s="7" t="e">
        <f t="shared" si="1"/>
        <v>#DIV/0!</v>
      </c>
    </row>
    <row r="80" customHeight="1" spans="4:4">
      <c r="D80" s="7" t="e">
        <f t="shared" si="1"/>
        <v>#DIV/0!</v>
      </c>
    </row>
    <row r="81" customHeight="1" spans="4:4">
      <c r="D81" s="7" t="e">
        <f t="shared" si="1"/>
        <v>#DIV/0!</v>
      </c>
    </row>
    <row r="82" customHeight="1" spans="4:4">
      <c r="D82" s="7" t="e">
        <f t="shared" si="1"/>
        <v>#DIV/0!</v>
      </c>
    </row>
    <row r="83" customHeight="1" spans="4:4">
      <c r="D83" s="7" t="e">
        <f t="shared" si="1"/>
        <v>#DIV/0!</v>
      </c>
    </row>
    <row r="84" customHeight="1" spans="4:4">
      <c r="D84" s="7" t="e">
        <f t="shared" si="1"/>
        <v>#DIV/0!</v>
      </c>
    </row>
    <row r="85" customHeight="1" spans="4:4">
      <c r="D85" s="7" t="e">
        <f t="shared" si="1"/>
        <v>#DIV/0!</v>
      </c>
    </row>
    <row r="86" customHeight="1" spans="4:4">
      <c r="D86" s="7" t="e">
        <f t="shared" si="1"/>
        <v>#DIV/0!</v>
      </c>
    </row>
    <row r="87" customHeight="1" spans="4:4">
      <c r="D87" s="7" t="e">
        <f t="shared" si="1"/>
        <v>#DIV/0!</v>
      </c>
    </row>
    <row r="88" customHeight="1" spans="4:4">
      <c r="D88" s="7" t="e">
        <f t="shared" si="1"/>
        <v>#DIV/0!</v>
      </c>
    </row>
    <row r="89" customHeight="1" spans="4:4">
      <c r="D89" s="7" t="e">
        <f t="shared" si="1"/>
        <v>#DIV/0!</v>
      </c>
    </row>
    <row r="90" customHeight="1" spans="4:4">
      <c r="D90" s="7" t="e">
        <f t="shared" si="1"/>
        <v>#DIV/0!</v>
      </c>
    </row>
    <row r="91" customHeight="1" spans="4:4">
      <c r="D91" s="7" t="e">
        <f t="shared" si="1"/>
        <v>#DIV/0!</v>
      </c>
    </row>
    <row r="92" customHeight="1" spans="4:4">
      <c r="D92" s="7" t="e">
        <f t="shared" si="1"/>
        <v>#DIV/0!</v>
      </c>
    </row>
    <row r="93" customHeight="1" spans="4:4">
      <c r="D93" s="7" t="e">
        <f t="shared" si="1"/>
        <v>#DIV/0!</v>
      </c>
    </row>
    <row r="94" customHeight="1" spans="4:4">
      <c r="D94" s="7" t="e">
        <f t="shared" si="1"/>
        <v>#DIV/0!</v>
      </c>
    </row>
    <row r="95" customHeight="1" spans="4:4">
      <c r="D95" s="7" t="e">
        <f t="shared" si="1"/>
        <v>#DIV/0!</v>
      </c>
    </row>
    <row r="96" customHeight="1" spans="4:4">
      <c r="D96" s="7" t="e">
        <f t="shared" si="1"/>
        <v>#DIV/0!</v>
      </c>
    </row>
    <row r="97" customHeight="1" spans="4:4">
      <c r="D97" s="7" t="e">
        <f t="shared" si="1"/>
        <v>#DIV/0!</v>
      </c>
    </row>
    <row r="98" customHeight="1" spans="4:4">
      <c r="D98" s="7" t="e">
        <f t="shared" si="1"/>
        <v>#DIV/0!</v>
      </c>
    </row>
    <row r="99" customHeight="1" spans="4:4">
      <c r="D99" s="7" t="e">
        <f t="shared" si="1"/>
        <v>#DIV/0!</v>
      </c>
    </row>
    <row r="100" customHeight="1" spans="4:4">
      <c r="D100" s="7" t="e">
        <f t="shared" si="1"/>
        <v>#DIV/0!</v>
      </c>
    </row>
    <row r="101" customHeight="1" spans="4:4">
      <c r="D101" s="7" t="e">
        <f t="shared" si="1"/>
        <v>#DIV/0!</v>
      </c>
    </row>
    <row r="102" customHeight="1" spans="4:4">
      <c r="D102" s="7" t="e">
        <f t="shared" si="1"/>
        <v>#DIV/0!</v>
      </c>
    </row>
    <row r="103" customHeight="1" spans="4:4">
      <c r="D103" s="7" t="e">
        <f t="shared" si="1"/>
        <v>#DIV/0!</v>
      </c>
    </row>
    <row r="104" customHeight="1" spans="4:4">
      <c r="D104" s="7" t="e">
        <f t="shared" si="1"/>
        <v>#DIV/0!</v>
      </c>
    </row>
    <row r="105" customHeight="1" spans="4:4">
      <c r="D105" s="7" t="e">
        <f t="shared" si="1"/>
        <v>#DIV/0!</v>
      </c>
    </row>
    <row r="106" customHeight="1" spans="4:4">
      <c r="D106" s="7" t="e">
        <f t="shared" si="1"/>
        <v>#DIV/0!</v>
      </c>
    </row>
    <row r="107" customHeight="1" spans="4:4">
      <c r="D107" s="7" t="e">
        <f t="shared" si="1"/>
        <v>#DIV/0!</v>
      </c>
    </row>
    <row r="108" customHeight="1" spans="4:4">
      <c r="D108" s="7" t="e">
        <f t="shared" si="1"/>
        <v>#DIV/0!</v>
      </c>
    </row>
    <row r="109" customHeight="1" spans="4:4">
      <c r="D109" s="7" t="e">
        <f t="shared" si="1"/>
        <v>#DIV/0!</v>
      </c>
    </row>
    <row r="110" customHeight="1" spans="4:4">
      <c r="D110" s="7" t="e">
        <f t="shared" si="1"/>
        <v>#DIV/0!</v>
      </c>
    </row>
    <row r="111" customHeight="1" spans="4:4">
      <c r="D111" s="7" t="e">
        <f t="shared" si="1"/>
        <v>#DIV/0!</v>
      </c>
    </row>
    <row r="112" customHeight="1" spans="4:4">
      <c r="D112" s="7" t="e">
        <f t="shared" si="1"/>
        <v>#DIV/0!</v>
      </c>
    </row>
    <row r="113" customHeight="1" spans="4:4">
      <c r="D113" s="7" t="e">
        <f t="shared" si="1"/>
        <v>#DIV/0!</v>
      </c>
    </row>
    <row r="114" customHeight="1" spans="4:4">
      <c r="D114" s="7" t="e">
        <f t="shared" si="1"/>
        <v>#DIV/0!</v>
      </c>
    </row>
    <row r="115" customHeight="1" spans="4:4">
      <c r="D115" s="7" t="e">
        <f t="shared" si="1"/>
        <v>#DIV/0!</v>
      </c>
    </row>
    <row r="116" customHeight="1" spans="4:4">
      <c r="D116" s="7" t="e">
        <f t="shared" si="1"/>
        <v>#DIV/0!</v>
      </c>
    </row>
    <row r="117" customHeight="1" spans="4:4">
      <c r="D117" s="7" t="e">
        <f t="shared" si="1"/>
        <v>#DIV/0!</v>
      </c>
    </row>
    <row r="118" customHeight="1" spans="4:4">
      <c r="D118" s="7" t="e">
        <f t="shared" si="1"/>
        <v>#DIV/0!</v>
      </c>
    </row>
    <row r="119" customHeight="1" spans="4:4">
      <c r="D119" s="7" t="e">
        <f t="shared" si="1"/>
        <v>#DIV/0!</v>
      </c>
    </row>
    <row r="120" customHeight="1" spans="4:4">
      <c r="D120" s="7" t="e">
        <f t="shared" si="1"/>
        <v>#DIV/0!</v>
      </c>
    </row>
    <row r="121" customHeight="1" spans="4:4">
      <c r="D121" s="7" t="e">
        <f t="shared" si="1"/>
        <v>#DIV/0!</v>
      </c>
    </row>
    <row r="122" customHeight="1" spans="4:4">
      <c r="D122" s="7" t="e">
        <f t="shared" si="1"/>
        <v>#DIV/0!</v>
      </c>
    </row>
    <row r="123" customHeight="1" spans="4:4">
      <c r="D123" s="7" t="e">
        <f t="shared" si="1"/>
        <v>#DIV/0!</v>
      </c>
    </row>
    <row r="124" customHeight="1" spans="4:4">
      <c r="D124" s="7" t="e">
        <f t="shared" si="1"/>
        <v>#DIV/0!</v>
      </c>
    </row>
    <row r="125" customHeight="1" spans="4:4">
      <c r="D125" s="7" t="e">
        <f t="shared" si="1"/>
        <v>#DIV/0!</v>
      </c>
    </row>
    <row r="126" customHeight="1" spans="4:4">
      <c r="D126" s="7" t="e">
        <f t="shared" si="1"/>
        <v>#DIV/0!</v>
      </c>
    </row>
    <row r="127" customHeight="1" spans="4:4">
      <c r="D127" s="7" t="e">
        <f t="shared" si="1"/>
        <v>#DIV/0!</v>
      </c>
    </row>
    <row r="128" customHeight="1" spans="4:4">
      <c r="D128" s="7" t="e">
        <f t="shared" si="1"/>
        <v>#DIV/0!</v>
      </c>
    </row>
    <row r="129" customHeight="1" spans="4:4">
      <c r="D129" s="7" t="e">
        <f t="shared" si="1"/>
        <v>#DIV/0!</v>
      </c>
    </row>
    <row r="130" customHeight="1" spans="4:4">
      <c r="D130" s="7" t="e">
        <f t="shared" si="1"/>
        <v>#DIV/0!</v>
      </c>
    </row>
    <row r="131" customHeight="1" spans="4:4">
      <c r="D131" s="7" t="e">
        <f t="shared" si="1"/>
        <v>#DIV/0!</v>
      </c>
    </row>
    <row r="132" customHeight="1" spans="4:4">
      <c r="D132" s="7" t="e">
        <f t="shared" ref="D132:D195" si="2">+B132/C132</f>
        <v>#DIV/0!</v>
      </c>
    </row>
    <row r="133" customHeight="1" spans="4:4">
      <c r="D133" s="7" t="e">
        <f t="shared" si="2"/>
        <v>#DIV/0!</v>
      </c>
    </row>
    <row r="134" customHeight="1" spans="4:4">
      <c r="D134" s="7" t="e">
        <f t="shared" si="2"/>
        <v>#DIV/0!</v>
      </c>
    </row>
    <row r="135" customHeight="1" spans="4:4">
      <c r="D135" s="7" t="e">
        <f t="shared" si="2"/>
        <v>#DIV/0!</v>
      </c>
    </row>
    <row r="136" customHeight="1" spans="4:4">
      <c r="D136" s="7" t="e">
        <f t="shared" si="2"/>
        <v>#DIV/0!</v>
      </c>
    </row>
    <row r="137" customHeight="1" spans="4:4">
      <c r="D137" s="7" t="e">
        <f t="shared" si="2"/>
        <v>#DIV/0!</v>
      </c>
    </row>
    <row r="138" customHeight="1" spans="4:4">
      <c r="D138" s="7" t="e">
        <f t="shared" si="2"/>
        <v>#DIV/0!</v>
      </c>
    </row>
    <row r="139" customHeight="1" spans="4:4">
      <c r="D139" s="7" t="e">
        <f t="shared" si="2"/>
        <v>#DIV/0!</v>
      </c>
    </row>
    <row r="140" customHeight="1" spans="4:4">
      <c r="D140" s="7" t="e">
        <f t="shared" si="2"/>
        <v>#DIV/0!</v>
      </c>
    </row>
    <row r="141" customHeight="1" spans="4:4">
      <c r="D141" s="7" t="e">
        <f t="shared" si="2"/>
        <v>#DIV/0!</v>
      </c>
    </row>
    <row r="142" customHeight="1" spans="4:4">
      <c r="D142" s="7" t="e">
        <f t="shared" si="2"/>
        <v>#DIV/0!</v>
      </c>
    </row>
    <row r="143" customHeight="1" spans="4:4">
      <c r="D143" s="7" t="e">
        <f t="shared" si="2"/>
        <v>#DIV/0!</v>
      </c>
    </row>
    <row r="144" customHeight="1" spans="4:4">
      <c r="D144" s="7" t="e">
        <f t="shared" si="2"/>
        <v>#DIV/0!</v>
      </c>
    </row>
    <row r="145" customHeight="1" spans="4:4">
      <c r="D145" s="7" t="e">
        <f t="shared" si="2"/>
        <v>#DIV/0!</v>
      </c>
    </row>
    <row r="146" customHeight="1" spans="4:4">
      <c r="D146" s="7" t="e">
        <f t="shared" si="2"/>
        <v>#DIV/0!</v>
      </c>
    </row>
    <row r="147" customHeight="1" spans="4:4">
      <c r="D147" s="7" t="e">
        <f t="shared" si="2"/>
        <v>#DIV/0!</v>
      </c>
    </row>
    <row r="148" customHeight="1" spans="4:4">
      <c r="D148" s="7" t="e">
        <f t="shared" si="2"/>
        <v>#DIV/0!</v>
      </c>
    </row>
    <row r="149" customHeight="1" spans="4:4">
      <c r="D149" s="7" t="e">
        <f t="shared" si="2"/>
        <v>#DIV/0!</v>
      </c>
    </row>
    <row r="150" customHeight="1" spans="4:4">
      <c r="D150" s="7" t="e">
        <f t="shared" si="2"/>
        <v>#DIV/0!</v>
      </c>
    </row>
    <row r="151" customHeight="1" spans="4:4">
      <c r="D151" s="7" t="e">
        <f t="shared" si="2"/>
        <v>#DIV/0!</v>
      </c>
    </row>
    <row r="152" customHeight="1" spans="4:4">
      <c r="D152" s="7" t="e">
        <f t="shared" si="2"/>
        <v>#DIV/0!</v>
      </c>
    </row>
    <row r="153" customHeight="1" spans="4:4">
      <c r="D153" s="7" t="e">
        <f t="shared" si="2"/>
        <v>#DIV/0!</v>
      </c>
    </row>
    <row r="154" customHeight="1" spans="4:4">
      <c r="D154" s="7" t="e">
        <f t="shared" si="2"/>
        <v>#DIV/0!</v>
      </c>
    </row>
    <row r="155" customHeight="1" spans="4:4">
      <c r="D155" s="7" t="e">
        <f t="shared" si="2"/>
        <v>#DIV/0!</v>
      </c>
    </row>
    <row r="156" customHeight="1" spans="4:4">
      <c r="D156" s="7" t="e">
        <f t="shared" si="2"/>
        <v>#DIV/0!</v>
      </c>
    </row>
    <row r="157" customHeight="1" spans="4:4">
      <c r="D157" s="7" t="e">
        <f t="shared" si="2"/>
        <v>#DIV/0!</v>
      </c>
    </row>
    <row r="158" customHeight="1" spans="4:4">
      <c r="D158" s="7" t="e">
        <f t="shared" si="2"/>
        <v>#DIV/0!</v>
      </c>
    </row>
    <row r="159" customHeight="1" spans="4:4">
      <c r="D159" s="7" t="e">
        <f t="shared" si="2"/>
        <v>#DIV/0!</v>
      </c>
    </row>
    <row r="160" customHeight="1" spans="4:4">
      <c r="D160" s="7" t="e">
        <f t="shared" si="2"/>
        <v>#DIV/0!</v>
      </c>
    </row>
    <row r="161" customHeight="1" spans="4:4">
      <c r="D161" s="7" t="e">
        <f t="shared" si="2"/>
        <v>#DIV/0!</v>
      </c>
    </row>
    <row r="162" customHeight="1" spans="4:4">
      <c r="D162" s="7" t="e">
        <f t="shared" si="2"/>
        <v>#DIV/0!</v>
      </c>
    </row>
    <row r="163" customHeight="1" spans="4:4">
      <c r="D163" s="7" t="e">
        <f t="shared" si="2"/>
        <v>#DIV/0!</v>
      </c>
    </row>
    <row r="164" customHeight="1" spans="4:4">
      <c r="D164" s="7" t="e">
        <f t="shared" si="2"/>
        <v>#DIV/0!</v>
      </c>
    </row>
    <row r="165" customHeight="1" spans="4:4">
      <c r="D165" s="7" t="e">
        <f t="shared" si="2"/>
        <v>#DIV/0!</v>
      </c>
    </row>
    <row r="166" customHeight="1" spans="4:4">
      <c r="D166" s="7" t="e">
        <f t="shared" si="2"/>
        <v>#DIV/0!</v>
      </c>
    </row>
    <row r="167" customHeight="1" spans="4:4">
      <c r="D167" s="7" t="e">
        <f t="shared" si="2"/>
        <v>#DIV/0!</v>
      </c>
    </row>
    <row r="168" customHeight="1" spans="4:4">
      <c r="D168" s="7" t="e">
        <f t="shared" si="2"/>
        <v>#DIV/0!</v>
      </c>
    </row>
    <row r="169" customHeight="1" spans="4:4">
      <c r="D169" s="7" t="e">
        <f t="shared" si="2"/>
        <v>#DIV/0!</v>
      </c>
    </row>
    <row r="170" customHeight="1" spans="4:4">
      <c r="D170" s="7" t="e">
        <f t="shared" si="2"/>
        <v>#DIV/0!</v>
      </c>
    </row>
    <row r="171" customHeight="1" spans="4:4">
      <c r="D171" s="7" t="e">
        <f t="shared" si="2"/>
        <v>#DIV/0!</v>
      </c>
    </row>
    <row r="172" customHeight="1" spans="4:4">
      <c r="D172" s="7" t="e">
        <f t="shared" si="2"/>
        <v>#DIV/0!</v>
      </c>
    </row>
    <row r="173" customHeight="1" spans="4:4">
      <c r="D173" s="7" t="e">
        <f t="shared" si="2"/>
        <v>#DIV/0!</v>
      </c>
    </row>
    <row r="174" customHeight="1" spans="4:4">
      <c r="D174" s="7" t="e">
        <f t="shared" si="2"/>
        <v>#DIV/0!</v>
      </c>
    </row>
    <row r="175" customHeight="1" spans="4:4">
      <c r="D175" s="7" t="e">
        <f t="shared" si="2"/>
        <v>#DIV/0!</v>
      </c>
    </row>
    <row r="176" customHeight="1" spans="4:4">
      <c r="D176" s="7" t="e">
        <f t="shared" si="2"/>
        <v>#DIV/0!</v>
      </c>
    </row>
    <row r="177" customHeight="1" spans="4:4">
      <c r="D177" s="7" t="e">
        <f t="shared" si="2"/>
        <v>#DIV/0!</v>
      </c>
    </row>
    <row r="178" customHeight="1" spans="4:4">
      <c r="D178" s="7" t="e">
        <f t="shared" si="2"/>
        <v>#DIV/0!</v>
      </c>
    </row>
    <row r="179" customHeight="1" spans="4:4">
      <c r="D179" s="7" t="e">
        <f t="shared" si="2"/>
        <v>#DIV/0!</v>
      </c>
    </row>
    <row r="180" customHeight="1" spans="4:4">
      <c r="D180" s="7" t="e">
        <f t="shared" si="2"/>
        <v>#DIV/0!</v>
      </c>
    </row>
    <row r="181" customHeight="1" spans="4:4">
      <c r="D181" s="7" t="e">
        <f t="shared" si="2"/>
        <v>#DIV/0!</v>
      </c>
    </row>
    <row r="182" customHeight="1" spans="4:4">
      <c r="D182" s="7" t="e">
        <f t="shared" si="2"/>
        <v>#DIV/0!</v>
      </c>
    </row>
    <row r="183" customHeight="1" spans="4:4">
      <c r="D183" s="7" t="e">
        <f t="shared" si="2"/>
        <v>#DIV/0!</v>
      </c>
    </row>
    <row r="184" customHeight="1" spans="4:4">
      <c r="D184" s="7" t="e">
        <f t="shared" si="2"/>
        <v>#DIV/0!</v>
      </c>
    </row>
    <row r="185" customHeight="1" spans="4:4">
      <c r="D185" s="7" t="e">
        <f t="shared" si="2"/>
        <v>#DIV/0!</v>
      </c>
    </row>
    <row r="186" customHeight="1" spans="4:4">
      <c r="D186" s="7" t="e">
        <f t="shared" si="2"/>
        <v>#DIV/0!</v>
      </c>
    </row>
    <row r="187" customHeight="1" spans="4:4">
      <c r="D187" s="7" t="e">
        <f t="shared" si="2"/>
        <v>#DIV/0!</v>
      </c>
    </row>
    <row r="188" customHeight="1" spans="4:4">
      <c r="D188" s="7" t="e">
        <f t="shared" si="2"/>
        <v>#DIV/0!</v>
      </c>
    </row>
    <row r="189" customHeight="1" spans="4:4">
      <c r="D189" s="7" t="e">
        <f t="shared" si="2"/>
        <v>#DIV/0!</v>
      </c>
    </row>
    <row r="190" customHeight="1" spans="4:4">
      <c r="D190" s="7" t="e">
        <f t="shared" si="2"/>
        <v>#DIV/0!</v>
      </c>
    </row>
    <row r="191" customHeight="1" spans="4:4">
      <c r="D191" s="7" t="e">
        <f t="shared" si="2"/>
        <v>#DIV/0!</v>
      </c>
    </row>
    <row r="192" customHeight="1" spans="4:4">
      <c r="D192" s="7" t="e">
        <f t="shared" si="2"/>
        <v>#DIV/0!</v>
      </c>
    </row>
    <row r="193" customHeight="1" spans="4:4">
      <c r="D193" s="7" t="e">
        <f t="shared" si="2"/>
        <v>#DIV/0!</v>
      </c>
    </row>
    <row r="194" customHeight="1" spans="4:4">
      <c r="D194" s="7" t="e">
        <f t="shared" si="2"/>
        <v>#DIV/0!</v>
      </c>
    </row>
    <row r="195" customHeight="1" spans="4:4">
      <c r="D195" s="7" t="e">
        <f t="shared" si="2"/>
        <v>#DIV/0!</v>
      </c>
    </row>
    <row r="196" customHeight="1" spans="4:4">
      <c r="D196" s="7" t="e">
        <f t="shared" ref="D196:D259" si="3">+B196/C196</f>
        <v>#DIV/0!</v>
      </c>
    </row>
    <row r="197" customHeight="1" spans="4:4">
      <c r="D197" s="7" t="e">
        <f t="shared" si="3"/>
        <v>#DIV/0!</v>
      </c>
    </row>
    <row r="198" customHeight="1" spans="4:4">
      <c r="D198" s="7" t="e">
        <f t="shared" si="3"/>
        <v>#DIV/0!</v>
      </c>
    </row>
    <row r="199" customHeight="1" spans="4:4">
      <c r="D199" s="7" t="e">
        <f t="shared" si="3"/>
        <v>#DIV/0!</v>
      </c>
    </row>
    <row r="200" customHeight="1" spans="4:4">
      <c r="D200" s="7" t="e">
        <f t="shared" si="3"/>
        <v>#DIV/0!</v>
      </c>
    </row>
    <row r="201" customHeight="1" spans="4:4">
      <c r="D201" s="7" t="e">
        <f t="shared" si="3"/>
        <v>#DIV/0!</v>
      </c>
    </row>
    <row r="202" customHeight="1" spans="4:4">
      <c r="D202" s="7" t="e">
        <f t="shared" si="3"/>
        <v>#DIV/0!</v>
      </c>
    </row>
    <row r="203" customHeight="1" spans="4:4">
      <c r="D203" s="7" t="e">
        <f t="shared" si="3"/>
        <v>#DIV/0!</v>
      </c>
    </row>
    <row r="204" customHeight="1" spans="4:4">
      <c r="D204" s="7" t="e">
        <f t="shared" si="3"/>
        <v>#DIV/0!</v>
      </c>
    </row>
    <row r="205" customHeight="1" spans="4:4">
      <c r="D205" s="7" t="e">
        <f t="shared" si="3"/>
        <v>#DIV/0!</v>
      </c>
    </row>
    <row r="206" customHeight="1" spans="4:4">
      <c r="D206" s="7" t="e">
        <f t="shared" si="3"/>
        <v>#DIV/0!</v>
      </c>
    </row>
    <row r="207" customHeight="1" spans="4:4">
      <c r="D207" s="7" t="e">
        <f t="shared" si="3"/>
        <v>#DIV/0!</v>
      </c>
    </row>
    <row r="208" customHeight="1" spans="4:4">
      <c r="D208" s="7" t="e">
        <f t="shared" si="3"/>
        <v>#DIV/0!</v>
      </c>
    </row>
    <row r="209" customHeight="1" spans="4:4">
      <c r="D209" s="7" t="e">
        <f t="shared" si="3"/>
        <v>#DIV/0!</v>
      </c>
    </row>
    <row r="210" customHeight="1" spans="4:4">
      <c r="D210" s="7" t="e">
        <f t="shared" si="3"/>
        <v>#DIV/0!</v>
      </c>
    </row>
    <row r="211" customHeight="1" spans="4:4">
      <c r="D211" s="7" t="e">
        <f t="shared" si="3"/>
        <v>#DIV/0!</v>
      </c>
    </row>
    <row r="212" customHeight="1" spans="4:4">
      <c r="D212" s="7" t="e">
        <f t="shared" si="3"/>
        <v>#DIV/0!</v>
      </c>
    </row>
    <row r="213" customHeight="1" spans="4:4">
      <c r="D213" s="7" t="e">
        <f t="shared" si="3"/>
        <v>#DIV/0!</v>
      </c>
    </row>
    <row r="214" customHeight="1" spans="4:4">
      <c r="D214" s="7" t="e">
        <f t="shared" si="3"/>
        <v>#DIV/0!</v>
      </c>
    </row>
    <row r="215" customHeight="1" spans="4:4">
      <c r="D215" s="7" t="e">
        <f t="shared" si="3"/>
        <v>#DIV/0!</v>
      </c>
    </row>
    <row r="216" customHeight="1" spans="4:4">
      <c r="D216" s="7" t="e">
        <f t="shared" si="3"/>
        <v>#DIV/0!</v>
      </c>
    </row>
    <row r="217" customHeight="1" spans="4:4">
      <c r="D217" s="7" t="e">
        <f t="shared" si="3"/>
        <v>#DIV/0!</v>
      </c>
    </row>
    <row r="218" customHeight="1" spans="4:4">
      <c r="D218" s="7" t="e">
        <f t="shared" si="3"/>
        <v>#DIV/0!</v>
      </c>
    </row>
    <row r="219" customHeight="1" spans="4:4">
      <c r="D219" s="7" t="e">
        <f t="shared" si="3"/>
        <v>#DIV/0!</v>
      </c>
    </row>
    <row r="220" customHeight="1" spans="4:4">
      <c r="D220" s="7" t="e">
        <f t="shared" si="3"/>
        <v>#DIV/0!</v>
      </c>
    </row>
    <row r="221" customHeight="1" spans="4:4">
      <c r="D221" s="7" t="e">
        <f t="shared" si="3"/>
        <v>#DIV/0!</v>
      </c>
    </row>
    <row r="222" customHeight="1" spans="4:4">
      <c r="D222" s="7" t="e">
        <f t="shared" si="3"/>
        <v>#DIV/0!</v>
      </c>
    </row>
    <row r="223" customHeight="1" spans="4:4">
      <c r="D223" s="7" t="e">
        <f t="shared" si="3"/>
        <v>#DIV/0!</v>
      </c>
    </row>
    <row r="224" customHeight="1" spans="4:4">
      <c r="D224" s="7" t="e">
        <f t="shared" si="3"/>
        <v>#DIV/0!</v>
      </c>
    </row>
    <row r="225" customHeight="1" spans="4:4">
      <c r="D225" s="7" t="e">
        <f t="shared" si="3"/>
        <v>#DIV/0!</v>
      </c>
    </row>
    <row r="226" customHeight="1" spans="4:4">
      <c r="D226" s="7" t="e">
        <f t="shared" si="3"/>
        <v>#DIV/0!</v>
      </c>
    </row>
    <row r="227" customHeight="1" spans="4:4">
      <c r="D227" s="7" t="e">
        <f t="shared" si="3"/>
        <v>#DIV/0!</v>
      </c>
    </row>
    <row r="228" customHeight="1" spans="4:4">
      <c r="D228" s="7" t="e">
        <f t="shared" si="3"/>
        <v>#DIV/0!</v>
      </c>
    </row>
    <row r="229" customHeight="1" spans="4:4">
      <c r="D229" s="7" t="e">
        <f t="shared" si="3"/>
        <v>#DIV/0!</v>
      </c>
    </row>
    <row r="230" customHeight="1" spans="4:4">
      <c r="D230" s="7" t="e">
        <f t="shared" si="3"/>
        <v>#DIV/0!</v>
      </c>
    </row>
    <row r="231" customHeight="1" spans="4:4">
      <c r="D231" s="7" t="e">
        <f t="shared" si="3"/>
        <v>#DIV/0!</v>
      </c>
    </row>
    <row r="232" customHeight="1" spans="4:4">
      <c r="D232" s="7" t="e">
        <f t="shared" si="3"/>
        <v>#DIV/0!</v>
      </c>
    </row>
    <row r="233" customHeight="1" spans="4:4">
      <c r="D233" s="7" t="e">
        <f t="shared" si="3"/>
        <v>#DIV/0!</v>
      </c>
    </row>
    <row r="234" customHeight="1" spans="4:4">
      <c r="D234" s="7" t="e">
        <f t="shared" si="3"/>
        <v>#DIV/0!</v>
      </c>
    </row>
    <row r="235" customHeight="1" spans="4:4">
      <c r="D235" s="7" t="e">
        <f t="shared" si="3"/>
        <v>#DIV/0!</v>
      </c>
    </row>
    <row r="236" customHeight="1" spans="4:4">
      <c r="D236" s="7" t="e">
        <f t="shared" si="3"/>
        <v>#DIV/0!</v>
      </c>
    </row>
    <row r="237" customHeight="1" spans="4:4">
      <c r="D237" s="7" t="e">
        <f t="shared" si="3"/>
        <v>#DIV/0!</v>
      </c>
    </row>
    <row r="238" customHeight="1" spans="4:4">
      <c r="D238" s="7" t="e">
        <f t="shared" si="3"/>
        <v>#DIV/0!</v>
      </c>
    </row>
    <row r="239" customHeight="1" spans="4:4">
      <c r="D239" s="7" t="e">
        <f t="shared" si="3"/>
        <v>#DIV/0!</v>
      </c>
    </row>
    <row r="240" customHeight="1" spans="4:4">
      <c r="D240" s="7" t="e">
        <f t="shared" si="3"/>
        <v>#DIV/0!</v>
      </c>
    </row>
    <row r="241" customHeight="1" spans="4:4">
      <c r="D241" s="7" t="e">
        <f t="shared" si="3"/>
        <v>#DIV/0!</v>
      </c>
    </row>
    <row r="242" customHeight="1" spans="4:4">
      <c r="D242" s="7" t="e">
        <f t="shared" si="3"/>
        <v>#DIV/0!</v>
      </c>
    </row>
    <row r="243" customHeight="1" spans="4:4">
      <c r="D243" s="7" t="e">
        <f t="shared" si="3"/>
        <v>#DIV/0!</v>
      </c>
    </row>
    <row r="244" customHeight="1" spans="4:4">
      <c r="D244" s="7" t="e">
        <f t="shared" si="3"/>
        <v>#DIV/0!</v>
      </c>
    </row>
    <row r="245" customHeight="1" spans="4:4">
      <c r="D245" s="7" t="e">
        <f t="shared" si="3"/>
        <v>#DIV/0!</v>
      </c>
    </row>
    <row r="246" customHeight="1" spans="4:4">
      <c r="D246" s="7" t="e">
        <f t="shared" si="3"/>
        <v>#DIV/0!</v>
      </c>
    </row>
    <row r="247" customHeight="1" spans="4:4">
      <c r="D247" s="7" t="e">
        <f t="shared" si="3"/>
        <v>#DIV/0!</v>
      </c>
    </row>
    <row r="248" customHeight="1" spans="4:4">
      <c r="D248" s="7" t="e">
        <f t="shared" si="3"/>
        <v>#DIV/0!</v>
      </c>
    </row>
    <row r="249" customHeight="1" spans="4:4">
      <c r="D249" s="7" t="e">
        <f t="shared" si="3"/>
        <v>#DIV/0!</v>
      </c>
    </row>
    <row r="250" customHeight="1" spans="4:4">
      <c r="D250" s="7" t="e">
        <f t="shared" si="3"/>
        <v>#DIV/0!</v>
      </c>
    </row>
    <row r="251" customHeight="1" spans="4:4">
      <c r="D251" s="7" t="e">
        <f t="shared" si="3"/>
        <v>#DIV/0!</v>
      </c>
    </row>
    <row r="252" customHeight="1" spans="4:4">
      <c r="D252" s="7" t="e">
        <f t="shared" si="3"/>
        <v>#DIV/0!</v>
      </c>
    </row>
    <row r="253" customHeight="1" spans="4:4">
      <c r="D253" s="7" t="e">
        <f t="shared" si="3"/>
        <v>#DIV/0!</v>
      </c>
    </row>
    <row r="254" customHeight="1" spans="4:4">
      <c r="D254" s="7" t="e">
        <f t="shared" si="3"/>
        <v>#DIV/0!</v>
      </c>
    </row>
    <row r="255" customHeight="1" spans="4:4">
      <c r="D255" s="7" t="e">
        <f t="shared" si="3"/>
        <v>#DIV/0!</v>
      </c>
    </row>
    <row r="256" customHeight="1" spans="4:4">
      <c r="D256" s="7" t="e">
        <f t="shared" si="3"/>
        <v>#DIV/0!</v>
      </c>
    </row>
    <row r="257" customHeight="1" spans="4:4">
      <c r="D257" s="7" t="e">
        <f t="shared" si="3"/>
        <v>#DIV/0!</v>
      </c>
    </row>
    <row r="258" customHeight="1" spans="4:4">
      <c r="D258" s="7" t="e">
        <f t="shared" si="3"/>
        <v>#DIV/0!</v>
      </c>
    </row>
    <row r="259" customHeight="1" spans="4:4">
      <c r="D259" s="7" t="e">
        <f t="shared" si="3"/>
        <v>#DIV/0!</v>
      </c>
    </row>
    <row r="260" customHeight="1" spans="4:4">
      <c r="D260" s="7" t="e">
        <f t="shared" ref="D260:D323" si="4">+B260/C260</f>
        <v>#DIV/0!</v>
      </c>
    </row>
    <row r="261" customHeight="1" spans="4:4">
      <c r="D261" s="7" t="e">
        <f t="shared" si="4"/>
        <v>#DIV/0!</v>
      </c>
    </row>
    <row r="262" customHeight="1" spans="4:4">
      <c r="D262" s="7" t="e">
        <f t="shared" si="4"/>
        <v>#DIV/0!</v>
      </c>
    </row>
    <row r="263" customHeight="1" spans="4:4">
      <c r="D263" s="7" t="e">
        <f t="shared" si="4"/>
        <v>#DIV/0!</v>
      </c>
    </row>
    <row r="264" customHeight="1" spans="4:4">
      <c r="D264" s="7" t="e">
        <f t="shared" si="4"/>
        <v>#DIV/0!</v>
      </c>
    </row>
    <row r="265" customHeight="1" spans="4:4">
      <c r="D265" s="7" t="e">
        <f t="shared" si="4"/>
        <v>#DIV/0!</v>
      </c>
    </row>
    <row r="266" customHeight="1" spans="4:4">
      <c r="D266" s="7" t="e">
        <f t="shared" si="4"/>
        <v>#DIV/0!</v>
      </c>
    </row>
    <row r="267" customHeight="1" spans="4:4">
      <c r="D267" s="7" t="e">
        <f t="shared" si="4"/>
        <v>#DIV/0!</v>
      </c>
    </row>
    <row r="268" customHeight="1" spans="4:4">
      <c r="D268" s="7" t="e">
        <f t="shared" si="4"/>
        <v>#DIV/0!</v>
      </c>
    </row>
    <row r="269" customHeight="1" spans="4:4">
      <c r="D269" s="7" t="e">
        <f t="shared" si="4"/>
        <v>#DIV/0!</v>
      </c>
    </row>
    <row r="270" customHeight="1" spans="4:4">
      <c r="D270" s="7" t="e">
        <f t="shared" si="4"/>
        <v>#DIV/0!</v>
      </c>
    </row>
    <row r="271" customHeight="1" spans="4:4">
      <c r="D271" s="7" t="e">
        <f t="shared" si="4"/>
        <v>#DIV/0!</v>
      </c>
    </row>
    <row r="272" customHeight="1" spans="4:4">
      <c r="D272" s="7" t="e">
        <f t="shared" si="4"/>
        <v>#DIV/0!</v>
      </c>
    </row>
    <row r="273" customHeight="1" spans="4:4">
      <c r="D273" s="7" t="e">
        <f t="shared" si="4"/>
        <v>#DIV/0!</v>
      </c>
    </row>
    <row r="274" customHeight="1" spans="4:4">
      <c r="D274" s="7" t="e">
        <f t="shared" si="4"/>
        <v>#DIV/0!</v>
      </c>
    </row>
    <row r="275" customHeight="1" spans="4:4">
      <c r="D275" s="7" t="e">
        <f t="shared" si="4"/>
        <v>#DIV/0!</v>
      </c>
    </row>
    <row r="276" customHeight="1" spans="4:4">
      <c r="D276" s="7" t="e">
        <f t="shared" si="4"/>
        <v>#DIV/0!</v>
      </c>
    </row>
    <row r="277" customHeight="1" spans="4:4">
      <c r="D277" s="7" t="e">
        <f t="shared" si="4"/>
        <v>#DIV/0!</v>
      </c>
    </row>
    <row r="278" customHeight="1" spans="4:4">
      <c r="D278" s="7" t="e">
        <f t="shared" si="4"/>
        <v>#DIV/0!</v>
      </c>
    </row>
    <row r="279" customHeight="1" spans="4:4">
      <c r="D279" s="7" t="e">
        <f t="shared" si="4"/>
        <v>#DIV/0!</v>
      </c>
    </row>
    <row r="280" customHeight="1" spans="4:4">
      <c r="D280" s="7" t="e">
        <f t="shared" si="4"/>
        <v>#DIV/0!</v>
      </c>
    </row>
    <row r="281" customHeight="1" spans="4:4">
      <c r="D281" s="7" t="e">
        <f t="shared" si="4"/>
        <v>#DIV/0!</v>
      </c>
    </row>
    <row r="282" customHeight="1" spans="4:4">
      <c r="D282" s="7" t="e">
        <f t="shared" si="4"/>
        <v>#DIV/0!</v>
      </c>
    </row>
    <row r="283" customHeight="1" spans="4:4">
      <c r="D283" s="7" t="e">
        <f t="shared" si="4"/>
        <v>#DIV/0!</v>
      </c>
    </row>
    <row r="284" customHeight="1" spans="4:4">
      <c r="D284" s="7" t="e">
        <f t="shared" si="4"/>
        <v>#DIV/0!</v>
      </c>
    </row>
    <row r="285" customHeight="1" spans="4:4">
      <c r="D285" s="7" t="e">
        <f t="shared" si="4"/>
        <v>#DIV/0!</v>
      </c>
    </row>
    <row r="286" customHeight="1" spans="4:4">
      <c r="D286" s="7" t="e">
        <f t="shared" si="4"/>
        <v>#DIV/0!</v>
      </c>
    </row>
    <row r="287" customHeight="1" spans="4:4">
      <c r="D287" s="7" t="e">
        <f t="shared" si="4"/>
        <v>#DIV/0!</v>
      </c>
    </row>
    <row r="288" customHeight="1" spans="4:4">
      <c r="D288" s="7" t="e">
        <f t="shared" si="4"/>
        <v>#DIV/0!</v>
      </c>
    </row>
    <row r="289" customHeight="1" spans="4:4">
      <c r="D289" s="7" t="e">
        <f t="shared" si="4"/>
        <v>#DIV/0!</v>
      </c>
    </row>
    <row r="290" customHeight="1" spans="4:4">
      <c r="D290" s="7" t="e">
        <f t="shared" si="4"/>
        <v>#DIV/0!</v>
      </c>
    </row>
    <row r="291" customHeight="1" spans="4:4">
      <c r="D291" s="7" t="e">
        <f t="shared" si="4"/>
        <v>#DIV/0!</v>
      </c>
    </row>
    <row r="292" customHeight="1" spans="4:4">
      <c r="D292" s="7" t="e">
        <f t="shared" si="4"/>
        <v>#DIV/0!</v>
      </c>
    </row>
    <row r="293" customHeight="1" spans="4:4">
      <c r="D293" s="7" t="e">
        <f t="shared" si="4"/>
        <v>#DIV/0!</v>
      </c>
    </row>
    <row r="294" customHeight="1" spans="4:4">
      <c r="D294" s="7" t="e">
        <f t="shared" si="4"/>
        <v>#DIV/0!</v>
      </c>
    </row>
    <row r="295" customHeight="1" spans="4:4">
      <c r="D295" s="7" t="e">
        <f t="shared" si="4"/>
        <v>#DIV/0!</v>
      </c>
    </row>
    <row r="296" customHeight="1" spans="4:4">
      <c r="D296" s="7" t="e">
        <f t="shared" si="4"/>
        <v>#DIV/0!</v>
      </c>
    </row>
    <row r="297" customHeight="1" spans="4:4">
      <c r="D297" s="7" t="e">
        <f t="shared" si="4"/>
        <v>#DIV/0!</v>
      </c>
    </row>
    <row r="298" customHeight="1" spans="4:4">
      <c r="D298" s="7" t="e">
        <f t="shared" si="4"/>
        <v>#DIV/0!</v>
      </c>
    </row>
    <row r="299" customHeight="1" spans="4:4">
      <c r="D299" s="7" t="e">
        <f t="shared" si="4"/>
        <v>#DIV/0!</v>
      </c>
    </row>
    <row r="300" customHeight="1" spans="4:4">
      <c r="D300" s="7" t="e">
        <f t="shared" si="4"/>
        <v>#DIV/0!</v>
      </c>
    </row>
    <row r="301" customHeight="1" spans="4:4">
      <c r="D301" s="7" t="e">
        <f t="shared" si="4"/>
        <v>#DIV/0!</v>
      </c>
    </row>
    <row r="302" customHeight="1" spans="4:4">
      <c r="D302" s="7" t="e">
        <f t="shared" si="4"/>
        <v>#DIV/0!</v>
      </c>
    </row>
    <row r="303" customHeight="1" spans="4:4">
      <c r="D303" s="7" t="e">
        <f t="shared" si="4"/>
        <v>#DIV/0!</v>
      </c>
    </row>
    <row r="304" customHeight="1" spans="4:4">
      <c r="D304" s="7" t="e">
        <f t="shared" si="4"/>
        <v>#DIV/0!</v>
      </c>
    </row>
    <row r="305" customHeight="1" spans="4:4">
      <c r="D305" s="7" t="e">
        <f t="shared" si="4"/>
        <v>#DIV/0!</v>
      </c>
    </row>
    <row r="306" customHeight="1" spans="4:4">
      <c r="D306" s="7" t="e">
        <f t="shared" si="4"/>
        <v>#DIV/0!</v>
      </c>
    </row>
    <row r="307" customHeight="1" spans="4:4">
      <c r="D307" s="7" t="e">
        <f t="shared" si="4"/>
        <v>#DIV/0!</v>
      </c>
    </row>
    <row r="308" customHeight="1" spans="4:4">
      <c r="D308" s="7" t="e">
        <f t="shared" si="4"/>
        <v>#DIV/0!</v>
      </c>
    </row>
    <row r="309" customHeight="1" spans="4:4">
      <c r="D309" s="7" t="e">
        <f t="shared" si="4"/>
        <v>#DIV/0!</v>
      </c>
    </row>
    <row r="310" customHeight="1" spans="4:4">
      <c r="D310" s="7" t="e">
        <f t="shared" si="4"/>
        <v>#DIV/0!</v>
      </c>
    </row>
    <row r="311" customHeight="1" spans="4:4">
      <c r="D311" s="7" t="e">
        <f t="shared" si="4"/>
        <v>#DIV/0!</v>
      </c>
    </row>
    <row r="312" customHeight="1" spans="4:4">
      <c r="D312" s="7" t="e">
        <f t="shared" si="4"/>
        <v>#DIV/0!</v>
      </c>
    </row>
    <row r="313" customHeight="1" spans="4:4">
      <c r="D313" s="7" t="e">
        <f t="shared" si="4"/>
        <v>#DIV/0!</v>
      </c>
    </row>
    <row r="314" customHeight="1" spans="4:4">
      <c r="D314" s="7" t="e">
        <f t="shared" si="4"/>
        <v>#DIV/0!</v>
      </c>
    </row>
    <row r="315" customHeight="1" spans="4:4">
      <c r="D315" s="7" t="e">
        <f t="shared" si="4"/>
        <v>#DIV/0!</v>
      </c>
    </row>
    <row r="316" customHeight="1" spans="4:4">
      <c r="D316" s="7" t="e">
        <f t="shared" si="4"/>
        <v>#DIV/0!</v>
      </c>
    </row>
    <row r="317" customHeight="1" spans="4:4">
      <c r="D317" s="7" t="e">
        <f t="shared" si="4"/>
        <v>#DIV/0!</v>
      </c>
    </row>
    <row r="318" customHeight="1" spans="4:4">
      <c r="D318" s="7" t="e">
        <f t="shared" si="4"/>
        <v>#DIV/0!</v>
      </c>
    </row>
    <row r="319" customHeight="1" spans="4:4">
      <c r="D319" s="7" t="e">
        <f t="shared" si="4"/>
        <v>#DIV/0!</v>
      </c>
    </row>
    <row r="320" customHeight="1" spans="4:4">
      <c r="D320" s="7" t="e">
        <f t="shared" si="4"/>
        <v>#DIV/0!</v>
      </c>
    </row>
    <row r="321" customHeight="1" spans="4:4">
      <c r="D321" s="7" t="e">
        <f t="shared" si="4"/>
        <v>#DIV/0!</v>
      </c>
    </row>
    <row r="322" customHeight="1" spans="4:4">
      <c r="D322" s="7" t="e">
        <f t="shared" si="4"/>
        <v>#DIV/0!</v>
      </c>
    </row>
    <row r="323" customHeight="1" spans="4:4">
      <c r="D323" s="7" t="e">
        <f t="shared" si="4"/>
        <v>#DIV/0!</v>
      </c>
    </row>
    <row r="324" customHeight="1" spans="4:4">
      <c r="D324" s="7" t="e">
        <f t="shared" ref="D324:D387" si="5">+B324/C324</f>
        <v>#DIV/0!</v>
      </c>
    </row>
    <row r="325" customHeight="1" spans="4:4">
      <c r="D325" s="7" t="e">
        <f t="shared" si="5"/>
        <v>#DIV/0!</v>
      </c>
    </row>
    <row r="326" customHeight="1" spans="4:4">
      <c r="D326" s="7" t="e">
        <f t="shared" si="5"/>
        <v>#DIV/0!</v>
      </c>
    </row>
    <row r="327" customHeight="1" spans="4:4">
      <c r="D327" s="7" t="e">
        <f t="shared" si="5"/>
        <v>#DIV/0!</v>
      </c>
    </row>
    <row r="328" customHeight="1" spans="4:4">
      <c r="D328" s="7" t="e">
        <f t="shared" si="5"/>
        <v>#DIV/0!</v>
      </c>
    </row>
    <row r="329" customHeight="1" spans="4:4">
      <c r="D329" s="7" t="e">
        <f t="shared" si="5"/>
        <v>#DIV/0!</v>
      </c>
    </row>
    <row r="330" customHeight="1" spans="4:4">
      <c r="D330" s="7" t="e">
        <f t="shared" si="5"/>
        <v>#DIV/0!</v>
      </c>
    </row>
    <row r="331" customHeight="1" spans="4:4">
      <c r="D331" s="7" t="e">
        <f t="shared" si="5"/>
        <v>#DIV/0!</v>
      </c>
    </row>
    <row r="332" customHeight="1" spans="4:4">
      <c r="D332" s="7" t="e">
        <f t="shared" si="5"/>
        <v>#DIV/0!</v>
      </c>
    </row>
    <row r="333" customHeight="1" spans="4:4">
      <c r="D333" s="7" t="e">
        <f t="shared" si="5"/>
        <v>#DIV/0!</v>
      </c>
    </row>
    <row r="334" customHeight="1" spans="4:4">
      <c r="D334" s="7" t="e">
        <f t="shared" si="5"/>
        <v>#DIV/0!</v>
      </c>
    </row>
    <row r="335" customHeight="1" spans="4:4">
      <c r="D335" s="7" t="e">
        <f t="shared" si="5"/>
        <v>#DIV/0!</v>
      </c>
    </row>
    <row r="336" customHeight="1" spans="4:4">
      <c r="D336" s="7" t="e">
        <f t="shared" si="5"/>
        <v>#DIV/0!</v>
      </c>
    </row>
    <row r="337" customHeight="1" spans="4:4">
      <c r="D337" s="7" t="e">
        <f t="shared" si="5"/>
        <v>#DIV/0!</v>
      </c>
    </row>
    <row r="338" customHeight="1" spans="4:4">
      <c r="D338" s="7" t="e">
        <f t="shared" si="5"/>
        <v>#DIV/0!</v>
      </c>
    </row>
    <row r="339" customHeight="1" spans="4:4">
      <c r="D339" s="7" t="e">
        <f t="shared" si="5"/>
        <v>#DIV/0!</v>
      </c>
    </row>
    <row r="340" customHeight="1" spans="4:4">
      <c r="D340" s="7" t="e">
        <f t="shared" si="5"/>
        <v>#DIV/0!</v>
      </c>
    </row>
    <row r="341" customHeight="1" spans="4:4">
      <c r="D341" s="7" t="e">
        <f t="shared" si="5"/>
        <v>#DIV/0!</v>
      </c>
    </row>
    <row r="342" customHeight="1" spans="4:4">
      <c r="D342" s="7" t="e">
        <f t="shared" si="5"/>
        <v>#DIV/0!</v>
      </c>
    </row>
    <row r="343" customHeight="1" spans="4:4">
      <c r="D343" s="7" t="e">
        <f t="shared" si="5"/>
        <v>#DIV/0!</v>
      </c>
    </row>
    <row r="344" customHeight="1" spans="4:4">
      <c r="D344" s="7" t="e">
        <f t="shared" si="5"/>
        <v>#DIV/0!</v>
      </c>
    </row>
    <row r="345" customHeight="1" spans="4:4">
      <c r="D345" s="7" t="e">
        <f t="shared" si="5"/>
        <v>#DIV/0!</v>
      </c>
    </row>
    <row r="346" customHeight="1" spans="4:4">
      <c r="D346" s="7" t="e">
        <f t="shared" si="5"/>
        <v>#DIV/0!</v>
      </c>
    </row>
    <row r="347" customHeight="1" spans="4:4">
      <c r="D347" s="7" t="e">
        <f t="shared" si="5"/>
        <v>#DIV/0!</v>
      </c>
    </row>
    <row r="348" customHeight="1" spans="4:4">
      <c r="D348" s="7" t="e">
        <f t="shared" si="5"/>
        <v>#DIV/0!</v>
      </c>
    </row>
    <row r="349" customHeight="1" spans="4:4">
      <c r="D349" s="7" t="e">
        <f t="shared" si="5"/>
        <v>#DIV/0!</v>
      </c>
    </row>
    <row r="350" customHeight="1" spans="4:4">
      <c r="D350" s="7" t="e">
        <f t="shared" si="5"/>
        <v>#DIV/0!</v>
      </c>
    </row>
    <row r="351" customHeight="1" spans="4:4">
      <c r="D351" s="7" t="e">
        <f t="shared" si="5"/>
        <v>#DIV/0!</v>
      </c>
    </row>
    <row r="352" customHeight="1" spans="4:4">
      <c r="D352" s="7" t="e">
        <f t="shared" si="5"/>
        <v>#DIV/0!</v>
      </c>
    </row>
    <row r="353" customHeight="1" spans="4:4">
      <c r="D353" s="7" t="e">
        <f t="shared" si="5"/>
        <v>#DIV/0!</v>
      </c>
    </row>
    <row r="354" customHeight="1" spans="4:4">
      <c r="D354" s="7" t="e">
        <f t="shared" si="5"/>
        <v>#DIV/0!</v>
      </c>
    </row>
    <row r="355" customHeight="1" spans="4:4">
      <c r="D355" s="7" t="e">
        <f t="shared" si="5"/>
        <v>#DIV/0!</v>
      </c>
    </row>
    <row r="356" customHeight="1" spans="4:4">
      <c r="D356" s="7" t="e">
        <f t="shared" si="5"/>
        <v>#DIV/0!</v>
      </c>
    </row>
    <row r="357" customHeight="1" spans="4:4">
      <c r="D357" s="7" t="e">
        <f t="shared" si="5"/>
        <v>#DIV/0!</v>
      </c>
    </row>
    <row r="358" customHeight="1" spans="4:4">
      <c r="D358" s="7" t="e">
        <f t="shared" si="5"/>
        <v>#DIV/0!</v>
      </c>
    </row>
    <row r="359" customHeight="1" spans="4:4">
      <c r="D359" s="7" t="e">
        <f t="shared" si="5"/>
        <v>#DIV/0!</v>
      </c>
    </row>
    <row r="360" customHeight="1" spans="4:4">
      <c r="D360" s="7" t="e">
        <f t="shared" si="5"/>
        <v>#DIV/0!</v>
      </c>
    </row>
    <row r="361" customHeight="1" spans="4:4">
      <c r="D361" s="7" t="e">
        <f t="shared" si="5"/>
        <v>#DIV/0!</v>
      </c>
    </row>
    <row r="362" customHeight="1" spans="4:4">
      <c r="D362" s="7" t="e">
        <f t="shared" si="5"/>
        <v>#DIV/0!</v>
      </c>
    </row>
    <row r="363" customHeight="1" spans="4:4">
      <c r="D363" s="7" t="e">
        <f t="shared" si="5"/>
        <v>#DIV/0!</v>
      </c>
    </row>
    <row r="364" customHeight="1" spans="4:4">
      <c r="D364" s="7" t="e">
        <f t="shared" si="5"/>
        <v>#DIV/0!</v>
      </c>
    </row>
    <row r="365" customHeight="1" spans="4:4">
      <c r="D365" s="7" t="e">
        <f t="shared" si="5"/>
        <v>#DIV/0!</v>
      </c>
    </row>
    <row r="366" customHeight="1" spans="4:4">
      <c r="D366" s="7" t="e">
        <f t="shared" si="5"/>
        <v>#DIV/0!</v>
      </c>
    </row>
    <row r="367" customHeight="1" spans="4:4">
      <c r="D367" s="7" t="e">
        <f t="shared" si="5"/>
        <v>#DIV/0!</v>
      </c>
    </row>
    <row r="368" customHeight="1" spans="4:4">
      <c r="D368" s="7" t="e">
        <f t="shared" si="5"/>
        <v>#DIV/0!</v>
      </c>
    </row>
    <row r="369" customHeight="1" spans="4:4">
      <c r="D369" s="7" t="e">
        <f t="shared" si="5"/>
        <v>#DIV/0!</v>
      </c>
    </row>
    <row r="370" customHeight="1" spans="4:4">
      <c r="D370" s="7" t="e">
        <f t="shared" si="5"/>
        <v>#DIV/0!</v>
      </c>
    </row>
    <row r="371" customHeight="1" spans="4:4">
      <c r="D371" s="7" t="e">
        <f t="shared" si="5"/>
        <v>#DIV/0!</v>
      </c>
    </row>
    <row r="372" customHeight="1" spans="4:4">
      <c r="D372" s="7" t="e">
        <f t="shared" si="5"/>
        <v>#DIV/0!</v>
      </c>
    </row>
    <row r="373" customHeight="1" spans="4:4">
      <c r="D373" s="7" t="e">
        <f t="shared" si="5"/>
        <v>#DIV/0!</v>
      </c>
    </row>
    <row r="374" customHeight="1" spans="4:4">
      <c r="D374" s="7" t="e">
        <f t="shared" si="5"/>
        <v>#DIV/0!</v>
      </c>
    </row>
    <row r="375" customHeight="1" spans="4:4">
      <c r="D375" s="7" t="e">
        <f t="shared" si="5"/>
        <v>#DIV/0!</v>
      </c>
    </row>
    <row r="376" customHeight="1" spans="4:4">
      <c r="D376" s="7" t="e">
        <f t="shared" si="5"/>
        <v>#DIV/0!</v>
      </c>
    </row>
    <row r="377" customHeight="1" spans="4:4">
      <c r="D377" s="7" t="e">
        <f t="shared" si="5"/>
        <v>#DIV/0!</v>
      </c>
    </row>
    <row r="378" customHeight="1" spans="4:4">
      <c r="D378" s="7" t="e">
        <f t="shared" si="5"/>
        <v>#DIV/0!</v>
      </c>
    </row>
    <row r="379" customHeight="1" spans="4:4">
      <c r="D379" s="7" t="e">
        <f t="shared" si="5"/>
        <v>#DIV/0!</v>
      </c>
    </row>
    <row r="380" customHeight="1" spans="4:4">
      <c r="D380" s="7" t="e">
        <f t="shared" si="5"/>
        <v>#DIV/0!</v>
      </c>
    </row>
    <row r="381" customHeight="1" spans="4:4">
      <c r="D381" s="7" t="e">
        <f t="shared" si="5"/>
        <v>#DIV/0!</v>
      </c>
    </row>
    <row r="382" customHeight="1" spans="4:4">
      <c r="D382" s="7" t="e">
        <f t="shared" si="5"/>
        <v>#DIV/0!</v>
      </c>
    </row>
    <row r="383" customHeight="1" spans="4:4">
      <c r="D383" s="7" t="e">
        <f t="shared" si="5"/>
        <v>#DIV/0!</v>
      </c>
    </row>
    <row r="384" customHeight="1" spans="4:4">
      <c r="D384" s="7" t="e">
        <f t="shared" si="5"/>
        <v>#DIV/0!</v>
      </c>
    </row>
    <row r="385" customHeight="1" spans="4:4">
      <c r="D385" s="7" t="e">
        <f t="shared" si="5"/>
        <v>#DIV/0!</v>
      </c>
    </row>
    <row r="386" customHeight="1" spans="4:4">
      <c r="D386" s="7" t="e">
        <f t="shared" si="5"/>
        <v>#DIV/0!</v>
      </c>
    </row>
    <row r="387" customHeight="1" spans="4:4">
      <c r="D387" s="7" t="e">
        <f t="shared" si="5"/>
        <v>#DIV/0!</v>
      </c>
    </row>
    <row r="388" customHeight="1" spans="4:4">
      <c r="D388" s="7" t="e">
        <f t="shared" ref="D388:D451" si="6">+B388/C388</f>
        <v>#DIV/0!</v>
      </c>
    </row>
    <row r="389" customHeight="1" spans="4:4">
      <c r="D389" s="7" t="e">
        <f t="shared" si="6"/>
        <v>#DIV/0!</v>
      </c>
    </row>
    <row r="390" customHeight="1" spans="4:4">
      <c r="D390" s="7" t="e">
        <f t="shared" si="6"/>
        <v>#DIV/0!</v>
      </c>
    </row>
    <row r="391" customHeight="1" spans="4:4">
      <c r="D391" s="7" t="e">
        <f t="shared" si="6"/>
        <v>#DIV/0!</v>
      </c>
    </row>
    <row r="392" customHeight="1" spans="4:4">
      <c r="D392" s="7" t="e">
        <f t="shared" si="6"/>
        <v>#DIV/0!</v>
      </c>
    </row>
    <row r="393" customHeight="1" spans="4:4">
      <c r="D393" s="7" t="e">
        <f t="shared" si="6"/>
        <v>#DIV/0!</v>
      </c>
    </row>
    <row r="394" customHeight="1" spans="4:4">
      <c r="D394" s="7" t="e">
        <f t="shared" si="6"/>
        <v>#DIV/0!</v>
      </c>
    </row>
    <row r="395" customHeight="1" spans="4:4">
      <c r="D395" s="7" t="e">
        <f t="shared" si="6"/>
        <v>#DIV/0!</v>
      </c>
    </row>
    <row r="396" customHeight="1" spans="4:4">
      <c r="D396" s="7" t="e">
        <f t="shared" si="6"/>
        <v>#DIV/0!</v>
      </c>
    </row>
    <row r="397" customHeight="1" spans="4:4">
      <c r="D397" s="7" t="e">
        <f t="shared" si="6"/>
        <v>#DIV/0!</v>
      </c>
    </row>
    <row r="398" customHeight="1" spans="4:4">
      <c r="D398" s="7" t="e">
        <f t="shared" si="6"/>
        <v>#DIV/0!</v>
      </c>
    </row>
    <row r="399" customHeight="1" spans="4:4">
      <c r="D399" s="7" t="e">
        <f t="shared" si="6"/>
        <v>#DIV/0!</v>
      </c>
    </row>
    <row r="400" customHeight="1" spans="4:4">
      <c r="D400" s="7" t="e">
        <f t="shared" si="6"/>
        <v>#DIV/0!</v>
      </c>
    </row>
    <row r="401" customHeight="1" spans="4:4">
      <c r="D401" s="7" t="e">
        <f t="shared" si="6"/>
        <v>#DIV/0!</v>
      </c>
    </row>
    <row r="402" customHeight="1" spans="4:4">
      <c r="D402" s="7" t="e">
        <f t="shared" si="6"/>
        <v>#DIV/0!</v>
      </c>
    </row>
    <row r="403" customHeight="1" spans="4:4">
      <c r="D403" s="7" t="e">
        <f t="shared" si="6"/>
        <v>#DIV/0!</v>
      </c>
    </row>
    <row r="404" customHeight="1" spans="4:4">
      <c r="D404" s="7" t="e">
        <f t="shared" si="6"/>
        <v>#DIV/0!</v>
      </c>
    </row>
    <row r="405" customHeight="1" spans="4:4">
      <c r="D405" s="7" t="e">
        <f t="shared" si="6"/>
        <v>#DIV/0!</v>
      </c>
    </row>
    <row r="406" customHeight="1" spans="4:4">
      <c r="D406" s="7" t="e">
        <f t="shared" si="6"/>
        <v>#DIV/0!</v>
      </c>
    </row>
    <row r="407" customHeight="1" spans="4:4">
      <c r="D407" s="7" t="e">
        <f t="shared" si="6"/>
        <v>#DIV/0!</v>
      </c>
    </row>
    <row r="408" customHeight="1" spans="4:4">
      <c r="D408" s="7" t="e">
        <f t="shared" si="6"/>
        <v>#DIV/0!</v>
      </c>
    </row>
    <row r="409" customHeight="1" spans="4:4">
      <c r="D409" s="7" t="e">
        <f t="shared" si="6"/>
        <v>#DIV/0!</v>
      </c>
    </row>
    <row r="410" customHeight="1" spans="4:4">
      <c r="D410" s="7" t="e">
        <f t="shared" si="6"/>
        <v>#DIV/0!</v>
      </c>
    </row>
    <row r="411" customHeight="1" spans="4:4">
      <c r="D411" s="7" t="e">
        <f t="shared" si="6"/>
        <v>#DIV/0!</v>
      </c>
    </row>
    <row r="412" customHeight="1" spans="4:4">
      <c r="D412" s="7" t="e">
        <f t="shared" si="6"/>
        <v>#DIV/0!</v>
      </c>
    </row>
    <row r="413" customHeight="1" spans="4:4">
      <c r="D413" s="7" t="e">
        <f t="shared" si="6"/>
        <v>#DIV/0!</v>
      </c>
    </row>
    <row r="414" customHeight="1" spans="4:4">
      <c r="D414" s="7" t="e">
        <f t="shared" si="6"/>
        <v>#DIV/0!</v>
      </c>
    </row>
    <row r="415" customHeight="1" spans="4:4">
      <c r="D415" s="7" t="e">
        <f t="shared" si="6"/>
        <v>#DIV/0!</v>
      </c>
    </row>
    <row r="416" customHeight="1" spans="4:4">
      <c r="D416" s="7" t="e">
        <f t="shared" si="6"/>
        <v>#DIV/0!</v>
      </c>
    </row>
    <row r="417" customHeight="1" spans="4:4">
      <c r="D417" s="7" t="e">
        <f t="shared" si="6"/>
        <v>#DIV/0!</v>
      </c>
    </row>
    <row r="418" customHeight="1" spans="4:4">
      <c r="D418" s="7" t="e">
        <f t="shared" si="6"/>
        <v>#DIV/0!</v>
      </c>
    </row>
    <row r="419" customHeight="1" spans="4:4">
      <c r="D419" s="7" t="e">
        <f t="shared" si="6"/>
        <v>#DIV/0!</v>
      </c>
    </row>
    <row r="420" customHeight="1" spans="4:4">
      <c r="D420" s="7" t="e">
        <f t="shared" si="6"/>
        <v>#DIV/0!</v>
      </c>
    </row>
    <row r="421" customHeight="1" spans="4:4">
      <c r="D421" s="7" t="e">
        <f t="shared" si="6"/>
        <v>#DIV/0!</v>
      </c>
    </row>
    <row r="422" customHeight="1" spans="4:4">
      <c r="D422" s="7" t="e">
        <f t="shared" si="6"/>
        <v>#DIV/0!</v>
      </c>
    </row>
    <row r="423" customHeight="1" spans="4:4">
      <c r="D423" s="7" t="e">
        <f t="shared" si="6"/>
        <v>#DIV/0!</v>
      </c>
    </row>
    <row r="424" customHeight="1" spans="4:4">
      <c r="D424" s="7" t="e">
        <f t="shared" si="6"/>
        <v>#DIV/0!</v>
      </c>
    </row>
    <row r="425" customHeight="1" spans="4:4">
      <c r="D425" s="7" t="e">
        <f t="shared" si="6"/>
        <v>#DIV/0!</v>
      </c>
    </row>
    <row r="426" customHeight="1" spans="4:4">
      <c r="D426" s="7" t="e">
        <f t="shared" si="6"/>
        <v>#DIV/0!</v>
      </c>
    </row>
    <row r="427" customHeight="1" spans="4:4">
      <c r="D427" s="7" t="e">
        <f t="shared" si="6"/>
        <v>#DIV/0!</v>
      </c>
    </row>
    <row r="428" customHeight="1" spans="4:4">
      <c r="D428" s="7" t="e">
        <f t="shared" si="6"/>
        <v>#DIV/0!</v>
      </c>
    </row>
    <row r="429" customHeight="1" spans="4:4">
      <c r="D429" s="7" t="e">
        <f t="shared" si="6"/>
        <v>#DIV/0!</v>
      </c>
    </row>
    <row r="430" customHeight="1" spans="4:4">
      <c r="D430" s="7" t="e">
        <f t="shared" si="6"/>
        <v>#DIV/0!</v>
      </c>
    </row>
    <row r="431" customHeight="1" spans="4:4">
      <c r="D431" s="7" t="e">
        <f t="shared" si="6"/>
        <v>#DIV/0!</v>
      </c>
    </row>
    <row r="432" customHeight="1" spans="4:4">
      <c r="D432" s="7" t="e">
        <f t="shared" si="6"/>
        <v>#DIV/0!</v>
      </c>
    </row>
    <row r="433" customHeight="1" spans="4:4">
      <c r="D433" s="7" t="e">
        <f t="shared" si="6"/>
        <v>#DIV/0!</v>
      </c>
    </row>
    <row r="434" customHeight="1" spans="4:4">
      <c r="D434" s="7" t="e">
        <f t="shared" si="6"/>
        <v>#DIV/0!</v>
      </c>
    </row>
    <row r="435" customHeight="1" spans="4:4">
      <c r="D435" s="7" t="e">
        <f t="shared" si="6"/>
        <v>#DIV/0!</v>
      </c>
    </row>
    <row r="436" customHeight="1" spans="4:4">
      <c r="D436" s="7" t="e">
        <f t="shared" si="6"/>
        <v>#DIV/0!</v>
      </c>
    </row>
    <row r="437" customHeight="1" spans="4:4">
      <c r="D437" s="7" t="e">
        <f t="shared" si="6"/>
        <v>#DIV/0!</v>
      </c>
    </row>
    <row r="438" customHeight="1" spans="4:4">
      <c r="D438" s="7" t="e">
        <f t="shared" si="6"/>
        <v>#DIV/0!</v>
      </c>
    </row>
    <row r="439" customHeight="1" spans="4:4">
      <c r="D439" s="7" t="e">
        <f t="shared" si="6"/>
        <v>#DIV/0!</v>
      </c>
    </row>
    <row r="440" customHeight="1" spans="4:4">
      <c r="D440" s="7" t="e">
        <f t="shared" si="6"/>
        <v>#DIV/0!</v>
      </c>
    </row>
    <row r="441" customHeight="1" spans="4:4">
      <c r="D441" s="7" t="e">
        <f t="shared" si="6"/>
        <v>#DIV/0!</v>
      </c>
    </row>
    <row r="442" customHeight="1" spans="4:4">
      <c r="D442" s="7" t="e">
        <f t="shared" si="6"/>
        <v>#DIV/0!</v>
      </c>
    </row>
    <row r="443" customHeight="1" spans="4:4">
      <c r="D443" s="7" t="e">
        <f t="shared" si="6"/>
        <v>#DIV/0!</v>
      </c>
    </row>
    <row r="444" customHeight="1" spans="4:4">
      <c r="D444" s="7" t="e">
        <f t="shared" si="6"/>
        <v>#DIV/0!</v>
      </c>
    </row>
    <row r="445" customHeight="1" spans="4:4">
      <c r="D445" s="7" t="e">
        <f t="shared" si="6"/>
        <v>#DIV/0!</v>
      </c>
    </row>
    <row r="446" customHeight="1" spans="4:4">
      <c r="D446" s="7" t="e">
        <f t="shared" si="6"/>
        <v>#DIV/0!</v>
      </c>
    </row>
    <row r="447" customHeight="1" spans="4:4">
      <c r="D447" s="7" t="e">
        <f t="shared" si="6"/>
        <v>#DIV/0!</v>
      </c>
    </row>
    <row r="448" customHeight="1" spans="4:4">
      <c r="D448" s="7" t="e">
        <f t="shared" si="6"/>
        <v>#DIV/0!</v>
      </c>
    </row>
    <row r="449" customHeight="1" spans="4:4">
      <c r="D449" s="7" t="e">
        <f t="shared" si="6"/>
        <v>#DIV/0!</v>
      </c>
    </row>
    <row r="450" customHeight="1" spans="4:4">
      <c r="D450" s="7" t="e">
        <f t="shared" si="6"/>
        <v>#DIV/0!</v>
      </c>
    </row>
    <row r="451" customHeight="1" spans="4:4">
      <c r="D451" s="7" t="e">
        <f t="shared" si="6"/>
        <v>#DIV/0!</v>
      </c>
    </row>
    <row r="452" customHeight="1" spans="4:4">
      <c r="D452" s="7" t="e">
        <f t="shared" ref="D452:D515" si="7">+B452/C452</f>
        <v>#DIV/0!</v>
      </c>
    </row>
    <row r="453" customHeight="1" spans="4:4">
      <c r="D453" s="7" t="e">
        <f t="shared" si="7"/>
        <v>#DIV/0!</v>
      </c>
    </row>
    <row r="454" customHeight="1" spans="4:4">
      <c r="D454" s="7" t="e">
        <f t="shared" si="7"/>
        <v>#DIV/0!</v>
      </c>
    </row>
    <row r="455" customHeight="1" spans="4:4">
      <c r="D455" s="7" t="e">
        <f t="shared" si="7"/>
        <v>#DIV/0!</v>
      </c>
    </row>
    <row r="456" customHeight="1" spans="4:4">
      <c r="D456" s="7" t="e">
        <f t="shared" si="7"/>
        <v>#DIV/0!</v>
      </c>
    </row>
    <row r="457" customHeight="1" spans="4:4">
      <c r="D457" s="7" t="e">
        <f t="shared" si="7"/>
        <v>#DIV/0!</v>
      </c>
    </row>
    <row r="458" customHeight="1" spans="4:4">
      <c r="D458" s="7" t="e">
        <f t="shared" si="7"/>
        <v>#DIV/0!</v>
      </c>
    </row>
    <row r="459" customHeight="1" spans="4:4">
      <c r="D459" s="7" t="e">
        <f t="shared" si="7"/>
        <v>#DIV/0!</v>
      </c>
    </row>
    <row r="460" customHeight="1" spans="4:4">
      <c r="D460" s="7" t="e">
        <f t="shared" si="7"/>
        <v>#DIV/0!</v>
      </c>
    </row>
    <row r="461" customHeight="1" spans="4:4">
      <c r="D461" s="7" t="e">
        <f t="shared" si="7"/>
        <v>#DIV/0!</v>
      </c>
    </row>
    <row r="462" customHeight="1" spans="4:4">
      <c r="D462" s="7" t="e">
        <f t="shared" si="7"/>
        <v>#DIV/0!</v>
      </c>
    </row>
    <row r="463" customHeight="1" spans="4:4">
      <c r="D463" s="7" t="e">
        <f t="shared" si="7"/>
        <v>#DIV/0!</v>
      </c>
    </row>
    <row r="464" customHeight="1" spans="4:4">
      <c r="D464" s="7" t="e">
        <f t="shared" si="7"/>
        <v>#DIV/0!</v>
      </c>
    </row>
    <row r="465" customHeight="1" spans="4:4">
      <c r="D465" s="7" t="e">
        <f t="shared" si="7"/>
        <v>#DIV/0!</v>
      </c>
    </row>
    <row r="466" customHeight="1" spans="4:4">
      <c r="D466" s="7" t="e">
        <f t="shared" si="7"/>
        <v>#DIV/0!</v>
      </c>
    </row>
    <row r="467" customHeight="1" spans="4:4">
      <c r="D467" s="7" t="e">
        <f t="shared" si="7"/>
        <v>#DIV/0!</v>
      </c>
    </row>
    <row r="468" customHeight="1" spans="4:4">
      <c r="D468" s="7" t="e">
        <f t="shared" si="7"/>
        <v>#DIV/0!</v>
      </c>
    </row>
    <row r="469" customHeight="1" spans="4:4">
      <c r="D469" s="7" t="e">
        <f t="shared" si="7"/>
        <v>#DIV/0!</v>
      </c>
    </row>
    <row r="470" customHeight="1" spans="4:4">
      <c r="D470" s="7" t="e">
        <f t="shared" si="7"/>
        <v>#DIV/0!</v>
      </c>
    </row>
    <row r="471" customHeight="1" spans="4:4">
      <c r="D471" s="7" t="e">
        <f t="shared" si="7"/>
        <v>#DIV/0!</v>
      </c>
    </row>
    <row r="472" customHeight="1" spans="4:4">
      <c r="D472" s="7" t="e">
        <f t="shared" si="7"/>
        <v>#DIV/0!</v>
      </c>
    </row>
    <row r="473" customHeight="1" spans="4:4">
      <c r="D473" s="7" t="e">
        <f t="shared" si="7"/>
        <v>#DIV/0!</v>
      </c>
    </row>
    <row r="474" customHeight="1" spans="4:4">
      <c r="D474" s="7" t="e">
        <f t="shared" si="7"/>
        <v>#DIV/0!</v>
      </c>
    </row>
    <row r="475" customHeight="1" spans="4:4">
      <c r="D475" s="7" t="e">
        <f t="shared" si="7"/>
        <v>#DIV/0!</v>
      </c>
    </row>
    <row r="476" customHeight="1" spans="4:4">
      <c r="D476" s="7" t="e">
        <f t="shared" si="7"/>
        <v>#DIV/0!</v>
      </c>
    </row>
    <row r="477" customHeight="1" spans="4:4">
      <c r="D477" s="7" t="e">
        <f t="shared" si="7"/>
        <v>#DIV/0!</v>
      </c>
    </row>
    <row r="478" customHeight="1" spans="4:4">
      <c r="D478" s="7" t="e">
        <f t="shared" si="7"/>
        <v>#DIV/0!</v>
      </c>
    </row>
    <row r="479" customHeight="1" spans="4:4">
      <c r="D479" s="7" t="e">
        <f t="shared" si="7"/>
        <v>#DIV/0!</v>
      </c>
    </row>
    <row r="480" customHeight="1" spans="4:4">
      <c r="D480" s="7" t="e">
        <f t="shared" si="7"/>
        <v>#DIV/0!</v>
      </c>
    </row>
    <row r="481" customHeight="1" spans="4:4">
      <c r="D481" s="7" t="e">
        <f t="shared" si="7"/>
        <v>#DIV/0!</v>
      </c>
    </row>
    <row r="482" customHeight="1" spans="4:4">
      <c r="D482" s="7" t="e">
        <f t="shared" si="7"/>
        <v>#DIV/0!</v>
      </c>
    </row>
    <row r="483" customHeight="1" spans="4:4">
      <c r="D483" s="7" t="e">
        <f t="shared" si="7"/>
        <v>#DIV/0!</v>
      </c>
    </row>
    <row r="484" customHeight="1" spans="4:4">
      <c r="D484" s="7" t="e">
        <f t="shared" si="7"/>
        <v>#DIV/0!</v>
      </c>
    </row>
    <row r="485" customHeight="1" spans="4:4">
      <c r="D485" s="7" t="e">
        <f t="shared" si="7"/>
        <v>#DIV/0!</v>
      </c>
    </row>
    <row r="486" customHeight="1" spans="4:4">
      <c r="D486" s="7" t="e">
        <f t="shared" si="7"/>
        <v>#DIV/0!</v>
      </c>
    </row>
    <row r="487" customHeight="1" spans="4:4">
      <c r="D487" s="7" t="e">
        <f t="shared" si="7"/>
        <v>#DIV/0!</v>
      </c>
    </row>
    <row r="488" customHeight="1" spans="4:4">
      <c r="D488" s="7" t="e">
        <f t="shared" si="7"/>
        <v>#DIV/0!</v>
      </c>
    </row>
    <row r="489" customHeight="1" spans="4:4">
      <c r="D489" s="7" t="e">
        <f t="shared" si="7"/>
        <v>#DIV/0!</v>
      </c>
    </row>
    <row r="490" customHeight="1" spans="4:4">
      <c r="D490" s="7" t="e">
        <f t="shared" si="7"/>
        <v>#DIV/0!</v>
      </c>
    </row>
    <row r="491" customHeight="1" spans="4:4">
      <c r="D491" s="7" t="e">
        <f t="shared" si="7"/>
        <v>#DIV/0!</v>
      </c>
    </row>
    <row r="492" customHeight="1" spans="4:4">
      <c r="D492" s="7" t="e">
        <f t="shared" si="7"/>
        <v>#DIV/0!</v>
      </c>
    </row>
    <row r="493" customHeight="1" spans="4:4">
      <c r="D493" s="7" t="e">
        <f t="shared" si="7"/>
        <v>#DIV/0!</v>
      </c>
    </row>
    <row r="494" customHeight="1" spans="4:4">
      <c r="D494" s="7" t="e">
        <f t="shared" si="7"/>
        <v>#DIV/0!</v>
      </c>
    </row>
    <row r="495" customHeight="1" spans="4:4">
      <c r="D495" s="7" t="e">
        <f t="shared" si="7"/>
        <v>#DIV/0!</v>
      </c>
    </row>
    <row r="496" customHeight="1" spans="4:4">
      <c r="D496" s="7" t="e">
        <f t="shared" si="7"/>
        <v>#DIV/0!</v>
      </c>
    </row>
    <row r="497" customHeight="1" spans="4:4">
      <c r="D497" s="7" t="e">
        <f t="shared" si="7"/>
        <v>#DIV/0!</v>
      </c>
    </row>
    <row r="498" customHeight="1" spans="4:4">
      <c r="D498" s="7" t="e">
        <f t="shared" si="7"/>
        <v>#DIV/0!</v>
      </c>
    </row>
    <row r="499" customHeight="1" spans="4:4">
      <c r="D499" s="7" t="e">
        <f t="shared" si="7"/>
        <v>#DIV/0!</v>
      </c>
    </row>
    <row r="500" customHeight="1" spans="4:4">
      <c r="D500" s="7" t="e">
        <f t="shared" si="7"/>
        <v>#DIV/0!</v>
      </c>
    </row>
    <row r="501" customHeight="1" spans="4:4">
      <c r="D501" s="7" t="e">
        <f t="shared" si="7"/>
        <v>#DIV/0!</v>
      </c>
    </row>
    <row r="502" customHeight="1" spans="4:4">
      <c r="D502" s="7" t="e">
        <f t="shared" si="7"/>
        <v>#DIV/0!</v>
      </c>
    </row>
    <row r="503" customHeight="1" spans="4:4">
      <c r="D503" s="7" t="e">
        <f t="shared" si="7"/>
        <v>#DIV/0!</v>
      </c>
    </row>
    <row r="504" customHeight="1" spans="4:4">
      <c r="D504" s="7" t="e">
        <f t="shared" si="7"/>
        <v>#DIV/0!</v>
      </c>
    </row>
    <row r="505" customHeight="1" spans="4:4">
      <c r="D505" s="7" t="e">
        <f t="shared" si="7"/>
        <v>#DIV/0!</v>
      </c>
    </row>
    <row r="506" customHeight="1" spans="4:4">
      <c r="D506" s="7" t="e">
        <f t="shared" si="7"/>
        <v>#DIV/0!</v>
      </c>
    </row>
    <row r="507" customHeight="1" spans="4:4">
      <c r="D507" s="7" t="e">
        <f t="shared" si="7"/>
        <v>#DIV/0!</v>
      </c>
    </row>
    <row r="508" customHeight="1" spans="4:4">
      <c r="D508" s="7" t="e">
        <f t="shared" si="7"/>
        <v>#DIV/0!</v>
      </c>
    </row>
    <row r="509" customHeight="1" spans="4:4">
      <c r="D509" s="7" t="e">
        <f t="shared" si="7"/>
        <v>#DIV/0!</v>
      </c>
    </row>
    <row r="510" customHeight="1" spans="4:4">
      <c r="D510" s="7" t="e">
        <f t="shared" si="7"/>
        <v>#DIV/0!</v>
      </c>
    </row>
    <row r="511" customHeight="1" spans="4:4">
      <c r="D511" s="7" t="e">
        <f t="shared" si="7"/>
        <v>#DIV/0!</v>
      </c>
    </row>
    <row r="512" customHeight="1" spans="4:4">
      <c r="D512" s="7" t="e">
        <f t="shared" si="7"/>
        <v>#DIV/0!</v>
      </c>
    </row>
    <row r="513" customHeight="1" spans="4:4">
      <c r="D513" s="7" t="e">
        <f t="shared" si="7"/>
        <v>#DIV/0!</v>
      </c>
    </row>
    <row r="514" customHeight="1" spans="4:4">
      <c r="D514" s="7" t="e">
        <f t="shared" si="7"/>
        <v>#DIV/0!</v>
      </c>
    </row>
    <row r="515" customHeight="1" spans="4:4">
      <c r="D515" s="7" t="e">
        <f t="shared" si="7"/>
        <v>#DIV/0!</v>
      </c>
    </row>
    <row r="516" customHeight="1" spans="4:4">
      <c r="D516" s="7" t="e">
        <f t="shared" ref="D516:D579" si="8">+B516/C516</f>
        <v>#DIV/0!</v>
      </c>
    </row>
    <row r="517" customHeight="1" spans="4:4">
      <c r="D517" s="7" t="e">
        <f t="shared" si="8"/>
        <v>#DIV/0!</v>
      </c>
    </row>
    <row r="518" customHeight="1" spans="4:4">
      <c r="D518" s="7" t="e">
        <f t="shared" si="8"/>
        <v>#DIV/0!</v>
      </c>
    </row>
    <row r="519" customHeight="1" spans="4:4">
      <c r="D519" s="7" t="e">
        <f t="shared" si="8"/>
        <v>#DIV/0!</v>
      </c>
    </row>
    <row r="520" customHeight="1" spans="4:4">
      <c r="D520" s="7" t="e">
        <f t="shared" si="8"/>
        <v>#DIV/0!</v>
      </c>
    </row>
    <row r="521" customHeight="1" spans="4:4">
      <c r="D521" s="7" t="e">
        <f t="shared" si="8"/>
        <v>#DIV/0!</v>
      </c>
    </row>
    <row r="522" customHeight="1" spans="4:4">
      <c r="D522" s="7" t="e">
        <f t="shared" si="8"/>
        <v>#DIV/0!</v>
      </c>
    </row>
    <row r="523" customHeight="1" spans="4:4">
      <c r="D523" s="7" t="e">
        <f t="shared" si="8"/>
        <v>#DIV/0!</v>
      </c>
    </row>
    <row r="524" customHeight="1" spans="4:4">
      <c r="D524" s="7" t="e">
        <f t="shared" si="8"/>
        <v>#DIV/0!</v>
      </c>
    </row>
    <row r="525" customHeight="1" spans="4:4">
      <c r="D525" s="7" t="e">
        <f t="shared" si="8"/>
        <v>#DIV/0!</v>
      </c>
    </row>
    <row r="526" customHeight="1" spans="4:4">
      <c r="D526" s="7" t="e">
        <f t="shared" si="8"/>
        <v>#DIV/0!</v>
      </c>
    </row>
    <row r="527" customHeight="1" spans="4:4">
      <c r="D527" s="7" t="e">
        <f t="shared" si="8"/>
        <v>#DIV/0!</v>
      </c>
    </row>
    <row r="528" customHeight="1" spans="4:4">
      <c r="D528" s="7" t="e">
        <f t="shared" si="8"/>
        <v>#DIV/0!</v>
      </c>
    </row>
    <row r="529" customHeight="1" spans="4:4">
      <c r="D529" s="7" t="e">
        <f t="shared" si="8"/>
        <v>#DIV/0!</v>
      </c>
    </row>
    <row r="530" customHeight="1" spans="4:4">
      <c r="D530" s="7" t="e">
        <f t="shared" si="8"/>
        <v>#DIV/0!</v>
      </c>
    </row>
    <row r="531" customHeight="1" spans="4:4">
      <c r="D531" s="7" t="e">
        <f t="shared" si="8"/>
        <v>#DIV/0!</v>
      </c>
    </row>
    <row r="532" customHeight="1" spans="4:4">
      <c r="D532" s="7" t="e">
        <f t="shared" si="8"/>
        <v>#DIV/0!</v>
      </c>
    </row>
    <row r="533" customHeight="1" spans="4:4">
      <c r="D533" s="7" t="e">
        <f t="shared" si="8"/>
        <v>#DIV/0!</v>
      </c>
    </row>
    <row r="534" customHeight="1" spans="4:4">
      <c r="D534" s="7" t="e">
        <f t="shared" si="8"/>
        <v>#DIV/0!</v>
      </c>
    </row>
    <row r="535" customHeight="1" spans="4:4">
      <c r="D535" s="7" t="e">
        <f t="shared" si="8"/>
        <v>#DIV/0!</v>
      </c>
    </row>
    <row r="536" customHeight="1" spans="4:4">
      <c r="D536" s="7" t="e">
        <f t="shared" si="8"/>
        <v>#DIV/0!</v>
      </c>
    </row>
    <row r="537" customHeight="1" spans="4:4">
      <c r="D537" s="7" t="e">
        <f t="shared" si="8"/>
        <v>#DIV/0!</v>
      </c>
    </row>
    <row r="538" customHeight="1" spans="4:4">
      <c r="D538" s="7" t="e">
        <f t="shared" si="8"/>
        <v>#DIV/0!</v>
      </c>
    </row>
    <row r="539" customHeight="1" spans="4:4">
      <c r="D539" s="7" t="e">
        <f t="shared" si="8"/>
        <v>#DIV/0!</v>
      </c>
    </row>
    <row r="540" customHeight="1" spans="4:4">
      <c r="D540" s="7" t="e">
        <f t="shared" si="8"/>
        <v>#DIV/0!</v>
      </c>
    </row>
    <row r="541" customHeight="1" spans="4:4">
      <c r="D541" s="7" t="e">
        <f t="shared" si="8"/>
        <v>#DIV/0!</v>
      </c>
    </row>
    <row r="542" customHeight="1" spans="4:4">
      <c r="D542" s="7" t="e">
        <f t="shared" si="8"/>
        <v>#DIV/0!</v>
      </c>
    </row>
    <row r="543" customHeight="1" spans="4:4">
      <c r="D543" s="7" t="e">
        <f t="shared" si="8"/>
        <v>#DIV/0!</v>
      </c>
    </row>
    <row r="544" customHeight="1" spans="4:4">
      <c r="D544" s="7" t="e">
        <f t="shared" si="8"/>
        <v>#DIV/0!</v>
      </c>
    </row>
    <row r="545" customHeight="1" spans="4:4">
      <c r="D545" s="7" t="e">
        <f t="shared" si="8"/>
        <v>#DIV/0!</v>
      </c>
    </row>
    <row r="546" customHeight="1" spans="4:4">
      <c r="D546" s="7" t="e">
        <f t="shared" si="8"/>
        <v>#DIV/0!</v>
      </c>
    </row>
    <row r="547" customHeight="1" spans="4:4">
      <c r="D547" s="7" t="e">
        <f t="shared" si="8"/>
        <v>#DIV/0!</v>
      </c>
    </row>
    <row r="548" customHeight="1" spans="4:4">
      <c r="D548" s="7" t="e">
        <f t="shared" si="8"/>
        <v>#DIV/0!</v>
      </c>
    </row>
    <row r="549" customHeight="1" spans="4:4">
      <c r="D549" s="7" t="e">
        <f t="shared" si="8"/>
        <v>#DIV/0!</v>
      </c>
    </row>
    <row r="550" customHeight="1" spans="4:4">
      <c r="D550" s="7" t="e">
        <f t="shared" si="8"/>
        <v>#DIV/0!</v>
      </c>
    </row>
    <row r="551" customHeight="1" spans="4:4">
      <c r="D551" s="7" t="e">
        <f t="shared" si="8"/>
        <v>#DIV/0!</v>
      </c>
    </row>
    <row r="552" customHeight="1" spans="4:4">
      <c r="D552" s="7" t="e">
        <f t="shared" si="8"/>
        <v>#DIV/0!</v>
      </c>
    </row>
    <row r="553" customHeight="1" spans="4:4">
      <c r="D553" s="7" t="e">
        <f t="shared" si="8"/>
        <v>#DIV/0!</v>
      </c>
    </row>
    <row r="554" customHeight="1" spans="4:4">
      <c r="D554" s="7" t="e">
        <f t="shared" si="8"/>
        <v>#DIV/0!</v>
      </c>
    </row>
    <row r="555" customHeight="1" spans="4:4">
      <c r="D555" s="7" t="e">
        <f t="shared" si="8"/>
        <v>#DIV/0!</v>
      </c>
    </row>
    <row r="556" customHeight="1" spans="4:4">
      <c r="D556" s="7" t="e">
        <f t="shared" si="8"/>
        <v>#DIV/0!</v>
      </c>
    </row>
    <row r="557" customHeight="1" spans="4:4">
      <c r="D557" s="7" t="e">
        <f t="shared" si="8"/>
        <v>#DIV/0!</v>
      </c>
    </row>
    <row r="558" customHeight="1" spans="4:4">
      <c r="D558" s="7" t="e">
        <f t="shared" si="8"/>
        <v>#DIV/0!</v>
      </c>
    </row>
    <row r="559" customHeight="1" spans="4:4">
      <c r="D559" s="7" t="e">
        <f t="shared" si="8"/>
        <v>#DIV/0!</v>
      </c>
    </row>
    <row r="560" customHeight="1" spans="4:4">
      <c r="D560" s="7" t="e">
        <f t="shared" si="8"/>
        <v>#DIV/0!</v>
      </c>
    </row>
    <row r="561" customHeight="1" spans="4:4">
      <c r="D561" s="7" t="e">
        <f t="shared" si="8"/>
        <v>#DIV/0!</v>
      </c>
    </row>
    <row r="562" customHeight="1" spans="4:4">
      <c r="D562" s="7" t="e">
        <f t="shared" si="8"/>
        <v>#DIV/0!</v>
      </c>
    </row>
    <row r="563" customHeight="1" spans="4:4">
      <c r="D563" s="7" t="e">
        <f t="shared" si="8"/>
        <v>#DIV/0!</v>
      </c>
    </row>
    <row r="564" customHeight="1" spans="4:4">
      <c r="D564" s="7" t="e">
        <f t="shared" si="8"/>
        <v>#DIV/0!</v>
      </c>
    </row>
    <row r="565" customHeight="1" spans="4:4">
      <c r="D565" s="7" t="e">
        <f t="shared" si="8"/>
        <v>#DIV/0!</v>
      </c>
    </row>
    <row r="566" customHeight="1" spans="4:4">
      <c r="D566" s="7" t="e">
        <f t="shared" si="8"/>
        <v>#DIV/0!</v>
      </c>
    </row>
    <row r="567" customHeight="1" spans="4:4">
      <c r="D567" s="7" t="e">
        <f t="shared" si="8"/>
        <v>#DIV/0!</v>
      </c>
    </row>
    <row r="568" customHeight="1" spans="4:4">
      <c r="D568" s="7" t="e">
        <f t="shared" si="8"/>
        <v>#DIV/0!</v>
      </c>
    </row>
    <row r="569" customHeight="1" spans="4:4">
      <c r="D569" s="7" t="e">
        <f t="shared" si="8"/>
        <v>#DIV/0!</v>
      </c>
    </row>
    <row r="570" customHeight="1" spans="4:4">
      <c r="D570" s="7" t="e">
        <f t="shared" si="8"/>
        <v>#DIV/0!</v>
      </c>
    </row>
    <row r="571" customHeight="1" spans="4:4">
      <c r="D571" s="7" t="e">
        <f t="shared" si="8"/>
        <v>#DIV/0!</v>
      </c>
    </row>
    <row r="572" customHeight="1" spans="4:4">
      <c r="D572" s="7" t="e">
        <f t="shared" si="8"/>
        <v>#DIV/0!</v>
      </c>
    </row>
    <row r="573" customHeight="1" spans="4:4">
      <c r="D573" s="7" t="e">
        <f t="shared" si="8"/>
        <v>#DIV/0!</v>
      </c>
    </row>
    <row r="574" customHeight="1" spans="4:4">
      <c r="D574" s="7" t="e">
        <f t="shared" si="8"/>
        <v>#DIV/0!</v>
      </c>
    </row>
    <row r="575" customHeight="1" spans="4:4">
      <c r="D575" s="7" t="e">
        <f t="shared" si="8"/>
        <v>#DIV/0!</v>
      </c>
    </row>
    <row r="576" customHeight="1" spans="4:4">
      <c r="D576" s="7" t="e">
        <f t="shared" si="8"/>
        <v>#DIV/0!</v>
      </c>
    </row>
    <row r="577" customHeight="1" spans="4:4">
      <c r="D577" s="7" t="e">
        <f t="shared" si="8"/>
        <v>#DIV/0!</v>
      </c>
    </row>
    <row r="578" customHeight="1" spans="4:4">
      <c r="D578" s="7" t="e">
        <f t="shared" si="8"/>
        <v>#DIV/0!</v>
      </c>
    </row>
    <row r="579" customHeight="1" spans="4:4">
      <c r="D579" s="7" t="e">
        <f t="shared" si="8"/>
        <v>#DIV/0!</v>
      </c>
    </row>
    <row r="580" customHeight="1" spans="4:4">
      <c r="D580" s="7" t="e">
        <f t="shared" ref="D580:D643" si="9">+B580/C580</f>
        <v>#DIV/0!</v>
      </c>
    </row>
    <row r="581" customHeight="1" spans="4:4">
      <c r="D581" s="7" t="e">
        <f t="shared" si="9"/>
        <v>#DIV/0!</v>
      </c>
    </row>
    <row r="582" customHeight="1" spans="4:4">
      <c r="D582" s="7" t="e">
        <f t="shared" si="9"/>
        <v>#DIV/0!</v>
      </c>
    </row>
    <row r="583" customHeight="1" spans="4:4">
      <c r="D583" s="7" t="e">
        <f t="shared" si="9"/>
        <v>#DIV/0!</v>
      </c>
    </row>
    <row r="584" customHeight="1" spans="4:4">
      <c r="D584" s="7" t="e">
        <f t="shared" si="9"/>
        <v>#DIV/0!</v>
      </c>
    </row>
    <row r="585" customHeight="1" spans="4:4">
      <c r="D585" s="7" t="e">
        <f t="shared" si="9"/>
        <v>#DIV/0!</v>
      </c>
    </row>
    <row r="586" customHeight="1" spans="4:4">
      <c r="D586" s="7" t="e">
        <f t="shared" si="9"/>
        <v>#DIV/0!</v>
      </c>
    </row>
    <row r="587" customHeight="1" spans="4:4">
      <c r="D587" s="7" t="e">
        <f t="shared" si="9"/>
        <v>#DIV/0!</v>
      </c>
    </row>
    <row r="588" customHeight="1" spans="4:4">
      <c r="D588" s="7" t="e">
        <f t="shared" si="9"/>
        <v>#DIV/0!</v>
      </c>
    </row>
    <row r="589" customHeight="1" spans="4:4">
      <c r="D589" s="7" t="e">
        <f t="shared" si="9"/>
        <v>#DIV/0!</v>
      </c>
    </row>
    <row r="590" customHeight="1" spans="4:4">
      <c r="D590" s="7" t="e">
        <f t="shared" si="9"/>
        <v>#DIV/0!</v>
      </c>
    </row>
    <row r="591" customHeight="1" spans="4:4">
      <c r="D591" s="7" t="e">
        <f t="shared" si="9"/>
        <v>#DIV/0!</v>
      </c>
    </row>
    <row r="592" customHeight="1" spans="4:4">
      <c r="D592" s="7" t="e">
        <f t="shared" si="9"/>
        <v>#DIV/0!</v>
      </c>
    </row>
    <row r="593" customHeight="1" spans="4:4">
      <c r="D593" s="7" t="e">
        <f t="shared" si="9"/>
        <v>#DIV/0!</v>
      </c>
    </row>
    <row r="594" customHeight="1" spans="4:4">
      <c r="D594" s="7" t="e">
        <f t="shared" si="9"/>
        <v>#DIV/0!</v>
      </c>
    </row>
    <row r="595" customHeight="1" spans="4:4">
      <c r="D595" s="7" t="e">
        <f t="shared" si="9"/>
        <v>#DIV/0!</v>
      </c>
    </row>
    <row r="596" customHeight="1" spans="4:4">
      <c r="D596" s="7" t="e">
        <f t="shared" si="9"/>
        <v>#DIV/0!</v>
      </c>
    </row>
    <row r="597" customHeight="1" spans="4:4">
      <c r="D597" s="7" t="e">
        <f t="shared" si="9"/>
        <v>#DIV/0!</v>
      </c>
    </row>
    <row r="598" customHeight="1" spans="4:4">
      <c r="D598" s="7" t="e">
        <f t="shared" si="9"/>
        <v>#DIV/0!</v>
      </c>
    </row>
    <row r="599" customHeight="1" spans="4:4">
      <c r="D599" s="7" t="e">
        <f t="shared" si="9"/>
        <v>#DIV/0!</v>
      </c>
    </row>
    <row r="600" customHeight="1" spans="4:4">
      <c r="D600" s="7" t="e">
        <f t="shared" si="9"/>
        <v>#DIV/0!</v>
      </c>
    </row>
    <row r="601" customHeight="1" spans="4:4">
      <c r="D601" s="7" t="e">
        <f t="shared" si="9"/>
        <v>#DIV/0!</v>
      </c>
    </row>
    <row r="602" customHeight="1" spans="4:4">
      <c r="D602" s="7" t="e">
        <f t="shared" si="9"/>
        <v>#DIV/0!</v>
      </c>
    </row>
    <row r="603" customHeight="1" spans="4:4">
      <c r="D603" s="7" t="e">
        <f t="shared" si="9"/>
        <v>#DIV/0!</v>
      </c>
    </row>
    <row r="604" customHeight="1" spans="4:4">
      <c r="D604" s="7" t="e">
        <f t="shared" si="9"/>
        <v>#DIV/0!</v>
      </c>
    </row>
    <row r="605" customHeight="1" spans="4:4">
      <c r="D605" s="7" t="e">
        <f t="shared" si="9"/>
        <v>#DIV/0!</v>
      </c>
    </row>
    <row r="606" customHeight="1" spans="4:4">
      <c r="D606" s="7" t="e">
        <f t="shared" si="9"/>
        <v>#DIV/0!</v>
      </c>
    </row>
    <row r="607" customHeight="1" spans="4:4">
      <c r="D607" s="7" t="e">
        <f t="shared" si="9"/>
        <v>#DIV/0!</v>
      </c>
    </row>
    <row r="608" customHeight="1" spans="4:4">
      <c r="D608" s="7" t="e">
        <f t="shared" si="9"/>
        <v>#DIV/0!</v>
      </c>
    </row>
    <row r="609" customHeight="1" spans="4:4">
      <c r="D609" s="7" t="e">
        <f t="shared" si="9"/>
        <v>#DIV/0!</v>
      </c>
    </row>
    <row r="610" customHeight="1" spans="4:4">
      <c r="D610" s="7" t="e">
        <f t="shared" si="9"/>
        <v>#DIV/0!</v>
      </c>
    </row>
    <row r="611" customHeight="1" spans="4:4">
      <c r="D611" s="7" t="e">
        <f t="shared" si="9"/>
        <v>#DIV/0!</v>
      </c>
    </row>
    <row r="612" customHeight="1" spans="4:4">
      <c r="D612" s="7" t="e">
        <f t="shared" si="9"/>
        <v>#DIV/0!</v>
      </c>
    </row>
    <row r="613" customHeight="1" spans="4:4">
      <c r="D613" s="7" t="e">
        <f t="shared" si="9"/>
        <v>#DIV/0!</v>
      </c>
    </row>
    <row r="614" customHeight="1" spans="4:4">
      <c r="D614" s="7" t="e">
        <f t="shared" si="9"/>
        <v>#DIV/0!</v>
      </c>
    </row>
    <row r="615" customHeight="1" spans="4:4">
      <c r="D615" s="7" t="e">
        <f t="shared" si="9"/>
        <v>#DIV/0!</v>
      </c>
    </row>
    <row r="616" customHeight="1" spans="4:4">
      <c r="D616" s="7" t="e">
        <f t="shared" si="9"/>
        <v>#DIV/0!</v>
      </c>
    </row>
    <row r="617" customHeight="1" spans="4:4">
      <c r="D617" s="7" t="e">
        <f t="shared" si="9"/>
        <v>#DIV/0!</v>
      </c>
    </row>
    <row r="618" customHeight="1" spans="4:4">
      <c r="D618" s="7" t="e">
        <f t="shared" si="9"/>
        <v>#DIV/0!</v>
      </c>
    </row>
    <row r="619" customHeight="1" spans="4:4">
      <c r="D619" s="7" t="e">
        <f t="shared" si="9"/>
        <v>#DIV/0!</v>
      </c>
    </row>
    <row r="620" customHeight="1" spans="4:4">
      <c r="D620" s="7" t="e">
        <f t="shared" si="9"/>
        <v>#DIV/0!</v>
      </c>
    </row>
    <row r="621" customHeight="1" spans="4:4">
      <c r="D621" s="7" t="e">
        <f t="shared" si="9"/>
        <v>#DIV/0!</v>
      </c>
    </row>
    <row r="622" customHeight="1" spans="4:4">
      <c r="D622" s="7" t="e">
        <f t="shared" si="9"/>
        <v>#DIV/0!</v>
      </c>
    </row>
    <row r="623" customHeight="1" spans="4:4">
      <c r="D623" s="7" t="e">
        <f t="shared" si="9"/>
        <v>#DIV/0!</v>
      </c>
    </row>
    <row r="624" customHeight="1" spans="4:4">
      <c r="D624" s="7" t="e">
        <f t="shared" si="9"/>
        <v>#DIV/0!</v>
      </c>
    </row>
    <row r="625" customHeight="1" spans="4:4">
      <c r="D625" s="7" t="e">
        <f t="shared" si="9"/>
        <v>#DIV/0!</v>
      </c>
    </row>
    <row r="626" customHeight="1" spans="4:4">
      <c r="D626" s="7" t="e">
        <f t="shared" si="9"/>
        <v>#DIV/0!</v>
      </c>
    </row>
    <row r="627" customHeight="1" spans="4:4">
      <c r="D627" s="7" t="e">
        <f t="shared" si="9"/>
        <v>#DIV/0!</v>
      </c>
    </row>
    <row r="628" customHeight="1" spans="4:4">
      <c r="D628" s="7" t="e">
        <f t="shared" si="9"/>
        <v>#DIV/0!</v>
      </c>
    </row>
    <row r="629" customHeight="1" spans="4:4">
      <c r="D629" s="7" t="e">
        <f t="shared" si="9"/>
        <v>#DIV/0!</v>
      </c>
    </row>
    <row r="630" customHeight="1" spans="4:4">
      <c r="D630" s="7" t="e">
        <f t="shared" si="9"/>
        <v>#DIV/0!</v>
      </c>
    </row>
    <row r="631" customHeight="1" spans="4:4">
      <c r="D631" s="7" t="e">
        <f t="shared" si="9"/>
        <v>#DIV/0!</v>
      </c>
    </row>
    <row r="632" customHeight="1" spans="4:4">
      <c r="D632" s="7" t="e">
        <f t="shared" si="9"/>
        <v>#DIV/0!</v>
      </c>
    </row>
    <row r="633" customHeight="1" spans="4:4">
      <c r="D633" s="7" t="e">
        <f t="shared" si="9"/>
        <v>#DIV/0!</v>
      </c>
    </row>
    <row r="634" customHeight="1" spans="4:4">
      <c r="D634" s="7" t="e">
        <f t="shared" si="9"/>
        <v>#DIV/0!</v>
      </c>
    </row>
    <row r="635" customHeight="1" spans="4:4">
      <c r="D635" s="7" t="e">
        <f t="shared" si="9"/>
        <v>#DIV/0!</v>
      </c>
    </row>
    <row r="636" customHeight="1" spans="4:4">
      <c r="D636" s="7" t="e">
        <f t="shared" si="9"/>
        <v>#DIV/0!</v>
      </c>
    </row>
    <row r="637" customHeight="1" spans="4:4">
      <c r="D637" s="7" t="e">
        <f t="shared" si="9"/>
        <v>#DIV/0!</v>
      </c>
    </row>
    <row r="638" customHeight="1" spans="4:4">
      <c r="D638" s="7" t="e">
        <f t="shared" si="9"/>
        <v>#DIV/0!</v>
      </c>
    </row>
    <row r="639" customHeight="1" spans="4:4">
      <c r="D639" s="7" t="e">
        <f t="shared" si="9"/>
        <v>#DIV/0!</v>
      </c>
    </row>
    <row r="640" customHeight="1" spans="4:4">
      <c r="D640" s="7" t="e">
        <f t="shared" si="9"/>
        <v>#DIV/0!</v>
      </c>
    </row>
    <row r="641" customHeight="1" spans="4:4">
      <c r="D641" s="7" t="e">
        <f t="shared" si="9"/>
        <v>#DIV/0!</v>
      </c>
    </row>
    <row r="642" customHeight="1" spans="4:4">
      <c r="D642" s="7" t="e">
        <f t="shared" si="9"/>
        <v>#DIV/0!</v>
      </c>
    </row>
    <row r="643" customHeight="1" spans="4:4">
      <c r="D643" s="7" t="e">
        <f t="shared" si="9"/>
        <v>#DIV/0!</v>
      </c>
    </row>
    <row r="644" customHeight="1" spans="4:4">
      <c r="D644" s="7" t="e">
        <f t="shared" ref="D644:D707" si="10">+B644/C644</f>
        <v>#DIV/0!</v>
      </c>
    </row>
    <row r="645" customHeight="1" spans="4:4">
      <c r="D645" s="7" t="e">
        <f t="shared" si="10"/>
        <v>#DIV/0!</v>
      </c>
    </row>
    <row r="646" customHeight="1" spans="4:4">
      <c r="D646" s="7" t="e">
        <f t="shared" si="10"/>
        <v>#DIV/0!</v>
      </c>
    </row>
    <row r="647" customHeight="1" spans="4:4">
      <c r="D647" s="7" t="e">
        <f t="shared" si="10"/>
        <v>#DIV/0!</v>
      </c>
    </row>
    <row r="648" customHeight="1" spans="4:4">
      <c r="D648" s="7" t="e">
        <f t="shared" si="10"/>
        <v>#DIV/0!</v>
      </c>
    </row>
    <row r="649" customHeight="1" spans="4:4">
      <c r="D649" s="7" t="e">
        <f t="shared" si="10"/>
        <v>#DIV/0!</v>
      </c>
    </row>
    <row r="650" customHeight="1" spans="4:4">
      <c r="D650" s="7" t="e">
        <f t="shared" si="10"/>
        <v>#DIV/0!</v>
      </c>
    </row>
    <row r="651" customHeight="1" spans="4:4">
      <c r="D651" s="7" t="e">
        <f t="shared" si="10"/>
        <v>#DIV/0!</v>
      </c>
    </row>
    <row r="652" customHeight="1" spans="4:4">
      <c r="D652" s="7" t="e">
        <f t="shared" si="10"/>
        <v>#DIV/0!</v>
      </c>
    </row>
    <row r="653" customHeight="1" spans="4:4">
      <c r="D653" s="7" t="e">
        <f t="shared" si="10"/>
        <v>#DIV/0!</v>
      </c>
    </row>
    <row r="654" customHeight="1" spans="4:4">
      <c r="D654" s="7" t="e">
        <f t="shared" si="10"/>
        <v>#DIV/0!</v>
      </c>
    </row>
    <row r="655" customHeight="1" spans="4:4">
      <c r="D655" s="7" t="e">
        <f t="shared" si="10"/>
        <v>#DIV/0!</v>
      </c>
    </row>
    <row r="656" customHeight="1" spans="4:4">
      <c r="D656" s="7" t="e">
        <f t="shared" si="10"/>
        <v>#DIV/0!</v>
      </c>
    </row>
    <row r="657" customHeight="1" spans="4:4">
      <c r="D657" s="7" t="e">
        <f t="shared" si="10"/>
        <v>#DIV/0!</v>
      </c>
    </row>
    <row r="658" customHeight="1" spans="4:4">
      <c r="D658" s="7" t="e">
        <f t="shared" si="10"/>
        <v>#DIV/0!</v>
      </c>
    </row>
    <row r="659" customHeight="1" spans="4:4">
      <c r="D659" s="7" t="e">
        <f t="shared" si="10"/>
        <v>#DIV/0!</v>
      </c>
    </row>
    <row r="660" customHeight="1" spans="4:4">
      <c r="D660" s="7" t="e">
        <f t="shared" si="10"/>
        <v>#DIV/0!</v>
      </c>
    </row>
    <row r="661" customHeight="1" spans="4:4">
      <c r="D661" s="7" t="e">
        <f t="shared" si="10"/>
        <v>#DIV/0!</v>
      </c>
    </row>
    <row r="662" customHeight="1" spans="4:4">
      <c r="D662" s="7" t="e">
        <f t="shared" si="10"/>
        <v>#DIV/0!</v>
      </c>
    </row>
    <row r="663" customHeight="1" spans="4:4">
      <c r="D663" s="7" t="e">
        <f t="shared" si="10"/>
        <v>#DIV/0!</v>
      </c>
    </row>
    <row r="664" customHeight="1" spans="4:4">
      <c r="D664" s="7" t="e">
        <f t="shared" si="10"/>
        <v>#DIV/0!</v>
      </c>
    </row>
    <row r="665" customHeight="1" spans="4:4">
      <c r="D665" s="7" t="e">
        <f t="shared" si="10"/>
        <v>#DIV/0!</v>
      </c>
    </row>
    <row r="666" customHeight="1" spans="4:4">
      <c r="D666" s="7" t="e">
        <f t="shared" si="10"/>
        <v>#DIV/0!</v>
      </c>
    </row>
    <row r="667" customHeight="1" spans="4:4">
      <c r="D667" s="7" t="e">
        <f t="shared" si="10"/>
        <v>#DIV/0!</v>
      </c>
    </row>
    <row r="668" customHeight="1" spans="4:4">
      <c r="D668" s="7" t="e">
        <f t="shared" si="10"/>
        <v>#DIV/0!</v>
      </c>
    </row>
    <row r="669" customHeight="1" spans="4:4">
      <c r="D669" s="7" t="e">
        <f t="shared" si="10"/>
        <v>#DIV/0!</v>
      </c>
    </row>
    <row r="670" customHeight="1" spans="4:4">
      <c r="D670" s="7" t="e">
        <f t="shared" si="10"/>
        <v>#DIV/0!</v>
      </c>
    </row>
    <row r="671" customHeight="1" spans="4:4">
      <c r="D671" s="7" t="e">
        <f t="shared" si="10"/>
        <v>#DIV/0!</v>
      </c>
    </row>
    <row r="672" customHeight="1" spans="4:4">
      <c r="D672" s="7" t="e">
        <f t="shared" si="10"/>
        <v>#DIV/0!</v>
      </c>
    </row>
    <row r="673" customHeight="1" spans="4:4">
      <c r="D673" s="7" t="e">
        <f t="shared" si="10"/>
        <v>#DIV/0!</v>
      </c>
    </row>
    <row r="674" customHeight="1" spans="4:4">
      <c r="D674" s="7" t="e">
        <f t="shared" si="10"/>
        <v>#DIV/0!</v>
      </c>
    </row>
    <row r="675" customHeight="1" spans="4:4">
      <c r="D675" s="7" t="e">
        <f t="shared" si="10"/>
        <v>#DIV/0!</v>
      </c>
    </row>
    <row r="676" customHeight="1" spans="4:4">
      <c r="D676" s="7" t="e">
        <f t="shared" si="10"/>
        <v>#DIV/0!</v>
      </c>
    </row>
    <row r="677" customHeight="1" spans="4:4">
      <c r="D677" s="7" t="e">
        <f t="shared" si="10"/>
        <v>#DIV/0!</v>
      </c>
    </row>
    <row r="678" customHeight="1" spans="4:4">
      <c r="D678" s="7" t="e">
        <f t="shared" si="10"/>
        <v>#DIV/0!</v>
      </c>
    </row>
    <row r="679" customHeight="1" spans="4:4">
      <c r="D679" s="7" t="e">
        <f t="shared" si="10"/>
        <v>#DIV/0!</v>
      </c>
    </row>
    <row r="680" customHeight="1" spans="4:4">
      <c r="D680" s="7" t="e">
        <f t="shared" si="10"/>
        <v>#DIV/0!</v>
      </c>
    </row>
    <row r="681" customHeight="1" spans="4:4">
      <c r="D681" s="7" t="e">
        <f t="shared" si="10"/>
        <v>#DIV/0!</v>
      </c>
    </row>
    <row r="682" customHeight="1" spans="4:4">
      <c r="D682" s="7" t="e">
        <f t="shared" si="10"/>
        <v>#DIV/0!</v>
      </c>
    </row>
    <row r="683" customHeight="1" spans="4:4">
      <c r="D683" s="7" t="e">
        <f t="shared" si="10"/>
        <v>#DIV/0!</v>
      </c>
    </row>
    <row r="684" customHeight="1" spans="4:4">
      <c r="D684" s="7" t="e">
        <f t="shared" si="10"/>
        <v>#DIV/0!</v>
      </c>
    </row>
    <row r="685" customHeight="1" spans="4:4">
      <c r="D685" s="7" t="e">
        <f t="shared" si="10"/>
        <v>#DIV/0!</v>
      </c>
    </row>
    <row r="686" customHeight="1" spans="4:4">
      <c r="D686" s="7" t="e">
        <f t="shared" si="10"/>
        <v>#DIV/0!</v>
      </c>
    </row>
    <row r="687" customHeight="1" spans="4:4">
      <c r="D687" s="7" t="e">
        <f t="shared" si="10"/>
        <v>#DIV/0!</v>
      </c>
    </row>
    <row r="688" customHeight="1" spans="4:4">
      <c r="D688" s="7" t="e">
        <f t="shared" si="10"/>
        <v>#DIV/0!</v>
      </c>
    </row>
    <row r="689" customHeight="1" spans="4:4">
      <c r="D689" s="7" t="e">
        <f t="shared" si="10"/>
        <v>#DIV/0!</v>
      </c>
    </row>
    <row r="690" customHeight="1" spans="4:4">
      <c r="D690" s="7" t="e">
        <f t="shared" si="10"/>
        <v>#DIV/0!</v>
      </c>
    </row>
    <row r="691" customHeight="1" spans="4:4">
      <c r="D691" s="7" t="e">
        <f t="shared" si="10"/>
        <v>#DIV/0!</v>
      </c>
    </row>
    <row r="692" customHeight="1" spans="4:4">
      <c r="D692" s="7" t="e">
        <f t="shared" si="10"/>
        <v>#DIV/0!</v>
      </c>
    </row>
    <row r="693" customHeight="1" spans="4:4">
      <c r="D693" s="7" t="e">
        <f t="shared" si="10"/>
        <v>#DIV/0!</v>
      </c>
    </row>
    <row r="694" customHeight="1" spans="4:4">
      <c r="D694" s="7" t="e">
        <f t="shared" si="10"/>
        <v>#DIV/0!</v>
      </c>
    </row>
    <row r="695" customHeight="1" spans="4:4">
      <c r="D695" s="7" t="e">
        <f t="shared" si="10"/>
        <v>#DIV/0!</v>
      </c>
    </row>
    <row r="696" customHeight="1" spans="4:4">
      <c r="D696" s="7" t="e">
        <f t="shared" si="10"/>
        <v>#DIV/0!</v>
      </c>
    </row>
    <row r="697" customHeight="1" spans="4:4">
      <c r="D697" s="7" t="e">
        <f t="shared" si="10"/>
        <v>#DIV/0!</v>
      </c>
    </row>
    <row r="698" customHeight="1" spans="4:4">
      <c r="D698" s="7" t="e">
        <f t="shared" si="10"/>
        <v>#DIV/0!</v>
      </c>
    </row>
    <row r="699" customHeight="1" spans="4:4">
      <c r="D699" s="7" t="e">
        <f t="shared" si="10"/>
        <v>#DIV/0!</v>
      </c>
    </row>
    <row r="700" customHeight="1" spans="4:4">
      <c r="D700" s="7" t="e">
        <f t="shared" si="10"/>
        <v>#DIV/0!</v>
      </c>
    </row>
    <row r="701" customHeight="1" spans="4:4">
      <c r="D701" s="7" t="e">
        <f t="shared" si="10"/>
        <v>#DIV/0!</v>
      </c>
    </row>
    <row r="702" customHeight="1" spans="4:4">
      <c r="D702" s="7" t="e">
        <f t="shared" si="10"/>
        <v>#DIV/0!</v>
      </c>
    </row>
    <row r="703" customHeight="1" spans="4:4">
      <c r="D703" s="7" t="e">
        <f t="shared" si="10"/>
        <v>#DIV/0!</v>
      </c>
    </row>
    <row r="704" customHeight="1" spans="4:4">
      <c r="D704" s="7" t="e">
        <f t="shared" si="10"/>
        <v>#DIV/0!</v>
      </c>
    </row>
    <row r="705" customHeight="1" spans="4:4">
      <c r="D705" s="7" t="e">
        <f t="shared" si="10"/>
        <v>#DIV/0!</v>
      </c>
    </row>
    <row r="706" customHeight="1" spans="4:4">
      <c r="D706" s="7" t="e">
        <f t="shared" si="10"/>
        <v>#DIV/0!</v>
      </c>
    </row>
    <row r="707" customHeight="1" spans="4:4">
      <c r="D707" s="7" t="e">
        <f t="shared" si="10"/>
        <v>#DIV/0!</v>
      </c>
    </row>
    <row r="708" customHeight="1" spans="4:4">
      <c r="D708" s="7" t="e">
        <f t="shared" ref="D708:D771" si="11">+B708/C708</f>
        <v>#DIV/0!</v>
      </c>
    </row>
    <row r="709" customHeight="1" spans="4:4">
      <c r="D709" s="7" t="e">
        <f t="shared" si="11"/>
        <v>#DIV/0!</v>
      </c>
    </row>
    <row r="710" customHeight="1" spans="4:4">
      <c r="D710" s="7" t="e">
        <f t="shared" si="11"/>
        <v>#DIV/0!</v>
      </c>
    </row>
    <row r="711" customHeight="1" spans="4:4">
      <c r="D711" s="7" t="e">
        <f t="shared" si="11"/>
        <v>#DIV/0!</v>
      </c>
    </row>
    <row r="712" customHeight="1" spans="4:4">
      <c r="D712" s="7" t="e">
        <f t="shared" si="11"/>
        <v>#DIV/0!</v>
      </c>
    </row>
    <row r="713" customHeight="1" spans="4:4">
      <c r="D713" s="7" t="e">
        <f t="shared" si="11"/>
        <v>#DIV/0!</v>
      </c>
    </row>
    <row r="714" customHeight="1" spans="4:4">
      <c r="D714" s="7" t="e">
        <f t="shared" si="11"/>
        <v>#DIV/0!</v>
      </c>
    </row>
    <row r="715" customHeight="1" spans="4:4">
      <c r="D715" s="7" t="e">
        <f t="shared" si="11"/>
        <v>#DIV/0!</v>
      </c>
    </row>
    <row r="716" customHeight="1" spans="4:4">
      <c r="D716" s="7" t="e">
        <f t="shared" si="11"/>
        <v>#DIV/0!</v>
      </c>
    </row>
    <row r="717" customHeight="1" spans="4:4">
      <c r="D717" s="7" t="e">
        <f t="shared" si="11"/>
        <v>#DIV/0!</v>
      </c>
    </row>
    <row r="718" customHeight="1" spans="4:4">
      <c r="D718" s="7" t="e">
        <f t="shared" si="11"/>
        <v>#DIV/0!</v>
      </c>
    </row>
    <row r="719" customHeight="1" spans="4:4">
      <c r="D719" s="7" t="e">
        <f t="shared" si="11"/>
        <v>#DIV/0!</v>
      </c>
    </row>
    <row r="720" customHeight="1" spans="4:4">
      <c r="D720" s="7" t="e">
        <f t="shared" si="11"/>
        <v>#DIV/0!</v>
      </c>
    </row>
    <row r="721" customHeight="1" spans="4:4">
      <c r="D721" s="7" t="e">
        <f t="shared" si="11"/>
        <v>#DIV/0!</v>
      </c>
    </row>
    <row r="722" customHeight="1" spans="4:4">
      <c r="D722" s="7" t="e">
        <f t="shared" si="11"/>
        <v>#DIV/0!</v>
      </c>
    </row>
    <row r="723" customHeight="1" spans="4:4">
      <c r="D723" s="7" t="e">
        <f t="shared" si="11"/>
        <v>#DIV/0!</v>
      </c>
    </row>
    <row r="724" customHeight="1" spans="4:4">
      <c r="D724" s="7" t="e">
        <f t="shared" si="11"/>
        <v>#DIV/0!</v>
      </c>
    </row>
    <row r="725" customHeight="1" spans="4:4">
      <c r="D725" s="7" t="e">
        <f t="shared" si="11"/>
        <v>#DIV/0!</v>
      </c>
    </row>
    <row r="726" customHeight="1" spans="4:4">
      <c r="D726" s="7" t="e">
        <f t="shared" si="11"/>
        <v>#DIV/0!</v>
      </c>
    </row>
    <row r="727" customHeight="1" spans="4:4">
      <c r="D727" s="7" t="e">
        <f t="shared" si="11"/>
        <v>#DIV/0!</v>
      </c>
    </row>
    <row r="728" customHeight="1" spans="4:4">
      <c r="D728" s="7" t="e">
        <f t="shared" si="11"/>
        <v>#DIV/0!</v>
      </c>
    </row>
    <row r="729" customHeight="1" spans="4:4">
      <c r="D729" s="7" t="e">
        <f t="shared" si="11"/>
        <v>#DIV/0!</v>
      </c>
    </row>
    <row r="730" customHeight="1" spans="4:4">
      <c r="D730" s="7" t="e">
        <f t="shared" si="11"/>
        <v>#DIV/0!</v>
      </c>
    </row>
    <row r="731" customHeight="1" spans="4:4">
      <c r="D731" s="7" t="e">
        <f t="shared" si="11"/>
        <v>#DIV/0!</v>
      </c>
    </row>
    <row r="732" customHeight="1" spans="4:4">
      <c r="D732" s="7" t="e">
        <f t="shared" si="11"/>
        <v>#DIV/0!</v>
      </c>
    </row>
    <row r="733" customHeight="1" spans="4:4">
      <c r="D733" s="7" t="e">
        <f t="shared" si="11"/>
        <v>#DIV/0!</v>
      </c>
    </row>
    <row r="734" customHeight="1" spans="4:4">
      <c r="D734" s="7" t="e">
        <f t="shared" si="11"/>
        <v>#DIV/0!</v>
      </c>
    </row>
    <row r="735" customHeight="1" spans="4:4">
      <c r="D735" s="7" t="e">
        <f t="shared" si="11"/>
        <v>#DIV/0!</v>
      </c>
    </row>
    <row r="736" customHeight="1" spans="4:4">
      <c r="D736" s="7" t="e">
        <f t="shared" si="11"/>
        <v>#DIV/0!</v>
      </c>
    </row>
    <row r="737" customHeight="1" spans="4:4">
      <c r="D737" s="7" t="e">
        <f t="shared" si="11"/>
        <v>#DIV/0!</v>
      </c>
    </row>
    <row r="738" customHeight="1" spans="4:4">
      <c r="D738" s="7" t="e">
        <f t="shared" si="11"/>
        <v>#DIV/0!</v>
      </c>
    </row>
    <row r="739" customHeight="1" spans="4:4">
      <c r="D739" s="7" t="e">
        <f t="shared" si="11"/>
        <v>#DIV/0!</v>
      </c>
    </row>
    <row r="740" customHeight="1" spans="4:4">
      <c r="D740" s="7" t="e">
        <f t="shared" si="11"/>
        <v>#DIV/0!</v>
      </c>
    </row>
    <row r="741" customHeight="1" spans="4:4">
      <c r="D741" s="7" t="e">
        <f t="shared" si="11"/>
        <v>#DIV/0!</v>
      </c>
    </row>
    <row r="742" customHeight="1" spans="4:4">
      <c r="D742" s="7" t="e">
        <f t="shared" si="11"/>
        <v>#DIV/0!</v>
      </c>
    </row>
    <row r="743" customHeight="1" spans="4:4">
      <c r="D743" s="7" t="e">
        <f t="shared" si="11"/>
        <v>#DIV/0!</v>
      </c>
    </row>
    <row r="744" customHeight="1" spans="4:4">
      <c r="D744" s="7" t="e">
        <f t="shared" si="11"/>
        <v>#DIV/0!</v>
      </c>
    </row>
    <row r="745" customHeight="1" spans="4:4">
      <c r="D745" s="7" t="e">
        <f t="shared" si="11"/>
        <v>#DIV/0!</v>
      </c>
    </row>
    <row r="746" customHeight="1" spans="4:4">
      <c r="D746" s="7" t="e">
        <f t="shared" si="11"/>
        <v>#DIV/0!</v>
      </c>
    </row>
    <row r="747" customHeight="1" spans="4:4">
      <c r="D747" s="7" t="e">
        <f t="shared" si="11"/>
        <v>#DIV/0!</v>
      </c>
    </row>
    <row r="748" customHeight="1" spans="4:4">
      <c r="D748" s="7" t="e">
        <f t="shared" si="11"/>
        <v>#DIV/0!</v>
      </c>
    </row>
    <row r="749" customHeight="1" spans="4:4">
      <c r="D749" s="7" t="e">
        <f t="shared" si="11"/>
        <v>#DIV/0!</v>
      </c>
    </row>
    <row r="750" customHeight="1" spans="4:4">
      <c r="D750" s="7" t="e">
        <f t="shared" si="11"/>
        <v>#DIV/0!</v>
      </c>
    </row>
    <row r="751" customHeight="1" spans="4:4">
      <c r="D751" s="7" t="e">
        <f t="shared" si="11"/>
        <v>#DIV/0!</v>
      </c>
    </row>
    <row r="752" customHeight="1" spans="4:4">
      <c r="D752" s="7" t="e">
        <f t="shared" si="11"/>
        <v>#DIV/0!</v>
      </c>
    </row>
    <row r="753" customHeight="1" spans="4:4">
      <c r="D753" s="7" t="e">
        <f t="shared" si="11"/>
        <v>#DIV/0!</v>
      </c>
    </row>
    <row r="754" customHeight="1" spans="4:4">
      <c r="D754" s="7" t="e">
        <f t="shared" si="11"/>
        <v>#DIV/0!</v>
      </c>
    </row>
    <row r="755" customHeight="1" spans="4:4">
      <c r="D755" s="7" t="e">
        <f t="shared" si="11"/>
        <v>#DIV/0!</v>
      </c>
    </row>
    <row r="756" customHeight="1" spans="4:4">
      <c r="D756" s="7" t="e">
        <f t="shared" si="11"/>
        <v>#DIV/0!</v>
      </c>
    </row>
    <row r="757" customHeight="1" spans="4:4">
      <c r="D757" s="7" t="e">
        <f t="shared" si="11"/>
        <v>#DIV/0!</v>
      </c>
    </row>
    <row r="758" customHeight="1" spans="4:4">
      <c r="D758" s="7" t="e">
        <f t="shared" si="11"/>
        <v>#DIV/0!</v>
      </c>
    </row>
    <row r="759" customHeight="1" spans="4:4">
      <c r="D759" s="7" t="e">
        <f t="shared" si="11"/>
        <v>#DIV/0!</v>
      </c>
    </row>
    <row r="760" customHeight="1" spans="4:4">
      <c r="D760" s="7" t="e">
        <f t="shared" si="11"/>
        <v>#DIV/0!</v>
      </c>
    </row>
    <row r="761" customHeight="1" spans="4:4">
      <c r="D761" s="7" t="e">
        <f t="shared" si="11"/>
        <v>#DIV/0!</v>
      </c>
    </row>
    <row r="762" customHeight="1" spans="4:4">
      <c r="D762" s="7" t="e">
        <f t="shared" si="11"/>
        <v>#DIV/0!</v>
      </c>
    </row>
    <row r="763" customHeight="1" spans="4:4">
      <c r="D763" s="7" t="e">
        <f t="shared" si="11"/>
        <v>#DIV/0!</v>
      </c>
    </row>
    <row r="764" customHeight="1" spans="4:4">
      <c r="D764" s="7" t="e">
        <f t="shared" si="11"/>
        <v>#DIV/0!</v>
      </c>
    </row>
    <row r="765" customHeight="1" spans="4:4">
      <c r="D765" s="7" t="e">
        <f t="shared" si="11"/>
        <v>#DIV/0!</v>
      </c>
    </row>
    <row r="766" customHeight="1" spans="4:4">
      <c r="D766" s="7" t="e">
        <f t="shared" si="11"/>
        <v>#DIV/0!</v>
      </c>
    </row>
    <row r="767" customHeight="1" spans="4:4">
      <c r="D767" s="7" t="e">
        <f t="shared" si="11"/>
        <v>#DIV/0!</v>
      </c>
    </row>
    <row r="768" customHeight="1" spans="4:4">
      <c r="D768" s="7" t="e">
        <f t="shared" si="11"/>
        <v>#DIV/0!</v>
      </c>
    </row>
    <row r="769" customHeight="1" spans="4:4">
      <c r="D769" s="7" t="e">
        <f t="shared" si="11"/>
        <v>#DIV/0!</v>
      </c>
    </row>
    <row r="770" customHeight="1" spans="4:4">
      <c r="D770" s="7" t="e">
        <f t="shared" si="11"/>
        <v>#DIV/0!</v>
      </c>
    </row>
    <row r="771" customHeight="1" spans="4:4">
      <c r="D771" s="7" t="e">
        <f t="shared" si="11"/>
        <v>#DIV/0!</v>
      </c>
    </row>
    <row r="772" customHeight="1" spans="4:4">
      <c r="D772" s="7" t="e">
        <f t="shared" ref="D772:D835" si="12">+B772/C772</f>
        <v>#DIV/0!</v>
      </c>
    </row>
    <row r="773" customHeight="1" spans="4:4">
      <c r="D773" s="7" t="e">
        <f t="shared" si="12"/>
        <v>#DIV/0!</v>
      </c>
    </row>
    <row r="774" customHeight="1" spans="4:4">
      <c r="D774" s="7" t="e">
        <f t="shared" si="12"/>
        <v>#DIV/0!</v>
      </c>
    </row>
    <row r="775" customHeight="1" spans="4:4">
      <c r="D775" s="7" t="e">
        <f t="shared" si="12"/>
        <v>#DIV/0!</v>
      </c>
    </row>
    <row r="776" customHeight="1" spans="4:4">
      <c r="D776" s="7" t="e">
        <f t="shared" si="12"/>
        <v>#DIV/0!</v>
      </c>
    </row>
    <row r="777" customHeight="1" spans="4:4">
      <c r="D777" s="7" t="e">
        <f t="shared" si="12"/>
        <v>#DIV/0!</v>
      </c>
    </row>
    <row r="778" customHeight="1" spans="4:4">
      <c r="D778" s="7" t="e">
        <f t="shared" si="12"/>
        <v>#DIV/0!</v>
      </c>
    </row>
    <row r="779" customHeight="1" spans="4:4">
      <c r="D779" s="7" t="e">
        <f t="shared" si="12"/>
        <v>#DIV/0!</v>
      </c>
    </row>
    <row r="780" customHeight="1" spans="4:4">
      <c r="D780" s="7" t="e">
        <f t="shared" si="12"/>
        <v>#DIV/0!</v>
      </c>
    </row>
    <row r="781" customHeight="1" spans="4:4">
      <c r="D781" s="7" t="e">
        <f t="shared" si="12"/>
        <v>#DIV/0!</v>
      </c>
    </row>
    <row r="782" customHeight="1" spans="4:4">
      <c r="D782" s="7" t="e">
        <f t="shared" si="12"/>
        <v>#DIV/0!</v>
      </c>
    </row>
    <row r="783" customHeight="1" spans="4:4">
      <c r="D783" s="7" t="e">
        <f t="shared" si="12"/>
        <v>#DIV/0!</v>
      </c>
    </row>
    <row r="784" customHeight="1" spans="4:4">
      <c r="D784" s="7" t="e">
        <f t="shared" si="12"/>
        <v>#DIV/0!</v>
      </c>
    </row>
    <row r="785" customHeight="1" spans="4:4">
      <c r="D785" s="7" t="e">
        <f t="shared" si="12"/>
        <v>#DIV/0!</v>
      </c>
    </row>
    <row r="786" customHeight="1" spans="4:4">
      <c r="D786" s="7" t="e">
        <f t="shared" si="12"/>
        <v>#DIV/0!</v>
      </c>
    </row>
    <row r="787" customHeight="1" spans="4:4">
      <c r="D787" s="7" t="e">
        <f t="shared" si="12"/>
        <v>#DIV/0!</v>
      </c>
    </row>
    <row r="788" customHeight="1" spans="4:4">
      <c r="D788" s="7" t="e">
        <f t="shared" si="12"/>
        <v>#DIV/0!</v>
      </c>
    </row>
    <row r="789" customHeight="1" spans="4:4">
      <c r="D789" s="7" t="e">
        <f t="shared" si="12"/>
        <v>#DIV/0!</v>
      </c>
    </row>
    <row r="790" customHeight="1" spans="4:4">
      <c r="D790" s="7" t="e">
        <f t="shared" si="12"/>
        <v>#DIV/0!</v>
      </c>
    </row>
    <row r="791" customHeight="1" spans="4:4">
      <c r="D791" s="7" t="e">
        <f t="shared" si="12"/>
        <v>#DIV/0!</v>
      </c>
    </row>
    <row r="792" customHeight="1" spans="4:4">
      <c r="D792" s="7" t="e">
        <f t="shared" si="12"/>
        <v>#DIV/0!</v>
      </c>
    </row>
    <row r="793" customHeight="1" spans="4:4">
      <c r="D793" s="7" t="e">
        <f t="shared" si="12"/>
        <v>#DIV/0!</v>
      </c>
    </row>
    <row r="794" customHeight="1" spans="4:4">
      <c r="D794" s="7" t="e">
        <f t="shared" si="12"/>
        <v>#DIV/0!</v>
      </c>
    </row>
    <row r="795" customHeight="1" spans="4:4">
      <c r="D795" s="7" t="e">
        <f t="shared" si="12"/>
        <v>#DIV/0!</v>
      </c>
    </row>
    <row r="796" customHeight="1" spans="4:4">
      <c r="D796" s="7" t="e">
        <f t="shared" si="12"/>
        <v>#DIV/0!</v>
      </c>
    </row>
    <row r="797" customHeight="1" spans="4:4">
      <c r="D797" s="7" t="e">
        <f t="shared" si="12"/>
        <v>#DIV/0!</v>
      </c>
    </row>
    <row r="798" customHeight="1" spans="4:4">
      <c r="D798" s="7" t="e">
        <f t="shared" si="12"/>
        <v>#DIV/0!</v>
      </c>
    </row>
    <row r="799" customHeight="1" spans="4:4">
      <c r="D799" s="7" t="e">
        <f t="shared" si="12"/>
        <v>#DIV/0!</v>
      </c>
    </row>
    <row r="800" customHeight="1" spans="4:4">
      <c r="D800" s="7" t="e">
        <f t="shared" si="12"/>
        <v>#DIV/0!</v>
      </c>
    </row>
    <row r="801" customHeight="1" spans="4:4">
      <c r="D801" s="7" t="e">
        <f t="shared" si="12"/>
        <v>#DIV/0!</v>
      </c>
    </row>
    <row r="802" customHeight="1" spans="4:4">
      <c r="D802" s="7" t="e">
        <f t="shared" si="12"/>
        <v>#DIV/0!</v>
      </c>
    </row>
    <row r="803" customHeight="1" spans="4:4">
      <c r="D803" s="7" t="e">
        <f t="shared" si="12"/>
        <v>#DIV/0!</v>
      </c>
    </row>
    <row r="804" customHeight="1" spans="4:4">
      <c r="D804" s="7" t="e">
        <f t="shared" si="12"/>
        <v>#DIV/0!</v>
      </c>
    </row>
    <row r="805" customHeight="1" spans="4:4">
      <c r="D805" s="7" t="e">
        <f t="shared" si="12"/>
        <v>#DIV/0!</v>
      </c>
    </row>
    <row r="806" customHeight="1" spans="4:4">
      <c r="D806" s="7" t="e">
        <f t="shared" si="12"/>
        <v>#DIV/0!</v>
      </c>
    </row>
    <row r="807" customHeight="1" spans="4:4">
      <c r="D807" s="7" t="e">
        <f t="shared" si="12"/>
        <v>#DIV/0!</v>
      </c>
    </row>
    <row r="808" customHeight="1" spans="4:4">
      <c r="D808" s="7" t="e">
        <f t="shared" si="12"/>
        <v>#DIV/0!</v>
      </c>
    </row>
    <row r="809" customHeight="1" spans="4:4">
      <c r="D809" s="7" t="e">
        <f t="shared" si="12"/>
        <v>#DIV/0!</v>
      </c>
    </row>
    <row r="810" customHeight="1" spans="4:4">
      <c r="D810" s="7" t="e">
        <f t="shared" si="12"/>
        <v>#DIV/0!</v>
      </c>
    </row>
    <row r="811" customHeight="1" spans="4:4">
      <c r="D811" s="7" t="e">
        <f t="shared" si="12"/>
        <v>#DIV/0!</v>
      </c>
    </row>
    <row r="812" customHeight="1" spans="4:4">
      <c r="D812" s="7" t="e">
        <f t="shared" si="12"/>
        <v>#DIV/0!</v>
      </c>
    </row>
    <row r="813" customHeight="1" spans="4:4">
      <c r="D813" s="7" t="e">
        <f t="shared" si="12"/>
        <v>#DIV/0!</v>
      </c>
    </row>
    <row r="814" customHeight="1" spans="4:4">
      <c r="D814" s="7" t="e">
        <f t="shared" si="12"/>
        <v>#DIV/0!</v>
      </c>
    </row>
    <row r="815" customHeight="1" spans="4:4">
      <c r="D815" s="7" t="e">
        <f t="shared" si="12"/>
        <v>#DIV/0!</v>
      </c>
    </row>
    <row r="816" customHeight="1" spans="4:4">
      <c r="D816" s="7" t="e">
        <f t="shared" si="12"/>
        <v>#DIV/0!</v>
      </c>
    </row>
    <row r="817" customHeight="1" spans="4:4">
      <c r="D817" s="7" t="e">
        <f t="shared" si="12"/>
        <v>#DIV/0!</v>
      </c>
    </row>
    <row r="818" customHeight="1" spans="4:4">
      <c r="D818" s="7" t="e">
        <f t="shared" si="12"/>
        <v>#DIV/0!</v>
      </c>
    </row>
    <row r="819" customHeight="1" spans="4:4">
      <c r="D819" s="7" t="e">
        <f t="shared" si="12"/>
        <v>#DIV/0!</v>
      </c>
    </row>
    <row r="820" customHeight="1" spans="4:4">
      <c r="D820" s="7" t="e">
        <f t="shared" si="12"/>
        <v>#DIV/0!</v>
      </c>
    </row>
    <row r="821" customHeight="1" spans="4:4">
      <c r="D821" s="7" t="e">
        <f t="shared" si="12"/>
        <v>#DIV/0!</v>
      </c>
    </row>
    <row r="822" customHeight="1" spans="4:4">
      <c r="D822" s="7" t="e">
        <f t="shared" si="12"/>
        <v>#DIV/0!</v>
      </c>
    </row>
    <row r="823" customHeight="1" spans="4:4">
      <c r="D823" s="7" t="e">
        <f t="shared" si="12"/>
        <v>#DIV/0!</v>
      </c>
    </row>
    <row r="824" customHeight="1" spans="4:4">
      <c r="D824" s="7" t="e">
        <f t="shared" si="12"/>
        <v>#DIV/0!</v>
      </c>
    </row>
    <row r="825" customHeight="1" spans="4:4">
      <c r="D825" s="7" t="e">
        <f t="shared" si="12"/>
        <v>#DIV/0!</v>
      </c>
    </row>
    <row r="826" customHeight="1" spans="4:4">
      <c r="D826" s="7" t="e">
        <f t="shared" si="12"/>
        <v>#DIV/0!</v>
      </c>
    </row>
    <row r="827" customHeight="1" spans="4:4">
      <c r="D827" s="7" t="e">
        <f t="shared" si="12"/>
        <v>#DIV/0!</v>
      </c>
    </row>
    <row r="828" customHeight="1" spans="4:4">
      <c r="D828" s="7" t="e">
        <f t="shared" si="12"/>
        <v>#DIV/0!</v>
      </c>
    </row>
    <row r="829" customHeight="1" spans="4:4">
      <c r="D829" s="7" t="e">
        <f t="shared" si="12"/>
        <v>#DIV/0!</v>
      </c>
    </row>
    <row r="830" customHeight="1" spans="4:4">
      <c r="D830" s="7" t="e">
        <f t="shared" si="12"/>
        <v>#DIV/0!</v>
      </c>
    </row>
    <row r="831" customHeight="1" spans="4:4">
      <c r="D831" s="7" t="e">
        <f t="shared" si="12"/>
        <v>#DIV/0!</v>
      </c>
    </row>
    <row r="832" customHeight="1" spans="4:4">
      <c r="D832" s="7" t="e">
        <f t="shared" si="12"/>
        <v>#DIV/0!</v>
      </c>
    </row>
    <row r="833" customHeight="1" spans="4:4">
      <c r="D833" s="7" t="e">
        <f t="shared" si="12"/>
        <v>#DIV/0!</v>
      </c>
    </row>
    <row r="834" customHeight="1" spans="4:4">
      <c r="D834" s="7" t="e">
        <f t="shared" si="12"/>
        <v>#DIV/0!</v>
      </c>
    </row>
    <row r="835" customHeight="1" spans="4:4">
      <c r="D835" s="7" t="e">
        <f t="shared" si="12"/>
        <v>#DIV/0!</v>
      </c>
    </row>
    <row r="836" customHeight="1" spans="4:4">
      <c r="D836" s="7" t="e">
        <f t="shared" ref="D836:D899" si="13">+B836/C836</f>
        <v>#DIV/0!</v>
      </c>
    </row>
    <row r="837" customHeight="1" spans="4:4">
      <c r="D837" s="7" t="e">
        <f t="shared" si="13"/>
        <v>#DIV/0!</v>
      </c>
    </row>
    <row r="838" customHeight="1" spans="4:4">
      <c r="D838" s="7" t="e">
        <f t="shared" si="13"/>
        <v>#DIV/0!</v>
      </c>
    </row>
    <row r="839" customHeight="1" spans="4:4">
      <c r="D839" s="7" t="e">
        <f t="shared" si="13"/>
        <v>#DIV/0!</v>
      </c>
    </row>
    <row r="840" customHeight="1" spans="4:4">
      <c r="D840" s="7" t="e">
        <f t="shared" si="13"/>
        <v>#DIV/0!</v>
      </c>
    </row>
    <row r="841" customHeight="1" spans="4:4">
      <c r="D841" s="7" t="e">
        <f t="shared" si="13"/>
        <v>#DIV/0!</v>
      </c>
    </row>
    <row r="842" customHeight="1" spans="4:4">
      <c r="D842" s="7" t="e">
        <f t="shared" si="13"/>
        <v>#DIV/0!</v>
      </c>
    </row>
    <row r="843" customHeight="1" spans="4:4">
      <c r="D843" s="7" t="e">
        <f t="shared" si="13"/>
        <v>#DIV/0!</v>
      </c>
    </row>
    <row r="844" customHeight="1" spans="4:4">
      <c r="D844" s="7" t="e">
        <f t="shared" si="13"/>
        <v>#DIV/0!</v>
      </c>
    </row>
    <row r="845" customHeight="1" spans="4:4">
      <c r="D845" s="7" t="e">
        <f t="shared" si="13"/>
        <v>#DIV/0!</v>
      </c>
    </row>
    <row r="846" customHeight="1" spans="4:4">
      <c r="D846" s="7" t="e">
        <f t="shared" si="13"/>
        <v>#DIV/0!</v>
      </c>
    </row>
    <row r="847" customHeight="1" spans="4:4">
      <c r="D847" s="7" t="e">
        <f t="shared" si="13"/>
        <v>#DIV/0!</v>
      </c>
    </row>
    <row r="848" customHeight="1" spans="4:4">
      <c r="D848" s="7" t="e">
        <f t="shared" si="13"/>
        <v>#DIV/0!</v>
      </c>
    </row>
    <row r="849" customHeight="1" spans="4:4">
      <c r="D849" s="7" t="e">
        <f t="shared" si="13"/>
        <v>#DIV/0!</v>
      </c>
    </row>
    <row r="850" customHeight="1" spans="4:4">
      <c r="D850" s="7" t="e">
        <f t="shared" si="13"/>
        <v>#DIV/0!</v>
      </c>
    </row>
    <row r="851" customHeight="1" spans="4:4">
      <c r="D851" s="7" t="e">
        <f t="shared" si="13"/>
        <v>#DIV/0!</v>
      </c>
    </row>
    <row r="852" customHeight="1" spans="4:4">
      <c r="D852" s="7" t="e">
        <f t="shared" si="13"/>
        <v>#DIV/0!</v>
      </c>
    </row>
    <row r="853" customHeight="1" spans="4:4">
      <c r="D853" s="7" t="e">
        <f t="shared" si="13"/>
        <v>#DIV/0!</v>
      </c>
    </row>
    <row r="854" customHeight="1" spans="4:4">
      <c r="D854" s="7" t="e">
        <f t="shared" si="13"/>
        <v>#DIV/0!</v>
      </c>
    </row>
    <row r="855" customHeight="1" spans="4:4">
      <c r="D855" s="7" t="e">
        <f t="shared" si="13"/>
        <v>#DIV/0!</v>
      </c>
    </row>
    <row r="856" customHeight="1" spans="4:4">
      <c r="D856" s="7" t="e">
        <f t="shared" si="13"/>
        <v>#DIV/0!</v>
      </c>
    </row>
    <row r="857" customHeight="1" spans="4:4">
      <c r="D857" s="7" t="e">
        <f t="shared" si="13"/>
        <v>#DIV/0!</v>
      </c>
    </row>
    <row r="858" customHeight="1" spans="4:4">
      <c r="D858" s="7" t="e">
        <f t="shared" si="13"/>
        <v>#DIV/0!</v>
      </c>
    </row>
    <row r="859" customHeight="1" spans="4:4">
      <c r="D859" s="7" t="e">
        <f t="shared" si="13"/>
        <v>#DIV/0!</v>
      </c>
    </row>
    <row r="860" customHeight="1" spans="4:4">
      <c r="D860" s="7" t="e">
        <f t="shared" si="13"/>
        <v>#DIV/0!</v>
      </c>
    </row>
    <row r="861" customHeight="1" spans="4:4">
      <c r="D861" s="7" t="e">
        <f t="shared" si="13"/>
        <v>#DIV/0!</v>
      </c>
    </row>
    <row r="862" customHeight="1" spans="4:4">
      <c r="D862" s="7" t="e">
        <f t="shared" si="13"/>
        <v>#DIV/0!</v>
      </c>
    </row>
    <row r="863" customHeight="1" spans="4:4">
      <c r="D863" s="7" t="e">
        <f t="shared" si="13"/>
        <v>#DIV/0!</v>
      </c>
    </row>
    <row r="864" customHeight="1" spans="4:4">
      <c r="D864" s="7" t="e">
        <f t="shared" si="13"/>
        <v>#DIV/0!</v>
      </c>
    </row>
    <row r="865" customHeight="1" spans="4:4">
      <c r="D865" s="7" t="e">
        <f t="shared" si="13"/>
        <v>#DIV/0!</v>
      </c>
    </row>
    <row r="866" customHeight="1" spans="4:4">
      <c r="D866" s="7" t="e">
        <f t="shared" si="13"/>
        <v>#DIV/0!</v>
      </c>
    </row>
    <row r="867" customHeight="1" spans="4:4">
      <c r="D867" s="7" t="e">
        <f t="shared" si="13"/>
        <v>#DIV/0!</v>
      </c>
    </row>
    <row r="868" customHeight="1" spans="4:4">
      <c r="D868" s="7" t="e">
        <f t="shared" si="13"/>
        <v>#DIV/0!</v>
      </c>
    </row>
    <row r="869" customHeight="1" spans="4:4">
      <c r="D869" s="7" t="e">
        <f t="shared" si="13"/>
        <v>#DIV/0!</v>
      </c>
    </row>
    <row r="870" customHeight="1" spans="4:4">
      <c r="D870" s="7" t="e">
        <f t="shared" si="13"/>
        <v>#DIV/0!</v>
      </c>
    </row>
    <row r="871" customHeight="1" spans="4:4">
      <c r="D871" s="7" t="e">
        <f t="shared" si="13"/>
        <v>#DIV/0!</v>
      </c>
    </row>
    <row r="872" customHeight="1" spans="4:4">
      <c r="D872" s="7" t="e">
        <f t="shared" si="13"/>
        <v>#DIV/0!</v>
      </c>
    </row>
    <row r="873" customHeight="1" spans="4:4">
      <c r="D873" s="7" t="e">
        <f t="shared" si="13"/>
        <v>#DIV/0!</v>
      </c>
    </row>
    <row r="874" customHeight="1" spans="4:4">
      <c r="D874" s="7" t="e">
        <f t="shared" si="13"/>
        <v>#DIV/0!</v>
      </c>
    </row>
    <row r="875" customHeight="1" spans="4:4">
      <c r="D875" s="7" t="e">
        <f t="shared" si="13"/>
        <v>#DIV/0!</v>
      </c>
    </row>
    <row r="876" customHeight="1" spans="4:4">
      <c r="D876" s="7" t="e">
        <f t="shared" si="13"/>
        <v>#DIV/0!</v>
      </c>
    </row>
    <row r="877" customHeight="1" spans="4:4">
      <c r="D877" s="7" t="e">
        <f t="shared" si="13"/>
        <v>#DIV/0!</v>
      </c>
    </row>
    <row r="878" customHeight="1" spans="4:4">
      <c r="D878" s="7" t="e">
        <f t="shared" si="13"/>
        <v>#DIV/0!</v>
      </c>
    </row>
    <row r="879" customHeight="1" spans="4:4">
      <c r="D879" s="7" t="e">
        <f t="shared" si="13"/>
        <v>#DIV/0!</v>
      </c>
    </row>
    <row r="880" customHeight="1" spans="4:4">
      <c r="D880" s="7" t="e">
        <f t="shared" si="13"/>
        <v>#DIV/0!</v>
      </c>
    </row>
    <row r="881" customHeight="1" spans="4:4">
      <c r="D881" s="7" t="e">
        <f t="shared" si="13"/>
        <v>#DIV/0!</v>
      </c>
    </row>
    <row r="882" customHeight="1" spans="4:4">
      <c r="D882" s="7" t="e">
        <f t="shared" si="13"/>
        <v>#DIV/0!</v>
      </c>
    </row>
    <row r="883" customHeight="1" spans="4:4">
      <c r="D883" s="7" t="e">
        <f t="shared" si="13"/>
        <v>#DIV/0!</v>
      </c>
    </row>
    <row r="884" customHeight="1" spans="4:4">
      <c r="D884" s="7" t="e">
        <f t="shared" si="13"/>
        <v>#DIV/0!</v>
      </c>
    </row>
    <row r="885" customHeight="1" spans="4:4">
      <c r="D885" s="7" t="e">
        <f t="shared" si="13"/>
        <v>#DIV/0!</v>
      </c>
    </row>
    <row r="886" customHeight="1" spans="4:4">
      <c r="D886" s="7" t="e">
        <f t="shared" si="13"/>
        <v>#DIV/0!</v>
      </c>
    </row>
    <row r="887" customHeight="1" spans="4:4">
      <c r="D887" s="7" t="e">
        <f t="shared" si="13"/>
        <v>#DIV/0!</v>
      </c>
    </row>
    <row r="888" customHeight="1" spans="4:4">
      <c r="D888" s="7" t="e">
        <f t="shared" si="13"/>
        <v>#DIV/0!</v>
      </c>
    </row>
    <row r="889" customHeight="1" spans="4:4">
      <c r="D889" s="7" t="e">
        <f t="shared" si="13"/>
        <v>#DIV/0!</v>
      </c>
    </row>
    <row r="890" customHeight="1" spans="4:4">
      <c r="D890" s="7" t="e">
        <f t="shared" si="13"/>
        <v>#DIV/0!</v>
      </c>
    </row>
    <row r="891" customHeight="1" spans="4:4">
      <c r="D891" s="7" t="e">
        <f t="shared" si="13"/>
        <v>#DIV/0!</v>
      </c>
    </row>
    <row r="892" customHeight="1" spans="4:4">
      <c r="D892" s="7" t="e">
        <f t="shared" si="13"/>
        <v>#DIV/0!</v>
      </c>
    </row>
    <row r="893" customHeight="1" spans="4:4">
      <c r="D893" s="7" t="e">
        <f t="shared" si="13"/>
        <v>#DIV/0!</v>
      </c>
    </row>
    <row r="894" customHeight="1" spans="4:4">
      <c r="D894" s="7" t="e">
        <f t="shared" si="13"/>
        <v>#DIV/0!</v>
      </c>
    </row>
    <row r="895" customHeight="1" spans="4:4">
      <c r="D895" s="7" t="e">
        <f t="shared" si="13"/>
        <v>#DIV/0!</v>
      </c>
    </row>
    <row r="896" customHeight="1" spans="4:4">
      <c r="D896" s="7" t="e">
        <f t="shared" si="13"/>
        <v>#DIV/0!</v>
      </c>
    </row>
    <row r="897" customHeight="1" spans="4:4">
      <c r="D897" s="7" t="e">
        <f t="shared" si="13"/>
        <v>#DIV/0!</v>
      </c>
    </row>
    <row r="898" customHeight="1" spans="4:4">
      <c r="D898" s="7" t="e">
        <f t="shared" si="13"/>
        <v>#DIV/0!</v>
      </c>
    </row>
    <row r="899" customHeight="1" spans="4:4">
      <c r="D899" s="7" t="e">
        <f t="shared" si="13"/>
        <v>#DIV/0!</v>
      </c>
    </row>
    <row r="900" customHeight="1" spans="4:4">
      <c r="D900" s="7" t="e">
        <f t="shared" ref="D900:D963" si="14">+B900/C900</f>
        <v>#DIV/0!</v>
      </c>
    </row>
    <row r="901" customHeight="1" spans="4:4">
      <c r="D901" s="7" t="e">
        <f t="shared" si="14"/>
        <v>#DIV/0!</v>
      </c>
    </row>
    <row r="902" customHeight="1" spans="4:4">
      <c r="D902" s="7" t="e">
        <f t="shared" si="14"/>
        <v>#DIV/0!</v>
      </c>
    </row>
    <row r="903" customHeight="1" spans="4:4">
      <c r="D903" s="7" t="e">
        <f t="shared" si="14"/>
        <v>#DIV/0!</v>
      </c>
    </row>
    <row r="904" customHeight="1" spans="4:4">
      <c r="D904" s="7" t="e">
        <f t="shared" si="14"/>
        <v>#DIV/0!</v>
      </c>
    </row>
    <row r="905" customHeight="1" spans="4:4">
      <c r="D905" s="7" t="e">
        <f t="shared" si="14"/>
        <v>#DIV/0!</v>
      </c>
    </row>
    <row r="906" customHeight="1" spans="4:4">
      <c r="D906" s="7" t="e">
        <f t="shared" si="14"/>
        <v>#DIV/0!</v>
      </c>
    </row>
    <row r="907" customHeight="1" spans="4:4">
      <c r="D907" s="7" t="e">
        <f t="shared" si="14"/>
        <v>#DIV/0!</v>
      </c>
    </row>
    <row r="908" customHeight="1" spans="4:4">
      <c r="D908" s="7" t="e">
        <f t="shared" si="14"/>
        <v>#DIV/0!</v>
      </c>
    </row>
    <row r="909" customHeight="1" spans="4:4">
      <c r="D909" s="7" t="e">
        <f t="shared" si="14"/>
        <v>#DIV/0!</v>
      </c>
    </row>
    <row r="910" customHeight="1" spans="4:4">
      <c r="D910" s="7" t="e">
        <f t="shared" si="14"/>
        <v>#DIV/0!</v>
      </c>
    </row>
    <row r="911" customHeight="1" spans="4:4">
      <c r="D911" s="7" t="e">
        <f t="shared" si="14"/>
        <v>#DIV/0!</v>
      </c>
    </row>
    <row r="912" customHeight="1" spans="4:4">
      <c r="D912" s="7" t="e">
        <f t="shared" si="14"/>
        <v>#DIV/0!</v>
      </c>
    </row>
    <row r="913" customHeight="1" spans="4:4">
      <c r="D913" s="7" t="e">
        <f t="shared" si="14"/>
        <v>#DIV/0!</v>
      </c>
    </row>
    <row r="914" customHeight="1" spans="4:4">
      <c r="D914" s="7" t="e">
        <f t="shared" si="14"/>
        <v>#DIV/0!</v>
      </c>
    </row>
    <row r="915" customHeight="1" spans="4:4">
      <c r="D915" s="7" t="e">
        <f t="shared" si="14"/>
        <v>#DIV/0!</v>
      </c>
    </row>
    <row r="916" customHeight="1" spans="4:4">
      <c r="D916" s="7" t="e">
        <f t="shared" si="14"/>
        <v>#DIV/0!</v>
      </c>
    </row>
    <row r="917" customHeight="1" spans="4:4">
      <c r="D917" s="7" t="e">
        <f t="shared" si="14"/>
        <v>#DIV/0!</v>
      </c>
    </row>
    <row r="918" customHeight="1" spans="4:4">
      <c r="D918" s="7" t="e">
        <f t="shared" si="14"/>
        <v>#DIV/0!</v>
      </c>
    </row>
    <row r="919" customHeight="1" spans="4:4">
      <c r="D919" s="7" t="e">
        <f t="shared" si="14"/>
        <v>#DIV/0!</v>
      </c>
    </row>
    <row r="920" customHeight="1" spans="4:4">
      <c r="D920" s="7" t="e">
        <f t="shared" si="14"/>
        <v>#DIV/0!</v>
      </c>
    </row>
    <row r="921" customHeight="1" spans="4:4">
      <c r="D921" s="7" t="e">
        <f t="shared" si="14"/>
        <v>#DIV/0!</v>
      </c>
    </row>
    <row r="922" customHeight="1" spans="4:4">
      <c r="D922" s="7" t="e">
        <f t="shared" si="14"/>
        <v>#DIV/0!</v>
      </c>
    </row>
    <row r="923" customHeight="1" spans="4:4">
      <c r="D923" s="7" t="e">
        <f t="shared" si="14"/>
        <v>#DIV/0!</v>
      </c>
    </row>
    <row r="924" customHeight="1" spans="4:4">
      <c r="D924" s="7" t="e">
        <f t="shared" si="14"/>
        <v>#DIV/0!</v>
      </c>
    </row>
    <row r="925" customHeight="1" spans="4:4">
      <c r="D925" s="7" t="e">
        <f t="shared" si="14"/>
        <v>#DIV/0!</v>
      </c>
    </row>
    <row r="926" customHeight="1" spans="4:4">
      <c r="D926" s="7" t="e">
        <f t="shared" si="14"/>
        <v>#DIV/0!</v>
      </c>
    </row>
    <row r="927" customHeight="1" spans="4:4">
      <c r="D927" s="7" t="e">
        <f t="shared" si="14"/>
        <v>#DIV/0!</v>
      </c>
    </row>
    <row r="928" customHeight="1" spans="4:4">
      <c r="D928" s="7" t="e">
        <f t="shared" si="14"/>
        <v>#DIV/0!</v>
      </c>
    </row>
    <row r="929" customHeight="1" spans="4:4">
      <c r="D929" s="7" t="e">
        <f t="shared" si="14"/>
        <v>#DIV/0!</v>
      </c>
    </row>
    <row r="930" customHeight="1" spans="4:4">
      <c r="D930" s="7" t="e">
        <f t="shared" si="14"/>
        <v>#DIV/0!</v>
      </c>
    </row>
    <row r="931" customHeight="1" spans="4:4">
      <c r="D931" s="7" t="e">
        <f t="shared" si="14"/>
        <v>#DIV/0!</v>
      </c>
    </row>
    <row r="932" customHeight="1" spans="4:4">
      <c r="D932" s="7" t="e">
        <f t="shared" si="14"/>
        <v>#DIV/0!</v>
      </c>
    </row>
    <row r="933" customHeight="1" spans="4:4">
      <c r="D933" s="7" t="e">
        <f t="shared" si="14"/>
        <v>#DIV/0!</v>
      </c>
    </row>
    <row r="934" customHeight="1" spans="4:4">
      <c r="D934" s="7" t="e">
        <f t="shared" si="14"/>
        <v>#DIV/0!</v>
      </c>
    </row>
    <row r="935" customHeight="1" spans="4:4">
      <c r="D935" s="7" t="e">
        <f t="shared" si="14"/>
        <v>#DIV/0!</v>
      </c>
    </row>
    <row r="936" customHeight="1" spans="4:4">
      <c r="D936" s="7" t="e">
        <f t="shared" si="14"/>
        <v>#DIV/0!</v>
      </c>
    </row>
    <row r="937" customHeight="1" spans="4:4">
      <c r="D937" s="7" t="e">
        <f t="shared" si="14"/>
        <v>#DIV/0!</v>
      </c>
    </row>
    <row r="938" customHeight="1" spans="4:4">
      <c r="D938" s="7" t="e">
        <f t="shared" si="14"/>
        <v>#DIV/0!</v>
      </c>
    </row>
    <row r="939" customHeight="1" spans="4:4">
      <c r="D939" s="7" t="e">
        <f t="shared" si="14"/>
        <v>#DIV/0!</v>
      </c>
    </row>
    <row r="940" customHeight="1" spans="4:4">
      <c r="D940" s="7" t="e">
        <f t="shared" si="14"/>
        <v>#DIV/0!</v>
      </c>
    </row>
    <row r="941" customHeight="1" spans="4:4">
      <c r="D941" s="7" t="e">
        <f t="shared" si="14"/>
        <v>#DIV/0!</v>
      </c>
    </row>
    <row r="942" customHeight="1" spans="4:4">
      <c r="D942" s="7" t="e">
        <f t="shared" si="14"/>
        <v>#DIV/0!</v>
      </c>
    </row>
    <row r="943" customHeight="1" spans="4:4">
      <c r="D943" s="7" t="e">
        <f t="shared" si="14"/>
        <v>#DIV/0!</v>
      </c>
    </row>
    <row r="944" customHeight="1" spans="4:4">
      <c r="D944" s="7" t="e">
        <f t="shared" si="14"/>
        <v>#DIV/0!</v>
      </c>
    </row>
    <row r="945" customHeight="1" spans="4:4">
      <c r="D945" s="7" t="e">
        <f t="shared" si="14"/>
        <v>#DIV/0!</v>
      </c>
    </row>
    <row r="946" customHeight="1" spans="4:4">
      <c r="D946" s="7" t="e">
        <f t="shared" si="14"/>
        <v>#DIV/0!</v>
      </c>
    </row>
    <row r="947" customHeight="1" spans="4:4">
      <c r="D947" s="7" t="e">
        <f t="shared" si="14"/>
        <v>#DIV/0!</v>
      </c>
    </row>
    <row r="948" customHeight="1" spans="4:4">
      <c r="D948" s="7" t="e">
        <f t="shared" si="14"/>
        <v>#DIV/0!</v>
      </c>
    </row>
    <row r="949" customHeight="1" spans="4:4">
      <c r="D949" s="7" t="e">
        <f t="shared" si="14"/>
        <v>#DIV/0!</v>
      </c>
    </row>
    <row r="950" customHeight="1" spans="4:4">
      <c r="D950" s="7" t="e">
        <f t="shared" si="14"/>
        <v>#DIV/0!</v>
      </c>
    </row>
    <row r="951" customHeight="1" spans="4:4">
      <c r="D951" s="7" t="e">
        <f t="shared" si="14"/>
        <v>#DIV/0!</v>
      </c>
    </row>
    <row r="952" customHeight="1" spans="4:4">
      <c r="D952" s="7" t="e">
        <f t="shared" si="14"/>
        <v>#DIV/0!</v>
      </c>
    </row>
    <row r="953" customHeight="1" spans="4:4">
      <c r="D953" s="7" t="e">
        <f t="shared" si="14"/>
        <v>#DIV/0!</v>
      </c>
    </row>
    <row r="954" customHeight="1" spans="4:4">
      <c r="D954" s="7" t="e">
        <f t="shared" si="14"/>
        <v>#DIV/0!</v>
      </c>
    </row>
    <row r="955" customHeight="1" spans="4:4">
      <c r="D955" s="7" t="e">
        <f t="shared" si="14"/>
        <v>#DIV/0!</v>
      </c>
    </row>
    <row r="956" customHeight="1" spans="4:4">
      <c r="D956" s="7" t="e">
        <f t="shared" si="14"/>
        <v>#DIV/0!</v>
      </c>
    </row>
    <row r="957" customHeight="1" spans="4:4">
      <c r="D957" s="7" t="e">
        <f t="shared" si="14"/>
        <v>#DIV/0!</v>
      </c>
    </row>
    <row r="958" customHeight="1" spans="4:4">
      <c r="D958" s="7" t="e">
        <f t="shared" si="14"/>
        <v>#DIV/0!</v>
      </c>
    </row>
    <row r="959" customHeight="1" spans="4:4">
      <c r="D959" s="7" t="e">
        <f t="shared" si="14"/>
        <v>#DIV/0!</v>
      </c>
    </row>
    <row r="960" customHeight="1" spans="4:4">
      <c r="D960" s="7" t="e">
        <f t="shared" si="14"/>
        <v>#DIV/0!</v>
      </c>
    </row>
    <row r="961" customHeight="1" spans="4:4">
      <c r="D961" s="7" t="e">
        <f t="shared" si="14"/>
        <v>#DIV/0!</v>
      </c>
    </row>
    <row r="962" customHeight="1" spans="4:4">
      <c r="D962" s="7" t="e">
        <f t="shared" si="14"/>
        <v>#DIV/0!</v>
      </c>
    </row>
    <row r="963" customHeight="1" spans="4:4">
      <c r="D963" s="7" t="e">
        <f t="shared" si="14"/>
        <v>#DIV/0!</v>
      </c>
    </row>
    <row r="964" customHeight="1" spans="4:4">
      <c r="D964" s="7" t="e">
        <f t="shared" ref="D964:D1027" si="15">+B964/C964</f>
        <v>#DIV/0!</v>
      </c>
    </row>
    <row r="965" customHeight="1" spans="4:4">
      <c r="D965" s="7" t="e">
        <f t="shared" si="15"/>
        <v>#DIV/0!</v>
      </c>
    </row>
    <row r="966" customHeight="1" spans="4:4">
      <c r="D966" s="7" t="e">
        <f t="shared" si="15"/>
        <v>#DIV/0!</v>
      </c>
    </row>
    <row r="967" customHeight="1" spans="4:4">
      <c r="D967" s="7" t="e">
        <f t="shared" si="15"/>
        <v>#DIV/0!</v>
      </c>
    </row>
    <row r="968" customHeight="1" spans="4:4">
      <c r="D968" s="7" t="e">
        <f t="shared" si="15"/>
        <v>#DIV/0!</v>
      </c>
    </row>
    <row r="969" customHeight="1" spans="4:4">
      <c r="D969" s="7" t="e">
        <f t="shared" si="15"/>
        <v>#DIV/0!</v>
      </c>
    </row>
    <row r="970" customHeight="1" spans="4:4">
      <c r="D970" s="7" t="e">
        <f t="shared" si="15"/>
        <v>#DIV/0!</v>
      </c>
    </row>
    <row r="971" customHeight="1" spans="4:4">
      <c r="D971" s="7" t="e">
        <f t="shared" si="15"/>
        <v>#DIV/0!</v>
      </c>
    </row>
    <row r="972" customHeight="1" spans="4:4">
      <c r="D972" s="7" t="e">
        <f t="shared" si="15"/>
        <v>#DIV/0!</v>
      </c>
    </row>
    <row r="973" customHeight="1" spans="4:4">
      <c r="D973" s="7" t="e">
        <f t="shared" si="15"/>
        <v>#DIV/0!</v>
      </c>
    </row>
    <row r="974" customHeight="1" spans="4:4">
      <c r="D974" s="7" t="e">
        <f t="shared" si="15"/>
        <v>#DIV/0!</v>
      </c>
    </row>
    <row r="975" customHeight="1" spans="4:4">
      <c r="D975" s="7" t="e">
        <f t="shared" si="15"/>
        <v>#DIV/0!</v>
      </c>
    </row>
    <row r="976" customHeight="1" spans="4:4">
      <c r="D976" s="7" t="e">
        <f t="shared" si="15"/>
        <v>#DIV/0!</v>
      </c>
    </row>
    <row r="977" customHeight="1" spans="4:4">
      <c r="D977" s="7" t="e">
        <f t="shared" si="15"/>
        <v>#DIV/0!</v>
      </c>
    </row>
    <row r="978" customHeight="1" spans="4:4">
      <c r="D978" s="7" t="e">
        <f t="shared" si="15"/>
        <v>#DIV/0!</v>
      </c>
    </row>
    <row r="979" customHeight="1" spans="4:4">
      <c r="D979" s="7" t="e">
        <f t="shared" si="15"/>
        <v>#DIV/0!</v>
      </c>
    </row>
    <row r="980" customHeight="1" spans="4:4">
      <c r="D980" s="7" t="e">
        <f t="shared" si="15"/>
        <v>#DIV/0!</v>
      </c>
    </row>
    <row r="981" customHeight="1" spans="4:4">
      <c r="D981" s="7" t="e">
        <f t="shared" si="15"/>
        <v>#DIV/0!</v>
      </c>
    </row>
    <row r="982" customHeight="1" spans="4:4">
      <c r="D982" s="7" t="e">
        <f t="shared" si="15"/>
        <v>#DIV/0!</v>
      </c>
    </row>
    <row r="983" customHeight="1" spans="4:4">
      <c r="D983" s="7" t="e">
        <f t="shared" si="15"/>
        <v>#DIV/0!</v>
      </c>
    </row>
    <row r="984" customHeight="1" spans="4:4">
      <c r="D984" s="7" t="e">
        <f t="shared" si="15"/>
        <v>#DIV/0!</v>
      </c>
    </row>
    <row r="985" customHeight="1" spans="4:4">
      <c r="D985" s="7" t="e">
        <f t="shared" si="15"/>
        <v>#DIV/0!</v>
      </c>
    </row>
    <row r="986" customHeight="1" spans="4:4">
      <c r="D986" s="7" t="e">
        <f t="shared" si="15"/>
        <v>#DIV/0!</v>
      </c>
    </row>
    <row r="987" customHeight="1" spans="4:4">
      <c r="D987" s="7" t="e">
        <f t="shared" si="15"/>
        <v>#DIV/0!</v>
      </c>
    </row>
    <row r="988" customHeight="1" spans="4:4">
      <c r="D988" s="7" t="e">
        <f t="shared" si="15"/>
        <v>#DIV/0!</v>
      </c>
    </row>
    <row r="989" customHeight="1" spans="4:4">
      <c r="D989" s="7" t="e">
        <f t="shared" si="15"/>
        <v>#DIV/0!</v>
      </c>
    </row>
    <row r="990" customHeight="1" spans="4:4">
      <c r="D990" s="7" t="e">
        <f t="shared" si="15"/>
        <v>#DIV/0!</v>
      </c>
    </row>
    <row r="991" customHeight="1" spans="4:4">
      <c r="D991" s="7" t="e">
        <f t="shared" si="15"/>
        <v>#DIV/0!</v>
      </c>
    </row>
    <row r="992" customHeight="1" spans="4:4">
      <c r="D992" s="7" t="e">
        <f t="shared" si="15"/>
        <v>#DIV/0!</v>
      </c>
    </row>
    <row r="993" customHeight="1" spans="4:4">
      <c r="D993" s="7" t="e">
        <f t="shared" si="15"/>
        <v>#DIV/0!</v>
      </c>
    </row>
    <row r="994" customHeight="1" spans="4:4">
      <c r="D994" s="7" t="e">
        <f t="shared" si="15"/>
        <v>#DIV/0!</v>
      </c>
    </row>
    <row r="995" customHeight="1" spans="4:4">
      <c r="D995" s="7" t="e">
        <f t="shared" si="15"/>
        <v>#DIV/0!</v>
      </c>
    </row>
    <row r="996" customHeight="1" spans="4:4">
      <c r="D996" s="7" t="e">
        <f t="shared" si="15"/>
        <v>#DIV/0!</v>
      </c>
    </row>
    <row r="997" customHeight="1" spans="4:4">
      <c r="D997" s="7" t="e">
        <f t="shared" si="15"/>
        <v>#DIV/0!</v>
      </c>
    </row>
    <row r="998" customHeight="1" spans="4:4">
      <c r="D998" s="7" t="e">
        <f t="shared" si="15"/>
        <v>#DIV/0!</v>
      </c>
    </row>
    <row r="999" customHeight="1" spans="4:4">
      <c r="D999" s="7" t="e">
        <f t="shared" si="15"/>
        <v>#DIV/0!</v>
      </c>
    </row>
    <row r="1000" customHeight="1" spans="4:4">
      <c r="D1000" s="7" t="e">
        <f t="shared" si="15"/>
        <v>#DIV/0!</v>
      </c>
    </row>
    <row r="1001" customHeight="1" spans="4:4">
      <c r="D1001" s="7" t="e">
        <f t="shared" si="15"/>
        <v>#DIV/0!</v>
      </c>
    </row>
    <row r="1002" customHeight="1" spans="4:4">
      <c r="D1002" s="7" t="e">
        <f t="shared" si="15"/>
        <v>#DIV/0!</v>
      </c>
    </row>
    <row r="1003" customHeight="1" spans="4:4">
      <c r="D1003" s="7" t="e">
        <f t="shared" si="15"/>
        <v>#DIV/0!</v>
      </c>
    </row>
    <row r="1004" customHeight="1" spans="4:4">
      <c r="D1004" s="7" t="e">
        <f t="shared" si="15"/>
        <v>#DIV/0!</v>
      </c>
    </row>
    <row r="1005" customHeight="1" spans="4:4">
      <c r="D1005" s="7" t="e">
        <f t="shared" si="15"/>
        <v>#DIV/0!</v>
      </c>
    </row>
    <row r="1006" customHeight="1" spans="4:4">
      <c r="D1006" s="7" t="e">
        <f t="shared" si="15"/>
        <v>#DIV/0!</v>
      </c>
    </row>
    <row r="1007" customHeight="1" spans="4:4">
      <c r="D1007" s="7" t="e">
        <f t="shared" si="15"/>
        <v>#DIV/0!</v>
      </c>
    </row>
    <row r="1008" customHeight="1" spans="4:4">
      <c r="D1008" s="7" t="e">
        <f t="shared" si="15"/>
        <v>#DIV/0!</v>
      </c>
    </row>
    <row r="1009" customHeight="1" spans="4:4">
      <c r="D1009" s="7" t="e">
        <f t="shared" si="15"/>
        <v>#DIV/0!</v>
      </c>
    </row>
    <row r="1010" customHeight="1" spans="4:4">
      <c r="D1010" s="7" t="e">
        <f t="shared" si="15"/>
        <v>#DIV/0!</v>
      </c>
    </row>
    <row r="1011" customHeight="1" spans="4:4">
      <c r="D1011" s="7" t="e">
        <f t="shared" si="15"/>
        <v>#DIV/0!</v>
      </c>
    </row>
    <row r="1012" customHeight="1" spans="4:4">
      <c r="D1012" s="7" t="e">
        <f t="shared" si="15"/>
        <v>#DIV/0!</v>
      </c>
    </row>
    <row r="1013" customHeight="1" spans="4:4">
      <c r="D1013" s="7" t="e">
        <f t="shared" si="15"/>
        <v>#DIV/0!</v>
      </c>
    </row>
    <row r="1014" customHeight="1" spans="4:4">
      <c r="D1014" s="7" t="e">
        <f t="shared" si="15"/>
        <v>#DIV/0!</v>
      </c>
    </row>
    <row r="1015" customHeight="1" spans="4:4">
      <c r="D1015" s="7" t="e">
        <f t="shared" si="15"/>
        <v>#DIV/0!</v>
      </c>
    </row>
    <row r="1016" customHeight="1" spans="4:4">
      <c r="D1016" s="7" t="e">
        <f t="shared" si="15"/>
        <v>#DIV/0!</v>
      </c>
    </row>
    <row r="1017" customHeight="1" spans="4:4">
      <c r="D1017" s="7" t="e">
        <f t="shared" si="15"/>
        <v>#DIV/0!</v>
      </c>
    </row>
    <row r="1018" customHeight="1" spans="4:4">
      <c r="D1018" s="7" t="e">
        <f t="shared" si="15"/>
        <v>#DIV/0!</v>
      </c>
    </row>
    <row r="1019" customHeight="1" spans="4:4">
      <c r="D1019" s="7" t="e">
        <f t="shared" si="15"/>
        <v>#DIV/0!</v>
      </c>
    </row>
    <row r="1020" customHeight="1" spans="4:4">
      <c r="D1020" s="7" t="e">
        <f t="shared" si="15"/>
        <v>#DIV/0!</v>
      </c>
    </row>
    <row r="1021" customHeight="1" spans="4:4">
      <c r="D1021" s="7" t="e">
        <f t="shared" si="15"/>
        <v>#DIV/0!</v>
      </c>
    </row>
    <row r="1022" customHeight="1" spans="4:4">
      <c r="D1022" s="7" t="e">
        <f t="shared" si="15"/>
        <v>#DIV/0!</v>
      </c>
    </row>
    <row r="1023" customHeight="1" spans="4:4">
      <c r="D1023" s="7" t="e">
        <f t="shared" si="15"/>
        <v>#DIV/0!</v>
      </c>
    </row>
    <row r="1024" customHeight="1" spans="4:4">
      <c r="D1024" s="7" t="e">
        <f t="shared" si="15"/>
        <v>#DIV/0!</v>
      </c>
    </row>
    <row r="1025" customHeight="1" spans="4:4">
      <c r="D1025" s="7" t="e">
        <f t="shared" si="15"/>
        <v>#DIV/0!</v>
      </c>
    </row>
    <row r="1026" customHeight="1" spans="4:4">
      <c r="D1026" s="7" t="e">
        <f t="shared" si="15"/>
        <v>#DIV/0!</v>
      </c>
    </row>
    <row r="1027" customHeight="1" spans="4:4">
      <c r="D1027" s="7" t="e">
        <f t="shared" si="15"/>
        <v>#DIV/0!</v>
      </c>
    </row>
    <row r="1028" customHeight="1" spans="4:4">
      <c r="D1028" s="7" t="e">
        <f t="shared" ref="D1028:D1091" si="16">+B1028/C1028</f>
        <v>#DIV/0!</v>
      </c>
    </row>
    <row r="1029" customHeight="1" spans="4:4">
      <c r="D1029" s="7" t="e">
        <f t="shared" si="16"/>
        <v>#DIV/0!</v>
      </c>
    </row>
    <row r="1030" customHeight="1" spans="4:4">
      <c r="D1030" s="7" t="e">
        <f t="shared" si="16"/>
        <v>#DIV/0!</v>
      </c>
    </row>
    <row r="1031" customHeight="1" spans="4:4">
      <c r="D1031" s="7" t="e">
        <f t="shared" si="16"/>
        <v>#DIV/0!</v>
      </c>
    </row>
    <row r="1032" customHeight="1" spans="4:4">
      <c r="D1032" s="7" t="e">
        <f t="shared" si="16"/>
        <v>#DIV/0!</v>
      </c>
    </row>
    <row r="1033" customHeight="1" spans="4:4">
      <c r="D1033" s="7" t="e">
        <f t="shared" si="16"/>
        <v>#DIV/0!</v>
      </c>
    </row>
    <row r="1034" customHeight="1" spans="4:4">
      <c r="D1034" s="7" t="e">
        <f t="shared" si="16"/>
        <v>#DIV/0!</v>
      </c>
    </row>
    <row r="1035" customHeight="1" spans="4:4">
      <c r="D1035" s="7" t="e">
        <f t="shared" si="16"/>
        <v>#DIV/0!</v>
      </c>
    </row>
    <row r="1036" customHeight="1" spans="4:4">
      <c r="D1036" s="7" t="e">
        <f t="shared" si="16"/>
        <v>#DIV/0!</v>
      </c>
    </row>
    <row r="1037" customHeight="1" spans="4:4">
      <c r="D1037" s="7" t="e">
        <f t="shared" si="16"/>
        <v>#DIV/0!</v>
      </c>
    </row>
    <row r="1038" customHeight="1" spans="4:4">
      <c r="D1038" s="7" t="e">
        <f t="shared" si="16"/>
        <v>#DIV/0!</v>
      </c>
    </row>
    <row r="1039" customHeight="1" spans="4:4">
      <c r="D1039" s="7" t="e">
        <f t="shared" si="16"/>
        <v>#DIV/0!</v>
      </c>
    </row>
    <row r="1040" customHeight="1" spans="4:4">
      <c r="D1040" s="7" t="e">
        <f t="shared" si="16"/>
        <v>#DIV/0!</v>
      </c>
    </row>
    <row r="1041" customHeight="1" spans="4:4">
      <c r="D1041" s="7" t="e">
        <f t="shared" si="16"/>
        <v>#DIV/0!</v>
      </c>
    </row>
    <row r="1042" customHeight="1" spans="4:4">
      <c r="D1042" s="7" t="e">
        <f t="shared" si="16"/>
        <v>#DIV/0!</v>
      </c>
    </row>
    <row r="1043" customHeight="1" spans="4:4">
      <c r="D1043" s="7" t="e">
        <f t="shared" si="16"/>
        <v>#DIV/0!</v>
      </c>
    </row>
    <row r="1044" customHeight="1" spans="4:4">
      <c r="D1044" s="7" t="e">
        <f t="shared" si="16"/>
        <v>#DIV/0!</v>
      </c>
    </row>
    <row r="1045" customHeight="1" spans="4:4">
      <c r="D1045" s="7" t="e">
        <f t="shared" si="16"/>
        <v>#DIV/0!</v>
      </c>
    </row>
    <row r="1046" customHeight="1" spans="4:4">
      <c r="D1046" s="7" t="e">
        <f t="shared" si="16"/>
        <v>#DIV/0!</v>
      </c>
    </row>
    <row r="1047" customHeight="1" spans="4:4">
      <c r="D1047" s="7" t="e">
        <f t="shared" si="16"/>
        <v>#DIV/0!</v>
      </c>
    </row>
    <row r="1048" customHeight="1" spans="4:4">
      <c r="D1048" s="7" t="e">
        <f t="shared" si="16"/>
        <v>#DIV/0!</v>
      </c>
    </row>
    <row r="1049" customHeight="1" spans="4:4">
      <c r="D1049" s="7" t="e">
        <f t="shared" si="16"/>
        <v>#DIV/0!</v>
      </c>
    </row>
    <row r="1050" customHeight="1" spans="4:4">
      <c r="D1050" s="7" t="e">
        <f t="shared" si="16"/>
        <v>#DIV/0!</v>
      </c>
    </row>
    <row r="1051" customHeight="1" spans="4:4">
      <c r="D1051" s="7" t="e">
        <f t="shared" si="16"/>
        <v>#DIV/0!</v>
      </c>
    </row>
    <row r="1052" customHeight="1" spans="4:4">
      <c r="D1052" s="7" t="e">
        <f t="shared" si="16"/>
        <v>#DIV/0!</v>
      </c>
    </row>
    <row r="1053" customHeight="1" spans="4:4">
      <c r="D1053" s="7" t="e">
        <f t="shared" si="16"/>
        <v>#DIV/0!</v>
      </c>
    </row>
    <row r="1054" customHeight="1" spans="4:4">
      <c r="D1054" s="7" t="e">
        <f t="shared" si="16"/>
        <v>#DIV/0!</v>
      </c>
    </row>
    <row r="1055" customHeight="1" spans="4:4">
      <c r="D1055" s="7" t="e">
        <f t="shared" si="16"/>
        <v>#DIV/0!</v>
      </c>
    </row>
    <row r="1056" customHeight="1" spans="4:4">
      <c r="D1056" s="7" t="e">
        <f t="shared" si="16"/>
        <v>#DIV/0!</v>
      </c>
    </row>
    <row r="1057" customHeight="1" spans="4:4">
      <c r="D1057" s="7" t="e">
        <f t="shared" si="16"/>
        <v>#DIV/0!</v>
      </c>
    </row>
    <row r="1058" customHeight="1" spans="4:4">
      <c r="D1058" s="7" t="e">
        <f t="shared" si="16"/>
        <v>#DIV/0!</v>
      </c>
    </row>
    <row r="1059" customHeight="1" spans="4:4">
      <c r="D1059" s="7" t="e">
        <f t="shared" si="16"/>
        <v>#DIV/0!</v>
      </c>
    </row>
    <row r="1060" customHeight="1" spans="4:4">
      <c r="D1060" s="7" t="e">
        <f t="shared" si="16"/>
        <v>#DIV/0!</v>
      </c>
    </row>
    <row r="1061" customHeight="1" spans="4:4">
      <c r="D1061" s="7" t="e">
        <f t="shared" si="16"/>
        <v>#DIV/0!</v>
      </c>
    </row>
    <row r="1062" customHeight="1" spans="4:4">
      <c r="D1062" s="7" t="e">
        <f t="shared" si="16"/>
        <v>#DIV/0!</v>
      </c>
    </row>
    <row r="1063" customHeight="1" spans="4:4">
      <c r="D1063" s="7" t="e">
        <f t="shared" si="16"/>
        <v>#DIV/0!</v>
      </c>
    </row>
    <row r="1064" customHeight="1" spans="4:4">
      <c r="D1064" s="7" t="e">
        <f t="shared" si="16"/>
        <v>#DIV/0!</v>
      </c>
    </row>
    <row r="1065" customHeight="1" spans="4:4">
      <c r="D1065" s="7" t="e">
        <f t="shared" si="16"/>
        <v>#DIV/0!</v>
      </c>
    </row>
    <row r="1066" customHeight="1" spans="4:4">
      <c r="D1066" s="7" t="e">
        <f t="shared" si="16"/>
        <v>#DIV/0!</v>
      </c>
    </row>
    <row r="1067" customHeight="1" spans="4:4">
      <c r="D1067" s="7" t="e">
        <f t="shared" si="16"/>
        <v>#DIV/0!</v>
      </c>
    </row>
    <row r="1068" customHeight="1" spans="4:4">
      <c r="D1068" s="7" t="e">
        <f t="shared" si="16"/>
        <v>#DIV/0!</v>
      </c>
    </row>
    <row r="1069" customHeight="1" spans="4:4">
      <c r="D1069" s="7" t="e">
        <f t="shared" si="16"/>
        <v>#DIV/0!</v>
      </c>
    </row>
    <row r="1070" customHeight="1" spans="4:4">
      <c r="D1070" s="7" t="e">
        <f t="shared" si="16"/>
        <v>#DIV/0!</v>
      </c>
    </row>
    <row r="1071" customHeight="1" spans="4:4">
      <c r="D1071" s="7" t="e">
        <f t="shared" si="16"/>
        <v>#DIV/0!</v>
      </c>
    </row>
    <row r="1072" customHeight="1" spans="4:4">
      <c r="D1072" s="7" t="e">
        <f t="shared" si="16"/>
        <v>#DIV/0!</v>
      </c>
    </row>
    <row r="1073" customHeight="1" spans="4:4">
      <c r="D1073" s="7" t="e">
        <f t="shared" si="16"/>
        <v>#DIV/0!</v>
      </c>
    </row>
    <row r="1074" customHeight="1" spans="4:4">
      <c r="D1074" s="7" t="e">
        <f t="shared" si="16"/>
        <v>#DIV/0!</v>
      </c>
    </row>
    <row r="1075" customHeight="1" spans="4:4">
      <c r="D1075" s="7" t="e">
        <f t="shared" si="16"/>
        <v>#DIV/0!</v>
      </c>
    </row>
    <row r="1076" customHeight="1" spans="4:4">
      <c r="D1076" s="7" t="e">
        <f t="shared" si="16"/>
        <v>#DIV/0!</v>
      </c>
    </row>
    <row r="1077" customHeight="1" spans="4:4">
      <c r="D1077" s="7" t="e">
        <f t="shared" si="16"/>
        <v>#DIV/0!</v>
      </c>
    </row>
    <row r="1078" customHeight="1" spans="4:4">
      <c r="D1078" s="7" t="e">
        <f t="shared" si="16"/>
        <v>#DIV/0!</v>
      </c>
    </row>
    <row r="1079" customHeight="1" spans="4:4">
      <c r="D1079" s="7" t="e">
        <f t="shared" si="16"/>
        <v>#DIV/0!</v>
      </c>
    </row>
    <row r="1080" customHeight="1" spans="4:4">
      <c r="D1080" s="7" t="e">
        <f t="shared" si="16"/>
        <v>#DIV/0!</v>
      </c>
    </row>
    <row r="1081" customHeight="1" spans="4:4">
      <c r="D1081" s="7" t="e">
        <f t="shared" si="16"/>
        <v>#DIV/0!</v>
      </c>
    </row>
    <row r="1082" customHeight="1" spans="4:4">
      <c r="D1082" s="7" t="e">
        <f t="shared" si="16"/>
        <v>#DIV/0!</v>
      </c>
    </row>
    <row r="1083" customHeight="1" spans="4:4">
      <c r="D1083" s="7" t="e">
        <f t="shared" si="16"/>
        <v>#DIV/0!</v>
      </c>
    </row>
    <row r="1084" customHeight="1" spans="4:4">
      <c r="D1084" s="7" t="e">
        <f t="shared" si="16"/>
        <v>#DIV/0!</v>
      </c>
    </row>
    <row r="1085" customHeight="1" spans="4:4">
      <c r="D1085" s="7" t="e">
        <f t="shared" si="16"/>
        <v>#DIV/0!</v>
      </c>
    </row>
    <row r="1086" customHeight="1" spans="4:4">
      <c r="D1086" s="7" t="e">
        <f t="shared" si="16"/>
        <v>#DIV/0!</v>
      </c>
    </row>
    <row r="1087" customHeight="1" spans="4:4">
      <c r="D1087" s="7" t="e">
        <f t="shared" si="16"/>
        <v>#DIV/0!</v>
      </c>
    </row>
    <row r="1088" customHeight="1" spans="4:4">
      <c r="D1088" s="7" t="e">
        <f t="shared" si="16"/>
        <v>#DIV/0!</v>
      </c>
    </row>
    <row r="1089" customHeight="1" spans="4:4">
      <c r="D1089" s="7" t="e">
        <f t="shared" si="16"/>
        <v>#DIV/0!</v>
      </c>
    </row>
    <row r="1090" customHeight="1" spans="4:4">
      <c r="D1090" s="7" t="e">
        <f t="shared" si="16"/>
        <v>#DIV/0!</v>
      </c>
    </row>
    <row r="1091" customHeight="1" spans="4:4">
      <c r="D1091" s="7" t="e">
        <f t="shared" si="16"/>
        <v>#DIV/0!</v>
      </c>
    </row>
    <row r="1092" customHeight="1" spans="4:4">
      <c r="D1092" s="7" t="e">
        <f t="shared" ref="D1092:D1155" si="17">+B1092/C1092</f>
        <v>#DIV/0!</v>
      </c>
    </row>
    <row r="1093" customHeight="1" spans="4:4">
      <c r="D1093" s="7" t="e">
        <f t="shared" si="17"/>
        <v>#DIV/0!</v>
      </c>
    </row>
    <row r="1094" customHeight="1" spans="4:4">
      <c r="D1094" s="7" t="e">
        <f t="shared" si="17"/>
        <v>#DIV/0!</v>
      </c>
    </row>
    <row r="1095" customHeight="1" spans="4:4">
      <c r="D1095" s="7" t="e">
        <f t="shared" si="17"/>
        <v>#DIV/0!</v>
      </c>
    </row>
    <row r="1096" customHeight="1" spans="4:4">
      <c r="D1096" s="7" t="e">
        <f t="shared" si="17"/>
        <v>#DIV/0!</v>
      </c>
    </row>
    <row r="1097" customHeight="1" spans="4:4">
      <c r="D1097" s="7" t="e">
        <f t="shared" si="17"/>
        <v>#DIV/0!</v>
      </c>
    </row>
    <row r="1098" customHeight="1" spans="4:4">
      <c r="D1098" s="7" t="e">
        <f t="shared" si="17"/>
        <v>#DIV/0!</v>
      </c>
    </row>
    <row r="1099" customHeight="1" spans="4:4">
      <c r="D1099" s="7" t="e">
        <f t="shared" si="17"/>
        <v>#DIV/0!</v>
      </c>
    </row>
    <row r="1100" customHeight="1" spans="4:4">
      <c r="D1100" s="7" t="e">
        <f t="shared" si="17"/>
        <v>#DIV/0!</v>
      </c>
    </row>
    <row r="1101" customHeight="1" spans="4:4">
      <c r="D1101" s="7" t="e">
        <f t="shared" si="17"/>
        <v>#DIV/0!</v>
      </c>
    </row>
    <row r="1102" customHeight="1" spans="4:4">
      <c r="D1102" s="7" t="e">
        <f t="shared" si="17"/>
        <v>#DIV/0!</v>
      </c>
    </row>
    <row r="1103" customHeight="1" spans="4:4">
      <c r="D1103" s="7" t="e">
        <f t="shared" si="17"/>
        <v>#DIV/0!</v>
      </c>
    </row>
    <row r="1104" customHeight="1" spans="4:4">
      <c r="D1104" s="7" t="e">
        <f t="shared" si="17"/>
        <v>#DIV/0!</v>
      </c>
    </row>
    <row r="1105" customHeight="1" spans="4:4">
      <c r="D1105" s="7" t="e">
        <f t="shared" si="17"/>
        <v>#DIV/0!</v>
      </c>
    </row>
    <row r="1106" customHeight="1" spans="4:4">
      <c r="D1106" s="7" t="e">
        <f t="shared" si="17"/>
        <v>#DIV/0!</v>
      </c>
    </row>
    <row r="1107" customHeight="1" spans="4:4">
      <c r="D1107" s="7" t="e">
        <f t="shared" si="17"/>
        <v>#DIV/0!</v>
      </c>
    </row>
    <row r="1108" customHeight="1" spans="4:4">
      <c r="D1108" s="7" t="e">
        <f t="shared" si="17"/>
        <v>#DIV/0!</v>
      </c>
    </row>
    <row r="1109" customHeight="1" spans="4:4">
      <c r="D1109" s="7" t="e">
        <f t="shared" si="17"/>
        <v>#DIV/0!</v>
      </c>
    </row>
    <row r="1110" customHeight="1" spans="4:4">
      <c r="D1110" s="7" t="e">
        <f t="shared" si="17"/>
        <v>#DIV/0!</v>
      </c>
    </row>
    <row r="1111" customHeight="1" spans="4:4">
      <c r="D1111" s="7" t="e">
        <f t="shared" si="17"/>
        <v>#DIV/0!</v>
      </c>
    </row>
    <row r="1112" customHeight="1" spans="4:4">
      <c r="D1112" s="7" t="e">
        <f t="shared" si="17"/>
        <v>#DIV/0!</v>
      </c>
    </row>
    <row r="1113" customHeight="1" spans="4:4">
      <c r="D1113" s="7" t="e">
        <f t="shared" si="17"/>
        <v>#DIV/0!</v>
      </c>
    </row>
    <row r="1114" customHeight="1" spans="4:4">
      <c r="D1114" s="7" t="e">
        <f t="shared" si="17"/>
        <v>#DIV/0!</v>
      </c>
    </row>
    <row r="1115" customHeight="1" spans="4:4">
      <c r="D1115" s="7" t="e">
        <f t="shared" si="17"/>
        <v>#DIV/0!</v>
      </c>
    </row>
    <row r="1116" customHeight="1" spans="4:4">
      <c r="D1116" s="7" t="e">
        <f t="shared" si="17"/>
        <v>#DIV/0!</v>
      </c>
    </row>
    <row r="1117" customHeight="1" spans="4:4">
      <c r="D1117" s="7" t="e">
        <f t="shared" si="17"/>
        <v>#DIV/0!</v>
      </c>
    </row>
    <row r="1118" customHeight="1" spans="4:4">
      <c r="D1118" s="7" t="e">
        <f t="shared" si="17"/>
        <v>#DIV/0!</v>
      </c>
    </row>
    <row r="1119" customHeight="1" spans="4:4">
      <c r="D1119" s="7" t="e">
        <f t="shared" si="17"/>
        <v>#DIV/0!</v>
      </c>
    </row>
    <row r="1120" customHeight="1" spans="4:4">
      <c r="D1120" s="7" t="e">
        <f t="shared" si="17"/>
        <v>#DIV/0!</v>
      </c>
    </row>
    <row r="1121" customHeight="1" spans="4:4">
      <c r="D1121" s="7" t="e">
        <f t="shared" si="17"/>
        <v>#DIV/0!</v>
      </c>
    </row>
    <row r="1122" customHeight="1" spans="4:4">
      <c r="D1122" s="7" t="e">
        <f t="shared" si="17"/>
        <v>#DIV/0!</v>
      </c>
    </row>
    <row r="1123" customHeight="1" spans="4:4">
      <c r="D1123" s="7" t="e">
        <f t="shared" si="17"/>
        <v>#DIV/0!</v>
      </c>
    </row>
    <row r="1124" customHeight="1" spans="4:4">
      <c r="D1124" s="7" t="e">
        <f t="shared" si="17"/>
        <v>#DIV/0!</v>
      </c>
    </row>
    <row r="1125" customHeight="1" spans="4:4">
      <c r="D1125" s="7" t="e">
        <f t="shared" si="17"/>
        <v>#DIV/0!</v>
      </c>
    </row>
    <row r="1126" customHeight="1" spans="4:4">
      <c r="D1126" s="7" t="e">
        <f t="shared" si="17"/>
        <v>#DIV/0!</v>
      </c>
    </row>
    <row r="1127" customHeight="1" spans="4:4">
      <c r="D1127" s="7" t="e">
        <f t="shared" si="17"/>
        <v>#DIV/0!</v>
      </c>
    </row>
    <row r="1128" customHeight="1" spans="4:4">
      <c r="D1128" s="7" t="e">
        <f t="shared" si="17"/>
        <v>#DIV/0!</v>
      </c>
    </row>
    <row r="1129" customHeight="1" spans="4:4">
      <c r="D1129" s="7" t="e">
        <f t="shared" si="17"/>
        <v>#DIV/0!</v>
      </c>
    </row>
    <row r="1130" customHeight="1" spans="4:4">
      <c r="D1130" s="7" t="e">
        <f t="shared" si="17"/>
        <v>#DIV/0!</v>
      </c>
    </row>
    <row r="1131" customHeight="1" spans="4:4">
      <c r="D1131" s="7" t="e">
        <f t="shared" si="17"/>
        <v>#DIV/0!</v>
      </c>
    </row>
    <row r="1132" customHeight="1" spans="4:4">
      <c r="D1132" s="7" t="e">
        <f t="shared" si="17"/>
        <v>#DIV/0!</v>
      </c>
    </row>
    <row r="1133" customHeight="1" spans="4:4">
      <c r="D1133" s="7" t="e">
        <f t="shared" si="17"/>
        <v>#DIV/0!</v>
      </c>
    </row>
    <row r="1134" customHeight="1" spans="4:4">
      <c r="D1134" s="7" t="e">
        <f t="shared" si="17"/>
        <v>#DIV/0!</v>
      </c>
    </row>
    <row r="1135" customHeight="1" spans="4:4">
      <c r="D1135" s="7" t="e">
        <f t="shared" si="17"/>
        <v>#DIV/0!</v>
      </c>
    </row>
    <row r="1136" customHeight="1" spans="4:4">
      <c r="D1136" s="7" t="e">
        <f t="shared" si="17"/>
        <v>#DIV/0!</v>
      </c>
    </row>
    <row r="1137" customHeight="1" spans="4:4">
      <c r="D1137" s="7" t="e">
        <f t="shared" si="17"/>
        <v>#DIV/0!</v>
      </c>
    </row>
    <row r="1138" customHeight="1" spans="4:4">
      <c r="D1138" s="7" t="e">
        <f t="shared" si="17"/>
        <v>#DIV/0!</v>
      </c>
    </row>
    <row r="1139" customHeight="1" spans="4:4">
      <c r="D1139" s="7" t="e">
        <f t="shared" si="17"/>
        <v>#DIV/0!</v>
      </c>
    </row>
    <row r="1140" customHeight="1" spans="4:4">
      <c r="D1140" s="7" t="e">
        <f t="shared" si="17"/>
        <v>#DIV/0!</v>
      </c>
    </row>
    <row r="1141" customHeight="1" spans="4:4">
      <c r="D1141" s="7" t="e">
        <f t="shared" si="17"/>
        <v>#DIV/0!</v>
      </c>
    </row>
    <row r="1142" customHeight="1" spans="4:4">
      <c r="D1142" s="7" t="e">
        <f t="shared" si="17"/>
        <v>#DIV/0!</v>
      </c>
    </row>
    <row r="1143" customHeight="1" spans="4:4">
      <c r="D1143" s="7" t="e">
        <f t="shared" si="17"/>
        <v>#DIV/0!</v>
      </c>
    </row>
    <row r="1144" customHeight="1" spans="4:4">
      <c r="D1144" s="7" t="e">
        <f t="shared" si="17"/>
        <v>#DIV/0!</v>
      </c>
    </row>
    <row r="1145" customHeight="1" spans="4:4">
      <c r="D1145" s="7" t="e">
        <f t="shared" si="17"/>
        <v>#DIV/0!</v>
      </c>
    </row>
    <row r="1146" customHeight="1" spans="4:4">
      <c r="D1146" s="7" t="e">
        <f t="shared" si="17"/>
        <v>#DIV/0!</v>
      </c>
    </row>
    <row r="1147" customHeight="1" spans="4:4">
      <c r="D1147" s="7" t="e">
        <f t="shared" si="17"/>
        <v>#DIV/0!</v>
      </c>
    </row>
    <row r="1148" customHeight="1" spans="4:4">
      <c r="D1148" s="7" t="e">
        <f t="shared" si="17"/>
        <v>#DIV/0!</v>
      </c>
    </row>
    <row r="1149" customHeight="1" spans="4:4">
      <c r="D1149" s="7" t="e">
        <f t="shared" si="17"/>
        <v>#DIV/0!</v>
      </c>
    </row>
    <row r="1150" customHeight="1" spans="4:4">
      <c r="D1150" s="7" t="e">
        <f t="shared" si="17"/>
        <v>#DIV/0!</v>
      </c>
    </row>
    <row r="1151" customHeight="1" spans="4:4">
      <c r="D1151" s="7" t="e">
        <f t="shared" si="17"/>
        <v>#DIV/0!</v>
      </c>
    </row>
    <row r="1152" customHeight="1" spans="4:4">
      <c r="D1152" s="7" t="e">
        <f t="shared" si="17"/>
        <v>#DIV/0!</v>
      </c>
    </row>
    <row r="1153" customHeight="1" spans="4:4">
      <c r="D1153" s="7" t="e">
        <f t="shared" si="17"/>
        <v>#DIV/0!</v>
      </c>
    </row>
    <row r="1154" customHeight="1" spans="4:4">
      <c r="D1154" s="7" t="e">
        <f t="shared" si="17"/>
        <v>#DIV/0!</v>
      </c>
    </row>
    <row r="1155" customHeight="1" spans="4:4">
      <c r="D1155" s="7" t="e">
        <f t="shared" si="17"/>
        <v>#DIV/0!</v>
      </c>
    </row>
    <row r="1156" customHeight="1" spans="4:4">
      <c r="D1156" s="7" t="e">
        <f t="shared" ref="D1156:D1219" si="18">+B1156/C1156</f>
        <v>#DIV/0!</v>
      </c>
    </row>
    <row r="1157" customHeight="1" spans="4:4">
      <c r="D1157" s="7" t="e">
        <f t="shared" si="18"/>
        <v>#DIV/0!</v>
      </c>
    </row>
    <row r="1158" customHeight="1" spans="4:4">
      <c r="D1158" s="7" t="e">
        <f t="shared" si="18"/>
        <v>#DIV/0!</v>
      </c>
    </row>
    <row r="1159" customHeight="1" spans="4:4">
      <c r="D1159" s="7" t="e">
        <f t="shared" si="18"/>
        <v>#DIV/0!</v>
      </c>
    </row>
    <row r="1160" customHeight="1" spans="4:4">
      <c r="D1160" s="7" t="e">
        <f t="shared" si="18"/>
        <v>#DIV/0!</v>
      </c>
    </row>
    <row r="1161" customHeight="1" spans="4:4">
      <c r="D1161" s="7" t="e">
        <f t="shared" si="18"/>
        <v>#DIV/0!</v>
      </c>
    </row>
    <row r="1162" customHeight="1" spans="4:4">
      <c r="D1162" s="7" t="e">
        <f t="shared" si="18"/>
        <v>#DIV/0!</v>
      </c>
    </row>
    <row r="1163" customHeight="1" spans="4:4">
      <c r="D1163" s="7" t="e">
        <f t="shared" si="18"/>
        <v>#DIV/0!</v>
      </c>
    </row>
    <row r="1164" customHeight="1" spans="4:4">
      <c r="D1164" s="7" t="e">
        <f t="shared" si="18"/>
        <v>#DIV/0!</v>
      </c>
    </row>
    <row r="1165" customHeight="1" spans="4:4">
      <c r="D1165" s="7" t="e">
        <f t="shared" si="18"/>
        <v>#DIV/0!</v>
      </c>
    </row>
    <row r="1166" customHeight="1" spans="4:4">
      <c r="D1166" s="7" t="e">
        <f t="shared" si="18"/>
        <v>#DIV/0!</v>
      </c>
    </row>
    <row r="1167" customHeight="1" spans="4:4">
      <c r="D1167" s="7" t="e">
        <f t="shared" si="18"/>
        <v>#DIV/0!</v>
      </c>
    </row>
    <row r="1168" customHeight="1" spans="4:4">
      <c r="D1168" s="7" t="e">
        <f t="shared" si="18"/>
        <v>#DIV/0!</v>
      </c>
    </row>
    <row r="1169" customHeight="1" spans="4:4">
      <c r="D1169" s="7" t="e">
        <f t="shared" si="18"/>
        <v>#DIV/0!</v>
      </c>
    </row>
    <row r="1170" customHeight="1" spans="4:4">
      <c r="D1170" s="7" t="e">
        <f t="shared" si="18"/>
        <v>#DIV/0!</v>
      </c>
    </row>
    <row r="1171" customHeight="1" spans="4:4">
      <c r="D1171" s="7" t="e">
        <f t="shared" si="18"/>
        <v>#DIV/0!</v>
      </c>
    </row>
    <row r="1172" customHeight="1" spans="4:4">
      <c r="D1172" s="7" t="e">
        <f t="shared" si="18"/>
        <v>#DIV/0!</v>
      </c>
    </row>
    <row r="1173" customHeight="1" spans="4:4">
      <c r="D1173" s="7" t="e">
        <f t="shared" si="18"/>
        <v>#DIV/0!</v>
      </c>
    </row>
    <row r="1174" customHeight="1" spans="4:4">
      <c r="D1174" s="7" t="e">
        <f t="shared" si="18"/>
        <v>#DIV/0!</v>
      </c>
    </row>
    <row r="1175" customHeight="1" spans="4:4">
      <c r="D1175" s="7" t="e">
        <f t="shared" si="18"/>
        <v>#DIV/0!</v>
      </c>
    </row>
    <row r="1176" customHeight="1" spans="4:4">
      <c r="D1176" s="7" t="e">
        <f t="shared" si="18"/>
        <v>#DIV/0!</v>
      </c>
    </row>
    <row r="1177" customHeight="1" spans="4:4">
      <c r="D1177" s="7" t="e">
        <f t="shared" si="18"/>
        <v>#DIV/0!</v>
      </c>
    </row>
    <row r="1178" customHeight="1" spans="4:4">
      <c r="D1178" s="7" t="e">
        <f t="shared" si="18"/>
        <v>#DIV/0!</v>
      </c>
    </row>
    <row r="1179" customHeight="1" spans="4:4">
      <c r="D1179" s="7" t="e">
        <f t="shared" si="18"/>
        <v>#DIV/0!</v>
      </c>
    </row>
    <row r="1180" customHeight="1" spans="4:4">
      <c r="D1180" s="7" t="e">
        <f t="shared" si="18"/>
        <v>#DIV/0!</v>
      </c>
    </row>
    <row r="1181" customHeight="1" spans="4:4">
      <c r="D1181" s="7" t="e">
        <f t="shared" si="18"/>
        <v>#DIV/0!</v>
      </c>
    </row>
    <row r="1182" customHeight="1" spans="4:4">
      <c r="D1182" s="7" t="e">
        <f t="shared" si="18"/>
        <v>#DIV/0!</v>
      </c>
    </row>
    <row r="1183" customHeight="1" spans="4:4">
      <c r="D1183" s="7" t="e">
        <f t="shared" si="18"/>
        <v>#DIV/0!</v>
      </c>
    </row>
    <row r="1184" customHeight="1" spans="4:4">
      <c r="D1184" s="7" t="e">
        <f t="shared" si="18"/>
        <v>#DIV/0!</v>
      </c>
    </row>
    <row r="1185" customHeight="1" spans="4:4">
      <c r="D1185" s="7" t="e">
        <f t="shared" si="18"/>
        <v>#DIV/0!</v>
      </c>
    </row>
    <row r="1186" customHeight="1" spans="4:4">
      <c r="D1186" s="7" t="e">
        <f t="shared" si="18"/>
        <v>#DIV/0!</v>
      </c>
    </row>
    <row r="1187" customHeight="1" spans="4:4">
      <c r="D1187" s="7" t="e">
        <f t="shared" si="18"/>
        <v>#DIV/0!</v>
      </c>
    </row>
    <row r="1188" customHeight="1" spans="4:4">
      <c r="D1188" s="7" t="e">
        <f t="shared" si="18"/>
        <v>#DIV/0!</v>
      </c>
    </row>
    <row r="1189" customHeight="1" spans="4:4">
      <c r="D1189" s="7" t="e">
        <f t="shared" si="18"/>
        <v>#DIV/0!</v>
      </c>
    </row>
    <row r="1190" customHeight="1" spans="4:4">
      <c r="D1190" s="7" t="e">
        <f t="shared" si="18"/>
        <v>#DIV/0!</v>
      </c>
    </row>
    <row r="1191" customHeight="1" spans="4:4">
      <c r="D1191" s="7" t="e">
        <f t="shared" si="18"/>
        <v>#DIV/0!</v>
      </c>
    </row>
    <row r="1192" customHeight="1" spans="4:4">
      <c r="D1192" s="7" t="e">
        <f t="shared" si="18"/>
        <v>#DIV/0!</v>
      </c>
    </row>
    <row r="1193" customHeight="1" spans="4:4">
      <c r="D1193" s="7" t="e">
        <f t="shared" si="18"/>
        <v>#DIV/0!</v>
      </c>
    </row>
    <row r="1194" customHeight="1" spans="4:4">
      <c r="D1194" s="7" t="e">
        <f t="shared" si="18"/>
        <v>#DIV/0!</v>
      </c>
    </row>
    <row r="1195" customHeight="1" spans="4:4">
      <c r="D1195" s="7" t="e">
        <f t="shared" si="18"/>
        <v>#DIV/0!</v>
      </c>
    </row>
    <row r="1196" customHeight="1" spans="4:4">
      <c r="D1196" s="7" t="e">
        <f t="shared" si="18"/>
        <v>#DIV/0!</v>
      </c>
    </row>
    <row r="1197" customHeight="1" spans="4:4">
      <c r="D1197" s="7" t="e">
        <f t="shared" si="18"/>
        <v>#DIV/0!</v>
      </c>
    </row>
    <row r="1198" customHeight="1" spans="4:4">
      <c r="D1198" s="7" t="e">
        <f t="shared" si="18"/>
        <v>#DIV/0!</v>
      </c>
    </row>
    <row r="1199" customHeight="1" spans="4:4">
      <c r="D1199" s="7" t="e">
        <f t="shared" si="18"/>
        <v>#DIV/0!</v>
      </c>
    </row>
    <row r="1200" customHeight="1" spans="4:4">
      <c r="D1200" s="7" t="e">
        <f t="shared" si="18"/>
        <v>#DIV/0!</v>
      </c>
    </row>
    <row r="1201" customHeight="1" spans="4:4">
      <c r="D1201" s="7" t="e">
        <f t="shared" si="18"/>
        <v>#DIV/0!</v>
      </c>
    </row>
    <row r="1202" customHeight="1" spans="4:4">
      <c r="D1202" s="7" t="e">
        <f t="shared" si="18"/>
        <v>#DIV/0!</v>
      </c>
    </row>
    <row r="1203" customHeight="1" spans="4:4">
      <c r="D1203" s="7" t="e">
        <f t="shared" si="18"/>
        <v>#DIV/0!</v>
      </c>
    </row>
    <row r="1204" customHeight="1" spans="4:4">
      <c r="D1204" s="7" t="e">
        <f t="shared" si="18"/>
        <v>#DIV/0!</v>
      </c>
    </row>
    <row r="1205" customHeight="1" spans="4:4">
      <c r="D1205" s="7" t="e">
        <f t="shared" si="18"/>
        <v>#DIV/0!</v>
      </c>
    </row>
    <row r="1206" customHeight="1" spans="4:4">
      <c r="D1206" s="7" t="e">
        <f t="shared" si="18"/>
        <v>#DIV/0!</v>
      </c>
    </row>
    <row r="1207" customHeight="1" spans="4:4">
      <c r="D1207" s="7" t="e">
        <f t="shared" si="18"/>
        <v>#DIV/0!</v>
      </c>
    </row>
    <row r="1208" customHeight="1" spans="4:4">
      <c r="D1208" s="7" t="e">
        <f t="shared" si="18"/>
        <v>#DIV/0!</v>
      </c>
    </row>
    <row r="1209" customHeight="1" spans="4:4">
      <c r="D1209" s="7" t="e">
        <f t="shared" si="18"/>
        <v>#DIV/0!</v>
      </c>
    </row>
    <row r="1210" customHeight="1" spans="4:4">
      <c r="D1210" s="7" t="e">
        <f t="shared" si="18"/>
        <v>#DIV/0!</v>
      </c>
    </row>
    <row r="1211" customHeight="1" spans="4:4">
      <c r="D1211" s="7" t="e">
        <f t="shared" si="18"/>
        <v>#DIV/0!</v>
      </c>
    </row>
    <row r="1212" customHeight="1" spans="4:4">
      <c r="D1212" s="7" t="e">
        <f t="shared" si="18"/>
        <v>#DIV/0!</v>
      </c>
    </row>
    <row r="1213" customHeight="1" spans="4:4">
      <c r="D1213" s="7" t="e">
        <f t="shared" si="18"/>
        <v>#DIV/0!</v>
      </c>
    </row>
    <row r="1214" customHeight="1" spans="4:4">
      <c r="D1214" s="7" t="e">
        <f t="shared" si="18"/>
        <v>#DIV/0!</v>
      </c>
    </row>
    <row r="1215" customHeight="1" spans="4:4">
      <c r="D1215" s="7" t="e">
        <f t="shared" si="18"/>
        <v>#DIV/0!</v>
      </c>
    </row>
    <row r="1216" customHeight="1" spans="4:4">
      <c r="D1216" s="7" t="e">
        <f t="shared" si="18"/>
        <v>#DIV/0!</v>
      </c>
    </row>
    <row r="1217" customHeight="1" spans="4:4">
      <c r="D1217" s="7" t="e">
        <f t="shared" si="18"/>
        <v>#DIV/0!</v>
      </c>
    </row>
    <row r="1218" customHeight="1" spans="4:4">
      <c r="D1218" s="7" t="e">
        <f t="shared" si="18"/>
        <v>#DIV/0!</v>
      </c>
    </row>
    <row r="1219" customHeight="1" spans="4:4">
      <c r="D1219" s="7" t="e">
        <f t="shared" si="18"/>
        <v>#DIV/0!</v>
      </c>
    </row>
    <row r="1220" customHeight="1" spans="4:4">
      <c r="D1220" s="7" t="e">
        <f t="shared" ref="D1220:D1283" si="19">+B1220/C1220</f>
        <v>#DIV/0!</v>
      </c>
    </row>
    <row r="1221" customHeight="1" spans="4:4">
      <c r="D1221" s="7" t="e">
        <f t="shared" si="19"/>
        <v>#DIV/0!</v>
      </c>
    </row>
    <row r="1222" customHeight="1" spans="4:4">
      <c r="D1222" s="7" t="e">
        <f t="shared" si="19"/>
        <v>#DIV/0!</v>
      </c>
    </row>
    <row r="1223" customHeight="1" spans="4:4">
      <c r="D1223" s="7" t="e">
        <f t="shared" si="19"/>
        <v>#DIV/0!</v>
      </c>
    </row>
    <row r="1224" customHeight="1" spans="4:4">
      <c r="D1224" s="7" t="e">
        <f t="shared" si="19"/>
        <v>#DIV/0!</v>
      </c>
    </row>
    <row r="1225" customHeight="1" spans="4:4">
      <c r="D1225" s="7" t="e">
        <f t="shared" si="19"/>
        <v>#DIV/0!</v>
      </c>
    </row>
    <row r="1226" customHeight="1" spans="4:4">
      <c r="D1226" s="7" t="e">
        <f t="shared" si="19"/>
        <v>#DIV/0!</v>
      </c>
    </row>
    <row r="1227" customHeight="1" spans="4:4">
      <c r="D1227" s="7" t="e">
        <f t="shared" si="19"/>
        <v>#DIV/0!</v>
      </c>
    </row>
    <row r="1228" customHeight="1" spans="4:4">
      <c r="D1228" s="7" t="e">
        <f t="shared" si="19"/>
        <v>#DIV/0!</v>
      </c>
    </row>
    <row r="1229" customHeight="1" spans="4:4">
      <c r="D1229" s="7" t="e">
        <f t="shared" si="19"/>
        <v>#DIV/0!</v>
      </c>
    </row>
    <row r="1230" customHeight="1" spans="4:4">
      <c r="D1230" s="7" t="e">
        <f t="shared" si="19"/>
        <v>#DIV/0!</v>
      </c>
    </row>
    <row r="1231" customHeight="1" spans="4:4">
      <c r="D1231" s="7" t="e">
        <f t="shared" si="19"/>
        <v>#DIV/0!</v>
      </c>
    </row>
    <row r="1232" customHeight="1" spans="4:4">
      <c r="D1232" s="7" t="e">
        <f t="shared" si="19"/>
        <v>#DIV/0!</v>
      </c>
    </row>
    <row r="1233" customHeight="1" spans="4:4">
      <c r="D1233" s="7" t="e">
        <f t="shared" si="19"/>
        <v>#DIV/0!</v>
      </c>
    </row>
    <row r="1234" customHeight="1" spans="4:4">
      <c r="D1234" s="7" t="e">
        <f t="shared" si="19"/>
        <v>#DIV/0!</v>
      </c>
    </row>
    <row r="1235" customHeight="1" spans="4:4">
      <c r="D1235" s="7" t="e">
        <f t="shared" si="19"/>
        <v>#DIV/0!</v>
      </c>
    </row>
    <row r="1236" customHeight="1" spans="4:4">
      <c r="D1236" s="7" t="e">
        <f t="shared" si="19"/>
        <v>#DIV/0!</v>
      </c>
    </row>
    <row r="1237" customHeight="1" spans="4:4">
      <c r="D1237" s="7" t="e">
        <f t="shared" si="19"/>
        <v>#DIV/0!</v>
      </c>
    </row>
    <row r="1238" customHeight="1" spans="4:4">
      <c r="D1238" s="7" t="e">
        <f t="shared" si="19"/>
        <v>#DIV/0!</v>
      </c>
    </row>
    <row r="1239" customHeight="1" spans="4:4">
      <c r="D1239" s="7" t="e">
        <f t="shared" si="19"/>
        <v>#DIV/0!</v>
      </c>
    </row>
    <row r="1240" customHeight="1" spans="4:4">
      <c r="D1240" s="7" t="e">
        <f t="shared" si="19"/>
        <v>#DIV/0!</v>
      </c>
    </row>
    <row r="1241" customHeight="1" spans="4:4">
      <c r="D1241" s="7" t="e">
        <f t="shared" si="19"/>
        <v>#DIV/0!</v>
      </c>
    </row>
    <row r="1242" customHeight="1" spans="4:4">
      <c r="D1242" s="7" t="e">
        <f t="shared" si="19"/>
        <v>#DIV/0!</v>
      </c>
    </row>
    <row r="1243" customHeight="1" spans="4:4">
      <c r="D1243" s="7" t="e">
        <f t="shared" si="19"/>
        <v>#DIV/0!</v>
      </c>
    </row>
    <row r="1244" customHeight="1" spans="4:4">
      <c r="D1244" s="7" t="e">
        <f t="shared" si="19"/>
        <v>#DIV/0!</v>
      </c>
    </row>
    <row r="1245" customHeight="1" spans="4:4">
      <c r="D1245" s="7" t="e">
        <f t="shared" si="19"/>
        <v>#DIV/0!</v>
      </c>
    </row>
    <row r="1246" customHeight="1" spans="4:4">
      <c r="D1246" s="7" t="e">
        <f t="shared" si="19"/>
        <v>#DIV/0!</v>
      </c>
    </row>
    <row r="1247" customHeight="1" spans="4:4">
      <c r="D1247" s="7" t="e">
        <f t="shared" si="19"/>
        <v>#DIV/0!</v>
      </c>
    </row>
    <row r="1248" customHeight="1" spans="4:4">
      <c r="D1248" s="7" t="e">
        <f t="shared" si="19"/>
        <v>#DIV/0!</v>
      </c>
    </row>
    <row r="1249" customHeight="1" spans="4:4">
      <c r="D1249" s="7" t="e">
        <f t="shared" si="19"/>
        <v>#DIV/0!</v>
      </c>
    </row>
    <row r="1250" customHeight="1" spans="4:4">
      <c r="D1250" s="7" t="e">
        <f t="shared" si="19"/>
        <v>#DIV/0!</v>
      </c>
    </row>
    <row r="1251" customHeight="1" spans="4:4">
      <c r="D1251" s="7" t="e">
        <f t="shared" si="19"/>
        <v>#DIV/0!</v>
      </c>
    </row>
    <row r="1252" customHeight="1" spans="4:4">
      <c r="D1252" s="7" t="e">
        <f t="shared" si="19"/>
        <v>#DIV/0!</v>
      </c>
    </row>
    <row r="1253" customHeight="1" spans="4:4">
      <c r="D1253" s="7" t="e">
        <f t="shared" si="19"/>
        <v>#DIV/0!</v>
      </c>
    </row>
    <row r="1254" customHeight="1" spans="4:4">
      <c r="D1254" s="7" t="e">
        <f t="shared" si="19"/>
        <v>#DIV/0!</v>
      </c>
    </row>
    <row r="1255" customHeight="1" spans="4:4">
      <c r="D1255" s="7" t="e">
        <f t="shared" si="19"/>
        <v>#DIV/0!</v>
      </c>
    </row>
    <row r="1256" customHeight="1" spans="4:4">
      <c r="D1256" s="7" t="e">
        <f t="shared" si="19"/>
        <v>#DIV/0!</v>
      </c>
    </row>
    <row r="1257" customHeight="1" spans="4:4">
      <c r="D1257" s="7" t="e">
        <f t="shared" si="19"/>
        <v>#DIV/0!</v>
      </c>
    </row>
    <row r="1258" customHeight="1" spans="4:4">
      <c r="D1258" s="7" t="e">
        <f t="shared" si="19"/>
        <v>#DIV/0!</v>
      </c>
    </row>
    <row r="1259" customHeight="1" spans="4:4">
      <c r="D1259" s="7" t="e">
        <f t="shared" si="19"/>
        <v>#DIV/0!</v>
      </c>
    </row>
    <row r="1260" customHeight="1" spans="4:4">
      <c r="D1260" s="7" t="e">
        <f t="shared" si="19"/>
        <v>#DIV/0!</v>
      </c>
    </row>
    <row r="1261" customHeight="1" spans="4:4">
      <c r="D1261" s="7" t="e">
        <f t="shared" si="19"/>
        <v>#DIV/0!</v>
      </c>
    </row>
    <row r="1262" customHeight="1" spans="4:4">
      <c r="D1262" s="7" t="e">
        <f t="shared" si="19"/>
        <v>#DIV/0!</v>
      </c>
    </row>
    <row r="1263" customHeight="1" spans="4:4">
      <c r="D1263" s="7" t="e">
        <f t="shared" si="19"/>
        <v>#DIV/0!</v>
      </c>
    </row>
    <row r="1264" customHeight="1" spans="4:4">
      <c r="D1264" s="7" t="e">
        <f t="shared" si="19"/>
        <v>#DIV/0!</v>
      </c>
    </row>
    <row r="1265" customHeight="1" spans="4:4">
      <c r="D1265" s="7" t="e">
        <f t="shared" si="19"/>
        <v>#DIV/0!</v>
      </c>
    </row>
    <row r="1266" customHeight="1" spans="4:4">
      <c r="D1266" s="7" t="e">
        <f t="shared" si="19"/>
        <v>#DIV/0!</v>
      </c>
    </row>
    <row r="1267" customHeight="1" spans="4:4">
      <c r="D1267" s="7" t="e">
        <f t="shared" si="19"/>
        <v>#DIV/0!</v>
      </c>
    </row>
    <row r="1268" customHeight="1" spans="4:4">
      <c r="D1268" s="7" t="e">
        <f t="shared" si="19"/>
        <v>#DIV/0!</v>
      </c>
    </row>
    <row r="1269" customHeight="1" spans="4:4">
      <c r="D1269" s="7" t="e">
        <f t="shared" si="19"/>
        <v>#DIV/0!</v>
      </c>
    </row>
    <row r="1270" customHeight="1" spans="4:4">
      <c r="D1270" s="7" t="e">
        <f t="shared" si="19"/>
        <v>#DIV/0!</v>
      </c>
    </row>
    <row r="1271" customHeight="1" spans="4:4">
      <c r="D1271" s="7" t="e">
        <f t="shared" si="19"/>
        <v>#DIV/0!</v>
      </c>
    </row>
    <row r="1272" customHeight="1" spans="4:4">
      <c r="D1272" s="7" t="e">
        <f t="shared" si="19"/>
        <v>#DIV/0!</v>
      </c>
    </row>
    <row r="1273" customHeight="1" spans="4:4">
      <c r="D1273" s="7" t="e">
        <f t="shared" si="19"/>
        <v>#DIV/0!</v>
      </c>
    </row>
    <row r="1274" customHeight="1" spans="4:4">
      <c r="D1274" s="7" t="e">
        <f t="shared" si="19"/>
        <v>#DIV/0!</v>
      </c>
    </row>
    <row r="1275" customHeight="1" spans="4:4">
      <c r="D1275" s="7" t="e">
        <f t="shared" si="19"/>
        <v>#DIV/0!</v>
      </c>
    </row>
    <row r="1276" customHeight="1" spans="4:4">
      <c r="D1276" s="7" t="e">
        <f t="shared" si="19"/>
        <v>#DIV/0!</v>
      </c>
    </row>
    <row r="1277" customHeight="1" spans="4:4">
      <c r="D1277" s="7" t="e">
        <f t="shared" si="19"/>
        <v>#DIV/0!</v>
      </c>
    </row>
    <row r="1278" customHeight="1" spans="4:4">
      <c r="D1278" s="7" t="e">
        <f t="shared" si="19"/>
        <v>#DIV/0!</v>
      </c>
    </row>
    <row r="1279" customHeight="1" spans="4:4">
      <c r="D1279" s="7" t="e">
        <f t="shared" si="19"/>
        <v>#DIV/0!</v>
      </c>
    </row>
    <row r="1280" customHeight="1" spans="4:4">
      <c r="D1280" s="7" t="e">
        <f t="shared" si="19"/>
        <v>#DIV/0!</v>
      </c>
    </row>
    <row r="1281" customHeight="1" spans="4:4">
      <c r="D1281" s="7" t="e">
        <f t="shared" si="19"/>
        <v>#DIV/0!</v>
      </c>
    </row>
    <row r="1282" customHeight="1" spans="4:4">
      <c r="D1282" s="7" t="e">
        <f t="shared" si="19"/>
        <v>#DIV/0!</v>
      </c>
    </row>
    <row r="1283" customHeight="1" spans="4:4">
      <c r="D1283" s="7" t="e">
        <f t="shared" si="19"/>
        <v>#DIV/0!</v>
      </c>
    </row>
    <row r="1284" customHeight="1" spans="4:4">
      <c r="D1284" s="7" t="e">
        <f t="shared" ref="D1284:D1347" si="20">+B1284/C1284</f>
        <v>#DIV/0!</v>
      </c>
    </row>
    <row r="1285" customHeight="1" spans="4:4">
      <c r="D1285" s="7" t="e">
        <f t="shared" si="20"/>
        <v>#DIV/0!</v>
      </c>
    </row>
    <row r="1286" customHeight="1" spans="4:4">
      <c r="D1286" s="7" t="e">
        <f t="shared" si="20"/>
        <v>#DIV/0!</v>
      </c>
    </row>
    <row r="1287" customHeight="1" spans="4:4">
      <c r="D1287" s="7" t="e">
        <f t="shared" si="20"/>
        <v>#DIV/0!</v>
      </c>
    </row>
    <row r="1288" customHeight="1" spans="4:4">
      <c r="D1288" s="7" t="e">
        <f t="shared" si="20"/>
        <v>#DIV/0!</v>
      </c>
    </row>
    <row r="1289" customHeight="1" spans="4:4">
      <c r="D1289" s="7" t="e">
        <f t="shared" si="20"/>
        <v>#DIV/0!</v>
      </c>
    </row>
    <row r="1290" customHeight="1" spans="4:4">
      <c r="D1290" s="7" t="e">
        <f t="shared" si="20"/>
        <v>#DIV/0!</v>
      </c>
    </row>
    <row r="1291" customHeight="1" spans="4:4">
      <c r="D1291" s="7" t="e">
        <f t="shared" si="20"/>
        <v>#DIV/0!</v>
      </c>
    </row>
    <row r="1292" customHeight="1" spans="4:4">
      <c r="D1292" s="7" t="e">
        <f t="shared" si="20"/>
        <v>#DIV/0!</v>
      </c>
    </row>
    <row r="1293" customHeight="1" spans="4:4">
      <c r="D1293" s="7" t="e">
        <f t="shared" si="20"/>
        <v>#DIV/0!</v>
      </c>
    </row>
    <row r="1294" customHeight="1" spans="4:4">
      <c r="D1294" s="7" t="e">
        <f t="shared" si="20"/>
        <v>#DIV/0!</v>
      </c>
    </row>
    <row r="1295" customHeight="1" spans="4:4">
      <c r="D1295" s="7" t="e">
        <f t="shared" si="20"/>
        <v>#DIV/0!</v>
      </c>
    </row>
    <row r="1296" customHeight="1" spans="4:4">
      <c r="D1296" s="7" t="e">
        <f t="shared" si="20"/>
        <v>#DIV/0!</v>
      </c>
    </row>
    <row r="1297" customHeight="1" spans="4:4">
      <c r="D1297" s="7" t="e">
        <f t="shared" si="20"/>
        <v>#DIV/0!</v>
      </c>
    </row>
    <row r="1298" customHeight="1" spans="4:4">
      <c r="D1298" s="7" t="e">
        <f t="shared" si="20"/>
        <v>#DIV/0!</v>
      </c>
    </row>
    <row r="1299" customHeight="1" spans="4:4">
      <c r="D1299" s="7" t="e">
        <f t="shared" si="20"/>
        <v>#DIV/0!</v>
      </c>
    </row>
    <row r="1300" customHeight="1" spans="4:4">
      <c r="D1300" s="7" t="e">
        <f t="shared" si="20"/>
        <v>#DIV/0!</v>
      </c>
    </row>
    <row r="1301" customHeight="1" spans="4:4">
      <c r="D1301" s="7" t="e">
        <f t="shared" si="20"/>
        <v>#DIV/0!</v>
      </c>
    </row>
    <row r="1302" customHeight="1" spans="4:4">
      <c r="D1302" s="7" t="e">
        <f t="shared" si="20"/>
        <v>#DIV/0!</v>
      </c>
    </row>
    <row r="1303" customHeight="1" spans="4:4">
      <c r="D1303" s="7" t="e">
        <f t="shared" si="20"/>
        <v>#DIV/0!</v>
      </c>
    </row>
    <row r="1304" customHeight="1" spans="4:4">
      <c r="D1304" s="7" t="e">
        <f t="shared" si="20"/>
        <v>#DIV/0!</v>
      </c>
    </row>
    <row r="1305" customHeight="1" spans="4:4">
      <c r="D1305" s="7" t="e">
        <f t="shared" si="20"/>
        <v>#DIV/0!</v>
      </c>
    </row>
    <row r="1306" customHeight="1" spans="4:4">
      <c r="D1306" s="7" t="e">
        <f t="shared" si="20"/>
        <v>#DIV/0!</v>
      </c>
    </row>
    <row r="1307" customHeight="1" spans="4:4">
      <c r="D1307" s="7" t="e">
        <f t="shared" si="20"/>
        <v>#DIV/0!</v>
      </c>
    </row>
    <row r="1308" customHeight="1" spans="4:4">
      <c r="D1308" s="7" t="e">
        <f t="shared" si="20"/>
        <v>#DIV/0!</v>
      </c>
    </row>
    <row r="1309" customHeight="1" spans="4:4">
      <c r="D1309" s="7" t="e">
        <f t="shared" si="20"/>
        <v>#DIV/0!</v>
      </c>
    </row>
    <row r="1310" customHeight="1" spans="4:4">
      <c r="D1310" s="7" t="e">
        <f t="shared" si="20"/>
        <v>#DIV/0!</v>
      </c>
    </row>
    <row r="1311" customHeight="1" spans="4:4">
      <c r="D1311" s="7" t="e">
        <f t="shared" si="20"/>
        <v>#DIV/0!</v>
      </c>
    </row>
    <row r="1312" customHeight="1" spans="4:4">
      <c r="D1312" s="7" t="e">
        <f t="shared" si="20"/>
        <v>#DIV/0!</v>
      </c>
    </row>
    <row r="1313" customHeight="1" spans="4:4">
      <c r="D1313" s="7" t="e">
        <f t="shared" si="20"/>
        <v>#DIV/0!</v>
      </c>
    </row>
    <row r="1314" customHeight="1" spans="4:4">
      <c r="D1314" s="7" t="e">
        <f t="shared" si="20"/>
        <v>#DIV/0!</v>
      </c>
    </row>
    <row r="1315" customHeight="1" spans="4:4">
      <c r="D1315" s="7" t="e">
        <f t="shared" si="20"/>
        <v>#DIV/0!</v>
      </c>
    </row>
    <row r="1316" customHeight="1" spans="4:4">
      <c r="D1316" s="7" t="e">
        <f t="shared" si="20"/>
        <v>#DIV/0!</v>
      </c>
    </row>
    <row r="1317" customHeight="1" spans="4:4">
      <c r="D1317" s="7" t="e">
        <f t="shared" si="20"/>
        <v>#DIV/0!</v>
      </c>
    </row>
    <row r="1318" customHeight="1" spans="4:4">
      <c r="D1318" s="7" t="e">
        <f t="shared" si="20"/>
        <v>#DIV/0!</v>
      </c>
    </row>
    <row r="1319" customHeight="1" spans="4:4">
      <c r="D1319" s="7" t="e">
        <f t="shared" si="20"/>
        <v>#DIV/0!</v>
      </c>
    </row>
    <row r="1320" customHeight="1" spans="4:4">
      <c r="D1320" s="7" t="e">
        <f t="shared" si="20"/>
        <v>#DIV/0!</v>
      </c>
    </row>
    <row r="1321" customHeight="1" spans="4:4">
      <c r="D1321" s="7" t="e">
        <f t="shared" si="20"/>
        <v>#DIV/0!</v>
      </c>
    </row>
    <row r="1322" customHeight="1" spans="4:4">
      <c r="D1322" s="7" t="e">
        <f t="shared" si="20"/>
        <v>#DIV/0!</v>
      </c>
    </row>
    <row r="1323" customHeight="1" spans="4:4">
      <c r="D1323" s="7" t="e">
        <f t="shared" si="20"/>
        <v>#DIV/0!</v>
      </c>
    </row>
    <row r="1324" customHeight="1" spans="4:4">
      <c r="D1324" s="7" t="e">
        <f t="shared" si="20"/>
        <v>#DIV/0!</v>
      </c>
    </row>
    <row r="1325" customHeight="1" spans="4:4">
      <c r="D1325" s="7" t="e">
        <f t="shared" si="20"/>
        <v>#DIV/0!</v>
      </c>
    </row>
    <row r="1326" customHeight="1" spans="4:4">
      <c r="D1326" s="7" t="e">
        <f t="shared" si="20"/>
        <v>#DIV/0!</v>
      </c>
    </row>
    <row r="1327" customHeight="1" spans="4:4">
      <c r="D1327" s="7" t="e">
        <f t="shared" si="20"/>
        <v>#DIV/0!</v>
      </c>
    </row>
    <row r="1328" customHeight="1" spans="4:4">
      <c r="D1328" s="7" t="e">
        <f t="shared" si="20"/>
        <v>#DIV/0!</v>
      </c>
    </row>
    <row r="1329" customHeight="1" spans="4:4">
      <c r="D1329" s="7" t="e">
        <f t="shared" si="20"/>
        <v>#DIV/0!</v>
      </c>
    </row>
    <row r="1330" customHeight="1" spans="4:4">
      <c r="D1330" s="7" t="e">
        <f t="shared" si="20"/>
        <v>#DIV/0!</v>
      </c>
    </row>
    <row r="1331" customHeight="1" spans="4:4">
      <c r="D1331" s="7" t="e">
        <f t="shared" si="20"/>
        <v>#DIV/0!</v>
      </c>
    </row>
    <row r="1332" customHeight="1" spans="4:4">
      <c r="D1332" s="7" t="e">
        <f t="shared" si="20"/>
        <v>#DIV/0!</v>
      </c>
    </row>
    <row r="1333" customHeight="1" spans="4:4">
      <c r="D1333" s="7" t="e">
        <f t="shared" si="20"/>
        <v>#DIV/0!</v>
      </c>
    </row>
    <row r="1334" customHeight="1" spans="4:4">
      <c r="D1334" s="7" t="e">
        <f t="shared" si="20"/>
        <v>#DIV/0!</v>
      </c>
    </row>
    <row r="1335" customHeight="1" spans="4:4">
      <c r="D1335" s="7" t="e">
        <f t="shared" si="20"/>
        <v>#DIV/0!</v>
      </c>
    </row>
    <row r="1336" customHeight="1" spans="4:4">
      <c r="D1336" s="7" t="e">
        <f t="shared" si="20"/>
        <v>#DIV/0!</v>
      </c>
    </row>
    <row r="1337" customHeight="1" spans="4:4">
      <c r="D1337" s="7" t="e">
        <f t="shared" si="20"/>
        <v>#DIV/0!</v>
      </c>
    </row>
    <row r="1338" customHeight="1" spans="4:4">
      <c r="D1338" s="7" t="e">
        <f t="shared" si="20"/>
        <v>#DIV/0!</v>
      </c>
    </row>
    <row r="1339" customHeight="1" spans="4:4">
      <c r="D1339" s="7" t="e">
        <f t="shared" si="20"/>
        <v>#DIV/0!</v>
      </c>
    </row>
    <row r="1340" customHeight="1" spans="4:4">
      <c r="D1340" s="7" t="e">
        <f t="shared" si="20"/>
        <v>#DIV/0!</v>
      </c>
    </row>
    <row r="1341" customHeight="1" spans="4:4">
      <c r="D1341" s="7" t="e">
        <f t="shared" si="20"/>
        <v>#DIV/0!</v>
      </c>
    </row>
    <row r="1342" customHeight="1" spans="4:4">
      <c r="D1342" s="7" t="e">
        <f t="shared" si="20"/>
        <v>#DIV/0!</v>
      </c>
    </row>
    <row r="1343" customHeight="1" spans="4:4">
      <c r="D1343" s="7" t="e">
        <f t="shared" si="20"/>
        <v>#DIV/0!</v>
      </c>
    </row>
    <row r="1344" customHeight="1" spans="4:4">
      <c r="D1344" s="7" t="e">
        <f t="shared" si="20"/>
        <v>#DIV/0!</v>
      </c>
    </row>
    <row r="1345" customHeight="1" spans="4:4">
      <c r="D1345" s="7" t="e">
        <f t="shared" si="20"/>
        <v>#DIV/0!</v>
      </c>
    </row>
    <row r="1346" customHeight="1" spans="4:4">
      <c r="D1346" s="7" t="e">
        <f t="shared" si="20"/>
        <v>#DIV/0!</v>
      </c>
    </row>
    <row r="1347" customHeight="1" spans="4:4">
      <c r="D1347" s="7" t="e">
        <f t="shared" si="20"/>
        <v>#DIV/0!</v>
      </c>
    </row>
    <row r="1348" customHeight="1" spans="4:4">
      <c r="D1348" s="7" t="e">
        <f t="shared" ref="D1348:D1411" si="21">+B1348/C1348</f>
        <v>#DIV/0!</v>
      </c>
    </row>
    <row r="1349" customHeight="1" spans="4:4">
      <c r="D1349" s="7" t="e">
        <f t="shared" si="21"/>
        <v>#DIV/0!</v>
      </c>
    </row>
    <row r="1350" customHeight="1" spans="4:4">
      <c r="D1350" s="7" t="e">
        <f t="shared" si="21"/>
        <v>#DIV/0!</v>
      </c>
    </row>
    <row r="1351" customHeight="1" spans="4:4">
      <c r="D1351" s="7" t="e">
        <f t="shared" si="21"/>
        <v>#DIV/0!</v>
      </c>
    </row>
    <row r="1352" customHeight="1" spans="4:4">
      <c r="D1352" s="7" t="e">
        <f t="shared" si="21"/>
        <v>#DIV/0!</v>
      </c>
    </row>
    <row r="1353" customHeight="1" spans="4:4">
      <c r="D1353" s="7" t="e">
        <f t="shared" si="21"/>
        <v>#DIV/0!</v>
      </c>
    </row>
    <row r="1354" customHeight="1" spans="4:4">
      <c r="D1354" s="7" t="e">
        <f t="shared" si="21"/>
        <v>#DIV/0!</v>
      </c>
    </row>
    <row r="1355" customHeight="1" spans="4:4">
      <c r="D1355" s="7" t="e">
        <f t="shared" si="21"/>
        <v>#DIV/0!</v>
      </c>
    </row>
    <row r="1356" customHeight="1" spans="4:4">
      <c r="D1356" s="7" t="e">
        <f t="shared" si="21"/>
        <v>#DIV/0!</v>
      </c>
    </row>
    <row r="1357" customHeight="1" spans="4:4">
      <c r="D1357" s="7" t="e">
        <f t="shared" si="21"/>
        <v>#DIV/0!</v>
      </c>
    </row>
    <row r="1358" customHeight="1" spans="4:4">
      <c r="D1358" s="7" t="e">
        <f t="shared" si="21"/>
        <v>#DIV/0!</v>
      </c>
    </row>
    <row r="1359" customHeight="1" spans="4:4">
      <c r="D1359" s="7" t="e">
        <f t="shared" si="21"/>
        <v>#DIV/0!</v>
      </c>
    </row>
    <row r="1360" customHeight="1" spans="4:4">
      <c r="D1360" s="7" t="e">
        <f t="shared" si="21"/>
        <v>#DIV/0!</v>
      </c>
    </row>
    <row r="1361" customHeight="1" spans="4:4">
      <c r="D1361" s="7" t="e">
        <f t="shared" si="21"/>
        <v>#DIV/0!</v>
      </c>
    </row>
    <row r="1362" customHeight="1" spans="4:4">
      <c r="D1362" s="7" t="e">
        <f t="shared" si="21"/>
        <v>#DIV/0!</v>
      </c>
    </row>
    <row r="1363" customHeight="1" spans="4:4">
      <c r="D1363" s="7" t="e">
        <f t="shared" si="21"/>
        <v>#DIV/0!</v>
      </c>
    </row>
    <row r="1364" customHeight="1" spans="4:4">
      <c r="D1364" s="7" t="e">
        <f t="shared" si="21"/>
        <v>#DIV/0!</v>
      </c>
    </row>
    <row r="1365" customHeight="1" spans="4:4">
      <c r="D1365" s="7" t="e">
        <f t="shared" si="21"/>
        <v>#DIV/0!</v>
      </c>
    </row>
    <row r="1366" customHeight="1" spans="4:4">
      <c r="D1366" s="7" t="e">
        <f t="shared" si="21"/>
        <v>#DIV/0!</v>
      </c>
    </row>
    <row r="1367" customHeight="1" spans="4:4">
      <c r="D1367" s="7" t="e">
        <f t="shared" si="21"/>
        <v>#DIV/0!</v>
      </c>
    </row>
    <row r="1368" customHeight="1" spans="4:4">
      <c r="D1368" s="7" t="e">
        <f t="shared" si="21"/>
        <v>#DIV/0!</v>
      </c>
    </row>
    <row r="1369" customHeight="1" spans="4:4">
      <c r="D1369" s="7" t="e">
        <f t="shared" si="21"/>
        <v>#DIV/0!</v>
      </c>
    </row>
    <row r="1370" customHeight="1" spans="4:4">
      <c r="D1370" s="7" t="e">
        <f t="shared" si="21"/>
        <v>#DIV/0!</v>
      </c>
    </row>
    <row r="1371" customHeight="1" spans="4:4">
      <c r="D1371" s="7" t="e">
        <f t="shared" si="21"/>
        <v>#DIV/0!</v>
      </c>
    </row>
    <row r="1372" customHeight="1" spans="4:4">
      <c r="D1372" s="7" t="e">
        <f t="shared" si="21"/>
        <v>#DIV/0!</v>
      </c>
    </row>
    <row r="1373" customHeight="1" spans="4:4">
      <c r="D1373" s="7" t="e">
        <f t="shared" si="21"/>
        <v>#DIV/0!</v>
      </c>
    </row>
    <row r="1374" customHeight="1" spans="4:4">
      <c r="D1374" s="7" t="e">
        <f t="shared" si="21"/>
        <v>#DIV/0!</v>
      </c>
    </row>
    <row r="1375" customHeight="1" spans="4:4">
      <c r="D1375" s="7" t="e">
        <f t="shared" si="21"/>
        <v>#DIV/0!</v>
      </c>
    </row>
    <row r="1376" customHeight="1" spans="4:4">
      <c r="D1376" s="7" t="e">
        <f t="shared" si="21"/>
        <v>#DIV/0!</v>
      </c>
    </row>
    <row r="1377" customHeight="1" spans="4:4">
      <c r="D1377" s="7" t="e">
        <f t="shared" si="21"/>
        <v>#DIV/0!</v>
      </c>
    </row>
    <row r="1378" customHeight="1" spans="4:4">
      <c r="D1378" s="7" t="e">
        <f t="shared" si="21"/>
        <v>#DIV/0!</v>
      </c>
    </row>
    <row r="1379" customHeight="1" spans="4:4">
      <c r="D1379" s="7" t="e">
        <f t="shared" si="21"/>
        <v>#DIV/0!</v>
      </c>
    </row>
    <row r="1380" customHeight="1" spans="4:4">
      <c r="D1380" s="7" t="e">
        <f t="shared" si="21"/>
        <v>#DIV/0!</v>
      </c>
    </row>
    <row r="1381" customHeight="1" spans="4:4">
      <c r="D1381" s="7" t="e">
        <f t="shared" si="21"/>
        <v>#DIV/0!</v>
      </c>
    </row>
    <row r="1382" customHeight="1" spans="4:4">
      <c r="D1382" s="7" t="e">
        <f t="shared" si="21"/>
        <v>#DIV/0!</v>
      </c>
    </row>
    <row r="1383" customHeight="1" spans="4:4">
      <c r="D1383" s="7" t="e">
        <f t="shared" si="21"/>
        <v>#DIV/0!</v>
      </c>
    </row>
    <row r="1384" customHeight="1" spans="4:4">
      <c r="D1384" s="7" t="e">
        <f t="shared" si="21"/>
        <v>#DIV/0!</v>
      </c>
    </row>
    <row r="1385" customHeight="1" spans="4:4">
      <c r="D1385" s="7" t="e">
        <f t="shared" si="21"/>
        <v>#DIV/0!</v>
      </c>
    </row>
    <row r="1386" customHeight="1" spans="4:4">
      <c r="D1386" s="7" t="e">
        <f t="shared" si="21"/>
        <v>#DIV/0!</v>
      </c>
    </row>
    <row r="1387" customHeight="1" spans="4:4">
      <c r="D1387" s="7" t="e">
        <f t="shared" si="21"/>
        <v>#DIV/0!</v>
      </c>
    </row>
    <row r="1388" customHeight="1" spans="4:4">
      <c r="D1388" s="7" t="e">
        <f t="shared" si="21"/>
        <v>#DIV/0!</v>
      </c>
    </row>
    <row r="1389" customHeight="1" spans="4:4">
      <c r="D1389" s="7" t="e">
        <f t="shared" si="21"/>
        <v>#DIV/0!</v>
      </c>
    </row>
    <row r="1390" customHeight="1" spans="4:4">
      <c r="D1390" s="7" t="e">
        <f t="shared" si="21"/>
        <v>#DIV/0!</v>
      </c>
    </row>
    <row r="1391" customHeight="1" spans="4:4">
      <c r="D1391" s="7" t="e">
        <f t="shared" si="21"/>
        <v>#DIV/0!</v>
      </c>
    </row>
    <row r="1392" customHeight="1" spans="4:4">
      <c r="D1392" s="7" t="e">
        <f t="shared" si="21"/>
        <v>#DIV/0!</v>
      </c>
    </row>
    <row r="1393" customHeight="1" spans="4:4">
      <c r="D1393" s="7" t="e">
        <f t="shared" si="21"/>
        <v>#DIV/0!</v>
      </c>
    </row>
    <row r="1394" customHeight="1" spans="4:4">
      <c r="D1394" s="7" t="e">
        <f t="shared" si="21"/>
        <v>#DIV/0!</v>
      </c>
    </row>
    <row r="1395" customHeight="1" spans="4:4">
      <c r="D1395" s="7" t="e">
        <f t="shared" si="21"/>
        <v>#DIV/0!</v>
      </c>
    </row>
    <row r="1396" customHeight="1" spans="4:4">
      <c r="D1396" s="7" t="e">
        <f t="shared" si="21"/>
        <v>#DIV/0!</v>
      </c>
    </row>
    <row r="1397" customHeight="1" spans="4:4">
      <c r="D1397" s="7" t="e">
        <f t="shared" si="21"/>
        <v>#DIV/0!</v>
      </c>
    </row>
    <row r="1398" customHeight="1" spans="4:4">
      <c r="D1398" s="7" t="e">
        <f t="shared" si="21"/>
        <v>#DIV/0!</v>
      </c>
    </row>
    <row r="1399" customHeight="1" spans="4:4">
      <c r="D1399" s="7" t="e">
        <f t="shared" si="21"/>
        <v>#DIV/0!</v>
      </c>
    </row>
    <row r="1400" customHeight="1" spans="4:4">
      <c r="D1400" s="7" t="e">
        <f t="shared" si="21"/>
        <v>#DIV/0!</v>
      </c>
    </row>
    <row r="1401" customHeight="1" spans="4:4">
      <c r="D1401" s="7" t="e">
        <f t="shared" si="21"/>
        <v>#DIV/0!</v>
      </c>
    </row>
    <row r="1402" customHeight="1" spans="4:4">
      <c r="D1402" s="7" t="e">
        <f t="shared" si="21"/>
        <v>#DIV/0!</v>
      </c>
    </row>
    <row r="1403" customHeight="1" spans="4:4">
      <c r="D1403" s="7" t="e">
        <f t="shared" si="21"/>
        <v>#DIV/0!</v>
      </c>
    </row>
    <row r="1404" customHeight="1" spans="4:4">
      <c r="D1404" s="7" t="e">
        <f t="shared" si="21"/>
        <v>#DIV/0!</v>
      </c>
    </row>
    <row r="1405" customHeight="1" spans="4:4">
      <c r="D1405" s="7" t="e">
        <f t="shared" si="21"/>
        <v>#DIV/0!</v>
      </c>
    </row>
    <row r="1406" customHeight="1" spans="4:4">
      <c r="D1406" s="7" t="e">
        <f t="shared" si="21"/>
        <v>#DIV/0!</v>
      </c>
    </row>
    <row r="1407" customHeight="1" spans="4:4">
      <c r="D1407" s="7" t="e">
        <f t="shared" si="21"/>
        <v>#DIV/0!</v>
      </c>
    </row>
    <row r="1408" customHeight="1" spans="4:4">
      <c r="D1408" s="7" t="e">
        <f t="shared" si="21"/>
        <v>#DIV/0!</v>
      </c>
    </row>
    <row r="1409" customHeight="1" spans="4:4">
      <c r="D1409" s="7" t="e">
        <f t="shared" si="21"/>
        <v>#DIV/0!</v>
      </c>
    </row>
    <row r="1410" customHeight="1" spans="4:4">
      <c r="D1410" s="7" t="e">
        <f t="shared" si="21"/>
        <v>#DIV/0!</v>
      </c>
    </row>
    <row r="1411" customHeight="1" spans="4:4">
      <c r="D1411" s="7" t="e">
        <f t="shared" si="21"/>
        <v>#DIV/0!</v>
      </c>
    </row>
    <row r="1412" customHeight="1" spans="4:4">
      <c r="D1412" s="7" t="e">
        <f t="shared" ref="D1412:D1475" si="22">+B1412/C1412</f>
        <v>#DIV/0!</v>
      </c>
    </row>
    <row r="1413" customHeight="1" spans="4:4">
      <c r="D1413" s="7" t="e">
        <f t="shared" si="22"/>
        <v>#DIV/0!</v>
      </c>
    </row>
    <row r="1414" customHeight="1" spans="4:4">
      <c r="D1414" s="7" t="e">
        <f t="shared" si="22"/>
        <v>#DIV/0!</v>
      </c>
    </row>
    <row r="1415" customHeight="1" spans="4:4">
      <c r="D1415" s="7" t="e">
        <f t="shared" si="22"/>
        <v>#DIV/0!</v>
      </c>
    </row>
    <row r="1416" customHeight="1" spans="4:4">
      <c r="D1416" s="7" t="e">
        <f t="shared" si="22"/>
        <v>#DIV/0!</v>
      </c>
    </row>
    <row r="1417" customHeight="1" spans="4:4">
      <c r="D1417" s="7" t="e">
        <f t="shared" si="22"/>
        <v>#DIV/0!</v>
      </c>
    </row>
    <row r="1418" customHeight="1" spans="4:4">
      <c r="D1418" s="7" t="e">
        <f t="shared" si="22"/>
        <v>#DIV/0!</v>
      </c>
    </row>
    <row r="1419" customHeight="1" spans="4:4">
      <c r="D1419" s="7" t="e">
        <f t="shared" si="22"/>
        <v>#DIV/0!</v>
      </c>
    </row>
    <row r="1420" customHeight="1" spans="4:4">
      <c r="D1420" s="7" t="e">
        <f t="shared" si="22"/>
        <v>#DIV/0!</v>
      </c>
    </row>
    <row r="1421" customHeight="1" spans="4:4">
      <c r="D1421" s="7" t="e">
        <f t="shared" si="22"/>
        <v>#DIV/0!</v>
      </c>
    </row>
    <row r="1422" customHeight="1" spans="4:4">
      <c r="D1422" s="7" t="e">
        <f t="shared" si="22"/>
        <v>#DIV/0!</v>
      </c>
    </row>
    <row r="1423" customHeight="1" spans="4:4">
      <c r="D1423" s="7" t="e">
        <f t="shared" si="22"/>
        <v>#DIV/0!</v>
      </c>
    </row>
    <row r="1424" customHeight="1" spans="4:4">
      <c r="D1424" s="7" t="e">
        <f t="shared" si="22"/>
        <v>#DIV/0!</v>
      </c>
    </row>
    <row r="1425" customHeight="1" spans="4:4">
      <c r="D1425" s="7" t="e">
        <f t="shared" si="22"/>
        <v>#DIV/0!</v>
      </c>
    </row>
    <row r="1426" customHeight="1" spans="4:4">
      <c r="D1426" s="7" t="e">
        <f t="shared" si="22"/>
        <v>#DIV/0!</v>
      </c>
    </row>
    <row r="1427" customHeight="1" spans="4:4">
      <c r="D1427" s="7" t="e">
        <f t="shared" si="22"/>
        <v>#DIV/0!</v>
      </c>
    </row>
    <row r="1428" customHeight="1" spans="4:4">
      <c r="D1428" s="7" t="e">
        <f t="shared" si="22"/>
        <v>#DIV/0!</v>
      </c>
    </row>
    <row r="1429" customHeight="1" spans="4:4">
      <c r="D1429" s="7" t="e">
        <f t="shared" si="22"/>
        <v>#DIV/0!</v>
      </c>
    </row>
    <row r="1430" customHeight="1" spans="4:4">
      <c r="D1430" s="7" t="e">
        <f t="shared" si="22"/>
        <v>#DIV/0!</v>
      </c>
    </row>
    <row r="1431" customHeight="1" spans="4:4">
      <c r="D1431" s="7" t="e">
        <f t="shared" si="22"/>
        <v>#DIV/0!</v>
      </c>
    </row>
    <row r="1432" customHeight="1" spans="4:4">
      <c r="D1432" s="7" t="e">
        <f t="shared" si="22"/>
        <v>#DIV/0!</v>
      </c>
    </row>
    <row r="1433" customHeight="1" spans="4:4">
      <c r="D1433" s="7" t="e">
        <f t="shared" si="22"/>
        <v>#DIV/0!</v>
      </c>
    </row>
    <row r="1434" customHeight="1" spans="4:4">
      <c r="D1434" s="7" t="e">
        <f t="shared" si="22"/>
        <v>#DIV/0!</v>
      </c>
    </row>
    <row r="1435" customHeight="1" spans="4:4">
      <c r="D1435" s="7" t="e">
        <f t="shared" si="22"/>
        <v>#DIV/0!</v>
      </c>
    </row>
    <row r="1436" customHeight="1" spans="4:4">
      <c r="D1436" s="7" t="e">
        <f t="shared" si="22"/>
        <v>#DIV/0!</v>
      </c>
    </row>
    <row r="1437" customHeight="1" spans="4:4">
      <c r="D1437" s="7" t="e">
        <f t="shared" si="22"/>
        <v>#DIV/0!</v>
      </c>
    </row>
    <row r="1438" customHeight="1" spans="4:4">
      <c r="D1438" s="7" t="e">
        <f t="shared" si="22"/>
        <v>#DIV/0!</v>
      </c>
    </row>
    <row r="1439" customHeight="1" spans="4:4">
      <c r="D1439" s="7" t="e">
        <f t="shared" si="22"/>
        <v>#DIV/0!</v>
      </c>
    </row>
    <row r="1440" customHeight="1" spans="4:4">
      <c r="D1440" s="7" t="e">
        <f t="shared" si="22"/>
        <v>#DIV/0!</v>
      </c>
    </row>
    <row r="1441" customHeight="1" spans="4:4">
      <c r="D1441" s="7" t="e">
        <f t="shared" si="22"/>
        <v>#DIV/0!</v>
      </c>
    </row>
    <row r="1442" customHeight="1" spans="4:4">
      <c r="D1442" s="7" t="e">
        <f t="shared" si="22"/>
        <v>#DIV/0!</v>
      </c>
    </row>
    <row r="1443" customHeight="1" spans="4:4">
      <c r="D1443" s="7" t="e">
        <f t="shared" si="22"/>
        <v>#DIV/0!</v>
      </c>
    </row>
    <row r="1444" customHeight="1" spans="4:4">
      <c r="D1444" s="7" t="e">
        <f t="shared" si="22"/>
        <v>#DIV/0!</v>
      </c>
    </row>
    <row r="1445" customHeight="1" spans="4:4">
      <c r="D1445" s="7" t="e">
        <f t="shared" si="22"/>
        <v>#DIV/0!</v>
      </c>
    </row>
    <row r="1446" customHeight="1" spans="4:4">
      <c r="D1446" s="7" t="e">
        <f t="shared" si="22"/>
        <v>#DIV/0!</v>
      </c>
    </row>
    <row r="1447" customHeight="1" spans="4:4">
      <c r="D1447" s="7" t="e">
        <f t="shared" si="22"/>
        <v>#DIV/0!</v>
      </c>
    </row>
    <row r="1448" customHeight="1" spans="4:4">
      <c r="D1448" s="7" t="e">
        <f t="shared" si="22"/>
        <v>#DIV/0!</v>
      </c>
    </row>
    <row r="1449" customHeight="1" spans="4:4">
      <c r="D1449" s="7" t="e">
        <f t="shared" si="22"/>
        <v>#DIV/0!</v>
      </c>
    </row>
    <row r="1450" customHeight="1" spans="4:4">
      <c r="D1450" s="7" t="e">
        <f t="shared" si="22"/>
        <v>#DIV/0!</v>
      </c>
    </row>
    <row r="1451" customHeight="1" spans="4:4">
      <c r="D1451" s="7" t="e">
        <f t="shared" si="22"/>
        <v>#DIV/0!</v>
      </c>
    </row>
    <row r="1452" customHeight="1" spans="4:4">
      <c r="D1452" s="7" t="e">
        <f t="shared" si="22"/>
        <v>#DIV/0!</v>
      </c>
    </row>
    <row r="1453" customHeight="1" spans="4:4">
      <c r="D1453" s="7" t="e">
        <f t="shared" si="22"/>
        <v>#DIV/0!</v>
      </c>
    </row>
    <row r="1454" customHeight="1" spans="4:4">
      <c r="D1454" s="7" t="e">
        <f t="shared" si="22"/>
        <v>#DIV/0!</v>
      </c>
    </row>
    <row r="1455" customHeight="1" spans="4:4">
      <c r="D1455" s="7" t="e">
        <f t="shared" si="22"/>
        <v>#DIV/0!</v>
      </c>
    </row>
    <row r="1456" customHeight="1" spans="4:4">
      <c r="D1456" s="7" t="e">
        <f t="shared" si="22"/>
        <v>#DIV/0!</v>
      </c>
    </row>
    <row r="1457" customHeight="1" spans="4:4">
      <c r="D1457" s="7" t="e">
        <f t="shared" si="22"/>
        <v>#DIV/0!</v>
      </c>
    </row>
    <row r="1458" customHeight="1" spans="4:4">
      <c r="D1458" s="7" t="e">
        <f t="shared" si="22"/>
        <v>#DIV/0!</v>
      </c>
    </row>
    <row r="1459" customHeight="1" spans="4:4">
      <c r="D1459" s="7" t="e">
        <f t="shared" si="22"/>
        <v>#DIV/0!</v>
      </c>
    </row>
    <row r="1460" customHeight="1" spans="4:4">
      <c r="D1460" s="7" t="e">
        <f t="shared" si="22"/>
        <v>#DIV/0!</v>
      </c>
    </row>
    <row r="1461" customHeight="1" spans="4:4">
      <c r="D1461" s="7" t="e">
        <f t="shared" si="22"/>
        <v>#DIV/0!</v>
      </c>
    </row>
    <row r="1462" customHeight="1" spans="4:4">
      <c r="D1462" s="7" t="e">
        <f t="shared" si="22"/>
        <v>#DIV/0!</v>
      </c>
    </row>
    <row r="1463" customHeight="1" spans="4:4">
      <c r="D1463" s="7" t="e">
        <f t="shared" si="22"/>
        <v>#DIV/0!</v>
      </c>
    </row>
    <row r="1464" customHeight="1" spans="4:4">
      <c r="D1464" s="7" t="e">
        <f t="shared" si="22"/>
        <v>#DIV/0!</v>
      </c>
    </row>
    <row r="1465" customHeight="1" spans="4:4">
      <c r="D1465" s="7" t="e">
        <f t="shared" si="22"/>
        <v>#DIV/0!</v>
      </c>
    </row>
    <row r="1466" customHeight="1" spans="4:4">
      <c r="D1466" s="7" t="e">
        <f t="shared" si="22"/>
        <v>#DIV/0!</v>
      </c>
    </row>
    <row r="1467" customHeight="1" spans="4:4">
      <c r="D1467" s="7" t="e">
        <f t="shared" si="22"/>
        <v>#DIV/0!</v>
      </c>
    </row>
    <row r="1468" customHeight="1" spans="4:4">
      <c r="D1468" s="7" t="e">
        <f t="shared" si="22"/>
        <v>#DIV/0!</v>
      </c>
    </row>
    <row r="1469" customHeight="1" spans="4:4">
      <c r="D1469" s="7" t="e">
        <f t="shared" si="22"/>
        <v>#DIV/0!</v>
      </c>
    </row>
    <row r="1470" customHeight="1" spans="4:4">
      <c r="D1470" s="7" t="e">
        <f t="shared" si="22"/>
        <v>#DIV/0!</v>
      </c>
    </row>
    <row r="1471" customHeight="1" spans="4:4">
      <c r="D1471" s="7" t="e">
        <f t="shared" si="22"/>
        <v>#DIV/0!</v>
      </c>
    </row>
    <row r="1472" customHeight="1" spans="4:4">
      <c r="D1472" s="7" t="e">
        <f t="shared" si="22"/>
        <v>#DIV/0!</v>
      </c>
    </row>
    <row r="1473" customHeight="1" spans="4:4">
      <c r="D1473" s="7" t="e">
        <f t="shared" si="22"/>
        <v>#DIV/0!</v>
      </c>
    </row>
    <row r="1474" customHeight="1" spans="4:4">
      <c r="D1474" s="7" t="e">
        <f t="shared" si="22"/>
        <v>#DIV/0!</v>
      </c>
    </row>
    <row r="1475" customHeight="1" spans="4:4">
      <c r="D1475" s="7" t="e">
        <f t="shared" si="22"/>
        <v>#DIV/0!</v>
      </c>
    </row>
    <row r="1476" customHeight="1" spans="4:4">
      <c r="D1476" s="7" t="e">
        <f t="shared" ref="D1476:D1539" si="23">+B1476/C1476</f>
        <v>#DIV/0!</v>
      </c>
    </row>
    <row r="1477" customHeight="1" spans="4:4">
      <c r="D1477" s="7" t="e">
        <f t="shared" si="23"/>
        <v>#DIV/0!</v>
      </c>
    </row>
    <row r="1478" customHeight="1" spans="4:4">
      <c r="D1478" s="7" t="e">
        <f t="shared" si="23"/>
        <v>#DIV/0!</v>
      </c>
    </row>
    <row r="1479" customHeight="1" spans="4:4">
      <c r="D1479" s="7" t="e">
        <f t="shared" si="23"/>
        <v>#DIV/0!</v>
      </c>
    </row>
    <row r="1480" customHeight="1" spans="4:4">
      <c r="D1480" s="7" t="e">
        <f t="shared" si="23"/>
        <v>#DIV/0!</v>
      </c>
    </row>
    <row r="1481" customHeight="1" spans="4:4">
      <c r="D1481" s="7" t="e">
        <f t="shared" si="23"/>
        <v>#DIV/0!</v>
      </c>
    </row>
    <row r="1482" customHeight="1" spans="4:4">
      <c r="D1482" s="7" t="e">
        <f t="shared" si="23"/>
        <v>#DIV/0!</v>
      </c>
    </row>
    <row r="1483" customHeight="1" spans="4:4">
      <c r="D1483" s="7" t="e">
        <f t="shared" si="23"/>
        <v>#DIV/0!</v>
      </c>
    </row>
    <row r="1484" customHeight="1" spans="4:4">
      <c r="D1484" s="7" t="e">
        <f t="shared" si="23"/>
        <v>#DIV/0!</v>
      </c>
    </row>
    <row r="1485" customHeight="1" spans="4:4">
      <c r="D1485" s="7" t="e">
        <f t="shared" si="23"/>
        <v>#DIV/0!</v>
      </c>
    </row>
    <row r="1486" customHeight="1" spans="4:4">
      <c r="D1486" s="7" t="e">
        <f t="shared" si="23"/>
        <v>#DIV/0!</v>
      </c>
    </row>
    <row r="1487" customHeight="1" spans="4:4">
      <c r="D1487" s="7" t="e">
        <f t="shared" si="23"/>
        <v>#DIV/0!</v>
      </c>
    </row>
    <row r="1488" customHeight="1" spans="4:4">
      <c r="D1488" s="7" t="e">
        <f t="shared" si="23"/>
        <v>#DIV/0!</v>
      </c>
    </row>
    <row r="1489" customHeight="1" spans="4:4">
      <c r="D1489" s="7" t="e">
        <f t="shared" si="23"/>
        <v>#DIV/0!</v>
      </c>
    </row>
    <row r="1490" customHeight="1" spans="4:4">
      <c r="D1490" s="7" t="e">
        <f t="shared" si="23"/>
        <v>#DIV/0!</v>
      </c>
    </row>
    <row r="1491" customHeight="1" spans="4:4">
      <c r="D1491" s="7" t="e">
        <f t="shared" si="23"/>
        <v>#DIV/0!</v>
      </c>
    </row>
    <row r="1492" customHeight="1" spans="4:4">
      <c r="D1492" s="7" t="e">
        <f t="shared" si="23"/>
        <v>#DIV/0!</v>
      </c>
    </row>
    <row r="1493" customHeight="1" spans="4:4">
      <c r="D1493" s="7" t="e">
        <f t="shared" si="23"/>
        <v>#DIV/0!</v>
      </c>
    </row>
    <row r="1494" customHeight="1" spans="4:4">
      <c r="D1494" s="7" t="e">
        <f t="shared" si="23"/>
        <v>#DIV/0!</v>
      </c>
    </row>
    <row r="1495" customHeight="1" spans="4:4">
      <c r="D1495" s="7" t="e">
        <f t="shared" si="23"/>
        <v>#DIV/0!</v>
      </c>
    </row>
    <row r="1496" customHeight="1" spans="4:4">
      <c r="D1496" s="7" t="e">
        <f t="shared" si="23"/>
        <v>#DIV/0!</v>
      </c>
    </row>
    <row r="1497" customHeight="1" spans="4:4">
      <c r="D1497" s="7" t="e">
        <f t="shared" si="23"/>
        <v>#DIV/0!</v>
      </c>
    </row>
    <row r="1498" customHeight="1" spans="4:4">
      <c r="D1498" s="7" t="e">
        <f t="shared" si="23"/>
        <v>#DIV/0!</v>
      </c>
    </row>
    <row r="1499" customHeight="1" spans="4:4">
      <c r="D1499" s="7" t="e">
        <f t="shared" si="23"/>
        <v>#DIV/0!</v>
      </c>
    </row>
    <row r="1500" customHeight="1" spans="4:4">
      <c r="D1500" s="7" t="e">
        <f t="shared" si="23"/>
        <v>#DIV/0!</v>
      </c>
    </row>
    <row r="1501" customHeight="1" spans="4:4">
      <c r="D1501" s="7" t="e">
        <f t="shared" si="23"/>
        <v>#DIV/0!</v>
      </c>
    </row>
    <row r="1502" customHeight="1" spans="4:4">
      <c r="D1502" s="7" t="e">
        <f t="shared" si="23"/>
        <v>#DIV/0!</v>
      </c>
    </row>
    <row r="1503" customHeight="1" spans="4:4">
      <c r="D1503" s="7" t="e">
        <f t="shared" si="23"/>
        <v>#DIV/0!</v>
      </c>
    </row>
    <row r="1504" customHeight="1" spans="4:4">
      <c r="D1504" s="7" t="e">
        <f t="shared" si="23"/>
        <v>#DIV/0!</v>
      </c>
    </row>
    <row r="1505" customHeight="1" spans="4:4">
      <c r="D1505" s="7" t="e">
        <f t="shared" si="23"/>
        <v>#DIV/0!</v>
      </c>
    </row>
    <row r="1506" customHeight="1" spans="4:4">
      <c r="D1506" s="7" t="e">
        <f t="shared" si="23"/>
        <v>#DIV/0!</v>
      </c>
    </row>
    <row r="1507" customHeight="1" spans="4:4">
      <c r="D1507" s="7" t="e">
        <f t="shared" si="23"/>
        <v>#DIV/0!</v>
      </c>
    </row>
    <row r="1508" customHeight="1" spans="4:4">
      <c r="D1508" s="7" t="e">
        <f t="shared" si="23"/>
        <v>#DIV/0!</v>
      </c>
    </row>
    <row r="1509" customHeight="1" spans="4:4">
      <c r="D1509" s="7" t="e">
        <f t="shared" si="23"/>
        <v>#DIV/0!</v>
      </c>
    </row>
    <row r="1510" customHeight="1" spans="4:4">
      <c r="D1510" s="7" t="e">
        <f t="shared" si="23"/>
        <v>#DIV/0!</v>
      </c>
    </row>
    <row r="1511" customHeight="1" spans="4:4">
      <c r="D1511" s="7" t="e">
        <f t="shared" si="23"/>
        <v>#DIV/0!</v>
      </c>
    </row>
    <row r="1512" customHeight="1" spans="4:4">
      <c r="D1512" s="7" t="e">
        <f t="shared" si="23"/>
        <v>#DIV/0!</v>
      </c>
    </row>
    <row r="1513" customHeight="1" spans="4:4">
      <c r="D1513" s="7" t="e">
        <f t="shared" si="23"/>
        <v>#DIV/0!</v>
      </c>
    </row>
    <row r="1514" customHeight="1" spans="4:4">
      <c r="D1514" s="7" t="e">
        <f t="shared" si="23"/>
        <v>#DIV/0!</v>
      </c>
    </row>
    <row r="1515" customHeight="1" spans="4:4">
      <c r="D1515" s="7" t="e">
        <f t="shared" si="23"/>
        <v>#DIV/0!</v>
      </c>
    </row>
    <row r="1516" customHeight="1" spans="4:4">
      <c r="D1516" s="7" t="e">
        <f t="shared" si="23"/>
        <v>#DIV/0!</v>
      </c>
    </row>
    <row r="1517" customHeight="1" spans="4:4">
      <c r="D1517" s="7" t="e">
        <f t="shared" si="23"/>
        <v>#DIV/0!</v>
      </c>
    </row>
    <row r="1518" customHeight="1" spans="4:4">
      <c r="D1518" s="7" t="e">
        <f t="shared" si="23"/>
        <v>#DIV/0!</v>
      </c>
    </row>
    <row r="1519" customHeight="1" spans="4:4">
      <c r="D1519" s="7" t="e">
        <f t="shared" si="23"/>
        <v>#DIV/0!</v>
      </c>
    </row>
    <row r="1520" customHeight="1" spans="4:4">
      <c r="D1520" s="7" t="e">
        <f t="shared" si="23"/>
        <v>#DIV/0!</v>
      </c>
    </row>
    <row r="1521" customHeight="1" spans="4:4">
      <c r="D1521" s="7" t="e">
        <f t="shared" si="23"/>
        <v>#DIV/0!</v>
      </c>
    </row>
    <row r="1522" customHeight="1" spans="4:4">
      <c r="D1522" s="7" t="e">
        <f t="shared" si="23"/>
        <v>#DIV/0!</v>
      </c>
    </row>
    <row r="1523" customHeight="1" spans="4:4">
      <c r="D1523" s="7" t="e">
        <f t="shared" si="23"/>
        <v>#DIV/0!</v>
      </c>
    </row>
    <row r="1524" customHeight="1" spans="4:4">
      <c r="D1524" s="7" t="e">
        <f t="shared" si="23"/>
        <v>#DIV/0!</v>
      </c>
    </row>
    <row r="1525" customHeight="1" spans="4:4">
      <c r="D1525" s="7" t="e">
        <f t="shared" si="23"/>
        <v>#DIV/0!</v>
      </c>
    </row>
    <row r="1526" customHeight="1" spans="4:4">
      <c r="D1526" s="7" t="e">
        <f t="shared" si="23"/>
        <v>#DIV/0!</v>
      </c>
    </row>
    <row r="1527" customHeight="1" spans="4:4">
      <c r="D1527" s="7" t="e">
        <f t="shared" si="23"/>
        <v>#DIV/0!</v>
      </c>
    </row>
    <row r="1528" customHeight="1" spans="4:4">
      <c r="D1528" s="7" t="e">
        <f t="shared" si="23"/>
        <v>#DIV/0!</v>
      </c>
    </row>
    <row r="1529" customHeight="1" spans="4:4">
      <c r="D1529" s="7" t="e">
        <f t="shared" si="23"/>
        <v>#DIV/0!</v>
      </c>
    </row>
    <row r="1530" customHeight="1" spans="4:4">
      <c r="D1530" s="7" t="e">
        <f t="shared" si="23"/>
        <v>#DIV/0!</v>
      </c>
    </row>
    <row r="1531" customHeight="1" spans="4:4">
      <c r="D1531" s="7" t="e">
        <f t="shared" si="23"/>
        <v>#DIV/0!</v>
      </c>
    </row>
    <row r="1532" customHeight="1" spans="4:4">
      <c r="D1532" s="7" t="e">
        <f t="shared" si="23"/>
        <v>#DIV/0!</v>
      </c>
    </row>
    <row r="1533" customHeight="1" spans="4:4">
      <c r="D1533" s="7" t="e">
        <f t="shared" si="23"/>
        <v>#DIV/0!</v>
      </c>
    </row>
    <row r="1534" customHeight="1" spans="4:4">
      <c r="D1534" s="7" t="e">
        <f t="shared" si="23"/>
        <v>#DIV/0!</v>
      </c>
    </row>
    <row r="1535" customHeight="1" spans="4:4">
      <c r="D1535" s="7" t="e">
        <f t="shared" si="23"/>
        <v>#DIV/0!</v>
      </c>
    </row>
    <row r="1536" customHeight="1" spans="4:4">
      <c r="D1536" s="7" t="e">
        <f t="shared" si="23"/>
        <v>#DIV/0!</v>
      </c>
    </row>
    <row r="1537" customHeight="1" spans="4:4">
      <c r="D1537" s="7" t="e">
        <f t="shared" si="23"/>
        <v>#DIV/0!</v>
      </c>
    </row>
    <row r="1538" customHeight="1" spans="4:4">
      <c r="D1538" s="7" t="e">
        <f t="shared" si="23"/>
        <v>#DIV/0!</v>
      </c>
    </row>
    <row r="1539" customHeight="1" spans="4:4">
      <c r="D1539" s="7" t="e">
        <f t="shared" si="23"/>
        <v>#DIV/0!</v>
      </c>
    </row>
    <row r="1540" customHeight="1" spans="4:4">
      <c r="D1540" s="7" t="e">
        <f t="shared" ref="D1540:D1603" si="24">+B1540/C1540</f>
        <v>#DIV/0!</v>
      </c>
    </row>
    <row r="1541" customHeight="1" spans="4:4">
      <c r="D1541" s="7" t="e">
        <f t="shared" si="24"/>
        <v>#DIV/0!</v>
      </c>
    </row>
    <row r="1542" customHeight="1" spans="4:4">
      <c r="D1542" s="7" t="e">
        <f t="shared" si="24"/>
        <v>#DIV/0!</v>
      </c>
    </row>
    <row r="1543" customHeight="1" spans="4:4">
      <c r="D1543" s="7" t="e">
        <f t="shared" si="24"/>
        <v>#DIV/0!</v>
      </c>
    </row>
    <row r="1544" customHeight="1" spans="4:4">
      <c r="D1544" s="7" t="e">
        <f t="shared" si="24"/>
        <v>#DIV/0!</v>
      </c>
    </row>
    <row r="1545" customHeight="1" spans="4:4">
      <c r="D1545" s="7" t="e">
        <f t="shared" si="24"/>
        <v>#DIV/0!</v>
      </c>
    </row>
    <row r="1546" customHeight="1" spans="4:4">
      <c r="D1546" s="7" t="e">
        <f t="shared" si="24"/>
        <v>#DIV/0!</v>
      </c>
    </row>
    <row r="1547" customHeight="1" spans="4:4">
      <c r="D1547" s="7" t="e">
        <f t="shared" si="24"/>
        <v>#DIV/0!</v>
      </c>
    </row>
    <row r="1548" customHeight="1" spans="4:4">
      <c r="D1548" s="7" t="e">
        <f t="shared" si="24"/>
        <v>#DIV/0!</v>
      </c>
    </row>
    <row r="1549" customHeight="1" spans="4:4">
      <c r="D1549" s="7" t="e">
        <f t="shared" si="24"/>
        <v>#DIV/0!</v>
      </c>
    </row>
    <row r="1550" customHeight="1" spans="4:4">
      <c r="D1550" s="7" t="e">
        <f t="shared" si="24"/>
        <v>#DIV/0!</v>
      </c>
    </row>
    <row r="1551" customHeight="1" spans="4:4">
      <c r="D1551" s="7" t="e">
        <f t="shared" si="24"/>
        <v>#DIV/0!</v>
      </c>
    </row>
    <row r="1552" customHeight="1" spans="4:4">
      <c r="D1552" s="7" t="e">
        <f t="shared" si="24"/>
        <v>#DIV/0!</v>
      </c>
    </row>
    <row r="1553" customHeight="1" spans="4:4">
      <c r="D1553" s="7" t="e">
        <f t="shared" si="24"/>
        <v>#DIV/0!</v>
      </c>
    </row>
    <row r="1554" customHeight="1" spans="4:4">
      <c r="D1554" s="7" t="e">
        <f t="shared" si="24"/>
        <v>#DIV/0!</v>
      </c>
    </row>
    <row r="1555" customHeight="1" spans="4:4">
      <c r="D1555" s="7" t="e">
        <f t="shared" si="24"/>
        <v>#DIV/0!</v>
      </c>
    </row>
    <row r="1556" customHeight="1" spans="4:4">
      <c r="D1556" s="7" t="e">
        <f t="shared" si="24"/>
        <v>#DIV/0!</v>
      </c>
    </row>
    <row r="1557" customHeight="1" spans="4:4">
      <c r="D1557" s="7" t="e">
        <f t="shared" si="24"/>
        <v>#DIV/0!</v>
      </c>
    </row>
    <row r="1558" customHeight="1" spans="4:4">
      <c r="D1558" s="7" t="e">
        <f t="shared" si="24"/>
        <v>#DIV/0!</v>
      </c>
    </row>
    <row r="1559" customHeight="1" spans="4:4">
      <c r="D1559" s="7" t="e">
        <f t="shared" si="24"/>
        <v>#DIV/0!</v>
      </c>
    </row>
    <row r="1560" customHeight="1" spans="4:4">
      <c r="D1560" s="7" t="e">
        <f t="shared" si="24"/>
        <v>#DIV/0!</v>
      </c>
    </row>
    <row r="1561" customHeight="1" spans="4:4">
      <c r="D1561" s="7" t="e">
        <f t="shared" si="24"/>
        <v>#DIV/0!</v>
      </c>
    </row>
    <row r="1562" customHeight="1" spans="4:4">
      <c r="D1562" s="7" t="e">
        <f t="shared" si="24"/>
        <v>#DIV/0!</v>
      </c>
    </row>
    <row r="1563" customHeight="1" spans="4:4">
      <c r="D1563" s="7" t="e">
        <f t="shared" si="24"/>
        <v>#DIV/0!</v>
      </c>
    </row>
    <row r="1564" customHeight="1" spans="4:4">
      <c r="D1564" s="7" t="e">
        <f t="shared" si="24"/>
        <v>#DIV/0!</v>
      </c>
    </row>
    <row r="1565" customHeight="1" spans="4:4">
      <c r="D1565" s="7" t="e">
        <f t="shared" si="24"/>
        <v>#DIV/0!</v>
      </c>
    </row>
    <row r="1566" customHeight="1" spans="4:4">
      <c r="D1566" s="7" t="e">
        <f t="shared" si="24"/>
        <v>#DIV/0!</v>
      </c>
    </row>
    <row r="1567" customHeight="1" spans="4:4">
      <c r="D1567" s="7" t="e">
        <f t="shared" si="24"/>
        <v>#DIV/0!</v>
      </c>
    </row>
    <row r="1568" customHeight="1" spans="4:4">
      <c r="D1568" s="7" t="e">
        <f t="shared" si="24"/>
        <v>#DIV/0!</v>
      </c>
    </row>
    <row r="1569" customHeight="1" spans="4:4">
      <c r="D1569" s="7" t="e">
        <f t="shared" si="24"/>
        <v>#DIV/0!</v>
      </c>
    </row>
    <row r="1570" customHeight="1" spans="4:4">
      <c r="D1570" s="7" t="e">
        <f t="shared" si="24"/>
        <v>#DIV/0!</v>
      </c>
    </row>
    <row r="1571" customHeight="1" spans="4:4">
      <c r="D1571" s="7" t="e">
        <f t="shared" si="24"/>
        <v>#DIV/0!</v>
      </c>
    </row>
    <row r="1572" customHeight="1" spans="4:4">
      <c r="D1572" s="7" t="e">
        <f t="shared" si="24"/>
        <v>#DIV/0!</v>
      </c>
    </row>
    <row r="1573" customHeight="1" spans="4:4">
      <c r="D1573" s="7" t="e">
        <f t="shared" si="24"/>
        <v>#DIV/0!</v>
      </c>
    </row>
    <row r="1574" customHeight="1" spans="4:4">
      <c r="D1574" s="7" t="e">
        <f t="shared" si="24"/>
        <v>#DIV/0!</v>
      </c>
    </row>
    <row r="1575" customHeight="1" spans="4:4">
      <c r="D1575" s="7" t="e">
        <f t="shared" si="24"/>
        <v>#DIV/0!</v>
      </c>
    </row>
    <row r="1576" customHeight="1" spans="4:4">
      <c r="D1576" s="7" t="e">
        <f t="shared" si="24"/>
        <v>#DIV/0!</v>
      </c>
    </row>
    <row r="1577" customHeight="1" spans="4:4">
      <c r="D1577" s="7" t="e">
        <f t="shared" si="24"/>
        <v>#DIV/0!</v>
      </c>
    </row>
    <row r="1578" customHeight="1" spans="4:4">
      <c r="D1578" s="7" t="e">
        <f t="shared" si="24"/>
        <v>#DIV/0!</v>
      </c>
    </row>
    <row r="1579" customHeight="1" spans="4:4">
      <c r="D1579" s="7" t="e">
        <f t="shared" si="24"/>
        <v>#DIV/0!</v>
      </c>
    </row>
    <row r="1580" customHeight="1" spans="4:4">
      <c r="D1580" s="7" t="e">
        <f t="shared" si="24"/>
        <v>#DIV/0!</v>
      </c>
    </row>
    <row r="1581" customHeight="1" spans="4:4">
      <c r="D1581" s="7" t="e">
        <f t="shared" si="24"/>
        <v>#DIV/0!</v>
      </c>
    </row>
    <row r="1582" customHeight="1" spans="4:4">
      <c r="D1582" s="7" t="e">
        <f t="shared" si="24"/>
        <v>#DIV/0!</v>
      </c>
    </row>
    <row r="1583" customHeight="1" spans="4:4">
      <c r="D1583" s="7" t="e">
        <f t="shared" si="24"/>
        <v>#DIV/0!</v>
      </c>
    </row>
    <row r="1584" customHeight="1" spans="4:4">
      <c r="D1584" s="7" t="e">
        <f t="shared" si="24"/>
        <v>#DIV/0!</v>
      </c>
    </row>
    <row r="1585" customHeight="1" spans="4:4">
      <c r="D1585" s="7" t="e">
        <f t="shared" si="24"/>
        <v>#DIV/0!</v>
      </c>
    </row>
    <row r="1586" customHeight="1" spans="4:4">
      <c r="D1586" s="7" t="e">
        <f t="shared" si="24"/>
        <v>#DIV/0!</v>
      </c>
    </row>
    <row r="1587" customHeight="1" spans="4:4">
      <c r="D1587" s="7" t="e">
        <f t="shared" si="24"/>
        <v>#DIV/0!</v>
      </c>
    </row>
    <row r="1588" customHeight="1" spans="4:4">
      <c r="D1588" s="7" t="e">
        <f t="shared" si="24"/>
        <v>#DIV/0!</v>
      </c>
    </row>
    <row r="1589" customHeight="1" spans="4:4">
      <c r="D1589" s="7" t="e">
        <f t="shared" si="24"/>
        <v>#DIV/0!</v>
      </c>
    </row>
    <row r="1590" customHeight="1" spans="4:4">
      <c r="D1590" s="7" t="e">
        <f t="shared" si="24"/>
        <v>#DIV/0!</v>
      </c>
    </row>
    <row r="1591" customHeight="1" spans="4:4">
      <c r="D1591" s="7" t="e">
        <f t="shared" si="24"/>
        <v>#DIV/0!</v>
      </c>
    </row>
    <row r="1592" customHeight="1" spans="4:4">
      <c r="D1592" s="7" t="e">
        <f t="shared" si="24"/>
        <v>#DIV/0!</v>
      </c>
    </row>
    <row r="1593" customHeight="1" spans="4:4">
      <c r="D1593" s="7" t="e">
        <f t="shared" si="24"/>
        <v>#DIV/0!</v>
      </c>
    </row>
    <row r="1594" customHeight="1" spans="4:4">
      <c r="D1594" s="7" t="e">
        <f t="shared" si="24"/>
        <v>#DIV/0!</v>
      </c>
    </row>
    <row r="1595" customHeight="1" spans="4:4">
      <c r="D1595" s="7" t="e">
        <f t="shared" si="24"/>
        <v>#DIV/0!</v>
      </c>
    </row>
    <row r="1596" customHeight="1" spans="4:4">
      <c r="D1596" s="7" t="e">
        <f t="shared" si="24"/>
        <v>#DIV/0!</v>
      </c>
    </row>
    <row r="1597" customHeight="1" spans="4:4">
      <c r="D1597" s="7" t="e">
        <f t="shared" si="24"/>
        <v>#DIV/0!</v>
      </c>
    </row>
    <row r="1598" customHeight="1" spans="4:4">
      <c r="D1598" s="7" t="e">
        <f t="shared" si="24"/>
        <v>#DIV/0!</v>
      </c>
    </row>
    <row r="1599" customHeight="1" spans="4:4">
      <c r="D1599" s="7" t="e">
        <f t="shared" si="24"/>
        <v>#DIV/0!</v>
      </c>
    </row>
    <row r="1600" customHeight="1" spans="4:4">
      <c r="D1600" s="7" t="e">
        <f t="shared" si="24"/>
        <v>#DIV/0!</v>
      </c>
    </row>
    <row r="1601" customHeight="1" spans="4:4">
      <c r="D1601" s="7" t="e">
        <f t="shared" si="24"/>
        <v>#DIV/0!</v>
      </c>
    </row>
    <row r="1602" customHeight="1" spans="4:4">
      <c r="D1602" s="7" t="e">
        <f t="shared" si="24"/>
        <v>#DIV/0!</v>
      </c>
    </row>
    <row r="1603" customHeight="1" spans="4:4">
      <c r="D1603" s="7" t="e">
        <f t="shared" si="24"/>
        <v>#DIV/0!</v>
      </c>
    </row>
    <row r="1604" customHeight="1" spans="4:4">
      <c r="D1604" s="7" t="e">
        <f t="shared" ref="D1604:D1667" si="25">+B1604/C1604</f>
        <v>#DIV/0!</v>
      </c>
    </row>
    <row r="1605" customHeight="1" spans="4:4">
      <c r="D1605" s="7" t="e">
        <f t="shared" si="25"/>
        <v>#DIV/0!</v>
      </c>
    </row>
    <row r="1606" customHeight="1" spans="4:4">
      <c r="D1606" s="7" t="e">
        <f t="shared" si="25"/>
        <v>#DIV/0!</v>
      </c>
    </row>
    <row r="1607" customHeight="1" spans="4:4">
      <c r="D1607" s="7" t="e">
        <f t="shared" si="25"/>
        <v>#DIV/0!</v>
      </c>
    </row>
    <row r="1608" customHeight="1" spans="4:4">
      <c r="D1608" s="7" t="e">
        <f t="shared" si="25"/>
        <v>#DIV/0!</v>
      </c>
    </row>
    <row r="1609" customHeight="1" spans="4:4">
      <c r="D1609" s="7" t="e">
        <f t="shared" si="25"/>
        <v>#DIV/0!</v>
      </c>
    </row>
    <row r="1610" customHeight="1" spans="4:4">
      <c r="D1610" s="7" t="e">
        <f t="shared" si="25"/>
        <v>#DIV/0!</v>
      </c>
    </row>
    <row r="1611" customHeight="1" spans="4:4">
      <c r="D1611" s="7" t="e">
        <f t="shared" si="25"/>
        <v>#DIV/0!</v>
      </c>
    </row>
    <row r="1612" customHeight="1" spans="4:4">
      <c r="D1612" s="7" t="e">
        <f t="shared" si="25"/>
        <v>#DIV/0!</v>
      </c>
    </row>
    <row r="1613" customHeight="1" spans="4:4">
      <c r="D1613" s="7" t="e">
        <f t="shared" si="25"/>
        <v>#DIV/0!</v>
      </c>
    </row>
    <row r="1614" customHeight="1" spans="4:4">
      <c r="D1614" s="7" t="e">
        <f t="shared" si="25"/>
        <v>#DIV/0!</v>
      </c>
    </row>
    <row r="1615" customHeight="1" spans="4:4">
      <c r="D1615" s="7" t="e">
        <f t="shared" si="25"/>
        <v>#DIV/0!</v>
      </c>
    </row>
    <row r="1616" customHeight="1" spans="4:4">
      <c r="D1616" s="7" t="e">
        <f t="shared" si="25"/>
        <v>#DIV/0!</v>
      </c>
    </row>
    <row r="1617" customHeight="1" spans="4:4">
      <c r="D1617" s="7" t="e">
        <f t="shared" si="25"/>
        <v>#DIV/0!</v>
      </c>
    </row>
    <row r="1618" customHeight="1" spans="4:4">
      <c r="D1618" s="7" t="e">
        <f t="shared" si="25"/>
        <v>#DIV/0!</v>
      </c>
    </row>
    <row r="1619" customHeight="1" spans="4:4">
      <c r="D1619" s="7" t="e">
        <f t="shared" si="25"/>
        <v>#DIV/0!</v>
      </c>
    </row>
    <row r="1620" customHeight="1" spans="4:4">
      <c r="D1620" s="7" t="e">
        <f t="shared" si="25"/>
        <v>#DIV/0!</v>
      </c>
    </row>
    <row r="1621" customHeight="1" spans="4:4">
      <c r="D1621" s="7" t="e">
        <f t="shared" si="25"/>
        <v>#DIV/0!</v>
      </c>
    </row>
    <row r="1622" customHeight="1" spans="4:4">
      <c r="D1622" s="7" t="e">
        <f t="shared" si="25"/>
        <v>#DIV/0!</v>
      </c>
    </row>
    <row r="1623" customHeight="1" spans="4:4">
      <c r="D1623" s="7" t="e">
        <f t="shared" si="25"/>
        <v>#DIV/0!</v>
      </c>
    </row>
    <row r="1624" customHeight="1" spans="4:4">
      <c r="D1624" s="7" t="e">
        <f t="shared" si="25"/>
        <v>#DIV/0!</v>
      </c>
    </row>
    <row r="1625" customHeight="1" spans="4:4">
      <c r="D1625" s="7" t="e">
        <f t="shared" si="25"/>
        <v>#DIV/0!</v>
      </c>
    </row>
    <row r="1626" customHeight="1" spans="4:4">
      <c r="D1626" s="7" t="e">
        <f t="shared" si="25"/>
        <v>#DIV/0!</v>
      </c>
    </row>
    <row r="1627" customHeight="1" spans="4:4">
      <c r="D1627" s="7" t="e">
        <f t="shared" si="25"/>
        <v>#DIV/0!</v>
      </c>
    </row>
    <row r="1628" customHeight="1" spans="4:4">
      <c r="D1628" s="7" t="e">
        <f t="shared" si="25"/>
        <v>#DIV/0!</v>
      </c>
    </row>
    <row r="1629" customHeight="1" spans="4:4">
      <c r="D1629" s="7" t="e">
        <f t="shared" si="25"/>
        <v>#DIV/0!</v>
      </c>
    </row>
    <row r="1630" customHeight="1" spans="4:4">
      <c r="D1630" s="7" t="e">
        <f t="shared" si="25"/>
        <v>#DIV/0!</v>
      </c>
    </row>
    <row r="1631" customHeight="1" spans="4:4">
      <c r="D1631" s="7" t="e">
        <f t="shared" si="25"/>
        <v>#DIV/0!</v>
      </c>
    </row>
    <row r="1632" customHeight="1" spans="4:4">
      <c r="D1632" s="7" t="e">
        <f t="shared" si="25"/>
        <v>#DIV/0!</v>
      </c>
    </row>
    <row r="1633" customHeight="1" spans="4:4">
      <c r="D1633" s="7" t="e">
        <f t="shared" si="25"/>
        <v>#DIV/0!</v>
      </c>
    </row>
    <row r="1634" customHeight="1" spans="4:4">
      <c r="D1634" s="7" t="e">
        <f t="shared" si="25"/>
        <v>#DIV/0!</v>
      </c>
    </row>
    <row r="1635" customHeight="1" spans="4:4">
      <c r="D1635" s="7" t="e">
        <f t="shared" si="25"/>
        <v>#DIV/0!</v>
      </c>
    </row>
    <row r="1636" customHeight="1" spans="4:4">
      <c r="D1636" s="7" t="e">
        <f t="shared" si="25"/>
        <v>#DIV/0!</v>
      </c>
    </row>
    <row r="1637" customHeight="1" spans="4:4">
      <c r="D1637" s="7" t="e">
        <f t="shared" si="25"/>
        <v>#DIV/0!</v>
      </c>
    </row>
    <row r="1638" customHeight="1" spans="4:4">
      <c r="D1638" s="7" t="e">
        <f t="shared" si="25"/>
        <v>#DIV/0!</v>
      </c>
    </row>
    <row r="1639" customHeight="1" spans="4:4">
      <c r="D1639" s="7" t="e">
        <f t="shared" si="25"/>
        <v>#DIV/0!</v>
      </c>
    </row>
    <row r="1640" customHeight="1" spans="4:4">
      <c r="D1640" s="7" t="e">
        <f t="shared" si="25"/>
        <v>#DIV/0!</v>
      </c>
    </row>
    <row r="1641" customHeight="1" spans="4:4">
      <c r="D1641" s="7" t="e">
        <f t="shared" si="25"/>
        <v>#DIV/0!</v>
      </c>
    </row>
    <row r="1642" customHeight="1" spans="4:4">
      <c r="D1642" s="7" t="e">
        <f t="shared" si="25"/>
        <v>#DIV/0!</v>
      </c>
    </row>
    <row r="1643" customHeight="1" spans="4:4">
      <c r="D1643" s="7" t="e">
        <f t="shared" si="25"/>
        <v>#DIV/0!</v>
      </c>
    </row>
    <row r="1644" customHeight="1" spans="4:4">
      <c r="D1644" s="7" t="e">
        <f t="shared" si="25"/>
        <v>#DIV/0!</v>
      </c>
    </row>
    <row r="1645" customHeight="1" spans="4:4">
      <c r="D1645" s="7" t="e">
        <f t="shared" si="25"/>
        <v>#DIV/0!</v>
      </c>
    </row>
    <row r="1646" customHeight="1" spans="4:4">
      <c r="D1646" s="7" t="e">
        <f t="shared" si="25"/>
        <v>#DIV/0!</v>
      </c>
    </row>
    <row r="1647" customHeight="1" spans="4:4">
      <c r="D1647" s="7" t="e">
        <f t="shared" si="25"/>
        <v>#DIV/0!</v>
      </c>
    </row>
    <row r="1648" customHeight="1" spans="4:4">
      <c r="D1648" s="7" t="e">
        <f t="shared" si="25"/>
        <v>#DIV/0!</v>
      </c>
    </row>
    <row r="1649" customHeight="1" spans="4:4">
      <c r="D1649" s="7" t="e">
        <f t="shared" si="25"/>
        <v>#DIV/0!</v>
      </c>
    </row>
    <row r="1650" customHeight="1" spans="4:4">
      <c r="D1650" s="7" t="e">
        <f t="shared" si="25"/>
        <v>#DIV/0!</v>
      </c>
    </row>
    <row r="1651" customHeight="1" spans="4:4">
      <c r="D1651" s="7" t="e">
        <f t="shared" si="25"/>
        <v>#DIV/0!</v>
      </c>
    </row>
    <row r="1652" customHeight="1" spans="4:4">
      <c r="D1652" s="7" t="e">
        <f t="shared" si="25"/>
        <v>#DIV/0!</v>
      </c>
    </row>
    <row r="1653" customHeight="1" spans="4:4">
      <c r="D1653" s="7" t="e">
        <f t="shared" si="25"/>
        <v>#DIV/0!</v>
      </c>
    </row>
    <row r="1654" customHeight="1" spans="4:4">
      <c r="D1654" s="7" t="e">
        <f t="shared" si="25"/>
        <v>#DIV/0!</v>
      </c>
    </row>
    <row r="1655" customHeight="1" spans="4:4">
      <c r="D1655" s="7" t="e">
        <f t="shared" si="25"/>
        <v>#DIV/0!</v>
      </c>
    </row>
    <row r="1656" customHeight="1" spans="4:4">
      <c r="D1656" s="7" t="e">
        <f t="shared" si="25"/>
        <v>#DIV/0!</v>
      </c>
    </row>
    <row r="1657" customHeight="1" spans="4:4">
      <c r="D1657" s="7" t="e">
        <f t="shared" si="25"/>
        <v>#DIV/0!</v>
      </c>
    </row>
    <row r="1658" customHeight="1" spans="4:4">
      <c r="D1658" s="7" t="e">
        <f t="shared" si="25"/>
        <v>#DIV/0!</v>
      </c>
    </row>
    <row r="1659" customHeight="1" spans="4:4">
      <c r="D1659" s="7" t="e">
        <f t="shared" si="25"/>
        <v>#DIV/0!</v>
      </c>
    </row>
    <row r="1660" customHeight="1" spans="4:4">
      <c r="D1660" s="7" t="e">
        <f t="shared" si="25"/>
        <v>#DIV/0!</v>
      </c>
    </row>
    <row r="1661" customHeight="1" spans="4:4">
      <c r="D1661" s="7" t="e">
        <f t="shared" si="25"/>
        <v>#DIV/0!</v>
      </c>
    </row>
    <row r="1662" customHeight="1" spans="4:4">
      <c r="D1662" s="7" t="e">
        <f t="shared" si="25"/>
        <v>#DIV/0!</v>
      </c>
    </row>
    <row r="1663" customHeight="1" spans="4:4">
      <c r="D1663" s="7" t="e">
        <f t="shared" si="25"/>
        <v>#DIV/0!</v>
      </c>
    </row>
    <row r="1664" customHeight="1" spans="4:4">
      <c r="D1664" s="7" t="e">
        <f t="shared" si="25"/>
        <v>#DIV/0!</v>
      </c>
    </row>
    <row r="1665" customHeight="1" spans="4:4">
      <c r="D1665" s="7" t="e">
        <f t="shared" si="25"/>
        <v>#DIV/0!</v>
      </c>
    </row>
    <row r="1666" customHeight="1" spans="4:4">
      <c r="D1666" s="7" t="e">
        <f t="shared" si="25"/>
        <v>#DIV/0!</v>
      </c>
    </row>
    <row r="1667" customHeight="1" spans="4:4">
      <c r="D1667" s="7" t="e">
        <f t="shared" si="25"/>
        <v>#DIV/0!</v>
      </c>
    </row>
    <row r="1668" customHeight="1" spans="4:4">
      <c r="D1668" s="7" t="e">
        <f t="shared" ref="D1668:D1731" si="26">+B1668/C1668</f>
        <v>#DIV/0!</v>
      </c>
    </row>
    <row r="1669" customHeight="1" spans="4:4">
      <c r="D1669" s="7" t="e">
        <f t="shared" si="26"/>
        <v>#DIV/0!</v>
      </c>
    </row>
    <row r="1670" customHeight="1" spans="4:4">
      <c r="D1670" s="7" t="e">
        <f t="shared" si="26"/>
        <v>#DIV/0!</v>
      </c>
    </row>
    <row r="1671" customHeight="1" spans="4:4">
      <c r="D1671" s="7" t="e">
        <f t="shared" si="26"/>
        <v>#DIV/0!</v>
      </c>
    </row>
    <row r="1672" customHeight="1" spans="4:4">
      <c r="D1672" s="7" t="e">
        <f t="shared" si="26"/>
        <v>#DIV/0!</v>
      </c>
    </row>
    <row r="1673" customHeight="1" spans="4:4">
      <c r="D1673" s="7" t="e">
        <f t="shared" si="26"/>
        <v>#DIV/0!</v>
      </c>
    </row>
    <row r="1674" customHeight="1" spans="4:4">
      <c r="D1674" s="7" t="e">
        <f t="shared" si="26"/>
        <v>#DIV/0!</v>
      </c>
    </row>
    <row r="1675" customHeight="1" spans="4:4">
      <c r="D1675" s="7" t="e">
        <f t="shared" si="26"/>
        <v>#DIV/0!</v>
      </c>
    </row>
    <row r="1676" customHeight="1" spans="4:4">
      <c r="D1676" s="7" t="e">
        <f t="shared" si="26"/>
        <v>#DIV/0!</v>
      </c>
    </row>
    <row r="1677" customHeight="1" spans="4:4">
      <c r="D1677" s="7" t="e">
        <f t="shared" si="26"/>
        <v>#DIV/0!</v>
      </c>
    </row>
    <row r="1678" customHeight="1" spans="4:4">
      <c r="D1678" s="7" t="e">
        <f t="shared" si="26"/>
        <v>#DIV/0!</v>
      </c>
    </row>
    <row r="1679" customHeight="1" spans="4:4">
      <c r="D1679" s="7" t="e">
        <f t="shared" si="26"/>
        <v>#DIV/0!</v>
      </c>
    </row>
    <row r="1680" customHeight="1" spans="4:4">
      <c r="D1680" s="7" t="e">
        <f t="shared" si="26"/>
        <v>#DIV/0!</v>
      </c>
    </row>
    <row r="1681" customHeight="1" spans="4:4">
      <c r="D1681" s="7" t="e">
        <f t="shared" si="26"/>
        <v>#DIV/0!</v>
      </c>
    </row>
    <row r="1682" customHeight="1" spans="4:4">
      <c r="D1682" s="7" t="e">
        <f t="shared" si="26"/>
        <v>#DIV/0!</v>
      </c>
    </row>
    <row r="1683" customHeight="1" spans="4:4">
      <c r="D1683" s="7" t="e">
        <f t="shared" si="26"/>
        <v>#DIV/0!</v>
      </c>
    </row>
    <row r="1684" customHeight="1" spans="4:4">
      <c r="D1684" s="7" t="e">
        <f t="shared" si="26"/>
        <v>#DIV/0!</v>
      </c>
    </row>
    <row r="1685" customHeight="1" spans="4:4">
      <c r="D1685" s="7" t="e">
        <f t="shared" si="26"/>
        <v>#DIV/0!</v>
      </c>
    </row>
    <row r="1686" customHeight="1" spans="4:4">
      <c r="D1686" s="7" t="e">
        <f t="shared" si="26"/>
        <v>#DIV/0!</v>
      </c>
    </row>
    <row r="1687" customHeight="1" spans="4:4">
      <c r="D1687" s="7" t="e">
        <f t="shared" si="26"/>
        <v>#DIV/0!</v>
      </c>
    </row>
    <row r="1688" customHeight="1" spans="4:4">
      <c r="D1688" s="7" t="e">
        <f t="shared" si="26"/>
        <v>#DIV/0!</v>
      </c>
    </row>
    <row r="1689" customHeight="1" spans="4:4">
      <c r="D1689" s="7" t="e">
        <f t="shared" si="26"/>
        <v>#DIV/0!</v>
      </c>
    </row>
    <row r="1690" customHeight="1" spans="4:4">
      <c r="D1690" s="7" t="e">
        <f t="shared" si="26"/>
        <v>#DIV/0!</v>
      </c>
    </row>
    <row r="1691" customHeight="1" spans="4:4">
      <c r="D1691" s="7" t="e">
        <f t="shared" si="26"/>
        <v>#DIV/0!</v>
      </c>
    </row>
    <row r="1692" customHeight="1" spans="4:4">
      <c r="D1692" s="7" t="e">
        <f t="shared" si="26"/>
        <v>#DIV/0!</v>
      </c>
    </row>
    <row r="1693" customHeight="1" spans="4:4">
      <c r="D1693" s="7" t="e">
        <f t="shared" si="26"/>
        <v>#DIV/0!</v>
      </c>
    </row>
    <row r="1694" customHeight="1" spans="4:4">
      <c r="D1694" s="7" t="e">
        <f t="shared" si="26"/>
        <v>#DIV/0!</v>
      </c>
    </row>
    <row r="1695" customHeight="1" spans="4:4">
      <c r="D1695" s="7" t="e">
        <f t="shared" si="26"/>
        <v>#DIV/0!</v>
      </c>
    </row>
    <row r="1696" customHeight="1" spans="4:4">
      <c r="D1696" s="7" t="e">
        <f t="shared" si="26"/>
        <v>#DIV/0!</v>
      </c>
    </row>
    <row r="1697" customHeight="1" spans="4:4">
      <c r="D1697" s="7" t="e">
        <f t="shared" si="26"/>
        <v>#DIV/0!</v>
      </c>
    </row>
    <row r="1698" customHeight="1" spans="4:4">
      <c r="D1698" s="7" t="e">
        <f t="shared" si="26"/>
        <v>#DIV/0!</v>
      </c>
    </row>
    <row r="1699" customHeight="1" spans="4:4">
      <c r="D1699" s="7" t="e">
        <f t="shared" si="26"/>
        <v>#DIV/0!</v>
      </c>
    </row>
    <row r="1700" customHeight="1" spans="4:4">
      <c r="D1700" s="7" t="e">
        <f t="shared" si="26"/>
        <v>#DIV/0!</v>
      </c>
    </row>
    <row r="1701" customHeight="1" spans="4:4">
      <c r="D1701" s="7" t="e">
        <f t="shared" si="26"/>
        <v>#DIV/0!</v>
      </c>
    </row>
    <row r="1702" customHeight="1" spans="4:4">
      <c r="D1702" s="7" t="e">
        <f t="shared" si="26"/>
        <v>#DIV/0!</v>
      </c>
    </row>
    <row r="1703" customHeight="1" spans="4:4">
      <c r="D1703" s="7" t="e">
        <f t="shared" si="26"/>
        <v>#DIV/0!</v>
      </c>
    </row>
    <row r="1704" customHeight="1" spans="4:4">
      <c r="D1704" s="7" t="e">
        <f t="shared" si="26"/>
        <v>#DIV/0!</v>
      </c>
    </row>
    <row r="1705" customHeight="1" spans="4:4">
      <c r="D1705" s="7" t="e">
        <f t="shared" si="26"/>
        <v>#DIV/0!</v>
      </c>
    </row>
    <row r="1706" customHeight="1" spans="4:4">
      <c r="D1706" s="7" t="e">
        <f t="shared" si="26"/>
        <v>#DIV/0!</v>
      </c>
    </row>
    <row r="1707" customHeight="1" spans="4:4">
      <c r="D1707" s="7" t="e">
        <f t="shared" si="26"/>
        <v>#DIV/0!</v>
      </c>
    </row>
    <row r="1708" customHeight="1" spans="4:4">
      <c r="D1708" s="7" t="e">
        <f t="shared" si="26"/>
        <v>#DIV/0!</v>
      </c>
    </row>
    <row r="1709" customHeight="1" spans="4:4">
      <c r="D1709" s="7" t="e">
        <f t="shared" si="26"/>
        <v>#DIV/0!</v>
      </c>
    </row>
    <row r="1710" customHeight="1" spans="4:4">
      <c r="D1710" s="7" t="e">
        <f t="shared" si="26"/>
        <v>#DIV/0!</v>
      </c>
    </row>
    <row r="1711" customHeight="1" spans="4:4">
      <c r="D1711" s="7" t="e">
        <f t="shared" si="26"/>
        <v>#DIV/0!</v>
      </c>
    </row>
    <row r="1712" customHeight="1" spans="4:4">
      <c r="D1712" s="7" t="e">
        <f t="shared" si="26"/>
        <v>#DIV/0!</v>
      </c>
    </row>
    <row r="1713" customHeight="1" spans="4:4">
      <c r="D1713" s="7" t="e">
        <f t="shared" si="26"/>
        <v>#DIV/0!</v>
      </c>
    </row>
    <row r="1714" customHeight="1" spans="4:4">
      <c r="D1714" s="7" t="e">
        <f t="shared" si="26"/>
        <v>#DIV/0!</v>
      </c>
    </row>
    <row r="1715" customHeight="1" spans="4:4">
      <c r="D1715" s="7" t="e">
        <f t="shared" si="26"/>
        <v>#DIV/0!</v>
      </c>
    </row>
    <row r="1716" customHeight="1" spans="4:4">
      <c r="D1716" s="7" t="e">
        <f t="shared" si="26"/>
        <v>#DIV/0!</v>
      </c>
    </row>
    <row r="1717" customHeight="1" spans="4:4">
      <c r="D1717" s="7" t="e">
        <f t="shared" si="26"/>
        <v>#DIV/0!</v>
      </c>
    </row>
    <row r="1718" customHeight="1" spans="4:4">
      <c r="D1718" s="7" t="e">
        <f t="shared" si="26"/>
        <v>#DIV/0!</v>
      </c>
    </row>
    <row r="1719" customHeight="1" spans="4:4">
      <c r="D1719" s="7" t="e">
        <f t="shared" si="26"/>
        <v>#DIV/0!</v>
      </c>
    </row>
    <row r="1720" customHeight="1" spans="4:4">
      <c r="D1720" s="7" t="e">
        <f t="shared" si="26"/>
        <v>#DIV/0!</v>
      </c>
    </row>
    <row r="1721" customHeight="1" spans="4:4">
      <c r="D1721" s="7" t="e">
        <f t="shared" si="26"/>
        <v>#DIV/0!</v>
      </c>
    </row>
    <row r="1722" customHeight="1" spans="4:4">
      <c r="D1722" s="7" t="e">
        <f t="shared" si="26"/>
        <v>#DIV/0!</v>
      </c>
    </row>
    <row r="1723" customHeight="1" spans="4:4">
      <c r="D1723" s="7" t="e">
        <f t="shared" si="26"/>
        <v>#DIV/0!</v>
      </c>
    </row>
    <row r="1724" customHeight="1" spans="4:4">
      <c r="D1724" s="7" t="e">
        <f t="shared" si="26"/>
        <v>#DIV/0!</v>
      </c>
    </row>
    <row r="1725" customHeight="1" spans="4:4">
      <c r="D1725" s="7" t="e">
        <f t="shared" si="26"/>
        <v>#DIV/0!</v>
      </c>
    </row>
    <row r="1726" customHeight="1" spans="4:4">
      <c r="D1726" s="7" t="e">
        <f t="shared" si="26"/>
        <v>#DIV/0!</v>
      </c>
    </row>
    <row r="1727" customHeight="1" spans="4:4">
      <c r="D1727" s="7" t="e">
        <f t="shared" si="26"/>
        <v>#DIV/0!</v>
      </c>
    </row>
    <row r="1728" customHeight="1" spans="4:4">
      <c r="D1728" s="7" t="e">
        <f t="shared" si="26"/>
        <v>#DIV/0!</v>
      </c>
    </row>
    <row r="1729" customHeight="1" spans="4:4">
      <c r="D1729" s="7" t="e">
        <f t="shared" si="26"/>
        <v>#DIV/0!</v>
      </c>
    </row>
    <row r="1730" customHeight="1" spans="4:4">
      <c r="D1730" s="7" t="e">
        <f t="shared" si="26"/>
        <v>#DIV/0!</v>
      </c>
    </row>
    <row r="1731" customHeight="1" spans="4:4">
      <c r="D1731" s="7" t="e">
        <f t="shared" si="26"/>
        <v>#DIV/0!</v>
      </c>
    </row>
    <row r="1732" customHeight="1" spans="4:4">
      <c r="D1732" s="7" t="e">
        <f t="shared" ref="D1732:D1795" si="27">+B1732/C1732</f>
        <v>#DIV/0!</v>
      </c>
    </row>
    <row r="1733" customHeight="1" spans="4:4">
      <c r="D1733" s="7" t="e">
        <f t="shared" si="27"/>
        <v>#DIV/0!</v>
      </c>
    </row>
    <row r="1734" customHeight="1" spans="4:4">
      <c r="D1734" s="7" t="e">
        <f t="shared" si="27"/>
        <v>#DIV/0!</v>
      </c>
    </row>
    <row r="1735" customHeight="1" spans="4:4">
      <c r="D1735" s="7" t="e">
        <f t="shared" si="27"/>
        <v>#DIV/0!</v>
      </c>
    </row>
    <row r="1736" customHeight="1" spans="4:4">
      <c r="D1736" s="7" t="e">
        <f t="shared" si="27"/>
        <v>#DIV/0!</v>
      </c>
    </row>
    <row r="1737" customHeight="1" spans="4:4">
      <c r="D1737" s="7" t="e">
        <f t="shared" si="27"/>
        <v>#DIV/0!</v>
      </c>
    </row>
    <row r="1738" customHeight="1" spans="4:4">
      <c r="D1738" s="7" t="e">
        <f t="shared" si="27"/>
        <v>#DIV/0!</v>
      </c>
    </row>
    <row r="1739" customHeight="1" spans="4:4">
      <c r="D1739" s="7" t="e">
        <f t="shared" si="27"/>
        <v>#DIV/0!</v>
      </c>
    </row>
    <row r="1740" customHeight="1" spans="4:4">
      <c r="D1740" s="7" t="e">
        <f t="shared" si="27"/>
        <v>#DIV/0!</v>
      </c>
    </row>
    <row r="1741" customHeight="1" spans="4:4">
      <c r="D1741" s="7" t="e">
        <f t="shared" si="27"/>
        <v>#DIV/0!</v>
      </c>
    </row>
    <row r="1742" customHeight="1" spans="4:4">
      <c r="D1742" s="7" t="e">
        <f t="shared" si="27"/>
        <v>#DIV/0!</v>
      </c>
    </row>
    <row r="1743" customHeight="1" spans="4:4">
      <c r="D1743" s="7" t="e">
        <f t="shared" si="27"/>
        <v>#DIV/0!</v>
      </c>
    </row>
    <row r="1744" customHeight="1" spans="4:4">
      <c r="D1744" s="7" t="e">
        <f t="shared" si="27"/>
        <v>#DIV/0!</v>
      </c>
    </row>
    <row r="1745" customHeight="1" spans="4:4">
      <c r="D1745" s="7" t="e">
        <f t="shared" si="27"/>
        <v>#DIV/0!</v>
      </c>
    </row>
    <row r="1746" customHeight="1" spans="4:4">
      <c r="D1746" s="7" t="e">
        <f t="shared" si="27"/>
        <v>#DIV/0!</v>
      </c>
    </row>
    <row r="1747" customHeight="1" spans="4:4">
      <c r="D1747" s="7" t="e">
        <f t="shared" si="27"/>
        <v>#DIV/0!</v>
      </c>
    </row>
    <row r="1748" customHeight="1" spans="4:4">
      <c r="D1748" s="7" t="e">
        <f t="shared" si="27"/>
        <v>#DIV/0!</v>
      </c>
    </row>
    <row r="1749" customHeight="1" spans="4:4">
      <c r="D1749" s="7" t="e">
        <f t="shared" si="27"/>
        <v>#DIV/0!</v>
      </c>
    </row>
    <row r="1750" customHeight="1" spans="4:4">
      <c r="D1750" s="7" t="e">
        <f t="shared" si="27"/>
        <v>#DIV/0!</v>
      </c>
    </row>
    <row r="1751" customHeight="1" spans="4:4">
      <c r="D1751" s="7" t="e">
        <f t="shared" si="27"/>
        <v>#DIV/0!</v>
      </c>
    </row>
    <row r="1752" customHeight="1" spans="4:4">
      <c r="D1752" s="7" t="e">
        <f t="shared" si="27"/>
        <v>#DIV/0!</v>
      </c>
    </row>
    <row r="1753" customHeight="1" spans="4:4">
      <c r="D1753" s="7" t="e">
        <f t="shared" si="27"/>
        <v>#DIV/0!</v>
      </c>
    </row>
    <row r="1754" customHeight="1" spans="4:4">
      <c r="D1754" s="7" t="e">
        <f t="shared" si="27"/>
        <v>#DIV/0!</v>
      </c>
    </row>
    <row r="1755" customHeight="1" spans="4:4">
      <c r="D1755" s="7" t="e">
        <f t="shared" si="27"/>
        <v>#DIV/0!</v>
      </c>
    </row>
    <row r="1756" customHeight="1" spans="4:4">
      <c r="D1756" s="7" t="e">
        <f t="shared" si="27"/>
        <v>#DIV/0!</v>
      </c>
    </row>
    <row r="1757" customHeight="1" spans="4:4">
      <c r="D1757" s="7" t="e">
        <f t="shared" si="27"/>
        <v>#DIV/0!</v>
      </c>
    </row>
    <row r="1758" customHeight="1" spans="4:4">
      <c r="D1758" s="7" t="e">
        <f t="shared" si="27"/>
        <v>#DIV/0!</v>
      </c>
    </row>
    <row r="1759" customHeight="1" spans="4:4">
      <c r="D1759" s="7" t="e">
        <f t="shared" si="27"/>
        <v>#DIV/0!</v>
      </c>
    </row>
    <row r="1760" customHeight="1" spans="4:4">
      <c r="D1760" s="7" t="e">
        <f t="shared" si="27"/>
        <v>#DIV/0!</v>
      </c>
    </row>
    <row r="1761" customHeight="1" spans="4:4">
      <c r="D1761" s="7" t="e">
        <f t="shared" si="27"/>
        <v>#DIV/0!</v>
      </c>
    </row>
    <row r="1762" customHeight="1" spans="4:4">
      <c r="D1762" s="7" t="e">
        <f t="shared" si="27"/>
        <v>#DIV/0!</v>
      </c>
    </row>
    <row r="1763" customHeight="1" spans="4:4">
      <c r="D1763" s="7" t="e">
        <f t="shared" si="27"/>
        <v>#DIV/0!</v>
      </c>
    </row>
    <row r="1764" customHeight="1" spans="4:4">
      <c r="D1764" s="7" t="e">
        <f t="shared" si="27"/>
        <v>#DIV/0!</v>
      </c>
    </row>
    <row r="1765" customHeight="1" spans="4:4">
      <c r="D1765" s="7" t="e">
        <f t="shared" si="27"/>
        <v>#DIV/0!</v>
      </c>
    </row>
    <row r="1766" customHeight="1" spans="4:4">
      <c r="D1766" s="7" t="e">
        <f t="shared" si="27"/>
        <v>#DIV/0!</v>
      </c>
    </row>
    <row r="1767" customHeight="1" spans="4:4">
      <c r="D1767" s="7" t="e">
        <f t="shared" si="27"/>
        <v>#DIV/0!</v>
      </c>
    </row>
    <row r="1768" customHeight="1" spans="4:4">
      <c r="D1768" s="7" t="e">
        <f t="shared" si="27"/>
        <v>#DIV/0!</v>
      </c>
    </row>
    <row r="1769" customHeight="1" spans="4:4">
      <c r="D1769" s="7" t="e">
        <f t="shared" si="27"/>
        <v>#DIV/0!</v>
      </c>
    </row>
    <row r="1770" customHeight="1" spans="4:4">
      <c r="D1770" s="7" t="e">
        <f t="shared" si="27"/>
        <v>#DIV/0!</v>
      </c>
    </row>
    <row r="1771" customHeight="1" spans="4:4">
      <c r="D1771" s="7" t="e">
        <f t="shared" si="27"/>
        <v>#DIV/0!</v>
      </c>
    </row>
    <row r="1772" customHeight="1" spans="4:4">
      <c r="D1772" s="7" t="e">
        <f t="shared" si="27"/>
        <v>#DIV/0!</v>
      </c>
    </row>
    <row r="1773" customHeight="1" spans="4:4">
      <c r="D1773" s="7" t="e">
        <f t="shared" si="27"/>
        <v>#DIV/0!</v>
      </c>
    </row>
    <row r="1774" customHeight="1" spans="4:4">
      <c r="D1774" s="7" t="e">
        <f t="shared" si="27"/>
        <v>#DIV/0!</v>
      </c>
    </row>
    <row r="1775" customHeight="1" spans="4:4">
      <c r="D1775" s="7" t="e">
        <f t="shared" si="27"/>
        <v>#DIV/0!</v>
      </c>
    </row>
    <row r="1776" customHeight="1" spans="4:4">
      <c r="D1776" s="7" t="e">
        <f t="shared" si="27"/>
        <v>#DIV/0!</v>
      </c>
    </row>
    <row r="1777" customHeight="1" spans="4:4">
      <c r="D1777" s="7" t="e">
        <f t="shared" si="27"/>
        <v>#DIV/0!</v>
      </c>
    </row>
    <row r="1778" customHeight="1" spans="4:4">
      <c r="D1778" s="7" t="e">
        <f t="shared" si="27"/>
        <v>#DIV/0!</v>
      </c>
    </row>
    <row r="1779" customHeight="1" spans="4:4">
      <c r="D1779" s="7" t="e">
        <f t="shared" si="27"/>
        <v>#DIV/0!</v>
      </c>
    </row>
    <row r="1780" customHeight="1" spans="4:4">
      <c r="D1780" s="7" t="e">
        <f t="shared" si="27"/>
        <v>#DIV/0!</v>
      </c>
    </row>
    <row r="1781" customHeight="1" spans="4:4">
      <c r="D1781" s="7" t="e">
        <f t="shared" si="27"/>
        <v>#DIV/0!</v>
      </c>
    </row>
    <row r="1782" customHeight="1" spans="4:4">
      <c r="D1782" s="7" t="e">
        <f t="shared" si="27"/>
        <v>#DIV/0!</v>
      </c>
    </row>
    <row r="1783" customHeight="1" spans="4:4">
      <c r="D1783" s="7" t="e">
        <f t="shared" si="27"/>
        <v>#DIV/0!</v>
      </c>
    </row>
    <row r="1784" customHeight="1" spans="4:4">
      <c r="D1784" s="7" t="e">
        <f t="shared" si="27"/>
        <v>#DIV/0!</v>
      </c>
    </row>
    <row r="1785" customHeight="1" spans="4:4">
      <c r="D1785" s="7" t="e">
        <f t="shared" si="27"/>
        <v>#DIV/0!</v>
      </c>
    </row>
    <row r="1786" customHeight="1" spans="4:4">
      <c r="D1786" s="7" t="e">
        <f t="shared" si="27"/>
        <v>#DIV/0!</v>
      </c>
    </row>
    <row r="1787" customHeight="1" spans="4:4">
      <c r="D1787" s="7" t="e">
        <f t="shared" si="27"/>
        <v>#DIV/0!</v>
      </c>
    </row>
    <row r="1788" customHeight="1" spans="4:4">
      <c r="D1788" s="7" t="e">
        <f t="shared" si="27"/>
        <v>#DIV/0!</v>
      </c>
    </row>
    <row r="1789" customHeight="1" spans="4:4">
      <c r="D1789" s="7" t="e">
        <f t="shared" si="27"/>
        <v>#DIV/0!</v>
      </c>
    </row>
    <row r="1790" customHeight="1" spans="4:4">
      <c r="D1790" s="7" t="e">
        <f t="shared" si="27"/>
        <v>#DIV/0!</v>
      </c>
    </row>
    <row r="1791" customHeight="1" spans="4:4">
      <c r="D1791" s="7" t="e">
        <f t="shared" si="27"/>
        <v>#DIV/0!</v>
      </c>
    </row>
    <row r="1792" customHeight="1" spans="4:4">
      <c r="D1792" s="7" t="e">
        <f t="shared" si="27"/>
        <v>#DIV/0!</v>
      </c>
    </row>
    <row r="1793" customHeight="1" spans="4:4">
      <c r="D1793" s="7" t="e">
        <f t="shared" si="27"/>
        <v>#DIV/0!</v>
      </c>
    </row>
    <row r="1794" customHeight="1" spans="4:4">
      <c r="D1794" s="7" t="e">
        <f t="shared" si="27"/>
        <v>#DIV/0!</v>
      </c>
    </row>
    <row r="1795" customHeight="1" spans="4:4">
      <c r="D1795" s="7" t="e">
        <f t="shared" si="27"/>
        <v>#DIV/0!</v>
      </c>
    </row>
    <row r="1796" customHeight="1" spans="4:4">
      <c r="D1796" s="7" t="e">
        <f t="shared" ref="D1796:D1859" si="28">+B1796/C1796</f>
        <v>#DIV/0!</v>
      </c>
    </row>
    <row r="1797" customHeight="1" spans="4:4">
      <c r="D1797" s="7" t="e">
        <f t="shared" si="28"/>
        <v>#DIV/0!</v>
      </c>
    </row>
    <row r="1798" customHeight="1" spans="4:4">
      <c r="D1798" s="7" t="e">
        <f t="shared" si="28"/>
        <v>#DIV/0!</v>
      </c>
    </row>
    <row r="1799" customHeight="1" spans="4:4">
      <c r="D1799" s="7" t="e">
        <f t="shared" si="28"/>
        <v>#DIV/0!</v>
      </c>
    </row>
    <row r="1800" customHeight="1" spans="4:4">
      <c r="D1800" s="7" t="e">
        <f t="shared" si="28"/>
        <v>#DIV/0!</v>
      </c>
    </row>
    <row r="1801" customHeight="1" spans="4:4">
      <c r="D1801" s="7" t="e">
        <f t="shared" si="28"/>
        <v>#DIV/0!</v>
      </c>
    </row>
    <row r="1802" customHeight="1" spans="4:4">
      <c r="D1802" s="7" t="e">
        <f t="shared" si="28"/>
        <v>#DIV/0!</v>
      </c>
    </row>
    <row r="1803" customHeight="1" spans="4:4">
      <c r="D1803" s="7" t="e">
        <f t="shared" si="28"/>
        <v>#DIV/0!</v>
      </c>
    </row>
    <row r="1804" customHeight="1" spans="4:4">
      <c r="D1804" s="7" t="e">
        <f t="shared" si="28"/>
        <v>#DIV/0!</v>
      </c>
    </row>
    <row r="1805" customHeight="1" spans="4:4">
      <c r="D1805" s="7" t="e">
        <f t="shared" si="28"/>
        <v>#DIV/0!</v>
      </c>
    </row>
    <row r="1806" customHeight="1" spans="4:4">
      <c r="D1806" s="7" t="e">
        <f t="shared" si="28"/>
        <v>#DIV/0!</v>
      </c>
    </row>
    <row r="1807" customHeight="1" spans="4:4">
      <c r="D1807" s="7" t="e">
        <f t="shared" si="28"/>
        <v>#DIV/0!</v>
      </c>
    </row>
    <row r="1808" customHeight="1" spans="4:4">
      <c r="D1808" s="7" t="e">
        <f t="shared" si="28"/>
        <v>#DIV/0!</v>
      </c>
    </row>
    <row r="1809" customHeight="1" spans="4:4">
      <c r="D1809" s="7" t="e">
        <f t="shared" si="28"/>
        <v>#DIV/0!</v>
      </c>
    </row>
    <row r="1810" customHeight="1" spans="4:4">
      <c r="D1810" s="7" t="e">
        <f t="shared" si="28"/>
        <v>#DIV/0!</v>
      </c>
    </row>
    <row r="1811" customHeight="1" spans="4:4">
      <c r="D1811" s="7" t="e">
        <f t="shared" si="28"/>
        <v>#DIV/0!</v>
      </c>
    </row>
    <row r="1812" customHeight="1" spans="4:4">
      <c r="D1812" s="7" t="e">
        <f t="shared" si="28"/>
        <v>#DIV/0!</v>
      </c>
    </row>
    <row r="1813" customHeight="1" spans="4:4">
      <c r="D1813" s="7" t="e">
        <f t="shared" si="28"/>
        <v>#DIV/0!</v>
      </c>
    </row>
    <row r="1814" customHeight="1" spans="4:4">
      <c r="D1814" s="7" t="e">
        <f t="shared" si="28"/>
        <v>#DIV/0!</v>
      </c>
    </row>
    <row r="1815" customHeight="1" spans="4:4">
      <c r="D1815" s="7" t="e">
        <f t="shared" si="28"/>
        <v>#DIV/0!</v>
      </c>
    </row>
    <row r="1816" customHeight="1" spans="4:4">
      <c r="D1816" s="7" t="e">
        <f t="shared" si="28"/>
        <v>#DIV/0!</v>
      </c>
    </row>
    <row r="1817" customHeight="1" spans="4:4">
      <c r="D1817" s="7" t="e">
        <f t="shared" si="28"/>
        <v>#DIV/0!</v>
      </c>
    </row>
    <row r="1818" customHeight="1" spans="4:4">
      <c r="D1818" s="7" t="e">
        <f t="shared" si="28"/>
        <v>#DIV/0!</v>
      </c>
    </row>
    <row r="1819" customHeight="1" spans="4:4">
      <c r="D1819" s="7" t="e">
        <f t="shared" si="28"/>
        <v>#DIV/0!</v>
      </c>
    </row>
    <row r="1820" customHeight="1" spans="4:4">
      <c r="D1820" s="7" t="e">
        <f t="shared" si="28"/>
        <v>#DIV/0!</v>
      </c>
    </row>
    <row r="1821" customHeight="1" spans="4:4">
      <c r="D1821" s="7" t="e">
        <f t="shared" si="28"/>
        <v>#DIV/0!</v>
      </c>
    </row>
    <row r="1822" customHeight="1" spans="4:4">
      <c r="D1822" s="7" t="e">
        <f t="shared" si="28"/>
        <v>#DIV/0!</v>
      </c>
    </row>
    <row r="1823" customHeight="1" spans="4:4">
      <c r="D1823" s="7" t="e">
        <f t="shared" si="28"/>
        <v>#DIV/0!</v>
      </c>
    </row>
    <row r="1824" customHeight="1" spans="4:4">
      <c r="D1824" s="7" t="e">
        <f t="shared" si="28"/>
        <v>#DIV/0!</v>
      </c>
    </row>
    <row r="1825" customHeight="1" spans="4:4">
      <c r="D1825" s="7" t="e">
        <f t="shared" si="28"/>
        <v>#DIV/0!</v>
      </c>
    </row>
    <row r="1826" customHeight="1" spans="4:4">
      <c r="D1826" s="7" t="e">
        <f t="shared" si="28"/>
        <v>#DIV/0!</v>
      </c>
    </row>
    <row r="1827" customHeight="1" spans="4:4">
      <c r="D1827" s="7" t="e">
        <f t="shared" si="28"/>
        <v>#DIV/0!</v>
      </c>
    </row>
    <row r="1828" customHeight="1" spans="4:4">
      <c r="D1828" s="7" t="e">
        <f t="shared" si="28"/>
        <v>#DIV/0!</v>
      </c>
    </row>
    <row r="1829" customHeight="1" spans="4:4">
      <c r="D1829" s="7" t="e">
        <f t="shared" si="28"/>
        <v>#DIV/0!</v>
      </c>
    </row>
    <row r="1830" customHeight="1" spans="4:4">
      <c r="D1830" s="7" t="e">
        <f t="shared" si="28"/>
        <v>#DIV/0!</v>
      </c>
    </row>
    <row r="1831" customHeight="1" spans="4:4">
      <c r="D1831" s="7" t="e">
        <f t="shared" si="28"/>
        <v>#DIV/0!</v>
      </c>
    </row>
    <row r="1832" customHeight="1" spans="4:4">
      <c r="D1832" s="7" t="e">
        <f t="shared" si="28"/>
        <v>#DIV/0!</v>
      </c>
    </row>
    <row r="1833" customHeight="1" spans="4:4">
      <c r="D1833" s="7" t="e">
        <f t="shared" si="28"/>
        <v>#DIV/0!</v>
      </c>
    </row>
    <row r="1834" customHeight="1" spans="4:4">
      <c r="D1834" s="7" t="e">
        <f t="shared" si="28"/>
        <v>#DIV/0!</v>
      </c>
    </row>
    <row r="1835" customHeight="1" spans="4:4">
      <c r="D1835" s="7" t="e">
        <f t="shared" si="28"/>
        <v>#DIV/0!</v>
      </c>
    </row>
    <row r="1836" customHeight="1" spans="4:4">
      <c r="D1836" s="7" t="e">
        <f t="shared" si="28"/>
        <v>#DIV/0!</v>
      </c>
    </row>
    <row r="1837" customHeight="1" spans="4:4">
      <c r="D1837" s="7" t="e">
        <f t="shared" si="28"/>
        <v>#DIV/0!</v>
      </c>
    </row>
    <row r="1838" customHeight="1" spans="4:4">
      <c r="D1838" s="7" t="e">
        <f t="shared" si="28"/>
        <v>#DIV/0!</v>
      </c>
    </row>
    <row r="1839" customHeight="1" spans="4:4">
      <c r="D1839" s="7" t="e">
        <f t="shared" si="28"/>
        <v>#DIV/0!</v>
      </c>
    </row>
    <row r="1840" customHeight="1" spans="4:4">
      <c r="D1840" s="7" t="e">
        <f t="shared" si="28"/>
        <v>#DIV/0!</v>
      </c>
    </row>
    <row r="1841" customHeight="1" spans="4:4">
      <c r="D1841" s="7" t="e">
        <f t="shared" si="28"/>
        <v>#DIV/0!</v>
      </c>
    </row>
    <row r="1842" customHeight="1" spans="4:4">
      <c r="D1842" s="7" t="e">
        <f t="shared" si="28"/>
        <v>#DIV/0!</v>
      </c>
    </row>
    <row r="1843" customHeight="1" spans="4:4">
      <c r="D1843" s="7" t="e">
        <f t="shared" si="28"/>
        <v>#DIV/0!</v>
      </c>
    </row>
    <row r="1844" customHeight="1" spans="4:4">
      <c r="D1844" s="7" t="e">
        <f t="shared" si="28"/>
        <v>#DIV/0!</v>
      </c>
    </row>
    <row r="1845" customHeight="1" spans="4:4">
      <c r="D1845" s="7" t="e">
        <f t="shared" si="28"/>
        <v>#DIV/0!</v>
      </c>
    </row>
    <row r="1846" customHeight="1" spans="4:4">
      <c r="D1846" s="7" t="e">
        <f t="shared" si="28"/>
        <v>#DIV/0!</v>
      </c>
    </row>
    <row r="1847" customHeight="1" spans="4:4">
      <c r="D1847" s="7" t="e">
        <f t="shared" si="28"/>
        <v>#DIV/0!</v>
      </c>
    </row>
    <row r="1848" customHeight="1" spans="4:4">
      <c r="D1848" s="7" t="e">
        <f t="shared" si="28"/>
        <v>#DIV/0!</v>
      </c>
    </row>
    <row r="1849" customHeight="1" spans="4:4">
      <c r="D1849" s="7" t="e">
        <f t="shared" si="28"/>
        <v>#DIV/0!</v>
      </c>
    </row>
    <row r="1850" customHeight="1" spans="4:4">
      <c r="D1850" s="7" t="e">
        <f t="shared" si="28"/>
        <v>#DIV/0!</v>
      </c>
    </row>
    <row r="1851" customHeight="1" spans="4:4">
      <c r="D1851" s="7" t="e">
        <f t="shared" si="28"/>
        <v>#DIV/0!</v>
      </c>
    </row>
    <row r="1852" customHeight="1" spans="4:4">
      <c r="D1852" s="7" t="e">
        <f t="shared" si="28"/>
        <v>#DIV/0!</v>
      </c>
    </row>
    <row r="1853" customHeight="1" spans="4:4">
      <c r="D1853" s="7" t="e">
        <f t="shared" si="28"/>
        <v>#DIV/0!</v>
      </c>
    </row>
    <row r="1854" customHeight="1" spans="4:4">
      <c r="D1854" s="7" t="e">
        <f t="shared" si="28"/>
        <v>#DIV/0!</v>
      </c>
    </row>
    <row r="1855" customHeight="1" spans="4:4">
      <c r="D1855" s="7" t="e">
        <f t="shared" si="28"/>
        <v>#DIV/0!</v>
      </c>
    </row>
    <row r="1856" customHeight="1" spans="4:4">
      <c r="D1856" s="7" t="e">
        <f t="shared" si="28"/>
        <v>#DIV/0!</v>
      </c>
    </row>
    <row r="1857" customHeight="1" spans="4:4">
      <c r="D1857" s="7" t="e">
        <f t="shared" si="28"/>
        <v>#DIV/0!</v>
      </c>
    </row>
    <row r="1858" customHeight="1" spans="4:4">
      <c r="D1858" s="7" t="e">
        <f t="shared" si="28"/>
        <v>#DIV/0!</v>
      </c>
    </row>
    <row r="1859" customHeight="1" spans="4:4">
      <c r="D1859" s="7" t="e">
        <f t="shared" si="28"/>
        <v>#DIV/0!</v>
      </c>
    </row>
    <row r="1860" customHeight="1" spans="4:4">
      <c r="D1860" s="7" t="e">
        <f t="shared" ref="D1860:D1923" si="29">+B1860/C1860</f>
        <v>#DIV/0!</v>
      </c>
    </row>
    <row r="1861" customHeight="1" spans="4:4">
      <c r="D1861" s="7" t="e">
        <f t="shared" si="29"/>
        <v>#DIV/0!</v>
      </c>
    </row>
    <row r="1862" customHeight="1" spans="4:4">
      <c r="D1862" s="7" t="e">
        <f t="shared" si="29"/>
        <v>#DIV/0!</v>
      </c>
    </row>
    <row r="1863" customHeight="1" spans="4:4">
      <c r="D1863" s="7" t="e">
        <f t="shared" si="29"/>
        <v>#DIV/0!</v>
      </c>
    </row>
    <row r="1864" customHeight="1" spans="4:4">
      <c r="D1864" s="7" t="e">
        <f t="shared" si="29"/>
        <v>#DIV/0!</v>
      </c>
    </row>
    <row r="1865" customHeight="1" spans="4:4">
      <c r="D1865" s="7" t="e">
        <f t="shared" si="29"/>
        <v>#DIV/0!</v>
      </c>
    </row>
    <row r="1866" customHeight="1" spans="4:4">
      <c r="D1866" s="7" t="e">
        <f t="shared" si="29"/>
        <v>#DIV/0!</v>
      </c>
    </row>
    <row r="1867" customHeight="1" spans="4:4">
      <c r="D1867" s="7" t="e">
        <f t="shared" si="29"/>
        <v>#DIV/0!</v>
      </c>
    </row>
    <row r="1868" customHeight="1" spans="4:4">
      <c r="D1868" s="7" t="e">
        <f t="shared" si="29"/>
        <v>#DIV/0!</v>
      </c>
    </row>
    <row r="1869" customHeight="1" spans="4:4">
      <c r="D1869" s="7" t="e">
        <f t="shared" si="29"/>
        <v>#DIV/0!</v>
      </c>
    </row>
    <row r="1870" customHeight="1" spans="4:4">
      <c r="D1870" s="7" t="e">
        <f t="shared" si="29"/>
        <v>#DIV/0!</v>
      </c>
    </row>
    <row r="1871" customHeight="1" spans="4:4">
      <c r="D1871" s="7" t="e">
        <f t="shared" si="29"/>
        <v>#DIV/0!</v>
      </c>
    </row>
    <row r="1872" customHeight="1" spans="4:4">
      <c r="D1872" s="7" t="e">
        <f t="shared" si="29"/>
        <v>#DIV/0!</v>
      </c>
    </row>
    <row r="1873" customHeight="1" spans="4:4">
      <c r="D1873" s="7" t="e">
        <f t="shared" si="29"/>
        <v>#DIV/0!</v>
      </c>
    </row>
    <row r="1874" customHeight="1" spans="4:4">
      <c r="D1874" s="7" t="e">
        <f t="shared" si="29"/>
        <v>#DIV/0!</v>
      </c>
    </row>
    <row r="1875" customHeight="1" spans="4:4">
      <c r="D1875" s="7" t="e">
        <f t="shared" si="29"/>
        <v>#DIV/0!</v>
      </c>
    </row>
    <row r="1876" customHeight="1" spans="4:4">
      <c r="D1876" s="7" t="e">
        <f t="shared" si="29"/>
        <v>#DIV/0!</v>
      </c>
    </row>
    <row r="1877" customHeight="1" spans="4:4">
      <c r="D1877" s="7" t="e">
        <f t="shared" si="29"/>
        <v>#DIV/0!</v>
      </c>
    </row>
    <row r="1878" customHeight="1" spans="4:4">
      <c r="D1878" s="7" t="e">
        <f t="shared" si="29"/>
        <v>#DIV/0!</v>
      </c>
    </row>
    <row r="1879" customHeight="1" spans="4:4">
      <c r="D1879" s="7" t="e">
        <f t="shared" si="29"/>
        <v>#DIV/0!</v>
      </c>
    </row>
    <row r="1880" customHeight="1" spans="4:4">
      <c r="D1880" s="7" t="e">
        <f t="shared" si="29"/>
        <v>#DIV/0!</v>
      </c>
    </row>
    <row r="1881" customHeight="1" spans="4:4">
      <c r="D1881" s="7" t="e">
        <f t="shared" si="29"/>
        <v>#DIV/0!</v>
      </c>
    </row>
    <row r="1882" customHeight="1" spans="4:4">
      <c r="D1882" s="7" t="e">
        <f t="shared" si="29"/>
        <v>#DIV/0!</v>
      </c>
    </row>
    <row r="1883" customHeight="1" spans="4:4">
      <c r="D1883" s="7" t="e">
        <f t="shared" si="29"/>
        <v>#DIV/0!</v>
      </c>
    </row>
    <row r="1884" customHeight="1" spans="4:4">
      <c r="D1884" s="7" t="e">
        <f t="shared" si="29"/>
        <v>#DIV/0!</v>
      </c>
    </row>
    <row r="1885" customHeight="1" spans="4:4">
      <c r="D1885" s="7" t="e">
        <f t="shared" si="29"/>
        <v>#DIV/0!</v>
      </c>
    </row>
    <row r="1886" customHeight="1" spans="4:4">
      <c r="D1886" s="7" t="e">
        <f t="shared" si="29"/>
        <v>#DIV/0!</v>
      </c>
    </row>
    <row r="1887" customHeight="1" spans="4:4">
      <c r="D1887" s="7" t="e">
        <f t="shared" si="29"/>
        <v>#DIV/0!</v>
      </c>
    </row>
    <row r="1888" customHeight="1" spans="4:4">
      <c r="D1888" s="7" t="e">
        <f t="shared" si="29"/>
        <v>#DIV/0!</v>
      </c>
    </row>
    <row r="1889" customHeight="1" spans="4:4">
      <c r="D1889" s="7" t="e">
        <f t="shared" si="29"/>
        <v>#DIV/0!</v>
      </c>
    </row>
    <row r="1890" customHeight="1" spans="4:4">
      <c r="D1890" s="7" t="e">
        <f t="shared" si="29"/>
        <v>#DIV/0!</v>
      </c>
    </row>
    <row r="1891" customHeight="1" spans="4:4">
      <c r="D1891" s="7" t="e">
        <f t="shared" si="29"/>
        <v>#DIV/0!</v>
      </c>
    </row>
    <row r="1892" customHeight="1" spans="4:4">
      <c r="D1892" s="7" t="e">
        <f t="shared" si="29"/>
        <v>#DIV/0!</v>
      </c>
    </row>
    <row r="1893" customHeight="1" spans="4:4">
      <c r="D1893" s="7" t="e">
        <f t="shared" si="29"/>
        <v>#DIV/0!</v>
      </c>
    </row>
    <row r="1894" customHeight="1" spans="4:4">
      <c r="D1894" s="7" t="e">
        <f t="shared" si="29"/>
        <v>#DIV/0!</v>
      </c>
    </row>
    <row r="1895" customHeight="1" spans="4:4">
      <c r="D1895" s="7" t="e">
        <f t="shared" si="29"/>
        <v>#DIV/0!</v>
      </c>
    </row>
    <row r="1896" customHeight="1" spans="4:4">
      <c r="D1896" s="7" t="e">
        <f t="shared" si="29"/>
        <v>#DIV/0!</v>
      </c>
    </row>
    <row r="1897" customHeight="1" spans="4:4">
      <c r="D1897" s="7" t="e">
        <f t="shared" si="29"/>
        <v>#DIV/0!</v>
      </c>
    </row>
    <row r="1898" customHeight="1" spans="4:4">
      <c r="D1898" s="7" t="e">
        <f t="shared" si="29"/>
        <v>#DIV/0!</v>
      </c>
    </row>
    <row r="1899" customHeight="1" spans="4:4">
      <c r="D1899" s="7" t="e">
        <f t="shared" si="29"/>
        <v>#DIV/0!</v>
      </c>
    </row>
    <row r="1900" customHeight="1" spans="4:4">
      <c r="D1900" s="7" t="e">
        <f t="shared" si="29"/>
        <v>#DIV/0!</v>
      </c>
    </row>
    <row r="1901" customHeight="1" spans="4:4">
      <c r="D1901" s="7" t="e">
        <f t="shared" si="29"/>
        <v>#DIV/0!</v>
      </c>
    </row>
    <row r="1902" customHeight="1" spans="4:4">
      <c r="D1902" s="7" t="e">
        <f t="shared" si="29"/>
        <v>#DIV/0!</v>
      </c>
    </row>
    <row r="1903" customHeight="1" spans="4:4">
      <c r="D1903" s="7" t="e">
        <f t="shared" si="29"/>
        <v>#DIV/0!</v>
      </c>
    </row>
    <row r="1904" customHeight="1" spans="4:4">
      <c r="D1904" s="7" t="e">
        <f t="shared" si="29"/>
        <v>#DIV/0!</v>
      </c>
    </row>
    <row r="1905" customHeight="1" spans="4:4">
      <c r="D1905" s="7" t="e">
        <f t="shared" si="29"/>
        <v>#DIV/0!</v>
      </c>
    </row>
    <row r="1906" customHeight="1" spans="4:4">
      <c r="D1906" s="7" t="e">
        <f t="shared" si="29"/>
        <v>#DIV/0!</v>
      </c>
    </row>
    <row r="1907" customHeight="1" spans="4:4">
      <c r="D1907" s="7" t="e">
        <f t="shared" si="29"/>
        <v>#DIV/0!</v>
      </c>
    </row>
    <row r="1908" customHeight="1" spans="4:4">
      <c r="D1908" s="7" t="e">
        <f t="shared" si="29"/>
        <v>#DIV/0!</v>
      </c>
    </row>
    <row r="1909" customHeight="1" spans="4:4">
      <c r="D1909" s="7" t="e">
        <f t="shared" si="29"/>
        <v>#DIV/0!</v>
      </c>
    </row>
    <row r="1910" customHeight="1" spans="4:4">
      <c r="D1910" s="7" t="e">
        <f t="shared" si="29"/>
        <v>#DIV/0!</v>
      </c>
    </row>
    <row r="1911" customHeight="1" spans="4:4">
      <c r="D1911" s="7" t="e">
        <f t="shared" si="29"/>
        <v>#DIV/0!</v>
      </c>
    </row>
    <row r="1912" customHeight="1" spans="4:4">
      <c r="D1912" s="7" t="e">
        <f t="shared" si="29"/>
        <v>#DIV/0!</v>
      </c>
    </row>
    <row r="1913" customHeight="1" spans="4:4">
      <c r="D1913" s="7" t="e">
        <f t="shared" si="29"/>
        <v>#DIV/0!</v>
      </c>
    </row>
    <row r="1914" customHeight="1" spans="4:4">
      <c r="D1914" s="7" t="e">
        <f t="shared" si="29"/>
        <v>#DIV/0!</v>
      </c>
    </row>
    <row r="1915" customHeight="1" spans="4:4">
      <c r="D1915" s="7" t="e">
        <f t="shared" si="29"/>
        <v>#DIV/0!</v>
      </c>
    </row>
    <row r="1916" customHeight="1" spans="4:4">
      <c r="D1916" s="7" t="e">
        <f t="shared" si="29"/>
        <v>#DIV/0!</v>
      </c>
    </row>
    <row r="1917" customHeight="1" spans="4:4">
      <c r="D1917" s="7" t="e">
        <f t="shared" si="29"/>
        <v>#DIV/0!</v>
      </c>
    </row>
    <row r="1918" customHeight="1" spans="4:4">
      <c r="D1918" s="7" t="e">
        <f t="shared" si="29"/>
        <v>#DIV/0!</v>
      </c>
    </row>
    <row r="1919" customHeight="1" spans="4:4">
      <c r="D1919" s="7" t="e">
        <f t="shared" si="29"/>
        <v>#DIV/0!</v>
      </c>
    </row>
    <row r="1920" customHeight="1" spans="4:4">
      <c r="D1920" s="7" t="e">
        <f t="shared" si="29"/>
        <v>#DIV/0!</v>
      </c>
    </row>
    <row r="1921" customHeight="1" spans="4:4">
      <c r="D1921" s="7" t="e">
        <f t="shared" si="29"/>
        <v>#DIV/0!</v>
      </c>
    </row>
    <row r="1922" customHeight="1" spans="4:4">
      <c r="D1922" s="7" t="e">
        <f t="shared" si="29"/>
        <v>#DIV/0!</v>
      </c>
    </row>
    <row r="1923" customHeight="1" spans="4:4">
      <c r="D1923" s="7" t="e">
        <f t="shared" si="29"/>
        <v>#DIV/0!</v>
      </c>
    </row>
    <row r="1924" customHeight="1" spans="4:4">
      <c r="D1924" s="7" t="e">
        <f t="shared" ref="D1924:D1987" si="30">+B1924/C1924</f>
        <v>#DIV/0!</v>
      </c>
    </row>
    <row r="1925" customHeight="1" spans="4:4">
      <c r="D1925" s="7" t="e">
        <f t="shared" si="30"/>
        <v>#DIV/0!</v>
      </c>
    </row>
    <row r="1926" customHeight="1" spans="4:4">
      <c r="D1926" s="7" t="e">
        <f t="shared" si="30"/>
        <v>#DIV/0!</v>
      </c>
    </row>
    <row r="1927" customHeight="1" spans="4:4">
      <c r="D1927" s="7" t="e">
        <f t="shared" si="30"/>
        <v>#DIV/0!</v>
      </c>
    </row>
    <row r="1928" customHeight="1" spans="4:4">
      <c r="D1928" s="7" t="e">
        <f t="shared" si="30"/>
        <v>#DIV/0!</v>
      </c>
    </row>
    <row r="1929" customHeight="1" spans="4:4">
      <c r="D1929" s="7" t="e">
        <f t="shared" si="30"/>
        <v>#DIV/0!</v>
      </c>
    </row>
    <row r="1930" customHeight="1" spans="4:4">
      <c r="D1930" s="7" t="e">
        <f t="shared" si="30"/>
        <v>#DIV/0!</v>
      </c>
    </row>
    <row r="1931" customHeight="1" spans="4:4">
      <c r="D1931" s="7" t="e">
        <f t="shared" si="30"/>
        <v>#DIV/0!</v>
      </c>
    </row>
    <row r="1932" customHeight="1" spans="4:4">
      <c r="D1932" s="7" t="e">
        <f t="shared" si="30"/>
        <v>#DIV/0!</v>
      </c>
    </row>
    <row r="1933" customHeight="1" spans="4:4">
      <c r="D1933" s="7" t="e">
        <f t="shared" si="30"/>
        <v>#DIV/0!</v>
      </c>
    </row>
    <row r="1934" customHeight="1" spans="4:4">
      <c r="D1934" s="7" t="e">
        <f t="shared" si="30"/>
        <v>#DIV/0!</v>
      </c>
    </row>
    <row r="1935" customHeight="1" spans="4:4">
      <c r="D1935" s="7" t="e">
        <f t="shared" si="30"/>
        <v>#DIV/0!</v>
      </c>
    </row>
    <row r="1936" customHeight="1" spans="4:4">
      <c r="D1936" s="7" t="e">
        <f t="shared" si="30"/>
        <v>#DIV/0!</v>
      </c>
    </row>
    <row r="1937" customHeight="1" spans="4:4">
      <c r="D1937" s="7" t="e">
        <f t="shared" si="30"/>
        <v>#DIV/0!</v>
      </c>
    </row>
    <row r="1938" customHeight="1" spans="4:4">
      <c r="D1938" s="7" t="e">
        <f t="shared" si="30"/>
        <v>#DIV/0!</v>
      </c>
    </row>
    <row r="1939" customHeight="1" spans="4:4">
      <c r="D1939" s="7" t="e">
        <f t="shared" si="30"/>
        <v>#DIV/0!</v>
      </c>
    </row>
    <row r="1940" customHeight="1" spans="4:4">
      <c r="D1940" s="7" t="e">
        <f t="shared" si="30"/>
        <v>#DIV/0!</v>
      </c>
    </row>
    <row r="1941" customHeight="1" spans="4:4">
      <c r="D1941" s="7" t="e">
        <f t="shared" si="30"/>
        <v>#DIV/0!</v>
      </c>
    </row>
    <row r="1942" customHeight="1" spans="4:4">
      <c r="D1942" s="7" t="e">
        <f t="shared" si="30"/>
        <v>#DIV/0!</v>
      </c>
    </row>
    <row r="1943" customHeight="1" spans="4:4">
      <c r="D1943" s="7" t="e">
        <f t="shared" si="30"/>
        <v>#DIV/0!</v>
      </c>
    </row>
    <row r="1944" customHeight="1" spans="4:4">
      <c r="D1944" s="7" t="e">
        <f t="shared" si="30"/>
        <v>#DIV/0!</v>
      </c>
    </row>
    <row r="1945" customHeight="1" spans="4:4">
      <c r="D1945" s="7" t="e">
        <f t="shared" si="30"/>
        <v>#DIV/0!</v>
      </c>
    </row>
    <row r="1946" customHeight="1" spans="4:4">
      <c r="D1946" s="7" t="e">
        <f t="shared" si="30"/>
        <v>#DIV/0!</v>
      </c>
    </row>
    <row r="1947" customHeight="1" spans="4:4">
      <c r="D1947" s="7" t="e">
        <f t="shared" si="30"/>
        <v>#DIV/0!</v>
      </c>
    </row>
    <row r="1948" customHeight="1" spans="4:4">
      <c r="D1948" s="7" t="e">
        <f t="shared" si="30"/>
        <v>#DIV/0!</v>
      </c>
    </row>
    <row r="1949" customHeight="1" spans="4:4">
      <c r="D1949" s="7" t="e">
        <f t="shared" si="30"/>
        <v>#DIV/0!</v>
      </c>
    </row>
    <row r="1950" customHeight="1" spans="4:4">
      <c r="D1950" s="7" t="e">
        <f t="shared" si="30"/>
        <v>#DIV/0!</v>
      </c>
    </row>
    <row r="1951" customHeight="1" spans="4:4">
      <c r="D1951" s="7" t="e">
        <f t="shared" si="30"/>
        <v>#DIV/0!</v>
      </c>
    </row>
    <row r="1952" customHeight="1" spans="4:4">
      <c r="D1952" s="7" t="e">
        <f t="shared" si="30"/>
        <v>#DIV/0!</v>
      </c>
    </row>
    <row r="1953" customHeight="1" spans="4:4">
      <c r="D1953" s="7" t="e">
        <f t="shared" si="30"/>
        <v>#DIV/0!</v>
      </c>
    </row>
    <row r="1954" customHeight="1" spans="4:4">
      <c r="D1954" s="7" t="e">
        <f t="shared" si="30"/>
        <v>#DIV/0!</v>
      </c>
    </row>
    <row r="1955" customHeight="1" spans="4:4">
      <c r="D1955" s="7" t="e">
        <f t="shared" si="30"/>
        <v>#DIV/0!</v>
      </c>
    </row>
    <row r="1956" customHeight="1" spans="4:4">
      <c r="D1956" s="7" t="e">
        <f t="shared" si="30"/>
        <v>#DIV/0!</v>
      </c>
    </row>
    <row r="1957" customHeight="1" spans="4:4">
      <c r="D1957" s="7" t="e">
        <f t="shared" si="30"/>
        <v>#DIV/0!</v>
      </c>
    </row>
    <row r="1958" customHeight="1" spans="4:4">
      <c r="D1958" s="7" t="e">
        <f t="shared" si="30"/>
        <v>#DIV/0!</v>
      </c>
    </row>
    <row r="1959" customHeight="1" spans="4:4">
      <c r="D1959" s="7" t="e">
        <f t="shared" si="30"/>
        <v>#DIV/0!</v>
      </c>
    </row>
    <row r="1960" customHeight="1" spans="4:4">
      <c r="D1960" s="7" t="e">
        <f t="shared" si="30"/>
        <v>#DIV/0!</v>
      </c>
    </row>
    <row r="1961" customHeight="1" spans="4:4">
      <c r="D1961" s="7" t="e">
        <f t="shared" si="30"/>
        <v>#DIV/0!</v>
      </c>
    </row>
    <row r="1962" customHeight="1" spans="4:4">
      <c r="D1962" s="7" t="e">
        <f t="shared" si="30"/>
        <v>#DIV/0!</v>
      </c>
    </row>
    <row r="1963" customHeight="1" spans="4:4">
      <c r="D1963" s="7" t="e">
        <f t="shared" si="30"/>
        <v>#DIV/0!</v>
      </c>
    </row>
    <row r="1964" customHeight="1" spans="4:4">
      <c r="D1964" s="7" t="e">
        <f t="shared" si="30"/>
        <v>#DIV/0!</v>
      </c>
    </row>
    <row r="1965" customHeight="1" spans="4:4">
      <c r="D1965" s="7" t="e">
        <f t="shared" si="30"/>
        <v>#DIV/0!</v>
      </c>
    </row>
    <row r="1966" customHeight="1" spans="4:4">
      <c r="D1966" s="7" t="e">
        <f t="shared" si="30"/>
        <v>#DIV/0!</v>
      </c>
    </row>
    <row r="1967" customHeight="1" spans="4:4">
      <c r="D1967" s="7" t="e">
        <f t="shared" si="30"/>
        <v>#DIV/0!</v>
      </c>
    </row>
    <row r="1968" customHeight="1" spans="4:4">
      <c r="D1968" s="7" t="e">
        <f t="shared" si="30"/>
        <v>#DIV/0!</v>
      </c>
    </row>
    <row r="1969" customHeight="1" spans="4:4">
      <c r="D1969" s="7" t="e">
        <f t="shared" si="30"/>
        <v>#DIV/0!</v>
      </c>
    </row>
    <row r="1970" customHeight="1" spans="4:4">
      <c r="D1970" s="7" t="e">
        <f t="shared" si="30"/>
        <v>#DIV/0!</v>
      </c>
    </row>
    <row r="1971" customHeight="1" spans="4:4">
      <c r="D1971" s="7" t="e">
        <f t="shared" si="30"/>
        <v>#DIV/0!</v>
      </c>
    </row>
    <row r="1972" customHeight="1" spans="4:4">
      <c r="D1972" s="7" t="e">
        <f t="shared" si="30"/>
        <v>#DIV/0!</v>
      </c>
    </row>
    <row r="1973" customHeight="1" spans="4:4">
      <c r="D1973" s="7" t="e">
        <f t="shared" si="30"/>
        <v>#DIV/0!</v>
      </c>
    </row>
    <row r="1974" customHeight="1" spans="4:4">
      <c r="D1974" s="7" t="e">
        <f t="shared" si="30"/>
        <v>#DIV/0!</v>
      </c>
    </row>
    <row r="1975" customHeight="1" spans="4:4">
      <c r="D1975" s="7" t="e">
        <f t="shared" si="30"/>
        <v>#DIV/0!</v>
      </c>
    </row>
    <row r="1976" customHeight="1" spans="4:4">
      <c r="D1976" s="7" t="e">
        <f t="shared" si="30"/>
        <v>#DIV/0!</v>
      </c>
    </row>
    <row r="1977" customHeight="1" spans="4:4">
      <c r="D1977" s="7" t="e">
        <f t="shared" si="30"/>
        <v>#DIV/0!</v>
      </c>
    </row>
    <row r="1978" customHeight="1" spans="4:4">
      <c r="D1978" s="7" t="e">
        <f t="shared" si="30"/>
        <v>#DIV/0!</v>
      </c>
    </row>
    <row r="1979" customHeight="1" spans="4:4">
      <c r="D1979" s="7" t="e">
        <f t="shared" si="30"/>
        <v>#DIV/0!</v>
      </c>
    </row>
    <row r="1980" customHeight="1" spans="4:4">
      <c r="D1980" s="7" t="e">
        <f t="shared" si="30"/>
        <v>#DIV/0!</v>
      </c>
    </row>
    <row r="1981" customHeight="1" spans="4:4">
      <c r="D1981" s="7" t="e">
        <f t="shared" si="30"/>
        <v>#DIV/0!</v>
      </c>
    </row>
    <row r="1982" customHeight="1" spans="4:4">
      <c r="D1982" s="7" t="e">
        <f t="shared" si="30"/>
        <v>#DIV/0!</v>
      </c>
    </row>
    <row r="1983" customHeight="1" spans="4:4">
      <c r="D1983" s="7" t="e">
        <f t="shared" si="30"/>
        <v>#DIV/0!</v>
      </c>
    </row>
    <row r="1984" customHeight="1" spans="4:4">
      <c r="D1984" s="7" t="e">
        <f t="shared" si="30"/>
        <v>#DIV/0!</v>
      </c>
    </row>
    <row r="1985" customHeight="1" spans="4:4">
      <c r="D1985" s="7" t="e">
        <f t="shared" si="30"/>
        <v>#DIV/0!</v>
      </c>
    </row>
    <row r="1986" customHeight="1" spans="4:4">
      <c r="D1986" s="7" t="e">
        <f t="shared" si="30"/>
        <v>#DIV/0!</v>
      </c>
    </row>
    <row r="1987" customHeight="1" spans="4:4">
      <c r="D1987" s="7" t="e">
        <f t="shared" si="30"/>
        <v>#DIV/0!</v>
      </c>
    </row>
    <row r="1988" customHeight="1" spans="4:4">
      <c r="D1988" s="7" t="e">
        <f t="shared" ref="D1988:D2051" si="31">+B1988/C1988</f>
        <v>#DIV/0!</v>
      </c>
    </row>
    <row r="1989" customHeight="1" spans="4:4">
      <c r="D1989" s="7" t="e">
        <f t="shared" si="31"/>
        <v>#DIV/0!</v>
      </c>
    </row>
    <row r="1990" customHeight="1" spans="4:4">
      <c r="D1990" s="7" t="e">
        <f t="shared" si="31"/>
        <v>#DIV/0!</v>
      </c>
    </row>
    <row r="1991" customHeight="1" spans="4:4">
      <c r="D1991" s="7" t="e">
        <f t="shared" si="31"/>
        <v>#DIV/0!</v>
      </c>
    </row>
    <row r="1992" customHeight="1" spans="4:4">
      <c r="D1992" s="7" t="e">
        <f t="shared" si="31"/>
        <v>#DIV/0!</v>
      </c>
    </row>
    <row r="1993" customHeight="1" spans="4:4">
      <c r="D1993" s="7" t="e">
        <f t="shared" si="31"/>
        <v>#DIV/0!</v>
      </c>
    </row>
    <row r="1994" customHeight="1" spans="4:4">
      <c r="D1994" s="7" t="e">
        <f t="shared" si="31"/>
        <v>#DIV/0!</v>
      </c>
    </row>
    <row r="1995" customHeight="1" spans="4:4">
      <c r="D1995" s="7" t="e">
        <f t="shared" si="31"/>
        <v>#DIV/0!</v>
      </c>
    </row>
    <row r="1996" customHeight="1" spans="4:4">
      <c r="D1996" s="7" t="e">
        <f t="shared" si="31"/>
        <v>#DIV/0!</v>
      </c>
    </row>
    <row r="1997" customHeight="1" spans="4:4">
      <c r="D1997" s="7" t="e">
        <f t="shared" si="31"/>
        <v>#DIV/0!</v>
      </c>
    </row>
    <row r="1998" customHeight="1" spans="4:4">
      <c r="D1998" s="7" t="e">
        <f t="shared" si="31"/>
        <v>#DIV/0!</v>
      </c>
    </row>
    <row r="1999" customHeight="1" spans="4:4">
      <c r="D1999" s="7" t="e">
        <f t="shared" si="31"/>
        <v>#DIV/0!</v>
      </c>
    </row>
    <row r="2000" customHeight="1" spans="4:4">
      <c r="D2000" s="7" t="e">
        <f t="shared" si="31"/>
        <v>#DIV/0!</v>
      </c>
    </row>
    <row r="2001" customHeight="1" spans="4:4">
      <c r="D2001" s="7" t="e">
        <f t="shared" si="31"/>
        <v>#DIV/0!</v>
      </c>
    </row>
    <row r="2002" customHeight="1" spans="4:4">
      <c r="D2002" s="7" t="e">
        <f t="shared" si="31"/>
        <v>#DIV/0!</v>
      </c>
    </row>
    <row r="2003" customHeight="1" spans="4:4">
      <c r="D2003" s="7" t="e">
        <f t="shared" si="31"/>
        <v>#DIV/0!</v>
      </c>
    </row>
    <row r="2004" customHeight="1" spans="4:4">
      <c r="D2004" s="7" t="e">
        <f t="shared" si="31"/>
        <v>#DIV/0!</v>
      </c>
    </row>
    <row r="2005" customHeight="1" spans="4:4">
      <c r="D2005" s="7" t="e">
        <f t="shared" si="31"/>
        <v>#DIV/0!</v>
      </c>
    </row>
    <row r="2006" customHeight="1" spans="4:4">
      <c r="D2006" s="7" t="e">
        <f t="shared" si="31"/>
        <v>#DIV/0!</v>
      </c>
    </row>
    <row r="2007" customHeight="1" spans="4:4">
      <c r="D2007" s="7" t="e">
        <f t="shared" si="31"/>
        <v>#DIV/0!</v>
      </c>
    </row>
    <row r="2008" customHeight="1" spans="4:4">
      <c r="D2008" s="7" t="e">
        <f t="shared" si="31"/>
        <v>#DIV/0!</v>
      </c>
    </row>
    <row r="2009" customHeight="1" spans="4:4">
      <c r="D2009" s="7" t="e">
        <f t="shared" si="31"/>
        <v>#DIV/0!</v>
      </c>
    </row>
    <row r="2010" customHeight="1" spans="4:4">
      <c r="D2010" s="7" t="e">
        <f t="shared" si="31"/>
        <v>#DIV/0!</v>
      </c>
    </row>
    <row r="2011" customHeight="1" spans="4:4">
      <c r="D2011" s="7" t="e">
        <f t="shared" si="31"/>
        <v>#DIV/0!</v>
      </c>
    </row>
    <row r="2012" customHeight="1" spans="4:4">
      <c r="D2012" s="7" t="e">
        <f t="shared" si="31"/>
        <v>#DIV/0!</v>
      </c>
    </row>
    <row r="2013" customHeight="1" spans="4:4">
      <c r="D2013" s="7" t="e">
        <f t="shared" si="31"/>
        <v>#DIV/0!</v>
      </c>
    </row>
    <row r="2014" customHeight="1" spans="4:4">
      <c r="D2014" s="7" t="e">
        <f t="shared" si="31"/>
        <v>#DIV/0!</v>
      </c>
    </row>
    <row r="2015" customHeight="1" spans="4:4">
      <c r="D2015" s="7" t="e">
        <f t="shared" si="31"/>
        <v>#DIV/0!</v>
      </c>
    </row>
    <row r="2016" customHeight="1" spans="4:4">
      <c r="D2016" s="7" t="e">
        <f t="shared" si="31"/>
        <v>#DIV/0!</v>
      </c>
    </row>
    <row r="2017" customHeight="1" spans="4:4">
      <c r="D2017" s="7" t="e">
        <f t="shared" si="31"/>
        <v>#DIV/0!</v>
      </c>
    </row>
    <row r="2018" customHeight="1" spans="4:4">
      <c r="D2018" s="7" t="e">
        <f t="shared" si="31"/>
        <v>#DIV/0!</v>
      </c>
    </row>
    <row r="2019" customHeight="1" spans="4:4">
      <c r="D2019" s="7" t="e">
        <f t="shared" si="31"/>
        <v>#DIV/0!</v>
      </c>
    </row>
    <row r="2020" customHeight="1" spans="4:4">
      <c r="D2020" s="7" t="e">
        <f t="shared" si="31"/>
        <v>#DIV/0!</v>
      </c>
    </row>
    <row r="2021" customHeight="1" spans="4:4">
      <c r="D2021" s="7" t="e">
        <f t="shared" si="31"/>
        <v>#DIV/0!</v>
      </c>
    </row>
    <row r="2022" customHeight="1" spans="4:4">
      <c r="D2022" s="7" t="e">
        <f t="shared" si="31"/>
        <v>#DIV/0!</v>
      </c>
    </row>
    <row r="2023" customHeight="1" spans="4:4">
      <c r="D2023" s="7" t="e">
        <f t="shared" si="31"/>
        <v>#DIV/0!</v>
      </c>
    </row>
    <row r="2024" customHeight="1" spans="4:4">
      <c r="D2024" s="7" t="e">
        <f t="shared" si="31"/>
        <v>#DIV/0!</v>
      </c>
    </row>
    <row r="2025" customHeight="1" spans="4:4">
      <c r="D2025" s="7" t="e">
        <f t="shared" si="31"/>
        <v>#DIV/0!</v>
      </c>
    </row>
    <row r="2026" customHeight="1" spans="4:4">
      <c r="D2026" s="7" t="e">
        <f t="shared" si="31"/>
        <v>#DIV/0!</v>
      </c>
    </row>
    <row r="2027" customHeight="1" spans="4:4">
      <c r="D2027" s="7" t="e">
        <f t="shared" si="31"/>
        <v>#DIV/0!</v>
      </c>
    </row>
    <row r="2028" customHeight="1" spans="4:4">
      <c r="D2028" s="7" t="e">
        <f t="shared" si="31"/>
        <v>#DIV/0!</v>
      </c>
    </row>
    <row r="2029" customHeight="1" spans="4:4">
      <c r="D2029" s="7" t="e">
        <f t="shared" si="31"/>
        <v>#DIV/0!</v>
      </c>
    </row>
    <row r="2030" customHeight="1" spans="4:4">
      <c r="D2030" s="7" t="e">
        <f t="shared" si="31"/>
        <v>#DIV/0!</v>
      </c>
    </row>
    <row r="2031" customHeight="1" spans="4:4">
      <c r="D2031" s="7" t="e">
        <f t="shared" si="31"/>
        <v>#DIV/0!</v>
      </c>
    </row>
    <row r="2032" customHeight="1" spans="4:4">
      <c r="D2032" s="7" t="e">
        <f t="shared" si="31"/>
        <v>#DIV/0!</v>
      </c>
    </row>
    <row r="2033" customHeight="1" spans="4:4">
      <c r="D2033" s="7" t="e">
        <f t="shared" si="31"/>
        <v>#DIV/0!</v>
      </c>
    </row>
    <row r="2034" customHeight="1" spans="4:4">
      <c r="D2034" s="7" t="e">
        <f t="shared" si="31"/>
        <v>#DIV/0!</v>
      </c>
    </row>
    <row r="2035" customHeight="1" spans="4:4">
      <c r="D2035" s="7" t="e">
        <f t="shared" si="31"/>
        <v>#DIV/0!</v>
      </c>
    </row>
    <row r="2036" customHeight="1" spans="4:4">
      <c r="D2036" s="7" t="e">
        <f t="shared" si="31"/>
        <v>#DIV/0!</v>
      </c>
    </row>
    <row r="2037" customHeight="1" spans="4:4">
      <c r="D2037" s="7" t="e">
        <f t="shared" si="31"/>
        <v>#DIV/0!</v>
      </c>
    </row>
    <row r="2038" customHeight="1" spans="4:4">
      <c r="D2038" s="7" t="e">
        <f t="shared" si="31"/>
        <v>#DIV/0!</v>
      </c>
    </row>
    <row r="2039" customHeight="1" spans="4:4">
      <c r="D2039" s="7" t="e">
        <f t="shared" si="31"/>
        <v>#DIV/0!</v>
      </c>
    </row>
    <row r="2040" customHeight="1" spans="4:4">
      <c r="D2040" s="7" t="e">
        <f t="shared" si="31"/>
        <v>#DIV/0!</v>
      </c>
    </row>
    <row r="2041" customHeight="1" spans="4:4">
      <c r="D2041" s="7" t="e">
        <f t="shared" si="31"/>
        <v>#DIV/0!</v>
      </c>
    </row>
    <row r="2042" customHeight="1" spans="4:4">
      <c r="D2042" s="7" t="e">
        <f t="shared" si="31"/>
        <v>#DIV/0!</v>
      </c>
    </row>
    <row r="2043" customHeight="1" spans="4:4">
      <c r="D2043" s="7" t="e">
        <f t="shared" si="31"/>
        <v>#DIV/0!</v>
      </c>
    </row>
    <row r="2044" customHeight="1" spans="4:4">
      <c r="D2044" s="7" t="e">
        <f t="shared" si="31"/>
        <v>#DIV/0!</v>
      </c>
    </row>
    <row r="2045" customHeight="1" spans="4:4">
      <c r="D2045" s="7" t="e">
        <f t="shared" si="31"/>
        <v>#DIV/0!</v>
      </c>
    </row>
    <row r="2046" customHeight="1" spans="4:4">
      <c r="D2046" s="7" t="e">
        <f t="shared" si="31"/>
        <v>#DIV/0!</v>
      </c>
    </row>
    <row r="2047" customHeight="1" spans="4:4">
      <c r="D2047" s="7" t="e">
        <f t="shared" si="31"/>
        <v>#DIV/0!</v>
      </c>
    </row>
    <row r="2048" customHeight="1" spans="4:4">
      <c r="D2048" s="7" t="e">
        <f t="shared" si="31"/>
        <v>#DIV/0!</v>
      </c>
    </row>
    <row r="2049" customHeight="1" spans="4:4">
      <c r="D2049" s="7" t="e">
        <f t="shared" si="31"/>
        <v>#DIV/0!</v>
      </c>
    </row>
    <row r="2050" customHeight="1" spans="4:4">
      <c r="D2050" s="7" t="e">
        <f t="shared" si="31"/>
        <v>#DIV/0!</v>
      </c>
    </row>
    <row r="2051" customHeight="1" spans="4:4">
      <c r="D2051" s="7" t="e">
        <f t="shared" si="31"/>
        <v>#DIV/0!</v>
      </c>
    </row>
    <row r="2052" customHeight="1" spans="4:4">
      <c r="D2052" s="7" t="e">
        <f t="shared" ref="D2052:D2115" si="32">+B2052/C2052</f>
        <v>#DIV/0!</v>
      </c>
    </row>
    <row r="2053" customHeight="1" spans="4:4">
      <c r="D2053" s="7" t="e">
        <f t="shared" si="32"/>
        <v>#DIV/0!</v>
      </c>
    </row>
    <row r="2054" customHeight="1" spans="4:4">
      <c r="D2054" s="7" t="e">
        <f t="shared" si="32"/>
        <v>#DIV/0!</v>
      </c>
    </row>
    <row r="2055" customHeight="1" spans="4:4">
      <c r="D2055" s="7" t="e">
        <f t="shared" si="32"/>
        <v>#DIV/0!</v>
      </c>
    </row>
    <row r="2056" customHeight="1" spans="4:4">
      <c r="D2056" s="7" t="e">
        <f t="shared" si="32"/>
        <v>#DIV/0!</v>
      </c>
    </row>
    <row r="2057" customHeight="1" spans="4:4">
      <c r="D2057" s="7" t="e">
        <f t="shared" si="32"/>
        <v>#DIV/0!</v>
      </c>
    </row>
    <row r="2058" customHeight="1" spans="4:4">
      <c r="D2058" s="7" t="e">
        <f t="shared" si="32"/>
        <v>#DIV/0!</v>
      </c>
    </row>
    <row r="2059" customHeight="1" spans="4:4">
      <c r="D2059" s="7" t="e">
        <f t="shared" si="32"/>
        <v>#DIV/0!</v>
      </c>
    </row>
    <row r="2060" customHeight="1" spans="4:4">
      <c r="D2060" s="7" t="e">
        <f t="shared" si="32"/>
        <v>#DIV/0!</v>
      </c>
    </row>
    <row r="2061" customHeight="1" spans="4:4">
      <c r="D2061" s="7" t="e">
        <f t="shared" si="32"/>
        <v>#DIV/0!</v>
      </c>
    </row>
    <row r="2062" customHeight="1" spans="4:4">
      <c r="D2062" s="7" t="e">
        <f t="shared" si="32"/>
        <v>#DIV/0!</v>
      </c>
    </row>
    <row r="2063" customHeight="1" spans="4:4">
      <c r="D2063" s="7" t="e">
        <f t="shared" si="32"/>
        <v>#DIV/0!</v>
      </c>
    </row>
    <row r="2064" customHeight="1" spans="4:4">
      <c r="D2064" s="7" t="e">
        <f t="shared" si="32"/>
        <v>#DIV/0!</v>
      </c>
    </row>
    <row r="2065" customHeight="1" spans="4:4">
      <c r="D2065" s="7" t="e">
        <f t="shared" si="32"/>
        <v>#DIV/0!</v>
      </c>
    </row>
    <row r="2066" customHeight="1" spans="4:4">
      <c r="D2066" s="7" t="e">
        <f t="shared" si="32"/>
        <v>#DIV/0!</v>
      </c>
    </row>
    <row r="2067" customHeight="1" spans="4:4">
      <c r="D2067" s="7" t="e">
        <f t="shared" si="32"/>
        <v>#DIV/0!</v>
      </c>
    </row>
    <row r="2068" customHeight="1" spans="4:4">
      <c r="D2068" s="7" t="e">
        <f t="shared" si="32"/>
        <v>#DIV/0!</v>
      </c>
    </row>
    <row r="2069" customHeight="1" spans="4:4">
      <c r="D2069" s="7" t="e">
        <f t="shared" si="32"/>
        <v>#DIV/0!</v>
      </c>
    </row>
    <row r="2070" customHeight="1" spans="4:4">
      <c r="D2070" s="7" t="e">
        <f t="shared" si="32"/>
        <v>#DIV/0!</v>
      </c>
    </row>
    <row r="2071" customHeight="1" spans="4:4">
      <c r="D2071" s="7" t="e">
        <f t="shared" si="32"/>
        <v>#DIV/0!</v>
      </c>
    </row>
    <row r="2072" customHeight="1" spans="4:4">
      <c r="D2072" s="7" t="e">
        <f t="shared" si="32"/>
        <v>#DIV/0!</v>
      </c>
    </row>
    <row r="2073" customHeight="1" spans="4:4">
      <c r="D2073" s="7" t="e">
        <f t="shared" si="32"/>
        <v>#DIV/0!</v>
      </c>
    </row>
    <row r="2074" customHeight="1" spans="4:4">
      <c r="D2074" s="7" t="e">
        <f t="shared" si="32"/>
        <v>#DIV/0!</v>
      </c>
    </row>
    <row r="2075" customHeight="1" spans="4:4">
      <c r="D2075" s="7" t="e">
        <f t="shared" si="32"/>
        <v>#DIV/0!</v>
      </c>
    </row>
    <row r="2076" customHeight="1" spans="4:4">
      <c r="D2076" s="7" t="e">
        <f t="shared" si="32"/>
        <v>#DIV/0!</v>
      </c>
    </row>
    <row r="2077" customHeight="1" spans="4:4">
      <c r="D2077" s="7" t="e">
        <f t="shared" si="32"/>
        <v>#DIV/0!</v>
      </c>
    </row>
    <row r="2078" customHeight="1" spans="4:4">
      <c r="D2078" s="7" t="e">
        <f t="shared" si="32"/>
        <v>#DIV/0!</v>
      </c>
    </row>
    <row r="2079" customHeight="1" spans="4:4">
      <c r="D2079" s="7" t="e">
        <f t="shared" si="32"/>
        <v>#DIV/0!</v>
      </c>
    </row>
    <row r="2080" customHeight="1" spans="4:4">
      <c r="D2080" s="7" t="e">
        <f t="shared" si="32"/>
        <v>#DIV/0!</v>
      </c>
    </row>
    <row r="2081" customHeight="1" spans="4:4">
      <c r="D2081" s="7" t="e">
        <f t="shared" si="32"/>
        <v>#DIV/0!</v>
      </c>
    </row>
    <row r="2082" customHeight="1" spans="4:4">
      <c r="D2082" s="7" t="e">
        <f t="shared" si="32"/>
        <v>#DIV/0!</v>
      </c>
    </row>
    <row r="2083" customHeight="1" spans="4:4">
      <c r="D2083" s="7" t="e">
        <f t="shared" si="32"/>
        <v>#DIV/0!</v>
      </c>
    </row>
    <row r="2084" customHeight="1" spans="4:4">
      <c r="D2084" s="7" t="e">
        <f t="shared" si="32"/>
        <v>#DIV/0!</v>
      </c>
    </row>
    <row r="2085" customHeight="1" spans="4:4">
      <c r="D2085" s="7" t="e">
        <f t="shared" si="32"/>
        <v>#DIV/0!</v>
      </c>
    </row>
    <row r="2086" customHeight="1" spans="4:4">
      <c r="D2086" s="7" t="e">
        <f t="shared" si="32"/>
        <v>#DIV/0!</v>
      </c>
    </row>
    <row r="2087" customHeight="1" spans="4:4">
      <c r="D2087" s="7" t="e">
        <f t="shared" si="32"/>
        <v>#DIV/0!</v>
      </c>
    </row>
    <row r="2088" customHeight="1" spans="4:4">
      <c r="D2088" s="7" t="e">
        <f t="shared" si="32"/>
        <v>#DIV/0!</v>
      </c>
    </row>
    <row r="2089" customHeight="1" spans="4:4">
      <c r="D2089" s="7" t="e">
        <f t="shared" si="32"/>
        <v>#DIV/0!</v>
      </c>
    </row>
    <row r="2090" customHeight="1" spans="4:4">
      <c r="D2090" s="7" t="e">
        <f t="shared" si="32"/>
        <v>#DIV/0!</v>
      </c>
    </row>
    <row r="2091" customHeight="1" spans="4:4">
      <c r="D2091" s="7" t="e">
        <f t="shared" si="32"/>
        <v>#DIV/0!</v>
      </c>
    </row>
    <row r="2092" customHeight="1" spans="4:4">
      <c r="D2092" s="7" t="e">
        <f t="shared" si="32"/>
        <v>#DIV/0!</v>
      </c>
    </row>
    <row r="2093" customHeight="1" spans="4:4">
      <c r="D2093" s="7" t="e">
        <f t="shared" si="32"/>
        <v>#DIV/0!</v>
      </c>
    </row>
    <row r="2094" customHeight="1" spans="4:4">
      <c r="D2094" s="7" t="e">
        <f t="shared" si="32"/>
        <v>#DIV/0!</v>
      </c>
    </row>
    <row r="2095" customHeight="1" spans="4:4">
      <c r="D2095" s="7" t="e">
        <f t="shared" si="32"/>
        <v>#DIV/0!</v>
      </c>
    </row>
    <row r="2096" customHeight="1" spans="4:4">
      <c r="D2096" s="7" t="e">
        <f t="shared" si="32"/>
        <v>#DIV/0!</v>
      </c>
    </row>
    <row r="2097" customHeight="1" spans="4:4">
      <c r="D2097" s="7" t="e">
        <f t="shared" si="32"/>
        <v>#DIV/0!</v>
      </c>
    </row>
    <row r="2098" customHeight="1" spans="4:4">
      <c r="D2098" s="7" t="e">
        <f t="shared" si="32"/>
        <v>#DIV/0!</v>
      </c>
    </row>
    <row r="2099" customHeight="1" spans="4:4">
      <c r="D2099" s="7" t="e">
        <f t="shared" si="32"/>
        <v>#DIV/0!</v>
      </c>
    </row>
    <row r="2100" customHeight="1" spans="4:4">
      <c r="D2100" s="7" t="e">
        <f t="shared" si="32"/>
        <v>#DIV/0!</v>
      </c>
    </row>
    <row r="2101" customHeight="1" spans="4:4">
      <c r="D2101" s="7" t="e">
        <f t="shared" si="32"/>
        <v>#DIV/0!</v>
      </c>
    </row>
    <row r="2102" customHeight="1" spans="4:4">
      <c r="D2102" s="7" t="e">
        <f t="shared" si="32"/>
        <v>#DIV/0!</v>
      </c>
    </row>
    <row r="2103" customHeight="1" spans="4:4">
      <c r="D2103" s="7" t="e">
        <f t="shared" si="32"/>
        <v>#DIV/0!</v>
      </c>
    </row>
    <row r="2104" customHeight="1" spans="4:4">
      <c r="D2104" s="7" t="e">
        <f t="shared" si="32"/>
        <v>#DIV/0!</v>
      </c>
    </row>
    <row r="2105" customHeight="1" spans="4:4">
      <c r="D2105" s="7" t="e">
        <f t="shared" si="32"/>
        <v>#DIV/0!</v>
      </c>
    </row>
    <row r="2106" customHeight="1" spans="4:4">
      <c r="D2106" s="7" t="e">
        <f t="shared" si="32"/>
        <v>#DIV/0!</v>
      </c>
    </row>
    <row r="2107" customHeight="1" spans="4:4">
      <c r="D2107" s="7" t="e">
        <f t="shared" si="32"/>
        <v>#DIV/0!</v>
      </c>
    </row>
    <row r="2108" customHeight="1" spans="4:4">
      <c r="D2108" s="7" t="e">
        <f t="shared" si="32"/>
        <v>#DIV/0!</v>
      </c>
    </row>
    <row r="2109" customHeight="1" spans="4:4">
      <c r="D2109" s="7" t="e">
        <f t="shared" si="32"/>
        <v>#DIV/0!</v>
      </c>
    </row>
    <row r="2110" customHeight="1" spans="4:4">
      <c r="D2110" s="7" t="e">
        <f t="shared" si="32"/>
        <v>#DIV/0!</v>
      </c>
    </row>
    <row r="2111" customHeight="1" spans="4:4">
      <c r="D2111" s="7" t="e">
        <f t="shared" si="32"/>
        <v>#DIV/0!</v>
      </c>
    </row>
    <row r="2112" customHeight="1" spans="4:4">
      <c r="D2112" s="7" t="e">
        <f t="shared" si="32"/>
        <v>#DIV/0!</v>
      </c>
    </row>
    <row r="2113" customHeight="1" spans="4:4">
      <c r="D2113" s="7" t="e">
        <f t="shared" si="32"/>
        <v>#DIV/0!</v>
      </c>
    </row>
    <row r="2114" customHeight="1" spans="4:4">
      <c r="D2114" s="7" t="e">
        <f t="shared" si="32"/>
        <v>#DIV/0!</v>
      </c>
    </row>
    <row r="2115" customHeight="1" spans="4:4">
      <c r="D2115" s="7" t="e">
        <f t="shared" si="32"/>
        <v>#DIV/0!</v>
      </c>
    </row>
    <row r="2116" customHeight="1" spans="4:4">
      <c r="D2116" s="7" t="e">
        <f t="shared" ref="D2116:D2179" si="33">+B2116/C2116</f>
        <v>#DIV/0!</v>
      </c>
    </row>
    <row r="2117" customHeight="1" spans="4:4">
      <c r="D2117" s="7" t="e">
        <f t="shared" si="33"/>
        <v>#DIV/0!</v>
      </c>
    </row>
    <row r="2118" customHeight="1" spans="4:4">
      <c r="D2118" s="7" t="e">
        <f t="shared" si="33"/>
        <v>#DIV/0!</v>
      </c>
    </row>
    <row r="2119" customHeight="1" spans="4:4">
      <c r="D2119" s="7" t="e">
        <f t="shared" si="33"/>
        <v>#DIV/0!</v>
      </c>
    </row>
    <row r="2120" customHeight="1" spans="4:4">
      <c r="D2120" s="7" t="e">
        <f t="shared" si="33"/>
        <v>#DIV/0!</v>
      </c>
    </row>
    <row r="2121" customHeight="1" spans="4:4">
      <c r="D2121" s="7" t="e">
        <f t="shared" si="33"/>
        <v>#DIV/0!</v>
      </c>
    </row>
    <row r="2122" customHeight="1" spans="4:4">
      <c r="D2122" s="7" t="e">
        <f t="shared" si="33"/>
        <v>#DIV/0!</v>
      </c>
    </row>
    <row r="2123" customHeight="1" spans="4:4">
      <c r="D2123" s="7" t="e">
        <f t="shared" si="33"/>
        <v>#DIV/0!</v>
      </c>
    </row>
    <row r="2124" customHeight="1" spans="4:4">
      <c r="D2124" s="7" t="e">
        <f t="shared" si="33"/>
        <v>#DIV/0!</v>
      </c>
    </row>
    <row r="2125" customHeight="1" spans="4:4">
      <c r="D2125" s="7" t="e">
        <f t="shared" si="33"/>
        <v>#DIV/0!</v>
      </c>
    </row>
    <row r="2126" customHeight="1" spans="4:4">
      <c r="D2126" s="7" t="e">
        <f t="shared" si="33"/>
        <v>#DIV/0!</v>
      </c>
    </row>
    <row r="2127" customHeight="1" spans="4:4">
      <c r="D2127" s="7" t="e">
        <f t="shared" si="33"/>
        <v>#DIV/0!</v>
      </c>
    </row>
    <row r="2128" customHeight="1" spans="4:4">
      <c r="D2128" s="7" t="e">
        <f t="shared" si="33"/>
        <v>#DIV/0!</v>
      </c>
    </row>
    <row r="2129" customHeight="1" spans="4:4">
      <c r="D2129" s="7" t="e">
        <f t="shared" si="33"/>
        <v>#DIV/0!</v>
      </c>
    </row>
    <row r="2130" customHeight="1" spans="4:4">
      <c r="D2130" s="7" t="e">
        <f t="shared" si="33"/>
        <v>#DIV/0!</v>
      </c>
    </row>
    <row r="2131" customHeight="1" spans="4:4">
      <c r="D2131" s="7" t="e">
        <f t="shared" si="33"/>
        <v>#DIV/0!</v>
      </c>
    </row>
    <row r="2132" customHeight="1" spans="4:4">
      <c r="D2132" s="7" t="e">
        <f t="shared" si="33"/>
        <v>#DIV/0!</v>
      </c>
    </row>
    <row r="2133" customHeight="1" spans="4:4">
      <c r="D2133" s="7" t="e">
        <f t="shared" si="33"/>
        <v>#DIV/0!</v>
      </c>
    </row>
    <row r="2134" customHeight="1" spans="4:4">
      <c r="D2134" s="7" t="e">
        <f t="shared" si="33"/>
        <v>#DIV/0!</v>
      </c>
    </row>
    <row r="2135" customHeight="1" spans="4:4">
      <c r="D2135" s="7" t="e">
        <f t="shared" si="33"/>
        <v>#DIV/0!</v>
      </c>
    </row>
    <row r="2136" customHeight="1" spans="4:4">
      <c r="D2136" s="7" t="e">
        <f t="shared" si="33"/>
        <v>#DIV/0!</v>
      </c>
    </row>
    <row r="2137" customHeight="1" spans="4:4">
      <c r="D2137" s="7" t="e">
        <f t="shared" si="33"/>
        <v>#DIV/0!</v>
      </c>
    </row>
    <row r="2138" customHeight="1" spans="4:4">
      <c r="D2138" s="7" t="e">
        <f t="shared" si="33"/>
        <v>#DIV/0!</v>
      </c>
    </row>
    <row r="2139" customHeight="1" spans="4:4">
      <c r="D2139" s="7" t="e">
        <f t="shared" si="33"/>
        <v>#DIV/0!</v>
      </c>
    </row>
    <row r="2140" customHeight="1" spans="4:4">
      <c r="D2140" s="7" t="e">
        <f t="shared" si="33"/>
        <v>#DIV/0!</v>
      </c>
    </row>
    <row r="2141" customHeight="1" spans="4:4">
      <c r="D2141" s="7" t="e">
        <f t="shared" si="33"/>
        <v>#DIV/0!</v>
      </c>
    </row>
    <row r="2142" customHeight="1" spans="4:4">
      <c r="D2142" s="7" t="e">
        <f t="shared" si="33"/>
        <v>#DIV/0!</v>
      </c>
    </row>
    <row r="2143" customHeight="1" spans="4:4">
      <c r="D2143" s="7" t="e">
        <f t="shared" si="33"/>
        <v>#DIV/0!</v>
      </c>
    </row>
    <row r="2144" customHeight="1" spans="4:4">
      <c r="D2144" s="7" t="e">
        <f t="shared" si="33"/>
        <v>#DIV/0!</v>
      </c>
    </row>
    <row r="2145" customHeight="1" spans="4:4">
      <c r="D2145" s="7" t="e">
        <f t="shared" si="33"/>
        <v>#DIV/0!</v>
      </c>
    </row>
    <row r="2146" customHeight="1" spans="4:4">
      <c r="D2146" s="7" t="e">
        <f t="shared" si="33"/>
        <v>#DIV/0!</v>
      </c>
    </row>
    <row r="2147" customHeight="1" spans="4:4">
      <c r="D2147" s="7" t="e">
        <f t="shared" si="33"/>
        <v>#DIV/0!</v>
      </c>
    </row>
    <row r="2148" customHeight="1" spans="4:4">
      <c r="D2148" s="7" t="e">
        <f t="shared" si="33"/>
        <v>#DIV/0!</v>
      </c>
    </row>
    <row r="2149" customHeight="1" spans="4:4">
      <c r="D2149" s="7" t="e">
        <f t="shared" si="33"/>
        <v>#DIV/0!</v>
      </c>
    </row>
    <row r="2150" customHeight="1" spans="4:4">
      <c r="D2150" s="7" t="e">
        <f t="shared" si="33"/>
        <v>#DIV/0!</v>
      </c>
    </row>
    <row r="2151" customHeight="1" spans="4:4">
      <c r="D2151" s="7" t="e">
        <f t="shared" si="33"/>
        <v>#DIV/0!</v>
      </c>
    </row>
    <row r="2152" customHeight="1" spans="4:4">
      <c r="D2152" s="7" t="e">
        <f t="shared" si="33"/>
        <v>#DIV/0!</v>
      </c>
    </row>
    <row r="2153" customHeight="1" spans="4:4">
      <c r="D2153" s="7" t="e">
        <f t="shared" si="33"/>
        <v>#DIV/0!</v>
      </c>
    </row>
    <row r="2154" customHeight="1" spans="4:4">
      <c r="D2154" s="7" t="e">
        <f t="shared" si="33"/>
        <v>#DIV/0!</v>
      </c>
    </row>
    <row r="2155" customHeight="1" spans="4:4">
      <c r="D2155" s="7" t="e">
        <f t="shared" si="33"/>
        <v>#DIV/0!</v>
      </c>
    </row>
    <row r="2156" customHeight="1" spans="4:4">
      <c r="D2156" s="7" t="e">
        <f t="shared" si="33"/>
        <v>#DIV/0!</v>
      </c>
    </row>
    <row r="2157" customHeight="1" spans="4:4">
      <c r="D2157" s="7" t="e">
        <f t="shared" si="33"/>
        <v>#DIV/0!</v>
      </c>
    </row>
    <row r="2158" customHeight="1" spans="4:4">
      <c r="D2158" s="7" t="e">
        <f t="shared" si="33"/>
        <v>#DIV/0!</v>
      </c>
    </row>
    <row r="2159" customHeight="1" spans="4:4">
      <c r="D2159" s="7" t="e">
        <f t="shared" si="33"/>
        <v>#DIV/0!</v>
      </c>
    </row>
    <row r="2160" customHeight="1" spans="4:4">
      <c r="D2160" s="7" t="e">
        <f t="shared" si="33"/>
        <v>#DIV/0!</v>
      </c>
    </row>
    <row r="2161" customHeight="1" spans="4:4">
      <c r="D2161" s="7" t="e">
        <f t="shared" si="33"/>
        <v>#DIV/0!</v>
      </c>
    </row>
    <row r="2162" customHeight="1" spans="4:4">
      <c r="D2162" s="7" t="e">
        <f t="shared" si="33"/>
        <v>#DIV/0!</v>
      </c>
    </row>
    <row r="2163" customHeight="1" spans="4:4">
      <c r="D2163" s="7" t="e">
        <f t="shared" si="33"/>
        <v>#DIV/0!</v>
      </c>
    </row>
    <row r="2164" customHeight="1" spans="4:4">
      <c r="D2164" s="7" t="e">
        <f t="shared" si="33"/>
        <v>#DIV/0!</v>
      </c>
    </row>
    <row r="2165" customHeight="1" spans="4:4">
      <c r="D2165" s="7" t="e">
        <f t="shared" si="33"/>
        <v>#DIV/0!</v>
      </c>
    </row>
    <row r="2166" customHeight="1" spans="4:4">
      <c r="D2166" s="7" t="e">
        <f t="shared" si="33"/>
        <v>#DIV/0!</v>
      </c>
    </row>
    <row r="2167" customHeight="1" spans="4:4">
      <c r="D2167" s="7" t="e">
        <f t="shared" si="33"/>
        <v>#DIV/0!</v>
      </c>
    </row>
    <row r="2168" customHeight="1" spans="4:4">
      <c r="D2168" s="7" t="e">
        <f t="shared" si="33"/>
        <v>#DIV/0!</v>
      </c>
    </row>
    <row r="2169" customHeight="1" spans="4:4">
      <c r="D2169" s="7" t="e">
        <f t="shared" si="33"/>
        <v>#DIV/0!</v>
      </c>
    </row>
    <row r="2170" customHeight="1" spans="4:4">
      <c r="D2170" s="7" t="e">
        <f t="shared" si="33"/>
        <v>#DIV/0!</v>
      </c>
    </row>
    <row r="2171" customHeight="1" spans="4:4">
      <c r="D2171" s="7" t="e">
        <f t="shared" si="33"/>
        <v>#DIV/0!</v>
      </c>
    </row>
    <row r="2172" customHeight="1" spans="4:4">
      <c r="D2172" s="7" t="e">
        <f t="shared" si="33"/>
        <v>#DIV/0!</v>
      </c>
    </row>
    <row r="2173" customHeight="1" spans="4:4">
      <c r="D2173" s="7" t="e">
        <f t="shared" si="33"/>
        <v>#DIV/0!</v>
      </c>
    </row>
    <row r="2174" customHeight="1" spans="4:4">
      <c r="D2174" s="7" t="e">
        <f t="shared" si="33"/>
        <v>#DIV/0!</v>
      </c>
    </row>
    <row r="2175" customHeight="1" spans="4:4">
      <c r="D2175" s="7" t="e">
        <f t="shared" si="33"/>
        <v>#DIV/0!</v>
      </c>
    </row>
    <row r="2176" customHeight="1" spans="4:4">
      <c r="D2176" s="7" t="e">
        <f t="shared" si="33"/>
        <v>#DIV/0!</v>
      </c>
    </row>
    <row r="2177" customHeight="1" spans="4:4">
      <c r="D2177" s="7" t="e">
        <f t="shared" si="33"/>
        <v>#DIV/0!</v>
      </c>
    </row>
    <row r="2178" customHeight="1" spans="4:4">
      <c r="D2178" s="7" t="e">
        <f t="shared" si="33"/>
        <v>#DIV/0!</v>
      </c>
    </row>
    <row r="2179" customHeight="1" spans="4:4">
      <c r="D2179" s="7" t="e">
        <f t="shared" si="33"/>
        <v>#DIV/0!</v>
      </c>
    </row>
    <row r="2180" customHeight="1" spans="4:4">
      <c r="D2180" s="7" t="e">
        <f t="shared" ref="D2180:D2243" si="34">+B2180/C2180</f>
        <v>#DIV/0!</v>
      </c>
    </row>
    <row r="2181" customHeight="1" spans="4:4">
      <c r="D2181" s="7" t="e">
        <f t="shared" si="34"/>
        <v>#DIV/0!</v>
      </c>
    </row>
    <row r="2182" customHeight="1" spans="4:4">
      <c r="D2182" s="7" t="e">
        <f t="shared" si="34"/>
        <v>#DIV/0!</v>
      </c>
    </row>
    <row r="2183" customHeight="1" spans="4:4">
      <c r="D2183" s="7" t="e">
        <f t="shared" si="34"/>
        <v>#DIV/0!</v>
      </c>
    </row>
    <row r="2184" customHeight="1" spans="4:4">
      <c r="D2184" s="7" t="e">
        <f t="shared" si="34"/>
        <v>#DIV/0!</v>
      </c>
    </row>
    <row r="2185" customHeight="1" spans="4:4">
      <c r="D2185" s="7" t="e">
        <f t="shared" si="34"/>
        <v>#DIV/0!</v>
      </c>
    </row>
    <row r="2186" customHeight="1" spans="4:4">
      <c r="D2186" s="7" t="e">
        <f t="shared" si="34"/>
        <v>#DIV/0!</v>
      </c>
    </row>
    <row r="2187" customHeight="1" spans="4:4">
      <c r="D2187" s="7" t="e">
        <f t="shared" si="34"/>
        <v>#DIV/0!</v>
      </c>
    </row>
    <row r="2188" customHeight="1" spans="4:4">
      <c r="D2188" s="7" t="e">
        <f t="shared" si="34"/>
        <v>#DIV/0!</v>
      </c>
    </row>
    <row r="2189" customHeight="1" spans="4:4">
      <c r="D2189" s="7" t="e">
        <f t="shared" si="34"/>
        <v>#DIV/0!</v>
      </c>
    </row>
    <row r="2190" customHeight="1" spans="4:4">
      <c r="D2190" s="7" t="e">
        <f t="shared" si="34"/>
        <v>#DIV/0!</v>
      </c>
    </row>
    <row r="2191" customHeight="1" spans="4:4">
      <c r="D2191" s="7" t="e">
        <f t="shared" si="34"/>
        <v>#DIV/0!</v>
      </c>
    </row>
    <row r="2192" customHeight="1" spans="4:4">
      <c r="D2192" s="7" t="e">
        <f t="shared" si="34"/>
        <v>#DIV/0!</v>
      </c>
    </row>
    <row r="2193" customHeight="1" spans="4:4">
      <c r="D2193" s="7" t="e">
        <f t="shared" si="34"/>
        <v>#DIV/0!</v>
      </c>
    </row>
    <row r="2194" customHeight="1" spans="4:4">
      <c r="D2194" s="7" t="e">
        <f t="shared" si="34"/>
        <v>#DIV/0!</v>
      </c>
    </row>
    <row r="2195" customHeight="1" spans="4:4">
      <c r="D2195" s="7" t="e">
        <f t="shared" si="34"/>
        <v>#DIV/0!</v>
      </c>
    </row>
    <row r="2196" customHeight="1" spans="4:4">
      <c r="D2196" s="7" t="e">
        <f t="shared" si="34"/>
        <v>#DIV/0!</v>
      </c>
    </row>
    <row r="2197" customHeight="1" spans="4:4">
      <c r="D2197" s="7" t="e">
        <f t="shared" si="34"/>
        <v>#DIV/0!</v>
      </c>
    </row>
    <row r="2198" customHeight="1" spans="4:4">
      <c r="D2198" s="7" t="e">
        <f t="shared" si="34"/>
        <v>#DIV/0!</v>
      </c>
    </row>
    <row r="2199" customHeight="1" spans="4:4">
      <c r="D2199" s="7" t="e">
        <f t="shared" si="34"/>
        <v>#DIV/0!</v>
      </c>
    </row>
    <row r="2200" customHeight="1" spans="4:4">
      <c r="D2200" s="7" t="e">
        <f t="shared" si="34"/>
        <v>#DIV/0!</v>
      </c>
    </row>
    <row r="2201" customHeight="1" spans="4:4">
      <c r="D2201" s="7" t="e">
        <f t="shared" si="34"/>
        <v>#DIV/0!</v>
      </c>
    </row>
    <row r="2202" customHeight="1" spans="4:4">
      <c r="D2202" s="7" t="e">
        <f t="shared" si="34"/>
        <v>#DIV/0!</v>
      </c>
    </row>
    <row r="2203" customHeight="1" spans="4:4">
      <c r="D2203" s="7" t="e">
        <f t="shared" si="34"/>
        <v>#DIV/0!</v>
      </c>
    </row>
    <row r="2204" customHeight="1" spans="4:4">
      <c r="D2204" s="7" t="e">
        <f t="shared" si="34"/>
        <v>#DIV/0!</v>
      </c>
    </row>
    <row r="2205" customHeight="1" spans="4:4">
      <c r="D2205" s="7" t="e">
        <f t="shared" si="34"/>
        <v>#DIV/0!</v>
      </c>
    </row>
    <row r="2206" customHeight="1" spans="4:4">
      <c r="D2206" s="7" t="e">
        <f t="shared" si="34"/>
        <v>#DIV/0!</v>
      </c>
    </row>
    <row r="2207" customHeight="1" spans="4:4">
      <c r="D2207" s="7" t="e">
        <f t="shared" si="34"/>
        <v>#DIV/0!</v>
      </c>
    </row>
    <row r="2208" customHeight="1" spans="4:4">
      <c r="D2208" s="7" t="e">
        <f t="shared" si="34"/>
        <v>#DIV/0!</v>
      </c>
    </row>
    <row r="2209" customHeight="1" spans="4:4">
      <c r="D2209" s="7" t="e">
        <f t="shared" si="34"/>
        <v>#DIV/0!</v>
      </c>
    </row>
    <row r="2210" customHeight="1" spans="4:4">
      <c r="D2210" s="7" t="e">
        <f t="shared" si="34"/>
        <v>#DIV/0!</v>
      </c>
    </row>
    <row r="2211" customHeight="1" spans="4:4">
      <c r="D2211" s="7" t="e">
        <f t="shared" si="34"/>
        <v>#DIV/0!</v>
      </c>
    </row>
    <row r="2212" customHeight="1" spans="4:4">
      <c r="D2212" s="7" t="e">
        <f t="shared" si="34"/>
        <v>#DIV/0!</v>
      </c>
    </row>
    <row r="2213" customHeight="1" spans="4:4">
      <c r="D2213" s="7" t="e">
        <f t="shared" si="34"/>
        <v>#DIV/0!</v>
      </c>
    </row>
    <row r="2214" customHeight="1" spans="4:4">
      <c r="D2214" s="7" t="e">
        <f t="shared" si="34"/>
        <v>#DIV/0!</v>
      </c>
    </row>
    <row r="2215" customHeight="1" spans="4:4">
      <c r="D2215" s="7" t="e">
        <f t="shared" si="34"/>
        <v>#DIV/0!</v>
      </c>
    </row>
    <row r="2216" customHeight="1" spans="4:4">
      <c r="D2216" s="7" t="e">
        <f t="shared" si="34"/>
        <v>#DIV/0!</v>
      </c>
    </row>
    <row r="2217" customHeight="1" spans="4:4">
      <c r="D2217" s="7" t="e">
        <f t="shared" si="34"/>
        <v>#DIV/0!</v>
      </c>
    </row>
    <row r="2218" customHeight="1" spans="4:4">
      <c r="D2218" s="7" t="e">
        <f t="shared" si="34"/>
        <v>#DIV/0!</v>
      </c>
    </row>
    <row r="2219" customHeight="1" spans="4:4">
      <c r="D2219" s="7" t="e">
        <f t="shared" si="34"/>
        <v>#DIV/0!</v>
      </c>
    </row>
    <row r="2220" customHeight="1" spans="4:4">
      <c r="D2220" s="7" t="e">
        <f t="shared" si="34"/>
        <v>#DIV/0!</v>
      </c>
    </row>
    <row r="2221" customHeight="1" spans="4:4">
      <c r="D2221" s="7" t="e">
        <f t="shared" si="34"/>
        <v>#DIV/0!</v>
      </c>
    </row>
    <row r="2222" customHeight="1" spans="4:4">
      <c r="D2222" s="7" t="e">
        <f t="shared" si="34"/>
        <v>#DIV/0!</v>
      </c>
    </row>
    <row r="2223" customHeight="1" spans="4:4">
      <c r="D2223" s="7" t="e">
        <f t="shared" si="34"/>
        <v>#DIV/0!</v>
      </c>
    </row>
    <row r="2224" customHeight="1" spans="4:4">
      <c r="D2224" s="7" t="e">
        <f t="shared" si="34"/>
        <v>#DIV/0!</v>
      </c>
    </row>
    <row r="2225" customHeight="1" spans="4:4">
      <c r="D2225" s="7" t="e">
        <f t="shared" si="34"/>
        <v>#DIV/0!</v>
      </c>
    </row>
    <row r="2226" customHeight="1" spans="4:4">
      <c r="D2226" s="7" t="e">
        <f t="shared" si="34"/>
        <v>#DIV/0!</v>
      </c>
    </row>
    <row r="2227" customHeight="1" spans="4:4">
      <c r="D2227" s="7" t="e">
        <f t="shared" si="34"/>
        <v>#DIV/0!</v>
      </c>
    </row>
    <row r="2228" customHeight="1" spans="4:4">
      <c r="D2228" s="7" t="e">
        <f t="shared" si="34"/>
        <v>#DIV/0!</v>
      </c>
    </row>
    <row r="2229" customHeight="1" spans="4:4">
      <c r="D2229" s="7" t="e">
        <f t="shared" si="34"/>
        <v>#DIV/0!</v>
      </c>
    </row>
    <row r="2230" customHeight="1" spans="4:4">
      <c r="D2230" s="7" t="e">
        <f t="shared" si="34"/>
        <v>#DIV/0!</v>
      </c>
    </row>
    <row r="2231" customHeight="1" spans="4:4">
      <c r="D2231" s="7" t="e">
        <f t="shared" si="34"/>
        <v>#DIV/0!</v>
      </c>
    </row>
    <row r="2232" customHeight="1" spans="4:4">
      <c r="D2232" s="7" t="e">
        <f t="shared" si="34"/>
        <v>#DIV/0!</v>
      </c>
    </row>
    <row r="2233" customHeight="1" spans="4:4">
      <c r="D2233" s="7" t="e">
        <f t="shared" si="34"/>
        <v>#DIV/0!</v>
      </c>
    </row>
    <row r="2234" customHeight="1" spans="4:4">
      <c r="D2234" s="7" t="e">
        <f t="shared" si="34"/>
        <v>#DIV/0!</v>
      </c>
    </row>
    <row r="2235" customHeight="1" spans="4:4">
      <c r="D2235" s="7" t="e">
        <f t="shared" si="34"/>
        <v>#DIV/0!</v>
      </c>
    </row>
    <row r="2236" customHeight="1" spans="4:4">
      <c r="D2236" s="7" t="e">
        <f t="shared" si="34"/>
        <v>#DIV/0!</v>
      </c>
    </row>
    <row r="2237" customHeight="1" spans="4:4">
      <c r="D2237" s="7" t="e">
        <f t="shared" si="34"/>
        <v>#DIV/0!</v>
      </c>
    </row>
    <row r="2238" customHeight="1" spans="4:4">
      <c r="D2238" s="7" t="e">
        <f t="shared" si="34"/>
        <v>#DIV/0!</v>
      </c>
    </row>
    <row r="2239" customHeight="1" spans="4:4">
      <c r="D2239" s="7" t="e">
        <f t="shared" si="34"/>
        <v>#DIV/0!</v>
      </c>
    </row>
    <row r="2240" customHeight="1" spans="4:4">
      <c r="D2240" s="7" t="e">
        <f t="shared" si="34"/>
        <v>#DIV/0!</v>
      </c>
    </row>
    <row r="2241" customHeight="1" spans="4:4">
      <c r="D2241" s="7" t="e">
        <f t="shared" si="34"/>
        <v>#DIV/0!</v>
      </c>
    </row>
    <row r="2242" customHeight="1" spans="4:4">
      <c r="D2242" s="7" t="e">
        <f t="shared" si="34"/>
        <v>#DIV/0!</v>
      </c>
    </row>
    <row r="2243" customHeight="1" spans="4:4">
      <c r="D2243" s="7" t="e">
        <f t="shared" si="34"/>
        <v>#DIV/0!</v>
      </c>
    </row>
    <row r="2244" customHeight="1" spans="4:4">
      <c r="D2244" s="7" t="e">
        <f t="shared" ref="D2244:D2307" si="35">+B2244/C2244</f>
        <v>#DIV/0!</v>
      </c>
    </row>
    <row r="2245" customHeight="1" spans="4:4">
      <c r="D2245" s="7" t="e">
        <f t="shared" si="35"/>
        <v>#DIV/0!</v>
      </c>
    </row>
    <row r="2246" customHeight="1" spans="4:4">
      <c r="D2246" s="7" t="e">
        <f t="shared" si="35"/>
        <v>#DIV/0!</v>
      </c>
    </row>
    <row r="2247" customHeight="1" spans="4:4">
      <c r="D2247" s="7" t="e">
        <f t="shared" si="35"/>
        <v>#DIV/0!</v>
      </c>
    </row>
    <row r="2248" customHeight="1" spans="4:4">
      <c r="D2248" s="7" t="e">
        <f t="shared" si="35"/>
        <v>#DIV/0!</v>
      </c>
    </row>
    <row r="2249" customHeight="1" spans="4:4">
      <c r="D2249" s="7" t="e">
        <f t="shared" si="35"/>
        <v>#DIV/0!</v>
      </c>
    </row>
    <row r="2250" customHeight="1" spans="4:4">
      <c r="D2250" s="7" t="e">
        <f t="shared" si="35"/>
        <v>#DIV/0!</v>
      </c>
    </row>
    <row r="2251" customHeight="1" spans="4:4">
      <c r="D2251" s="7" t="e">
        <f t="shared" si="35"/>
        <v>#DIV/0!</v>
      </c>
    </row>
    <row r="2252" customHeight="1" spans="4:4">
      <c r="D2252" s="7" t="e">
        <f t="shared" si="35"/>
        <v>#DIV/0!</v>
      </c>
    </row>
    <row r="2253" customHeight="1" spans="4:4">
      <c r="D2253" s="7" t="e">
        <f t="shared" si="35"/>
        <v>#DIV/0!</v>
      </c>
    </row>
    <row r="2254" customHeight="1" spans="4:4">
      <c r="D2254" s="7" t="e">
        <f t="shared" si="35"/>
        <v>#DIV/0!</v>
      </c>
    </row>
    <row r="2255" customHeight="1" spans="4:4">
      <c r="D2255" s="7" t="e">
        <f t="shared" si="35"/>
        <v>#DIV/0!</v>
      </c>
    </row>
    <row r="2256" customHeight="1" spans="4:4">
      <c r="D2256" s="7" t="e">
        <f t="shared" si="35"/>
        <v>#DIV/0!</v>
      </c>
    </row>
    <row r="2257" customHeight="1" spans="4:4">
      <c r="D2257" s="7" t="e">
        <f t="shared" si="35"/>
        <v>#DIV/0!</v>
      </c>
    </row>
    <row r="2258" customHeight="1" spans="4:4">
      <c r="D2258" s="7" t="e">
        <f t="shared" si="35"/>
        <v>#DIV/0!</v>
      </c>
    </row>
    <row r="2259" customHeight="1" spans="4:4">
      <c r="D2259" s="7" t="e">
        <f t="shared" si="35"/>
        <v>#DIV/0!</v>
      </c>
    </row>
    <row r="2260" customHeight="1" spans="4:4">
      <c r="D2260" s="7" t="e">
        <f t="shared" si="35"/>
        <v>#DIV/0!</v>
      </c>
    </row>
    <row r="2261" customHeight="1" spans="4:4">
      <c r="D2261" s="7" t="e">
        <f t="shared" si="35"/>
        <v>#DIV/0!</v>
      </c>
    </row>
    <row r="2262" customHeight="1" spans="4:4">
      <c r="D2262" s="7" t="e">
        <f t="shared" si="35"/>
        <v>#DIV/0!</v>
      </c>
    </row>
    <row r="2263" customHeight="1" spans="4:4">
      <c r="D2263" s="7" t="e">
        <f t="shared" si="35"/>
        <v>#DIV/0!</v>
      </c>
    </row>
    <row r="2264" customHeight="1" spans="4:4">
      <c r="D2264" s="7" t="e">
        <f t="shared" si="35"/>
        <v>#DIV/0!</v>
      </c>
    </row>
    <row r="2265" customHeight="1" spans="4:4">
      <c r="D2265" s="7" t="e">
        <f t="shared" si="35"/>
        <v>#DIV/0!</v>
      </c>
    </row>
    <row r="2266" customHeight="1" spans="4:4">
      <c r="D2266" s="7" t="e">
        <f t="shared" si="35"/>
        <v>#DIV/0!</v>
      </c>
    </row>
    <row r="2267" customHeight="1" spans="4:4">
      <c r="D2267" s="7" t="e">
        <f t="shared" si="35"/>
        <v>#DIV/0!</v>
      </c>
    </row>
    <row r="2268" customHeight="1" spans="4:4">
      <c r="D2268" s="7" t="e">
        <f t="shared" si="35"/>
        <v>#DIV/0!</v>
      </c>
    </row>
    <row r="2269" customHeight="1" spans="4:4">
      <c r="D2269" s="7" t="e">
        <f t="shared" si="35"/>
        <v>#DIV/0!</v>
      </c>
    </row>
    <row r="2270" customHeight="1" spans="4:4">
      <c r="D2270" s="7" t="e">
        <f t="shared" si="35"/>
        <v>#DIV/0!</v>
      </c>
    </row>
    <row r="2271" customHeight="1" spans="4:4">
      <c r="D2271" s="7" t="e">
        <f t="shared" si="35"/>
        <v>#DIV/0!</v>
      </c>
    </row>
    <row r="2272" customHeight="1" spans="4:4">
      <c r="D2272" s="7" t="e">
        <f t="shared" si="35"/>
        <v>#DIV/0!</v>
      </c>
    </row>
    <row r="2273" customHeight="1" spans="4:4">
      <c r="D2273" s="7" t="e">
        <f t="shared" si="35"/>
        <v>#DIV/0!</v>
      </c>
    </row>
    <row r="2274" customHeight="1" spans="4:4">
      <c r="D2274" s="7" t="e">
        <f t="shared" si="35"/>
        <v>#DIV/0!</v>
      </c>
    </row>
    <row r="2275" customHeight="1" spans="4:4">
      <c r="D2275" s="7" t="e">
        <f t="shared" si="35"/>
        <v>#DIV/0!</v>
      </c>
    </row>
    <row r="2276" customHeight="1" spans="4:4">
      <c r="D2276" s="7" t="e">
        <f t="shared" si="35"/>
        <v>#DIV/0!</v>
      </c>
    </row>
    <row r="2277" customHeight="1" spans="4:4">
      <c r="D2277" s="7" t="e">
        <f t="shared" si="35"/>
        <v>#DIV/0!</v>
      </c>
    </row>
    <row r="2278" customHeight="1" spans="4:4">
      <c r="D2278" s="7" t="e">
        <f t="shared" si="35"/>
        <v>#DIV/0!</v>
      </c>
    </row>
    <row r="2279" customHeight="1" spans="4:4">
      <c r="D2279" s="7" t="e">
        <f t="shared" si="35"/>
        <v>#DIV/0!</v>
      </c>
    </row>
    <row r="2280" customHeight="1" spans="4:4">
      <c r="D2280" s="7" t="e">
        <f t="shared" si="35"/>
        <v>#DIV/0!</v>
      </c>
    </row>
    <row r="2281" customHeight="1" spans="4:4">
      <c r="D2281" s="7" t="e">
        <f t="shared" si="35"/>
        <v>#DIV/0!</v>
      </c>
    </row>
    <row r="2282" customHeight="1" spans="4:4">
      <c r="D2282" s="7" t="e">
        <f t="shared" si="35"/>
        <v>#DIV/0!</v>
      </c>
    </row>
    <row r="2283" customHeight="1" spans="4:4">
      <c r="D2283" s="7" t="e">
        <f t="shared" si="35"/>
        <v>#DIV/0!</v>
      </c>
    </row>
    <row r="2284" customHeight="1" spans="4:4">
      <c r="D2284" s="7" t="e">
        <f t="shared" si="35"/>
        <v>#DIV/0!</v>
      </c>
    </row>
    <row r="2285" customHeight="1" spans="4:4">
      <c r="D2285" s="7" t="e">
        <f t="shared" si="35"/>
        <v>#DIV/0!</v>
      </c>
    </row>
    <row r="2286" customHeight="1" spans="4:4">
      <c r="D2286" s="7" t="e">
        <f t="shared" si="35"/>
        <v>#DIV/0!</v>
      </c>
    </row>
    <row r="2287" customHeight="1" spans="4:4">
      <c r="D2287" s="7" t="e">
        <f t="shared" si="35"/>
        <v>#DIV/0!</v>
      </c>
    </row>
    <row r="2288" customHeight="1" spans="4:4">
      <c r="D2288" s="7" t="e">
        <f t="shared" si="35"/>
        <v>#DIV/0!</v>
      </c>
    </row>
    <row r="2289" customHeight="1" spans="4:4">
      <c r="D2289" s="7" t="e">
        <f t="shared" si="35"/>
        <v>#DIV/0!</v>
      </c>
    </row>
    <row r="2290" customHeight="1" spans="4:4">
      <c r="D2290" s="7" t="e">
        <f t="shared" si="35"/>
        <v>#DIV/0!</v>
      </c>
    </row>
    <row r="2291" customHeight="1" spans="4:4">
      <c r="D2291" s="7" t="e">
        <f t="shared" si="35"/>
        <v>#DIV/0!</v>
      </c>
    </row>
    <row r="2292" customHeight="1" spans="4:4">
      <c r="D2292" s="7" t="e">
        <f t="shared" si="35"/>
        <v>#DIV/0!</v>
      </c>
    </row>
    <row r="2293" customHeight="1" spans="4:4">
      <c r="D2293" s="7" t="e">
        <f t="shared" si="35"/>
        <v>#DIV/0!</v>
      </c>
    </row>
    <row r="2294" customHeight="1" spans="4:4">
      <c r="D2294" s="7" t="e">
        <f t="shared" si="35"/>
        <v>#DIV/0!</v>
      </c>
    </row>
    <row r="2295" customHeight="1" spans="4:4">
      <c r="D2295" s="7" t="e">
        <f t="shared" si="35"/>
        <v>#DIV/0!</v>
      </c>
    </row>
    <row r="2296" customHeight="1" spans="4:4">
      <c r="D2296" s="7" t="e">
        <f t="shared" si="35"/>
        <v>#DIV/0!</v>
      </c>
    </row>
    <row r="2297" customHeight="1" spans="4:4">
      <c r="D2297" s="7" t="e">
        <f t="shared" si="35"/>
        <v>#DIV/0!</v>
      </c>
    </row>
    <row r="2298" customHeight="1" spans="4:4">
      <c r="D2298" s="7" t="e">
        <f t="shared" si="35"/>
        <v>#DIV/0!</v>
      </c>
    </row>
    <row r="2299" customHeight="1" spans="4:4">
      <c r="D2299" s="7" t="e">
        <f t="shared" si="35"/>
        <v>#DIV/0!</v>
      </c>
    </row>
    <row r="2300" customHeight="1" spans="4:4">
      <c r="D2300" s="7" t="e">
        <f t="shared" si="35"/>
        <v>#DIV/0!</v>
      </c>
    </row>
    <row r="2301" customHeight="1" spans="4:4">
      <c r="D2301" s="7" t="e">
        <f t="shared" si="35"/>
        <v>#DIV/0!</v>
      </c>
    </row>
    <row r="2302" customHeight="1" spans="4:4">
      <c r="D2302" s="7" t="e">
        <f t="shared" si="35"/>
        <v>#DIV/0!</v>
      </c>
    </row>
    <row r="2303" customHeight="1" spans="4:4">
      <c r="D2303" s="7" t="e">
        <f t="shared" si="35"/>
        <v>#DIV/0!</v>
      </c>
    </row>
    <row r="2304" customHeight="1" spans="4:4">
      <c r="D2304" s="7" t="e">
        <f t="shared" si="35"/>
        <v>#DIV/0!</v>
      </c>
    </row>
    <row r="2305" customHeight="1" spans="4:4">
      <c r="D2305" s="7" t="e">
        <f t="shared" si="35"/>
        <v>#DIV/0!</v>
      </c>
    </row>
    <row r="2306" customHeight="1" spans="4:4">
      <c r="D2306" s="7" t="e">
        <f t="shared" si="35"/>
        <v>#DIV/0!</v>
      </c>
    </row>
    <row r="2307" customHeight="1" spans="4:4">
      <c r="D2307" s="7" t="e">
        <f t="shared" si="35"/>
        <v>#DIV/0!</v>
      </c>
    </row>
    <row r="2308" customHeight="1" spans="4:4">
      <c r="D2308" s="7" t="e">
        <f t="shared" ref="D2308:D2371" si="36">+B2308/C2308</f>
        <v>#DIV/0!</v>
      </c>
    </row>
    <row r="2309" customHeight="1" spans="4:4">
      <c r="D2309" s="7" t="e">
        <f t="shared" si="36"/>
        <v>#DIV/0!</v>
      </c>
    </row>
    <row r="2310" customHeight="1" spans="4:4">
      <c r="D2310" s="7" t="e">
        <f t="shared" si="36"/>
        <v>#DIV/0!</v>
      </c>
    </row>
    <row r="2311" customHeight="1" spans="4:4">
      <c r="D2311" s="7" t="e">
        <f t="shared" si="36"/>
        <v>#DIV/0!</v>
      </c>
    </row>
    <row r="2312" customHeight="1" spans="4:4">
      <c r="D2312" s="7" t="e">
        <f t="shared" si="36"/>
        <v>#DIV/0!</v>
      </c>
    </row>
    <row r="2313" customHeight="1" spans="4:4">
      <c r="D2313" s="7" t="e">
        <f t="shared" si="36"/>
        <v>#DIV/0!</v>
      </c>
    </row>
    <row r="2314" customHeight="1" spans="4:4">
      <c r="D2314" s="7" t="e">
        <f t="shared" si="36"/>
        <v>#DIV/0!</v>
      </c>
    </row>
    <row r="2315" customHeight="1" spans="4:4">
      <c r="D2315" s="7" t="e">
        <f t="shared" si="36"/>
        <v>#DIV/0!</v>
      </c>
    </row>
    <row r="2316" customHeight="1" spans="4:4">
      <c r="D2316" s="7" t="e">
        <f t="shared" si="36"/>
        <v>#DIV/0!</v>
      </c>
    </row>
    <row r="2317" customHeight="1" spans="4:4">
      <c r="D2317" s="7" t="e">
        <f t="shared" si="36"/>
        <v>#DIV/0!</v>
      </c>
    </row>
    <row r="2318" customHeight="1" spans="4:4">
      <c r="D2318" s="7" t="e">
        <f t="shared" si="36"/>
        <v>#DIV/0!</v>
      </c>
    </row>
    <row r="2319" customHeight="1" spans="4:4">
      <c r="D2319" s="7" t="e">
        <f t="shared" si="36"/>
        <v>#DIV/0!</v>
      </c>
    </row>
    <row r="2320" customHeight="1" spans="4:4">
      <c r="D2320" s="7" t="e">
        <f t="shared" si="36"/>
        <v>#DIV/0!</v>
      </c>
    </row>
    <row r="2321" customHeight="1" spans="4:4">
      <c r="D2321" s="7" t="e">
        <f t="shared" si="36"/>
        <v>#DIV/0!</v>
      </c>
    </row>
    <row r="2322" customHeight="1" spans="4:4">
      <c r="D2322" s="7" t="e">
        <f t="shared" si="36"/>
        <v>#DIV/0!</v>
      </c>
    </row>
    <row r="2323" customHeight="1" spans="4:4">
      <c r="D2323" s="7" t="e">
        <f t="shared" si="36"/>
        <v>#DIV/0!</v>
      </c>
    </row>
    <row r="2324" customHeight="1" spans="4:4">
      <c r="D2324" s="7" t="e">
        <f t="shared" si="36"/>
        <v>#DIV/0!</v>
      </c>
    </row>
    <row r="2325" customHeight="1" spans="4:4">
      <c r="D2325" s="7" t="e">
        <f t="shared" si="36"/>
        <v>#DIV/0!</v>
      </c>
    </row>
    <row r="2326" customHeight="1" spans="4:4">
      <c r="D2326" s="7" t="e">
        <f t="shared" si="36"/>
        <v>#DIV/0!</v>
      </c>
    </row>
    <row r="2327" customHeight="1" spans="4:4">
      <c r="D2327" s="7" t="e">
        <f t="shared" si="36"/>
        <v>#DIV/0!</v>
      </c>
    </row>
    <row r="2328" customHeight="1" spans="4:4">
      <c r="D2328" s="7" t="e">
        <f t="shared" si="36"/>
        <v>#DIV/0!</v>
      </c>
    </row>
    <row r="2329" customHeight="1" spans="4:4">
      <c r="D2329" s="7" t="e">
        <f t="shared" si="36"/>
        <v>#DIV/0!</v>
      </c>
    </row>
    <row r="2330" customHeight="1" spans="4:4">
      <c r="D2330" s="7" t="e">
        <f t="shared" si="36"/>
        <v>#DIV/0!</v>
      </c>
    </row>
    <row r="2331" customHeight="1" spans="4:4">
      <c r="D2331" s="7" t="e">
        <f t="shared" si="36"/>
        <v>#DIV/0!</v>
      </c>
    </row>
    <row r="2332" customHeight="1" spans="4:4">
      <c r="D2332" s="7" t="e">
        <f t="shared" si="36"/>
        <v>#DIV/0!</v>
      </c>
    </row>
    <row r="2333" customHeight="1" spans="4:4">
      <c r="D2333" s="7" t="e">
        <f t="shared" si="36"/>
        <v>#DIV/0!</v>
      </c>
    </row>
    <row r="2334" customHeight="1" spans="4:4">
      <c r="D2334" s="7" t="e">
        <f t="shared" si="36"/>
        <v>#DIV/0!</v>
      </c>
    </row>
    <row r="2335" customHeight="1" spans="4:4">
      <c r="D2335" s="7" t="e">
        <f t="shared" si="36"/>
        <v>#DIV/0!</v>
      </c>
    </row>
    <row r="2336" customHeight="1" spans="4:4">
      <c r="D2336" s="7" t="e">
        <f t="shared" si="36"/>
        <v>#DIV/0!</v>
      </c>
    </row>
    <row r="2337" customHeight="1" spans="4:4">
      <c r="D2337" s="7" t="e">
        <f t="shared" si="36"/>
        <v>#DIV/0!</v>
      </c>
    </row>
    <row r="2338" customHeight="1" spans="4:4">
      <c r="D2338" s="7" t="e">
        <f t="shared" si="36"/>
        <v>#DIV/0!</v>
      </c>
    </row>
    <row r="2339" customHeight="1" spans="4:4">
      <c r="D2339" s="7" t="e">
        <f t="shared" si="36"/>
        <v>#DIV/0!</v>
      </c>
    </row>
    <row r="2340" customHeight="1" spans="4:4">
      <c r="D2340" s="7" t="e">
        <f t="shared" si="36"/>
        <v>#DIV/0!</v>
      </c>
    </row>
    <row r="2341" customHeight="1" spans="4:4">
      <c r="D2341" s="7" t="e">
        <f t="shared" si="36"/>
        <v>#DIV/0!</v>
      </c>
    </row>
    <row r="2342" customHeight="1" spans="4:4">
      <c r="D2342" s="7" t="e">
        <f t="shared" si="36"/>
        <v>#DIV/0!</v>
      </c>
    </row>
    <row r="2343" customHeight="1" spans="4:4">
      <c r="D2343" s="7" t="e">
        <f t="shared" si="36"/>
        <v>#DIV/0!</v>
      </c>
    </row>
    <row r="2344" customHeight="1" spans="4:4">
      <c r="D2344" s="7" t="e">
        <f t="shared" si="36"/>
        <v>#DIV/0!</v>
      </c>
    </row>
    <row r="2345" customHeight="1" spans="4:4">
      <c r="D2345" s="7" t="e">
        <f t="shared" si="36"/>
        <v>#DIV/0!</v>
      </c>
    </row>
    <row r="2346" customHeight="1" spans="4:4">
      <c r="D2346" s="7" t="e">
        <f t="shared" si="36"/>
        <v>#DIV/0!</v>
      </c>
    </row>
    <row r="2347" customHeight="1" spans="4:4">
      <c r="D2347" s="7" t="e">
        <f t="shared" si="36"/>
        <v>#DIV/0!</v>
      </c>
    </row>
    <row r="2348" customHeight="1" spans="4:4">
      <c r="D2348" s="7" t="e">
        <f t="shared" si="36"/>
        <v>#DIV/0!</v>
      </c>
    </row>
    <row r="2349" customHeight="1" spans="4:4">
      <c r="D2349" s="7" t="e">
        <f t="shared" si="36"/>
        <v>#DIV/0!</v>
      </c>
    </row>
    <row r="2350" customHeight="1" spans="4:4">
      <c r="D2350" s="7" t="e">
        <f t="shared" si="36"/>
        <v>#DIV/0!</v>
      </c>
    </row>
    <row r="2351" customHeight="1" spans="4:4">
      <c r="D2351" s="7" t="e">
        <f t="shared" si="36"/>
        <v>#DIV/0!</v>
      </c>
    </row>
    <row r="2352" customHeight="1" spans="4:4">
      <c r="D2352" s="7" t="e">
        <f t="shared" si="36"/>
        <v>#DIV/0!</v>
      </c>
    </row>
    <row r="2353" customHeight="1" spans="4:4">
      <c r="D2353" s="7" t="e">
        <f t="shared" si="36"/>
        <v>#DIV/0!</v>
      </c>
    </row>
    <row r="2354" customHeight="1" spans="4:4">
      <c r="D2354" s="7" t="e">
        <f t="shared" si="36"/>
        <v>#DIV/0!</v>
      </c>
    </row>
    <row r="2355" customHeight="1" spans="4:4">
      <c r="D2355" s="7" t="e">
        <f t="shared" si="36"/>
        <v>#DIV/0!</v>
      </c>
    </row>
    <row r="2356" customHeight="1" spans="4:4">
      <c r="D2356" s="7" t="e">
        <f t="shared" si="36"/>
        <v>#DIV/0!</v>
      </c>
    </row>
    <row r="2357" customHeight="1" spans="4:4">
      <c r="D2357" s="7" t="e">
        <f t="shared" si="36"/>
        <v>#DIV/0!</v>
      </c>
    </row>
    <row r="2358" customHeight="1" spans="4:4">
      <c r="D2358" s="7" t="e">
        <f t="shared" si="36"/>
        <v>#DIV/0!</v>
      </c>
    </row>
    <row r="2359" customHeight="1" spans="4:4">
      <c r="D2359" s="7" t="e">
        <f t="shared" si="36"/>
        <v>#DIV/0!</v>
      </c>
    </row>
    <row r="2360" customHeight="1" spans="4:4">
      <c r="D2360" s="7" t="e">
        <f t="shared" si="36"/>
        <v>#DIV/0!</v>
      </c>
    </row>
    <row r="2361" customHeight="1" spans="4:4">
      <c r="D2361" s="7" t="e">
        <f t="shared" si="36"/>
        <v>#DIV/0!</v>
      </c>
    </row>
    <row r="2362" customHeight="1" spans="4:4">
      <c r="D2362" s="7" t="e">
        <f t="shared" si="36"/>
        <v>#DIV/0!</v>
      </c>
    </row>
    <row r="2363" customHeight="1" spans="4:4">
      <c r="D2363" s="7" t="e">
        <f t="shared" si="36"/>
        <v>#DIV/0!</v>
      </c>
    </row>
    <row r="2364" customHeight="1" spans="4:4">
      <c r="D2364" s="7" t="e">
        <f t="shared" si="36"/>
        <v>#DIV/0!</v>
      </c>
    </row>
    <row r="2365" customHeight="1" spans="4:4">
      <c r="D2365" s="7" t="e">
        <f t="shared" si="36"/>
        <v>#DIV/0!</v>
      </c>
    </row>
    <row r="2366" customHeight="1" spans="4:4">
      <c r="D2366" s="7" t="e">
        <f t="shared" si="36"/>
        <v>#DIV/0!</v>
      </c>
    </row>
    <row r="2367" customHeight="1" spans="4:4">
      <c r="D2367" s="7" t="e">
        <f t="shared" si="36"/>
        <v>#DIV/0!</v>
      </c>
    </row>
    <row r="2368" customHeight="1" spans="4:4">
      <c r="D2368" s="7" t="e">
        <f t="shared" si="36"/>
        <v>#DIV/0!</v>
      </c>
    </row>
    <row r="2369" customHeight="1" spans="4:4">
      <c r="D2369" s="7" t="e">
        <f t="shared" si="36"/>
        <v>#DIV/0!</v>
      </c>
    </row>
    <row r="2370" customHeight="1" spans="4:4">
      <c r="D2370" s="7" t="e">
        <f t="shared" si="36"/>
        <v>#DIV/0!</v>
      </c>
    </row>
    <row r="2371" customHeight="1" spans="4:4">
      <c r="D2371" s="7" t="e">
        <f t="shared" si="36"/>
        <v>#DIV/0!</v>
      </c>
    </row>
    <row r="2372" customHeight="1" spans="4:4">
      <c r="D2372" s="7" t="e">
        <f t="shared" ref="D2372:D2435" si="37">+B2372/C2372</f>
        <v>#DIV/0!</v>
      </c>
    </row>
    <row r="2373" customHeight="1" spans="4:4">
      <c r="D2373" s="7" t="e">
        <f t="shared" si="37"/>
        <v>#DIV/0!</v>
      </c>
    </row>
    <row r="2374" customHeight="1" spans="4:4">
      <c r="D2374" s="7" t="e">
        <f t="shared" si="37"/>
        <v>#DIV/0!</v>
      </c>
    </row>
    <row r="2375" customHeight="1" spans="4:4">
      <c r="D2375" s="7" t="e">
        <f t="shared" si="37"/>
        <v>#DIV/0!</v>
      </c>
    </row>
    <row r="2376" customHeight="1" spans="4:4">
      <c r="D2376" s="7" t="e">
        <f t="shared" si="37"/>
        <v>#DIV/0!</v>
      </c>
    </row>
    <row r="2377" customHeight="1" spans="4:4">
      <c r="D2377" s="7" t="e">
        <f t="shared" si="37"/>
        <v>#DIV/0!</v>
      </c>
    </row>
    <row r="2378" customHeight="1" spans="4:4">
      <c r="D2378" s="7" t="e">
        <f t="shared" si="37"/>
        <v>#DIV/0!</v>
      </c>
    </row>
    <row r="2379" customHeight="1" spans="4:4">
      <c r="D2379" s="7" t="e">
        <f t="shared" si="37"/>
        <v>#DIV/0!</v>
      </c>
    </row>
    <row r="2380" customHeight="1" spans="4:4">
      <c r="D2380" s="7" t="e">
        <f t="shared" si="37"/>
        <v>#DIV/0!</v>
      </c>
    </row>
    <row r="2381" customHeight="1" spans="4:4">
      <c r="D2381" s="7" t="e">
        <f t="shared" si="37"/>
        <v>#DIV/0!</v>
      </c>
    </row>
    <row r="2382" customHeight="1" spans="4:4">
      <c r="D2382" s="7" t="e">
        <f t="shared" si="37"/>
        <v>#DIV/0!</v>
      </c>
    </row>
    <row r="2383" customHeight="1" spans="4:4">
      <c r="D2383" s="7" t="e">
        <f t="shared" si="37"/>
        <v>#DIV/0!</v>
      </c>
    </row>
    <row r="2384" customHeight="1" spans="4:4">
      <c r="D2384" s="7" t="e">
        <f t="shared" si="37"/>
        <v>#DIV/0!</v>
      </c>
    </row>
    <row r="2385" customHeight="1" spans="4:4">
      <c r="D2385" s="7" t="e">
        <f t="shared" si="37"/>
        <v>#DIV/0!</v>
      </c>
    </row>
    <row r="2386" customHeight="1" spans="4:4">
      <c r="D2386" s="7" t="e">
        <f t="shared" si="37"/>
        <v>#DIV/0!</v>
      </c>
    </row>
    <row r="2387" customHeight="1" spans="4:4">
      <c r="D2387" s="7" t="e">
        <f t="shared" si="37"/>
        <v>#DIV/0!</v>
      </c>
    </row>
    <row r="2388" customHeight="1" spans="4:4">
      <c r="D2388" s="7" t="e">
        <f t="shared" si="37"/>
        <v>#DIV/0!</v>
      </c>
    </row>
    <row r="2389" customHeight="1" spans="4:4">
      <c r="D2389" s="7" t="e">
        <f t="shared" si="37"/>
        <v>#DIV/0!</v>
      </c>
    </row>
    <row r="2390" customHeight="1" spans="4:4">
      <c r="D2390" s="7" t="e">
        <f t="shared" si="37"/>
        <v>#DIV/0!</v>
      </c>
    </row>
    <row r="2391" customHeight="1" spans="4:4">
      <c r="D2391" s="7" t="e">
        <f t="shared" si="37"/>
        <v>#DIV/0!</v>
      </c>
    </row>
    <row r="2392" customHeight="1" spans="4:4">
      <c r="D2392" s="7" t="e">
        <f t="shared" si="37"/>
        <v>#DIV/0!</v>
      </c>
    </row>
    <row r="2393" customHeight="1" spans="4:4">
      <c r="D2393" s="7" t="e">
        <f t="shared" si="37"/>
        <v>#DIV/0!</v>
      </c>
    </row>
    <row r="2394" customHeight="1" spans="4:4">
      <c r="D2394" s="7" t="e">
        <f t="shared" si="37"/>
        <v>#DIV/0!</v>
      </c>
    </row>
    <row r="2395" customHeight="1" spans="4:4">
      <c r="D2395" s="7" t="e">
        <f t="shared" si="37"/>
        <v>#DIV/0!</v>
      </c>
    </row>
    <row r="2396" customHeight="1" spans="4:4">
      <c r="D2396" s="7" t="e">
        <f t="shared" si="37"/>
        <v>#DIV/0!</v>
      </c>
    </row>
    <row r="2397" customHeight="1" spans="4:4">
      <c r="D2397" s="7" t="e">
        <f t="shared" si="37"/>
        <v>#DIV/0!</v>
      </c>
    </row>
    <row r="2398" customHeight="1" spans="4:4">
      <c r="D2398" s="7" t="e">
        <f t="shared" si="37"/>
        <v>#DIV/0!</v>
      </c>
    </row>
    <row r="2399" customHeight="1" spans="4:4">
      <c r="D2399" s="7" t="e">
        <f t="shared" si="37"/>
        <v>#DIV/0!</v>
      </c>
    </row>
    <row r="2400" customHeight="1" spans="4:4">
      <c r="D2400" s="7" t="e">
        <f t="shared" si="37"/>
        <v>#DIV/0!</v>
      </c>
    </row>
    <row r="2401" customHeight="1" spans="4:4">
      <c r="D2401" s="7" t="e">
        <f t="shared" si="37"/>
        <v>#DIV/0!</v>
      </c>
    </row>
    <row r="2402" customHeight="1" spans="4:4">
      <c r="D2402" s="7" t="e">
        <f t="shared" si="37"/>
        <v>#DIV/0!</v>
      </c>
    </row>
    <row r="2403" customHeight="1" spans="4:4">
      <c r="D2403" s="7" t="e">
        <f t="shared" si="37"/>
        <v>#DIV/0!</v>
      </c>
    </row>
    <row r="2404" customHeight="1" spans="4:4">
      <c r="D2404" s="7" t="e">
        <f t="shared" si="37"/>
        <v>#DIV/0!</v>
      </c>
    </row>
    <row r="2405" customHeight="1" spans="4:4">
      <c r="D2405" s="7" t="e">
        <f t="shared" si="37"/>
        <v>#DIV/0!</v>
      </c>
    </row>
    <row r="2406" customHeight="1" spans="4:4">
      <c r="D2406" s="7" t="e">
        <f t="shared" si="37"/>
        <v>#DIV/0!</v>
      </c>
    </row>
    <row r="2407" customHeight="1" spans="4:4">
      <c r="D2407" s="7" t="e">
        <f t="shared" si="37"/>
        <v>#DIV/0!</v>
      </c>
    </row>
    <row r="2408" customHeight="1" spans="4:4">
      <c r="D2408" s="7" t="e">
        <f t="shared" si="37"/>
        <v>#DIV/0!</v>
      </c>
    </row>
    <row r="2409" customHeight="1" spans="4:4">
      <c r="D2409" s="7" t="e">
        <f t="shared" si="37"/>
        <v>#DIV/0!</v>
      </c>
    </row>
    <row r="2410" customHeight="1" spans="4:4">
      <c r="D2410" s="7" t="e">
        <f t="shared" si="37"/>
        <v>#DIV/0!</v>
      </c>
    </row>
    <row r="2411" customHeight="1" spans="4:4">
      <c r="D2411" s="7" t="e">
        <f t="shared" si="37"/>
        <v>#DIV/0!</v>
      </c>
    </row>
    <row r="2412" customHeight="1" spans="4:4">
      <c r="D2412" s="7" t="e">
        <f t="shared" si="37"/>
        <v>#DIV/0!</v>
      </c>
    </row>
    <row r="2413" customHeight="1" spans="4:4">
      <c r="D2413" s="7" t="e">
        <f t="shared" si="37"/>
        <v>#DIV/0!</v>
      </c>
    </row>
    <row r="2414" customHeight="1" spans="4:4">
      <c r="D2414" s="7" t="e">
        <f t="shared" si="37"/>
        <v>#DIV/0!</v>
      </c>
    </row>
    <row r="2415" customHeight="1" spans="4:4">
      <c r="D2415" s="7" t="e">
        <f t="shared" si="37"/>
        <v>#DIV/0!</v>
      </c>
    </row>
    <row r="2416" customHeight="1" spans="4:4">
      <c r="D2416" s="7" t="e">
        <f t="shared" si="37"/>
        <v>#DIV/0!</v>
      </c>
    </row>
    <row r="2417" customHeight="1" spans="4:4">
      <c r="D2417" s="7" t="e">
        <f t="shared" si="37"/>
        <v>#DIV/0!</v>
      </c>
    </row>
    <row r="2418" customHeight="1" spans="4:4">
      <c r="D2418" s="7" t="e">
        <f t="shared" si="37"/>
        <v>#DIV/0!</v>
      </c>
    </row>
    <row r="2419" customHeight="1" spans="4:4">
      <c r="D2419" s="7" t="e">
        <f t="shared" si="37"/>
        <v>#DIV/0!</v>
      </c>
    </row>
    <row r="2420" customHeight="1" spans="4:4">
      <c r="D2420" s="7" t="e">
        <f t="shared" si="37"/>
        <v>#DIV/0!</v>
      </c>
    </row>
    <row r="2421" customHeight="1" spans="4:4">
      <c r="D2421" s="7" t="e">
        <f t="shared" si="37"/>
        <v>#DIV/0!</v>
      </c>
    </row>
    <row r="2422" customHeight="1" spans="4:4">
      <c r="D2422" s="7" t="e">
        <f t="shared" si="37"/>
        <v>#DIV/0!</v>
      </c>
    </row>
    <row r="2423" customHeight="1" spans="4:4">
      <c r="D2423" s="7" t="e">
        <f t="shared" si="37"/>
        <v>#DIV/0!</v>
      </c>
    </row>
    <row r="2424" customHeight="1" spans="4:4">
      <c r="D2424" s="7" t="e">
        <f t="shared" si="37"/>
        <v>#DIV/0!</v>
      </c>
    </row>
    <row r="2425" customHeight="1" spans="4:4">
      <c r="D2425" s="7" t="e">
        <f t="shared" si="37"/>
        <v>#DIV/0!</v>
      </c>
    </row>
    <row r="2426" customHeight="1" spans="4:4">
      <c r="D2426" s="7" t="e">
        <f t="shared" si="37"/>
        <v>#DIV/0!</v>
      </c>
    </row>
    <row r="2427" customHeight="1" spans="4:4">
      <c r="D2427" s="7" t="e">
        <f t="shared" si="37"/>
        <v>#DIV/0!</v>
      </c>
    </row>
    <row r="2428" customHeight="1" spans="4:4">
      <c r="D2428" s="7" t="e">
        <f t="shared" si="37"/>
        <v>#DIV/0!</v>
      </c>
    </row>
    <row r="2429" customHeight="1" spans="4:4">
      <c r="D2429" s="7" t="e">
        <f t="shared" si="37"/>
        <v>#DIV/0!</v>
      </c>
    </row>
    <row r="2430" customHeight="1" spans="4:4">
      <c r="D2430" s="7" t="e">
        <f t="shared" si="37"/>
        <v>#DIV/0!</v>
      </c>
    </row>
    <row r="2431" customHeight="1" spans="4:4">
      <c r="D2431" s="7" t="e">
        <f t="shared" si="37"/>
        <v>#DIV/0!</v>
      </c>
    </row>
    <row r="2432" customHeight="1" spans="4:4">
      <c r="D2432" s="7" t="e">
        <f t="shared" si="37"/>
        <v>#DIV/0!</v>
      </c>
    </row>
    <row r="2433" customHeight="1" spans="4:4">
      <c r="D2433" s="7" t="e">
        <f t="shared" si="37"/>
        <v>#DIV/0!</v>
      </c>
    </row>
    <row r="2434" customHeight="1" spans="4:4">
      <c r="D2434" s="7" t="e">
        <f t="shared" si="37"/>
        <v>#DIV/0!</v>
      </c>
    </row>
    <row r="2435" customHeight="1" spans="4:4">
      <c r="D2435" s="7" t="e">
        <f t="shared" si="37"/>
        <v>#DIV/0!</v>
      </c>
    </row>
    <row r="2436" customHeight="1" spans="4:4">
      <c r="D2436" s="7" t="e">
        <f t="shared" ref="D2436:D2499" si="38">+B2436/C2436</f>
        <v>#DIV/0!</v>
      </c>
    </row>
    <row r="2437" customHeight="1" spans="4:4">
      <c r="D2437" s="7" t="e">
        <f t="shared" si="38"/>
        <v>#DIV/0!</v>
      </c>
    </row>
    <row r="2438" customHeight="1" spans="4:4">
      <c r="D2438" s="7" t="e">
        <f t="shared" si="38"/>
        <v>#DIV/0!</v>
      </c>
    </row>
    <row r="2439" customHeight="1" spans="4:4">
      <c r="D2439" s="7" t="e">
        <f t="shared" si="38"/>
        <v>#DIV/0!</v>
      </c>
    </row>
    <row r="2440" customHeight="1" spans="4:4">
      <c r="D2440" s="7" t="e">
        <f t="shared" si="38"/>
        <v>#DIV/0!</v>
      </c>
    </row>
    <row r="2441" customHeight="1" spans="4:4">
      <c r="D2441" s="7" t="e">
        <f t="shared" si="38"/>
        <v>#DIV/0!</v>
      </c>
    </row>
    <row r="2442" customHeight="1" spans="4:4">
      <c r="D2442" s="7" t="e">
        <f t="shared" si="38"/>
        <v>#DIV/0!</v>
      </c>
    </row>
    <row r="2443" customHeight="1" spans="4:4">
      <c r="D2443" s="7" t="e">
        <f t="shared" si="38"/>
        <v>#DIV/0!</v>
      </c>
    </row>
    <row r="2444" customHeight="1" spans="4:4">
      <c r="D2444" s="7" t="e">
        <f t="shared" si="38"/>
        <v>#DIV/0!</v>
      </c>
    </row>
    <row r="2445" customHeight="1" spans="4:4">
      <c r="D2445" s="7" t="e">
        <f t="shared" si="38"/>
        <v>#DIV/0!</v>
      </c>
    </row>
    <row r="2446" customHeight="1" spans="4:4">
      <c r="D2446" s="7" t="e">
        <f t="shared" si="38"/>
        <v>#DIV/0!</v>
      </c>
    </row>
    <row r="2447" customHeight="1" spans="4:4">
      <c r="D2447" s="7" t="e">
        <f t="shared" si="38"/>
        <v>#DIV/0!</v>
      </c>
    </row>
    <row r="2448" customHeight="1" spans="4:4">
      <c r="D2448" s="7" t="e">
        <f t="shared" si="38"/>
        <v>#DIV/0!</v>
      </c>
    </row>
    <row r="2449" customHeight="1" spans="4:4">
      <c r="D2449" s="7" t="e">
        <f t="shared" si="38"/>
        <v>#DIV/0!</v>
      </c>
    </row>
    <row r="2450" customHeight="1" spans="4:4">
      <c r="D2450" s="7" t="e">
        <f t="shared" si="38"/>
        <v>#DIV/0!</v>
      </c>
    </row>
    <row r="2451" customHeight="1" spans="4:4">
      <c r="D2451" s="7" t="e">
        <f t="shared" si="38"/>
        <v>#DIV/0!</v>
      </c>
    </row>
    <row r="2452" customHeight="1" spans="4:4">
      <c r="D2452" s="7" t="e">
        <f t="shared" si="38"/>
        <v>#DIV/0!</v>
      </c>
    </row>
    <row r="2453" customHeight="1" spans="4:4">
      <c r="D2453" s="7" t="e">
        <f t="shared" si="38"/>
        <v>#DIV/0!</v>
      </c>
    </row>
    <row r="2454" customHeight="1" spans="4:4">
      <c r="D2454" s="7" t="e">
        <f t="shared" si="38"/>
        <v>#DIV/0!</v>
      </c>
    </row>
    <row r="2455" customHeight="1" spans="4:4">
      <c r="D2455" s="7" t="e">
        <f t="shared" si="38"/>
        <v>#DIV/0!</v>
      </c>
    </row>
    <row r="2456" customHeight="1" spans="4:4">
      <c r="D2456" s="7" t="e">
        <f t="shared" si="38"/>
        <v>#DIV/0!</v>
      </c>
    </row>
    <row r="2457" customHeight="1" spans="4:4">
      <c r="D2457" s="7" t="e">
        <f t="shared" si="38"/>
        <v>#DIV/0!</v>
      </c>
    </row>
    <row r="2458" customHeight="1" spans="4:4">
      <c r="D2458" s="7" t="e">
        <f t="shared" si="38"/>
        <v>#DIV/0!</v>
      </c>
    </row>
    <row r="2459" customHeight="1" spans="4:4">
      <c r="D2459" s="7" t="e">
        <f t="shared" si="38"/>
        <v>#DIV/0!</v>
      </c>
    </row>
    <row r="2460" customHeight="1" spans="4:4">
      <c r="D2460" s="7" t="e">
        <f t="shared" si="38"/>
        <v>#DIV/0!</v>
      </c>
    </row>
    <row r="2461" customHeight="1" spans="4:4">
      <c r="D2461" s="7" t="e">
        <f t="shared" si="38"/>
        <v>#DIV/0!</v>
      </c>
    </row>
    <row r="2462" customHeight="1" spans="4:4">
      <c r="D2462" s="7" t="e">
        <f t="shared" si="38"/>
        <v>#DIV/0!</v>
      </c>
    </row>
    <row r="2463" customHeight="1" spans="4:4">
      <c r="D2463" s="7" t="e">
        <f t="shared" si="38"/>
        <v>#DIV/0!</v>
      </c>
    </row>
    <row r="2464" customHeight="1" spans="4:4">
      <c r="D2464" s="7" t="e">
        <f t="shared" si="38"/>
        <v>#DIV/0!</v>
      </c>
    </row>
    <row r="2465" customHeight="1" spans="4:4">
      <c r="D2465" s="7" t="e">
        <f t="shared" si="38"/>
        <v>#DIV/0!</v>
      </c>
    </row>
    <row r="2466" customHeight="1" spans="4:4">
      <c r="D2466" s="7" t="e">
        <f t="shared" si="38"/>
        <v>#DIV/0!</v>
      </c>
    </row>
    <row r="2467" customHeight="1" spans="4:4">
      <c r="D2467" s="7" t="e">
        <f t="shared" si="38"/>
        <v>#DIV/0!</v>
      </c>
    </row>
    <row r="2468" customHeight="1" spans="4:4">
      <c r="D2468" s="7" t="e">
        <f t="shared" si="38"/>
        <v>#DIV/0!</v>
      </c>
    </row>
    <row r="2469" customHeight="1" spans="4:4">
      <c r="D2469" s="7" t="e">
        <f t="shared" si="38"/>
        <v>#DIV/0!</v>
      </c>
    </row>
    <row r="2470" customHeight="1" spans="4:4">
      <c r="D2470" s="7" t="e">
        <f t="shared" si="38"/>
        <v>#DIV/0!</v>
      </c>
    </row>
    <row r="2471" customHeight="1" spans="4:4">
      <c r="D2471" s="7" t="e">
        <f t="shared" si="38"/>
        <v>#DIV/0!</v>
      </c>
    </row>
    <row r="2472" customHeight="1" spans="4:4">
      <c r="D2472" s="7" t="e">
        <f t="shared" si="38"/>
        <v>#DIV/0!</v>
      </c>
    </row>
    <row r="2473" customHeight="1" spans="4:4">
      <c r="D2473" s="7" t="e">
        <f t="shared" si="38"/>
        <v>#DIV/0!</v>
      </c>
    </row>
    <row r="2474" customHeight="1" spans="4:4">
      <c r="D2474" s="7" t="e">
        <f t="shared" si="38"/>
        <v>#DIV/0!</v>
      </c>
    </row>
    <row r="2475" customHeight="1" spans="4:4">
      <c r="D2475" s="7" t="e">
        <f t="shared" si="38"/>
        <v>#DIV/0!</v>
      </c>
    </row>
    <row r="2476" customHeight="1" spans="4:4">
      <c r="D2476" s="7" t="e">
        <f t="shared" si="38"/>
        <v>#DIV/0!</v>
      </c>
    </row>
    <row r="2477" customHeight="1" spans="4:4">
      <c r="D2477" s="7" t="e">
        <f t="shared" si="38"/>
        <v>#DIV/0!</v>
      </c>
    </row>
    <row r="2478" customHeight="1" spans="4:4">
      <c r="D2478" s="7" t="e">
        <f t="shared" si="38"/>
        <v>#DIV/0!</v>
      </c>
    </row>
    <row r="2479" customHeight="1" spans="4:4">
      <c r="D2479" s="7" t="e">
        <f t="shared" si="38"/>
        <v>#DIV/0!</v>
      </c>
    </row>
    <row r="2480" customHeight="1" spans="4:4">
      <c r="D2480" s="7" t="e">
        <f t="shared" si="38"/>
        <v>#DIV/0!</v>
      </c>
    </row>
    <row r="2481" customHeight="1" spans="4:4">
      <c r="D2481" s="7" t="e">
        <f t="shared" si="38"/>
        <v>#DIV/0!</v>
      </c>
    </row>
    <row r="2482" customHeight="1" spans="4:4">
      <c r="D2482" s="7" t="e">
        <f t="shared" si="38"/>
        <v>#DIV/0!</v>
      </c>
    </row>
    <row r="2483" customHeight="1" spans="4:4">
      <c r="D2483" s="7" t="e">
        <f t="shared" si="38"/>
        <v>#DIV/0!</v>
      </c>
    </row>
    <row r="2484" customHeight="1" spans="4:4">
      <c r="D2484" s="7" t="e">
        <f t="shared" si="38"/>
        <v>#DIV/0!</v>
      </c>
    </row>
    <row r="2485" customHeight="1" spans="4:4">
      <c r="D2485" s="7" t="e">
        <f t="shared" si="38"/>
        <v>#DIV/0!</v>
      </c>
    </row>
    <row r="2486" customHeight="1" spans="4:4">
      <c r="D2486" s="7" t="e">
        <f t="shared" si="38"/>
        <v>#DIV/0!</v>
      </c>
    </row>
    <row r="2487" customHeight="1" spans="4:4">
      <c r="D2487" s="7" t="e">
        <f t="shared" si="38"/>
        <v>#DIV/0!</v>
      </c>
    </row>
    <row r="2488" customHeight="1" spans="4:4">
      <c r="D2488" s="7" t="e">
        <f t="shared" si="38"/>
        <v>#DIV/0!</v>
      </c>
    </row>
    <row r="2489" customHeight="1" spans="4:4">
      <c r="D2489" s="7" t="e">
        <f t="shared" si="38"/>
        <v>#DIV/0!</v>
      </c>
    </row>
    <row r="2490" customHeight="1" spans="4:4">
      <c r="D2490" s="7" t="e">
        <f t="shared" si="38"/>
        <v>#DIV/0!</v>
      </c>
    </row>
    <row r="2491" customHeight="1" spans="4:4">
      <c r="D2491" s="7" t="e">
        <f t="shared" si="38"/>
        <v>#DIV/0!</v>
      </c>
    </row>
    <row r="2492" customHeight="1" spans="4:4">
      <c r="D2492" s="7" t="e">
        <f t="shared" si="38"/>
        <v>#DIV/0!</v>
      </c>
    </row>
    <row r="2493" customHeight="1" spans="4:4">
      <c r="D2493" s="7" t="e">
        <f t="shared" si="38"/>
        <v>#DIV/0!</v>
      </c>
    </row>
    <row r="2494" customHeight="1" spans="4:4">
      <c r="D2494" s="7" t="e">
        <f t="shared" si="38"/>
        <v>#DIV/0!</v>
      </c>
    </row>
    <row r="2495" customHeight="1" spans="4:4">
      <c r="D2495" s="7" t="e">
        <f t="shared" si="38"/>
        <v>#DIV/0!</v>
      </c>
    </row>
    <row r="2496" customHeight="1" spans="4:4">
      <c r="D2496" s="7" t="e">
        <f t="shared" si="38"/>
        <v>#DIV/0!</v>
      </c>
    </row>
    <row r="2497" customHeight="1" spans="4:4">
      <c r="D2497" s="7" t="e">
        <f t="shared" si="38"/>
        <v>#DIV/0!</v>
      </c>
    </row>
    <row r="2498" customHeight="1" spans="4:4">
      <c r="D2498" s="7" t="e">
        <f t="shared" si="38"/>
        <v>#DIV/0!</v>
      </c>
    </row>
    <row r="2499" customHeight="1" spans="4:4">
      <c r="D2499" s="7" t="e">
        <f t="shared" si="38"/>
        <v>#DIV/0!</v>
      </c>
    </row>
    <row r="2500" customHeight="1" spans="4:4">
      <c r="D2500" s="7" t="e">
        <f t="shared" ref="D2500:D2563" si="39">+B2500/C2500</f>
        <v>#DIV/0!</v>
      </c>
    </row>
    <row r="2501" customHeight="1" spans="4:4">
      <c r="D2501" s="7" t="e">
        <f t="shared" si="39"/>
        <v>#DIV/0!</v>
      </c>
    </row>
    <row r="2502" customHeight="1" spans="4:4">
      <c r="D2502" s="7" t="e">
        <f t="shared" si="39"/>
        <v>#DIV/0!</v>
      </c>
    </row>
    <row r="2503" customHeight="1" spans="4:4">
      <c r="D2503" s="7" t="e">
        <f t="shared" si="39"/>
        <v>#DIV/0!</v>
      </c>
    </row>
    <row r="2504" customHeight="1" spans="4:4">
      <c r="D2504" s="7" t="e">
        <f t="shared" si="39"/>
        <v>#DIV/0!</v>
      </c>
    </row>
    <row r="2505" customHeight="1" spans="4:4">
      <c r="D2505" s="7" t="e">
        <f t="shared" si="39"/>
        <v>#DIV/0!</v>
      </c>
    </row>
    <row r="2506" customHeight="1" spans="4:4">
      <c r="D2506" s="7" t="e">
        <f t="shared" si="39"/>
        <v>#DIV/0!</v>
      </c>
    </row>
    <row r="2507" customHeight="1" spans="4:4">
      <c r="D2507" s="7" t="e">
        <f t="shared" si="39"/>
        <v>#DIV/0!</v>
      </c>
    </row>
    <row r="2508" customHeight="1" spans="4:4">
      <c r="D2508" s="7" t="e">
        <f t="shared" si="39"/>
        <v>#DIV/0!</v>
      </c>
    </row>
    <row r="2509" customHeight="1" spans="4:4">
      <c r="D2509" s="7" t="e">
        <f t="shared" si="39"/>
        <v>#DIV/0!</v>
      </c>
    </row>
    <row r="2510" customHeight="1" spans="4:4">
      <c r="D2510" s="7" t="e">
        <f t="shared" si="39"/>
        <v>#DIV/0!</v>
      </c>
    </row>
    <row r="2511" customHeight="1" spans="4:4">
      <c r="D2511" s="7" t="e">
        <f t="shared" si="39"/>
        <v>#DIV/0!</v>
      </c>
    </row>
    <row r="2512" customHeight="1" spans="4:4">
      <c r="D2512" s="7" t="e">
        <f t="shared" si="39"/>
        <v>#DIV/0!</v>
      </c>
    </row>
    <row r="2513" customHeight="1" spans="4:4">
      <c r="D2513" s="7" t="e">
        <f t="shared" si="39"/>
        <v>#DIV/0!</v>
      </c>
    </row>
    <row r="2514" customHeight="1" spans="4:4">
      <c r="D2514" s="7" t="e">
        <f t="shared" si="39"/>
        <v>#DIV/0!</v>
      </c>
    </row>
    <row r="2515" customHeight="1" spans="4:4">
      <c r="D2515" s="7" t="e">
        <f t="shared" si="39"/>
        <v>#DIV/0!</v>
      </c>
    </row>
    <row r="2516" customHeight="1" spans="4:4">
      <c r="D2516" s="7" t="e">
        <f t="shared" si="39"/>
        <v>#DIV/0!</v>
      </c>
    </row>
    <row r="2517" customHeight="1" spans="4:4">
      <c r="D2517" s="7" t="e">
        <f t="shared" si="39"/>
        <v>#DIV/0!</v>
      </c>
    </row>
    <row r="2518" customHeight="1" spans="4:4">
      <c r="D2518" s="7" t="e">
        <f t="shared" si="39"/>
        <v>#DIV/0!</v>
      </c>
    </row>
    <row r="2519" customHeight="1" spans="4:4">
      <c r="D2519" s="7" t="e">
        <f t="shared" si="39"/>
        <v>#DIV/0!</v>
      </c>
    </row>
    <row r="2520" customHeight="1" spans="4:4">
      <c r="D2520" s="7" t="e">
        <f t="shared" si="39"/>
        <v>#DIV/0!</v>
      </c>
    </row>
    <row r="2521" customHeight="1" spans="4:4">
      <c r="D2521" s="7" t="e">
        <f t="shared" si="39"/>
        <v>#DIV/0!</v>
      </c>
    </row>
    <row r="2522" customHeight="1" spans="4:4">
      <c r="D2522" s="7" t="e">
        <f t="shared" si="39"/>
        <v>#DIV/0!</v>
      </c>
    </row>
    <row r="2523" customHeight="1" spans="4:4">
      <c r="D2523" s="7" t="e">
        <f t="shared" si="39"/>
        <v>#DIV/0!</v>
      </c>
    </row>
    <row r="2524" customHeight="1" spans="4:4">
      <c r="D2524" s="7" t="e">
        <f t="shared" si="39"/>
        <v>#DIV/0!</v>
      </c>
    </row>
    <row r="2525" customHeight="1" spans="4:4">
      <c r="D2525" s="7" t="e">
        <f t="shared" si="39"/>
        <v>#DIV/0!</v>
      </c>
    </row>
    <row r="2526" customHeight="1" spans="4:4">
      <c r="D2526" s="7" t="e">
        <f t="shared" si="39"/>
        <v>#DIV/0!</v>
      </c>
    </row>
    <row r="2527" customHeight="1" spans="4:4">
      <c r="D2527" s="7" t="e">
        <f t="shared" si="39"/>
        <v>#DIV/0!</v>
      </c>
    </row>
    <row r="2528" customHeight="1" spans="4:4">
      <c r="D2528" s="7" t="e">
        <f t="shared" si="39"/>
        <v>#DIV/0!</v>
      </c>
    </row>
    <row r="2529" customHeight="1" spans="4:4">
      <c r="D2529" s="7" t="e">
        <f t="shared" si="39"/>
        <v>#DIV/0!</v>
      </c>
    </row>
    <row r="2530" customHeight="1" spans="4:4">
      <c r="D2530" s="7" t="e">
        <f t="shared" si="39"/>
        <v>#DIV/0!</v>
      </c>
    </row>
    <row r="2531" customHeight="1" spans="4:4">
      <c r="D2531" s="7" t="e">
        <f t="shared" si="39"/>
        <v>#DIV/0!</v>
      </c>
    </row>
    <row r="2532" customHeight="1" spans="4:4">
      <c r="D2532" s="7" t="e">
        <f t="shared" si="39"/>
        <v>#DIV/0!</v>
      </c>
    </row>
    <row r="2533" customHeight="1" spans="4:4">
      <c r="D2533" s="7" t="e">
        <f t="shared" si="39"/>
        <v>#DIV/0!</v>
      </c>
    </row>
    <row r="2534" customHeight="1" spans="4:4">
      <c r="D2534" s="7" t="e">
        <f t="shared" si="39"/>
        <v>#DIV/0!</v>
      </c>
    </row>
    <row r="2535" customHeight="1" spans="4:4">
      <c r="D2535" s="7" t="e">
        <f t="shared" si="39"/>
        <v>#DIV/0!</v>
      </c>
    </row>
    <row r="2536" customHeight="1" spans="4:4">
      <c r="D2536" s="7" t="e">
        <f t="shared" si="39"/>
        <v>#DIV/0!</v>
      </c>
    </row>
    <row r="2537" customHeight="1" spans="4:4">
      <c r="D2537" s="7" t="e">
        <f t="shared" si="39"/>
        <v>#DIV/0!</v>
      </c>
    </row>
    <row r="2538" customHeight="1" spans="4:4">
      <c r="D2538" s="7" t="e">
        <f t="shared" si="39"/>
        <v>#DIV/0!</v>
      </c>
    </row>
    <row r="2539" customHeight="1" spans="4:4">
      <c r="D2539" s="7" t="e">
        <f t="shared" si="39"/>
        <v>#DIV/0!</v>
      </c>
    </row>
    <row r="2540" customHeight="1" spans="4:4">
      <c r="D2540" s="7" t="e">
        <f t="shared" si="39"/>
        <v>#DIV/0!</v>
      </c>
    </row>
    <row r="2541" customHeight="1" spans="4:4">
      <c r="D2541" s="7" t="e">
        <f t="shared" si="39"/>
        <v>#DIV/0!</v>
      </c>
    </row>
    <row r="2542" customHeight="1" spans="4:4">
      <c r="D2542" s="7" t="e">
        <f t="shared" si="39"/>
        <v>#DIV/0!</v>
      </c>
    </row>
    <row r="2543" customHeight="1" spans="4:4">
      <c r="D2543" s="7" t="e">
        <f t="shared" si="39"/>
        <v>#DIV/0!</v>
      </c>
    </row>
    <row r="2544" customHeight="1" spans="4:4">
      <c r="D2544" s="7" t="e">
        <f t="shared" si="39"/>
        <v>#DIV/0!</v>
      </c>
    </row>
    <row r="2545" customHeight="1" spans="4:4">
      <c r="D2545" s="7" t="e">
        <f t="shared" si="39"/>
        <v>#DIV/0!</v>
      </c>
    </row>
    <row r="2546" customHeight="1" spans="4:4">
      <c r="D2546" s="7" t="e">
        <f t="shared" si="39"/>
        <v>#DIV/0!</v>
      </c>
    </row>
    <row r="2547" customHeight="1" spans="4:4">
      <c r="D2547" s="7" t="e">
        <f t="shared" si="39"/>
        <v>#DIV/0!</v>
      </c>
    </row>
    <row r="2548" customHeight="1" spans="4:4">
      <c r="D2548" s="7" t="e">
        <f t="shared" si="39"/>
        <v>#DIV/0!</v>
      </c>
    </row>
    <row r="2549" customHeight="1" spans="4:4">
      <c r="D2549" s="7" t="e">
        <f t="shared" si="39"/>
        <v>#DIV/0!</v>
      </c>
    </row>
    <row r="2550" customHeight="1" spans="4:4">
      <c r="D2550" s="7" t="e">
        <f t="shared" si="39"/>
        <v>#DIV/0!</v>
      </c>
    </row>
    <row r="2551" customHeight="1" spans="4:4">
      <c r="D2551" s="7" t="e">
        <f t="shared" si="39"/>
        <v>#DIV/0!</v>
      </c>
    </row>
    <row r="2552" customHeight="1" spans="4:4">
      <c r="D2552" s="7" t="e">
        <f t="shared" si="39"/>
        <v>#DIV/0!</v>
      </c>
    </row>
    <row r="2553" customHeight="1" spans="4:4">
      <c r="D2553" s="7" t="e">
        <f t="shared" si="39"/>
        <v>#DIV/0!</v>
      </c>
    </row>
    <row r="2554" customHeight="1" spans="4:4">
      <c r="D2554" s="7" t="e">
        <f t="shared" si="39"/>
        <v>#DIV/0!</v>
      </c>
    </row>
    <row r="2555" customHeight="1" spans="4:4">
      <c r="D2555" s="7" t="e">
        <f t="shared" si="39"/>
        <v>#DIV/0!</v>
      </c>
    </row>
    <row r="2556" customHeight="1" spans="4:4">
      <c r="D2556" s="7" t="e">
        <f t="shared" si="39"/>
        <v>#DIV/0!</v>
      </c>
    </row>
    <row r="2557" customHeight="1" spans="4:4">
      <c r="D2557" s="7" t="e">
        <f t="shared" si="39"/>
        <v>#DIV/0!</v>
      </c>
    </row>
    <row r="2558" customHeight="1" spans="4:4">
      <c r="D2558" s="7" t="e">
        <f t="shared" si="39"/>
        <v>#DIV/0!</v>
      </c>
    </row>
    <row r="2559" customHeight="1" spans="4:4">
      <c r="D2559" s="7" t="e">
        <f t="shared" si="39"/>
        <v>#DIV/0!</v>
      </c>
    </row>
    <row r="2560" customHeight="1" spans="4:4">
      <c r="D2560" s="7" t="e">
        <f t="shared" si="39"/>
        <v>#DIV/0!</v>
      </c>
    </row>
    <row r="2561" customHeight="1" spans="4:4">
      <c r="D2561" s="7" t="e">
        <f t="shared" si="39"/>
        <v>#DIV/0!</v>
      </c>
    </row>
    <row r="2562" customHeight="1" spans="4:4">
      <c r="D2562" s="7" t="e">
        <f t="shared" si="39"/>
        <v>#DIV/0!</v>
      </c>
    </row>
    <row r="2563" customHeight="1" spans="4:4">
      <c r="D2563" s="7" t="e">
        <f t="shared" si="39"/>
        <v>#DIV/0!</v>
      </c>
    </row>
    <row r="2564" customHeight="1" spans="4:4">
      <c r="D2564" s="7" t="e">
        <f t="shared" ref="D2564:D2627" si="40">+B2564/C2564</f>
        <v>#DIV/0!</v>
      </c>
    </row>
    <row r="2565" customHeight="1" spans="4:4">
      <c r="D2565" s="7" t="e">
        <f t="shared" si="40"/>
        <v>#DIV/0!</v>
      </c>
    </row>
    <row r="2566" customHeight="1" spans="4:4">
      <c r="D2566" s="7" t="e">
        <f t="shared" si="40"/>
        <v>#DIV/0!</v>
      </c>
    </row>
    <row r="2567" customHeight="1" spans="4:4">
      <c r="D2567" s="7" t="e">
        <f t="shared" si="40"/>
        <v>#DIV/0!</v>
      </c>
    </row>
    <row r="2568" customHeight="1" spans="4:4">
      <c r="D2568" s="7" t="e">
        <f t="shared" si="40"/>
        <v>#DIV/0!</v>
      </c>
    </row>
    <row r="2569" customHeight="1" spans="4:4">
      <c r="D2569" s="7" t="e">
        <f t="shared" si="40"/>
        <v>#DIV/0!</v>
      </c>
    </row>
    <row r="2570" customHeight="1" spans="4:4">
      <c r="D2570" s="7" t="e">
        <f t="shared" si="40"/>
        <v>#DIV/0!</v>
      </c>
    </row>
    <row r="2571" customHeight="1" spans="4:4">
      <c r="D2571" s="7" t="e">
        <f t="shared" si="40"/>
        <v>#DIV/0!</v>
      </c>
    </row>
    <row r="2572" customHeight="1" spans="4:4">
      <c r="D2572" s="7" t="e">
        <f t="shared" si="40"/>
        <v>#DIV/0!</v>
      </c>
    </row>
    <row r="2573" customHeight="1" spans="4:4">
      <c r="D2573" s="7" t="e">
        <f t="shared" si="40"/>
        <v>#DIV/0!</v>
      </c>
    </row>
    <row r="2574" customHeight="1" spans="4:4">
      <c r="D2574" s="7" t="e">
        <f t="shared" si="40"/>
        <v>#DIV/0!</v>
      </c>
    </row>
    <row r="2575" customHeight="1" spans="4:4">
      <c r="D2575" s="7" t="e">
        <f t="shared" si="40"/>
        <v>#DIV/0!</v>
      </c>
    </row>
    <row r="2576" customHeight="1" spans="4:4">
      <c r="D2576" s="7" t="e">
        <f t="shared" si="40"/>
        <v>#DIV/0!</v>
      </c>
    </row>
    <row r="2577" customHeight="1" spans="4:4">
      <c r="D2577" s="7" t="e">
        <f t="shared" si="40"/>
        <v>#DIV/0!</v>
      </c>
    </row>
    <row r="2578" customHeight="1" spans="4:4">
      <c r="D2578" s="7" t="e">
        <f t="shared" si="40"/>
        <v>#DIV/0!</v>
      </c>
    </row>
    <row r="2579" customHeight="1" spans="4:4">
      <c r="D2579" s="7" t="e">
        <f t="shared" si="40"/>
        <v>#DIV/0!</v>
      </c>
    </row>
    <row r="2580" customHeight="1" spans="4:4">
      <c r="D2580" s="7" t="e">
        <f t="shared" si="40"/>
        <v>#DIV/0!</v>
      </c>
    </row>
    <row r="2581" customHeight="1" spans="4:4">
      <c r="D2581" s="7" t="e">
        <f t="shared" si="40"/>
        <v>#DIV/0!</v>
      </c>
    </row>
    <row r="2582" customHeight="1" spans="4:4">
      <c r="D2582" s="7" t="e">
        <f t="shared" si="40"/>
        <v>#DIV/0!</v>
      </c>
    </row>
    <row r="2583" customHeight="1" spans="4:4">
      <c r="D2583" s="7" t="e">
        <f t="shared" si="40"/>
        <v>#DIV/0!</v>
      </c>
    </row>
    <row r="2584" customHeight="1" spans="4:4">
      <c r="D2584" s="7" t="e">
        <f t="shared" si="40"/>
        <v>#DIV/0!</v>
      </c>
    </row>
    <row r="2585" customHeight="1" spans="4:4">
      <c r="D2585" s="7" t="e">
        <f t="shared" si="40"/>
        <v>#DIV/0!</v>
      </c>
    </row>
    <row r="2586" customHeight="1" spans="4:4">
      <c r="D2586" s="7" t="e">
        <f t="shared" si="40"/>
        <v>#DIV/0!</v>
      </c>
    </row>
    <row r="2587" customHeight="1" spans="4:4">
      <c r="D2587" s="7" t="e">
        <f t="shared" si="40"/>
        <v>#DIV/0!</v>
      </c>
    </row>
    <row r="2588" customHeight="1" spans="4:4">
      <c r="D2588" s="7" t="e">
        <f t="shared" si="40"/>
        <v>#DIV/0!</v>
      </c>
    </row>
    <row r="2589" customHeight="1" spans="4:4">
      <c r="D2589" s="7" t="e">
        <f t="shared" si="40"/>
        <v>#DIV/0!</v>
      </c>
    </row>
    <row r="2590" customHeight="1" spans="4:4">
      <c r="D2590" s="7" t="e">
        <f t="shared" si="40"/>
        <v>#DIV/0!</v>
      </c>
    </row>
    <row r="2591" customHeight="1" spans="4:4">
      <c r="D2591" s="7" t="e">
        <f t="shared" si="40"/>
        <v>#DIV/0!</v>
      </c>
    </row>
    <row r="2592" customHeight="1" spans="4:4">
      <c r="D2592" s="7" t="e">
        <f t="shared" si="40"/>
        <v>#DIV/0!</v>
      </c>
    </row>
    <row r="2593" customHeight="1" spans="4:4">
      <c r="D2593" s="7" t="e">
        <f t="shared" si="40"/>
        <v>#DIV/0!</v>
      </c>
    </row>
    <row r="2594" customHeight="1" spans="4:4">
      <c r="D2594" s="7" t="e">
        <f t="shared" si="40"/>
        <v>#DIV/0!</v>
      </c>
    </row>
    <row r="2595" customHeight="1" spans="4:4">
      <c r="D2595" s="7" t="e">
        <f t="shared" si="40"/>
        <v>#DIV/0!</v>
      </c>
    </row>
    <row r="2596" customHeight="1" spans="4:4">
      <c r="D2596" s="7" t="e">
        <f t="shared" si="40"/>
        <v>#DIV/0!</v>
      </c>
    </row>
    <row r="2597" customHeight="1" spans="4:4">
      <c r="D2597" s="7" t="e">
        <f t="shared" si="40"/>
        <v>#DIV/0!</v>
      </c>
    </row>
    <row r="2598" customHeight="1" spans="4:4">
      <c r="D2598" s="7" t="e">
        <f t="shared" si="40"/>
        <v>#DIV/0!</v>
      </c>
    </row>
    <row r="2599" customHeight="1" spans="4:4">
      <c r="D2599" s="7" t="e">
        <f t="shared" si="40"/>
        <v>#DIV/0!</v>
      </c>
    </row>
    <row r="2600" customHeight="1" spans="4:4">
      <c r="D2600" s="7" t="e">
        <f t="shared" si="40"/>
        <v>#DIV/0!</v>
      </c>
    </row>
    <row r="2601" customHeight="1" spans="4:4">
      <c r="D2601" s="7" t="e">
        <f t="shared" si="40"/>
        <v>#DIV/0!</v>
      </c>
    </row>
    <row r="2602" customHeight="1" spans="4:4">
      <c r="D2602" s="7" t="e">
        <f t="shared" si="40"/>
        <v>#DIV/0!</v>
      </c>
    </row>
    <row r="2603" customHeight="1" spans="4:4">
      <c r="D2603" s="7" t="e">
        <f t="shared" si="40"/>
        <v>#DIV/0!</v>
      </c>
    </row>
    <row r="2604" customHeight="1" spans="4:4">
      <c r="D2604" s="7" t="e">
        <f t="shared" si="40"/>
        <v>#DIV/0!</v>
      </c>
    </row>
    <row r="2605" customHeight="1" spans="4:4">
      <c r="D2605" s="7" t="e">
        <f t="shared" si="40"/>
        <v>#DIV/0!</v>
      </c>
    </row>
    <row r="2606" customHeight="1" spans="4:4">
      <c r="D2606" s="7" t="e">
        <f t="shared" si="40"/>
        <v>#DIV/0!</v>
      </c>
    </row>
    <row r="2607" customHeight="1" spans="4:4">
      <c r="D2607" s="7" t="e">
        <f t="shared" si="40"/>
        <v>#DIV/0!</v>
      </c>
    </row>
    <row r="2608" customHeight="1" spans="4:4">
      <c r="D2608" s="7" t="e">
        <f t="shared" si="40"/>
        <v>#DIV/0!</v>
      </c>
    </row>
    <row r="2609" customHeight="1" spans="4:4">
      <c r="D2609" s="7" t="e">
        <f t="shared" si="40"/>
        <v>#DIV/0!</v>
      </c>
    </row>
    <row r="2610" customHeight="1" spans="4:4">
      <c r="D2610" s="7" t="e">
        <f t="shared" si="40"/>
        <v>#DIV/0!</v>
      </c>
    </row>
    <row r="2611" customHeight="1" spans="4:4">
      <c r="D2611" s="7" t="e">
        <f t="shared" si="40"/>
        <v>#DIV/0!</v>
      </c>
    </row>
    <row r="2612" customHeight="1" spans="4:4">
      <c r="D2612" s="7" t="e">
        <f t="shared" si="40"/>
        <v>#DIV/0!</v>
      </c>
    </row>
    <row r="2613" customHeight="1" spans="4:4">
      <c r="D2613" s="7" t="e">
        <f t="shared" si="40"/>
        <v>#DIV/0!</v>
      </c>
    </row>
    <row r="2614" customHeight="1" spans="4:4">
      <c r="D2614" s="7" t="e">
        <f t="shared" si="40"/>
        <v>#DIV/0!</v>
      </c>
    </row>
    <row r="2615" customHeight="1" spans="4:4">
      <c r="D2615" s="7" t="e">
        <f t="shared" si="40"/>
        <v>#DIV/0!</v>
      </c>
    </row>
    <row r="2616" customHeight="1" spans="4:4">
      <c r="D2616" s="7" t="e">
        <f t="shared" si="40"/>
        <v>#DIV/0!</v>
      </c>
    </row>
    <row r="2617" customHeight="1" spans="4:4">
      <c r="D2617" s="7" t="e">
        <f t="shared" si="40"/>
        <v>#DIV/0!</v>
      </c>
    </row>
    <row r="2618" customHeight="1" spans="4:4">
      <c r="D2618" s="7" t="e">
        <f t="shared" si="40"/>
        <v>#DIV/0!</v>
      </c>
    </row>
    <row r="2619" customHeight="1" spans="4:4">
      <c r="D2619" s="7" t="e">
        <f t="shared" si="40"/>
        <v>#DIV/0!</v>
      </c>
    </row>
    <row r="2620" customHeight="1" spans="4:4">
      <c r="D2620" s="7" t="e">
        <f t="shared" si="40"/>
        <v>#DIV/0!</v>
      </c>
    </row>
    <row r="2621" customHeight="1" spans="4:4">
      <c r="D2621" s="7" t="e">
        <f t="shared" si="40"/>
        <v>#DIV/0!</v>
      </c>
    </row>
    <row r="2622" customHeight="1" spans="4:4">
      <c r="D2622" s="7" t="e">
        <f t="shared" si="40"/>
        <v>#DIV/0!</v>
      </c>
    </row>
    <row r="2623" customHeight="1" spans="4:4">
      <c r="D2623" s="7" t="e">
        <f t="shared" si="40"/>
        <v>#DIV/0!</v>
      </c>
    </row>
    <row r="2624" customHeight="1" spans="4:4">
      <c r="D2624" s="7" t="e">
        <f t="shared" si="40"/>
        <v>#DIV/0!</v>
      </c>
    </row>
    <row r="2625" customHeight="1" spans="4:4">
      <c r="D2625" s="7" t="e">
        <f t="shared" si="40"/>
        <v>#DIV/0!</v>
      </c>
    </row>
    <row r="2626" customHeight="1" spans="4:4">
      <c r="D2626" s="7" t="e">
        <f t="shared" si="40"/>
        <v>#DIV/0!</v>
      </c>
    </row>
    <row r="2627" customHeight="1" spans="4:4">
      <c r="D2627" s="7" t="e">
        <f t="shared" si="40"/>
        <v>#DIV/0!</v>
      </c>
    </row>
    <row r="2628" customHeight="1" spans="4:4">
      <c r="D2628" s="7" t="e">
        <f t="shared" ref="D2628:D2691" si="41">+B2628/C2628</f>
        <v>#DIV/0!</v>
      </c>
    </row>
    <row r="2629" customHeight="1" spans="4:4">
      <c r="D2629" s="7" t="e">
        <f t="shared" si="41"/>
        <v>#DIV/0!</v>
      </c>
    </row>
    <row r="2630" customHeight="1" spans="4:4">
      <c r="D2630" s="7" t="e">
        <f t="shared" si="41"/>
        <v>#DIV/0!</v>
      </c>
    </row>
    <row r="2631" customHeight="1" spans="4:4">
      <c r="D2631" s="7" t="e">
        <f t="shared" si="41"/>
        <v>#DIV/0!</v>
      </c>
    </row>
    <row r="2632" customHeight="1" spans="4:4">
      <c r="D2632" s="7" t="e">
        <f t="shared" si="41"/>
        <v>#DIV/0!</v>
      </c>
    </row>
    <row r="2633" customHeight="1" spans="4:4">
      <c r="D2633" s="7" t="e">
        <f t="shared" si="41"/>
        <v>#DIV/0!</v>
      </c>
    </row>
    <row r="2634" customHeight="1" spans="4:4">
      <c r="D2634" s="7" t="e">
        <f t="shared" si="41"/>
        <v>#DIV/0!</v>
      </c>
    </row>
    <row r="2635" customHeight="1" spans="4:4">
      <c r="D2635" s="7" t="e">
        <f t="shared" si="41"/>
        <v>#DIV/0!</v>
      </c>
    </row>
    <row r="2636" customHeight="1" spans="4:4">
      <c r="D2636" s="7" t="e">
        <f t="shared" si="41"/>
        <v>#DIV/0!</v>
      </c>
    </row>
    <row r="2637" customHeight="1" spans="4:4">
      <c r="D2637" s="7" t="e">
        <f t="shared" si="41"/>
        <v>#DIV/0!</v>
      </c>
    </row>
    <row r="2638" customHeight="1" spans="4:4">
      <c r="D2638" s="7" t="e">
        <f t="shared" si="41"/>
        <v>#DIV/0!</v>
      </c>
    </row>
    <row r="2639" customHeight="1" spans="4:4">
      <c r="D2639" s="7" t="e">
        <f t="shared" si="41"/>
        <v>#DIV/0!</v>
      </c>
    </row>
    <row r="2640" customHeight="1" spans="4:4">
      <c r="D2640" s="7" t="e">
        <f t="shared" si="41"/>
        <v>#DIV/0!</v>
      </c>
    </row>
    <row r="2641" customHeight="1" spans="4:4">
      <c r="D2641" s="7" t="e">
        <f t="shared" si="41"/>
        <v>#DIV/0!</v>
      </c>
    </row>
    <row r="2642" customHeight="1" spans="4:4">
      <c r="D2642" s="7" t="e">
        <f t="shared" si="41"/>
        <v>#DIV/0!</v>
      </c>
    </row>
    <row r="2643" customHeight="1" spans="4:4">
      <c r="D2643" s="7" t="e">
        <f t="shared" si="41"/>
        <v>#DIV/0!</v>
      </c>
    </row>
    <row r="2644" customHeight="1" spans="4:4">
      <c r="D2644" s="7" t="e">
        <f t="shared" si="41"/>
        <v>#DIV/0!</v>
      </c>
    </row>
    <row r="2645" customHeight="1" spans="4:4">
      <c r="D2645" s="7" t="e">
        <f t="shared" si="41"/>
        <v>#DIV/0!</v>
      </c>
    </row>
    <row r="2646" customHeight="1" spans="4:4">
      <c r="D2646" s="7" t="e">
        <f t="shared" si="41"/>
        <v>#DIV/0!</v>
      </c>
    </row>
    <row r="2647" customHeight="1" spans="4:4">
      <c r="D2647" s="7" t="e">
        <f t="shared" si="41"/>
        <v>#DIV/0!</v>
      </c>
    </row>
    <row r="2648" customHeight="1" spans="4:4">
      <c r="D2648" s="7" t="e">
        <f t="shared" si="41"/>
        <v>#DIV/0!</v>
      </c>
    </row>
    <row r="2649" customHeight="1" spans="4:4">
      <c r="D2649" s="7" t="e">
        <f t="shared" si="41"/>
        <v>#DIV/0!</v>
      </c>
    </row>
    <row r="2650" customHeight="1" spans="4:4">
      <c r="D2650" s="7" t="e">
        <f t="shared" si="41"/>
        <v>#DIV/0!</v>
      </c>
    </row>
    <row r="2651" customHeight="1" spans="4:4">
      <c r="D2651" s="7" t="e">
        <f t="shared" si="41"/>
        <v>#DIV/0!</v>
      </c>
    </row>
    <row r="2652" customHeight="1" spans="4:4">
      <c r="D2652" s="7" t="e">
        <f t="shared" si="41"/>
        <v>#DIV/0!</v>
      </c>
    </row>
    <row r="2653" customHeight="1" spans="4:4">
      <c r="D2653" s="7" t="e">
        <f t="shared" si="41"/>
        <v>#DIV/0!</v>
      </c>
    </row>
    <row r="2654" customHeight="1" spans="4:4">
      <c r="D2654" s="7" t="e">
        <f t="shared" si="41"/>
        <v>#DIV/0!</v>
      </c>
    </row>
    <row r="2655" customHeight="1" spans="4:4">
      <c r="D2655" s="7" t="e">
        <f t="shared" si="41"/>
        <v>#DIV/0!</v>
      </c>
    </row>
    <row r="2656" customHeight="1" spans="4:4">
      <c r="D2656" s="7" t="e">
        <f t="shared" si="41"/>
        <v>#DIV/0!</v>
      </c>
    </row>
    <row r="2657" customHeight="1" spans="4:4">
      <c r="D2657" s="7" t="e">
        <f t="shared" si="41"/>
        <v>#DIV/0!</v>
      </c>
    </row>
    <row r="2658" customHeight="1" spans="4:4">
      <c r="D2658" s="7" t="e">
        <f t="shared" si="41"/>
        <v>#DIV/0!</v>
      </c>
    </row>
    <row r="2659" customHeight="1" spans="4:4">
      <c r="D2659" s="7" t="e">
        <f t="shared" si="41"/>
        <v>#DIV/0!</v>
      </c>
    </row>
    <row r="2660" customHeight="1" spans="4:4">
      <c r="D2660" s="7" t="e">
        <f t="shared" si="41"/>
        <v>#DIV/0!</v>
      </c>
    </row>
    <row r="2661" customHeight="1" spans="4:4">
      <c r="D2661" s="7" t="e">
        <f t="shared" si="41"/>
        <v>#DIV/0!</v>
      </c>
    </row>
    <row r="2662" customHeight="1" spans="4:4">
      <c r="D2662" s="7" t="e">
        <f t="shared" si="41"/>
        <v>#DIV/0!</v>
      </c>
    </row>
    <row r="2663" customHeight="1" spans="4:4">
      <c r="D2663" s="7" t="e">
        <f t="shared" si="41"/>
        <v>#DIV/0!</v>
      </c>
    </row>
    <row r="2664" customHeight="1" spans="4:4">
      <c r="D2664" s="7" t="e">
        <f t="shared" si="41"/>
        <v>#DIV/0!</v>
      </c>
    </row>
    <row r="2665" customHeight="1" spans="4:4">
      <c r="D2665" s="7" t="e">
        <f t="shared" si="41"/>
        <v>#DIV/0!</v>
      </c>
    </row>
    <row r="2666" customHeight="1" spans="4:4">
      <c r="D2666" s="7" t="e">
        <f t="shared" si="41"/>
        <v>#DIV/0!</v>
      </c>
    </row>
    <row r="2667" customHeight="1" spans="4:4">
      <c r="D2667" s="7" t="e">
        <f t="shared" si="41"/>
        <v>#DIV/0!</v>
      </c>
    </row>
    <row r="2668" customHeight="1" spans="4:4">
      <c r="D2668" s="7" t="e">
        <f t="shared" si="41"/>
        <v>#DIV/0!</v>
      </c>
    </row>
    <row r="2669" customHeight="1" spans="4:4">
      <c r="D2669" s="7" t="e">
        <f t="shared" si="41"/>
        <v>#DIV/0!</v>
      </c>
    </row>
    <row r="2670" customHeight="1" spans="4:4">
      <c r="D2670" s="7" t="e">
        <f t="shared" si="41"/>
        <v>#DIV/0!</v>
      </c>
    </row>
    <row r="2671" customHeight="1" spans="4:4">
      <c r="D2671" s="7" t="e">
        <f t="shared" si="41"/>
        <v>#DIV/0!</v>
      </c>
    </row>
    <row r="2672" customHeight="1" spans="4:4">
      <c r="D2672" s="7" t="e">
        <f t="shared" si="41"/>
        <v>#DIV/0!</v>
      </c>
    </row>
    <row r="2673" customHeight="1" spans="4:4">
      <c r="D2673" s="7" t="e">
        <f t="shared" si="41"/>
        <v>#DIV/0!</v>
      </c>
    </row>
    <row r="2674" customHeight="1" spans="4:4">
      <c r="D2674" s="7" t="e">
        <f t="shared" si="41"/>
        <v>#DIV/0!</v>
      </c>
    </row>
    <row r="2675" customHeight="1" spans="4:4">
      <c r="D2675" s="7" t="e">
        <f t="shared" si="41"/>
        <v>#DIV/0!</v>
      </c>
    </row>
    <row r="2676" customHeight="1" spans="4:4">
      <c r="D2676" s="7" t="e">
        <f t="shared" si="41"/>
        <v>#DIV/0!</v>
      </c>
    </row>
    <row r="2677" customHeight="1" spans="4:4">
      <c r="D2677" s="7" t="e">
        <f t="shared" si="41"/>
        <v>#DIV/0!</v>
      </c>
    </row>
    <row r="2678" customHeight="1" spans="4:4">
      <c r="D2678" s="7" t="e">
        <f t="shared" si="41"/>
        <v>#DIV/0!</v>
      </c>
    </row>
    <row r="2679" customHeight="1" spans="4:4">
      <c r="D2679" s="7" t="e">
        <f t="shared" si="41"/>
        <v>#DIV/0!</v>
      </c>
    </row>
    <row r="2680" customHeight="1" spans="4:4">
      <c r="D2680" s="7" t="e">
        <f t="shared" si="41"/>
        <v>#DIV/0!</v>
      </c>
    </row>
    <row r="2681" customHeight="1" spans="4:4">
      <c r="D2681" s="7" t="e">
        <f t="shared" si="41"/>
        <v>#DIV/0!</v>
      </c>
    </row>
    <row r="2682" customHeight="1" spans="4:4">
      <c r="D2682" s="7" t="e">
        <f t="shared" si="41"/>
        <v>#DIV/0!</v>
      </c>
    </row>
    <row r="2683" customHeight="1" spans="4:4">
      <c r="D2683" s="7" t="e">
        <f t="shared" si="41"/>
        <v>#DIV/0!</v>
      </c>
    </row>
    <row r="2684" customHeight="1" spans="4:4">
      <c r="D2684" s="7" t="e">
        <f t="shared" si="41"/>
        <v>#DIV/0!</v>
      </c>
    </row>
    <row r="2685" customHeight="1" spans="4:4">
      <c r="D2685" s="7" t="e">
        <f t="shared" si="41"/>
        <v>#DIV/0!</v>
      </c>
    </row>
    <row r="2686" customHeight="1" spans="4:4">
      <c r="D2686" s="7" t="e">
        <f t="shared" si="41"/>
        <v>#DIV/0!</v>
      </c>
    </row>
    <row r="2687" customHeight="1" spans="4:4">
      <c r="D2687" s="7" t="e">
        <f t="shared" si="41"/>
        <v>#DIV/0!</v>
      </c>
    </row>
    <row r="2688" customHeight="1" spans="4:4">
      <c r="D2688" s="7" t="e">
        <f t="shared" si="41"/>
        <v>#DIV/0!</v>
      </c>
    </row>
    <row r="2689" customHeight="1" spans="4:4">
      <c r="D2689" s="7" t="e">
        <f t="shared" si="41"/>
        <v>#DIV/0!</v>
      </c>
    </row>
    <row r="2690" customHeight="1" spans="4:4">
      <c r="D2690" s="7" t="e">
        <f t="shared" si="41"/>
        <v>#DIV/0!</v>
      </c>
    </row>
    <row r="2691" customHeight="1" spans="4:4">
      <c r="D2691" s="7" t="e">
        <f t="shared" si="41"/>
        <v>#DIV/0!</v>
      </c>
    </row>
    <row r="2692" customHeight="1" spans="4:4">
      <c r="D2692" s="7" t="e">
        <f t="shared" ref="D2692:D2755" si="42">+B2692/C2692</f>
        <v>#DIV/0!</v>
      </c>
    </row>
    <row r="2693" customHeight="1" spans="4:4">
      <c r="D2693" s="7" t="e">
        <f t="shared" si="42"/>
        <v>#DIV/0!</v>
      </c>
    </row>
    <row r="2694" customHeight="1" spans="4:4">
      <c r="D2694" s="7" t="e">
        <f t="shared" si="42"/>
        <v>#DIV/0!</v>
      </c>
    </row>
    <row r="2695" customHeight="1" spans="4:4">
      <c r="D2695" s="7" t="e">
        <f t="shared" si="42"/>
        <v>#DIV/0!</v>
      </c>
    </row>
    <row r="2696" customHeight="1" spans="4:4">
      <c r="D2696" s="7" t="e">
        <f t="shared" si="42"/>
        <v>#DIV/0!</v>
      </c>
    </row>
    <row r="2697" customHeight="1" spans="4:4">
      <c r="D2697" s="7" t="e">
        <f t="shared" si="42"/>
        <v>#DIV/0!</v>
      </c>
    </row>
    <row r="2698" customHeight="1" spans="4:4">
      <c r="D2698" s="7" t="e">
        <f t="shared" si="42"/>
        <v>#DIV/0!</v>
      </c>
    </row>
    <row r="2699" customHeight="1" spans="4:4">
      <c r="D2699" s="7" t="e">
        <f t="shared" si="42"/>
        <v>#DIV/0!</v>
      </c>
    </row>
    <row r="2700" customHeight="1" spans="4:4">
      <c r="D2700" s="7" t="e">
        <f t="shared" si="42"/>
        <v>#DIV/0!</v>
      </c>
    </row>
    <row r="2701" customHeight="1" spans="4:4">
      <c r="D2701" s="7" t="e">
        <f t="shared" si="42"/>
        <v>#DIV/0!</v>
      </c>
    </row>
    <row r="2702" customHeight="1" spans="4:4">
      <c r="D2702" s="7" t="e">
        <f t="shared" si="42"/>
        <v>#DIV/0!</v>
      </c>
    </row>
    <row r="2703" customHeight="1" spans="4:4">
      <c r="D2703" s="7" t="e">
        <f t="shared" si="42"/>
        <v>#DIV/0!</v>
      </c>
    </row>
    <row r="2704" customHeight="1" spans="4:4">
      <c r="D2704" s="7" t="e">
        <f t="shared" si="42"/>
        <v>#DIV/0!</v>
      </c>
    </row>
    <row r="2705" customHeight="1" spans="4:4">
      <c r="D2705" s="7" t="e">
        <f t="shared" si="42"/>
        <v>#DIV/0!</v>
      </c>
    </row>
    <row r="2706" customHeight="1" spans="4:4">
      <c r="D2706" s="7" t="e">
        <f t="shared" si="42"/>
        <v>#DIV/0!</v>
      </c>
    </row>
    <row r="2707" customHeight="1" spans="4:4">
      <c r="D2707" s="7" t="e">
        <f t="shared" si="42"/>
        <v>#DIV/0!</v>
      </c>
    </row>
    <row r="2708" customHeight="1" spans="4:4">
      <c r="D2708" s="7" t="e">
        <f t="shared" si="42"/>
        <v>#DIV/0!</v>
      </c>
    </row>
    <row r="2709" customHeight="1" spans="4:4">
      <c r="D2709" s="7" t="e">
        <f t="shared" si="42"/>
        <v>#DIV/0!</v>
      </c>
    </row>
    <row r="2710" customHeight="1" spans="4:4">
      <c r="D2710" s="7" t="e">
        <f t="shared" si="42"/>
        <v>#DIV/0!</v>
      </c>
    </row>
    <row r="2711" customHeight="1" spans="4:4">
      <c r="D2711" s="7" t="e">
        <f t="shared" si="42"/>
        <v>#DIV/0!</v>
      </c>
    </row>
    <row r="2712" customHeight="1" spans="4:4">
      <c r="D2712" s="7" t="e">
        <f t="shared" si="42"/>
        <v>#DIV/0!</v>
      </c>
    </row>
    <row r="2713" customHeight="1" spans="4:4">
      <c r="D2713" s="7" t="e">
        <f t="shared" si="42"/>
        <v>#DIV/0!</v>
      </c>
    </row>
    <row r="2714" customHeight="1" spans="4:4">
      <c r="D2714" s="7" t="e">
        <f t="shared" si="42"/>
        <v>#DIV/0!</v>
      </c>
    </row>
    <row r="2715" customHeight="1" spans="4:4">
      <c r="D2715" s="7" t="e">
        <f t="shared" si="42"/>
        <v>#DIV/0!</v>
      </c>
    </row>
    <row r="2716" customHeight="1" spans="4:4">
      <c r="D2716" s="7" t="e">
        <f t="shared" si="42"/>
        <v>#DIV/0!</v>
      </c>
    </row>
    <row r="2717" customHeight="1" spans="4:4">
      <c r="D2717" s="7" t="e">
        <f t="shared" si="42"/>
        <v>#DIV/0!</v>
      </c>
    </row>
    <row r="2718" customHeight="1" spans="4:4">
      <c r="D2718" s="7" t="e">
        <f t="shared" si="42"/>
        <v>#DIV/0!</v>
      </c>
    </row>
    <row r="2719" customHeight="1" spans="4:4">
      <c r="D2719" s="7" t="e">
        <f t="shared" si="42"/>
        <v>#DIV/0!</v>
      </c>
    </row>
    <row r="2720" customHeight="1" spans="4:4">
      <c r="D2720" s="7" t="e">
        <f t="shared" si="42"/>
        <v>#DIV/0!</v>
      </c>
    </row>
    <row r="2721" customHeight="1" spans="4:4">
      <c r="D2721" s="7" t="e">
        <f t="shared" si="42"/>
        <v>#DIV/0!</v>
      </c>
    </row>
    <row r="2722" customHeight="1" spans="4:4">
      <c r="D2722" s="7" t="e">
        <f t="shared" si="42"/>
        <v>#DIV/0!</v>
      </c>
    </row>
    <row r="2723" customHeight="1" spans="4:4">
      <c r="D2723" s="7" t="e">
        <f t="shared" si="42"/>
        <v>#DIV/0!</v>
      </c>
    </row>
    <row r="2724" customHeight="1" spans="4:4">
      <c r="D2724" s="7" t="e">
        <f t="shared" si="42"/>
        <v>#DIV/0!</v>
      </c>
    </row>
    <row r="2725" customHeight="1" spans="4:4">
      <c r="D2725" s="7" t="e">
        <f t="shared" si="42"/>
        <v>#DIV/0!</v>
      </c>
    </row>
    <row r="2726" customHeight="1" spans="4:4">
      <c r="D2726" s="7" t="e">
        <f t="shared" si="42"/>
        <v>#DIV/0!</v>
      </c>
    </row>
    <row r="2727" customHeight="1" spans="4:4">
      <c r="D2727" s="7" t="e">
        <f t="shared" si="42"/>
        <v>#DIV/0!</v>
      </c>
    </row>
    <row r="2728" customHeight="1" spans="4:4">
      <c r="D2728" s="7" t="e">
        <f t="shared" si="42"/>
        <v>#DIV/0!</v>
      </c>
    </row>
    <row r="2729" customHeight="1" spans="4:4">
      <c r="D2729" s="7" t="e">
        <f t="shared" si="42"/>
        <v>#DIV/0!</v>
      </c>
    </row>
    <row r="2730" customHeight="1" spans="4:4">
      <c r="D2730" s="7" t="e">
        <f t="shared" si="42"/>
        <v>#DIV/0!</v>
      </c>
    </row>
    <row r="2731" customHeight="1" spans="4:4">
      <c r="D2731" s="7" t="e">
        <f t="shared" si="42"/>
        <v>#DIV/0!</v>
      </c>
    </row>
    <row r="2732" customHeight="1" spans="4:4">
      <c r="D2732" s="7" t="e">
        <f t="shared" si="42"/>
        <v>#DIV/0!</v>
      </c>
    </row>
    <row r="2733" customHeight="1" spans="4:4">
      <c r="D2733" s="7" t="e">
        <f t="shared" si="42"/>
        <v>#DIV/0!</v>
      </c>
    </row>
    <row r="2734" customHeight="1" spans="4:4">
      <c r="D2734" s="7" t="e">
        <f t="shared" si="42"/>
        <v>#DIV/0!</v>
      </c>
    </row>
    <row r="2735" customHeight="1" spans="4:4">
      <c r="D2735" s="7" t="e">
        <f t="shared" si="42"/>
        <v>#DIV/0!</v>
      </c>
    </row>
    <row r="2736" customHeight="1" spans="4:4">
      <c r="D2736" s="7" t="e">
        <f t="shared" si="42"/>
        <v>#DIV/0!</v>
      </c>
    </row>
    <row r="2737" customHeight="1" spans="4:4">
      <c r="D2737" s="7" t="e">
        <f t="shared" si="42"/>
        <v>#DIV/0!</v>
      </c>
    </row>
    <row r="2738" customHeight="1" spans="4:4">
      <c r="D2738" s="7" t="e">
        <f t="shared" si="42"/>
        <v>#DIV/0!</v>
      </c>
    </row>
    <row r="2739" customHeight="1" spans="4:4">
      <c r="D2739" s="7" t="e">
        <f t="shared" si="42"/>
        <v>#DIV/0!</v>
      </c>
    </row>
    <row r="2740" customHeight="1" spans="4:4">
      <c r="D2740" s="7" t="e">
        <f t="shared" si="42"/>
        <v>#DIV/0!</v>
      </c>
    </row>
    <row r="2741" customHeight="1" spans="4:4">
      <c r="D2741" s="7" t="e">
        <f t="shared" si="42"/>
        <v>#DIV/0!</v>
      </c>
    </row>
    <row r="2742" customHeight="1" spans="4:4">
      <c r="D2742" s="7" t="e">
        <f t="shared" si="42"/>
        <v>#DIV/0!</v>
      </c>
    </row>
    <row r="2743" customHeight="1" spans="4:4">
      <c r="D2743" s="7" t="e">
        <f t="shared" si="42"/>
        <v>#DIV/0!</v>
      </c>
    </row>
    <row r="2744" customHeight="1" spans="4:4">
      <c r="D2744" s="7" t="e">
        <f t="shared" si="42"/>
        <v>#DIV/0!</v>
      </c>
    </row>
    <row r="2745" customHeight="1" spans="4:4">
      <c r="D2745" s="7" t="e">
        <f t="shared" si="42"/>
        <v>#DIV/0!</v>
      </c>
    </row>
    <row r="2746" customHeight="1" spans="4:4">
      <c r="D2746" s="7" t="e">
        <f t="shared" si="42"/>
        <v>#DIV/0!</v>
      </c>
    </row>
    <row r="2747" customHeight="1" spans="4:4">
      <c r="D2747" s="7" t="e">
        <f t="shared" si="42"/>
        <v>#DIV/0!</v>
      </c>
    </row>
    <row r="2748" customHeight="1" spans="4:4">
      <c r="D2748" s="7" t="e">
        <f t="shared" si="42"/>
        <v>#DIV/0!</v>
      </c>
    </row>
    <row r="2749" customHeight="1" spans="4:4">
      <c r="D2749" s="7" t="e">
        <f t="shared" si="42"/>
        <v>#DIV/0!</v>
      </c>
    </row>
    <row r="2750" customHeight="1" spans="4:4">
      <c r="D2750" s="7" t="e">
        <f t="shared" si="42"/>
        <v>#DIV/0!</v>
      </c>
    </row>
    <row r="2751" customHeight="1" spans="4:4">
      <c r="D2751" s="7" t="e">
        <f t="shared" si="42"/>
        <v>#DIV/0!</v>
      </c>
    </row>
    <row r="2752" customHeight="1" spans="4:4">
      <c r="D2752" s="7" t="e">
        <f t="shared" si="42"/>
        <v>#DIV/0!</v>
      </c>
    </row>
    <row r="2753" customHeight="1" spans="4:4">
      <c r="D2753" s="7" t="e">
        <f t="shared" si="42"/>
        <v>#DIV/0!</v>
      </c>
    </row>
    <row r="2754" customHeight="1" spans="4:4">
      <c r="D2754" s="7" t="e">
        <f t="shared" si="42"/>
        <v>#DIV/0!</v>
      </c>
    </row>
    <row r="2755" customHeight="1" spans="4:4">
      <c r="D2755" s="7" t="e">
        <f t="shared" si="42"/>
        <v>#DIV/0!</v>
      </c>
    </row>
    <row r="2756" customHeight="1" spans="4:4">
      <c r="D2756" s="7" t="e">
        <f t="shared" ref="D2756:D2819" si="43">+B2756/C2756</f>
        <v>#DIV/0!</v>
      </c>
    </row>
    <row r="2757" customHeight="1" spans="4:4">
      <c r="D2757" s="7" t="e">
        <f t="shared" si="43"/>
        <v>#DIV/0!</v>
      </c>
    </row>
    <row r="2758" customHeight="1" spans="4:4">
      <c r="D2758" s="7" t="e">
        <f t="shared" si="43"/>
        <v>#DIV/0!</v>
      </c>
    </row>
    <row r="2759" customHeight="1" spans="4:4">
      <c r="D2759" s="7" t="e">
        <f t="shared" si="43"/>
        <v>#DIV/0!</v>
      </c>
    </row>
    <row r="2760" customHeight="1" spans="4:4">
      <c r="D2760" s="7" t="e">
        <f t="shared" si="43"/>
        <v>#DIV/0!</v>
      </c>
    </row>
    <row r="2761" customHeight="1" spans="4:4">
      <c r="D2761" s="7" t="e">
        <f t="shared" si="43"/>
        <v>#DIV/0!</v>
      </c>
    </row>
    <row r="2762" customHeight="1" spans="4:4">
      <c r="D2762" s="7" t="e">
        <f t="shared" si="43"/>
        <v>#DIV/0!</v>
      </c>
    </row>
    <row r="2763" customHeight="1" spans="4:4">
      <c r="D2763" s="7" t="e">
        <f t="shared" si="43"/>
        <v>#DIV/0!</v>
      </c>
    </row>
    <row r="2764" customHeight="1" spans="4:4">
      <c r="D2764" s="7" t="e">
        <f t="shared" si="43"/>
        <v>#DIV/0!</v>
      </c>
    </row>
    <row r="2765" customHeight="1" spans="4:4">
      <c r="D2765" s="7" t="e">
        <f t="shared" si="43"/>
        <v>#DIV/0!</v>
      </c>
    </row>
    <row r="2766" customHeight="1" spans="4:4">
      <c r="D2766" s="7" t="e">
        <f t="shared" si="43"/>
        <v>#DIV/0!</v>
      </c>
    </row>
    <row r="2767" customHeight="1" spans="4:4">
      <c r="D2767" s="7" t="e">
        <f t="shared" si="43"/>
        <v>#DIV/0!</v>
      </c>
    </row>
    <row r="2768" customHeight="1" spans="4:4">
      <c r="D2768" s="7" t="e">
        <f t="shared" si="43"/>
        <v>#DIV/0!</v>
      </c>
    </row>
    <row r="2769" customHeight="1" spans="4:4">
      <c r="D2769" s="7" t="e">
        <f t="shared" si="43"/>
        <v>#DIV/0!</v>
      </c>
    </row>
    <row r="2770" customHeight="1" spans="4:4">
      <c r="D2770" s="7" t="e">
        <f t="shared" si="43"/>
        <v>#DIV/0!</v>
      </c>
    </row>
    <row r="2771" customHeight="1" spans="4:4">
      <c r="D2771" s="7" t="e">
        <f t="shared" si="43"/>
        <v>#DIV/0!</v>
      </c>
    </row>
    <row r="2772" customHeight="1" spans="4:4">
      <c r="D2772" s="7" t="e">
        <f t="shared" si="43"/>
        <v>#DIV/0!</v>
      </c>
    </row>
    <row r="2773" customHeight="1" spans="4:4">
      <c r="D2773" s="7" t="e">
        <f t="shared" si="43"/>
        <v>#DIV/0!</v>
      </c>
    </row>
    <row r="2774" customHeight="1" spans="4:4">
      <c r="D2774" s="7" t="e">
        <f t="shared" si="43"/>
        <v>#DIV/0!</v>
      </c>
    </row>
    <row r="2775" customHeight="1" spans="4:4">
      <c r="D2775" s="7" t="e">
        <f t="shared" si="43"/>
        <v>#DIV/0!</v>
      </c>
    </row>
    <row r="2776" customHeight="1" spans="4:4">
      <c r="D2776" s="7" t="e">
        <f t="shared" si="43"/>
        <v>#DIV/0!</v>
      </c>
    </row>
    <row r="2777" customHeight="1" spans="4:4">
      <c r="D2777" s="7" t="e">
        <f t="shared" si="43"/>
        <v>#DIV/0!</v>
      </c>
    </row>
    <row r="2778" customHeight="1" spans="4:4">
      <c r="D2778" s="7" t="e">
        <f t="shared" si="43"/>
        <v>#DIV/0!</v>
      </c>
    </row>
    <row r="2779" customHeight="1" spans="4:4">
      <c r="D2779" s="7" t="e">
        <f t="shared" si="43"/>
        <v>#DIV/0!</v>
      </c>
    </row>
    <row r="2780" customHeight="1" spans="4:4">
      <c r="D2780" s="7" t="e">
        <f t="shared" si="43"/>
        <v>#DIV/0!</v>
      </c>
    </row>
    <row r="2781" customHeight="1" spans="4:4">
      <c r="D2781" s="7" t="e">
        <f t="shared" si="43"/>
        <v>#DIV/0!</v>
      </c>
    </row>
    <row r="2782" customHeight="1" spans="4:4">
      <c r="D2782" s="7" t="e">
        <f t="shared" si="43"/>
        <v>#DIV/0!</v>
      </c>
    </row>
    <row r="2783" customHeight="1" spans="4:4">
      <c r="D2783" s="7" t="e">
        <f t="shared" si="43"/>
        <v>#DIV/0!</v>
      </c>
    </row>
    <row r="2784" customHeight="1" spans="4:4">
      <c r="D2784" s="7" t="e">
        <f t="shared" si="43"/>
        <v>#DIV/0!</v>
      </c>
    </row>
    <row r="2785" customHeight="1" spans="4:4">
      <c r="D2785" s="7" t="e">
        <f t="shared" si="43"/>
        <v>#DIV/0!</v>
      </c>
    </row>
    <row r="2786" customHeight="1" spans="4:4">
      <c r="D2786" s="7" t="e">
        <f t="shared" si="43"/>
        <v>#DIV/0!</v>
      </c>
    </row>
    <row r="2787" customHeight="1" spans="4:4">
      <c r="D2787" s="7" t="e">
        <f t="shared" si="43"/>
        <v>#DIV/0!</v>
      </c>
    </row>
    <row r="2788" customHeight="1" spans="4:4">
      <c r="D2788" s="7" t="e">
        <f t="shared" si="43"/>
        <v>#DIV/0!</v>
      </c>
    </row>
    <row r="2789" customHeight="1" spans="4:4">
      <c r="D2789" s="7" t="e">
        <f t="shared" si="43"/>
        <v>#DIV/0!</v>
      </c>
    </row>
    <row r="2790" customHeight="1" spans="4:4">
      <c r="D2790" s="7" t="e">
        <f t="shared" si="43"/>
        <v>#DIV/0!</v>
      </c>
    </row>
    <row r="2791" customHeight="1" spans="4:4">
      <c r="D2791" s="7" t="e">
        <f t="shared" si="43"/>
        <v>#DIV/0!</v>
      </c>
    </row>
    <row r="2792" customHeight="1" spans="4:4">
      <c r="D2792" s="7" t="e">
        <f t="shared" si="43"/>
        <v>#DIV/0!</v>
      </c>
    </row>
    <row r="2793" customHeight="1" spans="4:4">
      <c r="D2793" s="7" t="e">
        <f t="shared" si="43"/>
        <v>#DIV/0!</v>
      </c>
    </row>
    <row r="2794" customHeight="1" spans="4:4">
      <c r="D2794" s="7" t="e">
        <f t="shared" si="43"/>
        <v>#DIV/0!</v>
      </c>
    </row>
    <row r="2795" customHeight="1" spans="4:4">
      <c r="D2795" s="7" t="e">
        <f t="shared" si="43"/>
        <v>#DIV/0!</v>
      </c>
    </row>
    <row r="2796" customHeight="1" spans="4:4">
      <c r="D2796" s="7" t="e">
        <f t="shared" si="43"/>
        <v>#DIV/0!</v>
      </c>
    </row>
    <row r="2797" customHeight="1" spans="4:4">
      <c r="D2797" s="7" t="e">
        <f t="shared" si="43"/>
        <v>#DIV/0!</v>
      </c>
    </row>
    <row r="2798" customHeight="1" spans="4:4">
      <c r="D2798" s="7" t="e">
        <f t="shared" si="43"/>
        <v>#DIV/0!</v>
      </c>
    </row>
    <row r="2799" customHeight="1" spans="4:4">
      <c r="D2799" s="7" t="e">
        <f t="shared" si="43"/>
        <v>#DIV/0!</v>
      </c>
    </row>
    <row r="2800" customHeight="1" spans="4:4">
      <c r="D2800" s="7" t="e">
        <f t="shared" si="43"/>
        <v>#DIV/0!</v>
      </c>
    </row>
    <row r="2801" customHeight="1" spans="4:4">
      <c r="D2801" s="7" t="e">
        <f t="shared" si="43"/>
        <v>#DIV/0!</v>
      </c>
    </row>
    <row r="2802" customHeight="1" spans="4:4">
      <c r="D2802" s="7" t="e">
        <f t="shared" si="43"/>
        <v>#DIV/0!</v>
      </c>
    </row>
    <row r="2803" customHeight="1" spans="4:4">
      <c r="D2803" s="7" t="e">
        <f t="shared" si="43"/>
        <v>#DIV/0!</v>
      </c>
    </row>
    <row r="2804" customHeight="1" spans="4:4">
      <c r="D2804" s="7" t="e">
        <f t="shared" si="43"/>
        <v>#DIV/0!</v>
      </c>
    </row>
    <row r="2805" customHeight="1" spans="4:4">
      <c r="D2805" s="7" t="e">
        <f t="shared" si="43"/>
        <v>#DIV/0!</v>
      </c>
    </row>
    <row r="2806" customHeight="1" spans="4:4">
      <c r="D2806" s="7" t="e">
        <f t="shared" si="43"/>
        <v>#DIV/0!</v>
      </c>
    </row>
    <row r="2807" customHeight="1" spans="4:4">
      <c r="D2807" s="7" t="e">
        <f t="shared" si="43"/>
        <v>#DIV/0!</v>
      </c>
    </row>
    <row r="2808" customHeight="1" spans="4:4">
      <c r="D2808" s="7" t="e">
        <f t="shared" si="43"/>
        <v>#DIV/0!</v>
      </c>
    </row>
    <row r="2809" customHeight="1" spans="4:4">
      <c r="D2809" s="7" t="e">
        <f t="shared" si="43"/>
        <v>#DIV/0!</v>
      </c>
    </row>
    <row r="2810" customHeight="1" spans="4:4">
      <c r="D2810" s="7" t="e">
        <f t="shared" si="43"/>
        <v>#DIV/0!</v>
      </c>
    </row>
    <row r="2811" customHeight="1" spans="4:4">
      <c r="D2811" s="7" t="e">
        <f t="shared" si="43"/>
        <v>#DIV/0!</v>
      </c>
    </row>
    <row r="2812" customHeight="1" spans="4:4">
      <c r="D2812" s="7" t="e">
        <f t="shared" si="43"/>
        <v>#DIV/0!</v>
      </c>
    </row>
    <row r="2813" customHeight="1" spans="4:4">
      <c r="D2813" s="7" t="e">
        <f t="shared" si="43"/>
        <v>#DIV/0!</v>
      </c>
    </row>
    <row r="2814" customHeight="1" spans="4:4">
      <c r="D2814" s="7" t="e">
        <f t="shared" si="43"/>
        <v>#DIV/0!</v>
      </c>
    </row>
    <row r="2815" customHeight="1" spans="4:4">
      <c r="D2815" s="7" t="e">
        <f t="shared" si="43"/>
        <v>#DIV/0!</v>
      </c>
    </row>
    <row r="2816" customHeight="1" spans="4:4">
      <c r="D2816" s="7" t="e">
        <f t="shared" si="43"/>
        <v>#DIV/0!</v>
      </c>
    </row>
    <row r="2817" customHeight="1" spans="4:4">
      <c r="D2817" s="7" t="e">
        <f t="shared" si="43"/>
        <v>#DIV/0!</v>
      </c>
    </row>
    <row r="2818" customHeight="1" spans="4:4">
      <c r="D2818" s="7" t="e">
        <f t="shared" si="43"/>
        <v>#DIV/0!</v>
      </c>
    </row>
    <row r="2819" customHeight="1" spans="4:4">
      <c r="D2819" s="7" t="e">
        <f t="shared" si="43"/>
        <v>#DIV/0!</v>
      </c>
    </row>
    <row r="2820" customHeight="1" spans="4:4">
      <c r="D2820" s="7" t="e">
        <f t="shared" ref="D2820:D2883" si="44">+B2820/C2820</f>
        <v>#DIV/0!</v>
      </c>
    </row>
    <row r="2821" customHeight="1" spans="4:4">
      <c r="D2821" s="7" t="e">
        <f t="shared" si="44"/>
        <v>#DIV/0!</v>
      </c>
    </row>
    <row r="2822" customHeight="1" spans="4:4">
      <c r="D2822" s="7" t="e">
        <f t="shared" si="44"/>
        <v>#DIV/0!</v>
      </c>
    </row>
    <row r="2823" customHeight="1" spans="4:4">
      <c r="D2823" s="7" t="e">
        <f t="shared" si="44"/>
        <v>#DIV/0!</v>
      </c>
    </row>
    <row r="2824" customHeight="1" spans="4:4">
      <c r="D2824" s="7" t="e">
        <f t="shared" si="44"/>
        <v>#DIV/0!</v>
      </c>
    </row>
    <row r="2825" customHeight="1" spans="4:4">
      <c r="D2825" s="7" t="e">
        <f t="shared" si="44"/>
        <v>#DIV/0!</v>
      </c>
    </row>
    <row r="2826" customHeight="1" spans="4:4">
      <c r="D2826" s="7" t="e">
        <f t="shared" si="44"/>
        <v>#DIV/0!</v>
      </c>
    </row>
    <row r="2827" customHeight="1" spans="4:4">
      <c r="D2827" s="7" t="e">
        <f t="shared" si="44"/>
        <v>#DIV/0!</v>
      </c>
    </row>
    <row r="2828" customHeight="1" spans="4:4">
      <c r="D2828" s="7" t="e">
        <f t="shared" si="44"/>
        <v>#DIV/0!</v>
      </c>
    </row>
    <row r="2829" customHeight="1" spans="4:4">
      <c r="D2829" s="7" t="e">
        <f t="shared" si="44"/>
        <v>#DIV/0!</v>
      </c>
    </row>
    <row r="2830" customHeight="1" spans="4:4">
      <c r="D2830" s="7" t="e">
        <f t="shared" si="44"/>
        <v>#DIV/0!</v>
      </c>
    </row>
    <row r="2831" customHeight="1" spans="4:4">
      <c r="D2831" s="7" t="e">
        <f t="shared" si="44"/>
        <v>#DIV/0!</v>
      </c>
    </row>
    <row r="2832" customHeight="1" spans="4:4">
      <c r="D2832" s="7" t="e">
        <f t="shared" si="44"/>
        <v>#DIV/0!</v>
      </c>
    </row>
    <row r="2833" customHeight="1" spans="4:4">
      <c r="D2833" s="7" t="e">
        <f t="shared" si="44"/>
        <v>#DIV/0!</v>
      </c>
    </row>
    <row r="2834" customHeight="1" spans="4:4">
      <c r="D2834" s="7" t="e">
        <f t="shared" si="44"/>
        <v>#DIV/0!</v>
      </c>
    </row>
    <row r="2835" customHeight="1" spans="4:4">
      <c r="D2835" s="7" t="e">
        <f t="shared" si="44"/>
        <v>#DIV/0!</v>
      </c>
    </row>
    <row r="2836" customHeight="1" spans="4:4">
      <c r="D2836" s="7" t="e">
        <f t="shared" si="44"/>
        <v>#DIV/0!</v>
      </c>
    </row>
    <row r="2837" customHeight="1" spans="4:4">
      <c r="D2837" s="7" t="e">
        <f t="shared" si="44"/>
        <v>#DIV/0!</v>
      </c>
    </row>
    <row r="2838" customHeight="1" spans="4:4">
      <c r="D2838" s="7" t="e">
        <f t="shared" si="44"/>
        <v>#DIV/0!</v>
      </c>
    </row>
    <row r="2839" customHeight="1" spans="4:4">
      <c r="D2839" s="7" t="e">
        <f t="shared" si="44"/>
        <v>#DIV/0!</v>
      </c>
    </row>
    <row r="2840" customHeight="1" spans="4:4">
      <c r="D2840" s="7" t="e">
        <f t="shared" si="44"/>
        <v>#DIV/0!</v>
      </c>
    </row>
    <row r="2841" customHeight="1" spans="4:4">
      <c r="D2841" s="7" t="e">
        <f t="shared" si="44"/>
        <v>#DIV/0!</v>
      </c>
    </row>
    <row r="2842" customHeight="1" spans="4:4">
      <c r="D2842" s="7" t="e">
        <f t="shared" si="44"/>
        <v>#DIV/0!</v>
      </c>
    </row>
    <row r="2843" customHeight="1" spans="4:4">
      <c r="D2843" s="7" t="e">
        <f t="shared" si="44"/>
        <v>#DIV/0!</v>
      </c>
    </row>
    <row r="2844" customHeight="1" spans="4:4">
      <c r="D2844" s="7" t="e">
        <f t="shared" si="44"/>
        <v>#DIV/0!</v>
      </c>
    </row>
    <row r="2845" customHeight="1" spans="4:4">
      <c r="D2845" s="7" t="e">
        <f t="shared" si="44"/>
        <v>#DIV/0!</v>
      </c>
    </row>
    <row r="2846" customHeight="1" spans="4:4">
      <c r="D2846" s="7" t="e">
        <f t="shared" si="44"/>
        <v>#DIV/0!</v>
      </c>
    </row>
    <row r="2847" customHeight="1" spans="4:4">
      <c r="D2847" s="7" t="e">
        <f t="shared" si="44"/>
        <v>#DIV/0!</v>
      </c>
    </row>
    <row r="2848" customHeight="1" spans="4:4">
      <c r="D2848" s="7" t="e">
        <f t="shared" si="44"/>
        <v>#DIV/0!</v>
      </c>
    </row>
    <row r="2849" customHeight="1" spans="4:4">
      <c r="D2849" s="7" t="e">
        <f t="shared" si="44"/>
        <v>#DIV/0!</v>
      </c>
    </row>
    <row r="2850" customHeight="1" spans="4:4">
      <c r="D2850" s="7" t="e">
        <f t="shared" si="44"/>
        <v>#DIV/0!</v>
      </c>
    </row>
    <row r="2851" customHeight="1" spans="4:4">
      <c r="D2851" s="7" t="e">
        <f t="shared" si="44"/>
        <v>#DIV/0!</v>
      </c>
    </row>
    <row r="2852" customHeight="1" spans="4:4">
      <c r="D2852" s="7" t="e">
        <f t="shared" si="44"/>
        <v>#DIV/0!</v>
      </c>
    </row>
    <row r="2853" customHeight="1" spans="4:4">
      <c r="D2853" s="7" t="e">
        <f t="shared" si="44"/>
        <v>#DIV/0!</v>
      </c>
    </row>
    <row r="2854" customHeight="1" spans="4:4">
      <c r="D2854" s="7" t="e">
        <f t="shared" si="44"/>
        <v>#DIV/0!</v>
      </c>
    </row>
    <row r="2855" customHeight="1" spans="4:4">
      <c r="D2855" s="7" t="e">
        <f t="shared" si="44"/>
        <v>#DIV/0!</v>
      </c>
    </row>
    <row r="2856" customHeight="1" spans="4:4">
      <c r="D2856" s="7" t="e">
        <f t="shared" si="44"/>
        <v>#DIV/0!</v>
      </c>
    </row>
    <row r="2857" customHeight="1" spans="4:4">
      <c r="D2857" s="7" t="e">
        <f t="shared" si="44"/>
        <v>#DIV/0!</v>
      </c>
    </row>
    <row r="2858" customHeight="1" spans="4:4">
      <c r="D2858" s="7" t="e">
        <f t="shared" si="44"/>
        <v>#DIV/0!</v>
      </c>
    </row>
    <row r="2859" customHeight="1" spans="4:4">
      <c r="D2859" s="7" t="e">
        <f t="shared" si="44"/>
        <v>#DIV/0!</v>
      </c>
    </row>
    <row r="2860" customHeight="1" spans="4:4">
      <c r="D2860" s="7" t="e">
        <f t="shared" si="44"/>
        <v>#DIV/0!</v>
      </c>
    </row>
    <row r="2861" customHeight="1" spans="4:4">
      <c r="D2861" s="7" t="e">
        <f t="shared" si="44"/>
        <v>#DIV/0!</v>
      </c>
    </row>
    <row r="2862" customHeight="1" spans="4:4">
      <c r="D2862" s="7" t="e">
        <f t="shared" si="44"/>
        <v>#DIV/0!</v>
      </c>
    </row>
    <row r="2863" customHeight="1" spans="4:4">
      <c r="D2863" s="7" t="e">
        <f t="shared" si="44"/>
        <v>#DIV/0!</v>
      </c>
    </row>
    <row r="2864" customHeight="1" spans="4:4">
      <c r="D2864" s="7" t="e">
        <f t="shared" si="44"/>
        <v>#DIV/0!</v>
      </c>
    </row>
    <row r="2865" customHeight="1" spans="4:4">
      <c r="D2865" s="7" t="e">
        <f t="shared" si="44"/>
        <v>#DIV/0!</v>
      </c>
    </row>
    <row r="2866" customHeight="1" spans="4:4">
      <c r="D2866" s="7" t="e">
        <f t="shared" si="44"/>
        <v>#DIV/0!</v>
      </c>
    </row>
    <row r="2867" customHeight="1" spans="4:4">
      <c r="D2867" s="7" t="e">
        <f t="shared" si="44"/>
        <v>#DIV/0!</v>
      </c>
    </row>
    <row r="2868" customHeight="1" spans="4:4">
      <c r="D2868" s="7" t="e">
        <f t="shared" si="44"/>
        <v>#DIV/0!</v>
      </c>
    </row>
    <row r="2869" customHeight="1" spans="4:4">
      <c r="D2869" s="7" t="e">
        <f t="shared" si="44"/>
        <v>#DIV/0!</v>
      </c>
    </row>
    <row r="2870" customHeight="1" spans="4:4">
      <c r="D2870" s="7" t="e">
        <f t="shared" si="44"/>
        <v>#DIV/0!</v>
      </c>
    </row>
    <row r="2871" customHeight="1" spans="4:4">
      <c r="D2871" s="7" t="e">
        <f t="shared" si="44"/>
        <v>#DIV/0!</v>
      </c>
    </row>
    <row r="2872" customHeight="1" spans="4:4">
      <c r="D2872" s="7" t="e">
        <f t="shared" si="44"/>
        <v>#DIV/0!</v>
      </c>
    </row>
    <row r="2873" customHeight="1" spans="4:4">
      <c r="D2873" s="7" t="e">
        <f t="shared" si="44"/>
        <v>#DIV/0!</v>
      </c>
    </row>
    <row r="2874" customHeight="1" spans="4:4">
      <c r="D2874" s="7" t="e">
        <f t="shared" si="44"/>
        <v>#DIV/0!</v>
      </c>
    </row>
    <row r="2875" customHeight="1" spans="4:4">
      <c r="D2875" s="7" t="e">
        <f t="shared" si="44"/>
        <v>#DIV/0!</v>
      </c>
    </row>
    <row r="2876" customHeight="1" spans="4:4">
      <c r="D2876" s="7" t="e">
        <f t="shared" si="44"/>
        <v>#DIV/0!</v>
      </c>
    </row>
    <row r="2877" customHeight="1" spans="4:4">
      <c r="D2877" s="7" t="e">
        <f t="shared" si="44"/>
        <v>#DIV/0!</v>
      </c>
    </row>
    <row r="2878" customHeight="1" spans="4:4">
      <c r="D2878" s="7" t="e">
        <f t="shared" si="44"/>
        <v>#DIV/0!</v>
      </c>
    </row>
    <row r="2879" customHeight="1" spans="4:4">
      <c r="D2879" s="7" t="e">
        <f t="shared" si="44"/>
        <v>#DIV/0!</v>
      </c>
    </row>
    <row r="2880" customHeight="1" spans="4:4">
      <c r="D2880" s="7" t="e">
        <f t="shared" si="44"/>
        <v>#DIV/0!</v>
      </c>
    </row>
    <row r="2881" customHeight="1" spans="4:4">
      <c r="D2881" s="7" t="e">
        <f t="shared" si="44"/>
        <v>#DIV/0!</v>
      </c>
    </row>
    <row r="2882" customHeight="1" spans="4:4">
      <c r="D2882" s="7" t="e">
        <f t="shared" si="44"/>
        <v>#DIV/0!</v>
      </c>
    </row>
    <row r="2883" customHeight="1" spans="4:4">
      <c r="D2883" s="7" t="e">
        <f t="shared" si="44"/>
        <v>#DIV/0!</v>
      </c>
    </row>
    <row r="2884" customHeight="1" spans="4:4">
      <c r="D2884" s="7" t="e">
        <f t="shared" ref="D2884:D2947" si="45">+B2884/C2884</f>
        <v>#DIV/0!</v>
      </c>
    </row>
    <row r="2885" customHeight="1" spans="4:4">
      <c r="D2885" s="7" t="e">
        <f t="shared" si="45"/>
        <v>#DIV/0!</v>
      </c>
    </row>
    <row r="2886" customHeight="1" spans="4:4">
      <c r="D2886" s="7" t="e">
        <f t="shared" si="45"/>
        <v>#DIV/0!</v>
      </c>
    </row>
    <row r="2887" customHeight="1" spans="4:4">
      <c r="D2887" s="7" t="e">
        <f t="shared" si="45"/>
        <v>#DIV/0!</v>
      </c>
    </row>
    <row r="2888" customHeight="1" spans="4:4">
      <c r="D2888" s="7" t="e">
        <f t="shared" si="45"/>
        <v>#DIV/0!</v>
      </c>
    </row>
    <row r="2889" customHeight="1" spans="4:4">
      <c r="D2889" s="7" t="e">
        <f t="shared" si="45"/>
        <v>#DIV/0!</v>
      </c>
    </row>
    <row r="2890" customHeight="1" spans="4:4">
      <c r="D2890" s="7" t="e">
        <f t="shared" si="45"/>
        <v>#DIV/0!</v>
      </c>
    </row>
    <row r="2891" customHeight="1" spans="4:4">
      <c r="D2891" s="7" t="e">
        <f t="shared" si="45"/>
        <v>#DIV/0!</v>
      </c>
    </row>
    <row r="2892" customHeight="1" spans="4:4">
      <c r="D2892" s="7" t="e">
        <f t="shared" si="45"/>
        <v>#DIV/0!</v>
      </c>
    </row>
    <row r="2893" customHeight="1" spans="4:4">
      <c r="D2893" s="7" t="e">
        <f t="shared" si="45"/>
        <v>#DIV/0!</v>
      </c>
    </row>
    <row r="2894" customHeight="1" spans="4:4">
      <c r="D2894" s="7" t="e">
        <f t="shared" si="45"/>
        <v>#DIV/0!</v>
      </c>
    </row>
    <row r="2895" customHeight="1" spans="4:4">
      <c r="D2895" s="7" t="e">
        <f t="shared" si="45"/>
        <v>#DIV/0!</v>
      </c>
    </row>
    <row r="2896" customHeight="1" spans="4:4">
      <c r="D2896" s="7" t="e">
        <f t="shared" si="45"/>
        <v>#DIV/0!</v>
      </c>
    </row>
    <row r="2897" customHeight="1" spans="4:4">
      <c r="D2897" s="7" t="e">
        <f t="shared" si="45"/>
        <v>#DIV/0!</v>
      </c>
    </row>
    <row r="2898" customHeight="1" spans="4:4">
      <c r="D2898" s="7" t="e">
        <f t="shared" si="45"/>
        <v>#DIV/0!</v>
      </c>
    </row>
    <row r="2899" customHeight="1" spans="4:4">
      <c r="D2899" s="7" t="e">
        <f t="shared" si="45"/>
        <v>#DIV/0!</v>
      </c>
    </row>
    <row r="2900" customHeight="1" spans="4:4">
      <c r="D2900" s="7" t="e">
        <f t="shared" si="45"/>
        <v>#DIV/0!</v>
      </c>
    </row>
    <row r="2901" customHeight="1" spans="4:4">
      <c r="D2901" s="7" t="e">
        <f t="shared" si="45"/>
        <v>#DIV/0!</v>
      </c>
    </row>
    <row r="2902" customHeight="1" spans="4:4">
      <c r="D2902" s="7" t="e">
        <f t="shared" si="45"/>
        <v>#DIV/0!</v>
      </c>
    </row>
    <row r="2903" customHeight="1" spans="4:4">
      <c r="D2903" s="7" t="e">
        <f t="shared" si="45"/>
        <v>#DIV/0!</v>
      </c>
    </row>
    <row r="2904" customHeight="1" spans="4:4">
      <c r="D2904" s="7" t="e">
        <f t="shared" si="45"/>
        <v>#DIV/0!</v>
      </c>
    </row>
    <row r="2905" customHeight="1" spans="4:4">
      <c r="D2905" s="7" t="e">
        <f t="shared" si="45"/>
        <v>#DIV/0!</v>
      </c>
    </row>
    <row r="2906" customHeight="1" spans="4:4">
      <c r="D2906" s="7" t="e">
        <f t="shared" si="45"/>
        <v>#DIV/0!</v>
      </c>
    </row>
    <row r="2907" customHeight="1" spans="4:4">
      <c r="D2907" s="7" t="e">
        <f t="shared" si="45"/>
        <v>#DIV/0!</v>
      </c>
    </row>
    <row r="2908" customHeight="1" spans="4:4">
      <c r="D2908" s="7" t="e">
        <f t="shared" si="45"/>
        <v>#DIV/0!</v>
      </c>
    </row>
    <row r="2909" customHeight="1" spans="4:4">
      <c r="D2909" s="7" t="e">
        <f t="shared" si="45"/>
        <v>#DIV/0!</v>
      </c>
    </row>
    <row r="2910" customHeight="1" spans="4:4">
      <c r="D2910" s="7" t="e">
        <f t="shared" si="45"/>
        <v>#DIV/0!</v>
      </c>
    </row>
    <row r="2911" customHeight="1" spans="4:4">
      <c r="D2911" s="7" t="e">
        <f t="shared" si="45"/>
        <v>#DIV/0!</v>
      </c>
    </row>
    <row r="2912" customHeight="1" spans="4:4">
      <c r="D2912" s="7" t="e">
        <f t="shared" si="45"/>
        <v>#DIV/0!</v>
      </c>
    </row>
    <row r="2913" customHeight="1" spans="4:4">
      <c r="D2913" s="7" t="e">
        <f t="shared" si="45"/>
        <v>#DIV/0!</v>
      </c>
    </row>
    <row r="2914" customHeight="1" spans="4:4">
      <c r="D2914" s="7" t="e">
        <f t="shared" si="45"/>
        <v>#DIV/0!</v>
      </c>
    </row>
    <row r="2915" customHeight="1" spans="4:4">
      <c r="D2915" s="7" t="e">
        <f t="shared" si="45"/>
        <v>#DIV/0!</v>
      </c>
    </row>
    <row r="2916" customHeight="1" spans="4:4">
      <c r="D2916" s="7" t="e">
        <f t="shared" si="45"/>
        <v>#DIV/0!</v>
      </c>
    </row>
    <row r="2917" customHeight="1" spans="4:4">
      <c r="D2917" s="7" t="e">
        <f t="shared" si="45"/>
        <v>#DIV/0!</v>
      </c>
    </row>
    <row r="2918" customHeight="1" spans="4:4">
      <c r="D2918" s="7" t="e">
        <f t="shared" si="45"/>
        <v>#DIV/0!</v>
      </c>
    </row>
    <row r="2919" customHeight="1" spans="4:4">
      <c r="D2919" s="7" t="e">
        <f t="shared" si="45"/>
        <v>#DIV/0!</v>
      </c>
    </row>
    <row r="2920" customHeight="1" spans="4:4">
      <c r="D2920" s="7" t="e">
        <f t="shared" si="45"/>
        <v>#DIV/0!</v>
      </c>
    </row>
    <row r="2921" customHeight="1" spans="4:4">
      <c r="D2921" s="7" t="e">
        <f t="shared" si="45"/>
        <v>#DIV/0!</v>
      </c>
    </row>
    <row r="2922" customHeight="1" spans="4:4">
      <c r="D2922" s="7" t="e">
        <f t="shared" si="45"/>
        <v>#DIV/0!</v>
      </c>
    </row>
    <row r="2923" customHeight="1" spans="4:4">
      <c r="D2923" s="7" t="e">
        <f t="shared" si="45"/>
        <v>#DIV/0!</v>
      </c>
    </row>
    <row r="2924" customHeight="1" spans="4:4">
      <c r="D2924" s="7" t="e">
        <f t="shared" si="45"/>
        <v>#DIV/0!</v>
      </c>
    </row>
    <row r="2925" customHeight="1" spans="4:4">
      <c r="D2925" s="7" t="e">
        <f t="shared" si="45"/>
        <v>#DIV/0!</v>
      </c>
    </row>
    <row r="2926" customHeight="1" spans="4:4">
      <c r="D2926" s="7" t="e">
        <f t="shared" si="45"/>
        <v>#DIV/0!</v>
      </c>
    </row>
    <row r="2927" customHeight="1" spans="4:4">
      <c r="D2927" s="7" t="e">
        <f t="shared" si="45"/>
        <v>#DIV/0!</v>
      </c>
    </row>
    <row r="2928" customHeight="1" spans="4:4">
      <c r="D2928" s="7" t="e">
        <f t="shared" si="45"/>
        <v>#DIV/0!</v>
      </c>
    </row>
    <row r="2929" customHeight="1" spans="4:4">
      <c r="D2929" s="7" t="e">
        <f t="shared" si="45"/>
        <v>#DIV/0!</v>
      </c>
    </row>
    <row r="2930" customHeight="1" spans="4:4">
      <c r="D2930" s="7" t="e">
        <f t="shared" si="45"/>
        <v>#DIV/0!</v>
      </c>
    </row>
    <row r="2931" customHeight="1" spans="4:4">
      <c r="D2931" s="7" t="e">
        <f t="shared" si="45"/>
        <v>#DIV/0!</v>
      </c>
    </row>
    <row r="2932" customHeight="1" spans="4:4">
      <c r="D2932" s="7" t="e">
        <f t="shared" si="45"/>
        <v>#DIV/0!</v>
      </c>
    </row>
    <row r="2933" customHeight="1" spans="4:4">
      <c r="D2933" s="7" t="e">
        <f t="shared" si="45"/>
        <v>#DIV/0!</v>
      </c>
    </row>
    <row r="2934" customHeight="1" spans="4:4">
      <c r="D2934" s="7" t="e">
        <f t="shared" si="45"/>
        <v>#DIV/0!</v>
      </c>
    </row>
    <row r="2935" customHeight="1" spans="4:4">
      <c r="D2935" s="7" t="e">
        <f t="shared" si="45"/>
        <v>#DIV/0!</v>
      </c>
    </row>
    <row r="2936" customHeight="1" spans="4:4">
      <c r="D2936" s="7" t="e">
        <f t="shared" si="45"/>
        <v>#DIV/0!</v>
      </c>
    </row>
    <row r="2937" customHeight="1" spans="4:4">
      <c r="D2937" s="7" t="e">
        <f t="shared" si="45"/>
        <v>#DIV/0!</v>
      </c>
    </row>
    <row r="2938" customHeight="1" spans="4:4">
      <c r="D2938" s="7" t="e">
        <f t="shared" si="45"/>
        <v>#DIV/0!</v>
      </c>
    </row>
    <row r="2939" customHeight="1" spans="4:4">
      <c r="D2939" s="7" t="e">
        <f t="shared" si="45"/>
        <v>#DIV/0!</v>
      </c>
    </row>
    <row r="2940" customHeight="1" spans="4:4">
      <c r="D2940" s="7" t="e">
        <f t="shared" si="45"/>
        <v>#DIV/0!</v>
      </c>
    </row>
    <row r="2941" customHeight="1" spans="4:4">
      <c r="D2941" s="7" t="e">
        <f t="shared" si="45"/>
        <v>#DIV/0!</v>
      </c>
    </row>
    <row r="2942" customHeight="1" spans="4:4">
      <c r="D2942" s="7" t="e">
        <f t="shared" si="45"/>
        <v>#DIV/0!</v>
      </c>
    </row>
    <row r="2943" customHeight="1" spans="4:4">
      <c r="D2943" s="7" t="e">
        <f t="shared" si="45"/>
        <v>#DIV/0!</v>
      </c>
    </row>
    <row r="2944" customHeight="1" spans="4:4">
      <c r="D2944" s="7" t="e">
        <f t="shared" si="45"/>
        <v>#DIV/0!</v>
      </c>
    </row>
    <row r="2945" customHeight="1" spans="4:4">
      <c r="D2945" s="7" t="e">
        <f t="shared" si="45"/>
        <v>#DIV/0!</v>
      </c>
    </row>
    <row r="2946" customHeight="1" spans="4:4">
      <c r="D2946" s="7" t="e">
        <f t="shared" si="45"/>
        <v>#DIV/0!</v>
      </c>
    </row>
    <row r="2947" customHeight="1" spans="4:4">
      <c r="D2947" s="7" t="e">
        <f t="shared" si="45"/>
        <v>#DIV/0!</v>
      </c>
    </row>
    <row r="2948" customHeight="1" spans="4:4">
      <c r="D2948" s="7" t="e">
        <f t="shared" ref="D2948:D3011" si="46">+B2948/C2948</f>
        <v>#DIV/0!</v>
      </c>
    </row>
    <row r="2949" customHeight="1" spans="4:4">
      <c r="D2949" s="7" t="e">
        <f t="shared" si="46"/>
        <v>#DIV/0!</v>
      </c>
    </row>
    <row r="2950" customHeight="1" spans="4:4">
      <c r="D2950" s="7" t="e">
        <f t="shared" si="46"/>
        <v>#DIV/0!</v>
      </c>
    </row>
    <row r="2951" customHeight="1" spans="4:4">
      <c r="D2951" s="7" t="e">
        <f t="shared" si="46"/>
        <v>#DIV/0!</v>
      </c>
    </row>
    <row r="2952" customHeight="1" spans="4:4">
      <c r="D2952" s="7" t="e">
        <f t="shared" si="46"/>
        <v>#DIV/0!</v>
      </c>
    </row>
    <row r="2953" customHeight="1" spans="4:4">
      <c r="D2953" s="7" t="e">
        <f t="shared" si="46"/>
        <v>#DIV/0!</v>
      </c>
    </row>
    <row r="2954" customHeight="1" spans="4:4">
      <c r="D2954" s="7" t="e">
        <f t="shared" si="46"/>
        <v>#DIV/0!</v>
      </c>
    </row>
    <row r="2955" customHeight="1" spans="4:4">
      <c r="D2955" s="7" t="e">
        <f t="shared" si="46"/>
        <v>#DIV/0!</v>
      </c>
    </row>
    <row r="2956" customHeight="1" spans="4:4">
      <c r="D2956" s="7" t="e">
        <f t="shared" si="46"/>
        <v>#DIV/0!</v>
      </c>
    </row>
    <row r="2957" customHeight="1" spans="4:4">
      <c r="D2957" s="7" t="e">
        <f t="shared" si="46"/>
        <v>#DIV/0!</v>
      </c>
    </row>
    <row r="2958" customHeight="1" spans="4:4">
      <c r="D2958" s="7" t="e">
        <f t="shared" si="46"/>
        <v>#DIV/0!</v>
      </c>
    </row>
    <row r="2959" customHeight="1" spans="4:4">
      <c r="D2959" s="7" t="e">
        <f t="shared" si="46"/>
        <v>#DIV/0!</v>
      </c>
    </row>
    <row r="2960" customHeight="1" spans="4:4">
      <c r="D2960" s="7" t="e">
        <f t="shared" si="46"/>
        <v>#DIV/0!</v>
      </c>
    </row>
    <row r="2961" customHeight="1" spans="4:4">
      <c r="D2961" s="7" t="e">
        <f t="shared" si="46"/>
        <v>#DIV/0!</v>
      </c>
    </row>
    <row r="2962" customHeight="1" spans="4:4">
      <c r="D2962" s="7" t="e">
        <f t="shared" si="46"/>
        <v>#DIV/0!</v>
      </c>
    </row>
    <row r="2963" customHeight="1" spans="4:4">
      <c r="D2963" s="7" t="e">
        <f t="shared" si="46"/>
        <v>#DIV/0!</v>
      </c>
    </row>
    <row r="2964" customHeight="1" spans="4:4">
      <c r="D2964" s="7" t="e">
        <f t="shared" si="46"/>
        <v>#DIV/0!</v>
      </c>
    </row>
    <row r="2965" customHeight="1" spans="4:4">
      <c r="D2965" s="7" t="e">
        <f t="shared" si="46"/>
        <v>#DIV/0!</v>
      </c>
    </row>
    <row r="2966" customHeight="1" spans="4:4">
      <c r="D2966" s="7" t="e">
        <f t="shared" si="46"/>
        <v>#DIV/0!</v>
      </c>
    </row>
    <row r="2967" customHeight="1" spans="4:4">
      <c r="D2967" s="7" t="e">
        <f t="shared" si="46"/>
        <v>#DIV/0!</v>
      </c>
    </row>
    <row r="2968" customHeight="1" spans="4:4">
      <c r="D2968" s="7" t="e">
        <f t="shared" si="46"/>
        <v>#DIV/0!</v>
      </c>
    </row>
    <row r="2969" customHeight="1" spans="4:4">
      <c r="D2969" s="7" t="e">
        <f t="shared" si="46"/>
        <v>#DIV/0!</v>
      </c>
    </row>
    <row r="2970" customHeight="1" spans="4:4">
      <c r="D2970" s="7" t="e">
        <f t="shared" si="46"/>
        <v>#DIV/0!</v>
      </c>
    </row>
    <row r="2971" customHeight="1" spans="4:4">
      <c r="D2971" s="7" t="e">
        <f t="shared" si="46"/>
        <v>#DIV/0!</v>
      </c>
    </row>
    <row r="2972" customHeight="1" spans="4:4">
      <c r="D2972" s="7" t="e">
        <f t="shared" si="46"/>
        <v>#DIV/0!</v>
      </c>
    </row>
    <row r="2973" customHeight="1" spans="4:4">
      <c r="D2973" s="7" t="e">
        <f t="shared" si="46"/>
        <v>#DIV/0!</v>
      </c>
    </row>
    <row r="2974" customHeight="1" spans="4:4">
      <c r="D2974" s="7" t="e">
        <f t="shared" si="46"/>
        <v>#DIV/0!</v>
      </c>
    </row>
    <row r="2975" customHeight="1" spans="4:4">
      <c r="D2975" s="7" t="e">
        <f t="shared" si="46"/>
        <v>#DIV/0!</v>
      </c>
    </row>
    <row r="2976" customHeight="1" spans="4:4">
      <c r="D2976" s="7" t="e">
        <f t="shared" si="46"/>
        <v>#DIV/0!</v>
      </c>
    </row>
    <row r="2977" customHeight="1" spans="4:4">
      <c r="D2977" s="7" t="e">
        <f t="shared" si="46"/>
        <v>#DIV/0!</v>
      </c>
    </row>
    <row r="2978" customHeight="1" spans="4:4">
      <c r="D2978" s="7" t="e">
        <f t="shared" si="46"/>
        <v>#DIV/0!</v>
      </c>
    </row>
    <row r="2979" customHeight="1" spans="4:4">
      <c r="D2979" s="7" t="e">
        <f t="shared" si="46"/>
        <v>#DIV/0!</v>
      </c>
    </row>
    <row r="2980" customHeight="1" spans="4:4">
      <c r="D2980" s="7" t="e">
        <f t="shared" si="46"/>
        <v>#DIV/0!</v>
      </c>
    </row>
    <row r="2981" customHeight="1" spans="4:4">
      <c r="D2981" s="7" t="e">
        <f t="shared" si="46"/>
        <v>#DIV/0!</v>
      </c>
    </row>
    <row r="2982" customHeight="1" spans="4:4">
      <c r="D2982" s="7" t="e">
        <f t="shared" si="46"/>
        <v>#DIV/0!</v>
      </c>
    </row>
    <row r="2983" customHeight="1" spans="4:4">
      <c r="D2983" s="7" t="e">
        <f t="shared" si="46"/>
        <v>#DIV/0!</v>
      </c>
    </row>
    <row r="2984" customHeight="1" spans="4:4">
      <c r="D2984" s="7" t="e">
        <f t="shared" si="46"/>
        <v>#DIV/0!</v>
      </c>
    </row>
    <row r="2985" customHeight="1" spans="4:4">
      <c r="D2985" s="7" t="e">
        <f t="shared" si="46"/>
        <v>#DIV/0!</v>
      </c>
    </row>
    <row r="2986" customHeight="1" spans="4:4">
      <c r="D2986" s="7" t="e">
        <f t="shared" si="46"/>
        <v>#DIV/0!</v>
      </c>
    </row>
    <row r="2987" customHeight="1" spans="4:4">
      <c r="D2987" s="7" t="e">
        <f t="shared" si="46"/>
        <v>#DIV/0!</v>
      </c>
    </row>
    <row r="2988" customHeight="1" spans="4:4">
      <c r="D2988" s="7" t="e">
        <f t="shared" si="46"/>
        <v>#DIV/0!</v>
      </c>
    </row>
    <row r="2989" customHeight="1" spans="4:4">
      <c r="D2989" s="7" t="e">
        <f t="shared" si="46"/>
        <v>#DIV/0!</v>
      </c>
    </row>
    <row r="2990" customHeight="1" spans="4:4">
      <c r="D2990" s="7" t="e">
        <f t="shared" si="46"/>
        <v>#DIV/0!</v>
      </c>
    </row>
    <row r="2991" customHeight="1" spans="4:4">
      <c r="D2991" s="7" t="e">
        <f t="shared" si="46"/>
        <v>#DIV/0!</v>
      </c>
    </row>
    <row r="2992" customHeight="1" spans="4:4">
      <c r="D2992" s="7" t="e">
        <f t="shared" si="46"/>
        <v>#DIV/0!</v>
      </c>
    </row>
    <row r="2993" customHeight="1" spans="4:4">
      <c r="D2993" s="7" t="e">
        <f t="shared" si="46"/>
        <v>#DIV/0!</v>
      </c>
    </row>
    <row r="2994" customHeight="1" spans="4:4">
      <c r="D2994" s="7" t="e">
        <f t="shared" si="46"/>
        <v>#DIV/0!</v>
      </c>
    </row>
    <row r="2995" customHeight="1" spans="4:4">
      <c r="D2995" s="7" t="e">
        <f t="shared" si="46"/>
        <v>#DIV/0!</v>
      </c>
    </row>
    <row r="2996" customHeight="1" spans="4:4">
      <c r="D2996" s="7" t="e">
        <f t="shared" si="46"/>
        <v>#DIV/0!</v>
      </c>
    </row>
    <row r="2997" customHeight="1" spans="4:4">
      <c r="D2997" s="7" t="e">
        <f t="shared" si="46"/>
        <v>#DIV/0!</v>
      </c>
    </row>
    <row r="2998" customHeight="1" spans="4:4">
      <c r="D2998" s="7" t="e">
        <f t="shared" si="46"/>
        <v>#DIV/0!</v>
      </c>
    </row>
    <row r="2999" customHeight="1" spans="4:4">
      <c r="D2999" s="7" t="e">
        <f t="shared" si="46"/>
        <v>#DIV/0!</v>
      </c>
    </row>
    <row r="3000" customHeight="1" spans="4:4">
      <c r="D3000" s="7" t="e">
        <f t="shared" si="46"/>
        <v>#DIV/0!</v>
      </c>
    </row>
    <row r="3001" customHeight="1" spans="4:4">
      <c r="D3001" s="7" t="e">
        <f t="shared" si="46"/>
        <v>#DIV/0!</v>
      </c>
    </row>
    <row r="3002" customHeight="1" spans="4:4">
      <c r="D3002" s="7" t="e">
        <f t="shared" si="46"/>
        <v>#DIV/0!</v>
      </c>
    </row>
    <row r="3003" customHeight="1" spans="4:4">
      <c r="D3003" s="7" t="e">
        <f t="shared" si="46"/>
        <v>#DIV/0!</v>
      </c>
    </row>
    <row r="3004" customHeight="1" spans="4:4">
      <c r="D3004" s="7" t="e">
        <f t="shared" si="46"/>
        <v>#DIV/0!</v>
      </c>
    </row>
    <row r="3005" customHeight="1" spans="4:4">
      <c r="D3005" s="7" t="e">
        <f t="shared" si="46"/>
        <v>#DIV/0!</v>
      </c>
    </row>
    <row r="3006" customHeight="1" spans="4:4">
      <c r="D3006" s="7" t="e">
        <f t="shared" si="46"/>
        <v>#DIV/0!</v>
      </c>
    </row>
    <row r="3007" customHeight="1" spans="4:4">
      <c r="D3007" s="7" t="e">
        <f t="shared" si="46"/>
        <v>#DIV/0!</v>
      </c>
    </row>
    <row r="3008" customHeight="1" spans="4:4">
      <c r="D3008" s="7" t="e">
        <f t="shared" si="46"/>
        <v>#DIV/0!</v>
      </c>
    </row>
    <row r="3009" customHeight="1" spans="4:4">
      <c r="D3009" s="7" t="e">
        <f t="shared" si="46"/>
        <v>#DIV/0!</v>
      </c>
    </row>
    <row r="3010" customHeight="1" spans="4:4">
      <c r="D3010" s="7" t="e">
        <f t="shared" si="46"/>
        <v>#DIV/0!</v>
      </c>
    </row>
    <row r="3011" customHeight="1" spans="4:4">
      <c r="D3011" s="7" t="e">
        <f t="shared" si="46"/>
        <v>#DIV/0!</v>
      </c>
    </row>
    <row r="3012" customHeight="1" spans="4:4">
      <c r="D3012" s="7" t="e">
        <f t="shared" ref="D3012:D3075" si="47">+B3012/C3012</f>
        <v>#DIV/0!</v>
      </c>
    </row>
    <row r="3013" customHeight="1" spans="4:4">
      <c r="D3013" s="7" t="e">
        <f t="shared" si="47"/>
        <v>#DIV/0!</v>
      </c>
    </row>
    <row r="3014" customHeight="1" spans="4:4">
      <c r="D3014" s="7" t="e">
        <f t="shared" si="47"/>
        <v>#DIV/0!</v>
      </c>
    </row>
    <row r="3015" customHeight="1" spans="4:4">
      <c r="D3015" s="7" t="e">
        <f t="shared" si="47"/>
        <v>#DIV/0!</v>
      </c>
    </row>
    <row r="3016" customHeight="1" spans="4:4">
      <c r="D3016" s="7" t="e">
        <f t="shared" si="47"/>
        <v>#DIV/0!</v>
      </c>
    </row>
    <row r="3017" customHeight="1" spans="4:4">
      <c r="D3017" s="7" t="e">
        <f t="shared" si="47"/>
        <v>#DIV/0!</v>
      </c>
    </row>
    <row r="3018" customHeight="1" spans="4:4">
      <c r="D3018" s="7" t="e">
        <f t="shared" si="47"/>
        <v>#DIV/0!</v>
      </c>
    </row>
    <row r="3019" customHeight="1" spans="4:4">
      <c r="D3019" s="7" t="e">
        <f t="shared" si="47"/>
        <v>#DIV/0!</v>
      </c>
    </row>
    <row r="3020" customHeight="1" spans="4:4">
      <c r="D3020" s="7" t="e">
        <f t="shared" si="47"/>
        <v>#DIV/0!</v>
      </c>
    </row>
    <row r="3021" customHeight="1" spans="4:4">
      <c r="D3021" s="7" t="e">
        <f t="shared" si="47"/>
        <v>#DIV/0!</v>
      </c>
    </row>
    <row r="3022" customHeight="1" spans="4:4">
      <c r="D3022" s="7" t="e">
        <f t="shared" si="47"/>
        <v>#DIV/0!</v>
      </c>
    </row>
    <row r="3023" customHeight="1" spans="4:4">
      <c r="D3023" s="7" t="e">
        <f t="shared" si="47"/>
        <v>#DIV/0!</v>
      </c>
    </row>
    <row r="3024" customHeight="1" spans="4:4">
      <c r="D3024" s="7" t="e">
        <f t="shared" si="47"/>
        <v>#DIV/0!</v>
      </c>
    </row>
    <row r="3025" customHeight="1" spans="4:4">
      <c r="D3025" s="7" t="e">
        <f t="shared" si="47"/>
        <v>#DIV/0!</v>
      </c>
    </row>
    <row r="3026" customHeight="1" spans="4:4">
      <c r="D3026" s="7" t="e">
        <f t="shared" si="47"/>
        <v>#DIV/0!</v>
      </c>
    </row>
    <row r="3027" customHeight="1" spans="4:4">
      <c r="D3027" s="7" t="e">
        <f t="shared" si="47"/>
        <v>#DIV/0!</v>
      </c>
    </row>
    <row r="3028" customHeight="1" spans="4:4">
      <c r="D3028" s="7" t="e">
        <f t="shared" si="47"/>
        <v>#DIV/0!</v>
      </c>
    </row>
    <row r="3029" customHeight="1" spans="4:4">
      <c r="D3029" s="7" t="e">
        <f t="shared" si="47"/>
        <v>#DIV/0!</v>
      </c>
    </row>
    <row r="3030" customHeight="1" spans="4:4">
      <c r="D3030" s="7" t="e">
        <f t="shared" si="47"/>
        <v>#DIV/0!</v>
      </c>
    </row>
    <row r="3031" customHeight="1" spans="4:4">
      <c r="D3031" s="7" t="e">
        <f t="shared" si="47"/>
        <v>#DIV/0!</v>
      </c>
    </row>
    <row r="3032" customHeight="1" spans="4:4">
      <c r="D3032" s="7" t="e">
        <f t="shared" si="47"/>
        <v>#DIV/0!</v>
      </c>
    </row>
    <row r="3033" customHeight="1" spans="4:4">
      <c r="D3033" s="7" t="e">
        <f t="shared" si="47"/>
        <v>#DIV/0!</v>
      </c>
    </row>
    <row r="3034" customHeight="1" spans="4:4">
      <c r="D3034" s="7" t="e">
        <f t="shared" si="47"/>
        <v>#DIV/0!</v>
      </c>
    </row>
    <row r="3035" customHeight="1" spans="4:4">
      <c r="D3035" s="7" t="e">
        <f t="shared" si="47"/>
        <v>#DIV/0!</v>
      </c>
    </row>
    <row r="3036" customHeight="1" spans="4:4">
      <c r="D3036" s="7" t="e">
        <f t="shared" si="47"/>
        <v>#DIV/0!</v>
      </c>
    </row>
    <row r="3037" customHeight="1" spans="4:4">
      <c r="D3037" s="7" t="e">
        <f t="shared" si="47"/>
        <v>#DIV/0!</v>
      </c>
    </row>
    <row r="3038" customHeight="1" spans="4:4">
      <c r="D3038" s="7" t="e">
        <f t="shared" si="47"/>
        <v>#DIV/0!</v>
      </c>
    </row>
    <row r="3039" customHeight="1" spans="4:4">
      <c r="D3039" s="7" t="e">
        <f t="shared" si="47"/>
        <v>#DIV/0!</v>
      </c>
    </row>
    <row r="3040" customHeight="1" spans="4:4">
      <c r="D3040" s="7" t="e">
        <f t="shared" si="47"/>
        <v>#DIV/0!</v>
      </c>
    </row>
    <row r="3041" customHeight="1" spans="4:4">
      <c r="D3041" s="7" t="e">
        <f t="shared" si="47"/>
        <v>#DIV/0!</v>
      </c>
    </row>
    <row r="3042" customHeight="1" spans="4:4">
      <c r="D3042" s="7" t="e">
        <f t="shared" si="47"/>
        <v>#DIV/0!</v>
      </c>
    </row>
    <row r="3043" customHeight="1" spans="4:4">
      <c r="D3043" s="7" t="e">
        <f t="shared" si="47"/>
        <v>#DIV/0!</v>
      </c>
    </row>
    <row r="3044" customHeight="1" spans="4:4">
      <c r="D3044" s="7" t="e">
        <f t="shared" si="47"/>
        <v>#DIV/0!</v>
      </c>
    </row>
    <row r="3045" customHeight="1" spans="4:4">
      <c r="D3045" s="7" t="e">
        <f t="shared" si="47"/>
        <v>#DIV/0!</v>
      </c>
    </row>
    <row r="3046" customHeight="1" spans="4:4">
      <c r="D3046" s="7" t="e">
        <f t="shared" si="47"/>
        <v>#DIV/0!</v>
      </c>
    </row>
    <row r="3047" customHeight="1" spans="4:4">
      <c r="D3047" s="7" t="e">
        <f t="shared" si="47"/>
        <v>#DIV/0!</v>
      </c>
    </row>
    <row r="3048" customHeight="1" spans="4:4">
      <c r="D3048" s="7" t="e">
        <f t="shared" si="47"/>
        <v>#DIV/0!</v>
      </c>
    </row>
    <row r="3049" customHeight="1" spans="4:4">
      <c r="D3049" s="7" t="e">
        <f t="shared" si="47"/>
        <v>#DIV/0!</v>
      </c>
    </row>
    <row r="3050" customHeight="1" spans="4:4">
      <c r="D3050" s="7" t="e">
        <f t="shared" si="47"/>
        <v>#DIV/0!</v>
      </c>
    </row>
    <row r="3051" customHeight="1" spans="4:4">
      <c r="D3051" s="7" t="e">
        <f t="shared" si="47"/>
        <v>#DIV/0!</v>
      </c>
    </row>
    <row r="3052" customHeight="1" spans="4:4">
      <c r="D3052" s="7" t="e">
        <f t="shared" si="47"/>
        <v>#DIV/0!</v>
      </c>
    </row>
    <row r="3053" customHeight="1" spans="4:4">
      <c r="D3053" s="7" t="e">
        <f t="shared" si="47"/>
        <v>#DIV/0!</v>
      </c>
    </row>
    <row r="3054" customHeight="1" spans="4:4">
      <c r="D3054" s="7" t="e">
        <f t="shared" si="47"/>
        <v>#DIV/0!</v>
      </c>
    </row>
    <row r="3055" customHeight="1" spans="4:4">
      <c r="D3055" s="7" t="e">
        <f t="shared" si="47"/>
        <v>#DIV/0!</v>
      </c>
    </row>
    <row r="3056" customHeight="1" spans="4:4">
      <c r="D3056" s="7" t="e">
        <f t="shared" si="47"/>
        <v>#DIV/0!</v>
      </c>
    </row>
    <row r="3057" customHeight="1" spans="4:4">
      <c r="D3057" s="7" t="e">
        <f t="shared" si="47"/>
        <v>#DIV/0!</v>
      </c>
    </row>
    <row r="3058" customHeight="1" spans="4:4">
      <c r="D3058" s="7" t="e">
        <f t="shared" si="47"/>
        <v>#DIV/0!</v>
      </c>
    </row>
    <row r="3059" customHeight="1" spans="4:4">
      <c r="D3059" s="7" t="e">
        <f t="shared" si="47"/>
        <v>#DIV/0!</v>
      </c>
    </row>
    <row r="3060" customHeight="1" spans="4:4">
      <c r="D3060" s="7" t="e">
        <f t="shared" si="47"/>
        <v>#DIV/0!</v>
      </c>
    </row>
    <row r="3061" customHeight="1" spans="4:4">
      <c r="D3061" s="7" t="e">
        <f t="shared" si="47"/>
        <v>#DIV/0!</v>
      </c>
    </row>
    <row r="3062" customHeight="1" spans="4:4">
      <c r="D3062" s="7" t="e">
        <f t="shared" si="47"/>
        <v>#DIV/0!</v>
      </c>
    </row>
    <row r="3063" customHeight="1" spans="4:4">
      <c r="D3063" s="7" t="e">
        <f t="shared" si="47"/>
        <v>#DIV/0!</v>
      </c>
    </row>
    <row r="3064" customHeight="1" spans="4:4">
      <c r="D3064" s="7" t="e">
        <f t="shared" si="47"/>
        <v>#DIV/0!</v>
      </c>
    </row>
    <row r="3065" customHeight="1" spans="4:4">
      <c r="D3065" s="7" t="e">
        <f t="shared" si="47"/>
        <v>#DIV/0!</v>
      </c>
    </row>
    <row r="3066" customHeight="1" spans="4:4">
      <c r="D3066" s="7" t="e">
        <f t="shared" si="47"/>
        <v>#DIV/0!</v>
      </c>
    </row>
    <row r="3067" customHeight="1" spans="4:4">
      <c r="D3067" s="7" t="e">
        <f t="shared" si="47"/>
        <v>#DIV/0!</v>
      </c>
    </row>
    <row r="3068" customHeight="1" spans="4:4">
      <c r="D3068" s="7" t="e">
        <f t="shared" si="47"/>
        <v>#DIV/0!</v>
      </c>
    </row>
    <row r="3069" customHeight="1" spans="4:4">
      <c r="D3069" s="7" t="e">
        <f t="shared" si="47"/>
        <v>#DIV/0!</v>
      </c>
    </row>
    <row r="3070" customHeight="1" spans="4:4">
      <c r="D3070" s="7" t="e">
        <f t="shared" si="47"/>
        <v>#DIV/0!</v>
      </c>
    </row>
    <row r="3071" customHeight="1" spans="4:4">
      <c r="D3071" s="7" t="e">
        <f t="shared" si="47"/>
        <v>#DIV/0!</v>
      </c>
    </row>
    <row r="3072" customHeight="1" spans="4:4">
      <c r="D3072" s="7" t="e">
        <f t="shared" si="47"/>
        <v>#DIV/0!</v>
      </c>
    </row>
    <row r="3073" customHeight="1" spans="4:4">
      <c r="D3073" s="7" t="e">
        <f t="shared" si="47"/>
        <v>#DIV/0!</v>
      </c>
    </row>
    <row r="3074" customHeight="1" spans="4:4">
      <c r="D3074" s="7" t="e">
        <f t="shared" si="47"/>
        <v>#DIV/0!</v>
      </c>
    </row>
    <row r="3075" customHeight="1" spans="4:4">
      <c r="D3075" s="7" t="e">
        <f t="shared" si="47"/>
        <v>#DIV/0!</v>
      </c>
    </row>
    <row r="3076" customHeight="1" spans="4:4">
      <c r="D3076" s="7" t="e">
        <f t="shared" ref="D3076:D3139" si="48">+B3076/C3076</f>
        <v>#DIV/0!</v>
      </c>
    </row>
    <row r="3077" customHeight="1" spans="4:4">
      <c r="D3077" s="7" t="e">
        <f t="shared" si="48"/>
        <v>#DIV/0!</v>
      </c>
    </row>
    <row r="3078" customHeight="1" spans="4:4">
      <c r="D3078" s="7" t="e">
        <f t="shared" si="48"/>
        <v>#DIV/0!</v>
      </c>
    </row>
    <row r="3079" customHeight="1" spans="4:4">
      <c r="D3079" s="7" t="e">
        <f t="shared" si="48"/>
        <v>#DIV/0!</v>
      </c>
    </row>
    <row r="3080" customHeight="1" spans="4:4">
      <c r="D3080" s="7" t="e">
        <f t="shared" si="48"/>
        <v>#DIV/0!</v>
      </c>
    </row>
    <row r="3081" customHeight="1" spans="4:4">
      <c r="D3081" s="7" t="e">
        <f t="shared" si="48"/>
        <v>#DIV/0!</v>
      </c>
    </row>
    <row r="3082" customHeight="1" spans="4:4">
      <c r="D3082" s="7" t="e">
        <f t="shared" si="48"/>
        <v>#DIV/0!</v>
      </c>
    </row>
    <row r="3083" customHeight="1" spans="4:4">
      <c r="D3083" s="7" t="e">
        <f t="shared" si="48"/>
        <v>#DIV/0!</v>
      </c>
    </row>
    <row r="3084" customHeight="1" spans="4:4">
      <c r="D3084" s="7" t="e">
        <f t="shared" si="48"/>
        <v>#DIV/0!</v>
      </c>
    </row>
    <row r="3085" customHeight="1" spans="4:4">
      <c r="D3085" s="7" t="e">
        <f t="shared" si="48"/>
        <v>#DIV/0!</v>
      </c>
    </row>
    <row r="3086" customHeight="1" spans="4:4">
      <c r="D3086" s="7" t="e">
        <f t="shared" si="48"/>
        <v>#DIV/0!</v>
      </c>
    </row>
    <row r="3087" customHeight="1" spans="4:4">
      <c r="D3087" s="7" t="e">
        <f t="shared" si="48"/>
        <v>#DIV/0!</v>
      </c>
    </row>
    <row r="3088" customHeight="1" spans="4:4">
      <c r="D3088" s="7" t="e">
        <f t="shared" si="48"/>
        <v>#DIV/0!</v>
      </c>
    </row>
    <row r="3089" customHeight="1" spans="4:4">
      <c r="D3089" s="7" t="e">
        <f t="shared" si="48"/>
        <v>#DIV/0!</v>
      </c>
    </row>
    <row r="3090" customHeight="1" spans="4:4">
      <c r="D3090" s="7" t="e">
        <f t="shared" si="48"/>
        <v>#DIV/0!</v>
      </c>
    </row>
    <row r="3091" customHeight="1" spans="4:4">
      <c r="D3091" s="7" t="e">
        <f t="shared" si="48"/>
        <v>#DIV/0!</v>
      </c>
    </row>
    <row r="3092" customHeight="1" spans="4:4">
      <c r="D3092" s="7" t="e">
        <f t="shared" si="48"/>
        <v>#DIV/0!</v>
      </c>
    </row>
    <row r="3093" customHeight="1" spans="4:4">
      <c r="D3093" s="7" t="e">
        <f t="shared" si="48"/>
        <v>#DIV/0!</v>
      </c>
    </row>
    <row r="3094" customHeight="1" spans="4:4">
      <c r="D3094" s="7" t="e">
        <f t="shared" si="48"/>
        <v>#DIV/0!</v>
      </c>
    </row>
    <row r="3095" customHeight="1" spans="4:4">
      <c r="D3095" s="7" t="e">
        <f t="shared" si="48"/>
        <v>#DIV/0!</v>
      </c>
    </row>
    <row r="3096" customHeight="1" spans="4:4">
      <c r="D3096" s="7" t="e">
        <f t="shared" si="48"/>
        <v>#DIV/0!</v>
      </c>
    </row>
    <row r="3097" customHeight="1" spans="4:4">
      <c r="D3097" s="7" t="e">
        <f t="shared" si="48"/>
        <v>#DIV/0!</v>
      </c>
    </row>
    <row r="3098" customHeight="1" spans="4:4">
      <c r="D3098" s="7" t="e">
        <f t="shared" si="48"/>
        <v>#DIV/0!</v>
      </c>
    </row>
    <row r="3099" customHeight="1" spans="4:4">
      <c r="D3099" s="7" t="e">
        <f t="shared" si="48"/>
        <v>#DIV/0!</v>
      </c>
    </row>
    <row r="3100" customHeight="1" spans="4:4">
      <c r="D3100" s="7" t="e">
        <f t="shared" si="48"/>
        <v>#DIV/0!</v>
      </c>
    </row>
    <row r="3101" customHeight="1" spans="4:4">
      <c r="D3101" s="7" t="e">
        <f t="shared" si="48"/>
        <v>#DIV/0!</v>
      </c>
    </row>
    <row r="3102" customHeight="1" spans="4:4">
      <c r="D3102" s="7" t="e">
        <f t="shared" si="48"/>
        <v>#DIV/0!</v>
      </c>
    </row>
    <row r="3103" customHeight="1" spans="4:4">
      <c r="D3103" s="7" t="e">
        <f t="shared" si="48"/>
        <v>#DIV/0!</v>
      </c>
    </row>
    <row r="3104" customHeight="1" spans="4:4">
      <c r="D3104" s="7" t="e">
        <f t="shared" si="48"/>
        <v>#DIV/0!</v>
      </c>
    </row>
    <row r="3105" customHeight="1" spans="4:4">
      <c r="D3105" s="7" t="e">
        <f t="shared" si="48"/>
        <v>#DIV/0!</v>
      </c>
    </row>
    <row r="3106" customHeight="1" spans="4:4">
      <c r="D3106" s="7" t="e">
        <f t="shared" si="48"/>
        <v>#DIV/0!</v>
      </c>
    </row>
    <row r="3107" customHeight="1" spans="4:4">
      <c r="D3107" s="7" t="e">
        <f t="shared" si="48"/>
        <v>#DIV/0!</v>
      </c>
    </row>
    <row r="3108" customHeight="1" spans="4:4">
      <c r="D3108" s="7" t="e">
        <f t="shared" si="48"/>
        <v>#DIV/0!</v>
      </c>
    </row>
    <row r="3109" customHeight="1" spans="4:4">
      <c r="D3109" s="7" t="e">
        <f t="shared" si="48"/>
        <v>#DIV/0!</v>
      </c>
    </row>
    <row r="3110" customHeight="1" spans="4:4">
      <c r="D3110" s="7" t="e">
        <f t="shared" si="48"/>
        <v>#DIV/0!</v>
      </c>
    </row>
    <row r="3111" customHeight="1" spans="4:4">
      <c r="D3111" s="7" t="e">
        <f t="shared" si="48"/>
        <v>#DIV/0!</v>
      </c>
    </row>
    <row r="3112" customHeight="1" spans="4:4">
      <c r="D3112" s="7" t="e">
        <f t="shared" si="48"/>
        <v>#DIV/0!</v>
      </c>
    </row>
    <row r="3113" customHeight="1" spans="4:4">
      <c r="D3113" s="7" t="e">
        <f t="shared" si="48"/>
        <v>#DIV/0!</v>
      </c>
    </row>
    <row r="3114" customHeight="1" spans="4:4">
      <c r="D3114" s="7" t="e">
        <f t="shared" si="48"/>
        <v>#DIV/0!</v>
      </c>
    </row>
    <row r="3115" customHeight="1" spans="4:4">
      <c r="D3115" s="7" t="e">
        <f t="shared" si="48"/>
        <v>#DIV/0!</v>
      </c>
    </row>
    <row r="3116" customHeight="1" spans="4:4">
      <c r="D3116" s="7" t="e">
        <f t="shared" si="48"/>
        <v>#DIV/0!</v>
      </c>
    </row>
    <row r="3117" customHeight="1" spans="4:4">
      <c r="D3117" s="7" t="e">
        <f t="shared" si="48"/>
        <v>#DIV/0!</v>
      </c>
    </row>
    <row r="3118" customHeight="1" spans="4:4">
      <c r="D3118" s="7" t="e">
        <f t="shared" si="48"/>
        <v>#DIV/0!</v>
      </c>
    </row>
    <row r="3119" customHeight="1" spans="4:4">
      <c r="D3119" s="7" t="e">
        <f t="shared" si="48"/>
        <v>#DIV/0!</v>
      </c>
    </row>
    <row r="3120" customHeight="1" spans="4:4">
      <c r="D3120" s="7" t="e">
        <f t="shared" si="48"/>
        <v>#DIV/0!</v>
      </c>
    </row>
    <row r="3121" customHeight="1" spans="4:4">
      <c r="D3121" s="7" t="e">
        <f t="shared" si="48"/>
        <v>#DIV/0!</v>
      </c>
    </row>
    <row r="3122" customHeight="1" spans="4:4">
      <c r="D3122" s="7" t="e">
        <f t="shared" si="48"/>
        <v>#DIV/0!</v>
      </c>
    </row>
    <row r="3123" customHeight="1" spans="4:4">
      <c r="D3123" s="7" t="e">
        <f t="shared" si="48"/>
        <v>#DIV/0!</v>
      </c>
    </row>
    <row r="3124" customHeight="1" spans="4:4">
      <c r="D3124" s="7" t="e">
        <f t="shared" si="48"/>
        <v>#DIV/0!</v>
      </c>
    </row>
    <row r="3125" customHeight="1" spans="4:4">
      <c r="D3125" s="7" t="e">
        <f t="shared" si="48"/>
        <v>#DIV/0!</v>
      </c>
    </row>
    <row r="3126" customHeight="1" spans="4:4">
      <c r="D3126" s="7" t="e">
        <f t="shared" si="48"/>
        <v>#DIV/0!</v>
      </c>
    </row>
    <row r="3127" customHeight="1" spans="4:4">
      <c r="D3127" s="7" t="e">
        <f t="shared" si="48"/>
        <v>#DIV/0!</v>
      </c>
    </row>
    <row r="3128" customHeight="1" spans="4:4">
      <c r="D3128" s="7" t="e">
        <f t="shared" si="48"/>
        <v>#DIV/0!</v>
      </c>
    </row>
    <row r="3129" customHeight="1" spans="4:4">
      <c r="D3129" s="7" t="e">
        <f t="shared" si="48"/>
        <v>#DIV/0!</v>
      </c>
    </row>
    <row r="3130" customHeight="1" spans="4:4">
      <c r="D3130" s="7" t="e">
        <f t="shared" si="48"/>
        <v>#DIV/0!</v>
      </c>
    </row>
    <row r="3131" customHeight="1" spans="4:4">
      <c r="D3131" s="7" t="e">
        <f t="shared" si="48"/>
        <v>#DIV/0!</v>
      </c>
    </row>
    <row r="3132" customHeight="1" spans="4:4">
      <c r="D3132" s="7" t="e">
        <f t="shared" si="48"/>
        <v>#DIV/0!</v>
      </c>
    </row>
    <row r="3133" customHeight="1" spans="4:4">
      <c r="D3133" s="7" t="e">
        <f t="shared" si="48"/>
        <v>#DIV/0!</v>
      </c>
    </row>
    <row r="3134" customHeight="1" spans="4:4">
      <c r="D3134" s="7" t="e">
        <f t="shared" si="48"/>
        <v>#DIV/0!</v>
      </c>
    </row>
    <row r="3135" customHeight="1" spans="4:4">
      <c r="D3135" s="7" t="e">
        <f t="shared" si="48"/>
        <v>#DIV/0!</v>
      </c>
    </row>
    <row r="3136" customHeight="1" spans="4:4">
      <c r="D3136" s="7" t="e">
        <f t="shared" si="48"/>
        <v>#DIV/0!</v>
      </c>
    </row>
    <row r="3137" customHeight="1" spans="4:4">
      <c r="D3137" s="7" t="e">
        <f t="shared" si="48"/>
        <v>#DIV/0!</v>
      </c>
    </row>
    <row r="3138" customHeight="1" spans="4:4">
      <c r="D3138" s="7" t="e">
        <f t="shared" si="48"/>
        <v>#DIV/0!</v>
      </c>
    </row>
    <row r="3139" customHeight="1" spans="4:4">
      <c r="D3139" s="7" t="e">
        <f t="shared" si="48"/>
        <v>#DIV/0!</v>
      </c>
    </row>
    <row r="3140" customHeight="1" spans="4:4">
      <c r="D3140" s="7" t="e">
        <f t="shared" ref="D3140:D3203" si="49">+B3140/C3140</f>
        <v>#DIV/0!</v>
      </c>
    </row>
    <row r="3141" customHeight="1" spans="4:4">
      <c r="D3141" s="7" t="e">
        <f t="shared" si="49"/>
        <v>#DIV/0!</v>
      </c>
    </row>
    <row r="3142" customHeight="1" spans="4:4">
      <c r="D3142" s="7" t="e">
        <f t="shared" si="49"/>
        <v>#DIV/0!</v>
      </c>
    </row>
    <row r="3143" customHeight="1" spans="4:4">
      <c r="D3143" s="7" t="e">
        <f t="shared" si="49"/>
        <v>#DIV/0!</v>
      </c>
    </row>
    <row r="3144" customHeight="1" spans="4:4">
      <c r="D3144" s="7" t="e">
        <f t="shared" si="49"/>
        <v>#DIV/0!</v>
      </c>
    </row>
    <row r="3145" customHeight="1" spans="4:4">
      <c r="D3145" s="7" t="e">
        <f t="shared" si="49"/>
        <v>#DIV/0!</v>
      </c>
    </row>
    <row r="3146" customHeight="1" spans="4:4">
      <c r="D3146" s="7" t="e">
        <f t="shared" si="49"/>
        <v>#DIV/0!</v>
      </c>
    </row>
    <row r="3147" customHeight="1" spans="4:4">
      <c r="D3147" s="7" t="e">
        <f t="shared" si="49"/>
        <v>#DIV/0!</v>
      </c>
    </row>
    <row r="3148" customHeight="1" spans="4:4">
      <c r="D3148" s="7" t="e">
        <f t="shared" si="49"/>
        <v>#DIV/0!</v>
      </c>
    </row>
    <row r="3149" customHeight="1" spans="4:4">
      <c r="D3149" s="7" t="e">
        <f t="shared" si="49"/>
        <v>#DIV/0!</v>
      </c>
    </row>
    <row r="3150" customHeight="1" spans="4:4">
      <c r="D3150" s="7" t="e">
        <f t="shared" si="49"/>
        <v>#DIV/0!</v>
      </c>
    </row>
    <row r="3151" customHeight="1" spans="4:4">
      <c r="D3151" s="7" t="e">
        <f t="shared" si="49"/>
        <v>#DIV/0!</v>
      </c>
    </row>
    <row r="3152" customHeight="1" spans="4:4">
      <c r="D3152" s="7" t="e">
        <f t="shared" si="49"/>
        <v>#DIV/0!</v>
      </c>
    </row>
    <row r="3153" customHeight="1" spans="4:4">
      <c r="D3153" s="7" t="e">
        <f t="shared" si="49"/>
        <v>#DIV/0!</v>
      </c>
    </row>
    <row r="3154" customHeight="1" spans="4:4">
      <c r="D3154" s="7" t="e">
        <f t="shared" si="49"/>
        <v>#DIV/0!</v>
      </c>
    </row>
    <row r="3155" customHeight="1" spans="4:4">
      <c r="D3155" s="7" t="e">
        <f t="shared" si="49"/>
        <v>#DIV/0!</v>
      </c>
    </row>
    <row r="3156" customHeight="1" spans="4:4">
      <c r="D3156" s="7" t="e">
        <f t="shared" si="49"/>
        <v>#DIV/0!</v>
      </c>
    </row>
    <row r="3157" customHeight="1" spans="4:4">
      <c r="D3157" s="7" t="e">
        <f t="shared" si="49"/>
        <v>#DIV/0!</v>
      </c>
    </row>
    <row r="3158" customHeight="1" spans="4:4">
      <c r="D3158" s="7" t="e">
        <f t="shared" si="49"/>
        <v>#DIV/0!</v>
      </c>
    </row>
    <row r="3159" customHeight="1" spans="4:4">
      <c r="D3159" s="7" t="e">
        <f t="shared" si="49"/>
        <v>#DIV/0!</v>
      </c>
    </row>
    <row r="3160" customHeight="1" spans="4:4">
      <c r="D3160" s="7" t="e">
        <f t="shared" si="49"/>
        <v>#DIV/0!</v>
      </c>
    </row>
    <row r="3161" customHeight="1" spans="4:4">
      <c r="D3161" s="7" t="e">
        <f t="shared" si="49"/>
        <v>#DIV/0!</v>
      </c>
    </row>
    <row r="3162" customHeight="1" spans="4:4">
      <c r="D3162" s="7" t="e">
        <f t="shared" si="49"/>
        <v>#DIV/0!</v>
      </c>
    </row>
    <row r="3163" customHeight="1" spans="4:4">
      <c r="D3163" s="7" t="e">
        <f t="shared" si="49"/>
        <v>#DIV/0!</v>
      </c>
    </row>
    <row r="3164" customHeight="1" spans="4:4">
      <c r="D3164" s="7" t="e">
        <f t="shared" si="49"/>
        <v>#DIV/0!</v>
      </c>
    </row>
    <row r="3165" customHeight="1" spans="4:4">
      <c r="D3165" s="7" t="e">
        <f t="shared" si="49"/>
        <v>#DIV/0!</v>
      </c>
    </row>
    <row r="3166" customHeight="1" spans="4:4">
      <c r="D3166" s="7" t="e">
        <f t="shared" si="49"/>
        <v>#DIV/0!</v>
      </c>
    </row>
    <row r="3167" customHeight="1" spans="4:4">
      <c r="D3167" s="7" t="e">
        <f t="shared" si="49"/>
        <v>#DIV/0!</v>
      </c>
    </row>
    <row r="3168" customHeight="1" spans="4:4">
      <c r="D3168" s="7" t="e">
        <f t="shared" si="49"/>
        <v>#DIV/0!</v>
      </c>
    </row>
    <row r="3169" customHeight="1" spans="4:4">
      <c r="D3169" s="7" t="e">
        <f t="shared" si="49"/>
        <v>#DIV/0!</v>
      </c>
    </row>
    <row r="3170" customHeight="1" spans="4:4">
      <c r="D3170" s="7" t="e">
        <f t="shared" si="49"/>
        <v>#DIV/0!</v>
      </c>
    </row>
    <row r="3171" customHeight="1" spans="4:4">
      <c r="D3171" s="7" t="e">
        <f t="shared" si="49"/>
        <v>#DIV/0!</v>
      </c>
    </row>
    <row r="3172" customHeight="1" spans="4:4">
      <c r="D3172" s="7" t="e">
        <f t="shared" si="49"/>
        <v>#DIV/0!</v>
      </c>
    </row>
    <row r="3173" customHeight="1" spans="4:4">
      <c r="D3173" s="7" t="e">
        <f t="shared" si="49"/>
        <v>#DIV/0!</v>
      </c>
    </row>
    <row r="3174" customHeight="1" spans="4:4">
      <c r="D3174" s="7" t="e">
        <f t="shared" si="49"/>
        <v>#DIV/0!</v>
      </c>
    </row>
    <row r="3175" customHeight="1" spans="4:4">
      <c r="D3175" s="7" t="e">
        <f t="shared" si="49"/>
        <v>#DIV/0!</v>
      </c>
    </row>
    <row r="3176" customHeight="1" spans="4:4">
      <c r="D3176" s="7" t="e">
        <f t="shared" si="49"/>
        <v>#DIV/0!</v>
      </c>
    </row>
    <row r="3177" customHeight="1" spans="4:4">
      <c r="D3177" s="7" t="e">
        <f t="shared" si="49"/>
        <v>#DIV/0!</v>
      </c>
    </row>
    <row r="3178" customHeight="1" spans="4:4">
      <c r="D3178" s="7" t="e">
        <f t="shared" si="49"/>
        <v>#DIV/0!</v>
      </c>
    </row>
    <row r="3179" customHeight="1" spans="4:4">
      <c r="D3179" s="7" t="e">
        <f t="shared" si="49"/>
        <v>#DIV/0!</v>
      </c>
    </row>
    <row r="3180" customHeight="1" spans="4:4">
      <c r="D3180" s="7" t="e">
        <f t="shared" si="49"/>
        <v>#DIV/0!</v>
      </c>
    </row>
    <row r="3181" customHeight="1" spans="4:4">
      <c r="D3181" s="7" t="e">
        <f t="shared" si="49"/>
        <v>#DIV/0!</v>
      </c>
    </row>
    <row r="3182" customHeight="1" spans="4:4">
      <c r="D3182" s="7" t="e">
        <f t="shared" si="49"/>
        <v>#DIV/0!</v>
      </c>
    </row>
    <row r="3183" customHeight="1" spans="4:4">
      <c r="D3183" s="7" t="e">
        <f t="shared" si="49"/>
        <v>#DIV/0!</v>
      </c>
    </row>
    <row r="3184" customHeight="1" spans="4:4">
      <c r="D3184" s="7" t="e">
        <f t="shared" si="49"/>
        <v>#DIV/0!</v>
      </c>
    </row>
    <row r="3185" customHeight="1" spans="4:4">
      <c r="D3185" s="7" t="e">
        <f t="shared" si="49"/>
        <v>#DIV/0!</v>
      </c>
    </row>
    <row r="3186" customHeight="1" spans="4:4">
      <c r="D3186" s="7" t="e">
        <f t="shared" si="49"/>
        <v>#DIV/0!</v>
      </c>
    </row>
    <row r="3187" customHeight="1" spans="4:4">
      <c r="D3187" s="7" t="e">
        <f t="shared" si="49"/>
        <v>#DIV/0!</v>
      </c>
    </row>
    <row r="3188" customHeight="1" spans="4:4">
      <c r="D3188" s="7" t="e">
        <f t="shared" si="49"/>
        <v>#DIV/0!</v>
      </c>
    </row>
    <row r="3189" customHeight="1" spans="4:4">
      <c r="D3189" s="7" t="e">
        <f t="shared" si="49"/>
        <v>#DIV/0!</v>
      </c>
    </row>
    <row r="3190" customHeight="1" spans="4:4">
      <c r="D3190" s="7" t="e">
        <f t="shared" si="49"/>
        <v>#DIV/0!</v>
      </c>
    </row>
    <row r="3191" customHeight="1" spans="4:4">
      <c r="D3191" s="7" t="e">
        <f t="shared" si="49"/>
        <v>#DIV/0!</v>
      </c>
    </row>
    <row r="3192" customHeight="1" spans="4:4">
      <c r="D3192" s="7" t="e">
        <f t="shared" si="49"/>
        <v>#DIV/0!</v>
      </c>
    </row>
    <row r="3193" customHeight="1" spans="4:4">
      <c r="D3193" s="7" t="e">
        <f t="shared" si="49"/>
        <v>#DIV/0!</v>
      </c>
    </row>
    <row r="3194" customHeight="1" spans="4:4">
      <c r="D3194" s="7" t="e">
        <f t="shared" si="49"/>
        <v>#DIV/0!</v>
      </c>
    </row>
    <row r="3195" customHeight="1" spans="4:4">
      <c r="D3195" s="7" t="e">
        <f t="shared" si="49"/>
        <v>#DIV/0!</v>
      </c>
    </row>
    <row r="3196" customHeight="1" spans="4:4">
      <c r="D3196" s="7" t="e">
        <f t="shared" si="49"/>
        <v>#DIV/0!</v>
      </c>
    </row>
    <row r="3197" customHeight="1" spans="4:4">
      <c r="D3197" s="7" t="e">
        <f t="shared" si="49"/>
        <v>#DIV/0!</v>
      </c>
    </row>
    <row r="3198" customHeight="1" spans="4:4">
      <c r="D3198" s="7" t="e">
        <f t="shared" si="49"/>
        <v>#DIV/0!</v>
      </c>
    </row>
    <row r="3199" customHeight="1" spans="4:4">
      <c r="D3199" s="7" t="e">
        <f t="shared" si="49"/>
        <v>#DIV/0!</v>
      </c>
    </row>
    <row r="3200" customHeight="1" spans="4:4">
      <c r="D3200" s="7" t="e">
        <f t="shared" si="49"/>
        <v>#DIV/0!</v>
      </c>
    </row>
    <row r="3201" customHeight="1" spans="4:4">
      <c r="D3201" s="7" t="e">
        <f t="shared" si="49"/>
        <v>#DIV/0!</v>
      </c>
    </row>
    <row r="3202" customHeight="1" spans="4:4">
      <c r="D3202" s="7" t="e">
        <f t="shared" si="49"/>
        <v>#DIV/0!</v>
      </c>
    </row>
    <row r="3203" customHeight="1" spans="4:4">
      <c r="D3203" s="7" t="e">
        <f t="shared" si="49"/>
        <v>#DIV/0!</v>
      </c>
    </row>
    <row r="3204" customHeight="1" spans="4:4">
      <c r="D3204" s="7" t="e">
        <f t="shared" ref="D3204:D3267" si="50">+B3204/C3204</f>
        <v>#DIV/0!</v>
      </c>
    </row>
    <row r="3205" customHeight="1" spans="4:4">
      <c r="D3205" s="7" t="e">
        <f t="shared" si="50"/>
        <v>#DIV/0!</v>
      </c>
    </row>
    <row r="3206" customHeight="1" spans="4:4">
      <c r="D3206" s="7" t="e">
        <f t="shared" si="50"/>
        <v>#DIV/0!</v>
      </c>
    </row>
    <row r="3207" customHeight="1" spans="4:4">
      <c r="D3207" s="7" t="e">
        <f t="shared" si="50"/>
        <v>#DIV/0!</v>
      </c>
    </row>
    <row r="3208" customHeight="1" spans="4:4">
      <c r="D3208" s="7" t="e">
        <f t="shared" si="50"/>
        <v>#DIV/0!</v>
      </c>
    </row>
    <row r="3209" customHeight="1" spans="4:4">
      <c r="D3209" s="7" t="e">
        <f t="shared" si="50"/>
        <v>#DIV/0!</v>
      </c>
    </row>
    <row r="3210" customHeight="1" spans="4:4">
      <c r="D3210" s="7" t="e">
        <f t="shared" si="50"/>
        <v>#DIV/0!</v>
      </c>
    </row>
    <row r="3211" customHeight="1" spans="4:4">
      <c r="D3211" s="7" t="e">
        <f t="shared" si="50"/>
        <v>#DIV/0!</v>
      </c>
    </row>
    <row r="3212" customHeight="1" spans="4:4">
      <c r="D3212" s="7" t="e">
        <f t="shared" si="50"/>
        <v>#DIV/0!</v>
      </c>
    </row>
    <row r="3213" customHeight="1" spans="4:4">
      <c r="D3213" s="7" t="e">
        <f t="shared" si="50"/>
        <v>#DIV/0!</v>
      </c>
    </row>
    <row r="3214" customHeight="1" spans="4:4">
      <c r="D3214" s="7" t="e">
        <f t="shared" si="50"/>
        <v>#DIV/0!</v>
      </c>
    </row>
    <row r="3215" customHeight="1" spans="4:4">
      <c r="D3215" s="7" t="e">
        <f t="shared" si="50"/>
        <v>#DIV/0!</v>
      </c>
    </row>
    <row r="3216" customHeight="1" spans="4:4">
      <c r="D3216" s="7" t="e">
        <f t="shared" si="50"/>
        <v>#DIV/0!</v>
      </c>
    </row>
    <row r="3217" customHeight="1" spans="4:4">
      <c r="D3217" s="7" t="e">
        <f t="shared" si="50"/>
        <v>#DIV/0!</v>
      </c>
    </row>
    <row r="3218" customHeight="1" spans="4:4">
      <c r="D3218" s="7" t="e">
        <f t="shared" si="50"/>
        <v>#DIV/0!</v>
      </c>
    </row>
    <row r="3219" customHeight="1" spans="4:4">
      <c r="D3219" s="7" t="e">
        <f t="shared" si="50"/>
        <v>#DIV/0!</v>
      </c>
    </row>
    <row r="3220" customHeight="1" spans="4:4">
      <c r="D3220" s="7" t="e">
        <f t="shared" si="50"/>
        <v>#DIV/0!</v>
      </c>
    </row>
    <row r="3221" customHeight="1" spans="4:4">
      <c r="D3221" s="7" t="e">
        <f t="shared" si="50"/>
        <v>#DIV/0!</v>
      </c>
    </row>
    <row r="3222" customHeight="1" spans="4:4">
      <c r="D3222" s="7" t="e">
        <f t="shared" si="50"/>
        <v>#DIV/0!</v>
      </c>
    </row>
    <row r="3223" customHeight="1" spans="4:4">
      <c r="D3223" s="7" t="e">
        <f t="shared" si="50"/>
        <v>#DIV/0!</v>
      </c>
    </row>
    <row r="3224" customHeight="1" spans="4:4">
      <c r="D3224" s="7" t="e">
        <f t="shared" si="50"/>
        <v>#DIV/0!</v>
      </c>
    </row>
    <row r="3225" customHeight="1" spans="4:4">
      <c r="D3225" s="7" t="e">
        <f t="shared" si="50"/>
        <v>#DIV/0!</v>
      </c>
    </row>
    <row r="3226" customHeight="1" spans="4:4">
      <c r="D3226" s="7" t="e">
        <f t="shared" si="50"/>
        <v>#DIV/0!</v>
      </c>
    </row>
    <row r="3227" customHeight="1" spans="4:4">
      <c r="D3227" s="7" t="e">
        <f t="shared" si="50"/>
        <v>#DIV/0!</v>
      </c>
    </row>
    <row r="3228" customHeight="1" spans="4:4">
      <c r="D3228" s="7" t="e">
        <f t="shared" si="50"/>
        <v>#DIV/0!</v>
      </c>
    </row>
    <row r="3229" customHeight="1" spans="4:4">
      <c r="D3229" s="7" t="e">
        <f t="shared" si="50"/>
        <v>#DIV/0!</v>
      </c>
    </row>
    <row r="3230" customHeight="1" spans="4:4">
      <c r="D3230" s="7" t="e">
        <f t="shared" si="50"/>
        <v>#DIV/0!</v>
      </c>
    </row>
    <row r="3231" customHeight="1" spans="4:4">
      <c r="D3231" s="7" t="e">
        <f t="shared" si="50"/>
        <v>#DIV/0!</v>
      </c>
    </row>
    <row r="3232" customHeight="1" spans="4:4">
      <c r="D3232" s="7" t="e">
        <f t="shared" si="50"/>
        <v>#DIV/0!</v>
      </c>
    </row>
    <row r="3233" customHeight="1" spans="4:4">
      <c r="D3233" s="7" t="e">
        <f t="shared" si="50"/>
        <v>#DIV/0!</v>
      </c>
    </row>
    <row r="3234" customHeight="1" spans="4:4">
      <c r="D3234" s="7" t="e">
        <f t="shared" si="50"/>
        <v>#DIV/0!</v>
      </c>
    </row>
    <row r="3235" customHeight="1" spans="4:4">
      <c r="D3235" s="7" t="e">
        <f t="shared" si="50"/>
        <v>#DIV/0!</v>
      </c>
    </row>
    <row r="3236" customHeight="1" spans="4:4">
      <c r="D3236" s="7" t="e">
        <f t="shared" si="50"/>
        <v>#DIV/0!</v>
      </c>
    </row>
    <row r="3237" customHeight="1" spans="4:4">
      <c r="D3237" s="7" t="e">
        <f t="shared" si="50"/>
        <v>#DIV/0!</v>
      </c>
    </row>
    <row r="3238" customHeight="1" spans="4:4">
      <c r="D3238" s="7" t="e">
        <f t="shared" si="50"/>
        <v>#DIV/0!</v>
      </c>
    </row>
    <row r="3239" customHeight="1" spans="4:4">
      <c r="D3239" s="7" t="e">
        <f t="shared" si="50"/>
        <v>#DIV/0!</v>
      </c>
    </row>
    <row r="3240" customHeight="1" spans="4:4">
      <c r="D3240" s="7" t="e">
        <f t="shared" si="50"/>
        <v>#DIV/0!</v>
      </c>
    </row>
    <row r="3241" customHeight="1" spans="4:4">
      <c r="D3241" s="7" t="e">
        <f t="shared" si="50"/>
        <v>#DIV/0!</v>
      </c>
    </row>
    <row r="3242" customHeight="1" spans="4:4">
      <c r="D3242" s="7" t="e">
        <f t="shared" si="50"/>
        <v>#DIV/0!</v>
      </c>
    </row>
    <row r="3243" customHeight="1" spans="4:4">
      <c r="D3243" s="7" t="e">
        <f t="shared" si="50"/>
        <v>#DIV/0!</v>
      </c>
    </row>
    <row r="3244" customHeight="1" spans="4:4">
      <c r="D3244" s="7" t="e">
        <f t="shared" si="50"/>
        <v>#DIV/0!</v>
      </c>
    </row>
    <row r="3245" customHeight="1" spans="4:4">
      <c r="D3245" s="7" t="e">
        <f t="shared" si="50"/>
        <v>#DIV/0!</v>
      </c>
    </row>
    <row r="3246" customHeight="1" spans="4:4">
      <c r="D3246" s="7" t="e">
        <f t="shared" si="50"/>
        <v>#DIV/0!</v>
      </c>
    </row>
    <row r="3247" customHeight="1" spans="4:4">
      <c r="D3247" s="7" t="e">
        <f t="shared" si="50"/>
        <v>#DIV/0!</v>
      </c>
    </row>
    <row r="3248" customHeight="1" spans="4:4">
      <c r="D3248" s="7" t="e">
        <f t="shared" si="50"/>
        <v>#DIV/0!</v>
      </c>
    </row>
    <row r="3249" customHeight="1" spans="4:4">
      <c r="D3249" s="7" t="e">
        <f t="shared" si="50"/>
        <v>#DIV/0!</v>
      </c>
    </row>
    <row r="3250" customHeight="1" spans="4:4">
      <c r="D3250" s="7" t="e">
        <f t="shared" si="50"/>
        <v>#DIV/0!</v>
      </c>
    </row>
    <row r="3251" customHeight="1" spans="4:4">
      <c r="D3251" s="7" t="e">
        <f t="shared" si="50"/>
        <v>#DIV/0!</v>
      </c>
    </row>
    <row r="3252" customHeight="1" spans="4:4">
      <c r="D3252" s="7" t="e">
        <f t="shared" si="50"/>
        <v>#DIV/0!</v>
      </c>
    </row>
    <row r="3253" customHeight="1" spans="4:4">
      <c r="D3253" s="7" t="e">
        <f t="shared" si="50"/>
        <v>#DIV/0!</v>
      </c>
    </row>
    <row r="3254" customHeight="1" spans="4:4">
      <c r="D3254" s="7" t="e">
        <f t="shared" si="50"/>
        <v>#DIV/0!</v>
      </c>
    </row>
    <row r="3255" customHeight="1" spans="4:4">
      <c r="D3255" s="7" t="e">
        <f t="shared" si="50"/>
        <v>#DIV/0!</v>
      </c>
    </row>
    <row r="3256" customHeight="1" spans="4:4">
      <c r="D3256" s="7" t="e">
        <f t="shared" si="50"/>
        <v>#DIV/0!</v>
      </c>
    </row>
    <row r="3257" customHeight="1" spans="4:4">
      <c r="D3257" s="7" t="e">
        <f t="shared" si="50"/>
        <v>#DIV/0!</v>
      </c>
    </row>
    <row r="3258" customHeight="1" spans="4:4">
      <c r="D3258" s="7" t="e">
        <f t="shared" si="50"/>
        <v>#DIV/0!</v>
      </c>
    </row>
    <row r="3259" customHeight="1" spans="4:4">
      <c r="D3259" s="7" t="e">
        <f t="shared" si="50"/>
        <v>#DIV/0!</v>
      </c>
    </row>
    <row r="3260" customHeight="1" spans="4:4">
      <c r="D3260" s="7" t="e">
        <f t="shared" si="50"/>
        <v>#DIV/0!</v>
      </c>
    </row>
    <row r="3261" customHeight="1" spans="4:4">
      <c r="D3261" s="7" t="e">
        <f t="shared" si="50"/>
        <v>#DIV/0!</v>
      </c>
    </row>
    <row r="3262" customHeight="1" spans="4:4">
      <c r="D3262" s="7" t="e">
        <f t="shared" si="50"/>
        <v>#DIV/0!</v>
      </c>
    </row>
    <row r="3263" customHeight="1" spans="4:4">
      <c r="D3263" s="7" t="e">
        <f t="shared" si="50"/>
        <v>#DIV/0!</v>
      </c>
    </row>
    <row r="3264" customHeight="1" spans="4:4">
      <c r="D3264" s="7" t="e">
        <f t="shared" si="50"/>
        <v>#DIV/0!</v>
      </c>
    </row>
    <row r="3265" customHeight="1" spans="4:4">
      <c r="D3265" s="7" t="e">
        <f t="shared" si="50"/>
        <v>#DIV/0!</v>
      </c>
    </row>
    <row r="3266" customHeight="1" spans="4:4">
      <c r="D3266" s="7" t="e">
        <f t="shared" si="50"/>
        <v>#DIV/0!</v>
      </c>
    </row>
    <row r="3267" customHeight="1" spans="4:4">
      <c r="D3267" s="7" t="e">
        <f t="shared" si="50"/>
        <v>#DIV/0!</v>
      </c>
    </row>
    <row r="3268" customHeight="1" spans="4:4">
      <c r="D3268" s="7" t="e">
        <f t="shared" ref="D3268:D3331" si="51">+B3268/C3268</f>
        <v>#DIV/0!</v>
      </c>
    </row>
    <row r="3269" customHeight="1" spans="4:4">
      <c r="D3269" s="7" t="e">
        <f t="shared" si="51"/>
        <v>#DIV/0!</v>
      </c>
    </row>
    <row r="3270" customHeight="1" spans="4:4">
      <c r="D3270" s="7" t="e">
        <f t="shared" si="51"/>
        <v>#DIV/0!</v>
      </c>
    </row>
    <row r="3271" customHeight="1" spans="4:4">
      <c r="D3271" s="7" t="e">
        <f t="shared" si="51"/>
        <v>#DIV/0!</v>
      </c>
    </row>
    <row r="3272" customHeight="1" spans="4:4">
      <c r="D3272" s="7" t="e">
        <f t="shared" si="51"/>
        <v>#DIV/0!</v>
      </c>
    </row>
    <row r="3273" customHeight="1" spans="4:4">
      <c r="D3273" s="7" t="e">
        <f t="shared" si="51"/>
        <v>#DIV/0!</v>
      </c>
    </row>
    <row r="3274" customHeight="1" spans="4:4">
      <c r="D3274" s="7" t="e">
        <f t="shared" si="51"/>
        <v>#DIV/0!</v>
      </c>
    </row>
    <row r="3275" customHeight="1" spans="4:4">
      <c r="D3275" s="7" t="e">
        <f t="shared" si="51"/>
        <v>#DIV/0!</v>
      </c>
    </row>
    <row r="3276" customHeight="1" spans="4:4">
      <c r="D3276" s="7" t="e">
        <f t="shared" si="51"/>
        <v>#DIV/0!</v>
      </c>
    </row>
    <row r="3277" customHeight="1" spans="4:4">
      <c r="D3277" s="7" t="e">
        <f t="shared" si="51"/>
        <v>#DIV/0!</v>
      </c>
    </row>
    <row r="3278" customHeight="1" spans="4:4">
      <c r="D3278" s="7" t="e">
        <f t="shared" si="51"/>
        <v>#DIV/0!</v>
      </c>
    </row>
    <row r="3279" customHeight="1" spans="4:4">
      <c r="D3279" s="7" t="e">
        <f t="shared" si="51"/>
        <v>#DIV/0!</v>
      </c>
    </row>
    <row r="3280" customHeight="1" spans="4:4">
      <c r="D3280" s="7" t="e">
        <f t="shared" si="51"/>
        <v>#DIV/0!</v>
      </c>
    </row>
    <row r="3281" customHeight="1" spans="4:4">
      <c r="D3281" s="7" t="e">
        <f t="shared" si="51"/>
        <v>#DIV/0!</v>
      </c>
    </row>
    <row r="3282" customHeight="1" spans="4:4">
      <c r="D3282" s="7" t="e">
        <f t="shared" si="51"/>
        <v>#DIV/0!</v>
      </c>
    </row>
    <row r="3283" customHeight="1" spans="4:4">
      <c r="D3283" s="7" t="e">
        <f t="shared" si="51"/>
        <v>#DIV/0!</v>
      </c>
    </row>
    <row r="3284" customHeight="1" spans="4:4">
      <c r="D3284" s="7" t="e">
        <f t="shared" si="51"/>
        <v>#DIV/0!</v>
      </c>
    </row>
    <row r="3285" customHeight="1" spans="4:4">
      <c r="D3285" s="7" t="e">
        <f t="shared" si="51"/>
        <v>#DIV/0!</v>
      </c>
    </row>
    <row r="3286" customHeight="1" spans="4:4">
      <c r="D3286" s="7" t="e">
        <f t="shared" si="51"/>
        <v>#DIV/0!</v>
      </c>
    </row>
    <row r="3287" customHeight="1" spans="4:4">
      <c r="D3287" s="7" t="e">
        <f t="shared" si="51"/>
        <v>#DIV/0!</v>
      </c>
    </row>
    <row r="3288" customHeight="1" spans="4:4">
      <c r="D3288" s="7" t="e">
        <f t="shared" si="51"/>
        <v>#DIV/0!</v>
      </c>
    </row>
    <row r="3289" customHeight="1" spans="4:4">
      <c r="D3289" s="7" t="e">
        <f t="shared" si="51"/>
        <v>#DIV/0!</v>
      </c>
    </row>
    <row r="3290" customHeight="1" spans="4:4">
      <c r="D3290" s="7" t="e">
        <f t="shared" si="51"/>
        <v>#DIV/0!</v>
      </c>
    </row>
    <row r="3291" customHeight="1" spans="4:4">
      <c r="D3291" s="7" t="e">
        <f t="shared" si="51"/>
        <v>#DIV/0!</v>
      </c>
    </row>
    <row r="3292" customHeight="1" spans="4:4">
      <c r="D3292" s="7" t="e">
        <f t="shared" si="51"/>
        <v>#DIV/0!</v>
      </c>
    </row>
    <row r="3293" customHeight="1" spans="4:4">
      <c r="D3293" s="7" t="e">
        <f t="shared" si="51"/>
        <v>#DIV/0!</v>
      </c>
    </row>
    <row r="3294" customHeight="1" spans="4:4">
      <c r="D3294" s="7" t="e">
        <f t="shared" si="51"/>
        <v>#DIV/0!</v>
      </c>
    </row>
    <row r="3295" customHeight="1" spans="4:4">
      <c r="D3295" s="7" t="e">
        <f t="shared" si="51"/>
        <v>#DIV/0!</v>
      </c>
    </row>
    <row r="3296" customHeight="1" spans="4:4">
      <c r="D3296" s="7" t="e">
        <f t="shared" si="51"/>
        <v>#DIV/0!</v>
      </c>
    </row>
    <row r="3297" customHeight="1" spans="4:4">
      <c r="D3297" s="7" t="e">
        <f t="shared" si="51"/>
        <v>#DIV/0!</v>
      </c>
    </row>
    <row r="3298" customHeight="1" spans="4:4">
      <c r="D3298" s="7" t="e">
        <f t="shared" si="51"/>
        <v>#DIV/0!</v>
      </c>
    </row>
    <row r="3299" customHeight="1" spans="4:4">
      <c r="D3299" s="7" t="e">
        <f t="shared" si="51"/>
        <v>#DIV/0!</v>
      </c>
    </row>
    <row r="3300" customHeight="1" spans="4:4">
      <c r="D3300" s="7" t="e">
        <f t="shared" si="51"/>
        <v>#DIV/0!</v>
      </c>
    </row>
    <row r="3301" customHeight="1" spans="4:4">
      <c r="D3301" s="7" t="e">
        <f t="shared" si="51"/>
        <v>#DIV/0!</v>
      </c>
    </row>
    <row r="3302" customHeight="1" spans="4:4">
      <c r="D3302" s="7" t="e">
        <f t="shared" si="51"/>
        <v>#DIV/0!</v>
      </c>
    </row>
    <row r="3303" customHeight="1" spans="4:4">
      <c r="D3303" s="7" t="e">
        <f t="shared" si="51"/>
        <v>#DIV/0!</v>
      </c>
    </row>
    <row r="3304" customHeight="1" spans="4:4">
      <c r="D3304" s="7" t="e">
        <f t="shared" si="51"/>
        <v>#DIV/0!</v>
      </c>
    </row>
    <row r="3305" customHeight="1" spans="4:4">
      <c r="D3305" s="7" t="e">
        <f t="shared" si="51"/>
        <v>#DIV/0!</v>
      </c>
    </row>
    <row r="3306" customHeight="1" spans="4:4">
      <c r="D3306" s="7" t="e">
        <f t="shared" si="51"/>
        <v>#DIV/0!</v>
      </c>
    </row>
    <row r="3307" customHeight="1" spans="4:4">
      <c r="D3307" s="7" t="e">
        <f t="shared" si="51"/>
        <v>#DIV/0!</v>
      </c>
    </row>
    <row r="3308" customHeight="1" spans="4:4">
      <c r="D3308" s="7" t="e">
        <f t="shared" si="51"/>
        <v>#DIV/0!</v>
      </c>
    </row>
    <row r="3309" customHeight="1" spans="4:4">
      <c r="D3309" s="7" t="e">
        <f t="shared" si="51"/>
        <v>#DIV/0!</v>
      </c>
    </row>
    <row r="3310" customHeight="1" spans="4:4">
      <c r="D3310" s="7" t="e">
        <f t="shared" si="51"/>
        <v>#DIV/0!</v>
      </c>
    </row>
    <row r="3311" customHeight="1" spans="4:4">
      <c r="D3311" s="7" t="e">
        <f t="shared" si="51"/>
        <v>#DIV/0!</v>
      </c>
    </row>
    <row r="3312" customHeight="1" spans="4:4">
      <c r="D3312" s="7" t="e">
        <f t="shared" si="51"/>
        <v>#DIV/0!</v>
      </c>
    </row>
    <row r="3313" customHeight="1" spans="4:4">
      <c r="D3313" s="7" t="e">
        <f t="shared" si="51"/>
        <v>#DIV/0!</v>
      </c>
    </row>
    <row r="3314" customHeight="1" spans="4:4">
      <c r="D3314" s="7" t="e">
        <f t="shared" si="51"/>
        <v>#DIV/0!</v>
      </c>
    </row>
    <row r="3315" customHeight="1" spans="4:4">
      <c r="D3315" s="7" t="e">
        <f t="shared" si="51"/>
        <v>#DIV/0!</v>
      </c>
    </row>
    <row r="3316" customHeight="1" spans="4:4">
      <c r="D3316" s="7" t="e">
        <f t="shared" si="51"/>
        <v>#DIV/0!</v>
      </c>
    </row>
    <row r="3317" customHeight="1" spans="4:4">
      <c r="D3317" s="7" t="e">
        <f t="shared" si="51"/>
        <v>#DIV/0!</v>
      </c>
    </row>
    <row r="3318" customHeight="1" spans="4:4">
      <c r="D3318" s="7" t="e">
        <f t="shared" si="51"/>
        <v>#DIV/0!</v>
      </c>
    </row>
    <row r="3319" customHeight="1" spans="4:4">
      <c r="D3319" s="7" t="e">
        <f t="shared" si="51"/>
        <v>#DIV/0!</v>
      </c>
    </row>
    <row r="3320" customHeight="1" spans="4:4">
      <c r="D3320" s="7" t="e">
        <f t="shared" si="51"/>
        <v>#DIV/0!</v>
      </c>
    </row>
    <row r="3321" customHeight="1" spans="4:4">
      <c r="D3321" s="7" t="e">
        <f t="shared" si="51"/>
        <v>#DIV/0!</v>
      </c>
    </row>
    <row r="3322" customHeight="1" spans="4:4">
      <c r="D3322" s="7" t="e">
        <f t="shared" si="51"/>
        <v>#DIV/0!</v>
      </c>
    </row>
    <row r="3323" customHeight="1" spans="4:4">
      <c r="D3323" s="7" t="e">
        <f t="shared" si="51"/>
        <v>#DIV/0!</v>
      </c>
    </row>
    <row r="3324" customHeight="1" spans="4:4">
      <c r="D3324" s="7" t="e">
        <f t="shared" si="51"/>
        <v>#DIV/0!</v>
      </c>
    </row>
    <row r="3325" customHeight="1" spans="4:4">
      <c r="D3325" s="7" t="e">
        <f t="shared" si="51"/>
        <v>#DIV/0!</v>
      </c>
    </row>
    <row r="3326" customHeight="1" spans="4:4">
      <c r="D3326" s="7" t="e">
        <f t="shared" si="51"/>
        <v>#DIV/0!</v>
      </c>
    </row>
    <row r="3327" customHeight="1" spans="4:4">
      <c r="D3327" s="7" t="e">
        <f t="shared" si="51"/>
        <v>#DIV/0!</v>
      </c>
    </row>
    <row r="3328" customHeight="1" spans="4:4">
      <c r="D3328" s="7" t="e">
        <f t="shared" si="51"/>
        <v>#DIV/0!</v>
      </c>
    </row>
    <row r="3329" customHeight="1" spans="4:4">
      <c r="D3329" s="7" t="e">
        <f t="shared" si="51"/>
        <v>#DIV/0!</v>
      </c>
    </row>
    <row r="3330" customHeight="1" spans="4:4">
      <c r="D3330" s="7" t="e">
        <f t="shared" si="51"/>
        <v>#DIV/0!</v>
      </c>
    </row>
    <row r="3331" customHeight="1" spans="4:4">
      <c r="D3331" s="7" t="e">
        <f t="shared" si="51"/>
        <v>#DIV/0!</v>
      </c>
    </row>
    <row r="3332" customHeight="1" spans="4:4">
      <c r="D3332" s="7" t="e">
        <f t="shared" ref="D3332:D3395" si="52">+B3332/C3332</f>
        <v>#DIV/0!</v>
      </c>
    </row>
    <row r="3333" customHeight="1" spans="4:4">
      <c r="D3333" s="7" t="e">
        <f t="shared" si="52"/>
        <v>#DIV/0!</v>
      </c>
    </row>
    <row r="3334" customHeight="1" spans="4:4">
      <c r="D3334" s="7" t="e">
        <f t="shared" si="52"/>
        <v>#DIV/0!</v>
      </c>
    </row>
    <row r="3335" customHeight="1" spans="4:4">
      <c r="D3335" s="7" t="e">
        <f t="shared" si="52"/>
        <v>#DIV/0!</v>
      </c>
    </row>
    <row r="3336" customHeight="1" spans="4:4">
      <c r="D3336" s="7" t="e">
        <f t="shared" si="52"/>
        <v>#DIV/0!</v>
      </c>
    </row>
    <row r="3337" customHeight="1" spans="4:4">
      <c r="D3337" s="7" t="e">
        <f t="shared" si="52"/>
        <v>#DIV/0!</v>
      </c>
    </row>
    <row r="3338" customHeight="1" spans="4:4">
      <c r="D3338" s="7" t="e">
        <f t="shared" si="52"/>
        <v>#DIV/0!</v>
      </c>
    </row>
    <row r="3339" customHeight="1" spans="4:4">
      <c r="D3339" s="7" t="e">
        <f t="shared" si="52"/>
        <v>#DIV/0!</v>
      </c>
    </row>
    <row r="3340" customHeight="1" spans="4:4">
      <c r="D3340" s="7" t="e">
        <f t="shared" si="52"/>
        <v>#DIV/0!</v>
      </c>
    </row>
    <row r="3341" customHeight="1" spans="4:4">
      <c r="D3341" s="7" t="e">
        <f t="shared" si="52"/>
        <v>#DIV/0!</v>
      </c>
    </row>
    <row r="3342" customHeight="1" spans="4:4">
      <c r="D3342" s="7" t="e">
        <f t="shared" si="52"/>
        <v>#DIV/0!</v>
      </c>
    </row>
    <row r="3343" customHeight="1" spans="4:4">
      <c r="D3343" s="7" t="e">
        <f t="shared" si="52"/>
        <v>#DIV/0!</v>
      </c>
    </row>
    <row r="3344" customHeight="1" spans="4:4">
      <c r="D3344" s="7" t="e">
        <f t="shared" si="52"/>
        <v>#DIV/0!</v>
      </c>
    </row>
    <row r="3345" customHeight="1" spans="4:4">
      <c r="D3345" s="7" t="e">
        <f t="shared" si="52"/>
        <v>#DIV/0!</v>
      </c>
    </row>
    <row r="3346" customHeight="1" spans="4:4">
      <c r="D3346" s="7" t="e">
        <f t="shared" si="52"/>
        <v>#DIV/0!</v>
      </c>
    </row>
    <row r="3347" customHeight="1" spans="4:4">
      <c r="D3347" s="7" t="e">
        <f t="shared" si="52"/>
        <v>#DIV/0!</v>
      </c>
    </row>
    <row r="3348" customHeight="1" spans="4:4">
      <c r="D3348" s="7" t="e">
        <f t="shared" si="52"/>
        <v>#DIV/0!</v>
      </c>
    </row>
    <row r="3349" customHeight="1" spans="4:4">
      <c r="D3349" s="7" t="e">
        <f t="shared" si="52"/>
        <v>#DIV/0!</v>
      </c>
    </row>
    <row r="3350" customHeight="1" spans="4:4">
      <c r="D3350" s="7" t="e">
        <f t="shared" si="52"/>
        <v>#DIV/0!</v>
      </c>
    </row>
    <row r="3351" customHeight="1" spans="4:4">
      <c r="D3351" s="7" t="e">
        <f t="shared" si="52"/>
        <v>#DIV/0!</v>
      </c>
    </row>
    <row r="3352" customHeight="1" spans="4:4">
      <c r="D3352" s="7" t="e">
        <f t="shared" si="52"/>
        <v>#DIV/0!</v>
      </c>
    </row>
    <row r="3353" customHeight="1" spans="4:4">
      <c r="D3353" s="7" t="e">
        <f t="shared" si="52"/>
        <v>#DIV/0!</v>
      </c>
    </row>
    <row r="3354" customHeight="1" spans="4:4">
      <c r="D3354" s="7" t="e">
        <f t="shared" si="52"/>
        <v>#DIV/0!</v>
      </c>
    </row>
    <row r="3355" customHeight="1" spans="4:4">
      <c r="D3355" s="7" t="e">
        <f t="shared" si="52"/>
        <v>#DIV/0!</v>
      </c>
    </row>
    <row r="3356" customHeight="1" spans="4:4">
      <c r="D3356" s="7" t="e">
        <f t="shared" si="52"/>
        <v>#DIV/0!</v>
      </c>
    </row>
    <row r="3357" customHeight="1" spans="4:4">
      <c r="D3357" s="7" t="e">
        <f t="shared" si="52"/>
        <v>#DIV/0!</v>
      </c>
    </row>
    <row r="3358" customHeight="1" spans="4:4">
      <c r="D3358" s="7" t="e">
        <f t="shared" si="52"/>
        <v>#DIV/0!</v>
      </c>
    </row>
    <row r="3359" customHeight="1" spans="4:4">
      <c r="D3359" s="7" t="e">
        <f t="shared" si="52"/>
        <v>#DIV/0!</v>
      </c>
    </row>
    <row r="3360" customHeight="1" spans="4:4">
      <c r="D3360" s="7" t="e">
        <f t="shared" si="52"/>
        <v>#DIV/0!</v>
      </c>
    </row>
    <row r="3361" customHeight="1" spans="4:4">
      <c r="D3361" s="7" t="e">
        <f t="shared" si="52"/>
        <v>#DIV/0!</v>
      </c>
    </row>
    <row r="3362" customHeight="1" spans="4:4">
      <c r="D3362" s="7" t="e">
        <f t="shared" si="52"/>
        <v>#DIV/0!</v>
      </c>
    </row>
    <row r="3363" customHeight="1" spans="4:4">
      <c r="D3363" s="7" t="e">
        <f t="shared" si="52"/>
        <v>#DIV/0!</v>
      </c>
    </row>
    <row r="3364" customHeight="1" spans="4:4">
      <c r="D3364" s="7" t="e">
        <f t="shared" si="52"/>
        <v>#DIV/0!</v>
      </c>
    </row>
    <row r="3365" customHeight="1" spans="4:4">
      <c r="D3365" s="7" t="e">
        <f t="shared" si="52"/>
        <v>#DIV/0!</v>
      </c>
    </row>
    <row r="3366" customHeight="1" spans="4:4">
      <c r="D3366" s="7" t="e">
        <f t="shared" si="52"/>
        <v>#DIV/0!</v>
      </c>
    </row>
    <row r="3367" customHeight="1" spans="4:4">
      <c r="D3367" s="7" t="e">
        <f t="shared" si="52"/>
        <v>#DIV/0!</v>
      </c>
    </row>
    <row r="3368" customHeight="1" spans="4:4">
      <c r="D3368" s="7" t="e">
        <f t="shared" si="52"/>
        <v>#DIV/0!</v>
      </c>
    </row>
    <row r="3369" customHeight="1" spans="4:4">
      <c r="D3369" s="7" t="e">
        <f t="shared" si="52"/>
        <v>#DIV/0!</v>
      </c>
    </row>
    <row r="3370" customHeight="1" spans="4:4">
      <c r="D3370" s="7" t="e">
        <f t="shared" si="52"/>
        <v>#DIV/0!</v>
      </c>
    </row>
    <row r="3371" customHeight="1" spans="4:4">
      <c r="D3371" s="7" t="e">
        <f t="shared" si="52"/>
        <v>#DIV/0!</v>
      </c>
    </row>
    <row r="3372" customHeight="1" spans="4:4">
      <c r="D3372" s="7" t="e">
        <f t="shared" si="52"/>
        <v>#DIV/0!</v>
      </c>
    </row>
    <row r="3373" customHeight="1" spans="4:4">
      <c r="D3373" s="7" t="e">
        <f t="shared" si="52"/>
        <v>#DIV/0!</v>
      </c>
    </row>
    <row r="3374" customHeight="1" spans="4:4">
      <c r="D3374" s="7" t="e">
        <f t="shared" si="52"/>
        <v>#DIV/0!</v>
      </c>
    </row>
    <row r="3375" customHeight="1" spans="4:4">
      <c r="D3375" s="7" t="e">
        <f t="shared" si="52"/>
        <v>#DIV/0!</v>
      </c>
    </row>
    <row r="3376" customHeight="1" spans="4:4">
      <c r="D3376" s="7" t="e">
        <f t="shared" si="52"/>
        <v>#DIV/0!</v>
      </c>
    </row>
    <row r="3377" customHeight="1" spans="4:4">
      <c r="D3377" s="7" t="e">
        <f t="shared" si="52"/>
        <v>#DIV/0!</v>
      </c>
    </row>
    <row r="3378" customHeight="1" spans="4:4">
      <c r="D3378" s="7" t="e">
        <f t="shared" si="52"/>
        <v>#DIV/0!</v>
      </c>
    </row>
    <row r="3379" customHeight="1" spans="4:4">
      <c r="D3379" s="7" t="e">
        <f t="shared" si="52"/>
        <v>#DIV/0!</v>
      </c>
    </row>
    <row r="3380" customHeight="1" spans="4:4">
      <c r="D3380" s="7" t="e">
        <f t="shared" si="52"/>
        <v>#DIV/0!</v>
      </c>
    </row>
    <row r="3381" customHeight="1" spans="4:4">
      <c r="D3381" s="7" t="e">
        <f t="shared" si="52"/>
        <v>#DIV/0!</v>
      </c>
    </row>
    <row r="3382" customHeight="1" spans="4:4">
      <c r="D3382" s="7" t="e">
        <f t="shared" si="52"/>
        <v>#DIV/0!</v>
      </c>
    </row>
    <row r="3383" customHeight="1" spans="4:4">
      <c r="D3383" s="7" t="e">
        <f t="shared" si="52"/>
        <v>#DIV/0!</v>
      </c>
    </row>
    <row r="3384" customHeight="1" spans="4:4">
      <c r="D3384" s="7" t="e">
        <f t="shared" si="52"/>
        <v>#DIV/0!</v>
      </c>
    </row>
    <row r="3385" customHeight="1" spans="4:4">
      <c r="D3385" s="7" t="e">
        <f t="shared" si="52"/>
        <v>#DIV/0!</v>
      </c>
    </row>
    <row r="3386" customHeight="1" spans="4:4">
      <c r="D3386" s="7" t="e">
        <f t="shared" si="52"/>
        <v>#DIV/0!</v>
      </c>
    </row>
    <row r="3387" customHeight="1" spans="4:4">
      <c r="D3387" s="7" t="e">
        <f t="shared" si="52"/>
        <v>#DIV/0!</v>
      </c>
    </row>
    <row r="3388" customHeight="1" spans="4:4">
      <c r="D3388" s="7" t="e">
        <f t="shared" si="52"/>
        <v>#DIV/0!</v>
      </c>
    </row>
    <row r="3389" customHeight="1" spans="4:4">
      <c r="D3389" s="7" t="e">
        <f t="shared" si="52"/>
        <v>#DIV/0!</v>
      </c>
    </row>
    <row r="3390" customHeight="1" spans="4:4">
      <c r="D3390" s="7" t="e">
        <f t="shared" si="52"/>
        <v>#DIV/0!</v>
      </c>
    </row>
    <row r="3391" customHeight="1" spans="4:4">
      <c r="D3391" s="7" t="e">
        <f t="shared" si="52"/>
        <v>#DIV/0!</v>
      </c>
    </row>
    <row r="3392" customHeight="1" spans="4:4">
      <c r="D3392" s="7" t="e">
        <f t="shared" si="52"/>
        <v>#DIV/0!</v>
      </c>
    </row>
    <row r="3393" customHeight="1" spans="4:4">
      <c r="D3393" s="7" t="e">
        <f t="shared" si="52"/>
        <v>#DIV/0!</v>
      </c>
    </row>
    <row r="3394" customHeight="1" spans="4:4">
      <c r="D3394" s="7" t="e">
        <f t="shared" si="52"/>
        <v>#DIV/0!</v>
      </c>
    </row>
    <row r="3395" customHeight="1" spans="4:4">
      <c r="D3395" s="7" t="e">
        <f t="shared" si="52"/>
        <v>#DIV/0!</v>
      </c>
    </row>
    <row r="3396" customHeight="1" spans="4:4">
      <c r="D3396" s="7" t="e">
        <f t="shared" ref="D3396:D3459" si="53">+B3396/C3396</f>
        <v>#DIV/0!</v>
      </c>
    </row>
    <row r="3397" customHeight="1" spans="4:4">
      <c r="D3397" s="7" t="e">
        <f t="shared" si="53"/>
        <v>#DIV/0!</v>
      </c>
    </row>
    <row r="3398" customHeight="1" spans="4:4">
      <c r="D3398" s="7" t="e">
        <f t="shared" si="53"/>
        <v>#DIV/0!</v>
      </c>
    </row>
    <row r="3399" customHeight="1" spans="4:4">
      <c r="D3399" s="7" t="e">
        <f t="shared" si="53"/>
        <v>#DIV/0!</v>
      </c>
    </row>
    <row r="3400" customHeight="1" spans="4:4">
      <c r="D3400" s="7" t="e">
        <f t="shared" si="53"/>
        <v>#DIV/0!</v>
      </c>
    </row>
    <row r="3401" customHeight="1" spans="4:4">
      <c r="D3401" s="7" t="e">
        <f t="shared" si="53"/>
        <v>#DIV/0!</v>
      </c>
    </row>
    <row r="3402" customHeight="1" spans="4:4">
      <c r="D3402" s="7" t="e">
        <f t="shared" si="53"/>
        <v>#DIV/0!</v>
      </c>
    </row>
    <row r="3403" customHeight="1" spans="4:4">
      <c r="D3403" s="7" t="e">
        <f t="shared" si="53"/>
        <v>#DIV/0!</v>
      </c>
    </row>
    <row r="3404" customHeight="1" spans="4:4">
      <c r="D3404" s="7" t="e">
        <f t="shared" si="53"/>
        <v>#DIV/0!</v>
      </c>
    </row>
    <row r="3405" customHeight="1" spans="4:4">
      <c r="D3405" s="7" t="e">
        <f t="shared" si="53"/>
        <v>#DIV/0!</v>
      </c>
    </row>
    <row r="3406" customHeight="1" spans="4:4">
      <c r="D3406" s="7" t="e">
        <f t="shared" si="53"/>
        <v>#DIV/0!</v>
      </c>
    </row>
    <row r="3407" customHeight="1" spans="4:4">
      <c r="D3407" s="7" t="e">
        <f t="shared" si="53"/>
        <v>#DIV/0!</v>
      </c>
    </row>
    <row r="3408" customHeight="1" spans="4:4">
      <c r="D3408" s="7" t="e">
        <f t="shared" si="53"/>
        <v>#DIV/0!</v>
      </c>
    </row>
    <row r="3409" customHeight="1" spans="4:4">
      <c r="D3409" s="7" t="e">
        <f t="shared" si="53"/>
        <v>#DIV/0!</v>
      </c>
    </row>
    <row r="3410" customHeight="1" spans="4:4">
      <c r="D3410" s="7" t="e">
        <f t="shared" si="53"/>
        <v>#DIV/0!</v>
      </c>
    </row>
    <row r="3411" customHeight="1" spans="4:4">
      <c r="D3411" s="7" t="e">
        <f t="shared" si="53"/>
        <v>#DIV/0!</v>
      </c>
    </row>
    <row r="3412" customHeight="1" spans="4:4">
      <c r="D3412" s="7" t="e">
        <f t="shared" si="53"/>
        <v>#DIV/0!</v>
      </c>
    </row>
    <row r="3413" customHeight="1" spans="4:4">
      <c r="D3413" s="7" t="e">
        <f t="shared" si="53"/>
        <v>#DIV/0!</v>
      </c>
    </row>
    <row r="3414" customHeight="1" spans="4:4">
      <c r="D3414" s="7" t="e">
        <f t="shared" si="53"/>
        <v>#DIV/0!</v>
      </c>
    </row>
    <row r="3415" customHeight="1" spans="4:4">
      <c r="D3415" s="7" t="e">
        <f t="shared" si="53"/>
        <v>#DIV/0!</v>
      </c>
    </row>
    <row r="3416" customHeight="1" spans="4:4">
      <c r="D3416" s="7" t="e">
        <f t="shared" si="53"/>
        <v>#DIV/0!</v>
      </c>
    </row>
    <row r="3417" customHeight="1" spans="4:4">
      <c r="D3417" s="7" t="e">
        <f t="shared" si="53"/>
        <v>#DIV/0!</v>
      </c>
    </row>
    <row r="3418" customHeight="1" spans="4:4">
      <c r="D3418" s="7" t="e">
        <f t="shared" si="53"/>
        <v>#DIV/0!</v>
      </c>
    </row>
    <row r="3419" customHeight="1" spans="4:4">
      <c r="D3419" s="7" t="e">
        <f t="shared" si="53"/>
        <v>#DIV/0!</v>
      </c>
    </row>
    <row r="3420" customHeight="1" spans="4:4">
      <c r="D3420" s="7" t="e">
        <f t="shared" si="53"/>
        <v>#DIV/0!</v>
      </c>
    </row>
    <row r="3421" customHeight="1" spans="4:4">
      <c r="D3421" s="7" t="e">
        <f t="shared" si="53"/>
        <v>#DIV/0!</v>
      </c>
    </row>
    <row r="3422" customHeight="1" spans="4:4">
      <c r="D3422" s="7" t="e">
        <f t="shared" si="53"/>
        <v>#DIV/0!</v>
      </c>
    </row>
    <row r="3423" customHeight="1" spans="4:4">
      <c r="D3423" s="7" t="e">
        <f t="shared" si="53"/>
        <v>#DIV/0!</v>
      </c>
    </row>
    <row r="3424" customHeight="1" spans="4:4">
      <c r="D3424" s="7" t="e">
        <f t="shared" si="53"/>
        <v>#DIV/0!</v>
      </c>
    </row>
    <row r="3425" customHeight="1" spans="4:4">
      <c r="D3425" s="7" t="e">
        <f t="shared" si="53"/>
        <v>#DIV/0!</v>
      </c>
    </row>
    <row r="3426" customHeight="1" spans="4:4">
      <c r="D3426" s="7" t="e">
        <f t="shared" si="53"/>
        <v>#DIV/0!</v>
      </c>
    </row>
    <row r="3427" customHeight="1" spans="4:4">
      <c r="D3427" s="7" t="e">
        <f t="shared" si="53"/>
        <v>#DIV/0!</v>
      </c>
    </row>
    <row r="3428" customHeight="1" spans="4:4">
      <c r="D3428" s="7" t="e">
        <f t="shared" si="53"/>
        <v>#DIV/0!</v>
      </c>
    </row>
    <row r="3429" customHeight="1" spans="4:4">
      <c r="D3429" s="7" t="e">
        <f t="shared" si="53"/>
        <v>#DIV/0!</v>
      </c>
    </row>
    <row r="3430" customHeight="1" spans="4:4">
      <c r="D3430" s="7" t="e">
        <f t="shared" si="53"/>
        <v>#DIV/0!</v>
      </c>
    </row>
    <row r="3431" customHeight="1" spans="4:4">
      <c r="D3431" s="7" t="e">
        <f t="shared" si="53"/>
        <v>#DIV/0!</v>
      </c>
    </row>
    <row r="3432" customHeight="1" spans="4:4">
      <c r="D3432" s="7" t="e">
        <f t="shared" si="53"/>
        <v>#DIV/0!</v>
      </c>
    </row>
    <row r="3433" customHeight="1" spans="4:4">
      <c r="D3433" s="7" t="e">
        <f t="shared" si="53"/>
        <v>#DIV/0!</v>
      </c>
    </row>
    <row r="3434" customHeight="1" spans="4:4">
      <c r="D3434" s="7" t="e">
        <f t="shared" si="53"/>
        <v>#DIV/0!</v>
      </c>
    </row>
    <row r="3435" customHeight="1" spans="4:4">
      <c r="D3435" s="7" t="e">
        <f t="shared" si="53"/>
        <v>#DIV/0!</v>
      </c>
    </row>
    <row r="3436" customHeight="1" spans="4:4">
      <c r="D3436" s="7" t="e">
        <f t="shared" si="53"/>
        <v>#DIV/0!</v>
      </c>
    </row>
    <row r="3437" customHeight="1" spans="4:4">
      <c r="D3437" s="7" t="e">
        <f t="shared" si="53"/>
        <v>#DIV/0!</v>
      </c>
    </row>
    <row r="3438" customHeight="1" spans="4:4">
      <c r="D3438" s="7" t="e">
        <f t="shared" si="53"/>
        <v>#DIV/0!</v>
      </c>
    </row>
    <row r="3439" customHeight="1" spans="4:4">
      <c r="D3439" s="7" t="e">
        <f t="shared" si="53"/>
        <v>#DIV/0!</v>
      </c>
    </row>
    <row r="3440" customHeight="1" spans="4:4">
      <c r="D3440" s="7" t="e">
        <f t="shared" si="53"/>
        <v>#DIV/0!</v>
      </c>
    </row>
    <row r="3441" customHeight="1" spans="4:4">
      <c r="D3441" s="7" t="e">
        <f t="shared" si="53"/>
        <v>#DIV/0!</v>
      </c>
    </row>
    <row r="3442" customHeight="1" spans="4:4">
      <c r="D3442" s="7" t="e">
        <f t="shared" si="53"/>
        <v>#DIV/0!</v>
      </c>
    </row>
    <row r="3443" customHeight="1" spans="4:4">
      <c r="D3443" s="7" t="e">
        <f t="shared" si="53"/>
        <v>#DIV/0!</v>
      </c>
    </row>
    <row r="3444" customHeight="1" spans="4:4">
      <c r="D3444" s="7" t="e">
        <f t="shared" si="53"/>
        <v>#DIV/0!</v>
      </c>
    </row>
    <row r="3445" customHeight="1" spans="4:4">
      <c r="D3445" s="7" t="e">
        <f t="shared" si="53"/>
        <v>#DIV/0!</v>
      </c>
    </row>
    <row r="3446" customHeight="1" spans="4:4">
      <c r="D3446" s="7" t="e">
        <f t="shared" si="53"/>
        <v>#DIV/0!</v>
      </c>
    </row>
    <row r="3447" customHeight="1" spans="4:4">
      <c r="D3447" s="7" t="e">
        <f t="shared" si="53"/>
        <v>#DIV/0!</v>
      </c>
    </row>
    <row r="3448" customHeight="1" spans="4:4">
      <c r="D3448" s="7" t="e">
        <f t="shared" si="53"/>
        <v>#DIV/0!</v>
      </c>
    </row>
    <row r="3449" customHeight="1" spans="4:4">
      <c r="D3449" s="7" t="e">
        <f t="shared" si="53"/>
        <v>#DIV/0!</v>
      </c>
    </row>
    <row r="3450" customHeight="1" spans="4:4">
      <c r="D3450" s="7" t="e">
        <f t="shared" si="53"/>
        <v>#DIV/0!</v>
      </c>
    </row>
    <row r="3451" customHeight="1" spans="4:4">
      <c r="D3451" s="7" t="e">
        <f t="shared" si="53"/>
        <v>#DIV/0!</v>
      </c>
    </row>
    <row r="3452" customHeight="1" spans="4:4">
      <c r="D3452" s="7" t="e">
        <f t="shared" si="53"/>
        <v>#DIV/0!</v>
      </c>
    </row>
    <row r="3453" customHeight="1" spans="4:4">
      <c r="D3453" s="7" t="e">
        <f t="shared" si="53"/>
        <v>#DIV/0!</v>
      </c>
    </row>
    <row r="3454" customHeight="1" spans="4:4">
      <c r="D3454" s="7" t="e">
        <f t="shared" si="53"/>
        <v>#DIV/0!</v>
      </c>
    </row>
    <row r="3455" customHeight="1" spans="4:4">
      <c r="D3455" s="7" t="e">
        <f t="shared" si="53"/>
        <v>#DIV/0!</v>
      </c>
    </row>
    <row r="3456" customHeight="1" spans="4:4">
      <c r="D3456" s="7" t="e">
        <f t="shared" si="53"/>
        <v>#DIV/0!</v>
      </c>
    </row>
    <row r="3457" customHeight="1" spans="4:4">
      <c r="D3457" s="7" t="e">
        <f t="shared" si="53"/>
        <v>#DIV/0!</v>
      </c>
    </row>
    <row r="3458" customHeight="1" spans="4:4">
      <c r="D3458" s="7" t="e">
        <f t="shared" si="53"/>
        <v>#DIV/0!</v>
      </c>
    </row>
    <row r="3459" customHeight="1" spans="4:4">
      <c r="D3459" s="7" t="e">
        <f t="shared" si="53"/>
        <v>#DIV/0!</v>
      </c>
    </row>
    <row r="3460" customHeight="1" spans="4:4">
      <c r="D3460" s="7" t="e">
        <f t="shared" ref="D3460:D3523" si="54">+B3460/C3460</f>
        <v>#DIV/0!</v>
      </c>
    </row>
    <row r="3461" customHeight="1" spans="4:4">
      <c r="D3461" s="7" t="e">
        <f t="shared" si="54"/>
        <v>#DIV/0!</v>
      </c>
    </row>
    <row r="3462" customHeight="1" spans="4:4">
      <c r="D3462" s="7" t="e">
        <f t="shared" si="54"/>
        <v>#DIV/0!</v>
      </c>
    </row>
    <row r="3463" customHeight="1" spans="4:4">
      <c r="D3463" s="7" t="e">
        <f t="shared" si="54"/>
        <v>#DIV/0!</v>
      </c>
    </row>
    <row r="3464" customHeight="1" spans="4:4">
      <c r="D3464" s="7" t="e">
        <f t="shared" si="54"/>
        <v>#DIV/0!</v>
      </c>
    </row>
    <row r="3465" customHeight="1" spans="4:4">
      <c r="D3465" s="7" t="e">
        <f t="shared" si="54"/>
        <v>#DIV/0!</v>
      </c>
    </row>
    <row r="3466" customHeight="1" spans="4:4">
      <c r="D3466" s="7" t="e">
        <f t="shared" si="54"/>
        <v>#DIV/0!</v>
      </c>
    </row>
    <row r="3467" customHeight="1" spans="4:4">
      <c r="D3467" s="7" t="e">
        <f t="shared" si="54"/>
        <v>#DIV/0!</v>
      </c>
    </row>
    <row r="3468" customHeight="1" spans="4:4">
      <c r="D3468" s="7" t="e">
        <f t="shared" si="54"/>
        <v>#DIV/0!</v>
      </c>
    </row>
    <row r="3469" customHeight="1" spans="4:4">
      <c r="D3469" s="7" t="e">
        <f t="shared" si="54"/>
        <v>#DIV/0!</v>
      </c>
    </row>
    <row r="3470" customHeight="1" spans="4:4">
      <c r="D3470" s="7" t="e">
        <f t="shared" si="54"/>
        <v>#DIV/0!</v>
      </c>
    </row>
    <row r="3471" customHeight="1" spans="4:4">
      <c r="D3471" s="7" t="e">
        <f t="shared" si="54"/>
        <v>#DIV/0!</v>
      </c>
    </row>
    <row r="3472" customHeight="1" spans="4:4">
      <c r="D3472" s="7" t="e">
        <f t="shared" si="54"/>
        <v>#DIV/0!</v>
      </c>
    </row>
    <row r="3473" customHeight="1" spans="4:4">
      <c r="D3473" s="7" t="e">
        <f t="shared" si="54"/>
        <v>#DIV/0!</v>
      </c>
    </row>
    <row r="3474" customHeight="1" spans="4:4">
      <c r="D3474" s="7" t="e">
        <f t="shared" si="54"/>
        <v>#DIV/0!</v>
      </c>
    </row>
    <row r="3475" customHeight="1" spans="4:4">
      <c r="D3475" s="7" t="e">
        <f t="shared" si="54"/>
        <v>#DIV/0!</v>
      </c>
    </row>
    <row r="3476" customHeight="1" spans="4:4">
      <c r="D3476" s="7" t="e">
        <f t="shared" si="54"/>
        <v>#DIV/0!</v>
      </c>
    </row>
    <row r="3477" customHeight="1" spans="4:4">
      <c r="D3477" s="7" t="e">
        <f t="shared" si="54"/>
        <v>#DIV/0!</v>
      </c>
    </row>
    <row r="3478" customHeight="1" spans="4:4">
      <c r="D3478" s="7" t="e">
        <f t="shared" si="54"/>
        <v>#DIV/0!</v>
      </c>
    </row>
    <row r="3479" customHeight="1" spans="4:4">
      <c r="D3479" s="7" t="e">
        <f t="shared" si="54"/>
        <v>#DIV/0!</v>
      </c>
    </row>
    <row r="3480" customHeight="1" spans="4:4">
      <c r="D3480" s="7" t="e">
        <f t="shared" si="54"/>
        <v>#DIV/0!</v>
      </c>
    </row>
    <row r="3481" customHeight="1" spans="4:4">
      <c r="D3481" s="7" t="e">
        <f t="shared" si="54"/>
        <v>#DIV/0!</v>
      </c>
    </row>
    <row r="3482" customHeight="1" spans="4:4">
      <c r="D3482" s="7" t="e">
        <f t="shared" si="54"/>
        <v>#DIV/0!</v>
      </c>
    </row>
    <row r="3483" customHeight="1" spans="4:4">
      <c r="D3483" s="7" t="e">
        <f t="shared" si="54"/>
        <v>#DIV/0!</v>
      </c>
    </row>
    <row r="3484" customHeight="1" spans="4:4">
      <c r="D3484" s="7" t="e">
        <f t="shared" si="54"/>
        <v>#DIV/0!</v>
      </c>
    </row>
    <row r="3485" customHeight="1" spans="4:4">
      <c r="D3485" s="7" t="e">
        <f t="shared" si="54"/>
        <v>#DIV/0!</v>
      </c>
    </row>
    <row r="3486" customHeight="1" spans="4:4">
      <c r="D3486" s="7" t="e">
        <f t="shared" si="54"/>
        <v>#DIV/0!</v>
      </c>
    </row>
    <row r="3487" customHeight="1" spans="4:4">
      <c r="D3487" s="7" t="e">
        <f t="shared" si="54"/>
        <v>#DIV/0!</v>
      </c>
    </row>
    <row r="3488" customHeight="1" spans="4:4">
      <c r="D3488" s="7" t="e">
        <f t="shared" si="54"/>
        <v>#DIV/0!</v>
      </c>
    </row>
    <row r="3489" customHeight="1" spans="4:4">
      <c r="D3489" s="7" t="e">
        <f t="shared" si="54"/>
        <v>#DIV/0!</v>
      </c>
    </row>
    <row r="3490" customHeight="1" spans="4:4">
      <c r="D3490" s="7" t="e">
        <f t="shared" si="54"/>
        <v>#DIV/0!</v>
      </c>
    </row>
    <row r="3491" customHeight="1" spans="4:4">
      <c r="D3491" s="7" t="e">
        <f t="shared" si="54"/>
        <v>#DIV/0!</v>
      </c>
    </row>
    <row r="3492" customHeight="1" spans="4:4">
      <c r="D3492" s="7" t="e">
        <f t="shared" si="54"/>
        <v>#DIV/0!</v>
      </c>
    </row>
    <row r="3493" customHeight="1" spans="4:4">
      <c r="D3493" s="7" t="e">
        <f t="shared" si="54"/>
        <v>#DIV/0!</v>
      </c>
    </row>
    <row r="3494" customHeight="1" spans="4:4">
      <c r="D3494" s="7" t="e">
        <f t="shared" si="54"/>
        <v>#DIV/0!</v>
      </c>
    </row>
    <row r="3495" customHeight="1" spans="4:4">
      <c r="D3495" s="7" t="e">
        <f t="shared" si="54"/>
        <v>#DIV/0!</v>
      </c>
    </row>
    <row r="3496" customHeight="1" spans="4:4">
      <c r="D3496" s="7" t="e">
        <f t="shared" si="54"/>
        <v>#DIV/0!</v>
      </c>
    </row>
    <row r="3497" customHeight="1" spans="4:4">
      <c r="D3497" s="7" t="e">
        <f t="shared" si="54"/>
        <v>#DIV/0!</v>
      </c>
    </row>
    <row r="3498" customHeight="1" spans="4:4">
      <c r="D3498" s="7" t="e">
        <f t="shared" si="54"/>
        <v>#DIV/0!</v>
      </c>
    </row>
    <row r="3499" customHeight="1" spans="4:4">
      <c r="D3499" s="7" t="e">
        <f t="shared" si="54"/>
        <v>#DIV/0!</v>
      </c>
    </row>
    <row r="3500" customHeight="1" spans="4:4">
      <c r="D3500" s="7" t="e">
        <f t="shared" si="54"/>
        <v>#DIV/0!</v>
      </c>
    </row>
    <row r="3501" customHeight="1" spans="4:4">
      <c r="D3501" s="7" t="e">
        <f t="shared" si="54"/>
        <v>#DIV/0!</v>
      </c>
    </row>
    <row r="3502" customHeight="1" spans="4:4">
      <c r="D3502" s="7" t="e">
        <f t="shared" si="54"/>
        <v>#DIV/0!</v>
      </c>
    </row>
    <row r="3503" customHeight="1" spans="4:4">
      <c r="D3503" s="7" t="e">
        <f t="shared" si="54"/>
        <v>#DIV/0!</v>
      </c>
    </row>
    <row r="3504" customHeight="1" spans="4:4">
      <c r="D3504" s="7" t="e">
        <f t="shared" si="54"/>
        <v>#DIV/0!</v>
      </c>
    </row>
    <row r="3505" customHeight="1" spans="4:4">
      <c r="D3505" s="7" t="e">
        <f t="shared" si="54"/>
        <v>#DIV/0!</v>
      </c>
    </row>
    <row r="3506" customHeight="1" spans="4:4">
      <c r="D3506" s="7" t="e">
        <f t="shared" si="54"/>
        <v>#DIV/0!</v>
      </c>
    </row>
    <row r="3507" customHeight="1" spans="4:4">
      <c r="D3507" s="7" t="e">
        <f t="shared" si="54"/>
        <v>#DIV/0!</v>
      </c>
    </row>
    <row r="3508" customHeight="1" spans="4:4">
      <c r="D3508" s="7" t="e">
        <f t="shared" si="54"/>
        <v>#DIV/0!</v>
      </c>
    </row>
    <row r="3509" customHeight="1" spans="4:4">
      <c r="D3509" s="7" t="e">
        <f t="shared" si="54"/>
        <v>#DIV/0!</v>
      </c>
    </row>
    <row r="3510" customHeight="1" spans="4:4">
      <c r="D3510" s="7" t="e">
        <f t="shared" si="54"/>
        <v>#DIV/0!</v>
      </c>
    </row>
    <row r="3511" customHeight="1" spans="4:4">
      <c r="D3511" s="7" t="e">
        <f t="shared" si="54"/>
        <v>#DIV/0!</v>
      </c>
    </row>
    <row r="3512" customHeight="1" spans="4:4">
      <c r="D3512" s="7" t="e">
        <f t="shared" si="54"/>
        <v>#DIV/0!</v>
      </c>
    </row>
    <row r="3513" customHeight="1" spans="4:4">
      <c r="D3513" s="7" t="e">
        <f t="shared" si="54"/>
        <v>#DIV/0!</v>
      </c>
    </row>
    <row r="3514" customHeight="1" spans="4:4">
      <c r="D3514" s="7" t="e">
        <f t="shared" si="54"/>
        <v>#DIV/0!</v>
      </c>
    </row>
    <row r="3515" customHeight="1" spans="4:4">
      <c r="D3515" s="7" t="e">
        <f t="shared" si="54"/>
        <v>#DIV/0!</v>
      </c>
    </row>
    <row r="3516" customHeight="1" spans="4:4">
      <c r="D3516" s="7" t="e">
        <f t="shared" si="54"/>
        <v>#DIV/0!</v>
      </c>
    </row>
    <row r="3517" customHeight="1" spans="4:4">
      <c r="D3517" s="7" t="e">
        <f t="shared" si="54"/>
        <v>#DIV/0!</v>
      </c>
    </row>
    <row r="3518" customHeight="1" spans="4:4">
      <c r="D3518" s="7" t="e">
        <f t="shared" si="54"/>
        <v>#DIV/0!</v>
      </c>
    </row>
    <row r="3519" customHeight="1" spans="4:4">
      <c r="D3519" s="7" t="e">
        <f t="shared" si="54"/>
        <v>#DIV/0!</v>
      </c>
    </row>
    <row r="3520" customHeight="1" spans="4:4">
      <c r="D3520" s="7" t="e">
        <f t="shared" si="54"/>
        <v>#DIV/0!</v>
      </c>
    </row>
    <row r="3521" customHeight="1" spans="4:4">
      <c r="D3521" s="7" t="e">
        <f t="shared" si="54"/>
        <v>#DIV/0!</v>
      </c>
    </row>
    <row r="3522" customHeight="1" spans="4:4">
      <c r="D3522" s="7" t="e">
        <f t="shared" si="54"/>
        <v>#DIV/0!</v>
      </c>
    </row>
    <row r="3523" customHeight="1" spans="4:4">
      <c r="D3523" s="7" t="e">
        <f t="shared" si="54"/>
        <v>#DIV/0!</v>
      </c>
    </row>
    <row r="3524" customHeight="1" spans="4:4">
      <c r="D3524" s="7" t="e">
        <f t="shared" ref="D3524:D3587" si="55">+B3524/C3524</f>
        <v>#DIV/0!</v>
      </c>
    </row>
    <row r="3525" customHeight="1" spans="4:4">
      <c r="D3525" s="7" t="e">
        <f t="shared" si="55"/>
        <v>#DIV/0!</v>
      </c>
    </row>
    <row r="3526" customHeight="1" spans="4:4">
      <c r="D3526" s="7" t="e">
        <f t="shared" si="55"/>
        <v>#DIV/0!</v>
      </c>
    </row>
    <row r="3527" customHeight="1" spans="4:4">
      <c r="D3527" s="7" t="e">
        <f t="shared" si="55"/>
        <v>#DIV/0!</v>
      </c>
    </row>
    <row r="3528" customHeight="1" spans="4:4">
      <c r="D3528" s="7" t="e">
        <f t="shared" si="55"/>
        <v>#DIV/0!</v>
      </c>
    </row>
    <row r="3529" customHeight="1" spans="4:4">
      <c r="D3529" s="7" t="e">
        <f t="shared" si="55"/>
        <v>#DIV/0!</v>
      </c>
    </row>
    <row r="3530" customHeight="1" spans="4:4">
      <c r="D3530" s="7" t="e">
        <f t="shared" si="55"/>
        <v>#DIV/0!</v>
      </c>
    </row>
    <row r="3531" customHeight="1" spans="4:4">
      <c r="D3531" s="7" t="e">
        <f t="shared" si="55"/>
        <v>#DIV/0!</v>
      </c>
    </row>
    <row r="3532" customHeight="1" spans="4:4">
      <c r="D3532" s="7" t="e">
        <f t="shared" si="55"/>
        <v>#DIV/0!</v>
      </c>
    </row>
    <row r="3533" customHeight="1" spans="4:4">
      <c r="D3533" s="7" t="e">
        <f t="shared" si="55"/>
        <v>#DIV/0!</v>
      </c>
    </row>
    <row r="3534" customHeight="1" spans="4:4">
      <c r="D3534" s="7" t="e">
        <f t="shared" si="55"/>
        <v>#DIV/0!</v>
      </c>
    </row>
    <row r="3535" customHeight="1" spans="4:4">
      <c r="D3535" s="7" t="e">
        <f t="shared" si="55"/>
        <v>#DIV/0!</v>
      </c>
    </row>
    <row r="3536" customHeight="1" spans="4:4">
      <c r="D3536" s="7" t="e">
        <f t="shared" si="55"/>
        <v>#DIV/0!</v>
      </c>
    </row>
    <row r="3537" customHeight="1" spans="4:4">
      <c r="D3537" s="7" t="e">
        <f t="shared" si="55"/>
        <v>#DIV/0!</v>
      </c>
    </row>
    <row r="3538" customHeight="1" spans="4:4">
      <c r="D3538" s="7" t="e">
        <f t="shared" si="55"/>
        <v>#DIV/0!</v>
      </c>
    </row>
    <row r="3539" customHeight="1" spans="4:4">
      <c r="D3539" s="7" t="e">
        <f t="shared" si="55"/>
        <v>#DIV/0!</v>
      </c>
    </row>
    <row r="3540" customHeight="1" spans="4:4">
      <c r="D3540" s="7" t="e">
        <f t="shared" si="55"/>
        <v>#DIV/0!</v>
      </c>
    </row>
    <row r="3541" customHeight="1" spans="4:4">
      <c r="D3541" s="7" t="e">
        <f t="shared" si="55"/>
        <v>#DIV/0!</v>
      </c>
    </row>
    <row r="3542" customHeight="1" spans="4:4">
      <c r="D3542" s="7" t="e">
        <f t="shared" si="55"/>
        <v>#DIV/0!</v>
      </c>
    </row>
    <row r="3543" customHeight="1" spans="4:4">
      <c r="D3543" s="7" t="e">
        <f t="shared" si="55"/>
        <v>#DIV/0!</v>
      </c>
    </row>
    <row r="3544" customHeight="1" spans="4:4">
      <c r="D3544" s="7" t="e">
        <f t="shared" si="55"/>
        <v>#DIV/0!</v>
      </c>
    </row>
    <row r="3545" customHeight="1" spans="4:4">
      <c r="D3545" s="7" t="e">
        <f t="shared" si="55"/>
        <v>#DIV/0!</v>
      </c>
    </row>
    <row r="3546" customHeight="1" spans="4:4">
      <c r="D3546" s="7" t="e">
        <f t="shared" si="55"/>
        <v>#DIV/0!</v>
      </c>
    </row>
    <row r="3547" customHeight="1" spans="4:4">
      <c r="D3547" s="7" t="e">
        <f t="shared" si="55"/>
        <v>#DIV/0!</v>
      </c>
    </row>
    <row r="3548" customHeight="1" spans="4:4">
      <c r="D3548" s="7" t="e">
        <f t="shared" si="55"/>
        <v>#DIV/0!</v>
      </c>
    </row>
    <row r="3549" customHeight="1" spans="4:4">
      <c r="D3549" s="7" t="e">
        <f t="shared" si="55"/>
        <v>#DIV/0!</v>
      </c>
    </row>
    <row r="3550" customHeight="1" spans="4:4">
      <c r="D3550" s="7" t="e">
        <f t="shared" si="55"/>
        <v>#DIV/0!</v>
      </c>
    </row>
    <row r="3551" customHeight="1" spans="4:4">
      <c r="D3551" s="7" t="e">
        <f t="shared" si="55"/>
        <v>#DIV/0!</v>
      </c>
    </row>
    <row r="3552" customHeight="1" spans="4:4">
      <c r="D3552" s="7" t="e">
        <f t="shared" si="55"/>
        <v>#DIV/0!</v>
      </c>
    </row>
    <row r="3553" customHeight="1" spans="4:4">
      <c r="D3553" s="7" t="e">
        <f t="shared" si="55"/>
        <v>#DIV/0!</v>
      </c>
    </row>
    <row r="3554" customHeight="1" spans="4:4">
      <c r="D3554" s="7" t="e">
        <f t="shared" si="55"/>
        <v>#DIV/0!</v>
      </c>
    </row>
    <row r="3555" customHeight="1" spans="4:4">
      <c r="D3555" s="7" t="e">
        <f t="shared" si="55"/>
        <v>#DIV/0!</v>
      </c>
    </row>
    <row r="3556" customHeight="1" spans="4:4">
      <c r="D3556" s="7" t="e">
        <f t="shared" si="55"/>
        <v>#DIV/0!</v>
      </c>
    </row>
    <row r="3557" customHeight="1" spans="4:4">
      <c r="D3557" s="7" t="e">
        <f t="shared" si="55"/>
        <v>#DIV/0!</v>
      </c>
    </row>
    <row r="3558" customHeight="1" spans="4:4">
      <c r="D3558" s="7" t="e">
        <f t="shared" si="55"/>
        <v>#DIV/0!</v>
      </c>
    </row>
    <row r="3559" customHeight="1" spans="4:4">
      <c r="D3559" s="7" t="e">
        <f t="shared" si="55"/>
        <v>#DIV/0!</v>
      </c>
    </row>
    <row r="3560" customHeight="1" spans="4:4">
      <c r="D3560" s="7" t="e">
        <f t="shared" si="55"/>
        <v>#DIV/0!</v>
      </c>
    </row>
    <row r="3561" customHeight="1" spans="4:4">
      <c r="D3561" s="7" t="e">
        <f t="shared" si="55"/>
        <v>#DIV/0!</v>
      </c>
    </row>
    <row r="3562" customHeight="1" spans="4:4">
      <c r="D3562" s="7" t="e">
        <f t="shared" si="55"/>
        <v>#DIV/0!</v>
      </c>
    </row>
    <row r="3563" customHeight="1" spans="4:4">
      <c r="D3563" s="7" t="e">
        <f t="shared" si="55"/>
        <v>#DIV/0!</v>
      </c>
    </row>
    <row r="3564" customHeight="1" spans="4:4">
      <c r="D3564" s="7" t="e">
        <f t="shared" si="55"/>
        <v>#DIV/0!</v>
      </c>
    </row>
    <row r="3565" customHeight="1" spans="4:4">
      <c r="D3565" s="7" t="e">
        <f t="shared" si="55"/>
        <v>#DIV/0!</v>
      </c>
    </row>
    <row r="3566" customHeight="1" spans="4:4">
      <c r="D3566" s="7" t="e">
        <f t="shared" si="55"/>
        <v>#DIV/0!</v>
      </c>
    </row>
    <row r="3567" customHeight="1" spans="4:4">
      <c r="D3567" s="7" t="e">
        <f t="shared" si="55"/>
        <v>#DIV/0!</v>
      </c>
    </row>
    <row r="3568" customHeight="1" spans="4:4">
      <c r="D3568" s="7" t="e">
        <f t="shared" si="55"/>
        <v>#DIV/0!</v>
      </c>
    </row>
    <row r="3569" customHeight="1" spans="4:4">
      <c r="D3569" s="7" t="e">
        <f t="shared" si="55"/>
        <v>#DIV/0!</v>
      </c>
    </row>
    <row r="3570" customHeight="1" spans="4:4">
      <c r="D3570" s="7" t="e">
        <f t="shared" si="55"/>
        <v>#DIV/0!</v>
      </c>
    </row>
    <row r="3571" customHeight="1" spans="4:4">
      <c r="D3571" s="7" t="e">
        <f t="shared" si="55"/>
        <v>#DIV/0!</v>
      </c>
    </row>
    <row r="3572" customHeight="1" spans="4:4">
      <c r="D3572" s="7" t="e">
        <f t="shared" si="55"/>
        <v>#DIV/0!</v>
      </c>
    </row>
    <row r="3573" customHeight="1" spans="4:4">
      <c r="D3573" s="7" t="e">
        <f t="shared" si="55"/>
        <v>#DIV/0!</v>
      </c>
    </row>
    <row r="3574" customHeight="1" spans="4:4">
      <c r="D3574" s="7" t="e">
        <f t="shared" si="55"/>
        <v>#DIV/0!</v>
      </c>
    </row>
    <row r="3575" customHeight="1" spans="4:4">
      <c r="D3575" s="7" t="e">
        <f t="shared" si="55"/>
        <v>#DIV/0!</v>
      </c>
    </row>
    <row r="3576" customHeight="1" spans="4:4">
      <c r="D3576" s="7" t="e">
        <f t="shared" si="55"/>
        <v>#DIV/0!</v>
      </c>
    </row>
    <row r="3577" customHeight="1" spans="4:4">
      <c r="D3577" s="7" t="e">
        <f t="shared" si="55"/>
        <v>#DIV/0!</v>
      </c>
    </row>
    <row r="3578" customHeight="1" spans="4:4">
      <c r="D3578" s="7" t="e">
        <f t="shared" si="55"/>
        <v>#DIV/0!</v>
      </c>
    </row>
    <row r="3579" customHeight="1" spans="4:4">
      <c r="D3579" s="7" t="e">
        <f t="shared" si="55"/>
        <v>#DIV/0!</v>
      </c>
    </row>
    <row r="3580" customHeight="1" spans="4:4">
      <c r="D3580" s="7" t="e">
        <f t="shared" si="55"/>
        <v>#DIV/0!</v>
      </c>
    </row>
    <row r="3581" customHeight="1" spans="4:4">
      <c r="D3581" s="7" t="e">
        <f t="shared" si="55"/>
        <v>#DIV/0!</v>
      </c>
    </row>
    <row r="3582" customHeight="1" spans="4:4">
      <c r="D3582" s="7" t="e">
        <f t="shared" si="55"/>
        <v>#DIV/0!</v>
      </c>
    </row>
    <row r="3583" customHeight="1" spans="4:4">
      <c r="D3583" s="7" t="e">
        <f t="shared" si="55"/>
        <v>#DIV/0!</v>
      </c>
    </row>
    <row r="3584" customHeight="1" spans="4:4">
      <c r="D3584" s="7" t="e">
        <f t="shared" si="55"/>
        <v>#DIV/0!</v>
      </c>
    </row>
    <row r="3585" customHeight="1" spans="4:4">
      <c r="D3585" s="7" t="e">
        <f t="shared" si="55"/>
        <v>#DIV/0!</v>
      </c>
    </row>
    <row r="3586" customHeight="1" spans="4:4">
      <c r="D3586" s="7" t="e">
        <f t="shared" si="55"/>
        <v>#DIV/0!</v>
      </c>
    </row>
    <row r="3587" customHeight="1" spans="4:4">
      <c r="D3587" s="7" t="e">
        <f t="shared" si="55"/>
        <v>#DIV/0!</v>
      </c>
    </row>
    <row r="3588" customHeight="1" spans="4:4">
      <c r="D3588" s="7" t="e">
        <f t="shared" ref="D3588:D3651" si="56">+B3588/C3588</f>
        <v>#DIV/0!</v>
      </c>
    </row>
    <row r="3589" customHeight="1" spans="4:4">
      <c r="D3589" s="7" t="e">
        <f t="shared" si="56"/>
        <v>#DIV/0!</v>
      </c>
    </row>
    <row r="3590" customHeight="1" spans="4:4">
      <c r="D3590" s="7" t="e">
        <f t="shared" si="56"/>
        <v>#DIV/0!</v>
      </c>
    </row>
    <row r="3591" customHeight="1" spans="4:4">
      <c r="D3591" s="7" t="e">
        <f t="shared" si="56"/>
        <v>#DIV/0!</v>
      </c>
    </row>
    <row r="3592" customHeight="1" spans="4:4">
      <c r="D3592" s="7" t="e">
        <f t="shared" si="56"/>
        <v>#DIV/0!</v>
      </c>
    </row>
    <row r="3593" customHeight="1" spans="4:4">
      <c r="D3593" s="7" t="e">
        <f t="shared" si="56"/>
        <v>#DIV/0!</v>
      </c>
    </row>
    <row r="3594" customHeight="1" spans="4:4">
      <c r="D3594" s="7" t="e">
        <f t="shared" si="56"/>
        <v>#DIV/0!</v>
      </c>
    </row>
    <row r="3595" customHeight="1" spans="4:4">
      <c r="D3595" s="7" t="e">
        <f t="shared" si="56"/>
        <v>#DIV/0!</v>
      </c>
    </row>
    <row r="3596" customHeight="1" spans="4:4">
      <c r="D3596" s="7" t="e">
        <f t="shared" si="56"/>
        <v>#DIV/0!</v>
      </c>
    </row>
    <row r="3597" customHeight="1" spans="4:4">
      <c r="D3597" s="7" t="e">
        <f t="shared" si="56"/>
        <v>#DIV/0!</v>
      </c>
    </row>
    <row r="3598" customHeight="1" spans="4:4">
      <c r="D3598" s="7" t="e">
        <f t="shared" si="56"/>
        <v>#DIV/0!</v>
      </c>
    </row>
    <row r="3599" customHeight="1" spans="4:4">
      <c r="D3599" s="7" t="e">
        <f t="shared" si="56"/>
        <v>#DIV/0!</v>
      </c>
    </row>
    <row r="3600" customHeight="1" spans="4:4">
      <c r="D3600" s="7" t="e">
        <f t="shared" si="56"/>
        <v>#DIV/0!</v>
      </c>
    </row>
    <row r="3601" customHeight="1" spans="4:4">
      <c r="D3601" s="7" t="e">
        <f t="shared" si="56"/>
        <v>#DIV/0!</v>
      </c>
    </row>
    <row r="3602" customHeight="1" spans="4:4">
      <c r="D3602" s="7" t="e">
        <f t="shared" si="56"/>
        <v>#DIV/0!</v>
      </c>
    </row>
    <row r="3603" customHeight="1" spans="4:4">
      <c r="D3603" s="7" t="e">
        <f t="shared" si="56"/>
        <v>#DIV/0!</v>
      </c>
    </row>
    <row r="3604" customHeight="1" spans="4:4">
      <c r="D3604" s="7" t="e">
        <f t="shared" si="56"/>
        <v>#DIV/0!</v>
      </c>
    </row>
    <row r="3605" customHeight="1" spans="4:4">
      <c r="D3605" s="7" t="e">
        <f t="shared" si="56"/>
        <v>#DIV/0!</v>
      </c>
    </row>
    <row r="3606" customHeight="1" spans="4:4">
      <c r="D3606" s="7" t="e">
        <f t="shared" si="56"/>
        <v>#DIV/0!</v>
      </c>
    </row>
    <row r="3607" customHeight="1" spans="4:4">
      <c r="D3607" s="7" t="e">
        <f t="shared" si="56"/>
        <v>#DIV/0!</v>
      </c>
    </row>
    <row r="3608" customHeight="1" spans="4:4">
      <c r="D3608" s="7" t="e">
        <f t="shared" si="56"/>
        <v>#DIV/0!</v>
      </c>
    </row>
    <row r="3609" customHeight="1" spans="4:4">
      <c r="D3609" s="7" t="e">
        <f t="shared" si="56"/>
        <v>#DIV/0!</v>
      </c>
    </row>
    <row r="3610" customHeight="1" spans="4:4">
      <c r="D3610" s="7" t="e">
        <f t="shared" si="56"/>
        <v>#DIV/0!</v>
      </c>
    </row>
    <row r="3611" customHeight="1" spans="4:4">
      <c r="D3611" s="7" t="e">
        <f t="shared" si="56"/>
        <v>#DIV/0!</v>
      </c>
    </row>
    <row r="3612" customHeight="1" spans="4:4">
      <c r="D3612" s="7" t="e">
        <f t="shared" si="56"/>
        <v>#DIV/0!</v>
      </c>
    </row>
    <row r="3613" customHeight="1" spans="4:4">
      <c r="D3613" s="7" t="e">
        <f t="shared" si="56"/>
        <v>#DIV/0!</v>
      </c>
    </row>
    <row r="3614" customHeight="1" spans="4:4">
      <c r="D3614" s="7" t="e">
        <f t="shared" si="56"/>
        <v>#DIV/0!</v>
      </c>
    </row>
    <row r="3615" customHeight="1" spans="4:4">
      <c r="D3615" s="7" t="e">
        <f t="shared" si="56"/>
        <v>#DIV/0!</v>
      </c>
    </row>
    <row r="3616" customHeight="1" spans="4:4">
      <c r="D3616" s="7" t="e">
        <f t="shared" si="56"/>
        <v>#DIV/0!</v>
      </c>
    </row>
    <row r="3617" customHeight="1" spans="4:4">
      <c r="D3617" s="7" t="e">
        <f t="shared" si="56"/>
        <v>#DIV/0!</v>
      </c>
    </row>
    <row r="3618" customHeight="1" spans="4:4">
      <c r="D3618" s="7" t="e">
        <f t="shared" si="56"/>
        <v>#DIV/0!</v>
      </c>
    </row>
    <row r="3619" customHeight="1" spans="4:4">
      <c r="D3619" s="7" t="e">
        <f t="shared" si="56"/>
        <v>#DIV/0!</v>
      </c>
    </row>
    <row r="3620" customHeight="1" spans="4:4">
      <c r="D3620" s="7" t="e">
        <f t="shared" si="56"/>
        <v>#DIV/0!</v>
      </c>
    </row>
    <row r="3621" customHeight="1" spans="4:4">
      <c r="D3621" s="7" t="e">
        <f t="shared" si="56"/>
        <v>#DIV/0!</v>
      </c>
    </row>
    <row r="3622" customHeight="1" spans="4:4">
      <c r="D3622" s="7" t="e">
        <f t="shared" si="56"/>
        <v>#DIV/0!</v>
      </c>
    </row>
    <row r="3623" customHeight="1" spans="4:4">
      <c r="D3623" s="7" t="e">
        <f t="shared" si="56"/>
        <v>#DIV/0!</v>
      </c>
    </row>
    <row r="3624" customHeight="1" spans="4:4">
      <c r="D3624" s="7" t="e">
        <f t="shared" si="56"/>
        <v>#DIV/0!</v>
      </c>
    </row>
    <row r="3625" customHeight="1" spans="4:4">
      <c r="D3625" s="7" t="e">
        <f t="shared" si="56"/>
        <v>#DIV/0!</v>
      </c>
    </row>
    <row r="3626" customHeight="1" spans="4:4">
      <c r="D3626" s="7" t="e">
        <f t="shared" si="56"/>
        <v>#DIV/0!</v>
      </c>
    </row>
    <row r="3627" customHeight="1" spans="4:4">
      <c r="D3627" s="7" t="e">
        <f t="shared" si="56"/>
        <v>#DIV/0!</v>
      </c>
    </row>
    <row r="3628" customHeight="1" spans="4:4">
      <c r="D3628" s="7" t="e">
        <f t="shared" si="56"/>
        <v>#DIV/0!</v>
      </c>
    </row>
    <row r="3629" customHeight="1" spans="4:4">
      <c r="D3629" s="7" t="e">
        <f t="shared" si="56"/>
        <v>#DIV/0!</v>
      </c>
    </row>
    <row r="3630" customHeight="1" spans="4:4">
      <c r="D3630" s="7" t="e">
        <f t="shared" si="56"/>
        <v>#DIV/0!</v>
      </c>
    </row>
    <row r="3631" customHeight="1" spans="4:4">
      <c r="D3631" s="7" t="e">
        <f t="shared" si="56"/>
        <v>#DIV/0!</v>
      </c>
    </row>
    <row r="3632" customHeight="1" spans="4:4">
      <c r="D3632" s="7" t="e">
        <f t="shared" si="56"/>
        <v>#DIV/0!</v>
      </c>
    </row>
    <row r="3633" customHeight="1" spans="4:4">
      <c r="D3633" s="7" t="e">
        <f t="shared" si="56"/>
        <v>#DIV/0!</v>
      </c>
    </row>
    <row r="3634" customHeight="1" spans="4:4">
      <c r="D3634" s="7" t="e">
        <f t="shared" si="56"/>
        <v>#DIV/0!</v>
      </c>
    </row>
    <row r="3635" customHeight="1" spans="4:4">
      <c r="D3635" s="7" t="e">
        <f t="shared" si="56"/>
        <v>#DIV/0!</v>
      </c>
    </row>
    <row r="3636" customHeight="1" spans="4:4">
      <c r="D3636" s="7" t="e">
        <f t="shared" si="56"/>
        <v>#DIV/0!</v>
      </c>
    </row>
    <row r="3637" customHeight="1" spans="4:4">
      <c r="D3637" s="7" t="e">
        <f t="shared" si="56"/>
        <v>#DIV/0!</v>
      </c>
    </row>
    <row r="3638" customHeight="1" spans="4:4">
      <c r="D3638" s="7" t="e">
        <f t="shared" si="56"/>
        <v>#DIV/0!</v>
      </c>
    </row>
    <row r="3639" customHeight="1" spans="4:4">
      <c r="D3639" s="7" t="e">
        <f t="shared" si="56"/>
        <v>#DIV/0!</v>
      </c>
    </row>
    <row r="3640" customHeight="1" spans="4:4">
      <c r="D3640" s="7" t="e">
        <f t="shared" si="56"/>
        <v>#DIV/0!</v>
      </c>
    </row>
    <row r="3641" customHeight="1" spans="4:4">
      <c r="D3641" s="7" t="e">
        <f t="shared" si="56"/>
        <v>#DIV/0!</v>
      </c>
    </row>
    <row r="3642" customHeight="1" spans="4:4">
      <c r="D3642" s="7" t="e">
        <f t="shared" si="56"/>
        <v>#DIV/0!</v>
      </c>
    </row>
    <row r="3643" customHeight="1" spans="4:4">
      <c r="D3643" s="7" t="e">
        <f t="shared" si="56"/>
        <v>#DIV/0!</v>
      </c>
    </row>
    <row r="3644" customHeight="1" spans="4:4">
      <c r="D3644" s="7" t="e">
        <f t="shared" si="56"/>
        <v>#DIV/0!</v>
      </c>
    </row>
    <row r="3645" customHeight="1" spans="4:4">
      <c r="D3645" s="7" t="e">
        <f t="shared" si="56"/>
        <v>#DIV/0!</v>
      </c>
    </row>
    <row r="3646" customHeight="1" spans="4:4">
      <c r="D3646" s="7" t="e">
        <f t="shared" si="56"/>
        <v>#DIV/0!</v>
      </c>
    </row>
    <row r="3647" customHeight="1" spans="4:4">
      <c r="D3647" s="7" t="e">
        <f t="shared" si="56"/>
        <v>#DIV/0!</v>
      </c>
    </row>
    <row r="3648" customHeight="1" spans="4:4">
      <c r="D3648" s="7" t="e">
        <f t="shared" si="56"/>
        <v>#DIV/0!</v>
      </c>
    </row>
    <row r="3649" customHeight="1" spans="4:4">
      <c r="D3649" s="7" t="e">
        <f t="shared" si="56"/>
        <v>#DIV/0!</v>
      </c>
    </row>
    <row r="3650" customHeight="1" spans="4:4">
      <c r="D3650" s="7" t="e">
        <f t="shared" si="56"/>
        <v>#DIV/0!</v>
      </c>
    </row>
    <row r="3651" customHeight="1" spans="4:4">
      <c r="D3651" s="7" t="e">
        <f t="shared" si="56"/>
        <v>#DIV/0!</v>
      </c>
    </row>
    <row r="3652" customHeight="1" spans="4:4">
      <c r="D3652" s="7" t="e">
        <f t="shared" ref="D3652:D3715" si="57">+B3652/C3652</f>
        <v>#DIV/0!</v>
      </c>
    </row>
    <row r="3653" customHeight="1" spans="4:4">
      <c r="D3653" s="7" t="e">
        <f t="shared" si="57"/>
        <v>#DIV/0!</v>
      </c>
    </row>
    <row r="3654" customHeight="1" spans="4:4">
      <c r="D3654" s="7" t="e">
        <f t="shared" si="57"/>
        <v>#DIV/0!</v>
      </c>
    </row>
    <row r="3655" customHeight="1" spans="4:4">
      <c r="D3655" s="7" t="e">
        <f t="shared" si="57"/>
        <v>#DIV/0!</v>
      </c>
    </row>
    <row r="3656" customHeight="1" spans="4:4">
      <c r="D3656" s="7" t="e">
        <f t="shared" si="57"/>
        <v>#DIV/0!</v>
      </c>
    </row>
    <row r="3657" customHeight="1" spans="4:4">
      <c r="D3657" s="7" t="e">
        <f t="shared" si="57"/>
        <v>#DIV/0!</v>
      </c>
    </row>
    <row r="3658" customHeight="1" spans="4:4">
      <c r="D3658" s="7" t="e">
        <f t="shared" si="57"/>
        <v>#DIV/0!</v>
      </c>
    </row>
    <row r="3659" customHeight="1" spans="4:4">
      <c r="D3659" s="7" t="e">
        <f t="shared" si="57"/>
        <v>#DIV/0!</v>
      </c>
    </row>
    <row r="3660" customHeight="1" spans="4:4">
      <c r="D3660" s="7" t="e">
        <f t="shared" si="57"/>
        <v>#DIV/0!</v>
      </c>
    </row>
    <row r="3661" customHeight="1" spans="4:4">
      <c r="D3661" s="7" t="e">
        <f t="shared" si="57"/>
        <v>#DIV/0!</v>
      </c>
    </row>
    <row r="3662" customHeight="1" spans="4:4">
      <c r="D3662" s="7" t="e">
        <f t="shared" si="57"/>
        <v>#DIV/0!</v>
      </c>
    </row>
    <row r="3663" customHeight="1" spans="4:4">
      <c r="D3663" s="7" t="e">
        <f t="shared" si="57"/>
        <v>#DIV/0!</v>
      </c>
    </row>
    <row r="3664" customHeight="1" spans="4:4">
      <c r="D3664" s="7" t="e">
        <f t="shared" si="57"/>
        <v>#DIV/0!</v>
      </c>
    </row>
    <row r="3665" customHeight="1" spans="4:4">
      <c r="D3665" s="7" t="e">
        <f t="shared" si="57"/>
        <v>#DIV/0!</v>
      </c>
    </row>
    <row r="3666" customHeight="1" spans="4:4">
      <c r="D3666" s="7" t="e">
        <f t="shared" si="57"/>
        <v>#DIV/0!</v>
      </c>
    </row>
    <row r="3667" customHeight="1" spans="4:4">
      <c r="D3667" s="7" t="e">
        <f t="shared" si="57"/>
        <v>#DIV/0!</v>
      </c>
    </row>
    <row r="3668" customHeight="1" spans="4:4">
      <c r="D3668" s="7" t="e">
        <f t="shared" si="57"/>
        <v>#DIV/0!</v>
      </c>
    </row>
    <row r="3669" customHeight="1" spans="4:4">
      <c r="D3669" s="7" t="e">
        <f t="shared" si="57"/>
        <v>#DIV/0!</v>
      </c>
    </row>
    <row r="3670" customHeight="1" spans="4:4">
      <c r="D3670" s="7" t="e">
        <f t="shared" si="57"/>
        <v>#DIV/0!</v>
      </c>
    </row>
    <row r="3671" customHeight="1" spans="4:4">
      <c r="D3671" s="7" t="e">
        <f t="shared" si="57"/>
        <v>#DIV/0!</v>
      </c>
    </row>
    <row r="3672" customHeight="1" spans="4:4">
      <c r="D3672" s="7" t="e">
        <f t="shared" si="57"/>
        <v>#DIV/0!</v>
      </c>
    </row>
    <row r="3673" customHeight="1" spans="4:4">
      <c r="D3673" s="7" t="e">
        <f t="shared" si="57"/>
        <v>#DIV/0!</v>
      </c>
    </row>
    <row r="3674" customHeight="1" spans="4:4">
      <c r="D3674" s="7" t="e">
        <f t="shared" si="57"/>
        <v>#DIV/0!</v>
      </c>
    </row>
    <row r="3675" customHeight="1" spans="4:4">
      <c r="D3675" s="7" t="e">
        <f t="shared" si="57"/>
        <v>#DIV/0!</v>
      </c>
    </row>
    <row r="3676" customHeight="1" spans="4:4">
      <c r="D3676" s="7" t="e">
        <f t="shared" si="57"/>
        <v>#DIV/0!</v>
      </c>
    </row>
    <row r="3677" customHeight="1" spans="4:4">
      <c r="D3677" s="7" t="e">
        <f t="shared" si="57"/>
        <v>#DIV/0!</v>
      </c>
    </row>
    <row r="3678" customHeight="1" spans="4:4">
      <c r="D3678" s="7" t="e">
        <f t="shared" si="57"/>
        <v>#DIV/0!</v>
      </c>
    </row>
    <row r="3679" customHeight="1" spans="4:4">
      <c r="D3679" s="7" t="e">
        <f t="shared" si="57"/>
        <v>#DIV/0!</v>
      </c>
    </row>
    <row r="3680" customHeight="1" spans="4:4">
      <c r="D3680" s="7" t="e">
        <f t="shared" si="57"/>
        <v>#DIV/0!</v>
      </c>
    </row>
    <row r="3681" customHeight="1" spans="4:4">
      <c r="D3681" s="7" t="e">
        <f t="shared" si="57"/>
        <v>#DIV/0!</v>
      </c>
    </row>
    <row r="3682" customHeight="1" spans="4:4">
      <c r="D3682" s="7" t="e">
        <f t="shared" si="57"/>
        <v>#DIV/0!</v>
      </c>
    </row>
    <row r="3683" customHeight="1" spans="4:4">
      <c r="D3683" s="7" t="e">
        <f t="shared" si="57"/>
        <v>#DIV/0!</v>
      </c>
    </row>
    <row r="3684" customHeight="1" spans="4:4">
      <c r="D3684" s="7" t="e">
        <f t="shared" si="57"/>
        <v>#DIV/0!</v>
      </c>
    </row>
    <row r="3685" customHeight="1" spans="4:4">
      <c r="D3685" s="7" t="e">
        <f t="shared" si="57"/>
        <v>#DIV/0!</v>
      </c>
    </row>
    <row r="3686" customHeight="1" spans="4:4">
      <c r="D3686" s="7" t="e">
        <f t="shared" si="57"/>
        <v>#DIV/0!</v>
      </c>
    </row>
    <row r="3687" customHeight="1" spans="4:4">
      <c r="D3687" s="7" t="e">
        <f t="shared" si="57"/>
        <v>#DIV/0!</v>
      </c>
    </row>
    <row r="3688" customHeight="1" spans="4:4">
      <c r="D3688" s="7" t="e">
        <f t="shared" si="57"/>
        <v>#DIV/0!</v>
      </c>
    </row>
    <row r="3689" customHeight="1" spans="4:4">
      <c r="D3689" s="7" t="e">
        <f t="shared" si="57"/>
        <v>#DIV/0!</v>
      </c>
    </row>
    <row r="3690" customHeight="1" spans="4:4">
      <c r="D3690" s="7" t="e">
        <f t="shared" si="57"/>
        <v>#DIV/0!</v>
      </c>
    </row>
    <row r="3691" customHeight="1" spans="4:4">
      <c r="D3691" s="7" t="e">
        <f t="shared" si="57"/>
        <v>#DIV/0!</v>
      </c>
    </row>
    <row r="3692" customHeight="1" spans="4:4">
      <c r="D3692" s="7" t="e">
        <f t="shared" si="57"/>
        <v>#DIV/0!</v>
      </c>
    </row>
    <row r="3693" customHeight="1" spans="4:4">
      <c r="D3693" s="7" t="e">
        <f t="shared" si="57"/>
        <v>#DIV/0!</v>
      </c>
    </row>
    <row r="3694" customHeight="1" spans="4:4">
      <c r="D3694" s="7" t="e">
        <f t="shared" si="57"/>
        <v>#DIV/0!</v>
      </c>
    </row>
    <row r="3695" customHeight="1" spans="4:4">
      <c r="D3695" s="7" t="e">
        <f t="shared" si="57"/>
        <v>#DIV/0!</v>
      </c>
    </row>
    <row r="3696" customHeight="1" spans="4:4">
      <c r="D3696" s="7" t="e">
        <f t="shared" si="57"/>
        <v>#DIV/0!</v>
      </c>
    </row>
    <row r="3697" customHeight="1" spans="4:4">
      <c r="D3697" s="7" t="e">
        <f t="shared" si="57"/>
        <v>#DIV/0!</v>
      </c>
    </row>
    <row r="3698" customHeight="1" spans="4:4">
      <c r="D3698" s="7" t="e">
        <f t="shared" si="57"/>
        <v>#DIV/0!</v>
      </c>
    </row>
    <row r="3699" customHeight="1" spans="4:4">
      <c r="D3699" s="7" t="e">
        <f t="shared" si="57"/>
        <v>#DIV/0!</v>
      </c>
    </row>
    <row r="3700" customHeight="1" spans="4:4">
      <c r="D3700" s="7" t="e">
        <f t="shared" si="57"/>
        <v>#DIV/0!</v>
      </c>
    </row>
    <row r="3701" customHeight="1" spans="4:4">
      <c r="D3701" s="7" t="e">
        <f t="shared" si="57"/>
        <v>#DIV/0!</v>
      </c>
    </row>
    <row r="3702" customHeight="1" spans="4:4">
      <c r="D3702" s="7" t="e">
        <f t="shared" si="57"/>
        <v>#DIV/0!</v>
      </c>
    </row>
    <row r="3703" customHeight="1" spans="4:4">
      <c r="D3703" s="7" t="e">
        <f t="shared" si="57"/>
        <v>#DIV/0!</v>
      </c>
    </row>
    <row r="3704" customHeight="1" spans="4:4">
      <c r="D3704" s="7" t="e">
        <f t="shared" si="57"/>
        <v>#DIV/0!</v>
      </c>
    </row>
    <row r="3705" customHeight="1" spans="4:4">
      <c r="D3705" s="7" t="e">
        <f t="shared" si="57"/>
        <v>#DIV/0!</v>
      </c>
    </row>
    <row r="3706" customHeight="1" spans="4:4">
      <c r="D3706" s="7" t="e">
        <f t="shared" si="57"/>
        <v>#DIV/0!</v>
      </c>
    </row>
    <row r="3707" customHeight="1" spans="4:4">
      <c r="D3707" s="7" t="e">
        <f t="shared" si="57"/>
        <v>#DIV/0!</v>
      </c>
    </row>
    <row r="3708" customHeight="1" spans="4:4">
      <c r="D3708" s="7" t="e">
        <f t="shared" si="57"/>
        <v>#DIV/0!</v>
      </c>
    </row>
    <row r="3709" customHeight="1" spans="4:4">
      <c r="D3709" s="7" t="e">
        <f t="shared" si="57"/>
        <v>#DIV/0!</v>
      </c>
    </row>
    <row r="3710" customHeight="1" spans="4:4">
      <c r="D3710" s="7" t="e">
        <f t="shared" si="57"/>
        <v>#DIV/0!</v>
      </c>
    </row>
    <row r="3711" customHeight="1" spans="4:4">
      <c r="D3711" s="7" t="e">
        <f t="shared" si="57"/>
        <v>#DIV/0!</v>
      </c>
    </row>
    <row r="3712" customHeight="1" spans="4:4">
      <c r="D3712" s="7" t="e">
        <f t="shared" si="57"/>
        <v>#DIV/0!</v>
      </c>
    </row>
    <row r="3713" customHeight="1" spans="4:4">
      <c r="D3713" s="7" t="e">
        <f t="shared" si="57"/>
        <v>#DIV/0!</v>
      </c>
    </row>
    <row r="3714" customHeight="1" spans="4:4">
      <c r="D3714" s="7" t="e">
        <f t="shared" si="57"/>
        <v>#DIV/0!</v>
      </c>
    </row>
    <row r="3715" customHeight="1" spans="4:4">
      <c r="D3715" s="7" t="e">
        <f t="shared" si="57"/>
        <v>#DIV/0!</v>
      </c>
    </row>
    <row r="3716" customHeight="1" spans="4:4">
      <c r="D3716" s="7" t="e">
        <f t="shared" ref="D3716:D3779" si="58">+B3716/C3716</f>
        <v>#DIV/0!</v>
      </c>
    </row>
    <row r="3717" customHeight="1" spans="4:4">
      <c r="D3717" s="7" t="e">
        <f t="shared" si="58"/>
        <v>#DIV/0!</v>
      </c>
    </row>
    <row r="3718" customHeight="1" spans="4:4">
      <c r="D3718" s="7" t="e">
        <f t="shared" si="58"/>
        <v>#DIV/0!</v>
      </c>
    </row>
    <row r="3719" customHeight="1" spans="4:4">
      <c r="D3719" s="7" t="e">
        <f t="shared" si="58"/>
        <v>#DIV/0!</v>
      </c>
    </row>
    <row r="3720" customHeight="1" spans="4:4">
      <c r="D3720" s="7" t="e">
        <f t="shared" si="58"/>
        <v>#DIV/0!</v>
      </c>
    </row>
    <row r="3721" customHeight="1" spans="4:4">
      <c r="D3721" s="7" t="e">
        <f t="shared" si="58"/>
        <v>#DIV/0!</v>
      </c>
    </row>
    <row r="3722" customHeight="1" spans="4:4">
      <c r="D3722" s="7" t="e">
        <f t="shared" si="58"/>
        <v>#DIV/0!</v>
      </c>
    </row>
    <row r="3723" customHeight="1" spans="4:4">
      <c r="D3723" s="7" t="e">
        <f t="shared" si="58"/>
        <v>#DIV/0!</v>
      </c>
    </row>
    <row r="3724" customHeight="1" spans="4:4">
      <c r="D3724" s="7" t="e">
        <f t="shared" si="58"/>
        <v>#DIV/0!</v>
      </c>
    </row>
    <row r="3725" customHeight="1" spans="4:4">
      <c r="D3725" s="7" t="e">
        <f t="shared" si="58"/>
        <v>#DIV/0!</v>
      </c>
    </row>
    <row r="3726" customHeight="1" spans="4:4">
      <c r="D3726" s="7" t="e">
        <f t="shared" si="58"/>
        <v>#DIV/0!</v>
      </c>
    </row>
    <row r="3727" customHeight="1" spans="4:4">
      <c r="D3727" s="7" t="e">
        <f t="shared" si="58"/>
        <v>#DIV/0!</v>
      </c>
    </row>
    <row r="3728" customHeight="1" spans="4:4">
      <c r="D3728" s="7" t="e">
        <f t="shared" si="58"/>
        <v>#DIV/0!</v>
      </c>
    </row>
    <row r="3729" customHeight="1" spans="4:4">
      <c r="D3729" s="7" t="e">
        <f t="shared" si="58"/>
        <v>#DIV/0!</v>
      </c>
    </row>
    <row r="3730" customHeight="1" spans="4:4">
      <c r="D3730" s="7" t="e">
        <f t="shared" si="58"/>
        <v>#DIV/0!</v>
      </c>
    </row>
    <row r="3731" customHeight="1" spans="4:4">
      <c r="D3731" s="7" t="e">
        <f t="shared" si="58"/>
        <v>#DIV/0!</v>
      </c>
    </row>
    <row r="3732" customHeight="1" spans="4:4">
      <c r="D3732" s="7" t="e">
        <f t="shared" si="58"/>
        <v>#DIV/0!</v>
      </c>
    </row>
    <row r="3733" customHeight="1" spans="4:4">
      <c r="D3733" s="7" t="e">
        <f t="shared" si="58"/>
        <v>#DIV/0!</v>
      </c>
    </row>
    <row r="3734" customHeight="1" spans="4:4">
      <c r="D3734" s="7" t="e">
        <f t="shared" si="58"/>
        <v>#DIV/0!</v>
      </c>
    </row>
    <row r="3735" customHeight="1" spans="4:4">
      <c r="D3735" s="7" t="e">
        <f t="shared" si="58"/>
        <v>#DIV/0!</v>
      </c>
    </row>
    <row r="3736" customHeight="1" spans="4:4">
      <c r="D3736" s="7" t="e">
        <f t="shared" si="58"/>
        <v>#DIV/0!</v>
      </c>
    </row>
    <row r="3737" customHeight="1" spans="4:4">
      <c r="D3737" s="7" t="e">
        <f t="shared" si="58"/>
        <v>#DIV/0!</v>
      </c>
    </row>
    <row r="3738" customHeight="1" spans="4:4">
      <c r="D3738" s="7" t="e">
        <f t="shared" si="58"/>
        <v>#DIV/0!</v>
      </c>
    </row>
    <row r="3739" customHeight="1" spans="4:4">
      <c r="D3739" s="7" t="e">
        <f t="shared" si="58"/>
        <v>#DIV/0!</v>
      </c>
    </row>
    <row r="3740" customHeight="1" spans="4:4">
      <c r="D3740" s="7" t="e">
        <f t="shared" si="58"/>
        <v>#DIV/0!</v>
      </c>
    </row>
    <row r="3741" customHeight="1" spans="4:4">
      <c r="D3741" s="7" t="e">
        <f t="shared" si="58"/>
        <v>#DIV/0!</v>
      </c>
    </row>
    <row r="3742" customHeight="1" spans="4:4">
      <c r="D3742" s="7" t="e">
        <f t="shared" si="58"/>
        <v>#DIV/0!</v>
      </c>
    </row>
    <row r="3743" customHeight="1" spans="4:4">
      <c r="D3743" s="7" t="e">
        <f t="shared" si="58"/>
        <v>#DIV/0!</v>
      </c>
    </row>
    <row r="3744" customHeight="1" spans="4:4">
      <c r="D3744" s="7" t="e">
        <f t="shared" si="58"/>
        <v>#DIV/0!</v>
      </c>
    </row>
    <row r="3745" customHeight="1" spans="4:4">
      <c r="D3745" s="7" t="e">
        <f t="shared" si="58"/>
        <v>#DIV/0!</v>
      </c>
    </row>
    <row r="3746" customHeight="1" spans="4:4">
      <c r="D3746" s="7" t="e">
        <f t="shared" si="58"/>
        <v>#DIV/0!</v>
      </c>
    </row>
    <row r="3747" customHeight="1" spans="4:4">
      <c r="D3747" s="7" t="e">
        <f t="shared" si="58"/>
        <v>#DIV/0!</v>
      </c>
    </row>
    <row r="3748" customHeight="1" spans="4:4">
      <c r="D3748" s="7" t="e">
        <f t="shared" si="58"/>
        <v>#DIV/0!</v>
      </c>
    </row>
    <row r="3749" customHeight="1" spans="4:4">
      <c r="D3749" s="7" t="e">
        <f t="shared" si="58"/>
        <v>#DIV/0!</v>
      </c>
    </row>
    <row r="3750" customHeight="1" spans="4:4">
      <c r="D3750" s="7" t="e">
        <f t="shared" si="58"/>
        <v>#DIV/0!</v>
      </c>
    </row>
    <row r="3751" customHeight="1" spans="4:4">
      <c r="D3751" s="7" t="e">
        <f t="shared" si="58"/>
        <v>#DIV/0!</v>
      </c>
    </row>
    <row r="3752" customHeight="1" spans="4:4">
      <c r="D3752" s="7" t="e">
        <f t="shared" si="58"/>
        <v>#DIV/0!</v>
      </c>
    </row>
    <row r="3753" customHeight="1" spans="4:4">
      <c r="D3753" s="7" t="e">
        <f t="shared" si="58"/>
        <v>#DIV/0!</v>
      </c>
    </row>
    <row r="3754" customHeight="1" spans="4:4">
      <c r="D3754" s="7" t="e">
        <f t="shared" si="58"/>
        <v>#DIV/0!</v>
      </c>
    </row>
    <row r="3755" customHeight="1" spans="4:4">
      <c r="D3755" s="7" t="e">
        <f t="shared" si="58"/>
        <v>#DIV/0!</v>
      </c>
    </row>
    <row r="3756" customHeight="1" spans="4:4">
      <c r="D3756" s="7" t="e">
        <f t="shared" si="58"/>
        <v>#DIV/0!</v>
      </c>
    </row>
    <row r="3757" customHeight="1" spans="4:4">
      <c r="D3757" s="7" t="e">
        <f t="shared" si="58"/>
        <v>#DIV/0!</v>
      </c>
    </row>
    <row r="3758" customHeight="1" spans="4:4">
      <c r="D3758" s="7" t="e">
        <f t="shared" si="58"/>
        <v>#DIV/0!</v>
      </c>
    </row>
    <row r="3759" customHeight="1" spans="4:4">
      <c r="D3759" s="7" t="e">
        <f t="shared" si="58"/>
        <v>#DIV/0!</v>
      </c>
    </row>
    <row r="3760" customHeight="1" spans="4:4">
      <c r="D3760" s="7" t="e">
        <f t="shared" si="58"/>
        <v>#DIV/0!</v>
      </c>
    </row>
    <row r="3761" customHeight="1" spans="4:4">
      <c r="D3761" s="7" t="e">
        <f t="shared" si="58"/>
        <v>#DIV/0!</v>
      </c>
    </row>
    <row r="3762" customHeight="1" spans="4:4">
      <c r="D3762" s="7" t="e">
        <f t="shared" si="58"/>
        <v>#DIV/0!</v>
      </c>
    </row>
    <row r="3763" customHeight="1" spans="4:4">
      <c r="D3763" s="7" t="e">
        <f t="shared" si="58"/>
        <v>#DIV/0!</v>
      </c>
    </row>
    <row r="3764" customHeight="1" spans="4:4">
      <c r="D3764" s="7" t="e">
        <f t="shared" si="58"/>
        <v>#DIV/0!</v>
      </c>
    </row>
    <row r="3765" customHeight="1" spans="4:4">
      <c r="D3765" s="7" t="e">
        <f t="shared" si="58"/>
        <v>#DIV/0!</v>
      </c>
    </row>
    <row r="3766" customHeight="1" spans="4:4">
      <c r="D3766" s="7" t="e">
        <f t="shared" si="58"/>
        <v>#DIV/0!</v>
      </c>
    </row>
    <row r="3767" customHeight="1" spans="4:4">
      <c r="D3767" s="7" t="e">
        <f t="shared" si="58"/>
        <v>#DIV/0!</v>
      </c>
    </row>
    <row r="3768" customHeight="1" spans="4:4">
      <c r="D3768" s="7" t="e">
        <f t="shared" si="58"/>
        <v>#DIV/0!</v>
      </c>
    </row>
    <row r="3769" customHeight="1" spans="4:4">
      <c r="D3769" s="7" t="e">
        <f t="shared" si="58"/>
        <v>#DIV/0!</v>
      </c>
    </row>
    <row r="3770" customHeight="1" spans="4:4">
      <c r="D3770" s="7" t="e">
        <f t="shared" si="58"/>
        <v>#DIV/0!</v>
      </c>
    </row>
    <row r="3771" customHeight="1" spans="4:4">
      <c r="D3771" s="7" t="e">
        <f t="shared" si="58"/>
        <v>#DIV/0!</v>
      </c>
    </row>
    <row r="3772" customHeight="1" spans="4:4">
      <c r="D3772" s="7" t="e">
        <f t="shared" si="58"/>
        <v>#DIV/0!</v>
      </c>
    </row>
    <row r="3773" customHeight="1" spans="4:4">
      <c r="D3773" s="7" t="e">
        <f t="shared" si="58"/>
        <v>#DIV/0!</v>
      </c>
    </row>
    <row r="3774" customHeight="1" spans="4:4">
      <c r="D3774" s="7" t="e">
        <f t="shared" si="58"/>
        <v>#DIV/0!</v>
      </c>
    </row>
    <row r="3775" customHeight="1" spans="4:4">
      <c r="D3775" s="7" t="e">
        <f t="shared" si="58"/>
        <v>#DIV/0!</v>
      </c>
    </row>
    <row r="3776" customHeight="1" spans="4:4">
      <c r="D3776" s="7" t="e">
        <f t="shared" si="58"/>
        <v>#DIV/0!</v>
      </c>
    </row>
    <row r="3777" customHeight="1" spans="4:4">
      <c r="D3777" s="7" t="e">
        <f t="shared" si="58"/>
        <v>#DIV/0!</v>
      </c>
    </row>
    <row r="3778" customHeight="1" spans="4:4">
      <c r="D3778" s="7" t="e">
        <f t="shared" si="58"/>
        <v>#DIV/0!</v>
      </c>
    </row>
    <row r="3779" customHeight="1" spans="4:4">
      <c r="D3779" s="7" t="e">
        <f t="shared" si="58"/>
        <v>#DIV/0!</v>
      </c>
    </row>
    <row r="3780" customHeight="1" spans="4:4">
      <c r="D3780" s="7" t="e">
        <f t="shared" ref="D3780:D3843" si="59">+B3780/C3780</f>
        <v>#DIV/0!</v>
      </c>
    </row>
    <row r="3781" customHeight="1" spans="4:4">
      <c r="D3781" s="7" t="e">
        <f t="shared" si="59"/>
        <v>#DIV/0!</v>
      </c>
    </row>
    <row r="3782" customHeight="1" spans="4:4">
      <c r="D3782" s="7" t="e">
        <f t="shared" si="59"/>
        <v>#DIV/0!</v>
      </c>
    </row>
    <row r="3783" customHeight="1" spans="4:4">
      <c r="D3783" s="7" t="e">
        <f t="shared" si="59"/>
        <v>#DIV/0!</v>
      </c>
    </row>
    <row r="3784" customHeight="1" spans="4:4">
      <c r="D3784" s="7" t="e">
        <f t="shared" si="59"/>
        <v>#DIV/0!</v>
      </c>
    </row>
    <row r="3785" customHeight="1" spans="4:4">
      <c r="D3785" s="7" t="e">
        <f t="shared" si="59"/>
        <v>#DIV/0!</v>
      </c>
    </row>
    <row r="3786" customHeight="1" spans="4:4">
      <c r="D3786" s="7" t="e">
        <f t="shared" si="59"/>
        <v>#DIV/0!</v>
      </c>
    </row>
    <row r="3787" customHeight="1" spans="4:4">
      <c r="D3787" s="7" t="e">
        <f t="shared" si="59"/>
        <v>#DIV/0!</v>
      </c>
    </row>
    <row r="3788" customHeight="1" spans="4:4">
      <c r="D3788" s="7" t="e">
        <f t="shared" si="59"/>
        <v>#DIV/0!</v>
      </c>
    </row>
    <row r="3789" customHeight="1" spans="4:4">
      <c r="D3789" s="7" t="e">
        <f t="shared" si="59"/>
        <v>#DIV/0!</v>
      </c>
    </row>
    <row r="3790" customHeight="1" spans="4:4">
      <c r="D3790" s="7" t="e">
        <f t="shared" si="59"/>
        <v>#DIV/0!</v>
      </c>
    </row>
    <row r="3791" customHeight="1" spans="4:4">
      <c r="D3791" s="7" t="e">
        <f t="shared" si="59"/>
        <v>#DIV/0!</v>
      </c>
    </row>
    <row r="3792" customHeight="1" spans="4:4">
      <c r="D3792" s="7" t="e">
        <f t="shared" si="59"/>
        <v>#DIV/0!</v>
      </c>
    </row>
    <row r="3793" customHeight="1" spans="4:4">
      <c r="D3793" s="7" t="e">
        <f t="shared" si="59"/>
        <v>#DIV/0!</v>
      </c>
    </row>
    <row r="3794" customHeight="1" spans="4:4">
      <c r="D3794" s="7" t="e">
        <f t="shared" si="59"/>
        <v>#DIV/0!</v>
      </c>
    </row>
    <row r="3795" customHeight="1" spans="4:4">
      <c r="D3795" s="7" t="e">
        <f t="shared" si="59"/>
        <v>#DIV/0!</v>
      </c>
    </row>
    <row r="3796" customHeight="1" spans="4:4">
      <c r="D3796" s="7" t="e">
        <f t="shared" si="59"/>
        <v>#DIV/0!</v>
      </c>
    </row>
    <row r="3797" customHeight="1" spans="4:4">
      <c r="D3797" s="7" t="e">
        <f t="shared" si="59"/>
        <v>#DIV/0!</v>
      </c>
    </row>
    <row r="3798" customHeight="1" spans="4:4">
      <c r="D3798" s="7" t="e">
        <f t="shared" si="59"/>
        <v>#DIV/0!</v>
      </c>
    </row>
    <row r="3799" customHeight="1" spans="4:4">
      <c r="D3799" s="7" t="e">
        <f t="shared" si="59"/>
        <v>#DIV/0!</v>
      </c>
    </row>
    <row r="3800" customHeight="1" spans="4:4">
      <c r="D3800" s="7" t="e">
        <f t="shared" si="59"/>
        <v>#DIV/0!</v>
      </c>
    </row>
    <row r="3801" customHeight="1" spans="4:4">
      <c r="D3801" s="7" t="e">
        <f t="shared" si="59"/>
        <v>#DIV/0!</v>
      </c>
    </row>
    <row r="3802" customHeight="1" spans="4:4">
      <c r="D3802" s="7" t="e">
        <f t="shared" si="59"/>
        <v>#DIV/0!</v>
      </c>
    </row>
    <row r="3803" customHeight="1" spans="4:4">
      <c r="D3803" s="7" t="e">
        <f t="shared" si="59"/>
        <v>#DIV/0!</v>
      </c>
    </row>
    <row r="3804" customHeight="1" spans="4:4">
      <c r="D3804" s="7" t="e">
        <f t="shared" si="59"/>
        <v>#DIV/0!</v>
      </c>
    </row>
    <row r="3805" customHeight="1" spans="4:4">
      <c r="D3805" s="7" t="e">
        <f t="shared" si="59"/>
        <v>#DIV/0!</v>
      </c>
    </row>
    <row r="3806" customHeight="1" spans="4:4">
      <c r="D3806" s="7" t="e">
        <f t="shared" si="59"/>
        <v>#DIV/0!</v>
      </c>
    </row>
    <row r="3807" customHeight="1" spans="4:4">
      <c r="D3807" s="7" t="e">
        <f t="shared" si="59"/>
        <v>#DIV/0!</v>
      </c>
    </row>
    <row r="3808" customHeight="1" spans="4:4">
      <c r="D3808" s="7" t="e">
        <f t="shared" si="59"/>
        <v>#DIV/0!</v>
      </c>
    </row>
    <row r="3809" customHeight="1" spans="4:4">
      <c r="D3809" s="7" t="e">
        <f t="shared" si="59"/>
        <v>#DIV/0!</v>
      </c>
    </row>
    <row r="3810" customHeight="1" spans="4:4">
      <c r="D3810" s="7" t="e">
        <f t="shared" si="59"/>
        <v>#DIV/0!</v>
      </c>
    </row>
    <row r="3811" customHeight="1" spans="4:4">
      <c r="D3811" s="7" t="e">
        <f t="shared" si="59"/>
        <v>#DIV/0!</v>
      </c>
    </row>
    <row r="3812" customHeight="1" spans="4:4">
      <c r="D3812" s="7" t="e">
        <f t="shared" si="59"/>
        <v>#DIV/0!</v>
      </c>
    </row>
    <row r="3813" customHeight="1" spans="4:4">
      <c r="D3813" s="7" t="e">
        <f t="shared" si="59"/>
        <v>#DIV/0!</v>
      </c>
    </row>
    <row r="3814" customHeight="1" spans="4:4">
      <c r="D3814" s="7" t="e">
        <f t="shared" si="59"/>
        <v>#DIV/0!</v>
      </c>
    </row>
    <row r="3815" customHeight="1" spans="4:4">
      <c r="D3815" s="7" t="e">
        <f t="shared" si="59"/>
        <v>#DIV/0!</v>
      </c>
    </row>
    <row r="3816" customHeight="1" spans="4:4">
      <c r="D3816" s="7" t="e">
        <f t="shared" si="59"/>
        <v>#DIV/0!</v>
      </c>
    </row>
    <row r="3817" customHeight="1" spans="4:4">
      <c r="D3817" s="7" t="e">
        <f t="shared" si="59"/>
        <v>#DIV/0!</v>
      </c>
    </row>
    <row r="3818" customHeight="1" spans="4:4">
      <c r="D3818" s="7" t="e">
        <f t="shared" si="59"/>
        <v>#DIV/0!</v>
      </c>
    </row>
    <row r="3819" customHeight="1" spans="4:4">
      <c r="D3819" s="7" t="e">
        <f t="shared" si="59"/>
        <v>#DIV/0!</v>
      </c>
    </row>
    <row r="3820" customHeight="1" spans="4:4">
      <c r="D3820" s="7" t="e">
        <f t="shared" si="59"/>
        <v>#DIV/0!</v>
      </c>
    </row>
    <row r="3821" customHeight="1" spans="4:4">
      <c r="D3821" s="7" t="e">
        <f t="shared" si="59"/>
        <v>#DIV/0!</v>
      </c>
    </row>
    <row r="3822" customHeight="1" spans="4:4">
      <c r="D3822" s="7" t="e">
        <f t="shared" si="59"/>
        <v>#DIV/0!</v>
      </c>
    </row>
    <row r="3823" customHeight="1" spans="4:4">
      <c r="D3823" s="7" t="e">
        <f t="shared" si="59"/>
        <v>#DIV/0!</v>
      </c>
    </row>
    <row r="3824" customHeight="1" spans="4:4">
      <c r="D3824" s="7" t="e">
        <f t="shared" si="59"/>
        <v>#DIV/0!</v>
      </c>
    </row>
    <row r="3825" customHeight="1" spans="4:4">
      <c r="D3825" s="7" t="e">
        <f t="shared" si="59"/>
        <v>#DIV/0!</v>
      </c>
    </row>
    <row r="3826" customHeight="1" spans="4:4">
      <c r="D3826" s="7" t="e">
        <f t="shared" si="59"/>
        <v>#DIV/0!</v>
      </c>
    </row>
    <row r="3827" customHeight="1" spans="4:4">
      <c r="D3827" s="7" t="e">
        <f t="shared" si="59"/>
        <v>#DIV/0!</v>
      </c>
    </row>
    <row r="3828" customHeight="1" spans="4:4">
      <c r="D3828" s="7" t="e">
        <f t="shared" si="59"/>
        <v>#DIV/0!</v>
      </c>
    </row>
    <row r="3829" customHeight="1" spans="4:4">
      <c r="D3829" s="7" t="e">
        <f t="shared" si="59"/>
        <v>#DIV/0!</v>
      </c>
    </row>
    <row r="3830" customHeight="1" spans="4:4">
      <c r="D3830" s="7" t="e">
        <f t="shared" si="59"/>
        <v>#DIV/0!</v>
      </c>
    </row>
    <row r="3831" customHeight="1" spans="4:4">
      <c r="D3831" s="7" t="e">
        <f t="shared" si="59"/>
        <v>#DIV/0!</v>
      </c>
    </row>
    <row r="3832" customHeight="1" spans="4:4">
      <c r="D3832" s="7" t="e">
        <f t="shared" si="59"/>
        <v>#DIV/0!</v>
      </c>
    </row>
    <row r="3833" customHeight="1" spans="4:4">
      <c r="D3833" s="7" t="e">
        <f t="shared" si="59"/>
        <v>#DIV/0!</v>
      </c>
    </row>
    <row r="3834" customHeight="1" spans="4:4">
      <c r="D3834" s="7" t="e">
        <f t="shared" si="59"/>
        <v>#DIV/0!</v>
      </c>
    </row>
    <row r="3835" customHeight="1" spans="4:4">
      <c r="D3835" s="7" t="e">
        <f t="shared" si="59"/>
        <v>#DIV/0!</v>
      </c>
    </row>
    <row r="3836" customHeight="1" spans="4:4">
      <c r="D3836" s="7" t="e">
        <f t="shared" si="59"/>
        <v>#DIV/0!</v>
      </c>
    </row>
    <row r="3837" customHeight="1" spans="4:4">
      <c r="D3837" s="7" t="e">
        <f t="shared" si="59"/>
        <v>#DIV/0!</v>
      </c>
    </row>
    <row r="3838" customHeight="1" spans="4:4">
      <c r="D3838" s="7" t="e">
        <f t="shared" si="59"/>
        <v>#DIV/0!</v>
      </c>
    </row>
    <row r="3839" customHeight="1" spans="4:4">
      <c r="D3839" s="7" t="e">
        <f t="shared" si="59"/>
        <v>#DIV/0!</v>
      </c>
    </row>
    <row r="3840" customHeight="1" spans="4:4">
      <c r="D3840" s="7" t="e">
        <f t="shared" si="59"/>
        <v>#DIV/0!</v>
      </c>
    </row>
    <row r="3841" customHeight="1" spans="4:4">
      <c r="D3841" s="7" t="e">
        <f t="shared" si="59"/>
        <v>#DIV/0!</v>
      </c>
    </row>
    <row r="3842" customHeight="1" spans="4:4">
      <c r="D3842" s="7" t="e">
        <f t="shared" si="59"/>
        <v>#DIV/0!</v>
      </c>
    </row>
    <row r="3843" customHeight="1" spans="4:4">
      <c r="D3843" s="7" t="e">
        <f t="shared" si="59"/>
        <v>#DIV/0!</v>
      </c>
    </row>
    <row r="3844" customHeight="1" spans="4:4">
      <c r="D3844" s="7" t="e">
        <f t="shared" ref="D3844:D3907" si="60">+B3844/C3844</f>
        <v>#DIV/0!</v>
      </c>
    </row>
    <row r="3845" customHeight="1" spans="4:4">
      <c r="D3845" s="7" t="e">
        <f t="shared" si="60"/>
        <v>#DIV/0!</v>
      </c>
    </row>
    <row r="3846" customHeight="1" spans="4:4">
      <c r="D3846" s="7" t="e">
        <f t="shared" si="60"/>
        <v>#DIV/0!</v>
      </c>
    </row>
    <row r="3847" customHeight="1" spans="4:4">
      <c r="D3847" s="7" t="e">
        <f t="shared" si="60"/>
        <v>#DIV/0!</v>
      </c>
    </row>
    <row r="3848" customHeight="1" spans="4:4">
      <c r="D3848" s="7" t="e">
        <f t="shared" si="60"/>
        <v>#DIV/0!</v>
      </c>
    </row>
    <row r="3849" customHeight="1" spans="4:4">
      <c r="D3849" s="7" t="e">
        <f t="shared" si="60"/>
        <v>#DIV/0!</v>
      </c>
    </row>
    <row r="3850" customHeight="1" spans="4:4">
      <c r="D3850" s="7" t="e">
        <f t="shared" si="60"/>
        <v>#DIV/0!</v>
      </c>
    </row>
    <row r="3851" customHeight="1" spans="4:4">
      <c r="D3851" s="7" t="e">
        <f t="shared" si="60"/>
        <v>#DIV/0!</v>
      </c>
    </row>
    <row r="3852" customHeight="1" spans="4:4">
      <c r="D3852" s="7" t="e">
        <f t="shared" si="60"/>
        <v>#DIV/0!</v>
      </c>
    </row>
    <row r="3853" customHeight="1" spans="4:4">
      <c r="D3853" s="7" t="e">
        <f t="shared" si="60"/>
        <v>#DIV/0!</v>
      </c>
    </row>
    <row r="3854" customHeight="1" spans="4:4">
      <c r="D3854" s="7" t="e">
        <f t="shared" si="60"/>
        <v>#DIV/0!</v>
      </c>
    </row>
    <row r="3855" customHeight="1" spans="4:4">
      <c r="D3855" s="7" t="e">
        <f t="shared" si="60"/>
        <v>#DIV/0!</v>
      </c>
    </row>
    <row r="3856" customHeight="1" spans="4:4">
      <c r="D3856" s="7" t="e">
        <f t="shared" si="60"/>
        <v>#DIV/0!</v>
      </c>
    </row>
    <row r="3857" customHeight="1" spans="4:4">
      <c r="D3857" s="7" t="e">
        <f t="shared" si="60"/>
        <v>#DIV/0!</v>
      </c>
    </row>
    <row r="3858" customHeight="1" spans="4:4">
      <c r="D3858" s="7" t="e">
        <f t="shared" si="60"/>
        <v>#DIV/0!</v>
      </c>
    </row>
    <row r="3859" customHeight="1" spans="4:4">
      <c r="D3859" s="7" t="e">
        <f t="shared" si="60"/>
        <v>#DIV/0!</v>
      </c>
    </row>
    <row r="3860" customHeight="1" spans="4:4">
      <c r="D3860" s="7" t="e">
        <f t="shared" si="60"/>
        <v>#DIV/0!</v>
      </c>
    </row>
    <row r="3861" customHeight="1" spans="4:4">
      <c r="D3861" s="7" t="e">
        <f t="shared" si="60"/>
        <v>#DIV/0!</v>
      </c>
    </row>
    <row r="3862" customHeight="1" spans="4:4">
      <c r="D3862" s="7" t="e">
        <f t="shared" si="60"/>
        <v>#DIV/0!</v>
      </c>
    </row>
    <row r="3863" customHeight="1" spans="4:4">
      <c r="D3863" s="7" t="e">
        <f t="shared" si="60"/>
        <v>#DIV/0!</v>
      </c>
    </row>
    <row r="3864" customHeight="1" spans="4:4">
      <c r="D3864" s="7" t="e">
        <f t="shared" si="60"/>
        <v>#DIV/0!</v>
      </c>
    </row>
    <row r="3865" customHeight="1" spans="4:4">
      <c r="D3865" s="7" t="e">
        <f t="shared" si="60"/>
        <v>#DIV/0!</v>
      </c>
    </row>
    <row r="3866" customHeight="1" spans="4:4">
      <c r="D3866" s="7" t="e">
        <f t="shared" si="60"/>
        <v>#DIV/0!</v>
      </c>
    </row>
    <row r="3867" customHeight="1" spans="4:4">
      <c r="D3867" s="7" t="e">
        <f t="shared" si="60"/>
        <v>#DIV/0!</v>
      </c>
    </row>
    <row r="3868" customHeight="1" spans="4:4">
      <c r="D3868" s="7" t="e">
        <f t="shared" si="60"/>
        <v>#DIV/0!</v>
      </c>
    </row>
    <row r="3869" customHeight="1" spans="4:4">
      <c r="D3869" s="7" t="e">
        <f t="shared" si="60"/>
        <v>#DIV/0!</v>
      </c>
    </row>
    <row r="3870" customHeight="1" spans="4:4">
      <c r="D3870" s="7" t="e">
        <f t="shared" si="60"/>
        <v>#DIV/0!</v>
      </c>
    </row>
    <row r="3871" customHeight="1" spans="4:4">
      <c r="D3871" s="7" t="e">
        <f t="shared" si="60"/>
        <v>#DIV/0!</v>
      </c>
    </row>
    <row r="3872" customHeight="1" spans="4:4">
      <c r="D3872" s="7" t="e">
        <f t="shared" si="60"/>
        <v>#DIV/0!</v>
      </c>
    </row>
    <row r="3873" customHeight="1" spans="4:4">
      <c r="D3873" s="7" t="e">
        <f t="shared" si="60"/>
        <v>#DIV/0!</v>
      </c>
    </row>
    <row r="3874" customHeight="1" spans="4:4">
      <c r="D3874" s="7" t="e">
        <f t="shared" si="60"/>
        <v>#DIV/0!</v>
      </c>
    </row>
    <row r="3875" customHeight="1" spans="4:4">
      <c r="D3875" s="7" t="e">
        <f t="shared" si="60"/>
        <v>#DIV/0!</v>
      </c>
    </row>
    <row r="3876" customHeight="1" spans="4:4">
      <c r="D3876" s="7" t="e">
        <f t="shared" si="60"/>
        <v>#DIV/0!</v>
      </c>
    </row>
    <row r="3877" customHeight="1" spans="4:4">
      <c r="D3877" s="7" t="e">
        <f t="shared" si="60"/>
        <v>#DIV/0!</v>
      </c>
    </row>
    <row r="3878" customHeight="1" spans="4:4">
      <c r="D3878" s="7" t="e">
        <f t="shared" si="60"/>
        <v>#DIV/0!</v>
      </c>
    </row>
    <row r="3879" customHeight="1" spans="4:4">
      <c r="D3879" s="7" t="e">
        <f t="shared" si="60"/>
        <v>#DIV/0!</v>
      </c>
    </row>
    <row r="3880" customHeight="1" spans="4:4">
      <c r="D3880" s="7" t="e">
        <f t="shared" si="60"/>
        <v>#DIV/0!</v>
      </c>
    </row>
    <row r="3881" customHeight="1" spans="4:4">
      <c r="D3881" s="7" t="e">
        <f t="shared" si="60"/>
        <v>#DIV/0!</v>
      </c>
    </row>
    <row r="3882" customHeight="1" spans="4:4">
      <c r="D3882" s="7" t="e">
        <f t="shared" si="60"/>
        <v>#DIV/0!</v>
      </c>
    </row>
    <row r="3883" customHeight="1" spans="4:4">
      <c r="D3883" s="7" t="e">
        <f t="shared" si="60"/>
        <v>#DIV/0!</v>
      </c>
    </row>
    <row r="3884" customHeight="1" spans="4:4">
      <c r="D3884" s="7" t="e">
        <f t="shared" si="60"/>
        <v>#DIV/0!</v>
      </c>
    </row>
    <row r="3885" customHeight="1" spans="4:4">
      <c r="D3885" s="7" t="e">
        <f t="shared" si="60"/>
        <v>#DIV/0!</v>
      </c>
    </row>
    <row r="3886" customHeight="1" spans="4:4">
      <c r="D3886" s="7" t="e">
        <f t="shared" si="60"/>
        <v>#DIV/0!</v>
      </c>
    </row>
    <row r="3887" customHeight="1" spans="4:4">
      <c r="D3887" s="7" t="e">
        <f t="shared" si="60"/>
        <v>#DIV/0!</v>
      </c>
    </row>
    <row r="3888" customHeight="1" spans="4:4">
      <c r="D3888" s="7" t="e">
        <f t="shared" si="60"/>
        <v>#DIV/0!</v>
      </c>
    </row>
    <row r="3889" customHeight="1" spans="4:4">
      <c r="D3889" s="7" t="e">
        <f t="shared" si="60"/>
        <v>#DIV/0!</v>
      </c>
    </row>
    <row r="3890" customHeight="1" spans="4:4">
      <c r="D3890" s="7" t="e">
        <f t="shared" si="60"/>
        <v>#DIV/0!</v>
      </c>
    </row>
    <row r="3891" customHeight="1" spans="4:4">
      <c r="D3891" s="7" t="e">
        <f t="shared" si="60"/>
        <v>#DIV/0!</v>
      </c>
    </row>
    <row r="3892" customHeight="1" spans="4:4">
      <c r="D3892" s="7" t="e">
        <f t="shared" si="60"/>
        <v>#DIV/0!</v>
      </c>
    </row>
    <row r="3893" customHeight="1" spans="4:4">
      <c r="D3893" s="7" t="e">
        <f t="shared" si="60"/>
        <v>#DIV/0!</v>
      </c>
    </row>
    <row r="3894" customHeight="1" spans="4:4">
      <c r="D3894" s="7" t="e">
        <f t="shared" si="60"/>
        <v>#DIV/0!</v>
      </c>
    </row>
    <row r="3895" customHeight="1" spans="4:4">
      <c r="D3895" s="7" t="e">
        <f t="shared" si="60"/>
        <v>#DIV/0!</v>
      </c>
    </row>
    <row r="3896" customHeight="1" spans="4:4">
      <c r="D3896" s="7" t="e">
        <f t="shared" si="60"/>
        <v>#DIV/0!</v>
      </c>
    </row>
    <row r="3897" customHeight="1" spans="4:4">
      <c r="D3897" s="7" t="e">
        <f t="shared" si="60"/>
        <v>#DIV/0!</v>
      </c>
    </row>
    <row r="3898" customHeight="1" spans="4:4">
      <c r="D3898" s="7" t="e">
        <f t="shared" si="60"/>
        <v>#DIV/0!</v>
      </c>
    </row>
    <row r="3899" customHeight="1" spans="4:4">
      <c r="D3899" s="7" t="e">
        <f t="shared" si="60"/>
        <v>#DIV/0!</v>
      </c>
    </row>
    <row r="3900" customHeight="1" spans="4:4">
      <c r="D3900" s="7" t="e">
        <f t="shared" si="60"/>
        <v>#DIV/0!</v>
      </c>
    </row>
    <row r="3901" customHeight="1" spans="4:4">
      <c r="D3901" s="7" t="e">
        <f t="shared" si="60"/>
        <v>#DIV/0!</v>
      </c>
    </row>
    <row r="3902" customHeight="1" spans="4:4">
      <c r="D3902" s="7" t="e">
        <f t="shared" si="60"/>
        <v>#DIV/0!</v>
      </c>
    </row>
    <row r="3903" customHeight="1" spans="4:4">
      <c r="D3903" s="7" t="e">
        <f t="shared" si="60"/>
        <v>#DIV/0!</v>
      </c>
    </row>
    <row r="3904" customHeight="1" spans="4:4">
      <c r="D3904" s="7" t="e">
        <f t="shared" si="60"/>
        <v>#DIV/0!</v>
      </c>
    </row>
    <row r="3905" customHeight="1" spans="4:4">
      <c r="D3905" s="7" t="e">
        <f t="shared" si="60"/>
        <v>#DIV/0!</v>
      </c>
    </row>
    <row r="3906" customHeight="1" spans="4:4">
      <c r="D3906" s="7" t="e">
        <f t="shared" si="60"/>
        <v>#DIV/0!</v>
      </c>
    </row>
    <row r="3907" customHeight="1" spans="4:4">
      <c r="D3907" s="7" t="e">
        <f t="shared" si="60"/>
        <v>#DIV/0!</v>
      </c>
    </row>
    <row r="3908" customHeight="1" spans="4:4">
      <c r="D3908" s="7" t="e">
        <f t="shared" ref="D3908:D3971" si="61">+B3908/C3908</f>
        <v>#DIV/0!</v>
      </c>
    </row>
    <row r="3909" customHeight="1" spans="4:4">
      <c r="D3909" s="7" t="e">
        <f t="shared" si="61"/>
        <v>#DIV/0!</v>
      </c>
    </row>
    <row r="3910" customHeight="1" spans="4:4">
      <c r="D3910" s="7" t="e">
        <f t="shared" si="61"/>
        <v>#DIV/0!</v>
      </c>
    </row>
    <row r="3911" customHeight="1" spans="4:4">
      <c r="D3911" s="7" t="e">
        <f t="shared" si="61"/>
        <v>#DIV/0!</v>
      </c>
    </row>
    <row r="3912" customHeight="1" spans="4:4">
      <c r="D3912" s="7" t="e">
        <f t="shared" si="61"/>
        <v>#DIV/0!</v>
      </c>
    </row>
    <row r="3913" customHeight="1" spans="4:4">
      <c r="D3913" s="7" t="e">
        <f t="shared" si="61"/>
        <v>#DIV/0!</v>
      </c>
    </row>
    <row r="3914" customHeight="1" spans="4:4">
      <c r="D3914" s="7" t="e">
        <f t="shared" si="61"/>
        <v>#DIV/0!</v>
      </c>
    </row>
    <row r="3915" customHeight="1" spans="4:4">
      <c r="D3915" s="7" t="e">
        <f t="shared" si="61"/>
        <v>#DIV/0!</v>
      </c>
    </row>
    <row r="3916" customHeight="1" spans="4:4">
      <c r="D3916" s="7" t="e">
        <f t="shared" si="61"/>
        <v>#DIV/0!</v>
      </c>
    </row>
    <row r="3917" customHeight="1" spans="4:4">
      <c r="D3917" s="7" t="e">
        <f t="shared" si="61"/>
        <v>#DIV/0!</v>
      </c>
    </row>
    <row r="3918" customHeight="1" spans="4:4">
      <c r="D3918" s="7" t="e">
        <f t="shared" si="61"/>
        <v>#DIV/0!</v>
      </c>
    </row>
    <row r="3919" customHeight="1" spans="4:4">
      <c r="D3919" s="7" t="e">
        <f t="shared" si="61"/>
        <v>#DIV/0!</v>
      </c>
    </row>
    <row r="3920" customHeight="1" spans="4:4">
      <c r="D3920" s="7" t="e">
        <f t="shared" si="61"/>
        <v>#DIV/0!</v>
      </c>
    </row>
    <row r="3921" customHeight="1" spans="4:4">
      <c r="D3921" s="7" t="e">
        <f t="shared" si="61"/>
        <v>#DIV/0!</v>
      </c>
    </row>
    <row r="3922" customHeight="1" spans="4:4">
      <c r="D3922" s="7" t="e">
        <f t="shared" si="61"/>
        <v>#DIV/0!</v>
      </c>
    </row>
    <row r="3923" customHeight="1" spans="4:4">
      <c r="D3923" s="7" t="e">
        <f t="shared" si="61"/>
        <v>#DIV/0!</v>
      </c>
    </row>
    <row r="3924" customHeight="1" spans="4:4">
      <c r="D3924" s="7" t="e">
        <f t="shared" si="61"/>
        <v>#DIV/0!</v>
      </c>
    </row>
    <row r="3925" customHeight="1" spans="4:4">
      <c r="D3925" s="7" t="e">
        <f t="shared" si="61"/>
        <v>#DIV/0!</v>
      </c>
    </row>
    <row r="3926" customHeight="1" spans="4:4">
      <c r="D3926" s="7" t="e">
        <f t="shared" si="61"/>
        <v>#DIV/0!</v>
      </c>
    </row>
    <row r="3927" customHeight="1" spans="4:4">
      <c r="D3927" s="7" t="e">
        <f t="shared" si="61"/>
        <v>#DIV/0!</v>
      </c>
    </row>
    <row r="3928" customHeight="1" spans="4:4">
      <c r="D3928" s="7" t="e">
        <f t="shared" si="61"/>
        <v>#DIV/0!</v>
      </c>
    </row>
    <row r="3929" customHeight="1" spans="4:4">
      <c r="D3929" s="7" t="e">
        <f t="shared" si="61"/>
        <v>#DIV/0!</v>
      </c>
    </row>
    <row r="3930" customHeight="1" spans="4:4">
      <c r="D3930" s="7" t="e">
        <f t="shared" si="61"/>
        <v>#DIV/0!</v>
      </c>
    </row>
    <row r="3931" customHeight="1" spans="4:4">
      <c r="D3931" s="7" t="e">
        <f t="shared" si="61"/>
        <v>#DIV/0!</v>
      </c>
    </row>
    <row r="3932" customHeight="1" spans="4:4">
      <c r="D3932" s="7" t="e">
        <f t="shared" si="61"/>
        <v>#DIV/0!</v>
      </c>
    </row>
    <row r="3933" customHeight="1" spans="4:4">
      <c r="D3933" s="7" t="e">
        <f t="shared" si="61"/>
        <v>#DIV/0!</v>
      </c>
    </row>
    <row r="3934" customHeight="1" spans="4:4">
      <c r="D3934" s="7" t="e">
        <f t="shared" si="61"/>
        <v>#DIV/0!</v>
      </c>
    </row>
    <row r="3935" customHeight="1" spans="4:4">
      <c r="D3935" s="7" t="e">
        <f t="shared" si="61"/>
        <v>#DIV/0!</v>
      </c>
    </row>
    <row r="3936" customHeight="1" spans="4:4">
      <c r="D3936" s="7" t="e">
        <f t="shared" si="61"/>
        <v>#DIV/0!</v>
      </c>
    </row>
    <row r="3937" customHeight="1" spans="4:4">
      <c r="D3937" s="7" t="e">
        <f t="shared" si="61"/>
        <v>#DIV/0!</v>
      </c>
    </row>
    <row r="3938" customHeight="1" spans="4:4">
      <c r="D3938" s="7" t="e">
        <f t="shared" si="61"/>
        <v>#DIV/0!</v>
      </c>
    </row>
    <row r="3939" customHeight="1" spans="4:4">
      <c r="D3939" s="7" t="e">
        <f t="shared" si="61"/>
        <v>#DIV/0!</v>
      </c>
    </row>
    <row r="3940" customHeight="1" spans="4:4">
      <c r="D3940" s="7" t="e">
        <f t="shared" si="61"/>
        <v>#DIV/0!</v>
      </c>
    </row>
    <row r="3941" customHeight="1" spans="4:4">
      <c r="D3941" s="7" t="e">
        <f t="shared" si="61"/>
        <v>#DIV/0!</v>
      </c>
    </row>
    <row r="3942" customHeight="1" spans="4:4">
      <c r="D3942" s="7" t="e">
        <f t="shared" si="61"/>
        <v>#DIV/0!</v>
      </c>
    </row>
    <row r="3943" customHeight="1" spans="4:4">
      <c r="D3943" s="7" t="e">
        <f t="shared" si="61"/>
        <v>#DIV/0!</v>
      </c>
    </row>
    <row r="3944" customHeight="1" spans="4:4">
      <c r="D3944" s="7" t="e">
        <f t="shared" si="61"/>
        <v>#DIV/0!</v>
      </c>
    </row>
    <row r="3945" customHeight="1" spans="4:4">
      <c r="D3945" s="7" t="e">
        <f t="shared" si="61"/>
        <v>#DIV/0!</v>
      </c>
    </row>
    <row r="3946" customHeight="1" spans="4:4">
      <c r="D3946" s="7" t="e">
        <f t="shared" si="61"/>
        <v>#DIV/0!</v>
      </c>
    </row>
    <row r="3947" customHeight="1" spans="4:4">
      <c r="D3947" s="7" t="e">
        <f t="shared" si="61"/>
        <v>#DIV/0!</v>
      </c>
    </row>
    <row r="3948" customHeight="1" spans="4:4">
      <c r="D3948" s="7" t="e">
        <f t="shared" si="61"/>
        <v>#DIV/0!</v>
      </c>
    </row>
    <row r="3949" customHeight="1" spans="4:4">
      <c r="D3949" s="7" t="e">
        <f t="shared" si="61"/>
        <v>#DIV/0!</v>
      </c>
    </row>
    <row r="3950" customHeight="1" spans="4:4">
      <c r="D3950" s="7" t="e">
        <f t="shared" si="61"/>
        <v>#DIV/0!</v>
      </c>
    </row>
    <row r="3951" customHeight="1" spans="4:4">
      <c r="D3951" s="7" t="e">
        <f t="shared" si="61"/>
        <v>#DIV/0!</v>
      </c>
    </row>
    <row r="3952" customHeight="1" spans="4:4">
      <c r="D3952" s="7" t="e">
        <f t="shared" si="61"/>
        <v>#DIV/0!</v>
      </c>
    </row>
    <row r="3953" customHeight="1" spans="4:4">
      <c r="D3953" s="7" t="e">
        <f t="shared" si="61"/>
        <v>#DIV/0!</v>
      </c>
    </row>
    <row r="3954" customHeight="1" spans="4:4">
      <c r="D3954" s="7" t="e">
        <f t="shared" si="61"/>
        <v>#DIV/0!</v>
      </c>
    </row>
    <row r="3955" customHeight="1" spans="4:4">
      <c r="D3955" s="7" t="e">
        <f t="shared" si="61"/>
        <v>#DIV/0!</v>
      </c>
    </row>
    <row r="3956" customHeight="1" spans="4:4">
      <c r="D3956" s="7" t="e">
        <f t="shared" si="61"/>
        <v>#DIV/0!</v>
      </c>
    </row>
    <row r="3957" customHeight="1" spans="4:4">
      <c r="D3957" s="7" t="e">
        <f t="shared" si="61"/>
        <v>#DIV/0!</v>
      </c>
    </row>
    <row r="3958" customHeight="1" spans="4:4">
      <c r="D3958" s="7" t="e">
        <f t="shared" si="61"/>
        <v>#DIV/0!</v>
      </c>
    </row>
    <row r="3959" customHeight="1" spans="4:4">
      <c r="D3959" s="7" t="e">
        <f t="shared" si="61"/>
        <v>#DIV/0!</v>
      </c>
    </row>
    <row r="3960" customHeight="1" spans="4:4">
      <c r="D3960" s="7" t="e">
        <f t="shared" si="61"/>
        <v>#DIV/0!</v>
      </c>
    </row>
    <row r="3961" customHeight="1" spans="4:4">
      <c r="D3961" s="7" t="e">
        <f t="shared" si="61"/>
        <v>#DIV/0!</v>
      </c>
    </row>
    <row r="3962" customHeight="1" spans="4:4">
      <c r="D3962" s="7" t="e">
        <f t="shared" si="61"/>
        <v>#DIV/0!</v>
      </c>
    </row>
    <row r="3963" customHeight="1" spans="4:4">
      <c r="D3963" s="7" t="e">
        <f t="shared" si="61"/>
        <v>#DIV/0!</v>
      </c>
    </row>
    <row r="3964" customHeight="1" spans="4:4">
      <c r="D3964" s="7" t="e">
        <f t="shared" si="61"/>
        <v>#DIV/0!</v>
      </c>
    </row>
    <row r="3965" customHeight="1" spans="4:4">
      <c r="D3965" s="7" t="e">
        <f t="shared" si="61"/>
        <v>#DIV/0!</v>
      </c>
    </row>
    <row r="3966" customHeight="1" spans="4:4">
      <c r="D3966" s="7" t="e">
        <f t="shared" si="61"/>
        <v>#DIV/0!</v>
      </c>
    </row>
    <row r="3967" customHeight="1" spans="4:4">
      <c r="D3967" s="7" t="e">
        <f t="shared" si="61"/>
        <v>#DIV/0!</v>
      </c>
    </row>
    <row r="3968" customHeight="1" spans="4:4">
      <c r="D3968" s="7" t="e">
        <f t="shared" si="61"/>
        <v>#DIV/0!</v>
      </c>
    </row>
    <row r="3969" customHeight="1" spans="4:4">
      <c r="D3969" s="7" t="e">
        <f t="shared" si="61"/>
        <v>#DIV/0!</v>
      </c>
    </row>
    <row r="3970" customHeight="1" spans="4:4">
      <c r="D3970" s="7" t="e">
        <f t="shared" si="61"/>
        <v>#DIV/0!</v>
      </c>
    </row>
    <row r="3971" customHeight="1" spans="4:4">
      <c r="D3971" s="7" t="e">
        <f t="shared" si="61"/>
        <v>#DIV/0!</v>
      </c>
    </row>
    <row r="3972" customHeight="1" spans="4:4">
      <c r="D3972" s="7" t="e">
        <f t="shared" ref="D3972:D4000" si="62">+B3972/C3972</f>
        <v>#DIV/0!</v>
      </c>
    </row>
    <row r="3973" customHeight="1" spans="4:4">
      <c r="D3973" s="7" t="e">
        <f t="shared" si="62"/>
        <v>#DIV/0!</v>
      </c>
    </row>
    <row r="3974" customHeight="1" spans="4:4">
      <c r="D3974" s="7" t="e">
        <f t="shared" si="62"/>
        <v>#DIV/0!</v>
      </c>
    </row>
    <row r="3975" customHeight="1" spans="4:4">
      <c r="D3975" s="7" t="e">
        <f t="shared" si="62"/>
        <v>#DIV/0!</v>
      </c>
    </row>
    <row r="3976" customHeight="1" spans="4:4">
      <c r="D3976" s="7" t="e">
        <f t="shared" si="62"/>
        <v>#DIV/0!</v>
      </c>
    </row>
    <row r="3977" customHeight="1" spans="4:4">
      <c r="D3977" s="7" t="e">
        <f t="shared" si="62"/>
        <v>#DIV/0!</v>
      </c>
    </row>
    <row r="3978" customHeight="1" spans="4:4">
      <c r="D3978" s="7" t="e">
        <f t="shared" si="62"/>
        <v>#DIV/0!</v>
      </c>
    </row>
    <row r="3979" customHeight="1" spans="4:4">
      <c r="D3979" s="7" t="e">
        <f t="shared" si="62"/>
        <v>#DIV/0!</v>
      </c>
    </row>
    <row r="3980" customHeight="1" spans="4:4">
      <c r="D3980" s="7" t="e">
        <f t="shared" si="62"/>
        <v>#DIV/0!</v>
      </c>
    </row>
    <row r="3981" customHeight="1" spans="4:4">
      <c r="D3981" s="7" t="e">
        <f t="shared" si="62"/>
        <v>#DIV/0!</v>
      </c>
    </row>
    <row r="3982" customHeight="1" spans="4:4">
      <c r="D3982" s="7" t="e">
        <f t="shared" si="62"/>
        <v>#DIV/0!</v>
      </c>
    </row>
    <row r="3983" customHeight="1" spans="4:4">
      <c r="D3983" s="7" t="e">
        <f t="shared" si="62"/>
        <v>#DIV/0!</v>
      </c>
    </row>
    <row r="3984" customHeight="1" spans="4:4">
      <c r="D3984" s="7" t="e">
        <f t="shared" si="62"/>
        <v>#DIV/0!</v>
      </c>
    </row>
    <row r="3985" customHeight="1" spans="4:4">
      <c r="D3985" s="7" t="e">
        <f t="shared" si="62"/>
        <v>#DIV/0!</v>
      </c>
    </row>
    <row r="3986" customHeight="1" spans="4:4">
      <c r="D3986" s="7" t="e">
        <f t="shared" si="62"/>
        <v>#DIV/0!</v>
      </c>
    </row>
    <row r="3987" customHeight="1" spans="4:4">
      <c r="D3987" s="7" t="e">
        <f t="shared" si="62"/>
        <v>#DIV/0!</v>
      </c>
    </row>
    <row r="3988" customHeight="1" spans="4:4">
      <c r="D3988" s="7" t="e">
        <f t="shared" si="62"/>
        <v>#DIV/0!</v>
      </c>
    </row>
    <row r="3989" customHeight="1" spans="4:4">
      <c r="D3989" s="7" t="e">
        <f t="shared" si="62"/>
        <v>#DIV/0!</v>
      </c>
    </row>
    <row r="3990" customHeight="1" spans="4:4">
      <c r="D3990" s="7" t="e">
        <f t="shared" si="62"/>
        <v>#DIV/0!</v>
      </c>
    </row>
    <row r="3991" customHeight="1" spans="4:4">
      <c r="D3991" s="7" t="e">
        <f t="shared" si="62"/>
        <v>#DIV/0!</v>
      </c>
    </row>
    <row r="3992" customHeight="1" spans="4:4">
      <c r="D3992" s="7" t="e">
        <f t="shared" si="62"/>
        <v>#DIV/0!</v>
      </c>
    </row>
    <row r="3993" customHeight="1" spans="4:4">
      <c r="D3993" s="7" t="e">
        <f t="shared" si="62"/>
        <v>#DIV/0!</v>
      </c>
    </row>
    <row r="3994" customHeight="1" spans="4:4">
      <c r="D3994" s="7" t="e">
        <f t="shared" si="62"/>
        <v>#DIV/0!</v>
      </c>
    </row>
    <row r="3995" customHeight="1" spans="4:4">
      <c r="D3995" s="7" t="e">
        <f t="shared" si="62"/>
        <v>#DIV/0!</v>
      </c>
    </row>
    <row r="3996" customHeight="1" spans="4:4">
      <c r="D3996" s="7" t="e">
        <f t="shared" si="62"/>
        <v>#DIV/0!</v>
      </c>
    </row>
    <row r="3997" customHeight="1" spans="4:4">
      <c r="D3997" s="7" t="e">
        <f t="shared" si="62"/>
        <v>#DIV/0!</v>
      </c>
    </row>
    <row r="3998" customHeight="1" spans="4:4">
      <c r="D3998" s="7" t="e">
        <f t="shared" si="62"/>
        <v>#DIV/0!</v>
      </c>
    </row>
    <row r="3999" customHeight="1" spans="4:4">
      <c r="D3999" s="7" t="e">
        <f t="shared" si="62"/>
        <v>#DIV/0!</v>
      </c>
    </row>
    <row r="4000" customHeight="1" spans="4:4">
      <c r="D4000" s="7" t="e">
        <f t="shared" si="62"/>
        <v>#DIV/0!</v>
      </c>
    </row>
  </sheetData>
  <pageMargins left="0.7" right="0.7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U9"/>
  <sheetViews>
    <sheetView tabSelected="1" workbookViewId="0">
      <selection activeCell="K14" sqref="K14"/>
    </sheetView>
  </sheetViews>
  <sheetFormatPr defaultColWidth="8.88888888888889" defaultRowHeight="14.4"/>
  <cols>
    <col min="1" max="1" width="19.4444444444444" customWidth="1"/>
  </cols>
  <sheetData>
    <row r="1" spans="1:21">
      <c r="A1" t="s">
        <v>1005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1006</v>
      </c>
      <c r="B2" t="s">
        <v>1007</v>
      </c>
      <c r="C2" t="s">
        <v>1008</v>
      </c>
      <c r="D2" t="s">
        <v>1009</v>
      </c>
      <c r="E2" t="s">
        <v>1010</v>
      </c>
      <c r="F2" t="s">
        <v>1011</v>
      </c>
      <c r="G2" t="s">
        <v>1012</v>
      </c>
      <c r="H2" t="s">
        <v>1013</v>
      </c>
      <c r="I2" t="s">
        <v>1014</v>
      </c>
      <c r="J2" t="s">
        <v>1015</v>
      </c>
      <c r="K2" t="s">
        <v>1016</v>
      </c>
      <c r="L2" t="s">
        <v>1017</v>
      </c>
      <c r="M2" t="s">
        <v>1018</v>
      </c>
      <c r="N2" t="s">
        <v>1019</v>
      </c>
      <c r="O2" t="s">
        <v>1020</v>
      </c>
      <c r="P2" t="s">
        <v>1020</v>
      </c>
      <c r="Q2" t="s">
        <v>1020</v>
      </c>
      <c r="R2" t="s">
        <v>1020</v>
      </c>
      <c r="S2" t="s">
        <v>1020</v>
      </c>
      <c r="T2" t="s">
        <v>1020</v>
      </c>
      <c r="U2" t="s">
        <v>1021</v>
      </c>
    </row>
    <row r="3" spans="1:21">
      <c r="A3" t="s">
        <v>163</v>
      </c>
      <c r="B3" t="s">
        <v>1022</v>
      </c>
      <c r="C3">
        <v>100</v>
      </c>
      <c r="D3" t="s">
        <v>109</v>
      </c>
      <c r="E3">
        <v>46.1</v>
      </c>
      <c r="F3">
        <v>56</v>
      </c>
      <c r="G3">
        <v>0.823214285714286</v>
      </c>
      <c r="H3">
        <v>3.34</v>
      </c>
      <c r="I3">
        <v>0.26</v>
      </c>
      <c r="J3">
        <v>0.73</v>
      </c>
      <c r="K3">
        <v>0.5</v>
      </c>
      <c r="U3">
        <v>5.65321428571429</v>
      </c>
    </row>
    <row r="4" spans="1:21">
      <c r="A4" t="s">
        <v>1048</v>
      </c>
      <c r="B4" t="s">
        <v>1023</v>
      </c>
      <c r="C4">
        <v>30</v>
      </c>
      <c r="D4" t="s">
        <v>109</v>
      </c>
      <c r="E4">
        <v>33.79</v>
      </c>
      <c r="F4">
        <v>105</v>
      </c>
      <c r="G4">
        <v>0.321809523809524</v>
      </c>
      <c r="H4">
        <v>2.22</v>
      </c>
      <c r="I4">
        <v>0.26</v>
      </c>
      <c r="J4">
        <v>0.73</v>
      </c>
      <c r="K4">
        <v>0.5</v>
      </c>
      <c r="U4">
        <v>4.03180952380952</v>
      </c>
    </row>
    <row r="5" spans="1:21">
      <c r="A5" t="s">
        <v>133</v>
      </c>
      <c r="B5" t="s">
        <v>1024</v>
      </c>
      <c r="C5">
        <v>10</v>
      </c>
      <c r="D5" t="s">
        <v>86</v>
      </c>
      <c r="E5">
        <v>11</v>
      </c>
      <c r="F5">
        <v>360</v>
      </c>
      <c r="G5">
        <v>0.0305555555555556</v>
      </c>
      <c r="H5">
        <v>2.89</v>
      </c>
      <c r="U5">
        <v>2.92055555555556</v>
      </c>
    </row>
    <row r="6" spans="1:21">
      <c r="A6" t="s">
        <v>1049</v>
      </c>
      <c r="B6" t="s">
        <v>1025</v>
      </c>
      <c r="C6">
        <v>3</v>
      </c>
      <c r="D6" t="s">
        <v>86</v>
      </c>
      <c r="E6">
        <v>33.1</v>
      </c>
      <c r="F6">
        <v>1000</v>
      </c>
      <c r="G6">
        <v>0.0331</v>
      </c>
      <c r="M6">
        <v>0.22</v>
      </c>
      <c r="N6">
        <v>0.044</v>
      </c>
      <c r="U6">
        <v>0.2971</v>
      </c>
    </row>
    <row r="7" spans="1:21">
      <c r="A7" t="s">
        <v>1050</v>
      </c>
      <c r="B7" t="s">
        <v>1026</v>
      </c>
      <c r="C7">
        <v>20</v>
      </c>
      <c r="D7" t="s">
        <v>86</v>
      </c>
      <c r="E7">
        <v>33.1</v>
      </c>
      <c r="F7">
        <v>140</v>
      </c>
      <c r="G7">
        <v>0.236428571428571</v>
      </c>
      <c r="H7">
        <v>3.85</v>
      </c>
      <c r="N7">
        <v>0.314285714285714</v>
      </c>
      <c r="U7">
        <v>4.40071428571429</v>
      </c>
    </row>
    <row r="8" spans="1:21">
      <c r="A8" t="s">
        <v>1051</v>
      </c>
      <c r="B8" t="s">
        <v>1026</v>
      </c>
      <c r="C8">
        <v>500</v>
      </c>
      <c r="D8" t="s">
        <v>86</v>
      </c>
      <c r="E8">
        <v>46.1</v>
      </c>
      <c r="F8">
        <v>20</v>
      </c>
      <c r="G8">
        <v>2.305</v>
      </c>
      <c r="H8">
        <v>20</v>
      </c>
      <c r="U8">
        <v>22.305</v>
      </c>
    </row>
    <row r="9" spans="1:21">
      <c r="A9" t="s">
        <v>1052</v>
      </c>
      <c r="B9" t="s">
        <v>1027</v>
      </c>
      <c r="C9">
        <v>500</v>
      </c>
      <c r="D9" t="s">
        <v>86</v>
      </c>
      <c r="E9">
        <v>33.1</v>
      </c>
      <c r="F9">
        <v>28</v>
      </c>
      <c r="G9">
        <v>1.18214285714286</v>
      </c>
      <c r="L9">
        <v>0.15</v>
      </c>
      <c r="N9">
        <v>1.65</v>
      </c>
      <c r="U9">
        <v>2.98214285714286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final by sr</vt:lpstr>
      <vt:lpstr>Final</vt:lpstr>
      <vt:lpstr>Mothertincture</vt:lpstr>
      <vt:lpstr>Ingredient List - Mother Tinctu</vt:lpstr>
      <vt:lpstr>RM Price list</vt:lpstr>
      <vt:lpstr>Packing Material - Cost</vt:lpstr>
      <vt:lpstr>Manpower Details</vt:lpstr>
      <vt:lpstr>Energy Cost</vt:lpstr>
      <vt:lpstr>pack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Sabarinath</cp:lastModifiedBy>
  <dcterms:created xsi:type="dcterms:W3CDTF">2006-09-16T00:00:00Z</dcterms:created>
  <dcterms:modified xsi:type="dcterms:W3CDTF">2023-04-29T14:15:02Z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912EF027ABE44091AB01B5F02045C4B8</vt:lpwstr>
  </property>
  <property fmtid="{D5CDD505-2E9C-101B-9397-08002B2CF9AE}" pid="3" name="KSOProductBuildVer">
    <vt:lpwstr>1033-11.2.0.11537</vt:lpwstr>
  </property>
</Properties>
</file>